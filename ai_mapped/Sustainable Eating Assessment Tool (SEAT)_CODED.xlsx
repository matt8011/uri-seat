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ood Items" sheetId="1" state="visible" r:id="rId1"/>
    <sheet name="Nutritional Status" sheetId="2" state="visible" r:id="rId2"/>
    <sheet name="Carbon Footprint (SuEatable)" sheetId="3" state="visible" r:id="rId3"/>
    <sheet name="DataField Carbon Footprint" sheetId="4" state="visible" r:id="rId4"/>
    <sheet name="PIVOT table GHG DataField" sheetId="5" state="visible" r:id="rId5"/>
    <sheet name="Water Footprint (SuEatable)" sheetId="6" state="visible" r:id="rId6"/>
    <sheet name="Science Data ALL" sheetId="7" state="visible" r:id="rId7"/>
    <sheet name="Affordability" sheetId="8" state="visible" r:id="rId8"/>
  </sheets>
  <externalReferences>
    <externalReference r:id="rId9"/>
  </externalReferences>
  <definedNames/>
  <calcPr calcId="124519" fullCalcOnLoad="1"/>
</workbook>
</file>

<file path=xl/styles.xml><?xml version="1.0" encoding="utf-8"?>
<styleSheet xmlns="http://schemas.openxmlformats.org/spreadsheetml/2006/main">
  <numFmts count="2">
    <numFmt numFmtId="164" formatCode="0.000"/>
    <numFmt numFmtId="165" formatCode="0.0"/>
  </numFmts>
  <fonts count="22">
    <font>
      <name val="Aptos Narrow"/>
      <color theme="1"/>
      <sz val="11"/>
      <scheme val="minor"/>
    </font>
    <font>
      <name val="Aptos Narrow"/>
      <color theme="1"/>
      <scheme val="minor"/>
    </font>
    <font>
      <name val="Calibri"/>
      <color rgb="FF000000"/>
      <sz val="8"/>
    </font>
    <font>
      <name val="Calibri"/>
      <color rgb="FFB00004"/>
      <sz val="8"/>
    </font>
    <font>
      <name val="Helvetica Neue"/>
      <color theme="1"/>
      <sz val="9"/>
    </font>
    <font>
      <name val="Calibri"/>
      <color rgb="FF000000"/>
      <sz val="11"/>
    </font>
    <font>
      <name val="Calibri"/>
      <b val="1"/>
      <color rgb="FF000000"/>
      <sz val="14"/>
    </font>
    <font/>
    <font>
      <name val="Calibri"/>
      <b val="1"/>
      <color rgb="FF000000"/>
      <sz val="11"/>
    </font>
    <font>
      <name val="Aptos Narrow"/>
      <color theme="1"/>
      <sz val="11"/>
    </font>
    <font>
      <name val="Calibri"/>
      <color rgb="FF000000"/>
      <sz val="9"/>
    </font>
    <font>
      <name val="Calibri"/>
      <b val="1"/>
      <color rgb="FF000000"/>
      <sz val="18"/>
    </font>
    <font>
      <name val="Calibri"/>
      <color rgb="FF000000"/>
      <sz val="12"/>
    </font>
    <font>
      <name val="Calibri"/>
      <b val="1"/>
      <color rgb="FF000000"/>
      <sz val="12"/>
    </font>
    <font>
      <name val="Calibri"/>
      <b val="1"/>
      <color theme="1"/>
      <sz val="12"/>
    </font>
    <font>
      <name val="Aptos Narrow"/>
      <color rgb="FF000000"/>
      <sz val="11"/>
    </font>
    <font>
      <name val="Calibri"/>
      <b val="1"/>
      <color rgb="FF000000"/>
      <sz val="20"/>
    </font>
    <font>
      <name val="Calibri"/>
      <color theme="4"/>
      <sz val="18"/>
    </font>
    <font>
      <name val="Helvetica Neue"/>
      <color rgb="FF000000"/>
      <sz val="8"/>
    </font>
    <font>
      <name val="Calibri"/>
      <color theme="1"/>
      <sz val="11"/>
    </font>
    <font>
      <name val="Calibri"/>
      <b val="1"/>
      <i val="1"/>
      <color rgb="FF000000"/>
      <sz val="10"/>
    </font>
    <font>
      <name val="Aptos Narrow"/>
      <b val="1"/>
      <color theme="1"/>
      <sz val="11"/>
    </font>
  </fonts>
  <fills count="18">
    <fill>
      <patternFill/>
    </fill>
    <fill>
      <patternFill patternType="lightGray"/>
    </fill>
    <fill>
      <patternFill patternType="solid">
        <fgColor rgb="FFFFFFFF"/>
        <bgColor rgb="FFFFFFFF"/>
      </patternFill>
    </fill>
    <fill>
      <patternFill patternType="solid">
        <fgColor rgb="FFEFEFEF"/>
        <bgColor rgb="FFEFEFEF"/>
      </patternFill>
    </fill>
    <fill>
      <patternFill patternType="solid">
        <fgColor rgb="FF7F7F7F"/>
        <bgColor rgb="FF7F7F7F"/>
      </patternFill>
    </fill>
    <fill>
      <patternFill patternType="solid">
        <fgColor rgb="FF82CAEB"/>
        <bgColor rgb="FF82CAEB"/>
      </patternFill>
    </fill>
    <fill>
      <patternFill patternType="solid">
        <fgColor rgb="FF747474"/>
        <bgColor rgb="FF747474"/>
      </patternFill>
    </fill>
    <fill>
      <patternFill patternType="solid">
        <fgColor rgb="FFF1AA83"/>
        <bgColor rgb="FFF1AA83"/>
      </patternFill>
    </fill>
    <fill>
      <patternFill patternType="solid">
        <fgColor rgb="FF45D55A"/>
        <bgColor rgb="FF45D55A"/>
      </patternFill>
    </fill>
    <fill>
      <patternFill patternType="solid">
        <fgColor theme="4"/>
        <bgColor theme="4"/>
      </patternFill>
    </fill>
    <fill>
      <patternFill patternType="solid">
        <fgColor theme="0"/>
        <bgColor theme="0"/>
      </patternFill>
    </fill>
    <fill>
      <patternFill patternType="solid">
        <fgColor rgb="FFFAE2D5"/>
        <bgColor rgb="FFFAE2D5"/>
      </patternFill>
    </fill>
    <fill>
      <patternFill patternType="solid">
        <fgColor rgb="FFC1F1C8"/>
        <bgColor rgb="FFC1F1C8"/>
      </patternFill>
    </fill>
    <fill>
      <patternFill patternType="solid">
        <fgColor rgb="FFFFFF00"/>
        <bgColor rgb="FFFFFF00"/>
      </patternFill>
    </fill>
    <fill>
      <patternFill patternType="solid">
        <fgColor theme="9"/>
        <bgColor theme="9"/>
      </patternFill>
    </fill>
    <fill>
      <patternFill patternType="solid">
        <fgColor theme="7"/>
        <bgColor theme="7"/>
      </patternFill>
    </fill>
    <fill>
      <patternFill patternType="solid">
        <fgColor theme="8"/>
        <bgColor theme="8"/>
      </patternFill>
    </fill>
    <fill>
      <patternFill patternType="solid">
        <fgColor rgb="FFD9F2D0"/>
        <bgColor rgb="FFD9F2D0"/>
      </patternFill>
    </fill>
  </fills>
  <borders count="73">
    <border/>
    <border>
      <left style="thin">
        <color rgb="FF000000"/>
      </left>
      <right style="thin">
        <color rgb="FF9A9A9A"/>
      </right>
      <top style="thick">
        <color rgb="FF000000"/>
      </top>
      <bottom style="thin">
        <color rgb="FF9A9A9A"/>
      </bottom>
    </border>
    <border>
      <left style="thin">
        <color rgb="FF9A9A9A"/>
      </left>
      <right style="thin">
        <color rgb="FF9A9A9A"/>
      </right>
      <top style="thick">
        <color rgb="FF000000"/>
      </top>
      <bottom style="thin">
        <color rgb="FF9A9A9A"/>
      </bottom>
    </border>
    <border>
      <left style="thin">
        <color rgb="FF000000"/>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ck">
        <color rgb="FF000000"/>
      </bottom>
    </border>
    <border>
      <left style="thin">
        <color rgb="FF9A9A9A"/>
      </left>
      <right style="thin">
        <color rgb="FF000000"/>
      </right>
      <top style="thick">
        <color rgb="FF000000"/>
      </top>
      <bottom style="thin">
        <color rgb="FF000000"/>
      </bottom>
    </border>
    <border>
      <left style="thin">
        <color rgb="FF9A9A9A"/>
      </left>
      <right style="thin">
        <color rgb="FF000000"/>
      </right>
      <top style="thick">
        <color rgb="FF000000"/>
      </top>
      <bottom style="thin">
        <color rgb="FF9A9A9A"/>
      </bottom>
    </border>
    <border>
      <left style="thin">
        <color rgb="FF000000"/>
      </left>
      <right style="thin">
        <color rgb="FF000000"/>
      </right>
      <top style="thick">
        <color rgb="FF000000"/>
      </top>
      <bottom style="thin">
        <color rgb="FF000000"/>
      </bottom>
    </border>
    <border>
      <left style="thin">
        <color rgb="FF9A9A9A"/>
      </left>
      <right style="thin">
        <color rgb="FF000000"/>
      </right>
      <top style="thin">
        <color rgb="FF000000"/>
      </top>
      <bottom style="thin">
        <color rgb="FF000000"/>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9A9A9A"/>
      </bottom>
    </border>
    <border>
      <left style="thin">
        <color rgb="FF000000"/>
      </left>
      <right style="thin">
        <color rgb="FF9A9A9A"/>
      </right>
      <top style="thin">
        <color rgb="FF9A9A9A"/>
      </top>
      <bottom style="thin">
        <color rgb="FF000000"/>
      </bottom>
    </border>
    <border>
      <left/>
      <right/>
      <top/>
      <bottom/>
    </border>
    <border>
      <left style="medium">
        <color rgb="FF000000"/>
      </left>
      <top style="medium">
        <color rgb="FF000000"/>
      </top>
      <bottom style="medium">
        <color rgb="FF000000"/>
      </bottom>
    </border>
    <border>
      <right/>
      <top style="medium">
        <color rgb="FF000000"/>
      </top>
      <bottom style="medium">
        <color rgb="FF000000"/>
      </bottom>
    </border>
    <border>
      <left style="medium">
        <color rgb="FF000000"/>
      </left>
      <right style="medium">
        <color rgb="FF000000"/>
      </right>
      <top style="medium">
        <color rgb="FF000000"/>
      </top>
      <bottom style="medium">
        <color theme="0"/>
      </bottom>
    </border>
    <border>
      <left style="medium">
        <color rgb="FF000000"/>
      </left>
      <right style="medium">
        <color rgb="FF000000"/>
      </right>
      <top style="medium">
        <color rgb="FF000000"/>
      </top>
    </border>
    <border>
      <left style="medium">
        <color rgb="FF000000"/>
      </left>
      <right style="medium">
        <color rgb="FF000000"/>
      </right>
      <top/>
    </border>
    <border>
      <left style="medium">
        <color rgb="FF000000"/>
      </left>
      <top/>
      <bottom/>
    </border>
    <border>
      <top/>
      <bottom/>
    </border>
    <border>
      <right style="medium">
        <color rgb="FF000000"/>
      </right>
      <top/>
      <bottom/>
    </border>
    <border>
      <left style="medium">
        <color rgb="FF000000"/>
      </left>
      <right/>
      <top style="medium">
        <color rgb="FF000000"/>
      </top>
      <bottom/>
    </border>
    <border>
      <left/>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theme="0"/>
      </top>
      <bottom style="medium">
        <color theme="0"/>
      </bottom>
    </border>
    <border>
      <left style="medium">
        <color rgb="FF000000"/>
      </left>
      <right style="medium">
        <color rgb="FF000000"/>
      </right>
    </border>
    <border>
      <left style="medium">
        <color rgb="FF000000"/>
      </left>
      <right style="medium">
        <color rgb="FF000000"/>
      </right>
      <bottom/>
    </border>
    <border>
      <left style="medium">
        <color rgb="FF000000"/>
      </lef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top style="thin">
        <color rgb="FF000000"/>
      </top>
      <bottom/>
    </border>
    <border>
      <left style="thin">
        <color rgb="FF000000"/>
      </left>
      <right/>
      <top style="thin">
        <color rgb="FF000000"/>
      </top>
      <bottom/>
    </border>
    <border>
      <left style="medium">
        <color rgb="FF000000"/>
      </left>
      <right style="medium">
        <color rgb="FF000000"/>
      </right>
      <top style="medium">
        <color theme="0"/>
      </top>
    </border>
    <border>
      <left style="medium">
        <color rgb="FF000000"/>
      </left>
      <right style="medium">
        <color rgb="FF000000"/>
      </right>
      <bottom style="medium">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right style="medium">
        <color rgb="FF000000"/>
      </right>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right/>
      <top/>
      <bottom/>
    </border>
    <border>
      <left style="thin">
        <color rgb="FF9A9A9A"/>
      </left>
      <right style="thin">
        <color rgb="FF9A9A9A"/>
      </right>
      <top style="thin">
        <color rgb="FF000000"/>
      </top>
      <bottom style="thin">
        <color rgb="FF9A9A9A"/>
      </bottom>
    </border>
    <border>
      <bottom style="thin">
        <color rgb="FF000000"/>
      </bottom>
    </border>
    <border>
      <left style="dotted">
        <color rgb="FF000000"/>
      </left>
      <bottom style="thin">
        <color rgb="FF000000"/>
      </bottom>
    </border>
    <border>
      <right style="dotted">
        <color rgb="FF000000"/>
      </right>
      <bottom style="thin">
        <color rgb="FF000000"/>
      </bottom>
    </border>
    <border>
      <left style="dotted">
        <color rgb="FF000000"/>
      </left>
      <top style="thin">
        <color rgb="FF000000"/>
      </top>
      <bottom style="thin">
        <color rgb="FF000000"/>
      </bottom>
    </border>
    <border>
      <right style="dotted">
        <color rgb="FF000000"/>
      </right>
      <top style="thin">
        <color rgb="FF000000"/>
      </top>
      <bottom style="thin">
        <color rgb="FF000000"/>
      </bottom>
    </border>
    <border>
      <left style="dotted">
        <color rgb="FF000000"/>
      </left>
    </border>
    <border>
      <right style="dotted">
        <color rgb="FF000000"/>
      </right>
    </border>
    <border>
      <top style="thin">
        <color rgb="FF000000"/>
      </top>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right style="thin">
        <color rgb="FF000000"/>
      </right>
      <top style="thin">
        <color rgb="FF000000"/>
      </top>
    </border>
    <border>
      <left style="medium">
        <color rgb="FF000000"/>
      </left>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bottom/>
    </border>
  </borders>
  <cellStyleXfs count="1">
    <xf numFmtId="0" fontId="0" fillId="0" borderId="0"/>
  </cellStyleXfs>
  <cellXfs count="222">
    <xf numFmtId="0" fontId="0" fillId="0" borderId="0" applyAlignment="1" pivotButton="0" quotePrefix="0" xfId="0">
      <alignment vertical="bottom"/>
    </xf>
    <xf numFmtId="0" fontId="1" fillId="0" borderId="0" pivotButton="0" quotePrefix="0" xfId="0"/>
    <xf numFmtId="0" fontId="2" fillId="0" borderId="1" pivotButton="0" quotePrefix="0" xfId="0"/>
    <xf numFmtId="0" fontId="2" fillId="0" borderId="2" pivotButton="0" quotePrefix="0" xfId="0"/>
    <xf numFmtId="0" fontId="2" fillId="0" borderId="3" pivotButton="0" quotePrefix="0" xfId="0"/>
    <xf numFmtId="0" fontId="2" fillId="0" borderId="4" pivotButton="0" quotePrefix="0" xfId="0"/>
    <xf numFmtId="0" fontId="2" fillId="2" borderId="5" pivotButton="0" quotePrefix="0" xfId="0"/>
    <xf numFmtId="0" fontId="3" fillId="2" borderId="5" pivotButton="0" quotePrefix="0" xfId="0"/>
    <xf numFmtId="0" fontId="3" fillId="2" borderId="5" applyAlignment="1" pivotButton="0" quotePrefix="0" xfId="0">
      <alignment wrapText="1"/>
    </xf>
    <xf numFmtId="0" fontId="2" fillId="3" borderId="6" pivotButton="0" quotePrefix="0" xfId="0"/>
    <xf numFmtId="0" fontId="2" fillId="2" borderId="2" pivotButton="0" quotePrefix="0" xfId="0"/>
    <xf numFmtId="0" fontId="2" fillId="0" borderId="7" pivotButton="0" quotePrefix="0" xfId="0"/>
    <xf numFmtId="0" fontId="2" fillId="3" borderId="8" pivotButton="0" quotePrefix="1" xfId="0"/>
    <xf numFmtId="0" fontId="2" fillId="0" borderId="8" applyAlignment="1" pivotButton="0" quotePrefix="1" xfId="0">
      <alignment wrapText="1"/>
    </xf>
    <xf numFmtId="0" fontId="2" fillId="3" borderId="9" pivotButton="0" quotePrefix="0" xfId="0"/>
    <xf numFmtId="0" fontId="2" fillId="2" borderId="4" pivotButton="0" quotePrefix="0" xfId="0"/>
    <xf numFmtId="0" fontId="2" fillId="0" borderId="10" pivotButton="0" quotePrefix="0" xfId="0"/>
    <xf numFmtId="0" fontId="2" fillId="3" borderId="11" pivotButton="0" quotePrefix="1" xfId="0"/>
    <xf numFmtId="0" fontId="2" fillId="0" borderId="11" applyAlignment="1" pivotButton="0" quotePrefix="1" xfId="0">
      <alignment wrapText="1"/>
    </xf>
    <xf numFmtId="0" fontId="4" fillId="3" borderId="11" applyAlignment="1" pivotButton="0" quotePrefix="0" xfId="0">
      <alignment wrapText="1"/>
    </xf>
    <xf numFmtId="0" fontId="2" fillId="3" borderId="11" pivotButton="0" quotePrefix="0" xfId="0"/>
    <xf numFmtId="0" fontId="2" fillId="0" borderId="12" applyAlignment="1" pivotButton="0" quotePrefix="0" xfId="0">
      <alignment wrapText="1"/>
    </xf>
    <xf numFmtId="0" fontId="2" fillId="0" borderId="3" applyAlignment="1" pivotButton="0" quotePrefix="0" xfId="0">
      <alignment wrapText="1"/>
    </xf>
    <xf numFmtId="0" fontId="2" fillId="0" borderId="13" applyAlignment="1" pivotButton="0" quotePrefix="0" xfId="0">
      <alignment wrapText="1"/>
    </xf>
    <xf numFmtId="0" fontId="5" fillId="4" borderId="14" applyAlignment="1" pivotButton="0" quotePrefix="0" xfId="0">
      <alignment vertical="center"/>
    </xf>
    <xf numFmtId="0" fontId="6" fillId="5" borderId="15" applyAlignment="1" pivotButton="0" quotePrefix="0" xfId="0">
      <alignment horizontal="center" vertical="center"/>
    </xf>
    <xf numFmtId="0" fontId="7" fillId="0" borderId="16" pivotButton="0" quotePrefix="0" xfId="0"/>
    <xf numFmtId="0" fontId="8" fillId="0" borderId="17" applyAlignment="1" pivotButton="0" quotePrefix="0" xfId="0">
      <alignment vertical="center" wrapText="1"/>
    </xf>
    <xf numFmtId="0" fontId="8" fillId="0" borderId="18" applyAlignment="1" pivotButton="0" quotePrefix="0" xfId="0">
      <alignment vertical="center" wrapText="1"/>
    </xf>
    <xf numFmtId="1" fontId="8" fillId="0" borderId="18" applyAlignment="1" pivotButton="0" quotePrefix="0" xfId="0">
      <alignment horizontal="center" vertical="center" wrapText="1"/>
    </xf>
    <xf numFmtId="0" fontId="9" fillId="6" borderId="19" applyAlignment="1" pivotButton="0" quotePrefix="0" xfId="0">
      <alignment horizontal="center" vertical="center" wrapText="1"/>
    </xf>
    <xf numFmtId="0" fontId="6" fillId="7" borderId="20" applyAlignment="1" pivotButton="0" quotePrefix="0" xfId="0">
      <alignment horizontal="center" vertical="center"/>
    </xf>
    <xf numFmtId="0" fontId="7" fillId="0" borderId="21" pivotButton="0" quotePrefix="0" xfId="0"/>
    <xf numFmtId="0" fontId="7" fillId="0" borderId="22" pivotButton="0" quotePrefix="0" xfId="0"/>
    <xf numFmtId="0" fontId="6" fillId="8" borderId="20" applyAlignment="1" pivotButton="0" quotePrefix="0" xfId="0">
      <alignment horizontal="center" vertical="center"/>
    </xf>
    <xf numFmtId="0" fontId="10" fillId="2" borderId="23" applyAlignment="1" pivotButton="0" quotePrefix="0" xfId="0">
      <alignment horizontal="left" vertical="center"/>
    </xf>
    <xf numFmtId="0" fontId="6" fillId="2" borderId="24" applyAlignment="1" pivotButton="0" quotePrefix="0" xfId="0">
      <alignment horizontal="left" vertical="center"/>
    </xf>
    <xf numFmtId="0" fontId="9" fillId="0" borderId="0" applyAlignment="1" pivotButton="0" quotePrefix="0" xfId="0">
      <alignment vertical="center"/>
    </xf>
    <xf numFmtId="0" fontId="11" fillId="9" borderId="25" applyAlignment="1" pivotButton="0" quotePrefix="0" xfId="0">
      <alignment horizontal="center" vertical="center"/>
    </xf>
    <xf numFmtId="0" fontId="7" fillId="0" borderId="26" pivotButton="0" quotePrefix="0" xfId="0"/>
    <xf numFmtId="0" fontId="7" fillId="0" borderId="27" pivotButton="0" quotePrefix="0" xfId="0"/>
    <xf numFmtId="0" fontId="12" fillId="4" borderId="14" applyAlignment="1" pivotButton="0" quotePrefix="0" xfId="0">
      <alignment vertical="center"/>
    </xf>
    <xf numFmtId="0" fontId="13" fillId="5" borderId="28" applyAlignment="1" pivotButton="0" quotePrefix="0" xfId="0">
      <alignment horizontal="center" vertical="center" wrapText="1"/>
    </xf>
    <xf numFmtId="0" fontId="13" fillId="5" borderId="29" applyAlignment="1" pivotButton="0" quotePrefix="0" xfId="0">
      <alignment horizontal="center" vertical="center" wrapText="1"/>
    </xf>
    <xf numFmtId="0" fontId="13" fillId="0" borderId="30" applyAlignment="1" pivotButton="0" quotePrefix="0" xfId="0">
      <alignment horizontal="center" vertical="center" wrapText="1"/>
    </xf>
    <xf numFmtId="0" fontId="13" fillId="0" borderId="31" applyAlignment="1" pivotButton="0" quotePrefix="0" xfId="0">
      <alignment horizontal="center" vertical="center" wrapText="1"/>
    </xf>
    <xf numFmtId="0" fontId="7" fillId="0" borderId="31" pivotButton="0" quotePrefix="0" xfId="0"/>
    <xf numFmtId="0" fontId="7" fillId="0" borderId="32" pivotButton="0" quotePrefix="0" xfId="0"/>
    <xf numFmtId="0" fontId="8" fillId="0" borderId="33" applyAlignment="1" pivotButton="0" quotePrefix="0" xfId="0">
      <alignment horizontal="center" vertical="center" wrapText="1"/>
    </xf>
    <xf numFmtId="0" fontId="13" fillId="7" borderId="34" applyAlignment="1" pivotButton="0" quotePrefix="0" xfId="0">
      <alignment horizontal="center" vertical="center"/>
    </xf>
    <xf numFmtId="0" fontId="7" fillId="0" borderId="35" pivotButton="0" quotePrefix="0" xfId="0"/>
    <xf numFmtId="0" fontId="7" fillId="0" borderId="36" pivotButton="0" quotePrefix="0" xfId="0"/>
    <xf numFmtId="0" fontId="13" fillId="8" borderId="34" applyAlignment="1" pivotButton="0" quotePrefix="0" xfId="0">
      <alignment horizontal="center" vertical="center"/>
    </xf>
    <xf numFmtId="0" fontId="12" fillId="2" borderId="11" applyAlignment="1" pivotButton="0" quotePrefix="0" xfId="0">
      <alignment horizontal="left" vertical="center"/>
    </xf>
    <xf numFmtId="0" fontId="12" fillId="0" borderId="0" applyAlignment="1" pivotButton="0" quotePrefix="0" xfId="0">
      <alignment vertical="center"/>
    </xf>
    <xf numFmtId="0" fontId="9" fillId="7" borderId="25" applyAlignment="1" pivotButton="0" quotePrefix="0" xfId="0">
      <alignment horizontal="center" vertical="center"/>
    </xf>
    <xf numFmtId="0" fontId="9" fillId="8" borderId="25" applyAlignment="1" pivotButton="0" quotePrefix="0" xfId="0">
      <alignment horizontal="center" vertical="center"/>
    </xf>
    <xf numFmtId="0" fontId="13" fillId="0" borderId="37" applyAlignment="1" pivotButton="0" quotePrefix="0" xfId="0">
      <alignment horizontal="center" vertical="center"/>
    </xf>
    <xf numFmtId="0" fontId="13" fillId="0" borderId="38" applyAlignment="1" pivotButton="0" quotePrefix="0" xfId="0">
      <alignment horizontal="center" vertical="center"/>
    </xf>
    <xf numFmtId="0" fontId="13" fillId="0" borderId="38" applyAlignment="1" pivotButton="0" quotePrefix="0" xfId="0">
      <alignment horizontal="center" vertical="center" wrapText="1"/>
    </xf>
    <xf numFmtId="0" fontId="13" fillId="5" borderId="39" applyAlignment="1" pivotButton="0" quotePrefix="0" xfId="0">
      <alignment horizontal="center" vertical="center"/>
    </xf>
    <xf numFmtId="0" fontId="13" fillId="5" borderId="40" applyAlignment="1" pivotButton="0" quotePrefix="0" xfId="0">
      <alignment horizontal="center" vertical="center"/>
    </xf>
    <xf numFmtId="0" fontId="13" fillId="0" borderId="41" applyAlignment="1" pivotButton="0" quotePrefix="0" xfId="0">
      <alignment horizontal="center" vertical="center" wrapText="1"/>
    </xf>
    <xf numFmtId="1" fontId="8" fillId="0" borderId="42" applyAlignment="1" pivotButton="0" quotePrefix="0" xfId="0">
      <alignment vertical="center" wrapText="1"/>
    </xf>
    <xf numFmtId="0" fontId="13" fillId="0" borderId="0" applyAlignment="1" pivotButton="0" quotePrefix="0" xfId="0">
      <alignment horizontal="center" vertical="center"/>
    </xf>
    <xf numFmtId="0" fontId="10" fillId="0" borderId="33" applyAlignment="1" pivotButton="0" quotePrefix="0" xfId="0">
      <alignment horizontal="center" vertical="center" wrapText="1"/>
    </xf>
    <xf numFmtId="0" fontId="13" fillId="7" borderId="39" applyAlignment="1" pivotButton="0" quotePrefix="0" xfId="0">
      <alignment horizontal="center" vertical="center" wrapText="1"/>
    </xf>
    <xf numFmtId="0" fontId="13" fillId="7" borderId="43" applyAlignment="1" pivotButton="0" quotePrefix="0" xfId="0">
      <alignment horizontal="center" vertical="center"/>
    </xf>
    <xf numFmtId="0" fontId="14" fillId="7" borderId="44" applyAlignment="1" pivotButton="0" quotePrefix="0" xfId="0">
      <alignment horizontal="center" vertical="center"/>
    </xf>
    <xf numFmtId="0" fontId="13" fillId="8" borderId="39" applyAlignment="1" pivotButton="0" quotePrefix="0" xfId="0">
      <alignment horizontal="center" vertical="center" wrapText="1"/>
    </xf>
    <xf numFmtId="0" fontId="13" fillId="8" borderId="43" applyAlignment="1" pivotButton="0" quotePrefix="0" xfId="0">
      <alignment horizontal="center" vertical="center"/>
    </xf>
    <xf numFmtId="0" fontId="14" fillId="8" borderId="44" applyAlignment="1" pivotButton="0" quotePrefix="0" xfId="0">
      <alignment horizontal="center" vertical="center"/>
    </xf>
    <xf numFmtId="0" fontId="12" fillId="0" borderId="33" applyAlignment="1" pivotButton="0" quotePrefix="0" xfId="0">
      <alignment horizontal="left" vertical="center"/>
    </xf>
    <xf numFmtId="0" fontId="12" fillId="0" borderId="45" applyAlignment="1" pivotButton="0" quotePrefix="0" xfId="0">
      <alignment horizontal="left" vertical="center"/>
    </xf>
    <xf numFmtId="0" fontId="13" fillId="0" borderId="0" applyAlignment="1" pivotButton="0" quotePrefix="0" xfId="0">
      <alignment vertical="center"/>
    </xf>
    <xf numFmtId="0" fontId="13" fillId="7" borderId="11" applyAlignment="1" pivotButton="0" quotePrefix="0" xfId="0">
      <alignment vertical="center"/>
    </xf>
    <xf numFmtId="0" fontId="13" fillId="7" borderId="11" applyAlignment="1" pivotButton="0" quotePrefix="0" xfId="0">
      <alignment vertical="center" wrapText="1"/>
    </xf>
    <xf numFmtId="0" fontId="13" fillId="7" borderId="11" applyAlignment="1" pivotButton="0" quotePrefix="0" xfId="0">
      <alignment horizontal="center" vertical="center" wrapText="1"/>
    </xf>
    <xf numFmtId="0" fontId="13" fillId="8" borderId="11" applyAlignment="1" pivotButton="0" quotePrefix="0" xfId="0">
      <alignment vertical="center"/>
    </xf>
    <xf numFmtId="0" fontId="13" fillId="8" borderId="11" applyAlignment="1" pivotButton="0" quotePrefix="0" xfId="0">
      <alignment vertical="center" wrapText="1"/>
    </xf>
    <xf numFmtId="0" fontId="13" fillId="8" borderId="11" applyAlignment="1" pivotButton="0" quotePrefix="0" xfId="0">
      <alignment horizontal="center" vertical="center" wrapText="1"/>
    </xf>
    <xf numFmtId="0" fontId="15" fillId="0" borderId="28" applyAlignment="1" pivotButton="0" quotePrefix="0" xfId="0">
      <alignment vertical="center"/>
    </xf>
    <xf numFmtId="0" fontId="15" fillId="0" borderId="46" applyAlignment="1" pivotButton="0" quotePrefix="0" xfId="0">
      <alignment vertical="center"/>
    </xf>
    <xf numFmtId="0" fontId="15" fillId="0" borderId="46" applyAlignment="1" pivotButton="0" quotePrefix="0" xfId="0">
      <alignment vertical="center" wrapText="1"/>
    </xf>
    <xf numFmtId="164" fontId="15" fillId="0" borderId="28" applyAlignment="1" pivotButton="0" quotePrefix="0" xfId="0">
      <alignment horizontal="center" vertical="center"/>
    </xf>
    <xf numFmtId="164" fontId="15" fillId="0" borderId="46" applyAlignment="1" pivotButton="0" quotePrefix="0" xfId="0">
      <alignment horizontal="center" vertical="center"/>
    </xf>
    <xf numFmtId="0" fontId="15" fillId="10" borderId="46" pivotButton="0" quotePrefix="0" xfId="0"/>
    <xf numFmtId="0" fontId="15" fillId="10" borderId="46" applyAlignment="1" pivotButton="0" quotePrefix="0" xfId="0">
      <alignment vertical="center" wrapText="1"/>
    </xf>
    <xf numFmtId="1" fontId="15" fillId="0" borderId="35" applyAlignment="1" pivotButton="0" quotePrefix="0" xfId="0">
      <alignment horizontal="center" vertical="center"/>
    </xf>
    <xf numFmtId="0" fontId="15" fillId="0" borderId="26" applyAlignment="1" pivotButton="0" quotePrefix="0" xfId="0">
      <alignment vertical="center"/>
    </xf>
    <xf numFmtId="1" fontId="15" fillId="0" borderId="34" applyAlignment="1" pivotButton="0" quotePrefix="0" xfId="0">
      <alignment horizontal="center" vertical="center"/>
    </xf>
    <xf numFmtId="1" fontId="9" fillId="11" borderId="47" applyAlignment="1" pivotButton="0" quotePrefix="0" xfId="0">
      <alignment horizontal="center" vertical="center"/>
    </xf>
    <xf numFmtId="164" fontId="9" fillId="11" borderId="11" applyAlignment="1" pivotButton="0" quotePrefix="0" xfId="0">
      <alignment horizontal="center" vertical="center"/>
    </xf>
    <xf numFmtId="1" fontId="9" fillId="12" borderId="47" applyAlignment="1" pivotButton="0" quotePrefix="0" xfId="0">
      <alignment horizontal="center" vertical="center"/>
    </xf>
    <xf numFmtId="164" fontId="9" fillId="12" borderId="11" applyAlignment="1" pivotButton="0" quotePrefix="0" xfId="0">
      <alignment horizontal="center" vertical="center"/>
    </xf>
    <xf numFmtId="0" fontId="15" fillId="0" borderId="28" applyAlignment="1" pivotButton="0" quotePrefix="0" xfId="0">
      <alignment horizontal="left" vertical="center"/>
    </xf>
    <xf numFmtId="0" fontId="15" fillId="0" borderId="48" applyAlignment="1" pivotButton="0" quotePrefix="0" xfId="0">
      <alignment horizontal="left" vertical="center"/>
    </xf>
    <xf numFmtId="0" fontId="5" fillId="0" borderId="0" applyAlignment="1" pivotButton="0" quotePrefix="0" xfId="0">
      <alignment vertical="center"/>
    </xf>
    <xf numFmtId="0" fontId="5" fillId="7" borderId="11" applyAlignment="1" pivotButton="0" quotePrefix="0" xfId="0">
      <alignment vertical="center"/>
    </xf>
    <xf numFmtId="0" fontId="5" fillId="8" borderId="11" applyAlignment="1" pivotButton="0" quotePrefix="0" xfId="0">
      <alignment vertical="center"/>
    </xf>
    <xf numFmtId="0" fontId="15" fillId="0" borderId="47" applyAlignment="1" pivotButton="0" quotePrefix="0" xfId="0">
      <alignment vertical="center"/>
    </xf>
    <xf numFmtId="0" fontId="15" fillId="0" borderId="11" applyAlignment="1" pivotButton="0" quotePrefix="0" xfId="0">
      <alignment vertical="center"/>
    </xf>
    <xf numFmtId="0" fontId="15" fillId="10" borderId="11" pivotButton="0" quotePrefix="0" xfId="0"/>
    <xf numFmtId="0" fontId="15" fillId="10" borderId="11" applyAlignment="1" pivotButton="0" quotePrefix="0" xfId="0">
      <alignment vertical="center" wrapText="1"/>
    </xf>
    <xf numFmtId="1" fontId="15" fillId="0" borderId="26" applyAlignment="1" pivotButton="0" quotePrefix="0" xfId="0">
      <alignment horizontal="center" vertical="center"/>
    </xf>
    <xf numFmtId="0" fontId="15" fillId="0" borderId="47" applyAlignment="1" pivotButton="0" quotePrefix="0" xfId="0">
      <alignment horizontal="left" vertical="center"/>
    </xf>
    <xf numFmtId="0" fontId="15" fillId="0" borderId="49" applyAlignment="1" pivotButton="0" quotePrefix="0" xfId="0">
      <alignment horizontal="left" vertical="center"/>
    </xf>
    <xf numFmtId="164" fontId="15" fillId="0" borderId="47" applyAlignment="1" pivotButton="0" quotePrefix="0" xfId="0">
      <alignment horizontal="left" vertical="center"/>
    </xf>
    <xf numFmtId="164" fontId="15" fillId="0" borderId="49" applyAlignment="1" pivotButton="0" quotePrefix="0" xfId="0">
      <alignment horizontal="left" vertical="center"/>
    </xf>
    <xf numFmtId="0" fontId="5" fillId="13" borderId="11" applyAlignment="1" pivotButton="0" quotePrefix="0" xfId="0">
      <alignment vertical="center"/>
    </xf>
    <xf numFmtId="0" fontId="5" fillId="14" borderId="11" applyAlignment="1" pivotButton="0" quotePrefix="0" xfId="0">
      <alignment vertical="center"/>
    </xf>
    <xf numFmtId="0" fontId="15" fillId="10" borderId="47" applyAlignment="1" pivotButton="0" quotePrefix="0" xfId="0">
      <alignment vertical="center"/>
    </xf>
    <xf numFmtId="0" fontId="15" fillId="10" borderId="11" applyAlignment="1" pivotButton="0" quotePrefix="0" xfId="0">
      <alignment vertical="center"/>
    </xf>
    <xf numFmtId="1" fontId="15" fillId="10" borderId="50" applyAlignment="1" pivotButton="0" quotePrefix="0" xfId="0">
      <alignment horizontal="center" vertical="center"/>
    </xf>
    <xf numFmtId="0" fontId="15" fillId="13" borderId="11" applyAlignment="1" pivotButton="0" quotePrefix="0" xfId="0">
      <alignment vertical="center"/>
    </xf>
    <xf numFmtId="0" fontId="15" fillId="0" borderId="47" applyAlignment="1" pivotButton="0" quotePrefix="0" xfId="0">
      <alignment horizontal="center" vertical="center"/>
    </xf>
    <xf numFmtId="0" fontId="15" fillId="0" borderId="49" applyAlignment="1" pivotButton="0" quotePrefix="0" xfId="0">
      <alignment horizontal="center" vertical="center"/>
    </xf>
    <xf numFmtId="0" fontId="15" fillId="0" borderId="11" pivotButton="0" quotePrefix="0" xfId="0"/>
    <xf numFmtId="0" fontId="15" fillId="0" borderId="11" applyAlignment="1" pivotButton="0" quotePrefix="0" xfId="0">
      <alignment vertical="center" wrapText="1"/>
    </xf>
    <xf numFmtId="0" fontId="9" fillId="0" borderId="26" pivotButton="0" quotePrefix="0" xfId="0"/>
    <xf numFmtId="0" fontId="9" fillId="7" borderId="14" pivotButton="0" quotePrefix="0" xfId="0"/>
    <xf numFmtId="0" fontId="9" fillId="8" borderId="14" pivotButton="0" quotePrefix="0" xfId="0"/>
    <xf numFmtId="0" fontId="15" fillId="0" borderId="47" pivotButton="0" quotePrefix="0" xfId="0"/>
    <xf numFmtId="0" fontId="15" fillId="0" borderId="49" pivotButton="0" quotePrefix="0" xfId="0"/>
    <xf numFmtId="0" fontId="15" fillId="0" borderId="11" applyAlignment="1" pivotButton="0" quotePrefix="0" xfId="0">
      <alignment horizontal="left" vertical="center"/>
    </xf>
    <xf numFmtId="0" fontId="15" fillId="10" borderId="11" applyAlignment="1" pivotButton="0" quotePrefix="0" xfId="0">
      <alignment horizontal="left" vertical="center" wrapText="1"/>
    </xf>
    <xf numFmtId="0" fontId="9" fillId="0" borderId="26" applyAlignment="1" pivotButton="0" quotePrefix="0" xfId="0">
      <alignment vertical="center"/>
    </xf>
    <xf numFmtId="0" fontId="15" fillId="0" borderId="0" applyAlignment="1" pivotButton="0" quotePrefix="0" xfId="0">
      <alignment vertical="center"/>
    </xf>
    <xf numFmtId="0" fontId="15" fillId="0" borderId="0" applyAlignment="1" pivotButton="0" quotePrefix="0" xfId="0">
      <alignment horizontal="left" vertical="center"/>
    </xf>
    <xf numFmtId="0" fontId="9" fillId="2" borderId="47" applyAlignment="1" pivotButton="0" quotePrefix="0" xfId="0">
      <alignment horizontal="left" vertical="center"/>
    </xf>
    <xf numFmtId="0" fontId="9" fillId="2" borderId="49" applyAlignment="1" pivotButton="0" quotePrefix="0" xfId="0">
      <alignment horizontal="left" vertical="center"/>
    </xf>
    <xf numFmtId="0" fontId="15" fillId="13" borderId="50" applyAlignment="1" pivotButton="0" quotePrefix="0" xfId="0">
      <alignment vertical="center"/>
    </xf>
    <xf numFmtId="0" fontId="15" fillId="14" borderId="50" applyAlignment="1" pivotButton="0" quotePrefix="0" xfId="0">
      <alignment vertical="center"/>
    </xf>
    <xf numFmtId="0" fontId="15" fillId="10" borderId="50" applyAlignment="1" pivotButton="0" quotePrefix="0" xfId="0">
      <alignment vertical="center"/>
    </xf>
    <xf numFmtId="1" fontId="9" fillId="12" borderId="11" applyAlignment="1" pivotButton="0" quotePrefix="0" xfId="0">
      <alignment horizontal="center" vertical="center"/>
    </xf>
    <xf numFmtId="0" fontId="5" fillId="0" borderId="47" applyAlignment="1" pivotButton="0" quotePrefix="0" xfId="0">
      <alignment vertical="center"/>
    </xf>
    <xf numFmtId="0" fontId="5" fillId="0" borderId="49" applyAlignment="1" pivotButton="0" quotePrefix="0" xfId="0">
      <alignment vertical="center"/>
    </xf>
    <xf numFmtId="164" fontId="15" fillId="14" borderId="28" applyAlignment="1" pivotButton="0" quotePrefix="0" xfId="0">
      <alignment horizontal="center" vertical="center"/>
    </xf>
    <xf numFmtId="164" fontId="15" fillId="14" borderId="46" applyAlignment="1" pivotButton="0" quotePrefix="0" xfId="0">
      <alignment horizontal="center" vertical="center"/>
    </xf>
    <xf numFmtId="164" fontId="9" fillId="12" borderId="47" applyAlignment="1" pivotButton="0" quotePrefix="0" xfId="0">
      <alignment horizontal="center" vertical="center"/>
    </xf>
    <xf numFmtId="0" fontId="15" fillId="0" borderId="51" applyAlignment="1" pivotButton="0" quotePrefix="0" xfId="0">
      <alignment vertical="center"/>
    </xf>
    <xf numFmtId="0" fontId="15" fillId="0" borderId="52" applyAlignment="1" pivotButton="0" quotePrefix="0" xfId="0">
      <alignment vertical="center"/>
    </xf>
    <xf numFmtId="0" fontId="15" fillId="10" borderId="52" pivotButton="0" quotePrefix="0" xfId="0"/>
    <xf numFmtId="0" fontId="15" fillId="10" borderId="52" applyAlignment="1" pivotButton="0" quotePrefix="0" xfId="0">
      <alignment vertical="center" wrapText="1"/>
    </xf>
    <xf numFmtId="1" fontId="15" fillId="0" borderId="53" applyAlignment="1" pivotButton="0" quotePrefix="0" xfId="0">
      <alignment horizontal="center" vertical="center"/>
    </xf>
    <xf numFmtId="0" fontId="15" fillId="0" borderId="53" applyAlignment="1" pivotButton="0" quotePrefix="0" xfId="0">
      <alignment vertical="center"/>
    </xf>
    <xf numFmtId="0" fontId="15" fillId="0" borderId="51" applyAlignment="1" pivotButton="0" quotePrefix="0" xfId="0">
      <alignment horizontal="left" vertical="center"/>
    </xf>
    <xf numFmtId="0" fontId="15" fillId="0" borderId="54" applyAlignment="1" pivotButton="0" quotePrefix="0" xfId="0">
      <alignment horizontal="left" vertical="center"/>
    </xf>
    <xf numFmtId="0" fontId="9" fillId="0" borderId="0" applyAlignment="1" pivotButton="0" quotePrefix="0" xfId="0">
      <alignment horizontal="center" vertical="center"/>
    </xf>
    <xf numFmtId="1" fontId="9" fillId="0" borderId="0" applyAlignment="1" pivotButton="0" quotePrefix="0" xfId="0">
      <alignment horizontal="center" vertical="center"/>
    </xf>
    <xf numFmtId="0" fontId="9" fillId="0" borderId="0" applyAlignment="1" pivotButton="0" quotePrefix="0" xfId="0">
      <alignment horizontal="left" vertical="center"/>
    </xf>
    <xf numFmtId="0" fontId="9" fillId="7" borderId="11" applyAlignment="1" pivotButton="0" quotePrefix="0" xfId="0">
      <alignment vertical="center"/>
    </xf>
    <xf numFmtId="0" fontId="9" fillId="8" borderId="11" applyAlignment="1" pivotButton="0" quotePrefix="0" xfId="0">
      <alignment vertical="center"/>
    </xf>
    <xf numFmtId="0" fontId="12" fillId="0" borderId="0" applyAlignment="1" pivotButton="0" quotePrefix="0" xfId="0">
      <alignment horizontal="center" vertical="center"/>
    </xf>
    <xf numFmtId="0" fontId="9" fillId="0" borderId="0" applyAlignment="1" pivotButton="0" quotePrefix="0" xfId="0">
      <alignment wrapText="1"/>
    </xf>
    <xf numFmtId="0" fontId="16" fillId="15" borderId="55" applyAlignment="1" pivotButton="0" quotePrefix="0" xfId="0">
      <alignment horizontal="center" wrapText="1"/>
    </xf>
    <xf numFmtId="0" fontId="7" fillId="0" borderId="56" pivotButton="0" quotePrefix="0" xfId="0"/>
    <xf numFmtId="0" fontId="16" fillId="16" borderId="55" applyAlignment="1" pivotButton="0" quotePrefix="0" xfId="0">
      <alignment horizontal="center" wrapText="1"/>
    </xf>
    <xf numFmtId="0" fontId="16" fillId="14" borderId="55" applyAlignment="1" pivotButton="0" quotePrefix="0" xfId="0">
      <alignment horizontal="center"/>
    </xf>
    <xf numFmtId="0" fontId="17" fillId="15" borderId="14" applyAlignment="1" pivotButton="0" quotePrefix="0" xfId="0">
      <alignment wrapText="1"/>
    </xf>
    <xf numFmtId="0" fontId="9" fillId="15" borderId="14" applyAlignment="1" pivotButton="0" quotePrefix="0" xfId="0">
      <alignment wrapText="1"/>
    </xf>
    <xf numFmtId="0" fontId="9" fillId="16" borderId="14" applyAlignment="1" pivotButton="0" quotePrefix="0" xfId="0">
      <alignment wrapText="1"/>
    </xf>
    <xf numFmtId="0" fontId="9" fillId="14" borderId="14" applyAlignment="1" pivotButton="0" quotePrefix="0" xfId="0">
      <alignment wrapText="1"/>
    </xf>
    <xf numFmtId="0" fontId="9" fillId="17" borderId="14" pivotButton="0" quotePrefix="0" xfId="0"/>
    <xf numFmtId="0" fontId="9" fillId="17" borderId="14" applyAlignment="1" pivotButton="0" quotePrefix="0" xfId="0">
      <alignment wrapText="1"/>
    </xf>
    <xf numFmtId="0" fontId="2" fillId="2" borderId="11" pivotButton="0" quotePrefix="0" xfId="0"/>
    <xf numFmtId="0" fontId="3" fillId="2" borderId="11" pivotButton="0" quotePrefix="0" xfId="0"/>
    <xf numFmtId="0" fontId="3" fillId="2" borderId="11" pivotButton="0" quotePrefix="0" xfId="0"/>
    <xf numFmtId="0" fontId="3" fillId="2" borderId="11" applyAlignment="1" pivotButton="0" quotePrefix="0" xfId="0">
      <alignment wrapText="1"/>
    </xf>
    <xf numFmtId="0" fontId="2" fillId="0" borderId="57" pivotButton="0" quotePrefix="0" xfId="0"/>
    <xf numFmtId="0" fontId="18" fillId="2" borderId="57" pivotButton="0" quotePrefix="0" xfId="0"/>
    <xf numFmtId="0" fontId="2" fillId="0" borderId="57" pivotButton="0" quotePrefix="1" xfId="0"/>
    <xf numFmtId="0" fontId="2" fillId="0" borderId="57" applyAlignment="1" pivotButton="0" quotePrefix="1" xfId="0">
      <alignment wrapText="1"/>
    </xf>
    <xf numFmtId="0" fontId="2" fillId="0" borderId="4" pivotButton="0" quotePrefix="1" xfId="0"/>
    <xf numFmtId="0" fontId="2" fillId="0" borderId="4" applyAlignment="1" pivotButton="0" quotePrefix="1" xfId="0">
      <alignment wrapText="1"/>
    </xf>
    <xf numFmtId="0" fontId="18" fillId="2" borderId="4" pivotButton="0" quotePrefix="0" xfId="0"/>
    <xf numFmtId="0" fontId="4" fillId="0" borderId="4" applyAlignment="1" pivotButton="0" quotePrefix="0" xfId="0">
      <alignment wrapText="1"/>
    </xf>
    <xf numFmtId="0" fontId="2" fillId="0" borderId="4" applyAlignment="1" pivotButton="0" quotePrefix="0" xfId="0">
      <alignment wrapText="1"/>
    </xf>
    <xf numFmtId="0" fontId="8" fillId="0" borderId="58" applyAlignment="1" pivotButton="0" quotePrefix="0" xfId="0">
      <alignment vertical="center"/>
    </xf>
    <xf numFmtId="0" fontId="8" fillId="0" borderId="59" applyAlignment="1" pivotButton="0" quotePrefix="0" xfId="0">
      <alignment vertical="center"/>
    </xf>
    <xf numFmtId="0" fontId="5" fillId="0" borderId="0" pivotButton="0" quotePrefix="0" xfId="0"/>
    <xf numFmtId="0" fontId="5" fillId="0" borderId="60" pivotButton="0" quotePrefix="0" xfId="0"/>
    <xf numFmtId="0" fontId="8" fillId="0" borderId="26" applyAlignment="1" pivotButton="0" quotePrefix="0" xfId="0">
      <alignment vertical="center"/>
    </xf>
    <xf numFmtId="0" fontId="5" fillId="0" borderId="58" applyAlignment="1" pivotButton="0" quotePrefix="0" xfId="0">
      <alignment vertical="center"/>
    </xf>
    <xf numFmtId="0" fontId="8" fillId="0" borderId="61" applyAlignment="1" pivotButton="0" quotePrefix="0" xfId="0">
      <alignment vertical="center"/>
    </xf>
    <xf numFmtId="0" fontId="5" fillId="0" borderId="60" applyAlignment="1" pivotButton="0" quotePrefix="0" xfId="0">
      <alignment vertical="center"/>
    </xf>
    <xf numFmtId="0" fontId="5" fillId="0" borderId="62" applyAlignment="1" pivotButton="0" quotePrefix="0" xfId="0">
      <alignment vertical="center"/>
    </xf>
    <xf numFmtId="0" fontId="8" fillId="0" borderId="62" applyAlignment="1" pivotButton="0" quotePrefix="0" xfId="0">
      <alignment vertical="center"/>
    </xf>
    <xf numFmtId="0" fontId="5" fillId="0" borderId="58" applyAlignment="1" pivotButton="0" quotePrefix="0" xfId="0">
      <alignment horizontal="left" vertical="center"/>
    </xf>
    <xf numFmtId="0" fontId="5" fillId="0" borderId="59" applyAlignment="1" pivotButton="0" quotePrefix="0" xfId="0">
      <alignment horizontal="left" vertical="center"/>
    </xf>
    <xf numFmtId="0" fontId="5" fillId="0" borderId="60" applyAlignment="1" pivotButton="0" quotePrefix="0" xfId="0">
      <alignment horizontal="left" vertical="center"/>
    </xf>
    <xf numFmtId="165" fontId="5" fillId="0" borderId="0" pivotButton="0" quotePrefix="0" xfId="0"/>
    <xf numFmtId="165" fontId="5" fillId="0" borderId="63" pivotButton="0" quotePrefix="0" xfId="0"/>
    <xf numFmtId="165" fontId="5" fillId="0" borderId="64" pivotButton="0" quotePrefix="0" xfId="0"/>
    <xf numFmtId="1" fontId="5" fillId="0" borderId="0" pivotButton="0" quotePrefix="0" xfId="0"/>
    <xf numFmtId="1" fontId="19" fillId="0" borderId="0" pivotButton="0" quotePrefix="0" xfId="0"/>
    <xf numFmtId="1" fontId="5" fillId="0" borderId="63" pivotButton="0" quotePrefix="0" xfId="0"/>
    <xf numFmtId="1" fontId="5" fillId="0" borderId="64" pivotButton="0" quotePrefix="0" xfId="0"/>
    <xf numFmtId="0" fontId="20" fillId="0" borderId="65" applyAlignment="1" pivotButton="0" quotePrefix="0" xfId="0">
      <alignment horizontal="left" vertical="top" wrapText="1"/>
    </xf>
    <xf numFmtId="0" fontId="7" fillId="0" borderId="65" pivotButton="0" quotePrefix="0" xfId="0"/>
    <xf numFmtId="0" fontId="21" fillId="0" borderId="0" applyAlignment="1" pivotButton="0" quotePrefix="0" xfId="0">
      <alignment horizontal="center"/>
    </xf>
    <xf numFmtId="0" fontId="0" fillId="0" borderId="0" pivotButton="0" quotePrefix="0" xfId="0"/>
    <xf numFmtId="0" fontId="6" fillId="5" borderId="70" applyAlignment="1" pivotButton="0" quotePrefix="0" xfId="0">
      <alignment horizontal="center" vertical="center"/>
    </xf>
    <xf numFmtId="0" fontId="0" fillId="0" borderId="71" pivotButton="0" quotePrefix="0" xfId="0"/>
    <xf numFmtId="0" fontId="9" fillId="6" borderId="72" applyAlignment="1" pivotButton="0" quotePrefix="0" xfId="0">
      <alignment horizontal="center" vertical="center" wrapText="1"/>
    </xf>
    <xf numFmtId="0" fontId="6" fillId="7" borderId="72" applyAlignment="1" pivotButton="0" quotePrefix="0" xfId="0">
      <alignment horizontal="center" vertical="center"/>
    </xf>
    <xf numFmtId="0" fontId="0" fillId="0" borderId="45" pivotButton="0" quotePrefix="0" xfId="0"/>
    <xf numFmtId="0" fontId="6" fillId="8" borderId="72" applyAlignment="1" pivotButton="0" quotePrefix="0" xfId="0">
      <alignment horizontal="center" vertical="center"/>
    </xf>
    <xf numFmtId="0" fontId="11" fillId="9" borderId="11" applyAlignment="1" pivotButton="0" quotePrefix="0" xfId="0">
      <alignment horizontal="center" vertical="center"/>
    </xf>
    <xf numFmtId="0" fontId="0" fillId="0" borderId="26" pivotButton="0" quotePrefix="0" xfId="0"/>
    <xf numFmtId="0" fontId="0" fillId="0" borderId="27" pivotButton="0" quotePrefix="0" xfId="0"/>
    <xf numFmtId="0" fontId="0" fillId="0" borderId="31" pivotButton="0" quotePrefix="0" xfId="0"/>
    <xf numFmtId="0" fontId="13" fillId="7" borderId="66" applyAlignment="1" pivotButton="0" quotePrefix="0" xfId="0">
      <alignment horizontal="center" vertical="center"/>
    </xf>
    <xf numFmtId="0" fontId="0" fillId="0" borderId="35" pivotButton="0" quotePrefix="0" xfId="0"/>
    <xf numFmtId="0" fontId="0" fillId="0" borderId="36" pivotButton="0" quotePrefix="0" xfId="0"/>
    <xf numFmtId="0" fontId="13" fillId="8" borderId="66" applyAlignment="1" pivotButton="0" quotePrefix="0" xfId="0">
      <alignment horizontal="center" vertical="center"/>
    </xf>
    <xf numFmtId="0" fontId="9" fillId="7" borderId="11" applyAlignment="1" pivotButton="0" quotePrefix="0" xfId="0">
      <alignment horizontal="center" vertical="center"/>
    </xf>
    <xf numFmtId="0" fontId="9" fillId="8" borderId="11" applyAlignment="1" pivotButton="0" quotePrefix="0" xfId="0">
      <alignment horizontal="center" vertical="center"/>
    </xf>
    <xf numFmtId="0" fontId="16" fillId="15" borderId="14" applyAlignment="1" pivotButton="0" quotePrefix="0" xfId="0">
      <alignment horizontal="center" wrapText="1"/>
    </xf>
    <xf numFmtId="0" fontId="16" fillId="16" borderId="14" applyAlignment="1" pivotButton="0" quotePrefix="0" xfId="0">
      <alignment horizontal="center" wrapText="1"/>
    </xf>
    <xf numFmtId="0" fontId="16" fillId="14" borderId="14" applyAlignment="1" pivotButton="0" quotePrefix="0" xfId="0">
      <alignment horizontal="center"/>
    </xf>
    <xf numFmtId="0" fontId="0" fillId="0" borderId="65" pivotButton="0" quotePrefix="0" xfId="0"/>
  </cellXfs>
  <cellStyles count="1">
    <cellStyle name="Normal" xfId="0" builtinId="0"/>
  </cellStyles>
  <dxfs count="3">
    <dxf>
      <font/>
      <fill>
        <patternFill patternType="solid">
          <fgColor rgb="FFF1AA83"/>
          <bgColor rgb="FFF1AA83"/>
        </patternFill>
      </fill>
      <border/>
    </dxf>
    <dxf>
      <font>
        <color theme="0"/>
      </font>
      <fill>
        <patternFill patternType="solid">
          <fgColor rgb="FFFF0000"/>
          <bgColor rgb="FFFF0000"/>
        </patternFill>
      </fill>
      <border/>
    </dxf>
    <dxf>
      <font>
        <color rgb="FF9C0006"/>
      </font>
      <fill>
        <patternFill patternType="solid">
          <fgColor rgb="FFFFC7CE"/>
          <bgColor rgb="FFFFC7C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externalLink" Target="/xl/externalLinks/externalLink1.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H123" authorId="0" shapeId="0">
      <text>
        <t>======
ID#AAABvLQt9v4
Martin Heller    (2026-02-04 23:23:56)
LCA data goes directly to orange juice</t>
      </text>
    </comment>
    <comment ref="H129" authorId="0" shapeId="0">
      <text>
        <t>======
ID#AAABvLQt9wE
Martin Heller    (2026-02-04 23:23:56)
have values for lemon juice directly</t>
      </text>
    </comment>
    <comment ref="H299" authorId="0" shapeId="0">
      <text>
        <t>======
ID#AAABvLQt9wM
Heller, Martin    (2026-02-04 23:23:56)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text>
    </comment>
    <comment ref="H300" authorId="0" shapeId="0">
      <text>
        <t>======
ID#AAABvLQt9v0
Heller, Martin    (2026-02-04 23:23:56)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text>
    </comment>
    <comment ref="H301" authorId="0" shapeId="0">
      <text>
        <t>======
ID#AAABvLQt9wA
Heller, Martin    (2026-02-04 23:23:56)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text>
    </comment>
    <comment ref="G330" authorId="0" shapeId="0">
      <text>
        <t>======
ID#AAABvLQt9wI
Martin Heller    (2026-02-04 23:23:56)
these should remain zero</t>
      </text>
    </comment>
    <comment ref="H355" authorId="0" shapeId="0">
      <text>
        <t>======
ID#AAABvLQt9v8
Martin Heller    (2026-02-04 23:23:56)
using factor difference between roasted coffe bean and instant coffee powder as a proxy for difference between tea and instant tea.</t>
      </text>
    </comment>
  </commentList>
</comments>
</file>

<file path=xl/externalLinks/_rels/externalLink1.xml.rels><Relationships xmlns="http://schemas.openxmlformats.org/package/2006/relationships"><Relationship Type="http://schemas.openxmlformats.org/officeDocument/2006/relationships/externalLinkPath" Target="https://uri0-my.sharepoint.com/Users/frankiefontaine/Downloads/dataFIELDv1.0%20(1).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ESCRIPTION"/>
      <sheetName val="FCID linkages"/>
      <sheetName val="literature entries"/>
      <sheetName val="Pivot Table_GHG"/>
      <sheetName val="Pivot Table_CED"/>
      <sheetName val="PROXY def'ns"/>
      <sheetName val="MassConv"/>
    </sheetNames>
    <sheetDataSet>
      <sheetData sheetId="0" refreshError="1"/>
      <sheetData sheetId="1" refreshError="1"/>
      <sheetData sheetId="2"/>
      <sheetData sheetId="3"/>
      <sheetData sheetId="4"/>
      <sheetData sheetId="5" refreshError="1"/>
      <sheetData sheetId="6"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325"/>
  <sheetViews>
    <sheetView workbookViewId="0">
      <selection activeCell="A1" sqref="A1"/>
    </sheetView>
  </sheetViews>
  <sheetFormatPr baseColWidth="8" defaultColWidth="12.63" defaultRowHeight="15" customHeight="1"/>
  <cols>
    <col width="27.13" customWidth="1" style="201" min="1" max="1"/>
    <col width="22.88" customWidth="1" style="201" min="2" max="2"/>
    <col width="8.880000000000001" customWidth="1" style="201" min="3" max="26"/>
  </cols>
  <sheetData>
    <row r="1">
      <c r="A1" s="1" t="inlineStr">
        <is>
          <t>Name</t>
        </is>
      </c>
      <c r="B1" s="1" t="inlineStr">
        <is>
          <t>Catergory</t>
        </is>
      </c>
      <c r="C1" s="1" t="inlineStr">
        <is>
          <t>Source</t>
        </is>
      </c>
      <c r="D1" t="inlineStr">
        <is>
          <t>food_code</t>
        </is>
      </c>
    </row>
    <row r="2">
      <c r="A2" s="2" t="inlineStr">
        <is>
          <t>BEER IN CAN</t>
        </is>
      </c>
      <c r="B2" s="3" t="inlineStr">
        <is>
          <t>BEER</t>
        </is>
      </c>
      <c r="D2" t="n">
        <v>92803000</v>
      </c>
    </row>
    <row r="3">
      <c r="A3" s="4" t="inlineStr">
        <is>
          <t>BEER IN GLASS</t>
        </is>
      </c>
      <c r="B3" s="5" t="inlineStr">
        <is>
          <t>BEER</t>
        </is>
      </c>
      <c r="D3" t="n">
        <v>92803000</v>
      </c>
    </row>
    <row r="4">
      <c r="A4" s="4" t="inlineStr">
        <is>
          <t>BEER MODULAR CAN</t>
        </is>
      </c>
      <c r="B4" s="5" t="inlineStr">
        <is>
          <t>BEER</t>
        </is>
      </c>
      <c r="D4" t="n">
        <v>92803000</v>
      </c>
    </row>
    <row r="5">
      <c r="A5" s="4" t="inlineStr">
        <is>
          <t>CHOCOLATE OR CREAM FILLED COOKIES**</t>
        </is>
      </c>
      <c r="B5" s="5" t="inlineStr">
        <is>
          <t>BISCUITS</t>
        </is>
      </c>
      <c r="D5" t="n">
        <v>53108200</v>
      </c>
    </row>
    <row r="6">
      <c r="A6" s="4" t="inlineStr">
        <is>
          <t>SIMPLE COOKIES**</t>
        </is>
      </c>
      <c r="B6" s="5" t="inlineStr">
        <is>
          <t>BISCUITS</t>
        </is>
      </c>
      <c r="D6" t="n">
        <v>53241500</v>
      </c>
    </row>
    <row r="7">
      <c r="A7" s="4" t="inlineStr">
        <is>
          <t>MINERAL WATER*</t>
        </is>
      </c>
      <c r="B7" s="5" t="inlineStr">
        <is>
          <t>BOTTLED WATER* (mineral water)</t>
        </is>
      </c>
      <c r="D7" t="n">
        <v>11740312</v>
      </c>
    </row>
    <row r="8">
      <c r="A8" s="4" t="inlineStr">
        <is>
          <t>BREAD MULTICEREAL**</t>
        </is>
      </c>
      <c r="B8" s="5" t="inlineStr">
        <is>
          <t>BREAD</t>
        </is>
      </c>
      <c r="D8" t="n">
        <v>52405010</v>
      </c>
    </row>
    <row r="9">
      <c r="A9" s="4" t="inlineStr">
        <is>
          <t>BREAD PLAIN**</t>
        </is>
      </c>
      <c r="B9" s="5" t="inlineStr">
        <is>
          <t>BREAD</t>
        </is>
      </c>
      <c r="D9" t="n">
        <v>52405010</v>
      </c>
    </row>
    <row r="10">
      <c r="A10" s="4" t="inlineStr">
        <is>
          <t>BREAD WHOLE**</t>
        </is>
      </c>
      <c r="B10" s="5" t="inlineStr">
        <is>
          <t>BREAD</t>
        </is>
      </c>
      <c r="D10" t="n">
        <v>14640006</v>
      </c>
    </row>
    <row r="11">
      <c r="A11" s="4" t="inlineStr">
        <is>
          <t>BREAD FROZEN (F)*</t>
        </is>
      </c>
      <c r="B11" s="5" t="inlineStr">
        <is>
          <t>BREAD FROZEN* (rolls frozen)</t>
        </is>
      </c>
      <c r="D11" t="n">
        <v>52405010</v>
      </c>
    </row>
    <row r="12">
      <c r="A12" s="4" t="inlineStr">
        <is>
          <t>CORNFLAKES*</t>
        </is>
      </c>
      <c r="B12" s="5" t="inlineStr">
        <is>
          <t>BREAKFAST CEREALS* (cornflakes)</t>
        </is>
      </c>
    </row>
    <row r="13">
      <c r="A13" s="4" t="inlineStr">
        <is>
          <t>DARK CHOCOLATE</t>
        </is>
      </c>
      <c r="B13" s="5" t="inlineStr">
        <is>
          <t>CHOCOLATE</t>
        </is>
      </c>
      <c r="D13" t="n">
        <v>53108200</v>
      </c>
    </row>
    <row r="14">
      <c r="A14" s="4" t="inlineStr">
        <is>
          <t>MILK CHOCOLATE</t>
        </is>
      </c>
      <c r="B14" s="5" t="inlineStr">
        <is>
          <t>CHOCOLATE</t>
        </is>
      </c>
      <c r="D14" t="n">
        <v>53108200</v>
      </c>
    </row>
    <row r="15">
      <c r="A15" s="4" t="inlineStr">
        <is>
          <t>COFFEE GROUND</t>
        </is>
      </c>
      <c r="B15" s="5" t="inlineStr">
        <is>
          <t>COFFEE GROUND &amp; PARCHMENT</t>
        </is>
      </c>
      <c r="D15" t="n">
        <v>53610100</v>
      </c>
    </row>
    <row r="16">
      <c r="A16" s="4" t="inlineStr">
        <is>
          <t>COFFEE PARCHMENT</t>
        </is>
      </c>
      <c r="B16" s="5" t="inlineStr">
        <is>
          <t>COFFEE GROUND &amp; PARCHMENT</t>
        </is>
      </c>
      <c r="D16" t="n">
        <v>53610100</v>
      </c>
    </row>
    <row r="17">
      <c r="A17" s="4" t="inlineStr">
        <is>
          <t>COFFEE DRIP FILTERED (L)</t>
        </is>
      </c>
      <c r="B17" s="5" t="inlineStr">
        <is>
          <t>COFFEE LIQUID</t>
        </is>
      </c>
      <c r="D17" t="n">
        <v>53610100</v>
      </c>
    </row>
    <row r="18">
      <c r="A18" s="4" t="inlineStr">
        <is>
          <t>COFFEE SOLUBLE POWDER (L)</t>
        </is>
      </c>
      <c r="B18" s="5" t="inlineStr">
        <is>
          <t>COFFEE LIQUID</t>
        </is>
      </c>
      <c r="D18" t="n">
        <v>12210420</v>
      </c>
    </row>
    <row r="19">
      <c r="A19" s="4" t="inlineStr">
        <is>
          <t>ESPRESSO (L)</t>
        </is>
      </c>
      <c r="B19" s="5" t="inlineStr">
        <is>
          <t>COFFEE LIQUID</t>
        </is>
      </c>
      <c r="D19" t="n">
        <v>92101610</v>
      </c>
    </row>
    <row r="20">
      <c r="A20" s="4" t="inlineStr">
        <is>
          <t>FLAVORED CRACKERS**</t>
        </is>
      </c>
      <c r="B20" s="5" t="inlineStr">
        <is>
          <t>CRACKERS</t>
        </is>
      </c>
      <c r="D20" t="n">
        <v>54326000</v>
      </c>
    </row>
    <row r="21" ht="15.75" customHeight="1" s="201">
      <c r="A21" s="4" t="inlineStr">
        <is>
          <t>PLAIN CRACKERS**</t>
        </is>
      </c>
      <c r="B21" s="5" t="inlineStr">
        <is>
          <t>CRACKERS</t>
        </is>
      </c>
      <c r="D21" t="n">
        <v>54326000</v>
      </c>
    </row>
    <row r="22" ht="15.75" customHeight="1" s="201">
      <c r="A22" s="4" t="inlineStr">
        <is>
          <t>WHOLEGRAIN CRACKERS**</t>
        </is>
      </c>
      <c r="B22" s="5" t="inlineStr">
        <is>
          <t>CRACKERS</t>
        </is>
      </c>
      <c r="D22" t="n">
        <v>54326000</v>
      </c>
    </row>
    <row r="23" ht="15.75" customHeight="1" s="201">
      <c r="A23" s="4" t="inlineStr">
        <is>
          <t>CRISPBREAD**</t>
        </is>
      </c>
      <c r="B23" s="5" t="inlineStr">
        <is>
          <t>CRISPBREAD**</t>
        </is>
      </c>
    </row>
    <row r="24" ht="15.75" customHeight="1" s="201">
      <c r="A24" s="4" t="inlineStr">
        <is>
          <t>KETCHUP</t>
        </is>
      </c>
      <c r="B24" s="5" t="inlineStr">
        <is>
          <t>DRESSING</t>
        </is>
      </c>
      <c r="D24" t="n">
        <v>74401010</v>
      </c>
    </row>
    <row r="25" ht="15.75" customHeight="1" s="201">
      <c r="A25" s="4" t="inlineStr">
        <is>
          <t>MAYONNAISE</t>
        </is>
      </c>
      <c r="B25" s="5" t="inlineStr">
        <is>
          <t>DRESSING</t>
        </is>
      </c>
      <c r="D25" t="n">
        <v>75141000</v>
      </c>
    </row>
    <row r="26" ht="15.75" customHeight="1" s="201">
      <c r="A26" s="4" t="inlineStr">
        <is>
          <t>TEMPE'</t>
        </is>
      </c>
      <c r="B26" s="5" t="inlineStr">
        <is>
          <t>DRESSING</t>
        </is>
      </c>
    </row>
    <row r="27" ht="15.75" customHeight="1" s="201">
      <c r="A27" s="4" t="inlineStr">
        <is>
          <t>EGG PASTA*</t>
        </is>
      </c>
      <c r="B27" s="5" t="inlineStr">
        <is>
          <t>EGG PASTA*</t>
        </is>
      </c>
      <c r="D27" t="n">
        <v>58147510</v>
      </c>
    </row>
    <row r="28" ht="15.75" customHeight="1" s="201">
      <c r="A28" s="4" t="inlineStr">
        <is>
          <t>RASPBERRIES (F)*</t>
        </is>
      </c>
      <c r="B28" s="5" t="inlineStr">
        <is>
          <t>FRUIT FROZEN* (raspberry)</t>
        </is>
      </c>
      <c r="D28" t="n">
        <v>63219000</v>
      </c>
    </row>
    <row r="29" ht="15.75" customHeight="1" s="201">
      <c r="A29" s="4" t="inlineStr">
        <is>
          <t>APPLE JUICE (I)</t>
        </is>
      </c>
      <c r="B29" s="5" t="inlineStr">
        <is>
          <t>FRUIT JUICE (imported ingredients)</t>
        </is>
      </c>
      <c r="D29" t="n">
        <v>64100110</v>
      </c>
    </row>
    <row r="30" ht="15.75" customHeight="1" s="201">
      <c r="A30" s="4" t="inlineStr">
        <is>
          <t>BLUEBERRY JUICE (I)</t>
        </is>
      </c>
      <c r="B30" s="5" t="inlineStr">
        <is>
          <t>FRUIT JUICE (imported ingredients)</t>
        </is>
      </c>
      <c r="D30" t="n">
        <v>64100110</v>
      </c>
    </row>
    <row r="31" ht="15.75" customHeight="1" s="201">
      <c r="A31" s="4" t="inlineStr">
        <is>
          <t>CRANBERRY JUICE (I)</t>
        </is>
      </c>
      <c r="B31" s="5" t="inlineStr">
        <is>
          <t>FRUIT JUICE (imported ingredients)</t>
        </is>
      </c>
      <c r="D31" t="n">
        <v>64100220</v>
      </c>
    </row>
    <row r="32" ht="15.75" customHeight="1" s="201">
      <c r="A32" s="4" t="inlineStr">
        <is>
          <t>FIG JUICE (I)</t>
        </is>
      </c>
      <c r="B32" s="5" t="inlineStr">
        <is>
          <t>FRUIT JUICE (imported ingredients)</t>
        </is>
      </c>
      <c r="D32" t="n">
        <v>64100110</v>
      </c>
    </row>
    <row r="33" ht="15.75" customHeight="1" s="201">
      <c r="A33" s="4" t="inlineStr">
        <is>
          <t>KIWI JUICE (I)</t>
        </is>
      </c>
      <c r="B33" s="5" t="inlineStr">
        <is>
          <t>FRUIT JUICE (imported ingredients)</t>
        </is>
      </c>
      <c r="D33" t="n">
        <v>64100110</v>
      </c>
    </row>
    <row r="34" ht="15.75" customHeight="1" s="201">
      <c r="A34" s="4" t="inlineStr">
        <is>
          <t>MANGO JUICE (I)</t>
        </is>
      </c>
      <c r="B34" s="5" t="inlineStr">
        <is>
          <t>FRUIT JUICE (imported ingredients)</t>
        </is>
      </c>
      <c r="D34" t="n">
        <v>64100110</v>
      </c>
    </row>
    <row r="35" ht="15.75" customHeight="1" s="201">
      <c r="A35" s="4" t="inlineStr">
        <is>
          <t>PINEAPPLE JUICE (I)</t>
        </is>
      </c>
      <c r="B35" s="5" t="inlineStr">
        <is>
          <t>FRUIT JUICE (imported ingredients)</t>
        </is>
      </c>
      <c r="D35" t="n">
        <v>64100110</v>
      </c>
    </row>
    <row r="36" ht="15.75" customHeight="1" s="201">
      <c r="A36" s="4" t="inlineStr">
        <is>
          <t>STRAWBERRY JUICE (I)</t>
        </is>
      </c>
      <c r="B36" s="5" t="inlineStr">
        <is>
          <t>FRUIT JUICE (imported ingredients)</t>
        </is>
      </c>
      <c r="D36" t="n">
        <v>64100110</v>
      </c>
    </row>
    <row r="37" ht="15.75" customHeight="1" s="201">
      <c r="A37" s="4" t="inlineStr">
        <is>
          <t>ORANGE JUICE</t>
        </is>
      </c>
      <c r="B37" s="5" t="inlineStr">
        <is>
          <t>FRUIT JUICE LOCAL</t>
        </is>
      </c>
      <c r="D37" t="n">
        <v>92550350</v>
      </c>
    </row>
    <row r="38" ht="15.75" customHeight="1" s="201">
      <c r="A38" s="4" t="inlineStr">
        <is>
          <t>PEAR JUICE</t>
        </is>
      </c>
      <c r="B38" s="5" t="inlineStr">
        <is>
          <t>FRUIT JUICE LOCAL</t>
        </is>
      </c>
      <c r="D38" t="n">
        <v>64100110</v>
      </c>
    </row>
    <row r="39" ht="15.75" customHeight="1" s="201">
      <c r="A39" s="4" t="inlineStr">
        <is>
          <t>BUCKWHEAT FLOUR</t>
        </is>
      </c>
      <c r="B39" s="5" t="inlineStr">
        <is>
          <t>GRAIN FLOUR</t>
        </is>
      </c>
      <c r="D39" t="n">
        <v>52215350</v>
      </c>
    </row>
    <row r="40" ht="15.75" customHeight="1" s="201">
      <c r="A40" s="4" t="inlineStr">
        <is>
          <t>DURUM WHEAT</t>
        </is>
      </c>
      <c r="B40" s="5" t="inlineStr">
        <is>
          <t>GRAIN FLOUR</t>
        </is>
      </c>
      <c r="D40" t="n">
        <v>54338000</v>
      </c>
    </row>
    <row r="41" ht="15.75" customHeight="1" s="201">
      <c r="A41" s="4" t="inlineStr">
        <is>
          <t>GRAHAM FLOUR</t>
        </is>
      </c>
      <c r="B41" s="5" t="inlineStr">
        <is>
          <t>GRAIN FLOUR</t>
        </is>
      </c>
      <c r="D41" t="n">
        <v>52215350</v>
      </c>
    </row>
    <row r="42" ht="15.75" customHeight="1" s="201">
      <c r="A42" s="4" t="inlineStr">
        <is>
          <t>MAIZE FLOUR</t>
        </is>
      </c>
      <c r="B42" s="5" t="inlineStr">
        <is>
          <t>GRAIN FLOUR</t>
        </is>
      </c>
      <c r="D42" t="n">
        <v>52215350</v>
      </c>
    </row>
    <row r="43" ht="15.75" customHeight="1" s="201">
      <c r="A43" s="4" t="inlineStr">
        <is>
          <t>MILLET FLOUR</t>
        </is>
      </c>
      <c r="B43" s="5" t="inlineStr">
        <is>
          <t>GRAIN FLOUR</t>
        </is>
      </c>
      <c r="D43" t="n">
        <v>52215350</v>
      </c>
    </row>
    <row r="44" ht="15.75" customHeight="1" s="201">
      <c r="A44" s="4" t="inlineStr">
        <is>
          <t>OAT MEAL</t>
        </is>
      </c>
      <c r="B44" s="5" t="inlineStr">
        <is>
          <t>GRAIN FLOUR</t>
        </is>
      </c>
      <c r="D44" t="n">
        <v>28110510</v>
      </c>
    </row>
    <row r="45" ht="15.75" customHeight="1" s="201">
      <c r="A45" s="4" t="inlineStr">
        <is>
          <t>SORGHUM FLOUR</t>
        </is>
      </c>
      <c r="B45" s="5" t="inlineStr">
        <is>
          <t>GRAIN FLOUR</t>
        </is>
      </c>
      <c r="D45" t="n">
        <v>52215350</v>
      </c>
    </row>
    <row r="46" ht="15.75" customHeight="1" s="201">
      <c r="A46" s="4" t="inlineStr">
        <is>
          <t>WHEAT PLAIN FLOUR</t>
        </is>
      </c>
      <c r="B46" s="5" t="inlineStr">
        <is>
          <t>GRAIN FLOUR</t>
        </is>
      </c>
      <c r="D46" t="n">
        <v>54338000</v>
      </c>
    </row>
    <row r="47" ht="15.75" customHeight="1" s="201">
      <c r="A47" s="4" t="inlineStr">
        <is>
          <t>WHOLE WHEAT FLOUR</t>
        </is>
      </c>
      <c r="B47" s="5" t="inlineStr">
        <is>
          <t>GRAIN FLOUR</t>
        </is>
      </c>
      <c r="D47" t="n">
        <v>54204030</v>
      </c>
    </row>
    <row r="48" ht="15.75" customHeight="1" s="201">
      <c r="A48" s="4" t="inlineStr">
        <is>
          <t>CHOCOLATE</t>
        </is>
      </c>
      <c r="B48" s="5" t="inlineStr">
        <is>
          <t>ICE CREAM</t>
        </is>
      </c>
      <c r="D48" t="n">
        <v>53108200</v>
      </c>
    </row>
    <row r="49" ht="15.75" customHeight="1" s="201">
      <c r="A49" s="4" t="inlineStr">
        <is>
          <t>ICE CREAM</t>
        </is>
      </c>
      <c r="B49" s="5" t="inlineStr">
        <is>
          <t>ICE CREAM</t>
        </is>
      </c>
      <c r="D49" t="n">
        <v>12110100</v>
      </c>
    </row>
    <row r="50" ht="15.75" customHeight="1" s="201">
      <c r="A50" s="4" t="inlineStr">
        <is>
          <t>VANILLA</t>
        </is>
      </c>
      <c r="B50" s="5" t="inlineStr">
        <is>
          <t>ICE CREAM</t>
        </is>
      </c>
      <c r="D50" t="n">
        <v>53247000</v>
      </c>
    </row>
    <row r="51" ht="15.75" customHeight="1" s="201">
      <c r="A51" s="4" t="inlineStr">
        <is>
          <t>AZUKI BEAN FLOUR</t>
        </is>
      </c>
      <c r="B51" s="5" t="inlineStr">
        <is>
          <t>LEGUME FLOUR</t>
        </is>
      </c>
      <c r="D51" t="n">
        <v>91407150</v>
      </c>
    </row>
    <row r="52" ht="15.75" customHeight="1" s="201">
      <c r="A52" s="4" t="inlineStr">
        <is>
          <t>MUNG BEAN FLOUR</t>
        </is>
      </c>
      <c r="B52" s="5" t="inlineStr">
        <is>
          <t>LEGUME FLOUR</t>
        </is>
      </c>
      <c r="D52" t="n">
        <v>41205050</v>
      </c>
    </row>
    <row r="53" ht="15.75" customHeight="1" s="201">
      <c r="A53" s="4" t="inlineStr">
        <is>
          <t>SOY MEAL</t>
        </is>
      </c>
      <c r="B53" s="5" t="inlineStr">
        <is>
          <t>LEGUME FLOUR</t>
        </is>
      </c>
      <c r="D53" t="n">
        <v>28110510</v>
      </c>
    </row>
    <row r="54" ht="15.75" customHeight="1" s="201">
      <c r="A54" s="4" t="inlineStr">
        <is>
          <t>BEANS IN CAN</t>
        </is>
      </c>
      <c r="B54" s="5" t="inlineStr">
        <is>
          <t>LEGUMES CANNED</t>
        </is>
      </c>
      <c r="D54" t="n">
        <v>41202510</v>
      </c>
    </row>
    <row r="55" ht="15.75" customHeight="1" s="201">
      <c r="A55" s="4" t="inlineStr">
        <is>
          <t>GREEN BEANS IN CAN</t>
        </is>
      </c>
      <c r="B55" s="5" t="inlineStr">
        <is>
          <t>LEGUMES CANNED</t>
        </is>
      </c>
      <c r="D55" t="n">
        <v>75403200</v>
      </c>
    </row>
    <row r="56" ht="15.75" customHeight="1" s="201">
      <c r="A56" s="4" t="inlineStr">
        <is>
          <t>BEANS (F)</t>
        </is>
      </c>
      <c r="B56" s="5" t="inlineStr">
        <is>
          <t>LEGUMES FROZEN</t>
        </is>
      </c>
      <c r="D56" t="n">
        <v>41202510</v>
      </c>
    </row>
    <row r="57" ht="15.75" customHeight="1" s="201">
      <c r="A57" s="4" t="inlineStr">
        <is>
          <t>GREEN BEANS (F)</t>
        </is>
      </c>
      <c r="B57" s="5" t="inlineStr">
        <is>
          <t>LEGUMES FROZEN</t>
        </is>
      </c>
      <c r="D57" t="n">
        <v>75403200</v>
      </c>
    </row>
    <row r="58" ht="15.75" customHeight="1" s="201">
      <c r="A58" s="4" t="inlineStr">
        <is>
          <t>MARGARINE*</t>
        </is>
      </c>
      <c r="B58" s="5" t="inlineStr">
        <is>
          <t>MARGARINE*</t>
        </is>
      </c>
      <c r="D58" t="n">
        <v>81104010</v>
      </c>
    </row>
    <row r="59" ht="15.75" customHeight="1" s="201">
      <c r="A59" s="4" t="inlineStr">
        <is>
          <t>ALMOND COVERED WITH CHOCOLATE</t>
        </is>
      </c>
      <c r="B59" s="5" t="inlineStr">
        <is>
          <t>NUTS COVERED WITH CHOCOLATE</t>
        </is>
      </c>
      <c r="D59" t="n">
        <v>53108200</v>
      </c>
    </row>
    <row r="60" ht="15.75" customHeight="1" s="201">
      <c r="A60" s="4" t="inlineStr">
        <is>
          <t>HAZELNUT COVERED WITH CHOCOLATE</t>
        </is>
      </c>
      <c r="B60" s="5" t="inlineStr">
        <is>
          <t>NUTS COVERED WITH CHOCOLATE</t>
        </is>
      </c>
      <c r="D60" t="n">
        <v>53108200</v>
      </c>
    </row>
    <row r="61" ht="15.75" customHeight="1" s="201">
      <c r="A61" s="4" t="inlineStr">
        <is>
          <t>ALMOND PASTE</t>
        </is>
      </c>
      <c r="B61" s="5" t="inlineStr">
        <is>
          <t>NUTS PASTE</t>
        </is>
      </c>
      <c r="D61" t="n">
        <v>11350030</v>
      </c>
    </row>
    <row r="62" ht="15.75" customHeight="1" s="201">
      <c r="A62" s="4" t="inlineStr">
        <is>
          <t>HAZELNUT CREAM</t>
        </is>
      </c>
      <c r="B62" s="5" t="inlineStr">
        <is>
          <t>NUTS PASTE</t>
        </is>
      </c>
      <c r="D62" t="n">
        <v>12110100</v>
      </c>
    </row>
    <row r="63" ht="15.75" customHeight="1" s="201">
      <c r="A63" s="4" t="inlineStr">
        <is>
          <t>HAZELNUT PASTE</t>
        </is>
      </c>
      <c r="B63" s="5" t="inlineStr">
        <is>
          <t>NUTS PASTE</t>
        </is>
      </c>
      <c r="D63" t="n">
        <v>91705040</v>
      </c>
    </row>
    <row r="64" ht="15.75" customHeight="1" s="201">
      <c r="A64" s="4" t="inlineStr">
        <is>
          <t>PEANUT BUTTER</t>
        </is>
      </c>
      <c r="B64" s="5" t="inlineStr">
        <is>
          <t>NUTS PASTE</t>
        </is>
      </c>
      <c r="D64" t="n">
        <v>91734000</v>
      </c>
    </row>
    <row r="65" ht="15.75" customHeight="1" s="201">
      <c r="A65" s="4" t="inlineStr">
        <is>
          <t>PEANUT PASTE</t>
        </is>
      </c>
      <c r="B65" s="5" t="inlineStr">
        <is>
          <t>NUTS PASTE</t>
        </is>
      </c>
      <c r="D65" t="n">
        <v>91734000</v>
      </c>
    </row>
    <row r="66" ht="15.75" customHeight="1" s="201">
      <c r="A66" s="4" t="inlineStr">
        <is>
          <t>OLIVE OIL</t>
        </is>
      </c>
      <c r="B66" s="5" t="inlineStr">
        <is>
          <t>OIL</t>
        </is>
      </c>
      <c r="D66" t="n">
        <v>82104000</v>
      </c>
    </row>
    <row r="67" ht="15.75" customHeight="1" s="201">
      <c r="A67" s="4" t="inlineStr">
        <is>
          <t>PALM OIL</t>
        </is>
      </c>
      <c r="B67" s="5" t="inlineStr">
        <is>
          <t>OIL</t>
        </is>
      </c>
      <c r="D67" t="n">
        <v>75221160</v>
      </c>
    </row>
    <row r="68" ht="15.75" customHeight="1" s="201">
      <c r="A68" s="4" t="inlineStr">
        <is>
          <t>PEANUT OIL</t>
        </is>
      </c>
      <c r="B68" s="5" t="inlineStr">
        <is>
          <t>OIL</t>
        </is>
      </c>
      <c r="D68" t="n">
        <v>91734000</v>
      </c>
    </row>
    <row r="69" ht="15.75" customHeight="1" s="201">
      <c r="A69" s="4" t="inlineStr">
        <is>
          <t>RAPESEED OIL</t>
        </is>
      </c>
      <c r="B69" s="5" t="inlineStr">
        <is>
          <t>OIL</t>
        </is>
      </c>
    </row>
    <row r="70" ht="15.75" customHeight="1" s="201">
      <c r="A70" s="4" t="inlineStr">
        <is>
          <t>SOYBEAN OIL</t>
        </is>
      </c>
      <c r="B70" s="5" t="inlineStr">
        <is>
          <t>OIL</t>
        </is>
      </c>
      <c r="D70" t="n">
        <v>41420010</v>
      </c>
    </row>
    <row r="71" ht="15.75" customHeight="1" s="201">
      <c r="A71" s="4" t="inlineStr">
        <is>
          <t>SUNFLOWER OIL</t>
        </is>
      </c>
      <c r="B71" s="5" t="inlineStr">
        <is>
          <t>OIL</t>
        </is>
      </c>
      <c r="D71" t="n">
        <v>43102000</v>
      </c>
    </row>
    <row r="72" ht="15.75" customHeight="1" s="201">
      <c r="A72" s="4" t="inlineStr">
        <is>
          <t>PASTA*</t>
        </is>
      </c>
      <c r="B72" s="5" t="inlineStr">
        <is>
          <t>PASTA*</t>
        </is>
      </c>
      <c r="D72" t="n">
        <v>58147510</v>
      </c>
    </row>
    <row r="73" ht="15.75" customHeight="1" s="201">
      <c r="A73" s="4" t="inlineStr">
        <is>
          <t>PESTO</t>
        </is>
      </c>
      <c r="B73" s="5" t="inlineStr">
        <is>
          <t>PESTO</t>
        </is>
      </c>
      <c r="D73" t="n">
        <v>58146381</v>
      </c>
    </row>
    <row r="74" ht="15.75" customHeight="1" s="201">
      <c r="A74" s="4" t="inlineStr">
        <is>
          <t>PESTO WITHOUT GARLIC</t>
        </is>
      </c>
      <c r="B74" s="5" t="inlineStr">
        <is>
          <t>PESTO</t>
        </is>
      </c>
      <c r="D74" t="n">
        <v>24164000</v>
      </c>
    </row>
    <row r="75" ht="15.75" customHeight="1" s="201">
      <c r="A75" s="4" t="inlineStr">
        <is>
          <t>BEET SUGAR</t>
        </is>
      </c>
      <c r="B75" s="5" t="inlineStr">
        <is>
          <t>SUGAR</t>
        </is>
      </c>
      <c r="D75" t="n">
        <v>42202100</v>
      </c>
    </row>
    <row r="76" ht="15.75" customHeight="1" s="201">
      <c r="A76" s="4" t="inlineStr">
        <is>
          <t>CANE SUGAR</t>
        </is>
      </c>
      <c r="B76" s="5" t="inlineStr">
        <is>
          <t>SUGAR</t>
        </is>
      </c>
      <c r="D76" t="n">
        <v>42202100</v>
      </c>
    </row>
    <row r="77" ht="15.75" customHeight="1" s="201">
      <c r="A77" s="4" t="inlineStr">
        <is>
          <t>CAKES AND CROISSANT**</t>
        </is>
      </c>
      <c r="B77" s="5" t="inlineStr">
        <is>
          <t>SWEETS</t>
        </is>
      </c>
      <c r="D77" t="n">
        <v>53109200</v>
      </c>
    </row>
    <row r="78" ht="15.75" customHeight="1" s="201">
      <c r="A78" s="4" t="inlineStr">
        <is>
          <t>COCOA CAKES AND CROISSANT**</t>
        </is>
      </c>
      <c r="B78" s="5" t="inlineStr">
        <is>
          <t>SWEETS</t>
        </is>
      </c>
      <c r="D78" t="n">
        <v>53109200</v>
      </c>
    </row>
    <row r="79" ht="15.75" customHeight="1" s="201">
      <c r="A79" s="4" t="inlineStr">
        <is>
          <t>TOMATO CHOPPED</t>
        </is>
      </c>
      <c r="B79" s="5" t="inlineStr">
        <is>
          <t>TOMATO PUREE,PEELED, CHOPPED</t>
        </is>
      </c>
      <c r="D79" t="n">
        <v>74601010</v>
      </c>
    </row>
    <row r="80" ht="15.75" customHeight="1" s="201">
      <c r="A80" s="4" t="inlineStr">
        <is>
          <t>TOMATO PEELED</t>
        </is>
      </c>
      <c r="B80" s="5" t="inlineStr">
        <is>
          <t>TOMATO PUREE,PEELED, CHOPPED</t>
        </is>
      </c>
      <c r="D80" t="n">
        <v>74601010</v>
      </c>
    </row>
    <row r="81" ht="15.75" customHeight="1" s="201">
      <c r="A81" s="4" t="inlineStr">
        <is>
          <t>TOMATO PUREE</t>
        </is>
      </c>
      <c r="B81" s="5" t="inlineStr">
        <is>
          <t>TOMATO PUREE,PEELED, CHOPPED</t>
        </is>
      </c>
      <c r="D81" t="n">
        <v>74601010</v>
      </c>
    </row>
    <row r="82" ht="15.75" customHeight="1" s="201">
      <c r="A82" s="4" t="inlineStr">
        <is>
          <t>TOMATO &amp; BASIL</t>
        </is>
      </c>
      <c r="B82" s="5" t="inlineStr">
        <is>
          <t>TOMATO SAUCE</t>
        </is>
      </c>
      <c r="D82" t="n">
        <v>74601010</v>
      </c>
    </row>
    <row r="83" ht="15.75" customHeight="1" s="201">
      <c r="A83" s="4" t="inlineStr">
        <is>
          <t>TOMATO ARRABBIATA</t>
        </is>
      </c>
      <c r="B83" s="5" t="inlineStr">
        <is>
          <t>TOMATO SAUCE</t>
        </is>
      </c>
      <c r="D83" t="n">
        <v>74601010</v>
      </c>
    </row>
    <row r="84" ht="15.75" customHeight="1" s="201">
      <c r="A84" s="4" t="inlineStr">
        <is>
          <t>CARROTS CANNED</t>
        </is>
      </c>
      <c r="B84" s="5" t="inlineStr">
        <is>
          <t>VEGETABLES CANNED</t>
        </is>
      </c>
      <c r="D84" t="n">
        <v>63311110</v>
      </c>
    </row>
    <row r="85" ht="15.75" customHeight="1" s="201">
      <c r="A85" s="4" t="inlineStr">
        <is>
          <t>CORN CANNED</t>
        </is>
      </c>
      <c r="B85" s="5" t="inlineStr">
        <is>
          <t>VEGETABLES CANNED</t>
        </is>
      </c>
      <c r="D85" t="n">
        <v>54401055</v>
      </c>
    </row>
    <row r="86" ht="15.75" customHeight="1" s="201">
      <c r="A86" s="4" t="inlineStr">
        <is>
          <t>CARROTS (F)</t>
        </is>
      </c>
      <c r="B86" s="5" t="inlineStr">
        <is>
          <t>VEGETABLES FROZEN</t>
        </is>
      </c>
      <c r="D86" t="n">
        <v>27311120</v>
      </c>
    </row>
    <row r="87" ht="15.75" customHeight="1" s="201">
      <c r="A87" s="4" t="inlineStr">
        <is>
          <t>ZUCCHINI (F)</t>
        </is>
      </c>
      <c r="B87" s="5" t="inlineStr">
        <is>
          <t>VEGETABLES FROZEN</t>
        </is>
      </c>
      <c r="D87" t="n">
        <v>52407000</v>
      </c>
    </row>
    <row r="88" ht="15.75" customHeight="1" s="201">
      <c r="A88" s="4" t="inlineStr">
        <is>
          <t>SOY CREAM*</t>
        </is>
      </c>
      <c r="B88" s="5" t="inlineStr">
        <is>
          <t>VEGETAL CREAM* (soy cream)</t>
        </is>
      </c>
      <c r="D88" t="n">
        <v>12110100</v>
      </c>
    </row>
    <row r="89" ht="15.75" customHeight="1" s="201">
      <c r="A89" s="4" t="inlineStr">
        <is>
          <t>ALMOND MILK</t>
        </is>
      </c>
      <c r="B89" s="5" t="inlineStr">
        <is>
          <t>VEGETAL MILK</t>
        </is>
      </c>
      <c r="D89" t="n">
        <v>11350030</v>
      </c>
    </row>
    <row r="90" ht="15.75" customHeight="1" s="201">
      <c r="A90" s="4" t="inlineStr">
        <is>
          <t>COCONUT MILK</t>
        </is>
      </c>
      <c r="B90" s="5" t="inlineStr">
        <is>
          <t>VEGETAL MILK</t>
        </is>
      </c>
      <c r="D90" t="n">
        <v>11513310</v>
      </c>
    </row>
    <row r="91" ht="15.75" customHeight="1" s="201">
      <c r="A91" s="4" t="inlineStr">
        <is>
          <t>RICE MILK</t>
        </is>
      </c>
      <c r="B91" s="5" t="inlineStr">
        <is>
          <t>VEGETAL MILK</t>
        </is>
      </c>
      <c r="D91" t="n">
        <v>54319000</v>
      </c>
    </row>
    <row r="92" ht="15.75" customHeight="1" s="201">
      <c r="A92" s="4" t="inlineStr">
        <is>
          <t>SOY MILK</t>
        </is>
      </c>
      <c r="B92" s="5" t="inlineStr">
        <is>
          <t>VEGETAL MILK</t>
        </is>
      </c>
      <c r="D92" t="n">
        <v>11112110</v>
      </c>
    </row>
    <row r="93" ht="15.75" customHeight="1" s="201">
      <c r="A93" s="4" t="inlineStr">
        <is>
          <t>QUORNE</t>
        </is>
      </c>
      <c r="B93" s="5" t="inlineStr">
        <is>
          <t>VEGETAL PROTEINS</t>
        </is>
      </c>
    </row>
    <row r="94" ht="15.75" customHeight="1" s="201">
      <c r="A94" s="4" t="inlineStr">
        <is>
          <t>SOY BURGER</t>
        </is>
      </c>
      <c r="B94" s="5" t="inlineStr">
        <is>
          <t>VEGETAL PROTEINS</t>
        </is>
      </c>
      <c r="D94" t="n">
        <v>41811890</v>
      </c>
    </row>
    <row r="95" ht="15.75" customHeight="1" s="201">
      <c r="A95" s="4" t="inlineStr">
        <is>
          <t>TOFU</t>
        </is>
      </c>
      <c r="B95" s="5" t="inlineStr">
        <is>
          <t>VEGETAL PROTEINS</t>
        </is>
      </c>
      <c r="D95" t="n">
        <v>27415120</v>
      </c>
    </row>
    <row r="96" ht="15.75" customHeight="1" s="201">
      <c r="A96" s="4" t="inlineStr">
        <is>
          <t>SOY YOGURT*</t>
        </is>
      </c>
      <c r="B96" s="5" t="inlineStr">
        <is>
          <t>VEGETAL YOGURT (soy yogurt)</t>
        </is>
      </c>
      <c r="D96" t="n">
        <v>11432000</v>
      </c>
    </row>
    <row r="97" ht="15.75" customHeight="1" s="201">
      <c r="A97" s="4" t="inlineStr">
        <is>
          <t>WINE RED</t>
        </is>
      </c>
      <c r="B97" s="5" t="inlineStr">
        <is>
          <t>WINE</t>
        </is>
      </c>
      <c r="D97" t="n">
        <v>93401100</v>
      </c>
    </row>
    <row r="98" ht="15.75" customHeight="1" s="201">
      <c r="A98" s="4" t="inlineStr">
        <is>
          <t>WINE WHITE</t>
        </is>
      </c>
      <c r="B98" s="5" t="inlineStr">
        <is>
          <t>WINE</t>
        </is>
      </c>
      <c r="D98" t="n">
        <v>93401020</v>
      </c>
    </row>
    <row r="99" ht="15.75" customHeight="1" s="201">
      <c r="A99" s="4" t="inlineStr">
        <is>
          <t>YEAST COMPRESSED*</t>
        </is>
      </c>
      <c r="B99" s="5" t="inlineStr">
        <is>
          <t>YEAST COMPRESSED*</t>
        </is>
      </c>
      <c r="D99" t="n">
        <v>75236000</v>
      </c>
    </row>
    <row r="100" ht="15.75" customHeight="1" s="201">
      <c r="A100" s="4" t="inlineStr">
        <is>
          <t>YEAST DRIED*</t>
        </is>
      </c>
      <c r="B100" s="5" t="inlineStr">
        <is>
          <t>YEAST DRIED*</t>
        </is>
      </c>
      <c r="D100" t="n">
        <v>75236000</v>
      </c>
    </row>
    <row r="101" ht="15.75" customHeight="1" s="201">
      <c r="A101" s="4" t="inlineStr">
        <is>
          <t>YEAST LIQUID*</t>
        </is>
      </c>
      <c r="B101" s="5" t="inlineStr">
        <is>
          <t>YEAST LIQUID*</t>
        </is>
      </c>
      <c r="D101" t="n">
        <v>95120050</v>
      </c>
    </row>
    <row r="102" ht="15.75" customHeight="1" s="201">
      <c r="A102" s="4" t="inlineStr">
        <is>
          <t>BEEF BONE FREE MEAT*</t>
        </is>
      </c>
      <c r="B102" s="5" t="inlineStr">
        <is>
          <t>BEEF BONE FREE MEAT*</t>
        </is>
      </c>
      <c r="D102" t="n">
        <v>28110510</v>
      </c>
    </row>
    <row r="103" ht="15.75" customHeight="1" s="201">
      <c r="A103" s="4" t="inlineStr">
        <is>
          <t>BEEF MEAT WITH BONE*</t>
        </is>
      </c>
      <c r="B103" s="5" t="inlineStr">
        <is>
          <t>BEEF MEAT WITH BONE*</t>
        </is>
      </c>
      <c r="D103" t="n">
        <v>58128250</v>
      </c>
    </row>
    <row r="104" ht="15.75" customHeight="1" s="201">
      <c r="A104" s="4" t="inlineStr">
        <is>
          <t>BUFFALO BONE FREE MEAT*</t>
        </is>
      </c>
      <c r="B104" s="5" t="inlineStr">
        <is>
          <t>BUFFALO BONE FREE MEAT*</t>
        </is>
      </c>
      <c r="D104" t="n">
        <v>27446260</v>
      </c>
    </row>
    <row r="105" ht="15.75" customHeight="1" s="201">
      <c r="A105" s="4" t="inlineStr">
        <is>
          <t>BUTTER*</t>
        </is>
      </c>
      <c r="B105" s="5" t="inlineStr">
        <is>
          <t>BUTTER*</t>
        </is>
      </c>
      <c r="D105" t="n">
        <v>54328100</v>
      </c>
    </row>
    <row r="106" ht="15.75" customHeight="1" s="201">
      <c r="A106" s="4" t="inlineStr">
        <is>
          <t>CREAM</t>
        </is>
      </c>
      <c r="B106" s="5" t="inlineStr">
        <is>
          <t>CHEESE FRESH</t>
        </is>
      </c>
      <c r="D106" t="n">
        <v>12110100</v>
      </c>
    </row>
    <row r="107" ht="15.75" customHeight="1" s="201">
      <c r="A107" s="4" t="inlineStr">
        <is>
          <t>MASCARPONE</t>
        </is>
      </c>
      <c r="B107" s="5" t="inlineStr">
        <is>
          <t>CHEESE FRESH</t>
        </is>
      </c>
    </row>
    <row r="108" ht="15.75" customHeight="1" s="201">
      <c r="A108" s="4" t="inlineStr">
        <is>
          <t>MOZZARELLA</t>
        </is>
      </c>
      <c r="B108" s="5" t="inlineStr">
        <is>
          <t>CHEESE FRESH</t>
        </is>
      </c>
      <c r="D108" t="n">
        <v>14660200</v>
      </c>
    </row>
    <row r="109" ht="15.75" customHeight="1" s="201">
      <c r="A109" s="4" t="inlineStr">
        <is>
          <t>RICOTTA</t>
        </is>
      </c>
      <c r="B109" s="5" t="inlineStr">
        <is>
          <t>CHEESE FRESH</t>
        </is>
      </c>
      <c r="D109" t="n">
        <v>13252500</v>
      </c>
    </row>
    <row r="110" ht="15.75" customHeight="1" s="201">
      <c r="A110" s="4" t="inlineStr">
        <is>
          <t>STRACCHINO</t>
        </is>
      </c>
      <c r="B110" s="5" t="inlineStr">
        <is>
          <t>CHEESE FRESH</t>
        </is>
      </c>
    </row>
    <row r="111" ht="15.75" customHeight="1" s="201">
      <c r="A111" s="4" t="inlineStr">
        <is>
          <t>ASIAGO</t>
        </is>
      </c>
      <c r="B111" s="5" t="inlineStr">
        <is>
          <t>CHEESE HARD &amp; SEMI-HARD</t>
        </is>
      </c>
      <c r="D111" t="n">
        <v>14108010</v>
      </c>
    </row>
    <row r="112" ht="15.75" customHeight="1" s="201">
      <c r="A112" s="4" t="inlineStr">
        <is>
          <t>CAMEMBERT</t>
        </is>
      </c>
      <c r="B112" s="5" t="inlineStr">
        <is>
          <t>CHEESE HARD &amp; SEMI-HARD</t>
        </is>
      </c>
    </row>
    <row r="113" ht="15.75" customHeight="1" s="201">
      <c r="A113" s="4" t="inlineStr">
        <is>
          <t>CEDDAR</t>
        </is>
      </c>
      <c r="B113" s="5" t="inlineStr">
        <is>
          <t>CHEESE HARD &amp; SEMI-HARD</t>
        </is>
      </c>
    </row>
    <row r="114" ht="15.75" customHeight="1" s="201">
      <c r="A114" s="4" t="inlineStr">
        <is>
          <t>CHEESE</t>
        </is>
      </c>
      <c r="B114" s="5" t="inlineStr">
        <is>
          <t>CHEESE HARD &amp; SEMI-HARD</t>
        </is>
      </c>
      <c r="D114" t="n">
        <v>14420100</v>
      </c>
    </row>
    <row r="115" ht="15.75" customHeight="1" s="201">
      <c r="A115" s="4" t="inlineStr">
        <is>
          <t>CHEESE SEMI-HARD</t>
        </is>
      </c>
      <c r="B115" s="5" t="inlineStr">
        <is>
          <t>CHEESE HARD &amp; SEMI-HARD</t>
        </is>
      </c>
      <c r="D115" t="n">
        <v>14420100</v>
      </c>
    </row>
    <row r="116" ht="15.75" customHeight="1" s="201">
      <c r="A116" s="4" t="inlineStr">
        <is>
          <t>EMMENTAL</t>
        </is>
      </c>
      <c r="B116" s="5" t="inlineStr">
        <is>
          <t>CHEESE HARD &amp; SEMI-HARD</t>
        </is>
      </c>
    </row>
    <row r="117" ht="15.75" customHeight="1" s="201">
      <c r="A117" s="4" t="inlineStr">
        <is>
          <t>GOAT CHEESE</t>
        </is>
      </c>
      <c r="B117" s="5" t="inlineStr">
        <is>
          <t>CHEESE HARD &amp; SEMI-HARD</t>
        </is>
      </c>
      <c r="D117" t="n">
        <v>14420100</v>
      </c>
    </row>
    <row r="118" ht="15.75" customHeight="1" s="201">
      <c r="A118" s="4" t="inlineStr">
        <is>
          <t>GRANA PADANO</t>
        </is>
      </c>
      <c r="B118" s="5" t="inlineStr">
        <is>
          <t>CHEESE HARD &amp; SEMI-HARD</t>
        </is>
      </c>
    </row>
    <row r="119" ht="15.75" customHeight="1" s="201">
      <c r="A119" s="4" t="inlineStr">
        <is>
          <t>PARMIGIANO REGGIANO</t>
        </is>
      </c>
      <c r="B119" s="5" t="inlineStr">
        <is>
          <t>CHEESE HARD &amp; SEMI-HARD</t>
        </is>
      </c>
    </row>
    <row r="120" ht="15.75" customHeight="1" s="201">
      <c r="A120" s="4" t="inlineStr">
        <is>
          <t>PECORINO</t>
        </is>
      </c>
      <c r="B120" s="5" t="inlineStr">
        <is>
          <t>CHEESE HARD &amp; SEMI-HARD</t>
        </is>
      </c>
    </row>
    <row r="121" ht="15.75" customHeight="1" s="201">
      <c r="A121" s="4" t="inlineStr">
        <is>
          <t>MEALWORMS*</t>
        </is>
      </c>
      <c r="B121" s="5" t="inlineStr">
        <is>
          <t>EDIBLE INSECTS* (mealworms)</t>
        </is>
      </c>
    </row>
    <row r="122" ht="15.75" customHeight="1" s="201">
      <c r="A122" s="4" t="inlineStr">
        <is>
          <t>EGGS*</t>
        </is>
      </c>
      <c r="B122" s="5" t="inlineStr">
        <is>
          <t>EGGS*</t>
        </is>
      </c>
      <c r="D122" t="n">
        <v>91705020</v>
      </c>
    </row>
    <row r="123" ht="15.75" customHeight="1" s="201">
      <c r="A123" s="4" t="inlineStr">
        <is>
          <t>HONEY*</t>
        </is>
      </c>
      <c r="B123" s="5" t="inlineStr">
        <is>
          <t>HONEY*</t>
        </is>
      </c>
      <c r="D123" t="n">
        <v>57237100</v>
      </c>
    </row>
    <row r="124" ht="15.75" customHeight="1" s="201">
      <c r="A124" s="4" t="inlineStr">
        <is>
          <t>KANGAROO MEAT*</t>
        </is>
      </c>
      <c r="B124" s="5" t="inlineStr">
        <is>
          <t>KANGAROO MEAT*</t>
        </is>
      </c>
      <c r="D124" t="n">
        <v>14620320</v>
      </c>
    </row>
    <row r="125" ht="15.75" customHeight="1" s="201">
      <c r="A125" s="4" t="inlineStr">
        <is>
          <t>LAMB BONE FREE MEAT*</t>
        </is>
      </c>
      <c r="B125" s="5" t="inlineStr">
        <is>
          <t>LAMB BONE FREE MEAT*</t>
        </is>
      </c>
      <c r="D125" t="n">
        <v>27446260</v>
      </c>
    </row>
    <row r="126" ht="15.75" customHeight="1" s="201">
      <c r="A126" s="4" t="inlineStr">
        <is>
          <t>LAMB MEAT WITH BONE*</t>
        </is>
      </c>
      <c r="B126" s="5" t="inlineStr">
        <is>
          <t>LAMB MEAT WITH BONE*</t>
        </is>
      </c>
      <c r="D126" t="n">
        <v>75142550</v>
      </c>
    </row>
    <row r="127" ht="15.75" customHeight="1" s="201">
      <c r="A127" s="4" t="inlineStr">
        <is>
          <t>BUFFALO MILK</t>
        </is>
      </c>
      <c r="B127" s="5" t="inlineStr">
        <is>
          <t>MILK</t>
        </is>
      </c>
      <c r="D127" t="n">
        <v>11112110</v>
      </c>
    </row>
    <row r="128" ht="15.75" customHeight="1" s="201">
      <c r="A128" s="4" t="inlineStr">
        <is>
          <t>COW MILK</t>
        </is>
      </c>
      <c r="B128" s="5" t="inlineStr">
        <is>
          <t>MILK</t>
        </is>
      </c>
      <c r="D128" t="n">
        <v>11112110</v>
      </c>
    </row>
    <row r="129" ht="15.75" customHeight="1" s="201">
      <c r="A129" s="4" t="inlineStr">
        <is>
          <t>GOAT MILK</t>
        </is>
      </c>
      <c r="B129" s="5" t="inlineStr">
        <is>
          <t>MILK</t>
        </is>
      </c>
      <c r="D129" t="n">
        <v>11112110</v>
      </c>
    </row>
    <row r="130" ht="15.75" customHeight="1" s="201">
      <c r="A130" s="4" t="inlineStr">
        <is>
          <t>PORK BONE FREE MEAT*</t>
        </is>
      </c>
      <c r="B130" s="5" t="inlineStr">
        <is>
          <t>PORK BONE FREE MEAT*</t>
        </is>
      </c>
      <c r="D130" t="n">
        <v>27446260</v>
      </c>
    </row>
    <row r="131" ht="15.75" customHeight="1" s="201">
      <c r="A131" s="4" t="inlineStr">
        <is>
          <t>BACON</t>
        </is>
      </c>
      <c r="B131" s="5" t="inlineStr">
        <is>
          <t>PORK CURED MEAT</t>
        </is>
      </c>
      <c r="D131" t="n">
        <v>32202070</v>
      </c>
    </row>
    <row r="132" ht="15.75" customHeight="1" s="201">
      <c r="A132" s="4" t="inlineStr">
        <is>
          <t>NECK</t>
        </is>
      </c>
      <c r="B132" s="5" t="inlineStr">
        <is>
          <t>PORK CURED MEAT</t>
        </is>
      </c>
      <c r="D132" t="n">
        <v>22706010</v>
      </c>
    </row>
    <row r="133" ht="15.75" customHeight="1" s="201">
      <c r="A133" s="4" t="inlineStr">
        <is>
          <t>PORK HAM</t>
        </is>
      </c>
      <c r="B133" s="5" t="inlineStr">
        <is>
          <t>PORK CURED MEAT</t>
        </is>
      </c>
      <c r="D133" t="n">
        <v>27120030</v>
      </c>
    </row>
    <row r="134" ht="15.75" customHeight="1" s="201">
      <c r="A134" s="4" t="inlineStr">
        <is>
          <t>PORK SAUSAGES</t>
        </is>
      </c>
      <c r="B134" s="5" t="inlineStr">
        <is>
          <t>PORK CURED MEAT</t>
        </is>
      </c>
      <c r="D134" t="n">
        <v>27120030</v>
      </c>
    </row>
    <row r="135" ht="15.75" customHeight="1" s="201">
      <c r="A135" s="4" t="inlineStr">
        <is>
          <t>PORK MEAT WITH BONE*</t>
        </is>
      </c>
      <c r="B135" s="5" t="inlineStr">
        <is>
          <t>PORK MEAT WITH BONE*</t>
        </is>
      </c>
      <c r="D135" t="n">
        <v>75142550</v>
      </c>
    </row>
    <row r="136" ht="15.75" customHeight="1" s="201">
      <c r="A136" s="4" t="inlineStr">
        <is>
          <t>CHICKEN BONE FREE MEAT</t>
        </is>
      </c>
      <c r="B136" s="5" t="inlineStr">
        <is>
          <t>POULTRY BONE FREE MEAT</t>
        </is>
      </c>
      <c r="D136" t="n">
        <v>27446260</v>
      </c>
    </row>
    <row r="137" ht="15.75" customHeight="1" s="201">
      <c r="A137" s="4" t="inlineStr">
        <is>
          <t>EMU BONE FREE MEAT</t>
        </is>
      </c>
      <c r="B137" s="5" t="inlineStr">
        <is>
          <t>POULTRY BONE FREE MEAT</t>
        </is>
      </c>
      <c r="D137" t="n">
        <v>27446260</v>
      </c>
    </row>
    <row r="138" ht="15.75" customHeight="1" s="201">
      <c r="A138" s="4" t="inlineStr">
        <is>
          <t>DUCK MEAT BONE FREE*</t>
        </is>
      </c>
      <c r="B138" s="5" t="inlineStr">
        <is>
          <t>POULTRY BONE FREE MEAT</t>
        </is>
      </c>
      <c r="D138" t="n">
        <v>27446260</v>
      </c>
    </row>
    <row r="139" ht="15.75" customHeight="1" s="201">
      <c r="A139" s="4" t="inlineStr">
        <is>
          <t>TURKEY MEAT BONE FREE</t>
        </is>
      </c>
      <c r="B139" s="5" t="inlineStr">
        <is>
          <t>POULTRY BONE FREE MEAT</t>
        </is>
      </c>
      <c r="D139" t="n">
        <v>27446260</v>
      </c>
    </row>
    <row r="140" ht="15.75" customHeight="1" s="201">
      <c r="A140" s="4" t="inlineStr">
        <is>
          <t>CHICKEN MEAT WITH BONE</t>
        </is>
      </c>
      <c r="B140" s="5" t="inlineStr">
        <is>
          <t>POULTRY MEAT WITH BONE</t>
        </is>
      </c>
      <c r="D140" t="n">
        <v>27446315</v>
      </c>
    </row>
    <row r="141" ht="15.75" customHeight="1" s="201">
      <c r="A141" s="4" t="inlineStr">
        <is>
          <t>DUCK MEAT WITH BONE*</t>
        </is>
      </c>
      <c r="B141" s="5" t="inlineStr">
        <is>
          <t>POULTRY MEAT WITH BONE</t>
        </is>
      </c>
      <c r="D141" t="n">
        <v>75142550</v>
      </c>
    </row>
    <row r="142" ht="15.75" customHeight="1" s="201">
      <c r="A142" s="4" t="inlineStr">
        <is>
          <t>TURKEY MEAT WITH BONE</t>
        </is>
      </c>
      <c r="B142" s="5" t="inlineStr">
        <is>
          <t>POULTRY MEAT WITH BONE</t>
        </is>
      </c>
      <c r="D142" t="n">
        <v>75142550</v>
      </c>
    </row>
    <row r="143" ht="15.75" customHeight="1" s="201">
      <c r="A143" s="4" t="inlineStr">
        <is>
          <t>RABBIT MEAT WITH BONE*</t>
        </is>
      </c>
      <c r="B143" s="5" t="inlineStr">
        <is>
          <t>RABBIT MEAT WITH BONE*</t>
        </is>
      </c>
      <c r="D143" t="n">
        <v>75142550</v>
      </c>
    </row>
    <row r="144" ht="15.75" customHeight="1" s="201">
      <c r="A144" s="4" t="inlineStr">
        <is>
          <t>SNAILS*</t>
        </is>
      </c>
      <c r="B144" s="5" t="inlineStr">
        <is>
          <t>SNAILS*</t>
        </is>
      </c>
      <c r="D144" t="n">
        <v>26321110</v>
      </c>
    </row>
    <row r="145" ht="15.75" customHeight="1" s="201">
      <c r="A145" s="4" t="inlineStr">
        <is>
          <t>YOGURT FLAVOURED**</t>
        </is>
      </c>
      <c r="B145" s="5" t="inlineStr">
        <is>
          <t>YOGURT</t>
        </is>
      </c>
      <c r="D145" t="n">
        <v>11432000</v>
      </c>
    </row>
    <row r="146" ht="15.75" customHeight="1" s="201">
      <c r="A146" s="4" t="inlineStr">
        <is>
          <t>YOGURT LACTOSE FREE</t>
        </is>
      </c>
      <c r="B146" s="5" t="inlineStr">
        <is>
          <t>YOGURT</t>
        </is>
      </c>
      <c r="D146" t="n">
        <v>27446260</v>
      </c>
    </row>
    <row r="147" ht="15.75" customHeight="1" s="201">
      <c r="A147" s="4" t="inlineStr">
        <is>
          <t>YOGURT WHITE</t>
        </is>
      </c>
      <c r="B147" s="5" t="inlineStr">
        <is>
          <t>YOGURT</t>
        </is>
      </c>
      <c r="D147" t="n">
        <v>53109200</v>
      </c>
    </row>
    <row r="148" ht="15.75" customHeight="1" s="201">
      <c r="A148" s="4" t="inlineStr">
        <is>
          <t>COFFEE GREEN*</t>
        </is>
      </c>
      <c r="B148" s="5" t="inlineStr">
        <is>
          <t>COFFEE GREEN*</t>
        </is>
      </c>
      <c r="D148" t="n">
        <v>53610100</v>
      </c>
    </row>
    <row r="149" ht="15.75" customHeight="1" s="201">
      <c r="A149" s="4" t="inlineStr">
        <is>
          <t>DATE</t>
        </is>
      </c>
      <c r="B149" s="5" t="inlineStr">
        <is>
          <t>DRIED FRUIT</t>
        </is>
      </c>
      <c r="D149" t="n">
        <v>62110100</v>
      </c>
    </row>
    <row r="150" ht="15.75" customHeight="1" s="201">
      <c r="A150" s="4" t="inlineStr">
        <is>
          <t>RAISIN</t>
        </is>
      </c>
      <c r="B150" s="5" t="inlineStr">
        <is>
          <t>DRIED FRUIT</t>
        </is>
      </c>
      <c r="D150" t="n">
        <v>51129010</v>
      </c>
    </row>
    <row r="151" ht="15.75" customHeight="1" s="201">
      <c r="A151" s="4" t="inlineStr">
        <is>
          <t>EXOTIC FRUIT (G)</t>
        </is>
      </c>
      <c r="B151" s="5" t="inlineStr">
        <is>
          <t>FRUIT HEATED GREENHOUSE</t>
        </is>
      </c>
      <c r="D151" t="n">
        <v>91708030</v>
      </c>
    </row>
    <row r="152" ht="15.75" customHeight="1" s="201">
      <c r="A152" s="4" t="inlineStr">
        <is>
          <t>RASPBERRY (G)</t>
        </is>
      </c>
      <c r="B152" s="5" t="inlineStr">
        <is>
          <t>FRUIT HEATED GREENHOUSE</t>
        </is>
      </c>
      <c r="D152" t="n">
        <v>27450066</v>
      </c>
    </row>
    <row r="153" ht="15.75" customHeight="1" s="201">
      <c r="A153" s="4" t="inlineStr">
        <is>
          <t>STRAWBERRY (G)</t>
        </is>
      </c>
      <c r="B153" s="5" t="inlineStr">
        <is>
          <t>FRUIT HEATED GREENHOUSE</t>
        </is>
      </c>
      <c r="D153" t="n">
        <v>53109200</v>
      </c>
    </row>
    <row r="154" ht="15.75" customHeight="1" s="201">
      <c r="A154" s="4" t="inlineStr">
        <is>
          <t>AVOCADO (I)</t>
        </is>
      </c>
      <c r="B154" s="5" t="inlineStr">
        <is>
          <t>FRUIT IMPORTED</t>
        </is>
      </c>
      <c r="D154" t="n">
        <v>27540361</v>
      </c>
    </row>
    <row r="155" ht="15.75" customHeight="1" s="201">
      <c r="A155" s="4" t="inlineStr">
        <is>
          <t>BANANA (I)</t>
        </is>
      </c>
      <c r="B155" s="5" t="inlineStr">
        <is>
          <t>FRUIT IMPORTED</t>
        </is>
      </c>
      <c r="D155" t="n">
        <v>52302010</v>
      </c>
    </row>
    <row r="156" ht="15.75" customHeight="1" s="201">
      <c r="A156" s="4" t="inlineStr">
        <is>
          <t>COCONUT (I)</t>
        </is>
      </c>
      <c r="B156" s="5" t="inlineStr">
        <is>
          <t>FRUIT IMPORTED</t>
        </is>
      </c>
      <c r="D156" t="n">
        <v>42404010</v>
      </c>
    </row>
    <row r="157" ht="15.75" customHeight="1" s="201">
      <c r="A157" s="4" t="inlineStr">
        <is>
          <t>EXOTIC FRUIT (I)</t>
        </is>
      </c>
      <c r="B157" s="5" t="inlineStr">
        <is>
          <t>FRUIT IMPORTED</t>
        </is>
      </c>
      <c r="D157" t="n">
        <v>91708030</v>
      </c>
    </row>
    <row r="158" ht="15.75" customHeight="1" s="201">
      <c r="A158" s="4" t="inlineStr">
        <is>
          <t>PINEAPPLE (I)</t>
        </is>
      </c>
      <c r="B158" s="5" t="inlineStr">
        <is>
          <t>FRUIT IMPORTED</t>
        </is>
      </c>
      <c r="D158" t="n">
        <v>63141010</v>
      </c>
    </row>
    <row r="159" ht="15.75" customHeight="1" s="201">
      <c r="A159" s="4" t="inlineStr">
        <is>
          <t>POMEGRANATE (I)</t>
        </is>
      </c>
      <c r="B159" s="5" t="inlineStr">
        <is>
          <t>FRUIT IMPORTED</t>
        </is>
      </c>
      <c r="D159" t="n">
        <v>63145010</v>
      </c>
    </row>
    <row r="160" ht="15.75" customHeight="1" s="201">
      <c r="A160" s="4" t="inlineStr">
        <is>
          <t>STRAWBERRY (I)</t>
        </is>
      </c>
      <c r="B160" s="5" t="inlineStr">
        <is>
          <t>FRUIT IMPORTED</t>
        </is>
      </c>
      <c r="D160" t="n">
        <v>53109200</v>
      </c>
    </row>
    <row r="161" ht="15.75" customHeight="1" s="201">
      <c r="A161" s="4" t="inlineStr">
        <is>
          <t>MELON (g)*</t>
        </is>
      </c>
      <c r="B161" s="5" t="inlineStr">
        <is>
          <t>FRUIT NOT HEATED GREENHOUSE* (melon)</t>
        </is>
      </c>
      <c r="D161" t="n">
        <v>63109010</v>
      </c>
    </row>
    <row r="162" ht="15.75" customHeight="1" s="201">
      <c r="A162" s="4" t="inlineStr">
        <is>
          <t>CLEMENTINE</t>
        </is>
      </c>
      <c r="B162" s="5" t="inlineStr">
        <is>
          <t>FRUIT OPENFIELD</t>
        </is>
      </c>
      <c r="D162" t="n">
        <v>61100600</v>
      </c>
    </row>
    <row r="163" ht="15.75" customHeight="1" s="201">
      <c r="A163" s="4" t="inlineStr">
        <is>
          <t>LEMON</t>
        </is>
      </c>
      <c r="B163" s="5" t="inlineStr">
        <is>
          <t>FRUIT OPENFIELD</t>
        </is>
      </c>
      <c r="D163" t="n">
        <v>53109200</v>
      </c>
    </row>
    <row r="164" ht="15.75" customHeight="1" s="201">
      <c r="A164" s="4" t="inlineStr">
        <is>
          <t>LIME</t>
        </is>
      </c>
      <c r="B164" s="5" t="inlineStr">
        <is>
          <t>FRUIT OPENFIELD</t>
        </is>
      </c>
      <c r="D164" t="n">
        <v>61207200</v>
      </c>
    </row>
    <row r="165" ht="15.75" customHeight="1" s="201">
      <c r="A165" s="4" t="inlineStr">
        <is>
          <t>MANDARIN</t>
        </is>
      </c>
      <c r="B165" s="5" t="inlineStr">
        <is>
          <t>FRUIT OPENFIELD</t>
        </is>
      </c>
      <c r="D165" t="n">
        <v>61122300</v>
      </c>
    </row>
    <row r="166" ht="15.75" customHeight="1" s="201">
      <c r="A166" s="4" t="inlineStr">
        <is>
          <t>ORANGE</t>
        </is>
      </c>
      <c r="B166" s="5" t="inlineStr">
        <is>
          <t>FRUIT OPENFIELD</t>
        </is>
      </c>
      <c r="D166" t="n">
        <v>92550350</v>
      </c>
    </row>
    <row r="167" ht="15.75" customHeight="1" s="201">
      <c r="A167" s="4" t="inlineStr">
        <is>
          <t>POMELO</t>
        </is>
      </c>
      <c r="B167" s="5" t="inlineStr">
        <is>
          <t>FRUIT OPENFIELD</t>
        </is>
      </c>
    </row>
    <row r="168" ht="15.75" customHeight="1" s="201">
      <c r="A168" s="4" t="inlineStr">
        <is>
          <t>TANGERIN</t>
        </is>
      </c>
      <c r="B168" s="5" t="inlineStr">
        <is>
          <t>FRUIT OPENFIELD</t>
        </is>
      </c>
    </row>
    <row r="169" ht="15.75" customHeight="1" s="201">
      <c r="A169" s="4" t="inlineStr">
        <is>
          <t>APPLE</t>
        </is>
      </c>
      <c r="B169" s="5" t="inlineStr">
        <is>
          <t>FRUIT OPENFIELD</t>
        </is>
      </c>
      <c r="D169" t="n">
        <v>53301000</v>
      </c>
    </row>
    <row r="170" ht="15.75" customHeight="1" s="201">
      <c r="A170" s="4" t="inlineStr">
        <is>
          <t>APRICOT</t>
        </is>
      </c>
      <c r="B170" s="5" t="inlineStr">
        <is>
          <t>FRUIT OPENFIELD</t>
        </is>
      </c>
      <c r="D170" t="n">
        <v>63103010</v>
      </c>
    </row>
    <row r="171" ht="15.75" customHeight="1" s="201">
      <c r="A171" s="4" t="inlineStr">
        <is>
          <t>AVOCADO</t>
        </is>
      </c>
      <c r="B171" s="5" t="inlineStr">
        <is>
          <t>FRUIT OPENFIELD</t>
        </is>
      </c>
      <c r="D171" t="n">
        <v>27540361</v>
      </c>
    </row>
    <row r="172" ht="15.75" customHeight="1" s="201">
      <c r="A172" s="4" t="inlineStr">
        <is>
          <t>BANANA</t>
        </is>
      </c>
      <c r="B172" s="5" t="inlineStr">
        <is>
          <t>FRUIT OPENFIELD</t>
        </is>
      </c>
      <c r="D172" t="n">
        <v>52302010</v>
      </c>
    </row>
    <row r="173" ht="15.75" customHeight="1" s="201">
      <c r="A173" s="4" t="inlineStr">
        <is>
          <t>CARROB</t>
        </is>
      </c>
      <c r="B173" s="5" t="inlineStr">
        <is>
          <t>FRUIT OPENFIELD</t>
        </is>
      </c>
    </row>
    <row r="174" ht="15.75" customHeight="1" s="201">
      <c r="A174" s="4" t="inlineStr">
        <is>
          <t>CHERRY</t>
        </is>
      </c>
      <c r="B174" s="5" t="inlineStr">
        <is>
          <t>FRUIT OPENFIELD</t>
        </is>
      </c>
      <c r="D174" t="n">
        <v>92411510</v>
      </c>
    </row>
    <row r="175" ht="15.75" customHeight="1" s="201">
      <c r="A175" s="4" t="inlineStr">
        <is>
          <t>FIG</t>
        </is>
      </c>
      <c r="B175" s="5" t="inlineStr">
        <is>
          <t>FRUIT OPENFIELD</t>
        </is>
      </c>
    </row>
    <row r="176" ht="15.75" customHeight="1" s="201">
      <c r="A176" s="4" t="inlineStr">
        <is>
          <t>GRAPES</t>
        </is>
      </c>
      <c r="B176" s="5" t="inlineStr">
        <is>
          <t>FRUIT OPENFIELD</t>
        </is>
      </c>
      <c r="D176" t="n">
        <v>63123000</v>
      </c>
    </row>
    <row r="177" ht="15.75" customHeight="1" s="201">
      <c r="A177" s="4" t="inlineStr">
        <is>
          <t>GUAVA</t>
        </is>
      </c>
      <c r="B177" s="5" t="inlineStr">
        <is>
          <t>FRUIT OPENFIELD</t>
        </is>
      </c>
      <c r="D177" t="n">
        <v>53451500</v>
      </c>
    </row>
    <row r="178" ht="15.75" customHeight="1" s="201">
      <c r="A178" s="4" t="inlineStr">
        <is>
          <t>KIWI</t>
        </is>
      </c>
      <c r="B178" s="5" t="inlineStr">
        <is>
          <t>FRUIT OPENFIELD</t>
        </is>
      </c>
      <c r="D178" t="n">
        <v>63126500</v>
      </c>
    </row>
    <row r="179" ht="15.75" customHeight="1" s="201">
      <c r="A179" s="4" t="inlineStr">
        <is>
          <t>MANGO</t>
        </is>
      </c>
      <c r="B179" s="5" t="inlineStr">
        <is>
          <t>FRUIT OPENFIELD</t>
        </is>
      </c>
      <c r="D179" t="n">
        <v>63129010</v>
      </c>
    </row>
    <row r="180" ht="15.75" customHeight="1" s="201">
      <c r="A180" s="4" t="inlineStr">
        <is>
          <t>MELON</t>
        </is>
      </c>
      <c r="B180" s="5" t="inlineStr">
        <is>
          <t>FRUIT OPENFIELD</t>
        </is>
      </c>
      <c r="D180" t="n">
        <v>63109010</v>
      </c>
    </row>
    <row r="181" ht="15.75" customHeight="1" s="201">
      <c r="A181" s="4" t="inlineStr">
        <is>
          <t>PEACH</t>
        </is>
      </c>
      <c r="B181" s="5" t="inlineStr">
        <is>
          <t>FRUIT OPENFIELD</t>
        </is>
      </c>
      <c r="D181" t="n">
        <v>63135010</v>
      </c>
    </row>
    <row r="182" ht="15.75" customHeight="1" s="201">
      <c r="A182" s="4" t="inlineStr">
        <is>
          <t>PEAR</t>
        </is>
      </c>
      <c r="B182" s="5" t="inlineStr">
        <is>
          <t>FRUIT OPENFIELD</t>
        </is>
      </c>
      <c r="D182" t="n">
        <v>63137010</v>
      </c>
    </row>
    <row r="183" ht="15.75" customHeight="1" s="201">
      <c r="A183" s="4" t="inlineStr">
        <is>
          <t>PINEAPPLE</t>
        </is>
      </c>
      <c r="B183" s="5" t="inlineStr">
        <is>
          <t>FRUIT OPENFIELD</t>
        </is>
      </c>
      <c r="D183" t="n">
        <v>63141010</v>
      </c>
    </row>
    <row r="184" ht="15.75" customHeight="1" s="201">
      <c r="A184" s="4" t="inlineStr">
        <is>
          <t>PLUM</t>
        </is>
      </c>
      <c r="B184" s="5" t="inlineStr">
        <is>
          <t>FRUIT OPENFIELD</t>
        </is>
      </c>
      <c r="D184" t="n">
        <v>63143010</v>
      </c>
    </row>
    <row r="185" ht="15.75" customHeight="1" s="201">
      <c r="A185" s="4" t="inlineStr">
        <is>
          <t>POMEGRANATE</t>
        </is>
      </c>
      <c r="B185" s="5" t="inlineStr">
        <is>
          <t>FRUIT OPENFIELD</t>
        </is>
      </c>
      <c r="D185" t="n">
        <v>63145010</v>
      </c>
    </row>
    <row r="186" ht="15.75" customHeight="1" s="201">
      <c r="A186" s="4" t="inlineStr">
        <is>
          <t>ROCKMELON</t>
        </is>
      </c>
      <c r="B186" s="5" t="inlineStr">
        <is>
          <t>FRUIT OPENFIELD</t>
        </is>
      </c>
    </row>
    <row r="187" ht="15.75" customHeight="1" s="201">
      <c r="A187" s="4" t="inlineStr">
        <is>
          <t>WATERMELON</t>
        </is>
      </c>
      <c r="B187" s="5" t="inlineStr">
        <is>
          <t>FRUIT OPENFIELD</t>
        </is>
      </c>
      <c r="D187" t="n">
        <v>63149010</v>
      </c>
    </row>
    <row r="188" ht="15.75" customHeight="1" s="201">
      <c r="A188" s="4" t="inlineStr">
        <is>
          <t>OLIVES</t>
        </is>
      </c>
      <c r="B188" s="5" t="inlineStr">
        <is>
          <t>FRUIT OPENFIELD</t>
        </is>
      </c>
      <c r="D188" t="n">
        <v>51135000</v>
      </c>
    </row>
    <row r="189" ht="15.75" customHeight="1" s="201">
      <c r="A189" s="4" t="inlineStr">
        <is>
          <t>BLACKBERRY</t>
        </is>
      </c>
      <c r="B189" s="5" t="inlineStr">
        <is>
          <t>FRUIT OPENFIELD</t>
        </is>
      </c>
      <c r="D189" t="n">
        <v>53102100</v>
      </c>
    </row>
    <row r="190" ht="15.75" customHeight="1" s="201">
      <c r="A190" s="4" t="inlineStr">
        <is>
          <t>BLUEBERRY</t>
        </is>
      </c>
      <c r="B190" s="5" t="inlineStr">
        <is>
          <t>FRUIT OPENFIELD</t>
        </is>
      </c>
      <c r="D190" t="n">
        <v>51180080</v>
      </c>
    </row>
    <row r="191" ht="15.75" customHeight="1" s="201">
      <c r="A191" s="4" t="inlineStr">
        <is>
          <t>CRANBERRY</t>
        </is>
      </c>
      <c r="B191" s="5" t="inlineStr">
        <is>
          <t>FRUIT OPENFIELD</t>
        </is>
      </c>
      <c r="D191" t="n">
        <v>92530510</v>
      </c>
    </row>
    <row r="192" ht="15.75" customHeight="1" s="201">
      <c r="A192" s="4" t="inlineStr">
        <is>
          <t>CURRANT</t>
        </is>
      </c>
      <c r="B192" s="5" t="inlineStr">
        <is>
          <t>FRUIT OPENFIELD</t>
        </is>
      </c>
    </row>
    <row r="193" ht="15.75" customHeight="1" s="201">
      <c r="A193" s="4" t="inlineStr">
        <is>
          <t>GOOSEBERRY</t>
        </is>
      </c>
      <c r="B193" s="5" t="inlineStr">
        <is>
          <t>FRUIT OPENFIELD</t>
        </is>
      </c>
      <c r="D193" t="n">
        <v>53303500</v>
      </c>
    </row>
    <row r="194" ht="15.75" customHeight="1" s="201">
      <c r="A194" s="4" t="inlineStr">
        <is>
          <t>RASPBERRY</t>
        </is>
      </c>
      <c r="B194" s="5" t="inlineStr">
        <is>
          <t>FRUIT OPENFIELD</t>
        </is>
      </c>
      <c r="D194" t="n">
        <v>27450066</v>
      </c>
    </row>
    <row r="195" ht="15.75" customHeight="1" s="201">
      <c r="A195" s="4" t="inlineStr">
        <is>
          <t>STRAWBERRY</t>
        </is>
      </c>
      <c r="B195" s="5" t="inlineStr">
        <is>
          <t>FRUIT OPENFIELD</t>
        </is>
      </c>
      <c r="D195" t="n">
        <v>53109200</v>
      </c>
    </row>
    <row r="196" ht="15.75" customHeight="1" s="201">
      <c r="A196" s="4" t="inlineStr">
        <is>
          <t>BARLEY</t>
        </is>
      </c>
      <c r="B196" s="5" t="inlineStr">
        <is>
          <t>GRAINS</t>
        </is>
      </c>
      <c r="D196" t="n">
        <v>58401010</v>
      </c>
    </row>
    <row r="197" ht="15.75" customHeight="1" s="201">
      <c r="A197" s="4" t="inlineStr">
        <is>
          <t>MAIZE</t>
        </is>
      </c>
      <c r="B197" s="5" t="inlineStr">
        <is>
          <t>GRAINS</t>
        </is>
      </c>
      <c r="D197" t="n">
        <v>56201600</v>
      </c>
    </row>
    <row r="198" ht="15.75" customHeight="1" s="201">
      <c r="A198" s="4" t="inlineStr">
        <is>
          <t>MILLET</t>
        </is>
      </c>
      <c r="B198" s="5" t="inlineStr">
        <is>
          <t>GRAINS</t>
        </is>
      </c>
      <c r="D198" t="n">
        <v>56202000</v>
      </c>
    </row>
    <row r="199" ht="15.75" customHeight="1" s="201">
      <c r="A199" s="4" t="inlineStr">
        <is>
          <t>OAT</t>
        </is>
      </c>
      <c r="B199" s="5" t="inlineStr">
        <is>
          <t>GRAINS</t>
        </is>
      </c>
    </row>
    <row r="200" ht="15.75" customHeight="1" s="201">
      <c r="A200" s="4" t="inlineStr">
        <is>
          <t>QUINOA</t>
        </is>
      </c>
      <c r="B200" s="5" t="inlineStr">
        <is>
          <t>GRAINS</t>
        </is>
      </c>
      <c r="D200" t="n">
        <v>56204000</v>
      </c>
    </row>
    <row r="201" ht="15.75" customHeight="1" s="201">
      <c r="A201" s="4" t="inlineStr">
        <is>
          <t>RYE</t>
        </is>
      </c>
      <c r="B201" s="5" t="inlineStr">
        <is>
          <t>GRAINS</t>
        </is>
      </c>
    </row>
    <row r="202" ht="15.75" customHeight="1" s="201">
      <c r="A202" s="4" t="inlineStr">
        <is>
          <t>SORGHUM</t>
        </is>
      </c>
      <c r="B202" s="5" t="inlineStr">
        <is>
          <t>GRAINS</t>
        </is>
      </c>
    </row>
    <row r="203" ht="15.75" customHeight="1" s="201">
      <c r="A203" s="4" t="inlineStr">
        <is>
          <t>WHEAT</t>
        </is>
      </c>
      <c r="B203" s="5" t="inlineStr">
        <is>
          <t>GRAINS</t>
        </is>
      </c>
      <c r="D203" t="n">
        <v>54338000</v>
      </c>
    </row>
    <row r="204" ht="15.75" customHeight="1" s="201">
      <c r="A204" s="4" t="inlineStr">
        <is>
          <t>BEAN</t>
        </is>
      </c>
      <c r="B204" s="5" t="inlineStr">
        <is>
          <t>LEGUMES</t>
        </is>
      </c>
      <c r="D204" t="n">
        <v>41205050</v>
      </c>
    </row>
    <row r="205" ht="15.75" customHeight="1" s="201">
      <c r="A205" s="4" t="inlineStr">
        <is>
          <t>CHICKPEA</t>
        </is>
      </c>
      <c r="B205" s="5" t="inlineStr">
        <is>
          <t>LEGUMES</t>
        </is>
      </c>
      <c r="D205" t="n">
        <v>41205070</v>
      </c>
    </row>
    <row r="206" ht="15.75" customHeight="1" s="201">
      <c r="A206" s="4" t="inlineStr">
        <is>
          <t>COWPEA</t>
        </is>
      </c>
      <c r="B206" s="5" t="inlineStr">
        <is>
          <t>LEGUMES</t>
        </is>
      </c>
    </row>
    <row r="207" ht="15.75" customHeight="1" s="201">
      <c r="A207" s="4" t="inlineStr">
        <is>
          <t>GREEN BEAN (fresh)</t>
        </is>
      </c>
      <c r="B207" s="5" t="inlineStr">
        <is>
          <t>LEGUMES</t>
        </is>
      </c>
      <c r="D207" t="n">
        <v>75302080</v>
      </c>
    </row>
    <row r="208" ht="15.75" customHeight="1" s="201">
      <c r="A208" s="4" t="inlineStr">
        <is>
          <t>LENTIL</t>
        </is>
      </c>
      <c r="B208" s="5" t="inlineStr">
        <is>
          <t>LEGUMES</t>
        </is>
      </c>
      <c r="D208" t="n">
        <v>41311030</v>
      </c>
    </row>
    <row r="209" ht="15.75" customHeight="1" s="201">
      <c r="A209" s="4" t="inlineStr">
        <is>
          <t>PEA</t>
        </is>
      </c>
      <c r="B209" s="5" t="inlineStr">
        <is>
          <t>LEGUMES</t>
        </is>
      </c>
    </row>
    <row r="210" ht="15.75" customHeight="1" s="201">
      <c r="A210" s="4" t="inlineStr">
        <is>
          <t>SOYBEAN</t>
        </is>
      </c>
      <c r="B210" s="5" t="inlineStr">
        <is>
          <t>LEGUMES</t>
        </is>
      </c>
      <c r="D210" t="n">
        <v>41420010</v>
      </c>
    </row>
    <row r="211" ht="15.75" customHeight="1" s="201">
      <c r="A211" s="4" t="inlineStr">
        <is>
          <t>GREEN BEAN (fresh) (g)*</t>
        </is>
      </c>
      <c r="B211" s="5" t="inlineStr">
        <is>
          <t>LEGUMES NOT HEATED GREENHOUSE (green bean)</t>
        </is>
      </c>
      <c r="D211" t="n">
        <v>75302080</v>
      </c>
    </row>
    <row r="212" ht="15.75" customHeight="1" s="201">
      <c r="A212" s="4" t="inlineStr">
        <is>
          <t>MUSHROOM*</t>
        </is>
      </c>
      <c r="B212" s="5" t="inlineStr">
        <is>
          <t>MUSHROOM*</t>
        </is>
      </c>
      <c r="D212" t="n">
        <v>75607040</v>
      </c>
    </row>
    <row r="213" ht="15.75" customHeight="1" s="201">
      <c r="A213" s="4" t="inlineStr">
        <is>
          <t>ALMOND</t>
        </is>
      </c>
      <c r="B213" s="5" t="inlineStr">
        <is>
          <t>NUTS</t>
        </is>
      </c>
      <c r="D213" t="n">
        <v>11350030</v>
      </c>
    </row>
    <row r="214" ht="15.75" customHeight="1" s="201">
      <c r="A214" s="4" t="inlineStr">
        <is>
          <t>CASHEW NUT</t>
        </is>
      </c>
      <c r="B214" s="5" t="inlineStr">
        <is>
          <t>NUTS</t>
        </is>
      </c>
      <c r="D214" t="n">
        <v>11350000</v>
      </c>
    </row>
    <row r="215" ht="15.75" customHeight="1" s="201">
      <c r="A215" s="4" t="inlineStr">
        <is>
          <t>CHESTNUT</t>
        </is>
      </c>
      <c r="B215" s="5" t="inlineStr">
        <is>
          <t>NUTS</t>
        </is>
      </c>
    </row>
    <row r="216" ht="15.75" customHeight="1" s="201">
      <c r="A216" s="4" t="inlineStr">
        <is>
          <t>HAZELNUT</t>
        </is>
      </c>
      <c r="B216" s="5" t="inlineStr">
        <is>
          <t>NUTS</t>
        </is>
      </c>
      <c r="D216" t="n">
        <v>91705040</v>
      </c>
    </row>
    <row r="217" ht="15.75" customHeight="1" s="201">
      <c r="A217" s="4" t="inlineStr">
        <is>
          <t>MIXED NUTS</t>
        </is>
      </c>
      <c r="B217" s="5" t="inlineStr">
        <is>
          <t>NUTS</t>
        </is>
      </c>
      <c r="D217" t="n">
        <v>76407010</v>
      </c>
    </row>
    <row r="218" ht="15.75" customHeight="1" s="201">
      <c r="A218" s="4" t="inlineStr">
        <is>
          <t>PALM NUT</t>
        </is>
      </c>
      <c r="B218" s="5" t="inlineStr">
        <is>
          <t>NUTS</t>
        </is>
      </c>
      <c r="D218" t="n">
        <v>75221160</v>
      </c>
    </row>
    <row r="219" ht="15.75" customHeight="1" s="201">
      <c r="A219" s="4" t="inlineStr">
        <is>
          <t>PEANUT</t>
        </is>
      </c>
      <c r="B219" s="5" t="inlineStr">
        <is>
          <t>NUTS</t>
        </is>
      </c>
      <c r="D219" t="n">
        <v>91734000</v>
      </c>
    </row>
    <row r="220" ht="15.75" customHeight="1" s="201">
      <c r="A220" s="4" t="inlineStr">
        <is>
          <t>PISTACHIO</t>
        </is>
      </c>
      <c r="B220" s="5" t="inlineStr">
        <is>
          <t>NUTS</t>
        </is>
      </c>
      <c r="D220" t="n">
        <v>42114130</v>
      </c>
    </row>
    <row r="221" ht="15.75" customHeight="1" s="201">
      <c r="A221" s="4" t="inlineStr">
        <is>
          <t>WALNUT</t>
        </is>
      </c>
      <c r="B221" s="5" t="inlineStr">
        <is>
          <t>NUTS</t>
        </is>
      </c>
      <c r="D221" t="n">
        <v>52302010</v>
      </c>
    </row>
    <row r="222" ht="15.75" customHeight="1" s="201">
      <c r="A222" s="4" t="inlineStr">
        <is>
          <t>RICE*</t>
        </is>
      </c>
      <c r="B222" s="5" t="inlineStr">
        <is>
          <t>RICE*</t>
        </is>
      </c>
      <c r="D222" t="n">
        <v>54319000</v>
      </c>
    </row>
    <row r="223" ht="15.75" customHeight="1" s="201">
      <c r="A223" s="4" t="inlineStr">
        <is>
          <t>RAPE SEED</t>
        </is>
      </c>
      <c r="B223" s="5" t="inlineStr">
        <is>
          <t>SEEDS</t>
        </is>
      </c>
      <c r="D223" t="n">
        <v>43103300</v>
      </c>
    </row>
    <row r="224" ht="15.75" customHeight="1" s="201">
      <c r="A224" s="4" t="inlineStr">
        <is>
          <t>SESAM SEED</t>
        </is>
      </c>
      <c r="B224" s="5" t="inlineStr">
        <is>
          <t>SEEDS</t>
        </is>
      </c>
      <c r="D224" t="n">
        <v>43103300</v>
      </c>
    </row>
    <row r="225" ht="15.75" customHeight="1" s="201">
      <c r="A225" s="4" t="inlineStr">
        <is>
          <t>SUNFLOWER SEED</t>
        </is>
      </c>
      <c r="B225" s="5" t="inlineStr">
        <is>
          <t>SEEDS</t>
        </is>
      </c>
      <c r="D225" t="n">
        <v>43103300</v>
      </c>
    </row>
    <row r="226" ht="15.75" customHeight="1" s="201">
      <c r="A226" s="4" t="inlineStr">
        <is>
          <t>CHILLY</t>
        </is>
      </c>
      <c r="B226" s="5" t="inlineStr">
        <is>
          <t>SPICIES</t>
        </is>
      </c>
    </row>
    <row r="227" ht="15.75" customHeight="1" s="201">
      <c r="A227" s="4" t="inlineStr">
        <is>
          <t>GINGER</t>
        </is>
      </c>
      <c r="B227" s="5" t="inlineStr">
        <is>
          <t>SPICIES</t>
        </is>
      </c>
      <c r="D227" t="n">
        <v>75503085</v>
      </c>
    </row>
    <row r="228" ht="15.75" customHeight="1" s="201">
      <c r="A228" s="4" t="inlineStr">
        <is>
          <t>POTATO</t>
        </is>
      </c>
      <c r="B228" s="5" t="inlineStr">
        <is>
          <t>STARCHY TUBERS</t>
        </is>
      </c>
      <c r="D228" t="n">
        <v>71200300</v>
      </c>
    </row>
    <row r="229" ht="15.75" customHeight="1" s="201">
      <c r="A229" s="4" t="inlineStr">
        <is>
          <t>STARCHY ROOTS</t>
        </is>
      </c>
      <c r="B229" s="5" t="inlineStr">
        <is>
          <t>STARCHY TUBERS</t>
        </is>
      </c>
      <c r="D229" t="n">
        <v>27351010</v>
      </c>
    </row>
    <row r="230" ht="15.75" customHeight="1" s="201">
      <c r="A230" s="4" t="inlineStr">
        <is>
          <t>SWEET POTATO</t>
        </is>
      </c>
      <c r="B230" s="5" t="inlineStr">
        <is>
          <t>STARCHY TUBERS</t>
        </is>
      </c>
      <c r="D230" t="n">
        <v>73409000</v>
      </c>
    </row>
    <row r="231" ht="15.75" customHeight="1" s="201">
      <c r="A231" s="4" t="inlineStr">
        <is>
          <t>CUCUMBER (G)</t>
        </is>
      </c>
      <c r="B231" s="5" t="inlineStr">
        <is>
          <t>VEGETABLES HEATED GREENHOUSE</t>
        </is>
      </c>
      <c r="D231" t="n">
        <v>74506000</v>
      </c>
    </row>
    <row r="232" ht="15.75" customHeight="1" s="201">
      <c r="A232" s="4" t="inlineStr">
        <is>
          <t>GERKIN (G)</t>
        </is>
      </c>
      <c r="B232" s="5" t="inlineStr">
        <is>
          <t>VEGETABLES HEATED GREENHOUSE</t>
        </is>
      </c>
    </row>
    <row r="233" ht="15.75" customHeight="1" s="201">
      <c r="A233" s="4" t="inlineStr">
        <is>
          <t>LETTUCE (G)</t>
        </is>
      </c>
      <c r="B233" s="5" t="inlineStr">
        <is>
          <t>VEGETABLES HEATED GREENHOUSE</t>
        </is>
      </c>
      <c r="D233" t="n">
        <v>75113060</v>
      </c>
    </row>
    <row r="234" ht="15.75" customHeight="1" s="201">
      <c r="A234" s="4" t="inlineStr">
        <is>
          <t>PEPPER (G)</t>
        </is>
      </c>
      <c r="B234" s="5" t="inlineStr">
        <is>
          <t>VEGETABLES HEATED GREENHOUSE</t>
        </is>
      </c>
      <c r="D234" t="n">
        <v>75511040</v>
      </c>
    </row>
    <row r="235" ht="15.75" customHeight="1" s="201">
      <c r="A235" s="4" t="inlineStr">
        <is>
          <t>TOMATO (G)</t>
        </is>
      </c>
      <c r="B235" s="5" t="inlineStr">
        <is>
          <t>VEGETABLES HEATED GREENHOUSE</t>
        </is>
      </c>
      <c r="D235" t="n">
        <v>74601010</v>
      </c>
    </row>
    <row r="236" ht="15.75" customHeight="1" s="201">
      <c r="A236" s="4" t="inlineStr">
        <is>
          <t>CUCUMBER (g)</t>
        </is>
      </c>
      <c r="B236" s="5" t="inlineStr">
        <is>
          <t>VEGETABLES NOT HEATED GREENHOUSE</t>
        </is>
      </c>
      <c r="D236" t="n">
        <v>74506000</v>
      </c>
    </row>
    <row r="237" ht="15.75" customHeight="1" s="201">
      <c r="A237" s="4" t="inlineStr">
        <is>
          <t>EGGPLANT (g)</t>
        </is>
      </c>
      <c r="B237" s="5" t="inlineStr">
        <is>
          <t>VEGETABLES NOT HEATED GREENHOUSE</t>
        </is>
      </c>
      <c r="D237" t="n">
        <v>75412070</v>
      </c>
    </row>
    <row r="238" ht="15.75" customHeight="1" s="201">
      <c r="A238" s="4" t="inlineStr">
        <is>
          <t>PEPPER (g)</t>
        </is>
      </c>
      <c r="B238" s="5" t="inlineStr">
        <is>
          <t>VEGETABLES NOT HEATED GREENHOUSE</t>
        </is>
      </c>
      <c r="D238" t="n">
        <v>75511040</v>
      </c>
    </row>
    <row r="239" ht="15.75" customHeight="1" s="201">
      <c r="A239" s="4" t="inlineStr">
        <is>
          <t>TOMATO (g)</t>
        </is>
      </c>
      <c r="B239" s="5" t="inlineStr">
        <is>
          <t>VEGETABLES NOT HEATED GREENHOUSE</t>
        </is>
      </c>
      <c r="D239" t="n">
        <v>74601010</v>
      </c>
    </row>
    <row r="240" ht="15.75" customHeight="1" s="201">
      <c r="A240" s="4" t="inlineStr">
        <is>
          <t>ZUCCHINI (g)</t>
        </is>
      </c>
      <c r="B240" s="5" t="inlineStr">
        <is>
          <t>VEGETABLES NOT HEATED GREENHOUSE</t>
        </is>
      </c>
      <c r="D240" t="n">
        <v>52407000</v>
      </c>
    </row>
    <row r="241" ht="15.75" customHeight="1" s="201">
      <c r="A241" s="4" t="inlineStr">
        <is>
          <t>ASPARAGUS</t>
        </is>
      </c>
      <c r="B241" s="5" t="inlineStr">
        <is>
          <t>VEGETABLES OPENFIELD</t>
        </is>
      </c>
      <c r="D241" t="n">
        <v>75100800</v>
      </c>
    </row>
    <row r="242" ht="15.75" customHeight="1" s="201">
      <c r="A242" s="4" t="inlineStr">
        <is>
          <t>CABAGGE</t>
        </is>
      </c>
      <c r="B242" s="5" t="inlineStr">
        <is>
          <t>VEGETABLES OPENFIELD</t>
        </is>
      </c>
    </row>
    <row r="243" ht="15.75" customHeight="1" s="201">
      <c r="A243" s="4" t="inlineStr">
        <is>
          <t>LETTUCE</t>
        </is>
      </c>
      <c r="B243" s="5" t="inlineStr">
        <is>
          <t>VEGETABLES OPENFIELD</t>
        </is>
      </c>
      <c r="D243" t="n">
        <v>75113060</v>
      </c>
    </row>
    <row r="244" ht="15.75" customHeight="1" s="201">
      <c r="A244" s="4" t="inlineStr">
        <is>
          <t>SPINACH</t>
        </is>
      </c>
      <c r="B244" s="5" t="inlineStr">
        <is>
          <t>VEGETABLES OPENFIELD</t>
        </is>
      </c>
      <c r="D244" t="n">
        <v>72125260</v>
      </c>
    </row>
    <row r="245" ht="15.75" customHeight="1" s="201">
      <c r="A245" s="4" t="inlineStr">
        <is>
          <t>BEETROOT</t>
        </is>
      </c>
      <c r="B245" s="5" t="inlineStr">
        <is>
          <t>VEGETABLES OPENFIELD</t>
        </is>
      </c>
    </row>
    <row r="246" ht="15.75" customHeight="1" s="201">
      <c r="A246" s="4" t="inlineStr">
        <is>
          <t>CARROT</t>
        </is>
      </c>
      <c r="B246" s="5" t="inlineStr">
        <is>
          <t>VEGETABLES OPENFIELD</t>
        </is>
      </c>
      <c r="D246" t="n">
        <v>53109200</v>
      </c>
    </row>
    <row r="247" ht="15.75" customHeight="1" s="201">
      <c r="A247" s="4" t="inlineStr">
        <is>
          <t>GARLIC</t>
        </is>
      </c>
      <c r="B247" s="5" t="inlineStr">
        <is>
          <t>VEGETABLES OPENFIELD</t>
        </is>
      </c>
      <c r="D247" t="n">
        <v>51121025</v>
      </c>
    </row>
    <row r="248" ht="15.75" customHeight="1" s="201">
      <c r="A248" s="4" t="inlineStr">
        <is>
          <t>ONION</t>
        </is>
      </c>
      <c r="B248" s="5" t="inlineStr">
        <is>
          <t>VEGETABLES OPENFIELD</t>
        </is>
      </c>
      <c r="D248" t="n">
        <v>11440030</v>
      </c>
    </row>
    <row r="249" ht="15.75" customHeight="1" s="201">
      <c r="A249" s="4" t="inlineStr">
        <is>
          <t>RADISH</t>
        </is>
      </c>
      <c r="B249" s="5" t="inlineStr">
        <is>
          <t>VEGETABLES OPENFIELD</t>
        </is>
      </c>
      <c r="D249" t="n">
        <v>75125000</v>
      </c>
    </row>
    <row r="250" ht="15.75" customHeight="1" s="201">
      <c r="A250" s="4" t="inlineStr">
        <is>
          <t>SWEDE</t>
        </is>
      </c>
      <c r="B250" s="5" t="inlineStr">
        <is>
          <t>VEGETABLES OPENFIELD</t>
        </is>
      </c>
    </row>
    <row r="251" ht="15.75" customHeight="1" s="201">
      <c r="A251" s="4" t="inlineStr">
        <is>
          <t>TURNIP</t>
        </is>
      </c>
      <c r="B251" s="5" t="inlineStr">
        <is>
          <t>VEGETABLES OPENFIELD</t>
        </is>
      </c>
      <c r="D251" t="n">
        <v>72128211</v>
      </c>
    </row>
    <row r="252" ht="15.75" customHeight="1" s="201">
      <c r="A252" s="4" t="inlineStr">
        <is>
          <t>ARTICHOKE</t>
        </is>
      </c>
      <c r="B252" s="5" t="inlineStr">
        <is>
          <t>VEGETABLES OPENFIELD</t>
        </is>
      </c>
      <c r="D252" t="n">
        <v>14620110</v>
      </c>
    </row>
    <row r="253" ht="15.75" customHeight="1" s="201">
      <c r="A253" s="4" t="inlineStr">
        <is>
          <t>BROCCOLI</t>
        </is>
      </c>
      <c r="B253" s="5" t="inlineStr">
        <is>
          <t>VEGETABLES OPENFIELD</t>
        </is>
      </c>
      <c r="D253" t="n">
        <v>72103030</v>
      </c>
    </row>
    <row r="254" ht="15.75" customHeight="1" s="201">
      <c r="A254" s="4" t="inlineStr">
        <is>
          <t>CAULIFLOWER</t>
        </is>
      </c>
      <c r="B254" s="5" t="inlineStr">
        <is>
          <t>VEGETABLES OPENFIELD</t>
        </is>
      </c>
      <c r="D254" t="n">
        <v>75409020</v>
      </c>
    </row>
    <row r="255" ht="15.75" customHeight="1" s="201">
      <c r="A255" s="4" t="inlineStr">
        <is>
          <t>CELERY</t>
        </is>
      </c>
      <c r="B255" s="5" t="inlineStr">
        <is>
          <t>VEGETABLES OPENFIELD</t>
        </is>
      </c>
      <c r="D255" t="n">
        <v>75109000</v>
      </c>
    </row>
    <row r="256" ht="15.75" customHeight="1" s="201">
      <c r="A256" s="4" t="inlineStr">
        <is>
          <t>CUCUMBER</t>
        </is>
      </c>
      <c r="B256" s="5" t="inlineStr">
        <is>
          <t>VEGETABLES OPENFIELD</t>
        </is>
      </c>
      <c r="D256" t="n">
        <v>74506000</v>
      </c>
    </row>
    <row r="257" ht="15.75" customHeight="1" s="201">
      <c r="A257" s="4" t="inlineStr">
        <is>
          <t>EGGPLANT</t>
        </is>
      </c>
      <c r="B257" s="5" t="inlineStr">
        <is>
          <t>VEGETABLES OPENFIELD</t>
        </is>
      </c>
      <c r="D257" t="n">
        <v>75412070</v>
      </c>
    </row>
    <row r="258" ht="15.75" customHeight="1" s="201">
      <c r="A258" s="4" t="inlineStr">
        <is>
          <t>FENNEL</t>
        </is>
      </c>
      <c r="B258" s="5" t="inlineStr">
        <is>
          <t>VEGETABLES OPENFIELD</t>
        </is>
      </c>
      <c r="D258" t="n">
        <v>75109010</v>
      </c>
    </row>
    <row r="259" ht="15.75" customHeight="1" s="201">
      <c r="A259" s="4" t="inlineStr">
        <is>
          <t>GERKIN</t>
        </is>
      </c>
      <c r="B259" s="5" t="inlineStr">
        <is>
          <t>VEGETABLES OPENFIELD</t>
        </is>
      </c>
    </row>
    <row r="260" ht="15.75" customHeight="1" s="201">
      <c r="A260" s="4" t="inlineStr">
        <is>
          <t>PEPPER</t>
        </is>
      </c>
      <c r="B260" s="5" t="inlineStr">
        <is>
          <t>VEGETABLES OPENFIELD</t>
        </is>
      </c>
      <c r="D260" t="n">
        <v>75511040</v>
      </c>
    </row>
    <row r="261" ht="15.75" customHeight="1" s="201">
      <c r="A261" s="4" t="inlineStr">
        <is>
          <t>PUMPKIN</t>
        </is>
      </c>
      <c r="B261" s="5" t="inlineStr">
        <is>
          <t>VEGETABLES OPENFIELD</t>
        </is>
      </c>
      <c r="D261" t="n">
        <v>43101050</v>
      </c>
    </row>
    <row r="262" ht="15.75" customHeight="1" s="201">
      <c r="A262" s="4" t="inlineStr">
        <is>
          <t>TOMATO</t>
        </is>
      </c>
      <c r="B262" s="5" t="inlineStr">
        <is>
          <t>VEGETABLES OPENFIELD</t>
        </is>
      </c>
      <c r="D262" t="n">
        <v>74601010</v>
      </c>
    </row>
    <row r="263" ht="15.75" customHeight="1" s="201">
      <c r="A263" s="4" t="inlineStr">
        <is>
          <t>VEGETABLES</t>
        </is>
      </c>
      <c r="B263" s="5" t="inlineStr">
        <is>
          <t>VEGETABLES OPENFIELD</t>
        </is>
      </c>
      <c r="D263" t="n">
        <v>76407010</v>
      </c>
    </row>
    <row r="264" ht="15.75" customHeight="1" s="201">
      <c r="A264" s="4" t="inlineStr">
        <is>
          <t>ZUCCHINI</t>
        </is>
      </c>
      <c r="B264" s="5" t="inlineStr">
        <is>
          <t>VEGETABLES OPENFIELD</t>
        </is>
      </c>
      <c r="D264" t="n">
        <v>52407000</v>
      </c>
    </row>
    <row r="265" ht="15.75" customHeight="1" s="201">
      <c r="A265" s="4" t="inlineStr">
        <is>
          <t>ALFONSINO</t>
        </is>
      </c>
      <c r="B265" s="5" t="inlineStr">
        <is>
          <t>FISH</t>
        </is>
      </c>
    </row>
    <row r="266" ht="15.75" customHeight="1" s="201">
      <c r="A266" s="4" t="inlineStr">
        <is>
          <t>ANCHOVY</t>
        </is>
      </c>
      <c r="B266" s="5" t="inlineStr">
        <is>
          <t>FISH</t>
        </is>
      </c>
      <c r="D266" t="n">
        <v>26101110</v>
      </c>
    </row>
    <row r="267" ht="15.75" customHeight="1" s="201">
      <c r="A267" s="4" t="inlineStr">
        <is>
          <t>ANGLERFISH</t>
        </is>
      </c>
      <c r="B267" s="5" t="inlineStr">
        <is>
          <t>FISH</t>
        </is>
      </c>
    </row>
    <row r="268" ht="15.75" customHeight="1" s="201">
      <c r="A268" s="4" t="inlineStr">
        <is>
          <t>CARP</t>
        </is>
      </c>
      <c r="B268" s="5" t="inlineStr">
        <is>
          <t>FISH</t>
        </is>
      </c>
      <c r="D268" t="n">
        <v>26105120</v>
      </c>
    </row>
    <row r="269" ht="15.75" customHeight="1" s="201">
      <c r="A269" s="4" t="inlineStr">
        <is>
          <t>CATFISH</t>
        </is>
      </c>
      <c r="B269" s="5" t="inlineStr">
        <is>
          <t>FISH</t>
        </is>
      </c>
      <c r="D269" t="n">
        <v>26107110</v>
      </c>
    </row>
    <row r="270" ht="15.75" customHeight="1" s="201">
      <c r="A270" s="4" t="inlineStr">
        <is>
          <t>COD</t>
        </is>
      </c>
      <c r="B270" s="5" t="inlineStr">
        <is>
          <t>FISH</t>
        </is>
      </c>
    </row>
    <row r="271" ht="15.75" customHeight="1" s="201">
      <c r="A271" s="4" t="inlineStr">
        <is>
          <t>DIAMOND FISH</t>
        </is>
      </c>
      <c r="B271" s="5" t="inlineStr">
        <is>
          <t>FISH</t>
        </is>
      </c>
      <c r="D271" t="n">
        <v>27150310</v>
      </c>
    </row>
    <row r="272" ht="15.75" customHeight="1" s="201">
      <c r="A272" s="4" t="inlineStr">
        <is>
          <t>EEL</t>
        </is>
      </c>
      <c r="B272" s="5" t="inlineStr">
        <is>
          <t>FISH</t>
        </is>
      </c>
    </row>
    <row r="273" ht="15.75" customHeight="1" s="201">
      <c r="A273" s="4" t="inlineStr">
        <is>
          <t>FISH MIXED</t>
        </is>
      </c>
      <c r="B273" s="5" t="inlineStr">
        <is>
          <t>FISH</t>
        </is>
      </c>
      <c r="D273" t="n">
        <v>76407010</v>
      </c>
    </row>
    <row r="274" ht="15.75" customHeight="1" s="201">
      <c r="A274" s="4" t="inlineStr">
        <is>
          <t>FLATFISH</t>
        </is>
      </c>
      <c r="B274" s="5" t="inlineStr">
        <is>
          <t>FISH</t>
        </is>
      </c>
    </row>
    <row r="275" ht="15.75" customHeight="1" s="201">
      <c r="A275" s="4" t="inlineStr">
        <is>
          <t>FLATHEAD</t>
        </is>
      </c>
      <c r="B275" s="5" t="inlineStr">
        <is>
          <t>FISH</t>
        </is>
      </c>
    </row>
    <row r="276" ht="15.75" customHeight="1" s="201">
      <c r="A276" s="4" t="inlineStr">
        <is>
          <t>FORK BEARD</t>
        </is>
      </c>
      <c r="B276" s="5" t="inlineStr">
        <is>
          <t>FISH</t>
        </is>
      </c>
    </row>
    <row r="277" ht="15.75" customHeight="1" s="201">
      <c r="A277" s="4" t="inlineStr">
        <is>
          <t>HADDOCK</t>
        </is>
      </c>
      <c r="B277" s="5" t="inlineStr">
        <is>
          <t>FISH</t>
        </is>
      </c>
      <c r="D277" t="n">
        <v>26117120</v>
      </c>
    </row>
    <row r="278" ht="15.75" customHeight="1" s="201">
      <c r="A278" s="4" t="inlineStr">
        <is>
          <t>HAKE</t>
        </is>
      </c>
      <c r="B278" s="5" t="inlineStr">
        <is>
          <t>FISH</t>
        </is>
      </c>
      <c r="D278" t="n">
        <v>26117120</v>
      </c>
    </row>
    <row r="279" ht="15.75" customHeight="1" s="201">
      <c r="A279" s="4" t="inlineStr">
        <is>
          <t>HERRING</t>
        </is>
      </c>
      <c r="B279" s="5" t="inlineStr">
        <is>
          <t>FISH</t>
        </is>
      </c>
      <c r="D279" t="n">
        <v>26119110</v>
      </c>
    </row>
    <row r="280" ht="15.75" customHeight="1" s="201">
      <c r="A280" s="4" t="inlineStr">
        <is>
          <t>LING</t>
        </is>
      </c>
      <c r="B280" s="5" t="inlineStr">
        <is>
          <t>FISH</t>
        </is>
      </c>
      <c r="D280" t="n">
        <v>26117120</v>
      </c>
    </row>
    <row r="281" ht="15.75" customHeight="1" s="201">
      <c r="A281" s="4" t="inlineStr">
        <is>
          <t>MACKEREL</t>
        </is>
      </c>
      <c r="B281" s="5" t="inlineStr">
        <is>
          <t>FISH</t>
        </is>
      </c>
      <c r="D281" t="n">
        <v>26121110</v>
      </c>
    </row>
    <row r="282" ht="15.75" customHeight="1" s="201">
      <c r="A282" s="4" t="inlineStr">
        <is>
          <t>MEGRIM</t>
        </is>
      </c>
      <c r="B282" s="5" t="inlineStr">
        <is>
          <t>FISH</t>
        </is>
      </c>
    </row>
    <row r="283" ht="15.75" customHeight="1" s="201">
      <c r="A283" s="4" t="inlineStr">
        <is>
          <t>PILCHARD</t>
        </is>
      </c>
      <c r="B283" s="5" t="inlineStr">
        <is>
          <t>FISH</t>
        </is>
      </c>
    </row>
    <row r="284" ht="15.75" customHeight="1" s="201">
      <c r="A284" s="4" t="inlineStr">
        <is>
          <t>PLAICE</t>
        </is>
      </c>
      <c r="B284" s="5" t="inlineStr">
        <is>
          <t>FISH</t>
        </is>
      </c>
    </row>
    <row r="285" ht="15.75" customHeight="1" s="201">
      <c r="A285" s="4" t="inlineStr">
        <is>
          <t>POLLOCK</t>
        </is>
      </c>
      <c r="B285" s="5" t="inlineStr">
        <is>
          <t>FISH</t>
        </is>
      </c>
      <c r="D285" t="n">
        <v>26117120</v>
      </c>
    </row>
    <row r="286" ht="15.75" customHeight="1" s="201">
      <c r="A286" s="4" t="inlineStr">
        <is>
          <t>POMFRET</t>
        </is>
      </c>
      <c r="B286" s="5" t="inlineStr">
        <is>
          <t>FISH</t>
        </is>
      </c>
    </row>
    <row r="287" ht="15.75" customHeight="1" s="201">
      <c r="A287" s="4" t="inlineStr">
        <is>
          <t>PORBEAGLE</t>
        </is>
      </c>
      <c r="B287" s="5" t="inlineStr">
        <is>
          <t>FISH</t>
        </is>
      </c>
    </row>
    <row r="288" ht="15.75" customHeight="1" s="201">
      <c r="A288" s="4" t="inlineStr">
        <is>
          <t>RHOMBUS</t>
        </is>
      </c>
      <c r="B288" s="5" t="inlineStr">
        <is>
          <t>FISH</t>
        </is>
      </c>
    </row>
    <row r="289" ht="15.75" customHeight="1" s="201">
      <c r="A289" s="4" t="inlineStr">
        <is>
          <t>ROCK FISH</t>
        </is>
      </c>
      <c r="B289" s="5" t="inlineStr">
        <is>
          <t>FISH</t>
        </is>
      </c>
      <c r="D289" t="n">
        <v>27150310</v>
      </c>
    </row>
    <row r="290" ht="15.75" customHeight="1" s="201">
      <c r="A290" s="4" t="inlineStr">
        <is>
          <t>SALMON</t>
        </is>
      </c>
      <c r="B290" s="5" t="inlineStr">
        <is>
          <t>FISH</t>
        </is>
      </c>
      <c r="D290" t="n">
        <v>27250070</v>
      </c>
    </row>
    <row r="291" ht="15.75" customHeight="1" s="201">
      <c r="A291" s="4" t="inlineStr">
        <is>
          <t>SARDINE</t>
        </is>
      </c>
      <c r="B291" s="5" t="inlineStr">
        <is>
          <t>FISH</t>
        </is>
      </c>
    </row>
    <row r="292" ht="15.75" customHeight="1" s="201">
      <c r="A292" s="4" t="inlineStr">
        <is>
          <t>SEA-BASS</t>
        </is>
      </c>
      <c r="B292" s="5" t="inlineStr">
        <is>
          <t>FISH</t>
        </is>
      </c>
      <c r="D292" t="n">
        <v>26141120</v>
      </c>
    </row>
    <row r="293" ht="15.75" customHeight="1" s="201">
      <c r="A293" s="4" t="inlineStr">
        <is>
          <t>SHARK</t>
        </is>
      </c>
      <c r="B293" s="5" t="inlineStr">
        <is>
          <t>FISH</t>
        </is>
      </c>
      <c r="D293" t="n">
        <v>26143120</v>
      </c>
    </row>
    <row r="294" ht="15.75" customHeight="1" s="201">
      <c r="A294" s="4" t="inlineStr">
        <is>
          <t>SOLE</t>
        </is>
      </c>
      <c r="B294" s="5" t="inlineStr">
        <is>
          <t>FISH</t>
        </is>
      </c>
      <c r="D294" t="n">
        <v>26115120</v>
      </c>
    </row>
    <row r="295" ht="15.75" customHeight="1" s="201">
      <c r="A295" s="4" t="inlineStr">
        <is>
          <t>SWARDFISH</t>
        </is>
      </c>
      <c r="B295" s="5" t="inlineStr">
        <is>
          <t>FISH</t>
        </is>
      </c>
    </row>
    <row r="296" ht="15.75" customHeight="1" s="201">
      <c r="A296" s="4" t="inlineStr">
        <is>
          <t>TROUT</t>
        </is>
      </c>
      <c r="B296" s="5" t="inlineStr">
        <is>
          <t>FISH</t>
        </is>
      </c>
      <c r="D296" t="n">
        <v>26111120</v>
      </c>
    </row>
    <row r="297" ht="15.75" customHeight="1" s="201">
      <c r="A297" s="4" t="inlineStr">
        <is>
          <t>TUNA</t>
        </is>
      </c>
      <c r="B297" s="5" t="inlineStr">
        <is>
          <t>FISH</t>
        </is>
      </c>
      <c r="D297" t="n">
        <v>27550730</v>
      </c>
    </row>
    <row r="298" ht="15.75" customHeight="1" s="201">
      <c r="A298" s="4" t="inlineStr">
        <is>
          <t>TURBOT</t>
        </is>
      </c>
      <c r="B298" s="5" t="inlineStr">
        <is>
          <t>FISH</t>
        </is>
      </c>
      <c r="D298" t="n">
        <v>26115120</v>
      </c>
    </row>
    <row r="299" ht="15.75" customHeight="1" s="201">
      <c r="A299" s="4" t="inlineStr">
        <is>
          <t>WHITING</t>
        </is>
      </c>
      <c r="B299" s="5" t="inlineStr">
        <is>
          <t>FISH</t>
        </is>
      </c>
      <c r="D299" t="n">
        <v>26157110</v>
      </c>
    </row>
    <row r="300" ht="15.75" customHeight="1" s="201">
      <c r="A300" s="4" t="inlineStr">
        <is>
          <t>COD (F)</t>
        </is>
      </c>
      <c r="B300" s="5" t="inlineStr">
        <is>
          <t>FISH FROZEN</t>
        </is>
      </c>
    </row>
    <row r="301" ht="15.75" customHeight="1" s="201">
      <c r="A301" s="4" t="inlineStr">
        <is>
          <t>FISH STICK (F)</t>
        </is>
      </c>
      <c r="B301" s="5" t="inlineStr">
        <is>
          <t>FISH FROZEN</t>
        </is>
      </c>
      <c r="D301" t="n">
        <v>26100260</v>
      </c>
    </row>
    <row r="302" ht="15.75" customHeight="1" s="201">
      <c r="A302" s="4" t="inlineStr">
        <is>
          <t>HADDOCK (F)</t>
        </is>
      </c>
      <c r="B302" s="5" t="inlineStr">
        <is>
          <t>FISH FROZEN</t>
        </is>
      </c>
      <c r="D302" t="n">
        <v>26117120</v>
      </c>
    </row>
    <row r="303" ht="15.75" customHeight="1" s="201">
      <c r="A303" s="4" t="inlineStr">
        <is>
          <t>HERRING (F)</t>
        </is>
      </c>
      <c r="B303" s="5" t="inlineStr">
        <is>
          <t>FISH FROZEN</t>
        </is>
      </c>
      <c r="D303" t="n">
        <v>26119110</v>
      </c>
    </row>
    <row r="304" ht="15.75" customHeight="1" s="201">
      <c r="A304" s="4" t="inlineStr">
        <is>
          <t>MACKEREL (F)</t>
        </is>
      </c>
      <c r="B304" s="5" t="inlineStr">
        <is>
          <t>FISH FROZEN</t>
        </is>
      </c>
      <c r="D304" t="n">
        <v>26121110</v>
      </c>
    </row>
    <row r="305" ht="15.75" customHeight="1" s="201">
      <c r="A305" s="4" t="inlineStr">
        <is>
          <t>MIXED FISH (F)</t>
        </is>
      </c>
      <c r="B305" s="5" t="inlineStr">
        <is>
          <t>FISH FROZEN</t>
        </is>
      </c>
      <c r="D305" t="n">
        <v>76407010</v>
      </c>
    </row>
    <row r="306" ht="15.75" customHeight="1" s="201">
      <c r="A306" s="4" t="inlineStr">
        <is>
          <t>POLLOCK (F)</t>
        </is>
      </c>
      <c r="B306" s="5" t="inlineStr">
        <is>
          <t>FISH FROZEN</t>
        </is>
      </c>
      <c r="D306" t="n">
        <v>26117120</v>
      </c>
    </row>
    <row r="307" ht="15.75" customHeight="1" s="201">
      <c r="A307" s="4" t="inlineStr">
        <is>
          <t>POLLOCK STICK (F)</t>
        </is>
      </c>
      <c r="B307" s="5" t="inlineStr">
        <is>
          <t>FISH FROZEN</t>
        </is>
      </c>
      <c r="D307" t="n">
        <v>26117120</v>
      </c>
    </row>
    <row r="308" ht="15.75" customHeight="1" s="201">
      <c r="A308" s="4" t="inlineStr">
        <is>
          <t>SALMON (F)</t>
        </is>
      </c>
      <c r="B308" s="5" t="inlineStr">
        <is>
          <t>FISH FROZEN</t>
        </is>
      </c>
      <c r="D308" t="n">
        <v>27250070</v>
      </c>
    </row>
    <row r="309" ht="15.75" customHeight="1" s="201">
      <c r="A309" s="4" t="inlineStr">
        <is>
          <t>SOLE (F)</t>
        </is>
      </c>
      <c r="B309" s="5" t="inlineStr">
        <is>
          <t>FISH FROZEN</t>
        </is>
      </c>
      <c r="D309" t="n">
        <v>26115120</v>
      </c>
    </row>
    <row r="310" ht="15.75" customHeight="1" s="201">
      <c r="A310" s="4" t="inlineStr">
        <is>
          <t>TROUT (F)</t>
        </is>
      </c>
      <c r="B310" s="5" t="inlineStr">
        <is>
          <t>FISH FROZEN</t>
        </is>
      </c>
      <c r="D310" t="n">
        <v>26111120</v>
      </c>
    </row>
    <row r="311" ht="15.75" customHeight="1" s="201">
      <c r="A311" s="4" t="inlineStr">
        <is>
          <t>TUNA (F)</t>
        </is>
      </c>
      <c r="B311" s="5" t="inlineStr">
        <is>
          <t>FISH FROZEN</t>
        </is>
      </c>
      <c r="D311" t="n">
        <v>27550730</v>
      </c>
    </row>
    <row r="312" ht="15.75" customHeight="1" s="201">
      <c r="A312" s="4" t="inlineStr">
        <is>
          <t>COD FISH STICK</t>
        </is>
      </c>
      <c r="B312" s="5" t="inlineStr">
        <is>
          <t>FISH PROCESSED</t>
        </is>
      </c>
      <c r="D312" t="n">
        <v>26100260</v>
      </c>
    </row>
    <row r="313" ht="15.75" customHeight="1" s="201">
      <c r="A313" s="4" t="inlineStr">
        <is>
          <t>HAKE FISH STICK</t>
        </is>
      </c>
      <c r="B313" s="5" t="inlineStr">
        <is>
          <t>FISH PROCESSED</t>
        </is>
      </c>
      <c r="D313" t="n">
        <v>26100260</v>
      </c>
    </row>
    <row r="314" ht="15.75" customHeight="1" s="201">
      <c r="A314" s="4" t="inlineStr">
        <is>
          <t>MAKEREL FISH STICK</t>
        </is>
      </c>
      <c r="B314" s="5" t="inlineStr">
        <is>
          <t>FISH PROCESSED</t>
        </is>
      </c>
      <c r="D314" t="n">
        <v>26100260</v>
      </c>
    </row>
    <row r="315" ht="15.75" customHeight="1" s="201">
      <c r="A315" s="4" t="inlineStr">
        <is>
          <t>TUNA IN CAN</t>
        </is>
      </c>
      <c r="B315" s="5" t="inlineStr">
        <is>
          <t>FISH PROCESSED</t>
        </is>
      </c>
      <c r="D315" t="n">
        <v>27550730</v>
      </c>
    </row>
    <row r="316" ht="15.75" customHeight="1" s="201">
      <c r="A316" s="4" t="inlineStr">
        <is>
          <t>BARNACLE</t>
        </is>
      </c>
      <c r="B316" s="5" t="inlineStr">
        <is>
          <t>SHELLFISH</t>
        </is>
      </c>
    </row>
    <row r="317" ht="15.75" customHeight="1" s="201">
      <c r="A317" s="4" t="inlineStr">
        <is>
          <t>KRILL</t>
        </is>
      </c>
      <c r="B317" s="5" t="inlineStr">
        <is>
          <t>SHELLFISH</t>
        </is>
      </c>
    </row>
    <row r="318" ht="15.75" customHeight="1" s="201">
      <c r="A318" s="4" t="inlineStr">
        <is>
          <t>LOBSTER</t>
        </is>
      </c>
      <c r="B318" s="5" t="inlineStr">
        <is>
          <t>SHELLFISH</t>
        </is>
      </c>
      <c r="D318" t="n">
        <v>26311110</v>
      </c>
    </row>
    <row r="319" ht="15.75" customHeight="1" s="201">
      <c r="A319" s="4" t="inlineStr">
        <is>
          <t>MUSSELS</t>
        </is>
      </c>
      <c r="B319" s="5" t="inlineStr">
        <is>
          <t>SHELLFISH</t>
        </is>
      </c>
      <c r="D319" t="n">
        <v>26313100</v>
      </c>
    </row>
    <row r="320" ht="15.75" customHeight="1" s="201">
      <c r="A320" s="4" t="inlineStr">
        <is>
          <t>CUTTLEFISH</t>
        </is>
      </c>
      <c r="B320" s="5" t="inlineStr">
        <is>
          <t>SHELLFISH</t>
        </is>
      </c>
      <c r="D320" t="n">
        <v>26213120</v>
      </c>
    </row>
    <row r="321" ht="15.75" customHeight="1" s="201">
      <c r="A321" s="4" t="inlineStr">
        <is>
          <t>OCTOPUS</t>
        </is>
      </c>
      <c r="B321" s="5" t="inlineStr">
        <is>
          <t>SHELLFISH</t>
        </is>
      </c>
      <c r="D321" t="n">
        <v>26205110</v>
      </c>
    </row>
    <row r="322" ht="15.75" customHeight="1" s="201">
      <c r="A322" s="4" t="inlineStr">
        <is>
          <t>SQUID</t>
        </is>
      </c>
      <c r="B322" s="5" t="inlineStr">
        <is>
          <t>SHELLFISH</t>
        </is>
      </c>
      <c r="D322" t="n">
        <v>26213190</v>
      </c>
    </row>
    <row r="323" ht="15.75" customHeight="1" s="201">
      <c r="A323" s="4" t="inlineStr">
        <is>
          <t>PRAWNS/SHRIMPS</t>
        </is>
      </c>
      <c r="B323" s="5" t="inlineStr">
        <is>
          <t>SHELLFISH</t>
        </is>
      </c>
    </row>
    <row r="324" ht="15.75" customHeight="1" s="201">
      <c r="A324" s="4" t="inlineStr">
        <is>
          <t>OCTOPUS (F)</t>
        </is>
      </c>
      <c r="B324" s="5" t="inlineStr">
        <is>
          <t>SHELLFISH FROZEN</t>
        </is>
      </c>
      <c r="D324" t="n">
        <v>26205110</v>
      </c>
    </row>
    <row r="325" ht="15.75" customHeight="1" s="201">
      <c r="A325" s="4" t="inlineStr">
        <is>
          <t>PRAWNS/SHRIMPS (F)</t>
        </is>
      </c>
      <c r="B325" s="5" t="inlineStr">
        <is>
          <t>SHELLFISH FROZEN</t>
        </is>
      </c>
    </row>
    <row r="326" ht="15.75" customHeight="1" s="201"/>
    <row r="327" ht="15.75" customHeight="1" s="201"/>
    <row r="328" ht="15.75" customHeight="1" s="201"/>
    <row r="329" ht="15.75" customHeight="1" s="201"/>
    <row r="330" ht="15.75" customHeight="1" s="201"/>
    <row r="331" ht="15.75" customHeight="1" s="201"/>
    <row r="332" ht="15.75" customHeight="1" s="201"/>
    <row r="333" ht="15.75" customHeight="1" s="201"/>
    <row r="334" ht="15.75" customHeight="1" s="201"/>
    <row r="335" ht="15.75" customHeight="1" s="201"/>
    <row r="336" ht="15.75" customHeight="1" s="201"/>
    <row r="337" ht="15.75" customHeight="1" s="201"/>
    <row r="338" ht="15.75" customHeight="1" s="201"/>
    <row r="339" ht="15.75" customHeight="1" s="201"/>
    <row r="340" ht="15.75" customHeight="1" s="201"/>
    <row r="341" ht="15.75" customHeight="1" s="201"/>
    <row r="342" ht="15.75" customHeight="1" s="201"/>
    <row r="343" ht="15.75" customHeight="1" s="201"/>
    <row r="344" ht="15.75" customHeight="1" s="201"/>
    <row r="345" ht="15.75" customHeight="1" s="201"/>
    <row r="346" ht="15.75" customHeight="1" s="201"/>
    <row r="347" ht="15.75" customHeight="1" s="201"/>
    <row r="348" ht="15.75" customHeight="1" s="201"/>
    <row r="349" ht="15.75" customHeight="1" s="201"/>
    <row r="350" ht="15.75" customHeight="1" s="201"/>
    <row r="351" ht="15.75" customHeight="1" s="201"/>
    <row r="352" ht="15.75" customHeight="1" s="201"/>
    <row r="353" ht="15.75" customHeight="1" s="201"/>
    <row r="354" ht="15.75" customHeight="1" s="201"/>
    <row r="355" ht="15.75" customHeight="1" s="201"/>
    <row r="356" ht="15.75" customHeight="1" s="201"/>
    <row r="357" ht="15.75" customHeight="1" s="201"/>
    <row r="358" ht="15.75" customHeight="1" s="201"/>
    <row r="359" ht="15.75" customHeight="1" s="201"/>
    <row r="360" ht="15.75" customHeight="1" s="201"/>
    <row r="361" ht="15.75" customHeight="1" s="201"/>
    <row r="362" ht="15.75" customHeight="1" s="201"/>
    <row r="363" ht="15.75" customHeight="1" s="201"/>
    <row r="364" ht="15.75" customHeight="1" s="201"/>
    <row r="365" ht="15.75" customHeight="1" s="201"/>
    <row r="366" ht="15.75" customHeight="1" s="201"/>
    <row r="367" ht="15.75" customHeight="1" s="201"/>
    <row r="368" ht="15.75" customHeight="1" s="201"/>
    <row r="369" ht="15.75" customHeight="1" s="201"/>
    <row r="370" ht="15.75" customHeight="1" s="201"/>
    <row r="371" ht="15.75" customHeight="1" s="201"/>
    <row r="372" ht="15.75" customHeight="1" s="201"/>
    <row r="373" ht="15.75" customHeight="1" s="201"/>
    <row r="374" ht="15.75" customHeight="1" s="201"/>
    <row r="375" ht="15.75" customHeight="1" s="201"/>
    <row r="376" ht="15.75" customHeight="1" s="201"/>
    <row r="377" ht="15.75" customHeight="1" s="201"/>
    <row r="378" ht="15.75" customHeight="1" s="201"/>
    <row r="379" ht="15.75" customHeight="1" s="201"/>
    <row r="380" ht="15.75" customHeight="1" s="201"/>
    <row r="381" ht="15.75" customHeight="1" s="201"/>
    <row r="382" ht="15.75" customHeight="1" s="201"/>
    <row r="383" ht="15.75" customHeight="1" s="201"/>
    <row r="384" ht="15.75" customHeight="1" s="201"/>
    <row r="385" ht="15.75" customHeight="1" s="201"/>
    <row r="386" ht="15.75" customHeight="1" s="201"/>
    <row r="387" ht="15.75" customHeight="1" s="201"/>
    <row r="388" ht="15.75" customHeight="1" s="201"/>
    <row r="389" ht="15.75" customHeight="1" s="201"/>
    <row r="390" ht="15.75" customHeight="1" s="201"/>
    <row r="391" ht="15.75" customHeight="1" s="201"/>
    <row r="392" ht="15.75" customHeight="1" s="201"/>
    <row r="393" ht="15.75" customHeight="1" s="201"/>
    <row r="394" ht="15.75" customHeight="1" s="201"/>
    <row r="395" ht="15.75" customHeight="1" s="201"/>
    <row r="396" ht="15.75" customHeight="1" s="201"/>
    <row r="397" ht="15.75" customHeight="1" s="201"/>
    <row r="398" ht="15.75" customHeight="1" s="201"/>
    <row r="399" ht="15.75" customHeight="1" s="201"/>
    <row r="400" ht="15.75" customHeight="1" s="201"/>
    <row r="401" ht="15.75" customHeight="1" s="201"/>
    <row r="402" ht="15.75" customHeight="1" s="201"/>
    <row r="403" ht="15.75" customHeight="1" s="201"/>
    <row r="404" ht="15.75" customHeight="1" s="201"/>
    <row r="405" ht="15.75" customHeight="1" s="201"/>
    <row r="406" ht="15.75" customHeight="1" s="201"/>
    <row r="407" ht="15.75" customHeight="1" s="201"/>
    <row r="408" ht="15.75" customHeight="1" s="201"/>
    <row r="409" ht="15.75" customHeight="1" s="201"/>
    <row r="410" ht="15.75" customHeight="1" s="201"/>
    <row r="411" ht="15.75" customHeight="1" s="201"/>
    <row r="412" ht="15.75" customHeight="1" s="201"/>
    <row r="413" ht="15.75" customHeight="1" s="201"/>
    <row r="414" ht="15.75" customHeight="1" s="201"/>
    <row r="415" ht="15.75" customHeight="1" s="201"/>
    <row r="416" ht="15.75" customHeight="1" s="201"/>
    <row r="417" ht="15.75" customHeight="1" s="201"/>
    <row r="418" ht="15.75" customHeight="1" s="201"/>
    <row r="419" ht="15.75" customHeight="1" s="201"/>
    <row r="420" ht="15.75" customHeight="1" s="201"/>
    <row r="421" ht="15.75" customHeight="1" s="201"/>
    <row r="422" ht="15.75" customHeight="1" s="201"/>
    <row r="423" ht="15.75" customHeight="1" s="201"/>
    <row r="424" ht="15.75" customHeight="1" s="201"/>
    <row r="425" ht="15.75" customHeight="1" s="201"/>
    <row r="426" ht="15.75" customHeight="1" s="201"/>
    <row r="427" ht="15.75" customHeight="1" s="201"/>
    <row r="428" ht="15.75" customHeight="1" s="201"/>
    <row r="429" ht="15.75" customHeight="1" s="201"/>
    <row r="430" ht="15.75" customHeight="1" s="201"/>
    <row r="431" ht="15.75" customHeight="1" s="201"/>
    <row r="432" ht="15.75" customHeight="1" s="201"/>
    <row r="433" ht="15.75" customHeight="1" s="201"/>
    <row r="434" ht="15.75" customHeight="1" s="201"/>
    <row r="435" ht="15.75" customHeight="1" s="201"/>
    <row r="436" ht="15.75" customHeight="1" s="201"/>
    <row r="437" ht="15.75" customHeight="1" s="201"/>
    <row r="438" ht="15.75" customHeight="1" s="201"/>
    <row r="439" ht="15.75" customHeight="1" s="201"/>
    <row r="440" ht="15.75" customHeight="1" s="201"/>
    <row r="441" ht="15.75" customHeight="1" s="201"/>
    <row r="442" ht="15.75" customHeight="1" s="201"/>
    <row r="443" ht="15.75" customHeight="1" s="201"/>
    <row r="444" ht="15.75" customHeight="1" s="201"/>
    <row r="445" ht="15.75" customHeight="1" s="201"/>
    <row r="446" ht="15.75" customHeight="1" s="201"/>
    <row r="447" ht="15.75" customHeight="1" s="201"/>
    <row r="448" ht="15.75" customHeight="1" s="201"/>
    <row r="449" ht="15.75" customHeight="1" s="201"/>
    <row r="450" ht="15.75" customHeight="1" s="201"/>
    <row r="451" ht="15.75" customHeight="1" s="201"/>
    <row r="452" ht="15.75" customHeight="1" s="201"/>
    <row r="453" ht="15.75" customHeight="1" s="201"/>
    <row r="454" ht="15.75" customHeight="1" s="201"/>
    <row r="455" ht="15.75" customHeight="1" s="201"/>
    <row r="456" ht="15.75" customHeight="1" s="201"/>
    <row r="457" ht="15.75" customHeight="1" s="201"/>
    <row r="458" ht="15.75" customHeight="1" s="201"/>
    <row r="459" ht="15.75" customHeight="1" s="201"/>
    <row r="460" ht="15.75" customHeight="1" s="201"/>
    <row r="461" ht="15.75" customHeight="1" s="201"/>
    <row r="462" ht="15.75" customHeight="1" s="201"/>
    <row r="463" ht="15.75" customHeight="1" s="201"/>
    <row r="464" ht="15.75" customHeight="1" s="201"/>
    <row r="465" ht="15.75" customHeight="1" s="201"/>
    <row r="466" ht="15.75" customHeight="1" s="201"/>
    <row r="467" ht="15.75" customHeight="1" s="201"/>
    <row r="468" ht="15.75" customHeight="1" s="201"/>
    <row r="469" ht="15.75" customHeight="1" s="201"/>
    <row r="470" ht="15.75" customHeight="1" s="201"/>
    <row r="471" ht="15.75" customHeight="1" s="201"/>
    <row r="472" ht="15.75" customHeight="1" s="201"/>
    <row r="473" ht="15.75" customHeight="1" s="201"/>
    <row r="474" ht="15.75" customHeight="1" s="201"/>
    <row r="475" ht="15.75" customHeight="1" s="201"/>
    <row r="476" ht="15.75" customHeight="1" s="201"/>
    <row r="477" ht="15.75" customHeight="1" s="201"/>
    <row r="478" ht="15.75" customHeight="1" s="201"/>
    <row r="479" ht="15.75" customHeight="1" s="201"/>
    <row r="480" ht="15.75" customHeight="1" s="201"/>
    <row r="481" ht="15.75" customHeight="1" s="201"/>
    <row r="482" ht="15.75" customHeight="1" s="201"/>
    <row r="483" ht="15.75" customHeight="1" s="201"/>
    <row r="484" ht="15.75" customHeight="1" s="201"/>
    <row r="485" ht="15.75" customHeight="1" s="201"/>
    <row r="486" ht="15.75" customHeight="1" s="201"/>
    <row r="487" ht="15.75" customHeight="1" s="201"/>
    <row r="488" ht="15.75" customHeight="1" s="201"/>
    <row r="489" ht="15.75" customHeight="1" s="201"/>
    <row r="490" ht="15.75" customHeight="1" s="201"/>
    <row r="491" ht="15.75" customHeight="1" s="201"/>
    <row r="492" ht="15.75" customHeight="1" s="201"/>
    <row r="493" ht="15.75" customHeight="1" s="201"/>
    <row r="494" ht="15.75" customHeight="1" s="201"/>
    <row r="495" ht="15.75" customHeight="1" s="201"/>
    <row r="496" ht="15.75" customHeight="1" s="201"/>
    <row r="497" ht="15.75" customHeight="1" s="201"/>
    <row r="498" ht="15.75" customHeight="1" s="201"/>
    <row r="499" ht="15.75" customHeight="1" s="201"/>
    <row r="500" ht="15.75" customHeight="1" s="201"/>
    <row r="501" ht="15.75" customHeight="1" s="201"/>
    <row r="502" ht="15.75" customHeight="1" s="201"/>
    <row r="503" ht="15.75" customHeight="1" s="201"/>
    <row r="504" ht="15.75" customHeight="1" s="201"/>
    <row r="505" ht="15.75" customHeight="1" s="201"/>
    <row r="506" ht="15.75" customHeight="1" s="201"/>
    <row r="507" ht="15.75" customHeight="1" s="201"/>
    <row r="508" ht="15.75" customHeight="1" s="201"/>
    <row r="509" ht="15.75" customHeight="1" s="201"/>
    <row r="510" ht="15.75" customHeight="1" s="201"/>
    <row r="511" ht="15.75" customHeight="1" s="201"/>
    <row r="512" ht="15.75" customHeight="1" s="201"/>
    <row r="513" ht="15.75" customHeight="1" s="201"/>
    <row r="514" ht="15.75" customHeight="1" s="201"/>
    <row r="515" ht="15.75" customHeight="1" s="201"/>
    <row r="516" ht="15.75" customHeight="1" s="201"/>
    <row r="517" ht="15.75" customHeight="1" s="201"/>
    <row r="518" ht="15.75" customHeight="1" s="201"/>
    <row r="519" ht="15.75" customHeight="1" s="201"/>
    <row r="520" ht="15.75" customHeight="1" s="201"/>
    <row r="521" ht="15.75" customHeight="1" s="201"/>
    <row r="522" ht="15.75" customHeight="1" s="201"/>
    <row r="523" ht="15.75" customHeight="1" s="201"/>
    <row r="524" ht="15.75" customHeight="1" s="201"/>
    <row r="525" ht="15.75" customHeight="1" s="201"/>
    <row r="526" ht="15.75" customHeight="1" s="201"/>
    <row r="527" ht="15.75" customHeight="1" s="201"/>
    <row r="528" ht="15.75" customHeight="1" s="201"/>
    <row r="529" ht="15.75" customHeight="1" s="201"/>
    <row r="530" ht="15.75" customHeight="1" s="201"/>
    <row r="531" ht="15.75" customHeight="1" s="201"/>
    <row r="532" ht="15.75" customHeight="1" s="201"/>
    <row r="533" ht="15.75" customHeight="1" s="201"/>
    <row r="534" ht="15.75" customHeight="1" s="201"/>
    <row r="535" ht="15.75" customHeight="1" s="201"/>
    <row r="536" ht="15.75" customHeight="1" s="201"/>
    <row r="537" ht="15.75" customHeight="1" s="201"/>
    <row r="538" ht="15.75" customHeight="1" s="201"/>
    <row r="539" ht="15.75" customHeight="1" s="201"/>
    <row r="540" ht="15.75" customHeight="1" s="201"/>
    <row r="541" ht="15.75" customHeight="1" s="201"/>
    <row r="542" ht="15.75" customHeight="1" s="201"/>
    <row r="543" ht="15.75" customHeight="1" s="201"/>
    <row r="544" ht="15.75" customHeight="1" s="201"/>
    <row r="545" ht="15.75" customHeight="1" s="201"/>
    <row r="546" ht="15.75" customHeight="1" s="201"/>
    <row r="547" ht="15.75" customHeight="1" s="201"/>
    <row r="548" ht="15.75" customHeight="1" s="201"/>
    <row r="549" ht="15.75" customHeight="1" s="201"/>
    <row r="550" ht="15.75" customHeight="1" s="201"/>
    <row r="551" ht="15.75" customHeight="1" s="201"/>
    <row r="552" ht="15.75" customHeight="1" s="201"/>
    <row r="553" ht="15.75" customHeight="1" s="201"/>
    <row r="554" ht="15.75" customHeight="1" s="201"/>
    <row r="555" ht="15.75" customHeight="1" s="201"/>
    <row r="556" ht="15.75" customHeight="1" s="201"/>
    <row r="557" ht="15.75" customHeight="1" s="201"/>
    <row r="558" ht="15.75" customHeight="1" s="201"/>
    <row r="559" ht="15.75" customHeight="1" s="201"/>
    <row r="560" ht="15.75" customHeight="1" s="201"/>
    <row r="561" ht="15.75" customHeight="1" s="201"/>
    <row r="562" ht="15.75" customHeight="1" s="201"/>
    <row r="563" ht="15.75" customHeight="1" s="201"/>
    <row r="564" ht="15.75" customHeight="1" s="201"/>
    <row r="565" ht="15.75" customHeight="1" s="201"/>
    <row r="566" ht="15.75" customHeight="1" s="201"/>
    <row r="567" ht="15.75" customHeight="1" s="201"/>
    <row r="568" ht="15.75" customHeight="1" s="201"/>
    <row r="569" ht="15.75" customHeight="1" s="201"/>
    <row r="570" ht="15.75" customHeight="1" s="201"/>
    <row r="571" ht="15.75" customHeight="1" s="201"/>
    <row r="572" ht="15.75" customHeight="1" s="201"/>
    <row r="573" ht="15.75" customHeight="1" s="201"/>
    <row r="574" ht="15.75" customHeight="1" s="201"/>
    <row r="575" ht="15.75" customHeight="1" s="201"/>
    <row r="576" ht="15.75" customHeight="1" s="201"/>
    <row r="577" ht="15.75" customHeight="1" s="201"/>
    <row r="578" ht="15.75" customHeight="1" s="201"/>
    <row r="579" ht="15.75" customHeight="1" s="201"/>
    <row r="580" ht="15.75" customHeight="1" s="201"/>
    <row r="581" ht="15.75" customHeight="1" s="201"/>
    <row r="582" ht="15.75" customHeight="1" s="201"/>
    <row r="583" ht="15.75" customHeight="1" s="201"/>
    <row r="584" ht="15.75" customHeight="1" s="201"/>
    <row r="585" ht="15.75" customHeight="1" s="201"/>
    <row r="586" ht="15.75" customHeight="1" s="201"/>
    <row r="587" ht="15.75" customHeight="1" s="201"/>
    <row r="588" ht="15.75" customHeight="1" s="201"/>
    <row r="589" ht="15.75" customHeight="1" s="201"/>
    <row r="590" ht="15.75" customHeight="1" s="201"/>
    <row r="591" ht="15.75" customHeight="1" s="201"/>
    <row r="592" ht="15.75" customHeight="1" s="201"/>
    <row r="593" ht="15.75" customHeight="1" s="201"/>
    <row r="594" ht="15.75" customHeight="1" s="201"/>
    <row r="595" ht="15.75" customHeight="1" s="201"/>
    <row r="596" ht="15.75" customHeight="1" s="201"/>
    <row r="597" ht="15.75" customHeight="1" s="201"/>
    <row r="598" ht="15.75" customHeight="1" s="201"/>
    <row r="599" ht="15.75" customHeight="1" s="201"/>
    <row r="600" ht="15.75" customHeight="1" s="201"/>
    <row r="601" ht="15.75" customHeight="1" s="201"/>
    <row r="602" ht="15.75" customHeight="1" s="201"/>
    <row r="603" ht="15.75" customHeight="1" s="201"/>
    <row r="604" ht="15.75" customHeight="1" s="201"/>
    <row r="605" ht="15.75" customHeight="1" s="201"/>
    <row r="606" ht="15.75" customHeight="1" s="201"/>
    <row r="607" ht="15.75" customHeight="1" s="201"/>
    <row r="608" ht="15.75" customHeight="1" s="201"/>
    <row r="609" ht="15.75" customHeight="1" s="201"/>
    <row r="610" ht="15.75" customHeight="1" s="201"/>
    <row r="611" ht="15.75" customHeight="1" s="201"/>
    <row r="612" ht="15.75" customHeight="1" s="201"/>
    <row r="613" ht="15.75" customHeight="1" s="201"/>
    <row r="614" ht="15.75" customHeight="1" s="201"/>
    <row r="615" ht="15.75" customHeight="1" s="201"/>
    <row r="616" ht="15.75" customHeight="1" s="201"/>
    <row r="617" ht="15.75" customHeight="1" s="201"/>
    <row r="618" ht="15.75" customHeight="1" s="201"/>
    <row r="619" ht="15.75" customHeight="1" s="201"/>
    <row r="620" ht="15.75" customHeight="1" s="201"/>
    <row r="621" ht="15.75" customHeight="1" s="201"/>
    <row r="622" ht="15.75" customHeight="1" s="201"/>
    <row r="623" ht="15.75" customHeight="1" s="201"/>
    <row r="624" ht="15.75" customHeight="1" s="201"/>
    <row r="625" ht="15.75" customHeight="1" s="201"/>
    <row r="626" ht="15.75" customHeight="1" s="201"/>
    <row r="627" ht="15.75" customHeight="1" s="201"/>
    <row r="628" ht="15.75" customHeight="1" s="201"/>
    <row r="629" ht="15.75" customHeight="1" s="201"/>
    <row r="630" ht="15.75" customHeight="1" s="201"/>
    <row r="631" ht="15.75" customHeight="1" s="201"/>
    <row r="632" ht="15.75" customHeight="1" s="201"/>
    <row r="633" ht="15.75" customHeight="1" s="201"/>
    <row r="634" ht="15.75" customHeight="1" s="201"/>
    <row r="635" ht="15.75" customHeight="1" s="201"/>
    <row r="636" ht="15.75" customHeight="1" s="201"/>
    <row r="637" ht="15.75" customHeight="1" s="201"/>
    <row r="638" ht="15.75" customHeight="1" s="201"/>
    <row r="639" ht="15.75" customHeight="1" s="201"/>
    <row r="640" ht="15.75" customHeight="1" s="201"/>
    <row r="641" ht="15.75" customHeight="1" s="201"/>
    <row r="642" ht="15.75" customHeight="1" s="201"/>
    <row r="643" ht="15.75" customHeight="1" s="201"/>
    <row r="644" ht="15.75" customHeight="1" s="201"/>
    <row r="645" ht="15.75" customHeight="1" s="201"/>
    <row r="646" ht="15.75" customHeight="1" s="201"/>
    <row r="647" ht="15.75" customHeight="1" s="201"/>
    <row r="648" ht="15.75" customHeight="1" s="201"/>
    <row r="649" ht="15.75" customHeight="1" s="201"/>
    <row r="650" ht="15.75" customHeight="1" s="201"/>
    <row r="651" ht="15.75" customHeight="1" s="201"/>
    <row r="652" ht="15.75" customHeight="1" s="201"/>
    <row r="653" ht="15.75" customHeight="1" s="201"/>
    <row r="654" ht="15.75" customHeight="1" s="201"/>
    <row r="655" ht="15.75" customHeight="1" s="201"/>
    <row r="656" ht="15.75" customHeight="1" s="201"/>
    <row r="657" ht="15.75" customHeight="1" s="201"/>
    <row r="658" ht="15.75" customHeight="1" s="201"/>
    <row r="659" ht="15.75" customHeight="1" s="201"/>
    <row r="660" ht="15.75" customHeight="1" s="201"/>
    <row r="661" ht="15.75" customHeight="1" s="201"/>
    <row r="662" ht="15.75" customHeight="1" s="201"/>
    <row r="663" ht="15.75" customHeight="1" s="201"/>
    <row r="664" ht="15.75" customHeight="1" s="201"/>
    <row r="665" ht="15.75" customHeight="1" s="201"/>
    <row r="666" ht="15.75" customHeight="1" s="201"/>
    <row r="667" ht="15.75" customHeight="1" s="201"/>
    <row r="668" ht="15.75" customHeight="1" s="201"/>
    <row r="669" ht="15.75" customHeight="1" s="201"/>
    <row r="670" ht="15.75" customHeight="1" s="201"/>
    <row r="671" ht="15.75" customHeight="1" s="201"/>
    <row r="672" ht="15.75" customHeight="1" s="201"/>
    <row r="673" ht="15.75" customHeight="1" s="201"/>
    <row r="674" ht="15.75" customHeight="1" s="201"/>
    <row r="675" ht="15.75" customHeight="1" s="201"/>
    <row r="676" ht="15.75" customHeight="1" s="201"/>
    <row r="677" ht="15.75" customHeight="1" s="201"/>
    <row r="678" ht="15.75" customHeight="1" s="201"/>
    <row r="679" ht="15.75" customHeight="1" s="201"/>
    <row r="680" ht="15.75" customHeight="1" s="201"/>
    <row r="681" ht="15.75" customHeight="1" s="201"/>
    <row r="682" ht="15.75" customHeight="1" s="201"/>
    <row r="683" ht="15.75" customHeight="1" s="201"/>
    <row r="684" ht="15.75" customHeight="1" s="201"/>
    <row r="685" ht="15.75" customHeight="1" s="201"/>
    <row r="686" ht="15.75" customHeight="1" s="201"/>
    <row r="687" ht="15.75" customHeight="1" s="201"/>
    <row r="688" ht="15.75" customHeight="1" s="201"/>
    <row r="689" ht="15.75" customHeight="1" s="201"/>
    <row r="690" ht="15.75" customHeight="1" s="201"/>
    <row r="691" ht="15.75" customHeight="1" s="201"/>
    <row r="692" ht="15.75" customHeight="1" s="201"/>
    <row r="693" ht="15.75" customHeight="1" s="201"/>
    <row r="694" ht="15.75" customHeight="1" s="201"/>
    <row r="695" ht="15.75" customHeight="1" s="201"/>
    <row r="696" ht="15.75" customHeight="1" s="201"/>
    <row r="697" ht="15.75" customHeight="1" s="201"/>
    <row r="698" ht="15.75" customHeight="1" s="201"/>
    <row r="699" ht="15.75" customHeight="1" s="201"/>
    <row r="700" ht="15.75" customHeight="1" s="201"/>
    <row r="701" ht="15.75" customHeight="1" s="201"/>
    <row r="702" ht="15.75" customHeight="1" s="201"/>
    <row r="703" ht="15.75" customHeight="1" s="201"/>
    <row r="704" ht="15.75" customHeight="1" s="201"/>
    <row r="705" ht="15.75" customHeight="1" s="201"/>
    <row r="706" ht="15.75" customHeight="1" s="201"/>
    <row r="707" ht="15.75" customHeight="1" s="201"/>
    <row r="708" ht="15.75" customHeight="1" s="201"/>
    <row r="709" ht="15.75" customHeight="1" s="201"/>
    <row r="710" ht="15.75" customHeight="1" s="201"/>
    <row r="711" ht="15.75" customHeight="1" s="201"/>
    <row r="712" ht="15.75" customHeight="1" s="201"/>
    <row r="713" ht="15.75" customHeight="1" s="201"/>
    <row r="714" ht="15.75" customHeight="1" s="201"/>
    <row r="715" ht="15.75" customHeight="1" s="201"/>
    <row r="716" ht="15.75" customHeight="1" s="201"/>
    <row r="717" ht="15.75" customHeight="1" s="201"/>
    <row r="718" ht="15.75" customHeight="1" s="201"/>
    <row r="719" ht="15.75" customHeight="1" s="201"/>
    <row r="720" ht="15.75" customHeight="1" s="201"/>
    <row r="721" ht="15.75" customHeight="1" s="201"/>
    <row r="722" ht="15.75" customHeight="1" s="201"/>
    <row r="723" ht="15.75" customHeight="1" s="201"/>
    <row r="724" ht="15.75" customHeight="1" s="201"/>
    <row r="725" ht="15.75" customHeight="1" s="201"/>
    <row r="726" ht="15.75" customHeight="1" s="201"/>
    <row r="727" ht="15.75" customHeight="1" s="201"/>
    <row r="728" ht="15.75" customHeight="1" s="201"/>
    <row r="729" ht="15.75" customHeight="1" s="201"/>
    <row r="730" ht="15.75" customHeight="1" s="201"/>
    <row r="731" ht="15.75" customHeight="1" s="201"/>
    <row r="732" ht="15.75" customHeight="1" s="201"/>
    <row r="733" ht="15.75" customHeight="1" s="201"/>
    <row r="734" ht="15.75" customHeight="1" s="201"/>
    <row r="735" ht="15.75" customHeight="1" s="201"/>
    <row r="736" ht="15.75" customHeight="1" s="201"/>
    <row r="737" ht="15.75" customHeight="1" s="201"/>
    <row r="738" ht="15.75" customHeight="1" s="201"/>
    <row r="739" ht="15.75" customHeight="1" s="201"/>
    <row r="740" ht="15.75" customHeight="1" s="201"/>
    <row r="741" ht="15.75" customHeight="1" s="201"/>
    <row r="742" ht="15.75" customHeight="1" s="201"/>
    <row r="743" ht="15.75" customHeight="1" s="201"/>
    <row r="744" ht="15.75" customHeight="1" s="201"/>
    <row r="745" ht="15.75" customHeight="1" s="201"/>
    <row r="746" ht="15.75" customHeight="1" s="201"/>
    <row r="747" ht="15.75" customHeight="1" s="201"/>
    <row r="748" ht="15.75" customHeight="1" s="201"/>
    <row r="749" ht="15.75" customHeight="1" s="201"/>
    <row r="750" ht="15.75" customHeight="1" s="201"/>
    <row r="751" ht="15.75" customHeight="1" s="201"/>
    <row r="752" ht="15.75" customHeight="1" s="201"/>
    <row r="753" ht="15.75" customHeight="1" s="201"/>
    <row r="754" ht="15.75" customHeight="1" s="201"/>
    <row r="755" ht="15.75" customHeight="1" s="201"/>
    <row r="756" ht="15.75" customHeight="1" s="201"/>
    <row r="757" ht="15.75" customHeight="1" s="201"/>
    <row r="758" ht="15.75" customHeight="1" s="201"/>
    <row r="759" ht="15.75" customHeight="1" s="201"/>
    <row r="760" ht="15.75" customHeight="1" s="201"/>
    <row r="761" ht="15.75" customHeight="1" s="201"/>
    <row r="762" ht="15.75" customHeight="1" s="201"/>
    <row r="763" ht="15.75" customHeight="1" s="201"/>
    <row r="764" ht="15.75" customHeight="1" s="201"/>
    <row r="765" ht="15.75" customHeight="1" s="201"/>
    <row r="766" ht="15.75" customHeight="1" s="201"/>
    <row r="767" ht="15.75" customHeight="1" s="201"/>
    <row r="768" ht="15.75" customHeight="1" s="201"/>
    <row r="769" ht="15.75" customHeight="1" s="201"/>
    <row r="770" ht="15.75" customHeight="1" s="201"/>
    <row r="771" ht="15.75" customHeight="1" s="201"/>
    <row r="772" ht="15.75" customHeight="1" s="201"/>
    <row r="773" ht="15.75" customHeight="1" s="201"/>
    <row r="774" ht="15.75" customHeight="1" s="201"/>
    <row r="775" ht="15.75" customHeight="1" s="201"/>
    <row r="776" ht="15.75" customHeight="1" s="201"/>
    <row r="777" ht="15.75" customHeight="1" s="201"/>
    <row r="778" ht="15.75" customHeight="1" s="201"/>
    <row r="779" ht="15.75" customHeight="1" s="201"/>
    <row r="780" ht="15.75" customHeight="1" s="201"/>
    <row r="781" ht="15.75" customHeight="1" s="201"/>
    <row r="782" ht="15.75" customHeight="1" s="201"/>
    <row r="783" ht="15.75" customHeight="1" s="201"/>
    <row r="784" ht="15.75" customHeight="1" s="201"/>
    <row r="785" ht="15.75" customHeight="1" s="201"/>
    <row r="786" ht="15.75" customHeight="1" s="201"/>
    <row r="787" ht="15.75" customHeight="1" s="201"/>
    <row r="788" ht="15.75" customHeight="1" s="201"/>
    <row r="789" ht="15.75" customHeight="1" s="201"/>
    <row r="790" ht="15.75" customHeight="1" s="201"/>
    <row r="791" ht="15.75" customHeight="1" s="201"/>
    <row r="792" ht="15.75" customHeight="1" s="201"/>
    <row r="793" ht="15.75" customHeight="1" s="201"/>
    <row r="794" ht="15.75" customHeight="1" s="201"/>
    <row r="795" ht="15.75" customHeight="1" s="201"/>
    <row r="796" ht="15.75" customHeight="1" s="201"/>
    <row r="797" ht="15.75" customHeight="1" s="201"/>
    <row r="798" ht="15.75" customHeight="1" s="201"/>
    <row r="799" ht="15.75" customHeight="1" s="201"/>
    <row r="800" ht="15.75" customHeight="1" s="201"/>
    <row r="801" ht="15.75" customHeight="1" s="201"/>
    <row r="802" ht="15.75" customHeight="1" s="201"/>
    <row r="803" ht="15.75" customHeight="1" s="201"/>
    <row r="804" ht="15.75" customHeight="1" s="201"/>
    <row r="805" ht="15.75" customHeight="1" s="201"/>
    <row r="806" ht="15.75" customHeight="1" s="201"/>
    <row r="807" ht="15.75" customHeight="1" s="201"/>
    <row r="808" ht="15.75" customHeight="1" s="201"/>
    <row r="809" ht="15.75" customHeight="1" s="201"/>
    <row r="810" ht="15.75" customHeight="1" s="201"/>
    <row r="811" ht="15.75" customHeight="1" s="201"/>
    <row r="812" ht="15.75" customHeight="1" s="201"/>
    <row r="813" ht="15.75" customHeight="1" s="201"/>
    <row r="814" ht="15.75" customHeight="1" s="201"/>
    <row r="815" ht="15.75" customHeight="1" s="201"/>
    <row r="816" ht="15.75" customHeight="1" s="201"/>
    <row r="817" ht="15.75" customHeight="1" s="201"/>
    <row r="818" ht="15.75" customHeight="1" s="201"/>
    <row r="819" ht="15.75" customHeight="1" s="201"/>
    <row r="820" ht="15.75" customHeight="1" s="201"/>
    <row r="821" ht="15.75" customHeight="1" s="201"/>
    <row r="822" ht="15.75" customHeight="1" s="201"/>
    <row r="823" ht="15.75" customHeight="1" s="201"/>
    <row r="824" ht="15.75" customHeight="1" s="201"/>
    <row r="825" ht="15.75" customHeight="1" s="201"/>
    <row r="826" ht="15.75" customHeight="1" s="201"/>
    <row r="827" ht="15.75" customHeight="1" s="201"/>
    <row r="828" ht="15.75" customHeight="1" s="201"/>
    <row r="829" ht="15.75" customHeight="1" s="201"/>
    <row r="830" ht="15.75" customHeight="1" s="201"/>
    <row r="831" ht="15.75" customHeight="1" s="201"/>
    <row r="832" ht="15.75" customHeight="1" s="201"/>
    <row r="833" ht="15.75" customHeight="1" s="201"/>
    <row r="834" ht="15.75" customHeight="1" s="201"/>
    <row r="835" ht="15.75" customHeight="1" s="201"/>
    <row r="836" ht="15.75" customHeight="1" s="201"/>
    <row r="837" ht="15.75" customHeight="1" s="201"/>
    <row r="838" ht="15.75" customHeight="1" s="201"/>
    <row r="839" ht="15.75" customHeight="1" s="201"/>
    <row r="840" ht="15.75" customHeight="1" s="201"/>
    <row r="841" ht="15.75" customHeight="1" s="201"/>
    <row r="842" ht="15.75" customHeight="1" s="201"/>
    <row r="843" ht="15.75" customHeight="1" s="201"/>
    <row r="844" ht="15.75" customHeight="1" s="201"/>
    <row r="845" ht="15.75" customHeight="1" s="201"/>
    <row r="846" ht="15.75" customHeight="1" s="201"/>
    <row r="847" ht="15.75" customHeight="1" s="201"/>
    <row r="848" ht="15.75" customHeight="1" s="201"/>
    <row r="849" ht="15.75" customHeight="1" s="201"/>
    <row r="850" ht="15.75" customHeight="1" s="201"/>
    <row r="851" ht="15.75" customHeight="1" s="201"/>
    <row r="852" ht="15.75" customHeight="1" s="201"/>
    <row r="853" ht="15.75" customHeight="1" s="201"/>
    <row r="854" ht="15.75" customHeight="1" s="201"/>
    <row r="855" ht="15.75" customHeight="1" s="201"/>
    <row r="856" ht="15.75" customHeight="1" s="201"/>
    <row r="857" ht="15.75" customHeight="1" s="201"/>
    <row r="858" ht="15.75" customHeight="1" s="201"/>
    <row r="859" ht="15.75" customHeight="1" s="201"/>
    <row r="860" ht="15.75" customHeight="1" s="201"/>
    <row r="861" ht="15.75" customHeight="1" s="201"/>
    <row r="862" ht="15.75" customHeight="1" s="201"/>
    <row r="863" ht="15.75" customHeight="1" s="201"/>
    <row r="864" ht="15.75" customHeight="1" s="201"/>
    <row r="865" ht="15.75" customHeight="1" s="201"/>
    <row r="866" ht="15.75" customHeight="1" s="201"/>
    <row r="867" ht="15.75" customHeight="1" s="201"/>
    <row r="868" ht="15.75" customHeight="1" s="201"/>
    <row r="869" ht="15.75" customHeight="1" s="201"/>
    <row r="870" ht="15.75" customHeight="1" s="201"/>
    <row r="871" ht="15.75" customHeight="1" s="201"/>
    <row r="872" ht="15.75" customHeight="1" s="201"/>
    <row r="873" ht="15.75" customHeight="1" s="201"/>
    <row r="874" ht="15.75" customHeight="1" s="201"/>
    <row r="875" ht="15.75" customHeight="1" s="201"/>
    <row r="876" ht="15.75" customHeight="1" s="201"/>
    <row r="877" ht="15.75" customHeight="1" s="201"/>
    <row r="878" ht="15.75" customHeight="1" s="201"/>
    <row r="879" ht="15.75" customHeight="1" s="201"/>
    <row r="880" ht="15.75" customHeight="1" s="201"/>
    <row r="881" ht="15.75" customHeight="1" s="201"/>
    <row r="882" ht="15.75" customHeight="1" s="201"/>
    <row r="883" ht="15.75" customHeight="1" s="201"/>
    <row r="884" ht="15.75" customHeight="1" s="201"/>
    <row r="885" ht="15.75" customHeight="1" s="201"/>
    <row r="886" ht="15.75" customHeight="1" s="201"/>
    <row r="887" ht="15.75" customHeight="1" s="201"/>
    <row r="888" ht="15.75" customHeight="1" s="201"/>
    <row r="889" ht="15.75" customHeight="1" s="201"/>
    <row r="890" ht="15.75" customHeight="1" s="201"/>
    <row r="891" ht="15.75" customHeight="1" s="201"/>
    <row r="892" ht="15.75" customHeight="1" s="201"/>
    <row r="893" ht="15.75" customHeight="1" s="201"/>
    <row r="894" ht="15.75" customHeight="1" s="201"/>
    <row r="895" ht="15.75" customHeight="1" s="201"/>
    <row r="896" ht="15.75" customHeight="1" s="201"/>
    <row r="897" ht="15.75" customHeight="1" s="201"/>
    <row r="898" ht="15.75" customHeight="1" s="201"/>
    <row r="899" ht="15.75" customHeight="1" s="201"/>
    <row r="900" ht="15.75" customHeight="1" s="201"/>
    <row r="901" ht="15.75" customHeight="1" s="201"/>
    <row r="902" ht="15.75" customHeight="1" s="201"/>
    <row r="903" ht="15.75" customHeight="1" s="201"/>
    <row r="904" ht="15.75" customHeight="1" s="201"/>
    <row r="905" ht="15.75" customHeight="1" s="201"/>
    <row r="906" ht="15.75" customHeight="1" s="201"/>
    <row r="907" ht="15.75" customHeight="1" s="201"/>
    <row r="908" ht="15.75" customHeight="1" s="201"/>
    <row r="909" ht="15.75" customHeight="1" s="201"/>
    <row r="910" ht="15.75" customHeight="1" s="201"/>
    <row r="911" ht="15.75" customHeight="1" s="201"/>
    <row r="912" ht="15.75" customHeight="1" s="201"/>
    <row r="913" ht="15.75" customHeight="1" s="201"/>
    <row r="914" ht="15.75" customHeight="1" s="201"/>
    <row r="915" ht="15.75" customHeight="1" s="201"/>
    <row r="916" ht="15.75" customHeight="1" s="201"/>
    <row r="917" ht="15.75" customHeight="1" s="201"/>
    <row r="918" ht="15.75" customHeight="1" s="201"/>
    <row r="919" ht="15.75" customHeight="1" s="201"/>
    <row r="920" ht="15.75" customHeight="1" s="201"/>
    <row r="921" ht="15.75" customHeight="1" s="201"/>
    <row r="922" ht="15.75" customHeight="1" s="201"/>
    <row r="923" ht="15.75" customHeight="1" s="201"/>
    <row r="924" ht="15.75" customHeight="1" s="201"/>
    <row r="925" ht="15.75" customHeight="1" s="201"/>
    <row r="926" ht="15.75" customHeight="1" s="201"/>
    <row r="927" ht="15.75" customHeight="1" s="201"/>
    <row r="928" ht="15.75" customHeight="1" s="201"/>
    <row r="929" ht="15.75" customHeight="1" s="201"/>
    <row r="930" ht="15.75" customHeight="1" s="201"/>
    <row r="931" ht="15.75" customHeight="1" s="201"/>
    <row r="932" ht="15.75" customHeight="1" s="201"/>
    <row r="933" ht="15.75" customHeight="1" s="201"/>
    <row r="934" ht="15.75" customHeight="1" s="201"/>
    <row r="935" ht="15.75" customHeight="1" s="201"/>
    <row r="936" ht="15.75" customHeight="1" s="201"/>
    <row r="937" ht="15.75" customHeight="1" s="201"/>
    <row r="938" ht="15.75" customHeight="1" s="201"/>
    <row r="939" ht="15.75" customHeight="1" s="201"/>
    <row r="940" ht="15.75" customHeight="1" s="201"/>
    <row r="941" ht="15.75" customHeight="1" s="201"/>
    <row r="942" ht="15.75" customHeight="1" s="201"/>
    <row r="943" ht="15.75" customHeight="1" s="201"/>
    <row r="944" ht="15.75" customHeight="1" s="201"/>
    <row r="945" ht="15.75" customHeight="1" s="201"/>
    <row r="946" ht="15.75" customHeight="1" s="201"/>
    <row r="947" ht="15.75" customHeight="1" s="201"/>
    <row r="948" ht="15.75" customHeight="1" s="201"/>
    <row r="949" ht="15.75" customHeight="1" s="201"/>
    <row r="950" ht="15.75" customHeight="1" s="201"/>
    <row r="951" ht="15.75" customHeight="1" s="201"/>
    <row r="952" ht="15.75" customHeight="1" s="201"/>
    <row r="953" ht="15.75" customHeight="1" s="201"/>
    <row r="954" ht="15.75" customHeight="1" s="201"/>
    <row r="955" ht="15.75" customHeight="1" s="201"/>
    <row r="956" ht="15.75" customHeight="1" s="201"/>
    <row r="957" ht="15.75" customHeight="1" s="201"/>
    <row r="958" ht="15.75" customHeight="1" s="201"/>
    <row r="959" ht="15.75" customHeight="1" s="201"/>
    <row r="960" ht="15.75" customHeight="1" s="201"/>
    <row r="961" ht="15.75" customHeight="1" s="201"/>
    <row r="962" ht="15.75" customHeight="1" s="201"/>
    <row r="963" ht="15.75" customHeight="1" s="201"/>
    <row r="964" ht="15.75" customHeight="1" s="201"/>
    <row r="965" ht="15.75" customHeight="1" s="201"/>
    <row r="966" ht="15.75" customHeight="1" s="201"/>
    <row r="967" ht="15.75" customHeight="1" s="201"/>
    <row r="968" ht="15.75" customHeight="1" s="201"/>
    <row r="969" ht="15.75" customHeight="1" s="201"/>
    <row r="970" ht="15.75" customHeight="1" s="201"/>
    <row r="971" ht="15.75" customHeight="1" s="201"/>
    <row r="972" ht="15.75" customHeight="1" s="201"/>
    <row r="973" ht="15.75" customHeight="1" s="201"/>
    <row r="974" ht="15.75" customHeight="1" s="201"/>
    <row r="975" ht="15.75" customHeight="1" s="201"/>
    <row r="976" ht="15.75" customHeight="1" s="201"/>
    <row r="977" ht="15.75" customHeight="1" s="201"/>
    <row r="978" ht="15.75" customHeight="1" s="201"/>
    <row r="979" ht="15.75" customHeight="1" s="201"/>
    <row r="980" ht="15.75" customHeight="1" s="201"/>
    <row r="981" ht="15.75" customHeight="1" s="201"/>
    <row r="982" ht="15.75" customHeight="1" s="201"/>
    <row r="983" ht="15.75" customHeight="1" s="201"/>
    <row r="984" ht="15.75" customHeight="1" s="201"/>
    <row r="985" ht="15.75" customHeight="1" s="201"/>
    <row r="986" ht="15.75" customHeight="1" s="201"/>
    <row r="987" ht="15.75" customHeight="1" s="201"/>
    <row r="988" ht="15.75" customHeight="1" s="201"/>
    <row r="989" ht="15.75" customHeight="1" s="201"/>
    <row r="990" ht="15.75" customHeight="1" s="201"/>
    <row r="991" ht="15.75" customHeight="1" s="201"/>
    <row r="992" ht="15.75" customHeight="1" s="201"/>
    <row r="993" ht="15.75" customHeight="1" s="201"/>
    <row r="994" ht="15.75" customHeight="1" s="201"/>
    <row r="995" ht="15.75" customHeight="1" s="201"/>
    <row r="996" ht="15.75" customHeight="1" s="201"/>
    <row r="997" ht="15.75" customHeight="1" s="201"/>
    <row r="998" ht="15.75" customHeight="1" s="201"/>
    <row r="999" ht="15.75" customHeight="1" s="201"/>
    <row r="1000" ht="15.75" customHeight="1" s="201"/>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J7303"/>
  <sheetViews>
    <sheetView workbookViewId="0">
      <selection activeCell="A1" sqref="A1"/>
    </sheetView>
  </sheetViews>
  <sheetFormatPr baseColWidth="8" defaultColWidth="12.63" defaultRowHeight="15" customHeight="1"/>
  <cols>
    <col width="62.38" customWidth="1" style="201" min="1" max="1"/>
    <col width="7.88" customWidth="1" style="201" min="2" max="2"/>
    <col width="25.5" customWidth="1" style="201" min="3" max="3"/>
    <col width="11.5" customWidth="1" style="201" min="4" max="4"/>
    <col width="7.5" customWidth="1" style="201" min="5" max="5"/>
    <col width="7.38" customWidth="1" style="201" min="6" max="6"/>
    <col width="14.13" customWidth="1" style="201" min="7" max="7"/>
    <col width="12.38" customWidth="1" style="201" min="8" max="8"/>
    <col width="7.88" customWidth="1" style="201" min="9" max="9"/>
  </cols>
  <sheetData>
    <row r="1">
      <c r="A1" s="1" t="inlineStr">
        <is>
          <t>Foods</t>
        </is>
      </c>
      <c r="B1" s="1" t="inlineStr">
        <is>
          <t>Amount</t>
        </is>
      </c>
      <c r="C1" s="1" t="inlineStr">
        <is>
          <t>Carbohydrate, by difference</t>
        </is>
      </c>
      <c r="D1" s="1" t="inlineStr">
        <is>
          <t>Folate, total</t>
        </is>
      </c>
      <c r="E1" s="1" t="inlineStr">
        <is>
          <t>Iron, Fe</t>
        </is>
      </c>
      <c r="F1" s="1" t="inlineStr">
        <is>
          <t>Protein</t>
        </is>
      </c>
      <c r="G1" s="1" t="inlineStr">
        <is>
          <t>Total lipid (fat)</t>
        </is>
      </c>
      <c r="H1" s="1" t="inlineStr">
        <is>
          <t>Vitamin A, IU</t>
        </is>
      </c>
      <c r="I1" s="1" t="inlineStr">
        <is>
          <t>Zinc, Zn</t>
        </is>
      </c>
      <c r="J1" t="inlineStr">
        <is>
          <t>food_code</t>
        </is>
      </c>
    </row>
    <row r="2">
      <c r="A2" s="1" t="inlineStr">
        <is>
          <t>Abiyuch, raw</t>
        </is>
      </c>
      <c r="C2" s="1" t="n">
        <v>17.6</v>
      </c>
      <c r="E2" s="1" t="n">
        <v>1.61</v>
      </c>
      <c r="F2" s="1" t="n">
        <v>1.5</v>
      </c>
      <c r="G2" s="1" t="n">
        <v>0.1</v>
      </c>
      <c r="H2" s="1" t="n">
        <v>100</v>
      </c>
      <c r="I2" s="1" t="n">
        <v>0.31</v>
      </c>
    </row>
    <row r="3">
      <c r="A3" s="1" t="inlineStr">
        <is>
          <t>Acerola juice, raw</t>
        </is>
      </c>
      <c r="C3" s="1" t="n">
        <v>4.8</v>
      </c>
      <c r="D3" s="1" t="n">
        <v>14</v>
      </c>
      <c r="E3" s="1" t="n">
        <v>0.5</v>
      </c>
      <c r="F3" s="1" t="n">
        <v>0.4</v>
      </c>
      <c r="G3" s="1" t="n">
        <v>0.3</v>
      </c>
      <c r="H3" s="1" t="n">
        <v>509</v>
      </c>
      <c r="I3" s="1" t="n">
        <v>0.1</v>
      </c>
      <c r="J3" t="n">
        <v>64100110</v>
      </c>
    </row>
    <row r="4">
      <c r="A4" s="1" t="inlineStr">
        <is>
          <t>Acerola, (west indian cherry), raw</t>
        </is>
      </c>
      <c r="C4" s="1" t="n">
        <v>7.69</v>
      </c>
      <c r="D4" s="1" t="n">
        <v>14</v>
      </c>
      <c r="E4" s="1" t="n">
        <v>0.2</v>
      </c>
      <c r="F4" s="1" t="n">
        <v>0.4</v>
      </c>
      <c r="G4" s="1" t="n">
        <v>0.3</v>
      </c>
      <c r="H4" s="1" t="n">
        <v>767</v>
      </c>
      <c r="I4" s="1" t="n">
        <v>0.1</v>
      </c>
      <c r="J4" t="n">
        <v>92411510</v>
      </c>
    </row>
    <row r="5">
      <c r="A5" s="1" t="inlineStr">
        <is>
          <t>Acorn stew (Apache)</t>
        </is>
      </c>
      <c r="C5" s="1" t="n">
        <v>9.220000000000001</v>
      </c>
      <c r="D5" s="1" t="n">
        <v>33</v>
      </c>
      <c r="E5" s="1" t="n">
        <v>1</v>
      </c>
      <c r="F5" s="1" t="n">
        <v>6.81</v>
      </c>
      <c r="G5" s="1" t="n">
        <v>3.47</v>
      </c>
      <c r="H5" s="1" t="n">
        <v>0</v>
      </c>
      <c r="I5" s="1" t="n">
        <v>1.6</v>
      </c>
      <c r="J5" t="n">
        <v>27311310</v>
      </c>
    </row>
    <row r="6">
      <c r="A6" s="1" t="inlineStr">
        <is>
          <t>Agave, cooked (Southwest)</t>
        </is>
      </c>
      <c r="C6" s="1" t="n">
        <v>32</v>
      </c>
      <c r="D6" s="1" t="n">
        <v>3</v>
      </c>
      <c r="E6" s="1" t="n">
        <v>3.55</v>
      </c>
      <c r="F6" s="1" t="n">
        <v>0.99</v>
      </c>
      <c r="G6" s="1" t="n">
        <v>0.29</v>
      </c>
      <c r="H6" s="1" t="n">
        <v>113</v>
      </c>
      <c r="I6" s="1" t="n">
        <v>0.25</v>
      </c>
      <c r="J6" t="n">
        <v>91302020</v>
      </c>
    </row>
    <row r="7">
      <c r="A7" s="1" t="inlineStr">
        <is>
          <t>Agave, dried (Southwest)</t>
        </is>
      </c>
      <c r="C7" s="1" t="n">
        <v>81.98</v>
      </c>
      <c r="D7" s="1" t="n">
        <v>7</v>
      </c>
      <c r="E7" s="1" t="n">
        <v>3.64</v>
      </c>
      <c r="F7" s="1" t="n">
        <v>1.71</v>
      </c>
      <c r="G7" s="1" t="n">
        <v>0.6899999999999999</v>
      </c>
      <c r="H7" s="1" t="n">
        <v>18</v>
      </c>
      <c r="I7" s="1" t="n">
        <v>12.1</v>
      </c>
      <c r="J7" t="n">
        <v>91302020</v>
      </c>
    </row>
    <row r="8">
      <c r="A8" s="1" t="inlineStr">
        <is>
          <t>Agave, raw (Southwest)</t>
        </is>
      </c>
      <c r="C8" s="1" t="n">
        <v>16.23</v>
      </c>
      <c r="D8" s="1" t="n">
        <v>7</v>
      </c>
      <c r="E8" s="1" t="n">
        <v>1.8</v>
      </c>
      <c r="F8" s="1" t="n">
        <v>0.52</v>
      </c>
      <c r="G8" s="1" t="n">
        <v>0.15</v>
      </c>
      <c r="H8" s="1" t="n">
        <v>37</v>
      </c>
      <c r="I8" s="1" t="n">
        <v>0.15</v>
      </c>
      <c r="J8" t="n">
        <v>91302020</v>
      </c>
    </row>
    <row r="9">
      <c r="A9" s="1" t="inlineStr">
        <is>
          <t>Agutuk, fish with shortening (Alaskan ice cream) (Alaska Native)</t>
        </is>
      </c>
      <c r="C9" s="1" t="n">
        <v>10.5</v>
      </c>
      <c r="E9" s="1" t="n">
        <v>0.2</v>
      </c>
      <c r="F9" s="1" t="n">
        <v>9</v>
      </c>
      <c r="G9" s="1" t="n">
        <v>43.5</v>
      </c>
      <c r="H9" s="1" t="n">
        <v>257</v>
      </c>
      <c r="I9" s="1" t="n">
        <v>0.47</v>
      </c>
      <c r="J9" t="n">
        <v>75142550</v>
      </c>
    </row>
    <row r="10">
      <c r="A10" s="1" t="inlineStr">
        <is>
          <t>Agutuk, fish/berry with seal oil (Alaskan ice cream) (Alaska Native)</t>
        </is>
      </c>
      <c r="C10" s="1" t="n">
        <v>13.4</v>
      </c>
      <c r="D10" s="1" t="n">
        <v>3</v>
      </c>
      <c r="E10" s="1" t="n">
        <v>0.3</v>
      </c>
      <c r="F10" s="1" t="n">
        <v>3.4</v>
      </c>
      <c r="G10" s="1" t="n">
        <v>31.8</v>
      </c>
      <c r="H10" s="1" t="n">
        <v>696</v>
      </c>
      <c r="I10" s="1" t="n">
        <v>0.18</v>
      </c>
      <c r="J10" t="n">
        <v>75142550</v>
      </c>
    </row>
    <row r="11">
      <c r="A11" s="1" t="inlineStr">
        <is>
          <t>Agutuk, meat-caribou (Alaskan ice cream) (Alaska Native)</t>
        </is>
      </c>
      <c r="C11" s="1" t="n">
        <v>0.9</v>
      </c>
      <c r="D11" s="1" t="n">
        <v>4</v>
      </c>
      <c r="E11" s="1" t="n">
        <v>4.55</v>
      </c>
      <c r="F11" s="1" t="n">
        <v>21.7</v>
      </c>
      <c r="G11" s="1" t="n">
        <v>18.6</v>
      </c>
      <c r="H11" s="1" t="n">
        <v>559</v>
      </c>
      <c r="I11" s="1" t="n">
        <v>3.83</v>
      </c>
    </row>
    <row r="12">
      <c r="A12" s="1" t="inlineStr">
        <is>
          <t>Alcoholic beverage, beer, light</t>
        </is>
      </c>
      <c r="C12" s="1" t="n">
        <v>1.64</v>
      </c>
      <c r="D12" s="1" t="n">
        <v>6</v>
      </c>
      <c r="E12" s="1" t="n">
        <v>0.03</v>
      </c>
      <c r="F12" s="1" t="n">
        <v>0.24</v>
      </c>
      <c r="G12" s="1" t="n">
        <v>0</v>
      </c>
      <c r="H12" s="1" t="n">
        <v>0</v>
      </c>
      <c r="I12" s="1" t="n">
        <v>0.01</v>
      </c>
      <c r="J12" t="n">
        <v>27446245</v>
      </c>
    </row>
    <row r="13">
      <c r="A13" s="1" t="inlineStr">
        <is>
          <t>Alcoholic beverage, beer, light, BUD LIGHT</t>
        </is>
      </c>
      <c r="C13" s="1" t="n">
        <v>1.3</v>
      </c>
      <c r="E13" s="1" t="n">
        <v>0</v>
      </c>
      <c r="F13" s="1" t="n">
        <v>0.25</v>
      </c>
      <c r="G13" s="1" t="n">
        <v>0</v>
      </c>
      <c r="I13" s="1" t="n">
        <v>0</v>
      </c>
      <c r="J13" t="n">
        <v>27446245</v>
      </c>
    </row>
    <row r="14">
      <c r="A14" s="1" t="inlineStr">
        <is>
          <t>Alcoholic beverage, beer, light, BUDWEISER SELECT</t>
        </is>
      </c>
      <c r="C14" s="1" t="n">
        <v>0.87</v>
      </c>
      <c r="E14" s="1" t="n">
        <v>0</v>
      </c>
      <c r="F14" s="1" t="n">
        <v>0.2</v>
      </c>
      <c r="G14" s="1" t="n">
        <v>0</v>
      </c>
      <c r="I14" s="1" t="n">
        <v>0.01</v>
      </c>
      <c r="J14" t="n">
        <v>27446245</v>
      </c>
    </row>
    <row r="15">
      <c r="A15" s="1" t="inlineStr">
        <is>
          <t>Alcoholic beverage, beer, light, higher alcohol</t>
        </is>
      </c>
      <c r="C15" s="1" t="n">
        <v>0.77</v>
      </c>
      <c r="D15" s="1" t="n">
        <v>6</v>
      </c>
      <c r="E15" s="1" t="n">
        <v>0.03</v>
      </c>
      <c r="F15" s="1" t="n">
        <v>0.25</v>
      </c>
      <c r="G15" s="1" t="n">
        <v>0</v>
      </c>
      <c r="H15" s="1" t="n">
        <v>0</v>
      </c>
      <c r="I15" s="1" t="n">
        <v>0.01</v>
      </c>
      <c r="J15" t="n">
        <v>27446245</v>
      </c>
    </row>
    <row r="16">
      <c r="A16" s="1" t="inlineStr">
        <is>
          <t>Alcoholic beverage, beer, light, low carb</t>
        </is>
      </c>
      <c r="C16" s="1" t="n">
        <v>0.73</v>
      </c>
      <c r="D16" s="1" t="n">
        <v>0</v>
      </c>
      <c r="E16" s="1" t="n">
        <v>0</v>
      </c>
      <c r="F16" s="1" t="n">
        <v>0.17</v>
      </c>
      <c r="G16" s="1" t="n">
        <v>0</v>
      </c>
      <c r="H16" s="1" t="n">
        <v>0</v>
      </c>
      <c r="I16" s="1" t="n">
        <v>0.01</v>
      </c>
      <c r="J16" t="n">
        <v>27446245</v>
      </c>
    </row>
    <row r="17">
      <c r="A17" s="1" t="inlineStr">
        <is>
          <t>Alcoholic beverage, beer, regular, all</t>
        </is>
      </c>
      <c r="C17" s="1" t="n">
        <v>3.55</v>
      </c>
      <c r="D17" s="1" t="n">
        <v>6</v>
      </c>
      <c r="E17" s="1" t="n">
        <v>0.02</v>
      </c>
      <c r="F17" s="1" t="n">
        <v>0.46</v>
      </c>
      <c r="G17" s="1" t="n">
        <v>0</v>
      </c>
      <c r="H17" s="1" t="n">
        <v>0</v>
      </c>
      <c r="I17" s="1" t="n">
        <v>0.01</v>
      </c>
      <c r="J17" t="n">
        <v>92803000</v>
      </c>
    </row>
    <row r="18">
      <c r="A18" s="1" t="inlineStr">
        <is>
          <t>Alcoholic beverage, beer, regular, BUDWEISER</t>
        </is>
      </c>
      <c r="C18" s="1" t="n">
        <v>2.97</v>
      </c>
      <c r="E18" s="1" t="n">
        <v>0</v>
      </c>
      <c r="F18" s="1" t="n">
        <v>0.36</v>
      </c>
      <c r="G18" s="1" t="n">
        <v>0</v>
      </c>
      <c r="I18" s="1" t="n">
        <v>0</v>
      </c>
      <c r="J18" t="n">
        <v>92803000</v>
      </c>
    </row>
    <row r="19">
      <c r="A19" s="1" t="inlineStr">
        <is>
          <t>Alcoholic beverage, creme de menthe, 72 proof</t>
        </is>
      </c>
      <c r="C19" s="1" t="n">
        <v>41.6</v>
      </c>
      <c r="D19" s="1" t="n">
        <v>0</v>
      </c>
      <c r="E19" s="1" t="n">
        <v>0.07000000000000001</v>
      </c>
      <c r="F19" s="1" t="n">
        <v>0</v>
      </c>
      <c r="G19" s="1" t="n">
        <v>0.3</v>
      </c>
      <c r="H19" s="1" t="n">
        <v>0</v>
      </c>
      <c r="I19" s="1" t="n">
        <v>0.04</v>
      </c>
    </row>
    <row r="20">
      <c r="A20" s="1" t="inlineStr">
        <is>
          <t>Alcoholic beverage, daiquiri, canned</t>
        </is>
      </c>
      <c r="C20" s="1" t="n">
        <v>15.7</v>
      </c>
      <c r="D20" s="1" t="n">
        <v>1</v>
      </c>
      <c r="E20" s="1" t="n">
        <v>0.01</v>
      </c>
      <c r="F20" s="1" t="n">
        <v>0</v>
      </c>
      <c r="G20" s="1" t="n">
        <v>0</v>
      </c>
      <c r="H20" s="1" t="n">
        <v>2</v>
      </c>
      <c r="I20" s="1" t="n">
        <v>0.03</v>
      </c>
      <c r="J20" t="n">
        <v>63311110</v>
      </c>
    </row>
    <row r="21" ht="15.75" customHeight="1" s="201">
      <c r="A21" s="1" t="inlineStr">
        <is>
          <t>Alcoholic beverage, daiquiri, prepared-from-recipe</t>
        </is>
      </c>
      <c r="C21" s="1" t="n">
        <v>6.94</v>
      </c>
      <c r="D21" s="1" t="n">
        <v>2</v>
      </c>
      <c r="E21" s="1" t="n">
        <v>0.09</v>
      </c>
      <c r="F21" s="1" t="n">
        <v>0.06</v>
      </c>
      <c r="G21" s="1" t="n">
        <v>0.06</v>
      </c>
      <c r="H21" s="1" t="n">
        <v>4</v>
      </c>
      <c r="I21" s="1" t="n">
        <v>0.04</v>
      </c>
      <c r="J21" t="n">
        <v>24127210</v>
      </c>
    </row>
    <row r="22" ht="15.75" customHeight="1" s="201">
      <c r="A22" s="1" t="inlineStr">
        <is>
          <t>Alcoholic beverage, distilled, all (gin, rum, vodka, whiskey) 100 proof</t>
        </is>
      </c>
      <c r="C22" s="1" t="n">
        <v>0</v>
      </c>
      <c r="D22" s="1" t="n">
        <v>0</v>
      </c>
      <c r="E22" s="1" t="n">
        <v>0.04</v>
      </c>
      <c r="F22" s="1" t="n">
        <v>0</v>
      </c>
      <c r="G22" s="1" t="n">
        <v>0</v>
      </c>
      <c r="H22" s="1" t="n">
        <v>0</v>
      </c>
      <c r="I22" s="1" t="n">
        <v>0.04</v>
      </c>
    </row>
    <row r="23" ht="15.75" customHeight="1" s="201">
      <c r="A23" s="1" t="inlineStr">
        <is>
          <t>Alcoholic beverage, distilled, all (gin, rum, vodka, whiskey) 86 proof</t>
        </is>
      </c>
      <c r="C23" s="1" t="n">
        <v>0.1</v>
      </c>
      <c r="D23" s="1" t="n">
        <v>0</v>
      </c>
      <c r="E23" s="1" t="n">
        <v>0.04</v>
      </c>
      <c r="F23" s="1" t="n">
        <v>0</v>
      </c>
      <c r="G23" s="1" t="n">
        <v>0</v>
      </c>
      <c r="H23" s="1" t="n">
        <v>0</v>
      </c>
      <c r="I23" s="1" t="n">
        <v>0.04</v>
      </c>
    </row>
    <row r="24" ht="15.75" customHeight="1" s="201">
      <c r="A24" s="1" t="inlineStr">
        <is>
          <t>Alcoholic beverage, distilled, all (gin, rum, vodka, whiskey) 90 proof</t>
        </is>
      </c>
      <c r="C24" s="1" t="n">
        <v>0</v>
      </c>
      <c r="D24" s="1" t="n">
        <v>0</v>
      </c>
      <c r="E24" s="1" t="n">
        <v>0.04</v>
      </c>
      <c r="F24" s="1" t="n">
        <v>0</v>
      </c>
      <c r="G24" s="1" t="n">
        <v>0</v>
      </c>
      <c r="H24" s="1" t="n">
        <v>0</v>
      </c>
      <c r="I24" s="1" t="n">
        <v>0.04</v>
      </c>
    </row>
    <row r="25" ht="15.75" customHeight="1" s="201">
      <c r="A25" s="1" t="inlineStr">
        <is>
          <t>Alcoholic beverage, distilled, all (gin, rum, vodka, whiskey) 94 proof</t>
        </is>
      </c>
      <c r="C25" s="1" t="n">
        <v>0</v>
      </c>
      <c r="D25" s="1" t="n">
        <v>0</v>
      </c>
      <c r="E25" s="1" t="n">
        <v>0.04</v>
      </c>
      <c r="F25" s="1" t="n">
        <v>0</v>
      </c>
      <c r="G25" s="1" t="n">
        <v>0</v>
      </c>
      <c r="H25" s="1" t="n">
        <v>0</v>
      </c>
      <c r="I25" s="1" t="n">
        <v>0.04</v>
      </c>
    </row>
    <row r="26" ht="15.75" customHeight="1" s="201">
      <c r="A26" s="1" t="inlineStr">
        <is>
          <t>Alcoholic beverage, liqueur, coffee, 63 proof</t>
        </is>
      </c>
      <c r="C26" s="1" t="n">
        <v>32.2</v>
      </c>
      <c r="D26" s="1" t="n">
        <v>0</v>
      </c>
      <c r="E26" s="1" t="n">
        <v>0.06</v>
      </c>
      <c r="F26" s="1" t="n">
        <v>0.1</v>
      </c>
      <c r="G26" s="1" t="n">
        <v>0.3</v>
      </c>
      <c r="H26" s="1" t="n">
        <v>0</v>
      </c>
      <c r="I26" s="1" t="n">
        <v>0.03</v>
      </c>
      <c r="J26" t="n">
        <v>53610100</v>
      </c>
    </row>
    <row r="27" ht="15.75" customHeight="1" s="201">
      <c r="A27" s="1" t="inlineStr">
        <is>
          <t>Alcoholic beverage, malt beer, hard lemonade</t>
        </is>
      </c>
      <c r="C27" s="1" t="n">
        <v>10.07</v>
      </c>
      <c r="D27" s="1" t="n">
        <v>4</v>
      </c>
      <c r="E27" s="1" t="n">
        <v>0.03</v>
      </c>
      <c r="F27" s="1" t="n">
        <v>0</v>
      </c>
      <c r="G27" s="1" t="n">
        <v>0</v>
      </c>
      <c r="H27" s="1" t="n">
        <v>0</v>
      </c>
      <c r="I27" s="1" t="n">
        <v>0.01</v>
      </c>
      <c r="J27" t="n">
        <v>93106000</v>
      </c>
    </row>
    <row r="28" ht="15.75" customHeight="1" s="201">
      <c r="A28" s="1" t="inlineStr">
        <is>
          <t>Alcoholic beverage, pina colada, canned</t>
        </is>
      </c>
      <c r="C28" s="1" t="n">
        <v>27.6</v>
      </c>
      <c r="D28" s="1" t="n">
        <v>6</v>
      </c>
      <c r="E28" s="1" t="n">
        <v>0.03</v>
      </c>
      <c r="F28" s="1" t="n">
        <v>0.6</v>
      </c>
      <c r="G28" s="1" t="n">
        <v>7.6</v>
      </c>
      <c r="H28" s="1" t="n">
        <v>24</v>
      </c>
      <c r="I28" s="1" t="n">
        <v>0.2</v>
      </c>
      <c r="J28" t="n">
        <v>63311110</v>
      </c>
    </row>
    <row r="29" ht="15.75" customHeight="1" s="201">
      <c r="A29" s="1" t="inlineStr">
        <is>
          <t>Alcoholic beverage, pina colada, prepared-from-recipe</t>
        </is>
      </c>
      <c r="C29" s="1" t="n">
        <v>22.66</v>
      </c>
      <c r="D29" s="1" t="n">
        <v>12</v>
      </c>
      <c r="E29" s="1" t="n">
        <v>0.21</v>
      </c>
      <c r="F29" s="1" t="n">
        <v>0.42</v>
      </c>
      <c r="G29" s="1" t="n">
        <v>1.88</v>
      </c>
      <c r="H29" s="1" t="n">
        <v>2</v>
      </c>
      <c r="I29" s="1" t="n">
        <v>0.13</v>
      </c>
      <c r="J29" t="n">
        <v>24127210</v>
      </c>
    </row>
    <row r="30" ht="15.75" customHeight="1" s="201">
      <c r="A30" s="1" t="inlineStr">
        <is>
          <t>Alcoholic beverage, rice (sake)</t>
        </is>
      </c>
      <c r="C30" s="1" t="n">
        <v>5</v>
      </c>
      <c r="D30" s="1" t="n">
        <v>0</v>
      </c>
      <c r="E30" s="1" t="n">
        <v>0.1</v>
      </c>
      <c r="F30" s="1" t="n">
        <v>0.5</v>
      </c>
      <c r="G30" s="1" t="n">
        <v>0</v>
      </c>
      <c r="H30" s="1" t="n">
        <v>0</v>
      </c>
      <c r="I30" s="1" t="n">
        <v>0.02</v>
      </c>
      <c r="J30" t="n">
        <v>54319000</v>
      </c>
    </row>
    <row r="31" ht="15.75" customHeight="1" s="201">
      <c r="A31" s="1" t="inlineStr">
        <is>
          <t>Alcoholic beverage, tequila sunrise, canned</t>
        </is>
      </c>
      <c r="C31" s="1" t="n">
        <v>11.3</v>
      </c>
      <c r="D31" s="1" t="n">
        <v>11</v>
      </c>
      <c r="E31" s="1" t="n">
        <v>0.02</v>
      </c>
      <c r="F31" s="1" t="n">
        <v>0.3</v>
      </c>
      <c r="G31" s="1" t="n">
        <v>0.1</v>
      </c>
      <c r="H31" s="1" t="n">
        <v>97</v>
      </c>
      <c r="I31" s="1" t="n">
        <v>0.6</v>
      </c>
      <c r="J31" t="n">
        <v>63311110</v>
      </c>
    </row>
    <row r="32" ht="15.75" customHeight="1" s="201">
      <c r="A32" s="1" t="inlineStr">
        <is>
          <t>Alcoholic beverage, whiskey sour</t>
        </is>
      </c>
      <c r="C32" s="1" t="n">
        <v>13.17</v>
      </c>
      <c r="D32" s="1" t="n">
        <v>0</v>
      </c>
      <c r="E32" s="1" t="n">
        <v>0.08</v>
      </c>
      <c r="F32" s="1" t="n">
        <v>0</v>
      </c>
      <c r="G32" s="1" t="n">
        <v>0.03</v>
      </c>
      <c r="H32" s="1" t="n">
        <v>13</v>
      </c>
      <c r="I32" s="1" t="n">
        <v>0.06</v>
      </c>
      <c r="J32" t="n">
        <v>93106000</v>
      </c>
    </row>
    <row r="33" ht="15.75" customHeight="1" s="201">
      <c r="A33" s="1" t="inlineStr">
        <is>
          <t>Alcoholic beverage, whiskey sour, prepared with water, whiskey and powder mix</t>
        </is>
      </c>
      <c r="C33" s="1" t="n">
        <v>15.85</v>
      </c>
      <c r="D33" s="1" t="n">
        <v>0</v>
      </c>
      <c r="E33" s="1" t="n">
        <v>0.08</v>
      </c>
      <c r="F33" s="1" t="n">
        <v>0.1</v>
      </c>
      <c r="G33" s="1" t="n">
        <v>0.02</v>
      </c>
      <c r="H33" s="1" t="n">
        <v>5</v>
      </c>
      <c r="I33" s="1" t="n">
        <v>0.04</v>
      </c>
      <c r="J33" t="n">
        <v>11740313</v>
      </c>
    </row>
    <row r="34" ht="15.75" customHeight="1" s="201">
      <c r="A34" s="1" t="inlineStr">
        <is>
          <t>Alcoholic beverage, wine, cooking</t>
        </is>
      </c>
      <c r="C34" s="1" t="n">
        <v>6.3</v>
      </c>
      <c r="D34" s="1" t="n">
        <v>1</v>
      </c>
      <c r="E34" s="1" t="n">
        <v>0.4</v>
      </c>
      <c r="F34" s="1" t="n">
        <v>0.5</v>
      </c>
      <c r="G34" s="1" t="n">
        <v>0</v>
      </c>
      <c r="H34" s="1" t="n">
        <v>0</v>
      </c>
      <c r="I34" s="1" t="n">
        <v>0.08</v>
      </c>
      <c r="J34" t="n">
        <v>93401100</v>
      </c>
    </row>
    <row r="35" ht="15.75" customHeight="1" s="201">
      <c r="A35" s="1" t="inlineStr">
        <is>
          <t>Alcoholic beverage, wine, dessert, sweet</t>
        </is>
      </c>
      <c r="C35" s="1" t="n">
        <v>13.69</v>
      </c>
      <c r="D35" s="1" t="n">
        <v>0</v>
      </c>
      <c r="E35" s="1" t="n">
        <v>0.24</v>
      </c>
      <c r="F35" s="1" t="n">
        <v>0.2</v>
      </c>
      <c r="G35" s="1" t="n">
        <v>0</v>
      </c>
      <c r="H35" s="1" t="n">
        <v>0</v>
      </c>
      <c r="I35" s="1" t="n">
        <v>0.07000000000000001</v>
      </c>
      <c r="J35" t="n">
        <v>93402000</v>
      </c>
    </row>
    <row r="36" ht="15.75" customHeight="1" s="201">
      <c r="A36" s="1" t="inlineStr">
        <is>
          <t>Alcoholic beverage, wine, light</t>
        </is>
      </c>
      <c r="C36" s="1" t="n">
        <v>1.17</v>
      </c>
      <c r="D36" s="1" t="n">
        <v>1</v>
      </c>
      <c r="E36" s="1" t="n">
        <v>0.4</v>
      </c>
      <c r="F36" s="1" t="n">
        <v>0.07000000000000001</v>
      </c>
      <c r="G36" s="1" t="n">
        <v>0</v>
      </c>
      <c r="H36" s="1" t="n">
        <v>0</v>
      </c>
      <c r="I36" s="1" t="n">
        <v>0.08</v>
      </c>
      <c r="J36" t="n">
        <v>27446245</v>
      </c>
    </row>
    <row r="37" ht="15.75" customHeight="1" s="201">
      <c r="A37" s="1" t="inlineStr">
        <is>
          <t>Alcoholic beverage, wine, table, all</t>
        </is>
      </c>
      <c r="C37" s="1" t="n">
        <v>2.72</v>
      </c>
      <c r="D37" s="1" t="n">
        <v>1</v>
      </c>
      <c r="E37" s="1" t="n">
        <v>0.37</v>
      </c>
      <c r="F37" s="1" t="n">
        <v>0.07000000000000001</v>
      </c>
      <c r="G37" s="1" t="n">
        <v>0</v>
      </c>
      <c r="H37" s="1" t="n">
        <v>0</v>
      </c>
      <c r="I37" s="1" t="n">
        <v>0.13</v>
      </c>
      <c r="J37" t="n">
        <v>93401010</v>
      </c>
    </row>
    <row r="38" ht="15.75" customHeight="1" s="201">
      <c r="A38" s="1" t="inlineStr">
        <is>
          <t>Alcoholic beverage, wine, table, red</t>
        </is>
      </c>
      <c r="C38" s="1" t="n">
        <v>2.61</v>
      </c>
      <c r="D38" s="1" t="n">
        <v>1</v>
      </c>
      <c r="E38" s="1" t="n">
        <v>0.46</v>
      </c>
      <c r="F38" s="1" t="n">
        <v>0.07000000000000001</v>
      </c>
      <c r="G38" s="1" t="n">
        <v>0</v>
      </c>
      <c r="H38" s="1" t="n">
        <v>2</v>
      </c>
      <c r="I38" s="1" t="n">
        <v>0.14</v>
      </c>
      <c r="J38" t="n">
        <v>93401010</v>
      </c>
    </row>
    <row r="39" ht="15.75" customHeight="1" s="201">
      <c r="A39" s="1" t="inlineStr">
        <is>
          <t>Alcoholic Beverage, wine, table, red, Barbera</t>
        </is>
      </c>
      <c r="C39" s="1" t="n">
        <v>2.79</v>
      </c>
      <c r="F39" s="1" t="n">
        <v>0.07000000000000001</v>
      </c>
      <c r="G39" s="1" t="n">
        <v>0</v>
      </c>
      <c r="J39" t="n">
        <v>93401010</v>
      </c>
    </row>
    <row r="40" ht="15.75" customHeight="1" s="201">
      <c r="A40" s="1" t="inlineStr">
        <is>
          <t>Alcoholic Beverage, wine, table, red, Burgundy</t>
        </is>
      </c>
      <c r="C40" s="1" t="n">
        <v>3.69</v>
      </c>
      <c r="F40" s="1" t="n">
        <v>0.07000000000000001</v>
      </c>
      <c r="G40" s="1" t="n">
        <v>0</v>
      </c>
      <c r="J40" t="n">
        <v>93401010</v>
      </c>
    </row>
    <row r="41" ht="15.75" customHeight="1" s="201">
      <c r="A41" s="1" t="inlineStr">
        <is>
          <t>Alcoholic Beverage, wine, table, red, Claret</t>
        </is>
      </c>
      <c r="C41" s="1" t="n">
        <v>3.01</v>
      </c>
      <c r="F41" s="1" t="n">
        <v>0.07000000000000001</v>
      </c>
      <c r="G41" s="1" t="n">
        <v>0</v>
      </c>
      <c r="J41" t="n">
        <v>93401010</v>
      </c>
    </row>
    <row r="42" ht="15.75" customHeight="1" s="201">
      <c r="A42" s="1" t="inlineStr">
        <is>
          <t>Alcoholic Beverage, wine, table, red, Gamay</t>
        </is>
      </c>
      <c r="C42" s="1" t="n">
        <v>2.38</v>
      </c>
      <c r="F42" s="1" t="n">
        <v>0.07000000000000001</v>
      </c>
      <c r="G42" s="1" t="n">
        <v>0</v>
      </c>
      <c r="J42" t="n">
        <v>93401010</v>
      </c>
    </row>
    <row r="43" ht="15.75" customHeight="1" s="201">
      <c r="A43" s="1" t="inlineStr">
        <is>
          <t>Alcoholic Beverage, wine, table, red, Merlot</t>
        </is>
      </c>
      <c r="C43" s="1" t="n">
        <v>2.51</v>
      </c>
      <c r="D43" s="1" t="n">
        <v>1</v>
      </c>
      <c r="E43" s="1" t="n">
        <v>0.46</v>
      </c>
      <c r="F43" s="1" t="n">
        <v>0.07000000000000001</v>
      </c>
      <c r="G43" s="1" t="n">
        <v>0</v>
      </c>
      <c r="I43" s="1" t="n">
        <v>0.14</v>
      </c>
      <c r="J43" t="n">
        <v>93401010</v>
      </c>
    </row>
    <row r="44" ht="15.75" customHeight="1" s="201">
      <c r="A44" s="1" t="inlineStr">
        <is>
          <t>Alcoholic Beverage, wine, table, red, Mouvedre</t>
        </is>
      </c>
      <c r="C44" s="1" t="n">
        <v>2.64</v>
      </c>
      <c r="F44" s="1" t="n">
        <v>0.07000000000000001</v>
      </c>
      <c r="G44" s="1" t="n">
        <v>0</v>
      </c>
      <c r="J44" t="n">
        <v>93401010</v>
      </c>
    </row>
    <row r="45" ht="15.75" customHeight="1" s="201">
      <c r="A45" s="1" t="inlineStr">
        <is>
          <t>Alcoholic Beverage, wine, table, red, Petite Sirah</t>
        </is>
      </c>
      <c r="C45" s="1" t="n">
        <v>2.68</v>
      </c>
      <c r="F45" s="1" t="n">
        <v>0.07000000000000001</v>
      </c>
      <c r="G45" s="1" t="n">
        <v>0</v>
      </c>
      <c r="J45" t="n">
        <v>93401010</v>
      </c>
    </row>
    <row r="46" ht="15.75" customHeight="1" s="201">
      <c r="A46" s="1" t="inlineStr">
        <is>
          <t>Alcoholic Beverage, wine, table, red, Zinfandel</t>
        </is>
      </c>
      <c r="C46" s="1" t="n">
        <v>2.86</v>
      </c>
      <c r="F46" s="1" t="n">
        <v>0.07000000000000001</v>
      </c>
      <c r="G46" s="1" t="n">
        <v>0</v>
      </c>
      <c r="J46" t="n">
        <v>93401010</v>
      </c>
    </row>
    <row r="47" ht="15.75" customHeight="1" s="201">
      <c r="A47" s="1" t="inlineStr">
        <is>
          <t>Alcoholic beverage, wine, table, white, Chardonnay</t>
        </is>
      </c>
      <c r="C47" s="1" t="n">
        <v>2.16</v>
      </c>
      <c r="D47" s="1" t="n">
        <v>1</v>
      </c>
      <c r="E47" s="1" t="n">
        <v>0.27</v>
      </c>
      <c r="F47" s="1" t="n">
        <v>0.07000000000000001</v>
      </c>
      <c r="G47" s="1" t="n">
        <v>0</v>
      </c>
      <c r="I47" s="1" t="n">
        <v>0.12</v>
      </c>
      <c r="J47" t="n">
        <v>93401020</v>
      </c>
    </row>
    <row r="48" ht="15.75" customHeight="1" s="201">
      <c r="A48" s="1" t="inlineStr">
        <is>
          <t>Alcoholic beverage, wine, table, white, Chenin Blanc</t>
        </is>
      </c>
      <c r="C48" s="1" t="n">
        <v>3.31</v>
      </c>
      <c r="F48" s="1" t="n">
        <v>0.07000000000000001</v>
      </c>
      <c r="G48" s="1" t="n">
        <v>0</v>
      </c>
      <c r="J48" t="n">
        <v>93401020</v>
      </c>
    </row>
    <row r="49" ht="15.75" customHeight="1" s="201">
      <c r="A49" s="1" t="inlineStr">
        <is>
          <t>Alcoholic beverage, wine, table, white, Fume Blanc</t>
        </is>
      </c>
      <c r="C49" s="1" t="n">
        <v>2.27</v>
      </c>
      <c r="F49" s="1" t="n">
        <v>0.07000000000000001</v>
      </c>
      <c r="G49" s="1" t="n">
        <v>0</v>
      </c>
      <c r="J49" t="n">
        <v>93401020</v>
      </c>
    </row>
    <row r="50" ht="15.75" customHeight="1" s="201">
      <c r="A50" s="1" t="inlineStr">
        <is>
          <t>Alcoholic beverage, wine, table, white, late harvest</t>
        </is>
      </c>
      <c r="C50" s="1" t="n">
        <v>13.39</v>
      </c>
      <c r="F50" s="1" t="n">
        <v>0.07000000000000001</v>
      </c>
      <c r="G50" s="1" t="n">
        <v>0</v>
      </c>
      <c r="J50" t="n">
        <v>93401020</v>
      </c>
    </row>
    <row r="51" ht="15.75" customHeight="1" s="201">
      <c r="A51" s="1" t="inlineStr">
        <is>
          <t>Alcoholic beverage, wine, table, white, Muller Thurgau</t>
        </is>
      </c>
      <c r="C51" s="1" t="n">
        <v>3.48</v>
      </c>
      <c r="F51" s="1" t="n">
        <v>0.07000000000000001</v>
      </c>
      <c r="G51" s="1" t="n">
        <v>0</v>
      </c>
      <c r="J51" t="n">
        <v>93401020</v>
      </c>
    </row>
    <row r="52" ht="15.75" customHeight="1" s="201">
      <c r="A52" s="1" t="inlineStr">
        <is>
          <t>Alcoholic beverage, wine, table, white, Riesling</t>
        </is>
      </c>
      <c r="C52" s="1" t="n">
        <v>3.74</v>
      </c>
      <c r="F52" s="1" t="n">
        <v>0.07000000000000001</v>
      </c>
      <c r="G52" s="1" t="n">
        <v>0</v>
      </c>
      <c r="J52" t="n">
        <v>93401020</v>
      </c>
    </row>
    <row r="53" ht="15.75" customHeight="1" s="201">
      <c r="A53" s="1" t="inlineStr">
        <is>
          <t>Alcoholic beverage, wine, table, white, Sauvignon Blanc</t>
        </is>
      </c>
      <c r="C53" s="1" t="n">
        <v>2.05</v>
      </c>
      <c r="F53" s="1" t="n">
        <v>0.07000000000000001</v>
      </c>
      <c r="G53" s="1" t="n">
        <v>0</v>
      </c>
      <c r="J53" t="n">
        <v>93401020</v>
      </c>
    </row>
    <row r="54" ht="15.75" customHeight="1" s="201">
      <c r="A54" s="1" t="inlineStr">
        <is>
          <t>Alcoholic beverages, beer, higher alcohol</t>
        </is>
      </c>
      <c r="C54" s="1" t="n">
        <v>0.27</v>
      </c>
      <c r="D54" s="1" t="n">
        <v>18</v>
      </c>
      <c r="E54" s="1" t="n">
        <v>0.03</v>
      </c>
      <c r="F54" s="1" t="n">
        <v>0.9</v>
      </c>
      <c r="G54" s="1" t="n">
        <v>0</v>
      </c>
      <c r="H54" s="1" t="n">
        <v>0</v>
      </c>
      <c r="I54" s="1" t="n">
        <v>0.01</v>
      </c>
      <c r="J54" t="n">
        <v>93102300</v>
      </c>
    </row>
    <row r="55" ht="15.75" customHeight="1" s="201">
      <c r="A55" s="1" t="inlineStr">
        <is>
          <t>Alcoholic beverages, wine, rose</t>
        </is>
      </c>
      <c r="C55" s="1" t="n">
        <v>3.8</v>
      </c>
      <c r="D55" s="1" t="n">
        <v>1</v>
      </c>
      <c r="E55" s="1" t="n">
        <v>0.2</v>
      </c>
      <c r="F55" s="1" t="n">
        <v>0.36</v>
      </c>
      <c r="G55" s="1" t="n">
        <v>0</v>
      </c>
      <c r="H55" s="1" t="n">
        <v>0</v>
      </c>
      <c r="I55" s="1" t="n">
        <v>0.11</v>
      </c>
      <c r="J55" t="n">
        <v>93401100</v>
      </c>
    </row>
    <row r="56" ht="15.75" customHeight="1" s="201">
      <c r="A56" s="1" t="inlineStr">
        <is>
          <t>Alfalfa seeds, sprouted, raw</t>
        </is>
      </c>
      <c r="C56" s="1" t="n">
        <v>2.1</v>
      </c>
      <c r="D56" s="1" t="n">
        <v>36</v>
      </c>
      <c r="E56" s="1" t="n">
        <v>0.96</v>
      </c>
      <c r="F56" s="1" t="n">
        <v>3.99</v>
      </c>
      <c r="G56" s="1" t="n">
        <v>0.6899999999999999</v>
      </c>
      <c r="H56" s="1" t="n">
        <v>155</v>
      </c>
      <c r="I56" s="1" t="n">
        <v>0.92</v>
      </c>
      <c r="J56" t="n">
        <v>43101100</v>
      </c>
    </row>
    <row r="57" ht="15.75" customHeight="1" s="201">
      <c r="A57" s="1" t="inlineStr">
        <is>
          <t>Amaranth grain, cooked</t>
        </is>
      </c>
      <c r="C57" s="1" t="n">
        <v>18.69</v>
      </c>
      <c r="D57" s="1" t="n">
        <v>22</v>
      </c>
      <c r="E57" s="1" t="n">
        <v>2.1</v>
      </c>
      <c r="F57" s="1" t="n">
        <v>3.8</v>
      </c>
      <c r="G57" s="1" t="n">
        <v>1.58</v>
      </c>
      <c r="I57" s="1" t="n">
        <v>0.86</v>
      </c>
      <c r="J57" t="n">
        <v>54204030</v>
      </c>
    </row>
    <row r="58" ht="15.75" customHeight="1" s="201">
      <c r="A58" s="1" t="inlineStr">
        <is>
          <t>Amaranth grain, uncooked</t>
        </is>
      </c>
      <c r="C58" s="1" t="n">
        <v>65.25</v>
      </c>
      <c r="D58" s="1" t="n">
        <v>82</v>
      </c>
      <c r="E58" s="1" t="n">
        <v>7.61</v>
      </c>
      <c r="F58" s="1" t="n">
        <v>13.56</v>
      </c>
      <c r="G58" s="1" t="n">
        <v>7.02</v>
      </c>
      <c r="H58" s="1" t="n">
        <v>2</v>
      </c>
      <c r="I58" s="1" t="n">
        <v>2.87</v>
      </c>
      <c r="J58" t="n">
        <v>54204030</v>
      </c>
    </row>
    <row r="59" ht="15.75" customHeight="1" s="201">
      <c r="A59" s="1" t="inlineStr">
        <is>
          <t>Amaranth leaves, cooked, boiled, drained, with salt</t>
        </is>
      </c>
      <c r="C59" s="1" t="n">
        <v>4.11</v>
      </c>
      <c r="D59" s="1" t="n">
        <v>57</v>
      </c>
      <c r="E59" s="1" t="n">
        <v>2.26</v>
      </c>
      <c r="F59" s="1" t="n">
        <v>2.11</v>
      </c>
      <c r="G59" s="1" t="n">
        <v>0.18</v>
      </c>
      <c r="H59" s="1" t="n">
        <v>2770</v>
      </c>
      <c r="I59" s="1" t="n">
        <v>0.88</v>
      </c>
      <c r="J59" t="n">
        <v>75142550</v>
      </c>
    </row>
    <row r="60" ht="15.75" customHeight="1" s="201">
      <c r="A60" s="1" t="inlineStr">
        <is>
          <t>Amaranth leaves, cooked, boiled, drained, without salt</t>
        </is>
      </c>
      <c r="C60" s="1" t="n">
        <v>4.11</v>
      </c>
      <c r="D60" s="1" t="n">
        <v>57</v>
      </c>
      <c r="E60" s="1" t="n">
        <v>2.26</v>
      </c>
      <c r="F60" s="1" t="n">
        <v>2.11</v>
      </c>
      <c r="G60" s="1" t="n">
        <v>0.18</v>
      </c>
      <c r="H60" s="1" t="n">
        <v>2770</v>
      </c>
      <c r="I60" s="1" t="n">
        <v>0.88</v>
      </c>
      <c r="J60" t="n">
        <v>31103010</v>
      </c>
    </row>
    <row r="61" ht="15.75" customHeight="1" s="201">
      <c r="A61" s="1" t="inlineStr">
        <is>
          <t>Amaranth leaves, raw</t>
        </is>
      </c>
      <c r="C61" s="1" t="n">
        <v>4.02</v>
      </c>
      <c r="D61" s="1" t="n">
        <v>85</v>
      </c>
      <c r="E61" s="1" t="n">
        <v>2.32</v>
      </c>
      <c r="F61" s="1" t="n">
        <v>2.46</v>
      </c>
      <c r="G61" s="1" t="n">
        <v>0.33</v>
      </c>
      <c r="H61" s="1" t="n">
        <v>2917</v>
      </c>
      <c r="I61" s="1" t="n">
        <v>0.9</v>
      </c>
      <c r="J61" t="n">
        <v>27330170</v>
      </c>
    </row>
    <row r="62" ht="15.75" customHeight="1" s="201">
      <c r="A62" s="1" t="inlineStr">
        <is>
          <t>Andrea's, Gluten Free Soft Dinner Roll</t>
        </is>
      </c>
      <c r="C62" s="1" t="n">
        <v>40.24</v>
      </c>
      <c r="D62" s="1" t="n">
        <v>31</v>
      </c>
      <c r="E62" s="1" t="n">
        <v>0.89</v>
      </c>
      <c r="F62" s="1" t="n">
        <v>5.65</v>
      </c>
      <c r="G62" s="1" t="n">
        <v>8.199999999999999</v>
      </c>
      <c r="I62" s="1" t="n">
        <v>0.77</v>
      </c>
      <c r="J62" t="n">
        <v>51150000</v>
      </c>
    </row>
    <row r="63" ht="15.75" customHeight="1" s="201">
      <c r="A63" s="1" t="inlineStr">
        <is>
          <t>Animal fat, bacon grease</t>
        </is>
      </c>
      <c r="C63" s="1" t="n">
        <v>0</v>
      </c>
      <c r="D63" s="1" t="n">
        <v>0</v>
      </c>
      <c r="E63" s="1" t="n">
        <v>0</v>
      </c>
      <c r="F63" s="1" t="n">
        <v>0</v>
      </c>
      <c r="G63" s="1" t="n">
        <v>99.5</v>
      </c>
      <c r="H63" s="1" t="n">
        <v>0</v>
      </c>
      <c r="I63" s="1" t="n">
        <v>0.11</v>
      </c>
      <c r="J63" t="n">
        <v>32202070</v>
      </c>
    </row>
    <row r="64" ht="15.75" customHeight="1" s="201">
      <c r="A64" s="1" t="inlineStr">
        <is>
          <t>Apple juice, canned or bottled, unsweetened, with added ascorbic acid</t>
        </is>
      </c>
      <c r="C64" s="1" t="n">
        <v>11.3</v>
      </c>
      <c r="D64" s="1" t="n">
        <v>0</v>
      </c>
      <c r="E64" s="1" t="n">
        <v>0.12</v>
      </c>
      <c r="F64" s="1" t="n">
        <v>0.1</v>
      </c>
      <c r="G64" s="1" t="n">
        <v>0.13</v>
      </c>
      <c r="H64" s="1" t="n">
        <v>1</v>
      </c>
      <c r="I64" s="1" t="n">
        <v>0.02</v>
      </c>
      <c r="J64" t="n">
        <v>64100220</v>
      </c>
    </row>
    <row r="65" ht="15.75" customHeight="1" s="201">
      <c r="A65" s="1" t="inlineStr">
        <is>
          <t>Apple juice, canned or bottled, unsweetened, with added ascorbic acid, calcium, and potassium</t>
        </is>
      </c>
      <c r="C65" s="1" t="n">
        <v>11.49</v>
      </c>
      <c r="D65" s="1" t="n">
        <v>0</v>
      </c>
      <c r="E65" s="1" t="n">
        <v>0.13</v>
      </c>
      <c r="F65" s="1" t="n">
        <v>0.12</v>
      </c>
      <c r="G65" s="1" t="n">
        <v>0.17</v>
      </c>
      <c r="H65" s="1" t="n">
        <v>1</v>
      </c>
      <c r="I65" s="1" t="n">
        <v>0.04</v>
      </c>
      <c r="J65" t="n">
        <v>64100220</v>
      </c>
    </row>
    <row r="66" ht="15.75" customHeight="1" s="201">
      <c r="A66" s="1" t="inlineStr">
        <is>
          <t>Apple juice, canned or bottled, unsweetened, without added ascorbic acid</t>
        </is>
      </c>
      <c r="C66" s="1" t="n">
        <v>11.3</v>
      </c>
      <c r="D66" s="1" t="n">
        <v>0</v>
      </c>
      <c r="E66" s="1" t="n">
        <v>0.12</v>
      </c>
      <c r="F66" s="1" t="n">
        <v>0.1</v>
      </c>
      <c r="G66" s="1" t="n">
        <v>0.13</v>
      </c>
      <c r="H66" s="1" t="n">
        <v>1</v>
      </c>
      <c r="I66" s="1" t="n">
        <v>0.02</v>
      </c>
      <c r="J66" t="n">
        <v>64100110</v>
      </c>
    </row>
    <row r="67" ht="15.75" customHeight="1" s="201">
      <c r="A67" s="1" t="inlineStr">
        <is>
          <t>Apple juice, frozen concentrate, unsweetened, diluted with 3 volume water without added ascorbic acid</t>
        </is>
      </c>
      <c r="C67" s="1" t="n">
        <v>11.54</v>
      </c>
      <c r="D67" s="1" t="n">
        <v>0</v>
      </c>
      <c r="E67" s="1" t="n">
        <v>0.26</v>
      </c>
      <c r="F67" s="1" t="n">
        <v>0.14</v>
      </c>
      <c r="G67" s="1" t="n">
        <v>0.1</v>
      </c>
      <c r="H67" s="1" t="n">
        <v>0</v>
      </c>
      <c r="I67" s="1" t="n">
        <v>0.04</v>
      </c>
      <c r="J67" t="n">
        <v>11740312</v>
      </c>
    </row>
    <row r="68" ht="15.75" customHeight="1" s="201">
      <c r="A68" s="1" t="inlineStr">
        <is>
          <t>Apple juice, frozen concentrate, unsweetened, diluted with 3 volume water, with added ascorbic acid</t>
        </is>
      </c>
      <c r="C68" s="1" t="n">
        <v>11.54</v>
      </c>
      <c r="D68" s="1" t="n">
        <v>0</v>
      </c>
      <c r="E68" s="1" t="n">
        <v>0.26</v>
      </c>
      <c r="F68" s="1" t="n">
        <v>0.14</v>
      </c>
      <c r="G68" s="1" t="n">
        <v>0.1</v>
      </c>
      <c r="H68" s="1" t="n">
        <v>0</v>
      </c>
      <c r="I68" s="1" t="n">
        <v>0.04</v>
      </c>
      <c r="J68" t="n">
        <v>75142550</v>
      </c>
    </row>
    <row r="69" ht="15.75" customHeight="1" s="201">
      <c r="A69" s="1" t="inlineStr">
        <is>
          <t>Apple juice, frozen concentrate, unsweetened, undiluted, with added ascorbic acid</t>
        </is>
      </c>
      <c r="C69" s="1" t="n">
        <v>41</v>
      </c>
      <c r="D69" s="1" t="n">
        <v>1</v>
      </c>
      <c r="E69" s="1" t="n">
        <v>0.91</v>
      </c>
      <c r="F69" s="1" t="n">
        <v>0.51</v>
      </c>
      <c r="G69" s="1" t="n">
        <v>0.37</v>
      </c>
      <c r="H69" s="1" t="n">
        <v>0</v>
      </c>
      <c r="I69" s="1" t="n">
        <v>0.13</v>
      </c>
      <c r="J69" t="n">
        <v>64100220</v>
      </c>
    </row>
    <row r="70" ht="15.75" customHeight="1" s="201">
      <c r="A70" s="1" t="inlineStr">
        <is>
          <t>Apple juice, frozen concentrate, unsweetened, undiluted, without added ascorbic acid</t>
        </is>
      </c>
      <c r="C70" s="1" t="n">
        <v>41</v>
      </c>
      <c r="D70" s="1" t="n">
        <v>1</v>
      </c>
      <c r="E70" s="1" t="n">
        <v>0.91</v>
      </c>
      <c r="F70" s="1" t="n">
        <v>0.51</v>
      </c>
      <c r="G70" s="1" t="n">
        <v>0.37</v>
      </c>
      <c r="H70" s="1" t="n">
        <v>0</v>
      </c>
      <c r="I70" s="1" t="n">
        <v>0.13</v>
      </c>
      <c r="J70" t="n">
        <v>64100110</v>
      </c>
    </row>
    <row r="71" ht="15.75" customHeight="1" s="201">
      <c r="A71" s="1" t="inlineStr">
        <is>
          <t>APPLEBEE'S, 9 oz house sirloin steak</t>
        </is>
      </c>
      <c r="C71" s="1" t="n">
        <v>0</v>
      </c>
      <c r="E71" s="1" t="n">
        <v>2.07</v>
      </c>
      <c r="F71" s="1" t="n">
        <v>26.85</v>
      </c>
      <c r="G71" s="1" t="n">
        <v>9.08</v>
      </c>
      <c r="H71" s="1" t="n">
        <v>22</v>
      </c>
      <c r="I71" s="1" t="n">
        <v>5.35</v>
      </c>
      <c r="J71" t="n">
        <v>27515080</v>
      </c>
    </row>
    <row r="72" ht="15.75" customHeight="1" s="201">
      <c r="A72" s="1" t="inlineStr">
        <is>
          <t>APPLEBEE'S, chicken tenders platter</t>
        </is>
      </c>
      <c r="C72" s="1" t="n">
        <v>17.98</v>
      </c>
      <c r="E72" s="1" t="n">
        <v>0.9</v>
      </c>
      <c r="F72" s="1" t="n">
        <v>19.62</v>
      </c>
      <c r="G72" s="1" t="n">
        <v>16.24</v>
      </c>
      <c r="H72" s="1" t="n">
        <v>67</v>
      </c>
      <c r="I72" s="1" t="n">
        <v>0.71</v>
      </c>
      <c r="J72" t="n">
        <v>24198746</v>
      </c>
    </row>
    <row r="73" ht="15.75" customHeight="1" s="201">
      <c r="A73" s="1" t="inlineStr">
        <is>
          <t>APPLEBEE'S, chicken tenders, from kids' menu</t>
        </is>
      </c>
      <c r="C73" s="1" t="n">
        <v>18.36</v>
      </c>
      <c r="E73" s="1" t="n">
        <v>0.9</v>
      </c>
      <c r="F73" s="1" t="n">
        <v>19.25</v>
      </c>
      <c r="G73" s="1" t="n">
        <v>16.15</v>
      </c>
      <c r="H73" s="1" t="n">
        <v>72</v>
      </c>
      <c r="I73" s="1" t="n">
        <v>0.71</v>
      </c>
      <c r="J73" t="n">
        <v>24198746</v>
      </c>
    </row>
    <row r="74" ht="15.75" customHeight="1" s="201">
      <c r="A74" s="1" t="inlineStr">
        <is>
          <t>APPLEBEE'S, chili</t>
        </is>
      </c>
      <c r="C74" s="1" t="n">
        <v>4.57</v>
      </c>
      <c r="E74" s="1" t="n">
        <v>1.46</v>
      </c>
      <c r="F74" s="1" t="n">
        <v>12.56</v>
      </c>
      <c r="G74" s="1" t="n">
        <v>9.789999999999999</v>
      </c>
      <c r="H74" s="1" t="n">
        <v>1436</v>
      </c>
      <c r="I74" s="1" t="n">
        <v>2.23</v>
      </c>
      <c r="J74" t="n">
        <v>27564440</v>
      </c>
    </row>
    <row r="75" ht="15.75" customHeight="1" s="201">
      <c r="A75" s="1" t="inlineStr">
        <is>
          <t>APPLEBEE'S, coleslaw</t>
        </is>
      </c>
      <c r="C75" s="1" t="n">
        <v>13.17</v>
      </c>
      <c r="E75" s="1" t="n">
        <v>0.26</v>
      </c>
      <c r="F75" s="1" t="n">
        <v>0.79</v>
      </c>
      <c r="G75" s="1" t="n">
        <v>7.09</v>
      </c>
      <c r="H75" s="1" t="n">
        <v>1504</v>
      </c>
      <c r="I75" s="1" t="n">
        <v>0.19</v>
      </c>
      <c r="J75" t="n">
        <v>75141000</v>
      </c>
    </row>
    <row r="76" ht="15.75" customHeight="1" s="201">
      <c r="A76" s="1" t="inlineStr">
        <is>
          <t>APPLEBEE'S, crunchy onion rings</t>
        </is>
      </c>
      <c r="C76" s="1" t="n">
        <v>40.17</v>
      </c>
      <c r="E76" s="1" t="n">
        <v>0.67</v>
      </c>
      <c r="F76" s="1" t="n">
        <v>4.58</v>
      </c>
      <c r="G76" s="1" t="n">
        <v>19.61</v>
      </c>
      <c r="H76" s="1" t="n">
        <v>4</v>
      </c>
      <c r="I76" s="1" t="n">
        <v>0.43</v>
      </c>
      <c r="J76" t="n">
        <v>11440030</v>
      </c>
    </row>
    <row r="77" ht="15.75" customHeight="1" s="201">
      <c r="A77" s="1" t="inlineStr">
        <is>
          <t>APPLEBEE'S, Double Crunch Shrimp</t>
        </is>
      </c>
      <c r="C77" s="1" t="n">
        <v>25.96</v>
      </c>
      <c r="D77" s="1" t="n">
        <v>14</v>
      </c>
      <c r="E77" s="1" t="n">
        <v>1.03</v>
      </c>
      <c r="F77" s="1" t="n">
        <v>12.31</v>
      </c>
      <c r="G77" s="1" t="n">
        <v>18.9</v>
      </c>
      <c r="H77" s="1" t="n">
        <v>5</v>
      </c>
      <c r="I77" s="1" t="n">
        <v>0.78</v>
      </c>
      <c r="J77" t="n">
        <v>26319145</v>
      </c>
    </row>
    <row r="78" ht="15.75" customHeight="1" s="201">
      <c r="A78" s="1" t="inlineStr">
        <is>
          <t>APPLEBEE'S, fish, hand battered</t>
        </is>
      </c>
      <c r="C78" s="1" t="n">
        <v>16.65</v>
      </c>
      <c r="E78" s="1" t="n">
        <v>0.35</v>
      </c>
      <c r="F78" s="1" t="n">
        <v>13.23</v>
      </c>
      <c r="G78" s="1" t="n">
        <v>9.140000000000001</v>
      </c>
      <c r="H78" s="1" t="n">
        <v>22</v>
      </c>
      <c r="I78" s="1" t="n">
        <v>0.34</v>
      </c>
      <c r="J78" t="n">
        <v>27150310</v>
      </c>
    </row>
    <row r="79" ht="15.75" customHeight="1" s="201">
      <c r="A79" s="1" t="inlineStr">
        <is>
          <t>APPLEBEE'S, french fries</t>
        </is>
      </c>
      <c r="C79" s="1" t="n">
        <v>39.5</v>
      </c>
      <c r="E79" s="1" t="n">
        <v>1.01</v>
      </c>
      <c r="F79" s="1" t="n">
        <v>3.31</v>
      </c>
      <c r="G79" s="1" t="n">
        <v>13.17</v>
      </c>
      <c r="H79" s="1" t="n">
        <v>0</v>
      </c>
      <c r="I79" s="1" t="n">
        <v>0.49</v>
      </c>
      <c r="J79" t="n">
        <v>71205040</v>
      </c>
    </row>
    <row r="80" ht="15.75" customHeight="1" s="201">
      <c r="A80" s="1" t="inlineStr">
        <is>
          <t>APPLEBEE'S, KRAFT, Macaroni &amp; Cheese, from kid's menu</t>
        </is>
      </c>
      <c r="C80" s="1" t="n">
        <v>21.08</v>
      </c>
      <c r="E80" s="1" t="n">
        <v>0.84</v>
      </c>
      <c r="F80" s="1" t="n">
        <v>5.01</v>
      </c>
      <c r="G80" s="1" t="n">
        <v>4.34</v>
      </c>
      <c r="H80" s="1" t="n">
        <v>67</v>
      </c>
      <c r="I80" s="1" t="n">
        <v>0.57</v>
      </c>
      <c r="J80" t="n">
        <v>51121065</v>
      </c>
    </row>
    <row r="81" ht="15.75" customHeight="1" s="201">
      <c r="A81" s="1" t="inlineStr">
        <is>
          <t>APPLEBEE'S, mozzarella sticks</t>
        </is>
      </c>
      <c r="C81" s="1" t="n">
        <v>22.87</v>
      </c>
      <c r="E81" s="1" t="n">
        <v>0.43</v>
      </c>
      <c r="F81" s="1" t="n">
        <v>14.87</v>
      </c>
      <c r="G81" s="1" t="n">
        <v>18.37</v>
      </c>
      <c r="H81" s="1" t="n">
        <v>432</v>
      </c>
      <c r="I81" s="1" t="n">
        <v>2</v>
      </c>
      <c r="J81" t="n">
        <v>14660200</v>
      </c>
    </row>
    <row r="82" ht="15.75" customHeight="1" s="201">
      <c r="A82" s="1" t="inlineStr">
        <is>
          <t>Apples, canned, sweetened, sliced, drained, heated</t>
        </is>
      </c>
      <c r="C82" s="1" t="n">
        <v>16.84</v>
      </c>
      <c r="D82" s="1" t="n">
        <v>0</v>
      </c>
      <c r="E82" s="1" t="n">
        <v>0.24</v>
      </c>
      <c r="F82" s="1" t="n">
        <v>0.18</v>
      </c>
      <c r="G82" s="1" t="n">
        <v>0.43</v>
      </c>
      <c r="H82" s="1" t="n">
        <v>56</v>
      </c>
      <c r="I82" s="1" t="n">
        <v>0.05</v>
      </c>
      <c r="J82" t="n">
        <v>63311110</v>
      </c>
    </row>
    <row r="83" ht="15.75" customHeight="1" s="201">
      <c r="A83" s="1" t="inlineStr">
        <is>
          <t>Apples, dehydrated (low moisture), sulfured, stewed</t>
        </is>
      </c>
      <c r="C83" s="1" t="n">
        <v>19.91</v>
      </c>
      <c r="D83" s="1" t="n">
        <v>0</v>
      </c>
      <c r="E83" s="1" t="n">
        <v>0.43</v>
      </c>
      <c r="F83" s="1" t="n">
        <v>0.28</v>
      </c>
      <c r="G83" s="1" t="n">
        <v>0.12</v>
      </c>
      <c r="H83" s="1" t="n">
        <v>19</v>
      </c>
      <c r="I83" s="1" t="n">
        <v>0.06</v>
      </c>
      <c r="J83" t="n">
        <v>24163110</v>
      </c>
    </row>
    <row r="84" ht="15.75" customHeight="1" s="201">
      <c r="A84" s="1" t="inlineStr">
        <is>
          <t>Apples, dehydrated (low moisture), sulfured, uncooked</t>
        </is>
      </c>
      <c r="C84" s="1" t="n">
        <v>93.53</v>
      </c>
      <c r="D84" s="1" t="n">
        <v>1</v>
      </c>
      <c r="E84" s="1" t="n">
        <v>2</v>
      </c>
      <c r="F84" s="1" t="n">
        <v>1.32</v>
      </c>
      <c r="G84" s="1" t="n">
        <v>0.58</v>
      </c>
      <c r="H84" s="1" t="n">
        <v>81</v>
      </c>
      <c r="I84" s="1" t="n">
        <v>0.29</v>
      </c>
    </row>
    <row r="85" ht="15.75" customHeight="1" s="201">
      <c r="A85" s="1" t="inlineStr">
        <is>
          <t>Apples, dried, sulfured, stewed, with added sugar</t>
        </is>
      </c>
      <c r="C85" s="1" t="n">
        <v>20.73</v>
      </c>
      <c r="D85" s="1" t="n">
        <v>0</v>
      </c>
      <c r="E85" s="1" t="n">
        <v>0.31</v>
      </c>
      <c r="F85" s="1" t="n">
        <v>0.2</v>
      </c>
      <c r="G85" s="1" t="n">
        <v>0.07000000000000001</v>
      </c>
      <c r="H85" s="1" t="n">
        <v>16</v>
      </c>
      <c r="I85" s="1" t="n">
        <v>0.04</v>
      </c>
      <c r="J85" t="n">
        <v>75142550</v>
      </c>
    </row>
    <row r="86" ht="15.75" customHeight="1" s="201">
      <c r="A86" s="1" t="inlineStr">
        <is>
          <t>Apples, dried, sulfured, stewed, without added sugar</t>
        </is>
      </c>
      <c r="C86" s="1" t="n">
        <v>15.32</v>
      </c>
      <c r="D86" s="1" t="n">
        <v>0</v>
      </c>
      <c r="E86" s="1" t="n">
        <v>0.33</v>
      </c>
      <c r="F86" s="1" t="n">
        <v>0.22</v>
      </c>
      <c r="G86" s="1" t="n">
        <v>0.07000000000000001</v>
      </c>
      <c r="H86" s="1" t="n">
        <v>17</v>
      </c>
      <c r="I86" s="1" t="n">
        <v>0.05</v>
      </c>
      <c r="J86" t="n">
        <v>75231021</v>
      </c>
    </row>
    <row r="87" ht="15.75" customHeight="1" s="201">
      <c r="A87" s="1" t="inlineStr">
        <is>
          <t>Apples, dried, sulfured, uncooked</t>
        </is>
      </c>
      <c r="C87" s="1" t="n">
        <v>65.89</v>
      </c>
      <c r="D87" s="1" t="n">
        <v>0</v>
      </c>
      <c r="E87" s="1" t="n">
        <v>1.4</v>
      </c>
      <c r="F87" s="1" t="n">
        <v>0.93</v>
      </c>
      <c r="G87" s="1" t="n">
        <v>0.32</v>
      </c>
      <c r="H87" s="1" t="n">
        <v>0</v>
      </c>
      <c r="I87" s="1" t="n">
        <v>0.2</v>
      </c>
      <c r="J87" t="n">
        <v>62101050</v>
      </c>
    </row>
    <row r="88" ht="15.75" customHeight="1" s="201">
      <c r="A88" s="1" t="inlineStr">
        <is>
          <t>Apples, frozen, unsweetened, heated (Includes foods for USDA's Food Distribution Program)</t>
        </is>
      </c>
      <c r="C88" s="1" t="n">
        <v>12</v>
      </c>
      <c r="D88" s="1" t="n">
        <v>1</v>
      </c>
      <c r="E88" s="1" t="n">
        <v>0.19</v>
      </c>
      <c r="F88" s="1" t="n">
        <v>0.29</v>
      </c>
      <c r="G88" s="1" t="n">
        <v>0.33</v>
      </c>
      <c r="H88" s="1" t="n">
        <v>20</v>
      </c>
      <c r="I88" s="1" t="n">
        <v>0.05</v>
      </c>
      <c r="J88" t="n">
        <v>67102010</v>
      </c>
    </row>
    <row r="89" ht="15.75" customHeight="1" s="201">
      <c r="A89" s="1" t="inlineStr">
        <is>
          <t>Apples, frozen, unsweetened, unheated (Includes foods for USDA's Food Distribution Program)</t>
        </is>
      </c>
      <c r="C89" s="1" t="n">
        <v>12.31</v>
      </c>
      <c r="D89" s="1" t="n">
        <v>1</v>
      </c>
      <c r="E89" s="1" t="n">
        <v>0.18</v>
      </c>
      <c r="F89" s="1" t="n">
        <v>0.28</v>
      </c>
      <c r="G89" s="1" t="n">
        <v>0.32</v>
      </c>
      <c r="H89" s="1" t="n">
        <v>34</v>
      </c>
      <c r="I89" s="1" t="n">
        <v>0.05</v>
      </c>
      <c r="J89" t="n">
        <v>67102010</v>
      </c>
    </row>
    <row r="90" ht="15.75" customHeight="1" s="201">
      <c r="A90" s="1" t="inlineStr">
        <is>
          <t>Apples, raw, fuji, with skin (Includes foods for USDA's Food Distribution Program)</t>
        </is>
      </c>
      <c r="C90" s="1" t="n">
        <v>15.22</v>
      </c>
      <c r="D90" s="1" t="n">
        <v>3</v>
      </c>
      <c r="E90" s="1" t="n">
        <v>0.1</v>
      </c>
      <c r="F90" s="1" t="n">
        <v>0.2</v>
      </c>
      <c r="G90" s="1" t="n">
        <v>0.18</v>
      </c>
      <c r="H90" s="1" t="n">
        <v>38</v>
      </c>
      <c r="I90" s="1" t="n">
        <v>0.04</v>
      </c>
      <c r="J90" t="n">
        <v>75142550</v>
      </c>
    </row>
    <row r="91" ht="15.75" customHeight="1" s="201">
      <c r="A91" s="1" t="inlineStr">
        <is>
          <t>Apples, raw, gala, with skin (Includes foods for USDA's Food Distribution Program)</t>
        </is>
      </c>
      <c r="C91" s="1" t="n">
        <v>13.68</v>
      </c>
      <c r="D91" s="1" t="n">
        <v>3</v>
      </c>
      <c r="E91" s="1" t="n">
        <v>0.12</v>
      </c>
      <c r="F91" s="1" t="n">
        <v>0.25</v>
      </c>
      <c r="G91" s="1" t="n">
        <v>0.12</v>
      </c>
      <c r="H91" s="1" t="n">
        <v>28</v>
      </c>
      <c r="I91" s="1" t="n">
        <v>0.05</v>
      </c>
      <c r="J91" t="n">
        <v>75142550</v>
      </c>
    </row>
    <row r="92" ht="15.75" customHeight="1" s="201">
      <c r="A92" s="1" t="inlineStr">
        <is>
          <t>Apples, raw, golden delicious, with skin</t>
        </is>
      </c>
      <c r="C92" s="1" t="n">
        <v>13.6</v>
      </c>
      <c r="D92" s="1" t="n">
        <v>3</v>
      </c>
      <c r="E92" s="1" t="n">
        <v>0.13</v>
      </c>
      <c r="F92" s="1" t="n">
        <v>0.28</v>
      </c>
      <c r="G92" s="1" t="n">
        <v>0.15</v>
      </c>
      <c r="H92" s="1" t="n">
        <v>51</v>
      </c>
      <c r="I92" s="1" t="n">
        <v>0.04</v>
      </c>
      <c r="J92" t="n">
        <v>75142550</v>
      </c>
    </row>
    <row r="93" ht="15.75" customHeight="1" s="201">
      <c r="A93" s="1" t="inlineStr">
        <is>
          <t>Apples, raw, granny smith, with skin (Includes foods for USDA's Food Distribution Program)</t>
        </is>
      </c>
      <c r="C93" s="1" t="n">
        <v>13.61</v>
      </c>
      <c r="D93" s="1" t="n">
        <v>3</v>
      </c>
      <c r="E93" s="1" t="n">
        <v>0.15</v>
      </c>
      <c r="F93" s="1" t="n">
        <v>0.44</v>
      </c>
      <c r="G93" s="1" t="n">
        <v>0.19</v>
      </c>
      <c r="H93" s="1" t="n">
        <v>100</v>
      </c>
      <c r="I93" s="1" t="n">
        <v>0.04</v>
      </c>
      <c r="J93" t="n">
        <v>75142550</v>
      </c>
    </row>
    <row r="94" ht="15.75" customHeight="1" s="201">
      <c r="A94" s="1" t="inlineStr">
        <is>
          <t>Apples, raw, red delicious, with skin (Includes foods for USDA's Food Distribution Program)</t>
        </is>
      </c>
      <c r="C94" s="1" t="n">
        <v>14.06</v>
      </c>
      <c r="D94" s="1" t="n">
        <v>3</v>
      </c>
      <c r="E94" s="1" t="n">
        <v>0.11</v>
      </c>
      <c r="F94" s="1" t="n">
        <v>0.27</v>
      </c>
      <c r="G94" s="1" t="n">
        <v>0.2</v>
      </c>
      <c r="H94" s="1" t="n">
        <v>55</v>
      </c>
      <c r="I94" s="1" t="n">
        <v>0.04</v>
      </c>
      <c r="J94" t="n">
        <v>75142550</v>
      </c>
    </row>
    <row r="95" ht="15.75" customHeight="1" s="201">
      <c r="A95" s="1" t="inlineStr">
        <is>
          <t>Apples, raw, with skin (Includes foods for USDA's Food Distribution Program)</t>
        </is>
      </c>
      <c r="C95" s="1" t="n">
        <v>13.81</v>
      </c>
      <c r="D95" s="1" t="n">
        <v>3</v>
      </c>
      <c r="E95" s="1" t="n">
        <v>0.12</v>
      </c>
      <c r="F95" s="1" t="n">
        <v>0.26</v>
      </c>
      <c r="G95" s="1" t="n">
        <v>0.17</v>
      </c>
      <c r="H95" s="1" t="n">
        <v>54</v>
      </c>
      <c r="I95" s="1" t="n">
        <v>0.04</v>
      </c>
      <c r="J95" t="n">
        <v>75142550</v>
      </c>
    </row>
    <row r="96" ht="15.75" customHeight="1" s="201">
      <c r="A96" s="1" t="inlineStr">
        <is>
          <t>Apples, raw, without skin</t>
        </is>
      </c>
      <c r="C96" s="1" t="n">
        <v>12.76</v>
      </c>
      <c r="D96" s="1" t="n">
        <v>0</v>
      </c>
      <c r="E96" s="1" t="n">
        <v>0.07000000000000001</v>
      </c>
      <c r="F96" s="1" t="n">
        <v>0.27</v>
      </c>
      <c r="G96" s="1" t="n">
        <v>0.13</v>
      </c>
      <c r="H96" s="1" t="n">
        <v>38</v>
      </c>
      <c r="I96" s="1" t="n">
        <v>0.05</v>
      </c>
      <c r="J96" t="n">
        <v>24123301</v>
      </c>
    </row>
    <row r="97" ht="15.75" customHeight="1" s="201">
      <c r="A97" s="1" t="inlineStr">
        <is>
          <t>Apples, raw, without skin, cooked, boiled</t>
        </is>
      </c>
      <c r="C97" s="1" t="n">
        <v>13.64</v>
      </c>
      <c r="D97" s="1" t="n">
        <v>1</v>
      </c>
      <c r="E97" s="1" t="n">
        <v>0.19</v>
      </c>
      <c r="F97" s="1" t="n">
        <v>0.26</v>
      </c>
      <c r="G97" s="1" t="n">
        <v>0.36</v>
      </c>
      <c r="H97" s="1" t="n">
        <v>44</v>
      </c>
      <c r="I97" s="1" t="n">
        <v>0.04</v>
      </c>
      <c r="J97" t="n">
        <v>24123301</v>
      </c>
    </row>
    <row r="98" ht="15.75" customHeight="1" s="201">
      <c r="A98" s="1" t="inlineStr">
        <is>
          <t>Apples, raw, without skin, cooked, microwave</t>
        </is>
      </c>
      <c r="C98" s="1" t="n">
        <v>14.41</v>
      </c>
      <c r="D98" s="1" t="n">
        <v>1</v>
      </c>
      <c r="E98" s="1" t="n">
        <v>0.17</v>
      </c>
      <c r="F98" s="1" t="n">
        <v>0.28</v>
      </c>
      <c r="G98" s="1" t="n">
        <v>0.42</v>
      </c>
      <c r="H98" s="1" t="n">
        <v>40</v>
      </c>
      <c r="I98" s="1" t="n">
        <v>0.04</v>
      </c>
      <c r="J98" t="n">
        <v>24123301</v>
      </c>
    </row>
    <row r="99" ht="15.75" customHeight="1" s="201">
      <c r="A99" s="1" t="inlineStr">
        <is>
          <t>Applesauce, canned, sweetened, with salt</t>
        </is>
      </c>
      <c r="C99" s="1" t="n">
        <v>19.91</v>
      </c>
      <c r="D99" s="1" t="n">
        <v>1</v>
      </c>
      <c r="E99" s="1" t="n">
        <v>0.35</v>
      </c>
      <c r="F99" s="1" t="n">
        <v>0.18</v>
      </c>
      <c r="G99" s="1" t="n">
        <v>0.18</v>
      </c>
      <c r="H99" s="1" t="n">
        <v>11</v>
      </c>
      <c r="I99" s="1" t="n">
        <v>0.04</v>
      </c>
      <c r="J99" t="n">
        <v>75142550</v>
      </c>
    </row>
    <row r="100" ht="15.75" customHeight="1" s="201">
      <c r="A100" s="1" t="inlineStr">
        <is>
          <t>Applesauce, canned, sweetened, without salt</t>
        </is>
      </c>
      <c r="C100" s="1" t="n">
        <v>17.49</v>
      </c>
      <c r="D100" s="1" t="n">
        <v>1</v>
      </c>
      <c r="E100" s="1" t="n">
        <v>0.12</v>
      </c>
      <c r="F100" s="1" t="n">
        <v>0.16</v>
      </c>
      <c r="G100" s="1" t="n">
        <v>0.17</v>
      </c>
      <c r="H100" s="1" t="n">
        <v>6</v>
      </c>
      <c r="I100" s="1" t="n">
        <v>0.03</v>
      </c>
      <c r="J100" t="n">
        <v>63311110</v>
      </c>
    </row>
    <row r="101" ht="15.75" customHeight="1" s="201">
      <c r="A101" s="1" t="inlineStr">
        <is>
          <t>Applesauce, canned, unsweetened, with added ascorbic acid</t>
        </is>
      </c>
      <c r="C101" s="1" t="n">
        <v>11.27</v>
      </c>
      <c r="D101" s="1" t="n">
        <v>3</v>
      </c>
      <c r="E101" s="1" t="n">
        <v>0.23</v>
      </c>
      <c r="F101" s="1" t="n">
        <v>0.17</v>
      </c>
      <c r="G101" s="1" t="n">
        <v>0.1</v>
      </c>
      <c r="H101" s="1" t="n">
        <v>29</v>
      </c>
      <c r="I101" s="1" t="n">
        <v>0.03</v>
      </c>
      <c r="J101" t="n">
        <v>75142550</v>
      </c>
    </row>
    <row r="102" ht="15.75" customHeight="1" s="201">
      <c r="A102" s="1" t="inlineStr">
        <is>
          <t>Applesauce, canned, unsweetened, without added ascorbic acid (Includes foods for USDA's Food Distribution Program)</t>
        </is>
      </c>
      <c r="C102" s="1" t="n">
        <v>11.27</v>
      </c>
      <c r="D102" s="1" t="n">
        <v>3</v>
      </c>
      <c r="E102" s="1" t="n">
        <v>0.23</v>
      </c>
      <c r="F102" s="1" t="n">
        <v>0.17</v>
      </c>
      <c r="G102" s="1" t="n">
        <v>0.1</v>
      </c>
      <c r="H102" s="1" t="n">
        <v>29</v>
      </c>
      <c r="I102" s="1" t="n">
        <v>0.03</v>
      </c>
    </row>
    <row r="103" ht="15.75" customHeight="1" s="201">
      <c r="A103" s="1" t="inlineStr">
        <is>
          <t>Apricot nectar, canned, with added ascorbic acid</t>
        </is>
      </c>
      <c r="C103" s="1" t="n">
        <v>13.63</v>
      </c>
      <c r="D103" s="1" t="n">
        <v>1</v>
      </c>
      <c r="E103" s="1" t="n">
        <v>0.1</v>
      </c>
      <c r="F103" s="1" t="n">
        <v>0.17</v>
      </c>
      <c r="G103" s="1" t="n">
        <v>0.45</v>
      </c>
      <c r="H103" s="1" t="n">
        <v>322</v>
      </c>
      <c r="I103" s="1" t="n">
        <v>0.03</v>
      </c>
      <c r="J103" t="n">
        <v>75142550</v>
      </c>
    </row>
    <row r="104" ht="15.75" customHeight="1" s="201">
      <c r="A104" s="1" t="inlineStr">
        <is>
          <t>Apricots, canned, extra heavy syrup pack, without skin, solids and liquids</t>
        </is>
      </c>
      <c r="C104" s="1" t="n">
        <v>24.85</v>
      </c>
      <c r="D104" s="1" t="n">
        <v>2</v>
      </c>
      <c r="E104" s="1" t="n">
        <v>0.62</v>
      </c>
      <c r="F104" s="1" t="n">
        <v>0.55</v>
      </c>
      <c r="G104" s="1" t="n">
        <v>0.04</v>
      </c>
      <c r="H104" s="1" t="n">
        <v>1471</v>
      </c>
      <c r="I104" s="1" t="n">
        <v>0.1</v>
      </c>
      <c r="J104" t="n">
        <v>53109200</v>
      </c>
    </row>
    <row r="105" ht="15.75" customHeight="1" s="201">
      <c r="A105" s="1" t="inlineStr">
        <is>
          <t>Apricots, canned, extra light syrup pack, with skin, solids and liquids (Includes foods for USDA's Food Distribution Program)</t>
        </is>
      </c>
      <c r="C105" s="1" t="n">
        <v>12.5</v>
      </c>
      <c r="D105" s="1" t="n">
        <v>2</v>
      </c>
      <c r="E105" s="1" t="n">
        <v>0.3</v>
      </c>
      <c r="F105" s="1" t="n">
        <v>0.6</v>
      </c>
      <c r="G105" s="1" t="n">
        <v>0.1</v>
      </c>
      <c r="H105" s="1" t="n">
        <v>1271</v>
      </c>
      <c r="I105" s="1" t="n">
        <v>0.08</v>
      </c>
      <c r="J105" t="n">
        <v>58148117</v>
      </c>
    </row>
    <row r="106" ht="15.75" customHeight="1" s="201">
      <c r="A106" s="1" t="inlineStr">
        <is>
          <t>Apricots, canned, heavy syrup pack, with skin, solids and liquids</t>
        </is>
      </c>
      <c r="C106" s="1" t="n">
        <v>21.47</v>
      </c>
      <c r="D106" s="1" t="n">
        <v>2</v>
      </c>
      <c r="E106" s="1" t="n">
        <v>0.3</v>
      </c>
      <c r="F106" s="1" t="n">
        <v>0.53</v>
      </c>
      <c r="G106" s="1" t="n">
        <v>0.08</v>
      </c>
      <c r="H106" s="1" t="n">
        <v>1230</v>
      </c>
      <c r="I106" s="1" t="n">
        <v>0.11</v>
      </c>
      <c r="J106" t="n">
        <v>75142550</v>
      </c>
    </row>
    <row r="107" ht="15.75" customHeight="1" s="201">
      <c r="A107" s="1" t="inlineStr">
        <is>
          <t>Apricots, canned, heavy syrup pack, without skin, solids and liquids</t>
        </is>
      </c>
      <c r="C107" s="1" t="n">
        <v>21.45</v>
      </c>
      <c r="D107" s="1" t="n">
        <v>2</v>
      </c>
      <c r="E107" s="1" t="n">
        <v>0.43</v>
      </c>
      <c r="F107" s="1" t="n">
        <v>0.51</v>
      </c>
      <c r="G107" s="1" t="n">
        <v>0.09</v>
      </c>
      <c r="H107" s="1" t="n">
        <v>1240</v>
      </c>
      <c r="I107" s="1" t="n">
        <v>0.1</v>
      </c>
      <c r="J107" t="n">
        <v>53109200</v>
      </c>
    </row>
    <row r="108" ht="15.75" customHeight="1" s="201">
      <c r="A108" s="1" t="inlineStr">
        <is>
          <t>Apricots, canned, heavy syrup, drained</t>
        </is>
      </c>
      <c r="C108" s="1" t="n">
        <v>21.31</v>
      </c>
      <c r="D108" s="1" t="n">
        <v>2</v>
      </c>
      <c r="E108" s="1" t="n">
        <v>0.3</v>
      </c>
      <c r="F108" s="1" t="n">
        <v>0.64</v>
      </c>
      <c r="G108" s="1" t="n">
        <v>0.11</v>
      </c>
      <c r="H108" s="1" t="n">
        <v>2924</v>
      </c>
      <c r="I108" s="1" t="n">
        <v>0.11</v>
      </c>
      <c r="J108" t="n">
        <v>63311110</v>
      </c>
    </row>
    <row r="109" ht="15.75" customHeight="1" s="201">
      <c r="A109" s="1" t="inlineStr">
        <is>
          <t>Apricots, canned, juice pack, with skin, solids and liquids</t>
        </is>
      </c>
      <c r="C109" s="1" t="n">
        <v>12.34</v>
      </c>
      <c r="D109" s="1" t="n">
        <v>2</v>
      </c>
      <c r="E109" s="1" t="n">
        <v>0.3</v>
      </c>
      <c r="F109" s="1" t="n">
        <v>0.63</v>
      </c>
      <c r="G109" s="1" t="n">
        <v>0.04</v>
      </c>
      <c r="H109" s="1" t="n">
        <v>1691</v>
      </c>
      <c r="I109" s="1" t="n">
        <v>0.11</v>
      </c>
      <c r="J109" t="n">
        <v>75142550</v>
      </c>
    </row>
    <row r="110" ht="15.75" customHeight="1" s="201">
      <c r="A110" s="1" t="inlineStr">
        <is>
          <t>Apricots, canned, light syrup pack, with skin, solids and liquids</t>
        </is>
      </c>
      <c r="C110" s="1" t="n">
        <v>16.49</v>
      </c>
      <c r="D110" s="1" t="n">
        <v>2</v>
      </c>
      <c r="E110" s="1" t="n">
        <v>0.39</v>
      </c>
      <c r="F110" s="1" t="n">
        <v>0.53</v>
      </c>
      <c r="G110" s="1" t="n">
        <v>0.05</v>
      </c>
      <c r="H110" s="1" t="n">
        <v>1322</v>
      </c>
      <c r="I110" s="1" t="n">
        <v>0.11</v>
      </c>
      <c r="J110" t="n">
        <v>58148117</v>
      </c>
    </row>
    <row r="111" ht="15.75" customHeight="1" s="201">
      <c r="A111" s="1" t="inlineStr">
        <is>
          <t>Apricots, canned, water pack, with skin, solids and liquids</t>
        </is>
      </c>
      <c r="C111" s="1" t="n">
        <v>6.39</v>
      </c>
      <c r="D111" s="1" t="n">
        <v>2</v>
      </c>
      <c r="E111" s="1" t="n">
        <v>0.32</v>
      </c>
      <c r="F111" s="1" t="n">
        <v>0.71</v>
      </c>
      <c r="G111" s="1" t="n">
        <v>0.16</v>
      </c>
      <c r="H111" s="1" t="n">
        <v>1959</v>
      </c>
      <c r="I111" s="1" t="n">
        <v>0.11</v>
      </c>
      <c r="J111" t="n">
        <v>11740312</v>
      </c>
    </row>
    <row r="112" ht="15.75" customHeight="1" s="201">
      <c r="A112" s="1" t="inlineStr">
        <is>
          <t>Apricots, canned, water pack, without skin, solids and liquids</t>
        </is>
      </c>
      <c r="C112" s="1" t="n">
        <v>5.48</v>
      </c>
      <c r="D112" s="1" t="n">
        <v>2</v>
      </c>
      <c r="E112" s="1" t="n">
        <v>0.54</v>
      </c>
      <c r="F112" s="1" t="n">
        <v>0.6899999999999999</v>
      </c>
      <c r="G112" s="1" t="n">
        <v>0.03</v>
      </c>
      <c r="H112" s="1" t="n">
        <v>1810</v>
      </c>
      <c r="I112" s="1" t="n">
        <v>0.11</v>
      </c>
      <c r="J112" t="n">
        <v>11740312</v>
      </c>
    </row>
    <row r="113" ht="15.75" customHeight="1" s="201">
      <c r="A113" s="1" t="inlineStr">
        <is>
          <t>Apricots, dehydrated (low-moisture), sulfured, stewed</t>
        </is>
      </c>
      <c r="C113" s="1" t="n">
        <v>32.62</v>
      </c>
      <c r="D113" s="1" t="n">
        <v>2</v>
      </c>
      <c r="E113" s="1" t="n">
        <v>2.48</v>
      </c>
      <c r="F113" s="1" t="n">
        <v>1.93</v>
      </c>
      <c r="G113" s="1" t="n">
        <v>0.24</v>
      </c>
      <c r="H113" s="1" t="n">
        <v>4407</v>
      </c>
      <c r="I113" s="1" t="n">
        <v>0.39</v>
      </c>
      <c r="J113" t="n">
        <v>24163110</v>
      </c>
    </row>
    <row r="114" ht="15.75" customHeight="1" s="201">
      <c r="A114" s="1" t="inlineStr">
        <is>
          <t>Apricots, dehydrated (low-moisture), sulfured, uncooked</t>
        </is>
      </c>
      <c r="C114" s="1" t="n">
        <v>82.89</v>
      </c>
      <c r="D114" s="1" t="n">
        <v>4</v>
      </c>
      <c r="E114" s="1" t="n">
        <v>6.31</v>
      </c>
      <c r="F114" s="1" t="n">
        <v>4.9</v>
      </c>
      <c r="G114" s="1" t="n">
        <v>0.62</v>
      </c>
      <c r="H114" s="1" t="n">
        <v>12669</v>
      </c>
      <c r="I114" s="1" t="n">
        <v>1</v>
      </c>
    </row>
    <row r="115" ht="15.75" customHeight="1" s="201">
      <c r="A115" s="1" t="inlineStr">
        <is>
          <t>Apricots, dried, sulfured, stewed, with added sugar</t>
        </is>
      </c>
      <c r="C115" s="1" t="n">
        <v>29.26</v>
      </c>
      <c r="D115" s="1" t="n">
        <v>0</v>
      </c>
      <c r="E115" s="1" t="n">
        <v>1.52</v>
      </c>
      <c r="F115" s="1" t="n">
        <v>1.17</v>
      </c>
      <c r="G115" s="1" t="n">
        <v>0.15</v>
      </c>
      <c r="H115" s="1" t="n">
        <v>2139</v>
      </c>
      <c r="I115" s="1" t="n">
        <v>0.24</v>
      </c>
      <c r="J115" t="n">
        <v>75142550</v>
      </c>
    </row>
    <row r="116" ht="15.75" customHeight="1" s="201">
      <c r="A116" s="1" t="inlineStr">
        <is>
          <t>Apricots, dried, sulfured, stewed, without added sugar</t>
        </is>
      </c>
      <c r="C116" s="1" t="n">
        <v>22.15</v>
      </c>
      <c r="D116" s="1" t="n">
        <v>3</v>
      </c>
      <c r="E116" s="1" t="n">
        <v>0.9399999999999999</v>
      </c>
      <c r="F116" s="1" t="n">
        <v>1.2</v>
      </c>
      <c r="G116" s="1" t="n">
        <v>0.18</v>
      </c>
      <c r="H116" s="1" t="n">
        <v>1275</v>
      </c>
      <c r="I116" s="1" t="n">
        <v>0.14</v>
      </c>
      <c r="J116" t="n">
        <v>75231021</v>
      </c>
    </row>
    <row r="117" ht="15.75" customHeight="1" s="201">
      <c r="A117" s="1" t="inlineStr">
        <is>
          <t>Apricots, dried, sulfured, uncooked</t>
        </is>
      </c>
      <c r="C117" s="1" t="n">
        <v>62.64</v>
      </c>
      <c r="D117" s="1" t="n">
        <v>10</v>
      </c>
      <c r="E117" s="1" t="n">
        <v>2.66</v>
      </c>
      <c r="F117" s="1" t="n">
        <v>3.39</v>
      </c>
      <c r="G117" s="1" t="n">
        <v>0.51</v>
      </c>
      <c r="H117" s="1" t="n">
        <v>3604</v>
      </c>
      <c r="I117" s="1" t="n">
        <v>0.39</v>
      </c>
      <c r="J117" t="n">
        <v>62101050</v>
      </c>
    </row>
    <row r="118" ht="15.75" customHeight="1" s="201">
      <c r="A118" s="1" t="inlineStr">
        <is>
          <t>Apricots, frozen, sweetened</t>
        </is>
      </c>
      <c r="C118" s="1" t="n">
        <v>25.1</v>
      </c>
      <c r="D118" s="1" t="n">
        <v>2</v>
      </c>
      <c r="E118" s="1" t="n">
        <v>0.9</v>
      </c>
      <c r="F118" s="1" t="n">
        <v>0.7</v>
      </c>
      <c r="G118" s="1" t="n">
        <v>0.1</v>
      </c>
      <c r="H118" s="1" t="n">
        <v>1680</v>
      </c>
      <c r="I118" s="1" t="n">
        <v>0.1</v>
      </c>
      <c r="J118" t="n">
        <v>11461200</v>
      </c>
    </row>
    <row r="119" ht="15.75" customHeight="1" s="201">
      <c r="A119" s="1" t="inlineStr">
        <is>
          <t>Apricots, raw</t>
        </is>
      </c>
      <c r="C119" s="1" t="n">
        <v>11.12</v>
      </c>
      <c r="D119" s="1" t="n">
        <v>9</v>
      </c>
      <c r="E119" s="1" t="n">
        <v>0.39</v>
      </c>
      <c r="F119" s="1" t="n">
        <v>1.4</v>
      </c>
      <c r="G119" s="1" t="n">
        <v>0.39</v>
      </c>
      <c r="H119" s="1" t="n">
        <v>1926</v>
      </c>
      <c r="I119" s="1" t="n">
        <v>0.2</v>
      </c>
      <c r="J119" t="n">
        <v>62101050</v>
      </c>
    </row>
    <row r="120" ht="15.75" customHeight="1" s="201">
      <c r="A120" s="1" t="inlineStr">
        <is>
          <t>ARBY'S, roast beef sandwich, classic</t>
        </is>
      </c>
      <c r="C120" s="1" t="n">
        <v>22.21</v>
      </c>
      <c r="D120" s="1" t="n">
        <v>51</v>
      </c>
      <c r="E120" s="1" t="n">
        <v>2.64</v>
      </c>
      <c r="F120" s="1" t="n">
        <v>15.17</v>
      </c>
      <c r="G120" s="1" t="n">
        <v>10.3</v>
      </c>
      <c r="I120" s="1" t="n">
        <v>2.27</v>
      </c>
      <c r="J120" t="n">
        <v>27513010</v>
      </c>
    </row>
    <row r="121" ht="15.75" customHeight="1" s="201">
      <c r="A121" s="1" t="inlineStr">
        <is>
          <t>Archway Home Style Cookies, Coconut Macaroon</t>
        </is>
      </c>
      <c r="C121" s="1" t="n">
        <v>61.23</v>
      </c>
      <c r="D121" s="1" t="n">
        <v>5</v>
      </c>
      <c r="E121" s="1" t="n">
        <v>0.82</v>
      </c>
      <c r="F121" s="1" t="n">
        <v>3.02</v>
      </c>
      <c r="G121" s="1" t="n">
        <v>22.55</v>
      </c>
      <c r="H121" s="1" t="n">
        <v>0</v>
      </c>
      <c r="J121" t="n">
        <v>42404010</v>
      </c>
    </row>
    <row r="122" ht="15.75" customHeight="1" s="201">
      <c r="A122" s="1" t="inlineStr">
        <is>
          <t>Archway Home Style Cookies, Date Filled Oatmeal</t>
        </is>
      </c>
      <c r="C122" s="1" t="n">
        <v>68.16</v>
      </c>
      <c r="D122" s="1" t="n">
        <v>56</v>
      </c>
      <c r="E122" s="1" t="n">
        <v>2.26</v>
      </c>
      <c r="F122" s="1" t="n">
        <v>4.67</v>
      </c>
      <c r="G122" s="1" t="n">
        <v>12.05</v>
      </c>
      <c r="H122" s="1" t="n">
        <v>13</v>
      </c>
    </row>
    <row r="123" ht="15.75" customHeight="1" s="201">
      <c r="A123" s="1" t="inlineStr">
        <is>
          <t>Archway Home Style Cookies, Dutch Cocoa</t>
        </is>
      </c>
      <c r="C123" s="1" t="n">
        <v>69.44</v>
      </c>
      <c r="D123" s="1" t="n">
        <v>63</v>
      </c>
      <c r="E123" s="1" t="n">
        <v>3.36</v>
      </c>
      <c r="F123" s="1" t="n">
        <v>4.5</v>
      </c>
      <c r="G123" s="1" t="n">
        <v>14.99</v>
      </c>
      <c r="H123" s="1" t="n">
        <v>14</v>
      </c>
      <c r="J123" t="n">
        <v>28340590</v>
      </c>
    </row>
    <row r="124" ht="15.75" customHeight="1" s="201">
      <c r="A124" s="1" t="inlineStr">
        <is>
          <t>Archway Home Style Cookies, Frosty Lemon</t>
        </is>
      </c>
      <c r="C124" s="1" t="n">
        <v>64.78</v>
      </c>
      <c r="D124" s="1" t="n">
        <v>59</v>
      </c>
      <c r="E124" s="1" t="n">
        <v>1.62</v>
      </c>
      <c r="F124" s="1" t="n">
        <v>4.41</v>
      </c>
      <c r="G124" s="1" t="n">
        <v>17.11</v>
      </c>
      <c r="H124" s="1" t="n">
        <v>0</v>
      </c>
      <c r="J124" t="n">
        <v>53241500</v>
      </c>
    </row>
    <row r="125" ht="15.75" customHeight="1" s="201">
      <c r="A125" s="1" t="inlineStr">
        <is>
          <t>Archway Home Style Cookies, Iced Molasses</t>
        </is>
      </c>
      <c r="C125" s="1" t="n">
        <v>69.12</v>
      </c>
      <c r="D125" s="1" t="n">
        <v>61</v>
      </c>
      <c r="E125" s="1" t="n">
        <v>4.1</v>
      </c>
      <c r="F125" s="1" t="n">
        <v>3.5</v>
      </c>
      <c r="G125" s="1" t="n">
        <v>14.43</v>
      </c>
      <c r="H125" s="1" t="n">
        <v>11</v>
      </c>
      <c r="J125" t="n">
        <v>53240010</v>
      </c>
    </row>
    <row r="126" ht="15.75" customHeight="1" s="201">
      <c r="A126" s="1" t="inlineStr">
        <is>
          <t>Archway Home Style Cookies, Old Fashioned Molasses</t>
        </is>
      </c>
      <c r="C126" s="1" t="n">
        <v>70.55</v>
      </c>
      <c r="D126" s="1" t="n">
        <v>71</v>
      </c>
      <c r="E126" s="1" t="n">
        <v>4.99</v>
      </c>
      <c r="F126" s="1" t="n">
        <v>4.27</v>
      </c>
      <c r="G126" s="1" t="n">
        <v>11.83</v>
      </c>
      <c r="H126" s="1" t="n">
        <v>12</v>
      </c>
    </row>
    <row r="127" ht="15.75" customHeight="1" s="201">
      <c r="A127" s="1" t="inlineStr">
        <is>
          <t>Archway Home Style Cookies, Old Fashioned Windmill Cookies</t>
        </is>
      </c>
      <c r="C127" s="1" t="n">
        <v>72.23</v>
      </c>
      <c r="D127" s="1" t="n">
        <v>82</v>
      </c>
      <c r="E127" s="1" t="n">
        <v>3.06</v>
      </c>
      <c r="F127" s="1" t="n">
        <v>5.17</v>
      </c>
      <c r="G127" s="1" t="n">
        <v>17.55</v>
      </c>
      <c r="H127" s="1" t="n">
        <v>2</v>
      </c>
      <c r="J127" t="n">
        <v>53241500</v>
      </c>
    </row>
    <row r="128" ht="15.75" customHeight="1" s="201">
      <c r="A128" s="1" t="inlineStr">
        <is>
          <t>Archway Home Style Cookies, Peanut Butter</t>
        </is>
      </c>
      <c r="C128" s="1" t="n">
        <v>58.48</v>
      </c>
      <c r="E128" s="1" t="n">
        <v>2.72</v>
      </c>
      <c r="F128" s="1" t="n">
        <v>9</v>
      </c>
      <c r="G128" s="1" t="n">
        <v>24.28</v>
      </c>
      <c r="H128" s="1" t="n">
        <v>61</v>
      </c>
      <c r="J128" t="n">
        <v>91734000</v>
      </c>
    </row>
    <row r="129" ht="15.75" customHeight="1" s="201">
      <c r="A129" s="1" t="inlineStr">
        <is>
          <t>Archway Home Style Cookies, Raspberry Filled</t>
        </is>
      </c>
      <c r="C129" s="1" t="n">
        <v>65.92</v>
      </c>
      <c r="D129" s="1" t="n">
        <v>62</v>
      </c>
      <c r="E129" s="1" t="n">
        <v>2.32</v>
      </c>
      <c r="F129" s="1" t="n">
        <v>4.35</v>
      </c>
      <c r="G129" s="1" t="n">
        <v>13.26</v>
      </c>
      <c r="H129" s="1" t="n">
        <v>18</v>
      </c>
      <c r="J129" t="n">
        <v>53521230</v>
      </c>
    </row>
    <row r="130" ht="15.75" customHeight="1" s="201">
      <c r="A130" s="1" t="inlineStr">
        <is>
          <t>Arrowhead, cooked, boiled, drained, with salt</t>
        </is>
      </c>
      <c r="C130" s="1" t="n">
        <v>16.14</v>
      </c>
      <c r="D130" s="1" t="n">
        <v>9</v>
      </c>
      <c r="E130" s="1" t="n">
        <v>1.21</v>
      </c>
      <c r="F130" s="1" t="n">
        <v>4.49</v>
      </c>
      <c r="G130" s="1" t="n">
        <v>0.1</v>
      </c>
      <c r="H130" s="1" t="n">
        <v>0</v>
      </c>
      <c r="I130" s="1" t="n">
        <v>0.22</v>
      </c>
      <c r="J130" t="n">
        <v>75142550</v>
      </c>
    </row>
    <row r="131" ht="15.75" customHeight="1" s="201">
      <c r="A131" s="1" t="inlineStr">
        <is>
          <t>Arrowhead, cooked, boiled, drained, without salt</t>
        </is>
      </c>
      <c r="C131" s="1" t="n">
        <v>16.14</v>
      </c>
      <c r="D131" s="1" t="n">
        <v>9</v>
      </c>
      <c r="E131" s="1" t="n">
        <v>1.21</v>
      </c>
      <c r="F131" s="1" t="n">
        <v>4.49</v>
      </c>
      <c r="G131" s="1" t="n">
        <v>0.1</v>
      </c>
      <c r="H131" s="1" t="n">
        <v>0</v>
      </c>
      <c r="I131" s="1" t="n">
        <v>0.22</v>
      </c>
      <c r="J131" t="n">
        <v>31103010</v>
      </c>
    </row>
    <row r="132" ht="15.75" customHeight="1" s="201">
      <c r="A132" s="1" t="inlineStr">
        <is>
          <t>Arrowhead, raw</t>
        </is>
      </c>
      <c r="C132" s="1" t="n">
        <v>20.23</v>
      </c>
      <c r="D132" s="1" t="n">
        <v>14</v>
      </c>
      <c r="E132" s="1" t="n">
        <v>2.57</v>
      </c>
      <c r="F132" s="1" t="n">
        <v>5.33</v>
      </c>
      <c r="G132" s="1" t="n">
        <v>0.29</v>
      </c>
      <c r="H132" s="1" t="n">
        <v>0</v>
      </c>
      <c r="I132" s="1" t="n">
        <v>0.28</v>
      </c>
    </row>
    <row r="133" ht="15.75" customHeight="1" s="201">
      <c r="A133" s="1" t="inlineStr">
        <is>
          <t>Arrowroot flour</t>
        </is>
      </c>
      <c r="C133" s="1" t="n">
        <v>88.15000000000001</v>
      </c>
      <c r="D133" s="1" t="n">
        <v>7</v>
      </c>
      <c r="E133" s="1" t="n">
        <v>0.33</v>
      </c>
      <c r="F133" s="1" t="n">
        <v>0.3</v>
      </c>
      <c r="G133" s="1" t="n">
        <v>0.1</v>
      </c>
      <c r="H133" s="1" t="n">
        <v>0</v>
      </c>
      <c r="I133" s="1" t="n">
        <v>0.07000000000000001</v>
      </c>
      <c r="J133" t="n">
        <v>52215350</v>
      </c>
    </row>
    <row r="134" ht="15.75" customHeight="1" s="201">
      <c r="A134" s="1" t="inlineStr">
        <is>
          <t>Arrowroot, raw</t>
        </is>
      </c>
      <c r="C134" s="1" t="n">
        <v>13.39</v>
      </c>
      <c r="D134" s="1" t="n">
        <v>338</v>
      </c>
      <c r="E134" s="1" t="n">
        <v>2.22</v>
      </c>
      <c r="F134" s="1" t="n">
        <v>4.24</v>
      </c>
      <c r="G134" s="1" t="n">
        <v>0.2</v>
      </c>
      <c r="H134" s="1" t="n">
        <v>19</v>
      </c>
      <c r="I134" s="1" t="n">
        <v>0.63</v>
      </c>
      <c r="J134" t="n">
        <v>53240000</v>
      </c>
    </row>
    <row r="135" ht="15.75" customHeight="1" s="201">
      <c r="A135" s="1" t="inlineStr">
        <is>
          <t>Artichokes, (globe or french), cooked, boiled, drained, with salt</t>
        </is>
      </c>
      <c r="C135" s="1" t="n">
        <v>11.39</v>
      </c>
      <c r="D135" s="1" t="n">
        <v>89</v>
      </c>
      <c r="E135" s="1" t="n">
        <v>0.61</v>
      </c>
      <c r="F135" s="1" t="n">
        <v>2.89</v>
      </c>
      <c r="G135" s="1" t="n">
        <v>0.34</v>
      </c>
      <c r="H135" s="1" t="n">
        <v>13</v>
      </c>
      <c r="I135" s="1" t="n">
        <v>0.4</v>
      </c>
      <c r="J135" t="n">
        <v>75142550</v>
      </c>
    </row>
    <row r="136" ht="15.75" customHeight="1" s="201">
      <c r="A136" s="1" t="inlineStr">
        <is>
          <t>Artichokes, (globe or french), cooked, boiled, drained, without salt</t>
        </is>
      </c>
      <c r="C136" s="1" t="n">
        <v>11.95</v>
      </c>
      <c r="D136" s="1" t="n">
        <v>89</v>
      </c>
      <c r="E136" s="1" t="n">
        <v>0.61</v>
      </c>
      <c r="F136" s="1" t="n">
        <v>2.89</v>
      </c>
      <c r="G136" s="1" t="n">
        <v>0.34</v>
      </c>
      <c r="H136" s="1" t="n">
        <v>13</v>
      </c>
      <c r="I136" s="1" t="n">
        <v>0.4</v>
      </c>
      <c r="J136" t="n">
        <v>31103010</v>
      </c>
    </row>
    <row r="137" ht="15.75" customHeight="1" s="201">
      <c r="A137" s="1" t="inlineStr">
        <is>
          <t>Artichokes, (globe or french), frozen, cooked, boiled, drained, with salt</t>
        </is>
      </c>
      <c r="C137" s="1" t="n">
        <v>9.18</v>
      </c>
      <c r="D137" s="1" t="n">
        <v>119</v>
      </c>
      <c r="E137" s="1" t="n">
        <v>0.5600000000000001</v>
      </c>
      <c r="F137" s="1" t="n">
        <v>3.11</v>
      </c>
      <c r="G137" s="1" t="n">
        <v>0.5</v>
      </c>
      <c r="H137" s="1" t="n">
        <v>11</v>
      </c>
      <c r="I137" s="1" t="n">
        <v>0.36</v>
      </c>
      <c r="J137" t="n">
        <v>75142550</v>
      </c>
    </row>
    <row r="138" ht="15.75" customHeight="1" s="201">
      <c r="A138" s="1" t="inlineStr">
        <is>
          <t>Artichokes, (globe or french), frozen, cooked, boiled, drained, without salt</t>
        </is>
      </c>
      <c r="C138" s="1" t="n">
        <v>9.18</v>
      </c>
      <c r="D138" s="1" t="n">
        <v>119</v>
      </c>
      <c r="E138" s="1" t="n">
        <v>0.5600000000000001</v>
      </c>
      <c r="F138" s="1" t="n">
        <v>3.11</v>
      </c>
      <c r="G138" s="1" t="n">
        <v>0.5</v>
      </c>
      <c r="H138" s="1" t="n">
        <v>11</v>
      </c>
      <c r="I138" s="1" t="n">
        <v>0.36</v>
      </c>
    </row>
    <row r="139" ht="15.75" customHeight="1" s="201">
      <c r="A139" s="1" t="inlineStr">
        <is>
          <t>Artichokes, (globe or french), frozen, unprepared</t>
        </is>
      </c>
      <c r="C139" s="1" t="n">
        <v>7.75</v>
      </c>
      <c r="D139" s="1" t="n">
        <v>126</v>
      </c>
      <c r="E139" s="1" t="n">
        <v>0.5</v>
      </c>
      <c r="F139" s="1" t="n">
        <v>2.63</v>
      </c>
      <c r="G139" s="1" t="n">
        <v>0.43</v>
      </c>
      <c r="H139" s="1" t="n">
        <v>154</v>
      </c>
      <c r="I139" s="1" t="n">
        <v>0.32</v>
      </c>
      <c r="J139" t="n">
        <v>55300020</v>
      </c>
    </row>
    <row r="140" ht="15.75" customHeight="1" s="201">
      <c r="A140" s="1" t="inlineStr">
        <is>
          <t>Artichokes, (globe or french), raw</t>
        </is>
      </c>
      <c r="C140" s="1" t="n">
        <v>10.51</v>
      </c>
      <c r="D140" s="1" t="n">
        <v>68</v>
      </c>
      <c r="E140" s="1" t="n">
        <v>1.28</v>
      </c>
      <c r="F140" s="1" t="n">
        <v>3.27</v>
      </c>
      <c r="G140" s="1" t="n">
        <v>0.15</v>
      </c>
      <c r="H140" s="1" t="n">
        <v>13</v>
      </c>
      <c r="I140" s="1" t="n">
        <v>0.49</v>
      </c>
      <c r="J140" t="n">
        <v>55300020</v>
      </c>
    </row>
    <row r="141" ht="15.75" customHeight="1" s="201">
      <c r="A141" s="1" t="inlineStr">
        <is>
          <t>Arugula, raw</t>
        </is>
      </c>
      <c r="C141" s="1" t="n">
        <v>3.65</v>
      </c>
      <c r="D141" s="1" t="n">
        <v>97</v>
      </c>
      <c r="E141" s="1" t="n">
        <v>1.46</v>
      </c>
      <c r="F141" s="1" t="n">
        <v>2.58</v>
      </c>
      <c r="G141" s="1" t="n">
        <v>0.66</v>
      </c>
      <c r="H141" s="1" t="n">
        <v>2373</v>
      </c>
      <c r="I141" s="1" t="n">
        <v>0.47</v>
      </c>
      <c r="J141" t="n">
        <v>75113080</v>
      </c>
    </row>
    <row r="142" ht="15.75" customHeight="1" s="201">
      <c r="A142" s="1" t="inlineStr">
        <is>
          <t>Ascidians (tunughnak) (Alaska Native)</t>
        </is>
      </c>
      <c r="C142" s="1" t="n">
        <v>0</v>
      </c>
      <c r="E142" s="1" t="n">
        <v>3.3</v>
      </c>
      <c r="F142" s="1" t="n">
        <v>3.8</v>
      </c>
      <c r="G142" s="1" t="n">
        <v>0.5</v>
      </c>
      <c r="H142" s="1" t="n">
        <v>0</v>
      </c>
    </row>
    <row r="143" ht="15.75" customHeight="1" s="201">
      <c r="A143" s="1" t="inlineStr">
        <is>
          <t>Asparagus, canned, drained solids</t>
        </is>
      </c>
      <c r="C143" s="1" t="n">
        <v>2.46</v>
      </c>
      <c r="D143" s="1" t="n">
        <v>96</v>
      </c>
      <c r="E143" s="1" t="n">
        <v>1.83</v>
      </c>
      <c r="F143" s="1" t="n">
        <v>2.14</v>
      </c>
      <c r="G143" s="1" t="n">
        <v>0.65</v>
      </c>
      <c r="H143" s="1" t="n">
        <v>822</v>
      </c>
      <c r="I143" s="1" t="n">
        <v>0.4</v>
      </c>
      <c r="J143" t="n">
        <v>63311110</v>
      </c>
    </row>
    <row r="144" ht="15.75" customHeight="1" s="201">
      <c r="A144" s="1" t="inlineStr">
        <is>
          <t>Asparagus, canned, no salt added, solids and liquids</t>
        </is>
      </c>
      <c r="C144" s="1" t="n">
        <v>2.48</v>
      </c>
      <c r="D144" s="1" t="n">
        <v>85</v>
      </c>
      <c r="E144" s="1" t="n">
        <v>0.6</v>
      </c>
      <c r="F144" s="1" t="n">
        <v>1.8</v>
      </c>
      <c r="G144" s="1" t="n">
        <v>0.18</v>
      </c>
      <c r="H144" s="1" t="n">
        <v>776</v>
      </c>
      <c r="I144" s="1" t="n">
        <v>0.47</v>
      </c>
      <c r="J144" t="n">
        <v>73103020</v>
      </c>
    </row>
    <row r="145" ht="15.75" customHeight="1" s="201">
      <c r="A145" s="1" t="inlineStr">
        <is>
          <t>Asparagus, canned, regular pack, solids and liquids</t>
        </is>
      </c>
      <c r="C145" s="1" t="n">
        <v>2.48</v>
      </c>
      <c r="D145" s="1" t="n">
        <v>85</v>
      </c>
      <c r="E145" s="1" t="n">
        <v>0.6</v>
      </c>
      <c r="F145" s="1" t="n">
        <v>1.8</v>
      </c>
      <c r="G145" s="1" t="n">
        <v>0.18</v>
      </c>
      <c r="H145" s="1" t="n">
        <v>526</v>
      </c>
      <c r="I145" s="1" t="n">
        <v>0.47</v>
      </c>
      <c r="J145" t="n">
        <v>53109200</v>
      </c>
    </row>
    <row r="146" ht="15.75" customHeight="1" s="201">
      <c r="A146" s="1" t="inlineStr">
        <is>
          <t>Asparagus, cooked, boiled, drained</t>
        </is>
      </c>
      <c r="C146" s="1" t="n">
        <v>4.11</v>
      </c>
      <c r="D146" s="1" t="n">
        <v>149</v>
      </c>
      <c r="E146" s="1" t="n">
        <v>0.91</v>
      </c>
      <c r="F146" s="1" t="n">
        <v>2.4</v>
      </c>
      <c r="G146" s="1" t="n">
        <v>0.22</v>
      </c>
      <c r="H146" s="1" t="n">
        <v>1006</v>
      </c>
      <c r="I146" s="1" t="n">
        <v>0.6</v>
      </c>
      <c r="J146" t="n">
        <v>31103010</v>
      </c>
    </row>
    <row r="147" ht="15.75" customHeight="1" s="201">
      <c r="A147" s="1" t="inlineStr">
        <is>
          <t>Asparagus, cooked, boiled, drained, with salt</t>
        </is>
      </c>
      <c r="C147" s="1" t="n">
        <v>4.11</v>
      </c>
      <c r="D147" s="1" t="n">
        <v>149</v>
      </c>
      <c r="E147" s="1" t="n">
        <v>0.91</v>
      </c>
      <c r="F147" s="1" t="n">
        <v>2.4</v>
      </c>
      <c r="G147" s="1" t="n">
        <v>0.22</v>
      </c>
      <c r="H147" s="1" t="n">
        <v>1006</v>
      </c>
      <c r="I147" s="1" t="n">
        <v>0.6</v>
      </c>
      <c r="J147" t="n">
        <v>75142550</v>
      </c>
    </row>
    <row r="148" ht="15.75" customHeight="1" s="201">
      <c r="A148" s="1" t="inlineStr">
        <is>
          <t>Asparagus, frozen, cooked, boiled, drained, with salt</t>
        </is>
      </c>
      <c r="C148" s="1" t="n">
        <v>1.92</v>
      </c>
      <c r="D148" s="1" t="n">
        <v>135</v>
      </c>
      <c r="E148" s="1" t="n">
        <v>0.5600000000000001</v>
      </c>
      <c r="F148" s="1" t="n">
        <v>2.95</v>
      </c>
      <c r="G148" s="1" t="n">
        <v>0.42</v>
      </c>
      <c r="H148" s="1" t="n">
        <v>806</v>
      </c>
      <c r="I148" s="1" t="n">
        <v>0.41</v>
      </c>
      <c r="J148" t="n">
        <v>75142550</v>
      </c>
    </row>
    <row r="149" ht="15.75" customHeight="1" s="201">
      <c r="A149" s="1" t="inlineStr">
        <is>
          <t>Asparagus, frozen, cooked, boiled, drained, without salt</t>
        </is>
      </c>
      <c r="C149" s="1" t="n">
        <v>1.92</v>
      </c>
      <c r="D149" s="1" t="n">
        <v>135</v>
      </c>
      <c r="E149" s="1" t="n">
        <v>0.5600000000000001</v>
      </c>
      <c r="F149" s="1" t="n">
        <v>2.95</v>
      </c>
      <c r="G149" s="1" t="n">
        <v>0.42</v>
      </c>
      <c r="H149" s="1" t="n">
        <v>806</v>
      </c>
      <c r="I149" s="1" t="n">
        <v>0.41</v>
      </c>
      <c r="J149" t="n">
        <v>71102990</v>
      </c>
    </row>
    <row r="150" ht="15.75" customHeight="1" s="201">
      <c r="A150" s="1" t="inlineStr">
        <is>
          <t>Asparagus, frozen, unprepared</t>
        </is>
      </c>
      <c r="C150" s="1" t="n">
        <v>4.1</v>
      </c>
      <c r="D150" s="1" t="n">
        <v>191</v>
      </c>
      <c r="E150" s="1" t="n">
        <v>0.73</v>
      </c>
      <c r="F150" s="1" t="n">
        <v>3.23</v>
      </c>
      <c r="G150" s="1" t="n">
        <v>0.23</v>
      </c>
      <c r="H150" s="1" t="n">
        <v>948</v>
      </c>
      <c r="I150" s="1" t="n">
        <v>0.59</v>
      </c>
      <c r="J150" t="n">
        <v>75202012</v>
      </c>
    </row>
    <row r="151" ht="15.75" customHeight="1" s="201">
      <c r="A151" s="1" t="inlineStr">
        <is>
          <t>Asparagus, raw</t>
        </is>
      </c>
      <c r="C151" s="1" t="n">
        <v>3.88</v>
      </c>
      <c r="D151" s="1" t="n">
        <v>52</v>
      </c>
      <c r="E151" s="1" t="n">
        <v>2.14</v>
      </c>
      <c r="F151" s="1" t="n">
        <v>2.2</v>
      </c>
      <c r="G151" s="1" t="n">
        <v>0.12</v>
      </c>
      <c r="H151" s="1" t="n">
        <v>756</v>
      </c>
      <c r="I151" s="1" t="n">
        <v>0.54</v>
      </c>
      <c r="J151" t="n">
        <v>75100800</v>
      </c>
    </row>
    <row r="152" ht="15.75" customHeight="1" s="201">
      <c r="A152" s="1" t="inlineStr">
        <is>
          <t>Avocados, raw, all commercial varieties</t>
        </is>
      </c>
      <c r="C152" s="1" t="n">
        <v>8.529999999999999</v>
      </c>
      <c r="D152" s="1" t="n">
        <v>81</v>
      </c>
      <c r="E152" s="1" t="n">
        <v>0.55</v>
      </c>
      <c r="F152" s="1" t="n">
        <v>2</v>
      </c>
      <c r="G152" s="1" t="n">
        <v>14.66</v>
      </c>
      <c r="H152" s="1" t="n">
        <v>146</v>
      </c>
      <c r="I152" s="1" t="n">
        <v>0.64</v>
      </c>
      <c r="J152" t="n">
        <v>58403060</v>
      </c>
    </row>
    <row r="153" ht="15.75" customHeight="1" s="201">
      <c r="A153" s="1" t="inlineStr">
        <is>
          <t>Avocados, raw, California</t>
        </is>
      </c>
      <c r="C153" s="1" t="n">
        <v>8.640000000000001</v>
      </c>
      <c r="D153" s="1" t="n">
        <v>89</v>
      </c>
      <c r="E153" s="1" t="n">
        <v>0.61</v>
      </c>
      <c r="F153" s="1" t="n">
        <v>1.96</v>
      </c>
      <c r="G153" s="1" t="n">
        <v>15.41</v>
      </c>
      <c r="H153" s="1" t="n">
        <v>147</v>
      </c>
      <c r="I153" s="1" t="n">
        <v>0.68</v>
      </c>
      <c r="J153" t="n">
        <v>51301820</v>
      </c>
    </row>
    <row r="154" ht="15.75" customHeight="1" s="201">
      <c r="A154" s="1" t="inlineStr">
        <is>
          <t>Avocados, raw, Florida</t>
        </is>
      </c>
      <c r="C154" s="1" t="n">
        <v>7.82</v>
      </c>
      <c r="D154" s="1" t="n">
        <v>35</v>
      </c>
      <c r="E154" s="1" t="n">
        <v>0.17</v>
      </c>
      <c r="F154" s="1" t="n">
        <v>2.23</v>
      </c>
      <c r="G154" s="1" t="n">
        <v>10.06</v>
      </c>
      <c r="H154" s="1" t="n">
        <v>140</v>
      </c>
      <c r="I154" s="1" t="n">
        <v>0.4</v>
      </c>
      <c r="J154" t="n">
        <v>61201220</v>
      </c>
    </row>
    <row r="155" ht="15.75" customHeight="1" s="201">
      <c r="A155" s="1" t="inlineStr">
        <is>
          <t>Babyfood, apple yogurt dessert, strained</t>
        </is>
      </c>
      <c r="C155" s="1" t="n">
        <v>19.5</v>
      </c>
      <c r="D155" s="1" t="n">
        <v>9</v>
      </c>
      <c r="E155" s="1" t="n">
        <v>0</v>
      </c>
      <c r="F155" s="1" t="n">
        <v>0.8</v>
      </c>
      <c r="G155" s="1" t="n">
        <v>1.6</v>
      </c>
      <c r="H155" s="1" t="n">
        <v>24</v>
      </c>
      <c r="I155" s="1" t="n">
        <v>0.28</v>
      </c>
      <c r="J155" t="n">
        <v>53301000</v>
      </c>
    </row>
    <row r="156" ht="15.75" customHeight="1" s="201">
      <c r="A156" s="1" t="inlineStr">
        <is>
          <t>Babyfood, apple-banana juice</t>
        </is>
      </c>
      <c r="C156" s="1" t="n">
        <v>12.3</v>
      </c>
      <c r="D156" s="1" t="n">
        <v>1</v>
      </c>
      <c r="E156" s="1" t="n">
        <v>0.2</v>
      </c>
      <c r="F156" s="1" t="n">
        <v>0.2</v>
      </c>
      <c r="G156" s="1" t="n">
        <v>0.1</v>
      </c>
      <c r="H156" s="1" t="n">
        <v>9</v>
      </c>
      <c r="I156" s="1" t="n">
        <v>0.04</v>
      </c>
      <c r="J156" t="n">
        <v>64100110</v>
      </c>
    </row>
    <row r="157" ht="15.75" customHeight="1" s="201">
      <c r="A157" s="1" t="inlineStr">
        <is>
          <t>Babyfood, apples with ham, strained</t>
        </is>
      </c>
      <c r="C157" s="1" t="n">
        <v>10.9</v>
      </c>
      <c r="D157" s="1" t="n">
        <v>2</v>
      </c>
      <c r="E157" s="1" t="n">
        <v>0.3</v>
      </c>
      <c r="F157" s="1" t="n">
        <v>2.6</v>
      </c>
      <c r="G157" s="1" t="n">
        <v>0.9</v>
      </c>
      <c r="H157" s="1" t="n">
        <v>6</v>
      </c>
      <c r="I157" s="1" t="n">
        <v>0.4</v>
      </c>
      <c r="J157" t="n">
        <v>75142550</v>
      </c>
    </row>
    <row r="158" ht="15.75" customHeight="1" s="201">
      <c r="A158" s="1" t="inlineStr">
        <is>
          <t>Babyfood, apples, dices, toddler</t>
        </is>
      </c>
      <c r="C158" s="1" t="n">
        <v>11.56</v>
      </c>
      <c r="D158" s="1" t="n">
        <v>0</v>
      </c>
      <c r="E158" s="1" t="n">
        <v>0.08</v>
      </c>
      <c r="F158" s="1" t="n">
        <v>0.19</v>
      </c>
      <c r="G158" s="1" t="n">
        <v>0.36</v>
      </c>
      <c r="H158" s="1" t="n">
        <v>20</v>
      </c>
      <c r="I158" s="1" t="n">
        <v>0.02</v>
      </c>
    </row>
    <row r="159" ht="15.75" customHeight="1" s="201">
      <c r="A159" s="1" t="inlineStr">
        <is>
          <t>Babyfood, Baby MUM MUM Rice Biscuits</t>
        </is>
      </c>
      <c r="C159" s="1" t="n">
        <v>83.20999999999999</v>
      </c>
      <c r="D159" s="1" t="n">
        <v>14</v>
      </c>
      <c r="E159" s="1" t="n">
        <v>0</v>
      </c>
      <c r="F159" s="1" t="n">
        <v>12.5</v>
      </c>
      <c r="G159" s="1" t="n">
        <v>0.87</v>
      </c>
      <c r="H159" s="1" t="n">
        <v>1</v>
      </c>
      <c r="I159" s="1" t="n">
        <v>0.65</v>
      </c>
      <c r="J159" t="n">
        <v>54319000</v>
      </c>
    </row>
    <row r="160" ht="15.75" customHeight="1" s="201">
      <c r="A160" s="1" t="inlineStr">
        <is>
          <t>Babyfood, baked product, finger snacks cereal fortified</t>
        </is>
      </c>
      <c r="C160" s="1" t="n">
        <v>76.68000000000001</v>
      </c>
      <c r="D160" s="1" t="n">
        <v>114</v>
      </c>
      <c r="E160" s="1" t="n">
        <v>22.5</v>
      </c>
      <c r="F160" s="1" t="n">
        <v>6.4</v>
      </c>
      <c r="G160" s="1" t="n">
        <v>9.9</v>
      </c>
      <c r="H160" s="1" t="n">
        <v>0</v>
      </c>
      <c r="I160" s="1" t="n">
        <v>4</v>
      </c>
      <c r="J160" t="n">
        <v>54401121</v>
      </c>
    </row>
    <row r="161" ht="15.75" customHeight="1" s="201">
      <c r="A161" s="1" t="inlineStr">
        <is>
          <t>Babyfood, banana apple dessert, strained</t>
        </is>
      </c>
      <c r="C161" s="1" t="n">
        <v>16.3</v>
      </c>
      <c r="D161" s="1" t="n">
        <v>4</v>
      </c>
      <c r="E161" s="1" t="n">
        <v>0.1</v>
      </c>
      <c r="F161" s="1" t="n">
        <v>0.3</v>
      </c>
      <c r="G161" s="1" t="n">
        <v>0.2</v>
      </c>
      <c r="H161" s="1" t="n">
        <v>30</v>
      </c>
      <c r="I161" s="1" t="n">
        <v>0.05</v>
      </c>
      <c r="J161" t="n">
        <v>53301000</v>
      </c>
    </row>
    <row r="162" ht="15.75" customHeight="1" s="201">
      <c r="A162" s="1" t="inlineStr">
        <is>
          <t>Babyfood, banana juice with low fat yogurt</t>
        </is>
      </c>
      <c r="C162" s="1" t="n">
        <v>17.54</v>
      </c>
      <c r="D162" s="1" t="n">
        <v>6</v>
      </c>
      <c r="E162" s="1" t="n">
        <v>0.2</v>
      </c>
      <c r="F162" s="1" t="n">
        <v>2.5</v>
      </c>
      <c r="G162" s="1" t="n">
        <v>0.8</v>
      </c>
      <c r="H162" s="1" t="n">
        <v>28</v>
      </c>
      <c r="I162" s="1" t="n">
        <v>0.14</v>
      </c>
      <c r="J162" t="n">
        <v>75142550</v>
      </c>
    </row>
    <row r="163" ht="15.75" customHeight="1" s="201">
      <c r="A163" s="1" t="inlineStr">
        <is>
          <t>Babyfood, banana no tapioca, strained</t>
        </is>
      </c>
      <c r="C163" s="1" t="n">
        <v>21.34</v>
      </c>
      <c r="D163" s="1" t="n">
        <v>17</v>
      </c>
      <c r="E163" s="1" t="n">
        <v>0.3</v>
      </c>
      <c r="F163" s="1" t="n">
        <v>1</v>
      </c>
      <c r="G163" s="1" t="n">
        <v>0.2</v>
      </c>
      <c r="H163" s="1" t="n">
        <v>5</v>
      </c>
      <c r="I163" s="1" t="n">
        <v>0.05</v>
      </c>
      <c r="J163" t="n">
        <v>52302010</v>
      </c>
    </row>
    <row r="164" ht="15.75" customHeight="1" s="201">
      <c r="A164" s="1" t="inlineStr">
        <is>
          <t>Babyfood, banana with mixed berries, strained</t>
        </is>
      </c>
      <c r="C164" s="1" t="n">
        <v>21.31</v>
      </c>
      <c r="D164" s="1" t="n">
        <v>20</v>
      </c>
      <c r="E164" s="1" t="n">
        <v>0</v>
      </c>
      <c r="F164" s="1" t="n">
        <v>1.01</v>
      </c>
      <c r="G164" s="1" t="n">
        <v>0.36</v>
      </c>
      <c r="H164" s="1" t="n">
        <v>51</v>
      </c>
      <c r="I164" s="1" t="n">
        <v>0.23</v>
      </c>
      <c r="J164" t="n">
        <v>75142550</v>
      </c>
    </row>
    <row r="165" ht="15.75" customHeight="1" s="201">
      <c r="A165" s="1" t="inlineStr">
        <is>
          <t>Babyfood, beverage, GERBER, GRADUATES, FRUIT SPLASHERS</t>
        </is>
      </c>
      <c r="C165" s="1" t="n">
        <v>7.35</v>
      </c>
      <c r="D165" s="1" t="n">
        <v>1</v>
      </c>
      <c r="E165" s="1" t="n">
        <v>0</v>
      </c>
      <c r="F165" s="1" t="n">
        <v>0</v>
      </c>
      <c r="G165" s="1" t="n">
        <v>0</v>
      </c>
      <c r="H165" s="1" t="n">
        <v>4</v>
      </c>
      <c r="I165" s="1" t="n">
        <v>0.71</v>
      </c>
      <c r="J165" t="n">
        <v>91708030</v>
      </c>
    </row>
    <row r="166" ht="15.75" customHeight="1" s="201">
      <c r="A166" s="1" t="inlineStr">
        <is>
          <t>Babyfood, carrots and beef, strained</t>
        </is>
      </c>
      <c r="C166" s="1" t="n">
        <v>5.7</v>
      </c>
      <c r="D166" s="1" t="n">
        <v>17</v>
      </c>
      <c r="E166" s="1" t="n">
        <v>0.5</v>
      </c>
      <c r="F166" s="1" t="n">
        <v>3.4</v>
      </c>
      <c r="G166" s="1" t="n">
        <v>2.5</v>
      </c>
      <c r="H166" s="1" t="n">
        <v>14452</v>
      </c>
      <c r="I166" s="1" t="n">
        <v>0.8</v>
      </c>
      <c r="J166" t="n">
        <v>28110510</v>
      </c>
    </row>
    <row r="167" ht="15.75" customHeight="1" s="201">
      <c r="A167" s="1" t="inlineStr">
        <is>
          <t>Babyfood, carrots, toddler</t>
        </is>
      </c>
      <c r="C167" s="1" t="n">
        <v>5.23</v>
      </c>
      <c r="D167" s="1" t="n">
        <v>7</v>
      </c>
      <c r="E167" s="1" t="n">
        <v>0.2</v>
      </c>
      <c r="F167" s="1" t="n">
        <v>0.6</v>
      </c>
      <c r="G167" s="1" t="n">
        <v>0.3</v>
      </c>
      <c r="H167" s="1" t="n">
        <v>14710</v>
      </c>
      <c r="I167" s="1" t="n">
        <v>0.2</v>
      </c>
    </row>
    <row r="168" ht="15.75" customHeight="1" s="201">
      <c r="A168" s="1" t="inlineStr">
        <is>
          <t>Babyfood, cereal, barley, dry fortified</t>
        </is>
      </c>
      <c r="C168" s="1" t="n">
        <v>69.40000000000001</v>
      </c>
      <c r="D168" s="1" t="n">
        <v>179</v>
      </c>
      <c r="E168" s="1" t="n">
        <v>48.21</v>
      </c>
      <c r="F168" s="1" t="n">
        <v>13.2</v>
      </c>
      <c r="G168" s="1" t="n">
        <v>6.6</v>
      </c>
      <c r="H168" s="1" t="n">
        <v>0</v>
      </c>
      <c r="I168" s="1" t="n">
        <v>3.13</v>
      </c>
      <c r="J168" t="n">
        <v>58401010</v>
      </c>
    </row>
    <row r="169" ht="15.75" customHeight="1" s="201">
      <c r="A169" s="1" t="inlineStr">
        <is>
          <t>Babyfood, cereal, barley, prepared with whole milk</t>
        </is>
      </c>
      <c r="C169" s="1" t="n">
        <v>9.94</v>
      </c>
      <c r="D169" s="1" t="n">
        <v>7</v>
      </c>
      <c r="E169" s="1" t="n">
        <v>3.49</v>
      </c>
      <c r="F169" s="1" t="n">
        <v>3.73</v>
      </c>
      <c r="G169" s="1" t="n">
        <v>3.26</v>
      </c>
      <c r="H169" s="1" t="n">
        <v>150</v>
      </c>
      <c r="I169" s="1" t="n">
        <v>0.57</v>
      </c>
      <c r="J169" t="n">
        <v>75142550</v>
      </c>
    </row>
    <row r="170" ht="15.75" customHeight="1" s="201">
      <c r="A170" s="1" t="inlineStr">
        <is>
          <t>Babyfood, cereal, brown rice, dry, instant</t>
        </is>
      </c>
      <c r="C170" s="1" t="n">
        <v>85.98</v>
      </c>
      <c r="D170" s="1" t="n">
        <v>15</v>
      </c>
      <c r="E170" s="1" t="n">
        <v>47.6</v>
      </c>
      <c r="F170" s="1" t="n">
        <v>8.699999999999999</v>
      </c>
      <c r="G170" s="1" t="n">
        <v>3</v>
      </c>
      <c r="H170" s="1" t="n">
        <v>0</v>
      </c>
      <c r="I170" s="1" t="n">
        <v>0</v>
      </c>
      <c r="J170" t="n">
        <v>54319000</v>
      </c>
    </row>
    <row r="171" ht="15.75" customHeight="1" s="201">
      <c r="A171" s="1" t="inlineStr">
        <is>
          <t>Babyfood, cereal, egg yolks and bacon, junior</t>
        </is>
      </c>
      <c r="C171" s="1" t="n">
        <v>6.2</v>
      </c>
      <c r="D171" s="1" t="n">
        <v>4</v>
      </c>
      <c r="E171" s="1" t="n">
        <v>0.47</v>
      </c>
      <c r="F171" s="1" t="n">
        <v>2.5</v>
      </c>
      <c r="G171" s="1" t="n">
        <v>5</v>
      </c>
      <c r="H171" s="1" t="n">
        <v>94</v>
      </c>
      <c r="I171" s="1" t="n">
        <v>0.27</v>
      </c>
      <c r="J171" t="n">
        <v>32202070</v>
      </c>
    </row>
    <row r="172" ht="15.75" customHeight="1" s="201">
      <c r="A172" s="1" t="inlineStr">
        <is>
          <t>Babyfood, cereal, high protein, prepared with whole milk</t>
        </is>
      </c>
      <c r="C172" s="1" t="n">
        <v>11.6</v>
      </c>
      <c r="D172" s="1" t="n">
        <v>35</v>
      </c>
      <c r="E172" s="1" t="n">
        <v>12.14</v>
      </c>
      <c r="F172" s="1" t="n">
        <v>8.699999999999999</v>
      </c>
      <c r="G172" s="1" t="n">
        <v>3.8</v>
      </c>
      <c r="H172" s="1" t="n">
        <v>105</v>
      </c>
      <c r="I172" s="1" t="n">
        <v>1.04</v>
      </c>
      <c r="J172" t="n">
        <v>75142550</v>
      </c>
    </row>
    <row r="173" ht="15.75" customHeight="1" s="201">
      <c r="A173" s="1" t="inlineStr">
        <is>
          <t>Babyfood, cereal, high protein, with apple and orange, dry</t>
        </is>
      </c>
      <c r="C173" s="1" t="n">
        <v>57.6</v>
      </c>
      <c r="D173" s="1" t="n">
        <v>190</v>
      </c>
      <c r="E173" s="1" t="n">
        <v>47.5</v>
      </c>
      <c r="F173" s="1" t="n">
        <v>25.4</v>
      </c>
      <c r="G173" s="1" t="n">
        <v>6.5</v>
      </c>
      <c r="H173" s="1" t="n">
        <v>54</v>
      </c>
      <c r="I173" s="1" t="n">
        <v>2.7</v>
      </c>
      <c r="J173" t="n">
        <v>75142550</v>
      </c>
    </row>
    <row r="174" ht="15.75" customHeight="1" s="201">
      <c r="A174" s="1" t="inlineStr">
        <is>
          <t>Babyfood, cereal, high protein, with apple and orange, prepared with whole milk</t>
        </is>
      </c>
      <c r="C174" s="1" t="n">
        <v>13.4</v>
      </c>
      <c r="D174" s="1" t="n">
        <v>28</v>
      </c>
      <c r="E174" s="1" t="n">
        <v>14.42</v>
      </c>
      <c r="F174" s="1" t="n">
        <v>6.9</v>
      </c>
      <c r="G174" s="1" t="n">
        <v>3.9</v>
      </c>
      <c r="I174" s="1" t="n">
        <v>0.76</v>
      </c>
      <c r="J174" t="n">
        <v>75142550</v>
      </c>
    </row>
    <row r="175" ht="15.75" customHeight="1" s="201">
      <c r="A175" s="1" t="inlineStr">
        <is>
          <t>Babyfood, cereal, mixed, dry fortified</t>
        </is>
      </c>
      <c r="C175" s="1" t="n">
        <v>78.20999999999999</v>
      </c>
      <c r="D175" s="1" t="n">
        <v>167</v>
      </c>
      <c r="E175" s="1" t="n">
        <v>30</v>
      </c>
      <c r="F175" s="1" t="n">
        <v>6.66</v>
      </c>
      <c r="G175" s="1" t="n">
        <v>6.66</v>
      </c>
      <c r="H175" s="1" t="n">
        <v>0</v>
      </c>
      <c r="I175" s="1" t="n">
        <v>10.66</v>
      </c>
      <c r="J175" t="n">
        <v>57803000</v>
      </c>
    </row>
    <row r="176" ht="15.75" customHeight="1" s="201">
      <c r="A176" s="1" t="inlineStr">
        <is>
          <t>Babyfood, cereal, mixed, prepared with whole milk</t>
        </is>
      </c>
      <c r="C176" s="1" t="n">
        <v>12.3</v>
      </c>
      <c r="D176" s="1" t="n">
        <v>9</v>
      </c>
      <c r="E176" s="1" t="n">
        <v>10.43</v>
      </c>
      <c r="F176" s="1" t="n">
        <v>4.14</v>
      </c>
      <c r="G176" s="1" t="n">
        <v>3.38</v>
      </c>
      <c r="H176" s="1" t="n">
        <v>146</v>
      </c>
      <c r="I176" s="1" t="n">
        <v>0.59</v>
      </c>
      <c r="J176" t="n">
        <v>75142550</v>
      </c>
    </row>
    <row r="177" ht="15.75" customHeight="1" s="201">
      <c r="A177" s="1" t="inlineStr">
        <is>
          <t>Babyfood, cereal, mixed, with applesauce and bananas, junior, fortified</t>
        </is>
      </c>
      <c r="C177" s="1" t="n">
        <v>18.79</v>
      </c>
      <c r="D177" s="1" t="n">
        <v>25</v>
      </c>
      <c r="E177" s="1" t="n">
        <v>6.81</v>
      </c>
      <c r="F177" s="1" t="n">
        <v>0.71</v>
      </c>
      <c r="G177" s="1" t="n">
        <v>0.51</v>
      </c>
      <c r="H177" s="1" t="n">
        <v>0</v>
      </c>
      <c r="I177" s="1" t="n">
        <v>1.01</v>
      </c>
      <c r="J177" t="n">
        <v>75142550</v>
      </c>
    </row>
    <row r="178" ht="15.75" customHeight="1" s="201">
      <c r="A178" s="1" t="inlineStr">
        <is>
          <t>Babyfood, cereal, mixed, with applesauce and bananas, strained</t>
        </is>
      </c>
      <c r="C178" s="1" t="n">
        <v>18.38</v>
      </c>
      <c r="D178" s="1" t="n">
        <v>25</v>
      </c>
      <c r="E178" s="1" t="n">
        <v>6.81</v>
      </c>
      <c r="F178" s="1" t="n">
        <v>0.71</v>
      </c>
      <c r="G178" s="1" t="n">
        <v>0.51</v>
      </c>
      <c r="H178" s="1" t="n">
        <v>0</v>
      </c>
      <c r="I178" s="1" t="n">
        <v>1.01</v>
      </c>
      <c r="J178" t="n">
        <v>75142550</v>
      </c>
    </row>
    <row r="179" ht="15.75" customHeight="1" s="201">
      <c r="A179" s="1" t="inlineStr">
        <is>
          <t>Babyfood, cereal, mixed, with bananas, dry</t>
        </is>
      </c>
      <c r="C179" s="1" t="n">
        <v>77.09999999999999</v>
      </c>
      <c r="D179" s="1" t="n">
        <v>17</v>
      </c>
      <c r="E179" s="1" t="n">
        <v>47.5</v>
      </c>
      <c r="F179" s="1" t="n">
        <v>10.7</v>
      </c>
      <c r="G179" s="1" t="n">
        <v>4.6</v>
      </c>
      <c r="H179" s="1" t="n">
        <v>125</v>
      </c>
      <c r="I179" s="1" t="n">
        <v>1.4</v>
      </c>
      <c r="J179" t="n">
        <v>75142550</v>
      </c>
    </row>
    <row r="180" ht="15.75" customHeight="1" s="201">
      <c r="A180" s="1" t="inlineStr">
        <is>
          <t>Babyfood, cereal, mixed, with bananas, prepared with whole milk</t>
        </is>
      </c>
      <c r="C180" s="1" t="n">
        <v>10</v>
      </c>
      <c r="D180" s="1" t="n">
        <v>6</v>
      </c>
      <c r="E180" s="1" t="n">
        <v>3.63</v>
      </c>
      <c r="F180" s="1" t="n">
        <v>3.82</v>
      </c>
      <c r="G180" s="1" t="n">
        <v>3.46</v>
      </c>
      <c r="H180" s="1" t="n">
        <v>155</v>
      </c>
      <c r="I180" s="1" t="n">
        <v>0.49</v>
      </c>
      <c r="J180" t="n">
        <v>75142550</v>
      </c>
    </row>
    <row r="181" ht="15.75" customHeight="1" s="201">
      <c r="A181" s="1" t="inlineStr">
        <is>
          <t>Babyfood, cereal, mixed, with honey, prepared with whole milk</t>
        </is>
      </c>
      <c r="C181" s="1" t="n">
        <v>15.9</v>
      </c>
      <c r="D181" s="1" t="n">
        <v>11</v>
      </c>
      <c r="E181" s="1" t="n">
        <v>11.27</v>
      </c>
      <c r="F181" s="1" t="n">
        <v>5</v>
      </c>
      <c r="G181" s="1" t="n">
        <v>3.6</v>
      </c>
      <c r="I181" s="1" t="n">
        <v>0.72</v>
      </c>
      <c r="J181" t="n">
        <v>75142550</v>
      </c>
    </row>
    <row r="182" ht="15.75" customHeight="1" s="201">
      <c r="A182" s="1" t="inlineStr">
        <is>
          <t>Babyfood, cereal, oatmeal, dry fortified</t>
        </is>
      </c>
      <c r="C182" s="1" t="n">
        <v>73.48</v>
      </c>
      <c r="D182" s="1" t="n">
        <v>247</v>
      </c>
      <c r="E182" s="1" t="n">
        <v>64.09999999999999</v>
      </c>
      <c r="F182" s="1" t="n">
        <v>10.99</v>
      </c>
      <c r="G182" s="1" t="n">
        <v>6.36</v>
      </c>
      <c r="H182" s="1" t="n">
        <v>16</v>
      </c>
      <c r="I182" s="1" t="n">
        <v>12.68</v>
      </c>
      <c r="J182" t="n">
        <v>53710500</v>
      </c>
    </row>
    <row r="183" ht="15.75" customHeight="1" s="201">
      <c r="A183" s="1" t="inlineStr">
        <is>
          <t>Babyfood, cereal, Oatmeal, dry, GERBER, SINGLE GRAIN, fortified</t>
        </is>
      </c>
      <c r="C183" s="1" t="n">
        <v>73.56999999999999</v>
      </c>
      <c r="D183" s="1" t="n">
        <v>250</v>
      </c>
      <c r="E183" s="1" t="n">
        <v>64.03</v>
      </c>
      <c r="F183" s="1" t="n">
        <v>10.94</v>
      </c>
      <c r="G183" s="1" t="n">
        <v>6.42</v>
      </c>
      <c r="H183" s="1" t="n">
        <v>0</v>
      </c>
      <c r="I183" s="1" t="n">
        <v>12.33</v>
      </c>
      <c r="J183" t="n">
        <v>57806050</v>
      </c>
    </row>
    <row r="184" ht="15.75" customHeight="1" s="201">
      <c r="A184" s="1" t="inlineStr">
        <is>
          <t>Babyfood, cereal, oatmeal, prepared with whole milk</t>
        </is>
      </c>
      <c r="C184" s="1" t="n">
        <v>15.3</v>
      </c>
      <c r="D184" s="1" t="n">
        <v>10</v>
      </c>
      <c r="E184" s="1" t="n">
        <v>12.14</v>
      </c>
      <c r="F184" s="1" t="n">
        <v>5</v>
      </c>
      <c r="G184" s="1" t="n">
        <v>4.1</v>
      </c>
      <c r="H184" s="1" t="n">
        <v>105</v>
      </c>
      <c r="I184" s="1" t="n">
        <v>0.92</v>
      </c>
      <c r="J184" t="n">
        <v>75142550</v>
      </c>
    </row>
    <row r="185" ht="15.75" customHeight="1" s="201">
      <c r="A185" s="1" t="inlineStr">
        <is>
          <t>Babyfood, cereal, oatmeal, with applesauce and bananas, junior, fortified</t>
        </is>
      </c>
      <c r="C185" s="1" t="n">
        <v>16.03</v>
      </c>
      <c r="D185" s="1" t="n">
        <v>22</v>
      </c>
      <c r="E185" s="1" t="n">
        <v>7.5</v>
      </c>
      <c r="F185" s="1" t="n">
        <v>0.89</v>
      </c>
      <c r="G185" s="1" t="n">
        <v>0.89</v>
      </c>
      <c r="H185" s="1" t="n">
        <v>0</v>
      </c>
      <c r="I185" s="1" t="n">
        <v>7.5</v>
      </c>
      <c r="J185" t="n">
        <v>75142550</v>
      </c>
    </row>
    <row r="186" ht="15.75" customHeight="1" s="201">
      <c r="A186" s="1" t="inlineStr">
        <is>
          <t>Babyfood, cereal, oatmeal, with applesauce and bananas, strained</t>
        </is>
      </c>
      <c r="C186" s="1" t="n">
        <v>15.62</v>
      </c>
      <c r="D186" s="1" t="n">
        <v>22</v>
      </c>
      <c r="E186" s="1" t="n">
        <v>7.5</v>
      </c>
      <c r="F186" s="1" t="n">
        <v>0.89</v>
      </c>
      <c r="G186" s="1" t="n">
        <v>0.89</v>
      </c>
      <c r="H186" s="1" t="n">
        <v>0</v>
      </c>
      <c r="I186" s="1" t="n">
        <v>7.5</v>
      </c>
      <c r="J186" t="n">
        <v>75142550</v>
      </c>
    </row>
    <row r="187" ht="15.75" customHeight="1" s="201">
      <c r="A187" s="1" t="inlineStr">
        <is>
          <t>Babyfood, cereal, oatmeal, with bananas, dry</t>
        </is>
      </c>
      <c r="C187" s="1" t="n">
        <v>78.06999999999999</v>
      </c>
      <c r="D187" s="1" t="n">
        <v>167</v>
      </c>
      <c r="E187" s="1" t="n">
        <v>45</v>
      </c>
      <c r="F187" s="1" t="n">
        <v>6.67</v>
      </c>
      <c r="G187" s="1" t="n">
        <v>6.67</v>
      </c>
      <c r="H187" s="1" t="n">
        <v>0</v>
      </c>
      <c r="I187" s="1" t="n">
        <v>1.9</v>
      </c>
      <c r="J187" t="n">
        <v>75142550</v>
      </c>
    </row>
    <row r="188" ht="15.75" customHeight="1" s="201">
      <c r="A188" s="1" t="inlineStr">
        <is>
          <t>Babyfood, cereal, oatmeal, with bananas, prepared with whole milk</t>
        </is>
      </c>
      <c r="C188" s="1" t="n">
        <v>10</v>
      </c>
      <c r="D188" s="1" t="n">
        <v>6</v>
      </c>
      <c r="E188" s="1" t="n">
        <v>3.63</v>
      </c>
      <c r="F188" s="1" t="n">
        <v>3.82</v>
      </c>
      <c r="G188" s="1" t="n">
        <v>3.46</v>
      </c>
      <c r="H188" s="1" t="n">
        <v>155</v>
      </c>
      <c r="I188" s="1" t="n">
        <v>0.49</v>
      </c>
      <c r="J188" t="n">
        <v>75142550</v>
      </c>
    </row>
    <row r="189" ht="15.75" customHeight="1" s="201">
      <c r="A189" s="1" t="inlineStr">
        <is>
          <t>Babyfood, cereal, oatmeal, with honey, dry</t>
        </is>
      </c>
      <c r="C189" s="1" t="n">
        <v>69.3</v>
      </c>
      <c r="D189" s="1" t="n">
        <v>35</v>
      </c>
      <c r="E189" s="1" t="n">
        <v>67.23</v>
      </c>
      <c r="F189" s="1" t="n">
        <v>13.5</v>
      </c>
      <c r="G189" s="1" t="n">
        <v>7</v>
      </c>
      <c r="H189" s="1" t="n">
        <v>23</v>
      </c>
      <c r="I189" s="1" t="n">
        <v>3.7</v>
      </c>
      <c r="J189" t="n">
        <v>57237100</v>
      </c>
    </row>
    <row r="190" ht="15.75" customHeight="1" s="201">
      <c r="A190" s="1" t="inlineStr">
        <is>
          <t>Babyfood, cereal, oatmeal, with honey, prepared with whole milk</t>
        </is>
      </c>
      <c r="C190" s="1" t="n">
        <v>15.3</v>
      </c>
      <c r="D190" s="1" t="n">
        <v>10</v>
      </c>
      <c r="E190" s="1" t="n">
        <v>11.09</v>
      </c>
      <c r="F190" s="1" t="n">
        <v>5</v>
      </c>
      <c r="G190" s="1" t="n">
        <v>3.9</v>
      </c>
      <c r="I190" s="1" t="n">
        <v>0.93</v>
      </c>
      <c r="J190" t="n">
        <v>75142550</v>
      </c>
    </row>
    <row r="191" ht="15.75" customHeight="1" s="201">
      <c r="A191" s="1" t="inlineStr">
        <is>
          <t>Babyfood, cereal, rice with pears and apple, dry, instant fortified</t>
        </is>
      </c>
      <c r="C191" s="1" t="n">
        <v>88.5</v>
      </c>
      <c r="D191" s="1" t="n">
        <v>5</v>
      </c>
      <c r="E191" s="1" t="n">
        <v>9</v>
      </c>
      <c r="F191" s="1" t="n">
        <v>6.6</v>
      </c>
      <c r="G191" s="1" t="n">
        <v>0.9</v>
      </c>
      <c r="H191" s="1" t="n">
        <v>0</v>
      </c>
      <c r="I191" s="1" t="n">
        <v>3.3</v>
      </c>
      <c r="J191" t="n">
        <v>75142550</v>
      </c>
    </row>
    <row r="192" ht="15.75" customHeight="1" s="201">
      <c r="A192" s="1" t="inlineStr">
        <is>
          <t>Babyfood, cereal, rice, dry fortified</t>
        </is>
      </c>
      <c r="C192" s="1" t="n">
        <v>83.14</v>
      </c>
      <c r="D192" s="1" t="n">
        <v>230</v>
      </c>
      <c r="E192" s="1" t="n">
        <v>53.01</v>
      </c>
      <c r="F192" s="1" t="n">
        <v>6.65</v>
      </c>
      <c r="G192" s="1" t="n">
        <v>2.19</v>
      </c>
      <c r="H192" s="1" t="n">
        <v>0</v>
      </c>
      <c r="I192" s="1" t="n">
        <v>10.92</v>
      </c>
      <c r="J192" t="n">
        <v>54319000</v>
      </c>
    </row>
    <row r="193" ht="15.75" customHeight="1" s="201">
      <c r="A193" s="1" t="inlineStr">
        <is>
          <t>Babyfood, cereal, rice, prepared with whole milk</t>
        </is>
      </c>
      <c r="C193" s="1" t="n">
        <v>10.31</v>
      </c>
      <c r="D193" s="1" t="n">
        <v>6</v>
      </c>
      <c r="E193" s="1" t="n">
        <v>3.63</v>
      </c>
      <c r="F193" s="1" t="n">
        <v>3.45</v>
      </c>
      <c r="G193" s="1" t="n">
        <v>3.38</v>
      </c>
      <c r="H193" s="1" t="n">
        <v>150</v>
      </c>
      <c r="I193" s="1" t="n">
        <v>0.49</v>
      </c>
      <c r="J193" t="n">
        <v>75142550</v>
      </c>
    </row>
    <row r="194" ht="15.75" customHeight="1" s="201">
      <c r="A194" s="1" t="inlineStr">
        <is>
          <t>Babyfood, cereal, rice, with applesauce and bananas, strained</t>
        </is>
      </c>
      <c r="C194" s="1" t="n">
        <v>17.1</v>
      </c>
      <c r="D194" s="1" t="n">
        <v>3</v>
      </c>
      <c r="E194" s="1" t="n">
        <v>6.73</v>
      </c>
      <c r="F194" s="1" t="n">
        <v>1.2</v>
      </c>
      <c r="G194" s="1" t="n">
        <v>0.4</v>
      </c>
      <c r="H194" s="1" t="n">
        <v>21</v>
      </c>
      <c r="I194" s="1" t="n">
        <v>0.08</v>
      </c>
      <c r="J194" t="n">
        <v>75142550</v>
      </c>
    </row>
    <row r="195" ht="15.75" customHeight="1" s="201">
      <c r="A195" s="1" t="inlineStr">
        <is>
          <t>Babyfood, cereal, rice, with bananas, dry</t>
        </is>
      </c>
      <c r="C195" s="1" t="n">
        <v>79.90000000000001</v>
      </c>
      <c r="D195" s="1" t="n">
        <v>12</v>
      </c>
      <c r="E195" s="1" t="n">
        <v>47.5</v>
      </c>
      <c r="F195" s="1" t="n">
        <v>8.699999999999999</v>
      </c>
      <c r="G195" s="1" t="n">
        <v>4.2</v>
      </c>
      <c r="H195" s="1" t="n">
        <v>29</v>
      </c>
      <c r="I195" s="1" t="n">
        <v>1.5</v>
      </c>
      <c r="J195" t="n">
        <v>75142550</v>
      </c>
    </row>
    <row r="196" ht="15.75" customHeight="1" s="201">
      <c r="A196" s="1" t="inlineStr">
        <is>
          <t>Babyfood, cereal, rice, with bananas, prepared with whole milk</t>
        </is>
      </c>
      <c r="C196" s="1" t="n">
        <v>10.49</v>
      </c>
      <c r="D196" s="1" t="n">
        <v>6</v>
      </c>
      <c r="E196" s="1" t="n">
        <v>3.63</v>
      </c>
      <c r="F196" s="1" t="n">
        <v>3.57</v>
      </c>
      <c r="G196" s="1" t="n">
        <v>3.32</v>
      </c>
      <c r="H196" s="1" t="n">
        <v>152</v>
      </c>
      <c r="I196" s="1" t="n">
        <v>0.46</v>
      </c>
      <c r="J196" t="n">
        <v>75142550</v>
      </c>
    </row>
    <row r="197" ht="15.75" customHeight="1" s="201">
      <c r="A197" s="1" t="inlineStr">
        <is>
          <t>Babyfood, cereal, rice, with honey, prepared with whole milk</t>
        </is>
      </c>
      <c r="C197" s="1" t="n">
        <v>17.1</v>
      </c>
      <c r="D197" s="1" t="n">
        <v>8</v>
      </c>
      <c r="E197" s="1" t="n">
        <v>10.81</v>
      </c>
      <c r="F197" s="1" t="n">
        <v>3.9</v>
      </c>
      <c r="G197" s="1" t="n">
        <v>3.3</v>
      </c>
      <c r="H197" s="1" t="n">
        <v>108</v>
      </c>
      <c r="I197" s="1" t="n">
        <v>0.65</v>
      </c>
      <c r="J197" t="n">
        <v>75142550</v>
      </c>
    </row>
    <row r="198" ht="15.75" customHeight="1" s="201">
      <c r="A198" s="1" t="inlineStr">
        <is>
          <t>Babyfood, cereal, whole wheat, with apples, dry fortified</t>
        </is>
      </c>
      <c r="C198" s="1" t="n">
        <v>83.2</v>
      </c>
      <c r="D198" s="1" t="n">
        <v>166</v>
      </c>
      <c r="E198" s="1" t="n">
        <v>45</v>
      </c>
      <c r="F198" s="1" t="n">
        <v>6.6</v>
      </c>
      <c r="G198" s="1" t="n">
        <v>4.8</v>
      </c>
      <c r="H198" s="1" t="n">
        <v>0</v>
      </c>
      <c r="I198" s="1" t="n">
        <v>2.6</v>
      </c>
      <c r="J198" t="n">
        <v>54338000</v>
      </c>
    </row>
    <row r="199" ht="15.75" customHeight="1" s="201">
      <c r="A199" s="1" t="inlineStr">
        <is>
          <t>Babyfood, cereal, with egg yolks, junior</t>
        </is>
      </c>
      <c r="C199" s="1" t="n">
        <v>7.1</v>
      </c>
      <c r="D199" s="1" t="n">
        <v>3</v>
      </c>
      <c r="E199" s="1" t="n">
        <v>0.51</v>
      </c>
      <c r="F199" s="1" t="n">
        <v>1.9</v>
      </c>
      <c r="G199" s="1" t="n">
        <v>1.8</v>
      </c>
      <c r="H199" s="1" t="n">
        <v>144</v>
      </c>
      <c r="I199" s="1" t="n">
        <v>0.29</v>
      </c>
      <c r="J199" t="n">
        <v>75142550</v>
      </c>
    </row>
    <row r="200" ht="15.75" customHeight="1" s="201">
      <c r="A200" s="1" t="inlineStr">
        <is>
          <t>Babyfood, cereal, with egg yolks, strained</t>
        </is>
      </c>
      <c r="C200" s="1" t="n">
        <v>7</v>
      </c>
      <c r="D200" s="1" t="n">
        <v>3</v>
      </c>
      <c r="E200" s="1" t="n">
        <v>0.47</v>
      </c>
      <c r="F200" s="1" t="n">
        <v>1.9</v>
      </c>
      <c r="G200" s="1" t="n">
        <v>1.8</v>
      </c>
      <c r="H200" s="1" t="n">
        <v>141</v>
      </c>
      <c r="I200" s="1" t="n">
        <v>0.29</v>
      </c>
      <c r="J200" t="n">
        <v>75142550</v>
      </c>
    </row>
    <row r="201" ht="15.75" customHeight="1" s="201">
      <c r="A201" s="1" t="inlineStr">
        <is>
          <t>Babyfood, cereal, with eggs, strained</t>
        </is>
      </c>
      <c r="C201" s="1" t="n">
        <v>8</v>
      </c>
      <c r="D201" s="1" t="n">
        <v>9</v>
      </c>
      <c r="E201" s="1" t="n">
        <v>0.54</v>
      </c>
      <c r="F201" s="1" t="n">
        <v>2.2</v>
      </c>
      <c r="G201" s="1" t="n">
        <v>1.5</v>
      </c>
      <c r="H201" s="1" t="n">
        <v>161</v>
      </c>
      <c r="I201" s="1" t="n">
        <v>0.33</v>
      </c>
      <c r="J201" t="n">
        <v>75142550</v>
      </c>
    </row>
    <row r="202" ht="15.75" customHeight="1" s="201">
      <c r="A202" s="1" t="inlineStr">
        <is>
          <t>Babyfood, cherry cobbler, junior</t>
        </is>
      </c>
      <c r="C202" s="1" t="n">
        <v>19.2</v>
      </c>
      <c r="D202" s="1" t="n">
        <v>2</v>
      </c>
      <c r="E202" s="1" t="n">
        <v>0.1</v>
      </c>
      <c r="F202" s="1" t="n">
        <v>0.3</v>
      </c>
      <c r="G202" s="1" t="n">
        <v>0.1</v>
      </c>
      <c r="H202" s="1" t="n">
        <v>31</v>
      </c>
      <c r="I202" s="1" t="n">
        <v>0.05</v>
      </c>
      <c r="J202" t="n">
        <v>92411510</v>
      </c>
    </row>
    <row r="203" ht="15.75" customHeight="1" s="201">
      <c r="A203" s="1" t="inlineStr">
        <is>
          <t>Babyfood, cookie, baby, fruit</t>
        </is>
      </c>
      <c r="C203" s="1" t="n">
        <v>73.7</v>
      </c>
      <c r="D203" s="1" t="n">
        <v>110</v>
      </c>
      <c r="E203" s="1" t="n">
        <v>2.9</v>
      </c>
      <c r="F203" s="1" t="n">
        <v>6.8</v>
      </c>
      <c r="G203" s="1" t="n">
        <v>12.6</v>
      </c>
      <c r="H203" s="1" t="n">
        <v>2348</v>
      </c>
      <c r="I203" s="1" t="n">
        <v>0.8</v>
      </c>
      <c r="J203" t="n">
        <v>91708030</v>
      </c>
    </row>
    <row r="204" ht="15.75" customHeight="1" s="201">
      <c r="A204" s="1" t="inlineStr">
        <is>
          <t>Babyfood, cookies</t>
        </is>
      </c>
      <c r="C204" s="1" t="n">
        <v>67.09999999999999</v>
      </c>
      <c r="D204" s="1" t="n">
        <v>93</v>
      </c>
      <c r="E204" s="1" t="n">
        <v>4.18</v>
      </c>
      <c r="F204" s="1" t="n">
        <v>11.8</v>
      </c>
      <c r="G204" s="1" t="n">
        <v>13.2</v>
      </c>
      <c r="H204" s="1" t="n">
        <v>23</v>
      </c>
      <c r="I204" s="1" t="n">
        <v>1.1</v>
      </c>
      <c r="J204" t="n">
        <v>53241500</v>
      </c>
    </row>
    <row r="205" ht="15.75" customHeight="1" s="201">
      <c r="A205" s="1" t="inlineStr">
        <is>
          <t>Babyfood, cookies, arrowroot</t>
        </is>
      </c>
      <c r="C205" s="1" t="n">
        <v>75.40000000000001</v>
      </c>
      <c r="D205" s="1" t="n">
        <v>35</v>
      </c>
      <c r="E205" s="1" t="n">
        <v>3</v>
      </c>
      <c r="F205" s="1" t="n">
        <v>7.6</v>
      </c>
      <c r="G205" s="1" t="n">
        <v>10</v>
      </c>
      <c r="H205" s="1" t="n">
        <v>0</v>
      </c>
      <c r="I205" s="1" t="n">
        <v>0.53</v>
      </c>
      <c r="J205" t="n">
        <v>53241500</v>
      </c>
    </row>
    <row r="206" ht="15.75" customHeight="1" s="201">
      <c r="A206" s="1" t="inlineStr">
        <is>
          <t>Babyfood, corn and sweet potatoes, strained</t>
        </is>
      </c>
      <c r="C206" s="1" t="n">
        <v>15.23</v>
      </c>
      <c r="D206" s="1" t="n">
        <v>14</v>
      </c>
      <c r="E206" s="1" t="n">
        <v>0.31</v>
      </c>
      <c r="F206" s="1" t="n">
        <v>1.26</v>
      </c>
      <c r="G206" s="1" t="n">
        <v>0.28</v>
      </c>
      <c r="H206" s="1" t="n">
        <v>2496</v>
      </c>
      <c r="I206" s="1" t="n">
        <v>0.19</v>
      </c>
      <c r="J206" t="n">
        <v>54401055</v>
      </c>
    </row>
    <row r="207" ht="15.75" customHeight="1" s="201">
      <c r="A207" s="1" t="inlineStr">
        <is>
          <t>Babyfood, crackers, vegetable</t>
        </is>
      </c>
      <c r="C207" s="1" t="n">
        <v>66.84999999999999</v>
      </c>
      <c r="D207" s="1" t="n">
        <v>86</v>
      </c>
      <c r="E207" s="1" t="n">
        <v>4.2</v>
      </c>
      <c r="F207" s="1" t="n">
        <v>8.4</v>
      </c>
      <c r="G207" s="1" t="n">
        <v>19.6</v>
      </c>
      <c r="H207" s="1" t="n">
        <v>3571</v>
      </c>
      <c r="I207" s="1" t="n">
        <v>0.9</v>
      </c>
      <c r="J207" t="n">
        <v>54326000</v>
      </c>
    </row>
    <row r="208" ht="15.75" customHeight="1" s="201">
      <c r="A208" s="1" t="inlineStr">
        <is>
          <t>Babyfood, dessert, banana pudding, strained</t>
        </is>
      </c>
      <c r="C208" s="1" t="n">
        <v>14.14</v>
      </c>
      <c r="D208" s="1" t="n">
        <v>6</v>
      </c>
      <c r="E208" s="1" t="n">
        <v>0.3</v>
      </c>
      <c r="F208" s="1" t="n">
        <v>1</v>
      </c>
      <c r="G208" s="1" t="n">
        <v>0.8</v>
      </c>
      <c r="H208" s="1" t="n">
        <v>19</v>
      </c>
      <c r="I208" s="1" t="n">
        <v>0.12</v>
      </c>
    </row>
    <row r="209" ht="15.75" customHeight="1" s="201">
      <c r="A209" s="1" t="inlineStr">
        <is>
          <t>Babyfood, dessert, banana yogurt, strained</t>
        </is>
      </c>
      <c r="C209" s="1" t="n">
        <v>17.35</v>
      </c>
      <c r="D209" s="1" t="n">
        <v>7</v>
      </c>
      <c r="E209" s="1" t="n">
        <v>0.14</v>
      </c>
      <c r="F209" s="1" t="n">
        <v>1.1</v>
      </c>
      <c r="G209" s="1" t="n">
        <v>0.52</v>
      </c>
      <c r="H209" s="1" t="n">
        <v>20</v>
      </c>
      <c r="I209" s="1" t="n">
        <v>0.26</v>
      </c>
    </row>
    <row r="210" ht="15.75" customHeight="1" s="201">
      <c r="A210" s="1" t="inlineStr">
        <is>
          <t>Babyfood, dessert, blueberry yogurt, strained</t>
        </is>
      </c>
      <c r="C210" s="1" t="n">
        <v>17.05</v>
      </c>
      <c r="D210" s="1" t="n">
        <v>8</v>
      </c>
      <c r="E210" s="1" t="n">
        <v>0.2</v>
      </c>
      <c r="F210" s="1" t="n">
        <v>0.5</v>
      </c>
      <c r="G210" s="1" t="n">
        <v>0.7</v>
      </c>
      <c r="H210" s="1" t="n">
        <v>41</v>
      </c>
      <c r="I210" s="1" t="n">
        <v>0.14</v>
      </c>
    </row>
    <row r="211" ht="15.75" customHeight="1" s="201">
      <c r="A211" s="1" t="inlineStr">
        <is>
          <t>Babyfood, dessert, cherry vanilla pudding, junior</t>
        </is>
      </c>
      <c r="C211" s="1" t="n">
        <v>18.4</v>
      </c>
      <c r="D211" s="1" t="n">
        <v>0</v>
      </c>
      <c r="E211" s="1" t="n">
        <v>0.17</v>
      </c>
      <c r="F211" s="1" t="n">
        <v>0.2</v>
      </c>
      <c r="G211" s="1" t="n">
        <v>0.2</v>
      </c>
      <c r="H211" s="1" t="n">
        <v>261</v>
      </c>
      <c r="I211" s="1" t="n">
        <v>0.03</v>
      </c>
      <c r="J211" t="n">
        <v>92411510</v>
      </c>
    </row>
    <row r="212" ht="15.75" customHeight="1" s="201">
      <c r="A212" s="1" t="inlineStr">
        <is>
          <t>Babyfood, dessert, cherry vanilla pudding, strained</t>
        </is>
      </c>
      <c r="C212" s="1" t="n">
        <v>17.8</v>
      </c>
      <c r="D212" s="1" t="n">
        <v>0</v>
      </c>
      <c r="E212" s="1" t="n">
        <v>0.19</v>
      </c>
      <c r="F212" s="1" t="n">
        <v>0.2</v>
      </c>
      <c r="G212" s="1" t="n">
        <v>0.3</v>
      </c>
      <c r="H212" s="1" t="n">
        <v>261</v>
      </c>
      <c r="I212" s="1" t="n">
        <v>0.04</v>
      </c>
      <c r="J212" t="n">
        <v>92411510</v>
      </c>
    </row>
    <row r="213" ht="15.75" customHeight="1" s="201">
      <c r="A213" s="1" t="inlineStr">
        <is>
          <t>Babyfood, dessert, custard pudding, vanilla, junior</t>
        </is>
      </c>
      <c r="C213" s="1" t="n">
        <v>17.58</v>
      </c>
      <c r="D213" s="1" t="n">
        <v>6</v>
      </c>
      <c r="E213" s="1" t="n">
        <v>0.22</v>
      </c>
      <c r="F213" s="1" t="n">
        <v>1.76</v>
      </c>
      <c r="G213" s="1" t="n">
        <v>0.98</v>
      </c>
      <c r="H213" s="1" t="n">
        <v>47</v>
      </c>
      <c r="I213" s="1" t="n">
        <v>0.3</v>
      </c>
      <c r="J213" t="n">
        <v>53109200</v>
      </c>
    </row>
    <row r="214" ht="15.75" customHeight="1" s="201">
      <c r="A214" s="1" t="inlineStr">
        <is>
          <t>Babyfood, dessert, custard pudding, vanilla, strained</t>
        </is>
      </c>
      <c r="C214" s="1" t="n">
        <v>16</v>
      </c>
      <c r="D214" s="1" t="n">
        <v>6</v>
      </c>
      <c r="E214" s="1" t="n">
        <v>0.24</v>
      </c>
      <c r="F214" s="1" t="n">
        <v>1.6</v>
      </c>
      <c r="G214" s="1" t="n">
        <v>2</v>
      </c>
      <c r="H214" s="1" t="n">
        <v>64</v>
      </c>
      <c r="I214" s="1" t="n">
        <v>0.28</v>
      </c>
    </row>
    <row r="215" ht="15.75" customHeight="1" s="201">
      <c r="A215" s="1" t="inlineStr">
        <is>
          <t>Babyfood, dessert, dutch apple, junior</t>
        </is>
      </c>
      <c r="C215" s="1" t="n">
        <v>19.18</v>
      </c>
      <c r="D215" s="1" t="n">
        <v>0</v>
      </c>
      <c r="E215" s="1" t="n">
        <v>0.11</v>
      </c>
      <c r="F215" s="1" t="n">
        <v>0.2</v>
      </c>
      <c r="G215" s="1" t="n">
        <v>0.16</v>
      </c>
      <c r="H215" s="1" t="n">
        <v>18</v>
      </c>
      <c r="I215" s="1" t="n">
        <v>0.03</v>
      </c>
      <c r="J215" t="n">
        <v>53109200</v>
      </c>
    </row>
    <row r="216" ht="15.75" customHeight="1" s="201">
      <c r="A216" s="1" t="inlineStr">
        <is>
          <t>Babyfood, dessert, dutch apple, strained</t>
        </is>
      </c>
      <c r="C216" s="1" t="n">
        <v>19.74</v>
      </c>
      <c r="D216" s="1" t="n">
        <v>1</v>
      </c>
      <c r="E216" s="1" t="n">
        <v>0.2</v>
      </c>
      <c r="F216" s="1" t="n">
        <v>0.2</v>
      </c>
      <c r="G216" s="1" t="n">
        <v>0.4</v>
      </c>
      <c r="H216" s="1" t="n">
        <v>49</v>
      </c>
      <c r="I216" s="1" t="n">
        <v>0.01</v>
      </c>
      <c r="J216" t="n">
        <v>53203000</v>
      </c>
    </row>
    <row r="217" ht="15.75" customHeight="1" s="201">
      <c r="A217" s="1" t="inlineStr">
        <is>
          <t>Babyfood, dessert, fruit dessert, without ascorbic acid, junior</t>
        </is>
      </c>
      <c r="C217" s="1" t="n">
        <v>17.2</v>
      </c>
      <c r="D217" s="1" t="n">
        <v>4</v>
      </c>
      <c r="E217" s="1" t="n">
        <v>0.21</v>
      </c>
      <c r="F217" s="1" t="n">
        <v>0.3</v>
      </c>
      <c r="G217" s="1" t="n">
        <v>0</v>
      </c>
      <c r="H217" s="1" t="n">
        <v>132</v>
      </c>
      <c r="I217" s="1" t="n">
        <v>0.05</v>
      </c>
      <c r="J217" t="n">
        <v>91708030</v>
      </c>
    </row>
    <row r="218" ht="15.75" customHeight="1" s="201">
      <c r="A218" s="1" t="inlineStr">
        <is>
          <t>Babyfood, dessert, fruit dessert, without ascorbic acid, strained</t>
        </is>
      </c>
      <c r="C218" s="1" t="n">
        <v>16</v>
      </c>
      <c r="D218" s="1" t="n">
        <v>3</v>
      </c>
      <c r="E218" s="1" t="n">
        <v>0.22</v>
      </c>
      <c r="F218" s="1" t="n">
        <v>0.3</v>
      </c>
      <c r="G218" s="1" t="n">
        <v>0</v>
      </c>
      <c r="H218" s="1" t="n">
        <v>132</v>
      </c>
      <c r="I218" s="1" t="n">
        <v>0.04</v>
      </c>
      <c r="J218" t="n">
        <v>91708030</v>
      </c>
    </row>
    <row r="219" ht="15.75" customHeight="1" s="201">
      <c r="A219" s="1" t="inlineStr">
        <is>
          <t>Babyfood, dessert, fruit pudding, orange, strained</t>
        </is>
      </c>
      <c r="C219" s="1" t="n">
        <v>17.7</v>
      </c>
      <c r="D219" s="1" t="n">
        <v>8</v>
      </c>
      <c r="E219" s="1" t="n">
        <v>0.1</v>
      </c>
      <c r="F219" s="1" t="n">
        <v>1.1</v>
      </c>
      <c r="G219" s="1" t="n">
        <v>0.9</v>
      </c>
      <c r="H219" s="1" t="n">
        <v>115</v>
      </c>
      <c r="I219" s="1" t="n">
        <v>0.17</v>
      </c>
      <c r="J219" t="n">
        <v>91708030</v>
      </c>
    </row>
    <row r="220" ht="15.75" customHeight="1" s="201">
      <c r="A220" s="1" t="inlineStr">
        <is>
          <t>Babyfood, dessert, fruit pudding, pineapple, strained</t>
        </is>
      </c>
      <c r="C220" s="1" t="n">
        <v>20.3</v>
      </c>
      <c r="D220" s="1" t="n">
        <v>5</v>
      </c>
      <c r="E220" s="1" t="n">
        <v>0.18</v>
      </c>
      <c r="F220" s="1" t="n">
        <v>1.3</v>
      </c>
      <c r="G220" s="1" t="n">
        <v>0.3</v>
      </c>
      <c r="H220" s="1" t="n">
        <v>37</v>
      </c>
      <c r="I220" s="1" t="n">
        <v>0.2</v>
      </c>
      <c r="J220" t="n">
        <v>91708030</v>
      </c>
    </row>
    <row r="221" ht="15.75" customHeight="1" s="201">
      <c r="A221" s="1" t="inlineStr">
        <is>
          <t>Babyfood, dessert, peach cobbler, junior</t>
        </is>
      </c>
      <c r="C221" s="1" t="n">
        <v>18.3</v>
      </c>
      <c r="D221" s="1" t="n">
        <v>3</v>
      </c>
      <c r="E221" s="1" t="n">
        <v>0.1</v>
      </c>
      <c r="F221" s="1" t="n">
        <v>0.3</v>
      </c>
      <c r="G221" s="1" t="n">
        <v>0</v>
      </c>
      <c r="H221" s="1" t="n">
        <v>138</v>
      </c>
      <c r="I221" s="1" t="n">
        <v>0.03</v>
      </c>
      <c r="J221" t="n">
        <v>53109200</v>
      </c>
    </row>
    <row r="222" ht="15.75" customHeight="1" s="201">
      <c r="A222" s="1" t="inlineStr">
        <is>
          <t>Babyfood, dessert, peach cobbler, strained</t>
        </is>
      </c>
      <c r="C222" s="1" t="n">
        <v>17.8</v>
      </c>
      <c r="D222" s="1" t="n">
        <v>2</v>
      </c>
      <c r="E222" s="1" t="n">
        <v>0.1</v>
      </c>
      <c r="F222" s="1" t="n">
        <v>0.3</v>
      </c>
      <c r="G222" s="1" t="n">
        <v>0</v>
      </c>
      <c r="H222" s="1" t="n">
        <v>138</v>
      </c>
      <c r="I222" s="1" t="n">
        <v>0.3</v>
      </c>
    </row>
    <row r="223" ht="15.75" customHeight="1" s="201">
      <c r="A223" s="1" t="inlineStr">
        <is>
          <t>Babyfood, dessert, peach melba, junior</t>
        </is>
      </c>
      <c r="C223" s="1" t="n">
        <v>16.4</v>
      </c>
      <c r="D223" s="1" t="n">
        <v>2</v>
      </c>
      <c r="E223" s="1" t="n">
        <v>0.3</v>
      </c>
      <c r="F223" s="1" t="n">
        <v>0.3</v>
      </c>
      <c r="G223" s="1" t="n">
        <v>0</v>
      </c>
      <c r="H223" s="1" t="n">
        <v>196</v>
      </c>
      <c r="I223" s="1" t="n">
        <v>0.28</v>
      </c>
      <c r="J223" t="n">
        <v>53109200</v>
      </c>
    </row>
    <row r="224" ht="15.75" customHeight="1" s="201">
      <c r="A224" s="1" t="inlineStr">
        <is>
          <t>Babyfood, dessert, peach melba, strained</t>
        </is>
      </c>
      <c r="C224" s="1" t="n">
        <v>16.5</v>
      </c>
      <c r="D224" s="1" t="n">
        <v>2</v>
      </c>
      <c r="E224" s="1" t="n">
        <v>0.33</v>
      </c>
      <c r="F224" s="1" t="n">
        <v>0.2</v>
      </c>
      <c r="G224" s="1" t="n">
        <v>0</v>
      </c>
      <c r="H224" s="1" t="n">
        <v>184</v>
      </c>
      <c r="I224" s="1" t="n">
        <v>0.28</v>
      </c>
    </row>
    <row r="225" ht="15.75" customHeight="1" s="201">
      <c r="A225" s="1" t="inlineStr">
        <is>
          <t>Babyfood, dessert, peach yogurt</t>
        </is>
      </c>
      <c r="C225" s="1" t="n">
        <v>17.6</v>
      </c>
      <c r="D225" s="1" t="n">
        <v>8</v>
      </c>
      <c r="E225" s="1" t="n">
        <v>0.4</v>
      </c>
      <c r="F225" s="1" t="n">
        <v>0.9</v>
      </c>
      <c r="G225" s="1" t="n">
        <v>0.18</v>
      </c>
      <c r="H225" s="1" t="n">
        <v>3</v>
      </c>
      <c r="I225" s="1" t="n">
        <v>0.18</v>
      </c>
      <c r="J225" t="n">
        <v>67414100</v>
      </c>
    </row>
    <row r="226" ht="15.75" customHeight="1" s="201">
      <c r="A226" s="1" t="inlineStr">
        <is>
          <t>Babyfood, dessert, tropical fruit, junior</t>
        </is>
      </c>
      <c r="C226" s="1" t="n">
        <v>16.4</v>
      </c>
      <c r="D226" s="1" t="n">
        <v>3</v>
      </c>
      <c r="E226" s="1" t="n">
        <v>0.26</v>
      </c>
      <c r="F226" s="1" t="n">
        <v>0.2</v>
      </c>
      <c r="G226" s="1" t="n">
        <v>0</v>
      </c>
      <c r="H226" s="1" t="n">
        <v>20</v>
      </c>
      <c r="I226" s="1" t="n">
        <v>0.05</v>
      </c>
      <c r="J226" t="n">
        <v>91708030</v>
      </c>
    </row>
    <row r="227" ht="15.75" customHeight="1" s="201">
      <c r="A227" s="1" t="inlineStr">
        <is>
          <t>Babyfood, dinner, apples and chicken, strained</t>
        </is>
      </c>
      <c r="C227" s="1" t="n">
        <v>10.88</v>
      </c>
      <c r="D227" s="1" t="n">
        <v>1</v>
      </c>
      <c r="E227" s="1" t="n">
        <v>0.38</v>
      </c>
      <c r="F227" s="1" t="n">
        <v>2.16</v>
      </c>
      <c r="G227" s="1" t="n">
        <v>1.38</v>
      </c>
      <c r="H227" s="1" t="n">
        <v>30</v>
      </c>
      <c r="I227" s="1" t="n">
        <v>0.36</v>
      </c>
      <c r="J227" t="n">
        <v>27446315</v>
      </c>
    </row>
    <row r="228" ht="15.75" customHeight="1" s="201">
      <c r="A228" s="1" t="inlineStr">
        <is>
          <t>Babyfood, dinner, beef and rice, toddler</t>
        </is>
      </c>
      <c r="C228" s="1" t="n">
        <v>8.800000000000001</v>
      </c>
      <c r="D228" s="1" t="n">
        <v>6</v>
      </c>
      <c r="E228" s="1" t="n">
        <v>0.6899999999999999</v>
      </c>
      <c r="F228" s="1" t="n">
        <v>5</v>
      </c>
      <c r="G228" s="1" t="n">
        <v>2.9</v>
      </c>
      <c r="H228" s="1" t="n">
        <v>502</v>
      </c>
      <c r="I228" s="1" t="n">
        <v>0.92</v>
      </c>
      <c r="J228" t="n">
        <v>28110510</v>
      </c>
    </row>
    <row r="229" ht="15.75" customHeight="1" s="201">
      <c r="A229" s="1" t="inlineStr">
        <is>
          <t>Babyfood, dinner, beef lasagna, toddler</t>
        </is>
      </c>
      <c r="C229" s="1" t="n">
        <v>10</v>
      </c>
      <c r="D229" s="1" t="n">
        <v>6</v>
      </c>
      <c r="E229" s="1" t="n">
        <v>0.87</v>
      </c>
      <c r="F229" s="1" t="n">
        <v>4.2</v>
      </c>
      <c r="G229" s="1" t="n">
        <v>2.1</v>
      </c>
      <c r="H229" s="1" t="n">
        <v>1163</v>
      </c>
      <c r="I229" s="1" t="n">
        <v>0.7</v>
      </c>
      <c r="J229" t="n">
        <v>28110510</v>
      </c>
    </row>
    <row r="230" ht="15.75" customHeight="1" s="201">
      <c r="A230" s="1" t="inlineStr">
        <is>
          <t>Babyfood, dinner, beef noodle, junior</t>
        </is>
      </c>
      <c r="C230" s="1" t="n">
        <v>7.3</v>
      </c>
      <c r="D230" s="1" t="n">
        <v>12</v>
      </c>
      <c r="E230" s="1" t="n">
        <v>0.43</v>
      </c>
      <c r="F230" s="1" t="n">
        <v>2.5</v>
      </c>
      <c r="G230" s="1" t="n">
        <v>1.9</v>
      </c>
      <c r="H230" s="1" t="n">
        <v>656</v>
      </c>
      <c r="I230" s="1" t="n">
        <v>0.4</v>
      </c>
      <c r="J230" t="n">
        <v>28110510</v>
      </c>
    </row>
    <row r="231" ht="15.75" customHeight="1" s="201">
      <c r="A231" s="1" t="inlineStr">
        <is>
          <t>Babyfood, dinner, beef noodle, strained</t>
        </is>
      </c>
      <c r="C231" s="1" t="n">
        <v>8.18</v>
      </c>
      <c r="D231" s="1" t="n">
        <v>8</v>
      </c>
      <c r="E231" s="1" t="n">
        <v>0.41</v>
      </c>
      <c r="F231" s="1" t="n">
        <v>2.44</v>
      </c>
      <c r="G231" s="1" t="n">
        <v>2.26</v>
      </c>
      <c r="H231" s="1" t="n">
        <v>716</v>
      </c>
      <c r="I231" s="1" t="n">
        <v>0.6</v>
      </c>
      <c r="J231" t="n">
        <v>28110510</v>
      </c>
    </row>
    <row r="232" ht="15.75" customHeight="1" s="201">
      <c r="A232" s="1" t="inlineStr">
        <is>
          <t>Babyfood, dinner, beef with vegetables</t>
        </is>
      </c>
      <c r="C232" s="1" t="n">
        <v>6.36</v>
      </c>
      <c r="D232" s="1" t="n">
        <v>11</v>
      </c>
      <c r="E232" s="1" t="n">
        <v>0.33</v>
      </c>
      <c r="F232" s="1" t="n">
        <v>2.03</v>
      </c>
      <c r="G232" s="1" t="n">
        <v>6.93</v>
      </c>
      <c r="H232" s="1" t="n">
        <v>4436</v>
      </c>
      <c r="I232" s="1" t="n">
        <v>0.35</v>
      </c>
      <c r="J232" t="n">
        <v>28110510</v>
      </c>
    </row>
    <row r="233" ht="15.75" customHeight="1" s="201">
      <c r="A233" s="1" t="inlineStr">
        <is>
          <t>Babyfood, dinner, broccoli and chicken, junior</t>
        </is>
      </c>
      <c r="C233" s="1" t="n">
        <v>6.34</v>
      </c>
      <c r="D233" s="1" t="n">
        <v>69</v>
      </c>
      <c r="E233" s="1" t="n">
        <v>0.52</v>
      </c>
      <c r="F233" s="1" t="n">
        <v>3.59</v>
      </c>
      <c r="G233" s="1" t="n">
        <v>2.48</v>
      </c>
      <c r="H233" s="1" t="n">
        <v>474</v>
      </c>
      <c r="I233" s="1" t="n">
        <v>0.39</v>
      </c>
      <c r="J233" t="n">
        <v>27446315</v>
      </c>
    </row>
    <row r="234" ht="15.75" customHeight="1" s="201">
      <c r="A234" s="1" t="inlineStr">
        <is>
          <t>Babyfood, dinner, chicken and rice</t>
        </is>
      </c>
      <c r="C234" s="1" t="n">
        <v>9.199999999999999</v>
      </c>
      <c r="D234" s="1" t="n">
        <v>3</v>
      </c>
      <c r="E234" s="1" t="n">
        <v>0.2</v>
      </c>
      <c r="F234" s="1" t="n">
        <v>1.6</v>
      </c>
      <c r="G234" s="1" t="n">
        <v>0.9</v>
      </c>
      <c r="H234" s="1" t="n">
        <v>1169</v>
      </c>
      <c r="I234" s="1" t="n">
        <v>0.25</v>
      </c>
      <c r="J234" t="n">
        <v>27446315</v>
      </c>
    </row>
    <row r="235" ht="15.75" customHeight="1" s="201">
      <c r="A235" s="1" t="inlineStr">
        <is>
          <t>Babyfood, dinner, chicken noodle, junior</t>
        </is>
      </c>
      <c r="C235" s="1" t="n">
        <v>7.8</v>
      </c>
      <c r="D235" s="1" t="n">
        <v>15</v>
      </c>
      <c r="E235" s="1" t="n">
        <v>0.49</v>
      </c>
      <c r="F235" s="1" t="n">
        <v>3.53</v>
      </c>
      <c r="G235" s="1" t="n">
        <v>3.23</v>
      </c>
      <c r="H235" s="1" t="n">
        <v>1729</v>
      </c>
      <c r="I235" s="1" t="n">
        <v>0.41</v>
      </c>
      <c r="J235" t="n">
        <v>27446315</v>
      </c>
    </row>
    <row r="236" ht="15.75" customHeight="1" s="201">
      <c r="A236" s="1" t="inlineStr">
        <is>
          <t>Babyfood, dinner, chicken noodle, strained</t>
        </is>
      </c>
      <c r="C236" s="1" t="n">
        <v>7.81</v>
      </c>
      <c r="D236" s="1" t="n">
        <v>15</v>
      </c>
      <c r="E236" s="1" t="n">
        <v>0.49</v>
      </c>
      <c r="F236" s="1" t="n">
        <v>3.53</v>
      </c>
      <c r="G236" s="1" t="n">
        <v>3.22</v>
      </c>
      <c r="H236" s="1" t="n">
        <v>2182</v>
      </c>
      <c r="I236" s="1" t="n">
        <v>0.41</v>
      </c>
      <c r="J236" t="n">
        <v>27446315</v>
      </c>
    </row>
    <row r="237" ht="15.75" customHeight="1" s="201">
      <c r="A237" s="1" t="inlineStr">
        <is>
          <t>Babyfood, dinner, chicken soup, strained</t>
        </is>
      </c>
      <c r="C237" s="1" t="n">
        <v>7.2</v>
      </c>
      <c r="D237" s="1" t="n">
        <v>5</v>
      </c>
      <c r="E237" s="1" t="n">
        <v>0.27</v>
      </c>
      <c r="F237" s="1" t="n">
        <v>1.6</v>
      </c>
      <c r="G237" s="1" t="n">
        <v>1.7</v>
      </c>
      <c r="H237" s="1" t="n">
        <v>1384</v>
      </c>
      <c r="I237" s="1" t="n">
        <v>0.22</v>
      </c>
      <c r="J237" t="n">
        <v>27446315</v>
      </c>
    </row>
    <row r="238" ht="15.75" customHeight="1" s="201">
      <c r="A238" s="1" t="inlineStr">
        <is>
          <t>Babyfood, dinner, chicken stew, toddler</t>
        </is>
      </c>
      <c r="C238" s="1" t="n">
        <v>6.4</v>
      </c>
      <c r="D238" s="1" t="n">
        <v>16</v>
      </c>
      <c r="E238" s="1" t="n">
        <v>0.66</v>
      </c>
      <c r="F238" s="1" t="n">
        <v>5.2</v>
      </c>
      <c r="G238" s="1" t="n">
        <v>3.7</v>
      </c>
      <c r="H238" s="1" t="n">
        <v>1010</v>
      </c>
      <c r="I238" s="1" t="n">
        <v>0.41</v>
      </c>
      <c r="J238" t="n">
        <v>27446315</v>
      </c>
    </row>
    <row r="239" ht="15.75" customHeight="1" s="201">
      <c r="A239" s="1" t="inlineStr">
        <is>
          <t>Babyfood, dinner, macaroni and cheese, junior</t>
        </is>
      </c>
      <c r="C239" s="1" t="n">
        <v>8.199999999999999</v>
      </c>
      <c r="D239" s="1" t="n">
        <v>11</v>
      </c>
      <c r="E239" s="1" t="n">
        <v>0.3</v>
      </c>
      <c r="F239" s="1" t="n">
        <v>2.6</v>
      </c>
      <c r="G239" s="1" t="n">
        <v>2</v>
      </c>
      <c r="H239" s="1" t="n">
        <v>106</v>
      </c>
      <c r="I239" s="1" t="n">
        <v>0.32</v>
      </c>
      <c r="J239" t="n">
        <v>58145119</v>
      </c>
    </row>
    <row r="240" ht="15.75" customHeight="1" s="201">
      <c r="A240" s="1" t="inlineStr">
        <is>
          <t>Babyfood, dinner, macaroni and cheese, strained</t>
        </is>
      </c>
      <c r="C240" s="1" t="n">
        <v>8.949999999999999</v>
      </c>
      <c r="D240" s="1" t="n">
        <v>11</v>
      </c>
      <c r="E240" s="1" t="n">
        <v>0.21</v>
      </c>
      <c r="F240" s="1" t="n">
        <v>3.14</v>
      </c>
      <c r="G240" s="1" t="n">
        <v>2.11</v>
      </c>
      <c r="H240" s="1" t="n">
        <v>56</v>
      </c>
      <c r="I240" s="1" t="n">
        <v>0.4</v>
      </c>
      <c r="J240" t="n">
        <v>58145119</v>
      </c>
    </row>
    <row r="241" ht="15.75" customHeight="1" s="201">
      <c r="A241" s="1" t="inlineStr">
        <is>
          <t>Babyfood, dinner, macaroni and tomato and beef, junior</t>
        </is>
      </c>
      <c r="C241" s="1" t="n">
        <v>9.4</v>
      </c>
      <c r="D241" s="1" t="n">
        <v>9</v>
      </c>
      <c r="E241" s="1" t="n">
        <v>0.36</v>
      </c>
      <c r="F241" s="1" t="n">
        <v>2.5</v>
      </c>
      <c r="G241" s="1" t="n">
        <v>1.1</v>
      </c>
      <c r="H241" s="1" t="n">
        <v>691</v>
      </c>
      <c r="I241" s="1" t="n">
        <v>0.36</v>
      </c>
      <c r="J241" t="n">
        <v>28110510</v>
      </c>
    </row>
    <row r="242" ht="15.75" customHeight="1" s="201">
      <c r="A242" s="1" t="inlineStr">
        <is>
          <t>Babyfood, dinner, macaroni and tomato and beef, strained</t>
        </is>
      </c>
      <c r="C242" s="1" t="n">
        <v>9.449999999999999</v>
      </c>
      <c r="D242" s="1" t="n">
        <v>9</v>
      </c>
      <c r="E242" s="1" t="n">
        <v>0.46</v>
      </c>
      <c r="F242" s="1" t="n">
        <v>2.36</v>
      </c>
      <c r="G242" s="1" t="n">
        <v>1.47</v>
      </c>
      <c r="H242" s="1" t="n">
        <v>878</v>
      </c>
      <c r="I242" s="1" t="n">
        <v>0.54</v>
      </c>
      <c r="J242" t="n">
        <v>28110510</v>
      </c>
    </row>
    <row r="243" ht="15.75" customHeight="1" s="201">
      <c r="A243" s="1" t="inlineStr">
        <is>
          <t>Babyfood, dinner, macaroni, beef and tomato sauce, toddler</t>
        </is>
      </c>
      <c r="C243" s="1" t="n">
        <v>11.53</v>
      </c>
      <c r="D243" s="1" t="n">
        <v>10</v>
      </c>
      <c r="E243" s="1" t="n">
        <v>0.8</v>
      </c>
      <c r="F243" s="1" t="n">
        <v>4.34</v>
      </c>
      <c r="G243" s="1" t="n">
        <v>1.9</v>
      </c>
      <c r="H243" s="1" t="n">
        <v>60</v>
      </c>
      <c r="I243" s="1" t="n">
        <v>0.48</v>
      </c>
      <c r="J243" t="n">
        <v>28110510</v>
      </c>
    </row>
    <row r="244" ht="15.75" customHeight="1" s="201">
      <c r="A244" s="1" t="inlineStr">
        <is>
          <t>Babyfood, dinner, mixed vegetable, junior</t>
        </is>
      </c>
      <c r="C244" s="1" t="n">
        <v>7.88</v>
      </c>
      <c r="D244" s="1" t="n">
        <v>11</v>
      </c>
      <c r="E244" s="1" t="n">
        <v>0.31</v>
      </c>
      <c r="F244" s="1" t="n">
        <v>1.01</v>
      </c>
      <c r="G244" s="1" t="n">
        <v>0.11</v>
      </c>
      <c r="H244" s="1" t="n">
        <v>9246</v>
      </c>
      <c r="I244" s="1" t="n">
        <v>0.24</v>
      </c>
      <c r="J244" t="n">
        <v>28110510</v>
      </c>
    </row>
    <row r="245" ht="15.75" customHeight="1" s="201">
      <c r="A245" s="1" t="inlineStr">
        <is>
          <t>Babyfood, dinner, mixed vegetable, strained</t>
        </is>
      </c>
      <c r="C245" s="1" t="n">
        <v>9.5</v>
      </c>
      <c r="D245" s="1" t="n">
        <v>8</v>
      </c>
      <c r="E245" s="1" t="n">
        <v>0.33</v>
      </c>
      <c r="F245" s="1" t="n">
        <v>1.2</v>
      </c>
      <c r="G245" s="1" t="n">
        <v>0.1</v>
      </c>
      <c r="H245" s="1" t="n">
        <v>2728</v>
      </c>
      <c r="I245" s="1" t="n">
        <v>0.16</v>
      </c>
      <c r="J245" t="n">
        <v>28110510</v>
      </c>
    </row>
    <row r="246" ht="15.75" customHeight="1" s="201">
      <c r="A246" s="1" t="inlineStr">
        <is>
          <t>Babyfood, dinner, pasta with vegetables</t>
        </is>
      </c>
      <c r="C246" s="1" t="n">
        <v>8.4</v>
      </c>
      <c r="D246" s="1" t="n">
        <v>9</v>
      </c>
      <c r="E246" s="1" t="n">
        <v>0.5</v>
      </c>
      <c r="F246" s="1" t="n">
        <v>1.7</v>
      </c>
      <c r="G246" s="1" t="n">
        <v>2.1</v>
      </c>
      <c r="H246" s="1" t="n">
        <v>555</v>
      </c>
      <c r="I246" s="1" t="n">
        <v>0.4</v>
      </c>
      <c r="J246" t="n">
        <v>75142550</v>
      </c>
    </row>
    <row r="247" ht="15.75" customHeight="1" s="201">
      <c r="A247" s="1" t="inlineStr">
        <is>
          <t>Babyfood, dinner, spaghetti and tomato and meat, junior</t>
        </is>
      </c>
      <c r="C247" s="1" t="n">
        <v>11.42</v>
      </c>
      <c r="D247" s="1" t="n">
        <v>27</v>
      </c>
      <c r="E247" s="1" t="n">
        <v>0.53</v>
      </c>
      <c r="F247" s="1" t="n">
        <v>2.57</v>
      </c>
      <c r="G247" s="1" t="n">
        <v>1.37</v>
      </c>
      <c r="H247" s="1" t="n">
        <v>1255</v>
      </c>
      <c r="I247" s="1" t="n">
        <v>0.53</v>
      </c>
      <c r="J247" t="n">
        <v>28160310</v>
      </c>
    </row>
    <row r="248" ht="15.75" customHeight="1" s="201">
      <c r="A248" s="1" t="inlineStr">
        <is>
          <t>Babyfood, dinner, spaghetti and tomato and meat, toddler</t>
        </is>
      </c>
      <c r="C248" s="1" t="n">
        <v>10.8</v>
      </c>
      <c r="D248" s="1" t="n">
        <v>32</v>
      </c>
      <c r="E248" s="1" t="n">
        <v>0.9</v>
      </c>
      <c r="F248" s="1" t="n">
        <v>5.3</v>
      </c>
      <c r="G248" s="1" t="n">
        <v>1</v>
      </c>
      <c r="H248" s="1" t="n">
        <v>443</v>
      </c>
      <c r="I248" s="1" t="n">
        <v>0.48</v>
      </c>
      <c r="J248" t="n">
        <v>28160310</v>
      </c>
    </row>
    <row r="249" ht="15.75" customHeight="1" s="201">
      <c r="A249" s="1" t="inlineStr">
        <is>
          <t>Babyfood, dinner, sweet potatoes and chicken, strained</t>
        </is>
      </c>
      <c r="C249" s="1" t="n">
        <v>11.04</v>
      </c>
      <c r="D249" s="1" t="n">
        <v>6</v>
      </c>
      <c r="E249" s="1" t="n">
        <v>0.45</v>
      </c>
      <c r="F249" s="1" t="n">
        <v>2.51</v>
      </c>
      <c r="G249" s="1" t="n">
        <v>2.17</v>
      </c>
      <c r="H249" s="1" t="n">
        <v>4318</v>
      </c>
      <c r="I249" s="1" t="n">
        <v>0.37</v>
      </c>
      <c r="J249" t="n">
        <v>27446315</v>
      </c>
    </row>
    <row r="250" ht="15.75" customHeight="1" s="201">
      <c r="A250" s="1" t="inlineStr">
        <is>
          <t>Babyfood, dinner, turkey and rice, junior</t>
        </is>
      </c>
      <c r="C250" s="1" t="n">
        <v>9.57</v>
      </c>
      <c r="D250" s="1" t="n">
        <v>8</v>
      </c>
      <c r="E250" s="1" t="n">
        <v>0.41</v>
      </c>
      <c r="F250" s="1" t="n">
        <v>2.37</v>
      </c>
      <c r="G250" s="1" t="n">
        <v>0.92</v>
      </c>
      <c r="H250" s="1" t="n">
        <v>1886</v>
      </c>
      <c r="I250" s="1" t="n">
        <v>0.47</v>
      </c>
      <c r="J250" t="n">
        <v>27642110</v>
      </c>
    </row>
    <row r="251" ht="15.75" customHeight="1" s="201">
      <c r="A251" s="1" t="inlineStr">
        <is>
          <t>Babyfood, dinner, turkey and rice, strained</t>
        </is>
      </c>
      <c r="C251" s="1" t="n">
        <v>7.94</v>
      </c>
      <c r="D251" s="1" t="n">
        <v>4</v>
      </c>
      <c r="E251" s="1" t="n">
        <v>0.29</v>
      </c>
      <c r="F251" s="1" t="n">
        <v>2.27</v>
      </c>
      <c r="G251" s="1" t="n">
        <v>1.24</v>
      </c>
      <c r="H251" s="1" t="n">
        <v>1622</v>
      </c>
      <c r="I251" s="1" t="n">
        <v>0.4</v>
      </c>
      <c r="J251" t="n">
        <v>27642110</v>
      </c>
    </row>
    <row r="252" ht="15.75" customHeight="1" s="201">
      <c r="A252" s="1" t="inlineStr">
        <is>
          <t>Babyfood, dinner, turkey, rice, and vegetables, toddler</t>
        </is>
      </c>
      <c r="C252" s="1" t="n">
        <v>7.5</v>
      </c>
      <c r="D252" s="1" t="n">
        <v>3</v>
      </c>
      <c r="E252" s="1" t="n">
        <v>0.4</v>
      </c>
      <c r="F252" s="1" t="n">
        <v>3.8</v>
      </c>
      <c r="G252" s="1" t="n">
        <v>1.6</v>
      </c>
      <c r="H252" s="1" t="n">
        <v>2268</v>
      </c>
      <c r="I252" s="1" t="n">
        <v>0.61</v>
      </c>
      <c r="J252" t="n">
        <v>27642110</v>
      </c>
    </row>
    <row r="253" ht="15.75" customHeight="1" s="201">
      <c r="A253" s="1" t="inlineStr">
        <is>
          <t>Babyfood, dinner, vegetables and beef, junior</t>
        </is>
      </c>
      <c r="C253" s="1" t="n">
        <v>8.84</v>
      </c>
      <c r="D253" s="1" t="n">
        <v>6</v>
      </c>
      <c r="E253" s="1" t="n">
        <v>0.35</v>
      </c>
      <c r="F253" s="1" t="n">
        <v>2.21</v>
      </c>
      <c r="G253" s="1" t="n">
        <v>3.6</v>
      </c>
      <c r="H253" s="1" t="n">
        <v>4926</v>
      </c>
      <c r="I253" s="1" t="n">
        <v>0.38</v>
      </c>
      <c r="J253" t="n">
        <v>28110510</v>
      </c>
    </row>
    <row r="254" ht="15.75" customHeight="1" s="201">
      <c r="A254" s="1" t="inlineStr">
        <is>
          <t>Babyfood, dinner, vegetables and beef, strained</t>
        </is>
      </c>
      <c r="C254" s="1" t="n">
        <v>8.84</v>
      </c>
      <c r="D254" s="1" t="n">
        <v>6</v>
      </c>
      <c r="E254" s="1" t="n">
        <v>0.35</v>
      </c>
      <c r="F254" s="1" t="n">
        <v>2.21</v>
      </c>
      <c r="G254" s="1" t="n">
        <v>3.6</v>
      </c>
      <c r="H254" s="1" t="n">
        <v>4926</v>
      </c>
      <c r="I254" s="1" t="n">
        <v>0.38</v>
      </c>
      <c r="J254" t="n">
        <v>28110510</v>
      </c>
    </row>
    <row r="255" ht="15.75" customHeight="1" s="201">
      <c r="A255" s="1" t="inlineStr">
        <is>
          <t>Babyfood, dinner, vegetables and chicken, junior</t>
        </is>
      </c>
      <c r="C255" s="1" t="n">
        <v>8.66</v>
      </c>
      <c r="D255" s="1" t="n">
        <v>3</v>
      </c>
      <c r="E255" s="1" t="n">
        <v>0.33</v>
      </c>
      <c r="F255" s="1" t="n">
        <v>2.04</v>
      </c>
      <c r="G255" s="1" t="n">
        <v>1.12</v>
      </c>
      <c r="H255" s="1" t="n">
        <v>2612</v>
      </c>
      <c r="I255" s="1" t="n">
        <v>0.3</v>
      </c>
      <c r="J255" t="n">
        <v>27446315</v>
      </c>
    </row>
    <row r="256" ht="15.75" customHeight="1" s="201">
      <c r="A256" s="1" t="inlineStr">
        <is>
          <t>Babyfood, dinner, vegetables and dumplings and beef, junior</t>
        </is>
      </c>
      <c r="C256" s="1" t="n">
        <v>8</v>
      </c>
      <c r="D256" s="1" t="n">
        <v>7</v>
      </c>
      <c r="E256" s="1" t="n">
        <v>0.47</v>
      </c>
      <c r="F256" s="1" t="n">
        <v>2.1</v>
      </c>
      <c r="G256" s="1" t="n">
        <v>0.8</v>
      </c>
      <c r="H256" s="1" t="n">
        <v>660</v>
      </c>
      <c r="I256" s="1" t="n">
        <v>0.33</v>
      </c>
      <c r="J256" t="n">
        <v>28110510</v>
      </c>
    </row>
    <row r="257" ht="15.75" customHeight="1" s="201">
      <c r="A257" s="1" t="inlineStr">
        <is>
          <t>Babyfood, dinner, vegetables and dumplings and beef, strained</t>
        </is>
      </c>
      <c r="C257" s="1" t="n">
        <v>7.7</v>
      </c>
      <c r="D257" s="1" t="n">
        <v>7</v>
      </c>
      <c r="E257" s="1" t="n">
        <v>0.39</v>
      </c>
      <c r="F257" s="1" t="n">
        <v>2</v>
      </c>
      <c r="G257" s="1" t="n">
        <v>0.9</v>
      </c>
      <c r="H257" s="1" t="n">
        <v>416</v>
      </c>
      <c r="I257" s="1" t="n">
        <v>0.4</v>
      </c>
      <c r="J257" t="n">
        <v>28110510</v>
      </c>
    </row>
    <row r="258" ht="15.75" customHeight="1" s="201">
      <c r="A258" s="1" t="inlineStr">
        <is>
          <t>Babyfood, dinner, vegetables and lamb, junior</t>
        </is>
      </c>
      <c r="C258" s="1" t="n">
        <v>7.1</v>
      </c>
      <c r="D258" s="1" t="n">
        <v>4</v>
      </c>
      <c r="E258" s="1" t="n">
        <v>0.34</v>
      </c>
      <c r="F258" s="1" t="n">
        <v>2.1</v>
      </c>
      <c r="G258" s="1" t="n">
        <v>1.7</v>
      </c>
      <c r="H258" s="1" t="n">
        <v>1483</v>
      </c>
      <c r="I258" s="1" t="n">
        <v>0.22</v>
      </c>
      <c r="J258" t="n">
        <v>76407010</v>
      </c>
    </row>
    <row r="259" ht="15.75" customHeight="1" s="201">
      <c r="A259" s="1" t="inlineStr">
        <is>
          <t>Babyfood, dinner, vegetables and noodles and turkey, junior</t>
        </is>
      </c>
      <c r="C259" s="1" t="n">
        <v>7.6</v>
      </c>
      <c r="D259" s="1" t="n">
        <v>3</v>
      </c>
      <c r="E259" s="1" t="n">
        <v>0.26</v>
      </c>
      <c r="F259" s="1" t="n">
        <v>1.8</v>
      </c>
      <c r="G259" s="1" t="n">
        <v>1.5</v>
      </c>
      <c r="H259" s="1" t="n">
        <v>994</v>
      </c>
      <c r="I259" s="1" t="n">
        <v>0.3</v>
      </c>
      <c r="J259" t="n">
        <v>27642110</v>
      </c>
    </row>
    <row r="260" ht="15.75" customHeight="1" s="201">
      <c r="A260" s="1" t="inlineStr">
        <is>
          <t>Babyfood, dinner, vegetables and noodles and turkey, strained</t>
        </is>
      </c>
      <c r="C260" s="1" t="n">
        <v>6.8</v>
      </c>
      <c r="D260" s="1" t="n">
        <v>2</v>
      </c>
      <c r="E260" s="1" t="n">
        <v>0.19</v>
      </c>
      <c r="F260" s="1" t="n">
        <v>1.2</v>
      </c>
      <c r="G260" s="1" t="n">
        <v>1.2</v>
      </c>
      <c r="H260" s="1" t="n">
        <v>991</v>
      </c>
      <c r="I260" s="1" t="n">
        <v>0.27</v>
      </c>
      <c r="J260" t="n">
        <v>27642110</v>
      </c>
    </row>
    <row r="261" ht="15.75" customHeight="1" s="201">
      <c r="A261" s="1" t="inlineStr">
        <is>
          <t>Babyfood, dinner, vegetables and turkey, junior</t>
        </is>
      </c>
      <c r="C261" s="1" t="n">
        <v>7.55</v>
      </c>
      <c r="D261" s="1" t="n">
        <v>7</v>
      </c>
      <c r="E261" s="1" t="n">
        <v>0.36</v>
      </c>
      <c r="F261" s="1" t="n">
        <v>1.72</v>
      </c>
      <c r="G261" s="1" t="n">
        <v>1.74</v>
      </c>
      <c r="H261" s="1" t="n">
        <v>4325</v>
      </c>
      <c r="I261" s="1" t="n">
        <v>0.3</v>
      </c>
      <c r="J261" t="n">
        <v>27642110</v>
      </c>
    </row>
    <row r="262" ht="15.75" customHeight="1" s="201">
      <c r="A262" s="1" t="inlineStr">
        <is>
          <t>Babyfood, dinner, vegetables and turkey, strained</t>
        </is>
      </c>
      <c r="C262" s="1" t="n">
        <v>7.62</v>
      </c>
      <c r="D262" s="1" t="n">
        <v>10</v>
      </c>
      <c r="E262" s="1" t="n">
        <v>0.37</v>
      </c>
      <c r="F262" s="1" t="n">
        <v>2.32</v>
      </c>
      <c r="G262" s="1" t="n">
        <v>0.9</v>
      </c>
      <c r="H262" s="1" t="n">
        <v>4396</v>
      </c>
      <c r="I262" s="1" t="n">
        <v>0.7</v>
      </c>
      <c r="J262" t="n">
        <v>27642110</v>
      </c>
    </row>
    <row r="263" ht="15.75" customHeight="1" s="201">
      <c r="A263" s="1" t="inlineStr">
        <is>
          <t>Babyfood, dinner, vegetables chicken, strained</t>
        </is>
      </c>
      <c r="C263" s="1" t="n">
        <v>8.42</v>
      </c>
      <c r="D263" s="1" t="n">
        <v>5</v>
      </c>
      <c r="E263" s="1" t="n">
        <v>0.53</v>
      </c>
      <c r="F263" s="1" t="n">
        <v>2.47</v>
      </c>
      <c r="G263" s="1" t="n">
        <v>1.73</v>
      </c>
      <c r="H263" s="1" t="n">
        <v>4132</v>
      </c>
      <c r="I263" s="1" t="n">
        <v>0.48</v>
      </c>
      <c r="J263" t="n">
        <v>27446315</v>
      </c>
    </row>
    <row r="264" ht="15.75" customHeight="1" s="201">
      <c r="A264" s="1" t="inlineStr">
        <is>
          <t>Babyfood, dinner, vegetables, noodles and chicken, junior</t>
        </is>
      </c>
      <c r="C264" s="1" t="n">
        <v>9.1</v>
      </c>
      <c r="D264" s="1" t="n">
        <v>3</v>
      </c>
      <c r="E264" s="1" t="n">
        <v>0.49</v>
      </c>
      <c r="F264" s="1" t="n">
        <v>1.7</v>
      </c>
      <c r="G264" s="1" t="n">
        <v>2.2</v>
      </c>
      <c r="H264" s="1" t="n">
        <v>1051</v>
      </c>
      <c r="I264" s="1" t="n">
        <v>0.32</v>
      </c>
      <c r="J264" t="n">
        <v>27446315</v>
      </c>
    </row>
    <row r="265" ht="15.75" customHeight="1" s="201">
      <c r="A265" s="1" t="inlineStr">
        <is>
          <t>Babyfood, dinner, vegetables, noodles and chicken, strained</t>
        </is>
      </c>
      <c r="C265" s="1" t="n">
        <v>7.9</v>
      </c>
      <c r="D265" s="1" t="n">
        <v>3</v>
      </c>
      <c r="E265" s="1" t="n">
        <v>0.35</v>
      </c>
      <c r="F265" s="1" t="n">
        <v>2</v>
      </c>
      <c r="G265" s="1" t="n">
        <v>2.5</v>
      </c>
      <c r="H265" s="1" t="n">
        <v>1417</v>
      </c>
      <c r="I265" s="1" t="n">
        <v>0.25</v>
      </c>
      <c r="J265" t="n">
        <v>27446315</v>
      </c>
    </row>
    <row r="266" ht="15.75" customHeight="1" s="201">
      <c r="A266" s="1" t="inlineStr">
        <is>
          <t>Babyfood, finger snacks, GERBER, GRADUATES, PUFFS, apple and cinnamon</t>
        </is>
      </c>
      <c r="C266" s="1" t="n">
        <v>85.79000000000001</v>
      </c>
      <c r="D266" s="1" t="n">
        <v>16</v>
      </c>
      <c r="E266" s="1" t="n">
        <v>24.74</v>
      </c>
      <c r="F266" s="1" t="n">
        <v>6.19</v>
      </c>
      <c r="G266" s="1" t="n">
        <v>2.3</v>
      </c>
      <c r="H266" s="1" t="n">
        <v>13</v>
      </c>
      <c r="I266" s="1" t="n">
        <v>17.46</v>
      </c>
      <c r="J266" t="n">
        <v>54350010</v>
      </c>
    </row>
    <row r="267" ht="15.75" customHeight="1" s="201">
      <c r="A267" s="1" t="inlineStr">
        <is>
          <t>Babyfood, fortified cereal bar, fruit filling</t>
        </is>
      </c>
      <c r="C267" s="1" t="n">
        <v>68.63</v>
      </c>
      <c r="D267" s="1" t="n">
        <v>65</v>
      </c>
      <c r="E267" s="1" t="n">
        <v>13.16</v>
      </c>
      <c r="F267" s="1" t="n">
        <v>5.43</v>
      </c>
      <c r="G267" s="1" t="n">
        <v>5.3</v>
      </c>
      <c r="H267" s="1" t="n">
        <v>277</v>
      </c>
      <c r="I267" s="1" t="n">
        <v>0.59</v>
      </c>
      <c r="J267" t="n">
        <v>91708030</v>
      </c>
    </row>
    <row r="268" ht="15.75" customHeight="1" s="201">
      <c r="A268" s="1" t="inlineStr">
        <is>
          <t>Babyfood, fruit and vegetable, apple and sweet potato</t>
        </is>
      </c>
      <c r="C268" s="1" t="n">
        <v>15.3</v>
      </c>
      <c r="D268" s="1" t="n">
        <v>2</v>
      </c>
      <c r="E268" s="1" t="n">
        <v>0.2</v>
      </c>
      <c r="F268" s="1" t="n">
        <v>0.3</v>
      </c>
      <c r="G268" s="1" t="n">
        <v>0.22</v>
      </c>
      <c r="H268" s="1" t="n">
        <v>2050</v>
      </c>
      <c r="I268" s="1" t="n">
        <v>0.1</v>
      </c>
      <c r="J268" t="n">
        <v>91708030</v>
      </c>
    </row>
    <row r="269" ht="15.75" customHeight="1" s="201">
      <c r="A269" s="1" t="inlineStr">
        <is>
          <t>Babyfood, fruit dessert, mango with tapioca</t>
        </is>
      </c>
      <c r="C269" s="1" t="n">
        <v>19</v>
      </c>
      <c r="D269" s="1" t="n">
        <v>8</v>
      </c>
      <c r="E269" s="1" t="n">
        <v>0.2</v>
      </c>
      <c r="F269" s="1" t="n">
        <v>0.3</v>
      </c>
      <c r="G269" s="1" t="n">
        <v>0.2</v>
      </c>
      <c r="H269" s="1" t="n">
        <v>450</v>
      </c>
      <c r="I269" s="1" t="n">
        <v>0.03</v>
      </c>
      <c r="J269" t="n">
        <v>91708030</v>
      </c>
    </row>
    <row r="270" ht="15.75" customHeight="1" s="201">
      <c r="A270" s="1" t="inlineStr">
        <is>
          <t>Babyfood, fruit supreme dessert</t>
        </is>
      </c>
      <c r="C270" s="1" t="n">
        <v>17.18</v>
      </c>
      <c r="D270" s="1" t="n">
        <v>6</v>
      </c>
      <c r="E270" s="1" t="n">
        <v>0.17</v>
      </c>
      <c r="F270" s="1" t="n">
        <v>0.5</v>
      </c>
      <c r="G270" s="1" t="n">
        <v>0.2</v>
      </c>
      <c r="H270" s="1" t="n">
        <v>50</v>
      </c>
      <c r="I270" s="1" t="n">
        <v>0.08</v>
      </c>
      <c r="J270" t="n">
        <v>91708030</v>
      </c>
    </row>
    <row r="271" ht="15.75" customHeight="1" s="201">
      <c r="A271" s="1" t="inlineStr">
        <is>
          <t>Babyfood, fruit, apple and blueberry, junior</t>
        </is>
      </c>
      <c r="C271" s="1" t="n">
        <v>16.6</v>
      </c>
      <c r="D271" s="1" t="n">
        <v>3</v>
      </c>
      <c r="E271" s="1" t="n">
        <v>0.4</v>
      </c>
      <c r="F271" s="1" t="n">
        <v>0.2</v>
      </c>
      <c r="G271" s="1" t="n">
        <v>0.2</v>
      </c>
      <c r="H271" s="1" t="n">
        <v>41</v>
      </c>
      <c r="I271" s="1" t="n">
        <v>0.04</v>
      </c>
      <c r="J271" t="n">
        <v>91708030</v>
      </c>
    </row>
    <row r="272" ht="15.75" customHeight="1" s="201">
      <c r="A272" s="1" t="inlineStr">
        <is>
          <t>Babyfood, fruit, apple and blueberry, strained</t>
        </is>
      </c>
      <c r="C272" s="1" t="n">
        <v>16.3</v>
      </c>
      <c r="D272" s="1" t="n">
        <v>4</v>
      </c>
      <c r="E272" s="1" t="n">
        <v>0.2</v>
      </c>
      <c r="F272" s="1" t="n">
        <v>0.2</v>
      </c>
      <c r="G272" s="1" t="n">
        <v>0.2</v>
      </c>
      <c r="H272" s="1" t="n">
        <v>20</v>
      </c>
      <c r="I272" s="1" t="n">
        <v>0.03</v>
      </c>
      <c r="J272" t="n">
        <v>91708030</v>
      </c>
    </row>
    <row r="273" ht="15.75" customHeight="1" s="201">
      <c r="A273" s="1" t="inlineStr">
        <is>
          <t>Babyfood, fruit, apple and raspberry, junior</t>
        </is>
      </c>
      <c r="C273" s="1" t="n">
        <v>15.4</v>
      </c>
      <c r="D273" s="1" t="n">
        <v>1</v>
      </c>
      <c r="E273" s="1" t="n">
        <v>0.22</v>
      </c>
      <c r="F273" s="1" t="n">
        <v>0.2</v>
      </c>
      <c r="G273" s="1" t="n">
        <v>0.2</v>
      </c>
      <c r="H273" s="1" t="n">
        <v>34</v>
      </c>
      <c r="I273" s="1" t="n">
        <v>0.03</v>
      </c>
      <c r="J273" t="n">
        <v>91708030</v>
      </c>
    </row>
    <row r="274" ht="15.75" customHeight="1" s="201">
      <c r="A274" s="1" t="inlineStr">
        <is>
          <t>Babyfood, fruit, apple and raspberry, strained</t>
        </is>
      </c>
      <c r="C274" s="1" t="n">
        <v>15.6</v>
      </c>
      <c r="D274" s="1" t="n">
        <v>1</v>
      </c>
      <c r="E274" s="1" t="n">
        <v>0.22</v>
      </c>
      <c r="F274" s="1" t="n">
        <v>0.2</v>
      </c>
      <c r="G274" s="1" t="n">
        <v>0.2</v>
      </c>
      <c r="H274" s="1" t="n">
        <v>22</v>
      </c>
      <c r="I274" s="1" t="n">
        <v>0.03</v>
      </c>
      <c r="J274" t="n">
        <v>91708030</v>
      </c>
    </row>
    <row r="275" ht="15.75" customHeight="1" s="201">
      <c r="A275" s="1" t="inlineStr">
        <is>
          <t>Babyfood, fruit, applesauce and apricots, junior</t>
        </is>
      </c>
      <c r="C275" s="1" t="n">
        <v>12.4</v>
      </c>
      <c r="D275" s="1" t="n">
        <v>1</v>
      </c>
      <c r="E275" s="1" t="n">
        <v>0.26</v>
      </c>
      <c r="F275" s="1" t="n">
        <v>0.2</v>
      </c>
      <c r="G275" s="1" t="n">
        <v>0.2</v>
      </c>
      <c r="H275" s="1" t="n">
        <v>33</v>
      </c>
      <c r="I275" s="1" t="n">
        <v>0.03</v>
      </c>
      <c r="J275" t="n">
        <v>91708030</v>
      </c>
    </row>
    <row r="276" ht="15.75" customHeight="1" s="201">
      <c r="A276" s="1" t="inlineStr">
        <is>
          <t>Babyfood, fruit, applesauce and apricots, strained</t>
        </is>
      </c>
      <c r="C276" s="1" t="n">
        <v>11.64</v>
      </c>
      <c r="D276" s="1" t="n">
        <v>2</v>
      </c>
      <c r="E276" s="1" t="n">
        <v>0.25</v>
      </c>
      <c r="F276" s="1" t="n">
        <v>0.2</v>
      </c>
      <c r="G276" s="1" t="n">
        <v>0.2</v>
      </c>
      <c r="H276" s="1" t="n">
        <v>339</v>
      </c>
      <c r="I276" s="1" t="n">
        <v>0.04</v>
      </c>
      <c r="J276" t="n">
        <v>91708030</v>
      </c>
    </row>
    <row r="277" ht="15.75" customHeight="1" s="201">
      <c r="A277" s="1" t="inlineStr">
        <is>
          <t>Babyfood, fruit, applesauce and cherries, junior</t>
        </is>
      </c>
      <c r="C277" s="1" t="n">
        <v>14.1</v>
      </c>
      <c r="D277" s="1" t="n">
        <v>0</v>
      </c>
      <c r="E277" s="1" t="n">
        <v>0.3</v>
      </c>
      <c r="F277" s="1" t="n">
        <v>0</v>
      </c>
      <c r="G277" s="1" t="n">
        <v>0</v>
      </c>
      <c r="H277" s="1" t="n">
        <v>45</v>
      </c>
      <c r="I277" s="1" t="n">
        <v>0.03</v>
      </c>
      <c r="J277" t="n">
        <v>91708030</v>
      </c>
    </row>
    <row r="278" ht="15.75" customHeight="1" s="201">
      <c r="A278" s="1" t="inlineStr">
        <is>
          <t>Babyfood, fruit, applesauce and cherries, strained</t>
        </is>
      </c>
      <c r="C278" s="1" t="n">
        <v>14.1</v>
      </c>
      <c r="D278" s="1" t="n">
        <v>0</v>
      </c>
      <c r="E278" s="1" t="n">
        <v>0.3</v>
      </c>
      <c r="F278" s="1" t="n">
        <v>0</v>
      </c>
      <c r="G278" s="1" t="n">
        <v>0</v>
      </c>
      <c r="H278" s="1" t="n">
        <v>45</v>
      </c>
      <c r="I278" s="1" t="n">
        <v>0.03</v>
      </c>
      <c r="J278" t="n">
        <v>91708030</v>
      </c>
    </row>
    <row r="279" ht="15.75" customHeight="1" s="201">
      <c r="A279" s="1" t="inlineStr">
        <is>
          <t>Babyfood, fruit, applesauce and pineapple, junior</t>
        </is>
      </c>
      <c r="C279" s="1" t="n">
        <v>10.5</v>
      </c>
      <c r="D279" s="1" t="n">
        <v>2</v>
      </c>
      <c r="E279" s="1" t="n">
        <v>0.1</v>
      </c>
      <c r="F279" s="1" t="n">
        <v>0.1</v>
      </c>
      <c r="G279" s="1" t="n">
        <v>0.1</v>
      </c>
      <c r="H279" s="1" t="n">
        <v>21</v>
      </c>
      <c r="I279" s="1" t="n">
        <v>0.03</v>
      </c>
      <c r="J279" t="n">
        <v>91708030</v>
      </c>
    </row>
    <row r="280" ht="15.75" customHeight="1" s="201">
      <c r="A280" s="1" t="inlineStr">
        <is>
          <t>Babyfood, fruit, applesauce and pineapple, strained</t>
        </is>
      </c>
      <c r="C280" s="1" t="n">
        <v>10.1</v>
      </c>
      <c r="D280" s="1" t="n">
        <v>2</v>
      </c>
      <c r="E280" s="1" t="n">
        <v>0.1</v>
      </c>
      <c r="F280" s="1" t="n">
        <v>0.1</v>
      </c>
      <c r="G280" s="1" t="n">
        <v>0.1</v>
      </c>
      <c r="H280" s="1" t="n">
        <v>0</v>
      </c>
      <c r="I280" s="1" t="n">
        <v>0.02</v>
      </c>
      <c r="J280" t="n">
        <v>91708030</v>
      </c>
    </row>
    <row r="281" ht="15.75" customHeight="1" s="201">
      <c r="A281" s="1" t="inlineStr">
        <is>
          <t>Babyfood, fruit, applesauce with banana, junior</t>
        </is>
      </c>
      <c r="C281" s="1" t="n">
        <v>16.16</v>
      </c>
      <c r="D281" s="1" t="n">
        <v>3</v>
      </c>
      <c r="E281" s="1" t="n">
        <v>0.24</v>
      </c>
      <c r="F281" s="1" t="n">
        <v>0.37</v>
      </c>
      <c r="G281" s="1" t="n">
        <v>0.1</v>
      </c>
      <c r="H281" s="1" t="n">
        <v>6</v>
      </c>
      <c r="I281" s="1" t="n">
        <v>0.05</v>
      </c>
      <c r="J281" t="n">
        <v>91708030</v>
      </c>
    </row>
    <row r="282" ht="15.75" customHeight="1" s="201">
      <c r="A282" s="1" t="inlineStr">
        <is>
          <t>Babyfood, fruit, applesauce, junior</t>
        </is>
      </c>
      <c r="C282" s="1" t="n">
        <v>10.3</v>
      </c>
      <c r="D282" s="1" t="n">
        <v>2</v>
      </c>
      <c r="E282" s="1" t="n">
        <v>0.22</v>
      </c>
      <c r="F282" s="1" t="n">
        <v>0</v>
      </c>
      <c r="G282" s="1" t="n">
        <v>0</v>
      </c>
      <c r="H282" s="1" t="n">
        <v>9</v>
      </c>
      <c r="I282" s="1" t="n">
        <v>0.04</v>
      </c>
      <c r="J282" t="n">
        <v>91708030</v>
      </c>
    </row>
    <row r="283" ht="15.75" customHeight="1" s="201">
      <c r="A283" s="1" t="inlineStr">
        <is>
          <t>Babyfood, fruit, applesauce, strained</t>
        </is>
      </c>
      <c r="C283" s="1" t="n">
        <v>10.8</v>
      </c>
      <c r="D283" s="1" t="n">
        <v>2</v>
      </c>
      <c r="E283" s="1" t="n">
        <v>0.22</v>
      </c>
      <c r="F283" s="1" t="n">
        <v>0.2</v>
      </c>
      <c r="G283" s="1" t="n">
        <v>0.2</v>
      </c>
      <c r="H283" s="1" t="n">
        <v>28</v>
      </c>
      <c r="I283" s="1" t="n">
        <v>0.02</v>
      </c>
      <c r="J283" t="n">
        <v>91708030</v>
      </c>
    </row>
    <row r="284" ht="15.75" customHeight="1" s="201">
      <c r="A284" s="1" t="inlineStr">
        <is>
          <t>Babyfood, fruit, apricot with tapioca, junior</t>
        </is>
      </c>
      <c r="C284" s="1" t="n">
        <v>17.3</v>
      </c>
      <c r="D284" s="1" t="n">
        <v>2</v>
      </c>
      <c r="E284" s="1" t="n">
        <v>0.27</v>
      </c>
      <c r="F284" s="1" t="n">
        <v>0.3</v>
      </c>
      <c r="G284" s="1" t="n">
        <v>0</v>
      </c>
      <c r="H284" s="1" t="n">
        <v>723</v>
      </c>
      <c r="I284" s="1" t="n">
        <v>0.04</v>
      </c>
      <c r="J284" t="n">
        <v>91708030</v>
      </c>
    </row>
    <row r="285" ht="15.75" customHeight="1" s="201">
      <c r="A285" s="1" t="inlineStr">
        <is>
          <t>Babyfood, fruit, apricot with tapioca, strained</t>
        </is>
      </c>
      <c r="C285" s="1" t="n">
        <v>16.3</v>
      </c>
      <c r="D285" s="1" t="n">
        <v>2</v>
      </c>
      <c r="E285" s="1" t="n">
        <v>0.3</v>
      </c>
      <c r="F285" s="1" t="n">
        <v>0.3</v>
      </c>
      <c r="G285" s="1" t="n">
        <v>0</v>
      </c>
      <c r="H285" s="1" t="n">
        <v>725</v>
      </c>
      <c r="I285" s="1" t="n">
        <v>0.05</v>
      </c>
      <c r="J285" t="n">
        <v>91708030</v>
      </c>
    </row>
    <row r="286" ht="15.75" customHeight="1" s="201">
      <c r="A286" s="1" t="inlineStr">
        <is>
          <t>Babyfood, fruit, banana and strawberry, junior</t>
        </is>
      </c>
      <c r="C286" s="1" t="n">
        <v>25.78</v>
      </c>
      <c r="D286" s="1" t="n">
        <v>22</v>
      </c>
      <c r="E286" s="1" t="n">
        <v>0.14</v>
      </c>
      <c r="F286" s="1" t="n">
        <v>0.71</v>
      </c>
      <c r="G286" s="1" t="n">
        <v>0.37</v>
      </c>
      <c r="H286" s="1" t="n">
        <v>69</v>
      </c>
      <c r="I286" s="1" t="n">
        <v>0.23</v>
      </c>
      <c r="J286" t="n">
        <v>91708030</v>
      </c>
    </row>
    <row r="287" ht="15.75" customHeight="1" s="201">
      <c r="A287" s="1" t="inlineStr">
        <is>
          <t>Babyfood, fruit, bananas and pineapple with tapioca, junior</t>
        </is>
      </c>
      <c r="C287" s="1" t="n">
        <v>18.4</v>
      </c>
      <c r="D287" s="1" t="n">
        <v>6</v>
      </c>
      <c r="E287" s="1" t="n">
        <v>0.13</v>
      </c>
      <c r="F287" s="1" t="n">
        <v>0.2</v>
      </c>
      <c r="G287" s="1" t="n">
        <v>0.1</v>
      </c>
      <c r="H287" s="1" t="n">
        <v>40</v>
      </c>
      <c r="I287" s="1" t="n">
        <v>0.03</v>
      </c>
      <c r="J287" t="n">
        <v>91708030</v>
      </c>
    </row>
    <row r="288" ht="15.75" customHeight="1" s="201">
      <c r="A288" s="1" t="inlineStr">
        <is>
          <t>Babyfood, fruit, bananas and pineapple with tapioca, strained</t>
        </is>
      </c>
      <c r="C288" s="1" t="n">
        <v>17.8</v>
      </c>
      <c r="D288" s="1" t="n">
        <v>18</v>
      </c>
      <c r="E288" s="1" t="n">
        <v>0.23</v>
      </c>
      <c r="F288" s="1" t="n">
        <v>0.2</v>
      </c>
      <c r="G288" s="1" t="n">
        <v>0</v>
      </c>
      <c r="H288" s="1" t="n">
        <v>60</v>
      </c>
      <c r="I288" s="1" t="n">
        <v>0.04</v>
      </c>
      <c r="J288" t="n">
        <v>91708030</v>
      </c>
    </row>
    <row r="289" ht="15.75" customHeight="1" s="201">
      <c r="A289" s="1" t="inlineStr">
        <is>
          <t>Babyfood, fruit, bananas with apples and pears, strained</t>
        </is>
      </c>
      <c r="C289" s="1" t="n">
        <v>19.31</v>
      </c>
      <c r="D289" s="1" t="n">
        <v>5</v>
      </c>
      <c r="E289" s="1" t="n">
        <v>0.3</v>
      </c>
      <c r="F289" s="1" t="n">
        <v>0.9</v>
      </c>
      <c r="G289" s="1" t="n">
        <v>0.22</v>
      </c>
      <c r="H289" s="1" t="n">
        <v>56</v>
      </c>
      <c r="I289" s="1" t="n">
        <v>0.1</v>
      </c>
      <c r="J289" t="n">
        <v>91708030</v>
      </c>
    </row>
    <row r="290" ht="15.75" customHeight="1" s="201">
      <c r="A290" s="1" t="inlineStr">
        <is>
          <t>Babyfood, fruit, bananas with tapioca, junior</t>
        </is>
      </c>
      <c r="C290" s="1" t="n">
        <v>17.8</v>
      </c>
      <c r="D290" s="1" t="n">
        <v>6</v>
      </c>
      <c r="E290" s="1" t="n">
        <v>0.3</v>
      </c>
      <c r="F290" s="1" t="n">
        <v>0.4</v>
      </c>
      <c r="G290" s="1" t="n">
        <v>0.2</v>
      </c>
      <c r="H290" s="1" t="n">
        <v>44</v>
      </c>
      <c r="I290" s="1" t="n">
        <v>0.07000000000000001</v>
      </c>
      <c r="J290" t="n">
        <v>91708030</v>
      </c>
    </row>
    <row r="291" ht="15.75" customHeight="1" s="201">
      <c r="A291" s="1" t="inlineStr">
        <is>
          <t>Babyfood, fruit, bananas with tapioca, strained</t>
        </is>
      </c>
      <c r="C291" s="1" t="n">
        <v>15.3</v>
      </c>
      <c r="D291" s="1" t="n">
        <v>6</v>
      </c>
      <c r="E291" s="1" t="n">
        <v>0.2</v>
      </c>
      <c r="F291" s="1" t="n">
        <v>0.4</v>
      </c>
      <c r="G291" s="1" t="n">
        <v>0.1</v>
      </c>
      <c r="H291" s="1" t="n">
        <v>43</v>
      </c>
      <c r="I291" s="1" t="n">
        <v>0.06</v>
      </c>
      <c r="J291" t="n">
        <v>91708030</v>
      </c>
    </row>
    <row r="292" ht="15.75" customHeight="1" s="201">
      <c r="A292" s="1" t="inlineStr">
        <is>
          <t>Babyfood, fruit, guava and papaya with tapioca, strained</t>
        </is>
      </c>
      <c r="C292" s="1" t="n">
        <v>17</v>
      </c>
      <c r="D292" s="1" t="n">
        <v>2</v>
      </c>
      <c r="E292" s="1" t="n">
        <v>0.2</v>
      </c>
      <c r="F292" s="1" t="n">
        <v>0.2</v>
      </c>
      <c r="G292" s="1" t="n">
        <v>0.1</v>
      </c>
      <c r="H292" s="1" t="n">
        <v>184</v>
      </c>
      <c r="I292" s="1" t="n">
        <v>0.06</v>
      </c>
      <c r="J292" t="n">
        <v>91708030</v>
      </c>
    </row>
    <row r="293" ht="15.75" customHeight="1" s="201">
      <c r="A293" s="1" t="inlineStr">
        <is>
          <t>Babyfood, fruit, papaya and applesauce with tapioca, strained</t>
        </is>
      </c>
      <c r="C293" s="1" t="n">
        <v>18.9</v>
      </c>
      <c r="D293" s="1" t="n">
        <v>2</v>
      </c>
      <c r="E293" s="1" t="n">
        <v>0.44</v>
      </c>
      <c r="F293" s="1" t="n">
        <v>0.2</v>
      </c>
      <c r="G293" s="1" t="n">
        <v>0.1</v>
      </c>
      <c r="H293" s="1" t="n">
        <v>76</v>
      </c>
      <c r="I293" s="1" t="n">
        <v>0.03</v>
      </c>
      <c r="J293" t="n">
        <v>91708030</v>
      </c>
    </row>
    <row r="294" ht="15.75" customHeight="1" s="201">
      <c r="A294" s="1" t="inlineStr">
        <is>
          <t>Babyfood, fruit, peaches, junior</t>
        </is>
      </c>
      <c r="C294" s="1" t="n">
        <v>14.48</v>
      </c>
      <c r="D294" s="1" t="n">
        <v>21</v>
      </c>
      <c r="E294" s="1" t="n">
        <v>0.23</v>
      </c>
      <c r="F294" s="1" t="n">
        <v>0.9399999999999999</v>
      </c>
      <c r="G294" s="1" t="n">
        <v>0.33</v>
      </c>
      <c r="H294" s="1" t="n">
        <v>686</v>
      </c>
      <c r="I294" s="1" t="n">
        <v>0.11</v>
      </c>
      <c r="J294" t="n">
        <v>91708030</v>
      </c>
    </row>
    <row r="295" ht="15.75" customHeight="1" s="201">
      <c r="A295" s="1" t="inlineStr">
        <is>
          <t>Babyfood, fruit, peaches, strained</t>
        </is>
      </c>
      <c r="C295" s="1" t="n">
        <v>14.48</v>
      </c>
      <c r="D295" s="1" t="n">
        <v>21</v>
      </c>
      <c r="E295" s="1" t="n">
        <v>0.23</v>
      </c>
      <c r="F295" s="1" t="n">
        <v>0.9399999999999999</v>
      </c>
      <c r="G295" s="1" t="n">
        <v>0.33</v>
      </c>
      <c r="H295" s="1" t="n">
        <v>686</v>
      </c>
      <c r="I295" s="1" t="n">
        <v>0.11</v>
      </c>
      <c r="J295" t="n">
        <v>91708030</v>
      </c>
    </row>
    <row r="296" ht="15.75" customHeight="1" s="201">
      <c r="A296" s="1" t="inlineStr">
        <is>
          <t>Babyfood, fruit, pears and pineapple, junior</t>
        </is>
      </c>
      <c r="C296" s="1" t="n">
        <v>11.4</v>
      </c>
      <c r="D296" s="1" t="n">
        <v>3</v>
      </c>
      <c r="E296" s="1" t="n">
        <v>0.21</v>
      </c>
      <c r="F296" s="1" t="n">
        <v>0.3</v>
      </c>
      <c r="G296" s="1" t="n">
        <v>0.2</v>
      </c>
      <c r="H296" s="1" t="n">
        <v>32</v>
      </c>
      <c r="I296" s="1" t="n">
        <v>0.13</v>
      </c>
      <c r="J296" t="n">
        <v>91708030</v>
      </c>
    </row>
    <row r="297" ht="15.75" customHeight="1" s="201">
      <c r="A297" s="1" t="inlineStr">
        <is>
          <t>Babyfood, fruit, pears and pineapple, strained</t>
        </is>
      </c>
      <c r="C297" s="1" t="n">
        <v>10.9</v>
      </c>
      <c r="D297" s="1" t="n">
        <v>3</v>
      </c>
      <c r="E297" s="1" t="n">
        <v>0.25</v>
      </c>
      <c r="F297" s="1" t="n">
        <v>0.3</v>
      </c>
      <c r="G297" s="1" t="n">
        <v>0.1</v>
      </c>
      <c r="H297" s="1" t="n">
        <v>29</v>
      </c>
      <c r="I297" s="1" t="n">
        <v>0.07000000000000001</v>
      </c>
      <c r="J297" t="n">
        <v>91708030</v>
      </c>
    </row>
    <row r="298" ht="15.75" customHeight="1" s="201">
      <c r="A298" s="1" t="inlineStr">
        <is>
          <t>Babyfood, fruit, pears, junior</t>
        </is>
      </c>
      <c r="C298" s="1" t="n">
        <v>11.6</v>
      </c>
      <c r="D298" s="1" t="n">
        <v>4</v>
      </c>
      <c r="E298" s="1" t="n">
        <v>0.25</v>
      </c>
      <c r="F298" s="1" t="n">
        <v>0.3</v>
      </c>
      <c r="G298" s="1" t="n">
        <v>0.1</v>
      </c>
      <c r="H298" s="1" t="n">
        <v>18</v>
      </c>
      <c r="I298" s="1" t="n">
        <v>0.08</v>
      </c>
      <c r="J298" t="n">
        <v>91708030</v>
      </c>
    </row>
    <row r="299" ht="15.75" customHeight="1" s="201">
      <c r="A299" s="1" t="inlineStr">
        <is>
          <t>Babyfood, fruit, pears, strained</t>
        </is>
      </c>
      <c r="C299" s="1" t="n">
        <v>10.8</v>
      </c>
      <c r="D299" s="1" t="n">
        <v>4</v>
      </c>
      <c r="E299" s="1" t="n">
        <v>0.24</v>
      </c>
      <c r="F299" s="1" t="n">
        <v>0.3</v>
      </c>
      <c r="G299" s="1" t="n">
        <v>0.2</v>
      </c>
      <c r="H299" s="1" t="n">
        <v>17</v>
      </c>
      <c r="I299" s="1" t="n">
        <v>0.08</v>
      </c>
      <c r="J299" t="n">
        <v>91708030</v>
      </c>
    </row>
    <row r="300" ht="15.75" customHeight="1" s="201">
      <c r="A300" s="1" t="inlineStr">
        <is>
          <t>Babyfood, fruit, plums with tapioca, without ascorbic acid, junior</t>
        </is>
      </c>
      <c r="C300" s="1" t="n">
        <v>20.5</v>
      </c>
      <c r="D300" s="1" t="n">
        <v>1</v>
      </c>
      <c r="E300" s="1" t="n">
        <v>0.22</v>
      </c>
      <c r="F300" s="1" t="n">
        <v>0.1</v>
      </c>
      <c r="G300" s="1" t="n">
        <v>0</v>
      </c>
      <c r="H300" s="1" t="n">
        <v>94</v>
      </c>
      <c r="I300" s="1" t="n">
        <v>0.08</v>
      </c>
      <c r="J300" t="n">
        <v>91708030</v>
      </c>
    </row>
    <row r="301" ht="15.75" customHeight="1" s="201">
      <c r="A301" s="1" t="inlineStr">
        <is>
          <t>Babyfood, fruit, plums with tapioca, without ascorbic acid, strained</t>
        </is>
      </c>
      <c r="C301" s="1" t="n">
        <v>19.7</v>
      </c>
      <c r="D301" s="1" t="n">
        <v>2</v>
      </c>
      <c r="E301" s="1" t="n">
        <v>0.2</v>
      </c>
      <c r="F301" s="1" t="n">
        <v>0.1</v>
      </c>
      <c r="G301" s="1" t="n">
        <v>0</v>
      </c>
      <c r="H301" s="1" t="n">
        <v>142</v>
      </c>
      <c r="I301" s="1" t="n">
        <v>0.08</v>
      </c>
      <c r="J301" t="n">
        <v>91708030</v>
      </c>
    </row>
    <row r="302" ht="15.75" customHeight="1" s="201">
      <c r="A302" s="1" t="inlineStr">
        <is>
          <t>Babyfood, fruit, prunes with tapioca, without ascorbic acid, junior</t>
        </is>
      </c>
      <c r="C302" s="1" t="n">
        <v>18.7</v>
      </c>
      <c r="D302" s="1" t="n">
        <v>1</v>
      </c>
      <c r="E302" s="1" t="n">
        <v>0.33</v>
      </c>
      <c r="F302" s="1" t="n">
        <v>0.6</v>
      </c>
      <c r="G302" s="1" t="n">
        <v>0.1</v>
      </c>
      <c r="H302" s="1" t="n">
        <v>208</v>
      </c>
      <c r="I302" s="1" t="n">
        <v>0.1</v>
      </c>
      <c r="J302" t="n">
        <v>91708030</v>
      </c>
    </row>
    <row r="303" ht="15.75" customHeight="1" s="201">
      <c r="A303" s="1" t="inlineStr">
        <is>
          <t>Babyfood, fruit, prunes with tapioca, without ascorbic acid, strained</t>
        </is>
      </c>
      <c r="C303" s="1" t="n">
        <v>18.5</v>
      </c>
      <c r="D303" s="1" t="n">
        <v>0</v>
      </c>
      <c r="E303" s="1" t="n">
        <v>0.35</v>
      </c>
      <c r="F303" s="1" t="n">
        <v>0.6</v>
      </c>
      <c r="G303" s="1" t="n">
        <v>0.1</v>
      </c>
      <c r="H303" s="1" t="n">
        <v>453</v>
      </c>
      <c r="I303" s="1" t="n">
        <v>0.09</v>
      </c>
      <c r="J303" t="n">
        <v>91708030</v>
      </c>
    </row>
    <row r="304" ht="15.75" customHeight="1" s="201">
      <c r="A304" s="1" t="inlineStr">
        <is>
          <t>Babyfood, fruit, tutti frutti, junior</t>
        </is>
      </c>
      <c r="C304" s="1" t="n">
        <v>16</v>
      </c>
      <c r="D304" s="1" t="n">
        <v>3</v>
      </c>
      <c r="E304" s="1" t="n">
        <v>0.3</v>
      </c>
      <c r="F304" s="1" t="n">
        <v>0.4</v>
      </c>
      <c r="G304" s="1" t="n">
        <v>0.4</v>
      </c>
      <c r="H304" s="1" t="n">
        <v>199</v>
      </c>
      <c r="I304" s="1" t="n">
        <v>0.19</v>
      </c>
      <c r="J304" t="n">
        <v>91708030</v>
      </c>
    </row>
    <row r="305" ht="15.75" customHeight="1" s="201">
      <c r="A305" s="1" t="inlineStr">
        <is>
          <t>Babyfood, fruit, tutti frutti, strained</t>
        </is>
      </c>
      <c r="C305" s="1" t="n">
        <v>15.48</v>
      </c>
      <c r="D305" s="1" t="n">
        <v>3</v>
      </c>
      <c r="E305" s="1" t="n">
        <v>0.2</v>
      </c>
      <c r="F305" s="1" t="n">
        <v>0.4</v>
      </c>
      <c r="G305" s="1" t="n">
        <v>0.3</v>
      </c>
      <c r="H305" s="1" t="n">
        <v>133</v>
      </c>
      <c r="I305" s="1" t="n">
        <v>0.8</v>
      </c>
      <c r="J305" t="n">
        <v>91708030</v>
      </c>
    </row>
    <row r="306" ht="15.75" customHeight="1" s="201">
      <c r="A306" s="1" t="inlineStr">
        <is>
          <t>Babyfood, GERBER, 2nd Foods, apple, carrot and squash, organic</t>
        </is>
      </c>
      <c r="C306" s="1" t="n">
        <v>14.82</v>
      </c>
      <c r="D306" s="1" t="n">
        <v>2</v>
      </c>
      <c r="E306" s="1" t="n">
        <v>0.15</v>
      </c>
      <c r="F306" s="1" t="n">
        <v>1.1</v>
      </c>
      <c r="G306" s="1" t="n">
        <v>0</v>
      </c>
      <c r="H306" s="1" t="n">
        <v>417</v>
      </c>
      <c r="I306" s="1" t="n">
        <v>0.22</v>
      </c>
      <c r="J306" t="n">
        <v>76205010</v>
      </c>
    </row>
    <row r="307" ht="15.75" customHeight="1" s="201">
      <c r="A307" s="1" t="inlineStr">
        <is>
          <t>Babyfood, GERBER, 3rd Foods, apple, mango and kiwi</t>
        </is>
      </c>
      <c r="C307" s="1" t="n">
        <v>12.88</v>
      </c>
      <c r="D307" s="1" t="n">
        <v>14</v>
      </c>
      <c r="E307" s="1" t="n">
        <v>0.17</v>
      </c>
      <c r="F307" s="1" t="n">
        <v>0.47</v>
      </c>
      <c r="G307" s="1" t="n">
        <v>0</v>
      </c>
      <c r="H307" s="1" t="n">
        <v>294</v>
      </c>
      <c r="I307" s="1" t="n">
        <v>0.06</v>
      </c>
      <c r="J307" t="n">
        <v>11710919</v>
      </c>
    </row>
    <row r="308" ht="15.75" customHeight="1" s="201">
      <c r="A308" s="1" t="inlineStr">
        <is>
          <t>Babyfood, GERBER, Banana with orange medley</t>
        </is>
      </c>
      <c r="C308" s="1" t="n">
        <v>20.41</v>
      </c>
      <c r="D308" s="1" t="n">
        <v>31</v>
      </c>
      <c r="E308" s="1" t="n">
        <v>0.23</v>
      </c>
      <c r="F308" s="1" t="n">
        <v>1.06</v>
      </c>
      <c r="G308" s="1" t="n">
        <v>0</v>
      </c>
      <c r="H308" s="1" t="n">
        <v>557</v>
      </c>
      <c r="I308" s="1" t="n">
        <v>0.12</v>
      </c>
      <c r="J308" t="n">
        <v>75142550</v>
      </c>
    </row>
    <row r="309" ht="15.75" customHeight="1" s="201">
      <c r="A309" s="1" t="inlineStr">
        <is>
          <t>Babyfood, GERBER, GRADUATES Lil Biscuits Vanilla Wheat</t>
        </is>
      </c>
      <c r="C309" s="1" t="n">
        <v>72.48</v>
      </c>
      <c r="D309" s="1" t="n">
        <v>49</v>
      </c>
      <c r="E309" s="1" t="n">
        <v>18.87</v>
      </c>
      <c r="F309" s="1" t="n">
        <v>7.97</v>
      </c>
      <c r="G309" s="1" t="n">
        <v>9.27</v>
      </c>
      <c r="H309" s="1" t="n">
        <v>116</v>
      </c>
      <c r="I309" s="1" t="n">
        <v>14.15</v>
      </c>
      <c r="J309" t="n">
        <v>54338000</v>
      </c>
    </row>
    <row r="310" ht="15.75" customHeight="1" s="201">
      <c r="A310" s="1" t="inlineStr">
        <is>
          <t>Babyfood, grape juice, no sugar, canned</t>
        </is>
      </c>
      <c r="C310" s="1" t="n">
        <v>15.38</v>
      </c>
      <c r="D310" s="1" t="n">
        <v>4</v>
      </c>
      <c r="E310" s="1" t="n">
        <v>0.3</v>
      </c>
      <c r="F310" s="1" t="n">
        <v>0</v>
      </c>
      <c r="G310" s="1" t="n">
        <v>0</v>
      </c>
      <c r="H310" s="1" t="n">
        <v>77</v>
      </c>
      <c r="I310" s="1" t="n">
        <v>0.05</v>
      </c>
      <c r="J310" t="n">
        <v>64100110</v>
      </c>
    </row>
    <row r="311" ht="15.75" customHeight="1" s="201">
      <c r="A311" s="1" t="inlineStr">
        <is>
          <t>Babyfood, green beans and turkey, strained</t>
        </is>
      </c>
      <c r="C311" s="1" t="n">
        <v>5.35</v>
      </c>
      <c r="D311" s="1" t="n">
        <v>29</v>
      </c>
      <c r="E311" s="1" t="n">
        <v>0.7</v>
      </c>
      <c r="F311" s="1" t="n">
        <v>4.1</v>
      </c>
      <c r="G311" s="1" t="n">
        <v>1.5</v>
      </c>
      <c r="H311" s="1" t="n">
        <v>629</v>
      </c>
      <c r="I311" s="1" t="n">
        <v>0.6</v>
      </c>
      <c r="J311" t="n">
        <v>75403200</v>
      </c>
    </row>
    <row r="312" ht="15.75" customHeight="1" s="201">
      <c r="A312" s="1" t="inlineStr">
        <is>
          <t>Babyfood, green beans, dices, toddler</t>
        </is>
      </c>
      <c r="C312" s="1" t="n">
        <v>5.7</v>
      </c>
      <c r="D312" s="1" t="n">
        <v>32</v>
      </c>
      <c r="E312" s="1" t="n">
        <v>0.4</v>
      </c>
      <c r="F312" s="1" t="n">
        <v>1.2</v>
      </c>
      <c r="G312" s="1" t="n">
        <v>0.2</v>
      </c>
      <c r="H312" s="1" t="n">
        <v>481</v>
      </c>
      <c r="I312" s="1" t="n">
        <v>0.1</v>
      </c>
      <c r="J312" t="n">
        <v>75403200</v>
      </c>
    </row>
    <row r="313" ht="15.75" customHeight="1" s="201">
      <c r="A313" s="1" t="inlineStr">
        <is>
          <t>Babyfood, juice treats, fruit medley, toddler</t>
        </is>
      </c>
      <c r="C313" s="1" t="n">
        <v>86.68000000000001</v>
      </c>
      <c r="D313" s="1" t="n">
        <v>1</v>
      </c>
      <c r="E313" s="1" t="n">
        <v>0.24</v>
      </c>
      <c r="F313" s="1" t="n">
        <v>0</v>
      </c>
      <c r="G313" s="1" t="n">
        <v>0.02</v>
      </c>
      <c r="H313" s="1" t="n">
        <v>2</v>
      </c>
      <c r="I313" s="1" t="n">
        <v>0.03</v>
      </c>
      <c r="J313" t="n">
        <v>92530610</v>
      </c>
    </row>
    <row r="314" ht="15.75" customHeight="1" s="201">
      <c r="A314" s="1" t="inlineStr">
        <is>
          <t>Babyfood, juice, apple</t>
        </is>
      </c>
      <c r="C314" s="1" t="n">
        <v>11.7</v>
      </c>
      <c r="D314" s="1" t="n">
        <v>0</v>
      </c>
      <c r="E314" s="1" t="n">
        <v>0.57</v>
      </c>
      <c r="F314" s="1" t="n">
        <v>0</v>
      </c>
      <c r="G314" s="1" t="n">
        <v>0.1</v>
      </c>
      <c r="H314" s="1" t="n">
        <v>18</v>
      </c>
      <c r="I314" s="1" t="n">
        <v>0.03</v>
      </c>
      <c r="J314" t="n">
        <v>64100110</v>
      </c>
    </row>
    <row r="315" ht="15.75" customHeight="1" s="201">
      <c r="A315" s="1" t="inlineStr">
        <is>
          <t>Babyfood, juice, apple - cherry</t>
        </is>
      </c>
      <c r="C315" s="1" t="n">
        <v>11.2</v>
      </c>
      <c r="D315" s="1" t="n">
        <v>0</v>
      </c>
      <c r="E315" s="1" t="n">
        <v>0.35</v>
      </c>
      <c r="F315" s="1" t="n">
        <v>0.2</v>
      </c>
      <c r="G315" s="1" t="n">
        <v>0.1</v>
      </c>
      <c r="H315" s="1" t="n">
        <v>18</v>
      </c>
      <c r="I315" s="1" t="n">
        <v>0.03</v>
      </c>
      <c r="J315" t="n">
        <v>64100110</v>
      </c>
    </row>
    <row r="316" ht="15.75" customHeight="1" s="201">
      <c r="A316" s="1" t="inlineStr">
        <is>
          <t>Babyfood, juice, apple and grape</t>
        </is>
      </c>
      <c r="C316" s="1" t="n">
        <v>11.34</v>
      </c>
      <c r="D316" s="1" t="n">
        <v>1</v>
      </c>
      <c r="E316" s="1" t="n">
        <v>0.39</v>
      </c>
      <c r="F316" s="1" t="n">
        <v>0.1</v>
      </c>
      <c r="G316" s="1" t="n">
        <v>0.2</v>
      </c>
      <c r="H316" s="1" t="n">
        <v>4</v>
      </c>
      <c r="I316" s="1" t="n">
        <v>0.04</v>
      </c>
      <c r="J316" t="n">
        <v>64100110</v>
      </c>
    </row>
    <row r="317" ht="15.75" customHeight="1" s="201">
      <c r="A317" s="1" t="inlineStr">
        <is>
          <t>Babyfood, juice, apple and peach</t>
        </is>
      </c>
      <c r="C317" s="1" t="n">
        <v>10.5</v>
      </c>
      <c r="D317" s="1" t="n">
        <v>1</v>
      </c>
      <c r="E317" s="1" t="n">
        <v>0.5600000000000001</v>
      </c>
      <c r="F317" s="1" t="n">
        <v>0.2</v>
      </c>
      <c r="G317" s="1" t="n">
        <v>0.1</v>
      </c>
      <c r="H317" s="1" t="n">
        <v>63</v>
      </c>
      <c r="I317" s="1" t="n">
        <v>0.03</v>
      </c>
      <c r="J317" t="n">
        <v>64100110</v>
      </c>
    </row>
    <row r="318" ht="15.75" customHeight="1" s="201">
      <c r="A318" s="1" t="inlineStr">
        <is>
          <t>Babyfood, juice, apple and prune</t>
        </is>
      </c>
      <c r="C318" s="1" t="n">
        <v>18.1</v>
      </c>
      <c r="D318" s="1" t="n">
        <v>0</v>
      </c>
      <c r="E318" s="1" t="n">
        <v>0.95</v>
      </c>
      <c r="F318" s="1" t="n">
        <v>0.2</v>
      </c>
      <c r="G318" s="1" t="n">
        <v>0.1</v>
      </c>
      <c r="H318" s="1" t="n">
        <v>16</v>
      </c>
      <c r="I318" s="1" t="n">
        <v>0.05</v>
      </c>
      <c r="J318" t="n">
        <v>64100110</v>
      </c>
    </row>
    <row r="319" ht="15.75" customHeight="1" s="201">
      <c r="A319" s="1" t="inlineStr">
        <is>
          <t>Babyfood, juice, apple, with calcium</t>
        </is>
      </c>
      <c r="C319" s="1" t="n">
        <v>11.1</v>
      </c>
      <c r="D319" s="1" t="n">
        <v>0</v>
      </c>
      <c r="E319" s="1" t="n">
        <v>0.2</v>
      </c>
      <c r="F319" s="1" t="n">
        <v>0.06</v>
      </c>
      <c r="G319" s="1" t="n">
        <v>0.1</v>
      </c>
      <c r="H319" s="1" t="n">
        <v>0</v>
      </c>
      <c r="I319" s="1" t="n">
        <v>0.03</v>
      </c>
      <c r="J319" t="n">
        <v>64100220</v>
      </c>
    </row>
    <row r="320" ht="15.75" customHeight="1" s="201">
      <c r="A320" s="1" t="inlineStr">
        <is>
          <t>Babyfood, juice, apple-sweet potato</t>
        </is>
      </c>
      <c r="C320" s="1" t="n">
        <v>11.4</v>
      </c>
      <c r="D320" s="1" t="n">
        <v>3</v>
      </c>
      <c r="E320" s="1" t="n">
        <v>0.3</v>
      </c>
      <c r="F320" s="1" t="n">
        <v>0.3</v>
      </c>
      <c r="G320" s="1" t="n">
        <v>0.1</v>
      </c>
      <c r="H320" s="1" t="n">
        <v>3081</v>
      </c>
      <c r="I320" s="1" t="n">
        <v>0.08</v>
      </c>
      <c r="J320" t="n">
        <v>64100110</v>
      </c>
    </row>
    <row r="321" ht="15.75" customHeight="1" s="201">
      <c r="A321" s="1" t="inlineStr">
        <is>
          <t>Babyfood, juice, fruit punch, with calcium</t>
        </is>
      </c>
      <c r="C321" s="1" t="n">
        <v>12.7</v>
      </c>
      <c r="D321" s="1" t="n">
        <v>1</v>
      </c>
      <c r="E321" s="1" t="n">
        <v>0.3</v>
      </c>
      <c r="F321" s="1" t="n">
        <v>0.2</v>
      </c>
      <c r="G321" s="1" t="n">
        <v>0.1</v>
      </c>
      <c r="H321" s="1" t="n">
        <v>3</v>
      </c>
      <c r="I321" s="1" t="n">
        <v>0.04</v>
      </c>
      <c r="J321" t="n">
        <v>92530610</v>
      </c>
    </row>
    <row r="322" ht="15.75" customHeight="1" s="201">
      <c r="A322" s="1" t="inlineStr">
        <is>
          <t>Babyfood, juice, mixed fruit</t>
        </is>
      </c>
      <c r="C322" s="1" t="n">
        <v>11.7</v>
      </c>
      <c r="D322" s="1" t="n">
        <v>7</v>
      </c>
      <c r="E322" s="1" t="n">
        <v>0.34</v>
      </c>
      <c r="F322" s="1" t="n">
        <v>0.1</v>
      </c>
      <c r="G322" s="1" t="n">
        <v>0.1</v>
      </c>
      <c r="H322" s="1" t="n">
        <v>42</v>
      </c>
      <c r="I322" s="1" t="n">
        <v>0.03</v>
      </c>
      <c r="J322" t="n">
        <v>92530610</v>
      </c>
    </row>
    <row r="323" ht="15.75" customHeight="1" s="201">
      <c r="A323" s="1" t="inlineStr">
        <is>
          <t>Babyfood, juice, orange</t>
        </is>
      </c>
      <c r="C323" s="1" t="n">
        <v>10.2</v>
      </c>
      <c r="D323" s="1" t="n">
        <v>26</v>
      </c>
      <c r="E323" s="1" t="n">
        <v>0.17</v>
      </c>
      <c r="F323" s="1" t="n">
        <v>0.6</v>
      </c>
      <c r="G323" s="1" t="n">
        <v>0.3</v>
      </c>
      <c r="H323" s="1" t="n">
        <v>55</v>
      </c>
      <c r="I323" s="1" t="n">
        <v>0.06</v>
      </c>
      <c r="J323" t="n">
        <v>64100110</v>
      </c>
    </row>
    <row r="324" ht="15.75" customHeight="1" s="201">
      <c r="A324" s="1" t="inlineStr">
        <is>
          <t>Babyfood, juice, orange and apple</t>
        </is>
      </c>
      <c r="C324" s="1" t="n">
        <v>10.1</v>
      </c>
      <c r="D324" s="1" t="n">
        <v>12</v>
      </c>
      <c r="E324" s="1" t="n">
        <v>0.2</v>
      </c>
      <c r="F324" s="1" t="n">
        <v>0.4</v>
      </c>
      <c r="G324" s="1" t="n">
        <v>0.2</v>
      </c>
      <c r="H324" s="1" t="n">
        <v>73</v>
      </c>
      <c r="I324" s="1" t="n">
        <v>0.03</v>
      </c>
      <c r="J324" t="n">
        <v>64100110</v>
      </c>
    </row>
    <row r="325" ht="15.75" customHeight="1" s="201">
      <c r="A325" s="1" t="inlineStr">
        <is>
          <t>Babyfood, juice, orange and apple and banana</t>
        </is>
      </c>
      <c r="C325" s="1" t="n">
        <v>11.5</v>
      </c>
      <c r="D325" s="1" t="n">
        <v>10</v>
      </c>
      <c r="E325" s="1" t="n">
        <v>0.35</v>
      </c>
      <c r="F325" s="1" t="n">
        <v>0.4</v>
      </c>
      <c r="G325" s="1" t="n">
        <v>0.1</v>
      </c>
      <c r="H325" s="1" t="n">
        <v>27</v>
      </c>
      <c r="I325" s="1" t="n">
        <v>0.03</v>
      </c>
      <c r="J325" t="n">
        <v>64100110</v>
      </c>
    </row>
    <row r="326" ht="15.75" customHeight="1" s="201">
      <c r="A326" s="1" t="inlineStr">
        <is>
          <t>Babyfood, juice, orange and apricot</t>
        </is>
      </c>
      <c r="C326" s="1" t="n">
        <v>10.9</v>
      </c>
      <c r="D326" s="1" t="n">
        <v>20</v>
      </c>
      <c r="E326" s="1" t="n">
        <v>0.38</v>
      </c>
      <c r="F326" s="1" t="n">
        <v>0.8</v>
      </c>
      <c r="G326" s="1" t="n">
        <v>0.1</v>
      </c>
      <c r="H326" s="1" t="n">
        <v>216</v>
      </c>
      <c r="I326" s="1" t="n">
        <v>0.04</v>
      </c>
      <c r="J326" t="n">
        <v>64100110</v>
      </c>
    </row>
    <row r="327" ht="15.75" customHeight="1" s="201">
      <c r="A327" s="1" t="inlineStr">
        <is>
          <t>Babyfood, juice, orange and banana</t>
        </is>
      </c>
      <c r="C327" s="1" t="n">
        <v>11.9</v>
      </c>
      <c r="D327" s="1" t="n">
        <v>24</v>
      </c>
      <c r="E327" s="1" t="n">
        <v>0.11</v>
      </c>
      <c r="F327" s="1" t="n">
        <v>0.7</v>
      </c>
      <c r="G327" s="1" t="n">
        <v>0.1</v>
      </c>
      <c r="H327" s="1" t="n">
        <v>46</v>
      </c>
      <c r="I327" s="1" t="n">
        <v>0.09</v>
      </c>
      <c r="J327" t="n">
        <v>64100110</v>
      </c>
    </row>
    <row r="328" ht="15.75" customHeight="1" s="201">
      <c r="A328" s="1" t="inlineStr">
        <is>
          <t>Babyfood, juice, orange and pineapple</t>
        </is>
      </c>
      <c r="C328" s="1" t="n">
        <v>11.7</v>
      </c>
      <c r="D328" s="1" t="n">
        <v>19</v>
      </c>
      <c r="E328" s="1" t="n">
        <v>0.42</v>
      </c>
      <c r="F328" s="1" t="n">
        <v>0.5</v>
      </c>
      <c r="G328" s="1" t="n">
        <v>0.1</v>
      </c>
      <c r="H328" s="1" t="n">
        <v>31</v>
      </c>
      <c r="I328" s="1" t="n">
        <v>0.04</v>
      </c>
      <c r="J328" t="n">
        <v>92550350</v>
      </c>
    </row>
    <row r="329" ht="15.75" customHeight="1" s="201">
      <c r="A329" s="1" t="inlineStr">
        <is>
          <t>Babyfood, juice, orange-carrot</t>
        </is>
      </c>
      <c r="C329" s="1" t="n">
        <v>9.9</v>
      </c>
      <c r="D329" s="1" t="n">
        <v>39</v>
      </c>
      <c r="E329" s="1" t="n">
        <v>0.2</v>
      </c>
      <c r="F329" s="1" t="n">
        <v>0.5</v>
      </c>
      <c r="G329" s="1" t="n">
        <v>0.1</v>
      </c>
      <c r="H329" s="1" t="n">
        <v>1880</v>
      </c>
      <c r="I329" s="1" t="n">
        <v>0.07000000000000001</v>
      </c>
      <c r="J329" t="n">
        <v>64100110</v>
      </c>
    </row>
    <row r="330" ht="15.75" customHeight="1" s="201">
      <c r="A330" s="1" t="inlineStr">
        <is>
          <t>Babyfood, juice, pear</t>
        </is>
      </c>
      <c r="C330" s="1" t="n">
        <v>11.86</v>
      </c>
      <c r="D330" s="1" t="n">
        <v>4</v>
      </c>
      <c r="E330" s="1" t="n">
        <v>0</v>
      </c>
      <c r="F330" s="1" t="n">
        <v>0</v>
      </c>
      <c r="G330" s="1" t="n">
        <v>0</v>
      </c>
      <c r="H330" s="1" t="n">
        <v>0</v>
      </c>
      <c r="I330" s="1" t="n">
        <v>0.08</v>
      </c>
      <c r="J330" t="n">
        <v>64100110</v>
      </c>
    </row>
    <row r="331" ht="15.75" customHeight="1" s="201">
      <c r="A331" s="1" t="inlineStr">
        <is>
          <t>Babyfood, juice, prune and orange</t>
        </is>
      </c>
      <c r="C331" s="1" t="n">
        <v>16.8</v>
      </c>
      <c r="D331" s="1" t="n">
        <v>13</v>
      </c>
      <c r="E331" s="1" t="n">
        <v>0.87</v>
      </c>
      <c r="F331" s="1" t="n">
        <v>0.6</v>
      </c>
      <c r="G331" s="1" t="n">
        <v>0.3</v>
      </c>
      <c r="H331" s="1" t="n">
        <v>131</v>
      </c>
      <c r="I331" s="1" t="n">
        <v>0.04</v>
      </c>
      <c r="J331" t="n">
        <v>64100110</v>
      </c>
    </row>
    <row r="332" ht="15.75" customHeight="1" s="201">
      <c r="A332" s="1" t="inlineStr">
        <is>
          <t>Babyfood, macaroni and cheese, toddler</t>
        </is>
      </c>
      <c r="C332" s="1" t="n">
        <v>11.2</v>
      </c>
      <c r="D332" s="1" t="n">
        <v>25</v>
      </c>
      <c r="E332" s="1" t="n">
        <v>0.6</v>
      </c>
      <c r="F332" s="1" t="n">
        <v>3.5</v>
      </c>
      <c r="G332" s="1" t="n">
        <v>2.6</v>
      </c>
      <c r="H332" s="1" t="n">
        <v>73</v>
      </c>
      <c r="I332" s="1" t="n">
        <v>0.43</v>
      </c>
      <c r="J332" t="n">
        <v>14420100</v>
      </c>
    </row>
    <row r="333" ht="15.75" customHeight="1" s="201">
      <c r="A333" s="1" t="inlineStr">
        <is>
          <t>Babyfood, mashed cheddar potatoes and broccoli, toddlers</t>
        </is>
      </c>
      <c r="C333" s="1" t="n">
        <v>7.47</v>
      </c>
      <c r="D333" s="1" t="n">
        <v>6</v>
      </c>
      <c r="E333" s="1" t="n">
        <v>0.16</v>
      </c>
      <c r="F333" s="1" t="n">
        <v>1.11</v>
      </c>
      <c r="G333" s="1" t="n">
        <v>1.47</v>
      </c>
      <c r="H333" s="1" t="n">
        <v>84</v>
      </c>
      <c r="I333" s="1" t="n">
        <v>0.16</v>
      </c>
      <c r="J333" t="n">
        <v>27411100</v>
      </c>
    </row>
    <row r="334" ht="15.75" customHeight="1" s="201">
      <c r="A334" s="1" t="inlineStr">
        <is>
          <t>Babyfood, meat, beef with vegetables, toddler</t>
        </is>
      </c>
      <c r="C334" s="1" t="n">
        <v>8.720000000000001</v>
      </c>
      <c r="D334" s="1" t="n">
        <v>6</v>
      </c>
      <c r="E334" s="1" t="n">
        <v>0.5</v>
      </c>
      <c r="F334" s="1" t="n">
        <v>3.5</v>
      </c>
      <c r="G334" s="1" t="n">
        <v>2.1</v>
      </c>
      <c r="H334" s="1" t="n">
        <v>1140</v>
      </c>
      <c r="I334" s="1" t="n">
        <v>0.87</v>
      </c>
      <c r="J334" t="n">
        <v>58128250</v>
      </c>
    </row>
    <row r="335" ht="15.75" customHeight="1" s="201">
      <c r="A335" s="1" t="inlineStr">
        <is>
          <t>Babyfood, meat, beef, junior</t>
        </is>
      </c>
      <c r="C335" s="1" t="n">
        <v>2.43</v>
      </c>
      <c r="D335" s="1" t="n">
        <v>8</v>
      </c>
      <c r="E335" s="1" t="n">
        <v>0.98</v>
      </c>
      <c r="F335" s="1" t="n">
        <v>12.03</v>
      </c>
      <c r="G335" s="1" t="n">
        <v>2.52</v>
      </c>
      <c r="H335" s="1" t="n">
        <v>0</v>
      </c>
      <c r="I335" s="1" t="n">
        <v>2.22</v>
      </c>
      <c r="J335" t="n">
        <v>27513010</v>
      </c>
    </row>
    <row r="336" ht="15.75" customHeight="1" s="201">
      <c r="A336" s="1" t="inlineStr">
        <is>
          <t>Babyfood, meat, beef, strained</t>
        </is>
      </c>
      <c r="C336" s="1" t="n">
        <v>2.43</v>
      </c>
      <c r="D336" s="1" t="n">
        <v>8</v>
      </c>
      <c r="E336" s="1" t="n">
        <v>0.98</v>
      </c>
      <c r="F336" s="1" t="n">
        <v>12.03</v>
      </c>
      <c r="G336" s="1" t="n">
        <v>2.52</v>
      </c>
      <c r="H336" s="1" t="n">
        <v>0</v>
      </c>
      <c r="I336" s="1" t="n">
        <v>2.22</v>
      </c>
      <c r="J336" t="n">
        <v>28110510</v>
      </c>
    </row>
    <row r="337" ht="15.75" customHeight="1" s="201">
      <c r="A337" s="1" t="inlineStr">
        <is>
          <t>Babyfood, meat, chicken sticks, junior</t>
        </is>
      </c>
      <c r="C337" s="1" t="n">
        <v>1.5</v>
      </c>
      <c r="D337" s="1" t="n">
        <v>11</v>
      </c>
      <c r="E337" s="1" t="n">
        <v>1.56</v>
      </c>
      <c r="F337" s="1" t="n">
        <v>14.6</v>
      </c>
      <c r="G337" s="1" t="n">
        <v>14.4</v>
      </c>
      <c r="H337" s="1" t="n">
        <v>11</v>
      </c>
      <c r="I337" s="1" t="n">
        <v>1.01</v>
      </c>
      <c r="J337" t="n">
        <v>27446315</v>
      </c>
    </row>
    <row r="338" ht="15.75" customHeight="1" s="201">
      <c r="A338" s="1" t="inlineStr">
        <is>
          <t>Babyfood, meat, chicken, junior</t>
        </is>
      </c>
      <c r="C338" s="1" t="n">
        <v>0</v>
      </c>
      <c r="D338" s="1" t="n">
        <v>11</v>
      </c>
      <c r="E338" s="1" t="n">
        <v>0.99</v>
      </c>
      <c r="F338" s="1" t="n">
        <v>14</v>
      </c>
      <c r="G338" s="1" t="n">
        <v>9.6</v>
      </c>
      <c r="H338" s="1" t="n">
        <v>40</v>
      </c>
      <c r="I338" s="1" t="n">
        <v>1.01</v>
      </c>
      <c r="J338" t="n">
        <v>27446315</v>
      </c>
    </row>
    <row r="339" ht="15.75" customHeight="1" s="201">
      <c r="A339" s="1" t="inlineStr">
        <is>
          <t>Babyfood, meat, chicken, strained</t>
        </is>
      </c>
      <c r="C339" s="1" t="n">
        <v>0.1</v>
      </c>
      <c r="D339" s="1" t="n">
        <v>3</v>
      </c>
      <c r="E339" s="1" t="n">
        <v>1.4</v>
      </c>
      <c r="F339" s="1" t="n">
        <v>13.7</v>
      </c>
      <c r="G339" s="1" t="n">
        <v>7.9</v>
      </c>
      <c r="H339" s="1" t="n">
        <v>21</v>
      </c>
      <c r="I339" s="1" t="n">
        <v>1.21</v>
      </c>
      <c r="J339" t="n">
        <v>27446315</v>
      </c>
    </row>
    <row r="340" ht="15.75" customHeight="1" s="201">
      <c r="A340" s="1" t="inlineStr">
        <is>
          <t>Babyfood, meat, ham, junior</t>
        </is>
      </c>
      <c r="C340" s="1" t="n">
        <v>3.7</v>
      </c>
      <c r="D340" s="1" t="n">
        <v>2</v>
      </c>
      <c r="E340" s="1" t="n">
        <v>1.01</v>
      </c>
      <c r="F340" s="1" t="n">
        <v>11.3</v>
      </c>
      <c r="G340" s="1" t="n">
        <v>3.8</v>
      </c>
      <c r="H340" s="1" t="n">
        <v>0</v>
      </c>
      <c r="I340" s="1" t="n">
        <v>1.7</v>
      </c>
      <c r="J340" t="n">
        <v>14620320</v>
      </c>
    </row>
    <row r="341" ht="15.75" customHeight="1" s="201">
      <c r="A341" s="1" t="inlineStr">
        <is>
          <t>Babyfood, meat, ham, strained</t>
        </is>
      </c>
      <c r="C341" s="1" t="n">
        <v>3.7</v>
      </c>
      <c r="D341" s="1" t="n">
        <v>2</v>
      </c>
      <c r="E341" s="1" t="n">
        <v>1.03</v>
      </c>
      <c r="F341" s="1" t="n">
        <v>11.3</v>
      </c>
      <c r="G341" s="1" t="n">
        <v>3.8</v>
      </c>
      <c r="H341" s="1" t="n">
        <v>5</v>
      </c>
      <c r="I341" s="1" t="n">
        <v>2.25</v>
      </c>
      <c r="J341" t="n">
        <v>14620320</v>
      </c>
    </row>
    <row r="342" ht="15.75" customHeight="1" s="201">
      <c r="A342" s="1" t="inlineStr">
        <is>
          <t>Babyfood, meat, lamb, junior</t>
        </is>
      </c>
      <c r="C342" s="1" t="n">
        <v>0</v>
      </c>
      <c r="D342" s="1" t="n">
        <v>2</v>
      </c>
      <c r="E342" s="1" t="n">
        <v>1.66</v>
      </c>
      <c r="F342" s="1" t="n">
        <v>15.2</v>
      </c>
      <c r="G342" s="1" t="n">
        <v>5.2</v>
      </c>
      <c r="H342" s="1" t="n">
        <v>27</v>
      </c>
      <c r="I342" s="1" t="n">
        <v>2.6</v>
      </c>
      <c r="J342" t="n">
        <v>14620320</v>
      </c>
    </row>
    <row r="343" ht="15.75" customHeight="1" s="201">
      <c r="A343" s="1" t="inlineStr">
        <is>
          <t>Babyfood, meat, lamb, strained</t>
        </is>
      </c>
      <c r="C343" s="1" t="n">
        <v>0.85</v>
      </c>
      <c r="D343" s="1" t="n">
        <v>0</v>
      </c>
      <c r="E343" s="1" t="n">
        <v>1.19</v>
      </c>
      <c r="F343" s="1" t="n">
        <v>14.07</v>
      </c>
      <c r="G343" s="1" t="n">
        <v>3.41</v>
      </c>
      <c r="H343" s="1" t="n">
        <v>0</v>
      </c>
      <c r="I343" s="1" t="n">
        <v>2.43</v>
      </c>
      <c r="J343" t="n">
        <v>14620320</v>
      </c>
    </row>
    <row r="344" ht="15.75" customHeight="1" s="201">
      <c r="A344" s="1" t="inlineStr">
        <is>
          <t>Babyfood, meat, meat sticks, junior</t>
        </is>
      </c>
      <c r="C344" s="1" t="n">
        <v>1.1</v>
      </c>
      <c r="D344" s="1" t="n">
        <v>11</v>
      </c>
      <c r="E344" s="1" t="n">
        <v>1.38</v>
      </c>
      <c r="F344" s="1" t="n">
        <v>13.4</v>
      </c>
      <c r="G344" s="1" t="n">
        <v>14.6</v>
      </c>
      <c r="H344" s="1" t="n">
        <v>69</v>
      </c>
      <c r="I344" s="1" t="n">
        <v>1.9</v>
      </c>
      <c r="J344" t="n">
        <v>14620320</v>
      </c>
    </row>
    <row r="345" ht="15.75" customHeight="1" s="201">
      <c r="A345" s="1" t="inlineStr">
        <is>
          <t>Babyfood, meat, pork, strained</t>
        </is>
      </c>
      <c r="C345" s="1" t="n">
        <v>0</v>
      </c>
      <c r="D345" s="1" t="n">
        <v>2</v>
      </c>
      <c r="E345" s="1" t="n">
        <v>1</v>
      </c>
      <c r="F345" s="1" t="n">
        <v>14</v>
      </c>
      <c r="G345" s="1" t="n">
        <v>7.1</v>
      </c>
      <c r="H345" s="1" t="n">
        <v>38</v>
      </c>
      <c r="I345" s="1" t="n">
        <v>2.27</v>
      </c>
      <c r="J345" t="n">
        <v>27260080</v>
      </c>
    </row>
    <row r="346" ht="15.75" customHeight="1" s="201">
      <c r="A346" s="1" t="inlineStr">
        <is>
          <t>Babyfood, meat, turkey sticks, junior</t>
        </is>
      </c>
      <c r="C346" s="1" t="n">
        <v>1.4</v>
      </c>
      <c r="D346" s="1" t="n">
        <v>11</v>
      </c>
      <c r="E346" s="1" t="n">
        <v>0.92</v>
      </c>
      <c r="F346" s="1" t="n">
        <v>13.7</v>
      </c>
      <c r="G346" s="1" t="n">
        <v>14.2</v>
      </c>
      <c r="H346" s="1" t="n">
        <v>19</v>
      </c>
      <c r="I346" s="1" t="n">
        <v>2.4</v>
      </c>
      <c r="J346" t="n">
        <v>25230780</v>
      </c>
    </row>
    <row r="347" ht="15.75" customHeight="1" s="201">
      <c r="A347" s="1" t="inlineStr">
        <is>
          <t>Babyfood, meat, turkey, junior</t>
        </is>
      </c>
      <c r="C347" s="1" t="n">
        <v>1.4</v>
      </c>
      <c r="D347" s="1" t="n">
        <v>8</v>
      </c>
      <c r="E347" s="1" t="n">
        <v>0.7</v>
      </c>
      <c r="F347" s="1" t="n">
        <v>11.5</v>
      </c>
      <c r="G347" s="1" t="n">
        <v>6.2</v>
      </c>
      <c r="H347" s="1" t="n">
        <v>0</v>
      </c>
      <c r="I347" s="1" t="n">
        <v>1.77</v>
      </c>
      <c r="J347" t="n">
        <v>25230780</v>
      </c>
    </row>
    <row r="348" ht="15.75" customHeight="1" s="201">
      <c r="A348" s="1" t="inlineStr">
        <is>
          <t>Babyfood, meat, turkey, strained</t>
        </is>
      </c>
      <c r="C348" s="1" t="n">
        <v>1.4</v>
      </c>
      <c r="D348" s="1" t="n">
        <v>8</v>
      </c>
      <c r="E348" s="1" t="n">
        <v>0.7</v>
      </c>
      <c r="F348" s="1" t="n">
        <v>11.5</v>
      </c>
      <c r="G348" s="1" t="n">
        <v>6.2</v>
      </c>
      <c r="H348" s="1" t="n">
        <v>0</v>
      </c>
      <c r="I348" s="1" t="n">
        <v>1.77</v>
      </c>
      <c r="J348" t="n">
        <v>25230780</v>
      </c>
    </row>
    <row r="349" ht="15.75" customHeight="1" s="201">
      <c r="A349" s="1" t="inlineStr">
        <is>
          <t>Babyfood, meat, veal, strained</t>
        </is>
      </c>
      <c r="C349" s="1" t="n">
        <v>1.51</v>
      </c>
      <c r="D349" s="1" t="n">
        <v>5</v>
      </c>
      <c r="E349" s="1" t="n">
        <v>0.76</v>
      </c>
      <c r="F349" s="1" t="n">
        <v>13.12</v>
      </c>
      <c r="G349" s="1" t="n">
        <v>2.45</v>
      </c>
      <c r="H349" s="1" t="n">
        <v>0</v>
      </c>
      <c r="I349" s="1" t="n">
        <v>2.5</v>
      </c>
      <c r="J349" t="n">
        <v>14620320</v>
      </c>
    </row>
    <row r="350" ht="15.75" customHeight="1" s="201">
      <c r="A350" s="1" t="inlineStr">
        <is>
          <t>Babyfood, mixed fruit juice with low fat yogurt</t>
        </is>
      </c>
      <c r="C350" s="1" t="n">
        <v>14.68</v>
      </c>
      <c r="D350" s="1" t="n">
        <v>6</v>
      </c>
      <c r="E350" s="1" t="n">
        <v>0.2</v>
      </c>
      <c r="F350" s="1" t="n">
        <v>2.4</v>
      </c>
      <c r="G350" s="1" t="n">
        <v>0.8</v>
      </c>
      <c r="H350" s="1" t="n">
        <v>28</v>
      </c>
      <c r="I350" s="1" t="n">
        <v>0.14</v>
      </c>
      <c r="J350" t="n">
        <v>92530610</v>
      </c>
    </row>
    <row r="351" ht="15.75" customHeight="1" s="201">
      <c r="A351" s="1" t="inlineStr">
        <is>
          <t>Babyfood, mixed fruit yogurt, strained</t>
        </is>
      </c>
      <c r="C351" s="1" t="n">
        <v>16.23</v>
      </c>
      <c r="D351" s="1" t="n">
        <v>2</v>
      </c>
      <c r="E351" s="1" t="n">
        <v>0.2</v>
      </c>
      <c r="F351" s="1" t="n">
        <v>0.8</v>
      </c>
      <c r="G351" s="1" t="n">
        <v>0.8</v>
      </c>
      <c r="H351" s="1" t="n">
        <v>67</v>
      </c>
      <c r="I351" s="1" t="n">
        <v>0.11</v>
      </c>
      <c r="J351" t="n">
        <v>91708030</v>
      </c>
    </row>
    <row r="352" ht="15.75" customHeight="1" s="201">
      <c r="A352" s="1" t="inlineStr">
        <is>
          <t>Babyfood, Multigrain whole grain cereal, dry fortified</t>
        </is>
      </c>
      <c r="C352" s="1" t="n">
        <v>80.06</v>
      </c>
      <c r="D352" s="1" t="n">
        <v>167</v>
      </c>
      <c r="E352" s="1" t="n">
        <v>30</v>
      </c>
      <c r="F352" s="1" t="n">
        <v>6.67</v>
      </c>
      <c r="G352" s="1" t="n">
        <v>6.67</v>
      </c>
      <c r="H352" s="1" t="n">
        <v>0</v>
      </c>
      <c r="I352" s="1" t="n">
        <v>10.67</v>
      </c>
      <c r="J352" t="n">
        <v>57806050</v>
      </c>
    </row>
    <row r="353" ht="15.75" customHeight="1" s="201">
      <c r="A353" s="1" t="inlineStr">
        <is>
          <t>Babyfood, oatmeal cereal with fruit, dry, instant, toddler fortified</t>
        </is>
      </c>
      <c r="C353" s="1" t="n">
        <v>74.09999999999999</v>
      </c>
      <c r="D353" s="1" t="n">
        <v>234</v>
      </c>
      <c r="E353" s="1" t="n">
        <v>14.3</v>
      </c>
      <c r="F353" s="1" t="n">
        <v>10.5</v>
      </c>
      <c r="G353" s="1" t="n">
        <v>7.05</v>
      </c>
      <c r="H353" s="1" t="n">
        <v>89</v>
      </c>
      <c r="I353" s="1" t="n">
        <v>5.7</v>
      </c>
      <c r="J353" t="n">
        <v>91708030</v>
      </c>
    </row>
    <row r="354" ht="15.75" customHeight="1" s="201">
      <c r="A354" s="1" t="inlineStr">
        <is>
          <t>Babyfood, peaches, dices, toddler</t>
        </is>
      </c>
      <c r="C354" s="1" t="n">
        <v>11.8</v>
      </c>
      <c r="D354" s="1" t="n">
        <v>5</v>
      </c>
      <c r="E354" s="1" t="n">
        <v>0.2</v>
      </c>
      <c r="F354" s="1" t="n">
        <v>0.5</v>
      </c>
      <c r="G354" s="1" t="n">
        <v>0.2</v>
      </c>
      <c r="H354" s="1" t="n">
        <v>138</v>
      </c>
      <c r="I354" s="1" t="n">
        <v>0.12</v>
      </c>
    </row>
    <row r="355" ht="15.75" customHeight="1" s="201">
      <c r="A355" s="1" t="inlineStr">
        <is>
          <t>Babyfood, pears, dices, toddler</t>
        </is>
      </c>
      <c r="C355" s="1" t="n">
        <v>13.6</v>
      </c>
      <c r="D355" s="1" t="n">
        <v>1</v>
      </c>
      <c r="E355" s="1" t="n">
        <v>0.2</v>
      </c>
      <c r="F355" s="1" t="n">
        <v>0.3</v>
      </c>
      <c r="G355" s="1" t="n">
        <v>0.1</v>
      </c>
      <c r="H355" s="1" t="n">
        <v>21</v>
      </c>
      <c r="I355" s="1" t="n">
        <v>0.09</v>
      </c>
    </row>
    <row r="356" ht="15.75" customHeight="1" s="201">
      <c r="A356" s="1" t="inlineStr">
        <is>
          <t>Babyfood, peas and brown rice</t>
        </is>
      </c>
      <c r="C356" s="1" t="n">
        <v>11.49</v>
      </c>
      <c r="D356" s="1" t="n">
        <v>16</v>
      </c>
      <c r="E356" s="1" t="n">
        <v>1.5</v>
      </c>
      <c r="F356" s="1" t="n">
        <v>3.4</v>
      </c>
      <c r="G356" s="1" t="n">
        <v>0.5</v>
      </c>
      <c r="H356" s="1" t="n">
        <v>390</v>
      </c>
      <c r="I356" s="1" t="n">
        <v>0.46</v>
      </c>
      <c r="J356" t="n">
        <v>58161430</v>
      </c>
    </row>
    <row r="357" ht="15.75" customHeight="1" s="201">
      <c r="A357" s="1" t="inlineStr">
        <is>
          <t>Babyfood, peas, dices, toddler</t>
        </is>
      </c>
      <c r="C357" s="1" t="n">
        <v>10.3</v>
      </c>
      <c r="D357" s="1" t="n">
        <v>35</v>
      </c>
      <c r="E357" s="1" t="n">
        <v>1</v>
      </c>
      <c r="F357" s="1" t="n">
        <v>3.9</v>
      </c>
      <c r="G357" s="1" t="n">
        <v>0.8</v>
      </c>
      <c r="H357" s="1" t="n">
        <v>304</v>
      </c>
      <c r="I357" s="1" t="n">
        <v>0.5</v>
      </c>
      <c r="J357" t="n">
        <v>76409010</v>
      </c>
    </row>
    <row r="358" ht="15.75" customHeight="1" s="201">
      <c r="A358" s="1" t="inlineStr">
        <is>
          <t>Babyfood, plums, bananas and rice, strained</t>
        </is>
      </c>
      <c r="C358" s="1" t="n">
        <v>12.7</v>
      </c>
      <c r="D358" s="1" t="n">
        <v>6</v>
      </c>
      <c r="E358" s="1" t="n">
        <v>0</v>
      </c>
      <c r="F358" s="1" t="n">
        <v>1.1</v>
      </c>
      <c r="G358" s="1" t="n">
        <v>0.3</v>
      </c>
      <c r="H358" s="1" t="n">
        <v>133</v>
      </c>
      <c r="I358" s="1" t="n">
        <v>0.13</v>
      </c>
      <c r="J358" t="n">
        <v>54319000</v>
      </c>
    </row>
    <row r="359" ht="15.75" customHeight="1" s="201">
      <c r="A359" s="1" t="inlineStr">
        <is>
          <t>Babyfood, potatoes, toddler</t>
        </is>
      </c>
      <c r="C359" s="1" t="n">
        <v>11.73</v>
      </c>
      <c r="D359" s="1" t="n">
        <v>6</v>
      </c>
      <c r="E359" s="1" t="n">
        <v>0.2</v>
      </c>
      <c r="F359" s="1" t="n">
        <v>1</v>
      </c>
      <c r="G359" s="1" t="n">
        <v>0.1</v>
      </c>
      <c r="H359" s="1" t="n">
        <v>0</v>
      </c>
      <c r="I359" s="1" t="n">
        <v>0.17</v>
      </c>
      <c r="J359" t="n">
        <v>27211100</v>
      </c>
    </row>
    <row r="360" ht="15.75" customHeight="1" s="201">
      <c r="A360" s="1" t="inlineStr">
        <is>
          <t>Babyfood, pretzels</t>
        </is>
      </c>
      <c r="C360" s="1" t="n">
        <v>82.2</v>
      </c>
      <c r="D360" s="1" t="n">
        <v>85</v>
      </c>
      <c r="E360" s="1" t="n">
        <v>3.77</v>
      </c>
      <c r="F360" s="1" t="n">
        <v>10.8</v>
      </c>
      <c r="G360" s="1" t="n">
        <v>2</v>
      </c>
      <c r="H360" s="1" t="n">
        <v>8</v>
      </c>
      <c r="I360" s="1" t="n">
        <v>0.78</v>
      </c>
      <c r="J360" t="n">
        <v>42502100</v>
      </c>
    </row>
    <row r="361" ht="15.75" customHeight="1" s="201">
      <c r="A361" s="1" t="inlineStr">
        <is>
          <t>Babyfood, prunes, without vitamin c, strained</t>
        </is>
      </c>
      <c r="C361" s="1" t="n">
        <v>23.52</v>
      </c>
      <c r="D361" s="1" t="n">
        <v>1</v>
      </c>
      <c r="E361" s="1" t="n">
        <v>0.4</v>
      </c>
      <c r="F361" s="1" t="n">
        <v>1</v>
      </c>
      <c r="G361" s="1" t="n">
        <v>0.2</v>
      </c>
      <c r="H361" s="1" t="n">
        <v>60</v>
      </c>
      <c r="I361" s="1" t="n">
        <v>0.2</v>
      </c>
      <c r="J361" t="n">
        <v>24164000</v>
      </c>
    </row>
    <row r="362" ht="15.75" customHeight="1" s="201">
      <c r="A362" s="1" t="inlineStr">
        <is>
          <t>Babyfood, ravioli, cheese filled, with tomato sauce</t>
        </is>
      </c>
      <c r="C362" s="1" t="n">
        <v>16.3</v>
      </c>
      <c r="D362" s="1" t="n">
        <v>36</v>
      </c>
      <c r="E362" s="1" t="n">
        <v>0.8</v>
      </c>
      <c r="F362" s="1" t="n">
        <v>3.6</v>
      </c>
      <c r="G362" s="1" t="n">
        <v>2.2</v>
      </c>
      <c r="H362" s="1" t="n">
        <v>494</v>
      </c>
      <c r="I362" s="1" t="n">
        <v>0.35</v>
      </c>
      <c r="J362" t="n">
        <v>58131323</v>
      </c>
    </row>
    <row r="363" ht="15.75" customHeight="1" s="201">
      <c r="A363" s="1" t="inlineStr">
        <is>
          <t>Babyfood, rice and apples, dry</t>
        </is>
      </c>
      <c r="C363" s="1" t="n">
        <v>86.89</v>
      </c>
      <c r="D363" s="1" t="n">
        <v>19</v>
      </c>
      <c r="E363" s="1" t="n">
        <v>37</v>
      </c>
      <c r="F363" s="1" t="n">
        <v>6.7</v>
      </c>
      <c r="G363" s="1" t="n">
        <v>2.4</v>
      </c>
      <c r="H363" s="1" t="n">
        <v>8</v>
      </c>
      <c r="I363" s="1" t="n">
        <v>1.4</v>
      </c>
      <c r="J363" t="n">
        <v>54319000</v>
      </c>
    </row>
    <row r="364" ht="15.75" customHeight="1" s="201">
      <c r="A364" s="1" t="inlineStr">
        <is>
          <t>Babyfood, rice cereal, dry, EARTHS BEST ORGANIC WHOLE GRAIN, fortified only with iron</t>
        </is>
      </c>
      <c r="C364" s="1" t="n">
        <v>78.06</v>
      </c>
      <c r="D364" s="1" t="n">
        <v>24</v>
      </c>
      <c r="E364" s="1" t="n">
        <v>47.53</v>
      </c>
      <c r="F364" s="1" t="n">
        <v>7.5</v>
      </c>
      <c r="G364" s="1" t="n">
        <v>4.9</v>
      </c>
      <c r="H364" s="1" t="n">
        <v>0</v>
      </c>
      <c r="I364" s="1" t="n">
        <v>1.84</v>
      </c>
      <c r="J364" t="n">
        <v>75142550</v>
      </c>
    </row>
    <row r="365" ht="15.75" customHeight="1" s="201">
      <c r="A365" s="1" t="inlineStr">
        <is>
          <t>Babyfood, snack, GERBER GRADUATE FRUIT  STRIPS, Real Fruit Bars</t>
        </is>
      </c>
      <c r="C365" s="1" t="n">
        <v>76.61</v>
      </c>
      <c r="D365" s="1" t="n">
        <v>1</v>
      </c>
      <c r="E365" s="1" t="n">
        <v>1.05</v>
      </c>
      <c r="F365" s="1" t="n">
        <v>0.82</v>
      </c>
      <c r="G365" s="1" t="n">
        <v>2.24</v>
      </c>
      <c r="H365" s="1" t="n">
        <v>233</v>
      </c>
      <c r="I365" s="1" t="n">
        <v>0.14</v>
      </c>
      <c r="J365" t="n">
        <v>91708030</v>
      </c>
    </row>
    <row r="366" ht="15.75" customHeight="1" s="201">
      <c r="A366" s="1" t="inlineStr">
        <is>
          <t>Babyfood, Snack, GERBER, GRADUATES, LIL CRUNCHIES, baked whole grain corn snack</t>
        </is>
      </c>
      <c r="C366" s="1" t="n">
        <v>61.59</v>
      </c>
      <c r="D366" s="1" t="n">
        <v>19</v>
      </c>
      <c r="E366" s="1" t="n">
        <v>6.4</v>
      </c>
      <c r="F366" s="1" t="n">
        <v>0</v>
      </c>
      <c r="G366" s="1" t="n">
        <v>28.57</v>
      </c>
      <c r="H366" s="1" t="n">
        <v>265</v>
      </c>
      <c r="I366" s="1" t="n">
        <v>3.57</v>
      </c>
      <c r="J366" t="n">
        <v>54402200</v>
      </c>
    </row>
    <row r="367" ht="15.75" customHeight="1" s="201">
      <c r="A367" s="1" t="inlineStr">
        <is>
          <t>Babyfood, snack, GERBER, GRADUATES, YOGURT MELTS</t>
        </is>
      </c>
      <c r="C367" s="1" t="n">
        <v>71.81999999999999</v>
      </c>
      <c r="D367" s="1" t="n">
        <v>55</v>
      </c>
      <c r="E367" s="1" t="n">
        <v>0</v>
      </c>
      <c r="F367" s="1" t="n">
        <v>14.29</v>
      </c>
      <c r="G367" s="1" t="n">
        <v>4</v>
      </c>
      <c r="H367" s="1" t="n">
        <v>1396</v>
      </c>
      <c r="I367" s="1" t="n">
        <v>1.77</v>
      </c>
      <c r="J367" t="n">
        <v>67430500</v>
      </c>
    </row>
    <row r="368" ht="15.75" customHeight="1" s="201">
      <c r="A368" s="1" t="inlineStr">
        <is>
          <t>Babyfood, tropical fruit medley</t>
        </is>
      </c>
      <c r="C368" s="1" t="n">
        <v>12.22</v>
      </c>
      <c r="D368" s="1" t="n">
        <v>2</v>
      </c>
      <c r="E368" s="1" t="n">
        <v>0</v>
      </c>
      <c r="F368" s="1" t="n">
        <v>0.31</v>
      </c>
      <c r="G368" s="1" t="n">
        <v>0.14</v>
      </c>
      <c r="H368" s="1" t="n">
        <v>88</v>
      </c>
      <c r="I368" s="1" t="n">
        <v>0.05</v>
      </c>
      <c r="J368" t="n">
        <v>91708030</v>
      </c>
    </row>
    <row r="369" ht="15.75" customHeight="1" s="201">
      <c r="A369" s="1" t="inlineStr">
        <is>
          <t>Babyfood, vegetable and brown rice, strained</t>
        </is>
      </c>
      <c r="C369" s="1" t="n">
        <v>12.1</v>
      </c>
      <c r="D369" s="1" t="n">
        <v>16</v>
      </c>
      <c r="E369" s="1" t="n">
        <v>0.4</v>
      </c>
      <c r="F369" s="1" t="n">
        <v>1.9</v>
      </c>
      <c r="G369" s="1" t="n">
        <v>1.5</v>
      </c>
      <c r="H369" s="1" t="n">
        <v>150</v>
      </c>
      <c r="I369" s="1" t="n">
        <v>0.22</v>
      </c>
      <c r="J369" t="n">
        <v>54319000</v>
      </c>
    </row>
    <row r="370" ht="15.75" customHeight="1" s="201">
      <c r="A370" s="1" t="inlineStr">
        <is>
          <t>Babyfood, vegetable, butternut squash and corn</t>
        </is>
      </c>
      <c r="C370" s="1" t="n">
        <v>9.26</v>
      </c>
      <c r="D370" s="1" t="n">
        <v>23</v>
      </c>
      <c r="E370" s="1" t="n">
        <v>0.4</v>
      </c>
      <c r="F370" s="1" t="n">
        <v>2</v>
      </c>
      <c r="G370" s="1" t="n">
        <v>0.6</v>
      </c>
      <c r="H370" s="1" t="n">
        <v>2793</v>
      </c>
      <c r="I370" s="1" t="n">
        <v>0.3</v>
      </c>
      <c r="J370" t="n">
        <v>76205010</v>
      </c>
    </row>
    <row r="371" ht="15.75" customHeight="1" s="201">
      <c r="A371" s="1" t="inlineStr">
        <is>
          <t>Babyfood, vegetable, green beans and potatoes</t>
        </is>
      </c>
      <c r="C371" s="1" t="n">
        <v>9</v>
      </c>
      <c r="D371" s="1" t="n">
        <v>10</v>
      </c>
      <c r="E371" s="1" t="n">
        <v>0.5</v>
      </c>
      <c r="F371" s="1" t="n">
        <v>2.2</v>
      </c>
      <c r="G371" s="1" t="n">
        <v>1.9</v>
      </c>
      <c r="H371" s="1" t="n">
        <v>85</v>
      </c>
      <c r="I371" s="1" t="n">
        <v>0.3</v>
      </c>
      <c r="J371" t="n">
        <v>75403200</v>
      </c>
    </row>
    <row r="372" ht="15.75" customHeight="1" s="201">
      <c r="A372" s="1" t="inlineStr">
        <is>
          <t>Babyfood, vegetables, beets, strained</t>
        </is>
      </c>
      <c r="C372" s="1" t="n">
        <v>7.7</v>
      </c>
      <c r="D372" s="1" t="n">
        <v>31</v>
      </c>
      <c r="E372" s="1" t="n">
        <v>0.32</v>
      </c>
      <c r="F372" s="1" t="n">
        <v>1.3</v>
      </c>
      <c r="G372" s="1" t="n">
        <v>0.1</v>
      </c>
      <c r="H372" s="1" t="n">
        <v>27</v>
      </c>
      <c r="I372" s="1" t="n">
        <v>0.12</v>
      </c>
      <c r="J372" t="n">
        <v>76407010</v>
      </c>
    </row>
    <row r="373" ht="15.75" customHeight="1" s="201">
      <c r="A373" s="1" t="inlineStr">
        <is>
          <t>Babyfood, vegetables, carrots, junior</t>
        </is>
      </c>
      <c r="C373" s="1" t="n">
        <v>7.2</v>
      </c>
      <c r="D373" s="1" t="n">
        <v>17</v>
      </c>
      <c r="E373" s="1" t="n">
        <v>0.39</v>
      </c>
      <c r="F373" s="1" t="n">
        <v>0.8</v>
      </c>
      <c r="G373" s="1" t="n">
        <v>0.2</v>
      </c>
      <c r="H373" s="1" t="n">
        <v>11810</v>
      </c>
      <c r="I373" s="1" t="n">
        <v>0.18</v>
      </c>
      <c r="J373" t="n">
        <v>76407010</v>
      </c>
    </row>
    <row r="374" ht="15.75" customHeight="1" s="201">
      <c r="A374" s="1" t="inlineStr">
        <is>
          <t>Babyfood, vegetables, carrots, strained</t>
        </is>
      </c>
      <c r="C374" s="1" t="n">
        <v>6</v>
      </c>
      <c r="D374" s="1" t="n">
        <v>15</v>
      </c>
      <c r="E374" s="1" t="n">
        <v>0.37</v>
      </c>
      <c r="F374" s="1" t="n">
        <v>0.8</v>
      </c>
      <c r="G374" s="1" t="n">
        <v>0.1</v>
      </c>
      <c r="H374" s="1" t="n">
        <v>11461</v>
      </c>
      <c r="I374" s="1" t="n">
        <v>0.15</v>
      </c>
      <c r="J374" t="n">
        <v>76407010</v>
      </c>
    </row>
    <row r="375" ht="15.75" customHeight="1" s="201">
      <c r="A375" s="1" t="inlineStr">
        <is>
          <t>Babyfood, vegetables, corn, creamed, junior</t>
        </is>
      </c>
      <c r="C375" s="1" t="n">
        <v>16.25</v>
      </c>
      <c r="D375" s="1" t="n">
        <v>20</v>
      </c>
      <c r="E375" s="1" t="n">
        <v>0.27</v>
      </c>
      <c r="F375" s="1" t="n">
        <v>1.4</v>
      </c>
      <c r="G375" s="1" t="n">
        <v>0.4</v>
      </c>
      <c r="H375" s="1" t="n">
        <v>34</v>
      </c>
      <c r="I375" s="1" t="n">
        <v>0.23</v>
      </c>
      <c r="J375" t="n">
        <v>76407010</v>
      </c>
    </row>
    <row r="376" ht="15.75" customHeight="1" s="201">
      <c r="A376" s="1" t="inlineStr">
        <is>
          <t>Babyfood, vegetables, corn, creamed, strained</t>
        </is>
      </c>
      <c r="C376" s="1" t="n">
        <v>14.1</v>
      </c>
      <c r="D376" s="1" t="n">
        <v>17</v>
      </c>
      <c r="E376" s="1" t="n">
        <v>0.28</v>
      </c>
      <c r="F376" s="1" t="n">
        <v>1.4</v>
      </c>
      <c r="G376" s="1" t="n">
        <v>0.4</v>
      </c>
      <c r="H376" s="1" t="n">
        <v>69</v>
      </c>
      <c r="I376" s="1" t="n">
        <v>0.19</v>
      </c>
      <c r="J376" t="n">
        <v>76407010</v>
      </c>
    </row>
    <row r="377" ht="15.75" customHeight="1" s="201">
      <c r="A377" s="1" t="inlineStr">
        <is>
          <t>Babyfood, vegetables, garden vegetable, strained</t>
        </is>
      </c>
      <c r="C377" s="1" t="n">
        <v>6.8</v>
      </c>
      <c r="D377" s="1" t="n">
        <v>40</v>
      </c>
      <c r="E377" s="1" t="n">
        <v>0.83</v>
      </c>
      <c r="F377" s="1" t="n">
        <v>2.3</v>
      </c>
      <c r="G377" s="1" t="n">
        <v>0.2</v>
      </c>
      <c r="H377" s="1" t="n">
        <v>6067</v>
      </c>
      <c r="I377" s="1" t="n">
        <v>0.26</v>
      </c>
      <c r="J377" t="n">
        <v>76407010</v>
      </c>
    </row>
    <row r="378" ht="15.75" customHeight="1" s="201">
      <c r="A378" s="1" t="inlineStr">
        <is>
          <t>Babyfood, vegetables, green beans, junior</t>
        </is>
      </c>
      <c r="C378" s="1" t="n">
        <v>5.8</v>
      </c>
      <c r="D378" s="1" t="n">
        <v>33</v>
      </c>
      <c r="E378" s="1" t="n">
        <v>1.08</v>
      </c>
      <c r="F378" s="1" t="n">
        <v>1.2</v>
      </c>
      <c r="G378" s="1" t="n">
        <v>0.1</v>
      </c>
      <c r="H378" s="1" t="n">
        <v>433</v>
      </c>
      <c r="I378" s="1" t="n">
        <v>0.19</v>
      </c>
      <c r="J378" t="n">
        <v>76407010</v>
      </c>
    </row>
    <row r="379" ht="15.75" customHeight="1" s="201">
      <c r="A379" s="1" t="inlineStr">
        <is>
          <t>Babyfood, vegetables, green beans, strained</t>
        </is>
      </c>
      <c r="C379" s="1" t="n">
        <v>6.29</v>
      </c>
      <c r="D379" s="1" t="n">
        <v>24</v>
      </c>
      <c r="E379" s="1" t="n">
        <v>0.67</v>
      </c>
      <c r="F379" s="1" t="n">
        <v>1.2</v>
      </c>
      <c r="G379" s="1" t="n">
        <v>0.17</v>
      </c>
      <c r="H379" s="1" t="n">
        <v>355</v>
      </c>
      <c r="I379" s="1" t="n">
        <v>0.22</v>
      </c>
      <c r="J379" t="n">
        <v>76407010</v>
      </c>
    </row>
    <row r="380" ht="15.75" customHeight="1" s="201">
      <c r="A380" s="1" t="inlineStr">
        <is>
          <t>Babyfood, vegetables, mix vegetables junior</t>
        </is>
      </c>
      <c r="C380" s="1" t="n">
        <v>8.199999999999999</v>
      </c>
      <c r="D380" s="1" t="n">
        <v>4</v>
      </c>
      <c r="E380" s="1" t="n">
        <v>0.41</v>
      </c>
      <c r="F380" s="1" t="n">
        <v>1.4</v>
      </c>
      <c r="G380" s="1" t="n">
        <v>0.4</v>
      </c>
      <c r="H380" s="1" t="n">
        <v>4195</v>
      </c>
      <c r="I380" s="1" t="n">
        <v>0.27</v>
      </c>
      <c r="J380" t="n">
        <v>76407010</v>
      </c>
    </row>
    <row r="381" ht="15.75" customHeight="1" s="201">
      <c r="A381" s="1" t="inlineStr">
        <is>
          <t>Babyfood, vegetables, mix vegetables strained</t>
        </is>
      </c>
      <c r="C381" s="1" t="n">
        <v>8.25</v>
      </c>
      <c r="D381" s="1" t="n">
        <v>4</v>
      </c>
      <c r="E381" s="1" t="n">
        <v>0.32</v>
      </c>
      <c r="F381" s="1" t="n">
        <v>1</v>
      </c>
      <c r="G381" s="1" t="n">
        <v>0.5</v>
      </c>
      <c r="H381" s="1" t="n">
        <v>3166</v>
      </c>
      <c r="I381" s="1" t="n">
        <v>0.15</v>
      </c>
      <c r="J381" t="n">
        <v>76407010</v>
      </c>
    </row>
    <row r="382" ht="15.75" customHeight="1" s="201">
      <c r="A382" s="1" t="inlineStr">
        <is>
          <t>Babyfood, vegetables, peas, strained</t>
        </is>
      </c>
      <c r="C382" s="1" t="n">
        <v>8.359999999999999</v>
      </c>
      <c r="D382" s="1" t="n">
        <v>28</v>
      </c>
      <c r="E382" s="1" t="n">
        <v>0.95</v>
      </c>
      <c r="F382" s="1" t="n">
        <v>3.27</v>
      </c>
      <c r="G382" s="1" t="n">
        <v>0.43</v>
      </c>
      <c r="H382" s="1" t="n">
        <v>216</v>
      </c>
      <c r="I382" s="1" t="n">
        <v>0.47</v>
      </c>
      <c r="J382" t="n">
        <v>76407010</v>
      </c>
    </row>
    <row r="383" ht="15.75" customHeight="1" s="201">
      <c r="A383" s="1" t="inlineStr">
        <is>
          <t>Babyfood, vegetables, spinach, creamed, strained</t>
        </is>
      </c>
      <c r="C383" s="1" t="n">
        <v>5.7</v>
      </c>
      <c r="D383" s="1" t="n">
        <v>61</v>
      </c>
      <c r="E383" s="1" t="n">
        <v>0.62</v>
      </c>
      <c r="F383" s="1" t="n">
        <v>2.5</v>
      </c>
      <c r="G383" s="1" t="n">
        <v>1.3</v>
      </c>
      <c r="H383" s="1" t="n">
        <v>4170</v>
      </c>
      <c r="I383" s="1" t="n">
        <v>0.31</v>
      </c>
      <c r="J383" t="n">
        <v>76407010</v>
      </c>
    </row>
    <row r="384" ht="15.75" customHeight="1" s="201">
      <c r="A384" s="1" t="inlineStr">
        <is>
          <t>Babyfood, vegetables, squash, junior</t>
        </is>
      </c>
      <c r="C384" s="1" t="n">
        <v>5.73</v>
      </c>
      <c r="D384" s="1" t="n">
        <v>8</v>
      </c>
      <c r="E384" s="1" t="n">
        <v>0.32</v>
      </c>
      <c r="F384" s="1" t="n">
        <v>0.8100000000000001</v>
      </c>
      <c r="G384" s="1" t="n">
        <v>0.2</v>
      </c>
      <c r="H384" s="1" t="n">
        <v>1703</v>
      </c>
      <c r="I384" s="1" t="n">
        <v>0.19</v>
      </c>
      <c r="J384" t="n">
        <v>76407010</v>
      </c>
    </row>
    <row r="385" ht="15.75" customHeight="1" s="201">
      <c r="A385" s="1" t="inlineStr">
        <is>
          <t>Babyfood, vegetables, squash, strained</t>
        </is>
      </c>
      <c r="C385" s="1" t="n">
        <v>5.73</v>
      </c>
      <c r="D385" s="1" t="n">
        <v>8</v>
      </c>
      <c r="E385" s="1" t="n">
        <v>0.32</v>
      </c>
      <c r="F385" s="1" t="n">
        <v>0.8100000000000001</v>
      </c>
      <c r="G385" s="1" t="n">
        <v>0.2</v>
      </c>
      <c r="H385" s="1" t="n">
        <v>1703</v>
      </c>
      <c r="I385" s="1" t="n">
        <v>0.19</v>
      </c>
      <c r="J385" t="n">
        <v>76407010</v>
      </c>
    </row>
    <row r="386" ht="15.75" customHeight="1" s="201">
      <c r="A386" s="1" t="inlineStr">
        <is>
          <t>Babyfood, vegetables, sweet potatoes strained</t>
        </is>
      </c>
      <c r="C386" s="1" t="n">
        <v>13.2</v>
      </c>
      <c r="D386" s="1" t="n">
        <v>10</v>
      </c>
      <c r="E386" s="1" t="n">
        <v>0.37</v>
      </c>
      <c r="F386" s="1" t="n">
        <v>1.1</v>
      </c>
      <c r="G386" s="1" t="n">
        <v>0.1</v>
      </c>
      <c r="H386" s="1" t="n">
        <v>6438</v>
      </c>
      <c r="I386" s="1" t="n">
        <v>0.21</v>
      </c>
      <c r="J386" t="n">
        <v>76407010</v>
      </c>
    </row>
    <row r="387" ht="15.75" customHeight="1" s="201">
      <c r="A387" s="1" t="inlineStr">
        <is>
          <t>Babyfood, vegetables, sweet potatoes, junior</t>
        </is>
      </c>
      <c r="C387" s="1" t="n">
        <v>14</v>
      </c>
      <c r="D387" s="1" t="n">
        <v>10</v>
      </c>
      <c r="E387" s="1" t="n">
        <v>0.39</v>
      </c>
      <c r="F387" s="1" t="n">
        <v>1.1</v>
      </c>
      <c r="G387" s="1" t="n">
        <v>0.1</v>
      </c>
      <c r="H387" s="1" t="n">
        <v>6636</v>
      </c>
      <c r="I387" s="1" t="n">
        <v>0.11</v>
      </c>
      <c r="J387" t="n">
        <v>76407010</v>
      </c>
    </row>
    <row r="388" ht="15.75" customHeight="1" s="201">
      <c r="A388" s="1" t="inlineStr">
        <is>
          <t>Babyfood, water, bottled, GERBER, without added fluoride</t>
        </is>
      </c>
      <c r="C388" s="1" t="n">
        <v>0</v>
      </c>
      <c r="D388" s="1" t="n">
        <v>0</v>
      </c>
      <c r="E388" s="1" t="n">
        <v>0</v>
      </c>
      <c r="F388" s="1" t="n">
        <v>0</v>
      </c>
      <c r="G388" s="1" t="n">
        <v>0</v>
      </c>
      <c r="H388" s="1" t="n">
        <v>0</v>
      </c>
      <c r="I388" s="1" t="n">
        <v>0</v>
      </c>
      <c r="J388" t="n">
        <v>11710919</v>
      </c>
    </row>
    <row r="389" ht="15.75" customHeight="1" s="201">
      <c r="A389" s="1" t="inlineStr">
        <is>
          <t>Babyfood, yogurt, whole milk, with fruit, multigrain cereal and added DHA fortified</t>
        </is>
      </c>
      <c r="C389" s="1" t="n">
        <v>13.22</v>
      </c>
      <c r="D389" s="1" t="n">
        <v>8</v>
      </c>
      <c r="E389" s="1" t="n">
        <v>0.15</v>
      </c>
      <c r="F389" s="1" t="n">
        <v>3.4</v>
      </c>
      <c r="G389" s="1" t="n">
        <v>3.53</v>
      </c>
      <c r="H389" s="1" t="n">
        <v>86</v>
      </c>
      <c r="I389" s="1" t="n">
        <v>0.59</v>
      </c>
      <c r="J389" t="n">
        <v>91708030</v>
      </c>
    </row>
    <row r="390" ht="15.75" customHeight="1" s="201">
      <c r="A390" s="1" t="inlineStr">
        <is>
          <t>Babyfood, yogurt, whole milk, with fruit, multigrain cereal and added iron fortified</t>
        </is>
      </c>
      <c r="C390" s="1" t="n">
        <v>13</v>
      </c>
      <c r="D390" s="1" t="n">
        <v>7</v>
      </c>
      <c r="E390" s="1" t="n">
        <v>4.18</v>
      </c>
      <c r="F390" s="1" t="n">
        <v>3.05</v>
      </c>
      <c r="G390" s="1" t="n">
        <v>3.08</v>
      </c>
      <c r="H390" s="1" t="n">
        <v>82</v>
      </c>
      <c r="I390" s="1" t="n">
        <v>0.54</v>
      </c>
      <c r="J390" t="n">
        <v>91708030</v>
      </c>
    </row>
    <row r="391" ht="15.75" customHeight="1" s="201">
      <c r="A391" s="1" t="inlineStr">
        <is>
          <t>Bacon and beef sticks</t>
        </is>
      </c>
      <c r="C391" s="1" t="n">
        <v>0.8</v>
      </c>
      <c r="D391" s="1" t="n">
        <v>2</v>
      </c>
      <c r="E391" s="1" t="n">
        <v>1.86</v>
      </c>
      <c r="F391" s="1" t="n">
        <v>29.1</v>
      </c>
      <c r="G391" s="1" t="n">
        <v>44.2</v>
      </c>
      <c r="H391" s="1" t="n">
        <v>0</v>
      </c>
      <c r="I391" s="1" t="n">
        <v>3.23</v>
      </c>
      <c r="J391" t="n">
        <v>28110510</v>
      </c>
    </row>
    <row r="392" ht="15.75" customHeight="1" s="201">
      <c r="A392" s="1" t="inlineStr">
        <is>
          <t>Bacon bits, meatless</t>
        </is>
      </c>
      <c r="C392" s="1" t="n">
        <v>28.6</v>
      </c>
      <c r="D392" s="1" t="n">
        <v>127</v>
      </c>
      <c r="E392" s="1" t="n">
        <v>0.72</v>
      </c>
      <c r="F392" s="1" t="n">
        <v>32</v>
      </c>
      <c r="G392" s="1" t="n">
        <v>25.9</v>
      </c>
      <c r="H392" s="1" t="n">
        <v>0</v>
      </c>
      <c r="I392" s="1" t="n">
        <v>1.87</v>
      </c>
      <c r="J392" t="n">
        <v>32202070</v>
      </c>
    </row>
    <row r="393" ht="15.75" customHeight="1" s="201">
      <c r="A393" s="1" t="inlineStr">
        <is>
          <t>Bacon, meatless</t>
        </is>
      </c>
      <c r="C393" s="1" t="n">
        <v>5.31</v>
      </c>
      <c r="D393" s="1" t="n">
        <v>42</v>
      </c>
      <c r="E393" s="1" t="n">
        <v>2.41</v>
      </c>
      <c r="F393" s="1" t="n">
        <v>11.69</v>
      </c>
      <c r="G393" s="1" t="n">
        <v>29.52</v>
      </c>
      <c r="H393" s="1" t="n">
        <v>88</v>
      </c>
      <c r="I393" s="1" t="n">
        <v>0.42</v>
      </c>
      <c r="J393" t="n">
        <v>32202070</v>
      </c>
    </row>
    <row r="394" ht="15.75" customHeight="1" s="201">
      <c r="A394" s="1" t="inlineStr">
        <is>
          <t>Bacon, pre-sliced, reduced/low sodium, unprepared</t>
        </is>
      </c>
      <c r="C394" s="1" t="n">
        <v>0.83</v>
      </c>
      <c r="E394" s="1" t="n">
        <v>0.42</v>
      </c>
      <c r="F394" s="1" t="n">
        <v>12.53</v>
      </c>
      <c r="G394" s="1" t="n">
        <v>39.27</v>
      </c>
      <c r="H394" s="1" t="n">
        <v>0</v>
      </c>
      <c r="I394" s="1" t="n">
        <v>1.19</v>
      </c>
      <c r="J394" t="n">
        <v>54204030</v>
      </c>
    </row>
    <row r="395" ht="15.75" customHeight="1" s="201">
      <c r="A395" s="1" t="inlineStr">
        <is>
          <t>Bacon, turkey, low sodium</t>
        </is>
      </c>
      <c r="C395" s="1" t="n">
        <v>4.8</v>
      </c>
      <c r="D395" s="1" t="n">
        <v>6</v>
      </c>
      <c r="E395" s="1" t="n">
        <v>0.72</v>
      </c>
      <c r="F395" s="1" t="n">
        <v>13.33</v>
      </c>
      <c r="G395" s="1" t="n">
        <v>20</v>
      </c>
      <c r="H395" s="1" t="n">
        <v>25</v>
      </c>
      <c r="I395" s="1" t="n">
        <v>1.61</v>
      </c>
      <c r="J395" t="n">
        <v>54204030</v>
      </c>
    </row>
    <row r="396" ht="15.75" customHeight="1" s="201">
      <c r="A396" s="1" t="inlineStr">
        <is>
          <t>Bacon, turkey, microwaved</t>
        </is>
      </c>
      <c r="C396" s="1" t="n">
        <v>4.24</v>
      </c>
      <c r="D396" s="1" t="n">
        <v>15</v>
      </c>
      <c r="E396" s="1" t="n">
        <v>2.63</v>
      </c>
      <c r="F396" s="1" t="n">
        <v>29.5</v>
      </c>
      <c r="G396" s="1" t="n">
        <v>25.87</v>
      </c>
      <c r="H396" s="1" t="n">
        <v>63</v>
      </c>
      <c r="I396" s="1" t="n">
        <v>4.71</v>
      </c>
      <c r="J396" t="n">
        <v>27446315</v>
      </c>
    </row>
    <row r="397" ht="15.75" customHeight="1" s="201">
      <c r="A397" s="1" t="inlineStr">
        <is>
          <t>Bacon, turkey, unprepared</t>
        </is>
      </c>
      <c r="C397" s="1" t="n">
        <v>1.89</v>
      </c>
      <c r="D397" s="1" t="n">
        <v>10</v>
      </c>
      <c r="E397" s="1" t="n">
        <v>1.4</v>
      </c>
      <c r="F397" s="1" t="n">
        <v>15.94</v>
      </c>
      <c r="G397" s="1" t="n">
        <v>16.93</v>
      </c>
      <c r="H397" s="1" t="n">
        <v>34</v>
      </c>
      <c r="I397" s="1" t="n">
        <v>2.54</v>
      </c>
      <c r="J397" t="n">
        <v>27446315</v>
      </c>
    </row>
    <row r="398" ht="15.75" customHeight="1" s="201">
      <c r="A398" s="1" t="inlineStr">
        <is>
          <t>Bagels, cinnamon-raisin</t>
        </is>
      </c>
      <c r="C398" s="1" t="n">
        <v>55.2</v>
      </c>
      <c r="D398" s="1" t="n">
        <v>111</v>
      </c>
      <c r="E398" s="1" t="n">
        <v>3.8</v>
      </c>
      <c r="F398" s="1" t="n">
        <v>9.800000000000001</v>
      </c>
      <c r="G398" s="1" t="n">
        <v>1.7</v>
      </c>
      <c r="H398" s="1" t="n">
        <v>73</v>
      </c>
      <c r="I398" s="1" t="n">
        <v>1.13</v>
      </c>
      <c r="J398" t="n">
        <v>51129010</v>
      </c>
    </row>
    <row r="399" ht="15.75" customHeight="1" s="201">
      <c r="A399" s="1" t="inlineStr">
        <is>
          <t>Bagels, cinnamon-raisin, toasted</t>
        </is>
      </c>
      <c r="C399" s="1" t="n">
        <v>59.3</v>
      </c>
      <c r="D399" s="1" t="n">
        <v>102</v>
      </c>
      <c r="E399" s="1" t="n">
        <v>4.09</v>
      </c>
      <c r="F399" s="1" t="n">
        <v>10.6</v>
      </c>
      <c r="G399" s="1" t="n">
        <v>1.8</v>
      </c>
      <c r="H399" s="1" t="n">
        <v>71</v>
      </c>
      <c r="I399" s="1" t="n">
        <v>0.8100000000000001</v>
      </c>
      <c r="J399" t="n">
        <v>51129020</v>
      </c>
    </row>
    <row r="400" ht="15.75" customHeight="1" s="201">
      <c r="A400" s="1" t="inlineStr">
        <is>
          <t>Bagels, multigrain</t>
        </is>
      </c>
      <c r="C400" s="1" t="n">
        <v>47.47</v>
      </c>
      <c r="D400" s="1" t="n">
        <v>81</v>
      </c>
      <c r="E400" s="1" t="n">
        <v>2.23</v>
      </c>
      <c r="F400" s="1" t="n">
        <v>9.9</v>
      </c>
      <c r="G400" s="1" t="n">
        <v>1.24</v>
      </c>
      <c r="H400" s="1" t="n">
        <v>2</v>
      </c>
      <c r="I400" s="1" t="n">
        <v>1.52</v>
      </c>
      <c r="J400" t="n">
        <v>54326000</v>
      </c>
    </row>
    <row r="401" ht="15.75" customHeight="1" s="201">
      <c r="A401" s="1" t="inlineStr">
        <is>
          <t>Bagels, oat bran</t>
        </is>
      </c>
      <c r="C401" s="1" t="n">
        <v>53.3</v>
      </c>
      <c r="D401" s="1" t="n">
        <v>98</v>
      </c>
      <c r="E401" s="1" t="n">
        <v>3.08</v>
      </c>
      <c r="F401" s="1" t="n">
        <v>10.7</v>
      </c>
      <c r="G401" s="1" t="n">
        <v>1.2</v>
      </c>
      <c r="H401" s="1" t="n">
        <v>4</v>
      </c>
      <c r="I401" s="1" t="n">
        <v>0.9</v>
      </c>
      <c r="J401" t="n">
        <v>51301010</v>
      </c>
    </row>
    <row r="402" ht="15.75" customHeight="1" s="201">
      <c r="A402" s="1" t="inlineStr">
        <is>
          <t>Bagels, wheat</t>
        </is>
      </c>
      <c r="C402" s="1" t="n">
        <v>48.89</v>
      </c>
      <c r="D402" s="1" t="n">
        <v>76</v>
      </c>
      <c r="E402" s="1" t="n">
        <v>2.76</v>
      </c>
      <c r="F402" s="1" t="n">
        <v>10.2</v>
      </c>
      <c r="G402" s="1" t="n">
        <v>1.53</v>
      </c>
      <c r="H402" s="1" t="n">
        <v>0</v>
      </c>
      <c r="I402" s="1" t="n">
        <v>1.1</v>
      </c>
      <c r="J402" t="n">
        <v>54338000</v>
      </c>
    </row>
    <row r="403" ht="15.75" customHeight="1" s="201">
      <c r="A403" s="1" t="inlineStr">
        <is>
          <t>Bagels, whole grain white</t>
        </is>
      </c>
      <c r="C403" s="1" t="n">
        <v>54.52</v>
      </c>
      <c r="D403" s="1" t="n">
        <v>140</v>
      </c>
      <c r="E403" s="1" t="n">
        <v>4.19</v>
      </c>
      <c r="F403" s="1" t="n">
        <v>9.300000000000001</v>
      </c>
      <c r="G403" s="1" t="n">
        <v>0</v>
      </c>
      <c r="H403" s="1" t="n">
        <v>3</v>
      </c>
      <c r="I403" s="1" t="n">
        <v>1.62</v>
      </c>
      <c r="J403" t="n">
        <v>54204030</v>
      </c>
    </row>
    <row r="404" ht="15.75" customHeight="1" s="201">
      <c r="A404" s="1" t="inlineStr">
        <is>
          <t>Baking chocolate, MARS SNACKFOOD US, M&amp;M's Milk Chocolate Mini Baking Bits</t>
        </is>
      </c>
      <c r="C404" s="1" t="n">
        <v>68.40000000000001</v>
      </c>
      <c r="E404" s="1" t="n">
        <v>1.23</v>
      </c>
      <c r="F404" s="1" t="n">
        <v>4.78</v>
      </c>
      <c r="G404" s="1" t="n">
        <v>23.36</v>
      </c>
      <c r="H404" s="1" t="n">
        <v>224</v>
      </c>
      <c r="J404" t="n">
        <v>53108200</v>
      </c>
    </row>
    <row r="405" ht="15.75" customHeight="1" s="201">
      <c r="A405" s="1" t="inlineStr">
        <is>
          <t>Baking chocolate, MARS SNACKFOOD US, M&amp;M's Semisweet Chocolate Mini Baking Bits</t>
        </is>
      </c>
      <c r="C405" s="1" t="n">
        <v>65.95999999999999</v>
      </c>
      <c r="E405" s="1" t="n">
        <v>2.91</v>
      </c>
      <c r="F405" s="1" t="n">
        <v>4.44</v>
      </c>
      <c r="G405" s="1" t="n">
        <v>26.15</v>
      </c>
      <c r="H405" s="1" t="n">
        <v>74</v>
      </c>
      <c r="J405" t="n">
        <v>53108200</v>
      </c>
    </row>
    <row r="406" ht="15.75" customHeight="1" s="201">
      <c r="A406" s="1" t="inlineStr">
        <is>
          <t>Baking chocolate, mexican, squares</t>
        </is>
      </c>
      <c r="C406" s="1" t="n">
        <v>77.41</v>
      </c>
      <c r="D406" s="1" t="n">
        <v>5</v>
      </c>
      <c r="E406" s="1" t="n">
        <v>2.18</v>
      </c>
      <c r="F406" s="1" t="n">
        <v>3.64</v>
      </c>
      <c r="G406" s="1" t="n">
        <v>15.59</v>
      </c>
      <c r="H406" s="1" t="n">
        <v>0</v>
      </c>
      <c r="I406" s="1" t="n">
        <v>1.26</v>
      </c>
      <c r="J406" t="n">
        <v>53108200</v>
      </c>
    </row>
    <row r="407" ht="15.75" customHeight="1" s="201">
      <c r="A407" s="1" t="inlineStr">
        <is>
          <t>Baking chocolate, unsweetened, liquid</t>
        </is>
      </c>
      <c r="C407" s="1" t="n">
        <v>36.2</v>
      </c>
      <c r="D407" s="1" t="n">
        <v>19</v>
      </c>
      <c r="E407" s="1" t="n">
        <v>4.15</v>
      </c>
      <c r="F407" s="1" t="n">
        <v>12.1</v>
      </c>
      <c r="G407" s="1" t="n">
        <v>47.7</v>
      </c>
      <c r="H407" s="1" t="n">
        <v>12</v>
      </c>
      <c r="I407" s="1" t="n">
        <v>3.68</v>
      </c>
      <c r="J407" t="n">
        <v>53108200</v>
      </c>
    </row>
    <row r="408" ht="15.75" customHeight="1" s="201">
      <c r="A408" s="1" t="inlineStr">
        <is>
          <t>Baking chocolate, unsweetened, squares</t>
        </is>
      </c>
      <c r="C408" s="1" t="n">
        <v>28.42</v>
      </c>
      <c r="D408" s="1" t="n">
        <v>28</v>
      </c>
      <c r="E408" s="1" t="n">
        <v>17.4</v>
      </c>
      <c r="F408" s="1" t="n">
        <v>14.32</v>
      </c>
      <c r="G408" s="1" t="n">
        <v>52.31</v>
      </c>
      <c r="H408" s="1" t="n">
        <v>0</v>
      </c>
      <c r="I408" s="1" t="n">
        <v>9.630000000000001</v>
      </c>
      <c r="J408" t="n">
        <v>53108200</v>
      </c>
    </row>
    <row r="409" ht="15.75" customHeight="1" s="201">
      <c r="A409" s="1" t="inlineStr">
        <is>
          <t>Balsam-pear (bitter gourd), leafy tips, cooked, boiled, drained, with salt</t>
        </is>
      </c>
      <c r="C409" s="1" t="n">
        <v>6.16</v>
      </c>
      <c r="D409" s="1" t="n">
        <v>88</v>
      </c>
      <c r="E409" s="1" t="n">
        <v>1.02</v>
      </c>
      <c r="F409" s="1" t="n">
        <v>3.6</v>
      </c>
      <c r="G409" s="1" t="n">
        <v>0.2</v>
      </c>
      <c r="H409" s="1" t="n">
        <v>2416</v>
      </c>
      <c r="I409" s="1" t="n">
        <v>0.3</v>
      </c>
      <c r="J409" t="n">
        <v>75142550</v>
      </c>
    </row>
    <row r="410" ht="15.75" customHeight="1" s="201">
      <c r="A410" s="1" t="inlineStr">
        <is>
          <t>Balsam-pear (bitter gourd), leafy tips, cooked, boiled, drained, without salt</t>
        </is>
      </c>
      <c r="C410" s="1" t="n">
        <v>6.68</v>
      </c>
      <c r="D410" s="1" t="n">
        <v>88</v>
      </c>
      <c r="E410" s="1" t="n">
        <v>1.02</v>
      </c>
      <c r="F410" s="1" t="n">
        <v>3.6</v>
      </c>
      <c r="G410" s="1" t="n">
        <v>0.2</v>
      </c>
      <c r="H410" s="1" t="n">
        <v>2416</v>
      </c>
      <c r="I410" s="1" t="n">
        <v>0.3</v>
      </c>
    </row>
    <row r="411" ht="15.75" customHeight="1" s="201">
      <c r="A411" s="1" t="inlineStr">
        <is>
          <t>Balsam-pear (bitter gourd), leafy tips, raw</t>
        </is>
      </c>
      <c r="C411" s="1" t="n">
        <v>3.29</v>
      </c>
      <c r="D411" s="1" t="n">
        <v>128</v>
      </c>
      <c r="E411" s="1" t="n">
        <v>2.04</v>
      </c>
      <c r="F411" s="1" t="n">
        <v>5.3</v>
      </c>
      <c r="G411" s="1" t="n">
        <v>0.6899999999999999</v>
      </c>
      <c r="H411" s="1" t="n">
        <v>1734</v>
      </c>
      <c r="I411" s="1" t="n">
        <v>0.3</v>
      </c>
      <c r="J411" t="n">
        <v>75208310</v>
      </c>
    </row>
    <row r="412" ht="15.75" customHeight="1" s="201">
      <c r="A412" s="1" t="inlineStr">
        <is>
          <t>Balsam-pear (bitter gourd), pods, cooked, boiled, drained, with salt</t>
        </is>
      </c>
      <c r="C412" s="1" t="n">
        <v>4.32</v>
      </c>
      <c r="D412" s="1" t="n">
        <v>51</v>
      </c>
      <c r="E412" s="1" t="n">
        <v>0.38</v>
      </c>
      <c r="F412" s="1" t="n">
        <v>0.84</v>
      </c>
      <c r="G412" s="1" t="n">
        <v>0.18</v>
      </c>
      <c r="H412" s="1" t="n">
        <v>113</v>
      </c>
      <c r="I412" s="1" t="n">
        <v>0.77</v>
      </c>
      <c r="J412" t="n">
        <v>75142550</v>
      </c>
    </row>
    <row r="413" ht="15.75" customHeight="1" s="201">
      <c r="A413" s="1" t="inlineStr">
        <is>
          <t>Balsam-pear (bitter gourd), pods, cooked, boiled, drained, without salt</t>
        </is>
      </c>
      <c r="C413" s="1" t="n">
        <v>4.32</v>
      </c>
      <c r="D413" s="1" t="n">
        <v>51</v>
      </c>
      <c r="E413" s="1" t="n">
        <v>0.38</v>
      </c>
      <c r="F413" s="1" t="n">
        <v>0.84</v>
      </c>
      <c r="G413" s="1" t="n">
        <v>0.18</v>
      </c>
      <c r="H413" s="1" t="n">
        <v>113</v>
      </c>
      <c r="I413" s="1" t="n">
        <v>0.77</v>
      </c>
      <c r="J413" t="n">
        <v>75208310</v>
      </c>
    </row>
    <row r="414" ht="15.75" customHeight="1" s="201">
      <c r="A414" s="1" t="inlineStr">
        <is>
          <t>Balsam-pear (bitter gourd), pods, raw</t>
        </is>
      </c>
      <c r="C414" s="1" t="n">
        <v>3.7</v>
      </c>
      <c r="D414" s="1" t="n">
        <v>72</v>
      </c>
      <c r="E414" s="1" t="n">
        <v>0.43</v>
      </c>
      <c r="F414" s="1" t="n">
        <v>1</v>
      </c>
      <c r="G414" s="1" t="n">
        <v>0.17</v>
      </c>
      <c r="H414" s="1" t="n">
        <v>471</v>
      </c>
      <c r="I414" s="1" t="n">
        <v>0.8</v>
      </c>
      <c r="J414" t="n">
        <v>75208310</v>
      </c>
    </row>
    <row r="415" ht="15.75" customHeight="1" s="201">
      <c r="A415" s="1" t="inlineStr">
        <is>
          <t>Bamboo shoots, canned, drained solids</t>
        </is>
      </c>
      <c r="C415" s="1" t="n">
        <v>3.22</v>
      </c>
      <c r="D415" s="1" t="n">
        <v>3</v>
      </c>
      <c r="E415" s="1" t="n">
        <v>0.32</v>
      </c>
      <c r="F415" s="1" t="n">
        <v>1.72</v>
      </c>
      <c r="G415" s="1" t="n">
        <v>0.4</v>
      </c>
      <c r="H415" s="1" t="n">
        <v>13</v>
      </c>
      <c r="I415" s="1" t="n">
        <v>0.65</v>
      </c>
      <c r="J415" t="n">
        <v>63311110</v>
      </c>
    </row>
    <row r="416" ht="15.75" customHeight="1" s="201">
      <c r="A416" s="1" t="inlineStr">
        <is>
          <t>Bamboo shoots, cooked, boiled, drained, with salt</t>
        </is>
      </c>
      <c r="C416" s="1" t="n">
        <v>1.52</v>
      </c>
      <c r="D416" s="1" t="n">
        <v>2</v>
      </c>
      <c r="E416" s="1" t="n">
        <v>0.24</v>
      </c>
      <c r="F416" s="1" t="n">
        <v>1.53</v>
      </c>
      <c r="G416" s="1" t="n">
        <v>0.22</v>
      </c>
      <c r="H416" s="1" t="n">
        <v>0</v>
      </c>
      <c r="I416" s="1" t="n">
        <v>0.47</v>
      </c>
      <c r="J416" t="n">
        <v>75142550</v>
      </c>
    </row>
    <row r="417" ht="15.75" customHeight="1" s="201">
      <c r="A417" s="1" t="inlineStr">
        <is>
          <t>Bamboo shoots, cooked, boiled, drained, without salt</t>
        </is>
      </c>
      <c r="C417" s="1" t="n">
        <v>1.92</v>
      </c>
      <c r="D417" s="1" t="n">
        <v>2</v>
      </c>
      <c r="E417" s="1" t="n">
        <v>0.24</v>
      </c>
      <c r="F417" s="1" t="n">
        <v>1.53</v>
      </c>
      <c r="G417" s="1" t="n">
        <v>0.22</v>
      </c>
      <c r="H417" s="1" t="n">
        <v>0</v>
      </c>
      <c r="I417" s="1" t="n">
        <v>0.47</v>
      </c>
      <c r="J417" t="n">
        <v>75203028</v>
      </c>
    </row>
    <row r="418" ht="15.75" customHeight="1" s="201">
      <c r="A418" s="1" t="inlineStr">
        <is>
          <t>Bamboo shoots, raw</t>
        </is>
      </c>
      <c r="C418" s="1" t="n">
        <v>5.2</v>
      </c>
      <c r="D418" s="1" t="n">
        <v>7</v>
      </c>
      <c r="E418" s="1" t="n">
        <v>0.5</v>
      </c>
      <c r="F418" s="1" t="n">
        <v>2.6</v>
      </c>
      <c r="G418" s="1" t="n">
        <v>0.3</v>
      </c>
      <c r="H418" s="1" t="n">
        <v>20</v>
      </c>
      <c r="I418" s="1" t="n">
        <v>1.1</v>
      </c>
      <c r="J418" t="n">
        <v>75203028</v>
      </c>
    </row>
    <row r="419" ht="15.75" customHeight="1" s="201">
      <c r="A419" s="1" t="inlineStr">
        <is>
          <t>Bananas, dehydrated, or banana powder</t>
        </is>
      </c>
      <c r="C419" s="1" t="n">
        <v>88.28</v>
      </c>
      <c r="D419" s="1" t="n">
        <v>14</v>
      </c>
      <c r="E419" s="1" t="n">
        <v>1.15</v>
      </c>
      <c r="F419" s="1" t="n">
        <v>3.89</v>
      </c>
      <c r="G419" s="1" t="n">
        <v>1.81</v>
      </c>
      <c r="H419" s="1" t="n">
        <v>248</v>
      </c>
      <c r="I419" s="1" t="n">
        <v>0.61</v>
      </c>
      <c r="J419" t="n">
        <v>52302010</v>
      </c>
    </row>
    <row r="420" ht="15.75" customHeight="1" s="201">
      <c r="A420" s="1" t="inlineStr">
        <is>
          <t>Bananas, raw</t>
        </is>
      </c>
      <c r="C420" s="1" t="n">
        <v>22.84</v>
      </c>
      <c r="D420" s="1" t="n">
        <v>20</v>
      </c>
      <c r="E420" s="1" t="n">
        <v>0.26</v>
      </c>
      <c r="F420" s="1" t="n">
        <v>1.09</v>
      </c>
      <c r="G420" s="1" t="n">
        <v>0.33</v>
      </c>
      <c r="H420" s="1" t="n">
        <v>64</v>
      </c>
      <c r="I420" s="1" t="n">
        <v>0.15</v>
      </c>
      <c r="J420" t="n">
        <v>57823000</v>
      </c>
    </row>
    <row r="421" ht="15.75" customHeight="1" s="201">
      <c r="A421" s="1" t="inlineStr">
        <is>
          <t>BANQUET, Salisbury Steak With Gravy, family size, frozen, unprepared</t>
        </is>
      </c>
      <c r="C421" s="1" t="n">
        <v>6.96</v>
      </c>
      <c r="D421" s="1" t="n">
        <v>13</v>
      </c>
      <c r="E421" s="1" t="n">
        <v>0.98</v>
      </c>
      <c r="F421" s="1" t="n">
        <v>6.89</v>
      </c>
      <c r="G421" s="1" t="n">
        <v>11.1</v>
      </c>
      <c r="I421" s="1" t="n">
        <v>0.73</v>
      </c>
      <c r="J421" t="n">
        <v>28110310</v>
      </c>
    </row>
    <row r="422" ht="15.75" customHeight="1" s="201">
      <c r="A422" s="1" t="inlineStr">
        <is>
          <t>Baobab powder</t>
        </is>
      </c>
      <c r="C422" s="1" t="n">
        <v>79.65000000000001</v>
      </c>
      <c r="D422" s="1" t="n">
        <v>43</v>
      </c>
      <c r="E422" s="1" t="n">
        <v>8.42</v>
      </c>
      <c r="F422" s="1" t="n">
        <v>3.69</v>
      </c>
      <c r="G422" s="1" t="n">
        <v>0.47</v>
      </c>
      <c r="I422" s="1" t="n">
        <v>0.92</v>
      </c>
      <c r="J422" t="n">
        <v>12210420</v>
      </c>
    </row>
    <row r="423" ht="15.75" customHeight="1" s="201">
      <c r="A423" s="1" t="inlineStr">
        <is>
          <t>Barbecue loaf, pork, beef</t>
        </is>
      </c>
      <c r="C423" s="1" t="n">
        <v>6.4</v>
      </c>
      <c r="D423" s="1" t="n">
        <v>9</v>
      </c>
      <c r="E423" s="1" t="n">
        <v>1.16</v>
      </c>
      <c r="F423" s="1" t="n">
        <v>15.84</v>
      </c>
      <c r="G423" s="1" t="n">
        <v>8.9</v>
      </c>
      <c r="H423" s="1" t="n">
        <v>68</v>
      </c>
      <c r="I423" s="1" t="n">
        <v>2.46</v>
      </c>
      <c r="J423" t="n">
        <v>28110510</v>
      </c>
    </row>
    <row r="424" ht="15.75" customHeight="1" s="201">
      <c r="A424" s="1" t="inlineStr">
        <is>
          <t>Barley flour or meal</t>
        </is>
      </c>
      <c r="C424" s="1" t="n">
        <v>74.52</v>
      </c>
      <c r="D424" s="1" t="n">
        <v>8</v>
      </c>
      <c r="E424" s="1" t="n">
        <v>2.68</v>
      </c>
      <c r="F424" s="1" t="n">
        <v>10.5</v>
      </c>
      <c r="G424" s="1" t="n">
        <v>1.6</v>
      </c>
      <c r="H424" s="1" t="n">
        <v>0</v>
      </c>
      <c r="I424" s="1" t="n">
        <v>2</v>
      </c>
      <c r="J424" t="n">
        <v>58401010</v>
      </c>
    </row>
    <row r="425" ht="15.75" customHeight="1" s="201">
      <c r="A425" s="1" t="inlineStr">
        <is>
          <t>Barley malt flour</t>
        </is>
      </c>
      <c r="C425" s="1" t="n">
        <v>78.3</v>
      </c>
      <c r="D425" s="1" t="n">
        <v>38</v>
      </c>
      <c r="E425" s="1" t="n">
        <v>4.71</v>
      </c>
      <c r="F425" s="1" t="n">
        <v>10.28</v>
      </c>
      <c r="G425" s="1" t="n">
        <v>1.84</v>
      </c>
      <c r="H425" s="1" t="n">
        <v>19</v>
      </c>
      <c r="I425" s="1" t="n">
        <v>2.06</v>
      </c>
      <c r="J425" t="n">
        <v>58401010</v>
      </c>
    </row>
    <row r="426" ht="15.75" customHeight="1" s="201">
      <c r="A426" s="1" t="inlineStr">
        <is>
          <t>Barley, hulled</t>
        </is>
      </c>
      <c r="C426" s="1" t="n">
        <v>73.48</v>
      </c>
      <c r="D426" s="1" t="n">
        <v>19</v>
      </c>
      <c r="E426" s="1" t="n">
        <v>3.6</v>
      </c>
      <c r="F426" s="1" t="n">
        <v>12.48</v>
      </c>
      <c r="G426" s="1" t="n">
        <v>2.3</v>
      </c>
      <c r="H426" s="1" t="n">
        <v>22</v>
      </c>
      <c r="I426" s="1" t="n">
        <v>2.77</v>
      </c>
      <c r="J426" t="n">
        <v>58401010</v>
      </c>
    </row>
    <row r="427" ht="15.75" customHeight="1" s="201">
      <c r="A427" s="1" t="inlineStr">
        <is>
          <t>Barley, pearled, cooked</t>
        </is>
      </c>
      <c r="C427" s="1" t="n">
        <v>28.22</v>
      </c>
      <c r="D427" s="1" t="n">
        <v>16</v>
      </c>
      <c r="E427" s="1" t="n">
        <v>1.33</v>
      </c>
      <c r="F427" s="1" t="n">
        <v>2.26</v>
      </c>
      <c r="G427" s="1" t="n">
        <v>0.44</v>
      </c>
      <c r="H427" s="1" t="n">
        <v>7</v>
      </c>
      <c r="I427" s="1" t="n">
        <v>0.82</v>
      </c>
      <c r="J427" t="n">
        <v>58401010</v>
      </c>
    </row>
    <row r="428" ht="15.75" customHeight="1" s="201">
      <c r="A428" s="1" t="inlineStr">
        <is>
          <t>Barley, pearled, raw</t>
        </is>
      </c>
      <c r="C428" s="1" t="n">
        <v>77.72</v>
      </c>
      <c r="D428" s="1" t="n">
        <v>23</v>
      </c>
      <c r="E428" s="1" t="n">
        <v>2.5</v>
      </c>
      <c r="F428" s="1" t="n">
        <v>9.91</v>
      </c>
      <c r="G428" s="1" t="n">
        <v>1.16</v>
      </c>
      <c r="H428" s="1" t="n">
        <v>22</v>
      </c>
      <c r="I428" s="1" t="n">
        <v>2.13</v>
      </c>
      <c r="J428" t="n">
        <v>58401010</v>
      </c>
    </row>
    <row r="429" ht="15.75" customHeight="1" s="201">
      <c r="A429" s="1" t="inlineStr">
        <is>
          <t>Basil, fresh</t>
        </is>
      </c>
      <c r="C429" s="1" t="n">
        <v>2.65</v>
      </c>
      <c r="D429" s="1" t="n">
        <v>68</v>
      </c>
      <c r="E429" s="1" t="n">
        <v>3.17</v>
      </c>
      <c r="F429" s="1" t="n">
        <v>3.15</v>
      </c>
      <c r="G429" s="1" t="n">
        <v>0.64</v>
      </c>
      <c r="H429" s="1" t="n">
        <v>5275</v>
      </c>
      <c r="I429" s="1" t="n">
        <v>0.8100000000000001</v>
      </c>
      <c r="J429" t="n">
        <v>14108020</v>
      </c>
    </row>
    <row r="430" ht="15.75" customHeight="1" s="201">
      <c r="A430" s="1" t="inlineStr">
        <is>
          <t>Beans, adzuki, mature seed, cooked, boiled, with salt</t>
        </is>
      </c>
      <c r="C430" s="1" t="n">
        <v>24.77</v>
      </c>
      <c r="D430" s="1" t="n">
        <v>121</v>
      </c>
      <c r="E430" s="1" t="n">
        <v>2</v>
      </c>
      <c r="F430" s="1" t="n">
        <v>7.52</v>
      </c>
      <c r="G430" s="1" t="n">
        <v>0.1</v>
      </c>
      <c r="H430" s="1" t="n">
        <v>6</v>
      </c>
      <c r="I430" s="1" t="n">
        <v>1.77</v>
      </c>
      <c r="J430" t="n">
        <v>75142550</v>
      </c>
    </row>
    <row r="431" ht="15.75" customHeight="1" s="201">
      <c r="A431" s="1" t="inlineStr">
        <is>
          <t>Beans, adzuki, mature seeds, canned, sweetened</t>
        </is>
      </c>
      <c r="C431" s="1" t="n">
        <v>55.01</v>
      </c>
      <c r="D431" s="1" t="n">
        <v>107</v>
      </c>
      <c r="E431" s="1" t="n">
        <v>1.13</v>
      </c>
      <c r="F431" s="1" t="n">
        <v>3.8</v>
      </c>
      <c r="G431" s="1" t="n">
        <v>0.03</v>
      </c>
      <c r="H431" s="1" t="n">
        <v>5</v>
      </c>
      <c r="I431" s="1" t="n">
        <v>1.56</v>
      </c>
      <c r="J431" t="n">
        <v>41202510</v>
      </c>
    </row>
    <row r="432" ht="15.75" customHeight="1" s="201">
      <c r="A432" s="1" t="inlineStr">
        <is>
          <t>Beans, adzuki, mature seeds, cooked, boiled, without salt</t>
        </is>
      </c>
      <c r="C432" s="1" t="n">
        <v>24.77</v>
      </c>
      <c r="D432" s="1" t="n">
        <v>121</v>
      </c>
      <c r="E432" s="1" t="n">
        <v>2</v>
      </c>
      <c r="F432" s="1" t="n">
        <v>7.52</v>
      </c>
      <c r="G432" s="1" t="n">
        <v>0.1</v>
      </c>
      <c r="H432" s="1" t="n">
        <v>6</v>
      </c>
      <c r="I432" s="1" t="n">
        <v>1.77</v>
      </c>
      <c r="J432" t="n">
        <v>75205030</v>
      </c>
    </row>
    <row r="433" ht="15.75" customHeight="1" s="201">
      <c r="A433" s="1" t="inlineStr">
        <is>
          <t>Beans, adzuki, mature seeds, raw</t>
        </is>
      </c>
      <c r="C433" s="1" t="n">
        <v>62.9</v>
      </c>
      <c r="D433" s="1" t="n">
        <v>622</v>
      </c>
      <c r="E433" s="1" t="n">
        <v>4.98</v>
      </c>
      <c r="F433" s="1" t="n">
        <v>19.87</v>
      </c>
      <c r="G433" s="1" t="n">
        <v>0.53</v>
      </c>
      <c r="H433" s="1" t="n">
        <v>17</v>
      </c>
      <c r="I433" s="1" t="n">
        <v>5.04</v>
      </c>
      <c r="J433" t="n">
        <v>41202510</v>
      </c>
    </row>
    <row r="434" ht="15.75" customHeight="1" s="201">
      <c r="A434" s="1" t="inlineStr">
        <is>
          <t>Beans, baked, canned, no salt added</t>
        </is>
      </c>
      <c r="C434" s="1" t="n">
        <v>20.49</v>
      </c>
      <c r="D434" s="1" t="n">
        <v>24</v>
      </c>
      <c r="E434" s="1" t="n">
        <v>0.29</v>
      </c>
      <c r="F434" s="1" t="n">
        <v>4.8</v>
      </c>
      <c r="G434" s="1" t="n">
        <v>0.4</v>
      </c>
      <c r="H434" s="1" t="n">
        <v>106</v>
      </c>
      <c r="I434" s="1" t="n">
        <v>1.4</v>
      </c>
      <c r="J434" t="n">
        <v>75205130</v>
      </c>
    </row>
    <row r="435" ht="15.75" customHeight="1" s="201">
      <c r="A435" s="1" t="inlineStr">
        <is>
          <t>Beans, baked, canned, with pork and sweet sauce</t>
        </is>
      </c>
      <c r="C435" s="1" t="n">
        <v>21.57</v>
      </c>
      <c r="D435" s="1" t="n">
        <v>8</v>
      </c>
      <c r="E435" s="1" t="n">
        <v>1.4</v>
      </c>
      <c r="F435" s="1" t="n">
        <v>4.52</v>
      </c>
      <c r="G435" s="1" t="n">
        <v>0.89</v>
      </c>
      <c r="H435" s="1" t="n">
        <v>17</v>
      </c>
      <c r="I435" s="1" t="n">
        <v>0.51</v>
      </c>
      <c r="J435" t="n">
        <v>75142550</v>
      </c>
    </row>
    <row r="436" ht="15.75" customHeight="1" s="201">
      <c r="A436" s="1" t="inlineStr">
        <is>
          <t>Beans, baked, canned, with pork and tomato sauce</t>
        </is>
      </c>
      <c r="C436" s="1" t="n">
        <v>18.69</v>
      </c>
      <c r="D436" s="1" t="n">
        <v>15</v>
      </c>
      <c r="E436" s="1" t="n">
        <v>3.24</v>
      </c>
      <c r="F436" s="1" t="n">
        <v>5.15</v>
      </c>
      <c r="G436" s="1" t="n">
        <v>0.93</v>
      </c>
      <c r="H436" s="1" t="n">
        <v>84</v>
      </c>
      <c r="I436" s="1" t="n">
        <v>5.48</v>
      </c>
      <c r="J436" t="n">
        <v>27260100</v>
      </c>
    </row>
    <row r="437" ht="15.75" customHeight="1" s="201">
      <c r="A437" s="1" t="inlineStr">
        <is>
          <t>Beans, baked, home prepared</t>
        </is>
      </c>
      <c r="C437" s="1" t="n">
        <v>21.63</v>
      </c>
      <c r="D437" s="1" t="n">
        <v>48</v>
      </c>
      <c r="E437" s="1" t="n">
        <v>1.99</v>
      </c>
      <c r="F437" s="1" t="n">
        <v>5.54</v>
      </c>
      <c r="G437" s="1" t="n">
        <v>5.15</v>
      </c>
      <c r="H437" s="1" t="n">
        <v>0</v>
      </c>
      <c r="I437" s="1" t="n">
        <v>0.73</v>
      </c>
      <c r="J437" t="n">
        <v>41201010</v>
      </c>
    </row>
    <row r="438" ht="15.75" customHeight="1" s="201">
      <c r="A438" s="1" t="inlineStr">
        <is>
          <t>Beans, black, mature seeds, cooked, boiled, without salt</t>
        </is>
      </c>
      <c r="C438" s="1" t="n">
        <v>23.71</v>
      </c>
      <c r="D438" s="1" t="n">
        <v>149</v>
      </c>
      <c r="E438" s="1" t="n">
        <v>2.1</v>
      </c>
      <c r="F438" s="1" t="n">
        <v>8.859999999999999</v>
      </c>
      <c r="G438" s="1" t="n">
        <v>0.54</v>
      </c>
      <c r="H438" s="1" t="n">
        <v>6</v>
      </c>
      <c r="I438" s="1" t="n">
        <v>1.12</v>
      </c>
      <c r="J438" t="n">
        <v>75205030</v>
      </c>
    </row>
    <row r="439" ht="15.75" customHeight="1" s="201">
      <c r="A439" s="1" t="inlineStr">
        <is>
          <t>Beans, black, mature seeds, raw</t>
        </is>
      </c>
      <c r="C439" s="1" t="n">
        <v>62.36</v>
      </c>
      <c r="D439" s="1" t="n">
        <v>444</v>
      </c>
      <c r="E439" s="1" t="n">
        <v>5.02</v>
      </c>
      <c r="F439" s="1" t="n">
        <v>21.6</v>
      </c>
      <c r="G439" s="1" t="n">
        <v>1.42</v>
      </c>
      <c r="H439" s="1" t="n">
        <v>17</v>
      </c>
      <c r="I439" s="1" t="n">
        <v>3.65</v>
      </c>
      <c r="J439" t="n">
        <v>41202510</v>
      </c>
    </row>
    <row r="440" ht="15.75" customHeight="1" s="201">
      <c r="A440" s="1" t="inlineStr">
        <is>
          <t>Beans, chili, barbecue, ranch style, cooked</t>
        </is>
      </c>
      <c r="C440" s="1" t="n">
        <v>16.9</v>
      </c>
      <c r="D440" s="1" t="n">
        <v>26</v>
      </c>
      <c r="E440" s="1" t="n">
        <v>1.86</v>
      </c>
      <c r="F440" s="1" t="n">
        <v>5</v>
      </c>
      <c r="G440" s="1" t="n">
        <v>1</v>
      </c>
      <c r="H440" s="1" t="n">
        <v>12</v>
      </c>
      <c r="I440" s="1" t="n">
        <v>2</v>
      </c>
      <c r="J440" t="n">
        <v>75403200</v>
      </c>
    </row>
    <row r="441" ht="15.75" customHeight="1" s="201">
      <c r="A441" s="1" t="inlineStr">
        <is>
          <t>Beans, cranberry (roman), mature seeds, canned</t>
        </is>
      </c>
      <c r="C441" s="1" t="n">
        <v>15.12</v>
      </c>
      <c r="D441" s="1" t="n">
        <v>77</v>
      </c>
      <c r="E441" s="1" t="n">
        <v>1.55</v>
      </c>
      <c r="F441" s="1" t="n">
        <v>5.54</v>
      </c>
      <c r="G441" s="1" t="n">
        <v>0.28</v>
      </c>
      <c r="H441" s="1" t="n">
        <v>0</v>
      </c>
      <c r="I441" s="1" t="n">
        <v>0.84</v>
      </c>
      <c r="J441" t="n">
        <v>92530510</v>
      </c>
    </row>
    <row r="442" ht="15.75" customHeight="1" s="201">
      <c r="A442" s="1" t="inlineStr">
        <is>
          <t>Beans, cranberry (roman), mature seeds, cooked, boiled, without salt</t>
        </is>
      </c>
      <c r="C442" s="1" t="n">
        <v>24.46</v>
      </c>
      <c r="D442" s="1" t="n">
        <v>207</v>
      </c>
      <c r="E442" s="1" t="n">
        <v>2.09</v>
      </c>
      <c r="F442" s="1" t="n">
        <v>9.34</v>
      </c>
      <c r="G442" s="1" t="n">
        <v>0.46</v>
      </c>
      <c r="H442" s="1" t="n">
        <v>0</v>
      </c>
      <c r="I442" s="1" t="n">
        <v>1.14</v>
      </c>
      <c r="J442" t="n">
        <v>92530510</v>
      </c>
    </row>
    <row r="443" ht="15.75" customHeight="1" s="201">
      <c r="A443" s="1" t="inlineStr">
        <is>
          <t>Beans, fava, in pod, raw</t>
        </is>
      </c>
      <c r="C443" s="1" t="n">
        <v>17.63</v>
      </c>
      <c r="D443" s="1" t="n">
        <v>148</v>
      </c>
      <c r="E443" s="1" t="n">
        <v>1.55</v>
      </c>
      <c r="F443" s="1" t="n">
        <v>7.92</v>
      </c>
      <c r="G443" s="1" t="n">
        <v>0.73</v>
      </c>
      <c r="H443" s="1" t="n">
        <v>333</v>
      </c>
      <c r="I443" s="1" t="n">
        <v>1</v>
      </c>
      <c r="J443" t="n">
        <v>41202510</v>
      </c>
    </row>
    <row r="444" ht="15.75" customHeight="1" s="201">
      <c r="A444" s="1" t="inlineStr">
        <is>
          <t>Beans, french, mature seeds, cooked, boiled, without salt</t>
        </is>
      </c>
      <c r="C444" s="1" t="n">
        <v>24.02</v>
      </c>
      <c r="D444" s="1" t="n">
        <v>75</v>
      </c>
      <c r="E444" s="1" t="n">
        <v>1.08</v>
      </c>
      <c r="F444" s="1" t="n">
        <v>7.05</v>
      </c>
      <c r="G444" s="1" t="n">
        <v>0.76</v>
      </c>
      <c r="H444" s="1" t="n">
        <v>3</v>
      </c>
      <c r="I444" s="1" t="n">
        <v>0.64</v>
      </c>
      <c r="J444" t="n">
        <v>75205030</v>
      </c>
    </row>
    <row r="445" ht="15.75" customHeight="1" s="201">
      <c r="A445" s="1" t="inlineStr">
        <is>
          <t>Beans, french, mature seeds, raw</t>
        </is>
      </c>
      <c r="C445" s="1" t="n">
        <v>64.11</v>
      </c>
      <c r="D445" s="1" t="n">
        <v>399</v>
      </c>
      <c r="E445" s="1" t="n">
        <v>3.4</v>
      </c>
      <c r="F445" s="1" t="n">
        <v>18.81</v>
      </c>
      <c r="G445" s="1" t="n">
        <v>2.02</v>
      </c>
      <c r="H445" s="1" t="n">
        <v>8</v>
      </c>
      <c r="I445" s="1" t="n">
        <v>1.9</v>
      </c>
      <c r="J445" t="n">
        <v>41202510</v>
      </c>
    </row>
    <row r="446" ht="15.75" customHeight="1" s="201">
      <c r="A446" s="1" t="inlineStr">
        <is>
          <t>Beans, great northern, mature seeds, canned, low sodium</t>
        </is>
      </c>
      <c r="C446" s="1" t="n">
        <v>21.02</v>
      </c>
      <c r="D446" s="1" t="n">
        <v>81</v>
      </c>
      <c r="E446" s="1" t="n">
        <v>1.57</v>
      </c>
      <c r="F446" s="1" t="n">
        <v>7.37</v>
      </c>
      <c r="G446" s="1" t="n">
        <v>0.39</v>
      </c>
      <c r="H446" s="1" t="n">
        <v>1</v>
      </c>
      <c r="I446" s="1" t="n">
        <v>0.65</v>
      </c>
      <c r="J446" t="n">
        <v>54204030</v>
      </c>
    </row>
    <row r="447" ht="15.75" customHeight="1" s="201">
      <c r="A447" s="1" t="inlineStr">
        <is>
          <t>Beans, great northern, mature seeds, cooked, boiled, with salt</t>
        </is>
      </c>
      <c r="C447" s="1" t="n">
        <v>21.09</v>
      </c>
      <c r="D447" s="1" t="n">
        <v>102</v>
      </c>
      <c r="E447" s="1" t="n">
        <v>2.13</v>
      </c>
      <c r="F447" s="1" t="n">
        <v>8.33</v>
      </c>
      <c r="G447" s="1" t="n">
        <v>0.45</v>
      </c>
      <c r="H447" s="1" t="n">
        <v>1</v>
      </c>
      <c r="I447" s="1" t="n">
        <v>0.88</v>
      </c>
      <c r="J447" t="n">
        <v>75142550</v>
      </c>
    </row>
    <row r="448" ht="15.75" customHeight="1" s="201">
      <c r="A448" s="1" t="inlineStr">
        <is>
          <t>Beans, kidney, all types, mature seeds, canned</t>
        </is>
      </c>
      <c r="C448" s="1" t="n">
        <v>14.5</v>
      </c>
      <c r="D448" s="1" t="n">
        <v>36</v>
      </c>
      <c r="E448" s="1" t="n">
        <v>1.17</v>
      </c>
      <c r="F448" s="1" t="n">
        <v>5.22</v>
      </c>
      <c r="G448" s="1" t="n">
        <v>0.6</v>
      </c>
      <c r="H448" s="1" t="n">
        <v>0</v>
      </c>
      <c r="I448" s="1" t="n">
        <v>0.46</v>
      </c>
      <c r="J448" t="n">
        <v>27111410</v>
      </c>
    </row>
    <row r="449" ht="15.75" customHeight="1" s="201">
      <c r="A449" s="1" t="inlineStr">
        <is>
          <t>Beans, kidney, all types, mature seeds, cooked, boiled, with salt</t>
        </is>
      </c>
      <c r="C449" s="1" t="n">
        <v>22.8</v>
      </c>
      <c r="D449" s="1" t="n">
        <v>130</v>
      </c>
      <c r="E449" s="1" t="n">
        <v>2.94</v>
      </c>
      <c r="F449" s="1" t="n">
        <v>8.67</v>
      </c>
      <c r="G449" s="1" t="n">
        <v>0.5</v>
      </c>
      <c r="H449" s="1" t="n">
        <v>0</v>
      </c>
      <c r="I449" s="1" t="n">
        <v>1.07</v>
      </c>
      <c r="J449" t="n">
        <v>75142550</v>
      </c>
    </row>
    <row r="450" ht="15.75" customHeight="1" s="201">
      <c r="A450" s="1" t="inlineStr">
        <is>
          <t>Beans, kidney, all types, mature seeds, cooked, boiled, without salt</t>
        </is>
      </c>
      <c r="C450" s="1" t="n">
        <v>22.8</v>
      </c>
      <c r="D450" s="1" t="n">
        <v>130</v>
      </c>
      <c r="E450" s="1" t="n">
        <v>2.22</v>
      </c>
      <c r="F450" s="1" t="n">
        <v>8.67</v>
      </c>
      <c r="G450" s="1" t="n">
        <v>0.5</v>
      </c>
      <c r="H450" s="1" t="n">
        <v>0</v>
      </c>
      <c r="I450" s="1" t="n">
        <v>1</v>
      </c>
    </row>
    <row r="451" ht="15.75" customHeight="1" s="201">
      <c r="A451" s="1" t="inlineStr">
        <is>
          <t>Beans, kidney, california red, mature seeds, cooked, boiled, with salt</t>
        </is>
      </c>
      <c r="C451" s="1" t="n">
        <v>22.41</v>
      </c>
      <c r="D451" s="1" t="n">
        <v>74</v>
      </c>
      <c r="E451" s="1" t="n">
        <v>2.98</v>
      </c>
      <c r="F451" s="1" t="n">
        <v>9.130000000000001</v>
      </c>
      <c r="G451" s="1" t="n">
        <v>0.09</v>
      </c>
      <c r="H451" s="1" t="n">
        <v>0</v>
      </c>
      <c r="I451" s="1" t="n">
        <v>0.86</v>
      </c>
      <c r="J451" t="n">
        <v>75142550</v>
      </c>
    </row>
    <row r="452" ht="15.75" customHeight="1" s="201">
      <c r="A452" s="1" t="inlineStr">
        <is>
          <t>Beans, kidney, california red, mature seeds, cooked, boiled, without salt</t>
        </is>
      </c>
      <c r="C452" s="1" t="n">
        <v>22.41</v>
      </c>
      <c r="D452" s="1" t="n">
        <v>74</v>
      </c>
      <c r="E452" s="1" t="n">
        <v>2.98</v>
      </c>
      <c r="F452" s="1" t="n">
        <v>9.130000000000001</v>
      </c>
      <c r="G452" s="1" t="n">
        <v>0.09</v>
      </c>
      <c r="H452" s="1" t="n">
        <v>3</v>
      </c>
      <c r="I452" s="1" t="n">
        <v>0.86</v>
      </c>
    </row>
    <row r="453" ht="15.75" customHeight="1" s="201">
      <c r="A453" s="1" t="inlineStr">
        <is>
          <t>Beans, kidney, california red, mature seeds, raw</t>
        </is>
      </c>
      <c r="C453" s="1" t="n">
        <v>59.8</v>
      </c>
      <c r="D453" s="1" t="n">
        <v>394</v>
      </c>
      <c r="E453" s="1" t="n">
        <v>9.35</v>
      </c>
      <c r="F453" s="1" t="n">
        <v>24.37</v>
      </c>
      <c r="G453" s="1" t="n">
        <v>0.25</v>
      </c>
      <c r="H453" s="1" t="n">
        <v>8</v>
      </c>
      <c r="I453" s="1" t="n">
        <v>2.55</v>
      </c>
      <c r="J453" t="n">
        <v>27111410</v>
      </c>
    </row>
    <row r="454" ht="15.75" customHeight="1" s="201">
      <c r="A454" s="1" t="inlineStr">
        <is>
          <t>Beans, kidney, mature seeds, sprouted, cooked, boiled, drained, with salt</t>
        </is>
      </c>
      <c r="C454" s="1" t="n">
        <v>4.72</v>
      </c>
      <c r="D454" s="1" t="n">
        <v>47</v>
      </c>
      <c r="E454" s="1" t="n">
        <v>0.89</v>
      </c>
      <c r="F454" s="1" t="n">
        <v>4.83</v>
      </c>
      <c r="G454" s="1" t="n">
        <v>0.58</v>
      </c>
      <c r="H454" s="1" t="n">
        <v>2</v>
      </c>
      <c r="I454" s="1" t="n">
        <v>0.44</v>
      </c>
      <c r="J454" t="n">
        <v>75142550</v>
      </c>
    </row>
    <row r="455" ht="15.75" customHeight="1" s="201">
      <c r="A455" s="1" t="inlineStr">
        <is>
          <t>Beans, kidney, mature seeds, sprouted, cooked, boiled, drained, without salt</t>
        </is>
      </c>
      <c r="C455" s="1" t="n">
        <v>4.72</v>
      </c>
      <c r="D455" s="1" t="n">
        <v>47</v>
      </c>
      <c r="E455" s="1" t="n">
        <v>0.89</v>
      </c>
      <c r="F455" s="1" t="n">
        <v>4.83</v>
      </c>
      <c r="G455" s="1" t="n">
        <v>0.58</v>
      </c>
      <c r="H455" s="1" t="n">
        <v>2</v>
      </c>
      <c r="I455" s="1" t="n">
        <v>0.44</v>
      </c>
    </row>
    <row r="456" ht="15.75" customHeight="1" s="201">
      <c r="A456" s="1" t="inlineStr">
        <is>
          <t>Beans, kidney, mature seeds, sprouted, raw</t>
        </is>
      </c>
      <c r="C456" s="1" t="n">
        <v>4.1</v>
      </c>
      <c r="D456" s="1" t="n">
        <v>59</v>
      </c>
      <c r="E456" s="1" t="n">
        <v>0.8100000000000001</v>
      </c>
      <c r="F456" s="1" t="n">
        <v>4.2</v>
      </c>
      <c r="G456" s="1" t="n">
        <v>0.5</v>
      </c>
      <c r="H456" s="1" t="n">
        <v>2</v>
      </c>
      <c r="I456" s="1" t="n">
        <v>0.4</v>
      </c>
      <c r="J456" t="n">
        <v>27111410</v>
      </c>
    </row>
    <row r="457" ht="15.75" customHeight="1" s="201">
      <c r="A457" s="1" t="inlineStr">
        <is>
          <t>Beans, kidney, red, mature seeds, canned, drained solids</t>
        </is>
      </c>
      <c r="C457" s="1" t="n">
        <v>21.49</v>
      </c>
      <c r="D457" s="1" t="n">
        <v>28</v>
      </c>
      <c r="E457" s="1" t="n">
        <v>1.5</v>
      </c>
      <c r="F457" s="1" t="n">
        <v>7.98</v>
      </c>
      <c r="G457" s="1" t="n">
        <v>1.05</v>
      </c>
      <c r="I457" s="1" t="n">
        <v>0.75</v>
      </c>
    </row>
    <row r="458" ht="15.75" customHeight="1" s="201">
      <c r="A458" s="1" t="inlineStr">
        <is>
          <t>Beans, kidney, red, mature seeds, raw</t>
        </is>
      </c>
      <c r="C458" s="1" t="n">
        <v>61.29</v>
      </c>
      <c r="D458" s="1" t="n">
        <v>394</v>
      </c>
      <c r="E458" s="1" t="n">
        <v>6.69</v>
      </c>
      <c r="F458" s="1" t="n">
        <v>22.53</v>
      </c>
      <c r="G458" s="1" t="n">
        <v>1.06</v>
      </c>
      <c r="H458" s="1" t="n">
        <v>0</v>
      </c>
      <c r="I458" s="1" t="n">
        <v>2.79</v>
      </c>
      <c r="J458" t="n">
        <v>27111410</v>
      </c>
    </row>
    <row r="459" ht="15.75" customHeight="1" s="201">
      <c r="A459" s="1" t="inlineStr">
        <is>
          <t>Beans, liquid from stewed kidney beans</t>
        </is>
      </c>
      <c r="C459" s="1" t="n">
        <v>2.8</v>
      </c>
      <c r="D459" s="1" t="n">
        <v>33</v>
      </c>
      <c r="E459" s="1" t="n">
        <v>1.96</v>
      </c>
      <c r="F459" s="1" t="n">
        <v>1.8</v>
      </c>
      <c r="G459" s="1" t="n">
        <v>3.2</v>
      </c>
      <c r="H459" s="1" t="n">
        <v>0</v>
      </c>
      <c r="I459" s="1" t="n">
        <v>0.49</v>
      </c>
      <c r="J459" t="n">
        <v>41202510</v>
      </c>
    </row>
    <row r="460" ht="15.75" customHeight="1" s="201">
      <c r="A460" s="1" t="inlineStr">
        <is>
          <t>Beans, mung, mature seeds, sprouted, canned, drained solids</t>
        </is>
      </c>
      <c r="C460" s="1" t="n">
        <v>2.14</v>
      </c>
      <c r="D460" s="1" t="n">
        <v>10</v>
      </c>
      <c r="E460" s="1" t="n">
        <v>0.43</v>
      </c>
      <c r="F460" s="1" t="n">
        <v>1.4</v>
      </c>
      <c r="G460" s="1" t="n">
        <v>0.06</v>
      </c>
      <c r="H460" s="1" t="n">
        <v>8</v>
      </c>
      <c r="I460" s="1" t="n">
        <v>0.28</v>
      </c>
    </row>
    <row r="461" ht="15.75" customHeight="1" s="201">
      <c r="A461" s="1" t="inlineStr">
        <is>
          <t>Beans, navy, mature seeds, canned</t>
        </is>
      </c>
      <c r="C461" s="1" t="n">
        <v>20.45</v>
      </c>
      <c r="D461" s="1" t="n">
        <v>62</v>
      </c>
      <c r="E461" s="1" t="n">
        <v>1.85</v>
      </c>
      <c r="F461" s="1" t="n">
        <v>7.53</v>
      </c>
      <c r="G461" s="1" t="n">
        <v>0.43</v>
      </c>
      <c r="H461" s="1" t="n">
        <v>1</v>
      </c>
      <c r="I461" s="1" t="n">
        <v>0.77</v>
      </c>
      <c r="J461" t="n">
        <v>41202510</v>
      </c>
    </row>
    <row r="462" ht="15.75" customHeight="1" s="201">
      <c r="A462" s="1" t="inlineStr">
        <is>
          <t>Beans, navy, mature seeds, cooked, boiled, with salt</t>
        </is>
      </c>
      <c r="C462" s="1" t="n">
        <v>26.05</v>
      </c>
      <c r="D462" s="1" t="n">
        <v>140</v>
      </c>
      <c r="E462" s="1" t="n">
        <v>2.36</v>
      </c>
      <c r="F462" s="1" t="n">
        <v>8.23</v>
      </c>
      <c r="G462" s="1" t="n">
        <v>0.62</v>
      </c>
      <c r="H462" s="1" t="n">
        <v>0</v>
      </c>
      <c r="I462" s="1" t="n">
        <v>1.03</v>
      </c>
      <c r="J462" t="n">
        <v>75142550</v>
      </c>
    </row>
    <row r="463" ht="15.75" customHeight="1" s="201">
      <c r="A463" s="1" t="inlineStr">
        <is>
          <t>Beans, navy, mature seeds, cooked, boiled, without salt</t>
        </is>
      </c>
      <c r="C463" s="1" t="n">
        <v>26.05</v>
      </c>
      <c r="D463" s="1" t="n">
        <v>140</v>
      </c>
      <c r="E463" s="1" t="n">
        <v>2.36</v>
      </c>
      <c r="F463" s="1" t="n">
        <v>8.23</v>
      </c>
      <c r="G463" s="1" t="n">
        <v>0.62</v>
      </c>
      <c r="H463" s="1" t="n">
        <v>0</v>
      </c>
      <c r="I463" s="1" t="n">
        <v>1.03</v>
      </c>
      <c r="J463" t="n">
        <v>75205030</v>
      </c>
    </row>
    <row r="464" ht="15.75" customHeight="1" s="201">
      <c r="A464" s="1" t="inlineStr">
        <is>
          <t>Beans, navy, mature seeds, raw</t>
        </is>
      </c>
      <c r="C464" s="1" t="n">
        <v>60.75</v>
      </c>
      <c r="D464" s="1" t="n">
        <v>364</v>
      </c>
      <c r="E464" s="1" t="n">
        <v>5.49</v>
      </c>
      <c r="F464" s="1" t="n">
        <v>22.33</v>
      </c>
      <c r="G464" s="1" t="n">
        <v>1.5</v>
      </c>
      <c r="H464" s="1" t="n">
        <v>0</v>
      </c>
      <c r="I464" s="1" t="n">
        <v>3.65</v>
      </c>
      <c r="J464" t="n">
        <v>41202510</v>
      </c>
    </row>
    <row r="465" ht="15.75" customHeight="1" s="201">
      <c r="A465" s="1" t="inlineStr">
        <is>
          <t>Beans, navy, mature seeds, sprouted, cooked, boiled, drained, with salt</t>
        </is>
      </c>
      <c r="C465" s="1" t="n">
        <v>15.01</v>
      </c>
      <c r="D465" s="1" t="n">
        <v>106</v>
      </c>
      <c r="E465" s="1" t="n">
        <v>2.11</v>
      </c>
      <c r="F465" s="1" t="n">
        <v>7.07</v>
      </c>
      <c r="G465" s="1" t="n">
        <v>0.8100000000000001</v>
      </c>
      <c r="H465" s="1" t="n">
        <v>4</v>
      </c>
      <c r="I465" s="1" t="n">
        <v>0.97</v>
      </c>
      <c r="J465" t="n">
        <v>75142550</v>
      </c>
    </row>
    <row r="466" ht="15.75" customHeight="1" s="201">
      <c r="A466" s="1" t="inlineStr">
        <is>
          <t>Beans, navy, mature seeds, sprouted, cooked, boiled, drained, without salt</t>
        </is>
      </c>
      <c r="C466" s="1" t="n">
        <v>15.01</v>
      </c>
      <c r="D466" s="1" t="n">
        <v>106</v>
      </c>
      <c r="E466" s="1" t="n">
        <v>2.11</v>
      </c>
      <c r="F466" s="1" t="n">
        <v>7.07</v>
      </c>
      <c r="G466" s="1" t="n">
        <v>0.8100000000000001</v>
      </c>
      <c r="H466" s="1" t="n">
        <v>4</v>
      </c>
      <c r="I466" s="1" t="n">
        <v>0.97</v>
      </c>
    </row>
    <row r="467" ht="15.75" customHeight="1" s="201">
      <c r="A467" s="1" t="inlineStr">
        <is>
          <t>Beans, navy, mature seeds, sprouted, raw</t>
        </is>
      </c>
      <c r="C467" s="1" t="n">
        <v>13.05</v>
      </c>
      <c r="D467" s="1" t="n">
        <v>132</v>
      </c>
      <c r="E467" s="1" t="n">
        <v>1.93</v>
      </c>
      <c r="F467" s="1" t="n">
        <v>6.15</v>
      </c>
      <c r="G467" s="1" t="n">
        <v>0.7</v>
      </c>
      <c r="H467" s="1" t="n">
        <v>4</v>
      </c>
      <c r="I467" s="1" t="n">
        <v>0.89</v>
      </c>
      <c r="J467" t="n">
        <v>41202510</v>
      </c>
    </row>
    <row r="468" ht="15.75" customHeight="1" s="201">
      <c r="A468" s="1" t="inlineStr">
        <is>
          <t>Beans, pink, mature seeds, cooked, boiled, with salt</t>
        </is>
      </c>
      <c r="C468" s="1" t="n">
        <v>27.91</v>
      </c>
      <c r="D468" s="1" t="n">
        <v>168</v>
      </c>
      <c r="E468" s="1" t="n">
        <v>2.3</v>
      </c>
      <c r="F468" s="1" t="n">
        <v>9.06</v>
      </c>
      <c r="G468" s="1" t="n">
        <v>0.49</v>
      </c>
      <c r="H468" s="1" t="n">
        <v>0</v>
      </c>
      <c r="I468" s="1" t="n">
        <v>0.96</v>
      </c>
      <c r="J468" t="n">
        <v>75142550</v>
      </c>
    </row>
    <row r="469" ht="15.75" customHeight="1" s="201">
      <c r="A469" s="1" t="inlineStr">
        <is>
          <t>Beans, pink, mature seeds, raw</t>
        </is>
      </c>
      <c r="C469" s="1" t="n">
        <v>64.19</v>
      </c>
      <c r="D469" s="1" t="n">
        <v>463</v>
      </c>
      <c r="E469" s="1" t="n">
        <v>6.77</v>
      </c>
      <c r="F469" s="1" t="n">
        <v>20.96</v>
      </c>
      <c r="G469" s="1" t="n">
        <v>1.13</v>
      </c>
      <c r="H469" s="1" t="n">
        <v>0</v>
      </c>
      <c r="I469" s="1" t="n">
        <v>2.55</v>
      </c>
      <c r="J469" t="n">
        <v>41202510</v>
      </c>
    </row>
    <row r="470" ht="15.75" customHeight="1" s="201">
      <c r="A470" s="1" t="inlineStr">
        <is>
          <t>Beans, pinto, canned, drained solids</t>
        </is>
      </c>
      <c r="C470" s="1" t="n">
        <v>20.22</v>
      </c>
      <c r="D470" s="1" t="n">
        <v>24</v>
      </c>
      <c r="E470" s="1" t="n">
        <v>1.33</v>
      </c>
      <c r="F470" s="1" t="n">
        <v>6.99</v>
      </c>
      <c r="G470" s="1" t="n">
        <v>0.9</v>
      </c>
      <c r="I470" s="1" t="n">
        <v>0.61</v>
      </c>
      <c r="J470" t="n">
        <v>41104040</v>
      </c>
    </row>
    <row r="471" ht="15.75" customHeight="1" s="201">
      <c r="A471" s="1" t="inlineStr">
        <is>
          <t>Beans, pinto, immature seeds, frozen, cooked, boiled, drained, with salt</t>
        </is>
      </c>
      <c r="C471" s="1" t="n">
        <v>30.87</v>
      </c>
      <c r="D471" s="1" t="n">
        <v>34</v>
      </c>
      <c r="E471" s="1" t="n">
        <v>2.71</v>
      </c>
      <c r="F471" s="1" t="n">
        <v>9.31</v>
      </c>
      <c r="G471" s="1" t="n">
        <v>0.48</v>
      </c>
      <c r="H471" s="1" t="n">
        <v>0</v>
      </c>
      <c r="I471" s="1" t="n">
        <v>0.6899999999999999</v>
      </c>
      <c r="J471" t="n">
        <v>75142550</v>
      </c>
    </row>
    <row r="472" ht="15.75" customHeight="1" s="201">
      <c r="A472" s="1" t="inlineStr">
        <is>
          <t>Beans, pinto, immature seeds, frozen, cooked, boiled, drained, without salt</t>
        </is>
      </c>
      <c r="C472" s="1" t="n">
        <v>30.87</v>
      </c>
      <c r="D472" s="1" t="n">
        <v>34</v>
      </c>
      <c r="E472" s="1" t="n">
        <v>2.71</v>
      </c>
      <c r="F472" s="1" t="n">
        <v>9.31</v>
      </c>
      <c r="G472" s="1" t="n">
        <v>0.48</v>
      </c>
      <c r="H472" s="1" t="n">
        <v>0</v>
      </c>
      <c r="I472" s="1" t="n">
        <v>0.6899999999999999</v>
      </c>
    </row>
    <row r="473" ht="15.75" customHeight="1" s="201">
      <c r="A473" s="1" t="inlineStr">
        <is>
          <t>Beans, pinto, immature seeds, frozen, unprepared</t>
        </is>
      </c>
      <c r="C473" s="1" t="n">
        <v>32.5</v>
      </c>
      <c r="D473" s="1" t="n">
        <v>50</v>
      </c>
      <c r="E473" s="1" t="n">
        <v>3</v>
      </c>
      <c r="F473" s="1" t="n">
        <v>9.800000000000001</v>
      </c>
      <c r="G473" s="1" t="n">
        <v>0.5</v>
      </c>
      <c r="H473" s="1" t="n">
        <v>0</v>
      </c>
      <c r="I473" s="1" t="n">
        <v>0.77</v>
      </c>
      <c r="J473" t="n">
        <v>41104010</v>
      </c>
    </row>
    <row r="474" ht="15.75" customHeight="1" s="201">
      <c r="A474" s="1" t="inlineStr">
        <is>
          <t>Beans, pinto, mature seeds, canned, drained solids, rinsed in tap water</t>
        </is>
      </c>
      <c r="C474" s="1" t="n">
        <v>20.77</v>
      </c>
      <c r="D474" s="1" t="n">
        <v>21</v>
      </c>
      <c r="E474" s="1" t="n">
        <v>1.27</v>
      </c>
      <c r="F474" s="1" t="n">
        <v>7.04</v>
      </c>
      <c r="G474" s="1" t="n">
        <v>0.97</v>
      </c>
      <c r="I474" s="1" t="n">
        <v>0.59</v>
      </c>
      <c r="J474" t="n">
        <v>11740312</v>
      </c>
    </row>
    <row r="475" ht="15.75" customHeight="1" s="201">
      <c r="A475" s="1" t="inlineStr">
        <is>
          <t>Beans, pinto, mature seeds, cooked, boiled, with salt</t>
        </is>
      </c>
      <c r="C475" s="1" t="n">
        <v>26.22</v>
      </c>
      <c r="D475" s="1" t="n">
        <v>172</v>
      </c>
      <c r="E475" s="1" t="n">
        <v>2.09</v>
      </c>
      <c r="F475" s="1" t="n">
        <v>9.01</v>
      </c>
      <c r="G475" s="1" t="n">
        <v>0.65</v>
      </c>
      <c r="H475" s="1" t="n">
        <v>0</v>
      </c>
      <c r="I475" s="1" t="n">
        <v>0.98</v>
      </c>
      <c r="J475" t="n">
        <v>75142550</v>
      </c>
    </row>
    <row r="476" ht="15.75" customHeight="1" s="201">
      <c r="A476" s="1" t="inlineStr">
        <is>
          <t>Beans, pinto, mature seeds, sprouted, cooked, boiled, drained, with salt</t>
        </is>
      </c>
      <c r="C476" s="1" t="n">
        <v>3.5</v>
      </c>
      <c r="D476" s="1" t="n">
        <v>29</v>
      </c>
      <c r="E476" s="1" t="n">
        <v>0.66</v>
      </c>
      <c r="F476" s="1" t="n">
        <v>1.86</v>
      </c>
      <c r="G476" s="1" t="n">
        <v>0.32</v>
      </c>
      <c r="H476" s="1" t="n">
        <v>0</v>
      </c>
      <c r="I476" s="1" t="n">
        <v>0.17</v>
      </c>
      <c r="J476" t="n">
        <v>75142550</v>
      </c>
    </row>
    <row r="477" ht="15.75" customHeight="1" s="201">
      <c r="A477" s="1" t="inlineStr">
        <is>
          <t>Beans, pinto, mature seeds, sprouted, cooked, boiled, drained, without salt</t>
        </is>
      </c>
      <c r="C477" s="1" t="n">
        <v>4.1</v>
      </c>
      <c r="D477" s="1" t="n">
        <v>29</v>
      </c>
      <c r="E477" s="1" t="n">
        <v>0.66</v>
      </c>
      <c r="F477" s="1" t="n">
        <v>1.86</v>
      </c>
      <c r="G477" s="1" t="n">
        <v>0.32</v>
      </c>
      <c r="H477" s="1" t="n">
        <v>1</v>
      </c>
      <c r="I477" s="1" t="n">
        <v>0.17</v>
      </c>
    </row>
    <row r="478" ht="15.75" customHeight="1" s="201">
      <c r="A478" s="1" t="inlineStr">
        <is>
          <t>Beans, pinto, mature seeds, sprouted, raw</t>
        </is>
      </c>
      <c r="C478" s="1" t="n">
        <v>11.6</v>
      </c>
      <c r="D478" s="1" t="n">
        <v>118</v>
      </c>
      <c r="E478" s="1" t="n">
        <v>1.97</v>
      </c>
      <c r="F478" s="1" t="n">
        <v>5.25</v>
      </c>
      <c r="G478" s="1" t="n">
        <v>0.9</v>
      </c>
      <c r="H478" s="1" t="n">
        <v>2</v>
      </c>
      <c r="I478" s="1" t="n">
        <v>0.5</v>
      </c>
      <c r="J478" t="n">
        <v>41202510</v>
      </c>
    </row>
    <row r="479" ht="15.75" customHeight="1" s="201">
      <c r="A479" s="1" t="inlineStr">
        <is>
          <t>Beans, shellie, canned, solids and liquids</t>
        </is>
      </c>
      <c r="C479" s="1" t="n">
        <v>6.19</v>
      </c>
      <c r="D479" s="1" t="n">
        <v>18</v>
      </c>
      <c r="E479" s="1" t="n">
        <v>0.99</v>
      </c>
      <c r="F479" s="1" t="n">
        <v>1.76</v>
      </c>
      <c r="G479" s="1" t="n">
        <v>0.19</v>
      </c>
      <c r="H479" s="1" t="n">
        <v>228</v>
      </c>
      <c r="I479" s="1" t="n">
        <v>0.27</v>
      </c>
      <c r="J479" t="n">
        <v>41202510</v>
      </c>
    </row>
    <row r="480" ht="15.75" customHeight="1" s="201">
      <c r="A480" s="1" t="inlineStr">
        <is>
          <t>Beans, small white, mature seeds, cooked, boiled, without salt</t>
        </is>
      </c>
      <c r="C480" s="1" t="n">
        <v>25.81</v>
      </c>
      <c r="D480" s="1" t="n">
        <v>137</v>
      </c>
      <c r="E480" s="1" t="n">
        <v>2.84</v>
      </c>
      <c r="F480" s="1" t="n">
        <v>8.970000000000001</v>
      </c>
      <c r="G480" s="1" t="n">
        <v>0.64</v>
      </c>
      <c r="H480" s="1" t="n">
        <v>0</v>
      </c>
      <c r="I480" s="1" t="n">
        <v>1.09</v>
      </c>
    </row>
    <row r="481" ht="15.75" customHeight="1" s="201">
      <c r="A481" s="1" t="inlineStr">
        <is>
          <t>Beans, small white, mature seeds, raw</t>
        </is>
      </c>
      <c r="C481" s="1" t="n">
        <v>62.25</v>
      </c>
      <c r="D481" s="1" t="n">
        <v>386</v>
      </c>
      <c r="E481" s="1" t="n">
        <v>7.73</v>
      </c>
      <c r="F481" s="1" t="n">
        <v>21.11</v>
      </c>
      <c r="G481" s="1" t="n">
        <v>1.18</v>
      </c>
      <c r="H481" s="1" t="n">
        <v>0</v>
      </c>
      <c r="I481" s="1" t="n">
        <v>2.81</v>
      </c>
      <c r="J481" t="n">
        <v>41202510</v>
      </c>
    </row>
    <row r="482" ht="15.75" customHeight="1" s="201">
      <c r="A482" s="1" t="inlineStr">
        <is>
          <t>Beans, snap, canned, all styles, seasoned, solids and liquids</t>
        </is>
      </c>
      <c r="C482" s="1" t="n">
        <v>3.49</v>
      </c>
      <c r="D482" s="1" t="n">
        <v>18</v>
      </c>
      <c r="E482" s="1" t="n">
        <v>0.47</v>
      </c>
      <c r="F482" s="1" t="n">
        <v>0.83</v>
      </c>
      <c r="G482" s="1" t="n">
        <v>0.2</v>
      </c>
      <c r="H482" s="1" t="n">
        <v>525</v>
      </c>
      <c r="I482" s="1" t="n">
        <v>0.14</v>
      </c>
      <c r="J482" t="n">
        <v>75205023</v>
      </c>
    </row>
    <row r="483" ht="15.75" customHeight="1" s="201">
      <c r="A483" s="1" t="inlineStr">
        <is>
          <t>Beans, snap, green, canned, no salt added, drained solids</t>
        </is>
      </c>
      <c r="C483" s="1" t="n">
        <v>4.32</v>
      </c>
      <c r="D483" s="1" t="n">
        <v>28</v>
      </c>
      <c r="E483" s="1" t="n">
        <v>1.06</v>
      </c>
      <c r="F483" s="1" t="n">
        <v>1.12</v>
      </c>
      <c r="G483" s="1" t="n">
        <v>0.46</v>
      </c>
      <c r="H483" s="1" t="n">
        <v>353</v>
      </c>
      <c r="I483" s="1" t="n">
        <v>0.2</v>
      </c>
      <c r="J483" t="n">
        <v>75205130</v>
      </c>
    </row>
    <row r="484" ht="15.75" customHeight="1" s="201">
      <c r="A484" s="1" t="inlineStr">
        <is>
          <t>Beans, snap, green, canned, no salt added, solids and liquids</t>
        </is>
      </c>
      <c r="C484" s="1" t="n">
        <v>3.5</v>
      </c>
      <c r="D484" s="1" t="n">
        <v>18</v>
      </c>
      <c r="E484" s="1" t="n">
        <v>0.9</v>
      </c>
      <c r="F484" s="1" t="n">
        <v>0.8</v>
      </c>
      <c r="G484" s="1" t="n">
        <v>0.1</v>
      </c>
      <c r="H484" s="1" t="n">
        <v>321</v>
      </c>
      <c r="I484" s="1" t="n">
        <v>0.2</v>
      </c>
      <c r="J484" t="n">
        <v>75205130</v>
      </c>
    </row>
    <row r="485" ht="15.75" customHeight="1" s="201">
      <c r="A485" s="1" t="inlineStr">
        <is>
          <t>Beans, snap, green, canned, regular pack, drained solids</t>
        </is>
      </c>
      <c r="C485" s="1" t="n">
        <v>4.19</v>
      </c>
      <c r="D485" s="1" t="n">
        <v>24</v>
      </c>
      <c r="E485" s="1" t="n">
        <v>0.89</v>
      </c>
      <c r="F485" s="1" t="n">
        <v>1.05</v>
      </c>
      <c r="G485" s="1" t="n">
        <v>0.41</v>
      </c>
      <c r="H485" s="1" t="n">
        <v>353</v>
      </c>
      <c r="I485" s="1" t="n">
        <v>0.19</v>
      </c>
      <c r="J485" t="n">
        <v>75205023</v>
      </c>
    </row>
    <row r="486" ht="15.75" customHeight="1" s="201">
      <c r="A486" s="1" t="inlineStr">
        <is>
          <t>Beans, snap, green, canned, regular pack, solids and liquids</t>
        </is>
      </c>
      <c r="C486" s="1" t="n">
        <v>3.27</v>
      </c>
      <c r="D486" s="1" t="n">
        <v>26</v>
      </c>
      <c r="E486" s="1" t="n">
        <v>1.02</v>
      </c>
      <c r="F486" s="1" t="n">
        <v>0.72</v>
      </c>
      <c r="G486" s="1" t="n">
        <v>0.17</v>
      </c>
      <c r="H486" s="1" t="n">
        <v>263</v>
      </c>
      <c r="I486" s="1" t="n">
        <v>0.36</v>
      </c>
      <c r="J486" t="n">
        <v>75205023</v>
      </c>
    </row>
    <row r="487" ht="15.75" customHeight="1" s="201">
      <c r="A487" s="1" t="inlineStr">
        <is>
          <t>Beans, snap, green, cooked, boiled, drained, with salt</t>
        </is>
      </c>
      <c r="C487" s="1" t="n">
        <v>7.88</v>
      </c>
      <c r="D487" s="1" t="n">
        <v>33</v>
      </c>
      <c r="E487" s="1" t="n">
        <v>0.65</v>
      </c>
      <c r="F487" s="1" t="n">
        <v>1.89</v>
      </c>
      <c r="G487" s="1" t="n">
        <v>0.28</v>
      </c>
      <c r="H487" s="1" t="n">
        <v>691</v>
      </c>
      <c r="I487" s="1" t="n">
        <v>0.25</v>
      </c>
      <c r="J487" t="n">
        <v>75142550</v>
      </c>
    </row>
    <row r="488" ht="15.75" customHeight="1" s="201">
      <c r="A488" s="1" t="inlineStr">
        <is>
          <t>Beans, snap, green, cooked, boiled, drained, without salt</t>
        </is>
      </c>
      <c r="C488" s="1" t="n">
        <v>7.88</v>
      </c>
      <c r="D488" s="1" t="n">
        <v>33</v>
      </c>
      <c r="E488" s="1" t="n">
        <v>0.65</v>
      </c>
      <c r="F488" s="1" t="n">
        <v>1.89</v>
      </c>
      <c r="G488" s="1" t="n">
        <v>0.28</v>
      </c>
      <c r="H488" s="1" t="n">
        <v>633</v>
      </c>
      <c r="I488" s="1" t="n">
        <v>0.25</v>
      </c>
      <c r="J488" t="n">
        <v>75205030</v>
      </c>
    </row>
    <row r="489" ht="15.75" customHeight="1" s="201">
      <c r="A489" s="1" t="inlineStr">
        <is>
          <t>Beans, snap, green, frozen, all styles, microwaved</t>
        </is>
      </c>
      <c r="C489" s="1" t="n">
        <v>6.98</v>
      </c>
      <c r="D489" s="1" t="n">
        <v>12</v>
      </c>
      <c r="E489" s="1" t="n">
        <v>0.8</v>
      </c>
      <c r="F489" s="1" t="n">
        <v>1.98</v>
      </c>
      <c r="G489" s="1" t="n">
        <v>0.41</v>
      </c>
      <c r="I489" s="1" t="n">
        <v>0.31</v>
      </c>
      <c r="J489" t="n">
        <v>75205022</v>
      </c>
    </row>
    <row r="490" ht="15.75" customHeight="1" s="201">
      <c r="A490" s="1" t="inlineStr">
        <is>
          <t>Beans, snap, green, frozen, all styles, unprepared (Includes foods for USDA's Food Distribution Program)</t>
        </is>
      </c>
      <c r="C490" s="1" t="n">
        <v>7.54</v>
      </c>
      <c r="D490" s="1" t="n">
        <v>15</v>
      </c>
      <c r="E490" s="1" t="n">
        <v>0.85</v>
      </c>
      <c r="F490" s="1" t="n">
        <v>1.79</v>
      </c>
      <c r="G490" s="1" t="n">
        <v>0.21</v>
      </c>
      <c r="H490" s="1" t="n">
        <v>547</v>
      </c>
      <c r="I490" s="1" t="n">
        <v>0.26</v>
      </c>
      <c r="J490" t="n">
        <v>75205022</v>
      </c>
    </row>
    <row r="491" ht="15.75" customHeight="1" s="201">
      <c r="A491" s="1" t="inlineStr">
        <is>
          <t>Beans, snap, green, frozen, cooked, boiled, drained without salt</t>
        </is>
      </c>
      <c r="C491" s="1" t="n">
        <v>6.45</v>
      </c>
      <c r="D491" s="1" t="n">
        <v>23</v>
      </c>
      <c r="E491" s="1" t="n">
        <v>0.66</v>
      </c>
      <c r="F491" s="1" t="n">
        <v>1.49</v>
      </c>
      <c r="G491" s="1" t="n">
        <v>0.17</v>
      </c>
      <c r="H491" s="1" t="n">
        <v>419</v>
      </c>
      <c r="I491" s="1" t="n">
        <v>0.24</v>
      </c>
      <c r="J491" t="n">
        <v>75205022</v>
      </c>
    </row>
    <row r="492" ht="15.75" customHeight="1" s="201">
      <c r="A492" s="1" t="inlineStr">
        <is>
          <t>Beans, snap, green, frozen, cooked, boiled, drained, with salt</t>
        </is>
      </c>
      <c r="C492" s="1" t="n">
        <v>6.45</v>
      </c>
      <c r="D492" s="1" t="n">
        <v>23</v>
      </c>
      <c r="E492" s="1" t="n">
        <v>0.66</v>
      </c>
      <c r="F492" s="1" t="n">
        <v>1.49</v>
      </c>
      <c r="G492" s="1" t="n">
        <v>0.17</v>
      </c>
      <c r="H492" s="1" t="n">
        <v>466</v>
      </c>
      <c r="I492" s="1" t="n">
        <v>0.24</v>
      </c>
      <c r="J492" t="n">
        <v>75142550</v>
      </c>
    </row>
    <row r="493" ht="15.75" customHeight="1" s="201">
      <c r="A493" s="1" t="inlineStr">
        <is>
          <t>Beans, snap, green, microwaved</t>
        </is>
      </c>
      <c r="C493" s="1" t="n">
        <v>6.41</v>
      </c>
      <c r="D493" s="1" t="n">
        <v>47</v>
      </c>
      <c r="E493" s="1" t="n">
        <v>0.83</v>
      </c>
      <c r="F493" s="1" t="n">
        <v>2.31</v>
      </c>
      <c r="G493" s="1" t="n">
        <v>0.5</v>
      </c>
      <c r="I493" s="1" t="n">
        <v>0.38</v>
      </c>
      <c r="J493" t="n">
        <v>75205021</v>
      </c>
    </row>
    <row r="494" ht="15.75" customHeight="1" s="201">
      <c r="A494" s="1" t="inlineStr">
        <is>
          <t>Beans, snap, green, raw</t>
        </is>
      </c>
      <c r="C494" s="1" t="n">
        <v>6.97</v>
      </c>
      <c r="D494" s="1" t="n">
        <v>33</v>
      </c>
      <c r="E494" s="1" t="n">
        <v>1.03</v>
      </c>
      <c r="F494" s="1" t="n">
        <v>1.83</v>
      </c>
      <c r="G494" s="1" t="n">
        <v>0.22</v>
      </c>
      <c r="H494" s="1" t="n">
        <v>690</v>
      </c>
      <c r="I494" s="1" t="n">
        <v>0.24</v>
      </c>
      <c r="J494" t="n">
        <v>75205021</v>
      </c>
    </row>
    <row r="495" ht="15.75" customHeight="1" s="201">
      <c r="A495" s="1" t="inlineStr">
        <is>
          <t>Beans, snap, yellow, canned, no salt added, drained solids</t>
        </is>
      </c>
      <c r="C495" s="1" t="n">
        <v>4.5</v>
      </c>
      <c r="D495" s="1" t="n">
        <v>32</v>
      </c>
      <c r="E495" s="1" t="n">
        <v>0.9</v>
      </c>
      <c r="F495" s="1" t="n">
        <v>1.15</v>
      </c>
      <c r="G495" s="1" t="n">
        <v>0.1</v>
      </c>
      <c r="H495" s="1" t="n">
        <v>353</v>
      </c>
      <c r="I495" s="1" t="n">
        <v>0.29</v>
      </c>
      <c r="J495" t="n">
        <v>75205130</v>
      </c>
    </row>
    <row r="496" ht="15.75" customHeight="1" s="201">
      <c r="A496" s="1" t="inlineStr">
        <is>
          <t>Beans, snap, yellow, canned, no salt added, solids and liquids</t>
        </is>
      </c>
      <c r="C496" s="1" t="n">
        <v>3.5</v>
      </c>
      <c r="D496" s="1" t="n">
        <v>18</v>
      </c>
      <c r="E496" s="1" t="n">
        <v>0.9</v>
      </c>
      <c r="F496" s="1" t="n">
        <v>0.8</v>
      </c>
      <c r="G496" s="1" t="n">
        <v>0.1</v>
      </c>
      <c r="H496" s="1" t="n">
        <v>83</v>
      </c>
      <c r="I496" s="1" t="n">
        <v>0.2</v>
      </c>
      <c r="J496" t="n">
        <v>75205130</v>
      </c>
    </row>
    <row r="497" ht="15.75" customHeight="1" s="201">
      <c r="A497" s="1" t="inlineStr">
        <is>
          <t>Beans, snap, yellow, canned, regular pack, drained solids</t>
        </is>
      </c>
      <c r="C497" s="1" t="n">
        <v>4.5</v>
      </c>
      <c r="D497" s="1" t="n">
        <v>32</v>
      </c>
      <c r="E497" s="1" t="n">
        <v>0.9</v>
      </c>
      <c r="F497" s="1" t="n">
        <v>1.15</v>
      </c>
      <c r="G497" s="1" t="n">
        <v>0.1</v>
      </c>
      <c r="H497" s="1" t="n">
        <v>105</v>
      </c>
      <c r="I497" s="1" t="n">
        <v>0.29</v>
      </c>
      <c r="J497" t="n">
        <v>53109200</v>
      </c>
    </row>
    <row r="498" ht="15.75" customHeight="1" s="201">
      <c r="A498" s="1" t="inlineStr">
        <is>
          <t>Beans, snap, yellow, canned, regular pack, solids and liquids</t>
        </is>
      </c>
      <c r="C498" s="1" t="n">
        <v>3.5</v>
      </c>
      <c r="D498" s="1" t="n">
        <v>18</v>
      </c>
      <c r="E498" s="1" t="n">
        <v>0.9</v>
      </c>
      <c r="F498" s="1" t="n">
        <v>0.8</v>
      </c>
      <c r="G498" s="1" t="n">
        <v>0.1</v>
      </c>
      <c r="H498" s="1" t="n">
        <v>83</v>
      </c>
      <c r="I498" s="1" t="n">
        <v>0.2</v>
      </c>
      <c r="J498" t="n">
        <v>53109200</v>
      </c>
    </row>
    <row r="499" ht="15.75" customHeight="1" s="201">
      <c r="A499" s="1" t="inlineStr">
        <is>
          <t>Beans, snap, yellow, cooked, boiled, drained, with salt</t>
        </is>
      </c>
      <c r="C499" s="1" t="n">
        <v>7.88</v>
      </c>
      <c r="D499" s="1" t="n">
        <v>33</v>
      </c>
      <c r="E499" s="1" t="n">
        <v>1.28</v>
      </c>
      <c r="F499" s="1" t="n">
        <v>1.89</v>
      </c>
      <c r="G499" s="1" t="n">
        <v>0.28</v>
      </c>
      <c r="H499" s="1" t="n">
        <v>81</v>
      </c>
      <c r="I499" s="1" t="n">
        <v>0.36</v>
      </c>
      <c r="J499" t="n">
        <v>75142550</v>
      </c>
    </row>
    <row r="500" ht="15.75" customHeight="1" s="201">
      <c r="A500" s="1" t="inlineStr">
        <is>
          <t>Beans, snap, yellow, cooked, boiled, drained, without salt</t>
        </is>
      </c>
      <c r="C500" s="1" t="n">
        <v>7.88</v>
      </c>
      <c r="D500" s="1" t="n">
        <v>33</v>
      </c>
      <c r="E500" s="1" t="n">
        <v>1.28</v>
      </c>
      <c r="F500" s="1" t="n">
        <v>1.89</v>
      </c>
      <c r="G500" s="1" t="n">
        <v>0.28</v>
      </c>
      <c r="H500" s="1" t="n">
        <v>81</v>
      </c>
      <c r="I500" s="1" t="n">
        <v>0.36</v>
      </c>
      <c r="J500" t="n">
        <v>75205030</v>
      </c>
    </row>
    <row r="501" ht="15.75" customHeight="1" s="201">
      <c r="A501" s="1" t="inlineStr">
        <is>
          <t>Beans, snap, yellow, frozen, all styles, unprepared</t>
        </is>
      </c>
      <c r="C501" s="1" t="n">
        <v>7.58</v>
      </c>
      <c r="D501" s="1" t="n">
        <v>15</v>
      </c>
      <c r="E501" s="1" t="n">
        <v>0.86</v>
      </c>
      <c r="F501" s="1" t="n">
        <v>1.8</v>
      </c>
      <c r="G501" s="1" t="n">
        <v>0.21</v>
      </c>
      <c r="H501" s="1" t="n">
        <v>132</v>
      </c>
      <c r="I501" s="1" t="n">
        <v>0.26</v>
      </c>
      <c r="J501" t="n">
        <v>53109200</v>
      </c>
    </row>
    <row r="502" ht="15.75" customHeight="1" s="201">
      <c r="A502" s="1" t="inlineStr">
        <is>
          <t>Beans, snap, yellow, frozen, cooked, boiled, drained, with salt</t>
        </is>
      </c>
      <c r="C502" s="1" t="n">
        <v>6.45</v>
      </c>
      <c r="D502" s="1" t="n">
        <v>23</v>
      </c>
      <c r="E502" s="1" t="n">
        <v>0.88</v>
      </c>
      <c r="F502" s="1" t="n">
        <v>1.49</v>
      </c>
      <c r="G502" s="1" t="n">
        <v>0.17</v>
      </c>
      <c r="H502" s="1" t="n">
        <v>112</v>
      </c>
      <c r="I502" s="1" t="n">
        <v>0.48</v>
      </c>
      <c r="J502" t="n">
        <v>75142550</v>
      </c>
    </row>
    <row r="503" ht="15.75" customHeight="1" s="201">
      <c r="A503" s="1" t="inlineStr">
        <is>
          <t>Beans, snap, yellow, frozen, cooked, boiled, drained, without salt</t>
        </is>
      </c>
      <c r="C503" s="1" t="n">
        <v>6.45</v>
      </c>
      <c r="D503" s="1" t="n">
        <v>23</v>
      </c>
      <c r="E503" s="1" t="n">
        <v>0.88</v>
      </c>
      <c r="F503" s="1" t="n">
        <v>1.49</v>
      </c>
      <c r="G503" s="1" t="n">
        <v>0.17</v>
      </c>
      <c r="H503" s="1" t="n">
        <v>112</v>
      </c>
      <c r="I503" s="1" t="n">
        <v>0.48</v>
      </c>
      <c r="J503" t="n">
        <v>75205022</v>
      </c>
    </row>
    <row r="504" ht="15.75" customHeight="1" s="201">
      <c r="A504" s="1" t="inlineStr">
        <is>
          <t>Beans, snap, yellow, raw</t>
        </is>
      </c>
      <c r="C504" s="1" t="n">
        <v>7.13</v>
      </c>
      <c r="D504" s="1" t="n">
        <v>37</v>
      </c>
      <c r="E504" s="1" t="n">
        <v>1.04</v>
      </c>
      <c r="F504" s="1" t="n">
        <v>1.82</v>
      </c>
      <c r="G504" s="1" t="n">
        <v>0.12</v>
      </c>
      <c r="H504" s="1" t="n">
        <v>108</v>
      </c>
      <c r="I504" s="1" t="n">
        <v>0.24</v>
      </c>
      <c r="J504" t="n">
        <v>53109200</v>
      </c>
    </row>
    <row r="505" ht="15.75" customHeight="1" s="201">
      <c r="A505" s="1" t="inlineStr">
        <is>
          <t>Beans, yellow, mature seeds, cooked, boiled, without salt</t>
        </is>
      </c>
      <c r="C505" s="1" t="n">
        <v>25.28</v>
      </c>
      <c r="D505" s="1" t="n">
        <v>81</v>
      </c>
      <c r="E505" s="1" t="n">
        <v>2.48</v>
      </c>
      <c r="F505" s="1" t="n">
        <v>9.16</v>
      </c>
      <c r="G505" s="1" t="n">
        <v>1.08</v>
      </c>
      <c r="H505" s="1" t="n">
        <v>2</v>
      </c>
      <c r="I505" s="1" t="n">
        <v>1.06</v>
      </c>
      <c r="J505" t="n">
        <v>75206020</v>
      </c>
    </row>
    <row r="506" ht="15.75" customHeight="1" s="201">
      <c r="A506" s="1" t="inlineStr">
        <is>
          <t>Beans, yellow, mature seeds, raw</t>
        </is>
      </c>
      <c r="C506" s="1" t="n">
        <v>60.7</v>
      </c>
      <c r="D506" s="1" t="n">
        <v>389</v>
      </c>
      <c r="E506" s="1" t="n">
        <v>7.01</v>
      </c>
      <c r="F506" s="1" t="n">
        <v>22</v>
      </c>
      <c r="G506" s="1" t="n">
        <v>2.6</v>
      </c>
      <c r="H506" s="1" t="n">
        <v>6</v>
      </c>
      <c r="I506" s="1" t="n">
        <v>2.83</v>
      </c>
      <c r="J506" t="n">
        <v>53109200</v>
      </c>
    </row>
    <row r="507" ht="15.75" customHeight="1" s="201">
      <c r="A507" s="1" t="inlineStr">
        <is>
          <t>Bear, black, meat (Alaska Native)</t>
        </is>
      </c>
      <c r="C507" s="1" t="n">
        <v>0</v>
      </c>
      <c r="E507" s="1" t="n">
        <v>7.2</v>
      </c>
      <c r="F507" s="1" t="n">
        <v>20.1</v>
      </c>
      <c r="G507" s="1" t="n">
        <v>8.300000000000001</v>
      </c>
      <c r="H507" s="1" t="n">
        <v>260</v>
      </c>
      <c r="J507" t="n">
        <v>14620320</v>
      </c>
    </row>
    <row r="508" ht="15.75" customHeight="1" s="201">
      <c r="A508" s="1" t="inlineStr">
        <is>
          <t>Bear, polar, meat, raw (Alaska Native)</t>
        </is>
      </c>
      <c r="C508" s="1" t="n">
        <v>0</v>
      </c>
      <c r="E508" s="1" t="n">
        <v>6.1</v>
      </c>
      <c r="F508" s="1" t="n">
        <v>25.6</v>
      </c>
      <c r="G508" s="1" t="n">
        <v>3.1</v>
      </c>
      <c r="H508" s="1" t="n">
        <v>1400</v>
      </c>
      <c r="J508" t="n">
        <v>14620320</v>
      </c>
    </row>
    <row r="509" ht="15.75" customHeight="1" s="201">
      <c r="A509" s="1" t="inlineStr">
        <is>
          <t>Beef composite, separable lean only, trimmed to 1/8" fat, choice, cooked</t>
        </is>
      </c>
      <c r="C509" s="1" t="n">
        <v>0</v>
      </c>
      <c r="D509" s="1" t="n">
        <v>8</v>
      </c>
      <c r="E509" s="1" t="n">
        <v>2.49</v>
      </c>
      <c r="F509" s="1" t="n">
        <v>28.73</v>
      </c>
      <c r="G509" s="1" t="n">
        <v>9.16</v>
      </c>
      <c r="H509" s="1" t="n">
        <v>2</v>
      </c>
      <c r="I509" s="1" t="n">
        <v>5.84</v>
      </c>
      <c r="J509" t="n">
        <v>28110510</v>
      </c>
    </row>
    <row r="510" ht="15.75" customHeight="1" s="201">
      <c r="A510" s="1" t="inlineStr">
        <is>
          <t>Beef macaroni with tomato sauce, frozen entree, reduced fat</t>
        </is>
      </c>
      <c r="C510" s="1" t="n">
        <v>17.99</v>
      </c>
      <c r="D510" s="1" t="n">
        <v>31</v>
      </c>
      <c r="E510" s="1" t="n">
        <v>1.3</v>
      </c>
      <c r="F510" s="1" t="n">
        <v>5.89</v>
      </c>
      <c r="G510" s="1" t="n">
        <v>1.96</v>
      </c>
      <c r="H510" s="1" t="n">
        <v>152</v>
      </c>
      <c r="I510" s="1" t="n">
        <v>1.08</v>
      </c>
      <c r="J510" t="n">
        <v>27214110</v>
      </c>
    </row>
    <row r="511" ht="15.75" customHeight="1" s="201">
      <c r="A511" s="1" t="inlineStr">
        <is>
          <t>Beef Pot Pie, frozen entree, prepared</t>
        </is>
      </c>
      <c r="C511" s="1" t="n">
        <v>22.05</v>
      </c>
      <c r="D511" s="1" t="n">
        <v>18</v>
      </c>
      <c r="E511" s="1" t="n">
        <v>1.25</v>
      </c>
      <c r="F511" s="1" t="n">
        <v>7.25</v>
      </c>
      <c r="G511" s="1" t="n">
        <v>11.39</v>
      </c>
      <c r="I511" s="1" t="n">
        <v>1.1</v>
      </c>
      <c r="J511" t="n">
        <v>28110510</v>
      </c>
    </row>
    <row r="512" ht="15.75" customHeight="1" s="201">
      <c r="A512" s="1" t="inlineStr">
        <is>
          <t>Beef stew, canned entree</t>
        </is>
      </c>
      <c r="C512" s="1" t="n">
        <v>7.85</v>
      </c>
      <c r="D512" s="1" t="n">
        <v>14</v>
      </c>
      <c r="E512" s="1" t="n">
        <v>2.48</v>
      </c>
      <c r="F512" s="1" t="n">
        <v>4.41</v>
      </c>
      <c r="G512" s="1" t="n">
        <v>5.53</v>
      </c>
      <c r="H512" s="1" t="n">
        <v>223</v>
      </c>
      <c r="I512" s="1" t="n">
        <v>1</v>
      </c>
      <c r="J512" t="n">
        <v>27311310</v>
      </c>
    </row>
    <row r="513" ht="15.75" customHeight="1" s="201">
      <c r="A513" s="1" t="inlineStr">
        <is>
          <t>Beef, Australian, imported, grass-fed,  external fat, raw</t>
        </is>
      </c>
      <c r="C513" s="1" t="n">
        <v>0.39</v>
      </c>
      <c r="E513" s="1" t="n">
        <v>0.95</v>
      </c>
      <c r="F513" s="1" t="n">
        <v>11.32</v>
      </c>
      <c r="G513" s="1" t="n">
        <v>51.36</v>
      </c>
      <c r="H513" s="1" t="n">
        <v>121</v>
      </c>
      <c r="J513" t="n">
        <v>28110510</v>
      </c>
    </row>
    <row r="514" ht="15.75" customHeight="1" s="201">
      <c r="A514" s="1" t="inlineStr">
        <is>
          <t>Beef, Australian, imported, grass-fed, ground, 85% lean / 15% fat, raw</t>
        </is>
      </c>
      <c r="C514" s="1" t="n">
        <v>0</v>
      </c>
      <c r="E514" s="1" t="n">
        <v>1.79</v>
      </c>
      <c r="F514" s="1" t="n">
        <v>17.72</v>
      </c>
      <c r="G514" s="1" t="n">
        <v>18.12</v>
      </c>
      <c r="H514" s="1" t="n">
        <v>0</v>
      </c>
      <c r="J514" t="n">
        <v>28110510</v>
      </c>
    </row>
    <row r="515" ht="15.75" customHeight="1" s="201">
      <c r="A515" s="1" t="inlineStr">
        <is>
          <t>Beef, Australian, imported, grass-fed, loin, tenderloin steak/roast, boneless, separable lean and fat, raw</t>
        </is>
      </c>
      <c r="C515" s="1" t="n">
        <v>0.01</v>
      </c>
      <c r="E515" s="1" t="n">
        <v>2.21</v>
      </c>
      <c r="F515" s="1" t="n">
        <v>20.53</v>
      </c>
      <c r="G515" s="1" t="n">
        <v>7.63</v>
      </c>
      <c r="H515" s="1" t="n">
        <v>4</v>
      </c>
      <c r="J515" t="n">
        <v>27513010</v>
      </c>
    </row>
    <row r="516" ht="15.75" customHeight="1" s="201">
      <c r="A516" s="1" t="inlineStr">
        <is>
          <t>Beef, Australian, imported, grass-fed, loin, tenderloin steak/roast, boneless, separable lean only, raw</t>
        </is>
      </c>
      <c r="C516" s="1" t="n">
        <v>0</v>
      </c>
      <c r="E516" s="1" t="n">
        <v>2.25</v>
      </c>
      <c r="F516" s="1" t="n">
        <v>20.85</v>
      </c>
      <c r="G516" s="1" t="n">
        <v>6.11</v>
      </c>
      <c r="H516" s="1" t="n">
        <v>0</v>
      </c>
      <c r="J516" t="n">
        <v>27513010</v>
      </c>
    </row>
    <row r="517" ht="15.75" customHeight="1" s="201">
      <c r="A517" s="1" t="inlineStr">
        <is>
          <t>Beef, Australian, imported, grass-fed, loin, top loin steak/roast, boneless, separable lean and fat, raw</t>
        </is>
      </c>
      <c r="C517" s="1" t="n">
        <v>0.11</v>
      </c>
      <c r="E517" s="1" t="n">
        <v>1.46</v>
      </c>
      <c r="F517" s="1" t="n">
        <v>19.9</v>
      </c>
      <c r="G517" s="1" t="n">
        <v>13.17</v>
      </c>
      <c r="H517" s="1" t="n">
        <v>20</v>
      </c>
      <c r="J517" t="n">
        <v>27513010</v>
      </c>
    </row>
    <row r="518" ht="15.75" customHeight="1" s="201">
      <c r="A518" s="1" t="inlineStr">
        <is>
          <t>Beef, Australian, imported, grass-fed, loin, top loin steak/roast, boneless, separable lean only, raw</t>
        </is>
      </c>
      <c r="C518" s="1" t="n">
        <v>0</v>
      </c>
      <c r="E518" s="1" t="n">
        <v>1.57</v>
      </c>
      <c r="F518" s="1" t="n">
        <v>21.79</v>
      </c>
      <c r="G518" s="1" t="n">
        <v>4.87</v>
      </c>
      <c r="H518" s="1" t="n">
        <v>0</v>
      </c>
      <c r="J518" t="n">
        <v>27513010</v>
      </c>
    </row>
    <row r="519" ht="15.75" customHeight="1" s="201">
      <c r="A519" s="1" t="inlineStr">
        <is>
          <t>Beef, Australian, imported, grass-fed, loin, top sirloin cap-off steak/roast, boneless, separable lean and fat, raw</t>
        </is>
      </c>
      <c r="C519" s="1" t="n">
        <v>0.01</v>
      </c>
      <c r="E519" s="1" t="n">
        <v>2.51</v>
      </c>
      <c r="F519" s="1" t="n">
        <v>21.77</v>
      </c>
      <c r="G519" s="1" t="n">
        <v>4.45</v>
      </c>
      <c r="H519" s="1" t="n">
        <v>1</v>
      </c>
      <c r="J519" t="n">
        <v>27513010</v>
      </c>
    </row>
    <row r="520" ht="15.75" customHeight="1" s="201">
      <c r="A520" s="1" t="inlineStr">
        <is>
          <t>Beef, Australian, imported, grass-fed, loin, top sirloin cap-off steak/roast, boneless, separable lean only, raw</t>
        </is>
      </c>
      <c r="C520" s="1" t="n">
        <v>0</v>
      </c>
      <c r="E520" s="1" t="n">
        <v>2.53</v>
      </c>
      <c r="F520" s="1" t="n">
        <v>21.9</v>
      </c>
      <c r="G520" s="1" t="n">
        <v>3.87</v>
      </c>
      <c r="H520" s="1" t="n">
        <v>0</v>
      </c>
      <c r="J520" t="n">
        <v>27513010</v>
      </c>
    </row>
    <row r="521" ht="15.75" customHeight="1" s="201">
      <c r="A521" s="1" t="inlineStr">
        <is>
          <t>Beef, Australian, imported, grass-fed, rib, ribeye steak/roast lip-on, boneless, separable lean and fat, raw</t>
        </is>
      </c>
      <c r="C521" s="1" t="n">
        <v>0.11</v>
      </c>
      <c r="E521" s="1" t="n">
        <v>1.74</v>
      </c>
      <c r="F521" s="1" t="n">
        <v>19.8</v>
      </c>
      <c r="G521" s="1" t="n">
        <v>15.21</v>
      </c>
      <c r="H521" s="1" t="n">
        <v>18</v>
      </c>
      <c r="J521" t="n">
        <v>27513010</v>
      </c>
    </row>
    <row r="522" ht="15.75" customHeight="1" s="201">
      <c r="A522" s="1" t="inlineStr">
        <is>
          <t>Beef, Australian, imported, grass-fed, rib, ribeye steak/roast lip-on, boneless, separable lean only, raw</t>
        </is>
      </c>
      <c r="C522" s="1" t="n">
        <v>0</v>
      </c>
      <c r="E522" s="1" t="n">
        <v>1.88</v>
      </c>
      <c r="F522" s="1" t="n">
        <v>21.47</v>
      </c>
      <c r="G522" s="1" t="n">
        <v>8.199999999999999</v>
      </c>
      <c r="H522" s="1" t="n">
        <v>0</v>
      </c>
      <c r="J522" t="n">
        <v>27513010</v>
      </c>
    </row>
    <row r="523" ht="15.75" customHeight="1" s="201">
      <c r="A523" s="1" t="inlineStr">
        <is>
          <t>Beef, Australian, imported, grass-fed, round, bottom round steak/roast, boneless, separable lean and fat, raw</t>
        </is>
      </c>
      <c r="C523" s="1" t="n">
        <v>0.01</v>
      </c>
      <c r="E523" s="1" t="n">
        <v>2.08</v>
      </c>
      <c r="F523" s="1" t="n">
        <v>21.13</v>
      </c>
      <c r="G523" s="1" t="n">
        <v>6.16</v>
      </c>
      <c r="H523" s="1" t="n">
        <v>3</v>
      </c>
      <c r="J523" t="n">
        <v>27513010</v>
      </c>
    </row>
    <row r="524" ht="15.75" customHeight="1" s="201">
      <c r="A524" s="1" t="inlineStr">
        <is>
          <t>Beef, Australian, imported, grass-fed, round, bottom round steak/roast, boneless, separable lean only, raw</t>
        </is>
      </c>
      <c r="C524" s="1" t="n">
        <v>0</v>
      </c>
      <c r="E524" s="1" t="n">
        <v>2.11</v>
      </c>
      <c r="F524" s="1" t="n">
        <v>21.4</v>
      </c>
      <c r="G524" s="1" t="n">
        <v>4.93</v>
      </c>
      <c r="H524" s="1" t="n">
        <v>0</v>
      </c>
      <c r="J524" t="n">
        <v>27513010</v>
      </c>
    </row>
    <row r="525" ht="15.75" customHeight="1" s="201">
      <c r="A525" s="1" t="inlineStr">
        <is>
          <t>Beef, Australian, imported, grass-fed, round, top round cap-off steak/roast, boneless, separable lean and fat, raw</t>
        </is>
      </c>
      <c r="C525" s="1" t="n">
        <v>0</v>
      </c>
      <c r="E525" s="1" t="n">
        <v>2.28</v>
      </c>
      <c r="F525" s="1" t="n">
        <v>22.24</v>
      </c>
      <c r="G525" s="1" t="n">
        <v>4.4</v>
      </c>
      <c r="H525" s="1" t="n">
        <v>0</v>
      </c>
      <c r="J525" t="n">
        <v>27513010</v>
      </c>
    </row>
    <row r="526" ht="15.75" customHeight="1" s="201">
      <c r="A526" s="1" t="inlineStr">
        <is>
          <t>Beef, Australian, imported, grass-fed, round, top round cap-off steak/roast, boneless, separable lean only, raw</t>
        </is>
      </c>
      <c r="C526" s="1" t="n">
        <v>0</v>
      </c>
      <c r="E526" s="1" t="n">
        <v>2.3</v>
      </c>
      <c r="F526" s="1" t="n">
        <v>22.41</v>
      </c>
      <c r="G526" s="1" t="n">
        <v>4.43</v>
      </c>
      <c r="H526" s="1" t="n">
        <v>0</v>
      </c>
      <c r="J526" t="n">
        <v>27513010</v>
      </c>
    </row>
    <row r="527" ht="15.75" customHeight="1" s="201">
      <c r="A527" s="1" t="inlineStr">
        <is>
          <t>Beef, Australian, imported, grass-fed, seam fat, raw</t>
        </is>
      </c>
      <c r="C527" s="1" t="n">
        <v>1.06</v>
      </c>
      <c r="E527" s="1" t="n">
        <v>0.89</v>
      </c>
      <c r="F527" s="1" t="n">
        <v>9.58</v>
      </c>
      <c r="G527" s="1" t="n">
        <v>57.73</v>
      </c>
      <c r="H527" s="1" t="n">
        <v>120</v>
      </c>
      <c r="J527" t="n">
        <v>28110510</v>
      </c>
    </row>
    <row r="528" ht="15.75" customHeight="1" s="201">
      <c r="A528" s="1" t="inlineStr">
        <is>
          <t>Beef, Australian, imported, Wagyu, external fat, Aust. marble score 4/5, raw</t>
        </is>
      </c>
      <c r="C528" s="1" t="n">
        <v>0</v>
      </c>
      <c r="E528" s="1" t="n">
        <v>1</v>
      </c>
      <c r="F528" s="1" t="n">
        <v>6.54</v>
      </c>
      <c r="G528" s="1" t="n">
        <v>63.27</v>
      </c>
      <c r="H528" s="1" t="n">
        <v>74</v>
      </c>
      <c r="J528" t="n">
        <v>28110510</v>
      </c>
    </row>
    <row r="529" ht="15.75" customHeight="1" s="201">
      <c r="A529" s="1" t="inlineStr">
        <is>
          <t>Beef, Australian, imported, Wagyu, external fat, Aust. marble score 9, raw</t>
        </is>
      </c>
      <c r="C529" s="1" t="n">
        <v>0.97</v>
      </c>
      <c r="E529" s="1" t="n">
        <v>0.8100000000000001</v>
      </c>
      <c r="F529" s="1" t="n">
        <v>5.54</v>
      </c>
      <c r="G529" s="1" t="n">
        <v>68.06999999999999</v>
      </c>
      <c r="H529" s="1" t="n">
        <v>74</v>
      </c>
      <c r="J529" t="n">
        <v>28110510</v>
      </c>
    </row>
    <row r="530" ht="15.75" customHeight="1" s="201">
      <c r="A530" s="1" t="inlineStr">
        <is>
          <t>Beef, Australian, imported, Wagyu, loin, tenderloin steak/roast, boneless, separable lean and fat, Aust. marble score 4/5, raw</t>
        </is>
      </c>
      <c r="C530" s="1" t="n">
        <v>0</v>
      </c>
      <c r="E530" s="1" t="n">
        <v>2.2</v>
      </c>
      <c r="F530" s="1" t="n">
        <v>19.71</v>
      </c>
      <c r="G530" s="1" t="n">
        <v>14.09</v>
      </c>
      <c r="H530" s="1" t="n">
        <v>3</v>
      </c>
      <c r="J530" t="n">
        <v>27513010</v>
      </c>
    </row>
    <row r="531" ht="15.75" customHeight="1" s="201">
      <c r="A531" s="1" t="inlineStr">
        <is>
          <t>Beef, Australian, imported, Wagyu, loin, tenderloin steak/roast, boneless, separable lean and fat, Aust. marble score 9, raw</t>
        </is>
      </c>
      <c r="C531" s="1" t="n">
        <v>0.58</v>
      </c>
      <c r="E531" s="1" t="n">
        <v>2.37</v>
      </c>
      <c r="F531" s="1" t="n">
        <v>18.5</v>
      </c>
      <c r="G531" s="1" t="n">
        <v>19.11</v>
      </c>
      <c r="H531" s="1" t="n">
        <v>2</v>
      </c>
      <c r="J531" t="n">
        <v>27513010</v>
      </c>
    </row>
    <row r="532" ht="15.75" customHeight="1" s="201">
      <c r="A532" s="1" t="inlineStr">
        <is>
          <t>Beef, Australian, imported, Wagyu, loin, tenderloin steak/roast, boneless, separable lean only, Aust. marble score 4/5, raw</t>
        </is>
      </c>
      <c r="C532" s="1" t="n">
        <v>0</v>
      </c>
      <c r="E532" s="1" t="n">
        <v>2.24</v>
      </c>
      <c r="F532" s="1" t="n">
        <v>20.19</v>
      </c>
      <c r="G532" s="1" t="n">
        <v>12.3</v>
      </c>
      <c r="H532" s="1" t="n">
        <v>0</v>
      </c>
      <c r="J532" t="n">
        <v>27513010</v>
      </c>
    </row>
    <row r="533" ht="15.75" customHeight="1" s="201">
      <c r="A533" s="1" t="inlineStr">
        <is>
          <t>Beef, Australian, imported, Wagyu, loin, tenderloin steak/roast, boneless, separable lean only, Aust. marble score 9, raw</t>
        </is>
      </c>
      <c r="C533" s="1" t="n">
        <v>0.57</v>
      </c>
      <c r="E533" s="1" t="n">
        <v>2.41</v>
      </c>
      <c r="F533" s="1" t="n">
        <v>18.87</v>
      </c>
      <c r="G533" s="1" t="n">
        <v>17.73</v>
      </c>
      <c r="H533" s="1" t="n">
        <v>0</v>
      </c>
      <c r="J533" t="n">
        <v>27513010</v>
      </c>
    </row>
    <row r="534" ht="15.75" customHeight="1" s="201">
      <c r="A534" s="1" t="inlineStr">
        <is>
          <t>Beef, Australian, imported, Wagyu, loin, top loin steak/roast, boneless, separable lean and fat, Aust. marble score 4/5, raw</t>
        </is>
      </c>
      <c r="C534" s="1" t="n">
        <v>0.12</v>
      </c>
      <c r="E534" s="1" t="n">
        <v>1.69</v>
      </c>
      <c r="F534" s="1" t="n">
        <v>17.67</v>
      </c>
      <c r="G534" s="1" t="n">
        <v>24.2</v>
      </c>
      <c r="H534" s="1" t="n">
        <v>13</v>
      </c>
      <c r="J534" t="n">
        <v>27513010</v>
      </c>
    </row>
    <row r="535" ht="15.75" customHeight="1" s="201">
      <c r="A535" s="1" t="inlineStr">
        <is>
          <t>Beef, Australian, imported, Wagyu, loin, top loin steak/roast, boneless, separable lean only, Aust. marble score 4/5, raw</t>
        </is>
      </c>
      <c r="C535" s="1" t="n">
        <v>0.2</v>
      </c>
      <c r="E535" s="1" t="n">
        <v>1.85</v>
      </c>
      <c r="F535" s="1" t="n">
        <v>20.15</v>
      </c>
      <c r="G535" s="1" t="n">
        <v>15.69</v>
      </c>
      <c r="H535" s="1" t="n">
        <v>0</v>
      </c>
      <c r="J535" t="n">
        <v>27513010</v>
      </c>
    </row>
    <row r="536" ht="15.75" customHeight="1" s="201">
      <c r="A536" s="1" t="inlineStr">
        <is>
          <t>Beef, Australian, imported, Wagyu, loin, top loin steak/roast, boneless, separable lean only, Aust. marble score 9, raw</t>
        </is>
      </c>
      <c r="C536" s="1" t="n">
        <v>0.13</v>
      </c>
      <c r="E536" s="1" t="n">
        <v>1.71</v>
      </c>
      <c r="F536" s="1" t="n">
        <v>16.92</v>
      </c>
      <c r="G536" s="1" t="n">
        <v>29.15</v>
      </c>
      <c r="H536" s="1" t="n">
        <v>0</v>
      </c>
      <c r="J536" t="n">
        <v>27513010</v>
      </c>
    </row>
    <row r="537" ht="15.75" customHeight="1" s="201">
      <c r="A537" s="1" t="inlineStr">
        <is>
          <t>Beef, Australian, imported, Wagyu, loin, top loin steak/roast, separable lean and fat, Aust. marble score 9, raw</t>
        </is>
      </c>
      <c r="C537" s="1" t="n">
        <v>0.14</v>
      </c>
      <c r="E537" s="1" t="n">
        <v>1.54</v>
      </c>
      <c r="F537" s="1" t="n">
        <v>14.58</v>
      </c>
      <c r="G537" s="1" t="n">
        <v>36.98</v>
      </c>
      <c r="H537" s="1" t="n">
        <v>15</v>
      </c>
      <c r="J537" t="n">
        <v>27513010</v>
      </c>
    </row>
    <row r="538" ht="15.75" customHeight="1" s="201">
      <c r="A538" s="1" t="inlineStr">
        <is>
          <t>Beef, Australian, imported, Wagyu, rib, small end rib steak/roast, boneless, separable lean and fat, Aust. marble score 4/5, raw</t>
        </is>
      </c>
      <c r="C538" s="1" t="n">
        <v>0</v>
      </c>
      <c r="E538" s="1" t="n">
        <v>1.68</v>
      </c>
      <c r="F538" s="1" t="n">
        <v>17.07</v>
      </c>
      <c r="G538" s="1" t="n">
        <v>27.64</v>
      </c>
      <c r="H538" s="1" t="n">
        <v>17</v>
      </c>
      <c r="J538" t="n">
        <v>27513010</v>
      </c>
    </row>
    <row r="539" ht="15.75" customHeight="1" s="201">
      <c r="A539" s="1" t="inlineStr">
        <is>
          <t>Beef, Australian, imported, Wagyu, rib, small end rib steak/roast, boneless, separable lean and fat, Aust. marble score 9, raw</t>
        </is>
      </c>
      <c r="C539" s="1" t="n">
        <v>0.28</v>
      </c>
      <c r="E539" s="1" t="n">
        <v>1.82</v>
      </c>
      <c r="F539" s="1" t="n">
        <v>14.54</v>
      </c>
      <c r="G539" s="1" t="n">
        <v>38.3</v>
      </c>
      <c r="H539" s="1" t="n">
        <v>18</v>
      </c>
      <c r="J539" t="n">
        <v>27513010</v>
      </c>
    </row>
    <row r="540" ht="15.75" customHeight="1" s="201">
      <c r="A540" s="1" t="inlineStr">
        <is>
          <t>Beef, Australian, imported, Wagyu, rib, small end rib steak/roast, boneless, separable lean only, Aust. marble score 4/5, raw</t>
        </is>
      </c>
      <c r="C540" s="1" t="n">
        <v>0</v>
      </c>
      <c r="E540" s="1" t="n">
        <v>1.89</v>
      </c>
      <c r="F540" s="1" t="n">
        <v>20.35</v>
      </c>
      <c r="G540" s="1" t="n">
        <v>16.93</v>
      </c>
      <c r="H540" s="1" t="n">
        <v>0</v>
      </c>
      <c r="J540" t="n">
        <v>27513010</v>
      </c>
    </row>
    <row r="541" ht="15.75" customHeight="1" s="201">
      <c r="A541" s="1" t="inlineStr">
        <is>
          <t>Beef, Australian, imported, Wagyu, rib, small end rib steak/roast, boneless, separable lean only, Aust. marble score 9, raw</t>
        </is>
      </c>
      <c r="C541" s="1" t="n">
        <v>0.46</v>
      </c>
      <c r="E541" s="1" t="n">
        <v>2.14</v>
      </c>
      <c r="F541" s="1" t="n">
        <v>17.61</v>
      </c>
      <c r="G541" s="1" t="n">
        <v>28.61</v>
      </c>
      <c r="H541" s="1" t="n">
        <v>0</v>
      </c>
      <c r="J541" t="n">
        <v>27513010</v>
      </c>
    </row>
    <row r="542" ht="15.75" customHeight="1" s="201">
      <c r="A542" s="1" t="inlineStr">
        <is>
          <t>Beef, Australian, imported, Wagyu, seam fat, Aust. marble score 4/5, raw</t>
        </is>
      </c>
      <c r="C542" s="1" t="n">
        <v>0</v>
      </c>
      <c r="E542" s="1" t="n">
        <v>0.97</v>
      </c>
      <c r="F542" s="1" t="n">
        <v>6</v>
      </c>
      <c r="G542" s="1" t="n">
        <v>63.3</v>
      </c>
      <c r="H542" s="1" t="n">
        <v>74</v>
      </c>
      <c r="J542" t="n">
        <v>28110510</v>
      </c>
    </row>
    <row r="543" ht="15.75" customHeight="1" s="201">
      <c r="A543" s="1" t="inlineStr">
        <is>
          <t>Beef, Australian, imported, Wagyu, seam fat, Aust. marble score 9, raw</t>
        </is>
      </c>
      <c r="C543" s="1" t="n">
        <v>0</v>
      </c>
      <c r="E543" s="1" t="n">
        <v>0.91</v>
      </c>
      <c r="F543" s="1" t="n">
        <v>5.16</v>
      </c>
      <c r="G543" s="1" t="n">
        <v>67.33</v>
      </c>
      <c r="H543" s="1" t="n">
        <v>74</v>
      </c>
      <c r="J543" t="n">
        <v>28110510</v>
      </c>
    </row>
    <row r="544" ht="15.75" customHeight="1" s="201">
      <c r="A544" s="1" t="inlineStr">
        <is>
          <t>Beef, bologna, reduced sodium</t>
        </is>
      </c>
      <c r="C544" s="1" t="n">
        <v>2</v>
      </c>
      <c r="D544" s="1" t="n">
        <v>5</v>
      </c>
      <c r="E544" s="1" t="n">
        <v>1.4</v>
      </c>
      <c r="F544" s="1" t="n">
        <v>11.7</v>
      </c>
      <c r="G544" s="1" t="n">
        <v>28.4</v>
      </c>
      <c r="H544" s="1" t="n">
        <v>0</v>
      </c>
      <c r="I544" s="1" t="n">
        <v>2</v>
      </c>
      <c r="J544" t="n">
        <v>54204030</v>
      </c>
    </row>
    <row r="545" ht="15.75" customHeight="1" s="201">
      <c r="A545" s="1" t="inlineStr">
        <is>
          <t>Beef, bottom sirloin, tri-tip roast, separable lean and fat, trimmed to 0" fat, all grades, cooked, roasted</t>
        </is>
      </c>
      <c r="C545" s="1" t="n">
        <v>0</v>
      </c>
      <c r="D545" s="1" t="n">
        <v>8</v>
      </c>
      <c r="E545" s="1" t="n">
        <v>1.66</v>
      </c>
      <c r="F545" s="1" t="n">
        <v>26.05</v>
      </c>
      <c r="G545" s="1" t="n">
        <v>11.07</v>
      </c>
      <c r="H545" s="1" t="n">
        <v>0</v>
      </c>
      <c r="I545" s="1" t="n">
        <v>4.67</v>
      </c>
      <c r="J545" t="n">
        <v>28110510</v>
      </c>
    </row>
    <row r="546" ht="15.75" customHeight="1" s="201">
      <c r="A546" s="1" t="inlineStr">
        <is>
          <t>Beef, bottom sirloin, tri-tip roast, separable lean and fat, trimmed to 0" fat, all grades, raw</t>
        </is>
      </c>
      <c r="C546" s="1" t="n">
        <v>0</v>
      </c>
      <c r="D546" s="1" t="n">
        <v>11</v>
      </c>
      <c r="E546" s="1" t="n">
        <v>1.49</v>
      </c>
      <c r="F546" s="1" t="n">
        <v>20.64</v>
      </c>
      <c r="G546" s="1" t="n">
        <v>8.550000000000001</v>
      </c>
      <c r="H546" s="1" t="n">
        <v>0</v>
      </c>
      <c r="I546" s="1" t="n">
        <v>3.58</v>
      </c>
      <c r="J546" t="n">
        <v>27513010</v>
      </c>
    </row>
    <row r="547" ht="15.75" customHeight="1" s="201">
      <c r="A547" s="1" t="inlineStr">
        <is>
          <t>Beef, bottom sirloin, tri-tip roast, separable lean and fat, trimmed to 0" fat, choice, cooked, roasted</t>
        </is>
      </c>
      <c r="C547" s="1" t="n">
        <v>0</v>
      </c>
      <c r="D547" s="1" t="n">
        <v>8</v>
      </c>
      <c r="E547" s="1" t="n">
        <v>1.7</v>
      </c>
      <c r="F547" s="1" t="n">
        <v>25.66</v>
      </c>
      <c r="G547" s="1" t="n">
        <v>12.36</v>
      </c>
      <c r="H547" s="1" t="n">
        <v>0</v>
      </c>
      <c r="I547" s="1" t="n">
        <v>4.52</v>
      </c>
      <c r="J547" t="n">
        <v>28110510</v>
      </c>
    </row>
    <row r="548" ht="15.75" customHeight="1" s="201">
      <c r="A548" s="1" t="inlineStr">
        <is>
          <t>Beef, bottom sirloin, tri-tip roast, separable lean and fat, trimmed to 0" fat, choice, raw</t>
        </is>
      </c>
      <c r="C548" s="1" t="n">
        <v>0</v>
      </c>
      <c r="D548" s="1" t="n">
        <v>11</v>
      </c>
      <c r="E548" s="1" t="n">
        <v>1.47</v>
      </c>
      <c r="F548" s="1" t="n">
        <v>20.64</v>
      </c>
      <c r="G548" s="1" t="n">
        <v>9.51</v>
      </c>
      <c r="H548" s="1" t="n">
        <v>0</v>
      </c>
      <c r="I548" s="1" t="n">
        <v>3.61</v>
      </c>
      <c r="J548" t="n">
        <v>27513010</v>
      </c>
    </row>
    <row r="549" ht="15.75" customHeight="1" s="201">
      <c r="A549" s="1" t="inlineStr">
        <is>
          <t>Beef, bottom sirloin, tri-tip roast, separable lean and fat, trimmed to 0" fat, select, cooked, roasted</t>
        </is>
      </c>
      <c r="C549" s="1" t="n">
        <v>0</v>
      </c>
      <c r="D549" s="1" t="n">
        <v>8</v>
      </c>
      <c r="E549" s="1" t="n">
        <v>1.62</v>
      </c>
      <c r="F549" s="1" t="n">
        <v>26.44</v>
      </c>
      <c r="G549" s="1" t="n">
        <v>9.779999999999999</v>
      </c>
      <c r="H549" s="1" t="n">
        <v>0</v>
      </c>
      <c r="I549" s="1" t="n">
        <v>4.82</v>
      </c>
      <c r="J549" t="n">
        <v>28110510</v>
      </c>
    </row>
    <row r="550" ht="15.75" customHeight="1" s="201">
      <c r="A550" s="1" t="inlineStr">
        <is>
          <t>Beef, bottom sirloin, tri-tip roast, separable lean and fat, trimmed to 0" fat, select, raw</t>
        </is>
      </c>
      <c r="C550" s="1" t="n">
        <v>0</v>
      </c>
      <c r="D550" s="1" t="n">
        <v>11</v>
      </c>
      <c r="E550" s="1" t="n">
        <v>1.51</v>
      </c>
      <c r="F550" s="1" t="n">
        <v>20.64</v>
      </c>
      <c r="G550" s="1" t="n">
        <v>7.68</v>
      </c>
      <c r="H550" s="1" t="n">
        <v>0</v>
      </c>
      <c r="I550" s="1" t="n">
        <v>3.54</v>
      </c>
      <c r="J550" t="n">
        <v>27513010</v>
      </c>
    </row>
    <row r="551" ht="15.75" customHeight="1" s="201">
      <c r="A551" s="1" t="inlineStr">
        <is>
          <t>Beef, bottom sirloin, tri-tip roast, separable lean only, trimmed to 0" fat, select, raw</t>
        </is>
      </c>
      <c r="C551" s="1" t="n">
        <v>0</v>
      </c>
      <c r="D551" s="1" t="n">
        <v>12</v>
      </c>
      <c r="E551" s="1" t="n">
        <v>1.55</v>
      </c>
      <c r="F551" s="1" t="n">
        <v>21.34</v>
      </c>
      <c r="G551" s="1" t="n">
        <v>4.21</v>
      </c>
      <c r="H551" s="1" t="n">
        <v>0</v>
      </c>
      <c r="I551" s="1" t="n">
        <v>3.85</v>
      </c>
      <c r="J551" t="n">
        <v>27513010</v>
      </c>
    </row>
    <row r="552" ht="15.75" customHeight="1" s="201">
      <c r="A552" s="1" t="inlineStr">
        <is>
          <t>Beef, brisket, flat half, boneless separable lean only, trimmed to 0" fat, all grades, raw</t>
        </is>
      </c>
      <c r="C552" s="1" t="n">
        <v>0</v>
      </c>
      <c r="D552" s="1" t="n">
        <v>3</v>
      </c>
      <c r="E552" s="1" t="n">
        <v>2.06</v>
      </c>
      <c r="F552" s="1" t="n">
        <v>21.47</v>
      </c>
      <c r="G552" s="1" t="n">
        <v>5.11</v>
      </c>
      <c r="H552" s="1" t="n">
        <v>6</v>
      </c>
      <c r="I552" s="1" t="n">
        <v>5.21</v>
      </c>
      <c r="J552" t="n">
        <v>28110510</v>
      </c>
    </row>
    <row r="553" ht="15.75" customHeight="1" s="201">
      <c r="A553" s="1" t="inlineStr">
        <is>
          <t>Beef, brisket, flat half, boneless, separable lean and fat, trimmed to 0" fat, all grades, raw</t>
        </is>
      </c>
      <c r="C553" s="1" t="n">
        <v>0</v>
      </c>
      <c r="D553" s="1" t="n">
        <v>3</v>
      </c>
      <c r="E553" s="1" t="n">
        <v>2</v>
      </c>
      <c r="F553" s="1" t="n">
        <v>20.32</v>
      </c>
      <c r="G553" s="1" t="n">
        <v>9.289999999999999</v>
      </c>
      <c r="H553" s="1" t="n">
        <v>12</v>
      </c>
      <c r="I553" s="1" t="n">
        <v>4.98</v>
      </c>
      <c r="J553" t="n">
        <v>28110510</v>
      </c>
    </row>
    <row r="554" ht="15.75" customHeight="1" s="201">
      <c r="A554" s="1" t="inlineStr">
        <is>
          <t>Beef, brisket, flat half, boneless, separable lean and fat, trimmed to 0" fat, choice, raw</t>
        </is>
      </c>
      <c r="C554" s="1" t="n">
        <v>0</v>
      </c>
      <c r="D554" s="1" t="n">
        <v>3</v>
      </c>
      <c r="E554" s="1" t="n">
        <v>1.98</v>
      </c>
      <c r="F554" s="1" t="n">
        <v>20.15</v>
      </c>
      <c r="G554" s="1" t="n">
        <v>9.859999999999999</v>
      </c>
      <c r="H554" s="1" t="n">
        <v>12</v>
      </c>
      <c r="I554" s="1" t="n">
        <v>4.93</v>
      </c>
      <c r="J554" t="n">
        <v>28110510</v>
      </c>
    </row>
    <row r="555" ht="15.75" customHeight="1" s="201">
      <c r="A555" s="1" t="inlineStr">
        <is>
          <t>Beef, brisket, flat half, boneless, separable lean and fat, trimmed to 0" fat, select, raw</t>
        </is>
      </c>
      <c r="C555" s="1" t="n">
        <v>0</v>
      </c>
      <c r="D555" s="1" t="n">
        <v>3</v>
      </c>
      <c r="E555" s="1" t="n">
        <v>2.02</v>
      </c>
      <c r="F555" s="1" t="n">
        <v>20.57</v>
      </c>
      <c r="G555" s="1" t="n">
        <v>8.449999999999999</v>
      </c>
      <c r="H555" s="1" t="n">
        <v>13</v>
      </c>
      <c r="I555" s="1" t="n">
        <v>5.05</v>
      </c>
      <c r="J555" t="n">
        <v>28110510</v>
      </c>
    </row>
    <row r="556" ht="15.75" customHeight="1" s="201">
      <c r="A556" s="1" t="inlineStr">
        <is>
          <t>Beef, brisket, flat half, boneless, separable lean only, trimmed to 0" fat, choice, raw</t>
        </is>
      </c>
      <c r="C556" s="1" t="n">
        <v>0</v>
      </c>
      <c r="D556" s="1" t="n">
        <v>3</v>
      </c>
      <c r="E556" s="1" t="n">
        <v>2.04</v>
      </c>
      <c r="F556" s="1" t="n">
        <v>21.28</v>
      </c>
      <c r="G556" s="1" t="n">
        <v>5.75</v>
      </c>
      <c r="H556" s="1" t="n">
        <v>6</v>
      </c>
      <c r="I556" s="1" t="n">
        <v>5.15</v>
      </c>
      <c r="J556" t="n">
        <v>28110510</v>
      </c>
    </row>
    <row r="557" ht="15.75" customHeight="1" s="201">
      <c r="A557" s="1" t="inlineStr">
        <is>
          <t>Beef, brisket, flat half, boneless, separable lean only, trimmed to 0" fat, select, raw</t>
        </is>
      </c>
      <c r="C557" s="1" t="n">
        <v>0</v>
      </c>
      <c r="D557" s="1" t="n">
        <v>3</v>
      </c>
      <c r="E557" s="1" t="n">
        <v>2.08</v>
      </c>
      <c r="F557" s="1" t="n">
        <v>21.74</v>
      </c>
      <c r="G557" s="1" t="n">
        <v>4.14</v>
      </c>
      <c r="H557" s="1" t="n">
        <v>7</v>
      </c>
      <c r="I557" s="1" t="n">
        <v>5.3</v>
      </c>
      <c r="J557" t="n">
        <v>28110510</v>
      </c>
    </row>
    <row r="558" ht="15.75" customHeight="1" s="201">
      <c r="A558" s="1" t="inlineStr">
        <is>
          <t>Beef, brisket, flat half, separable lean and fat, trimmed to 0" fat, all grades, cooked, braised</t>
        </is>
      </c>
      <c r="C558" s="1" t="n">
        <v>0</v>
      </c>
      <c r="D558" s="1" t="n">
        <v>10</v>
      </c>
      <c r="E558" s="1" t="n">
        <v>2.76</v>
      </c>
      <c r="F558" s="1" t="n">
        <v>32.9</v>
      </c>
      <c r="G558" s="1" t="n">
        <v>8.01</v>
      </c>
      <c r="H558" s="1" t="n">
        <v>0</v>
      </c>
      <c r="I558" s="1" t="n">
        <v>7.61</v>
      </c>
      <c r="J558" t="n">
        <v>28110510</v>
      </c>
    </row>
    <row r="559" ht="15.75" customHeight="1" s="201">
      <c r="A559" s="1" t="inlineStr">
        <is>
          <t>Beef, brisket, flat half, separable lean and fat, trimmed to 0" fat, choice, cooked, braised</t>
        </is>
      </c>
      <c r="C559" s="1" t="n">
        <v>0</v>
      </c>
      <c r="D559" s="1" t="n">
        <v>10</v>
      </c>
      <c r="E559" s="1" t="n">
        <v>2.75</v>
      </c>
      <c r="F559" s="1" t="n">
        <v>32.21</v>
      </c>
      <c r="G559" s="1" t="n">
        <v>9.24</v>
      </c>
      <c r="H559" s="1" t="n">
        <v>0</v>
      </c>
      <c r="I559" s="1" t="n">
        <v>7.23</v>
      </c>
      <c r="J559" t="n">
        <v>28110510</v>
      </c>
    </row>
    <row r="560" ht="15.75" customHeight="1" s="201">
      <c r="A560" s="1" t="inlineStr">
        <is>
          <t>Beef, brisket, flat half, separable lean and fat, trimmed to 0" fat, select, cooked, braised</t>
        </is>
      </c>
      <c r="C560" s="1" t="n">
        <v>0</v>
      </c>
      <c r="D560" s="1" t="n">
        <v>9</v>
      </c>
      <c r="E560" s="1" t="n">
        <v>2.78</v>
      </c>
      <c r="F560" s="1" t="n">
        <v>33.59</v>
      </c>
      <c r="G560" s="1" t="n">
        <v>6.77</v>
      </c>
      <c r="H560" s="1" t="n">
        <v>0</v>
      </c>
      <c r="I560" s="1" t="n">
        <v>8.01</v>
      </c>
      <c r="J560" t="n">
        <v>28110510</v>
      </c>
    </row>
    <row r="561" ht="15.75" customHeight="1" s="201">
      <c r="A561" s="1" t="inlineStr">
        <is>
          <t>Beef, brisket, flat half, separable lean and fat, trimmed to 1/8" fat, all grades, cooked, braised</t>
        </is>
      </c>
      <c r="C561" s="1" t="n">
        <v>0</v>
      </c>
      <c r="D561" s="1" t="n">
        <v>9</v>
      </c>
      <c r="E561" s="1" t="n">
        <v>2.43</v>
      </c>
      <c r="F561" s="1" t="n">
        <v>28.82</v>
      </c>
      <c r="G561" s="1" t="n">
        <v>18.42</v>
      </c>
      <c r="H561" s="1" t="n">
        <v>0</v>
      </c>
      <c r="I561" s="1" t="n">
        <v>6.69</v>
      </c>
      <c r="J561" t="n">
        <v>28110510</v>
      </c>
    </row>
    <row r="562" ht="15.75" customHeight="1" s="201">
      <c r="A562" s="1" t="inlineStr">
        <is>
          <t>Beef, brisket, flat half, separable lean and fat, trimmed to 1/8" fat, all grades, raw</t>
        </is>
      </c>
      <c r="C562" s="1" t="n">
        <v>0</v>
      </c>
      <c r="D562" s="1" t="n">
        <v>10</v>
      </c>
      <c r="E562" s="1" t="n">
        <v>1.59</v>
      </c>
      <c r="F562" s="1" t="n">
        <v>17.94</v>
      </c>
      <c r="G562" s="1" t="n">
        <v>22.18</v>
      </c>
      <c r="H562" s="1" t="n">
        <v>0</v>
      </c>
      <c r="I562" s="1" t="n">
        <v>4.32</v>
      </c>
      <c r="J562" t="n">
        <v>28110510</v>
      </c>
    </row>
    <row r="563" ht="15.75" customHeight="1" s="201">
      <c r="A563" s="1" t="inlineStr">
        <is>
          <t>Beef, brisket, flat half, separable lean and fat, trimmed to 1/8" fat, choice, cooked, braised</t>
        </is>
      </c>
      <c r="C563" s="1" t="n">
        <v>0</v>
      </c>
      <c r="D563" s="1" t="n">
        <v>9</v>
      </c>
      <c r="E563" s="1" t="n">
        <v>2.46</v>
      </c>
      <c r="F563" s="1" t="n">
        <v>28.66</v>
      </c>
      <c r="G563" s="1" t="n">
        <v>19.47</v>
      </c>
      <c r="H563" s="1" t="n">
        <v>0</v>
      </c>
      <c r="I563" s="1" t="n">
        <v>6.47</v>
      </c>
      <c r="J563" t="n">
        <v>28110510</v>
      </c>
    </row>
    <row r="564" ht="15.75" customHeight="1" s="201">
      <c r="A564" s="1" t="inlineStr">
        <is>
          <t>Beef, brisket, flat half, separable lean and fat, trimmed to 1/8" fat, choice, raw</t>
        </is>
      </c>
      <c r="C564" s="1" t="n">
        <v>0.12</v>
      </c>
      <c r="D564" s="1" t="n">
        <v>10</v>
      </c>
      <c r="E564" s="1" t="n">
        <v>1.68</v>
      </c>
      <c r="F564" s="1" t="n">
        <v>18.12</v>
      </c>
      <c r="G564" s="1" t="n">
        <v>22.15</v>
      </c>
      <c r="H564" s="1" t="n">
        <v>0</v>
      </c>
      <c r="I564" s="1" t="n">
        <v>4.42</v>
      </c>
      <c r="J564" t="n">
        <v>28110510</v>
      </c>
    </row>
    <row r="565" ht="15.75" customHeight="1" s="201">
      <c r="A565" s="1" t="inlineStr">
        <is>
          <t>Beef, brisket, flat half, separable lean and fat, trimmed to 1/8" fat, select, cooked, braised</t>
        </is>
      </c>
      <c r="C565" s="1" t="n">
        <v>0</v>
      </c>
      <c r="D565" s="1" t="n">
        <v>9</v>
      </c>
      <c r="E565" s="1" t="n">
        <v>2.4</v>
      </c>
      <c r="F565" s="1" t="n">
        <v>28.97</v>
      </c>
      <c r="G565" s="1" t="n">
        <v>17.37</v>
      </c>
      <c r="H565" s="1" t="n">
        <v>0</v>
      </c>
      <c r="I565" s="1" t="n">
        <v>6.92</v>
      </c>
      <c r="J565" t="n">
        <v>28110510</v>
      </c>
    </row>
    <row r="566" ht="15.75" customHeight="1" s="201">
      <c r="A566" s="1" t="inlineStr">
        <is>
          <t>Beef, brisket, flat half, separable lean and fat, trimmed to 1/8" fat, select, raw</t>
        </is>
      </c>
      <c r="C566" s="1" t="n">
        <v>0</v>
      </c>
      <c r="D566" s="1" t="n">
        <v>9</v>
      </c>
      <c r="E566" s="1" t="n">
        <v>1.5</v>
      </c>
      <c r="F566" s="1" t="n">
        <v>17.77</v>
      </c>
      <c r="G566" s="1" t="n">
        <v>22.21</v>
      </c>
      <c r="H566" s="1" t="n">
        <v>0</v>
      </c>
      <c r="I566" s="1" t="n">
        <v>4.23</v>
      </c>
      <c r="J566" t="n">
        <v>28110510</v>
      </c>
    </row>
    <row r="567" ht="15.75" customHeight="1" s="201">
      <c r="A567" s="1" t="inlineStr">
        <is>
          <t>Beef, brisket, flat half, separable lean only, trimmed to 0" fat, all grades, cooked, braised</t>
        </is>
      </c>
      <c r="C567" s="1" t="n">
        <v>0</v>
      </c>
      <c r="D567" s="1" t="n">
        <v>11</v>
      </c>
      <c r="E567" s="1" t="n">
        <v>2.82</v>
      </c>
      <c r="F567" s="1" t="n">
        <v>33.26</v>
      </c>
      <c r="G567" s="1" t="n">
        <v>6.99</v>
      </c>
      <c r="H567" s="1" t="n">
        <v>0</v>
      </c>
      <c r="I567" s="1" t="n">
        <v>8</v>
      </c>
      <c r="J567" t="n">
        <v>28110510</v>
      </c>
    </row>
    <row r="568" ht="15.75" customHeight="1" s="201">
      <c r="A568" s="1" t="inlineStr">
        <is>
          <t>Beef, brisket, flat half, separable lean only, trimmed to 0" fat, choice, cooked, braised</t>
        </is>
      </c>
      <c r="C568" s="1" t="n">
        <v>0</v>
      </c>
      <c r="D568" s="1" t="n">
        <v>11</v>
      </c>
      <c r="E568" s="1" t="n">
        <v>2.83</v>
      </c>
      <c r="F568" s="1" t="n">
        <v>32.62</v>
      </c>
      <c r="G568" s="1" t="n">
        <v>8.07</v>
      </c>
      <c r="H568" s="1" t="n">
        <v>0</v>
      </c>
      <c r="I568" s="1" t="n">
        <v>7.61</v>
      </c>
      <c r="J568" t="n">
        <v>28110510</v>
      </c>
    </row>
    <row r="569" ht="15.75" customHeight="1" s="201">
      <c r="A569" s="1" t="inlineStr">
        <is>
          <t>Beef, brisket, flat half, separable lean only, trimmed to 0" fat, select, cooked, braised</t>
        </is>
      </c>
      <c r="C569" s="1" t="n">
        <v>0</v>
      </c>
      <c r="D569" s="1" t="n">
        <v>11</v>
      </c>
      <c r="E569" s="1" t="n">
        <v>2.87</v>
      </c>
      <c r="F569" s="1" t="n">
        <v>33.9</v>
      </c>
      <c r="G569" s="1" t="n">
        <v>5.92</v>
      </c>
      <c r="H569" s="1" t="n">
        <v>0</v>
      </c>
      <c r="I569" s="1" t="n">
        <v>8.380000000000001</v>
      </c>
      <c r="J569" t="n">
        <v>28110510</v>
      </c>
    </row>
    <row r="570" ht="15.75" customHeight="1" s="201">
      <c r="A570" s="1" t="inlineStr">
        <is>
          <t>Beef, brisket, flat half, separable lean only, trimmed to 1/8" fat, all grades, cooked, braised</t>
        </is>
      </c>
      <c r="C570" s="1" t="n">
        <v>0</v>
      </c>
      <c r="D570" s="1" t="n">
        <v>11</v>
      </c>
      <c r="E570" s="1" t="n">
        <v>2.81</v>
      </c>
      <c r="F570" s="1" t="n">
        <v>33.15</v>
      </c>
      <c r="G570" s="1" t="n">
        <v>6</v>
      </c>
      <c r="H570" s="1" t="n">
        <v>0</v>
      </c>
      <c r="I570" s="1" t="n">
        <v>7.98</v>
      </c>
      <c r="J570" t="n">
        <v>28110510</v>
      </c>
    </row>
    <row r="571" ht="15.75" customHeight="1" s="201">
      <c r="A571" s="1" t="inlineStr">
        <is>
          <t>Beef, brisket, flat half, separable lean only, trimmed to 1/8" fat, all grades, raw</t>
        </is>
      </c>
      <c r="C571" s="1" t="n">
        <v>0</v>
      </c>
      <c r="D571" s="1" t="n">
        <v>13</v>
      </c>
      <c r="E571" s="1" t="n">
        <v>1.92</v>
      </c>
      <c r="F571" s="1" t="n">
        <v>21.57</v>
      </c>
      <c r="G571" s="1" t="n">
        <v>3.84</v>
      </c>
      <c r="H571" s="1" t="n">
        <v>0</v>
      </c>
      <c r="I571" s="1" t="n">
        <v>5.52</v>
      </c>
      <c r="J571" t="n">
        <v>28110510</v>
      </c>
    </row>
    <row r="572" ht="15.75" customHeight="1" s="201">
      <c r="A572" s="1" t="inlineStr">
        <is>
          <t>Beef, brisket, flat half, separable lean only, trimmed to 1/8" fat, choice, cooked, braised</t>
        </is>
      </c>
      <c r="C572" s="1" t="n">
        <v>0</v>
      </c>
      <c r="D572" s="1" t="n">
        <v>11</v>
      </c>
      <c r="E572" s="1" t="n">
        <v>2.88</v>
      </c>
      <c r="F572" s="1" t="n">
        <v>33.13</v>
      </c>
      <c r="G572" s="1" t="n">
        <v>6.79</v>
      </c>
      <c r="H572" s="1" t="n">
        <v>0</v>
      </c>
      <c r="I572" s="1" t="n">
        <v>7.76</v>
      </c>
      <c r="J572" t="n">
        <v>28110510</v>
      </c>
    </row>
    <row r="573" ht="15.75" customHeight="1" s="201">
      <c r="A573" s="1" t="inlineStr">
        <is>
          <t>Beef, brisket, flat half, separable lean only, trimmed to 1/8" fat, choice, raw</t>
        </is>
      </c>
      <c r="C573" s="1" t="n">
        <v>0</v>
      </c>
      <c r="D573" s="1" t="n">
        <v>13</v>
      </c>
      <c r="E573" s="1" t="n">
        <v>2.04</v>
      </c>
      <c r="F573" s="1" t="n">
        <v>21.69</v>
      </c>
      <c r="G573" s="1" t="n">
        <v>4.06</v>
      </c>
      <c r="H573" s="1" t="n">
        <v>0</v>
      </c>
      <c r="I573" s="1" t="n">
        <v>5.53</v>
      </c>
      <c r="J573" t="n">
        <v>28110510</v>
      </c>
    </row>
    <row r="574" ht="15.75" customHeight="1" s="201">
      <c r="A574" s="1" t="inlineStr">
        <is>
          <t>Beef, brisket, point half, separable lean and fat, trimmed to 0" fat, all grades, cooked, braised</t>
        </is>
      </c>
      <c r="C574" s="1" t="n">
        <v>0</v>
      </c>
      <c r="D574" s="1" t="n">
        <v>7</v>
      </c>
      <c r="E574" s="1" t="n">
        <v>2.34</v>
      </c>
      <c r="F574" s="1" t="n">
        <v>23.53</v>
      </c>
      <c r="G574" s="1" t="n">
        <v>28.5</v>
      </c>
      <c r="H574" s="1" t="n">
        <v>0</v>
      </c>
      <c r="I574" s="1" t="n">
        <v>5.83</v>
      </c>
      <c r="J574" t="n">
        <v>28110510</v>
      </c>
    </row>
    <row r="575" ht="15.75" customHeight="1" s="201">
      <c r="A575" s="1" t="inlineStr">
        <is>
          <t>Beef, brisket, point half, separable lean and fat, trimmed to 1/8" fat, all grades, cooked, braised</t>
        </is>
      </c>
      <c r="C575" s="1" t="n">
        <v>0</v>
      </c>
      <c r="D575" s="1" t="n">
        <v>7</v>
      </c>
      <c r="E575" s="1" t="n">
        <v>2.43</v>
      </c>
      <c r="F575" s="1" t="n">
        <v>24.4</v>
      </c>
      <c r="G575" s="1" t="n">
        <v>27.17</v>
      </c>
      <c r="H575" s="1" t="n">
        <v>0</v>
      </c>
      <c r="I575" s="1" t="n">
        <v>6.13</v>
      </c>
      <c r="J575" t="n">
        <v>28110510</v>
      </c>
    </row>
    <row r="576" ht="15.75" customHeight="1" s="201">
      <c r="A576" s="1" t="inlineStr">
        <is>
          <t>Beef, brisket, point half, separable lean and fat, trimmed to 1/8" fat, all grades, raw</t>
        </is>
      </c>
      <c r="C576" s="1" t="n">
        <v>0.59</v>
      </c>
      <c r="D576" s="1" t="n">
        <v>6</v>
      </c>
      <c r="E576" s="1" t="n">
        <v>1.69</v>
      </c>
      <c r="F576" s="1" t="n">
        <v>17.65</v>
      </c>
      <c r="G576" s="1" t="n">
        <v>20.98</v>
      </c>
      <c r="H576" s="1" t="n">
        <v>0</v>
      </c>
      <c r="I576" s="1" t="n">
        <v>4.24</v>
      </c>
      <c r="J576" t="n">
        <v>28110510</v>
      </c>
    </row>
    <row r="577" ht="15.75" customHeight="1" s="201">
      <c r="A577" s="1" t="inlineStr">
        <is>
          <t>Beef, brisket, point half, separable lean only, trimmed to 0" fat, all grades, cooked, braised</t>
        </is>
      </c>
      <c r="C577" s="1" t="n">
        <v>0</v>
      </c>
      <c r="D577" s="1" t="n">
        <v>8</v>
      </c>
      <c r="E577" s="1" t="n">
        <v>2.79</v>
      </c>
      <c r="F577" s="1" t="n">
        <v>28.05</v>
      </c>
      <c r="G577" s="1" t="n">
        <v>13.8</v>
      </c>
      <c r="H577" s="1" t="n">
        <v>0</v>
      </c>
      <c r="I577" s="1" t="n">
        <v>7.39</v>
      </c>
      <c r="J577" t="n">
        <v>28110510</v>
      </c>
    </row>
    <row r="578" ht="15.75" customHeight="1" s="201">
      <c r="A578" s="1" t="inlineStr">
        <is>
          <t>Beef, brisket, whole, separable lean and fat, trimmed to 0" fat, all grades, cooked, braised</t>
        </is>
      </c>
      <c r="C578" s="1" t="n">
        <v>0</v>
      </c>
      <c r="D578" s="1" t="n">
        <v>7</v>
      </c>
      <c r="E578" s="1" t="n">
        <v>2.53</v>
      </c>
      <c r="F578" s="1" t="n">
        <v>26.79</v>
      </c>
      <c r="G578" s="1" t="n">
        <v>19.52</v>
      </c>
      <c r="H578" s="1" t="n">
        <v>0</v>
      </c>
      <c r="I578" s="1" t="n">
        <v>5.96</v>
      </c>
      <c r="J578" t="n">
        <v>28110510</v>
      </c>
    </row>
    <row r="579" ht="15.75" customHeight="1" s="201">
      <c r="A579" s="1" t="inlineStr">
        <is>
          <t>Beef, brisket, whole, separable lean and fat, trimmed to 1/8" fat, all grades, cooked, braised</t>
        </is>
      </c>
      <c r="C579" s="1" t="n">
        <v>0</v>
      </c>
      <c r="D579" s="1" t="n">
        <v>7</v>
      </c>
      <c r="E579" s="1" t="n">
        <v>2.46</v>
      </c>
      <c r="F579" s="1" t="n">
        <v>25.85</v>
      </c>
      <c r="G579" s="1" t="n">
        <v>24.5</v>
      </c>
      <c r="H579" s="1" t="n">
        <v>0</v>
      </c>
      <c r="I579" s="1" t="n">
        <v>5.77</v>
      </c>
      <c r="J579" t="n">
        <v>28110510</v>
      </c>
    </row>
    <row r="580" ht="15.75" customHeight="1" s="201">
      <c r="A580" s="1" t="inlineStr">
        <is>
          <t>Beef, brisket, whole, separable lean and fat, trimmed to 1/8" fat, all grades, raw</t>
        </is>
      </c>
      <c r="C580" s="1" t="n">
        <v>0.5600000000000001</v>
      </c>
      <c r="D580" s="1" t="n">
        <v>6</v>
      </c>
      <c r="E580" s="1" t="n">
        <v>1.7</v>
      </c>
      <c r="F580" s="1" t="n">
        <v>18.42</v>
      </c>
      <c r="G580" s="1" t="n">
        <v>19.06</v>
      </c>
      <c r="H580" s="1" t="n">
        <v>0</v>
      </c>
      <c r="I580" s="1" t="n">
        <v>3.71</v>
      </c>
      <c r="J580" t="n">
        <v>28110510</v>
      </c>
    </row>
    <row r="581" ht="15.75" customHeight="1" s="201">
      <c r="A581" s="1" t="inlineStr">
        <is>
          <t>Beef, brisket, whole, separable lean only, all grades, raw</t>
        </is>
      </c>
      <c r="C581" s="1" t="n">
        <v>0.6</v>
      </c>
      <c r="D581" s="1" t="n">
        <v>7</v>
      </c>
      <c r="E581" s="1" t="n">
        <v>1.92</v>
      </c>
      <c r="F581" s="1" t="n">
        <v>20.72</v>
      </c>
      <c r="G581" s="1" t="n">
        <v>7.37</v>
      </c>
      <c r="H581" s="1" t="n">
        <v>0</v>
      </c>
      <c r="I581" s="1" t="n">
        <v>4.31</v>
      </c>
      <c r="J581" t="n">
        <v>28110510</v>
      </c>
    </row>
    <row r="582" ht="15.75" customHeight="1" s="201">
      <c r="A582" s="1" t="inlineStr">
        <is>
          <t>Beef, brisket, whole, separable lean only, trimmed to 0" fat, all grades, cooked, braised</t>
        </is>
      </c>
      <c r="C582" s="1" t="n">
        <v>0</v>
      </c>
      <c r="D582" s="1" t="n">
        <v>8</v>
      </c>
      <c r="E582" s="1" t="n">
        <v>2.81</v>
      </c>
      <c r="F582" s="1" t="n">
        <v>29.75</v>
      </c>
      <c r="G582" s="1" t="n">
        <v>10.08</v>
      </c>
      <c r="H582" s="1" t="n">
        <v>0</v>
      </c>
      <c r="I582" s="1" t="n">
        <v>6.89</v>
      </c>
      <c r="J582" t="n">
        <v>28110510</v>
      </c>
    </row>
    <row r="583" ht="15.75" customHeight="1" s="201">
      <c r="A583" s="1" t="inlineStr">
        <is>
          <t>Beef, carcass, separable lean and fat, choice, raw</t>
        </is>
      </c>
      <c r="C583" s="1" t="n">
        <v>0</v>
      </c>
      <c r="D583" s="1" t="n">
        <v>7</v>
      </c>
      <c r="E583" s="1" t="n">
        <v>1.83</v>
      </c>
      <c r="F583" s="1" t="n">
        <v>17.32</v>
      </c>
      <c r="G583" s="1" t="n">
        <v>24.05</v>
      </c>
      <c r="H583" s="1" t="n">
        <v>0</v>
      </c>
      <c r="I583" s="1" t="n">
        <v>3.57</v>
      </c>
      <c r="J583" t="n">
        <v>28110510</v>
      </c>
    </row>
    <row r="584" ht="15.75" customHeight="1" s="201">
      <c r="A584" s="1" t="inlineStr">
        <is>
          <t>Beef, carcass, separable lean and fat, select, raw</t>
        </is>
      </c>
      <c r="C584" s="1" t="n">
        <v>0</v>
      </c>
      <c r="D584" s="1" t="n">
        <v>7</v>
      </c>
      <c r="E584" s="1" t="n">
        <v>1.85</v>
      </c>
      <c r="F584" s="1" t="n">
        <v>17.48</v>
      </c>
      <c r="G584" s="1" t="n">
        <v>22.55</v>
      </c>
      <c r="H584" s="1" t="n">
        <v>0</v>
      </c>
      <c r="I584" s="1" t="n">
        <v>3.59</v>
      </c>
      <c r="J584" t="n">
        <v>28110510</v>
      </c>
    </row>
    <row r="585" ht="15.75" customHeight="1" s="201">
      <c r="A585" s="1" t="inlineStr">
        <is>
          <t>Beef, chopped, cured, smoked</t>
        </is>
      </c>
      <c r="C585" s="1" t="n">
        <v>1.86</v>
      </c>
      <c r="D585" s="1" t="n">
        <v>8</v>
      </c>
      <c r="E585" s="1" t="n">
        <v>2.85</v>
      </c>
      <c r="F585" s="1" t="n">
        <v>20.19</v>
      </c>
      <c r="G585" s="1" t="n">
        <v>4.42</v>
      </c>
      <c r="H585" s="1" t="n">
        <v>0</v>
      </c>
      <c r="I585" s="1" t="n">
        <v>3.93</v>
      </c>
      <c r="J585" t="n">
        <v>28110510</v>
      </c>
    </row>
    <row r="586" ht="15.75" customHeight="1" s="201">
      <c r="A586" s="1" t="inlineStr">
        <is>
          <t>Beef, chuck eye Country-Style ribs, boneless, separable lean and fat, trimmed to 0" fat, all grades, cooked, braised</t>
        </is>
      </c>
      <c r="C586" s="1" t="n">
        <v>0</v>
      </c>
      <c r="D586" s="1" t="n">
        <v>7</v>
      </c>
      <c r="E586" s="1" t="n">
        <v>2.49</v>
      </c>
      <c r="F586" s="1" t="n">
        <v>27.69</v>
      </c>
      <c r="G586" s="1" t="n">
        <v>20.55</v>
      </c>
      <c r="H586" s="1" t="n">
        <v>27</v>
      </c>
      <c r="I586" s="1" t="n">
        <v>8.91</v>
      </c>
      <c r="J586" t="n">
        <v>28110510</v>
      </c>
    </row>
    <row r="587" ht="15.75" customHeight="1" s="201">
      <c r="A587" s="1" t="inlineStr">
        <is>
          <t>Beef, chuck eye Country-Style ribs, boneless, separable lean and fat, trimmed to 0" fat, all grades, raw</t>
        </is>
      </c>
      <c r="C587" s="1" t="n">
        <v>0</v>
      </c>
      <c r="D587" s="1" t="n">
        <v>3</v>
      </c>
      <c r="E587" s="1" t="n">
        <v>2.1</v>
      </c>
      <c r="F587" s="1" t="n">
        <v>18.97</v>
      </c>
      <c r="G587" s="1" t="n">
        <v>14.32</v>
      </c>
      <c r="H587" s="1" t="n">
        <v>14</v>
      </c>
      <c r="I587" s="1" t="n">
        <v>6.65</v>
      </c>
      <c r="J587" t="n">
        <v>28110510</v>
      </c>
    </row>
    <row r="588" ht="15.75" customHeight="1" s="201">
      <c r="A588" s="1" t="inlineStr">
        <is>
          <t>Beef, chuck eye Country-Style ribs, boneless, separable lean and fat, trimmed to 0" fat, choice, cooked, braised</t>
        </is>
      </c>
      <c r="C588" s="1" t="n">
        <v>0</v>
      </c>
      <c r="D588" s="1" t="n">
        <v>7</v>
      </c>
      <c r="E588" s="1" t="n">
        <v>2.51</v>
      </c>
      <c r="F588" s="1" t="n">
        <v>27.16</v>
      </c>
      <c r="G588" s="1" t="n">
        <v>21.56</v>
      </c>
      <c r="H588" s="1" t="n">
        <v>26</v>
      </c>
      <c r="I588" s="1" t="n">
        <v>8.93</v>
      </c>
      <c r="J588" t="n">
        <v>28110510</v>
      </c>
    </row>
    <row r="589" ht="15.75" customHeight="1" s="201">
      <c r="A589" s="1" t="inlineStr">
        <is>
          <t>Beef, chuck eye Country-Style ribs, boneless, separable lean and fat, trimmed to 0" fat, choice, raw</t>
        </is>
      </c>
      <c r="C589" s="1" t="n">
        <v>0</v>
      </c>
      <c r="D589" s="1" t="n">
        <v>3</v>
      </c>
      <c r="E589" s="1" t="n">
        <v>2.16</v>
      </c>
      <c r="F589" s="1" t="n">
        <v>18.87</v>
      </c>
      <c r="G589" s="1" t="n">
        <v>14.99</v>
      </c>
      <c r="H589" s="1" t="n">
        <v>13</v>
      </c>
      <c r="I589" s="1" t="n">
        <v>7.02</v>
      </c>
      <c r="J589" t="n">
        <v>28110510</v>
      </c>
    </row>
    <row r="590" ht="15.75" customHeight="1" s="201">
      <c r="A590" s="1" t="inlineStr">
        <is>
          <t>Beef, chuck eye Country-Style ribs, boneless, separable lean and fat, trimmed to 0" fat, select, cooked, braised</t>
        </is>
      </c>
      <c r="C590" s="1" t="n">
        <v>0</v>
      </c>
      <c r="D590" s="1" t="n">
        <v>7</v>
      </c>
      <c r="E590" s="1" t="n">
        <v>2.46</v>
      </c>
      <c r="F590" s="1" t="n">
        <v>28.47</v>
      </c>
      <c r="G590" s="1" t="n">
        <v>19.03</v>
      </c>
      <c r="H590" s="1" t="n">
        <v>28</v>
      </c>
      <c r="I590" s="1" t="n">
        <v>9.07</v>
      </c>
      <c r="J590" t="n">
        <v>28110510</v>
      </c>
    </row>
    <row r="591" ht="15.75" customHeight="1" s="201">
      <c r="A591" s="1" t="inlineStr">
        <is>
          <t>Beef, chuck eye Country-Style ribs, boneless, separable lean and fat, trimmed to 0" fat, select, raw</t>
        </is>
      </c>
      <c r="C591" s="1" t="n">
        <v>0</v>
      </c>
      <c r="D591" s="1" t="n">
        <v>3</v>
      </c>
      <c r="E591" s="1" t="n">
        <v>1.97</v>
      </c>
      <c r="F591" s="1" t="n">
        <v>19.1</v>
      </c>
      <c r="G591" s="1" t="n">
        <v>13.33</v>
      </c>
      <c r="H591" s="1" t="n">
        <v>14</v>
      </c>
      <c r="I591" s="1" t="n">
        <v>5.89</v>
      </c>
      <c r="J591" t="n">
        <v>28110510</v>
      </c>
    </row>
    <row r="592" ht="15.75" customHeight="1" s="201">
      <c r="A592" s="1" t="inlineStr">
        <is>
          <t>Beef, chuck eye Country-Style ribs, boneless, separable lean only, trimmed to 0" fat, all grades, cooked, braised</t>
        </is>
      </c>
      <c r="C592" s="1" t="n">
        <v>0</v>
      </c>
      <c r="D592" s="1" t="n">
        <v>8</v>
      </c>
      <c r="E592" s="1" t="n">
        <v>2.93</v>
      </c>
      <c r="F592" s="1" t="n">
        <v>31.41</v>
      </c>
      <c r="G592" s="1" t="n">
        <v>11.43</v>
      </c>
      <c r="H592" s="1" t="n">
        <v>6</v>
      </c>
      <c r="I592" s="1" t="n">
        <v>10.91</v>
      </c>
      <c r="J592" t="n">
        <v>28110510</v>
      </c>
    </row>
    <row r="593" ht="15.75" customHeight="1" s="201">
      <c r="A593" s="1" t="inlineStr">
        <is>
          <t>Beef, chuck eye Country-Style ribs, boneless, separable lean only, trimmed to 0" fat, all grades, raw</t>
        </is>
      </c>
      <c r="C593" s="1" t="n">
        <v>0</v>
      </c>
      <c r="D593" s="1" t="n">
        <v>3</v>
      </c>
      <c r="E593" s="1" t="n">
        <v>2.24</v>
      </c>
      <c r="F593" s="1" t="n">
        <v>20.96</v>
      </c>
      <c r="G593" s="1" t="n">
        <v>6.95</v>
      </c>
      <c r="H593" s="1" t="n">
        <v>7</v>
      </c>
      <c r="I593" s="1" t="n">
        <v>7.44</v>
      </c>
      <c r="J593" t="n">
        <v>28110510</v>
      </c>
    </row>
    <row r="594" ht="15.75" customHeight="1" s="201">
      <c r="A594" s="1" t="inlineStr">
        <is>
          <t>Beef, chuck eye Country-Style ribs, boneless, separable lean only, trimmed to 0" fat, choice, cooked, braised</t>
        </is>
      </c>
      <c r="C594" s="1" t="n">
        <v>0</v>
      </c>
      <c r="D594" s="1" t="n">
        <v>8</v>
      </c>
      <c r="E594" s="1" t="n">
        <v>2.97</v>
      </c>
      <c r="F594" s="1" t="n">
        <v>30.95</v>
      </c>
      <c r="G594" s="1" t="n">
        <v>12.22</v>
      </c>
      <c r="H594" s="1" t="n">
        <v>5</v>
      </c>
      <c r="I594" s="1" t="n">
        <v>10.98</v>
      </c>
      <c r="J594" t="n">
        <v>28110510</v>
      </c>
    </row>
    <row r="595" ht="15.75" customHeight="1" s="201">
      <c r="A595" s="1" t="inlineStr">
        <is>
          <t>Beef, chuck eye Country-Style ribs, boneless, separable lean only, trimmed to 0" fat, choice, raw</t>
        </is>
      </c>
      <c r="C595" s="1" t="n">
        <v>0</v>
      </c>
      <c r="D595" s="1" t="n">
        <v>3</v>
      </c>
      <c r="E595" s="1" t="n">
        <v>2.31</v>
      </c>
      <c r="F595" s="1" t="n">
        <v>20.87</v>
      </c>
      <c r="G595" s="1" t="n">
        <v>7.67</v>
      </c>
      <c r="H595" s="1" t="n">
        <v>6</v>
      </c>
      <c r="I595" s="1" t="n">
        <v>7.86</v>
      </c>
      <c r="J595" t="n">
        <v>28110510</v>
      </c>
    </row>
    <row r="596" ht="15.75" customHeight="1" s="201">
      <c r="A596" s="1" t="inlineStr">
        <is>
          <t>Beef, chuck eye Country-Style ribs, boneless, separable lean only, trimmed to 0" fat, select, cooked, braised</t>
        </is>
      </c>
      <c r="C596" s="1" t="n">
        <v>0</v>
      </c>
      <c r="D596" s="1" t="n">
        <v>8</v>
      </c>
      <c r="E596" s="1" t="n">
        <v>2.86</v>
      </c>
      <c r="F596" s="1" t="n">
        <v>32.1</v>
      </c>
      <c r="G596" s="1" t="n">
        <v>10.24</v>
      </c>
      <c r="H596" s="1" t="n">
        <v>8</v>
      </c>
      <c r="I596" s="1" t="n">
        <v>10.94</v>
      </c>
      <c r="J596" t="n">
        <v>28110510</v>
      </c>
    </row>
    <row r="597" ht="15.75" customHeight="1" s="201">
      <c r="A597" s="1" t="inlineStr">
        <is>
          <t>Beef, chuck eye Country-Style ribs, boneless, separable lean only, trimmed to 0" fat, select, raw</t>
        </is>
      </c>
      <c r="C597" s="1" t="n">
        <v>0</v>
      </c>
      <c r="D597" s="1" t="n">
        <v>3</v>
      </c>
      <c r="E597" s="1" t="n">
        <v>2.08</v>
      </c>
      <c r="F597" s="1" t="n">
        <v>21.1</v>
      </c>
      <c r="G597" s="1" t="n">
        <v>5.89</v>
      </c>
      <c r="H597" s="1" t="n">
        <v>7</v>
      </c>
      <c r="I597" s="1" t="n">
        <v>6.53</v>
      </c>
      <c r="J597" t="n">
        <v>28110510</v>
      </c>
    </row>
    <row r="598" ht="15.75" customHeight="1" s="201">
      <c r="A598" s="1" t="inlineStr">
        <is>
          <t>Beef, chuck eye roast, boneless, America's Beef Roast, separable lean and fat, trimmed to 0" fat, all grades, cooked, roasted</t>
        </is>
      </c>
      <c r="C598" s="1" t="n">
        <v>0</v>
      </c>
      <c r="D598" s="1" t="n">
        <v>6</v>
      </c>
      <c r="E598" s="1" t="n">
        <v>2.22</v>
      </c>
      <c r="F598" s="1" t="n">
        <v>24.63</v>
      </c>
      <c r="G598" s="1" t="n">
        <v>15.29</v>
      </c>
      <c r="H598" s="1" t="n">
        <v>22</v>
      </c>
      <c r="I598" s="1" t="n">
        <v>8.48</v>
      </c>
      <c r="J598" t="n">
        <v>28110510</v>
      </c>
    </row>
    <row r="599" ht="15.75" customHeight="1" s="201">
      <c r="A599" s="1" t="inlineStr">
        <is>
          <t>Beef, chuck eye roast, boneless, America's Beef Roast, separable lean and fat, trimmed to 0" fat, all grades, raw</t>
        </is>
      </c>
      <c r="C599" s="1" t="n">
        <v>0</v>
      </c>
      <c r="D599" s="1" t="n">
        <v>3</v>
      </c>
      <c r="E599" s="1" t="n">
        <v>2.08</v>
      </c>
      <c r="F599" s="1" t="n">
        <v>19.18</v>
      </c>
      <c r="G599" s="1" t="n">
        <v>11.48</v>
      </c>
      <c r="H599" s="1" t="n">
        <v>13</v>
      </c>
      <c r="I599" s="1" t="n">
        <v>7.52</v>
      </c>
      <c r="J599" t="n">
        <v>27513010</v>
      </c>
    </row>
    <row r="600" ht="15.75" customHeight="1" s="201">
      <c r="A600" s="1" t="inlineStr">
        <is>
          <t>Beef, chuck eye roast, boneless, America's Beef Roast, separable lean and fat, trimmed to 0" fat, choice, cooked, roasted</t>
        </is>
      </c>
      <c r="C600" s="1" t="n">
        <v>0</v>
      </c>
      <c r="D600" s="1" t="n">
        <v>6</v>
      </c>
      <c r="E600" s="1" t="n">
        <v>2.28</v>
      </c>
      <c r="F600" s="1" t="n">
        <v>24.47</v>
      </c>
      <c r="G600" s="1" t="n">
        <v>15.87</v>
      </c>
      <c r="H600" s="1" t="n">
        <v>22</v>
      </c>
      <c r="I600" s="1" t="n">
        <v>8.74</v>
      </c>
      <c r="J600" t="n">
        <v>28110510</v>
      </c>
    </row>
    <row r="601" ht="15.75" customHeight="1" s="201">
      <c r="A601" s="1" t="inlineStr">
        <is>
          <t>Beef, chuck eye roast, boneless, America's Beef Roast, separable lean and fat, trimmed to 0" fat, choice, raw</t>
        </is>
      </c>
      <c r="C601" s="1" t="n">
        <v>0</v>
      </c>
      <c r="D601" s="1" t="n">
        <v>3</v>
      </c>
      <c r="E601" s="1" t="n">
        <v>2.08</v>
      </c>
      <c r="F601" s="1" t="n">
        <v>19.14</v>
      </c>
      <c r="G601" s="1" t="n">
        <v>12.02</v>
      </c>
      <c r="H601" s="1" t="n">
        <v>12</v>
      </c>
      <c r="I601" s="1" t="n">
        <v>7.54</v>
      </c>
      <c r="J601" t="n">
        <v>27513010</v>
      </c>
    </row>
    <row r="602" ht="15.75" customHeight="1" s="201">
      <c r="A602" s="1" t="inlineStr">
        <is>
          <t>Beef, chuck eye roast, boneless, America's Beef Roast, separable lean and fat, trimmed to 0" fat, select, cooked, roasted</t>
        </is>
      </c>
      <c r="C602" s="1" t="n">
        <v>0</v>
      </c>
      <c r="D602" s="1" t="n">
        <v>6</v>
      </c>
      <c r="E602" s="1" t="n">
        <v>2.16</v>
      </c>
      <c r="F602" s="1" t="n">
        <v>24.86</v>
      </c>
      <c r="G602" s="1" t="n">
        <v>14.41</v>
      </c>
      <c r="H602" s="1" t="n">
        <v>23</v>
      </c>
      <c r="I602" s="1" t="n">
        <v>8.24</v>
      </c>
      <c r="J602" t="n">
        <v>28110510</v>
      </c>
    </row>
    <row r="603" ht="15.75" customHeight="1" s="201">
      <c r="A603" s="1" t="inlineStr">
        <is>
          <t>Beef, chuck eye roast, boneless, America's Beef Roast, separable lean and fat, trimmed to 0" fat, select, raw</t>
        </is>
      </c>
      <c r="C603" s="1" t="n">
        <v>0</v>
      </c>
      <c r="D603" s="1" t="n">
        <v>3</v>
      </c>
      <c r="E603" s="1" t="n">
        <v>2.12</v>
      </c>
      <c r="F603" s="1" t="n">
        <v>19.25</v>
      </c>
      <c r="G603" s="1" t="n">
        <v>10.67</v>
      </c>
      <c r="H603" s="1" t="n">
        <v>13</v>
      </c>
      <c r="I603" s="1" t="n">
        <v>7.66</v>
      </c>
      <c r="J603" t="n">
        <v>27513010</v>
      </c>
    </row>
    <row r="604" ht="15.75" customHeight="1" s="201">
      <c r="A604" s="1" t="inlineStr">
        <is>
          <t>Beef, chuck eye roast, boneless, America's Beef Roast, separable lean only, trimmed to 0" fat, all grades, cooked, roasted</t>
        </is>
      </c>
      <c r="C604" s="1" t="n">
        <v>0</v>
      </c>
      <c r="D604" s="1" t="n">
        <v>6</v>
      </c>
      <c r="E604" s="1" t="n">
        <v>2.47</v>
      </c>
      <c r="F604" s="1" t="n">
        <v>26.65</v>
      </c>
      <c r="G604" s="1" t="n">
        <v>8.460000000000001</v>
      </c>
      <c r="H604" s="1" t="n">
        <v>5</v>
      </c>
      <c r="I604" s="1" t="n">
        <v>9.73</v>
      </c>
      <c r="J604" t="n">
        <v>28110510</v>
      </c>
    </row>
    <row r="605" ht="15.75" customHeight="1" s="201">
      <c r="A605" s="1" t="inlineStr">
        <is>
          <t>Beef, chuck eye roast, boneless, America's Beef Roast, separable lean only, trimmed to 0" fat, all grades, raw</t>
        </is>
      </c>
      <c r="C605" s="1" t="n">
        <v>0</v>
      </c>
      <c r="D605" s="1" t="n">
        <v>3</v>
      </c>
      <c r="E605" s="1" t="n">
        <v>2.18</v>
      </c>
      <c r="F605" s="1" t="n">
        <v>20.61</v>
      </c>
      <c r="G605" s="1" t="n">
        <v>6.01</v>
      </c>
      <c r="H605" s="1" t="n">
        <v>6</v>
      </c>
      <c r="I605" s="1" t="n">
        <v>8.210000000000001</v>
      </c>
      <c r="J605" t="n">
        <v>27513010</v>
      </c>
    </row>
    <row r="606" ht="15.75" customHeight="1" s="201">
      <c r="A606" s="1" t="inlineStr">
        <is>
          <t>Beef, chuck eye roast, boneless, America's Beef Roast, separable lean only, trimmed to 0" fat, choice, cooked, roasted</t>
        </is>
      </c>
      <c r="C606" s="1" t="n">
        <v>0</v>
      </c>
      <c r="D606" s="1" t="n">
        <v>6</v>
      </c>
      <c r="E606" s="1" t="n">
        <v>2.52</v>
      </c>
      <c r="F606" s="1" t="n">
        <v>26.41</v>
      </c>
      <c r="G606" s="1" t="n">
        <v>9.359999999999999</v>
      </c>
      <c r="H606" s="1" t="n">
        <v>4</v>
      </c>
      <c r="I606" s="1" t="n">
        <v>9.93</v>
      </c>
      <c r="J606" t="n">
        <v>28110510</v>
      </c>
    </row>
    <row r="607" ht="15.75" customHeight="1" s="201">
      <c r="A607" s="1" t="inlineStr">
        <is>
          <t>Beef, chuck eye roast, boneless, America's Beef Roast, separable lean only, trimmed to 0" fat, choice, raw</t>
        </is>
      </c>
      <c r="C607" s="1" t="n">
        <v>0</v>
      </c>
      <c r="D607" s="1" t="n">
        <v>3</v>
      </c>
      <c r="E607" s="1" t="n">
        <v>2.18</v>
      </c>
      <c r="F607" s="1" t="n">
        <v>20.67</v>
      </c>
      <c r="G607" s="1" t="n">
        <v>6.21</v>
      </c>
      <c r="H607" s="1" t="n">
        <v>6</v>
      </c>
      <c r="I607" s="1" t="n">
        <v>8.25</v>
      </c>
      <c r="J607" t="n">
        <v>27513010</v>
      </c>
    </row>
    <row r="608" ht="15.75" customHeight="1" s="201">
      <c r="A608" s="1" t="inlineStr">
        <is>
          <t>Beef, chuck eye roast, boneless, America's Beef Roast, separable lean only, trimmed to 0" fat, select, cooked, roasted</t>
        </is>
      </c>
      <c r="C608" s="1" t="n">
        <v>0</v>
      </c>
      <c r="D608" s="1" t="n">
        <v>7</v>
      </c>
      <c r="E608" s="1" t="n">
        <v>2.42</v>
      </c>
      <c r="F608" s="1" t="n">
        <v>27.02</v>
      </c>
      <c r="G608" s="1" t="n">
        <v>7.12</v>
      </c>
      <c r="H608" s="1" t="n">
        <v>6</v>
      </c>
      <c r="I608" s="1" t="n">
        <v>9.56</v>
      </c>
      <c r="J608" t="n">
        <v>28110510</v>
      </c>
    </row>
    <row r="609" ht="15.75" customHeight="1" s="201">
      <c r="A609" s="1" t="inlineStr">
        <is>
          <t>Beef, chuck eye roast, boneless, America's Beef Roast, separable lean only, trimmed to 0" fat, select, raw</t>
        </is>
      </c>
      <c r="C609" s="1" t="n">
        <v>0</v>
      </c>
      <c r="D609" s="1" t="n">
        <v>3</v>
      </c>
      <c r="E609" s="1" t="n">
        <v>2.21</v>
      </c>
      <c r="F609" s="1" t="n">
        <v>20.52</v>
      </c>
      <c r="G609" s="1" t="n">
        <v>5.71</v>
      </c>
      <c r="H609" s="1" t="n">
        <v>7</v>
      </c>
      <c r="I609" s="1" t="n">
        <v>8.289999999999999</v>
      </c>
      <c r="J609" t="n">
        <v>27513010</v>
      </c>
    </row>
    <row r="610" ht="15.75" customHeight="1" s="201">
      <c r="A610" s="1" t="inlineStr">
        <is>
          <t>Beef, chuck eye steak, boneless, separable lean and fat, trimmed to 0" fat, all grades, cooked, grilled</t>
        </is>
      </c>
      <c r="C610" s="1" t="n">
        <v>0</v>
      </c>
      <c r="D610" s="1" t="n">
        <v>6</v>
      </c>
      <c r="E610" s="1" t="n">
        <v>2.45</v>
      </c>
      <c r="F610" s="1" t="n">
        <v>24.98</v>
      </c>
      <c r="G610" s="1" t="n">
        <v>19.64</v>
      </c>
      <c r="H610" s="1" t="n">
        <v>25</v>
      </c>
      <c r="I610" s="1" t="n">
        <v>8.68</v>
      </c>
      <c r="J610" t="n">
        <v>28110510</v>
      </c>
    </row>
    <row r="611" ht="15.75" customHeight="1" s="201">
      <c r="A611" s="1" t="inlineStr">
        <is>
          <t>Beef, chuck eye steak, boneless, separable lean and fat, trimmed to 0" fat, all grades, raw</t>
        </is>
      </c>
      <c r="C611" s="1" t="n">
        <v>0</v>
      </c>
      <c r="D611" s="1" t="n">
        <v>3</v>
      </c>
      <c r="E611" s="1" t="n">
        <v>2.1</v>
      </c>
      <c r="F611" s="1" t="n">
        <v>18.86</v>
      </c>
      <c r="G611" s="1" t="n">
        <v>16.35</v>
      </c>
      <c r="H611" s="1" t="n">
        <v>14</v>
      </c>
      <c r="I611" s="1" t="n">
        <v>7.26</v>
      </c>
      <c r="J611" t="n">
        <v>28110510</v>
      </c>
    </row>
    <row r="612" ht="15.75" customHeight="1" s="201">
      <c r="A612" s="1" t="inlineStr">
        <is>
          <t>Beef, chuck eye steak, boneless, separable lean and fat, trimmed to 0" fat, choice, cooked, grilled</t>
        </is>
      </c>
      <c r="C612" s="1" t="n">
        <v>0</v>
      </c>
      <c r="D612" s="1" t="n">
        <v>6</v>
      </c>
      <c r="E612" s="1" t="n">
        <v>2.46</v>
      </c>
      <c r="F612" s="1" t="n">
        <v>24.95</v>
      </c>
      <c r="G612" s="1" t="n">
        <v>20.35</v>
      </c>
      <c r="H612" s="1" t="n">
        <v>24</v>
      </c>
      <c r="I612" s="1" t="n">
        <v>8.630000000000001</v>
      </c>
      <c r="J612" t="n">
        <v>28110510</v>
      </c>
    </row>
    <row r="613" ht="15.75" customHeight="1" s="201">
      <c r="A613" s="1" t="inlineStr">
        <is>
          <t>Beef, chuck eye steak, boneless, separable lean and fat, trimmed to 0" fat, choice, raw</t>
        </is>
      </c>
      <c r="C613" s="1" t="n">
        <v>0</v>
      </c>
      <c r="D613" s="1" t="n">
        <v>3</v>
      </c>
      <c r="E613" s="1" t="n">
        <v>2.1</v>
      </c>
      <c r="F613" s="1" t="n">
        <v>18.86</v>
      </c>
      <c r="G613" s="1" t="n">
        <v>16.85</v>
      </c>
      <c r="H613" s="1" t="n">
        <v>14</v>
      </c>
      <c r="I613" s="1" t="n">
        <v>7.3</v>
      </c>
      <c r="J613" t="n">
        <v>28110510</v>
      </c>
    </row>
    <row r="614" ht="15.75" customHeight="1" s="201">
      <c r="A614" s="1" t="inlineStr">
        <is>
          <t>Beef, chuck eye steak, boneless, separable lean and fat, trimmed to 0" fat, select, cooked, grilled</t>
        </is>
      </c>
      <c r="C614" s="1" t="n">
        <v>0</v>
      </c>
      <c r="D614" s="1" t="n">
        <v>6</v>
      </c>
      <c r="E614" s="1" t="n">
        <v>2.42</v>
      </c>
      <c r="F614" s="1" t="n">
        <v>25.03</v>
      </c>
      <c r="G614" s="1" t="n">
        <v>18.57</v>
      </c>
      <c r="H614" s="1" t="n">
        <v>26</v>
      </c>
      <c r="I614" s="1" t="n">
        <v>8.779999999999999</v>
      </c>
      <c r="J614" t="n">
        <v>28110510</v>
      </c>
    </row>
    <row r="615" ht="15.75" customHeight="1" s="201">
      <c r="A615" s="1" t="inlineStr">
        <is>
          <t>Beef, chuck eye steak, boneless, separable lean and fat, trimmed to 0" fat, select, raw</t>
        </is>
      </c>
      <c r="C615" s="1" t="n">
        <v>0</v>
      </c>
      <c r="D615" s="1" t="n">
        <v>3</v>
      </c>
      <c r="E615" s="1" t="n">
        <v>2.14</v>
      </c>
      <c r="F615" s="1" t="n">
        <v>18.86</v>
      </c>
      <c r="G615" s="1" t="n">
        <v>15.6</v>
      </c>
      <c r="H615" s="1" t="n">
        <v>15</v>
      </c>
      <c r="I615" s="1" t="n">
        <v>7.36</v>
      </c>
      <c r="J615" t="n">
        <v>28110510</v>
      </c>
    </row>
    <row r="616" ht="15.75" customHeight="1" s="201">
      <c r="A616" s="1" t="inlineStr">
        <is>
          <t>Beef, chuck eye steak, boneless, separable lean only, trimmed to 0" fat, all grades, cooked, grilled</t>
        </is>
      </c>
      <c r="C616" s="1" t="n">
        <v>0</v>
      </c>
      <c r="D616" s="1" t="n">
        <v>7</v>
      </c>
      <c r="E616" s="1" t="n">
        <v>2.87</v>
      </c>
      <c r="F616" s="1" t="n">
        <v>27.94</v>
      </c>
      <c r="G616" s="1" t="n">
        <v>10.79</v>
      </c>
      <c r="H616" s="1" t="n">
        <v>6</v>
      </c>
      <c r="I616" s="1" t="n">
        <v>10.54</v>
      </c>
      <c r="J616" t="n">
        <v>28110510</v>
      </c>
    </row>
    <row r="617" ht="15.75" customHeight="1" s="201">
      <c r="A617" s="1" t="inlineStr">
        <is>
          <t>Beef, chuck eye steak, boneless, separable lean only, trimmed to 0" fat, all grades, raw</t>
        </is>
      </c>
      <c r="C617" s="1" t="n">
        <v>0</v>
      </c>
      <c r="D617" s="1" t="n">
        <v>3</v>
      </c>
      <c r="E617" s="1" t="n">
        <v>2.28</v>
      </c>
      <c r="F617" s="1" t="n">
        <v>21.29</v>
      </c>
      <c r="G617" s="1" t="n">
        <v>7.56</v>
      </c>
      <c r="H617" s="1" t="n">
        <v>7</v>
      </c>
      <c r="I617" s="1" t="n">
        <v>8.390000000000001</v>
      </c>
      <c r="J617" t="n">
        <v>28110510</v>
      </c>
    </row>
    <row r="618" ht="15.75" customHeight="1" s="201">
      <c r="A618" s="1" t="inlineStr">
        <is>
          <t>Beef, chuck eye steak, boneless, separable lean only, trimmed to 0" fat, choice, cooked, grilled</t>
        </is>
      </c>
      <c r="C618" s="1" t="n">
        <v>0</v>
      </c>
      <c r="D618" s="1" t="n">
        <v>7</v>
      </c>
      <c r="E618" s="1" t="n">
        <v>2.88</v>
      </c>
      <c r="F618" s="1" t="n">
        <v>27.97</v>
      </c>
      <c r="G618" s="1" t="n">
        <v>11.47</v>
      </c>
      <c r="H618" s="1" t="n">
        <v>5</v>
      </c>
      <c r="I618" s="1" t="n">
        <v>10.5</v>
      </c>
      <c r="J618" t="n">
        <v>28110510</v>
      </c>
    </row>
    <row r="619" ht="15.75" customHeight="1" s="201">
      <c r="A619" s="1" t="inlineStr">
        <is>
          <t>Beef, chuck eye steak, boneless, separable lean only, trimmed to 0" fat, choice, raw</t>
        </is>
      </c>
      <c r="C619" s="1" t="n">
        <v>0</v>
      </c>
      <c r="D619" s="1" t="n">
        <v>3</v>
      </c>
      <c r="E619" s="1" t="n">
        <v>2.27</v>
      </c>
      <c r="F619" s="1" t="n">
        <v>21.31</v>
      </c>
      <c r="G619" s="1" t="n">
        <v>8.289999999999999</v>
      </c>
      <c r="H619" s="1" t="n">
        <v>6</v>
      </c>
      <c r="I619" s="1" t="n">
        <v>8.41</v>
      </c>
      <c r="J619" t="n">
        <v>28110510</v>
      </c>
    </row>
    <row r="620" ht="15.75" customHeight="1" s="201">
      <c r="A620" s="1" t="inlineStr">
        <is>
          <t>Beef, chuck eye steak, boneless, separable lean only, trimmed to 0" fat, select, cooked, grilled</t>
        </is>
      </c>
      <c r="C620" s="1" t="n">
        <v>0</v>
      </c>
      <c r="D620" s="1" t="n">
        <v>7</v>
      </c>
      <c r="E620" s="1" t="n">
        <v>2.81</v>
      </c>
      <c r="F620" s="1" t="n">
        <v>27.88</v>
      </c>
      <c r="G620" s="1" t="n">
        <v>9.77</v>
      </c>
      <c r="H620" s="1" t="n">
        <v>7</v>
      </c>
      <c r="I620" s="1" t="n">
        <v>10.6</v>
      </c>
      <c r="J620" t="n">
        <v>28110510</v>
      </c>
    </row>
    <row r="621" ht="15.75" customHeight="1" s="201">
      <c r="A621" s="1" t="inlineStr">
        <is>
          <t>Beef, chuck eye steak, boneless, separable lean only, trimmed to 0" fat, select, raw</t>
        </is>
      </c>
      <c r="C621" s="1" t="n">
        <v>0</v>
      </c>
      <c r="D621" s="1" t="n">
        <v>3</v>
      </c>
      <c r="E621" s="1" t="n">
        <v>2.33</v>
      </c>
      <c r="F621" s="1" t="n">
        <v>21.28</v>
      </c>
      <c r="G621" s="1" t="n">
        <v>6.47</v>
      </c>
      <c r="H621" s="1" t="n">
        <v>7</v>
      </c>
      <c r="I621" s="1" t="n">
        <v>8.539999999999999</v>
      </c>
      <c r="J621" t="n">
        <v>28110510</v>
      </c>
    </row>
    <row r="622" ht="15.75" customHeight="1" s="201">
      <c r="A622" s="1" t="inlineStr">
        <is>
          <t>Beef, chuck for stew, separable lean and fat, all grades, cooked, braised</t>
        </is>
      </c>
      <c r="C622" s="1" t="n">
        <v>0</v>
      </c>
      <c r="D622" s="1" t="n">
        <v>8</v>
      </c>
      <c r="E622" s="1" t="n">
        <v>2.96</v>
      </c>
      <c r="F622" s="1" t="n">
        <v>32.41</v>
      </c>
      <c r="G622" s="1" t="n">
        <v>6.82</v>
      </c>
      <c r="H622" s="1" t="n">
        <v>6</v>
      </c>
      <c r="I622" s="1" t="n">
        <v>8.32</v>
      </c>
      <c r="J622" t="n">
        <v>27311310</v>
      </c>
    </row>
    <row r="623" ht="15.75" customHeight="1" s="201">
      <c r="A623" s="1" t="inlineStr">
        <is>
          <t>Beef, chuck for stew, separable lean and fat, all grades, raw</t>
        </is>
      </c>
      <c r="C623" s="1" t="n">
        <v>0.16</v>
      </c>
      <c r="D623" s="1" t="n">
        <v>3</v>
      </c>
      <c r="E623" s="1" t="n">
        <v>2.12</v>
      </c>
      <c r="F623" s="1" t="n">
        <v>21.75</v>
      </c>
      <c r="G623" s="1" t="n">
        <v>4.48</v>
      </c>
      <c r="H623" s="1" t="n">
        <v>6</v>
      </c>
      <c r="I623" s="1" t="n">
        <v>5.43</v>
      </c>
      <c r="J623" t="n">
        <v>27311310</v>
      </c>
    </row>
    <row r="624" ht="15.75" customHeight="1" s="201">
      <c r="A624" s="1" t="inlineStr">
        <is>
          <t>Beef, chuck for stew, separable lean and fat, choice, cooked, braised</t>
        </is>
      </c>
      <c r="C624" s="1" t="n">
        <v>0</v>
      </c>
      <c r="D624" s="1" t="n">
        <v>8</v>
      </c>
      <c r="E624" s="1" t="n">
        <v>3.06</v>
      </c>
      <c r="F624" s="1" t="n">
        <v>32.49</v>
      </c>
      <c r="G624" s="1" t="n">
        <v>7.14</v>
      </c>
      <c r="H624" s="1" t="n">
        <v>5</v>
      </c>
      <c r="I624" s="1" t="n">
        <v>8.27</v>
      </c>
      <c r="J624" t="n">
        <v>27311310</v>
      </c>
    </row>
    <row r="625" ht="15.75" customHeight="1" s="201">
      <c r="A625" s="1" t="inlineStr">
        <is>
          <t>Beef, chuck for stew, separable lean and fat, choice, raw</t>
        </is>
      </c>
      <c r="C625" s="1" t="n">
        <v>0.12</v>
      </c>
      <c r="D625" s="1" t="n">
        <v>3</v>
      </c>
      <c r="E625" s="1" t="n">
        <v>2.09</v>
      </c>
      <c r="F625" s="1" t="n">
        <v>21.64</v>
      </c>
      <c r="G625" s="1" t="n">
        <v>4.81</v>
      </c>
      <c r="H625" s="1" t="n">
        <v>6</v>
      </c>
      <c r="I625" s="1" t="n">
        <v>5.41</v>
      </c>
      <c r="J625" t="n">
        <v>27311310</v>
      </c>
    </row>
    <row r="626" ht="15.75" customHeight="1" s="201">
      <c r="A626" s="1" t="inlineStr">
        <is>
          <t>Beef, chuck for stew, separable lean and fat, select, cooked, braised</t>
        </is>
      </c>
      <c r="C626" s="1" t="n">
        <v>0</v>
      </c>
      <c r="D626" s="1" t="n">
        <v>8</v>
      </c>
      <c r="E626" s="1" t="n">
        <v>2.84</v>
      </c>
      <c r="F626" s="1" t="n">
        <v>32.29</v>
      </c>
      <c r="G626" s="1" t="n">
        <v>6.34</v>
      </c>
      <c r="H626" s="1" t="n">
        <v>7</v>
      </c>
      <c r="I626" s="1" t="n">
        <v>8.470000000000001</v>
      </c>
      <c r="J626" t="n">
        <v>27311310</v>
      </c>
    </row>
    <row r="627" ht="15.75" customHeight="1" s="201">
      <c r="A627" s="1" t="inlineStr">
        <is>
          <t>Beef, chuck for stew, separable lean and fat, select, raw</t>
        </is>
      </c>
      <c r="C627" s="1" t="n">
        <v>0.21</v>
      </c>
      <c r="D627" s="1" t="n">
        <v>4</v>
      </c>
      <c r="E627" s="1" t="n">
        <v>2.2</v>
      </c>
      <c r="F627" s="1" t="n">
        <v>21.9</v>
      </c>
      <c r="G627" s="1" t="n">
        <v>3.99</v>
      </c>
      <c r="H627" s="1" t="n">
        <v>7</v>
      </c>
      <c r="I627" s="1" t="n">
        <v>5.51</v>
      </c>
      <c r="J627" t="n">
        <v>27311310</v>
      </c>
    </row>
    <row r="628" ht="15.75" customHeight="1" s="201">
      <c r="A628" s="1" t="inlineStr">
        <is>
          <t>Beef, chuck, arm pot roast, separable lean and fat, trimmed to 0" fat, all grades, cooked, braised</t>
        </is>
      </c>
      <c r="C628" s="1" t="n">
        <v>0</v>
      </c>
      <c r="D628" s="1" t="n">
        <v>9</v>
      </c>
      <c r="E628" s="1" t="n">
        <v>2.42</v>
      </c>
      <c r="F628" s="1" t="n">
        <v>28.94</v>
      </c>
      <c r="G628" s="1" t="n">
        <v>19.17</v>
      </c>
      <c r="H628" s="1" t="n">
        <v>0</v>
      </c>
      <c r="I628" s="1" t="n">
        <v>6.66</v>
      </c>
      <c r="J628" t="n">
        <v>27513010</v>
      </c>
    </row>
    <row r="629" ht="15.75" customHeight="1" s="201">
      <c r="A629" s="1" t="inlineStr">
        <is>
          <t>Beef, chuck, arm pot roast, separable lean and fat, trimmed to 0" fat, select, cooked, braised</t>
        </is>
      </c>
      <c r="C629" s="1" t="n">
        <v>0</v>
      </c>
      <c r="D629" s="1" t="n">
        <v>9</v>
      </c>
      <c r="E629" s="1" t="n">
        <v>2.38</v>
      </c>
      <c r="F629" s="1" t="n">
        <v>29.23</v>
      </c>
      <c r="G629" s="1" t="n">
        <v>17.56</v>
      </c>
      <c r="H629" s="1" t="n">
        <v>0</v>
      </c>
      <c r="I629" s="1" t="n">
        <v>6.87</v>
      </c>
      <c r="J629" t="n">
        <v>27513010</v>
      </c>
    </row>
    <row r="630" ht="15.75" customHeight="1" s="201">
      <c r="A630" s="1" t="inlineStr">
        <is>
          <t>Beef, chuck, arm pot roast, separable lean and fat, trimmed to 1/8" fat, all grades, cooked, braised</t>
        </is>
      </c>
      <c r="C630" s="1" t="n">
        <v>0</v>
      </c>
      <c r="D630" s="1" t="n">
        <v>9</v>
      </c>
      <c r="E630" s="1" t="n">
        <v>2.53</v>
      </c>
      <c r="F630" s="1" t="n">
        <v>30.12</v>
      </c>
      <c r="G630" s="1" t="n">
        <v>19.22</v>
      </c>
      <c r="H630" s="1" t="n">
        <v>0</v>
      </c>
      <c r="I630" s="1" t="n">
        <v>6.98</v>
      </c>
      <c r="J630" t="n">
        <v>27513010</v>
      </c>
    </row>
    <row r="631" ht="15.75" customHeight="1" s="201">
      <c r="A631" s="1" t="inlineStr">
        <is>
          <t>Beef, chuck, arm pot roast, separable lean and fat, trimmed to 1/8" fat, all grades, raw</t>
        </is>
      </c>
      <c r="C631" s="1" t="n">
        <v>0</v>
      </c>
      <c r="D631" s="1" t="n">
        <v>10</v>
      </c>
      <c r="E631" s="1" t="n">
        <v>1.67</v>
      </c>
      <c r="F631" s="1" t="n">
        <v>19.23</v>
      </c>
      <c r="G631" s="1" t="n">
        <v>17.98</v>
      </c>
      <c r="H631" s="1" t="n">
        <v>0</v>
      </c>
      <c r="I631" s="1" t="n">
        <v>4.54</v>
      </c>
      <c r="J631" t="n">
        <v>27513010</v>
      </c>
    </row>
    <row r="632" ht="15.75" customHeight="1" s="201">
      <c r="A632" s="1" t="inlineStr">
        <is>
          <t>Beef, chuck, arm pot roast, separable lean and fat, trimmed to 1/8" fat, choice, cooked, braised</t>
        </is>
      </c>
      <c r="C632" s="1" t="n">
        <v>0</v>
      </c>
      <c r="D632" s="1" t="n">
        <v>9</v>
      </c>
      <c r="E632" s="1" t="n">
        <v>2.61</v>
      </c>
      <c r="F632" s="1" t="n">
        <v>30.2</v>
      </c>
      <c r="G632" s="1" t="n">
        <v>19.93</v>
      </c>
      <c r="H632" s="1" t="n">
        <v>0</v>
      </c>
      <c r="I632" s="1" t="n">
        <v>6.87</v>
      </c>
      <c r="J632" t="n">
        <v>27513010</v>
      </c>
    </row>
    <row r="633" ht="15.75" customHeight="1" s="201">
      <c r="A633" s="1" t="inlineStr">
        <is>
          <t>Beef, chuck, arm pot roast, separable lean and fat, trimmed to 1/8" fat, choice, raw</t>
        </is>
      </c>
      <c r="C633" s="1" t="n">
        <v>0</v>
      </c>
      <c r="D633" s="1" t="n">
        <v>10</v>
      </c>
      <c r="E633" s="1" t="n">
        <v>1.73</v>
      </c>
      <c r="F633" s="1" t="n">
        <v>19.14</v>
      </c>
      <c r="G633" s="1" t="n">
        <v>18.57</v>
      </c>
      <c r="H633" s="1" t="n">
        <v>0</v>
      </c>
      <c r="I633" s="1" t="n">
        <v>4.56</v>
      </c>
      <c r="J633" t="n">
        <v>27513010</v>
      </c>
    </row>
    <row r="634" ht="15.75" customHeight="1" s="201">
      <c r="A634" s="1" t="inlineStr">
        <is>
          <t>Beef, chuck, arm pot roast, separable lean and fat, trimmed to 1/8" fat, select, cooked, braised</t>
        </is>
      </c>
      <c r="C634" s="1" t="n">
        <v>0</v>
      </c>
      <c r="D634" s="1" t="n">
        <v>9</v>
      </c>
      <c r="E634" s="1" t="n">
        <v>2.46</v>
      </c>
      <c r="F634" s="1" t="n">
        <v>30.05</v>
      </c>
      <c r="G634" s="1" t="n">
        <v>18.5</v>
      </c>
      <c r="H634" s="1" t="n">
        <v>0</v>
      </c>
      <c r="I634" s="1" t="n">
        <v>7.09</v>
      </c>
      <c r="J634" t="n">
        <v>27513010</v>
      </c>
    </row>
    <row r="635" ht="15.75" customHeight="1" s="201">
      <c r="A635" s="1" t="inlineStr">
        <is>
          <t>Beef, chuck, arm pot roast, separable lean and fat, trimmed to 1/8" fat, select, raw</t>
        </is>
      </c>
      <c r="C635" s="1" t="n">
        <v>0</v>
      </c>
      <c r="D635" s="1" t="n">
        <v>10</v>
      </c>
      <c r="E635" s="1" t="n">
        <v>1.61</v>
      </c>
      <c r="F635" s="1" t="n">
        <v>19.33</v>
      </c>
      <c r="G635" s="1" t="n">
        <v>17.39</v>
      </c>
      <c r="H635" s="1" t="n">
        <v>0</v>
      </c>
      <c r="I635" s="1" t="n">
        <v>4.52</v>
      </c>
      <c r="J635" t="n">
        <v>27513010</v>
      </c>
    </row>
    <row r="636" ht="15.75" customHeight="1" s="201">
      <c r="A636" s="1" t="inlineStr">
        <is>
          <t>Beef, chuck, arm pot roast, separable lean only, trimmed to 0" fat, choice, cooked, braised</t>
        </is>
      </c>
      <c r="C636" s="1" t="n">
        <v>0</v>
      </c>
      <c r="D636" s="1" t="n">
        <v>11</v>
      </c>
      <c r="E636" s="1" t="n">
        <v>2.89</v>
      </c>
      <c r="F636" s="1" t="n">
        <v>33.36</v>
      </c>
      <c r="G636" s="1" t="n">
        <v>7.67</v>
      </c>
      <c r="H636" s="1" t="n">
        <v>0</v>
      </c>
      <c r="I636" s="1" t="n">
        <v>7.79</v>
      </c>
      <c r="J636" t="n">
        <v>27513010</v>
      </c>
    </row>
    <row r="637" ht="15.75" customHeight="1" s="201">
      <c r="A637" s="1" t="inlineStr">
        <is>
          <t>Beef, chuck, arm pot roast, separable lean only, trimmed to 0" fat, select, cooked, braised</t>
        </is>
      </c>
      <c r="C637" s="1" t="n">
        <v>0</v>
      </c>
      <c r="D637" s="1" t="n">
        <v>11</v>
      </c>
      <c r="E637" s="1" t="n">
        <v>2.77</v>
      </c>
      <c r="F637" s="1" t="n">
        <v>33.37</v>
      </c>
      <c r="G637" s="1" t="n">
        <v>5.8</v>
      </c>
      <c r="H637" s="1" t="n">
        <v>0</v>
      </c>
      <c r="I637" s="1" t="n">
        <v>8.09</v>
      </c>
      <c r="J637" t="n">
        <v>27513010</v>
      </c>
    </row>
    <row r="638" ht="15.75" customHeight="1" s="201">
      <c r="A638" s="1" t="inlineStr">
        <is>
          <t>Beef, chuck, arm pot roast, separable lean only, trimmed to 1/8" fat, all grades, cooked, braised</t>
        </is>
      </c>
      <c r="C638" s="1" t="n">
        <v>0</v>
      </c>
      <c r="D638" s="1" t="n">
        <v>12</v>
      </c>
      <c r="E638" s="1" t="n">
        <v>2.93</v>
      </c>
      <c r="F638" s="1" t="n">
        <v>34.66</v>
      </c>
      <c r="G638" s="1" t="n">
        <v>7.36</v>
      </c>
      <c r="H638" s="1" t="n">
        <v>0</v>
      </c>
      <c r="I638" s="1" t="n">
        <v>8.32</v>
      </c>
      <c r="J638" t="n">
        <v>27513010</v>
      </c>
    </row>
    <row r="639" ht="15.75" customHeight="1" s="201">
      <c r="A639" s="1" t="inlineStr">
        <is>
          <t>Beef, chuck, arm pot roast, separable lean only, trimmed to 1/8" fat, all grades, raw</t>
        </is>
      </c>
      <c r="C639" s="1" t="n">
        <v>0</v>
      </c>
      <c r="D639" s="1" t="n">
        <v>13</v>
      </c>
      <c r="E639" s="1" t="n">
        <v>1.93</v>
      </c>
      <c r="F639" s="1" t="n">
        <v>22.11</v>
      </c>
      <c r="G639" s="1" t="n">
        <v>4.19</v>
      </c>
      <c r="H639" s="1" t="n">
        <v>0</v>
      </c>
      <c r="I639" s="1" t="n">
        <v>5.55</v>
      </c>
      <c r="J639" t="n">
        <v>27513010</v>
      </c>
    </row>
    <row r="640" ht="15.75" customHeight="1" s="201">
      <c r="A640" s="1" t="inlineStr">
        <is>
          <t>Beef, chuck, arm pot roast, separable lean only, trimmed to 1/8" fat, choice, cooked, braised</t>
        </is>
      </c>
      <c r="C640" s="1" t="n">
        <v>0</v>
      </c>
      <c r="D640" s="1" t="n">
        <v>12</v>
      </c>
      <c r="E640" s="1" t="n">
        <v>3.04</v>
      </c>
      <c r="F640" s="1" t="n">
        <v>34.72</v>
      </c>
      <c r="G640" s="1" t="n">
        <v>8.369999999999999</v>
      </c>
      <c r="H640" s="1" t="n">
        <v>0</v>
      </c>
      <c r="I640" s="1" t="n">
        <v>8.199999999999999</v>
      </c>
      <c r="J640" t="n">
        <v>27513010</v>
      </c>
    </row>
    <row r="641" ht="15.75" customHeight="1" s="201">
      <c r="A641" s="1" t="inlineStr">
        <is>
          <t>Beef, chuck, arm pot roast, separable lean only, trimmed to 1/8" fat, choice, raw</t>
        </is>
      </c>
      <c r="C641" s="1" t="n">
        <v>0</v>
      </c>
      <c r="D641" s="1" t="n">
        <v>13</v>
      </c>
      <c r="E641" s="1" t="n">
        <v>2.02</v>
      </c>
      <c r="F641" s="1" t="n">
        <v>21.96</v>
      </c>
      <c r="G641" s="1" t="n">
        <v>5.05</v>
      </c>
      <c r="H641" s="1" t="n">
        <v>0</v>
      </c>
      <c r="I641" s="1" t="n">
        <v>5.48</v>
      </c>
      <c r="J641" t="n">
        <v>27513010</v>
      </c>
    </row>
    <row r="642" ht="15.75" customHeight="1" s="201">
      <c r="A642" s="1" t="inlineStr">
        <is>
          <t>Beef, chuck, blade roast, separable lean and fat, trimmed to 0" fat, all grades, cooked, braised</t>
        </is>
      </c>
      <c r="C642" s="1" t="n">
        <v>0</v>
      </c>
      <c r="D642" s="1" t="n">
        <v>5</v>
      </c>
      <c r="E642" s="1" t="n">
        <v>3.18</v>
      </c>
      <c r="F642" s="1" t="n">
        <v>27.18</v>
      </c>
      <c r="G642" s="1" t="n">
        <v>24.14</v>
      </c>
      <c r="H642" s="1" t="n">
        <v>0</v>
      </c>
      <c r="I642" s="1" t="n">
        <v>8.58</v>
      </c>
      <c r="J642" t="n">
        <v>27513010</v>
      </c>
    </row>
    <row r="643" ht="15.75" customHeight="1" s="201">
      <c r="A643" s="1" t="inlineStr">
        <is>
          <t>Beef, chuck, blade roast, separable lean and fat, trimmed to 1/8" fat, all grades, cooked, braised</t>
        </is>
      </c>
      <c r="C643" s="1" t="n">
        <v>0</v>
      </c>
      <c r="D643" s="1" t="n">
        <v>5</v>
      </c>
      <c r="E643" s="1" t="n">
        <v>3.13</v>
      </c>
      <c r="F643" s="1" t="n">
        <v>26.78</v>
      </c>
      <c r="G643" s="1" t="n">
        <v>25.12</v>
      </c>
      <c r="H643" s="1" t="n">
        <v>0</v>
      </c>
      <c r="I643" s="1" t="n">
        <v>8.41</v>
      </c>
      <c r="J643" t="n">
        <v>27513010</v>
      </c>
    </row>
    <row r="644" ht="15.75" customHeight="1" s="201">
      <c r="A644" s="1" t="inlineStr">
        <is>
          <t>Beef, chuck, blade roast, separable lean and fat, trimmed to 1/8" fat, all grades, raw</t>
        </is>
      </c>
      <c r="C644" s="1" t="n">
        <v>0</v>
      </c>
      <c r="D644" s="1" t="n">
        <v>5</v>
      </c>
      <c r="E644" s="1" t="n">
        <v>2.04</v>
      </c>
      <c r="F644" s="1" t="n">
        <v>17.16</v>
      </c>
      <c r="G644" s="1" t="n">
        <v>19.41</v>
      </c>
      <c r="H644" s="1" t="n">
        <v>0</v>
      </c>
      <c r="I644" s="1" t="n">
        <v>4.98</v>
      </c>
      <c r="J644" t="n">
        <v>27513010</v>
      </c>
    </row>
    <row r="645" ht="15.75" customHeight="1" s="201">
      <c r="A645" s="1" t="inlineStr">
        <is>
          <t>Beef, chuck, blade roast, separable lean and fat, trimmed to 1/8" fat, choice, cooked, braised</t>
        </is>
      </c>
      <c r="C645" s="1" t="n">
        <v>0</v>
      </c>
      <c r="D645" s="1" t="n">
        <v>5</v>
      </c>
      <c r="E645" s="1" t="n">
        <v>3.08</v>
      </c>
      <c r="F645" s="1" t="n">
        <v>26.37</v>
      </c>
      <c r="G645" s="1" t="n">
        <v>27.26</v>
      </c>
      <c r="H645" s="1" t="n">
        <v>0</v>
      </c>
      <c r="I645" s="1" t="n">
        <v>8.23</v>
      </c>
      <c r="J645" t="n">
        <v>27513010</v>
      </c>
    </row>
    <row r="646" ht="15.75" customHeight="1" s="201">
      <c r="A646" s="1" t="inlineStr">
        <is>
          <t>Beef, chuck, blade roast, separable lean and fat, trimmed to 1/8" fat, choice, raw</t>
        </is>
      </c>
      <c r="C646" s="1" t="n">
        <v>0.97</v>
      </c>
      <c r="D646" s="1" t="n">
        <v>5</v>
      </c>
      <c r="E646" s="1" t="n">
        <v>2.01</v>
      </c>
      <c r="F646" s="1" t="n">
        <v>16.98</v>
      </c>
      <c r="G646" s="1" t="n">
        <v>21.31</v>
      </c>
      <c r="H646" s="1" t="n">
        <v>0</v>
      </c>
      <c r="I646" s="1" t="n">
        <v>4.9</v>
      </c>
      <c r="J646" t="n">
        <v>27513010</v>
      </c>
    </row>
    <row r="647" ht="15.75" customHeight="1" s="201">
      <c r="A647" s="1" t="inlineStr">
        <is>
          <t>Beef, chuck, blade roast, separable lean and fat, trimmed to 1/8" fat, select, cooked, braised</t>
        </is>
      </c>
      <c r="C647" s="1" t="n">
        <v>0</v>
      </c>
      <c r="D647" s="1" t="n">
        <v>5</v>
      </c>
      <c r="E647" s="1" t="n">
        <v>3.2</v>
      </c>
      <c r="F647" s="1" t="n">
        <v>27.33</v>
      </c>
      <c r="G647" s="1" t="n">
        <v>22.35</v>
      </c>
      <c r="H647" s="1" t="n">
        <v>0</v>
      </c>
      <c r="I647" s="1" t="n">
        <v>8.65</v>
      </c>
      <c r="J647" t="n">
        <v>27513010</v>
      </c>
    </row>
    <row r="648" ht="15.75" customHeight="1" s="201">
      <c r="A648" s="1" t="inlineStr">
        <is>
          <t>Beef, chuck, blade roast, separable lean and fat, trimmed to 1/8" fat, select, raw</t>
        </is>
      </c>
      <c r="C648" s="1" t="n">
        <v>0</v>
      </c>
      <c r="D648" s="1" t="n">
        <v>5</v>
      </c>
      <c r="E648" s="1" t="n">
        <v>2.07</v>
      </c>
      <c r="F648" s="1" t="n">
        <v>17.37</v>
      </c>
      <c r="G648" s="1" t="n">
        <v>17.33</v>
      </c>
      <c r="H648" s="1" t="n">
        <v>0</v>
      </c>
      <c r="I648" s="1" t="n">
        <v>5.07</v>
      </c>
      <c r="J648" t="n">
        <v>27513010</v>
      </c>
    </row>
    <row r="649" ht="15.75" customHeight="1" s="201">
      <c r="A649" s="1" t="inlineStr">
        <is>
          <t>Beef, chuck, blade roast, separable lean only, trimmed to 0" fat, all grades, cooked, braised</t>
        </is>
      </c>
      <c r="C649" s="1" t="n">
        <v>0</v>
      </c>
      <c r="D649" s="1" t="n">
        <v>6</v>
      </c>
      <c r="E649" s="1" t="n">
        <v>3.68</v>
      </c>
      <c r="F649" s="1" t="n">
        <v>31.06</v>
      </c>
      <c r="G649" s="1" t="n">
        <v>13.3</v>
      </c>
      <c r="H649" s="1" t="n">
        <v>0</v>
      </c>
      <c r="I649" s="1" t="n">
        <v>10.27</v>
      </c>
      <c r="J649" t="n">
        <v>27513010</v>
      </c>
    </row>
    <row r="650" ht="15.75" customHeight="1" s="201">
      <c r="A650" s="1" t="inlineStr">
        <is>
          <t>Beef, chuck, clod roast, separable lean and fat, trimmed to 0" fat, all grades, cooked, roasted</t>
        </is>
      </c>
      <c r="C650" s="1" t="n">
        <v>0</v>
      </c>
      <c r="D650" s="1" t="n">
        <v>9</v>
      </c>
      <c r="E650" s="1" t="n">
        <v>3.05</v>
      </c>
      <c r="F650" s="1" t="n">
        <v>25.7</v>
      </c>
      <c r="G650" s="1" t="n">
        <v>10.84</v>
      </c>
      <c r="H650" s="1" t="n">
        <v>0</v>
      </c>
      <c r="I650" s="1" t="n">
        <v>6.04</v>
      </c>
      <c r="J650" t="n">
        <v>28110510</v>
      </c>
    </row>
    <row r="651" ht="15.75" customHeight="1" s="201">
      <c r="A651" s="1" t="inlineStr">
        <is>
          <t>Beef, chuck, clod roast, separable lean and fat, trimmed to 0" fat, choice, cooked, roasted</t>
        </is>
      </c>
      <c r="C651" s="1" t="n">
        <v>0</v>
      </c>
      <c r="D651" s="1" t="n">
        <v>9</v>
      </c>
      <c r="E651" s="1" t="n">
        <v>3.02</v>
      </c>
      <c r="F651" s="1" t="n">
        <v>24.61</v>
      </c>
      <c r="G651" s="1" t="n">
        <v>12.26</v>
      </c>
      <c r="H651" s="1" t="n">
        <v>0</v>
      </c>
      <c r="I651" s="1" t="n">
        <v>5.95</v>
      </c>
      <c r="J651" t="n">
        <v>28110510</v>
      </c>
    </row>
    <row r="652" ht="15.75" customHeight="1" s="201">
      <c r="A652" s="1" t="inlineStr">
        <is>
          <t>Beef, chuck, clod roast, separable lean and fat, trimmed to 0" fat, select, cooked, roasted</t>
        </is>
      </c>
      <c r="C652" s="1" t="n">
        <v>0</v>
      </c>
      <c r="D652" s="1" t="n">
        <v>10</v>
      </c>
      <c r="E652" s="1" t="n">
        <v>3.09</v>
      </c>
      <c r="F652" s="1" t="n">
        <v>27.3</v>
      </c>
      <c r="G652" s="1" t="n">
        <v>8.76</v>
      </c>
      <c r="H652" s="1" t="n">
        <v>0</v>
      </c>
      <c r="I652" s="1" t="n">
        <v>6.16</v>
      </c>
      <c r="J652" t="n">
        <v>28110510</v>
      </c>
    </row>
    <row r="653" ht="15.75" customHeight="1" s="201">
      <c r="A653" s="1" t="inlineStr">
        <is>
          <t>Beef, chuck, clod roast, separable lean only, trimmed to 0" fat, all grades, cooked, roasted</t>
        </is>
      </c>
      <c r="C653" s="1" t="n">
        <v>0</v>
      </c>
      <c r="D653" s="1" t="n">
        <v>10</v>
      </c>
      <c r="E653" s="1" t="n">
        <v>3.2</v>
      </c>
      <c r="F653" s="1" t="n">
        <v>26.82</v>
      </c>
      <c r="G653" s="1" t="n">
        <v>6.34</v>
      </c>
      <c r="H653" s="1" t="n">
        <v>0</v>
      </c>
      <c r="I653" s="1" t="n">
        <v>6.39</v>
      </c>
      <c r="J653" t="n">
        <v>28110510</v>
      </c>
    </row>
    <row r="654" ht="15.75" customHeight="1" s="201">
      <c r="A654" s="1" t="inlineStr">
        <is>
          <t>Beef, chuck, clod roast, separable lean only, trimmed to 0" fat, choice, cooked, roasted</t>
        </is>
      </c>
      <c r="C654" s="1" t="n">
        <v>0</v>
      </c>
      <c r="D654" s="1" t="n">
        <v>9</v>
      </c>
      <c r="E654" s="1" t="n">
        <v>3.2</v>
      </c>
      <c r="F654" s="1" t="n">
        <v>25.95</v>
      </c>
      <c r="G654" s="1" t="n">
        <v>6.69</v>
      </c>
      <c r="H654" s="1" t="n">
        <v>0</v>
      </c>
      <c r="I654" s="1" t="n">
        <v>6.39</v>
      </c>
      <c r="J654" t="n">
        <v>28110510</v>
      </c>
    </row>
    <row r="655" ht="15.75" customHeight="1" s="201">
      <c r="A655" s="1" t="inlineStr">
        <is>
          <t>Beef, chuck, clod roast, separable lean only, trimmed to 0" fat, select, cooked, roasted</t>
        </is>
      </c>
      <c r="C655" s="1" t="n">
        <v>0</v>
      </c>
      <c r="D655" s="1" t="n">
        <v>10</v>
      </c>
      <c r="E655" s="1" t="n">
        <v>3.19</v>
      </c>
      <c r="F655" s="1" t="n">
        <v>28.09</v>
      </c>
      <c r="G655" s="1" t="n">
        <v>5.82</v>
      </c>
      <c r="H655" s="1" t="n">
        <v>0</v>
      </c>
      <c r="I655" s="1" t="n">
        <v>6.39</v>
      </c>
      <c r="J655" t="n">
        <v>28110510</v>
      </c>
    </row>
    <row r="656" ht="15.75" customHeight="1" s="201">
      <c r="A656" s="1" t="inlineStr">
        <is>
          <t>Beef, chuck, clod roast, separable lean only, trimmed to 1/4" fat, all grades, cooked, roasted</t>
        </is>
      </c>
      <c r="C656" s="1" t="n">
        <v>0</v>
      </c>
      <c r="D656" s="1" t="n">
        <v>9</v>
      </c>
      <c r="E656" s="1" t="n">
        <v>3.09</v>
      </c>
      <c r="F656" s="1" t="n">
        <v>26.36</v>
      </c>
      <c r="G656" s="1" t="n">
        <v>6.75</v>
      </c>
      <c r="H656" s="1" t="n">
        <v>0</v>
      </c>
      <c r="I656" s="1" t="n">
        <v>6.39</v>
      </c>
      <c r="J656" t="n">
        <v>28110510</v>
      </c>
    </row>
    <row r="657" ht="15.75" customHeight="1" s="201">
      <c r="A657" s="1" t="inlineStr">
        <is>
          <t>Beef, chuck, clod roast, separable lean only, trimmed to 1/4" fat, all grades, raw</t>
        </is>
      </c>
      <c r="C657" s="1" t="n">
        <v>0</v>
      </c>
      <c r="D657" s="1" t="n">
        <v>7</v>
      </c>
      <c r="E657" s="1" t="n">
        <v>2.35</v>
      </c>
      <c r="F657" s="1" t="n">
        <v>19.63</v>
      </c>
      <c r="G657" s="1" t="n">
        <v>5.02</v>
      </c>
      <c r="H657" s="1" t="n">
        <v>0</v>
      </c>
      <c r="I657" s="1" t="n">
        <v>4.83</v>
      </c>
      <c r="J657" t="n">
        <v>27513010</v>
      </c>
    </row>
    <row r="658" ht="15.75" customHeight="1" s="201">
      <c r="A658" s="1" t="inlineStr">
        <is>
          <t>Beef, chuck, clod steak, separable lean only, trimmed to 1/4" fat, all grades, cooked, braised</t>
        </is>
      </c>
      <c r="C658" s="1" t="n">
        <v>0</v>
      </c>
      <c r="D658" s="1" t="n">
        <v>9</v>
      </c>
      <c r="E658" s="1" t="n">
        <v>3.79</v>
      </c>
      <c r="F658" s="1" t="n">
        <v>29.34</v>
      </c>
      <c r="G658" s="1" t="n">
        <v>7.04</v>
      </c>
      <c r="H658" s="1" t="n">
        <v>0</v>
      </c>
      <c r="I658" s="1" t="n">
        <v>7.87</v>
      </c>
      <c r="J658" t="n">
        <v>28110510</v>
      </c>
    </row>
    <row r="659" ht="15.75" customHeight="1" s="201">
      <c r="A659" s="1" t="inlineStr">
        <is>
          <t>Beef, chuck, mock tender steak, boneless, separable lean and fat, trimmed to 0" fat, all grades, cooked, braised</t>
        </is>
      </c>
      <c r="C659" s="1" t="n">
        <v>0</v>
      </c>
      <c r="D659" s="1" t="n">
        <v>8</v>
      </c>
      <c r="E659" s="1" t="n">
        <v>3.29</v>
      </c>
      <c r="F659" s="1" t="n">
        <v>32.07</v>
      </c>
      <c r="G659" s="1" t="n">
        <v>10.18</v>
      </c>
      <c r="H659" s="1" t="n">
        <v>24</v>
      </c>
      <c r="I659" s="1" t="n">
        <v>10.44</v>
      </c>
      <c r="J659" t="n">
        <v>28110510</v>
      </c>
    </row>
    <row r="660" ht="15.75" customHeight="1" s="201">
      <c r="A660" s="1" t="inlineStr">
        <is>
          <t>Beef, chuck, mock tender steak, boneless, separable lean and fat, trimmed to 0" fat, all grades, raw</t>
        </is>
      </c>
      <c r="C660" s="1" t="n">
        <v>0</v>
      </c>
      <c r="D660" s="1" t="n">
        <v>3</v>
      </c>
      <c r="E660" s="1" t="n">
        <v>2.43</v>
      </c>
      <c r="F660" s="1" t="n">
        <v>21.13</v>
      </c>
      <c r="G660" s="1" t="n">
        <v>4.79</v>
      </c>
      <c r="H660" s="1" t="n">
        <v>11</v>
      </c>
      <c r="I660" s="1" t="n">
        <v>7.93</v>
      </c>
      <c r="J660" t="n">
        <v>28110510</v>
      </c>
    </row>
    <row r="661" ht="15.75" customHeight="1" s="201">
      <c r="A661" s="1" t="inlineStr">
        <is>
          <t>Beef, chuck, mock tender steak, boneless, separable lean and fat, trimmed to 0" fat, choice, cooked, braised</t>
        </is>
      </c>
      <c r="C661" s="1" t="n">
        <v>0</v>
      </c>
      <c r="D661" s="1" t="n">
        <v>8</v>
      </c>
      <c r="E661" s="1" t="n">
        <v>3.38</v>
      </c>
      <c r="F661" s="1" t="n">
        <v>32.21</v>
      </c>
      <c r="G661" s="1" t="n">
        <v>10.74</v>
      </c>
      <c r="H661" s="1" t="n">
        <v>23</v>
      </c>
      <c r="I661" s="1" t="n">
        <v>10.46</v>
      </c>
      <c r="J661" t="n">
        <v>28110510</v>
      </c>
    </row>
    <row r="662" ht="15.75" customHeight="1" s="201">
      <c r="A662" s="1" t="inlineStr">
        <is>
          <t>Beef, chuck, mock tender steak, boneless, separable lean and fat, trimmed to 0" fat, choice, raw</t>
        </is>
      </c>
      <c r="C662" s="1" t="n">
        <v>0</v>
      </c>
      <c r="D662" s="1" t="n">
        <v>3</v>
      </c>
      <c r="E662" s="1" t="n">
        <v>2.5</v>
      </c>
      <c r="F662" s="1" t="n">
        <v>21.19</v>
      </c>
      <c r="G662" s="1" t="n">
        <v>5.18</v>
      </c>
      <c r="H662" s="1" t="n">
        <v>11</v>
      </c>
      <c r="I662" s="1" t="n">
        <v>8</v>
      </c>
      <c r="J662" t="n">
        <v>28110510</v>
      </c>
    </row>
    <row r="663" ht="15.75" customHeight="1" s="201">
      <c r="A663" s="1" t="inlineStr">
        <is>
          <t>Beef, chuck, mock tender steak, boneless, separable lean and fat, trimmed to 0" fat, select, cooked, braised</t>
        </is>
      </c>
      <c r="C663" s="1" t="n">
        <v>0</v>
      </c>
      <c r="D663" s="1" t="n">
        <v>8</v>
      </c>
      <c r="E663" s="1" t="n">
        <v>3.21</v>
      </c>
      <c r="F663" s="1" t="n">
        <v>31.86</v>
      </c>
      <c r="G663" s="1" t="n">
        <v>9.34</v>
      </c>
      <c r="H663" s="1" t="n">
        <v>25</v>
      </c>
      <c r="I663" s="1" t="n">
        <v>10.31</v>
      </c>
      <c r="J663" t="n">
        <v>28110510</v>
      </c>
    </row>
    <row r="664" ht="15.75" customHeight="1" s="201">
      <c r="A664" s="1" t="inlineStr">
        <is>
          <t>Beef, chuck, mock tender steak, boneless, separable lean and fat, trimmed to 0" fat, select, raw</t>
        </is>
      </c>
      <c r="C664" s="1" t="n">
        <v>0</v>
      </c>
      <c r="D664" s="1" t="n">
        <v>3</v>
      </c>
      <c r="E664" s="1" t="n">
        <v>2.25</v>
      </c>
      <c r="F664" s="1" t="n">
        <v>21.05</v>
      </c>
      <c r="G664" s="1" t="n">
        <v>4.2</v>
      </c>
      <c r="H664" s="1" t="n">
        <v>11</v>
      </c>
      <c r="I664" s="1" t="n">
        <v>7.85</v>
      </c>
      <c r="J664" t="n">
        <v>28110510</v>
      </c>
    </row>
    <row r="665" ht="15.75" customHeight="1" s="201">
      <c r="A665" s="1" t="inlineStr">
        <is>
          <t>Beef, chuck, mock tender steak, boneless, separable lean only, trimmed to 0" fat, all grades, cooked, braised</t>
        </is>
      </c>
      <c r="C665" s="1" t="n">
        <v>0</v>
      </c>
      <c r="D665" s="1" t="n">
        <v>8</v>
      </c>
      <c r="E665" s="1" t="n">
        <v>3.42</v>
      </c>
      <c r="F665" s="1" t="n">
        <v>33.31</v>
      </c>
      <c r="G665" s="1" t="n">
        <v>6.34</v>
      </c>
      <c r="H665" s="1" t="n">
        <v>6</v>
      </c>
      <c r="I665" s="1" t="n">
        <v>10.93</v>
      </c>
      <c r="J665" t="n">
        <v>28110510</v>
      </c>
    </row>
    <row r="666" ht="15.75" customHeight="1" s="201">
      <c r="A666" s="1" t="inlineStr">
        <is>
          <t>Beef, chuck, mock tender steak, boneless, separable lean only, trimmed to 0" fat, all grades, raw</t>
        </is>
      </c>
      <c r="C666" s="1" t="n">
        <v>0</v>
      </c>
      <c r="D666" s="1" t="n">
        <v>3</v>
      </c>
      <c r="E666" s="1" t="n">
        <v>2.44</v>
      </c>
      <c r="F666" s="1" t="n">
        <v>21.3</v>
      </c>
      <c r="G666" s="1" t="n">
        <v>4.17</v>
      </c>
      <c r="H666" s="1" t="n">
        <v>7</v>
      </c>
      <c r="I666" s="1" t="n">
        <v>8</v>
      </c>
      <c r="J666" t="n">
        <v>28110510</v>
      </c>
    </row>
    <row r="667" ht="15.75" customHeight="1" s="201">
      <c r="A667" s="1" t="inlineStr">
        <is>
          <t>Beef, chuck, mock tender steak, boneless, separable lean only, trimmed to 0" fat, choice, cooked, braised</t>
        </is>
      </c>
      <c r="C667" s="1" t="n">
        <v>0</v>
      </c>
      <c r="D667" s="1" t="n">
        <v>8</v>
      </c>
      <c r="E667" s="1" t="n">
        <v>3.53</v>
      </c>
      <c r="F667" s="1" t="n">
        <v>33.55</v>
      </c>
      <c r="G667" s="1" t="n">
        <v>6.94</v>
      </c>
      <c r="H667" s="1" t="n">
        <v>5</v>
      </c>
      <c r="I667" s="1" t="n">
        <v>11.01</v>
      </c>
      <c r="J667" t="n">
        <v>28110510</v>
      </c>
    </row>
    <row r="668" ht="15.75" customHeight="1" s="201">
      <c r="A668" s="1" t="inlineStr">
        <is>
          <t>Beef, chuck, mock tender steak, boneless, separable lean only, trimmed to 0" fat, choice, raw</t>
        </is>
      </c>
      <c r="C668" s="1" t="n">
        <v>0</v>
      </c>
      <c r="D668" s="1" t="n">
        <v>3</v>
      </c>
      <c r="E668" s="1" t="n">
        <v>2.51</v>
      </c>
      <c r="F668" s="1" t="n">
        <v>21.36</v>
      </c>
      <c r="G668" s="1" t="n">
        <v>4.6</v>
      </c>
      <c r="H668" s="1" t="n">
        <v>6</v>
      </c>
      <c r="I668" s="1" t="n">
        <v>8.06</v>
      </c>
      <c r="J668" t="n">
        <v>28110510</v>
      </c>
    </row>
    <row r="669" ht="15.75" customHeight="1" s="201">
      <c r="A669" s="1" t="inlineStr">
        <is>
          <t>Beef, chuck, mock tender steak, boneless, separable lean only, trimmed to 0" fat, select, cooked, braised</t>
        </is>
      </c>
      <c r="C669" s="1" t="n">
        <v>0</v>
      </c>
      <c r="D669" s="1" t="n">
        <v>8</v>
      </c>
      <c r="E669" s="1" t="n">
        <v>3.32</v>
      </c>
      <c r="F669" s="1" t="n">
        <v>32.96</v>
      </c>
      <c r="G669" s="1" t="n">
        <v>5.44</v>
      </c>
      <c r="H669" s="1" t="n">
        <v>7</v>
      </c>
      <c r="I669" s="1" t="n">
        <v>10.76</v>
      </c>
      <c r="J669" t="n">
        <v>28110510</v>
      </c>
    </row>
    <row r="670" ht="15.75" customHeight="1" s="201">
      <c r="A670" s="1" t="inlineStr">
        <is>
          <t>Beef, chuck, mock tender steak, boneless, separable lean only, trimmed to 0" fat, select, raw</t>
        </is>
      </c>
      <c r="C670" s="1" t="n">
        <v>0</v>
      </c>
      <c r="D670" s="1" t="n">
        <v>3</v>
      </c>
      <c r="E670" s="1" t="n">
        <v>2.26</v>
      </c>
      <c r="F670" s="1" t="n">
        <v>21.22</v>
      </c>
      <c r="G670" s="1" t="n">
        <v>3.53</v>
      </c>
      <c r="H670" s="1" t="n">
        <v>7</v>
      </c>
      <c r="I670" s="1" t="n">
        <v>7.93</v>
      </c>
      <c r="J670" t="n">
        <v>28110510</v>
      </c>
    </row>
    <row r="671" ht="15.75" customHeight="1" s="201">
      <c r="A671" s="1" t="inlineStr">
        <is>
          <t>Beef, chuck, mock tender steak, separable lean and fat, trimmed to 0" fat, all grades, cooked, broiled</t>
        </is>
      </c>
      <c r="C671" s="1" t="n">
        <v>0</v>
      </c>
      <c r="D671" s="1" t="n">
        <v>8</v>
      </c>
      <c r="E671" s="1" t="n">
        <v>2.93</v>
      </c>
      <c r="F671" s="1" t="n">
        <v>25.87</v>
      </c>
      <c r="G671" s="1" t="n">
        <v>5.52</v>
      </c>
      <c r="H671" s="1" t="n">
        <v>0</v>
      </c>
      <c r="I671" s="1" t="n">
        <v>7.82</v>
      </c>
      <c r="J671" t="n">
        <v>28110510</v>
      </c>
    </row>
    <row r="672" ht="15.75" customHeight="1" s="201">
      <c r="A672" s="1" t="inlineStr">
        <is>
          <t>Beef, chuck, mock tender steak, separable lean and fat, trimmed to 0" fat, USDA choice, cooked, broiled</t>
        </is>
      </c>
      <c r="C672" s="1" t="n">
        <v>0</v>
      </c>
      <c r="D672" s="1" t="n">
        <v>8</v>
      </c>
      <c r="E672" s="1" t="n">
        <v>3.02</v>
      </c>
      <c r="F672" s="1" t="n">
        <v>25.73</v>
      </c>
      <c r="G672" s="1" t="n">
        <v>5.72</v>
      </c>
      <c r="H672" s="1" t="n">
        <v>0</v>
      </c>
      <c r="I672" s="1" t="n">
        <v>7.83</v>
      </c>
      <c r="J672" t="n">
        <v>28110510</v>
      </c>
    </row>
    <row r="673" ht="15.75" customHeight="1" s="201">
      <c r="A673" s="1" t="inlineStr">
        <is>
          <t>Beef, chuck, mock tender steak, separable lean and fat, trimmed to 0" fat, USDA select, cooked, broiled</t>
        </is>
      </c>
      <c r="C673" s="1" t="n">
        <v>0</v>
      </c>
      <c r="D673" s="1" t="n">
        <v>8</v>
      </c>
      <c r="E673" s="1" t="n">
        <v>2.8</v>
      </c>
      <c r="F673" s="1" t="n">
        <v>26.08</v>
      </c>
      <c r="G673" s="1" t="n">
        <v>5.24</v>
      </c>
      <c r="H673" s="1" t="n">
        <v>0</v>
      </c>
      <c r="I673" s="1" t="n">
        <v>7.81</v>
      </c>
      <c r="J673" t="n">
        <v>28110510</v>
      </c>
    </row>
    <row r="674" ht="15.75" customHeight="1" s="201">
      <c r="A674" s="1" t="inlineStr">
        <is>
          <t>Beef, chuck, mock tender steak, separable lean only, trimmed to 0" fat, all grades, cooked, broiled</t>
        </is>
      </c>
      <c r="C674" s="1" t="n">
        <v>0</v>
      </c>
      <c r="D674" s="1" t="n">
        <v>8</v>
      </c>
      <c r="E674" s="1" t="n">
        <v>2.93</v>
      </c>
      <c r="F674" s="1" t="n">
        <v>25.9</v>
      </c>
      <c r="G674" s="1" t="n">
        <v>5.42</v>
      </c>
      <c r="H674" s="1" t="n">
        <v>0</v>
      </c>
      <c r="I674" s="1" t="n">
        <v>7.83</v>
      </c>
      <c r="J674" t="n">
        <v>28110510</v>
      </c>
    </row>
    <row r="675" ht="15.75" customHeight="1" s="201">
      <c r="A675" s="1" t="inlineStr">
        <is>
          <t>Beef, chuck, mock tender steak, separable lean only, trimmed to 0" fat, choice, cooked, broiled</t>
        </is>
      </c>
      <c r="C675" s="1" t="n">
        <v>0</v>
      </c>
      <c r="D675" s="1" t="n">
        <v>8</v>
      </c>
      <c r="E675" s="1" t="n">
        <v>3.02</v>
      </c>
      <c r="F675" s="1" t="n">
        <v>25.74</v>
      </c>
      <c r="G675" s="1" t="n">
        <v>5.69</v>
      </c>
      <c r="H675" s="1" t="n">
        <v>0</v>
      </c>
      <c r="I675" s="1" t="n">
        <v>7.83</v>
      </c>
      <c r="J675" t="n">
        <v>28110510</v>
      </c>
    </row>
    <row r="676" ht="15.75" customHeight="1" s="201">
      <c r="A676" s="1" t="inlineStr">
        <is>
          <t>Beef, chuck, mock tender steak, separable lean only, trimmed to 0" fat, select, cooked, broiled</t>
        </is>
      </c>
      <c r="C676" s="1" t="n">
        <v>0</v>
      </c>
      <c r="D676" s="1" t="n">
        <v>8</v>
      </c>
      <c r="E676" s="1" t="n">
        <v>2.8</v>
      </c>
      <c r="F676" s="1" t="n">
        <v>26.13</v>
      </c>
      <c r="G676" s="1" t="n">
        <v>5.02</v>
      </c>
      <c r="H676" s="1" t="n">
        <v>0</v>
      </c>
      <c r="I676" s="1" t="n">
        <v>7.83</v>
      </c>
      <c r="J676" t="n">
        <v>28110510</v>
      </c>
    </row>
    <row r="677" ht="15.75" customHeight="1" s="201">
      <c r="A677" s="1" t="inlineStr">
        <is>
          <t>Beef, chuck, short ribs, boneless, separable lean and fat, trimmed to 0" fat, all grades, cooked, braised</t>
        </is>
      </c>
      <c r="C677" s="1" t="n">
        <v>0</v>
      </c>
      <c r="D677" s="1" t="n">
        <v>6</v>
      </c>
      <c r="E677" s="1" t="n">
        <v>2.7</v>
      </c>
      <c r="F677" s="1" t="n">
        <v>25.48</v>
      </c>
      <c r="G677" s="1" t="n">
        <v>22.58</v>
      </c>
      <c r="H677" s="1" t="n">
        <v>27</v>
      </c>
      <c r="I677" s="1" t="n">
        <v>9.73</v>
      </c>
      <c r="J677" t="n">
        <v>28110620</v>
      </c>
    </row>
    <row r="678" ht="15.75" customHeight="1" s="201">
      <c r="A678" s="1" t="inlineStr">
        <is>
          <t>Beef, chuck, short ribs, boneless, separable lean and fat, trimmed to 0" fat, all grades, raw</t>
        </is>
      </c>
      <c r="C678" s="1" t="n">
        <v>0</v>
      </c>
      <c r="D678" s="1" t="n">
        <v>3</v>
      </c>
      <c r="E678" s="1" t="n">
        <v>2.24</v>
      </c>
      <c r="F678" s="1" t="n">
        <v>17.48</v>
      </c>
      <c r="G678" s="1" t="n">
        <v>18.33</v>
      </c>
      <c r="H678" s="1" t="n">
        <v>15</v>
      </c>
      <c r="I678" s="1" t="n">
        <v>7.07</v>
      </c>
      <c r="J678" t="n">
        <v>28110620</v>
      </c>
    </row>
    <row r="679" ht="15.75" customHeight="1" s="201">
      <c r="A679" s="1" t="inlineStr">
        <is>
          <t>Beef, chuck, short ribs, boneless, separable lean and fat, trimmed to 0" fat, choice, cooked, braised</t>
        </is>
      </c>
      <c r="C679" s="1" t="n">
        <v>0</v>
      </c>
      <c r="D679" s="1" t="n">
        <v>6</v>
      </c>
      <c r="E679" s="1" t="n">
        <v>2.67</v>
      </c>
      <c r="F679" s="1" t="n">
        <v>25.26</v>
      </c>
      <c r="G679" s="1" t="n">
        <v>24.05</v>
      </c>
      <c r="H679" s="1" t="n">
        <v>26</v>
      </c>
      <c r="I679" s="1" t="n">
        <v>9.640000000000001</v>
      </c>
      <c r="J679" t="n">
        <v>28110620</v>
      </c>
    </row>
    <row r="680" ht="15.75" customHeight="1" s="201">
      <c r="A680" s="1" t="inlineStr">
        <is>
          <t>Beef, chuck, short ribs, boneless, separable lean and fat, trimmed to 0" fat, choice, raw</t>
        </is>
      </c>
      <c r="C680" s="1" t="n">
        <v>0</v>
      </c>
      <c r="D680" s="1" t="n">
        <v>3</v>
      </c>
      <c r="E680" s="1" t="n">
        <v>2.3</v>
      </c>
      <c r="F680" s="1" t="n">
        <v>17.22</v>
      </c>
      <c r="G680" s="1" t="n">
        <v>19.03</v>
      </c>
      <c r="H680" s="1" t="n">
        <v>14</v>
      </c>
      <c r="I680" s="1" t="n">
        <v>7.13</v>
      </c>
      <c r="J680" t="n">
        <v>28110620</v>
      </c>
    </row>
    <row r="681" ht="15.75" customHeight="1" s="201">
      <c r="A681" s="1" t="inlineStr">
        <is>
          <t>Beef, chuck, short ribs, boneless, separable lean and fat, trimmed to 0" fat, select, cooked, braised</t>
        </is>
      </c>
      <c r="C681" s="1" t="n">
        <v>0</v>
      </c>
      <c r="D681" s="1" t="n">
        <v>6</v>
      </c>
      <c r="E681" s="1" t="n">
        <v>2.76</v>
      </c>
      <c r="F681" s="1" t="n">
        <v>25.81</v>
      </c>
      <c r="G681" s="1" t="n">
        <v>20.38</v>
      </c>
      <c r="H681" s="1" t="n">
        <v>27</v>
      </c>
      <c r="I681" s="1" t="n">
        <v>10.23</v>
      </c>
      <c r="J681" t="n">
        <v>28110620</v>
      </c>
    </row>
    <row r="682" ht="15.75" customHeight="1" s="201">
      <c r="A682" s="1" t="inlineStr">
        <is>
          <t>Beef, chuck, short ribs, boneless, separable lean and fat, trimmed to 0" fat, select, raw</t>
        </is>
      </c>
      <c r="C682" s="1" t="n">
        <v>0</v>
      </c>
      <c r="D682" s="1" t="n">
        <v>3</v>
      </c>
      <c r="E682" s="1" t="n">
        <v>2.15</v>
      </c>
      <c r="F682" s="1" t="n">
        <v>17.87</v>
      </c>
      <c r="G682" s="1" t="n">
        <v>17.28</v>
      </c>
      <c r="H682" s="1" t="n">
        <v>15</v>
      </c>
      <c r="I682" s="1" t="n">
        <v>7.04</v>
      </c>
      <c r="J682" t="n">
        <v>28110620</v>
      </c>
    </row>
    <row r="683" ht="15.75" customHeight="1" s="201">
      <c r="A683" s="1" t="inlineStr">
        <is>
          <t>Beef, chuck, short ribs, boneless, separable lean only, trimmed to 0" fat, all grades, cooked, braised</t>
        </is>
      </c>
      <c r="C683" s="1" t="n">
        <v>0</v>
      </c>
      <c r="D683" s="1" t="n">
        <v>7</v>
      </c>
      <c r="E683" s="1" t="n">
        <v>3.2</v>
      </c>
      <c r="F683" s="1" t="n">
        <v>28.82</v>
      </c>
      <c r="G683" s="1" t="n">
        <v>13.8</v>
      </c>
      <c r="H683" s="1" t="n">
        <v>6</v>
      </c>
      <c r="I683" s="1" t="n">
        <v>11.99</v>
      </c>
      <c r="J683" t="n">
        <v>28110620</v>
      </c>
    </row>
    <row r="684" ht="15.75" customHeight="1" s="201">
      <c r="A684" s="1" t="inlineStr">
        <is>
          <t>Beef, chuck, short ribs, boneless, separable lean only, trimmed to 0" fat, all grades, raw</t>
        </is>
      </c>
      <c r="C684" s="1" t="n">
        <v>0.05</v>
      </c>
      <c r="D684" s="1" t="n">
        <v>3</v>
      </c>
      <c r="E684" s="1" t="n">
        <v>2.45</v>
      </c>
      <c r="F684" s="1" t="n">
        <v>19.68</v>
      </c>
      <c r="G684" s="1" t="n">
        <v>10.02</v>
      </c>
      <c r="H684" s="1" t="n">
        <v>7</v>
      </c>
      <c r="I684" s="1" t="n">
        <v>8.15</v>
      </c>
      <c r="J684" t="n">
        <v>28110620</v>
      </c>
    </row>
    <row r="685" ht="15.75" customHeight="1" s="201">
      <c r="A685" s="1" t="inlineStr">
        <is>
          <t>Beef, chuck, short ribs, boneless, separable lean only, trimmed to 0" fat, choice, cooked, braised</t>
        </is>
      </c>
      <c r="C685" s="1" t="n">
        <v>0</v>
      </c>
      <c r="D685" s="1" t="n">
        <v>7</v>
      </c>
      <c r="E685" s="1" t="n">
        <v>3.19</v>
      </c>
      <c r="F685" s="1" t="n">
        <v>28.84</v>
      </c>
      <c r="G685" s="1" t="n">
        <v>14.95</v>
      </c>
      <c r="H685" s="1" t="n">
        <v>5</v>
      </c>
      <c r="I685" s="1" t="n">
        <v>11.95</v>
      </c>
      <c r="J685" t="n">
        <v>28110620</v>
      </c>
    </row>
    <row r="686" ht="15.75" customHeight="1" s="201">
      <c r="A686" s="1" t="inlineStr">
        <is>
          <t>Beef, chuck, short ribs, boneless, separable lean only, trimmed to 0" fat, choice, raw</t>
        </is>
      </c>
      <c r="C686" s="1" t="n">
        <v>0.29</v>
      </c>
      <c r="D686" s="1" t="n">
        <v>3</v>
      </c>
      <c r="E686" s="1" t="n">
        <v>2.53</v>
      </c>
      <c r="F686" s="1" t="n">
        <v>19.38</v>
      </c>
      <c r="G686" s="1" t="n">
        <v>10.7</v>
      </c>
      <c r="H686" s="1" t="n">
        <v>6</v>
      </c>
      <c r="I686" s="1" t="n">
        <v>8.25</v>
      </c>
      <c r="J686" t="n">
        <v>28110620</v>
      </c>
    </row>
    <row r="687" ht="15.75" customHeight="1" s="201">
      <c r="A687" s="1" t="inlineStr">
        <is>
          <t>Beef, chuck, short ribs, boneless, separable lean only, trimmed to 0" fat, select, cooked, braised</t>
        </is>
      </c>
      <c r="C687" s="1" t="n">
        <v>0</v>
      </c>
      <c r="D687" s="1" t="n">
        <v>7</v>
      </c>
      <c r="E687" s="1" t="n">
        <v>3.21</v>
      </c>
      <c r="F687" s="1" t="n">
        <v>28.79</v>
      </c>
      <c r="G687" s="1" t="n">
        <v>12.08</v>
      </c>
      <c r="H687" s="1" t="n">
        <v>8</v>
      </c>
      <c r="I687" s="1" t="n">
        <v>12.28</v>
      </c>
      <c r="J687" t="n">
        <v>28110620</v>
      </c>
    </row>
    <row r="688" ht="15.75" customHeight="1" s="201">
      <c r="A688" s="1" t="inlineStr">
        <is>
          <t>Beef, chuck, short ribs, boneless, separable lean only, trimmed to 0" fat, select, raw</t>
        </is>
      </c>
      <c r="C688" s="1" t="n">
        <v>0</v>
      </c>
      <c r="D688" s="1" t="n">
        <v>3</v>
      </c>
      <c r="E688" s="1" t="n">
        <v>2.34</v>
      </c>
      <c r="F688" s="1" t="n">
        <v>20.14</v>
      </c>
      <c r="G688" s="1" t="n">
        <v>8.99</v>
      </c>
      <c r="H688" s="1" t="n">
        <v>8</v>
      </c>
      <c r="I688" s="1" t="n">
        <v>8.140000000000001</v>
      </c>
      <c r="J688" t="n">
        <v>28110620</v>
      </c>
    </row>
    <row r="689" ht="15.75" customHeight="1" s="201">
      <c r="A689" s="1" t="inlineStr">
        <is>
          <t>Beef, chuck, shoulder clod, shoulder tender, medallion, separable lean and fat, trimmed to 0" fat, all grades, cooked, grilled</t>
        </is>
      </c>
      <c r="C689" s="1" t="n">
        <v>0</v>
      </c>
      <c r="D689" s="1" t="n">
        <v>8</v>
      </c>
      <c r="E689" s="1" t="n">
        <v>2.59</v>
      </c>
      <c r="F689" s="1" t="n">
        <v>26.22</v>
      </c>
      <c r="G689" s="1" t="n">
        <v>7.2</v>
      </c>
      <c r="H689" s="1" t="n">
        <v>0</v>
      </c>
      <c r="I689" s="1" t="n">
        <v>5.24</v>
      </c>
      <c r="J689" t="n">
        <v>28110510</v>
      </c>
    </row>
    <row r="690" ht="15.75" customHeight="1" s="201">
      <c r="A690" s="1" t="inlineStr">
        <is>
          <t>Beef, chuck, shoulder clod, shoulder tender, medallion, separable lean and fat, trimmed to 0" fat, all grades, raw</t>
        </is>
      </c>
      <c r="C690" s="1" t="n">
        <v>0</v>
      </c>
      <c r="D690" s="1" t="n">
        <v>7</v>
      </c>
      <c r="E690" s="1" t="n">
        <v>1.95</v>
      </c>
      <c r="F690" s="1" t="n">
        <v>20.54</v>
      </c>
      <c r="G690" s="1" t="n">
        <v>6.22</v>
      </c>
      <c r="H690" s="1" t="n">
        <v>0</v>
      </c>
      <c r="I690" s="1" t="n">
        <v>3.72</v>
      </c>
      <c r="J690" t="n">
        <v>28110510</v>
      </c>
    </row>
    <row r="691" ht="15.75" customHeight="1" s="201">
      <c r="A691" s="1" t="inlineStr">
        <is>
          <t>Beef, chuck, shoulder clod, shoulder tender, medallion, separable lean and fat, trimmed to 0" fat, choice, cooked, grilled</t>
        </is>
      </c>
      <c r="C691" s="1" t="n">
        <v>0</v>
      </c>
      <c r="D691" s="1" t="n">
        <v>8</v>
      </c>
      <c r="E691" s="1" t="n">
        <v>2.58</v>
      </c>
      <c r="F691" s="1" t="n">
        <v>26.07</v>
      </c>
      <c r="G691" s="1" t="n">
        <v>7.68</v>
      </c>
      <c r="H691" s="1" t="n">
        <v>0</v>
      </c>
      <c r="I691" s="1" t="n">
        <v>5.26</v>
      </c>
      <c r="J691" t="n">
        <v>28110510</v>
      </c>
    </row>
    <row r="692" ht="15.75" customHeight="1" s="201">
      <c r="A692" s="1" t="inlineStr">
        <is>
          <t>Beef, chuck, shoulder clod, shoulder tender, medallion, separable lean and fat, trimmed to 0" fat, choice, raw</t>
        </is>
      </c>
      <c r="C692" s="1" t="n">
        <v>0</v>
      </c>
      <c r="D692" s="1" t="n">
        <v>7</v>
      </c>
      <c r="E692" s="1" t="n">
        <v>2.01</v>
      </c>
      <c r="F692" s="1" t="n">
        <v>20.51</v>
      </c>
      <c r="G692" s="1" t="n">
        <v>6.36</v>
      </c>
      <c r="H692" s="1" t="n">
        <v>0</v>
      </c>
      <c r="I692" s="1" t="n">
        <v>3.98</v>
      </c>
      <c r="J692" t="n">
        <v>28110510</v>
      </c>
    </row>
    <row r="693" ht="15.75" customHeight="1" s="201">
      <c r="A693" s="1" t="inlineStr">
        <is>
          <t>Beef, chuck, shoulder clod, shoulder tender, medallion, separable lean and fat, trimmed to 0" fat, select, cooked, grilled</t>
        </is>
      </c>
      <c r="C693" s="1" t="n">
        <v>0.33</v>
      </c>
      <c r="D693" s="1" t="n">
        <v>8</v>
      </c>
      <c r="E693" s="1" t="n">
        <v>2.6</v>
      </c>
      <c r="F693" s="1" t="n">
        <v>26.45</v>
      </c>
      <c r="G693" s="1" t="n">
        <v>6.43</v>
      </c>
      <c r="H693" s="1" t="n">
        <v>0</v>
      </c>
      <c r="I693" s="1" t="n">
        <v>5.19</v>
      </c>
      <c r="J693" t="n">
        <v>28110510</v>
      </c>
    </row>
    <row r="694" ht="15.75" customHeight="1" s="201">
      <c r="A694" s="1" t="inlineStr">
        <is>
          <t>Beef, chuck, shoulder clod, shoulder tender, medallion, separable lean and fat, trimmed to 0" fat, select, raw</t>
        </is>
      </c>
      <c r="C694" s="1" t="n">
        <v>0</v>
      </c>
      <c r="D694" s="1" t="n">
        <v>7</v>
      </c>
      <c r="E694" s="1" t="n">
        <v>2.39</v>
      </c>
      <c r="F694" s="1" t="n">
        <v>20.93</v>
      </c>
      <c r="G694" s="1" t="n">
        <v>5.79</v>
      </c>
      <c r="H694" s="1" t="n">
        <v>0</v>
      </c>
      <c r="I694" s="1" t="n">
        <v>4.38</v>
      </c>
      <c r="J694" t="n">
        <v>28110510</v>
      </c>
    </row>
    <row r="695" ht="15.75" customHeight="1" s="201">
      <c r="A695" s="1" t="inlineStr">
        <is>
          <t>Beef, chuck, shoulder clod, shoulder top and center steaks, separable lean and fat, trimmed to 0" fat, all grades, cooked, grilled</t>
        </is>
      </c>
      <c r="C695" s="1" t="n">
        <v>0.12</v>
      </c>
      <c r="D695" s="1" t="n">
        <v>11</v>
      </c>
      <c r="E695" s="1" t="n">
        <v>2.79</v>
      </c>
      <c r="F695" s="1" t="n">
        <v>26.3</v>
      </c>
      <c r="G695" s="1" t="n">
        <v>7.66</v>
      </c>
      <c r="H695" s="1" t="n">
        <v>0</v>
      </c>
      <c r="I695" s="1" t="n">
        <v>7.09</v>
      </c>
      <c r="J695" t="n">
        <v>28110510</v>
      </c>
    </row>
    <row r="696" ht="15.75" customHeight="1" s="201">
      <c r="A696" s="1" t="inlineStr">
        <is>
          <t>Beef, chuck, shoulder clod, shoulder top and center steaks, separable lean and fat, trimmed to 0" fat, all grades, raw</t>
        </is>
      </c>
      <c r="C696" s="1" t="n">
        <v>0</v>
      </c>
      <c r="D696" s="1" t="n">
        <v>7</v>
      </c>
      <c r="E696" s="1" t="n">
        <v>2.31</v>
      </c>
      <c r="F696" s="1" t="n">
        <v>20.67</v>
      </c>
      <c r="G696" s="1" t="n">
        <v>5.88</v>
      </c>
      <c r="H696" s="1" t="n">
        <v>0</v>
      </c>
      <c r="I696" s="1" t="n">
        <v>5.49</v>
      </c>
      <c r="J696" t="n">
        <v>28110510</v>
      </c>
    </row>
    <row r="697" ht="15.75" customHeight="1" s="201">
      <c r="A697" s="1" t="inlineStr">
        <is>
          <t>Beef, chuck, shoulder clod, shoulder top and center steaks, separable lean and fat, trimmed to 0" fat, choice, cooked, grilled</t>
        </is>
      </c>
      <c r="C697" s="1" t="n">
        <v>0</v>
      </c>
      <c r="D697" s="1" t="n">
        <v>11</v>
      </c>
      <c r="E697" s="1" t="n">
        <v>2.57</v>
      </c>
      <c r="F697" s="1" t="n">
        <v>26.07</v>
      </c>
      <c r="G697" s="1" t="n">
        <v>8.109999999999999</v>
      </c>
      <c r="H697" s="1" t="n">
        <v>0</v>
      </c>
      <c r="I697" s="1" t="n">
        <v>6.85</v>
      </c>
      <c r="J697" t="n">
        <v>28110510</v>
      </c>
    </row>
    <row r="698" ht="15.75" customHeight="1" s="201">
      <c r="A698" s="1" t="inlineStr">
        <is>
          <t>Beef, chuck, shoulder clod, shoulder top and center steaks, separable lean and fat, trimmed to 0" fat, choice, raw</t>
        </is>
      </c>
      <c r="C698" s="1" t="n">
        <v>0</v>
      </c>
      <c r="D698" s="1" t="n">
        <v>7</v>
      </c>
      <c r="E698" s="1" t="n">
        <v>2.14</v>
      </c>
      <c r="F698" s="1" t="n">
        <v>20.39</v>
      </c>
      <c r="G698" s="1" t="n">
        <v>6.12</v>
      </c>
      <c r="H698" s="1" t="n">
        <v>0</v>
      </c>
      <c r="I698" s="1" t="n">
        <v>5.24</v>
      </c>
      <c r="J698" t="n">
        <v>28110510</v>
      </c>
    </row>
    <row r="699" ht="15.75" customHeight="1" s="201">
      <c r="A699" s="1" t="inlineStr">
        <is>
          <t>Beef, chuck, shoulder clod, shoulder top and center steaks, separable lean and fat, trimmed to 0" fat, select, cooked, grilled</t>
        </is>
      </c>
      <c r="C699" s="1" t="n">
        <v>0</v>
      </c>
      <c r="D699" s="1" t="n">
        <v>11</v>
      </c>
      <c r="E699" s="1" t="n">
        <v>3.23</v>
      </c>
      <c r="F699" s="1" t="n">
        <v>26.66</v>
      </c>
      <c r="G699" s="1" t="n">
        <v>6.94</v>
      </c>
      <c r="H699" s="1" t="n">
        <v>0</v>
      </c>
      <c r="I699" s="1" t="n">
        <v>7.58</v>
      </c>
      <c r="J699" t="n">
        <v>28110510</v>
      </c>
    </row>
    <row r="700" ht="15.75" customHeight="1" s="201">
      <c r="A700" s="1" t="inlineStr">
        <is>
          <t>Beef, chuck, shoulder clod, shoulder top and center steaks, separable lean and fat, trimmed to 0" fat, select, raw</t>
        </is>
      </c>
      <c r="C700" s="1" t="n">
        <v>0</v>
      </c>
      <c r="D700" s="1" t="n">
        <v>7</v>
      </c>
      <c r="E700" s="1" t="n">
        <v>2.64</v>
      </c>
      <c r="F700" s="1" t="n">
        <v>21.13</v>
      </c>
      <c r="G700" s="1" t="n">
        <v>5.51</v>
      </c>
      <c r="H700" s="1" t="n">
        <v>0</v>
      </c>
      <c r="I700" s="1" t="n">
        <v>5.99</v>
      </c>
      <c r="J700" t="n">
        <v>28110510</v>
      </c>
    </row>
    <row r="701" ht="15.75" customHeight="1" s="201">
      <c r="A701" s="1" t="inlineStr">
        <is>
          <t>Beef, chuck, shoulder clod, top blade, steak, separable lean and fat, trimmed to 0" fat, all grades, cooked, grilled</t>
        </is>
      </c>
      <c r="C701" s="1" t="n">
        <v>0</v>
      </c>
      <c r="D701" s="1" t="n">
        <v>6</v>
      </c>
      <c r="E701" s="1" t="n">
        <v>2.88</v>
      </c>
      <c r="F701" s="1" t="n">
        <v>24.93</v>
      </c>
      <c r="G701" s="1" t="n">
        <v>12.79</v>
      </c>
      <c r="H701" s="1" t="n">
        <v>0</v>
      </c>
      <c r="I701" s="1" t="n">
        <v>9.050000000000001</v>
      </c>
      <c r="J701" t="n">
        <v>28110510</v>
      </c>
    </row>
    <row r="702" ht="15.75" customHeight="1" s="201">
      <c r="A702" s="1" t="inlineStr">
        <is>
          <t>Beef, chuck, shoulder clod, top blade, steak, separable lean and fat, trimmed to 0" fat, all grades, raw</t>
        </is>
      </c>
      <c r="C702" s="1" t="n">
        <v>0</v>
      </c>
      <c r="D702" s="1" t="n">
        <v>3</v>
      </c>
      <c r="E702" s="1" t="n">
        <v>2.36</v>
      </c>
      <c r="F702" s="1" t="n">
        <v>18.99</v>
      </c>
      <c r="G702" s="1" t="n">
        <v>10.52</v>
      </c>
      <c r="H702" s="1" t="n">
        <v>0</v>
      </c>
      <c r="I702" s="1" t="n">
        <v>6.88</v>
      </c>
      <c r="J702" t="n">
        <v>28110510</v>
      </c>
    </row>
    <row r="703" ht="15.75" customHeight="1" s="201">
      <c r="A703" s="1" t="inlineStr">
        <is>
          <t>Beef, chuck, shoulder clod, top blade, steak, separable lean and fat, trimmed to 0" fat, choice, cooked, grilled</t>
        </is>
      </c>
      <c r="C703" s="1" t="n">
        <v>0</v>
      </c>
      <c r="D703" s="1" t="n">
        <v>6</v>
      </c>
      <c r="E703" s="1" t="n">
        <v>2.78</v>
      </c>
      <c r="F703" s="1" t="n">
        <v>24.7</v>
      </c>
      <c r="G703" s="1" t="n">
        <v>13.59</v>
      </c>
      <c r="H703" s="1" t="n">
        <v>0</v>
      </c>
      <c r="I703" s="1" t="n">
        <v>8.77</v>
      </c>
      <c r="J703" t="n">
        <v>28110510</v>
      </c>
    </row>
    <row r="704" ht="15.75" customHeight="1" s="201">
      <c r="A704" s="1" t="inlineStr">
        <is>
          <t>Beef, chuck, shoulder clod, top blade, steak, separable lean and fat, trimmed to 0" fat, choice, raw</t>
        </is>
      </c>
      <c r="C704" s="1" t="n">
        <v>0</v>
      </c>
      <c r="D704" s="1" t="n">
        <v>3</v>
      </c>
      <c r="E704" s="1" t="n">
        <v>2.23</v>
      </c>
      <c r="F704" s="1" t="n">
        <v>18.75</v>
      </c>
      <c r="G704" s="1" t="n">
        <v>11.33</v>
      </c>
      <c r="H704" s="1" t="n">
        <v>0</v>
      </c>
      <c r="I704" s="1" t="n">
        <v>6.58</v>
      </c>
      <c r="J704" t="n">
        <v>28110510</v>
      </c>
    </row>
    <row r="705" ht="15.75" customHeight="1" s="201">
      <c r="A705" s="1" t="inlineStr">
        <is>
          <t>Beef, chuck, shoulder clod, top blade, steak, separable lean and fat, trimmed to 0" fat, select, cooked, grilled</t>
        </is>
      </c>
      <c r="C705" s="1" t="n">
        <v>0</v>
      </c>
      <c r="D705" s="1" t="n">
        <v>6</v>
      </c>
      <c r="E705" s="1" t="n">
        <v>3.1</v>
      </c>
      <c r="F705" s="1" t="n">
        <v>25.29</v>
      </c>
      <c r="G705" s="1" t="n">
        <v>11.52</v>
      </c>
      <c r="H705" s="1" t="n">
        <v>0</v>
      </c>
      <c r="I705" s="1" t="n">
        <v>9.609999999999999</v>
      </c>
      <c r="J705" t="n">
        <v>28110510</v>
      </c>
    </row>
    <row r="706" ht="15.75" customHeight="1" s="201">
      <c r="A706" s="1" t="inlineStr">
        <is>
          <t>Beef, chuck, shoulder clod, top blade, steak, separable lean and fat, trimmed to 0" fat, select, raw</t>
        </is>
      </c>
      <c r="C706" s="1" t="n">
        <v>0</v>
      </c>
      <c r="D706" s="1" t="n">
        <v>3</v>
      </c>
      <c r="E706" s="1" t="n">
        <v>2.62</v>
      </c>
      <c r="F706" s="1" t="n">
        <v>19.38</v>
      </c>
      <c r="G706" s="1" t="n">
        <v>9.220000000000001</v>
      </c>
      <c r="H706" s="1" t="n">
        <v>0</v>
      </c>
      <c r="I706" s="1" t="n">
        <v>7.47</v>
      </c>
      <c r="J706" t="n">
        <v>28110510</v>
      </c>
    </row>
    <row r="707" ht="15.75" customHeight="1" s="201">
      <c r="A707" s="1" t="inlineStr">
        <is>
          <t>Beef, chuck, top blade, separable lean and fat, trimmed to 0" fat, all grades, cooked, broiled</t>
        </is>
      </c>
      <c r="C707" s="1" t="n">
        <v>0</v>
      </c>
      <c r="D707" s="1" t="n">
        <v>8</v>
      </c>
      <c r="E707" s="1" t="n">
        <v>2.76</v>
      </c>
      <c r="F707" s="1" t="n">
        <v>25.73</v>
      </c>
      <c r="G707" s="1" t="n">
        <v>11.73</v>
      </c>
      <c r="H707" s="1" t="n">
        <v>0</v>
      </c>
      <c r="I707" s="1" t="n">
        <v>8.73</v>
      </c>
      <c r="J707" t="n">
        <v>28110510</v>
      </c>
    </row>
    <row r="708" ht="15.75" customHeight="1" s="201">
      <c r="A708" s="1" t="inlineStr">
        <is>
          <t>Beef, chuck, top blade, separable lean and fat, trimmed to 0" fat, choice, cooked, broiled</t>
        </is>
      </c>
      <c r="C708" s="1" t="n">
        <v>0</v>
      </c>
      <c r="D708" s="1" t="n">
        <v>8</v>
      </c>
      <c r="E708" s="1" t="n">
        <v>2.77</v>
      </c>
      <c r="F708" s="1" t="n">
        <v>25.77</v>
      </c>
      <c r="G708" s="1" t="n">
        <v>12.93</v>
      </c>
      <c r="H708" s="1" t="n">
        <v>0</v>
      </c>
      <c r="I708" s="1" t="n">
        <v>8.76</v>
      </c>
      <c r="J708" t="n">
        <v>28110510</v>
      </c>
    </row>
    <row r="709" ht="15.75" customHeight="1" s="201">
      <c r="A709" s="1" t="inlineStr">
        <is>
          <t>Beef, chuck, top blade, separable lean and fat, trimmed to 0" fat, select, cooked, broiled</t>
        </is>
      </c>
      <c r="C709" s="1" t="n">
        <v>0</v>
      </c>
      <c r="D709" s="1" t="n">
        <v>9</v>
      </c>
      <c r="E709" s="1" t="n">
        <v>2.74</v>
      </c>
      <c r="F709" s="1" t="n">
        <v>25.67</v>
      </c>
      <c r="G709" s="1" t="n">
        <v>9.99</v>
      </c>
      <c r="H709" s="1" t="n">
        <v>0</v>
      </c>
      <c r="I709" s="1" t="n">
        <v>8.68</v>
      </c>
      <c r="J709" t="n">
        <v>28110510</v>
      </c>
    </row>
    <row r="710" ht="15.75" customHeight="1" s="201">
      <c r="A710" s="1" t="inlineStr">
        <is>
          <t>Beef, chuck, top blade, separable lean only, trimmed to 0" fat, all grades, cooked, broiled</t>
        </is>
      </c>
      <c r="C710" s="1" t="n">
        <v>0</v>
      </c>
      <c r="D710" s="1" t="n">
        <v>8</v>
      </c>
      <c r="E710" s="1" t="n">
        <v>2.81</v>
      </c>
      <c r="F710" s="1" t="n">
        <v>26.13</v>
      </c>
      <c r="G710" s="1" t="n">
        <v>10.16</v>
      </c>
      <c r="H710" s="1" t="n">
        <v>0</v>
      </c>
      <c r="I710" s="1" t="n">
        <v>8.92</v>
      </c>
      <c r="J710" t="n">
        <v>28110510</v>
      </c>
    </row>
    <row r="711" ht="15.75" customHeight="1" s="201">
      <c r="A711" s="1" t="inlineStr">
        <is>
          <t>Beef, chuck, top blade, separable lean only, trimmed to 0" fat, choice, cooked, broiled</t>
        </is>
      </c>
      <c r="C711" s="1" t="n">
        <v>0</v>
      </c>
      <c r="D711" s="1" t="n">
        <v>8</v>
      </c>
      <c r="E711" s="1" t="n">
        <v>2.81</v>
      </c>
      <c r="F711" s="1" t="n">
        <v>26.11</v>
      </c>
      <c r="G711" s="1" t="n">
        <v>11.65</v>
      </c>
      <c r="H711" s="1" t="n">
        <v>0</v>
      </c>
      <c r="I711" s="1" t="n">
        <v>8.92</v>
      </c>
      <c r="J711" t="n">
        <v>28110510</v>
      </c>
    </row>
    <row r="712" ht="15.75" customHeight="1" s="201">
      <c r="A712" s="1" t="inlineStr">
        <is>
          <t>Beef, chuck, top blade, separable lean only, trimmed to 0" fat, select, cooked, broiled</t>
        </is>
      </c>
      <c r="C712" s="1" t="n">
        <v>0</v>
      </c>
      <c r="D712" s="1" t="n">
        <v>9</v>
      </c>
      <c r="E712" s="1" t="n">
        <v>2.8</v>
      </c>
      <c r="F712" s="1" t="n">
        <v>26.16</v>
      </c>
      <c r="G712" s="1" t="n">
        <v>8</v>
      </c>
      <c r="H712" s="1" t="n">
        <v>0</v>
      </c>
      <c r="I712" s="1" t="n">
        <v>8.92</v>
      </c>
      <c r="J712" t="n">
        <v>28110510</v>
      </c>
    </row>
    <row r="713" ht="15.75" customHeight="1" s="201">
      <c r="A713" s="1" t="inlineStr">
        <is>
          <t>Beef, chuck, under blade center steak, boneless, Denver Cut, separable lean and fat, trimmed to 0" fat, all grades, cooked, grilled</t>
        </is>
      </c>
      <c r="C713" s="1" t="n">
        <v>0.21</v>
      </c>
      <c r="D713" s="1" t="n">
        <v>6</v>
      </c>
      <c r="E713" s="1" t="n">
        <v>3.26</v>
      </c>
      <c r="F713" s="1" t="n">
        <v>26.18</v>
      </c>
      <c r="G713" s="1" t="n">
        <v>13.54</v>
      </c>
      <c r="H713" s="1" t="n">
        <v>23</v>
      </c>
      <c r="I713" s="1" t="n">
        <v>9.85</v>
      </c>
      <c r="J713" t="n">
        <v>28110510</v>
      </c>
    </row>
    <row r="714" ht="15.75" customHeight="1" s="201">
      <c r="A714" s="1" t="inlineStr">
        <is>
          <t>Beef, chuck, under blade center steak, boneless, Denver Cut, separable lean and fat, trimmed to 0" fat, all grades, raw</t>
        </is>
      </c>
      <c r="C714" s="1" t="n">
        <v>0.36</v>
      </c>
      <c r="D714" s="1" t="n">
        <v>3</v>
      </c>
      <c r="E714" s="1" t="n">
        <v>2.38</v>
      </c>
      <c r="F714" s="1" t="n">
        <v>18.99</v>
      </c>
      <c r="G714" s="1" t="n">
        <v>11.64</v>
      </c>
      <c r="H714" s="1" t="n">
        <v>13</v>
      </c>
      <c r="I714" s="1" t="n">
        <v>7.4</v>
      </c>
      <c r="J714" t="n">
        <v>28110510</v>
      </c>
    </row>
    <row r="715" ht="15.75" customHeight="1" s="201">
      <c r="A715" s="1" t="inlineStr">
        <is>
          <t>Beef, chuck, under blade center steak, boneless, Denver Cut, separable lean and fat, trimmed to 0" fat, choice, cooked, grilled</t>
        </is>
      </c>
      <c r="C715" s="1" t="n">
        <v>0.4</v>
      </c>
      <c r="D715" s="1" t="n">
        <v>6</v>
      </c>
      <c r="E715" s="1" t="n">
        <v>3.27</v>
      </c>
      <c r="F715" s="1" t="n">
        <v>26.1</v>
      </c>
      <c r="G715" s="1" t="n">
        <v>14.41</v>
      </c>
      <c r="H715" s="1" t="n">
        <v>22</v>
      </c>
      <c r="I715" s="1" t="n">
        <v>9.66</v>
      </c>
      <c r="J715" t="n">
        <v>28110510</v>
      </c>
    </row>
    <row r="716" ht="15.75" customHeight="1" s="201">
      <c r="A716" s="1" t="inlineStr">
        <is>
          <t>Beef, chuck, under blade center steak, boneless, Denver Cut, separable lean and fat, trimmed to 0" fat, choice, raw</t>
        </is>
      </c>
      <c r="C716" s="1" t="n">
        <v>0.53</v>
      </c>
      <c r="D716" s="1" t="n">
        <v>3</v>
      </c>
      <c r="E716" s="1" t="n">
        <v>2.37</v>
      </c>
      <c r="F716" s="1" t="n">
        <v>18.85</v>
      </c>
      <c r="G716" s="1" t="n">
        <v>12.4</v>
      </c>
      <c r="H716" s="1" t="n">
        <v>13</v>
      </c>
      <c r="I716" s="1" t="n">
        <v>7.32</v>
      </c>
      <c r="J716" t="n">
        <v>28110510</v>
      </c>
    </row>
    <row r="717" ht="15.75" customHeight="1" s="201">
      <c r="A717" s="1" t="inlineStr">
        <is>
          <t>Beef, chuck, under blade center steak, boneless, Denver Cut, separable lean and fat, trimmed to 0" fat, select, cooked, grilled</t>
        </is>
      </c>
      <c r="C717" s="1" t="n">
        <v>0</v>
      </c>
      <c r="D717" s="1" t="n">
        <v>6</v>
      </c>
      <c r="E717" s="1" t="n">
        <v>3.31</v>
      </c>
      <c r="F717" s="1" t="n">
        <v>26.3</v>
      </c>
      <c r="G717" s="1" t="n">
        <v>12.25</v>
      </c>
      <c r="H717" s="1" t="n">
        <v>23</v>
      </c>
      <c r="I717" s="1" t="n">
        <v>10.19</v>
      </c>
      <c r="J717" t="n">
        <v>28110510</v>
      </c>
    </row>
    <row r="718" ht="15.75" customHeight="1" s="201">
      <c r="A718" s="1" t="inlineStr">
        <is>
          <t>Beef, chuck, under blade center steak, boneless, Denver Cut, separable lean and fat, trimmed to 0" fat, select, raw</t>
        </is>
      </c>
      <c r="C718" s="1" t="n">
        <v>0.09</v>
      </c>
      <c r="D718" s="1" t="n">
        <v>3</v>
      </c>
      <c r="E718" s="1" t="n">
        <v>2.38</v>
      </c>
      <c r="F718" s="1" t="n">
        <v>19.2</v>
      </c>
      <c r="G718" s="1" t="n">
        <v>10.5</v>
      </c>
      <c r="H718" s="1" t="n">
        <v>13</v>
      </c>
      <c r="I718" s="1" t="n">
        <v>7.51</v>
      </c>
      <c r="J718" t="n">
        <v>28110510</v>
      </c>
    </row>
    <row r="719" ht="15.75" customHeight="1" s="201">
      <c r="A719" s="1" t="inlineStr">
        <is>
          <t>Beef, chuck, under blade center steak, boneless, Denver Cut, separable lean only, trimmed to 0" fat, all grades, cooked, grilled</t>
        </is>
      </c>
      <c r="C719" s="1" t="n">
        <v>0.14</v>
      </c>
      <c r="D719" s="1" t="n">
        <v>6</v>
      </c>
      <c r="E719" s="1" t="n">
        <v>3.31</v>
      </c>
      <c r="F719" s="1" t="n">
        <v>26.5</v>
      </c>
      <c r="G719" s="1" t="n">
        <v>12.64</v>
      </c>
      <c r="H719" s="1" t="n">
        <v>5</v>
      </c>
      <c r="I719" s="1" t="n">
        <v>10.05</v>
      </c>
    </row>
    <row r="720" ht="15.75" customHeight="1" s="201">
      <c r="A720" s="1" t="inlineStr">
        <is>
          <t>Beef, chuck, under blade center steak, boneless, Denver Cut, separable lean only, trimmed to 0" fat, all grades, raw</t>
        </is>
      </c>
      <c r="C720" s="1" t="n">
        <v>0.49</v>
      </c>
      <c r="D720" s="1" t="n">
        <v>3</v>
      </c>
      <c r="E720" s="1" t="n">
        <v>2.42</v>
      </c>
      <c r="F720" s="1" t="n">
        <v>19.42</v>
      </c>
      <c r="G720" s="1" t="n">
        <v>9.99</v>
      </c>
      <c r="H720" s="1" t="n">
        <v>7</v>
      </c>
      <c r="I720" s="1" t="n">
        <v>7.58</v>
      </c>
      <c r="J720" t="n">
        <v>28110510</v>
      </c>
    </row>
    <row r="721" ht="15.75" customHeight="1" s="201">
      <c r="A721" s="1" t="inlineStr">
        <is>
          <t>Beef, chuck, under blade center steak, boneless, Denver Cut, separable lean only, trimmed to 0" fat, choice, cooked, grilled</t>
        </is>
      </c>
      <c r="C721" s="1" t="n">
        <v>0.28</v>
      </c>
      <c r="D721" s="1" t="n">
        <v>6</v>
      </c>
      <c r="E721" s="1" t="n">
        <v>3.32</v>
      </c>
      <c r="F721" s="1" t="n">
        <v>26.49</v>
      </c>
      <c r="G721" s="1" t="n">
        <v>13.42</v>
      </c>
      <c r="H721" s="1" t="n">
        <v>5</v>
      </c>
      <c r="I721" s="1" t="n">
        <v>9.85</v>
      </c>
    </row>
    <row r="722" ht="15.75" customHeight="1" s="201">
      <c r="A722" s="1" t="inlineStr">
        <is>
          <t>Beef, chuck, under blade center steak, boneless, Denver Cut, separable lean only, trimmed to 0" fat, choice, raw</t>
        </is>
      </c>
      <c r="C722" s="1" t="n">
        <v>0.67</v>
      </c>
      <c r="D722" s="1" t="n">
        <v>3</v>
      </c>
      <c r="E722" s="1" t="n">
        <v>2.4</v>
      </c>
      <c r="F722" s="1" t="n">
        <v>19.23</v>
      </c>
      <c r="G722" s="1" t="n">
        <v>10.96</v>
      </c>
      <c r="H722" s="1" t="n">
        <v>7</v>
      </c>
      <c r="I722" s="1" t="n">
        <v>7.47</v>
      </c>
      <c r="J722" t="n">
        <v>28110510</v>
      </c>
    </row>
    <row r="723" ht="15.75" customHeight="1" s="201">
      <c r="A723" s="1" t="inlineStr">
        <is>
          <t>Beef, chuck, under blade center steak, boneless, Denver Cut, separable lean only, trimmed to 0" fat, select, cooked, grilled</t>
        </is>
      </c>
      <c r="C723" s="1" t="n">
        <v>0</v>
      </c>
      <c r="D723" s="1" t="n">
        <v>6</v>
      </c>
      <c r="E723" s="1" t="n">
        <v>3.37</v>
      </c>
      <c r="F723" s="1" t="n">
        <v>26.53</v>
      </c>
      <c r="G723" s="1" t="n">
        <v>11.46</v>
      </c>
      <c r="H723" s="1" t="n">
        <v>7</v>
      </c>
      <c r="I723" s="1" t="n">
        <v>10.4</v>
      </c>
    </row>
    <row r="724" ht="15.75" customHeight="1" s="201">
      <c r="A724" s="1" t="inlineStr">
        <is>
          <t>Beef, chuck, under blade center steak, boneless, Denver Cut, separable lean only, trimmed to 0" fat, select, raw</t>
        </is>
      </c>
      <c r="C724" s="1" t="n">
        <v>0.21</v>
      </c>
      <c r="D724" s="1" t="n">
        <v>3</v>
      </c>
      <c r="E724" s="1" t="n">
        <v>2.43</v>
      </c>
      <c r="F724" s="1" t="n">
        <v>19.71</v>
      </c>
      <c r="G724" s="1" t="n">
        <v>8.539999999999999</v>
      </c>
      <c r="H724" s="1" t="n">
        <v>8</v>
      </c>
      <c r="I724" s="1" t="n">
        <v>7.76</v>
      </c>
      <c r="J724" t="n">
        <v>28110510</v>
      </c>
    </row>
    <row r="725" ht="15.75" customHeight="1" s="201">
      <c r="A725" s="1" t="inlineStr">
        <is>
          <t>Beef, chuck, under blade pot roast or steak, boneless, separable lean and fat, trimmed to 0" fat, all grades, raw</t>
        </is>
      </c>
      <c r="C725" s="1" t="n">
        <v>0</v>
      </c>
      <c r="D725" s="1" t="n">
        <v>3</v>
      </c>
      <c r="E725" s="1" t="n">
        <v>2.19</v>
      </c>
      <c r="F725" s="1" t="n">
        <v>19.17</v>
      </c>
      <c r="G725" s="1" t="n">
        <v>13.26</v>
      </c>
      <c r="H725" s="1" t="n">
        <v>13</v>
      </c>
      <c r="I725" s="1" t="n">
        <v>6.99</v>
      </c>
      <c r="J725" t="n">
        <v>27513010</v>
      </c>
    </row>
    <row r="726" ht="15.75" customHeight="1" s="201">
      <c r="A726" s="1" t="inlineStr">
        <is>
          <t>Beef, chuck, under blade pot roast or steak, boneless, separable lean and fat, trimmed to 0" fat, choice, raw</t>
        </is>
      </c>
      <c r="C726" s="1" t="n">
        <v>0</v>
      </c>
      <c r="D726" s="1" t="n">
        <v>3</v>
      </c>
      <c r="E726" s="1" t="n">
        <v>2.13</v>
      </c>
      <c r="F726" s="1" t="n">
        <v>19.15</v>
      </c>
      <c r="G726" s="1" t="n">
        <v>13.93</v>
      </c>
      <c r="H726" s="1" t="n">
        <v>13</v>
      </c>
      <c r="I726" s="1" t="n">
        <v>6.99</v>
      </c>
      <c r="J726" t="n">
        <v>27513010</v>
      </c>
    </row>
    <row r="727" ht="15.75" customHeight="1" s="201">
      <c r="A727" s="1" t="inlineStr">
        <is>
          <t>Beef, chuck, under blade pot roast or steak, boneless, separable lean and fat, trimmed to 0" fat, select, raw</t>
        </is>
      </c>
      <c r="C727" s="1" t="n">
        <v>0</v>
      </c>
      <c r="D727" s="1" t="n">
        <v>3</v>
      </c>
      <c r="E727" s="1" t="n">
        <v>2.27</v>
      </c>
      <c r="F727" s="1" t="n">
        <v>19.2</v>
      </c>
      <c r="G727" s="1" t="n">
        <v>12.27</v>
      </c>
      <c r="H727" s="1" t="n">
        <v>14</v>
      </c>
      <c r="I727" s="1" t="n">
        <v>6.98</v>
      </c>
      <c r="J727" t="n">
        <v>27513010</v>
      </c>
    </row>
    <row r="728" ht="15.75" customHeight="1" s="201">
      <c r="A728" s="1" t="inlineStr">
        <is>
          <t>Beef, chuck, under blade pot roast or steak, boneless, separable lean only, trimmed to 0" fat, all grades, raw</t>
        </is>
      </c>
      <c r="C728" s="1" t="n">
        <v>0.31</v>
      </c>
      <c r="D728" s="1" t="n">
        <v>3</v>
      </c>
      <c r="E728" s="1" t="n">
        <v>2.34</v>
      </c>
      <c r="F728" s="1" t="n">
        <v>21.13</v>
      </c>
      <c r="G728" s="1" t="n">
        <v>6.07</v>
      </c>
      <c r="H728" s="1" t="n">
        <v>7</v>
      </c>
      <c r="I728" s="1" t="n">
        <v>7.79</v>
      </c>
      <c r="J728" t="n">
        <v>27513010</v>
      </c>
    </row>
    <row r="729" ht="15.75" customHeight="1" s="201">
      <c r="A729" s="1" t="inlineStr">
        <is>
          <t>Beef, chuck, under blade pot roast or steak, boneless, separable lean only, trimmed to 0" fat, choice, raw</t>
        </is>
      </c>
      <c r="C729" s="1" t="n">
        <v>0.39</v>
      </c>
      <c r="D729" s="1" t="n">
        <v>4</v>
      </c>
      <c r="E729" s="1" t="n">
        <v>2.27</v>
      </c>
      <c r="F729" s="1" t="n">
        <v>21.19</v>
      </c>
      <c r="G729" s="1" t="n">
        <v>6.51</v>
      </c>
      <c r="H729" s="1" t="n">
        <v>6</v>
      </c>
      <c r="I729" s="1" t="n">
        <v>7.82</v>
      </c>
      <c r="J729" t="n">
        <v>27513010</v>
      </c>
    </row>
    <row r="730" ht="15.75" customHeight="1" s="201">
      <c r="A730" s="1" t="inlineStr">
        <is>
          <t>Beef, chuck, under blade pot roast or steak, boneless, separable lean only, trimmed to 0" fat, select, raw</t>
        </is>
      </c>
      <c r="C730" s="1" t="n">
        <v>0.19</v>
      </c>
      <c r="D730" s="1" t="n">
        <v>3</v>
      </c>
      <c r="E730" s="1" t="n">
        <v>2.43</v>
      </c>
      <c r="F730" s="1" t="n">
        <v>21.03</v>
      </c>
      <c r="G730" s="1" t="n">
        <v>5.41</v>
      </c>
      <c r="H730" s="1" t="n">
        <v>7</v>
      </c>
      <c r="I730" s="1" t="n">
        <v>7.74</v>
      </c>
      <c r="J730" t="n">
        <v>27513010</v>
      </c>
    </row>
    <row r="731" ht="15.75" customHeight="1" s="201">
      <c r="A731" s="1" t="inlineStr">
        <is>
          <t>Beef, chuck, under blade pot roast, boneless, separable lean and fat, trimmed to 0" fat, all grades, cooked, braised</t>
        </is>
      </c>
      <c r="C731" s="1" t="n">
        <v>0</v>
      </c>
      <c r="D731" s="1" t="n">
        <v>6</v>
      </c>
      <c r="E731" s="1" t="n">
        <v>2.68</v>
      </c>
      <c r="F731" s="1" t="n">
        <v>26.7</v>
      </c>
      <c r="G731" s="1" t="n">
        <v>20.49</v>
      </c>
      <c r="H731" s="1" t="n">
        <v>26</v>
      </c>
      <c r="I731" s="1" t="n">
        <v>9.140000000000001</v>
      </c>
      <c r="J731" t="n">
        <v>27513010</v>
      </c>
    </row>
    <row r="732" ht="15.75" customHeight="1" s="201">
      <c r="A732" s="1" t="inlineStr">
        <is>
          <t>Beef, chuck, under blade pot roast, boneless, separable lean and fat, trimmed to 0" fat, choice, cooked, braised</t>
        </is>
      </c>
      <c r="C732" s="1" t="n">
        <v>0</v>
      </c>
      <c r="E732" s="1" t="n">
        <v>2.68</v>
      </c>
      <c r="F732" s="1" t="n">
        <v>26.39</v>
      </c>
      <c r="G732" s="1" t="n">
        <v>21.48</v>
      </c>
      <c r="H732" s="1" t="n">
        <v>26</v>
      </c>
      <c r="I732" s="1" t="n">
        <v>9.050000000000001</v>
      </c>
      <c r="J732" t="n">
        <v>27513010</v>
      </c>
    </row>
    <row r="733" ht="15.75" customHeight="1" s="201">
      <c r="A733" s="1" t="inlineStr">
        <is>
          <t>Beef, chuck, under blade pot roast, boneless, separable lean and fat, trimmed to 0" fat, select, cooked, braised</t>
        </is>
      </c>
      <c r="C733" s="1" t="n">
        <v>0</v>
      </c>
      <c r="D733" s="1" t="n">
        <v>7</v>
      </c>
      <c r="E733" s="1" t="n">
        <v>2.67</v>
      </c>
      <c r="F733" s="1" t="n">
        <v>27.17</v>
      </c>
      <c r="G733" s="1" t="n">
        <v>19.02</v>
      </c>
      <c r="H733" s="1" t="n">
        <v>28</v>
      </c>
      <c r="I733" s="1" t="n">
        <v>9.279999999999999</v>
      </c>
      <c r="J733" t="n">
        <v>27513010</v>
      </c>
    </row>
    <row r="734" ht="15.75" customHeight="1" s="201">
      <c r="A734" s="1" t="inlineStr">
        <is>
          <t>Beef, chuck, under blade pot roast, boneless, separable lean only, trimmed to 0" fat, all grades, cooked, braised</t>
        </is>
      </c>
      <c r="C734" s="1" t="n">
        <v>0</v>
      </c>
      <c r="D734" s="1" t="n">
        <v>8</v>
      </c>
      <c r="E734" s="1" t="n">
        <v>3.19</v>
      </c>
      <c r="F734" s="1" t="n">
        <v>30.54</v>
      </c>
      <c r="G734" s="1" t="n">
        <v>10.46</v>
      </c>
      <c r="H734" s="1" t="n">
        <v>6</v>
      </c>
      <c r="I734" s="1" t="n">
        <v>11.32</v>
      </c>
      <c r="J734" t="n">
        <v>27513010</v>
      </c>
    </row>
    <row r="735" ht="15.75" customHeight="1" s="201">
      <c r="A735" s="1" t="inlineStr">
        <is>
          <t>Beef, chuck, under blade pot roast, boneless, separable lean only, trimmed to 0" fat, choice, cooked, braised</t>
        </is>
      </c>
      <c r="C735" s="1" t="n">
        <v>0</v>
      </c>
      <c r="D735" s="1" t="n">
        <v>7</v>
      </c>
      <c r="E735" s="1" t="n">
        <v>3.2</v>
      </c>
      <c r="F735" s="1" t="n">
        <v>30.45</v>
      </c>
      <c r="G735" s="1" t="n">
        <v>11.14</v>
      </c>
      <c r="H735" s="1" t="n">
        <v>5</v>
      </c>
      <c r="I735" s="1" t="n">
        <v>11.21</v>
      </c>
      <c r="J735" t="n">
        <v>27513010</v>
      </c>
    </row>
    <row r="736" ht="15.75" customHeight="1" s="201">
      <c r="A736" s="1" t="inlineStr">
        <is>
          <t>Beef, chuck, under blade pot roast, boneless, separable lean only, trimmed to 0" fat, select, cooked, braised</t>
        </is>
      </c>
      <c r="C736" s="1" t="n">
        <v>0</v>
      </c>
      <c r="D736" s="1" t="n">
        <v>7</v>
      </c>
      <c r="E736" s="1" t="n">
        <v>3.18</v>
      </c>
      <c r="F736" s="1" t="n">
        <v>30.68</v>
      </c>
      <c r="G736" s="1" t="n">
        <v>9.44</v>
      </c>
      <c r="H736" s="1" t="n">
        <v>8</v>
      </c>
      <c r="I736" s="1" t="n">
        <v>11.49</v>
      </c>
      <c r="J736" t="n">
        <v>27513010</v>
      </c>
    </row>
    <row r="737" ht="15.75" customHeight="1" s="201">
      <c r="A737" s="1" t="inlineStr">
        <is>
          <t>Beef, chuck, under blade steak, boneless, separable lean and fat, trimmed to 0" fat, all grades, cooked, braised</t>
        </is>
      </c>
      <c r="C737" s="1" t="n">
        <v>0</v>
      </c>
      <c r="D737" s="1" t="n">
        <v>7</v>
      </c>
      <c r="E737" s="1" t="n">
        <v>2.8</v>
      </c>
      <c r="F737" s="1" t="n">
        <v>28.23</v>
      </c>
      <c r="G737" s="1" t="n">
        <v>18</v>
      </c>
      <c r="H737" s="1" t="n">
        <v>26</v>
      </c>
      <c r="I737" s="1" t="n">
        <v>9.550000000000001</v>
      </c>
      <c r="J737" t="n">
        <v>28110510</v>
      </c>
    </row>
    <row r="738" ht="15.75" customHeight="1" s="201">
      <c r="A738" s="1" t="inlineStr">
        <is>
          <t>Beef, chuck, under blade steak, boneless, separable lean and fat, trimmed to 0" fat, choice, cooked, braised</t>
        </is>
      </c>
      <c r="C738" s="1" t="n">
        <v>0</v>
      </c>
      <c r="D738" s="1" t="n">
        <v>7</v>
      </c>
      <c r="E738" s="1" t="n">
        <v>2.82</v>
      </c>
      <c r="F738" s="1" t="n">
        <v>27.6</v>
      </c>
      <c r="G738" s="1" t="n">
        <v>19.3</v>
      </c>
      <c r="H738" s="1" t="n">
        <v>25</v>
      </c>
      <c r="I738" s="1" t="n">
        <v>9.52</v>
      </c>
      <c r="J738" t="n">
        <v>28110510</v>
      </c>
    </row>
    <row r="739" ht="15.75" customHeight="1" s="201">
      <c r="A739" s="1" t="inlineStr">
        <is>
          <t>Beef, chuck, under blade steak, boneless, separable lean and fat, trimmed to 0" fat, select, cooked, braised</t>
        </is>
      </c>
      <c r="C739" s="1" t="n">
        <v>0</v>
      </c>
      <c r="D739" s="1" t="n">
        <v>7</v>
      </c>
      <c r="E739" s="1" t="n">
        <v>2.76</v>
      </c>
      <c r="F739" s="1" t="n">
        <v>29.18</v>
      </c>
      <c r="G739" s="1" t="n">
        <v>16.05</v>
      </c>
      <c r="H739" s="1" t="n">
        <v>26</v>
      </c>
      <c r="I739" s="1" t="n">
        <v>9.59</v>
      </c>
      <c r="J739" t="n">
        <v>28110510</v>
      </c>
    </row>
    <row r="740" ht="15.75" customHeight="1" s="201">
      <c r="A740" s="1" t="inlineStr">
        <is>
          <t>Beef, chuck, under blade steak, boneless, separable lean only, trimmed to 0" fat, all grades, cooked, braised</t>
        </is>
      </c>
      <c r="C740" s="1" t="n">
        <v>0</v>
      </c>
      <c r="D740" s="1" t="n">
        <v>8</v>
      </c>
      <c r="E740" s="1" t="n">
        <v>3.21</v>
      </c>
      <c r="F740" s="1" t="n">
        <v>31.35</v>
      </c>
      <c r="G740" s="1" t="n">
        <v>10.41</v>
      </c>
      <c r="H740" s="1" t="n">
        <v>6</v>
      </c>
      <c r="I740" s="1" t="n">
        <v>11.38</v>
      </c>
      <c r="J740" t="n">
        <v>28110510</v>
      </c>
    </row>
    <row r="741" ht="15.75" customHeight="1" s="201">
      <c r="A741" s="1" t="inlineStr">
        <is>
          <t>Beef, chuck, under blade steak, boneless, separable lean only, trimmed to 0" fat, choice, cooked, braised</t>
        </is>
      </c>
      <c r="C741" s="1" t="n">
        <v>0</v>
      </c>
      <c r="D741" s="1" t="n">
        <v>8</v>
      </c>
      <c r="E741" s="1" t="n">
        <v>3.25</v>
      </c>
      <c r="F741" s="1" t="n">
        <v>30.91</v>
      </c>
      <c r="G741" s="1" t="n">
        <v>10.91</v>
      </c>
      <c r="H741" s="1" t="n">
        <v>5</v>
      </c>
      <c r="I741" s="1" t="n">
        <v>11.39</v>
      </c>
      <c r="J741" t="n">
        <v>28110510</v>
      </c>
    </row>
    <row r="742" ht="15.75" customHeight="1" s="201">
      <c r="A742" s="1" t="inlineStr">
        <is>
          <t>Beef, chuck, under blade steak, boneless, separable lean only, trimmed to 0" fat, select, cooked, braised</t>
        </is>
      </c>
      <c r="C742" s="1" t="n">
        <v>0</v>
      </c>
      <c r="D742" s="1" t="n">
        <v>8</v>
      </c>
      <c r="E742" s="1" t="n">
        <v>3.15</v>
      </c>
      <c r="F742" s="1" t="n">
        <v>32.01</v>
      </c>
      <c r="G742" s="1" t="n">
        <v>9.66</v>
      </c>
      <c r="H742" s="1" t="n">
        <v>8</v>
      </c>
      <c r="I742" s="1" t="n">
        <v>11.37</v>
      </c>
      <c r="J742" t="n">
        <v>28110510</v>
      </c>
    </row>
    <row r="743" ht="15.75" customHeight="1" s="201">
      <c r="A743" s="1" t="inlineStr">
        <is>
          <t>Beef, composite of trimmed retail cuts, separable lean and fat, trimmed to 0" fat, all grades, cooked</t>
        </is>
      </c>
      <c r="C743" s="1" t="n">
        <v>0</v>
      </c>
      <c r="D743" s="1" t="n">
        <v>7</v>
      </c>
      <c r="E743" s="1" t="n">
        <v>2.82</v>
      </c>
      <c r="F743" s="1" t="n">
        <v>28.4</v>
      </c>
      <c r="G743" s="1" t="n">
        <v>12.42</v>
      </c>
      <c r="H743" s="1" t="n">
        <v>14</v>
      </c>
      <c r="I743" s="1" t="n">
        <v>6.34</v>
      </c>
      <c r="J743" t="n">
        <v>28110510</v>
      </c>
    </row>
    <row r="744" ht="15.75" customHeight="1" s="201">
      <c r="A744" s="1" t="inlineStr">
        <is>
          <t>Beef, composite of trimmed retail cuts, separable lean and fat, trimmed to 0" fat, all grades, raw</t>
        </is>
      </c>
      <c r="C744" s="1" t="n">
        <v>0</v>
      </c>
      <c r="D744" s="1" t="n">
        <v>5</v>
      </c>
      <c r="E744" s="1" t="n">
        <v>2.04</v>
      </c>
      <c r="F744" s="1" t="n">
        <v>20.95</v>
      </c>
      <c r="G744" s="1" t="n">
        <v>9.300000000000001</v>
      </c>
      <c r="H744" s="1" t="n">
        <v>9</v>
      </c>
      <c r="I744" s="1" t="n">
        <v>4.74</v>
      </c>
      <c r="J744" t="n">
        <v>28110510</v>
      </c>
    </row>
    <row r="745" ht="15.75" customHeight="1" s="201">
      <c r="A745" s="1" t="inlineStr">
        <is>
          <t>Beef, composite of trimmed retail cuts, separable lean and fat, trimmed to 0" fat, choice, cooked</t>
        </is>
      </c>
      <c r="C745" s="1" t="n">
        <v>0</v>
      </c>
      <c r="D745" s="1" t="n">
        <v>7</v>
      </c>
      <c r="E745" s="1" t="n">
        <v>2.79</v>
      </c>
      <c r="F745" s="1" t="n">
        <v>28.17</v>
      </c>
      <c r="G745" s="1" t="n">
        <v>12.53</v>
      </c>
      <c r="H745" s="1" t="n">
        <v>14</v>
      </c>
      <c r="I745" s="1" t="n">
        <v>6.27</v>
      </c>
      <c r="J745" t="n">
        <v>28110510</v>
      </c>
    </row>
    <row r="746" ht="15.75" customHeight="1" s="201">
      <c r="A746" s="1" t="inlineStr">
        <is>
          <t>Beef, composite of trimmed retail cuts, separable lean and fat, trimmed to 0" fat, choice, raw</t>
        </is>
      </c>
      <c r="C746" s="1" t="n">
        <v>0</v>
      </c>
      <c r="D746" s="1" t="n">
        <v>4</v>
      </c>
      <c r="E746" s="1" t="n">
        <v>2.07</v>
      </c>
      <c r="F746" s="1" t="n">
        <v>21.34</v>
      </c>
      <c r="G746" s="1" t="n">
        <v>10.08</v>
      </c>
      <c r="H746" s="1" t="n">
        <v>9</v>
      </c>
      <c r="I746" s="1" t="n">
        <v>4.82</v>
      </c>
      <c r="J746" t="n">
        <v>28110510</v>
      </c>
    </row>
    <row r="747" ht="15.75" customHeight="1" s="201">
      <c r="A747" s="1" t="inlineStr">
        <is>
          <t>Beef, composite of trimmed retail cuts, separable lean and fat, trimmed to 0" fat, select, cooked</t>
        </is>
      </c>
      <c r="C747" s="1" t="n">
        <v>0</v>
      </c>
      <c r="D747" s="1" t="n">
        <v>7</v>
      </c>
      <c r="E747" s="1" t="n">
        <v>2.69</v>
      </c>
      <c r="F747" s="1" t="n">
        <v>28.61</v>
      </c>
      <c r="G747" s="1" t="n">
        <v>9.18</v>
      </c>
      <c r="H747" s="1" t="n">
        <v>13</v>
      </c>
      <c r="I747" s="1" t="n">
        <v>6</v>
      </c>
      <c r="J747" t="n">
        <v>28110510</v>
      </c>
    </row>
    <row r="748" ht="15.75" customHeight="1" s="201">
      <c r="A748" s="1" t="inlineStr">
        <is>
          <t>Beef, composite of trimmed retail cuts, separable lean and fat, trimmed to 0" fat, select, raw</t>
        </is>
      </c>
      <c r="C748" s="1" t="n">
        <v>0</v>
      </c>
      <c r="D748" s="1" t="n">
        <v>5</v>
      </c>
      <c r="E748" s="1" t="n">
        <v>2.06</v>
      </c>
      <c r="F748" s="1" t="n">
        <v>21.2</v>
      </c>
      <c r="G748" s="1" t="n">
        <v>8</v>
      </c>
      <c r="H748" s="1" t="n">
        <v>9</v>
      </c>
      <c r="I748" s="1" t="n">
        <v>4.76</v>
      </c>
      <c r="J748" t="n">
        <v>28110510</v>
      </c>
    </row>
    <row r="749" ht="15.75" customHeight="1" s="201">
      <c r="A749" s="1" t="inlineStr">
        <is>
          <t>Beef, composite of trimmed retail cuts, separable lean and fat, trimmed to 1/8" fat, all grades, cooked</t>
        </is>
      </c>
      <c r="C749" s="1" t="n">
        <v>0</v>
      </c>
      <c r="D749" s="1" t="n">
        <v>7</v>
      </c>
      <c r="E749" s="1" t="n">
        <v>2.2</v>
      </c>
      <c r="F749" s="1" t="n">
        <v>26.11</v>
      </c>
      <c r="G749" s="1" t="n">
        <v>16.59</v>
      </c>
      <c r="H749" s="1" t="n">
        <v>11</v>
      </c>
      <c r="I749" s="1" t="n">
        <v>5.1</v>
      </c>
      <c r="J749" t="n">
        <v>28110510</v>
      </c>
    </row>
    <row r="750" ht="15.75" customHeight="1" s="201">
      <c r="A750" s="1" t="inlineStr">
        <is>
          <t>Beef, composite of trimmed retail cuts, separable lean and fat, trimmed to 1/8" fat, all grades, raw</t>
        </is>
      </c>
      <c r="C750" s="1" t="n">
        <v>0</v>
      </c>
      <c r="D750" s="1" t="n">
        <v>8</v>
      </c>
      <c r="E750" s="1" t="n">
        <v>1.69</v>
      </c>
      <c r="F750" s="1" t="n">
        <v>20.01</v>
      </c>
      <c r="G750" s="1" t="n">
        <v>14.42</v>
      </c>
      <c r="H750" s="1" t="n">
        <v>7</v>
      </c>
      <c r="I750" s="1" t="n">
        <v>3.99</v>
      </c>
      <c r="J750" t="n">
        <v>28110510</v>
      </c>
    </row>
    <row r="751" ht="15.75" customHeight="1" s="201">
      <c r="A751" s="1" t="inlineStr">
        <is>
          <t>Beef, composite of trimmed retail cuts, separable lean and fat, trimmed to 1/8" fat, choice, cooked</t>
        </is>
      </c>
      <c r="C751" s="1" t="n">
        <v>0</v>
      </c>
      <c r="D751" s="1" t="n">
        <v>7</v>
      </c>
      <c r="E751" s="1" t="n">
        <v>2.24</v>
      </c>
      <c r="F751" s="1" t="n">
        <v>25.85</v>
      </c>
      <c r="G751" s="1" t="n">
        <v>17.68</v>
      </c>
      <c r="H751" s="1" t="n">
        <v>11</v>
      </c>
      <c r="I751" s="1" t="n">
        <v>5.06</v>
      </c>
      <c r="J751" t="n">
        <v>28110510</v>
      </c>
    </row>
    <row r="752" ht="15.75" customHeight="1" s="201">
      <c r="A752" s="1" t="inlineStr">
        <is>
          <t>Beef, composite of trimmed retail cuts, separable lean and fat, trimmed to 1/8" fat, choice, raw</t>
        </is>
      </c>
      <c r="C752" s="1" t="n">
        <v>0</v>
      </c>
      <c r="D752" s="1" t="n">
        <v>8</v>
      </c>
      <c r="E752" s="1" t="n">
        <v>1.73</v>
      </c>
      <c r="F752" s="1" t="n">
        <v>19.79</v>
      </c>
      <c r="G752" s="1" t="n">
        <v>15.42</v>
      </c>
      <c r="H752" s="1" t="n">
        <v>6</v>
      </c>
      <c r="I752" s="1" t="n">
        <v>3.97</v>
      </c>
      <c r="J752" t="n">
        <v>28110510</v>
      </c>
    </row>
    <row r="753" ht="15.75" customHeight="1" s="201">
      <c r="A753" s="1" t="inlineStr">
        <is>
          <t>Beef, composite of trimmed retail cuts, separable lean and fat, trimmed to 1/8" fat, select, cooked</t>
        </is>
      </c>
      <c r="C753" s="1" t="n">
        <v>0</v>
      </c>
      <c r="D753" s="1" t="n">
        <v>7</v>
      </c>
      <c r="E753" s="1" t="n">
        <v>2.11</v>
      </c>
      <c r="F753" s="1" t="n">
        <v>26.06</v>
      </c>
      <c r="G753" s="1" t="n">
        <v>15.09</v>
      </c>
      <c r="H753" s="1" t="n">
        <v>10</v>
      </c>
      <c r="I753" s="1" t="n">
        <v>4.89</v>
      </c>
      <c r="J753" t="n">
        <v>28110510</v>
      </c>
    </row>
    <row r="754" ht="15.75" customHeight="1" s="201">
      <c r="A754" s="1" t="inlineStr">
        <is>
          <t>Beef, composite of trimmed retail cuts, separable lean and fat, trimmed to 1/8" fat, select, raw</t>
        </is>
      </c>
      <c r="C754" s="1" t="n">
        <v>0</v>
      </c>
      <c r="D754" s="1" t="n">
        <v>7</v>
      </c>
      <c r="E754" s="1" t="n">
        <v>1.52</v>
      </c>
      <c r="F754" s="1" t="n">
        <v>19.06</v>
      </c>
      <c r="G754" s="1" t="n">
        <v>12.4</v>
      </c>
      <c r="H754" s="1" t="n">
        <v>6</v>
      </c>
      <c r="I754" s="1" t="n">
        <v>3.84</v>
      </c>
      <c r="J754" t="n">
        <v>28110510</v>
      </c>
    </row>
    <row r="755" ht="15.75" customHeight="1" s="201">
      <c r="A755" s="1" t="inlineStr">
        <is>
          <t>Beef, composite of trimmed retail cuts, separable lean only, trimmed to 0" fat, all grades, cooked</t>
        </is>
      </c>
      <c r="C755" s="1" t="n">
        <v>0</v>
      </c>
      <c r="D755" s="1" t="n">
        <v>7</v>
      </c>
      <c r="E755" s="1" t="n">
        <v>2.98</v>
      </c>
      <c r="F755" s="1" t="n">
        <v>29.9</v>
      </c>
      <c r="G755" s="1" t="n">
        <v>8.369999999999999</v>
      </c>
      <c r="H755" s="1" t="n">
        <v>5</v>
      </c>
      <c r="I755" s="1" t="n">
        <v>6.91</v>
      </c>
      <c r="J755" t="n">
        <v>28110510</v>
      </c>
    </row>
    <row r="756" ht="15.75" customHeight="1" s="201">
      <c r="A756" s="1" t="inlineStr">
        <is>
          <t>Beef, composite of trimmed retail cuts, separable lean only, trimmed to 0" fat, choice, cooked</t>
        </is>
      </c>
      <c r="C756" s="1" t="n">
        <v>0</v>
      </c>
      <c r="D756" s="1" t="n">
        <v>7</v>
      </c>
      <c r="E756" s="1" t="n">
        <v>2.98</v>
      </c>
      <c r="F756" s="1" t="n">
        <v>29.51</v>
      </c>
      <c r="G756" s="1" t="n">
        <v>8.869999999999999</v>
      </c>
      <c r="H756" s="1" t="n">
        <v>4</v>
      </c>
      <c r="I756" s="1" t="n">
        <v>6.85</v>
      </c>
      <c r="J756" t="n">
        <v>28110510</v>
      </c>
    </row>
    <row r="757" ht="15.75" customHeight="1" s="201">
      <c r="A757" s="1" t="inlineStr">
        <is>
          <t>Beef, composite of trimmed retail cuts, separable lean only, trimmed to 0" fat, choice, raw</t>
        </is>
      </c>
      <c r="C757" s="1" t="n">
        <v>0</v>
      </c>
      <c r="D757" s="1" t="n">
        <v>5</v>
      </c>
      <c r="E757" s="1" t="n">
        <v>2.16</v>
      </c>
      <c r="F757" s="1" t="n">
        <v>21.55</v>
      </c>
      <c r="G757" s="1" t="n">
        <v>7.24</v>
      </c>
      <c r="H757" s="1" t="n">
        <v>5</v>
      </c>
      <c r="I757" s="1" t="n">
        <v>5.36</v>
      </c>
      <c r="J757" t="n">
        <v>28110510</v>
      </c>
    </row>
    <row r="758" ht="15.75" customHeight="1" s="201">
      <c r="A758" s="1" t="inlineStr">
        <is>
          <t>Beef, composite of trimmed retail cuts, separable lean only, trimmed to 0" fat, select, cooked</t>
        </is>
      </c>
      <c r="C758" s="1" t="n">
        <v>0</v>
      </c>
      <c r="D758" s="1" t="n">
        <v>7</v>
      </c>
      <c r="E758" s="1" t="n">
        <v>2.88</v>
      </c>
      <c r="F758" s="1" t="n">
        <v>29.88</v>
      </c>
      <c r="G758" s="1" t="n">
        <v>7.12</v>
      </c>
      <c r="H758" s="1" t="n">
        <v>6</v>
      </c>
      <c r="I758" s="1" t="n">
        <v>6.83</v>
      </c>
      <c r="J758" t="n">
        <v>28110510</v>
      </c>
    </row>
    <row r="759" ht="15.75" customHeight="1" s="201">
      <c r="A759" s="1" t="inlineStr">
        <is>
          <t>Beef, composite of trimmed retail cuts, separable lean only, trimmed to 0" fat, select, raw</t>
        </is>
      </c>
      <c r="C759" s="1" t="n">
        <v>0</v>
      </c>
      <c r="D759" s="1" t="n">
        <v>5</v>
      </c>
      <c r="E759" s="1" t="n">
        <v>2.14</v>
      </c>
      <c r="F759" s="1" t="n">
        <v>22.03</v>
      </c>
      <c r="G759" s="1" t="n">
        <v>4.99</v>
      </c>
      <c r="H759" s="1" t="n">
        <v>6</v>
      </c>
      <c r="I759" s="1" t="n">
        <v>5.08</v>
      </c>
      <c r="J759" t="n">
        <v>28110510</v>
      </c>
    </row>
    <row r="760" ht="15.75" customHeight="1" s="201">
      <c r="A760" s="1" t="inlineStr">
        <is>
          <t>Beef, composite of trimmed retail cuts, separable lean only, trimmed to 1/8" fat, all grades, cooked</t>
        </is>
      </c>
      <c r="E760" s="1" t="n">
        <v>2.4</v>
      </c>
      <c r="J760" t="n">
        <v>28110510</v>
      </c>
    </row>
    <row r="761" ht="15.75" customHeight="1" s="201">
      <c r="A761" s="1" t="inlineStr">
        <is>
          <t>Beef, composite of trimmed retail cuts, separable lean only, trimmed to 1/8" fat, all grades, raw</t>
        </is>
      </c>
      <c r="C761" s="1" t="n">
        <v>0</v>
      </c>
      <c r="D761" s="1" t="n">
        <v>9</v>
      </c>
      <c r="E761" s="1" t="n">
        <v>1.84</v>
      </c>
      <c r="F761" s="1" t="n">
        <v>22.15</v>
      </c>
      <c r="G761" s="1" t="n">
        <v>5.38</v>
      </c>
      <c r="H761" s="1" t="n">
        <v>3</v>
      </c>
      <c r="I761" s="1" t="n">
        <v>4.59</v>
      </c>
      <c r="J761" t="n">
        <v>28110510</v>
      </c>
    </row>
    <row r="762" ht="15.75" customHeight="1" s="201">
      <c r="A762" s="1" t="inlineStr">
        <is>
          <t>Beef, composite of trimmed retail cuts, separable lean only, trimmed to 1/8" fat, choice, raw</t>
        </is>
      </c>
      <c r="C762" s="1" t="n">
        <v>0</v>
      </c>
      <c r="D762" s="1" t="n">
        <v>9</v>
      </c>
      <c r="E762" s="1" t="n">
        <v>1.91</v>
      </c>
      <c r="F762" s="1" t="n">
        <v>22.01</v>
      </c>
      <c r="G762" s="1" t="n">
        <v>6.05</v>
      </c>
      <c r="H762" s="1" t="n">
        <v>2</v>
      </c>
      <c r="I762" s="1" t="n">
        <v>4.59</v>
      </c>
      <c r="J762" t="n">
        <v>28110510</v>
      </c>
    </row>
    <row r="763" ht="15.75" customHeight="1" s="201">
      <c r="A763" s="1" t="inlineStr">
        <is>
          <t>Beef, composite of trimmed retail cuts, separable lean only, trimmed to 1/8" fat, select, cooked</t>
        </is>
      </c>
      <c r="C763" s="1" t="n">
        <v>0</v>
      </c>
      <c r="D763" s="1" t="n">
        <v>8</v>
      </c>
      <c r="E763" s="1" t="n">
        <v>2.17</v>
      </c>
      <c r="F763" s="1" t="n">
        <v>27.51</v>
      </c>
      <c r="G763" s="1" t="n">
        <v>6.37</v>
      </c>
      <c r="H763" s="1" t="n">
        <v>3</v>
      </c>
      <c r="I763" s="1" t="n">
        <v>5.5</v>
      </c>
      <c r="J763" t="n">
        <v>28110510</v>
      </c>
    </row>
    <row r="764" ht="15.75" customHeight="1" s="201">
      <c r="A764" s="1" t="inlineStr">
        <is>
          <t>Beef, composite of trimmed retail cuts, separable lean only, trimmed to 1/8" fat, select, raw</t>
        </is>
      </c>
      <c r="C764" s="1" t="n">
        <v>0</v>
      </c>
      <c r="D764" s="1" t="n">
        <v>9</v>
      </c>
      <c r="E764" s="1" t="n">
        <v>1.81</v>
      </c>
      <c r="F764" s="1" t="n">
        <v>22.37</v>
      </c>
      <c r="G764" s="1" t="n">
        <v>4.55</v>
      </c>
      <c r="H764" s="1" t="n">
        <v>4</v>
      </c>
      <c r="I764" s="1" t="n">
        <v>4.67</v>
      </c>
      <c r="J764" t="n">
        <v>28110510</v>
      </c>
    </row>
    <row r="765" ht="15.75" customHeight="1" s="201">
      <c r="A765" s="1" t="inlineStr">
        <is>
          <t>Beef, corned beef hash, with potato, canned</t>
        </is>
      </c>
      <c r="C765" s="1" t="n">
        <v>9.27</v>
      </c>
      <c r="D765" s="1" t="n">
        <v>7</v>
      </c>
      <c r="E765" s="1" t="n">
        <v>1</v>
      </c>
      <c r="F765" s="1" t="n">
        <v>8.73</v>
      </c>
      <c r="G765" s="1" t="n">
        <v>10.24</v>
      </c>
      <c r="H765" s="1" t="n">
        <v>0</v>
      </c>
      <c r="I765" s="1" t="n">
        <v>1.4</v>
      </c>
      <c r="J765" t="n">
        <v>28110510</v>
      </c>
    </row>
    <row r="766" ht="15.75" customHeight="1" s="201">
      <c r="A766" s="1" t="inlineStr">
        <is>
          <t>Beef, cured, breakfast strips, cooked</t>
        </is>
      </c>
      <c r="C766" s="1" t="n">
        <v>1.4</v>
      </c>
      <c r="D766" s="1" t="n">
        <v>8</v>
      </c>
      <c r="E766" s="1" t="n">
        <v>3.14</v>
      </c>
      <c r="F766" s="1" t="n">
        <v>31.3</v>
      </c>
      <c r="G766" s="1" t="n">
        <v>34.4</v>
      </c>
      <c r="H766" s="1" t="n">
        <v>0</v>
      </c>
      <c r="I766" s="1" t="n">
        <v>6.37</v>
      </c>
      <c r="J766" t="n">
        <v>28110510</v>
      </c>
    </row>
    <row r="767" ht="15.75" customHeight="1" s="201">
      <c r="A767" s="1" t="inlineStr">
        <is>
          <t>Beef, cured, breakfast strips, raw or unheated</t>
        </is>
      </c>
      <c r="C767" s="1" t="n">
        <v>0.7</v>
      </c>
      <c r="D767" s="1" t="n">
        <v>5</v>
      </c>
      <c r="E767" s="1" t="n">
        <v>1.23</v>
      </c>
      <c r="F767" s="1" t="n">
        <v>12.5</v>
      </c>
      <c r="G767" s="1" t="n">
        <v>38.8</v>
      </c>
      <c r="H767" s="1" t="n">
        <v>0</v>
      </c>
      <c r="I767" s="1" t="n">
        <v>2.39</v>
      </c>
      <c r="J767" t="n">
        <v>28110510</v>
      </c>
    </row>
    <row r="768" ht="15.75" customHeight="1" s="201">
      <c r="A768" s="1" t="inlineStr">
        <is>
          <t>Beef, cured, corned beef, brisket, cooked</t>
        </is>
      </c>
      <c r="C768" s="1" t="n">
        <v>0.47</v>
      </c>
      <c r="D768" s="1" t="n">
        <v>6</v>
      </c>
      <c r="E768" s="1" t="n">
        <v>1.86</v>
      </c>
      <c r="F768" s="1" t="n">
        <v>18.17</v>
      </c>
      <c r="G768" s="1" t="n">
        <v>18.98</v>
      </c>
      <c r="H768" s="1" t="n">
        <v>0</v>
      </c>
      <c r="I768" s="1" t="n">
        <v>4.58</v>
      </c>
      <c r="J768" t="n">
        <v>28110510</v>
      </c>
    </row>
    <row r="769" ht="15.75" customHeight="1" s="201">
      <c r="A769" s="1" t="inlineStr">
        <is>
          <t>Beef, cured, corned beef, brisket, raw</t>
        </is>
      </c>
      <c r="C769" s="1" t="n">
        <v>0.14</v>
      </c>
      <c r="D769" s="1" t="n">
        <v>5</v>
      </c>
      <c r="E769" s="1" t="n">
        <v>1.69</v>
      </c>
      <c r="F769" s="1" t="n">
        <v>14.68</v>
      </c>
      <c r="G769" s="1" t="n">
        <v>14.9</v>
      </c>
      <c r="H769" s="1" t="n">
        <v>0</v>
      </c>
      <c r="I769" s="1" t="n">
        <v>2.85</v>
      </c>
      <c r="J769" t="n">
        <v>28110510</v>
      </c>
    </row>
    <row r="770" ht="15.75" customHeight="1" s="201">
      <c r="A770" s="1" t="inlineStr">
        <is>
          <t>Beef, cured, corned beef, canned</t>
        </is>
      </c>
      <c r="C770" s="1" t="n">
        <v>0</v>
      </c>
      <c r="D770" s="1" t="n">
        <v>9</v>
      </c>
      <c r="E770" s="1" t="n">
        <v>2.08</v>
      </c>
      <c r="F770" s="1" t="n">
        <v>27.1</v>
      </c>
      <c r="G770" s="1" t="n">
        <v>14.93</v>
      </c>
      <c r="H770" s="1" t="n">
        <v>0</v>
      </c>
      <c r="I770" s="1" t="n">
        <v>3.57</v>
      </c>
      <c r="J770" t="n">
        <v>28110510</v>
      </c>
    </row>
    <row r="771" ht="15.75" customHeight="1" s="201">
      <c r="A771" s="1" t="inlineStr">
        <is>
          <t>Beef, cured, dried</t>
        </is>
      </c>
      <c r="C771" s="1" t="n">
        <v>2.76</v>
      </c>
      <c r="D771" s="1" t="n">
        <v>10</v>
      </c>
      <c r="E771" s="1" t="n">
        <v>2.42</v>
      </c>
      <c r="F771" s="1" t="n">
        <v>31.1</v>
      </c>
      <c r="G771" s="1" t="n">
        <v>1.94</v>
      </c>
      <c r="H771" s="1" t="n">
        <v>0</v>
      </c>
      <c r="I771" s="1" t="n">
        <v>4.93</v>
      </c>
      <c r="J771" t="n">
        <v>28110510</v>
      </c>
    </row>
    <row r="772" ht="15.75" customHeight="1" s="201">
      <c r="A772" s="1" t="inlineStr">
        <is>
          <t>Beef, cured, luncheon meat, jellied</t>
        </is>
      </c>
      <c r="C772" s="1" t="n">
        <v>0</v>
      </c>
      <c r="D772" s="1" t="n">
        <v>7</v>
      </c>
      <c r="E772" s="1" t="n">
        <v>3.45</v>
      </c>
      <c r="F772" s="1" t="n">
        <v>19</v>
      </c>
      <c r="G772" s="1" t="n">
        <v>3.3</v>
      </c>
      <c r="H772" s="1" t="n">
        <v>0</v>
      </c>
      <c r="I772" s="1" t="n">
        <v>3.55</v>
      </c>
      <c r="J772" t="n">
        <v>28110510</v>
      </c>
    </row>
    <row r="773" ht="15.75" customHeight="1" s="201">
      <c r="A773" s="1" t="inlineStr">
        <is>
          <t>Beef, cured, pastrami</t>
        </is>
      </c>
      <c r="C773" s="1" t="n">
        <v>0.36</v>
      </c>
      <c r="D773" s="1" t="n">
        <v>6</v>
      </c>
      <c r="E773" s="1" t="n">
        <v>2.22</v>
      </c>
      <c r="F773" s="1" t="n">
        <v>21.8</v>
      </c>
      <c r="G773" s="1" t="n">
        <v>5.82</v>
      </c>
      <c r="H773" s="1" t="n">
        <v>42</v>
      </c>
      <c r="I773" s="1" t="n">
        <v>4.98</v>
      </c>
      <c r="J773" t="n">
        <v>28110510</v>
      </c>
    </row>
    <row r="774" ht="15.75" customHeight="1" s="201">
      <c r="A774" s="1" t="inlineStr">
        <is>
          <t>Beef, flank, steak, separable lean and fat, trimmed to 0" fat, all grades, cooked, broiled</t>
        </is>
      </c>
      <c r="C774" s="1" t="n">
        <v>0</v>
      </c>
      <c r="D774" s="1" t="n">
        <v>9</v>
      </c>
      <c r="E774" s="1" t="n">
        <v>1.74</v>
      </c>
      <c r="F774" s="1" t="n">
        <v>27.66</v>
      </c>
      <c r="G774" s="1" t="n">
        <v>8.23</v>
      </c>
      <c r="H774" s="1" t="n">
        <v>0</v>
      </c>
      <c r="I774" s="1" t="n">
        <v>4.9</v>
      </c>
      <c r="J774" t="n">
        <v>28110510</v>
      </c>
    </row>
    <row r="775" ht="15.75" customHeight="1" s="201">
      <c r="A775" s="1" t="inlineStr">
        <is>
          <t>Beef, flank, steak, separable lean and fat, trimmed to 0" fat, all grades, raw</t>
        </is>
      </c>
      <c r="C775" s="1" t="n">
        <v>0</v>
      </c>
      <c r="D775" s="1" t="n">
        <v>11</v>
      </c>
      <c r="E775" s="1" t="n">
        <v>1.55</v>
      </c>
      <c r="F775" s="1" t="n">
        <v>21.22</v>
      </c>
      <c r="G775" s="1" t="n">
        <v>7.17</v>
      </c>
      <c r="H775" s="1" t="n">
        <v>0</v>
      </c>
      <c r="I775" s="1" t="n">
        <v>3.7</v>
      </c>
      <c r="J775" t="n">
        <v>28110510</v>
      </c>
    </row>
    <row r="776" ht="15.75" customHeight="1" s="201">
      <c r="A776" s="1" t="inlineStr">
        <is>
          <t>Beef, flank, steak, separable lean and fat, trimmed to 0" fat, choice, cooked, braised</t>
        </is>
      </c>
      <c r="C776" s="1" t="n">
        <v>0</v>
      </c>
      <c r="D776" s="1" t="n">
        <v>9</v>
      </c>
      <c r="E776" s="1" t="n">
        <v>3.33</v>
      </c>
      <c r="F776" s="1" t="n">
        <v>26.98</v>
      </c>
      <c r="G776" s="1" t="n">
        <v>16.44</v>
      </c>
      <c r="H776" s="1" t="n">
        <v>0</v>
      </c>
      <c r="I776" s="1" t="n">
        <v>5.77</v>
      </c>
      <c r="J776" t="n">
        <v>28110510</v>
      </c>
    </row>
    <row r="777" ht="15.75" customHeight="1" s="201">
      <c r="A777" s="1" t="inlineStr">
        <is>
          <t>Beef, flank, steak, separable lean and fat, trimmed to 0" fat, choice, cooked, broiled</t>
        </is>
      </c>
      <c r="C777" s="1" t="n">
        <v>0</v>
      </c>
      <c r="D777" s="1" t="n">
        <v>9</v>
      </c>
      <c r="E777" s="1" t="n">
        <v>1.8</v>
      </c>
      <c r="F777" s="1" t="n">
        <v>27.55</v>
      </c>
      <c r="G777" s="1" t="n">
        <v>9.31</v>
      </c>
      <c r="H777" s="1" t="n">
        <v>0</v>
      </c>
      <c r="I777" s="1" t="n">
        <v>4.79</v>
      </c>
      <c r="J777" t="n">
        <v>28110510</v>
      </c>
    </row>
    <row r="778" ht="15.75" customHeight="1" s="201">
      <c r="A778" s="1" t="inlineStr">
        <is>
          <t>Beef, flank, steak, separable lean and fat, trimmed to 0" fat, choice, raw</t>
        </is>
      </c>
      <c r="C778" s="1" t="n">
        <v>0</v>
      </c>
      <c r="D778" s="1" t="n">
        <v>12</v>
      </c>
      <c r="E778" s="1" t="n">
        <v>1.55</v>
      </c>
      <c r="F778" s="1" t="n">
        <v>21.22</v>
      </c>
      <c r="G778" s="1" t="n">
        <v>8.289999999999999</v>
      </c>
      <c r="H778" s="1" t="n">
        <v>0</v>
      </c>
      <c r="I778" s="1" t="n">
        <v>3.81</v>
      </c>
      <c r="J778" t="n">
        <v>28110510</v>
      </c>
    </row>
    <row r="779" ht="15.75" customHeight="1" s="201">
      <c r="A779" s="1" t="inlineStr">
        <is>
          <t>Beef, flank, steak, separable lean and fat, trimmed to 0" fat, select, cooked, broiled</t>
        </is>
      </c>
      <c r="C779" s="1" t="n">
        <v>0</v>
      </c>
      <c r="D779" s="1" t="n">
        <v>9</v>
      </c>
      <c r="E779" s="1" t="n">
        <v>1.68</v>
      </c>
      <c r="F779" s="1" t="n">
        <v>27.78</v>
      </c>
      <c r="G779" s="1" t="n">
        <v>7.15</v>
      </c>
      <c r="H779" s="1" t="n">
        <v>0</v>
      </c>
      <c r="I779" s="1" t="n">
        <v>5.01</v>
      </c>
      <c r="J779" t="n">
        <v>28110510</v>
      </c>
    </row>
    <row r="780" ht="15.75" customHeight="1" s="201">
      <c r="A780" s="1" t="inlineStr">
        <is>
          <t>Beef, flank, steak, separable lean and fat, trimmed to 0" fat, select, raw</t>
        </is>
      </c>
      <c r="C780" s="1" t="n">
        <v>0</v>
      </c>
      <c r="D780" s="1" t="n">
        <v>11</v>
      </c>
      <c r="E780" s="1" t="n">
        <v>1.54</v>
      </c>
      <c r="F780" s="1" t="n">
        <v>21.22</v>
      </c>
      <c r="G780" s="1" t="n">
        <v>6.06</v>
      </c>
      <c r="H780" s="1" t="n">
        <v>0</v>
      </c>
      <c r="I780" s="1" t="n">
        <v>3.6</v>
      </c>
      <c r="J780" t="n">
        <v>28110510</v>
      </c>
    </row>
    <row r="781" ht="15.75" customHeight="1" s="201">
      <c r="A781" s="1" t="inlineStr">
        <is>
          <t>Beef, flank, steak, separable lean only, trimmed to 0" fat, choice, cooked, braised</t>
        </is>
      </c>
      <c r="C781" s="1" t="n">
        <v>0</v>
      </c>
      <c r="D781" s="1" t="n">
        <v>9</v>
      </c>
      <c r="E781" s="1" t="n">
        <v>3.47</v>
      </c>
      <c r="F781" s="1" t="n">
        <v>28.02</v>
      </c>
      <c r="G781" s="1" t="n">
        <v>13</v>
      </c>
      <c r="H781" s="1" t="n">
        <v>0</v>
      </c>
      <c r="I781" s="1" t="n">
        <v>6.05</v>
      </c>
      <c r="J781" t="n">
        <v>28110510</v>
      </c>
    </row>
    <row r="782" ht="15.75" customHeight="1" s="201">
      <c r="A782" s="1" t="inlineStr">
        <is>
          <t>Beef, flank, steak, separable lean only, trimmed to 0" fat, choice, cooked, broiled</t>
        </is>
      </c>
      <c r="C782" s="1" t="n">
        <v>0</v>
      </c>
      <c r="D782" s="1" t="n">
        <v>9</v>
      </c>
      <c r="E782" s="1" t="n">
        <v>1.84</v>
      </c>
      <c r="F782" s="1" t="n">
        <v>27.82</v>
      </c>
      <c r="G782" s="1" t="n">
        <v>8.32</v>
      </c>
      <c r="H782" s="1" t="n">
        <v>0</v>
      </c>
      <c r="I782" s="1" t="n">
        <v>5.11</v>
      </c>
      <c r="J782" t="n">
        <v>28110510</v>
      </c>
    </row>
    <row r="783" ht="15.75" customHeight="1" s="201">
      <c r="A783" s="1" t="inlineStr">
        <is>
          <t>Beef, flank, steak, separable lean only, trimmed to 0" fat, choice, raw</t>
        </is>
      </c>
      <c r="C783" s="1" t="n">
        <v>0</v>
      </c>
      <c r="D783" s="1" t="n">
        <v>13</v>
      </c>
      <c r="E783" s="1" t="n">
        <v>1.62</v>
      </c>
      <c r="F783" s="1" t="n">
        <v>21.72</v>
      </c>
      <c r="G783" s="1" t="n">
        <v>6.29</v>
      </c>
      <c r="H783" s="1" t="n">
        <v>0</v>
      </c>
      <c r="I783" s="1" t="n">
        <v>4.12</v>
      </c>
      <c r="J783" t="n">
        <v>28110510</v>
      </c>
    </row>
    <row r="784" ht="15.75" customHeight="1" s="201">
      <c r="A784" s="1" t="inlineStr">
        <is>
          <t>Beef, grass-fed, ground, raw</t>
        </is>
      </c>
      <c r="C784" s="1" t="n">
        <v>0</v>
      </c>
      <c r="D784" s="1" t="n">
        <v>6</v>
      </c>
      <c r="E784" s="1" t="n">
        <v>1.99</v>
      </c>
      <c r="F784" s="1" t="n">
        <v>19.42</v>
      </c>
      <c r="G784" s="1" t="n">
        <v>12.73</v>
      </c>
      <c r="H784" s="1" t="n">
        <v>0</v>
      </c>
      <c r="I784" s="1" t="n">
        <v>4.55</v>
      </c>
      <c r="J784" t="n">
        <v>28110510</v>
      </c>
    </row>
    <row r="785" ht="15.75" customHeight="1" s="201">
      <c r="A785" s="1" t="inlineStr">
        <is>
          <t>Beef, grass-fed, strip steaks, lean only, raw</t>
        </is>
      </c>
      <c r="C785" s="1" t="n">
        <v>0</v>
      </c>
      <c r="D785" s="1" t="n">
        <v>13</v>
      </c>
      <c r="E785" s="1" t="n">
        <v>1.85</v>
      </c>
      <c r="F785" s="1" t="n">
        <v>23.07</v>
      </c>
      <c r="G785" s="1" t="n">
        <v>2.69</v>
      </c>
      <c r="H785" s="1" t="n">
        <v>0</v>
      </c>
      <c r="I785" s="1" t="n">
        <v>3.61</v>
      </c>
      <c r="J785" t="n">
        <v>28110510</v>
      </c>
    </row>
    <row r="786" ht="15.75" customHeight="1" s="201">
      <c r="A786" s="1" t="inlineStr">
        <is>
          <t>Beef, ground, 70% lean meat / 30% fat, crumbles, cooked, pan-browned</t>
        </is>
      </c>
      <c r="C786" s="1" t="n">
        <v>0</v>
      </c>
      <c r="D786" s="1" t="n">
        <v>13</v>
      </c>
      <c r="E786" s="1" t="n">
        <v>2.48</v>
      </c>
      <c r="F786" s="1" t="n">
        <v>25.56</v>
      </c>
      <c r="G786" s="1" t="n">
        <v>17.86</v>
      </c>
      <c r="H786" s="1" t="n">
        <v>9</v>
      </c>
      <c r="I786" s="1" t="n">
        <v>5.95</v>
      </c>
      <c r="J786" t="n">
        <v>28110510</v>
      </c>
    </row>
    <row r="787" ht="15.75" customHeight="1" s="201">
      <c r="A787" s="1" t="inlineStr">
        <is>
          <t>Beef, ground, 70% lean meat / 30% fat, loaf, cooked, baked</t>
        </is>
      </c>
      <c r="C787" s="1" t="n">
        <v>0</v>
      </c>
      <c r="D787" s="1" t="n">
        <v>7</v>
      </c>
      <c r="E787" s="1" t="n">
        <v>2.27</v>
      </c>
      <c r="F787" s="1" t="n">
        <v>23.87</v>
      </c>
      <c r="G787" s="1" t="n">
        <v>15.37</v>
      </c>
      <c r="H787" s="1" t="n">
        <v>9</v>
      </c>
      <c r="I787" s="1" t="n">
        <v>5.84</v>
      </c>
      <c r="J787" t="n">
        <v>27214100</v>
      </c>
    </row>
    <row r="788" ht="15.75" customHeight="1" s="201">
      <c r="A788" s="1" t="inlineStr">
        <is>
          <t>Beef, ground, 70% lean meat / 30% fat, patty cooked, pan-broiled</t>
        </is>
      </c>
      <c r="C788" s="1" t="n">
        <v>0</v>
      </c>
      <c r="D788" s="1" t="n">
        <v>10</v>
      </c>
      <c r="E788" s="1" t="n">
        <v>2.41</v>
      </c>
      <c r="F788" s="1" t="n">
        <v>22.86</v>
      </c>
      <c r="G788" s="1" t="n">
        <v>15.54</v>
      </c>
      <c r="H788" s="1" t="n">
        <v>10</v>
      </c>
      <c r="I788" s="1" t="n">
        <v>5.82</v>
      </c>
      <c r="J788" t="n">
        <v>28110510</v>
      </c>
    </row>
    <row r="789" ht="15.75" customHeight="1" s="201">
      <c r="A789" s="1" t="inlineStr">
        <is>
          <t>Beef, ground, 70% lean meat / 30% fat, patty, cooked, broiled</t>
        </is>
      </c>
      <c r="C789" s="1" t="n">
        <v>0</v>
      </c>
      <c r="D789" s="1" t="n">
        <v>11</v>
      </c>
      <c r="E789" s="1" t="n">
        <v>2.25</v>
      </c>
      <c r="F789" s="1" t="n">
        <v>25.38</v>
      </c>
      <c r="G789" s="1" t="n">
        <v>18.66</v>
      </c>
      <c r="H789" s="1" t="n">
        <v>9</v>
      </c>
      <c r="I789" s="1" t="n">
        <v>6.14</v>
      </c>
      <c r="J789" t="n">
        <v>28110510</v>
      </c>
    </row>
    <row r="790" ht="15.75" customHeight="1" s="201">
      <c r="A790" s="1" t="inlineStr">
        <is>
          <t>Beef, ground, 70% lean meat / 30% fat, raw</t>
        </is>
      </c>
      <c r="C790" s="1" t="n">
        <v>0</v>
      </c>
      <c r="D790" s="1" t="n">
        <v>9</v>
      </c>
      <c r="E790" s="1" t="n">
        <v>1.64</v>
      </c>
      <c r="F790" s="1" t="n">
        <v>14.35</v>
      </c>
      <c r="G790" s="1" t="n">
        <v>30</v>
      </c>
      <c r="H790" s="1" t="n">
        <v>14</v>
      </c>
      <c r="I790" s="1" t="n">
        <v>3.57</v>
      </c>
      <c r="J790" t="n">
        <v>28110510</v>
      </c>
    </row>
    <row r="791" ht="15.75" customHeight="1" s="201">
      <c r="A791" s="1" t="inlineStr">
        <is>
          <t>Beef, ground, 75% lean meat / 25% fat, crumbles, cooked, pan-browned</t>
        </is>
      </c>
      <c r="C791" s="1" t="n">
        <v>0</v>
      </c>
      <c r="D791" s="1" t="n">
        <v>12</v>
      </c>
      <c r="E791" s="1" t="n">
        <v>2.63</v>
      </c>
      <c r="F791" s="1" t="n">
        <v>26.28</v>
      </c>
      <c r="G791" s="1" t="n">
        <v>18.21</v>
      </c>
      <c r="H791" s="1" t="n">
        <v>9</v>
      </c>
      <c r="I791" s="1" t="n">
        <v>6.17</v>
      </c>
      <c r="J791" t="n">
        <v>28110510</v>
      </c>
    </row>
    <row r="792" ht="15.75" customHeight="1" s="201">
      <c r="A792" s="1" t="inlineStr">
        <is>
          <t>Beef, ground, 75% lean meat / 25% fat, loaf, cooked, baked</t>
        </is>
      </c>
      <c r="C792" s="1" t="n">
        <v>0</v>
      </c>
      <c r="D792" s="1" t="n">
        <v>7</v>
      </c>
      <c r="E792" s="1" t="n">
        <v>2.43</v>
      </c>
      <c r="F792" s="1" t="n">
        <v>24.56</v>
      </c>
      <c r="G792" s="1" t="n">
        <v>16.5</v>
      </c>
      <c r="H792" s="1" t="n">
        <v>9</v>
      </c>
      <c r="I792" s="1" t="n">
        <v>6.04</v>
      </c>
      <c r="J792" t="n">
        <v>27214100</v>
      </c>
    </row>
    <row r="793" ht="15.75" customHeight="1" s="201">
      <c r="A793" s="1" t="inlineStr">
        <is>
          <t>Beef, ground, 75% lean meat / 25% fat, patty, cooked, broiled</t>
        </is>
      </c>
      <c r="C793" s="1" t="n">
        <v>0</v>
      </c>
      <c r="D793" s="1" t="n">
        <v>11</v>
      </c>
      <c r="E793" s="1" t="n">
        <v>2.37</v>
      </c>
      <c r="F793" s="1" t="n">
        <v>25.56</v>
      </c>
      <c r="G793" s="1" t="n">
        <v>18.87</v>
      </c>
      <c r="H793" s="1" t="n">
        <v>9</v>
      </c>
      <c r="I793" s="1" t="n">
        <v>6.19</v>
      </c>
      <c r="J793" t="n">
        <v>28110510</v>
      </c>
    </row>
    <row r="794" ht="15.75" customHeight="1" s="201">
      <c r="A794" s="1" t="inlineStr">
        <is>
          <t>Beef, ground, 75% lean meat / 25% fat, patty, cooked, pan-broiled</t>
        </is>
      </c>
      <c r="C794" s="1" t="n">
        <v>0</v>
      </c>
      <c r="D794" s="1" t="n">
        <v>10</v>
      </c>
      <c r="E794" s="1" t="n">
        <v>2.5</v>
      </c>
      <c r="F794" s="1" t="n">
        <v>23.45</v>
      </c>
      <c r="G794" s="1" t="n">
        <v>16.44</v>
      </c>
      <c r="H794" s="1" t="n">
        <v>10</v>
      </c>
      <c r="I794" s="1" t="n">
        <v>5.95</v>
      </c>
      <c r="J794" t="n">
        <v>28110510</v>
      </c>
    </row>
    <row r="795" ht="15.75" customHeight="1" s="201">
      <c r="A795" s="1" t="inlineStr">
        <is>
          <t>Beef, ground, 75% lean meat / 25% fat, raw</t>
        </is>
      </c>
      <c r="C795" s="1" t="n">
        <v>0</v>
      </c>
      <c r="D795" s="1" t="n">
        <v>8</v>
      </c>
      <c r="E795" s="1" t="n">
        <v>1.79</v>
      </c>
      <c r="F795" s="1" t="n">
        <v>15.76</v>
      </c>
      <c r="G795" s="1" t="n">
        <v>25</v>
      </c>
      <c r="H795" s="1" t="n">
        <v>14</v>
      </c>
      <c r="I795" s="1" t="n">
        <v>3.87</v>
      </c>
      <c r="J795" t="n">
        <v>28110510</v>
      </c>
    </row>
    <row r="796" ht="15.75" customHeight="1" s="201">
      <c r="A796" s="1" t="inlineStr">
        <is>
          <t>Beef, ground, 80% lean meat / 20% fat, crumbles, cooked, pan-browned</t>
        </is>
      </c>
      <c r="C796" s="1" t="n">
        <v>0</v>
      </c>
      <c r="D796" s="1" t="n">
        <v>11</v>
      </c>
      <c r="E796" s="1" t="n">
        <v>2.78</v>
      </c>
      <c r="F796" s="1" t="n">
        <v>27</v>
      </c>
      <c r="G796" s="1" t="n">
        <v>17.36</v>
      </c>
      <c r="H796" s="1" t="n">
        <v>9</v>
      </c>
      <c r="I796" s="1" t="n">
        <v>6.4</v>
      </c>
      <c r="J796" t="n">
        <v>28110510</v>
      </c>
    </row>
    <row r="797" ht="15.75" customHeight="1" s="201">
      <c r="A797" s="1" t="inlineStr">
        <is>
          <t>Beef, ground, 80% lean meat / 20% fat, loaf, cooked, baked</t>
        </is>
      </c>
      <c r="C797" s="1" t="n">
        <v>0</v>
      </c>
      <c r="D797" s="1" t="n">
        <v>7</v>
      </c>
      <c r="E797" s="1" t="n">
        <v>2.58</v>
      </c>
      <c r="F797" s="1" t="n">
        <v>25.25</v>
      </c>
      <c r="G797" s="1" t="n">
        <v>16.17</v>
      </c>
      <c r="H797" s="1" t="n">
        <v>9</v>
      </c>
      <c r="I797" s="1" t="n">
        <v>6.24</v>
      </c>
      <c r="J797" t="n">
        <v>27214100</v>
      </c>
    </row>
    <row r="798" ht="15.75" customHeight="1" s="201">
      <c r="A798" s="1" t="inlineStr">
        <is>
          <t>Beef, ground, 80% lean meat / 20% fat, patty, cooked, broiled</t>
        </is>
      </c>
      <c r="C798" s="1" t="n">
        <v>0</v>
      </c>
      <c r="D798" s="1" t="n">
        <v>10</v>
      </c>
      <c r="E798" s="1" t="n">
        <v>2.48</v>
      </c>
      <c r="F798" s="1" t="n">
        <v>25.75</v>
      </c>
      <c r="G798" s="1" t="n">
        <v>17.78</v>
      </c>
      <c r="H798" s="1" t="n">
        <v>9</v>
      </c>
      <c r="I798" s="1" t="n">
        <v>6.25</v>
      </c>
      <c r="J798" t="n">
        <v>28110510</v>
      </c>
    </row>
    <row r="799" ht="15.75" customHeight="1" s="201">
      <c r="A799" s="1" t="inlineStr">
        <is>
          <t>Beef, ground, 80% lean meat / 20% fat, patty, cooked, pan-broiled</t>
        </is>
      </c>
      <c r="C799" s="1" t="n">
        <v>0</v>
      </c>
      <c r="D799" s="1" t="n">
        <v>9</v>
      </c>
      <c r="E799" s="1" t="n">
        <v>2.59</v>
      </c>
      <c r="F799" s="1" t="n">
        <v>24.04</v>
      </c>
      <c r="G799" s="1" t="n">
        <v>15.94</v>
      </c>
      <c r="H799" s="1" t="n">
        <v>10</v>
      </c>
      <c r="I799" s="1" t="n">
        <v>6.07</v>
      </c>
      <c r="J799" t="n">
        <v>28110510</v>
      </c>
    </row>
    <row r="800" ht="15.75" customHeight="1" s="201">
      <c r="A800" s="1" t="inlineStr">
        <is>
          <t>Beef, ground, 80% lean meat / 20% fat, raw</t>
        </is>
      </c>
      <c r="C800" s="1" t="n">
        <v>0</v>
      </c>
      <c r="D800" s="1" t="n">
        <v>7</v>
      </c>
      <c r="E800" s="1" t="n">
        <v>1.94</v>
      </c>
      <c r="F800" s="1" t="n">
        <v>17.17</v>
      </c>
      <c r="G800" s="1" t="n">
        <v>20</v>
      </c>
      <c r="H800" s="1" t="n">
        <v>14</v>
      </c>
      <c r="I800" s="1" t="n">
        <v>4.18</v>
      </c>
      <c r="J800" t="n">
        <v>28110510</v>
      </c>
    </row>
    <row r="801" ht="15.75" customHeight="1" s="201">
      <c r="A801" s="1" t="inlineStr">
        <is>
          <t>Beef, ground, 85% lean meat / 15% fat, crumbles, cooked, pan-browned</t>
        </is>
      </c>
      <c r="C801" s="1" t="n">
        <v>0</v>
      </c>
      <c r="D801" s="1" t="n">
        <v>10</v>
      </c>
      <c r="E801" s="1" t="n">
        <v>2.93</v>
      </c>
      <c r="F801" s="1" t="n">
        <v>27.73</v>
      </c>
      <c r="G801" s="1" t="n">
        <v>15.3</v>
      </c>
      <c r="H801" s="1" t="n">
        <v>9</v>
      </c>
      <c r="I801" s="1" t="n">
        <v>6.62</v>
      </c>
      <c r="J801" t="n">
        <v>28110510</v>
      </c>
    </row>
    <row r="802" ht="15.75" customHeight="1" s="201">
      <c r="A802" s="1" t="inlineStr">
        <is>
          <t>Beef, ground, 85% lean meat / 15% fat, loaf, cooked, baked</t>
        </is>
      </c>
      <c r="C802" s="1" t="n">
        <v>0</v>
      </c>
      <c r="D802" s="1" t="n">
        <v>6</v>
      </c>
      <c r="E802" s="1" t="n">
        <v>2.74</v>
      </c>
      <c r="F802" s="1" t="n">
        <v>25.93</v>
      </c>
      <c r="G802" s="1" t="n">
        <v>14.36</v>
      </c>
      <c r="H802" s="1" t="n">
        <v>9</v>
      </c>
      <c r="I802" s="1" t="n">
        <v>6.45</v>
      </c>
      <c r="J802" t="n">
        <v>27214100</v>
      </c>
    </row>
    <row r="803" ht="15.75" customHeight="1" s="201">
      <c r="A803" s="1" t="inlineStr">
        <is>
          <t>Beef, ground, 85% lean meat / 15% fat, patty, cooked, broiled</t>
        </is>
      </c>
      <c r="C803" s="1" t="n">
        <v>0</v>
      </c>
      <c r="D803" s="1" t="n">
        <v>9</v>
      </c>
      <c r="E803" s="1" t="n">
        <v>2.6</v>
      </c>
      <c r="F803" s="1" t="n">
        <v>25.93</v>
      </c>
      <c r="G803" s="1" t="n">
        <v>15.41</v>
      </c>
      <c r="H803" s="1" t="n">
        <v>9</v>
      </c>
      <c r="I803" s="1" t="n">
        <v>6.31</v>
      </c>
      <c r="J803" t="n">
        <v>28110510</v>
      </c>
    </row>
    <row r="804" ht="15.75" customHeight="1" s="201">
      <c r="A804" s="1" t="inlineStr">
        <is>
          <t>Beef, ground, 85% lean meat / 15% fat, patty, cooked, pan-broiled</t>
        </is>
      </c>
      <c r="C804" s="1" t="n">
        <v>0</v>
      </c>
      <c r="D804" s="1" t="n">
        <v>8</v>
      </c>
      <c r="E804" s="1" t="n">
        <v>2.68</v>
      </c>
      <c r="F804" s="1" t="n">
        <v>24.62</v>
      </c>
      <c r="G804" s="1" t="n">
        <v>14.02</v>
      </c>
      <c r="H804" s="1" t="n">
        <v>10</v>
      </c>
      <c r="I804" s="1" t="n">
        <v>6.2</v>
      </c>
      <c r="J804" t="n">
        <v>28110510</v>
      </c>
    </row>
    <row r="805" ht="15.75" customHeight="1" s="201">
      <c r="A805" s="1" t="inlineStr">
        <is>
          <t>Beef, ground, 85% lean meat / 15% fat, raw (Includes foods for USDA's Food Distribution Program)</t>
        </is>
      </c>
      <c r="C805" s="1" t="n">
        <v>0</v>
      </c>
      <c r="D805" s="1" t="n">
        <v>6</v>
      </c>
      <c r="E805" s="1" t="n">
        <v>2.09</v>
      </c>
      <c r="F805" s="1" t="n">
        <v>18.59</v>
      </c>
      <c r="G805" s="1" t="n">
        <v>15</v>
      </c>
      <c r="H805" s="1" t="n">
        <v>14</v>
      </c>
      <c r="I805" s="1" t="n">
        <v>4.48</v>
      </c>
      <c r="J805" t="n">
        <v>28110510</v>
      </c>
    </row>
    <row r="806" ht="15.75" customHeight="1" s="201">
      <c r="A806" s="1" t="inlineStr">
        <is>
          <t>Beef, ground, 90% lean meat / 10% fat, crumbles, cooked, pan-browned</t>
        </is>
      </c>
      <c r="C806" s="1" t="n">
        <v>0</v>
      </c>
      <c r="D806" s="1" t="n">
        <v>8</v>
      </c>
      <c r="E806" s="1" t="n">
        <v>3.08</v>
      </c>
      <c r="F806" s="1" t="n">
        <v>28.45</v>
      </c>
      <c r="G806" s="1" t="n">
        <v>12.04</v>
      </c>
      <c r="H806" s="1" t="n">
        <v>9</v>
      </c>
      <c r="I806" s="1" t="n">
        <v>6.84</v>
      </c>
      <c r="J806" t="n">
        <v>28110510</v>
      </c>
    </row>
    <row r="807" ht="15.75" customHeight="1" s="201">
      <c r="A807" s="1" t="inlineStr">
        <is>
          <t>Beef, ground, 90% lean meat / 10% fat, loaf, cooked, baked</t>
        </is>
      </c>
      <c r="C807" s="1" t="n">
        <v>0</v>
      </c>
      <c r="D807" s="1" t="n">
        <v>6</v>
      </c>
      <c r="E807" s="1" t="n">
        <v>2.89</v>
      </c>
      <c r="F807" s="1" t="n">
        <v>26.62</v>
      </c>
      <c r="G807" s="1" t="n">
        <v>11.1</v>
      </c>
      <c r="H807" s="1" t="n">
        <v>9</v>
      </c>
      <c r="I807" s="1" t="n">
        <v>6.65</v>
      </c>
      <c r="J807" t="n">
        <v>27214100</v>
      </c>
    </row>
    <row r="808" ht="15.75" customHeight="1" s="201">
      <c r="A808" s="1" t="inlineStr">
        <is>
          <t>Beef, ground, 90% lean meat / 10% fat, patty, cooked, broiled</t>
        </is>
      </c>
      <c r="C808" s="1" t="n">
        <v>0</v>
      </c>
      <c r="D808" s="1" t="n">
        <v>8</v>
      </c>
      <c r="E808" s="1" t="n">
        <v>2.71</v>
      </c>
      <c r="F808" s="1" t="n">
        <v>26.11</v>
      </c>
      <c r="G808" s="1" t="n">
        <v>11.75</v>
      </c>
      <c r="H808" s="1" t="n">
        <v>9</v>
      </c>
      <c r="I808" s="1" t="n">
        <v>6.37</v>
      </c>
      <c r="J808" t="n">
        <v>28110510</v>
      </c>
    </row>
    <row r="809" ht="15.75" customHeight="1" s="201">
      <c r="A809" s="1" t="inlineStr">
        <is>
          <t>Beef, ground, 90% lean meat / 10% fat, patty, cooked, pan-broiled</t>
        </is>
      </c>
      <c r="C809" s="1" t="n">
        <v>0</v>
      </c>
      <c r="D809" s="1" t="n">
        <v>8</v>
      </c>
      <c r="E809" s="1" t="n">
        <v>2.77</v>
      </c>
      <c r="F809" s="1" t="n">
        <v>25.21</v>
      </c>
      <c r="G809" s="1" t="n">
        <v>10.68</v>
      </c>
      <c r="H809" s="1" t="n">
        <v>10</v>
      </c>
      <c r="I809" s="1" t="n">
        <v>6.33</v>
      </c>
      <c r="J809" t="n">
        <v>28110510</v>
      </c>
    </row>
    <row r="810" ht="15.75" customHeight="1" s="201">
      <c r="A810" s="1" t="inlineStr">
        <is>
          <t>Beef, ground, 90% lean meat / 10% fat, raw</t>
        </is>
      </c>
      <c r="C810" s="1" t="n">
        <v>0</v>
      </c>
      <c r="D810" s="1" t="n">
        <v>6</v>
      </c>
      <c r="E810" s="1" t="n">
        <v>2.24</v>
      </c>
      <c r="F810" s="1" t="n">
        <v>20</v>
      </c>
      <c r="G810" s="1" t="n">
        <v>10</v>
      </c>
      <c r="H810" s="1" t="n">
        <v>14</v>
      </c>
      <c r="I810" s="1" t="n">
        <v>4.79</v>
      </c>
      <c r="J810" t="n">
        <v>28110510</v>
      </c>
    </row>
    <row r="811" ht="15.75" customHeight="1" s="201">
      <c r="A811" s="1" t="inlineStr">
        <is>
          <t>Beef, ground, 93% lean meat / 7% fat, crumbles, cooked, pan-browned</t>
        </is>
      </c>
      <c r="C811" s="1" t="n">
        <v>0</v>
      </c>
      <c r="D811" s="1" t="n">
        <v>8</v>
      </c>
      <c r="E811" s="1" t="n">
        <v>3.17</v>
      </c>
      <c r="F811" s="1" t="n">
        <v>28.88</v>
      </c>
      <c r="G811" s="1" t="n">
        <v>9.51</v>
      </c>
      <c r="H811" s="1" t="n">
        <v>9</v>
      </c>
      <c r="I811" s="1" t="n">
        <v>6.97</v>
      </c>
      <c r="J811" t="n">
        <v>28110510</v>
      </c>
    </row>
    <row r="812" ht="15.75" customHeight="1" s="201">
      <c r="A812" s="1" t="inlineStr">
        <is>
          <t>Beef, ground, 93% lean meat / 7% fat, loaf, cooked, baked</t>
        </is>
      </c>
      <c r="C812" s="1" t="n">
        <v>0</v>
      </c>
      <c r="D812" s="1" t="n">
        <v>6</v>
      </c>
      <c r="E812" s="1" t="n">
        <v>2.99</v>
      </c>
      <c r="F812" s="1" t="n">
        <v>27.03</v>
      </c>
      <c r="G812" s="1" t="n">
        <v>8.43</v>
      </c>
      <c r="H812" s="1" t="n">
        <v>9</v>
      </c>
      <c r="I812" s="1" t="n">
        <v>6.78</v>
      </c>
      <c r="J812" t="n">
        <v>27214100</v>
      </c>
    </row>
    <row r="813" ht="15.75" customHeight="1" s="201">
      <c r="A813" s="1" t="inlineStr">
        <is>
          <t>Beef, ground, 93% lean meat / 7% fat, patty, cooked, broiled</t>
        </is>
      </c>
      <c r="C813" s="1" t="n">
        <v>0</v>
      </c>
      <c r="D813" s="1" t="n">
        <v>7</v>
      </c>
      <c r="E813" s="1" t="n">
        <v>2.78</v>
      </c>
      <c r="F813" s="1" t="n">
        <v>26.22</v>
      </c>
      <c r="G813" s="1" t="n">
        <v>8.94</v>
      </c>
      <c r="H813" s="1" t="n">
        <v>9</v>
      </c>
      <c r="I813" s="1" t="n">
        <v>6.41</v>
      </c>
      <c r="J813" t="n">
        <v>28110510</v>
      </c>
    </row>
    <row r="814" ht="15.75" customHeight="1" s="201">
      <c r="A814" s="1" t="inlineStr">
        <is>
          <t>Beef, ground, 93% lean meat / 7% fat, raw</t>
        </is>
      </c>
      <c r="C814" s="1" t="n">
        <v>0</v>
      </c>
      <c r="D814" s="1" t="n">
        <v>5</v>
      </c>
      <c r="E814" s="1" t="n">
        <v>2.33</v>
      </c>
      <c r="F814" s="1" t="n">
        <v>20.85</v>
      </c>
      <c r="G814" s="1" t="n">
        <v>7</v>
      </c>
      <c r="H814" s="1" t="n">
        <v>14</v>
      </c>
      <c r="I814" s="1" t="n">
        <v>4.97</v>
      </c>
      <c r="J814" t="n">
        <v>28110510</v>
      </c>
    </row>
    <row r="815" ht="15.75" customHeight="1" s="201">
      <c r="A815" s="1" t="inlineStr">
        <is>
          <t>Beef, ground, 93% lean meat /7% fat, patty, cooked, pan-broiled</t>
        </is>
      </c>
      <c r="C815" s="1" t="n">
        <v>0.06</v>
      </c>
      <c r="D815" s="1" t="n">
        <v>7</v>
      </c>
      <c r="E815" s="1" t="n">
        <v>2.82</v>
      </c>
      <c r="F815" s="1" t="n">
        <v>25.56</v>
      </c>
      <c r="G815" s="1" t="n">
        <v>8.01</v>
      </c>
      <c r="H815" s="1" t="n">
        <v>10</v>
      </c>
      <c r="I815" s="1" t="n">
        <v>6.4</v>
      </c>
      <c r="J815" t="n">
        <v>28110510</v>
      </c>
    </row>
    <row r="816" ht="15.75" customHeight="1" s="201">
      <c r="A816" s="1" t="inlineStr">
        <is>
          <t>Beef, ground, 95% lean meat / 5% fat, crumbles, cooked, pan-browned</t>
        </is>
      </c>
      <c r="C816" s="1" t="n">
        <v>0</v>
      </c>
      <c r="D816" s="1" t="n">
        <v>7</v>
      </c>
      <c r="E816" s="1" t="n">
        <v>3.23</v>
      </c>
      <c r="F816" s="1" t="n">
        <v>29.17</v>
      </c>
      <c r="G816" s="1" t="n">
        <v>7.58</v>
      </c>
      <c r="H816" s="1" t="n">
        <v>9</v>
      </c>
      <c r="I816" s="1" t="n">
        <v>7.06</v>
      </c>
      <c r="J816" t="n">
        <v>28110510</v>
      </c>
    </row>
    <row r="817" ht="15.75" customHeight="1" s="201">
      <c r="A817" s="1" t="inlineStr">
        <is>
          <t>Beef, ground, 95% lean meat / 5% fat, loaf, cooked, baked</t>
        </is>
      </c>
      <c r="C817" s="1" t="n">
        <v>0</v>
      </c>
      <c r="D817" s="1" t="n">
        <v>6</v>
      </c>
      <c r="E817" s="1" t="n">
        <v>3.05</v>
      </c>
      <c r="F817" s="1" t="n">
        <v>27.31</v>
      </c>
      <c r="G817" s="1" t="n">
        <v>6.37</v>
      </c>
      <c r="H817" s="1" t="n">
        <v>9</v>
      </c>
      <c r="I817" s="1" t="n">
        <v>6.86</v>
      </c>
      <c r="J817" t="n">
        <v>27214100</v>
      </c>
    </row>
    <row r="818" ht="15.75" customHeight="1" s="201">
      <c r="A818" s="1" t="inlineStr">
        <is>
          <t>Beef, ground, 95% lean meat / 5% fat, patty, cooked, broiled</t>
        </is>
      </c>
      <c r="C818" s="1" t="n">
        <v>0</v>
      </c>
      <c r="D818" s="1" t="n">
        <v>7</v>
      </c>
      <c r="E818" s="1" t="n">
        <v>2.83</v>
      </c>
      <c r="F818" s="1" t="n">
        <v>26.29</v>
      </c>
      <c r="G818" s="1" t="n">
        <v>6.8</v>
      </c>
      <c r="H818" s="1" t="n">
        <v>9</v>
      </c>
      <c r="I818" s="1" t="n">
        <v>6.43</v>
      </c>
      <c r="J818" t="n">
        <v>28110510</v>
      </c>
    </row>
    <row r="819" ht="15.75" customHeight="1" s="201">
      <c r="A819" s="1" t="inlineStr">
        <is>
          <t>Beef, ground, 95% lean meat / 5% fat, patty, cooked, pan-broiled</t>
        </is>
      </c>
      <c r="C819" s="1" t="n">
        <v>0</v>
      </c>
      <c r="D819" s="1" t="n">
        <v>7</v>
      </c>
      <c r="E819" s="1" t="n">
        <v>2.85</v>
      </c>
      <c r="F819" s="1" t="n">
        <v>25.8</v>
      </c>
      <c r="G819" s="1" t="n">
        <v>5.94</v>
      </c>
      <c r="H819" s="1" t="n">
        <v>10</v>
      </c>
      <c r="I819" s="1" t="n">
        <v>6.45</v>
      </c>
      <c r="J819" t="n">
        <v>28110510</v>
      </c>
    </row>
    <row r="820" ht="15.75" customHeight="1" s="201">
      <c r="A820" s="1" t="inlineStr">
        <is>
          <t>Beef, ground, 95% lean meat / 5% fat, raw</t>
        </is>
      </c>
      <c r="C820" s="1" t="n">
        <v>0</v>
      </c>
      <c r="D820" s="1" t="n">
        <v>5</v>
      </c>
      <c r="E820" s="1" t="n">
        <v>2.38</v>
      </c>
      <c r="F820" s="1" t="n">
        <v>21.41</v>
      </c>
      <c r="G820" s="1" t="n">
        <v>5</v>
      </c>
      <c r="H820" s="1" t="n">
        <v>14</v>
      </c>
      <c r="I820" s="1" t="n">
        <v>5.09</v>
      </c>
      <c r="J820" t="n">
        <v>28110510</v>
      </c>
    </row>
    <row r="821" ht="15.75" customHeight="1" s="201">
      <c r="A821" s="1" t="inlineStr">
        <is>
          <t>Beef, ground, 97% lean meat / 3% fat, crumbles, cooked, pan-browned</t>
        </is>
      </c>
      <c r="C821" s="1" t="n">
        <v>0</v>
      </c>
      <c r="D821" s="1" t="n">
        <v>7</v>
      </c>
      <c r="E821" s="1" t="n">
        <v>3.29</v>
      </c>
      <c r="F821" s="1" t="n">
        <v>29.46</v>
      </c>
      <c r="G821" s="1" t="n">
        <v>5.46</v>
      </c>
      <c r="H821" s="1" t="n">
        <v>9</v>
      </c>
      <c r="I821" s="1" t="n">
        <v>7.15</v>
      </c>
      <c r="J821" t="n">
        <v>28110510</v>
      </c>
    </row>
    <row r="822" ht="15.75" customHeight="1" s="201">
      <c r="A822" s="1" t="inlineStr">
        <is>
          <t>Beef, ground, 97% lean meat / 3% fat, loaf, cooked, baked</t>
        </is>
      </c>
      <c r="C822" s="1" t="n">
        <v>0</v>
      </c>
      <c r="D822" s="1" t="n">
        <v>6</v>
      </c>
      <c r="E822" s="1" t="n">
        <v>3.11</v>
      </c>
      <c r="F822" s="1" t="n">
        <v>27.58</v>
      </c>
      <c r="G822" s="1" t="n">
        <v>4.06</v>
      </c>
      <c r="H822" s="1" t="n">
        <v>9</v>
      </c>
      <c r="I822" s="1" t="n">
        <v>6.94</v>
      </c>
      <c r="J822" t="n">
        <v>27214100</v>
      </c>
    </row>
    <row r="823" ht="15.75" customHeight="1" s="201">
      <c r="A823" s="1" t="inlineStr">
        <is>
          <t>Beef, ground, 97% lean meat / 3% fat, patty, cooked, broiled</t>
        </is>
      </c>
      <c r="C823" s="1" t="n">
        <v>0</v>
      </c>
      <c r="D823" s="1" t="n">
        <v>7</v>
      </c>
      <c r="E823" s="1" t="n">
        <v>2.88</v>
      </c>
      <c r="F823" s="1" t="n">
        <v>26.36</v>
      </c>
      <c r="G823" s="1" t="n">
        <v>4.46</v>
      </c>
      <c r="H823" s="1" t="n">
        <v>9</v>
      </c>
      <c r="I823" s="1" t="n">
        <v>6.45</v>
      </c>
      <c r="J823" t="n">
        <v>28110510</v>
      </c>
    </row>
    <row r="824" ht="15.75" customHeight="1" s="201">
      <c r="A824" s="1" t="inlineStr">
        <is>
          <t>Beef, ground, 97% lean meat / 3% fat, raw</t>
        </is>
      </c>
      <c r="C824" s="1" t="n">
        <v>0</v>
      </c>
      <c r="D824" s="1" t="n">
        <v>4</v>
      </c>
      <c r="E824" s="1" t="n">
        <v>2.44</v>
      </c>
      <c r="F824" s="1" t="n">
        <v>21.98</v>
      </c>
      <c r="G824" s="1" t="n">
        <v>3</v>
      </c>
      <c r="H824" s="1" t="n">
        <v>14</v>
      </c>
      <c r="I824" s="1" t="n">
        <v>5.21</v>
      </c>
      <c r="J824" t="n">
        <v>28110510</v>
      </c>
    </row>
    <row r="825" ht="15.75" customHeight="1" s="201">
      <c r="A825" s="1" t="inlineStr">
        <is>
          <t>Beef, ground, 97% lean meat /3% fat, patty, cooked, pan-broiled</t>
        </is>
      </c>
      <c r="C825" s="1" t="n">
        <v>0</v>
      </c>
      <c r="D825" s="1" t="n">
        <v>7</v>
      </c>
      <c r="E825" s="1" t="n">
        <v>2.89</v>
      </c>
      <c r="F825" s="1" t="n">
        <v>26.03</v>
      </c>
      <c r="G825" s="1" t="n">
        <v>3.65</v>
      </c>
      <c r="H825" s="1" t="n">
        <v>10</v>
      </c>
      <c r="I825" s="1" t="n">
        <v>6.5</v>
      </c>
      <c r="J825" t="n">
        <v>28110510</v>
      </c>
    </row>
    <row r="826" ht="15.75" customHeight="1" s="201">
      <c r="A826" s="1" t="inlineStr">
        <is>
          <t>Beef, ground, patties, frozen, cooked, broiled</t>
        </is>
      </c>
      <c r="C826" s="1" t="n">
        <v>0</v>
      </c>
      <c r="D826" s="1" t="n">
        <v>21</v>
      </c>
      <c r="E826" s="1" t="n">
        <v>2.42</v>
      </c>
      <c r="F826" s="1" t="n">
        <v>23.05</v>
      </c>
      <c r="G826" s="1" t="n">
        <v>21.83</v>
      </c>
      <c r="H826" s="1" t="n">
        <v>0</v>
      </c>
      <c r="I826" s="1" t="n">
        <v>4.84</v>
      </c>
      <c r="J826" t="n">
        <v>28110510</v>
      </c>
    </row>
    <row r="827" ht="15.75" customHeight="1" s="201">
      <c r="A827" s="1" t="inlineStr">
        <is>
          <t>Beef, ground, unspecified fat content, cooked</t>
        </is>
      </c>
      <c r="C827" s="1" t="n">
        <v>0.62</v>
      </c>
      <c r="D827" s="1" t="n">
        <v>9</v>
      </c>
      <c r="E827" s="1" t="n">
        <v>2.67</v>
      </c>
      <c r="F827" s="1" t="n">
        <v>25.07</v>
      </c>
      <c r="G827" s="1" t="n">
        <v>14.53</v>
      </c>
      <c r="H827" s="1" t="n">
        <v>22</v>
      </c>
      <c r="I827" s="1" t="n">
        <v>6.19</v>
      </c>
      <c r="J827" t="n">
        <v>28110510</v>
      </c>
    </row>
    <row r="828" ht="15.75" customHeight="1" s="201">
      <c r="A828" s="1" t="inlineStr">
        <is>
          <t>Beef, loin, bottom sirloin butt, tri-tip roast, separable lean only, trimmed to 0" fat, all grades, cooked, roasted</t>
        </is>
      </c>
      <c r="C828" s="1" t="n">
        <v>0</v>
      </c>
      <c r="D828" s="1" t="n">
        <v>9</v>
      </c>
      <c r="E828" s="1" t="n">
        <v>1.69</v>
      </c>
      <c r="F828" s="1" t="n">
        <v>26.75</v>
      </c>
      <c r="G828" s="1" t="n">
        <v>8.34</v>
      </c>
      <c r="H828" s="1" t="n">
        <v>0</v>
      </c>
      <c r="I828" s="1" t="n">
        <v>4.93</v>
      </c>
      <c r="J828" t="n">
        <v>28110510</v>
      </c>
    </row>
    <row r="829" ht="15.75" customHeight="1" s="201">
      <c r="A829" s="1" t="inlineStr">
        <is>
          <t>Beef, loin, bottom sirloin butt, tri-tip steak, separable lean and fat, trimmed to 0" fat, all grades, cooked, broiled</t>
        </is>
      </c>
      <c r="C829" s="1" t="n">
        <v>0</v>
      </c>
      <c r="D829" s="1" t="n">
        <v>10</v>
      </c>
      <c r="E829" s="1" t="n">
        <v>3.64</v>
      </c>
      <c r="F829" s="1" t="n">
        <v>29.97</v>
      </c>
      <c r="G829" s="1" t="n">
        <v>15.18</v>
      </c>
      <c r="H829" s="1" t="n">
        <v>0</v>
      </c>
      <c r="I829" s="1" t="n">
        <v>7.05</v>
      </c>
      <c r="J829" t="n">
        <v>28110510</v>
      </c>
    </row>
    <row r="830" ht="15.75" customHeight="1" s="201">
      <c r="A830" s="1" t="inlineStr">
        <is>
          <t>Beef, loin, tenderloin roast, boneless, separable lean and fat, trimmed to 0" fat, all grades, cooked, roasted</t>
        </is>
      </c>
      <c r="C830" s="1" t="n">
        <v>0</v>
      </c>
      <c r="D830" s="1" t="n">
        <v>7</v>
      </c>
      <c r="E830" s="1" t="n">
        <v>3.2</v>
      </c>
      <c r="F830" s="1" t="n">
        <v>27.31</v>
      </c>
      <c r="G830" s="1" t="n">
        <v>8.140000000000001</v>
      </c>
      <c r="H830" s="1" t="n">
        <v>20</v>
      </c>
      <c r="I830" s="1" t="n">
        <v>4.16</v>
      </c>
      <c r="J830" t="n">
        <v>28110510</v>
      </c>
    </row>
    <row r="831" ht="15.75" customHeight="1" s="201">
      <c r="A831" s="1" t="inlineStr">
        <is>
          <t>Beef, loin, tenderloin roast, boneless, separable lean and fat, trimmed to 0" fat, all grades, raw</t>
        </is>
      </c>
      <c r="C831" s="1" t="n">
        <v>0</v>
      </c>
      <c r="D831" s="1" t="n">
        <v>3</v>
      </c>
      <c r="E831" s="1" t="n">
        <v>2.48</v>
      </c>
      <c r="F831" s="1" t="n">
        <v>21.67</v>
      </c>
      <c r="G831" s="1" t="n">
        <v>6.93</v>
      </c>
      <c r="H831" s="1" t="n">
        <v>15</v>
      </c>
      <c r="I831" s="1" t="n">
        <v>3.2</v>
      </c>
      <c r="J831" t="n">
        <v>27513010</v>
      </c>
    </row>
    <row r="832" ht="15.75" customHeight="1" s="201">
      <c r="A832" s="1" t="inlineStr">
        <is>
          <t>Beef, loin, tenderloin roast, boneless, separable lean and fat, trimmed to 0" fat, choice, cooked, roasted</t>
        </is>
      </c>
      <c r="C832" s="1" t="n">
        <v>0</v>
      </c>
      <c r="D832" s="1" t="n">
        <v>7</v>
      </c>
      <c r="E832" s="1" t="n">
        <v>3.24</v>
      </c>
      <c r="F832" s="1" t="n">
        <v>27.26</v>
      </c>
      <c r="G832" s="1" t="n">
        <v>8.82</v>
      </c>
      <c r="H832" s="1" t="n">
        <v>19</v>
      </c>
      <c r="I832" s="1" t="n">
        <v>4.42</v>
      </c>
      <c r="J832" t="n">
        <v>28110510</v>
      </c>
    </row>
    <row r="833" ht="15.75" customHeight="1" s="201">
      <c r="A833" s="1" t="inlineStr">
        <is>
          <t>Beef, loin, tenderloin roast, boneless, separable lean and fat, trimmed to 0" fat, choice, raw</t>
        </is>
      </c>
      <c r="C833" s="1" t="n">
        <v>0</v>
      </c>
      <c r="D833" s="1" t="n">
        <v>3</v>
      </c>
      <c r="E833" s="1" t="n">
        <v>2.52</v>
      </c>
      <c r="F833" s="1" t="n">
        <v>21.5</v>
      </c>
      <c r="G833" s="1" t="n">
        <v>7.4</v>
      </c>
      <c r="H833" s="1" t="n">
        <v>11</v>
      </c>
      <c r="I833" s="1" t="n">
        <v>3.21</v>
      </c>
      <c r="J833" t="n">
        <v>27513010</v>
      </c>
    </row>
    <row r="834" ht="15.75" customHeight="1" s="201">
      <c r="A834" s="1" t="inlineStr">
        <is>
          <t>Beef, loin, tenderloin roast, boneless, separable lean and fat, trimmed to 0" fat, select, cooked, roasted</t>
        </is>
      </c>
      <c r="C834" s="1" t="n">
        <v>0</v>
      </c>
      <c r="D834" s="1" t="n">
        <v>7</v>
      </c>
      <c r="E834" s="1" t="n">
        <v>3.03</v>
      </c>
      <c r="F834" s="1" t="n">
        <v>27.38</v>
      </c>
      <c r="G834" s="1" t="n">
        <v>7.12</v>
      </c>
      <c r="H834" s="1" t="n">
        <v>28</v>
      </c>
      <c r="I834" s="1" t="n">
        <v>3.68</v>
      </c>
      <c r="J834" t="n">
        <v>28110510</v>
      </c>
    </row>
    <row r="835" ht="15.75" customHeight="1" s="201">
      <c r="A835" s="1" t="inlineStr">
        <is>
          <t>Beef, loin, tenderloin roast, boneless, separable lean and fat, trimmed to 0" fat, select, raw</t>
        </is>
      </c>
      <c r="C835" s="1" t="n">
        <v>0</v>
      </c>
      <c r="D835" s="1" t="n">
        <v>4</v>
      </c>
      <c r="E835" s="1" t="n">
        <v>2.46</v>
      </c>
      <c r="F835" s="1" t="n">
        <v>21.91</v>
      </c>
      <c r="G835" s="1" t="n">
        <v>6.21</v>
      </c>
      <c r="H835" s="1" t="n">
        <v>12</v>
      </c>
      <c r="I835" s="1" t="n">
        <v>3.32</v>
      </c>
      <c r="J835" t="n">
        <v>27513010</v>
      </c>
    </row>
    <row r="836" ht="15.75" customHeight="1" s="201">
      <c r="A836" s="1" t="inlineStr">
        <is>
          <t>Beef, loin, tenderloin roast, boneless, separable lean only, trimmed to 0" fat, all grades, cooked, roasted</t>
        </is>
      </c>
      <c r="C836" s="1" t="n">
        <v>0</v>
      </c>
      <c r="D836" s="1" t="n">
        <v>7</v>
      </c>
      <c r="E836" s="1" t="n">
        <v>3.22</v>
      </c>
      <c r="F836" s="1" t="n">
        <v>27.51</v>
      </c>
      <c r="G836" s="1" t="n">
        <v>7.49</v>
      </c>
      <c r="H836" s="1" t="n">
        <v>5</v>
      </c>
      <c r="I836" s="1" t="n">
        <v>4.19</v>
      </c>
      <c r="J836" t="n">
        <v>28110510</v>
      </c>
    </row>
    <row r="837" ht="15.75" customHeight="1" s="201">
      <c r="A837" s="1" t="inlineStr">
        <is>
          <t>Beef, loin, tenderloin roast, boneless, separable lean only, trimmed to 0" fat, all grades, raw</t>
        </is>
      </c>
      <c r="C837" s="1" t="n">
        <v>0</v>
      </c>
      <c r="D837" s="1" t="n">
        <v>4</v>
      </c>
      <c r="E837" s="1" t="n">
        <v>2.5</v>
      </c>
      <c r="F837" s="1" t="n">
        <v>21.94</v>
      </c>
      <c r="G837" s="1" t="n">
        <v>5.74</v>
      </c>
      <c r="H837" s="1" t="n">
        <v>6</v>
      </c>
      <c r="I837" s="1" t="n">
        <v>3.26</v>
      </c>
      <c r="J837" t="n">
        <v>27513010</v>
      </c>
    </row>
    <row r="838" ht="15.75" customHeight="1" s="201">
      <c r="A838" s="1" t="inlineStr">
        <is>
          <t>Beef, loin, tenderloin roast, boneless, separable lean only, trimmed to 0" fat, choice, cooked, roasted</t>
        </is>
      </c>
      <c r="C838" s="1" t="n">
        <v>0</v>
      </c>
      <c r="D838" s="1" t="n">
        <v>7</v>
      </c>
      <c r="E838" s="1" t="n">
        <v>3.25</v>
      </c>
      <c r="F838" s="1" t="n">
        <v>27.48</v>
      </c>
      <c r="G838" s="1" t="n">
        <v>8.130000000000001</v>
      </c>
      <c r="H838" s="1" t="n">
        <v>4</v>
      </c>
      <c r="I838" s="1" t="n">
        <v>4.46</v>
      </c>
      <c r="J838" t="n">
        <v>28110510</v>
      </c>
    </row>
    <row r="839" ht="15.75" customHeight="1" s="201">
      <c r="A839" s="1" t="inlineStr">
        <is>
          <t>Beef, loin, tenderloin roast, boneless, separable lean only, trimmed to 0" fat, choice, raw</t>
        </is>
      </c>
      <c r="C839" s="1" t="n">
        <v>0</v>
      </c>
      <c r="D839" s="1" t="n">
        <v>3</v>
      </c>
      <c r="E839" s="1" t="n">
        <v>2.55</v>
      </c>
      <c r="F839" s="1" t="n">
        <v>21.78</v>
      </c>
      <c r="G839" s="1" t="n">
        <v>6.16</v>
      </c>
      <c r="H839" s="1" t="n">
        <v>6</v>
      </c>
      <c r="I839" s="1" t="n">
        <v>3.27</v>
      </c>
      <c r="J839" t="n">
        <v>27513010</v>
      </c>
    </row>
    <row r="840" ht="15.75" customHeight="1" s="201">
      <c r="A840" s="1" t="inlineStr">
        <is>
          <t>Beef, loin, tenderloin roast, boneless, separable lean only, trimmed to 0" fat, select, raw</t>
        </is>
      </c>
      <c r="C840" s="1" t="n">
        <v>0</v>
      </c>
      <c r="D840" s="1" t="n">
        <v>4</v>
      </c>
      <c r="E840" s="1" t="n">
        <v>2.48</v>
      </c>
      <c r="F840" s="1" t="n">
        <v>22.16</v>
      </c>
      <c r="G840" s="1" t="n">
        <v>5.1</v>
      </c>
      <c r="H840" s="1" t="n">
        <v>7</v>
      </c>
      <c r="I840" s="1" t="n">
        <v>3.37</v>
      </c>
      <c r="J840" t="n">
        <v>27513010</v>
      </c>
    </row>
    <row r="841" ht="15.75" customHeight="1" s="201">
      <c r="A841" s="1" t="inlineStr">
        <is>
          <t>Beef, loin, tenderloin roast, separable lean only, boneless, trimmed to 0" fat, select, cooked, roasted</t>
        </is>
      </c>
      <c r="C841" s="1" t="n">
        <v>0</v>
      </c>
      <c r="D841" s="1" t="n">
        <v>7</v>
      </c>
      <c r="E841" s="1" t="n">
        <v>3.04</v>
      </c>
      <c r="F841" s="1" t="n">
        <v>27.55</v>
      </c>
      <c r="G841" s="1" t="n">
        <v>6.54</v>
      </c>
      <c r="H841" s="1" t="n">
        <v>6</v>
      </c>
      <c r="I841" s="1" t="n">
        <v>3.7</v>
      </c>
      <c r="J841" t="n">
        <v>28110510</v>
      </c>
    </row>
    <row r="842" ht="15.75" customHeight="1" s="201">
      <c r="A842" s="1" t="inlineStr">
        <is>
          <t>Beef, loin, tenderloin steak, boneless, separable lean and fat, trimmed to 0" fat, all grades, cooked, grilled</t>
        </is>
      </c>
      <c r="C842" s="1" t="n">
        <v>0</v>
      </c>
      <c r="D842" s="1" t="n">
        <v>7</v>
      </c>
      <c r="E842" s="1" t="n">
        <v>3.24</v>
      </c>
      <c r="F842" s="1" t="n">
        <v>30.5</v>
      </c>
      <c r="G842" s="1" t="n">
        <v>8.91</v>
      </c>
      <c r="H842" s="1" t="n">
        <v>22</v>
      </c>
      <c r="I842" s="1" t="n">
        <v>4.21</v>
      </c>
      <c r="J842" t="n">
        <v>28110510</v>
      </c>
    </row>
    <row r="843" ht="15.75" customHeight="1" s="201">
      <c r="A843" s="1" t="inlineStr">
        <is>
          <t>Beef, loin, tenderloin steak, boneless, separable lean and fat, trimmed to 0" fat, all grades, raw</t>
        </is>
      </c>
      <c r="C843" s="1" t="n">
        <v>0</v>
      </c>
      <c r="D843" s="1" t="n">
        <v>3</v>
      </c>
      <c r="E843" s="1" t="n">
        <v>2.49</v>
      </c>
      <c r="F843" s="1" t="n">
        <v>21.72</v>
      </c>
      <c r="G843" s="1" t="n">
        <v>6.67</v>
      </c>
      <c r="H843" s="1" t="n">
        <v>11</v>
      </c>
      <c r="I843" s="1" t="n">
        <v>3.22</v>
      </c>
      <c r="J843" t="n">
        <v>28110510</v>
      </c>
    </row>
    <row r="844" ht="15.75" customHeight="1" s="201">
      <c r="A844" s="1" t="inlineStr">
        <is>
          <t>Beef, loin, tenderloin steak, boneless, separable lean and fat, trimmed to 0" fat, choice, cooked, grilled</t>
        </is>
      </c>
      <c r="C844" s="1" t="n">
        <v>0</v>
      </c>
      <c r="D844" s="1" t="n">
        <v>7</v>
      </c>
      <c r="E844" s="1" t="n">
        <v>3.32</v>
      </c>
      <c r="F844" s="1" t="n">
        <v>30.21</v>
      </c>
      <c r="G844" s="1" t="n">
        <v>9.710000000000001</v>
      </c>
      <c r="H844" s="1" t="n">
        <v>23</v>
      </c>
      <c r="I844" s="1" t="n">
        <v>4.54</v>
      </c>
      <c r="J844" t="n">
        <v>28110510</v>
      </c>
    </row>
    <row r="845" ht="15.75" customHeight="1" s="201">
      <c r="A845" s="1" t="inlineStr">
        <is>
          <t>Beef, loin, tenderloin steak, boneless, separable lean and fat, trimmed to 0" fat, choice, raw</t>
        </is>
      </c>
      <c r="C845" s="1" t="n">
        <v>0</v>
      </c>
      <c r="D845" s="1" t="n">
        <v>3</v>
      </c>
      <c r="E845" s="1" t="n">
        <v>2.53</v>
      </c>
      <c r="F845" s="1" t="n">
        <v>21.57</v>
      </c>
      <c r="G845" s="1" t="n">
        <v>7.1</v>
      </c>
      <c r="H845" s="1" t="n">
        <v>11</v>
      </c>
      <c r="I845" s="1" t="n">
        <v>3.22</v>
      </c>
      <c r="J845" t="n">
        <v>28110510</v>
      </c>
    </row>
    <row r="846" ht="15.75" customHeight="1" s="201">
      <c r="A846" s="1" t="inlineStr">
        <is>
          <t>Beef, loin, tenderloin steak, boneless, separable lean and fat, trimmed to 0" fat, select, cooked, grilled</t>
        </is>
      </c>
      <c r="C846" s="1" t="n">
        <v>0</v>
      </c>
      <c r="D846" s="1" t="n">
        <v>7</v>
      </c>
      <c r="E846" s="1" t="n">
        <v>3.02</v>
      </c>
      <c r="F846" s="1" t="n">
        <v>30.93</v>
      </c>
      <c r="G846" s="1" t="n">
        <v>7.7</v>
      </c>
      <c r="H846" s="1" t="n">
        <v>22</v>
      </c>
      <c r="I846" s="1" t="n">
        <v>3.66</v>
      </c>
      <c r="J846" t="n">
        <v>28110510</v>
      </c>
    </row>
    <row r="847" ht="15.75" customHeight="1" s="201">
      <c r="A847" s="1" t="inlineStr">
        <is>
          <t>Beef, loin, tenderloin steak, boneless, separable lean and fat, trimmed to 0" fat, select, raw</t>
        </is>
      </c>
      <c r="C847" s="1" t="n">
        <v>0</v>
      </c>
      <c r="D847" s="1" t="n">
        <v>4</v>
      </c>
      <c r="E847" s="1" t="n">
        <v>2.47</v>
      </c>
      <c r="F847" s="1" t="n">
        <v>21.95</v>
      </c>
      <c r="G847" s="1" t="n">
        <v>6.02</v>
      </c>
      <c r="H847" s="1" t="n">
        <v>12</v>
      </c>
      <c r="I847" s="1" t="n">
        <v>3.33</v>
      </c>
      <c r="J847" t="n">
        <v>28110510</v>
      </c>
    </row>
    <row r="848" ht="15.75" customHeight="1" s="201">
      <c r="A848" s="1" t="inlineStr">
        <is>
          <t>Beef, loin, tenderloin steak, boneless, separable lean only, trimmed to 0" fat, all grades, cooked, grilled</t>
        </is>
      </c>
      <c r="C848" s="1" t="n">
        <v>0</v>
      </c>
      <c r="D848" s="1" t="n">
        <v>7</v>
      </c>
      <c r="E848" s="1" t="n">
        <v>3.59</v>
      </c>
      <c r="F848" s="1" t="n">
        <v>30.7</v>
      </c>
      <c r="G848" s="1" t="n">
        <v>8.32</v>
      </c>
      <c r="H848" s="1" t="n">
        <v>5</v>
      </c>
      <c r="I848" s="1" t="n">
        <v>4.68</v>
      </c>
      <c r="J848" t="n">
        <v>28110510</v>
      </c>
    </row>
    <row r="849" ht="15.75" customHeight="1" s="201">
      <c r="A849" s="1" t="inlineStr">
        <is>
          <t>Beef, loin, tenderloin steak, boneless, separable lean only, trimmed to 0" fat, all grades, raw</t>
        </is>
      </c>
      <c r="C849" s="1" t="n">
        <v>0</v>
      </c>
      <c r="D849" s="1" t="n">
        <v>4</v>
      </c>
      <c r="E849" s="1" t="n">
        <v>2.5</v>
      </c>
      <c r="F849" s="1" t="n">
        <v>21.94</v>
      </c>
      <c r="G849" s="1" t="n">
        <v>5.74</v>
      </c>
      <c r="H849" s="1" t="n">
        <v>6</v>
      </c>
      <c r="I849" s="1" t="n">
        <v>3.26</v>
      </c>
      <c r="J849" t="n">
        <v>28110510</v>
      </c>
    </row>
    <row r="850" ht="15.75" customHeight="1" s="201">
      <c r="A850" s="1" t="inlineStr">
        <is>
          <t>Beef, loin, tenderloin steak, boneless, separable lean only, trimmed to 0" fat, choice, cooked, grilled</t>
        </is>
      </c>
      <c r="C850" s="1" t="n">
        <v>0</v>
      </c>
      <c r="D850" s="1" t="n">
        <v>7</v>
      </c>
      <c r="E850" s="1" t="n">
        <v>4.12</v>
      </c>
      <c r="F850" s="1" t="n">
        <v>30.45</v>
      </c>
      <c r="G850" s="1" t="n">
        <v>9.029999999999999</v>
      </c>
      <c r="H850" s="1" t="n">
        <v>5</v>
      </c>
      <c r="I850" s="1" t="n">
        <v>5.65</v>
      </c>
      <c r="J850" t="n">
        <v>28110510</v>
      </c>
    </row>
    <row r="851" ht="15.75" customHeight="1" s="201">
      <c r="A851" s="1" t="inlineStr">
        <is>
          <t>Beef, loin, tenderloin steak, boneless, separable lean only, trimmed to 0" fat, choice, raw</t>
        </is>
      </c>
      <c r="C851" s="1" t="n">
        <v>0</v>
      </c>
      <c r="D851" s="1" t="n">
        <v>3</v>
      </c>
      <c r="E851" s="1" t="n">
        <v>2.55</v>
      </c>
      <c r="F851" s="1" t="n">
        <v>21.78</v>
      </c>
      <c r="G851" s="1" t="n">
        <v>6.16</v>
      </c>
      <c r="I851" s="1" t="n">
        <v>3.27</v>
      </c>
      <c r="J851" t="n">
        <v>28110510</v>
      </c>
    </row>
    <row r="852" ht="15.75" customHeight="1" s="201">
      <c r="A852" s="1" t="inlineStr">
        <is>
          <t>Beef, loin, tenderloin steak, boneless, separable lean only, trimmed to 0" fat, select, cooked, grilled</t>
        </is>
      </c>
      <c r="C852" s="1" t="n">
        <v>0</v>
      </c>
      <c r="D852" s="1" t="n">
        <v>7</v>
      </c>
      <c r="E852" s="1" t="n">
        <v>3.11</v>
      </c>
      <c r="F852" s="1" t="n">
        <v>31.09</v>
      </c>
      <c r="G852" s="1" t="n">
        <v>7.25</v>
      </c>
      <c r="H852" s="1" t="n">
        <v>6</v>
      </c>
      <c r="I852" s="1" t="n">
        <v>3.78</v>
      </c>
      <c r="J852" t="n">
        <v>28110510</v>
      </c>
    </row>
    <row r="853" ht="15.75" customHeight="1" s="201">
      <c r="A853" s="1" t="inlineStr">
        <is>
          <t>Beef, loin, tenderloin steak, boneless, separable lean only, trimmed to 0" fat, select, raw</t>
        </is>
      </c>
      <c r="C853" s="1" t="n">
        <v>0</v>
      </c>
      <c r="D853" s="1" t="n">
        <v>4</v>
      </c>
      <c r="E853" s="1" t="n">
        <v>2.48</v>
      </c>
      <c r="F853" s="1" t="n">
        <v>22.16</v>
      </c>
      <c r="G853" s="1" t="n">
        <v>5.1</v>
      </c>
      <c r="H853" s="1" t="n">
        <v>7</v>
      </c>
      <c r="I853" s="1" t="n">
        <v>3.37</v>
      </c>
      <c r="J853" t="n">
        <v>28110510</v>
      </c>
    </row>
    <row r="854" ht="15.75" customHeight="1" s="201">
      <c r="A854" s="1" t="inlineStr">
        <is>
          <t>Beef, loin, top loin steak, boneless, lip off, separable lean and fat, trimmed to 0" fat, all grades, cooked, grilled</t>
        </is>
      </c>
      <c r="C854" s="1" t="n">
        <v>0</v>
      </c>
      <c r="D854" s="1" t="n">
        <v>7</v>
      </c>
      <c r="E854" s="1" t="n">
        <v>3.41</v>
      </c>
      <c r="F854" s="1" t="n">
        <v>28.57</v>
      </c>
      <c r="G854" s="1" t="n">
        <v>11.15</v>
      </c>
      <c r="H854" s="1" t="n">
        <v>22</v>
      </c>
      <c r="I854" s="1" t="n">
        <v>4.66</v>
      </c>
      <c r="J854" t="n">
        <v>23104010</v>
      </c>
    </row>
    <row r="855" ht="15.75" customHeight="1" s="201">
      <c r="A855" s="1" t="inlineStr">
        <is>
          <t>Beef, loin, top loin steak, boneless, lip off, separable lean and fat, trimmed to 0" fat, all grades, raw</t>
        </is>
      </c>
      <c r="C855" s="1" t="n">
        <v>0</v>
      </c>
      <c r="D855" s="1" t="n">
        <v>4</v>
      </c>
      <c r="E855" s="1" t="n">
        <v>1.83</v>
      </c>
      <c r="F855" s="1" t="n">
        <v>22.43</v>
      </c>
      <c r="G855" s="1" t="n">
        <v>8.17</v>
      </c>
      <c r="H855" s="1" t="n">
        <v>13</v>
      </c>
      <c r="I855" s="1" t="n">
        <v>3.57</v>
      </c>
      <c r="J855" t="n">
        <v>28110510</v>
      </c>
    </row>
    <row r="856" ht="15.75" customHeight="1" s="201">
      <c r="A856" s="1" t="inlineStr">
        <is>
          <t>Beef, loin, top loin steak, boneless, lip off, separable lean and fat, trimmed to 0" fat, choice, cooked, grilled</t>
        </is>
      </c>
      <c r="C856" s="1" t="n">
        <v>0</v>
      </c>
      <c r="D856" s="1" t="n">
        <v>7</v>
      </c>
      <c r="E856" s="1" t="n">
        <v>3.37</v>
      </c>
      <c r="F856" s="1" t="n">
        <v>28.19</v>
      </c>
      <c r="G856" s="1" t="n">
        <v>12.51</v>
      </c>
      <c r="H856" s="1" t="n">
        <v>22</v>
      </c>
      <c r="I856" s="1" t="n">
        <v>4.61</v>
      </c>
      <c r="J856" t="n">
        <v>23104010</v>
      </c>
    </row>
    <row r="857" ht="15.75" customHeight="1" s="201">
      <c r="A857" s="1" t="inlineStr">
        <is>
          <t>Beef, loin, top loin steak, boneless, lip off, separable lean and fat, trimmed to 0" fat, choice, raw</t>
        </is>
      </c>
      <c r="C857" s="1" t="n">
        <v>0</v>
      </c>
      <c r="D857" s="1" t="n">
        <v>4</v>
      </c>
      <c r="E857" s="1" t="n">
        <v>1.91</v>
      </c>
      <c r="F857" s="1" t="n">
        <v>22.19</v>
      </c>
      <c r="G857" s="1" t="n">
        <v>9.16</v>
      </c>
      <c r="H857" s="1" t="n">
        <v>13</v>
      </c>
      <c r="I857" s="1" t="n">
        <v>3.62</v>
      </c>
      <c r="J857" t="n">
        <v>28110510</v>
      </c>
    </row>
    <row r="858" ht="15.75" customHeight="1" s="201">
      <c r="A858" s="1" t="inlineStr">
        <is>
          <t>Beef, loin, top loin steak, boneless, lip off, separable lean and fat, trimmed to 0" fat, select, cooked, grilled</t>
        </is>
      </c>
      <c r="C858" s="1" t="n">
        <v>0</v>
      </c>
      <c r="D858" s="1" t="n">
        <v>7</v>
      </c>
      <c r="E858" s="1" t="n">
        <v>3.23</v>
      </c>
      <c r="F858" s="1" t="n">
        <v>29.16</v>
      </c>
      <c r="G858" s="1" t="n">
        <v>9.119999999999999</v>
      </c>
      <c r="H858" s="1" t="n">
        <v>21</v>
      </c>
      <c r="I858" s="1" t="n">
        <v>3.91</v>
      </c>
      <c r="J858" t="n">
        <v>23104010</v>
      </c>
    </row>
    <row r="859" ht="15.75" customHeight="1" s="201">
      <c r="A859" s="1" t="inlineStr">
        <is>
          <t>Beef, loin, top loin steak, boneless, lip off, separable lean and fat, trimmed to 0" fat, select, raw</t>
        </is>
      </c>
      <c r="C859" s="1" t="n">
        <v>0</v>
      </c>
      <c r="D859" s="1" t="n">
        <v>4</v>
      </c>
      <c r="E859" s="1" t="n">
        <v>1.73</v>
      </c>
      <c r="F859" s="1" t="n">
        <v>22.79</v>
      </c>
      <c r="G859" s="1" t="n">
        <v>6.67</v>
      </c>
      <c r="H859" s="1" t="n">
        <v>13</v>
      </c>
      <c r="I859" s="1" t="n">
        <v>3.52</v>
      </c>
      <c r="J859" t="n">
        <v>28110510</v>
      </c>
    </row>
    <row r="860" ht="15.75" customHeight="1" s="201">
      <c r="A860" s="1" t="inlineStr">
        <is>
          <t>Beef, loin, top loin steak, boneless, lip off, separable lean only, trimmed to 0" fat, all grades, cooked, grilled</t>
        </is>
      </c>
      <c r="C860" s="1" t="n">
        <v>0</v>
      </c>
      <c r="D860" s="1" t="n">
        <v>7</v>
      </c>
      <c r="E860" s="1" t="n">
        <v>3.47</v>
      </c>
      <c r="F860" s="1" t="n">
        <v>29.53</v>
      </c>
      <c r="G860" s="1" t="n">
        <v>8.41</v>
      </c>
      <c r="H860" s="1" t="n">
        <v>6</v>
      </c>
      <c r="I860" s="1" t="n">
        <v>4.52</v>
      </c>
      <c r="J860" t="n">
        <v>23104020</v>
      </c>
    </row>
    <row r="861" ht="15.75" customHeight="1" s="201">
      <c r="A861" s="1" t="inlineStr">
        <is>
          <t>Beef, loin, top loin steak, boneless, lip off, separable lean only, trimmed to 0" fat, all grades, raw</t>
        </is>
      </c>
      <c r="C861" s="1" t="n">
        <v>0</v>
      </c>
      <c r="D861" s="1" t="n">
        <v>4</v>
      </c>
      <c r="E861" s="1" t="n">
        <v>1.84</v>
      </c>
      <c r="F861" s="1" t="n">
        <v>23.07</v>
      </c>
      <c r="G861" s="1" t="n">
        <v>5.67</v>
      </c>
      <c r="H861" s="1" t="n">
        <v>7</v>
      </c>
      <c r="I861" s="1" t="n">
        <v>3.72</v>
      </c>
      <c r="J861" t="n">
        <v>23104020</v>
      </c>
    </row>
    <row r="862" ht="15.75" customHeight="1" s="201">
      <c r="A862" s="1" t="inlineStr">
        <is>
          <t>Beef, loin, top loin steak, boneless, lip off, separable lean only, trimmed to 0" fat, choice, cooked, grilled</t>
        </is>
      </c>
      <c r="C862" s="1" t="n">
        <v>0</v>
      </c>
      <c r="D862" s="1" t="n">
        <v>7</v>
      </c>
      <c r="E862" s="1" t="n">
        <v>3.38</v>
      </c>
      <c r="F862" s="1" t="n">
        <v>29.22</v>
      </c>
      <c r="G862" s="1" t="n">
        <v>9.52</v>
      </c>
      <c r="H862" s="1" t="n">
        <v>4</v>
      </c>
      <c r="I862" s="1" t="n">
        <v>4.41</v>
      </c>
      <c r="J862" t="n">
        <v>23104020</v>
      </c>
    </row>
    <row r="863" ht="15.75" customHeight="1" s="201">
      <c r="A863" s="1" t="inlineStr">
        <is>
          <t>Beef, loin, top loin steak, boneless, lip off, separable lean only, trimmed to 0" fat, choice, raw</t>
        </is>
      </c>
      <c r="C863" s="1" t="n">
        <v>0</v>
      </c>
      <c r="D863" s="1" t="n">
        <v>4</v>
      </c>
      <c r="E863" s="1" t="n">
        <v>1.93</v>
      </c>
      <c r="F863" s="1" t="n">
        <v>22.93</v>
      </c>
      <c r="G863" s="1" t="n">
        <v>6.34</v>
      </c>
      <c r="H863" s="1" t="n">
        <v>6</v>
      </c>
      <c r="I863" s="1" t="n">
        <v>3.79</v>
      </c>
      <c r="J863" t="n">
        <v>23104020</v>
      </c>
    </row>
    <row r="864" ht="15.75" customHeight="1" s="201">
      <c r="A864" s="1" t="inlineStr">
        <is>
          <t>Beef, loin, top loin steak, boneless, lip off, separable lean only, trimmed to 0" fat, select, cooked, grilled</t>
        </is>
      </c>
      <c r="C864" s="1" t="n">
        <v>0</v>
      </c>
      <c r="D864" s="1" t="n">
        <v>7</v>
      </c>
      <c r="E864" s="1" t="n">
        <v>3.25</v>
      </c>
      <c r="F864" s="1" t="n">
        <v>29.99</v>
      </c>
      <c r="G864" s="1" t="n">
        <v>6.74</v>
      </c>
      <c r="H864" s="1" t="n">
        <v>6</v>
      </c>
      <c r="I864" s="1" t="n">
        <v>3.95</v>
      </c>
      <c r="J864" t="n">
        <v>23104020</v>
      </c>
    </row>
    <row r="865" ht="15.75" customHeight="1" s="201">
      <c r="A865" s="1" t="inlineStr">
        <is>
          <t>Beef, loin, top loin steak, boneless, lip off, separable lean only, trimmed to 0" fat, select, raw</t>
        </is>
      </c>
      <c r="C865" s="1" t="n">
        <v>0</v>
      </c>
      <c r="D865" s="1" t="n">
        <v>4</v>
      </c>
      <c r="E865" s="1" t="n">
        <v>1.73</v>
      </c>
      <c r="F865" s="1" t="n">
        <v>23.3</v>
      </c>
      <c r="G865" s="1" t="n">
        <v>4.66</v>
      </c>
      <c r="H865" s="1" t="n">
        <v>7</v>
      </c>
      <c r="I865" s="1" t="n">
        <v>3.64</v>
      </c>
      <c r="J865" t="n">
        <v>23104020</v>
      </c>
    </row>
    <row r="866" ht="15.75" customHeight="1" s="201">
      <c r="A866" s="1" t="inlineStr">
        <is>
          <t>Beef, loin, top loin steak, boneless, lip-on, separable lean and fat, trimmed to 1/8" fat, all grades, cooked, grilled</t>
        </is>
      </c>
      <c r="C866" s="1" t="n">
        <v>0</v>
      </c>
      <c r="D866" s="1" t="n">
        <v>6</v>
      </c>
      <c r="E866" s="1" t="n">
        <v>2.48</v>
      </c>
      <c r="F866" s="1" t="n">
        <v>26.18</v>
      </c>
      <c r="G866" s="1" t="n">
        <v>17.69</v>
      </c>
      <c r="I866" s="1" t="n">
        <v>4.16</v>
      </c>
      <c r="J866" t="n">
        <v>23104010</v>
      </c>
    </row>
    <row r="867" ht="15.75" customHeight="1" s="201">
      <c r="A867" s="1" t="inlineStr">
        <is>
          <t>Beef, loin, top loin steak, boneless, lip-on, separable lean and fat, trimmed to 1/8" fat, all grades, raw</t>
        </is>
      </c>
      <c r="C867" s="1" t="n">
        <v>0</v>
      </c>
      <c r="D867" s="1" t="n">
        <v>3</v>
      </c>
      <c r="E867" s="1" t="n">
        <v>1.8</v>
      </c>
      <c r="F867" s="1" t="n">
        <v>21.29</v>
      </c>
      <c r="G867" s="1" t="n">
        <v>12.68</v>
      </c>
      <c r="H867" s="1" t="n">
        <v>14</v>
      </c>
      <c r="I867" s="1" t="n">
        <v>3.29</v>
      </c>
      <c r="J867" t="n">
        <v>28110510</v>
      </c>
    </row>
    <row r="868" ht="15.75" customHeight="1" s="201">
      <c r="A868" s="1" t="inlineStr">
        <is>
          <t>Beef, loin, top loin steak, boneless, lip-on, separable lean and fat, trimmed to 1/8" fat, choice, cooked, grilled</t>
        </is>
      </c>
      <c r="C868" s="1" t="n">
        <v>0</v>
      </c>
      <c r="D868" s="1" t="n">
        <v>6</v>
      </c>
      <c r="E868" s="1" t="n">
        <v>2.47</v>
      </c>
      <c r="F868" s="1" t="n">
        <v>25.69</v>
      </c>
      <c r="G868" s="1" t="n">
        <v>19.19</v>
      </c>
      <c r="H868" s="1" t="n">
        <v>24</v>
      </c>
      <c r="I868" s="1" t="n">
        <v>4.1</v>
      </c>
      <c r="J868" t="n">
        <v>23104010</v>
      </c>
    </row>
    <row r="869" ht="15.75" customHeight="1" s="201">
      <c r="A869" s="1" t="inlineStr">
        <is>
          <t>Beef, loin, top loin steak, boneless, lip-on, separable lean and fat, trimmed to 1/8" fat, choice, raw</t>
        </is>
      </c>
      <c r="C869" s="1" t="n">
        <v>0</v>
      </c>
      <c r="D869" s="1" t="n">
        <v>3</v>
      </c>
      <c r="E869" s="1" t="n">
        <v>1.88</v>
      </c>
      <c r="F869" s="1" t="n">
        <v>21.13</v>
      </c>
      <c r="G869" s="1" t="n">
        <v>13.36</v>
      </c>
      <c r="H869" s="1" t="n">
        <v>14</v>
      </c>
      <c r="I869" s="1" t="n">
        <v>3.35</v>
      </c>
      <c r="J869" t="n">
        <v>28110510</v>
      </c>
    </row>
    <row r="870" ht="15.75" customHeight="1" s="201">
      <c r="A870" s="1" t="inlineStr">
        <is>
          <t>Beef, loin, top loin steak, boneless, lip-on, separable lean and fat, trimmed to 1/8" fat, select, cooked, grilled</t>
        </is>
      </c>
      <c r="C870" s="1" t="n">
        <v>0</v>
      </c>
      <c r="D870" s="1" t="n">
        <v>7</v>
      </c>
      <c r="E870" s="1" t="n">
        <v>2.51</v>
      </c>
      <c r="F870" s="1" t="n">
        <v>26.92</v>
      </c>
      <c r="G870" s="1" t="n">
        <v>15.44</v>
      </c>
      <c r="H870" s="1" t="n">
        <v>25</v>
      </c>
      <c r="I870" s="1" t="n">
        <v>4.31</v>
      </c>
      <c r="J870" t="n">
        <v>23104010</v>
      </c>
    </row>
    <row r="871" ht="15.75" customHeight="1" s="201">
      <c r="A871" s="1" t="inlineStr">
        <is>
          <t>Beef, loin, top loin steak, boneless, lip-on, separable lean and fat, trimmed to 1/8" fat, select, raw</t>
        </is>
      </c>
      <c r="C871" s="1" t="n">
        <v>0</v>
      </c>
      <c r="D871" s="1" t="n">
        <v>3</v>
      </c>
      <c r="E871" s="1" t="n">
        <v>1.71</v>
      </c>
      <c r="F871" s="1" t="n">
        <v>21.54</v>
      </c>
      <c r="G871" s="1" t="n">
        <v>11.65</v>
      </c>
      <c r="H871" s="1" t="n">
        <v>14</v>
      </c>
      <c r="I871" s="1" t="n">
        <v>3.24</v>
      </c>
      <c r="J871" t="n">
        <v>28110510</v>
      </c>
    </row>
    <row r="872" ht="15.75" customHeight="1" s="201">
      <c r="A872" s="1" t="inlineStr">
        <is>
          <t>Beef, loin, top loin steak, boneless, lip-on, separable lean only, trimmed to 1/8" fat, all grades, cooked, grilled</t>
        </is>
      </c>
      <c r="C872" s="1" t="n">
        <v>0</v>
      </c>
      <c r="D872" s="1" t="n">
        <v>7</v>
      </c>
      <c r="E872" s="1" t="n">
        <v>2.59</v>
      </c>
      <c r="F872" s="1" t="n">
        <v>29.06</v>
      </c>
      <c r="G872" s="1" t="n">
        <v>9.109999999999999</v>
      </c>
      <c r="H872" s="1" t="n">
        <v>6</v>
      </c>
      <c r="I872" s="1" t="n">
        <v>4.71</v>
      </c>
      <c r="J872" t="n">
        <v>23104020</v>
      </c>
    </row>
    <row r="873" ht="15.75" customHeight="1" s="201">
      <c r="A873" s="1" t="inlineStr">
        <is>
          <t>Beef, loin, top loin steak, boneless, lip-on, separable lean only, trimmed to 1/8" fat, all grades, raw</t>
        </is>
      </c>
      <c r="C873" s="1" t="n">
        <v>0</v>
      </c>
      <c r="D873" s="1" t="n">
        <v>4</v>
      </c>
      <c r="E873" s="1" t="n">
        <v>1.84</v>
      </c>
      <c r="F873" s="1" t="n">
        <v>23.07</v>
      </c>
      <c r="G873" s="1" t="n">
        <v>5.67</v>
      </c>
      <c r="H873" s="1" t="n">
        <v>7</v>
      </c>
      <c r="I873" s="1" t="n">
        <v>3.72</v>
      </c>
      <c r="J873" t="n">
        <v>23104020</v>
      </c>
    </row>
    <row r="874" ht="15.75" customHeight="1" s="201">
      <c r="A874" s="1" t="inlineStr">
        <is>
          <t>Beef, loin, top loin steak, boneless, lip-on, separable lean only, trimmed to 1/8" fat, choice, cooked, grilled</t>
        </is>
      </c>
      <c r="C874" s="1" t="n">
        <v>0</v>
      </c>
      <c r="D874" s="1" t="n">
        <v>7</v>
      </c>
      <c r="E874" s="1" t="n">
        <v>2.58</v>
      </c>
      <c r="F874" s="1" t="n">
        <v>28.66</v>
      </c>
      <c r="G874" s="1" t="n">
        <v>10.34</v>
      </c>
      <c r="H874" s="1" t="n">
        <v>5</v>
      </c>
      <c r="I874" s="1" t="n">
        <v>4.66</v>
      </c>
      <c r="J874" t="n">
        <v>23104020</v>
      </c>
    </row>
    <row r="875" ht="15.75" customHeight="1" s="201">
      <c r="A875" s="1" t="inlineStr">
        <is>
          <t>Beef, loin, top loin steak, boneless, lip-on, separable lean only, trimmed to 1/8" fat, choice, raw</t>
        </is>
      </c>
      <c r="C875" s="1" t="n">
        <v>0</v>
      </c>
      <c r="D875" s="1" t="n">
        <v>4</v>
      </c>
      <c r="E875" s="1" t="n">
        <v>1.93</v>
      </c>
      <c r="F875" s="1" t="n">
        <v>22.93</v>
      </c>
      <c r="G875" s="1" t="n">
        <v>6.34</v>
      </c>
      <c r="H875" s="1" t="n">
        <v>6</v>
      </c>
      <c r="I875" s="1" t="n">
        <v>3.79</v>
      </c>
      <c r="J875" t="n">
        <v>23104020</v>
      </c>
    </row>
    <row r="876" ht="15.75" customHeight="1" s="201">
      <c r="A876" s="1" t="inlineStr">
        <is>
          <t>Beef, loin, top loin steak, boneless, lip-on, separable lean only, trimmed to 1/8" fat, select, cooked, grilled</t>
        </is>
      </c>
      <c r="C876" s="1" t="n">
        <v>0</v>
      </c>
      <c r="D876" s="1" t="n">
        <v>7</v>
      </c>
      <c r="E876" s="1" t="n">
        <v>2.61</v>
      </c>
      <c r="F876" s="1" t="n">
        <v>29.67</v>
      </c>
      <c r="G876" s="1" t="n">
        <v>7.26</v>
      </c>
      <c r="H876" s="1" t="n">
        <v>7</v>
      </c>
      <c r="I876" s="1" t="n">
        <v>4.83</v>
      </c>
      <c r="J876" t="n">
        <v>23104020</v>
      </c>
    </row>
    <row r="877" ht="15.75" customHeight="1" s="201">
      <c r="A877" s="1" t="inlineStr">
        <is>
          <t>Beef, loin, top loin steak, boneless, lip-on, separable lean only, trimmed to 1/8" fat, select, raw</t>
        </is>
      </c>
      <c r="C877" s="1" t="n">
        <v>0</v>
      </c>
      <c r="D877" s="1" t="n">
        <v>4</v>
      </c>
      <c r="E877" s="1" t="n">
        <v>1.73</v>
      </c>
      <c r="F877" s="1" t="n">
        <v>23.3</v>
      </c>
      <c r="G877" s="1" t="n">
        <v>4.66</v>
      </c>
      <c r="H877" s="1" t="n">
        <v>7</v>
      </c>
      <c r="I877" s="1" t="n">
        <v>3.64</v>
      </c>
      <c r="J877" t="n">
        <v>23104020</v>
      </c>
    </row>
    <row r="878" ht="15.75" customHeight="1" s="201">
      <c r="A878" s="1" t="inlineStr">
        <is>
          <t>Beef, loin, top loin, separable lean and fat, trimmed to 1/8" fat, all grades, cooked, grilled</t>
        </is>
      </c>
      <c r="C878" s="1" t="n">
        <v>0</v>
      </c>
      <c r="D878" s="1" t="n">
        <v>8</v>
      </c>
      <c r="E878" s="1" t="n">
        <v>1.69</v>
      </c>
      <c r="F878" s="1" t="n">
        <v>26.44</v>
      </c>
      <c r="G878" s="1" t="n">
        <v>16.78</v>
      </c>
      <c r="H878" s="1" t="n">
        <v>0</v>
      </c>
      <c r="I878" s="1" t="n">
        <v>4.75</v>
      </c>
      <c r="J878" t="n">
        <v>28110510</v>
      </c>
    </row>
    <row r="879" ht="15.75" customHeight="1" s="201">
      <c r="A879" s="1" t="inlineStr">
        <is>
          <t>Beef, loin, top loin, separable lean and fat, trimmed to 1/8" fat, choice, raw</t>
        </is>
      </c>
      <c r="C879" s="1" t="n">
        <v>0</v>
      </c>
      <c r="D879" s="1" t="n">
        <v>6</v>
      </c>
      <c r="E879" s="1" t="n">
        <v>1.61</v>
      </c>
      <c r="F879" s="1" t="n">
        <v>19.32</v>
      </c>
      <c r="G879" s="1" t="n">
        <v>17.1</v>
      </c>
      <c r="H879" s="1" t="n">
        <v>0</v>
      </c>
      <c r="I879" s="1" t="n">
        <v>3.2</v>
      </c>
      <c r="J879" t="n">
        <v>28110510</v>
      </c>
    </row>
    <row r="880" ht="15.75" customHeight="1" s="201">
      <c r="A880" s="1" t="inlineStr">
        <is>
          <t>Beef, loin, top loin, separable lean and fat, trimmed to 1/8" fat, select, cooked, grilled</t>
        </is>
      </c>
      <c r="C880" s="1" t="n">
        <v>0</v>
      </c>
      <c r="D880" s="1" t="n">
        <v>8</v>
      </c>
      <c r="E880" s="1" t="n">
        <v>1.63</v>
      </c>
      <c r="F880" s="1" t="n">
        <v>26.72</v>
      </c>
      <c r="G880" s="1" t="n">
        <v>15.11</v>
      </c>
      <c r="H880" s="1" t="n">
        <v>0</v>
      </c>
      <c r="I880" s="1" t="n">
        <v>4.85</v>
      </c>
      <c r="J880" t="n">
        <v>28110510</v>
      </c>
    </row>
    <row r="881" ht="15.75" customHeight="1" s="201">
      <c r="A881" s="1" t="inlineStr">
        <is>
          <t>Beef, loin, top loin, separable lean and fat, trimmed to 1/8" fat, select, raw</t>
        </is>
      </c>
      <c r="C881" s="1" t="n">
        <v>0</v>
      </c>
      <c r="D881" s="1" t="n">
        <v>11</v>
      </c>
      <c r="E881" s="1" t="n">
        <v>1.47</v>
      </c>
      <c r="F881" s="1" t="n">
        <v>20.59</v>
      </c>
      <c r="G881" s="1" t="n">
        <v>15.04</v>
      </c>
      <c r="H881" s="1" t="n">
        <v>0</v>
      </c>
      <c r="I881" s="1" t="n">
        <v>3.45</v>
      </c>
      <c r="J881" t="n">
        <v>28110510</v>
      </c>
    </row>
    <row r="882" ht="15.75" customHeight="1" s="201">
      <c r="A882" s="1" t="inlineStr">
        <is>
          <t>Beef, loin, top sirloin cap steak, boneless, separable lean and fat, trimmed to 1/8" fat, all grades, cooked, grilled</t>
        </is>
      </c>
      <c r="C882" s="1" t="n">
        <v>0.8</v>
      </c>
      <c r="D882" s="1" t="n">
        <v>6</v>
      </c>
      <c r="E882" s="1" t="n">
        <v>3.16</v>
      </c>
      <c r="F882" s="1" t="n">
        <v>26</v>
      </c>
      <c r="G882" s="1" t="n">
        <v>15</v>
      </c>
      <c r="H882" s="1" t="n">
        <v>24</v>
      </c>
      <c r="I882" s="1" t="n">
        <v>9.99</v>
      </c>
      <c r="J882" t="n">
        <v>28110510</v>
      </c>
    </row>
    <row r="883" ht="15.75" customHeight="1" s="201">
      <c r="A883" s="1" t="inlineStr">
        <is>
          <t>Beef, loin, top sirloin cap steak, boneless, separable lean and fat, trimmed to 1/8" fat, all grades, raw</t>
        </is>
      </c>
      <c r="C883" s="1" t="n">
        <v>0</v>
      </c>
      <c r="D883" s="1" t="n">
        <v>3</v>
      </c>
      <c r="E883" s="1" t="n">
        <v>2.41</v>
      </c>
      <c r="F883" s="1" t="n">
        <v>19.9</v>
      </c>
      <c r="G883" s="1" t="n">
        <v>12.4</v>
      </c>
      <c r="H883" s="1" t="n">
        <v>13</v>
      </c>
      <c r="I883" s="1" t="n">
        <v>7.12</v>
      </c>
      <c r="J883" t="n">
        <v>28110510</v>
      </c>
    </row>
    <row r="884" ht="15.75" customHeight="1" s="201">
      <c r="A884" s="1" t="inlineStr">
        <is>
          <t>Beef, loin, top sirloin cap steak, boneless, separable lean and fat, trimmed to 1/8" fat, choice, cooked, grilled</t>
        </is>
      </c>
      <c r="C884" s="1" t="n">
        <v>1.1</v>
      </c>
      <c r="D884" s="1" t="n">
        <v>6</v>
      </c>
      <c r="E884" s="1" t="n">
        <v>3.23</v>
      </c>
      <c r="F884" s="1" t="n">
        <v>26.3</v>
      </c>
      <c r="G884" s="1" t="n">
        <v>14.3</v>
      </c>
      <c r="H884" s="1" t="n">
        <v>23</v>
      </c>
      <c r="I884" s="1" t="n">
        <v>10.21</v>
      </c>
      <c r="J884" t="n">
        <v>28110510</v>
      </c>
    </row>
    <row r="885" ht="15.75" customHeight="1" s="201">
      <c r="A885" s="1" t="inlineStr">
        <is>
          <t>Beef, loin, top sirloin cap steak, boneless, separable lean and fat, trimmed to 1/8" fat, choice, raw</t>
        </is>
      </c>
      <c r="C885" s="1" t="n">
        <v>0</v>
      </c>
      <c r="D885" s="1" t="n">
        <v>3</v>
      </c>
      <c r="E885" s="1" t="n">
        <v>2.4</v>
      </c>
      <c r="F885" s="1" t="n">
        <v>19.7</v>
      </c>
      <c r="G885" s="1" t="n">
        <v>13.4</v>
      </c>
      <c r="H885" s="1" t="n">
        <v>13</v>
      </c>
      <c r="I885" s="1" t="n">
        <v>7.09</v>
      </c>
      <c r="J885" t="n">
        <v>28110510</v>
      </c>
    </row>
    <row r="886" ht="15.75" customHeight="1" s="201">
      <c r="A886" s="1" t="inlineStr">
        <is>
          <t>Beef, loin, top sirloin cap steak, boneless, separable lean and fat, trimmed to 1/8" fat, select, cooked, grilled</t>
        </is>
      </c>
      <c r="C886" s="1" t="n">
        <v>0.4</v>
      </c>
      <c r="D886" s="1" t="n">
        <v>6</v>
      </c>
      <c r="E886" s="1" t="n">
        <v>3.19</v>
      </c>
      <c r="F886" s="1" t="n">
        <v>25.5</v>
      </c>
      <c r="G886" s="1" t="n">
        <v>16.1</v>
      </c>
      <c r="H886" s="1" t="n">
        <v>26</v>
      </c>
      <c r="I886" s="1" t="n">
        <v>9.880000000000001</v>
      </c>
      <c r="J886" t="n">
        <v>28110510</v>
      </c>
    </row>
    <row r="887" ht="15.75" customHeight="1" s="201">
      <c r="A887" s="1" t="inlineStr">
        <is>
          <t>Beef, loin, top sirloin cap steak, boneless, separable lean and fat, trimmed to 1/8" fat, select, raw</t>
        </is>
      </c>
      <c r="C887" s="1" t="n">
        <v>0</v>
      </c>
      <c r="D887" s="1" t="n">
        <v>3</v>
      </c>
      <c r="E887" s="1" t="n">
        <v>2.74</v>
      </c>
      <c r="F887" s="1" t="n">
        <v>20.1</v>
      </c>
      <c r="G887" s="1" t="n">
        <v>10.9</v>
      </c>
      <c r="H887" s="1" t="n">
        <v>13</v>
      </c>
      <c r="I887" s="1" t="n">
        <v>7.82</v>
      </c>
      <c r="J887" t="n">
        <v>28110510</v>
      </c>
    </row>
    <row r="888" ht="15.75" customHeight="1" s="201">
      <c r="A888" s="1" t="inlineStr">
        <is>
          <t>Beef, loin, top sirloin cap steak, boneless, separable lean only, trimmed to 1/8" fat, all grades, cooked, grilled</t>
        </is>
      </c>
      <c r="C888" s="1" t="n">
        <v>0.73</v>
      </c>
      <c r="D888" s="1" t="n">
        <v>7</v>
      </c>
      <c r="E888" s="1" t="n">
        <v>2.02</v>
      </c>
      <c r="F888" s="1" t="n">
        <v>28.26</v>
      </c>
      <c r="G888" s="1" t="n">
        <v>7.23</v>
      </c>
      <c r="H888" s="1" t="n">
        <v>5</v>
      </c>
      <c r="I888" s="1" t="n">
        <v>5.61</v>
      </c>
      <c r="J888" t="n">
        <v>28110510</v>
      </c>
    </row>
    <row r="889" ht="15.75" customHeight="1" s="201">
      <c r="A889" s="1" t="inlineStr">
        <is>
          <t>Beef, loin, top sirloin cap steak, boneless, separable lean only, trimmed to 1/8" fat, all grades, raw</t>
        </is>
      </c>
      <c r="C889" s="1" t="n">
        <v>0</v>
      </c>
      <c r="D889" s="1" t="n">
        <v>3</v>
      </c>
      <c r="E889" s="1" t="n">
        <v>2</v>
      </c>
      <c r="F889" s="1" t="n">
        <v>21.38</v>
      </c>
      <c r="G889" s="1" t="n">
        <v>5.36</v>
      </c>
      <c r="H889" s="1" t="n">
        <v>6</v>
      </c>
      <c r="I889" s="1" t="n">
        <v>5.3</v>
      </c>
      <c r="J889" t="n">
        <v>28110510</v>
      </c>
    </row>
    <row r="890" ht="15.75" customHeight="1" s="201">
      <c r="A890" s="1" t="inlineStr">
        <is>
          <t>Beef, loin, top sirloin cap steak, boneless, separable lean only, trimmed to 1/8" fat, choice, cooked, grilled</t>
        </is>
      </c>
      <c r="C890" s="1" t="n">
        <v>1.07</v>
      </c>
      <c r="D890" s="1" t="n">
        <v>7</v>
      </c>
      <c r="E890" s="1" t="n">
        <v>2.04</v>
      </c>
      <c r="F890" s="1" t="n">
        <v>28.19</v>
      </c>
      <c r="G890" s="1" t="n">
        <v>7.96</v>
      </c>
      <c r="H890" s="1" t="n">
        <v>4</v>
      </c>
      <c r="I890" s="1" t="n">
        <v>5.65</v>
      </c>
      <c r="J890" t="n">
        <v>28110510</v>
      </c>
    </row>
    <row r="891" ht="15.75" customHeight="1" s="201">
      <c r="A891" s="1" t="inlineStr">
        <is>
          <t>Beef, loin, top sirloin cap steak, boneless, separable lean only, trimmed to 1/8" fat, choice, raw</t>
        </is>
      </c>
      <c r="C891" s="1" t="n">
        <v>0</v>
      </c>
      <c r="D891" s="1" t="n">
        <v>3</v>
      </c>
      <c r="E891" s="1" t="n">
        <v>2.08</v>
      </c>
      <c r="F891" s="1" t="n">
        <v>21.34</v>
      </c>
      <c r="G891" s="1" t="n">
        <v>5.82</v>
      </c>
      <c r="H891" s="1" t="n">
        <v>6</v>
      </c>
      <c r="I891" s="1" t="n">
        <v>4.82</v>
      </c>
      <c r="J891" t="n">
        <v>28110510</v>
      </c>
    </row>
    <row r="892" ht="15.75" customHeight="1" s="201">
      <c r="A892" s="1" t="inlineStr">
        <is>
          <t>Beef, loin, top sirloin cap steak, boneless, separable lean only, trimmed to 1/8" fat, select, cooked, grilled</t>
        </is>
      </c>
      <c r="C892" s="1" t="n">
        <v>0.22</v>
      </c>
      <c r="D892" s="1" t="n">
        <v>7</v>
      </c>
      <c r="E892" s="1" t="n">
        <v>1.82</v>
      </c>
      <c r="F892" s="1" t="n">
        <v>28.36</v>
      </c>
      <c r="G892" s="1" t="n">
        <v>6.14</v>
      </c>
      <c r="H892" s="1" t="n">
        <v>7</v>
      </c>
      <c r="I892" s="1" t="n">
        <v>5.41</v>
      </c>
      <c r="J892" t="n">
        <v>28110510</v>
      </c>
    </row>
    <row r="893" ht="15.75" customHeight="1" s="201">
      <c r="A893" s="1" t="inlineStr">
        <is>
          <t>Beef, loin, top sirloin cap steak, boneless, separable lean only, trimmed to 1/8" fat, select, raw</t>
        </is>
      </c>
      <c r="C893" s="1" t="n">
        <v>0</v>
      </c>
      <c r="D893" s="1" t="n">
        <v>3</v>
      </c>
      <c r="E893" s="1" t="n">
        <v>1.98</v>
      </c>
      <c r="F893" s="1" t="n">
        <v>21.44</v>
      </c>
      <c r="G893" s="1" t="n">
        <v>4.68</v>
      </c>
      <c r="H893" s="1" t="n">
        <v>7</v>
      </c>
      <c r="I893" s="1" t="n">
        <v>5.57</v>
      </c>
      <c r="J893" t="n">
        <v>28110510</v>
      </c>
    </row>
    <row r="894" ht="15.75" customHeight="1" s="201">
      <c r="A894" s="1" t="inlineStr">
        <is>
          <t>Beef, loin, top sirloin filet, boneless, separable lean only, trimmed to 0" fat, all grades, cooked, grilled</t>
        </is>
      </c>
      <c r="C894" s="1" t="n">
        <v>0</v>
      </c>
      <c r="D894" s="1" t="n">
        <v>7</v>
      </c>
      <c r="E894" s="1" t="n">
        <v>2.9</v>
      </c>
      <c r="F894" s="1" t="n">
        <v>30.58</v>
      </c>
      <c r="G894" s="1" t="n">
        <v>5.37</v>
      </c>
      <c r="H894" s="1" t="n">
        <v>5</v>
      </c>
      <c r="I894" s="1" t="n">
        <v>7.44</v>
      </c>
      <c r="J894" t="n">
        <v>28110510</v>
      </c>
    </row>
    <row r="895" ht="15.75" customHeight="1" s="201">
      <c r="A895" s="1" t="inlineStr">
        <is>
          <t>Beef, loin, top sirloin filet, boneless, separable lean only, trimmed to 0" fat, choice, cooked, grilled</t>
        </is>
      </c>
      <c r="C895" s="1" t="n">
        <v>0</v>
      </c>
      <c r="D895" s="1" t="n">
        <v>7</v>
      </c>
      <c r="E895" s="1" t="n">
        <v>2.89</v>
      </c>
      <c r="F895" s="1" t="n">
        <v>30.45</v>
      </c>
      <c r="G895" s="1" t="n">
        <v>5.83</v>
      </c>
      <c r="H895" s="1" t="n">
        <v>5</v>
      </c>
      <c r="I895" s="1" t="n">
        <v>7.41</v>
      </c>
      <c r="J895" t="n">
        <v>28110510</v>
      </c>
    </row>
    <row r="896" ht="15.75" customHeight="1" s="201">
      <c r="A896" s="1" t="inlineStr">
        <is>
          <t>Beef, loin, top sirloin filet, boneless, separable lean only, trimmed to 0" fat, select, cooked, grilled</t>
        </is>
      </c>
      <c r="C896" s="1" t="n">
        <v>0</v>
      </c>
      <c r="D896" s="1" t="n">
        <v>7</v>
      </c>
      <c r="E896" s="1" t="n">
        <v>3.19</v>
      </c>
      <c r="F896" s="1" t="n">
        <v>30.78</v>
      </c>
      <c r="G896" s="1" t="n">
        <v>4.68</v>
      </c>
      <c r="H896" s="1" t="n">
        <v>7</v>
      </c>
      <c r="I896" s="1" t="n">
        <v>8.619999999999999</v>
      </c>
      <c r="J896" t="n">
        <v>28110510</v>
      </c>
    </row>
    <row r="897" ht="15.75" customHeight="1" s="201">
      <c r="A897" s="1" t="inlineStr">
        <is>
          <t>Beef, loin, top sirloin petite roast, boneless, separable lean only, trimmed to 0" fat, all grades, cooked, roasted</t>
        </is>
      </c>
      <c r="C897" s="1" t="n">
        <v>0</v>
      </c>
      <c r="D897" s="1" t="n">
        <v>7</v>
      </c>
      <c r="E897" s="1" t="n">
        <v>2.75</v>
      </c>
      <c r="F897" s="1" t="n">
        <v>29.12</v>
      </c>
      <c r="G897" s="1" t="n">
        <v>5.92</v>
      </c>
      <c r="H897" s="1" t="n">
        <v>5</v>
      </c>
      <c r="I897" s="1" t="n">
        <v>7.07</v>
      </c>
      <c r="J897" t="n">
        <v>28110510</v>
      </c>
    </row>
    <row r="898" ht="15.75" customHeight="1" s="201">
      <c r="A898" s="1" t="inlineStr">
        <is>
          <t>Beef, loin, top sirloin petite roast, boneless, separable lean only, trimmed to 0" fat, choice, cooked, roasted</t>
        </is>
      </c>
      <c r="C898" s="1" t="n">
        <v>0</v>
      </c>
      <c r="D898" s="1" t="n">
        <v>7</v>
      </c>
      <c r="E898" s="1" t="n">
        <v>2.77</v>
      </c>
      <c r="F898" s="1" t="n">
        <v>28.97</v>
      </c>
      <c r="G898" s="1" t="n">
        <v>6.37</v>
      </c>
      <c r="H898" s="1" t="n">
        <v>4</v>
      </c>
      <c r="I898" s="1" t="n">
        <v>7.11</v>
      </c>
      <c r="J898" t="n">
        <v>28110510</v>
      </c>
    </row>
    <row r="899" ht="15.75" customHeight="1" s="201">
      <c r="A899" s="1" t="inlineStr">
        <is>
          <t>Beef, loin, top sirloin petite roast, boneless, separable lean only, trimmed to 0" fat, select, cooked, roasted</t>
        </is>
      </c>
      <c r="C899" s="1" t="n">
        <v>0</v>
      </c>
      <c r="D899" s="1" t="n">
        <v>7</v>
      </c>
      <c r="E899" s="1" t="n">
        <v>2.75</v>
      </c>
      <c r="F899" s="1" t="n">
        <v>29.35</v>
      </c>
      <c r="G899" s="1" t="n">
        <v>5.25</v>
      </c>
      <c r="H899" s="1" t="n">
        <v>7</v>
      </c>
      <c r="I899" s="1" t="n">
        <v>8.17</v>
      </c>
      <c r="J899" t="n">
        <v>28110510</v>
      </c>
    </row>
    <row r="900" ht="15.75" customHeight="1" s="201">
      <c r="A900" s="1" t="inlineStr">
        <is>
          <t>Beef, loin, top sirloin petite roast/filet, boneless, separable lean only, trimmed to 0" fat, all grades, raw</t>
        </is>
      </c>
      <c r="C900" s="1" t="n">
        <v>0</v>
      </c>
      <c r="D900" s="1" t="n">
        <v>4</v>
      </c>
      <c r="E900" s="1" t="n">
        <v>2.24</v>
      </c>
      <c r="F900" s="1" t="n">
        <v>23.04</v>
      </c>
      <c r="G900" s="1" t="n">
        <v>3.98</v>
      </c>
      <c r="H900" s="1" t="n">
        <v>6</v>
      </c>
      <c r="I900" s="1" t="n">
        <v>5.2</v>
      </c>
      <c r="J900" t="n">
        <v>27513010</v>
      </c>
    </row>
    <row r="901" ht="15.75" customHeight="1" s="201">
      <c r="A901" s="1" t="inlineStr">
        <is>
          <t>Beef, loin, top sirloin petite roast/filet, boneless, separable lean only, trimmed to 0" fat, choice, raw</t>
        </is>
      </c>
      <c r="C901" s="1" t="n">
        <v>0</v>
      </c>
      <c r="D901" s="1" t="n">
        <v>4</v>
      </c>
      <c r="E901" s="1" t="n">
        <v>2.23</v>
      </c>
      <c r="F901" s="1" t="n">
        <v>23.03</v>
      </c>
      <c r="G901" s="1" t="n">
        <v>4.4</v>
      </c>
      <c r="H901" s="1" t="n">
        <v>6</v>
      </c>
      <c r="I901" s="1" t="n">
        <v>5.19</v>
      </c>
      <c r="J901" t="n">
        <v>27513010</v>
      </c>
    </row>
    <row r="902" ht="15.75" customHeight="1" s="201">
      <c r="A902" s="1" t="inlineStr">
        <is>
          <t>Beef, loin, top sirloin petite roast/filet, boneless, separable lean only, trimmed to 0" fat, select, raw</t>
        </is>
      </c>
      <c r="C902" s="1" t="n">
        <v>0</v>
      </c>
      <c r="D902" s="1" t="n">
        <v>4</v>
      </c>
      <c r="E902" s="1" t="n">
        <v>2.39</v>
      </c>
      <c r="F902" s="1" t="n">
        <v>23.05</v>
      </c>
      <c r="G902" s="1" t="n">
        <v>3.35</v>
      </c>
      <c r="H902" s="1" t="n">
        <v>7</v>
      </c>
      <c r="I902" s="1" t="n">
        <v>5.78</v>
      </c>
      <c r="J902" t="n">
        <v>27513010</v>
      </c>
    </row>
    <row r="903" ht="15.75" customHeight="1" s="201">
      <c r="A903" s="1" t="inlineStr">
        <is>
          <t>Beef, New Zealand, imported, bolar blade, separable lean and fat, cooked, fast roasted</t>
        </is>
      </c>
      <c r="C903" s="1" t="n">
        <v>0</v>
      </c>
      <c r="E903" s="1" t="n">
        <v>2.54</v>
      </c>
      <c r="F903" s="1" t="n">
        <v>31.3</v>
      </c>
      <c r="G903" s="1" t="n">
        <v>11.37</v>
      </c>
      <c r="H903" s="1" t="n">
        <v>41</v>
      </c>
      <c r="I903" s="1" t="n">
        <v>5.93</v>
      </c>
      <c r="J903" t="n">
        <v>28110510</v>
      </c>
    </row>
    <row r="904" ht="15.75" customHeight="1" s="201">
      <c r="A904" s="1" t="inlineStr">
        <is>
          <t>Beef, New Zealand, imported, bolar blade, separable lean and fat, raw</t>
        </is>
      </c>
      <c r="C904" s="1" t="n">
        <v>0</v>
      </c>
      <c r="E904" s="1" t="n">
        <v>1.97</v>
      </c>
      <c r="F904" s="1" t="n">
        <v>21.29</v>
      </c>
      <c r="G904" s="1" t="n">
        <v>8.220000000000001</v>
      </c>
      <c r="H904" s="1" t="n">
        <v>20</v>
      </c>
      <c r="I904" s="1" t="n">
        <v>3.46</v>
      </c>
      <c r="J904" t="n">
        <v>28110510</v>
      </c>
    </row>
    <row r="905" ht="15.75" customHeight="1" s="201">
      <c r="A905" s="1" t="inlineStr">
        <is>
          <t>Beef, New Zealand, imported, bolar blade, separable lean only, cooked, fast roasted</t>
        </is>
      </c>
      <c r="C905" s="1" t="n">
        <v>0</v>
      </c>
      <c r="E905" s="1" t="n">
        <v>2.7</v>
      </c>
      <c r="F905" s="1" t="n">
        <v>33.53</v>
      </c>
      <c r="G905" s="1" t="n">
        <v>6.57</v>
      </c>
      <c r="H905" s="1" t="n">
        <v>45</v>
      </c>
      <c r="I905" s="1" t="n">
        <v>6.38</v>
      </c>
      <c r="J905" t="n">
        <v>28110510</v>
      </c>
    </row>
    <row r="906" ht="15.75" customHeight="1" s="201">
      <c r="A906" s="1" t="inlineStr">
        <is>
          <t>Beef, New Zealand, imported, bolar blade, separable lean only, raw</t>
        </is>
      </c>
      <c r="C906" s="1" t="n">
        <v>0</v>
      </c>
      <c r="E906" s="1" t="n">
        <v>2.06</v>
      </c>
      <c r="F906" s="1" t="n">
        <v>22.09</v>
      </c>
      <c r="G906" s="1" t="n">
        <v>4.49</v>
      </c>
      <c r="H906" s="1" t="n">
        <v>21</v>
      </c>
      <c r="I906" s="1" t="n">
        <v>3.63</v>
      </c>
      <c r="J906" t="n">
        <v>28110510</v>
      </c>
    </row>
    <row r="907" ht="15.75" customHeight="1" s="201">
      <c r="A907" s="1" t="inlineStr">
        <is>
          <t>Beef, New Zealand, imported, brisket navel end, separable lean and fat, cooked, braised</t>
        </is>
      </c>
      <c r="C907" s="1" t="n">
        <v>0</v>
      </c>
      <c r="E907" s="1" t="n">
        <v>1.29</v>
      </c>
      <c r="F907" s="1" t="n">
        <v>20.14</v>
      </c>
      <c r="G907" s="1" t="n">
        <v>41.33</v>
      </c>
      <c r="H907" s="1" t="n">
        <v>32</v>
      </c>
      <c r="I907" s="1" t="n">
        <v>3.61</v>
      </c>
      <c r="J907" t="n">
        <v>28110510</v>
      </c>
    </row>
    <row r="908" ht="15.75" customHeight="1" s="201">
      <c r="A908" s="1" t="inlineStr">
        <is>
          <t>Beef, New Zealand, imported, brisket navel end, separable lean and fat, raw</t>
        </is>
      </c>
      <c r="C908" s="1" t="n">
        <v>0</v>
      </c>
      <c r="E908" s="1" t="n">
        <v>1.11</v>
      </c>
      <c r="F908" s="1" t="n">
        <v>15.81</v>
      </c>
      <c r="G908" s="1" t="n">
        <v>31.27</v>
      </c>
      <c r="H908" s="1" t="n">
        <v>29</v>
      </c>
      <c r="I908" s="1" t="n">
        <v>2.66</v>
      </c>
      <c r="J908" t="n">
        <v>28110510</v>
      </c>
    </row>
    <row r="909" ht="15.75" customHeight="1" s="201">
      <c r="A909" s="1" t="inlineStr">
        <is>
          <t>Beef, New Zealand, imported, brisket navel end, separable lean only, cooked, braised</t>
        </is>
      </c>
      <c r="C909" s="1" t="n">
        <v>0</v>
      </c>
      <c r="E909" s="1" t="n">
        <v>1.84</v>
      </c>
      <c r="F909" s="1" t="n">
        <v>29.35</v>
      </c>
      <c r="G909" s="1" t="n">
        <v>16.37</v>
      </c>
      <c r="H909" s="1" t="n">
        <v>53</v>
      </c>
      <c r="I909" s="1" t="n">
        <v>5.76</v>
      </c>
      <c r="J909" t="n">
        <v>28110510</v>
      </c>
    </row>
    <row r="910" ht="15.75" customHeight="1" s="201">
      <c r="A910" s="1" t="inlineStr">
        <is>
          <t>Beef, New Zealand, imported, brisket navel end, separable lean only, raw</t>
        </is>
      </c>
      <c r="C910" s="1" t="n">
        <v>0</v>
      </c>
      <c r="E910" s="1" t="n">
        <v>1.4</v>
      </c>
      <c r="F910" s="1" t="n">
        <v>19.74</v>
      </c>
      <c r="G910" s="1" t="n">
        <v>12.75</v>
      </c>
      <c r="H910" s="1" t="n">
        <v>43</v>
      </c>
      <c r="I910" s="1" t="n">
        <v>3.64</v>
      </c>
      <c r="J910" t="n">
        <v>28110510</v>
      </c>
    </row>
    <row r="911" ht="15.75" customHeight="1" s="201">
      <c r="A911" s="1" t="inlineStr">
        <is>
          <t>Beef, New Zealand, imported, brisket point end, separable lean and fat, cooked, braised</t>
        </is>
      </c>
      <c r="C911" s="1" t="n">
        <v>0</v>
      </c>
      <c r="E911" s="1" t="n">
        <v>2.57</v>
      </c>
      <c r="F911" s="1" t="n">
        <v>31.94</v>
      </c>
      <c r="G911" s="1" t="n">
        <v>13.6</v>
      </c>
      <c r="H911" s="1" t="n">
        <v>37</v>
      </c>
      <c r="I911" s="1" t="n">
        <v>4.73</v>
      </c>
      <c r="J911" t="n">
        <v>28110510</v>
      </c>
    </row>
    <row r="912" ht="15.75" customHeight="1" s="201">
      <c r="A912" s="1" t="inlineStr">
        <is>
          <t>Beef, New Zealand, imported, brisket point end, separable lean and fat, raw</t>
        </is>
      </c>
      <c r="C912" s="1" t="n">
        <v>0</v>
      </c>
      <c r="E912" s="1" t="n">
        <v>1.94</v>
      </c>
      <c r="F912" s="1" t="n">
        <v>20.05</v>
      </c>
      <c r="G912" s="1" t="n">
        <v>9.23</v>
      </c>
      <c r="H912" s="1" t="n">
        <v>26</v>
      </c>
      <c r="I912" s="1" t="n">
        <v>2.51</v>
      </c>
      <c r="J912" t="n">
        <v>28110510</v>
      </c>
    </row>
    <row r="913" ht="15.75" customHeight="1" s="201">
      <c r="A913" s="1" t="inlineStr">
        <is>
          <t>Beef, New Zealand, imported, brisket point end, separable lean only, cooked, braised</t>
        </is>
      </c>
      <c r="C913" s="1" t="n">
        <v>0</v>
      </c>
      <c r="E913" s="1" t="n">
        <v>2.78</v>
      </c>
      <c r="F913" s="1" t="n">
        <v>34.51</v>
      </c>
      <c r="G913" s="1" t="n">
        <v>7.05</v>
      </c>
      <c r="H913" s="1" t="n">
        <v>41</v>
      </c>
      <c r="I913" s="1" t="n">
        <v>5.16</v>
      </c>
      <c r="J913" t="n">
        <v>28110510</v>
      </c>
    </row>
    <row r="914" ht="15.75" customHeight="1" s="201">
      <c r="A914" s="1" t="inlineStr">
        <is>
          <t>Beef, New Zealand, imported, brisket point end, separable lean only, raw</t>
        </is>
      </c>
      <c r="C914" s="1" t="n">
        <v>0</v>
      </c>
      <c r="E914" s="1" t="n">
        <v>2.06</v>
      </c>
      <c r="F914" s="1" t="n">
        <v>20.92</v>
      </c>
      <c r="G914" s="1" t="n">
        <v>4.62</v>
      </c>
      <c r="H914" s="1" t="n">
        <v>28</v>
      </c>
      <c r="I914" s="1" t="n">
        <v>2.66</v>
      </c>
      <c r="J914" t="n">
        <v>28110510</v>
      </c>
    </row>
    <row r="915" ht="15.75" customHeight="1" s="201">
      <c r="A915" s="1" t="inlineStr">
        <is>
          <t>Beef, New Zealand, imported, chuck eye roll, separable lean and fat, cooked, braised</t>
        </is>
      </c>
      <c r="C915" s="1" t="n">
        <v>0</v>
      </c>
      <c r="E915" s="1" t="n">
        <v>2.52</v>
      </c>
      <c r="F915" s="1" t="n">
        <v>29.92</v>
      </c>
      <c r="G915" s="1" t="n">
        <v>14.74</v>
      </c>
      <c r="H915" s="1" t="n">
        <v>37</v>
      </c>
      <c r="I915" s="1" t="n">
        <v>7.18</v>
      </c>
      <c r="J915" t="n">
        <v>28110510</v>
      </c>
    </row>
    <row r="916" ht="15.75" customHeight="1" s="201">
      <c r="A916" s="1" t="inlineStr">
        <is>
          <t>Beef, New Zealand, imported, chuck eye roll, separable lean and fat, raw</t>
        </is>
      </c>
      <c r="C916" s="1" t="n">
        <v>0</v>
      </c>
      <c r="E916" s="1" t="n">
        <v>1.89</v>
      </c>
      <c r="F916" s="1" t="n">
        <v>19.38</v>
      </c>
      <c r="G916" s="1" t="n">
        <v>11.45</v>
      </c>
      <c r="H916" s="1" t="n">
        <v>26</v>
      </c>
      <c r="I916" s="1" t="n">
        <v>4.44</v>
      </c>
      <c r="J916" t="n">
        <v>28110510</v>
      </c>
    </row>
    <row r="917" ht="15.75" customHeight="1" s="201">
      <c r="A917" s="1" t="inlineStr">
        <is>
          <t>Beef, New Zealand, imported, chuck eye roll, separable lean only, cooked, braised</t>
        </is>
      </c>
      <c r="C917" s="1" t="n">
        <v>0</v>
      </c>
      <c r="E917" s="1" t="n">
        <v>2.71</v>
      </c>
      <c r="F917" s="1" t="n">
        <v>32.08</v>
      </c>
      <c r="G917" s="1" t="n">
        <v>8.890000000000001</v>
      </c>
      <c r="H917" s="1" t="n">
        <v>41</v>
      </c>
      <c r="I917" s="1" t="n">
        <v>7.81</v>
      </c>
      <c r="J917" t="n">
        <v>28110510</v>
      </c>
    </row>
    <row r="918" ht="15.75" customHeight="1" s="201">
      <c r="A918" s="1" t="inlineStr">
        <is>
          <t>Beef, New Zealand, imported, chuck eye roll, separable lean only, raw</t>
        </is>
      </c>
      <c r="C918" s="1" t="n">
        <v>0</v>
      </c>
      <c r="E918" s="1" t="n">
        <v>2.04</v>
      </c>
      <c r="F918" s="1" t="n">
        <v>20.46</v>
      </c>
      <c r="G918" s="1" t="n">
        <v>5.41</v>
      </c>
      <c r="H918" s="1" t="n">
        <v>28</v>
      </c>
      <c r="I918" s="1" t="n">
        <v>4.84</v>
      </c>
      <c r="J918" t="n">
        <v>28110510</v>
      </c>
    </row>
    <row r="919" ht="15.75" customHeight="1" s="201">
      <c r="A919" s="1" t="inlineStr">
        <is>
          <t>Beef, New Zealand, imported, cube roll, separable lean and fat, cooked, fast roasted</t>
        </is>
      </c>
      <c r="C919" s="1" t="n">
        <v>0.03</v>
      </c>
      <c r="E919" s="1" t="n">
        <v>2.2</v>
      </c>
      <c r="F919" s="1" t="n">
        <v>27.79</v>
      </c>
      <c r="G919" s="1" t="n">
        <v>19.45</v>
      </c>
      <c r="H919" s="1" t="n">
        <v>37</v>
      </c>
      <c r="I919" s="1" t="n">
        <v>4.56</v>
      </c>
      <c r="J919" t="n">
        <v>28110510</v>
      </c>
    </row>
    <row r="920" ht="15.75" customHeight="1" s="201">
      <c r="A920" s="1" t="inlineStr">
        <is>
          <t>Beef, New Zealand, imported, cube roll, separable lean and fat, raw</t>
        </is>
      </c>
      <c r="C920" s="1" t="n">
        <v>1.26</v>
      </c>
      <c r="E920" s="1" t="n">
        <v>1.91</v>
      </c>
      <c r="F920" s="1" t="n">
        <v>18.22</v>
      </c>
      <c r="G920" s="1" t="n">
        <v>16.31</v>
      </c>
      <c r="H920" s="1" t="n">
        <v>49</v>
      </c>
      <c r="I920" s="1" t="n">
        <v>3.32</v>
      </c>
      <c r="J920" t="n">
        <v>28110510</v>
      </c>
    </row>
    <row r="921" ht="15.75" customHeight="1" s="201">
      <c r="A921" s="1" t="inlineStr">
        <is>
          <t>Beef, New Zealand, imported, cube roll, separable lean only, cooked, fast roasted</t>
        </is>
      </c>
      <c r="C921" s="1" t="n">
        <v>0</v>
      </c>
      <c r="E921" s="1" t="n">
        <v>2.38</v>
      </c>
      <c r="F921" s="1" t="n">
        <v>30.09</v>
      </c>
      <c r="G921" s="1" t="n">
        <v>13.22</v>
      </c>
      <c r="H921" s="1" t="n">
        <v>41</v>
      </c>
      <c r="I921" s="1" t="n">
        <v>4.99</v>
      </c>
      <c r="J921" t="n">
        <v>28110510</v>
      </c>
    </row>
    <row r="922" ht="15.75" customHeight="1" s="201">
      <c r="A922" s="1" t="inlineStr">
        <is>
          <t>Beef, New Zealand, imported, cube roll, separable lean only, raw</t>
        </is>
      </c>
      <c r="C922" s="1" t="n">
        <v>1.38</v>
      </c>
      <c r="E922" s="1" t="n">
        <v>2.09</v>
      </c>
      <c r="F922" s="1" t="n">
        <v>19.77</v>
      </c>
      <c r="G922" s="1" t="n">
        <v>8.51</v>
      </c>
      <c r="H922" s="1" t="n">
        <v>56</v>
      </c>
      <c r="I922" s="1" t="n">
        <v>3.66</v>
      </c>
      <c r="J922" t="n">
        <v>28110510</v>
      </c>
    </row>
    <row r="923" ht="15.75" customHeight="1" s="201">
      <c r="A923" s="1" t="inlineStr">
        <is>
          <t>Beef, New Zealand, imported, eye round, separable lean and fat, cooked, slow roasted</t>
        </is>
      </c>
      <c r="C923" s="1" t="n">
        <v>0</v>
      </c>
      <c r="E923" s="1" t="n">
        <v>1.88</v>
      </c>
      <c r="F923" s="1" t="n">
        <v>29.49</v>
      </c>
      <c r="G923" s="1" t="n">
        <v>5.57</v>
      </c>
      <c r="H923" s="1" t="n">
        <v>24</v>
      </c>
      <c r="I923" s="1" t="n">
        <v>3.92</v>
      </c>
      <c r="J923" t="n">
        <v>28110510</v>
      </c>
    </row>
    <row r="924" ht="15.75" customHeight="1" s="201">
      <c r="A924" s="1" t="inlineStr">
        <is>
          <t>Beef, New Zealand, imported, eye round, separable lean and fat, raw</t>
        </is>
      </c>
      <c r="C924" s="1" t="n">
        <v>1.32</v>
      </c>
      <c r="E924" s="1" t="n">
        <v>1.37</v>
      </c>
      <c r="F924" s="1" t="n">
        <v>19.88</v>
      </c>
      <c r="G924" s="1" t="n">
        <v>4.92</v>
      </c>
      <c r="H924" s="1" t="n">
        <v>23</v>
      </c>
      <c r="I924" s="1" t="n">
        <v>2.72</v>
      </c>
      <c r="J924" t="n">
        <v>28110510</v>
      </c>
    </row>
    <row r="925" ht="15.75" customHeight="1" s="201">
      <c r="A925" s="1" t="inlineStr">
        <is>
          <t>Beef, New Zealand, imported, eye round, separable lean only, cooked, slow roasted</t>
        </is>
      </c>
      <c r="C925" s="1" t="n">
        <v>0</v>
      </c>
      <c r="E925" s="1" t="n">
        <v>1.89</v>
      </c>
      <c r="F925" s="1" t="n">
        <v>29.68</v>
      </c>
      <c r="G925" s="1" t="n">
        <v>4.98</v>
      </c>
      <c r="H925" s="1" t="n">
        <v>24</v>
      </c>
      <c r="I925" s="1" t="n">
        <v>3.95</v>
      </c>
      <c r="J925" t="n">
        <v>28110510</v>
      </c>
    </row>
    <row r="926" ht="15.75" customHeight="1" s="201">
      <c r="A926" s="1" t="inlineStr">
        <is>
          <t>Beef, New Zealand, imported, eye round, separable lean only, raw</t>
        </is>
      </c>
      <c r="C926" s="1" t="n">
        <v>1.35</v>
      </c>
      <c r="E926" s="1" t="n">
        <v>1.39</v>
      </c>
      <c r="F926" s="1" t="n">
        <v>20.15</v>
      </c>
      <c r="G926" s="1" t="n">
        <v>3.35</v>
      </c>
      <c r="H926" s="1" t="n">
        <v>24</v>
      </c>
      <c r="I926" s="1" t="n">
        <v>2.78</v>
      </c>
      <c r="J926" t="n">
        <v>28110510</v>
      </c>
    </row>
    <row r="927" ht="15.75" customHeight="1" s="201">
      <c r="A927" s="1" t="inlineStr">
        <is>
          <t>Beef, New Zealand, imported, flank, separable lean and fat, cooked, braised</t>
        </is>
      </c>
      <c r="C927" s="1" t="n">
        <v>0</v>
      </c>
      <c r="E927" s="1" t="n">
        <v>2.36</v>
      </c>
      <c r="F927" s="1" t="n">
        <v>30.13</v>
      </c>
      <c r="G927" s="1" t="n">
        <v>9.73</v>
      </c>
      <c r="H927" s="1" t="n">
        <v>37</v>
      </c>
      <c r="I927" s="1" t="n">
        <v>6.73</v>
      </c>
      <c r="J927" t="n">
        <v>28110510</v>
      </c>
    </row>
    <row r="928" ht="15.75" customHeight="1" s="201">
      <c r="A928" s="1" t="inlineStr">
        <is>
          <t>Beef, New Zealand, imported, flank, separable lean and fat, raw</t>
        </is>
      </c>
      <c r="C928" s="1" t="n">
        <v>0</v>
      </c>
      <c r="E928" s="1" t="n">
        <v>1.53</v>
      </c>
      <c r="F928" s="1" t="n">
        <v>20.12</v>
      </c>
      <c r="G928" s="1" t="n">
        <v>8.9</v>
      </c>
      <c r="H928" s="1" t="n">
        <v>25</v>
      </c>
      <c r="I928" s="1" t="n">
        <v>4.19</v>
      </c>
      <c r="J928" t="n">
        <v>28110510</v>
      </c>
    </row>
    <row r="929" ht="15.75" customHeight="1" s="201">
      <c r="A929" s="1" t="inlineStr">
        <is>
          <t>Beef, New Zealand, imported, flank, separable lean only, cooked, braised</t>
        </is>
      </c>
      <c r="C929" s="1" t="n">
        <v>0</v>
      </c>
      <c r="E929" s="1" t="n">
        <v>2.41</v>
      </c>
      <c r="F929" s="1" t="n">
        <v>30.75</v>
      </c>
      <c r="G929" s="1" t="n">
        <v>7.92</v>
      </c>
      <c r="H929" s="1" t="n">
        <v>38</v>
      </c>
      <c r="I929" s="1" t="n">
        <v>6.89</v>
      </c>
      <c r="J929" t="n">
        <v>28110510</v>
      </c>
    </row>
    <row r="930" ht="15.75" customHeight="1" s="201">
      <c r="A930" s="1" t="inlineStr">
        <is>
          <t>Beef, New Zealand, imported, flank, separable lean only, raw</t>
        </is>
      </c>
      <c r="C930" s="1" t="n">
        <v>0</v>
      </c>
      <c r="E930" s="1" t="n">
        <v>1.57</v>
      </c>
      <c r="F930" s="1" t="n">
        <v>20.53</v>
      </c>
      <c r="G930" s="1" t="n">
        <v>6.67</v>
      </c>
      <c r="H930" s="1" t="n">
        <v>26</v>
      </c>
      <c r="I930" s="1" t="n">
        <v>4.33</v>
      </c>
      <c r="J930" t="n">
        <v>28110510</v>
      </c>
    </row>
    <row r="931" ht="15.75" customHeight="1" s="201">
      <c r="A931" s="1" t="inlineStr">
        <is>
          <t>Beef, New Zealand, imported, flat, separable lean and fat, cooked, braised</t>
        </is>
      </c>
      <c r="C931" s="1" t="n">
        <v>0</v>
      </c>
      <c r="E931" s="1" t="n">
        <v>3.09</v>
      </c>
      <c r="F931" s="1" t="n">
        <v>31.86</v>
      </c>
      <c r="G931" s="1" t="n">
        <v>13.79</v>
      </c>
      <c r="H931" s="1" t="n">
        <v>47</v>
      </c>
      <c r="I931" s="1" t="n">
        <v>4.33</v>
      </c>
      <c r="J931" t="n">
        <v>28110510</v>
      </c>
    </row>
    <row r="932" ht="15.75" customHeight="1" s="201">
      <c r="A932" s="1" t="inlineStr">
        <is>
          <t>Beef, New Zealand, imported, flat, separable lean and fat, raw</t>
        </is>
      </c>
      <c r="C932" s="1" t="n">
        <v>0</v>
      </c>
      <c r="E932" s="1" t="n">
        <v>1.84</v>
      </c>
      <c r="F932" s="1" t="n">
        <v>20.57</v>
      </c>
      <c r="G932" s="1" t="n">
        <v>10.55</v>
      </c>
      <c r="H932" s="1" t="n">
        <v>34</v>
      </c>
      <c r="I932" s="1" t="n">
        <v>5.22</v>
      </c>
      <c r="J932" t="n">
        <v>28110510</v>
      </c>
    </row>
    <row r="933" ht="15.75" customHeight="1" s="201">
      <c r="A933" s="1" t="inlineStr">
        <is>
          <t>Beef, New Zealand, imported, flat, separable lean only, cooked, braised</t>
        </is>
      </c>
      <c r="C933" s="1" t="n">
        <v>0</v>
      </c>
      <c r="E933" s="1" t="n">
        <v>3.23</v>
      </c>
      <c r="F933" s="1" t="n">
        <v>33.22</v>
      </c>
      <c r="G933" s="1" t="n">
        <v>10.3</v>
      </c>
      <c r="H933" s="1" t="n">
        <v>49</v>
      </c>
      <c r="I933" s="1" t="n">
        <v>4.54</v>
      </c>
      <c r="J933" t="n">
        <v>28110510</v>
      </c>
    </row>
    <row r="934" ht="15.75" customHeight="1" s="201">
      <c r="A934" s="1" t="inlineStr">
        <is>
          <t>Beef, New Zealand, imported, flat, separable lean only, raw</t>
        </is>
      </c>
      <c r="C934" s="1" t="n">
        <v>0</v>
      </c>
      <c r="E934" s="1" t="n">
        <v>1.9</v>
      </c>
      <c r="F934" s="1" t="n">
        <v>21.3</v>
      </c>
      <c r="G934" s="1" t="n">
        <v>7.69</v>
      </c>
      <c r="H934" s="1" t="n">
        <v>36</v>
      </c>
      <c r="I934" s="1" t="n">
        <v>5.44</v>
      </c>
      <c r="J934" t="n">
        <v>28110510</v>
      </c>
    </row>
    <row r="935" ht="15.75" customHeight="1" s="201">
      <c r="A935" s="1" t="inlineStr">
        <is>
          <t>Beef, New Zealand, imported, hind shin, separable lean and fat, cooked, braised</t>
        </is>
      </c>
      <c r="C935" s="1" t="n">
        <v>0.07000000000000001</v>
      </c>
      <c r="E935" s="1" t="n">
        <v>2.6</v>
      </c>
      <c r="F935" s="1" t="n">
        <v>29.82</v>
      </c>
      <c r="G935" s="1" t="n">
        <v>8.5</v>
      </c>
      <c r="H935" s="1" t="n">
        <v>25</v>
      </c>
      <c r="I935" s="1" t="n">
        <v>5.85</v>
      </c>
      <c r="J935" t="n">
        <v>28110510</v>
      </c>
    </row>
    <row r="936" ht="15.75" customHeight="1" s="201">
      <c r="A936" s="1" t="inlineStr">
        <is>
          <t>Beef, New Zealand, imported, hind shin, separable lean and fat, raw</t>
        </is>
      </c>
      <c r="C936" s="1" t="n">
        <v>0</v>
      </c>
      <c r="E936" s="1" t="n">
        <v>1.95</v>
      </c>
      <c r="F936" s="1" t="n">
        <v>20.61</v>
      </c>
      <c r="G936" s="1" t="n">
        <v>7.2</v>
      </c>
      <c r="H936" s="1" t="n">
        <v>20</v>
      </c>
      <c r="I936" s="1" t="n">
        <v>3.66</v>
      </c>
      <c r="J936" t="n">
        <v>28110510</v>
      </c>
    </row>
    <row r="937" ht="15.75" customHeight="1" s="201">
      <c r="A937" s="1" t="inlineStr">
        <is>
          <t>Beef, New Zealand, imported, hind shin, separable lean only, cooked, braised</t>
        </is>
      </c>
      <c r="C937" s="1" t="n">
        <v>0</v>
      </c>
      <c r="E937" s="1" t="n">
        <v>2.72</v>
      </c>
      <c r="F937" s="1" t="n">
        <v>31.23</v>
      </c>
      <c r="G937" s="1" t="n">
        <v>4.64</v>
      </c>
      <c r="H937" s="1" t="n">
        <v>27</v>
      </c>
      <c r="I937" s="1" t="n">
        <v>6.15</v>
      </c>
      <c r="J937" t="n">
        <v>28110510</v>
      </c>
    </row>
    <row r="938" ht="15.75" customHeight="1" s="201">
      <c r="A938" s="1" t="inlineStr">
        <is>
          <t>Beef, New Zealand, imported, hind shin, separable lean only, raw</t>
        </is>
      </c>
      <c r="C938" s="1" t="n">
        <v>0</v>
      </c>
      <c r="E938" s="1" t="n">
        <v>2.04</v>
      </c>
      <c r="F938" s="1" t="n">
        <v>21.46</v>
      </c>
      <c r="G938" s="1" t="n">
        <v>3.12</v>
      </c>
      <c r="H938" s="1" t="n">
        <v>21</v>
      </c>
      <c r="I938" s="1" t="n">
        <v>3.86</v>
      </c>
      <c r="J938" t="n">
        <v>28110510</v>
      </c>
    </row>
    <row r="939" ht="15.75" customHeight="1" s="201">
      <c r="A939" s="1" t="inlineStr">
        <is>
          <t>Beef, New Zealand, imported, inside, raw</t>
        </is>
      </c>
      <c r="C939" s="1" t="n">
        <v>0.1</v>
      </c>
      <c r="E939" s="1" t="n">
        <v>2.27</v>
      </c>
      <c r="F939" s="1" t="n">
        <v>22.16</v>
      </c>
      <c r="G939" s="1" t="n">
        <v>4.36</v>
      </c>
      <c r="H939" s="1" t="n">
        <v>25</v>
      </c>
      <c r="I939" s="1" t="n">
        <v>2.93</v>
      </c>
      <c r="J939" t="n">
        <v>28110510</v>
      </c>
    </row>
    <row r="940" ht="15.75" customHeight="1" s="201">
      <c r="A940" s="1" t="inlineStr">
        <is>
          <t>Beef, New Zealand, imported, intermuscular fat, cooked</t>
        </is>
      </c>
      <c r="C940" s="1" t="n">
        <v>3.39</v>
      </c>
      <c r="E940" s="1" t="n">
        <v>1.18</v>
      </c>
      <c r="F940" s="1" t="n">
        <v>7.9</v>
      </c>
      <c r="G940" s="1" t="n">
        <v>57.22</v>
      </c>
      <c r="I940" s="1" t="n">
        <v>1.88</v>
      </c>
      <c r="J940" t="n">
        <v>28110510</v>
      </c>
    </row>
    <row r="941" ht="15.75" customHeight="1" s="201">
      <c r="A941" s="1" t="inlineStr">
        <is>
          <t>Beef, New Zealand, imported, intermuscular fat, raw</t>
        </is>
      </c>
      <c r="C941" s="1" t="n">
        <v>0.01</v>
      </c>
      <c r="E941" s="1" t="n">
        <v>0.76</v>
      </c>
      <c r="F941" s="1" t="n">
        <v>6.97</v>
      </c>
      <c r="G941" s="1" t="n">
        <v>63.78</v>
      </c>
      <c r="I941" s="1" t="n">
        <v>1.09</v>
      </c>
      <c r="J941" t="n">
        <v>28110510</v>
      </c>
    </row>
    <row r="942" ht="15.75" customHeight="1" s="201">
      <c r="A942" s="1" t="inlineStr">
        <is>
          <t>Beef, New Zealand, imported, knuckle, cooked, fast fried</t>
        </is>
      </c>
      <c r="C942" s="1" t="n">
        <v>0</v>
      </c>
      <c r="E942" s="1" t="n">
        <v>2.25</v>
      </c>
      <c r="F942" s="1" t="n">
        <v>27.51</v>
      </c>
      <c r="G942" s="1" t="n">
        <v>7.58</v>
      </c>
      <c r="H942" s="1" t="n">
        <v>45</v>
      </c>
      <c r="I942" s="1" t="n">
        <v>4.66</v>
      </c>
      <c r="J942" t="n">
        <v>28110510</v>
      </c>
    </row>
    <row r="943" ht="15.75" customHeight="1" s="201">
      <c r="A943" s="1" t="inlineStr">
        <is>
          <t>Beef, New Zealand, imported, manufacturing beef, cooked, boiled</t>
        </is>
      </c>
      <c r="C943" s="1" t="n">
        <v>0</v>
      </c>
      <c r="E943" s="1" t="n">
        <v>1.78</v>
      </c>
      <c r="F943" s="1" t="n">
        <v>24.21</v>
      </c>
      <c r="G943" s="1" t="n">
        <v>3.26</v>
      </c>
      <c r="H943" s="1" t="n">
        <v>27</v>
      </c>
      <c r="I943" s="1" t="n">
        <v>5.02</v>
      </c>
      <c r="J943" t="n">
        <v>28110510</v>
      </c>
    </row>
    <row r="944" ht="15.75" customHeight="1" s="201">
      <c r="A944" s="1" t="inlineStr">
        <is>
          <t>Beef, New Zealand, imported, manufacturing beef, raw</t>
        </is>
      </c>
      <c r="C944" s="1" t="n">
        <v>0.23</v>
      </c>
      <c r="E944" s="1" t="n">
        <v>1.95</v>
      </c>
      <c r="F944" s="1" t="n">
        <v>21.23</v>
      </c>
      <c r="G944" s="1" t="n">
        <v>3.68</v>
      </c>
      <c r="H944" s="1" t="n">
        <v>32</v>
      </c>
      <c r="I944" s="1" t="n">
        <v>4.28</v>
      </c>
      <c r="J944" t="n">
        <v>28110510</v>
      </c>
    </row>
    <row r="945" ht="15.75" customHeight="1" s="201">
      <c r="A945" s="1" t="inlineStr">
        <is>
          <t>Beef, New Zealand, imported, oyster blade, separable lean and fat, cooked, braised</t>
        </is>
      </c>
      <c r="C945" s="1" t="n">
        <v>0</v>
      </c>
      <c r="E945" s="1" t="n">
        <v>2.77</v>
      </c>
      <c r="F945" s="1" t="n">
        <v>29.79</v>
      </c>
      <c r="G945" s="1" t="n">
        <v>8.68</v>
      </c>
      <c r="H945" s="1" t="n">
        <v>35</v>
      </c>
      <c r="I945" s="1" t="n">
        <v>5.27</v>
      </c>
      <c r="J945" t="n">
        <v>28110510</v>
      </c>
    </row>
    <row r="946" ht="15.75" customHeight="1" s="201">
      <c r="A946" s="1" t="inlineStr">
        <is>
          <t>Beef, New Zealand, imported, oyster blade, separable lean and fat, raw</t>
        </is>
      </c>
      <c r="C946" s="1" t="n">
        <v>0</v>
      </c>
      <c r="E946" s="1" t="n">
        <v>1.89</v>
      </c>
      <c r="F946" s="1" t="n">
        <v>21.27</v>
      </c>
      <c r="G946" s="1" t="n">
        <v>10.31</v>
      </c>
      <c r="H946" s="1" t="n">
        <v>39</v>
      </c>
      <c r="I946" s="1" t="n">
        <v>4.46</v>
      </c>
      <c r="J946" t="n">
        <v>28110510</v>
      </c>
    </row>
    <row r="947" ht="15.75" customHeight="1" s="201">
      <c r="A947" s="1" t="inlineStr">
        <is>
          <t>Beef, New Zealand, imported, oyster blade, separable lean only, cooked, braised</t>
        </is>
      </c>
      <c r="C947" s="1" t="n">
        <v>0</v>
      </c>
      <c r="E947" s="1" t="n">
        <v>2.78</v>
      </c>
      <c r="F947" s="1" t="n">
        <v>29.87</v>
      </c>
      <c r="G947" s="1" t="n">
        <v>8.460000000000001</v>
      </c>
      <c r="H947" s="1" t="n">
        <v>35</v>
      </c>
      <c r="I947" s="1" t="n">
        <v>5.28</v>
      </c>
      <c r="J947" t="n">
        <v>28110510</v>
      </c>
    </row>
    <row r="948" ht="15.75" customHeight="1" s="201">
      <c r="A948" s="1" t="inlineStr">
        <is>
          <t>Beef, New Zealand, imported, oyster blade, separable lean only, raw</t>
        </is>
      </c>
      <c r="C948" s="1" t="n">
        <v>0</v>
      </c>
      <c r="E948" s="1" t="n">
        <v>1.95</v>
      </c>
      <c r="F948" s="1" t="n">
        <v>21.83</v>
      </c>
      <c r="G948" s="1" t="n">
        <v>7.56</v>
      </c>
      <c r="H948" s="1" t="n">
        <v>41</v>
      </c>
      <c r="I948" s="1" t="n">
        <v>4.64</v>
      </c>
      <c r="J948" t="n">
        <v>28110510</v>
      </c>
    </row>
    <row r="949" ht="15.75" customHeight="1" s="201">
      <c r="A949" s="1" t="inlineStr">
        <is>
          <t>Beef, New Zealand, imported, ribs prepared, cooked, fast roasted</t>
        </is>
      </c>
      <c r="C949" s="1" t="n">
        <v>0.09</v>
      </c>
      <c r="E949" s="1" t="n">
        <v>2.21</v>
      </c>
      <c r="F949" s="1" t="n">
        <v>27.23</v>
      </c>
      <c r="G949" s="1" t="n">
        <v>9.74</v>
      </c>
      <c r="H949" s="1" t="n">
        <v>29</v>
      </c>
      <c r="I949" s="1" t="n">
        <v>4.9</v>
      </c>
      <c r="J949" t="n">
        <v>28110510</v>
      </c>
    </row>
    <row r="950" ht="15.75" customHeight="1" s="201">
      <c r="A950" s="1" t="inlineStr">
        <is>
          <t>Beef, New Zealand, imported, ribs prepared, raw</t>
        </is>
      </c>
      <c r="C950" s="1" t="n">
        <v>0</v>
      </c>
      <c r="E950" s="1" t="n">
        <v>1.82</v>
      </c>
      <c r="F950" s="1" t="n">
        <v>21.31</v>
      </c>
      <c r="G950" s="1" t="n">
        <v>6.78</v>
      </c>
      <c r="H950" s="1" t="n">
        <v>26</v>
      </c>
      <c r="I950" s="1" t="n">
        <v>3.95</v>
      </c>
      <c r="J950" t="n">
        <v>28110510</v>
      </c>
    </row>
    <row r="951" ht="15.75" customHeight="1" s="201">
      <c r="A951" s="1" t="inlineStr">
        <is>
          <t>Beef, New Zealand, imported, rump centre, separable lean and fat, cooked, fast fried</t>
        </is>
      </c>
      <c r="C951" s="1" t="n">
        <v>0</v>
      </c>
      <c r="E951" s="1" t="n">
        <v>2.95</v>
      </c>
      <c r="F951" s="1" t="n">
        <v>30.01</v>
      </c>
      <c r="G951" s="1" t="n">
        <v>7.96</v>
      </c>
      <c r="H951" s="1" t="n">
        <v>38</v>
      </c>
      <c r="I951" s="1" t="n">
        <v>4.05</v>
      </c>
      <c r="J951" t="n">
        <v>28110510</v>
      </c>
    </row>
    <row r="952" ht="15.75" customHeight="1" s="201">
      <c r="A952" s="1" t="inlineStr">
        <is>
          <t>Beef, New Zealand, imported, rump centre, separable lean and fat, raw</t>
        </is>
      </c>
      <c r="C952" s="1" t="n">
        <v>0</v>
      </c>
      <c r="E952" s="1" t="n">
        <v>2.29</v>
      </c>
      <c r="F952" s="1" t="n">
        <v>21.65</v>
      </c>
      <c r="G952" s="1" t="n">
        <v>6.5</v>
      </c>
      <c r="H952" s="1" t="n">
        <v>24</v>
      </c>
      <c r="I952" s="1" t="n">
        <v>3.43</v>
      </c>
      <c r="J952" t="n">
        <v>28110510</v>
      </c>
    </row>
    <row r="953" ht="15.75" customHeight="1" s="201">
      <c r="A953" s="1" t="inlineStr">
        <is>
          <t>Beef, New Zealand, imported, rump centre, separable lean only, cooked, fast fried</t>
        </is>
      </c>
      <c r="C953" s="1" t="n">
        <v>0</v>
      </c>
      <c r="E953" s="1" t="n">
        <v>2.96</v>
      </c>
      <c r="F953" s="1" t="n">
        <v>30.17</v>
      </c>
      <c r="G953" s="1" t="n">
        <v>7.48</v>
      </c>
      <c r="H953" s="1" t="n">
        <v>39</v>
      </c>
      <c r="I953" s="1" t="n">
        <v>4.08</v>
      </c>
      <c r="J953" t="n">
        <v>28110510</v>
      </c>
    </row>
    <row r="954" ht="15.75" customHeight="1" s="201">
      <c r="A954" s="1" t="inlineStr">
        <is>
          <t>Beef, New Zealand, imported, rump centre, separable lean only, raw</t>
        </is>
      </c>
      <c r="C954" s="1" t="n">
        <v>0</v>
      </c>
      <c r="E954" s="1" t="n">
        <v>2.3</v>
      </c>
      <c r="F954" s="1" t="n">
        <v>21.74</v>
      </c>
      <c r="G954" s="1" t="n">
        <v>6.05</v>
      </c>
      <c r="H954" s="1" t="n">
        <v>24</v>
      </c>
      <c r="I954" s="1" t="n">
        <v>3.46</v>
      </c>
      <c r="J954" t="n">
        <v>28110510</v>
      </c>
    </row>
    <row r="955" ht="15.75" customHeight="1" s="201">
      <c r="A955" s="1" t="inlineStr">
        <is>
          <t>Beef, New Zealand, imported, striploin, separable lean and fat, cooked, fast fried</t>
        </is>
      </c>
      <c r="C955" s="1" t="n">
        <v>0.02</v>
      </c>
      <c r="E955" s="1" t="n">
        <v>1.72</v>
      </c>
      <c r="F955" s="1" t="n">
        <v>24.89</v>
      </c>
      <c r="G955" s="1" t="n">
        <v>22.33</v>
      </c>
      <c r="H955" s="1" t="n">
        <v>53</v>
      </c>
      <c r="I955" s="1" t="n">
        <v>2.92</v>
      </c>
      <c r="J955" t="n">
        <v>28110510</v>
      </c>
    </row>
    <row r="956" ht="15.75" customHeight="1" s="201">
      <c r="A956" s="1" t="inlineStr">
        <is>
          <t>Beef, New Zealand, imported, striploin, separable lean and fat, raw</t>
        </is>
      </c>
      <c r="C956" s="1" t="n">
        <v>0.6</v>
      </c>
      <c r="E956" s="1" t="n">
        <v>1.38</v>
      </c>
      <c r="F956" s="1" t="n">
        <v>18.49</v>
      </c>
      <c r="G956" s="1" t="n">
        <v>19.53</v>
      </c>
      <c r="H956" s="1" t="n">
        <v>33</v>
      </c>
      <c r="I956" s="1" t="n">
        <v>2.31</v>
      </c>
      <c r="J956" t="n">
        <v>28110510</v>
      </c>
    </row>
    <row r="957" ht="15.75" customHeight="1" s="201">
      <c r="A957" s="1" t="inlineStr">
        <is>
          <t>Beef, New Zealand, imported, striploin, separable lean only, cooked, fast fried</t>
        </is>
      </c>
      <c r="C957" s="1" t="n">
        <v>0</v>
      </c>
      <c r="E957" s="1" t="n">
        <v>1.96</v>
      </c>
      <c r="F957" s="1" t="n">
        <v>28.53</v>
      </c>
      <c r="G957" s="1" t="n">
        <v>11.4</v>
      </c>
      <c r="H957" s="1" t="n">
        <v>63</v>
      </c>
      <c r="I957" s="1" t="n">
        <v>3.41</v>
      </c>
      <c r="J957" t="n">
        <v>28110510</v>
      </c>
    </row>
    <row r="958" ht="15.75" customHeight="1" s="201">
      <c r="A958" s="1" t="inlineStr">
        <is>
          <t>Beef, New Zealand, imported, striploin, separable lean only, raw</t>
        </is>
      </c>
      <c r="C958" s="1" t="n">
        <v>0.74</v>
      </c>
      <c r="E958" s="1" t="n">
        <v>1.61</v>
      </c>
      <c r="F958" s="1" t="n">
        <v>20.93</v>
      </c>
      <c r="G958" s="1" t="n">
        <v>7</v>
      </c>
      <c r="H958" s="1" t="n">
        <v>41</v>
      </c>
      <c r="I958" s="1" t="n">
        <v>2.76</v>
      </c>
      <c r="J958" t="n">
        <v>28110510</v>
      </c>
    </row>
    <row r="959" ht="15.75" customHeight="1" s="201">
      <c r="A959" s="1" t="inlineStr">
        <is>
          <t>Beef, New Zealand, imported, subcutaneous fat, cooked</t>
        </is>
      </c>
      <c r="C959" s="1" t="n">
        <v>0</v>
      </c>
      <c r="E959" s="1" t="n">
        <v>0.47</v>
      </c>
      <c r="F959" s="1" t="n">
        <v>6.5</v>
      </c>
      <c r="G959" s="1" t="n">
        <v>78.3</v>
      </c>
      <c r="I959" s="1" t="n">
        <v>0.43</v>
      </c>
      <c r="J959" t="n">
        <v>28110510</v>
      </c>
    </row>
    <row r="960" ht="15.75" customHeight="1" s="201">
      <c r="A960" s="1" t="inlineStr">
        <is>
          <t>Beef, New Zealand, imported, subcutaneous fat, raw</t>
        </is>
      </c>
      <c r="C960" s="1" t="n">
        <v>0</v>
      </c>
      <c r="E960" s="1" t="n">
        <v>0.38</v>
      </c>
      <c r="F960" s="1" t="n">
        <v>8.5</v>
      </c>
      <c r="G960" s="1" t="n">
        <v>72.38</v>
      </c>
      <c r="I960" s="1" t="n">
        <v>0.36</v>
      </c>
      <c r="J960" t="n">
        <v>28110510</v>
      </c>
    </row>
    <row r="961" ht="15.75" customHeight="1" s="201">
      <c r="A961" s="1" t="inlineStr">
        <is>
          <t>Beef, New Zealand, imported, sweetbread, cooked, boiled</t>
        </is>
      </c>
      <c r="C961" s="1" t="n">
        <v>0</v>
      </c>
      <c r="E961" s="1" t="n">
        <v>1.12</v>
      </c>
      <c r="F961" s="1" t="n">
        <v>12.53</v>
      </c>
      <c r="G961" s="1" t="n">
        <v>29.79</v>
      </c>
      <c r="H961" s="1" t="n">
        <v>62</v>
      </c>
      <c r="I961" s="1" t="n">
        <v>1.2</v>
      </c>
      <c r="J961" t="n">
        <v>28110510</v>
      </c>
    </row>
    <row r="962" ht="15.75" customHeight="1" s="201">
      <c r="A962" s="1" t="inlineStr">
        <is>
          <t>Beef, New Zealand, imported, sweetbread, raw</t>
        </is>
      </c>
      <c r="C962" s="1" t="n">
        <v>0</v>
      </c>
      <c r="E962" s="1" t="n">
        <v>1.15</v>
      </c>
      <c r="F962" s="1" t="n">
        <v>11.51</v>
      </c>
      <c r="G962" s="1" t="n">
        <v>28.6</v>
      </c>
      <c r="H962" s="1" t="n">
        <v>65</v>
      </c>
      <c r="I962" s="1" t="n">
        <v>1</v>
      </c>
      <c r="J962" t="n">
        <v>28110510</v>
      </c>
    </row>
    <row r="963" ht="15.75" customHeight="1" s="201">
      <c r="A963" s="1" t="inlineStr">
        <is>
          <t>Beef, New Zealand, imported, tenderloin, separable lean and fat, cooked, fast fried</t>
        </is>
      </c>
      <c r="C963" s="1" t="n">
        <v>0.27</v>
      </c>
      <c r="E963" s="1" t="n">
        <v>2.99</v>
      </c>
      <c r="F963" s="1" t="n">
        <v>29.26</v>
      </c>
      <c r="G963" s="1" t="n">
        <v>9.35</v>
      </c>
      <c r="H963" s="1" t="n">
        <v>42</v>
      </c>
      <c r="I963" s="1" t="n">
        <v>3.33</v>
      </c>
      <c r="J963" t="n">
        <v>28110510</v>
      </c>
    </row>
    <row r="964" ht="15.75" customHeight="1" s="201">
      <c r="A964" s="1" t="inlineStr">
        <is>
          <t>Beef, New Zealand, imported, tenderloin, separable lean and fat, raw</t>
        </is>
      </c>
      <c r="C964" s="1" t="n">
        <v>0</v>
      </c>
      <c r="E964" s="1" t="n">
        <v>2.18</v>
      </c>
      <c r="F964" s="1" t="n">
        <v>21.04</v>
      </c>
      <c r="G964" s="1" t="n">
        <v>6.88</v>
      </c>
      <c r="H964" s="1" t="n">
        <v>30</v>
      </c>
      <c r="I964" s="1" t="n">
        <v>2.32</v>
      </c>
      <c r="J964" t="n">
        <v>28110510</v>
      </c>
    </row>
    <row r="965" ht="15.75" customHeight="1" s="201">
      <c r="A965" s="1" t="inlineStr">
        <is>
          <t>Beef, New Zealand, imported, tenderloin, separable lean only, cooked, fast fried</t>
        </is>
      </c>
      <c r="C965" s="1" t="n">
        <v>0.27</v>
      </c>
      <c r="E965" s="1" t="n">
        <v>3.01</v>
      </c>
      <c r="F965" s="1" t="n">
        <v>29.37</v>
      </c>
      <c r="G965" s="1" t="n">
        <v>9.01</v>
      </c>
      <c r="H965" s="1" t="n">
        <v>42</v>
      </c>
      <c r="I965" s="1" t="n">
        <v>3.34</v>
      </c>
      <c r="J965" t="n">
        <v>28110510</v>
      </c>
    </row>
    <row r="966" ht="15.75" customHeight="1" s="201">
      <c r="A966" s="1" t="inlineStr">
        <is>
          <t>Beef, New Zealand, imported, tenderloin, separable lean only, raw</t>
        </is>
      </c>
      <c r="C966" s="1" t="n">
        <v>0</v>
      </c>
      <c r="E966" s="1" t="n">
        <v>2.21</v>
      </c>
      <c r="F966" s="1" t="n">
        <v>21.19</v>
      </c>
      <c r="G966" s="1" t="n">
        <v>6.1</v>
      </c>
      <c r="H966" s="1" t="n">
        <v>31</v>
      </c>
      <c r="I966" s="1" t="n">
        <v>2.34</v>
      </c>
      <c r="J966" t="n">
        <v>28110510</v>
      </c>
    </row>
    <row r="967" ht="15.75" customHeight="1" s="201">
      <c r="A967" s="1" t="inlineStr">
        <is>
          <t>Beef, New Zealand, imported, variety meats and by-products liver, cooked, boiled</t>
        </is>
      </c>
      <c r="C967" s="1" t="n">
        <v>3.78</v>
      </c>
      <c r="E967" s="1" t="n">
        <v>7.17</v>
      </c>
      <c r="F967" s="1" t="n">
        <v>23.3</v>
      </c>
      <c r="G967" s="1" t="n">
        <v>4.68</v>
      </c>
      <c r="H967" s="1" t="n">
        <v>70046</v>
      </c>
      <c r="I967" s="1" t="n">
        <v>3.4</v>
      </c>
      <c r="J967" t="n">
        <v>28110510</v>
      </c>
    </row>
    <row r="968" ht="15.75" customHeight="1" s="201">
      <c r="A968" s="1" t="inlineStr">
        <is>
          <t>Beef, New Zealand, imported, variety meats and by-products, heart, cooked, boiled</t>
        </is>
      </c>
      <c r="C968" s="1" t="n">
        <v>0</v>
      </c>
      <c r="E968" s="1" t="n">
        <v>6.81</v>
      </c>
      <c r="F968" s="1" t="n">
        <v>31.29</v>
      </c>
      <c r="G968" s="1" t="n">
        <v>6</v>
      </c>
      <c r="H968" s="1" t="n">
        <v>47</v>
      </c>
      <c r="I968" s="1" t="n">
        <v>2.79</v>
      </c>
      <c r="J968" t="n">
        <v>28110510</v>
      </c>
    </row>
    <row r="969" ht="15.75" customHeight="1" s="201">
      <c r="A969" s="1" t="inlineStr">
        <is>
          <t>Beef, New Zealand, imported, variety meats and by-products, heart, raw</t>
        </is>
      </c>
      <c r="C969" s="1" t="n">
        <v>0</v>
      </c>
      <c r="E969" s="1" t="n">
        <v>4.38</v>
      </c>
      <c r="F969" s="1" t="n">
        <v>18.52</v>
      </c>
      <c r="G969" s="1" t="n">
        <v>3.4</v>
      </c>
      <c r="H969" s="1" t="n">
        <v>34</v>
      </c>
      <c r="I969" s="1" t="n">
        <v>1.51</v>
      </c>
      <c r="J969" t="n">
        <v>28110510</v>
      </c>
    </row>
    <row r="970" ht="15.75" customHeight="1" s="201">
      <c r="A970" s="1" t="inlineStr">
        <is>
          <t>Beef, New Zealand, imported, variety meats and by-products, kidney, cooked, boiled</t>
        </is>
      </c>
      <c r="C970" s="1" t="n">
        <v>0</v>
      </c>
      <c r="E970" s="1" t="n">
        <v>5.7</v>
      </c>
      <c r="F970" s="1" t="n">
        <v>27.28</v>
      </c>
      <c r="G970" s="1" t="n">
        <v>5.27</v>
      </c>
      <c r="H970" s="1" t="n">
        <v>347</v>
      </c>
      <c r="I970" s="1" t="n">
        <v>2.6</v>
      </c>
      <c r="J970" t="n">
        <v>28110510</v>
      </c>
    </row>
    <row r="971" ht="15.75" customHeight="1" s="201">
      <c r="A971" s="1" t="inlineStr">
        <is>
          <t>Beef, New Zealand, imported, variety meats and by-products, kidney, raw</t>
        </is>
      </c>
      <c r="C971" s="1" t="n">
        <v>0</v>
      </c>
      <c r="E971" s="1" t="n">
        <v>3.83</v>
      </c>
      <c r="F971" s="1" t="n">
        <v>15.68</v>
      </c>
      <c r="G971" s="1" t="n">
        <v>2.64</v>
      </c>
      <c r="H971" s="1" t="n">
        <v>297</v>
      </c>
      <c r="I971" s="1" t="n">
        <v>1.53</v>
      </c>
      <c r="J971" t="n">
        <v>28110510</v>
      </c>
    </row>
    <row r="972" ht="15.75" customHeight="1" s="201">
      <c r="A972" s="1" t="inlineStr">
        <is>
          <t>Beef, New Zealand, imported, variety meats and by-products, liver, raw</t>
        </is>
      </c>
      <c r="C972" s="1" t="n">
        <v>3.6</v>
      </c>
      <c r="E972" s="1" t="n">
        <v>8.44</v>
      </c>
      <c r="F972" s="1" t="n">
        <v>20.5</v>
      </c>
      <c r="G972" s="1" t="n">
        <v>4.05</v>
      </c>
      <c r="H972" s="1" t="n">
        <v>94398</v>
      </c>
      <c r="I972" s="1" t="n">
        <v>3</v>
      </c>
      <c r="J972" t="n">
        <v>28110510</v>
      </c>
    </row>
    <row r="973" ht="15.75" customHeight="1" s="201">
      <c r="A973" s="1" t="inlineStr">
        <is>
          <t>Beef, New Zealand, imported, variety meats and by-products, tongue, cooked, boiled</t>
        </is>
      </c>
      <c r="C973" s="1" t="n">
        <v>3.68</v>
      </c>
      <c r="E973" s="1" t="n">
        <v>2.52</v>
      </c>
      <c r="F973" s="1" t="n">
        <v>18.31</v>
      </c>
      <c r="G973" s="1" t="n">
        <v>20.34</v>
      </c>
      <c r="H973" s="1" t="n">
        <v>42</v>
      </c>
      <c r="I973" s="1" t="n">
        <v>4.2</v>
      </c>
      <c r="J973" t="n">
        <v>28110510</v>
      </c>
    </row>
    <row r="974" ht="15.75" customHeight="1" s="201">
      <c r="A974" s="1" t="inlineStr">
        <is>
          <t>Beef, New Zealand, imported, variety meats and by-products, tongue, raw</t>
        </is>
      </c>
      <c r="C974" s="1" t="n">
        <v>0</v>
      </c>
      <c r="E974" s="1" t="n">
        <v>1.81</v>
      </c>
      <c r="F974" s="1" t="n">
        <v>17.77</v>
      </c>
      <c r="G974" s="1" t="n">
        <v>19.09</v>
      </c>
      <c r="H974" s="1" t="n">
        <v>40</v>
      </c>
      <c r="I974" s="1" t="n">
        <v>2.7</v>
      </c>
      <c r="J974" t="n">
        <v>28110510</v>
      </c>
    </row>
    <row r="975" ht="15.75" customHeight="1" s="201">
      <c r="A975" s="1" t="inlineStr">
        <is>
          <t>Beef, New Zealand, imported, variety meats and by-products, tripe cooked, boiled</t>
        </is>
      </c>
      <c r="C975" s="1" t="n">
        <v>0</v>
      </c>
      <c r="E975" s="1" t="n">
        <v>3.72</v>
      </c>
      <c r="F975" s="1" t="n">
        <v>19</v>
      </c>
      <c r="G975" s="1" t="n">
        <v>2.98</v>
      </c>
      <c r="H975" s="1" t="n">
        <v>20</v>
      </c>
      <c r="I975" s="1" t="n">
        <v>2.39</v>
      </c>
      <c r="J975" t="n">
        <v>28110510</v>
      </c>
    </row>
    <row r="976" ht="15.75" customHeight="1" s="201">
      <c r="A976" s="1" t="inlineStr">
        <is>
          <t>Beef, New Zealand, imported, variety meats and by-products, tripe uncooked, raw</t>
        </is>
      </c>
      <c r="C976" s="1" t="n">
        <v>0</v>
      </c>
      <c r="E976" s="1" t="n">
        <v>4.44</v>
      </c>
      <c r="F976" s="1" t="n">
        <v>14.86</v>
      </c>
      <c r="G976" s="1" t="n">
        <v>1.98</v>
      </c>
      <c r="H976" s="1" t="n">
        <v>20</v>
      </c>
      <c r="I976" s="1" t="n">
        <v>1.72</v>
      </c>
      <c r="J976" t="n">
        <v>28110510</v>
      </c>
    </row>
    <row r="977" ht="15.75" customHeight="1" s="201">
      <c r="A977" s="1" t="inlineStr">
        <is>
          <t>Beef, plate steak, boneless, inside skirt, separable lean and fat, trimmed to 0" fat, all grades, cooked, grilled</t>
        </is>
      </c>
      <c r="C977" s="1" t="n">
        <v>0</v>
      </c>
      <c r="D977" s="1" t="n">
        <v>7</v>
      </c>
      <c r="E977" s="1" t="n">
        <v>2.44</v>
      </c>
      <c r="F977" s="1" t="n">
        <v>29.36</v>
      </c>
      <c r="G977" s="1" t="n">
        <v>14.2</v>
      </c>
      <c r="H977" s="1" t="n">
        <v>24</v>
      </c>
      <c r="I977" s="1" t="n">
        <v>8.06</v>
      </c>
      <c r="J977" t="n">
        <v>28110510</v>
      </c>
    </row>
    <row r="978" ht="15.75" customHeight="1" s="201">
      <c r="A978" s="1" t="inlineStr">
        <is>
          <t>Beef, plate steak, boneless, inside skirt, separable lean and fat, trimmed to 0" fat, all grades, raw</t>
        </is>
      </c>
      <c r="C978" s="1" t="n">
        <v>0</v>
      </c>
      <c r="D978" s="1" t="n">
        <v>3</v>
      </c>
      <c r="E978" s="1" t="n">
        <v>1.71</v>
      </c>
      <c r="F978" s="1" t="n">
        <v>20.38</v>
      </c>
      <c r="G978" s="1" t="n">
        <v>11.71</v>
      </c>
      <c r="H978" s="1" t="n">
        <v>13</v>
      </c>
      <c r="I978" s="1" t="n">
        <v>5.99</v>
      </c>
      <c r="J978" t="n">
        <v>28110510</v>
      </c>
    </row>
    <row r="979" ht="15.75" customHeight="1" s="201">
      <c r="A979" s="1" t="inlineStr">
        <is>
          <t>Beef, plate steak, boneless, inside skirt, separable lean and fat, trimmed to 0" fat, choice, cooked, grilled</t>
        </is>
      </c>
      <c r="C979" s="1" t="n">
        <v>0</v>
      </c>
      <c r="D979" s="1" t="n">
        <v>7</v>
      </c>
      <c r="E979" s="1" t="n">
        <v>2.48</v>
      </c>
      <c r="F979" s="1" t="n">
        <v>28.9</v>
      </c>
      <c r="G979" s="1" t="n">
        <v>15.3</v>
      </c>
      <c r="H979" s="1" t="n">
        <v>24</v>
      </c>
      <c r="I979" s="1" t="n">
        <v>7.95</v>
      </c>
      <c r="J979" t="n">
        <v>28110510</v>
      </c>
    </row>
    <row r="980" ht="15.75" customHeight="1" s="201">
      <c r="A980" s="1" t="inlineStr">
        <is>
          <t>Beef, plate steak, boneless, inside skirt, separable lean and fat, trimmed to 0" fat, choice, raw</t>
        </is>
      </c>
      <c r="C980" s="1" t="n">
        <v>0</v>
      </c>
      <c r="D980" s="1" t="n">
        <v>3</v>
      </c>
      <c r="E980" s="1" t="n">
        <v>1.7</v>
      </c>
      <c r="F980" s="1" t="n">
        <v>20.06</v>
      </c>
      <c r="G980" s="1" t="n">
        <v>12.78</v>
      </c>
      <c r="H980" s="1" t="n">
        <v>13</v>
      </c>
      <c r="I980" s="1" t="n">
        <v>5.97</v>
      </c>
      <c r="J980" t="n">
        <v>28110510</v>
      </c>
    </row>
    <row r="981" ht="15.75" customHeight="1" s="201">
      <c r="A981" s="1" t="inlineStr">
        <is>
          <t>Beef, plate steak, boneless, inside skirt, separable lean and fat, trimmed to 0" fat, select, cooked, grilled</t>
        </is>
      </c>
      <c r="C981" s="1" t="n">
        <v>0</v>
      </c>
      <c r="D981" s="1" t="n">
        <v>7</v>
      </c>
      <c r="E981" s="1" t="n">
        <v>2.34</v>
      </c>
      <c r="F981" s="1" t="n">
        <v>30.06</v>
      </c>
      <c r="G981" s="1" t="n">
        <v>12.54</v>
      </c>
      <c r="H981" s="1" t="n">
        <v>25</v>
      </c>
      <c r="I981" s="1" t="n">
        <v>8.33</v>
      </c>
      <c r="J981" t="n">
        <v>28110510</v>
      </c>
    </row>
    <row r="982" ht="15.75" customHeight="1" s="201">
      <c r="A982" s="1" t="inlineStr">
        <is>
          <t>Beef, plate steak, boneless, inside skirt, separable lean and fat, trimmed to 0" fat, select, raw</t>
        </is>
      </c>
      <c r="C982" s="1" t="n">
        <v>0</v>
      </c>
      <c r="D982" s="1" t="n">
        <v>3</v>
      </c>
      <c r="E982" s="1" t="n">
        <v>1.73</v>
      </c>
      <c r="F982" s="1" t="n">
        <v>20.87</v>
      </c>
      <c r="G982" s="1" t="n">
        <v>10.11</v>
      </c>
      <c r="H982" s="1" t="n">
        <v>14</v>
      </c>
      <c r="I982" s="1" t="n">
        <v>6.2</v>
      </c>
      <c r="J982" t="n">
        <v>28110510</v>
      </c>
    </row>
    <row r="983" ht="15.75" customHeight="1" s="201">
      <c r="A983" s="1" t="inlineStr">
        <is>
          <t>Beef, plate steak, boneless, inside skirt, separable lean only, trimmed to 0" fat, all grades, cooked, grilled</t>
        </is>
      </c>
      <c r="C983" s="1" t="n">
        <v>0</v>
      </c>
      <c r="D983" s="1" t="n">
        <v>7</v>
      </c>
      <c r="E983" s="1" t="n">
        <v>2.47</v>
      </c>
      <c r="F983" s="1" t="n">
        <v>29.99</v>
      </c>
      <c r="G983" s="1" t="n">
        <v>12.69</v>
      </c>
      <c r="H983" s="1" t="n">
        <v>6</v>
      </c>
      <c r="I983" s="1" t="n">
        <v>8.24</v>
      </c>
      <c r="J983" t="n">
        <v>28110510</v>
      </c>
    </row>
    <row r="984" ht="15.75" customHeight="1" s="201">
      <c r="A984" s="1" t="inlineStr">
        <is>
          <t>Beef, plate steak, boneless, inside skirt, separable lean only, trimmed to 0" fat, all grades, raw</t>
        </is>
      </c>
      <c r="C984" s="1" t="n">
        <v>0</v>
      </c>
      <c r="D984" s="1" t="n">
        <v>3</v>
      </c>
      <c r="E984" s="1" t="n">
        <v>1.75</v>
      </c>
      <c r="F984" s="1" t="n">
        <v>21.17</v>
      </c>
      <c r="G984" s="1" t="n">
        <v>8.82</v>
      </c>
      <c r="H984" s="1" t="n">
        <v>7</v>
      </c>
      <c r="I984" s="1" t="n">
        <v>6.26</v>
      </c>
      <c r="J984" t="n">
        <v>28110510</v>
      </c>
    </row>
    <row r="985" ht="15.75" customHeight="1" s="201">
      <c r="A985" s="1" t="inlineStr">
        <is>
          <t>Beef, plate steak, boneless, inside skirt, separable lean only, trimmed to 0" fat, choice, cooked, grilled</t>
        </is>
      </c>
      <c r="C985" s="1" t="n">
        <v>0</v>
      </c>
      <c r="D985" s="1" t="n">
        <v>7</v>
      </c>
      <c r="E985" s="1" t="n">
        <v>2.51</v>
      </c>
      <c r="F985" s="1" t="n">
        <v>29.56</v>
      </c>
      <c r="G985" s="1" t="n">
        <v>13.72</v>
      </c>
      <c r="H985" s="1" t="n">
        <v>5</v>
      </c>
      <c r="I985" s="1" t="n">
        <v>8.140000000000001</v>
      </c>
      <c r="J985" t="n">
        <v>28110510</v>
      </c>
    </row>
    <row r="986" ht="15.75" customHeight="1" s="201">
      <c r="A986" s="1" t="inlineStr">
        <is>
          <t>Beef, plate steak, boneless, inside skirt, separable lean only, trimmed to 0" fat, choice, raw</t>
        </is>
      </c>
      <c r="C986" s="1" t="n">
        <v>0</v>
      </c>
      <c r="D986" s="1" t="n">
        <v>3</v>
      </c>
      <c r="E986" s="1" t="n">
        <v>1.74</v>
      </c>
      <c r="F986" s="1" t="n">
        <v>20.89</v>
      </c>
      <c r="G986" s="1" t="n">
        <v>9.76</v>
      </c>
      <c r="H986" s="1" t="n">
        <v>6</v>
      </c>
      <c r="I986" s="1" t="n">
        <v>6.25</v>
      </c>
      <c r="J986" t="n">
        <v>28110510</v>
      </c>
    </row>
    <row r="987" ht="15.75" customHeight="1" s="201">
      <c r="A987" s="1" t="inlineStr">
        <is>
          <t>Beef, plate steak, boneless, inside skirt, separable lean only, trimmed to 0" fat, select, cooked, grilled</t>
        </is>
      </c>
      <c r="C987" s="1" t="n">
        <v>0</v>
      </c>
      <c r="D987" s="1" t="n">
        <v>7</v>
      </c>
      <c r="E987" s="1" t="n">
        <v>2.36</v>
      </c>
      <c r="F987" s="1" t="n">
        <v>30.64</v>
      </c>
      <c r="G987" s="1" t="n">
        <v>11.16</v>
      </c>
      <c r="H987" s="1" t="n">
        <v>8</v>
      </c>
      <c r="I987" s="1" t="n">
        <v>8.49</v>
      </c>
      <c r="J987" t="n">
        <v>28110510</v>
      </c>
    </row>
    <row r="988" ht="15.75" customHeight="1" s="201">
      <c r="A988" s="1" t="inlineStr">
        <is>
          <t>Beef, plate steak, boneless, inside skirt, separable lean only, trimmed to 0" fat, select, raw</t>
        </is>
      </c>
      <c r="C988" s="1" t="n">
        <v>0</v>
      </c>
      <c r="D988" s="1" t="n">
        <v>3</v>
      </c>
      <c r="E988" s="1" t="n">
        <v>1.76</v>
      </c>
      <c r="F988" s="1" t="n">
        <v>21.61</v>
      </c>
      <c r="G988" s="1" t="n">
        <v>7.41</v>
      </c>
      <c r="H988" s="1" t="n">
        <v>8</v>
      </c>
      <c r="I988" s="1" t="n">
        <v>6.44</v>
      </c>
      <c r="J988" t="n">
        <v>28110510</v>
      </c>
    </row>
    <row r="989" ht="15.75" customHeight="1" s="201">
      <c r="A989" s="1" t="inlineStr">
        <is>
          <t>Beef, plate steak, boneless, outside skirt, separable lean and fat, trimmed to 0" fat, all grades, cooked, grilled</t>
        </is>
      </c>
      <c r="C989" s="1" t="n">
        <v>0</v>
      </c>
      <c r="D989" s="1" t="n">
        <v>7</v>
      </c>
      <c r="E989" s="1" t="n">
        <v>5.09</v>
      </c>
      <c r="F989" s="1" t="n">
        <v>27.06</v>
      </c>
      <c r="G989" s="1" t="n">
        <v>20.47</v>
      </c>
      <c r="H989" s="1" t="n">
        <v>27</v>
      </c>
      <c r="I989" s="1" t="n">
        <v>7.01</v>
      </c>
      <c r="J989" t="n">
        <v>28110510</v>
      </c>
    </row>
    <row r="990" ht="15.75" customHeight="1" s="201">
      <c r="A990" s="1" t="inlineStr">
        <is>
          <t>Beef, plate steak, boneless, outside skirt, separable lean and fat, trimmed to 0" fat, all grades, raw</t>
        </is>
      </c>
      <c r="C990" s="1" t="n">
        <v>0.35</v>
      </c>
      <c r="D990" s="1" t="n">
        <v>3</v>
      </c>
      <c r="E990" s="1" t="n">
        <v>3.42</v>
      </c>
      <c r="F990" s="1" t="n">
        <v>17.98</v>
      </c>
      <c r="G990" s="1" t="n">
        <v>17.59</v>
      </c>
      <c r="H990" s="1" t="n">
        <v>15</v>
      </c>
      <c r="I990" s="1" t="n">
        <v>4.72</v>
      </c>
      <c r="J990" t="n">
        <v>28110510</v>
      </c>
    </row>
    <row r="991" ht="15.75" customHeight="1" s="201">
      <c r="A991" s="1" t="inlineStr">
        <is>
          <t>Beef, plate steak, boneless, outside skirt, separable lean and fat, trimmed to 0" fat, choice, cooked, grilled</t>
        </is>
      </c>
      <c r="C991" s="1" t="n">
        <v>0</v>
      </c>
      <c r="D991" s="1" t="n">
        <v>6</v>
      </c>
      <c r="E991" s="1" t="n">
        <v>4.95</v>
      </c>
      <c r="F991" s="1" t="n">
        <v>26.46</v>
      </c>
      <c r="G991" s="1" t="n">
        <v>21.62</v>
      </c>
      <c r="H991" s="1" t="n">
        <v>26</v>
      </c>
      <c r="I991" s="1" t="n">
        <v>6.97</v>
      </c>
      <c r="J991" t="n">
        <v>28110510</v>
      </c>
    </row>
    <row r="992" ht="15.75" customHeight="1" s="201">
      <c r="A992" s="1" t="inlineStr">
        <is>
          <t>Beef, plate steak, boneless, outside skirt, separable lean and fat, trimmed to 0" fat, choice, raw</t>
        </is>
      </c>
      <c r="C992" s="1" t="n">
        <v>0.35</v>
      </c>
      <c r="D992" s="1" t="n">
        <v>3</v>
      </c>
      <c r="E992" s="1" t="n">
        <v>3.35</v>
      </c>
      <c r="F992" s="1" t="n">
        <v>17.69</v>
      </c>
      <c r="G992" s="1" t="n">
        <v>18.44</v>
      </c>
      <c r="H992" s="1" t="n">
        <v>15</v>
      </c>
      <c r="I992" s="1" t="n">
        <v>4.51</v>
      </c>
      <c r="J992" t="n">
        <v>28110510</v>
      </c>
    </row>
    <row r="993" ht="15.75" customHeight="1" s="201">
      <c r="A993" s="1" t="inlineStr">
        <is>
          <t>Beef, plate steak, boneless, outside skirt, separable lean and fat, trimmed to 0" fat, select, cooked, grilled</t>
        </is>
      </c>
      <c r="C993" s="1" t="n">
        <v>0</v>
      </c>
      <c r="D993" s="1" t="n">
        <v>7</v>
      </c>
      <c r="E993" s="1" t="n">
        <v>5.33</v>
      </c>
      <c r="F993" s="1" t="n">
        <v>27.95</v>
      </c>
      <c r="G993" s="1" t="n">
        <v>18.75</v>
      </c>
      <c r="H993" s="1" t="n">
        <v>28</v>
      </c>
      <c r="I993" s="1" t="n">
        <v>7.2</v>
      </c>
      <c r="J993" t="n">
        <v>28110510</v>
      </c>
    </row>
    <row r="994" ht="15.75" customHeight="1" s="201">
      <c r="A994" s="1" t="inlineStr">
        <is>
          <t>Beef, plate steak, boneless, outside skirt, separable lean and fat, trimmed to 0" fat, select, raw</t>
        </is>
      </c>
      <c r="C994" s="1" t="n">
        <v>0.36</v>
      </c>
      <c r="D994" s="1" t="n">
        <v>3</v>
      </c>
      <c r="E994" s="1" t="n">
        <v>3.63</v>
      </c>
      <c r="F994" s="1" t="n">
        <v>18.43</v>
      </c>
      <c r="G994" s="1" t="n">
        <v>16.31</v>
      </c>
      <c r="H994" s="1" t="n">
        <v>15</v>
      </c>
      <c r="I994" s="1" t="n">
        <v>5.13</v>
      </c>
      <c r="J994" t="n">
        <v>28110510</v>
      </c>
    </row>
    <row r="995" ht="15.75" customHeight="1" s="201">
      <c r="A995" s="1" t="inlineStr">
        <is>
          <t>Beef, plate steak, boneless, outside skirt, separable lean only, trimmed to 0" fat, all grades, cooked, grilled</t>
        </is>
      </c>
      <c r="C995" s="1" t="n">
        <v>0</v>
      </c>
      <c r="D995" s="1" t="n">
        <v>7</v>
      </c>
      <c r="E995" s="1" t="n">
        <v>5.21</v>
      </c>
      <c r="F995" s="1" t="n">
        <v>27.68</v>
      </c>
      <c r="G995" s="1" t="n">
        <v>19.01</v>
      </c>
      <c r="H995" s="1" t="n">
        <v>7</v>
      </c>
      <c r="I995" s="1" t="n">
        <v>7.17</v>
      </c>
      <c r="J995" t="n">
        <v>28110510</v>
      </c>
    </row>
    <row r="996" ht="15.75" customHeight="1" s="201">
      <c r="A996" s="1" t="inlineStr">
        <is>
          <t>Beef, plate steak, boneless, outside skirt, separable lean only, trimmed to 0" fat, all grades, raw</t>
        </is>
      </c>
      <c r="C996" s="1" t="n">
        <v>0.19</v>
      </c>
      <c r="D996" s="1" t="n">
        <v>3</v>
      </c>
      <c r="E996" s="1" t="n">
        <v>3.6</v>
      </c>
      <c r="F996" s="1" t="n">
        <v>18.74</v>
      </c>
      <c r="G996" s="1" t="n">
        <v>14.53</v>
      </c>
      <c r="H996" s="1" t="n">
        <v>8</v>
      </c>
      <c r="I996" s="1" t="n">
        <v>4.95</v>
      </c>
      <c r="J996" t="n">
        <v>28110510</v>
      </c>
    </row>
    <row r="997" ht="15.75" customHeight="1" s="201">
      <c r="A997" s="1" t="inlineStr">
        <is>
          <t>Beef, plate steak, boneless, outside skirt, separable lean only, trimmed to 0" fat, choice, cooked, grilled</t>
        </is>
      </c>
      <c r="C997" s="1" t="n">
        <v>0</v>
      </c>
      <c r="D997" s="1" t="n">
        <v>7</v>
      </c>
      <c r="E997" s="1" t="n">
        <v>5.06</v>
      </c>
      <c r="F997" s="1" t="n">
        <v>27.03</v>
      </c>
      <c r="G997" s="1" t="n">
        <v>20.28</v>
      </c>
      <c r="H997" s="1" t="n">
        <v>6</v>
      </c>
      <c r="I997" s="1" t="n">
        <v>7.12</v>
      </c>
      <c r="J997" t="n">
        <v>28110510</v>
      </c>
    </row>
    <row r="998" ht="15.75" customHeight="1" s="201">
      <c r="A998" s="1" t="inlineStr">
        <is>
          <t>Beef, plate steak, boneless, outside skirt, separable lean only, trimmed to 0" fat, choice, raw</t>
        </is>
      </c>
      <c r="C998" s="1" t="n">
        <v>0.17</v>
      </c>
      <c r="D998" s="1" t="n">
        <v>3</v>
      </c>
      <c r="E998" s="1" t="n">
        <v>3.53</v>
      </c>
      <c r="F998" s="1" t="n">
        <v>18.47</v>
      </c>
      <c r="G998" s="1" t="n">
        <v>15.26</v>
      </c>
      <c r="H998" s="1" t="n">
        <v>7</v>
      </c>
      <c r="I998" s="1" t="n">
        <v>4.74</v>
      </c>
      <c r="J998" t="n">
        <v>28110510</v>
      </c>
    </row>
    <row r="999" ht="15.75" customHeight="1" s="201">
      <c r="A999" s="1" t="inlineStr">
        <is>
          <t>Beef, plate steak, boneless, outside skirt, separable lean only, trimmed to 0" fat, select, cooked, grilled</t>
        </is>
      </c>
      <c r="C999" s="1" t="n">
        <v>0</v>
      </c>
      <c r="D999" s="1" t="n">
        <v>7</v>
      </c>
      <c r="E999" s="1" t="n">
        <v>5.46</v>
      </c>
      <c r="F999" s="1" t="n">
        <v>28.65</v>
      </c>
      <c r="G999" s="1" t="n">
        <v>17.1</v>
      </c>
      <c r="H999" s="1" t="n">
        <v>9</v>
      </c>
      <c r="I999" s="1" t="n">
        <v>7.38</v>
      </c>
      <c r="J999" t="n">
        <v>28110510</v>
      </c>
    </row>
    <row r="1000" ht="15.75" customHeight="1" s="201">
      <c r="A1000" s="1" t="inlineStr">
        <is>
          <t>Beef, plate steak, boneless, outside skirt, separable lean only, trimmed to 0" fat, select, raw</t>
        </is>
      </c>
      <c r="C1000" s="1" t="n">
        <v>0.23</v>
      </c>
      <c r="D1000" s="1" t="n">
        <v>3</v>
      </c>
      <c r="E1000" s="1" t="n">
        <v>3.8</v>
      </c>
      <c r="F1000" s="1" t="n">
        <v>19.14</v>
      </c>
      <c r="G1000" s="1" t="n">
        <v>13.44</v>
      </c>
      <c r="H1000" s="1" t="n">
        <v>9</v>
      </c>
      <c r="I1000" s="1" t="n">
        <v>5.36</v>
      </c>
      <c r="J1000" t="n">
        <v>28110510</v>
      </c>
    </row>
    <row r="1001" ht="15.75" customHeight="1" s="201">
      <c r="A1001" s="1" t="inlineStr">
        <is>
          <t>Beef, plate, inside skirt steak, separable lean and fat, trimmed to 0" fat, all grades, cooked, broiled</t>
        </is>
      </c>
      <c r="C1001" s="1" t="n">
        <v>0</v>
      </c>
      <c r="D1001" s="1" t="n">
        <v>7</v>
      </c>
      <c r="E1001" s="1" t="n">
        <v>2.77</v>
      </c>
      <c r="F1001" s="1" t="n">
        <v>26.13</v>
      </c>
      <c r="G1001" s="1" t="n">
        <v>12.05</v>
      </c>
      <c r="H1001" s="1" t="n">
        <v>0</v>
      </c>
      <c r="I1001" s="1" t="n">
        <v>7.23</v>
      </c>
      <c r="J1001" t="n">
        <v>28110510</v>
      </c>
    </row>
    <row r="1002" ht="15.75" customHeight="1" s="201">
      <c r="A1002" s="1" t="inlineStr">
        <is>
          <t>Beef, plate, inside skirt steak, separable lean only, trimmed to 0" fat, all grades, cooked, broiled</t>
        </is>
      </c>
      <c r="C1002" s="1" t="n">
        <v>0</v>
      </c>
      <c r="D1002" s="1" t="n">
        <v>7</v>
      </c>
      <c r="E1002" s="1" t="n">
        <v>2.83</v>
      </c>
      <c r="F1002" s="1" t="n">
        <v>26.66</v>
      </c>
      <c r="G1002" s="1" t="n">
        <v>10.06</v>
      </c>
      <c r="H1002" s="1" t="n">
        <v>0</v>
      </c>
      <c r="I1002" s="1" t="n">
        <v>7.43</v>
      </c>
      <c r="J1002" t="n">
        <v>28110510</v>
      </c>
    </row>
    <row r="1003" ht="15.75" customHeight="1" s="201">
      <c r="A1003" s="1" t="inlineStr">
        <is>
          <t>Beef, plate, outside skirt steak, separable lean and fat, trimmed to 0" fat, all grades, cooked, broiled</t>
        </is>
      </c>
      <c r="C1003" s="1" t="n">
        <v>0</v>
      </c>
      <c r="D1003" s="1" t="n">
        <v>7</v>
      </c>
      <c r="E1003" s="1" t="n">
        <v>2.58</v>
      </c>
      <c r="F1003" s="1" t="n">
        <v>23.51</v>
      </c>
      <c r="G1003" s="1" t="n">
        <v>17.13</v>
      </c>
      <c r="H1003" s="1" t="n">
        <v>0</v>
      </c>
      <c r="I1003" s="1" t="n">
        <v>5.51</v>
      </c>
      <c r="J1003" t="n">
        <v>28110510</v>
      </c>
    </row>
    <row r="1004" ht="15.75" customHeight="1" s="201">
      <c r="A1004" s="1" t="inlineStr">
        <is>
          <t>Beef, plate, outside skirt steak, separable lean only, trimmed to 0" fat, all grades, cooked, broiled</t>
        </is>
      </c>
      <c r="C1004" s="1" t="n">
        <v>0</v>
      </c>
      <c r="D1004" s="1" t="n">
        <v>8</v>
      </c>
      <c r="E1004" s="1" t="n">
        <v>2.66</v>
      </c>
      <c r="F1004" s="1" t="n">
        <v>24.18</v>
      </c>
      <c r="G1004" s="1" t="n">
        <v>14.37</v>
      </c>
      <c r="H1004" s="1" t="n">
        <v>0</v>
      </c>
      <c r="I1004" s="1" t="n">
        <v>5.72</v>
      </c>
      <c r="J1004" t="n">
        <v>28110510</v>
      </c>
    </row>
    <row r="1005" ht="15.75" customHeight="1" s="201">
      <c r="A1005" s="1" t="inlineStr">
        <is>
          <t>Beef, retail cuts, separable fat, cooked</t>
        </is>
      </c>
      <c r="C1005" s="1" t="n">
        <v>0</v>
      </c>
      <c r="D1005" s="1" t="n">
        <v>0</v>
      </c>
      <c r="E1005" s="1" t="n">
        <v>1.08</v>
      </c>
      <c r="F1005" s="1" t="n">
        <v>10.65</v>
      </c>
      <c r="G1005" s="1" t="n">
        <v>70.33</v>
      </c>
      <c r="H1005" s="1" t="n">
        <v>0</v>
      </c>
      <c r="I1005" s="1" t="n">
        <v>1.24</v>
      </c>
      <c r="J1005" t="n">
        <v>28110510</v>
      </c>
    </row>
    <row r="1006" ht="15.75" customHeight="1" s="201">
      <c r="A1006" s="1" t="inlineStr">
        <is>
          <t>Beef, retail cuts, separable fat, raw</t>
        </is>
      </c>
      <c r="C1006" s="1" t="n">
        <v>0</v>
      </c>
      <c r="D1006" s="1" t="n">
        <v>0</v>
      </c>
      <c r="E1006" s="1" t="n">
        <v>0.72</v>
      </c>
      <c r="F1006" s="1" t="n">
        <v>8.210000000000001</v>
      </c>
      <c r="G1006" s="1" t="n">
        <v>70.89</v>
      </c>
      <c r="H1006" s="1" t="n">
        <v>0</v>
      </c>
      <c r="I1006" s="1" t="n">
        <v>0.82</v>
      </c>
      <c r="J1006" t="n">
        <v>28110510</v>
      </c>
    </row>
    <row r="1007" ht="15.75" customHeight="1" s="201">
      <c r="A1007" s="1" t="inlineStr">
        <is>
          <t>Beef, rib eye roast, bone-in, lip-on, separable lean and fat, trimmed to 1/8" fat, all grades, cooked, roasted</t>
        </is>
      </c>
      <c r="C1007" s="1" t="n">
        <v>0</v>
      </c>
      <c r="D1007" s="1" t="n">
        <v>6</v>
      </c>
      <c r="E1007" s="1" t="n">
        <v>2.14</v>
      </c>
      <c r="F1007" s="1" t="n">
        <v>23.47</v>
      </c>
      <c r="G1007" s="1" t="n">
        <v>22.91</v>
      </c>
      <c r="H1007" s="1" t="n">
        <v>26</v>
      </c>
      <c r="I1007" s="1" t="n">
        <v>5.35</v>
      </c>
      <c r="J1007" t="n">
        <v>28110510</v>
      </c>
    </row>
    <row r="1008" ht="15.75" customHeight="1" s="201">
      <c r="A1008" s="1" t="inlineStr">
        <is>
          <t>Beef, rib eye roast, bone-in, lip-on, separable lean and fat, trimmed to 1/8" fat, choice, cooked, roasted</t>
        </is>
      </c>
      <c r="C1008" s="1" t="n">
        <v>0</v>
      </c>
      <c r="D1008" s="1" t="n">
        <v>6</v>
      </c>
      <c r="E1008" s="1" t="n">
        <v>2.15</v>
      </c>
      <c r="F1008" s="1" t="n">
        <v>23.53</v>
      </c>
      <c r="G1008" s="1" t="n">
        <v>23.61</v>
      </c>
      <c r="H1008" s="1" t="n">
        <v>25</v>
      </c>
      <c r="I1008" s="1" t="n">
        <v>5.33</v>
      </c>
      <c r="J1008" t="n">
        <v>28110510</v>
      </c>
    </row>
    <row r="1009" ht="15.75" customHeight="1" s="201">
      <c r="A1009" s="1" t="inlineStr">
        <is>
          <t>Beef, rib eye roast, bone-in, lip-on, separable lean and fat, trimmed to 1/8" fat, select, cooked, roasted</t>
        </is>
      </c>
      <c r="C1009" s="1" t="n">
        <v>0</v>
      </c>
      <c r="D1009" s="1" t="n">
        <v>6</v>
      </c>
      <c r="E1009" s="1" t="n">
        <v>2.13</v>
      </c>
      <c r="F1009" s="1" t="n">
        <v>23.36</v>
      </c>
      <c r="G1009" s="1" t="n">
        <v>21.85</v>
      </c>
      <c r="H1009" s="1" t="n">
        <v>27</v>
      </c>
      <c r="I1009" s="1" t="n">
        <v>5.39</v>
      </c>
      <c r="J1009" t="n">
        <v>28110510</v>
      </c>
    </row>
    <row r="1010" ht="15.75" customHeight="1" s="201">
      <c r="A1010" s="1" t="inlineStr">
        <is>
          <t>Beef, rib eye roast, bone-in, lip-on, separable lean only, trimmed to 1/8" fat, all grades, cooked, roasted</t>
        </is>
      </c>
      <c r="C1010" s="1" t="n">
        <v>0</v>
      </c>
      <c r="D1010" s="1" t="n">
        <v>7</v>
      </c>
      <c r="E1010" s="1" t="n">
        <v>2.36</v>
      </c>
      <c r="F1010" s="1" t="n">
        <v>27.12</v>
      </c>
      <c r="G1010" s="1" t="n">
        <v>13.64</v>
      </c>
      <c r="H1010" s="1" t="n">
        <v>6</v>
      </c>
      <c r="I1010" s="1" t="n">
        <v>6.14</v>
      </c>
      <c r="J1010" t="n">
        <v>28110510</v>
      </c>
    </row>
    <row r="1011" ht="15.75" customHeight="1" s="201">
      <c r="A1011" s="1" t="inlineStr">
        <is>
          <t>Beef, rib eye roast, bone-in, lip-on, separable lean only, trimmed to 1/8" fat, choice, cooked, roasted</t>
        </is>
      </c>
      <c r="C1011" s="1" t="n">
        <v>0</v>
      </c>
      <c r="D1011" s="1" t="n">
        <v>7</v>
      </c>
      <c r="E1011" s="1" t="n">
        <v>2.37</v>
      </c>
      <c r="F1011" s="1" t="n">
        <v>27.18</v>
      </c>
      <c r="G1011" s="1" t="n">
        <v>14.55</v>
      </c>
      <c r="H1011" s="1" t="n">
        <v>5</v>
      </c>
      <c r="I1011" s="1" t="n">
        <v>6.11</v>
      </c>
      <c r="J1011" t="n">
        <v>28110510</v>
      </c>
    </row>
    <row r="1012" ht="15.75" customHeight="1" s="201">
      <c r="A1012" s="1" t="inlineStr">
        <is>
          <t>Beef, rib eye roast, bone-in, lip-on, separable lean only, trimmed to 1/8" fat, select, cooked, roasted</t>
        </is>
      </c>
      <c r="C1012" s="1" t="n">
        <v>0</v>
      </c>
      <c r="D1012" s="1" t="n">
        <v>7</v>
      </c>
      <c r="E1012" s="1" t="n">
        <v>2.35</v>
      </c>
      <c r="F1012" s="1" t="n">
        <v>27.03</v>
      </c>
      <c r="G1012" s="1" t="n">
        <v>12.29</v>
      </c>
      <c r="H1012" s="1" t="n">
        <v>7</v>
      </c>
      <c r="I1012" s="1" t="n">
        <v>6.2</v>
      </c>
      <c r="J1012" t="n">
        <v>28110510</v>
      </c>
    </row>
    <row r="1013" ht="15.75" customHeight="1" s="201">
      <c r="A1013" s="1" t="inlineStr">
        <is>
          <t>Beef, rib eye roast, boneless, lip-on, separable lean and fat, trimmed to 1/8" fat, all grades, cooked, roasted</t>
        </is>
      </c>
      <c r="C1013" s="1" t="n">
        <v>0</v>
      </c>
      <c r="D1013" s="1" t="n">
        <v>6</v>
      </c>
      <c r="E1013" s="1" t="n">
        <v>1.95</v>
      </c>
      <c r="F1013" s="1" t="n">
        <v>24.3</v>
      </c>
      <c r="G1013" s="1" t="n">
        <v>21.66</v>
      </c>
      <c r="H1013" s="1" t="n">
        <v>26</v>
      </c>
      <c r="I1013" s="1" t="n">
        <v>6.09</v>
      </c>
      <c r="J1013" t="n">
        <v>28110510</v>
      </c>
    </row>
    <row r="1014" ht="15.75" customHeight="1" s="201">
      <c r="A1014" s="1" t="inlineStr">
        <is>
          <t>Beef, rib eye roast, boneless, lip-on, separable lean and fat, trimmed to 1/8" fat, choice, cooked, roasted</t>
        </is>
      </c>
      <c r="C1014" s="1" t="n">
        <v>0</v>
      </c>
      <c r="D1014" s="1" t="n">
        <v>6</v>
      </c>
      <c r="E1014" s="1" t="n">
        <v>2</v>
      </c>
      <c r="F1014" s="1" t="n">
        <v>23.92</v>
      </c>
      <c r="G1014" s="1" t="n">
        <v>22.98</v>
      </c>
      <c r="H1014" s="1" t="n">
        <v>25</v>
      </c>
      <c r="I1014" s="1" t="n">
        <v>6.09</v>
      </c>
      <c r="J1014" t="n">
        <v>28110510</v>
      </c>
    </row>
    <row r="1015" ht="15.75" customHeight="1" s="201">
      <c r="A1015" s="1" t="inlineStr">
        <is>
          <t>Beef, rib eye roast, boneless, lip-on, separable lean and fat, trimmed to 1/8" fat, select, cooked, roasted</t>
        </is>
      </c>
      <c r="C1015" s="1" t="n">
        <v>0</v>
      </c>
      <c r="D1015" s="1" t="n">
        <v>6</v>
      </c>
      <c r="E1015" s="1" t="n">
        <v>1.87</v>
      </c>
      <c r="F1015" s="1" t="n">
        <v>24.85</v>
      </c>
      <c r="G1015" s="1" t="n">
        <v>19.68</v>
      </c>
      <c r="H1015" s="1" t="n">
        <v>26</v>
      </c>
      <c r="I1015" s="1" t="n">
        <v>6.09</v>
      </c>
      <c r="J1015" t="n">
        <v>28110510</v>
      </c>
    </row>
    <row r="1016" ht="15.75" customHeight="1" s="201">
      <c r="A1016" s="1" t="inlineStr">
        <is>
          <t>Beef, rib eye roast, boneless, lip-on, separable lean only, trimmed to 1/8" fat, all grades, cooked, roasted</t>
        </is>
      </c>
      <c r="C1016" s="1" t="n">
        <v>0</v>
      </c>
      <c r="D1016" s="1" t="n">
        <v>7</v>
      </c>
      <c r="E1016" s="1" t="n">
        <v>2.13</v>
      </c>
      <c r="F1016" s="1" t="n">
        <v>28.21</v>
      </c>
      <c r="G1016" s="1" t="n">
        <v>11.68</v>
      </c>
      <c r="H1016" s="1" t="n">
        <v>6</v>
      </c>
      <c r="I1016" s="1" t="n">
        <v>7.09</v>
      </c>
      <c r="J1016" t="n">
        <v>28110510</v>
      </c>
    </row>
    <row r="1017" ht="15.75" customHeight="1" s="201">
      <c r="A1017" s="1" t="inlineStr">
        <is>
          <t>Beef, rib eye roast, boneless, lip-on, separable lean only, trimmed to 1/8" fat, choice, cooked, roasted</t>
        </is>
      </c>
      <c r="C1017" s="1" t="n">
        <v>0</v>
      </c>
      <c r="D1017" s="1" t="n">
        <v>7</v>
      </c>
      <c r="E1017" s="1" t="n">
        <v>2.2</v>
      </c>
      <c r="F1017" s="1" t="n">
        <v>27.87</v>
      </c>
      <c r="G1017" s="1" t="n">
        <v>13.01</v>
      </c>
      <c r="H1017" s="1" t="n">
        <v>5</v>
      </c>
      <c r="I1017" s="1" t="n">
        <v>7.12</v>
      </c>
      <c r="J1017" t="n">
        <v>28110510</v>
      </c>
    </row>
    <row r="1018" ht="15.75" customHeight="1" s="201">
      <c r="A1018" s="1" t="inlineStr">
        <is>
          <t>Beef, rib eye roast, boneless, lip-on, separable lean only, trimmed to 1/8" fat, select, cooked, roasted</t>
        </is>
      </c>
      <c r="C1018" s="1" t="n">
        <v>0</v>
      </c>
      <c r="D1018" s="1" t="n">
        <v>7</v>
      </c>
      <c r="E1018" s="1" t="n">
        <v>2.02</v>
      </c>
      <c r="F1018" s="1" t="n">
        <v>28.72</v>
      </c>
      <c r="G1018" s="1" t="n">
        <v>9.68</v>
      </c>
      <c r="H1018" s="1" t="n">
        <v>7</v>
      </c>
      <c r="I1018" s="1" t="n">
        <v>7.05</v>
      </c>
      <c r="J1018" t="n">
        <v>28110510</v>
      </c>
    </row>
    <row r="1019" ht="15.75" customHeight="1" s="201">
      <c r="A1019" s="1" t="inlineStr">
        <is>
          <t>Beef, rib eye steak, bone-in, lip-on, separable lean and fat, trimmed to 1/8" fat, all grades, cooked, grilled</t>
        </is>
      </c>
      <c r="C1019" s="1" t="n">
        <v>0</v>
      </c>
      <c r="D1019" s="1" t="n">
        <v>6</v>
      </c>
      <c r="E1019" s="1" t="n">
        <v>2.29</v>
      </c>
      <c r="F1019" s="1" t="n">
        <v>22.9</v>
      </c>
      <c r="G1019" s="1" t="n">
        <v>24.2</v>
      </c>
      <c r="H1019" s="1" t="n">
        <v>26</v>
      </c>
      <c r="I1019" s="1" t="n">
        <v>5.05</v>
      </c>
      <c r="J1019" t="n">
        <v>28110510</v>
      </c>
    </row>
    <row r="1020" ht="15.75" customHeight="1" s="201">
      <c r="A1020" s="1" t="inlineStr">
        <is>
          <t>Beef, rib eye steak, bone-in, lip-on, separable lean and fat, trimmed to 1/8" fat, choice, cooked, grilled</t>
        </is>
      </c>
      <c r="C1020" s="1" t="n">
        <v>0</v>
      </c>
      <c r="D1020" s="1" t="n">
        <v>6</v>
      </c>
      <c r="E1020" s="1" t="n">
        <v>2.29</v>
      </c>
      <c r="F1020" s="1" t="n">
        <v>22.71</v>
      </c>
      <c r="G1020" s="1" t="n">
        <v>24.7</v>
      </c>
      <c r="H1020" s="1" t="n">
        <v>25</v>
      </c>
      <c r="I1020" s="1" t="n">
        <v>5.07</v>
      </c>
      <c r="J1020" t="n">
        <v>28110510</v>
      </c>
    </row>
    <row r="1021" ht="15.75" customHeight="1" s="201">
      <c r="A1021" s="1" t="inlineStr">
        <is>
          <t>Beef, rib eye steak, bone-in, lip-on, separable lean and fat, trimmed to 1/8" fat, select, cooked, grilled</t>
        </is>
      </c>
      <c r="C1021" s="1" t="n">
        <v>0</v>
      </c>
      <c r="D1021" s="1" t="n">
        <v>6</v>
      </c>
      <c r="E1021" s="1" t="n">
        <v>2.29</v>
      </c>
      <c r="F1021" s="1" t="n">
        <v>23.19</v>
      </c>
      <c r="G1021" s="1" t="n">
        <v>23.47</v>
      </c>
      <c r="H1021" s="1" t="n">
        <v>28</v>
      </c>
      <c r="I1021" s="1" t="n">
        <v>5.03</v>
      </c>
      <c r="J1021" t="n">
        <v>28110510</v>
      </c>
    </row>
    <row r="1022" ht="15.75" customHeight="1" s="201">
      <c r="A1022" s="1" t="inlineStr">
        <is>
          <t>Beef, rib eye steak, bone-in, lip-on, separable lean only, trimmed to 1/8" fat, all grades, cooked, grilled</t>
        </is>
      </c>
      <c r="C1022" s="1" t="n">
        <v>0</v>
      </c>
      <c r="D1022" s="1" t="n">
        <v>7</v>
      </c>
      <c r="E1022" s="1" t="n">
        <v>2.62</v>
      </c>
      <c r="F1022" s="1" t="n">
        <v>27.4</v>
      </c>
      <c r="G1022" s="1" t="n">
        <v>12.43</v>
      </c>
      <c r="H1022" s="1" t="n">
        <v>6</v>
      </c>
      <c r="I1022" s="1" t="n">
        <v>6</v>
      </c>
      <c r="J1022" t="n">
        <v>28110510</v>
      </c>
    </row>
    <row r="1023" ht="15.75" customHeight="1" s="201">
      <c r="A1023" s="1" t="inlineStr">
        <is>
          <t>Beef, rib eye steak, bone-in, lip-on, separable lean only, trimmed to 1/8" fat, choice, cooked, grilled</t>
        </is>
      </c>
      <c r="C1023" s="1" t="n">
        <v>0</v>
      </c>
      <c r="D1023" s="1" t="n">
        <v>7</v>
      </c>
      <c r="E1023" s="1" t="n">
        <v>2.61</v>
      </c>
      <c r="F1023" s="1" t="n">
        <v>27.03</v>
      </c>
      <c r="G1023" s="1" t="n">
        <v>13.44</v>
      </c>
      <c r="H1023" s="1" t="n">
        <v>5</v>
      </c>
      <c r="I1023" s="1" t="n">
        <v>6</v>
      </c>
      <c r="J1023" t="n">
        <v>28110510</v>
      </c>
    </row>
    <row r="1024" ht="15.75" customHeight="1" s="201">
      <c r="A1024" s="1" t="inlineStr">
        <is>
          <t>Beef, rib eye steak, bone-in, lip-on, separable lean only, trimmed to 1/8" fat, select, cooked, grilled</t>
        </is>
      </c>
      <c r="C1024" s="1" t="n">
        <v>0</v>
      </c>
      <c r="D1024" s="1" t="n">
        <v>7</v>
      </c>
      <c r="E1024" s="1" t="n">
        <v>2.63</v>
      </c>
      <c r="F1024" s="1" t="n">
        <v>27.96</v>
      </c>
      <c r="G1024" s="1" t="n">
        <v>10.91</v>
      </c>
      <c r="H1024" s="1" t="n">
        <v>7</v>
      </c>
      <c r="I1024" s="1" t="n">
        <v>6.01</v>
      </c>
      <c r="J1024" t="n">
        <v>28110510</v>
      </c>
    </row>
    <row r="1025" ht="15.75" customHeight="1" s="201">
      <c r="A1025" s="1" t="inlineStr">
        <is>
          <t>Beef, rib eye steak, boneless, lip off, separable lean and fat, trimmed to 0" fat, all grades, cooked, grilled</t>
        </is>
      </c>
      <c r="C1025" s="1" t="n">
        <v>0</v>
      </c>
      <c r="D1025" s="1" t="n">
        <v>6</v>
      </c>
      <c r="E1025" s="1" t="n">
        <v>2.4</v>
      </c>
      <c r="F1025" s="1" t="n">
        <v>24.85</v>
      </c>
      <c r="G1025" s="1" t="n">
        <v>19.02</v>
      </c>
      <c r="H1025" s="1" t="n">
        <v>25</v>
      </c>
      <c r="I1025" s="1" t="n">
        <v>6.34</v>
      </c>
      <c r="J1025" t="n">
        <v>28110510</v>
      </c>
    </row>
    <row r="1026" ht="15.75" customHeight="1" s="201">
      <c r="A1026" s="1" t="inlineStr">
        <is>
          <t>Beef, rib eye steak, boneless, lip off, separable lean and fat, trimmed to 0" fat, all grades, raw</t>
        </is>
      </c>
      <c r="C1026" s="1" t="n">
        <v>0.12</v>
      </c>
      <c r="D1026" s="1" t="n">
        <v>3</v>
      </c>
      <c r="E1026" s="1" t="n">
        <v>1.81</v>
      </c>
      <c r="F1026" s="1" t="n">
        <v>19.26</v>
      </c>
      <c r="G1026" s="1" t="n">
        <v>16.71</v>
      </c>
      <c r="H1026" s="1" t="n">
        <v>15</v>
      </c>
      <c r="I1026" s="1" t="n">
        <v>4.96</v>
      </c>
      <c r="J1026" t="n">
        <v>28110510</v>
      </c>
    </row>
    <row r="1027" ht="15.75" customHeight="1" s="201">
      <c r="A1027" s="1" t="inlineStr">
        <is>
          <t>Beef, rib eye steak, boneless, lip off, separable lean and fat, trimmed to 0" fat, choice, cooked, grilled</t>
        </is>
      </c>
      <c r="C1027" s="1" t="n">
        <v>0</v>
      </c>
      <c r="D1027" s="1" t="n">
        <v>6</v>
      </c>
      <c r="E1027" s="1" t="n">
        <v>2.49</v>
      </c>
      <c r="F1027" s="1" t="n">
        <v>23.89</v>
      </c>
      <c r="G1027" s="1" t="n">
        <v>21.1</v>
      </c>
      <c r="H1027" s="1" t="n">
        <v>24</v>
      </c>
      <c r="I1027" s="1" t="n">
        <v>6.23</v>
      </c>
      <c r="J1027" t="n">
        <v>28110510</v>
      </c>
    </row>
    <row r="1028" ht="15.75" customHeight="1" s="201">
      <c r="A1028" s="1" t="inlineStr">
        <is>
          <t>Beef, rib eye steak, boneless, lip off, separable lean and fat, trimmed to 0" fat, choice, raw</t>
        </is>
      </c>
      <c r="C1028" s="1" t="n">
        <v>0.2</v>
      </c>
      <c r="D1028" s="1" t="n">
        <v>3</v>
      </c>
      <c r="E1028" s="1" t="n">
        <v>1.86</v>
      </c>
      <c r="F1028" s="1" t="n">
        <v>18.69</v>
      </c>
      <c r="G1028" s="1" t="n">
        <v>18.43</v>
      </c>
      <c r="H1028" s="1" t="n">
        <v>15</v>
      </c>
      <c r="I1028" s="1" t="n">
        <v>4.86</v>
      </c>
      <c r="J1028" t="n">
        <v>28110510</v>
      </c>
    </row>
    <row r="1029" ht="15.75" customHeight="1" s="201">
      <c r="A1029" s="1" t="inlineStr">
        <is>
          <t>Beef, rib eye steak, boneless, lip off, separable lean and fat, trimmed to 0" fat, select, cooked, grilled</t>
        </is>
      </c>
      <c r="C1029" s="1" t="n">
        <v>0</v>
      </c>
      <c r="D1029" s="1" t="n">
        <v>6</v>
      </c>
      <c r="E1029" s="1" t="n">
        <v>2.28</v>
      </c>
      <c r="F1029" s="1" t="n">
        <v>26.29</v>
      </c>
      <c r="G1029" s="1" t="n">
        <v>15.9</v>
      </c>
      <c r="H1029" s="1" t="n">
        <v>25</v>
      </c>
      <c r="I1029" s="1" t="n">
        <v>6.5</v>
      </c>
      <c r="J1029" t="n">
        <v>28110510</v>
      </c>
    </row>
    <row r="1030" ht="15.75" customHeight="1" s="201">
      <c r="A1030" s="1" t="inlineStr">
        <is>
          <t>Beef, rib eye steak, boneless, lip off, separable lean and fat, trimmed to 0" fat, select, raw</t>
        </is>
      </c>
      <c r="C1030" s="1" t="n">
        <v>0</v>
      </c>
      <c r="D1030" s="1" t="n">
        <v>3</v>
      </c>
      <c r="E1030" s="1" t="n">
        <v>1.72</v>
      </c>
      <c r="F1030" s="1" t="n">
        <v>20.12</v>
      </c>
      <c r="G1030" s="1" t="n">
        <v>14.14</v>
      </c>
      <c r="H1030" s="1" t="n">
        <v>15</v>
      </c>
      <c r="I1030" s="1" t="n">
        <v>5.13</v>
      </c>
      <c r="J1030" t="n">
        <v>28110510</v>
      </c>
    </row>
    <row r="1031" ht="15.75" customHeight="1" s="201">
      <c r="A1031" s="1" t="inlineStr">
        <is>
          <t>Beef, rib eye steak, boneless, lip off, separable lean only, trimmed to 0" fat, all grades, cooked, grilled</t>
        </is>
      </c>
      <c r="C1031" s="1" t="n">
        <v>0</v>
      </c>
      <c r="D1031" s="1" t="n">
        <v>7</v>
      </c>
      <c r="E1031" s="1" t="n">
        <v>2.53</v>
      </c>
      <c r="F1031" s="1" t="n">
        <v>28.11</v>
      </c>
      <c r="G1031" s="1" t="n">
        <v>10.37</v>
      </c>
      <c r="H1031" s="1" t="n">
        <v>6</v>
      </c>
      <c r="I1031" s="1" t="n">
        <v>7</v>
      </c>
      <c r="J1031" t="n">
        <v>28110510</v>
      </c>
    </row>
    <row r="1032" ht="15.75" customHeight="1" s="201">
      <c r="A1032" s="1" t="inlineStr">
        <is>
          <t>Beef, rib eye steak, boneless, lip off, separable lean only, trimmed to 0" fat, all grades, raw</t>
        </is>
      </c>
      <c r="C1032" s="1" t="n">
        <v>0</v>
      </c>
      <c r="D1032" s="1" t="n">
        <v>4</v>
      </c>
      <c r="E1032" s="1" t="n">
        <v>1.94</v>
      </c>
      <c r="F1032" s="1" t="n">
        <v>21.85</v>
      </c>
      <c r="G1032" s="1" t="n">
        <v>7.41</v>
      </c>
      <c r="H1032" s="1" t="n">
        <v>7</v>
      </c>
      <c r="I1032" s="1" t="n">
        <v>5.67</v>
      </c>
      <c r="J1032" t="n">
        <v>28110510</v>
      </c>
    </row>
    <row r="1033" ht="15.75" customHeight="1" s="201">
      <c r="A1033" s="1" t="inlineStr">
        <is>
          <t>Beef, rib eye steak, boneless, lip off, separable lean only, trimmed to 0" fat, choice, cooked, grilled</t>
        </is>
      </c>
      <c r="C1033" s="1" t="n">
        <v>0</v>
      </c>
      <c r="D1033" s="1" t="n">
        <v>7</v>
      </c>
      <c r="E1033" s="1" t="n">
        <v>2.65</v>
      </c>
      <c r="F1033" s="1" t="n">
        <v>27.39</v>
      </c>
      <c r="G1033" s="1" t="n">
        <v>11.75</v>
      </c>
      <c r="H1033" s="1" t="n">
        <v>5</v>
      </c>
      <c r="I1033" s="1" t="n">
        <v>6.97</v>
      </c>
      <c r="J1033" t="n">
        <v>28110510</v>
      </c>
    </row>
    <row r="1034" ht="15.75" customHeight="1" s="201">
      <c r="A1034" s="1" t="inlineStr">
        <is>
          <t>Beef, rib eye steak, boneless, lip off, separable lean only, trimmed to 0" fat, choice, raw</t>
        </is>
      </c>
      <c r="C1034" s="1" t="n">
        <v>0</v>
      </c>
      <c r="D1034" s="1" t="n">
        <v>3</v>
      </c>
      <c r="E1034" s="1" t="n">
        <v>2.04</v>
      </c>
      <c r="F1034" s="1" t="n">
        <v>21.44</v>
      </c>
      <c r="G1034" s="1" t="n">
        <v>8.5</v>
      </c>
      <c r="H1034" s="1" t="n">
        <v>6</v>
      </c>
      <c r="I1034" s="1" t="n">
        <v>5.63</v>
      </c>
      <c r="J1034" t="n">
        <v>28110510</v>
      </c>
    </row>
    <row r="1035" ht="15.75" customHeight="1" s="201">
      <c r="A1035" s="1" t="inlineStr">
        <is>
          <t>Beef, rib eye steak, boneless, lip off, separable lean only, trimmed to 0" fat, select, cooked, grilled</t>
        </is>
      </c>
      <c r="C1035" s="1" t="n">
        <v>0</v>
      </c>
      <c r="D1035" s="1" t="n">
        <v>7</v>
      </c>
      <c r="E1035" s="1" t="n">
        <v>2.34</v>
      </c>
      <c r="F1035" s="1" t="n">
        <v>29.18</v>
      </c>
      <c r="G1035" s="1" t="n">
        <v>8.31</v>
      </c>
      <c r="H1035" s="1" t="n">
        <v>7</v>
      </c>
      <c r="I1035" s="1" t="n">
        <v>7.05</v>
      </c>
      <c r="J1035" t="n">
        <v>28110510</v>
      </c>
    </row>
    <row r="1036" ht="15.75" customHeight="1" s="201">
      <c r="A1036" s="1" t="inlineStr">
        <is>
          <t>Beef, rib eye steak, boneless, lip off, separable lean only, trimmed to 0" fat, select, raw</t>
        </is>
      </c>
      <c r="C1036" s="1" t="n">
        <v>0</v>
      </c>
      <c r="D1036" s="1" t="n">
        <v>4</v>
      </c>
      <c r="E1036" s="1" t="n">
        <v>1.8</v>
      </c>
      <c r="F1036" s="1" t="n">
        <v>22.46</v>
      </c>
      <c r="G1036" s="1" t="n">
        <v>5.78</v>
      </c>
      <c r="H1036" s="1" t="n">
        <v>8</v>
      </c>
      <c r="I1036" s="1" t="n">
        <v>5.72</v>
      </c>
      <c r="J1036" t="n">
        <v>28110510</v>
      </c>
    </row>
    <row r="1037" ht="15.75" customHeight="1" s="201">
      <c r="A1037" s="1" t="inlineStr">
        <is>
          <t>Beef, rib eye steak, boneless, lip-on, separable lean and fat, trimmed to 1/8" fat, all grades, cooked, grilled</t>
        </is>
      </c>
      <c r="C1037" s="1" t="n">
        <v>0</v>
      </c>
      <c r="D1037" s="1" t="n">
        <v>6</v>
      </c>
      <c r="E1037" s="1" t="n">
        <v>2.24</v>
      </c>
      <c r="F1037" s="1" t="n">
        <v>23.69</v>
      </c>
      <c r="G1037" s="1" t="n">
        <v>21.81</v>
      </c>
      <c r="H1037" s="1" t="n">
        <v>25</v>
      </c>
      <c r="I1037" s="1" t="n">
        <v>5.91</v>
      </c>
      <c r="J1037" t="n">
        <v>28110510</v>
      </c>
    </row>
    <row r="1038" ht="15.75" customHeight="1" s="201">
      <c r="A1038" s="1" t="inlineStr">
        <is>
          <t>Beef, rib eye steak, boneless, lip-on, separable lean and fat, trimmed to 1/8" fat, choice, cooked, grilled</t>
        </is>
      </c>
      <c r="C1038" s="1" t="n">
        <v>0</v>
      </c>
      <c r="D1038" s="1" t="n">
        <v>6</v>
      </c>
      <c r="E1038" s="1" t="n">
        <v>2.33</v>
      </c>
      <c r="F1038" s="1" t="n">
        <v>22.92</v>
      </c>
      <c r="G1038" s="1" t="n">
        <v>23.52</v>
      </c>
      <c r="H1038" s="1" t="n">
        <v>25</v>
      </c>
      <c r="I1038" s="1" t="n">
        <v>5.84</v>
      </c>
      <c r="J1038" t="n">
        <v>28110510</v>
      </c>
    </row>
    <row r="1039" ht="15.75" customHeight="1" s="201">
      <c r="A1039" s="1" t="inlineStr">
        <is>
          <t>Beef, rib eye steak, boneless, lip-on, separable lean and fat, trimmed to 1/8" fat, select, cooked, grilled</t>
        </is>
      </c>
      <c r="C1039" s="1" t="n">
        <v>0</v>
      </c>
      <c r="D1039" s="1" t="n">
        <v>6</v>
      </c>
      <c r="E1039" s="1" t="n">
        <v>2.12</v>
      </c>
      <c r="F1039" s="1" t="n">
        <v>24.83</v>
      </c>
      <c r="G1039" s="1" t="n">
        <v>19.25</v>
      </c>
      <c r="H1039" s="1" t="n">
        <v>26</v>
      </c>
      <c r="I1039" s="1" t="n">
        <v>6.03</v>
      </c>
      <c r="J1039" t="n">
        <v>28110510</v>
      </c>
    </row>
    <row r="1040" ht="15.75" customHeight="1" s="201">
      <c r="A1040" s="1" t="inlineStr">
        <is>
          <t>Beef, rib eye steak, boneless, lip-on, separable lean only, trimmed to 1/8" fat, all grades, cooked, grilled</t>
        </is>
      </c>
      <c r="C1040" s="1" t="n">
        <v>0</v>
      </c>
      <c r="D1040" s="1" t="n">
        <v>7</v>
      </c>
      <c r="E1040" s="1" t="n">
        <v>2.53</v>
      </c>
      <c r="F1040" s="1" t="n">
        <v>27.97</v>
      </c>
      <c r="G1040" s="1" t="n">
        <v>10.57</v>
      </c>
      <c r="H1040" s="1" t="n">
        <v>6</v>
      </c>
      <c r="I1040" s="1" t="n">
        <v>7</v>
      </c>
      <c r="J1040" t="n">
        <v>28110510</v>
      </c>
    </row>
    <row r="1041" ht="15.75" customHeight="1" s="201">
      <c r="A1041" s="1" t="inlineStr">
        <is>
          <t>Beef, rib eye steak, boneless, lip-on, separable lean only, trimmed to 1/8" fat, choice, cooked, grilled</t>
        </is>
      </c>
      <c r="C1041" s="1" t="n">
        <v>0</v>
      </c>
      <c r="D1041" s="1" t="n">
        <v>7</v>
      </c>
      <c r="E1041" s="1" t="n">
        <v>2.65</v>
      </c>
      <c r="F1041" s="1" t="n">
        <v>27.3</v>
      </c>
      <c r="G1041" s="1" t="n">
        <v>11.97</v>
      </c>
      <c r="H1041" s="1" t="n">
        <v>5</v>
      </c>
      <c r="I1041" s="1" t="n">
        <v>6.97</v>
      </c>
      <c r="J1041" t="n">
        <v>28110510</v>
      </c>
    </row>
    <row r="1042" ht="15.75" customHeight="1" s="201">
      <c r="A1042" s="1" t="inlineStr">
        <is>
          <t>Beef, rib eye steak, boneless, lip-on, separable lean only, trimmed to 1/8" fat, select, cooked, grilled</t>
        </is>
      </c>
      <c r="C1042" s="1" t="n">
        <v>0</v>
      </c>
      <c r="D1042" s="1" t="n">
        <v>7</v>
      </c>
      <c r="E1042" s="1" t="n">
        <v>2.34</v>
      </c>
      <c r="F1042" s="1" t="n">
        <v>28.98</v>
      </c>
      <c r="G1042" s="1" t="n">
        <v>8.48</v>
      </c>
      <c r="H1042" s="1" t="n">
        <v>7</v>
      </c>
      <c r="I1042" s="1" t="n">
        <v>7.05</v>
      </c>
      <c r="J1042" t="n">
        <v>28110510</v>
      </c>
    </row>
    <row r="1043" ht="15.75" customHeight="1" s="201">
      <c r="A1043" s="1" t="inlineStr">
        <is>
          <t>Beef, rib eye steak/roast, bone-in, lip-on, separable lean and fat, trimmed to 1/8" fat, all grades, raw</t>
        </is>
      </c>
      <c r="C1043" s="1" t="n">
        <v>0</v>
      </c>
      <c r="D1043" s="1" t="n">
        <v>3</v>
      </c>
      <c r="E1043" s="1" t="n">
        <v>1.74</v>
      </c>
      <c r="F1043" s="1" t="n">
        <v>18.13</v>
      </c>
      <c r="G1043" s="1" t="n">
        <v>20.31</v>
      </c>
      <c r="H1043" s="1" t="n">
        <v>16</v>
      </c>
      <c r="I1043" s="1" t="n">
        <v>4.12</v>
      </c>
      <c r="J1043" t="n">
        <v>27513010</v>
      </c>
    </row>
    <row r="1044" ht="15.75" customHeight="1" s="201">
      <c r="A1044" s="1" t="inlineStr">
        <is>
          <t>Beef, rib eye steak/roast, bone-in, lip-on, separable lean and fat, trimmed to 1/8" fat, choice, raw</t>
        </is>
      </c>
      <c r="C1044" s="1" t="n">
        <v>0</v>
      </c>
      <c r="D1044" s="1" t="n">
        <v>3</v>
      </c>
      <c r="E1044" s="1" t="n">
        <v>1.73</v>
      </c>
      <c r="F1044" s="1" t="n">
        <v>17.92</v>
      </c>
      <c r="G1044" s="1" t="n">
        <v>20.96</v>
      </c>
      <c r="H1044" s="1" t="n">
        <v>15</v>
      </c>
      <c r="I1044" s="1" t="n">
        <v>4.04</v>
      </c>
      <c r="J1044" t="n">
        <v>27513010</v>
      </c>
    </row>
    <row r="1045" ht="15.75" customHeight="1" s="201">
      <c r="A1045" s="1" t="inlineStr">
        <is>
          <t>Beef, rib eye steak/roast, bone-in, lip-on, separable lean and fat, trimmed to 1/8" fat, select, raw</t>
        </is>
      </c>
      <c r="C1045" s="1" t="n">
        <v>0</v>
      </c>
      <c r="D1045" s="1" t="n">
        <v>3</v>
      </c>
      <c r="E1045" s="1" t="n">
        <v>1.76</v>
      </c>
      <c r="F1045" s="1" t="n">
        <v>18.44</v>
      </c>
      <c r="G1045" s="1" t="n">
        <v>19.34</v>
      </c>
      <c r="H1045" s="1" t="n">
        <v>16</v>
      </c>
      <c r="I1045" s="1" t="n">
        <v>4.24</v>
      </c>
      <c r="J1045" t="n">
        <v>27513010</v>
      </c>
    </row>
    <row r="1046" ht="15.75" customHeight="1" s="201">
      <c r="A1046" s="1" t="inlineStr">
        <is>
          <t>Beef, rib eye steak/roast, bone-in, lip-on, separable lean only, trimmed to 1/8" fat, all grades, raw</t>
        </is>
      </c>
      <c r="C1046" s="1" t="n">
        <v>0</v>
      </c>
      <c r="D1046" s="1" t="n">
        <v>3</v>
      </c>
      <c r="E1046" s="1" t="n">
        <v>1.96</v>
      </c>
      <c r="F1046" s="1" t="n">
        <v>21.22</v>
      </c>
      <c r="G1046" s="1" t="n">
        <v>9.039999999999999</v>
      </c>
      <c r="H1046" s="1" t="n">
        <v>7</v>
      </c>
      <c r="I1046" s="1" t="n">
        <v>4.89</v>
      </c>
      <c r="J1046" t="n">
        <v>27513010</v>
      </c>
    </row>
    <row r="1047" ht="15.75" customHeight="1" s="201">
      <c r="A1047" s="1" t="inlineStr">
        <is>
          <t>Beef, rib eye steak/roast, bone-in, lip-on, separable lean only, trimmed to 1/8" fat, choice, raw</t>
        </is>
      </c>
      <c r="C1047" s="1" t="n">
        <v>0</v>
      </c>
      <c r="D1047" s="1" t="n">
        <v>3</v>
      </c>
      <c r="E1047" s="1" t="n">
        <v>1.95</v>
      </c>
      <c r="F1047" s="1" t="n">
        <v>20.93</v>
      </c>
      <c r="G1047" s="1" t="n">
        <v>9.970000000000001</v>
      </c>
      <c r="H1047" s="1" t="n">
        <v>7</v>
      </c>
      <c r="I1047" s="1" t="n">
        <v>4.77</v>
      </c>
      <c r="J1047" t="n">
        <v>27513010</v>
      </c>
    </row>
    <row r="1048" ht="15.75" customHeight="1" s="201">
      <c r="A1048" s="1" t="inlineStr">
        <is>
          <t>Beef, rib eye steak/roast, bone-in, lip-on, separable lean only, trimmed to 1/8" fat, select, raw</t>
        </is>
      </c>
      <c r="C1048" s="1" t="n">
        <v>0</v>
      </c>
      <c r="D1048" s="1" t="n">
        <v>3</v>
      </c>
      <c r="E1048" s="1" t="n">
        <v>1.99</v>
      </c>
      <c r="F1048" s="1" t="n">
        <v>21.65</v>
      </c>
      <c r="G1048" s="1" t="n">
        <v>7.64</v>
      </c>
      <c r="H1048" s="1" t="n">
        <v>8</v>
      </c>
      <c r="I1048" s="1" t="n">
        <v>5.07</v>
      </c>
      <c r="J1048" t="n">
        <v>27513010</v>
      </c>
    </row>
    <row r="1049" ht="15.75" customHeight="1" s="201">
      <c r="A1049" s="1" t="inlineStr">
        <is>
          <t>Beef, rib eye steak/roast, boneless, lip-on, separable lean and fat, trimmed to 1/8" fat, all grades, raw</t>
        </is>
      </c>
      <c r="C1049" s="1" t="n">
        <v>0</v>
      </c>
      <c r="D1049" s="1" t="n">
        <v>3</v>
      </c>
      <c r="E1049" s="1" t="n">
        <v>1.74</v>
      </c>
      <c r="F1049" s="1" t="n">
        <v>18.85</v>
      </c>
      <c r="G1049" s="1" t="n">
        <v>18.73</v>
      </c>
      <c r="H1049" s="1" t="n">
        <v>15</v>
      </c>
      <c r="I1049" s="1" t="n">
        <v>4.78</v>
      </c>
      <c r="J1049" t="n">
        <v>27513010</v>
      </c>
    </row>
    <row r="1050" ht="15.75" customHeight="1" s="201">
      <c r="A1050" s="1" t="inlineStr">
        <is>
          <t>Beef, rib eye steak/roast, boneless, lip-on, separable lean and fat, trimmed to 1/8" fat, choice, raw</t>
        </is>
      </c>
      <c r="C1050" s="1" t="n">
        <v>0</v>
      </c>
      <c r="D1050" s="1" t="n">
        <v>3</v>
      </c>
      <c r="E1050" s="1" t="n">
        <v>1.81</v>
      </c>
      <c r="F1050" s="1" t="n">
        <v>18.39</v>
      </c>
      <c r="G1050" s="1" t="n">
        <v>19.95</v>
      </c>
      <c r="H1050" s="1" t="n">
        <v>15</v>
      </c>
      <c r="I1050" s="1" t="n">
        <v>4.71</v>
      </c>
      <c r="J1050" t="n">
        <v>27513010</v>
      </c>
    </row>
    <row r="1051" ht="15.75" customHeight="1" s="201">
      <c r="A1051" s="1" t="inlineStr">
        <is>
          <t>Beef, rib eye steak/roast, boneless, lip-on, separable lean and fat, trimmed to 1/8" fat, select, raw</t>
        </is>
      </c>
      <c r="C1051" s="1" t="n">
        <v>0</v>
      </c>
      <c r="D1051" s="1" t="n">
        <v>3</v>
      </c>
      <c r="E1051" s="1" t="n">
        <v>1.64</v>
      </c>
      <c r="F1051" s="1" t="n">
        <v>19.55</v>
      </c>
      <c r="G1051" s="1" t="n">
        <v>16.9</v>
      </c>
      <c r="H1051" s="1" t="n">
        <v>16</v>
      </c>
      <c r="I1051" s="1" t="n">
        <v>4.88</v>
      </c>
      <c r="J1051" t="n">
        <v>27513010</v>
      </c>
    </row>
    <row r="1052" ht="15.75" customHeight="1" s="201">
      <c r="A1052" s="1" t="inlineStr">
        <is>
          <t>Beef, rib eye steak/roast, boneless, lip-on, separable lean only, trimmed to 1/8" fat, all grades, raw</t>
        </is>
      </c>
      <c r="C1052" s="1" t="n">
        <v>0</v>
      </c>
      <c r="D1052" s="1" t="n">
        <v>4</v>
      </c>
      <c r="E1052" s="1" t="n">
        <v>1.94</v>
      </c>
      <c r="F1052" s="1" t="n">
        <v>21.99</v>
      </c>
      <c r="G1052" s="1" t="n">
        <v>7.54</v>
      </c>
      <c r="H1052" s="1" t="n">
        <v>7</v>
      </c>
      <c r="I1052" s="1" t="n">
        <v>5.67</v>
      </c>
      <c r="J1052" t="n">
        <v>27513010</v>
      </c>
    </row>
    <row r="1053" ht="15.75" customHeight="1" s="201">
      <c r="A1053" s="1" t="inlineStr">
        <is>
          <t>Beef, rib eye steak/roast, boneless, lip-on, separable lean only, trimmed to 1/8" fat, choice, raw</t>
        </is>
      </c>
      <c r="C1053" s="1" t="n">
        <v>0</v>
      </c>
      <c r="D1053" s="1" t="n">
        <v>3</v>
      </c>
      <c r="E1053" s="1" t="n">
        <v>2.04</v>
      </c>
      <c r="F1053" s="1" t="n">
        <v>21.62</v>
      </c>
      <c r="G1053" s="1" t="n">
        <v>8.289999999999999</v>
      </c>
      <c r="H1053" s="1" t="n">
        <v>6</v>
      </c>
      <c r="I1053" s="1" t="n">
        <v>5.63</v>
      </c>
      <c r="J1053" t="n">
        <v>27513010</v>
      </c>
    </row>
    <row r="1054" ht="15.75" customHeight="1" s="201">
      <c r="A1054" s="1" t="inlineStr">
        <is>
          <t>Beef, rib eye steak/roast, boneless, lip-on, separable lean only, trimmed to 1/8" fat, select, raw</t>
        </is>
      </c>
      <c r="C1054" s="1" t="n">
        <v>0</v>
      </c>
      <c r="D1054" s="1" t="n">
        <v>4</v>
      </c>
      <c r="E1054" s="1" t="n">
        <v>1.8</v>
      </c>
      <c r="F1054" s="1" t="n">
        <v>22.55</v>
      </c>
      <c r="G1054" s="1" t="n">
        <v>6.41</v>
      </c>
      <c r="H1054" s="1" t="n">
        <v>8</v>
      </c>
      <c r="I1054" s="1" t="n">
        <v>5.72</v>
      </c>
      <c r="J1054" t="n">
        <v>27513010</v>
      </c>
    </row>
    <row r="1055" ht="15.75" customHeight="1" s="201">
      <c r="A1055" s="1" t="inlineStr">
        <is>
          <t>Beef, rib eye, small end (ribs 10-12), separable lean and fat, trimmed to 0" fat, all grades, cooked, broiled</t>
        </is>
      </c>
      <c r="C1055" s="1" t="n">
        <v>0</v>
      </c>
      <c r="D1055" s="1" t="n">
        <v>8</v>
      </c>
      <c r="E1055" s="1" t="n">
        <v>1.75</v>
      </c>
      <c r="F1055" s="1" t="n">
        <v>27.27</v>
      </c>
      <c r="G1055" s="1" t="n">
        <v>14.74</v>
      </c>
      <c r="H1055" s="1" t="n">
        <v>0</v>
      </c>
      <c r="I1055" s="1" t="n">
        <v>4.93</v>
      </c>
      <c r="J1055" t="n">
        <v>28110510</v>
      </c>
    </row>
    <row r="1056" ht="15.75" customHeight="1" s="201">
      <c r="A1056" s="1" t="inlineStr">
        <is>
          <t>Beef, rib eye, small end (ribs 10-12), separable lean and fat, trimmed to 0" fat, select, cooked, broiled</t>
        </is>
      </c>
      <c r="C1056" s="1" t="n">
        <v>0</v>
      </c>
      <c r="D1056" s="1" t="n">
        <v>9</v>
      </c>
      <c r="E1056" s="1" t="n">
        <v>1.7</v>
      </c>
      <c r="F1056" s="1" t="n">
        <v>27.95</v>
      </c>
      <c r="G1056" s="1" t="n">
        <v>12.71</v>
      </c>
      <c r="H1056" s="1" t="n">
        <v>0</v>
      </c>
      <c r="I1056" s="1" t="n">
        <v>5.06</v>
      </c>
      <c r="J1056" t="n">
        <v>28110510</v>
      </c>
    </row>
    <row r="1057" ht="15.75" customHeight="1" s="201">
      <c r="A1057" s="1" t="inlineStr">
        <is>
          <t>Beef, rib eye, small end (ribs 10-12), separable lean only, trimmed to 0" fat, select, raw</t>
        </is>
      </c>
      <c r="C1057" s="1" t="n">
        <v>0</v>
      </c>
      <c r="D1057" s="1" t="n">
        <v>6</v>
      </c>
      <c r="E1057" s="1" t="n">
        <v>1.94</v>
      </c>
      <c r="F1057" s="1" t="n">
        <v>21.17</v>
      </c>
      <c r="G1057" s="1" t="n">
        <v>6.57</v>
      </c>
      <c r="H1057" s="1" t="n">
        <v>0</v>
      </c>
      <c r="I1057" s="1" t="n">
        <v>5.28</v>
      </c>
      <c r="J1057" t="n">
        <v>28110510</v>
      </c>
    </row>
    <row r="1058" ht="15.75" customHeight="1" s="201">
      <c r="A1058" s="1" t="inlineStr">
        <is>
          <t>Beef, rib, back ribs, bone-in, separable lean and fat, trimmed to 0" fat, all grades, cooked, braised</t>
        </is>
      </c>
      <c r="C1058" s="1" t="n">
        <v>0</v>
      </c>
      <c r="D1058" s="1" t="n">
        <v>6</v>
      </c>
      <c r="E1058" s="1" t="n">
        <v>2.4</v>
      </c>
      <c r="F1058" s="1" t="n">
        <v>24.23</v>
      </c>
      <c r="G1058" s="1" t="n">
        <v>29.21</v>
      </c>
      <c r="H1058" s="1" t="n">
        <v>30</v>
      </c>
      <c r="I1058" s="1" t="n">
        <v>5.3</v>
      </c>
      <c r="J1058" t="n">
        <v>28110510</v>
      </c>
    </row>
    <row r="1059" ht="15.75" customHeight="1" s="201">
      <c r="A1059" s="1" t="inlineStr">
        <is>
          <t>Beef, rib, back ribs, bone-in, separable lean and fat, trimmed to 0" fat, all grades, raw</t>
        </is>
      </c>
      <c r="C1059" s="1" t="n">
        <v>0.78</v>
      </c>
      <c r="D1059" s="1" t="n">
        <v>3</v>
      </c>
      <c r="E1059" s="1" t="n">
        <v>1.63</v>
      </c>
      <c r="F1059" s="1" t="n">
        <v>16.15</v>
      </c>
      <c r="G1059" s="1" t="n">
        <v>28.42</v>
      </c>
      <c r="H1059" s="1" t="n">
        <v>19</v>
      </c>
      <c r="I1059" s="1" t="n">
        <v>3.85</v>
      </c>
      <c r="J1059" t="n">
        <v>28110510</v>
      </c>
    </row>
    <row r="1060" ht="15.75" customHeight="1" s="201">
      <c r="A1060" s="1" t="inlineStr">
        <is>
          <t>Beef, rib, back ribs, bone-in, separable lean and fat, trimmed to 0" fat, choice, cooked, braised</t>
        </is>
      </c>
      <c r="C1060" s="1" t="n">
        <v>0</v>
      </c>
      <c r="D1060" s="1" t="n">
        <v>6</v>
      </c>
      <c r="E1060" s="1" t="n">
        <v>2.34</v>
      </c>
      <c r="F1060" s="1" t="n">
        <v>23.34</v>
      </c>
      <c r="G1060" s="1" t="n">
        <v>30.95</v>
      </c>
      <c r="H1060" s="1" t="n">
        <v>29</v>
      </c>
      <c r="I1060" s="1" t="n">
        <v>5.19</v>
      </c>
      <c r="J1060" t="n">
        <v>28110510</v>
      </c>
    </row>
    <row r="1061" ht="15.75" customHeight="1" s="201">
      <c r="A1061" s="1" t="inlineStr">
        <is>
          <t>Beef, rib, back ribs, bone-in, separable lean and fat, trimmed to 0" fat, choice, raw</t>
        </is>
      </c>
      <c r="C1061" s="1" t="n">
        <v>0.9</v>
      </c>
      <c r="D1061" s="1" t="n">
        <v>3</v>
      </c>
      <c r="E1061" s="1" t="n">
        <v>1.61</v>
      </c>
      <c r="F1061" s="1" t="n">
        <v>15.75</v>
      </c>
      <c r="G1061" s="1" t="n">
        <v>29.89</v>
      </c>
      <c r="H1061" s="1" t="n">
        <v>18</v>
      </c>
      <c r="I1061" s="1" t="n">
        <v>3.76</v>
      </c>
      <c r="J1061" t="n">
        <v>28110510</v>
      </c>
    </row>
    <row r="1062" ht="15.75" customHeight="1" s="201">
      <c r="A1062" s="1" t="inlineStr">
        <is>
          <t>Beef, rib, back ribs, bone-in, separable lean and fat, trimmed to 0" fat, select, cooked, braised</t>
        </is>
      </c>
      <c r="C1062" s="1" t="n">
        <v>0</v>
      </c>
      <c r="D1062" s="1" t="n">
        <v>6</v>
      </c>
      <c r="E1062" s="1" t="n">
        <v>2.49</v>
      </c>
      <c r="F1062" s="1" t="n">
        <v>25.56</v>
      </c>
      <c r="G1062" s="1" t="n">
        <v>26.59</v>
      </c>
      <c r="H1062" s="1" t="n">
        <v>31</v>
      </c>
      <c r="I1062" s="1" t="n">
        <v>5.46</v>
      </c>
      <c r="J1062" t="n">
        <v>28110510</v>
      </c>
    </row>
    <row r="1063" ht="15.75" customHeight="1" s="201">
      <c r="A1063" s="1" t="inlineStr">
        <is>
          <t>Beef, rib, back ribs, bone-in, separable lean and fat, trimmed to 0" fat, select, raw</t>
        </is>
      </c>
      <c r="C1063" s="1" t="n">
        <v>0.6</v>
      </c>
      <c r="D1063" s="1" t="n">
        <v>3</v>
      </c>
      <c r="E1063" s="1" t="n">
        <v>1.66</v>
      </c>
      <c r="F1063" s="1" t="n">
        <v>16.75</v>
      </c>
      <c r="G1063" s="1" t="n">
        <v>26.23</v>
      </c>
      <c r="H1063" s="1" t="n">
        <v>19</v>
      </c>
      <c r="I1063" s="1" t="n">
        <v>4</v>
      </c>
      <c r="J1063" t="n">
        <v>28110510</v>
      </c>
    </row>
    <row r="1064" ht="15.75" customHeight="1" s="201">
      <c r="A1064" s="1" t="inlineStr">
        <is>
          <t>Beef, rib, back ribs, bone-in, separable lean only, trimmed to 0" fat, all grades, cooked, braised</t>
        </is>
      </c>
      <c r="C1064" s="1" t="n">
        <v>0</v>
      </c>
      <c r="D1064" s="1" t="n">
        <v>7</v>
      </c>
      <c r="E1064" s="1" t="n">
        <v>2.66</v>
      </c>
      <c r="F1064" s="1" t="n">
        <v>28.36</v>
      </c>
      <c r="G1064" s="1" t="n">
        <v>20.57</v>
      </c>
      <c r="H1064" s="1" t="n">
        <v>7</v>
      </c>
      <c r="I1064" s="1" t="n">
        <v>6.1</v>
      </c>
      <c r="J1064" t="n">
        <v>28110510</v>
      </c>
    </row>
    <row r="1065" ht="15.75" customHeight="1" s="201">
      <c r="A1065" s="1" t="inlineStr">
        <is>
          <t>Beef, rib, back ribs, bone-in, separable lean only, trimmed to 0" fat, all grades, raw</t>
        </is>
      </c>
      <c r="C1065" s="1" t="n">
        <v>0.46</v>
      </c>
      <c r="D1065" s="1" t="n">
        <v>3</v>
      </c>
      <c r="E1065" s="1" t="n">
        <v>1.84</v>
      </c>
      <c r="F1065" s="1" t="n">
        <v>19.11</v>
      </c>
      <c r="G1065" s="1" t="n">
        <v>17.91</v>
      </c>
      <c r="I1065" s="1" t="n">
        <v>4.59</v>
      </c>
      <c r="J1065" t="n">
        <v>28110510</v>
      </c>
    </row>
    <row r="1066" ht="15.75" customHeight="1" s="201">
      <c r="A1066" s="1" t="inlineStr">
        <is>
          <t>Beef, rib, back ribs, bone-in, separable lean only, trimmed to 0" fat, choice, cooked, braised</t>
        </is>
      </c>
      <c r="C1066" s="1" t="n">
        <v>0</v>
      </c>
      <c r="D1066" s="1" t="n">
        <v>7</v>
      </c>
      <c r="E1066" s="1" t="n">
        <v>2.64</v>
      </c>
      <c r="F1066" s="1" t="n">
        <v>27.75</v>
      </c>
      <c r="G1066" s="1" t="n">
        <v>21.72</v>
      </c>
      <c r="H1066" s="1" t="n">
        <v>6</v>
      </c>
      <c r="I1066" s="1" t="n">
        <v>6.08</v>
      </c>
      <c r="J1066" t="n">
        <v>28110510</v>
      </c>
    </row>
    <row r="1067" ht="15.75" customHeight="1" s="201">
      <c r="A1067" s="1" t="inlineStr">
        <is>
          <t>Beef, rib, back ribs, bone-in, separable lean only, trimmed to 0" fat, choice, raw</t>
        </is>
      </c>
      <c r="C1067" s="1" t="n">
        <v>0.64</v>
      </c>
      <c r="D1067" s="1" t="n">
        <v>3</v>
      </c>
      <c r="E1067" s="1" t="n">
        <v>1.83</v>
      </c>
      <c r="F1067" s="1" t="n">
        <v>18.72</v>
      </c>
      <c r="G1067" s="1" t="n">
        <v>19.36</v>
      </c>
      <c r="H1067" s="1" t="n">
        <v>8</v>
      </c>
      <c r="I1067" s="1" t="n">
        <v>4.48</v>
      </c>
      <c r="J1067" t="n">
        <v>28110510</v>
      </c>
    </row>
    <row r="1068" ht="15.75" customHeight="1" s="201">
      <c r="A1068" s="1" t="inlineStr">
        <is>
          <t>Beef, rib, back ribs, bone-in, separable lean only, trimmed to 0" fat, select, cooked, braised</t>
        </is>
      </c>
      <c r="C1068" s="1" t="n">
        <v>0</v>
      </c>
      <c r="D1068" s="1" t="n">
        <v>7</v>
      </c>
      <c r="E1068" s="1" t="n">
        <v>2.68</v>
      </c>
      <c r="F1068" s="1" t="n">
        <v>29.28</v>
      </c>
      <c r="G1068" s="1" t="n">
        <v>18.84</v>
      </c>
      <c r="H1068" s="1" t="n">
        <v>9</v>
      </c>
      <c r="I1068" s="1" t="n">
        <v>6.13</v>
      </c>
      <c r="J1068" t="n">
        <v>28110510</v>
      </c>
    </row>
    <row r="1069" ht="15.75" customHeight="1" s="201">
      <c r="A1069" s="1" t="inlineStr">
        <is>
          <t>Beef, rib, back ribs, bone-in, separable lean only, trimmed to 0" fat, select, raw</t>
        </is>
      </c>
      <c r="C1069" s="1" t="n">
        <v>0.2</v>
      </c>
      <c r="D1069" s="1" t="n">
        <v>3</v>
      </c>
      <c r="E1069" s="1" t="n">
        <v>1.86</v>
      </c>
      <c r="F1069" s="1" t="n">
        <v>19.71</v>
      </c>
      <c r="G1069" s="1" t="n">
        <v>15.73</v>
      </c>
      <c r="H1069" s="1" t="n">
        <v>9</v>
      </c>
      <c r="I1069" s="1" t="n">
        <v>4.75</v>
      </c>
      <c r="J1069" t="n">
        <v>28110510</v>
      </c>
    </row>
    <row r="1070" ht="15.75" customHeight="1" s="201">
      <c r="A1070" s="1" t="inlineStr">
        <is>
          <t>Beef, rib, eye, small end (ribs 10- 12) separable lean only, trimmed to 0" fat, select, cooked, broiled</t>
        </is>
      </c>
      <c r="C1070" s="1" t="n">
        <v>0</v>
      </c>
      <c r="D1070" s="1" t="n">
        <v>10</v>
      </c>
      <c r="E1070" s="1" t="n">
        <v>1.84</v>
      </c>
      <c r="F1070" s="1" t="n">
        <v>29.93</v>
      </c>
      <c r="G1070" s="1" t="n">
        <v>6.05</v>
      </c>
      <c r="H1070" s="1" t="n">
        <v>0</v>
      </c>
      <c r="I1070" s="1" t="n">
        <v>5.46</v>
      </c>
      <c r="J1070" t="n">
        <v>28110510</v>
      </c>
    </row>
    <row r="1071" ht="15.75" customHeight="1" s="201">
      <c r="A1071" s="1" t="inlineStr">
        <is>
          <t>Beef, rib, eye, small end (ribs 10-12), separable lean and fat, trimmed to 0" fat, choice, cooked, broiled</t>
        </is>
      </c>
      <c r="C1071" s="1" t="n">
        <v>0</v>
      </c>
      <c r="D1071" s="1" t="n">
        <v>8</v>
      </c>
      <c r="E1071" s="1" t="n">
        <v>1.8</v>
      </c>
      <c r="F1071" s="1" t="n">
        <v>26.58</v>
      </c>
      <c r="G1071" s="1" t="n">
        <v>16.76</v>
      </c>
      <c r="H1071" s="1" t="n">
        <v>0</v>
      </c>
      <c r="I1071" s="1" t="n">
        <v>4.79</v>
      </c>
      <c r="J1071" t="n">
        <v>28110510</v>
      </c>
    </row>
    <row r="1072" ht="15.75" customHeight="1" s="201">
      <c r="A1072" s="1" t="inlineStr">
        <is>
          <t>Beef, rib, eye, small end (ribs 10-12), separable lean and fat, trimmed to 0" fat, choice, raw</t>
        </is>
      </c>
      <c r="C1072" s="1" t="n">
        <v>0</v>
      </c>
      <c r="D1072" s="1" t="n">
        <v>5</v>
      </c>
      <c r="E1072" s="1" t="n">
        <v>1.87</v>
      </c>
      <c r="F1072" s="1" t="n">
        <v>17.51</v>
      </c>
      <c r="G1072" s="1" t="n">
        <v>22.07</v>
      </c>
      <c r="H1072" s="1" t="n">
        <v>0</v>
      </c>
      <c r="I1072" s="1" t="n">
        <v>3.85</v>
      </c>
      <c r="J1072" t="n">
        <v>28110510</v>
      </c>
    </row>
    <row r="1073" ht="15.75" customHeight="1" s="201">
      <c r="A1073" s="1" t="inlineStr">
        <is>
          <t>Beef, rib, eye, small end (ribs 10-12), separable lean only, trimmed to 0" fat, choice, cooked, broiled</t>
        </is>
      </c>
      <c r="C1073" s="1" t="n">
        <v>0</v>
      </c>
      <c r="D1073" s="1" t="n">
        <v>10</v>
      </c>
      <c r="E1073" s="1" t="n">
        <v>1.98</v>
      </c>
      <c r="F1073" s="1" t="n">
        <v>28.88</v>
      </c>
      <c r="G1073" s="1" t="n">
        <v>9.01</v>
      </c>
      <c r="H1073" s="1" t="n">
        <v>0</v>
      </c>
      <c r="I1073" s="1" t="n">
        <v>5.49</v>
      </c>
      <c r="J1073" t="n">
        <v>28110510</v>
      </c>
    </row>
    <row r="1074" ht="15.75" customHeight="1" s="201">
      <c r="A1074" s="1" t="inlineStr">
        <is>
          <t>Beef, rib, eye, small end (ribs 10-12), separable lean only, trimmed to 0" fat, choice, raw</t>
        </is>
      </c>
      <c r="C1074" s="1" t="n">
        <v>0</v>
      </c>
      <c r="D1074" s="1" t="n">
        <v>6</v>
      </c>
      <c r="E1074" s="1" t="n">
        <v>2.18</v>
      </c>
      <c r="F1074" s="1" t="n">
        <v>20.13</v>
      </c>
      <c r="G1074" s="1" t="n">
        <v>8.300000000000001</v>
      </c>
      <c r="H1074" s="1" t="n">
        <v>0</v>
      </c>
      <c r="I1074" s="1" t="n">
        <v>4.66</v>
      </c>
      <c r="J1074" t="n">
        <v>28110510</v>
      </c>
    </row>
    <row r="1075" ht="15.75" customHeight="1" s="201">
      <c r="A1075" s="1" t="inlineStr">
        <is>
          <t>Beef, rib, large end (ribs 6-9), separable lean and fat, trimmed to 0" fat, choice, cooked, roasted</t>
        </is>
      </c>
      <c r="C1075" s="1" t="n">
        <v>0</v>
      </c>
      <c r="D1075" s="1" t="n">
        <v>7</v>
      </c>
      <c r="E1075" s="1" t="n">
        <v>2.33</v>
      </c>
      <c r="F1075" s="1" t="n">
        <v>22.8</v>
      </c>
      <c r="G1075" s="1" t="n">
        <v>30.49</v>
      </c>
      <c r="H1075" s="1" t="n">
        <v>0</v>
      </c>
      <c r="I1075" s="1" t="n">
        <v>5.76</v>
      </c>
      <c r="J1075" t="n">
        <v>28110510</v>
      </c>
    </row>
    <row r="1076" ht="15.75" customHeight="1" s="201">
      <c r="A1076" s="1" t="inlineStr">
        <is>
          <t>Beef, rib, large end (ribs 6-9), separable lean and fat, trimmed to 0" fat, select, cooked, roasted</t>
        </is>
      </c>
      <c r="C1076" s="1" t="n">
        <v>0</v>
      </c>
      <c r="D1076" s="1" t="n">
        <v>8</v>
      </c>
      <c r="E1076" s="1" t="n">
        <v>2.4</v>
      </c>
      <c r="F1076" s="1" t="n">
        <v>23.48</v>
      </c>
      <c r="G1076" s="1" t="n">
        <v>25.54</v>
      </c>
      <c r="H1076" s="1" t="n">
        <v>0</v>
      </c>
      <c r="I1076" s="1" t="n">
        <v>6.01</v>
      </c>
      <c r="J1076" t="n">
        <v>28110510</v>
      </c>
    </row>
    <row r="1077" ht="15.75" customHeight="1" s="201">
      <c r="A1077" s="1" t="inlineStr">
        <is>
          <t>Beef, rib, large end (ribs 6-9), separable lean and fat, trimmed to 1/8" fat, all grades, cooked, broiled</t>
        </is>
      </c>
      <c r="C1077" s="1" t="n">
        <v>0</v>
      </c>
      <c r="D1077" s="1" t="n">
        <v>6</v>
      </c>
      <c r="E1077" s="1" t="n">
        <v>2.19</v>
      </c>
      <c r="F1077" s="1" t="n">
        <v>21.55</v>
      </c>
      <c r="G1077" s="1" t="n">
        <v>27.22</v>
      </c>
      <c r="H1077" s="1" t="n">
        <v>0</v>
      </c>
      <c r="I1077" s="1" t="n">
        <v>5.07</v>
      </c>
      <c r="J1077" t="n">
        <v>28110510</v>
      </c>
    </row>
    <row r="1078" ht="15.75" customHeight="1" s="201">
      <c r="A1078" s="1" t="inlineStr">
        <is>
          <t>Beef, rib, large end (ribs 6-9), separable lean and fat, trimmed to 1/8" fat, all grades, cooked, roasted</t>
        </is>
      </c>
      <c r="C1078" s="1" t="n">
        <v>0</v>
      </c>
      <c r="D1078" s="1" t="n">
        <v>7</v>
      </c>
      <c r="E1078" s="1" t="n">
        <v>2.35</v>
      </c>
      <c r="F1078" s="1" t="n">
        <v>23.01</v>
      </c>
      <c r="G1078" s="1" t="n">
        <v>28.51</v>
      </c>
      <c r="H1078" s="1" t="n">
        <v>0</v>
      </c>
      <c r="I1078" s="1" t="n">
        <v>5.84</v>
      </c>
      <c r="J1078" t="n">
        <v>28110510</v>
      </c>
    </row>
    <row r="1079" ht="15.75" customHeight="1" s="201">
      <c r="A1079" s="1" t="inlineStr">
        <is>
          <t>Beef, rib, large end (ribs 6-9), separable lean and fat, trimmed to 1/8" fat, all grades, raw</t>
        </is>
      </c>
      <c r="C1079" s="1" t="n">
        <v>0</v>
      </c>
      <c r="D1079" s="1" t="n">
        <v>5</v>
      </c>
      <c r="E1079" s="1" t="n">
        <v>1.71</v>
      </c>
      <c r="F1079" s="1" t="n">
        <v>16.26</v>
      </c>
      <c r="G1079" s="1" t="n">
        <v>27.29</v>
      </c>
      <c r="H1079" s="1" t="n">
        <v>0</v>
      </c>
      <c r="I1079" s="1" t="n">
        <v>3.75</v>
      </c>
      <c r="J1079" t="n">
        <v>28110510</v>
      </c>
    </row>
    <row r="1080" ht="15.75" customHeight="1" s="201">
      <c r="A1080" s="1" t="inlineStr">
        <is>
          <t>Beef, rib, large end (ribs 6-9), separable lean and fat, trimmed to 1/8" fat, choice, cooked, broiled</t>
        </is>
      </c>
      <c r="C1080" s="1" t="n">
        <v>0</v>
      </c>
      <c r="D1080" s="1" t="n">
        <v>5</v>
      </c>
      <c r="E1080" s="1" t="n">
        <v>2.12</v>
      </c>
      <c r="F1080" s="1" t="n">
        <v>20.86</v>
      </c>
      <c r="G1080" s="1" t="n">
        <v>31.18</v>
      </c>
      <c r="H1080" s="1" t="n">
        <v>0</v>
      </c>
      <c r="I1080" s="1" t="n">
        <v>4.83</v>
      </c>
      <c r="J1080" t="n">
        <v>28110510</v>
      </c>
    </row>
    <row r="1081" ht="15.75" customHeight="1" s="201">
      <c r="A1081" s="1" t="inlineStr">
        <is>
          <t>Beef, rib, large end (ribs 6-9), separable lean and fat, trimmed to 1/8" fat, choice, cooked, roasted</t>
        </is>
      </c>
      <c r="C1081" s="1" t="n">
        <v>0</v>
      </c>
      <c r="D1081" s="1" t="n">
        <v>7</v>
      </c>
      <c r="E1081" s="1" t="n">
        <v>2.3</v>
      </c>
      <c r="F1081" s="1" t="n">
        <v>22.5</v>
      </c>
      <c r="G1081" s="1" t="n">
        <v>31.28</v>
      </c>
      <c r="H1081" s="1" t="n">
        <v>0</v>
      </c>
      <c r="I1081" s="1" t="n">
        <v>5.65</v>
      </c>
      <c r="J1081" t="n">
        <v>28110510</v>
      </c>
    </row>
    <row r="1082" ht="15.75" customHeight="1" s="201">
      <c r="A1082" s="1" t="inlineStr">
        <is>
          <t>Beef, rib, large end (ribs 6-9), separable lean and fat, trimmed to 1/8" fat, choice, raw</t>
        </is>
      </c>
      <c r="C1082" s="1" t="n">
        <v>0</v>
      </c>
      <c r="D1082" s="1" t="n">
        <v>5</v>
      </c>
      <c r="E1082" s="1" t="n">
        <v>1.68</v>
      </c>
      <c r="F1082" s="1" t="n">
        <v>16.03</v>
      </c>
      <c r="G1082" s="1" t="n">
        <v>29.34</v>
      </c>
      <c r="H1082" s="1" t="n">
        <v>0</v>
      </c>
      <c r="I1082" s="1" t="n">
        <v>3.67</v>
      </c>
      <c r="J1082" t="n">
        <v>28110510</v>
      </c>
    </row>
    <row r="1083" ht="15.75" customHeight="1" s="201">
      <c r="A1083" s="1" t="inlineStr">
        <is>
          <t>Beef, rib, large end (ribs 6-9), separable lean and fat, trimmed to 1/8" fat, prime, cooked, broiled</t>
        </is>
      </c>
      <c r="C1083" s="1" t="n">
        <v>0</v>
      </c>
      <c r="D1083" s="1" t="n">
        <v>6</v>
      </c>
      <c r="E1083" s="1" t="n">
        <v>2.08</v>
      </c>
      <c r="F1083" s="1" t="n">
        <v>20.65</v>
      </c>
      <c r="G1083" s="1" t="n">
        <v>34.97</v>
      </c>
      <c r="H1083" s="1" t="n">
        <v>0</v>
      </c>
      <c r="I1083" s="1" t="n">
        <v>4.87</v>
      </c>
      <c r="J1083" t="n">
        <v>28110510</v>
      </c>
    </row>
    <row r="1084" ht="15.75" customHeight="1" s="201">
      <c r="A1084" s="1" t="inlineStr">
        <is>
          <t>Beef, rib, large end (ribs 6-9), separable lean and fat, trimmed to 1/8" fat, prime, cooked, roasted</t>
        </is>
      </c>
      <c r="C1084" s="1" t="n">
        <v>0</v>
      </c>
      <c r="D1084" s="1" t="n">
        <v>7</v>
      </c>
      <c r="E1084" s="1" t="n">
        <v>2.33</v>
      </c>
      <c r="F1084" s="1" t="n">
        <v>22.86</v>
      </c>
      <c r="G1084" s="1" t="n">
        <v>32.74</v>
      </c>
      <c r="H1084" s="1" t="n">
        <v>0</v>
      </c>
      <c r="I1084" s="1" t="n">
        <v>5.78</v>
      </c>
      <c r="J1084" t="n">
        <v>28110510</v>
      </c>
    </row>
    <row r="1085" ht="15.75" customHeight="1" s="201">
      <c r="A1085" s="1" t="inlineStr">
        <is>
          <t>Beef, rib, large end (ribs 6-9), separable lean and fat, trimmed to 1/8" fat, prime, raw</t>
        </is>
      </c>
      <c r="C1085" s="1" t="n">
        <v>0</v>
      </c>
      <c r="D1085" s="1" t="n">
        <v>5</v>
      </c>
      <c r="E1085" s="1" t="n">
        <v>1.65</v>
      </c>
      <c r="F1085" s="1" t="n">
        <v>15.77</v>
      </c>
      <c r="G1085" s="1" t="n">
        <v>33.26</v>
      </c>
      <c r="H1085" s="1" t="n">
        <v>0</v>
      </c>
      <c r="I1085" s="1" t="n">
        <v>3.58</v>
      </c>
      <c r="J1085" t="n">
        <v>28110510</v>
      </c>
    </row>
    <row r="1086" ht="15.75" customHeight="1" s="201">
      <c r="A1086" s="1" t="inlineStr">
        <is>
          <t>Beef, rib, large end (ribs 6-9), separable lean and fat, trimmed to 1/8" fat, select, cooked, broiled</t>
        </is>
      </c>
      <c r="C1086" s="1" t="n">
        <v>0</v>
      </c>
      <c r="D1086" s="1" t="n">
        <v>6</v>
      </c>
      <c r="E1086" s="1" t="n">
        <v>2.19</v>
      </c>
      <c r="F1086" s="1" t="n">
        <v>21.55</v>
      </c>
      <c r="G1086" s="1" t="n">
        <v>25.71</v>
      </c>
      <c r="H1086" s="1" t="n">
        <v>0</v>
      </c>
      <c r="I1086" s="1" t="n">
        <v>5.07</v>
      </c>
      <c r="J1086" t="n">
        <v>28110510</v>
      </c>
    </row>
    <row r="1087" ht="15.75" customHeight="1" s="201">
      <c r="A1087" s="1" t="inlineStr">
        <is>
          <t>Beef, rib, large end (ribs 6-9), separable lean and fat, trimmed to 1/8" fat, select, cooked, roasted</t>
        </is>
      </c>
      <c r="C1087" s="1" t="n">
        <v>0</v>
      </c>
      <c r="D1087" s="1" t="n">
        <v>8</v>
      </c>
      <c r="E1087" s="1" t="n">
        <v>2.39</v>
      </c>
      <c r="F1087" s="1" t="n">
        <v>23.4</v>
      </c>
      <c r="G1087" s="1" t="n">
        <v>25.84</v>
      </c>
      <c r="H1087" s="1" t="n">
        <v>0</v>
      </c>
      <c r="I1087" s="1" t="n">
        <v>5.98</v>
      </c>
      <c r="J1087" t="n">
        <v>28110510</v>
      </c>
    </row>
    <row r="1088" ht="15.75" customHeight="1" s="201">
      <c r="A1088" s="1" t="inlineStr">
        <is>
          <t>Beef, rib, large end (ribs 6-9), separable lean and fat, trimmed to 1/8" fat, select, raw</t>
        </is>
      </c>
      <c r="C1088" s="1" t="n">
        <v>0</v>
      </c>
      <c r="D1088" s="1" t="n">
        <v>5</v>
      </c>
      <c r="E1088" s="1" t="n">
        <v>1.74</v>
      </c>
      <c r="F1088" s="1" t="n">
        <v>16.52</v>
      </c>
      <c r="G1088" s="1" t="n">
        <v>24.85</v>
      </c>
      <c r="H1088" s="1" t="n">
        <v>0</v>
      </c>
      <c r="I1088" s="1" t="n">
        <v>3.84</v>
      </c>
      <c r="J1088" t="n">
        <v>28110510</v>
      </c>
    </row>
    <row r="1089" ht="15.75" customHeight="1" s="201">
      <c r="A1089" s="1" t="inlineStr">
        <is>
          <t>Beef, rib, large end (ribs 6-9), separable lean only, trimmed to 0" fat, all grades, cooked, roasted</t>
        </is>
      </c>
      <c r="C1089" s="1" t="n">
        <v>0</v>
      </c>
      <c r="D1089" s="1" t="n">
        <v>9</v>
      </c>
      <c r="E1089" s="1" t="n">
        <v>2.82</v>
      </c>
      <c r="F1089" s="1" t="n">
        <v>27.53</v>
      </c>
      <c r="G1089" s="1" t="n">
        <v>13.4</v>
      </c>
      <c r="H1089" s="1" t="n">
        <v>0</v>
      </c>
      <c r="I1089" s="1" t="n">
        <v>7.46</v>
      </c>
      <c r="J1089" t="n">
        <v>28110510</v>
      </c>
    </row>
    <row r="1090" ht="15.75" customHeight="1" s="201">
      <c r="A1090" s="1" t="inlineStr">
        <is>
          <t>Beef, rib, large end (ribs 6-9), separable lean only, trimmed to 0" fat, choice, cooked, roasted</t>
        </is>
      </c>
      <c r="C1090" s="1" t="n">
        <v>0</v>
      </c>
      <c r="D1090" s="1" t="n">
        <v>9</v>
      </c>
      <c r="E1090" s="1" t="n">
        <v>2.82</v>
      </c>
      <c r="F1090" s="1" t="n">
        <v>27.53</v>
      </c>
      <c r="G1090" s="1" t="n">
        <v>15</v>
      </c>
      <c r="H1090" s="1" t="n">
        <v>0</v>
      </c>
      <c r="I1090" s="1" t="n">
        <v>7.46</v>
      </c>
      <c r="J1090" t="n">
        <v>28110510</v>
      </c>
    </row>
    <row r="1091" ht="15.75" customHeight="1" s="201">
      <c r="A1091" s="1" t="inlineStr">
        <is>
          <t>Beef, rib, large end (ribs 6-9), separable lean only, trimmed to 0" fat, select, cooked, roasted</t>
        </is>
      </c>
      <c r="C1091" s="1" t="n">
        <v>0</v>
      </c>
      <c r="D1091" s="1" t="n">
        <v>9</v>
      </c>
      <c r="E1091" s="1" t="n">
        <v>2.82</v>
      </c>
      <c r="F1091" s="1" t="n">
        <v>27.53</v>
      </c>
      <c r="G1091" s="1" t="n">
        <v>11.4</v>
      </c>
      <c r="H1091" s="1" t="n">
        <v>0</v>
      </c>
      <c r="I1091" s="1" t="n">
        <v>7.46</v>
      </c>
      <c r="J1091" t="n">
        <v>28110510</v>
      </c>
    </row>
    <row r="1092" ht="15.75" customHeight="1" s="201">
      <c r="A1092" s="1" t="inlineStr">
        <is>
          <t>Beef, rib, shortribs, separable lean and fat, choice, cooked, braised</t>
        </is>
      </c>
      <c r="C1092" s="1" t="n">
        <v>0</v>
      </c>
      <c r="D1092" s="1" t="n">
        <v>5</v>
      </c>
      <c r="E1092" s="1" t="n">
        <v>2.31</v>
      </c>
      <c r="F1092" s="1" t="n">
        <v>21.57</v>
      </c>
      <c r="G1092" s="1" t="n">
        <v>41.98</v>
      </c>
      <c r="H1092" s="1" t="n">
        <v>0</v>
      </c>
      <c r="I1092" s="1" t="n">
        <v>4.88</v>
      </c>
      <c r="J1092" t="n">
        <v>28110510</v>
      </c>
    </row>
    <row r="1093" ht="15.75" customHeight="1" s="201">
      <c r="A1093" s="1" t="inlineStr">
        <is>
          <t>Beef, rib, shortribs, separable lean and fat, choice, raw</t>
        </is>
      </c>
      <c r="C1093" s="1" t="n">
        <v>0.4</v>
      </c>
      <c r="D1093" s="1" t="n">
        <v>5</v>
      </c>
      <c r="E1093" s="1" t="n">
        <v>1.55</v>
      </c>
      <c r="F1093" s="1" t="n">
        <v>14.4</v>
      </c>
      <c r="G1093" s="1" t="n">
        <v>36.23</v>
      </c>
      <c r="H1093" s="1" t="n">
        <v>0</v>
      </c>
      <c r="I1093" s="1" t="n">
        <v>3.16</v>
      </c>
      <c r="J1093" t="n">
        <v>28110510</v>
      </c>
    </row>
    <row r="1094" ht="15.75" customHeight="1" s="201">
      <c r="A1094" s="1" t="inlineStr">
        <is>
          <t>Beef, rib, shortribs, separable lean only, choice, cooked, braised</t>
        </is>
      </c>
      <c r="C1094" s="1" t="n">
        <v>0</v>
      </c>
      <c r="D1094" s="1" t="n">
        <v>7</v>
      </c>
      <c r="E1094" s="1" t="n">
        <v>3.36</v>
      </c>
      <c r="F1094" s="1" t="n">
        <v>30.76</v>
      </c>
      <c r="G1094" s="1" t="n">
        <v>18.13</v>
      </c>
      <c r="H1094" s="1" t="n">
        <v>0</v>
      </c>
      <c r="I1094" s="1" t="n">
        <v>7.8</v>
      </c>
      <c r="J1094" t="n">
        <v>28110510</v>
      </c>
    </row>
    <row r="1095" ht="15.75" customHeight="1" s="201">
      <c r="A1095" s="1" t="inlineStr">
        <is>
          <t>Beef, rib, shortribs, separable lean only, choice, raw</t>
        </is>
      </c>
      <c r="C1095" s="1" t="n">
        <v>0.4</v>
      </c>
      <c r="D1095" s="1" t="n">
        <v>6</v>
      </c>
      <c r="E1095" s="1" t="n">
        <v>2.16</v>
      </c>
      <c r="F1095" s="1" t="n">
        <v>19.05</v>
      </c>
      <c r="G1095" s="1" t="n">
        <v>10.19</v>
      </c>
      <c r="H1095" s="1" t="n">
        <v>0</v>
      </c>
      <c r="I1095" s="1" t="n">
        <v>4.78</v>
      </c>
      <c r="J1095" t="n">
        <v>28110510</v>
      </c>
    </row>
    <row r="1096" ht="15.75" customHeight="1" s="201">
      <c r="A1096" s="1" t="inlineStr">
        <is>
          <t>Beef, rib, small end (ribs 10-12), separable lean and fat, trimmed to 0" fat, all grades, cooked, broiled</t>
        </is>
      </c>
      <c r="C1096" s="1" t="n">
        <v>0</v>
      </c>
      <c r="D1096" s="1" t="n">
        <v>8</v>
      </c>
      <c r="E1096" s="1" t="n">
        <v>1.75</v>
      </c>
      <c r="F1096" s="1" t="n">
        <v>27.27</v>
      </c>
      <c r="G1096" s="1" t="n">
        <v>14.74</v>
      </c>
      <c r="H1096" s="1" t="n">
        <v>0</v>
      </c>
      <c r="I1096" s="1" t="n">
        <v>4.93</v>
      </c>
      <c r="J1096" t="n">
        <v>28110510</v>
      </c>
    </row>
    <row r="1097" ht="15.75" customHeight="1" s="201">
      <c r="A1097" s="1" t="inlineStr">
        <is>
          <t>Beef, rib, small end (ribs 10-12), separable lean and fat, trimmed to 0" fat, choice, cooked, broiled</t>
        </is>
      </c>
      <c r="C1097" s="1" t="n">
        <v>0</v>
      </c>
      <c r="D1097" s="1" t="n">
        <v>7</v>
      </c>
      <c r="E1097" s="1" t="n">
        <v>2.28</v>
      </c>
      <c r="F1097" s="1" t="n">
        <v>24.73</v>
      </c>
      <c r="G1097" s="1" t="n">
        <v>22.84</v>
      </c>
      <c r="H1097" s="1" t="n">
        <v>0</v>
      </c>
      <c r="I1097" s="1" t="n">
        <v>5.93</v>
      </c>
      <c r="J1097" t="n">
        <v>28110510</v>
      </c>
    </row>
    <row r="1098" ht="15.75" customHeight="1" s="201">
      <c r="A1098" s="1" t="inlineStr">
        <is>
          <t>Beef, rib, small end (ribs 10-12), separable lean and fat, trimmed to 0" fat, select, cooked, broiled</t>
        </is>
      </c>
      <c r="C1098" s="1" t="n">
        <v>0</v>
      </c>
      <c r="D1098" s="1" t="n">
        <v>7</v>
      </c>
      <c r="E1098" s="1" t="n">
        <v>2.3</v>
      </c>
      <c r="F1098" s="1" t="n">
        <v>24.91</v>
      </c>
      <c r="G1098" s="1" t="n">
        <v>19.79</v>
      </c>
      <c r="H1098" s="1" t="n">
        <v>0</v>
      </c>
      <c r="I1098" s="1" t="n">
        <v>5.98</v>
      </c>
      <c r="J1098" t="n">
        <v>28110510</v>
      </c>
    </row>
    <row r="1099" ht="15.75" customHeight="1" s="201">
      <c r="A1099" s="1" t="inlineStr">
        <is>
          <t>Beef, rib, small end (ribs 10-12), separable lean and fat, trimmed to 1/8" fat, all grades, cooked, broiled</t>
        </is>
      </c>
      <c r="C1099" s="1" t="n">
        <v>0</v>
      </c>
      <c r="D1099" s="1" t="n">
        <v>8</v>
      </c>
      <c r="E1099" s="1" t="n">
        <v>1.66</v>
      </c>
      <c r="F1099" s="1" t="n">
        <v>25.85</v>
      </c>
      <c r="G1099" s="1" t="n">
        <v>20.04</v>
      </c>
      <c r="H1099" s="1" t="n">
        <v>0</v>
      </c>
      <c r="I1099" s="1" t="n">
        <v>4.67</v>
      </c>
      <c r="J1099" t="n">
        <v>28110510</v>
      </c>
    </row>
    <row r="1100" ht="15.75" customHeight="1" s="201">
      <c r="A1100" s="1" t="inlineStr">
        <is>
          <t>Beef, rib, small end (ribs 10-12), separable lean and fat, trimmed to 1/8" fat, all grades, cooked, roasted</t>
        </is>
      </c>
      <c r="C1100" s="1" t="n">
        <v>0</v>
      </c>
      <c r="D1100" s="1" t="n">
        <v>6</v>
      </c>
      <c r="E1100" s="1" t="n">
        <v>2.42</v>
      </c>
      <c r="F1100" s="1" t="n">
        <v>22.54</v>
      </c>
      <c r="G1100" s="1" t="n">
        <v>27.14</v>
      </c>
      <c r="H1100" s="1" t="n">
        <v>0</v>
      </c>
      <c r="I1100" s="1" t="n">
        <v>4.93</v>
      </c>
      <c r="J1100" t="n">
        <v>28110510</v>
      </c>
    </row>
    <row r="1101" ht="15.75" customHeight="1" s="201">
      <c r="A1101" s="1" t="inlineStr">
        <is>
          <t>Beef, rib, small end (ribs 10-12), separable lean and fat, trimmed to 1/8" fat, all grades, raw</t>
        </is>
      </c>
      <c r="C1101" s="1" t="n">
        <v>0</v>
      </c>
      <c r="D1101" s="1" t="n">
        <v>10</v>
      </c>
      <c r="E1101" s="1" t="n">
        <v>1.39</v>
      </c>
      <c r="F1101" s="1" t="n">
        <v>19.33</v>
      </c>
      <c r="G1101" s="1" t="n">
        <v>19.06</v>
      </c>
      <c r="H1101" s="1" t="n">
        <v>0</v>
      </c>
      <c r="I1101" s="1" t="n">
        <v>3.33</v>
      </c>
      <c r="J1101" t="n">
        <v>28110510</v>
      </c>
    </row>
    <row r="1102" ht="15.75" customHeight="1" s="201">
      <c r="A1102" s="1" t="inlineStr">
        <is>
          <t>Beef, rib, small end (ribs 10-12), separable lean and fat, trimmed to 1/8" fat, choice, cooked, broiled</t>
        </is>
      </c>
      <c r="C1102" s="1" t="n">
        <v>0</v>
      </c>
      <c r="D1102" s="1" t="n">
        <v>8</v>
      </c>
      <c r="E1102" s="1" t="n">
        <v>1.64</v>
      </c>
      <c r="F1102" s="1" t="n">
        <v>24.53</v>
      </c>
      <c r="G1102" s="1" t="n">
        <v>22.09</v>
      </c>
      <c r="H1102" s="1" t="n">
        <v>0</v>
      </c>
      <c r="I1102" s="1" t="n">
        <v>4.37</v>
      </c>
      <c r="J1102" t="n">
        <v>28110510</v>
      </c>
    </row>
    <row r="1103" ht="15.75" customHeight="1" s="201">
      <c r="A1103" s="1" t="inlineStr">
        <is>
          <t>Beef, rib, small end (ribs 10-12), separable lean and fat, trimmed to 1/8" fat, choice, cooked, roasted</t>
        </is>
      </c>
      <c r="C1103" s="1" t="n">
        <v>0</v>
      </c>
      <c r="D1103" s="1" t="n">
        <v>6</v>
      </c>
      <c r="E1103" s="1" t="n">
        <v>2.39</v>
      </c>
      <c r="F1103" s="1" t="n">
        <v>22.28</v>
      </c>
      <c r="G1103" s="1" t="n">
        <v>29.21</v>
      </c>
      <c r="H1103" s="1" t="n">
        <v>0</v>
      </c>
      <c r="I1103" s="1" t="n">
        <v>4.86</v>
      </c>
      <c r="J1103" t="n">
        <v>28110510</v>
      </c>
    </row>
    <row r="1104" ht="15.75" customHeight="1" s="201">
      <c r="A1104" s="1" t="inlineStr">
        <is>
          <t>Beef, rib, small end (ribs 10-12), separable lean and fat, trimmed to 1/8" fat, choice, raw</t>
        </is>
      </c>
      <c r="C1104" s="1" t="n">
        <v>0</v>
      </c>
      <c r="D1104" s="1" t="n">
        <v>10</v>
      </c>
      <c r="E1104" s="1" t="n">
        <v>1.38</v>
      </c>
      <c r="F1104" s="1" t="n">
        <v>19.09</v>
      </c>
      <c r="G1104" s="1" t="n">
        <v>20.13</v>
      </c>
      <c r="H1104" s="1" t="n">
        <v>0</v>
      </c>
      <c r="I1104" s="1" t="n">
        <v>3.38</v>
      </c>
      <c r="J1104" t="n">
        <v>28110510</v>
      </c>
    </row>
    <row r="1105" ht="15.75" customHeight="1" s="201">
      <c r="A1105" s="1" t="inlineStr">
        <is>
          <t>Beef, rib, small end (ribs 10-12), separable lean and fat, trimmed to 1/8" fat, prime, cooked, broiled</t>
        </is>
      </c>
      <c r="C1105" s="1" t="n">
        <v>0</v>
      </c>
      <c r="D1105" s="1" t="n">
        <v>7</v>
      </c>
      <c r="E1105" s="1" t="n">
        <v>2.23</v>
      </c>
      <c r="F1105" s="1" t="n">
        <v>24.13</v>
      </c>
      <c r="G1105" s="1" t="n">
        <v>27.86</v>
      </c>
      <c r="H1105" s="1" t="n">
        <v>0</v>
      </c>
      <c r="I1105" s="1" t="n">
        <v>5.73</v>
      </c>
      <c r="J1105" t="n">
        <v>28110510</v>
      </c>
    </row>
    <row r="1106" ht="15.75" customHeight="1" s="201">
      <c r="A1106" s="1" t="inlineStr">
        <is>
          <t>Beef, rib, small end (ribs 10-12), separable lean and fat, trimmed to 1/8" fat, prime, cooked, roasted</t>
        </is>
      </c>
      <c r="C1106" s="1" t="n">
        <v>0</v>
      </c>
      <c r="D1106" s="1" t="n">
        <v>7</v>
      </c>
      <c r="E1106" s="1" t="n">
        <v>1.95</v>
      </c>
      <c r="F1106" s="1" t="n">
        <v>22.15</v>
      </c>
      <c r="G1106" s="1" t="n">
        <v>35.12</v>
      </c>
      <c r="H1106" s="1" t="n">
        <v>0</v>
      </c>
      <c r="I1106" s="1" t="n">
        <v>4.82</v>
      </c>
      <c r="J1106" t="n">
        <v>28110510</v>
      </c>
    </row>
    <row r="1107" ht="15.75" customHeight="1" s="201">
      <c r="A1107" s="1" t="inlineStr">
        <is>
          <t>Beef, rib, small end (ribs 10-12), separable lean and fat, trimmed to 1/8" fat, prime, raw</t>
        </is>
      </c>
      <c r="C1107" s="1" t="n">
        <v>0.06</v>
      </c>
      <c r="D1107" s="1" t="n">
        <v>5</v>
      </c>
      <c r="E1107" s="1" t="n">
        <v>1.77</v>
      </c>
      <c r="F1107" s="1" t="n">
        <v>16.74</v>
      </c>
      <c r="G1107" s="1" t="n">
        <v>29.18</v>
      </c>
      <c r="H1107" s="1" t="n">
        <v>0</v>
      </c>
      <c r="I1107" s="1" t="n">
        <v>3.62</v>
      </c>
      <c r="J1107" t="n">
        <v>28110510</v>
      </c>
    </row>
    <row r="1108" ht="15.75" customHeight="1" s="201">
      <c r="A1108" s="1" t="inlineStr">
        <is>
          <t>Beef, rib, small end (ribs 10-12), separable lean and fat, trimmed to 1/8" fat, select, cooked, broiled</t>
        </is>
      </c>
      <c r="C1108" s="1" t="n">
        <v>0</v>
      </c>
      <c r="D1108" s="1" t="n">
        <v>8</v>
      </c>
      <c r="E1108" s="1" t="n">
        <v>1.67</v>
      </c>
      <c r="F1108" s="1" t="n">
        <v>27.17</v>
      </c>
      <c r="G1108" s="1" t="n">
        <v>18</v>
      </c>
      <c r="H1108" s="1" t="n">
        <v>0</v>
      </c>
      <c r="I1108" s="1" t="n">
        <v>4.97</v>
      </c>
      <c r="J1108" t="n">
        <v>28110510</v>
      </c>
    </row>
    <row r="1109" ht="15.75" customHeight="1" s="201">
      <c r="A1109" s="1" t="inlineStr">
        <is>
          <t>Beef, rib, small end (ribs 10-12), separable lean and fat, trimmed to 1/8" fat, select, cooked, roasted</t>
        </is>
      </c>
      <c r="C1109" s="1" t="n">
        <v>0</v>
      </c>
      <c r="D1109" s="1" t="n">
        <v>6</v>
      </c>
      <c r="E1109" s="1" t="n">
        <v>2.44</v>
      </c>
      <c r="F1109" s="1" t="n">
        <v>22.76</v>
      </c>
      <c r="G1109" s="1" t="n">
        <v>25.02</v>
      </c>
      <c r="H1109" s="1" t="n">
        <v>0</v>
      </c>
      <c r="I1109" s="1" t="n">
        <v>5</v>
      </c>
      <c r="J1109" t="n">
        <v>28110510</v>
      </c>
    </row>
    <row r="1110" ht="15.75" customHeight="1" s="201">
      <c r="A1110" s="1" t="inlineStr">
        <is>
          <t>Beef, rib, small end (ribs 10-12), separable lean and fat, trimmed to 1/8" fat, select, raw</t>
        </is>
      </c>
      <c r="C1110" s="1" t="n">
        <v>0</v>
      </c>
      <c r="D1110" s="1" t="n">
        <v>10</v>
      </c>
      <c r="E1110" s="1" t="n">
        <v>1.4</v>
      </c>
      <c r="F1110" s="1" t="n">
        <v>19.56</v>
      </c>
      <c r="G1110" s="1" t="n">
        <v>18</v>
      </c>
      <c r="H1110" s="1" t="n">
        <v>0</v>
      </c>
      <c r="I1110" s="1" t="n">
        <v>3.28</v>
      </c>
      <c r="J1110" t="n">
        <v>28110510</v>
      </c>
    </row>
    <row r="1111" ht="15.75" customHeight="1" s="201">
      <c r="A1111" s="1" t="inlineStr">
        <is>
          <t>Beef, rib, small end (ribs 10-12), separable lean only, trimmed to 0" fat, all grades, cooked, broiled</t>
        </is>
      </c>
      <c r="C1111" s="1" t="n">
        <v>0</v>
      </c>
      <c r="D1111" s="1" t="n">
        <v>10</v>
      </c>
      <c r="E1111" s="1" t="n">
        <v>1.87</v>
      </c>
      <c r="F1111" s="1" t="n">
        <v>29.41</v>
      </c>
      <c r="G1111" s="1" t="n">
        <v>7.53</v>
      </c>
      <c r="H1111" s="1" t="n">
        <v>0</v>
      </c>
      <c r="I1111" s="1" t="n">
        <v>5.46</v>
      </c>
      <c r="J1111" t="n">
        <v>28110510</v>
      </c>
    </row>
    <row r="1112" ht="15.75" customHeight="1" s="201">
      <c r="A1112" s="1" t="inlineStr">
        <is>
          <t>Beef, rib, small end (ribs 10-12), separable lean only, trimmed to 0" fat, choice, cooked, broiled</t>
        </is>
      </c>
      <c r="C1112" s="1" t="n">
        <v>0</v>
      </c>
      <c r="D1112" s="1" t="n">
        <v>8</v>
      </c>
      <c r="E1112" s="1" t="n">
        <v>2.57</v>
      </c>
      <c r="F1112" s="1" t="n">
        <v>28.04</v>
      </c>
      <c r="G1112" s="1" t="n">
        <v>11.7</v>
      </c>
      <c r="H1112" s="1" t="n">
        <v>0</v>
      </c>
      <c r="I1112" s="1" t="n">
        <v>6.99</v>
      </c>
      <c r="J1112" t="n">
        <v>28110510</v>
      </c>
    </row>
    <row r="1113" ht="15.75" customHeight="1" s="201">
      <c r="A1113" s="1" t="inlineStr">
        <is>
          <t>Beef, rib, small end (ribs 10-12), separable lean only, trimmed to 0" fat, select, cooked, broiled</t>
        </is>
      </c>
      <c r="C1113" s="1" t="n">
        <v>0</v>
      </c>
      <c r="D1113" s="1" t="n">
        <v>8</v>
      </c>
      <c r="E1113" s="1" t="n">
        <v>2.57</v>
      </c>
      <c r="F1113" s="1" t="n">
        <v>28.04</v>
      </c>
      <c r="G1113" s="1" t="n">
        <v>8.699999999999999</v>
      </c>
      <c r="H1113" s="1" t="n">
        <v>0</v>
      </c>
      <c r="I1113" s="1" t="n">
        <v>6.99</v>
      </c>
      <c r="J1113" t="n">
        <v>28110510</v>
      </c>
    </row>
    <row r="1114" ht="15.75" customHeight="1" s="201">
      <c r="A1114" s="1" t="inlineStr">
        <is>
          <t>Beef, rib, small end (ribs 10-12), separable lean only, trimmed to 1/8" fat, all grades, cooked, broiled</t>
        </is>
      </c>
      <c r="C1114" s="1" t="n">
        <v>0</v>
      </c>
      <c r="D1114" s="1" t="n">
        <v>10</v>
      </c>
      <c r="E1114" s="1" t="n">
        <v>1.88</v>
      </c>
      <c r="F1114" s="1" t="n">
        <v>29.58</v>
      </c>
      <c r="G1114" s="1" t="n">
        <v>7.63</v>
      </c>
      <c r="H1114" s="1" t="n">
        <v>0</v>
      </c>
      <c r="I1114" s="1" t="n">
        <v>5.49</v>
      </c>
      <c r="J1114" t="n">
        <v>28110510</v>
      </c>
    </row>
    <row r="1115" ht="15.75" customHeight="1" s="201">
      <c r="A1115" s="1" t="inlineStr">
        <is>
          <t>Beef, rib, small end (ribs 10-12), separable lean only, trimmed to 1/8" fat, all grades, raw</t>
        </is>
      </c>
      <c r="C1115" s="1" t="n">
        <v>0</v>
      </c>
      <c r="D1115" s="1" t="n">
        <v>13</v>
      </c>
      <c r="E1115" s="1" t="n">
        <v>1.6</v>
      </c>
      <c r="F1115" s="1" t="n">
        <v>22.33</v>
      </c>
      <c r="G1115" s="1" t="n">
        <v>5.04</v>
      </c>
      <c r="H1115" s="1" t="n">
        <v>0</v>
      </c>
      <c r="I1115" s="1" t="n">
        <v>4.01</v>
      </c>
      <c r="J1115" t="n">
        <v>28110510</v>
      </c>
    </row>
    <row r="1116" ht="15.75" customHeight="1" s="201">
      <c r="A1116" s="1" t="inlineStr">
        <is>
          <t>Beef, rib, small end (ribs 10-12), separable lean only, trimmed to 1/8" fat, select, cooked, broiled</t>
        </is>
      </c>
      <c r="C1116" s="1" t="n">
        <v>0</v>
      </c>
      <c r="D1116" s="1" t="n">
        <v>10</v>
      </c>
      <c r="E1116" s="1" t="n">
        <v>1.91</v>
      </c>
      <c r="F1116" s="1" t="n">
        <v>30.87</v>
      </c>
      <c r="G1116" s="1" t="n">
        <v>6.22</v>
      </c>
      <c r="H1116" s="1" t="n">
        <v>0</v>
      </c>
      <c r="I1116" s="1" t="n">
        <v>5.69</v>
      </c>
      <c r="J1116" t="n">
        <v>28110510</v>
      </c>
    </row>
    <row r="1117" ht="15.75" customHeight="1" s="201">
      <c r="A1117" s="1" t="inlineStr">
        <is>
          <t>Beef, rib, small end (ribs 10-12), separable lean only, trimmed to 1/8" fat, select, raw</t>
        </is>
      </c>
      <c r="C1117" s="1" t="n">
        <v>0</v>
      </c>
      <c r="D1117" s="1" t="n">
        <v>13</v>
      </c>
      <c r="E1117" s="1" t="n">
        <v>1.59</v>
      </c>
      <c r="F1117" s="1" t="n">
        <v>22.53</v>
      </c>
      <c r="G1117" s="1" t="n">
        <v>4.2</v>
      </c>
      <c r="H1117" s="1" t="n">
        <v>0</v>
      </c>
      <c r="I1117" s="1" t="n">
        <v>3.96</v>
      </c>
      <c r="J1117" t="n">
        <v>28110510</v>
      </c>
    </row>
    <row r="1118" ht="15.75" customHeight="1" s="201">
      <c r="A1118" s="1" t="inlineStr">
        <is>
          <t>Beef, rib, whole (ribs 6-12), separable lean and fat, trimmed to 1/8" fat, all grades, cooked, broiled</t>
        </is>
      </c>
      <c r="C1118" s="1" t="n">
        <v>0</v>
      </c>
      <c r="D1118" s="1" t="n">
        <v>6</v>
      </c>
      <c r="E1118" s="1" t="n">
        <v>2.19</v>
      </c>
      <c r="F1118" s="1" t="n">
        <v>22.42</v>
      </c>
      <c r="G1118" s="1" t="n">
        <v>26.75</v>
      </c>
      <c r="H1118" s="1" t="n">
        <v>0</v>
      </c>
      <c r="I1118" s="1" t="n">
        <v>5.28</v>
      </c>
      <c r="J1118" t="n">
        <v>28110510</v>
      </c>
    </row>
    <row r="1119" ht="15.75" customHeight="1" s="201">
      <c r="A1119" s="1" t="inlineStr">
        <is>
          <t>Beef, rib, whole (ribs 6-12), separable lean and fat, trimmed to 1/8" fat, all grades, cooked, roasted</t>
        </is>
      </c>
      <c r="C1119" s="1" t="n">
        <v>0</v>
      </c>
      <c r="D1119" s="1" t="n">
        <v>7</v>
      </c>
      <c r="E1119" s="1" t="n">
        <v>2.37</v>
      </c>
      <c r="F1119" s="1" t="n">
        <v>22.77</v>
      </c>
      <c r="G1119" s="1" t="n">
        <v>28.11</v>
      </c>
      <c r="H1119" s="1" t="n">
        <v>0</v>
      </c>
      <c r="I1119" s="1" t="n">
        <v>5.45</v>
      </c>
      <c r="J1119" t="n">
        <v>28110510</v>
      </c>
    </row>
    <row r="1120" ht="15.75" customHeight="1" s="201">
      <c r="A1120" s="1" t="inlineStr">
        <is>
          <t>Beef, rib, whole (ribs 6-12), separable lean and fat, trimmed to 1/8" fat, all grades, raw</t>
        </is>
      </c>
      <c r="C1120" s="1" t="n">
        <v>0</v>
      </c>
      <c r="D1120" s="1" t="n">
        <v>5</v>
      </c>
      <c r="E1120" s="1" t="n">
        <v>1.74</v>
      </c>
      <c r="F1120" s="1" t="n">
        <v>16.53</v>
      </c>
      <c r="G1120" s="1" t="n">
        <v>26.1</v>
      </c>
      <c r="H1120" s="1" t="n">
        <v>0</v>
      </c>
      <c r="I1120" s="1" t="n">
        <v>3.73</v>
      </c>
      <c r="J1120" t="n">
        <v>28110510</v>
      </c>
    </row>
    <row r="1121" ht="15.75" customHeight="1" s="201">
      <c r="A1121" s="1" t="inlineStr">
        <is>
          <t>Beef, rib, whole (ribs 6-12), separable lean and fat, trimmed to 1/8" fat, choice, cooked, broiled</t>
        </is>
      </c>
      <c r="C1121" s="1" t="n">
        <v>0</v>
      </c>
      <c r="D1121" s="1" t="n">
        <v>6</v>
      </c>
      <c r="E1121" s="1" t="n">
        <v>2.18</v>
      </c>
      <c r="F1121" s="1" t="n">
        <v>22.26</v>
      </c>
      <c r="G1121" s="1" t="n">
        <v>28.5</v>
      </c>
      <c r="H1121" s="1" t="n">
        <v>0</v>
      </c>
      <c r="I1121" s="1" t="n">
        <v>5.23</v>
      </c>
      <c r="J1121" t="n">
        <v>28110510</v>
      </c>
    </row>
    <row r="1122" ht="15.75" customHeight="1" s="201">
      <c r="A1122" s="1" t="inlineStr">
        <is>
          <t>Beef, rib, whole (ribs 6-12), separable lean and fat, trimmed to 1/8" fat, choice, cooked, roasted</t>
        </is>
      </c>
      <c r="C1122" s="1" t="n">
        <v>0</v>
      </c>
      <c r="D1122" s="1" t="n">
        <v>7</v>
      </c>
      <c r="E1122" s="1" t="n">
        <v>2.35</v>
      </c>
      <c r="F1122" s="1" t="n">
        <v>22.6</v>
      </c>
      <c r="G1122" s="1" t="n">
        <v>29.79</v>
      </c>
      <c r="H1122" s="1" t="n">
        <v>0</v>
      </c>
      <c r="I1122" s="1" t="n">
        <v>5.4</v>
      </c>
      <c r="J1122" t="n">
        <v>28110510</v>
      </c>
    </row>
    <row r="1123" ht="15.75" customHeight="1" s="201">
      <c r="A1123" s="1" t="inlineStr">
        <is>
          <t>Beef, rib, whole (ribs 6-12), separable lean and fat, trimmed to 1/8" fat, choice, raw</t>
        </is>
      </c>
      <c r="C1123" s="1" t="n">
        <v>0</v>
      </c>
      <c r="D1123" s="1" t="n">
        <v>5</v>
      </c>
      <c r="E1123" s="1" t="n">
        <v>1.72</v>
      </c>
      <c r="F1123" s="1" t="n">
        <v>16.34</v>
      </c>
      <c r="G1123" s="1" t="n">
        <v>27.93</v>
      </c>
      <c r="H1123" s="1" t="n">
        <v>0</v>
      </c>
      <c r="I1123" s="1" t="n">
        <v>3.66</v>
      </c>
      <c r="J1123" t="n">
        <v>28110510</v>
      </c>
    </row>
    <row r="1124" ht="15.75" customHeight="1" s="201">
      <c r="A1124" s="1" t="inlineStr">
        <is>
          <t>Beef, rib, whole (ribs 6-12), separable lean and fat, trimmed to 1/8" fat, prime, cooked, broiled</t>
        </is>
      </c>
      <c r="C1124" s="1" t="n">
        <v>0</v>
      </c>
      <c r="D1124" s="1" t="n">
        <v>6</v>
      </c>
      <c r="E1124" s="1" t="n">
        <v>2.13</v>
      </c>
      <c r="F1124" s="1" t="n">
        <v>21.95</v>
      </c>
      <c r="G1124" s="1" t="n">
        <v>32.38</v>
      </c>
      <c r="H1124" s="1" t="n">
        <v>0</v>
      </c>
      <c r="I1124" s="1" t="n">
        <v>5.19</v>
      </c>
      <c r="J1124" t="n">
        <v>28110510</v>
      </c>
    </row>
    <row r="1125" ht="15.75" customHeight="1" s="201">
      <c r="A1125" s="1" t="inlineStr">
        <is>
          <t>Beef, rib, whole (ribs 6-12), separable lean and fat, trimmed to 1/8" fat, prime, cooked, roasted</t>
        </is>
      </c>
      <c r="C1125" s="1" t="n">
        <v>0</v>
      </c>
      <c r="D1125" s="1" t="n">
        <v>7</v>
      </c>
      <c r="E1125" s="1" t="n">
        <v>2.17</v>
      </c>
      <c r="F1125" s="1" t="n">
        <v>22.57</v>
      </c>
      <c r="G1125" s="1" t="n">
        <v>33.7</v>
      </c>
      <c r="H1125" s="1" t="n">
        <v>0</v>
      </c>
      <c r="I1125" s="1" t="n">
        <v>5.39</v>
      </c>
      <c r="J1125" t="n">
        <v>28110510</v>
      </c>
    </row>
    <row r="1126" ht="15.75" customHeight="1" s="201">
      <c r="A1126" s="1" t="inlineStr">
        <is>
          <t>Beef, rib, whole (ribs 6-12), separable lean and fat, trimmed to 1/8" fat, prime, raw</t>
        </is>
      </c>
      <c r="C1126" s="1" t="n">
        <v>0</v>
      </c>
      <c r="D1126" s="1" t="n">
        <v>5</v>
      </c>
      <c r="E1126" s="1" t="n">
        <v>1.7</v>
      </c>
      <c r="F1126" s="1" t="n">
        <v>16.15</v>
      </c>
      <c r="G1126" s="1" t="n">
        <v>31.66</v>
      </c>
      <c r="H1126" s="1" t="n">
        <v>0</v>
      </c>
      <c r="I1126" s="1" t="n">
        <v>3.6</v>
      </c>
      <c r="J1126" t="n">
        <v>28110510</v>
      </c>
    </row>
    <row r="1127" ht="15.75" customHeight="1" s="201">
      <c r="A1127" s="1" t="inlineStr">
        <is>
          <t>Beef, rib, whole (ribs 6-12), separable lean and fat, trimmed to 1/8" fat, select, cooked, broiled</t>
        </is>
      </c>
      <c r="C1127" s="1" t="n">
        <v>0</v>
      </c>
      <c r="D1127" s="1" t="n">
        <v>6</v>
      </c>
      <c r="E1127" s="1" t="n">
        <v>2.22</v>
      </c>
      <c r="F1127" s="1" t="n">
        <v>22.73</v>
      </c>
      <c r="G1127" s="1" t="n">
        <v>24.2</v>
      </c>
      <c r="H1127" s="1" t="n">
        <v>0</v>
      </c>
      <c r="I1127" s="1" t="n">
        <v>5.38</v>
      </c>
      <c r="J1127" t="n">
        <v>28110510</v>
      </c>
    </row>
    <row r="1128" ht="15.75" customHeight="1" s="201">
      <c r="A1128" s="1" t="inlineStr">
        <is>
          <t>Beef, rib, whole (ribs 6-12), separable lean and fat, trimmed to 1/8" fat, select, cooked, roasted</t>
        </is>
      </c>
      <c r="C1128" s="1" t="n">
        <v>0</v>
      </c>
      <c r="D1128" s="1" t="n">
        <v>7</v>
      </c>
      <c r="E1128" s="1" t="n">
        <v>2.41</v>
      </c>
      <c r="F1128" s="1" t="n">
        <v>23.1</v>
      </c>
      <c r="G1128" s="1" t="n">
        <v>25.63</v>
      </c>
      <c r="H1128" s="1" t="n">
        <v>0</v>
      </c>
      <c r="I1128" s="1" t="n">
        <v>5.57</v>
      </c>
      <c r="J1128" t="n">
        <v>28110510</v>
      </c>
    </row>
    <row r="1129" ht="15.75" customHeight="1" s="201">
      <c r="A1129" s="1" t="inlineStr">
        <is>
          <t>Beef, rib, whole (ribs 6-12), separable lean and fat, trimmed to 1/8" fat, select, raw</t>
        </is>
      </c>
      <c r="C1129" s="1" t="n">
        <v>0</v>
      </c>
      <c r="D1129" s="1" t="n">
        <v>5</v>
      </c>
      <c r="E1129" s="1" t="n">
        <v>1.77</v>
      </c>
      <c r="F1129" s="1" t="n">
        <v>16.75</v>
      </c>
      <c r="G1129" s="1" t="n">
        <v>23.95</v>
      </c>
      <c r="H1129" s="1" t="n">
        <v>0</v>
      </c>
      <c r="I1129" s="1" t="n">
        <v>3.79</v>
      </c>
      <c r="J1129" t="n">
        <v>28110510</v>
      </c>
    </row>
    <row r="1130" ht="15.75" customHeight="1" s="201">
      <c r="A1130" s="1" t="inlineStr">
        <is>
          <t>Beef, ribeye  petite roast/filet, boneless, separable lean only, trimmed to 0" fat, all grades, raw</t>
        </is>
      </c>
      <c r="C1130" s="1" t="n">
        <v>0.04</v>
      </c>
      <c r="D1130" s="1" t="n">
        <v>4</v>
      </c>
      <c r="E1130" s="1" t="n">
        <v>2.28</v>
      </c>
      <c r="F1130" s="1" t="n">
        <v>22.66</v>
      </c>
      <c r="G1130" s="1" t="n">
        <v>4.66</v>
      </c>
      <c r="H1130" s="1" t="n">
        <v>6</v>
      </c>
      <c r="I1130" s="1" t="n">
        <v>5.29</v>
      </c>
      <c r="J1130" t="n">
        <v>27513010</v>
      </c>
    </row>
    <row r="1131" ht="15.75" customHeight="1" s="201">
      <c r="A1131" s="1" t="inlineStr">
        <is>
          <t>Beef, ribeye  petite roast/filet, boneless, separable lean only, trimmed to 0" fat, choice, raw</t>
        </is>
      </c>
      <c r="C1131" s="1" t="n">
        <v>0.18</v>
      </c>
      <c r="D1131" s="1" t="n">
        <v>4</v>
      </c>
      <c r="E1131" s="1" t="n">
        <v>2.27</v>
      </c>
      <c r="F1131" s="1" t="n">
        <v>22.52</v>
      </c>
      <c r="G1131" s="1" t="n">
        <v>5.29</v>
      </c>
      <c r="H1131" s="1" t="n">
        <v>6</v>
      </c>
      <c r="I1131" s="1" t="n">
        <v>5.28</v>
      </c>
      <c r="J1131" t="n">
        <v>27513010</v>
      </c>
    </row>
    <row r="1132" ht="15.75" customHeight="1" s="201">
      <c r="A1132" s="1" t="inlineStr">
        <is>
          <t>Beef, ribeye  petite roast/filet, boneless, separable lean only, trimmed to 0" fat, select, raw</t>
        </is>
      </c>
      <c r="C1132" s="1" t="n">
        <v>0</v>
      </c>
      <c r="D1132" s="1" t="n">
        <v>4</v>
      </c>
      <c r="E1132" s="1" t="n">
        <v>2.17</v>
      </c>
      <c r="F1132" s="1" t="n">
        <v>22.89</v>
      </c>
      <c r="G1132" s="1" t="n">
        <v>3.72</v>
      </c>
      <c r="H1132" s="1" t="n">
        <v>7</v>
      </c>
      <c r="I1132" s="1" t="n">
        <v>6.1</v>
      </c>
      <c r="J1132" t="n">
        <v>27513010</v>
      </c>
    </row>
    <row r="1133" ht="15.75" customHeight="1" s="201">
      <c r="A1133" s="1" t="inlineStr">
        <is>
          <t>Beef, ribeye cap steak, boneless, separable lean only, trimmed to 0" fat, all grades, cooked, grilled</t>
        </is>
      </c>
      <c r="C1133" s="1" t="n">
        <v>1.53</v>
      </c>
      <c r="D1133" s="1" t="n">
        <v>6</v>
      </c>
      <c r="E1133" s="1" t="n">
        <v>3.07</v>
      </c>
      <c r="F1133" s="1" t="n">
        <v>24.66</v>
      </c>
      <c r="G1133" s="1" t="n">
        <v>15.7</v>
      </c>
      <c r="H1133" s="1" t="n">
        <v>6</v>
      </c>
      <c r="I1133" s="1" t="n">
        <v>9.710000000000001</v>
      </c>
      <c r="J1133" t="n">
        <v>28110510</v>
      </c>
    </row>
    <row r="1134" ht="15.75" customHeight="1" s="201">
      <c r="A1134" s="1" t="inlineStr">
        <is>
          <t>Beef, ribeye cap steak, boneless, separable lean only, trimmed to 0" fat, all grades, raw</t>
        </is>
      </c>
      <c r="C1134" s="1" t="n">
        <v>1.51</v>
      </c>
      <c r="D1134" s="1" t="n">
        <v>3</v>
      </c>
      <c r="E1134" s="1" t="n">
        <v>2.64</v>
      </c>
      <c r="F1134" s="1" t="n">
        <v>19.7</v>
      </c>
      <c r="G1134" s="1" t="n">
        <v>10.6</v>
      </c>
      <c r="H1134" s="1" t="n">
        <v>7</v>
      </c>
      <c r="I1134" s="1" t="n">
        <v>7.79</v>
      </c>
      <c r="J1134" t="n">
        <v>28110510</v>
      </c>
    </row>
    <row r="1135" ht="15.75" customHeight="1" s="201">
      <c r="A1135" s="1" t="inlineStr">
        <is>
          <t>Beef, ribeye cap steak, boneless, separable lean only, trimmed to 0" fat, choice, cooked, grilled</t>
        </is>
      </c>
      <c r="C1135" s="1" t="n">
        <v>1.81</v>
      </c>
      <c r="D1135" s="1" t="n">
        <v>6</v>
      </c>
      <c r="E1135" s="1" t="n">
        <v>3.06</v>
      </c>
      <c r="F1135" s="1" t="n">
        <v>24.24</v>
      </c>
      <c r="G1135" s="1" t="n">
        <v>17.21</v>
      </c>
      <c r="H1135" s="1" t="n">
        <v>5</v>
      </c>
      <c r="I1135" s="1" t="n">
        <v>9.67</v>
      </c>
      <c r="J1135" t="n">
        <v>28110510</v>
      </c>
    </row>
    <row r="1136" ht="15.75" customHeight="1" s="201">
      <c r="A1136" s="1" t="inlineStr">
        <is>
          <t>Beef, ribeye cap steak, boneless, separable lean only, trimmed to 0" fat, choice, raw</t>
        </is>
      </c>
      <c r="C1136" s="1" t="n">
        <v>1.75</v>
      </c>
      <c r="D1136" s="1" t="n">
        <v>3</v>
      </c>
      <c r="E1136" s="1" t="n">
        <v>2.64</v>
      </c>
      <c r="F1136" s="1" t="n">
        <v>19.46</v>
      </c>
      <c r="G1136" s="1" t="n">
        <v>11.4</v>
      </c>
      <c r="H1136" s="1" t="n">
        <v>7</v>
      </c>
      <c r="I1136" s="1" t="n">
        <v>7.8</v>
      </c>
      <c r="J1136" t="n">
        <v>28110510</v>
      </c>
    </row>
    <row r="1137" ht="15.75" customHeight="1" s="201">
      <c r="A1137" s="1" t="inlineStr">
        <is>
          <t>Beef, ribeye cap steak, boneless, separable lean only, trimmed to 0" fat, select, cooked, grilled</t>
        </is>
      </c>
      <c r="C1137" s="1" t="n">
        <v>1.1</v>
      </c>
      <c r="D1137" s="1" t="n">
        <v>6</v>
      </c>
      <c r="E1137" s="1" t="n">
        <v>3.22</v>
      </c>
      <c r="F1137" s="1" t="n">
        <v>25.28</v>
      </c>
      <c r="G1137" s="1" t="n">
        <v>13.43</v>
      </c>
      <c r="H1137" s="1" t="n">
        <v>8</v>
      </c>
      <c r="I1137" s="1" t="n">
        <v>9.99</v>
      </c>
      <c r="J1137" t="n">
        <v>28110510</v>
      </c>
    </row>
    <row r="1138" ht="15.75" customHeight="1" s="201">
      <c r="A1138" s="1" t="inlineStr">
        <is>
          <t>Beef, ribeye cap steak, boneless, separable lean only, trimmed to 0" fat, select, raw</t>
        </is>
      </c>
      <c r="C1138" s="1" t="n">
        <v>1.15</v>
      </c>
      <c r="D1138" s="1" t="n">
        <v>3</v>
      </c>
      <c r="E1138" s="1" t="n">
        <v>2.95</v>
      </c>
      <c r="F1138" s="1" t="n">
        <v>20.05</v>
      </c>
      <c r="G1138" s="1" t="n">
        <v>9.390000000000001</v>
      </c>
      <c r="H1138" s="1" t="n">
        <v>8</v>
      </c>
      <c r="I1138" s="1" t="n">
        <v>8.42</v>
      </c>
      <c r="J1138" t="n">
        <v>28110510</v>
      </c>
    </row>
    <row r="1139" ht="15.75" customHeight="1" s="201">
      <c r="A1139" s="1" t="inlineStr">
        <is>
          <t>Beef, ribeye filet, boneless, separable lean only, trimmed to 0" fat, all grades, cooked, grilled</t>
        </is>
      </c>
      <c r="C1139" s="1" t="n">
        <v>0.17</v>
      </c>
      <c r="D1139" s="1" t="n">
        <v>7</v>
      </c>
      <c r="E1139" s="1" t="n">
        <v>2.77</v>
      </c>
      <c r="F1139" s="1" t="n">
        <v>28.77</v>
      </c>
      <c r="G1139" s="1" t="n">
        <v>9.199999999999999</v>
      </c>
      <c r="H1139" s="1" t="n">
        <v>6</v>
      </c>
      <c r="I1139" s="1" t="n">
        <v>7.21</v>
      </c>
      <c r="J1139" t="n">
        <v>28110510</v>
      </c>
    </row>
    <row r="1140" ht="15.75" customHeight="1" s="201">
      <c r="A1140" s="1" t="inlineStr">
        <is>
          <t>Beef, ribeye filet, boneless, separable lean only, trimmed to 0" fat, choice, cooked, grilled</t>
        </is>
      </c>
      <c r="C1140" s="1" t="n">
        <v>0.51</v>
      </c>
      <c r="D1140" s="1" t="n">
        <v>7</v>
      </c>
      <c r="E1140" s="1" t="n">
        <v>2.76</v>
      </c>
      <c r="F1140" s="1" t="n">
        <v>28.35</v>
      </c>
      <c r="G1140" s="1" t="n">
        <v>10.26</v>
      </c>
      <c r="H1140" s="1" t="n">
        <v>5</v>
      </c>
      <c r="I1140" s="1" t="n">
        <v>7.19</v>
      </c>
      <c r="J1140" t="n">
        <v>28110510</v>
      </c>
    </row>
    <row r="1141" ht="15.75" customHeight="1" s="201">
      <c r="A1141" s="1" t="inlineStr">
        <is>
          <t>Beef, ribeye filet, boneless, separable lean only, trimmed to 0" fat, select, cooked, grilled</t>
        </is>
      </c>
      <c r="C1141" s="1" t="n">
        <v>0</v>
      </c>
      <c r="D1141" s="1" t="n">
        <v>7</v>
      </c>
      <c r="E1141" s="1" t="n">
        <v>3.56</v>
      </c>
      <c r="F1141" s="1" t="n">
        <v>29.39</v>
      </c>
      <c r="G1141" s="1" t="n">
        <v>7.61</v>
      </c>
      <c r="H1141" s="1" t="n">
        <v>7</v>
      </c>
      <c r="I1141" s="1" t="n">
        <v>11.04</v>
      </c>
      <c r="J1141" t="n">
        <v>28110510</v>
      </c>
    </row>
    <row r="1142" ht="15.75" customHeight="1" s="201">
      <c r="A1142" s="1" t="inlineStr">
        <is>
          <t>Beef, ribeye petite roast, boneless, separable lean only, trimmed to 0" fat, all grades, cooked, roasted</t>
        </is>
      </c>
      <c r="C1142" s="1" t="n">
        <v>0</v>
      </c>
      <c r="D1142" s="1" t="n">
        <v>7</v>
      </c>
      <c r="E1142" s="1" t="n">
        <v>2.68</v>
      </c>
      <c r="F1142" s="1" t="n">
        <v>28.15</v>
      </c>
      <c r="G1142" s="1" t="n">
        <v>7.31</v>
      </c>
      <c r="H1142" s="1" t="n">
        <v>5</v>
      </c>
      <c r="I1142" s="1" t="n">
        <v>7</v>
      </c>
      <c r="J1142" t="n">
        <v>28110510</v>
      </c>
    </row>
    <row r="1143" ht="15.75" customHeight="1" s="201">
      <c r="A1143" s="1" t="inlineStr">
        <is>
          <t>Beef, ribeye petite roast, boneless, separable lean only, trimmed to 0" fat, choice, cooked, roasted</t>
        </is>
      </c>
      <c r="C1143" s="1" t="n">
        <v>0</v>
      </c>
      <c r="D1143" s="1" t="n">
        <v>7</v>
      </c>
      <c r="E1143" s="1" t="n">
        <v>2.65</v>
      </c>
      <c r="F1143" s="1" t="n">
        <v>28</v>
      </c>
      <c r="G1143" s="1" t="n">
        <v>8.42</v>
      </c>
      <c r="H1143" s="1" t="n">
        <v>5</v>
      </c>
      <c r="I1143" s="1" t="n">
        <v>6.81</v>
      </c>
      <c r="J1143" t="n">
        <v>28110510</v>
      </c>
    </row>
    <row r="1144" ht="15.75" customHeight="1" s="201">
      <c r="A1144" s="1" t="inlineStr">
        <is>
          <t>Beef, ribeye petite roast, boneless, separable lean only, trimmed to 0" fat, select, cooked, roasted</t>
        </is>
      </c>
      <c r="C1144" s="1" t="n">
        <v>0</v>
      </c>
      <c r="D1144" s="1" t="n">
        <v>7</v>
      </c>
      <c r="E1144" s="1" t="n">
        <v>3.46</v>
      </c>
      <c r="F1144" s="1" t="n">
        <v>28.37</v>
      </c>
      <c r="G1144" s="1" t="n">
        <v>5.65</v>
      </c>
      <c r="H1144" s="1" t="n">
        <v>7</v>
      </c>
      <c r="I1144" s="1" t="n">
        <v>10.73</v>
      </c>
      <c r="J1144" t="n">
        <v>28110510</v>
      </c>
    </row>
    <row r="1145" ht="15.75" customHeight="1" s="201">
      <c r="A1145" s="1" t="inlineStr">
        <is>
          <t>Beef, round, bottom round , roast, separable lean only, trimmed to 1/8" fat, select, cooked, roasted</t>
        </is>
      </c>
      <c r="C1145" s="1" t="n">
        <v>0</v>
      </c>
      <c r="D1145" s="1" t="n">
        <v>10</v>
      </c>
      <c r="E1145" s="1" t="n">
        <v>2.35</v>
      </c>
      <c r="F1145" s="1" t="n">
        <v>28.45</v>
      </c>
      <c r="G1145" s="1" t="n">
        <v>4.67</v>
      </c>
      <c r="H1145" s="1" t="n">
        <v>0</v>
      </c>
      <c r="I1145" s="1" t="n">
        <v>4.92</v>
      </c>
      <c r="J1145" t="n">
        <v>28110510</v>
      </c>
    </row>
    <row r="1146" ht="15.75" customHeight="1" s="201">
      <c r="A1146" s="1" t="inlineStr">
        <is>
          <t>Beef, round, bottom round roast, separable lean only, trimmed to 0" fat, select, cooked, roasted</t>
        </is>
      </c>
      <c r="C1146" s="1" t="n">
        <v>0</v>
      </c>
      <c r="D1146" s="1" t="n">
        <v>9</v>
      </c>
      <c r="E1146" s="1" t="n">
        <v>2.35</v>
      </c>
      <c r="F1146" s="1" t="n">
        <v>28.29</v>
      </c>
      <c r="G1146" s="1" t="n">
        <v>5.33</v>
      </c>
      <c r="H1146" s="1" t="n">
        <v>0</v>
      </c>
      <c r="I1146" s="1" t="n">
        <v>4.92</v>
      </c>
      <c r="J1146" t="n">
        <v>28110510</v>
      </c>
    </row>
    <row r="1147" ht="15.75" customHeight="1" s="201">
      <c r="A1147" s="1" t="inlineStr">
        <is>
          <t>Beef, round, bottom round, roast, separable lean and fat, trimmed to 0" fat, all grades, cooked, roasted</t>
        </is>
      </c>
      <c r="C1147" s="1" t="n">
        <v>0</v>
      </c>
      <c r="D1147" s="1" t="n">
        <v>9</v>
      </c>
      <c r="E1147" s="1" t="n">
        <v>2.24</v>
      </c>
      <c r="F1147" s="1" t="n">
        <v>27.42</v>
      </c>
      <c r="G1147" s="1" t="n">
        <v>7.72</v>
      </c>
      <c r="H1147" s="1" t="n">
        <v>0</v>
      </c>
      <c r="I1147" s="1" t="n">
        <v>4.61</v>
      </c>
      <c r="J1147" t="n">
        <v>28110510</v>
      </c>
    </row>
    <row r="1148" ht="15.75" customHeight="1" s="201">
      <c r="A1148" s="1" t="inlineStr">
        <is>
          <t>Beef, round, bottom round, roast, separable lean and fat, trimmed to 0" fat, choice, cooked, roasted</t>
        </is>
      </c>
      <c r="C1148" s="1" t="n">
        <v>0</v>
      </c>
      <c r="D1148" s="1" t="n">
        <v>8</v>
      </c>
      <c r="E1148" s="1" t="n">
        <v>2.2</v>
      </c>
      <c r="F1148" s="1" t="n">
        <v>26.76</v>
      </c>
      <c r="G1148" s="1" t="n">
        <v>9.369999999999999</v>
      </c>
      <c r="H1148" s="1" t="n">
        <v>0</v>
      </c>
      <c r="I1148" s="1" t="n">
        <v>4.41</v>
      </c>
      <c r="J1148" t="n">
        <v>28110510</v>
      </c>
    </row>
    <row r="1149" ht="15.75" customHeight="1" s="201">
      <c r="A1149" s="1" t="inlineStr">
        <is>
          <t>Beef, round, bottom round, roast, separable lean and fat, trimmed to 0" fat, select, cooked, roasted</t>
        </is>
      </c>
      <c r="C1149" s="1" t="n">
        <v>0</v>
      </c>
      <c r="D1149" s="1" t="n">
        <v>9</v>
      </c>
      <c r="E1149" s="1" t="n">
        <v>2.28</v>
      </c>
      <c r="F1149" s="1" t="n">
        <v>28.08</v>
      </c>
      <c r="G1149" s="1" t="n">
        <v>6.06</v>
      </c>
      <c r="H1149" s="1" t="n">
        <v>0</v>
      </c>
      <c r="I1149" s="1" t="n">
        <v>4.81</v>
      </c>
      <c r="J1149" t="n">
        <v>28110510</v>
      </c>
    </row>
    <row r="1150" ht="15.75" customHeight="1" s="201">
      <c r="A1150" s="1" t="inlineStr">
        <is>
          <t>Beef, round, bottom round, roast, separable lean and fat, trimmed to 1/8" fat, all grades, cooked, roasted</t>
        </is>
      </c>
      <c r="C1150" s="1" t="n">
        <v>0</v>
      </c>
      <c r="D1150" s="1" t="n">
        <v>8</v>
      </c>
      <c r="E1150" s="1" t="n">
        <v>2.16</v>
      </c>
      <c r="F1150" s="1" t="n">
        <v>26.41</v>
      </c>
      <c r="G1150" s="1" t="n">
        <v>11.64</v>
      </c>
      <c r="H1150" s="1" t="n">
        <v>0</v>
      </c>
      <c r="I1150" s="1" t="n">
        <v>4.43</v>
      </c>
      <c r="J1150" t="n">
        <v>28110510</v>
      </c>
    </row>
    <row r="1151" ht="15.75" customHeight="1" s="201">
      <c r="A1151" s="1" t="inlineStr">
        <is>
          <t>Beef, round, bottom round, roast, separable lean and fat, trimmed to 1/8" fat, choice, cooked, roasted</t>
        </is>
      </c>
      <c r="C1151" s="1" t="n">
        <v>0</v>
      </c>
      <c r="D1151" s="1" t="n">
        <v>8</v>
      </c>
      <c r="E1151" s="1" t="n">
        <v>2.15</v>
      </c>
      <c r="F1151" s="1" t="n">
        <v>26.05</v>
      </c>
      <c r="G1151" s="1" t="n">
        <v>12.44</v>
      </c>
      <c r="H1151" s="1" t="n">
        <v>0</v>
      </c>
      <c r="I1151" s="1" t="n">
        <v>4.31</v>
      </c>
      <c r="J1151" t="n">
        <v>28110510</v>
      </c>
    </row>
    <row r="1152" ht="15.75" customHeight="1" s="201">
      <c r="A1152" s="1" t="inlineStr">
        <is>
          <t>Beef, round, bottom round, roast, separable lean and fat, trimmed to 1/8" fat, select, cooked, roasted</t>
        </is>
      </c>
      <c r="C1152" s="1" t="n">
        <v>0</v>
      </c>
      <c r="D1152" s="1" t="n">
        <v>8</v>
      </c>
      <c r="E1152" s="1" t="n">
        <v>2.16</v>
      </c>
      <c r="F1152" s="1" t="n">
        <v>26.77</v>
      </c>
      <c r="G1152" s="1" t="n">
        <v>10.85</v>
      </c>
      <c r="H1152" s="1" t="n">
        <v>0</v>
      </c>
      <c r="I1152" s="1" t="n">
        <v>4.56</v>
      </c>
      <c r="J1152" t="n">
        <v>28110510</v>
      </c>
    </row>
    <row r="1153" ht="15.75" customHeight="1" s="201">
      <c r="A1153" s="1" t="inlineStr">
        <is>
          <t>Beef, round, bottom round, roast, separable lean only, trimmed to 0" fat, all grades, cooked, roasted</t>
        </is>
      </c>
      <c r="C1153" s="1" t="n">
        <v>0</v>
      </c>
      <c r="D1153" s="1" t="n">
        <v>9</v>
      </c>
      <c r="E1153" s="1" t="n">
        <v>2.33</v>
      </c>
      <c r="F1153" s="1" t="n">
        <v>27.76</v>
      </c>
      <c r="G1153" s="1" t="n">
        <v>6.48</v>
      </c>
      <c r="H1153" s="1" t="n">
        <v>0</v>
      </c>
      <c r="I1153" s="1" t="n">
        <v>4.79</v>
      </c>
      <c r="J1153" t="n">
        <v>28110510</v>
      </c>
    </row>
    <row r="1154" ht="15.75" customHeight="1" s="201">
      <c r="A1154" s="1" t="inlineStr">
        <is>
          <t>Beef, round, bottom round, roast, separable lean only, trimmed to 0" fat, choice, cooked, roasted</t>
        </is>
      </c>
      <c r="C1154" s="1" t="n">
        <v>0</v>
      </c>
      <c r="D1154" s="1" t="n">
        <v>9</v>
      </c>
      <c r="E1154" s="1" t="n">
        <v>2.4</v>
      </c>
      <c r="F1154" s="1" t="n">
        <v>27.23</v>
      </c>
      <c r="G1154" s="1" t="n">
        <v>7.63</v>
      </c>
      <c r="H1154" s="1" t="n">
        <v>0</v>
      </c>
      <c r="I1154" s="1" t="n">
        <v>4.74</v>
      </c>
      <c r="J1154" t="n">
        <v>28110510</v>
      </c>
    </row>
    <row r="1155" ht="15.75" customHeight="1" s="201">
      <c r="A1155" s="1" t="inlineStr">
        <is>
          <t>Beef, round, bottom round, roast, separable lean only, trimmed to 1/8" fat, all grades, cooked</t>
        </is>
      </c>
      <c r="C1155" s="1" t="n">
        <v>0</v>
      </c>
      <c r="D1155" s="1" t="n">
        <v>9</v>
      </c>
      <c r="E1155" s="1" t="n">
        <v>2.35</v>
      </c>
      <c r="F1155" s="1" t="n">
        <v>28</v>
      </c>
      <c r="G1155" s="1" t="n">
        <v>5.72</v>
      </c>
      <c r="H1155" s="1" t="n">
        <v>0</v>
      </c>
      <c r="I1155" s="1" t="n">
        <v>4.82</v>
      </c>
      <c r="J1155" t="n">
        <v>27513010</v>
      </c>
    </row>
    <row r="1156" ht="15.75" customHeight="1" s="201">
      <c r="A1156" s="1" t="inlineStr">
        <is>
          <t>Beef, round, bottom round, roast, separable lean only, trimmed to 1/8" fat, all grades, raw</t>
        </is>
      </c>
      <c r="C1156" s="1" t="n">
        <v>0</v>
      </c>
      <c r="D1156" s="1" t="n">
        <v>13</v>
      </c>
      <c r="E1156" s="1" t="n">
        <v>1.92</v>
      </c>
      <c r="F1156" s="1" t="n">
        <v>22.19</v>
      </c>
      <c r="G1156" s="1" t="n">
        <v>4.31</v>
      </c>
      <c r="H1156" s="1" t="n">
        <v>0</v>
      </c>
      <c r="I1156" s="1" t="n">
        <v>4.22</v>
      </c>
      <c r="J1156" t="n">
        <v>27513010</v>
      </c>
    </row>
    <row r="1157" ht="15.75" customHeight="1" s="201">
      <c r="A1157" s="1" t="inlineStr">
        <is>
          <t>Beef, round, bottom round, roast, separable lean only, trimmed to 1/8" fat, choice, cooked, roasted</t>
        </is>
      </c>
      <c r="C1157" s="1" t="n">
        <v>0</v>
      </c>
      <c r="D1157" s="1" t="n">
        <v>9</v>
      </c>
      <c r="E1157" s="1" t="n">
        <v>2.43</v>
      </c>
      <c r="F1157" s="1" t="n">
        <v>27.56</v>
      </c>
      <c r="G1157" s="1" t="n">
        <v>6.77</v>
      </c>
      <c r="H1157" s="1" t="n">
        <v>0</v>
      </c>
      <c r="I1157" s="1" t="n">
        <v>4.82</v>
      </c>
      <c r="J1157" t="n">
        <v>28110510</v>
      </c>
    </row>
    <row r="1158" ht="15.75" customHeight="1" s="201">
      <c r="A1158" s="1" t="inlineStr">
        <is>
          <t>Beef, round, bottom round, roast, separable lean only, trimmed to 1/8" fat, choice, raw</t>
        </is>
      </c>
      <c r="C1158" s="1" t="n">
        <v>0</v>
      </c>
      <c r="D1158" s="1" t="n">
        <v>13</v>
      </c>
      <c r="E1158" s="1" t="n">
        <v>2.06</v>
      </c>
      <c r="F1158" s="1" t="n">
        <v>22.22</v>
      </c>
      <c r="G1158" s="1" t="n">
        <v>4.96</v>
      </c>
      <c r="H1158" s="1" t="n">
        <v>0</v>
      </c>
      <c r="I1158" s="1" t="n">
        <v>4.16</v>
      </c>
      <c r="J1158" t="n">
        <v>27513010</v>
      </c>
    </row>
    <row r="1159" ht="15.75" customHeight="1" s="201">
      <c r="A1159" s="1" t="inlineStr">
        <is>
          <t>Beef, round, bottom round, roast, separable lean only, trimmed to 1/8" fat, select, raw</t>
        </is>
      </c>
      <c r="C1159" s="1" t="n">
        <v>0</v>
      </c>
      <c r="D1159" s="1" t="n">
        <v>13</v>
      </c>
      <c r="E1159" s="1" t="n">
        <v>1.9</v>
      </c>
      <c r="F1159" s="1" t="n">
        <v>22.18</v>
      </c>
      <c r="G1159" s="1" t="n">
        <v>3.66</v>
      </c>
      <c r="H1159" s="1" t="n">
        <v>0</v>
      </c>
      <c r="I1159" s="1" t="n">
        <v>4.42</v>
      </c>
      <c r="J1159" t="n">
        <v>27513010</v>
      </c>
    </row>
    <row r="1160" ht="15.75" customHeight="1" s="201">
      <c r="A1160" s="1" t="inlineStr">
        <is>
          <t>Beef, round, bottom round, steak, separable lean and fat, trimmed to 0" fat, all grades, cooked, braised</t>
        </is>
      </c>
      <c r="C1160" s="1" t="n">
        <v>0</v>
      </c>
      <c r="D1160" s="1" t="n">
        <v>10</v>
      </c>
      <c r="E1160" s="1" t="n">
        <v>2.72</v>
      </c>
      <c r="F1160" s="1" t="n">
        <v>33.56</v>
      </c>
      <c r="G1160" s="1" t="n">
        <v>8.859999999999999</v>
      </c>
      <c r="H1160" s="1" t="n">
        <v>0</v>
      </c>
      <c r="I1160" s="1" t="n">
        <v>5.6</v>
      </c>
      <c r="J1160" t="n">
        <v>28110510</v>
      </c>
    </row>
    <row r="1161" ht="15.75" customHeight="1" s="201">
      <c r="A1161" s="1" t="inlineStr">
        <is>
          <t>Beef, round, bottom round, steak, separable lean and fat, trimmed to 0" fat, choice, cooked, braised</t>
        </is>
      </c>
      <c r="C1161" s="1" t="n">
        <v>0</v>
      </c>
      <c r="D1161" s="1" t="n">
        <v>10</v>
      </c>
      <c r="E1161" s="1" t="n">
        <v>2.71</v>
      </c>
      <c r="F1161" s="1" t="n">
        <v>32.73</v>
      </c>
      <c r="G1161" s="1" t="n">
        <v>10</v>
      </c>
      <c r="H1161" s="1" t="n">
        <v>0</v>
      </c>
      <c r="I1161" s="1" t="n">
        <v>5.41</v>
      </c>
      <c r="J1161" t="n">
        <v>28110510</v>
      </c>
    </row>
    <row r="1162" ht="15.75" customHeight="1" s="201">
      <c r="A1162" s="1" t="inlineStr">
        <is>
          <t>Beef, round, bottom round, steak, separable lean and fat, trimmed to 0" fat, select, cooked, braised</t>
        </is>
      </c>
      <c r="C1162" s="1" t="n">
        <v>0</v>
      </c>
      <c r="D1162" s="1" t="n">
        <v>11</v>
      </c>
      <c r="E1162" s="1" t="n">
        <v>2.74</v>
      </c>
      <c r="F1162" s="1" t="n">
        <v>34.39</v>
      </c>
      <c r="G1162" s="1" t="n">
        <v>7.72</v>
      </c>
      <c r="H1162" s="1" t="n">
        <v>0</v>
      </c>
      <c r="I1162" s="1" t="n">
        <v>5.78</v>
      </c>
      <c r="J1162" t="n">
        <v>28110510</v>
      </c>
    </row>
    <row r="1163" ht="15.75" customHeight="1" s="201">
      <c r="A1163" s="1" t="inlineStr">
        <is>
          <t>Beef, round, bottom round, steak, separable lean and fat, trimmed to 1/8" fat, all grades, cooked, braised</t>
        </is>
      </c>
      <c r="C1163" s="1" t="n">
        <v>0</v>
      </c>
      <c r="D1163" s="1" t="n">
        <v>10</v>
      </c>
      <c r="E1163" s="1" t="n">
        <v>2.67</v>
      </c>
      <c r="F1163" s="1" t="n">
        <v>32.76</v>
      </c>
      <c r="G1163" s="1" t="n">
        <v>11.87</v>
      </c>
      <c r="H1163" s="1" t="n">
        <v>0</v>
      </c>
      <c r="I1163" s="1" t="n">
        <v>5.49</v>
      </c>
      <c r="J1163" t="n">
        <v>28110510</v>
      </c>
    </row>
    <row r="1164" ht="15.75" customHeight="1" s="201">
      <c r="A1164" s="1" t="inlineStr">
        <is>
          <t>Beef, round, bottom round, steak, separable lean and fat, trimmed to 1/8" fat, all grades, raw</t>
        </is>
      </c>
      <c r="C1164" s="1" t="n">
        <v>0</v>
      </c>
      <c r="D1164" s="1" t="n">
        <v>11</v>
      </c>
      <c r="E1164" s="1" t="n">
        <v>1.74</v>
      </c>
      <c r="F1164" s="1" t="n">
        <v>20.7</v>
      </c>
      <c r="G1164" s="1" t="n">
        <v>11.54</v>
      </c>
      <c r="H1164" s="1" t="n">
        <v>0</v>
      </c>
      <c r="I1164" s="1" t="n">
        <v>3.82</v>
      </c>
      <c r="J1164" t="n">
        <v>28110510</v>
      </c>
    </row>
    <row r="1165" ht="15.75" customHeight="1" s="201">
      <c r="A1165" s="1" t="inlineStr">
        <is>
          <t>Beef, round, bottom round, steak, separable lean and fat, trimmed to 1/8" fat, choice, cooked, braised</t>
        </is>
      </c>
      <c r="C1165" s="1" t="n">
        <v>0</v>
      </c>
      <c r="D1165" s="1" t="n">
        <v>10</v>
      </c>
      <c r="E1165" s="1" t="n">
        <v>2.7</v>
      </c>
      <c r="F1165" s="1" t="n">
        <v>32.85</v>
      </c>
      <c r="G1165" s="1" t="n">
        <v>12.56</v>
      </c>
      <c r="H1165" s="1" t="n">
        <v>0</v>
      </c>
      <c r="I1165" s="1" t="n">
        <v>5.4</v>
      </c>
      <c r="J1165" t="n">
        <v>28110510</v>
      </c>
    </row>
    <row r="1166" ht="15.75" customHeight="1" s="201">
      <c r="A1166" s="1" t="inlineStr">
        <is>
          <t>Beef, round, bottom round, steak, separable lean and fat, trimmed to 1/8" fat, choice, raw</t>
        </is>
      </c>
      <c r="C1166" s="1" t="n">
        <v>0</v>
      </c>
      <c r="D1166" s="1" t="n">
        <v>11</v>
      </c>
      <c r="E1166" s="1" t="n">
        <v>1.84</v>
      </c>
      <c r="F1166" s="1" t="n">
        <v>20.71</v>
      </c>
      <c r="G1166" s="1" t="n">
        <v>12.15</v>
      </c>
      <c r="H1166" s="1" t="n">
        <v>0</v>
      </c>
      <c r="I1166" s="1" t="n">
        <v>3.8</v>
      </c>
      <c r="J1166" t="n">
        <v>28110510</v>
      </c>
    </row>
    <row r="1167" ht="15.75" customHeight="1" s="201">
      <c r="A1167" s="1" t="inlineStr">
        <is>
          <t>Beef, round, bottom round, steak, separable lean and fat, trimmed to 1/8" fat, select, cooked, braised</t>
        </is>
      </c>
      <c r="C1167" s="1" t="n">
        <v>0</v>
      </c>
      <c r="D1167" s="1" t="n">
        <v>10</v>
      </c>
      <c r="E1167" s="1" t="n">
        <v>2.64</v>
      </c>
      <c r="F1167" s="1" t="n">
        <v>32.67</v>
      </c>
      <c r="G1167" s="1" t="n">
        <v>11.19</v>
      </c>
      <c r="H1167" s="1" t="n">
        <v>0</v>
      </c>
      <c r="I1167" s="1" t="n">
        <v>5.58</v>
      </c>
      <c r="J1167" t="n">
        <v>28110510</v>
      </c>
    </row>
    <row r="1168" ht="15.75" customHeight="1" s="201">
      <c r="A1168" s="1" t="inlineStr">
        <is>
          <t>Beef, round, bottom round, steak, separable lean and fat, trimmed to 1/8" fat, select, raw</t>
        </is>
      </c>
      <c r="C1168" s="1" t="n">
        <v>0</v>
      </c>
      <c r="D1168" s="1" t="n">
        <v>11</v>
      </c>
      <c r="E1168" s="1" t="n">
        <v>1.63</v>
      </c>
      <c r="F1168" s="1" t="n">
        <v>20.68</v>
      </c>
      <c r="G1168" s="1" t="n">
        <v>10.93</v>
      </c>
      <c r="H1168" s="1" t="n">
        <v>0</v>
      </c>
      <c r="I1168" s="1" t="n">
        <v>3.85</v>
      </c>
      <c r="J1168" t="n">
        <v>28110510</v>
      </c>
    </row>
    <row r="1169" ht="15.75" customHeight="1" s="201">
      <c r="A1169" s="1" t="inlineStr">
        <is>
          <t>Beef, round, bottom round, steak, separable lean only, trimmed to 0" fat, all grades, cooked, braised</t>
        </is>
      </c>
      <c r="C1169" s="1" t="n">
        <v>0</v>
      </c>
      <c r="D1169" s="1" t="n">
        <v>11</v>
      </c>
      <c r="E1169" s="1" t="n">
        <v>2.83</v>
      </c>
      <c r="F1169" s="1" t="n">
        <v>34</v>
      </c>
      <c r="G1169" s="1" t="n">
        <v>7.67</v>
      </c>
      <c r="H1169" s="1" t="n">
        <v>0</v>
      </c>
      <c r="I1169" s="1" t="n">
        <v>5.82</v>
      </c>
      <c r="J1169" t="n">
        <v>28110510</v>
      </c>
    </row>
    <row r="1170" ht="15.75" customHeight="1" s="201">
      <c r="A1170" s="1" t="inlineStr">
        <is>
          <t>Beef, round, bottom round, steak, separable lean only, trimmed to 0" fat, choice, cooked, braised</t>
        </is>
      </c>
      <c r="C1170" s="1" t="n">
        <v>0</v>
      </c>
      <c r="D1170" s="1" t="n">
        <v>11</v>
      </c>
      <c r="E1170" s="1" t="n">
        <v>2.93</v>
      </c>
      <c r="F1170" s="1" t="n">
        <v>33.08</v>
      </c>
      <c r="G1170" s="1" t="n">
        <v>9.029999999999999</v>
      </c>
      <c r="H1170" s="1" t="n">
        <v>0</v>
      </c>
      <c r="I1170" s="1" t="n">
        <v>5.79</v>
      </c>
      <c r="J1170" t="n">
        <v>28110510</v>
      </c>
    </row>
    <row r="1171" ht="15.75" customHeight="1" s="201">
      <c r="A1171" s="1" t="inlineStr">
        <is>
          <t>Beef, round, bottom round, steak, separable lean only, trimmed to 0" fat, select, cooked, braised</t>
        </is>
      </c>
      <c r="C1171" s="1" t="n">
        <v>0</v>
      </c>
      <c r="D1171" s="1" t="n">
        <v>12</v>
      </c>
      <c r="E1171" s="1" t="n">
        <v>2.85</v>
      </c>
      <c r="F1171" s="1" t="n">
        <v>34.93</v>
      </c>
      <c r="G1171" s="1" t="n">
        <v>6.3</v>
      </c>
      <c r="H1171" s="1" t="n">
        <v>0</v>
      </c>
      <c r="I1171" s="1" t="n">
        <v>5.97</v>
      </c>
      <c r="J1171" t="n">
        <v>28110510</v>
      </c>
    </row>
    <row r="1172" ht="15.75" customHeight="1" s="201">
      <c r="A1172" s="1" t="inlineStr">
        <is>
          <t>Beef, round, bottom round, steak, separable lean only, trimmed to 1/8" fat, all grades, cooked, braised</t>
        </is>
      </c>
      <c r="C1172" s="1" t="n">
        <v>0</v>
      </c>
      <c r="D1172" s="1" t="n">
        <v>11</v>
      </c>
      <c r="E1172" s="1" t="n">
        <v>2.87</v>
      </c>
      <c r="F1172" s="1" t="n">
        <v>34.34</v>
      </c>
      <c r="G1172" s="1" t="n">
        <v>7.73</v>
      </c>
      <c r="H1172" s="1" t="n">
        <v>0</v>
      </c>
      <c r="I1172" s="1" t="n">
        <v>5.9</v>
      </c>
      <c r="J1172" t="n">
        <v>28110510</v>
      </c>
    </row>
    <row r="1173" ht="15.75" customHeight="1" s="201">
      <c r="A1173" s="1" t="inlineStr">
        <is>
          <t>Beef, round, bottom round, steak, separable lean only, trimmed to 1/8" fat, choice, cooked, braised</t>
        </is>
      </c>
      <c r="C1173" s="1" t="n">
        <v>0</v>
      </c>
      <c r="D1173" s="1" t="n">
        <v>11</v>
      </c>
      <c r="E1173" s="1" t="n">
        <v>3.01</v>
      </c>
      <c r="F1173" s="1" t="n">
        <v>34.22</v>
      </c>
      <c r="G1173" s="1" t="n">
        <v>9.02</v>
      </c>
      <c r="H1173" s="1" t="n">
        <v>0</v>
      </c>
      <c r="I1173" s="1" t="n">
        <v>5.95</v>
      </c>
      <c r="J1173" t="n">
        <v>28110510</v>
      </c>
    </row>
    <row r="1174" ht="15.75" customHeight="1" s="201">
      <c r="A1174" s="1" t="inlineStr">
        <is>
          <t>Beef, round, bottom round, steak, separable lean only, trimmed to 1/8" fat, select, cooked, braised</t>
        </is>
      </c>
      <c r="C1174" s="1" t="n">
        <v>0</v>
      </c>
      <c r="D1174" s="1" t="n">
        <v>12</v>
      </c>
      <c r="E1174" s="1" t="n">
        <v>2.85</v>
      </c>
      <c r="F1174" s="1" t="n">
        <v>34.46</v>
      </c>
      <c r="G1174" s="1" t="n">
        <v>6.43</v>
      </c>
      <c r="H1174" s="1" t="n">
        <v>0</v>
      </c>
      <c r="I1174" s="1" t="n">
        <v>5.98</v>
      </c>
      <c r="J1174" t="n">
        <v>28110510</v>
      </c>
    </row>
    <row r="1175" ht="15.75" customHeight="1" s="201">
      <c r="A1175" s="1" t="inlineStr">
        <is>
          <t>Beef, round, eye of round roast, boneless, separable lean and fat, trimmed to 0" fat, all grades, cooked, roasted</t>
        </is>
      </c>
      <c r="C1175" s="1" t="n">
        <v>0</v>
      </c>
      <c r="D1175" s="1" t="n">
        <v>5</v>
      </c>
      <c r="E1175" s="1" t="n">
        <v>1.84</v>
      </c>
      <c r="F1175" s="1" t="n">
        <v>29.66</v>
      </c>
      <c r="G1175" s="1" t="n">
        <v>4.46</v>
      </c>
      <c r="H1175" s="1" t="n">
        <v>14</v>
      </c>
      <c r="I1175" s="1" t="n">
        <v>4.3</v>
      </c>
      <c r="J1175" t="n">
        <v>28110510</v>
      </c>
    </row>
    <row r="1176" ht="15.75" customHeight="1" s="201">
      <c r="A1176" s="1" t="inlineStr">
        <is>
          <t>Beef, round, eye of round roast, boneless, separable lean and fat, trimmed to 0" fat, all grades, raw</t>
        </is>
      </c>
      <c r="C1176" s="1" t="n">
        <v>0</v>
      </c>
      <c r="D1176" s="1" t="n">
        <v>4</v>
      </c>
      <c r="E1176" s="1" t="n">
        <v>1.45</v>
      </c>
      <c r="F1176" s="1" t="n">
        <v>23.27</v>
      </c>
      <c r="G1176" s="1" t="n">
        <v>3.44</v>
      </c>
      <c r="H1176" s="1" t="n">
        <v>11</v>
      </c>
      <c r="I1176" s="1" t="n">
        <v>3.4</v>
      </c>
      <c r="J1176" t="n">
        <v>27513010</v>
      </c>
    </row>
    <row r="1177" ht="15.75" customHeight="1" s="201">
      <c r="A1177" s="1" t="inlineStr">
        <is>
          <t>Beef, round, eye of round roast, boneless, separable lean and fat, trimmed to 0" fat, choice, cooked, roasted</t>
        </is>
      </c>
      <c r="C1177" s="1" t="n">
        <v>0</v>
      </c>
      <c r="D1177" s="1" t="n">
        <v>5</v>
      </c>
      <c r="E1177" s="1" t="n">
        <v>1.86</v>
      </c>
      <c r="F1177" s="1" t="n">
        <v>29.79</v>
      </c>
      <c r="G1177" s="1" t="n">
        <v>4.83</v>
      </c>
      <c r="H1177" s="1" t="n">
        <v>13</v>
      </c>
      <c r="I1177" s="1" t="n">
        <v>4.32</v>
      </c>
      <c r="J1177" t="n">
        <v>28110510</v>
      </c>
    </row>
    <row r="1178" ht="15.75" customHeight="1" s="201">
      <c r="A1178" s="1" t="inlineStr">
        <is>
          <t>Beef, round, eye of round roast, boneless, separable lean and fat, trimmed to 0" fat, choice, raw</t>
        </is>
      </c>
      <c r="C1178" s="1" t="n">
        <v>0</v>
      </c>
      <c r="D1178" s="1" t="n">
        <v>4</v>
      </c>
      <c r="E1178" s="1" t="n">
        <v>1.47</v>
      </c>
      <c r="F1178" s="1" t="n">
        <v>23.26</v>
      </c>
      <c r="G1178" s="1" t="n">
        <v>3.74</v>
      </c>
      <c r="H1178" s="1" t="n">
        <v>11</v>
      </c>
      <c r="I1178" s="1" t="n">
        <v>3.41</v>
      </c>
      <c r="J1178" t="n">
        <v>27513010</v>
      </c>
    </row>
    <row r="1179" ht="15.75" customHeight="1" s="201">
      <c r="A1179" s="1" t="inlineStr">
        <is>
          <t>Beef, round, eye of round roast, boneless, separable lean and fat, trimmed to 0" fat, select, cooked, roasted</t>
        </is>
      </c>
      <c r="C1179" s="1" t="n">
        <v>0</v>
      </c>
      <c r="D1179" s="1" t="n">
        <v>5</v>
      </c>
      <c r="E1179" s="1" t="n">
        <v>1.74</v>
      </c>
      <c r="F1179" s="1" t="n">
        <v>29.45</v>
      </c>
      <c r="G1179" s="1" t="n">
        <v>3.97</v>
      </c>
      <c r="H1179" s="1" t="n">
        <v>21</v>
      </c>
      <c r="I1179" s="1" t="n">
        <v>4.25</v>
      </c>
      <c r="J1179" t="n">
        <v>28110510</v>
      </c>
    </row>
    <row r="1180" ht="15.75" customHeight="1" s="201">
      <c r="A1180" s="1" t="inlineStr">
        <is>
          <t>Beef, round, eye of round roast, boneless, separable lean and fat, trimmed to 0" fat, select, raw</t>
        </is>
      </c>
      <c r="C1180" s="1" t="n">
        <v>0</v>
      </c>
      <c r="D1180" s="1" t="n">
        <v>4</v>
      </c>
      <c r="E1180" s="1" t="n">
        <v>1.37</v>
      </c>
      <c r="F1180" s="1" t="n">
        <v>23.28</v>
      </c>
      <c r="G1180" s="1" t="n">
        <v>3</v>
      </c>
      <c r="H1180" s="1" t="n">
        <v>17</v>
      </c>
      <c r="I1180" s="1" t="n">
        <v>3.36</v>
      </c>
      <c r="J1180" t="n">
        <v>27513010</v>
      </c>
    </row>
    <row r="1181" ht="15.75" customHeight="1" s="201">
      <c r="A1181" s="1" t="inlineStr">
        <is>
          <t>Beef, round, eye of round roast, boneless, separable lean only, trimmed to 0" fat, all grades, cooked, roasted</t>
        </is>
      </c>
      <c r="C1181" s="1" t="n">
        <v>0</v>
      </c>
      <c r="D1181" s="1" t="n">
        <v>5</v>
      </c>
      <c r="E1181" s="1" t="n">
        <v>1.84</v>
      </c>
      <c r="F1181" s="1" t="n">
        <v>29.85</v>
      </c>
      <c r="G1181" s="1" t="n">
        <v>3.9</v>
      </c>
      <c r="H1181" s="1" t="n">
        <v>5</v>
      </c>
      <c r="I1181" s="1" t="n">
        <v>4.33</v>
      </c>
      <c r="J1181" t="n">
        <v>28110510</v>
      </c>
    </row>
    <row r="1182" ht="15.75" customHeight="1" s="201">
      <c r="A1182" s="1" t="inlineStr">
        <is>
          <t>Beef, round, eye of round roast, boneless, separable lean only, trimmed to 0" fat, all grades, raw</t>
        </is>
      </c>
      <c r="C1182" s="1" t="n">
        <v>0</v>
      </c>
      <c r="D1182" s="1" t="n">
        <v>4</v>
      </c>
      <c r="E1182" s="1" t="n">
        <v>1.45</v>
      </c>
      <c r="F1182" s="1" t="n">
        <v>23.37</v>
      </c>
      <c r="G1182" s="1" t="n">
        <v>3.04</v>
      </c>
      <c r="H1182" s="1" t="n">
        <v>4</v>
      </c>
      <c r="I1182" s="1" t="n">
        <v>3.42</v>
      </c>
      <c r="J1182" t="n">
        <v>27513010</v>
      </c>
    </row>
    <row r="1183" ht="15.75" customHeight="1" s="201">
      <c r="A1183" s="1" t="inlineStr">
        <is>
          <t>Beef, round, eye of round roast, boneless, separable lean only, trimmed to 0" fat, choice, cooked, roasted</t>
        </is>
      </c>
      <c r="C1183" s="1" t="n">
        <v>0</v>
      </c>
      <c r="D1183" s="1" t="n">
        <v>5</v>
      </c>
      <c r="E1183" s="1" t="n">
        <v>1.86</v>
      </c>
      <c r="F1183" s="1" t="n">
        <v>29.94</v>
      </c>
      <c r="G1183" s="1" t="n">
        <v>4.26</v>
      </c>
      <c r="H1183" s="1" t="n">
        <v>7</v>
      </c>
      <c r="I1183" s="1" t="n">
        <v>4.35</v>
      </c>
      <c r="J1183" t="n">
        <v>28110510</v>
      </c>
    </row>
    <row r="1184" ht="15.75" customHeight="1" s="201">
      <c r="A1184" s="1" t="inlineStr">
        <is>
          <t>Beef, round, eye of round roast, boneless, separable lean only, trimmed to 0" fat, choice, raw</t>
        </is>
      </c>
      <c r="C1184" s="1" t="n">
        <v>0</v>
      </c>
      <c r="D1184" s="1" t="n">
        <v>4</v>
      </c>
      <c r="E1184" s="1" t="n">
        <v>1.47</v>
      </c>
      <c r="F1184" s="1" t="n">
        <v>23.35</v>
      </c>
      <c r="G1184" s="1" t="n">
        <v>3.38</v>
      </c>
      <c r="H1184" s="1" t="n">
        <v>6</v>
      </c>
      <c r="I1184" s="1" t="n">
        <v>3.43</v>
      </c>
      <c r="J1184" t="n">
        <v>27513010</v>
      </c>
    </row>
    <row r="1185" ht="15.75" customHeight="1" s="201">
      <c r="A1185" s="1" t="inlineStr">
        <is>
          <t>Beef, round, eye of round roast, boneless, separable lean only, trimmed to 0" fat, select, cooked, roasted</t>
        </is>
      </c>
      <c r="C1185" s="1" t="n">
        <v>0</v>
      </c>
      <c r="D1185" s="1" t="n">
        <v>5</v>
      </c>
      <c r="E1185" s="1" t="n">
        <v>1.74</v>
      </c>
      <c r="F1185" s="1" t="n">
        <v>29.52</v>
      </c>
      <c r="G1185" s="1" t="n">
        <v>3.43</v>
      </c>
      <c r="H1185" s="1" t="n">
        <v>9</v>
      </c>
      <c r="I1185" s="1" t="n">
        <v>4.28</v>
      </c>
      <c r="J1185" t="n">
        <v>28110510</v>
      </c>
    </row>
    <row r="1186" ht="15.75" customHeight="1" s="201">
      <c r="A1186" s="1" t="inlineStr">
        <is>
          <t>Beef, round, eye of round roast, boneless, separable lean only, trimmed to 0" fat, select, raw</t>
        </is>
      </c>
      <c r="C1186" s="1" t="n">
        <v>0</v>
      </c>
      <c r="D1186" s="1" t="n">
        <v>4</v>
      </c>
      <c r="E1186" s="1" t="n">
        <v>1.37</v>
      </c>
      <c r="F1186" s="1" t="n">
        <v>23.41</v>
      </c>
      <c r="G1186" s="1" t="n">
        <v>2.52</v>
      </c>
      <c r="H1186" s="1" t="n">
        <v>7</v>
      </c>
      <c r="I1186" s="1" t="n">
        <v>3.38</v>
      </c>
      <c r="J1186" t="n">
        <v>27513010</v>
      </c>
    </row>
    <row r="1187" ht="15.75" customHeight="1" s="201">
      <c r="A1187" s="1" t="inlineStr">
        <is>
          <t>Beef, round, eye of round steak, boneless separable lean and fat, trimmed to 0" fat, choice, raw</t>
        </is>
      </c>
      <c r="C1187" s="1" t="n">
        <v>0</v>
      </c>
      <c r="D1187" s="1" t="n">
        <v>4</v>
      </c>
      <c r="E1187" s="1" t="n">
        <v>1.47</v>
      </c>
      <c r="F1187" s="1" t="n">
        <v>23.24</v>
      </c>
      <c r="G1187" s="1" t="n">
        <v>3.83</v>
      </c>
      <c r="H1187" s="1" t="n">
        <v>11</v>
      </c>
      <c r="I1187" s="1" t="n">
        <v>3.41</v>
      </c>
      <c r="J1187" t="n">
        <v>28110510</v>
      </c>
    </row>
    <row r="1188" ht="15.75" customHeight="1" s="201">
      <c r="A1188" s="1" t="inlineStr">
        <is>
          <t>Beef, round, eye of round steak, boneless, separable lean and fat, trimmed to 0" fat, all grades, cooked, grilled</t>
        </is>
      </c>
      <c r="C1188" s="1" t="n">
        <v>0</v>
      </c>
      <c r="D1188" s="1" t="n">
        <v>5</v>
      </c>
      <c r="E1188" s="1" t="n">
        <v>1.88</v>
      </c>
      <c r="F1188" s="1" t="n">
        <v>29.66</v>
      </c>
      <c r="G1188" s="1" t="n">
        <v>4.47</v>
      </c>
      <c r="H1188" s="1" t="n">
        <v>14</v>
      </c>
      <c r="I1188" s="1" t="n">
        <v>4.41</v>
      </c>
      <c r="J1188" t="n">
        <v>28110510</v>
      </c>
    </row>
    <row r="1189" ht="15.75" customHeight="1" s="201">
      <c r="A1189" s="1" t="inlineStr">
        <is>
          <t>Beef, round, eye of round steak, boneless, separable lean and fat, trimmed to 0" fat, all grades, raw</t>
        </is>
      </c>
      <c r="C1189" s="1" t="n">
        <v>0</v>
      </c>
      <c r="D1189" s="1" t="n">
        <v>4</v>
      </c>
      <c r="E1189" s="1" t="n">
        <v>1.45</v>
      </c>
      <c r="F1189" s="1" t="n">
        <v>23.26</v>
      </c>
      <c r="G1189" s="1" t="n">
        <v>3.48</v>
      </c>
      <c r="H1189" s="1" t="n">
        <v>11</v>
      </c>
      <c r="I1189" s="1" t="n">
        <v>3.39</v>
      </c>
      <c r="J1189" t="n">
        <v>28110510</v>
      </c>
    </row>
    <row r="1190" ht="15.75" customHeight="1" s="201">
      <c r="A1190" s="1" t="inlineStr">
        <is>
          <t>Beef, round, eye of round steak, boneless, separable lean and fat, trimmed to 0" fat, choice, cooked, grilled</t>
        </is>
      </c>
      <c r="C1190" s="1" t="n">
        <v>0</v>
      </c>
      <c r="D1190" s="1" t="n">
        <v>5</v>
      </c>
      <c r="E1190" s="1" t="n">
        <v>1.91</v>
      </c>
      <c r="F1190" s="1" t="n">
        <v>29.79</v>
      </c>
      <c r="G1190" s="1" t="n">
        <v>4.83</v>
      </c>
      <c r="H1190" s="1" t="n">
        <v>14</v>
      </c>
      <c r="I1190" s="1" t="n">
        <v>4.43</v>
      </c>
      <c r="J1190" t="n">
        <v>28110510</v>
      </c>
    </row>
    <row r="1191" ht="15.75" customHeight="1" s="201">
      <c r="A1191" s="1" t="inlineStr">
        <is>
          <t>Beef, round, eye of round steak, boneless, separable lean and fat, trimmed to 0" fat, select, cooked, grilled</t>
        </is>
      </c>
      <c r="C1191" s="1" t="n">
        <v>0</v>
      </c>
      <c r="D1191" s="1" t="n">
        <v>5</v>
      </c>
      <c r="E1191" s="1" t="n">
        <v>1.78</v>
      </c>
      <c r="F1191" s="1" t="n">
        <v>29.47</v>
      </c>
      <c r="G1191" s="1" t="n">
        <v>3.98</v>
      </c>
      <c r="H1191" s="1" t="n">
        <v>22</v>
      </c>
      <c r="I1191" s="1" t="n">
        <v>4.36</v>
      </c>
      <c r="J1191" t="n">
        <v>28110510</v>
      </c>
    </row>
    <row r="1192" ht="15.75" customHeight="1" s="201">
      <c r="A1192" s="1" t="inlineStr">
        <is>
          <t>Beef, round, eye of round steak, boneless, separable lean and fat, trimmed to 0" fat, select, raw</t>
        </is>
      </c>
      <c r="C1192" s="1" t="n">
        <v>0</v>
      </c>
      <c r="D1192" s="1" t="n">
        <v>4</v>
      </c>
      <c r="E1192" s="1" t="n">
        <v>1.37</v>
      </c>
      <c r="F1192" s="1" t="n">
        <v>23.3</v>
      </c>
      <c r="G1192" s="1" t="n">
        <v>2.95</v>
      </c>
      <c r="H1192" s="1" t="n">
        <v>17</v>
      </c>
      <c r="I1192" s="1" t="n">
        <v>3.36</v>
      </c>
      <c r="J1192" t="n">
        <v>28110510</v>
      </c>
    </row>
    <row r="1193" ht="15.75" customHeight="1" s="201">
      <c r="A1193" s="1" t="inlineStr">
        <is>
          <t>Beef, round, eye of round steak, boneless, separable lean only, trimmed to 0" fat, all grades, cooked, grilled</t>
        </is>
      </c>
      <c r="C1193" s="1" t="n">
        <v>0</v>
      </c>
      <c r="D1193" s="1" t="n">
        <v>5</v>
      </c>
      <c r="E1193" s="1" t="n">
        <v>1.88</v>
      </c>
      <c r="F1193" s="1" t="n">
        <v>29.85</v>
      </c>
      <c r="G1193" s="1" t="n">
        <v>3.9</v>
      </c>
      <c r="H1193" s="1" t="n">
        <v>8</v>
      </c>
      <c r="I1193" s="1" t="n">
        <v>4.44</v>
      </c>
      <c r="J1193" t="n">
        <v>28110510</v>
      </c>
    </row>
    <row r="1194" ht="15.75" customHeight="1" s="201">
      <c r="A1194" s="1" t="inlineStr">
        <is>
          <t>Beef, round, eye of round steak, boneless, separable lean only, trimmed to 0" fat, all grades, raw</t>
        </is>
      </c>
      <c r="C1194" s="1" t="n">
        <v>0</v>
      </c>
      <c r="D1194" s="1" t="n">
        <v>4</v>
      </c>
      <c r="E1194" s="1" t="n">
        <v>1.45</v>
      </c>
      <c r="F1194" s="1" t="n">
        <v>23.37</v>
      </c>
      <c r="G1194" s="1" t="n">
        <v>3.04</v>
      </c>
      <c r="H1194" s="1" t="n">
        <v>6</v>
      </c>
      <c r="I1194" s="1" t="n">
        <v>3.42</v>
      </c>
      <c r="J1194" t="n">
        <v>28110510</v>
      </c>
    </row>
    <row r="1195" ht="15.75" customHeight="1" s="201">
      <c r="A1195" s="1" t="inlineStr">
        <is>
          <t>Beef, round, eye of round steak, boneless, separable lean only, trimmed to 0" fat, choice, cooked, grilled</t>
        </is>
      </c>
      <c r="C1195" s="1" t="n">
        <v>0</v>
      </c>
      <c r="D1195" s="1" t="n">
        <v>5</v>
      </c>
      <c r="E1195" s="1" t="n">
        <v>1.91</v>
      </c>
      <c r="F1195" s="1" t="n">
        <v>29.94</v>
      </c>
      <c r="G1195" s="1" t="n">
        <v>4.26</v>
      </c>
      <c r="H1195" s="1" t="n">
        <v>7</v>
      </c>
      <c r="I1195" s="1" t="n">
        <v>4.46</v>
      </c>
      <c r="J1195" t="n">
        <v>28110510</v>
      </c>
    </row>
    <row r="1196" ht="15.75" customHeight="1" s="201">
      <c r="A1196" s="1" t="inlineStr">
        <is>
          <t>Beef, round, eye of round steak, boneless, separable lean only, trimmed to 0" fat, choice, raw</t>
        </is>
      </c>
      <c r="C1196" s="1" t="n">
        <v>0</v>
      </c>
      <c r="D1196" s="1" t="n">
        <v>4</v>
      </c>
      <c r="E1196" s="1" t="n">
        <v>1.47</v>
      </c>
      <c r="F1196" s="1" t="n">
        <v>23.35</v>
      </c>
      <c r="G1196" s="1" t="n">
        <v>3.38</v>
      </c>
      <c r="H1196" s="1" t="n">
        <v>6</v>
      </c>
      <c r="I1196" s="1" t="n">
        <v>3.43</v>
      </c>
      <c r="J1196" t="n">
        <v>28110510</v>
      </c>
    </row>
    <row r="1197" ht="15.75" customHeight="1" s="201">
      <c r="A1197" s="1" t="inlineStr">
        <is>
          <t>Beef, round, eye of round steak, boneless, separable lean only, trimmed to 0" fat, select, cooked, grilled</t>
        </is>
      </c>
      <c r="C1197" s="1" t="n">
        <v>0</v>
      </c>
      <c r="D1197" s="1" t="n">
        <v>5</v>
      </c>
      <c r="E1197" s="1" t="n">
        <v>1.78</v>
      </c>
      <c r="F1197" s="1" t="n">
        <v>29.52</v>
      </c>
      <c r="G1197" s="1" t="n">
        <v>3.43</v>
      </c>
      <c r="H1197" s="1" t="n">
        <v>9</v>
      </c>
      <c r="I1197" s="1" t="n">
        <v>4.39</v>
      </c>
      <c r="J1197" t="n">
        <v>28110510</v>
      </c>
    </row>
    <row r="1198" ht="15.75" customHeight="1" s="201">
      <c r="A1198" s="1" t="inlineStr">
        <is>
          <t>Beef, round, eye of round steak, boneless, separable lean only, trimmed to 0" fat, select, raw</t>
        </is>
      </c>
      <c r="C1198" s="1" t="n">
        <v>0</v>
      </c>
      <c r="D1198" s="1" t="n">
        <v>4</v>
      </c>
      <c r="E1198" s="1" t="n">
        <v>1.37</v>
      </c>
      <c r="F1198" s="1" t="n">
        <v>23.41</v>
      </c>
      <c r="G1198" s="1" t="n">
        <v>2.52</v>
      </c>
      <c r="H1198" s="1" t="n">
        <v>7</v>
      </c>
      <c r="I1198" s="1" t="n">
        <v>3.38</v>
      </c>
      <c r="J1198" t="n">
        <v>28110510</v>
      </c>
    </row>
    <row r="1199" ht="15.75" customHeight="1" s="201">
      <c r="A1199" s="1" t="inlineStr">
        <is>
          <t>Beef, round, eye of round, roast, separable lean and fat, trimmed to 1/8" fat, all grades, cooked, roasted</t>
        </is>
      </c>
      <c r="C1199" s="1" t="n">
        <v>0</v>
      </c>
      <c r="D1199" s="1" t="n">
        <v>9</v>
      </c>
      <c r="E1199" s="1" t="n">
        <v>2.29</v>
      </c>
      <c r="F1199" s="1" t="n">
        <v>28.31</v>
      </c>
      <c r="G1199" s="1" t="n">
        <v>9.65</v>
      </c>
      <c r="H1199" s="1" t="n">
        <v>0</v>
      </c>
      <c r="I1199" s="1" t="n">
        <v>4.7</v>
      </c>
      <c r="J1199" t="n">
        <v>28110510</v>
      </c>
    </row>
    <row r="1200" ht="15.75" customHeight="1" s="201">
      <c r="A1200" s="1" t="inlineStr">
        <is>
          <t>Beef, round, eye of round, roast, separable lean and fat, trimmed to 1/8" fat, all grades, raw</t>
        </is>
      </c>
      <c r="C1200" s="1" t="n">
        <v>0</v>
      </c>
      <c r="D1200" s="1" t="n">
        <v>12</v>
      </c>
      <c r="E1200" s="1" t="n">
        <v>1.81</v>
      </c>
      <c r="F1200" s="1" t="n">
        <v>21.49</v>
      </c>
      <c r="G1200" s="1" t="n">
        <v>8.24</v>
      </c>
      <c r="H1200" s="1" t="n">
        <v>0</v>
      </c>
      <c r="I1200" s="1" t="n">
        <v>3.98</v>
      </c>
      <c r="J1200" t="n">
        <v>27513010</v>
      </c>
    </row>
    <row r="1201" ht="15.75" customHeight="1" s="201">
      <c r="A1201" s="1" t="inlineStr">
        <is>
          <t>Beef, round, eye of round, roast, separable lean and fat, trimmed to 1/8" fat, choice, cooked, roasted</t>
        </is>
      </c>
      <c r="C1201" s="1" t="n">
        <v>0</v>
      </c>
      <c r="D1201" s="1" t="n">
        <v>9</v>
      </c>
      <c r="E1201" s="1" t="n">
        <v>2.33</v>
      </c>
      <c r="F1201" s="1" t="n">
        <v>28.48</v>
      </c>
      <c r="G1201" s="1" t="n">
        <v>10.05</v>
      </c>
      <c r="H1201" s="1" t="n">
        <v>0</v>
      </c>
      <c r="I1201" s="1" t="n">
        <v>4.65</v>
      </c>
      <c r="J1201" t="n">
        <v>28110510</v>
      </c>
    </row>
    <row r="1202" ht="15.75" customHeight="1" s="201">
      <c r="A1202" s="1" t="inlineStr">
        <is>
          <t>Beef, round, eye of round, roast, separable lean and fat, trimmed to 1/8" fat, choice, raw</t>
        </is>
      </c>
      <c r="C1202" s="1" t="n">
        <v>0</v>
      </c>
      <c r="D1202" s="1" t="n">
        <v>12</v>
      </c>
      <c r="E1202" s="1" t="n">
        <v>1.92</v>
      </c>
      <c r="F1202" s="1" t="n">
        <v>21.68</v>
      </c>
      <c r="G1202" s="1" t="n">
        <v>8.91</v>
      </c>
      <c r="H1202" s="1" t="n">
        <v>0</v>
      </c>
      <c r="I1202" s="1" t="n">
        <v>3.97</v>
      </c>
      <c r="J1202" t="n">
        <v>27513010</v>
      </c>
    </row>
    <row r="1203" ht="15.75" customHeight="1" s="201">
      <c r="A1203" s="1" t="inlineStr">
        <is>
          <t>Beef, round, eye of round, roast, separable lean and fat, trimmed to 1/8" fat, select, cooked, roasted</t>
        </is>
      </c>
      <c r="C1203" s="1" t="n">
        <v>0</v>
      </c>
      <c r="D1203" s="1" t="n">
        <v>9</v>
      </c>
      <c r="E1203" s="1" t="n">
        <v>2.24</v>
      </c>
      <c r="F1203" s="1" t="n">
        <v>28.13</v>
      </c>
      <c r="G1203" s="1" t="n">
        <v>9.26</v>
      </c>
      <c r="H1203" s="1" t="n">
        <v>0</v>
      </c>
      <c r="I1203" s="1" t="n">
        <v>4.74</v>
      </c>
      <c r="J1203" t="n">
        <v>28110510</v>
      </c>
    </row>
    <row r="1204" ht="15.75" customHeight="1" s="201">
      <c r="A1204" s="1" t="inlineStr">
        <is>
          <t>Beef, round, eye of round, roast, separable lean and fat, trimmed to 1/8" fat, select, raw</t>
        </is>
      </c>
      <c r="C1204" s="1" t="n">
        <v>0.08</v>
      </c>
      <c r="D1204" s="1" t="n">
        <v>11</v>
      </c>
      <c r="E1204" s="1" t="n">
        <v>1.69</v>
      </c>
      <c r="F1204" s="1" t="n">
        <v>21.3</v>
      </c>
      <c r="G1204" s="1" t="n">
        <v>7.57</v>
      </c>
      <c r="H1204" s="1" t="n">
        <v>0</v>
      </c>
      <c r="I1204" s="1" t="n">
        <v>3.98</v>
      </c>
      <c r="J1204" t="n">
        <v>27513010</v>
      </c>
    </row>
    <row r="1205" ht="15.75" customHeight="1" s="201">
      <c r="A1205" s="1" t="inlineStr">
        <is>
          <t>Beef, round, eye of round, roast, separable lean only, trimmed to 1/8" fat, all grades, cooked, roasted</t>
        </is>
      </c>
      <c r="C1205" s="1" t="n">
        <v>0</v>
      </c>
      <c r="D1205" s="1" t="n">
        <v>10</v>
      </c>
      <c r="E1205" s="1" t="n">
        <v>2.46</v>
      </c>
      <c r="F1205" s="1" t="n">
        <v>29.73</v>
      </c>
      <c r="G1205" s="1" t="n">
        <v>4.71</v>
      </c>
      <c r="H1205" s="1" t="n">
        <v>0</v>
      </c>
      <c r="I1205" s="1" t="n">
        <v>5.06</v>
      </c>
      <c r="J1205" t="n">
        <v>28110510</v>
      </c>
    </row>
    <row r="1206" ht="15.75" customHeight="1" s="201">
      <c r="A1206" s="1" t="inlineStr">
        <is>
          <t>Beef, round, eye of round, roast, separable lean only, trimmed to 1/8" fat, all grades, raw</t>
        </is>
      </c>
      <c r="C1206" s="1" t="n">
        <v>0</v>
      </c>
      <c r="D1206" s="1" t="n">
        <v>13</v>
      </c>
      <c r="E1206" s="1" t="n">
        <v>1.96</v>
      </c>
      <c r="F1206" s="1" t="n">
        <v>22.6</v>
      </c>
      <c r="G1206" s="1" t="n">
        <v>3</v>
      </c>
      <c r="H1206" s="1" t="n">
        <v>0</v>
      </c>
      <c r="I1206" s="1" t="n">
        <v>4.3</v>
      </c>
      <c r="J1206" t="n">
        <v>27513010</v>
      </c>
    </row>
    <row r="1207" ht="15.75" customHeight="1" s="201">
      <c r="A1207" s="1" t="inlineStr">
        <is>
          <t>Beef, round, eye of round, roast, separable lean only, trimmed to 1/8" fat, choice, cooked, roasted</t>
        </is>
      </c>
      <c r="C1207" s="1" t="n">
        <v>0</v>
      </c>
      <c r="D1207" s="1" t="n">
        <v>10</v>
      </c>
      <c r="E1207" s="1" t="n">
        <v>2.61</v>
      </c>
      <c r="F1207" s="1" t="n">
        <v>29.87</v>
      </c>
      <c r="G1207" s="1" t="n">
        <v>5.3</v>
      </c>
      <c r="H1207" s="1" t="n">
        <v>0</v>
      </c>
      <c r="I1207" s="1" t="n">
        <v>5.16</v>
      </c>
      <c r="J1207" t="n">
        <v>28110510</v>
      </c>
    </row>
    <row r="1208" ht="15.75" customHeight="1" s="201">
      <c r="A1208" s="1" t="inlineStr">
        <is>
          <t>Beef, round, eye of round, roast, separable lean only, trimmed to 1/8" fat, choice, raw</t>
        </is>
      </c>
      <c r="C1208" s="1" t="n">
        <v>0</v>
      </c>
      <c r="D1208" s="1" t="n">
        <v>14</v>
      </c>
      <c r="E1208" s="1" t="n">
        <v>2.12</v>
      </c>
      <c r="F1208" s="1" t="n">
        <v>22.88</v>
      </c>
      <c r="G1208" s="1" t="n">
        <v>3.38</v>
      </c>
      <c r="H1208" s="1" t="n">
        <v>0</v>
      </c>
      <c r="I1208" s="1" t="n">
        <v>4.28</v>
      </c>
      <c r="J1208" t="n">
        <v>27513010</v>
      </c>
    </row>
    <row r="1209" ht="15.75" customHeight="1" s="201">
      <c r="A1209" s="1" t="inlineStr">
        <is>
          <t>Beef, round, eye of round, roast, separable lean only, trimmed to 1/8" fat, select, cooked, roasted</t>
        </is>
      </c>
      <c r="C1209" s="1" t="n">
        <v>0</v>
      </c>
      <c r="D1209" s="1" t="n">
        <v>10</v>
      </c>
      <c r="E1209" s="1" t="n">
        <v>2.42</v>
      </c>
      <c r="F1209" s="1" t="n">
        <v>29.59</v>
      </c>
      <c r="G1209" s="1" t="n">
        <v>4.11</v>
      </c>
      <c r="H1209" s="1" t="n">
        <v>0</v>
      </c>
      <c r="I1209" s="1" t="n">
        <v>5.06</v>
      </c>
      <c r="J1209" t="n">
        <v>28110510</v>
      </c>
    </row>
    <row r="1210" ht="15.75" customHeight="1" s="201">
      <c r="A1210" s="1" t="inlineStr">
        <is>
          <t>Beef, round, eye of round, roast, separable lean only, trimmed to 1/8" fat, select, raw</t>
        </is>
      </c>
      <c r="C1210" s="1" t="n">
        <v>0</v>
      </c>
      <c r="D1210" s="1" t="n">
        <v>13</v>
      </c>
      <c r="E1210" s="1" t="n">
        <v>1.92</v>
      </c>
      <c r="F1210" s="1" t="n">
        <v>22.31</v>
      </c>
      <c r="G1210" s="1" t="n">
        <v>2.62</v>
      </c>
      <c r="H1210" s="1" t="n">
        <v>0</v>
      </c>
      <c r="I1210" s="1" t="n">
        <v>4.46</v>
      </c>
      <c r="J1210" t="n">
        <v>27513010</v>
      </c>
    </row>
    <row r="1211" ht="15.75" customHeight="1" s="201">
      <c r="A1211" s="1" t="inlineStr">
        <is>
          <t>Beef, round, full cut, separable lean and fat, trimmed to 1/8" fat, choice, cooked, broiled</t>
        </is>
      </c>
      <c r="C1211" s="1" t="n">
        <v>0</v>
      </c>
      <c r="D1211" s="1" t="n">
        <v>9</v>
      </c>
      <c r="E1211" s="1" t="n">
        <v>2.55</v>
      </c>
      <c r="F1211" s="1" t="n">
        <v>27.54</v>
      </c>
      <c r="G1211" s="1" t="n">
        <v>12.98</v>
      </c>
      <c r="H1211" s="1" t="n">
        <v>0</v>
      </c>
      <c r="I1211" s="1" t="n">
        <v>4.35</v>
      </c>
      <c r="J1211" t="n">
        <v>28110510</v>
      </c>
    </row>
    <row r="1212" ht="15.75" customHeight="1" s="201">
      <c r="A1212" s="1" t="inlineStr">
        <is>
          <t>Beef, round, full cut, separable lean and fat, trimmed to 1/8" fat, choice, raw</t>
        </is>
      </c>
      <c r="C1212" s="1" t="n">
        <v>0</v>
      </c>
      <c r="D1212" s="1" t="n">
        <v>8</v>
      </c>
      <c r="E1212" s="1" t="n">
        <v>1.99</v>
      </c>
      <c r="F1212" s="1" t="n">
        <v>20.56</v>
      </c>
      <c r="G1212" s="1" t="n">
        <v>11.92</v>
      </c>
      <c r="H1212" s="1" t="n">
        <v>0</v>
      </c>
      <c r="I1212" s="1" t="n">
        <v>3.24</v>
      </c>
      <c r="J1212" t="n">
        <v>28110510</v>
      </c>
    </row>
    <row r="1213" ht="15.75" customHeight="1" s="201">
      <c r="A1213" s="1" t="inlineStr">
        <is>
          <t>Beef, round, full cut, separable lean and fat, trimmed to 1/8" fat, select, cooked, broiled</t>
        </is>
      </c>
      <c r="C1213" s="1" t="n">
        <v>0</v>
      </c>
      <c r="D1213" s="1" t="n">
        <v>9</v>
      </c>
      <c r="E1213" s="1" t="n">
        <v>2.56</v>
      </c>
      <c r="F1213" s="1" t="n">
        <v>27.58</v>
      </c>
      <c r="G1213" s="1" t="n">
        <v>11.08</v>
      </c>
      <c r="H1213" s="1" t="n">
        <v>0</v>
      </c>
      <c r="I1213" s="1" t="n">
        <v>4.36</v>
      </c>
      <c r="J1213" t="n">
        <v>28110510</v>
      </c>
    </row>
    <row r="1214" ht="15.75" customHeight="1" s="201">
      <c r="A1214" s="1" t="inlineStr">
        <is>
          <t>Beef, round, full cut, separable lean and fat, trimmed to 1/8" fat, select, raw</t>
        </is>
      </c>
      <c r="C1214" s="1" t="n">
        <v>0</v>
      </c>
      <c r="D1214" s="1" t="n">
        <v>8</v>
      </c>
      <c r="E1214" s="1" t="n">
        <v>2</v>
      </c>
      <c r="F1214" s="1" t="n">
        <v>20.56</v>
      </c>
      <c r="G1214" s="1" t="n">
        <v>10.68</v>
      </c>
      <c r="H1214" s="1" t="n">
        <v>0</v>
      </c>
      <c r="I1214" s="1" t="n">
        <v>3.24</v>
      </c>
      <c r="J1214" t="n">
        <v>28110510</v>
      </c>
    </row>
    <row r="1215" ht="15.75" customHeight="1" s="201">
      <c r="A1215" s="1" t="inlineStr">
        <is>
          <t>Beef, round, full cut, separable lean only, trimmed to 1/4" fat, choice, cooked, broiled</t>
        </is>
      </c>
      <c r="C1215" s="1" t="n">
        <v>0</v>
      </c>
      <c r="D1215" s="1" t="n">
        <v>10</v>
      </c>
      <c r="E1215" s="1" t="n">
        <v>2.7</v>
      </c>
      <c r="F1215" s="1" t="n">
        <v>29.21</v>
      </c>
      <c r="G1215" s="1" t="n">
        <v>7.31</v>
      </c>
      <c r="H1215" s="1" t="n">
        <v>0</v>
      </c>
      <c r="I1215" s="1" t="n">
        <v>4.64</v>
      </c>
      <c r="J1215" t="n">
        <v>28110510</v>
      </c>
    </row>
    <row r="1216" ht="15.75" customHeight="1" s="201">
      <c r="A1216" s="1" t="inlineStr">
        <is>
          <t>Beef, round, full cut, separable lean only, trimmed to 1/4" fat, select, cooked, broiled</t>
        </is>
      </c>
      <c r="C1216" s="1" t="n">
        <v>0</v>
      </c>
      <c r="D1216" s="1" t="n">
        <v>10</v>
      </c>
      <c r="E1216" s="1" t="n">
        <v>2.71</v>
      </c>
      <c r="F1216" s="1" t="n">
        <v>29.25</v>
      </c>
      <c r="G1216" s="1" t="n">
        <v>5.22</v>
      </c>
      <c r="H1216" s="1" t="n">
        <v>0</v>
      </c>
      <c r="I1216" s="1" t="n">
        <v>4.66</v>
      </c>
      <c r="J1216" t="n">
        <v>28110510</v>
      </c>
    </row>
    <row r="1217" ht="15.75" customHeight="1" s="201">
      <c r="A1217" s="1" t="inlineStr">
        <is>
          <t>Beef, round, knuckle, tip center, steak, separable lean and fat, trimmed to 0" fat, all grades, cooked, grilled</t>
        </is>
      </c>
      <c r="C1217" s="1" t="n">
        <v>0</v>
      </c>
      <c r="D1217" s="1" t="n">
        <v>10</v>
      </c>
      <c r="E1217" s="1" t="n">
        <v>2.51</v>
      </c>
      <c r="F1217" s="1" t="n">
        <v>27.12</v>
      </c>
      <c r="G1217" s="1" t="n">
        <v>6.78</v>
      </c>
      <c r="H1217" s="1" t="n">
        <v>0</v>
      </c>
      <c r="I1217" s="1" t="n">
        <v>6.84</v>
      </c>
      <c r="J1217" t="n">
        <v>28110510</v>
      </c>
    </row>
    <row r="1218" ht="15.75" customHeight="1" s="201">
      <c r="A1218" s="1" t="inlineStr">
        <is>
          <t>Beef, round, knuckle, tip center, steak, separable lean and fat, trimmed to 0" fat, all grades, raw</t>
        </is>
      </c>
      <c r="C1218" s="1" t="n">
        <v>0</v>
      </c>
      <c r="D1218" s="1" t="n">
        <v>11</v>
      </c>
      <c r="E1218" s="1" t="n">
        <v>1.96</v>
      </c>
      <c r="F1218" s="1" t="n">
        <v>20.93</v>
      </c>
      <c r="G1218" s="1" t="n">
        <v>5.89</v>
      </c>
      <c r="H1218" s="1" t="n">
        <v>0</v>
      </c>
      <c r="I1218" s="1" t="n">
        <v>5.32</v>
      </c>
      <c r="J1218" t="n">
        <v>28110510</v>
      </c>
    </row>
    <row r="1219" ht="15.75" customHeight="1" s="201">
      <c r="A1219" s="1" t="inlineStr">
        <is>
          <t>Beef, round, knuckle, tip center, steak, separable lean and fat, trimmed to 0" fat, choice, cooked, grilled</t>
        </is>
      </c>
      <c r="C1219" s="1" t="n">
        <v>0</v>
      </c>
      <c r="D1219" s="1" t="n">
        <v>10</v>
      </c>
      <c r="E1219" s="1" t="n">
        <v>2.51</v>
      </c>
      <c r="F1219" s="1" t="n">
        <v>26.88</v>
      </c>
      <c r="G1219" s="1" t="n">
        <v>8.130000000000001</v>
      </c>
      <c r="H1219" s="1" t="n">
        <v>0</v>
      </c>
      <c r="I1219" s="1" t="n">
        <v>6.56</v>
      </c>
      <c r="J1219" t="n">
        <v>28110510</v>
      </c>
    </row>
    <row r="1220" ht="15.75" customHeight="1" s="201">
      <c r="A1220" s="1" t="inlineStr">
        <is>
          <t>Beef, round, knuckle, tip center, steak, separable lean and fat, trimmed to 0" fat, choice, raw</t>
        </is>
      </c>
      <c r="C1220" s="1" t="n">
        <v>0</v>
      </c>
      <c r="D1220" s="1" t="n">
        <v>11</v>
      </c>
      <c r="E1220" s="1" t="n">
        <v>1.94</v>
      </c>
      <c r="F1220" s="1" t="n">
        <v>20.74</v>
      </c>
      <c r="G1220" s="1" t="n">
        <v>6.85</v>
      </c>
      <c r="H1220" s="1" t="n">
        <v>0</v>
      </c>
      <c r="I1220" s="1" t="n">
        <v>5.15</v>
      </c>
      <c r="J1220" t="n">
        <v>28110510</v>
      </c>
    </row>
    <row r="1221" ht="15.75" customHeight="1" s="201">
      <c r="A1221" s="1" t="inlineStr">
        <is>
          <t>Beef, round, knuckle, tip center, steak, separable lean and fat, trimmed to 0" fat, select, cooked, grilled</t>
        </is>
      </c>
      <c r="C1221" s="1" t="n">
        <v>0</v>
      </c>
      <c r="D1221" s="1" t="n">
        <v>10</v>
      </c>
      <c r="E1221" s="1" t="n">
        <v>2.49</v>
      </c>
      <c r="F1221" s="1" t="n">
        <v>26.61</v>
      </c>
      <c r="G1221" s="1" t="n">
        <v>5.32</v>
      </c>
      <c r="H1221" s="1" t="n">
        <v>0</v>
      </c>
      <c r="I1221" s="1" t="n">
        <v>7.41</v>
      </c>
      <c r="J1221" t="n">
        <v>28110510</v>
      </c>
    </row>
    <row r="1222" ht="15.75" customHeight="1" s="201">
      <c r="A1222" s="1" t="inlineStr">
        <is>
          <t>Beef, round, knuckle, tip center, steak, separable lean and fat, trimmed to 0" fat, select, raw</t>
        </is>
      </c>
      <c r="C1222" s="1" t="n">
        <v>0</v>
      </c>
      <c r="D1222" s="1" t="n">
        <v>11</v>
      </c>
      <c r="E1222" s="1" t="n">
        <v>2.01</v>
      </c>
      <c r="F1222" s="1" t="n">
        <v>20.98</v>
      </c>
      <c r="G1222" s="1" t="n">
        <v>5.21</v>
      </c>
      <c r="H1222" s="1" t="n">
        <v>0</v>
      </c>
      <c r="I1222" s="1" t="n">
        <v>5.65</v>
      </c>
      <c r="J1222" t="n">
        <v>28110510</v>
      </c>
    </row>
    <row r="1223" ht="15.75" customHeight="1" s="201">
      <c r="A1223" s="1" t="inlineStr">
        <is>
          <t>Beef, round, knuckle, tip side, steak, separable lean and fat , trimmed to 0" fat, select, raw</t>
        </is>
      </c>
      <c r="C1223" s="1" t="n">
        <v>0</v>
      </c>
      <c r="D1223" s="1" t="n">
        <v>7</v>
      </c>
      <c r="E1223" s="1" t="n">
        <v>2.38</v>
      </c>
      <c r="F1223" s="1" t="n">
        <v>21.96</v>
      </c>
      <c r="G1223" s="1" t="n">
        <v>3.24</v>
      </c>
      <c r="H1223" s="1" t="n">
        <v>0</v>
      </c>
      <c r="I1223" s="1" t="n">
        <v>5.74</v>
      </c>
      <c r="J1223" t="n">
        <v>28110510</v>
      </c>
    </row>
    <row r="1224" ht="15.75" customHeight="1" s="201">
      <c r="A1224" s="1" t="inlineStr">
        <is>
          <t>Beef, round, knuckle, tip side, steak, separable lean and fat, trimmed to 0" fat, all grades, cooked, grilled</t>
        </is>
      </c>
      <c r="C1224" s="1" t="n">
        <v>0</v>
      </c>
      <c r="D1224" s="1" t="n">
        <v>8</v>
      </c>
      <c r="E1224" s="1" t="n">
        <v>2.77</v>
      </c>
      <c r="F1224" s="1" t="n">
        <v>29.08</v>
      </c>
      <c r="G1224" s="1" t="n">
        <v>4.84</v>
      </c>
      <c r="H1224" s="1" t="n">
        <v>0</v>
      </c>
      <c r="I1224" s="1" t="n">
        <v>7.25</v>
      </c>
      <c r="J1224" t="n">
        <v>28110510</v>
      </c>
    </row>
    <row r="1225" ht="15.75" customHeight="1" s="201">
      <c r="A1225" s="1" t="inlineStr">
        <is>
          <t>Beef, round, knuckle, tip side, steak, separable lean and fat, trimmed to 0" fat, all grades, raw</t>
        </is>
      </c>
      <c r="C1225" s="1" t="n">
        <v>0</v>
      </c>
      <c r="D1225" s="1" t="n">
        <v>7</v>
      </c>
      <c r="E1225" s="1" t="n">
        <v>2.22</v>
      </c>
      <c r="F1225" s="1" t="n">
        <v>21.69</v>
      </c>
      <c r="G1225" s="1" t="n">
        <v>4</v>
      </c>
      <c r="H1225" s="1" t="n">
        <v>0</v>
      </c>
      <c r="I1225" s="1" t="n">
        <v>5.23</v>
      </c>
      <c r="J1225" t="n">
        <v>28110510</v>
      </c>
    </row>
    <row r="1226" ht="15.75" customHeight="1" s="201">
      <c r="A1226" s="1" t="inlineStr">
        <is>
          <t>Beef, round, knuckle, tip side, steak, separable lean and fat, trimmed to 0" fat, choice, cooked, grilled</t>
        </is>
      </c>
      <c r="C1226" s="1" t="n">
        <v>0</v>
      </c>
      <c r="D1226" s="1" t="n">
        <v>8</v>
      </c>
      <c r="E1226" s="1" t="n">
        <v>2.67</v>
      </c>
      <c r="F1226" s="1" t="n">
        <v>28.79</v>
      </c>
      <c r="G1226" s="1" t="n">
        <v>5.71</v>
      </c>
      <c r="H1226" s="1" t="n">
        <v>0</v>
      </c>
      <c r="I1226" s="1" t="n">
        <v>6.84</v>
      </c>
      <c r="J1226" t="n">
        <v>28110510</v>
      </c>
    </row>
    <row r="1227" ht="15.75" customHeight="1" s="201">
      <c r="A1227" s="1" t="inlineStr">
        <is>
          <t>Beef, round, knuckle, tip side, steak, separable lean and fat, trimmed to 0" fat, choice, raw</t>
        </is>
      </c>
      <c r="C1227" s="1" t="n">
        <v>0</v>
      </c>
      <c r="D1227" s="1" t="n">
        <v>7</v>
      </c>
      <c r="E1227" s="1" t="n">
        <v>2.14</v>
      </c>
      <c r="F1227" s="1" t="n">
        <v>21.41</v>
      </c>
      <c r="G1227" s="1" t="n">
        <v>4.66</v>
      </c>
      <c r="H1227" s="1" t="n">
        <v>0</v>
      </c>
      <c r="I1227" s="1" t="n">
        <v>4.97</v>
      </c>
      <c r="J1227" t="n">
        <v>28110510</v>
      </c>
    </row>
    <row r="1228" ht="15.75" customHeight="1" s="201">
      <c r="A1228" s="1" t="inlineStr">
        <is>
          <t>Beef, round, knuckle, tip side, steak, separable lean and fat, trimmed to 0" fat, select, cooked, grilled</t>
        </is>
      </c>
      <c r="C1228" s="1" t="n">
        <v>0</v>
      </c>
      <c r="D1228" s="1" t="n">
        <v>8</v>
      </c>
      <c r="E1228" s="1" t="n">
        <v>2.98</v>
      </c>
      <c r="F1228" s="1" t="n">
        <v>29.24</v>
      </c>
      <c r="G1228" s="1" t="n">
        <v>3.91</v>
      </c>
      <c r="H1228" s="1" t="n">
        <v>0</v>
      </c>
      <c r="I1228" s="1" t="n">
        <v>8.06</v>
      </c>
      <c r="J1228" t="n">
        <v>28110510</v>
      </c>
    </row>
    <row r="1229" ht="15.75" customHeight="1" s="201">
      <c r="A1229" s="1" t="inlineStr">
        <is>
          <t>Beef, round, outside round, bottom round, steak, separable lean and fat, trimmed to 0" fat, all grades, cooked, grilled</t>
        </is>
      </c>
      <c r="C1229" s="1" t="n">
        <v>0</v>
      </c>
      <c r="D1229" s="1" t="n">
        <v>7</v>
      </c>
      <c r="E1229" s="1" t="n">
        <v>2.99</v>
      </c>
      <c r="F1229" s="1" t="n">
        <v>27.52</v>
      </c>
      <c r="G1229" s="1" t="n">
        <v>7.1</v>
      </c>
      <c r="H1229" s="1" t="n">
        <v>0</v>
      </c>
      <c r="I1229" s="1" t="n">
        <v>5.1</v>
      </c>
      <c r="J1229" t="n">
        <v>28110510</v>
      </c>
    </row>
    <row r="1230" ht="15.75" customHeight="1" s="201">
      <c r="A1230" s="1" t="inlineStr">
        <is>
          <t>Beef, round, outside round, bottom round, steak, separable lean and fat, trimmed to 0" fat, all grades, raw</t>
        </is>
      </c>
      <c r="C1230" s="1" t="n">
        <v>0</v>
      </c>
      <c r="D1230" s="1" t="n">
        <v>6</v>
      </c>
      <c r="E1230" s="1" t="n">
        <v>2.53</v>
      </c>
      <c r="F1230" s="1" t="n">
        <v>21.59</v>
      </c>
      <c r="G1230" s="1" t="n">
        <v>5.53</v>
      </c>
      <c r="H1230" s="1" t="n">
        <v>0</v>
      </c>
      <c r="I1230" s="1" t="n">
        <v>3.94</v>
      </c>
      <c r="J1230" t="n">
        <v>28110510</v>
      </c>
    </row>
    <row r="1231" ht="15.75" customHeight="1" s="201">
      <c r="A1231" s="1" t="inlineStr">
        <is>
          <t>Beef, round, outside round, bottom round, steak, separable lean and fat, trimmed to 0" fat, choice, cooked, grilled</t>
        </is>
      </c>
      <c r="C1231" s="1" t="n">
        <v>0</v>
      </c>
      <c r="D1231" s="1" t="n">
        <v>7</v>
      </c>
      <c r="E1231" s="1" t="n">
        <v>2.92</v>
      </c>
      <c r="F1231" s="1" t="n">
        <v>27.22</v>
      </c>
      <c r="G1231" s="1" t="n">
        <v>8.300000000000001</v>
      </c>
      <c r="H1231" s="1" t="n">
        <v>0</v>
      </c>
      <c r="I1231" s="1" t="n">
        <v>4.81</v>
      </c>
      <c r="J1231" t="n">
        <v>28110510</v>
      </c>
    </row>
    <row r="1232" ht="15.75" customHeight="1" s="201">
      <c r="A1232" s="1" t="inlineStr">
        <is>
          <t>Beef, round, outside round, bottom round, steak, separable lean and fat, trimmed to 0" fat, choice, raw</t>
        </is>
      </c>
      <c r="C1232" s="1" t="n">
        <v>0</v>
      </c>
      <c r="D1232" s="1" t="n">
        <v>6</v>
      </c>
      <c r="E1232" s="1" t="n">
        <v>2.34</v>
      </c>
      <c r="F1232" s="1" t="n">
        <v>21.24</v>
      </c>
      <c r="G1232" s="1" t="n">
        <v>6.59</v>
      </c>
      <c r="H1232" s="1" t="n">
        <v>0</v>
      </c>
      <c r="I1232" s="1" t="n">
        <v>3.76</v>
      </c>
      <c r="J1232" t="n">
        <v>28110510</v>
      </c>
    </row>
    <row r="1233" ht="15.75" customHeight="1" s="201">
      <c r="A1233" s="1" t="inlineStr">
        <is>
          <t>Beef, round, outside round, bottom round, steak, separable lean and fat, trimmed to 0" fat, select, cooked, grilled</t>
        </is>
      </c>
      <c r="C1233" s="1" t="n">
        <v>0</v>
      </c>
      <c r="D1233" s="1" t="n">
        <v>8</v>
      </c>
      <c r="E1233" s="1" t="n">
        <v>3.12</v>
      </c>
      <c r="F1233" s="1" t="n">
        <v>28.01</v>
      </c>
      <c r="G1233" s="1" t="n">
        <v>5.17</v>
      </c>
      <c r="H1233" s="1" t="n">
        <v>0</v>
      </c>
      <c r="I1233" s="1" t="n">
        <v>5.68</v>
      </c>
      <c r="J1233" t="n">
        <v>28110510</v>
      </c>
    </row>
    <row r="1234" ht="15.75" customHeight="1" s="201">
      <c r="A1234" s="1" t="inlineStr">
        <is>
          <t>Beef, round, outside round, bottom round, steak, separable lean and fat, trimmed to 0" fat, select, raw</t>
        </is>
      </c>
      <c r="C1234" s="1" t="n">
        <v>0</v>
      </c>
      <c r="D1234" s="1" t="n">
        <v>6</v>
      </c>
      <c r="E1234" s="1" t="n">
        <v>2.91</v>
      </c>
      <c r="F1234" s="1" t="n">
        <v>22.15</v>
      </c>
      <c r="G1234" s="1" t="n">
        <v>3.83</v>
      </c>
      <c r="H1234" s="1" t="n">
        <v>0</v>
      </c>
      <c r="I1234" s="1" t="n">
        <v>4.31</v>
      </c>
      <c r="J1234" t="n">
        <v>28110510</v>
      </c>
    </row>
    <row r="1235" ht="15.75" customHeight="1" s="201">
      <c r="A1235" s="1" t="inlineStr">
        <is>
          <t>Beef, round, tip round, roast, separable lean and fat, trimmed to 0" fat, all grades, cooked, roasted</t>
        </is>
      </c>
      <c r="C1235" s="1" t="n">
        <v>0</v>
      </c>
      <c r="D1235" s="1" t="n">
        <v>8</v>
      </c>
      <c r="E1235" s="1" t="n">
        <v>2.18</v>
      </c>
      <c r="F1235" s="1" t="n">
        <v>26.79</v>
      </c>
      <c r="G1235" s="1" t="n">
        <v>8.210000000000001</v>
      </c>
      <c r="H1235" s="1" t="n">
        <v>0</v>
      </c>
      <c r="I1235" s="1" t="n">
        <v>4.49</v>
      </c>
      <c r="J1235" t="n">
        <v>28110510</v>
      </c>
    </row>
    <row r="1236" ht="15.75" customHeight="1" s="201">
      <c r="A1236" s="1" t="inlineStr">
        <is>
          <t>Beef, round, tip round, roast, separable lean and fat, trimmed to 0" fat, all grades, raw</t>
        </is>
      </c>
      <c r="C1236" s="1" t="n">
        <v>0</v>
      </c>
      <c r="D1236" s="1" t="n">
        <v>11</v>
      </c>
      <c r="E1236" s="1" t="n">
        <v>1.69</v>
      </c>
      <c r="F1236" s="1" t="n">
        <v>20.48</v>
      </c>
      <c r="G1236" s="1" t="n">
        <v>7.01</v>
      </c>
      <c r="H1236" s="1" t="n">
        <v>0</v>
      </c>
      <c r="I1236" s="1" t="n">
        <v>3.72</v>
      </c>
      <c r="J1236" t="n">
        <v>27513010</v>
      </c>
    </row>
    <row r="1237" ht="15.75" customHeight="1" s="201">
      <c r="A1237" s="1" t="inlineStr">
        <is>
          <t>Beef, round, tip round, roast, separable lean and fat, trimmed to 0" fat, choice, cooked, roasted</t>
        </is>
      </c>
      <c r="C1237" s="1" t="n">
        <v>0</v>
      </c>
      <c r="D1237" s="1" t="n">
        <v>8</v>
      </c>
      <c r="E1237" s="1" t="n">
        <v>2.22</v>
      </c>
      <c r="F1237" s="1" t="n">
        <v>27.01</v>
      </c>
      <c r="G1237" s="1" t="n">
        <v>8.9</v>
      </c>
      <c r="H1237" s="1" t="n">
        <v>0</v>
      </c>
      <c r="I1237" s="1" t="n">
        <v>4.44</v>
      </c>
      <c r="J1237" t="n">
        <v>28110510</v>
      </c>
    </row>
    <row r="1238" ht="15.75" customHeight="1" s="201">
      <c r="A1238" s="1" t="inlineStr">
        <is>
          <t>Beef, round, tip round, roast, separable lean and fat, trimmed to 0" fat, choice, raw</t>
        </is>
      </c>
      <c r="C1238" s="1" t="n">
        <v>0</v>
      </c>
      <c r="D1238" s="1" t="n">
        <v>11</v>
      </c>
      <c r="E1238" s="1" t="n">
        <v>1.78</v>
      </c>
      <c r="F1238" s="1" t="n">
        <v>20.16</v>
      </c>
      <c r="G1238" s="1" t="n">
        <v>7.73</v>
      </c>
      <c r="H1238" s="1" t="n">
        <v>0</v>
      </c>
      <c r="I1238" s="1" t="n">
        <v>3.68</v>
      </c>
      <c r="J1238" t="n">
        <v>27513010</v>
      </c>
    </row>
    <row r="1239" ht="15.75" customHeight="1" s="201">
      <c r="A1239" s="1" t="inlineStr">
        <is>
          <t>Beef, round, tip round, roast, separable lean and fat, trimmed to 0" fat, select, cooked, roasted</t>
        </is>
      </c>
      <c r="C1239" s="1" t="n">
        <v>0</v>
      </c>
      <c r="D1239" s="1" t="n">
        <v>8</v>
      </c>
      <c r="E1239" s="1" t="n">
        <v>2.15</v>
      </c>
      <c r="F1239" s="1" t="n">
        <v>26.57</v>
      </c>
      <c r="G1239" s="1" t="n">
        <v>7.53</v>
      </c>
      <c r="H1239" s="1" t="n">
        <v>0</v>
      </c>
      <c r="I1239" s="1" t="n">
        <v>4.53</v>
      </c>
      <c r="J1239" t="n">
        <v>28110510</v>
      </c>
    </row>
    <row r="1240" ht="15.75" customHeight="1" s="201">
      <c r="A1240" s="1" t="inlineStr">
        <is>
          <t>Beef, round, tip round, roast, separable lean and fat, trimmed to 0" fat, select, raw</t>
        </is>
      </c>
      <c r="C1240" s="1" t="n">
        <v>0</v>
      </c>
      <c r="D1240" s="1" t="n">
        <v>11</v>
      </c>
      <c r="E1240" s="1" t="n">
        <v>1.59</v>
      </c>
      <c r="F1240" s="1" t="n">
        <v>20.8</v>
      </c>
      <c r="G1240" s="1" t="n">
        <v>6.28</v>
      </c>
      <c r="H1240" s="1" t="n">
        <v>0</v>
      </c>
      <c r="I1240" s="1" t="n">
        <v>3.75</v>
      </c>
      <c r="J1240" t="n">
        <v>27513010</v>
      </c>
    </row>
    <row r="1241" ht="15.75" customHeight="1" s="201">
      <c r="A1241" s="1" t="inlineStr">
        <is>
          <t>Beef, round, tip round, roast, separable lean and fat, trimmed to 1/8" fat, all grades, cooked, roasted</t>
        </is>
      </c>
      <c r="C1241" s="1" t="n">
        <v>0</v>
      </c>
      <c r="D1241" s="1" t="n">
        <v>8</v>
      </c>
      <c r="E1241" s="1" t="n">
        <v>2.81</v>
      </c>
      <c r="F1241" s="1" t="n">
        <v>27.45</v>
      </c>
      <c r="G1241" s="1" t="n">
        <v>11.34</v>
      </c>
      <c r="H1241" s="1" t="n">
        <v>0</v>
      </c>
      <c r="I1241" s="1" t="n">
        <v>6.67</v>
      </c>
      <c r="J1241" t="n">
        <v>28110510</v>
      </c>
    </row>
    <row r="1242" ht="15.75" customHeight="1" s="201">
      <c r="A1242" s="1" t="inlineStr">
        <is>
          <t>Beef, round, tip round, roast, separable lean and fat, trimmed to 1/8" fat, choice, cooked, roasted</t>
        </is>
      </c>
      <c r="C1242" s="1" t="n">
        <v>0</v>
      </c>
      <c r="D1242" s="1" t="n">
        <v>8</v>
      </c>
      <c r="E1242" s="1" t="n">
        <v>2.79</v>
      </c>
      <c r="F1242" s="1" t="n">
        <v>27.27</v>
      </c>
      <c r="G1242" s="1" t="n">
        <v>12.34</v>
      </c>
      <c r="H1242" s="1" t="n">
        <v>0</v>
      </c>
      <c r="I1242" s="1" t="n">
        <v>6.62</v>
      </c>
      <c r="J1242" t="n">
        <v>28110510</v>
      </c>
    </row>
    <row r="1243" ht="15.75" customHeight="1" s="201">
      <c r="A1243" s="1" t="inlineStr">
        <is>
          <t>Beef, round, tip round, roast, separable lean and fat, trimmed to 1/8" fat, select, cooked, roasted</t>
        </is>
      </c>
      <c r="C1243" s="1" t="n">
        <v>0</v>
      </c>
      <c r="D1243" s="1" t="n">
        <v>8</v>
      </c>
      <c r="E1243" s="1" t="n">
        <v>2.83</v>
      </c>
      <c r="F1243" s="1" t="n">
        <v>27.63</v>
      </c>
      <c r="G1243" s="1" t="n">
        <v>10.24</v>
      </c>
      <c r="H1243" s="1" t="n">
        <v>0</v>
      </c>
      <c r="I1243" s="1" t="n">
        <v>6.73</v>
      </c>
      <c r="J1243" t="n">
        <v>28110510</v>
      </c>
    </row>
    <row r="1244" ht="15.75" customHeight="1" s="201">
      <c r="A1244" s="1" t="inlineStr">
        <is>
          <t>Beef, round, tip round, roast, separable lean only, trimmed to 0" fat, all grades, cooked, roasted</t>
        </is>
      </c>
      <c r="C1244" s="1" t="n">
        <v>0</v>
      </c>
      <c r="D1244" s="1" t="n">
        <v>9</v>
      </c>
      <c r="E1244" s="1" t="n">
        <v>2.3</v>
      </c>
      <c r="F1244" s="1" t="n">
        <v>27.53</v>
      </c>
      <c r="G1244" s="1" t="n">
        <v>6.2</v>
      </c>
      <c r="H1244" s="1" t="n">
        <v>0</v>
      </c>
      <c r="I1244" s="1" t="n">
        <v>4.73</v>
      </c>
      <c r="J1244" t="n">
        <v>28110510</v>
      </c>
    </row>
    <row r="1245" ht="15.75" customHeight="1" s="201">
      <c r="A1245" s="1" t="inlineStr">
        <is>
          <t>Beef, round, tip round, roast, separable lean only, trimmed to 0" fat, all grades, raw</t>
        </is>
      </c>
      <c r="C1245" s="1" t="n">
        <v>0</v>
      </c>
      <c r="D1245" s="1" t="n">
        <v>12</v>
      </c>
      <c r="E1245" s="1" t="n">
        <v>1.77</v>
      </c>
      <c r="F1245" s="1" t="n">
        <v>21.07</v>
      </c>
      <c r="G1245" s="1" t="n">
        <v>3.95</v>
      </c>
      <c r="H1245" s="1" t="n">
        <v>0</v>
      </c>
      <c r="I1245" s="1" t="n">
        <v>3.89</v>
      </c>
      <c r="J1245" t="n">
        <v>27513010</v>
      </c>
    </row>
    <row r="1246" ht="15.75" customHeight="1" s="201">
      <c r="A1246" s="1" t="inlineStr">
        <is>
          <t>Beef, round, tip round, roast, separable lean only, trimmed to 0" fat, choice, cooked, roasted</t>
        </is>
      </c>
      <c r="C1246" s="1" t="n">
        <v>0</v>
      </c>
      <c r="D1246" s="1" t="n">
        <v>9</v>
      </c>
      <c r="E1246" s="1" t="n">
        <v>2.43</v>
      </c>
      <c r="F1246" s="1" t="n">
        <v>27.68</v>
      </c>
      <c r="G1246" s="1" t="n">
        <v>6.42</v>
      </c>
      <c r="H1246" s="1" t="n">
        <v>0</v>
      </c>
      <c r="I1246" s="1" t="n">
        <v>4.81</v>
      </c>
      <c r="J1246" t="n">
        <v>28110510</v>
      </c>
    </row>
    <row r="1247" ht="15.75" customHeight="1" s="201">
      <c r="A1247" s="1" t="inlineStr">
        <is>
          <t>Beef, round, tip round, roast, separable lean only, trimmed to 0" fat, choice, raw</t>
        </is>
      </c>
      <c r="C1247" s="1" t="n">
        <v>0</v>
      </c>
      <c r="D1247" s="1" t="n">
        <v>12</v>
      </c>
      <c r="E1247" s="1" t="n">
        <v>1.92</v>
      </c>
      <c r="F1247" s="1" t="n">
        <v>20.76</v>
      </c>
      <c r="G1247" s="1" t="n">
        <v>4.55</v>
      </c>
      <c r="H1247" s="1" t="n">
        <v>0</v>
      </c>
      <c r="I1247" s="1" t="n">
        <v>3.87</v>
      </c>
      <c r="J1247" t="n">
        <v>27513010</v>
      </c>
    </row>
    <row r="1248" ht="15.75" customHeight="1" s="201">
      <c r="A1248" s="1" t="inlineStr">
        <is>
          <t>Beef, round, tip round, roast, separable lean only, trimmed to 0" fat, select, cooked, roasted</t>
        </is>
      </c>
      <c r="C1248" s="1" t="n">
        <v>0</v>
      </c>
      <c r="D1248" s="1" t="n">
        <v>9</v>
      </c>
      <c r="E1248" s="1" t="n">
        <v>2.26</v>
      </c>
      <c r="F1248" s="1" t="n">
        <v>27.37</v>
      </c>
      <c r="G1248" s="1" t="n">
        <v>4.38</v>
      </c>
      <c r="H1248" s="1" t="n">
        <v>0</v>
      </c>
      <c r="I1248" s="1" t="n">
        <v>4.75</v>
      </c>
      <c r="J1248" t="n">
        <v>28110510</v>
      </c>
    </row>
    <row r="1249" ht="15.75" customHeight="1" s="201">
      <c r="A1249" s="1" t="inlineStr">
        <is>
          <t>Beef, round, tip round, roast, separable lean only, trimmed to 0" fat, select, raw</t>
        </is>
      </c>
      <c r="C1249" s="1" t="n">
        <v>0</v>
      </c>
      <c r="D1249" s="1" t="n">
        <v>12</v>
      </c>
      <c r="E1249" s="1" t="n">
        <v>1.78</v>
      </c>
      <c r="F1249" s="1" t="n">
        <v>21.38</v>
      </c>
      <c r="G1249" s="1" t="n">
        <v>3.35</v>
      </c>
      <c r="H1249" s="1" t="n">
        <v>0</v>
      </c>
      <c r="I1249" s="1" t="n">
        <v>4.13</v>
      </c>
      <c r="J1249" t="n">
        <v>27513010</v>
      </c>
    </row>
    <row r="1250" ht="15.75" customHeight="1" s="201">
      <c r="A1250" s="1" t="inlineStr">
        <is>
          <t>Beef, round, tip round, separable lean and fat, trimmed to 1/8" fat, all grades, raw</t>
        </is>
      </c>
      <c r="C1250" s="1" t="n">
        <v>0</v>
      </c>
      <c r="D1250" s="1" t="n">
        <v>7</v>
      </c>
      <c r="E1250" s="1" t="n">
        <v>2</v>
      </c>
      <c r="F1250" s="1" t="n">
        <v>19.6</v>
      </c>
      <c r="G1250" s="1" t="n">
        <v>11.67</v>
      </c>
      <c r="H1250" s="1" t="n">
        <v>0</v>
      </c>
      <c r="I1250" s="1" t="n">
        <v>4.41</v>
      </c>
      <c r="J1250" t="n">
        <v>28110510</v>
      </c>
    </row>
    <row r="1251" ht="15.75" customHeight="1" s="201">
      <c r="A1251" s="1" t="inlineStr">
        <is>
          <t>Beef, round, tip round, separable lean and fat, trimmed to 1/8" fat, choice, raw</t>
        </is>
      </c>
      <c r="C1251" s="1" t="n">
        <v>0</v>
      </c>
      <c r="D1251" s="1" t="n">
        <v>7</v>
      </c>
      <c r="E1251" s="1" t="n">
        <v>1.99</v>
      </c>
      <c r="F1251" s="1" t="n">
        <v>19.48</v>
      </c>
      <c r="G1251" s="1" t="n">
        <v>12.83</v>
      </c>
      <c r="H1251" s="1" t="n">
        <v>0</v>
      </c>
      <c r="I1251" s="1" t="n">
        <v>4.37</v>
      </c>
      <c r="J1251" t="n">
        <v>28110510</v>
      </c>
    </row>
    <row r="1252" ht="15.75" customHeight="1" s="201">
      <c r="A1252" s="1" t="inlineStr">
        <is>
          <t>Beef, round, tip round, separable lean and fat, trimmed to 1/8" fat, select, raw</t>
        </is>
      </c>
      <c r="C1252" s="1" t="n">
        <v>0</v>
      </c>
      <c r="D1252" s="1" t="n">
        <v>7</v>
      </c>
      <c r="E1252" s="1" t="n">
        <v>2.02</v>
      </c>
      <c r="F1252" s="1" t="n">
        <v>19.74</v>
      </c>
      <c r="G1252" s="1" t="n">
        <v>10.39</v>
      </c>
      <c r="H1252" s="1" t="n">
        <v>0</v>
      </c>
      <c r="I1252" s="1" t="n">
        <v>4.45</v>
      </c>
      <c r="J1252" t="n">
        <v>28110510</v>
      </c>
    </row>
    <row r="1253" ht="15.75" customHeight="1" s="201">
      <c r="A1253" s="1" t="inlineStr">
        <is>
          <t>Beef, round, top round roast, boneless, separable lean and fat, trimmed to 0" fat, all grades, cooked, roasted</t>
        </is>
      </c>
      <c r="C1253" s="1" t="n">
        <v>0</v>
      </c>
      <c r="D1253" s="1" t="n">
        <v>5</v>
      </c>
      <c r="E1253" s="1" t="n">
        <v>2.88</v>
      </c>
      <c r="F1253" s="1" t="n">
        <v>29.9</v>
      </c>
      <c r="G1253" s="1" t="n">
        <v>4.49</v>
      </c>
      <c r="H1253" s="1" t="n">
        <v>14</v>
      </c>
      <c r="I1253" s="1" t="n">
        <v>4.54</v>
      </c>
      <c r="J1253" t="n">
        <v>28110510</v>
      </c>
    </row>
    <row r="1254" ht="15.75" customHeight="1" s="201">
      <c r="A1254" s="1" t="inlineStr">
        <is>
          <t>Beef, round, top round roast, boneless, separable lean and fat, trimmed to 0" fat, all grades, raw</t>
        </is>
      </c>
      <c r="C1254" s="1" t="n">
        <v>0</v>
      </c>
      <c r="D1254" s="1" t="n">
        <v>4</v>
      </c>
      <c r="E1254" s="1" t="n">
        <v>2.33</v>
      </c>
      <c r="F1254" s="1" t="n">
        <v>23.45</v>
      </c>
      <c r="G1254" s="1" t="n">
        <v>3.5</v>
      </c>
      <c r="H1254" s="1" t="n">
        <v>11</v>
      </c>
      <c r="I1254" s="1" t="n">
        <v>3.67</v>
      </c>
      <c r="J1254" t="n">
        <v>27513010</v>
      </c>
    </row>
    <row r="1255" ht="15.75" customHeight="1" s="201">
      <c r="A1255" s="1" t="inlineStr">
        <is>
          <t>Beef, round, top round roast, boneless, separable lean and fat, trimmed to 0" fat, choice, cooked, roasted</t>
        </is>
      </c>
      <c r="C1255" s="1" t="n">
        <v>0</v>
      </c>
      <c r="D1255" s="1" t="n">
        <v>5</v>
      </c>
      <c r="E1255" s="1" t="n">
        <v>2.9</v>
      </c>
      <c r="F1255" s="1" t="n">
        <v>30.08</v>
      </c>
      <c r="G1255" s="1" t="n">
        <v>4.79</v>
      </c>
      <c r="H1255" s="1" t="n">
        <v>13</v>
      </c>
      <c r="I1255" s="1" t="n">
        <v>4.63</v>
      </c>
      <c r="J1255" t="n">
        <v>28110510</v>
      </c>
    </row>
    <row r="1256" ht="15.75" customHeight="1" s="201">
      <c r="A1256" s="1" t="inlineStr">
        <is>
          <t>Beef, round, top round roast, boneless, separable lean and fat, trimmed to 0" fat, choice, raw</t>
        </is>
      </c>
      <c r="C1256" s="1" t="n">
        <v>0</v>
      </c>
      <c r="D1256" s="1" t="n">
        <v>4</v>
      </c>
      <c r="E1256" s="1" t="n">
        <v>2.35</v>
      </c>
      <c r="F1256" s="1" t="n">
        <v>23.46</v>
      </c>
      <c r="G1256" s="1" t="n">
        <v>3.81</v>
      </c>
      <c r="H1256" s="1" t="n">
        <v>11</v>
      </c>
      <c r="I1256" s="1" t="n">
        <v>3.75</v>
      </c>
      <c r="J1256" t="n">
        <v>27513010</v>
      </c>
    </row>
    <row r="1257" ht="15.75" customHeight="1" s="201">
      <c r="A1257" s="1" t="inlineStr">
        <is>
          <t>Beef, round, top round roast, boneless, separable lean and fat, trimmed to 0" fat, select, cooked, roasted</t>
        </is>
      </c>
      <c r="C1257" s="1" t="n">
        <v>0</v>
      </c>
      <c r="D1257" s="1" t="n">
        <v>5</v>
      </c>
      <c r="E1257" s="1" t="n">
        <v>2.88</v>
      </c>
      <c r="F1257" s="1" t="n">
        <v>30.97</v>
      </c>
      <c r="G1257" s="1" t="n">
        <v>3.72</v>
      </c>
      <c r="H1257" s="1" t="n">
        <v>14</v>
      </c>
      <c r="I1257" s="1" t="n">
        <v>4.34</v>
      </c>
      <c r="J1257" t="n">
        <v>28110510</v>
      </c>
    </row>
    <row r="1258" ht="15.75" customHeight="1" s="201">
      <c r="A1258" s="1" t="inlineStr">
        <is>
          <t>Beef, round, top round roast, boneless, separable lean and fat, trimmed to 0" fat, select, raw</t>
        </is>
      </c>
      <c r="C1258" s="1" t="n">
        <v>0</v>
      </c>
      <c r="D1258" s="1" t="n">
        <v>4</v>
      </c>
      <c r="E1258" s="1" t="n">
        <v>2.34</v>
      </c>
      <c r="F1258" s="1" t="n">
        <v>23.44</v>
      </c>
      <c r="G1258" s="1" t="n">
        <v>3.04</v>
      </c>
      <c r="H1258" s="1" t="n">
        <v>12</v>
      </c>
      <c r="I1258" s="1" t="n">
        <v>3.52</v>
      </c>
      <c r="J1258" t="n">
        <v>27513010</v>
      </c>
    </row>
    <row r="1259" ht="15.75" customHeight="1" s="201">
      <c r="A1259" s="1" t="inlineStr">
        <is>
          <t>Beef, round, top round roast, boneless, separable lean only, trimmed to 0" fat, all grades, cooked, roasted</t>
        </is>
      </c>
      <c r="C1259" s="1" t="n">
        <v>0</v>
      </c>
      <c r="D1259" s="1" t="n">
        <v>5</v>
      </c>
      <c r="E1259" s="1" t="n">
        <v>2.89</v>
      </c>
      <c r="F1259" s="1" t="n">
        <v>30.09</v>
      </c>
      <c r="G1259" s="1" t="n">
        <v>3.77</v>
      </c>
      <c r="H1259" s="1" t="n">
        <v>8</v>
      </c>
      <c r="I1259" s="1" t="n">
        <v>4.57</v>
      </c>
      <c r="J1259" t="n">
        <v>28110510</v>
      </c>
    </row>
    <row r="1260" ht="15.75" customHeight="1" s="201">
      <c r="A1260" s="1" t="inlineStr">
        <is>
          <t>Beef, round, top round roast, boneless, separable lean only, trimmed to 0" fat, all grades, raw</t>
        </is>
      </c>
      <c r="C1260" s="1" t="n">
        <v>0</v>
      </c>
      <c r="D1260" s="1" t="n">
        <v>4</v>
      </c>
      <c r="E1260" s="1" t="n">
        <v>2.34</v>
      </c>
      <c r="F1260" s="1" t="n">
        <v>23.59</v>
      </c>
      <c r="G1260" s="1" t="n">
        <v>2.94</v>
      </c>
      <c r="H1260" s="1" t="n">
        <v>6</v>
      </c>
      <c r="I1260" s="1" t="n">
        <v>3.7</v>
      </c>
      <c r="J1260" t="n">
        <v>27513010</v>
      </c>
    </row>
    <row r="1261" ht="15.75" customHeight="1" s="201">
      <c r="A1261" s="1" t="inlineStr">
        <is>
          <t>Beef, round, top round roast, boneless, separable lean only, trimmed to 0" fat, choice, cooked, roasted</t>
        </is>
      </c>
      <c r="C1261" s="1" t="n">
        <v>0.06</v>
      </c>
      <c r="D1261" s="1" t="n">
        <v>5</v>
      </c>
      <c r="E1261" s="1" t="n">
        <v>2.91</v>
      </c>
      <c r="F1261" s="1" t="n">
        <v>30.24</v>
      </c>
      <c r="G1261" s="1" t="n">
        <v>4.11</v>
      </c>
      <c r="H1261" s="1" t="n">
        <v>7</v>
      </c>
      <c r="I1261" s="1" t="n">
        <v>4.67</v>
      </c>
      <c r="J1261" t="n">
        <v>28110510</v>
      </c>
    </row>
    <row r="1262" ht="15.75" customHeight="1" s="201">
      <c r="A1262" s="1" t="inlineStr">
        <is>
          <t>Beef, round, top round roast, boneless, separable lean only, trimmed to 0" fat, choice, raw</t>
        </is>
      </c>
      <c r="C1262" s="1" t="n">
        <v>0</v>
      </c>
      <c r="D1262" s="1" t="n">
        <v>4</v>
      </c>
      <c r="E1262" s="1" t="n">
        <v>2.35</v>
      </c>
      <c r="F1262" s="1" t="n">
        <v>23.59</v>
      </c>
      <c r="G1262" s="1" t="n">
        <v>3.26</v>
      </c>
      <c r="H1262" s="1" t="n">
        <v>6</v>
      </c>
      <c r="I1262" s="1" t="n">
        <v>3.78</v>
      </c>
      <c r="J1262" t="n">
        <v>27513010</v>
      </c>
    </row>
    <row r="1263" ht="15.75" customHeight="1" s="201">
      <c r="A1263" s="1" t="inlineStr">
        <is>
          <t>Beef, round, top round roast, boneless, separable lean only, trimmed to 0" fat, select, cooked, roasted</t>
        </is>
      </c>
      <c r="C1263" s="1" t="n">
        <v>0</v>
      </c>
      <c r="D1263" s="1" t="n">
        <v>5</v>
      </c>
      <c r="E1263" s="1" t="n">
        <v>2.89</v>
      </c>
      <c r="F1263" s="1" t="n">
        <v>29.81</v>
      </c>
      <c r="G1263" s="1" t="n">
        <v>3.37</v>
      </c>
      <c r="H1263" s="1" t="n">
        <v>8</v>
      </c>
      <c r="I1263" s="1" t="n">
        <v>4.37</v>
      </c>
      <c r="J1263" t="n">
        <v>28110510</v>
      </c>
    </row>
    <row r="1264" ht="15.75" customHeight="1" s="201">
      <c r="A1264" s="1" t="inlineStr">
        <is>
          <t>Beef, round, top round roast, boneless, separable lean only, trimmed to 0" fat, select, raw</t>
        </is>
      </c>
      <c r="C1264" s="1" t="n">
        <v>0</v>
      </c>
      <c r="D1264" s="1" t="n">
        <v>4</v>
      </c>
      <c r="E1264" s="1" t="n">
        <v>2.34</v>
      </c>
      <c r="F1264" s="1" t="n">
        <v>23.59</v>
      </c>
      <c r="G1264" s="1" t="n">
        <v>2.45</v>
      </c>
      <c r="H1264" s="1" t="n">
        <v>7</v>
      </c>
      <c r="I1264" s="1" t="n">
        <v>3.54</v>
      </c>
      <c r="J1264" t="n">
        <v>27513010</v>
      </c>
    </row>
    <row r="1265" ht="15.75" customHeight="1" s="201">
      <c r="A1265" s="1" t="inlineStr">
        <is>
          <t>Beef, round, top round steak, boneless, separable lean and fat, trimmed to 0" fat, all grades, cooked, grilled</t>
        </is>
      </c>
      <c r="C1265" s="1" t="n">
        <v>0</v>
      </c>
      <c r="D1265" s="1" t="n">
        <v>5</v>
      </c>
      <c r="E1265" s="1" t="n">
        <v>3.24</v>
      </c>
      <c r="F1265" s="1" t="n">
        <v>29.96</v>
      </c>
      <c r="G1265" s="1" t="n">
        <v>4.28</v>
      </c>
      <c r="H1265" s="1" t="n">
        <v>15</v>
      </c>
      <c r="I1265" s="1" t="n">
        <v>5.12</v>
      </c>
      <c r="J1265" t="n">
        <v>28110510</v>
      </c>
    </row>
    <row r="1266" ht="15.75" customHeight="1" s="201">
      <c r="A1266" s="1" t="inlineStr">
        <is>
          <t>Beef, round, top round steak, boneless, separable lean and fat, trimmed to 0" fat, all grades, raw</t>
        </is>
      </c>
      <c r="C1266" s="1" t="n">
        <v>0</v>
      </c>
      <c r="D1266" s="1" t="n">
        <v>4</v>
      </c>
      <c r="E1266" s="1" t="n">
        <v>2.33</v>
      </c>
      <c r="F1266" s="1" t="n">
        <v>23.49</v>
      </c>
      <c r="G1266" s="1" t="n">
        <v>3.34</v>
      </c>
      <c r="H1266" s="1" t="n">
        <v>11</v>
      </c>
      <c r="I1266" s="1" t="n">
        <v>3.68</v>
      </c>
      <c r="J1266" t="n">
        <v>28110510</v>
      </c>
    </row>
    <row r="1267" ht="15.75" customHeight="1" s="201">
      <c r="A1267" s="1" t="inlineStr">
        <is>
          <t>Beef, round, top round steak, boneless, separable lean and fat, trimmed to 0" fat, choice, cooked, grilled</t>
        </is>
      </c>
      <c r="C1267" s="1" t="n">
        <v>0</v>
      </c>
      <c r="D1267" s="1" t="n">
        <v>5</v>
      </c>
      <c r="E1267" s="1" t="n">
        <v>3.26</v>
      </c>
      <c r="F1267" s="1" t="n">
        <v>30.12</v>
      </c>
      <c r="G1267" s="1" t="n">
        <v>4.62</v>
      </c>
      <c r="H1267" s="1" t="n">
        <v>15</v>
      </c>
      <c r="I1267" s="1" t="n">
        <v>5.22</v>
      </c>
      <c r="J1267" t="n">
        <v>28110510</v>
      </c>
    </row>
    <row r="1268" ht="15.75" customHeight="1" s="201">
      <c r="A1268" s="1" t="inlineStr">
        <is>
          <t>Beef, round, top round steak, boneless, separable lean and fat, trimmed to 0" fat, choice, raw</t>
        </is>
      </c>
      <c r="C1268" s="1" t="n">
        <v>0</v>
      </c>
      <c r="D1268" s="1" t="n">
        <v>4</v>
      </c>
      <c r="E1268" s="1" t="n">
        <v>2.35</v>
      </c>
      <c r="F1268" s="1" t="n">
        <v>23.49</v>
      </c>
      <c r="G1268" s="1" t="n">
        <v>3.66</v>
      </c>
      <c r="H1268" s="1" t="n">
        <v>11</v>
      </c>
      <c r="I1268" s="1" t="n">
        <v>3.76</v>
      </c>
      <c r="J1268" t="n">
        <v>28110510</v>
      </c>
    </row>
    <row r="1269" ht="15.75" customHeight="1" s="201">
      <c r="A1269" s="1" t="inlineStr">
        <is>
          <t>Beef, round, top round steak, boneless, separable lean and fat, trimmed to 0" fat, select, cooked, grilled</t>
        </is>
      </c>
      <c r="C1269" s="1" t="n">
        <v>0</v>
      </c>
      <c r="D1269" s="1" t="n">
        <v>5</v>
      </c>
      <c r="E1269" s="1" t="n">
        <v>3.25</v>
      </c>
      <c r="F1269" s="1" t="n">
        <v>29.7</v>
      </c>
      <c r="G1269" s="1" t="n">
        <v>3.85</v>
      </c>
      <c r="H1269" s="1" t="n">
        <v>16</v>
      </c>
      <c r="I1269" s="1" t="n">
        <v>4.89</v>
      </c>
      <c r="J1269" t="n">
        <v>28110510</v>
      </c>
    </row>
    <row r="1270" ht="15.75" customHeight="1" s="201">
      <c r="A1270" s="1" t="inlineStr">
        <is>
          <t>Beef, round, top round steak, boneless, separable lean and fat, trimmed to 0" fat, select, raw</t>
        </is>
      </c>
      <c r="C1270" s="1" t="n">
        <v>0</v>
      </c>
      <c r="D1270" s="1" t="n">
        <v>4</v>
      </c>
      <c r="E1270" s="1" t="n">
        <v>2.34</v>
      </c>
      <c r="F1270" s="1" t="n">
        <v>23.49</v>
      </c>
      <c r="G1270" s="1" t="n">
        <v>2.85</v>
      </c>
      <c r="H1270" s="1" t="n">
        <v>11</v>
      </c>
      <c r="I1270" s="1" t="n">
        <v>3.52</v>
      </c>
      <c r="J1270" t="n">
        <v>28110510</v>
      </c>
    </row>
    <row r="1271" ht="15.75" customHeight="1" s="201">
      <c r="A1271" s="1" t="inlineStr">
        <is>
          <t>Beef, round, top round steak, boneless, separable lean only, trimmed to 0" fat, all grades, cooked, grilled</t>
        </is>
      </c>
      <c r="C1271" s="1" t="n">
        <v>0</v>
      </c>
      <c r="D1271" s="1" t="n">
        <v>5</v>
      </c>
      <c r="E1271" s="1" t="n">
        <v>3.25</v>
      </c>
      <c r="F1271" s="1" t="n">
        <v>30.09</v>
      </c>
      <c r="G1271" s="1" t="n">
        <v>3.77</v>
      </c>
      <c r="H1271" s="1" t="n">
        <v>9</v>
      </c>
      <c r="I1271" s="1" t="n">
        <v>5.15</v>
      </c>
      <c r="J1271" t="n">
        <v>28110510</v>
      </c>
    </row>
    <row r="1272" ht="15.75" customHeight="1" s="201">
      <c r="A1272" s="1" t="inlineStr">
        <is>
          <t>Beef, round, top round steak, boneless, separable lean only, trimmed to 0" fat, all grades, raw</t>
        </is>
      </c>
      <c r="C1272" s="1" t="n">
        <v>0</v>
      </c>
      <c r="D1272" s="1" t="n">
        <v>4</v>
      </c>
      <c r="E1272" s="1" t="n">
        <v>2.34</v>
      </c>
      <c r="F1272" s="1" t="n">
        <v>23.59</v>
      </c>
      <c r="G1272" s="1" t="n">
        <v>2.94</v>
      </c>
      <c r="H1272" s="1" t="n">
        <v>6</v>
      </c>
      <c r="I1272" s="1" t="n">
        <v>3.7</v>
      </c>
      <c r="J1272" t="n">
        <v>28110510</v>
      </c>
    </row>
    <row r="1273" ht="15.75" customHeight="1" s="201">
      <c r="A1273" s="1" t="inlineStr">
        <is>
          <t>Beef, round, top round steak, boneless, separable lean only, trimmed to 0" fat, choice, cooked, grilled</t>
        </is>
      </c>
      <c r="C1273" s="1" t="n">
        <v>0</v>
      </c>
      <c r="D1273" s="1" t="n">
        <v>5</v>
      </c>
      <c r="E1273" s="1" t="n">
        <v>3.27</v>
      </c>
      <c r="F1273" s="1" t="n">
        <v>30.24</v>
      </c>
      <c r="G1273" s="1" t="n">
        <v>4.11</v>
      </c>
      <c r="H1273" s="1" t="n">
        <v>9</v>
      </c>
      <c r="I1273" s="1" t="n">
        <v>5.25</v>
      </c>
      <c r="J1273" t="n">
        <v>28110510</v>
      </c>
    </row>
    <row r="1274" ht="15.75" customHeight="1" s="201">
      <c r="A1274" s="1" t="inlineStr">
        <is>
          <t>Beef, round, top round steak, boneless, separable lean only, trimmed to 0" fat, choice, raw</t>
        </is>
      </c>
      <c r="C1274" s="1" t="n">
        <v>0</v>
      </c>
      <c r="D1274" s="1" t="n">
        <v>4</v>
      </c>
      <c r="E1274" s="1" t="n">
        <v>2.35</v>
      </c>
      <c r="F1274" s="1" t="n">
        <v>23.59</v>
      </c>
      <c r="G1274" s="1" t="n">
        <v>3.26</v>
      </c>
      <c r="H1274" s="1" t="n">
        <v>7</v>
      </c>
      <c r="I1274" s="1" t="n">
        <v>3.78</v>
      </c>
      <c r="J1274" t="n">
        <v>28110510</v>
      </c>
    </row>
    <row r="1275" ht="15.75" customHeight="1" s="201">
      <c r="A1275" s="1" t="inlineStr">
        <is>
          <t>Beef, round, top round steak, boneless, separable lean only, trimmed to 0" fat, select, cooked, grilled</t>
        </is>
      </c>
      <c r="C1275" s="1" t="n">
        <v>0</v>
      </c>
      <c r="D1275" s="1" t="n">
        <v>5</v>
      </c>
      <c r="E1275" s="1" t="n">
        <v>3.26</v>
      </c>
      <c r="F1275" s="1" t="n">
        <v>29.81</v>
      </c>
      <c r="G1275" s="1" t="n">
        <v>3.37</v>
      </c>
      <c r="H1275" s="1" t="n">
        <v>10</v>
      </c>
      <c r="I1275" s="1" t="n">
        <v>4.92</v>
      </c>
      <c r="J1275" t="n">
        <v>28110510</v>
      </c>
    </row>
    <row r="1276" ht="15.75" customHeight="1" s="201">
      <c r="A1276" s="1" t="inlineStr">
        <is>
          <t>Beef, round, top round steak, boneless, separable lean only, trimmed to 0" fat, select, raw</t>
        </is>
      </c>
      <c r="C1276" s="1" t="n">
        <v>0</v>
      </c>
      <c r="D1276" s="1" t="n">
        <v>4</v>
      </c>
      <c r="E1276" s="1" t="n">
        <v>2.34</v>
      </c>
      <c r="F1276" s="1" t="n">
        <v>23.59</v>
      </c>
      <c r="G1276" s="1" t="n">
        <v>2.45</v>
      </c>
      <c r="H1276" s="1" t="n">
        <v>7</v>
      </c>
      <c r="I1276" s="1" t="n">
        <v>3.54</v>
      </c>
      <c r="J1276" t="n">
        <v>28110510</v>
      </c>
    </row>
    <row r="1277" ht="15.75" customHeight="1" s="201">
      <c r="A1277" s="1" t="inlineStr">
        <is>
          <t>Beef, round, top round steak, separable lean and fat, trimmed to 1/8" fat, all grades, cooked, broiled</t>
        </is>
      </c>
      <c r="C1277" s="1" t="n">
        <v>0</v>
      </c>
      <c r="D1277" s="1" t="n">
        <v>10</v>
      </c>
      <c r="E1277" s="1" t="n">
        <v>2.53</v>
      </c>
      <c r="F1277" s="1" t="n">
        <v>30.67</v>
      </c>
      <c r="G1277" s="1" t="n">
        <v>9</v>
      </c>
      <c r="H1277" s="1" t="n">
        <v>0</v>
      </c>
      <c r="I1277" s="1" t="n">
        <v>5.2</v>
      </c>
      <c r="J1277" t="n">
        <v>28110510</v>
      </c>
    </row>
    <row r="1278" ht="15.75" customHeight="1" s="201">
      <c r="A1278" s="1" t="inlineStr">
        <is>
          <t>Beef, round, top round, separable lean and fat, trimmed to 0" fat, all grades, cooked, braised</t>
        </is>
      </c>
      <c r="C1278" s="1" t="n">
        <v>0</v>
      </c>
      <c r="D1278" s="1" t="n">
        <v>9</v>
      </c>
      <c r="E1278" s="1" t="n">
        <v>3.27</v>
      </c>
      <c r="F1278" s="1" t="n">
        <v>35.62</v>
      </c>
      <c r="G1278" s="1" t="n">
        <v>6.31</v>
      </c>
      <c r="H1278" s="1" t="n">
        <v>0</v>
      </c>
      <c r="I1278" s="1" t="n">
        <v>4.5</v>
      </c>
      <c r="J1278" t="n">
        <v>28110510</v>
      </c>
    </row>
    <row r="1279" ht="15.75" customHeight="1" s="201">
      <c r="A1279" s="1" t="inlineStr">
        <is>
          <t>Beef, round, top round, separable lean and fat, trimmed to 0" fat, choice, cooked, braised</t>
        </is>
      </c>
      <c r="C1279" s="1" t="n">
        <v>0</v>
      </c>
      <c r="D1279" s="1" t="n">
        <v>9</v>
      </c>
      <c r="E1279" s="1" t="n">
        <v>3.27</v>
      </c>
      <c r="F1279" s="1" t="n">
        <v>35.62</v>
      </c>
      <c r="G1279" s="1" t="n">
        <v>7.09</v>
      </c>
      <c r="H1279" s="1" t="n">
        <v>0</v>
      </c>
      <c r="I1279" s="1" t="n">
        <v>4.5</v>
      </c>
      <c r="J1279" t="n">
        <v>28110510</v>
      </c>
    </row>
    <row r="1280" ht="15.75" customHeight="1" s="201">
      <c r="A1280" s="1" t="inlineStr">
        <is>
          <t>Beef, round, top round, separable lean and fat, trimmed to 0" fat, select, cooked, braised</t>
        </is>
      </c>
      <c r="C1280" s="1" t="n">
        <v>0</v>
      </c>
      <c r="D1280" s="1" t="n">
        <v>9</v>
      </c>
      <c r="E1280" s="1" t="n">
        <v>3.27</v>
      </c>
      <c r="F1280" s="1" t="n">
        <v>35.62</v>
      </c>
      <c r="G1280" s="1" t="n">
        <v>5.33</v>
      </c>
      <c r="H1280" s="1" t="n">
        <v>0</v>
      </c>
      <c r="I1280" s="1" t="n">
        <v>4.5</v>
      </c>
      <c r="J1280" t="n">
        <v>28110510</v>
      </c>
    </row>
    <row r="1281" ht="15.75" customHeight="1" s="201">
      <c r="A1281" s="1" t="inlineStr">
        <is>
          <t>Beef, round, top round, separable lean and fat, trimmed to 1/8" fat, all grades, cooked, braised</t>
        </is>
      </c>
      <c r="C1281" s="1" t="n">
        <v>0</v>
      </c>
      <c r="D1281" s="1" t="n">
        <v>9</v>
      </c>
      <c r="E1281" s="1" t="n">
        <v>3.16</v>
      </c>
      <c r="F1281" s="1" t="n">
        <v>34.34</v>
      </c>
      <c r="G1281" s="1" t="n">
        <v>10.13</v>
      </c>
      <c r="H1281" s="1" t="n">
        <v>0</v>
      </c>
      <c r="I1281" s="1" t="n">
        <v>4.34</v>
      </c>
      <c r="J1281" t="n">
        <v>28110510</v>
      </c>
    </row>
    <row r="1282" ht="15.75" customHeight="1" s="201">
      <c r="A1282" s="1" t="inlineStr">
        <is>
          <t>Beef, round, top round, separable lean and fat, trimmed to 1/8" fat, choice, cooked, braised</t>
        </is>
      </c>
      <c r="C1282" s="1" t="n">
        <v>0</v>
      </c>
      <c r="D1282" s="1" t="n">
        <v>9</v>
      </c>
      <c r="E1282" s="1" t="n">
        <v>3.14</v>
      </c>
      <c r="F1282" s="1" t="n">
        <v>34.09</v>
      </c>
      <c r="G1282" s="1" t="n">
        <v>11.61</v>
      </c>
      <c r="H1282" s="1" t="n">
        <v>0</v>
      </c>
      <c r="I1282" s="1" t="n">
        <v>4.31</v>
      </c>
      <c r="J1282" t="n">
        <v>28110510</v>
      </c>
    </row>
    <row r="1283" ht="15.75" customHeight="1" s="201">
      <c r="A1283" s="1" t="inlineStr">
        <is>
          <t>Beef, round, top round, separable lean and fat, trimmed to 1/8" fat, choice, cooked, pan-fried</t>
        </is>
      </c>
      <c r="C1283" s="1" t="n">
        <v>0</v>
      </c>
      <c r="D1283" s="1" t="n">
        <v>12</v>
      </c>
      <c r="E1283" s="1" t="n">
        <v>2.97</v>
      </c>
      <c r="F1283" s="1" t="n">
        <v>32.99</v>
      </c>
      <c r="G1283" s="1" t="n">
        <v>13.83</v>
      </c>
      <c r="H1283" s="1" t="n">
        <v>0</v>
      </c>
      <c r="I1283" s="1" t="n">
        <v>4.35</v>
      </c>
      <c r="J1283" t="n">
        <v>28110510</v>
      </c>
    </row>
    <row r="1284" ht="15.75" customHeight="1" s="201">
      <c r="A1284" s="1" t="inlineStr">
        <is>
          <t>Beef, round, top round, separable lean and fat, trimmed to 1/8" fat, prime, raw</t>
        </is>
      </c>
      <c r="C1284" s="1" t="n">
        <v>0</v>
      </c>
      <c r="D1284" s="1" t="n">
        <v>9</v>
      </c>
      <c r="E1284" s="1" t="n">
        <v>2.04</v>
      </c>
      <c r="F1284" s="1" t="n">
        <v>22.24</v>
      </c>
      <c r="G1284" s="1" t="n">
        <v>8.67</v>
      </c>
      <c r="H1284" s="1" t="n">
        <v>0</v>
      </c>
      <c r="I1284" s="1" t="n">
        <v>2.8</v>
      </c>
      <c r="J1284" t="n">
        <v>28110510</v>
      </c>
    </row>
    <row r="1285" ht="15.75" customHeight="1" s="201">
      <c r="A1285" s="1" t="inlineStr">
        <is>
          <t>Beef, round, top round, separable lean and fat, trimmed to 1/8" fat, select, cooked, braised</t>
        </is>
      </c>
      <c r="C1285" s="1" t="n">
        <v>0</v>
      </c>
      <c r="D1285" s="1" t="n">
        <v>9</v>
      </c>
      <c r="E1285" s="1" t="n">
        <v>3.18</v>
      </c>
      <c r="F1285" s="1" t="n">
        <v>34.6</v>
      </c>
      <c r="G1285" s="1" t="n">
        <v>8.539999999999999</v>
      </c>
      <c r="H1285" s="1" t="n">
        <v>0</v>
      </c>
      <c r="I1285" s="1" t="n">
        <v>4.37</v>
      </c>
      <c r="J1285" t="n">
        <v>28110510</v>
      </c>
    </row>
    <row r="1286" ht="15.75" customHeight="1" s="201">
      <c r="A1286" s="1" t="inlineStr">
        <is>
          <t>Beef, round, top round, separable lean only, trimmed to 0" fat, choice, cooked, braised</t>
        </is>
      </c>
      <c r="C1286" s="1" t="n">
        <v>0</v>
      </c>
      <c r="D1286" s="1" t="n">
        <v>9</v>
      </c>
      <c r="E1286" s="1" t="n">
        <v>3.32</v>
      </c>
      <c r="F1286" s="1" t="n">
        <v>36.12</v>
      </c>
      <c r="G1286" s="1" t="n">
        <v>5.8</v>
      </c>
      <c r="H1286" s="1" t="n">
        <v>0</v>
      </c>
      <c r="I1286" s="1" t="n">
        <v>4.56</v>
      </c>
      <c r="J1286" t="n">
        <v>28110510</v>
      </c>
    </row>
    <row r="1287" ht="15.75" customHeight="1" s="201">
      <c r="A1287" s="1" t="inlineStr">
        <is>
          <t>Beef, round, top round, separable lean only, trimmed to 0" fat, select, cooked, braised</t>
        </is>
      </c>
      <c r="C1287" s="1" t="n">
        <v>0</v>
      </c>
      <c r="D1287" s="1" t="n">
        <v>9</v>
      </c>
      <c r="E1287" s="1" t="n">
        <v>3.32</v>
      </c>
      <c r="F1287" s="1" t="n">
        <v>36.12</v>
      </c>
      <c r="G1287" s="1" t="n">
        <v>4</v>
      </c>
      <c r="H1287" s="1" t="n">
        <v>0</v>
      </c>
      <c r="I1287" s="1" t="n">
        <v>4.56</v>
      </c>
      <c r="J1287" t="n">
        <v>28110510</v>
      </c>
    </row>
    <row r="1288" ht="15.75" customHeight="1" s="201">
      <c r="A1288" s="1" t="inlineStr">
        <is>
          <t>Beef, round, top round, separable lean only, trimmed to 1/8" fat, choice, cooked, pan-fried</t>
        </is>
      </c>
      <c r="C1288" s="1" t="n">
        <v>2.03</v>
      </c>
      <c r="D1288" s="1" t="n">
        <v>14</v>
      </c>
      <c r="E1288" s="1" t="n">
        <v>3.4</v>
      </c>
      <c r="F1288" s="1" t="n">
        <v>33.93</v>
      </c>
      <c r="G1288" s="1" t="n">
        <v>8.33</v>
      </c>
      <c r="H1288" s="1" t="n">
        <v>0</v>
      </c>
      <c r="I1288" s="1" t="n">
        <v>4.58</v>
      </c>
      <c r="J1288" t="n">
        <v>28110510</v>
      </c>
    </row>
    <row r="1289" ht="15.75" customHeight="1" s="201">
      <c r="A1289" s="1" t="inlineStr">
        <is>
          <t>Beef, round, top round, steak, separable lean and fat, trimmed to 1/8" fat, all grades, raw</t>
        </is>
      </c>
      <c r="C1289" s="1" t="n">
        <v>0</v>
      </c>
      <c r="D1289" s="1" t="n">
        <v>12</v>
      </c>
      <c r="E1289" s="1" t="n">
        <v>1.85</v>
      </c>
      <c r="F1289" s="1" t="n">
        <v>22.06</v>
      </c>
      <c r="G1289" s="1" t="n">
        <v>7.93</v>
      </c>
      <c r="H1289" s="1" t="n">
        <v>0</v>
      </c>
      <c r="I1289" s="1" t="n">
        <v>4.08</v>
      </c>
      <c r="J1289" t="n">
        <v>28110510</v>
      </c>
    </row>
    <row r="1290" ht="15.75" customHeight="1" s="201">
      <c r="A1290" s="1" t="inlineStr">
        <is>
          <t>Beef, round, top round, steak, separable lean and fat, trimmed to 1/8" fat, choice, cooked, broiled</t>
        </is>
      </c>
      <c r="C1290" s="1" t="n">
        <v>0</v>
      </c>
      <c r="D1290" s="1" t="n">
        <v>10</v>
      </c>
      <c r="E1290" s="1" t="n">
        <v>2.54</v>
      </c>
      <c r="F1290" s="1" t="n">
        <v>30.7</v>
      </c>
      <c r="G1290" s="1" t="n">
        <v>10.27</v>
      </c>
      <c r="H1290" s="1" t="n">
        <v>0</v>
      </c>
      <c r="I1290" s="1" t="n">
        <v>5.09</v>
      </c>
      <c r="J1290" t="n">
        <v>28110510</v>
      </c>
    </row>
    <row r="1291" ht="15.75" customHeight="1" s="201">
      <c r="A1291" s="1" t="inlineStr">
        <is>
          <t>Beef, round, top round, steak, separable lean and fat, trimmed to 1/8" fat, choice, raw</t>
        </is>
      </c>
      <c r="C1291" s="1" t="n">
        <v>0</v>
      </c>
      <c r="D1291" s="1" t="n">
        <v>12</v>
      </c>
      <c r="E1291" s="1" t="n">
        <v>1.97</v>
      </c>
      <c r="F1291" s="1" t="n">
        <v>21.94</v>
      </c>
      <c r="G1291" s="1" t="n">
        <v>8.19</v>
      </c>
      <c r="H1291" s="1" t="n">
        <v>0</v>
      </c>
      <c r="I1291" s="1" t="n">
        <v>4.06</v>
      </c>
      <c r="J1291" t="n">
        <v>28110510</v>
      </c>
    </row>
    <row r="1292" ht="15.75" customHeight="1" s="201">
      <c r="A1292" s="1" t="inlineStr">
        <is>
          <t>Beef, round, top round, steak, separable lean and fat, trimmed to 1/8" fat, prime, cooked, broiled</t>
        </is>
      </c>
      <c r="C1292" s="1" t="n">
        <v>0</v>
      </c>
      <c r="D1292" s="1" t="n">
        <v>12</v>
      </c>
      <c r="E1292" s="1" t="n">
        <v>2.84</v>
      </c>
      <c r="F1292" s="1" t="n">
        <v>31.27</v>
      </c>
      <c r="G1292" s="1" t="n">
        <v>10.1</v>
      </c>
      <c r="H1292" s="1" t="n">
        <v>0</v>
      </c>
      <c r="I1292" s="1" t="n">
        <v>5.49</v>
      </c>
      <c r="J1292" t="n">
        <v>28110510</v>
      </c>
    </row>
    <row r="1293" ht="15.75" customHeight="1" s="201">
      <c r="A1293" s="1" t="inlineStr">
        <is>
          <t>Beef, round, top round, steak, separable lean and fat, trimmed to 1/8" fat, select, cooked, broiled</t>
        </is>
      </c>
      <c r="C1293" s="1" t="n">
        <v>0</v>
      </c>
      <c r="D1293" s="1" t="n">
        <v>10</v>
      </c>
      <c r="E1293" s="1" t="n">
        <v>2.52</v>
      </c>
      <c r="F1293" s="1" t="n">
        <v>30.63</v>
      </c>
      <c r="G1293" s="1" t="n">
        <v>7.73</v>
      </c>
      <c r="H1293" s="1" t="n">
        <v>0</v>
      </c>
      <c r="I1293" s="1" t="n">
        <v>5.31</v>
      </c>
      <c r="J1293" t="n">
        <v>28110510</v>
      </c>
    </row>
    <row r="1294" ht="15.75" customHeight="1" s="201">
      <c r="A1294" s="1" t="inlineStr">
        <is>
          <t>Beef, round, top round, steak, separable lean and fat, trimmed to 1/8" fat, select, raw</t>
        </is>
      </c>
      <c r="C1294" s="1" t="n">
        <v>0</v>
      </c>
      <c r="D1294" s="1" t="n">
        <v>12</v>
      </c>
      <c r="E1294" s="1" t="n">
        <v>1.74</v>
      </c>
      <c r="F1294" s="1" t="n">
        <v>22.18</v>
      </c>
      <c r="G1294" s="1" t="n">
        <v>7.68</v>
      </c>
      <c r="H1294" s="1" t="n">
        <v>0</v>
      </c>
      <c r="I1294" s="1" t="n">
        <v>4.1</v>
      </c>
      <c r="J1294" t="n">
        <v>28110510</v>
      </c>
    </row>
    <row r="1295" ht="15.75" customHeight="1" s="201">
      <c r="A1295" s="1" t="inlineStr">
        <is>
          <t>Beef, round, top round, steak, separable lean only, trimmed to 1/8" fat, all grades, cooked, broiled</t>
        </is>
      </c>
      <c r="C1295" s="1" t="n">
        <v>0</v>
      </c>
      <c r="D1295" s="1" t="n">
        <v>11</v>
      </c>
      <c r="E1295" s="1" t="n">
        <v>2.7</v>
      </c>
      <c r="F1295" s="1" t="n">
        <v>31.82</v>
      </c>
      <c r="G1295" s="1" t="n">
        <v>5.45</v>
      </c>
      <c r="H1295" s="1" t="n">
        <v>0</v>
      </c>
      <c r="I1295" s="1" t="n">
        <v>5.54</v>
      </c>
      <c r="J1295" t="n">
        <v>28110510</v>
      </c>
    </row>
    <row r="1296" ht="15.75" customHeight="1" s="201">
      <c r="A1296" s="1" t="inlineStr">
        <is>
          <t>Beef, round, top round, steak, separable lean only, trimmed to 1/8" fat, all grades, raw</t>
        </is>
      </c>
      <c r="C1296" s="1" t="n">
        <v>0</v>
      </c>
      <c r="D1296" s="1" t="n">
        <v>13</v>
      </c>
      <c r="E1296" s="1" t="n">
        <v>1.99</v>
      </c>
      <c r="F1296" s="1" t="n">
        <v>22.91</v>
      </c>
      <c r="G1296" s="1" t="n">
        <v>4.09</v>
      </c>
      <c r="H1296" s="1" t="n">
        <v>0</v>
      </c>
      <c r="I1296" s="1" t="n">
        <v>4.36</v>
      </c>
      <c r="J1296" t="n">
        <v>28110510</v>
      </c>
    </row>
    <row r="1297" ht="15.75" customHeight="1" s="201">
      <c r="A1297" s="1" t="inlineStr">
        <is>
          <t>Beef, round, top round, steak, separable lean only, trimmed to 1/8" fat, choice, cooked, broiled</t>
        </is>
      </c>
      <c r="C1297" s="1" t="n">
        <v>0</v>
      </c>
      <c r="D1297" s="1" t="n">
        <v>11</v>
      </c>
      <c r="E1297" s="1" t="n">
        <v>2.84</v>
      </c>
      <c r="F1297" s="1" t="n">
        <v>32.04</v>
      </c>
      <c r="G1297" s="1" t="n">
        <v>6.25</v>
      </c>
      <c r="H1297" s="1" t="n">
        <v>0</v>
      </c>
      <c r="I1297" s="1" t="n">
        <v>5.62</v>
      </c>
      <c r="J1297" t="n">
        <v>28110510</v>
      </c>
    </row>
    <row r="1298" ht="15.75" customHeight="1" s="201">
      <c r="A1298" s="1" t="inlineStr">
        <is>
          <t>Beef, round, top round, steak, separable lean only, trimmed to 1/8" fat, choice, raw</t>
        </is>
      </c>
      <c r="C1298" s="1" t="n">
        <v>0</v>
      </c>
      <c r="D1298" s="1" t="n">
        <v>13</v>
      </c>
      <c r="E1298" s="1" t="n">
        <v>2.12</v>
      </c>
      <c r="F1298" s="1" t="n">
        <v>22.69</v>
      </c>
      <c r="G1298" s="1" t="n">
        <v>4.78</v>
      </c>
      <c r="H1298" s="1" t="n">
        <v>0</v>
      </c>
      <c r="I1298" s="1" t="n">
        <v>4.29</v>
      </c>
      <c r="J1298" t="n">
        <v>28110510</v>
      </c>
    </row>
    <row r="1299" ht="15.75" customHeight="1" s="201">
      <c r="A1299" s="1" t="inlineStr">
        <is>
          <t>Beef, round, top round, steak, separable lean only, trimmed to 1/8" fat, select, cooked, broiled</t>
        </is>
      </c>
      <c r="C1299" s="1" t="n">
        <v>0</v>
      </c>
      <c r="D1299" s="1" t="n">
        <v>11</v>
      </c>
      <c r="E1299" s="1" t="n">
        <v>2.66</v>
      </c>
      <c r="F1299" s="1" t="n">
        <v>31.61</v>
      </c>
      <c r="G1299" s="1" t="n">
        <v>4.65</v>
      </c>
      <c r="H1299" s="1" t="n">
        <v>0</v>
      </c>
      <c r="I1299" s="1" t="n">
        <v>5.57</v>
      </c>
      <c r="J1299" t="n">
        <v>28110510</v>
      </c>
    </row>
    <row r="1300" ht="15.75" customHeight="1" s="201">
      <c r="A1300" s="1" t="inlineStr">
        <is>
          <t>Beef, round, top round, steak, separable lean only, trimmed to 1/8" fat, select, raw</t>
        </is>
      </c>
      <c r="C1300" s="1" t="n">
        <v>0</v>
      </c>
      <c r="D1300" s="1" t="n">
        <v>14</v>
      </c>
      <c r="E1300" s="1" t="n">
        <v>1.97</v>
      </c>
      <c r="F1300" s="1" t="n">
        <v>23.13</v>
      </c>
      <c r="G1300" s="1" t="n">
        <v>3.37</v>
      </c>
      <c r="H1300" s="1" t="n">
        <v>0</v>
      </c>
      <c r="I1300" s="1" t="n">
        <v>4.57</v>
      </c>
      <c r="J1300" t="n">
        <v>28110510</v>
      </c>
    </row>
    <row r="1301" ht="15.75" customHeight="1" s="201">
      <c r="A1301" s="1" t="inlineStr">
        <is>
          <t>Beef, sandwich steaks, flaked, chopped, formed and thinly sliced, raw</t>
        </is>
      </c>
      <c r="C1301" s="1" t="n">
        <v>0</v>
      </c>
      <c r="D1301" s="1" t="n">
        <v>7</v>
      </c>
      <c r="E1301" s="1" t="n">
        <v>1.86</v>
      </c>
      <c r="F1301" s="1" t="n">
        <v>16.5</v>
      </c>
      <c r="G1301" s="1" t="n">
        <v>27</v>
      </c>
      <c r="H1301" s="1" t="n">
        <v>0</v>
      </c>
      <c r="I1301" s="1" t="n">
        <v>3.63</v>
      </c>
      <c r="J1301" t="n">
        <v>27513010</v>
      </c>
    </row>
    <row r="1302" ht="15.75" customHeight="1" s="201">
      <c r="A1302" s="1" t="inlineStr">
        <is>
          <t>Beef, shank crosscuts, separable lean only, trimmed to 1/4" fat, choice, cooked, simmered</t>
        </is>
      </c>
      <c r="C1302" s="1" t="n">
        <v>0</v>
      </c>
      <c r="D1302" s="1" t="n">
        <v>10</v>
      </c>
      <c r="E1302" s="1" t="n">
        <v>3.86</v>
      </c>
      <c r="F1302" s="1" t="n">
        <v>33.68</v>
      </c>
      <c r="G1302" s="1" t="n">
        <v>6.36</v>
      </c>
      <c r="H1302" s="1" t="n">
        <v>0</v>
      </c>
      <c r="I1302" s="1" t="n">
        <v>10.49</v>
      </c>
      <c r="J1302" t="n">
        <v>28110510</v>
      </c>
    </row>
    <row r="1303" ht="15.75" customHeight="1" s="201">
      <c r="A1303" s="1" t="inlineStr">
        <is>
          <t>Beef, shank crosscuts, separable lean only, trimmed to 1/4" fat, choice, raw</t>
        </is>
      </c>
      <c r="C1303" s="1" t="n">
        <v>0</v>
      </c>
      <c r="D1303" s="1" t="n">
        <v>8</v>
      </c>
      <c r="E1303" s="1" t="n">
        <v>2.32</v>
      </c>
      <c r="F1303" s="1" t="n">
        <v>21.75</v>
      </c>
      <c r="G1303" s="1" t="n">
        <v>3.85</v>
      </c>
      <c r="H1303" s="1" t="n">
        <v>0</v>
      </c>
      <c r="I1303" s="1" t="n">
        <v>6.94</v>
      </c>
      <c r="J1303" t="n">
        <v>28110510</v>
      </c>
    </row>
    <row r="1304" ht="15.75" customHeight="1" s="201">
      <c r="A1304" s="1" t="inlineStr">
        <is>
          <t>Beef, short loin, porterhouse steak, separable lean and fat, trimmed to 0" fat, all grades, cooked, broiled</t>
        </is>
      </c>
      <c r="C1304" s="1" t="n">
        <v>0</v>
      </c>
      <c r="D1304" s="1" t="n">
        <v>7</v>
      </c>
      <c r="E1304" s="1" t="n">
        <v>2.94</v>
      </c>
      <c r="F1304" s="1" t="n">
        <v>23.96</v>
      </c>
      <c r="G1304" s="1" t="n">
        <v>19.27</v>
      </c>
      <c r="H1304" s="1" t="n">
        <v>0</v>
      </c>
      <c r="I1304" s="1" t="n">
        <v>4.56</v>
      </c>
      <c r="J1304" t="n">
        <v>28110510</v>
      </c>
    </row>
    <row r="1305" ht="15.75" customHeight="1" s="201">
      <c r="A1305" s="1" t="inlineStr">
        <is>
          <t>Beef, short loin, porterhouse steak, separable lean and fat, trimmed to 0" fat, USDA choice, cooked, broiled</t>
        </is>
      </c>
      <c r="C1305" s="1" t="n">
        <v>0</v>
      </c>
      <c r="D1305" s="1" t="n">
        <v>7</v>
      </c>
      <c r="E1305" s="1" t="n">
        <v>2.96</v>
      </c>
      <c r="F1305" s="1" t="n">
        <v>23.61</v>
      </c>
      <c r="G1305" s="1" t="n">
        <v>20.15</v>
      </c>
      <c r="H1305" s="1" t="n">
        <v>0</v>
      </c>
      <c r="I1305" s="1" t="n">
        <v>4.59</v>
      </c>
      <c r="J1305" t="n">
        <v>28110510</v>
      </c>
    </row>
    <row r="1306" ht="15.75" customHeight="1" s="201">
      <c r="A1306" s="1" t="inlineStr">
        <is>
          <t>Beef, short loin, porterhouse steak, separable lean and fat, trimmed to 0" fat, USDA select, cooked, broiled</t>
        </is>
      </c>
      <c r="C1306" s="1" t="n">
        <v>0</v>
      </c>
      <c r="D1306" s="1" t="n">
        <v>7</v>
      </c>
      <c r="E1306" s="1" t="n">
        <v>2.91</v>
      </c>
      <c r="F1306" s="1" t="n">
        <v>24.47</v>
      </c>
      <c r="G1306" s="1" t="n">
        <v>17.98</v>
      </c>
      <c r="H1306" s="1" t="n">
        <v>0</v>
      </c>
      <c r="I1306" s="1" t="n">
        <v>4.51</v>
      </c>
      <c r="J1306" t="n">
        <v>28110510</v>
      </c>
    </row>
    <row r="1307" ht="15.75" customHeight="1" s="201">
      <c r="A1307" s="1" t="inlineStr">
        <is>
          <t>Beef, short loin, porterhouse steak, separable lean and fat, trimmed to 1/8" fat, all grades, cooked, grilled</t>
        </is>
      </c>
      <c r="C1307" s="1" t="n">
        <v>0</v>
      </c>
      <c r="D1307" s="1" t="n">
        <v>4</v>
      </c>
      <c r="E1307" s="1" t="n">
        <v>3</v>
      </c>
      <c r="F1307" s="1" t="n">
        <v>25.4</v>
      </c>
      <c r="G1307" s="1" t="n">
        <v>18.57</v>
      </c>
      <c r="H1307" s="1" t="n">
        <v>25</v>
      </c>
      <c r="I1307" s="1" t="n">
        <v>4.13</v>
      </c>
      <c r="J1307" t="n">
        <v>28110510</v>
      </c>
    </row>
    <row r="1308" ht="15.75" customHeight="1" s="201">
      <c r="A1308" s="1" t="inlineStr">
        <is>
          <t>Beef, short loin, porterhouse steak, separable lean and fat, trimmed to 1/8" fat, all grades, raw</t>
        </is>
      </c>
      <c r="C1308" s="1" t="n">
        <v>0</v>
      </c>
      <c r="D1308" s="1" t="n">
        <v>3</v>
      </c>
      <c r="E1308" s="1" t="n">
        <v>1.98</v>
      </c>
      <c r="F1308" s="1" t="n">
        <v>20.49</v>
      </c>
      <c r="G1308" s="1" t="n">
        <v>14.06</v>
      </c>
      <c r="H1308" s="1" t="n">
        <v>14</v>
      </c>
      <c r="I1308" s="1" t="n">
        <v>3.15</v>
      </c>
      <c r="J1308" t="n">
        <v>28110510</v>
      </c>
    </row>
    <row r="1309" ht="15.75" customHeight="1" s="201">
      <c r="A1309" s="1" t="inlineStr">
        <is>
          <t>Beef, short loin, porterhouse steak, separable lean and fat, trimmed to 1/8" fat, choice, cooked, grilled</t>
        </is>
      </c>
      <c r="C1309" s="1" t="n">
        <v>0</v>
      </c>
      <c r="D1309" s="1" t="n">
        <v>6</v>
      </c>
      <c r="E1309" s="1" t="n">
        <v>2.95</v>
      </c>
      <c r="F1309" s="1" t="n">
        <v>24.85</v>
      </c>
      <c r="G1309" s="1" t="n">
        <v>19.78</v>
      </c>
      <c r="H1309" s="1" t="n">
        <v>24</v>
      </c>
      <c r="I1309" s="1" t="n">
        <v>4.09</v>
      </c>
      <c r="J1309" t="n">
        <v>28110510</v>
      </c>
    </row>
    <row r="1310" ht="15.75" customHeight="1" s="201">
      <c r="A1310" s="1" t="inlineStr">
        <is>
          <t>Beef, short loin, porterhouse steak, separable lean and fat, trimmed to 1/8" fat, choice, raw</t>
        </is>
      </c>
      <c r="C1310" s="1" t="n">
        <v>0</v>
      </c>
      <c r="D1310" s="1" t="n">
        <v>3</v>
      </c>
      <c r="E1310" s="1" t="n">
        <v>1.91</v>
      </c>
      <c r="F1310" s="1" t="n">
        <v>20.36</v>
      </c>
      <c r="G1310" s="1" t="n">
        <v>14.58</v>
      </c>
      <c r="H1310" s="1" t="n">
        <v>14</v>
      </c>
      <c r="I1310" s="1" t="n">
        <v>3.19</v>
      </c>
      <c r="J1310" t="n">
        <v>28110510</v>
      </c>
    </row>
    <row r="1311" ht="15.75" customHeight="1" s="201">
      <c r="A1311" s="1" t="inlineStr">
        <is>
          <t>Beef, short loin, porterhouse steak, separable lean and fat, trimmed to 1/8" fat, select, cooked, grilled</t>
        </is>
      </c>
      <c r="C1311" s="1" t="n">
        <v>0</v>
      </c>
      <c r="D1311" s="1" t="n">
        <v>6</v>
      </c>
      <c r="E1311" s="1" t="n">
        <v>3.2</v>
      </c>
      <c r="F1311" s="1" t="n">
        <v>26.21</v>
      </c>
      <c r="G1311" s="1" t="n">
        <v>16.75</v>
      </c>
      <c r="H1311" s="1" t="n">
        <v>26</v>
      </c>
      <c r="I1311" s="1" t="n">
        <v>4.26</v>
      </c>
      <c r="J1311" t="n">
        <v>28110510</v>
      </c>
    </row>
    <row r="1312" ht="15.75" customHeight="1" s="201">
      <c r="A1312" s="1" t="inlineStr">
        <is>
          <t>Beef, short loin, porterhouse steak, separable lean and fat, trimmed to 1/8" fat, select, raw</t>
        </is>
      </c>
      <c r="C1312" s="1" t="n">
        <v>0</v>
      </c>
      <c r="D1312" s="1" t="n">
        <v>3</v>
      </c>
      <c r="E1312" s="1" t="n">
        <v>2.13</v>
      </c>
      <c r="F1312" s="1" t="n">
        <v>20.69</v>
      </c>
      <c r="G1312" s="1" t="n">
        <v>13.27</v>
      </c>
      <c r="H1312" s="1" t="n">
        <v>15</v>
      </c>
      <c r="I1312" s="1" t="n">
        <v>3.09</v>
      </c>
      <c r="J1312" t="n">
        <v>28110510</v>
      </c>
    </row>
    <row r="1313" ht="15.75" customHeight="1" s="201">
      <c r="A1313" s="1" t="inlineStr">
        <is>
          <t>Beef, short loin, porterhouse steak, separable lean only,  trimmed to 1/8" fat, all grades, cooked, grilled</t>
        </is>
      </c>
      <c r="C1313" s="1" t="n">
        <v>0</v>
      </c>
      <c r="D1313" s="1" t="n">
        <v>7</v>
      </c>
      <c r="E1313" s="1" t="n">
        <v>3.22</v>
      </c>
      <c r="F1313" s="1" t="n">
        <v>28.16</v>
      </c>
      <c r="G1313" s="1" t="n">
        <v>10.32</v>
      </c>
      <c r="H1313" s="1" t="n">
        <v>22</v>
      </c>
      <c r="I1313" s="1" t="n">
        <v>4.67</v>
      </c>
      <c r="J1313" t="n">
        <v>28110510</v>
      </c>
    </row>
    <row r="1314" ht="15.75" customHeight="1" s="201">
      <c r="A1314" s="1" t="inlineStr">
        <is>
          <t>Beef, short loin, porterhouse steak, separable lean only, trimmed to 0" fat, all grades, cooked, broiled</t>
        </is>
      </c>
      <c r="C1314" s="1" t="n">
        <v>0</v>
      </c>
      <c r="D1314" s="1" t="n">
        <v>8</v>
      </c>
      <c r="E1314" s="1" t="n">
        <v>3.24</v>
      </c>
      <c r="F1314" s="1" t="n">
        <v>26.07</v>
      </c>
      <c r="G1314" s="1" t="n">
        <v>11.18</v>
      </c>
      <c r="H1314" s="1" t="n">
        <v>0</v>
      </c>
      <c r="I1314" s="1" t="n">
        <v>5.06</v>
      </c>
      <c r="J1314" t="n">
        <v>28110510</v>
      </c>
    </row>
    <row r="1315" ht="15.75" customHeight="1" s="201">
      <c r="A1315" s="1" t="inlineStr">
        <is>
          <t>Beef, short loin, porterhouse steak, separable lean only, trimmed to 0" fat, choice, cooked, broiled</t>
        </is>
      </c>
      <c r="C1315" s="1" t="n">
        <v>0</v>
      </c>
      <c r="D1315" s="1" t="n">
        <v>8</v>
      </c>
      <c r="E1315" s="1" t="n">
        <v>3.24</v>
      </c>
      <c r="F1315" s="1" t="n">
        <v>25.51</v>
      </c>
      <c r="G1315" s="1" t="n">
        <v>12.8</v>
      </c>
      <c r="H1315" s="1" t="n">
        <v>0</v>
      </c>
      <c r="I1315" s="1" t="n">
        <v>5.06</v>
      </c>
      <c r="J1315" t="n">
        <v>28110510</v>
      </c>
    </row>
    <row r="1316" ht="15.75" customHeight="1" s="201">
      <c r="A1316" s="1" t="inlineStr">
        <is>
          <t>Beef, short loin, porterhouse steak, separable lean only, trimmed to 0" fat, select, cooked, broiled</t>
        </is>
      </c>
      <c r="C1316" s="1" t="n">
        <v>0</v>
      </c>
      <c r="D1316" s="1" t="n">
        <v>8</v>
      </c>
      <c r="E1316" s="1" t="n">
        <v>3.24</v>
      </c>
      <c r="F1316" s="1" t="n">
        <v>26.89</v>
      </c>
      <c r="G1316" s="1" t="n">
        <v>8.81</v>
      </c>
      <c r="H1316" s="1" t="n">
        <v>0</v>
      </c>
      <c r="I1316" s="1" t="n">
        <v>5.06</v>
      </c>
      <c r="J1316" t="n">
        <v>28110510</v>
      </c>
    </row>
    <row r="1317" ht="15.75" customHeight="1" s="201">
      <c r="A1317" s="1" t="inlineStr">
        <is>
          <t>Beef, short loin, porterhouse steak, separable lean only, trimmed to 1/8" fat, all grades, raw</t>
        </is>
      </c>
      <c r="C1317" s="1" t="n">
        <v>0</v>
      </c>
      <c r="D1317" s="1" t="n">
        <v>3</v>
      </c>
      <c r="E1317" s="1" t="n">
        <v>2.07</v>
      </c>
      <c r="F1317" s="1" t="n">
        <v>22.32</v>
      </c>
      <c r="G1317" s="1" t="n">
        <v>6.6</v>
      </c>
      <c r="H1317" s="1" t="n">
        <v>7</v>
      </c>
      <c r="I1317" s="1" t="n">
        <v>3.58</v>
      </c>
      <c r="J1317" t="n">
        <v>28110510</v>
      </c>
    </row>
    <row r="1318" ht="15.75" customHeight="1" s="201">
      <c r="A1318" s="1" t="inlineStr">
        <is>
          <t>Beef, short loin, porterhouse steak, separable lean only, trimmed to 1/8" fat, choice, cooked, grilled</t>
        </is>
      </c>
      <c r="C1318" s="1" t="n">
        <v>0</v>
      </c>
      <c r="D1318" s="1" t="n">
        <v>6</v>
      </c>
      <c r="E1318" s="1" t="n">
        <v>3.16</v>
      </c>
      <c r="F1318" s="1" t="n">
        <v>27.65</v>
      </c>
      <c r="G1318" s="1" t="n">
        <v>11.36</v>
      </c>
      <c r="H1318" s="1" t="n">
        <v>5</v>
      </c>
      <c r="I1318" s="1" t="n">
        <v>4.65</v>
      </c>
      <c r="J1318" t="n">
        <v>28110510</v>
      </c>
    </row>
    <row r="1319" ht="15.75" customHeight="1" s="201">
      <c r="A1319" s="1" t="inlineStr">
        <is>
          <t>Beef, short loin, porterhouse steak, separable lean only, trimmed to 1/8" fat, choice, raw</t>
        </is>
      </c>
      <c r="C1319" s="1" t="n">
        <v>0</v>
      </c>
      <c r="D1319" s="1" t="n">
        <v>3</v>
      </c>
      <c r="E1319" s="1" t="n">
        <v>1.98</v>
      </c>
      <c r="F1319" s="1" t="n">
        <v>22.13</v>
      </c>
      <c r="G1319" s="1" t="n">
        <v>7.39</v>
      </c>
      <c r="H1319" s="1" t="n">
        <v>0</v>
      </c>
      <c r="I1319" s="1" t="n">
        <v>3.61</v>
      </c>
      <c r="J1319" t="n">
        <v>28110510</v>
      </c>
    </row>
    <row r="1320" ht="15.75" customHeight="1" s="201">
      <c r="A1320" s="1" t="inlineStr">
        <is>
          <t>Beef, short loin, porterhouse steak, separable lean only, trimmed to 1/8" fat, select, cooked, grilled</t>
        </is>
      </c>
      <c r="C1320" s="1" t="n">
        <v>0</v>
      </c>
      <c r="D1320" s="1" t="n">
        <v>7</v>
      </c>
      <c r="E1320" s="1" t="n">
        <v>3.44</v>
      </c>
      <c r="F1320" s="1" t="n">
        <v>28.92</v>
      </c>
      <c r="G1320" s="1" t="n">
        <v>8.76</v>
      </c>
      <c r="H1320" s="1" t="n">
        <v>7</v>
      </c>
      <c r="I1320" s="1" t="n">
        <v>4.8</v>
      </c>
      <c r="J1320" t="n">
        <v>28110510</v>
      </c>
    </row>
    <row r="1321" ht="15.75" customHeight="1" s="201">
      <c r="A1321" s="1" t="inlineStr">
        <is>
          <t>Beef, short loin, porterhouse steak, separable lean only, trimmed to 1/8" fat, select, raw</t>
        </is>
      </c>
      <c r="C1321" s="1" t="n">
        <v>0</v>
      </c>
      <c r="D1321" s="1" t="n">
        <v>4</v>
      </c>
      <c r="E1321" s="1" t="n">
        <v>2.26</v>
      </c>
      <c r="F1321" s="1" t="n">
        <v>22.61</v>
      </c>
      <c r="G1321" s="1" t="n">
        <v>5.41</v>
      </c>
      <c r="H1321" s="1" t="n">
        <v>12</v>
      </c>
      <c r="I1321" s="1" t="n">
        <v>3.52</v>
      </c>
      <c r="J1321" t="n">
        <v>28110510</v>
      </c>
    </row>
    <row r="1322" ht="15.75" customHeight="1" s="201">
      <c r="A1322" s="1" t="inlineStr">
        <is>
          <t>Beef, short loin, t-bone steak, bone-in, separable lean only, trimmed to 1/8" fat, all grades, cooked, grilled</t>
        </is>
      </c>
      <c r="C1322" s="1" t="n">
        <v>0</v>
      </c>
      <c r="D1322" s="1" t="n">
        <v>7</v>
      </c>
      <c r="E1322" s="1" t="n">
        <v>3.57</v>
      </c>
      <c r="F1322" s="1" t="n">
        <v>27.86</v>
      </c>
      <c r="G1322" s="1" t="n">
        <v>10.37</v>
      </c>
      <c r="H1322" s="1" t="n">
        <v>6</v>
      </c>
      <c r="I1322" s="1" t="n">
        <v>4.61</v>
      </c>
      <c r="J1322" t="n">
        <v>28110510</v>
      </c>
    </row>
    <row r="1323" ht="15.75" customHeight="1" s="201">
      <c r="A1323" s="1" t="inlineStr">
        <is>
          <t>Beef, short loin, t-bone steak, bone-in, separable lean only, trimmed to 1/8" fat, all grades, raw</t>
        </is>
      </c>
      <c r="C1323" s="1" t="n">
        <v>0</v>
      </c>
      <c r="D1323" s="1" t="n">
        <v>4</v>
      </c>
      <c r="E1323" s="1" t="n">
        <v>1.66</v>
      </c>
      <c r="F1323" s="1" t="n">
        <v>22.22</v>
      </c>
      <c r="G1323" s="1" t="n">
        <v>6.5</v>
      </c>
      <c r="H1323" s="1" t="n">
        <v>7</v>
      </c>
      <c r="I1323" s="1" t="n">
        <v>3.88</v>
      </c>
      <c r="J1323" t="n">
        <v>28110510</v>
      </c>
    </row>
    <row r="1324" ht="15.75" customHeight="1" s="201">
      <c r="A1324" s="1" t="inlineStr">
        <is>
          <t>Beef, short loin, t-bone steak, bone-in, separable lean only, trimmed to 1/8" fat, choice, cooked, grilled</t>
        </is>
      </c>
      <c r="C1324" s="1" t="n">
        <v>0</v>
      </c>
      <c r="D1324" s="1" t="n">
        <v>7</v>
      </c>
      <c r="E1324" s="1" t="n">
        <v>3.57</v>
      </c>
      <c r="F1324" s="1" t="n">
        <v>27.48</v>
      </c>
      <c r="G1324" s="1" t="n">
        <v>11.05</v>
      </c>
      <c r="H1324" s="1" t="n">
        <v>5</v>
      </c>
      <c r="I1324" s="1" t="n">
        <v>4.69</v>
      </c>
      <c r="J1324" t="n">
        <v>28110510</v>
      </c>
    </row>
    <row r="1325" ht="15.75" customHeight="1" s="201">
      <c r="A1325" s="1" t="inlineStr">
        <is>
          <t>Beef, short loin, t-bone steak, bone-in, separable lean only, trimmed to 1/8" fat, choice, raw</t>
        </is>
      </c>
      <c r="C1325" s="1" t="n">
        <v>0</v>
      </c>
      <c r="D1325" s="1" t="n">
        <v>4</v>
      </c>
      <c r="E1325" s="1" t="n">
        <v>1.65</v>
      </c>
      <c r="F1325" s="1" t="n">
        <v>22.1</v>
      </c>
      <c r="G1325" s="1" t="n">
        <v>7.27</v>
      </c>
      <c r="H1325" s="1" t="n">
        <v>0</v>
      </c>
      <c r="I1325" s="1" t="n">
        <v>3.86</v>
      </c>
      <c r="J1325" t="n">
        <v>28110510</v>
      </c>
    </row>
    <row r="1326" ht="15.75" customHeight="1" s="201">
      <c r="A1326" s="1" t="inlineStr">
        <is>
          <t>Beef, short loin, t-bone steak, bone-in, separable lean only, trimmed to 1/8" fat, select, cooked, grilled</t>
        </is>
      </c>
      <c r="C1326" s="1" t="n">
        <v>0</v>
      </c>
      <c r="D1326" s="1" t="n">
        <v>7</v>
      </c>
      <c r="E1326" s="1" t="n">
        <v>3.65</v>
      </c>
      <c r="F1326" s="1" t="n">
        <v>28.45</v>
      </c>
      <c r="G1326" s="1" t="n">
        <v>9.35</v>
      </c>
      <c r="H1326" s="1" t="n">
        <v>7</v>
      </c>
      <c r="I1326" s="1" t="n">
        <v>4.47</v>
      </c>
      <c r="J1326" t="n">
        <v>28110510</v>
      </c>
    </row>
    <row r="1327" ht="15.75" customHeight="1" s="201">
      <c r="A1327" s="1" t="inlineStr">
        <is>
          <t>Beef, short loin, t-bone steak, bone-in, separable lean only, trimmed to 1/8" fat, select, raw</t>
        </is>
      </c>
      <c r="C1327" s="1" t="n">
        <v>0</v>
      </c>
      <c r="D1327" s="1" t="n">
        <v>4</v>
      </c>
      <c r="E1327" s="1" t="n">
        <v>1.77</v>
      </c>
      <c r="F1327" s="1" t="n">
        <v>22.41</v>
      </c>
      <c r="G1327" s="1" t="n">
        <v>5.34</v>
      </c>
      <c r="H1327" s="1" t="n">
        <v>7</v>
      </c>
      <c r="I1327" s="1" t="n">
        <v>4.01</v>
      </c>
      <c r="J1327" t="n">
        <v>28110510</v>
      </c>
    </row>
    <row r="1328" ht="15.75" customHeight="1" s="201">
      <c r="A1328" s="1" t="inlineStr">
        <is>
          <t>Beef, short loin, t-bone steak, separable lean and fat, trimmed to 0" fat, all grades, cooked, broiled</t>
        </is>
      </c>
      <c r="C1328" s="1" t="n">
        <v>0</v>
      </c>
      <c r="D1328" s="1" t="n">
        <v>7</v>
      </c>
      <c r="E1328" s="1" t="n">
        <v>3.35</v>
      </c>
      <c r="F1328" s="1" t="n">
        <v>24.18</v>
      </c>
      <c r="G1328" s="1" t="n">
        <v>15.93</v>
      </c>
      <c r="H1328" s="1" t="n">
        <v>0</v>
      </c>
      <c r="I1328" s="1" t="n">
        <v>4.67</v>
      </c>
      <c r="J1328" t="n">
        <v>28110510</v>
      </c>
    </row>
    <row r="1329" ht="15.75" customHeight="1" s="201">
      <c r="A1329" s="1" t="inlineStr">
        <is>
          <t>Beef, short loin, t-bone steak, separable lean and fat, trimmed to 0" fat, USDA choice, cooked, broiled</t>
        </is>
      </c>
      <c r="C1329" s="1" t="n">
        <v>0</v>
      </c>
      <c r="D1329" s="1" t="n">
        <v>7</v>
      </c>
      <c r="E1329" s="1" t="n">
        <v>3.33</v>
      </c>
      <c r="F1329" s="1" t="n">
        <v>24.05</v>
      </c>
      <c r="G1329" s="1" t="n">
        <v>17.26</v>
      </c>
      <c r="H1329" s="1" t="n">
        <v>0</v>
      </c>
      <c r="I1329" s="1" t="n">
        <v>4.64</v>
      </c>
      <c r="J1329" t="n">
        <v>28110510</v>
      </c>
    </row>
    <row r="1330" ht="15.75" customHeight="1" s="201">
      <c r="A1330" s="1" t="inlineStr">
        <is>
          <t>Beef, short loin, t-bone steak, separable lean and fat, trimmed to 0" fat, USDA select, cooked, broiled</t>
        </is>
      </c>
      <c r="C1330" s="1" t="n">
        <v>0</v>
      </c>
      <c r="D1330" s="1" t="n">
        <v>7</v>
      </c>
      <c r="E1330" s="1" t="n">
        <v>3.38</v>
      </c>
      <c r="F1330" s="1" t="n">
        <v>24.38</v>
      </c>
      <c r="G1330" s="1" t="n">
        <v>14</v>
      </c>
      <c r="H1330" s="1" t="n">
        <v>0</v>
      </c>
      <c r="I1330" s="1" t="n">
        <v>4.72</v>
      </c>
      <c r="J1330" t="n">
        <v>28110510</v>
      </c>
    </row>
    <row r="1331" ht="15.75" customHeight="1" s="201">
      <c r="A1331" s="1" t="inlineStr">
        <is>
          <t>Beef, short loin, t-bone steak, separable lean and fat, trimmed to 1/8" fat, all grades, cooked, grilled</t>
        </is>
      </c>
      <c r="C1331" s="1" t="n">
        <v>0</v>
      </c>
      <c r="D1331" s="1" t="n">
        <v>6</v>
      </c>
      <c r="E1331" s="1" t="n">
        <v>3.24</v>
      </c>
      <c r="F1331" s="1" t="n">
        <v>24.6</v>
      </c>
      <c r="G1331" s="1" t="n">
        <v>20.36</v>
      </c>
      <c r="H1331" s="1" t="n">
        <v>25</v>
      </c>
      <c r="I1331" s="1" t="n">
        <v>3.96</v>
      </c>
      <c r="J1331" t="n">
        <v>28110510</v>
      </c>
    </row>
    <row r="1332" ht="15.75" customHeight="1" s="201">
      <c r="A1332" s="1" t="inlineStr">
        <is>
          <t>Beef, short loin, t-bone steak, separable lean and fat, trimmed to 1/8" fat, all grades, raw</t>
        </is>
      </c>
      <c r="C1332" s="1" t="n">
        <v>0</v>
      </c>
      <c r="D1332" s="1" t="n">
        <v>3</v>
      </c>
      <c r="E1332" s="1" t="n">
        <v>1.64</v>
      </c>
      <c r="F1332" s="1" t="n">
        <v>20.11</v>
      </c>
      <c r="G1332" s="1" t="n">
        <v>15.18</v>
      </c>
      <c r="H1332" s="1" t="n">
        <v>15</v>
      </c>
      <c r="I1332" s="1" t="n">
        <v>3.32</v>
      </c>
      <c r="J1332" t="n">
        <v>28110510</v>
      </c>
    </row>
    <row r="1333" ht="15.75" customHeight="1" s="201">
      <c r="A1333" s="1" t="inlineStr">
        <is>
          <t>Beef, short loin, t-bone steak, separable lean and fat, trimmed to 1/8" fat, choice, cooked, grilled</t>
        </is>
      </c>
      <c r="C1333" s="1" t="n">
        <v>0</v>
      </c>
      <c r="D1333" s="1" t="n">
        <v>6</v>
      </c>
      <c r="E1333" s="1" t="n">
        <v>3.24</v>
      </c>
      <c r="F1333" s="1" t="n">
        <v>24.21</v>
      </c>
      <c r="G1333" s="1" t="n">
        <v>21.13</v>
      </c>
      <c r="H1333" s="1" t="n">
        <v>25</v>
      </c>
      <c r="I1333" s="1" t="n">
        <v>4.02</v>
      </c>
      <c r="J1333" t="n">
        <v>28110510</v>
      </c>
    </row>
    <row r="1334" ht="15.75" customHeight="1" s="201">
      <c r="A1334" s="1" t="inlineStr">
        <is>
          <t>Beef, short loin, t-bone steak, separable lean and fat, trimmed to 1/8" fat, choice, raw</t>
        </is>
      </c>
      <c r="C1334" s="1" t="n">
        <v>0</v>
      </c>
      <c r="D1334" s="1" t="n">
        <v>5</v>
      </c>
      <c r="E1334" s="1" t="n">
        <v>1.64</v>
      </c>
      <c r="F1334" s="1" t="n">
        <v>20</v>
      </c>
      <c r="G1334" s="1" t="n">
        <v>15.83</v>
      </c>
      <c r="H1334" s="1" t="n">
        <v>14</v>
      </c>
      <c r="I1334" s="1" t="n">
        <v>3.31</v>
      </c>
      <c r="J1334" t="n">
        <v>28110510</v>
      </c>
    </row>
    <row r="1335" ht="15.75" customHeight="1" s="201">
      <c r="A1335" s="1" t="inlineStr">
        <is>
          <t>Beef, short loin, t-bone steak, separable lean and fat, trimmed to 1/8" fat, select, cooked, grilled</t>
        </is>
      </c>
      <c r="C1335" s="1" t="n">
        <v>0</v>
      </c>
      <c r="D1335" s="1" t="n">
        <v>6</v>
      </c>
      <c r="E1335" s="1" t="n">
        <v>3.32</v>
      </c>
      <c r="F1335" s="1" t="n">
        <v>25.18</v>
      </c>
      <c r="G1335" s="1" t="n">
        <v>19.22</v>
      </c>
      <c r="H1335" s="1" t="n">
        <v>26</v>
      </c>
      <c r="I1335" s="1" t="n">
        <v>3.86</v>
      </c>
      <c r="J1335" t="n">
        <v>28110510</v>
      </c>
    </row>
    <row r="1336" ht="15.75" customHeight="1" s="201">
      <c r="A1336" s="1" t="inlineStr">
        <is>
          <t>Beef, short loin, t-bone steak, separable lean and fat, trimmed to 1/8" fat, select, raw</t>
        </is>
      </c>
      <c r="C1336" s="1" t="n">
        <v>0</v>
      </c>
      <c r="D1336" s="1" t="n">
        <v>3</v>
      </c>
      <c r="E1336" s="1" t="n">
        <v>1.73</v>
      </c>
      <c r="F1336" s="1" t="n">
        <v>20.28</v>
      </c>
      <c r="G1336" s="1" t="n">
        <v>14.19</v>
      </c>
      <c r="H1336" s="1" t="n">
        <v>15</v>
      </c>
      <c r="I1336" s="1" t="n">
        <v>3.43</v>
      </c>
      <c r="J1336" t="n">
        <v>28110510</v>
      </c>
    </row>
    <row r="1337" ht="15.75" customHeight="1" s="201">
      <c r="A1337" s="1" t="inlineStr">
        <is>
          <t>Beef, short loin, t-bone steak, separable lean only, trimmed to 0" fat, choice, cooked, broiled</t>
        </is>
      </c>
      <c r="C1337" s="1" t="n">
        <v>0</v>
      </c>
      <c r="D1337" s="1" t="n">
        <v>8</v>
      </c>
      <c r="E1337" s="1" t="n">
        <v>3.66</v>
      </c>
      <c r="F1337" s="1" t="n">
        <v>25.98</v>
      </c>
      <c r="G1337" s="1" t="n">
        <v>9.609999999999999</v>
      </c>
      <c r="H1337" s="1" t="n">
        <v>0</v>
      </c>
      <c r="I1337" s="1" t="n">
        <v>5.11</v>
      </c>
      <c r="J1337" t="n">
        <v>28110510</v>
      </c>
    </row>
    <row r="1338" ht="15.75" customHeight="1" s="201">
      <c r="A1338" s="1" t="inlineStr">
        <is>
          <t>Beef, short loin, t-bone steak, separable lean only, trimmed to 0" fat, select, cooked, broiled</t>
        </is>
      </c>
      <c r="C1338" s="1" t="n">
        <v>0</v>
      </c>
      <c r="D1338" s="1" t="n">
        <v>8</v>
      </c>
      <c r="E1338" s="1" t="n">
        <v>3.66</v>
      </c>
      <c r="F1338" s="1" t="n">
        <v>26</v>
      </c>
      <c r="G1338" s="1" t="n">
        <v>7.36</v>
      </c>
      <c r="H1338" s="1" t="n">
        <v>0</v>
      </c>
      <c r="I1338" s="1" t="n">
        <v>5.11</v>
      </c>
      <c r="J1338" t="n">
        <v>28110510</v>
      </c>
    </row>
    <row r="1339" ht="15.75" customHeight="1" s="201">
      <c r="A1339" s="1" t="inlineStr">
        <is>
          <t>Beef, short loin, top loin steak, separable lean only, trimmed to 1/8" fat, all grades, raw</t>
        </is>
      </c>
      <c r="C1339" s="1" t="n">
        <v>0</v>
      </c>
      <c r="D1339" s="1" t="n">
        <v>13</v>
      </c>
      <c r="E1339" s="1" t="n">
        <v>1.64</v>
      </c>
      <c r="F1339" s="1" t="n">
        <v>22.93</v>
      </c>
      <c r="G1339" s="1" t="n">
        <v>5.15</v>
      </c>
      <c r="H1339" s="1" t="n">
        <v>0</v>
      </c>
      <c r="I1339" s="1" t="n">
        <v>4.1</v>
      </c>
      <c r="J1339" t="n">
        <v>23104020</v>
      </c>
    </row>
    <row r="1340" ht="15.75" customHeight="1" s="201">
      <c r="A1340" s="1" t="inlineStr">
        <is>
          <t>Beef, short loin, top loin, separable lean and fat, trimmed to 1/8" fat, prime, cooked, broiled</t>
        </is>
      </c>
      <c r="C1340" s="1" t="n">
        <v>0</v>
      </c>
      <c r="D1340" s="1" t="n">
        <v>7</v>
      </c>
      <c r="E1340" s="1" t="n">
        <v>2.26</v>
      </c>
      <c r="F1340" s="1" t="n">
        <v>25.92</v>
      </c>
      <c r="G1340" s="1" t="n">
        <v>22.12</v>
      </c>
      <c r="H1340" s="1" t="n">
        <v>0</v>
      </c>
      <c r="I1340" s="1" t="n">
        <v>4.65</v>
      </c>
      <c r="J1340" t="n">
        <v>28110510</v>
      </c>
    </row>
    <row r="1341" ht="15.75" customHeight="1" s="201">
      <c r="A1341" s="1" t="inlineStr">
        <is>
          <t>Beef, short loin, top loin, steak, separable lean and fat, trimmed to 1/8" fat, all grades, raw</t>
        </is>
      </c>
      <c r="C1341" s="1" t="n">
        <v>0</v>
      </c>
      <c r="D1341" s="1" t="n">
        <v>11</v>
      </c>
      <c r="E1341" s="1" t="n">
        <v>1.47</v>
      </c>
      <c r="F1341" s="1" t="n">
        <v>20.61</v>
      </c>
      <c r="G1341" s="1" t="n">
        <v>15.49</v>
      </c>
      <c r="H1341" s="1" t="n">
        <v>0</v>
      </c>
      <c r="I1341" s="1" t="n">
        <v>3.53</v>
      </c>
      <c r="J1341" t="n">
        <v>28110510</v>
      </c>
    </row>
    <row r="1342" ht="15.75" customHeight="1" s="201">
      <c r="A1342" s="1" t="inlineStr">
        <is>
          <t>Beef, short loin, top loin, steak, separable lean and fat, trimmed to 1/8" fat, choice, cooked, grilled</t>
        </is>
      </c>
      <c r="C1342" s="1" t="n">
        <v>0</v>
      </c>
      <c r="D1342" s="1" t="n">
        <v>8</v>
      </c>
      <c r="E1342" s="1" t="n">
        <v>1.75</v>
      </c>
      <c r="F1342" s="1" t="n">
        <v>26.16</v>
      </c>
      <c r="G1342" s="1" t="n">
        <v>18.45</v>
      </c>
      <c r="H1342" s="1" t="n">
        <v>0</v>
      </c>
      <c r="I1342" s="1" t="n">
        <v>4.65</v>
      </c>
      <c r="J1342" t="n">
        <v>23104010</v>
      </c>
    </row>
    <row r="1343" ht="15.75" customHeight="1" s="201">
      <c r="A1343" s="1" t="inlineStr">
        <is>
          <t>Beef, short loin, top loin, steak, separable lean and fat, trimmed to 1/8" fat, prime, raw</t>
        </is>
      </c>
      <c r="C1343" s="1" t="n">
        <v>0</v>
      </c>
      <c r="D1343" s="1" t="n">
        <v>6</v>
      </c>
      <c r="E1343" s="1" t="n">
        <v>1.58</v>
      </c>
      <c r="F1343" s="1" t="n">
        <v>19</v>
      </c>
      <c r="G1343" s="1" t="n">
        <v>22.17</v>
      </c>
      <c r="H1343" s="1" t="n">
        <v>0</v>
      </c>
      <c r="I1343" s="1" t="n">
        <v>3.14</v>
      </c>
      <c r="J1343" t="n">
        <v>28110510</v>
      </c>
    </row>
    <row r="1344" ht="15.75" customHeight="1" s="201">
      <c r="A1344" s="1" t="inlineStr">
        <is>
          <t>Beef, short loin, top loin, steak, separable lean only, trimmed to 1/8" fat, all grades, cooked, broiled</t>
        </is>
      </c>
      <c r="C1344" s="1" t="n">
        <v>0</v>
      </c>
      <c r="D1344" s="1" t="n">
        <v>10</v>
      </c>
      <c r="E1344" s="1" t="n">
        <v>1.85</v>
      </c>
      <c r="F1344" s="1" t="n">
        <v>29.3</v>
      </c>
      <c r="G1344" s="1" t="n">
        <v>7.09</v>
      </c>
      <c r="H1344" s="1" t="n">
        <v>0</v>
      </c>
      <c r="I1344" s="1" t="n">
        <v>5.41</v>
      </c>
      <c r="J1344" t="n">
        <v>23104020</v>
      </c>
    </row>
    <row r="1345" ht="15.75" customHeight="1" s="201">
      <c r="A1345" s="1" t="inlineStr">
        <is>
          <t>Beef, short loin, top loin, steak, separable lean only, trimmed to 1/8" fat, choice, cooked, broiled</t>
        </is>
      </c>
      <c r="C1345" s="1" t="n">
        <v>0</v>
      </c>
      <c r="D1345" s="1" t="n">
        <v>10</v>
      </c>
      <c r="E1345" s="1" t="n">
        <v>1.97</v>
      </c>
      <c r="F1345" s="1" t="n">
        <v>29.16</v>
      </c>
      <c r="G1345" s="1" t="n">
        <v>8.449999999999999</v>
      </c>
      <c r="H1345" s="1" t="n">
        <v>0</v>
      </c>
      <c r="I1345" s="1" t="n">
        <v>5.47</v>
      </c>
      <c r="J1345" t="n">
        <v>23104020</v>
      </c>
    </row>
    <row r="1346" ht="15.75" customHeight="1" s="201">
      <c r="A1346" s="1" t="inlineStr">
        <is>
          <t>Beef, short loin, top loin, steak, separable lean only, trimmed to 1/8" fat, choice, raw</t>
        </is>
      </c>
      <c r="C1346" s="1" t="n">
        <v>0</v>
      </c>
      <c r="D1346" s="1" t="n">
        <v>13</v>
      </c>
      <c r="E1346" s="1" t="n">
        <v>1.66</v>
      </c>
      <c r="F1346" s="1" t="n">
        <v>22.78</v>
      </c>
      <c r="G1346" s="1" t="n">
        <v>6.43</v>
      </c>
      <c r="H1346" s="1" t="n">
        <v>0</v>
      </c>
      <c r="I1346" s="1" t="n">
        <v>4.22</v>
      </c>
      <c r="J1346" t="n">
        <v>23104020</v>
      </c>
    </row>
    <row r="1347" ht="15.75" customHeight="1" s="201">
      <c r="A1347" s="1" t="inlineStr">
        <is>
          <t>Beef, short loin, top loin, steak, separable lean only, trimmed to 1/8" fat, select, cooked, grilled</t>
        </is>
      </c>
      <c r="C1347" s="1" t="n">
        <v>0</v>
      </c>
      <c r="D1347" s="1" t="n">
        <v>10</v>
      </c>
      <c r="E1347" s="1" t="n">
        <v>1.81</v>
      </c>
      <c r="F1347" s="1" t="n">
        <v>29.44</v>
      </c>
      <c r="G1347" s="1" t="n">
        <v>5.73</v>
      </c>
      <c r="H1347" s="1" t="n">
        <v>0</v>
      </c>
      <c r="I1347" s="1" t="n">
        <v>5.38</v>
      </c>
      <c r="J1347" t="n">
        <v>23104020</v>
      </c>
    </row>
    <row r="1348" ht="15.75" customHeight="1" s="201">
      <c r="A1348" s="1" t="inlineStr">
        <is>
          <t>Beef, short loin, top loin, steak, separable lean only, trimmed to 1/8" fat, select, raw</t>
        </is>
      </c>
      <c r="C1348" s="1" t="n">
        <v>0</v>
      </c>
      <c r="D1348" s="1" t="n">
        <v>13</v>
      </c>
      <c r="E1348" s="1" t="n">
        <v>1.63</v>
      </c>
      <c r="F1348" s="1" t="n">
        <v>23.07</v>
      </c>
      <c r="G1348" s="1" t="n">
        <v>3.88</v>
      </c>
      <c r="H1348" s="1" t="n">
        <v>0</v>
      </c>
      <c r="I1348" s="1" t="n">
        <v>4.05</v>
      </c>
      <c r="J1348" t="n">
        <v>23104020</v>
      </c>
    </row>
    <row r="1349" ht="15.75" customHeight="1" s="201">
      <c r="A1349" s="1" t="inlineStr">
        <is>
          <t>Beef, shoulder pot roast or steak, boneless, separable lean and fat, trimmed to 0" fat, all grades, raw</t>
        </is>
      </c>
      <c r="C1349" s="1" t="n">
        <v>0</v>
      </c>
      <c r="D1349" s="1" t="n">
        <v>3</v>
      </c>
      <c r="E1349" s="1" t="n">
        <v>2.62</v>
      </c>
      <c r="F1349" s="1" t="n">
        <v>21.39</v>
      </c>
      <c r="G1349" s="1" t="n">
        <v>4.97</v>
      </c>
      <c r="H1349" s="1" t="n">
        <v>11</v>
      </c>
      <c r="I1349" s="1" t="n">
        <v>6.78</v>
      </c>
      <c r="J1349" t="n">
        <v>27513010</v>
      </c>
    </row>
    <row r="1350" ht="15.75" customHeight="1" s="201">
      <c r="A1350" s="1" t="inlineStr">
        <is>
          <t>Beef, shoulder pot roast or steak, boneless, separable lean and fat, trimmed to 0" fat, choice, raw</t>
        </is>
      </c>
      <c r="C1350" s="1" t="n">
        <v>0.07000000000000001</v>
      </c>
      <c r="D1350" s="1" t="n">
        <v>3</v>
      </c>
      <c r="E1350" s="1" t="n">
        <v>2.66</v>
      </c>
      <c r="F1350" s="1" t="n">
        <v>21.17</v>
      </c>
      <c r="G1350" s="1" t="n">
        <v>5.33</v>
      </c>
      <c r="H1350" s="1" t="n">
        <v>11</v>
      </c>
      <c r="I1350" s="1" t="n">
        <v>6.72</v>
      </c>
      <c r="J1350" t="n">
        <v>27513010</v>
      </c>
    </row>
    <row r="1351" ht="15.75" customHeight="1" s="201">
      <c r="A1351" s="1" t="inlineStr">
        <is>
          <t>Beef, shoulder pot roast or steak, boneless, separable lean and fat, trimmed to 0" fat, select, raw</t>
        </is>
      </c>
      <c r="C1351" s="1" t="n">
        <v>0</v>
      </c>
      <c r="D1351" s="1" t="n">
        <v>3</v>
      </c>
      <c r="E1351" s="1" t="n">
        <v>2.56</v>
      </c>
      <c r="F1351" s="1" t="n">
        <v>21.72</v>
      </c>
      <c r="G1351" s="1" t="n">
        <v>4.44</v>
      </c>
      <c r="H1351" s="1" t="n">
        <v>12</v>
      </c>
      <c r="I1351" s="1" t="n">
        <v>6.88</v>
      </c>
      <c r="J1351" t="n">
        <v>27513010</v>
      </c>
    </row>
    <row r="1352" ht="15.75" customHeight="1" s="201">
      <c r="A1352" s="1" t="inlineStr">
        <is>
          <t>Beef, shoulder pot roast or steak, boneless, separable lean only, trimmed to 0" fat, all grades, raw</t>
        </is>
      </c>
      <c r="C1352" s="1" t="n">
        <v>0</v>
      </c>
      <c r="D1352" s="1" t="n">
        <v>3</v>
      </c>
      <c r="E1352" s="1" t="n">
        <v>2.64</v>
      </c>
      <c r="F1352" s="1" t="n">
        <v>21.64</v>
      </c>
      <c r="G1352" s="1" t="n">
        <v>4.09</v>
      </c>
      <c r="H1352" s="1" t="n">
        <v>6</v>
      </c>
      <c r="I1352" s="1" t="n">
        <v>6.86</v>
      </c>
      <c r="J1352" t="n">
        <v>27513010</v>
      </c>
    </row>
    <row r="1353" ht="15.75" customHeight="1" s="201">
      <c r="A1353" s="1" t="inlineStr">
        <is>
          <t>Beef, shoulder pot roast or steak, boneless, separable lean only, trimmed to 0" fat, choice, raw</t>
        </is>
      </c>
      <c r="C1353" s="1" t="n">
        <v>0.11</v>
      </c>
      <c r="D1353" s="1" t="n">
        <v>4</v>
      </c>
      <c r="E1353" s="1" t="n">
        <v>2.69</v>
      </c>
      <c r="F1353" s="1" t="n">
        <v>21.45</v>
      </c>
      <c r="G1353" s="1" t="n">
        <v>4.35</v>
      </c>
      <c r="H1353" s="1" t="n">
        <v>5</v>
      </c>
      <c r="I1353" s="1" t="n">
        <v>6.81</v>
      </c>
      <c r="J1353" t="n">
        <v>27513010</v>
      </c>
    </row>
    <row r="1354" ht="15.75" customHeight="1" s="201">
      <c r="A1354" s="1" t="inlineStr">
        <is>
          <t>Beef, shoulder pot roast or steak, boneless, separable lean only, trimmed to 0" fat, select, raw</t>
        </is>
      </c>
      <c r="C1354" s="1" t="n">
        <v>0</v>
      </c>
      <c r="D1354" s="1" t="n">
        <v>4</v>
      </c>
      <c r="E1354" s="1" t="n">
        <v>2.57</v>
      </c>
      <c r="F1354" s="1" t="n">
        <v>21.93</v>
      </c>
      <c r="G1354" s="1" t="n">
        <v>3.7</v>
      </c>
      <c r="H1354" s="1" t="n">
        <v>7</v>
      </c>
      <c r="I1354" s="1" t="n">
        <v>6.95</v>
      </c>
      <c r="J1354" t="n">
        <v>27513010</v>
      </c>
    </row>
    <row r="1355" ht="15.75" customHeight="1" s="201">
      <c r="A1355" s="1" t="inlineStr">
        <is>
          <t>Beef, shoulder pot roast, boneless, separable lean and fat, trimmed to 0" fat, all grades, cooked, braised</t>
        </is>
      </c>
      <c r="C1355" s="1" t="n">
        <v>0</v>
      </c>
      <c r="D1355" s="1" t="n">
        <v>8</v>
      </c>
      <c r="E1355" s="1" t="n">
        <v>3.53</v>
      </c>
      <c r="F1355" s="1" t="n">
        <v>31.03</v>
      </c>
      <c r="G1355" s="1" t="n">
        <v>8.92</v>
      </c>
      <c r="H1355" s="1" t="n">
        <v>22</v>
      </c>
      <c r="I1355" s="1" t="n">
        <v>9.24</v>
      </c>
      <c r="J1355" t="n">
        <v>27513010</v>
      </c>
    </row>
    <row r="1356" ht="15.75" customHeight="1" s="201">
      <c r="A1356" s="1" t="inlineStr">
        <is>
          <t>Beef, shoulder pot roast, boneless, separable lean and fat, trimmed to 0" fat, choice, cooked, braised</t>
        </is>
      </c>
      <c r="C1356" s="1" t="n">
        <v>0</v>
      </c>
      <c r="D1356" s="1" t="n">
        <v>8</v>
      </c>
      <c r="E1356" s="1" t="n">
        <v>3.7</v>
      </c>
      <c r="F1356" s="1" t="n">
        <v>30.93</v>
      </c>
      <c r="G1356" s="1" t="n">
        <v>9.25</v>
      </c>
      <c r="H1356" s="1" t="n">
        <v>22</v>
      </c>
      <c r="I1356" s="1" t="n">
        <v>9.220000000000001</v>
      </c>
      <c r="J1356" t="n">
        <v>27513010</v>
      </c>
    </row>
    <row r="1357" ht="15.75" customHeight="1" s="201">
      <c r="A1357" s="1" t="inlineStr">
        <is>
          <t>Beef, shoulder pot roast, boneless, separable lean and fat, trimmed to 0" fat, select, cooked, braised</t>
        </is>
      </c>
      <c r="C1357" s="1" t="n">
        <v>0</v>
      </c>
      <c r="D1357" s="1" t="n">
        <v>8</v>
      </c>
      <c r="E1357" s="1" t="n">
        <v>3.29</v>
      </c>
      <c r="F1357" s="1" t="n">
        <v>31.18</v>
      </c>
      <c r="G1357" s="1" t="n">
        <v>8.41</v>
      </c>
      <c r="H1357" s="1" t="n">
        <v>24</v>
      </c>
      <c r="I1357" s="1" t="n">
        <v>9.279999999999999</v>
      </c>
      <c r="J1357" t="n">
        <v>27513010</v>
      </c>
    </row>
    <row r="1358" ht="15.75" customHeight="1" s="201">
      <c r="A1358" s="1" t="inlineStr">
        <is>
          <t>Beef, shoulder pot roast, boneless, separable lean only, trimmed to 0" fat, all grades, cooked, braised</t>
        </is>
      </c>
      <c r="C1358" s="1" t="n">
        <v>0</v>
      </c>
      <c r="D1358" s="1" t="n">
        <v>8</v>
      </c>
      <c r="E1358" s="1" t="n">
        <v>3.6</v>
      </c>
      <c r="F1358" s="1" t="n">
        <v>31.48</v>
      </c>
      <c r="G1358" s="1" t="n">
        <v>7.78</v>
      </c>
      <c r="H1358" s="1" t="n">
        <v>6</v>
      </c>
      <c r="I1358" s="1" t="n">
        <v>9.44</v>
      </c>
      <c r="J1358" t="n">
        <v>27513010</v>
      </c>
    </row>
    <row r="1359" ht="15.75" customHeight="1" s="201">
      <c r="A1359" s="1" t="inlineStr">
        <is>
          <t>Beef, shoulder pot roast, boneless, separable lean only, trimmed to 0" fat, choice, cooked, braised</t>
        </is>
      </c>
      <c r="C1359" s="1" t="n">
        <v>0</v>
      </c>
      <c r="D1359" s="1" t="n">
        <v>8</v>
      </c>
      <c r="E1359" s="1" t="n">
        <v>3.76</v>
      </c>
      <c r="F1359" s="1" t="n">
        <v>31.32</v>
      </c>
      <c r="G1359" s="1" t="n">
        <v>8.300000000000001</v>
      </c>
      <c r="H1359" s="1" t="n">
        <v>5</v>
      </c>
      <c r="I1359" s="1" t="n">
        <v>9.390000000000001</v>
      </c>
      <c r="J1359" t="n">
        <v>27513010</v>
      </c>
    </row>
    <row r="1360" ht="15.75" customHeight="1" s="201">
      <c r="A1360" s="1" t="inlineStr">
        <is>
          <t>Beef, shoulder pot roast, boneless, separable lean only, trimmed to 0" fat, select, cooked, braised</t>
        </is>
      </c>
      <c r="C1360" s="1" t="n">
        <v>0</v>
      </c>
      <c r="D1360" s="1" t="n">
        <v>8</v>
      </c>
      <c r="E1360" s="1" t="n">
        <v>3.36</v>
      </c>
      <c r="F1360" s="1" t="n">
        <v>31.71</v>
      </c>
      <c r="G1360" s="1" t="n">
        <v>7.02</v>
      </c>
      <c r="H1360" s="1" t="n">
        <v>7</v>
      </c>
      <c r="I1360" s="1" t="n">
        <v>9.529999999999999</v>
      </c>
      <c r="J1360" t="n">
        <v>27513010</v>
      </c>
    </row>
    <row r="1361" ht="15.75" customHeight="1" s="201">
      <c r="A1361" s="1" t="inlineStr">
        <is>
          <t>Beef, shoulder steak, boneless, separable lean and fat, trimmed to 0" fat, all grades, cooked, grilled</t>
        </is>
      </c>
      <c r="C1361" s="1" t="n">
        <v>0</v>
      </c>
      <c r="D1361" s="1" t="n">
        <v>7</v>
      </c>
      <c r="E1361" s="1" t="n">
        <v>2.9</v>
      </c>
      <c r="F1361" s="1" t="n">
        <v>28.29</v>
      </c>
      <c r="G1361" s="1" t="n">
        <v>6.8</v>
      </c>
      <c r="H1361" s="1" t="n">
        <v>20</v>
      </c>
      <c r="I1361" s="1" t="n">
        <v>8.039999999999999</v>
      </c>
      <c r="J1361" t="n">
        <v>28110510</v>
      </c>
    </row>
    <row r="1362" ht="15.75" customHeight="1" s="201">
      <c r="A1362" s="1" t="inlineStr">
        <is>
          <t>Beef, shoulder steak, boneless, separable lean and fat, trimmed to 0" fat, choice, cooked, grilled</t>
        </is>
      </c>
      <c r="C1362" s="1" t="n">
        <v>0</v>
      </c>
      <c r="D1362" s="1" t="n">
        <v>7</v>
      </c>
      <c r="E1362" s="1" t="n">
        <v>2.9</v>
      </c>
      <c r="F1362" s="1" t="n">
        <v>28.22</v>
      </c>
      <c r="G1362" s="1" t="n">
        <v>7.25</v>
      </c>
      <c r="H1362" s="1" t="n">
        <v>19</v>
      </c>
      <c r="I1362" s="1" t="n">
        <v>7.89</v>
      </c>
      <c r="J1362" t="n">
        <v>28110510</v>
      </c>
    </row>
    <row r="1363" ht="15.75" customHeight="1" s="201">
      <c r="A1363" s="1" t="inlineStr">
        <is>
          <t>Beef, shoulder steak, boneless, separable lean and fat, trimmed to 0" fat, select, cooked, grilled</t>
        </is>
      </c>
      <c r="C1363" s="1" t="n">
        <v>0</v>
      </c>
      <c r="D1363" s="1" t="n">
        <v>7</v>
      </c>
      <c r="E1363" s="1" t="n">
        <v>2.89</v>
      </c>
      <c r="F1363" s="1" t="n">
        <v>28.41</v>
      </c>
      <c r="G1363" s="1" t="n">
        <v>6.14</v>
      </c>
      <c r="H1363" s="1" t="n">
        <v>21</v>
      </c>
      <c r="I1363" s="1" t="n">
        <v>8.27</v>
      </c>
      <c r="J1363" t="n">
        <v>28110510</v>
      </c>
    </row>
    <row r="1364" ht="15.75" customHeight="1" s="201">
      <c r="A1364" s="1" t="inlineStr">
        <is>
          <t>Beef, shoulder steak, boneless, separable lean only, trimmed to 0" fat, all grades, cooked, grilled</t>
        </is>
      </c>
      <c r="C1364" s="1" t="n">
        <v>0</v>
      </c>
      <c r="D1364" s="1" t="n">
        <v>7</v>
      </c>
      <c r="E1364" s="1" t="n">
        <v>2.94</v>
      </c>
      <c r="F1364" s="1" t="n">
        <v>28.6</v>
      </c>
      <c r="G1364" s="1" t="n">
        <v>5.82</v>
      </c>
      <c r="H1364" s="1" t="n">
        <v>5</v>
      </c>
      <c r="I1364" s="1" t="n">
        <v>8.19</v>
      </c>
      <c r="J1364" t="n">
        <v>28110510</v>
      </c>
    </row>
    <row r="1365" ht="15.75" customHeight="1" s="201">
      <c r="A1365" s="1" t="inlineStr">
        <is>
          <t>Beef, shoulder steak, boneless, separable lean only, trimmed to 0" fat, choice, cooked, grilled</t>
        </is>
      </c>
      <c r="C1365" s="1" t="n">
        <v>0</v>
      </c>
      <c r="D1365" s="1" t="n">
        <v>7</v>
      </c>
      <c r="E1365" s="1" t="n">
        <v>2.95</v>
      </c>
      <c r="F1365" s="1" t="n">
        <v>28.54</v>
      </c>
      <c r="G1365" s="1" t="n">
        <v>6.25</v>
      </c>
      <c r="H1365" s="1" t="n">
        <v>4</v>
      </c>
      <c r="I1365" s="1" t="n">
        <v>8.029999999999999</v>
      </c>
      <c r="J1365" t="n">
        <v>28110510</v>
      </c>
    </row>
    <row r="1366" ht="15.75" customHeight="1" s="201">
      <c r="A1366" s="1" t="inlineStr">
        <is>
          <t>Beef, shoulder steak, boneless, separable lean only, trimmed to 0" fat, select, cooked, grilled</t>
        </is>
      </c>
      <c r="C1366" s="1" t="n">
        <v>0</v>
      </c>
      <c r="D1366" s="1" t="n">
        <v>7</v>
      </c>
      <c r="E1366" s="1" t="n">
        <v>2.94</v>
      </c>
      <c r="F1366" s="1" t="n">
        <v>28.71</v>
      </c>
      <c r="G1366" s="1" t="n">
        <v>5.17</v>
      </c>
      <c r="H1366" s="1" t="n">
        <v>6</v>
      </c>
      <c r="I1366" s="1" t="n">
        <v>8.43</v>
      </c>
      <c r="J1366" t="n">
        <v>28110510</v>
      </c>
    </row>
    <row r="1367" ht="15.75" customHeight="1" s="201">
      <c r="A1367" s="1" t="inlineStr">
        <is>
          <t>Beef, shoulder top blade steak, boneless, separable lean and fat, trimmed to 0" fat, all grades, cooked, grilled</t>
        </is>
      </c>
      <c r="C1367" s="1" t="n">
        <v>0</v>
      </c>
      <c r="D1367" s="1" t="n">
        <v>7</v>
      </c>
      <c r="E1367" s="1" t="n">
        <v>3.04</v>
      </c>
      <c r="F1367" s="1" t="n">
        <v>27.59</v>
      </c>
      <c r="G1367" s="1" t="n">
        <v>11.07</v>
      </c>
      <c r="H1367" s="1" t="n">
        <v>22</v>
      </c>
      <c r="I1367" s="1" t="n">
        <v>9.48</v>
      </c>
      <c r="J1367" t="n">
        <v>28110510</v>
      </c>
    </row>
    <row r="1368" ht="15.75" customHeight="1" s="201">
      <c r="A1368" s="1" t="inlineStr">
        <is>
          <t>Beef, shoulder top blade steak, boneless, separable lean and fat, trimmed to 0" fat, all grades, raw</t>
        </is>
      </c>
      <c r="C1368" s="1" t="n">
        <v>0</v>
      </c>
      <c r="D1368" s="1" t="n">
        <v>3</v>
      </c>
      <c r="E1368" s="1" t="n">
        <v>2.49</v>
      </c>
      <c r="F1368" s="1" t="n">
        <v>20.16</v>
      </c>
      <c r="G1368" s="1" t="n">
        <v>7.25</v>
      </c>
      <c r="H1368" s="1" t="n">
        <v>11</v>
      </c>
      <c r="I1368" s="1" t="n">
        <v>7.55</v>
      </c>
      <c r="J1368" t="n">
        <v>28110510</v>
      </c>
    </row>
    <row r="1369" ht="15.75" customHeight="1" s="201">
      <c r="A1369" s="1" t="inlineStr">
        <is>
          <t>Beef, shoulder top blade steak, boneless, separable lean and fat, trimmed to 0" fat, choice, cooked, grilled</t>
        </is>
      </c>
      <c r="C1369" s="1" t="n">
        <v>0</v>
      </c>
      <c r="D1369" s="1" t="n">
        <v>7</v>
      </c>
      <c r="E1369" s="1" t="n">
        <v>3.11</v>
      </c>
      <c r="F1369" s="1" t="n">
        <v>27.51</v>
      </c>
      <c r="G1369" s="1" t="n">
        <v>12.26</v>
      </c>
      <c r="H1369" s="1" t="n">
        <v>21</v>
      </c>
      <c r="I1369" s="1" t="n">
        <v>9.4</v>
      </c>
      <c r="J1369" t="n">
        <v>28110510</v>
      </c>
    </row>
    <row r="1370" ht="15.75" customHeight="1" s="201">
      <c r="A1370" s="1" t="inlineStr">
        <is>
          <t>Beef, shoulder top blade steak, boneless, separable lean and fat, trimmed to 0" fat, choice, raw</t>
        </is>
      </c>
      <c r="C1370" s="1" t="n">
        <v>0</v>
      </c>
      <c r="D1370" s="1" t="n">
        <v>3</v>
      </c>
      <c r="E1370" s="1" t="n">
        <v>2.5</v>
      </c>
      <c r="F1370" s="1" t="n">
        <v>20.07</v>
      </c>
      <c r="G1370" s="1" t="n">
        <v>7.94</v>
      </c>
      <c r="H1370" s="1" t="n">
        <v>11</v>
      </c>
      <c r="I1370" s="1" t="n">
        <v>7.53</v>
      </c>
      <c r="J1370" t="n">
        <v>28110510</v>
      </c>
    </row>
    <row r="1371" ht="15.75" customHeight="1" s="201">
      <c r="A1371" s="1" t="inlineStr">
        <is>
          <t>Beef, shoulder top blade steak, boneless, separable lean and fat, trimmed to 0" fat, select, cooked, grilled</t>
        </is>
      </c>
      <c r="C1371" s="1" t="n">
        <v>0</v>
      </c>
      <c r="D1371" s="1" t="n">
        <v>7</v>
      </c>
      <c r="E1371" s="1" t="n">
        <v>3.02</v>
      </c>
      <c r="F1371" s="1" t="n">
        <v>27.7</v>
      </c>
      <c r="G1371" s="1" t="n">
        <v>9.289999999999999</v>
      </c>
      <c r="H1371" s="1" t="n">
        <v>22</v>
      </c>
      <c r="I1371" s="1" t="n">
        <v>9.710000000000001</v>
      </c>
      <c r="J1371" t="n">
        <v>28110510</v>
      </c>
    </row>
    <row r="1372" ht="15.75" customHeight="1" s="201">
      <c r="A1372" s="1" t="inlineStr">
        <is>
          <t>Beef, shoulder top blade steak, boneless, separable lean and fat, trimmed to 0" fat, select, raw</t>
        </is>
      </c>
      <c r="C1372" s="1" t="n">
        <v>0</v>
      </c>
      <c r="D1372" s="1" t="n">
        <v>3</v>
      </c>
      <c r="E1372" s="1" t="n">
        <v>2.49</v>
      </c>
      <c r="F1372" s="1" t="n">
        <v>20.28</v>
      </c>
      <c r="G1372" s="1" t="n">
        <v>6.21</v>
      </c>
      <c r="H1372" s="1" t="n">
        <v>12</v>
      </c>
      <c r="I1372" s="1" t="n">
        <v>7.84</v>
      </c>
      <c r="J1372" t="n">
        <v>28110510</v>
      </c>
    </row>
    <row r="1373" ht="15.75" customHeight="1" s="201">
      <c r="A1373" s="1" t="inlineStr">
        <is>
          <t>Beef, shoulder top blade steak, boneless, separable lean only, trimmed to 0" fat, all grades, cooked, grilled</t>
        </is>
      </c>
      <c r="C1373" s="1" t="n">
        <v>0</v>
      </c>
      <c r="D1373" s="1" t="n">
        <v>7</v>
      </c>
      <c r="E1373" s="1" t="n">
        <v>3.14</v>
      </c>
      <c r="F1373" s="1" t="n">
        <v>28.15</v>
      </c>
      <c r="G1373" s="1" t="n">
        <v>9.23</v>
      </c>
      <c r="H1373" s="1" t="n">
        <v>6</v>
      </c>
      <c r="I1373" s="1" t="n">
        <v>9.82</v>
      </c>
      <c r="J1373" t="n">
        <v>28110510</v>
      </c>
    </row>
    <row r="1374" ht="15.75" customHeight="1" s="201">
      <c r="A1374" s="1" t="inlineStr">
        <is>
          <t>Beef, shoulder top blade steak, boneless, separable lean only, trimmed to 0" fat, all grades, raw</t>
        </is>
      </c>
      <c r="C1374" s="1" t="n">
        <v>0</v>
      </c>
      <c r="D1374" s="1" t="n">
        <v>3</v>
      </c>
      <c r="E1374" s="1" t="n">
        <v>2.51</v>
      </c>
      <c r="F1374" s="1" t="n">
        <v>20.36</v>
      </c>
      <c r="G1374" s="1" t="n">
        <v>6.42</v>
      </c>
      <c r="H1374" s="1" t="n">
        <v>6</v>
      </c>
      <c r="I1374" s="1" t="n">
        <v>7.63</v>
      </c>
      <c r="J1374" t="n">
        <v>28110510</v>
      </c>
    </row>
    <row r="1375" ht="15.75" customHeight="1" s="201">
      <c r="A1375" s="1" t="inlineStr">
        <is>
          <t>Beef, shoulder top blade steak, boneless, separable lean only, trimmed to 0" fat, choice, cooked, grilled</t>
        </is>
      </c>
      <c r="C1375" s="1" t="n">
        <v>0</v>
      </c>
      <c r="D1375" s="1" t="n">
        <v>7</v>
      </c>
      <c r="E1375" s="1" t="n">
        <v>3.23</v>
      </c>
      <c r="F1375" s="1" t="n">
        <v>28.28</v>
      </c>
      <c r="G1375" s="1" t="n">
        <v>9.83</v>
      </c>
      <c r="H1375" s="1" t="n">
        <v>5</v>
      </c>
      <c r="I1375" s="1" t="n">
        <v>9.85</v>
      </c>
      <c r="J1375" t="n">
        <v>28110510</v>
      </c>
    </row>
    <row r="1376" ht="15.75" customHeight="1" s="201">
      <c r="A1376" s="1" t="inlineStr">
        <is>
          <t>Beef, shoulder top blade steak, boneless, separable lean only, trimmed to 0" fat, choice, raw</t>
        </is>
      </c>
      <c r="C1376" s="1" t="n">
        <v>0</v>
      </c>
      <c r="D1376" s="1" t="n">
        <v>3</v>
      </c>
      <c r="E1376" s="1" t="n">
        <v>2.52</v>
      </c>
      <c r="F1376" s="1" t="n">
        <v>20.35</v>
      </c>
      <c r="G1376" s="1" t="n">
        <v>6.88</v>
      </c>
      <c r="H1376" s="1" t="n">
        <v>6</v>
      </c>
      <c r="I1376" s="1" t="n">
        <v>7.65</v>
      </c>
      <c r="J1376" t="n">
        <v>28110510</v>
      </c>
    </row>
    <row r="1377" ht="15.75" customHeight="1" s="201">
      <c r="A1377" s="1" t="inlineStr">
        <is>
          <t>Beef, shoulder top blade steak, boneless, separable lean only, trimmed to 0" fat, select, cooked, grilled</t>
        </is>
      </c>
      <c r="C1377" s="1" t="n">
        <v>0</v>
      </c>
      <c r="D1377" s="1" t="n">
        <v>7</v>
      </c>
      <c r="E1377" s="1" t="n">
        <v>3.07</v>
      </c>
      <c r="F1377" s="1" t="n">
        <v>27.96</v>
      </c>
      <c r="G1377" s="1" t="n">
        <v>8.34</v>
      </c>
      <c r="H1377" s="1" t="n">
        <v>7</v>
      </c>
      <c r="I1377" s="1" t="n">
        <v>9.880000000000001</v>
      </c>
      <c r="J1377" t="n">
        <v>28110510</v>
      </c>
    </row>
    <row r="1378" ht="15.75" customHeight="1" s="201">
      <c r="A1378" s="1" t="inlineStr">
        <is>
          <t>Beef, shoulder top blade steak, boneless, separable lean only, trimmed to 0" fat, select, raw</t>
        </is>
      </c>
      <c r="C1378" s="1" t="n">
        <v>0</v>
      </c>
      <c r="D1378" s="1" t="n">
        <v>3</v>
      </c>
      <c r="E1378" s="1" t="n">
        <v>2.51</v>
      </c>
      <c r="F1378" s="1" t="n">
        <v>20.39</v>
      </c>
      <c r="G1378" s="1" t="n">
        <v>5.73</v>
      </c>
      <c r="H1378" s="1" t="n">
        <v>7</v>
      </c>
      <c r="I1378" s="1" t="n">
        <v>7.9</v>
      </c>
      <c r="J1378" t="n">
        <v>28110510</v>
      </c>
    </row>
    <row r="1379" ht="15.75" customHeight="1" s="201">
      <c r="A1379" s="1" t="inlineStr">
        <is>
          <t>Beef, tenderloin, roast, separable lean and fat, trimmed to 1/8" fat, all grades, cooked, roasted</t>
        </is>
      </c>
      <c r="C1379" s="1" t="n">
        <v>0</v>
      </c>
      <c r="D1379" s="1" t="n">
        <v>8</v>
      </c>
      <c r="E1379" s="1" t="n">
        <v>3.11</v>
      </c>
      <c r="F1379" s="1" t="n">
        <v>23.9</v>
      </c>
      <c r="G1379" s="1" t="n">
        <v>24.6</v>
      </c>
      <c r="H1379" s="1" t="n">
        <v>0</v>
      </c>
      <c r="I1379" s="1" t="n">
        <v>4.03</v>
      </c>
      <c r="J1379" t="n">
        <v>28110510</v>
      </c>
    </row>
    <row r="1380" ht="15.75" customHeight="1" s="201">
      <c r="A1380" s="1" t="inlineStr">
        <is>
          <t>Beef, tenderloin, roast, separable lean and fat, trimmed to 1/8" fat, choice, cooked, roasted</t>
        </is>
      </c>
      <c r="C1380" s="1" t="n">
        <v>0</v>
      </c>
      <c r="D1380" s="1" t="n">
        <v>8</v>
      </c>
      <c r="E1380" s="1" t="n">
        <v>3.11</v>
      </c>
      <c r="F1380" s="1" t="n">
        <v>23.9</v>
      </c>
      <c r="G1380" s="1" t="n">
        <v>25.39</v>
      </c>
      <c r="H1380" s="1" t="n">
        <v>0</v>
      </c>
      <c r="I1380" s="1" t="n">
        <v>4.03</v>
      </c>
      <c r="J1380" t="n">
        <v>28110510</v>
      </c>
    </row>
    <row r="1381" ht="15.75" customHeight="1" s="201">
      <c r="A1381" s="1" t="inlineStr">
        <is>
          <t>Beef, tenderloin, roast, separable lean and fat, trimmed to 1/8" fat, prime, cooked, roasted</t>
        </is>
      </c>
      <c r="C1381" s="1" t="n">
        <v>0</v>
      </c>
      <c r="D1381" s="1" t="n">
        <v>7</v>
      </c>
      <c r="E1381" s="1" t="n">
        <v>3.12</v>
      </c>
      <c r="F1381" s="1" t="n">
        <v>24.04</v>
      </c>
      <c r="G1381" s="1" t="n">
        <v>26.67</v>
      </c>
      <c r="H1381" s="1" t="n">
        <v>0</v>
      </c>
      <c r="I1381" s="1" t="n">
        <v>4.39</v>
      </c>
      <c r="J1381" t="n">
        <v>28110510</v>
      </c>
    </row>
    <row r="1382" ht="15.75" customHeight="1" s="201">
      <c r="A1382" s="1" t="inlineStr">
        <is>
          <t>Beef, tenderloin, roast, separable lean and fat, trimmed to 1/8" fat, select, cooked, roasted</t>
        </is>
      </c>
      <c r="C1382" s="1" t="n">
        <v>0</v>
      </c>
      <c r="D1382" s="1" t="n">
        <v>8</v>
      </c>
      <c r="E1382" s="1" t="n">
        <v>3.11</v>
      </c>
      <c r="F1382" s="1" t="n">
        <v>23.9</v>
      </c>
      <c r="G1382" s="1" t="n">
        <v>23.7</v>
      </c>
      <c r="H1382" s="1" t="n">
        <v>0</v>
      </c>
      <c r="I1382" s="1" t="n">
        <v>4.03</v>
      </c>
      <c r="J1382" t="n">
        <v>28110510</v>
      </c>
    </row>
    <row r="1383" ht="15.75" customHeight="1" s="201">
      <c r="A1383" s="1" t="inlineStr">
        <is>
          <t>Beef, tenderloin, separable lean and fat, trimmed to 1/8" fat, prime, raw</t>
        </is>
      </c>
      <c r="C1383" s="1" t="n">
        <v>0</v>
      </c>
      <c r="D1383" s="1" t="n">
        <v>6</v>
      </c>
      <c r="E1383" s="1" t="n">
        <v>2.35</v>
      </c>
      <c r="F1383" s="1" t="n">
        <v>18.15</v>
      </c>
      <c r="G1383" s="1" t="n">
        <v>21.83</v>
      </c>
      <c r="H1383" s="1" t="n">
        <v>0</v>
      </c>
      <c r="I1383" s="1" t="n">
        <v>3.05</v>
      </c>
      <c r="J1383" t="n">
        <v>28110510</v>
      </c>
    </row>
    <row r="1384" ht="15.75" customHeight="1" s="201">
      <c r="A1384" s="1" t="inlineStr">
        <is>
          <t>Beef, tenderloin, steak, separable lean and fat, trimmed to 1/8" fat, all grades, cooked, broiled</t>
        </is>
      </c>
      <c r="C1384" s="1" t="n">
        <v>0</v>
      </c>
      <c r="D1384" s="1" t="n">
        <v>8</v>
      </c>
      <c r="E1384" s="1" t="n">
        <v>1.69</v>
      </c>
      <c r="F1384" s="1" t="n">
        <v>26.46</v>
      </c>
      <c r="G1384" s="1" t="n">
        <v>17.12</v>
      </c>
      <c r="H1384" s="1" t="n">
        <v>0</v>
      </c>
      <c r="I1384" s="1" t="n">
        <v>4.76</v>
      </c>
      <c r="J1384" t="n">
        <v>28110510</v>
      </c>
    </row>
    <row r="1385" ht="15.75" customHeight="1" s="201">
      <c r="A1385" s="1" t="inlineStr">
        <is>
          <t>Beef, tenderloin, steak, separable lean and fat, trimmed to 1/8" fat, all grades, raw</t>
        </is>
      </c>
      <c r="C1385" s="1" t="n">
        <v>0</v>
      </c>
      <c r="D1385" s="1" t="n">
        <v>11</v>
      </c>
      <c r="E1385" s="1" t="n">
        <v>1.42</v>
      </c>
      <c r="F1385" s="1" t="n">
        <v>19.61</v>
      </c>
      <c r="G1385" s="1" t="n">
        <v>18.16</v>
      </c>
      <c r="H1385" s="1" t="n">
        <v>0</v>
      </c>
      <c r="I1385" s="1" t="n">
        <v>3.41</v>
      </c>
      <c r="J1385" t="n">
        <v>28110510</v>
      </c>
    </row>
    <row r="1386" ht="15.75" customHeight="1" s="201">
      <c r="A1386" s="1" t="inlineStr">
        <is>
          <t>Beef, tenderloin, steak, separable lean and fat, trimmed to 1/8" fat, choice, cooked, broiled</t>
        </is>
      </c>
      <c r="C1386" s="1" t="n">
        <v>0</v>
      </c>
      <c r="D1386" s="1" t="n">
        <v>8</v>
      </c>
      <c r="E1386" s="1" t="n">
        <v>1.76</v>
      </c>
      <c r="F1386" s="1" t="n">
        <v>26.43</v>
      </c>
      <c r="G1386" s="1" t="n">
        <v>17.78</v>
      </c>
      <c r="H1386" s="1" t="n">
        <v>0</v>
      </c>
      <c r="I1386" s="1" t="n">
        <v>4.67</v>
      </c>
      <c r="J1386" t="n">
        <v>28110510</v>
      </c>
    </row>
    <row r="1387" ht="15.75" customHeight="1" s="201">
      <c r="A1387" s="1" t="inlineStr">
        <is>
          <t>Beef, tenderloin, steak, separable lean and fat, trimmed to 1/8" fat, choice, raw</t>
        </is>
      </c>
      <c r="C1387" s="1" t="n">
        <v>0</v>
      </c>
      <c r="D1387" s="1" t="n">
        <v>11</v>
      </c>
      <c r="E1387" s="1" t="n">
        <v>1.43</v>
      </c>
      <c r="F1387" s="1" t="n">
        <v>19.82</v>
      </c>
      <c r="G1387" s="1" t="n">
        <v>17.88</v>
      </c>
      <c r="H1387" s="1" t="n">
        <v>0</v>
      </c>
      <c r="I1387" s="1" t="n">
        <v>3.5</v>
      </c>
      <c r="J1387" t="n">
        <v>28110510</v>
      </c>
    </row>
    <row r="1388" ht="15.75" customHeight="1" s="201">
      <c r="A1388" s="1" t="inlineStr">
        <is>
          <t>Beef, tenderloin, steak, separable lean and fat, trimmed to 1/8" fat, prime, cooked, broiled</t>
        </is>
      </c>
      <c r="C1388" s="1" t="n">
        <v>0</v>
      </c>
      <c r="D1388" s="1" t="n">
        <v>6</v>
      </c>
      <c r="E1388" s="1" t="n">
        <v>3.15</v>
      </c>
      <c r="F1388" s="1" t="n">
        <v>25.26</v>
      </c>
      <c r="G1388" s="1" t="n">
        <v>22.21</v>
      </c>
      <c r="H1388" s="1" t="n">
        <v>0</v>
      </c>
      <c r="I1388" s="1" t="n">
        <v>4.88</v>
      </c>
      <c r="J1388" t="n">
        <v>28110510</v>
      </c>
    </row>
    <row r="1389" ht="15.75" customHeight="1" s="201">
      <c r="A1389" s="1" t="inlineStr">
        <is>
          <t>Beef, tenderloin, steak, separable lean and fat, trimmed to 1/8" fat, select, cooked, broiled</t>
        </is>
      </c>
      <c r="C1389" s="1" t="n">
        <v>0</v>
      </c>
      <c r="D1389" s="1" t="n">
        <v>8</v>
      </c>
      <c r="E1389" s="1" t="n">
        <v>1.63</v>
      </c>
      <c r="F1389" s="1" t="n">
        <v>26.48</v>
      </c>
      <c r="G1389" s="1" t="n">
        <v>16.53</v>
      </c>
      <c r="H1389" s="1" t="n">
        <v>0</v>
      </c>
      <c r="I1389" s="1" t="n">
        <v>4.85</v>
      </c>
      <c r="J1389" t="n">
        <v>28110510</v>
      </c>
    </row>
    <row r="1390" ht="15.75" customHeight="1" s="201">
      <c r="A1390" s="1" t="inlineStr">
        <is>
          <t>Beef, tenderloin, steak, separable lean and fat, trimmed to 1/8" fat, select, raw</t>
        </is>
      </c>
      <c r="C1390" s="1" t="n">
        <v>0</v>
      </c>
      <c r="D1390" s="1" t="n">
        <v>10</v>
      </c>
      <c r="E1390" s="1" t="n">
        <v>1.42</v>
      </c>
      <c r="F1390" s="1" t="n">
        <v>19.37</v>
      </c>
      <c r="G1390" s="1" t="n">
        <v>18.46</v>
      </c>
      <c r="H1390" s="1" t="n">
        <v>0</v>
      </c>
      <c r="I1390" s="1" t="n">
        <v>3.32</v>
      </c>
      <c r="J1390" t="n">
        <v>28110510</v>
      </c>
    </row>
    <row r="1391" ht="15.75" customHeight="1" s="201">
      <c r="A1391" s="1" t="inlineStr">
        <is>
          <t>Beef, tenderloin, steak, separable lean only, trimmed to 1/8" fat, all grades, cooked, broiled</t>
        </is>
      </c>
      <c r="C1391" s="1" t="n">
        <v>0</v>
      </c>
      <c r="D1391" s="1" t="n">
        <v>10</v>
      </c>
      <c r="E1391" s="1" t="n">
        <v>1.84</v>
      </c>
      <c r="F1391" s="1" t="n">
        <v>29.04</v>
      </c>
      <c r="G1391" s="1" t="n">
        <v>8.390000000000001</v>
      </c>
      <c r="H1391" s="1" t="n">
        <v>0</v>
      </c>
      <c r="I1391" s="1" t="n">
        <v>5.38</v>
      </c>
      <c r="J1391" t="n">
        <v>28110510</v>
      </c>
    </row>
    <row r="1392" ht="15.75" customHeight="1" s="201">
      <c r="A1392" s="1" t="inlineStr">
        <is>
          <t>Beef, tenderloin, steak, separable lean only, trimmed to 1/8" fat, all grades, raw</t>
        </is>
      </c>
      <c r="C1392" s="1" t="n">
        <v>0</v>
      </c>
      <c r="D1392" s="1" t="n">
        <v>13</v>
      </c>
      <c r="E1392" s="1" t="n">
        <v>1.6</v>
      </c>
      <c r="F1392" s="1" t="n">
        <v>22.12</v>
      </c>
      <c r="G1392" s="1" t="n">
        <v>6.52</v>
      </c>
      <c r="H1392" s="1" t="n">
        <v>0</v>
      </c>
      <c r="I1392" s="1" t="n">
        <v>4.01</v>
      </c>
      <c r="J1392" t="n">
        <v>28110510</v>
      </c>
    </row>
    <row r="1393" ht="15.75" customHeight="1" s="201">
      <c r="A1393" s="1" t="inlineStr">
        <is>
          <t>Beef, tenderloin, steak, separable lean only, trimmed to 1/8" fat, choice, cooked, broiled</t>
        </is>
      </c>
      <c r="C1393" s="1" t="n">
        <v>0</v>
      </c>
      <c r="D1393" s="1" t="n">
        <v>10</v>
      </c>
      <c r="E1393" s="1" t="n">
        <v>1.95</v>
      </c>
      <c r="F1393" s="1" t="n">
        <v>29.01</v>
      </c>
      <c r="G1393" s="1" t="n">
        <v>9.1</v>
      </c>
      <c r="H1393" s="1" t="n">
        <v>0</v>
      </c>
      <c r="I1393" s="1" t="n">
        <v>5.4</v>
      </c>
      <c r="J1393" t="n">
        <v>28110510</v>
      </c>
    </row>
    <row r="1394" ht="15.75" customHeight="1" s="201">
      <c r="A1394" s="1" t="inlineStr">
        <is>
          <t>Beef, tenderloin, steak, separable lean only, trimmed to 1/8" fat, select, cooked, broiled</t>
        </is>
      </c>
      <c r="C1394" s="1" t="n">
        <v>0</v>
      </c>
      <c r="D1394" s="1" t="n">
        <v>10</v>
      </c>
      <c r="E1394" s="1" t="n">
        <v>1.81</v>
      </c>
      <c r="F1394" s="1" t="n">
        <v>29.07</v>
      </c>
      <c r="G1394" s="1" t="n">
        <v>7.76</v>
      </c>
      <c r="H1394" s="1" t="n">
        <v>0</v>
      </c>
      <c r="I1394" s="1" t="n">
        <v>5.37</v>
      </c>
      <c r="J1394" t="n">
        <v>28110510</v>
      </c>
    </row>
    <row r="1395" ht="15.75" customHeight="1" s="201">
      <c r="A1395" s="1" t="inlineStr">
        <is>
          <t>Beef, tenderloin, steak, separable lean only, trimmed to 1/8" fat, select, raw</t>
        </is>
      </c>
      <c r="C1395" s="1" t="n">
        <v>0</v>
      </c>
      <c r="D1395" s="1" t="n">
        <v>13</v>
      </c>
      <c r="E1395" s="1" t="n">
        <v>1.6</v>
      </c>
      <c r="F1395" s="1" t="n">
        <v>22.06</v>
      </c>
      <c r="G1395" s="1" t="n">
        <v>5.93</v>
      </c>
      <c r="H1395" s="1" t="n">
        <v>0</v>
      </c>
      <c r="I1395" s="1" t="n">
        <v>3.97</v>
      </c>
      <c r="J1395" t="n">
        <v>28110510</v>
      </c>
    </row>
    <row r="1396" ht="15.75" customHeight="1" s="201">
      <c r="A1396" s="1" t="inlineStr">
        <is>
          <t>Beef, top loin filet, boneless, separable lean and fat, trimmed to 1/8" fat, all grades, cooked, grilled</t>
        </is>
      </c>
      <c r="C1396" s="1" t="n">
        <v>0.6</v>
      </c>
      <c r="D1396" s="1" t="n">
        <v>7</v>
      </c>
      <c r="E1396" s="1" t="n">
        <v>3.3</v>
      </c>
      <c r="F1396" s="1" t="n">
        <v>27.4</v>
      </c>
      <c r="G1396" s="1" t="n">
        <v>14.1</v>
      </c>
      <c r="H1396" s="1" t="n">
        <v>24</v>
      </c>
      <c r="I1396" s="1" t="n">
        <v>10.42</v>
      </c>
      <c r="J1396" t="n">
        <v>28110510</v>
      </c>
    </row>
    <row r="1397" ht="15.75" customHeight="1" s="201">
      <c r="A1397" s="1" t="inlineStr">
        <is>
          <t>Beef, top loin filet, boneless, separable lean and fat, trimmed to 1/8" fat, choice, cooked, grilled</t>
        </is>
      </c>
      <c r="C1397" s="1" t="n">
        <v>0.6</v>
      </c>
      <c r="D1397" s="1" t="n">
        <v>7</v>
      </c>
      <c r="E1397" s="1" t="n">
        <v>3.23</v>
      </c>
      <c r="F1397" s="1" t="n">
        <v>26.8</v>
      </c>
      <c r="G1397" s="1" t="n">
        <v>15.9</v>
      </c>
      <c r="H1397" s="1" t="n">
        <v>24</v>
      </c>
      <c r="I1397" s="1" t="n">
        <v>10.21</v>
      </c>
      <c r="J1397" t="n">
        <v>28110510</v>
      </c>
    </row>
    <row r="1398" ht="15.75" customHeight="1" s="201">
      <c r="A1398" s="1" t="inlineStr">
        <is>
          <t>Beef, top loin filet, boneless, separable lean and fat, trimmed to 1/8" fat, select, cooked, grilled</t>
        </is>
      </c>
      <c r="C1398" s="1" t="n">
        <v>0.4</v>
      </c>
      <c r="D1398" s="1" t="n">
        <v>7</v>
      </c>
      <c r="E1398" s="1" t="n">
        <v>3.52</v>
      </c>
      <c r="F1398" s="1" t="n">
        <v>28.3</v>
      </c>
      <c r="G1398" s="1" t="n">
        <v>11.6</v>
      </c>
      <c r="H1398" s="1" t="n">
        <v>25</v>
      </c>
      <c r="I1398" s="1" t="n">
        <v>10.9</v>
      </c>
      <c r="J1398" t="n">
        <v>28110510</v>
      </c>
    </row>
    <row r="1399" ht="15.75" customHeight="1" s="201">
      <c r="A1399" s="1" t="inlineStr">
        <is>
          <t>Beef, top loin filet, boneless, separable lean only, trimmed to 1/8" fat, all grades, cooked, grilled</t>
        </is>
      </c>
      <c r="C1399" s="1" t="n">
        <v>0.3</v>
      </c>
      <c r="D1399" s="1" t="n">
        <v>7</v>
      </c>
      <c r="E1399" s="1" t="n">
        <v>2.06</v>
      </c>
      <c r="F1399" s="1" t="n">
        <v>29.33</v>
      </c>
      <c r="G1399" s="1" t="n">
        <v>8.539999999999999</v>
      </c>
      <c r="H1399" s="1" t="n">
        <v>6</v>
      </c>
      <c r="I1399" s="1" t="n">
        <v>5.69</v>
      </c>
      <c r="J1399" t="n">
        <v>28110510</v>
      </c>
    </row>
    <row r="1400" ht="15.75" customHeight="1" s="201">
      <c r="A1400" s="1" t="inlineStr">
        <is>
          <t>Beef, top loin filet, boneless, separable lean only, trimmed to 1/8" fat, choice, cooked, grilled</t>
        </is>
      </c>
      <c r="C1400" s="1" t="n">
        <v>0.36</v>
      </c>
      <c r="D1400" s="1" t="n">
        <v>7</v>
      </c>
      <c r="E1400" s="1" t="n">
        <v>2.04</v>
      </c>
      <c r="F1400" s="1" t="n">
        <v>28.99</v>
      </c>
      <c r="G1400" s="1" t="n">
        <v>9.48</v>
      </c>
      <c r="H1400" s="1" t="n">
        <v>5</v>
      </c>
      <c r="I1400" s="1" t="n">
        <v>5.64</v>
      </c>
      <c r="J1400" t="n">
        <v>28110510</v>
      </c>
    </row>
    <row r="1401" ht="15.75" customHeight="1" s="201">
      <c r="A1401" s="1" t="inlineStr">
        <is>
          <t>Beef, top loin filet, boneless, separable lean only, trimmed to 1/8" fat, select, cooked, grilled</t>
        </is>
      </c>
      <c r="C1401" s="1" t="n">
        <v>0.2</v>
      </c>
      <c r="D1401" s="1" t="n">
        <v>7</v>
      </c>
      <c r="E1401" s="1" t="n">
        <v>1.91</v>
      </c>
      <c r="F1401" s="1" t="n">
        <v>29.85</v>
      </c>
      <c r="G1401" s="1" t="n">
        <v>7.12</v>
      </c>
      <c r="H1401" s="1" t="n">
        <v>8</v>
      </c>
      <c r="I1401" s="1" t="n">
        <v>5.67</v>
      </c>
      <c r="J1401" t="n">
        <v>28110510</v>
      </c>
    </row>
    <row r="1402" ht="15.75" customHeight="1" s="201">
      <c r="A1402" s="1" t="inlineStr">
        <is>
          <t>Beef, top loin petite roast, boneless, separable lean and fat, trimmed to 1/8" fat, all grades, cooked, roasted</t>
        </is>
      </c>
      <c r="C1402" s="1" t="n">
        <v>1</v>
      </c>
      <c r="D1402" s="1" t="n">
        <v>6</v>
      </c>
      <c r="E1402" s="1" t="n">
        <v>3.3</v>
      </c>
      <c r="F1402" s="1" t="n">
        <v>27</v>
      </c>
      <c r="G1402" s="1" t="n">
        <v>12.9</v>
      </c>
      <c r="H1402" s="1" t="n">
        <v>23</v>
      </c>
      <c r="I1402" s="1" t="n">
        <v>10.42</v>
      </c>
      <c r="J1402" t="n">
        <v>28110510</v>
      </c>
    </row>
    <row r="1403" ht="15.75" customHeight="1" s="201">
      <c r="A1403" s="1" t="inlineStr">
        <is>
          <t>Beef, top loin petite roast, boneless, separable lean and fat, trimmed to 1/8" fat, choice, cooked, roasted</t>
        </is>
      </c>
      <c r="C1403" s="1" t="n">
        <v>1.1</v>
      </c>
      <c r="D1403" s="1" t="n">
        <v>7</v>
      </c>
      <c r="E1403" s="1" t="n">
        <v>3.29</v>
      </c>
      <c r="F1403" s="1" t="n">
        <v>26.8</v>
      </c>
      <c r="G1403" s="1" t="n">
        <v>14.1</v>
      </c>
      <c r="H1403" s="1" t="n">
        <v>23</v>
      </c>
      <c r="I1403" s="1" t="n">
        <v>10.39</v>
      </c>
      <c r="J1403" t="n">
        <v>28110510</v>
      </c>
    </row>
    <row r="1404" ht="15.75" customHeight="1" s="201">
      <c r="A1404" s="1" t="inlineStr">
        <is>
          <t>Beef, top loin petite roast, boneless, separable lean and fat, trimmed to 1/8" fat, select, cooked, roasted</t>
        </is>
      </c>
      <c r="C1404" s="1" t="n">
        <v>0.9</v>
      </c>
      <c r="D1404" s="1" t="n">
        <v>6</v>
      </c>
      <c r="E1404" s="1" t="n">
        <v>3.43</v>
      </c>
      <c r="F1404" s="1" t="n">
        <v>27.1</v>
      </c>
      <c r="G1404" s="1" t="n">
        <v>11.2</v>
      </c>
      <c r="H1404" s="1" t="n">
        <v>24</v>
      </c>
      <c r="I1404" s="1" t="n">
        <v>10.65</v>
      </c>
      <c r="J1404" t="n">
        <v>28110510</v>
      </c>
    </row>
    <row r="1405" ht="15.75" customHeight="1" s="201">
      <c r="A1405" s="1" t="inlineStr">
        <is>
          <t>Beef, top loin petite roast, boneless, separable lean only, trimmed to 1/8" fat, all grades, cooked, roasted</t>
        </is>
      </c>
      <c r="C1405" s="1" t="n">
        <v>0.82</v>
      </c>
      <c r="D1405" s="1" t="n">
        <v>7</v>
      </c>
      <c r="E1405" s="1" t="n">
        <v>2.02</v>
      </c>
      <c r="F1405" s="1" t="n">
        <v>28.33</v>
      </c>
      <c r="G1405" s="1" t="n">
        <v>8.76</v>
      </c>
      <c r="H1405" s="1" t="n">
        <v>6</v>
      </c>
      <c r="I1405" s="1" t="n">
        <v>5.61</v>
      </c>
      <c r="J1405" t="n">
        <v>28110510</v>
      </c>
    </row>
    <row r="1406" ht="15.75" customHeight="1" s="201">
      <c r="A1406" s="1" t="inlineStr">
        <is>
          <t>Beef, top loin petite roast, boneless, separable lean only, trimmed to 1/8" fat, choice, cooked, roasted</t>
        </is>
      </c>
      <c r="C1406" s="1" t="n">
        <v>0.88</v>
      </c>
      <c r="D1406" s="1" t="n">
        <v>7</v>
      </c>
      <c r="E1406" s="1" t="n">
        <v>2.02</v>
      </c>
      <c r="F1406" s="1" t="n">
        <v>28.24</v>
      </c>
      <c r="G1406" s="1" t="n">
        <v>9.970000000000001</v>
      </c>
      <c r="H1406" s="1" t="n">
        <v>5</v>
      </c>
      <c r="I1406" s="1" t="n">
        <v>5.6</v>
      </c>
      <c r="J1406" t="n">
        <v>28110510</v>
      </c>
    </row>
    <row r="1407" ht="15.75" customHeight="1" s="201">
      <c r="A1407" s="1" t="inlineStr">
        <is>
          <t>Beef, top loin petite roast, boneless, separable lean only, trimmed to 1/8" fat, select, cooked, roasted</t>
        </is>
      </c>
      <c r="C1407" s="1" t="n">
        <v>0.74</v>
      </c>
      <c r="D1407" s="1" t="n">
        <v>7</v>
      </c>
      <c r="E1407" s="1" t="n">
        <v>1.85</v>
      </c>
      <c r="F1407" s="1" t="n">
        <v>28.48</v>
      </c>
      <c r="G1407" s="1" t="n">
        <v>6.95</v>
      </c>
      <c r="H1407" s="1" t="n">
        <v>8</v>
      </c>
      <c r="I1407" s="1" t="n">
        <v>5.52</v>
      </c>
      <c r="J1407" t="n">
        <v>28110510</v>
      </c>
    </row>
    <row r="1408" ht="15.75" customHeight="1" s="201">
      <c r="A1408" s="1" t="inlineStr">
        <is>
          <t>Beef, top loin petite roast/filet, boneless, separable lean and fat, trimmed to 1/8" fat, all grades, raw</t>
        </is>
      </c>
      <c r="C1408" s="1" t="n">
        <v>0.3</v>
      </c>
      <c r="D1408" s="1" t="n">
        <v>3</v>
      </c>
      <c r="E1408" s="1" t="n">
        <v>2.66</v>
      </c>
      <c r="F1408" s="1" t="n">
        <v>21.1</v>
      </c>
      <c r="G1408" s="1" t="n">
        <v>11.3</v>
      </c>
      <c r="H1408" s="1" t="n">
        <v>14</v>
      </c>
      <c r="I1408" s="1" t="n">
        <v>7.87</v>
      </c>
      <c r="J1408" t="n">
        <v>27513010</v>
      </c>
    </row>
    <row r="1409" ht="15.75" customHeight="1" s="201">
      <c r="A1409" s="1" t="inlineStr">
        <is>
          <t>Beef, top loin petite roast/filet, boneless, separable lean and fat, trimmed to 1/8" fat, choice, raw</t>
        </is>
      </c>
      <c r="C1409" s="1" t="n">
        <v>0.6</v>
      </c>
      <c r="D1409" s="1" t="n">
        <v>3</v>
      </c>
      <c r="E1409" s="1" t="n">
        <v>2.66</v>
      </c>
      <c r="F1409" s="1" t="n">
        <v>20.8</v>
      </c>
      <c r="G1409" s="1" t="n">
        <v>12.6</v>
      </c>
      <c r="H1409" s="1" t="n">
        <v>14</v>
      </c>
      <c r="I1409" s="1" t="n">
        <v>7.87</v>
      </c>
      <c r="J1409" t="n">
        <v>27513010</v>
      </c>
    </row>
    <row r="1410" ht="15.75" customHeight="1" s="201">
      <c r="A1410" s="1" t="inlineStr">
        <is>
          <t>Beef, top loin petite roast/filet, boneless, separable lean and fat, trimmed to 1/8" fat, select, raw</t>
        </is>
      </c>
      <c r="C1410" s="1" t="n">
        <v>0</v>
      </c>
      <c r="D1410" s="1" t="n">
        <v>3</v>
      </c>
      <c r="E1410" s="1" t="n">
        <v>2.98</v>
      </c>
      <c r="F1410" s="1" t="n">
        <v>21.6</v>
      </c>
      <c r="G1410" s="1" t="n">
        <v>9.300000000000001</v>
      </c>
      <c r="H1410" s="1" t="n">
        <v>13</v>
      </c>
      <c r="I1410" s="1" t="n">
        <v>8.5</v>
      </c>
      <c r="J1410" t="n">
        <v>27513010</v>
      </c>
    </row>
    <row r="1411" ht="15.75" customHeight="1" s="201">
      <c r="A1411" s="1" t="inlineStr">
        <is>
          <t>Beef, top loin petite roast/filet, boneless, separable lean only, trimmed to 1/8" fat, all grades, raw</t>
        </is>
      </c>
      <c r="C1411" s="1" t="n">
        <v>0</v>
      </c>
      <c r="D1411" s="1" t="n">
        <v>4</v>
      </c>
      <c r="E1411" s="1" t="n">
        <v>2.17</v>
      </c>
      <c r="F1411" s="1" t="n">
        <v>22.61</v>
      </c>
      <c r="G1411" s="1" t="n">
        <v>5.84</v>
      </c>
      <c r="H1411" s="1" t="n">
        <v>7</v>
      </c>
      <c r="I1411" s="1" t="n">
        <v>5.76</v>
      </c>
      <c r="J1411" t="n">
        <v>27513010</v>
      </c>
    </row>
    <row r="1412" ht="15.75" customHeight="1" s="201">
      <c r="A1412" s="1" t="inlineStr">
        <is>
          <t>Beef, top loin petite roast/filet, boneless, separable lean only, trimmed to 1/8" fat, choice, raw</t>
        </is>
      </c>
      <c r="C1412" s="1" t="n">
        <v>0.23</v>
      </c>
      <c r="D1412" s="1" t="n">
        <v>4</v>
      </c>
      <c r="E1412" s="1" t="n">
        <v>2.27</v>
      </c>
      <c r="F1412" s="1" t="n">
        <v>22.5</v>
      </c>
      <c r="G1412" s="1" t="n">
        <v>6.48</v>
      </c>
      <c r="H1412" s="1" t="n">
        <v>6</v>
      </c>
      <c r="I1412" s="1" t="n">
        <v>5.28</v>
      </c>
      <c r="J1412" t="n">
        <v>27513010</v>
      </c>
    </row>
    <row r="1413" ht="15.75" customHeight="1" s="201">
      <c r="A1413" s="1" t="inlineStr">
        <is>
          <t>Beef, top loin petite roast/filet, boneless, separable lean only, trimmed to 1/8" fat, select, raw</t>
        </is>
      </c>
      <c r="C1413" s="1" t="n">
        <v>0</v>
      </c>
      <c r="D1413" s="1" t="n">
        <v>4</v>
      </c>
      <c r="E1413" s="1" t="n">
        <v>2.39</v>
      </c>
      <c r="F1413" s="1" t="n">
        <v>22.77</v>
      </c>
      <c r="G1413" s="1" t="n">
        <v>4.88</v>
      </c>
      <c r="H1413" s="1" t="n">
        <v>8</v>
      </c>
      <c r="I1413" s="1" t="n">
        <v>5.76</v>
      </c>
      <c r="J1413" t="n">
        <v>27513010</v>
      </c>
    </row>
    <row r="1414" ht="15.75" customHeight="1" s="201">
      <c r="A1414" s="1" t="inlineStr">
        <is>
          <t>Beef, top sirloin, steak, separable lean and fat, trimmed to 0" fat, all grades, cooked, broiled</t>
        </is>
      </c>
      <c r="C1414" s="1" t="n">
        <v>0</v>
      </c>
      <c r="D1414" s="1" t="n">
        <v>9</v>
      </c>
      <c r="E1414" s="1" t="n">
        <v>1.89</v>
      </c>
      <c r="F1414" s="1" t="n">
        <v>29.33</v>
      </c>
      <c r="G1414" s="1" t="n">
        <v>9.67</v>
      </c>
      <c r="H1414" s="1" t="n">
        <v>0</v>
      </c>
      <c r="I1414" s="1" t="n">
        <v>5.33</v>
      </c>
      <c r="J1414" t="n">
        <v>28110510</v>
      </c>
    </row>
    <row r="1415" ht="15.75" customHeight="1" s="201">
      <c r="A1415" s="1" t="inlineStr">
        <is>
          <t>Beef, top sirloin, steak, separable lean and fat, trimmed to 0" fat, choice, cooked, broiled</t>
        </is>
      </c>
      <c r="C1415" s="1" t="n">
        <v>0</v>
      </c>
      <c r="D1415" s="1" t="n">
        <v>9</v>
      </c>
      <c r="E1415" s="1" t="n">
        <v>1.96</v>
      </c>
      <c r="F1415" s="1" t="n">
        <v>29.02</v>
      </c>
      <c r="G1415" s="1" t="n">
        <v>10.54</v>
      </c>
      <c r="H1415" s="1" t="n">
        <v>0</v>
      </c>
      <c r="I1415" s="1" t="n">
        <v>5.21</v>
      </c>
      <c r="J1415" t="n">
        <v>28110510</v>
      </c>
    </row>
    <row r="1416" ht="15.75" customHeight="1" s="201">
      <c r="A1416" s="1" t="inlineStr">
        <is>
          <t>Beef, top sirloin, steak, separable lean and fat, trimmed to 0" fat, select, cooked, broiled</t>
        </is>
      </c>
      <c r="C1416" s="1" t="n">
        <v>0</v>
      </c>
      <c r="D1416" s="1" t="n">
        <v>9</v>
      </c>
      <c r="E1416" s="1" t="n">
        <v>1.83</v>
      </c>
      <c r="F1416" s="1" t="n">
        <v>29.65</v>
      </c>
      <c r="G1416" s="1" t="n">
        <v>8.800000000000001</v>
      </c>
      <c r="H1416" s="1" t="n">
        <v>0</v>
      </c>
      <c r="I1416" s="1" t="n">
        <v>5.44</v>
      </c>
      <c r="J1416" t="n">
        <v>28110510</v>
      </c>
    </row>
    <row r="1417" ht="15.75" customHeight="1" s="201">
      <c r="A1417" s="1" t="inlineStr">
        <is>
          <t>Beef, top sirloin, steak, separable lean and fat, trimmed to 1/8" fat, all grades, cooked, broiled</t>
        </is>
      </c>
      <c r="C1417" s="1" t="n">
        <v>0</v>
      </c>
      <c r="D1417" s="1" t="n">
        <v>8</v>
      </c>
      <c r="E1417" s="1" t="n">
        <v>1.73</v>
      </c>
      <c r="F1417" s="1" t="n">
        <v>26.96</v>
      </c>
      <c r="G1417" s="1" t="n">
        <v>14.23</v>
      </c>
      <c r="H1417" s="1" t="n">
        <v>0</v>
      </c>
      <c r="I1417" s="1" t="n">
        <v>4.87</v>
      </c>
      <c r="J1417" t="n">
        <v>28110510</v>
      </c>
    </row>
    <row r="1418" ht="15.75" customHeight="1" s="201">
      <c r="A1418" s="1" t="inlineStr">
        <is>
          <t>Beef, top sirloin, steak, separable lean and fat, trimmed to 1/8" fat, all grades, raw</t>
        </is>
      </c>
      <c r="C1418" s="1" t="n">
        <v>0</v>
      </c>
      <c r="D1418" s="1" t="n">
        <v>11</v>
      </c>
      <c r="E1418" s="1" t="n">
        <v>1.48</v>
      </c>
      <c r="F1418" s="1" t="n">
        <v>20.3</v>
      </c>
      <c r="G1418" s="1" t="n">
        <v>12.71</v>
      </c>
      <c r="H1418" s="1" t="n">
        <v>0</v>
      </c>
      <c r="I1418" s="1" t="n">
        <v>3.55</v>
      </c>
      <c r="J1418" t="n">
        <v>28110510</v>
      </c>
    </row>
    <row r="1419" ht="15.75" customHeight="1" s="201">
      <c r="A1419" s="1" t="inlineStr">
        <is>
          <t>Beef, top sirloin, steak, separable lean and fat, trimmed to 1/8" fat, choice, cooked, broiled</t>
        </is>
      </c>
      <c r="C1419" s="1" t="n">
        <v>0</v>
      </c>
      <c r="D1419" s="1" t="n">
        <v>8</v>
      </c>
      <c r="E1419" s="1" t="n">
        <v>1.81</v>
      </c>
      <c r="F1419" s="1" t="n">
        <v>26.8</v>
      </c>
      <c r="G1419" s="1" t="n">
        <v>15.75</v>
      </c>
      <c r="H1419" s="1" t="n">
        <v>0</v>
      </c>
      <c r="I1419" s="1" t="n">
        <v>4.81</v>
      </c>
      <c r="J1419" t="n">
        <v>28110510</v>
      </c>
    </row>
    <row r="1420" ht="15.75" customHeight="1" s="201">
      <c r="A1420" s="1" t="inlineStr">
        <is>
          <t>Beef, top sirloin, steak, separable lean and fat, trimmed to 1/8" fat, choice, cooked, pan-fried</t>
        </is>
      </c>
      <c r="C1420" s="1" t="n">
        <v>0</v>
      </c>
      <c r="D1420" s="1" t="n">
        <v>9</v>
      </c>
      <c r="E1420" s="1" t="n">
        <v>3.42</v>
      </c>
      <c r="F1420" s="1" t="n">
        <v>28.77</v>
      </c>
      <c r="G1420" s="1" t="n">
        <v>21.06</v>
      </c>
      <c r="H1420" s="1" t="n">
        <v>0</v>
      </c>
      <c r="I1420" s="1" t="n">
        <v>5.55</v>
      </c>
      <c r="J1420" t="n">
        <v>21104130</v>
      </c>
    </row>
    <row r="1421" ht="15.75" customHeight="1" s="201">
      <c r="A1421" s="1" t="inlineStr">
        <is>
          <t>Beef, top sirloin, steak, separable lean and fat, trimmed to 1/8" fat, choice, raw</t>
        </is>
      </c>
      <c r="C1421" s="1" t="n">
        <v>0</v>
      </c>
      <c r="D1421" s="1" t="n">
        <v>11</v>
      </c>
      <c r="E1421" s="1" t="n">
        <v>1.46</v>
      </c>
      <c r="F1421" s="1" t="n">
        <v>19.92</v>
      </c>
      <c r="G1421" s="1" t="n">
        <v>14.28</v>
      </c>
      <c r="H1421" s="1" t="n">
        <v>0</v>
      </c>
      <c r="I1421" s="1" t="n">
        <v>3.57</v>
      </c>
      <c r="J1421" t="n">
        <v>28110510</v>
      </c>
    </row>
    <row r="1422" ht="15.75" customHeight="1" s="201">
      <c r="A1422" s="1" t="inlineStr">
        <is>
          <t>Beef, top sirloin, steak, separable lean and fat, trimmed to 1/8" fat, select, cooked, broiled</t>
        </is>
      </c>
      <c r="C1422" s="1" t="n">
        <v>0</v>
      </c>
      <c r="D1422" s="1" t="n">
        <v>8</v>
      </c>
      <c r="E1422" s="1" t="n">
        <v>1.66</v>
      </c>
      <c r="F1422" s="1" t="n">
        <v>27.12</v>
      </c>
      <c r="G1422" s="1" t="n">
        <v>12.71</v>
      </c>
      <c r="H1422" s="1" t="n">
        <v>0</v>
      </c>
      <c r="I1422" s="1" t="n">
        <v>4.93</v>
      </c>
      <c r="J1422" t="n">
        <v>28110510</v>
      </c>
    </row>
    <row r="1423" ht="15.75" customHeight="1" s="201">
      <c r="A1423" s="1" t="inlineStr">
        <is>
          <t>Beef, top sirloin, steak, separable lean and fat, trimmed to 1/8" fat, select, raw</t>
        </is>
      </c>
      <c r="C1423" s="1" t="n">
        <v>0</v>
      </c>
      <c r="D1423" s="1" t="n">
        <v>11</v>
      </c>
      <c r="E1423" s="1" t="n">
        <v>1.51</v>
      </c>
      <c r="F1423" s="1" t="n">
        <v>20.68</v>
      </c>
      <c r="G1423" s="1" t="n">
        <v>11.13</v>
      </c>
      <c r="H1423" s="1" t="n">
        <v>0</v>
      </c>
      <c r="I1423" s="1" t="n">
        <v>3.54</v>
      </c>
      <c r="J1423" t="n">
        <v>28110510</v>
      </c>
    </row>
    <row r="1424" ht="15.75" customHeight="1" s="201">
      <c r="A1424" s="1" t="inlineStr">
        <is>
          <t>Beef, top sirloin, steak, separable lean only, trimmed to 0" fat, all grades, cooked, broiled</t>
        </is>
      </c>
      <c r="C1424" s="1" t="n">
        <v>0</v>
      </c>
      <c r="D1424" s="1" t="n">
        <v>10</v>
      </c>
      <c r="E1424" s="1" t="n">
        <v>1.96</v>
      </c>
      <c r="F1424" s="1" t="n">
        <v>30.55</v>
      </c>
      <c r="G1424" s="1" t="n">
        <v>5.79</v>
      </c>
      <c r="H1424" s="1" t="n">
        <v>0</v>
      </c>
      <c r="I1424" s="1" t="n">
        <v>5.71</v>
      </c>
      <c r="J1424" t="n">
        <v>28110510</v>
      </c>
    </row>
    <row r="1425" ht="15.75" customHeight="1" s="201">
      <c r="A1425" s="1" t="inlineStr">
        <is>
          <t>Beef, top sirloin, steak, separable lean only, trimmed to 0" fat, choice, cooked, broiled</t>
        </is>
      </c>
      <c r="C1425" s="1" t="n">
        <v>0</v>
      </c>
      <c r="D1425" s="1" t="n">
        <v>10</v>
      </c>
      <c r="E1425" s="1" t="n">
        <v>2.07</v>
      </c>
      <c r="F1425" s="1" t="n">
        <v>30.29</v>
      </c>
      <c r="G1425" s="1" t="n">
        <v>6.55</v>
      </c>
      <c r="H1425" s="1" t="n">
        <v>0</v>
      </c>
      <c r="I1425" s="1" t="n">
        <v>5.75</v>
      </c>
      <c r="J1425" t="n">
        <v>28110510</v>
      </c>
    </row>
    <row r="1426" ht="15.75" customHeight="1" s="201">
      <c r="A1426" s="1" t="inlineStr">
        <is>
          <t>Beef, top sirloin, steak, separable lean only, trimmed to 0" fat, select, cooked, broiled</t>
        </is>
      </c>
      <c r="C1426" s="1" t="n">
        <v>0</v>
      </c>
      <c r="D1426" s="1" t="n">
        <v>10</v>
      </c>
      <c r="E1426" s="1" t="n">
        <v>1.92</v>
      </c>
      <c r="F1426" s="1" t="n">
        <v>30.8</v>
      </c>
      <c r="G1426" s="1" t="n">
        <v>5.03</v>
      </c>
      <c r="H1426" s="1" t="n">
        <v>0</v>
      </c>
      <c r="I1426" s="1" t="n">
        <v>5.7</v>
      </c>
      <c r="J1426" t="n">
        <v>28110510</v>
      </c>
    </row>
    <row r="1427" ht="15.75" customHeight="1" s="201">
      <c r="A1427" s="1" t="inlineStr">
        <is>
          <t>Beef, top sirloin, steak, separable lean only, trimmed to 1/8" fat, all grades, cooked, broiled</t>
        </is>
      </c>
      <c r="C1427" s="1" t="n">
        <v>0</v>
      </c>
      <c r="D1427" s="1" t="n">
        <v>11</v>
      </c>
      <c r="E1427" s="1" t="n">
        <v>1.87</v>
      </c>
      <c r="F1427" s="1" t="n">
        <v>29.42</v>
      </c>
      <c r="G1427" s="1" t="n">
        <v>5.84</v>
      </c>
      <c r="H1427" s="1" t="n">
        <v>0</v>
      </c>
      <c r="I1427" s="1" t="n">
        <v>5.46</v>
      </c>
      <c r="J1427" t="n">
        <v>28110510</v>
      </c>
    </row>
    <row r="1428" ht="15.75" customHeight="1" s="201">
      <c r="A1428" s="1" t="inlineStr">
        <is>
          <t>Beef, top sirloin, steak, separable lean only, trimmed to 1/8" fat, all grades, raw</t>
        </is>
      </c>
      <c r="C1428" s="1" t="n">
        <v>0</v>
      </c>
      <c r="D1428" s="1" t="n">
        <v>13</v>
      </c>
      <c r="E1428" s="1" t="n">
        <v>1.61</v>
      </c>
      <c r="F1428" s="1" t="n">
        <v>22.09</v>
      </c>
      <c r="G1428" s="1" t="n">
        <v>4.08</v>
      </c>
      <c r="H1428" s="1" t="n">
        <v>0</v>
      </c>
      <c r="I1428" s="1" t="n">
        <v>4.04</v>
      </c>
      <c r="J1428" t="n">
        <v>28110510</v>
      </c>
    </row>
    <row r="1429" ht="15.75" customHeight="1" s="201">
      <c r="A1429" s="1" t="inlineStr">
        <is>
          <t>Beef, top sirloin, steak, separable lean only, trimmed to 1/8" fat, choice, cooked, broiled</t>
        </is>
      </c>
      <c r="C1429" s="1" t="n">
        <v>0</v>
      </c>
      <c r="D1429" s="1" t="n">
        <v>9</v>
      </c>
      <c r="E1429" s="1" t="n">
        <v>2.01</v>
      </c>
      <c r="F1429" s="1" t="n">
        <v>29.51</v>
      </c>
      <c r="G1429" s="1" t="n">
        <v>6.72</v>
      </c>
      <c r="H1429" s="1" t="n">
        <v>0</v>
      </c>
      <c r="I1429" s="1" t="n">
        <v>5.58</v>
      </c>
      <c r="J1429" t="n">
        <v>28110510</v>
      </c>
    </row>
    <row r="1430" ht="15.75" customHeight="1" s="201">
      <c r="A1430" s="1" t="inlineStr">
        <is>
          <t>Beef, top sirloin, steak, separable lean only, trimmed to 1/8" fat, select, cooked, broiled</t>
        </is>
      </c>
      <c r="C1430" s="1" t="n">
        <v>0</v>
      </c>
      <c r="D1430" s="1" t="n">
        <v>10</v>
      </c>
      <c r="E1430" s="1" t="n">
        <v>1.81</v>
      </c>
      <c r="F1430" s="1" t="n">
        <v>29.34</v>
      </c>
      <c r="G1430" s="1" t="n">
        <v>4.96</v>
      </c>
      <c r="H1430" s="1" t="n">
        <v>0</v>
      </c>
      <c r="I1430" s="1" t="n">
        <v>5.37</v>
      </c>
      <c r="J1430" t="n">
        <v>28110510</v>
      </c>
    </row>
    <row r="1431" ht="15.75" customHeight="1" s="201">
      <c r="A1431" s="1" t="inlineStr">
        <is>
          <t>Beef, top sirloin, steak, separable lean only, trimmed to 1/8" fat, select, raw</t>
        </is>
      </c>
      <c r="C1431" s="1" t="n">
        <v>0</v>
      </c>
      <c r="D1431" s="1" t="n">
        <v>13</v>
      </c>
      <c r="E1431" s="1" t="n">
        <v>1.61</v>
      </c>
      <c r="F1431" s="1" t="n">
        <v>22.27</v>
      </c>
      <c r="G1431" s="1" t="n">
        <v>3.54</v>
      </c>
      <c r="H1431" s="1" t="n">
        <v>0</v>
      </c>
      <c r="I1431" s="1" t="n">
        <v>4</v>
      </c>
      <c r="J1431" t="n">
        <v>28110510</v>
      </c>
    </row>
    <row r="1432" ht="15.75" customHeight="1" s="201">
      <c r="A1432" s="1" t="inlineStr">
        <is>
          <t>Beef, variety meats and by-products, brain, cooked, pan-fried</t>
        </is>
      </c>
      <c r="C1432" s="1" t="n">
        <v>0</v>
      </c>
      <c r="D1432" s="1" t="n">
        <v>6</v>
      </c>
      <c r="E1432" s="1" t="n">
        <v>2.22</v>
      </c>
      <c r="F1432" s="1" t="n">
        <v>12.57</v>
      </c>
      <c r="G1432" s="1" t="n">
        <v>15.83</v>
      </c>
      <c r="H1432" s="1" t="n">
        <v>0</v>
      </c>
      <c r="I1432" s="1" t="n">
        <v>1.35</v>
      </c>
      <c r="J1432" t="n">
        <v>28110510</v>
      </c>
    </row>
    <row r="1433" ht="15.75" customHeight="1" s="201">
      <c r="A1433" s="1" t="inlineStr">
        <is>
          <t>Beef, variety meats and by-products, brain, cooked, simmered</t>
        </is>
      </c>
      <c r="C1433" s="1" t="n">
        <v>1.48</v>
      </c>
      <c r="D1433" s="1" t="n">
        <v>5</v>
      </c>
      <c r="E1433" s="1" t="n">
        <v>2.3</v>
      </c>
      <c r="F1433" s="1" t="n">
        <v>11.67</v>
      </c>
      <c r="G1433" s="1" t="n">
        <v>10.53</v>
      </c>
      <c r="H1433" s="1" t="n">
        <v>117</v>
      </c>
      <c r="I1433" s="1" t="n">
        <v>1.09</v>
      </c>
      <c r="J1433" t="n">
        <v>28110510</v>
      </c>
    </row>
    <row r="1434" ht="15.75" customHeight="1" s="201">
      <c r="A1434" s="1" t="inlineStr">
        <is>
          <t>Beef, variety meats and by-products, brain, raw</t>
        </is>
      </c>
      <c r="C1434" s="1" t="n">
        <v>1.05</v>
      </c>
      <c r="D1434" s="1" t="n">
        <v>3</v>
      </c>
      <c r="E1434" s="1" t="n">
        <v>2.55</v>
      </c>
      <c r="F1434" s="1" t="n">
        <v>10.86</v>
      </c>
      <c r="G1434" s="1" t="n">
        <v>10.3</v>
      </c>
      <c r="H1434" s="1" t="n">
        <v>147</v>
      </c>
      <c r="I1434" s="1" t="n">
        <v>1.02</v>
      </c>
      <c r="J1434" t="n">
        <v>28110510</v>
      </c>
    </row>
    <row r="1435" ht="15.75" customHeight="1" s="201">
      <c r="A1435" s="1" t="inlineStr">
        <is>
          <t>Beef, variety meats and by-products, heart, cooked, simmered</t>
        </is>
      </c>
      <c r="C1435" s="1" t="n">
        <v>0.15</v>
      </c>
      <c r="D1435" s="1" t="n">
        <v>5</v>
      </c>
      <c r="E1435" s="1" t="n">
        <v>6.38</v>
      </c>
      <c r="F1435" s="1" t="n">
        <v>28.48</v>
      </c>
      <c r="G1435" s="1" t="n">
        <v>4.73</v>
      </c>
      <c r="H1435" s="1" t="n">
        <v>0</v>
      </c>
      <c r="I1435" s="1" t="n">
        <v>2.87</v>
      </c>
      <c r="J1435" t="n">
        <v>28110510</v>
      </c>
    </row>
    <row r="1436" ht="15.75" customHeight="1" s="201">
      <c r="A1436" s="1" t="inlineStr">
        <is>
          <t>Beef, variety meats and by-products, heart, raw</t>
        </is>
      </c>
      <c r="C1436" s="1" t="n">
        <v>0.14</v>
      </c>
      <c r="D1436" s="1" t="n">
        <v>3</v>
      </c>
      <c r="E1436" s="1" t="n">
        <v>4.31</v>
      </c>
      <c r="F1436" s="1" t="n">
        <v>17.72</v>
      </c>
      <c r="G1436" s="1" t="n">
        <v>3.94</v>
      </c>
      <c r="H1436" s="1" t="n">
        <v>0</v>
      </c>
      <c r="I1436" s="1" t="n">
        <v>1.7</v>
      </c>
      <c r="J1436" t="n">
        <v>28110510</v>
      </c>
    </row>
    <row r="1437" ht="15.75" customHeight="1" s="201">
      <c r="A1437" s="1" t="inlineStr">
        <is>
          <t>Beef, variety meats and by-products, kidneys, cooked, simmered</t>
        </is>
      </c>
      <c r="C1437" s="1" t="n">
        <v>0</v>
      </c>
      <c r="D1437" s="1" t="n">
        <v>83</v>
      </c>
      <c r="E1437" s="1" t="n">
        <v>5.8</v>
      </c>
      <c r="F1437" s="1" t="n">
        <v>27.27</v>
      </c>
      <c r="G1437" s="1" t="n">
        <v>4.65</v>
      </c>
      <c r="H1437" s="1" t="n">
        <v>0</v>
      </c>
      <c r="I1437" s="1" t="n">
        <v>2.84</v>
      </c>
      <c r="J1437" t="n">
        <v>28110510</v>
      </c>
    </row>
    <row r="1438" ht="15.75" customHeight="1" s="201">
      <c r="A1438" s="1" t="inlineStr">
        <is>
          <t>Beef, variety meats and by-products, kidneys, raw</t>
        </is>
      </c>
      <c r="C1438" s="1" t="n">
        <v>0.29</v>
      </c>
      <c r="D1438" s="1" t="n">
        <v>98</v>
      </c>
      <c r="E1438" s="1" t="n">
        <v>4.6</v>
      </c>
      <c r="F1438" s="1" t="n">
        <v>17.4</v>
      </c>
      <c r="G1438" s="1" t="n">
        <v>3.09</v>
      </c>
      <c r="H1438" s="1" t="n">
        <v>1397</v>
      </c>
      <c r="I1438" s="1" t="n">
        <v>1.92</v>
      </c>
      <c r="J1438" t="n">
        <v>28110510</v>
      </c>
    </row>
    <row r="1439" ht="15.75" customHeight="1" s="201">
      <c r="A1439" s="1" t="inlineStr">
        <is>
          <t>Beef, variety meats and by-products, liver, cooked, braised</t>
        </is>
      </c>
      <c r="C1439" s="1" t="n">
        <v>5.13</v>
      </c>
      <c r="D1439" s="1" t="n">
        <v>253</v>
      </c>
      <c r="E1439" s="1" t="n">
        <v>6.54</v>
      </c>
      <c r="F1439" s="1" t="n">
        <v>29.08</v>
      </c>
      <c r="G1439" s="1" t="n">
        <v>5.26</v>
      </c>
      <c r="H1439" s="1" t="n">
        <v>31714</v>
      </c>
      <c r="I1439" s="1" t="n">
        <v>5.3</v>
      </c>
      <c r="J1439" t="n">
        <v>28110510</v>
      </c>
    </row>
    <row r="1440" ht="15.75" customHeight="1" s="201">
      <c r="A1440" s="1" t="inlineStr">
        <is>
          <t>Beef, variety meats and by-products, liver, cooked, pan-fried</t>
        </is>
      </c>
      <c r="C1440" s="1" t="n">
        <v>5.16</v>
      </c>
      <c r="D1440" s="1" t="n">
        <v>260</v>
      </c>
      <c r="E1440" s="1" t="n">
        <v>6.17</v>
      </c>
      <c r="F1440" s="1" t="n">
        <v>26.52</v>
      </c>
      <c r="G1440" s="1" t="n">
        <v>4.68</v>
      </c>
      <c r="H1440" s="1" t="n">
        <v>26088</v>
      </c>
      <c r="I1440" s="1" t="n">
        <v>5.23</v>
      </c>
      <c r="J1440" t="n">
        <v>28110510</v>
      </c>
    </row>
    <row r="1441" ht="15.75" customHeight="1" s="201">
      <c r="A1441" s="1" t="inlineStr">
        <is>
          <t>Beef, variety meats and by-products, liver, raw</t>
        </is>
      </c>
      <c r="C1441" s="1" t="n">
        <v>3.89</v>
      </c>
      <c r="D1441" s="1" t="n">
        <v>290</v>
      </c>
      <c r="E1441" s="1" t="n">
        <v>4.9</v>
      </c>
      <c r="F1441" s="1" t="n">
        <v>20.36</v>
      </c>
      <c r="G1441" s="1" t="n">
        <v>3.63</v>
      </c>
      <c r="H1441" s="1" t="n">
        <v>16898</v>
      </c>
      <c r="I1441" s="1" t="n">
        <v>4</v>
      </c>
      <c r="J1441" t="n">
        <v>28110510</v>
      </c>
    </row>
    <row r="1442" ht="15.75" customHeight="1" s="201">
      <c r="A1442" s="1" t="inlineStr">
        <is>
          <t>Beef, variety meats and by-products, lungs, cooked, braised</t>
        </is>
      </c>
      <c r="C1442" s="1" t="n">
        <v>0</v>
      </c>
      <c r="D1442" s="1" t="n">
        <v>8</v>
      </c>
      <c r="E1442" s="1" t="n">
        <v>5.4</v>
      </c>
      <c r="F1442" s="1" t="n">
        <v>20.4</v>
      </c>
      <c r="G1442" s="1" t="n">
        <v>3.7</v>
      </c>
      <c r="H1442" s="1" t="n">
        <v>39</v>
      </c>
      <c r="I1442" s="1" t="n">
        <v>1.64</v>
      </c>
      <c r="J1442" t="n">
        <v>28110510</v>
      </c>
    </row>
    <row r="1443" ht="15.75" customHeight="1" s="201">
      <c r="A1443" s="1" t="inlineStr">
        <is>
          <t>Beef, variety meats and by-products, lungs, raw</t>
        </is>
      </c>
      <c r="C1443" s="1" t="n">
        <v>0</v>
      </c>
      <c r="D1443" s="1" t="n">
        <v>11</v>
      </c>
      <c r="E1443" s="1" t="n">
        <v>7.95</v>
      </c>
      <c r="F1443" s="1" t="n">
        <v>16.2</v>
      </c>
      <c r="G1443" s="1" t="n">
        <v>2.5</v>
      </c>
      <c r="H1443" s="1" t="n">
        <v>46</v>
      </c>
      <c r="I1443" s="1" t="n">
        <v>1.61</v>
      </c>
      <c r="J1443" t="n">
        <v>28110510</v>
      </c>
    </row>
    <row r="1444" ht="15.75" customHeight="1" s="201">
      <c r="A1444" s="1" t="inlineStr">
        <is>
          <t>Beef, variety meats and by-products, mechanically separated beef, raw</t>
        </is>
      </c>
      <c r="C1444" s="1" t="n">
        <v>0</v>
      </c>
      <c r="D1444" s="1" t="n">
        <v>5</v>
      </c>
      <c r="E1444" s="1" t="n">
        <v>5.67</v>
      </c>
      <c r="F1444" s="1" t="n">
        <v>14.97</v>
      </c>
      <c r="G1444" s="1" t="n">
        <v>23.52</v>
      </c>
      <c r="H1444" s="1" t="n">
        <v>0</v>
      </c>
      <c r="I1444" s="1" t="n">
        <v>3.58</v>
      </c>
      <c r="J1444" t="n">
        <v>28110510</v>
      </c>
    </row>
    <row r="1445" ht="15.75" customHeight="1" s="201">
      <c r="A1445" s="1" t="inlineStr">
        <is>
          <t>Beef, variety meats and by-products, pancreas, cooked, braised</t>
        </is>
      </c>
      <c r="C1445" s="1" t="n">
        <v>0</v>
      </c>
      <c r="D1445" s="1" t="n">
        <v>3</v>
      </c>
      <c r="E1445" s="1" t="n">
        <v>2.61</v>
      </c>
      <c r="F1445" s="1" t="n">
        <v>27.1</v>
      </c>
      <c r="G1445" s="1" t="n">
        <v>17.2</v>
      </c>
      <c r="H1445" s="1" t="n">
        <v>0</v>
      </c>
      <c r="I1445" s="1" t="n">
        <v>4.6</v>
      </c>
      <c r="J1445" t="n">
        <v>28110510</v>
      </c>
    </row>
    <row r="1446" ht="15.75" customHeight="1" s="201">
      <c r="A1446" s="1" t="inlineStr">
        <is>
          <t>Beef, variety meats and by-products, pancreas, raw</t>
        </is>
      </c>
      <c r="C1446" s="1" t="n">
        <v>0</v>
      </c>
      <c r="D1446" s="1" t="n">
        <v>3</v>
      </c>
      <c r="E1446" s="1" t="n">
        <v>2.22</v>
      </c>
      <c r="F1446" s="1" t="n">
        <v>15.7</v>
      </c>
      <c r="G1446" s="1" t="n">
        <v>18.6</v>
      </c>
      <c r="H1446" s="1" t="n">
        <v>0</v>
      </c>
      <c r="I1446" s="1" t="n">
        <v>2.58</v>
      </c>
      <c r="J1446" t="n">
        <v>28110510</v>
      </c>
    </row>
    <row r="1447" ht="15.75" customHeight="1" s="201">
      <c r="A1447" s="1" t="inlineStr">
        <is>
          <t>Beef, variety meats and by-products, spleen, cooked, braised</t>
        </is>
      </c>
      <c r="C1447" s="1" t="n">
        <v>0</v>
      </c>
      <c r="D1447" s="1" t="n">
        <v>4</v>
      </c>
      <c r="E1447" s="1" t="n">
        <v>39.36</v>
      </c>
      <c r="F1447" s="1" t="n">
        <v>25.1</v>
      </c>
      <c r="G1447" s="1" t="n">
        <v>4.2</v>
      </c>
      <c r="H1447" s="1" t="n">
        <v>0</v>
      </c>
      <c r="I1447" s="1" t="n">
        <v>2.79</v>
      </c>
      <c r="J1447" t="n">
        <v>28110510</v>
      </c>
    </row>
    <row r="1448" ht="15.75" customHeight="1" s="201">
      <c r="A1448" s="1" t="inlineStr">
        <is>
          <t>Beef, variety meats and by-products, spleen, raw</t>
        </is>
      </c>
      <c r="C1448" s="1" t="n">
        <v>0</v>
      </c>
      <c r="D1448" s="1" t="n">
        <v>4</v>
      </c>
      <c r="E1448" s="1" t="n">
        <v>44.55</v>
      </c>
      <c r="F1448" s="1" t="n">
        <v>18.3</v>
      </c>
      <c r="G1448" s="1" t="n">
        <v>3</v>
      </c>
      <c r="H1448" s="1" t="n">
        <v>0</v>
      </c>
      <c r="I1448" s="1" t="n">
        <v>2.11</v>
      </c>
      <c r="J1448" t="n">
        <v>28110510</v>
      </c>
    </row>
    <row r="1449" ht="15.75" customHeight="1" s="201">
      <c r="A1449" s="1" t="inlineStr">
        <is>
          <t>Beef, variety meats and by-products, suet, raw</t>
        </is>
      </c>
      <c r="C1449" s="1" t="n">
        <v>0</v>
      </c>
      <c r="D1449" s="1" t="n">
        <v>1</v>
      </c>
      <c r="E1449" s="1" t="n">
        <v>0.17</v>
      </c>
      <c r="F1449" s="1" t="n">
        <v>1.5</v>
      </c>
      <c r="G1449" s="1" t="n">
        <v>94</v>
      </c>
      <c r="H1449" s="1" t="n">
        <v>0</v>
      </c>
      <c r="I1449" s="1" t="n">
        <v>0.22</v>
      </c>
      <c r="J1449" t="n">
        <v>28110510</v>
      </c>
    </row>
    <row r="1450" ht="15.75" customHeight="1" s="201">
      <c r="A1450" s="1" t="inlineStr">
        <is>
          <t>Beef, variety meats and by-products, thymus, cooked, braised</t>
        </is>
      </c>
      <c r="C1450" s="1" t="n">
        <v>0</v>
      </c>
      <c r="D1450" s="1" t="n">
        <v>1</v>
      </c>
      <c r="E1450" s="1" t="n">
        <v>1.49</v>
      </c>
      <c r="F1450" s="1" t="n">
        <v>21.85</v>
      </c>
      <c r="G1450" s="1" t="n">
        <v>24.98</v>
      </c>
      <c r="H1450" s="1" t="n">
        <v>0</v>
      </c>
      <c r="I1450" s="1" t="n">
        <v>2.2</v>
      </c>
      <c r="J1450" t="n">
        <v>28110510</v>
      </c>
    </row>
    <row r="1451" ht="15.75" customHeight="1" s="201">
      <c r="A1451" s="1" t="inlineStr">
        <is>
          <t>Beef, variety meats and by-products, thymus, raw</t>
        </is>
      </c>
      <c r="C1451" s="1" t="n">
        <v>0</v>
      </c>
      <c r="D1451" s="1" t="n">
        <v>2</v>
      </c>
      <c r="E1451" s="1" t="n">
        <v>2.1</v>
      </c>
      <c r="F1451" s="1" t="n">
        <v>12.18</v>
      </c>
      <c r="G1451" s="1" t="n">
        <v>20.35</v>
      </c>
      <c r="H1451" s="1" t="n">
        <v>0</v>
      </c>
      <c r="I1451" s="1" t="n">
        <v>2.06</v>
      </c>
      <c r="J1451" t="n">
        <v>28110510</v>
      </c>
    </row>
    <row r="1452" ht="15.75" customHeight="1" s="201">
      <c r="A1452" s="1" t="inlineStr">
        <is>
          <t>Beef, variety meats and by-products, tongue, cooked, simmered</t>
        </is>
      </c>
      <c r="C1452" s="1" t="n">
        <v>0</v>
      </c>
      <c r="D1452" s="1" t="n">
        <v>7</v>
      </c>
      <c r="E1452" s="1" t="n">
        <v>2.61</v>
      </c>
      <c r="F1452" s="1" t="n">
        <v>19.29</v>
      </c>
      <c r="G1452" s="1" t="n">
        <v>22.3</v>
      </c>
      <c r="H1452" s="1" t="n">
        <v>0</v>
      </c>
      <c r="I1452" s="1" t="n">
        <v>4.09</v>
      </c>
      <c r="J1452" t="n">
        <v>28110510</v>
      </c>
    </row>
    <row r="1453" ht="15.75" customHeight="1" s="201">
      <c r="A1453" s="1" t="inlineStr">
        <is>
          <t>Beef, variety meats and by-products, tongue, raw</t>
        </is>
      </c>
      <c r="C1453" s="1" t="n">
        <v>3.68</v>
      </c>
      <c r="D1453" s="1" t="n">
        <v>7</v>
      </c>
      <c r="E1453" s="1" t="n">
        <v>2.95</v>
      </c>
      <c r="F1453" s="1" t="n">
        <v>14.9</v>
      </c>
      <c r="G1453" s="1" t="n">
        <v>16.09</v>
      </c>
      <c r="H1453" s="1" t="n">
        <v>0</v>
      </c>
      <c r="I1453" s="1" t="n">
        <v>2.87</v>
      </c>
      <c r="J1453" t="n">
        <v>28110510</v>
      </c>
    </row>
    <row r="1454" ht="15.75" customHeight="1" s="201">
      <c r="A1454" s="1" t="inlineStr">
        <is>
          <t>Beef, variety meats and by-products, tripe, raw</t>
        </is>
      </c>
      <c r="C1454" s="1" t="n">
        <v>0</v>
      </c>
      <c r="D1454" s="1" t="n">
        <v>5</v>
      </c>
      <c r="E1454" s="1" t="n">
        <v>0.59</v>
      </c>
      <c r="F1454" s="1" t="n">
        <v>12.07</v>
      </c>
      <c r="G1454" s="1" t="n">
        <v>3.69</v>
      </c>
      <c r="H1454" s="1" t="n">
        <v>0</v>
      </c>
      <c r="I1454" s="1" t="n">
        <v>1.42</v>
      </c>
      <c r="J1454" t="n">
        <v>28110510</v>
      </c>
    </row>
    <row r="1455" ht="15.75" customHeight="1" s="201">
      <c r="A1455" s="1" t="inlineStr">
        <is>
          <t>Beerwurst, beer salami, pork</t>
        </is>
      </c>
      <c r="C1455" s="1" t="n">
        <v>2.06</v>
      </c>
      <c r="D1455" s="1" t="n">
        <v>3</v>
      </c>
      <c r="E1455" s="1" t="n">
        <v>0.76</v>
      </c>
      <c r="F1455" s="1" t="n">
        <v>14.24</v>
      </c>
      <c r="G1455" s="1" t="n">
        <v>18.8</v>
      </c>
      <c r="H1455" s="1" t="n">
        <v>0</v>
      </c>
      <c r="I1455" s="1" t="n">
        <v>1.72</v>
      </c>
      <c r="J1455" t="n">
        <v>27120030</v>
      </c>
    </row>
    <row r="1456" ht="15.75" customHeight="1" s="201">
      <c r="A1456" s="1" t="inlineStr">
        <is>
          <t>Beerwurst, beer salami, pork and beef</t>
        </is>
      </c>
      <c r="C1456" s="1" t="n">
        <v>3.76</v>
      </c>
      <c r="D1456" s="1" t="n">
        <v>5</v>
      </c>
      <c r="E1456" s="1" t="n">
        <v>1.73</v>
      </c>
      <c r="F1456" s="1" t="n">
        <v>14</v>
      </c>
      <c r="G1456" s="1" t="n">
        <v>22.53</v>
      </c>
      <c r="H1456" s="1" t="n">
        <v>10</v>
      </c>
      <c r="I1456" s="1" t="n">
        <v>2.21</v>
      </c>
      <c r="J1456" t="n">
        <v>28110510</v>
      </c>
    </row>
    <row r="1457" ht="15.75" customHeight="1" s="201">
      <c r="A1457" s="1" t="inlineStr">
        <is>
          <t>Beerwurst, pork and beef</t>
        </is>
      </c>
      <c r="C1457" s="1" t="n">
        <v>4.27</v>
      </c>
      <c r="D1457" s="1" t="n">
        <v>5</v>
      </c>
      <c r="E1457" s="1" t="n">
        <v>1.73</v>
      </c>
      <c r="F1457" s="1" t="n">
        <v>14</v>
      </c>
      <c r="G1457" s="1" t="n">
        <v>22.53</v>
      </c>
      <c r="H1457" s="1" t="n">
        <v>10</v>
      </c>
      <c r="I1457" s="1" t="n">
        <v>2.21</v>
      </c>
      <c r="J1457" t="n">
        <v>28110510</v>
      </c>
    </row>
    <row r="1458" ht="15.75" customHeight="1" s="201">
      <c r="A1458" s="1" t="inlineStr">
        <is>
          <t>Beet greens, cooked, boiled, drained, with salt</t>
        </is>
      </c>
      <c r="C1458" s="1" t="n">
        <v>5.46</v>
      </c>
      <c r="D1458" s="1" t="n">
        <v>14</v>
      </c>
      <c r="E1458" s="1" t="n">
        <v>1.9</v>
      </c>
      <c r="F1458" s="1" t="n">
        <v>2.57</v>
      </c>
      <c r="G1458" s="1" t="n">
        <v>0.2</v>
      </c>
      <c r="H1458" s="1" t="n">
        <v>7654</v>
      </c>
      <c r="I1458" s="1" t="n">
        <v>0.5</v>
      </c>
      <c r="J1458" t="n">
        <v>75142550</v>
      </c>
    </row>
    <row r="1459" ht="15.75" customHeight="1" s="201">
      <c r="A1459" s="1" t="inlineStr">
        <is>
          <t>Beet greens, cooked, boiled, drained, without salt</t>
        </is>
      </c>
      <c r="C1459" s="1" t="n">
        <v>5.46</v>
      </c>
      <c r="D1459" s="1" t="n">
        <v>14</v>
      </c>
      <c r="E1459" s="1" t="n">
        <v>1.9</v>
      </c>
      <c r="F1459" s="1" t="n">
        <v>2.57</v>
      </c>
      <c r="G1459" s="1" t="n">
        <v>0.2</v>
      </c>
      <c r="H1459" s="1" t="n">
        <v>7654</v>
      </c>
      <c r="I1459" s="1" t="n">
        <v>0.5</v>
      </c>
      <c r="J1459" t="n">
        <v>72101220</v>
      </c>
    </row>
    <row r="1460" ht="15.75" customHeight="1" s="201">
      <c r="A1460" s="1" t="inlineStr">
        <is>
          <t>Beet greens, raw</t>
        </is>
      </c>
      <c r="C1460" s="1" t="n">
        <v>4.33</v>
      </c>
      <c r="D1460" s="1" t="n">
        <v>15</v>
      </c>
      <c r="E1460" s="1" t="n">
        <v>2.57</v>
      </c>
      <c r="F1460" s="1" t="n">
        <v>2.2</v>
      </c>
      <c r="G1460" s="1" t="n">
        <v>0.13</v>
      </c>
      <c r="H1460" s="1" t="n">
        <v>6326</v>
      </c>
      <c r="I1460" s="1" t="n">
        <v>0.38</v>
      </c>
      <c r="J1460" t="n">
        <v>72101220</v>
      </c>
    </row>
    <row r="1461" ht="15.75" customHeight="1" s="201">
      <c r="A1461" s="1" t="inlineStr">
        <is>
          <t>Beets, canned, drained solids</t>
        </is>
      </c>
      <c r="C1461" s="1" t="n">
        <v>7.21</v>
      </c>
      <c r="D1461" s="1" t="n">
        <v>30</v>
      </c>
      <c r="E1461" s="1" t="n">
        <v>1.82</v>
      </c>
      <c r="F1461" s="1" t="n">
        <v>0.91</v>
      </c>
      <c r="G1461" s="1" t="n">
        <v>0.14</v>
      </c>
      <c r="H1461" s="1" t="n">
        <v>24</v>
      </c>
      <c r="I1461" s="1" t="n">
        <v>0.21</v>
      </c>
      <c r="J1461" t="n">
        <v>63311110</v>
      </c>
    </row>
    <row r="1462" ht="15.75" customHeight="1" s="201">
      <c r="A1462" s="1" t="inlineStr">
        <is>
          <t>Beets, canned, no salt added, solids and liquids</t>
        </is>
      </c>
      <c r="C1462" s="1" t="n">
        <v>6.57</v>
      </c>
      <c r="D1462" s="1" t="n">
        <v>29</v>
      </c>
      <c r="E1462" s="1" t="n">
        <v>0.63</v>
      </c>
      <c r="F1462" s="1" t="n">
        <v>0.8</v>
      </c>
      <c r="G1462" s="1" t="n">
        <v>0.07000000000000001</v>
      </c>
      <c r="H1462" s="1" t="n">
        <v>22</v>
      </c>
      <c r="I1462" s="1" t="n">
        <v>0.23</v>
      </c>
      <c r="J1462" t="n">
        <v>73103020</v>
      </c>
    </row>
    <row r="1463" ht="15.75" customHeight="1" s="201">
      <c r="A1463" s="1" t="inlineStr">
        <is>
          <t>Beets, canned, regular pack, solids and liquids</t>
        </is>
      </c>
      <c r="C1463" s="1" t="n">
        <v>7.14</v>
      </c>
      <c r="D1463" s="1" t="n">
        <v>29</v>
      </c>
      <c r="E1463" s="1" t="n">
        <v>0.73</v>
      </c>
      <c r="F1463" s="1" t="n">
        <v>0.73</v>
      </c>
      <c r="G1463" s="1" t="n">
        <v>0.09</v>
      </c>
      <c r="H1463" s="1" t="n">
        <v>23</v>
      </c>
      <c r="I1463" s="1" t="n">
        <v>0.34</v>
      </c>
      <c r="J1463" t="n">
        <v>53109200</v>
      </c>
    </row>
    <row r="1464" ht="15.75" customHeight="1" s="201">
      <c r="A1464" s="1" t="inlineStr">
        <is>
          <t>Beets, cooked, boiled, drained</t>
        </is>
      </c>
      <c r="C1464" s="1" t="n">
        <v>9.960000000000001</v>
      </c>
      <c r="D1464" s="1" t="n">
        <v>80</v>
      </c>
      <c r="E1464" s="1" t="n">
        <v>0.79</v>
      </c>
      <c r="F1464" s="1" t="n">
        <v>1.68</v>
      </c>
      <c r="G1464" s="1" t="n">
        <v>0.18</v>
      </c>
      <c r="H1464" s="1" t="n">
        <v>35</v>
      </c>
      <c r="I1464" s="1" t="n">
        <v>0.35</v>
      </c>
      <c r="J1464" t="n">
        <v>31103010</v>
      </c>
    </row>
    <row r="1465" ht="15.75" customHeight="1" s="201">
      <c r="A1465" s="1" t="inlineStr">
        <is>
          <t>Beets, cooked, boiled. drained, with salt</t>
        </is>
      </c>
      <c r="C1465" s="1" t="n">
        <v>9.960000000000001</v>
      </c>
      <c r="D1465" s="1" t="n">
        <v>80</v>
      </c>
      <c r="E1465" s="1" t="n">
        <v>0.79</v>
      </c>
      <c r="F1465" s="1" t="n">
        <v>1.68</v>
      </c>
      <c r="G1465" s="1" t="n">
        <v>0.18</v>
      </c>
      <c r="H1465" s="1" t="n">
        <v>35</v>
      </c>
      <c r="I1465" s="1" t="n">
        <v>0.35</v>
      </c>
      <c r="J1465" t="n">
        <v>75142550</v>
      </c>
    </row>
    <row r="1466" ht="15.75" customHeight="1" s="201">
      <c r="A1466" s="1" t="inlineStr">
        <is>
          <t>Beets, harvard, canned, solids and liquids</t>
        </is>
      </c>
      <c r="C1466" s="1" t="n">
        <v>18.18</v>
      </c>
      <c r="D1466" s="1" t="n">
        <v>29</v>
      </c>
      <c r="E1466" s="1" t="n">
        <v>0.36</v>
      </c>
      <c r="F1466" s="1" t="n">
        <v>0.84</v>
      </c>
      <c r="G1466" s="1" t="n">
        <v>0.06</v>
      </c>
      <c r="H1466" s="1" t="n">
        <v>11</v>
      </c>
      <c r="I1466" s="1" t="n">
        <v>0.23</v>
      </c>
      <c r="J1466" t="n">
        <v>63311110</v>
      </c>
    </row>
    <row r="1467" ht="15.75" customHeight="1" s="201">
      <c r="A1467" s="1" t="inlineStr">
        <is>
          <t>Beets, pickled, canned, solids and liquids</t>
        </is>
      </c>
      <c r="C1467" s="1" t="n">
        <v>16.28</v>
      </c>
      <c r="D1467" s="1" t="n">
        <v>27</v>
      </c>
      <c r="E1467" s="1" t="n">
        <v>0.41</v>
      </c>
      <c r="F1467" s="1" t="n">
        <v>0.8</v>
      </c>
      <c r="G1467" s="1" t="n">
        <v>0.08</v>
      </c>
      <c r="H1467" s="1" t="n">
        <v>49</v>
      </c>
      <c r="I1467" s="1" t="n">
        <v>0.26</v>
      </c>
      <c r="J1467" t="n">
        <v>75500210</v>
      </c>
    </row>
    <row r="1468" ht="15.75" customHeight="1" s="201">
      <c r="A1468" s="1" t="inlineStr">
        <is>
          <t>Beets, raw</t>
        </is>
      </c>
      <c r="C1468" s="1" t="n">
        <v>9.56</v>
      </c>
      <c r="D1468" s="1" t="n">
        <v>109</v>
      </c>
      <c r="E1468" s="1" t="n">
        <v>0.8</v>
      </c>
      <c r="F1468" s="1" t="n">
        <v>1.61</v>
      </c>
      <c r="G1468" s="1" t="n">
        <v>0.17</v>
      </c>
      <c r="H1468" s="1" t="n">
        <v>33</v>
      </c>
      <c r="I1468" s="1" t="n">
        <v>0.35</v>
      </c>
      <c r="J1468" t="n">
        <v>75500210</v>
      </c>
    </row>
    <row r="1469" ht="15.75" customHeight="1" s="201">
      <c r="A1469" s="1" t="inlineStr">
        <is>
          <t>Beverage, instant breakfast powder, chocolate, not reconstituted</t>
        </is>
      </c>
      <c r="C1469" s="1" t="n">
        <v>66.2</v>
      </c>
      <c r="D1469" s="1" t="n">
        <v>285</v>
      </c>
      <c r="E1469" s="1" t="n">
        <v>12.82</v>
      </c>
      <c r="F1469" s="1" t="n">
        <v>19.9</v>
      </c>
      <c r="G1469" s="1" t="n">
        <v>1.4</v>
      </c>
      <c r="H1469" s="1" t="n">
        <v>2083</v>
      </c>
      <c r="I1469" s="1" t="n">
        <v>8.550000000000001</v>
      </c>
      <c r="J1469" t="n">
        <v>53108200</v>
      </c>
    </row>
    <row r="1470" ht="15.75" customHeight="1" s="201">
      <c r="A1470" s="1" t="inlineStr">
        <is>
          <t>Beverage, instant breakfast powder, chocolate, sugar-free, not reconstituted</t>
        </is>
      </c>
      <c r="C1470" s="1" t="n">
        <v>41</v>
      </c>
      <c r="D1470" s="1" t="n">
        <v>500</v>
      </c>
      <c r="E1470" s="1" t="n">
        <v>2.3</v>
      </c>
      <c r="F1470" s="1" t="n">
        <v>35.8</v>
      </c>
      <c r="G1470" s="1" t="n">
        <v>5.1</v>
      </c>
      <c r="H1470" s="1" t="n">
        <v>8962</v>
      </c>
      <c r="I1470" s="1" t="n">
        <v>15.4</v>
      </c>
      <c r="J1470" t="n">
        <v>53108200</v>
      </c>
    </row>
    <row r="1471" ht="15.75" customHeight="1" s="201">
      <c r="A1471" s="1" t="inlineStr">
        <is>
          <t>Beverages,  Energy drink, Citrus</t>
        </is>
      </c>
      <c r="C1471" s="1" t="n">
        <v>11.27</v>
      </c>
      <c r="D1471" s="1" t="n">
        <v>0</v>
      </c>
      <c r="E1471" s="1" t="n">
        <v>0</v>
      </c>
      <c r="F1471" s="1" t="n">
        <v>0</v>
      </c>
      <c r="G1471" s="1" t="n">
        <v>0</v>
      </c>
      <c r="H1471" s="1" t="n">
        <v>0</v>
      </c>
      <c r="I1471" s="1" t="n">
        <v>0</v>
      </c>
      <c r="J1471" t="n">
        <v>95101000</v>
      </c>
    </row>
    <row r="1472" ht="15.75" customHeight="1" s="201">
      <c r="A1472" s="1" t="inlineStr">
        <is>
          <t>Beverages, ABBOTT, EAS whey protein powder</t>
        </is>
      </c>
      <c r="C1472" s="1" t="n">
        <v>17.95</v>
      </c>
      <c r="D1472" s="1" t="n">
        <v>200</v>
      </c>
      <c r="E1472" s="1" t="n">
        <v>0.92</v>
      </c>
      <c r="F1472" s="1" t="n">
        <v>66.67</v>
      </c>
      <c r="G1472" s="1" t="n">
        <v>5.13</v>
      </c>
      <c r="H1472" s="1" t="n">
        <v>54</v>
      </c>
      <c r="I1472" s="1" t="n">
        <v>7.14</v>
      </c>
      <c r="J1472" t="n">
        <v>95230000</v>
      </c>
    </row>
    <row r="1473" ht="15.75" customHeight="1" s="201">
      <c r="A1473" s="1" t="inlineStr">
        <is>
          <t>Beverages, ABBOTT, ENSURE PLUS, ready-to-drink</t>
        </is>
      </c>
      <c r="C1473" s="1" t="n">
        <v>19.88</v>
      </c>
      <c r="D1473" s="1" t="n">
        <v>40</v>
      </c>
      <c r="E1473" s="1" t="n">
        <v>1.79</v>
      </c>
      <c r="F1473" s="1" t="n">
        <v>5.16</v>
      </c>
      <c r="G1473" s="1" t="n">
        <v>4.52</v>
      </c>
      <c r="H1473" s="1" t="n">
        <v>497</v>
      </c>
      <c r="I1473" s="1" t="n">
        <v>1.51</v>
      </c>
      <c r="J1473" t="n">
        <v>95103000</v>
      </c>
    </row>
    <row r="1474" ht="15.75" customHeight="1" s="201">
      <c r="A1474" s="1" t="inlineStr">
        <is>
          <t>Beverages, Acai berry drink, fortified</t>
        </is>
      </c>
      <c r="C1474" s="1" t="n">
        <v>12.83</v>
      </c>
      <c r="D1474" s="1" t="n">
        <v>4</v>
      </c>
      <c r="E1474" s="1" t="n">
        <v>0.16</v>
      </c>
      <c r="F1474" s="1" t="n">
        <v>0.83</v>
      </c>
      <c r="G1474" s="1" t="n">
        <v>0.83</v>
      </c>
      <c r="H1474" s="1" t="n">
        <v>9698</v>
      </c>
      <c r="I1474" s="1" t="n">
        <v>0.11</v>
      </c>
      <c r="J1474" t="n">
        <v>53303500</v>
      </c>
    </row>
    <row r="1475" ht="15.75" customHeight="1" s="201">
      <c r="A1475" s="1" t="inlineStr">
        <is>
          <t>Beverages, almond milk, sweetened, vanilla flavor, ready-to-drink</t>
        </is>
      </c>
      <c r="C1475" s="1" t="n">
        <v>6.59</v>
      </c>
      <c r="D1475" s="1" t="n">
        <v>1</v>
      </c>
      <c r="E1475" s="1" t="n">
        <v>0.3</v>
      </c>
      <c r="F1475" s="1" t="n">
        <v>0.42</v>
      </c>
      <c r="G1475" s="1" t="n">
        <v>1.04</v>
      </c>
      <c r="H1475" s="1" t="n">
        <v>208</v>
      </c>
      <c r="I1475" s="1" t="n">
        <v>0.63</v>
      </c>
      <c r="J1475" t="n">
        <v>11350000</v>
      </c>
    </row>
    <row r="1476" ht="15.75" customHeight="1" s="201">
      <c r="A1476" s="1" t="inlineStr">
        <is>
          <t>Beverages, aloe vera juice drink, fortified with Vitamin C</t>
        </is>
      </c>
      <c r="C1476" s="1" t="n">
        <v>3.75</v>
      </c>
      <c r="D1476" s="1" t="n">
        <v>0</v>
      </c>
      <c r="E1476" s="1" t="n">
        <v>0.15</v>
      </c>
      <c r="F1476" s="1" t="n">
        <v>0</v>
      </c>
      <c r="G1476" s="1" t="n">
        <v>0</v>
      </c>
      <c r="H1476" s="1" t="n">
        <v>0</v>
      </c>
      <c r="I1476" s="1" t="n">
        <v>0</v>
      </c>
      <c r="J1476" t="n">
        <v>92530610</v>
      </c>
    </row>
    <row r="1477" ht="15.75" customHeight="1" s="201">
      <c r="A1477" s="1" t="inlineStr">
        <is>
          <t>Beverages, AMBER, hard cider</t>
        </is>
      </c>
      <c r="C1477" s="1" t="n">
        <v>5.92</v>
      </c>
      <c r="D1477" s="1" t="n">
        <v>1</v>
      </c>
      <c r="E1477" s="1" t="n">
        <v>0.06</v>
      </c>
      <c r="F1477" s="1" t="n">
        <v>0</v>
      </c>
      <c r="G1477" s="1" t="n">
        <v>0</v>
      </c>
      <c r="H1477" s="1" t="n">
        <v>27</v>
      </c>
      <c r="I1477" s="1" t="n">
        <v>0.02</v>
      </c>
      <c r="J1477" t="n">
        <v>93106000</v>
      </c>
    </row>
    <row r="1478" ht="15.75" customHeight="1" s="201">
      <c r="A1478" s="1" t="inlineStr">
        <is>
          <t>Beverages, Apple juice drink, light, fortified with vitamin C</t>
        </is>
      </c>
      <c r="C1478" s="1" t="n">
        <v>5.1</v>
      </c>
      <c r="D1478" s="1" t="n">
        <v>0</v>
      </c>
      <c r="E1478" s="1" t="n">
        <v>0.2</v>
      </c>
      <c r="F1478" s="1" t="n">
        <v>0</v>
      </c>
      <c r="G1478" s="1" t="n">
        <v>0.1</v>
      </c>
      <c r="H1478" s="1" t="n">
        <v>0</v>
      </c>
      <c r="I1478" s="1" t="n">
        <v>0.04</v>
      </c>
      <c r="J1478" t="n">
        <v>58148117</v>
      </c>
    </row>
    <row r="1479" ht="15.75" customHeight="1" s="201">
      <c r="A1479" s="1" t="inlineStr">
        <is>
          <t>Beverages, carbonated, grape soda</t>
        </is>
      </c>
      <c r="C1479" s="1" t="n">
        <v>11.2</v>
      </c>
      <c r="D1479" s="1" t="n">
        <v>0</v>
      </c>
      <c r="E1479" s="1" t="n">
        <v>0.08</v>
      </c>
      <c r="F1479" s="1" t="n">
        <v>0</v>
      </c>
      <c r="G1479" s="1" t="n">
        <v>0</v>
      </c>
      <c r="H1479" s="1" t="n">
        <v>0</v>
      </c>
      <c r="I1479" s="1" t="n">
        <v>0.07000000000000001</v>
      </c>
      <c r="J1479" t="n">
        <v>92410510</v>
      </c>
    </row>
    <row r="1480" ht="15.75" customHeight="1" s="201">
      <c r="A1480" s="1" t="inlineStr">
        <is>
          <t>Beverages, carbonated, lemon-lime soda, no caffeine</t>
        </is>
      </c>
      <c r="C1480" s="1" t="n">
        <v>10.42</v>
      </c>
      <c r="D1480" s="1" t="n">
        <v>0</v>
      </c>
      <c r="E1480" s="1" t="n">
        <v>0.02</v>
      </c>
      <c r="F1480" s="1" t="n">
        <v>0.09</v>
      </c>
      <c r="G1480" s="1" t="n">
        <v>0</v>
      </c>
      <c r="H1480" s="1" t="n">
        <v>0</v>
      </c>
      <c r="I1480" s="1" t="n">
        <v>0.01</v>
      </c>
      <c r="J1480" t="n">
        <v>92410510</v>
      </c>
    </row>
    <row r="1481" ht="15.75" customHeight="1" s="201">
      <c r="A1481" s="1" t="inlineStr">
        <is>
          <t>Beverages, carbonated, limeade, high caffeine</t>
        </is>
      </c>
      <c r="C1481" s="1" t="n">
        <v>4.11</v>
      </c>
      <c r="D1481" s="1" t="n">
        <v>0</v>
      </c>
      <c r="E1481" s="1" t="n">
        <v>0.03</v>
      </c>
      <c r="F1481" s="1" t="n">
        <v>0</v>
      </c>
      <c r="G1481" s="1" t="n">
        <v>0.11</v>
      </c>
      <c r="H1481" s="1" t="n">
        <v>0</v>
      </c>
      <c r="I1481" s="1" t="n">
        <v>0.01</v>
      </c>
      <c r="J1481" t="n">
        <v>92410510</v>
      </c>
    </row>
    <row r="1482" ht="15.75" customHeight="1" s="201">
      <c r="A1482" s="1" t="inlineStr">
        <is>
          <t>Beverages, carbonated, low calorie, cola or pepper-types, with sodium saccharin, contains caffeine</t>
        </is>
      </c>
      <c r="C1482" s="1" t="n">
        <v>0.1</v>
      </c>
      <c r="D1482" s="1" t="n">
        <v>0</v>
      </c>
      <c r="E1482" s="1" t="n">
        <v>0.02</v>
      </c>
      <c r="F1482" s="1" t="n">
        <v>0</v>
      </c>
      <c r="G1482" s="1" t="n">
        <v>0</v>
      </c>
      <c r="H1482" s="1" t="n">
        <v>0</v>
      </c>
      <c r="I1482" s="1" t="n">
        <v>0.03</v>
      </c>
      <c r="J1482" t="n">
        <v>53109200</v>
      </c>
    </row>
    <row r="1483" ht="15.75" customHeight="1" s="201">
      <c r="A1483" s="1" t="inlineStr">
        <is>
          <t>Beverages, carbonated, low calorie, other than cola or pepper,  without caffeine</t>
        </is>
      </c>
      <c r="C1483" s="1" t="n">
        <v>0</v>
      </c>
      <c r="D1483" s="1" t="n">
        <v>0</v>
      </c>
      <c r="E1483" s="1" t="n">
        <v>0.04</v>
      </c>
      <c r="F1483" s="1" t="n">
        <v>0.1</v>
      </c>
      <c r="G1483" s="1" t="n">
        <v>0</v>
      </c>
      <c r="H1483" s="1" t="n">
        <v>0</v>
      </c>
      <c r="I1483" s="1" t="n">
        <v>0</v>
      </c>
      <c r="J1483" t="n">
        <v>53109200</v>
      </c>
    </row>
    <row r="1484" ht="15.75" customHeight="1" s="201">
      <c r="A1484" s="1" t="inlineStr">
        <is>
          <t>Beverages, carbonated, low calorie, other than cola or pepper, with aspartame, contains caffeine</t>
        </is>
      </c>
      <c r="C1484" s="1" t="n">
        <v>0</v>
      </c>
      <c r="D1484" s="1" t="n">
        <v>0</v>
      </c>
      <c r="E1484" s="1" t="n">
        <v>0.04</v>
      </c>
      <c r="F1484" s="1" t="n">
        <v>0.1</v>
      </c>
      <c r="G1484" s="1" t="n">
        <v>0</v>
      </c>
      <c r="H1484" s="1" t="n">
        <v>0</v>
      </c>
      <c r="I1484" s="1" t="n">
        <v>0</v>
      </c>
      <c r="J1484" t="n">
        <v>53109200</v>
      </c>
    </row>
    <row r="1485" ht="15.75" customHeight="1" s="201">
      <c r="A1485" s="1" t="inlineStr">
        <is>
          <t>Beverages, carbonated, pepper-type, contains caffeine</t>
        </is>
      </c>
      <c r="C1485" s="1" t="n">
        <v>10.4</v>
      </c>
      <c r="D1485" s="1" t="n">
        <v>0</v>
      </c>
      <c r="E1485" s="1" t="n">
        <v>0.04</v>
      </c>
      <c r="F1485" s="1" t="n">
        <v>0</v>
      </c>
      <c r="G1485" s="1" t="n">
        <v>0.1</v>
      </c>
      <c r="H1485" s="1" t="n">
        <v>0</v>
      </c>
      <c r="I1485" s="1" t="n">
        <v>0.04</v>
      </c>
      <c r="J1485" t="n">
        <v>92410370</v>
      </c>
    </row>
    <row r="1486" ht="15.75" customHeight="1" s="201">
      <c r="A1486" s="1" t="inlineStr">
        <is>
          <t>Beverages, carbonated, root beer</t>
        </is>
      </c>
      <c r="C1486" s="1" t="n">
        <v>10.6</v>
      </c>
      <c r="D1486" s="1" t="n">
        <v>0</v>
      </c>
      <c r="E1486" s="1" t="n">
        <v>0.05</v>
      </c>
      <c r="F1486" s="1" t="n">
        <v>0</v>
      </c>
      <c r="G1486" s="1" t="n">
        <v>0</v>
      </c>
      <c r="H1486" s="1" t="n">
        <v>0</v>
      </c>
      <c r="I1486" s="1" t="n">
        <v>0.07000000000000001</v>
      </c>
      <c r="J1486" t="n">
        <v>13120800</v>
      </c>
    </row>
    <row r="1487" ht="15.75" customHeight="1" s="201">
      <c r="A1487" s="1" t="inlineStr">
        <is>
          <t>Beverages, carbonated, SPRITE, lemon-lime, without caffeine</t>
        </is>
      </c>
      <c r="C1487" s="1" t="n">
        <v>10.14</v>
      </c>
      <c r="D1487" s="1" t="n">
        <v>0</v>
      </c>
      <c r="E1487" s="1" t="n">
        <v>0.11</v>
      </c>
      <c r="F1487" s="1" t="n">
        <v>0.05</v>
      </c>
      <c r="G1487" s="1" t="n">
        <v>0.02</v>
      </c>
      <c r="H1487" s="1" t="n">
        <v>0</v>
      </c>
      <c r="I1487" s="1" t="n">
        <v>0.04</v>
      </c>
      <c r="J1487" t="n">
        <v>92410510</v>
      </c>
    </row>
    <row r="1488" ht="15.75" customHeight="1" s="201">
      <c r="A1488" s="1" t="inlineStr">
        <is>
          <t>Beverages, carbonated, tonic water</t>
        </is>
      </c>
      <c r="C1488" s="1" t="n">
        <v>8.800000000000001</v>
      </c>
      <c r="D1488" s="1" t="n">
        <v>0</v>
      </c>
      <c r="E1488" s="1" t="n">
        <v>0.01</v>
      </c>
      <c r="F1488" s="1" t="n">
        <v>0</v>
      </c>
      <c r="G1488" s="1" t="n">
        <v>0</v>
      </c>
      <c r="H1488" s="1" t="n">
        <v>0</v>
      </c>
      <c r="I1488" s="1" t="n">
        <v>0.1</v>
      </c>
      <c r="J1488" t="n">
        <v>11740312</v>
      </c>
    </row>
    <row r="1489" ht="15.75" customHeight="1" s="201">
      <c r="A1489" s="1" t="inlineStr">
        <is>
          <t>Beverages, Carob-flavor beverage mix, powder</t>
        </is>
      </c>
      <c r="C1489" s="1" t="n">
        <v>93.3</v>
      </c>
      <c r="D1489" s="1" t="n">
        <v>0</v>
      </c>
      <c r="E1489" s="1" t="n">
        <v>4.6</v>
      </c>
      <c r="F1489" s="1" t="n">
        <v>1.8</v>
      </c>
      <c r="G1489" s="1" t="n">
        <v>0.2</v>
      </c>
      <c r="H1489" s="1" t="n">
        <v>0</v>
      </c>
      <c r="I1489" s="1" t="n">
        <v>0.08</v>
      </c>
    </row>
    <row r="1490" ht="15.75" customHeight="1" s="201">
      <c r="A1490" s="1" t="inlineStr">
        <is>
          <t>Beverages, Carob-flavor beverage mix, powder, prepared with whole milk</t>
        </is>
      </c>
      <c r="C1490" s="1" t="n">
        <v>8.68</v>
      </c>
      <c r="D1490" s="1" t="n">
        <v>5</v>
      </c>
      <c r="E1490" s="1" t="n">
        <v>0.25</v>
      </c>
      <c r="F1490" s="1" t="n">
        <v>3.16</v>
      </c>
      <c r="G1490" s="1" t="n">
        <v>3.11</v>
      </c>
      <c r="H1490" s="1" t="n">
        <v>97</v>
      </c>
      <c r="I1490" s="1" t="n">
        <v>0.37</v>
      </c>
      <c r="J1490" t="n">
        <v>75142550</v>
      </c>
    </row>
    <row r="1491" ht="15.75" customHeight="1" s="201">
      <c r="A1491" s="1" t="inlineStr">
        <is>
          <t>Beverages, chocolate almond milk, unsweetened, shelf-stable, fortified with vitamin D2 and E</t>
        </is>
      </c>
      <c r="C1491" s="1" t="n">
        <v>1.25</v>
      </c>
      <c r="D1491" s="1" t="n">
        <v>1</v>
      </c>
      <c r="E1491" s="1" t="n">
        <v>0.45</v>
      </c>
      <c r="F1491" s="1" t="n">
        <v>0.83</v>
      </c>
      <c r="G1491" s="1" t="n">
        <v>1.46</v>
      </c>
      <c r="H1491" s="1" t="n">
        <v>208</v>
      </c>
      <c r="I1491" s="1" t="n">
        <v>0.07000000000000001</v>
      </c>
      <c r="J1491" t="n">
        <v>53108200</v>
      </c>
    </row>
    <row r="1492" ht="15.75" customHeight="1" s="201">
      <c r="A1492" s="1" t="inlineStr">
        <is>
          <t>Beverages, chocolate drink, milk and soy based, ready to drink, fortified</t>
        </is>
      </c>
      <c r="C1492" s="1" t="n">
        <v>17.3</v>
      </c>
      <c r="D1492" s="1" t="n">
        <v>42</v>
      </c>
      <c r="E1492" s="1" t="n">
        <v>1.9</v>
      </c>
      <c r="F1492" s="1" t="n">
        <v>4.22</v>
      </c>
      <c r="G1492" s="1" t="n">
        <v>1.69</v>
      </c>
      <c r="H1492" s="1" t="n">
        <v>527</v>
      </c>
      <c r="I1492" s="1" t="n">
        <v>1.9</v>
      </c>
      <c r="J1492" t="n">
        <v>53108200</v>
      </c>
    </row>
    <row r="1493" ht="15.75" customHeight="1" s="201">
      <c r="A1493" s="1" t="inlineStr">
        <is>
          <t>Beverages, chocolate malt powder, prepared with 1% milk, fortified</t>
        </is>
      </c>
      <c r="C1493" s="1" t="n">
        <v>8.81</v>
      </c>
      <c r="D1493" s="1" t="n">
        <v>7</v>
      </c>
      <c r="E1493" s="1" t="n">
        <v>1.14</v>
      </c>
      <c r="F1493" s="1" t="n">
        <v>3.32</v>
      </c>
      <c r="G1493" s="1" t="n">
        <v>0.97</v>
      </c>
      <c r="H1493" s="1" t="n">
        <v>570</v>
      </c>
      <c r="I1493" s="1" t="n">
        <v>1.22</v>
      </c>
      <c r="J1493" t="n">
        <v>53108200</v>
      </c>
    </row>
    <row r="1494" ht="15.75" customHeight="1" s="201">
      <c r="A1494" s="1" t="inlineStr">
        <is>
          <t>Beverages, chocolate malt, powder, prepared with fat free milk</t>
        </is>
      </c>
      <c r="C1494" s="1" t="n">
        <v>8.640000000000001</v>
      </c>
      <c r="D1494" s="1" t="n">
        <v>5</v>
      </c>
      <c r="E1494" s="1" t="n">
        <v>0.74</v>
      </c>
      <c r="F1494" s="1" t="n">
        <v>3.25</v>
      </c>
      <c r="G1494" s="1" t="n">
        <v>0.17</v>
      </c>
      <c r="H1494" s="1" t="n">
        <v>458</v>
      </c>
      <c r="I1494" s="1" t="n">
        <v>0.97</v>
      </c>
      <c r="J1494" t="n">
        <v>53108200</v>
      </c>
    </row>
    <row r="1495" ht="15.75" customHeight="1" s="201">
      <c r="A1495" s="1" t="inlineStr">
        <is>
          <t>Beverages, chocolate syrup</t>
        </is>
      </c>
      <c r="C1495" s="1" t="n">
        <v>65.09999999999999</v>
      </c>
      <c r="D1495" s="1" t="n">
        <v>2</v>
      </c>
      <c r="E1495" s="1" t="n">
        <v>2.11</v>
      </c>
      <c r="F1495" s="1" t="n">
        <v>2.1</v>
      </c>
      <c r="G1495" s="1" t="n">
        <v>1.13</v>
      </c>
      <c r="H1495" s="1" t="n">
        <v>0</v>
      </c>
      <c r="I1495" s="1" t="n">
        <v>0.73</v>
      </c>
      <c r="J1495" t="n">
        <v>53108200</v>
      </c>
    </row>
    <row r="1496" ht="15.75" customHeight="1" s="201">
      <c r="A1496" s="1" t="inlineStr">
        <is>
          <t>Beverages, chocolate syrup, prepared with whole milk</t>
        </is>
      </c>
      <c r="C1496" s="1" t="n">
        <v>12.78</v>
      </c>
      <c r="D1496" s="1" t="n">
        <v>5</v>
      </c>
      <c r="E1496" s="1" t="n">
        <v>0.32</v>
      </c>
      <c r="F1496" s="1" t="n">
        <v>3.07</v>
      </c>
      <c r="G1496" s="1" t="n">
        <v>2.96</v>
      </c>
      <c r="H1496" s="1" t="n">
        <v>88</v>
      </c>
      <c r="I1496" s="1" t="n">
        <v>0.43</v>
      </c>
      <c r="J1496" t="n">
        <v>53108200</v>
      </c>
    </row>
    <row r="1497" ht="15.75" customHeight="1" s="201">
      <c r="A1497" s="1" t="inlineStr">
        <is>
          <t>Beverages, chocolate-flavor beverage mix for milk, powder, with added nutrients</t>
        </is>
      </c>
      <c r="C1497" s="1" t="n">
        <v>90.28</v>
      </c>
      <c r="D1497" s="1" t="n">
        <v>4</v>
      </c>
      <c r="E1497" s="1" t="n">
        <v>0</v>
      </c>
      <c r="F1497" s="1" t="n">
        <v>4.55</v>
      </c>
      <c r="G1497" s="1" t="n">
        <v>2.27</v>
      </c>
      <c r="H1497" s="1" t="n">
        <v>2</v>
      </c>
      <c r="I1497" s="1" t="n">
        <v>6.82</v>
      </c>
      <c r="J1497" t="n">
        <v>53108200</v>
      </c>
    </row>
    <row r="1498" ht="15.75" customHeight="1" s="201">
      <c r="A1498" s="1" t="inlineStr">
        <is>
          <t>Beverages, chocolate-flavor beverage mix for milk, powder, with added nutrients, prepared with whole milk</t>
        </is>
      </c>
      <c r="C1498" s="1" t="n">
        <v>11.87</v>
      </c>
      <c r="D1498" s="1" t="n">
        <v>5</v>
      </c>
      <c r="E1498" s="1" t="n">
        <v>0.03</v>
      </c>
      <c r="F1498" s="1" t="n">
        <v>3.27</v>
      </c>
      <c r="G1498" s="1" t="n">
        <v>3.17</v>
      </c>
      <c r="H1498" s="1" t="n">
        <v>148</v>
      </c>
      <c r="I1498" s="1" t="n">
        <v>0.91</v>
      </c>
      <c r="J1498" t="n">
        <v>53108200</v>
      </c>
    </row>
    <row r="1499" ht="15.75" customHeight="1" s="201">
      <c r="A1499" s="1" t="inlineStr">
        <is>
          <t>Beverages, chocolate-flavor beverage mix, powder, prepared with whole milk</t>
        </is>
      </c>
      <c r="C1499" s="1" t="n">
        <v>11.96</v>
      </c>
      <c r="D1499" s="1" t="n">
        <v>5</v>
      </c>
      <c r="E1499" s="1" t="n">
        <v>0.3</v>
      </c>
      <c r="F1499" s="1" t="n">
        <v>3.23</v>
      </c>
      <c r="G1499" s="1" t="n">
        <v>3.24</v>
      </c>
      <c r="H1499" s="1" t="n">
        <v>93</v>
      </c>
      <c r="I1499" s="1" t="n">
        <v>0.48</v>
      </c>
      <c r="J1499" t="n">
        <v>53108200</v>
      </c>
    </row>
    <row r="1500" ht="15.75" customHeight="1" s="201">
      <c r="A1500" s="1" t="inlineStr">
        <is>
          <t>Beverages, Chocolate-flavored drink, whey and milk based</t>
        </is>
      </c>
      <c r="C1500" s="1" t="n">
        <v>10.68</v>
      </c>
      <c r="D1500" s="1" t="n">
        <v>1</v>
      </c>
      <c r="E1500" s="1" t="n">
        <v>0.33</v>
      </c>
      <c r="F1500" s="1" t="n">
        <v>0.64</v>
      </c>
      <c r="G1500" s="1" t="n">
        <v>0.4</v>
      </c>
      <c r="H1500" s="1" t="n">
        <v>200</v>
      </c>
      <c r="I1500" s="1" t="n">
        <v>0.16</v>
      </c>
      <c r="J1500" t="n">
        <v>53108200</v>
      </c>
    </row>
    <row r="1501" ht="15.75" customHeight="1" s="201">
      <c r="A1501" s="1" t="inlineStr">
        <is>
          <t>Beverages, citrus fruit juice drink, frozen concentrate</t>
        </is>
      </c>
      <c r="C1501" s="1" t="n">
        <v>40.2</v>
      </c>
      <c r="D1501" s="1" t="n">
        <v>26</v>
      </c>
      <c r="E1501" s="1" t="n">
        <v>3.94</v>
      </c>
      <c r="F1501" s="1" t="n">
        <v>1.2</v>
      </c>
      <c r="G1501" s="1" t="n">
        <v>0.1</v>
      </c>
      <c r="H1501" s="1" t="n">
        <v>131</v>
      </c>
      <c r="I1501" s="1" t="n">
        <v>0.12</v>
      </c>
      <c r="J1501" t="n">
        <v>92530610</v>
      </c>
    </row>
    <row r="1502" ht="15.75" customHeight="1" s="201">
      <c r="A1502" s="1" t="inlineStr">
        <is>
          <t>Beverages, citrus fruit juice drink, frozen concentrate, prepared with water</t>
        </is>
      </c>
      <c r="C1502" s="1" t="n">
        <v>11.42</v>
      </c>
      <c r="D1502" s="1" t="n">
        <v>7</v>
      </c>
      <c r="E1502" s="1" t="n">
        <v>1.12</v>
      </c>
      <c r="F1502" s="1" t="n">
        <v>0.34</v>
      </c>
      <c r="G1502" s="1" t="n">
        <v>0.03</v>
      </c>
      <c r="H1502" s="1" t="n">
        <v>37</v>
      </c>
      <c r="I1502" s="1" t="n">
        <v>0.04</v>
      </c>
      <c r="J1502" t="n">
        <v>92530610</v>
      </c>
    </row>
    <row r="1503" ht="15.75" customHeight="1" s="201">
      <c r="A1503" s="1" t="inlineStr">
        <is>
          <t>Beverages, Clam and tomato juice, canned</t>
        </is>
      </c>
      <c r="C1503" s="1" t="n">
        <v>10.95</v>
      </c>
      <c r="D1503" s="1" t="n">
        <v>8</v>
      </c>
      <c r="E1503" s="1" t="n">
        <v>0.15</v>
      </c>
      <c r="F1503" s="1" t="n">
        <v>0.6</v>
      </c>
      <c r="G1503" s="1" t="n">
        <v>0.2</v>
      </c>
      <c r="H1503" s="1" t="n">
        <v>149</v>
      </c>
      <c r="I1503" s="1" t="n">
        <v>0.08</v>
      </c>
      <c r="J1503" t="n">
        <v>64100110</v>
      </c>
    </row>
    <row r="1504" ht="15.75" customHeight="1" s="201">
      <c r="A1504" s="1" t="inlineStr">
        <is>
          <t>Beverages, Cocktail mix, non-alcoholic, concentrated, frozen</t>
        </is>
      </c>
      <c r="C1504" s="1" t="n">
        <v>71.59999999999999</v>
      </c>
      <c r="D1504" s="1" t="n">
        <v>5</v>
      </c>
      <c r="E1504" s="1" t="n">
        <v>0.04</v>
      </c>
      <c r="F1504" s="1" t="n">
        <v>0.08</v>
      </c>
      <c r="G1504" s="1" t="n">
        <v>0.01</v>
      </c>
      <c r="H1504" s="1" t="n">
        <v>12</v>
      </c>
      <c r="I1504" s="1" t="n">
        <v>0.02</v>
      </c>
    </row>
    <row r="1505" ht="15.75" customHeight="1" s="201">
      <c r="A1505" s="1" t="inlineStr">
        <is>
          <t>Beverages, Cocoa mix, NESTLE, Hot Cocoa Mix Rich Chocolate With Marshmallows</t>
        </is>
      </c>
      <c r="C1505" s="1" t="n">
        <v>75</v>
      </c>
      <c r="E1505" s="1" t="n">
        <v>1.8</v>
      </c>
      <c r="F1505" s="1" t="n">
        <v>2.8</v>
      </c>
      <c r="G1505" s="1" t="n">
        <v>15</v>
      </c>
      <c r="H1505" s="1" t="n">
        <v>10</v>
      </c>
      <c r="J1505" t="n">
        <v>53108200</v>
      </c>
    </row>
    <row r="1506" ht="15.75" customHeight="1" s="201">
      <c r="A1506" s="1" t="inlineStr">
        <is>
          <t>Beverages, Cocoa mix, no sugar added, powder</t>
        </is>
      </c>
      <c r="C1506" s="1" t="n">
        <v>71.93000000000001</v>
      </c>
      <c r="D1506" s="1" t="n">
        <v>14</v>
      </c>
      <c r="E1506" s="1" t="n">
        <v>4.96</v>
      </c>
      <c r="F1506" s="1" t="n">
        <v>15.49</v>
      </c>
      <c r="G1506" s="1" t="n">
        <v>3</v>
      </c>
      <c r="H1506" s="1" t="n">
        <v>15</v>
      </c>
      <c r="I1506" s="1" t="n">
        <v>3.44</v>
      </c>
      <c r="J1506" t="n">
        <v>11514310</v>
      </c>
    </row>
    <row r="1507" ht="15.75" customHeight="1" s="201">
      <c r="A1507" s="1" t="inlineStr">
        <is>
          <t>Beverages, Cocoa mix, powder</t>
        </is>
      </c>
      <c r="C1507" s="1" t="n">
        <v>83.73</v>
      </c>
      <c r="D1507" s="1" t="n">
        <v>6</v>
      </c>
      <c r="E1507" s="1" t="n">
        <v>1.19</v>
      </c>
      <c r="F1507" s="1" t="n">
        <v>6.67</v>
      </c>
      <c r="G1507" s="1" t="n">
        <v>4</v>
      </c>
      <c r="H1507" s="1" t="n">
        <v>4</v>
      </c>
      <c r="I1507" s="1" t="n">
        <v>1.46</v>
      </c>
      <c r="J1507" t="n">
        <v>11514100</v>
      </c>
    </row>
    <row r="1508" ht="15.75" customHeight="1" s="201">
      <c r="A1508" s="1" t="inlineStr">
        <is>
          <t>Beverages, Cocoa mix, powder, prepared with water</t>
        </is>
      </c>
      <c r="C1508" s="1" t="n">
        <v>11.54</v>
      </c>
      <c r="D1508" s="1" t="n">
        <v>1</v>
      </c>
      <c r="E1508" s="1" t="n">
        <v>0.17</v>
      </c>
      <c r="F1508" s="1" t="n">
        <v>0.92</v>
      </c>
      <c r="G1508" s="1" t="n">
        <v>0.55</v>
      </c>
      <c r="H1508" s="1" t="n">
        <v>1</v>
      </c>
      <c r="I1508" s="1" t="n">
        <v>0.21</v>
      </c>
      <c r="J1508" t="n">
        <v>11740313</v>
      </c>
    </row>
    <row r="1509" ht="15.75" customHeight="1" s="201">
      <c r="A1509" s="1" t="inlineStr">
        <is>
          <t>Beverages, coconut milk, sweetened, fortified with calcium, vitamins A, B12, D2</t>
        </is>
      </c>
      <c r="C1509" s="1" t="n">
        <v>2.92</v>
      </c>
      <c r="D1509" s="1" t="n">
        <v>0</v>
      </c>
      <c r="E1509" s="1" t="n">
        <v>0.3</v>
      </c>
      <c r="F1509" s="1" t="n">
        <v>0.21</v>
      </c>
      <c r="G1509" s="1" t="n">
        <v>2.08</v>
      </c>
      <c r="H1509" s="1" t="n">
        <v>208</v>
      </c>
      <c r="I1509" s="1" t="n">
        <v>0</v>
      </c>
      <c r="J1509" t="n">
        <v>75142550</v>
      </c>
    </row>
    <row r="1510" ht="15.75" customHeight="1" s="201">
      <c r="A1510" s="1" t="inlineStr">
        <is>
          <t>Beverages, coffee and cocoa, instant, decaffeinated, with whitener and low calorie sweetener</t>
        </is>
      </c>
      <c r="C1510" s="1" t="n">
        <v>71.40000000000001</v>
      </c>
      <c r="D1510" s="1" t="n">
        <v>5</v>
      </c>
      <c r="E1510" s="1" t="n">
        <v>3.06</v>
      </c>
      <c r="F1510" s="1" t="n">
        <v>9</v>
      </c>
      <c r="G1510" s="1" t="n">
        <v>13.21</v>
      </c>
      <c r="H1510" s="1" t="n">
        <v>4</v>
      </c>
      <c r="I1510" s="1" t="n">
        <v>1.01</v>
      </c>
      <c r="J1510" t="n">
        <v>53109200</v>
      </c>
    </row>
    <row r="1511" ht="15.75" customHeight="1" s="201">
      <c r="A1511" s="1" t="inlineStr">
        <is>
          <t>Beverages, coffee substitute, cereal grain beverage, powder</t>
        </is>
      </c>
      <c r="C1511" s="1" t="n">
        <v>78.42</v>
      </c>
      <c r="D1511" s="1" t="n">
        <v>52</v>
      </c>
      <c r="E1511" s="1" t="n">
        <v>4.6</v>
      </c>
      <c r="F1511" s="1" t="n">
        <v>6.01</v>
      </c>
      <c r="G1511" s="1" t="n">
        <v>2.52</v>
      </c>
      <c r="H1511" s="1" t="n">
        <v>8</v>
      </c>
      <c r="I1511" s="1" t="n">
        <v>0.51</v>
      </c>
      <c r="J1511" t="n">
        <v>57806050</v>
      </c>
    </row>
    <row r="1512" ht="15.75" customHeight="1" s="201">
      <c r="A1512" s="1" t="inlineStr">
        <is>
          <t>Beverages, coffee substitute, cereal grain beverage, powder, prepared with whole milk</t>
        </is>
      </c>
      <c r="C1512" s="1" t="n">
        <v>5.6</v>
      </c>
      <c r="D1512" s="1" t="n">
        <v>5</v>
      </c>
      <c r="E1512" s="1" t="n">
        <v>0.11</v>
      </c>
      <c r="F1512" s="1" t="n">
        <v>3.3</v>
      </c>
      <c r="G1512" s="1" t="n">
        <v>3.3</v>
      </c>
      <c r="H1512" s="1" t="n">
        <v>124</v>
      </c>
      <c r="I1512" s="1" t="n">
        <v>0.38</v>
      </c>
      <c r="J1512" t="n">
        <v>75142550</v>
      </c>
    </row>
    <row r="1513" ht="15.75" customHeight="1" s="201">
      <c r="A1513" s="1" t="inlineStr">
        <is>
          <t>Beverages, coffee substitute, cereal grain beverage, prepared with water</t>
        </is>
      </c>
      <c r="C1513" s="1" t="n">
        <v>1.3</v>
      </c>
      <c r="D1513" s="1" t="n">
        <v>1</v>
      </c>
      <c r="E1513" s="1" t="n">
        <v>0.08</v>
      </c>
      <c r="F1513" s="1" t="n">
        <v>0.1</v>
      </c>
      <c r="G1513" s="1" t="n">
        <v>0.04</v>
      </c>
      <c r="H1513" s="1" t="n">
        <v>0</v>
      </c>
      <c r="I1513" s="1" t="n">
        <v>0.01</v>
      </c>
      <c r="J1513" t="n">
        <v>11740312</v>
      </c>
    </row>
    <row r="1514" ht="15.75" customHeight="1" s="201">
      <c r="A1514" s="1" t="inlineStr">
        <is>
          <t>Beverages, coffee, brewed, breakfast blend</t>
        </is>
      </c>
      <c r="C1514" s="1" t="n">
        <v>0.17</v>
      </c>
      <c r="D1514" s="1" t="n">
        <v>0</v>
      </c>
      <c r="E1514" s="1" t="n">
        <v>0.02</v>
      </c>
      <c r="F1514" s="1" t="n">
        <v>0.3</v>
      </c>
      <c r="G1514" s="1" t="n">
        <v>0</v>
      </c>
      <c r="H1514" s="1" t="n">
        <v>0</v>
      </c>
      <c r="I1514" s="1" t="n">
        <v>0.02</v>
      </c>
      <c r="J1514" t="n">
        <v>92101000</v>
      </c>
    </row>
    <row r="1515" ht="15.75" customHeight="1" s="201">
      <c r="A1515" s="1" t="inlineStr">
        <is>
          <t>Beverages, coffee, brewed, espresso, restaurant-prepared</t>
        </is>
      </c>
      <c r="C1515" s="1" t="n">
        <v>1.67</v>
      </c>
      <c r="D1515" s="1" t="n">
        <v>1</v>
      </c>
      <c r="E1515" s="1" t="n">
        <v>0.13</v>
      </c>
      <c r="F1515" s="1" t="n">
        <v>0.12</v>
      </c>
      <c r="G1515" s="1" t="n">
        <v>0.18</v>
      </c>
      <c r="H1515" s="1" t="n">
        <v>0</v>
      </c>
      <c r="I1515" s="1" t="n">
        <v>0.05</v>
      </c>
      <c r="J1515" t="n">
        <v>92101000</v>
      </c>
    </row>
    <row r="1516" ht="15.75" customHeight="1" s="201">
      <c r="A1516" s="1" t="inlineStr">
        <is>
          <t>Beverages, coffee, brewed, espresso, restaurant-prepared, decaffeinated</t>
        </is>
      </c>
      <c r="C1516" s="1" t="n">
        <v>1.69</v>
      </c>
      <c r="D1516" s="1" t="n">
        <v>1</v>
      </c>
      <c r="E1516" s="1" t="n">
        <v>0.13</v>
      </c>
      <c r="F1516" s="1" t="n">
        <v>0.1</v>
      </c>
      <c r="G1516" s="1" t="n">
        <v>0.18</v>
      </c>
      <c r="H1516" s="1" t="n">
        <v>0</v>
      </c>
      <c r="I1516" s="1" t="n">
        <v>0.05</v>
      </c>
      <c r="J1516" t="n">
        <v>92101000</v>
      </c>
    </row>
    <row r="1517" ht="15.75" customHeight="1" s="201">
      <c r="A1517" s="1" t="inlineStr">
        <is>
          <t>Beverages, coffee, brewed, prepared with tap water</t>
        </is>
      </c>
      <c r="C1517" s="1" t="n">
        <v>0</v>
      </c>
      <c r="D1517" s="1" t="n">
        <v>2</v>
      </c>
      <c r="E1517" s="1" t="n">
        <v>0.01</v>
      </c>
      <c r="F1517" s="1" t="n">
        <v>0.12</v>
      </c>
      <c r="G1517" s="1" t="n">
        <v>0.02</v>
      </c>
      <c r="H1517" s="1" t="n">
        <v>0</v>
      </c>
      <c r="I1517" s="1" t="n">
        <v>0.02</v>
      </c>
      <c r="J1517" t="n">
        <v>11740312</v>
      </c>
    </row>
    <row r="1518" ht="15.75" customHeight="1" s="201">
      <c r="A1518" s="1" t="inlineStr">
        <is>
          <t>Beverages, coffee, brewed, prepared with tap water, decaffeinated</t>
        </is>
      </c>
      <c r="C1518" s="1" t="n">
        <v>0</v>
      </c>
      <c r="D1518" s="1" t="n">
        <v>0</v>
      </c>
      <c r="E1518" s="1" t="n">
        <v>0.05</v>
      </c>
      <c r="F1518" s="1" t="n">
        <v>0.1</v>
      </c>
      <c r="G1518" s="1" t="n">
        <v>0</v>
      </c>
      <c r="H1518" s="1" t="n">
        <v>0</v>
      </c>
      <c r="I1518" s="1" t="n">
        <v>0.02</v>
      </c>
      <c r="J1518" t="n">
        <v>11740312</v>
      </c>
    </row>
    <row r="1519" ht="15.75" customHeight="1" s="201">
      <c r="A1519" s="1" t="inlineStr">
        <is>
          <t>Beverages, coffee, instant, chicory</t>
        </is>
      </c>
      <c r="C1519" s="1" t="n">
        <v>0.75</v>
      </c>
      <c r="D1519" s="1" t="n">
        <v>0</v>
      </c>
      <c r="E1519" s="1" t="n">
        <v>0.05</v>
      </c>
      <c r="F1519" s="1" t="n">
        <v>0.09</v>
      </c>
      <c r="G1519" s="1" t="n">
        <v>0</v>
      </c>
      <c r="H1519" s="1" t="n">
        <v>0</v>
      </c>
      <c r="I1519" s="1" t="n">
        <v>0.01</v>
      </c>
      <c r="J1519" t="n">
        <v>53610100</v>
      </c>
    </row>
    <row r="1520" ht="15.75" customHeight="1" s="201">
      <c r="A1520" s="1" t="inlineStr">
        <is>
          <t>Beverages, coffee, instant, decaffeinated, powder</t>
        </is>
      </c>
      <c r="C1520" s="1" t="n">
        <v>76</v>
      </c>
      <c r="D1520" s="1" t="n">
        <v>0</v>
      </c>
      <c r="E1520" s="1" t="n">
        <v>3.8</v>
      </c>
      <c r="F1520" s="1" t="n">
        <v>11.6</v>
      </c>
      <c r="G1520" s="1" t="n">
        <v>0.2</v>
      </c>
      <c r="H1520" s="1" t="n">
        <v>0</v>
      </c>
      <c r="I1520" s="1" t="n">
        <v>0.11</v>
      </c>
      <c r="J1520" t="n">
        <v>12210420</v>
      </c>
    </row>
    <row r="1521" ht="15.75" customHeight="1" s="201">
      <c r="A1521" s="1" t="inlineStr">
        <is>
          <t>Beverages, coffee, instant, decaffeinated, prepared with water</t>
        </is>
      </c>
      <c r="C1521" s="1" t="n">
        <v>0.43</v>
      </c>
      <c r="D1521" s="1" t="n">
        <v>0</v>
      </c>
      <c r="E1521" s="1" t="n">
        <v>0.04</v>
      </c>
      <c r="F1521" s="1" t="n">
        <v>0.12</v>
      </c>
      <c r="G1521" s="1" t="n">
        <v>0</v>
      </c>
      <c r="H1521" s="1" t="n">
        <v>0</v>
      </c>
      <c r="I1521" s="1" t="n">
        <v>0.01</v>
      </c>
      <c r="J1521" t="n">
        <v>11740312</v>
      </c>
    </row>
    <row r="1522" ht="15.75" customHeight="1" s="201">
      <c r="A1522" s="1" t="inlineStr">
        <is>
          <t>Beverages, coffee, instant, mocha, sweetened</t>
        </is>
      </c>
      <c r="C1522" s="1" t="n">
        <v>74.04000000000001</v>
      </c>
      <c r="D1522" s="1" t="n">
        <v>9</v>
      </c>
      <c r="E1522" s="1" t="n">
        <v>0</v>
      </c>
      <c r="F1522" s="1" t="n">
        <v>5.29</v>
      </c>
      <c r="G1522" s="1" t="n">
        <v>15.87</v>
      </c>
      <c r="H1522" s="1" t="n">
        <v>5</v>
      </c>
      <c r="I1522" s="1" t="n">
        <v>0.96</v>
      </c>
      <c r="J1522" t="n">
        <v>92121040</v>
      </c>
    </row>
    <row r="1523" ht="15.75" customHeight="1" s="201">
      <c r="A1523" s="1" t="inlineStr">
        <is>
          <t>Beverages, coffee, instant, regular, half the caffeine</t>
        </is>
      </c>
      <c r="C1523" s="1" t="n">
        <v>73.18000000000001</v>
      </c>
      <c r="D1523" s="1" t="n">
        <v>0</v>
      </c>
      <c r="E1523" s="1" t="n">
        <v>4.41</v>
      </c>
      <c r="F1523" s="1" t="n">
        <v>14.42</v>
      </c>
      <c r="G1523" s="1" t="n">
        <v>0.5</v>
      </c>
      <c r="H1523" s="1" t="n">
        <v>0</v>
      </c>
      <c r="I1523" s="1" t="n">
        <v>0.35</v>
      </c>
      <c r="J1523" t="n">
        <v>92307500</v>
      </c>
    </row>
    <row r="1524" ht="15.75" customHeight="1" s="201">
      <c r="A1524" s="1" t="inlineStr">
        <is>
          <t>Beverages, coffee, instant, regular, powder</t>
        </is>
      </c>
      <c r="C1524" s="1" t="n">
        <v>75.40000000000001</v>
      </c>
      <c r="D1524" s="1" t="n">
        <v>0</v>
      </c>
      <c r="E1524" s="1" t="n">
        <v>4.41</v>
      </c>
      <c r="F1524" s="1" t="n">
        <v>12.2</v>
      </c>
      <c r="G1524" s="1" t="n">
        <v>0.5</v>
      </c>
      <c r="H1524" s="1" t="n">
        <v>0</v>
      </c>
      <c r="I1524" s="1" t="n">
        <v>0.35</v>
      </c>
      <c r="J1524" t="n">
        <v>12210420</v>
      </c>
    </row>
    <row r="1525" ht="15.75" customHeight="1" s="201">
      <c r="A1525" s="1" t="inlineStr">
        <is>
          <t>Beverages, coffee, instant, regular, prepared with water</t>
        </is>
      </c>
      <c r="C1525" s="1" t="n">
        <v>0.34</v>
      </c>
      <c r="D1525" s="1" t="n">
        <v>0</v>
      </c>
      <c r="E1525" s="1" t="n">
        <v>0.04</v>
      </c>
      <c r="F1525" s="1" t="n">
        <v>0.1</v>
      </c>
      <c r="G1525" s="1" t="n">
        <v>0</v>
      </c>
      <c r="H1525" s="1" t="n">
        <v>0</v>
      </c>
      <c r="I1525" s="1" t="n">
        <v>0.01</v>
      </c>
      <c r="J1525" t="n">
        <v>11740312</v>
      </c>
    </row>
    <row r="1526" ht="15.75" customHeight="1" s="201">
      <c r="A1526" s="1" t="inlineStr">
        <is>
          <t>Beverages, coffee, instant, vanilla, sweetened, decaffeinated, with non dairy creamer</t>
        </is>
      </c>
      <c r="C1526" s="1" t="n">
        <v>86.28</v>
      </c>
      <c r="D1526" s="1" t="n">
        <v>0</v>
      </c>
      <c r="E1526" s="1" t="n">
        <v>0</v>
      </c>
      <c r="F1526" s="1" t="n">
        <v>0</v>
      </c>
      <c r="G1526" s="1" t="n">
        <v>13.33</v>
      </c>
      <c r="H1526" s="1" t="n">
        <v>0</v>
      </c>
      <c r="I1526" s="1" t="n">
        <v>0</v>
      </c>
      <c r="J1526" t="n">
        <v>75142550</v>
      </c>
    </row>
    <row r="1527" ht="15.75" customHeight="1" s="201">
      <c r="A1527" s="1" t="inlineStr">
        <is>
          <t>Beverages, coffee, instant, with chicory</t>
        </is>
      </c>
      <c r="C1527" s="1" t="n">
        <v>78.90000000000001</v>
      </c>
      <c r="D1527" s="1" t="n">
        <v>0</v>
      </c>
      <c r="E1527" s="1" t="n">
        <v>4.76</v>
      </c>
      <c r="F1527" s="1" t="n">
        <v>9.300000000000001</v>
      </c>
      <c r="G1527" s="1" t="n">
        <v>0.2</v>
      </c>
      <c r="H1527" s="1" t="n">
        <v>0</v>
      </c>
      <c r="I1527" s="1" t="n">
        <v>0.37</v>
      </c>
      <c r="J1527" t="n">
        <v>75142550</v>
      </c>
    </row>
    <row r="1528" ht="15.75" customHeight="1" s="201">
      <c r="A1528" s="1" t="inlineStr">
        <is>
          <t>Beverages, coffee, instant, with whitener, reduced calorie</t>
        </is>
      </c>
      <c r="C1528" s="1" t="n">
        <v>59.94</v>
      </c>
      <c r="D1528" s="1" t="n">
        <v>1</v>
      </c>
      <c r="E1528" s="1" t="n">
        <v>0.06</v>
      </c>
      <c r="F1528" s="1" t="n">
        <v>1.96</v>
      </c>
      <c r="G1528" s="1" t="n">
        <v>29.1</v>
      </c>
      <c r="H1528" s="1" t="n">
        <v>14</v>
      </c>
      <c r="I1528" s="1" t="n">
        <v>0.02</v>
      </c>
      <c r="J1528" t="n">
        <v>53109200</v>
      </c>
    </row>
    <row r="1529" ht="15.75" customHeight="1" s="201">
      <c r="A1529" s="1" t="inlineStr">
        <is>
          <t>Beverages, coffee, ready to drink, iced, mocha, milk based</t>
        </is>
      </c>
      <c r="C1529" s="1" t="n">
        <v>11.42</v>
      </c>
      <c r="D1529" s="1" t="n">
        <v>0</v>
      </c>
      <c r="E1529" s="1" t="n">
        <v>0.09</v>
      </c>
      <c r="F1529" s="1" t="n">
        <v>1.48</v>
      </c>
      <c r="G1529" s="1" t="n">
        <v>0.98</v>
      </c>
      <c r="H1529" s="1" t="n">
        <v>0</v>
      </c>
      <c r="I1529" s="1" t="n">
        <v>0.15</v>
      </c>
      <c r="J1529" t="n">
        <v>92102000</v>
      </c>
    </row>
    <row r="1530" ht="15.75" customHeight="1" s="201">
      <c r="A1530" s="1" t="inlineStr">
        <is>
          <t>Beverages, coffee, ready to drink, milk based, sweetened</t>
        </is>
      </c>
      <c r="C1530" s="1" t="n">
        <v>12.6</v>
      </c>
      <c r="D1530" s="1" t="n">
        <v>0</v>
      </c>
      <c r="E1530" s="1" t="n">
        <v>0.04</v>
      </c>
      <c r="F1530" s="1" t="n">
        <v>1.98</v>
      </c>
      <c r="G1530" s="1" t="n">
        <v>1.38</v>
      </c>
      <c r="H1530" s="1" t="n">
        <v>0</v>
      </c>
      <c r="I1530" s="1" t="n">
        <v>0.26</v>
      </c>
      <c r="J1530" t="n">
        <v>11512010</v>
      </c>
    </row>
    <row r="1531" ht="15.75" customHeight="1" s="201">
      <c r="A1531" s="1" t="inlineStr">
        <is>
          <t>Beverages, coffee, ready to drink, vanilla, light, milk based, sweetened</t>
        </is>
      </c>
      <c r="C1531" s="1" t="n">
        <v>4.27</v>
      </c>
      <c r="D1531" s="1" t="n">
        <v>0</v>
      </c>
      <c r="E1531" s="1" t="n">
        <v>0</v>
      </c>
      <c r="F1531" s="1" t="n">
        <v>2.14</v>
      </c>
      <c r="G1531" s="1" t="n">
        <v>1.07</v>
      </c>
      <c r="H1531" s="1" t="n">
        <v>0</v>
      </c>
      <c r="I1531" s="1" t="n">
        <v>0.26</v>
      </c>
      <c r="J1531" t="n">
        <v>27446245</v>
      </c>
    </row>
    <row r="1532" ht="15.75" customHeight="1" s="201">
      <c r="A1532" s="1" t="inlineStr">
        <is>
          <t>Beverages, Cranberry juice cocktail</t>
        </is>
      </c>
      <c r="C1532" s="1" t="n">
        <v>12.25</v>
      </c>
      <c r="E1532" s="1" t="n">
        <v>0.04</v>
      </c>
      <c r="F1532" s="1" t="n">
        <v>0</v>
      </c>
      <c r="G1532" s="1" t="n">
        <v>0.34</v>
      </c>
      <c r="I1532" s="1" t="n">
        <v>0.02</v>
      </c>
      <c r="J1532" t="n">
        <v>92530510</v>
      </c>
    </row>
    <row r="1533" ht="15.75" customHeight="1" s="201">
      <c r="A1533" s="1" t="inlineStr">
        <is>
          <t>Beverages, cranberry-apple juice drink, bottled</t>
        </is>
      </c>
      <c r="C1533" s="1" t="n">
        <v>15.85</v>
      </c>
      <c r="D1533" s="1" t="n">
        <v>0</v>
      </c>
      <c r="E1533" s="1" t="n">
        <v>0.07000000000000001</v>
      </c>
      <c r="F1533" s="1" t="n">
        <v>0</v>
      </c>
      <c r="G1533" s="1" t="n">
        <v>0.11</v>
      </c>
      <c r="H1533" s="1" t="n">
        <v>3</v>
      </c>
      <c r="I1533" s="1" t="n">
        <v>0.02</v>
      </c>
      <c r="J1533" t="n">
        <v>92530610</v>
      </c>
    </row>
    <row r="1534" ht="15.75" customHeight="1" s="201">
      <c r="A1534" s="1" t="inlineStr">
        <is>
          <t>Beverages, cranberry-apple juice drink, low calorie, with vitamin C added</t>
        </is>
      </c>
      <c r="C1534" s="1" t="n">
        <v>4.7</v>
      </c>
      <c r="D1534" s="1" t="n">
        <v>0</v>
      </c>
      <c r="E1534" s="1" t="n">
        <v>0.06</v>
      </c>
      <c r="F1534" s="1" t="n">
        <v>0.1</v>
      </c>
      <c r="G1534" s="1" t="n">
        <v>0</v>
      </c>
      <c r="H1534" s="1" t="n">
        <v>10</v>
      </c>
      <c r="I1534" s="1" t="n">
        <v>0.02</v>
      </c>
      <c r="J1534" t="n">
        <v>92550110</v>
      </c>
    </row>
    <row r="1535" ht="15.75" customHeight="1" s="201">
      <c r="A1535" s="1" t="inlineStr">
        <is>
          <t>Beverages, cranberry-apricot juice drink, bottled</t>
        </is>
      </c>
      <c r="C1535" s="1" t="n">
        <v>16.2</v>
      </c>
      <c r="D1535" s="1" t="n">
        <v>1</v>
      </c>
      <c r="E1535" s="1" t="n">
        <v>0.15</v>
      </c>
      <c r="F1535" s="1" t="n">
        <v>0.2</v>
      </c>
      <c r="G1535" s="1" t="n">
        <v>0</v>
      </c>
      <c r="H1535" s="1" t="n">
        <v>463</v>
      </c>
      <c r="I1535" s="1" t="n">
        <v>0.04</v>
      </c>
      <c r="J1535" t="n">
        <v>92530510</v>
      </c>
    </row>
    <row r="1536" ht="15.75" customHeight="1" s="201">
      <c r="A1536" s="1" t="inlineStr">
        <is>
          <t>Beverages, cranberry-grape juice drink, bottled</t>
        </is>
      </c>
      <c r="C1536" s="1" t="n">
        <v>14</v>
      </c>
      <c r="D1536" s="1" t="n">
        <v>1</v>
      </c>
      <c r="E1536" s="1" t="n">
        <v>0.01</v>
      </c>
      <c r="F1536" s="1" t="n">
        <v>0.2</v>
      </c>
      <c r="G1536" s="1" t="n">
        <v>0.1</v>
      </c>
      <c r="H1536" s="1" t="n">
        <v>5</v>
      </c>
      <c r="I1536" s="1" t="n">
        <v>0.04</v>
      </c>
      <c r="J1536" t="n">
        <v>92530510</v>
      </c>
    </row>
    <row r="1537" ht="15.75" customHeight="1" s="201">
      <c r="A1537" s="1" t="inlineStr">
        <is>
          <t>Beverages, dairy drink mix, chocolate, reduced calorie, with aspartame, powder, prepared with water and ice</t>
        </is>
      </c>
      <c r="C1537" s="1" t="n">
        <v>4.51</v>
      </c>
      <c r="D1537" s="1" t="n">
        <v>3</v>
      </c>
      <c r="E1537" s="1" t="n">
        <v>0.68</v>
      </c>
      <c r="F1537" s="1" t="n">
        <v>2.19</v>
      </c>
      <c r="G1537" s="1" t="n">
        <v>0.23</v>
      </c>
      <c r="H1537" s="1" t="n">
        <v>61</v>
      </c>
      <c r="I1537" s="1" t="n">
        <v>0.32</v>
      </c>
      <c r="J1537" t="n">
        <v>53108200</v>
      </c>
    </row>
    <row r="1538" ht="15.75" customHeight="1" s="201">
      <c r="A1538" s="1" t="inlineStr">
        <is>
          <t>Beverages, Dairy drink mix, chocolate, reduced calorie, with low-calorie sweeteners, powder</t>
        </is>
      </c>
      <c r="C1538" s="1" t="n">
        <v>51.4</v>
      </c>
      <c r="D1538" s="1" t="n">
        <v>33</v>
      </c>
      <c r="E1538" s="1" t="n">
        <v>7.7</v>
      </c>
      <c r="F1538" s="1" t="n">
        <v>25</v>
      </c>
      <c r="G1538" s="1" t="n">
        <v>2.6</v>
      </c>
      <c r="H1538" s="1" t="n">
        <v>698</v>
      </c>
      <c r="I1538" s="1" t="n">
        <v>3.6</v>
      </c>
      <c r="J1538" t="n">
        <v>53108200</v>
      </c>
    </row>
    <row r="1539" ht="15.75" customHeight="1" s="201">
      <c r="A1539" s="1" t="inlineStr">
        <is>
          <t>Beverages, DANNON, water, bottled, non-carbonated, with Fluoride</t>
        </is>
      </c>
      <c r="C1539" s="1" t="n">
        <v>0.03</v>
      </c>
      <c r="E1539" s="1" t="n">
        <v>0.01</v>
      </c>
      <c r="F1539" s="1" t="n">
        <v>0</v>
      </c>
      <c r="G1539" s="1" t="n">
        <v>0</v>
      </c>
      <c r="I1539" s="1" t="n">
        <v>0</v>
      </c>
      <c r="J1539" t="n">
        <v>11740312</v>
      </c>
    </row>
    <row r="1540" ht="15.75" customHeight="1" s="201">
      <c r="A1540" s="1" t="inlineStr">
        <is>
          <t>Beverages, drink mix, QUAKER OATS, GATORADE, orange flavor, powder</t>
        </is>
      </c>
      <c r="C1540" s="1" t="n">
        <v>94.11</v>
      </c>
      <c r="E1540" s="1" t="n">
        <v>0.34</v>
      </c>
      <c r="F1540" s="1" t="n">
        <v>0</v>
      </c>
      <c r="G1540" s="1" t="n">
        <v>1.23</v>
      </c>
      <c r="I1540" s="1" t="n">
        <v>0.06</v>
      </c>
      <c r="J1540" t="n">
        <v>57237100</v>
      </c>
    </row>
    <row r="1541" ht="15.75" customHeight="1" s="201">
      <c r="A1541" s="1" t="inlineStr">
        <is>
          <t>Beverages, Eggnog-flavor mix, powder, prepared with whole milk</t>
        </is>
      </c>
      <c r="C1541" s="1" t="n">
        <v>14.2</v>
      </c>
      <c r="D1541" s="1" t="n">
        <v>5</v>
      </c>
      <c r="E1541" s="1" t="n">
        <v>0.12</v>
      </c>
      <c r="F1541" s="1" t="n">
        <v>2.93</v>
      </c>
      <c r="G1541" s="1" t="n">
        <v>3.02</v>
      </c>
      <c r="H1541" s="1" t="n">
        <v>94</v>
      </c>
      <c r="I1541" s="1" t="n">
        <v>0.35</v>
      </c>
      <c r="J1541" t="n">
        <v>75142550</v>
      </c>
    </row>
    <row r="1542" ht="15.75" customHeight="1" s="201">
      <c r="A1542" s="1" t="inlineStr">
        <is>
          <t>Beverages, Energy drink, AMP</t>
        </is>
      </c>
      <c r="C1542" s="1" t="n">
        <v>12.08</v>
      </c>
      <c r="D1542" s="1" t="n">
        <v>0</v>
      </c>
      <c r="E1542" s="1" t="n">
        <v>0.02</v>
      </c>
      <c r="F1542" s="1" t="n">
        <v>0.25</v>
      </c>
      <c r="G1542" s="1" t="n">
        <v>0.08</v>
      </c>
      <c r="H1542" s="1" t="n">
        <v>0</v>
      </c>
      <c r="I1542" s="1" t="n">
        <v>0</v>
      </c>
      <c r="J1542" t="n">
        <v>95101000</v>
      </c>
    </row>
    <row r="1543" ht="15.75" customHeight="1" s="201">
      <c r="A1543" s="1" t="inlineStr">
        <is>
          <t>Beverages, Energy drink, AMP, sugar free</t>
        </is>
      </c>
      <c r="C1543" s="1" t="n">
        <v>1.03</v>
      </c>
      <c r="D1543" s="1" t="n">
        <v>0</v>
      </c>
      <c r="E1543" s="1" t="n">
        <v>0</v>
      </c>
      <c r="F1543" s="1" t="n">
        <v>0</v>
      </c>
      <c r="G1543" s="1" t="n">
        <v>0</v>
      </c>
      <c r="H1543" s="1" t="n">
        <v>0</v>
      </c>
      <c r="I1543" s="1" t="n">
        <v>0</v>
      </c>
      <c r="J1543" t="n">
        <v>27446260</v>
      </c>
    </row>
    <row r="1544" ht="15.75" customHeight="1" s="201">
      <c r="A1544" s="1" t="inlineStr">
        <is>
          <t>Beverages, Energy drink, FULL THROTTLE</t>
        </is>
      </c>
      <c r="C1544" s="1" t="n">
        <v>12.08</v>
      </c>
      <c r="D1544" s="1" t="n">
        <v>0</v>
      </c>
      <c r="E1544" s="1" t="n">
        <v>0.02</v>
      </c>
      <c r="F1544" s="1" t="n">
        <v>0.25</v>
      </c>
      <c r="G1544" s="1" t="n">
        <v>0.08</v>
      </c>
      <c r="H1544" s="1" t="n">
        <v>0</v>
      </c>
      <c r="I1544" s="1" t="n">
        <v>0</v>
      </c>
      <c r="J1544" t="n">
        <v>95101000</v>
      </c>
    </row>
    <row r="1545" ht="15.75" customHeight="1" s="201">
      <c r="A1545" s="1" t="inlineStr">
        <is>
          <t>Beverages, Energy Drink, Monster, fortified with vitamins C, B2, B3, B6, B12</t>
        </is>
      </c>
      <c r="C1545" s="1" t="n">
        <v>11.28</v>
      </c>
      <c r="D1545" s="1" t="n">
        <v>0</v>
      </c>
      <c r="E1545" s="1" t="n">
        <v>0.04</v>
      </c>
      <c r="F1545" s="1" t="n">
        <v>0.47</v>
      </c>
      <c r="G1545" s="1" t="n">
        <v>0</v>
      </c>
      <c r="H1545" s="1" t="n">
        <v>0</v>
      </c>
      <c r="I1545" s="1" t="n">
        <v>0.01</v>
      </c>
      <c r="J1545" t="n">
        <v>75142550</v>
      </c>
    </row>
    <row r="1546" ht="15.75" customHeight="1" s="201">
      <c r="A1546" s="1" t="inlineStr">
        <is>
          <t>Beverages, Energy drink, RED BULL</t>
        </is>
      </c>
      <c r="C1546" s="1" t="n">
        <v>10.23</v>
      </c>
      <c r="D1546" s="1" t="n">
        <v>0</v>
      </c>
      <c r="E1546" s="1" t="n">
        <v>0.06</v>
      </c>
      <c r="F1546" s="1" t="n">
        <v>0.46</v>
      </c>
      <c r="G1546" s="1" t="n">
        <v>0</v>
      </c>
      <c r="H1546" s="1" t="n">
        <v>0</v>
      </c>
      <c r="I1546" s="1" t="n">
        <v>0.01</v>
      </c>
      <c r="J1546" t="n">
        <v>95101000</v>
      </c>
    </row>
    <row r="1547" ht="15.75" customHeight="1" s="201">
      <c r="A1547" s="1" t="inlineStr">
        <is>
          <t>Beverages, Energy drink, RED BULL, sugar free, with added caffeine, niacin, pantothenic acid, vitamins B6 and B12</t>
        </is>
      </c>
      <c r="C1547" s="1" t="n">
        <v>0.7</v>
      </c>
      <c r="D1547" s="1" t="n">
        <v>0</v>
      </c>
      <c r="E1547" s="1" t="n">
        <v>0.02</v>
      </c>
      <c r="F1547" s="1" t="n">
        <v>0.25</v>
      </c>
      <c r="G1547" s="1" t="n">
        <v>0.08</v>
      </c>
      <c r="H1547" s="1" t="n">
        <v>0</v>
      </c>
      <c r="I1547" s="1" t="n">
        <v>0</v>
      </c>
      <c r="J1547" t="n">
        <v>27446260</v>
      </c>
    </row>
    <row r="1548" ht="15.75" customHeight="1" s="201">
      <c r="A1548" s="1" t="inlineStr">
        <is>
          <t>Beverages, Energy drink, ROCKSTAR</t>
        </is>
      </c>
      <c r="C1548" s="1" t="n">
        <v>12.7</v>
      </c>
      <c r="D1548" s="1" t="n">
        <v>0</v>
      </c>
      <c r="E1548" s="1" t="n">
        <v>0.05</v>
      </c>
      <c r="F1548" s="1" t="n">
        <v>0.34</v>
      </c>
      <c r="G1548" s="1" t="n">
        <v>0.22</v>
      </c>
      <c r="H1548" s="1" t="n">
        <v>0</v>
      </c>
      <c r="I1548" s="1" t="n">
        <v>0.05</v>
      </c>
      <c r="J1548" t="n">
        <v>95101000</v>
      </c>
    </row>
    <row r="1549" ht="15.75" customHeight="1" s="201">
      <c r="A1549" s="1" t="inlineStr">
        <is>
          <t>Beverages, Energy drink, ROCKSTAR, sugar free</t>
        </is>
      </c>
      <c r="C1549" s="1" t="n">
        <v>0.7</v>
      </c>
      <c r="D1549" s="1" t="n">
        <v>0</v>
      </c>
      <c r="E1549" s="1" t="n">
        <v>0.02</v>
      </c>
      <c r="F1549" s="1" t="n">
        <v>0.25</v>
      </c>
      <c r="G1549" s="1" t="n">
        <v>0.08</v>
      </c>
      <c r="H1549" s="1" t="n">
        <v>0</v>
      </c>
      <c r="I1549" s="1" t="n">
        <v>0</v>
      </c>
      <c r="J1549" t="n">
        <v>27446260</v>
      </c>
    </row>
    <row r="1550" ht="15.75" customHeight="1" s="201">
      <c r="A1550" s="1" t="inlineStr">
        <is>
          <t>Beverages, Energy drink, VAULT Zero, sugar-free, citrus flavor</t>
        </is>
      </c>
      <c r="C1550" s="1" t="n">
        <v>0.7</v>
      </c>
      <c r="D1550" s="1" t="n">
        <v>0</v>
      </c>
      <c r="E1550" s="1" t="n">
        <v>0.02</v>
      </c>
      <c r="F1550" s="1" t="n">
        <v>0.25</v>
      </c>
      <c r="G1550" s="1" t="n">
        <v>0.08</v>
      </c>
      <c r="H1550" s="1" t="n">
        <v>0</v>
      </c>
      <c r="I1550" s="1" t="n">
        <v>0</v>
      </c>
      <c r="J1550" t="n">
        <v>92410520</v>
      </c>
    </row>
    <row r="1551" ht="15.75" customHeight="1" s="201">
      <c r="A1551" s="1" t="inlineStr">
        <is>
          <t>Beverages, Energy drink, VAULT, citrus flavor</t>
        </is>
      </c>
      <c r="C1551" s="1" t="n">
        <v>12.99</v>
      </c>
      <c r="D1551" s="1" t="n">
        <v>0</v>
      </c>
      <c r="E1551" s="1" t="n">
        <v>0.02</v>
      </c>
      <c r="F1551" s="1" t="n">
        <v>0</v>
      </c>
      <c r="G1551" s="1" t="n">
        <v>0</v>
      </c>
      <c r="H1551" s="1" t="n">
        <v>0</v>
      </c>
      <c r="I1551" s="1" t="n">
        <v>0</v>
      </c>
      <c r="J1551" t="n">
        <v>95101000</v>
      </c>
    </row>
    <row r="1552" ht="15.75" customHeight="1" s="201">
      <c r="A1552" s="1" t="inlineStr">
        <is>
          <t>Beverages, Fruit flavored drink containing less than 3% fruit juice, with high vitamin C</t>
        </is>
      </c>
      <c r="C1552" s="1" t="n">
        <v>6.67</v>
      </c>
      <c r="D1552" s="1" t="n">
        <v>0</v>
      </c>
      <c r="E1552" s="1" t="n">
        <v>0</v>
      </c>
      <c r="F1552" s="1" t="n">
        <v>0</v>
      </c>
      <c r="G1552" s="1" t="n">
        <v>0</v>
      </c>
      <c r="H1552" s="1" t="n">
        <v>0</v>
      </c>
      <c r="I1552" s="1" t="n">
        <v>0</v>
      </c>
      <c r="J1552" t="n">
        <v>91708030</v>
      </c>
    </row>
    <row r="1553" ht="15.75" customHeight="1" s="201">
      <c r="A1553" s="1" t="inlineStr">
        <is>
          <t>Beverages, Fruit flavored drink, less than 3% juice, not fortified with vitamin C</t>
        </is>
      </c>
      <c r="C1553" s="1" t="n">
        <v>16.03</v>
      </c>
      <c r="D1553" s="1" t="n">
        <v>0</v>
      </c>
      <c r="E1553" s="1" t="n">
        <v>0</v>
      </c>
      <c r="F1553" s="1" t="n">
        <v>0</v>
      </c>
      <c r="G1553" s="1" t="n">
        <v>0</v>
      </c>
      <c r="H1553" s="1" t="n">
        <v>0</v>
      </c>
      <c r="I1553" s="1" t="n">
        <v>0</v>
      </c>
      <c r="J1553" t="n">
        <v>92530610</v>
      </c>
    </row>
    <row r="1554" ht="15.75" customHeight="1" s="201">
      <c r="A1554" s="1" t="inlineStr">
        <is>
          <t>Beverages, Fruit flavored drink, reduced sugar, greater than 3% fruit juice, high vitamin C, added calcium</t>
        </is>
      </c>
      <c r="C1554" s="1" t="n">
        <v>6.67</v>
      </c>
      <c r="D1554" s="1" t="n">
        <v>2</v>
      </c>
      <c r="E1554" s="1" t="n">
        <v>0</v>
      </c>
      <c r="F1554" s="1" t="n">
        <v>0</v>
      </c>
      <c r="G1554" s="1" t="n">
        <v>0.37</v>
      </c>
      <c r="H1554" s="1" t="n">
        <v>3</v>
      </c>
      <c r="I1554" s="1" t="n">
        <v>0.04</v>
      </c>
      <c r="J1554" t="n">
        <v>91708030</v>
      </c>
    </row>
    <row r="1555" ht="15.75" customHeight="1" s="201">
      <c r="A1555" s="1" t="inlineStr">
        <is>
          <t>Beverages, fruit juice drink, greater than 3% fruit juice, high vitamin C and added thiamin</t>
        </is>
      </c>
      <c r="C1555" s="1" t="n">
        <v>13.16</v>
      </c>
      <c r="D1555" s="1" t="n">
        <v>0</v>
      </c>
      <c r="E1555" s="1" t="n">
        <v>0.25</v>
      </c>
      <c r="F1555" s="1" t="n">
        <v>0.13</v>
      </c>
      <c r="G1555" s="1" t="n">
        <v>0</v>
      </c>
      <c r="H1555" s="1" t="n">
        <v>17</v>
      </c>
      <c r="I1555" s="1" t="n">
        <v>0.04</v>
      </c>
      <c r="J1555" t="n">
        <v>92530610</v>
      </c>
    </row>
    <row r="1556" ht="15.75" customHeight="1" s="201">
      <c r="A1556" s="1" t="inlineStr">
        <is>
          <t>Beverages, fruit juice drink, greater than 3% juice, high vitamin C</t>
        </is>
      </c>
      <c r="C1556" s="1" t="n">
        <v>11.35</v>
      </c>
      <c r="D1556" s="1" t="n">
        <v>0</v>
      </c>
      <c r="E1556" s="1" t="n">
        <v>0.25</v>
      </c>
      <c r="F1556" s="1" t="n">
        <v>0.13</v>
      </c>
      <c r="G1556" s="1" t="n">
        <v>0.11</v>
      </c>
      <c r="H1556" s="1" t="n">
        <v>17</v>
      </c>
      <c r="I1556" s="1" t="n">
        <v>0.04</v>
      </c>
      <c r="J1556" t="n">
        <v>92530610</v>
      </c>
    </row>
    <row r="1557" ht="15.75" customHeight="1" s="201">
      <c r="A1557" s="1" t="inlineStr">
        <is>
          <t>Beverages, fruit juice drink, reduced sugar, with vitamin E added</t>
        </is>
      </c>
      <c r="C1557" s="1" t="n">
        <v>10</v>
      </c>
      <c r="D1557" s="1" t="n">
        <v>1</v>
      </c>
      <c r="E1557" s="1" t="n">
        <v>0.04</v>
      </c>
      <c r="F1557" s="1" t="n">
        <v>0</v>
      </c>
      <c r="G1557" s="1" t="n">
        <v>0.07000000000000001</v>
      </c>
      <c r="H1557" s="1" t="n">
        <v>0</v>
      </c>
      <c r="I1557" s="1" t="n">
        <v>0.02</v>
      </c>
      <c r="J1557" t="n">
        <v>92530610</v>
      </c>
    </row>
    <row r="1558" ht="15.75" customHeight="1" s="201">
      <c r="A1558" s="1" t="inlineStr">
        <is>
          <t>Beverages, Fruit punch drink, frozen concentrate</t>
        </is>
      </c>
      <c r="C1558" s="1" t="n">
        <v>41.4</v>
      </c>
      <c r="D1558" s="1" t="n">
        <v>3</v>
      </c>
      <c r="E1558" s="1" t="n">
        <v>0.3</v>
      </c>
      <c r="F1558" s="1" t="n">
        <v>0.2</v>
      </c>
      <c r="G1558" s="1" t="n">
        <v>0</v>
      </c>
      <c r="H1558" s="1" t="n">
        <v>39</v>
      </c>
      <c r="I1558" s="1" t="n">
        <v>0.07000000000000001</v>
      </c>
      <c r="J1558" t="n">
        <v>91708030</v>
      </c>
    </row>
    <row r="1559" ht="15.75" customHeight="1" s="201">
      <c r="A1559" s="1" t="inlineStr">
        <is>
          <t>Beverages, Fruit punch drink, frozen concentrate, prepared with water</t>
        </is>
      </c>
      <c r="C1559" s="1" t="n">
        <v>11.66</v>
      </c>
      <c r="D1559" s="1" t="n">
        <v>1</v>
      </c>
      <c r="E1559" s="1" t="n">
        <v>0.09</v>
      </c>
      <c r="F1559" s="1" t="n">
        <v>0.06</v>
      </c>
      <c r="G1559" s="1" t="n">
        <v>0</v>
      </c>
      <c r="H1559" s="1" t="n">
        <v>11</v>
      </c>
      <c r="I1559" s="1" t="n">
        <v>0.02</v>
      </c>
      <c r="J1559" t="n">
        <v>11740312</v>
      </c>
    </row>
    <row r="1560" ht="15.75" customHeight="1" s="201">
      <c r="A1560" s="1" t="inlineStr">
        <is>
          <t>Beverages, Fruit punch drink, with added nutrients, canned</t>
        </is>
      </c>
      <c r="C1560" s="1" t="n">
        <v>11.94</v>
      </c>
      <c r="D1560" s="1" t="n">
        <v>1</v>
      </c>
      <c r="E1560" s="1" t="n">
        <v>0.09</v>
      </c>
      <c r="F1560" s="1" t="n">
        <v>0</v>
      </c>
      <c r="G1560" s="1" t="n">
        <v>0</v>
      </c>
      <c r="H1560" s="1" t="n">
        <v>28</v>
      </c>
      <c r="I1560" s="1" t="n">
        <v>0.01</v>
      </c>
      <c r="J1560" t="n">
        <v>91708030</v>
      </c>
    </row>
    <row r="1561" ht="15.75" customHeight="1" s="201">
      <c r="A1561" s="1" t="inlineStr">
        <is>
          <t>Beverages, fruit punch drink, without added nutrients, canned</t>
        </is>
      </c>
      <c r="C1561" s="1" t="n">
        <v>11.97</v>
      </c>
      <c r="D1561" s="1" t="n">
        <v>4</v>
      </c>
      <c r="E1561" s="1" t="n">
        <v>0.09</v>
      </c>
      <c r="F1561" s="1" t="n">
        <v>0</v>
      </c>
      <c r="G1561" s="1" t="n">
        <v>0</v>
      </c>
      <c r="H1561" s="1" t="n">
        <v>0</v>
      </c>
      <c r="I1561" s="1" t="n">
        <v>0.01</v>
      </c>
      <c r="J1561" t="n">
        <v>91708030</v>
      </c>
    </row>
    <row r="1562" ht="15.75" customHeight="1" s="201">
      <c r="A1562" s="1" t="inlineStr">
        <is>
          <t>Beverages, fruit-flavored drink, dry powdered mix, low calorie, with aspartame</t>
        </is>
      </c>
      <c r="C1562" s="1" t="n">
        <v>87.38</v>
      </c>
      <c r="D1562" s="1" t="n">
        <v>0</v>
      </c>
      <c r="E1562" s="1" t="n">
        <v>0.08</v>
      </c>
      <c r="F1562" s="1" t="n">
        <v>0.45</v>
      </c>
      <c r="G1562" s="1" t="n">
        <v>0.04</v>
      </c>
      <c r="H1562" s="1" t="n">
        <v>0</v>
      </c>
      <c r="I1562" s="1" t="n">
        <v>0</v>
      </c>
      <c r="J1562" t="n">
        <v>91708030</v>
      </c>
    </row>
    <row r="1563" ht="15.75" customHeight="1" s="201">
      <c r="A1563" s="1" t="inlineStr">
        <is>
          <t>Beverages, fruit-flavored drink, powder, with high vitamin C with other added vitamins, low calorie</t>
        </is>
      </c>
      <c r="C1563" s="1" t="n">
        <v>91</v>
      </c>
      <c r="D1563" s="1" t="n">
        <v>5</v>
      </c>
      <c r="E1563" s="1" t="n">
        <v>0.08</v>
      </c>
      <c r="F1563" s="1" t="n">
        <v>0.25</v>
      </c>
      <c r="G1563" s="1" t="n">
        <v>0.16</v>
      </c>
      <c r="H1563" s="1" t="n">
        <v>20000</v>
      </c>
      <c r="I1563" s="1" t="n">
        <v>0.01</v>
      </c>
      <c r="J1563" t="n">
        <v>75142550</v>
      </c>
    </row>
    <row r="1564" ht="15.75" customHeight="1" s="201">
      <c r="A1564" s="1" t="inlineStr">
        <is>
          <t>Beverages, FUZE, orange mango, fortified with vitamins A, C, E, B6</t>
        </is>
      </c>
      <c r="C1564" s="1" t="n">
        <v>9.199999999999999</v>
      </c>
      <c r="D1564" s="1" t="n">
        <v>44</v>
      </c>
      <c r="E1564" s="1" t="n">
        <v>0.1</v>
      </c>
      <c r="F1564" s="1" t="n">
        <v>0.68</v>
      </c>
      <c r="G1564" s="1" t="n">
        <v>0.06</v>
      </c>
      <c r="H1564" s="1" t="n">
        <v>400</v>
      </c>
      <c r="I1564" s="1" t="n">
        <v>0.05</v>
      </c>
      <c r="J1564" t="n">
        <v>75142550</v>
      </c>
    </row>
    <row r="1565" ht="15.75" customHeight="1" s="201">
      <c r="A1565" s="1" t="inlineStr">
        <is>
          <t>Beverages, GEROLSTEINER BRUNNEN GmbH &amp; Co. KG (Gerolsteiner), naturally sparkling, mineral bottled water</t>
        </is>
      </c>
      <c r="C1565" s="1" t="n">
        <v>0</v>
      </c>
      <c r="D1565" s="1" t="n">
        <v>0</v>
      </c>
      <c r="E1565" s="1" t="n">
        <v>0</v>
      </c>
      <c r="F1565" s="1" t="n">
        <v>0</v>
      </c>
      <c r="G1565" s="1" t="n">
        <v>0</v>
      </c>
      <c r="H1565" s="1" t="n">
        <v>0</v>
      </c>
      <c r="I1565" s="1" t="n">
        <v>0</v>
      </c>
      <c r="J1565" t="n">
        <v>11740312</v>
      </c>
    </row>
    <row r="1566" ht="15.75" customHeight="1" s="201">
      <c r="A1566" s="1" t="inlineStr">
        <is>
          <t>Beverages, grape drink, canned</t>
        </is>
      </c>
      <c r="C1566" s="1" t="n">
        <v>15.72</v>
      </c>
      <c r="D1566" s="1" t="n">
        <v>0</v>
      </c>
      <c r="E1566" s="1" t="n">
        <v>0.07000000000000001</v>
      </c>
      <c r="F1566" s="1" t="n">
        <v>0</v>
      </c>
      <c r="G1566" s="1" t="n">
        <v>0</v>
      </c>
      <c r="H1566" s="1" t="n">
        <v>0</v>
      </c>
      <c r="I1566" s="1" t="n">
        <v>0.12</v>
      </c>
      <c r="J1566" t="n">
        <v>92510960</v>
      </c>
    </row>
    <row r="1567" ht="15.75" customHeight="1" s="201">
      <c r="A1567" s="1" t="inlineStr">
        <is>
          <t>Beverages, grape juice drink, canned</t>
        </is>
      </c>
      <c r="C1567" s="1" t="n">
        <v>14.55</v>
      </c>
      <c r="D1567" s="1" t="n">
        <v>1</v>
      </c>
      <c r="E1567" s="1" t="n">
        <v>0.13</v>
      </c>
      <c r="F1567" s="1" t="n">
        <v>0</v>
      </c>
      <c r="G1567" s="1" t="n">
        <v>0</v>
      </c>
      <c r="H1567" s="1" t="n">
        <v>4</v>
      </c>
      <c r="I1567" s="1" t="n">
        <v>0.03</v>
      </c>
      <c r="J1567" t="n">
        <v>92530610</v>
      </c>
    </row>
    <row r="1568" ht="15.75" customHeight="1" s="201">
      <c r="A1568" s="1" t="inlineStr">
        <is>
          <t>Beverages, Horchata, as served in restaurant</t>
        </is>
      </c>
      <c r="C1568" s="1" t="n">
        <v>11.52</v>
      </c>
      <c r="E1568" s="1" t="n">
        <v>0.01</v>
      </c>
      <c r="F1568" s="1" t="n">
        <v>0.48</v>
      </c>
      <c r="G1568" s="1" t="n">
        <v>0.71</v>
      </c>
      <c r="I1568" s="1" t="n">
        <v>0.06</v>
      </c>
      <c r="J1568" t="n">
        <v>92610020</v>
      </c>
    </row>
    <row r="1569" ht="15.75" customHeight="1" s="201">
      <c r="A1569" s="1" t="inlineStr">
        <is>
          <t>Beverages, Kiwi Strawberry Juice Drink</t>
        </is>
      </c>
      <c r="C1569" s="1" t="n">
        <v>12.26</v>
      </c>
      <c r="D1569" s="1" t="n">
        <v>0</v>
      </c>
      <c r="E1569" s="1" t="n">
        <v>0.15</v>
      </c>
      <c r="F1569" s="1" t="n">
        <v>0</v>
      </c>
      <c r="G1569" s="1" t="n">
        <v>0</v>
      </c>
      <c r="H1569" s="1" t="n">
        <v>20</v>
      </c>
      <c r="I1569" s="1" t="n">
        <v>0</v>
      </c>
      <c r="J1569" t="n">
        <v>92530610</v>
      </c>
    </row>
    <row r="1570" ht="15.75" customHeight="1" s="201">
      <c r="A1570" s="1" t="inlineStr">
        <is>
          <t>Beverages, KRAFT, coffee, instant, French Vanilla Cafe</t>
        </is>
      </c>
      <c r="C1570" s="1" t="n">
        <v>74.59999999999999</v>
      </c>
      <c r="E1570" s="1" t="n">
        <v>0.33</v>
      </c>
      <c r="F1570" s="1" t="n">
        <v>2.5</v>
      </c>
      <c r="G1570" s="1" t="n">
        <v>19.2</v>
      </c>
      <c r="H1570" s="1" t="n">
        <v>0</v>
      </c>
      <c r="J1570" t="n">
        <v>53610100</v>
      </c>
    </row>
    <row r="1571" ht="15.75" customHeight="1" s="201">
      <c r="A1571" s="1" t="inlineStr">
        <is>
          <t>Beverages, Lemonade fruit juice drink light, fortified with vitamin E and C</t>
        </is>
      </c>
      <c r="C1571" s="1" t="n">
        <v>5</v>
      </c>
      <c r="D1571" s="1" t="n">
        <v>1</v>
      </c>
      <c r="E1571" s="1" t="n">
        <v>0</v>
      </c>
      <c r="F1571" s="1" t="n">
        <v>0</v>
      </c>
      <c r="G1571" s="1" t="n">
        <v>0</v>
      </c>
      <c r="H1571" s="1" t="n">
        <v>0</v>
      </c>
      <c r="I1571" s="1" t="n">
        <v>0.01</v>
      </c>
      <c r="J1571" t="n">
        <v>92530610</v>
      </c>
    </row>
    <row r="1572" ht="15.75" customHeight="1" s="201">
      <c r="A1572" s="1" t="inlineStr">
        <is>
          <t>Beverages, lemonade, frozen concentrate, pink, prepared with water</t>
        </is>
      </c>
      <c r="C1572" s="1" t="n">
        <v>10.81</v>
      </c>
      <c r="D1572" s="1" t="n">
        <v>2</v>
      </c>
      <c r="E1572" s="1" t="n">
        <v>0.02</v>
      </c>
      <c r="F1572" s="1" t="n">
        <v>0.05</v>
      </c>
      <c r="G1572" s="1" t="n">
        <v>0.15</v>
      </c>
      <c r="H1572" s="1" t="n">
        <v>0</v>
      </c>
      <c r="I1572" s="1" t="n">
        <v>0.01</v>
      </c>
      <c r="J1572" t="n">
        <v>11740312</v>
      </c>
    </row>
    <row r="1573" ht="15.75" customHeight="1" s="201">
      <c r="A1573" s="1" t="inlineStr">
        <is>
          <t>Beverages, Malt liquor beverage</t>
        </is>
      </c>
      <c r="C1573" s="1" t="n">
        <v>0</v>
      </c>
      <c r="D1573" s="1" t="n">
        <v>4</v>
      </c>
      <c r="E1573" s="1" t="n">
        <v>0.03</v>
      </c>
      <c r="F1573" s="1" t="n">
        <v>0.35</v>
      </c>
      <c r="G1573" s="1" t="n">
        <v>0</v>
      </c>
      <c r="H1573" s="1" t="n">
        <v>0</v>
      </c>
      <c r="I1573" s="1" t="n">
        <v>0.08</v>
      </c>
      <c r="J1573" t="n">
        <v>57305174</v>
      </c>
    </row>
    <row r="1574" ht="15.75" customHeight="1" s="201">
      <c r="A1574" s="1" t="inlineStr">
        <is>
          <t>Beverages, Malted drink mix, natural, powder, dairy based.</t>
        </is>
      </c>
      <c r="C1574" s="1" t="n">
        <v>71.20999999999999</v>
      </c>
      <c r="D1574" s="1" t="n">
        <v>46</v>
      </c>
      <c r="E1574" s="1" t="n">
        <v>0.7</v>
      </c>
      <c r="F1574" s="1" t="n">
        <v>14.29</v>
      </c>
      <c r="G1574" s="1" t="n">
        <v>9.52</v>
      </c>
      <c r="H1574" s="1" t="n">
        <v>224</v>
      </c>
      <c r="I1574" s="1" t="n">
        <v>0.99</v>
      </c>
    </row>
    <row r="1575" ht="15.75" customHeight="1" s="201">
      <c r="A1575" s="1" t="inlineStr">
        <is>
          <t>Beverages, Malted drink mix, natural, powder, prepared with whole milk</t>
        </is>
      </c>
      <c r="C1575" s="1" t="n">
        <v>10.23</v>
      </c>
      <c r="D1575" s="1" t="n">
        <v>8</v>
      </c>
      <c r="E1575" s="1" t="n">
        <v>0.09</v>
      </c>
      <c r="F1575" s="1" t="n">
        <v>3.86</v>
      </c>
      <c r="G1575" s="1" t="n">
        <v>3.62</v>
      </c>
      <c r="H1575" s="1" t="n">
        <v>117</v>
      </c>
      <c r="I1575" s="1" t="n">
        <v>0.43</v>
      </c>
      <c r="J1575" t="n">
        <v>75142550</v>
      </c>
    </row>
    <row r="1576" ht="15.75" customHeight="1" s="201">
      <c r="A1576" s="1" t="inlineStr">
        <is>
          <t>Beverages, Malted drink mix, natural, with added nutrients, powder, prepared with whole milk</t>
        </is>
      </c>
      <c r="C1576" s="1" t="n">
        <v>10.67</v>
      </c>
      <c r="D1576" s="1" t="n">
        <v>6</v>
      </c>
      <c r="E1576" s="1" t="n">
        <v>1.36</v>
      </c>
      <c r="F1576" s="1" t="n">
        <v>3.67</v>
      </c>
      <c r="G1576" s="1" t="n">
        <v>3.21</v>
      </c>
      <c r="H1576" s="1" t="n">
        <v>942</v>
      </c>
      <c r="I1576" s="1" t="n">
        <v>0.41</v>
      </c>
      <c r="J1576" t="n">
        <v>75142550</v>
      </c>
    </row>
    <row r="1577" ht="15.75" customHeight="1" s="201">
      <c r="A1577" s="1" t="inlineStr">
        <is>
          <t>Beverages, Meal supplement drink, canned, peanut flavor</t>
        </is>
      </c>
      <c r="C1577" s="1" t="n">
        <v>14.74</v>
      </c>
      <c r="E1577" s="1" t="n">
        <v>2.2</v>
      </c>
      <c r="F1577" s="1" t="n">
        <v>3.5</v>
      </c>
      <c r="G1577" s="1" t="n">
        <v>3.07</v>
      </c>
      <c r="I1577" s="1" t="n">
        <v>0.42</v>
      </c>
      <c r="J1577" t="n">
        <v>91734000</v>
      </c>
    </row>
    <row r="1578" ht="15.75" customHeight="1" s="201">
      <c r="A1578" s="1" t="inlineStr">
        <is>
          <t>Beverages, milk beverage, reduced fat, flavored and sweetened, Ready-to-drink,  added calcium, vitamin A and vitamin D</t>
        </is>
      </c>
      <c r="C1578" s="1" t="n">
        <v>12.08</v>
      </c>
      <c r="D1578" s="1" t="n">
        <v>4</v>
      </c>
      <c r="E1578" s="1" t="n">
        <v>0.03</v>
      </c>
      <c r="F1578" s="1" t="n">
        <v>3.05</v>
      </c>
      <c r="G1578" s="1" t="n">
        <v>1.83</v>
      </c>
      <c r="H1578" s="1" t="n">
        <v>175</v>
      </c>
      <c r="I1578" s="1" t="n">
        <v>0.45</v>
      </c>
      <c r="J1578" t="n">
        <v>94220215</v>
      </c>
    </row>
    <row r="1579" ht="15.75" customHeight="1" s="201">
      <c r="A1579" s="1" t="inlineStr">
        <is>
          <t>Beverages, MINUTE MAID, Lemonada, Limeade</t>
        </is>
      </c>
      <c r="C1579" s="1" t="n">
        <v>13.75</v>
      </c>
      <c r="D1579" s="1" t="n">
        <v>1</v>
      </c>
      <c r="E1579" s="1" t="n">
        <v>0</v>
      </c>
      <c r="F1579" s="1" t="n">
        <v>0</v>
      </c>
      <c r="G1579" s="1" t="n">
        <v>0</v>
      </c>
      <c r="H1579" s="1" t="n">
        <v>0</v>
      </c>
      <c r="I1579" s="1" t="n">
        <v>0.01</v>
      </c>
      <c r="J1579" t="n">
        <v>92510955</v>
      </c>
    </row>
    <row r="1580" ht="15.75" customHeight="1" s="201">
      <c r="A1580" s="1" t="inlineStr">
        <is>
          <t>Beverages, Mixed vegetable and fruit juice drink, with added nutrients</t>
        </is>
      </c>
      <c r="C1580" s="1" t="n">
        <v>7.47</v>
      </c>
      <c r="D1580" s="1" t="n">
        <v>0</v>
      </c>
      <c r="E1580" s="1" t="n">
        <v>0.04</v>
      </c>
      <c r="F1580" s="1" t="n">
        <v>0.04</v>
      </c>
      <c r="G1580" s="1" t="n">
        <v>0.01</v>
      </c>
      <c r="H1580" s="1" t="n">
        <v>2083</v>
      </c>
      <c r="I1580" s="1" t="n">
        <v>0.01</v>
      </c>
      <c r="J1580" t="n">
        <v>92530610</v>
      </c>
    </row>
    <row r="1581" ht="15.75" customHeight="1" s="201">
      <c r="A1581" s="1" t="inlineStr">
        <is>
          <t>Beverages, MONSTER energy drink, low carb</t>
        </is>
      </c>
      <c r="C1581" s="1" t="n">
        <v>1.38</v>
      </c>
      <c r="D1581" s="1" t="n">
        <v>0</v>
      </c>
      <c r="E1581" s="1" t="n">
        <v>0</v>
      </c>
      <c r="F1581" s="1" t="n">
        <v>0</v>
      </c>
      <c r="G1581" s="1" t="n">
        <v>0</v>
      </c>
      <c r="H1581" s="1" t="n">
        <v>0</v>
      </c>
      <c r="I1581" s="1" t="n">
        <v>0</v>
      </c>
      <c r="J1581" t="n">
        <v>95101000</v>
      </c>
    </row>
    <row r="1582" ht="15.75" customHeight="1" s="201">
      <c r="A1582" s="1" t="inlineStr">
        <is>
          <t>Beverages, NESTLE, Boost plus, nutritional drink, ready-to-drink</t>
        </is>
      </c>
      <c r="C1582" s="1" t="n">
        <v>17.29</v>
      </c>
      <c r="D1582" s="1" t="n">
        <v>38</v>
      </c>
      <c r="E1582" s="1" t="n">
        <v>1.73</v>
      </c>
      <c r="F1582" s="1" t="n">
        <v>5.38</v>
      </c>
      <c r="G1582" s="1" t="n">
        <v>5.38</v>
      </c>
      <c r="H1582" s="1" t="n">
        <v>480</v>
      </c>
      <c r="I1582" s="1" t="n">
        <v>1.73</v>
      </c>
      <c r="J1582" t="n">
        <v>95101000</v>
      </c>
    </row>
    <row r="1583" ht="15.75" customHeight="1" s="201">
      <c r="A1583" s="1" t="inlineStr">
        <is>
          <t>Beverages, nutritional shake mix, high protein, powder</t>
        </is>
      </c>
      <c r="C1583" s="1" t="n">
        <v>20.38</v>
      </c>
      <c r="D1583" s="1" t="n">
        <v>571</v>
      </c>
      <c r="E1583" s="1" t="n">
        <v>22.5</v>
      </c>
      <c r="F1583" s="1" t="n">
        <v>53.57</v>
      </c>
      <c r="G1583" s="1" t="n">
        <v>10.71</v>
      </c>
      <c r="H1583" s="1" t="n">
        <v>6250</v>
      </c>
      <c r="I1583" s="1" t="n">
        <v>18.75</v>
      </c>
      <c r="J1583" t="n">
        <v>95201500</v>
      </c>
    </row>
    <row r="1584" ht="15.75" customHeight="1" s="201">
      <c r="A1584" s="1" t="inlineStr">
        <is>
          <t>Beverages, OCEAN SPRAY, Cran Cherry</t>
        </is>
      </c>
      <c r="C1584" s="1" t="n">
        <v>12.76</v>
      </c>
      <c r="D1584" s="1" t="n">
        <v>22</v>
      </c>
      <c r="E1584" s="1" t="n">
        <v>0.08</v>
      </c>
      <c r="F1584" s="1" t="n">
        <v>0.19</v>
      </c>
      <c r="G1584" s="1" t="n">
        <v>0</v>
      </c>
      <c r="H1584" s="1" t="n">
        <v>33</v>
      </c>
      <c r="I1584" s="1" t="n">
        <v>0.03</v>
      </c>
      <c r="J1584" t="n">
        <v>92550610</v>
      </c>
    </row>
    <row r="1585" ht="15.75" customHeight="1" s="201">
      <c r="A1585" s="1" t="inlineStr">
        <is>
          <t>Beverages, OCEAN SPRAY, Cran Grape</t>
        </is>
      </c>
      <c r="C1585" s="1" t="n">
        <v>13.16</v>
      </c>
      <c r="D1585" s="1" t="n">
        <v>4</v>
      </c>
      <c r="E1585" s="1" t="n">
        <v>0.04</v>
      </c>
      <c r="F1585" s="1" t="n">
        <v>0.21</v>
      </c>
      <c r="G1585" s="1" t="n">
        <v>0</v>
      </c>
      <c r="H1585" s="1" t="n">
        <v>25</v>
      </c>
      <c r="I1585" s="1" t="n">
        <v>0.03</v>
      </c>
      <c r="J1585" t="n">
        <v>92550610</v>
      </c>
    </row>
    <row r="1586" ht="15.75" customHeight="1" s="201">
      <c r="A1586" s="1" t="inlineStr">
        <is>
          <t>Beverages, OCEAN SPRAY, Cran Lemonade</t>
        </is>
      </c>
      <c r="C1586" s="1" t="n">
        <v>11.12</v>
      </c>
      <c r="E1586" s="1" t="n">
        <v>0.03</v>
      </c>
      <c r="F1586" s="1" t="n">
        <v>0.07000000000000001</v>
      </c>
      <c r="G1586" s="1" t="n">
        <v>0</v>
      </c>
      <c r="H1586" s="1" t="n">
        <v>25</v>
      </c>
      <c r="I1586" s="1" t="n">
        <v>0.01</v>
      </c>
      <c r="J1586" t="n">
        <v>92510955</v>
      </c>
    </row>
    <row r="1587" ht="15.75" customHeight="1" s="201">
      <c r="A1587" s="1" t="inlineStr">
        <is>
          <t>Beverages, OCEAN SPRAY, Cran Pomegranate</t>
        </is>
      </c>
      <c r="C1587" s="1" t="n">
        <v>12.56</v>
      </c>
      <c r="D1587" s="1" t="n">
        <v>4</v>
      </c>
      <c r="E1587" s="1" t="n">
        <v>0.12</v>
      </c>
      <c r="F1587" s="1" t="n">
        <v>0.07000000000000001</v>
      </c>
      <c r="G1587" s="1" t="n">
        <v>0.01</v>
      </c>
      <c r="H1587" s="1" t="n">
        <v>24</v>
      </c>
      <c r="I1587" s="1" t="n">
        <v>0.02</v>
      </c>
      <c r="J1587" t="n">
        <v>92550610</v>
      </c>
    </row>
    <row r="1588" ht="15.75" customHeight="1" s="201">
      <c r="A1588" s="1" t="inlineStr">
        <is>
          <t>Beverages, OCEAN SPRAY, Cran Raspberry Juice Drink</t>
        </is>
      </c>
      <c r="C1588" s="1" t="n">
        <v>11.96</v>
      </c>
      <c r="D1588" s="1" t="n">
        <v>4</v>
      </c>
      <c r="E1588" s="1" t="n">
        <v>0.04</v>
      </c>
      <c r="F1588" s="1" t="n">
        <v>0.28</v>
      </c>
      <c r="G1588" s="1" t="n">
        <v>0</v>
      </c>
      <c r="H1588" s="1" t="n">
        <v>25</v>
      </c>
      <c r="I1588" s="1" t="n">
        <v>0.02</v>
      </c>
      <c r="J1588" t="n">
        <v>92530610</v>
      </c>
    </row>
    <row r="1589" ht="15.75" customHeight="1" s="201">
      <c r="A1589" s="1" t="inlineStr">
        <is>
          <t>Beverages, OCEAN SPRAY, Cranberry-Apple Juice Drink, bottled</t>
        </is>
      </c>
      <c r="C1589" s="1" t="n">
        <v>13.68</v>
      </c>
      <c r="D1589" s="1" t="n">
        <v>4</v>
      </c>
      <c r="E1589" s="1" t="n">
        <v>0.04</v>
      </c>
      <c r="F1589" s="1" t="n">
        <v>0.29</v>
      </c>
      <c r="G1589" s="1" t="n">
        <v>0</v>
      </c>
      <c r="H1589" s="1" t="n">
        <v>24</v>
      </c>
      <c r="I1589" s="1" t="n">
        <v>0.02</v>
      </c>
      <c r="J1589" t="n">
        <v>92530610</v>
      </c>
    </row>
    <row r="1590" ht="15.75" customHeight="1" s="201">
      <c r="A1590" s="1" t="inlineStr">
        <is>
          <t>Beverages, OCEAN SPRAY, Diet Cran Cherry</t>
        </is>
      </c>
      <c r="C1590" s="1" t="n">
        <v>0.7</v>
      </c>
      <c r="D1590" s="1" t="n">
        <v>4</v>
      </c>
      <c r="E1590" s="1" t="n">
        <v>0.04</v>
      </c>
      <c r="F1590" s="1" t="n">
        <v>0.21</v>
      </c>
      <c r="G1590" s="1" t="n">
        <v>0</v>
      </c>
      <c r="H1590" s="1" t="n">
        <v>25</v>
      </c>
      <c r="I1590" s="1" t="n">
        <v>0.01</v>
      </c>
      <c r="J1590" t="n">
        <v>92410520</v>
      </c>
    </row>
    <row r="1591" ht="15.75" customHeight="1" s="201">
      <c r="A1591" s="1" t="inlineStr">
        <is>
          <t>Beverages, OCEAN SPRAY, Diet Cranberry Juice</t>
        </is>
      </c>
      <c r="C1591" s="1" t="n">
        <v>0.8</v>
      </c>
      <c r="D1591" s="1" t="n">
        <v>4</v>
      </c>
      <c r="E1591" s="1" t="n">
        <v>0.04</v>
      </c>
      <c r="F1591" s="1" t="n">
        <v>0.07000000000000001</v>
      </c>
      <c r="G1591" s="1" t="n">
        <v>0</v>
      </c>
      <c r="H1591" s="1" t="n">
        <v>25</v>
      </c>
      <c r="I1591" s="1" t="n">
        <v>0.03</v>
      </c>
      <c r="J1591" t="n">
        <v>92530510</v>
      </c>
    </row>
    <row r="1592" ht="15.75" customHeight="1" s="201">
      <c r="A1592" s="1" t="inlineStr">
        <is>
          <t>Beverages, OCEAN SPRAY, Light Cranberry</t>
        </is>
      </c>
      <c r="C1592" s="1" t="n">
        <v>4.72</v>
      </c>
      <c r="E1592" s="1" t="n">
        <v>0.07000000000000001</v>
      </c>
      <c r="F1592" s="1" t="n">
        <v>0.22</v>
      </c>
      <c r="G1592" s="1" t="n">
        <v>0.01</v>
      </c>
      <c r="H1592" s="1" t="n">
        <v>25</v>
      </c>
      <c r="I1592" s="1" t="n">
        <v>0.02</v>
      </c>
      <c r="J1592" t="n">
        <v>27446245</v>
      </c>
    </row>
    <row r="1593" ht="15.75" customHeight="1" s="201">
      <c r="A1593" s="1" t="inlineStr">
        <is>
          <t>Beverages, OCEAN SPRAY, Light Cranberry and Raspberry Flavored Juice</t>
        </is>
      </c>
      <c r="C1593" s="1" t="n">
        <v>5.77</v>
      </c>
      <c r="E1593" s="1" t="n">
        <v>0.04</v>
      </c>
      <c r="F1593" s="1" t="n">
        <v>0.73</v>
      </c>
      <c r="G1593" s="1" t="n">
        <v>0</v>
      </c>
      <c r="H1593" s="1" t="n">
        <v>26</v>
      </c>
      <c r="I1593" s="1" t="n">
        <v>0.02</v>
      </c>
      <c r="J1593" t="n">
        <v>92550110</v>
      </c>
    </row>
    <row r="1594" ht="15.75" customHeight="1" s="201">
      <c r="A1594" s="1" t="inlineStr">
        <is>
          <t>Beverages, OCEAN SPRAY, Light Cranberry, Concord Grape</t>
        </is>
      </c>
      <c r="C1594" s="1" t="n">
        <v>5.78</v>
      </c>
      <c r="E1594" s="1" t="n">
        <v>0.06</v>
      </c>
      <c r="F1594" s="1" t="n">
        <v>0.36</v>
      </c>
      <c r="G1594" s="1" t="n">
        <v>0.02</v>
      </c>
      <c r="H1594" s="1" t="n">
        <v>25</v>
      </c>
      <c r="I1594" s="1" t="n">
        <v>0.02</v>
      </c>
      <c r="J1594" t="n">
        <v>27446245</v>
      </c>
    </row>
    <row r="1595" ht="15.75" customHeight="1" s="201">
      <c r="A1595" s="1" t="inlineStr">
        <is>
          <t>Beverages, OCEAN SPRAY, White Cranberry Peach</t>
        </is>
      </c>
      <c r="C1595" s="1" t="n">
        <v>11.88</v>
      </c>
      <c r="D1595" s="1" t="n">
        <v>4</v>
      </c>
      <c r="E1595" s="1" t="n">
        <v>0.05</v>
      </c>
      <c r="F1595" s="1" t="n">
        <v>0.13</v>
      </c>
      <c r="G1595" s="1" t="n">
        <v>0.01</v>
      </c>
      <c r="H1595" s="1" t="n">
        <v>33</v>
      </c>
      <c r="I1595" s="1" t="n">
        <v>0.03</v>
      </c>
      <c r="J1595" t="n">
        <v>92530510</v>
      </c>
    </row>
    <row r="1596" ht="15.75" customHeight="1" s="201">
      <c r="A1596" s="1" t="inlineStr">
        <is>
          <t>Beverages, OCEAN SPRAY, White Cranberry Strawberry Flavored Juice Drink</t>
        </is>
      </c>
      <c r="C1596" s="1" t="n">
        <v>11.98</v>
      </c>
      <c r="D1596" s="1" t="n">
        <v>4</v>
      </c>
      <c r="E1596" s="1" t="n">
        <v>0.04</v>
      </c>
      <c r="F1596" s="1" t="n">
        <v>0.22</v>
      </c>
      <c r="G1596" s="1" t="n">
        <v>0.01</v>
      </c>
      <c r="H1596" s="1" t="n">
        <v>25</v>
      </c>
      <c r="I1596" s="1" t="n">
        <v>0.04</v>
      </c>
      <c r="J1596" t="n">
        <v>92530510</v>
      </c>
    </row>
    <row r="1597" ht="15.75" customHeight="1" s="201">
      <c r="A1597" s="1" t="inlineStr">
        <is>
          <t>Beverages, orange and apricot juice drink, canned</t>
        </is>
      </c>
      <c r="C1597" s="1" t="n">
        <v>12.7</v>
      </c>
      <c r="D1597" s="1" t="n">
        <v>7</v>
      </c>
      <c r="E1597" s="1" t="n">
        <v>0.1</v>
      </c>
      <c r="F1597" s="1" t="n">
        <v>0.3</v>
      </c>
      <c r="G1597" s="1" t="n">
        <v>0.1</v>
      </c>
      <c r="H1597" s="1" t="n">
        <v>183</v>
      </c>
      <c r="I1597" s="1" t="n">
        <v>0.04</v>
      </c>
      <c r="J1597" t="n">
        <v>92530610</v>
      </c>
    </row>
    <row r="1598" ht="15.75" customHeight="1" s="201">
      <c r="A1598" s="1" t="inlineStr">
        <is>
          <t>Beverages, Orange juice drink</t>
        </is>
      </c>
      <c r="C1598" s="1" t="n">
        <v>13.41</v>
      </c>
      <c r="D1598" s="1" t="n">
        <v>4</v>
      </c>
      <c r="E1598" s="1" t="n">
        <v>0.11</v>
      </c>
      <c r="F1598" s="1" t="n">
        <v>0.2</v>
      </c>
      <c r="G1598" s="1" t="n">
        <v>0</v>
      </c>
      <c r="H1598" s="1" t="n">
        <v>44</v>
      </c>
      <c r="I1598" s="1" t="n">
        <v>0.02</v>
      </c>
      <c r="J1598" t="n">
        <v>92530610</v>
      </c>
    </row>
    <row r="1599" ht="15.75" customHeight="1" s="201">
      <c r="A1599" s="1" t="inlineStr">
        <is>
          <t>Beverages, Orange juice, light, No pulp</t>
        </is>
      </c>
      <c r="C1599" s="1" t="n">
        <v>5.42</v>
      </c>
      <c r="D1599" s="1" t="n">
        <v>10</v>
      </c>
      <c r="E1599" s="1" t="n">
        <v>0</v>
      </c>
      <c r="F1599" s="1" t="n">
        <v>0.21</v>
      </c>
      <c r="G1599" s="1" t="n">
        <v>0</v>
      </c>
      <c r="H1599" s="1" t="n">
        <v>208</v>
      </c>
      <c r="I1599" s="1" t="n">
        <v>0.02</v>
      </c>
      <c r="J1599" t="n">
        <v>27446245</v>
      </c>
    </row>
    <row r="1600" ht="15.75" customHeight="1" s="201">
      <c r="A1600" s="1" t="inlineStr">
        <is>
          <t>Beverages, Orange-flavor drink, breakfast type, low calorie, powder</t>
        </is>
      </c>
      <c r="C1600" s="1" t="n">
        <v>85.90000000000001</v>
      </c>
      <c r="D1600" s="1" t="n">
        <v>0</v>
      </c>
      <c r="E1600" s="1" t="n">
        <v>0.07000000000000001</v>
      </c>
      <c r="F1600" s="1" t="n">
        <v>3.6</v>
      </c>
      <c r="G1600" s="1" t="n">
        <v>0</v>
      </c>
      <c r="H1600" s="1" t="n">
        <v>20000</v>
      </c>
      <c r="I1600" s="1" t="n">
        <v>0</v>
      </c>
      <c r="J1600" t="n">
        <v>53109200</v>
      </c>
    </row>
    <row r="1601" ht="15.75" customHeight="1" s="201">
      <c r="A1601" s="1" t="inlineStr">
        <is>
          <t>Beverages, orange-flavor drink, breakfast type, powder</t>
        </is>
      </c>
      <c r="C1601" s="1" t="n">
        <v>98.94</v>
      </c>
      <c r="D1601" s="1" t="n">
        <v>0</v>
      </c>
      <c r="E1601" s="1" t="n">
        <v>0.02</v>
      </c>
      <c r="F1601" s="1" t="n">
        <v>0</v>
      </c>
      <c r="G1601" s="1" t="n">
        <v>0</v>
      </c>
      <c r="H1601" s="1" t="n">
        <v>2000</v>
      </c>
      <c r="I1601" s="1" t="n">
        <v>0.01</v>
      </c>
      <c r="J1601" t="n">
        <v>95102000</v>
      </c>
    </row>
    <row r="1602" ht="15.75" customHeight="1" s="201">
      <c r="A1602" s="1" t="inlineStr">
        <is>
          <t>Beverages, orange-flavor drink, breakfast type, powder, prepared with water</t>
        </is>
      </c>
      <c r="C1602" s="1" t="n">
        <v>12.65</v>
      </c>
      <c r="D1602" s="1" t="n">
        <v>0</v>
      </c>
      <c r="E1602" s="1" t="n">
        <v>0</v>
      </c>
      <c r="F1602" s="1" t="n">
        <v>0</v>
      </c>
      <c r="G1602" s="1" t="n">
        <v>0</v>
      </c>
      <c r="H1602" s="1" t="n">
        <v>256</v>
      </c>
      <c r="I1602" s="1" t="n">
        <v>0.01</v>
      </c>
      <c r="J1602" t="n">
        <v>11740313</v>
      </c>
    </row>
    <row r="1603" ht="15.75" customHeight="1" s="201">
      <c r="A1603" s="1" t="inlineStr">
        <is>
          <t>Beverages, Orange-flavor drink, breakfast type, with pulp, frozen concentrate, prepared with water</t>
        </is>
      </c>
      <c r="C1603" s="1" t="n">
        <v>12.21</v>
      </c>
      <c r="D1603" s="1" t="n">
        <v>9</v>
      </c>
      <c r="E1603" s="1" t="n">
        <v>0.08</v>
      </c>
      <c r="F1603" s="1" t="n">
        <v>0.03</v>
      </c>
      <c r="G1603" s="1" t="n">
        <v>0.14</v>
      </c>
      <c r="H1603" s="1" t="n">
        <v>0</v>
      </c>
      <c r="I1603" s="1" t="n">
        <v>0.02</v>
      </c>
      <c r="J1603" t="n">
        <v>75142550</v>
      </c>
    </row>
    <row r="1604" ht="15.75" customHeight="1" s="201">
      <c r="A1604" s="1" t="inlineStr">
        <is>
          <t>Beverages, Orange-flavor drink, breakfast type, with pulp, frozen concentrate.</t>
        </is>
      </c>
      <c r="C1604" s="1" t="n">
        <v>42.9</v>
      </c>
      <c r="D1604" s="1" t="n">
        <v>30</v>
      </c>
      <c r="E1604" s="1" t="n">
        <v>0.26</v>
      </c>
      <c r="F1604" s="1" t="n">
        <v>0.1</v>
      </c>
      <c r="G1604" s="1" t="n">
        <v>0.5</v>
      </c>
      <c r="H1604" s="1" t="n">
        <v>0</v>
      </c>
      <c r="I1604" s="1" t="n">
        <v>0.06</v>
      </c>
      <c r="J1604" t="n">
        <v>75142550</v>
      </c>
    </row>
    <row r="1605" ht="15.75" customHeight="1" s="201">
      <c r="A1605" s="1" t="inlineStr">
        <is>
          <t>Beverages, OVALTINE, chocolate malt powder</t>
        </is>
      </c>
      <c r="C1605" s="1" t="n">
        <v>92.95999999999999</v>
      </c>
      <c r="D1605" s="1" t="n">
        <v>0</v>
      </c>
      <c r="E1605" s="1" t="n">
        <v>16.36</v>
      </c>
      <c r="F1605" s="1" t="n">
        <v>0</v>
      </c>
      <c r="G1605" s="1" t="n">
        <v>0</v>
      </c>
      <c r="H1605" s="1" t="n">
        <v>4550</v>
      </c>
      <c r="I1605" s="1" t="n">
        <v>13.64</v>
      </c>
      <c r="J1605" t="n">
        <v>53108200</v>
      </c>
    </row>
    <row r="1606" ht="15.75" customHeight="1" s="201">
      <c r="A1606" s="1" t="inlineStr">
        <is>
          <t>Beverages, PEPSICO QUAKER, Gatorade G2, low calorie</t>
        </is>
      </c>
      <c r="C1606" s="1" t="n">
        <v>1.94</v>
      </c>
      <c r="D1606" s="1" t="n">
        <v>0</v>
      </c>
      <c r="E1606" s="1" t="n">
        <v>0</v>
      </c>
      <c r="F1606" s="1" t="n">
        <v>0.05</v>
      </c>
      <c r="G1606" s="1" t="n">
        <v>0.01</v>
      </c>
      <c r="H1606" s="1" t="n">
        <v>0</v>
      </c>
      <c r="I1606" s="1" t="n">
        <v>0</v>
      </c>
      <c r="J1606" t="n">
        <v>53109200</v>
      </c>
    </row>
    <row r="1607" ht="15.75" customHeight="1" s="201">
      <c r="A1607" s="1" t="inlineStr">
        <is>
          <t>Beverages, PEPSICO QUAKER, Gatorade, G performance O 2, ready-to-drink.</t>
        </is>
      </c>
      <c r="C1607" s="1" t="n">
        <v>6.43</v>
      </c>
      <c r="D1607" s="1" t="n">
        <v>0</v>
      </c>
      <c r="E1607" s="1" t="n">
        <v>0.05</v>
      </c>
      <c r="F1607" s="1" t="n">
        <v>0</v>
      </c>
      <c r="G1607" s="1" t="n">
        <v>0</v>
      </c>
      <c r="H1607" s="1" t="n">
        <v>0</v>
      </c>
      <c r="I1607" s="1" t="n">
        <v>0.01</v>
      </c>
      <c r="J1607" t="n">
        <v>95102000</v>
      </c>
    </row>
    <row r="1608" ht="15.75" customHeight="1" s="201">
      <c r="A1608" s="1" t="inlineStr">
        <is>
          <t>Beverages, pineapple and grapefruit juice drink, canned</t>
        </is>
      </c>
      <c r="C1608" s="1" t="n">
        <v>11.6</v>
      </c>
      <c r="D1608" s="1" t="n">
        <v>9</v>
      </c>
      <c r="E1608" s="1" t="n">
        <v>0.31</v>
      </c>
      <c r="F1608" s="1" t="n">
        <v>0.2</v>
      </c>
      <c r="G1608" s="1" t="n">
        <v>0.1</v>
      </c>
      <c r="H1608" s="1" t="n">
        <v>2</v>
      </c>
      <c r="I1608" s="1" t="n">
        <v>0.06</v>
      </c>
      <c r="J1608" t="n">
        <v>92530610</v>
      </c>
    </row>
    <row r="1609" ht="15.75" customHeight="1" s="201">
      <c r="A1609" s="1" t="inlineStr">
        <is>
          <t>Beverages, pineapple and orange juice drink, canned</t>
        </is>
      </c>
      <c r="C1609" s="1" t="n">
        <v>11.8</v>
      </c>
      <c r="D1609" s="1" t="n">
        <v>9</v>
      </c>
      <c r="E1609" s="1" t="n">
        <v>0.27</v>
      </c>
      <c r="F1609" s="1" t="n">
        <v>1.3</v>
      </c>
      <c r="G1609" s="1" t="n">
        <v>0</v>
      </c>
      <c r="H1609" s="1" t="n">
        <v>19</v>
      </c>
      <c r="I1609" s="1" t="n">
        <v>0.06</v>
      </c>
      <c r="J1609" t="n">
        <v>92530610</v>
      </c>
    </row>
    <row r="1610" ht="15.75" customHeight="1" s="201">
      <c r="A1610" s="1" t="inlineStr">
        <is>
          <t>Beverages, Powerade Zero Ion4, calorie-free, assorted flavors</t>
        </is>
      </c>
      <c r="C1610" s="1" t="n">
        <v>0</v>
      </c>
      <c r="D1610" s="1" t="n">
        <v>0</v>
      </c>
      <c r="E1610" s="1" t="n">
        <v>0.05</v>
      </c>
      <c r="F1610" s="1" t="n">
        <v>0</v>
      </c>
      <c r="G1610" s="1" t="n">
        <v>0</v>
      </c>
      <c r="H1610" s="1" t="n">
        <v>0</v>
      </c>
      <c r="I1610" s="1" t="n">
        <v>0.01</v>
      </c>
      <c r="J1610" t="n">
        <v>53109200</v>
      </c>
    </row>
    <row r="1611" ht="15.75" customHeight="1" s="201">
      <c r="A1611" s="1" t="inlineStr">
        <is>
          <t>Beverages, POWERADE, Zero, Mixed Berry</t>
        </is>
      </c>
      <c r="C1611" s="1" t="n">
        <v>0.14</v>
      </c>
      <c r="D1611" s="1" t="n">
        <v>0</v>
      </c>
      <c r="E1611" s="1" t="n">
        <v>0</v>
      </c>
      <c r="F1611" s="1" t="n">
        <v>0</v>
      </c>
      <c r="G1611" s="1" t="n">
        <v>0</v>
      </c>
      <c r="H1611" s="1" t="n">
        <v>0</v>
      </c>
      <c r="I1611" s="1" t="n">
        <v>0</v>
      </c>
      <c r="J1611" t="n">
        <v>76407010</v>
      </c>
    </row>
    <row r="1612" ht="15.75" customHeight="1" s="201">
      <c r="A1612" s="1" t="inlineStr">
        <is>
          <t>Beverages, Protein powder soy based</t>
        </is>
      </c>
      <c r="C1612" s="1" t="n">
        <v>28.89</v>
      </c>
      <c r="D1612" s="1" t="n">
        <v>289</v>
      </c>
      <c r="E1612" s="1" t="n">
        <v>12</v>
      </c>
      <c r="F1612" s="1" t="n">
        <v>55.56</v>
      </c>
      <c r="G1612" s="1" t="n">
        <v>5.56</v>
      </c>
      <c r="H1612" s="1" t="n">
        <v>0</v>
      </c>
      <c r="I1612" s="1" t="n">
        <v>6.6</v>
      </c>
      <c r="J1612" t="n">
        <v>95230010</v>
      </c>
    </row>
    <row r="1613" ht="15.75" customHeight="1" s="201">
      <c r="A1613" s="1" t="inlineStr">
        <is>
          <t>Beverages, Protein powder whey based</t>
        </is>
      </c>
      <c r="C1613" s="1" t="n">
        <v>6.25</v>
      </c>
      <c r="D1613" s="1" t="n">
        <v>33</v>
      </c>
      <c r="E1613" s="1" t="n">
        <v>1.13</v>
      </c>
      <c r="F1613" s="1" t="n">
        <v>78.13</v>
      </c>
      <c r="G1613" s="1" t="n">
        <v>1.56</v>
      </c>
      <c r="H1613" s="1" t="n">
        <v>0</v>
      </c>
      <c r="I1613" s="1" t="n">
        <v>6.18</v>
      </c>
      <c r="J1613" t="n">
        <v>95230000</v>
      </c>
    </row>
    <row r="1614" ht="15.75" customHeight="1" s="201">
      <c r="A1614" s="1" t="inlineStr">
        <is>
          <t>Beverages, rice milk, unsweetened</t>
        </is>
      </c>
      <c r="C1614" s="1" t="n">
        <v>9.17</v>
      </c>
      <c r="D1614" s="1" t="n">
        <v>2</v>
      </c>
      <c r="E1614" s="1" t="n">
        <v>0.2</v>
      </c>
      <c r="F1614" s="1" t="n">
        <v>0.28</v>
      </c>
      <c r="G1614" s="1" t="n">
        <v>0.97</v>
      </c>
      <c r="H1614" s="1" t="n">
        <v>208</v>
      </c>
      <c r="I1614" s="1" t="n">
        <v>0.13</v>
      </c>
      <c r="J1614" t="n">
        <v>54319000</v>
      </c>
    </row>
    <row r="1615" ht="15.75" customHeight="1" s="201">
      <c r="A1615" s="1" t="inlineStr">
        <is>
          <t>Beverages, rich chocolate, powder</t>
        </is>
      </c>
      <c r="C1615" s="1" t="n">
        <v>92.95999999999999</v>
      </c>
      <c r="D1615" s="1" t="n">
        <v>0</v>
      </c>
      <c r="E1615" s="1" t="n">
        <v>16.36</v>
      </c>
      <c r="F1615" s="1" t="n">
        <v>0</v>
      </c>
      <c r="G1615" s="1" t="n">
        <v>0</v>
      </c>
      <c r="H1615" s="1" t="n">
        <v>4545</v>
      </c>
      <c r="I1615" s="1" t="n">
        <v>13.64</v>
      </c>
      <c r="J1615" t="n">
        <v>53108200</v>
      </c>
    </row>
    <row r="1616" ht="15.75" customHeight="1" s="201">
      <c r="A1616" s="1" t="inlineStr">
        <is>
          <t>Beverages, SLIMFAST, Meal replacement,  High Protein Shake, Ready-To-Drink, 3-2-1 plan</t>
        </is>
      </c>
      <c r="C1616" s="1" t="n">
        <v>0.85</v>
      </c>
      <c r="D1616" s="1" t="n">
        <v>39</v>
      </c>
      <c r="E1616" s="1" t="n">
        <v>0.96</v>
      </c>
      <c r="F1616" s="1" t="n">
        <v>6.59</v>
      </c>
      <c r="G1616" s="1" t="n">
        <v>3.38</v>
      </c>
      <c r="H1616" s="1" t="n">
        <v>571</v>
      </c>
      <c r="I1616" s="1" t="n">
        <v>0.85</v>
      </c>
      <c r="J1616" t="n">
        <v>95120000</v>
      </c>
    </row>
    <row r="1617" ht="15.75" customHeight="1" s="201">
      <c r="A1617" s="1" t="inlineStr">
        <is>
          <t>Beverages, SNAPPLE, tea, black and green, ready to drink, lemon, diet</t>
        </is>
      </c>
      <c r="C1617" s="1" t="n">
        <v>0.1</v>
      </c>
      <c r="E1617" s="1" t="n">
        <v>0</v>
      </c>
      <c r="F1617" s="1" t="n">
        <v>0.1</v>
      </c>
      <c r="G1617" s="1" t="n">
        <v>0</v>
      </c>
      <c r="H1617" s="1" t="n">
        <v>3</v>
      </c>
      <c r="J1617" t="n">
        <v>92410520</v>
      </c>
    </row>
    <row r="1618" ht="15.75" customHeight="1" s="201">
      <c r="A1618" s="1" t="inlineStr">
        <is>
          <t>Beverages, SNAPPLE, tea, black and green, ready to drink, peach, diet</t>
        </is>
      </c>
      <c r="C1618" s="1" t="n">
        <v>0.1</v>
      </c>
      <c r="E1618" s="1" t="n">
        <v>0</v>
      </c>
      <c r="F1618" s="1" t="n">
        <v>0.1</v>
      </c>
      <c r="G1618" s="1" t="n">
        <v>0</v>
      </c>
      <c r="H1618" s="1" t="n">
        <v>3</v>
      </c>
      <c r="J1618" t="n">
        <v>92410520</v>
      </c>
    </row>
    <row r="1619" ht="15.75" customHeight="1" s="201">
      <c r="A1619" s="1" t="inlineStr">
        <is>
          <t>Beverages, tea, black, brewed, prepared with distilled water</t>
        </is>
      </c>
      <c r="C1619" s="1" t="n">
        <v>0.3</v>
      </c>
      <c r="D1619" s="1" t="n">
        <v>5</v>
      </c>
      <c r="E1619" s="1" t="n">
        <v>0.01</v>
      </c>
      <c r="F1619" s="1" t="n">
        <v>0</v>
      </c>
      <c r="G1619" s="1" t="n">
        <v>0</v>
      </c>
      <c r="H1619" s="1" t="n">
        <v>0</v>
      </c>
      <c r="I1619" s="1" t="n">
        <v>0.01</v>
      </c>
      <c r="J1619" t="n">
        <v>11740312</v>
      </c>
    </row>
    <row r="1620" ht="15.75" customHeight="1" s="201">
      <c r="A1620" s="1" t="inlineStr">
        <is>
          <t>Beverages, tea, black, brewed, prepared with tap water</t>
        </is>
      </c>
      <c r="C1620" s="1" t="n">
        <v>0.3</v>
      </c>
      <c r="D1620" s="1" t="n">
        <v>5</v>
      </c>
      <c r="E1620" s="1" t="n">
        <v>0.02</v>
      </c>
      <c r="F1620" s="1" t="n">
        <v>0</v>
      </c>
      <c r="G1620" s="1" t="n">
        <v>0</v>
      </c>
      <c r="H1620" s="1" t="n">
        <v>0</v>
      </c>
      <c r="I1620" s="1" t="n">
        <v>0.02</v>
      </c>
      <c r="J1620" t="n">
        <v>11740312</v>
      </c>
    </row>
    <row r="1621" ht="15.75" customHeight="1" s="201">
      <c r="A1621" s="1" t="inlineStr">
        <is>
          <t>Beverages, tea, black, ready to drink</t>
        </is>
      </c>
      <c r="C1621" s="1" t="n">
        <v>0</v>
      </c>
      <c r="D1621" s="1" t="n">
        <v>0</v>
      </c>
      <c r="E1621" s="1" t="n">
        <v>0</v>
      </c>
      <c r="F1621" s="1" t="n">
        <v>0</v>
      </c>
      <c r="G1621" s="1" t="n">
        <v>0</v>
      </c>
      <c r="H1621" s="1" t="n">
        <v>0</v>
      </c>
      <c r="I1621" s="1" t="n">
        <v>0</v>
      </c>
      <c r="J1621" t="n">
        <v>95102000</v>
      </c>
    </row>
    <row r="1622" ht="15.75" customHeight="1" s="201">
      <c r="A1622" s="1" t="inlineStr">
        <is>
          <t>Beverages, tea, black, ready to drink, decaffeinated</t>
        </is>
      </c>
      <c r="C1622" s="1" t="n">
        <v>8.75</v>
      </c>
      <c r="D1622" s="1" t="n">
        <v>0</v>
      </c>
      <c r="E1622" s="1" t="n">
        <v>0</v>
      </c>
      <c r="F1622" s="1" t="n">
        <v>0</v>
      </c>
      <c r="G1622" s="1" t="n">
        <v>0</v>
      </c>
      <c r="H1622" s="1" t="n">
        <v>0</v>
      </c>
      <c r="I1622" s="1" t="n">
        <v>0.01</v>
      </c>
      <c r="J1622" t="n">
        <v>95102000</v>
      </c>
    </row>
    <row r="1623" ht="15.75" customHeight="1" s="201">
      <c r="A1623" s="1" t="inlineStr">
        <is>
          <t>Beverages, tea, black, ready to drink, decaffeinated, diet</t>
        </is>
      </c>
      <c r="C1623" s="1" t="n">
        <v>0.83</v>
      </c>
      <c r="D1623" s="1" t="n">
        <v>0</v>
      </c>
      <c r="E1623" s="1" t="n">
        <v>0</v>
      </c>
      <c r="F1623" s="1" t="n">
        <v>0</v>
      </c>
      <c r="G1623" s="1" t="n">
        <v>0</v>
      </c>
      <c r="H1623" s="1" t="n">
        <v>0</v>
      </c>
      <c r="I1623" s="1" t="n">
        <v>0.01</v>
      </c>
      <c r="J1623" t="n">
        <v>92410520</v>
      </c>
    </row>
    <row r="1624" ht="15.75" customHeight="1" s="201">
      <c r="A1624" s="1" t="inlineStr">
        <is>
          <t>Beverages, tea, black, ready-to-drink, lemon, diet</t>
        </is>
      </c>
      <c r="C1624" s="1" t="n">
        <v>0.22</v>
      </c>
      <c r="D1624" s="1" t="n">
        <v>0</v>
      </c>
      <c r="E1624" s="1" t="n">
        <v>0</v>
      </c>
      <c r="F1624" s="1" t="n">
        <v>0</v>
      </c>
      <c r="G1624" s="1" t="n">
        <v>0</v>
      </c>
      <c r="H1624" s="1" t="n">
        <v>0</v>
      </c>
      <c r="I1624" s="1" t="n">
        <v>0</v>
      </c>
      <c r="J1624" t="n">
        <v>92410520</v>
      </c>
    </row>
    <row r="1625" ht="15.75" customHeight="1" s="201">
      <c r="A1625" s="1" t="inlineStr">
        <is>
          <t>Beverages, tea, black, ready-to-drink, lemon, sweetened</t>
        </is>
      </c>
      <c r="C1625" s="1" t="n">
        <v>10.8</v>
      </c>
      <c r="D1625" s="1" t="n">
        <v>0</v>
      </c>
      <c r="E1625" s="1" t="n">
        <v>0</v>
      </c>
      <c r="F1625" s="1" t="n">
        <v>0</v>
      </c>
      <c r="G1625" s="1" t="n">
        <v>0.22</v>
      </c>
      <c r="H1625" s="1" t="n">
        <v>0</v>
      </c>
      <c r="I1625" s="1" t="n">
        <v>0.01</v>
      </c>
      <c r="J1625" t="n">
        <v>95102000</v>
      </c>
    </row>
    <row r="1626" ht="15.75" customHeight="1" s="201">
      <c r="A1626" s="1" t="inlineStr">
        <is>
          <t>Beverages, tea, green, brewed, decaffeinated</t>
        </is>
      </c>
      <c r="C1626" s="1" t="n">
        <v>0</v>
      </c>
      <c r="D1626" s="1" t="n">
        <v>0</v>
      </c>
      <c r="E1626" s="1" t="n">
        <v>0</v>
      </c>
      <c r="F1626" s="1" t="n">
        <v>0</v>
      </c>
      <c r="G1626" s="1" t="n">
        <v>0</v>
      </c>
      <c r="H1626" s="1" t="n">
        <v>0</v>
      </c>
      <c r="I1626" s="1" t="n">
        <v>0.01</v>
      </c>
      <c r="J1626" t="n">
        <v>92303100</v>
      </c>
    </row>
    <row r="1627" ht="15.75" customHeight="1" s="201">
      <c r="A1627" s="1" t="inlineStr">
        <is>
          <t>Beverages, tea, green, brewed, regular</t>
        </is>
      </c>
      <c r="C1627" s="1" t="n">
        <v>0</v>
      </c>
      <c r="D1627" s="1" t="n">
        <v>0</v>
      </c>
      <c r="E1627" s="1" t="n">
        <v>0.02</v>
      </c>
      <c r="F1627" s="1" t="n">
        <v>0.22</v>
      </c>
      <c r="G1627" s="1" t="n">
        <v>0</v>
      </c>
      <c r="H1627" s="1" t="n">
        <v>0</v>
      </c>
      <c r="I1627" s="1" t="n">
        <v>0.01</v>
      </c>
      <c r="J1627" t="n">
        <v>92303010</v>
      </c>
    </row>
    <row r="1628" ht="15.75" customHeight="1" s="201">
      <c r="A1628" s="1" t="inlineStr">
        <is>
          <t>Beverages, tea, green, instant, decaffeinated, lemon, unsweetened, fortified with vitamin C</t>
        </is>
      </c>
      <c r="C1628" s="1" t="n">
        <v>94.45</v>
      </c>
      <c r="D1628" s="1" t="n">
        <v>1</v>
      </c>
      <c r="E1628" s="1" t="n">
        <v>0.21</v>
      </c>
      <c r="F1628" s="1" t="n">
        <v>0</v>
      </c>
      <c r="G1628" s="1" t="n">
        <v>0</v>
      </c>
      <c r="H1628" s="1" t="n">
        <v>0</v>
      </c>
      <c r="I1628" s="1" t="n">
        <v>0.03</v>
      </c>
      <c r="J1628" t="n">
        <v>75142550</v>
      </c>
    </row>
    <row r="1629" ht="15.75" customHeight="1" s="201">
      <c r="A1629" s="1" t="inlineStr">
        <is>
          <t>Beverages, tea, green, ready to drink, ginseng and honey, sweetened</t>
        </is>
      </c>
      <c r="C1629" s="1" t="n">
        <v>7.16</v>
      </c>
      <c r="D1629" s="1" t="n">
        <v>0</v>
      </c>
      <c r="E1629" s="1" t="n">
        <v>0.02</v>
      </c>
      <c r="F1629" s="1" t="n">
        <v>0</v>
      </c>
      <c r="G1629" s="1" t="n">
        <v>0.18</v>
      </c>
      <c r="H1629" s="1" t="n">
        <v>0</v>
      </c>
      <c r="I1629" s="1" t="n">
        <v>0.01</v>
      </c>
      <c r="J1629" t="n">
        <v>57237100</v>
      </c>
    </row>
    <row r="1630" ht="15.75" customHeight="1" s="201">
      <c r="A1630" s="1" t="inlineStr">
        <is>
          <t>Beverages, tea, green, ready to drink, unsweetened</t>
        </is>
      </c>
      <c r="C1630" s="1" t="n">
        <v>0</v>
      </c>
      <c r="D1630" s="1" t="n">
        <v>0</v>
      </c>
      <c r="E1630" s="1" t="n">
        <v>0</v>
      </c>
      <c r="F1630" s="1" t="n">
        <v>0</v>
      </c>
      <c r="G1630" s="1" t="n">
        <v>0</v>
      </c>
      <c r="H1630" s="1" t="n">
        <v>0</v>
      </c>
      <c r="I1630" s="1" t="n">
        <v>0.01</v>
      </c>
      <c r="J1630" t="n">
        <v>95102000</v>
      </c>
    </row>
    <row r="1631" ht="15.75" customHeight="1" s="201">
      <c r="A1631" s="1" t="inlineStr">
        <is>
          <t>Beverages, tea, green, ready-to-drink, citrus, diet, fortified with vitamin C</t>
        </is>
      </c>
      <c r="C1631" s="1" t="n">
        <v>0.31</v>
      </c>
      <c r="D1631" s="1" t="n">
        <v>0</v>
      </c>
      <c r="E1631" s="1" t="n">
        <v>0</v>
      </c>
      <c r="F1631" s="1" t="n">
        <v>0</v>
      </c>
      <c r="G1631" s="1" t="n">
        <v>0</v>
      </c>
      <c r="H1631" s="1" t="n">
        <v>0</v>
      </c>
      <c r="I1631" s="1" t="n">
        <v>0</v>
      </c>
      <c r="J1631" t="n">
        <v>92410520</v>
      </c>
    </row>
    <row r="1632" ht="15.75" customHeight="1" s="201">
      <c r="A1632" s="1" t="inlineStr">
        <is>
          <t>Beverages, tea, green, ready-to-drink, diet</t>
        </is>
      </c>
      <c r="C1632" s="1" t="n">
        <v>0.93</v>
      </c>
      <c r="D1632" s="1" t="n">
        <v>0</v>
      </c>
      <c r="E1632" s="1" t="n">
        <v>0</v>
      </c>
      <c r="F1632" s="1" t="n">
        <v>0</v>
      </c>
      <c r="G1632" s="1" t="n">
        <v>0</v>
      </c>
      <c r="H1632" s="1" t="n">
        <v>0</v>
      </c>
      <c r="I1632" s="1" t="n">
        <v>0.01</v>
      </c>
      <c r="J1632" t="n">
        <v>92410520</v>
      </c>
    </row>
    <row r="1633" ht="15.75" customHeight="1" s="201">
      <c r="A1633" s="1" t="inlineStr">
        <is>
          <t>Beverages, tea, green, ready-to-drink, sweetened</t>
        </is>
      </c>
      <c r="C1633" s="1" t="n">
        <v>6.2</v>
      </c>
      <c r="D1633" s="1" t="n">
        <v>0</v>
      </c>
      <c r="E1633" s="1" t="n">
        <v>0</v>
      </c>
      <c r="F1633" s="1" t="n">
        <v>0</v>
      </c>
      <c r="G1633" s="1" t="n">
        <v>0.22</v>
      </c>
      <c r="H1633" s="1" t="n">
        <v>0</v>
      </c>
      <c r="I1633" s="1" t="n">
        <v>0.01</v>
      </c>
      <c r="J1633" t="n">
        <v>95102000</v>
      </c>
    </row>
    <row r="1634" ht="15.75" customHeight="1" s="201">
      <c r="A1634" s="1" t="inlineStr">
        <is>
          <t>Beverages, tea, herb, brewed, chamomile</t>
        </is>
      </c>
      <c r="C1634" s="1" t="n">
        <v>0.2</v>
      </c>
      <c r="D1634" s="1" t="n">
        <v>1</v>
      </c>
      <c r="E1634" s="1" t="n">
        <v>0.08</v>
      </c>
      <c r="F1634" s="1" t="n">
        <v>0</v>
      </c>
      <c r="G1634" s="1" t="n">
        <v>0</v>
      </c>
      <c r="H1634" s="1" t="n">
        <v>20</v>
      </c>
      <c r="I1634" s="1" t="n">
        <v>0.04</v>
      </c>
      <c r="J1634" t="n">
        <v>92101000</v>
      </c>
    </row>
    <row r="1635" ht="15.75" customHeight="1" s="201">
      <c r="A1635" s="1" t="inlineStr">
        <is>
          <t>Beverages, tea, herb, other than chamomile, brewed</t>
        </is>
      </c>
      <c r="C1635" s="1" t="n">
        <v>0.2</v>
      </c>
      <c r="D1635" s="1" t="n">
        <v>1</v>
      </c>
      <c r="E1635" s="1" t="n">
        <v>0.08</v>
      </c>
      <c r="F1635" s="1" t="n">
        <v>0</v>
      </c>
      <c r="G1635" s="1" t="n">
        <v>0</v>
      </c>
      <c r="H1635" s="1" t="n">
        <v>0</v>
      </c>
      <c r="I1635" s="1" t="n">
        <v>0.04</v>
      </c>
      <c r="J1635" t="n">
        <v>11542200</v>
      </c>
    </row>
    <row r="1636" ht="15.75" customHeight="1" s="201">
      <c r="A1636" s="1" t="inlineStr">
        <is>
          <t>Beverages, tea, hibiscus, brewed</t>
        </is>
      </c>
      <c r="C1636" s="1" t="n">
        <v>0</v>
      </c>
      <c r="D1636" s="1" t="n">
        <v>1</v>
      </c>
      <c r="E1636" s="1" t="n">
        <v>0.08</v>
      </c>
      <c r="F1636" s="1" t="n">
        <v>0</v>
      </c>
      <c r="G1636" s="1" t="n">
        <v>0</v>
      </c>
      <c r="H1636" s="1" t="n">
        <v>0</v>
      </c>
      <c r="I1636" s="1" t="n">
        <v>0.04</v>
      </c>
      <c r="J1636" t="n">
        <v>92306090</v>
      </c>
    </row>
    <row r="1637" ht="15.75" customHeight="1" s="201">
      <c r="A1637" s="1" t="inlineStr">
        <is>
          <t>Beverages, tea, instant, decaffeinated, lemon, diet</t>
        </is>
      </c>
      <c r="C1637" s="1" t="n">
        <v>85.40000000000001</v>
      </c>
      <c r="D1637" s="1" t="n">
        <v>35</v>
      </c>
      <c r="E1637" s="1" t="n">
        <v>8.869999999999999</v>
      </c>
      <c r="F1637" s="1" t="n">
        <v>3.3</v>
      </c>
      <c r="G1637" s="1" t="n">
        <v>0.6</v>
      </c>
      <c r="H1637" s="1" t="n">
        <v>0</v>
      </c>
      <c r="I1637" s="1" t="n">
        <v>0.89</v>
      </c>
      <c r="J1637" t="n">
        <v>92410520</v>
      </c>
    </row>
    <row r="1638" ht="15.75" customHeight="1" s="201">
      <c r="A1638" s="1" t="inlineStr">
        <is>
          <t>Beverages, tea, instant, decaffeinated, lemon, sweetened</t>
        </is>
      </c>
      <c r="C1638" s="1" t="n">
        <v>98.55</v>
      </c>
      <c r="D1638" s="1" t="n">
        <v>1</v>
      </c>
      <c r="E1638" s="1" t="n">
        <v>0.21</v>
      </c>
      <c r="F1638" s="1" t="n">
        <v>0.12</v>
      </c>
      <c r="G1638" s="1" t="n">
        <v>0.73</v>
      </c>
      <c r="H1638" s="1" t="n">
        <v>0</v>
      </c>
      <c r="I1638" s="1" t="n">
        <v>0.03</v>
      </c>
      <c r="J1638" t="n">
        <v>92121001</v>
      </c>
    </row>
    <row r="1639" ht="15.75" customHeight="1" s="201">
      <c r="A1639" s="1" t="inlineStr">
        <is>
          <t>Beverages, tea, instant, lemon, diet</t>
        </is>
      </c>
      <c r="C1639" s="1" t="n">
        <v>0.44</v>
      </c>
      <c r="D1639" s="1" t="n">
        <v>0</v>
      </c>
      <c r="E1639" s="1" t="n">
        <v>0.05</v>
      </c>
      <c r="F1639" s="1" t="n">
        <v>0.02</v>
      </c>
      <c r="G1639" s="1" t="n">
        <v>0</v>
      </c>
      <c r="H1639" s="1" t="n">
        <v>0</v>
      </c>
      <c r="I1639" s="1" t="n">
        <v>0.01</v>
      </c>
      <c r="J1639" t="n">
        <v>92410520</v>
      </c>
    </row>
    <row r="1640" ht="15.75" customHeight="1" s="201">
      <c r="A1640" s="1" t="inlineStr">
        <is>
          <t>Beverages, tea, instant, lemon, with added ascorbic acid</t>
        </is>
      </c>
      <c r="C1640" s="1" t="n">
        <v>97.59999999999999</v>
      </c>
      <c r="D1640" s="1" t="n">
        <v>43</v>
      </c>
      <c r="E1640" s="1" t="n">
        <v>0.16</v>
      </c>
      <c r="F1640" s="1" t="n">
        <v>0.6</v>
      </c>
      <c r="G1640" s="1" t="n">
        <v>0.3</v>
      </c>
      <c r="H1640" s="1" t="n">
        <v>0</v>
      </c>
      <c r="I1640" s="1" t="n">
        <v>0.1</v>
      </c>
      <c r="J1640" t="n">
        <v>75142550</v>
      </c>
    </row>
    <row r="1641" ht="15.75" customHeight="1" s="201">
      <c r="A1641" s="1" t="inlineStr">
        <is>
          <t>Beverages, tea, instant, unsweetened, powder</t>
        </is>
      </c>
      <c r="C1641" s="1" t="n">
        <v>58.66</v>
      </c>
      <c r="D1641" s="1" t="n">
        <v>103</v>
      </c>
      <c r="E1641" s="1" t="n">
        <v>2.26</v>
      </c>
      <c r="F1641" s="1" t="n">
        <v>20.21</v>
      </c>
      <c r="G1641" s="1" t="n">
        <v>0</v>
      </c>
      <c r="H1641" s="1" t="n">
        <v>0</v>
      </c>
      <c r="I1641" s="1" t="n">
        <v>1.69</v>
      </c>
      <c r="J1641" t="n">
        <v>95201000</v>
      </c>
    </row>
    <row r="1642" ht="15.75" customHeight="1" s="201">
      <c r="A1642" s="1" t="inlineStr">
        <is>
          <t>Beverages, tea, Oolong, brewed</t>
        </is>
      </c>
      <c r="C1642" s="1" t="n">
        <v>0.15</v>
      </c>
      <c r="D1642" s="1" t="n">
        <v>0</v>
      </c>
      <c r="E1642" s="1" t="n">
        <v>0</v>
      </c>
      <c r="F1642" s="1" t="n">
        <v>0</v>
      </c>
      <c r="G1642" s="1" t="n">
        <v>0</v>
      </c>
      <c r="H1642" s="1" t="n">
        <v>0</v>
      </c>
      <c r="I1642" s="1" t="n">
        <v>0.01</v>
      </c>
      <c r="J1642" t="n">
        <v>92304100</v>
      </c>
    </row>
    <row r="1643" ht="15.75" customHeight="1" s="201">
      <c r="A1643" s="1" t="inlineStr">
        <is>
          <t>Beverages, tea, ready-to-drink, lemon, diet</t>
        </is>
      </c>
      <c r="C1643" s="1" t="n">
        <v>0.41</v>
      </c>
      <c r="D1643" s="1" t="n">
        <v>0</v>
      </c>
      <c r="E1643" s="1" t="n">
        <v>0</v>
      </c>
      <c r="F1643" s="1" t="n">
        <v>0</v>
      </c>
      <c r="G1643" s="1" t="n">
        <v>0</v>
      </c>
      <c r="H1643" s="1" t="n">
        <v>0</v>
      </c>
      <c r="I1643" s="1" t="n">
        <v>0.01</v>
      </c>
      <c r="J1643" t="n">
        <v>92410520</v>
      </c>
    </row>
    <row r="1644" ht="15.75" customHeight="1" s="201">
      <c r="A1644" s="1" t="inlineStr">
        <is>
          <t>Beverages, The COCA-COLA company, Glaceau Vitamin Water, Revive Fruit Punch, fortified</t>
        </is>
      </c>
      <c r="C1644" s="1" t="n">
        <v>0</v>
      </c>
      <c r="D1644" s="1" t="n">
        <v>0</v>
      </c>
      <c r="E1644" s="1" t="n">
        <v>0</v>
      </c>
      <c r="F1644" s="1" t="n">
        <v>0</v>
      </c>
      <c r="G1644" s="1" t="n">
        <v>0</v>
      </c>
      <c r="H1644" s="1" t="n">
        <v>0</v>
      </c>
      <c r="I1644" s="1" t="n">
        <v>0</v>
      </c>
      <c r="J1644" t="n">
        <v>94220215</v>
      </c>
    </row>
    <row r="1645" ht="15.75" customHeight="1" s="201">
      <c r="A1645" s="1" t="inlineStr">
        <is>
          <t>Beverages, The COCA-COLA company, Hi-C Flashin' Fruit Punch</t>
        </is>
      </c>
      <c r="C1645" s="1" t="n">
        <v>12.5</v>
      </c>
      <c r="D1645" s="1" t="n">
        <v>0</v>
      </c>
      <c r="E1645" s="1" t="n">
        <v>0</v>
      </c>
      <c r="F1645" s="1" t="n">
        <v>0</v>
      </c>
      <c r="G1645" s="1" t="n">
        <v>0</v>
      </c>
      <c r="H1645" s="1" t="n">
        <v>0</v>
      </c>
      <c r="I1645" s="1" t="n">
        <v>0</v>
      </c>
      <c r="J1645" t="n">
        <v>91708030</v>
      </c>
    </row>
    <row r="1646" ht="15.75" customHeight="1" s="201">
      <c r="A1646" s="1" t="inlineStr">
        <is>
          <t>Beverages, The COCA-COLA company, Minute Maid, Lemonade</t>
        </is>
      </c>
      <c r="C1646" s="1" t="n">
        <v>12.08</v>
      </c>
      <c r="D1646" s="1" t="n">
        <v>1</v>
      </c>
      <c r="E1646" s="1" t="n">
        <v>0</v>
      </c>
      <c r="F1646" s="1" t="n">
        <v>0</v>
      </c>
      <c r="G1646" s="1" t="n">
        <v>0</v>
      </c>
      <c r="H1646" s="1" t="n">
        <v>0</v>
      </c>
      <c r="I1646" s="1" t="n">
        <v>0.01</v>
      </c>
      <c r="J1646" t="n">
        <v>92510955</v>
      </c>
    </row>
    <row r="1647" ht="15.75" customHeight="1" s="201">
      <c r="A1647" s="1" t="inlineStr">
        <is>
          <t>Beverages, THE COCA-COLA COMPANY, NOS energy drink, Original, grape, loaded cherry, charged citrus, fortified with vitamins B6 and B12</t>
        </is>
      </c>
      <c r="C1647" s="1" t="n">
        <v>11.25</v>
      </c>
      <c r="D1647" s="1" t="n">
        <v>0</v>
      </c>
      <c r="E1647" s="1" t="n">
        <v>0</v>
      </c>
      <c r="F1647" s="1" t="n">
        <v>0</v>
      </c>
      <c r="G1647" s="1" t="n">
        <v>0</v>
      </c>
      <c r="H1647" s="1" t="n">
        <v>0</v>
      </c>
      <c r="I1647" s="1" t="n">
        <v>0</v>
      </c>
      <c r="J1647" t="n">
        <v>75142550</v>
      </c>
    </row>
    <row r="1648" ht="15.75" customHeight="1" s="201">
      <c r="A1648" s="1" t="inlineStr">
        <is>
          <t>Beverages, Tropical Punch, ready-to-drink</t>
        </is>
      </c>
      <c r="C1648" s="1" t="n">
        <v>2.5</v>
      </c>
      <c r="D1648" s="1" t="n">
        <v>0</v>
      </c>
      <c r="E1648" s="1" t="n">
        <v>0</v>
      </c>
      <c r="F1648" s="1" t="n">
        <v>0</v>
      </c>
      <c r="G1648" s="1" t="n">
        <v>0</v>
      </c>
      <c r="H1648" s="1" t="n">
        <v>0</v>
      </c>
      <c r="I1648" s="1" t="n">
        <v>0</v>
      </c>
      <c r="J1648" t="n">
        <v>92530610</v>
      </c>
    </row>
    <row r="1649" ht="15.75" customHeight="1" s="201">
      <c r="A1649" s="1" t="inlineStr">
        <is>
          <t>Beverages, UNILEVER, SLIMFAST Shake Mix, high protein, whey powder, 3-2-1 Plan,</t>
        </is>
      </c>
      <c r="C1649" s="1" t="n">
        <v>50</v>
      </c>
      <c r="D1649" s="1" t="n">
        <v>385</v>
      </c>
      <c r="E1649" s="1" t="n">
        <v>24.84</v>
      </c>
      <c r="F1649" s="1" t="n">
        <v>27.87</v>
      </c>
      <c r="G1649" s="1" t="n">
        <v>13.46</v>
      </c>
      <c r="H1649" s="1" t="n">
        <v>2886</v>
      </c>
      <c r="I1649" s="1" t="n">
        <v>17.29</v>
      </c>
      <c r="J1649" t="n">
        <v>95220010</v>
      </c>
    </row>
    <row r="1650" ht="15.75" customHeight="1" s="201">
      <c r="A1650" s="1" t="inlineStr">
        <is>
          <t>Beverages, UNILEVER, SLIMFAST Shake Mix, powder, 3-2-1 Plan</t>
        </is>
      </c>
      <c r="C1650" s="1" t="n">
        <v>73.92</v>
      </c>
      <c r="D1650" s="1" t="n">
        <v>385</v>
      </c>
      <c r="E1650" s="1" t="n">
        <v>0.68</v>
      </c>
      <c r="F1650" s="1" t="n">
        <v>8.130000000000001</v>
      </c>
      <c r="G1650" s="1" t="n">
        <v>13.34</v>
      </c>
      <c r="H1650" s="1" t="n">
        <v>3447</v>
      </c>
      <c r="I1650" s="1" t="n">
        <v>17.31</v>
      </c>
    </row>
    <row r="1651" ht="15.75" customHeight="1" s="201">
      <c r="A1651" s="1" t="inlineStr">
        <is>
          <t>Beverages, UNILEVER, SLIMFAST, meal replacement, regular, ready-to-drink,  3-2-1 Plan</t>
        </is>
      </c>
      <c r="C1651" s="1" t="n">
        <v>7.74</v>
      </c>
      <c r="D1651" s="1" t="n">
        <v>39</v>
      </c>
      <c r="E1651" s="1" t="n">
        <v>0.87</v>
      </c>
      <c r="F1651" s="1" t="n">
        <v>3.32</v>
      </c>
      <c r="G1651" s="1" t="n">
        <v>1.93</v>
      </c>
      <c r="H1651" s="1" t="n">
        <v>565</v>
      </c>
      <c r="I1651" s="1" t="n">
        <v>0.72</v>
      </c>
      <c r="J1651" t="n">
        <v>95120000</v>
      </c>
    </row>
    <row r="1652" ht="15.75" customHeight="1" s="201">
      <c r="A1652" s="1" t="inlineStr">
        <is>
          <t>Beverages, V8 SPLASH Juice Drinks, Berry Blend</t>
        </is>
      </c>
      <c r="C1652" s="1" t="n">
        <v>7.41</v>
      </c>
      <c r="F1652" s="1" t="n">
        <v>0</v>
      </c>
      <c r="G1652" s="1" t="n">
        <v>0</v>
      </c>
      <c r="H1652" s="1" t="n">
        <v>2058</v>
      </c>
      <c r="J1652" t="n">
        <v>64100110</v>
      </c>
    </row>
    <row r="1653" ht="15.75" customHeight="1" s="201">
      <c r="A1653" s="1" t="inlineStr">
        <is>
          <t>Beverages, V8 SPLASH Juice Drinks, Diet Berry Blend</t>
        </is>
      </c>
      <c r="C1653" s="1" t="n">
        <v>1.23</v>
      </c>
      <c r="F1653" s="1" t="n">
        <v>0</v>
      </c>
      <c r="G1653" s="1" t="n">
        <v>0</v>
      </c>
      <c r="H1653" s="1" t="n">
        <v>2058</v>
      </c>
      <c r="J1653" t="n">
        <v>92410520</v>
      </c>
    </row>
    <row r="1654" ht="15.75" customHeight="1" s="201">
      <c r="A1654" s="1" t="inlineStr">
        <is>
          <t>Beverages, V8 SPLASH Juice Drinks, Diet Fruit Medley</t>
        </is>
      </c>
      <c r="C1654" s="1" t="n">
        <v>1.26</v>
      </c>
      <c r="F1654" s="1" t="n">
        <v>0</v>
      </c>
      <c r="G1654" s="1" t="n">
        <v>0</v>
      </c>
      <c r="H1654" s="1" t="n">
        <v>2101</v>
      </c>
      <c r="J1654" t="n">
        <v>92530610</v>
      </c>
    </row>
    <row r="1655" ht="15.75" customHeight="1" s="201">
      <c r="A1655" s="1" t="inlineStr">
        <is>
          <t>Beverages, V8 SPLASH Juice Drinks, Diet Strawberry Kiwi</t>
        </is>
      </c>
      <c r="C1655" s="1" t="n">
        <v>1.26</v>
      </c>
      <c r="E1655" s="1" t="n">
        <v>0.3</v>
      </c>
      <c r="F1655" s="1" t="n">
        <v>0</v>
      </c>
      <c r="G1655" s="1" t="n">
        <v>0</v>
      </c>
      <c r="H1655" s="1" t="n">
        <v>2101</v>
      </c>
      <c r="J1655" t="n">
        <v>92410520</v>
      </c>
    </row>
    <row r="1656" ht="15.75" customHeight="1" s="201">
      <c r="A1656" s="1" t="inlineStr">
        <is>
          <t>Beverages, V8 SPLASH Juice Drinks, Diet Tropical Blend</t>
        </is>
      </c>
      <c r="C1656" s="1" t="n">
        <v>1.26</v>
      </c>
      <c r="F1656" s="1" t="n">
        <v>0</v>
      </c>
      <c r="G1656" s="1" t="n">
        <v>0</v>
      </c>
      <c r="H1656" s="1" t="n">
        <v>2101</v>
      </c>
      <c r="J1656" t="n">
        <v>92410520</v>
      </c>
    </row>
    <row r="1657" ht="15.75" customHeight="1" s="201">
      <c r="A1657" s="1" t="inlineStr">
        <is>
          <t>Beverages, V8 SPLASH Juice Drinks, Fruit Medley</t>
        </is>
      </c>
      <c r="C1657" s="1" t="n">
        <v>7.82</v>
      </c>
      <c r="F1657" s="1" t="n">
        <v>0</v>
      </c>
      <c r="G1657" s="1" t="n">
        <v>0</v>
      </c>
      <c r="H1657" s="1" t="n">
        <v>2058</v>
      </c>
      <c r="J1657" t="n">
        <v>92530610</v>
      </c>
    </row>
    <row r="1658" ht="15.75" customHeight="1" s="201">
      <c r="A1658" s="1" t="inlineStr">
        <is>
          <t>Beverages, V8 SPLASH Juice Drinks, Guava Passion Fruit</t>
        </is>
      </c>
      <c r="C1658" s="1" t="n">
        <v>7.82</v>
      </c>
      <c r="F1658" s="1" t="n">
        <v>0</v>
      </c>
      <c r="G1658" s="1" t="n">
        <v>0</v>
      </c>
      <c r="H1658" s="1" t="n">
        <v>2058</v>
      </c>
      <c r="J1658" t="n">
        <v>92530610</v>
      </c>
    </row>
    <row r="1659" ht="15.75" customHeight="1" s="201">
      <c r="A1659" s="1" t="inlineStr">
        <is>
          <t>Beverages, V8 SPLASH Juice Drinks, Mango Peach</t>
        </is>
      </c>
      <c r="C1659" s="1" t="n">
        <v>8.23</v>
      </c>
      <c r="F1659" s="1" t="n">
        <v>0</v>
      </c>
      <c r="G1659" s="1" t="n">
        <v>0</v>
      </c>
      <c r="H1659" s="1" t="n">
        <v>2058</v>
      </c>
      <c r="J1659" t="n">
        <v>92530610</v>
      </c>
    </row>
    <row r="1660" ht="15.75" customHeight="1" s="201">
      <c r="A1660" s="1" t="inlineStr">
        <is>
          <t>Beverages, V8 SPLASH Juice Drinks, Orange Pineapple</t>
        </is>
      </c>
      <c r="C1660" s="1" t="n">
        <v>7.41</v>
      </c>
      <c r="F1660" s="1" t="n">
        <v>0</v>
      </c>
      <c r="G1660" s="1" t="n">
        <v>0</v>
      </c>
      <c r="H1660" s="1" t="n">
        <v>2058</v>
      </c>
      <c r="J1660" t="n">
        <v>92530610</v>
      </c>
    </row>
    <row r="1661" ht="15.75" customHeight="1" s="201">
      <c r="A1661" s="1" t="inlineStr">
        <is>
          <t>Beverages, V8 SPLASH Juice Drinks, Orchard Blend</t>
        </is>
      </c>
      <c r="C1661" s="1" t="n">
        <v>7.82</v>
      </c>
      <c r="F1661" s="1" t="n">
        <v>0</v>
      </c>
      <c r="G1661" s="1" t="n">
        <v>0</v>
      </c>
      <c r="H1661" s="1" t="n">
        <v>2058</v>
      </c>
      <c r="J1661" t="n">
        <v>64100110</v>
      </c>
    </row>
    <row r="1662" ht="15.75" customHeight="1" s="201">
      <c r="A1662" s="1" t="inlineStr">
        <is>
          <t>Beverages, V8 SPLASH Juice Drinks, Strawberry Banana</t>
        </is>
      </c>
      <c r="C1662" s="1" t="n">
        <v>7.41</v>
      </c>
      <c r="F1662" s="1" t="n">
        <v>0</v>
      </c>
      <c r="G1662" s="1" t="n">
        <v>0</v>
      </c>
      <c r="H1662" s="1" t="n">
        <v>2058</v>
      </c>
      <c r="J1662" t="n">
        <v>92530610</v>
      </c>
    </row>
    <row r="1663" ht="15.75" customHeight="1" s="201">
      <c r="A1663" s="1" t="inlineStr">
        <is>
          <t>Beverages, V8 SPLASH Juice Drinks, Strawberry Kiwi</t>
        </is>
      </c>
      <c r="C1663" s="1" t="n">
        <v>7.41</v>
      </c>
      <c r="F1663" s="1" t="n">
        <v>0</v>
      </c>
      <c r="G1663" s="1" t="n">
        <v>0</v>
      </c>
      <c r="H1663" s="1" t="n">
        <v>2058</v>
      </c>
      <c r="J1663" t="n">
        <v>92530610</v>
      </c>
    </row>
    <row r="1664" ht="15.75" customHeight="1" s="201">
      <c r="A1664" s="1" t="inlineStr">
        <is>
          <t>Beverages, V8 SPLASH Juice Drinks, Tropical Blend</t>
        </is>
      </c>
      <c r="C1664" s="1" t="n">
        <v>7.41</v>
      </c>
      <c r="F1664" s="1" t="n">
        <v>0</v>
      </c>
      <c r="G1664" s="1" t="n">
        <v>0</v>
      </c>
      <c r="H1664" s="1" t="n">
        <v>2058</v>
      </c>
      <c r="J1664" t="n">
        <v>64100110</v>
      </c>
    </row>
    <row r="1665" ht="15.75" customHeight="1" s="201">
      <c r="A1665" s="1" t="inlineStr">
        <is>
          <t>Beverages, V8 SPLASH Smoothies, Peach Mango</t>
        </is>
      </c>
      <c r="C1665" s="1" t="n">
        <v>7.76</v>
      </c>
      <c r="E1665" s="1" t="n">
        <v>0.15</v>
      </c>
      <c r="F1665" s="1" t="n">
        <v>1.22</v>
      </c>
      <c r="G1665" s="1" t="n">
        <v>0</v>
      </c>
      <c r="H1665" s="1" t="n">
        <v>1429</v>
      </c>
    </row>
    <row r="1666" ht="15.75" customHeight="1" s="201">
      <c r="A1666" s="1" t="inlineStr">
        <is>
          <t>Beverages, V8 V- FUSION Juices, Acai Berry</t>
        </is>
      </c>
      <c r="C1666" s="1" t="n">
        <v>10.98</v>
      </c>
      <c r="E1666" s="1" t="n">
        <v>0.8100000000000001</v>
      </c>
      <c r="F1666" s="1" t="n">
        <v>0</v>
      </c>
      <c r="G1666" s="1" t="n">
        <v>0</v>
      </c>
      <c r="H1666" s="1" t="n">
        <v>6</v>
      </c>
      <c r="J1666" t="n">
        <v>53303500</v>
      </c>
    </row>
    <row r="1667" ht="15.75" customHeight="1" s="201">
      <c r="A1667" s="1" t="inlineStr">
        <is>
          <t>Beverages, V8 V-FUSION Juices, Peach Mango</t>
        </is>
      </c>
      <c r="C1667" s="1" t="n">
        <v>11.38</v>
      </c>
      <c r="D1667" s="1" t="n">
        <v>3</v>
      </c>
      <c r="E1667" s="1" t="n">
        <v>0.15</v>
      </c>
      <c r="F1667" s="1" t="n">
        <v>0.41</v>
      </c>
      <c r="G1667" s="1" t="n">
        <v>0</v>
      </c>
      <c r="H1667" s="1" t="n">
        <v>407</v>
      </c>
    </row>
    <row r="1668" ht="15.75" customHeight="1" s="201">
      <c r="A1668" s="1" t="inlineStr">
        <is>
          <t>Beverages, V8 V-FUSION Juices, Strawberry Banana</t>
        </is>
      </c>
      <c r="C1668" s="1" t="n">
        <v>11.79</v>
      </c>
      <c r="D1668" s="1" t="n">
        <v>3</v>
      </c>
      <c r="E1668" s="1" t="n">
        <v>0.15</v>
      </c>
      <c r="F1668" s="1" t="n">
        <v>0.41</v>
      </c>
      <c r="G1668" s="1" t="n">
        <v>0</v>
      </c>
      <c r="H1668" s="1" t="n">
        <v>813</v>
      </c>
      <c r="J1668" t="n">
        <v>53109200</v>
      </c>
    </row>
    <row r="1669" ht="15.75" customHeight="1" s="201">
      <c r="A1669" s="1" t="inlineStr">
        <is>
          <t>Beverages, V8 V-FUSION Juices, Tropical</t>
        </is>
      </c>
      <c r="C1669" s="1" t="n">
        <v>11.38</v>
      </c>
      <c r="D1669" s="1" t="n">
        <v>3</v>
      </c>
      <c r="E1669" s="1" t="n">
        <v>0.15</v>
      </c>
      <c r="F1669" s="1" t="n">
        <v>0.41</v>
      </c>
      <c r="G1669" s="1" t="n">
        <v>0</v>
      </c>
      <c r="H1669" s="1" t="n">
        <v>1626</v>
      </c>
    </row>
    <row r="1670" ht="15.75" customHeight="1" s="201">
      <c r="A1670" s="1" t="inlineStr">
        <is>
          <t>Beverages, vegetable and fruit juice blend, 100% juice, with added vitamins A, C, E</t>
        </is>
      </c>
      <c r="C1670" s="1" t="n">
        <v>11.15</v>
      </c>
      <c r="D1670" s="1" t="n">
        <v>3</v>
      </c>
      <c r="E1670" s="1" t="n">
        <v>0.31</v>
      </c>
      <c r="F1670" s="1" t="n">
        <v>0.3</v>
      </c>
      <c r="G1670" s="1" t="n">
        <v>0.01</v>
      </c>
      <c r="H1670" s="1" t="n">
        <v>713</v>
      </c>
      <c r="I1670" s="1" t="n">
        <v>0.01</v>
      </c>
      <c r="J1670" t="n">
        <v>92530610</v>
      </c>
    </row>
    <row r="1671" ht="15.75" customHeight="1" s="201">
      <c r="A1671" s="1" t="inlineStr">
        <is>
          <t>Beverages, Vegetable and fruit juice drink, reduced calorie, with low-calorie sweetener, added vitamin C</t>
        </is>
      </c>
      <c r="C1671" s="1" t="n">
        <v>1.1</v>
      </c>
      <c r="D1671" s="1" t="n">
        <v>0</v>
      </c>
      <c r="E1671" s="1" t="n">
        <v>0.3</v>
      </c>
      <c r="F1671" s="1" t="n">
        <v>0</v>
      </c>
      <c r="G1671" s="1" t="n">
        <v>0</v>
      </c>
      <c r="H1671" s="1" t="n">
        <v>2090</v>
      </c>
      <c r="I1671" s="1" t="n">
        <v>0.01</v>
      </c>
      <c r="J1671" t="n">
        <v>53109200</v>
      </c>
    </row>
    <row r="1672" ht="15.75" customHeight="1" s="201">
      <c r="A1672" s="1" t="inlineStr">
        <is>
          <t>Beverages, Water with added vitamins and minerals, bottles, sweetened, assorted fruit flavors</t>
        </is>
      </c>
      <c r="C1672" s="1" t="n">
        <v>5.49</v>
      </c>
      <c r="D1672" s="1" t="n">
        <v>8</v>
      </c>
      <c r="E1672" s="1" t="n">
        <v>0</v>
      </c>
      <c r="F1672" s="1" t="n">
        <v>0</v>
      </c>
      <c r="G1672" s="1" t="n">
        <v>0</v>
      </c>
      <c r="H1672" s="1" t="n">
        <v>105</v>
      </c>
      <c r="I1672" s="1" t="n">
        <v>0.32</v>
      </c>
      <c r="J1672" t="n">
        <v>11740312</v>
      </c>
    </row>
    <row r="1673" ht="15.75" customHeight="1" s="201">
      <c r="A1673" s="1" t="inlineStr">
        <is>
          <t>Beverages, water, bottled, non-carbonated, DANNON</t>
        </is>
      </c>
      <c r="C1673" s="1" t="n">
        <v>0</v>
      </c>
      <c r="E1673" s="1" t="n">
        <v>0</v>
      </c>
      <c r="F1673" s="1" t="n">
        <v>0</v>
      </c>
      <c r="G1673" s="1" t="n">
        <v>0</v>
      </c>
      <c r="I1673" s="1" t="n">
        <v>0</v>
      </c>
      <c r="J1673" t="n">
        <v>11740312</v>
      </c>
    </row>
    <row r="1674" ht="15.75" customHeight="1" s="201">
      <c r="A1674" s="1" t="inlineStr">
        <is>
          <t>Beverages, water, bottled, non-carbonated, EVIAN</t>
        </is>
      </c>
      <c r="C1674" s="1" t="n">
        <v>0</v>
      </c>
      <c r="E1674" s="1" t="n">
        <v>0</v>
      </c>
      <c r="F1674" s="1" t="n">
        <v>0</v>
      </c>
      <c r="G1674" s="1" t="n">
        <v>0</v>
      </c>
      <c r="I1674" s="1" t="n">
        <v>0</v>
      </c>
      <c r="J1674" t="n">
        <v>11740312</v>
      </c>
    </row>
    <row r="1675" ht="15.75" customHeight="1" s="201">
      <c r="A1675" s="1" t="inlineStr">
        <is>
          <t>Beverages, water, bottled, non-carbonated, PEPSI, AQUAFINA</t>
        </is>
      </c>
      <c r="C1675" s="1" t="n">
        <v>0</v>
      </c>
      <c r="E1675" s="1" t="n">
        <v>0</v>
      </c>
      <c r="F1675" s="1" t="n">
        <v>0</v>
      </c>
      <c r="G1675" s="1" t="n">
        <v>0</v>
      </c>
      <c r="I1675" s="1" t="n">
        <v>0</v>
      </c>
      <c r="J1675" t="n">
        <v>11740312</v>
      </c>
    </row>
    <row r="1676" ht="15.75" customHeight="1" s="201">
      <c r="A1676" s="1" t="inlineStr">
        <is>
          <t>Beverages, water, bottled, PERRIER</t>
        </is>
      </c>
      <c r="C1676" s="1" t="n">
        <v>0</v>
      </c>
      <c r="D1676" s="1" t="n">
        <v>0</v>
      </c>
      <c r="E1676" s="1" t="n">
        <v>0</v>
      </c>
      <c r="F1676" s="1" t="n">
        <v>0</v>
      </c>
      <c r="G1676" s="1" t="n">
        <v>0</v>
      </c>
      <c r="H1676" s="1" t="n">
        <v>0</v>
      </c>
      <c r="I1676" s="1" t="n">
        <v>0</v>
      </c>
      <c r="J1676" t="n">
        <v>11740312</v>
      </c>
    </row>
    <row r="1677" ht="15.75" customHeight="1" s="201">
      <c r="A1677" s="1" t="inlineStr">
        <is>
          <t>Beverages, water, bottled, POLAND SPRING</t>
        </is>
      </c>
      <c r="C1677" s="1" t="n">
        <v>0</v>
      </c>
      <c r="D1677" s="1" t="n">
        <v>0</v>
      </c>
      <c r="E1677" s="1" t="n">
        <v>0.01</v>
      </c>
      <c r="F1677" s="1" t="n">
        <v>0</v>
      </c>
      <c r="G1677" s="1" t="n">
        <v>0</v>
      </c>
      <c r="H1677" s="1" t="n">
        <v>0</v>
      </c>
      <c r="I1677" s="1" t="n">
        <v>0</v>
      </c>
      <c r="J1677" t="n">
        <v>11740312</v>
      </c>
    </row>
    <row r="1678" ht="15.75" customHeight="1" s="201">
      <c r="A1678" s="1" t="inlineStr">
        <is>
          <t>Beverages, water, bottled, yumberry, pomegranate with anti-oxidants, zero calories</t>
        </is>
      </c>
      <c r="C1678" s="1" t="n">
        <v>1.25</v>
      </c>
      <c r="D1678" s="1" t="n">
        <v>0</v>
      </c>
      <c r="E1678" s="1" t="n">
        <v>0</v>
      </c>
      <c r="F1678" s="1" t="n">
        <v>0</v>
      </c>
      <c r="G1678" s="1" t="n">
        <v>0</v>
      </c>
      <c r="H1678" s="1" t="n">
        <v>0</v>
      </c>
      <c r="I1678" s="1" t="n">
        <v>0</v>
      </c>
      <c r="J1678" t="n">
        <v>11740312</v>
      </c>
    </row>
    <row r="1679" ht="15.75" customHeight="1" s="201">
      <c r="A1679" s="1" t="inlineStr">
        <is>
          <t>Beverages, water, tap, drinking</t>
        </is>
      </c>
      <c r="C1679" s="1" t="n">
        <v>0</v>
      </c>
      <c r="D1679" s="1" t="n">
        <v>0</v>
      </c>
      <c r="E1679" s="1" t="n">
        <v>0</v>
      </c>
      <c r="F1679" s="1" t="n">
        <v>0</v>
      </c>
      <c r="G1679" s="1" t="n">
        <v>0</v>
      </c>
      <c r="H1679" s="1" t="n">
        <v>0</v>
      </c>
      <c r="I1679" s="1" t="n">
        <v>0.01</v>
      </c>
      <c r="J1679" t="n">
        <v>11740312</v>
      </c>
    </row>
    <row r="1680" ht="15.75" customHeight="1" s="201">
      <c r="A1680" s="1" t="inlineStr">
        <is>
          <t>Beverages, WENDY'S, tea, ready-to-drink, unsweetened</t>
        </is>
      </c>
      <c r="C1680" s="1" t="n">
        <v>0</v>
      </c>
      <c r="E1680" s="1" t="n">
        <v>0</v>
      </c>
      <c r="F1680" s="1" t="n">
        <v>0.22</v>
      </c>
      <c r="G1680" s="1" t="n">
        <v>0</v>
      </c>
      <c r="I1680" s="1" t="n">
        <v>0.01</v>
      </c>
      <c r="J1680" t="n">
        <v>95102000</v>
      </c>
    </row>
    <row r="1681" ht="15.75" customHeight="1" s="201">
      <c r="A1681" s="1" t="inlineStr">
        <is>
          <t>Beverages, Whey protein powder isolate</t>
        </is>
      </c>
      <c r="C1681" s="1" t="n">
        <v>29.07</v>
      </c>
      <c r="D1681" s="1" t="n">
        <v>233</v>
      </c>
      <c r="E1681" s="1" t="n">
        <v>1.26</v>
      </c>
      <c r="F1681" s="1" t="n">
        <v>58.14</v>
      </c>
      <c r="G1681" s="1" t="n">
        <v>1.16</v>
      </c>
      <c r="H1681" s="1" t="n">
        <v>2907</v>
      </c>
      <c r="I1681" s="1" t="n">
        <v>8.720000000000001</v>
      </c>
      <c r="J1681" t="n">
        <v>95230000</v>
      </c>
    </row>
    <row r="1682" ht="15.75" customHeight="1" s="201">
      <c r="A1682" s="1" t="inlineStr">
        <is>
          <t>Beverages, Whiskey sour mix, powder</t>
        </is>
      </c>
      <c r="C1682" s="1" t="n">
        <v>97.3</v>
      </c>
      <c r="D1682" s="1" t="n">
        <v>0</v>
      </c>
      <c r="E1682" s="1" t="n">
        <v>0.39</v>
      </c>
      <c r="F1682" s="1" t="n">
        <v>0.6</v>
      </c>
      <c r="G1682" s="1" t="n">
        <v>0.1</v>
      </c>
      <c r="H1682" s="1" t="n">
        <v>30</v>
      </c>
      <c r="I1682" s="1" t="n">
        <v>0.14</v>
      </c>
      <c r="J1682" t="n">
        <v>92512110</v>
      </c>
    </row>
    <row r="1683" ht="15.75" customHeight="1" s="201">
      <c r="A1683" s="1" t="inlineStr">
        <is>
          <t>Beverages, Wine, non-alcoholic</t>
        </is>
      </c>
      <c r="C1683" s="1" t="n">
        <v>1.1</v>
      </c>
      <c r="D1683" s="1" t="n">
        <v>1</v>
      </c>
      <c r="E1683" s="1" t="n">
        <v>0.4</v>
      </c>
      <c r="F1683" s="1" t="n">
        <v>0.5</v>
      </c>
      <c r="G1683" s="1" t="n">
        <v>0</v>
      </c>
      <c r="H1683" s="1" t="n">
        <v>0</v>
      </c>
      <c r="I1683" s="1" t="n">
        <v>0.08</v>
      </c>
      <c r="J1683" t="n">
        <v>93401100</v>
      </c>
    </row>
    <row r="1684" ht="15.75" customHeight="1" s="201">
      <c r="A1684" s="1" t="inlineStr">
        <is>
          <t>Biscuits, mixed grain, refrigerated dough</t>
        </is>
      </c>
      <c r="C1684" s="1" t="n">
        <v>47.4</v>
      </c>
      <c r="D1684" s="1" t="n">
        <v>83</v>
      </c>
      <c r="E1684" s="1" t="n">
        <v>2.75</v>
      </c>
      <c r="F1684" s="1" t="n">
        <v>6.1</v>
      </c>
      <c r="G1684" s="1" t="n">
        <v>5.6</v>
      </c>
      <c r="H1684" s="1" t="n">
        <v>0</v>
      </c>
      <c r="I1684" s="1" t="n">
        <v>0.6</v>
      </c>
      <c r="J1684" t="n">
        <v>76407010</v>
      </c>
    </row>
    <row r="1685" ht="15.75" customHeight="1" s="201">
      <c r="A1685" s="1" t="inlineStr">
        <is>
          <t>Biscuits, plain or buttermilk, frozen, baked</t>
        </is>
      </c>
      <c r="C1685" s="1" t="n">
        <v>53.87</v>
      </c>
      <c r="D1685" s="1" t="n">
        <v>70</v>
      </c>
      <c r="E1685" s="1" t="n">
        <v>3.3</v>
      </c>
      <c r="F1685" s="1" t="n">
        <v>6.2</v>
      </c>
      <c r="G1685" s="1" t="n">
        <v>11.03</v>
      </c>
      <c r="H1685" s="1" t="n">
        <v>2</v>
      </c>
      <c r="I1685" s="1" t="n">
        <v>0.48</v>
      </c>
      <c r="J1685" t="n">
        <v>54401121</v>
      </c>
    </row>
    <row r="1686" ht="15.75" customHeight="1" s="201">
      <c r="A1686" s="1" t="inlineStr">
        <is>
          <t>Biscuits, plain or buttermilk, prepared from recipe</t>
        </is>
      </c>
      <c r="C1686" s="1" t="n">
        <v>44.6</v>
      </c>
      <c r="D1686" s="1" t="n">
        <v>61</v>
      </c>
      <c r="E1686" s="1" t="n">
        <v>2.9</v>
      </c>
      <c r="F1686" s="1" t="n">
        <v>7</v>
      </c>
      <c r="G1686" s="1" t="n">
        <v>16.3</v>
      </c>
      <c r="H1686" s="1" t="n">
        <v>82</v>
      </c>
      <c r="I1686" s="1" t="n">
        <v>0.54</v>
      </c>
      <c r="J1686" t="n">
        <v>24168022</v>
      </c>
    </row>
    <row r="1687" ht="15.75" customHeight="1" s="201">
      <c r="A1687" s="1" t="inlineStr">
        <is>
          <t>Biscuits, plain or buttermilk, refrigerated dough, higher fat</t>
        </is>
      </c>
      <c r="C1687" s="1" t="n">
        <v>46.32</v>
      </c>
      <c r="D1687" s="1" t="n">
        <v>57</v>
      </c>
      <c r="E1687" s="1" t="n">
        <v>2.48</v>
      </c>
      <c r="F1687" s="1" t="n">
        <v>6.66</v>
      </c>
      <c r="G1687" s="1" t="n">
        <v>10.58</v>
      </c>
      <c r="H1687" s="1" t="n">
        <v>8</v>
      </c>
      <c r="I1687" s="1" t="n">
        <v>0.5</v>
      </c>
      <c r="J1687" t="n">
        <v>52102040</v>
      </c>
    </row>
    <row r="1688" ht="15.75" customHeight="1" s="201">
      <c r="A1688" s="1" t="inlineStr">
        <is>
          <t>Biscuits, plain or buttermilk, refrigerated dough, higher fat, baked</t>
        </is>
      </c>
      <c r="C1688" s="1" t="n">
        <v>49.05</v>
      </c>
      <c r="D1688" s="1" t="n">
        <v>63</v>
      </c>
      <c r="E1688" s="1" t="n">
        <v>2.57</v>
      </c>
      <c r="F1688" s="1" t="n">
        <v>6.79</v>
      </c>
      <c r="G1688" s="1" t="n">
        <v>11.22</v>
      </c>
      <c r="H1688" s="1" t="n">
        <v>2</v>
      </c>
      <c r="I1688" s="1" t="n">
        <v>0.41</v>
      </c>
      <c r="J1688" t="n">
        <v>54401121</v>
      </c>
    </row>
    <row r="1689" ht="15.75" customHeight="1" s="201">
      <c r="A1689" s="1" t="inlineStr">
        <is>
          <t>Bison, ground, grass-fed, cooked</t>
        </is>
      </c>
      <c r="C1689" s="1" t="n">
        <v>0</v>
      </c>
      <c r="D1689" s="1" t="n">
        <v>16</v>
      </c>
      <c r="E1689" s="1" t="n">
        <v>3.19</v>
      </c>
      <c r="F1689" s="1" t="n">
        <v>25.45</v>
      </c>
      <c r="G1689" s="1" t="n">
        <v>8.619999999999999</v>
      </c>
      <c r="H1689" s="1" t="n">
        <v>0</v>
      </c>
      <c r="I1689" s="1" t="n">
        <v>5.34</v>
      </c>
      <c r="J1689" t="n">
        <v>23132000</v>
      </c>
    </row>
    <row r="1690" ht="15.75" customHeight="1" s="201">
      <c r="A1690" s="1" t="inlineStr">
        <is>
          <t>Blackberries, canned, heavy syrup, solids and liquids</t>
        </is>
      </c>
      <c r="C1690" s="1" t="n">
        <v>23.1</v>
      </c>
      <c r="D1690" s="1" t="n">
        <v>27</v>
      </c>
      <c r="E1690" s="1" t="n">
        <v>0.65</v>
      </c>
      <c r="F1690" s="1" t="n">
        <v>1.31</v>
      </c>
      <c r="G1690" s="1" t="n">
        <v>0.14</v>
      </c>
      <c r="H1690" s="1" t="n">
        <v>219</v>
      </c>
      <c r="I1690" s="1" t="n">
        <v>0.18</v>
      </c>
      <c r="J1690" t="n">
        <v>63311110</v>
      </c>
    </row>
    <row r="1691" ht="15.75" customHeight="1" s="201">
      <c r="A1691" s="1" t="inlineStr">
        <is>
          <t>Blackberries, frozen, unsweetened</t>
        </is>
      </c>
      <c r="C1691" s="1" t="n">
        <v>15.67</v>
      </c>
      <c r="D1691" s="1" t="n">
        <v>34</v>
      </c>
      <c r="E1691" s="1" t="n">
        <v>0.8</v>
      </c>
      <c r="F1691" s="1" t="n">
        <v>1.18</v>
      </c>
      <c r="G1691" s="1" t="n">
        <v>0.43</v>
      </c>
      <c r="H1691" s="1" t="n">
        <v>114</v>
      </c>
      <c r="I1691" s="1" t="n">
        <v>0.25</v>
      </c>
      <c r="J1691" t="n">
        <v>63201010</v>
      </c>
    </row>
    <row r="1692" ht="15.75" customHeight="1" s="201">
      <c r="A1692" s="1" t="inlineStr">
        <is>
          <t>Blackberries, raw</t>
        </is>
      </c>
      <c r="C1692" s="1" t="n">
        <v>9.609999999999999</v>
      </c>
      <c r="D1692" s="1" t="n">
        <v>25</v>
      </c>
      <c r="E1692" s="1" t="n">
        <v>0.62</v>
      </c>
      <c r="F1692" s="1" t="n">
        <v>1.39</v>
      </c>
      <c r="G1692" s="1" t="n">
        <v>0.49</v>
      </c>
      <c r="H1692" s="1" t="n">
        <v>214</v>
      </c>
      <c r="I1692" s="1" t="n">
        <v>0.53</v>
      </c>
      <c r="J1692" t="n">
        <v>63201010</v>
      </c>
    </row>
    <row r="1693" ht="15.75" customHeight="1" s="201">
      <c r="A1693" s="1" t="inlineStr">
        <is>
          <t>Blackberries, wild, raw (Alaska Native)</t>
        </is>
      </c>
      <c r="C1693" s="1" t="n">
        <v>9.84</v>
      </c>
      <c r="D1693" s="1" t="n">
        <v>11</v>
      </c>
      <c r="E1693" s="1" t="n">
        <v>0.21</v>
      </c>
      <c r="F1693" s="1" t="n">
        <v>0.84</v>
      </c>
      <c r="G1693" s="1" t="n">
        <v>1.07</v>
      </c>
      <c r="H1693" s="1" t="n">
        <v>46</v>
      </c>
      <c r="I1693" s="1" t="n">
        <v>0.15</v>
      </c>
      <c r="J1693" t="n">
        <v>56205320</v>
      </c>
    </row>
    <row r="1694" ht="15.75" customHeight="1" s="201">
      <c r="A1694" s="1" t="inlineStr">
        <is>
          <t>Blackberry juice, canned</t>
        </is>
      </c>
      <c r="C1694" s="1" t="n">
        <v>7.8</v>
      </c>
      <c r="D1694" s="1" t="n">
        <v>10</v>
      </c>
      <c r="E1694" s="1" t="n">
        <v>0.48</v>
      </c>
      <c r="F1694" s="1" t="n">
        <v>0.3</v>
      </c>
      <c r="G1694" s="1" t="n">
        <v>0.6</v>
      </c>
      <c r="H1694" s="1" t="n">
        <v>123</v>
      </c>
      <c r="I1694" s="1" t="n">
        <v>0.41</v>
      </c>
      <c r="J1694" t="n">
        <v>64100110</v>
      </c>
    </row>
    <row r="1695" ht="15.75" customHeight="1" s="201">
      <c r="A1695" s="1" t="inlineStr">
        <is>
          <t>Blood sausage</t>
        </is>
      </c>
      <c r="C1695" s="1" t="n">
        <v>1.29</v>
      </c>
      <c r="D1695" s="1" t="n">
        <v>5</v>
      </c>
      <c r="E1695" s="1" t="n">
        <v>6.4</v>
      </c>
      <c r="F1695" s="1" t="n">
        <v>14.6</v>
      </c>
      <c r="G1695" s="1" t="n">
        <v>34.5</v>
      </c>
      <c r="H1695" s="1" t="n">
        <v>0</v>
      </c>
      <c r="I1695" s="1" t="n">
        <v>1.3</v>
      </c>
      <c r="J1695" t="n">
        <v>25221405</v>
      </c>
    </row>
    <row r="1696" ht="15.75" customHeight="1" s="201">
      <c r="A1696" s="1" t="inlineStr">
        <is>
          <t>Blueberries, canned, heavy syrup, solids and liquids</t>
        </is>
      </c>
      <c r="C1696" s="1" t="n">
        <v>22.06</v>
      </c>
      <c r="D1696" s="1" t="n">
        <v>2</v>
      </c>
      <c r="E1696" s="1" t="n">
        <v>0.33</v>
      </c>
      <c r="F1696" s="1" t="n">
        <v>0.65</v>
      </c>
      <c r="G1696" s="1" t="n">
        <v>0.33</v>
      </c>
      <c r="H1696" s="1" t="n">
        <v>36</v>
      </c>
      <c r="I1696" s="1" t="n">
        <v>0.07000000000000001</v>
      </c>
      <c r="J1696" t="n">
        <v>63311110</v>
      </c>
    </row>
    <row r="1697" ht="15.75" customHeight="1" s="201">
      <c r="A1697" s="1" t="inlineStr">
        <is>
          <t>Blueberries, canned, light syrup, drained</t>
        </is>
      </c>
      <c r="C1697" s="1" t="n">
        <v>22.66</v>
      </c>
      <c r="D1697" s="1" t="n">
        <v>2</v>
      </c>
      <c r="E1697" s="1" t="n">
        <v>0.43</v>
      </c>
      <c r="F1697" s="1" t="n">
        <v>1.04</v>
      </c>
      <c r="G1697" s="1" t="n">
        <v>0.4</v>
      </c>
      <c r="H1697" s="1" t="n">
        <v>36</v>
      </c>
      <c r="I1697" s="1" t="n">
        <v>0.09</v>
      </c>
      <c r="J1697" t="n">
        <v>27446245</v>
      </c>
    </row>
    <row r="1698" ht="15.75" customHeight="1" s="201">
      <c r="A1698" s="1" t="inlineStr">
        <is>
          <t>Blueberries, dried, sweetened</t>
        </is>
      </c>
      <c r="C1698" s="1" t="n">
        <v>80</v>
      </c>
      <c r="D1698" s="1" t="n">
        <v>12</v>
      </c>
      <c r="E1698" s="1" t="n">
        <v>0.9</v>
      </c>
      <c r="F1698" s="1" t="n">
        <v>2.5</v>
      </c>
      <c r="G1698" s="1" t="n">
        <v>2.5</v>
      </c>
      <c r="H1698" s="1" t="n">
        <v>141</v>
      </c>
      <c r="I1698" s="1" t="n">
        <v>0.49</v>
      </c>
      <c r="J1698" t="n">
        <v>62105000</v>
      </c>
    </row>
    <row r="1699" ht="15.75" customHeight="1" s="201">
      <c r="A1699" s="1" t="inlineStr">
        <is>
          <t>Blueberries, frozen, sweetened</t>
        </is>
      </c>
      <c r="C1699" s="1" t="n">
        <v>21.95</v>
      </c>
      <c r="D1699" s="1" t="n">
        <v>7</v>
      </c>
      <c r="E1699" s="1" t="n">
        <v>0.39</v>
      </c>
      <c r="F1699" s="1" t="n">
        <v>0.4</v>
      </c>
      <c r="G1699" s="1" t="n">
        <v>0.13</v>
      </c>
      <c r="H1699" s="1" t="n">
        <v>49</v>
      </c>
      <c r="I1699" s="1" t="n">
        <v>0.06</v>
      </c>
      <c r="J1699" t="n">
        <v>63203010</v>
      </c>
    </row>
    <row r="1700" ht="15.75" customHeight="1" s="201">
      <c r="A1700" s="1" t="inlineStr">
        <is>
          <t>Blueberries, frozen, unsweetened (Includes foods for USDA's Food Distribution Program)</t>
        </is>
      </c>
      <c r="C1700" s="1" t="n">
        <v>12.17</v>
      </c>
      <c r="D1700" s="1" t="n">
        <v>7</v>
      </c>
      <c r="E1700" s="1" t="n">
        <v>0.18</v>
      </c>
      <c r="F1700" s="1" t="n">
        <v>0.42</v>
      </c>
      <c r="G1700" s="1" t="n">
        <v>0.64</v>
      </c>
      <c r="H1700" s="1" t="n">
        <v>46</v>
      </c>
      <c r="I1700" s="1" t="n">
        <v>0.07000000000000001</v>
      </c>
    </row>
    <row r="1701" ht="15.75" customHeight="1" s="201">
      <c r="A1701" s="1" t="inlineStr">
        <is>
          <t>Blueberries, raw</t>
        </is>
      </c>
      <c r="C1701" s="1" t="n">
        <v>14.49</v>
      </c>
      <c r="D1701" s="1" t="n">
        <v>6</v>
      </c>
      <c r="E1701" s="1" t="n">
        <v>0.28</v>
      </c>
      <c r="F1701" s="1" t="n">
        <v>0.74</v>
      </c>
      <c r="G1701" s="1" t="n">
        <v>0.33</v>
      </c>
      <c r="H1701" s="1" t="n">
        <v>54</v>
      </c>
      <c r="I1701" s="1" t="n">
        <v>0.16</v>
      </c>
      <c r="J1701" t="n">
        <v>63203010</v>
      </c>
    </row>
    <row r="1702" ht="15.75" customHeight="1" s="201">
      <c r="A1702" s="1" t="inlineStr">
        <is>
          <t>Blueberries, wild, canned, heavy syrup, drained</t>
        </is>
      </c>
      <c r="C1702" s="1" t="n">
        <v>28.32</v>
      </c>
      <c r="D1702" s="1" t="n">
        <v>8</v>
      </c>
      <c r="E1702" s="1" t="n">
        <v>2.2</v>
      </c>
      <c r="F1702" s="1" t="n">
        <v>0.5600000000000001</v>
      </c>
      <c r="G1702" s="1" t="n">
        <v>0.34</v>
      </c>
      <c r="I1702" s="1" t="n">
        <v>0.12</v>
      </c>
      <c r="J1702" t="n">
        <v>56205320</v>
      </c>
    </row>
    <row r="1703" ht="15.75" customHeight="1" s="201">
      <c r="A1703" s="1" t="inlineStr">
        <is>
          <t>Blueberries, wild, frozen (Alaska Native)</t>
        </is>
      </c>
      <c r="C1703" s="1" t="n">
        <v>10.4</v>
      </c>
      <c r="E1703" s="1" t="n">
        <v>1.1</v>
      </c>
      <c r="F1703" s="1" t="n">
        <v>0.7</v>
      </c>
      <c r="G1703" s="1" t="n">
        <v>0</v>
      </c>
      <c r="H1703" s="1" t="n">
        <v>163</v>
      </c>
      <c r="J1703" t="n">
        <v>56205320</v>
      </c>
    </row>
    <row r="1704" ht="15.75" customHeight="1" s="201">
      <c r="A1704" s="1" t="inlineStr">
        <is>
          <t>Blueberries, wild, frozen (Includes foods for USDA's Food Distribution Program)</t>
        </is>
      </c>
      <c r="C1704" s="1" t="n">
        <v>13.85</v>
      </c>
      <c r="E1704" s="1" t="n">
        <v>0.58</v>
      </c>
      <c r="F1704" s="1" t="n">
        <v>0</v>
      </c>
      <c r="G1704" s="1" t="n">
        <v>0.16</v>
      </c>
      <c r="H1704" s="1" t="n">
        <v>59</v>
      </c>
      <c r="I1704" s="1" t="n">
        <v>0.67</v>
      </c>
    </row>
    <row r="1705" ht="15.75" customHeight="1" s="201">
      <c r="A1705" s="1" t="inlineStr">
        <is>
          <t>Blueberries, wild, raw (Alaska Native)</t>
        </is>
      </c>
      <c r="C1705" s="1" t="n">
        <v>12.31</v>
      </c>
      <c r="D1705" s="1" t="n">
        <v>33</v>
      </c>
      <c r="E1705" s="1" t="n">
        <v>0.37</v>
      </c>
      <c r="F1705" s="1" t="n">
        <v>1.22</v>
      </c>
      <c r="G1705" s="1" t="n">
        <v>0.76</v>
      </c>
      <c r="H1705" s="1" t="n">
        <v>115</v>
      </c>
      <c r="I1705" s="1" t="n">
        <v>0.2</v>
      </c>
      <c r="J1705" t="n">
        <v>56205320</v>
      </c>
    </row>
    <row r="1706" ht="15.75" customHeight="1" s="201">
      <c r="A1706" s="1" t="inlineStr">
        <is>
          <t>Bockwurst, pork, veal, raw</t>
        </is>
      </c>
      <c r="C1706" s="1" t="n">
        <v>2.95</v>
      </c>
      <c r="D1706" s="1" t="n">
        <v>17</v>
      </c>
      <c r="E1706" s="1" t="n">
        <v>1.15</v>
      </c>
      <c r="F1706" s="1" t="n">
        <v>14.03</v>
      </c>
      <c r="G1706" s="1" t="n">
        <v>25.87</v>
      </c>
      <c r="H1706" s="1" t="n">
        <v>256</v>
      </c>
      <c r="I1706" s="1" t="n">
        <v>2.07</v>
      </c>
      <c r="J1706" t="n">
        <v>27120030</v>
      </c>
    </row>
    <row r="1707" ht="15.75" customHeight="1" s="201">
      <c r="A1707" s="1" t="inlineStr">
        <is>
          <t>Bologna, beef</t>
        </is>
      </c>
      <c r="C1707" s="1" t="n">
        <v>4.29</v>
      </c>
      <c r="D1707" s="1" t="n">
        <v>3</v>
      </c>
      <c r="E1707" s="1" t="n">
        <v>1.29</v>
      </c>
      <c r="F1707" s="1" t="n">
        <v>10.91</v>
      </c>
      <c r="G1707" s="1" t="n">
        <v>26.13</v>
      </c>
      <c r="H1707" s="1" t="n">
        <v>90</v>
      </c>
      <c r="I1707" s="1" t="n">
        <v>1.93</v>
      </c>
      <c r="J1707" t="n">
        <v>28110510</v>
      </c>
    </row>
    <row r="1708" ht="15.75" customHeight="1" s="201">
      <c r="A1708" s="1" t="inlineStr">
        <is>
          <t>Bologna, beef and pork</t>
        </is>
      </c>
      <c r="C1708" s="1" t="n">
        <v>5.49</v>
      </c>
      <c r="D1708" s="1" t="n">
        <v>6</v>
      </c>
      <c r="E1708" s="1" t="n">
        <v>1.21</v>
      </c>
      <c r="F1708" s="1" t="n">
        <v>15.2</v>
      </c>
      <c r="G1708" s="1" t="n">
        <v>24.59</v>
      </c>
      <c r="H1708" s="1" t="n">
        <v>84</v>
      </c>
      <c r="I1708" s="1" t="n">
        <v>2.3</v>
      </c>
      <c r="J1708" t="n">
        <v>28110510</v>
      </c>
    </row>
    <row r="1709" ht="15.75" customHeight="1" s="201">
      <c r="A1709" s="1" t="inlineStr">
        <is>
          <t>Bologna, beef and pork, low fat</t>
        </is>
      </c>
      <c r="C1709" s="1" t="n">
        <v>2.6</v>
      </c>
      <c r="D1709" s="1" t="n">
        <v>5</v>
      </c>
      <c r="E1709" s="1" t="n">
        <v>0.66</v>
      </c>
      <c r="F1709" s="1" t="n">
        <v>11.5</v>
      </c>
      <c r="G1709" s="1" t="n">
        <v>19.3</v>
      </c>
      <c r="H1709" s="1" t="n">
        <v>0</v>
      </c>
      <c r="I1709" s="1" t="n">
        <v>1.5</v>
      </c>
      <c r="J1709" t="n">
        <v>28110510</v>
      </c>
    </row>
    <row r="1710" ht="15.75" customHeight="1" s="201">
      <c r="A1710" s="1" t="inlineStr">
        <is>
          <t>Bologna, beef, low fat</t>
        </is>
      </c>
      <c r="C1710" s="1" t="n">
        <v>5.2</v>
      </c>
      <c r="D1710" s="1" t="n">
        <v>5</v>
      </c>
      <c r="E1710" s="1" t="n">
        <v>1</v>
      </c>
      <c r="F1710" s="1" t="n">
        <v>11.8</v>
      </c>
      <c r="G1710" s="1" t="n">
        <v>14.8</v>
      </c>
      <c r="H1710" s="1" t="n">
        <v>0</v>
      </c>
      <c r="I1710" s="1" t="n">
        <v>1.83</v>
      </c>
      <c r="J1710" t="n">
        <v>28110510</v>
      </c>
    </row>
    <row r="1711" ht="15.75" customHeight="1" s="201">
      <c r="A1711" s="1" t="inlineStr">
        <is>
          <t>Bologna, chicken, pork</t>
        </is>
      </c>
      <c r="C1711" s="1" t="n">
        <v>4.19</v>
      </c>
      <c r="D1711" s="1" t="n">
        <v>13</v>
      </c>
      <c r="E1711" s="1" t="n">
        <v>1.12</v>
      </c>
      <c r="F1711" s="1" t="n">
        <v>10.31</v>
      </c>
      <c r="G1711" s="1" t="n">
        <v>30.61</v>
      </c>
      <c r="H1711" s="1" t="n">
        <v>75</v>
      </c>
      <c r="I1711" s="1" t="n">
        <v>1.04</v>
      </c>
      <c r="J1711" t="n">
        <v>27446315</v>
      </c>
    </row>
    <row r="1712" ht="15.75" customHeight="1" s="201">
      <c r="A1712" s="1" t="inlineStr">
        <is>
          <t>Bologna, chicken, pork, beef</t>
        </is>
      </c>
      <c r="C1712" s="1" t="n">
        <v>5.61</v>
      </c>
      <c r="D1712" s="1" t="n">
        <v>7</v>
      </c>
      <c r="E1712" s="1" t="n">
        <v>1.25</v>
      </c>
      <c r="F1712" s="1" t="n">
        <v>11.33</v>
      </c>
      <c r="G1712" s="1" t="n">
        <v>22.73</v>
      </c>
      <c r="H1712" s="1" t="n">
        <v>75</v>
      </c>
      <c r="I1712" s="1" t="n">
        <v>1.22</v>
      </c>
      <c r="J1712" t="n">
        <v>28110510</v>
      </c>
    </row>
    <row r="1713" ht="15.75" customHeight="1" s="201">
      <c r="A1713" s="1" t="inlineStr">
        <is>
          <t>Bologna, chicken, turkey, pork</t>
        </is>
      </c>
      <c r="C1713" s="1" t="n">
        <v>5.65</v>
      </c>
      <c r="D1713" s="1" t="n">
        <v>9</v>
      </c>
      <c r="E1713" s="1" t="n">
        <v>1.16</v>
      </c>
      <c r="F1713" s="1" t="n">
        <v>9.880000000000001</v>
      </c>
      <c r="G1713" s="1" t="n">
        <v>26.18</v>
      </c>
      <c r="H1713" s="1" t="n">
        <v>75</v>
      </c>
      <c r="I1713" s="1" t="n">
        <v>1.28</v>
      </c>
      <c r="J1713" t="n">
        <v>27446315</v>
      </c>
    </row>
    <row r="1714" ht="15.75" customHeight="1" s="201">
      <c r="A1714" s="1" t="inlineStr">
        <is>
          <t>Bologna, meat and poultry</t>
        </is>
      </c>
      <c r="C1714" s="1" t="n">
        <v>6.31</v>
      </c>
      <c r="D1714" s="1" t="n">
        <v>7</v>
      </c>
      <c r="E1714" s="1" t="n">
        <v>1.24</v>
      </c>
      <c r="F1714" s="1" t="n">
        <v>10.34</v>
      </c>
      <c r="G1714" s="1" t="n">
        <v>23.77</v>
      </c>
      <c r="H1714" s="1" t="n">
        <v>0</v>
      </c>
      <c r="I1714" s="1" t="n">
        <v>1.06</v>
      </c>
      <c r="J1714" t="n">
        <v>14620320</v>
      </c>
    </row>
    <row r="1715" ht="15.75" customHeight="1" s="201">
      <c r="A1715" s="1" t="inlineStr">
        <is>
          <t>Bologna, pork</t>
        </is>
      </c>
      <c r="C1715" s="1" t="n">
        <v>0.73</v>
      </c>
      <c r="D1715" s="1" t="n">
        <v>5</v>
      </c>
      <c r="E1715" s="1" t="n">
        <v>0.77</v>
      </c>
      <c r="F1715" s="1" t="n">
        <v>15.3</v>
      </c>
      <c r="G1715" s="1" t="n">
        <v>19.87</v>
      </c>
      <c r="H1715" s="1" t="n">
        <v>0</v>
      </c>
      <c r="I1715" s="1" t="n">
        <v>2.03</v>
      </c>
      <c r="J1715" t="n">
        <v>27120030</v>
      </c>
    </row>
    <row r="1716" ht="15.75" customHeight="1" s="201">
      <c r="A1716" s="1" t="inlineStr">
        <is>
          <t>Bologna, pork and turkey, lite</t>
        </is>
      </c>
      <c r="C1716" s="1" t="n">
        <v>3.45</v>
      </c>
      <c r="D1716" s="1" t="n">
        <v>18</v>
      </c>
      <c r="E1716" s="1" t="n">
        <v>1.15</v>
      </c>
      <c r="F1716" s="1" t="n">
        <v>13.06</v>
      </c>
      <c r="G1716" s="1" t="n">
        <v>16.06</v>
      </c>
      <c r="H1716" s="1" t="n">
        <v>2</v>
      </c>
      <c r="I1716" s="1" t="n">
        <v>0.73</v>
      </c>
      <c r="J1716" t="n">
        <v>25221870</v>
      </c>
    </row>
    <row r="1717" ht="15.75" customHeight="1" s="201">
      <c r="A1717" s="1" t="inlineStr">
        <is>
          <t>Bologna, pork, turkey and beef</t>
        </is>
      </c>
      <c r="C1717" s="1" t="n">
        <v>6.66</v>
      </c>
      <c r="D1717" s="1" t="n">
        <v>4</v>
      </c>
      <c r="E1717" s="1" t="n">
        <v>1.2</v>
      </c>
      <c r="F1717" s="1" t="n">
        <v>11.56</v>
      </c>
      <c r="G1717" s="1" t="n">
        <v>29.25</v>
      </c>
      <c r="H1717" s="1" t="n">
        <v>0</v>
      </c>
      <c r="I1717" s="1" t="n">
        <v>2.22</v>
      </c>
      <c r="J1717" t="n">
        <v>28110510</v>
      </c>
    </row>
    <row r="1718" ht="15.75" customHeight="1" s="201">
      <c r="A1718" s="1" t="inlineStr">
        <is>
          <t>Bologna, turkey</t>
        </is>
      </c>
      <c r="C1718" s="1" t="n">
        <v>4.68</v>
      </c>
      <c r="D1718" s="1" t="n">
        <v>9</v>
      </c>
      <c r="E1718" s="1" t="n">
        <v>3</v>
      </c>
      <c r="F1718" s="1" t="n">
        <v>11.42</v>
      </c>
      <c r="G1718" s="1" t="n">
        <v>16.05</v>
      </c>
      <c r="H1718" s="1" t="n">
        <v>32</v>
      </c>
      <c r="I1718" s="1" t="n">
        <v>1.3</v>
      </c>
      <c r="J1718" t="n">
        <v>27540350</v>
      </c>
    </row>
    <row r="1719" ht="15.75" customHeight="1" s="201">
      <c r="A1719" s="1" t="inlineStr">
        <is>
          <t>Borage, cooked, boiled, drained, with salt</t>
        </is>
      </c>
      <c r="C1719" s="1" t="n">
        <v>3.55</v>
      </c>
      <c r="D1719" s="1" t="n">
        <v>10</v>
      </c>
      <c r="E1719" s="1" t="n">
        <v>3.64</v>
      </c>
      <c r="F1719" s="1" t="n">
        <v>2.09</v>
      </c>
      <c r="G1719" s="1" t="n">
        <v>0.8100000000000001</v>
      </c>
      <c r="H1719" s="1" t="n">
        <v>4385</v>
      </c>
      <c r="I1719" s="1" t="n">
        <v>0.22</v>
      </c>
      <c r="J1719" t="n">
        <v>75142550</v>
      </c>
    </row>
    <row r="1720" ht="15.75" customHeight="1" s="201">
      <c r="A1720" s="1" t="inlineStr">
        <is>
          <t>Borage, cooked, boiled, drained, without salt</t>
        </is>
      </c>
      <c r="C1720" s="1" t="n">
        <v>3.55</v>
      </c>
      <c r="D1720" s="1" t="n">
        <v>10</v>
      </c>
      <c r="E1720" s="1" t="n">
        <v>3.64</v>
      </c>
      <c r="F1720" s="1" t="n">
        <v>2.09</v>
      </c>
      <c r="G1720" s="1" t="n">
        <v>0.8100000000000001</v>
      </c>
      <c r="H1720" s="1" t="n">
        <v>4385</v>
      </c>
      <c r="I1720" s="1" t="n">
        <v>0.22</v>
      </c>
      <c r="J1720" t="n">
        <v>31103010</v>
      </c>
    </row>
    <row r="1721" ht="15.75" customHeight="1" s="201">
      <c r="A1721" s="1" t="inlineStr">
        <is>
          <t>Borage, raw</t>
        </is>
      </c>
      <c r="C1721" s="1" t="n">
        <v>3.06</v>
      </c>
      <c r="D1721" s="1" t="n">
        <v>13</v>
      </c>
      <c r="E1721" s="1" t="n">
        <v>3.3</v>
      </c>
      <c r="F1721" s="1" t="n">
        <v>1.8</v>
      </c>
      <c r="G1721" s="1" t="n">
        <v>0.7</v>
      </c>
      <c r="H1721" s="1" t="n">
        <v>4200</v>
      </c>
      <c r="I1721" s="1" t="n">
        <v>0.2</v>
      </c>
    </row>
    <row r="1722" ht="15.75" customHeight="1" s="201">
      <c r="A1722" s="1" t="inlineStr">
        <is>
          <t>Boysenberries, canned, heavy syrup</t>
        </is>
      </c>
      <c r="C1722" s="1" t="n">
        <v>22.31</v>
      </c>
      <c r="D1722" s="1" t="n">
        <v>34</v>
      </c>
      <c r="E1722" s="1" t="n">
        <v>0.43</v>
      </c>
      <c r="F1722" s="1" t="n">
        <v>0.99</v>
      </c>
      <c r="G1722" s="1" t="n">
        <v>0.12</v>
      </c>
      <c r="H1722" s="1" t="n">
        <v>40</v>
      </c>
      <c r="I1722" s="1" t="n">
        <v>0.19</v>
      </c>
      <c r="J1722" t="n">
        <v>63311110</v>
      </c>
    </row>
    <row r="1723" ht="15.75" customHeight="1" s="201">
      <c r="A1723" s="1" t="inlineStr">
        <is>
          <t>Boysenberries, frozen, unsweetened</t>
        </is>
      </c>
      <c r="C1723" s="1" t="n">
        <v>12.19</v>
      </c>
      <c r="D1723" s="1" t="n">
        <v>63</v>
      </c>
      <c r="E1723" s="1" t="n">
        <v>0.85</v>
      </c>
      <c r="F1723" s="1" t="n">
        <v>1.1</v>
      </c>
      <c r="G1723" s="1" t="n">
        <v>0.26</v>
      </c>
      <c r="H1723" s="1" t="n">
        <v>67</v>
      </c>
      <c r="I1723" s="1" t="n">
        <v>0.22</v>
      </c>
      <c r="J1723" t="n">
        <v>11461200</v>
      </c>
    </row>
    <row r="1724" ht="15.75" customHeight="1" s="201">
      <c r="A1724" s="1" t="inlineStr">
        <is>
          <t>Bratwurst, beef and pork, smoked</t>
        </is>
      </c>
      <c r="C1724" s="1" t="n">
        <v>2</v>
      </c>
      <c r="D1724" s="1" t="n">
        <v>4</v>
      </c>
      <c r="E1724" s="1" t="n">
        <v>1</v>
      </c>
      <c r="F1724" s="1" t="n">
        <v>12.2</v>
      </c>
      <c r="G1724" s="1" t="n">
        <v>26.34</v>
      </c>
      <c r="H1724" s="1" t="n">
        <v>0</v>
      </c>
      <c r="I1724" s="1" t="n">
        <v>2.47</v>
      </c>
      <c r="J1724" t="n">
        <v>28110510</v>
      </c>
    </row>
    <row r="1725" ht="15.75" customHeight="1" s="201">
      <c r="A1725" s="1" t="inlineStr">
        <is>
          <t>Bratwurst, chicken, cooked</t>
        </is>
      </c>
      <c r="C1725" s="1" t="n">
        <v>0</v>
      </c>
      <c r="D1725" s="1" t="n">
        <v>6</v>
      </c>
      <c r="E1725" s="1" t="n">
        <v>0.87</v>
      </c>
      <c r="F1725" s="1" t="n">
        <v>19.44</v>
      </c>
      <c r="G1725" s="1" t="n">
        <v>10.35</v>
      </c>
      <c r="H1725" s="1" t="n">
        <v>101</v>
      </c>
      <c r="I1725" s="1" t="n">
        <v>1.43</v>
      </c>
      <c r="J1725" t="n">
        <v>27446315</v>
      </c>
    </row>
    <row r="1726" ht="15.75" customHeight="1" s="201">
      <c r="A1726" s="1" t="inlineStr">
        <is>
          <t>Bratwurst, pork, beef and turkey, lite, smoked</t>
        </is>
      </c>
      <c r="C1726" s="1" t="n">
        <v>1.62</v>
      </c>
      <c r="D1726" s="1" t="n">
        <v>5</v>
      </c>
      <c r="E1726" s="1" t="n">
        <v>0.9399999999999999</v>
      </c>
      <c r="F1726" s="1" t="n">
        <v>14.45</v>
      </c>
      <c r="G1726" s="1" t="n">
        <v>13.53</v>
      </c>
      <c r="H1726" s="1" t="n">
        <v>1</v>
      </c>
      <c r="I1726" s="1" t="n">
        <v>2.68</v>
      </c>
      <c r="J1726" t="n">
        <v>28110510</v>
      </c>
    </row>
    <row r="1727" ht="15.75" customHeight="1" s="201">
      <c r="A1727" s="1" t="inlineStr">
        <is>
          <t>Bratwurst, pork, beef, link</t>
        </is>
      </c>
      <c r="C1727" s="1" t="n">
        <v>2.98</v>
      </c>
      <c r="D1727" s="1" t="n">
        <v>5</v>
      </c>
      <c r="E1727" s="1" t="n">
        <v>1.03</v>
      </c>
      <c r="F1727" s="1" t="n">
        <v>14.3</v>
      </c>
      <c r="G1727" s="1" t="n">
        <v>27.8</v>
      </c>
      <c r="H1727" s="1" t="n">
        <v>0</v>
      </c>
      <c r="I1727" s="1" t="n">
        <v>2.1</v>
      </c>
      <c r="J1727" t="n">
        <v>28110510</v>
      </c>
    </row>
    <row r="1728" ht="15.75" customHeight="1" s="201">
      <c r="A1728" s="1" t="inlineStr">
        <is>
          <t>Bratwurst, pork, cooked</t>
        </is>
      </c>
      <c r="C1728" s="1" t="n">
        <v>2.85</v>
      </c>
      <c r="D1728" s="1" t="n">
        <v>3</v>
      </c>
      <c r="E1728" s="1" t="n">
        <v>0.53</v>
      </c>
      <c r="F1728" s="1" t="n">
        <v>13.72</v>
      </c>
      <c r="G1728" s="1" t="n">
        <v>29.18</v>
      </c>
      <c r="H1728" s="1" t="n">
        <v>6</v>
      </c>
      <c r="I1728" s="1" t="n">
        <v>3.25</v>
      </c>
      <c r="J1728" t="n">
        <v>22706010</v>
      </c>
    </row>
    <row r="1729" ht="15.75" customHeight="1" s="201">
      <c r="A1729" s="1" t="inlineStr">
        <is>
          <t>Bratwurst, veal, cooked</t>
        </is>
      </c>
      <c r="C1729" s="1" t="n">
        <v>0</v>
      </c>
      <c r="D1729" s="1" t="n">
        <v>9</v>
      </c>
      <c r="E1729" s="1" t="n">
        <v>0.74</v>
      </c>
      <c r="F1729" s="1" t="n">
        <v>13.99</v>
      </c>
      <c r="G1729" s="1" t="n">
        <v>31.7</v>
      </c>
      <c r="H1729" s="1" t="n">
        <v>0</v>
      </c>
      <c r="I1729" s="1" t="n">
        <v>2.05</v>
      </c>
      <c r="J1729" t="n">
        <v>23220030</v>
      </c>
    </row>
    <row r="1730" ht="15.75" customHeight="1" s="201">
      <c r="A1730" s="1" t="inlineStr">
        <is>
          <t>Braunschweiger (a liver sausage), pork</t>
        </is>
      </c>
      <c r="C1730" s="1" t="n">
        <v>3.1</v>
      </c>
      <c r="D1730" s="1" t="n">
        <v>44</v>
      </c>
      <c r="E1730" s="1" t="n">
        <v>11.2</v>
      </c>
      <c r="F1730" s="1" t="n">
        <v>14.5</v>
      </c>
      <c r="G1730" s="1" t="n">
        <v>28.5</v>
      </c>
      <c r="H1730" s="1" t="n">
        <v>14051</v>
      </c>
      <c r="I1730" s="1" t="n">
        <v>2.81</v>
      </c>
      <c r="J1730" t="n">
        <v>25230560</v>
      </c>
    </row>
    <row r="1731" ht="15.75" customHeight="1" s="201">
      <c r="A1731" s="1" t="inlineStr">
        <is>
          <t>Bread, blue corn, somiviki (Hopi)</t>
        </is>
      </c>
      <c r="C1731" s="1" t="n">
        <v>39.84</v>
      </c>
      <c r="E1731" s="1" t="n">
        <v>1.58</v>
      </c>
      <c r="F1731" s="1" t="n">
        <v>3.1</v>
      </c>
      <c r="G1731" s="1" t="n">
        <v>1.53</v>
      </c>
      <c r="H1731" s="1" t="n">
        <v>5</v>
      </c>
      <c r="I1731" s="1" t="n">
        <v>0.82</v>
      </c>
      <c r="J1731" t="n">
        <v>52405010</v>
      </c>
    </row>
    <row r="1732" ht="15.75" customHeight="1" s="201">
      <c r="A1732" s="1" t="inlineStr">
        <is>
          <t>Bread, chapati or roti, plain, commercially prepared</t>
        </is>
      </c>
      <c r="C1732" s="1" t="n">
        <v>46.36</v>
      </c>
      <c r="D1732" s="1" t="n">
        <v>61</v>
      </c>
      <c r="E1732" s="1" t="n">
        <v>3.01</v>
      </c>
      <c r="F1732" s="1" t="n">
        <v>11.25</v>
      </c>
      <c r="G1732" s="1" t="n">
        <v>7.45</v>
      </c>
      <c r="I1732" s="1" t="n">
        <v>1.57</v>
      </c>
      <c r="J1732" t="n">
        <v>52405010</v>
      </c>
    </row>
    <row r="1733" ht="15.75" customHeight="1" s="201">
      <c r="A1733" s="1" t="inlineStr">
        <is>
          <t>Bread, chapati or roti, whole wheat, commercially prepared, frozen</t>
        </is>
      </c>
      <c r="C1733" s="1" t="n">
        <v>46.13</v>
      </c>
      <c r="D1733" s="1" t="n">
        <v>45</v>
      </c>
      <c r="E1733" s="1" t="n">
        <v>2.2</v>
      </c>
      <c r="F1733" s="1" t="n">
        <v>7.85</v>
      </c>
      <c r="G1733" s="1" t="n">
        <v>9.199999999999999</v>
      </c>
      <c r="H1733" s="1" t="n">
        <v>0</v>
      </c>
      <c r="I1733" s="1" t="n">
        <v>1.54</v>
      </c>
      <c r="J1733" t="n">
        <v>54204030</v>
      </c>
    </row>
    <row r="1734" ht="15.75" customHeight="1" s="201">
      <c r="A1734" s="1" t="inlineStr">
        <is>
          <t>Bread, cheese</t>
        </is>
      </c>
      <c r="C1734" s="1" t="n">
        <v>44.83</v>
      </c>
      <c r="D1734" s="1" t="n">
        <v>107</v>
      </c>
      <c r="E1734" s="1" t="n">
        <v>2.49</v>
      </c>
      <c r="F1734" s="1" t="n">
        <v>10.42</v>
      </c>
      <c r="G1734" s="1" t="n">
        <v>20.83</v>
      </c>
      <c r="H1734" s="1" t="n">
        <v>93</v>
      </c>
      <c r="I1734" s="1" t="n">
        <v>0.96</v>
      </c>
      <c r="J1734" t="n">
        <v>51121065</v>
      </c>
    </row>
    <row r="1735" ht="15.75" customHeight="1" s="201">
      <c r="A1735" s="1" t="inlineStr">
        <is>
          <t>Bread, cinnamon</t>
        </is>
      </c>
      <c r="C1735" s="1" t="n">
        <v>44.38</v>
      </c>
      <c r="D1735" s="1" t="n">
        <v>56</v>
      </c>
      <c r="E1735" s="1" t="n">
        <v>2.54</v>
      </c>
      <c r="F1735" s="1" t="n">
        <v>7.05</v>
      </c>
      <c r="G1735" s="1" t="n">
        <v>5.29</v>
      </c>
      <c r="H1735" s="1" t="n">
        <v>4</v>
      </c>
      <c r="I1735" s="1" t="n">
        <v>0.49</v>
      </c>
      <c r="J1735" t="n">
        <v>52405010</v>
      </c>
    </row>
    <row r="1736" ht="15.75" customHeight="1" s="201">
      <c r="A1736" s="1" t="inlineStr">
        <is>
          <t>Bread, cornbread, dry mix, unenriched (includes corn muffin mix)</t>
        </is>
      </c>
      <c r="C1736" s="1" t="n">
        <v>69.5</v>
      </c>
      <c r="D1736" s="1" t="n">
        <v>11</v>
      </c>
      <c r="E1736" s="1" t="n">
        <v>0.59</v>
      </c>
      <c r="F1736" s="1" t="n">
        <v>7</v>
      </c>
      <c r="G1736" s="1" t="n">
        <v>12.2</v>
      </c>
      <c r="H1736" s="1" t="n">
        <v>115</v>
      </c>
      <c r="I1736" s="1" t="n">
        <v>0.57</v>
      </c>
      <c r="J1736" t="n">
        <v>52405010</v>
      </c>
    </row>
    <row r="1737" ht="15.75" customHeight="1" s="201">
      <c r="A1737" s="1" t="inlineStr">
        <is>
          <t>Bread, cracked-wheat</t>
        </is>
      </c>
      <c r="C1737" s="1" t="n">
        <v>49.5</v>
      </c>
      <c r="D1737" s="1" t="n">
        <v>61</v>
      </c>
      <c r="E1737" s="1" t="n">
        <v>2.81</v>
      </c>
      <c r="F1737" s="1" t="n">
        <v>8.699999999999999</v>
      </c>
      <c r="G1737" s="1" t="n">
        <v>3.9</v>
      </c>
      <c r="H1737" s="1" t="n">
        <v>0</v>
      </c>
      <c r="I1737" s="1" t="n">
        <v>1.24</v>
      </c>
      <c r="J1737" t="n">
        <v>51301010</v>
      </c>
    </row>
    <row r="1738" ht="15.75" customHeight="1" s="201">
      <c r="A1738" s="1" t="inlineStr">
        <is>
          <t>Bread, crumbs, dry, grated, seasoned</t>
        </is>
      </c>
      <c r="C1738" s="1" t="n">
        <v>68.48999999999999</v>
      </c>
      <c r="D1738" s="1" t="n">
        <v>119</v>
      </c>
      <c r="E1738" s="1" t="n">
        <v>4.92</v>
      </c>
      <c r="F1738" s="1" t="n">
        <v>14.13</v>
      </c>
      <c r="G1738" s="1" t="n">
        <v>5.48</v>
      </c>
      <c r="H1738" s="1" t="n">
        <v>193</v>
      </c>
      <c r="I1738" s="1" t="n">
        <v>1.43</v>
      </c>
      <c r="J1738" t="n">
        <v>52405010</v>
      </c>
    </row>
    <row r="1739" ht="15.75" customHeight="1" s="201">
      <c r="A1739" s="1" t="inlineStr">
        <is>
          <t>Bread, egg</t>
        </is>
      </c>
      <c r="C1739" s="1" t="n">
        <v>47.8</v>
      </c>
      <c r="D1739" s="1" t="n">
        <v>105</v>
      </c>
      <c r="E1739" s="1" t="n">
        <v>3.04</v>
      </c>
      <c r="F1739" s="1" t="n">
        <v>9.5</v>
      </c>
      <c r="G1739" s="1" t="n">
        <v>6</v>
      </c>
      <c r="H1739" s="1" t="n">
        <v>211</v>
      </c>
      <c r="I1739" s="1" t="n">
        <v>0.79</v>
      </c>
      <c r="J1739" t="n">
        <v>52405010</v>
      </c>
    </row>
    <row r="1740" ht="15.75" customHeight="1" s="201">
      <c r="A1740" s="1" t="inlineStr">
        <is>
          <t>Bread, egg, toasted</t>
        </is>
      </c>
      <c r="C1740" s="1" t="n">
        <v>52.6</v>
      </c>
      <c r="D1740" s="1" t="n">
        <v>98</v>
      </c>
      <c r="E1740" s="1" t="n">
        <v>3.34</v>
      </c>
      <c r="F1740" s="1" t="n">
        <v>10.5</v>
      </c>
      <c r="G1740" s="1" t="n">
        <v>6.6</v>
      </c>
      <c r="H1740" s="1" t="n">
        <v>231</v>
      </c>
      <c r="I1740" s="1" t="n">
        <v>0.86</v>
      </c>
      <c r="J1740" t="n">
        <v>52405010</v>
      </c>
    </row>
    <row r="1741" ht="15.75" customHeight="1" s="201">
      <c r="A1741" s="1" t="inlineStr">
        <is>
          <t>Bread, french or vienna (includes sourdough)</t>
        </is>
      </c>
      <c r="C1741" s="1" t="n">
        <v>51.88</v>
      </c>
      <c r="D1741" s="1" t="n">
        <v>123</v>
      </c>
      <c r="E1741" s="1" t="n">
        <v>3.91</v>
      </c>
      <c r="F1741" s="1" t="n">
        <v>10.75</v>
      </c>
      <c r="G1741" s="1" t="n">
        <v>2.42</v>
      </c>
      <c r="H1741" s="1" t="n">
        <v>1</v>
      </c>
      <c r="I1741" s="1" t="n">
        <v>1.04</v>
      </c>
      <c r="J1741" t="n">
        <v>52405010</v>
      </c>
    </row>
    <row r="1742" ht="15.75" customHeight="1" s="201">
      <c r="A1742" s="1" t="inlineStr">
        <is>
          <t>Bread, french or vienna, whole wheat</t>
        </is>
      </c>
      <c r="C1742" s="1" t="n">
        <v>49.1</v>
      </c>
      <c r="D1742" s="1" t="n">
        <v>96</v>
      </c>
      <c r="E1742" s="1" t="n">
        <v>0.75</v>
      </c>
      <c r="F1742" s="1" t="n">
        <v>8.33</v>
      </c>
      <c r="G1742" s="1" t="n">
        <v>1.04</v>
      </c>
      <c r="H1742" s="1" t="n">
        <v>3</v>
      </c>
      <c r="I1742" s="1" t="n">
        <v>1.16</v>
      </c>
      <c r="J1742" t="n">
        <v>54204030</v>
      </c>
    </row>
    <row r="1743" ht="15.75" customHeight="1" s="201">
      <c r="A1743" s="1" t="inlineStr">
        <is>
          <t>Bread, gluten-free, white, made with potato extract, rice starch, and rice flour</t>
        </is>
      </c>
      <c r="C1743" s="1" t="n">
        <v>52.83</v>
      </c>
      <c r="E1743" s="1" t="n">
        <v>0.76</v>
      </c>
      <c r="F1743" s="1" t="n">
        <v>3.13</v>
      </c>
      <c r="G1743" s="1" t="n">
        <v>10.7</v>
      </c>
      <c r="I1743" s="1" t="n">
        <v>0.26</v>
      </c>
      <c r="J1743" t="n">
        <v>54318500</v>
      </c>
    </row>
    <row r="1744" ht="15.75" customHeight="1" s="201">
      <c r="A1744" s="1" t="inlineStr">
        <is>
          <t>Bread, gluten-free, white, made with rice flour, corn starch, and/or tapioca</t>
        </is>
      </c>
      <c r="C1744" s="1" t="n">
        <v>45.78</v>
      </c>
      <c r="D1744" s="1" t="n">
        <v>36</v>
      </c>
      <c r="E1744" s="1" t="n">
        <v>2.63</v>
      </c>
      <c r="F1744" s="1" t="n">
        <v>4.31</v>
      </c>
      <c r="G1744" s="1" t="n">
        <v>5.24</v>
      </c>
      <c r="H1744" s="1" t="n">
        <v>0</v>
      </c>
      <c r="I1744" s="1" t="n">
        <v>0.48</v>
      </c>
      <c r="J1744" t="n">
        <v>58148118</v>
      </c>
    </row>
    <row r="1745" ht="15.75" customHeight="1" s="201">
      <c r="A1745" s="1" t="inlineStr">
        <is>
          <t>Bread, gluten-free, white, made with tapioca starch and brown rice flour</t>
        </is>
      </c>
      <c r="C1745" s="1" t="n">
        <v>51.15</v>
      </c>
      <c r="D1745" s="1" t="n">
        <v>19</v>
      </c>
      <c r="E1745" s="1" t="n">
        <v>0.53</v>
      </c>
      <c r="F1745" s="1" t="n">
        <v>5.4</v>
      </c>
      <c r="G1745" s="1" t="n">
        <v>8.02</v>
      </c>
      <c r="I1745" s="1" t="n">
        <v>0.51</v>
      </c>
      <c r="J1745" t="n">
        <v>58148118</v>
      </c>
    </row>
    <row r="1746" ht="15.75" customHeight="1" s="201">
      <c r="A1746" s="1" t="inlineStr">
        <is>
          <t>Bread, gluten-free, whole grain, made with tapioca starch and brown rice flour</t>
        </is>
      </c>
      <c r="C1746" s="1" t="n">
        <v>49.09</v>
      </c>
      <c r="E1746" s="1" t="n">
        <v>0.76</v>
      </c>
      <c r="F1746" s="1" t="n">
        <v>7.25</v>
      </c>
      <c r="G1746" s="1" t="n">
        <v>9.34</v>
      </c>
      <c r="I1746" s="1" t="n">
        <v>0.58</v>
      </c>
      <c r="J1746" t="n">
        <v>58148118</v>
      </c>
    </row>
    <row r="1747" ht="15.75" customHeight="1" s="201">
      <c r="A1747" s="1" t="inlineStr">
        <is>
          <t>Bread, kneel down (Navajo)</t>
        </is>
      </c>
      <c r="C1747" s="1" t="n">
        <v>39.47</v>
      </c>
      <c r="D1747" s="1" t="n">
        <v>98</v>
      </c>
      <c r="E1747" s="1" t="n">
        <v>1.11</v>
      </c>
      <c r="F1747" s="1" t="n">
        <v>4.29</v>
      </c>
      <c r="G1747" s="1" t="n">
        <v>2.21</v>
      </c>
      <c r="I1747" s="1" t="n">
        <v>1.46</v>
      </c>
      <c r="J1747" t="n">
        <v>52405010</v>
      </c>
    </row>
    <row r="1748" ht="15.75" customHeight="1" s="201">
      <c r="A1748" s="1" t="inlineStr">
        <is>
          <t>Bread, multi-grain (includes whole-grain)</t>
        </is>
      </c>
      <c r="C1748" s="1" t="n">
        <v>43.34</v>
      </c>
      <c r="D1748" s="1" t="n">
        <v>75</v>
      </c>
      <c r="E1748" s="1" t="n">
        <v>2.5</v>
      </c>
      <c r="F1748" s="1" t="n">
        <v>13.36</v>
      </c>
      <c r="G1748" s="1" t="n">
        <v>4.23</v>
      </c>
      <c r="H1748" s="1" t="n">
        <v>0</v>
      </c>
      <c r="I1748" s="1" t="n">
        <v>1.7</v>
      </c>
      <c r="J1748" t="n">
        <v>54204030</v>
      </c>
    </row>
    <row r="1749" ht="15.75" customHeight="1" s="201">
      <c r="A1749" s="1" t="inlineStr">
        <is>
          <t>Bread, naan, plain, commercially prepared, refrigerated</t>
        </is>
      </c>
      <c r="C1749" s="1" t="n">
        <v>50.43</v>
      </c>
      <c r="D1749" s="1" t="n">
        <v>102</v>
      </c>
      <c r="E1749" s="1" t="n">
        <v>3.25</v>
      </c>
      <c r="F1749" s="1" t="n">
        <v>9.619999999999999</v>
      </c>
      <c r="G1749" s="1" t="n">
        <v>5.65</v>
      </c>
      <c r="I1749" s="1" t="n">
        <v>0.8100000000000001</v>
      </c>
      <c r="J1749" t="n">
        <v>52405010</v>
      </c>
    </row>
    <row r="1750" ht="15.75" customHeight="1" s="201">
      <c r="A1750" s="1" t="inlineStr">
        <is>
          <t>Bread, naan, whole wheat, commercially prepared, refrigerated</t>
        </is>
      </c>
      <c r="C1750" s="1" t="n">
        <v>46.21</v>
      </c>
      <c r="D1750" s="1" t="n">
        <v>16</v>
      </c>
      <c r="E1750" s="1" t="n">
        <v>1.73</v>
      </c>
      <c r="F1750" s="1" t="n">
        <v>10.2</v>
      </c>
      <c r="G1750" s="1" t="n">
        <v>6.7</v>
      </c>
      <c r="H1750" s="1" t="n">
        <v>6</v>
      </c>
      <c r="I1750" s="1" t="n">
        <v>1.24</v>
      </c>
      <c r="J1750" t="n">
        <v>54204030</v>
      </c>
    </row>
    <row r="1751" ht="15.75" customHeight="1" s="201">
      <c r="A1751" s="1" t="inlineStr">
        <is>
          <t>Bread, oat bran</t>
        </is>
      </c>
      <c r="C1751" s="1" t="n">
        <v>39.8</v>
      </c>
      <c r="D1751" s="1" t="n">
        <v>81</v>
      </c>
      <c r="E1751" s="1" t="n">
        <v>3.12</v>
      </c>
      <c r="F1751" s="1" t="n">
        <v>10.4</v>
      </c>
      <c r="G1751" s="1" t="n">
        <v>4.4</v>
      </c>
      <c r="H1751" s="1" t="n">
        <v>5</v>
      </c>
      <c r="I1751" s="1" t="n">
        <v>0.89</v>
      </c>
      <c r="J1751" t="n">
        <v>52405010</v>
      </c>
    </row>
    <row r="1752" ht="15.75" customHeight="1" s="201">
      <c r="A1752" s="1" t="inlineStr">
        <is>
          <t>Bread, oat bran, toasted</t>
        </is>
      </c>
      <c r="C1752" s="1" t="n">
        <v>43.7</v>
      </c>
      <c r="D1752" s="1" t="n">
        <v>69</v>
      </c>
      <c r="E1752" s="1" t="n">
        <v>3.43</v>
      </c>
      <c r="F1752" s="1" t="n">
        <v>11.4</v>
      </c>
      <c r="G1752" s="1" t="n">
        <v>4.8</v>
      </c>
      <c r="H1752" s="1" t="n">
        <v>5</v>
      </c>
      <c r="I1752" s="1" t="n">
        <v>1.05</v>
      </c>
      <c r="J1752" t="n">
        <v>51301020</v>
      </c>
    </row>
    <row r="1753" ht="15.75" customHeight="1" s="201">
      <c r="A1753" s="1" t="inlineStr">
        <is>
          <t>Bread, oatmeal</t>
        </is>
      </c>
      <c r="C1753" s="1" t="n">
        <v>48.5</v>
      </c>
      <c r="D1753" s="1" t="n">
        <v>62</v>
      </c>
      <c r="E1753" s="1" t="n">
        <v>2.7</v>
      </c>
      <c r="F1753" s="1" t="n">
        <v>8.4</v>
      </c>
      <c r="G1753" s="1" t="n">
        <v>4.4</v>
      </c>
      <c r="H1753" s="1" t="n">
        <v>16</v>
      </c>
      <c r="I1753" s="1" t="n">
        <v>1.02</v>
      </c>
      <c r="J1753" t="n">
        <v>52405010</v>
      </c>
    </row>
    <row r="1754" ht="15.75" customHeight="1" s="201">
      <c r="A1754" s="1" t="inlineStr">
        <is>
          <t>Bread, oatmeal, toasted</t>
        </is>
      </c>
      <c r="C1754" s="1" t="n">
        <v>52.7</v>
      </c>
      <c r="D1754" s="1" t="n">
        <v>53</v>
      </c>
      <c r="E1754" s="1" t="n">
        <v>2.94</v>
      </c>
      <c r="F1754" s="1" t="n">
        <v>9.199999999999999</v>
      </c>
      <c r="G1754" s="1" t="n">
        <v>4.8</v>
      </c>
      <c r="H1754" s="1" t="n">
        <v>15</v>
      </c>
      <c r="I1754" s="1" t="n">
        <v>1.11</v>
      </c>
      <c r="J1754" t="n">
        <v>52405010</v>
      </c>
    </row>
    <row r="1755" ht="15.75" customHeight="1" s="201">
      <c r="A1755" s="1" t="inlineStr">
        <is>
          <t>Bread, pan dulce, sweet yeast bread</t>
        </is>
      </c>
      <c r="C1755" s="1" t="n">
        <v>56.38</v>
      </c>
      <c r="D1755" s="1" t="n">
        <v>108</v>
      </c>
      <c r="E1755" s="1" t="n">
        <v>2.87</v>
      </c>
      <c r="F1755" s="1" t="n">
        <v>9.42</v>
      </c>
      <c r="G1755" s="1" t="n">
        <v>11.58</v>
      </c>
      <c r="H1755" s="1" t="n">
        <v>23</v>
      </c>
      <c r="I1755" s="1" t="n">
        <v>0.84</v>
      </c>
      <c r="J1755" t="n">
        <v>52405010</v>
      </c>
    </row>
    <row r="1756" ht="15.75" customHeight="1" s="201">
      <c r="A1756" s="1" t="inlineStr">
        <is>
          <t>Bread, paratha, whole wheat, commercially prepared, frozen</t>
        </is>
      </c>
      <c r="C1756" s="1" t="n">
        <v>45.35</v>
      </c>
      <c r="D1756" s="1" t="n">
        <v>10</v>
      </c>
      <c r="E1756" s="1" t="n">
        <v>1.61</v>
      </c>
      <c r="F1756" s="1" t="n">
        <v>6.36</v>
      </c>
      <c r="G1756" s="1" t="n">
        <v>13.2</v>
      </c>
      <c r="H1756" s="1" t="n">
        <v>6</v>
      </c>
      <c r="I1756" s="1" t="n">
        <v>0.82</v>
      </c>
      <c r="J1756" t="n">
        <v>54204030</v>
      </c>
    </row>
    <row r="1757" ht="15.75" customHeight="1" s="201">
      <c r="A1757" s="1" t="inlineStr">
        <is>
          <t>Bread, pita, white, unenriched</t>
        </is>
      </c>
      <c r="C1757" s="1" t="n">
        <v>55.7</v>
      </c>
      <c r="D1757" s="1" t="n">
        <v>24</v>
      </c>
      <c r="E1757" s="1" t="n">
        <v>1.4</v>
      </c>
      <c r="F1757" s="1" t="n">
        <v>9.1</v>
      </c>
      <c r="G1757" s="1" t="n">
        <v>1.2</v>
      </c>
      <c r="H1757" s="1" t="n">
        <v>0</v>
      </c>
      <c r="I1757" s="1" t="n">
        <v>0.84</v>
      </c>
      <c r="J1757" t="n">
        <v>52405010</v>
      </c>
    </row>
    <row r="1758" ht="15.75" customHeight="1" s="201">
      <c r="A1758" s="1" t="inlineStr">
        <is>
          <t>Bread, potato</t>
        </is>
      </c>
      <c r="C1758" s="1" t="n">
        <v>47.07</v>
      </c>
      <c r="D1758" s="1" t="n">
        <v>126</v>
      </c>
      <c r="E1758" s="1" t="n">
        <v>2.25</v>
      </c>
      <c r="F1758" s="1" t="n">
        <v>12.5</v>
      </c>
      <c r="G1758" s="1" t="n">
        <v>3.13</v>
      </c>
      <c r="H1758" s="1" t="n">
        <v>89</v>
      </c>
      <c r="I1758" s="1" t="n">
        <v>1.44</v>
      </c>
      <c r="J1758" t="n">
        <v>52405010</v>
      </c>
    </row>
    <row r="1759" ht="15.75" customHeight="1" s="201">
      <c r="A1759" s="1" t="inlineStr">
        <is>
          <t>Bread, pound cake type, pan de torta salvadoran</t>
        </is>
      </c>
      <c r="C1759" s="1" t="n">
        <v>51.29</v>
      </c>
      <c r="E1759" s="1" t="n">
        <v>2.2</v>
      </c>
      <c r="F1759" s="1" t="n">
        <v>7.06</v>
      </c>
      <c r="G1759" s="1" t="n">
        <v>17.45</v>
      </c>
      <c r="I1759" s="1" t="n">
        <v>0.62</v>
      </c>
      <c r="J1759" t="n">
        <v>53116000</v>
      </c>
    </row>
    <row r="1760" ht="15.75" customHeight="1" s="201">
      <c r="A1760" s="1" t="inlineStr">
        <is>
          <t>Bread, protein, (includes gluten), toasted</t>
        </is>
      </c>
      <c r="C1760" s="1" t="n">
        <v>48.1</v>
      </c>
      <c r="D1760" s="1" t="n">
        <v>99</v>
      </c>
      <c r="E1760" s="1" t="n">
        <v>4.56</v>
      </c>
      <c r="F1760" s="1" t="n">
        <v>13.2</v>
      </c>
      <c r="G1760" s="1" t="n">
        <v>2.4</v>
      </c>
      <c r="H1760" s="1" t="n">
        <v>5</v>
      </c>
      <c r="I1760" s="1" t="n">
        <v>1.17</v>
      </c>
      <c r="J1760" t="n">
        <v>52405010</v>
      </c>
    </row>
    <row r="1761" ht="15.75" customHeight="1" s="201">
      <c r="A1761" s="1" t="inlineStr">
        <is>
          <t>Bread, raisin, enriched</t>
        </is>
      </c>
      <c r="C1761" s="1" t="n">
        <v>52.3</v>
      </c>
      <c r="D1761" s="1" t="n">
        <v>106</v>
      </c>
      <c r="E1761" s="1" t="n">
        <v>2.9</v>
      </c>
      <c r="F1761" s="1" t="n">
        <v>7.9</v>
      </c>
      <c r="G1761" s="1" t="n">
        <v>4.4</v>
      </c>
      <c r="H1761" s="1" t="n">
        <v>0</v>
      </c>
      <c r="I1761" s="1" t="n">
        <v>0.72</v>
      </c>
      <c r="J1761" t="n">
        <v>52405010</v>
      </c>
    </row>
    <row r="1762" ht="15.75" customHeight="1" s="201">
      <c r="A1762" s="1" t="inlineStr">
        <is>
          <t>Bread, raisin, enriched, toasted</t>
        </is>
      </c>
      <c r="C1762" s="1" t="n">
        <v>56.9</v>
      </c>
      <c r="D1762" s="1" t="n">
        <v>98</v>
      </c>
      <c r="E1762" s="1" t="n">
        <v>3.15</v>
      </c>
      <c r="F1762" s="1" t="n">
        <v>8.6</v>
      </c>
      <c r="G1762" s="1" t="n">
        <v>4.8</v>
      </c>
      <c r="H1762" s="1" t="n">
        <v>0</v>
      </c>
      <c r="I1762" s="1" t="n">
        <v>0.78</v>
      </c>
      <c r="J1762" t="n">
        <v>52405010</v>
      </c>
    </row>
    <row r="1763" ht="15.75" customHeight="1" s="201">
      <c r="A1763" s="1" t="inlineStr">
        <is>
          <t>Bread, raisin, unenriched</t>
        </is>
      </c>
      <c r="C1763" s="1" t="n">
        <v>52.3</v>
      </c>
      <c r="D1763" s="1" t="n">
        <v>34</v>
      </c>
      <c r="E1763" s="1" t="n">
        <v>1.83</v>
      </c>
      <c r="F1763" s="1" t="n">
        <v>7.9</v>
      </c>
      <c r="G1763" s="1" t="n">
        <v>4.4</v>
      </c>
      <c r="H1763" s="1" t="n">
        <v>0</v>
      </c>
      <c r="I1763" s="1" t="n">
        <v>0.72</v>
      </c>
      <c r="J1763" t="n">
        <v>52405010</v>
      </c>
    </row>
    <row r="1764" ht="15.75" customHeight="1" s="201">
      <c r="A1764" s="1" t="inlineStr">
        <is>
          <t>Bread, reduced-calorie, oat bran</t>
        </is>
      </c>
      <c r="C1764" s="1" t="n">
        <v>41.3</v>
      </c>
      <c r="D1764" s="1" t="n">
        <v>81</v>
      </c>
      <c r="E1764" s="1" t="n">
        <v>3.15</v>
      </c>
      <c r="F1764" s="1" t="n">
        <v>8</v>
      </c>
      <c r="G1764" s="1" t="n">
        <v>3.2</v>
      </c>
      <c r="H1764" s="1" t="n">
        <v>2</v>
      </c>
      <c r="I1764" s="1" t="n">
        <v>1.05</v>
      </c>
      <c r="J1764" t="n">
        <v>53109200</v>
      </c>
    </row>
    <row r="1765" ht="15.75" customHeight="1" s="201">
      <c r="A1765" s="1" t="inlineStr">
        <is>
          <t>Bread, reduced-calorie, oat bran, toasted</t>
        </is>
      </c>
      <c r="C1765" s="1" t="n">
        <v>49.2</v>
      </c>
      <c r="D1765" s="1" t="n">
        <v>82</v>
      </c>
      <c r="E1765" s="1" t="n">
        <v>3.75</v>
      </c>
      <c r="F1765" s="1" t="n">
        <v>9.5</v>
      </c>
      <c r="G1765" s="1" t="n">
        <v>3.8</v>
      </c>
      <c r="H1765" s="1" t="n">
        <v>1</v>
      </c>
      <c r="I1765" s="1" t="n">
        <v>1.19</v>
      </c>
      <c r="J1765" t="n">
        <v>53109200</v>
      </c>
    </row>
    <row r="1766" ht="15.75" customHeight="1" s="201">
      <c r="A1766" s="1" t="inlineStr">
        <is>
          <t>Bread, roll, Mexican, bollilo</t>
        </is>
      </c>
      <c r="C1766" s="1" t="n">
        <v>55.77</v>
      </c>
      <c r="D1766" s="1" t="n">
        <v>127</v>
      </c>
      <c r="E1766" s="1" t="n">
        <v>3.9</v>
      </c>
      <c r="F1766" s="1" t="n">
        <v>10.65</v>
      </c>
      <c r="G1766" s="1" t="n">
        <v>5.8</v>
      </c>
      <c r="H1766" s="1" t="n">
        <v>5</v>
      </c>
      <c r="I1766" s="1" t="n">
        <v>0.88</v>
      </c>
      <c r="J1766" t="n">
        <v>51150000</v>
      </c>
    </row>
    <row r="1767" ht="15.75" customHeight="1" s="201">
      <c r="A1767" s="1" t="inlineStr">
        <is>
          <t>Bread, rye</t>
        </is>
      </c>
      <c r="C1767" s="1" t="n">
        <v>48.3</v>
      </c>
      <c r="D1767" s="1" t="n">
        <v>110</v>
      </c>
      <c r="E1767" s="1" t="n">
        <v>2.83</v>
      </c>
      <c r="F1767" s="1" t="n">
        <v>8.5</v>
      </c>
      <c r="G1767" s="1" t="n">
        <v>3.3</v>
      </c>
      <c r="H1767" s="1" t="n">
        <v>7</v>
      </c>
      <c r="I1767" s="1" t="n">
        <v>1.14</v>
      </c>
      <c r="J1767" t="n">
        <v>52405010</v>
      </c>
    </row>
    <row r="1768" ht="15.75" customHeight="1" s="201">
      <c r="A1768" s="1" t="inlineStr">
        <is>
          <t>Bread, rye, toasted</t>
        </is>
      </c>
      <c r="C1768" s="1" t="n">
        <v>53.1</v>
      </c>
      <c r="D1768" s="1" t="n">
        <v>103</v>
      </c>
      <c r="E1768" s="1" t="n">
        <v>3.1</v>
      </c>
      <c r="F1768" s="1" t="n">
        <v>9.4</v>
      </c>
      <c r="G1768" s="1" t="n">
        <v>3.6</v>
      </c>
      <c r="H1768" s="1" t="n">
        <v>4</v>
      </c>
      <c r="I1768" s="1" t="n">
        <v>1.25</v>
      </c>
      <c r="J1768" t="n">
        <v>52405010</v>
      </c>
    </row>
    <row r="1769" ht="15.75" customHeight="1" s="201">
      <c r="A1769" s="1" t="inlineStr">
        <is>
          <t>Bread, salvadoran sweet cheese (quesadilla salvadorena)</t>
        </is>
      </c>
      <c r="C1769" s="1" t="n">
        <v>47.84</v>
      </c>
      <c r="D1769" s="1" t="n">
        <v>33</v>
      </c>
      <c r="E1769" s="1" t="n">
        <v>0.98</v>
      </c>
      <c r="F1769" s="1" t="n">
        <v>7.12</v>
      </c>
      <c r="G1769" s="1" t="n">
        <v>17.12</v>
      </c>
      <c r="H1769" s="1" t="n">
        <v>584</v>
      </c>
      <c r="I1769" s="1" t="n">
        <v>0.8</v>
      </c>
      <c r="J1769" t="n">
        <v>51121065</v>
      </c>
    </row>
    <row r="1770" ht="15.75" customHeight="1" s="201">
      <c r="A1770" s="1" t="inlineStr">
        <is>
          <t>Bread, stuffing, cornbread, dry mix</t>
        </is>
      </c>
      <c r="C1770" s="1" t="n">
        <v>76.7</v>
      </c>
      <c r="D1770" s="1" t="n">
        <v>175</v>
      </c>
      <c r="E1770" s="1" t="n">
        <v>3.25</v>
      </c>
      <c r="F1770" s="1" t="n">
        <v>10</v>
      </c>
      <c r="G1770" s="1" t="n">
        <v>4.2</v>
      </c>
      <c r="H1770" s="1" t="n">
        <v>157</v>
      </c>
      <c r="I1770" s="1" t="n">
        <v>0.75</v>
      </c>
      <c r="J1770" t="n">
        <v>52405010</v>
      </c>
    </row>
    <row r="1771" ht="15.75" customHeight="1" s="201">
      <c r="A1771" s="1" t="inlineStr">
        <is>
          <t>Bread, stuffing, cornbread, dry mix, prepared</t>
        </is>
      </c>
      <c r="C1771" s="1" t="n">
        <v>21.9</v>
      </c>
      <c r="D1771" s="1" t="n">
        <v>97</v>
      </c>
      <c r="E1771" s="1" t="n">
        <v>0.9399999999999999</v>
      </c>
      <c r="F1771" s="1" t="n">
        <v>2.9</v>
      </c>
      <c r="G1771" s="1" t="n">
        <v>8.800000000000001</v>
      </c>
      <c r="H1771" s="1" t="n">
        <v>340</v>
      </c>
      <c r="I1771" s="1" t="n">
        <v>0.23</v>
      </c>
      <c r="J1771" t="n">
        <v>52405010</v>
      </c>
    </row>
    <row r="1772" ht="15.75" customHeight="1" s="201">
      <c r="A1772" s="1" t="inlineStr">
        <is>
          <t>Bread, wheat</t>
        </is>
      </c>
      <c r="C1772" s="1" t="n">
        <v>47.54</v>
      </c>
      <c r="D1772" s="1" t="n">
        <v>85</v>
      </c>
      <c r="E1772" s="1" t="n">
        <v>3.6</v>
      </c>
      <c r="F1772" s="1" t="n">
        <v>10.67</v>
      </c>
      <c r="G1772" s="1" t="n">
        <v>4.53</v>
      </c>
      <c r="H1772" s="1" t="n">
        <v>2</v>
      </c>
      <c r="I1772" s="1" t="n">
        <v>1.04</v>
      </c>
      <c r="J1772" t="n">
        <v>51301010</v>
      </c>
    </row>
    <row r="1773" ht="15.75" customHeight="1" s="201">
      <c r="A1773" s="1" t="inlineStr">
        <is>
          <t>Bread, wheat, sprouted</t>
        </is>
      </c>
      <c r="C1773" s="1" t="n">
        <v>33.88</v>
      </c>
      <c r="D1773" s="1" t="n">
        <v>0</v>
      </c>
      <c r="E1773" s="1" t="n">
        <v>1.89</v>
      </c>
      <c r="F1773" s="1" t="n">
        <v>13.16</v>
      </c>
      <c r="G1773" s="1" t="n">
        <v>0</v>
      </c>
      <c r="H1773" s="1" t="n">
        <v>4</v>
      </c>
      <c r="I1773" s="1" t="n">
        <v>1.25</v>
      </c>
      <c r="J1773" t="n">
        <v>51301010</v>
      </c>
    </row>
    <row r="1774" ht="15.75" customHeight="1" s="201">
      <c r="A1774" s="1" t="inlineStr">
        <is>
          <t>Bread, wheat, sprouted, toasted</t>
        </is>
      </c>
      <c r="C1774" s="1" t="n">
        <v>36.82</v>
      </c>
      <c r="D1774" s="1" t="n">
        <v>0</v>
      </c>
      <c r="E1774" s="1" t="n">
        <v>2.06</v>
      </c>
      <c r="F1774" s="1" t="n">
        <v>14.3</v>
      </c>
      <c r="G1774" s="1" t="n">
        <v>0</v>
      </c>
      <c r="H1774" s="1" t="n">
        <v>5</v>
      </c>
      <c r="I1774" s="1" t="n">
        <v>1.36</v>
      </c>
      <c r="J1774" t="n">
        <v>51301020</v>
      </c>
    </row>
    <row r="1775" ht="15.75" customHeight="1" s="201">
      <c r="A1775" s="1" t="inlineStr">
        <is>
          <t>Bread, wheat, toasted</t>
        </is>
      </c>
      <c r="C1775" s="1" t="n">
        <v>55.77</v>
      </c>
      <c r="D1775" s="1" t="n">
        <v>86</v>
      </c>
      <c r="E1775" s="1" t="n">
        <v>4.09</v>
      </c>
      <c r="F1775" s="1" t="n">
        <v>12.96</v>
      </c>
      <c r="G1775" s="1" t="n">
        <v>4.27</v>
      </c>
      <c r="H1775" s="1" t="n">
        <v>0</v>
      </c>
      <c r="I1775" s="1" t="n">
        <v>1.47</v>
      </c>
      <c r="J1775" t="n">
        <v>51301020</v>
      </c>
    </row>
    <row r="1776" ht="15.75" customHeight="1" s="201">
      <c r="A1776" s="1" t="inlineStr">
        <is>
          <t>Bread, white wheat</t>
        </is>
      </c>
      <c r="C1776" s="1" t="n">
        <v>43.91</v>
      </c>
      <c r="D1776" s="1" t="n">
        <v>127</v>
      </c>
      <c r="E1776" s="1" t="n">
        <v>4.89</v>
      </c>
      <c r="F1776" s="1" t="n">
        <v>10.66</v>
      </c>
      <c r="G1776" s="1" t="n">
        <v>2.15</v>
      </c>
      <c r="H1776" s="1" t="n">
        <v>4</v>
      </c>
      <c r="I1776" s="1" t="n">
        <v>0.95</v>
      </c>
      <c r="J1776" t="n">
        <v>51301010</v>
      </c>
    </row>
    <row r="1777" ht="15.75" customHeight="1" s="201">
      <c r="A1777" s="1" t="inlineStr">
        <is>
          <t>Bread, white, commercially prepared, low sodium, no salt</t>
        </is>
      </c>
      <c r="C1777" s="1" t="n">
        <v>49.6</v>
      </c>
      <c r="D1777" s="1" t="n">
        <v>111</v>
      </c>
      <c r="E1777" s="1" t="n">
        <v>3.03</v>
      </c>
      <c r="F1777" s="1" t="n">
        <v>8.199999999999999</v>
      </c>
      <c r="G1777" s="1" t="n">
        <v>3.6</v>
      </c>
      <c r="H1777" s="1" t="n">
        <v>1</v>
      </c>
      <c r="I1777" s="1" t="n">
        <v>0.62</v>
      </c>
      <c r="J1777" t="n">
        <v>54204030</v>
      </c>
    </row>
    <row r="1778" ht="15.75" customHeight="1" s="201">
      <c r="A1778" s="1" t="inlineStr">
        <is>
          <t>Bread, white, commercially prepared, toasted, low sodium no salt</t>
        </is>
      </c>
      <c r="C1778" s="1" t="n">
        <v>54.4</v>
      </c>
      <c r="D1778" s="1" t="n">
        <v>95</v>
      </c>
      <c r="E1778" s="1" t="n">
        <v>3.33</v>
      </c>
      <c r="F1778" s="1" t="n">
        <v>9</v>
      </c>
      <c r="G1778" s="1" t="n">
        <v>4</v>
      </c>
      <c r="H1778" s="1" t="n">
        <v>0</v>
      </c>
      <c r="I1778" s="1" t="n">
        <v>0.68</v>
      </c>
      <c r="J1778" t="n">
        <v>54204030</v>
      </c>
    </row>
    <row r="1779" ht="15.75" customHeight="1" s="201">
      <c r="A1779" s="1" t="inlineStr">
        <is>
          <t>Bread, whole-wheat, commercially prepared</t>
        </is>
      </c>
      <c r="C1779" s="1" t="n">
        <v>42.71</v>
      </c>
      <c r="D1779" s="1" t="n">
        <v>42</v>
      </c>
      <c r="E1779" s="1" t="n">
        <v>2.47</v>
      </c>
      <c r="F1779" s="1" t="n">
        <v>12.45</v>
      </c>
      <c r="G1779" s="1" t="n">
        <v>3.5</v>
      </c>
      <c r="H1779" s="1" t="n">
        <v>3</v>
      </c>
      <c r="I1779" s="1" t="n">
        <v>1.77</v>
      </c>
      <c r="J1779" t="n">
        <v>54204030</v>
      </c>
    </row>
    <row r="1780" ht="15.75" customHeight="1" s="201">
      <c r="A1780" s="1" t="inlineStr">
        <is>
          <t>Bread, whole-wheat, commercially prepared, toasted</t>
        </is>
      </c>
      <c r="C1780" s="1" t="n">
        <v>51.16</v>
      </c>
      <c r="D1780" s="1" t="n">
        <v>52</v>
      </c>
      <c r="E1780" s="1" t="n">
        <v>2.96</v>
      </c>
      <c r="F1780" s="1" t="n">
        <v>16.27</v>
      </c>
      <c r="G1780" s="1" t="n">
        <v>4.07</v>
      </c>
      <c r="H1780" s="1" t="n">
        <v>4</v>
      </c>
      <c r="I1780" s="1" t="n">
        <v>2.15</v>
      </c>
      <c r="J1780" t="n">
        <v>54338000</v>
      </c>
    </row>
    <row r="1781" ht="15.75" customHeight="1" s="201">
      <c r="A1781" s="1" t="inlineStr">
        <is>
          <t>Bread, whole-wheat, prepared from recipe</t>
        </is>
      </c>
      <c r="C1781" s="1" t="n">
        <v>51.4</v>
      </c>
      <c r="D1781" s="1" t="n">
        <v>65</v>
      </c>
      <c r="E1781" s="1" t="n">
        <v>3.1</v>
      </c>
      <c r="F1781" s="1" t="n">
        <v>8.4</v>
      </c>
      <c r="G1781" s="1" t="n">
        <v>5.4</v>
      </c>
      <c r="H1781" s="1" t="n">
        <v>3</v>
      </c>
      <c r="I1781" s="1" t="n">
        <v>1.5</v>
      </c>
      <c r="J1781" t="n">
        <v>54204030</v>
      </c>
    </row>
    <row r="1782" ht="15.75" customHeight="1" s="201">
      <c r="A1782" s="1" t="inlineStr">
        <is>
          <t>Bread, whole-wheat, prepared from recipe, toasted</t>
        </is>
      </c>
      <c r="C1782" s="1" t="n">
        <v>56.4</v>
      </c>
      <c r="D1782" s="1" t="n">
        <v>67</v>
      </c>
      <c r="E1782" s="1" t="n">
        <v>3.4</v>
      </c>
      <c r="F1782" s="1" t="n">
        <v>9.199999999999999</v>
      </c>
      <c r="G1782" s="1" t="n">
        <v>5.9</v>
      </c>
      <c r="H1782" s="1" t="n">
        <v>4</v>
      </c>
      <c r="I1782" s="1" t="n">
        <v>1.65</v>
      </c>
      <c r="J1782" t="n">
        <v>54338000</v>
      </c>
    </row>
    <row r="1783" ht="15.75" customHeight="1" s="201">
      <c r="A1783" s="1" t="inlineStr">
        <is>
          <t>Breadfruit, raw</t>
        </is>
      </c>
      <c r="C1783" s="1" t="n">
        <v>27.12</v>
      </c>
      <c r="D1783" s="1" t="n">
        <v>14</v>
      </c>
      <c r="E1783" s="1" t="n">
        <v>0.54</v>
      </c>
      <c r="F1783" s="1" t="n">
        <v>1.07</v>
      </c>
      <c r="G1783" s="1" t="n">
        <v>0.23</v>
      </c>
      <c r="H1783" s="1" t="n">
        <v>0</v>
      </c>
      <c r="I1783" s="1" t="n">
        <v>0.12</v>
      </c>
    </row>
    <row r="1784" ht="15.75" customHeight="1" s="201">
      <c r="A1784" s="1" t="inlineStr">
        <is>
          <t>Breakfast bar, corn flake crust with fruit</t>
        </is>
      </c>
      <c r="C1784" s="1" t="n">
        <v>72.8</v>
      </c>
      <c r="D1784" s="1" t="n">
        <v>108</v>
      </c>
      <c r="E1784" s="1" t="n">
        <v>4.86</v>
      </c>
      <c r="F1784" s="1" t="n">
        <v>4.4</v>
      </c>
      <c r="G1784" s="1" t="n">
        <v>7.5</v>
      </c>
      <c r="H1784" s="1" t="n">
        <v>2027</v>
      </c>
      <c r="I1784" s="1" t="n">
        <v>4.1</v>
      </c>
      <c r="J1784" t="n">
        <v>91708030</v>
      </c>
    </row>
    <row r="1785" ht="15.75" customHeight="1" s="201">
      <c r="A1785" s="1" t="inlineStr">
        <is>
          <t>Breakfast bars, oats, sugar, raisins, coconut (include granola bar)</t>
        </is>
      </c>
      <c r="C1785" s="1" t="n">
        <v>66.7</v>
      </c>
      <c r="D1785" s="1" t="n">
        <v>81</v>
      </c>
      <c r="E1785" s="1" t="n">
        <v>3.18</v>
      </c>
      <c r="F1785" s="1" t="n">
        <v>9.800000000000001</v>
      </c>
      <c r="G1785" s="1" t="n">
        <v>17.6</v>
      </c>
      <c r="H1785" s="1" t="n">
        <v>152</v>
      </c>
      <c r="I1785" s="1" t="n">
        <v>1.6</v>
      </c>
      <c r="J1785" t="n">
        <v>53712100</v>
      </c>
    </row>
    <row r="1786" ht="15.75" customHeight="1" s="201">
      <c r="A1786" s="1" t="inlineStr">
        <is>
          <t>Broadbeans (fava beans), mature seeds, canned</t>
        </is>
      </c>
      <c r="C1786" s="1" t="n">
        <v>12.41</v>
      </c>
      <c r="D1786" s="1" t="n">
        <v>33</v>
      </c>
      <c r="E1786" s="1" t="n">
        <v>1</v>
      </c>
      <c r="F1786" s="1" t="n">
        <v>5.47</v>
      </c>
      <c r="G1786" s="1" t="n">
        <v>0.22</v>
      </c>
      <c r="H1786" s="1" t="n">
        <v>10</v>
      </c>
      <c r="I1786" s="1" t="n">
        <v>0.62</v>
      </c>
      <c r="J1786" t="n">
        <v>41202510</v>
      </c>
    </row>
    <row r="1787" ht="15.75" customHeight="1" s="201">
      <c r="A1787" s="1" t="inlineStr">
        <is>
          <t>Broadbeans (fava beans), mature seeds, cooked, boiled, with salt</t>
        </is>
      </c>
      <c r="C1787" s="1" t="n">
        <v>19.65</v>
      </c>
      <c r="D1787" s="1" t="n">
        <v>104</v>
      </c>
      <c r="E1787" s="1" t="n">
        <v>1.5</v>
      </c>
      <c r="F1787" s="1" t="n">
        <v>7.6</v>
      </c>
      <c r="G1787" s="1" t="n">
        <v>0.4</v>
      </c>
      <c r="H1787" s="1" t="n">
        <v>15</v>
      </c>
      <c r="I1787" s="1" t="n">
        <v>1.01</v>
      </c>
      <c r="J1787" t="n">
        <v>75142550</v>
      </c>
    </row>
    <row r="1788" ht="15.75" customHeight="1" s="201">
      <c r="A1788" s="1" t="inlineStr">
        <is>
          <t>Broadbeans (fava beans), mature seeds, cooked, boiled, without salt</t>
        </is>
      </c>
      <c r="C1788" s="1" t="n">
        <v>19.65</v>
      </c>
      <c r="D1788" s="1" t="n">
        <v>104</v>
      </c>
      <c r="E1788" s="1" t="n">
        <v>1.5</v>
      </c>
      <c r="F1788" s="1" t="n">
        <v>7.6</v>
      </c>
      <c r="G1788" s="1" t="n">
        <v>0.4</v>
      </c>
      <c r="H1788" s="1" t="n">
        <v>15</v>
      </c>
      <c r="I1788" s="1" t="n">
        <v>1.01</v>
      </c>
    </row>
    <row r="1789" ht="15.75" customHeight="1" s="201">
      <c r="A1789" s="1" t="inlineStr">
        <is>
          <t>Broadbeans, immature seeds, cooked, boiled, drained, with salt</t>
        </is>
      </c>
      <c r="C1789" s="1" t="n">
        <v>10.1</v>
      </c>
      <c r="D1789" s="1" t="n">
        <v>58</v>
      </c>
      <c r="E1789" s="1" t="n">
        <v>1.5</v>
      </c>
      <c r="F1789" s="1" t="n">
        <v>4.8</v>
      </c>
      <c r="G1789" s="1" t="n">
        <v>0.5</v>
      </c>
      <c r="H1789" s="1" t="n">
        <v>270</v>
      </c>
      <c r="I1789" s="1" t="n">
        <v>0.47</v>
      </c>
      <c r="J1789" t="n">
        <v>75142550</v>
      </c>
    </row>
    <row r="1790" ht="15.75" customHeight="1" s="201">
      <c r="A1790" s="1" t="inlineStr">
        <is>
          <t>Broadbeans, immature seeds, cooked, boiled, drained, without salt</t>
        </is>
      </c>
      <c r="C1790" s="1" t="n">
        <v>10.1</v>
      </c>
      <c r="D1790" s="1" t="n">
        <v>58</v>
      </c>
      <c r="E1790" s="1" t="n">
        <v>1.5</v>
      </c>
      <c r="F1790" s="1" t="n">
        <v>4.8</v>
      </c>
      <c r="G1790" s="1" t="n">
        <v>0.5</v>
      </c>
      <c r="H1790" s="1" t="n">
        <v>270</v>
      </c>
      <c r="I1790" s="1" t="n">
        <v>0.47</v>
      </c>
      <c r="J1790" t="n">
        <v>54318500</v>
      </c>
    </row>
    <row r="1791" ht="15.75" customHeight="1" s="201">
      <c r="A1791" s="1" t="inlineStr">
        <is>
          <t>Broadbeans, immature seeds, raw</t>
        </is>
      </c>
      <c r="C1791" s="1" t="n">
        <v>11.7</v>
      </c>
      <c r="D1791" s="1" t="n">
        <v>96</v>
      </c>
      <c r="E1791" s="1" t="n">
        <v>1.9</v>
      </c>
      <c r="F1791" s="1" t="n">
        <v>5.6</v>
      </c>
      <c r="G1791" s="1" t="n">
        <v>0.6</v>
      </c>
      <c r="H1791" s="1" t="n">
        <v>350</v>
      </c>
      <c r="I1791" s="1" t="n">
        <v>0.58</v>
      </c>
      <c r="J1791" t="n">
        <v>43101100</v>
      </c>
    </row>
    <row r="1792" ht="15.75" customHeight="1" s="201">
      <c r="A1792" s="1" t="inlineStr">
        <is>
          <t>Broccoli raab, cooked</t>
        </is>
      </c>
      <c r="C1792" s="1" t="n">
        <v>3.12</v>
      </c>
      <c r="D1792" s="1" t="n">
        <v>71</v>
      </c>
      <c r="E1792" s="1" t="n">
        <v>1.27</v>
      </c>
      <c r="F1792" s="1" t="n">
        <v>3.83</v>
      </c>
      <c r="G1792" s="1" t="n">
        <v>0.52</v>
      </c>
      <c r="H1792" s="1" t="n">
        <v>4533</v>
      </c>
      <c r="I1792" s="1" t="n">
        <v>0.54</v>
      </c>
      <c r="J1792" t="n">
        <v>72103030</v>
      </c>
    </row>
    <row r="1793" ht="15.75" customHeight="1" s="201">
      <c r="A1793" s="1" t="inlineStr">
        <is>
          <t>Broccoli raab, raw</t>
        </is>
      </c>
      <c r="C1793" s="1" t="n">
        <v>2.85</v>
      </c>
      <c r="D1793" s="1" t="n">
        <v>83</v>
      </c>
      <c r="E1793" s="1" t="n">
        <v>2.14</v>
      </c>
      <c r="F1793" s="1" t="n">
        <v>3.17</v>
      </c>
      <c r="G1793" s="1" t="n">
        <v>0.49</v>
      </c>
      <c r="H1793" s="1" t="n">
        <v>2622</v>
      </c>
      <c r="I1793" s="1" t="n">
        <v>0.77</v>
      </c>
      <c r="J1793" t="n">
        <v>72103030</v>
      </c>
    </row>
    <row r="1794" ht="15.75" customHeight="1" s="201">
      <c r="A1794" s="1" t="inlineStr">
        <is>
          <t>Broccoli, chinese, cooked</t>
        </is>
      </c>
      <c r="C1794" s="1" t="n">
        <v>3.81</v>
      </c>
      <c r="D1794" s="1" t="n">
        <v>99</v>
      </c>
      <c r="E1794" s="1" t="n">
        <v>0.5600000000000001</v>
      </c>
      <c r="F1794" s="1" t="n">
        <v>1.14</v>
      </c>
      <c r="G1794" s="1" t="n">
        <v>0.72</v>
      </c>
      <c r="H1794" s="1" t="n">
        <v>1638</v>
      </c>
      <c r="I1794" s="1" t="n">
        <v>0.39</v>
      </c>
      <c r="J1794" t="n">
        <v>72103030</v>
      </c>
    </row>
    <row r="1795" ht="15.75" customHeight="1" s="201">
      <c r="A1795" s="1" t="inlineStr">
        <is>
          <t>Broccoli, chinese, raw</t>
        </is>
      </c>
      <c r="C1795" s="1" t="n">
        <v>4.67</v>
      </c>
      <c r="D1795" s="1" t="n">
        <v>104</v>
      </c>
      <c r="E1795" s="1" t="n">
        <v>0.59</v>
      </c>
      <c r="F1795" s="1" t="n">
        <v>1.2</v>
      </c>
      <c r="G1795" s="1" t="n">
        <v>0.76</v>
      </c>
      <c r="H1795" s="1" t="n">
        <v>1720</v>
      </c>
      <c r="I1795" s="1" t="n">
        <v>0.41</v>
      </c>
      <c r="J1795" t="n">
        <v>27445120</v>
      </c>
    </row>
    <row r="1796" ht="15.75" customHeight="1" s="201">
      <c r="A1796" s="1" t="inlineStr">
        <is>
          <t>Broccoli, cooked, boiled, drained, with salt</t>
        </is>
      </c>
      <c r="C1796" s="1" t="n">
        <v>7.18</v>
      </c>
      <c r="D1796" s="1" t="n">
        <v>108</v>
      </c>
      <c r="E1796" s="1" t="n">
        <v>0.67</v>
      </c>
      <c r="F1796" s="1" t="n">
        <v>2.38</v>
      </c>
      <c r="G1796" s="1" t="n">
        <v>0.41</v>
      </c>
      <c r="H1796" s="1" t="n">
        <v>1548</v>
      </c>
      <c r="I1796" s="1" t="n">
        <v>0.45</v>
      </c>
      <c r="J1796" t="n">
        <v>75142550</v>
      </c>
    </row>
    <row r="1797" ht="15.75" customHeight="1" s="201">
      <c r="A1797" s="1" t="inlineStr">
        <is>
          <t>Broccoli, cooked, boiled, drained, without salt</t>
        </is>
      </c>
      <c r="C1797" s="1" t="n">
        <v>7.18</v>
      </c>
      <c r="D1797" s="1" t="n">
        <v>108</v>
      </c>
      <c r="E1797" s="1" t="n">
        <v>0.67</v>
      </c>
      <c r="F1797" s="1" t="n">
        <v>2.38</v>
      </c>
      <c r="G1797" s="1" t="n">
        <v>0.41</v>
      </c>
      <c r="H1797" s="1" t="n">
        <v>1548</v>
      </c>
      <c r="I1797" s="1" t="n">
        <v>0.45</v>
      </c>
      <c r="J1797" t="n">
        <v>72103030</v>
      </c>
    </row>
    <row r="1798" ht="15.75" customHeight="1" s="201">
      <c r="A1798" s="1" t="inlineStr">
        <is>
          <t>Broccoli, flower clusters, raw</t>
        </is>
      </c>
      <c r="C1798" s="1" t="n">
        <v>5.06</v>
      </c>
      <c r="D1798" s="1" t="n">
        <v>71</v>
      </c>
      <c r="E1798" s="1" t="n">
        <v>0.88</v>
      </c>
      <c r="F1798" s="1" t="n">
        <v>2.98</v>
      </c>
      <c r="G1798" s="1" t="n">
        <v>0.35</v>
      </c>
      <c r="H1798" s="1" t="n">
        <v>3000</v>
      </c>
      <c r="I1798" s="1" t="n">
        <v>0.4</v>
      </c>
      <c r="J1798" t="n">
        <v>72103030</v>
      </c>
    </row>
    <row r="1799" ht="15.75" customHeight="1" s="201">
      <c r="A1799" s="1" t="inlineStr">
        <is>
          <t>Broccoli, frozen, chopped, cooked, boiled, drained, with salt</t>
        </is>
      </c>
      <c r="C1799" s="1" t="n">
        <v>5.35</v>
      </c>
      <c r="D1799" s="1" t="n">
        <v>56</v>
      </c>
      <c r="E1799" s="1" t="n">
        <v>0.61</v>
      </c>
      <c r="F1799" s="1" t="n">
        <v>3.1</v>
      </c>
      <c r="G1799" s="1" t="n">
        <v>0.12</v>
      </c>
      <c r="H1799" s="1" t="n">
        <v>1011</v>
      </c>
      <c r="I1799" s="1" t="n">
        <v>0.28</v>
      </c>
      <c r="J1799" t="n">
        <v>75142550</v>
      </c>
    </row>
    <row r="1800" ht="15.75" customHeight="1" s="201">
      <c r="A1800" s="1" t="inlineStr">
        <is>
          <t>Broccoli, frozen, chopped, cooked, boiled, drained, without salt</t>
        </is>
      </c>
      <c r="C1800" s="1" t="n">
        <v>5.35</v>
      </c>
      <c r="D1800" s="1" t="n">
        <v>56</v>
      </c>
      <c r="E1800" s="1" t="n">
        <v>0.61</v>
      </c>
      <c r="F1800" s="1" t="n">
        <v>3.1</v>
      </c>
      <c r="G1800" s="1" t="n">
        <v>0.12</v>
      </c>
      <c r="H1800" s="1" t="n">
        <v>1011</v>
      </c>
      <c r="I1800" s="1" t="n">
        <v>0.28</v>
      </c>
      <c r="J1800" t="n">
        <v>72103030</v>
      </c>
    </row>
    <row r="1801" ht="15.75" customHeight="1" s="201">
      <c r="A1801" s="1" t="inlineStr">
        <is>
          <t>Broccoli, frozen, chopped, unprepared</t>
        </is>
      </c>
      <c r="C1801" s="1" t="n">
        <v>4.78</v>
      </c>
      <c r="D1801" s="1" t="n">
        <v>67</v>
      </c>
      <c r="E1801" s="1" t="n">
        <v>0.8100000000000001</v>
      </c>
      <c r="F1801" s="1" t="n">
        <v>2.81</v>
      </c>
      <c r="G1801" s="1" t="n">
        <v>0.29</v>
      </c>
      <c r="H1801" s="1" t="n">
        <v>1034</v>
      </c>
      <c r="I1801" s="1" t="n">
        <v>0.48</v>
      </c>
      <c r="J1801" t="n">
        <v>28110220</v>
      </c>
    </row>
    <row r="1802" ht="15.75" customHeight="1" s="201">
      <c r="A1802" s="1" t="inlineStr">
        <is>
          <t>Broccoli, frozen, spears, cooked, boiled, drained, with salt</t>
        </is>
      </c>
      <c r="C1802" s="1" t="n">
        <v>5.35</v>
      </c>
      <c r="D1802" s="1" t="n">
        <v>30</v>
      </c>
      <c r="E1802" s="1" t="n">
        <v>0.61</v>
      </c>
      <c r="F1802" s="1" t="n">
        <v>3.1</v>
      </c>
      <c r="G1802" s="1" t="n">
        <v>0.11</v>
      </c>
      <c r="H1802" s="1" t="n">
        <v>1118</v>
      </c>
      <c r="I1802" s="1" t="n">
        <v>0.3</v>
      </c>
      <c r="J1802" t="n">
        <v>75142550</v>
      </c>
    </row>
    <row r="1803" ht="15.75" customHeight="1" s="201">
      <c r="A1803" s="1" t="inlineStr">
        <is>
          <t>Broccoli, frozen, spears, cooked, boiled, drained, without salt</t>
        </is>
      </c>
      <c r="C1803" s="1" t="n">
        <v>5.36</v>
      </c>
      <c r="D1803" s="1" t="n">
        <v>30</v>
      </c>
      <c r="E1803" s="1" t="n">
        <v>0.61</v>
      </c>
      <c r="F1803" s="1" t="n">
        <v>3.1</v>
      </c>
      <c r="G1803" s="1" t="n">
        <v>0.11</v>
      </c>
      <c r="H1803" s="1" t="n">
        <v>1011</v>
      </c>
      <c r="I1803" s="1" t="n">
        <v>0.3</v>
      </c>
      <c r="J1803" t="n">
        <v>72103030</v>
      </c>
    </row>
    <row r="1804" ht="15.75" customHeight="1" s="201">
      <c r="A1804" s="1" t="inlineStr">
        <is>
          <t>Broccoli, frozen, spears, unprepared (Includes foods for USDA's Food Distribution Program)</t>
        </is>
      </c>
      <c r="C1804" s="1" t="n">
        <v>5.35</v>
      </c>
      <c r="D1804" s="1" t="n">
        <v>94</v>
      </c>
      <c r="E1804" s="1" t="n">
        <v>0.72</v>
      </c>
      <c r="F1804" s="1" t="n">
        <v>3.06</v>
      </c>
      <c r="G1804" s="1" t="n">
        <v>0.34</v>
      </c>
      <c r="H1804" s="1" t="n">
        <v>1138</v>
      </c>
      <c r="I1804" s="1" t="n">
        <v>0.34</v>
      </c>
    </row>
    <row r="1805" ht="15.75" customHeight="1" s="201">
      <c r="A1805" s="1" t="inlineStr">
        <is>
          <t>Broccoli, leaves, raw</t>
        </is>
      </c>
      <c r="C1805" s="1" t="n">
        <v>5.06</v>
      </c>
      <c r="D1805" s="1" t="n">
        <v>71</v>
      </c>
      <c r="E1805" s="1" t="n">
        <v>0.88</v>
      </c>
      <c r="F1805" s="1" t="n">
        <v>2.98</v>
      </c>
      <c r="G1805" s="1" t="n">
        <v>0.35</v>
      </c>
      <c r="H1805" s="1" t="n">
        <v>16000</v>
      </c>
      <c r="I1805" s="1" t="n">
        <v>0.4</v>
      </c>
      <c r="J1805" t="n">
        <v>72103030</v>
      </c>
    </row>
    <row r="1806" ht="15.75" customHeight="1" s="201">
      <c r="A1806" s="1" t="inlineStr">
        <is>
          <t>Broccoli, raw</t>
        </is>
      </c>
      <c r="C1806" s="1" t="n">
        <v>6.64</v>
      </c>
      <c r="D1806" s="1" t="n">
        <v>63</v>
      </c>
      <c r="E1806" s="1" t="n">
        <v>0.73</v>
      </c>
      <c r="F1806" s="1" t="n">
        <v>2.82</v>
      </c>
      <c r="G1806" s="1" t="n">
        <v>0.37</v>
      </c>
      <c r="H1806" s="1" t="n">
        <v>623</v>
      </c>
      <c r="I1806" s="1" t="n">
        <v>0.41</v>
      </c>
      <c r="J1806" t="n">
        <v>72201100</v>
      </c>
    </row>
    <row r="1807" ht="15.75" customHeight="1" s="201">
      <c r="A1807" s="1" t="inlineStr">
        <is>
          <t>Broccoli, stalks, raw</t>
        </is>
      </c>
      <c r="C1807" s="1" t="n">
        <v>5.24</v>
      </c>
      <c r="D1807" s="1" t="n">
        <v>71</v>
      </c>
      <c r="E1807" s="1" t="n">
        <v>0.88</v>
      </c>
      <c r="F1807" s="1" t="n">
        <v>2.98</v>
      </c>
      <c r="G1807" s="1" t="n">
        <v>0.35</v>
      </c>
      <c r="H1807" s="1" t="n">
        <v>400</v>
      </c>
      <c r="I1807" s="1" t="n">
        <v>0.4</v>
      </c>
      <c r="J1807" t="n">
        <v>72103030</v>
      </c>
    </row>
    <row r="1808" ht="15.75" customHeight="1" s="201">
      <c r="A1808" s="1" t="inlineStr">
        <is>
          <t>Brussels sprouts, cooked, boiled, drained, with salt</t>
        </is>
      </c>
      <c r="C1808" s="1" t="n">
        <v>7.1</v>
      </c>
      <c r="D1808" s="1" t="n">
        <v>60</v>
      </c>
      <c r="E1808" s="1" t="n">
        <v>1.2</v>
      </c>
      <c r="F1808" s="1" t="n">
        <v>2.55</v>
      </c>
      <c r="G1808" s="1" t="n">
        <v>0.5</v>
      </c>
      <c r="H1808" s="1" t="n">
        <v>775</v>
      </c>
      <c r="I1808" s="1" t="n">
        <v>0.33</v>
      </c>
      <c r="J1808" t="n">
        <v>75142550</v>
      </c>
    </row>
    <row r="1809" ht="15.75" customHeight="1" s="201">
      <c r="A1809" s="1" t="inlineStr">
        <is>
          <t>Brussels sprouts, cooked, boiled, drained, without salt</t>
        </is>
      </c>
      <c r="C1809" s="1" t="n">
        <v>7.1</v>
      </c>
      <c r="D1809" s="1" t="n">
        <v>60</v>
      </c>
      <c r="E1809" s="1" t="n">
        <v>1.2</v>
      </c>
      <c r="F1809" s="1" t="n">
        <v>2.55</v>
      </c>
      <c r="G1809" s="1" t="n">
        <v>0.5</v>
      </c>
      <c r="H1809" s="1" t="n">
        <v>775</v>
      </c>
      <c r="I1809" s="1" t="n">
        <v>0.33</v>
      </c>
      <c r="J1809" t="n">
        <v>75209020</v>
      </c>
    </row>
    <row r="1810" ht="15.75" customHeight="1" s="201">
      <c r="A1810" s="1" t="inlineStr">
        <is>
          <t>Brussels sprouts, frozen, cooked, boiled, drained, with salt</t>
        </is>
      </c>
      <c r="C1810" s="1" t="n">
        <v>8.32</v>
      </c>
      <c r="D1810" s="1" t="n">
        <v>101</v>
      </c>
      <c r="E1810" s="1" t="n">
        <v>0.48</v>
      </c>
      <c r="F1810" s="1" t="n">
        <v>3.64</v>
      </c>
      <c r="G1810" s="1" t="n">
        <v>0.39</v>
      </c>
      <c r="H1810" s="1" t="n">
        <v>926</v>
      </c>
      <c r="I1810" s="1" t="n">
        <v>0.24</v>
      </c>
      <c r="J1810" t="n">
        <v>75142550</v>
      </c>
    </row>
    <row r="1811" ht="15.75" customHeight="1" s="201">
      <c r="A1811" s="1" t="inlineStr">
        <is>
          <t>Brussels sprouts, frozen, cooked, boiled, drained, without salt</t>
        </is>
      </c>
      <c r="C1811" s="1" t="n">
        <v>8.32</v>
      </c>
      <c r="D1811" s="1" t="n">
        <v>101</v>
      </c>
      <c r="E1811" s="1" t="n">
        <v>0.48</v>
      </c>
      <c r="F1811" s="1" t="n">
        <v>3.64</v>
      </c>
      <c r="G1811" s="1" t="n">
        <v>0.39</v>
      </c>
      <c r="H1811" s="1" t="n">
        <v>926</v>
      </c>
      <c r="I1811" s="1" t="n">
        <v>0.24</v>
      </c>
      <c r="J1811" t="n">
        <v>75209020</v>
      </c>
    </row>
    <row r="1812" ht="15.75" customHeight="1" s="201">
      <c r="A1812" s="1" t="inlineStr">
        <is>
          <t>Brussels sprouts, frozen, unprepared</t>
        </is>
      </c>
      <c r="C1812" s="1" t="n">
        <v>7.86</v>
      </c>
      <c r="D1812" s="1" t="n">
        <v>123</v>
      </c>
      <c r="E1812" s="1" t="n">
        <v>0.93</v>
      </c>
      <c r="F1812" s="1" t="n">
        <v>3.78</v>
      </c>
      <c r="G1812" s="1" t="n">
        <v>0.41</v>
      </c>
      <c r="H1812" s="1" t="n">
        <v>617</v>
      </c>
      <c r="I1812" s="1" t="n">
        <v>0.31</v>
      </c>
      <c r="J1812" t="n">
        <v>75209022</v>
      </c>
    </row>
    <row r="1813" ht="15.75" customHeight="1" s="201">
      <c r="A1813" s="1" t="inlineStr">
        <is>
          <t>Brussels sprouts, raw</t>
        </is>
      </c>
      <c r="C1813" s="1" t="n">
        <v>8.949999999999999</v>
      </c>
      <c r="D1813" s="1" t="n">
        <v>61</v>
      </c>
      <c r="E1813" s="1" t="n">
        <v>1.4</v>
      </c>
      <c r="F1813" s="1" t="n">
        <v>3.38</v>
      </c>
      <c r="G1813" s="1" t="n">
        <v>0.3</v>
      </c>
      <c r="H1813" s="1" t="n">
        <v>754</v>
      </c>
      <c r="I1813" s="1" t="n">
        <v>0.42</v>
      </c>
      <c r="J1813" t="n">
        <v>75102750</v>
      </c>
    </row>
    <row r="1814" ht="15.75" customHeight="1" s="201">
      <c r="A1814" s="1" t="inlineStr">
        <is>
          <t>Buckwheat</t>
        </is>
      </c>
      <c r="C1814" s="1" t="n">
        <v>71.5</v>
      </c>
      <c r="D1814" s="1" t="n">
        <v>30</v>
      </c>
      <c r="E1814" s="1" t="n">
        <v>2.2</v>
      </c>
      <c r="F1814" s="1" t="n">
        <v>13.25</v>
      </c>
      <c r="G1814" s="1" t="n">
        <v>3.4</v>
      </c>
      <c r="H1814" s="1" t="n">
        <v>0</v>
      </c>
      <c r="I1814" s="1" t="n">
        <v>2.4</v>
      </c>
      <c r="J1814" t="n">
        <v>51301010</v>
      </c>
    </row>
    <row r="1815" ht="15.75" customHeight="1" s="201">
      <c r="A1815" s="1" t="inlineStr">
        <is>
          <t>Buckwheat flour, whole-groat</t>
        </is>
      </c>
      <c r="C1815" s="1" t="n">
        <v>70.59</v>
      </c>
      <c r="D1815" s="1" t="n">
        <v>54</v>
      </c>
      <c r="E1815" s="1" t="n">
        <v>4.06</v>
      </c>
      <c r="F1815" s="1" t="n">
        <v>12.62</v>
      </c>
      <c r="G1815" s="1" t="n">
        <v>3.1</v>
      </c>
      <c r="H1815" s="1" t="n">
        <v>0</v>
      </c>
      <c r="I1815" s="1" t="n">
        <v>3.12</v>
      </c>
      <c r="J1815" t="n">
        <v>54204030</v>
      </c>
    </row>
    <row r="1816" ht="15.75" customHeight="1" s="201">
      <c r="A1816" s="1" t="inlineStr">
        <is>
          <t>Buckwheat groats, roasted, cooked</t>
        </is>
      </c>
      <c r="C1816" s="1" t="n">
        <v>19.94</v>
      </c>
      <c r="D1816" s="1" t="n">
        <v>14</v>
      </c>
      <c r="E1816" s="1" t="n">
        <v>0.8</v>
      </c>
      <c r="F1816" s="1" t="n">
        <v>3.38</v>
      </c>
      <c r="G1816" s="1" t="n">
        <v>0.62</v>
      </c>
      <c r="H1816" s="1" t="n">
        <v>0</v>
      </c>
      <c r="I1816" s="1" t="n">
        <v>0.61</v>
      </c>
      <c r="J1816" t="n">
        <v>56200490</v>
      </c>
    </row>
    <row r="1817" ht="15.75" customHeight="1" s="201">
      <c r="A1817" s="1" t="inlineStr">
        <is>
          <t>Buckwheat groats, roasted, dry</t>
        </is>
      </c>
      <c r="C1817" s="1" t="n">
        <v>74.95</v>
      </c>
      <c r="D1817" s="1" t="n">
        <v>42</v>
      </c>
      <c r="E1817" s="1" t="n">
        <v>2.47</v>
      </c>
      <c r="F1817" s="1" t="n">
        <v>11.73</v>
      </c>
      <c r="G1817" s="1" t="n">
        <v>2.71</v>
      </c>
      <c r="H1817" s="1" t="n">
        <v>0</v>
      </c>
      <c r="I1817" s="1" t="n">
        <v>2.42</v>
      </c>
      <c r="J1817" t="n">
        <v>56200490</v>
      </c>
    </row>
    <row r="1818" ht="15.75" customHeight="1" s="201">
      <c r="A1818" s="1" t="inlineStr">
        <is>
          <t>Buffalo, free range, top round steak, cooked (Shoshone Bannock)</t>
        </is>
      </c>
      <c r="C1818" s="1" t="n">
        <v>0</v>
      </c>
      <c r="D1818" s="1" t="n">
        <v>8</v>
      </c>
      <c r="E1818" s="1" t="n">
        <v>3.76</v>
      </c>
      <c r="F1818" s="1" t="n">
        <v>32.51</v>
      </c>
      <c r="G1818" s="1" t="n">
        <v>1.8</v>
      </c>
      <c r="I1818" s="1" t="n">
        <v>5.06</v>
      </c>
      <c r="J1818" t="n">
        <v>27446260</v>
      </c>
    </row>
    <row r="1819" ht="15.75" customHeight="1" s="201">
      <c r="A1819" s="1" t="inlineStr">
        <is>
          <t>Buffalo, free range, top round steak, raw (Shoshone Bannock)</t>
        </is>
      </c>
      <c r="C1819" s="1" t="n">
        <v>0</v>
      </c>
      <c r="E1819" s="1" t="n">
        <v>2.61</v>
      </c>
      <c r="F1819" s="1" t="n">
        <v>21.44</v>
      </c>
      <c r="G1819" s="1" t="n">
        <v>1.3</v>
      </c>
      <c r="I1819" s="1" t="n">
        <v>3</v>
      </c>
      <c r="J1819" t="n">
        <v>27446260</v>
      </c>
    </row>
    <row r="1820" ht="15.75" customHeight="1" s="201">
      <c r="A1820" s="1" t="inlineStr">
        <is>
          <t>Bulgur, cooked</t>
        </is>
      </c>
      <c r="C1820" s="1" t="n">
        <v>18.58</v>
      </c>
      <c r="D1820" s="1" t="n">
        <v>18</v>
      </c>
      <c r="E1820" s="1" t="n">
        <v>0.96</v>
      </c>
      <c r="F1820" s="1" t="n">
        <v>3.08</v>
      </c>
      <c r="G1820" s="1" t="n">
        <v>0.24</v>
      </c>
      <c r="H1820" s="1" t="n">
        <v>2</v>
      </c>
      <c r="I1820" s="1" t="n">
        <v>0.57</v>
      </c>
      <c r="J1820" t="n">
        <v>56207110</v>
      </c>
    </row>
    <row r="1821" ht="15.75" customHeight="1" s="201">
      <c r="A1821" s="1" t="inlineStr">
        <is>
          <t>Bulgur, dry</t>
        </is>
      </c>
      <c r="C1821" s="1" t="n">
        <v>75.87</v>
      </c>
      <c r="D1821" s="1" t="n">
        <v>27</v>
      </c>
      <c r="E1821" s="1" t="n">
        <v>2.46</v>
      </c>
      <c r="F1821" s="1" t="n">
        <v>12.29</v>
      </c>
      <c r="G1821" s="1" t="n">
        <v>1.33</v>
      </c>
      <c r="H1821" s="1" t="n">
        <v>9</v>
      </c>
      <c r="I1821" s="1" t="n">
        <v>1.93</v>
      </c>
      <c r="J1821" t="n">
        <v>56207110</v>
      </c>
    </row>
    <row r="1822" ht="15.75" customHeight="1" s="201">
      <c r="A1822" s="1" t="inlineStr">
        <is>
          <t>Burdock root, cooked, boiled, drained, with salt</t>
        </is>
      </c>
      <c r="C1822" s="1" t="n">
        <v>21.15</v>
      </c>
      <c r="D1822" s="1" t="n">
        <v>20</v>
      </c>
      <c r="E1822" s="1" t="n">
        <v>0.77</v>
      </c>
      <c r="F1822" s="1" t="n">
        <v>2.09</v>
      </c>
      <c r="G1822" s="1" t="n">
        <v>0.14</v>
      </c>
      <c r="H1822" s="1" t="n">
        <v>0</v>
      </c>
      <c r="I1822" s="1" t="n">
        <v>0.38</v>
      </c>
      <c r="J1822" t="n">
        <v>75142550</v>
      </c>
    </row>
    <row r="1823" ht="15.75" customHeight="1" s="201">
      <c r="A1823" s="1" t="inlineStr">
        <is>
          <t>Burdock root, cooked, boiled, drained, without salt</t>
        </is>
      </c>
      <c r="C1823" s="1" t="n">
        <v>21.15</v>
      </c>
      <c r="D1823" s="1" t="n">
        <v>20</v>
      </c>
      <c r="E1823" s="1" t="n">
        <v>0.77</v>
      </c>
      <c r="F1823" s="1" t="n">
        <v>2.09</v>
      </c>
      <c r="G1823" s="1" t="n">
        <v>0.14</v>
      </c>
      <c r="H1823" s="1" t="n">
        <v>0</v>
      </c>
      <c r="I1823" s="1" t="n">
        <v>0.38</v>
      </c>
      <c r="J1823" t="n">
        <v>31103010</v>
      </c>
    </row>
    <row r="1824" ht="15.75" customHeight="1" s="201">
      <c r="A1824" s="1" t="inlineStr">
        <is>
          <t>Burdock root, raw</t>
        </is>
      </c>
      <c r="C1824" s="1" t="n">
        <v>17.34</v>
      </c>
      <c r="D1824" s="1" t="n">
        <v>23</v>
      </c>
      <c r="E1824" s="1" t="n">
        <v>0.8</v>
      </c>
      <c r="F1824" s="1" t="n">
        <v>1.53</v>
      </c>
      <c r="G1824" s="1" t="n">
        <v>0.15</v>
      </c>
      <c r="H1824" s="1" t="n">
        <v>0</v>
      </c>
      <c r="I1824" s="1" t="n">
        <v>0.33</v>
      </c>
      <c r="J1824" t="n">
        <v>13120800</v>
      </c>
    </row>
    <row r="1825" ht="15.75" customHeight="1" s="201">
      <c r="A1825" s="1" t="inlineStr">
        <is>
          <t>BURGER KING, Cheeseburger</t>
        </is>
      </c>
      <c r="C1825" s="1" t="n">
        <v>23.71</v>
      </c>
      <c r="E1825" s="1" t="n">
        <v>2.5</v>
      </c>
      <c r="F1825" s="1" t="n">
        <v>14.57</v>
      </c>
      <c r="G1825" s="1" t="n">
        <v>14.81</v>
      </c>
      <c r="I1825" s="1" t="n">
        <v>2.4</v>
      </c>
      <c r="J1825" t="n">
        <v>41811890</v>
      </c>
    </row>
    <row r="1826" ht="15.75" customHeight="1" s="201">
      <c r="A1826" s="1" t="inlineStr">
        <is>
          <t>BURGER KING, Chicken Strips</t>
        </is>
      </c>
      <c r="C1826" s="1" t="n">
        <v>20.49</v>
      </c>
      <c r="D1826" s="1" t="n">
        <v>9</v>
      </c>
      <c r="E1826" s="1" t="n">
        <v>0.62</v>
      </c>
      <c r="F1826" s="1" t="n">
        <v>18.2</v>
      </c>
      <c r="G1826" s="1" t="n">
        <v>15.25</v>
      </c>
      <c r="H1826" s="1" t="n">
        <v>11</v>
      </c>
      <c r="I1826" s="1" t="n">
        <v>0.7</v>
      </c>
      <c r="J1826" t="n">
        <v>24198741</v>
      </c>
    </row>
    <row r="1827" ht="15.75" customHeight="1" s="201">
      <c r="A1827" s="1" t="inlineStr">
        <is>
          <t>BURGER KING, CROISSAN'WICH with Egg and Cheese</t>
        </is>
      </c>
      <c r="C1827" s="1" t="n">
        <v>24.79</v>
      </c>
      <c r="E1827" s="1" t="n">
        <v>1.9</v>
      </c>
      <c r="F1827" s="1" t="n">
        <v>10.35</v>
      </c>
      <c r="G1827" s="1" t="n">
        <v>15.78</v>
      </c>
      <c r="I1827" s="1" t="n">
        <v>1.04</v>
      </c>
      <c r="J1827" t="n">
        <v>58127330</v>
      </c>
    </row>
    <row r="1828" ht="15.75" customHeight="1" s="201">
      <c r="A1828" s="1" t="inlineStr">
        <is>
          <t>BURGER KING, CROISSAN'WICH with Sausage and Cheese</t>
        </is>
      </c>
      <c r="C1828" s="1" t="n">
        <v>23</v>
      </c>
      <c r="E1828" s="1" t="n">
        <v>1.87</v>
      </c>
      <c r="F1828" s="1" t="n">
        <v>13.73</v>
      </c>
      <c r="G1828" s="1" t="n">
        <v>25.45</v>
      </c>
      <c r="I1828" s="1" t="n">
        <v>1.43</v>
      </c>
      <c r="J1828" t="n">
        <v>58127330</v>
      </c>
    </row>
    <row r="1829" ht="15.75" customHeight="1" s="201">
      <c r="A1829" s="1" t="inlineStr">
        <is>
          <t>BURGER KING, CROISSAN'WICH with Sausage, Egg and Cheese</t>
        </is>
      </c>
      <c r="C1829" s="1" t="n">
        <v>15.9</v>
      </c>
      <c r="D1829" s="1" t="n">
        <v>50</v>
      </c>
      <c r="E1829" s="1" t="n">
        <v>1.65</v>
      </c>
      <c r="F1829" s="1" t="n">
        <v>12.09</v>
      </c>
      <c r="G1829" s="1" t="n">
        <v>21.78</v>
      </c>
      <c r="H1829" s="1" t="n">
        <v>568</v>
      </c>
      <c r="I1829" s="1" t="n">
        <v>1.14</v>
      </c>
      <c r="J1829" t="n">
        <v>58127330</v>
      </c>
    </row>
    <row r="1830" ht="15.75" customHeight="1" s="201">
      <c r="A1830" s="1" t="inlineStr">
        <is>
          <t>BURGER KING, Double Cheeseburger</t>
        </is>
      </c>
      <c r="C1830" s="1" t="n">
        <v>17.43</v>
      </c>
      <c r="E1830" s="1" t="n">
        <v>2.33</v>
      </c>
      <c r="F1830" s="1" t="n">
        <v>16.83</v>
      </c>
      <c r="G1830" s="1" t="n">
        <v>16.13</v>
      </c>
      <c r="I1830" s="1" t="n">
        <v>2.92</v>
      </c>
      <c r="J1830" t="n">
        <v>27510386</v>
      </c>
    </row>
    <row r="1831" ht="15.75" customHeight="1" s="201">
      <c r="A1831" s="1" t="inlineStr">
        <is>
          <t>BURGER KING, DOUBLE WHOPPER, no cheese</t>
        </is>
      </c>
      <c r="C1831" s="1" t="n">
        <v>13.74</v>
      </c>
      <c r="D1831" s="1" t="n">
        <v>45</v>
      </c>
      <c r="E1831" s="1" t="n">
        <v>2.8</v>
      </c>
      <c r="F1831" s="1" t="n">
        <v>13.94</v>
      </c>
      <c r="G1831" s="1" t="n">
        <v>15.66</v>
      </c>
      <c r="I1831" s="1" t="n">
        <v>3</v>
      </c>
      <c r="J1831" t="n">
        <v>27520370</v>
      </c>
    </row>
    <row r="1832" ht="15.75" customHeight="1" s="201">
      <c r="A1832" s="1" t="inlineStr">
        <is>
          <t>BURGER KING, DOUBLE WHOPPER, with cheese</t>
        </is>
      </c>
      <c r="C1832" s="1" t="n">
        <v>13.52</v>
      </c>
      <c r="D1832" s="1" t="n">
        <v>27</v>
      </c>
      <c r="E1832" s="1" t="n">
        <v>5.3</v>
      </c>
      <c r="F1832" s="1" t="n">
        <v>14.47</v>
      </c>
      <c r="G1832" s="1" t="n">
        <v>17.06</v>
      </c>
      <c r="I1832" s="1" t="n">
        <v>3.5</v>
      </c>
      <c r="J1832" t="n">
        <v>51121065</v>
      </c>
    </row>
    <row r="1833" ht="15.75" customHeight="1" s="201">
      <c r="A1833" s="1" t="inlineStr">
        <is>
          <t>BURGER KING, french fries</t>
        </is>
      </c>
      <c r="C1833" s="1" t="n">
        <v>38.7</v>
      </c>
      <c r="E1833" s="1" t="n">
        <v>0.73</v>
      </c>
      <c r="F1833" s="1" t="n">
        <v>3.23</v>
      </c>
      <c r="G1833" s="1" t="n">
        <v>12.48</v>
      </c>
      <c r="I1833" s="1" t="n">
        <v>0.44</v>
      </c>
      <c r="J1833" t="n">
        <v>41811890</v>
      </c>
    </row>
    <row r="1834" ht="15.75" customHeight="1" s="201">
      <c r="A1834" s="1" t="inlineStr">
        <is>
          <t>BURGER KING, french toast sticks</t>
        </is>
      </c>
      <c r="C1834" s="1" t="n">
        <v>41.21</v>
      </c>
      <c r="E1834" s="1" t="n">
        <v>1.92</v>
      </c>
      <c r="F1834" s="1" t="n">
        <v>6</v>
      </c>
      <c r="G1834" s="1" t="n">
        <v>17.74</v>
      </c>
      <c r="I1834" s="1" t="n">
        <v>0.51</v>
      </c>
      <c r="J1834" t="n">
        <v>55301031</v>
      </c>
    </row>
    <row r="1835" ht="15.75" customHeight="1" s="201">
      <c r="A1835" s="1" t="inlineStr">
        <is>
          <t>BURGER KING, Hamburger</t>
        </is>
      </c>
      <c r="C1835" s="1" t="n">
        <v>26.76</v>
      </c>
      <c r="D1835" s="1" t="n">
        <v>64</v>
      </c>
      <c r="E1835" s="1" t="n">
        <v>2.87</v>
      </c>
      <c r="F1835" s="1" t="n">
        <v>14.85</v>
      </c>
      <c r="G1835" s="1" t="n">
        <v>10.55</v>
      </c>
      <c r="I1835" s="1" t="n">
        <v>2.38</v>
      </c>
      <c r="J1835" t="n">
        <v>41811890</v>
      </c>
    </row>
    <row r="1836" ht="15.75" customHeight="1" s="201">
      <c r="A1836" s="1" t="inlineStr">
        <is>
          <t>BURGER KING, Hash Brown Rounds</t>
        </is>
      </c>
      <c r="C1836" s="1" t="n">
        <v>29.37</v>
      </c>
      <c r="D1836" s="1" t="n">
        <v>13</v>
      </c>
      <c r="E1836" s="1" t="n">
        <v>0.71</v>
      </c>
      <c r="F1836" s="1" t="n">
        <v>2.8</v>
      </c>
      <c r="G1836" s="1" t="n">
        <v>19.3</v>
      </c>
      <c r="H1836" s="1" t="n">
        <v>2</v>
      </c>
      <c r="I1836" s="1" t="n">
        <v>0.37</v>
      </c>
      <c r="J1836" t="n">
        <v>41811890</v>
      </c>
    </row>
    <row r="1837" ht="15.75" customHeight="1" s="201">
      <c r="A1837" s="1" t="inlineStr">
        <is>
          <t>BURGER KING, Onion Rings</t>
        </is>
      </c>
      <c r="C1837" s="1" t="n">
        <v>43.58</v>
      </c>
      <c r="E1837" s="1" t="n">
        <v>0.78</v>
      </c>
      <c r="F1837" s="1" t="n">
        <v>3.86</v>
      </c>
      <c r="G1837" s="1" t="n">
        <v>25.23</v>
      </c>
      <c r="H1837" s="1" t="n">
        <v>6</v>
      </c>
      <c r="I1837" s="1" t="n">
        <v>0.51</v>
      </c>
      <c r="J1837" t="n">
        <v>41811890</v>
      </c>
    </row>
    <row r="1838" ht="15.75" customHeight="1" s="201">
      <c r="A1838" s="1" t="inlineStr">
        <is>
          <t>BURGER KING, Original Chicken Sandwich</t>
        </is>
      </c>
      <c r="C1838" s="1" t="n">
        <v>26.22</v>
      </c>
      <c r="D1838" s="1" t="n">
        <v>33</v>
      </c>
      <c r="E1838" s="1" t="n">
        <v>1.79</v>
      </c>
      <c r="F1838" s="1" t="n">
        <v>12.14</v>
      </c>
      <c r="G1838" s="1" t="n">
        <v>14.69</v>
      </c>
      <c r="I1838" s="1" t="n">
        <v>0.62</v>
      </c>
      <c r="J1838" t="n">
        <v>27520370</v>
      </c>
    </row>
    <row r="1839" ht="15.75" customHeight="1" s="201">
      <c r="A1839" s="1" t="inlineStr">
        <is>
          <t>BURGER KING, Premium Fish Sandwich</t>
        </is>
      </c>
      <c r="C1839" s="1" t="n">
        <v>26.69</v>
      </c>
      <c r="E1839" s="1" t="n">
        <v>1.5</v>
      </c>
      <c r="F1839" s="1" t="n">
        <v>10.29</v>
      </c>
      <c r="G1839" s="1" t="n">
        <v>12.45</v>
      </c>
      <c r="I1839" s="1" t="n">
        <v>0.49</v>
      </c>
      <c r="J1839" t="n">
        <v>27520370</v>
      </c>
    </row>
    <row r="1840" ht="15.75" customHeight="1" s="201">
      <c r="A1840" s="1" t="inlineStr">
        <is>
          <t>BURGER KING, Vanilla Shake</t>
        </is>
      </c>
      <c r="C1840" s="1" t="n">
        <v>19.03</v>
      </c>
      <c r="E1840" s="1" t="n">
        <v>0.42</v>
      </c>
      <c r="F1840" s="1" t="n">
        <v>3.19</v>
      </c>
      <c r="G1840" s="1" t="n">
        <v>8.74</v>
      </c>
      <c r="I1840" s="1" t="n">
        <v>0.67</v>
      </c>
      <c r="J1840" t="n">
        <v>41811890</v>
      </c>
    </row>
    <row r="1841" ht="15.75" customHeight="1" s="201">
      <c r="A1841" s="1" t="inlineStr">
        <is>
          <t>BURGER KING, WHOPPER, no cheese</t>
        </is>
      </c>
      <c r="C1841" s="1" t="n">
        <v>18.55</v>
      </c>
      <c r="D1841" s="1" t="n">
        <v>47</v>
      </c>
      <c r="E1841" s="1" t="n">
        <v>4.37</v>
      </c>
      <c r="F1841" s="1" t="n">
        <v>10.74</v>
      </c>
      <c r="G1841" s="1" t="n">
        <v>12.84</v>
      </c>
      <c r="I1841" s="1" t="n">
        <v>2.83</v>
      </c>
      <c r="J1841" t="n">
        <v>27520370</v>
      </c>
    </row>
    <row r="1842" ht="15.75" customHeight="1" s="201">
      <c r="A1842" s="1" t="inlineStr">
        <is>
          <t>BURGER KING, WHOPPER, with cheese</t>
        </is>
      </c>
      <c r="C1842" s="1" t="n">
        <v>16.7</v>
      </c>
      <c r="D1842" s="1" t="n">
        <v>51</v>
      </c>
      <c r="E1842" s="1" t="n">
        <v>2</v>
      </c>
      <c r="F1842" s="1" t="n">
        <v>11.19</v>
      </c>
      <c r="G1842" s="1" t="n">
        <v>15.33</v>
      </c>
      <c r="I1842" s="1" t="n">
        <v>1.6</v>
      </c>
      <c r="J1842" t="n">
        <v>51121065</v>
      </c>
    </row>
    <row r="1843" ht="15.75" customHeight="1" s="201">
      <c r="A1843" s="1" t="inlineStr">
        <is>
          <t>Burrito, bean and cheese, frozen</t>
        </is>
      </c>
      <c r="C1843" s="1" t="n">
        <v>34.01</v>
      </c>
      <c r="D1843" s="1" t="n">
        <v>105</v>
      </c>
      <c r="E1843" s="1" t="n">
        <v>2.51</v>
      </c>
      <c r="F1843" s="1" t="n">
        <v>7.07</v>
      </c>
      <c r="G1843" s="1" t="n">
        <v>6.3</v>
      </c>
      <c r="H1843" s="1" t="n">
        <v>68</v>
      </c>
      <c r="I1843" s="1" t="n">
        <v>0.71</v>
      </c>
      <c r="J1843" t="n">
        <v>14420100</v>
      </c>
    </row>
    <row r="1844" ht="15.75" customHeight="1" s="201">
      <c r="A1844" s="1" t="inlineStr">
        <is>
          <t>Burrito, beef and bean, frozen</t>
        </is>
      </c>
      <c r="C1844" s="1" t="n">
        <v>30.84</v>
      </c>
      <c r="D1844" s="1" t="n">
        <v>80</v>
      </c>
      <c r="E1844" s="1" t="n">
        <v>2.96</v>
      </c>
      <c r="F1844" s="1" t="n">
        <v>7.26</v>
      </c>
      <c r="G1844" s="1" t="n">
        <v>9.609999999999999</v>
      </c>
      <c r="H1844" s="1" t="n">
        <v>212</v>
      </c>
      <c r="I1844" s="1" t="n">
        <v>0.99</v>
      </c>
      <c r="J1844" t="n">
        <v>28110510</v>
      </c>
    </row>
    <row r="1845" ht="15.75" customHeight="1" s="201">
      <c r="A1845" s="1" t="inlineStr">
        <is>
          <t>Burrito, beef and bean, microwaved</t>
        </is>
      </c>
      <c r="C1845" s="1" t="n">
        <v>38.95</v>
      </c>
      <c r="D1845" s="1" t="n">
        <v>76</v>
      </c>
      <c r="E1845" s="1" t="n">
        <v>3.12</v>
      </c>
      <c r="F1845" s="1" t="n">
        <v>8.73</v>
      </c>
      <c r="G1845" s="1" t="n">
        <v>11.94</v>
      </c>
      <c r="H1845" s="1" t="n">
        <v>261</v>
      </c>
      <c r="I1845" s="1" t="n">
        <v>1.24</v>
      </c>
      <c r="J1845" t="n">
        <v>28110510</v>
      </c>
    </row>
    <row r="1846" ht="15.75" customHeight="1" s="201">
      <c r="A1846" s="1" t="inlineStr">
        <is>
          <t>Butter oil, anhydrous</t>
        </is>
      </c>
      <c r="C1846" s="1" t="n">
        <v>0</v>
      </c>
      <c r="D1846" s="1" t="n">
        <v>0</v>
      </c>
      <c r="E1846" s="1" t="n">
        <v>0</v>
      </c>
      <c r="F1846" s="1" t="n">
        <v>0.28</v>
      </c>
      <c r="G1846" s="1" t="n">
        <v>99.48</v>
      </c>
      <c r="H1846" s="1" t="n">
        <v>3069</v>
      </c>
      <c r="I1846" s="1" t="n">
        <v>0.01</v>
      </c>
      <c r="J1846" t="n">
        <v>54328100</v>
      </c>
    </row>
    <row r="1847" ht="15.75" customHeight="1" s="201">
      <c r="A1847" s="1" t="inlineStr">
        <is>
          <t>Butter replacement, without fat, powder</t>
        </is>
      </c>
      <c r="C1847" s="1" t="n">
        <v>89</v>
      </c>
      <c r="D1847" s="1" t="n">
        <v>0</v>
      </c>
      <c r="E1847" s="1" t="n">
        <v>2</v>
      </c>
      <c r="F1847" s="1" t="n">
        <v>2</v>
      </c>
      <c r="G1847" s="1" t="n">
        <v>1</v>
      </c>
      <c r="H1847" s="1" t="n">
        <v>0</v>
      </c>
      <c r="I1847" s="1" t="n">
        <v>0</v>
      </c>
      <c r="J1847" t="n">
        <v>54328100</v>
      </c>
    </row>
    <row r="1848" ht="15.75" customHeight="1" s="201">
      <c r="A1848" s="1" t="inlineStr">
        <is>
          <t>Butter, Clarified butter (ghee)</t>
        </is>
      </c>
      <c r="C1848" s="1" t="n">
        <v>0</v>
      </c>
      <c r="E1848" s="1" t="n">
        <v>0</v>
      </c>
      <c r="F1848" s="1" t="n">
        <v>0</v>
      </c>
      <c r="G1848" s="1" t="n">
        <v>100</v>
      </c>
      <c r="H1848" s="1" t="n">
        <v>4000</v>
      </c>
      <c r="J1848" t="n">
        <v>54328100</v>
      </c>
    </row>
    <row r="1849" ht="15.75" customHeight="1" s="201">
      <c r="A1849" s="1" t="inlineStr">
        <is>
          <t>Butter, light, stick, with salt</t>
        </is>
      </c>
      <c r="C1849" s="1" t="n">
        <v>0</v>
      </c>
      <c r="D1849" s="1" t="n">
        <v>1</v>
      </c>
      <c r="E1849" s="1" t="n">
        <v>1.09</v>
      </c>
      <c r="F1849" s="1" t="n">
        <v>3.3</v>
      </c>
      <c r="G1849" s="1" t="n">
        <v>55.1</v>
      </c>
      <c r="H1849" s="1" t="n">
        <v>1698</v>
      </c>
      <c r="I1849" s="1" t="n">
        <v>0.26</v>
      </c>
      <c r="J1849" t="n">
        <v>58148117</v>
      </c>
    </row>
    <row r="1850" ht="15.75" customHeight="1" s="201">
      <c r="A1850" s="1" t="inlineStr">
        <is>
          <t>Butter, light, stick, without salt</t>
        </is>
      </c>
      <c r="C1850" s="1" t="n">
        <v>0</v>
      </c>
      <c r="D1850" s="1" t="n">
        <v>1</v>
      </c>
      <c r="E1850" s="1" t="n">
        <v>1.09</v>
      </c>
      <c r="F1850" s="1" t="n">
        <v>3.3</v>
      </c>
      <c r="G1850" s="1" t="n">
        <v>55.1</v>
      </c>
      <c r="H1850" s="1" t="n">
        <v>1698</v>
      </c>
      <c r="I1850" s="1" t="n">
        <v>0.26</v>
      </c>
      <c r="J1850" t="n">
        <v>27446245</v>
      </c>
    </row>
    <row r="1851" ht="15.75" customHeight="1" s="201">
      <c r="A1851" s="1" t="inlineStr">
        <is>
          <t>Butter, salted</t>
        </is>
      </c>
      <c r="C1851" s="1" t="n">
        <v>0.06</v>
      </c>
      <c r="D1851" s="1" t="n">
        <v>3</v>
      </c>
      <c r="E1851" s="1" t="n">
        <v>0.02</v>
      </c>
      <c r="F1851" s="1" t="n">
        <v>0.85</v>
      </c>
      <c r="G1851" s="1" t="n">
        <v>81.11</v>
      </c>
      <c r="H1851" s="1" t="n">
        <v>2499</v>
      </c>
      <c r="I1851" s="1" t="n">
        <v>0.09</v>
      </c>
      <c r="J1851" t="n">
        <v>54328100</v>
      </c>
    </row>
    <row r="1852" ht="15.75" customHeight="1" s="201">
      <c r="A1852" s="1" t="inlineStr">
        <is>
          <t>Butter, whipped, with salt</t>
        </is>
      </c>
      <c r="C1852" s="1" t="n">
        <v>0</v>
      </c>
      <c r="D1852" s="1" t="n">
        <v>4</v>
      </c>
      <c r="E1852" s="1" t="n">
        <v>0.05</v>
      </c>
      <c r="F1852" s="1" t="n">
        <v>0.49</v>
      </c>
      <c r="G1852" s="1" t="n">
        <v>78.3</v>
      </c>
      <c r="H1852" s="1" t="n">
        <v>2468</v>
      </c>
      <c r="I1852" s="1" t="n">
        <v>0.05</v>
      </c>
      <c r="J1852" t="n">
        <v>75142550</v>
      </c>
    </row>
    <row r="1853" ht="15.75" customHeight="1" s="201">
      <c r="A1853" s="1" t="inlineStr">
        <is>
          <t>Butter, without salt</t>
        </is>
      </c>
      <c r="C1853" s="1" t="n">
        <v>0.06</v>
      </c>
      <c r="D1853" s="1" t="n">
        <v>3</v>
      </c>
      <c r="E1853" s="1" t="n">
        <v>0.02</v>
      </c>
      <c r="F1853" s="1" t="n">
        <v>0.85</v>
      </c>
      <c r="G1853" s="1" t="n">
        <v>81.11</v>
      </c>
      <c r="H1853" s="1" t="n">
        <v>2499</v>
      </c>
      <c r="I1853" s="1" t="n">
        <v>0.09</v>
      </c>
      <c r="J1853" t="n">
        <v>54328100</v>
      </c>
    </row>
    <row r="1854" ht="15.75" customHeight="1" s="201">
      <c r="A1854" s="1" t="inlineStr">
        <is>
          <t>Butterbur, (fuki), raw</t>
        </is>
      </c>
      <c r="C1854" s="1" t="n">
        <v>3.61</v>
      </c>
      <c r="D1854" s="1" t="n">
        <v>10</v>
      </c>
      <c r="E1854" s="1" t="n">
        <v>0.1</v>
      </c>
      <c r="F1854" s="1" t="n">
        <v>0.39</v>
      </c>
      <c r="G1854" s="1" t="n">
        <v>0.04</v>
      </c>
      <c r="H1854" s="1" t="n">
        <v>50</v>
      </c>
      <c r="I1854" s="1" t="n">
        <v>0.16</v>
      </c>
    </row>
    <row r="1855" ht="15.75" customHeight="1" s="201">
      <c r="A1855" s="1" t="inlineStr">
        <is>
          <t>Butterbur, canned</t>
        </is>
      </c>
      <c r="C1855" s="1" t="n">
        <v>0.38</v>
      </c>
      <c r="D1855" s="1" t="n">
        <v>3</v>
      </c>
      <c r="E1855" s="1" t="n">
        <v>0.63</v>
      </c>
      <c r="F1855" s="1" t="n">
        <v>0.11</v>
      </c>
      <c r="G1855" s="1" t="n">
        <v>0.13</v>
      </c>
      <c r="H1855" s="1" t="n">
        <v>0</v>
      </c>
      <c r="I1855" s="1" t="n">
        <v>0.06</v>
      </c>
      <c r="J1855" t="n">
        <v>63311110</v>
      </c>
    </row>
    <row r="1856" ht="15.75" customHeight="1" s="201">
      <c r="A1856" s="1" t="inlineStr">
        <is>
          <t>Butterbur, cooked, boiled, drained, with salt</t>
        </is>
      </c>
      <c r="C1856" s="1" t="n">
        <v>2.16</v>
      </c>
      <c r="D1856" s="1" t="n">
        <v>4</v>
      </c>
      <c r="E1856" s="1" t="n">
        <v>0.1</v>
      </c>
      <c r="F1856" s="1" t="n">
        <v>0.23</v>
      </c>
      <c r="G1856" s="1" t="n">
        <v>0.02</v>
      </c>
      <c r="H1856" s="1" t="n">
        <v>27</v>
      </c>
      <c r="I1856" s="1" t="n">
        <v>0.09</v>
      </c>
      <c r="J1856" t="n">
        <v>75142550</v>
      </c>
    </row>
    <row r="1857" ht="15.75" customHeight="1" s="201">
      <c r="A1857" s="1" t="inlineStr">
        <is>
          <t>Butterbur, cooked, boiled, drained, without salt</t>
        </is>
      </c>
      <c r="C1857" s="1" t="n">
        <v>2.16</v>
      </c>
      <c r="D1857" s="1" t="n">
        <v>4</v>
      </c>
      <c r="E1857" s="1" t="n">
        <v>0.1</v>
      </c>
      <c r="F1857" s="1" t="n">
        <v>0.23</v>
      </c>
      <c r="G1857" s="1" t="n">
        <v>0.02</v>
      </c>
      <c r="H1857" s="1" t="n">
        <v>27</v>
      </c>
      <c r="I1857" s="1" t="n">
        <v>0.09</v>
      </c>
      <c r="J1857" t="n">
        <v>31103010</v>
      </c>
    </row>
    <row r="1858" ht="15.75" customHeight="1" s="201">
      <c r="A1858" s="1" t="inlineStr">
        <is>
          <t>Cabbage, chinese (pak-choi), cooked, boiled, drained, with salt</t>
        </is>
      </c>
      <c r="C1858" s="1" t="n">
        <v>1.78</v>
      </c>
      <c r="D1858" s="1" t="n">
        <v>41</v>
      </c>
      <c r="E1858" s="1" t="n">
        <v>1.04</v>
      </c>
      <c r="F1858" s="1" t="n">
        <v>1.56</v>
      </c>
      <c r="G1858" s="1" t="n">
        <v>0.16</v>
      </c>
      <c r="H1858" s="1" t="n">
        <v>4249</v>
      </c>
      <c r="I1858" s="1" t="n">
        <v>0.17</v>
      </c>
      <c r="J1858" t="n">
        <v>75142550</v>
      </c>
    </row>
    <row r="1859" ht="15.75" customHeight="1" s="201">
      <c r="A1859" s="1" t="inlineStr">
        <is>
          <t>Cabbage, chinese (pak-choi), cooked, boiled, drained, without salt</t>
        </is>
      </c>
      <c r="C1859" s="1" t="n">
        <v>1.78</v>
      </c>
      <c r="D1859" s="1" t="n">
        <v>41</v>
      </c>
      <c r="E1859" s="1" t="n">
        <v>1.04</v>
      </c>
      <c r="F1859" s="1" t="n">
        <v>1.56</v>
      </c>
      <c r="G1859" s="1" t="n">
        <v>0.16</v>
      </c>
      <c r="H1859" s="1" t="n">
        <v>4249</v>
      </c>
      <c r="I1859" s="1" t="n">
        <v>0.17</v>
      </c>
      <c r="J1859" t="n">
        <v>75210010</v>
      </c>
    </row>
    <row r="1860" ht="15.75" customHeight="1" s="201">
      <c r="A1860" s="1" t="inlineStr">
        <is>
          <t>Cabbage, chinese (pak-choi), raw</t>
        </is>
      </c>
      <c r="C1860" s="1" t="n">
        <v>2.18</v>
      </c>
      <c r="D1860" s="1" t="n">
        <v>66</v>
      </c>
      <c r="E1860" s="1" t="n">
        <v>0.8</v>
      </c>
      <c r="F1860" s="1" t="n">
        <v>1.5</v>
      </c>
      <c r="G1860" s="1" t="n">
        <v>0.2</v>
      </c>
      <c r="H1860" s="1" t="n">
        <v>4468</v>
      </c>
      <c r="I1860" s="1" t="n">
        <v>0.19</v>
      </c>
      <c r="J1860" t="n">
        <v>75104000</v>
      </c>
    </row>
    <row r="1861" ht="15.75" customHeight="1" s="201">
      <c r="A1861" s="1" t="inlineStr">
        <is>
          <t>Cabbage, chinese (pe-tsai), cooked, boiled, drained, with salt</t>
        </is>
      </c>
      <c r="C1861" s="1" t="n">
        <v>2.41</v>
      </c>
      <c r="D1861" s="1" t="n">
        <v>53</v>
      </c>
      <c r="E1861" s="1" t="n">
        <v>0.3</v>
      </c>
      <c r="F1861" s="1" t="n">
        <v>1.5</v>
      </c>
      <c r="G1861" s="1" t="n">
        <v>0.17</v>
      </c>
      <c r="H1861" s="1" t="n">
        <v>967</v>
      </c>
      <c r="I1861" s="1" t="n">
        <v>0.18</v>
      </c>
      <c r="J1861" t="n">
        <v>75142550</v>
      </c>
    </row>
    <row r="1862" ht="15.75" customHeight="1" s="201">
      <c r="A1862" s="1" t="inlineStr">
        <is>
          <t>Cabbage, chinese (pe-tsai), cooked, boiled, drained, without salt</t>
        </is>
      </c>
      <c r="C1862" s="1" t="n">
        <v>2.41</v>
      </c>
      <c r="D1862" s="1" t="n">
        <v>53</v>
      </c>
      <c r="E1862" s="1" t="n">
        <v>0.3</v>
      </c>
      <c r="F1862" s="1" t="n">
        <v>1.5</v>
      </c>
      <c r="G1862" s="1" t="n">
        <v>0.17</v>
      </c>
      <c r="H1862" s="1" t="n">
        <v>967</v>
      </c>
      <c r="I1862" s="1" t="n">
        <v>0.18</v>
      </c>
      <c r="J1862" t="n">
        <v>75210010</v>
      </c>
    </row>
    <row r="1863" ht="15.75" customHeight="1" s="201">
      <c r="A1863" s="1" t="inlineStr">
        <is>
          <t>Cabbage, chinese (pe-tsai), raw</t>
        </is>
      </c>
      <c r="C1863" s="1" t="n">
        <v>3.23</v>
      </c>
      <c r="D1863" s="1" t="n">
        <v>79</v>
      </c>
      <c r="E1863" s="1" t="n">
        <v>0.31</v>
      </c>
      <c r="F1863" s="1" t="n">
        <v>1.2</v>
      </c>
      <c r="G1863" s="1" t="n">
        <v>0.2</v>
      </c>
      <c r="H1863" s="1" t="n">
        <v>318</v>
      </c>
      <c r="I1863" s="1" t="n">
        <v>0.23</v>
      </c>
      <c r="J1863" t="n">
        <v>75104000</v>
      </c>
    </row>
    <row r="1864" ht="15.75" customHeight="1" s="201">
      <c r="A1864" s="1" t="inlineStr">
        <is>
          <t>Cabbage, common (danish, domestic, and pointed types), freshly harvest, raw</t>
        </is>
      </c>
      <c r="C1864" s="1" t="n">
        <v>5.37</v>
      </c>
      <c r="D1864" s="1" t="n">
        <v>57</v>
      </c>
      <c r="E1864" s="1" t="n">
        <v>0.5600000000000001</v>
      </c>
      <c r="F1864" s="1" t="n">
        <v>1.21</v>
      </c>
      <c r="G1864" s="1" t="n">
        <v>0.18</v>
      </c>
      <c r="H1864" s="1" t="n">
        <v>126</v>
      </c>
      <c r="I1864" s="1" t="n">
        <v>0.18</v>
      </c>
    </row>
    <row r="1865" ht="15.75" customHeight="1" s="201">
      <c r="A1865" s="1" t="inlineStr">
        <is>
          <t>Cabbage, common (danish, domestic, and pointed types), stored, raw</t>
        </is>
      </c>
      <c r="C1865" s="1" t="n">
        <v>5.37</v>
      </c>
      <c r="D1865" s="1" t="n">
        <v>57</v>
      </c>
      <c r="E1865" s="1" t="n">
        <v>0.5600000000000001</v>
      </c>
      <c r="F1865" s="1" t="n">
        <v>1.21</v>
      </c>
      <c r="G1865" s="1" t="n">
        <v>0.18</v>
      </c>
      <c r="H1865" s="1" t="n">
        <v>126</v>
      </c>
      <c r="I1865" s="1" t="n">
        <v>0.18</v>
      </c>
    </row>
    <row r="1866" ht="15.75" customHeight="1" s="201">
      <c r="A1866" s="1" t="inlineStr">
        <is>
          <t>Cabbage, common, cooked, boiled, drained, with salt</t>
        </is>
      </c>
      <c r="C1866" s="1" t="n">
        <v>5.51</v>
      </c>
      <c r="D1866" s="1" t="n">
        <v>30</v>
      </c>
      <c r="E1866" s="1" t="n">
        <v>0.17</v>
      </c>
      <c r="F1866" s="1" t="n">
        <v>1.27</v>
      </c>
      <c r="G1866" s="1" t="n">
        <v>0.06</v>
      </c>
      <c r="H1866" s="1" t="n">
        <v>80</v>
      </c>
      <c r="I1866" s="1" t="n">
        <v>0.2</v>
      </c>
      <c r="J1866" t="n">
        <v>75142550</v>
      </c>
    </row>
    <row r="1867" ht="15.75" customHeight="1" s="201">
      <c r="A1867" s="1" t="inlineStr">
        <is>
          <t>Cabbage, cooked, boiled, drained, without salt</t>
        </is>
      </c>
      <c r="C1867" s="1" t="n">
        <v>5.51</v>
      </c>
      <c r="D1867" s="1" t="n">
        <v>30</v>
      </c>
      <c r="E1867" s="1" t="n">
        <v>0.17</v>
      </c>
      <c r="F1867" s="1" t="n">
        <v>1.27</v>
      </c>
      <c r="G1867" s="1" t="n">
        <v>0.06</v>
      </c>
      <c r="H1867" s="1" t="n">
        <v>80</v>
      </c>
      <c r="I1867" s="1" t="n">
        <v>0.2</v>
      </c>
      <c r="J1867" t="n">
        <v>31103010</v>
      </c>
    </row>
    <row r="1868" ht="15.75" customHeight="1" s="201">
      <c r="A1868" s="1" t="inlineStr">
        <is>
          <t>Cabbage, japanese style, fresh, pickled</t>
        </is>
      </c>
      <c r="C1868" s="1" t="n">
        <v>5.67</v>
      </c>
      <c r="D1868" s="1" t="n">
        <v>42</v>
      </c>
      <c r="E1868" s="1" t="n">
        <v>0.49</v>
      </c>
      <c r="F1868" s="1" t="n">
        <v>1.6</v>
      </c>
      <c r="G1868" s="1" t="n">
        <v>0.1</v>
      </c>
      <c r="H1868" s="1" t="n">
        <v>189</v>
      </c>
      <c r="I1868" s="1" t="n">
        <v>0.2</v>
      </c>
      <c r="J1868" t="n">
        <v>75502500</v>
      </c>
    </row>
    <row r="1869" ht="15.75" customHeight="1" s="201">
      <c r="A1869" s="1" t="inlineStr">
        <is>
          <t>Cabbage, kimchi</t>
        </is>
      </c>
      <c r="C1869" s="1" t="n">
        <v>2.4</v>
      </c>
      <c r="D1869" s="1" t="n">
        <v>52</v>
      </c>
      <c r="E1869" s="1" t="n">
        <v>2.5</v>
      </c>
      <c r="F1869" s="1" t="n">
        <v>1.1</v>
      </c>
      <c r="G1869" s="1" t="n">
        <v>0.5</v>
      </c>
      <c r="H1869" s="1" t="n">
        <v>93</v>
      </c>
      <c r="I1869" s="1" t="n">
        <v>0.22</v>
      </c>
      <c r="J1869" t="n">
        <v>75105000</v>
      </c>
    </row>
    <row r="1870" ht="15.75" customHeight="1" s="201">
      <c r="A1870" s="1" t="inlineStr">
        <is>
          <t>Cabbage, mustard, salted</t>
        </is>
      </c>
      <c r="C1870" s="1" t="n">
        <v>5.63</v>
      </c>
      <c r="D1870" s="1" t="n">
        <v>72</v>
      </c>
      <c r="E1870" s="1" t="n">
        <v>0.7</v>
      </c>
      <c r="F1870" s="1" t="n">
        <v>1.1</v>
      </c>
      <c r="G1870" s="1" t="n">
        <v>0.1</v>
      </c>
      <c r="H1870" s="1" t="n">
        <v>971</v>
      </c>
      <c r="I1870" s="1" t="n">
        <v>0.3</v>
      </c>
      <c r="J1870" t="n">
        <v>75105000</v>
      </c>
    </row>
    <row r="1871" ht="15.75" customHeight="1" s="201">
      <c r="A1871" s="1" t="inlineStr">
        <is>
          <t>Cabbage, napa, cooked</t>
        </is>
      </c>
      <c r="C1871" s="1" t="n">
        <v>2.23</v>
      </c>
      <c r="D1871" s="1" t="n">
        <v>43</v>
      </c>
      <c r="E1871" s="1" t="n">
        <v>0.74</v>
      </c>
      <c r="F1871" s="1" t="n">
        <v>1.1</v>
      </c>
      <c r="G1871" s="1" t="n">
        <v>0.17</v>
      </c>
      <c r="H1871" s="1" t="n">
        <v>263</v>
      </c>
      <c r="I1871" s="1" t="n">
        <v>0.14</v>
      </c>
      <c r="J1871" t="n">
        <v>75105000</v>
      </c>
    </row>
    <row r="1872" ht="15.75" customHeight="1" s="201">
      <c r="A1872" s="1" t="inlineStr">
        <is>
          <t>Cabbage, raw</t>
        </is>
      </c>
      <c r="C1872" s="1" t="n">
        <v>5.8</v>
      </c>
      <c r="D1872" s="1" t="n">
        <v>43</v>
      </c>
      <c r="E1872" s="1" t="n">
        <v>0.47</v>
      </c>
      <c r="F1872" s="1" t="n">
        <v>1.28</v>
      </c>
      <c r="G1872" s="1" t="n">
        <v>0.1</v>
      </c>
      <c r="H1872" s="1" t="n">
        <v>98</v>
      </c>
      <c r="I1872" s="1" t="n">
        <v>0.18</v>
      </c>
      <c r="J1872" t="n">
        <v>75105000</v>
      </c>
    </row>
    <row r="1873" ht="15.75" customHeight="1" s="201">
      <c r="A1873" s="1" t="inlineStr">
        <is>
          <t>Cabbage, red, cooked, boiled, drained, with salt</t>
        </is>
      </c>
      <c r="C1873" s="1" t="n">
        <v>6.94</v>
      </c>
      <c r="D1873" s="1" t="n">
        <v>24</v>
      </c>
      <c r="E1873" s="1" t="n">
        <v>0.66</v>
      </c>
      <c r="F1873" s="1" t="n">
        <v>1.51</v>
      </c>
      <c r="G1873" s="1" t="n">
        <v>0.09</v>
      </c>
      <c r="H1873" s="1" t="n">
        <v>33</v>
      </c>
      <c r="I1873" s="1" t="n">
        <v>0.25</v>
      </c>
      <c r="J1873" t="n">
        <v>75142550</v>
      </c>
    </row>
    <row r="1874" ht="15.75" customHeight="1" s="201">
      <c r="A1874" s="1" t="inlineStr">
        <is>
          <t>Cabbage, red, cooked, boiled, drained, without salt</t>
        </is>
      </c>
      <c r="C1874" s="1" t="n">
        <v>6.94</v>
      </c>
      <c r="D1874" s="1" t="n">
        <v>24</v>
      </c>
      <c r="E1874" s="1" t="n">
        <v>0.66</v>
      </c>
      <c r="F1874" s="1" t="n">
        <v>1.51</v>
      </c>
      <c r="G1874" s="1" t="n">
        <v>0.09</v>
      </c>
      <c r="H1874" s="1" t="n">
        <v>33</v>
      </c>
      <c r="I1874" s="1" t="n">
        <v>0.25</v>
      </c>
      <c r="J1874" t="n">
        <v>31103010</v>
      </c>
    </row>
    <row r="1875" ht="15.75" customHeight="1" s="201">
      <c r="A1875" s="1" t="inlineStr">
        <is>
          <t>Cabbage, red, raw</t>
        </is>
      </c>
      <c r="C1875" s="1" t="n">
        <v>7.37</v>
      </c>
      <c r="D1875" s="1" t="n">
        <v>18</v>
      </c>
      <c r="E1875" s="1" t="n">
        <v>0.8</v>
      </c>
      <c r="F1875" s="1" t="n">
        <v>1.43</v>
      </c>
      <c r="G1875" s="1" t="n">
        <v>0.16</v>
      </c>
      <c r="H1875" s="1" t="n">
        <v>1116</v>
      </c>
      <c r="I1875" s="1" t="n">
        <v>0.22</v>
      </c>
      <c r="J1875" t="n">
        <v>75105000</v>
      </c>
    </row>
    <row r="1876" ht="15.75" customHeight="1" s="201">
      <c r="A1876" s="1" t="inlineStr">
        <is>
          <t>Cabbage, savoy, cooked, boiled, drained, with salt</t>
        </is>
      </c>
      <c r="C1876" s="1" t="n">
        <v>5.41</v>
      </c>
      <c r="D1876" s="1" t="n">
        <v>46</v>
      </c>
      <c r="E1876" s="1" t="n">
        <v>0.38</v>
      </c>
      <c r="F1876" s="1" t="n">
        <v>1.8</v>
      </c>
      <c r="G1876" s="1" t="n">
        <v>0.09</v>
      </c>
      <c r="H1876" s="1" t="n">
        <v>889</v>
      </c>
      <c r="I1876" s="1" t="n">
        <v>0.23</v>
      </c>
      <c r="J1876" t="n">
        <v>75142550</v>
      </c>
    </row>
    <row r="1877" ht="15.75" customHeight="1" s="201">
      <c r="A1877" s="1" t="inlineStr">
        <is>
          <t>Cabbage, savoy, cooked, boiled, drained, without salt</t>
        </is>
      </c>
      <c r="C1877" s="1" t="n">
        <v>5.41</v>
      </c>
      <c r="D1877" s="1" t="n">
        <v>46</v>
      </c>
      <c r="E1877" s="1" t="n">
        <v>0.38</v>
      </c>
      <c r="F1877" s="1" t="n">
        <v>1.8</v>
      </c>
      <c r="G1877" s="1" t="n">
        <v>0.09</v>
      </c>
      <c r="H1877" s="1" t="n">
        <v>889</v>
      </c>
      <c r="I1877" s="1" t="n">
        <v>0.23</v>
      </c>
      <c r="J1877" t="n">
        <v>31103010</v>
      </c>
    </row>
    <row r="1878" ht="15.75" customHeight="1" s="201">
      <c r="A1878" s="1" t="inlineStr">
        <is>
          <t>Cabbage, savoy, raw</t>
        </is>
      </c>
      <c r="C1878" s="1" t="n">
        <v>6.1</v>
      </c>
      <c r="D1878" s="1" t="n">
        <v>80</v>
      </c>
      <c r="E1878" s="1" t="n">
        <v>0.4</v>
      </c>
      <c r="F1878" s="1" t="n">
        <v>2</v>
      </c>
      <c r="G1878" s="1" t="n">
        <v>0.1</v>
      </c>
      <c r="H1878" s="1" t="n">
        <v>1000</v>
      </c>
      <c r="I1878" s="1" t="n">
        <v>0.27</v>
      </c>
      <c r="J1878" t="n">
        <v>75105000</v>
      </c>
    </row>
    <row r="1879" ht="15.75" customHeight="1" s="201">
      <c r="A1879" s="1" t="inlineStr">
        <is>
          <t>Cake, angelfood, commercially prepared</t>
        </is>
      </c>
      <c r="C1879" s="1" t="n">
        <v>57.8</v>
      </c>
      <c r="D1879" s="1" t="n">
        <v>35</v>
      </c>
      <c r="E1879" s="1" t="n">
        <v>0.52</v>
      </c>
      <c r="F1879" s="1" t="n">
        <v>5.9</v>
      </c>
      <c r="G1879" s="1" t="n">
        <v>0.8</v>
      </c>
      <c r="H1879" s="1" t="n">
        <v>0</v>
      </c>
      <c r="I1879" s="1" t="n">
        <v>0.07000000000000001</v>
      </c>
      <c r="J1879" t="n">
        <v>53116000</v>
      </c>
    </row>
    <row r="1880" ht="15.75" customHeight="1" s="201">
      <c r="A1880" s="1" t="inlineStr">
        <is>
          <t>Cake, angelfood, dry mix, prepared</t>
        </is>
      </c>
      <c r="C1880" s="1" t="n">
        <v>58.7</v>
      </c>
      <c r="D1880" s="1" t="n">
        <v>19</v>
      </c>
      <c r="E1880" s="1" t="n">
        <v>0.23</v>
      </c>
      <c r="F1880" s="1" t="n">
        <v>6.1</v>
      </c>
      <c r="G1880" s="1" t="n">
        <v>0.3</v>
      </c>
      <c r="H1880" s="1" t="n">
        <v>0</v>
      </c>
      <c r="I1880" s="1" t="n">
        <v>0.13</v>
      </c>
      <c r="J1880" t="n">
        <v>53116000</v>
      </c>
    </row>
    <row r="1881" ht="15.75" customHeight="1" s="201">
      <c r="A1881" s="1" t="inlineStr">
        <is>
          <t>Cake, boston cream pie, commercially prepared</t>
        </is>
      </c>
      <c r="C1881" s="1" t="n">
        <v>42.9</v>
      </c>
      <c r="D1881" s="1" t="n">
        <v>14</v>
      </c>
      <c r="E1881" s="1" t="n">
        <v>0.38</v>
      </c>
      <c r="F1881" s="1" t="n">
        <v>2.4</v>
      </c>
      <c r="G1881" s="1" t="n">
        <v>8.5</v>
      </c>
      <c r="H1881" s="1" t="n">
        <v>82</v>
      </c>
      <c r="I1881" s="1" t="n">
        <v>0.16</v>
      </c>
      <c r="J1881" t="n">
        <v>53116000</v>
      </c>
    </row>
    <row r="1882" ht="15.75" customHeight="1" s="201">
      <c r="A1882" s="1" t="inlineStr">
        <is>
          <t>Cake, cheesecake, commercially prepared</t>
        </is>
      </c>
      <c r="C1882" s="1" t="n">
        <v>25.5</v>
      </c>
      <c r="D1882" s="1" t="n">
        <v>18</v>
      </c>
      <c r="E1882" s="1" t="n">
        <v>0.63</v>
      </c>
      <c r="F1882" s="1" t="n">
        <v>5.5</v>
      </c>
      <c r="G1882" s="1" t="n">
        <v>22.5</v>
      </c>
      <c r="H1882" s="1" t="n">
        <v>547</v>
      </c>
      <c r="I1882" s="1" t="n">
        <v>0.51</v>
      </c>
      <c r="J1882" t="n">
        <v>53116000</v>
      </c>
    </row>
    <row r="1883" ht="15.75" customHeight="1" s="201">
      <c r="A1883" s="1" t="inlineStr">
        <is>
          <t>Cake, cheesecake, prepared from mix, no-bake type</t>
        </is>
      </c>
      <c r="C1883" s="1" t="n">
        <v>35.5</v>
      </c>
      <c r="D1883" s="1" t="n">
        <v>30</v>
      </c>
      <c r="E1883" s="1" t="n">
        <v>0.47</v>
      </c>
      <c r="F1883" s="1" t="n">
        <v>5.5</v>
      </c>
      <c r="G1883" s="1" t="n">
        <v>12.7</v>
      </c>
      <c r="H1883" s="1" t="n">
        <v>366</v>
      </c>
      <c r="I1883" s="1" t="n">
        <v>0.46</v>
      </c>
      <c r="J1883" t="n">
        <v>53116000</v>
      </c>
    </row>
    <row r="1884" ht="15.75" customHeight="1" s="201">
      <c r="A1884" s="1" t="inlineStr">
        <is>
          <t>Cake, chocolate, prepared from recipe without frosting</t>
        </is>
      </c>
      <c r="C1884" s="1" t="n">
        <v>53.4</v>
      </c>
      <c r="D1884" s="1" t="n">
        <v>27</v>
      </c>
      <c r="E1884" s="1" t="n">
        <v>1.61</v>
      </c>
      <c r="F1884" s="1" t="n">
        <v>5.3</v>
      </c>
      <c r="G1884" s="1" t="n">
        <v>15.1</v>
      </c>
      <c r="H1884" s="1" t="n">
        <v>140</v>
      </c>
      <c r="I1884" s="1" t="n">
        <v>0.6899999999999999</v>
      </c>
      <c r="J1884" t="n">
        <v>53108200</v>
      </c>
    </row>
    <row r="1885" ht="15.75" customHeight="1" s="201">
      <c r="A1885" s="1" t="inlineStr">
        <is>
          <t>Cake, coffeecake, cheese</t>
        </is>
      </c>
      <c r="C1885" s="1" t="n">
        <v>44.3</v>
      </c>
      <c r="D1885" s="1" t="n">
        <v>39</v>
      </c>
      <c r="E1885" s="1" t="n">
        <v>0.64</v>
      </c>
      <c r="F1885" s="1" t="n">
        <v>7</v>
      </c>
      <c r="G1885" s="1" t="n">
        <v>15.2</v>
      </c>
      <c r="H1885" s="1" t="n">
        <v>287</v>
      </c>
      <c r="I1885" s="1" t="n">
        <v>0.59</v>
      </c>
      <c r="J1885" t="n">
        <v>53116000</v>
      </c>
    </row>
    <row r="1886" ht="15.75" customHeight="1" s="201">
      <c r="A1886" s="1" t="inlineStr">
        <is>
          <t>Cake, coffeecake, cinnamon with crumb topping, commercially prepared, enriched</t>
        </is>
      </c>
      <c r="C1886" s="1" t="n">
        <v>46.7</v>
      </c>
      <c r="D1886" s="1" t="n">
        <v>61</v>
      </c>
      <c r="E1886" s="1" t="n">
        <v>1.91</v>
      </c>
      <c r="F1886" s="1" t="n">
        <v>6.8</v>
      </c>
      <c r="G1886" s="1" t="n">
        <v>23.3</v>
      </c>
      <c r="H1886" s="1" t="n">
        <v>111</v>
      </c>
      <c r="I1886" s="1" t="n">
        <v>0.8100000000000001</v>
      </c>
      <c r="J1886" t="n">
        <v>53116000</v>
      </c>
    </row>
    <row r="1887" ht="15.75" customHeight="1" s="201">
      <c r="A1887" s="1" t="inlineStr">
        <is>
          <t>Cake, gingerbread, dry mix</t>
        </is>
      </c>
      <c r="C1887" s="1" t="n">
        <v>74.59999999999999</v>
      </c>
      <c r="D1887" s="1" t="n">
        <v>51</v>
      </c>
      <c r="E1887" s="1" t="n">
        <v>4.7</v>
      </c>
      <c r="F1887" s="1" t="n">
        <v>4.4</v>
      </c>
      <c r="G1887" s="1" t="n">
        <v>13.8</v>
      </c>
      <c r="H1887" s="1" t="n">
        <v>3</v>
      </c>
      <c r="I1887" s="1" t="n">
        <v>0.36</v>
      </c>
      <c r="J1887" t="n">
        <v>53116000</v>
      </c>
    </row>
    <row r="1888" ht="15.75" customHeight="1" s="201">
      <c r="A1888" s="1" t="inlineStr">
        <is>
          <t>Cake, gingerbread, prepared from recipe</t>
        </is>
      </c>
      <c r="C1888" s="1" t="n">
        <v>49.2</v>
      </c>
      <c r="D1888" s="1" t="n">
        <v>33</v>
      </c>
      <c r="E1888" s="1" t="n">
        <v>2.88</v>
      </c>
      <c r="F1888" s="1" t="n">
        <v>3.9</v>
      </c>
      <c r="G1888" s="1" t="n">
        <v>16.4</v>
      </c>
      <c r="H1888" s="1" t="n">
        <v>48</v>
      </c>
      <c r="I1888" s="1" t="n">
        <v>0.39</v>
      </c>
      <c r="J1888" t="n">
        <v>53116000</v>
      </c>
    </row>
    <row r="1889" ht="15.75" customHeight="1" s="201">
      <c r="A1889" s="1" t="inlineStr">
        <is>
          <t>Cake, pineapple upside-down, prepared from recipe</t>
        </is>
      </c>
      <c r="C1889" s="1" t="n">
        <v>50.5</v>
      </c>
      <c r="D1889" s="1" t="n">
        <v>26</v>
      </c>
      <c r="E1889" s="1" t="n">
        <v>1.48</v>
      </c>
      <c r="F1889" s="1" t="n">
        <v>3.5</v>
      </c>
      <c r="G1889" s="1" t="n">
        <v>12.1</v>
      </c>
      <c r="H1889" s="1" t="n">
        <v>253</v>
      </c>
      <c r="I1889" s="1" t="n">
        <v>0.31</v>
      </c>
      <c r="J1889" t="n">
        <v>53116000</v>
      </c>
    </row>
    <row r="1890" ht="15.75" customHeight="1" s="201">
      <c r="A1890" s="1" t="inlineStr">
        <is>
          <t>Cake, pound, Bimbo Bakeries USA, Panque Casero, home baked style</t>
        </is>
      </c>
      <c r="C1890" s="1" t="n">
        <v>48.94</v>
      </c>
      <c r="E1890" s="1" t="n">
        <v>1.51</v>
      </c>
      <c r="F1890" s="1" t="n">
        <v>6.62</v>
      </c>
      <c r="G1890" s="1" t="n">
        <v>21.7</v>
      </c>
      <c r="I1890" s="1" t="n">
        <v>0.59</v>
      </c>
      <c r="J1890" t="n">
        <v>53116000</v>
      </c>
    </row>
    <row r="1891" ht="15.75" customHeight="1" s="201">
      <c r="A1891" s="1" t="inlineStr">
        <is>
          <t>Cake, pound, commercially prepared, butter (includes fresh and frozen)</t>
        </is>
      </c>
      <c r="C1891" s="1" t="n">
        <v>53.64</v>
      </c>
      <c r="D1891" s="1" t="n">
        <v>42</v>
      </c>
      <c r="E1891" s="1" t="n">
        <v>1.48</v>
      </c>
      <c r="F1891" s="1" t="n">
        <v>5</v>
      </c>
      <c r="G1891" s="1" t="n">
        <v>13.96</v>
      </c>
      <c r="H1891" s="1" t="n">
        <v>241</v>
      </c>
      <c r="I1891" s="1" t="n">
        <v>0.43</v>
      </c>
      <c r="J1891" t="n">
        <v>53116000</v>
      </c>
    </row>
    <row r="1892" ht="15.75" customHeight="1" s="201">
      <c r="A1892" s="1" t="inlineStr">
        <is>
          <t>Cake, pound, commercially prepared, fat-free</t>
        </is>
      </c>
      <c r="C1892" s="1" t="n">
        <v>61</v>
      </c>
      <c r="D1892" s="1" t="n">
        <v>43</v>
      </c>
      <c r="E1892" s="1" t="n">
        <v>2.06</v>
      </c>
      <c r="F1892" s="1" t="n">
        <v>5.4</v>
      </c>
      <c r="G1892" s="1" t="n">
        <v>1.2</v>
      </c>
      <c r="H1892" s="1" t="n">
        <v>95</v>
      </c>
      <c r="I1892" s="1" t="n">
        <v>0.31</v>
      </c>
      <c r="J1892" t="n">
        <v>53116000</v>
      </c>
    </row>
    <row r="1893" ht="15.75" customHeight="1" s="201">
      <c r="A1893" s="1" t="inlineStr">
        <is>
          <t>Cake, pudding-type, white, enriched, dry mix</t>
        </is>
      </c>
      <c r="C1893" s="1" t="n">
        <v>80.90000000000001</v>
      </c>
      <c r="D1893" s="1" t="n">
        <v>91</v>
      </c>
      <c r="E1893" s="1" t="n">
        <v>1.36</v>
      </c>
      <c r="F1893" s="1" t="n">
        <v>3.9</v>
      </c>
      <c r="G1893" s="1" t="n">
        <v>9.5</v>
      </c>
      <c r="H1893" s="1" t="n">
        <v>0</v>
      </c>
      <c r="I1893" s="1" t="n">
        <v>0.25</v>
      </c>
      <c r="J1893" t="n">
        <v>53109200</v>
      </c>
    </row>
    <row r="1894" ht="15.75" customHeight="1" s="201">
      <c r="A1894" s="1" t="inlineStr">
        <is>
          <t>Cake, snack cakes, creme-filled, chocolate with frosting, low-fat, with added fiber</t>
        </is>
      </c>
      <c r="C1894" s="1" t="n">
        <v>69.37</v>
      </c>
      <c r="D1894" s="1" t="n">
        <v>69</v>
      </c>
      <c r="E1894" s="1" t="n">
        <v>4.01</v>
      </c>
      <c r="F1894" s="1" t="n">
        <v>3.71</v>
      </c>
      <c r="G1894" s="1" t="n">
        <v>13</v>
      </c>
      <c r="H1894" s="1" t="n">
        <v>2</v>
      </c>
      <c r="I1894" s="1" t="n">
        <v>0.73</v>
      </c>
      <c r="J1894" t="n">
        <v>53108200</v>
      </c>
    </row>
    <row r="1895" ht="15.75" customHeight="1" s="201">
      <c r="A1895" s="1" t="inlineStr">
        <is>
          <t>Cake, snack cakes, not chocolate, with icing or filling, low-fat, with added fiber</t>
        </is>
      </c>
      <c r="C1895" s="1" t="n">
        <v>74.3</v>
      </c>
      <c r="D1895" s="1" t="n">
        <v>75</v>
      </c>
      <c r="E1895" s="1" t="n">
        <v>1.34</v>
      </c>
      <c r="F1895" s="1" t="n">
        <v>3.71</v>
      </c>
      <c r="G1895" s="1" t="n">
        <v>11.14</v>
      </c>
      <c r="H1895" s="1" t="n">
        <v>16</v>
      </c>
      <c r="I1895" s="1" t="n">
        <v>0.49</v>
      </c>
      <c r="J1895" t="n">
        <v>53108200</v>
      </c>
    </row>
    <row r="1896" ht="15.75" customHeight="1" s="201">
      <c r="A1896" s="1" t="inlineStr">
        <is>
          <t>Cake, sponge, commercially prepared</t>
        </is>
      </c>
      <c r="C1896" s="1" t="n">
        <v>61</v>
      </c>
      <c r="D1896" s="1" t="n">
        <v>47</v>
      </c>
      <c r="E1896" s="1" t="n">
        <v>2.72</v>
      </c>
      <c r="F1896" s="1" t="n">
        <v>5.4</v>
      </c>
      <c r="G1896" s="1" t="n">
        <v>2.7</v>
      </c>
      <c r="H1896" s="1" t="n">
        <v>154</v>
      </c>
      <c r="I1896" s="1" t="n">
        <v>0.51</v>
      </c>
      <c r="J1896" t="n">
        <v>53116000</v>
      </c>
    </row>
    <row r="1897" ht="15.75" customHeight="1" s="201">
      <c r="A1897" s="1" t="inlineStr">
        <is>
          <t>Cake, sponge, prepared from recipe</t>
        </is>
      </c>
      <c r="C1897" s="1" t="n">
        <v>57.7</v>
      </c>
      <c r="D1897" s="1" t="n">
        <v>39</v>
      </c>
      <c r="E1897" s="1" t="n">
        <v>1.58</v>
      </c>
      <c r="F1897" s="1" t="n">
        <v>7.3</v>
      </c>
      <c r="G1897" s="1" t="n">
        <v>4.3</v>
      </c>
      <c r="H1897" s="1" t="n">
        <v>258</v>
      </c>
      <c r="I1897" s="1" t="n">
        <v>0.59</v>
      </c>
      <c r="J1897" t="n">
        <v>53116000</v>
      </c>
    </row>
    <row r="1898" ht="15.75" customHeight="1" s="201">
      <c r="A1898" s="1" t="inlineStr">
        <is>
          <t>Cake, white, dry mix, special dietary (includes lemon-flavored)</t>
        </is>
      </c>
      <c r="C1898" s="1" t="n">
        <v>79.59999999999999</v>
      </c>
      <c r="D1898" s="1" t="n">
        <v>69</v>
      </c>
      <c r="E1898" s="1" t="n">
        <v>1.99</v>
      </c>
      <c r="F1898" s="1" t="n">
        <v>3</v>
      </c>
      <c r="G1898" s="1" t="n">
        <v>8.4</v>
      </c>
      <c r="H1898" s="1" t="n">
        <v>0</v>
      </c>
      <c r="I1898" s="1" t="n">
        <v>0.3</v>
      </c>
      <c r="J1898" t="n">
        <v>53109200</v>
      </c>
    </row>
    <row r="1899" ht="15.75" customHeight="1" s="201">
      <c r="A1899" s="1" t="inlineStr">
        <is>
          <t>Cake, white, prepared from recipe with coconut frosting</t>
        </is>
      </c>
      <c r="C1899" s="1" t="n">
        <v>63.2</v>
      </c>
      <c r="D1899" s="1" t="n">
        <v>31</v>
      </c>
      <c r="E1899" s="1" t="n">
        <v>1.16</v>
      </c>
      <c r="F1899" s="1" t="n">
        <v>4.4</v>
      </c>
      <c r="G1899" s="1" t="n">
        <v>10.3</v>
      </c>
      <c r="H1899" s="1" t="n">
        <v>42</v>
      </c>
      <c r="I1899" s="1" t="n">
        <v>0.33</v>
      </c>
      <c r="J1899" t="n">
        <v>53109200</v>
      </c>
    </row>
    <row r="1900" ht="15.75" customHeight="1" s="201">
      <c r="A1900" s="1" t="inlineStr">
        <is>
          <t>Cake, white, prepared from recipe without frosting</t>
        </is>
      </c>
      <c r="C1900" s="1" t="n">
        <v>57.2</v>
      </c>
      <c r="D1900" s="1" t="n">
        <v>38</v>
      </c>
      <c r="E1900" s="1" t="n">
        <v>1.52</v>
      </c>
      <c r="F1900" s="1" t="n">
        <v>5.4</v>
      </c>
      <c r="G1900" s="1" t="n">
        <v>12.4</v>
      </c>
      <c r="H1900" s="1" t="n">
        <v>52</v>
      </c>
      <c r="I1900" s="1" t="n">
        <v>0.32</v>
      </c>
      <c r="J1900" t="n">
        <v>53109200</v>
      </c>
    </row>
    <row r="1901" ht="15.75" customHeight="1" s="201">
      <c r="A1901" s="1" t="inlineStr">
        <is>
          <t>Cake, yellow, light, dry mix</t>
        </is>
      </c>
      <c r="C1901" s="1" t="n">
        <v>84.09999999999999</v>
      </c>
      <c r="D1901" s="1" t="n">
        <v>76</v>
      </c>
      <c r="E1901" s="1" t="n">
        <v>1.31</v>
      </c>
      <c r="F1901" s="1" t="n">
        <v>4.7</v>
      </c>
      <c r="G1901" s="1" t="n">
        <v>5.5</v>
      </c>
      <c r="H1901" s="1" t="n">
        <v>13</v>
      </c>
      <c r="I1901" s="1" t="n">
        <v>0.33</v>
      </c>
      <c r="J1901" t="n">
        <v>53109200</v>
      </c>
    </row>
    <row r="1902" ht="15.75" customHeight="1" s="201">
      <c r="A1902" s="1" t="inlineStr">
        <is>
          <t>Cake, yellow, prepared from recipe without frosting</t>
        </is>
      </c>
      <c r="C1902" s="1" t="n">
        <v>53</v>
      </c>
      <c r="D1902" s="1" t="n">
        <v>34</v>
      </c>
      <c r="E1902" s="1" t="n">
        <v>1.64</v>
      </c>
      <c r="F1902" s="1" t="n">
        <v>5.3</v>
      </c>
      <c r="G1902" s="1" t="n">
        <v>14.6</v>
      </c>
      <c r="H1902" s="1" t="n">
        <v>139</v>
      </c>
      <c r="I1902" s="1" t="n">
        <v>0.45</v>
      </c>
      <c r="J1902" t="n">
        <v>53109200</v>
      </c>
    </row>
    <row r="1903" ht="15.75" customHeight="1" s="201">
      <c r="A1903" s="1" t="inlineStr">
        <is>
          <t>CAMPBELL'S CHUNKY, Classic Chicken Noodle Soup</t>
        </is>
      </c>
      <c r="C1903" s="1" t="n">
        <v>5.41</v>
      </c>
      <c r="E1903" s="1" t="n">
        <v>0.34</v>
      </c>
      <c r="F1903" s="1" t="n">
        <v>3.41</v>
      </c>
      <c r="G1903" s="1" t="n">
        <v>1.3</v>
      </c>
      <c r="I1903" s="1" t="n">
        <v>0.18</v>
      </c>
      <c r="J1903" t="n">
        <v>28340630</v>
      </c>
    </row>
    <row r="1904" ht="15.75" customHeight="1" s="201">
      <c r="A1904" s="1" t="inlineStr">
        <is>
          <t>CAMPBELL'S CHUNKY, Hearty Beef Barley Soup</t>
        </is>
      </c>
      <c r="C1904" s="1" t="n">
        <v>8.98</v>
      </c>
      <c r="D1904" s="1" t="n">
        <v>12</v>
      </c>
      <c r="E1904" s="1" t="n">
        <v>0.49</v>
      </c>
      <c r="F1904" s="1" t="n">
        <v>2.89</v>
      </c>
      <c r="G1904" s="1" t="n">
        <v>0.92</v>
      </c>
      <c r="H1904" s="1" t="n">
        <v>157</v>
      </c>
      <c r="I1904" s="1" t="n">
        <v>0.54</v>
      </c>
      <c r="J1904" t="n">
        <v>28110510</v>
      </c>
    </row>
    <row r="1905" ht="15.75" customHeight="1" s="201">
      <c r="A1905" s="1" t="inlineStr">
        <is>
          <t>CAMPBELL'S CHUNKY, New England Clam Chowder</t>
        </is>
      </c>
      <c r="C1905" s="1" t="n">
        <v>9.01</v>
      </c>
      <c r="E1905" s="1" t="n">
        <v>0.55</v>
      </c>
      <c r="F1905" s="1" t="n">
        <v>2.46</v>
      </c>
      <c r="G1905" s="1" t="n">
        <v>3.85</v>
      </c>
      <c r="H1905" s="1" t="n">
        <v>6</v>
      </c>
      <c r="I1905" s="1" t="n">
        <v>0.27</v>
      </c>
      <c r="J1905" t="n">
        <v>28315050</v>
      </c>
    </row>
    <row r="1906" ht="15.75" customHeight="1" s="201">
      <c r="A1906" s="1" t="inlineStr">
        <is>
          <t>CAMPBELL'S CHUNKY, Old Fashioned Vegetable Beef Soup</t>
        </is>
      </c>
      <c r="C1906" s="1" t="n">
        <v>6.24</v>
      </c>
      <c r="E1906" s="1" t="n">
        <v>0.54</v>
      </c>
      <c r="F1906" s="1" t="n">
        <v>3.16</v>
      </c>
      <c r="G1906" s="1" t="n">
        <v>1.23</v>
      </c>
      <c r="H1906" s="1" t="n">
        <v>2595</v>
      </c>
      <c r="I1906" s="1" t="n">
        <v>0.59</v>
      </c>
      <c r="J1906" t="n">
        <v>28315050</v>
      </c>
    </row>
    <row r="1907" ht="15.75" customHeight="1" s="201">
      <c r="A1907" s="1" t="inlineStr">
        <is>
          <t>CAMPBELL'S, Chicken Noodle Soup, condensed</t>
        </is>
      </c>
      <c r="C1907" s="1" t="n">
        <v>5.97</v>
      </c>
      <c r="E1907" s="1" t="n">
        <v>0.6899999999999999</v>
      </c>
      <c r="F1907" s="1" t="n">
        <v>2.37</v>
      </c>
      <c r="G1907" s="1" t="n">
        <v>1.53</v>
      </c>
      <c r="I1907" s="1" t="n">
        <v>0.28</v>
      </c>
      <c r="J1907" t="n">
        <v>58407010</v>
      </c>
    </row>
    <row r="1908" ht="15.75" customHeight="1" s="201">
      <c r="A1908" s="1" t="inlineStr">
        <is>
          <t>CAMPBELL'S, Cream of Mushroom Soup, condensed</t>
        </is>
      </c>
      <c r="C1908" s="1" t="n">
        <v>6.59</v>
      </c>
      <c r="E1908" s="1" t="n">
        <v>0.16</v>
      </c>
      <c r="F1908" s="1" t="n">
        <v>1.29</v>
      </c>
      <c r="G1908" s="1" t="n">
        <v>5.5</v>
      </c>
      <c r="H1908" s="1" t="n">
        <v>8</v>
      </c>
      <c r="I1908" s="1" t="n">
        <v>0.11</v>
      </c>
      <c r="J1908" t="n">
        <v>58407010</v>
      </c>
    </row>
    <row r="1909" ht="15.75" customHeight="1" s="201">
      <c r="A1909" s="1" t="inlineStr">
        <is>
          <t>CAMPBELL'S, Tomato Soup, condensed</t>
        </is>
      </c>
      <c r="C1909" s="1" t="n">
        <v>15.22</v>
      </c>
      <c r="E1909" s="1" t="n">
        <v>0.59</v>
      </c>
      <c r="F1909" s="1" t="n">
        <v>1.46</v>
      </c>
      <c r="G1909" s="1" t="n">
        <v>0.44</v>
      </c>
      <c r="H1909" s="1" t="n">
        <v>323</v>
      </c>
      <c r="I1909" s="1" t="n">
        <v>0.18</v>
      </c>
      <c r="J1909" t="n">
        <v>74604600</v>
      </c>
    </row>
    <row r="1910" ht="15.75" customHeight="1" s="201">
      <c r="A1910" s="1" t="inlineStr">
        <is>
          <t>Canada Goose, breast meat only, skinless, raw</t>
        </is>
      </c>
      <c r="C1910" s="1" t="n">
        <v>0</v>
      </c>
      <c r="E1910" s="1" t="n">
        <v>5.91</v>
      </c>
      <c r="F1910" s="1" t="n">
        <v>24.31</v>
      </c>
      <c r="G1910" s="1" t="n">
        <v>4.02</v>
      </c>
      <c r="H1910" s="1" t="n">
        <v>38</v>
      </c>
      <c r="I1910" s="1" t="n">
        <v>1.68</v>
      </c>
      <c r="J1910" t="n">
        <v>25230320</v>
      </c>
    </row>
    <row r="1911" ht="15.75" customHeight="1" s="201">
      <c r="A1911" s="1" t="inlineStr">
        <is>
          <t>Canadian bacon, cooked, pan-fried</t>
        </is>
      </c>
      <c r="C1911" s="1" t="n">
        <v>1.8</v>
      </c>
      <c r="D1911" s="1" t="n">
        <v>4</v>
      </c>
      <c r="E1911" s="1" t="n">
        <v>0.5600000000000001</v>
      </c>
      <c r="F1911" s="1" t="n">
        <v>28.31</v>
      </c>
      <c r="G1911" s="1" t="n">
        <v>2.78</v>
      </c>
      <c r="H1911" s="1" t="n">
        <v>0</v>
      </c>
      <c r="I1911" s="1" t="n">
        <v>1.73</v>
      </c>
      <c r="J1911" t="n">
        <v>27446320</v>
      </c>
    </row>
    <row r="1912" ht="15.75" customHeight="1" s="201">
      <c r="A1912" s="1" t="inlineStr">
        <is>
          <t>Canadian bacon, unprepared</t>
        </is>
      </c>
      <c r="C1912" s="1" t="n">
        <v>1.34</v>
      </c>
      <c r="D1912" s="1" t="n">
        <v>4</v>
      </c>
      <c r="E1912" s="1" t="n">
        <v>0.44</v>
      </c>
      <c r="F1912" s="1" t="n">
        <v>20.31</v>
      </c>
      <c r="G1912" s="1" t="n">
        <v>2.62</v>
      </c>
      <c r="H1912" s="1" t="n">
        <v>0</v>
      </c>
      <c r="I1912" s="1" t="n">
        <v>1.23</v>
      </c>
      <c r="J1912" t="n">
        <v>32202070</v>
      </c>
    </row>
    <row r="1913" ht="15.75" customHeight="1" s="201">
      <c r="A1913" s="1" t="inlineStr">
        <is>
          <t>Candied fruit</t>
        </is>
      </c>
      <c r="C1913" s="1" t="n">
        <v>82.73999999999999</v>
      </c>
      <c r="D1913" s="1" t="n">
        <v>0</v>
      </c>
      <c r="E1913" s="1" t="n">
        <v>0.17</v>
      </c>
      <c r="F1913" s="1" t="n">
        <v>0.34</v>
      </c>
      <c r="G1913" s="1" t="n">
        <v>0.07000000000000001</v>
      </c>
      <c r="H1913" s="1" t="n">
        <v>19</v>
      </c>
      <c r="I1913" s="1" t="n">
        <v>0.05</v>
      </c>
      <c r="J1913" t="n">
        <v>91708030</v>
      </c>
    </row>
    <row r="1914" ht="15.75" customHeight="1" s="201">
      <c r="A1914" s="1" t="inlineStr">
        <is>
          <t>Candies, 5TH AVENUE Candy Bar</t>
        </is>
      </c>
      <c r="C1914" s="1" t="n">
        <v>62.68</v>
      </c>
      <c r="D1914" s="1" t="n">
        <v>36</v>
      </c>
      <c r="E1914" s="1" t="n">
        <v>1.2</v>
      </c>
      <c r="F1914" s="1" t="n">
        <v>8.779999999999999</v>
      </c>
      <c r="G1914" s="1" t="n">
        <v>23.98</v>
      </c>
      <c r="H1914" s="1" t="n">
        <v>51</v>
      </c>
      <c r="I1914" s="1" t="n">
        <v>1.12</v>
      </c>
      <c r="J1914" t="n">
        <v>91745020</v>
      </c>
    </row>
    <row r="1915" ht="15.75" customHeight="1" s="201">
      <c r="A1915" s="1" t="inlineStr">
        <is>
          <t>Candies, ALMOND JOY Candy Bar</t>
        </is>
      </c>
      <c r="C1915" s="1" t="n">
        <v>59.51</v>
      </c>
      <c r="E1915" s="1" t="n">
        <v>1.27</v>
      </c>
      <c r="F1915" s="1" t="n">
        <v>4.13</v>
      </c>
      <c r="G1915" s="1" t="n">
        <v>26.93</v>
      </c>
      <c r="H1915" s="1" t="n">
        <v>42</v>
      </c>
      <c r="J1915" t="n">
        <v>91745020</v>
      </c>
    </row>
    <row r="1916" ht="15.75" customHeight="1" s="201">
      <c r="A1916" s="1" t="inlineStr">
        <is>
          <t>Candies, butterscotch</t>
        </is>
      </c>
      <c r="C1916" s="1" t="n">
        <v>90.40000000000001</v>
      </c>
      <c r="D1916" s="1" t="n">
        <v>0</v>
      </c>
      <c r="E1916" s="1" t="n">
        <v>0.01</v>
      </c>
      <c r="F1916" s="1" t="n">
        <v>0.03</v>
      </c>
      <c r="G1916" s="1" t="n">
        <v>3.3</v>
      </c>
      <c r="H1916" s="1" t="n">
        <v>100</v>
      </c>
      <c r="I1916" s="1" t="n">
        <v>0.09</v>
      </c>
      <c r="J1916" t="n">
        <v>91746100</v>
      </c>
    </row>
    <row r="1917" ht="15.75" customHeight="1" s="201">
      <c r="A1917" s="1" t="inlineStr">
        <is>
          <t>Candies, CARAMELLO Candy Bar</t>
        </is>
      </c>
      <c r="C1917" s="1" t="n">
        <v>63.81</v>
      </c>
      <c r="E1917" s="1" t="n">
        <v>1.09</v>
      </c>
      <c r="F1917" s="1" t="n">
        <v>6.19</v>
      </c>
      <c r="G1917" s="1" t="n">
        <v>21.19</v>
      </c>
      <c r="H1917" s="1" t="n">
        <v>303</v>
      </c>
      <c r="J1917" t="n">
        <v>91745020</v>
      </c>
    </row>
    <row r="1918" ht="15.75" customHeight="1" s="201">
      <c r="A1918" s="1" t="inlineStr">
        <is>
          <t>Candies, caramels</t>
        </is>
      </c>
      <c r="C1918" s="1" t="n">
        <v>77</v>
      </c>
      <c r="D1918" s="1" t="n">
        <v>4</v>
      </c>
      <c r="E1918" s="1" t="n">
        <v>0.14</v>
      </c>
      <c r="F1918" s="1" t="n">
        <v>4.6</v>
      </c>
      <c r="G1918" s="1" t="n">
        <v>8.1</v>
      </c>
      <c r="H1918" s="1" t="n">
        <v>42</v>
      </c>
      <c r="I1918" s="1" t="n">
        <v>0.44</v>
      </c>
      <c r="J1918" t="n">
        <v>91746100</v>
      </c>
    </row>
    <row r="1919" ht="15.75" customHeight="1" s="201">
      <c r="A1919" s="1" t="inlineStr">
        <is>
          <t>Candies, caramels, chocolate-flavor roll</t>
        </is>
      </c>
      <c r="C1919" s="1" t="n">
        <v>87.73</v>
      </c>
      <c r="D1919" s="1" t="n">
        <v>9</v>
      </c>
      <c r="E1919" s="1" t="n">
        <v>0.8</v>
      </c>
      <c r="F1919" s="1" t="n">
        <v>1.59</v>
      </c>
      <c r="G1919" s="1" t="n">
        <v>3.31</v>
      </c>
      <c r="H1919" s="1" t="n">
        <v>0</v>
      </c>
      <c r="I1919" s="1" t="n">
        <v>0.4</v>
      </c>
      <c r="J1919" t="n">
        <v>53108200</v>
      </c>
    </row>
    <row r="1920" ht="15.75" customHeight="1" s="201">
      <c r="A1920" s="1" t="inlineStr">
        <is>
          <t>Candies, carob, unsweetened</t>
        </is>
      </c>
      <c r="C1920" s="1" t="n">
        <v>56.29</v>
      </c>
      <c r="D1920" s="1" t="n">
        <v>21</v>
      </c>
      <c r="E1920" s="1" t="n">
        <v>1.29</v>
      </c>
      <c r="F1920" s="1" t="n">
        <v>8.15</v>
      </c>
      <c r="G1920" s="1" t="n">
        <v>31.36</v>
      </c>
      <c r="H1920" s="1" t="n">
        <v>10</v>
      </c>
      <c r="I1920" s="1" t="n">
        <v>3.53</v>
      </c>
      <c r="J1920" t="n">
        <v>91746100</v>
      </c>
    </row>
    <row r="1921" ht="15.75" customHeight="1" s="201">
      <c r="A1921" s="1" t="inlineStr">
        <is>
          <t>Candies, chocolate covered, caramel with nuts</t>
        </is>
      </c>
      <c r="C1921" s="1" t="n">
        <v>60.67</v>
      </c>
      <c r="D1921" s="1" t="n">
        <v>92</v>
      </c>
      <c r="E1921" s="1" t="n">
        <v>1.7</v>
      </c>
      <c r="F1921" s="1" t="n">
        <v>9.5</v>
      </c>
      <c r="G1921" s="1" t="n">
        <v>21</v>
      </c>
      <c r="H1921" s="1" t="n">
        <v>149</v>
      </c>
      <c r="I1921" s="1" t="n">
        <v>1.87</v>
      </c>
      <c r="J1921" t="n">
        <v>53108200</v>
      </c>
    </row>
    <row r="1922" ht="15.75" customHeight="1" s="201">
      <c r="A1922" s="1" t="inlineStr">
        <is>
          <t>Candies, chocolate covered, low sugar or low calorie</t>
        </is>
      </c>
      <c r="C1922" s="1" t="n">
        <v>37.68</v>
      </c>
      <c r="D1922" s="1" t="n">
        <v>25</v>
      </c>
      <c r="E1922" s="1" t="n">
        <v>1.45</v>
      </c>
      <c r="F1922" s="1" t="n">
        <v>12.39</v>
      </c>
      <c r="G1922" s="1" t="n">
        <v>43.27</v>
      </c>
      <c r="H1922" s="1" t="n">
        <v>204</v>
      </c>
      <c r="I1922" s="1" t="n">
        <v>2.47</v>
      </c>
      <c r="J1922" t="n">
        <v>53108200</v>
      </c>
    </row>
    <row r="1923" ht="15.75" customHeight="1" s="201">
      <c r="A1923" s="1" t="inlineStr">
        <is>
          <t>Candies, chocolate, dark, NFS (45-59% cacao solids 90%; 60-69% cacao solids 5%; 70-85% cacao solids 5%)</t>
        </is>
      </c>
      <c r="C1923" s="1" t="n">
        <v>59.97</v>
      </c>
      <c r="D1923" s="1" t="n">
        <v>0</v>
      </c>
      <c r="E1923" s="1" t="n">
        <v>8.130000000000001</v>
      </c>
      <c r="F1923" s="1" t="n">
        <v>5.09</v>
      </c>
      <c r="G1923" s="1" t="n">
        <v>32.2</v>
      </c>
      <c r="H1923" s="1" t="n">
        <v>49</v>
      </c>
      <c r="I1923" s="1" t="n">
        <v>2.11</v>
      </c>
      <c r="J1923" t="n">
        <v>53108200</v>
      </c>
    </row>
    <row r="1924" ht="15.75" customHeight="1" s="201">
      <c r="A1924" s="1" t="inlineStr">
        <is>
          <t>Candies, coconut bar, not chocolate covered</t>
        </is>
      </c>
      <c r="C1924" s="1" t="n">
        <v>55.87</v>
      </c>
      <c r="D1924" s="1" t="n">
        <v>22</v>
      </c>
      <c r="E1924" s="1" t="n">
        <v>0.77</v>
      </c>
      <c r="F1924" s="1" t="n">
        <v>2.13</v>
      </c>
      <c r="G1924" s="1" t="n">
        <v>27.65</v>
      </c>
      <c r="H1924" s="1" t="n">
        <v>0</v>
      </c>
      <c r="I1924" s="1" t="n">
        <v>1.02</v>
      </c>
      <c r="J1924" t="n">
        <v>53108200</v>
      </c>
    </row>
    <row r="1925" ht="15.75" customHeight="1" s="201">
      <c r="A1925" s="1" t="inlineStr">
        <is>
          <t>Candies, confectioner's coating, butterscotch</t>
        </is>
      </c>
      <c r="C1925" s="1" t="n">
        <v>67.09999999999999</v>
      </c>
      <c r="D1925" s="1" t="n">
        <v>1</v>
      </c>
      <c r="E1925" s="1" t="n">
        <v>0.08</v>
      </c>
      <c r="F1925" s="1" t="n">
        <v>2.2</v>
      </c>
      <c r="G1925" s="1" t="n">
        <v>29.05</v>
      </c>
      <c r="H1925" s="1" t="n">
        <v>1</v>
      </c>
      <c r="I1925" s="1" t="n">
        <v>0.11</v>
      </c>
      <c r="J1925" t="n">
        <v>24107071</v>
      </c>
    </row>
    <row r="1926" ht="15.75" customHeight="1" s="201">
      <c r="A1926" s="1" t="inlineStr">
        <is>
          <t>Candies, confectioner's coating, peanut butter</t>
        </is>
      </c>
      <c r="C1926" s="1" t="n">
        <v>46.88</v>
      </c>
      <c r="D1926" s="1" t="n">
        <v>77</v>
      </c>
      <c r="E1926" s="1" t="n">
        <v>1.7</v>
      </c>
      <c r="F1926" s="1" t="n">
        <v>18.3</v>
      </c>
      <c r="G1926" s="1" t="n">
        <v>29.8</v>
      </c>
      <c r="H1926" s="1" t="n">
        <v>1</v>
      </c>
      <c r="I1926" s="1" t="n">
        <v>2</v>
      </c>
      <c r="J1926" t="n">
        <v>91734000</v>
      </c>
    </row>
    <row r="1927" ht="15.75" customHeight="1" s="201">
      <c r="A1927" s="1" t="inlineStr">
        <is>
          <t>Candies, confectioner's coating, yogurt</t>
        </is>
      </c>
      <c r="C1927" s="1" t="n">
        <v>63.94</v>
      </c>
      <c r="D1927" s="1" t="n">
        <v>8</v>
      </c>
      <c r="E1927" s="1" t="n">
        <v>0.14</v>
      </c>
      <c r="F1927" s="1" t="n">
        <v>5.87</v>
      </c>
      <c r="G1927" s="1" t="n">
        <v>27</v>
      </c>
      <c r="H1927" s="1" t="n">
        <v>4</v>
      </c>
      <c r="I1927" s="1" t="n">
        <v>0.7</v>
      </c>
      <c r="J1927" t="n">
        <v>11461210</v>
      </c>
    </row>
    <row r="1928" ht="15.75" customHeight="1" s="201">
      <c r="A1928" s="1" t="inlineStr">
        <is>
          <t>Candies, crispy bar with peanut butter filling</t>
        </is>
      </c>
      <c r="C1928" s="1" t="n">
        <v>55.53</v>
      </c>
      <c r="D1928" s="1" t="n">
        <v>40</v>
      </c>
      <c r="E1928" s="1" t="n">
        <v>1.3</v>
      </c>
      <c r="F1928" s="1" t="n">
        <v>9.529999999999999</v>
      </c>
      <c r="G1928" s="1" t="n">
        <v>31.34</v>
      </c>
      <c r="H1928" s="1" t="n">
        <v>58</v>
      </c>
      <c r="I1928" s="1" t="n">
        <v>0.99</v>
      </c>
      <c r="J1928" t="n">
        <v>91734000</v>
      </c>
    </row>
    <row r="1929" ht="15.75" customHeight="1" s="201">
      <c r="A1929" s="1" t="inlineStr">
        <is>
          <t>Candies, dark chocolate coated coffee beans</t>
        </is>
      </c>
      <c r="C1929" s="1" t="n">
        <v>59.95</v>
      </c>
      <c r="D1929" s="1" t="n">
        <v>3</v>
      </c>
      <c r="E1929" s="1" t="n">
        <v>2.7</v>
      </c>
      <c r="F1929" s="1" t="n">
        <v>7.5</v>
      </c>
      <c r="G1929" s="1" t="n">
        <v>30</v>
      </c>
      <c r="H1929" s="1" t="n">
        <v>0</v>
      </c>
      <c r="I1929" s="1" t="n">
        <v>1.32</v>
      </c>
      <c r="J1929" t="n">
        <v>53108200</v>
      </c>
    </row>
    <row r="1930" ht="15.75" customHeight="1" s="201">
      <c r="A1930" s="1" t="inlineStr">
        <is>
          <t>Candies, divinity, prepared-from-recipe</t>
        </is>
      </c>
      <c r="C1930" s="1" t="n">
        <v>89.05</v>
      </c>
      <c r="D1930" s="1" t="n">
        <v>0</v>
      </c>
      <c r="E1930" s="1" t="n">
        <v>0.02</v>
      </c>
      <c r="F1930" s="1" t="n">
        <v>1.32</v>
      </c>
      <c r="G1930" s="1" t="n">
        <v>0.06</v>
      </c>
      <c r="H1930" s="1" t="n">
        <v>0</v>
      </c>
      <c r="I1930" s="1" t="n">
        <v>0.09</v>
      </c>
      <c r="J1930" t="n">
        <v>24127210</v>
      </c>
    </row>
    <row r="1931" ht="15.75" customHeight="1" s="201">
      <c r="A1931" s="1" t="inlineStr">
        <is>
          <t>Candies, fondant, prepared-from-recipe</t>
        </is>
      </c>
      <c r="C1931" s="1" t="n">
        <v>93.18000000000001</v>
      </c>
      <c r="D1931" s="1" t="n">
        <v>0</v>
      </c>
      <c r="E1931" s="1" t="n">
        <v>0.01</v>
      </c>
      <c r="F1931" s="1" t="n">
        <v>0</v>
      </c>
      <c r="G1931" s="1" t="n">
        <v>0.02</v>
      </c>
      <c r="H1931" s="1" t="n">
        <v>0</v>
      </c>
      <c r="I1931" s="1" t="n">
        <v>0.04</v>
      </c>
      <c r="J1931" t="n">
        <v>24127210</v>
      </c>
    </row>
    <row r="1932" ht="15.75" customHeight="1" s="201">
      <c r="A1932" s="1" t="inlineStr">
        <is>
          <t>Candies, fruit snacks, with high vitamin C</t>
        </is>
      </c>
      <c r="C1932" s="1" t="n">
        <v>87.97</v>
      </c>
      <c r="D1932" s="1" t="n">
        <v>1</v>
      </c>
      <c r="E1932" s="1" t="n">
        <v>0</v>
      </c>
      <c r="F1932" s="1" t="n">
        <v>0.08</v>
      </c>
      <c r="G1932" s="1" t="n">
        <v>0</v>
      </c>
      <c r="H1932" s="1" t="n">
        <v>3</v>
      </c>
      <c r="I1932" s="1" t="n">
        <v>0.19</v>
      </c>
      <c r="J1932" t="n">
        <v>91708030</v>
      </c>
    </row>
    <row r="1933" ht="15.75" customHeight="1" s="201">
      <c r="A1933" s="1" t="inlineStr">
        <is>
          <t>Candies, fudge, chocolate marshmallow, prepared-from-recipe</t>
        </is>
      </c>
      <c r="C1933" s="1" t="n">
        <v>71.34</v>
      </c>
      <c r="D1933" s="1" t="n">
        <v>5</v>
      </c>
      <c r="E1933" s="1" t="n">
        <v>0.96</v>
      </c>
      <c r="F1933" s="1" t="n">
        <v>2.26</v>
      </c>
      <c r="G1933" s="1" t="n">
        <v>17.48</v>
      </c>
      <c r="H1933" s="1" t="n">
        <v>273</v>
      </c>
      <c r="I1933" s="1" t="n">
        <v>0.58</v>
      </c>
      <c r="J1933" t="n">
        <v>53108200</v>
      </c>
    </row>
    <row r="1934" ht="15.75" customHeight="1" s="201">
      <c r="A1934" s="1" t="inlineStr">
        <is>
          <t>Candies, fudge, chocolate marshmallow, with nuts, prepared-by-recipe</t>
        </is>
      </c>
      <c r="C1934" s="1" t="n">
        <v>67.69</v>
      </c>
      <c r="D1934" s="1" t="n">
        <v>11</v>
      </c>
      <c r="E1934" s="1" t="n">
        <v>1.11</v>
      </c>
      <c r="F1934" s="1" t="n">
        <v>3.24</v>
      </c>
      <c r="G1934" s="1" t="n">
        <v>21.11</v>
      </c>
      <c r="H1934" s="1" t="n">
        <v>228</v>
      </c>
      <c r="I1934" s="1" t="n">
        <v>0.76</v>
      </c>
      <c r="J1934" t="n">
        <v>53108200</v>
      </c>
    </row>
    <row r="1935" ht="15.75" customHeight="1" s="201">
      <c r="A1935" s="1" t="inlineStr">
        <is>
          <t>Candies, fudge, chocolate, prepared-from-recipe</t>
        </is>
      </c>
      <c r="C1935" s="1" t="n">
        <v>76.7</v>
      </c>
      <c r="D1935" s="1" t="n">
        <v>4</v>
      </c>
      <c r="E1935" s="1" t="n">
        <v>1.77</v>
      </c>
      <c r="F1935" s="1" t="n">
        <v>2.39</v>
      </c>
      <c r="G1935" s="1" t="n">
        <v>10.41</v>
      </c>
      <c r="H1935" s="1" t="n">
        <v>159</v>
      </c>
      <c r="I1935" s="1" t="n">
        <v>1.11</v>
      </c>
      <c r="J1935" t="n">
        <v>53108200</v>
      </c>
    </row>
    <row r="1936" ht="15.75" customHeight="1" s="201">
      <c r="A1936" s="1" t="inlineStr">
        <is>
          <t>Candies, fudge, chocolate, with nuts, prepared-from-recipe</t>
        </is>
      </c>
      <c r="C1936" s="1" t="n">
        <v>68.15000000000001</v>
      </c>
      <c r="D1936" s="1" t="n">
        <v>16</v>
      </c>
      <c r="E1936" s="1" t="n">
        <v>1.97</v>
      </c>
      <c r="F1936" s="1" t="n">
        <v>4.38</v>
      </c>
      <c r="G1936" s="1" t="n">
        <v>18.93</v>
      </c>
      <c r="H1936" s="1" t="n">
        <v>140</v>
      </c>
      <c r="I1936" s="1" t="n">
        <v>1.43</v>
      </c>
      <c r="J1936" t="n">
        <v>53108200</v>
      </c>
    </row>
    <row r="1937" ht="15.75" customHeight="1" s="201">
      <c r="A1937" s="1" t="inlineStr">
        <is>
          <t>Candies, fudge, peanut butter, prepared-from-recipe</t>
        </is>
      </c>
      <c r="C1937" s="1" t="n">
        <v>77.75</v>
      </c>
      <c r="D1937" s="1" t="n">
        <v>9</v>
      </c>
      <c r="E1937" s="1" t="n">
        <v>0.22</v>
      </c>
      <c r="F1937" s="1" t="n">
        <v>3.78</v>
      </c>
      <c r="G1937" s="1" t="n">
        <v>6.59</v>
      </c>
      <c r="H1937" s="1" t="n">
        <v>32</v>
      </c>
      <c r="I1937" s="1" t="n">
        <v>0.48</v>
      </c>
      <c r="J1937" t="n">
        <v>91734000</v>
      </c>
    </row>
    <row r="1938" ht="15.75" customHeight="1" s="201">
      <c r="A1938" s="1" t="inlineStr">
        <is>
          <t>Candies, fudge, vanilla with nuts</t>
        </is>
      </c>
      <c r="C1938" s="1" t="n">
        <v>74.61</v>
      </c>
      <c r="D1938" s="1" t="n">
        <v>12</v>
      </c>
      <c r="E1938" s="1" t="n">
        <v>0.41</v>
      </c>
      <c r="F1938" s="1" t="n">
        <v>3</v>
      </c>
      <c r="G1938" s="1" t="n">
        <v>13.69</v>
      </c>
      <c r="H1938" s="1" t="n">
        <v>151</v>
      </c>
      <c r="I1938" s="1" t="n">
        <v>0.5600000000000001</v>
      </c>
      <c r="J1938" t="n">
        <v>75142550</v>
      </c>
    </row>
    <row r="1939" ht="15.75" customHeight="1" s="201">
      <c r="A1939" s="1" t="inlineStr">
        <is>
          <t>Candies, fudge, vanilla, prepared-from-recipe</t>
        </is>
      </c>
      <c r="C1939" s="1" t="n">
        <v>82.15000000000001</v>
      </c>
      <c r="D1939" s="1" t="n">
        <v>1</v>
      </c>
      <c r="E1939" s="1" t="n">
        <v>0.02</v>
      </c>
      <c r="F1939" s="1" t="n">
        <v>1.05</v>
      </c>
      <c r="G1939" s="1" t="n">
        <v>5.45</v>
      </c>
      <c r="H1939" s="1" t="n">
        <v>168</v>
      </c>
      <c r="I1939" s="1" t="n">
        <v>0.15</v>
      </c>
      <c r="J1939" t="n">
        <v>24127210</v>
      </c>
    </row>
    <row r="1940" ht="15.75" customHeight="1" s="201">
      <c r="A1940" s="1" t="inlineStr">
        <is>
          <t>Candies, gum drops, no sugar or low calorie (sorbitol)</t>
        </is>
      </c>
      <c r="C1940" s="1" t="n">
        <v>88.09999999999999</v>
      </c>
      <c r="D1940" s="1" t="n">
        <v>0</v>
      </c>
      <c r="E1940" s="1" t="n">
        <v>0</v>
      </c>
      <c r="F1940" s="1" t="n">
        <v>0</v>
      </c>
      <c r="G1940" s="1" t="n">
        <v>0.2</v>
      </c>
      <c r="H1940" s="1" t="n">
        <v>0</v>
      </c>
      <c r="I1940" s="1" t="n">
        <v>0</v>
      </c>
      <c r="J1940" t="n">
        <v>53109200</v>
      </c>
    </row>
    <row r="1941" ht="15.75" customHeight="1" s="201">
      <c r="A1941" s="1" t="inlineStr">
        <is>
          <t>Candies, gumdrops, starch jelly pieces</t>
        </is>
      </c>
      <c r="C1941" s="1" t="n">
        <v>98.90000000000001</v>
      </c>
      <c r="D1941" s="1" t="n">
        <v>0</v>
      </c>
      <c r="E1941" s="1" t="n">
        <v>0.4</v>
      </c>
      <c r="F1941" s="1" t="n">
        <v>0</v>
      </c>
      <c r="G1941" s="1" t="n">
        <v>0</v>
      </c>
      <c r="H1941" s="1" t="n">
        <v>0</v>
      </c>
      <c r="I1941" s="1" t="n">
        <v>0</v>
      </c>
      <c r="J1941" t="n">
        <v>91709000</v>
      </c>
    </row>
    <row r="1942" ht="15.75" customHeight="1" s="201">
      <c r="A1942" s="1" t="inlineStr">
        <is>
          <t>Candies, halavah, plain</t>
        </is>
      </c>
      <c r="C1942" s="1" t="n">
        <v>60.49</v>
      </c>
      <c r="D1942" s="1" t="n">
        <v>65</v>
      </c>
      <c r="E1942" s="1" t="n">
        <v>4.53</v>
      </c>
      <c r="F1942" s="1" t="n">
        <v>12.49</v>
      </c>
      <c r="G1942" s="1" t="n">
        <v>21.52</v>
      </c>
      <c r="H1942" s="1" t="n">
        <v>2</v>
      </c>
      <c r="I1942" s="1" t="n">
        <v>4.32</v>
      </c>
      <c r="J1942" t="n">
        <v>91746100</v>
      </c>
    </row>
    <row r="1943" ht="15.75" customHeight="1" s="201">
      <c r="A1943" s="1" t="inlineStr">
        <is>
          <t>Candies, hard</t>
        </is>
      </c>
      <c r="C1943" s="1" t="n">
        <v>98</v>
      </c>
      <c r="D1943" s="1" t="n">
        <v>0</v>
      </c>
      <c r="E1943" s="1" t="n">
        <v>0.3</v>
      </c>
      <c r="F1943" s="1" t="n">
        <v>0</v>
      </c>
      <c r="G1943" s="1" t="n">
        <v>0.2</v>
      </c>
      <c r="H1943" s="1" t="n">
        <v>0</v>
      </c>
      <c r="I1943" s="1" t="n">
        <v>0.01</v>
      </c>
      <c r="J1943" t="n">
        <v>93106000</v>
      </c>
    </row>
    <row r="1944" ht="15.75" customHeight="1" s="201">
      <c r="A1944" s="1" t="inlineStr">
        <is>
          <t>Candies, hard, dietetic or low calorie (sorbitol)</t>
        </is>
      </c>
      <c r="C1944" s="1" t="n">
        <v>98.59999999999999</v>
      </c>
      <c r="D1944" s="1" t="n">
        <v>0</v>
      </c>
      <c r="E1944" s="1" t="n">
        <v>0</v>
      </c>
      <c r="F1944" s="1" t="n">
        <v>0</v>
      </c>
      <c r="G1944" s="1" t="n">
        <v>0</v>
      </c>
      <c r="H1944" s="1" t="n">
        <v>0</v>
      </c>
      <c r="I1944" s="1" t="n">
        <v>0</v>
      </c>
      <c r="J1944" t="n">
        <v>91770030</v>
      </c>
    </row>
    <row r="1945" ht="15.75" customHeight="1" s="201">
      <c r="A1945" s="1" t="inlineStr">
        <is>
          <t>Candies, HEATH BITES</t>
        </is>
      </c>
      <c r="C1945" s="1" t="n">
        <v>63.39</v>
      </c>
      <c r="D1945" s="1" t="n">
        <v>1</v>
      </c>
      <c r="E1945" s="1" t="n">
        <v>0.78</v>
      </c>
      <c r="F1945" s="1" t="n">
        <v>3.94</v>
      </c>
      <c r="G1945" s="1" t="n">
        <v>30.38</v>
      </c>
      <c r="H1945" s="1" t="n">
        <v>232</v>
      </c>
      <c r="I1945" s="1" t="n">
        <v>0.11</v>
      </c>
      <c r="J1945" t="n">
        <v>91746100</v>
      </c>
    </row>
    <row r="1946" ht="15.75" customHeight="1" s="201">
      <c r="A1946" s="1" t="inlineStr">
        <is>
          <t>Candies, HERSHEY, KIT KAT BIG KAT Bar</t>
        </is>
      </c>
      <c r="C1946" s="1" t="n">
        <v>63.64</v>
      </c>
      <c r="D1946" s="1" t="n">
        <v>3</v>
      </c>
      <c r="E1946" s="1" t="n">
        <v>0.84</v>
      </c>
      <c r="F1946" s="1" t="n">
        <v>6.24</v>
      </c>
      <c r="G1946" s="1" t="n">
        <v>27.84</v>
      </c>
      <c r="H1946" s="1" t="n">
        <v>92</v>
      </c>
      <c r="I1946" s="1" t="n">
        <v>0.07000000000000001</v>
      </c>
      <c r="J1946" t="n">
        <v>91705010</v>
      </c>
    </row>
    <row r="1947" ht="15.75" customHeight="1" s="201">
      <c r="A1947" s="1" t="inlineStr">
        <is>
          <t>Candies, HERSHEY, REESESTICKS crispy wafers, peanut butter, milk chocolate</t>
        </is>
      </c>
      <c r="C1947" s="1" t="n">
        <v>55.38</v>
      </c>
      <c r="D1947" s="1" t="n">
        <v>40</v>
      </c>
      <c r="E1947" s="1" t="n">
        <v>1.3</v>
      </c>
      <c r="F1947" s="1" t="n">
        <v>9.529999999999999</v>
      </c>
      <c r="G1947" s="1" t="n">
        <v>31.34</v>
      </c>
      <c r="H1947" s="1" t="n">
        <v>58</v>
      </c>
      <c r="I1947" s="1" t="n">
        <v>0.99</v>
      </c>
      <c r="J1947" t="n">
        <v>53108200</v>
      </c>
    </row>
    <row r="1948" ht="15.75" customHeight="1" s="201">
      <c r="A1948" s="1" t="inlineStr">
        <is>
          <t>Candies, HERSHEY'S GOLDEN ALMOND SOLITAIRES</t>
        </is>
      </c>
      <c r="C1948" s="1" t="n">
        <v>46.85</v>
      </c>
      <c r="E1948" s="1" t="n">
        <v>2.5</v>
      </c>
      <c r="F1948" s="1" t="n">
        <v>11.97</v>
      </c>
      <c r="G1948" s="1" t="n">
        <v>37.13</v>
      </c>
      <c r="H1948" s="1" t="n">
        <v>0</v>
      </c>
      <c r="J1948" t="n">
        <v>91705010</v>
      </c>
    </row>
    <row r="1949" ht="15.75" customHeight="1" s="201">
      <c r="A1949" s="1" t="inlineStr">
        <is>
          <t>Candies, HERSHEY'S MILK CHOCOLATE WITH ALMOND BITES</t>
        </is>
      </c>
      <c r="C1949" s="1" t="n">
        <v>51.72</v>
      </c>
      <c r="D1949" s="1" t="n">
        <v>16</v>
      </c>
      <c r="E1949" s="1" t="n">
        <v>1.5</v>
      </c>
      <c r="F1949" s="1" t="n">
        <v>9.76</v>
      </c>
      <c r="G1949" s="1" t="n">
        <v>35.73</v>
      </c>
      <c r="H1949" s="1" t="n">
        <v>177</v>
      </c>
      <c r="I1949" s="1" t="n">
        <v>1.34</v>
      </c>
      <c r="J1949" t="n">
        <v>53108200</v>
      </c>
    </row>
    <row r="1950" ht="15.75" customHeight="1" s="201">
      <c r="A1950" s="1" t="inlineStr">
        <is>
          <t>Candies, HERSHEY'S POT OF GOLD Almond Bar</t>
        </is>
      </c>
      <c r="C1950" s="1" t="n">
        <v>44.89</v>
      </c>
      <c r="E1950" s="1" t="n">
        <v>1.85</v>
      </c>
      <c r="F1950" s="1" t="n">
        <v>12.82</v>
      </c>
      <c r="G1950" s="1" t="n">
        <v>38.46</v>
      </c>
      <c r="J1950" t="n">
        <v>91705010</v>
      </c>
    </row>
    <row r="1951" ht="15.75" customHeight="1" s="201">
      <c r="A1951" s="1" t="inlineStr">
        <is>
          <t>Candies, HERSHEY'S SKOR Toffee Bar</t>
        </is>
      </c>
      <c r="C1951" s="1" t="n">
        <v>63.73</v>
      </c>
      <c r="D1951" s="1" t="n">
        <v>2</v>
      </c>
      <c r="E1951" s="1" t="n">
        <v>0.57</v>
      </c>
      <c r="F1951" s="1" t="n">
        <v>3.13</v>
      </c>
      <c r="G1951" s="1" t="n">
        <v>30.37</v>
      </c>
      <c r="H1951" s="1" t="n">
        <v>204</v>
      </c>
      <c r="I1951" s="1" t="n">
        <v>0.17</v>
      </c>
      <c r="J1951" t="n">
        <v>91705010</v>
      </c>
    </row>
    <row r="1952" ht="15.75" customHeight="1" s="201">
      <c r="A1952" s="1" t="inlineStr">
        <is>
          <t>Candies, HERSHEY'S, ALMOND JOY BITES</t>
        </is>
      </c>
      <c r="C1952" s="1" t="n">
        <v>57.54</v>
      </c>
      <c r="D1952" s="1" t="n">
        <v>8</v>
      </c>
      <c r="E1952" s="1" t="n">
        <v>1.33</v>
      </c>
      <c r="F1952" s="1" t="n">
        <v>5.58</v>
      </c>
      <c r="G1952" s="1" t="n">
        <v>34.5</v>
      </c>
      <c r="H1952" s="1" t="n">
        <v>117</v>
      </c>
      <c r="I1952" s="1" t="n">
        <v>0.79</v>
      </c>
      <c r="J1952" t="n">
        <v>91705010</v>
      </c>
    </row>
    <row r="1953" ht="15.75" customHeight="1" s="201">
      <c r="A1953" s="1" t="inlineStr">
        <is>
          <t>Candies, HERSHEYS, PAYDAY Bar</t>
        </is>
      </c>
      <c r="C1953" s="1" t="n">
        <v>52.88</v>
      </c>
      <c r="D1953" s="1" t="n">
        <v>51</v>
      </c>
      <c r="E1953" s="1" t="n">
        <v>1.92</v>
      </c>
      <c r="F1953" s="1" t="n">
        <v>13.44</v>
      </c>
      <c r="G1953" s="1" t="n">
        <v>25</v>
      </c>
      <c r="H1953" s="1" t="n">
        <v>1</v>
      </c>
      <c r="I1953" s="1" t="n">
        <v>1.57</v>
      </c>
      <c r="J1953" t="n">
        <v>91746100</v>
      </c>
    </row>
    <row r="1954" ht="15.75" customHeight="1" s="201">
      <c r="A1954" s="1" t="inlineStr">
        <is>
          <t>Candies, honey-combed, with peanut butter</t>
        </is>
      </c>
      <c r="C1954" s="1" t="n">
        <v>67.41</v>
      </c>
      <c r="D1954" s="1" t="n">
        <v>34</v>
      </c>
      <c r="E1954" s="1" t="n">
        <v>0.71</v>
      </c>
      <c r="F1954" s="1" t="n">
        <v>8.720000000000001</v>
      </c>
      <c r="G1954" s="1" t="n">
        <v>20.18</v>
      </c>
      <c r="H1954" s="1" t="n">
        <v>0</v>
      </c>
      <c r="I1954" s="1" t="n">
        <v>1.03</v>
      </c>
      <c r="J1954" t="n">
        <v>91734000</v>
      </c>
    </row>
    <row r="1955" ht="15.75" customHeight="1" s="201">
      <c r="A1955" s="1" t="inlineStr">
        <is>
          <t>Candies, jellybeans</t>
        </is>
      </c>
      <c r="C1955" s="1" t="n">
        <v>93.55</v>
      </c>
      <c r="D1955" s="1" t="n">
        <v>0</v>
      </c>
      <c r="E1955" s="1" t="n">
        <v>0.13</v>
      </c>
      <c r="F1955" s="1" t="n">
        <v>0</v>
      </c>
      <c r="G1955" s="1" t="n">
        <v>0.05</v>
      </c>
      <c r="H1955" s="1" t="n">
        <v>0</v>
      </c>
      <c r="I1955" s="1" t="n">
        <v>0.05</v>
      </c>
      <c r="J1955" t="n">
        <v>91746100</v>
      </c>
    </row>
    <row r="1956" ht="15.75" customHeight="1" s="201">
      <c r="A1956" s="1" t="inlineStr">
        <is>
          <t>Candies, KIT KAT Wafer Bar</t>
        </is>
      </c>
      <c r="C1956" s="1" t="n">
        <v>64.59</v>
      </c>
      <c r="D1956" s="1" t="n">
        <v>14</v>
      </c>
      <c r="E1956" s="1" t="n">
        <v>1</v>
      </c>
      <c r="F1956" s="1" t="n">
        <v>6.51</v>
      </c>
      <c r="G1956" s="1" t="n">
        <v>25.99</v>
      </c>
      <c r="H1956" s="1" t="n">
        <v>81</v>
      </c>
      <c r="I1956" s="1" t="n">
        <v>0.09</v>
      </c>
      <c r="J1956" t="n">
        <v>91746100</v>
      </c>
    </row>
    <row r="1957" ht="15.75" customHeight="1" s="201">
      <c r="A1957" s="1" t="inlineStr">
        <is>
          <t>Candies, KRACKEL Chocolate Bar</t>
        </is>
      </c>
      <c r="C1957" s="1" t="n">
        <v>64.34</v>
      </c>
      <c r="D1957" s="1" t="n">
        <v>6</v>
      </c>
      <c r="E1957" s="1" t="n">
        <v>1.06</v>
      </c>
      <c r="F1957" s="1" t="n">
        <v>6.62</v>
      </c>
      <c r="G1957" s="1" t="n">
        <v>26.58</v>
      </c>
      <c r="H1957" s="1" t="n">
        <v>102</v>
      </c>
      <c r="I1957" s="1" t="n">
        <v>0.49</v>
      </c>
      <c r="J1957" t="n">
        <v>53108200</v>
      </c>
    </row>
    <row r="1958" ht="15.75" customHeight="1" s="201">
      <c r="A1958" s="1" t="inlineStr">
        <is>
          <t>Candies, M&amp;M MARS 3 MUSKETEERS Truffle Crisp</t>
        </is>
      </c>
      <c r="C1958" s="1" t="n">
        <v>63.15</v>
      </c>
      <c r="D1958" s="1" t="n">
        <v>9</v>
      </c>
      <c r="E1958" s="1" t="n">
        <v>1.88</v>
      </c>
      <c r="F1958" s="1" t="n">
        <v>6.41</v>
      </c>
      <c r="G1958" s="1" t="n">
        <v>28.85</v>
      </c>
      <c r="H1958" s="1" t="n">
        <v>155</v>
      </c>
      <c r="I1958" s="1" t="n">
        <v>1.83</v>
      </c>
    </row>
    <row r="1959" ht="15.75" customHeight="1" s="201">
      <c r="A1959" s="1" t="inlineStr">
        <is>
          <t>Candies, M&amp;M MARS Pretzel Chocolate Candies</t>
        </is>
      </c>
      <c r="C1959" s="1" t="n">
        <v>72.94</v>
      </c>
      <c r="D1959" s="1" t="n">
        <v>15</v>
      </c>
      <c r="E1959" s="1" t="n">
        <v>0.9</v>
      </c>
      <c r="F1959" s="1" t="n">
        <v>5</v>
      </c>
      <c r="G1959" s="1" t="n">
        <v>15</v>
      </c>
      <c r="H1959" s="1" t="n">
        <v>116</v>
      </c>
      <c r="I1959" s="1" t="n">
        <v>1.25</v>
      </c>
      <c r="J1959" t="n">
        <v>53108200</v>
      </c>
    </row>
    <row r="1960" ht="15.75" customHeight="1" s="201">
      <c r="A1960" s="1" t="inlineStr">
        <is>
          <t>Candies, MARS SNACKFOOD US, 3 MUSKETEERS Bar</t>
        </is>
      </c>
      <c r="C1960" s="1" t="n">
        <v>77.77</v>
      </c>
      <c r="D1960" s="1" t="n">
        <v>4</v>
      </c>
      <c r="E1960" s="1" t="n">
        <v>0.67</v>
      </c>
      <c r="F1960" s="1" t="n">
        <v>2.6</v>
      </c>
      <c r="G1960" s="1" t="n">
        <v>12.75</v>
      </c>
      <c r="H1960" s="1" t="n">
        <v>67</v>
      </c>
      <c r="I1960" s="1" t="n">
        <v>0.55</v>
      </c>
      <c r="J1960" t="n">
        <v>91746100</v>
      </c>
    </row>
    <row r="1961" ht="15.75" customHeight="1" s="201">
      <c r="A1961" s="1" t="inlineStr">
        <is>
          <t>Candies, MARS SNACKFOOD US, COCOAVIA Blueberry and Almond Chocolate Bar</t>
        </is>
      </c>
      <c r="C1961" s="1" t="n">
        <v>60.37</v>
      </c>
      <c r="D1961" s="1" t="n">
        <v>182</v>
      </c>
      <c r="E1961" s="1" t="n">
        <v>3.18</v>
      </c>
      <c r="F1961" s="1" t="n">
        <v>6.35</v>
      </c>
      <c r="G1961" s="1" t="n">
        <v>28.68</v>
      </c>
      <c r="H1961" s="1" t="n">
        <v>25</v>
      </c>
      <c r="J1961" t="n">
        <v>53108200</v>
      </c>
    </row>
    <row r="1962" ht="15.75" customHeight="1" s="201">
      <c r="A1962" s="1" t="inlineStr">
        <is>
          <t>Candies, MARS SNACKFOOD US, COCOAVIA Chocolate Bar</t>
        </is>
      </c>
      <c r="C1962" s="1" t="n">
        <v>62.99</v>
      </c>
      <c r="D1962" s="1" t="n">
        <v>273</v>
      </c>
      <c r="E1962" s="1" t="n">
        <v>3.47</v>
      </c>
      <c r="F1962" s="1" t="n">
        <v>5.81</v>
      </c>
      <c r="G1962" s="1" t="n">
        <v>29.3</v>
      </c>
      <c r="H1962" s="1" t="n">
        <v>31</v>
      </c>
      <c r="J1962" t="n">
        <v>53108200</v>
      </c>
    </row>
    <row r="1963" ht="15.75" customHeight="1" s="201">
      <c r="A1963" s="1" t="inlineStr">
        <is>
          <t>Candies, MARS SNACKFOOD US, COCOAVIA Chocolate Covered Almonds</t>
        </is>
      </c>
      <c r="C1963" s="1" t="n">
        <v>50.22</v>
      </c>
      <c r="D1963" s="1" t="n">
        <v>143</v>
      </c>
      <c r="E1963" s="1" t="n">
        <v>3.56</v>
      </c>
      <c r="F1963" s="1" t="n">
        <v>9.51</v>
      </c>
      <c r="G1963" s="1" t="n">
        <v>37.07</v>
      </c>
      <c r="H1963" s="1" t="n">
        <v>20</v>
      </c>
      <c r="J1963" t="n">
        <v>53108200</v>
      </c>
    </row>
    <row r="1964" ht="15.75" customHeight="1" s="201">
      <c r="A1964" s="1" t="inlineStr">
        <is>
          <t>Candies, MARS SNACKFOOD US, COCOAVIA Crispy Chocolate Bar</t>
        </is>
      </c>
      <c r="C1964" s="1" t="n">
        <v>62.06</v>
      </c>
      <c r="D1964" s="1" t="n">
        <v>200</v>
      </c>
      <c r="E1964" s="1" t="n">
        <v>3.45</v>
      </c>
      <c r="F1964" s="1" t="n">
        <v>8.210000000000001</v>
      </c>
      <c r="G1964" s="1" t="n">
        <v>26.23</v>
      </c>
      <c r="H1964" s="1" t="n">
        <v>27</v>
      </c>
      <c r="J1964" t="n">
        <v>53108200</v>
      </c>
    </row>
    <row r="1965" ht="15.75" customHeight="1" s="201">
      <c r="A1965" s="1" t="inlineStr">
        <is>
          <t>Candies, MARS SNACKFOOD US, DOVE Dark Chocolate</t>
        </is>
      </c>
      <c r="C1965" s="1" t="n">
        <v>59.4</v>
      </c>
      <c r="E1965" s="1" t="n">
        <v>3.18</v>
      </c>
      <c r="F1965" s="1" t="n">
        <v>5.19</v>
      </c>
      <c r="G1965" s="1" t="n">
        <v>32.45</v>
      </c>
      <c r="H1965" s="1" t="n">
        <v>134</v>
      </c>
      <c r="J1965" t="n">
        <v>53108200</v>
      </c>
    </row>
    <row r="1966" ht="15.75" customHeight="1" s="201">
      <c r="A1966" s="1" t="inlineStr">
        <is>
          <t>Candies, MARS SNACKFOOD US, DOVE Milk Chocolate</t>
        </is>
      </c>
      <c r="C1966" s="1" t="n">
        <v>59.78</v>
      </c>
      <c r="E1966" s="1" t="n">
        <v>1.11</v>
      </c>
      <c r="F1966" s="1" t="n">
        <v>5.94</v>
      </c>
      <c r="G1966" s="1" t="n">
        <v>31.72</v>
      </c>
      <c r="H1966" s="1" t="n">
        <v>292</v>
      </c>
      <c r="J1966" t="n">
        <v>53108200</v>
      </c>
    </row>
    <row r="1967" ht="15.75" customHeight="1" s="201">
      <c r="A1967" s="1" t="inlineStr">
        <is>
          <t>Candies, MARS SNACKFOOD US, M&amp;M's Almond Chocolate Candies</t>
        </is>
      </c>
      <c r="C1967" s="1" t="n">
        <v>60.5</v>
      </c>
      <c r="D1967" s="1" t="n">
        <v>12</v>
      </c>
      <c r="E1967" s="1" t="n">
        <v>1.73</v>
      </c>
      <c r="F1967" s="1" t="n">
        <v>7.53</v>
      </c>
      <c r="G1967" s="1" t="n">
        <v>27.76</v>
      </c>
      <c r="H1967" s="1" t="n">
        <v>80</v>
      </c>
      <c r="I1967" s="1" t="n">
        <v>1.86</v>
      </c>
      <c r="J1967" t="n">
        <v>53108200</v>
      </c>
    </row>
    <row r="1968" ht="15.75" customHeight="1" s="201">
      <c r="A1968" s="1" t="inlineStr">
        <is>
          <t>Candies, MARS SNACKFOOD US, M&amp;M's Crispy Chocolate Candies</t>
        </is>
      </c>
      <c r="C1968" s="1" t="n">
        <v>72.40000000000001</v>
      </c>
      <c r="E1968" s="1" t="n">
        <v>0.86</v>
      </c>
      <c r="F1968" s="1" t="n">
        <v>4.28</v>
      </c>
      <c r="G1968" s="1" t="n">
        <v>19.32</v>
      </c>
      <c r="H1968" s="1" t="n">
        <v>167</v>
      </c>
      <c r="J1968" t="n">
        <v>53108200</v>
      </c>
    </row>
    <row r="1969" ht="15.75" customHeight="1" s="201">
      <c r="A1969" s="1" t="inlineStr">
        <is>
          <t>Candies, MARS SNACKFOOD US, M&amp;M's Milk Chocolate Candies</t>
        </is>
      </c>
      <c r="C1969" s="1" t="n">
        <v>71.19</v>
      </c>
      <c r="D1969" s="1" t="n">
        <v>8</v>
      </c>
      <c r="E1969" s="1" t="n">
        <v>1.11</v>
      </c>
      <c r="F1969" s="1" t="n">
        <v>4.33</v>
      </c>
      <c r="G1969" s="1" t="n">
        <v>21.13</v>
      </c>
      <c r="H1969" s="1" t="n">
        <v>187</v>
      </c>
      <c r="I1969" s="1" t="n">
        <v>1.61</v>
      </c>
      <c r="J1969" t="n">
        <v>53108200</v>
      </c>
    </row>
    <row r="1970" ht="15.75" customHeight="1" s="201">
      <c r="A1970" s="1" t="inlineStr">
        <is>
          <t>Candies, MARS SNACKFOOD US, M&amp;M's MINIs Milk Chocolate Candies</t>
        </is>
      </c>
      <c r="C1970" s="1" t="n">
        <v>68.40000000000001</v>
      </c>
      <c r="E1970" s="1" t="n">
        <v>1.23</v>
      </c>
      <c r="F1970" s="1" t="n">
        <v>4.78</v>
      </c>
      <c r="G1970" s="1" t="n">
        <v>23.36</v>
      </c>
      <c r="H1970" s="1" t="n">
        <v>224</v>
      </c>
      <c r="J1970" t="n">
        <v>53108200</v>
      </c>
    </row>
    <row r="1971" ht="15.75" customHeight="1" s="201">
      <c r="A1971" s="1" t="inlineStr">
        <is>
          <t>Candies, MARS SNACKFOOD US, M&amp;M's Peanut Butter Chocolate Candies</t>
        </is>
      </c>
      <c r="C1971" s="1" t="n">
        <v>56.89</v>
      </c>
      <c r="D1971" s="1" t="n">
        <v>45</v>
      </c>
      <c r="E1971" s="1" t="n">
        <v>1.06</v>
      </c>
      <c r="F1971" s="1" t="n">
        <v>10.16</v>
      </c>
      <c r="G1971" s="1" t="n">
        <v>29.32</v>
      </c>
      <c r="H1971" s="1" t="n">
        <v>92</v>
      </c>
      <c r="I1971" s="1" t="n">
        <v>1.49</v>
      </c>
      <c r="J1971" t="n">
        <v>53108200</v>
      </c>
    </row>
    <row r="1972" ht="15.75" customHeight="1" s="201">
      <c r="A1972" s="1" t="inlineStr">
        <is>
          <t>Candies, MARS SNACKFOOD US, M&amp;M's Peanut Chocolate Candies</t>
        </is>
      </c>
      <c r="C1972" s="1" t="n">
        <v>60.48</v>
      </c>
      <c r="D1972" s="1" t="n">
        <v>55</v>
      </c>
      <c r="E1972" s="1" t="n">
        <v>1.16</v>
      </c>
      <c r="F1972" s="1" t="n">
        <v>9.57</v>
      </c>
      <c r="G1972" s="1" t="n">
        <v>26.13</v>
      </c>
      <c r="H1972" s="1" t="n">
        <v>74</v>
      </c>
      <c r="I1972" s="1" t="n">
        <v>1.76</v>
      </c>
      <c r="J1972" t="n">
        <v>53108200</v>
      </c>
    </row>
    <row r="1973" ht="15.75" customHeight="1" s="201">
      <c r="A1973" s="1" t="inlineStr">
        <is>
          <t>Candies, MARS SNACKFOOD US, MARS Almond Bar</t>
        </is>
      </c>
      <c r="C1973" s="1" t="n">
        <v>62.7</v>
      </c>
      <c r="D1973" s="1" t="n">
        <v>9</v>
      </c>
      <c r="E1973" s="1" t="n">
        <v>1.1</v>
      </c>
      <c r="F1973" s="1" t="n">
        <v>8.1</v>
      </c>
      <c r="G1973" s="1" t="n">
        <v>23</v>
      </c>
      <c r="H1973" s="1" t="n">
        <v>51</v>
      </c>
      <c r="I1973" s="1" t="n">
        <v>1.11</v>
      </c>
      <c r="J1973" t="n">
        <v>91726150</v>
      </c>
    </row>
    <row r="1974" ht="15.75" customHeight="1" s="201">
      <c r="A1974" s="1" t="inlineStr">
        <is>
          <t>Candies, MARS SNACKFOOD US, MILKY WAY Bar</t>
        </is>
      </c>
      <c r="C1974" s="1" t="n">
        <v>71.17</v>
      </c>
      <c r="D1974" s="1" t="n">
        <v>4</v>
      </c>
      <c r="E1974" s="1" t="n">
        <v>0.49</v>
      </c>
      <c r="F1974" s="1" t="n">
        <v>4.01</v>
      </c>
      <c r="G1974" s="1" t="n">
        <v>17.23</v>
      </c>
      <c r="H1974" s="1" t="n">
        <v>110</v>
      </c>
      <c r="I1974" s="1" t="n">
        <v>0.6899999999999999</v>
      </c>
      <c r="J1974" t="n">
        <v>91746100</v>
      </c>
    </row>
    <row r="1975" ht="15.75" customHeight="1" s="201">
      <c r="A1975" s="1" t="inlineStr">
        <is>
          <t>Candies, MARS SNACKFOOD US, MILKY WAY Caramels, milk chocolate covered</t>
        </is>
      </c>
      <c r="C1975" s="1" t="n">
        <v>68.48999999999999</v>
      </c>
      <c r="E1975" s="1" t="n">
        <v>0.34</v>
      </c>
      <c r="F1975" s="1" t="n">
        <v>4.28</v>
      </c>
      <c r="G1975" s="1" t="n">
        <v>19.17</v>
      </c>
      <c r="H1975" s="1" t="n">
        <v>262</v>
      </c>
      <c r="J1975" t="n">
        <v>53108200</v>
      </c>
    </row>
    <row r="1976" ht="15.75" customHeight="1" s="201">
      <c r="A1976" s="1" t="inlineStr">
        <is>
          <t>Candies, MARS SNACKFOOD US, MILKY WAY Caramels. dark chocolate covered</t>
        </is>
      </c>
      <c r="C1976" s="1" t="n">
        <v>67.56</v>
      </c>
      <c r="E1976" s="1" t="n">
        <v>1.2</v>
      </c>
      <c r="F1976" s="1" t="n">
        <v>3.82</v>
      </c>
      <c r="G1976" s="1" t="n">
        <v>20.42</v>
      </c>
      <c r="H1976" s="1" t="n">
        <v>246</v>
      </c>
      <c r="J1976" t="n">
        <v>53108200</v>
      </c>
    </row>
    <row r="1977" ht="15.75" customHeight="1" s="201">
      <c r="A1977" s="1" t="inlineStr">
        <is>
          <t>Candies, MARS SNACKFOOD US, MILKY WAY Midnight Bar</t>
        </is>
      </c>
      <c r="C1977" s="1" t="n">
        <v>71.22</v>
      </c>
      <c r="D1977" s="1" t="n">
        <v>7</v>
      </c>
      <c r="E1977" s="1" t="n">
        <v>1.2</v>
      </c>
      <c r="F1977" s="1" t="n">
        <v>3.2</v>
      </c>
      <c r="G1977" s="1" t="n">
        <v>17.5</v>
      </c>
      <c r="H1977" s="1" t="n">
        <v>155</v>
      </c>
      <c r="I1977" s="1" t="n">
        <v>0.89</v>
      </c>
    </row>
    <row r="1978" ht="15.75" customHeight="1" s="201">
      <c r="A1978" s="1" t="inlineStr">
        <is>
          <t>Candies, MARS SNACKFOOD US, POP'ABLES 3 MUSKETEERS Brand Bite Size Candies</t>
        </is>
      </c>
      <c r="C1978" s="1" t="n">
        <v>75.94</v>
      </c>
      <c r="E1978" s="1" t="n">
        <v>0.58</v>
      </c>
      <c r="F1978" s="1" t="n">
        <v>2.59</v>
      </c>
      <c r="G1978" s="1" t="n">
        <v>15.17</v>
      </c>
      <c r="H1978" s="1" t="n">
        <v>99</v>
      </c>
    </row>
    <row r="1979" ht="15.75" customHeight="1" s="201">
      <c r="A1979" s="1" t="inlineStr">
        <is>
          <t>Candies, MARS SNACKFOOD US, POP'ABLES MILKY WAY Brand Bite Size Candies</t>
        </is>
      </c>
      <c r="C1979" s="1" t="n">
        <v>71.84999999999999</v>
      </c>
      <c r="E1979" s="1" t="n">
        <v>0.5</v>
      </c>
      <c r="F1979" s="1" t="n">
        <v>3.3</v>
      </c>
      <c r="G1979" s="1" t="n">
        <v>18</v>
      </c>
      <c r="H1979" s="1" t="n">
        <v>137</v>
      </c>
    </row>
    <row r="1980" ht="15.75" customHeight="1" s="201">
      <c r="A1980" s="1" t="inlineStr">
        <is>
          <t>Candies, MARS SNACKFOOD US, POP'ABLES SNICKERS Brand Bite Size Candies</t>
        </is>
      </c>
      <c r="C1980" s="1" t="n">
        <v>61.07</v>
      </c>
      <c r="E1980" s="1" t="n">
        <v>0.72</v>
      </c>
      <c r="F1980" s="1" t="n">
        <v>7.15</v>
      </c>
      <c r="G1980" s="1" t="n">
        <v>24.32</v>
      </c>
      <c r="H1980" s="1" t="n">
        <v>174</v>
      </c>
    </row>
    <row r="1981" ht="15.75" customHeight="1" s="201">
      <c r="A1981" s="1" t="inlineStr">
        <is>
          <t>Candies, MARS SNACKFOOD US, SKITTLES Original Bite Size Candies</t>
        </is>
      </c>
      <c r="C1981" s="1" t="n">
        <v>90.78</v>
      </c>
      <c r="D1981" s="1" t="n">
        <v>0</v>
      </c>
      <c r="E1981" s="1" t="n">
        <v>0</v>
      </c>
      <c r="F1981" s="1" t="n">
        <v>0.19</v>
      </c>
      <c r="G1981" s="1" t="n">
        <v>4.37</v>
      </c>
      <c r="H1981" s="1" t="n">
        <v>0</v>
      </c>
      <c r="I1981" s="1" t="n">
        <v>0.02</v>
      </c>
      <c r="J1981" t="n">
        <v>91746100</v>
      </c>
    </row>
    <row r="1982" ht="15.75" customHeight="1" s="201">
      <c r="A1982" s="1" t="inlineStr">
        <is>
          <t>Candies, MARS SNACKFOOD US, SKITTLES Sours Original</t>
        </is>
      </c>
      <c r="C1982" s="1" t="n">
        <v>91.02</v>
      </c>
      <c r="E1982" s="1" t="n">
        <v>0.01</v>
      </c>
      <c r="F1982" s="1" t="n">
        <v>0.18</v>
      </c>
      <c r="G1982" s="1" t="n">
        <v>4</v>
      </c>
      <c r="H1982" s="1" t="n">
        <v>0</v>
      </c>
    </row>
    <row r="1983" ht="15.75" customHeight="1" s="201">
      <c r="A1983" s="1" t="inlineStr">
        <is>
          <t>Candies, MARS SNACKFOOD US, SKITTLES Tropical Bite Size Candies</t>
        </is>
      </c>
      <c r="C1983" s="1" t="n">
        <v>90.77</v>
      </c>
      <c r="E1983" s="1" t="n">
        <v>0</v>
      </c>
      <c r="F1983" s="1" t="n">
        <v>0.19</v>
      </c>
      <c r="G1983" s="1" t="n">
        <v>4.34</v>
      </c>
      <c r="H1983" s="1" t="n">
        <v>0</v>
      </c>
      <c r="J1983" t="n">
        <v>91746100</v>
      </c>
    </row>
    <row r="1984" ht="15.75" customHeight="1" s="201">
      <c r="A1984" s="1" t="inlineStr">
        <is>
          <t>Candies, MARS SNACKFOOD US, SKITTLES Wild Berry Bite Size Candies</t>
        </is>
      </c>
      <c r="C1984" s="1" t="n">
        <v>90.76000000000001</v>
      </c>
      <c r="E1984" s="1" t="n">
        <v>0</v>
      </c>
      <c r="F1984" s="1" t="n">
        <v>0.19</v>
      </c>
      <c r="G1984" s="1" t="n">
        <v>4.25</v>
      </c>
      <c r="H1984" s="1" t="n">
        <v>0</v>
      </c>
    </row>
    <row r="1985" ht="15.75" customHeight="1" s="201">
      <c r="A1985" s="1" t="inlineStr">
        <is>
          <t>Candies, MARS SNACKFOOD US, SNICKERS Almond bar</t>
        </is>
      </c>
      <c r="C1985" s="1" t="n">
        <v>64.67</v>
      </c>
      <c r="E1985" s="1" t="n">
        <v>0.85</v>
      </c>
      <c r="F1985" s="1" t="n">
        <v>5.4</v>
      </c>
      <c r="G1985" s="1" t="n">
        <v>22.4</v>
      </c>
      <c r="H1985" s="1" t="n">
        <v>166</v>
      </c>
      <c r="J1985" t="n">
        <v>11350030</v>
      </c>
    </row>
    <row r="1986" ht="15.75" customHeight="1" s="201">
      <c r="A1986" s="1" t="inlineStr">
        <is>
          <t>Candies, MARS SNACKFOOD US, SNICKERS Bar</t>
        </is>
      </c>
      <c r="C1986" s="1" t="n">
        <v>61.51</v>
      </c>
      <c r="D1986" s="1" t="n">
        <v>27</v>
      </c>
      <c r="E1986" s="1" t="n">
        <v>0.72</v>
      </c>
      <c r="F1986" s="1" t="n">
        <v>7.53</v>
      </c>
      <c r="G1986" s="1" t="n">
        <v>23.85</v>
      </c>
      <c r="H1986" s="1" t="n">
        <v>161</v>
      </c>
      <c r="I1986" s="1" t="n">
        <v>2.5</v>
      </c>
      <c r="J1986" t="n">
        <v>91746100</v>
      </c>
    </row>
    <row r="1987" ht="15.75" customHeight="1" s="201">
      <c r="A1987" s="1" t="inlineStr">
        <is>
          <t>Candies, MARS SNACKFOOD US, SNICKERS CRUNCHER</t>
        </is>
      </c>
      <c r="C1987" s="1" t="n">
        <v>62.85</v>
      </c>
      <c r="E1987" s="1" t="n">
        <v>0.68</v>
      </c>
      <c r="F1987" s="1" t="n">
        <v>6.86</v>
      </c>
      <c r="G1987" s="1" t="n">
        <v>24.38</v>
      </c>
      <c r="H1987" s="1" t="n">
        <v>120</v>
      </c>
    </row>
    <row r="1988" ht="15.75" customHeight="1" s="201">
      <c r="A1988" s="1" t="inlineStr">
        <is>
          <t>Candies, MARS SNACKFOOD US, SNICKERS MUNCH bar</t>
        </is>
      </c>
      <c r="C1988" s="1" t="n">
        <v>43.64</v>
      </c>
      <c r="E1988" s="1" t="n">
        <v>1.02</v>
      </c>
      <c r="F1988" s="1" t="n">
        <v>15.25</v>
      </c>
      <c r="G1988" s="1" t="n">
        <v>36.22</v>
      </c>
      <c r="H1988" s="1" t="n">
        <v>314</v>
      </c>
    </row>
    <row r="1989" ht="15.75" customHeight="1" s="201">
      <c r="A1989" s="1" t="inlineStr">
        <is>
          <t>Candies, MARS SNACKFOOD US, STARBURST Fruit Chews, Fruit and Creme</t>
        </is>
      </c>
      <c r="C1989" s="1" t="n">
        <v>82.43000000000001</v>
      </c>
      <c r="E1989" s="1" t="n">
        <v>0.01</v>
      </c>
      <c r="F1989" s="1" t="n">
        <v>0.41</v>
      </c>
      <c r="G1989" s="1" t="n">
        <v>8.359999999999999</v>
      </c>
      <c r="H1989" s="1" t="n">
        <v>0</v>
      </c>
      <c r="J1989" t="n">
        <v>91708030</v>
      </c>
    </row>
    <row r="1990" ht="15.75" customHeight="1" s="201">
      <c r="A1990" s="1" t="inlineStr">
        <is>
          <t>Candies, MARS SNACKFOOD US, STARBURST Fruit Chews, Original fruits</t>
        </is>
      </c>
      <c r="C1990" s="1" t="n">
        <v>82.56999999999999</v>
      </c>
      <c r="D1990" s="1" t="n">
        <v>1</v>
      </c>
      <c r="E1990" s="1" t="n">
        <v>0.01</v>
      </c>
      <c r="F1990" s="1" t="n">
        <v>0.41</v>
      </c>
      <c r="G1990" s="1" t="n">
        <v>8.210000000000001</v>
      </c>
      <c r="H1990" s="1" t="n">
        <v>1</v>
      </c>
      <c r="I1990" s="1" t="n">
        <v>0</v>
      </c>
      <c r="J1990" t="n">
        <v>91708030</v>
      </c>
    </row>
    <row r="1991" ht="15.75" customHeight="1" s="201">
      <c r="A1991" s="1" t="inlineStr">
        <is>
          <t>Candies, MARS SNACKFOOD US, STARBURST Fruit Chews, Tropical fruits</t>
        </is>
      </c>
      <c r="C1991" s="1" t="n">
        <v>82.76000000000001</v>
      </c>
      <c r="E1991" s="1" t="n">
        <v>0.01</v>
      </c>
      <c r="F1991" s="1" t="n">
        <v>0.41</v>
      </c>
      <c r="G1991" s="1" t="n">
        <v>8.31</v>
      </c>
      <c r="H1991" s="1" t="n">
        <v>0</v>
      </c>
      <c r="J1991" t="n">
        <v>91708030</v>
      </c>
    </row>
    <row r="1992" ht="15.75" customHeight="1" s="201">
      <c r="A1992" s="1" t="inlineStr">
        <is>
          <t>Candies, MARS SNACKFOOD US, STARBURST Sour Fruit Chews</t>
        </is>
      </c>
      <c r="C1992" s="1" t="n">
        <v>79.73</v>
      </c>
      <c r="E1992" s="1" t="n">
        <v>0.01</v>
      </c>
      <c r="F1992" s="1" t="n">
        <v>0.39</v>
      </c>
      <c r="G1992" s="1" t="n">
        <v>7.78</v>
      </c>
      <c r="H1992" s="1" t="n">
        <v>0</v>
      </c>
      <c r="J1992" t="n">
        <v>91708030</v>
      </c>
    </row>
    <row r="1993" ht="15.75" customHeight="1" s="201">
      <c r="A1993" s="1" t="inlineStr">
        <is>
          <t>Candies, MARS SNACKFOOD US, TWIX Caramel Cookie Bars</t>
        </is>
      </c>
      <c r="C1993" s="1" t="n">
        <v>64.8</v>
      </c>
      <c r="D1993" s="1" t="n">
        <v>26</v>
      </c>
      <c r="E1993" s="1" t="n">
        <v>0.8100000000000001</v>
      </c>
      <c r="F1993" s="1" t="n">
        <v>4.91</v>
      </c>
      <c r="G1993" s="1" t="n">
        <v>24.85</v>
      </c>
      <c r="H1993" s="1" t="n">
        <v>67</v>
      </c>
      <c r="I1993" s="1" t="n">
        <v>1.06</v>
      </c>
      <c r="J1993" t="n">
        <v>53209010</v>
      </c>
    </row>
    <row r="1994" ht="15.75" customHeight="1" s="201">
      <c r="A1994" s="1" t="inlineStr">
        <is>
          <t>Candies, MARS SNACKFOOD US, TWIX chocolate fudge cookie bars</t>
        </is>
      </c>
      <c r="C1994" s="1" t="n">
        <v>56</v>
      </c>
      <c r="D1994" s="1" t="n">
        <v>9</v>
      </c>
      <c r="E1994" s="1" t="n">
        <v>1.31</v>
      </c>
      <c r="F1994" s="1" t="n">
        <v>7.3</v>
      </c>
      <c r="G1994" s="1" t="n">
        <v>33.3</v>
      </c>
      <c r="H1994" s="1" t="n">
        <v>32</v>
      </c>
      <c r="I1994" s="1" t="n">
        <v>0.92</v>
      </c>
      <c r="J1994" t="n">
        <v>53108200</v>
      </c>
    </row>
    <row r="1995" ht="15.75" customHeight="1" s="201">
      <c r="A1995" s="1" t="inlineStr">
        <is>
          <t>Candies, MARS SNACKFOOD US, TWIX Peanut Butter Cookie Bars</t>
        </is>
      </c>
      <c r="C1995" s="1" t="n">
        <v>54.14</v>
      </c>
      <c r="D1995" s="1" t="n">
        <v>15</v>
      </c>
      <c r="E1995" s="1" t="n">
        <v>1.32</v>
      </c>
      <c r="F1995" s="1" t="n">
        <v>9.18</v>
      </c>
      <c r="G1995" s="1" t="n">
        <v>32.67</v>
      </c>
      <c r="H1995" s="1" t="n">
        <v>68</v>
      </c>
      <c r="I1995" s="1" t="n">
        <v>1.61</v>
      </c>
      <c r="J1995" t="n">
        <v>91734000</v>
      </c>
    </row>
    <row r="1996" ht="15.75" customHeight="1" s="201">
      <c r="A1996" s="1" t="inlineStr">
        <is>
          <t>Candies, marshmallows</t>
        </is>
      </c>
      <c r="C1996" s="1" t="n">
        <v>81.3</v>
      </c>
      <c r="D1996" s="1" t="n">
        <v>1</v>
      </c>
      <c r="E1996" s="1" t="n">
        <v>0.23</v>
      </c>
      <c r="F1996" s="1" t="n">
        <v>1.8</v>
      </c>
      <c r="G1996" s="1" t="n">
        <v>0.2</v>
      </c>
      <c r="H1996" s="1" t="n">
        <v>0</v>
      </c>
      <c r="I1996" s="1" t="n">
        <v>0.04</v>
      </c>
      <c r="J1996" t="n">
        <v>91746100</v>
      </c>
    </row>
    <row r="1997" ht="15.75" customHeight="1" s="201">
      <c r="A1997" s="1" t="inlineStr">
        <is>
          <t>Candies, milk chocolate</t>
        </is>
      </c>
      <c r="C1997" s="1" t="n">
        <v>59.4</v>
      </c>
      <c r="D1997" s="1" t="n">
        <v>12</v>
      </c>
      <c r="E1997" s="1" t="n">
        <v>2.35</v>
      </c>
      <c r="F1997" s="1" t="n">
        <v>7.65</v>
      </c>
      <c r="G1997" s="1" t="n">
        <v>29.66</v>
      </c>
      <c r="H1997" s="1" t="n">
        <v>195</v>
      </c>
      <c r="I1997" s="1" t="n">
        <v>2.3</v>
      </c>
      <c r="J1997" t="n">
        <v>53108200</v>
      </c>
    </row>
    <row r="1998" ht="15.75" customHeight="1" s="201">
      <c r="A1998" s="1" t="inlineStr">
        <is>
          <t>Candies, milk chocolate coated coffee beans</t>
        </is>
      </c>
      <c r="C1998" s="1" t="n">
        <v>55.25</v>
      </c>
      <c r="D1998" s="1" t="n">
        <v>10</v>
      </c>
      <c r="E1998" s="1" t="n">
        <v>2.29</v>
      </c>
      <c r="F1998" s="1" t="n">
        <v>7.41</v>
      </c>
      <c r="G1998" s="1" t="n">
        <v>33.18</v>
      </c>
      <c r="H1998" s="1" t="n">
        <v>168</v>
      </c>
      <c r="I1998" s="1" t="n">
        <v>2.02</v>
      </c>
      <c r="J1998" t="n">
        <v>53108200</v>
      </c>
    </row>
    <row r="1999" ht="15.75" customHeight="1" s="201">
      <c r="A1999" s="1" t="inlineStr">
        <is>
          <t>Candies, milk chocolate coated peanuts</t>
        </is>
      </c>
      <c r="C1999" s="1" t="n">
        <v>49.7</v>
      </c>
      <c r="D1999" s="1" t="n">
        <v>51</v>
      </c>
      <c r="E1999" s="1" t="n">
        <v>1.31</v>
      </c>
      <c r="F1999" s="1" t="n">
        <v>13.1</v>
      </c>
      <c r="G1999" s="1" t="n">
        <v>33.5</v>
      </c>
      <c r="H1999" s="1" t="n">
        <v>131</v>
      </c>
      <c r="I1999" s="1" t="n">
        <v>2.6</v>
      </c>
      <c r="J1999" t="n">
        <v>53108200</v>
      </c>
    </row>
    <row r="2000" ht="15.75" customHeight="1" s="201">
      <c r="A2000" s="1" t="inlineStr">
        <is>
          <t>Candies, milk chocolate coated raisins</t>
        </is>
      </c>
      <c r="C2000" s="1" t="n">
        <v>68.40000000000001</v>
      </c>
      <c r="D2000" s="1" t="n">
        <v>8</v>
      </c>
      <c r="E2000" s="1" t="n">
        <v>1.71</v>
      </c>
      <c r="F2000" s="1" t="n">
        <v>4.1</v>
      </c>
      <c r="G2000" s="1" t="n">
        <v>14.8</v>
      </c>
      <c r="H2000" s="1" t="n">
        <v>91</v>
      </c>
      <c r="I2000" s="1" t="n">
        <v>1.25</v>
      </c>
      <c r="J2000" t="n">
        <v>53108200</v>
      </c>
    </row>
    <row r="2001" ht="15.75" customHeight="1" s="201">
      <c r="A2001" s="1" t="inlineStr">
        <is>
          <t>Candies, milk chocolate, with almonds</t>
        </is>
      </c>
      <c r="C2001" s="1" t="n">
        <v>53.4</v>
      </c>
      <c r="D2001" s="1" t="n">
        <v>14</v>
      </c>
      <c r="E2001" s="1" t="n">
        <v>1.63</v>
      </c>
      <c r="F2001" s="1" t="n">
        <v>9</v>
      </c>
      <c r="G2001" s="1" t="n">
        <v>34.4</v>
      </c>
      <c r="H2001" s="1" t="n">
        <v>175</v>
      </c>
      <c r="I2001" s="1" t="n">
        <v>1.34</v>
      </c>
      <c r="J2001" t="n">
        <v>53108200</v>
      </c>
    </row>
    <row r="2002" ht="15.75" customHeight="1" s="201">
      <c r="A2002" s="1" t="inlineStr">
        <is>
          <t>Candies, milk chocolate, with rice cereal</t>
        </is>
      </c>
      <c r="C2002" s="1" t="n">
        <v>59.67</v>
      </c>
      <c r="D2002" s="1" t="n">
        <v>18</v>
      </c>
      <c r="E2002" s="1" t="n">
        <v>2.65</v>
      </c>
      <c r="F2002" s="1" t="n">
        <v>7.64</v>
      </c>
      <c r="G2002" s="1" t="n">
        <v>29.37</v>
      </c>
      <c r="H2002" s="1" t="n">
        <v>217</v>
      </c>
      <c r="I2002" s="1" t="n">
        <v>2.29</v>
      </c>
      <c r="J2002" t="n">
        <v>53108200</v>
      </c>
    </row>
    <row r="2003" ht="15.75" customHeight="1" s="201">
      <c r="A2003" s="1" t="inlineStr">
        <is>
          <t>Candies, MOUNDS Candy Bar</t>
        </is>
      </c>
      <c r="C2003" s="1" t="n">
        <v>58.88</v>
      </c>
      <c r="D2003" s="1" t="n">
        <v>6</v>
      </c>
      <c r="E2003" s="1" t="n">
        <v>2.09</v>
      </c>
      <c r="F2003" s="1" t="n">
        <v>4.6</v>
      </c>
      <c r="G2003" s="1" t="n">
        <v>26.6</v>
      </c>
      <c r="H2003" s="1" t="n">
        <v>0</v>
      </c>
      <c r="I2003" s="1" t="n">
        <v>1.1</v>
      </c>
      <c r="J2003" t="n">
        <v>91745020</v>
      </c>
    </row>
    <row r="2004" ht="15.75" customHeight="1" s="201">
      <c r="A2004" s="1" t="inlineStr">
        <is>
          <t>Candies, MR. GOODBAR Chocolate Bar</t>
        </is>
      </c>
      <c r="C2004" s="1" t="n">
        <v>54.34</v>
      </c>
      <c r="D2004" s="1" t="n">
        <v>38</v>
      </c>
      <c r="E2004" s="1" t="n">
        <v>1.39</v>
      </c>
      <c r="F2004" s="1" t="n">
        <v>10.22</v>
      </c>
      <c r="G2004" s="1" t="n">
        <v>33.21</v>
      </c>
      <c r="H2004" s="1" t="n">
        <v>115</v>
      </c>
      <c r="I2004" s="1" t="n">
        <v>0.93</v>
      </c>
      <c r="J2004" t="n">
        <v>53108200</v>
      </c>
    </row>
    <row r="2005" ht="15.75" customHeight="1" s="201">
      <c r="A2005" s="1" t="inlineStr">
        <is>
          <t>Candies, NESTLE, 100 GRAND Bar</t>
        </is>
      </c>
      <c r="C2005" s="1" t="n">
        <v>70.97</v>
      </c>
      <c r="D2005" s="1" t="n">
        <v>5</v>
      </c>
      <c r="E2005" s="1" t="n">
        <v>0.34</v>
      </c>
      <c r="F2005" s="1" t="n">
        <v>2.5</v>
      </c>
      <c r="G2005" s="1" t="n">
        <v>19.33</v>
      </c>
      <c r="H2005" s="1" t="n">
        <v>127</v>
      </c>
      <c r="I2005" s="1" t="n">
        <v>0.99</v>
      </c>
      <c r="J2005" t="n">
        <v>91746100</v>
      </c>
    </row>
    <row r="2006" ht="15.75" customHeight="1" s="201">
      <c r="A2006" s="1" t="inlineStr">
        <is>
          <t>Candies, NESTLE, AFTER EIGHT Mints</t>
        </is>
      </c>
      <c r="C2006" s="1" t="n">
        <v>79.53</v>
      </c>
      <c r="E2006" s="1" t="n">
        <v>0.57</v>
      </c>
      <c r="F2006" s="1" t="n">
        <v>1.67</v>
      </c>
      <c r="G2006" s="1" t="n">
        <v>11.9</v>
      </c>
      <c r="H2006" s="1" t="n">
        <v>0</v>
      </c>
      <c r="J2006" t="n">
        <v>91707010</v>
      </c>
    </row>
    <row r="2007" ht="15.75" customHeight="1" s="201">
      <c r="A2007" s="1" t="inlineStr">
        <is>
          <t>Candies, NESTLE, BABY RUTH Bar</t>
        </is>
      </c>
      <c r="C2007" s="1" t="n">
        <v>64.8</v>
      </c>
      <c r="D2007" s="1" t="n">
        <v>12</v>
      </c>
      <c r="E2007" s="1" t="n">
        <v>0.63</v>
      </c>
      <c r="F2007" s="1" t="n">
        <v>5.4</v>
      </c>
      <c r="G2007" s="1" t="n">
        <v>21.6</v>
      </c>
      <c r="H2007" s="1" t="n">
        <v>0</v>
      </c>
      <c r="I2007" s="1" t="n">
        <v>0.72</v>
      </c>
      <c r="J2007" t="n">
        <v>91746100</v>
      </c>
    </row>
    <row r="2008" ht="15.75" customHeight="1" s="201">
      <c r="A2008" s="1" t="inlineStr">
        <is>
          <t>Candies, NESTLE, BIT-O'-HONEY Candy Chews</t>
        </is>
      </c>
      <c r="C2008" s="1" t="n">
        <v>80.89</v>
      </c>
      <c r="D2008" s="1" t="n">
        <v>2</v>
      </c>
      <c r="E2008" s="1" t="n">
        <v>0.2</v>
      </c>
      <c r="F2008" s="1" t="n">
        <v>2</v>
      </c>
      <c r="G2008" s="1" t="n">
        <v>7.5</v>
      </c>
      <c r="H2008" s="1" t="n">
        <v>0</v>
      </c>
      <c r="I2008" s="1" t="n">
        <v>0.49</v>
      </c>
      <c r="J2008" t="n">
        <v>91745020</v>
      </c>
    </row>
    <row r="2009" ht="15.75" customHeight="1" s="201">
      <c r="A2009" s="1" t="inlineStr">
        <is>
          <t>Candies, NESTLE, BUTTERFINGER Bar</t>
        </is>
      </c>
      <c r="C2009" s="1" t="n">
        <v>72.90000000000001</v>
      </c>
      <c r="D2009" s="1" t="n">
        <v>28</v>
      </c>
      <c r="E2009" s="1" t="n">
        <v>0.79</v>
      </c>
      <c r="F2009" s="1" t="n">
        <v>5.4</v>
      </c>
      <c r="G2009" s="1" t="n">
        <v>18.9</v>
      </c>
      <c r="H2009" s="1" t="n">
        <v>0</v>
      </c>
      <c r="I2009" s="1" t="n">
        <v>1</v>
      </c>
      <c r="J2009" t="n">
        <v>91746100</v>
      </c>
    </row>
    <row r="2010" ht="15.75" customHeight="1" s="201">
      <c r="A2010" s="1" t="inlineStr">
        <is>
          <t>Candies, NESTLE, BUTTERFINGER Crisp</t>
        </is>
      </c>
      <c r="C2010" s="1" t="n">
        <v>68.45</v>
      </c>
      <c r="D2010" s="1" t="n">
        <v>25</v>
      </c>
      <c r="E2010" s="1" t="n">
        <v>0.6</v>
      </c>
      <c r="F2010" s="1" t="n">
        <v>6.67</v>
      </c>
      <c r="G2010" s="1" t="n">
        <v>18.33</v>
      </c>
      <c r="H2010" s="1" t="n">
        <v>1</v>
      </c>
      <c r="I2010" s="1" t="n">
        <v>1.23</v>
      </c>
      <c r="J2010" t="n">
        <v>91746100</v>
      </c>
    </row>
    <row r="2011" ht="15.75" customHeight="1" s="201">
      <c r="A2011" s="1" t="inlineStr">
        <is>
          <t>Candies, NESTLE, CHUNKY Bar</t>
        </is>
      </c>
      <c r="C2011" s="1" t="n">
        <v>60.4</v>
      </c>
      <c r="E2011" s="1" t="n">
        <v>0.9</v>
      </c>
      <c r="F2011" s="1" t="n">
        <v>7.5</v>
      </c>
      <c r="G2011" s="1" t="n">
        <v>27.5</v>
      </c>
      <c r="H2011" s="1" t="n">
        <v>0</v>
      </c>
      <c r="J2011" t="n">
        <v>91705050</v>
      </c>
    </row>
    <row r="2012" ht="15.75" customHeight="1" s="201">
      <c r="A2012" s="1" t="inlineStr">
        <is>
          <t>Candies, NESTLE, CRUNCH Bar and Dessert Topping</t>
        </is>
      </c>
      <c r="C2012" s="1" t="n">
        <v>67</v>
      </c>
      <c r="E2012" s="1" t="n">
        <v>0.7</v>
      </c>
      <c r="F2012" s="1" t="n">
        <v>5</v>
      </c>
      <c r="G2012" s="1" t="n">
        <v>26</v>
      </c>
      <c r="H2012" s="1" t="n">
        <v>107</v>
      </c>
      <c r="J2012" t="n">
        <v>51161270</v>
      </c>
    </row>
    <row r="2013" ht="15.75" customHeight="1" s="201">
      <c r="A2013" s="1" t="inlineStr">
        <is>
          <t>Candies, NESTLE, GOOBERS Chocolate Covered Peanuts</t>
        </is>
      </c>
      <c r="C2013" s="1" t="n">
        <v>53</v>
      </c>
      <c r="E2013" s="1" t="n">
        <v>1.1</v>
      </c>
      <c r="F2013" s="1" t="n">
        <v>9.699999999999999</v>
      </c>
      <c r="G2013" s="1" t="n">
        <v>34</v>
      </c>
      <c r="H2013" s="1" t="n">
        <v>68</v>
      </c>
      <c r="J2013" t="n">
        <v>53108200</v>
      </c>
    </row>
    <row r="2014" ht="15.75" customHeight="1" s="201">
      <c r="A2014" s="1" t="inlineStr">
        <is>
          <t>Candies, NESTLE, OH HENRY! Bar</t>
        </is>
      </c>
      <c r="C2014" s="1" t="n">
        <v>65.5</v>
      </c>
      <c r="D2014" s="1" t="n">
        <v>44</v>
      </c>
      <c r="E2014" s="1" t="n">
        <v>0.5</v>
      </c>
      <c r="F2014" s="1" t="n">
        <v>7.7</v>
      </c>
      <c r="G2014" s="1" t="n">
        <v>23</v>
      </c>
      <c r="H2014" s="1" t="n">
        <v>0</v>
      </c>
      <c r="I2014" s="1" t="n">
        <v>1.19</v>
      </c>
      <c r="J2014" t="n">
        <v>91746100</v>
      </c>
    </row>
    <row r="2015" ht="15.75" customHeight="1" s="201">
      <c r="A2015" s="1" t="inlineStr">
        <is>
          <t>Candies, NESTLE, RAISINETS Chocolate Covered Raisins</t>
        </is>
      </c>
      <c r="C2015" s="1" t="n">
        <v>71</v>
      </c>
      <c r="E2015" s="1" t="n">
        <v>1.2</v>
      </c>
      <c r="F2015" s="1" t="n">
        <v>4.4</v>
      </c>
      <c r="G2015" s="1" t="n">
        <v>17</v>
      </c>
      <c r="H2015" s="1" t="n">
        <v>77</v>
      </c>
      <c r="J2015" t="n">
        <v>53108200</v>
      </c>
    </row>
    <row r="2016" ht="15.75" customHeight="1" s="201">
      <c r="A2016" s="1" t="inlineStr">
        <is>
          <t>Candies, nougat, with almonds</t>
        </is>
      </c>
      <c r="C2016" s="1" t="n">
        <v>92.39</v>
      </c>
      <c r="D2016" s="1" t="n">
        <v>5</v>
      </c>
      <c r="E2016" s="1" t="n">
        <v>0.59</v>
      </c>
      <c r="F2016" s="1" t="n">
        <v>3.33</v>
      </c>
      <c r="G2016" s="1" t="n">
        <v>1.67</v>
      </c>
      <c r="H2016" s="1" t="n">
        <v>1</v>
      </c>
      <c r="I2016" s="1" t="n">
        <v>0.42</v>
      </c>
      <c r="J2016" t="n">
        <v>91705060</v>
      </c>
    </row>
    <row r="2017" ht="15.75" customHeight="1" s="201">
      <c r="A2017" s="1" t="inlineStr">
        <is>
          <t>Candies, peanut bar</t>
        </is>
      </c>
      <c r="C2017" s="1" t="n">
        <v>47.4</v>
      </c>
      <c r="D2017" s="1" t="n">
        <v>75</v>
      </c>
      <c r="E2017" s="1" t="n">
        <v>0.97</v>
      </c>
      <c r="F2017" s="1" t="n">
        <v>15.5</v>
      </c>
      <c r="G2017" s="1" t="n">
        <v>33.7</v>
      </c>
      <c r="H2017" s="1" t="n">
        <v>0</v>
      </c>
      <c r="I2017" s="1" t="n">
        <v>3.94</v>
      </c>
      <c r="J2017" t="n">
        <v>91734000</v>
      </c>
    </row>
    <row r="2018" ht="15.75" customHeight="1" s="201">
      <c r="A2018" s="1" t="inlineStr">
        <is>
          <t>Candies, peanut brittle, prepared-from-recipe</t>
        </is>
      </c>
      <c r="C2018" s="1" t="n">
        <v>71.23999999999999</v>
      </c>
      <c r="D2018" s="1" t="n">
        <v>46</v>
      </c>
      <c r="E2018" s="1" t="n">
        <v>1.22</v>
      </c>
      <c r="F2018" s="1" t="n">
        <v>7.57</v>
      </c>
      <c r="G2018" s="1" t="n">
        <v>18.98</v>
      </c>
      <c r="H2018" s="1" t="n">
        <v>142</v>
      </c>
      <c r="I2018" s="1" t="n">
        <v>0.87</v>
      </c>
      <c r="J2018" t="n">
        <v>91734000</v>
      </c>
    </row>
    <row r="2019" ht="15.75" customHeight="1" s="201">
      <c r="A2019" s="1" t="inlineStr">
        <is>
          <t>Candies, praline, prepared-from-recipe</t>
        </is>
      </c>
      <c r="C2019" s="1" t="n">
        <v>59.59</v>
      </c>
      <c r="D2019" s="1" t="n">
        <v>6</v>
      </c>
      <c r="E2019" s="1" t="n">
        <v>1.29</v>
      </c>
      <c r="F2019" s="1" t="n">
        <v>3.3</v>
      </c>
      <c r="G2019" s="1" t="n">
        <v>25.9</v>
      </c>
      <c r="H2019" s="1" t="n">
        <v>19</v>
      </c>
      <c r="I2019" s="1" t="n">
        <v>1.67</v>
      </c>
      <c r="J2019" t="n">
        <v>24127210</v>
      </c>
    </row>
    <row r="2020" ht="15.75" customHeight="1" s="201">
      <c r="A2020" s="1" t="inlineStr">
        <is>
          <t>Candies, REESE'S BITES</t>
        </is>
      </c>
      <c r="C2020" s="1" t="n">
        <v>55.18</v>
      </c>
      <c r="D2020" s="1" t="n">
        <v>42</v>
      </c>
      <c r="E2020" s="1" t="n">
        <v>0.85</v>
      </c>
      <c r="F2020" s="1" t="n">
        <v>11.34</v>
      </c>
      <c r="G2020" s="1" t="n">
        <v>29.85</v>
      </c>
      <c r="H2020" s="1" t="n">
        <v>60</v>
      </c>
      <c r="I2020" s="1" t="n">
        <v>1.06</v>
      </c>
      <c r="J2020" t="n">
        <v>91734100</v>
      </c>
    </row>
    <row r="2021" ht="15.75" customHeight="1" s="201">
      <c r="A2021" s="1" t="inlineStr">
        <is>
          <t>Candies, REESE's Fast Break, milk chocolate, peanut butter, soft nougats, candy bar</t>
        </is>
      </c>
      <c r="C2021" s="1" t="n">
        <v>63.9</v>
      </c>
      <c r="D2021" s="1" t="n">
        <v>28</v>
      </c>
      <c r="E2021" s="1" t="n">
        <v>0.64</v>
      </c>
      <c r="F2021" s="1" t="n">
        <v>8.93</v>
      </c>
      <c r="G2021" s="1" t="n">
        <v>23.21</v>
      </c>
      <c r="H2021" s="1" t="n">
        <v>49</v>
      </c>
      <c r="I2021" s="1" t="n">
        <v>1.45</v>
      </c>
      <c r="J2021" t="n">
        <v>53108200</v>
      </c>
    </row>
    <row r="2022" ht="15.75" customHeight="1" s="201">
      <c r="A2022" s="1" t="inlineStr">
        <is>
          <t>Candies, REESE'S NUTRAGEOUS Candy Bar</t>
        </is>
      </c>
      <c r="C2022" s="1" t="n">
        <v>52.8</v>
      </c>
      <c r="D2022" s="1" t="n">
        <v>56</v>
      </c>
      <c r="E2022" s="1" t="n">
        <v>1.23</v>
      </c>
      <c r="F2022" s="1" t="n">
        <v>11.28</v>
      </c>
      <c r="G2022" s="1" t="n">
        <v>32.09</v>
      </c>
      <c r="H2022" s="1" t="n">
        <v>36</v>
      </c>
      <c r="I2022" s="1" t="n">
        <v>1.29</v>
      </c>
      <c r="J2022" t="n">
        <v>91745020</v>
      </c>
    </row>
    <row r="2023" ht="15.75" customHeight="1" s="201">
      <c r="A2023" s="1" t="inlineStr">
        <is>
          <t>Candies, REESE'S Peanut Butter Cups</t>
        </is>
      </c>
      <c r="C2023" s="1" t="n">
        <v>55.36</v>
      </c>
      <c r="D2023" s="1" t="n">
        <v>50</v>
      </c>
      <c r="E2023" s="1" t="n">
        <v>1.21</v>
      </c>
      <c r="F2023" s="1" t="n">
        <v>10.24</v>
      </c>
      <c r="G2023" s="1" t="n">
        <v>30.53</v>
      </c>
      <c r="H2023" s="1" t="n">
        <v>56</v>
      </c>
      <c r="I2023" s="1" t="n">
        <v>1.28</v>
      </c>
      <c r="J2023" t="n">
        <v>91734000</v>
      </c>
    </row>
    <row r="2024" ht="15.75" customHeight="1" s="201">
      <c r="A2024" s="1" t="inlineStr">
        <is>
          <t>Candies, REESE'S PIECES Candy</t>
        </is>
      </c>
      <c r="C2024" s="1" t="n">
        <v>59.86</v>
      </c>
      <c r="D2024" s="1" t="n">
        <v>55</v>
      </c>
      <c r="E2024" s="1" t="n">
        <v>0.49</v>
      </c>
      <c r="F2024" s="1" t="n">
        <v>12.46</v>
      </c>
      <c r="G2024" s="1" t="n">
        <v>24.77</v>
      </c>
      <c r="H2024" s="1" t="n">
        <v>1</v>
      </c>
      <c r="I2024" s="1" t="n">
        <v>1.15</v>
      </c>
      <c r="J2024" t="n">
        <v>91745020</v>
      </c>
    </row>
    <row r="2025" ht="15.75" customHeight="1" s="201">
      <c r="A2025" s="1" t="inlineStr">
        <is>
          <t>Candies, REESE'S, FAST BREAK, milk chocolate peanut butter and soft nougats</t>
        </is>
      </c>
      <c r="C2025" s="1" t="n">
        <v>61.6</v>
      </c>
      <c r="D2025" s="1" t="n">
        <v>39</v>
      </c>
      <c r="E2025" s="1" t="n">
        <v>0.96</v>
      </c>
      <c r="F2025" s="1" t="n">
        <v>8.66</v>
      </c>
      <c r="G2025" s="1" t="n">
        <v>23.42</v>
      </c>
      <c r="H2025" s="1" t="n">
        <v>40</v>
      </c>
      <c r="I2025" s="1" t="n">
        <v>0.9399999999999999</v>
      </c>
      <c r="J2025" t="n">
        <v>53108200</v>
      </c>
    </row>
    <row r="2026" ht="15.75" customHeight="1" s="201">
      <c r="A2026" s="1" t="inlineStr">
        <is>
          <t>Candies, ROLO Caramels in Milk Chocolate</t>
        </is>
      </c>
      <c r="C2026" s="1" t="n">
        <v>67.95</v>
      </c>
      <c r="D2026" s="1" t="n">
        <v>0</v>
      </c>
      <c r="E2026" s="1" t="n">
        <v>0.42</v>
      </c>
      <c r="F2026" s="1" t="n">
        <v>5.08</v>
      </c>
      <c r="G2026" s="1" t="n">
        <v>20.93</v>
      </c>
      <c r="H2026" s="1" t="n">
        <v>111</v>
      </c>
      <c r="I2026" s="1" t="n">
        <v>0</v>
      </c>
      <c r="J2026" t="n">
        <v>53108200</v>
      </c>
    </row>
    <row r="2027" ht="15.75" customHeight="1" s="201">
      <c r="A2027" s="1" t="inlineStr">
        <is>
          <t>Candies, semisweet chocolate</t>
        </is>
      </c>
      <c r="C2027" s="1" t="n">
        <v>63.9</v>
      </c>
      <c r="D2027" s="1" t="n">
        <v>13</v>
      </c>
      <c r="E2027" s="1" t="n">
        <v>3.13</v>
      </c>
      <c r="F2027" s="1" t="n">
        <v>4.2</v>
      </c>
      <c r="G2027" s="1" t="n">
        <v>30</v>
      </c>
      <c r="H2027" s="1" t="n">
        <v>0</v>
      </c>
      <c r="I2027" s="1" t="n">
        <v>1.62</v>
      </c>
      <c r="J2027" t="n">
        <v>53108200</v>
      </c>
    </row>
    <row r="2028" ht="15.75" customHeight="1" s="201">
      <c r="A2028" s="1" t="inlineStr">
        <is>
          <t>Candies, semisweet chocolate, made with butter</t>
        </is>
      </c>
      <c r="C2028" s="1" t="n">
        <v>63.4</v>
      </c>
      <c r="D2028" s="1" t="n">
        <v>3</v>
      </c>
      <c r="E2028" s="1" t="n">
        <v>3.13</v>
      </c>
      <c r="F2028" s="1" t="n">
        <v>4.2</v>
      </c>
      <c r="G2028" s="1" t="n">
        <v>29.7</v>
      </c>
      <c r="H2028" s="1" t="n">
        <v>60</v>
      </c>
      <c r="I2028" s="1" t="n">
        <v>1.62</v>
      </c>
      <c r="J2028" t="n">
        <v>53108200</v>
      </c>
    </row>
    <row r="2029" ht="15.75" customHeight="1" s="201">
      <c r="A2029" s="1" t="inlineStr">
        <is>
          <t>Candies, sesame crunch</t>
        </is>
      </c>
      <c r="C2029" s="1" t="n">
        <v>50.3</v>
      </c>
      <c r="D2029" s="1" t="n">
        <v>51</v>
      </c>
      <c r="E2029" s="1" t="n">
        <v>4.27</v>
      </c>
      <c r="F2029" s="1" t="n">
        <v>11.6</v>
      </c>
      <c r="G2029" s="1" t="n">
        <v>33.3</v>
      </c>
      <c r="H2029" s="1" t="n">
        <v>6</v>
      </c>
      <c r="I2029" s="1" t="n">
        <v>3.76</v>
      </c>
      <c r="J2029" t="n">
        <v>91746100</v>
      </c>
    </row>
    <row r="2030" ht="15.75" customHeight="1" s="201">
      <c r="A2030" s="1" t="inlineStr">
        <is>
          <t>Candies, soft fruit and nut squares</t>
        </is>
      </c>
      <c r="C2030" s="1" t="n">
        <v>73.81</v>
      </c>
      <c r="D2030" s="1" t="n">
        <v>12</v>
      </c>
      <c r="E2030" s="1" t="n">
        <v>0.93</v>
      </c>
      <c r="F2030" s="1" t="n">
        <v>2.31</v>
      </c>
      <c r="G2030" s="1" t="n">
        <v>9.52</v>
      </c>
      <c r="H2030" s="1" t="n">
        <v>3</v>
      </c>
      <c r="I2030" s="1" t="n">
        <v>0.53</v>
      </c>
      <c r="J2030" t="n">
        <v>91708030</v>
      </c>
    </row>
    <row r="2031" ht="15.75" customHeight="1" s="201">
      <c r="A2031" s="1" t="inlineStr">
        <is>
          <t>Candies, SPECIAL DARK Chocolate Bar</t>
        </is>
      </c>
      <c r="C2031" s="1" t="n">
        <v>60.49</v>
      </c>
      <c r="D2031" s="1" t="n">
        <v>0</v>
      </c>
      <c r="E2031" s="1" t="n">
        <v>2.13</v>
      </c>
      <c r="F2031" s="1" t="n">
        <v>5.54</v>
      </c>
      <c r="G2031" s="1" t="n">
        <v>32.4</v>
      </c>
      <c r="I2031" s="1" t="n">
        <v>0.01</v>
      </c>
      <c r="J2031" t="n">
        <v>53108200</v>
      </c>
    </row>
    <row r="2032" ht="15.75" customHeight="1" s="201">
      <c r="A2032" s="1" t="inlineStr">
        <is>
          <t>Candies, sugar-coated almonds</t>
        </is>
      </c>
      <c r="C2032" s="1" t="n">
        <v>68.26000000000001</v>
      </c>
      <c r="D2032" s="1" t="n">
        <v>15</v>
      </c>
      <c r="E2032" s="1" t="n">
        <v>1.9</v>
      </c>
      <c r="F2032" s="1" t="n">
        <v>10</v>
      </c>
      <c r="G2032" s="1" t="n">
        <v>17.93</v>
      </c>
      <c r="H2032" s="1" t="n">
        <v>3</v>
      </c>
      <c r="I2032" s="1" t="n">
        <v>1.56</v>
      </c>
      <c r="J2032" t="n">
        <v>91705060</v>
      </c>
    </row>
    <row r="2033" ht="15.75" customHeight="1" s="201">
      <c r="A2033" s="1" t="inlineStr">
        <is>
          <t>Candies, sweet chocolate</t>
        </is>
      </c>
      <c r="C2033" s="1" t="n">
        <v>60.4</v>
      </c>
      <c r="D2033" s="1" t="n">
        <v>3</v>
      </c>
      <c r="E2033" s="1" t="n">
        <v>2.76</v>
      </c>
      <c r="F2033" s="1" t="n">
        <v>3.9</v>
      </c>
      <c r="G2033" s="1" t="n">
        <v>34.2</v>
      </c>
      <c r="H2033" s="1" t="n">
        <v>0</v>
      </c>
      <c r="I2033" s="1" t="n">
        <v>1.5</v>
      </c>
      <c r="J2033" t="n">
        <v>53108200</v>
      </c>
    </row>
    <row r="2034" ht="15.75" customHeight="1" s="201">
      <c r="A2034" s="1" t="inlineStr">
        <is>
          <t>Candies, sweet chocolate coated fondant</t>
        </is>
      </c>
      <c r="C2034" s="1" t="n">
        <v>80.40000000000001</v>
      </c>
      <c r="D2034" s="1" t="n">
        <v>3</v>
      </c>
      <c r="E2034" s="1" t="n">
        <v>1.56</v>
      </c>
      <c r="F2034" s="1" t="n">
        <v>2.2</v>
      </c>
      <c r="G2034" s="1" t="n">
        <v>9.300000000000001</v>
      </c>
      <c r="H2034" s="1" t="n">
        <v>0</v>
      </c>
      <c r="I2034" s="1" t="n">
        <v>0.45</v>
      </c>
      <c r="J2034" t="n">
        <v>53108200</v>
      </c>
    </row>
    <row r="2035" ht="15.75" customHeight="1" s="201">
      <c r="A2035" s="1" t="inlineStr">
        <is>
          <t>Candies, SYMPHONY Milk Chocolate Bar</t>
        </is>
      </c>
      <c r="C2035" s="1" t="n">
        <v>58.01</v>
      </c>
      <c r="E2035" s="1" t="n">
        <v>0.91</v>
      </c>
      <c r="F2035" s="1" t="n">
        <v>8.51</v>
      </c>
      <c r="G2035" s="1" t="n">
        <v>30.57</v>
      </c>
      <c r="H2035" s="1" t="n">
        <v>229</v>
      </c>
      <c r="J2035" t="n">
        <v>53108200</v>
      </c>
    </row>
    <row r="2036" ht="15.75" customHeight="1" s="201">
      <c r="A2036" s="1" t="inlineStr">
        <is>
          <t>Candies, taffy, prepared-from-recipe</t>
        </is>
      </c>
      <c r="C2036" s="1" t="n">
        <v>91.56</v>
      </c>
      <c r="D2036" s="1" t="n">
        <v>0</v>
      </c>
      <c r="E2036" s="1" t="n">
        <v>0.01</v>
      </c>
      <c r="F2036" s="1" t="n">
        <v>0.03</v>
      </c>
      <c r="G2036" s="1" t="n">
        <v>3.33</v>
      </c>
      <c r="H2036" s="1" t="n">
        <v>100</v>
      </c>
      <c r="I2036" s="1" t="n">
        <v>0.21</v>
      </c>
      <c r="J2036" t="n">
        <v>91750000</v>
      </c>
    </row>
    <row r="2037" ht="15.75" customHeight="1" s="201">
      <c r="A2037" s="1" t="inlineStr">
        <is>
          <t>Candies, Tamarind</t>
        </is>
      </c>
      <c r="C2037" s="1" t="n">
        <v>91.95999999999999</v>
      </c>
      <c r="D2037" s="1" t="n">
        <v>7</v>
      </c>
      <c r="E2037" s="1" t="n">
        <v>0</v>
      </c>
      <c r="F2037" s="1" t="n">
        <v>0</v>
      </c>
      <c r="G2037" s="1" t="n">
        <v>0</v>
      </c>
      <c r="H2037" s="1" t="n">
        <v>15</v>
      </c>
      <c r="I2037" s="1" t="n">
        <v>0.08</v>
      </c>
      <c r="J2037" t="n">
        <v>91746100</v>
      </c>
    </row>
    <row r="2038" ht="15.75" customHeight="1" s="201">
      <c r="A2038" s="1" t="inlineStr">
        <is>
          <t>Candies, TOBLERONE, milk chocolate with honey and almond nougat</t>
        </is>
      </c>
      <c r="C2038" s="1" t="n">
        <v>61.21</v>
      </c>
      <c r="D2038" s="1" t="n">
        <v>9</v>
      </c>
      <c r="E2038" s="1" t="n">
        <v>1.6</v>
      </c>
      <c r="F2038" s="1" t="n">
        <v>5.71</v>
      </c>
      <c r="G2038" s="1" t="n">
        <v>28.57</v>
      </c>
      <c r="H2038" s="1" t="n">
        <v>122</v>
      </c>
      <c r="I2038" s="1" t="n">
        <v>1.53</v>
      </c>
      <c r="J2038" t="n">
        <v>53108200</v>
      </c>
    </row>
    <row r="2039" ht="15.75" customHeight="1" s="201">
      <c r="A2039" s="1" t="inlineStr">
        <is>
          <t>Candies, toffee, prepared-from-recipe</t>
        </is>
      </c>
      <c r="C2039" s="1" t="n">
        <v>64.72</v>
      </c>
      <c r="D2039" s="1" t="n">
        <v>2</v>
      </c>
      <c r="E2039" s="1" t="n">
        <v>0.03</v>
      </c>
      <c r="F2039" s="1" t="n">
        <v>1.07</v>
      </c>
      <c r="G2039" s="1" t="n">
        <v>32.75</v>
      </c>
      <c r="H2039" s="1" t="n">
        <v>1152</v>
      </c>
      <c r="I2039" s="1" t="n">
        <v>0.12</v>
      </c>
      <c r="J2039" t="n">
        <v>24127210</v>
      </c>
    </row>
    <row r="2040" ht="15.75" customHeight="1" s="201">
      <c r="A2040" s="1" t="inlineStr">
        <is>
          <t>Candies, TOOTSIE ROLL, chocolate-flavor roll</t>
        </is>
      </c>
      <c r="C2040" s="1" t="n">
        <v>87.73</v>
      </c>
      <c r="D2040" s="1" t="n">
        <v>9</v>
      </c>
      <c r="E2040" s="1" t="n">
        <v>0.8</v>
      </c>
      <c r="F2040" s="1" t="n">
        <v>1.59</v>
      </c>
      <c r="G2040" s="1" t="n">
        <v>3.31</v>
      </c>
      <c r="H2040" s="1" t="n">
        <v>0</v>
      </c>
      <c r="I2040" s="1" t="n">
        <v>0.4</v>
      </c>
      <c r="J2040" t="n">
        <v>53108200</v>
      </c>
    </row>
    <row r="2041" ht="15.75" customHeight="1" s="201">
      <c r="A2041" s="1" t="inlineStr">
        <is>
          <t>Candies, truffles, prepared-from-recipe</t>
        </is>
      </c>
      <c r="C2041" s="1" t="n">
        <v>44.88</v>
      </c>
      <c r="D2041" s="1" t="n">
        <v>9</v>
      </c>
      <c r="E2041" s="1" t="n">
        <v>1.75</v>
      </c>
      <c r="F2041" s="1" t="n">
        <v>6.21</v>
      </c>
      <c r="G2041" s="1" t="n">
        <v>33.76</v>
      </c>
      <c r="H2041" s="1" t="n">
        <v>513</v>
      </c>
      <c r="I2041" s="1" t="n">
        <v>1.55</v>
      </c>
      <c r="J2041" t="n">
        <v>24127210</v>
      </c>
    </row>
    <row r="2042" ht="15.75" customHeight="1" s="201">
      <c r="A2042" s="1" t="inlineStr">
        <is>
          <t>Candies, TWIZZLERS CHERRY BITES</t>
        </is>
      </c>
      <c r="C2042" s="1" t="n">
        <v>79.38</v>
      </c>
      <c r="E2042" s="1" t="n">
        <v>0.55</v>
      </c>
      <c r="F2042" s="1" t="n">
        <v>2.97</v>
      </c>
      <c r="G2042" s="1" t="n">
        <v>1.7</v>
      </c>
      <c r="H2042" s="1" t="n">
        <v>0</v>
      </c>
      <c r="J2042" t="n">
        <v>91721000</v>
      </c>
    </row>
    <row r="2043" ht="15.75" customHeight="1" s="201">
      <c r="A2043" s="1" t="inlineStr">
        <is>
          <t>Candies, TWIZZLERS NIBS CHERRY BITS</t>
        </is>
      </c>
      <c r="C2043" s="1" t="n">
        <v>79.37</v>
      </c>
      <c r="E2043" s="1" t="n">
        <v>0.28</v>
      </c>
      <c r="F2043" s="1" t="n">
        <v>2.3</v>
      </c>
      <c r="G2043" s="1" t="n">
        <v>2.64</v>
      </c>
      <c r="H2043" s="1" t="n">
        <v>0</v>
      </c>
      <c r="J2043" t="n">
        <v>91721000</v>
      </c>
    </row>
    <row r="2044" ht="15.75" customHeight="1" s="201">
      <c r="A2044" s="1" t="inlineStr">
        <is>
          <t>Candies, TWIZZLERS Strawberry Twists Candy</t>
        </is>
      </c>
      <c r="C2044" s="1" t="n">
        <v>79.16</v>
      </c>
      <c r="E2044" s="1" t="n">
        <v>0.51</v>
      </c>
      <c r="F2044" s="1" t="n">
        <v>2.56</v>
      </c>
      <c r="G2044" s="1" t="n">
        <v>2.32</v>
      </c>
      <c r="H2044" s="1" t="n">
        <v>0</v>
      </c>
      <c r="J2044" t="n">
        <v>91745020</v>
      </c>
    </row>
    <row r="2045" ht="15.75" customHeight="1" s="201">
      <c r="A2045" s="1" t="inlineStr">
        <is>
          <t>Candies, WHATCHAMACALLIT Candy Bar</t>
        </is>
      </c>
      <c r="C2045" s="1" t="n">
        <v>63.23</v>
      </c>
      <c r="D2045" s="1" t="n">
        <v>18</v>
      </c>
      <c r="E2045" s="1" t="n">
        <v>1.13</v>
      </c>
      <c r="F2045" s="1" t="n">
        <v>8.039999999999999</v>
      </c>
      <c r="G2045" s="1" t="n">
        <v>23.68</v>
      </c>
      <c r="H2045" s="1" t="n">
        <v>126</v>
      </c>
      <c r="I2045" s="1" t="n">
        <v>0.43</v>
      </c>
      <c r="J2045" t="n">
        <v>91745020</v>
      </c>
    </row>
    <row r="2046" ht="15.75" customHeight="1" s="201">
      <c r="A2046" s="1" t="inlineStr">
        <is>
          <t>Candies, white chocolate</t>
        </is>
      </c>
      <c r="C2046" s="1" t="n">
        <v>59.24</v>
      </c>
      <c r="D2046" s="1" t="n">
        <v>7</v>
      </c>
      <c r="E2046" s="1" t="n">
        <v>0.24</v>
      </c>
      <c r="F2046" s="1" t="n">
        <v>5.87</v>
      </c>
      <c r="G2046" s="1" t="n">
        <v>32.09</v>
      </c>
      <c r="H2046" s="1" t="n">
        <v>30</v>
      </c>
      <c r="I2046" s="1" t="n">
        <v>0.74</v>
      </c>
      <c r="J2046" t="n">
        <v>53108200</v>
      </c>
    </row>
    <row r="2047" ht="15.75" customHeight="1" s="201">
      <c r="A2047" s="1" t="inlineStr">
        <is>
          <t>Candies, YORK BITES</t>
        </is>
      </c>
      <c r="C2047" s="1" t="n">
        <v>81.64</v>
      </c>
      <c r="D2047" s="1" t="n">
        <v>0</v>
      </c>
      <c r="E2047" s="1" t="n">
        <v>0.9399999999999999</v>
      </c>
      <c r="F2047" s="1" t="n">
        <v>1.78</v>
      </c>
      <c r="G2047" s="1" t="n">
        <v>7.32</v>
      </c>
      <c r="H2047" s="1" t="n">
        <v>7</v>
      </c>
      <c r="I2047" s="1" t="n">
        <v>0.01</v>
      </c>
      <c r="J2047" t="n">
        <v>91746100</v>
      </c>
    </row>
    <row r="2048" ht="15.75" customHeight="1" s="201">
      <c r="A2048" s="1" t="inlineStr">
        <is>
          <t>Candies, YORK Peppermint Pattie</t>
        </is>
      </c>
      <c r="C2048" s="1" t="n">
        <v>80.98999999999999</v>
      </c>
      <c r="E2048" s="1" t="n">
        <v>0.92</v>
      </c>
      <c r="F2048" s="1" t="n">
        <v>2.19</v>
      </c>
      <c r="G2048" s="1" t="n">
        <v>7.17</v>
      </c>
      <c r="H2048" s="1" t="n">
        <v>7</v>
      </c>
      <c r="J2048" t="n">
        <v>91746100</v>
      </c>
    </row>
    <row r="2049" ht="15.75" customHeight="1" s="201">
      <c r="A2049" s="1" t="inlineStr">
        <is>
          <t>Capers, canned</t>
        </is>
      </c>
      <c r="C2049" s="1" t="n">
        <v>4.89</v>
      </c>
      <c r="D2049" s="1" t="n">
        <v>23</v>
      </c>
      <c r="E2049" s="1" t="n">
        <v>1.67</v>
      </c>
      <c r="F2049" s="1" t="n">
        <v>2.36</v>
      </c>
      <c r="G2049" s="1" t="n">
        <v>0.86</v>
      </c>
      <c r="H2049" s="1" t="n">
        <v>138</v>
      </c>
      <c r="I2049" s="1" t="n">
        <v>0.32</v>
      </c>
      <c r="J2049" t="n">
        <v>63311110</v>
      </c>
    </row>
    <row r="2050" ht="15.75" customHeight="1" s="201">
      <c r="A2050" s="1" t="inlineStr">
        <is>
          <t>Carambola, (starfruit), raw</t>
        </is>
      </c>
      <c r="C2050" s="1" t="n">
        <v>6.73</v>
      </c>
      <c r="D2050" s="1" t="n">
        <v>12</v>
      </c>
      <c r="E2050" s="1" t="n">
        <v>0.08</v>
      </c>
      <c r="F2050" s="1" t="n">
        <v>1.04</v>
      </c>
      <c r="G2050" s="1" t="n">
        <v>0.33</v>
      </c>
      <c r="H2050" s="1" t="n">
        <v>61</v>
      </c>
      <c r="I2050" s="1" t="n">
        <v>0.12</v>
      </c>
    </row>
    <row r="2051" ht="15.75" customHeight="1" s="201">
      <c r="A2051" s="1" t="inlineStr">
        <is>
          <t>Carbonated beverage, chocolate-flavored soda</t>
        </is>
      </c>
      <c r="C2051" s="1" t="n">
        <v>10.7</v>
      </c>
      <c r="D2051" s="1" t="n">
        <v>0</v>
      </c>
      <c r="E2051" s="1" t="n">
        <v>0.1</v>
      </c>
      <c r="F2051" s="1" t="n">
        <v>0</v>
      </c>
      <c r="G2051" s="1" t="n">
        <v>0</v>
      </c>
      <c r="H2051" s="1" t="n">
        <v>0</v>
      </c>
      <c r="I2051" s="1" t="n">
        <v>0.16</v>
      </c>
      <c r="J2051" t="n">
        <v>53108200</v>
      </c>
    </row>
    <row r="2052" ht="15.75" customHeight="1" s="201">
      <c r="A2052" s="1" t="inlineStr">
        <is>
          <t>Carbonated beverage, cream soda</t>
        </is>
      </c>
      <c r="C2052" s="1" t="n">
        <v>13.3</v>
      </c>
      <c r="D2052" s="1" t="n">
        <v>0</v>
      </c>
      <c r="E2052" s="1" t="n">
        <v>0.05</v>
      </c>
      <c r="F2052" s="1" t="n">
        <v>0</v>
      </c>
      <c r="G2052" s="1" t="n">
        <v>0</v>
      </c>
      <c r="H2052" s="1" t="n">
        <v>0</v>
      </c>
      <c r="I2052" s="1" t="n">
        <v>0.07000000000000001</v>
      </c>
      <c r="J2052" t="n">
        <v>12110100</v>
      </c>
    </row>
    <row r="2053" ht="15.75" customHeight="1" s="201">
      <c r="A2053" s="1" t="inlineStr">
        <is>
          <t>Cardoon, cooked, boiled, drained, with salt</t>
        </is>
      </c>
      <c r="C2053" s="1" t="n">
        <v>4.74</v>
      </c>
      <c r="D2053" s="1" t="n">
        <v>22</v>
      </c>
      <c r="E2053" s="1" t="n">
        <v>0.73</v>
      </c>
      <c r="F2053" s="1" t="n">
        <v>0.76</v>
      </c>
      <c r="G2053" s="1" t="n">
        <v>0.11</v>
      </c>
      <c r="H2053" s="1" t="n">
        <v>0</v>
      </c>
      <c r="I2053" s="1" t="n">
        <v>0.18</v>
      </c>
      <c r="J2053" t="n">
        <v>75142550</v>
      </c>
    </row>
    <row r="2054" ht="15.75" customHeight="1" s="201">
      <c r="A2054" s="1" t="inlineStr">
        <is>
          <t>Cardoon, cooked, boiled, drained, without salt</t>
        </is>
      </c>
      <c r="C2054" s="1" t="n">
        <v>5.33</v>
      </c>
      <c r="D2054" s="1" t="n">
        <v>22</v>
      </c>
      <c r="E2054" s="1" t="n">
        <v>0.73</v>
      </c>
      <c r="F2054" s="1" t="n">
        <v>0.76</v>
      </c>
      <c r="G2054" s="1" t="n">
        <v>0.11</v>
      </c>
      <c r="H2054" s="1" t="n">
        <v>118</v>
      </c>
      <c r="I2054" s="1" t="n">
        <v>0.18</v>
      </c>
      <c r="J2054" t="n">
        <v>31103010</v>
      </c>
    </row>
    <row r="2055" ht="15.75" customHeight="1" s="201">
      <c r="A2055" s="1" t="inlineStr">
        <is>
          <t>Cardoon, raw</t>
        </is>
      </c>
      <c r="C2055" s="1" t="n">
        <v>4.07</v>
      </c>
      <c r="D2055" s="1" t="n">
        <v>68</v>
      </c>
      <c r="E2055" s="1" t="n">
        <v>0.7</v>
      </c>
      <c r="F2055" s="1" t="n">
        <v>0.7</v>
      </c>
      <c r="G2055" s="1" t="n">
        <v>0.1</v>
      </c>
      <c r="H2055" s="1" t="n">
        <v>0</v>
      </c>
      <c r="I2055" s="1" t="n">
        <v>0.17</v>
      </c>
    </row>
    <row r="2056" ht="15.75" customHeight="1" s="201">
      <c r="A2056" s="1" t="inlineStr">
        <is>
          <t>Caribou, bone marrow, raw (Alaska Native)</t>
        </is>
      </c>
      <c r="C2056" s="1" t="n">
        <v>0</v>
      </c>
      <c r="E2056" s="1" t="n">
        <v>4.5</v>
      </c>
      <c r="F2056" s="1" t="n">
        <v>6.7</v>
      </c>
      <c r="G2056" s="1" t="n">
        <v>84.40000000000001</v>
      </c>
      <c r="H2056" s="1" t="n">
        <v>240</v>
      </c>
    </row>
    <row r="2057" ht="15.75" customHeight="1" s="201">
      <c r="A2057" s="1" t="inlineStr">
        <is>
          <t>Caribou, eye, raw (Alaska Native)</t>
        </is>
      </c>
      <c r="C2057" s="1" t="n">
        <v>0</v>
      </c>
      <c r="E2057" s="1" t="n">
        <v>4.7</v>
      </c>
      <c r="F2057" s="1" t="n">
        <v>10.8</v>
      </c>
      <c r="G2057" s="1" t="n">
        <v>31.4</v>
      </c>
      <c r="H2057" s="1" t="n">
        <v>400</v>
      </c>
    </row>
    <row r="2058" ht="15.75" customHeight="1" s="201">
      <c r="A2058" s="1" t="inlineStr">
        <is>
          <t>Caribou, hind quarter meat, raw (Alaska Native)</t>
        </is>
      </c>
      <c r="C2058" s="1" t="n">
        <v>0</v>
      </c>
      <c r="D2058" s="1" t="n">
        <v>4</v>
      </c>
      <c r="E2058" s="1" t="n">
        <v>4.1</v>
      </c>
      <c r="F2058" s="1" t="n">
        <v>22.63</v>
      </c>
      <c r="G2058" s="1" t="n">
        <v>3.37</v>
      </c>
      <c r="H2058" s="1" t="n">
        <v>312</v>
      </c>
      <c r="I2058" s="1" t="n">
        <v>2.1</v>
      </c>
      <c r="J2058" t="n">
        <v>14620320</v>
      </c>
    </row>
    <row r="2059" ht="15.75" customHeight="1" s="201">
      <c r="A2059" s="1" t="inlineStr">
        <is>
          <t>Caribou, hind quarter, meat, cooked (Alaska Native)</t>
        </is>
      </c>
      <c r="C2059" s="1" t="n">
        <v>0</v>
      </c>
      <c r="D2059" s="1" t="n">
        <v>4</v>
      </c>
      <c r="E2059" s="1" t="n">
        <v>4.8</v>
      </c>
      <c r="F2059" s="1" t="n">
        <v>28.81</v>
      </c>
      <c r="G2059" s="1" t="n">
        <v>4.82</v>
      </c>
      <c r="H2059" s="1" t="n">
        <v>312</v>
      </c>
      <c r="I2059" s="1" t="n">
        <v>4.3</v>
      </c>
    </row>
    <row r="2060" ht="15.75" customHeight="1" s="201">
      <c r="A2060" s="1" t="inlineStr">
        <is>
          <t>Caribou, liver, raw (Alaska Native)</t>
        </is>
      </c>
      <c r="C2060" s="1" t="n">
        <v>6.8</v>
      </c>
      <c r="E2060" s="1" t="n">
        <v>15.7</v>
      </c>
      <c r="F2060" s="1" t="n">
        <v>15</v>
      </c>
      <c r="G2060" s="1" t="n">
        <v>3.9</v>
      </c>
      <c r="H2060" s="1" t="n">
        <v>28800</v>
      </c>
      <c r="J2060" t="n">
        <v>25230560</v>
      </c>
    </row>
    <row r="2061" ht="15.75" customHeight="1" s="201">
      <c r="A2061" s="1" t="inlineStr">
        <is>
          <t>Caribou, rump meat, half dried (Alaska Native)</t>
        </is>
      </c>
      <c r="C2061" s="1" t="n">
        <v>0</v>
      </c>
      <c r="D2061" s="1" t="n">
        <v>3</v>
      </c>
      <c r="E2061" s="1" t="n">
        <v>11</v>
      </c>
      <c r="F2061" s="1" t="n">
        <v>52.06</v>
      </c>
      <c r="G2061" s="1" t="n">
        <v>5.23</v>
      </c>
      <c r="H2061" s="1" t="n">
        <v>173</v>
      </c>
      <c r="I2061" s="1" t="n">
        <v>9.4</v>
      </c>
      <c r="J2061" t="n">
        <v>92307500</v>
      </c>
    </row>
    <row r="2062" ht="15.75" customHeight="1" s="201">
      <c r="A2062" s="1" t="inlineStr">
        <is>
          <t>Caribou, shoulder meat, dried (Alaska Native)</t>
        </is>
      </c>
      <c r="C2062" s="1" t="n">
        <v>0</v>
      </c>
      <c r="D2062" s="1" t="n">
        <v>8</v>
      </c>
      <c r="E2062" s="1" t="n">
        <v>11</v>
      </c>
      <c r="F2062" s="1" t="n">
        <v>59.38</v>
      </c>
      <c r="G2062" s="1" t="n">
        <v>3.67</v>
      </c>
      <c r="H2062" s="1" t="n">
        <v>37</v>
      </c>
      <c r="I2062" s="1" t="n">
        <v>9.4</v>
      </c>
      <c r="J2062" t="n">
        <v>14620320</v>
      </c>
    </row>
    <row r="2063" ht="15.75" customHeight="1" s="201">
      <c r="A2063" s="1" t="inlineStr">
        <is>
          <t>Caribou, tongue, raw (Alaska Native)</t>
        </is>
      </c>
      <c r="C2063" s="1" t="n">
        <v>0</v>
      </c>
      <c r="E2063" s="1" t="n">
        <v>2.8</v>
      </c>
      <c r="F2063" s="1" t="n">
        <v>13.7</v>
      </c>
      <c r="G2063" s="1" t="n">
        <v>22.8</v>
      </c>
      <c r="H2063" s="1" t="n">
        <v>190</v>
      </c>
      <c r="J2063" t="n">
        <v>75113060</v>
      </c>
    </row>
    <row r="2064" ht="15.75" customHeight="1" s="201">
      <c r="A2064" s="1" t="inlineStr">
        <is>
          <t>Carissa, (natal-plum), raw</t>
        </is>
      </c>
      <c r="C2064" s="1" t="n">
        <v>13.63</v>
      </c>
      <c r="E2064" s="1" t="n">
        <v>1.31</v>
      </c>
      <c r="F2064" s="1" t="n">
        <v>0.5</v>
      </c>
      <c r="G2064" s="1" t="n">
        <v>1.3</v>
      </c>
      <c r="H2064" s="1" t="n">
        <v>40</v>
      </c>
      <c r="J2064" t="n">
        <v>63143010</v>
      </c>
    </row>
    <row r="2065" ht="15.75" customHeight="1" s="201">
      <c r="A2065" s="1" t="inlineStr">
        <is>
          <t>Carob flour</t>
        </is>
      </c>
      <c r="C2065" s="1" t="n">
        <v>88.88</v>
      </c>
      <c r="D2065" s="1" t="n">
        <v>29</v>
      </c>
      <c r="E2065" s="1" t="n">
        <v>2.94</v>
      </c>
      <c r="F2065" s="1" t="n">
        <v>4.62</v>
      </c>
      <c r="G2065" s="1" t="n">
        <v>0.65</v>
      </c>
      <c r="H2065" s="1" t="n">
        <v>14</v>
      </c>
      <c r="I2065" s="1" t="n">
        <v>0.92</v>
      </c>
      <c r="J2065" t="n">
        <v>52215350</v>
      </c>
    </row>
    <row r="2066" ht="15.75" customHeight="1" s="201">
      <c r="A2066" s="1" t="inlineStr">
        <is>
          <t>CARRABBA'S ITALIAN GRILL, cheese ravioli with marinara sauce</t>
        </is>
      </c>
      <c r="C2066" s="1" t="n">
        <v>17.62</v>
      </c>
      <c r="D2066" s="1" t="n">
        <v>11</v>
      </c>
      <c r="E2066" s="1" t="n">
        <v>0.52</v>
      </c>
      <c r="F2066" s="1" t="n">
        <v>7.96</v>
      </c>
      <c r="G2066" s="1" t="n">
        <v>6</v>
      </c>
      <c r="H2066" s="1" t="n">
        <v>496</v>
      </c>
      <c r="I2066" s="1" t="n">
        <v>0.8100000000000001</v>
      </c>
      <c r="J2066" t="n">
        <v>75142550</v>
      </c>
    </row>
    <row r="2067" ht="15.75" customHeight="1" s="201">
      <c r="A2067" s="1" t="inlineStr">
        <is>
          <t>CARRABBA'S ITALIAN GRILL, chicken parmesan without cavatappi pasta</t>
        </is>
      </c>
      <c r="C2067" s="1" t="n">
        <v>7.8</v>
      </c>
      <c r="D2067" s="1" t="n">
        <v>22</v>
      </c>
      <c r="E2067" s="1" t="n">
        <v>0.78</v>
      </c>
      <c r="F2067" s="1" t="n">
        <v>19</v>
      </c>
      <c r="G2067" s="1" t="n">
        <v>10.95</v>
      </c>
      <c r="H2067" s="1" t="n">
        <v>356</v>
      </c>
      <c r="I2067" s="1" t="n">
        <v>1.16</v>
      </c>
      <c r="J2067" t="n">
        <v>58147510</v>
      </c>
    </row>
    <row r="2068" ht="15.75" customHeight="1" s="201">
      <c r="A2068" s="1" t="inlineStr">
        <is>
          <t>CARRABBA'S ITALIAN GRILL, lasagne</t>
        </is>
      </c>
      <c r="C2068" s="1" t="n">
        <v>12.36</v>
      </c>
      <c r="D2068" s="1" t="n">
        <v>16</v>
      </c>
      <c r="E2068" s="1" t="n">
        <v>0.74</v>
      </c>
      <c r="F2068" s="1" t="n">
        <v>10.48</v>
      </c>
      <c r="G2068" s="1" t="n">
        <v>11.06</v>
      </c>
      <c r="H2068" s="1" t="n">
        <v>685</v>
      </c>
      <c r="I2068" s="1" t="n">
        <v>1.35</v>
      </c>
      <c r="J2068" t="n">
        <v>27560910</v>
      </c>
    </row>
    <row r="2069" ht="15.75" customHeight="1" s="201">
      <c r="A2069" s="1" t="inlineStr">
        <is>
          <t>CARRABBA'S ITALIAN GRILL, spaghetti with meat sauce</t>
        </is>
      </c>
      <c r="C2069" s="1" t="n">
        <v>15.71</v>
      </c>
      <c r="D2069" s="1" t="n">
        <v>30</v>
      </c>
      <c r="E2069" s="1" t="n">
        <v>0.89</v>
      </c>
      <c r="F2069" s="1" t="n">
        <v>5.87</v>
      </c>
      <c r="G2069" s="1" t="n">
        <v>3.92</v>
      </c>
      <c r="H2069" s="1" t="n">
        <v>272</v>
      </c>
      <c r="I2069" s="1" t="n">
        <v>0.7</v>
      </c>
      <c r="J2069" t="n">
        <v>75142550</v>
      </c>
    </row>
    <row r="2070" ht="15.75" customHeight="1" s="201">
      <c r="A2070" s="1" t="inlineStr">
        <is>
          <t>CARRABBA'S ITALIAN GRILL, spaghetti with pomodoro sauce</t>
        </is>
      </c>
      <c r="C2070" s="1" t="n">
        <v>18.63</v>
      </c>
      <c r="D2070" s="1" t="n">
        <v>32</v>
      </c>
      <c r="E2070" s="1" t="n">
        <v>0.74</v>
      </c>
      <c r="F2070" s="1" t="n">
        <v>3.42</v>
      </c>
      <c r="G2070" s="1" t="n">
        <v>1.75</v>
      </c>
      <c r="H2070" s="1" t="n">
        <v>187</v>
      </c>
      <c r="I2070" s="1" t="n">
        <v>0.33</v>
      </c>
      <c r="J2070" t="n">
        <v>75142550</v>
      </c>
    </row>
    <row r="2071" ht="15.75" customHeight="1" s="201">
      <c r="A2071" s="1" t="inlineStr">
        <is>
          <t>Carrot juice, canned</t>
        </is>
      </c>
      <c r="C2071" s="1" t="n">
        <v>9.279999999999999</v>
      </c>
      <c r="D2071" s="1" t="n">
        <v>4</v>
      </c>
      <c r="E2071" s="1" t="n">
        <v>0.46</v>
      </c>
      <c r="F2071" s="1" t="n">
        <v>0.95</v>
      </c>
      <c r="G2071" s="1" t="n">
        <v>0.15</v>
      </c>
      <c r="H2071" s="1" t="n">
        <v>19124</v>
      </c>
      <c r="I2071" s="1" t="n">
        <v>0.18</v>
      </c>
      <c r="J2071" t="n">
        <v>64100110</v>
      </c>
    </row>
    <row r="2072" ht="15.75" customHeight="1" s="201">
      <c r="A2072" s="1" t="inlineStr">
        <is>
          <t>Carrot, dehydrated</t>
        </is>
      </c>
      <c r="C2072" s="1" t="n">
        <v>79.56999999999999</v>
      </c>
      <c r="D2072" s="1" t="n">
        <v>55</v>
      </c>
      <c r="E2072" s="1" t="n">
        <v>3.93</v>
      </c>
      <c r="F2072" s="1" t="n">
        <v>8.1</v>
      </c>
      <c r="G2072" s="1" t="n">
        <v>1.49</v>
      </c>
      <c r="H2072" s="1" t="n">
        <v>68466</v>
      </c>
      <c r="I2072" s="1" t="n">
        <v>1.57</v>
      </c>
      <c r="J2072" t="n">
        <v>53109200</v>
      </c>
    </row>
    <row r="2073" ht="15.75" customHeight="1" s="201">
      <c r="A2073" s="1" t="inlineStr">
        <is>
          <t>Carrots, baby, raw</t>
        </is>
      </c>
      <c r="C2073" s="1" t="n">
        <v>8.24</v>
      </c>
      <c r="D2073" s="1" t="n">
        <v>27</v>
      </c>
      <c r="E2073" s="1" t="n">
        <v>0.89</v>
      </c>
      <c r="F2073" s="1" t="n">
        <v>0.64</v>
      </c>
      <c r="G2073" s="1" t="n">
        <v>0.13</v>
      </c>
      <c r="H2073" s="1" t="n">
        <v>13790</v>
      </c>
      <c r="I2073" s="1" t="n">
        <v>0.17</v>
      </c>
      <c r="J2073" t="n">
        <v>76201010</v>
      </c>
    </row>
    <row r="2074" ht="15.75" customHeight="1" s="201">
      <c r="A2074" s="1" t="inlineStr">
        <is>
          <t>Carrots, canned, no salt added, drained solids</t>
        </is>
      </c>
      <c r="C2074" s="1" t="n">
        <v>5.54</v>
      </c>
      <c r="D2074" s="1" t="n">
        <v>9</v>
      </c>
      <c r="E2074" s="1" t="n">
        <v>0.64</v>
      </c>
      <c r="F2074" s="1" t="n">
        <v>0.64</v>
      </c>
      <c r="G2074" s="1" t="n">
        <v>0.19</v>
      </c>
      <c r="H2074" s="1" t="n">
        <v>11170</v>
      </c>
      <c r="I2074" s="1" t="n">
        <v>0.26</v>
      </c>
      <c r="J2074" t="n">
        <v>73103020</v>
      </c>
    </row>
    <row r="2075" ht="15.75" customHeight="1" s="201">
      <c r="A2075" s="1" t="inlineStr">
        <is>
          <t>Carrots, canned, no salt added, solids and liquids</t>
        </is>
      </c>
      <c r="C2075" s="1" t="n">
        <v>5.36</v>
      </c>
      <c r="D2075" s="1" t="n">
        <v>8</v>
      </c>
      <c r="E2075" s="1" t="n">
        <v>0.52</v>
      </c>
      <c r="F2075" s="1" t="n">
        <v>0.59</v>
      </c>
      <c r="G2075" s="1" t="n">
        <v>0.14</v>
      </c>
      <c r="H2075" s="1" t="n">
        <v>11170</v>
      </c>
      <c r="I2075" s="1" t="n">
        <v>0.29</v>
      </c>
      <c r="J2075" t="n">
        <v>73103020</v>
      </c>
    </row>
    <row r="2076" ht="15.75" customHeight="1" s="201">
      <c r="A2076" s="1" t="inlineStr">
        <is>
          <t>Carrots, canned, regular pack, drained solids</t>
        </is>
      </c>
      <c r="C2076" s="1" t="n">
        <v>5.54</v>
      </c>
      <c r="D2076" s="1" t="n">
        <v>9</v>
      </c>
      <c r="E2076" s="1" t="n">
        <v>0.64</v>
      </c>
      <c r="F2076" s="1" t="n">
        <v>0.64</v>
      </c>
      <c r="G2076" s="1" t="n">
        <v>0.19</v>
      </c>
      <c r="H2076" s="1" t="n">
        <v>11170</v>
      </c>
      <c r="I2076" s="1" t="n">
        <v>0.26</v>
      </c>
      <c r="J2076" t="n">
        <v>53109200</v>
      </c>
    </row>
    <row r="2077" ht="15.75" customHeight="1" s="201">
      <c r="A2077" s="1" t="inlineStr">
        <is>
          <t>Carrots, canned, regular pack, solids and liquids</t>
        </is>
      </c>
      <c r="C2077" s="1" t="n">
        <v>5.37</v>
      </c>
      <c r="D2077" s="1" t="n">
        <v>8</v>
      </c>
      <c r="E2077" s="1" t="n">
        <v>0.52</v>
      </c>
      <c r="F2077" s="1" t="n">
        <v>0.58</v>
      </c>
      <c r="G2077" s="1" t="n">
        <v>0.14</v>
      </c>
      <c r="H2077" s="1" t="n">
        <v>12264</v>
      </c>
      <c r="I2077" s="1" t="n">
        <v>0.29</v>
      </c>
      <c r="J2077" t="n">
        <v>53109200</v>
      </c>
    </row>
    <row r="2078" ht="15.75" customHeight="1" s="201">
      <c r="A2078" s="1" t="inlineStr">
        <is>
          <t>Carrots, cooked, boiled, drained, with salt</t>
        </is>
      </c>
      <c r="C2078" s="1" t="n">
        <v>8.220000000000001</v>
      </c>
      <c r="D2078" s="1" t="n">
        <v>2</v>
      </c>
      <c r="E2078" s="1" t="n">
        <v>0.34</v>
      </c>
      <c r="F2078" s="1" t="n">
        <v>0.76</v>
      </c>
      <c r="G2078" s="1" t="n">
        <v>0.18</v>
      </c>
      <c r="H2078" s="1" t="n">
        <v>17033</v>
      </c>
      <c r="I2078" s="1" t="n">
        <v>0.2</v>
      </c>
      <c r="J2078" t="n">
        <v>75142550</v>
      </c>
    </row>
    <row r="2079" ht="15.75" customHeight="1" s="201">
      <c r="A2079" s="1" t="inlineStr">
        <is>
          <t>Carrots, cooked, boiled, drained, without salt</t>
        </is>
      </c>
      <c r="C2079" s="1" t="n">
        <v>8.220000000000001</v>
      </c>
      <c r="D2079" s="1" t="n">
        <v>14</v>
      </c>
      <c r="E2079" s="1" t="n">
        <v>0.34</v>
      </c>
      <c r="F2079" s="1" t="n">
        <v>0.76</v>
      </c>
      <c r="G2079" s="1" t="n">
        <v>0.18</v>
      </c>
      <c r="H2079" s="1" t="n">
        <v>17033</v>
      </c>
      <c r="I2079" s="1" t="n">
        <v>0.2</v>
      </c>
      <c r="J2079" t="n">
        <v>31103010</v>
      </c>
    </row>
    <row r="2080" ht="15.75" customHeight="1" s="201">
      <c r="A2080" s="1" t="inlineStr">
        <is>
          <t>Carrots, frozen, cooked, boiled, drained, with salt</t>
        </is>
      </c>
      <c r="C2080" s="1" t="n">
        <v>7.73</v>
      </c>
      <c r="D2080" s="1" t="n">
        <v>11</v>
      </c>
      <c r="E2080" s="1" t="n">
        <v>0.53</v>
      </c>
      <c r="F2080" s="1" t="n">
        <v>0.58</v>
      </c>
      <c r="G2080" s="1" t="n">
        <v>0.68</v>
      </c>
      <c r="H2080" s="1" t="n">
        <v>16928</v>
      </c>
      <c r="I2080" s="1" t="n">
        <v>0.35</v>
      </c>
      <c r="J2080" t="n">
        <v>75142550</v>
      </c>
    </row>
    <row r="2081" ht="15.75" customHeight="1" s="201">
      <c r="A2081" s="1" t="inlineStr">
        <is>
          <t>Carrots, frozen, cooked, boiled, drained, without salt</t>
        </is>
      </c>
      <c r="C2081" s="1" t="n">
        <v>7.73</v>
      </c>
      <c r="D2081" s="1" t="n">
        <v>11</v>
      </c>
      <c r="E2081" s="1" t="n">
        <v>0.53</v>
      </c>
      <c r="F2081" s="1" t="n">
        <v>0.58</v>
      </c>
      <c r="G2081" s="1" t="n">
        <v>0.68</v>
      </c>
      <c r="H2081" s="1" t="n">
        <v>16928</v>
      </c>
      <c r="I2081" s="1" t="n">
        <v>0.35</v>
      </c>
      <c r="J2081" t="n">
        <v>71102990</v>
      </c>
    </row>
    <row r="2082" ht="15.75" customHeight="1" s="201">
      <c r="A2082" s="1" t="inlineStr">
        <is>
          <t>Carrots, frozen, unprepared (Includes foods for USDA's Food Distribution Program)</t>
        </is>
      </c>
      <c r="C2082" s="1" t="n">
        <v>7.9</v>
      </c>
      <c r="D2082" s="1" t="n">
        <v>10</v>
      </c>
      <c r="E2082" s="1" t="n">
        <v>0.44</v>
      </c>
      <c r="F2082" s="1" t="n">
        <v>0.78</v>
      </c>
      <c r="G2082" s="1" t="n">
        <v>0.46</v>
      </c>
      <c r="H2082" s="1" t="n">
        <v>14210</v>
      </c>
      <c r="I2082" s="1" t="n">
        <v>0.33</v>
      </c>
      <c r="J2082" t="n">
        <v>76201010</v>
      </c>
    </row>
    <row r="2083" ht="15.75" customHeight="1" s="201">
      <c r="A2083" s="1" t="inlineStr">
        <is>
          <t>Canned Carrots</t>
        </is>
      </c>
      <c r="J2083" t="n">
        <v>63311110</v>
      </c>
    </row>
    <row r="2084" ht="15.75" customHeight="1" s="201">
      <c r="A2084" s="1" t="inlineStr">
        <is>
          <t>Frozen Carrots</t>
        </is>
      </c>
      <c r="J2084" t="n">
        <v>11461200</v>
      </c>
    </row>
    <row r="2085" ht="15.75" customHeight="1" s="201">
      <c r="A2085" s="1" t="inlineStr">
        <is>
          <t>Pre Chopped Carrots</t>
        </is>
      </c>
      <c r="J2085" t="n">
        <v>28110220</v>
      </c>
    </row>
    <row r="2086" ht="15.75" customHeight="1" s="201">
      <c r="A2086" s="1" t="inlineStr">
        <is>
          <t>Carrots, raw</t>
        </is>
      </c>
      <c r="C2086" s="1" t="n">
        <v>9.58</v>
      </c>
      <c r="D2086" s="1" t="n">
        <v>19</v>
      </c>
      <c r="E2086" s="1" t="n">
        <v>0.3</v>
      </c>
      <c r="F2086" s="1" t="n">
        <v>0.93</v>
      </c>
      <c r="G2086" s="1" t="n">
        <v>0.24</v>
      </c>
      <c r="H2086" s="1" t="n">
        <v>16706</v>
      </c>
      <c r="I2086" s="1" t="n">
        <v>0.24</v>
      </c>
      <c r="J2086" t="n">
        <v>73101010</v>
      </c>
    </row>
    <row r="2087" ht="15.75" customHeight="1" s="201">
      <c r="A2087" s="1" t="inlineStr">
        <is>
          <t>Cassava Starch</t>
        </is>
      </c>
      <c r="J2087" t="n">
        <v>71930120</v>
      </c>
    </row>
    <row r="2088" ht="15.75" customHeight="1" s="201">
      <c r="A2088" s="1" t="inlineStr">
        <is>
          <t>Cassava, raw</t>
        </is>
      </c>
      <c r="C2088" s="1" t="n">
        <v>38.06</v>
      </c>
      <c r="D2088" s="1" t="n">
        <v>27</v>
      </c>
      <c r="E2088" s="1" t="n">
        <v>0.27</v>
      </c>
      <c r="F2088" s="1" t="n">
        <v>1.36</v>
      </c>
      <c r="G2088" s="1" t="n">
        <v>0.28</v>
      </c>
      <c r="H2088" s="1" t="n">
        <v>13</v>
      </c>
      <c r="I2088" s="1" t="n">
        <v>0.34</v>
      </c>
      <c r="J2088" t="n">
        <v>71930120</v>
      </c>
    </row>
    <row r="2089" ht="15.75" customHeight="1" s="201">
      <c r="A2089" s="1" t="inlineStr">
        <is>
          <t>Catsup</t>
        </is>
      </c>
      <c r="C2089" s="1" t="n">
        <v>27.4</v>
      </c>
      <c r="D2089" s="1" t="n">
        <v>9</v>
      </c>
      <c r="E2089" s="1" t="n">
        <v>0.35</v>
      </c>
      <c r="F2089" s="1" t="n">
        <v>1.04</v>
      </c>
      <c r="G2089" s="1" t="n">
        <v>0.1</v>
      </c>
      <c r="H2089" s="1" t="n">
        <v>527</v>
      </c>
      <c r="I2089" s="1" t="n">
        <v>0.17</v>
      </c>
      <c r="J2089" t="n">
        <v>74401010</v>
      </c>
    </row>
    <row r="2090" ht="15.75" customHeight="1" s="201">
      <c r="A2090" s="1" t="inlineStr">
        <is>
          <t>Catsup, low sodium</t>
        </is>
      </c>
      <c r="C2090" s="1" t="n">
        <v>27.4</v>
      </c>
      <c r="D2090" s="1" t="n">
        <v>9</v>
      </c>
      <c r="E2090" s="1" t="n">
        <v>0.35</v>
      </c>
      <c r="F2090" s="1" t="n">
        <v>1.04</v>
      </c>
      <c r="G2090" s="1" t="n">
        <v>0.1</v>
      </c>
      <c r="H2090" s="1" t="n">
        <v>527</v>
      </c>
      <c r="I2090" s="1" t="n">
        <v>0.17</v>
      </c>
      <c r="J2090" t="n">
        <v>54204030</v>
      </c>
    </row>
    <row r="2091" ht="15.75" customHeight="1" s="201">
      <c r="A2091" s="1" t="inlineStr">
        <is>
          <t>Cattail, Narrow Leaf Shoots (Northern Plains Indians)</t>
        </is>
      </c>
      <c r="C2091" s="1" t="n">
        <v>5.14</v>
      </c>
      <c r="D2091" s="1" t="n">
        <v>3</v>
      </c>
      <c r="E2091" s="1" t="n">
        <v>0.91</v>
      </c>
      <c r="F2091" s="1" t="n">
        <v>1.18</v>
      </c>
      <c r="G2091" s="1" t="n">
        <v>0</v>
      </c>
      <c r="H2091" s="1" t="n">
        <v>11</v>
      </c>
      <c r="I2091" s="1" t="n">
        <v>0.24</v>
      </c>
    </row>
    <row r="2092" ht="15.75" customHeight="1" s="201">
      <c r="A2092" s="1" t="inlineStr">
        <is>
          <t>Cauliflower, cooked, boiled, drained, with salt</t>
        </is>
      </c>
      <c r="C2092" s="1" t="n">
        <v>4.11</v>
      </c>
      <c r="D2092" s="1" t="n">
        <v>44</v>
      </c>
      <c r="E2092" s="1" t="n">
        <v>0.32</v>
      </c>
      <c r="F2092" s="1" t="n">
        <v>1.84</v>
      </c>
      <c r="G2092" s="1" t="n">
        <v>0.45</v>
      </c>
      <c r="H2092" s="1" t="n">
        <v>12</v>
      </c>
      <c r="I2092" s="1" t="n">
        <v>0.17</v>
      </c>
      <c r="J2092" t="n">
        <v>75142550</v>
      </c>
    </row>
    <row r="2093" ht="15.75" customHeight="1" s="201">
      <c r="A2093" s="1" t="inlineStr">
        <is>
          <t>Cauliflower, cooked, boiled, drained, without salt</t>
        </is>
      </c>
      <c r="C2093" s="1" t="n">
        <v>4.11</v>
      </c>
      <c r="D2093" s="1" t="n">
        <v>44</v>
      </c>
      <c r="E2093" s="1" t="n">
        <v>0.32</v>
      </c>
      <c r="F2093" s="1" t="n">
        <v>1.84</v>
      </c>
      <c r="G2093" s="1" t="n">
        <v>0.45</v>
      </c>
      <c r="H2093" s="1" t="n">
        <v>12</v>
      </c>
      <c r="I2093" s="1" t="n">
        <v>0.17</v>
      </c>
      <c r="J2093" t="n">
        <v>31103010</v>
      </c>
    </row>
    <row r="2094" ht="15.75" customHeight="1" s="201">
      <c r="A2094" s="1" t="inlineStr">
        <is>
          <t>Cauliflower, frozen, cooked, boiled, drained, with salt</t>
        </is>
      </c>
      <c r="C2094" s="1" t="n">
        <v>3.16</v>
      </c>
      <c r="D2094" s="1" t="n">
        <v>41</v>
      </c>
      <c r="E2094" s="1" t="n">
        <v>0.41</v>
      </c>
      <c r="F2094" s="1" t="n">
        <v>1.61</v>
      </c>
      <c r="G2094" s="1" t="n">
        <v>0.22</v>
      </c>
      <c r="H2094" s="1" t="n">
        <v>10</v>
      </c>
      <c r="I2094" s="1" t="n">
        <v>0.13</v>
      </c>
      <c r="J2094" t="n">
        <v>75142550</v>
      </c>
    </row>
    <row r="2095" ht="15.75" customHeight="1" s="201">
      <c r="A2095" s="1" t="inlineStr">
        <is>
          <t>Cauliflower, frozen, cooked, boiled, drained, without salt</t>
        </is>
      </c>
      <c r="C2095" s="1" t="n">
        <v>3.75</v>
      </c>
      <c r="D2095" s="1" t="n">
        <v>41</v>
      </c>
      <c r="E2095" s="1" t="n">
        <v>0.41</v>
      </c>
      <c r="F2095" s="1" t="n">
        <v>1.61</v>
      </c>
      <c r="G2095" s="1" t="n">
        <v>0.22</v>
      </c>
      <c r="H2095" s="1" t="n">
        <v>10</v>
      </c>
      <c r="I2095" s="1" t="n">
        <v>0.13</v>
      </c>
      <c r="J2095" t="n">
        <v>71102990</v>
      </c>
    </row>
    <row r="2096" ht="15.75" customHeight="1" s="201">
      <c r="A2096" s="1" t="inlineStr">
        <is>
          <t>Cauliflower, frozen, unprepared</t>
        </is>
      </c>
      <c r="C2096" s="1" t="n">
        <v>4.68</v>
      </c>
      <c r="D2096" s="1" t="n">
        <v>64</v>
      </c>
      <c r="E2096" s="1" t="n">
        <v>0.54</v>
      </c>
      <c r="F2096" s="1" t="n">
        <v>2.01</v>
      </c>
      <c r="G2096" s="1" t="n">
        <v>0.27</v>
      </c>
      <c r="H2096" s="1" t="n">
        <v>12</v>
      </c>
      <c r="I2096" s="1" t="n">
        <v>0.17</v>
      </c>
      <c r="J2096" t="n">
        <v>75214012</v>
      </c>
    </row>
    <row r="2097" ht="15.75" customHeight="1" s="201">
      <c r="A2097" s="1" t="inlineStr">
        <is>
          <t>Cauliflower, Frozen</t>
        </is>
      </c>
      <c r="J2097" t="n">
        <v>75214012</v>
      </c>
    </row>
    <row r="2098" ht="15.75" customHeight="1" s="201">
      <c r="A2098" s="1" t="inlineStr">
        <is>
          <t>Cauliflower, green, cooked, no salt added</t>
        </is>
      </c>
      <c r="C2098" s="1" t="n">
        <v>6.28</v>
      </c>
      <c r="D2098" s="1" t="n">
        <v>41</v>
      </c>
      <c r="E2098" s="1" t="n">
        <v>0.72</v>
      </c>
      <c r="F2098" s="1" t="n">
        <v>3.04</v>
      </c>
      <c r="G2098" s="1" t="n">
        <v>0.31</v>
      </c>
      <c r="H2098" s="1" t="n">
        <v>144</v>
      </c>
      <c r="I2098" s="1" t="n">
        <v>0.63</v>
      </c>
      <c r="J2098" t="n">
        <v>75205130</v>
      </c>
    </row>
    <row r="2099" ht="15.75" customHeight="1" s="201">
      <c r="A2099" s="1" t="inlineStr">
        <is>
          <t>Cauliflower, green, cooked, with salt</t>
        </is>
      </c>
      <c r="C2099" s="1" t="n">
        <v>6.28</v>
      </c>
      <c r="D2099" s="1" t="n">
        <v>41</v>
      </c>
      <c r="E2099" s="1" t="n">
        <v>0.72</v>
      </c>
      <c r="F2099" s="1" t="n">
        <v>3.04</v>
      </c>
      <c r="G2099" s="1" t="n">
        <v>0.31</v>
      </c>
      <c r="H2099" s="1" t="n">
        <v>141</v>
      </c>
      <c r="I2099" s="1" t="n">
        <v>0.63</v>
      </c>
      <c r="J2099" t="n">
        <v>75142550</v>
      </c>
    </row>
    <row r="2100" ht="15.75" customHeight="1" s="201">
      <c r="A2100" s="1" t="inlineStr">
        <is>
          <t>Cauliflower, green, raw</t>
        </is>
      </c>
      <c r="C2100" s="1" t="n">
        <v>6.09</v>
      </c>
      <c r="D2100" s="1" t="n">
        <v>57</v>
      </c>
      <c r="E2100" s="1" t="n">
        <v>0.73</v>
      </c>
      <c r="F2100" s="1" t="n">
        <v>2.95</v>
      </c>
      <c r="G2100" s="1" t="n">
        <v>0.3</v>
      </c>
      <c r="H2100" s="1" t="n">
        <v>155</v>
      </c>
      <c r="I2100" s="1" t="n">
        <v>0.64</v>
      </c>
      <c r="J2100" t="n">
        <v>92303010</v>
      </c>
    </row>
    <row r="2101" ht="15.75" customHeight="1" s="201">
      <c r="A2101" s="1" t="inlineStr">
        <is>
          <t>Cauliflower Pre Cut</t>
        </is>
      </c>
      <c r="J2101" t="n">
        <v>75409020</v>
      </c>
    </row>
    <row r="2102" ht="15.75" customHeight="1" s="201">
      <c r="A2102" s="1" t="inlineStr">
        <is>
          <t>Cauliflower, raw</t>
        </is>
      </c>
      <c r="C2102" s="1" t="n">
        <v>4.97</v>
      </c>
      <c r="D2102" s="1" t="n">
        <v>57</v>
      </c>
      <c r="E2102" s="1" t="n">
        <v>0.42</v>
      </c>
      <c r="F2102" s="1" t="n">
        <v>1.92</v>
      </c>
      <c r="G2102" s="1" t="n">
        <v>0.28</v>
      </c>
      <c r="H2102" s="1" t="n">
        <v>0</v>
      </c>
      <c r="I2102" s="1" t="n">
        <v>0.27</v>
      </c>
      <c r="J2102" t="n">
        <v>75107000</v>
      </c>
    </row>
    <row r="2103" ht="15.75" customHeight="1" s="201">
      <c r="A2103" s="1" t="inlineStr">
        <is>
          <t>Celeriac, cooked, boiled, drained, with salt</t>
        </is>
      </c>
      <c r="C2103" s="1" t="n">
        <v>5.9</v>
      </c>
      <c r="D2103" s="1" t="n">
        <v>3</v>
      </c>
      <c r="E2103" s="1" t="n">
        <v>0.43</v>
      </c>
      <c r="F2103" s="1" t="n">
        <v>0.96</v>
      </c>
      <c r="G2103" s="1" t="n">
        <v>0.19</v>
      </c>
      <c r="H2103" s="1" t="n">
        <v>0</v>
      </c>
      <c r="I2103" s="1" t="n">
        <v>0.2</v>
      </c>
      <c r="J2103" t="n">
        <v>75142550</v>
      </c>
    </row>
    <row r="2104" ht="15.75" customHeight="1" s="201">
      <c r="A2104" s="1" t="inlineStr">
        <is>
          <t>Celeriac, cooked, boiled, drained, without salt</t>
        </is>
      </c>
      <c r="C2104" s="1" t="n">
        <v>5.9</v>
      </c>
      <c r="D2104" s="1" t="n">
        <v>3</v>
      </c>
      <c r="E2104" s="1" t="n">
        <v>0.43</v>
      </c>
      <c r="F2104" s="1" t="n">
        <v>0.96</v>
      </c>
      <c r="G2104" s="1" t="n">
        <v>0.19</v>
      </c>
      <c r="H2104" s="1" t="n">
        <v>0</v>
      </c>
      <c r="I2104" s="1" t="n">
        <v>0.2</v>
      </c>
      <c r="J2104" t="n">
        <v>31103010</v>
      </c>
    </row>
    <row r="2105" ht="15.75" customHeight="1" s="201">
      <c r="A2105" s="1" t="inlineStr">
        <is>
          <t>Celeriac, raw</t>
        </is>
      </c>
      <c r="C2105" s="1" t="n">
        <v>9.199999999999999</v>
      </c>
      <c r="D2105" s="1" t="n">
        <v>8</v>
      </c>
      <c r="E2105" s="1" t="n">
        <v>0.7</v>
      </c>
      <c r="F2105" s="1" t="n">
        <v>1.5</v>
      </c>
      <c r="G2105" s="1" t="n">
        <v>0.3</v>
      </c>
      <c r="H2105" s="1" t="n">
        <v>0</v>
      </c>
      <c r="I2105" s="1" t="n">
        <v>0.33</v>
      </c>
    </row>
    <row r="2106" ht="15.75" customHeight="1" s="201">
      <c r="A2106" s="1" t="inlineStr">
        <is>
          <t>Celery, cooked, boiled, drained, with salt</t>
        </is>
      </c>
      <c r="C2106" s="1" t="n">
        <v>4</v>
      </c>
      <c r="D2106" s="1" t="n">
        <v>22</v>
      </c>
      <c r="E2106" s="1" t="n">
        <v>0.42</v>
      </c>
      <c r="F2106" s="1" t="n">
        <v>0.83</v>
      </c>
      <c r="G2106" s="1" t="n">
        <v>0.16</v>
      </c>
      <c r="H2106" s="1" t="n">
        <v>521</v>
      </c>
      <c r="I2106" s="1" t="n">
        <v>0.14</v>
      </c>
      <c r="J2106" t="n">
        <v>75142550</v>
      </c>
    </row>
    <row r="2107" ht="15.75" customHeight="1" s="201">
      <c r="A2107" s="1" t="inlineStr">
        <is>
          <t>Celery, cooked, boiled, drained, without salt</t>
        </is>
      </c>
      <c r="C2107" s="1" t="n">
        <v>4</v>
      </c>
      <c r="D2107" s="1" t="n">
        <v>33</v>
      </c>
      <c r="E2107" s="1" t="n">
        <v>0.42</v>
      </c>
      <c r="F2107" s="1" t="n">
        <v>0.83</v>
      </c>
      <c r="G2107" s="1" t="n">
        <v>0.16</v>
      </c>
      <c r="H2107" s="1" t="n">
        <v>521</v>
      </c>
      <c r="I2107" s="1" t="n">
        <v>0.14</v>
      </c>
      <c r="J2107" t="n">
        <v>31103010</v>
      </c>
    </row>
    <row r="2108" ht="15.75" customHeight="1" s="201">
      <c r="A2108" s="1" t="inlineStr">
        <is>
          <t>Celery, raw</t>
        </is>
      </c>
      <c r="C2108" s="1" t="n">
        <v>2.97</v>
      </c>
      <c r="D2108" s="1" t="n">
        <v>36</v>
      </c>
      <c r="E2108" s="1" t="n">
        <v>0.2</v>
      </c>
      <c r="F2108" s="1" t="n">
        <v>0.6899999999999999</v>
      </c>
      <c r="G2108" s="1" t="n">
        <v>0.17</v>
      </c>
      <c r="H2108" s="1" t="n">
        <v>449</v>
      </c>
      <c r="I2108" s="1" t="n">
        <v>0.13</v>
      </c>
      <c r="J2108" t="n">
        <v>75109000</v>
      </c>
    </row>
    <row r="2109" ht="15.75" customHeight="1" s="201">
      <c r="A2109" s="1" t="inlineStr">
        <is>
          <t>Celtuce, raw</t>
        </is>
      </c>
      <c r="C2109" s="1" t="n">
        <v>3.65</v>
      </c>
      <c r="D2109" s="1" t="n">
        <v>46</v>
      </c>
      <c r="E2109" s="1" t="n">
        <v>0.55</v>
      </c>
      <c r="F2109" s="1" t="n">
        <v>0.85</v>
      </c>
      <c r="G2109" s="1" t="n">
        <v>0.3</v>
      </c>
      <c r="H2109" s="1" t="n">
        <v>3500</v>
      </c>
      <c r="I2109" s="1" t="n">
        <v>0.27</v>
      </c>
    </row>
    <row r="2110" ht="15.75" customHeight="1" s="201">
      <c r="A2110" s="1" t="inlineStr">
        <is>
          <t>Cereals ready-to-eat, ALPEN</t>
        </is>
      </c>
      <c r="C2110" s="1" t="n">
        <v>75.7</v>
      </c>
      <c r="D2110" s="1" t="n">
        <v>30</v>
      </c>
      <c r="E2110" s="1" t="n">
        <v>3</v>
      </c>
      <c r="F2110" s="1" t="n">
        <v>11.2</v>
      </c>
      <c r="G2110" s="1" t="n">
        <v>3.3</v>
      </c>
      <c r="H2110" s="1" t="n">
        <v>0</v>
      </c>
      <c r="I2110" s="1" t="n">
        <v>3</v>
      </c>
      <c r="J2110" t="n">
        <v>24102050</v>
      </c>
    </row>
    <row r="2111" ht="15.75" customHeight="1" s="201">
      <c r="A2111" s="1" t="inlineStr">
        <is>
          <t>Cereals ready-to-eat, BARBARA'S PUFFINS, original</t>
        </is>
      </c>
      <c r="C2111" s="1" t="n">
        <v>84</v>
      </c>
      <c r="D2111" s="1" t="n">
        <v>19</v>
      </c>
      <c r="E2111" s="1" t="n">
        <v>1.33</v>
      </c>
      <c r="F2111" s="1" t="n">
        <v>7.41</v>
      </c>
      <c r="G2111" s="1" t="n">
        <v>3.7</v>
      </c>
      <c r="H2111" s="1" t="n">
        <v>0</v>
      </c>
      <c r="I2111" s="1" t="n">
        <v>1.28</v>
      </c>
      <c r="J2111" t="n">
        <v>75651010</v>
      </c>
    </row>
    <row r="2112" ht="15.75" customHeight="1" s="201">
      <c r="A2112" s="1" t="inlineStr">
        <is>
          <t>Cereals ready-to-eat, chocolate-flavored frosted puffed corn</t>
        </is>
      </c>
      <c r="C2112" s="1" t="n">
        <v>87.2</v>
      </c>
      <c r="D2112" s="1" t="n">
        <v>353</v>
      </c>
      <c r="E2112" s="1" t="n">
        <v>15.87</v>
      </c>
      <c r="F2112" s="1" t="n">
        <v>3.34</v>
      </c>
      <c r="G2112" s="1" t="n">
        <v>3.5</v>
      </c>
      <c r="H2112" s="1" t="n">
        <v>4409</v>
      </c>
      <c r="I2112" s="1" t="n">
        <v>0.5600000000000001</v>
      </c>
      <c r="J2112" t="n">
        <v>53108200</v>
      </c>
    </row>
    <row r="2113" ht="15.75" customHeight="1" s="201">
      <c r="A2113" s="1" t="inlineStr">
        <is>
          <t>Cereals ready-to-eat, FAMILIA</t>
        </is>
      </c>
      <c r="C2113" s="1" t="n">
        <v>73.8</v>
      </c>
      <c r="D2113" s="1" t="n">
        <v>16</v>
      </c>
      <c r="E2113" s="1" t="n">
        <v>2.78</v>
      </c>
      <c r="F2113" s="1" t="n">
        <v>9.5</v>
      </c>
      <c r="G2113" s="1" t="n">
        <v>6.3</v>
      </c>
      <c r="H2113" s="1" t="n">
        <v>6</v>
      </c>
      <c r="I2113" s="1" t="n">
        <v>1.92</v>
      </c>
      <c r="J2113" t="n">
        <v>24102050</v>
      </c>
    </row>
    <row r="2114" ht="15.75" customHeight="1" s="201">
      <c r="A2114" s="1" t="inlineStr">
        <is>
          <t>Cereals ready-to-eat, frosted oat cereal with marshmallows</t>
        </is>
      </c>
      <c r="C2114" s="1" t="n">
        <v>84.7</v>
      </c>
      <c r="D2114" s="1" t="n">
        <v>353</v>
      </c>
      <c r="E2114" s="1" t="n">
        <v>15</v>
      </c>
      <c r="F2114" s="1" t="n">
        <v>7.1</v>
      </c>
      <c r="G2114" s="1" t="n">
        <v>3.33</v>
      </c>
      <c r="H2114" s="1" t="n">
        <v>1667</v>
      </c>
      <c r="I2114" s="1" t="n">
        <v>7.94</v>
      </c>
      <c r="J2114" t="n">
        <v>75142550</v>
      </c>
    </row>
    <row r="2115" ht="15.75" customHeight="1" s="201">
      <c r="A2115" s="1" t="inlineStr">
        <is>
          <t>Cereals ready-to-eat, GENERAL MILLS, CHEERIOS</t>
        </is>
      </c>
      <c r="C2115" s="1" t="n">
        <v>73.2</v>
      </c>
      <c r="D2115" s="1" t="n">
        <v>714</v>
      </c>
      <c r="E2115" s="1" t="n">
        <v>28.9</v>
      </c>
      <c r="F2115" s="1" t="n">
        <v>12.4</v>
      </c>
      <c r="G2115" s="1" t="n">
        <v>6.6</v>
      </c>
      <c r="H2115" s="1" t="n">
        <v>3299</v>
      </c>
      <c r="I2115" s="1" t="n">
        <v>13.4</v>
      </c>
      <c r="J2115" t="n">
        <v>53710600</v>
      </c>
    </row>
    <row r="2116" ht="15.75" customHeight="1" s="201">
      <c r="A2116" s="1" t="inlineStr">
        <is>
          <t>Cereals ready-to-eat, granola, homemade</t>
        </is>
      </c>
      <c r="C2116" s="1" t="n">
        <v>53.88</v>
      </c>
      <c r="D2116" s="1" t="n">
        <v>84</v>
      </c>
      <c r="E2116" s="1" t="n">
        <v>3.95</v>
      </c>
      <c r="F2116" s="1" t="n">
        <v>13.67</v>
      </c>
      <c r="G2116" s="1" t="n">
        <v>24.31</v>
      </c>
      <c r="H2116" s="1" t="n">
        <v>19</v>
      </c>
      <c r="I2116" s="1" t="n">
        <v>4.17</v>
      </c>
      <c r="J2116" t="n">
        <v>53710906</v>
      </c>
    </row>
    <row r="2117" ht="15.75" customHeight="1" s="201">
      <c r="A2117" s="1" t="inlineStr">
        <is>
          <t>Cereals ready-to-eat, HEALTH VALLEY, FIBER 7 Flakes</t>
        </is>
      </c>
      <c r="C2117" s="1" t="n">
        <v>78.15000000000001</v>
      </c>
      <c r="D2117" s="1" t="n">
        <v>141</v>
      </c>
      <c r="E2117" s="1" t="n">
        <v>2.54</v>
      </c>
      <c r="F2117" s="1" t="n">
        <v>14.44</v>
      </c>
      <c r="G2117" s="1" t="n">
        <v>1.41</v>
      </c>
      <c r="H2117" s="1" t="n">
        <v>353</v>
      </c>
      <c r="I2117" s="1" t="n">
        <v>2.89</v>
      </c>
      <c r="J2117" t="n">
        <v>95103000</v>
      </c>
    </row>
    <row r="2118" ht="15.75" customHeight="1" s="201">
      <c r="A2118" s="1" t="inlineStr">
        <is>
          <t>Cereals ready-to-eat, MALT-O-MEAL, Apple ZINGS</t>
        </is>
      </c>
      <c r="C2118" s="1" t="n">
        <v>87.3</v>
      </c>
      <c r="D2118" s="1" t="n">
        <v>606</v>
      </c>
      <c r="E2118" s="1" t="n">
        <v>27.27</v>
      </c>
      <c r="F2118" s="1" t="n">
        <v>4.51</v>
      </c>
      <c r="G2118" s="1" t="n">
        <v>2.71</v>
      </c>
      <c r="H2118" s="1" t="n">
        <v>1515</v>
      </c>
      <c r="I2118" s="1" t="n">
        <v>11.21</v>
      </c>
      <c r="J2118" t="n">
        <v>57305174</v>
      </c>
    </row>
    <row r="2119" ht="15.75" customHeight="1" s="201">
      <c r="A2119" s="1" t="inlineStr">
        <is>
          <t>Cereals ready-to-eat, MALT-O-MEAL, BERRY COLOSSAL CRUNCH</t>
        </is>
      </c>
      <c r="C2119" s="1" t="n">
        <v>86.55</v>
      </c>
      <c r="D2119" s="1" t="n">
        <v>667</v>
      </c>
      <c r="E2119" s="1" t="n">
        <v>30</v>
      </c>
      <c r="F2119" s="1" t="n">
        <v>4.19</v>
      </c>
      <c r="G2119" s="1" t="n">
        <v>4.17</v>
      </c>
      <c r="H2119" s="1" t="n">
        <v>1667</v>
      </c>
      <c r="I2119" s="1" t="n">
        <v>12.5</v>
      </c>
      <c r="J2119" t="n">
        <v>57305174</v>
      </c>
    </row>
    <row r="2120" ht="15.75" customHeight="1" s="201">
      <c r="A2120" s="1" t="inlineStr">
        <is>
          <t>Cereals ready-to-eat, MALT-O-MEAL, Blueberry MUFFIN TOPS Cereal</t>
        </is>
      </c>
      <c r="C2120" s="1" t="n">
        <v>79.91</v>
      </c>
      <c r="D2120" s="1" t="n">
        <v>667</v>
      </c>
      <c r="E2120" s="1" t="n">
        <v>34.29</v>
      </c>
      <c r="F2120" s="1" t="n">
        <v>4.9</v>
      </c>
      <c r="G2120" s="1" t="n">
        <v>11.48</v>
      </c>
      <c r="H2120" s="1" t="n">
        <v>1665</v>
      </c>
      <c r="I2120" s="1" t="n">
        <v>14.68</v>
      </c>
      <c r="J2120" t="n">
        <v>57305174</v>
      </c>
    </row>
    <row r="2121" ht="15.75" customHeight="1" s="201">
      <c r="A2121" s="1" t="inlineStr">
        <is>
          <t>Cereals ready-to-eat, MALT-O-MEAL, CHOCOLATE MARSHMALLOW MATEYS</t>
        </is>
      </c>
      <c r="C2121" s="1" t="n">
        <v>88.18000000000001</v>
      </c>
      <c r="D2121" s="1" t="n">
        <v>533</v>
      </c>
      <c r="E2121" s="1" t="n">
        <v>24</v>
      </c>
      <c r="F2121" s="1" t="n">
        <v>3.5</v>
      </c>
      <c r="G2121" s="1" t="n">
        <v>3.67</v>
      </c>
      <c r="H2121" s="1" t="n">
        <v>1333</v>
      </c>
      <c r="I2121" s="1" t="n">
        <v>10</v>
      </c>
      <c r="J2121" t="n">
        <v>53108200</v>
      </c>
    </row>
    <row r="2122" ht="15.75" customHeight="1" s="201">
      <c r="A2122" s="1" t="inlineStr">
        <is>
          <t>Cereals ready-to-eat, MALT-O-MEAL, CINNAMON TOASTERS</t>
        </is>
      </c>
      <c r="C2122" s="1" t="n">
        <v>78.33</v>
      </c>
      <c r="D2122" s="1" t="n">
        <v>667</v>
      </c>
      <c r="E2122" s="1" t="n">
        <v>30</v>
      </c>
      <c r="F2122" s="1" t="n">
        <v>3.32</v>
      </c>
      <c r="G2122" s="1" t="n">
        <v>12.06</v>
      </c>
      <c r="H2122" s="1" t="n">
        <v>1667</v>
      </c>
      <c r="I2122" s="1" t="n">
        <v>12.5</v>
      </c>
      <c r="J2122" t="n">
        <v>57305165</v>
      </c>
    </row>
    <row r="2123" ht="15.75" customHeight="1" s="201">
      <c r="A2123" s="1" t="inlineStr">
        <is>
          <t>Cereals ready-to-eat, MALT-O-MEAL, Cocoa DYNO-BITES</t>
        </is>
      </c>
      <c r="C2123" s="1" t="n">
        <v>87.93000000000001</v>
      </c>
      <c r="D2123" s="1" t="n">
        <v>345</v>
      </c>
      <c r="E2123" s="1" t="n">
        <v>6.21</v>
      </c>
      <c r="F2123" s="1" t="n">
        <v>4.15</v>
      </c>
      <c r="G2123" s="1" t="n">
        <v>3.43</v>
      </c>
      <c r="H2123" s="1" t="n">
        <v>2586</v>
      </c>
      <c r="I2123" s="1" t="n">
        <v>5.96</v>
      </c>
      <c r="J2123" t="n">
        <v>57305175</v>
      </c>
    </row>
    <row r="2124" ht="15.75" customHeight="1" s="201">
      <c r="A2124" s="1" t="inlineStr">
        <is>
          <t>Cereals ready-to-eat, MALT-O-MEAL, COCO-ROOS</t>
        </is>
      </c>
      <c r="C2124" s="1" t="n">
        <v>86.75</v>
      </c>
      <c r="D2124" s="1" t="n">
        <v>667</v>
      </c>
      <c r="E2124" s="1" t="n">
        <v>30</v>
      </c>
      <c r="F2124" s="1" t="n">
        <v>3.41</v>
      </c>
      <c r="G2124" s="1" t="n">
        <v>4.61</v>
      </c>
      <c r="H2124" s="1" t="n">
        <v>1667</v>
      </c>
      <c r="I2124" s="1" t="n">
        <v>12.5</v>
      </c>
      <c r="J2124" t="n">
        <v>57305170</v>
      </c>
    </row>
    <row r="2125" ht="15.75" customHeight="1" s="201">
      <c r="A2125" s="1" t="inlineStr">
        <is>
          <t>Cereals ready-to-eat, MALT-O-MEAL, COLOSSAL CRUNCH</t>
        </is>
      </c>
      <c r="C2125" s="1" t="n">
        <v>81.59</v>
      </c>
      <c r="D2125" s="1" t="n">
        <v>667</v>
      </c>
      <c r="E2125" s="1" t="n">
        <v>30</v>
      </c>
      <c r="F2125" s="1" t="n">
        <v>3.64</v>
      </c>
      <c r="G2125" s="1" t="n">
        <v>5.28</v>
      </c>
      <c r="H2125" s="1" t="n">
        <v>1667</v>
      </c>
      <c r="I2125" s="1" t="n">
        <v>12.5</v>
      </c>
      <c r="J2125" t="n">
        <v>57305174</v>
      </c>
    </row>
    <row r="2126" ht="15.75" customHeight="1" s="201">
      <c r="A2126" s="1" t="inlineStr">
        <is>
          <t>Cereals ready-to-eat, MALT-O-MEAL, CORN BURSTS</t>
        </is>
      </c>
      <c r="C2126" s="1" t="n">
        <v>90.59</v>
      </c>
      <c r="D2126" s="1" t="n">
        <v>323</v>
      </c>
      <c r="E2126" s="1" t="n">
        <v>5.8</v>
      </c>
      <c r="F2126" s="1" t="n">
        <v>3.32</v>
      </c>
      <c r="G2126" s="1" t="n">
        <v>0.35</v>
      </c>
      <c r="H2126" s="1" t="n">
        <v>2419</v>
      </c>
      <c r="I2126" s="1" t="n">
        <v>4.84</v>
      </c>
      <c r="J2126" t="n">
        <v>57305174</v>
      </c>
    </row>
    <row r="2127" ht="15.75" customHeight="1" s="201">
      <c r="A2127" s="1" t="inlineStr">
        <is>
          <t>Cereals ready-to-eat, MALT-O-MEAL, Crispy Rice</t>
        </is>
      </c>
      <c r="C2127" s="1" t="n">
        <v>86.40000000000001</v>
      </c>
      <c r="D2127" s="1" t="n">
        <v>1210</v>
      </c>
      <c r="E2127" s="1" t="n">
        <v>27.27</v>
      </c>
      <c r="F2127" s="1" t="n">
        <v>6.07</v>
      </c>
      <c r="G2127" s="1" t="n">
        <v>1.12</v>
      </c>
      <c r="H2127" s="1" t="n">
        <v>1515</v>
      </c>
      <c r="I2127" s="1" t="n">
        <v>11.35</v>
      </c>
      <c r="J2127" t="n">
        <v>54319000</v>
      </c>
    </row>
    <row r="2128" ht="15.75" customHeight="1" s="201">
      <c r="A2128" s="1" t="inlineStr">
        <is>
          <t>Cereals ready-to-eat, MALT-O-MEAL, Frosted Flakes</t>
        </is>
      </c>
      <c r="C2128" s="1" t="n">
        <v>90.2</v>
      </c>
      <c r="D2128" s="1" t="n">
        <v>323</v>
      </c>
      <c r="E2128" s="1" t="n">
        <v>11.6</v>
      </c>
      <c r="F2128" s="1" t="n">
        <v>4.25</v>
      </c>
      <c r="G2128" s="1" t="n">
        <v>0.87</v>
      </c>
      <c r="H2128" s="1" t="n">
        <v>1613</v>
      </c>
      <c r="I2128" s="1" t="n">
        <v>0.24</v>
      </c>
      <c r="J2128" t="n">
        <v>57305174</v>
      </c>
    </row>
    <row r="2129" ht="15.75" customHeight="1" s="201">
      <c r="A2129" s="1" t="inlineStr">
        <is>
          <t>Cereals ready-to-eat, MALT-O-MEAL, Frosted Mini SPOONERS</t>
        </is>
      </c>
      <c r="C2129" s="1" t="n">
        <v>81.81</v>
      </c>
      <c r="D2129" s="1" t="n">
        <v>727</v>
      </c>
      <c r="E2129" s="1" t="n">
        <v>29.45</v>
      </c>
      <c r="F2129" s="1" t="n">
        <v>9.09</v>
      </c>
      <c r="G2129" s="1" t="n">
        <v>1.94</v>
      </c>
      <c r="H2129" s="1" t="n">
        <v>0</v>
      </c>
      <c r="I2129" s="1" t="n">
        <v>6.82</v>
      </c>
      <c r="J2129" t="n">
        <v>57305174</v>
      </c>
    </row>
    <row r="2130" ht="15.75" customHeight="1" s="201">
      <c r="A2130" s="1" t="inlineStr">
        <is>
          <t>Cereals ready-to-eat, MALT-O-MEAL, Fruity DYNO-BITES</t>
        </is>
      </c>
      <c r="C2130" s="1" t="n">
        <v>90.09999999999999</v>
      </c>
      <c r="D2130" s="1" t="n">
        <v>496</v>
      </c>
      <c r="E2130" s="1" t="n">
        <v>7.62</v>
      </c>
      <c r="F2130" s="1" t="n">
        <v>3.9</v>
      </c>
      <c r="G2130" s="1" t="n">
        <v>3.15</v>
      </c>
      <c r="H2130" s="1" t="n">
        <v>3630</v>
      </c>
      <c r="I2130" s="1" t="n">
        <v>5.99</v>
      </c>
      <c r="J2130" t="n">
        <v>57305300</v>
      </c>
    </row>
    <row r="2131" ht="15.75" customHeight="1" s="201">
      <c r="A2131" s="1" t="inlineStr">
        <is>
          <t>Cereals ready-to-eat, MALT-O-MEAL, GOLDEN PUFFS</t>
        </is>
      </c>
      <c r="C2131" s="1" t="n">
        <v>89.72</v>
      </c>
      <c r="D2131" s="1" t="n">
        <v>741</v>
      </c>
      <c r="E2131" s="1" t="n">
        <v>7.92</v>
      </c>
      <c r="F2131" s="1" t="n">
        <v>5.77</v>
      </c>
      <c r="G2131" s="1" t="n">
        <v>0.89</v>
      </c>
      <c r="H2131" s="1" t="n">
        <v>1852</v>
      </c>
      <c r="I2131" s="1" t="n">
        <v>7.3</v>
      </c>
      <c r="J2131" t="n">
        <v>57305174</v>
      </c>
    </row>
    <row r="2132" ht="15.75" customHeight="1" s="201">
      <c r="A2132" s="1" t="inlineStr">
        <is>
          <t>Cereals ready-to-eat, MALT-O-MEAL, Honey BUZZERS</t>
        </is>
      </c>
      <c r="C2132" s="1" t="n">
        <v>89.66</v>
      </c>
      <c r="D2132" s="1" t="n">
        <v>690</v>
      </c>
      <c r="E2132" s="1" t="n">
        <v>31.03</v>
      </c>
      <c r="F2132" s="1" t="n">
        <v>3.45</v>
      </c>
      <c r="G2132" s="1" t="n">
        <v>1.72</v>
      </c>
      <c r="H2132" s="1" t="n">
        <v>1724</v>
      </c>
      <c r="I2132" s="1" t="n">
        <v>12.93</v>
      </c>
      <c r="J2132" t="n">
        <v>57237100</v>
      </c>
    </row>
    <row r="2133" ht="15.75" customHeight="1" s="201">
      <c r="A2133" s="1" t="inlineStr">
        <is>
          <t>Cereals ready-to-eat, MALT-O-MEAL, HONEY GRAHAM SQUARES</t>
        </is>
      </c>
      <c r="C2133" s="1" t="n">
        <v>74.68000000000001</v>
      </c>
      <c r="D2133" s="1" t="n">
        <v>667</v>
      </c>
      <c r="E2133" s="1" t="n">
        <v>33.81</v>
      </c>
      <c r="F2133" s="1" t="n">
        <v>4.46</v>
      </c>
      <c r="G2133" s="1" t="n">
        <v>9.970000000000001</v>
      </c>
      <c r="H2133" s="1" t="n">
        <v>1959</v>
      </c>
      <c r="I2133" s="1" t="n">
        <v>13.94</v>
      </c>
      <c r="J2133" t="n">
        <v>57237100</v>
      </c>
    </row>
    <row r="2134" ht="15.75" customHeight="1" s="201">
      <c r="A2134" s="1" t="inlineStr">
        <is>
          <t>Cereals ready-to-eat, MALT-O-MEAL, Honey Nut SCOOTERS</t>
        </is>
      </c>
      <c r="C2134" s="1" t="n">
        <v>79.62</v>
      </c>
      <c r="D2134" s="1" t="n">
        <v>667</v>
      </c>
      <c r="E2134" s="1" t="n">
        <v>30</v>
      </c>
      <c r="F2134" s="1" t="n">
        <v>8.59</v>
      </c>
      <c r="G2134" s="1" t="n">
        <v>4.51</v>
      </c>
      <c r="H2134" s="1" t="n">
        <v>1667</v>
      </c>
      <c r="I2134" s="1" t="n">
        <v>12.5</v>
      </c>
      <c r="J2134" t="n">
        <v>57237100</v>
      </c>
    </row>
    <row r="2135" ht="15.75" customHeight="1" s="201">
      <c r="A2135" s="1" t="inlineStr">
        <is>
          <t>Cereals ready-to-eat, MALT-O-MEAL, MARSHMALLOW MATEYS</t>
        </is>
      </c>
      <c r="C2135" s="1" t="n">
        <v>82.77</v>
      </c>
      <c r="D2135" s="1" t="n">
        <v>667</v>
      </c>
      <c r="E2135" s="1" t="n">
        <v>30</v>
      </c>
      <c r="F2135" s="1" t="n">
        <v>6.94</v>
      </c>
      <c r="G2135" s="1" t="n">
        <v>3.53</v>
      </c>
      <c r="H2135" s="1" t="n">
        <v>1667</v>
      </c>
      <c r="I2135" s="1" t="n">
        <v>12.5</v>
      </c>
      <c r="J2135" t="n">
        <v>57305174</v>
      </c>
    </row>
    <row r="2136" ht="15.75" customHeight="1" s="201">
      <c r="A2136" s="1" t="inlineStr">
        <is>
          <t>Cereals ready-to-eat, MALT-O-MEAL, OAT BLENDERS with honey</t>
        </is>
      </c>
      <c r="C2136" s="1" t="n">
        <v>84.94</v>
      </c>
      <c r="D2136" s="1" t="n">
        <v>667</v>
      </c>
      <c r="E2136" s="1" t="n">
        <v>27</v>
      </c>
      <c r="F2136" s="1" t="n">
        <v>6.78</v>
      </c>
      <c r="G2136" s="1" t="n">
        <v>4.17</v>
      </c>
      <c r="H2136" s="1" t="n">
        <v>1667</v>
      </c>
      <c r="I2136" s="1" t="n">
        <v>12.5</v>
      </c>
      <c r="J2136" t="n">
        <v>57237100</v>
      </c>
    </row>
    <row r="2137" ht="15.75" customHeight="1" s="201">
      <c r="A2137" s="1" t="inlineStr">
        <is>
          <t>Cereals ready-to-eat, MALT-O-MEAL, OAT BLENDERS with honey &amp; almonds</t>
        </is>
      </c>
      <c r="C2137" s="1" t="n">
        <v>77.26000000000001</v>
      </c>
      <c r="D2137" s="1" t="n">
        <v>667</v>
      </c>
      <c r="E2137" s="1" t="n">
        <v>41.38</v>
      </c>
      <c r="F2137" s="1" t="n">
        <v>7.8</v>
      </c>
      <c r="G2137" s="1" t="n">
        <v>4.88</v>
      </c>
      <c r="H2137" s="1" t="n">
        <v>1876</v>
      </c>
      <c r="I2137" s="1" t="n">
        <v>17.87</v>
      </c>
      <c r="J2137" t="n">
        <v>91705060</v>
      </c>
    </row>
    <row r="2138" ht="15.75" customHeight="1" s="201">
      <c r="A2138" s="1" t="inlineStr">
        <is>
          <t>Cereals ready-to-eat, MALT-O-MEAL, Raisin Bran Cereal</t>
        </is>
      </c>
      <c r="C2138" s="1" t="n">
        <v>80.37</v>
      </c>
      <c r="D2138" s="1" t="n">
        <v>339</v>
      </c>
      <c r="E2138" s="1" t="n">
        <v>15.25</v>
      </c>
      <c r="F2138" s="1" t="n">
        <v>7.63</v>
      </c>
      <c r="G2138" s="1" t="n">
        <v>1.87</v>
      </c>
      <c r="H2138" s="1" t="n">
        <v>847</v>
      </c>
      <c r="I2138" s="1" t="n">
        <v>6.36</v>
      </c>
      <c r="J2138" t="n">
        <v>57305174</v>
      </c>
    </row>
    <row r="2139" ht="15.75" customHeight="1" s="201">
      <c r="A2139" s="1" t="inlineStr">
        <is>
          <t>Cereals ready-to-eat, MALT-O-MEAL, TOOTIE FRUITIES</t>
        </is>
      </c>
      <c r="C2139" s="1" t="n">
        <v>85.94</v>
      </c>
      <c r="D2139" s="1" t="n">
        <v>625</v>
      </c>
      <c r="E2139" s="1" t="n">
        <v>28.12</v>
      </c>
      <c r="F2139" s="1" t="n">
        <v>4.69</v>
      </c>
      <c r="G2139" s="1" t="n">
        <v>3.2</v>
      </c>
      <c r="H2139" s="1" t="n">
        <v>1563</v>
      </c>
      <c r="I2139" s="1" t="n">
        <v>11.72</v>
      </c>
      <c r="J2139" t="n">
        <v>57305174</v>
      </c>
    </row>
    <row r="2140" ht="15.75" customHeight="1" s="201">
      <c r="A2140" s="1" t="inlineStr">
        <is>
          <t>Cereals ready-to-eat, MOM'S BEST, Honey Nut TOASTY O'S</t>
        </is>
      </c>
      <c r="C2140" s="1" t="n">
        <v>79.84</v>
      </c>
      <c r="D2140" s="1" t="n">
        <v>30</v>
      </c>
      <c r="E2140" s="1" t="n">
        <v>3.02</v>
      </c>
      <c r="F2140" s="1" t="n">
        <v>8.6</v>
      </c>
      <c r="G2140" s="1" t="n">
        <v>4.51</v>
      </c>
      <c r="H2140" s="1" t="n">
        <v>0</v>
      </c>
      <c r="I2140" s="1" t="n">
        <v>0.01</v>
      </c>
      <c r="J2140" t="n">
        <v>57237100</v>
      </c>
    </row>
    <row r="2141" ht="15.75" customHeight="1" s="201">
      <c r="A2141" s="1" t="inlineStr">
        <is>
          <t>Cereals ready-to-eat, MOM'S BEST, Sweetened WHEAT-FULS</t>
        </is>
      </c>
      <c r="C2141" s="1" t="n">
        <v>80.91</v>
      </c>
      <c r="D2141" s="1" t="n">
        <v>30</v>
      </c>
      <c r="E2141" s="1" t="n">
        <v>3.26</v>
      </c>
      <c r="F2141" s="1" t="n">
        <v>8.18</v>
      </c>
      <c r="G2141" s="1" t="n">
        <v>1.83</v>
      </c>
      <c r="H2141" s="1" t="n">
        <v>0</v>
      </c>
      <c r="I2141" s="1" t="n">
        <v>2.77</v>
      </c>
      <c r="J2141" t="n">
        <v>54338000</v>
      </c>
    </row>
    <row r="2142" ht="15.75" customHeight="1" s="201">
      <c r="A2142" s="1" t="inlineStr">
        <is>
          <t>Cereals ready-to-eat, NATURE'S PATH, Organic FLAX PLUS flakes</t>
        </is>
      </c>
      <c r="C2142" s="1" t="n">
        <v>75.27</v>
      </c>
      <c r="D2142" s="1" t="n">
        <v>6</v>
      </c>
      <c r="E2142" s="1" t="n">
        <v>5.89</v>
      </c>
      <c r="F2142" s="1" t="n">
        <v>11.91</v>
      </c>
      <c r="G2142" s="1" t="n">
        <v>5.46</v>
      </c>
      <c r="H2142" s="1" t="n">
        <v>1</v>
      </c>
      <c r="I2142" s="1" t="n">
        <v>0.31</v>
      </c>
    </row>
    <row r="2143" ht="15.75" customHeight="1" s="201">
      <c r="A2143" s="1" t="inlineStr">
        <is>
          <t>Cereals ready-to-eat, NATURE'S PATH, Organic FLAX PLUS, Pumpkin Granola</t>
        </is>
      </c>
      <c r="C2143" s="1" t="n">
        <v>66.09999999999999</v>
      </c>
      <c r="D2143" s="1" t="n">
        <v>15</v>
      </c>
      <c r="E2143" s="1" t="n">
        <v>4.04</v>
      </c>
      <c r="F2143" s="1" t="n">
        <v>11.23</v>
      </c>
      <c r="G2143" s="1" t="n">
        <v>18.33</v>
      </c>
      <c r="H2143" s="1" t="n">
        <v>0</v>
      </c>
      <c r="I2143" s="1" t="n">
        <v>0.4</v>
      </c>
      <c r="J2143" t="n">
        <v>53710906</v>
      </c>
    </row>
    <row r="2144" ht="15.75" customHeight="1" s="201">
      <c r="A2144" s="1" t="inlineStr">
        <is>
          <t>Cereals ready-to-eat, OAT BRAN FLAKES, HEALTH VALLEY</t>
        </is>
      </c>
      <c r="C2144" s="1" t="n">
        <v>78</v>
      </c>
      <c r="D2144" s="1" t="n">
        <v>200</v>
      </c>
      <c r="E2144" s="1" t="n">
        <v>2.88</v>
      </c>
      <c r="F2144" s="1" t="n">
        <v>10</v>
      </c>
      <c r="G2144" s="1" t="n">
        <v>3</v>
      </c>
      <c r="H2144" s="1" t="n">
        <v>0</v>
      </c>
      <c r="I2144" s="1" t="n">
        <v>2.2</v>
      </c>
      <c r="J2144" t="n">
        <v>95103000</v>
      </c>
    </row>
    <row r="2145" ht="15.75" customHeight="1" s="201">
      <c r="A2145" s="1" t="inlineStr">
        <is>
          <t>Cereals ready-to-eat, POST Bran Flakes</t>
        </is>
      </c>
      <c r="C2145" s="1" t="n">
        <v>80.5</v>
      </c>
      <c r="D2145" s="1" t="n">
        <v>667</v>
      </c>
      <c r="E2145" s="1" t="n">
        <v>28</v>
      </c>
      <c r="F2145" s="1" t="n">
        <v>9.9</v>
      </c>
      <c r="G2145" s="1" t="n">
        <v>2.1</v>
      </c>
      <c r="H2145" s="1" t="n">
        <v>2500</v>
      </c>
      <c r="I2145" s="1" t="n">
        <v>5</v>
      </c>
    </row>
    <row r="2146" ht="15.75" customHeight="1" s="201">
      <c r="A2146" s="1" t="inlineStr">
        <is>
          <t>Cereals ready-to-eat, POST GREAT GRAINS Banana Nut Crunch</t>
        </is>
      </c>
      <c r="C2146" s="1" t="n">
        <v>70.90000000000001</v>
      </c>
      <c r="D2146" s="1" t="n">
        <v>339</v>
      </c>
      <c r="E2146" s="1" t="n">
        <v>28</v>
      </c>
      <c r="F2146" s="1" t="n">
        <v>9.800000000000001</v>
      </c>
      <c r="G2146" s="1" t="n">
        <v>8.800000000000001</v>
      </c>
      <c r="H2146" s="1" t="n">
        <v>1271</v>
      </c>
      <c r="I2146" s="1" t="n">
        <v>2.5</v>
      </c>
      <c r="J2146" t="n">
        <v>57106050</v>
      </c>
    </row>
    <row r="2147" ht="15.75" customHeight="1" s="201">
      <c r="A2147" s="1" t="inlineStr">
        <is>
          <t>Cereals ready-to-eat, POST GREAT GRAINS Cranberry Almond Crunch</t>
        </is>
      </c>
      <c r="C2147" s="1" t="n">
        <v>76.59999999999999</v>
      </c>
      <c r="D2147" s="1" t="n">
        <v>208</v>
      </c>
      <c r="E2147" s="1" t="n">
        <v>3.8</v>
      </c>
      <c r="F2147" s="1" t="n">
        <v>8.9</v>
      </c>
      <c r="G2147" s="1" t="n">
        <v>5.9</v>
      </c>
      <c r="H2147" s="1" t="n">
        <v>1563</v>
      </c>
      <c r="I2147" s="1" t="n">
        <v>3.1</v>
      </c>
      <c r="J2147" t="n">
        <v>57143500</v>
      </c>
    </row>
    <row r="2148" ht="15.75" customHeight="1" s="201">
      <c r="A2148" s="1" t="inlineStr">
        <is>
          <t>Cereals ready-to-eat, POST HONEY BUNCHES OF OATS with cinnamon bunches</t>
        </is>
      </c>
      <c r="C2148" s="1" t="n">
        <v>82.8</v>
      </c>
      <c r="D2148" s="1" t="n">
        <v>667</v>
      </c>
      <c r="E2148" s="1" t="n">
        <v>28</v>
      </c>
      <c r="F2148" s="1" t="n">
        <v>7.1</v>
      </c>
      <c r="G2148" s="1" t="n">
        <v>5</v>
      </c>
      <c r="H2148" s="1" t="n">
        <v>2500</v>
      </c>
      <c r="I2148" s="1" t="n">
        <v>1</v>
      </c>
      <c r="J2148" t="n">
        <v>57237100</v>
      </c>
    </row>
    <row r="2149" ht="15.75" customHeight="1" s="201">
      <c r="A2149" s="1" t="inlineStr">
        <is>
          <t>Cereals ready-to-eat, POST Raisin Bran Cereal</t>
        </is>
      </c>
      <c r="C2149" s="1" t="n">
        <v>78.90000000000001</v>
      </c>
      <c r="D2149" s="1" t="n">
        <v>339</v>
      </c>
      <c r="E2149" s="1" t="n">
        <v>18.3</v>
      </c>
      <c r="F2149" s="1" t="n">
        <v>7.6</v>
      </c>
      <c r="G2149" s="1" t="n">
        <v>1.6</v>
      </c>
      <c r="H2149" s="1" t="n">
        <v>1271</v>
      </c>
      <c r="I2149" s="1" t="n">
        <v>3.8</v>
      </c>
      <c r="J2149" t="n">
        <v>57331000</v>
      </c>
    </row>
    <row r="2150" ht="15.75" customHeight="1" s="201">
      <c r="A2150" s="1" t="inlineStr">
        <is>
          <t>Cereals ready-to-eat, POST SELECTS Blueberry Morning</t>
        </is>
      </c>
      <c r="C2150" s="1" t="n">
        <v>81.59999999999999</v>
      </c>
      <c r="D2150" s="1" t="n">
        <v>182</v>
      </c>
      <c r="E2150" s="1" t="n">
        <v>3.3</v>
      </c>
      <c r="F2150" s="1" t="n">
        <v>6.5</v>
      </c>
      <c r="G2150" s="1" t="n">
        <v>5.3</v>
      </c>
      <c r="H2150" s="1" t="n">
        <v>1364</v>
      </c>
      <c r="I2150" s="1" t="n">
        <v>1.6</v>
      </c>
    </row>
    <row r="2151" ht="15.75" customHeight="1" s="201">
      <c r="A2151" s="1" t="inlineStr">
        <is>
          <t>Cereals ready-to-eat, POST SELECTS Maple Pecan Crunch</t>
        </is>
      </c>
      <c r="C2151" s="1" t="n">
        <v>77.40000000000001</v>
      </c>
      <c r="D2151" s="1" t="n">
        <v>192</v>
      </c>
      <c r="E2151" s="1" t="n">
        <v>3.5</v>
      </c>
      <c r="F2151" s="1" t="n">
        <v>8.5</v>
      </c>
      <c r="G2151" s="1" t="n">
        <v>8.699999999999999</v>
      </c>
      <c r="H2151" s="1" t="n">
        <v>1442</v>
      </c>
      <c r="I2151" s="1" t="n">
        <v>2.9</v>
      </c>
    </row>
    <row r="2152" ht="15.75" customHeight="1" s="201">
      <c r="A2152" s="1" t="inlineStr">
        <is>
          <t>Cereals ready-to-eat, POST, ALPHA-BITS</t>
        </is>
      </c>
      <c r="C2152" s="1" t="n">
        <v>80.3</v>
      </c>
      <c r="D2152" s="1" t="n">
        <v>667</v>
      </c>
      <c r="E2152" s="1" t="n">
        <v>30</v>
      </c>
      <c r="F2152" s="1" t="n">
        <v>10</v>
      </c>
      <c r="G2152" s="1" t="n">
        <v>4.6</v>
      </c>
      <c r="H2152" s="1" t="n">
        <v>2500</v>
      </c>
      <c r="I2152" s="1" t="n">
        <v>5</v>
      </c>
      <c r="J2152" t="n">
        <v>57103000</v>
      </c>
    </row>
    <row r="2153" ht="15.75" customHeight="1" s="201">
      <c r="A2153" s="1" t="inlineStr">
        <is>
          <t>Cereals ready-to-eat, POST, COCOA PEBBLES</t>
        </is>
      </c>
      <c r="C2153" s="1" t="n">
        <v>85.7</v>
      </c>
      <c r="D2153" s="1" t="n">
        <v>345</v>
      </c>
      <c r="E2153" s="1" t="n">
        <v>6.2</v>
      </c>
      <c r="F2153" s="1" t="n">
        <v>4.8</v>
      </c>
      <c r="G2153" s="1" t="n">
        <v>4.1</v>
      </c>
      <c r="H2153" s="1" t="n">
        <v>2586</v>
      </c>
      <c r="I2153" s="1" t="n">
        <v>5.2</v>
      </c>
      <c r="J2153" t="n">
        <v>57127000</v>
      </c>
    </row>
    <row r="2154" ht="15.75" customHeight="1" s="201">
      <c r="A2154" s="1" t="inlineStr">
        <is>
          <t>Cereals ready-to-eat, POST, FRUITY PEBBLES</t>
        </is>
      </c>
      <c r="C2154" s="1" t="n">
        <v>86.09999999999999</v>
      </c>
      <c r="D2154" s="1" t="n">
        <v>370</v>
      </c>
      <c r="E2154" s="1" t="n">
        <v>6.67</v>
      </c>
      <c r="F2154" s="1" t="n">
        <v>4.62</v>
      </c>
      <c r="G2154" s="1" t="n">
        <v>4.02</v>
      </c>
      <c r="H2154" s="1" t="n">
        <v>2778</v>
      </c>
      <c r="I2154" s="1" t="n">
        <v>5.56</v>
      </c>
      <c r="J2154" t="n">
        <v>57223000</v>
      </c>
    </row>
    <row r="2155" ht="15.75" customHeight="1" s="201">
      <c r="A2155" s="1" t="inlineStr">
        <is>
          <t>Cereals ready-to-eat, POST, GOLDEN CRISP</t>
        </is>
      </c>
      <c r="C2155" s="1" t="n">
        <v>90.09999999999999</v>
      </c>
      <c r="D2155" s="1" t="n">
        <v>370</v>
      </c>
      <c r="E2155" s="1" t="n">
        <v>6.7</v>
      </c>
      <c r="F2155" s="1" t="n">
        <v>5.5</v>
      </c>
      <c r="G2155" s="1" t="n">
        <v>1.7</v>
      </c>
      <c r="H2155" s="1" t="n">
        <v>2778</v>
      </c>
      <c r="I2155" s="1" t="n">
        <v>5.6</v>
      </c>
      <c r="J2155" t="n">
        <v>57355000</v>
      </c>
    </row>
    <row r="2156" ht="15.75" customHeight="1" s="201">
      <c r="A2156" s="1" t="inlineStr">
        <is>
          <t>Cereals ready-to-eat, POST, GRAPE-NUTS Cereal</t>
        </is>
      </c>
      <c r="C2156" s="1" t="n">
        <v>80.48999999999999</v>
      </c>
      <c r="D2156" s="1" t="n">
        <v>345</v>
      </c>
      <c r="E2156" s="1" t="n">
        <v>28</v>
      </c>
      <c r="F2156" s="1" t="n">
        <v>11.22</v>
      </c>
      <c r="G2156" s="1" t="n">
        <v>1.81</v>
      </c>
      <c r="H2156" s="1" t="n">
        <v>4</v>
      </c>
      <c r="I2156" s="1" t="n">
        <v>2.07</v>
      </c>
      <c r="J2156" t="n">
        <v>57100100</v>
      </c>
    </row>
    <row r="2157" ht="15.75" customHeight="1" s="201">
      <c r="A2157" s="1" t="inlineStr">
        <is>
          <t>Cereals ready-to-eat, POST, GRAPE-NUTS Flakes</t>
        </is>
      </c>
      <c r="C2157" s="1" t="n">
        <v>82</v>
      </c>
      <c r="D2157" s="1" t="n">
        <v>690</v>
      </c>
      <c r="E2157" s="1" t="n">
        <v>27.9</v>
      </c>
      <c r="F2157" s="1" t="n">
        <v>9.4</v>
      </c>
      <c r="G2157" s="1" t="n">
        <v>3.7</v>
      </c>
      <c r="H2157" s="1" t="n">
        <v>2586</v>
      </c>
      <c r="I2157" s="1" t="n">
        <v>7.8</v>
      </c>
    </row>
    <row r="2158" ht="15.75" customHeight="1" s="201">
      <c r="A2158" s="1" t="inlineStr">
        <is>
          <t>Cereals ready-to-eat, POST, GREAT GRAINS Crunchy Pecan Cereal</t>
        </is>
      </c>
      <c r="C2158" s="1" t="n">
        <v>73</v>
      </c>
      <c r="D2158" s="1" t="n">
        <v>192</v>
      </c>
      <c r="E2158" s="1" t="n">
        <v>17.3</v>
      </c>
      <c r="F2158" s="1" t="n">
        <v>9</v>
      </c>
      <c r="G2158" s="1" t="n">
        <v>10.5</v>
      </c>
      <c r="H2158" s="1" t="n">
        <v>1442</v>
      </c>
      <c r="I2158" s="1" t="n">
        <v>2.3</v>
      </c>
      <c r="J2158" t="n">
        <v>57106050</v>
      </c>
    </row>
    <row r="2159" ht="15.75" customHeight="1" s="201">
      <c r="A2159" s="1" t="inlineStr">
        <is>
          <t>Cereals ready-to-eat, POST, GREAT GRAINS, Raisin, Date &amp; Pecan</t>
        </is>
      </c>
      <c r="C2159" s="1" t="n">
        <v>74.3</v>
      </c>
      <c r="D2159" s="1" t="n">
        <v>182</v>
      </c>
      <c r="E2159" s="1" t="n">
        <v>16.4</v>
      </c>
      <c r="F2159" s="1" t="n">
        <v>7.9</v>
      </c>
      <c r="G2159" s="1" t="n">
        <v>7.1</v>
      </c>
      <c r="H2159" s="1" t="n">
        <v>1364</v>
      </c>
      <c r="I2159" s="1" t="n">
        <v>2.2</v>
      </c>
    </row>
    <row r="2160" ht="15.75" customHeight="1" s="201">
      <c r="A2160" s="1" t="inlineStr">
        <is>
          <t>Cereals ready-to-eat, POST, HONEY BUNCHES OF OATS with vanilla bunches</t>
        </is>
      </c>
      <c r="C2160" s="1" t="n">
        <v>81.8</v>
      </c>
      <c r="D2160" s="1" t="n">
        <v>357</v>
      </c>
      <c r="E2160" s="1" t="n">
        <v>28.9</v>
      </c>
      <c r="F2160" s="1" t="n">
        <v>7.9</v>
      </c>
      <c r="G2160" s="1" t="n">
        <v>5.1</v>
      </c>
      <c r="H2160" s="1" t="n">
        <v>1786</v>
      </c>
      <c r="I2160" s="1" t="n">
        <v>6.7</v>
      </c>
      <c r="J2160" t="n">
        <v>57237100</v>
      </c>
    </row>
    <row r="2161" ht="15.75" customHeight="1" s="201">
      <c r="A2161" s="1" t="inlineStr">
        <is>
          <t>Cereals ready-to-eat, POST, HONEY BUNCHES OF OATS, honey roasted</t>
        </is>
      </c>
      <c r="C2161" s="1" t="n">
        <v>81.19</v>
      </c>
      <c r="D2161" s="1" t="n">
        <v>667</v>
      </c>
      <c r="E2161" s="1" t="n">
        <v>34.82</v>
      </c>
      <c r="F2161" s="1" t="n">
        <v>7.12</v>
      </c>
      <c r="G2161" s="1" t="n">
        <v>5.46</v>
      </c>
      <c r="H2161" s="1" t="n">
        <v>2731</v>
      </c>
      <c r="I2161" s="1" t="n">
        <v>5.03</v>
      </c>
      <c r="J2161" t="n">
        <v>57237100</v>
      </c>
    </row>
    <row r="2162" ht="15.75" customHeight="1" s="201">
      <c r="A2162" s="1" t="inlineStr">
        <is>
          <t>Cereals ready-to-eat, POST, HONEY BUNCHES OF OATS, pecan bunches</t>
        </is>
      </c>
      <c r="C2162" s="1" t="n">
        <v>82</v>
      </c>
      <c r="D2162" s="1" t="n">
        <v>690</v>
      </c>
      <c r="E2162" s="1" t="n">
        <v>15.5</v>
      </c>
      <c r="F2162" s="1" t="n">
        <v>7</v>
      </c>
      <c r="G2162" s="1" t="n">
        <v>5.4</v>
      </c>
      <c r="H2162" s="1" t="n">
        <v>2586</v>
      </c>
      <c r="I2162" s="1" t="n">
        <v>1</v>
      </c>
      <c r="J2162" t="n">
        <v>57237100</v>
      </c>
    </row>
    <row r="2163" ht="15.75" customHeight="1" s="201">
      <c r="A2163" s="1" t="inlineStr">
        <is>
          <t>Cereals ready-to-eat, POST, HONEY BUNCHES OF OATS, with almonds</t>
        </is>
      </c>
      <c r="C2163" s="1" t="n">
        <v>79.59999999999999</v>
      </c>
      <c r="D2163" s="1" t="n">
        <v>625</v>
      </c>
      <c r="E2163" s="1" t="n">
        <v>33.8</v>
      </c>
      <c r="F2163" s="1" t="n">
        <v>7.7</v>
      </c>
      <c r="G2163" s="1" t="n">
        <v>7.3</v>
      </c>
      <c r="H2163" s="1" t="n">
        <v>2344</v>
      </c>
      <c r="I2163" s="1" t="n">
        <v>0.9</v>
      </c>
      <c r="J2163" t="n">
        <v>57237100</v>
      </c>
    </row>
    <row r="2164" ht="15.75" customHeight="1" s="201">
      <c r="A2164" s="1" t="inlineStr">
        <is>
          <t>Cereals ready-to-eat, POST, HONEY BUNCHES OF OATS, with real strawberries</t>
        </is>
      </c>
      <c r="C2164" s="1" t="n">
        <v>83.3</v>
      </c>
      <c r="D2164" s="1" t="n">
        <v>323</v>
      </c>
      <c r="E2164" s="1" t="n">
        <v>26.1</v>
      </c>
      <c r="F2164" s="1" t="n">
        <v>6.7</v>
      </c>
      <c r="G2164" s="1" t="n">
        <v>4.9</v>
      </c>
      <c r="H2164" s="1" t="n">
        <v>2419</v>
      </c>
      <c r="I2164" s="1" t="n">
        <v>1</v>
      </c>
      <c r="J2164" t="n">
        <v>57237100</v>
      </c>
    </row>
    <row r="2165" ht="15.75" customHeight="1" s="201">
      <c r="A2165" s="1" t="inlineStr">
        <is>
          <t>Cereals ready-to-eat, POST, Honey Nut Shredded Wheat</t>
        </is>
      </c>
      <c r="C2165" s="1" t="n">
        <v>83.59999999999999</v>
      </c>
      <c r="D2165" s="1" t="n">
        <v>170</v>
      </c>
      <c r="E2165" s="1" t="n">
        <v>28</v>
      </c>
      <c r="F2165" s="1" t="n">
        <v>8.5</v>
      </c>
      <c r="G2165" s="1" t="n">
        <v>2.9</v>
      </c>
      <c r="H2165" s="1" t="n">
        <v>7</v>
      </c>
      <c r="I2165" s="1" t="n">
        <v>2.5</v>
      </c>
      <c r="J2165" t="n">
        <v>54338000</v>
      </c>
    </row>
    <row r="2166" ht="15.75" customHeight="1" s="201">
      <c r="A2166" s="1" t="inlineStr">
        <is>
          <t>Cereals ready-to-eat, POST, Honeycomb Cereal</t>
        </is>
      </c>
      <c r="C2166" s="1" t="n">
        <v>86.63</v>
      </c>
      <c r="D2166" s="1" t="n">
        <v>313</v>
      </c>
      <c r="E2166" s="1" t="n">
        <v>8.44</v>
      </c>
      <c r="F2166" s="1" t="n">
        <v>6.01</v>
      </c>
      <c r="G2166" s="1" t="n">
        <v>2.93</v>
      </c>
      <c r="H2166" s="1" t="n">
        <v>2344</v>
      </c>
      <c r="I2166" s="1" t="n">
        <v>4.69</v>
      </c>
      <c r="J2166" t="n">
        <v>57238000</v>
      </c>
    </row>
    <row r="2167" ht="15.75" customHeight="1" s="201">
      <c r="A2167" s="1" t="inlineStr">
        <is>
          <t>Cereals ready-to-eat, POST, Shredded Wheat n' Bran, spoon-size</t>
        </is>
      </c>
      <c r="C2167" s="1" t="n">
        <v>80.65000000000001</v>
      </c>
      <c r="D2167" s="1" t="n">
        <v>30</v>
      </c>
      <c r="E2167" s="1" t="n">
        <v>3.87</v>
      </c>
      <c r="F2167" s="1" t="n">
        <v>10.93</v>
      </c>
      <c r="G2167" s="1" t="n">
        <v>2.06</v>
      </c>
      <c r="H2167" s="1" t="n">
        <v>0</v>
      </c>
      <c r="I2167" s="1" t="n">
        <v>3.13</v>
      </c>
      <c r="J2167" t="n">
        <v>51301010</v>
      </c>
    </row>
    <row r="2168" ht="15.75" customHeight="1" s="201">
      <c r="A2168" s="1" t="inlineStr">
        <is>
          <t>Cereals ready-to-eat, POST, Shredded Wheat, lightly frosted, spoon-size</t>
        </is>
      </c>
      <c r="C2168" s="1" t="n">
        <v>83.8</v>
      </c>
      <c r="D2168" s="1" t="n">
        <v>192</v>
      </c>
      <c r="E2168" s="1" t="n">
        <v>3.46</v>
      </c>
      <c r="F2168" s="1" t="n">
        <v>7.8</v>
      </c>
      <c r="G2168" s="1" t="n">
        <v>1.9</v>
      </c>
      <c r="H2168" s="1" t="n">
        <v>0</v>
      </c>
      <c r="I2168" s="1" t="n">
        <v>2.88</v>
      </c>
      <c r="J2168" t="n">
        <v>54338000</v>
      </c>
    </row>
    <row r="2169" ht="15.75" customHeight="1" s="201">
      <c r="A2169" s="1" t="inlineStr">
        <is>
          <t>Cereals ready-to-eat, POST, Shredded Wheat, original big biscuit</t>
        </is>
      </c>
      <c r="C2169" s="1" t="n">
        <v>78.95999999999999</v>
      </c>
      <c r="D2169" s="1" t="n">
        <v>43</v>
      </c>
      <c r="E2169" s="1" t="n">
        <v>2.63</v>
      </c>
      <c r="F2169" s="1" t="n">
        <v>11.37</v>
      </c>
      <c r="G2169" s="1" t="n">
        <v>2.01</v>
      </c>
      <c r="H2169" s="1" t="n">
        <v>0</v>
      </c>
      <c r="I2169" s="1" t="n">
        <v>2.89</v>
      </c>
      <c r="J2169" t="n">
        <v>54338000</v>
      </c>
    </row>
    <row r="2170" ht="15.75" customHeight="1" s="201">
      <c r="A2170" s="1" t="inlineStr">
        <is>
          <t>Cereals ready-to-eat, POST, Shredded Wheat, original spoon-size</t>
        </is>
      </c>
      <c r="C2170" s="1" t="n">
        <v>81.40000000000001</v>
      </c>
      <c r="D2170" s="1" t="n">
        <v>40</v>
      </c>
      <c r="E2170" s="1" t="n">
        <v>2.5</v>
      </c>
      <c r="F2170" s="1" t="n">
        <v>11.8</v>
      </c>
      <c r="G2170" s="1" t="n">
        <v>2.1</v>
      </c>
      <c r="H2170" s="1" t="n">
        <v>0</v>
      </c>
      <c r="I2170" s="1" t="n">
        <v>3.05</v>
      </c>
      <c r="J2170" t="n">
        <v>54338000</v>
      </c>
    </row>
    <row r="2171" ht="15.75" customHeight="1" s="201">
      <c r="A2171" s="1" t="inlineStr">
        <is>
          <t>Cereals ready-to-eat, Post, Waffle Crisp</t>
        </is>
      </c>
      <c r="C2171" s="1" t="n">
        <v>83</v>
      </c>
      <c r="D2171" s="1" t="n">
        <v>333</v>
      </c>
      <c r="E2171" s="1" t="n">
        <v>9</v>
      </c>
      <c r="F2171" s="1" t="n">
        <v>6.6</v>
      </c>
      <c r="G2171" s="1" t="n">
        <v>5</v>
      </c>
      <c r="H2171" s="1" t="n">
        <v>2500</v>
      </c>
      <c r="I2171" s="1" t="n">
        <v>7.5</v>
      </c>
      <c r="J2171" t="n">
        <v>55200020</v>
      </c>
    </row>
    <row r="2172" ht="15.75" customHeight="1" s="201">
      <c r="A2172" s="1" t="inlineStr">
        <is>
          <t>Cereals ready-to-eat, QUAKER Oatmeal Squares, Golden Maple</t>
        </is>
      </c>
      <c r="C2172" s="1" t="n">
        <v>78.04000000000001</v>
      </c>
      <c r="D2172" s="1" t="n">
        <v>723</v>
      </c>
      <c r="E2172" s="1" t="n">
        <v>29</v>
      </c>
      <c r="F2172" s="1" t="n">
        <v>11.3</v>
      </c>
      <c r="G2172" s="1" t="n">
        <v>4.83</v>
      </c>
      <c r="H2172" s="1" t="n">
        <v>1189</v>
      </c>
      <c r="I2172" s="1" t="n">
        <v>7.18</v>
      </c>
      <c r="J2172" t="n">
        <v>53712000</v>
      </c>
    </row>
    <row r="2173" ht="15.75" customHeight="1" s="201">
      <c r="A2173" s="1" t="inlineStr">
        <is>
          <t>Cereals ready-to-eat, QUAKER WHOLE HEARTS oat cereal</t>
        </is>
      </c>
      <c r="C2173" s="1" t="n">
        <v>80.09999999999999</v>
      </c>
      <c r="D2173" s="1" t="n">
        <v>1427</v>
      </c>
      <c r="E2173" s="1" t="n">
        <v>32.11</v>
      </c>
      <c r="F2173" s="1" t="n">
        <v>7.63</v>
      </c>
      <c r="G2173" s="1" t="n">
        <v>5.61</v>
      </c>
      <c r="H2173" s="1" t="n">
        <v>3964</v>
      </c>
      <c r="I2173" s="1" t="n">
        <v>11.89</v>
      </c>
      <c r="J2173" t="n">
        <v>54204030</v>
      </c>
    </row>
    <row r="2174" ht="15.75" customHeight="1" s="201">
      <c r="A2174" s="1" t="inlineStr">
        <is>
          <t>Cereals ready-to-eat, QUAKER, 100% Natural Granola, Oats, Wheat and Honey</t>
        </is>
      </c>
      <c r="C2174" s="1" t="n">
        <v>73.65000000000001</v>
      </c>
      <c r="D2174" s="1" t="n">
        <v>37</v>
      </c>
      <c r="E2174" s="1" t="n">
        <v>2.81</v>
      </c>
      <c r="F2174" s="1" t="n">
        <v>10.55</v>
      </c>
      <c r="G2174" s="1" t="n">
        <v>11.62</v>
      </c>
      <c r="H2174" s="1" t="n">
        <v>8</v>
      </c>
      <c r="I2174" s="1" t="n">
        <v>2.95</v>
      </c>
      <c r="J2174" t="n">
        <v>57237100</v>
      </c>
    </row>
    <row r="2175" ht="15.75" customHeight="1" s="201">
      <c r="A2175" s="1" t="inlineStr">
        <is>
          <t>Cereals ready-to-eat, QUAKER, CAP'N CRUNCH</t>
        </is>
      </c>
      <c r="C2175" s="1" t="n">
        <v>85.51000000000001</v>
      </c>
      <c r="D2175" s="1" t="n">
        <v>1555</v>
      </c>
      <c r="E2175" s="1" t="n">
        <v>19.42</v>
      </c>
      <c r="F2175" s="1" t="n">
        <v>4.39</v>
      </c>
      <c r="G2175" s="1" t="n">
        <v>5.12</v>
      </c>
      <c r="H2175" s="1" t="n">
        <v>148</v>
      </c>
      <c r="I2175" s="1" t="n">
        <v>16.16</v>
      </c>
      <c r="J2175" t="n">
        <v>54318500</v>
      </c>
    </row>
    <row r="2176" ht="15.75" customHeight="1" s="201">
      <c r="A2176" s="1" t="inlineStr">
        <is>
          <t>Cereals ready-to-eat, QUAKER, CAP'N CRUNCH with CRUNCHBERRIES</t>
        </is>
      </c>
      <c r="C2176" s="1" t="n">
        <v>85.93000000000001</v>
      </c>
      <c r="D2176" s="1" t="n">
        <v>1630</v>
      </c>
      <c r="E2176" s="1" t="n">
        <v>19.8</v>
      </c>
      <c r="F2176" s="1" t="n">
        <v>4.45</v>
      </c>
      <c r="G2176" s="1" t="n">
        <v>4.83</v>
      </c>
      <c r="H2176" s="1" t="n">
        <v>149</v>
      </c>
      <c r="I2176" s="1" t="n">
        <v>15.56</v>
      </c>
      <c r="J2176" t="n">
        <v>75142550</v>
      </c>
    </row>
    <row r="2177" ht="15.75" customHeight="1" s="201">
      <c r="A2177" s="1" t="inlineStr">
        <is>
          <t>Cereals ready-to-eat, QUAKER, CAP'N CRUNCH'S Halloween Crunch</t>
        </is>
      </c>
      <c r="C2177" s="1" t="n">
        <v>85.14</v>
      </c>
      <c r="D2177" s="1" t="n">
        <v>1615</v>
      </c>
      <c r="E2177" s="1" t="n">
        <v>19.6</v>
      </c>
      <c r="F2177" s="1" t="n">
        <v>4.41</v>
      </c>
      <c r="G2177" s="1" t="n">
        <v>5.66</v>
      </c>
      <c r="H2177" s="1" t="n">
        <v>147</v>
      </c>
      <c r="I2177" s="1" t="n">
        <v>15.42</v>
      </c>
      <c r="J2177" t="n">
        <v>57120000</v>
      </c>
    </row>
    <row r="2178" ht="15.75" customHeight="1" s="201">
      <c r="A2178" s="1" t="inlineStr">
        <is>
          <t>Cereals ready-to-eat, QUAKER, Cap'n Crunch's OOPS! All Berries Cereal</t>
        </is>
      </c>
      <c r="C2178" s="1" t="n">
        <v>87.09999999999999</v>
      </c>
      <c r="D2178" s="1" t="n">
        <v>1353</v>
      </c>
      <c r="E2178" s="1" t="n">
        <v>21.57</v>
      </c>
      <c r="F2178" s="1" t="n">
        <v>4.6</v>
      </c>
      <c r="G2178" s="1" t="n">
        <v>3.99</v>
      </c>
      <c r="H2178" s="1" t="n">
        <v>150</v>
      </c>
      <c r="I2178" s="1" t="n">
        <v>17.98</v>
      </c>
      <c r="J2178" t="n">
        <v>57120000</v>
      </c>
    </row>
    <row r="2179" ht="15.75" customHeight="1" s="201">
      <c r="A2179" s="1" t="inlineStr">
        <is>
          <t>Cereals ready-to-eat, QUAKER, CAP'N CRUNCH'S PEANUT BUTTER CRUNCH</t>
        </is>
      </c>
      <c r="C2179" s="1" t="n">
        <v>78.65000000000001</v>
      </c>
      <c r="D2179" s="1" t="n">
        <v>1554</v>
      </c>
      <c r="E2179" s="1" t="n">
        <v>18.36</v>
      </c>
      <c r="F2179" s="1" t="n">
        <v>7.1</v>
      </c>
      <c r="G2179" s="1" t="n">
        <v>9.23</v>
      </c>
      <c r="H2179" s="1" t="n">
        <v>150</v>
      </c>
      <c r="I2179" s="1" t="n">
        <v>15.29</v>
      </c>
      <c r="J2179" t="n">
        <v>91734000</v>
      </c>
    </row>
    <row r="2180" ht="15.75" customHeight="1" s="201">
      <c r="A2180" s="1" t="inlineStr">
        <is>
          <t>Cereals ready-to-eat, QUAKER, Christmas Crunch</t>
        </is>
      </c>
      <c r="C2180" s="1" t="n">
        <v>85.92</v>
      </c>
      <c r="D2180" s="1" t="n">
        <v>1537</v>
      </c>
      <c r="E2180" s="1" t="n">
        <v>19.78</v>
      </c>
      <c r="F2180" s="1" t="n">
        <v>4.44</v>
      </c>
      <c r="G2180" s="1" t="n">
        <v>4.83</v>
      </c>
      <c r="H2180" s="1" t="n">
        <v>148</v>
      </c>
      <c r="I2180" s="1" t="n">
        <v>16.36</v>
      </c>
      <c r="J2180" t="n">
        <v>54318500</v>
      </c>
    </row>
    <row r="2181" ht="15.75" customHeight="1" s="201">
      <c r="A2181" s="1" t="inlineStr">
        <is>
          <t>Cereals ready-to-eat, QUAKER, HONEY GRAHAM OH!S</t>
        </is>
      </c>
      <c r="C2181" s="1" t="n">
        <v>83.65000000000001</v>
      </c>
      <c r="D2181" s="1" t="n">
        <v>563</v>
      </c>
      <c r="E2181" s="1" t="n">
        <v>19.52</v>
      </c>
      <c r="F2181" s="1" t="n">
        <v>3.92</v>
      </c>
      <c r="G2181" s="1" t="n">
        <v>7.63</v>
      </c>
      <c r="H2181" s="1" t="n">
        <v>1496</v>
      </c>
      <c r="I2181" s="1" t="n">
        <v>5.99</v>
      </c>
      <c r="J2181" t="n">
        <v>57237100</v>
      </c>
    </row>
    <row r="2182" ht="15.75" customHeight="1" s="201">
      <c r="A2182" s="1" t="inlineStr">
        <is>
          <t>Cereals ready-to-eat, QUAKER, KING VITAMAN</t>
        </is>
      </c>
      <c r="C2182" s="1" t="n">
        <v>83.84999999999999</v>
      </c>
      <c r="D2182" s="1" t="n">
        <v>1334</v>
      </c>
      <c r="E2182" s="1" t="n">
        <v>29</v>
      </c>
      <c r="F2182" s="1" t="n">
        <v>6.41</v>
      </c>
      <c r="G2182" s="1" t="n">
        <v>3.44</v>
      </c>
      <c r="H2182" s="1" t="n">
        <v>3352</v>
      </c>
      <c r="I2182" s="1" t="n">
        <v>12.71</v>
      </c>
      <c r="J2182" t="n">
        <v>54318500</v>
      </c>
    </row>
    <row r="2183" ht="15.75" customHeight="1" s="201">
      <c r="A2183" s="1" t="inlineStr">
        <is>
          <t>Cereals ready-to-eat, QUAKER, Low Fat 100% Natural Granola with Raisins</t>
        </is>
      </c>
      <c r="C2183" s="1" t="n">
        <v>80.56999999999999</v>
      </c>
      <c r="D2183" s="1" t="n">
        <v>29</v>
      </c>
      <c r="E2183" s="1" t="n">
        <v>2.58</v>
      </c>
      <c r="F2183" s="1" t="n">
        <v>8.42</v>
      </c>
      <c r="G2183" s="1" t="n">
        <v>5.52</v>
      </c>
      <c r="H2183" s="1" t="n">
        <v>21</v>
      </c>
      <c r="I2183" s="1" t="n">
        <v>1.59</v>
      </c>
      <c r="J2183" t="n">
        <v>75142550</v>
      </c>
    </row>
    <row r="2184" ht="15.75" customHeight="1" s="201">
      <c r="A2184" s="1" t="inlineStr">
        <is>
          <t>Cereals ready-to-eat, QUAKER, Maple Brown Sugar LIFE Cereal</t>
        </is>
      </c>
      <c r="C2184" s="1" t="n">
        <v>78.86</v>
      </c>
      <c r="D2184" s="1" t="n">
        <v>1436</v>
      </c>
      <c r="E2184" s="1" t="n">
        <v>28.69</v>
      </c>
      <c r="F2184" s="1" t="n">
        <v>9.17</v>
      </c>
      <c r="G2184" s="1" t="n">
        <v>4.06</v>
      </c>
      <c r="H2184" s="1" t="n">
        <v>37</v>
      </c>
      <c r="I2184" s="1" t="n">
        <v>13.47</v>
      </c>
      <c r="J2184" t="n">
        <v>53711004</v>
      </c>
    </row>
    <row r="2185" ht="15.75" customHeight="1" s="201">
      <c r="A2185" s="1" t="inlineStr">
        <is>
          <t>Cereals ready-to-eat, QUAKER, MOTHER'S Cinnamon Oat Crunch</t>
        </is>
      </c>
      <c r="C2185" s="1" t="n">
        <v>79.79000000000001</v>
      </c>
      <c r="D2185" s="1" t="n">
        <v>37</v>
      </c>
      <c r="E2185" s="1" t="n">
        <v>3.24</v>
      </c>
      <c r="F2185" s="1" t="n">
        <v>10.6</v>
      </c>
      <c r="G2185" s="1" t="n">
        <v>4.56</v>
      </c>
      <c r="H2185" s="1" t="n">
        <v>17</v>
      </c>
      <c r="I2185" s="1" t="n">
        <v>2.63</v>
      </c>
      <c r="J2185" t="n">
        <v>54318500</v>
      </c>
    </row>
    <row r="2186" ht="15.75" customHeight="1" s="201">
      <c r="A2186" s="1" t="inlineStr">
        <is>
          <t>Cereals ready-to-eat, QUAKER, MOTHER'S COCOA BUMPERS</t>
        </is>
      </c>
      <c r="C2186" s="1" t="n">
        <v>89.91</v>
      </c>
      <c r="D2186" s="1" t="n">
        <v>15</v>
      </c>
      <c r="E2186" s="1" t="n">
        <v>2.06</v>
      </c>
      <c r="F2186" s="1" t="n">
        <v>4.21</v>
      </c>
      <c r="G2186" s="1" t="n">
        <v>1.61</v>
      </c>
      <c r="H2186" s="1" t="n">
        <v>186</v>
      </c>
      <c r="I2186" s="1" t="n">
        <v>1.11</v>
      </c>
      <c r="J2186" t="n">
        <v>54318500</v>
      </c>
    </row>
    <row r="2187" ht="15.75" customHeight="1" s="201">
      <c r="A2187" s="1" t="inlineStr">
        <is>
          <t>Cereals ready-to-eat, QUAKER, MOTHER'S GRAHAM BUMPERS</t>
        </is>
      </c>
      <c r="C2187" s="1" t="n">
        <v>88.89</v>
      </c>
      <c r="D2187" s="1" t="n">
        <v>15</v>
      </c>
      <c r="E2187" s="1" t="n">
        <v>1.87</v>
      </c>
      <c r="F2187" s="1" t="n">
        <v>4.55</v>
      </c>
      <c r="G2187" s="1" t="n">
        <v>1.45</v>
      </c>
      <c r="H2187" s="1" t="n">
        <v>162</v>
      </c>
      <c r="I2187" s="1" t="n">
        <v>1.04</v>
      </c>
      <c r="J2187" t="n">
        <v>54318500</v>
      </c>
    </row>
    <row r="2188" ht="15.75" customHeight="1" s="201">
      <c r="A2188" s="1" t="inlineStr">
        <is>
          <t>Cereals ready-to-eat, QUAKER, MOTHER'S PEANUT BUTTER BUMPERS Cereal</t>
        </is>
      </c>
      <c r="C2188" s="1" t="n">
        <v>79.68000000000001</v>
      </c>
      <c r="D2188" s="1" t="n">
        <v>24</v>
      </c>
      <c r="E2188" s="1" t="n">
        <v>1.97</v>
      </c>
      <c r="F2188" s="1" t="n">
        <v>7.62</v>
      </c>
      <c r="G2188" s="1" t="n">
        <v>7.33</v>
      </c>
      <c r="H2188" s="1" t="n">
        <v>159</v>
      </c>
      <c r="I2188" s="1" t="n">
        <v>1.42</v>
      </c>
      <c r="J2188" t="n">
        <v>91734000</v>
      </c>
    </row>
    <row r="2189" ht="15.75" customHeight="1" s="201">
      <c r="A2189" s="1" t="inlineStr">
        <is>
          <t>Cereals ready-to-eat, QUAKER, MOTHER'S Toasted Oat Bran cereal</t>
        </is>
      </c>
      <c r="C2189" s="1" t="n">
        <v>75.41</v>
      </c>
      <c r="D2189" s="1" t="n">
        <v>36</v>
      </c>
      <c r="E2189" s="1" t="n">
        <v>4.07</v>
      </c>
      <c r="F2189" s="1" t="n">
        <v>11.45</v>
      </c>
      <c r="G2189" s="1" t="n">
        <v>5.04</v>
      </c>
      <c r="H2189" s="1" t="n">
        <v>63</v>
      </c>
      <c r="I2189" s="1" t="n">
        <v>2.89</v>
      </c>
    </row>
    <row r="2190" ht="15.75" customHeight="1" s="201">
      <c r="A2190" s="1" t="inlineStr">
        <is>
          <t>Cereals ready-to-eat, QUAKER, Natural Granola Apple Cranberry Almond</t>
        </is>
      </c>
      <c r="C2190" s="1" t="n">
        <v>74.73</v>
      </c>
      <c r="D2190" s="1" t="n">
        <v>31</v>
      </c>
      <c r="E2190" s="1" t="n">
        <v>2.47</v>
      </c>
      <c r="F2190" s="1" t="n">
        <v>9.210000000000001</v>
      </c>
      <c r="G2190" s="1" t="n">
        <v>11.06</v>
      </c>
      <c r="H2190" s="1" t="n">
        <v>19</v>
      </c>
      <c r="I2190" s="1" t="n">
        <v>2.44</v>
      </c>
      <c r="J2190" t="n">
        <v>53711002</v>
      </c>
    </row>
    <row r="2191" ht="15.75" customHeight="1" s="201">
      <c r="A2191" s="1" t="inlineStr">
        <is>
          <t>Cereals ready-to-eat, QUAKER, Oatmeal Squares</t>
        </is>
      </c>
      <c r="C2191" s="1" t="n">
        <v>77.77</v>
      </c>
      <c r="D2191" s="1" t="n">
        <v>722</v>
      </c>
      <c r="E2191" s="1" t="n">
        <v>29.3</v>
      </c>
      <c r="F2191" s="1" t="n">
        <v>11.38</v>
      </c>
      <c r="G2191" s="1" t="n">
        <v>4.83</v>
      </c>
      <c r="H2191" s="1" t="n">
        <v>1188</v>
      </c>
      <c r="I2191" s="1" t="n">
        <v>7.18</v>
      </c>
      <c r="J2191" t="n">
        <v>53712000</v>
      </c>
    </row>
    <row r="2192" ht="15.75" customHeight="1" s="201">
      <c r="A2192" s="1" t="inlineStr">
        <is>
          <t>Cereals ready-to-eat, QUAKER, Oatmeal Squares, cinnamon</t>
        </is>
      </c>
      <c r="C2192" s="1" t="n">
        <v>78.09</v>
      </c>
      <c r="D2192" s="1" t="n">
        <v>726</v>
      </c>
      <c r="E2192" s="1" t="n">
        <v>29.5</v>
      </c>
      <c r="F2192" s="1" t="n">
        <v>11.23</v>
      </c>
      <c r="G2192" s="1" t="n">
        <v>4.88</v>
      </c>
      <c r="H2192" s="1" t="n">
        <v>1182</v>
      </c>
      <c r="I2192" s="1" t="n">
        <v>7.14</v>
      </c>
      <c r="J2192" t="n">
        <v>53712000</v>
      </c>
    </row>
    <row r="2193" ht="15.75" customHeight="1" s="201">
      <c r="A2193" s="1" t="inlineStr">
        <is>
          <t>Cereals ready-to-eat, QUAKER, QUAKER 100% Natural Granola with Oats, Wheat, Honey, and Raisins</t>
        </is>
      </c>
      <c r="C2193" s="1" t="n">
        <v>74.67</v>
      </c>
      <c r="D2193" s="1" t="n">
        <v>33</v>
      </c>
      <c r="E2193" s="1" t="n">
        <v>2.69</v>
      </c>
      <c r="F2193" s="1" t="n">
        <v>9.66</v>
      </c>
      <c r="G2193" s="1" t="n">
        <v>10.38</v>
      </c>
      <c r="H2193" s="1" t="n">
        <v>8</v>
      </c>
      <c r="I2193" s="1" t="n">
        <v>2.64</v>
      </c>
      <c r="J2193" t="n">
        <v>57237100</v>
      </c>
    </row>
    <row r="2194" ht="15.75" customHeight="1" s="201">
      <c r="A2194" s="1" t="inlineStr">
        <is>
          <t>Cereals ready-to-eat, QUAKER, QUAKER CRUNCHY BRAN</t>
        </is>
      </c>
      <c r="C2194" s="1" t="n">
        <v>83.68000000000001</v>
      </c>
      <c r="D2194" s="1" t="n">
        <v>1554</v>
      </c>
      <c r="E2194" s="1" t="n">
        <v>30.98</v>
      </c>
      <c r="F2194" s="1" t="n">
        <v>6.37</v>
      </c>
      <c r="G2194" s="1" t="n">
        <v>4.06</v>
      </c>
      <c r="H2194" s="1" t="n">
        <v>154</v>
      </c>
      <c r="I2194" s="1" t="n">
        <v>15.3</v>
      </c>
      <c r="J2194" t="n">
        <v>54318500</v>
      </c>
    </row>
    <row r="2195" ht="15.75" customHeight="1" s="201">
      <c r="A2195" s="1" t="inlineStr">
        <is>
          <t>Cereals ready-to-eat, QUAKER, QUAKER Honey Graham LIFE Cereal</t>
        </is>
      </c>
      <c r="C2195" s="1" t="n">
        <v>78.56</v>
      </c>
      <c r="D2195" s="1" t="n">
        <v>1311</v>
      </c>
      <c r="E2195" s="1" t="n">
        <v>29.73</v>
      </c>
      <c r="F2195" s="1" t="n">
        <v>9.33</v>
      </c>
      <c r="G2195" s="1" t="n">
        <v>4.14</v>
      </c>
      <c r="H2195" s="1" t="n">
        <v>38</v>
      </c>
      <c r="I2195" s="1" t="n">
        <v>13.82</v>
      </c>
      <c r="J2195" t="n">
        <v>57237100</v>
      </c>
    </row>
    <row r="2196" ht="15.75" customHeight="1" s="201">
      <c r="A2196" s="1" t="inlineStr">
        <is>
          <t>Cereals ready-to-eat, QUAKER, QUAKER OAT CINNAMON LIFE</t>
        </is>
      </c>
      <c r="C2196" s="1" t="n">
        <v>79.02</v>
      </c>
      <c r="D2196" s="1" t="n">
        <v>1318</v>
      </c>
      <c r="E2196" s="1" t="n">
        <v>23.22</v>
      </c>
      <c r="F2196" s="1" t="n">
        <v>9.140000000000001</v>
      </c>
      <c r="G2196" s="1" t="n">
        <v>4.1</v>
      </c>
      <c r="H2196" s="1" t="n">
        <v>35</v>
      </c>
      <c r="I2196" s="1" t="n">
        <v>13.78</v>
      </c>
      <c r="J2196" t="n">
        <v>54318500</v>
      </c>
    </row>
    <row r="2197" ht="15.75" customHeight="1" s="201">
      <c r="A2197" s="1" t="inlineStr">
        <is>
          <t>Cereals ready-to-eat, QUAKER, QUAKER OAT LIFE, plain</t>
        </is>
      </c>
      <c r="C2197" s="1" t="n">
        <v>77.73999999999999</v>
      </c>
      <c r="D2197" s="1" t="n">
        <v>1305</v>
      </c>
      <c r="E2197" s="1" t="n">
        <v>29.33</v>
      </c>
      <c r="F2197" s="1" t="n">
        <v>9.98</v>
      </c>
      <c r="G2197" s="1" t="n">
        <v>4.43</v>
      </c>
      <c r="H2197" s="1" t="n">
        <v>40</v>
      </c>
      <c r="I2197" s="1" t="n">
        <v>13.78</v>
      </c>
      <c r="J2197" t="n">
        <v>54318500</v>
      </c>
    </row>
    <row r="2198" ht="15.75" customHeight="1" s="201">
      <c r="A2198" s="1" t="inlineStr">
        <is>
          <t>Cereals ready-to-eat, QUAKER, QUAKER Puffed Rice</t>
        </is>
      </c>
      <c r="C2198" s="1" t="n">
        <v>87.78</v>
      </c>
      <c r="D2198" s="1" t="n">
        <v>154</v>
      </c>
      <c r="E2198" s="1" t="n">
        <v>2.86</v>
      </c>
      <c r="F2198" s="1" t="n">
        <v>7.01</v>
      </c>
      <c r="G2198" s="1" t="n">
        <v>0.9</v>
      </c>
      <c r="H2198" s="1" t="n">
        <v>0</v>
      </c>
      <c r="I2198" s="1" t="n">
        <v>1.1</v>
      </c>
      <c r="J2198" t="n">
        <v>54318500</v>
      </c>
    </row>
    <row r="2199" ht="15.75" customHeight="1" s="201">
      <c r="A2199" s="1" t="inlineStr">
        <is>
          <t>Cereals ready-to-eat, QUAKER, QUAKER Puffed Wheat</t>
        </is>
      </c>
      <c r="C2199" s="1" t="n">
        <v>76.39</v>
      </c>
      <c r="D2199" s="1" t="n">
        <v>154</v>
      </c>
      <c r="E2199" s="1" t="n">
        <v>4.41</v>
      </c>
      <c r="F2199" s="1" t="n">
        <v>16.26</v>
      </c>
      <c r="G2199" s="1" t="n">
        <v>2.15</v>
      </c>
      <c r="H2199" s="1" t="n">
        <v>11</v>
      </c>
      <c r="I2199" s="1" t="n">
        <v>3.07</v>
      </c>
      <c r="J2199" t="n">
        <v>54338000</v>
      </c>
    </row>
    <row r="2200" ht="15.75" customHeight="1" s="201">
      <c r="A2200" s="1" t="inlineStr">
        <is>
          <t>Cereals ready-to-eat, QUAKER, Shredded Wheat, bagged cereal</t>
        </is>
      </c>
      <c r="C2200" s="1" t="n">
        <v>81.01000000000001</v>
      </c>
      <c r="D2200" s="1" t="n">
        <v>51</v>
      </c>
      <c r="E2200" s="1" t="n">
        <v>3.33</v>
      </c>
      <c r="F2200" s="1" t="n">
        <v>11.24</v>
      </c>
      <c r="G2200" s="1" t="n">
        <v>2.01</v>
      </c>
      <c r="H2200" s="1" t="n">
        <v>0</v>
      </c>
      <c r="I2200" s="1" t="n">
        <v>2.54</v>
      </c>
      <c r="J2200" t="n">
        <v>54338000</v>
      </c>
    </row>
    <row r="2201" ht="15.75" customHeight="1" s="201">
      <c r="A2201" s="1" t="inlineStr">
        <is>
          <t>Cereals ready-to-eat, QUAKER, SWEET CRUNCH/QUISP</t>
        </is>
      </c>
      <c r="C2201" s="1" t="n">
        <v>85.03</v>
      </c>
      <c r="D2201" s="1" t="n">
        <v>1555</v>
      </c>
      <c r="E2201" s="1" t="n">
        <v>18.35</v>
      </c>
      <c r="F2201" s="1" t="n">
        <v>4.51</v>
      </c>
      <c r="G2201" s="1" t="n">
        <v>6.08</v>
      </c>
      <c r="H2201" s="1" t="n">
        <v>148</v>
      </c>
      <c r="I2201" s="1" t="n">
        <v>15.29</v>
      </c>
      <c r="J2201" t="n">
        <v>54318500</v>
      </c>
    </row>
    <row r="2202" ht="15.75" customHeight="1" s="201">
      <c r="A2202" s="1" t="inlineStr">
        <is>
          <t>Cereals ready-to-eat, QUAKER, Toasted Multigrain Crisps</t>
        </is>
      </c>
      <c r="C2202" s="1" t="n">
        <v>74.90000000000001</v>
      </c>
      <c r="D2202" s="1" t="n">
        <v>737</v>
      </c>
      <c r="E2202" s="1" t="n">
        <v>29.9</v>
      </c>
      <c r="F2202" s="1" t="n">
        <v>12.38</v>
      </c>
      <c r="G2202" s="1" t="n">
        <v>5.11</v>
      </c>
      <c r="H2202" s="1" t="n">
        <v>1224</v>
      </c>
      <c r="I2202" s="1" t="n">
        <v>7.72</v>
      </c>
      <c r="J2202" t="n">
        <v>54326000</v>
      </c>
    </row>
    <row r="2203" ht="15.75" customHeight="1" s="201">
      <c r="A2203" s="1" t="inlineStr">
        <is>
          <t>Cereals ready-to-eat, RALSTON Corn Biscuits</t>
        </is>
      </c>
      <c r="C2203" s="1" t="n">
        <v>85.79000000000001</v>
      </c>
      <c r="D2203" s="1" t="n">
        <v>667</v>
      </c>
      <c r="E2203" s="1" t="n">
        <v>38.37</v>
      </c>
      <c r="F2203" s="1" t="n">
        <v>5.83</v>
      </c>
      <c r="G2203" s="1" t="n">
        <v>1.05</v>
      </c>
      <c r="H2203" s="1" t="n">
        <v>4167</v>
      </c>
      <c r="I2203" s="1" t="n">
        <v>17.13</v>
      </c>
      <c r="J2203" t="n">
        <v>54401055</v>
      </c>
    </row>
    <row r="2204" ht="15.75" customHeight="1" s="201">
      <c r="A2204" s="1" t="inlineStr">
        <is>
          <t>Cereals ready-to-eat, RALSTON Corn Flakes</t>
        </is>
      </c>
      <c r="C2204" s="1" t="n">
        <v>88.01000000000001</v>
      </c>
      <c r="D2204" s="1" t="n">
        <v>714</v>
      </c>
      <c r="E2204" s="1" t="n">
        <v>19.4</v>
      </c>
      <c r="F2204" s="1" t="n">
        <v>5.9</v>
      </c>
      <c r="G2204" s="1" t="n">
        <v>0.91</v>
      </c>
      <c r="H2204" s="1" t="n">
        <v>3571</v>
      </c>
      <c r="I2204" s="1" t="n">
        <v>0.2</v>
      </c>
      <c r="J2204" t="n">
        <v>54401055</v>
      </c>
    </row>
    <row r="2205" ht="15.75" customHeight="1" s="201">
      <c r="A2205" s="1" t="inlineStr">
        <is>
          <t>Cereals ready-to-eat, RALSTON CRISP RICE</t>
        </is>
      </c>
      <c r="C2205" s="1" t="n">
        <v>86.22</v>
      </c>
      <c r="D2205" s="1" t="n">
        <v>606</v>
      </c>
      <c r="E2205" s="1" t="n">
        <v>32.73</v>
      </c>
      <c r="F2205" s="1" t="n">
        <v>6.69</v>
      </c>
      <c r="G2205" s="1" t="n">
        <v>1.26</v>
      </c>
      <c r="H2205" s="1" t="n">
        <v>3788</v>
      </c>
      <c r="I2205" s="1" t="n">
        <v>1.3</v>
      </c>
      <c r="J2205" t="n">
        <v>54319000</v>
      </c>
    </row>
    <row r="2206" ht="15.75" customHeight="1" s="201">
      <c r="A2206" s="1" t="inlineStr">
        <is>
          <t>Cereals ready-to-eat, RALSTON Crispy Hexagons</t>
        </is>
      </c>
      <c r="C2206" s="1" t="n">
        <v>86.78</v>
      </c>
      <c r="D2206" s="1" t="n">
        <v>966</v>
      </c>
      <c r="E2206" s="1" t="n">
        <v>27.93</v>
      </c>
      <c r="F2206" s="1" t="n">
        <v>5.94</v>
      </c>
      <c r="G2206" s="1" t="n">
        <v>0.95</v>
      </c>
      <c r="H2206" s="1" t="n">
        <v>4310</v>
      </c>
      <c r="I2206" s="1" t="n">
        <v>7.43</v>
      </c>
    </row>
    <row r="2207" ht="15.75" customHeight="1" s="201">
      <c r="A2207" s="1" t="inlineStr">
        <is>
          <t>Cereals ready-to-eat, RALSTON Enriched Wheat Bran flakes</t>
        </is>
      </c>
      <c r="C2207" s="1" t="n">
        <v>79.77</v>
      </c>
      <c r="D2207" s="1" t="n">
        <v>1379</v>
      </c>
      <c r="E2207" s="1" t="n">
        <v>67.67</v>
      </c>
      <c r="F2207" s="1" t="n">
        <v>10.21</v>
      </c>
      <c r="G2207" s="1" t="n">
        <v>3.36</v>
      </c>
      <c r="H2207" s="1" t="n">
        <v>1771</v>
      </c>
      <c r="I2207" s="1" t="n">
        <v>64.33</v>
      </c>
      <c r="J2207" t="n">
        <v>51301010</v>
      </c>
    </row>
    <row r="2208" ht="15.75" customHeight="1" s="201">
      <c r="A2208" s="1" t="inlineStr">
        <is>
          <t>Cereals ready-to-eat, RALSTON TASTEEOS</t>
        </is>
      </c>
      <c r="C2208" s="1" t="n">
        <v>75.95999999999999</v>
      </c>
      <c r="D2208" s="1" t="n">
        <v>714</v>
      </c>
      <c r="E2208" s="1" t="n">
        <v>32.14</v>
      </c>
      <c r="F2208" s="1" t="n">
        <v>10.71</v>
      </c>
      <c r="G2208" s="1" t="n">
        <v>5.36</v>
      </c>
      <c r="H2208" s="1" t="n">
        <v>3571</v>
      </c>
      <c r="I2208" s="1" t="n">
        <v>13.39</v>
      </c>
      <c r="J2208" t="n">
        <v>24102050</v>
      </c>
    </row>
    <row r="2209" ht="15.75" customHeight="1" s="201">
      <c r="A2209" s="1" t="inlineStr">
        <is>
          <t>Cereals ready-to-eat, rice, puffed, fortified</t>
        </is>
      </c>
      <c r="C2209" s="1" t="n">
        <v>89.8</v>
      </c>
      <c r="D2209" s="1" t="n">
        <v>19</v>
      </c>
      <c r="E2209" s="1" t="n">
        <v>31.7</v>
      </c>
      <c r="F2209" s="1" t="n">
        <v>6.3</v>
      </c>
      <c r="G2209" s="1" t="n">
        <v>0.5</v>
      </c>
      <c r="H2209" s="1" t="n">
        <v>0</v>
      </c>
      <c r="I2209" s="1" t="n">
        <v>1.03</v>
      </c>
      <c r="J2209" t="n">
        <v>54318500</v>
      </c>
    </row>
    <row r="2210" ht="15.75" customHeight="1" s="201">
      <c r="A2210" s="1" t="inlineStr">
        <is>
          <t>Cereals ready-to-eat, SUN COUNTRY, KRETSCHMER Honey Crunch Wheat Germ</t>
        </is>
      </c>
      <c r="C2210" s="1" t="n">
        <v>58.11</v>
      </c>
      <c r="D2210" s="1" t="n">
        <v>606</v>
      </c>
      <c r="E2210" s="1" t="n">
        <v>8.050000000000001</v>
      </c>
      <c r="F2210" s="1" t="n">
        <v>26.55</v>
      </c>
      <c r="G2210" s="1" t="n">
        <v>7.78</v>
      </c>
      <c r="H2210" s="1" t="n">
        <v>96</v>
      </c>
      <c r="I2210" s="1" t="n">
        <v>13.88</v>
      </c>
      <c r="J2210" t="n">
        <v>51301010</v>
      </c>
    </row>
    <row r="2211" ht="15.75" customHeight="1" s="201">
      <c r="A2211" s="1" t="inlineStr">
        <is>
          <t>Cereals ready-to-eat, SUN COUNTRY, KRETSCHMER Toasted Wheat Bran</t>
        </is>
      </c>
      <c r="C2211" s="1" t="n">
        <v>59.51</v>
      </c>
      <c r="D2211" s="1" t="n">
        <v>193</v>
      </c>
      <c r="E2211" s="1" t="n">
        <v>13.88</v>
      </c>
      <c r="F2211" s="1" t="n">
        <v>17.56</v>
      </c>
      <c r="G2211" s="1" t="n">
        <v>5.16</v>
      </c>
      <c r="H2211" s="1" t="n">
        <v>0</v>
      </c>
      <c r="I2211" s="1" t="n">
        <v>11.23</v>
      </c>
      <c r="J2211" t="n">
        <v>51301020</v>
      </c>
    </row>
    <row r="2212" ht="15.75" customHeight="1" s="201">
      <c r="A2212" s="1" t="inlineStr">
        <is>
          <t>Cereals ready-to-eat, SUN COUNTRY, KRETSCHMER Wheat Germ, Regular</t>
        </is>
      </c>
      <c r="C2212" s="1" t="n">
        <v>49.38</v>
      </c>
      <c r="D2212" s="1" t="n">
        <v>669</v>
      </c>
      <c r="E2212" s="1" t="n">
        <v>8.34</v>
      </c>
      <c r="F2212" s="1" t="n">
        <v>31.43</v>
      </c>
      <c r="G2212" s="1" t="n">
        <v>9.56</v>
      </c>
      <c r="H2212" s="1" t="n">
        <v>127</v>
      </c>
      <c r="I2212" s="1" t="n">
        <v>16.01</v>
      </c>
      <c r="J2212" t="n">
        <v>54338000</v>
      </c>
    </row>
    <row r="2213" ht="15.75" customHeight="1" s="201">
      <c r="A2213" s="1" t="inlineStr">
        <is>
          <t>Cereals ready-to-eat, UNCLE SAM CEREAL</t>
        </is>
      </c>
      <c r="C2213" s="1" t="n">
        <v>65.78</v>
      </c>
      <c r="D2213" s="1" t="n">
        <v>53</v>
      </c>
      <c r="E2213" s="1" t="n">
        <v>4.03</v>
      </c>
      <c r="F2213" s="1" t="n">
        <v>15.98</v>
      </c>
      <c r="G2213" s="1" t="n">
        <v>11.6</v>
      </c>
      <c r="H2213" s="1" t="n">
        <v>0</v>
      </c>
      <c r="I2213" s="1" t="n">
        <v>3.87</v>
      </c>
      <c r="J2213" t="n">
        <v>57100100</v>
      </c>
    </row>
    <row r="2214" ht="15.75" customHeight="1" s="201">
      <c r="A2214" s="1" t="inlineStr">
        <is>
          <t>Cereals ready-to-eat, WEETABIX whole grain cereal</t>
        </is>
      </c>
      <c r="C2214" s="1" t="n">
        <v>81.5</v>
      </c>
      <c r="D2214" s="1" t="n">
        <v>46</v>
      </c>
      <c r="E2214" s="1" t="n">
        <v>12.86</v>
      </c>
      <c r="F2214" s="1" t="n">
        <v>11.43</v>
      </c>
      <c r="G2214" s="1" t="n">
        <v>2.86</v>
      </c>
      <c r="H2214" s="1" t="n">
        <v>9</v>
      </c>
      <c r="I2214" s="1" t="n">
        <v>1.72</v>
      </c>
      <c r="J2214" t="n">
        <v>54204030</v>
      </c>
    </row>
    <row r="2215" ht="15.75" customHeight="1" s="201">
      <c r="A2215" s="1" t="inlineStr">
        <is>
          <t>Cereals ready-to-eat, wheat and bran, presweetened with nuts and fruits</t>
        </is>
      </c>
      <c r="C2215" s="1" t="n">
        <v>76.2</v>
      </c>
      <c r="D2215" s="1" t="n">
        <v>182</v>
      </c>
      <c r="E2215" s="1" t="n">
        <v>9.82</v>
      </c>
      <c r="F2215" s="1" t="n">
        <v>7.1</v>
      </c>
      <c r="G2215" s="1" t="n">
        <v>5.6</v>
      </c>
      <c r="H2215" s="1" t="n">
        <v>1364</v>
      </c>
      <c r="I2215" s="1" t="n">
        <v>2.73</v>
      </c>
      <c r="J2215" t="n">
        <v>54338000</v>
      </c>
    </row>
    <row r="2216" ht="15.75" customHeight="1" s="201">
      <c r="A2216" s="1" t="inlineStr">
        <is>
          <t>Cereals ready-to-eat, wheat germ, toasted, plain</t>
        </is>
      </c>
      <c r="C2216" s="1" t="n">
        <v>49.6</v>
      </c>
      <c r="D2216" s="1" t="n">
        <v>352</v>
      </c>
      <c r="E2216" s="1" t="n">
        <v>9.09</v>
      </c>
      <c r="F2216" s="1" t="n">
        <v>29.1</v>
      </c>
      <c r="G2216" s="1" t="n">
        <v>10.7</v>
      </c>
      <c r="H2216" s="1" t="n">
        <v>103</v>
      </c>
      <c r="I2216" s="1" t="n">
        <v>16.67</v>
      </c>
      <c r="J2216" t="n">
        <v>54338000</v>
      </c>
    </row>
    <row r="2217" ht="15.75" customHeight="1" s="201">
      <c r="A2217" s="1" t="inlineStr">
        <is>
          <t>Cereals ready-to-eat, wheat, puffed, fortified</t>
        </is>
      </c>
      <c r="C2217" s="1" t="n">
        <v>79.59999999999999</v>
      </c>
      <c r="D2217" s="1" t="n">
        <v>32</v>
      </c>
      <c r="E2217" s="1" t="n">
        <v>31.7</v>
      </c>
      <c r="F2217" s="1" t="n">
        <v>14.7</v>
      </c>
      <c r="G2217" s="1" t="n">
        <v>1.2</v>
      </c>
      <c r="H2217" s="1" t="n">
        <v>0</v>
      </c>
      <c r="I2217" s="1" t="n">
        <v>2.36</v>
      </c>
      <c r="J2217" t="n">
        <v>54338000</v>
      </c>
    </row>
    <row r="2218" ht="15.75" customHeight="1" s="201">
      <c r="A2218" s="1" t="inlineStr">
        <is>
          <t>Cereals, corn grits, white, regular and quick, enriched, cooked with water, with salt</t>
        </is>
      </c>
      <c r="C2218" s="1" t="n">
        <v>14.76</v>
      </c>
      <c r="D2218" s="1" t="n">
        <v>28</v>
      </c>
      <c r="E2218" s="1" t="n">
        <v>0.57</v>
      </c>
      <c r="F2218" s="1" t="n">
        <v>1.71</v>
      </c>
      <c r="G2218" s="1" t="n">
        <v>0.46</v>
      </c>
      <c r="H2218" s="1" t="n">
        <v>0</v>
      </c>
      <c r="I2218" s="1" t="n">
        <v>0.18</v>
      </c>
      <c r="J2218" t="n">
        <v>75142550</v>
      </c>
    </row>
    <row r="2219" ht="15.75" customHeight="1" s="201">
      <c r="A2219" s="1" t="inlineStr">
        <is>
          <t>Cereals, corn grits, white, regular and quick, enriched, cooked with water, without salt</t>
        </is>
      </c>
      <c r="C2219" s="1" t="n">
        <v>14.76</v>
      </c>
      <c r="D2219" s="1" t="n">
        <v>28</v>
      </c>
      <c r="E2219" s="1" t="n">
        <v>0.57</v>
      </c>
      <c r="F2219" s="1" t="n">
        <v>1.71</v>
      </c>
      <c r="G2219" s="1" t="n">
        <v>0.46</v>
      </c>
      <c r="H2219" s="1" t="n">
        <v>0</v>
      </c>
      <c r="I2219" s="1" t="n">
        <v>0.18</v>
      </c>
      <c r="J2219" t="n">
        <v>11740312</v>
      </c>
    </row>
    <row r="2220" ht="15.75" customHeight="1" s="201">
      <c r="A2220" s="1" t="inlineStr">
        <is>
          <t>Cereals, corn grits, white, regular and quick, enriched, dry</t>
        </is>
      </c>
      <c r="C2220" s="1" t="n">
        <v>79.09</v>
      </c>
      <c r="D2220" s="1" t="n">
        <v>171</v>
      </c>
      <c r="E2220" s="1" t="n">
        <v>3.05</v>
      </c>
      <c r="F2220" s="1" t="n">
        <v>7.65</v>
      </c>
      <c r="G2220" s="1" t="n">
        <v>1.75</v>
      </c>
      <c r="H2220" s="1" t="n">
        <v>3</v>
      </c>
      <c r="I2220" s="1" t="n">
        <v>0.72</v>
      </c>
      <c r="J2220" t="n">
        <v>54401055</v>
      </c>
    </row>
    <row r="2221" ht="15.75" customHeight="1" s="201">
      <c r="A2221" s="1" t="inlineStr">
        <is>
          <t>Cereals, corn grits, yellow, regular and quick, enriched, cooked with water, without salt</t>
        </is>
      </c>
      <c r="C2221" s="1" t="n">
        <v>13.86</v>
      </c>
      <c r="D2221" s="1" t="n">
        <v>27</v>
      </c>
      <c r="E2221" s="1" t="n">
        <v>0.57</v>
      </c>
      <c r="F2221" s="1" t="n">
        <v>1.23</v>
      </c>
      <c r="G2221" s="1" t="n">
        <v>0.39</v>
      </c>
      <c r="H2221" s="1" t="n">
        <v>0</v>
      </c>
      <c r="I2221" s="1" t="n">
        <v>0.14</v>
      </c>
      <c r="J2221" t="n">
        <v>11740312</v>
      </c>
    </row>
    <row r="2222" ht="15.75" customHeight="1" s="201">
      <c r="A2222" s="1" t="inlineStr">
        <is>
          <t>Cereals, corn grits, yellow, regular and quick, unenriched, dry</t>
        </is>
      </c>
      <c r="C2222" s="1" t="n">
        <v>79.59999999999999</v>
      </c>
      <c r="D2222" s="1" t="n">
        <v>5</v>
      </c>
      <c r="E2222" s="1" t="n">
        <v>1</v>
      </c>
      <c r="F2222" s="1" t="n">
        <v>8.800000000000001</v>
      </c>
      <c r="G2222" s="1" t="n">
        <v>1.2</v>
      </c>
      <c r="H2222" s="1" t="n">
        <v>214</v>
      </c>
      <c r="I2222" s="1" t="n">
        <v>0.41</v>
      </c>
      <c r="J2222" t="n">
        <v>53109200</v>
      </c>
    </row>
    <row r="2223" ht="15.75" customHeight="1" s="201">
      <c r="A2223" s="1" t="inlineStr">
        <is>
          <t>Cereals, corn grits, yellow, regular, quick, enriched, cooked with water, with salt</t>
        </is>
      </c>
      <c r="C2223" s="1" t="n">
        <v>13.86</v>
      </c>
      <c r="D2223" s="1" t="n">
        <v>27</v>
      </c>
      <c r="E2223" s="1" t="n">
        <v>0.57</v>
      </c>
      <c r="F2223" s="1" t="n">
        <v>1.23</v>
      </c>
      <c r="G2223" s="1" t="n">
        <v>0.39</v>
      </c>
      <c r="H2223" s="1" t="n">
        <v>0</v>
      </c>
      <c r="I2223" s="1" t="n">
        <v>0.14</v>
      </c>
      <c r="J2223" t="n">
        <v>75142550</v>
      </c>
    </row>
    <row r="2224" ht="15.75" customHeight="1" s="201">
      <c r="A2224" s="1" t="inlineStr">
        <is>
          <t>Cereals, CREAM OF RICE, cooked with water, with salt</t>
        </is>
      </c>
      <c r="C2224" s="1" t="n">
        <v>11.5</v>
      </c>
      <c r="D2224" s="1" t="n">
        <v>3</v>
      </c>
      <c r="E2224" s="1" t="n">
        <v>3.96</v>
      </c>
      <c r="F2224" s="1" t="n">
        <v>0.9</v>
      </c>
      <c r="G2224" s="1" t="n">
        <v>0.1</v>
      </c>
      <c r="H2224" s="1" t="n">
        <v>0</v>
      </c>
      <c r="I2224" s="1" t="n">
        <v>0.16</v>
      </c>
      <c r="J2224" t="n">
        <v>75142550</v>
      </c>
    </row>
    <row r="2225" ht="15.75" customHeight="1" s="201">
      <c r="A2225" s="1" t="inlineStr">
        <is>
          <t>Cereals, CREAM OF RICE, dry</t>
        </is>
      </c>
      <c r="C2225" s="1" t="n">
        <v>82.40000000000001</v>
      </c>
      <c r="D2225" s="1" t="n">
        <v>29</v>
      </c>
      <c r="E2225" s="1" t="n">
        <v>28.44</v>
      </c>
      <c r="F2225" s="1" t="n">
        <v>6.3</v>
      </c>
      <c r="G2225" s="1" t="n">
        <v>0.5</v>
      </c>
      <c r="H2225" s="1" t="n">
        <v>0</v>
      </c>
      <c r="I2225" s="1" t="n">
        <v>1.12</v>
      </c>
      <c r="J2225" t="n">
        <v>54319000</v>
      </c>
    </row>
    <row r="2226" ht="15.75" customHeight="1" s="201">
      <c r="A2226" s="1" t="inlineStr">
        <is>
          <t>Cereals, CREAM OF WHEAT, 1 minute cook time, cooked with water, microwaved, without salt</t>
        </is>
      </c>
      <c r="C2226" s="1" t="n">
        <v>10.67</v>
      </c>
      <c r="D2226" s="1" t="n">
        <v>30</v>
      </c>
      <c r="E2226" s="1" t="n">
        <v>4.88</v>
      </c>
      <c r="F2226" s="1" t="n">
        <v>1.95</v>
      </c>
      <c r="G2226" s="1" t="n">
        <v>0.37</v>
      </c>
      <c r="I2226" s="1" t="n">
        <v>0.25</v>
      </c>
      <c r="J2226" t="n">
        <v>11740312</v>
      </c>
    </row>
    <row r="2227" ht="15.75" customHeight="1" s="201">
      <c r="A2227" s="1" t="inlineStr">
        <is>
          <t>Cereals, CREAM OF WHEAT, 1 minute cook time, cooked with water, stove-top, without salt</t>
        </is>
      </c>
      <c r="C2227" s="1" t="n">
        <v>11.16</v>
      </c>
      <c r="D2227" s="1" t="n">
        <v>26</v>
      </c>
      <c r="E2227" s="1" t="n">
        <v>4.7</v>
      </c>
      <c r="F2227" s="1" t="n">
        <v>1.65</v>
      </c>
      <c r="G2227" s="1" t="n">
        <v>0.42</v>
      </c>
      <c r="I2227" s="1" t="n">
        <v>0.26</v>
      </c>
      <c r="J2227" t="n">
        <v>11740312</v>
      </c>
    </row>
    <row r="2228" ht="15.75" customHeight="1" s="201">
      <c r="A2228" s="1" t="inlineStr">
        <is>
          <t>Cereals, CREAM OF WHEAT, 1 minute cook time, dry</t>
        </is>
      </c>
      <c r="C2228" s="1" t="n">
        <v>72.63</v>
      </c>
      <c r="E2228" s="1" t="n">
        <v>29.75</v>
      </c>
      <c r="F2228" s="1" t="n">
        <v>11.77</v>
      </c>
      <c r="G2228" s="1" t="n">
        <v>1.47</v>
      </c>
      <c r="I2228" s="1" t="n">
        <v>1.35</v>
      </c>
      <c r="J2228" t="n">
        <v>54338000</v>
      </c>
    </row>
    <row r="2229" ht="15.75" customHeight="1" s="201">
      <c r="A2229" s="1" t="inlineStr">
        <is>
          <t>Cereals, CREAM OF WHEAT, 2 1/2 minute cook time, cooked with water, microwaved, without salt</t>
        </is>
      </c>
      <c r="C2229" s="1" t="n">
        <v>10.1</v>
      </c>
      <c r="D2229" s="1" t="n">
        <v>32</v>
      </c>
      <c r="E2229" s="1" t="n">
        <v>4.98</v>
      </c>
      <c r="F2229" s="1" t="n">
        <v>1.88</v>
      </c>
      <c r="G2229" s="1" t="n">
        <v>0.37</v>
      </c>
      <c r="I2229" s="1" t="n">
        <v>0.26</v>
      </c>
      <c r="J2229" t="n">
        <v>11740312</v>
      </c>
    </row>
    <row r="2230" ht="15.75" customHeight="1" s="201">
      <c r="A2230" s="1" t="inlineStr">
        <is>
          <t>Cereals, CREAM OF WHEAT, 2 1/2 minute cook time, cooked with water, stove-top, without salt</t>
        </is>
      </c>
      <c r="C2230" s="1" t="n">
        <v>11.74</v>
      </c>
      <c r="D2230" s="1" t="n">
        <v>29</v>
      </c>
      <c r="E2230" s="1" t="n">
        <v>4.09</v>
      </c>
      <c r="F2230" s="1" t="n">
        <v>1.44</v>
      </c>
      <c r="G2230" s="1" t="n">
        <v>0.2</v>
      </c>
      <c r="I2230" s="1" t="n">
        <v>0.22</v>
      </c>
      <c r="J2230" t="n">
        <v>11740312</v>
      </c>
    </row>
    <row r="2231" ht="15.75" customHeight="1" s="201">
      <c r="A2231" s="1" t="inlineStr">
        <is>
          <t>Cereals, CREAM OF WHEAT, 2 1/2 minute cook time, dry</t>
        </is>
      </c>
      <c r="C2231" s="1" t="n">
        <v>71.79000000000001</v>
      </c>
      <c r="E2231" s="1" t="n">
        <v>32.02</v>
      </c>
      <c r="F2231" s="1" t="n">
        <v>11.61</v>
      </c>
      <c r="G2231" s="1" t="n">
        <v>1.41</v>
      </c>
      <c r="I2231" s="1" t="n">
        <v>1.35</v>
      </c>
      <c r="J2231" t="n">
        <v>54338000</v>
      </c>
    </row>
    <row r="2232" ht="15.75" customHeight="1" s="201">
      <c r="A2232" s="1" t="inlineStr">
        <is>
          <t>Cereals, CREAM OF WHEAT, instant, dry</t>
        </is>
      </c>
      <c r="C2232" s="1" t="n">
        <v>75.5</v>
      </c>
      <c r="D2232" s="1" t="n">
        <v>357</v>
      </c>
      <c r="E2232" s="1" t="n">
        <v>28.6</v>
      </c>
      <c r="F2232" s="1" t="n">
        <v>10.6</v>
      </c>
      <c r="G2232" s="1" t="n">
        <v>1.4</v>
      </c>
      <c r="H2232" s="1" t="n">
        <v>4464</v>
      </c>
      <c r="I2232" s="1" t="n">
        <v>0.98</v>
      </c>
      <c r="J2232" t="n">
        <v>54338000</v>
      </c>
    </row>
    <row r="2233" ht="15.75" customHeight="1" s="201">
      <c r="A2233" s="1" t="inlineStr">
        <is>
          <t>Cereals, CREAM OF WHEAT, instant, prepared with water, without salt</t>
        </is>
      </c>
      <c r="C2233" s="1" t="n">
        <v>13.08</v>
      </c>
      <c r="D2233" s="1" t="n">
        <v>62</v>
      </c>
      <c r="E2233" s="1" t="n">
        <v>4.96</v>
      </c>
      <c r="F2233" s="1" t="n">
        <v>1.84</v>
      </c>
      <c r="G2233" s="1" t="n">
        <v>0.24</v>
      </c>
      <c r="H2233" s="1" t="n">
        <v>773</v>
      </c>
      <c r="I2233" s="1" t="n">
        <v>0.17</v>
      </c>
      <c r="J2233" t="n">
        <v>11740312</v>
      </c>
    </row>
    <row r="2234" ht="15.75" customHeight="1" s="201">
      <c r="A2234" s="1" t="inlineStr">
        <is>
          <t>Cereals, CREAM OF WHEAT, regular (10 minute), cooked with water, with salt</t>
        </is>
      </c>
      <c r="C2234" s="1" t="n">
        <v>10.66</v>
      </c>
      <c r="D2234" s="1" t="n">
        <v>17</v>
      </c>
      <c r="E2234" s="1" t="n">
        <v>3.99</v>
      </c>
      <c r="F2234" s="1" t="n">
        <v>1.46</v>
      </c>
      <c r="G2234" s="1" t="n">
        <v>0.21</v>
      </c>
      <c r="H2234" s="1" t="n">
        <v>0</v>
      </c>
      <c r="I2234" s="1" t="n">
        <v>0.13</v>
      </c>
      <c r="J2234" t="n">
        <v>75142550</v>
      </c>
    </row>
    <row r="2235" ht="15.75" customHeight="1" s="201">
      <c r="A2235" s="1" t="inlineStr">
        <is>
          <t>Cereals, CREAM OF WHEAT, regular (10 minute), cooked with water, without salt</t>
        </is>
      </c>
      <c r="C2235" s="1" t="n">
        <v>10.52</v>
      </c>
      <c r="D2235" s="1" t="n">
        <v>12</v>
      </c>
      <c r="E2235" s="1" t="n">
        <v>3.74</v>
      </c>
      <c r="F2235" s="1" t="n">
        <v>1.44</v>
      </c>
      <c r="G2235" s="1" t="n">
        <v>0.21</v>
      </c>
      <c r="H2235" s="1" t="n">
        <v>0</v>
      </c>
      <c r="I2235" s="1" t="n">
        <v>0.13</v>
      </c>
      <c r="J2235" t="n">
        <v>11740312</v>
      </c>
    </row>
    <row r="2236" ht="15.75" customHeight="1" s="201">
      <c r="A2236" s="1" t="inlineStr">
        <is>
          <t>Cereals, CREAM OF WHEAT, regular, 10 minute cooking, dry</t>
        </is>
      </c>
      <c r="C2236" s="1" t="n">
        <v>76.5</v>
      </c>
      <c r="D2236" s="1" t="n">
        <v>121</v>
      </c>
      <c r="E2236" s="1" t="n">
        <v>28.6</v>
      </c>
      <c r="F2236" s="1" t="n">
        <v>10.5</v>
      </c>
      <c r="G2236" s="1" t="n">
        <v>1.5</v>
      </c>
      <c r="H2236" s="1" t="n">
        <v>0</v>
      </c>
      <c r="I2236" s="1" t="n">
        <v>0.88</v>
      </c>
      <c r="J2236" t="n">
        <v>54338000</v>
      </c>
    </row>
    <row r="2237" ht="15.75" customHeight="1" s="201">
      <c r="A2237" s="1" t="inlineStr">
        <is>
          <t>Cereals, farina, enriched, assorted brands including CREAM OF WHEAT, quick (1-3 minutes), cooked with water, without salt</t>
        </is>
      </c>
      <c r="C2237" s="1" t="n">
        <v>10.92</v>
      </c>
      <c r="D2237" s="1" t="n">
        <v>77</v>
      </c>
      <c r="E2237" s="1" t="n">
        <v>5.33</v>
      </c>
      <c r="F2237" s="1" t="n">
        <v>1.82</v>
      </c>
      <c r="G2237" s="1" t="n">
        <v>0.34</v>
      </c>
      <c r="H2237" s="1" t="n">
        <v>0</v>
      </c>
      <c r="I2237" s="1" t="n">
        <v>0.23</v>
      </c>
      <c r="J2237" t="n">
        <v>11740312</v>
      </c>
    </row>
    <row r="2238" ht="15.75" customHeight="1" s="201">
      <c r="A2238" s="1" t="inlineStr">
        <is>
          <t>Cereals, farina, enriched, assorted brands including CREAM OF WHEAT, quick (1-3 minutes), dry</t>
        </is>
      </c>
      <c r="C2238" s="1" t="n">
        <v>73.19</v>
      </c>
      <c r="D2238" s="1" t="n">
        <v>121</v>
      </c>
      <c r="E2238" s="1" t="n">
        <v>33.39</v>
      </c>
      <c r="F2238" s="1" t="n">
        <v>11.6</v>
      </c>
      <c r="G2238" s="1" t="n">
        <v>1.41</v>
      </c>
      <c r="H2238" s="1" t="n">
        <v>0</v>
      </c>
      <c r="I2238" s="1" t="n">
        <v>1.32</v>
      </c>
      <c r="J2238" t="n">
        <v>54338000</v>
      </c>
    </row>
    <row r="2239" ht="15.75" customHeight="1" s="201">
      <c r="A2239" s="1" t="inlineStr">
        <is>
          <t>Cereals, farina, enriched, cooked with water, with salt</t>
        </is>
      </c>
      <c r="C2239" s="1" t="n">
        <v>10.92</v>
      </c>
      <c r="D2239" s="1" t="n">
        <v>77</v>
      </c>
      <c r="E2239" s="1" t="n">
        <v>5.33</v>
      </c>
      <c r="F2239" s="1" t="n">
        <v>1.82</v>
      </c>
      <c r="G2239" s="1" t="n">
        <v>0.34</v>
      </c>
      <c r="H2239" s="1" t="n">
        <v>0</v>
      </c>
      <c r="I2239" s="1" t="n">
        <v>0.23</v>
      </c>
      <c r="J2239" t="n">
        <v>75142550</v>
      </c>
    </row>
    <row r="2240" ht="15.75" customHeight="1" s="201">
      <c r="A2240" s="1" t="inlineStr">
        <is>
          <t>Cereals, farina, unenriched, dry</t>
        </is>
      </c>
      <c r="C2240" s="1" t="n">
        <v>78</v>
      </c>
      <c r="D2240" s="1" t="n">
        <v>24</v>
      </c>
      <c r="E2240" s="1" t="n">
        <v>1.5</v>
      </c>
      <c r="F2240" s="1" t="n">
        <v>10.6</v>
      </c>
      <c r="G2240" s="1" t="n">
        <v>0.5</v>
      </c>
      <c r="H2240" s="1" t="n">
        <v>0</v>
      </c>
      <c r="I2240" s="1" t="n">
        <v>0.53</v>
      </c>
    </row>
    <row r="2241" ht="15.75" customHeight="1" s="201">
      <c r="A2241" s="1" t="inlineStr">
        <is>
          <t>Cereals, MALT-O-MEAL, chocolate, dry</t>
        </is>
      </c>
      <c r="C2241" s="1" t="n">
        <v>79.55</v>
      </c>
      <c r="D2241" s="1" t="n">
        <v>1143</v>
      </c>
      <c r="E2241" s="1" t="n">
        <v>42.88</v>
      </c>
      <c r="F2241" s="1" t="n">
        <v>10.6</v>
      </c>
      <c r="G2241" s="1" t="n">
        <v>0.82</v>
      </c>
      <c r="H2241" s="1" t="n">
        <v>2</v>
      </c>
      <c r="I2241" s="1" t="n">
        <v>0.87</v>
      </c>
      <c r="J2241" t="n">
        <v>53108200</v>
      </c>
    </row>
    <row r="2242" ht="15.75" customHeight="1" s="201">
      <c r="A2242" s="1" t="inlineStr">
        <is>
          <t>Cereals, MALT-O-MEAL, chocolate, prepared with water, without salt</t>
        </is>
      </c>
      <c r="C2242" s="1" t="n">
        <v>9.220000000000001</v>
      </c>
      <c r="E2242" s="1" t="n">
        <v>5.59</v>
      </c>
      <c r="F2242" s="1" t="n">
        <v>1.37</v>
      </c>
      <c r="G2242" s="1" t="n">
        <v>0.1</v>
      </c>
      <c r="H2242" s="1" t="n">
        <v>0</v>
      </c>
      <c r="I2242" s="1" t="n">
        <v>0.2</v>
      </c>
      <c r="J2242" t="n">
        <v>53108200</v>
      </c>
    </row>
    <row r="2243" ht="15.75" customHeight="1" s="201">
      <c r="A2243" s="1" t="inlineStr">
        <is>
          <t>Cereals, MALT-O-MEAL, Farina Hot Wheat Cereal, dry</t>
        </is>
      </c>
      <c r="C2243" s="1" t="n">
        <v>77.2</v>
      </c>
      <c r="E2243" s="1" t="n">
        <v>40.93</v>
      </c>
      <c r="F2243" s="1" t="n">
        <v>10.48</v>
      </c>
      <c r="G2243" s="1" t="n">
        <v>0.49</v>
      </c>
      <c r="H2243" s="1" t="n">
        <v>0</v>
      </c>
      <c r="I2243" s="1" t="n">
        <v>0.51</v>
      </c>
      <c r="J2243" t="n">
        <v>54338000</v>
      </c>
    </row>
    <row r="2244" ht="15.75" customHeight="1" s="201">
      <c r="A2244" s="1" t="inlineStr">
        <is>
          <t>Cereals, MALT-O-MEAL, Maple &amp; Brown Sugar Hot Wheat Cereal, dry</t>
        </is>
      </c>
      <c r="C2244" s="1" t="n">
        <v>80.52</v>
      </c>
      <c r="D2244" s="1" t="n">
        <v>889</v>
      </c>
      <c r="E2244" s="1" t="n">
        <v>31.29</v>
      </c>
      <c r="F2244" s="1" t="n">
        <v>8.82</v>
      </c>
      <c r="G2244" s="1" t="n">
        <v>0.47</v>
      </c>
      <c r="H2244" s="1" t="n">
        <v>1</v>
      </c>
      <c r="I2244" s="1" t="n">
        <v>0.5</v>
      </c>
      <c r="J2244" t="n">
        <v>54338000</v>
      </c>
    </row>
    <row r="2245" ht="15.75" customHeight="1" s="201">
      <c r="A2245" s="1" t="inlineStr">
        <is>
          <t>Cereals, MALT-O-MEAL, original, plain, dry</t>
        </is>
      </c>
      <c r="C2245" s="1" t="n">
        <v>77.25</v>
      </c>
      <c r="D2245" s="1" t="n">
        <v>1140</v>
      </c>
      <c r="E2245" s="1" t="n">
        <v>30.86</v>
      </c>
      <c r="F2245" s="1" t="n">
        <v>11.8</v>
      </c>
      <c r="G2245" s="1" t="n">
        <v>0.7</v>
      </c>
      <c r="H2245" s="1" t="n">
        <v>0</v>
      </c>
      <c r="I2245" s="1" t="n">
        <v>0.57</v>
      </c>
      <c r="J2245" t="n">
        <v>57305174</v>
      </c>
    </row>
    <row r="2246" ht="15.75" customHeight="1" s="201">
      <c r="A2246" s="1" t="inlineStr">
        <is>
          <t>Cereals, MALT-O-MEAL, original, plain, prepared with water, without salt</t>
        </is>
      </c>
      <c r="C2246" s="1" t="n">
        <v>10.09</v>
      </c>
      <c r="E2246" s="1" t="n">
        <v>5.19</v>
      </c>
      <c r="F2246" s="1" t="n">
        <v>1.67</v>
      </c>
      <c r="G2246" s="1" t="n">
        <v>0.09</v>
      </c>
      <c r="H2246" s="1" t="n">
        <v>0</v>
      </c>
      <c r="I2246" s="1" t="n">
        <v>0.07000000000000001</v>
      </c>
      <c r="J2246" t="n">
        <v>11740312</v>
      </c>
    </row>
    <row r="2247" ht="15.75" customHeight="1" s="201">
      <c r="A2247" s="1" t="inlineStr">
        <is>
          <t>Cereals, Oat Bran, QUAKER, QUAKER/MOTHER'S Oat Bran, prepared with water, salt</t>
        </is>
      </c>
      <c r="C2247" s="1" t="n">
        <v>7.49</v>
      </c>
      <c r="D2247" s="1" t="n">
        <v>5</v>
      </c>
      <c r="E2247" s="1" t="n">
        <v>0.97</v>
      </c>
      <c r="F2247" s="1" t="n">
        <v>2.03</v>
      </c>
      <c r="G2247" s="1" t="n">
        <v>0.95</v>
      </c>
      <c r="H2247" s="1" t="n">
        <v>12</v>
      </c>
      <c r="I2247" s="1" t="n">
        <v>0.53</v>
      </c>
      <c r="J2247" t="n">
        <v>54318500</v>
      </c>
    </row>
    <row r="2248" ht="15.75" customHeight="1" s="201">
      <c r="A2248" s="1" t="inlineStr">
        <is>
          <t>Cereals, oats, instant, fortified, maple and brown sugar, dry</t>
        </is>
      </c>
      <c r="C2248" s="1" t="n">
        <v>76.67</v>
      </c>
      <c r="D2248" s="1" t="n">
        <v>148</v>
      </c>
      <c r="E2248" s="1" t="n">
        <v>10.36</v>
      </c>
      <c r="F2248" s="1" t="n">
        <v>9.25</v>
      </c>
      <c r="G2248" s="1" t="n">
        <v>4.73</v>
      </c>
      <c r="H2248" s="1" t="n">
        <v>2310</v>
      </c>
      <c r="I2248" s="1" t="n">
        <v>1.72</v>
      </c>
      <c r="J2248" t="n">
        <v>57237100</v>
      </c>
    </row>
    <row r="2249" ht="15.75" customHeight="1" s="201">
      <c r="A2249" s="1" t="inlineStr">
        <is>
          <t>Cereals, oats, instant, fortified, plain, dry</t>
        </is>
      </c>
      <c r="C2249" s="1" t="n">
        <v>69.52</v>
      </c>
      <c r="D2249" s="1" t="n">
        <v>32</v>
      </c>
      <c r="E2249" s="1" t="n">
        <v>24.72</v>
      </c>
      <c r="F2249" s="1" t="n">
        <v>11.92</v>
      </c>
      <c r="G2249" s="1" t="n">
        <v>6.9</v>
      </c>
      <c r="H2249" s="1" t="n">
        <v>2574</v>
      </c>
      <c r="I2249" s="1" t="n">
        <v>2.51</v>
      </c>
      <c r="J2249" t="n">
        <v>57237100</v>
      </c>
    </row>
    <row r="2250" ht="15.75" customHeight="1" s="201">
      <c r="A2250" s="1" t="inlineStr">
        <is>
          <t>Cereals, oats, instant, fortified, plain, prepared with water (boiling water added or microwaved)</t>
        </is>
      </c>
      <c r="C2250" s="1" t="n">
        <v>11.67</v>
      </c>
      <c r="D2250" s="1" t="n">
        <v>44</v>
      </c>
      <c r="E2250" s="1" t="n">
        <v>5.96</v>
      </c>
      <c r="F2250" s="1" t="n">
        <v>2.37</v>
      </c>
      <c r="G2250" s="1" t="n">
        <v>1.36</v>
      </c>
      <c r="H2250" s="1" t="n">
        <v>433</v>
      </c>
      <c r="I2250" s="1" t="n">
        <v>0.62</v>
      </c>
      <c r="J2250" t="n">
        <v>11740312</v>
      </c>
    </row>
    <row r="2251" ht="15.75" customHeight="1" s="201">
      <c r="A2251" s="1" t="inlineStr">
        <is>
          <t>Cereals, oats, instant, fortified, with cinnamon and spice, dry</t>
        </is>
      </c>
      <c r="C2251" s="1" t="n">
        <v>76.08</v>
      </c>
      <c r="D2251" s="1" t="n">
        <v>191</v>
      </c>
      <c r="E2251" s="1" t="n">
        <v>8.460000000000001</v>
      </c>
      <c r="F2251" s="1" t="n">
        <v>9.529999999999999</v>
      </c>
      <c r="G2251" s="1" t="n">
        <v>4.84</v>
      </c>
      <c r="H2251" s="1" t="n">
        <v>1467</v>
      </c>
      <c r="I2251" s="1" t="n">
        <v>2.29</v>
      </c>
      <c r="J2251" t="n">
        <v>57237100</v>
      </c>
    </row>
    <row r="2252" ht="15.75" customHeight="1" s="201">
      <c r="A2252" s="1" t="inlineStr">
        <is>
          <t>Cereals, oats, instant, fortified, with cinnamon and spice, prepared with water</t>
        </is>
      </c>
      <c r="C2252" s="1" t="n">
        <v>18.95</v>
      </c>
      <c r="D2252" s="1" t="n">
        <v>48</v>
      </c>
      <c r="E2252" s="1" t="n">
        <v>2.11</v>
      </c>
      <c r="F2252" s="1" t="n">
        <v>2.37</v>
      </c>
      <c r="G2252" s="1" t="n">
        <v>1.21</v>
      </c>
      <c r="H2252" s="1" t="n">
        <v>366</v>
      </c>
      <c r="I2252" s="1" t="n">
        <v>0.57</v>
      </c>
      <c r="J2252" t="n">
        <v>75142550</v>
      </c>
    </row>
    <row r="2253" ht="15.75" customHeight="1" s="201">
      <c r="A2253" s="1" t="inlineStr">
        <is>
          <t>Cereals, oats, instant, fortified, with raisins and spice, prepared with water</t>
        </is>
      </c>
      <c r="C2253" s="1" t="n">
        <v>17.91</v>
      </c>
      <c r="D2253" s="1" t="n">
        <v>50</v>
      </c>
      <c r="E2253" s="1" t="n">
        <v>2.21</v>
      </c>
      <c r="F2253" s="1" t="n">
        <v>1.98</v>
      </c>
      <c r="G2253" s="1" t="n">
        <v>0.95</v>
      </c>
      <c r="H2253" s="1" t="n">
        <v>460</v>
      </c>
      <c r="I2253" s="1" t="n">
        <v>0.42</v>
      </c>
      <c r="J2253" t="n">
        <v>75142550</v>
      </c>
    </row>
    <row r="2254" ht="15.75" customHeight="1" s="201">
      <c r="A2254" s="1" t="inlineStr">
        <is>
          <t>Cereals, oats, regular and quick and instant, unenriched, cooked with water (includes boiling and microwaving), with salt</t>
        </is>
      </c>
      <c r="C2254" s="1" t="n">
        <v>12</v>
      </c>
      <c r="D2254" s="1" t="n">
        <v>6</v>
      </c>
      <c r="E2254" s="1" t="n">
        <v>0.9</v>
      </c>
      <c r="F2254" s="1" t="n">
        <v>2.54</v>
      </c>
      <c r="G2254" s="1" t="n">
        <v>1.52</v>
      </c>
      <c r="H2254" s="1" t="n">
        <v>0</v>
      </c>
      <c r="I2254" s="1" t="n">
        <v>1</v>
      </c>
      <c r="J2254" t="n">
        <v>75142550</v>
      </c>
    </row>
    <row r="2255" ht="15.75" customHeight="1" s="201">
      <c r="A2255" s="1" t="inlineStr">
        <is>
          <t>Cereals, oats, regular and quick, not fortified, dry</t>
        </is>
      </c>
      <c r="C2255" s="1" t="n">
        <v>67.7</v>
      </c>
      <c r="D2255" s="1" t="n">
        <v>32</v>
      </c>
      <c r="E2255" s="1" t="n">
        <v>4.25</v>
      </c>
      <c r="F2255" s="1" t="n">
        <v>13.15</v>
      </c>
      <c r="G2255" s="1" t="n">
        <v>6.52</v>
      </c>
      <c r="H2255" s="1" t="n">
        <v>0</v>
      </c>
      <c r="I2255" s="1" t="n">
        <v>3.64</v>
      </c>
      <c r="J2255" t="n">
        <v>57237100</v>
      </c>
    </row>
    <row r="2256" ht="15.75" customHeight="1" s="201">
      <c r="A2256" s="1" t="inlineStr">
        <is>
          <t>Cereals, oats, regular and quick, unenriched, cooked with water (includes boiling and microwaving), without salt</t>
        </is>
      </c>
      <c r="C2256" s="1" t="n">
        <v>12</v>
      </c>
      <c r="D2256" s="1" t="n">
        <v>6</v>
      </c>
      <c r="E2256" s="1" t="n">
        <v>0.9</v>
      </c>
      <c r="F2256" s="1" t="n">
        <v>2.54</v>
      </c>
      <c r="G2256" s="1" t="n">
        <v>1.52</v>
      </c>
      <c r="H2256" s="1" t="n">
        <v>0</v>
      </c>
      <c r="I2256" s="1" t="n">
        <v>1</v>
      </c>
      <c r="J2256" t="n">
        <v>11740312</v>
      </c>
    </row>
    <row r="2257" ht="15.75" customHeight="1" s="201">
      <c r="A2257" s="1" t="inlineStr">
        <is>
          <t>Cereals, QUAKER, corn grits, instant, cheddar cheese flavor, dry</t>
        </is>
      </c>
      <c r="C2257" s="1" t="n">
        <v>72.95999999999999</v>
      </c>
      <c r="D2257" s="1" t="n">
        <v>168</v>
      </c>
      <c r="E2257" s="1" t="n">
        <v>30.38</v>
      </c>
      <c r="F2257" s="1" t="n">
        <v>8.98</v>
      </c>
      <c r="G2257" s="1" t="n">
        <v>5.46</v>
      </c>
      <c r="H2257" s="1" t="n">
        <v>16</v>
      </c>
      <c r="I2257" s="1" t="n">
        <v>0.42</v>
      </c>
      <c r="J2257" t="n">
        <v>14420100</v>
      </c>
    </row>
    <row r="2258" ht="15.75" customHeight="1" s="201">
      <c r="A2258" s="1" t="inlineStr">
        <is>
          <t>Cereals, QUAKER, corn grits, instant, plain, dry</t>
        </is>
      </c>
      <c r="C2258" s="1" t="n">
        <v>78.42</v>
      </c>
      <c r="D2258" s="1" t="n">
        <v>176</v>
      </c>
      <c r="E2258" s="1" t="n">
        <v>38.75</v>
      </c>
      <c r="F2258" s="1" t="n">
        <v>7.31</v>
      </c>
      <c r="G2258" s="1" t="n">
        <v>2.14</v>
      </c>
      <c r="H2258" s="1" t="n">
        <v>3</v>
      </c>
      <c r="I2258" s="1" t="n">
        <v>0.41</v>
      </c>
      <c r="J2258" t="n">
        <v>54319020</v>
      </c>
    </row>
    <row r="2259" ht="15.75" customHeight="1" s="201">
      <c r="A2259" s="1" t="inlineStr">
        <is>
          <t>Cereals, QUAKER, corn grits, instant, plain, prepared (microwaved or boiling water added), without salt</t>
        </is>
      </c>
      <c r="C2259" s="1" t="n">
        <v>15.95</v>
      </c>
      <c r="D2259" s="1" t="n">
        <v>27</v>
      </c>
      <c r="E2259" s="1" t="n">
        <v>6.71</v>
      </c>
      <c r="F2259" s="1" t="n">
        <v>1.58</v>
      </c>
      <c r="G2259" s="1" t="n">
        <v>0.49</v>
      </c>
      <c r="I2259" s="1" t="n">
        <v>0.09</v>
      </c>
    </row>
    <row r="2260" ht="15.75" customHeight="1" s="201">
      <c r="A2260" s="1" t="inlineStr">
        <is>
          <t>Cereals, QUAKER, hominy grits, white, quick, dry</t>
        </is>
      </c>
      <c r="C2260" s="1" t="n">
        <v>79.59999999999999</v>
      </c>
      <c r="D2260" s="1" t="n">
        <v>205</v>
      </c>
      <c r="E2260" s="1" t="n">
        <v>4.42</v>
      </c>
      <c r="F2260" s="1" t="n">
        <v>8.800000000000001</v>
      </c>
      <c r="G2260" s="1" t="n">
        <v>1.2</v>
      </c>
      <c r="H2260" s="1" t="n">
        <v>0</v>
      </c>
      <c r="I2260" s="1" t="n">
        <v>0.41</v>
      </c>
      <c r="J2260" t="n">
        <v>54318500</v>
      </c>
    </row>
    <row r="2261" ht="15.75" customHeight="1" s="201">
      <c r="A2261" s="1" t="inlineStr">
        <is>
          <t>Cereals, QUAKER, hominy grits, white, regular, dry</t>
        </is>
      </c>
      <c r="C2261" s="1" t="n">
        <v>79.2</v>
      </c>
      <c r="D2261" s="1" t="n">
        <v>205</v>
      </c>
      <c r="E2261" s="1" t="n">
        <v>4.42</v>
      </c>
      <c r="F2261" s="1" t="n">
        <v>8.800000000000001</v>
      </c>
      <c r="G2261" s="1" t="n">
        <v>1.6</v>
      </c>
      <c r="H2261" s="1" t="n">
        <v>3</v>
      </c>
      <c r="I2261" s="1" t="n">
        <v>0.41</v>
      </c>
      <c r="J2261" t="n">
        <v>54318500</v>
      </c>
    </row>
    <row r="2262" ht="15.75" customHeight="1" s="201">
      <c r="A2262" s="1" t="inlineStr">
        <is>
          <t>Cereals, QUAKER, Instant Grits Product with American Cheese Flavor, dry</t>
        </is>
      </c>
      <c r="C2262" s="1" t="n">
        <v>74.18000000000001</v>
      </c>
      <c r="D2262" s="1" t="n">
        <v>173</v>
      </c>
      <c r="E2262" s="1" t="n">
        <v>30.38</v>
      </c>
      <c r="F2262" s="1" t="n">
        <v>8.800000000000001</v>
      </c>
      <c r="G2262" s="1" t="n">
        <v>4.67</v>
      </c>
      <c r="H2262" s="1" t="n">
        <v>11</v>
      </c>
      <c r="I2262" s="1" t="n">
        <v>0.42</v>
      </c>
      <c r="J2262" t="n">
        <v>51121065</v>
      </c>
    </row>
    <row r="2263" ht="15.75" customHeight="1" s="201">
      <c r="A2263" s="1" t="inlineStr">
        <is>
          <t>Cereals, QUAKER, Instant Grits, Butter flavor, dry</t>
        </is>
      </c>
      <c r="C2263" s="1" t="n">
        <v>74.83</v>
      </c>
      <c r="D2263" s="1" t="n">
        <v>171</v>
      </c>
      <c r="E2263" s="1" t="n">
        <v>30</v>
      </c>
      <c r="F2263" s="1" t="n">
        <v>8.119999999999999</v>
      </c>
      <c r="G2263" s="1" t="n">
        <v>5.64</v>
      </c>
      <c r="H2263" s="1" t="n">
        <v>672</v>
      </c>
      <c r="I2263" s="1" t="n">
        <v>0.66</v>
      </c>
      <c r="J2263" t="n">
        <v>54328100</v>
      </c>
    </row>
    <row r="2264" ht="15.75" customHeight="1" s="201">
      <c r="A2264" s="1" t="inlineStr">
        <is>
          <t>Cereals, QUAKER, Instant Grits, Country Bacon flavor, dry</t>
        </is>
      </c>
      <c r="C2264" s="1" t="n">
        <v>75.39</v>
      </c>
      <c r="D2264" s="1" t="n">
        <v>178</v>
      </c>
      <c r="E2264" s="1" t="n">
        <v>30.38</v>
      </c>
      <c r="F2264" s="1" t="n">
        <v>9.93</v>
      </c>
      <c r="G2264" s="1" t="n">
        <v>1.73</v>
      </c>
      <c r="H2264" s="1" t="n">
        <v>0</v>
      </c>
      <c r="I2264" s="1" t="n">
        <v>0.55</v>
      </c>
      <c r="J2264" t="n">
        <v>32202070</v>
      </c>
    </row>
    <row r="2265" ht="15.75" customHeight="1" s="201">
      <c r="A2265" s="1" t="inlineStr">
        <is>
          <t>Cereals, QUAKER, Instant Grits, Ham 'n' Cheese flavor, dry</t>
        </is>
      </c>
      <c r="C2265" s="1" t="n">
        <v>71.08</v>
      </c>
      <c r="D2265" s="1" t="n">
        <v>178</v>
      </c>
      <c r="E2265" s="1" t="n">
        <v>38.2</v>
      </c>
      <c r="F2265" s="1" t="n">
        <v>10.73</v>
      </c>
      <c r="G2265" s="1" t="n">
        <v>4.68</v>
      </c>
      <c r="H2265" s="1" t="n">
        <v>13</v>
      </c>
      <c r="I2265" s="1" t="n">
        <v>0.58</v>
      </c>
      <c r="J2265" t="n">
        <v>14420100</v>
      </c>
    </row>
    <row r="2266" ht="15.75" customHeight="1" s="201">
      <c r="A2266" s="1" t="inlineStr">
        <is>
          <t>Cereals, QUAKER, Instant Grits, Redeye Gravy &amp; Country Ham flavor, dry</t>
        </is>
      </c>
      <c r="C2266" s="1" t="n">
        <v>75.86</v>
      </c>
      <c r="D2266" s="1" t="n">
        <v>187</v>
      </c>
      <c r="E2266" s="1" t="n">
        <v>42.03</v>
      </c>
      <c r="F2266" s="1" t="n">
        <v>9.83</v>
      </c>
      <c r="G2266" s="1" t="n">
        <v>1.58</v>
      </c>
      <c r="H2266" s="1" t="n">
        <v>1</v>
      </c>
      <c r="I2266" s="1" t="n">
        <v>0.48</v>
      </c>
    </row>
    <row r="2267" ht="15.75" customHeight="1" s="201">
      <c r="A2267" s="1" t="inlineStr">
        <is>
          <t>Cereals, QUAKER, Instant Oatmeal Organic, Regular</t>
        </is>
      </c>
      <c r="C2267" s="1" t="n">
        <v>67</v>
      </c>
      <c r="D2267" s="1" t="n">
        <v>32</v>
      </c>
      <c r="E2267" s="1" t="n">
        <v>4.2</v>
      </c>
      <c r="F2267" s="1" t="n">
        <v>16</v>
      </c>
      <c r="G2267" s="1" t="n">
        <v>6.3</v>
      </c>
      <c r="H2267" s="1" t="n">
        <v>0</v>
      </c>
      <c r="I2267" s="1" t="n">
        <v>3.07</v>
      </c>
      <c r="J2267" t="n">
        <v>53712000</v>
      </c>
    </row>
    <row r="2268" ht="15.75" customHeight="1" s="201">
      <c r="A2268" s="1" t="inlineStr">
        <is>
          <t>Cereals, QUAKER, Instant Oatmeal, Apple and Cinnamon, reduced sugar</t>
        </is>
      </c>
      <c r="C2268" s="1" t="n">
        <v>72.17</v>
      </c>
      <c r="D2268" s="1" t="n">
        <v>284</v>
      </c>
      <c r="E2268" s="1" t="n">
        <v>12.77</v>
      </c>
      <c r="F2268" s="1" t="n">
        <v>10.29</v>
      </c>
      <c r="G2268" s="1" t="n">
        <v>5.64</v>
      </c>
      <c r="H2268" s="1" t="n">
        <v>3549</v>
      </c>
      <c r="I2268" s="1" t="n">
        <v>2.39</v>
      </c>
      <c r="J2268" t="n">
        <v>42202100</v>
      </c>
    </row>
    <row r="2269" ht="15.75" customHeight="1" s="201">
      <c r="A2269" s="1" t="inlineStr">
        <is>
          <t>Cereals, QUAKER, Instant Oatmeal, apples and cinnamon, dry</t>
        </is>
      </c>
      <c r="C2269" s="1" t="n">
        <v>76.73999999999999</v>
      </c>
      <c r="D2269" s="1" t="n">
        <v>205</v>
      </c>
      <c r="E2269" s="1" t="n">
        <v>8.779999999999999</v>
      </c>
      <c r="F2269" s="1" t="n">
        <v>8.619999999999999</v>
      </c>
      <c r="G2269" s="1" t="n">
        <v>4.61</v>
      </c>
      <c r="H2269" s="1" t="n">
        <v>2454</v>
      </c>
      <c r="I2269" s="1" t="n">
        <v>1.97</v>
      </c>
      <c r="J2269" t="n">
        <v>53712000</v>
      </c>
    </row>
    <row r="2270" ht="15.75" customHeight="1" s="201">
      <c r="A2270" s="1" t="inlineStr">
        <is>
          <t>Cereals, QUAKER, Instant Oatmeal, Banana Bread, dry</t>
        </is>
      </c>
      <c r="C2270" s="1" t="n">
        <v>75.7</v>
      </c>
      <c r="D2270" s="1" t="n">
        <v>247</v>
      </c>
      <c r="E2270" s="1" t="n">
        <v>10.07</v>
      </c>
      <c r="F2270" s="1" t="n">
        <v>8.970000000000001</v>
      </c>
      <c r="G2270" s="1" t="n">
        <v>4.85</v>
      </c>
      <c r="H2270" s="1" t="n">
        <v>2683</v>
      </c>
      <c r="I2270" s="1" t="n">
        <v>2.07</v>
      </c>
      <c r="J2270" t="n">
        <v>52405010</v>
      </c>
    </row>
    <row r="2271" ht="15.75" customHeight="1" s="201">
      <c r="A2271" s="1" t="inlineStr">
        <is>
          <t>Cereals, QUAKER, Instant Oatmeal, Cinnamon Spice, reduced sugar</t>
        </is>
      </c>
      <c r="C2271" s="1" t="n">
        <v>69.45</v>
      </c>
      <c r="D2271" s="1" t="n">
        <v>273</v>
      </c>
      <c r="E2271" s="1" t="n">
        <v>12</v>
      </c>
      <c r="F2271" s="1" t="n">
        <v>11.26</v>
      </c>
      <c r="G2271" s="1" t="n">
        <v>6.11</v>
      </c>
      <c r="H2271" s="1" t="n">
        <v>3409</v>
      </c>
      <c r="I2271" s="1" t="n">
        <v>2.62</v>
      </c>
      <c r="J2271" t="n">
        <v>42202100</v>
      </c>
    </row>
    <row r="2272" ht="15.75" customHeight="1" s="201">
      <c r="A2272" s="1" t="inlineStr">
        <is>
          <t>Cereals, QUAKER, Instant Oatmeal, Cinnamon Swirl, high fiber</t>
        </is>
      </c>
      <c r="C2272" s="1" t="n">
        <v>75.67</v>
      </c>
      <c r="D2272" s="1" t="n">
        <v>249</v>
      </c>
      <c r="E2272" s="1" t="n">
        <v>9.41</v>
      </c>
      <c r="F2272" s="1" t="n">
        <v>8.789999999999999</v>
      </c>
      <c r="G2272" s="1" t="n">
        <v>4.8</v>
      </c>
      <c r="H2272" s="1" t="n">
        <v>3112</v>
      </c>
      <c r="I2272" s="1" t="n">
        <v>2.04</v>
      </c>
      <c r="J2272" t="n">
        <v>53712000</v>
      </c>
    </row>
    <row r="2273" ht="15.75" customHeight="1" s="201">
      <c r="A2273" s="1" t="inlineStr">
        <is>
          <t>Cereals, QUAKER, Instant Oatmeal, Cinnamon-Spice, dry</t>
        </is>
      </c>
      <c r="C2273" s="1" t="n">
        <v>74.52</v>
      </c>
      <c r="D2273" s="1" t="n">
        <v>191</v>
      </c>
      <c r="E2273" s="1" t="n">
        <v>8.31</v>
      </c>
      <c r="F2273" s="1" t="n">
        <v>10.39</v>
      </c>
      <c r="G2273" s="1" t="n">
        <v>5.1</v>
      </c>
      <c r="H2273" s="1" t="n">
        <v>1467</v>
      </c>
      <c r="I2273" s="1" t="n">
        <v>2.6</v>
      </c>
      <c r="J2273" t="n">
        <v>53712000</v>
      </c>
    </row>
    <row r="2274" ht="15.75" customHeight="1" s="201">
      <c r="A2274" s="1" t="inlineStr">
        <is>
          <t>Cereals, QUAKER, Instant Oatmeal, DINOSAUR EGGS, Brown Sugar, dry</t>
        </is>
      </c>
      <c r="C2274" s="1" t="n">
        <v>73.68000000000001</v>
      </c>
      <c r="D2274" s="1" t="n">
        <v>176</v>
      </c>
      <c r="E2274" s="1" t="n">
        <v>7.91</v>
      </c>
      <c r="F2274" s="1" t="n">
        <v>8.69</v>
      </c>
      <c r="G2274" s="1" t="n">
        <v>7.59</v>
      </c>
      <c r="H2274" s="1" t="n">
        <v>2196</v>
      </c>
      <c r="I2274" s="1" t="n">
        <v>2.01</v>
      </c>
      <c r="J2274" t="n">
        <v>56203125</v>
      </c>
    </row>
    <row r="2275" ht="15.75" customHeight="1" s="201">
      <c r="A2275" s="1" t="inlineStr">
        <is>
          <t>Cereals, QUAKER, Instant Oatmeal, fruit and cream variety, dry</t>
        </is>
      </c>
      <c r="C2275" s="1" t="n">
        <v>75.42</v>
      </c>
      <c r="D2275" s="1" t="n">
        <v>251</v>
      </c>
      <c r="E2275" s="1" t="n">
        <v>11.3</v>
      </c>
      <c r="F2275" s="1" t="n">
        <v>8.300000000000001</v>
      </c>
      <c r="G2275" s="1" t="n">
        <v>6.37</v>
      </c>
      <c r="H2275" s="1" t="n">
        <v>3142</v>
      </c>
      <c r="I2275" s="1" t="n">
        <v>1.85</v>
      </c>
      <c r="J2275" t="n">
        <v>91708030</v>
      </c>
    </row>
    <row r="2276" ht="15.75" customHeight="1" s="201">
      <c r="A2276" s="1" t="inlineStr">
        <is>
          <t>Cereals, QUAKER, Instant Oatmeal, fruit and cream, variety of flavors, reduced sugar</t>
        </is>
      </c>
      <c r="C2276" s="1" t="n">
        <v>71.56999999999999</v>
      </c>
      <c r="D2276" s="1" t="n">
        <v>170</v>
      </c>
      <c r="E2276" s="1" t="n">
        <v>12.13</v>
      </c>
      <c r="F2276" s="1" t="n">
        <v>10.16</v>
      </c>
      <c r="G2276" s="1" t="n">
        <v>7.46</v>
      </c>
      <c r="H2276" s="1" t="n">
        <v>1666</v>
      </c>
      <c r="I2276" s="1" t="n">
        <v>2.3</v>
      </c>
      <c r="J2276" t="n">
        <v>91708030</v>
      </c>
    </row>
    <row r="2277" ht="15.75" customHeight="1" s="201">
      <c r="A2277" s="1" t="inlineStr">
        <is>
          <t>Cereals, QUAKER, Instant Oatmeal, maple and brown sugar, dry</t>
        </is>
      </c>
      <c r="C2277" s="1" t="n">
        <v>76.91</v>
      </c>
      <c r="D2277" s="1" t="n">
        <v>128</v>
      </c>
      <c r="E2277" s="1" t="n">
        <v>8.220000000000001</v>
      </c>
      <c r="F2277" s="1" t="n">
        <v>9.199999999999999</v>
      </c>
      <c r="G2277" s="1" t="n">
        <v>4.63</v>
      </c>
      <c r="H2277" s="1" t="n">
        <v>1735</v>
      </c>
      <c r="I2277" s="1" t="n">
        <v>1.7</v>
      </c>
      <c r="J2277" t="n">
        <v>56203125</v>
      </c>
    </row>
    <row r="2278" ht="15.75" customHeight="1" s="201">
      <c r="A2278" s="1" t="inlineStr">
        <is>
          <t>Cereals, QUAKER, Instant Oatmeal, Raisin and Spice, dry</t>
        </is>
      </c>
      <c r="C2278" s="1" t="n">
        <v>75.68000000000001</v>
      </c>
      <c r="D2278" s="1" t="n">
        <v>213</v>
      </c>
      <c r="E2278" s="1" t="n">
        <v>9.1</v>
      </c>
      <c r="F2278" s="1" t="n">
        <v>9.109999999999999</v>
      </c>
      <c r="G2278" s="1" t="n">
        <v>4</v>
      </c>
      <c r="H2278" s="1" t="n">
        <v>1646</v>
      </c>
      <c r="I2278" s="1" t="n">
        <v>1.98</v>
      </c>
      <c r="J2278" t="n">
        <v>53712000</v>
      </c>
    </row>
    <row r="2279" ht="15.75" customHeight="1" s="201">
      <c r="A2279" s="1" t="inlineStr">
        <is>
          <t>Cereals, QUAKER, Instant Oatmeal, raisins, dates and walnuts, dry</t>
        </is>
      </c>
      <c r="C2279" s="1" t="n">
        <v>72.41</v>
      </c>
      <c r="D2279" s="1" t="n">
        <v>239</v>
      </c>
      <c r="E2279" s="1" t="n">
        <v>10.7</v>
      </c>
      <c r="F2279" s="1" t="n">
        <v>8.82</v>
      </c>
      <c r="G2279" s="1" t="n">
        <v>6.98</v>
      </c>
      <c r="H2279" s="1" t="n">
        <v>2992</v>
      </c>
      <c r="I2279" s="1" t="n">
        <v>1.94</v>
      </c>
      <c r="J2279" t="n">
        <v>53712000</v>
      </c>
    </row>
    <row r="2280" ht="15.75" customHeight="1" s="201">
      <c r="A2280" s="1" t="inlineStr">
        <is>
          <t>Cereals, QUAKER, Instant Oatmeal, weight control, cinnamon</t>
        </is>
      </c>
      <c r="C2280" s="1" t="n">
        <v>64.20999999999999</v>
      </c>
      <c r="D2280" s="1" t="n">
        <v>205</v>
      </c>
      <c r="E2280" s="1" t="n">
        <v>8.84</v>
      </c>
      <c r="F2280" s="1" t="n">
        <v>16.5</v>
      </c>
      <c r="G2280" s="1" t="n">
        <v>6.28</v>
      </c>
      <c r="H2280" s="1" t="n">
        <v>2558</v>
      </c>
      <c r="I2280" s="1" t="n">
        <v>2.65</v>
      </c>
      <c r="J2280" t="n">
        <v>53712000</v>
      </c>
    </row>
    <row r="2281" ht="15.75" customHeight="1" s="201">
      <c r="A2281" s="1" t="inlineStr">
        <is>
          <t>Cereals, QUAKER, Oat Bran, QUAKER/MOTHER'S Oat Bran, dry</t>
        </is>
      </c>
      <c r="C2281" s="1" t="n">
        <v>62.94</v>
      </c>
      <c r="D2281" s="1" t="n">
        <v>38</v>
      </c>
      <c r="E2281" s="1" t="n">
        <v>8.07</v>
      </c>
      <c r="F2281" s="1" t="n">
        <v>17.03</v>
      </c>
      <c r="G2281" s="1" t="n">
        <v>7.97</v>
      </c>
      <c r="H2281" s="1" t="n">
        <v>100</v>
      </c>
      <c r="I2281" s="1" t="n">
        <v>4.2</v>
      </c>
      <c r="J2281" t="n">
        <v>54318500</v>
      </c>
    </row>
    <row r="2282" ht="15.75" customHeight="1" s="201">
      <c r="A2282" s="1" t="inlineStr">
        <is>
          <t>Cereals, QUAKER, Oat Bran, QUAKER/MOTHER'S Oat Bran, prepared with water, no salt</t>
        </is>
      </c>
      <c r="C2282" s="1" t="n">
        <v>7.49</v>
      </c>
      <c r="D2282" s="1" t="n">
        <v>5</v>
      </c>
      <c r="E2282" s="1" t="n">
        <v>0.97</v>
      </c>
      <c r="F2282" s="1" t="n">
        <v>2.03</v>
      </c>
      <c r="G2282" s="1" t="n">
        <v>0.95</v>
      </c>
      <c r="H2282" s="1" t="n">
        <v>12</v>
      </c>
      <c r="I2282" s="1" t="n">
        <v>0.53</v>
      </c>
      <c r="J2282" t="n">
        <v>54318500</v>
      </c>
    </row>
    <row r="2283" ht="15.75" customHeight="1" s="201">
      <c r="A2283" s="1" t="inlineStr">
        <is>
          <t>Cereals, QUAKER, oatmeal, REAL MEDLEYS, apple walnut, dry</t>
        </is>
      </c>
      <c r="C2283" s="1" t="n">
        <v>70.53</v>
      </c>
      <c r="D2283" s="1" t="n">
        <v>20</v>
      </c>
      <c r="E2283" s="1" t="n">
        <v>2.77</v>
      </c>
      <c r="F2283" s="1" t="n">
        <v>8.18</v>
      </c>
      <c r="G2283" s="1" t="n">
        <v>10.36</v>
      </c>
      <c r="H2283" s="1" t="n">
        <v>20</v>
      </c>
      <c r="I2283" s="1" t="n">
        <v>1.83</v>
      </c>
      <c r="J2283" t="n">
        <v>53712000</v>
      </c>
    </row>
    <row r="2284" ht="15.75" customHeight="1" s="201">
      <c r="A2284" s="1" t="inlineStr">
        <is>
          <t>Cereals, QUAKER, oatmeal, REAL MEDLEYS, blueberry hazelnut, dry</t>
        </is>
      </c>
      <c r="C2284" s="1" t="n">
        <v>69.47</v>
      </c>
      <c r="D2284" s="1" t="n">
        <v>34</v>
      </c>
      <c r="E2284" s="1" t="n">
        <v>3.08</v>
      </c>
      <c r="F2284" s="1" t="n">
        <v>9.81</v>
      </c>
      <c r="G2284" s="1" t="n">
        <v>9.800000000000001</v>
      </c>
      <c r="H2284" s="1" t="n">
        <v>20</v>
      </c>
      <c r="I2284" s="1" t="n">
        <v>2.15</v>
      </c>
      <c r="J2284" t="n">
        <v>53712000</v>
      </c>
    </row>
    <row r="2285" ht="15.75" customHeight="1" s="201">
      <c r="A2285" s="1" t="inlineStr">
        <is>
          <t>Cereals, QUAKER, oatmeal, REAL MEDLEYS, cherry pistachio, dry</t>
        </is>
      </c>
      <c r="C2285" s="1" t="n">
        <v>66.73</v>
      </c>
      <c r="D2285" s="1" t="n">
        <v>22</v>
      </c>
      <c r="E2285" s="1" t="n">
        <v>2.99</v>
      </c>
      <c r="F2285" s="1" t="n">
        <v>12.02</v>
      </c>
      <c r="G2285" s="1" t="n">
        <v>11.02</v>
      </c>
      <c r="H2285" s="1" t="n">
        <v>45</v>
      </c>
      <c r="I2285" s="1" t="n">
        <v>2.14</v>
      </c>
      <c r="J2285" t="n">
        <v>53712000</v>
      </c>
    </row>
    <row r="2286" ht="15.75" customHeight="1" s="201">
      <c r="A2286" s="1" t="inlineStr">
        <is>
          <t>Cereals, QUAKER, oatmeal, REAL MEDLEYS, peach almond, dry</t>
        </is>
      </c>
      <c r="C2286" s="1" t="n">
        <v>68.61</v>
      </c>
      <c r="D2286" s="1" t="n">
        <v>27</v>
      </c>
      <c r="E2286" s="1" t="n">
        <v>2.8</v>
      </c>
      <c r="F2286" s="1" t="n">
        <v>10.1</v>
      </c>
      <c r="G2286" s="1" t="n">
        <v>9.84</v>
      </c>
      <c r="H2286" s="1" t="n">
        <v>108</v>
      </c>
      <c r="I2286" s="1" t="n">
        <v>2.18</v>
      </c>
      <c r="J2286" t="n">
        <v>53712000</v>
      </c>
    </row>
    <row r="2287" ht="15.75" customHeight="1" s="201">
      <c r="A2287" s="1" t="inlineStr">
        <is>
          <t>Cereals, QUAKER, oatmeal, REAL MEDLEYS, summer berry, dry</t>
        </is>
      </c>
      <c r="C2287" s="1" t="n">
        <v>72.58</v>
      </c>
      <c r="D2287" s="1" t="n">
        <v>39</v>
      </c>
      <c r="E2287" s="1" t="n">
        <v>3.13</v>
      </c>
      <c r="F2287" s="1" t="n">
        <v>11.31</v>
      </c>
      <c r="G2287" s="1" t="n">
        <v>4.4</v>
      </c>
      <c r="H2287" s="1" t="n">
        <v>19</v>
      </c>
      <c r="I2287" s="1" t="n">
        <v>2.56</v>
      </c>
      <c r="J2287" t="n">
        <v>53712000</v>
      </c>
    </row>
    <row r="2288" ht="15.75" customHeight="1" s="201">
      <c r="A2288" s="1" t="inlineStr">
        <is>
          <t>Cereals, QUAKER, QUAKER MultiGrain Oatmeal, dry</t>
        </is>
      </c>
      <c r="C2288" s="1" t="n">
        <v>72.62</v>
      </c>
      <c r="D2288" s="1" t="n">
        <v>29</v>
      </c>
      <c r="E2288" s="1" t="n">
        <v>2.88</v>
      </c>
      <c r="F2288" s="1" t="n">
        <v>12.64</v>
      </c>
      <c r="G2288" s="1" t="n">
        <v>2.73</v>
      </c>
      <c r="H2288" s="1" t="n">
        <v>8</v>
      </c>
      <c r="I2288" s="1" t="n">
        <v>3.21</v>
      </c>
      <c r="J2288" t="n">
        <v>53712000</v>
      </c>
    </row>
    <row r="2289" ht="15.75" customHeight="1" s="201">
      <c r="A2289" s="1" t="inlineStr">
        <is>
          <t>Cereals, QUAKER, QUAKER MultiGrain Oatmeal, prepared with water, no salt</t>
        </is>
      </c>
      <c r="C2289" s="1" t="n">
        <v>13.49</v>
      </c>
      <c r="D2289" s="1" t="n">
        <v>5</v>
      </c>
      <c r="E2289" s="1" t="n">
        <v>0.5600000000000001</v>
      </c>
      <c r="F2289" s="1" t="n">
        <v>2.08</v>
      </c>
      <c r="G2289" s="1" t="n">
        <v>0.47</v>
      </c>
      <c r="H2289" s="1" t="n">
        <v>1</v>
      </c>
      <c r="I2289" s="1" t="n">
        <v>0.61</v>
      </c>
      <c r="J2289" t="n">
        <v>54318500</v>
      </c>
    </row>
    <row r="2290" ht="15.75" customHeight="1" s="201">
      <c r="A2290" s="1" t="inlineStr">
        <is>
          <t>Cereals, QUAKER, QUAKER MultiGrain Oatmeal, prepared with water, salt</t>
        </is>
      </c>
      <c r="C2290" s="1" t="n">
        <v>13.47</v>
      </c>
      <c r="D2290" s="1" t="n">
        <v>5</v>
      </c>
      <c r="E2290" s="1" t="n">
        <v>0.5600000000000001</v>
      </c>
      <c r="F2290" s="1" t="n">
        <v>2.07</v>
      </c>
      <c r="G2290" s="1" t="n">
        <v>0.47</v>
      </c>
      <c r="H2290" s="1" t="n">
        <v>1</v>
      </c>
      <c r="I2290" s="1" t="n">
        <v>0.61</v>
      </c>
      <c r="J2290" t="n">
        <v>54318500</v>
      </c>
    </row>
    <row r="2291" ht="15.75" customHeight="1" s="201">
      <c r="A2291" s="1" t="inlineStr">
        <is>
          <t>Cereals, QUAKER, Quick Oats with Iron, Dry</t>
        </is>
      </c>
      <c r="C2291" s="1" t="n">
        <v>68.18000000000001</v>
      </c>
      <c r="D2291" s="1" t="n">
        <v>49</v>
      </c>
      <c r="E2291" s="1" t="n">
        <v>49.45</v>
      </c>
      <c r="F2291" s="1" t="n">
        <v>13.7</v>
      </c>
      <c r="G2291" s="1" t="n">
        <v>6.87</v>
      </c>
      <c r="H2291" s="1" t="n">
        <v>0</v>
      </c>
      <c r="I2291" s="1" t="n">
        <v>3.2</v>
      </c>
      <c r="J2291" t="n">
        <v>57237100</v>
      </c>
    </row>
    <row r="2292" ht="15.75" customHeight="1" s="201">
      <c r="A2292" s="1" t="inlineStr">
        <is>
          <t>Cereals, QUAKER, Quick Oats, Dry</t>
        </is>
      </c>
      <c r="C2292" s="1" t="n">
        <v>68.18000000000001</v>
      </c>
      <c r="D2292" s="1" t="n">
        <v>32</v>
      </c>
      <c r="E2292" s="1" t="n">
        <v>4.64</v>
      </c>
      <c r="F2292" s="1" t="n">
        <v>13.7</v>
      </c>
      <c r="G2292" s="1" t="n">
        <v>6.87</v>
      </c>
      <c r="H2292" s="1" t="n">
        <v>0</v>
      </c>
      <c r="I2292" s="1" t="n">
        <v>3.2</v>
      </c>
      <c r="J2292" t="n">
        <v>57237100</v>
      </c>
    </row>
    <row r="2293" ht="15.75" customHeight="1" s="201">
      <c r="A2293" s="1" t="inlineStr">
        <is>
          <t>Cereals, QUAKER, Weight Control Instant Oatmeal, banana bread</t>
        </is>
      </c>
      <c r="C2293" s="1" t="n">
        <v>64.42</v>
      </c>
      <c r="D2293" s="1" t="n">
        <v>204</v>
      </c>
      <c r="E2293" s="1" t="n">
        <v>8.779999999999999</v>
      </c>
      <c r="F2293" s="1" t="n">
        <v>16.5</v>
      </c>
      <c r="G2293" s="1" t="n">
        <v>6.16</v>
      </c>
      <c r="H2293" s="1" t="n">
        <v>2544</v>
      </c>
      <c r="I2293" s="1" t="n">
        <v>2.6</v>
      </c>
      <c r="J2293" t="n">
        <v>52405010</v>
      </c>
    </row>
    <row r="2294" ht="15.75" customHeight="1" s="201">
      <c r="A2294" s="1" t="inlineStr">
        <is>
          <t>Cereals, QUAKER, Weight Control Instant Oatmeal, maple and brown sugar</t>
        </is>
      </c>
      <c r="C2294" s="1" t="n">
        <v>64.25</v>
      </c>
      <c r="D2294" s="1" t="n">
        <v>235</v>
      </c>
      <c r="E2294" s="1" t="n">
        <v>10.13</v>
      </c>
      <c r="F2294" s="1" t="n">
        <v>16.37</v>
      </c>
      <c r="G2294" s="1" t="n">
        <v>6.2</v>
      </c>
      <c r="H2294" s="1" t="n">
        <v>2429</v>
      </c>
      <c r="I2294" s="1" t="n">
        <v>2.6</v>
      </c>
      <c r="J2294" t="n">
        <v>56203125</v>
      </c>
    </row>
    <row r="2295" ht="15.75" customHeight="1" s="201">
      <c r="A2295" s="1" t="inlineStr">
        <is>
          <t>Cereals, QUAKER, Whole Wheat Natural Cereal, dry</t>
        </is>
      </c>
      <c r="C2295" s="1" t="n">
        <v>74.8</v>
      </c>
      <c r="D2295" s="1" t="n">
        <v>49</v>
      </c>
      <c r="E2295" s="1" t="n">
        <v>3.3</v>
      </c>
      <c r="F2295" s="1" t="n">
        <v>11.8</v>
      </c>
      <c r="G2295" s="1" t="n">
        <v>2</v>
      </c>
      <c r="H2295" s="1" t="n">
        <v>11</v>
      </c>
      <c r="I2295" s="1" t="n">
        <v>4.1</v>
      </c>
      <c r="J2295" t="n">
        <v>54204030</v>
      </c>
    </row>
    <row r="2296" ht="15.75" customHeight="1" s="201">
      <c r="A2296" s="1" t="inlineStr">
        <is>
          <t>Cereals, ready-to-eat, MALT-O-MEAL, Blueberry Mini SPOONERS</t>
        </is>
      </c>
      <c r="C2296" s="1" t="n">
        <v>79.40000000000001</v>
      </c>
      <c r="E2296" s="1" t="n">
        <v>29.45</v>
      </c>
      <c r="F2296" s="1" t="n">
        <v>8.81</v>
      </c>
      <c r="G2296" s="1" t="n">
        <v>1.92</v>
      </c>
      <c r="H2296" s="1" t="n">
        <v>0</v>
      </c>
      <c r="I2296" s="1" t="n">
        <v>6.81</v>
      </c>
      <c r="J2296" t="n">
        <v>57305174</v>
      </c>
    </row>
    <row r="2297" ht="15.75" customHeight="1" s="201">
      <c r="A2297" s="1" t="inlineStr">
        <is>
          <t>Cereals, WHEATENA, cooked with water</t>
        </is>
      </c>
      <c r="C2297" s="1" t="n">
        <v>11.8</v>
      </c>
      <c r="D2297" s="1" t="n">
        <v>7</v>
      </c>
      <c r="E2297" s="1" t="n">
        <v>0.5600000000000001</v>
      </c>
      <c r="F2297" s="1" t="n">
        <v>2</v>
      </c>
      <c r="G2297" s="1" t="n">
        <v>0.5</v>
      </c>
      <c r="H2297" s="1" t="n">
        <v>0</v>
      </c>
      <c r="I2297" s="1" t="n">
        <v>0.6899999999999999</v>
      </c>
      <c r="J2297" t="n">
        <v>11740312</v>
      </c>
    </row>
    <row r="2298" ht="15.75" customHeight="1" s="201">
      <c r="A2298" s="1" t="inlineStr">
        <is>
          <t>Cereals, WHEATENA, cooked with water, with salt</t>
        </is>
      </c>
      <c r="C2298" s="1" t="n">
        <v>11.74</v>
      </c>
      <c r="D2298" s="1" t="n">
        <v>9</v>
      </c>
      <c r="E2298" s="1" t="n">
        <v>0.5600000000000001</v>
      </c>
      <c r="F2298" s="1" t="n">
        <v>2.03</v>
      </c>
      <c r="G2298" s="1" t="n">
        <v>0.45</v>
      </c>
      <c r="H2298" s="1" t="n">
        <v>3</v>
      </c>
      <c r="I2298" s="1" t="n">
        <v>0.6899999999999999</v>
      </c>
      <c r="J2298" t="n">
        <v>75142550</v>
      </c>
    </row>
    <row r="2299" ht="15.75" customHeight="1" s="201">
      <c r="A2299" s="1" t="inlineStr">
        <is>
          <t>Cereals, WHEATENA, dry</t>
        </is>
      </c>
      <c r="C2299" s="1" t="n">
        <v>75.59999999999999</v>
      </c>
      <c r="D2299" s="1" t="n">
        <v>59</v>
      </c>
      <c r="E2299" s="1" t="n">
        <v>3.57</v>
      </c>
      <c r="F2299" s="1" t="n">
        <v>13.1</v>
      </c>
      <c r="G2299" s="1" t="n">
        <v>2.9</v>
      </c>
      <c r="H2299" s="1" t="n">
        <v>22</v>
      </c>
      <c r="I2299" s="1" t="n">
        <v>4.41</v>
      </c>
      <c r="J2299" t="n">
        <v>56207200</v>
      </c>
    </row>
    <row r="2300" ht="15.75" customHeight="1" s="201">
      <c r="A2300" s="1" t="inlineStr">
        <is>
          <t>Cereals, whole wheat hot natural cereal, cooked with water, with salt</t>
        </is>
      </c>
      <c r="C2300" s="1" t="n">
        <v>13.7</v>
      </c>
      <c r="D2300" s="1" t="n">
        <v>14</v>
      </c>
      <c r="E2300" s="1" t="n">
        <v>0.62</v>
      </c>
      <c r="F2300" s="1" t="n">
        <v>2</v>
      </c>
      <c r="G2300" s="1" t="n">
        <v>0.4</v>
      </c>
      <c r="H2300" s="1" t="n">
        <v>0</v>
      </c>
      <c r="I2300" s="1" t="n">
        <v>0.48</v>
      </c>
      <c r="J2300" t="n">
        <v>75142550</v>
      </c>
    </row>
    <row r="2301" ht="15.75" customHeight="1" s="201">
      <c r="A2301" s="1" t="inlineStr">
        <is>
          <t>Cereals, whole wheat hot natural cereal, cooked with water, without salt</t>
        </is>
      </c>
      <c r="C2301" s="1" t="n">
        <v>13.7</v>
      </c>
      <c r="D2301" s="1" t="n">
        <v>14</v>
      </c>
      <c r="E2301" s="1" t="n">
        <v>0.62</v>
      </c>
      <c r="F2301" s="1" t="n">
        <v>2</v>
      </c>
      <c r="G2301" s="1" t="n">
        <v>0.4</v>
      </c>
      <c r="H2301" s="1" t="n">
        <v>0</v>
      </c>
      <c r="I2301" s="1" t="n">
        <v>0.48</v>
      </c>
      <c r="J2301" t="n">
        <v>54204030</v>
      </c>
    </row>
    <row r="2302" ht="15.75" customHeight="1" s="201">
      <c r="A2302" s="1" t="inlineStr">
        <is>
          <t>Cereals, whole wheat hot natural cereal, dry</t>
        </is>
      </c>
      <c r="C2302" s="1" t="n">
        <v>75.2</v>
      </c>
      <c r="D2302" s="1" t="n">
        <v>78</v>
      </c>
      <c r="E2302" s="1" t="n">
        <v>3.39</v>
      </c>
      <c r="F2302" s="1" t="n">
        <v>11.2</v>
      </c>
      <c r="G2302" s="1" t="n">
        <v>2</v>
      </c>
      <c r="H2302" s="1" t="n">
        <v>0</v>
      </c>
      <c r="I2302" s="1" t="n">
        <v>2.66</v>
      </c>
      <c r="J2302" t="n">
        <v>54204030</v>
      </c>
    </row>
    <row r="2303" ht="15.75" customHeight="1" s="201">
      <c r="A2303" s="1" t="inlineStr">
        <is>
          <t>Chard, swiss, cooked, boiled, drained, with salt</t>
        </is>
      </c>
      <c r="C2303" s="1" t="n">
        <v>4.13</v>
      </c>
      <c r="D2303" s="1" t="n">
        <v>9</v>
      </c>
      <c r="E2303" s="1" t="n">
        <v>2.26</v>
      </c>
      <c r="F2303" s="1" t="n">
        <v>1.88</v>
      </c>
      <c r="G2303" s="1" t="n">
        <v>0.08</v>
      </c>
      <c r="H2303" s="1" t="n">
        <v>6124</v>
      </c>
      <c r="I2303" s="1" t="n">
        <v>0.33</v>
      </c>
      <c r="J2303" t="n">
        <v>75142550</v>
      </c>
    </row>
    <row r="2304" ht="15.75" customHeight="1" s="201">
      <c r="A2304" s="1" t="inlineStr">
        <is>
          <t>Chard, swiss, cooked, boiled, drained, without salt</t>
        </is>
      </c>
      <c r="C2304" s="1" t="n">
        <v>4.13</v>
      </c>
      <c r="D2304" s="1" t="n">
        <v>9</v>
      </c>
      <c r="E2304" s="1" t="n">
        <v>2.26</v>
      </c>
      <c r="F2304" s="1" t="n">
        <v>1.88</v>
      </c>
      <c r="G2304" s="1" t="n">
        <v>0.08</v>
      </c>
      <c r="H2304" s="1" t="n">
        <v>6124</v>
      </c>
      <c r="I2304" s="1" t="n">
        <v>0.33</v>
      </c>
      <c r="J2304" t="n">
        <v>31103010</v>
      </c>
    </row>
    <row r="2305" ht="15.75" customHeight="1" s="201">
      <c r="A2305" s="1" t="inlineStr">
        <is>
          <t>Chard, swiss, raw</t>
        </is>
      </c>
      <c r="C2305" s="1" t="n">
        <v>3.74</v>
      </c>
      <c r="D2305" s="1" t="n">
        <v>14</v>
      </c>
      <c r="E2305" s="1" t="n">
        <v>1.8</v>
      </c>
      <c r="F2305" s="1" t="n">
        <v>1.8</v>
      </c>
      <c r="G2305" s="1" t="n">
        <v>0.2</v>
      </c>
      <c r="H2305" s="1" t="n">
        <v>6116</v>
      </c>
      <c r="I2305" s="1" t="n">
        <v>0.36</v>
      </c>
      <c r="J2305" t="n">
        <v>53108200</v>
      </c>
    </row>
    <row r="2306" ht="15.75" customHeight="1" s="201">
      <c r="A2306" s="1" t="inlineStr">
        <is>
          <t>Chayote, fruit, cooked, boiled, drained, with salt</t>
        </is>
      </c>
      <c r="C2306" s="1" t="n">
        <v>4.5</v>
      </c>
      <c r="D2306" s="1" t="n">
        <v>18</v>
      </c>
      <c r="E2306" s="1" t="n">
        <v>0.22</v>
      </c>
      <c r="F2306" s="1" t="n">
        <v>0.62</v>
      </c>
      <c r="G2306" s="1" t="n">
        <v>0.48</v>
      </c>
      <c r="H2306" s="1" t="n">
        <v>0</v>
      </c>
      <c r="I2306" s="1" t="n">
        <v>0.31</v>
      </c>
      <c r="J2306" t="n">
        <v>91708030</v>
      </c>
    </row>
    <row r="2307" ht="15.75" customHeight="1" s="201">
      <c r="A2307" s="1" t="inlineStr">
        <is>
          <t>Chayote, fruit, cooked, boiled, drained, without salt</t>
        </is>
      </c>
      <c r="C2307" s="1" t="n">
        <v>5.09</v>
      </c>
      <c r="D2307" s="1" t="n">
        <v>18</v>
      </c>
      <c r="E2307" s="1" t="n">
        <v>0.22</v>
      </c>
      <c r="F2307" s="1" t="n">
        <v>0.62</v>
      </c>
      <c r="G2307" s="1" t="n">
        <v>0.48</v>
      </c>
      <c r="H2307" s="1" t="n">
        <v>0</v>
      </c>
      <c r="I2307" s="1" t="n">
        <v>0.31</v>
      </c>
      <c r="J2307" t="n">
        <v>91708030</v>
      </c>
    </row>
    <row r="2308" ht="15.75" customHeight="1" s="201">
      <c r="A2308" s="1" t="inlineStr">
        <is>
          <t>Chayote, fruit, raw</t>
        </is>
      </c>
      <c r="C2308" s="1" t="n">
        <v>4.51</v>
      </c>
      <c r="D2308" s="1" t="n">
        <v>93</v>
      </c>
      <c r="E2308" s="1" t="n">
        <v>0.34</v>
      </c>
      <c r="F2308" s="1" t="n">
        <v>0.82</v>
      </c>
      <c r="G2308" s="1" t="n">
        <v>0.13</v>
      </c>
      <c r="H2308" s="1" t="n">
        <v>0</v>
      </c>
      <c r="I2308" s="1" t="n">
        <v>0.74</v>
      </c>
      <c r="J2308" t="n">
        <v>91708030</v>
      </c>
    </row>
    <row r="2309" ht="15.75" customHeight="1" s="201">
      <c r="A2309" s="1" t="inlineStr">
        <is>
          <t>Cheese food, cold pack, American</t>
        </is>
      </c>
      <c r="C2309" s="1" t="n">
        <v>8.32</v>
      </c>
      <c r="D2309" s="1" t="n">
        <v>5</v>
      </c>
      <c r="E2309" s="1" t="n">
        <v>0.84</v>
      </c>
      <c r="F2309" s="1" t="n">
        <v>19.66</v>
      </c>
      <c r="G2309" s="1" t="n">
        <v>24.46</v>
      </c>
      <c r="H2309" s="1" t="n">
        <v>705</v>
      </c>
      <c r="I2309" s="1" t="n">
        <v>3.01</v>
      </c>
      <c r="J2309" t="n">
        <v>14420100</v>
      </c>
    </row>
    <row r="2310" ht="15.75" customHeight="1" s="201">
      <c r="A2310" s="1" t="inlineStr">
        <is>
          <t>Cheese food, pasteurized process, American, vitamin D fortified</t>
        </is>
      </c>
      <c r="C2310" s="1" t="n">
        <v>8.56</v>
      </c>
      <c r="D2310" s="1" t="n">
        <v>7</v>
      </c>
      <c r="E2310" s="1" t="n">
        <v>0.26</v>
      </c>
      <c r="F2310" s="1" t="n">
        <v>16.86</v>
      </c>
      <c r="G2310" s="1" t="n">
        <v>25.63</v>
      </c>
      <c r="H2310" s="1" t="n">
        <v>761</v>
      </c>
      <c r="I2310" s="1" t="n">
        <v>2.31</v>
      </c>
      <c r="J2310" t="n">
        <v>14420100</v>
      </c>
    </row>
    <row r="2311" ht="15.75" customHeight="1" s="201">
      <c r="A2311" s="1" t="inlineStr">
        <is>
          <t>Cheese food, pasteurized process, American, without added vitamin D</t>
        </is>
      </c>
      <c r="C2311" s="1" t="n">
        <v>8.56</v>
      </c>
      <c r="D2311" s="1" t="n">
        <v>7</v>
      </c>
      <c r="E2311" s="1" t="n">
        <v>0.26</v>
      </c>
      <c r="F2311" s="1" t="n">
        <v>16.86</v>
      </c>
      <c r="G2311" s="1" t="n">
        <v>25.63</v>
      </c>
      <c r="H2311" s="1" t="n">
        <v>890</v>
      </c>
      <c r="I2311" s="1" t="n">
        <v>2.31</v>
      </c>
      <c r="J2311" t="n">
        <v>14420100</v>
      </c>
    </row>
    <row r="2312" ht="15.75" customHeight="1" s="201">
      <c r="A2312" s="1" t="inlineStr">
        <is>
          <t>Cheese food, pasteurized process, swiss</t>
        </is>
      </c>
      <c r="C2312" s="1" t="n">
        <v>4.5</v>
      </c>
      <c r="D2312" s="1" t="n">
        <v>6</v>
      </c>
      <c r="E2312" s="1" t="n">
        <v>0.6</v>
      </c>
      <c r="F2312" s="1" t="n">
        <v>21.92</v>
      </c>
      <c r="G2312" s="1" t="n">
        <v>24.14</v>
      </c>
      <c r="H2312" s="1" t="n">
        <v>856</v>
      </c>
      <c r="I2312" s="1" t="n">
        <v>3.55</v>
      </c>
      <c r="J2312" t="n">
        <v>51121065</v>
      </c>
    </row>
    <row r="2313" ht="15.75" customHeight="1" s="201">
      <c r="A2313" s="1" t="inlineStr">
        <is>
          <t>Cheese product, pasteurized process, American, reduced fat, fortified with vitamin D</t>
        </is>
      </c>
      <c r="C2313" s="1" t="n">
        <v>10.6</v>
      </c>
      <c r="D2313" s="1" t="n">
        <v>18</v>
      </c>
      <c r="E2313" s="1" t="n">
        <v>0.2</v>
      </c>
      <c r="F2313" s="1" t="n">
        <v>17.6</v>
      </c>
      <c r="G2313" s="1" t="n">
        <v>14.1</v>
      </c>
      <c r="H2313" s="1" t="n">
        <v>945</v>
      </c>
      <c r="I2313" s="1" t="n">
        <v>2.36</v>
      </c>
      <c r="J2313" t="n">
        <v>51121065</v>
      </c>
    </row>
    <row r="2314" ht="15.75" customHeight="1" s="201">
      <c r="A2314" s="1" t="inlineStr">
        <is>
          <t>Cheese product, pasteurized process, American, vitamin D fortified</t>
        </is>
      </c>
      <c r="C2314" s="1" t="n">
        <v>8.85</v>
      </c>
      <c r="D2314" s="1" t="n">
        <v>18</v>
      </c>
      <c r="E2314" s="1" t="n">
        <v>0.95</v>
      </c>
      <c r="F2314" s="1" t="n">
        <v>16.09</v>
      </c>
      <c r="G2314" s="1" t="n">
        <v>23.06</v>
      </c>
      <c r="H2314" s="1" t="n">
        <v>1261</v>
      </c>
      <c r="I2314" s="1" t="n">
        <v>2.21</v>
      </c>
      <c r="J2314" t="n">
        <v>14420100</v>
      </c>
    </row>
    <row r="2315" ht="15.75" customHeight="1" s="201">
      <c r="A2315" s="1" t="inlineStr">
        <is>
          <t>Cheese puffs and twists, corn based, baked, low fat</t>
        </is>
      </c>
      <c r="C2315" s="1" t="n">
        <v>72.34999999999999</v>
      </c>
      <c r="D2315" s="1" t="n">
        <v>97</v>
      </c>
      <c r="E2315" s="1" t="n">
        <v>1.28</v>
      </c>
      <c r="F2315" s="1" t="n">
        <v>8.5</v>
      </c>
      <c r="G2315" s="1" t="n">
        <v>12.1</v>
      </c>
      <c r="H2315" s="1" t="n">
        <v>250</v>
      </c>
      <c r="I2315" s="1" t="n">
        <v>2.14</v>
      </c>
      <c r="J2315" t="n">
        <v>54401055</v>
      </c>
    </row>
    <row r="2316" ht="15.75" customHeight="1" s="201">
      <c r="A2316" s="1" t="inlineStr">
        <is>
          <t>Cheese sauce, prepared from recipe</t>
        </is>
      </c>
      <c r="C2316" s="1" t="n">
        <v>5.48</v>
      </c>
      <c r="D2316" s="1" t="n">
        <v>10</v>
      </c>
      <c r="E2316" s="1" t="n">
        <v>0.35</v>
      </c>
      <c r="F2316" s="1" t="n">
        <v>10.33</v>
      </c>
      <c r="G2316" s="1" t="n">
        <v>14.92</v>
      </c>
      <c r="H2316" s="1" t="n">
        <v>310</v>
      </c>
      <c r="I2316" s="1" t="n">
        <v>1.26</v>
      </c>
      <c r="J2316" t="n">
        <v>51121065</v>
      </c>
    </row>
    <row r="2317" ht="15.75" customHeight="1" s="201">
      <c r="A2317" s="1" t="inlineStr">
        <is>
          <t>Cheese spread, American or Cheddar cheese base, reduced fat</t>
        </is>
      </c>
      <c r="C2317" s="1" t="n">
        <v>10.71</v>
      </c>
      <c r="D2317" s="1" t="n">
        <v>0</v>
      </c>
      <c r="E2317" s="1" t="n">
        <v>0.36</v>
      </c>
      <c r="F2317" s="1" t="n">
        <v>13.41</v>
      </c>
      <c r="G2317" s="1" t="n">
        <v>8.880000000000001</v>
      </c>
      <c r="H2317" s="1" t="n">
        <v>656</v>
      </c>
      <c r="I2317" s="1" t="n">
        <v>1.81</v>
      </c>
      <c r="J2317" t="n">
        <v>14420100</v>
      </c>
    </row>
    <row r="2318" ht="15.75" customHeight="1" s="201">
      <c r="A2318" s="1" t="inlineStr">
        <is>
          <t>Cheese spread, cream cheese base</t>
        </is>
      </c>
      <c r="C2318" s="1" t="n">
        <v>3.5</v>
      </c>
      <c r="D2318" s="1" t="n">
        <v>12</v>
      </c>
      <c r="E2318" s="1" t="n">
        <v>1.13</v>
      </c>
      <c r="F2318" s="1" t="n">
        <v>7.1</v>
      </c>
      <c r="G2318" s="1" t="n">
        <v>28.6</v>
      </c>
      <c r="H2318" s="1" t="n">
        <v>1031</v>
      </c>
      <c r="I2318" s="1" t="n">
        <v>0.51</v>
      </c>
      <c r="J2318" t="n">
        <v>14420100</v>
      </c>
    </row>
    <row r="2319" ht="15.75" customHeight="1" s="201">
      <c r="A2319" s="1" t="inlineStr">
        <is>
          <t>Cheese spread, pasteurized process, American</t>
        </is>
      </c>
      <c r="C2319" s="1" t="n">
        <v>8.73</v>
      </c>
      <c r="D2319" s="1" t="n">
        <v>7</v>
      </c>
      <c r="E2319" s="1" t="n">
        <v>0.33</v>
      </c>
      <c r="F2319" s="1" t="n">
        <v>16.41</v>
      </c>
      <c r="G2319" s="1" t="n">
        <v>21.23</v>
      </c>
      <c r="H2319" s="1" t="n">
        <v>653</v>
      </c>
      <c r="I2319" s="1" t="n">
        <v>2.59</v>
      </c>
      <c r="J2319" t="n">
        <v>14420100</v>
      </c>
    </row>
    <row r="2320" ht="15.75" customHeight="1" s="201">
      <c r="A2320" s="1" t="inlineStr">
        <is>
          <t>Cheese substitute, mozzarella</t>
        </is>
      </c>
      <c r="C2320" s="1" t="n">
        <v>23.67</v>
      </c>
      <c r="D2320" s="1" t="n">
        <v>11</v>
      </c>
      <c r="E2320" s="1" t="n">
        <v>0.4</v>
      </c>
      <c r="F2320" s="1" t="n">
        <v>11.47</v>
      </c>
      <c r="G2320" s="1" t="n">
        <v>12.22</v>
      </c>
      <c r="H2320" s="1" t="n">
        <v>1457</v>
      </c>
      <c r="I2320" s="1" t="n">
        <v>1.92</v>
      </c>
      <c r="J2320" t="n">
        <v>14107030</v>
      </c>
    </row>
    <row r="2321" ht="15.75" customHeight="1" s="201">
      <c r="A2321" s="1" t="inlineStr">
        <is>
          <t>Cheese, american cheddar, imitation</t>
        </is>
      </c>
      <c r="C2321" s="1" t="n">
        <v>11.6</v>
      </c>
      <c r="D2321" s="1" t="n">
        <v>7</v>
      </c>
      <c r="E2321" s="1" t="n">
        <v>0.33</v>
      </c>
      <c r="F2321" s="1" t="n">
        <v>16.7</v>
      </c>
      <c r="G2321" s="1" t="n">
        <v>14</v>
      </c>
      <c r="H2321" s="1" t="n">
        <v>430</v>
      </c>
      <c r="I2321" s="1" t="n">
        <v>2.59</v>
      </c>
      <c r="J2321" t="n">
        <v>14420100</v>
      </c>
    </row>
    <row r="2322" ht="15.75" customHeight="1" s="201">
      <c r="A2322" s="1" t="inlineStr">
        <is>
          <t>Cheese, American, nonfat or fat free</t>
        </is>
      </c>
      <c r="C2322" s="1" t="n">
        <v>10.53</v>
      </c>
      <c r="D2322" s="1" t="n">
        <v>9</v>
      </c>
      <c r="E2322" s="1" t="n">
        <v>0</v>
      </c>
      <c r="F2322" s="1" t="n">
        <v>21.05</v>
      </c>
      <c r="G2322" s="1" t="n">
        <v>0</v>
      </c>
      <c r="H2322" s="1" t="n">
        <v>189</v>
      </c>
      <c r="I2322" s="1" t="n">
        <v>4.11</v>
      </c>
      <c r="J2322" t="n">
        <v>14410130</v>
      </c>
    </row>
    <row r="2323" ht="15.75" customHeight="1" s="201">
      <c r="A2323" s="1" t="inlineStr">
        <is>
          <t>Cheese, blue</t>
        </is>
      </c>
      <c r="C2323" s="1" t="n">
        <v>2.34</v>
      </c>
      <c r="D2323" s="1" t="n">
        <v>36</v>
      </c>
      <c r="E2323" s="1" t="n">
        <v>0.31</v>
      </c>
      <c r="F2323" s="1" t="n">
        <v>21.4</v>
      </c>
      <c r="G2323" s="1" t="n">
        <v>28.74</v>
      </c>
      <c r="H2323" s="1" t="n">
        <v>721</v>
      </c>
      <c r="I2323" s="1" t="n">
        <v>2.66</v>
      </c>
      <c r="J2323" t="n">
        <v>14420100</v>
      </c>
    </row>
    <row r="2324" ht="15.75" customHeight="1" s="201">
      <c r="A2324" s="1" t="inlineStr">
        <is>
          <t>Cheese, brick</t>
        </is>
      </c>
      <c r="C2324" s="1" t="n">
        <v>2.79</v>
      </c>
      <c r="D2324" s="1" t="n">
        <v>20</v>
      </c>
      <c r="E2324" s="1" t="n">
        <v>0.43</v>
      </c>
      <c r="F2324" s="1" t="n">
        <v>23.24</v>
      </c>
      <c r="G2324" s="1" t="n">
        <v>29.68</v>
      </c>
      <c r="H2324" s="1" t="n">
        <v>1080</v>
      </c>
      <c r="I2324" s="1" t="n">
        <v>2.6</v>
      </c>
      <c r="J2324" t="n">
        <v>14420100</v>
      </c>
    </row>
    <row r="2325" ht="15.75" customHeight="1" s="201">
      <c r="A2325" s="1" t="inlineStr">
        <is>
          <t>Cheese, brie</t>
        </is>
      </c>
      <c r="C2325" s="1" t="n">
        <v>0.45</v>
      </c>
      <c r="D2325" s="1" t="n">
        <v>65</v>
      </c>
      <c r="E2325" s="1" t="n">
        <v>0.5</v>
      </c>
      <c r="F2325" s="1" t="n">
        <v>20.75</v>
      </c>
      <c r="G2325" s="1" t="n">
        <v>27.68</v>
      </c>
      <c r="H2325" s="1" t="n">
        <v>592</v>
      </c>
      <c r="I2325" s="1" t="n">
        <v>2.38</v>
      </c>
      <c r="J2325" t="n">
        <v>14420100</v>
      </c>
    </row>
    <row r="2326" ht="15.75" customHeight="1" s="201">
      <c r="A2326" s="1" t="inlineStr">
        <is>
          <t>Cheese, camembert</t>
        </is>
      </c>
      <c r="C2326" s="1" t="n">
        <v>0.46</v>
      </c>
      <c r="D2326" s="1" t="n">
        <v>62</v>
      </c>
      <c r="E2326" s="1" t="n">
        <v>0.33</v>
      </c>
      <c r="F2326" s="1" t="n">
        <v>19.8</v>
      </c>
      <c r="G2326" s="1" t="n">
        <v>24.26</v>
      </c>
      <c r="H2326" s="1" t="n">
        <v>820</v>
      </c>
      <c r="I2326" s="1" t="n">
        <v>2.38</v>
      </c>
      <c r="J2326" t="n">
        <v>14420100</v>
      </c>
    </row>
    <row r="2327" ht="15.75" customHeight="1" s="201">
      <c r="A2327" s="1" t="inlineStr">
        <is>
          <t>Cheese, caraway</t>
        </is>
      </c>
      <c r="C2327" s="1" t="n">
        <v>3.06</v>
      </c>
      <c r="D2327" s="1" t="n">
        <v>18</v>
      </c>
      <c r="E2327" s="1" t="n">
        <v>0.64</v>
      </c>
      <c r="F2327" s="1" t="n">
        <v>25.18</v>
      </c>
      <c r="G2327" s="1" t="n">
        <v>29.2</v>
      </c>
      <c r="H2327" s="1" t="n">
        <v>1054</v>
      </c>
      <c r="I2327" s="1" t="n">
        <v>2.94</v>
      </c>
      <c r="J2327" t="n">
        <v>14420100</v>
      </c>
    </row>
    <row r="2328" ht="15.75" customHeight="1" s="201">
      <c r="A2328" s="1" t="inlineStr">
        <is>
          <t>Cheese, cheddar (Includes foods for USDA's Food Distribution Program)</t>
        </is>
      </c>
      <c r="C2328" s="1" t="n">
        <v>3.37</v>
      </c>
      <c r="D2328" s="1" t="n">
        <v>27</v>
      </c>
      <c r="E2328" s="1" t="n">
        <v>0.14</v>
      </c>
      <c r="F2328" s="1" t="n">
        <v>22.87</v>
      </c>
      <c r="G2328" s="1" t="n">
        <v>33.31</v>
      </c>
      <c r="H2328" s="1" t="n">
        <v>1242</v>
      </c>
      <c r="I2328" s="1" t="n">
        <v>3.64</v>
      </c>
      <c r="J2328" t="n">
        <v>14420100</v>
      </c>
    </row>
    <row r="2329" ht="15.75" customHeight="1" s="201">
      <c r="A2329" s="1" t="inlineStr">
        <is>
          <t>Cheese, cheddar, nonfat or fat free</t>
        </is>
      </c>
      <c r="C2329" s="1" t="n">
        <v>7.14</v>
      </c>
      <c r="D2329" s="1" t="n">
        <v>11</v>
      </c>
      <c r="E2329" s="1" t="n">
        <v>0</v>
      </c>
      <c r="F2329" s="1" t="n">
        <v>32.14</v>
      </c>
      <c r="G2329" s="1" t="n">
        <v>0</v>
      </c>
      <c r="H2329" s="1" t="n">
        <v>207</v>
      </c>
      <c r="I2329" s="1" t="n">
        <v>1.82</v>
      </c>
      <c r="J2329" t="n">
        <v>14203020</v>
      </c>
    </row>
    <row r="2330" ht="15.75" customHeight="1" s="201">
      <c r="A2330" s="1" t="inlineStr">
        <is>
          <t>Cheese, cheddar, reduced fat (Includes foods for USDA's Food Distribution Program)</t>
        </is>
      </c>
      <c r="C2330" s="1" t="n">
        <v>2.67</v>
      </c>
      <c r="D2330" s="1" t="n">
        <v>20</v>
      </c>
      <c r="E2330" s="1" t="n">
        <v>0.12</v>
      </c>
      <c r="F2330" s="1" t="n">
        <v>27.35</v>
      </c>
      <c r="G2330" s="1" t="n">
        <v>20.41</v>
      </c>
      <c r="H2330" s="1" t="n">
        <v>522</v>
      </c>
      <c r="I2330" s="1" t="n">
        <v>4.44</v>
      </c>
      <c r="J2330" t="n">
        <v>14104110</v>
      </c>
    </row>
    <row r="2331" ht="15.75" customHeight="1" s="201">
      <c r="A2331" s="1" t="inlineStr">
        <is>
          <t>Cheese, cheddar, sharp, sliced</t>
        </is>
      </c>
      <c r="C2331" s="1" t="n">
        <v>2.13</v>
      </c>
      <c r="D2331" s="1" t="n">
        <v>27</v>
      </c>
      <c r="E2331" s="1" t="n">
        <v>0.16</v>
      </c>
      <c r="F2331" s="1" t="n">
        <v>24.25</v>
      </c>
      <c r="G2331" s="1" t="n">
        <v>33.82</v>
      </c>
      <c r="H2331" s="1" t="n">
        <v>994</v>
      </c>
      <c r="I2331" s="1" t="n">
        <v>3.74</v>
      </c>
      <c r="J2331" t="n">
        <v>14420100</v>
      </c>
    </row>
    <row r="2332" ht="15.75" customHeight="1" s="201">
      <c r="A2332" s="1" t="inlineStr">
        <is>
          <t>Cheese, cheshire</t>
        </is>
      </c>
      <c r="C2332" s="1" t="n">
        <v>4.78</v>
      </c>
      <c r="D2332" s="1" t="n">
        <v>18</v>
      </c>
      <c r="E2332" s="1" t="n">
        <v>0.21</v>
      </c>
      <c r="F2332" s="1" t="n">
        <v>23.37</v>
      </c>
      <c r="G2332" s="1" t="n">
        <v>30.6</v>
      </c>
      <c r="H2332" s="1" t="n">
        <v>985</v>
      </c>
      <c r="I2332" s="1" t="n">
        <v>2.79</v>
      </c>
      <c r="J2332" t="n">
        <v>14420100</v>
      </c>
    </row>
    <row r="2333" ht="15.75" customHeight="1" s="201">
      <c r="A2333" s="1" t="inlineStr">
        <is>
          <t>Cheese, colby</t>
        </is>
      </c>
      <c r="C2333" s="1" t="n">
        <v>2.57</v>
      </c>
      <c r="D2333" s="1" t="n">
        <v>18</v>
      </c>
      <c r="E2333" s="1" t="n">
        <v>0.76</v>
      </c>
      <c r="F2333" s="1" t="n">
        <v>23.76</v>
      </c>
      <c r="G2333" s="1" t="n">
        <v>32.11</v>
      </c>
      <c r="H2333" s="1" t="n">
        <v>994</v>
      </c>
      <c r="I2333" s="1" t="n">
        <v>3.07</v>
      </c>
      <c r="J2333" t="n">
        <v>14104200</v>
      </c>
    </row>
    <row r="2334" ht="15.75" customHeight="1" s="201">
      <c r="A2334" s="1" t="inlineStr">
        <is>
          <t>Cheese, cottage, creamed, large or small curd</t>
        </is>
      </c>
      <c r="C2334" s="1" t="n">
        <v>3.38</v>
      </c>
      <c r="D2334" s="1" t="n">
        <v>12</v>
      </c>
      <c r="E2334" s="1" t="n">
        <v>0.07000000000000001</v>
      </c>
      <c r="F2334" s="1" t="n">
        <v>11.12</v>
      </c>
      <c r="G2334" s="1" t="n">
        <v>4.3</v>
      </c>
      <c r="H2334" s="1" t="n">
        <v>140</v>
      </c>
      <c r="I2334" s="1" t="n">
        <v>0.4</v>
      </c>
      <c r="J2334" t="n">
        <v>14203020</v>
      </c>
    </row>
    <row r="2335" ht="15.75" customHeight="1" s="201">
      <c r="A2335" s="1" t="inlineStr">
        <is>
          <t>Cheese, cottage, creamed, with fruit</t>
        </is>
      </c>
      <c r="C2335" s="1" t="n">
        <v>4.61</v>
      </c>
      <c r="D2335" s="1" t="n">
        <v>11</v>
      </c>
      <c r="E2335" s="1" t="n">
        <v>0.16</v>
      </c>
      <c r="F2335" s="1" t="n">
        <v>10.69</v>
      </c>
      <c r="G2335" s="1" t="n">
        <v>3.85</v>
      </c>
      <c r="H2335" s="1" t="n">
        <v>146</v>
      </c>
      <c r="I2335" s="1" t="n">
        <v>0.33</v>
      </c>
      <c r="J2335" t="n">
        <v>91708030</v>
      </c>
    </row>
    <row r="2336" ht="15.75" customHeight="1" s="201">
      <c r="A2336" s="1" t="inlineStr">
        <is>
          <t>Cheese, cottage, lowfat, 1% milkfat</t>
        </is>
      </c>
      <c r="C2336" s="1" t="n">
        <v>2.72</v>
      </c>
      <c r="D2336" s="1" t="n">
        <v>12</v>
      </c>
      <c r="E2336" s="1" t="n">
        <v>0.14</v>
      </c>
      <c r="F2336" s="1" t="n">
        <v>12.39</v>
      </c>
      <c r="G2336" s="1" t="n">
        <v>1.02</v>
      </c>
      <c r="H2336" s="1" t="n">
        <v>41</v>
      </c>
      <c r="I2336" s="1" t="n">
        <v>0.38</v>
      </c>
      <c r="J2336" t="n">
        <v>14203020</v>
      </c>
    </row>
    <row r="2337" ht="15.75" customHeight="1" s="201">
      <c r="A2337" s="1" t="inlineStr">
        <is>
          <t>Cheese, cottage, lowfat, 1% milkfat, lactose reduced</t>
        </is>
      </c>
      <c r="C2337" s="1" t="n">
        <v>3.2</v>
      </c>
      <c r="D2337" s="1" t="n">
        <v>12</v>
      </c>
      <c r="E2337" s="1" t="n">
        <v>0.14</v>
      </c>
      <c r="F2337" s="1" t="n">
        <v>12.4</v>
      </c>
      <c r="G2337" s="1" t="n">
        <v>1</v>
      </c>
      <c r="H2337" s="1" t="n">
        <v>40</v>
      </c>
      <c r="I2337" s="1" t="n">
        <v>0.38</v>
      </c>
      <c r="J2337" t="n">
        <v>14104110</v>
      </c>
    </row>
    <row r="2338" ht="15.75" customHeight="1" s="201">
      <c r="A2338" s="1" t="inlineStr">
        <is>
          <t>Cheese, cottage, lowfat, 1% milkfat, no sodium added</t>
        </is>
      </c>
      <c r="C2338" s="1" t="n">
        <v>2.7</v>
      </c>
      <c r="D2338" s="1" t="n">
        <v>12</v>
      </c>
      <c r="E2338" s="1" t="n">
        <v>0.14</v>
      </c>
      <c r="F2338" s="1" t="n">
        <v>12.4</v>
      </c>
      <c r="G2338" s="1" t="n">
        <v>1</v>
      </c>
      <c r="H2338" s="1" t="n">
        <v>40</v>
      </c>
      <c r="I2338" s="1" t="n">
        <v>0.38</v>
      </c>
      <c r="J2338" t="n">
        <v>14203020</v>
      </c>
    </row>
    <row r="2339" ht="15.75" customHeight="1" s="201">
      <c r="A2339" s="1" t="inlineStr">
        <is>
          <t>Cheese, cottage, lowfat, 1% milkfat, with vegetables</t>
        </is>
      </c>
      <c r="C2339" s="1" t="n">
        <v>3</v>
      </c>
      <c r="D2339" s="1" t="n">
        <v>10</v>
      </c>
      <c r="E2339" s="1" t="n">
        <v>0.1</v>
      </c>
      <c r="F2339" s="1" t="n">
        <v>10.9</v>
      </c>
      <c r="G2339" s="1" t="n">
        <v>1</v>
      </c>
      <c r="H2339" s="1" t="n">
        <v>89</v>
      </c>
      <c r="I2339" s="1" t="n">
        <v>0.29</v>
      </c>
      <c r="J2339" t="n">
        <v>51121065</v>
      </c>
    </row>
    <row r="2340" ht="15.75" customHeight="1" s="201">
      <c r="A2340" s="1" t="inlineStr">
        <is>
          <t>Cheese, cottage, lowfat, 2% milkfat</t>
        </is>
      </c>
      <c r="C2340" s="1" t="n">
        <v>4.76</v>
      </c>
      <c r="D2340" s="1" t="n">
        <v>8</v>
      </c>
      <c r="E2340" s="1" t="n">
        <v>0.13</v>
      </c>
      <c r="F2340" s="1" t="n">
        <v>10.45</v>
      </c>
      <c r="G2340" s="1" t="n">
        <v>2.27</v>
      </c>
      <c r="H2340" s="1" t="n">
        <v>236</v>
      </c>
      <c r="I2340" s="1" t="n">
        <v>0.51</v>
      </c>
      <c r="J2340" t="n">
        <v>14203020</v>
      </c>
    </row>
    <row r="2341" ht="15.75" customHeight="1" s="201">
      <c r="A2341" s="1" t="inlineStr">
        <is>
          <t>Cheese, cottage, nonfat, uncreamed, dry, large or small curd</t>
        </is>
      </c>
      <c r="C2341" s="1" t="n">
        <v>6.66</v>
      </c>
      <c r="D2341" s="1" t="n">
        <v>9</v>
      </c>
      <c r="E2341" s="1" t="n">
        <v>0.15</v>
      </c>
      <c r="F2341" s="1" t="n">
        <v>10.34</v>
      </c>
      <c r="G2341" s="1" t="n">
        <v>0.29</v>
      </c>
      <c r="H2341" s="1" t="n">
        <v>8</v>
      </c>
      <c r="I2341" s="1" t="n">
        <v>0.47</v>
      </c>
      <c r="J2341" t="n">
        <v>14203020</v>
      </c>
    </row>
    <row r="2342" ht="15.75" customHeight="1" s="201">
      <c r="A2342" s="1" t="inlineStr">
        <is>
          <t>Cheese, cottage, with vegetables</t>
        </is>
      </c>
      <c r="C2342" s="1" t="n">
        <v>3</v>
      </c>
      <c r="D2342" s="1" t="n">
        <v>17</v>
      </c>
      <c r="E2342" s="1" t="n">
        <v>0.1</v>
      </c>
      <c r="F2342" s="1" t="n">
        <v>10.9</v>
      </c>
      <c r="G2342" s="1" t="n">
        <v>4.2</v>
      </c>
      <c r="H2342" s="1" t="n">
        <v>372</v>
      </c>
      <c r="I2342" s="1" t="n">
        <v>0.29</v>
      </c>
      <c r="J2342" t="n">
        <v>14202020</v>
      </c>
    </row>
    <row r="2343" ht="15.75" customHeight="1" s="201">
      <c r="A2343" s="1" t="inlineStr">
        <is>
          <t>Cheese, Cottage</t>
        </is>
      </c>
      <c r="J2343" t="n">
        <v>14203020</v>
      </c>
    </row>
    <row r="2344" ht="15.75" customHeight="1" s="201">
      <c r="A2344" s="1" t="inlineStr">
        <is>
          <t>Cheese, cream</t>
        </is>
      </c>
      <c r="C2344" s="1" t="n">
        <v>5.52</v>
      </c>
      <c r="D2344" s="1" t="n">
        <v>9</v>
      </c>
      <c r="E2344" s="1" t="n">
        <v>0.11</v>
      </c>
      <c r="F2344" s="1" t="n">
        <v>6.15</v>
      </c>
      <c r="G2344" s="1" t="n">
        <v>34.44</v>
      </c>
      <c r="H2344" s="1" t="n">
        <v>1111</v>
      </c>
      <c r="I2344" s="1" t="n">
        <v>0.5</v>
      </c>
      <c r="J2344" t="n">
        <v>14420100</v>
      </c>
    </row>
    <row r="2345" ht="15.75" customHeight="1" s="201">
      <c r="A2345" s="1" t="inlineStr">
        <is>
          <t>Cheese, cream, fat free</t>
        </is>
      </c>
      <c r="C2345" s="1" t="n">
        <v>7.66</v>
      </c>
      <c r="D2345" s="1" t="n">
        <v>35</v>
      </c>
      <c r="E2345" s="1" t="n">
        <v>0.19</v>
      </c>
      <c r="F2345" s="1" t="n">
        <v>15.69</v>
      </c>
      <c r="G2345" s="1" t="n">
        <v>1</v>
      </c>
      <c r="H2345" s="1" t="n">
        <v>53</v>
      </c>
      <c r="I2345" s="1" t="n">
        <v>1.5</v>
      </c>
      <c r="J2345" t="n">
        <v>14107060</v>
      </c>
    </row>
    <row r="2346" ht="15.75" customHeight="1" s="201">
      <c r="A2346" s="1" t="inlineStr">
        <is>
          <t>Cheese, cream, low fat</t>
        </is>
      </c>
      <c r="C2346" s="1" t="n">
        <v>6.73</v>
      </c>
      <c r="D2346" s="1" t="n">
        <v>19</v>
      </c>
      <c r="E2346" s="1" t="n">
        <v>0.17</v>
      </c>
      <c r="F2346" s="1" t="n">
        <v>7.85</v>
      </c>
      <c r="G2346" s="1" t="n">
        <v>16.67</v>
      </c>
      <c r="H2346" s="1" t="n">
        <v>552</v>
      </c>
      <c r="I2346" s="1" t="n">
        <v>0.57</v>
      </c>
      <c r="J2346" t="n">
        <v>14420100</v>
      </c>
    </row>
    <row r="2347" ht="15.75" customHeight="1" s="201">
      <c r="A2347" s="1" t="inlineStr">
        <is>
          <t>Cheese, dry white, queso seco</t>
        </is>
      </c>
      <c r="C2347" s="1" t="n">
        <v>2.04</v>
      </c>
      <c r="E2347" s="1" t="n">
        <v>0.18</v>
      </c>
      <c r="F2347" s="1" t="n">
        <v>24.51</v>
      </c>
      <c r="G2347" s="1" t="n">
        <v>24.35</v>
      </c>
      <c r="H2347" s="1" t="n">
        <v>800</v>
      </c>
      <c r="I2347" s="1" t="n">
        <v>3.28</v>
      </c>
      <c r="J2347" t="n">
        <v>14420100</v>
      </c>
    </row>
    <row r="2348" ht="15.75" customHeight="1" s="201">
      <c r="A2348" s="1" t="inlineStr">
        <is>
          <t>Cheese, edam</t>
        </is>
      </c>
      <c r="C2348" s="1" t="n">
        <v>1.43</v>
      </c>
      <c r="D2348" s="1" t="n">
        <v>16</v>
      </c>
      <c r="E2348" s="1" t="n">
        <v>0.44</v>
      </c>
      <c r="F2348" s="1" t="n">
        <v>24.99</v>
      </c>
      <c r="G2348" s="1" t="n">
        <v>28.57</v>
      </c>
      <c r="H2348" s="1" t="n">
        <v>825</v>
      </c>
      <c r="I2348" s="1" t="n">
        <v>3.75</v>
      </c>
      <c r="J2348" t="n">
        <v>14420100</v>
      </c>
    </row>
    <row r="2349" ht="15.75" customHeight="1" s="201">
      <c r="A2349" s="1" t="inlineStr">
        <is>
          <t>Cheese, feta</t>
        </is>
      </c>
      <c r="C2349" s="1" t="n">
        <v>3.88</v>
      </c>
      <c r="D2349" s="1" t="n">
        <v>32</v>
      </c>
      <c r="E2349" s="1" t="n">
        <v>0.65</v>
      </c>
      <c r="F2349" s="1" t="n">
        <v>14.21</v>
      </c>
      <c r="G2349" s="1" t="n">
        <v>21.49</v>
      </c>
      <c r="H2349" s="1" t="n">
        <v>422</v>
      </c>
      <c r="I2349" s="1" t="n">
        <v>2.88</v>
      </c>
      <c r="J2349" t="n">
        <v>14104400</v>
      </c>
    </row>
    <row r="2350" ht="15.75" customHeight="1" s="201">
      <c r="A2350" s="1" t="inlineStr">
        <is>
          <t>Cheese, fontina</t>
        </is>
      </c>
      <c r="C2350" s="1" t="n">
        <v>1.55</v>
      </c>
      <c r="D2350" s="1" t="n">
        <v>6</v>
      </c>
      <c r="E2350" s="1" t="n">
        <v>0.23</v>
      </c>
      <c r="F2350" s="1" t="n">
        <v>25.6</v>
      </c>
      <c r="G2350" s="1" t="n">
        <v>31.14</v>
      </c>
      <c r="H2350" s="1" t="n">
        <v>913</v>
      </c>
      <c r="I2350" s="1" t="n">
        <v>3.5</v>
      </c>
      <c r="J2350" t="n">
        <v>14104600</v>
      </c>
    </row>
    <row r="2351" ht="15.75" customHeight="1" s="201">
      <c r="A2351" s="1" t="inlineStr">
        <is>
          <t>Cheese, fresh, queso fresco</t>
        </is>
      </c>
      <c r="C2351" s="1" t="n">
        <v>2.98</v>
      </c>
      <c r="D2351" s="1" t="n">
        <v>7</v>
      </c>
      <c r="E2351" s="1" t="n">
        <v>0.2</v>
      </c>
      <c r="F2351" s="1" t="n">
        <v>18.09</v>
      </c>
      <c r="G2351" s="1" t="n">
        <v>23.82</v>
      </c>
      <c r="H2351" s="1" t="n">
        <v>806</v>
      </c>
      <c r="I2351" s="1" t="n">
        <v>2.58</v>
      </c>
      <c r="J2351" t="n">
        <v>14420100</v>
      </c>
    </row>
    <row r="2352" ht="15.75" customHeight="1" s="201">
      <c r="A2352" s="1" t="inlineStr">
        <is>
          <t>Cheese, gjetost</t>
        </is>
      </c>
      <c r="C2352" s="1" t="n">
        <v>42.65</v>
      </c>
      <c r="D2352" s="1" t="n">
        <v>5</v>
      </c>
      <c r="E2352" s="1" t="n">
        <v>0.52</v>
      </c>
      <c r="F2352" s="1" t="n">
        <v>9.65</v>
      </c>
      <c r="G2352" s="1" t="n">
        <v>29.51</v>
      </c>
      <c r="H2352" s="1" t="n">
        <v>1113</v>
      </c>
      <c r="I2352" s="1" t="n">
        <v>1.14</v>
      </c>
      <c r="J2352" t="n">
        <v>14420100</v>
      </c>
    </row>
    <row r="2353" ht="15.75" customHeight="1" s="201">
      <c r="A2353" s="1" t="inlineStr">
        <is>
          <t>Cheese, goat</t>
        </is>
      </c>
      <c r="J2353" t="n">
        <v>14420100</v>
      </c>
    </row>
    <row r="2354" ht="15.75" customHeight="1" s="201">
      <c r="A2354" s="1" t="inlineStr">
        <is>
          <t>Cheese, goat, hard type</t>
        </is>
      </c>
      <c r="C2354" s="1" t="n">
        <v>2.17</v>
      </c>
      <c r="D2354" s="1" t="n">
        <v>4</v>
      </c>
      <c r="E2354" s="1" t="n">
        <v>1.88</v>
      </c>
      <c r="F2354" s="1" t="n">
        <v>30.52</v>
      </c>
      <c r="G2354" s="1" t="n">
        <v>35.59</v>
      </c>
      <c r="H2354" s="1" t="n">
        <v>1745</v>
      </c>
      <c r="I2354" s="1" t="n">
        <v>1.59</v>
      </c>
      <c r="J2354" t="n">
        <v>14107030</v>
      </c>
    </row>
    <row r="2355" ht="15.75" customHeight="1" s="201">
      <c r="A2355" s="1" t="inlineStr">
        <is>
          <t>Cheese, goat, semisoft type</t>
        </is>
      </c>
      <c r="C2355" s="1" t="n">
        <v>0.12</v>
      </c>
      <c r="D2355" s="1" t="n">
        <v>2</v>
      </c>
      <c r="E2355" s="1" t="n">
        <v>1.62</v>
      </c>
      <c r="F2355" s="1" t="n">
        <v>21.58</v>
      </c>
      <c r="G2355" s="1" t="n">
        <v>29.84</v>
      </c>
      <c r="H2355" s="1" t="n">
        <v>1464</v>
      </c>
      <c r="I2355" s="1" t="n">
        <v>0.66</v>
      </c>
      <c r="J2355" t="n">
        <v>14107030</v>
      </c>
    </row>
    <row r="2356" ht="15.75" customHeight="1" s="201">
      <c r="A2356" s="1" t="inlineStr">
        <is>
          <t>Cheese, goat, soft type</t>
        </is>
      </c>
      <c r="C2356" s="1" t="n">
        <v>0</v>
      </c>
      <c r="D2356" s="1" t="n">
        <v>12</v>
      </c>
      <c r="E2356" s="1" t="n">
        <v>1.9</v>
      </c>
      <c r="F2356" s="1" t="n">
        <v>18.52</v>
      </c>
      <c r="G2356" s="1" t="n">
        <v>21.08</v>
      </c>
      <c r="H2356" s="1" t="n">
        <v>1033</v>
      </c>
      <c r="I2356" s="1" t="n">
        <v>0.92</v>
      </c>
      <c r="J2356" t="n">
        <v>14107030</v>
      </c>
    </row>
    <row r="2357" ht="15.75" customHeight="1" s="201">
      <c r="A2357" s="1" t="inlineStr">
        <is>
          <t>Cheese, gouda</t>
        </is>
      </c>
      <c r="C2357" s="1" t="n">
        <v>2.22</v>
      </c>
      <c r="D2357" s="1" t="n">
        <v>21</v>
      </c>
      <c r="E2357" s="1" t="n">
        <v>0.24</v>
      </c>
      <c r="F2357" s="1" t="n">
        <v>24.94</v>
      </c>
      <c r="G2357" s="1" t="n">
        <v>27.44</v>
      </c>
      <c r="H2357" s="1" t="n">
        <v>563</v>
      </c>
      <c r="I2357" s="1" t="n">
        <v>3.9</v>
      </c>
      <c r="J2357" t="n">
        <v>14420100</v>
      </c>
    </row>
    <row r="2358" ht="15.75" customHeight="1" s="201">
      <c r="A2358" s="1" t="inlineStr">
        <is>
          <t>Cheese, gruyere</t>
        </is>
      </c>
      <c r="C2358" s="1" t="n">
        <v>0.36</v>
      </c>
      <c r="D2358" s="1" t="n">
        <v>10</v>
      </c>
      <c r="E2358" s="1" t="n">
        <v>0.17</v>
      </c>
      <c r="F2358" s="1" t="n">
        <v>29.81</v>
      </c>
      <c r="G2358" s="1" t="n">
        <v>32.34</v>
      </c>
      <c r="H2358" s="1" t="n">
        <v>948</v>
      </c>
      <c r="I2358" s="1" t="n">
        <v>3.9</v>
      </c>
      <c r="J2358" t="n">
        <v>14420100</v>
      </c>
    </row>
    <row r="2359" ht="15.75" customHeight="1" s="201">
      <c r="A2359" s="1" t="inlineStr">
        <is>
          <t>Cheese, limburger</t>
        </is>
      </c>
      <c r="C2359" s="1" t="n">
        <v>0.49</v>
      </c>
      <c r="D2359" s="1" t="n">
        <v>58</v>
      </c>
      <c r="E2359" s="1" t="n">
        <v>0.13</v>
      </c>
      <c r="F2359" s="1" t="n">
        <v>20.05</v>
      </c>
      <c r="G2359" s="1" t="n">
        <v>27.25</v>
      </c>
      <c r="H2359" s="1" t="n">
        <v>1155</v>
      </c>
      <c r="I2359" s="1" t="n">
        <v>2.1</v>
      </c>
      <c r="J2359" t="n">
        <v>14420100</v>
      </c>
    </row>
    <row r="2360" ht="15.75" customHeight="1" s="201">
      <c r="A2360" s="1" t="inlineStr">
        <is>
          <t>Cheese, low fat, cheddar or colby</t>
        </is>
      </c>
      <c r="C2360" s="1" t="n">
        <v>1.91</v>
      </c>
      <c r="D2360" s="1" t="n">
        <v>11</v>
      </c>
      <c r="E2360" s="1" t="n">
        <v>0.42</v>
      </c>
      <c r="F2360" s="1" t="n">
        <v>24.35</v>
      </c>
      <c r="G2360" s="1" t="n">
        <v>7</v>
      </c>
      <c r="H2360" s="1" t="n">
        <v>207</v>
      </c>
      <c r="I2360" s="1" t="n">
        <v>1.82</v>
      </c>
      <c r="J2360" t="n">
        <v>14104110</v>
      </c>
    </row>
    <row r="2361" ht="15.75" customHeight="1" s="201">
      <c r="A2361" s="1" t="inlineStr">
        <is>
          <t>Cheese, low-sodium, cheddar or colby</t>
        </is>
      </c>
      <c r="C2361" s="1" t="n">
        <v>1.91</v>
      </c>
      <c r="D2361" s="1" t="n">
        <v>18</v>
      </c>
      <c r="E2361" s="1" t="n">
        <v>0.72</v>
      </c>
      <c r="F2361" s="1" t="n">
        <v>24.35</v>
      </c>
      <c r="G2361" s="1" t="n">
        <v>32.62</v>
      </c>
      <c r="H2361" s="1" t="n">
        <v>996</v>
      </c>
      <c r="I2361" s="1" t="n">
        <v>3.09</v>
      </c>
      <c r="J2361" t="n">
        <v>14104110</v>
      </c>
    </row>
    <row r="2362" ht="15.75" customHeight="1" s="201">
      <c r="A2362" s="1" t="inlineStr">
        <is>
          <t>Cheese, Mexican blend</t>
        </is>
      </c>
      <c r="C2362" s="1" t="n">
        <v>0.13</v>
      </c>
      <c r="D2362" s="1" t="n">
        <v>13</v>
      </c>
      <c r="E2362" s="1" t="n">
        <v>0.59</v>
      </c>
      <c r="F2362" s="1" t="n">
        <v>23.54</v>
      </c>
      <c r="G2362" s="1" t="n">
        <v>32.14</v>
      </c>
      <c r="H2362" s="1" t="n">
        <v>659</v>
      </c>
      <c r="I2362" s="1" t="n">
        <v>3.01</v>
      </c>
      <c r="J2362" t="n">
        <v>14120010</v>
      </c>
    </row>
    <row r="2363" ht="15.75" customHeight="1" s="201">
      <c r="A2363" s="1" t="inlineStr">
        <is>
          <t>Cheese, Mexican, blend, reduced fat</t>
        </is>
      </c>
      <c r="C2363" s="1" t="n">
        <v>3.41</v>
      </c>
      <c r="D2363" s="1" t="n">
        <v>20</v>
      </c>
      <c r="E2363" s="1" t="n">
        <v>0.13</v>
      </c>
      <c r="F2363" s="1" t="n">
        <v>24.69</v>
      </c>
      <c r="G2363" s="1" t="n">
        <v>19.4</v>
      </c>
      <c r="H2363" s="1" t="n">
        <v>586</v>
      </c>
      <c r="I2363" s="1" t="n">
        <v>4.3</v>
      </c>
      <c r="J2363" t="n">
        <v>14120020</v>
      </c>
    </row>
    <row r="2364" ht="15.75" customHeight="1" s="201">
      <c r="A2364" s="1" t="inlineStr">
        <is>
          <t>Cheese, mexican, queso anejo</t>
        </is>
      </c>
      <c r="C2364" s="1" t="n">
        <v>4.63</v>
      </c>
      <c r="D2364" s="1" t="n">
        <v>1</v>
      </c>
      <c r="E2364" s="1" t="n">
        <v>0.47</v>
      </c>
      <c r="F2364" s="1" t="n">
        <v>21.44</v>
      </c>
      <c r="G2364" s="1" t="n">
        <v>29.98</v>
      </c>
      <c r="H2364" s="1" t="n">
        <v>220</v>
      </c>
      <c r="I2364" s="1" t="n">
        <v>2.94</v>
      </c>
      <c r="J2364" t="n">
        <v>14120010</v>
      </c>
    </row>
    <row r="2365" ht="15.75" customHeight="1" s="201">
      <c r="A2365" s="1" t="inlineStr">
        <is>
          <t>Cheese, mexican, queso asadero</t>
        </is>
      </c>
      <c r="C2365" s="1" t="n">
        <v>4.13</v>
      </c>
      <c r="D2365" s="1" t="n">
        <v>8</v>
      </c>
      <c r="E2365" s="1" t="n">
        <v>0.51</v>
      </c>
      <c r="F2365" s="1" t="n">
        <v>22.6</v>
      </c>
      <c r="G2365" s="1" t="n">
        <v>25</v>
      </c>
      <c r="H2365" s="1" t="n">
        <v>190</v>
      </c>
      <c r="I2365" s="1" t="n">
        <v>3.02</v>
      </c>
      <c r="J2365" t="n">
        <v>14120010</v>
      </c>
    </row>
    <row r="2366" ht="15.75" customHeight="1" s="201">
      <c r="A2366" s="1" t="inlineStr">
        <is>
          <t>Cheese, mexican, queso chihuahua</t>
        </is>
      </c>
      <c r="C2366" s="1" t="n">
        <v>5.56</v>
      </c>
      <c r="D2366" s="1" t="n">
        <v>2</v>
      </c>
      <c r="E2366" s="1" t="n">
        <v>0.47</v>
      </c>
      <c r="F2366" s="1" t="n">
        <v>21.56</v>
      </c>
      <c r="G2366" s="1" t="n">
        <v>29.68</v>
      </c>
      <c r="H2366" s="1" t="n">
        <v>193</v>
      </c>
      <c r="I2366" s="1" t="n">
        <v>3.5</v>
      </c>
      <c r="J2366" t="n">
        <v>14120010</v>
      </c>
    </row>
    <row r="2367" ht="15.75" customHeight="1" s="201">
      <c r="A2367" s="1" t="inlineStr">
        <is>
          <t>Cheese, mexican, queso cotija</t>
        </is>
      </c>
      <c r="C2367" s="1" t="n">
        <v>3.97</v>
      </c>
      <c r="D2367" s="1" t="n">
        <v>10</v>
      </c>
      <c r="E2367" s="1" t="n">
        <v>0</v>
      </c>
      <c r="F2367" s="1" t="n">
        <v>20</v>
      </c>
      <c r="G2367" s="1" t="n">
        <v>30</v>
      </c>
      <c r="H2367" s="1" t="n">
        <v>865</v>
      </c>
      <c r="I2367" s="1" t="n">
        <v>3.87</v>
      </c>
      <c r="J2367" t="n">
        <v>14120010</v>
      </c>
    </row>
    <row r="2368" ht="15.75" customHeight="1" s="201">
      <c r="A2368" s="1" t="inlineStr">
        <is>
          <t>Cheese, monterey</t>
        </is>
      </c>
      <c r="C2368" s="1" t="n">
        <v>0.68</v>
      </c>
      <c r="D2368" s="1" t="n">
        <v>18</v>
      </c>
      <c r="E2368" s="1" t="n">
        <v>0.72</v>
      </c>
      <c r="F2368" s="1" t="n">
        <v>24.48</v>
      </c>
      <c r="G2368" s="1" t="n">
        <v>30.28</v>
      </c>
      <c r="H2368" s="1" t="n">
        <v>769</v>
      </c>
      <c r="I2368" s="1" t="n">
        <v>3</v>
      </c>
      <c r="J2368" t="n">
        <v>14420100</v>
      </c>
    </row>
    <row r="2369" ht="15.75" customHeight="1" s="201">
      <c r="A2369" s="1" t="inlineStr">
        <is>
          <t>Cheese, monterey, low fat</t>
        </is>
      </c>
      <c r="C2369" s="1" t="n">
        <v>0.7</v>
      </c>
      <c r="D2369" s="1" t="n">
        <v>18</v>
      </c>
      <c r="E2369" s="1" t="n">
        <v>0.72</v>
      </c>
      <c r="F2369" s="1" t="n">
        <v>28.2</v>
      </c>
      <c r="G2369" s="1" t="n">
        <v>21.6</v>
      </c>
      <c r="H2369" s="1" t="n">
        <v>549</v>
      </c>
      <c r="I2369" s="1" t="n">
        <v>3</v>
      </c>
      <c r="J2369" t="n">
        <v>14420100</v>
      </c>
    </row>
    <row r="2370" ht="15.75" customHeight="1" s="201">
      <c r="A2370" s="1" t="inlineStr">
        <is>
          <t>Cheese, mozzarella, low moisture, part-skim</t>
        </is>
      </c>
      <c r="C2370" s="1" t="n">
        <v>5.58</v>
      </c>
      <c r="D2370" s="1" t="n">
        <v>27</v>
      </c>
      <c r="E2370" s="1" t="n">
        <v>0.22</v>
      </c>
      <c r="F2370" s="1" t="n">
        <v>23.75</v>
      </c>
      <c r="G2370" s="1" t="n">
        <v>19.78</v>
      </c>
      <c r="H2370" s="1" t="n">
        <v>829</v>
      </c>
      <c r="I2370" s="1" t="n">
        <v>3.62</v>
      </c>
      <c r="J2370" t="n">
        <v>14107030</v>
      </c>
    </row>
    <row r="2371" ht="15.75" customHeight="1" s="201">
      <c r="A2371" s="1" t="inlineStr">
        <is>
          <t>Cheese, mozzarella, low moisture, part-skim, shredded</t>
        </is>
      </c>
      <c r="C2371" s="1" t="n">
        <v>8.06</v>
      </c>
      <c r="D2371" s="1" t="n">
        <v>27</v>
      </c>
      <c r="E2371" s="1" t="n">
        <v>0.23</v>
      </c>
      <c r="F2371" s="1" t="n">
        <v>23.63</v>
      </c>
      <c r="G2371" s="1" t="n">
        <v>19.72</v>
      </c>
      <c r="H2371" s="1" t="n">
        <v>846</v>
      </c>
      <c r="I2371" s="1" t="n">
        <v>3.61</v>
      </c>
      <c r="J2371" t="n">
        <v>14107030</v>
      </c>
    </row>
    <row r="2372" ht="15.75" customHeight="1" s="201">
      <c r="A2372" s="1" t="inlineStr">
        <is>
          <t>Cheese, mozzarella, low sodium</t>
        </is>
      </c>
      <c r="C2372" s="1" t="n">
        <v>3.1</v>
      </c>
      <c r="D2372" s="1" t="n">
        <v>9</v>
      </c>
      <c r="E2372" s="1" t="n">
        <v>0.25</v>
      </c>
      <c r="F2372" s="1" t="n">
        <v>27.5</v>
      </c>
      <c r="G2372" s="1" t="n">
        <v>17.1</v>
      </c>
      <c r="H2372" s="1" t="n">
        <v>517</v>
      </c>
      <c r="I2372" s="1" t="n">
        <v>3.13</v>
      </c>
      <c r="J2372" t="n">
        <v>54204030</v>
      </c>
    </row>
    <row r="2373" ht="15.75" customHeight="1" s="201">
      <c r="A2373" s="1" t="inlineStr">
        <is>
          <t>Cheese, mozzarella, nonfat</t>
        </is>
      </c>
      <c r="C2373" s="1" t="n">
        <v>3.5</v>
      </c>
      <c r="D2373" s="1" t="n">
        <v>10</v>
      </c>
      <c r="E2373" s="1" t="n">
        <v>0.31</v>
      </c>
      <c r="F2373" s="1" t="n">
        <v>31.7</v>
      </c>
      <c r="G2373" s="1" t="n">
        <v>0</v>
      </c>
      <c r="H2373" s="1" t="n">
        <v>481</v>
      </c>
      <c r="I2373" s="1" t="n">
        <v>3.92</v>
      </c>
      <c r="J2373" t="n">
        <v>14203020</v>
      </c>
    </row>
    <row r="2374" ht="15.75" customHeight="1" s="201">
      <c r="A2374" s="1" t="inlineStr">
        <is>
          <t>Cheese, mozzarella, part skim milk</t>
        </is>
      </c>
      <c r="C2374" s="1" t="n">
        <v>2.77</v>
      </c>
      <c r="D2374" s="1" t="n">
        <v>9</v>
      </c>
      <c r="E2374" s="1" t="n">
        <v>0.22</v>
      </c>
      <c r="F2374" s="1" t="n">
        <v>24.26</v>
      </c>
      <c r="G2374" s="1" t="n">
        <v>15.92</v>
      </c>
      <c r="H2374" s="1" t="n">
        <v>481</v>
      </c>
      <c r="I2374" s="1" t="n">
        <v>2.76</v>
      </c>
      <c r="J2374" t="n">
        <v>14107030</v>
      </c>
    </row>
    <row r="2375" ht="15.75" customHeight="1" s="201">
      <c r="A2375" s="1" t="inlineStr">
        <is>
          <t>Cheese, mozzarella, whole milk</t>
        </is>
      </c>
      <c r="C2375" s="1" t="n">
        <v>2.4</v>
      </c>
      <c r="D2375" s="1" t="n">
        <v>7</v>
      </c>
      <c r="E2375" s="1" t="n">
        <v>0.44</v>
      </c>
      <c r="F2375" s="1" t="n">
        <v>22.17</v>
      </c>
      <c r="G2375" s="1" t="n">
        <v>22.14</v>
      </c>
      <c r="H2375" s="1" t="n">
        <v>676</v>
      </c>
      <c r="I2375" s="1" t="n">
        <v>2.92</v>
      </c>
      <c r="J2375" t="n">
        <v>14107030</v>
      </c>
    </row>
    <row r="2376" ht="15.75" customHeight="1" s="201">
      <c r="A2376" s="1" t="inlineStr">
        <is>
          <t>Cheese, mozzarella, whole milk, low moisture</t>
        </is>
      </c>
      <c r="C2376" s="1" t="n">
        <v>2.47</v>
      </c>
      <c r="D2376" s="1" t="n">
        <v>8</v>
      </c>
      <c r="E2376" s="1" t="n">
        <v>0.2</v>
      </c>
      <c r="F2376" s="1" t="n">
        <v>21.6</v>
      </c>
      <c r="G2376" s="1" t="n">
        <v>24.64</v>
      </c>
      <c r="H2376" s="1" t="n">
        <v>745</v>
      </c>
      <c r="I2376" s="1" t="n">
        <v>2.46</v>
      </c>
      <c r="J2376" t="n">
        <v>14107030</v>
      </c>
    </row>
    <row r="2377" ht="15.75" customHeight="1" s="201">
      <c r="A2377" s="1" t="inlineStr">
        <is>
          <t>Cheese, muenster</t>
        </is>
      </c>
      <c r="C2377" s="1" t="n">
        <v>1.12</v>
      </c>
      <c r="D2377" s="1" t="n">
        <v>12</v>
      </c>
      <c r="E2377" s="1" t="n">
        <v>0.41</v>
      </c>
      <c r="F2377" s="1" t="n">
        <v>23.41</v>
      </c>
      <c r="G2377" s="1" t="n">
        <v>30.04</v>
      </c>
      <c r="H2377" s="1" t="n">
        <v>1012</v>
      </c>
      <c r="I2377" s="1" t="n">
        <v>2.81</v>
      </c>
      <c r="J2377" t="n">
        <v>14107200</v>
      </c>
    </row>
    <row r="2378" ht="15.75" customHeight="1" s="201">
      <c r="A2378" s="1" t="inlineStr">
        <is>
          <t>Cheese, muenster, low fat</t>
        </is>
      </c>
      <c r="C2378" s="1" t="n">
        <v>3.5</v>
      </c>
      <c r="D2378" s="1" t="n">
        <v>12</v>
      </c>
      <c r="E2378" s="1" t="n">
        <v>0.41</v>
      </c>
      <c r="F2378" s="1" t="n">
        <v>24.7</v>
      </c>
      <c r="G2378" s="1" t="n">
        <v>17.6</v>
      </c>
      <c r="H2378" s="1" t="n">
        <v>593</v>
      </c>
      <c r="I2378" s="1" t="n">
        <v>2.81</v>
      </c>
      <c r="J2378" t="n">
        <v>14420100</v>
      </c>
    </row>
    <row r="2379" ht="15.75" customHeight="1" s="201">
      <c r="A2379" s="1" t="inlineStr">
        <is>
          <t>Cheese, neufchatel</t>
        </is>
      </c>
      <c r="C2379" s="1" t="n">
        <v>3.59</v>
      </c>
      <c r="D2379" s="1" t="n">
        <v>14</v>
      </c>
      <c r="E2379" s="1" t="n">
        <v>0.13</v>
      </c>
      <c r="F2379" s="1" t="n">
        <v>9.15</v>
      </c>
      <c r="G2379" s="1" t="n">
        <v>22.78</v>
      </c>
      <c r="H2379" s="1" t="n">
        <v>841</v>
      </c>
      <c r="I2379" s="1" t="n">
        <v>0.82</v>
      </c>
      <c r="J2379" t="n">
        <v>14420100</v>
      </c>
    </row>
    <row r="2380" ht="15.75" customHeight="1" s="201">
      <c r="A2380" s="1" t="inlineStr">
        <is>
          <t>Cheese, parmesan, dry grated, reduced fat</t>
        </is>
      </c>
      <c r="C2380" s="1" t="n">
        <v>1.37</v>
      </c>
      <c r="D2380" s="1" t="n">
        <v>10</v>
      </c>
      <c r="E2380" s="1" t="n">
        <v>0.9</v>
      </c>
      <c r="F2380" s="1" t="n">
        <v>20</v>
      </c>
      <c r="G2380" s="1" t="n">
        <v>20</v>
      </c>
      <c r="H2380" s="1" t="n">
        <v>605</v>
      </c>
      <c r="I2380" s="1" t="n">
        <v>3.87</v>
      </c>
      <c r="J2380" t="n">
        <v>14104110</v>
      </c>
    </row>
    <row r="2381" ht="15.75" customHeight="1" s="201">
      <c r="A2381" s="1" t="inlineStr">
        <is>
          <t>Cheese, parmesan, grated</t>
        </is>
      </c>
      <c r="C2381" s="1" t="n">
        <v>13.91</v>
      </c>
      <c r="D2381" s="1" t="n">
        <v>6</v>
      </c>
      <c r="E2381" s="1" t="n">
        <v>0.49</v>
      </c>
      <c r="F2381" s="1" t="n">
        <v>28.42</v>
      </c>
      <c r="G2381" s="1" t="n">
        <v>27.84</v>
      </c>
      <c r="H2381" s="1" t="n">
        <v>974</v>
      </c>
      <c r="I2381" s="1" t="n">
        <v>4.2</v>
      </c>
      <c r="J2381" t="n">
        <v>14420100</v>
      </c>
    </row>
    <row r="2382" ht="15.75" customHeight="1" s="201">
      <c r="A2382" s="1" t="inlineStr">
        <is>
          <t>Cheese, parmesan, hard</t>
        </is>
      </c>
      <c r="C2382" s="1" t="n">
        <v>3.22</v>
      </c>
      <c r="D2382" s="1" t="n">
        <v>7</v>
      </c>
      <c r="E2382" s="1" t="n">
        <v>0.82</v>
      </c>
      <c r="F2382" s="1" t="n">
        <v>35.75</v>
      </c>
      <c r="G2382" s="1" t="n">
        <v>25</v>
      </c>
      <c r="H2382" s="1" t="n">
        <v>781</v>
      </c>
      <c r="I2382" s="1" t="n">
        <v>2.75</v>
      </c>
      <c r="J2382" t="n">
        <v>14420100</v>
      </c>
    </row>
    <row r="2383" ht="15.75" customHeight="1" s="201">
      <c r="A2383" s="1" t="inlineStr">
        <is>
          <t>Cheese, parmesan, low sodium</t>
        </is>
      </c>
      <c r="C2383" s="1" t="n">
        <v>3.7</v>
      </c>
      <c r="D2383" s="1" t="n">
        <v>10</v>
      </c>
      <c r="E2383" s="1" t="n">
        <v>0.95</v>
      </c>
      <c r="F2383" s="1" t="n">
        <v>41.6</v>
      </c>
      <c r="G2383" s="1" t="n">
        <v>29.99</v>
      </c>
      <c r="H2383" s="1" t="n">
        <v>463</v>
      </c>
      <c r="I2383" s="1" t="n">
        <v>3.19</v>
      </c>
      <c r="J2383" t="n">
        <v>54204030</v>
      </c>
    </row>
    <row r="2384" ht="15.75" customHeight="1" s="201">
      <c r="A2384" s="1" t="inlineStr">
        <is>
          <t>Cheese, parmesan, shredded</t>
        </is>
      </c>
      <c r="C2384" s="1" t="n">
        <v>3.41</v>
      </c>
      <c r="D2384" s="1" t="n">
        <v>8</v>
      </c>
      <c r="E2384" s="1" t="n">
        <v>0.87</v>
      </c>
      <c r="F2384" s="1" t="n">
        <v>37.86</v>
      </c>
      <c r="G2384" s="1" t="n">
        <v>27.34</v>
      </c>
      <c r="H2384" s="1" t="n">
        <v>865</v>
      </c>
      <c r="I2384" s="1" t="n">
        <v>3.19</v>
      </c>
      <c r="J2384" t="n">
        <v>14420100</v>
      </c>
    </row>
    <row r="2385" ht="15.75" customHeight="1" s="201">
      <c r="A2385" s="1" t="inlineStr">
        <is>
          <t>Cheese, pasteurized process, American, fortified with vitamin D</t>
        </is>
      </c>
      <c r="C2385" s="1" t="n">
        <v>4.78</v>
      </c>
      <c r="D2385" s="1" t="n">
        <v>8</v>
      </c>
      <c r="E2385" s="1" t="n">
        <v>0.63</v>
      </c>
      <c r="F2385" s="1" t="n">
        <v>18.13</v>
      </c>
      <c r="G2385" s="1" t="n">
        <v>30.71</v>
      </c>
      <c r="H2385" s="1" t="n">
        <v>1131</v>
      </c>
      <c r="I2385" s="1" t="n">
        <v>2.49</v>
      </c>
      <c r="J2385" t="n">
        <v>51121065</v>
      </c>
    </row>
    <row r="2386" ht="15.75" customHeight="1" s="201">
      <c r="A2386" s="1" t="inlineStr">
        <is>
          <t>Cheese, pasteurized process, American, low fat</t>
        </is>
      </c>
      <c r="C2386" s="1" t="n">
        <v>3.5</v>
      </c>
      <c r="D2386" s="1" t="n">
        <v>9</v>
      </c>
      <c r="E2386" s="1" t="n">
        <v>0.43</v>
      </c>
      <c r="F2386" s="1" t="n">
        <v>24.6</v>
      </c>
      <c r="G2386" s="1" t="n">
        <v>7</v>
      </c>
      <c r="H2386" s="1" t="n">
        <v>215</v>
      </c>
      <c r="I2386" s="1" t="n">
        <v>3.32</v>
      </c>
      <c r="J2386" t="n">
        <v>14420100</v>
      </c>
    </row>
    <row r="2387" ht="15.75" customHeight="1" s="201">
      <c r="A2387" s="1" t="inlineStr">
        <is>
          <t>Cheese, pasteurized process, American, without added vitamin D</t>
        </is>
      </c>
      <c r="C2387" s="1" t="n">
        <v>3.7</v>
      </c>
      <c r="D2387" s="1" t="n">
        <v>8</v>
      </c>
      <c r="E2387" s="1" t="n">
        <v>0.63</v>
      </c>
      <c r="F2387" s="1" t="n">
        <v>18.13</v>
      </c>
      <c r="G2387" s="1" t="n">
        <v>31.79</v>
      </c>
      <c r="H2387" s="1" t="n">
        <v>945</v>
      </c>
      <c r="I2387" s="1" t="n">
        <v>2.49</v>
      </c>
      <c r="J2387" t="n">
        <v>14420100</v>
      </c>
    </row>
    <row r="2388" ht="15.75" customHeight="1" s="201">
      <c r="A2388" s="1" t="inlineStr">
        <is>
          <t>Cheese, pasteurized process, cheddar or American, low sodium</t>
        </is>
      </c>
      <c r="C2388" s="1" t="n">
        <v>1.6</v>
      </c>
      <c r="D2388" s="1" t="n">
        <v>8</v>
      </c>
      <c r="E2388" s="1" t="n">
        <v>0.39</v>
      </c>
      <c r="F2388" s="1" t="n">
        <v>22.2</v>
      </c>
      <c r="G2388" s="1" t="n">
        <v>31.19</v>
      </c>
      <c r="H2388" s="1" t="n">
        <v>959</v>
      </c>
      <c r="I2388" s="1" t="n">
        <v>2.99</v>
      </c>
      <c r="J2388" t="n">
        <v>14420100</v>
      </c>
    </row>
    <row r="2389" ht="15.75" customHeight="1" s="201">
      <c r="A2389" s="1" t="inlineStr">
        <is>
          <t>Cheese, pasteurized process, pimento</t>
        </is>
      </c>
      <c r="C2389" s="1" t="n">
        <v>1.73</v>
      </c>
      <c r="D2389" s="1" t="n">
        <v>8</v>
      </c>
      <c r="E2389" s="1" t="n">
        <v>0.42</v>
      </c>
      <c r="F2389" s="1" t="n">
        <v>22.13</v>
      </c>
      <c r="G2389" s="1" t="n">
        <v>31.2</v>
      </c>
      <c r="H2389" s="1" t="n">
        <v>1030</v>
      </c>
      <c r="I2389" s="1" t="n">
        <v>2.98</v>
      </c>
      <c r="J2389" t="n">
        <v>14420100</v>
      </c>
    </row>
    <row r="2390" ht="15.75" customHeight="1" s="201">
      <c r="A2390" s="1" t="inlineStr">
        <is>
          <t>Cheese, pasteurized process, swiss</t>
        </is>
      </c>
      <c r="C2390" s="1" t="n">
        <v>2.1</v>
      </c>
      <c r="D2390" s="1" t="n">
        <v>6</v>
      </c>
      <c r="E2390" s="1" t="n">
        <v>0.61</v>
      </c>
      <c r="F2390" s="1" t="n">
        <v>24.73</v>
      </c>
      <c r="G2390" s="1" t="n">
        <v>25.01</v>
      </c>
      <c r="H2390" s="1" t="n">
        <v>746</v>
      </c>
      <c r="I2390" s="1" t="n">
        <v>3.61</v>
      </c>
      <c r="J2390" t="n">
        <v>14420100</v>
      </c>
    </row>
    <row r="2391" ht="15.75" customHeight="1" s="201">
      <c r="A2391" s="1" t="inlineStr">
        <is>
          <t>Cheese, port de salut</t>
        </is>
      </c>
      <c r="C2391" s="1" t="n">
        <v>0.57</v>
      </c>
      <c r="D2391" s="1" t="n">
        <v>18</v>
      </c>
      <c r="E2391" s="1" t="n">
        <v>0.43</v>
      </c>
      <c r="F2391" s="1" t="n">
        <v>23.78</v>
      </c>
      <c r="G2391" s="1" t="n">
        <v>28.2</v>
      </c>
      <c r="H2391" s="1" t="n">
        <v>1092</v>
      </c>
      <c r="I2391" s="1" t="n">
        <v>2.6</v>
      </c>
      <c r="J2391" t="n">
        <v>14420100</v>
      </c>
    </row>
    <row r="2392" ht="15.75" customHeight="1" s="201">
      <c r="A2392" s="1" t="inlineStr">
        <is>
          <t>Cheese, provolone</t>
        </is>
      </c>
      <c r="C2392" s="1" t="n">
        <v>2.14</v>
      </c>
      <c r="D2392" s="1" t="n">
        <v>10</v>
      </c>
      <c r="E2392" s="1" t="n">
        <v>0.52</v>
      </c>
      <c r="F2392" s="1" t="n">
        <v>25.58</v>
      </c>
      <c r="G2392" s="1" t="n">
        <v>26.62</v>
      </c>
      <c r="H2392" s="1" t="n">
        <v>880</v>
      </c>
      <c r="I2392" s="1" t="n">
        <v>3.23</v>
      </c>
      <c r="J2392" t="n">
        <v>14108400</v>
      </c>
    </row>
    <row r="2393" ht="15.75" customHeight="1" s="201">
      <c r="A2393" s="1" t="inlineStr">
        <is>
          <t>Cheese, provolone, reduced fat</t>
        </is>
      </c>
      <c r="C2393" s="1" t="n">
        <v>3.5</v>
      </c>
      <c r="D2393" s="1" t="n">
        <v>10</v>
      </c>
      <c r="E2393" s="1" t="n">
        <v>0.52</v>
      </c>
      <c r="F2393" s="1" t="n">
        <v>24.7</v>
      </c>
      <c r="G2393" s="1" t="n">
        <v>17.6</v>
      </c>
      <c r="H2393" s="1" t="n">
        <v>532</v>
      </c>
      <c r="I2393" s="1" t="n">
        <v>3.23</v>
      </c>
      <c r="J2393" t="n">
        <v>14104110</v>
      </c>
    </row>
    <row r="2394" ht="15.75" customHeight="1" s="201">
      <c r="A2394" s="1" t="inlineStr">
        <is>
          <t>Cheese, ricotta, part skim milk</t>
        </is>
      </c>
      <c r="C2394" s="1" t="n">
        <v>5.14</v>
      </c>
      <c r="D2394" s="1" t="n">
        <v>13</v>
      </c>
      <c r="E2394" s="1" t="n">
        <v>0.44</v>
      </c>
      <c r="F2394" s="1" t="n">
        <v>11.39</v>
      </c>
      <c r="G2394" s="1" t="n">
        <v>7.91</v>
      </c>
      <c r="H2394" s="1" t="n">
        <v>384</v>
      </c>
      <c r="I2394" s="1" t="n">
        <v>1.34</v>
      </c>
      <c r="J2394" t="n">
        <v>14107030</v>
      </c>
    </row>
    <row r="2395" ht="15.75" customHeight="1" s="201">
      <c r="A2395" s="1" t="inlineStr">
        <is>
          <t>Cheese, ricotta, whole milk</t>
        </is>
      </c>
      <c r="C2395" s="1" t="n">
        <v>7.27</v>
      </c>
      <c r="D2395" s="1" t="n">
        <v>4</v>
      </c>
      <c r="E2395" s="1" t="n">
        <v>0.13</v>
      </c>
      <c r="F2395" s="1" t="n">
        <v>7.54</v>
      </c>
      <c r="G2395" s="1" t="n">
        <v>10.18</v>
      </c>
      <c r="H2395" s="1" t="n">
        <v>445</v>
      </c>
      <c r="I2395" s="1" t="n">
        <v>0.53</v>
      </c>
      <c r="J2395" t="n">
        <v>14107030</v>
      </c>
    </row>
    <row r="2396" ht="15.75" customHeight="1" s="201">
      <c r="A2396" s="1" t="inlineStr">
        <is>
          <t>Cheese, romano</t>
        </is>
      </c>
      <c r="C2396" s="1" t="n">
        <v>3.63</v>
      </c>
      <c r="D2396" s="1" t="n">
        <v>7</v>
      </c>
      <c r="E2396" s="1" t="n">
        <v>0.77</v>
      </c>
      <c r="F2396" s="1" t="n">
        <v>31.8</v>
      </c>
      <c r="G2396" s="1" t="n">
        <v>26.94</v>
      </c>
      <c r="H2396" s="1" t="n">
        <v>415</v>
      </c>
      <c r="I2396" s="1" t="n">
        <v>2.58</v>
      </c>
      <c r="J2396" t="n">
        <v>14420100</v>
      </c>
    </row>
    <row r="2397" ht="15.75" customHeight="1" s="201">
      <c r="A2397" s="1" t="inlineStr">
        <is>
          <t>Cheese, roquefort</t>
        </is>
      </c>
      <c r="C2397" s="1" t="n">
        <v>2</v>
      </c>
      <c r="D2397" s="1" t="n">
        <v>49</v>
      </c>
      <c r="E2397" s="1" t="n">
        <v>0.5600000000000001</v>
      </c>
      <c r="F2397" s="1" t="n">
        <v>21.54</v>
      </c>
      <c r="G2397" s="1" t="n">
        <v>30.64</v>
      </c>
      <c r="H2397" s="1" t="n">
        <v>1047</v>
      </c>
      <c r="I2397" s="1" t="n">
        <v>2.08</v>
      </c>
      <c r="J2397" t="n">
        <v>14420100</v>
      </c>
    </row>
    <row r="2398" ht="15.75" customHeight="1" s="201">
      <c r="A2398" s="1" t="inlineStr">
        <is>
          <t>Cheese, swiss</t>
        </is>
      </c>
      <c r="C2398" s="1" t="n">
        <v>1.44</v>
      </c>
      <c r="D2398" s="1" t="n">
        <v>10</v>
      </c>
      <c r="E2398" s="1" t="n">
        <v>0.13</v>
      </c>
      <c r="F2398" s="1" t="n">
        <v>26.96</v>
      </c>
      <c r="G2398" s="1" t="n">
        <v>30.99</v>
      </c>
      <c r="H2398" s="1" t="n">
        <v>1047</v>
      </c>
      <c r="I2398" s="1" t="n">
        <v>4.37</v>
      </c>
      <c r="J2398" t="n">
        <v>14420100</v>
      </c>
    </row>
    <row r="2399" ht="15.75" customHeight="1" s="201">
      <c r="A2399" s="1" t="inlineStr">
        <is>
          <t>Cheese, swiss, low fat</t>
        </is>
      </c>
      <c r="C2399" s="1" t="n">
        <v>3.4</v>
      </c>
      <c r="D2399" s="1" t="n">
        <v>6</v>
      </c>
      <c r="E2399" s="1" t="n">
        <v>0.17</v>
      </c>
      <c r="F2399" s="1" t="n">
        <v>28.4</v>
      </c>
      <c r="G2399" s="1" t="n">
        <v>5.1</v>
      </c>
      <c r="H2399" s="1" t="n">
        <v>152</v>
      </c>
      <c r="I2399" s="1" t="n">
        <v>3.9</v>
      </c>
      <c r="J2399" t="n">
        <v>14420100</v>
      </c>
    </row>
    <row r="2400" ht="15.75" customHeight="1" s="201">
      <c r="A2400" s="1" t="inlineStr">
        <is>
          <t>Cheese, swiss, low sodium</t>
        </is>
      </c>
      <c r="C2400" s="1" t="n">
        <v>3.4</v>
      </c>
      <c r="D2400" s="1" t="n">
        <v>6</v>
      </c>
      <c r="E2400" s="1" t="n">
        <v>0.17</v>
      </c>
      <c r="F2400" s="1" t="n">
        <v>28.4</v>
      </c>
      <c r="G2400" s="1" t="n">
        <v>27.4</v>
      </c>
      <c r="H2400" s="1" t="n">
        <v>818</v>
      </c>
      <c r="I2400" s="1" t="n">
        <v>3.9</v>
      </c>
      <c r="J2400" t="n">
        <v>54204030</v>
      </c>
    </row>
    <row r="2401" ht="15.75" customHeight="1" s="201">
      <c r="A2401" s="1" t="inlineStr">
        <is>
          <t>Cheese, Swiss, nonfat or fat free</t>
        </is>
      </c>
      <c r="C2401" s="1" t="n">
        <v>3.4</v>
      </c>
      <c r="D2401" s="1" t="n">
        <v>6</v>
      </c>
      <c r="E2401" s="1" t="n">
        <v>0.17</v>
      </c>
      <c r="F2401" s="1" t="n">
        <v>28.4</v>
      </c>
      <c r="G2401" s="1" t="n">
        <v>0</v>
      </c>
      <c r="H2401" s="1" t="n">
        <v>152</v>
      </c>
      <c r="I2401" s="1" t="n">
        <v>3.9</v>
      </c>
      <c r="J2401" t="n">
        <v>14203020</v>
      </c>
    </row>
    <row r="2402" ht="15.75" customHeight="1" s="201">
      <c r="A2402" s="1" t="inlineStr">
        <is>
          <t>Cheese, tilsit</t>
        </is>
      </c>
      <c r="C2402" s="1" t="n">
        <v>1.88</v>
      </c>
      <c r="D2402" s="1" t="n">
        <v>20</v>
      </c>
      <c r="E2402" s="1" t="n">
        <v>0.23</v>
      </c>
      <c r="F2402" s="1" t="n">
        <v>24.41</v>
      </c>
      <c r="G2402" s="1" t="n">
        <v>25.98</v>
      </c>
      <c r="H2402" s="1" t="n">
        <v>1045</v>
      </c>
      <c r="I2402" s="1" t="n">
        <v>3.5</v>
      </c>
      <c r="J2402" t="n">
        <v>14420100</v>
      </c>
    </row>
    <row r="2403" ht="15.75" customHeight="1" s="201">
      <c r="A2403" s="1" t="inlineStr">
        <is>
          <t>Cheese, white, queso blanco</t>
        </is>
      </c>
      <c r="C2403" s="1" t="n">
        <v>2.53</v>
      </c>
      <c r="E2403" s="1" t="n">
        <v>0.18</v>
      </c>
      <c r="F2403" s="1" t="n">
        <v>20.38</v>
      </c>
      <c r="G2403" s="1" t="n">
        <v>24.31</v>
      </c>
      <c r="H2403" s="1" t="n">
        <v>555</v>
      </c>
      <c r="I2403" s="1" t="n">
        <v>3.06</v>
      </c>
      <c r="J2403" t="n">
        <v>14420100</v>
      </c>
    </row>
    <row r="2404" ht="15.75" customHeight="1" s="201">
      <c r="A2404" s="1" t="inlineStr">
        <is>
          <t>Cheesefurter, cheese smokie, pork, beef</t>
        </is>
      </c>
      <c r="C2404" s="1" t="n">
        <v>1.51</v>
      </c>
      <c r="D2404" s="1" t="n">
        <v>3</v>
      </c>
      <c r="E2404" s="1" t="n">
        <v>1.08</v>
      </c>
      <c r="F2404" s="1" t="n">
        <v>14.1</v>
      </c>
      <c r="G2404" s="1" t="n">
        <v>29</v>
      </c>
      <c r="H2404" s="1" t="n">
        <v>19</v>
      </c>
      <c r="I2404" s="1" t="n">
        <v>2.25</v>
      </c>
      <c r="J2404" t="n">
        <v>28110510</v>
      </c>
    </row>
    <row r="2405" ht="15.75" customHeight="1" s="201">
      <c r="A2405" s="1" t="inlineStr">
        <is>
          <t>Cherimoya, raw</t>
        </is>
      </c>
      <c r="C2405" s="1" t="n">
        <v>17.71</v>
      </c>
      <c r="D2405" s="1" t="n">
        <v>23</v>
      </c>
      <c r="E2405" s="1" t="n">
        <v>0.27</v>
      </c>
      <c r="F2405" s="1" t="n">
        <v>1.57</v>
      </c>
      <c r="G2405" s="1" t="n">
        <v>0.68</v>
      </c>
      <c r="H2405" s="1" t="n">
        <v>5</v>
      </c>
      <c r="I2405" s="1" t="n">
        <v>0.16</v>
      </c>
    </row>
    <row r="2406" ht="15.75" customHeight="1" s="201">
      <c r="A2406" s="1" t="inlineStr">
        <is>
          <t>Cherries, sour, canned, water pack, drained</t>
        </is>
      </c>
      <c r="C2406" s="1" t="n">
        <v>10.45</v>
      </c>
      <c r="E2406" s="1" t="n">
        <v>0.64</v>
      </c>
      <c r="F2406" s="1" t="n">
        <v>0.6899999999999999</v>
      </c>
      <c r="G2406" s="1" t="n">
        <v>0.21</v>
      </c>
      <c r="I2406" s="1" t="n">
        <v>0.07000000000000001</v>
      </c>
      <c r="J2406" t="n">
        <v>11740312</v>
      </c>
    </row>
    <row r="2407" ht="15.75" customHeight="1" s="201">
      <c r="A2407" s="1" t="inlineStr">
        <is>
          <t>Cherries, sour, red, canned, extra heavy syrup pack, solids and liquids</t>
        </is>
      </c>
      <c r="C2407" s="1" t="n">
        <v>29.23</v>
      </c>
      <c r="D2407" s="1" t="n">
        <v>7</v>
      </c>
      <c r="E2407" s="1" t="n">
        <v>1.26</v>
      </c>
      <c r="F2407" s="1" t="n">
        <v>0.71</v>
      </c>
      <c r="G2407" s="1" t="n">
        <v>0.09</v>
      </c>
      <c r="H2407" s="1" t="n">
        <v>696</v>
      </c>
      <c r="I2407" s="1" t="n">
        <v>0.06</v>
      </c>
      <c r="J2407" t="n">
        <v>53109200</v>
      </c>
    </row>
    <row r="2408" ht="15.75" customHeight="1" s="201">
      <c r="A2408" s="1" t="inlineStr">
        <is>
          <t>Cherries, sour, red, canned, heavy syrup pack, solids and liquids</t>
        </is>
      </c>
      <c r="C2408" s="1" t="n">
        <v>23.27</v>
      </c>
      <c r="D2408" s="1" t="n">
        <v>8</v>
      </c>
      <c r="E2408" s="1" t="n">
        <v>1.3</v>
      </c>
      <c r="F2408" s="1" t="n">
        <v>0.73</v>
      </c>
      <c r="G2408" s="1" t="n">
        <v>0.1</v>
      </c>
      <c r="H2408" s="1" t="n">
        <v>714</v>
      </c>
      <c r="I2408" s="1" t="n">
        <v>0.06</v>
      </c>
      <c r="J2408" t="n">
        <v>53109200</v>
      </c>
    </row>
    <row r="2409" ht="15.75" customHeight="1" s="201">
      <c r="A2409" s="1" t="inlineStr">
        <is>
          <t>Cherries, sour, red, canned, light syrup pack, solids and liquids</t>
        </is>
      </c>
      <c r="C2409" s="1" t="n">
        <v>19.3</v>
      </c>
      <c r="D2409" s="1" t="n">
        <v>8</v>
      </c>
      <c r="E2409" s="1" t="n">
        <v>1.32</v>
      </c>
      <c r="F2409" s="1" t="n">
        <v>0.74</v>
      </c>
      <c r="G2409" s="1" t="n">
        <v>0.1</v>
      </c>
      <c r="H2409" s="1" t="n">
        <v>726</v>
      </c>
      <c r="I2409" s="1" t="n">
        <v>0.07000000000000001</v>
      </c>
      <c r="J2409" t="n">
        <v>27446245</v>
      </c>
    </row>
    <row r="2410" ht="15.75" customHeight="1" s="201">
      <c r="A2410" s="1" t="inlineStr">
        <is>
          <t>Cherries, sour, red, canned, water pack, solids and liquids</t>
        </is>
      </c>
      <c r="C2410" s="1" t="n">
        <v>8.94</v>
      </c>
      <c r="D2410" s="1" t="n">
        <v>8</v>
      </c>
      <c r="E2410" s="1" t="n">
        <v>1.37</v>
      </c>
      <c r="F2410" s="1" t="n">
        <v>0.77</v>
      </c>
      <c r="G2410" s="1" t="n">
        <v>0.1</v>
      </c>
      <c r="H2410" s="1" t="n">
        <v>754</v>
      </c>
      <c r="I2410" s="1" t="n">
        <v>0.07000000000000001</v>
      </c>
      <c r="J2410" t="n">
        <v>11740312</v>
      </c>
    </row>
    <row r="2411" ht="15.75" customHeight="1" s="201">
      <c r="A2411" s="1" t="inlineStr">
        <is>
          <t>Cherries, sour, red, frozen, unsweetened (Includes foods for USDA's Food Distribution Program)</t>
        </is>
      </c>
      <c r="C2411" s="1" t="n">
        <v>11.02</v>
      </c>
      <c r="D2411" s="1" t="n">
        <v>5</v>
      </c>
      <c r="E2411" s="1" t="n">
        <v>0.53</v>
      </c>
      <c r="F2411" s="1" t="n">
        <v>0.92</v>
      </c>
      <c r="G2411" s="1" t="n">
        <v>0.44</v>
      </c>
      <c r="H2411" s="1" t="n">
        <v>870</v>
      </c>
      <c r="I2411" s="1" t="n">
        <v>0.1</v>
      </c>
    </row>
    <row r="2412" ht="15.75" customHeight="1" s="201">
      <c r="A2412" s="1" t="inlineStr">
        <is>
          <t>Cherries, sour, red, raw</t>
        </is>
      </c>
      <c r="C2412" s="1" t="n">
        <v>12.18</v>
      </c>
      <c r="D2412" s="1" t="n">
        <v>8</v>
      </c>
      <c r="E2412" s="1" t="n">
        <v>0.32</v>
      </c>
      <c r="F2412" s="1" t="n">
        <v>1</v>
      </c>
      <c r="G2412" s="1" t="n">
        <v>0.3</v>
      </c>
      <c r="H2412" s="1" t="n">
        <v>1283</v>
      </c>
      <c r="I2412" s="1" t="n">
        <v>0.1</v>
      </c>
      <c r="J2412" t="n">
        <v>63115010</v>
      </c>
    </row>
    <row r="2413" ht="15.75" customHeight="1" s="201">
      <c r="A2413" s="1" t="inlineStr">
        <is>
          <t>Cherries, sweet, canned, extra heavy syrup pack, solids and liquids</t>
        </is>
      </c>
      <c r="C2413" s="1" t="n">
        <v>26.23</v>
      </c>
      <c r="D2413" s="1" t="n">
        <v>4</v>
      </c>
      <c r="E2413" s="1" t="n">
        <v>0.35</v>
      </c>
      <c r="F2413" s="1" t="n">
        <v>0.59</v>
      </c>
      <c r="G2413" s="1" t="n">
        <v>0.15</v>
      </c>
      <c r="H2413" s="1" t="n">
        <v>151</v>
      </c>
      <c r="I2413" s="1" t="n">
        <v>0.1</v>
      </c>
      <c r="J2413" t="n">
        <v>53109200</v>
      </c>
    </row>
    <row r="2414" ht="15.75" customHeight="1" s="201">
      <c r="A2414" s="1" t="inlineStr">
        <is>
          <t>Cherries, sweet, canned, juice pack, solids and liquids</t>
        </is>
      </c>
      <c r="C2414" s="1" t="n">
        <v>13.81</v>
      </c>
      <c r="D2414" s="1" t="n">
        <v>4</v>
      </c>
      <c r="E2414" s="1" t="n">
        <v>0.58</v>
      </c>
      <c r="F2414" s="1" t="n">
        <v>0.91</v>
      </c>
      <c r="G2414" s="1" t="n">
        <v>0.02</v>
      </c>
      <c r="H2414" s="1" t="n">
        <v>125</v>
      </c>
      <c r="I2414" s="1" t="n">
        <v>0.1</v>
      </c>
      <c r="J2414" t="n">
        <v>64100110</v>
      </c>
    </row>
    <row r="2415" ht="15.75" customHeight="1" s="201">
      <c r="A2415" s="1" t="inlineStr">
        <is>
          <t>Cherries, sweet, canned, light syrup pack, solids and liquids</t>
        </is>
      </c>
      <c r="C2415" s="1" t="n">
        <v>17.29</v>
      </c>
      <c r="D2415" s="1" t="n">
        <v>4</v>
      </c>
      <c r="E2415" s="1" t="n">
        <v>0.36</v>
      </c>
      <c r="F2415" s="1" t="n">
        <v>0.61</v>
      </c>
      <c r="G2415" s="1" t="n">
        <v>0.15</v>
      </c>
      <c r="H2415" s="1" t="n">
        <v>157</v>
      </c>
      <c r="I2415" s="1" t="n">
        <v>0.1</v>
      </c>
      <c r="J2415" t="n">
        <v>27446245</v>
      </c>
    </row>
    <row r="2416" ht="15.75" customHeight="1" s="201">
      <c r="A2416" s="1" t="inlineStr">
        <is>
          <t>Cherries, sweet, canned, pitted, heavy syrup pack, solids and liquids</t>
        </is>
      </c>
      <c r="C2416" s="1" t="n">
        <v>21.27</v>
      </c>
      <c r="D2416" s="1" t="n">
        <v>4</v>
      </c>
      <c r="E2416" s="1" t="n">
        <v>0.35</v>
      </c>
      <c r="F2416" s="1" t="n">
        <v>0.6</v>
      </c>
      <c r="G2416" s="1" t="n">
        <v>0.15</v>
      </c>
      <c r="H2416" s="1" t="n">
        <v>154</v>
      </c>
      <c r="I2416" s="1" t="n">
        <v>0.1</v>
      </c>
      <c r="J2416" t="n">
        <v>53109200</v>
      </c>
    </row>
    <row r="2417" ht="15.75" customHeight="1" s="201">
      <c r="A2417" s="1" t="inlineStr">
        <is>
          <t>Cherries, sweet, canned, pitted, heavy syrup, drained</t>
        </is>
      </c>
      <c r="C2417" s="1" t="n">
        <v>21.07</v>
      </c>
      <c r="D2417" s="1" t="n">
        <v>5</v>
      </c>
      <c r="E2417" s="1" t="n">
        <v>0.35</v>
      </c>
      <c r="F2417" s="1" t="n">
        <v>0.73</v>
      </c>
      <c r="G2417" s="1" t="n">
        <v>0.21</v>
      </c>
      <c r="H2417" s="1" t="n">
        <v>237</v>
      </c>
      <c r="I2417" s="1" t="n">
        <v>0.1</v>
      </c>
    </row>
    <row r="2418" ht="15.75" customHeight="1" s="201">
      <c r="A2418" s="1" t="inlineStr">
        <is>
          <t>Cherries, sweet, canned, water pack, solids and liquids</t>
        </is>
      </c>
      <c r="C2418" s="1" t="n">
        <v>11.76</v>
      </c>
      <c r="D2418" s="1" t="n">
        <v>4</v>
      </c>
      <c r="E2418" s="1" t="n">
        <v>0.36</v>
      </c>
      <c r="F2418" s="1" t="n">
        <v>0.77</v>
      </c>
      <c r="G2418" s="1" t="n">
        <v>0.13</v>
      </c>
      <c r="H2418" s="1" t="n">
        <v>160</v>
      </c>
      <c r="I2418" s="1" t="n">
        <v>0.08</v>
      </c>
      <c r="J2418" t="n">
        <v>11740312</v>
      </c>
    </row>
    <row r="2419" ht="15.75" customHeight="1" s="201">
      <c r="A2419" s="1" t="inlineStr">
        <is>
          <t>Cherries, sweet, raw</t>
        </is>
      </c>
      <c r="C2419" s="1" t="n">
        <v>16.01</v>
      </c>
      <c r="D2419" s="1" t="n">
        <v>4</v>
      </c>
      <c r="E2419" s="1" t="n">
        <v>0.36</v>
      </c>
      <c r="F2419" s="1" t="n">
        <v>1.06</v>
      </c>
      <c r="G2419" s="1" t="n">
        <v>0.2</v>
      </c>
      <c r="H2419" s="1" t="n">
        <v>64</v>
      </c>
      <c r="I2419" s="1" t="n">
        <v>0.07000000000000001</v>
      </c>
      <c r="J2419" t="n">
        <v>51160000</v>
      </c>
    </row>
    <row r="2420" ht="15.75" customHeight="1" s="201">
      <c r="A2420" s="1" t="inlineStr">
        <is>
          <t>Cherries</t>
        </is>
      </c>
      <c r="J2420" t="n">
        <v>63115010</v>
      </c>
    </row>
    <row r="2421" ht="15.75" customHeight="1" s="201">
      <c r="A2421" s="1" t="inlineStr">
        <is>
          <t>Cherries, tart, dried, sweetened (Includes foods for USDA's Food Distribution Program)</t>
        </is>
      </c>
      <c r="C2421" s="1" t="n">
        <v>80.45</v>
      </c>
      <c r="D2421" s="1" t="n">
        <v>11</v>
      </c>
      <c r="E2421" s="1" t="n">
        <v>0.68</v>
      </c>
      <c r="F2421" s="1" t="n">
        <v>1.25</v>
      </c>
      <c r="G2421" s="1" t="n">
        <v>0.73</v>
      </c>
      <c r="H2421" s="1" t="n">
        <v>2829</v>
      </c>
      <c r="I2421" s="1" t="n">
        <v>0.25</v>
      </c>
    </row>
    <row r="2422" ht="15.75" customHeight="1" s="201">
      <c r="A2422" s="1" t="inlineStr">
        <is>
          <t>Cherry juice, tart</t>
        </is>
      </c>
      <c r="C2422" s="1" t="n">
        <v>13.7</v>
      </c>
      <c r="E2422" s="1" t="n">
        <v>0.42</v>
      </c>
      <c r="F2422" s="1" t="n">
        <v>0.31</v>
      </c>
      <c r="G2422" s="1" t="n">
        <v>0.54</v>
      </c>
      <c r="I2422" s="1" t="n">
        <v>0.03</v>
      </c>
      <c r="J2422" t="n">
        <v>64100110</v>
      </c>
    </row>
    <row r="2423" ht="15.75" customHeight="1" s="201">
      <c r="A2423" s="1" t="inlineStr">
        <is>
          <t>Chewing gum</t>
        </is>
      </c>
      <c r="C2423" s="1" t="n">
        <v>96.7</v>
      </c>
      <c r="D2423" s="1" t="n">
        <v>0</v>
      </c>
      <c r="E2423" s="1" t="n">
        <v>0</v>
      </c>
      <c r="F2423" s="1" t="n">
        <v>0</v>
      </c>
      <c r="G2423" s="1" t="n">
        <v>0.3</v>
      </c>
      <c r="H2423" s="1" t="n">
        <v>0</v>
      </c>
      <c r="I2423" s="1" t="n">
        <v>0</v>
      </c>
      <c r="J2423" t="n">
        <v>91801000</v>
      </c>
    </row>
    <row r="2424" ht="15.75" customHeight="1" s="201">
      <c r="A2424" s="1" t="inlineStr">
        <is>
          <t>Chewing gum, sugarless</t>
        </is>
      </c>
      <c r="C2424" s="1" t="n">
        <v>94.8</v>
      </c>
      <c r="D2424" s="1" t="n">
        <v>0</v>
      </c>
      <c r="E2424" s="1" t="n">
        <v>0</v>
      </c>
      <c r="F2424" s="1" t="n">
        <v>0</v>
      </c>
      <c r="G2424" s="1" t="n">
        <v>0.4</v>
      </c>
      <c r="H2424" s="1" t="n">
        <v>0</v>
      </c>
      <c r="I2424" s="1" t="n">
        <v>0</v>
      </c>
      <c r="J2424" t="n">
        <v>91802000</v>
      </c>
    </row>
    <row r="2425" ht="15.75" customHeight="1" s="201">
      <c r="A2425" s="1" t="inlineStr">
        <is>
          <t>Chicken breast tenders, breaded, cooked, microwaved</t>
        </is>
      </c>
      <c r="C2425" s="1" t="n">
        <v>17.56</v>
      </c>
      <c r="D2425" s="1" t="n">
        <v>12</v>
      </c>
      <c r="E2425" s="1" t="n">
        <v>1</v>
      </c>
      <c r="F2425" s="1" t="n">
        <v>16.35</v>
      </c>
      <c r="G2425" s="1" t="n">
        <v>12.89</v>
      </c>
      <c r="H2425" s="1" t="n">
        <v>0</v>
      </c>
      <c r="I2425" s="1" t="n">
        <v>0.77</v>
      </c>
      <c r="J2425" t="n">
        <v>24198746</v>
      </c>
    </row>
    <row r="2426" ht="15.75" customHeight="1" s="201">
      <c r="A2426" s="1" t="inlineStr">
        <is>
          <t>Chicken breast tenders, breaded, uncooked</t>
        </is>
      </c>
      <c r="C2426" s="1" t="n">
        <v>15.01</v>
      </c>
      <c r="D2426" s="1" t="n">
        <v>12</v>
      </c>
      <c r="E2426" s="1" t="n">
        <v>1.11</v>
      </c>
      <c r="F2426" s="1" t="n">
        <v>14.73</v>
      </c>
      <c r="G2426" s="1" t="n">
        <v>15.75</v>
      </c>
      <c r="H2426" s="1" t="n">
        <v>0</v>
      </c>
      <c r="I2426" s="1" t="n">
        <v>0.78</v>
      </c>
      <c r="J2426" t="n">
        <v>24198746</v>
      </c>
    </row>
    <row r="2427" ht="15.75" customHeight="1" s="201">
      <c r="A2427" s="1" t="inlineStr">
        <is>
          <t>Chicken breast, deli, rotisserie seasoned, sliced, prepackaged</t>
        </is>
      </c>
      <c r="C2427" s="1" t="n">
        <v>2.92</v>
      </c>
      <c r="D2427" s="1" t="n">
        <v>7</v>
      </c>
      <c r="E2427" s="1" t="n">
        <v>0.39</v>
      </c>
      <c r="F2427" s="1" t="n">
        <v>17.4</v>
      </c>
      <c r="G2427" s="1" t="n">
        <v>1.86</v>
      </c>
      <c r="H2427" s="1" t="n">
        <v>6</v>
      </c>
      <c r="I2427" s="1" t="n">
        <v>0.51</v>
      </c>
      <c r="J2427" t="n">
        <v>24122171</v>
      </c>
    </row>
    <row r="2428" ht="15.75" customHeight="1" s="201">
      <c r="A2428" s="1" t="inlineStr">
        <is>
          <t>Chicken breast, fat-free, mesquite flavor, sliced</t>
        </is>
      </c>
      <c r="C2428" s="1" t="n">
        <v>2.25</v>
      </c>
      <c r="D2428" s="1" t="n">
        <v>1</v>
      </c>
      <c r="E2428" s="1" t="n">
        <v>0.3</v>
      </c>
      <c r="F2428" s="1" t="n">
        <v>16.8</v>
      </c>
      <c r="G2428" s="1" t="n">
        <v>0.39</v>
      </c>
      <c r="H2428" s="1" t="n">
        <v>0</v>
      </c>
      <c r="I2428" s="1" t="n">
        <v>0.6</v>
      </c>
      <c r="J2428" t="n">
        <v>27446260</v>
      </c>
    </row>
    <row r="2429" ht="15.75" customHeight="1" s="201">
      <c r="A2429" s="1" t="inlineStr">
        <is>
          <t>Chicken breast, oven-roasted, fat-free, sliced</t>
        </is>
      </c>
      <c r="C2429" s="1" t="n">
        <v>2.17</v>
      </c>
      <c r="D2429" s="1" t="n">
        <v>1</v>
      </c>
      <c r="E2429" s="1" t="n">
        <v>0.32</v>
      </c>
      <c r="F2429" s="1" t="n">
        <v>16.79</v>
      </c>
      <c r="G2429" s="1" t="n">
        <v>0.39</v>
      </c>
      <c r="H2429" s="1" t="n">
        <v>0</v>
      </c>
      <c r="I2429" s="1" t="n">
        <v>0.3</v>
      </c>
      <c r="J2429" t="n">
        <v>27446260</v>
      </c>
    </row>
    <row r="2430" ht="15.75" customHeight="1" s="201">
      <c r="A2430" s="1" t="inlineStr">
        <is>
          <t>Chicken breast, roll, oven-roasted</t>
        </is>
      </c>
      <c r="C2430" s="1" t="n">
        <v>1.79</v>
      </c>
      <c r="D2430" s="1" t="n">
        <v>3</v>
      </c>
      <c r="E2430" s="1" t="n">
        <v>0.32</v>
      </c>
      <c r="F2430" s="1" t="n">
        <v>14.59</v>
      </c>
      <c r="G2430" s="1" t="n">
        <v>7.65</v>
      </c>
      <c r="H2430" s="1" t="n">
        <v>0</v>
      </c>
      <c r="I2430" s="1" t="n">
        <v>0.65</v>
      </c>
      <c r="J2430" t="n">
        <v>27540290</v>
      </c>
    </row>
    <row r="2431" ht="15.75" customHeight="1" s="201">
      <c r="A2431" s="1" t="inlineStr">
        <is>
          <t>Chicken patty, frozen, cooked</t>
        </is>
      </c>
      <c r="C2431" s="1" t="n">
        <v>12.84</v>
      </c>
      <c r="D2431" s="1" t="n">
        <v>7</v>
      </c>
      <c r="E2431" s="1" t="n">
        <v>0.95</v>
      </c>
      <c r="F2431" s="1" t="n">
        <v>14.85</v>
      </c>
      <c r="G2431" s="1" t="n">
        <v>19.58</v>
      </c>
      <c r="H2431" s="1" t="n">
        <v>0</v>
      </c>
      <c r="I2431" s="1" t="n">
        <v>1.05</v>
      </c>
      <c r="J2431" t="n">
        <v>24198746</v>
      </c>
    </row>
    <row r="2432" ht="15.75" customHeight="1" s="201">
      <c r="A2432" s="1" t="inlineStr">
        <is>
          <t>Chicken patty, frozen, uncooked</t>
        </is>
      </c>
      <c r="C2432" s="1" t="n">
        <v>13.61</v>
      </c>
      <c r="D2432" s="1" t="n">
        <v>5</v>
      </c>
      <c r="E2432" s="1" t="n">
        <v>0.93</v>
      </c>
      <c r="F2432" s="1" t="n">
        <v>14.33</v>
      </c>
      <c r="G2432" s="1" t="n">
        <v>20.04</v>
      </c>
      <c r="H2432" s="1" t="n">
        <v>37</v>
      </c>
      <c r="I2432" s="1" t="n">
        <v>0.9399999999999999</v>
      </c>
      <c r="J2432" t="n">
        <v>24198746</v>
      </c>
    </row>
    <row r="2433" ht="15.75" customHeight="1" s="201">
      <c r="A2433" s="1" t="inlineStr">
        <is>
          <t>Chicken pot pie, frozen entree, prepared</t>
        </is>
      </c>
      <c r="C2433" s="1" t="n">
        <v>19.21</v>
      </c>
      <c r="D2433" s="1" t="n">
        <v>35</v>
      </c>
      <c r="E2433" s="1" t="n">
        <v>0.76</v>
      </c>
      <c r="F2433" s="1" t="n">
        <v>5.11</v>
      </c>
      <c r="G2433" s="1" t="n">
        <v>11.85</v>
      </c>
      <c r="H2433" s="1" t="n">
        <v>675</v>
      </c>
      <c r="I2433" s="1" t="n">
        <v>0.42</v>
      </c>
      <c r="J2433" t="n">
        <v>24198746</v>
      </c>
    </row>
    <row r="2434" ht="15.75" customHeight="1" s="201">
      <c r="A2434" s="1" t="inlineStr">
        <is>
          <t>Chicken spread</t>
        </is>
      </c>
      <c r="C2434" s="1" t="n">
        <v>4.05</v>
      </c>
      <c r="D2434" s="1" t="n">
        <v>3</v>
      </c>
      <c r="E2434" s="1" t="n">
        <v>0.87</v>
      </c>
      <c r="F2434" s="1" t="n">
        <v>18.01</v>
      </c>
      <c r="G2434" s="1" t="n">
        <v>17.56</v>
      </c>
      <c r="H2434" s="1" t="n">
        <v>99</v>
      </c>
      <c r="I2434" s="1" t="n">
        <v>1.15</v>
      </c>
      <c r="J2434" t="n">
        <v>27446315</v>
      </c>
    </row>
    <row r="2435" ht="15.75" customHeight="1" s="201">
      <c r="A2435" s="1" t="inlineStr">
        <is>
          <t>Chicken tenders, breaded, frozen, prepared</t>
        </is>
      </c>
      <c r="C2435" s="1" t="n">
        <v>14.86</v>
      </c>
      <c r="D2435" s="1" t="n">
        <v>28</v>
      </c>
      <c r="E2435" s="1" t="n">
        <v>0.84</v>
      </c>
      <c r="F2435" s="1" t="n">
        <v>14.62</v>
      </c>
      <c r="G2435" s="1" t="n">
        <v>13.58</v>
      </c>
      <c r="H2435" s="1" t="n">
        <v>40</v>
      </c>
      <c r="I2435" s="1" t="n">
        <v>0.61</v>
      </c>
      <c r="J2435" t="n">
        <v>24198746</v>
      </c>
    </row>
    <row r="2436" ht="15.75" customHeight="1" s="201">
      <c r="A2436" s="1" t="inlineStr">
        <is>
          <t>Chicken, broiler or fryers, breast, skinless, boneless, meat only, cooked, braised</t>
        </is>
      </c>
      <c r="C2436" s="1" t="n">
        <v>0</v>
      </c>
      <c r="E2436" s="1" t="n">
        <v>0.49</v>
      </c>
      <c r="F2436" s="1" t="n">
        <v>32.06</v>
      </c>
      <c r="G2436" s="1" t="n">
        <v>3.24</v>
      </c>
      <c r="H2436" s="1" t="n">
        <v>33</v>
      </c>
      <c r="I2436" s="1" t="n">
        <v>0.96</v>
      </c>
      <c r="J2436" t="n">
        <v>24198746</v>
      </c>
    </row>
    <row r="2437" ht="15.75" customHeight="1" s="201">
      <c r="A2437" s="1" t="inlineStr">
        <is>
          <t>Chicken, broiler or fryers, breast, skinless, boneless, meat only, cooked, grilled</t>
        </is>
      </c>
      <c r="C2437" s="1" t="n">
        <v>0</v>
      </c>
      <c r="E2437" s="1" t="n">
        <v>0.45</v>
      </c>
      <c r="F2437" s="1" t="n">
        <v>30.54</v>
      </c>
      <c r="G2437" s="1" t="n">
        <v>3.17</v>
      </c>
      <c r="H2437" s="1" t="n">
        <v>32</v>
      </c>
      <c r="I2437" s="1" t="n">
        <v>0.9</v>
      </c>
      <c r="J2437" t="n">
        <v>27446315</v>
      </c>
    </row>
    <row r="2438" ht="15.75" customHeight="1" s="201">
      <c r="A2438" s="1" t="inlineStr">
        <is>
          <t>Chicken, broiler or fryers, breast, skinless, boneless, meat only, raw</t>
        </is>
      </c>
      <c r="C2438" s="1" t="n">
        <v>0</v>
      </c>
      <c r="D2438" s="1" t="n">
        <v>9</v>
      </c>
      <c r="E2438" s="1" t="n">
        <v>0.37</v>
      </c>
      <c r="F2438" s="1" t="n">
        <v>22.5</v>
      </c>
      <c r="G2438" s="1" t="n">
        <v>2.62</v>
      </c>
      <c r="H2438" s="1" t="n">
        <v>30</v>
      </c>
      <c r="I2438" s="1" t="n">
        <v>0.68</v>
      </c>
      <c r="J2438" t="n">
        <v>24198746</v>
      </c>
    </row>
    <row r="2439" ht="15.75" customHeight="1" s="201">
      <c r="A2439" s="1" t="inlineStr">
        <is>
          <t>Chicken, broiler or fryers, breast, skinless, boneless, meat only, with added solution, cooked, braised</t>
        </is>
      </c>
      <c r="C2439" s="1" t="n">
        <v>0</v>
      </c>
      <c r="E2439" s="1" t="n">
        <v>0.43</v>
      </c>
      <c r="F2439" s="1" t="n">
        <v>28.24</v>
      </c>
      <c r="G2439" s="1" t="n">
        <v>3.61</v>
      </c>
      <c r="H2439" s="1" t="n">
        <v>31</v>
      </c>
      <c r="I2439" s="1" t="n">
        <v>0.8</v>
      </c>
      <c r="J2439" t="n">
        <v>27446315</v>
      </c>
    </row>
    <row r="2440" ht="15.75" customHeight="1" s="201">
      <c r="A2440" s="1" t="inlineStr">
        <is>
          <t>Chicken, broiler or fryers, breast, skinless, boneless, meat only, with added solution, cooked, grilled</t>
        </is>
      </c>
      <c r="C2440" s="1" t="n">
        <v>0</v>
      </c>
      <c r="E2440" s="1" t="n">
        <v>0.43</v>
      </c>
      <c r="F2440" s="1" t="n">
        <v>29.5</v>
      </c>
      <c r="G2440" s="1" t="n">
        <v>3.39</v>
      </c>
      <c r="H2440" s="1" t="n">
        <v>32</v>
      </c>
      <c r="I2440" s="1" t="n">
        <v>0.82</v>
      </c>
      <c r="J2440" t="n">
        <v>27446315</v>
      </c>
    </row>
    <row r="2441" ht="15.75" customHeight="1" s="201">
      <c r="A2441" s="1" t="inlineStr">
        <is>
          <t>Chicken, broiler, rotisserie, BBQ, back meat only</t>
        </is>
      </c>
      <c r="C2441" s="1" t="n">
        <v>0.31</v>
      </c>
      <c r="D2441" s="1" t="n">
        <v>7</v>
      </c>
      <c r="E2441" s="1" t="n">
        <v>0.82</v>
      </c>
      <c r="F2441" s="1" t="n">
        <v>21.85</v>
      </c>
      <c r="G2441" s="1" t="n">
        <v>13.87</v>
      </c>
      <c r="H2441" s="1" t="n">
        <v>51</v>
      </c>
      <c r="I2441" s="1" t="n">
        <v>1.74</v>
      </c>
      <c r="J2441" t="n">
        <v>27446315</v>
      </c>
    </row>
    <row r="2442" ht="15.75" customHeight="1" s="201">
      <c r="A2442" s="1" t="inlineStr">
        <is>
          <t>Chicken, broiler, rotisserie, BBQ, back, meat and skin</t>
        </is>
      </c>
      <c r="C2442" s="1" t="n">
        <v>0.4</v>
      </c>
      <c r="D2442" s="1" t="n">
        <v>7</v>
      </c>
      <c r="E2442" s="1" t="n">
        <v>0.83</v>
      </c>
      <c r="F2442" s="1" t="n">
        <v>20.29</v>
      </c>
      <c r="G2442" s="1" t="n">
        <v>18.86</v>
      </c>
      <c r="H2442" s="1" t="n">
        <v>79</v>
      </c>
      <c r="I2442" s="1" t="n">
        <v>1.51</v>
      </c>
      <c r="J2442" t="n">
        <v>24122171</v>
      </c>
    </row>
    <row r="2443" ht="15.75" customHeight="1" s="201">
      <c r="A2443" s="1" t="inlineStr">
        <is>
          <t>Chicken, broiler, rotisserie, BBQ, breast, meat and skin</t>
        </is>
      </c>
      <c r="C2443" s="1" t="n">
        <v>0.09</v>
      </c>
      <c r="D2443" s="1" t="n">
        <v>11</v>
      </c>
      <c r="E2443" s="1" t="n">
        <v>0.51</v>
      </c>
      <c r="F2443" s="1" t="n">
        <v>26.37</v>
      </c>
      <c r="G2443" s="1" t="n">
        <v>7.67</v>
      </c>
      <c r="H2443" s="1" t="n">
        <v>37</v>
      </c>
      <c r="I2443" s="1" t="n">
        <v>0.86</v>
      </c>
      <c r="J2443" t="n">
        <v>24122171</v>
      </c>
    </row>
    <row r="2444" ht="15.75" customHeight="1" s="201">
      <c r="A2444" s="1" t="inlineStr">
        <is>
          <t>Chicken, broiler, rotisserie, BBQ, breast, meat only</t>
        </is>
      </c>
      <c r="C2444" s="1" t="n">
        <v>0</v>
      </c>
      <c r="D2444" s="1" t="n">
        <v>11</v>
      </c>
      <c r="E2444" s="1" t="n">
        <v>0.46</v>
      </c>
      <c r="F2444" s="1" t="n">
        <v>28.04</v>
      </c>
      <c r="G2444" s="1" t="n">
        <v>3.57</v>
      </c>
      <c r="H2444" s="1" t="n">
        <v>17</v>
      </c>
      <c r="I2444" s="1" t="n">
        <v>0.87</v>
      </c>
      <c r="J2444" t="n">
        <v>24122171</v>
      </c>
    </row>
    <row r="2445" ht="15.75" customHeight="1" s="201">
      <c r="A2445" s="1" t="inlineStr">
        <is>
          <t>Chicken, broiler, rotisserie, BBQ, drumstick, meat and skin</t>
        </is>
      </c>
      <c r="C2445" s="1" t="n">
        <v>0.12</v>
      </c>
      <c r="D2445" s="1" t="n">
        <v>9</v>
      </c>
      <c r="E2445" s="1" t="n">
        <v>1.02</v>
      </c>
      <c r="F2445" s="1" t="n">
        <v>25.65</v>
      </c>
      <c r="G2445" s="1" t="n">
        <v>11.46</v>
      </c>
      <c r="H2445" s="1" t="n">
        <v>56</v>
      </c>
      <c r="I2445" s="1" t="n">
        <v>2.52</v>
      </c>
      <c r="J2445" t="n">
        <v>24122171</v>
      </c>
    </row>
    <row r="2446" ht="15.75" customHeight="1" s="201">
      <c r="A2446" s="1" t="inlineStr">
        <is>
          <t>Chicken, broiler, rotisserie, BBQ, drumstick, meat only</t>
        </is>
      </c>
      <c r="C2446" s="1" t="n">
        <v>0</v>
      </c>
      <c r="D2446" s="1" t="n">
        <v>9</v>
      </c>
      <c r="E2446" s="1" t="n">
        <v>1.05</v>
      </c>
      <c r="F2446" s="1" t="n">
        <v>27.71</v>
      </c>
      <c r="G2446" s="1" t="n">
        <v>6.76</v>
      </c>
      <c r="H2446" s="1" t="n">
        <v>33</v>
      </c>
      <c r="I2446" s="1" t="n">
        <v>2.86</v>
      </c>
      <c r="J2446" t="n">
        <v>27446315</v>
      </c>
    </row>
    <row r="2447" ht="15.75" customHeight="1" s="201">
      <c r="A2447" s="1" t="inlineStr">
        <is>
          <t>Chicken, broiler, rotisserie, BBQ, skin</t>
        </is>
      </c>
      <c r="C2447" s="1" t="n">
        <v>0.7</v>
      </c>
      <c r="D2447" s="1" t="n">
        <v>9</v>
      </c>
      <c r="E2447" s="1" t="n">
        <v>0.86</v>
      </c>
      <c r="F2447" s="1" t="n">
        <v>15.19</v>
      </c>
      <c r="G2447" s="1" t="n">
        <v>35.15</v>
      </c>
      <c r="H2447" s="1" t="n">
        <v>171</v>
      </c>
      <c r="I2447" s="1" t="n">
        <v>0.76</v>
      </c>
      <c r="J2447" t="n">
        <v>24122171</v>
      </c>
    </row>
    <row r="2448" ht="15.75" customHeight="1" s="201">
      <c r="A2448" s="1" t="inlineStr">
        <is>
          <t>Chicken, broiler, rotisserie, BBQ, thigh, meat and skin</t>
        </is>
      </c>
      <c r="C2448" s="1" t="n">
        <v>0.12</v>
      </c>
      <c r="D2448" s="1" t="n">
        <v>8</v>
      </c>
      <c r="E2448" s="1" t="n">
        <v>0.95</v>
      </c>
      <c r="F2448" s="1" t="n">
        <v>22.51</v>
      </c>
      <c r="G2448" s="1" t="n">
        <v>15.08</v>
      </c>
      <c r="H2448" s="1" t="n">
        <v>67</v>
      </c>
      <c r="I2448" s="1" t="n">
        <v>1.78</v>
      </c>
      <c r="J2448" t="n">
        <v>24122171</v>
      </c>
    </row>
    <row r="2449" ht="15.75" customHeight="1" s="201">
      <c r="A2449" s="1" t="inlineStr">
        <is>
          <t>Chicken, broiler, rotisserie, BBQ, thigh, meat only</t>
        </is>
      </c>
      <c r="C2449" s="1" t="n">
        <v>0</v>
      </c>
      <c r="D2449" s="1" t="n">
        <v>8</v>
      </c>
      <c r="E2449" s="1" t="n">
        <v>0.97</v>
      </c>
      <c r="F2449" s="1" t="n">
        <v>24.09</v>
      </c>
      <c r="G2449" s="1" t="n">
        <v>10.74</v>
      </c>
      <c r="H2449" s="1" t="n">
        <v>44</v>
      </c>
      <c r="I2449" s="1" t="n">
        <v>2</v>
      </c>
      <c r="J2449" t="n">
        <v>27446315</v>
      </c>
    </row>
    <row r="2450" ht="15.75" customHeight="1" s="201">
      <c r="A2450" s="1" t="inlineStr">
        <is>
          <t>Chicken, broiler, rotisserie, BBQ, wing, meat and skin</t>
        </is>
      </c>
      <c r="C2450" s="1" t="n">
        <v>0.6</v>
      </c>
      <c r="D2450" s="1" t="n">
        <v>8</v>
      </c>
      <c r="E2450" s="1" t="n">
        <v>0.93</v>
      </c>
      <c r="F2450" s="1" t="n">
        <v>23.42</v>
      </c>
      <c r="G2450" s="1" t="n">
        <v>18.04</v>
      </c>
      <c r="H2450" s="1" t="n">
        <v>87</v>
      </c>
      <c r="I2450" s="1" t="n">
        <v>1.57</v>
      </c>
      <c r="J2450" t="n">
        <v>24122171</v>
      </c>
    </row>
    <row r="2451" ht="15.75" customHeight="1" s="201">
      <c r="A2451" s="1" t="inlineStr">
        <is>
          <t>Chicken, broiler, rotisserie, BBQ, wing, meat only</t>
        </is>
      </c>
      <c r="C2451" s="1" t="n">
        <v>0.54</v>
      </c>
      <c r="D2451" s="1" t="n">
        <v>7</v>
      </c>
      <c r="E2451" s="1" t="n">
        <v>0.97</v>
      </c>
      <c r="F2451" s="1" t="n">
        <v>28.34</v>
      </c>
      <c r="G2451" s="1" t="n">
        <v>7.79</v>
      </c>
      <c r="H2451" s="1" t="n">
        <v>37</v>
      </c>
      <c r="I2451" s="1" t="n">
        <v>2.05</v>
      </c>
      <c r="J2451" t="n">
        <v>27446315</v>
      </c>
    </row>
    <row r="2452" ht="15.75" customHeight="1" s="201">
      <c r="A2452" s="1" t="inlineStr">
        <is>
          <t>Chicken, broilers or fryers,  rotisserie, original seasoning, drumstick, meat and skin, cooked</t>
        </is>
      </c>
      <c r="C2452" s="1" t="n">
        <v>0.02</v>
      </c>
      <c r="D2452" s="1" t="n">
        <v>11</v>
      </c>
      <c r="E2452" s="1" t="n">
        <v>1.07</v>
      </c>
      <c r="F2452" s="1" t="n">
        <v>26.86</v>
      </c>
      <c r="G2452" s="1" t="n">
        <v>11.98</v>
      </c>
      <c r="H2452" s="1" t="n">
        <v>60</v>
      </c>
      <c r="I2452" s="1" t="n">
        <v>2.63</v>
      </c>
      <c r="J2452" t="n">
        <v>24122171</v>
      </c>
    </row>
    <row r="2453" ht="15.75" customHeight="1" s="201">
      <c r="A2453" s="1" t="inlineStr">
        <is>
          <t>Chicken, broilers or fryers, back, meat and skin, cooked, fried, batter</t>
        </is>
      </c>
      <c r="C2453" s="1" t="n">
        <v>10.25</v>
      </c>
      <c r="D2453" s="1" t="n">
        <v>20</v>
      </c>
      <c r="E2453" s="1" t="n">
        <v>1.49</v>
      </c>
      <c r="F2453" s="1" t="n">
        <v>21.97</v>
      </c>
      <c r="G2453" s="1" t="n">
        <v>21.91</v>
      </c>
      <c r="H2453" s="1" t="n">
        <v>119</v>
      </c>
      <c r="I2453" s="1" t="n">
        <v>1.96</v>
      </c>
      <c r="J2453" t="n">
        <v>28141010</v>
      </c>
    </row>
    <row r="2454" ht="15.75" customHeight="1" s="201">
      <c r="A2454" s="1" t="inlineStr">
        <is>
          <t>Chicken, broilers or fryers, back, meat and skin, cooked, fried, flour</t>
        </is>
      </c>
      <c r="C2454" s="1" t="n">
        <v>6.5</v>
      </c>
      <c r="D2454" s="1" t="n">
        <v>15</v>
      </c>
      <c r="E2454" s="1" t="n">
        <v>1.62</v>
      </c>
      <c r="F2454" s="1" t="n">
        <v>27.79</v>
      </c>
      <c r="G2454" s="1" t="n">
        <v>20.74</v>
      </c>
      <c r="H2454" s="1" t="n">
        <v>123</v>
      </c>
      <c r="I2454" s="1" t="n">
        <v>2.47</v>
      </c>
      <c r="J2454" t="n">
        <v>28141010</v>
      </c>
    </row>
    <row r="2455" ht="15.75" customHeight="1" s="201">
      <c r="A2455" s="1" t="inlineStr">
        <is>
          <t>Chicken, broilers or fryers, back, meat and skin, cooked, roasted</t>
        </is>
      </c>
      <c r="C2455" s="1" t="n">
        <v>0</v>
      </c>
      <c r="D2455" s="1" t="n">
        <v>6</v>
      </c>
      <c r="E2455" s="1" t="n">
        <v>1.42</v>
      </c>
      <c r="F2455" s="1" t="n">
        <v>25.95</v>
      </c>
      <c r="G2455" s="1" t="n">
        <v>20.97</v>
      </c>
      <c r="H2455" s="1" t="n">
        <v>348</v>
      </c>
      <c r="I2455" s="1" t="n">
        <v>2.25</v>
      </c>
      <c r="J2455" t="n">
        <v>27446315</v>
      </c>
    </row>
    <row r="2456" ht="15.75" customHeight="1" s="201">
      <c r="A2456" s="1" t="inlineStr">
        <is>
          <t>Chicken, broilers or fryers, back, meat and skin, cooked, stewed</t>
        </is>
      </c>
      <c r="C2456" s="1" t="n">
        <v>0</v>
      </c>
      <c r="D2456" s="1" t="n">
        <v>5</v>
      </c>
      <c r="E2456" s="1" t="n">
        <v>1.22</v>
      </c>
      <c r="F2456" s="1" t="n">
        <v>22.18</v>
      </c>
      <c r="G2456" s="1" t="n">
        <v>18.14</v>
      </c>
      <c r="H2456" s="1" t="n">
        <v>308</v>
      </c>
      <c r="I2456" s="1" t="n">
        <v>1.93</v>
      </c>
      <c r="J2456" t="n">
        <v>27446315</v>
      </c>
    </row>
    <row r="2457" ht="15.75" customHeight="1" s="201">
      <c r="A2457" s="1" t="inlineStr">
        <is>
          <t>Chicken, broilers or fryers, back, meat and skin, raw</t>
        </is>
      </c>
      <c r="C2457" s="1" t="n">
        <v>0</v>
      </c>
      <c r="D2457" s="1" t="n">
        <v>6</v>
      </c>
      <c r="E2457" s="1" t="n">
        <v>0.9399999999999999</v>
      </c>
      <c r="F2457" s="1" t="n">
        <v>14.05</v>
      </c>
      <c r="G2457" s="1" t="n">
        <v>28.74</v>
      </c>
      <c r="H2457" s="1" t="n">
        <v>251</v>
      </c>
      <c r="I2457" s="1" t="n">
        <v>1.26</v>
      </c>
      <c r="J2457" t="n">
        <v>27446315</v>
      </c>
    </row>
    <row r="2458" ht="15.75" customHeight="1" s="201">
      <c r="A2458" s="1" t="inlineStr">
        <is>
          <t>Chicken, broilers or fryers, back, meat only, cooked, fried</t>
        </is>
      </c>
      <c r="C2458" s="1" t="n">
        <v>5.68</v>
      </c>
      <c r="D2458" s="1" t="n">
        <v>9</v>
      </c>
      <c r="E2458" s="1" t="n">
        <v>1.65</v>
      </c>
      <c r="F2458" s="1" t="n">
        <v>29.99</v>
      </c>
      <c r="G2458" s="1" t="n">
        <v>15.32</v>
      </c>
      <c r="H2458" s="1" t="n">
        <v>98</v>
      </c>
      <c r="I2458" s="1" t="n">
        <v>2.8</v>
      </c>
      <c r="J2458" t="n">
        <v>28141010</v>
      </c>
    </row>
    <row r="2459" ht="15.75" customHeight="1" s="201">
      <c r="A2459" s="1" t="inlineStr">
        <is>
          <t>Chicken, broilers or fryers, back, meat only, cooked, roasted</t>
        </is>
      </c>
      <c r="C2459" s="1" t="n">
        <v>0</v>
      </c>
      <c r="D2459" s="1" t="n">
        <v>7</v>
      </c>
      <c r="E2459" s="1" t="n">
        <v>1.39</v>
      </c>
      <c r="F2459" s="1" t="n">
        <v>28.19</v>
      </c>
      <c r="G2459" s="1" t="n">
        <v>13.16</v>
      </c>
      <c r="H2459" s="1" t="n">
        <v>0</v>
      </c>
      <c r="I2459" s="1" t="n">
        <v>2.65</v>
      </c>
      <c r="J2459" t="n">
        <v>27446315</v>
      </c>
    </row>
    <row r="2460" ht="15.75" customHeight="1" s="201">
      <c r="A2460" s="1" t="inlineStr">
        <is>
          <t>Chicken, broilers or fryers, back, meat only, cooked, stewed</t>
        </is>
      </c>
      <c r="C2460" s="1" t="n">
        <v>0</v>
      </c>
      <c r="D2460" s="1" t="n">
        <v>7</v>
      </c>
      <c r="E2460" s="1" t="n">
        <v>1.27</v>
      </c>
      <c r="F2460" s="1" t="n">
        <v>25.31</v>
      </c>
      <c r="G2460" s="1" t="n">
        <v>11.19</v>
      </c>
      <c r="H2460" s="1" t="n">
        <v>90</v>
      </c>
      <c r="I2460" s="1" t="n">
        <v>2.38</v>
      </c>
      <c r="J2460" t="n">
        <v>27446315</v>
      </c>
    </row>
    <row r="2461" ht="15.75" customHeight="1" s="201">
      <c r="A2461" s="1" t="inlineStr">
        <is>
          <t>Chicken, broilers or fryers, back, meat only, raw</t>
        </is>
      </c>
      <c r="C2461" s="1" t="n">
        <v>0</v>
      </c>
      <c r="D2461" s="1" t="n">
        <v>9</v>
      </c>
      <c r="E2461" s="1" t="n">
        <v>1.04</v>
      </c>
      <c r="F2461" s="1" t="n">
        <v>19.56</v>
      </c>
      <c r="G2461" s="1" t="n">
        <v>5.92</v>
      </c>
      <c r="H2461" s="1" t="n">
        <v>100</v>
      </c>
      <c r="I2461" s="1" t="n">
        <v>1.85</v>
      </c>
      <c r="J2461" t="n">
        <v>27446315</v>
      </c>
    </row>
    <row r="2462" ht="15.75" customHeight="1" s="201">
      <c r="A2462" s="1" t="inlineStr">
        <is>
          <t>Chicken, broilers or fryers, breast, meat and skin, cooked, fried, batter</t>
        </is>
      </c>
      <c r="C2462" s="1" t="n">
        <v>8.99</v>
      </c>
      <c r="D2462" s="1" t="n">
        <v>15</v>
      </c>
      <c r="E2462" s="1" t="n">
        <v>1.25</v>
      </c>
      <c r="F2462" s="1" t="n">
        <v>24.84</v>
      </c>
      <c r="G2462" s="1" t="n">
        <v>13.2</v>
      </c>
      <c r="H2462" s="1" t="n">
        <v>67</v>
      </c>
      <c r="I2462" s="1" t="n">
        <v>0.95</v>
      </c>
      <c r="J2462" t="n">
        <v>28141010</v>
      </c>
    </row>
    <row r="2463" ht="15.75" customHeight="1" s="201">
      <c r="A2463" s="1" t="inlineStr">
        <is>
          <t>Chicken, broilers or fryers, breast, meat and skin, cooked, fried, flour</t>
        </is>
      </c>
      <c r="C2463" s="1" t="n">
        <v>1.64</v>
      </c>
      <c r="D2463" s="1" t="n">
        <v>6</v>
      </c>
      <c r="E2463" s="1" t="n">
        <v>1.19</v>
      </c>
      <c r="F2463" s="1" t="n">
        <v>31.84</v>
      </c>
      <c r="G2463" s="1" t="n">
        <v>8.869999999999999</v>
      </c>
      <c r="H2463" s="1" t="n">
        <v>50</v>
      </c>
      <c r="I2463" s="1" t="n">
        <v>1.1</v>
      </c>
      <c r="J2463" t="n">
        <v>28141010</v>
      </c>
    </row>
    <row r="2464" ht="15.75" customHeight="1" s="201">
      <c r="A2464" s="1" t="inlineStr">
        <is>
          <t>Chicken, broilers or fryers, breast, meat and skin, cooked, roasted</t>
        </is>
      </c>
      <c r="C2464" s="1" t="n">
        <v>0</v>
      </c>
      <c r="D2464" s="1" t="n">
        <v>4</v>
      </c>
      <c r="E2464" s="1" t="n">
        <v>1.07</v>
      </c>
      <c r="F2464" s="1" t="n">
        <v>29.8</v>
      </c>
      <c r="G2464" s="1" t="n">
        <v>7.78</v>
      </c>
      <c r="H2464" s="1" t="n">
        <v>93</v>
      </c>
      <c r="I2464" s="1" t="n">
        <v>1.02</v>
      </c>
      <c r="J2464" t="n">
        <v>24122170</v>
      </c>
    </row>
    <row r="2465" ht="15.75" customHeight="1" s="201">
      <c r="A2465" s="1" t="inlineStr">
        <is>
          <t>Chicken, broilers or fryers, breast, meat and skin, cooked, stewed</t>
        </is>
      </c>
      <c r="C2465" s="1" t="n">
        <v>0</v>
      </c>
      <c r="D2465" s="1" t="n">
        <v>3</v>
      </c>
      <c r="E2465" s="1" t="n">
        <v>0.92</v>
      </c>
      <c r="F2465" s="1" t="n">
        <v>27.39</v>
      </c>
      <c r="G2465" s="1" t="n">
        <v>7.42</v>
      </c>
      <c r="H2465" s="1" t="n">
        <v>82</v>
      </c>
      <c r="I2465" s="1" t="n">
        <v>0.97</v>
      </c>
      <c r="J2465" t="n">
        <v>24198746</v>
      </c>
    </row>
    <row r="2466" ht="15.75" customHeight="1" s="201">
      <c r="A2466" s="1" t="inlineStr">
        <is>
          <t>Chicken, broilers or fryers, breast, meat and skin, raw</t>
        </is>
      </c>
      <c r="C2466" s="1" t="n">
        <v>0</v>
      </c>
      <c r="D2466" s="1" t="n">
        <v>4</v>
      </c>
      <c r="E2466" s="1" t="n">
        <v>0.74</v>
      </c>
      <c r="F2466" s="1" t="n">
        <v>20.85</v>
      </c>
      <c r="G2466" s="1" t="n">
        <v>9.25</v>
      </c>
      <c r="H2466" s="1" t="n">
        <v>83</v>
      </c>
      <c r="I2466" s="1" t="n">
        <v>0.8</v>
      </c>
      <c r="J2466" t="n">
        <v>24198746</v>
      </c>
    </row>
    <row r="2467" ht="15.75" customHeight="1" s="201">
      <c r="A2467" s="1" t="inlineStr">
        <is>
          <t>Chicken, broilers or fryers, breast, meat only, cooked, fried</t>
        </is>
      </c>
      <c r="C2467" s="1" t="n">
        <v>0.51</v>
      </c>
      <c r="D2467" s="1" t="n">
        <v>4</v>
      </c>
      <c r="E2467" s="1" t="n">
        <v>1.14</v>
      </c>
      <c r="F2467" s="1" t="n">
        <v>33.44</v>
      </c>
      <c r="G2467" s="1" t="n">
        <v>4.71</v>
      </c>
      <c r="H2467" s="1" t="n">
        <v>23</v>
      </c>
      <c r="I2467" s="1" t="n">
        <v>1.08</v>
      </c>
      <c r="J2467" t="n">
        <v>28141010</v>
      </c>
    </row>
    <row r="2468" ht="15.75" customHeight="1" s="201">
      <c r="A2468" s="1" t="inlineStr">
        <is>
          <t>Chicken, broilers or fryers, breast, meat only, cooked, roasted</t>
        </is>
      </c>
      <c r="C2468" s="1" t="n">
        <v>0</v>
      </c>
      <c r="D2468" s="1" t="n">
        <v>4</v>
      </c>
      <c r="E2468" s="1" t="n">
        <v>1.04</v>
      </c>
      <c r="F2468" s="1" t="n">
        <v>31.02</v>
      </c>
      <c r="G2468" s="1" t="n">
        <v>3.57</v>
      </c>
      <c r="H2468" s="1" t="n">
        <v>21</v>
      </c>
      <c r="I2468" s="1" t="n">
        <v>1</v>
      </c>
      <c r="J2468" t="n">
        <v>24198746</v>
      </c>
    </row>
    <row r="2469" ht="15.75" customHeight="1" s="201">
      <c r="A2469" s="1" t="inlineStr">
        <is>
          <t>Chicken, broilers or fryers, breast, meat only, cooked, stewed</t>
        </is>
      </c>
      <c r="C2469" s="1" t="n">
        <v>0</v>
      </c>
      <c r="D2469" s="1" t="n">
        <v>3</v>
      </c>
      <c r="E2469" s="1" t="n">
        <v>0.88</v>
      </c>
      <c r="F2469" s="1" t="n">
        <v>28.98</v>
      </c>
      <c r="G2469" s="1" t="n">
        <v>3.03</v>
      </c>
      <c r="H2469" s="1" t="n">
        <v>19</v>
      </c>
      <c r="I2469" s="1" t="n">
        <v>0.97</v>
      </c>
      <c r="J2469" t="n">
        <v>24198746</v>
      </c>
    </row>
    <row r="2470" ht="15.75" customHeight="1" s="201">
      <c r="A2470" s="1" t="inlineStr">
        <is>
          <t>Chicken, broilers or fryers, breast, skinless, boneless, meat only, with added solution, raw</t>
        </is>
      </c>
      <c r="C2470" s="1" t="n">
        <v>0</v>
      </c>
      <c r="D2470" s="1" t="n">
        <v>8</v>
      </c>
      <c r="E2470" s="1" t="n">
        <v>0.34</v>
      </c>
      <c r="F2470" s="1" t="n">
        <v>20.32</v>
      </c>
      <c r="G2470" s="1" t="n">
        <v>3</v>
      </c>
      <c r="H2470" s="1" t="n">
        <v>36</v>
      </c>
      <c r="I2470" s="1" t="n">
        <v>0.63</v>
      </c>
      <c r="J2470" t="n">
        <v>27446315</v>
      </c>
    </row>
    <row r="2471" ht="15.75" customHeight="1" s="201">
      <c r="A2471" s="1" t="inlineStr">
        <is>
          <t>Chicken, broilers or fryers, dark meat, drumstick, meat and skin, cooked, braised</t>
        </is>
      </c>
      <c r="C2471" s="1" t="n">
        <v>0</v>
      </c>
      <c r="D2471" s="1" t="n">
        <v>4</v>
      </c>
      <c r="E2471" s="1" t="n">
        <v>0.9399999999999999</v>
      </c>
      <c r="F2471" s="1" t="n">
        <v>22.72</v>
      </c>
      <c r="G2471" s="1" t="n">
        <v>10.73</v>
      </c>
      <c r="H2471" s="1" t="n">
        <v>42</v>
      </c>
      <c r="I2471" s="1" t="n">
        <v>2.3</v>
      </c>
      <c r="J2471" t="n">
        <v>28141010</v>
      </c>
    </row>
    <row r="2472" ht="15.75" customHeight="1" s="201">
      <c r="A2472" s="1" t="inlineStr">
        <is>
          <t>Chicken, broilers or fryers, dark meat, drumstick, meat only, cooked, braised</t>
        </is>
      </c>
      <c r="C2472" s="1" t="n">
        <v>0</v>
      </c>
      <c r="D2472" s="1" t="n">
        <v>5</v>
      </c>
      <c r="E2472" s="1" t="n">
        <v>0.9399999999999999</v>
      </c>
      <c r="F2472" s="1" t="n">
        <v>23.93</v>
      </c>
      <c r="G2472" s="1" t="n">
        <v>5.95</v>
      </c>
      <c r="H2472" s="1" t="n">
        <v>24</v>
      </c>
      <c r="I2472" s="1" t="n">
        <v>2.54</v>
      </c>
      <c r="J2472" t="n">
        <v>28141010</v>
      </c>
    </row>
    <row r="2473" ht="15.75" customHeight="1" s="201">
      <c r="A2473" s="1" t="inlineStr">
        <is>
          <t>Chicken, broilers or fryers, dark meat, drumstick, meat only, cooked, roasted</t>
        </is>
      </c>
      <c r="C2473" s="1" t="n">
        <v>0</v>
      </c>
      <c r="D2473" s="1" t="n">
        <v>4</v>
      </c>
      <c r="E2473" s="1" t="n">
        <v>1.14</v>
      </c>
      <c r="F2473" s="1" t="n">
        <v>24.24</v>
      </c>
      <c r="G2473" s="1" t="n">
        <v>5.7</v>
      </c>
      <c r="H2473" s="1" t="n">
        <v>21</v>
      </c>
      <c r="I2473" s="1" t="n">
        <v>2.56</v>
      </c>
      <c r="J2473" t="n">
        <v>28141010</v>
      </c>
    </row>
    <row r="2474" ht="15.75" customHeight="1" s="201">
      <c r="A2474" s="1" t="inlineStr">
        <is>
          <t>Chicken, broilers or fryers, dark meat, drumstick, meat only, raw</t>
        </is>
      </c>
      <c r="C2474" s="1" t="n">
        <v>0</v>
      </c>
      <c r="D2474" s="1" t="n">
        <v>4</v>
      </c>
      <c r="E2474" s="1" t="n">
        <v>0.76</v>
      </c>
      <c r="F2474" s="1" t="n">
        <v>19.41</v>
      </c>
      <c r="G2474" s="1" t="n">
        <v>3.71</v>
      </c>
      <c r="H2474" s="1" t="n">
        <v>22</v>
      </c>
      <c r="I2474" s="1" t="n">
        <v>2.05</v>
      </c>
      <c r="J2474" t="n">
        <v>28141010</v>
      </c>
    </row>
    <row r="2475" ht="15.75" customHeight="1" s="201">
      <c r="A2475" s="1" t="inlineStr">
        <is>
          <t>Chicken, broilers or fryers, dark meat, meat and skin, cooked, fried, batter</t>
        </is>
      </c>
      <c r="C2475" s="1" t="n">
        <v>9.380000000000001</v>
      </c>
      <c r="D2475" s="1" t="n">
        <v>18</v>
      </c>
      <c r="E2475" s="1" t="n">
        <v>1.44</v>
      </c>
      <c r="F2475" s="1" t="n">
        <v>21.85</v>
      </c>
      <c r="G2475" s="1" t="n">
        <v>18.64</v>
      </c>
      <c r="H2475" s="1" t="n">
        <v>103</v>
      </c>
      <c r="I2475" s="1" t="n">
        <v>2.08</v>
      </c>
      <c r="J2475" t="n">
        <v>28141010</v>
      </c>
    </row>
    <row r="2476" ht="15.75" customHeight="1" s="201">
      <c r="A2476" s="1" t="inlineStr">
        <is>
          <t>Chicken, broilers or fryers, dark meat, meat and skin, cooked, fried, flour</t>
        </is>
      </c>
      <c r="C2476" s="1" t="n">
        <v>4.08</v>
      </c>
      <c r="D2476" s="1" t="n">
        <v>11</v>
      </c>
      <c r="E2476" s="1" t="n">
        <v>1.5</v>
      </c>
      <c r="F2476" s="1" t="n">
        <v>27.22</v>
      </c>
      <c r="G2476" s="1" t="n">
        <v>16.91</v>
      </c>
      <c r="H2476" s="1" t="n">
        <v>104</v>
      </c>
      <c r="I2476" s="1" t="n">
        <v>2.6</v>
      </c>
      <c r="J2476" t="n">
        <v>28141010</v>
      </c>
    </row>
    <row r="2477" ht="15.75" customHeight="1" s="201">
      <c r="A2477" s="1" t="inlineStr">
        <is>
          <t>Chicken, broilers or fryers, dark meat, meat and skin, cooked, roasted</t>
        </is>
      </c>
      <c r="C2477" s="1" t="n">
        <v>0</v>
      </c>
      <c r="D2477" s="1" t="n">
        <v>7</v>
      </c>
      <c r="E2477" s="1" t="n">
        <v>1.36</v>
      </c>
      <c r="F2477" s="1" t="n">
        <v>25.97</v>
      </c>
      <c r="G2477" s="1" t="n">
        <v>15.78</v>
      </c>
      <c r="H2477" s="1" t="n">
        <v>201</v>
      </c>
      <c r="I2477" s="1" t="n">
        <v>2.49</v>
      </c>
      <c r="J2477" t="n">
        <v>28141010</v>
      </c>
    </row>
    <row r="2478" ht="15.75" customHeight="1" s="201">
      <c r="A2478" s="1" t="inlineStr">
        <is>
          <t>Chicken, broilers or fryers, dark meat, meat and skin, cooked, stewed</t>
        </is>
      </c>
      <c r="C2478" s="1" t="n">
        <v>0</v>
      </c>
      <c r="D2478" s="1" t="n">
        <v>6</v>
      </c>
      <c r="E2478" s="1" t="n">
        <v>1.31</v>
      </c>
      <c r="F2478" s="1" t="n">
        <v>23.5</v>
      </c>
      <c r="G2478" s="1" t="n">
        <v>14.66</v>
      </c>
      <c r="H2478" s="1" t="n">
        <v>186</v>
      </c>
      <c r="I2478" s="1" t="n">
        <v>2.26</v>
      </c>
      <c r="J2478" t="n">
        <v>28141010</v>
      </c>
    </row>
    <row r="2479" ht="15.75" customHeight="1" s="201">
      <c r="A2479" s="1" t="inlineStr">
        <is>
          <t>Chicken, broilers or fryers, dark meat, meat and skin, raw</t>
        </is>
      </c>
      <c r="C2479" s="1" t="n">
        <v>0</v>
      </c>
      <c r="D2479" s="1" t="n">
        <v>7</v>
      </c>
      <c r="E2479" s="1" t="n">
        <v>0.98</v>
      </c>
      <c r="F2479" s="1" t="n">
        <v>16.69</v>
      </c>
      <c r="G2479" s="1" t="n">
        <v>18.34</v>
      </c>
      <c r="H2479" s="1" t="n">
        <v>163</v>
      </c>
      <c r="I2479" s="1" t="n">
        <v>1.58</v>
      </c>
      <c r="J2479" t="n">
        <v>28141010</v>
      </c>
    </row>
    <row r="2480" ht="15.75" customHeight="1" s="201">
      <c r="A2480" s="1" t="inlineStr">
        <is>
          <t>Chicken, broilers or fryers, dark meat, meat only, cooked, fried</t>
        </is>
      </c>
      <c r="C2480" s="1" t="n">
        <v>2.59</v>
      </c>
      <c r="D2480" s="1" t="n">
        <v>9</v>
      </c>
      <c r="E2480" s="1" t="n">
        <v>1.49</v>
      </c>
      <c r="F2480" s="1" t="n">
        <v>28.99</v>
      </c>
      <c r="G2480" s="1" t="n">
        <v>11.62</v>
      </c>
      <c r="H2480" s="1" t="n">
        <v>79</v>
      </c>
      <c r="I2480" s="1" t="n">
        <v>2.91</v>
      </c>
      <c r="J2480" t="n">
        <v>28141010</v>
      </c>
    </row>
    <row r="2481" ht="15.75" customHeight="1" s="201">
      <c r="A2481" s="1" t="inlineStr">
        <is>
          <t>Chicken, broilers or fryers, dark meat, meat only, cooked, roasted</t>
        </is>
      </c>
      <c r="C2481" s="1" t="n">
        <v>0</v>
      </c>
      <c r="D2481" s="1" t="n">
        <v>8</v>
      </c>
      <c r="E2481" s="1" t="n">
        <v>1.33</v>
      </c>
      <c r="F2481" s="1" t="n">
        <v>27.37</v>
      </c>
      <c r="G2481" s="1" t="n">
        <v>9.73</v>
      </c>
      <c r="H2481" s="1" t="n">
        <v>72</v>
      </c>
      <c r="I2481" s="1" t="n">
        <v>2.8</v>
      </c>
      <c r="J2481" t="n">
        <v>28141010</v>
      </c>
    </row>
    <row r="2482" ht="15.75" customHeight="1" s="201">
      <c r="A2482" s="1" t="inlineStr">
        <is>
          <t>Chicken, broilers or fryers, dark meat, meat only, cooked, stewed</t>
        </is>
      </c>
      <c r="C2482" s="1" t="n">
        <v>0</v>
      </c>
      <c r="D2482" s="1" t="n">
        <v>7</v>
      </c>
      <c r="E2482" s="1" t="n">
        <v>1.36</v>
      </c>
      <c r="F2482" s="1" t="n">
        <v>25.97</v>
      </c>
      <c r="G2482" s="1" t="n">
        <v>8.98</v>
      </c>
      <c r="H2482" s="1" t="n">
        <v>69</v>
      </c>
      <c r="I2482" s="1" t="n">
        <v>2.66</v>
      </c>
      <c r="J2482" t="n">
        <v>28141010</v>
      </c>
    </row>
    <row r="2483" ht="15.75" customHeight="1" s="201">
      <c r="A2483" s="1" t="inlineStr">
        <is>
          <t>Chicken, broilers or fryers, dark meat, meat only, raw</t>
        </is>
      </c>
      <c r="C2483" s="1" t="n">
        <v>0</v>
      </c>
      <c r="D2483" s="1" t="n">
        <v>10</v>
      </c>
      <c r="E2483" s="1" t="n">
        <v>1.03</v>
      </c>
      <c r="F2483" s="1" t="n">
        <v>20.08</v>
      </c>
      <c r="G2483" s="1" t="n">
        <v>4.31</v>
      </c>
      <c r="H2483" s="1" t="n">
        <v>72</v>
      </c>
      <c r="I2483" s="1" t="n">
        <v>2</v>
      </c>
      <c r="J2483" t="n">
        <v>28141010</v>
      </c>
    </row>
    <row r="2484" ht="15.75" customHeight="1" s="201">
      <c r="A2484" s="1" t="inlineStr">
        <is>
          <t>Chicken, broilers or fryers, dark meat, thigh, meat and skin, cooked, braised</t>
        </is>
      </c>
      <c r="C2484" s="1" t="n">
        <v>0</v>
      </c>
      <c r="D2484" s="1" t="n">
        <v>4</v>
      </c>
      <c r="E2484" s="1" t="n">
        <v>1.21</v>
      </c>
      <c r="F2484" s="1" t="n">
        <v>22.57</v>
      </c>
      <c r="G2484" s="1" t="n">
        <v>15.43</v>
      </c>
      <c r="H2484" s="1" t="n">
        <v>54</v>
      </c>
      <c r="I2484" s="1" t="n">
        <v>1.64</v>
      </c>
      <c r="J2484" t="n">
        <v>28141010</v>
      </c>
    </row>
    <row r="2485" ht="15.75" customHeight="1" s="201">
      <c r="A2485" s="1" t="inlineStr">
        <is>
          <t>Chicken, broilers or fryers, dark meat, thigh, meat only, cooked, braised</t>
        </is>
      </c>
      <c r="C2485" s="1" t="n">
        <v>0</v>
      </c>
      <c r="D2485" s="1" t="n">
        <v>5</v>
      </c>
      <c r="E2485" s="1" t="n">
        <v>1.27</v>
      </c>
      <c r="F2485" s="1" t="n">
        <v>24.55</v>
      </c>
      <c r="G2485" s="1" t="n">
        <v>8.630000000000001</v>
      </c>
      <c r="H2485" s="1" t="n">
        <v>27</v>
      </c>
      <c r="I2485" s="1" t="n">
        <v>1.87</v>
      </c>
      <c r="J2485" t="n">
        <v>28141010</v>
      </c>
    </row>
    <row r="2486" ht="15.75" customHeight="1" s="201">
      <c r="A2486" s="1" t="inlineStr">
        <is>
          <t>Chicken, broilers or fryers, dark meat, thigh, meat only, raw</t>
        </is>
      </c>
      <c r="C2486" s="1" t="n">
        <v>0</v>
      </c>
      <c r="D2486" s="1" t="n">
        <v>4</v>
      </c>
      <c r="E2486" s="1" t="n">
        <v>0.8100000000000001</v>
      </c>
      <c r="F2486" s="1" t="n">
        <v>19.66</v>
      </c>
      <c r="G2486" s="1" t="n">
        <v>4.12</v>
      </c>
      <c r="H2486" s="1" t="n">
        <v>24</v>
      </c>
      <c r="I2486" s="1" t="n">
        <v>1.58</v>
      </c>
      <c r="J2486" t="n">
        <v>28141010</v>
      </c>
    </row>
    <row r="2487" ht="15.75" customHeight="1" s="201">
      <c r="A2487" s="1" t="inlineStr">
        <is>
          <t>Chicken, broilers or fryers, drumstick, meat and skin, cooked, fried, batter</t>
        </is>
      </c>
      <c r="C2487" s="1" t="n">
        <v>8.279999999999999</v>
      </c>
      <c r="D2487" s="1" t="n">
        <v>18</v>
      </c>
      <c r="E2487" s="1" t="n">
        <v>1.35</v>
      </c>
      <c r="F2487" s="1" t="n">
        <v>21.95</v>
      </c>
      <c r="G2487" s="1" t="n">
        <v>15.75</v>
      </c>
      <c r="H2487" s="1" t="n">
        <v>86</v>
      </c>
      <c r="I2487" s="1" t="n">
        <v>2.33</v>
      </c>
      <c r="J2487" t="n">
        <v>28141010</v>
      </c>
    </row>
    <row r="2488" ht="15.75" customHeight="1" s="201">
      <c r="A2488" s="1" t="inlineStr">
        <is>
          <t>Chicken, broilers or fryers, drumstick, meat and skin, cooked, fried, flour</t>
        </is>
      </c>
      <c r="C2488" s="1" t="n">
        <v>1.63</v>
      </c>
      <c r="D2488" s="1" t="n">
        <v>10</v>
      </c>
      <c r="E2488" s="1" t="n">
        <v>1.34</v>
      </c>
      <c r="F2488" s="1" t="n">
        <v>26.96</v>
      </c>
      <c r="G2488" s="1" t="n">
        <v>13.72</v>
      </c>
      <c r="H2488" s="1" t="n">
        <v>84</v>
      </c>
      <c r="I2488" s="1" t="n">
        <v>2.89</v>
      </c>
      <c r="J2488" t="n">
        <v>28141010</v>
      </c>
    </row>
    <row r="2489" ht="15.75" customHeight="1" s="201">
      <c r="A2489" s="1" t="inlineStr">
        <is>
          <t>Chicken, broilers or fryers, drumstick, meat and skin, cooked, roasted</t>
        </is>
      </c>
      <c r="C2489" s="1" t="n">
        <v>0</v>
      </c>
      <c r="D2489" s="1" t="n">
        <v>4</v>
      </c>
      <c r="E2489" s="1" t="n">
        <v>1.11</v>
      </c>
      <c r="F2489" s="1" t="n">
        <v>23.35</v>
      </c>
      <c r="G2489" s="1" t="n">
        <v>10.15</v>
      </c>
      <c r="H2489" s="1" t="n">
        <v>40</v>
      </c>
      <c r="I2489" s="1" t="n">
        <v>2.36</v>
      </c>
      <c r="J2489" t="n">
        <v>24132240</v>
      </c>
    </row>
    <row r="2490" ht="15.75" customHeight="1" s="201">
      <c r="A2490" s="1" t="inlineStr">
        <is>
          <t>Chicken, broilers or fryers, drumstick, meat and skin, cooked, stewed</t>
        </is>
      </c>
      <c r="C2490" s="1" t="n">
        <v>0</v>
      </c>
      <c r="D2490" s="1" t="n">
        <v>7</v>
      </c>
      <c r="E2490" s="1" t="n">
        <v>1.33</v>
      </c>
      <c r="F2490" s="1" t="n">
        <v>25.32</v>
      </c>
      <c r="G2490" s="1" t="n">
        <v>10.64</v>
      </c>
      <c r="H2490" s="1" t="n">
        <v>91</v>
      </c>
      <c r="I2490" s="1" t="n">
        <v>2.65</v>
      </c>
      <c r="J2490" t="n">
        <v>24147310</v>
      </c>
    </row>
    <row r="2491" ht="15.75" customHeight="1" s="201">
      <c r="A2491" s="1" t="inlineStr">
        <is>
          <t>Chicken, broilers or fryers, drumstick, meat and skin, raw</t>
        </is>
      </c>
      <c r="C2491" s="1" t="n">
        <v>0.11</v>
      </c>
      <c r="D2491" s="1" t="n">
        <v>3</v>
      </c>
      <c r="E2491" s="1" t="n">
        <v>0.71</v>
      </c>
      <c r="F2491" s="1" t="n">
        <v>18.08</v>
      </c>
      <c r="G2491" s="1" t="n">
        <v>9.199999999999999</v>
      </c>
      <c r="H2491" s="1" t="n">
        <v>46</v>
      </c>
      <c r="I2491" s="1" t="n">
        <v>1.86</v>
      </c>
      <c r="J2491" t="n">
        <v>27446315</v>
      </c>
    </row>
    <row r="2492" ht="15.75" customHeight="1" s="201">
      <c r="A2492" s="1" t="inlineStr">
        <is>
          <t>Chicken, broilers or fryers, drumstick, meat only, cooked, fried</t>
        </is>
      </c>
      <c r="C2492" s="1" t="n">
        <v>0</v>
      </c>
      <c r="D2492" s="1" t="n">
        <v>9</v>
      </c>
      <c r="E2492" s="1" t="n">
        <v>1.32</v>
      </c>
      <c r="F2492" s="1" t="n">
        <v>28.62</v>
      </c>
      <c r="G2492" s="1" t="n">
        <v>8.08</v>
      </c>
      <c r="H2492" s="1" t="n">
        <v>61</v>
      </c>
      <c r="I2492" s="1" t="n">
        <v>3.22</v>
      </c>
      <c r="J2492" t="n">
        <v>28141010</v>
      </c>
    </row>
    <row r="2493" ht="15.75" customHeight="1" s="201">
      <c r="A2493" s="1" t="inlineStr">
        <is>
          <t>Chicken, broilers or fryers, drumstick, meat only, cooked, stewed</t>
        </is>
      </c>
      <c r="C2493" s="1" t="n">
        <v>0</v>
      </c>
      <c r="D2493" s="1" t="n">
        <v>8</v>
      </c>
      <c r="E2493" s="1" t="n">
        <v>1.37</v>
      </c>
      <c r="F2493" s="1" t="n">
        <v>27.5</v>
      </c>
      <c r="G2493" s="1" t="n">
        <v>5.71</v>
      </c>
      <c r="H2493" s="1" t="n">
        <v>57</v>
      </c>
      <c r="I2493" s="1" t="n">
        <v>3.02</v>
      </c>
      <c r="J2493" t="n">
        <v>27446315</v>
      </c>
    </row>
    <row r="2494" ht="15.75" customHeight="1" s="201">
      <c r="A2494" s="1" t="inlineStr">
        <is>
          <t>Chicken, broilers or fryers, drumstick, rotisserie, original seasoning, meat only, cooked</t>
        </is>
      </c>
      <c r="C2494" s="1" t="n">
        <v>0</v>
      </c>
      <c r="D2494" s="1" t="n">
        <v>10</v>
      </c>
      <c r="E2494" s="1" t="n">
        <v>1.09</v>
      </c>
      <c r="F2494" s="1" t="n">
        <v>28.74</v>
      </c>
      <c r="G2494" s="1" t="n">
        <v>6.81</v>
      </c>
      <c r="H2494" s="1" t="n">
        <v>34</v>
      </c>
      <c r="I2494" s="1" t="n">
        <v>2.96</v>
      </c>
      <c r="J2494" t="n">
        <v>24122171</v>
      </c>
    </row>
    <row r="2495" ht="15.75" customHeight="1" s="201">
      <c r="A2495" s="1" t="inlineStr">
        <is>
          <t>Chicken, broilers or fryers, giblets, cooked, fried</t>
        </is>
      </c>
      <c r="C2495" s="1" t="n">
        <v>4.35</v>
      </c>
      <c r="D2495" s="1" t="n">
        <v>379</v>
      </c>
      <c r="E2495" s="1" t="n">
        <v>10.32</v>
      </c>
      <c r="F2495" s="1" t="n">
        <v>32.54</v>
      </c>
      <c r="G2495" s="1" t="n">
        <v>13.46</v>
      </c>
      <c r="H2495" s="1" t="n">
        <v>11929</v>
      </c>
      <c r="I2495" s="1" t="n">
        <v>6.27</v>
      </c>
      <c r="J2495" t="n">
        <v>27446320</v>
      </c>
    </row>
    <row r="2496" ht="15.75" customHeight="1" s="201">
      <c r="A2496" s="1" t="inlineStr">
        <is>
          <t>Chicken, broilers or fryers, giblets, cooked, simmered</t>
        </is>
      </c>
      <c r="C2496" s="1" t="n">
        <v>0</v>
      </c>
      <c r="D2496" s="1" t="n">
        <v>257</v>
      </c>
      <c r="E2496" s="1" t="n">
        <v>7.04</v>
      </c>
      <c r="F2496" s="1" t="n">
        <v>27.15</v>
      </c>
      <c r="G2496" s="1" t="n">
        <v>4.5</v>
      </c>
      <c r="H2496" s="1" t="n">
        <v>5869</v>
      </c>
      <c r="I2496" s="1" t="n">
        <v>4.23</v>
      </c>
      <c r="J2496" t="n">
        <v>27446315</v>
      </c>
    </row>
    <row r="2497" ht="15.75" customHeight="1" s="201">
      <c r="A2497" s="1" t="inlineStr">
        <is>
          <t>Chicken, broilers or fryers, giblets, raw</t>
        </is>
      </c>
      <c r="C2497" s="1" t="n">
        <v>1.8</v>
      </c>
      <c r="D2497" s="1" t="n">
        <v>345</v>
      </c>
      <c r="E2497" s="1" t="n">
        <v>5.86</v>
      </c>
      <c r="F2497" s="1" t="n">
        <v>17.88</v>
      </c>
      <c r="G2497" s="1" t="n">
        <v>4.47</v>
      </c>
      <c r="H2497" s="1" t="n">
        <v>8847</v>
      </c>
      <c r="I2497" s="1" t="n">
        <v>3.32</v>
      </c>
      <c r="J2497" t="n">
        <v>27446315</v>
      </c>
    </row>
    <row r="2498" ht="15.75" customHeight="1" s="201">
      <c r="A2498" s="1" t="inlineStr">
        <is>
          <t>Chicken, broilers or fryers, leg, meat and skin, cooked, fried, batter</t>
        </is>
      </c>
      <c r="C2498" s="1" t="n">
        <v>8.720000000000001</v>
      </c>
      <c r="D2498" s="1" t="n">
        <v>18</v>
      </c>
      <c r="E2498" s="1" t="n">
        <v>1.4</v>
      </c>
      <c r="F2498" s="1" t="n">
        <v>21.77</v>
      </c>
      <c r="G2498" s="1" t="n">
        <v>16.17</v>
      </c>
      <c r="H2498" s="1" t="n">
        <v>91</v>
      </c>
      <c r="I2498" s="1" t="n">
        <v>2.17</v>
      </c>
      <c r="J2498" t="n">
        <v>28141010</v>
      </c>
    </row>
    <row r="2499" ht="15.75" customHeight="1" s="201">
      <c r="A2499" s="1" t="inlineStr">
        <is>
          <t>Chicken, broilers or fryers, leg, meat and skin, cooked, fried, flour</t>
        </is>
      </c>
      <c r="C2499" s="1" t="n">
        <v>2.5</v>
      </c>
      <c r="D2499" s="1" t="n">
        <v>11</v>
      </c>
      <c r="E2499" s="1" t="n">
        <v>1.43</v>
      </c>
      <c r="F2499" s="1" t="n">
        <v>26.84</v>
      </c>
      <c r="G2499" s="1" t="n">
        <v>14.43</v>
      </c>
      <c r="H2499" s="1" t="n">
        <v>92</v>
      </c>
      <c r="I2499" s="1" t="n">
        <v>2.68</v>
      </c>
      <c r="J2499" t="n">
        <v>28141010</v>
      </c>
    </row>
    <row r="2500" ht="15.75" customHeight="1" s="201">
      <c r="A2500" s="1" t="inlineStr">
        <is>
          <t>Chicken, broilers or fryers, leg, meat and skin, cooked, roasted</t>
        </is>
      </c>
      <c r="C2500" s="1" t="n">
        <v>0</v>
      </c>
      <c r="D2500" s="1" t="n">
        <v>5</v>
      </c>
      <c r="E2500" s="1" t="n">
        <v>1.09</v>
      </c>
      <c r="F2500" s="1" t="n">
        <v>24.03</v>
      </c>
      <c r="G2500" s="1" t="n">
        <v>8.99</v>
      </c>
      <c r="H2500" s="1" t="n">
        <v>68</v>
      </c>
      <c r="I2500" s="1" t="n">
        <v>2.07</v>
      </c>
      <c r="J2500" t="n">
        <v>27446315</v>
      </c>
    </row>
    <row r="2501" ht="15.75" customHeight="1" s="201">
      <c r="A2501" s="1" t="inlineStr">
        <is>
          <t>Chicken, broilers or fryers, leg, meat and skin, cooked, stewed</t>
        </is>
      </c>
      <c r="C2501" s="1" t="n">
        <v>0</v>
      </c>
      <c r="D2501" s="1" t="n">
        <v>6</v>
      </c>
      <c r="E2501" s="1" t="n">
        <v>1.35</v>
      </c>
      <c r="F2501" s="1" t="n">
        <v>24.17</v>
      </c>
      <c r="G2501" s="1" t="n">
        <v>12.92</v>
      </c>
      <c r="H2501" s="1" t="n">
        <v>124</v>
      </c>
      <c r="I2501" s="1" t="n">
        <v>2.43</v>
      </c>
      <c r="J2501" t="n">
        <v>27446315</v>
      </c>
    </row>
    <row r="2502" ht="15.75" customHeight="1" s="201">
      <c r="A2502" s="1" t="inlineStr">
        <is>
          <t>Chicken, broilers or fryers, leg, meat and skin, raw</t>
        </is>
      </c>
      <c r="C2502" s="1" t="n">
        <v>0.17</v>
      </c>
      <c r="D2502" s="1" t="n">
        <v>4</v>
      </c>
      <c r="E2502" s="1" t="n">
        <v>0.6899999999999999</v>
      </c>
      <c r="F2502" s="1" t="n">
        <v>16.37</v>
      </c>
      <c r="G2502" s="1" t="n">
        <v>15.95</v>
      </c>
      <c r="H2502" s="1" t="n">
        <v>92</v>
      </c>
      <c r="I2502" s="1" t="n">
        <v>1.47</v>
      </c>
      <c r="J2502" t="n">
        <v>27446315</v>
      </c>
    </row>
    <row r="2503" ht="15.75" customHeight="1" s="201">
      <c r="A2503" s="1" t="inlineStr">
        <is>
          <t>Chicken, broilers or fryers, leg, meat only, cooked, fried</t>
        </is>
      </c>
      <c r="C2503" s="1" t="n">
        <v>0.65</v>
      </c>
      <c r="D2503" s="1" t="n">
        <v>9</v>
      </c>
      <c r="E2503" s="1" t="n">
        <v>1.4</v>
      </c>
      <c r="F2503" s="1" t="n">
        <v>28.38</v>
      </c>
      <c r="G2503" s="1" t="n">
        <v>9.32</v>
      </c>
      <c r="H2503" s="1" t="n">
        <v>66</v>
      </c>
      <c r="I2503" s="1" t="n">
        <v>2.98</v>
      </c>
      <c r="J2503" t="n">
        <v>28141010</v>
      </c>
    </row>
    <row r="2504" ht="15.75" customHeight="1" s="201">
      <c r="A2504" s="1" t="inlineStr">
        <is>
          <t>Chicken, broilers or fryers, leg, meat only, cooked, roasted</t>
        </is>
      </c>
      <c r="C2504" s="1" t="n">
        <v>0</v>
      </c>
      <c r="D2504" s="1" t="n">
        <v>5</v>
      </c>
      <c r="E2504" s="1" t="n">
        <v>1.08</v>
      </c>
      <c r="F2504" s="1" t="n">
        <v>24.22</v>
      </c>
      <c r="G2504" s="1" t="n">
        <v>7.8</v>
      </c>
      <c r="H2504" s="1" t="n">
        <v>22</v>
      </c>
      <c r="I2504" s="1" t="n">
        <v>2.11</v>
      </c>
      <c r="J2504" t="n">
        <v>27446315</v>
      </c>
    </row>
    <row r="2505" ht="15.75" customHeight="1" s="201">
      <c r="A2505" s="1" t="inlineStr">
        <is>
          <t>Chicken, broilers or fryers, leg, meat only, cooked, stewed</t>
        </is>
      </c>
      <c r="C2505" s="1" t="n">
        <v>0</v>
      </c>
      <c r="D2505" s="1" t="n">
        <v>8</v>
      </c>
      <c r="E2505" s="1" t="n">
        <v>1.4</v>
      </c>
      <c r="F2505" s="1" t="n">
        <v>26.26</v>
      </c>
      <c r="G2505" s="1" t="n">
        <v>8.06</v>
      </c>
      <c r="H2505" s="1" t="n">
        <v>60</v>
      </c>
      <c r="I2505" s="1" t="n">
        <v>2.78</v>
      </c>
      <c r="J2505" t="n">
        <v>27446315</v>
      </c>
    </row>
    <row r="2506" ht="15.75" customHeight="1" s="201">
      <c r="A2506" s="1" t="inlineStr">
        <is>
          <t>Chicken, broilers or fryers, leg, meat only, raw</t>
        </is>
      </c>
      <c r="C2506" s="1" t="n">
        <v>0</v>
      </c>
      <c r="D2506" s="1" t="n">
        <v>4</v>
      </c>
      <c r="E2506" s="1" t="n">
        <v>0.78</v>
      </c>
      <c r="F2506" s="1" t="n">
        <v>19.16</v>
      </c>
      <c r="G2506" s="1" t="n">
        <v>4.22</v>
      </c>
      <c r="H2506" s="1" t="n">
        <v>32</v>
      </c>
      <c r="I2506" s="1" t="n">
        <v>1.76</v>
      </c>
      <c r="J2506" t="n">
        <v>27446315</v>
      </c>
    </row>
    <row r="2507" ht="15.75" customHeight="1" s="201">
      <c r="A2507" s="1" t="inlineStr">
        <is>
          <t>Chicken, broilers or fryers, light meat, meat and skin, cooked, fried, batter</t>
        </is>
      </c>
      <c r="C2507" s="1" t="n">
        <v>9.5</v>
      </c>
      <c r="D2507" s="1" t="n">
        <v>16</v>
      </c>
      <c r="E2507" s="1" t="n">
        <v>1.26</v>
      </c>
      <c r="F2507" s="1" t="n">
        <v>23.55</v>
      </c>
      <c r="G2507" s="1" t="n">
        <v>15.44</v>
      </c>
      <c r="H2507" s="1" t="n">
        <v>79</v>
      </c>
      <c r="I2507" s="1" t="n">
        <v>1.06</v>
      </c>
      <c r="J2507" t="n">
        <v>27446245</v>
      </c>
    </row>
    <row r="2508" ht="15.75" customHeight="1" s="201">
      <c r="A2508" s="1" t="inlineStr">
        <is>
          <t>Chicken, broilers or fryers, light meat, meat and skin, cooked, fried, flour</t>
        </is>
      </c>
      <c r="C2508" s="1" t="n">
        <v>1.82</v>
      </c>
      <c r="D2508" s="1" t="n">
        <v>7</v>
      </c>
      <c r="E2508" s="1" t="n">
        <v>1.21</v>
      </c>
      <c r="F2508" s="1" t="n">
        <v>30.45</v>
      </c>
      <c r="G2508" s="1" t="n">
        <v>12.09</v>
      </c>
      <c r="H2508" s="1" t="n">
        <v>68</v>
      </c>
      <c r="I2508" s="1" t="n">
        <v>1.26</v>
      </c>
      <c r="J2508" t="n">
        <v>27446245</v>
      </c>
    </row>
    <row r="2509" ht="15.75" customHeight="1" s="201">
      <c r="A2509" s="1" t="inlineStr">
        <is>
          <t>Chicken, broilers or fryers, light meat, meat and skin, cooked, roasted</t>
        </is>
      </c>
      <c r="C2509" s="1" t="n">
        <v>0</v>
      </c>
      <c r="D2509" s="1" t="n">
        <v>3</v>
      </c>
      <c r="E2509" s="1" t="n">
        <v>1.14</v>
      </c>
      <c r="F2509" s="1" t="n">
        <v>29.02</v>
      </c>
      <c r="G2509" s="1" t="n">
        <v>10.85</v>
      </c>
      <c r="H2509" s="1" t="n">
        <v>110</v>
      </c>
      <c r="I2509" s="1" t="n">
        <v>1.23</v>
      </c>
      <c r="J2509" t="n">
        <v>27446245</v>
      </c>
    </row>
    <row r="2510" ht="15.75" customHeight="1" s="201">
      <c r="A2510" s="1" t="inlineStr">
        <is>
          <t>Chicken, broilers or fryers, light meat, meat and skin, cooked, stewed</t>
        </is>
      </c>
      <c r="C2510" s="1" t="n">
        <v>0</v>
      </c>
      <c r="D2510" s="1" t="n">
        <v>3</v>
      </c>
      <c r="E2510" s="1" t="n">
        <v>0.98</v>
      </c>
      <c r="F2510" s="1" t="n">
        <v>26.14</v>
      </c>
      <c r="G2510" s="1" t="n">
        <v>9.970000000000001</v>
      </c>
      <c r="H2510" s="1" t="n">
        <v>96</v>
      </c>
      <c r="I2510" s="1" t="n">
        <v>1.14</v>
      </c>
      <c r="J2510" t="n">
        <v>27446245</v>
      </c>
    </row>
    <row r="2511" ht="15.75" customHeight="1" s="201">
      <c r="A2511" s="1" t="inlineStr">
        <is>
          <t>Chicken, broilers or fryers, light meat, meat and skin, raw</t>
        </is>
      </c>
      <c r="C2511" s="1" t="n">
        <v>0</v>
      </c>
      <c r="D2511" s="1" t="n">
        <v>4</v>
      </c>
      <c r="E2511" s="1" t="n">
        <v>0.79</v>
      </c>
      <c r="F2511" s="1" t="n">
        <v>20.27</v>
      </c>
      <c r="G2511" s="1" t="n">
        <v>11.07</v>
      </c>
      <c r="H2511" s="1" t="n">
        <v>97</v>
      </c>
      <c r="I2511" s="1" t="n">
        <v>0.93</v>
      </c>
      <c r="J2511" t="n">
        <v>27446245</v>
      </c>
    </row>
    <row r="2512" ht="15.75" customHeight="1" s="201">
      <c r="A2512" s="1" t="inlineStr">
        <is>
          <t>Chicken, broilers or fryers, light meat, meat only, cooked, fried</t>
        </is>
      </c>
      <c r="C2512" s="1" t="n">
        <v>0.42</v>
      </c>
      <c r="D2512" s="1" t="n">
        <v>4</v>
      </c>
      <c r="E2512" s="1" t="n">
        <v>1.14</v>
      </c>
      <c r="F2512" s="1" t="n">
        <v>32.82</v>
      </c>
      <c r="G2512" s="1" t="n">
        <v>5.54</v>
      </c>
      <c r="H2512" s="1" t="n">
        <v>30</v>
      </c>
      <c r="I2512" s="1" t="n">
        <v>1.27</v>
      </c>
      <c r="J2512" t="n">
        <v>27446245</v>
      </c>
    </row>
    <row r="2513" ht="15.75" customHeight="1" s="201">
      <c r="A2513" s="1" t="inlineStr">
        <is>
          <t>Chicken, broilers or fryers, light meat, meat only, cooked, roasted</t>
        </is>
      </c>
      <c r="C2513" s="1" t="n">
        <v>0</v>
      </c>
      <c r="D2513" s="1" t="n">
        <v>4</v>
      </c>
      <c r="E2513" s="1" t="n">
        <v>1.06</v>
      </c>
      <c r="F2513" s="1" t="n">
        <v>30.91</v>
      </c>
      <c r="G2513" s="1" t="n">
        <v>4.51</v>
      </c>
      <c r="H2513" s="1" t="n">
        <v>29</v>
      </c>
      <c r="I2513" s="1" t="n">
        <v>1.23</v>
      </c>
      <c r="J2513" t="n">
        <v>27446245</v>
      </c>
    </row>
    <row r="2514" ht="15.75" customHeight="1" s="201">
      <c r="A2514" s="1" t="inlineStr">
        <is>
          <t>Chicken, broilers or fryers, light meat, meat only, cooked, stewed</t>
        </is>
      </c>
      <c r="C2514" s="1" t="n">
        <v>0</v>
      </c>
      <c r="D2514" s="1" t="n">
        <v>3</v>
      </c>
      <c r="E2514" s="1" t="n">
        <v>0.93</v>
      </c>
      <c r="F2514" s="1" t="n">
        <v>28.88</v>
      </c>
      <c r="G2514" s="1" t="n">
        <v>3.99</v>
      </c>
      <c r="H2514" s="1" t="n">
        <v>27</v>
      </c>
      <c r="I2514" s="1" t="n">
        <v>1.19</v>
      </c>
      <c r="J2514" t="n">
        <v>27446245</v>
      </c>
    </row>
    <row r="2515" ht="15.75" customHeight="1" s="201">
      <c r="A2515" s="1" t="inlineStr">
        <is>
          <t>Chicken, broilers or fryers, light meat, meat only, raw</t>
        </is>
      </c>
      <c r="C2515" s="1" t="n">
        <v>0</v>
      </c>
      <c r="D2515" s="1" t="n">
        <v>4</v>
      </c>
      <c r="E2515" s="1" t="n">
        <v>0.73</v>
      </c>
      <c r="F2515" s="1" t="n">
        <v>23.2</v>
      </c>
      <c r="G2515" s="1" t="n">
        <v>1.65</v>
      </c>
      <c r="H2515" s="1" t="n">
        <v>27</v>
      </c>
      <c r="I2515" s="1" t="n">
        <v>0.97</v>
      </c>
      <c r="J2515" t="n">
        <v>27446245</v>
      </c>
    </row>
    <row r="2516" ht="15.75" customHeight="1" s="201">
      <c r="A2516" s="1" t="inlineStr">
        <is>
          <t>Chicken, broilers or fryers, meat and skin and giblets and neck, cooked, fried, batter</t>
        </is>
      </c>
      <c r="C2516" s="1" t="n">
        <v>9.029999999999999</v>
      </c>
      <c r="D2516" s="1" t="n">
        <v>32</v>
      </c>
      <c r="E2516" s="1" t="n">
        <v>1.79</v>
      </c>
      <c r="F2516" s="1" t="n">
        <v>22.84</v>
      </c>
      <c r="G2516" s="1" t="n">
        <v>17.53</v>
      </c>
      <c r="H2516" s="1" t="n">
        <v>603</v>
      </c>
      <c r="I2516" s="1" t="n">
        <v>1.91</v>
      </c>
      <c r="J2516" t="n">
        <v>28141010</v>
      </c>
    </row>
    <row r="2517" ht="15.75" customHeight="1" s="201">
      <c r="A2517" s="1" t="inlineStr">
        <is>
          <t>Chicken, broilers or fryers, meat and skin and giblets and neck, cooked, fried, flour</t>
        </is>
      </c>
      <c r="C2517" s="1" t="n">
        <v>3.27</v>
      </c>
      <c r="D2517" s="1" t="n">
        <v>31</v>
      </c>
      <c r="E2517" s="1" t="n">
        <v>1.99</v>
      </c>
      <c r="F2517" s="1" t="n">
        <v>28.57</v>
      </c>
      <c r="G2517" s="1" t="n">
        <v>15.27</v>
      </c>
      <c r="H2517" s="1" t="n">
        <v>826</v>
      </c>
      <c r="I2517" s="1" t="n">
        <v>2.36</v>
      </c>
      <c r="J2517" t="n">
        <v>28141010</v>
      </c>
    </row>
    <row r="2518" ht="15.75" customHeight="1" s="201">
      <c r="A2518" s="1" t="inlineStr">
        <is>
          <t>Chicken, broilers or fryers, meat and skin and giblets and neck, raw</t>
        </is>
      </c>
      <c r="C2518" s="1" t="n">
        <v>0.13</v>
      </c>
      <c r="D2518" s="1" t="n">
        <v>30</v>
      </c>
      <c r="E2518" s="1" t="n">
        <v>1.31</v>
      </c>
      <c r="F2518" s="1" t="n">
        <v>18.33</v>
      </c>
      <c r="G2518" s="1" t="n">
        <v>14.83</v>
      </c>
      <c r="H2518" s="1" t="n">
        <v>771</v>
      </c>
      <c r="I2518" s="1" t="n">
        <v>1.48</v>
      </c>
      <c r="J2518" t="n">
        <v>27446315</v>
      </c>
    </row>
    <row r="2519" ht="15.75" customHeight="1" s="201">
      <c r="A2519" s="1" t="inlineStr">
        <is>
          <t>Chicken, broilers or fryers, meat and skin and giblets and neck, roasted</t>
        </is>
      </c>
      <c r="C2519" s="1" t="n">
        <v>0.06</v>
      </c>
      <c r="D2519" s="1" t="n">
        <v>29</v>
      </c>
      <c r="E2519" s="1" t="n">
        <v>1.66</v>
      </c>
      <c r="F2519" s="1" t="n">
        <v>26.78</v>
      </c>
      <c r="G2519" s="1" t="n">
        <v>13.27</v>
      </c>
      <c r="H2519" s="1" t="n">
        <v>636</v>
      </c>
      <c r="I2519" s="1" t="n">
        <v>2.16</v>
      </c>
      <c r="J2519" t="n">
        <v>27446315</v>
      </c>
    </row>
    <row r="2520" ht="15.75" customHeight="1" s="201">
      <c r="A2520" s="1" t="inlineStr">
        <is>
          <t>Chicken, broilers or fryers, meat and skin and giblets and neck, stewed</t>
        </is>
      </c>
      <c r="C2520" s="1" t="n">
        <v>0.06</v>
      </c>
      <c r="D2520" s="1" t="n">
        <v>27</v>
      </c>
      <c r="E2520" s="1" t="n">
        <v>1.53</v>
      </c>
      <c r="F2520" s="1" t="n">
        <v>24.49</v>
      </c>
      <c r="G2520" s="1" t="n">
        <v>12.37</v>
      </c>
      <c r="H2520" s="1" t="n">
        <v>579</v>
      </c>
      <c r="I2520" s="1" t="n">
        <v>1.98</v>
      </c>
      <c r="J2520" t="n">
        <v>27446315</v>
      </c>
    </row>
    <row r="2521" ht="15.75" customHeight="1" s="201">
      <c r="A2521" s="1" t="inlineStr">
        <is>
          <t>Chicken, broilers or fryers, meat and skin, cooked, fried, batter</t>
        </is>
      </c>
      <c r="C2521" s="1" t="n">
        <v>9.42</v>
      </c>
      <c r="D2521" s="1" t="n">
        <v>18</v>
      </c>
      <c r="E2521" s="1" t="n">
        <v>1.37</v>
      </c>
      <c r="F2521" s="1" t="n">
        <v>22.54</v>
      </c>
      <c r="G2521" s="1" t="n">
        <v>17.35</v>
      </c>
      <c r="H2521" s="1" t="n">
        <v>93</v>
      </c>
      <c r="I2521" s="1" t="n">
        <v>1.67</v>
      </c>
      <c r="J2521" t="n">
        <v>28141010</v>
      </c>
    </row>
    <row r="2522" ht="15.75" customHeight="1" s="201">
      <c r="A2522" s="1" t="inlineStr">
        <is>
          <t>Chicken, broilers or fryers, meat and skin, cooked, fried, flour</t>
        </is>
      </c>
      <c r="C2522" s="1" t="n">
        <v>3.15</v>
      </c>
      <c r="D2522" s="1" t="n">
        <v>9</v>
      </c>
      <c r="E2522" s="1" t="n">
        <v>1.38</v>
      </c>
      <c r="F2522" s="1" t="n">
        <v>28.56</v>
      </c>
      <c r="G2522" s="1" t="n">
        <v>14.92</v>
      </c>
      <c r="H2522" s="1" t="n">
        <v>89</v>
      </c>
      <c r="I2522" s="1" t="n">
        <v>2.04</v>
      </c>
      <c r="J2522" t="n">
        <v>28141010</v>
      </c>
    </row>
    <row r="2523" ht="15.75" customHeight="1" s="201">
      <c r="A2523" s="1" t="inlineStr">
        <is>
          <t>Chicken, broilers or fryers, meat and skin, cooked, roasted</t>
        </is>
      </c>
      <c r="C2523" s="1" t="n">
        <v>0</v>
      </c>
      <c r="D2523" s="1" t="n">
        <v>5</v>
      </c>
      <c r="E2523" s="1" t="n">
        <v>1.26</v>
      </c>
      <c r="F2523" s="1" t="n">
        <v>27.3</v>
      </c>
      <c r="G2523" s="1" t="n">
        <v>13.6</v>
      </c>
      <c r="H2523" s="1" t="n">
        <v>161</v>
      </c>
      <c r="I2523" s="1" t="n">
        <v>1.94</v>
      </c>
      <c r="J2523" t="n">
        <v>27446315</v>
      </c>
    </row>
    <row r="2524" ht="15.75" customHeight="1" s="201">
      <c r="A2524" s="1" t="inlineStr">
        <is>
          <t>Chicken, broilers or fryers, meat and skin, cooked, stewed</t>
        </is>
      </c>
      <c r="C2524" s="1" t="n">
        <v>0</v>
      </c>
      <c r="D2524" s="1" t="n">
        <v>5</v>
      </c>
      <c r="E2524" s="1" t="n">
        <v>1.16</v>
      </c>
      <c r="F2524" s="1" t="n">
        <v>24.68</v>
      </c>
      <c r="G2524" s="1" t="n">
        <v>12.56</v>
      </c>
      <c r="H2524" s="1" t="n">
        <v>146</v>
      </c>
      <c r="I2524" s="1" t="n">
        <v>1.76</v>
      </c>
      <c r="J2524" t="n">
        <v>27446315</v>
      </c>
    </row>
    <row r="2525" ht="15.75" customHeight="1" s="201">
      <c r="A2525" s="1" t="inlineStr">
        <is>
          <t>Chicken, broilers or fryers, meat and skin, raw</t>
        </is>
      </c>
      <c r="C2525" s="1" t="n">
        <v>0</v>
      </c>
      <c r="D2525" s="1" t="n">
        <v>6</v>
      </c>
      <c r="E2525" s="1" t="n">
        <v>0.9</v>
      </c>
      <c r="F2525" s="1" t="n">
        <v>18.6</v>
      </c>
      <c r="G2525" s="1" t="n">
        <v>15.06</v>
      </c>
      <c r="H2525" s="1" t="n">
        <v>137</v>
      </c>
      <c r="I2525" s="1" t="n">
        <v>1.31</v>
      </c>
      <c r="J2525" t="n">
        <v>27446315</v>
      </c>
    </row>
    <row r="2526" ht="15.75" customHeight="1" s="201">
      <c r="A2526" s="1" t="inlineStr">
        <is>
          <t>Chicken, broilers or fryers, meat only, cooked, fried</t>
        </is>
      </c>
      <c r="C2526" s="1" t="n">
        <v>1.69</v>
      </c>
      <c r="D2526" s="1" t="n">
        <v>7</v>
      </c>
      <c r="E2526" s="1" t="n">
        <v>1.35</v>
      </c>
      <c r="F2526" s="1" t="n">
        <v>30.57</v>
      </c>
      <c r="G2526" s="1" t="n">
        <v>9.119999999999999</v>
      </c>
      <c r="H2526" s="1" t="n">
        <v>59</v>
      </c>
      <c r="I2526" s="1" t="n">
        <v>2.24</v>
      </c>
      <c r="J2526" t="n">
        <v>28141010</v>
      </c>
    </row>
    <row r="2527" ht="15.75" customHeight="1" s="201">
      <c r="A2527" s="1" t="inlineStr">
        <is>
          <t>Chicken, broilers or fryers, meat only, cooked, roasted</t>
        </is>
      </c>
      <c r="C2527" s="1" t="n">
        <v>0</v>
      </c>
      <c r="D2527" s="1" t="n">
        <v>6</v>
      </c>
      <c r="E2527" s="1" t="n">
        <v>1.21</v>
      </c>
      <c r="F2527" s="1" t="n">
        <v>28.93</v>
      </c>
      <c r="G2527" s="1" t="n">
        <v>7.41</v>
      </c>
      <c r="H2527" s="1" t="n">
        <v>53</v>
      </c>
      <c r="I2527" s="1" t="n">
        <v>2.1</v>
      </c>
      <c r="J2527" t="n">
        <v>27446315</v>
      </c>
    </row>
    <row r="2528" ht="15.75" customHeight="1" s="201">
      <c r="A2528" s="1" t="inlineStr">
        <is>
          <t>Chicken, broilers or fryers, meat only, cooked, stewed</t>
        </is>
      </c>
      <c r="C2528" s="1" t="n">
        <v>0</v>
      </c>
      <c r="D2528" s="1" t="n">
        <v>6</v>
      </c>
      <c r="E2528" s="1" t="n">
        <v>1.17</v>
      </c>
      <c r="F2528" s="1" t="n">
        <v>27.29</v>
      </c>
      <c r="G2528" s="1" t="n">
        <v>6.71</v>
      </c>
      <c r="H2528" s="1" t="n">
        <v>50</v>
      </c>
      <c r="I2528" s="1" t="n">
        <v>1.99</v>
      </c>
      <c r="J2528" t="n">
        <v>27446315</v>
      </c>
    </row>
    <row r="2529" ht="15.75" customHeight="1" s="201">
      <c r="A2529" s="1" t="inlineStr">
        <is>
          <t>Chicken, broilers or fryers, meat only, raw</t>
        </is>
      </c>
      <c r="C2529" s="1" t="n">
        <v>0</v>
      </c>
      <c r="D2529" s="1" t="n">
        <v>7</v>
      </c>
      <c r="E2529" s="1" t="n">
        <v>0.89</v>
      </c>
      <c r="F2529" s="1" t="n">
        <v>21.39</v>
      </c>
      <c r="G2529" s="1" t="n">
        <v>3.08</v>
      </c>
      <c r="H2529" s="1" t="n">
        <v>53</v>
      </c>
      <c r="I2529" s="1" t="n">
        <v>1.54</v>
      </c>
      <c r="J2529" t="n">
        <v>27446315</v>
      </c>
    </row>
    <row r="2530" ht="15.75" customHeight="1" s="201">
      <c r="A2530" s="1" t="inlineStr">
        <is>
          <t>Chicken, broilers or fryers, neck, meat and skin, cooked simmered</t>
        </is>
      </c>
      <c r="C2530" s="1" t="n">
        <v>0</v>
      </c>
      <c r="D2530" s="1" t="n">
        <v>3</v>
      </c>
      <c r="E2530" s="1" t="n">
        <v>2.3</v>
      </c>
      <c r="F2530" s="1" t="n">
        <v>19.61</v>
      </c>
      <c r="G2530" s="1" t="n">
        <v>18.1</v>
      </c>
      <c r="H2530" s="1" t="n">
        <v>161</v>
      </c>
      <c r="I2530" s="1" t="n">
        <v>2.72</v>
      </c>
      <c r="J2530" t="n">
        <v>27446315</v>
      </c>
    </row>
    <row r="2531" ht="15.75" customHeight="1" s="201">
      <c r="A2531" s="1" t="inlineStr">
        <is>
          <t>Chicken, broilers or fryers, neck, meat and skin, cooked, fried, batter</t>
        </is>
      </c>
      <c r="C2531" s="1" t="n">
        <v>8.699999999999999</v>
      </c>
      <c r="D2531" s="1" t="n">
        <v>15</v>
      </c>
      <c r="E2531" s="1" t="n">
        <v>2.15</v>
      </c>
      <c r="F2531" s="1" t="n">
        <v>19.82</v>
      </c>
      <c r="G2531" s="1" t="n">
        <v>23.52</v>
      </c>
      <c r="H2531" s="1" t="n">
        <v>170</v>
      </c>
      <c r="I2531" s="1" t="n">
        <v>2.5</v>
      </c>
      <c r="J2531" t="n">
        <v>28141010</v>
      </c>
    </row>
    <row r="2532" ht="15.75" customHeight="1" s="201">
      <c r="A2532" s="1" t="inlineStr">
        <is>
          <t>Chicken, broilers or fryers, neck, meat and skin, cooked, fried, flour</t>
        </is>
      </c>
      <c r="C2532" s="1" t="n">
        <v>4.24</v>
      </c>
      <c r="D2532" s="1" t="n">
        <v>11</v>
      </c>
      <c r="E2532" s="1" t="n">
        <v>2.42</v>
      </c>
      <c r="F2532" s="1" t="n">
        <v>24.01</v>
      </c>
      <c r="G2532" s="1" t="n">
        <v>23.61</v>
      </c>
      <c r="H2532" s="1" t="n">
        <v>190</v>
      </c>
      <c r="I2532" s="1" t="n">
        <v>3.07</v>
      </c>
      <c r="J2532" t="n">
        <v>28141010</v>
      </c>
    </row>
    <row r="2533" ht="15.75" customHeight="1" s="201">
      <c r="A2533" s="1" t="inlineStr">
        <is>
          <t>Chicken, broilers or fryers, neck, meat and skin, raw</t>
        </is>
      </c>
      <c r="C2533" s="1" t="n">
        <v>0</v>
      </c>
      <c r="D2533" s="1" t="n">
        <v>5</v>
      </c>
      <c r="E2533" s="1" t="n">
        <v>1.9</v>
      </c>
      <c r="F2533" s="1" t="n">
        <v>14.07</v>
      </c>
      <c r="G2533" s="1" t="n">
        <v>26.24</v>
      </c>
      <c r="H2533" s="1" t="n">
        <v>216</v>
      </c>
      <c r="I2533" s="1" t="n">
        <v>1.86</v>
      </c>
      <c r="J2533" t="n">
        <v>27446315</v>
      </c>
    </row>
    <row r="2534" ht="15.75" customHeight="1" s="201">
      <c r="A2534" s="1" t="inlineStr">
        <is>
          <t>Chicken, broilers or fryers, neck, meat only, cooked, fried</t>
        </is>
      </c>
      <c r="C2534" s="1" t="n">
        <v>1.77</v>
      </c>
      <c r="D2534" s="1" t="n">
        <v>8</v>
      </c>
      <c r="E2534" s="1" t="n">
        <v>2.98</v>
      </c>
      <c r="F2534" s="1" t="n">
        <v>26.87</v>
      </c>
      <c r="G2534" s="1" t="n">
        <v>11.88</v>
      </c>
      <c r="H2534" s="1" t="n">
        <v>162</v>
      </c>
      <c r="I2534" s="1" t="n">
        <v>4.24</v>
      </c>
      <c r="J2534" t="n">
        <v>28141010</v>
      </c>
    </row>
    <row r="2535" ht="15.75" customHeight="1" s="201">
      <c r="A2535" s="1" t="inlineStr">
        <is>
          <t>Chicken, broilers or fryers, neck, meat only, cooked, simmered</t>
        </is>
      </c>
      <c r="C2535" s="1" t="n">
        <v>0</v>
      </c>
      <c r="D2535" s="1" t="n">
        <v>6</v>
      </c>
      <c r="E2535" s="1" t="n">
        <v>2.63</v>
      </c>
      <c r="F2535" s="1" t="n">
        <v>24.56</v>
      </c>
      <c r="G2535" s="1" t="n">
        <v>8.18</v>
      </c>
      <c r="H2535" s="1" t="n">
        <v>121</v>
      </c>
      <c r="I2535" s="1" t="n">
        <v>3.77</v>
      </c>
      <c r="J2535" t="n">
        <v>27446315</v>
      </c>
    </row>
    <row r="2536" ht="15.75" customHeight="1" s="201">
      <c r="A2536" s="1" t="inlineStr">
        <is>
          <t>Chicken, broilers or fryers, neck, meat only, raw</t>
        </is>
      </c>
      <c r="C2536" s="1" t="n">
        <v>0</v>
      </c>
      <c r="D2536" s="1" t="n">
        <v>8</v>
      </c>
      <c r="E2536" s="1" t="n">
        <v>2.06</v>
      </c>
      <c r="F2536" s="1" t="n">
        <v>17.55</v>
      </c>
      <c r="G2536" s="1" t="n">
        <v>8.779999999999999</v>
      </c>
      <c r="H2536" s="1" t="n">
        <v>146</v>
      </c>
      <c r="I2536" s="1" t="n">
        <v>2.68</v>
      </c>
      <c r="J2536" t="n">
        <v>27446315</v>
      </c>
    </row>
    <row r="2537" ht="15.75" customHeight="1" s="201">
      <c r="A2537" s="1" t="inlineStr">
        <is>
          <t>Chicken, broilers or fryers, rotisserie, original seasoning, back, meat and skin, cooked</t>
        </is>
      </c>
      <c r="C2537" s="1" t="n">
        <v>0.03</v>
      </c>
      <c r="D2537" s="1" t="n">
        <v>9</v>
      </c>
      <c r="E2537" s="1" t="n">
        <v>0.97</v>
      </c>
      <c r="F2537" s="1" t="n">
        <v>23.23</v>
      </c>
      <c r="G2537" s="1" t="n">
        <v>18.59</v>
      </c>
      <c r="H2537" s="1" t="n">
        <v>92</v>
      </c>
      <c r="I2537" s="1" t="n">
        <v>1.77</v>
      </c>
      <c r="J2537" t="n">
        <v>24122171</v>
      </c>
    </row>
    <row r="2538" ht="15.75" customHeight="1" s="201">
      <c r="A2538" s="1" t="inlineStr">
        <is>
          <t>Chicken, broilers or fryers, rotisserie, original seasoning, back, meat only, cooked</t>
        </is>
      </c>
      <c r="C2538" s="1" t="n">
        <v>0</v>
      </c>
      <c r="D2538" s="1" t="n">
        <v>8</v>
      </c>
      <c r="E2538" s="1" t="n">
        <v>0.97</v>
      </c>
      <c r="F2538" s="1" t="n">
        <v>25.34</v>
      </c>
      <c r="G2538" s="1" t="n">
        <v>11.54</v>
      </c>
      <c r="H2538" s="1" t="n">
        <v>57</v>
      </c>
      <c r="I2538" s="1" t="n">
        <v>2.04</v>
      </c>
      <c r="J2538" t="n">
        <v>24122171</v>
      </c>
    </row>
    <row r="2539" ht="15.75" customHeight="1" s="201">
      <c r="A2539" s="1" t="inlineStr">
        <is>
          <t>Chicken, broilers or fryers, rotisserie, original seasoning, breast, meat and skin, cooked</t>
        </is>
      </c>
      <c r="C2539" s="1" t="n">
        <v>0.02</v>
      </c>
      <c r="D2539" s="1" t="n">
        <v>11</v>
      </c>
      <c r="E2539" s="1" t="n">
        <v>0.55</v>
      </c>
      <c r="F2539" s="1" t="n">
        <v>27.48</v>
      </c>
      <c r="G2539" s="1" t="n">
        <v>8.18</v>
      </c>
      <c r="H2539" s="1" t="n">
        <v>41</v>
      </c>
      <c r="I2539" s="1" t="n">
        <v>0.92</v>
      </c>
      <c r="J2539" t="n">
        <v>24122171</v>
      </c>
    </row>
    <row r="2540" ht="15.75" customHeight="1" s="201">
      <c r="A2540" s="1" t="inlineStr">
        <is>
          <t>Chicken, broilers or fryers, rotisserie, original seasoning, breast, meat only, cooked</t>
        </is>
      </c>
      <c r="C2540" s="1" t="n">
        <v>0</v>
      </c>
      <c r="D2540" s="1" t="n">
        <v>11</v>
      </c>
      <c r="E2540" s="1" t="n">
        <v>0.45</v>
      </c>
      <c r="F2540" s="1" t="n">
        <v>28</v>
      </c>
      <c r="G2540" s="1" t="n">
        <v>2.79</v>
      </c>
      <c r="H2540" s="1" t="n">
        <v>17</v>
      </c>
      <c r="I2540" s="1" t="n">
        <v>0.86</v>
      </c>
      <c r="J2540" t="n">
        <v>24122171</v>
      </c>
    </row>
    <row r="2541" ht="15.75" customHeight="1" s="201">
      <c r="A2541" s="1" t="inlineStr">
        <is>
          <t>Chicken, broilers or fryers, rotisserie, original seasoning, skin only, cooked</t>
        </is>
      </c>
      <c r="C2541" s="1" t="n">
        <v>0.11</v>
      </c>
      <c r="D2541" s="1" t="n">
        <v>11</v>
      </c>
      <c r="E2541" s="1" t="n">
        <v>0.98</v>
      </c>
      <c r="F2541" s="1" t="n">
        <v>17.66</v>
      </c>
      <c r="G2541" s="1" t="n">
        <v>37.24</v>
      </c>
      <c r="H2541" s="1" t="n">
        <v>186</v>
      </c>
      <c r="I2541" s="1" t="n">
        <v>1.03</v>
      </c>
      <c r="J2541" t="n">
        <v>24122171</v>
      </c>
    </row>
    <row r="2542" ht="15.75" customHeight="1" s="201">
      <c r="A2542" s="1" t="inlineStr">
        <is>
          <t>Chicken, broilers or fryers, rotisserie, original seasoning, thigh, meat and skin, cooked</t>
        </is>
      </c>
      <c r="C2542" s="1" t="n">
        <v>0.02</v>
      </c>
      <c r="D2542" s="1" t="n">
        <v>12</v>
      </c>
      <c r="E2542" s="1" t="n">
        <v>0.97</v>
      </c>
      <c r="F2542" s="1" t="n">
        <v>22.93</v>
      </c>
      <c r="G2542" s="1" t="n">
        <v>15.7</v>
      </c>
      <c r="H2542" s="1" t="n">
        <v>70</v>
      </c>
      <c r="I2542" s="1" t="n">
        <v>1.84</v>
      </c>
      <c r="J2542" t="n">
        <v>24122171</v>
      </c>
    </row>
    <row r="2543" ht="15.75" customHeight="1" s="201">
      <c r="A2543" s="1" t="inlineStr">
        <is>
          <t>Chicken, broilers or fryers, rotisserie, original seasoning, thigh, meat only, cooked</t>
        </is>
      </c>
      <c r="C2543" s="1" t="n">
        <v>0</v>
      </c>
      <c r="D2543" s="1" t="n">
        <v>12</v>
      </c>
      <c r="E2543" s="1" t="n">
        <v>0.97</v>
      </c>
      <c r="F2543" s="1" t="n">
        <v>24.06</v>
      </c>
      <c r="G2543" s="1" t="n">
        <v>11.09</v>
      </c>
      <c r="H2543" s="1" t="n">
        <v>45</v>
      </c>
      <c r="I2543" s="1" t="n">
        <v>2.01</v>
      </c>
      <c r="J2543" t="n">
        <v>24122171</v>
      </c>
    </row>
    <row r="2544" ht="15.75" customHeight="1" s="201">
      <c r="A2544" s="1" t="inlineStr">
        <is>
          <t>Chicken, broilers or fryers, rotisserie, original seasoning, wing, meat and skin, cooked</t>
        </is>
      </c>
      <c r="C2544" s="1" t="n">
        <v>0.04</v>
      </c>
      <c r="D2544" s="1" t="n">
        <v>8</v>
      </c>
      <c r="E2544" s="1" t="n">
        <v>0.97</v>
      </c>
      <c r="F2544" s="1" t="n">
        <v>24.34</v>
      </c>
      <c r="G2544" s="1" t="n">
        <v>18.77</v>
      </c>
      <c r="H2544" s="1" t="n">
        <v>87</v>
      </c>
      <c r="I2544" s="1" t="n">
        <v>1.71</v>
      </c>
      <c r="J2544" t="n">
        <v>24122171</v>
      </c>
    </row>
    <row r="2545" ht="15.75" customHeight="1" s="201">
      <c r="A2545" s="1" t="inlineStr">
        <is>
          <t>Chicken, broilers or fryers, rotisserie, original seasoning, wing, meat only, cooked</t>
        </is>
      </c>
      <c r="C2545" s="1" t="n">
        <v>0</v>
      </c>
      <c r="D2545" s="1" t="n">
        <v>7</v>
      </c>
      <c r="E2545" s="1" t="n">
        <v>0.97</v>
      </c>
      <c r="F2545" s="1" t="n">
        <v>27.69</v>
      </c>
      <c r="G2545" s="1" t="n">
        <v>9.529999999999999</v>
      </c>
      <c r="H2545" s="1" t="n">
        <v>37</v>
      </c>
      <c r="I2545" s="1" t="n">
        <v>2.05</v>
      </c>
      <c r="J2545" t="n">
        <v>24122171</v>
      </c>
    </row>
    <row r="2546" ht="15.75" customHeight="1" s="201">
      <c r="A2546" s="1" t="inlineStr">
        <is>
          <t>Chicken, broilers or fryers, separable fat, raw</t>
        </is>
      </c>
      <c r="C2546" s="1" t="n">
        <v>0</v>
      </c>
      <c r="D2546" s="1" t="n">
        <v>1</v>
      </c>
      <c r="E2546" s="1" t="n">
        <v>0.7</v>
      </c>
      <c r="F2546" s="1" t="n">
        <v>3.73</v>
      </c>
      <c r="G2546" s="1" t="n">
        <v>67.95</v>
      </c>
      <c r="H2546" s="1" t="n">
        <v>509</v>
      </c>
      <c r="I2546" s="1" t="n">
        <v>0.45</v>
      </c>
      <c r="J2546" t="n">
        <v>27446315</v>
      </c>
    </row>
    <row r="2547" ht="15.75" customHeight="1" s="201">
      <c r="A2547" s="1" t="inlineStr">
        <is>
          <t>Chicken, broilers or fryers, skin only, cooked, fried, batter</t>
        </is>
      </c>
      <c r="C2547" s="1" t="n">
        <v>23.15</v>
      </c>
      <c r="D2547" s="1" t="n">
        <v>40</v>
      </c>
      <c r="E2547" s="1" t="n">
        <v>1.43</v>
      </c>
      <c r="F2547" s="1" t="n">
        <v>10.32</v>
      </c>
      <c r="G2547" s="1" t="n">
        <v>28.83</v>
      </c>
      <c r="H2547" s="1" t="n">
        <v>138</v>
      </c>
      <c r="I2547" s="1" t="n">
        <v>0.72</v>
      </c>
      <c r="J2547" t="n">
        <v>27446320</v>
      </c>
    </row>
    <row r="2548" ht="15.75" customHeight="1" s="201">
      <c r="A2548" s="1" t="inlineStr">
        <is>
          <t>Chicken, broilers or fryers, skin only, cooked, fried, flour</t>
        </is>
      </c>
      <c r="C2548" s="1" t="n">
        <v>9.34</v>
      </c>
      <c r="D2548" s="1" t="n">
        <v>33</v>
      </c>
      <c r="E2548" s="1" t="n">
        <v>1.52</v>
      </c>
      <c r="F2548" s="1" t="n">
        <v>19.09</v>
      </c>
      <c r="G2548" s="1" t="n">
        <v>42.58</v>
      </c>
      <c r="H2548" s="1" t="n">
        <v>232</v>
      </c>
      <c r="I2548" s="1" t="n">
        <v>1.15</v>
      </c>
      <c r="J2548" t="n">
        <v>27446320</v>
      </c>
    </row>
    <row r="2549" ht="15.75" customHeight="1" s="201">
      <c r="A2549" s="1" t="inlineStr">
        <is>
          <t>Chicken, broilers or fryers, skin only, cooked, roasted</t>
        </is>
      </c>
      <c r="C2549" s="1" t="n">
        <v>0</v>
      </c>
      <c r="D2549" s="1" t="n">
        <v>2</v>
      </c>
      <c r="E2549" s="1" t="n">
        <v>1.51</v>
      </c>
      <c r="F2549" s="1" t="n">
        <v>20.36</v>
      </c>
      <c r="G2549" s="1" t="n">
        <v>40.68</v>
      </c>
      <c r="H2549" s="1" t="n">
        <v>260</v>
      </c>
      <c r="I2549" s="1" t="n">
        <v>1.23</v>
      </c>
      <c r="J2549" t="n">
        <v>27446315</v>
      </c>
    </row>
    <row r="2550" ht="15.75" customHeight="1" s="201">
      <c r="A2550" s="1" t="inlineStr">
        <is>
          <t>Chicken, broilers or fryers, skin only, cooked, stewed</t>
        </is>
      </c>
      <c r="C2550" s="1" t="n">
        <v>0</v>
      </c>
      <c r="D2550" s="1" t="n">
        <v>2</v>
      </c>
      <c r="E2550" s="1" t="n">
        <v>1.13</v>
      </c>
      <c r="F2550" s="1" t="n">
        <v>15.22</v>
      </c>
      <c r="G2550" s="1" t="n">
        <v>33.04</v>
      </c>
      <c r="H2550" s="1" t="n">
        <v>198</v>
      </c>
      <c r="I2550" s="1" t="n">
        <v>0.96</v>
      </c>
      <c r="J2550" t="n">
        <v>27446315</v>
      </c>
    </row>
    <row r="2551" ht="15.75" customHeight="1" s="201">
      <c r="A2551" s="1" t="inlineStr">
        <is>
          <t>Chicken, broilers or fryers, skin only, raw</t>
        </is>
      </c>
      <c r="C2551" s="1" t="n">
        <v>0</v>
      </c>
      <c r="D2551" s="1" t="n">
        <v>3</v>
      </c>
      <c r="E2551" s="1" t="n">
        <v>1.08</v>
      </c>
      <c r="F2551" s="1" t="n">
        <v>13.33</v>
      </c>
      <c r="G2551" s="1" t="n">
        <v>32.35</v>
      </c>
      <c r="H2551" s="1" t="n">
        <v>262</v>
      </c>
      <c r="I2551" s="1" t="n">
        <v>0.93</v>
      </c>
      <c r="J2551" t="n">
        <v>27446315</v>
      </c>
    </row>
    <row r="2552" ht="15.75" customHeight="1" s="201">
      <c r="A2552" s="1" t="inlineStr">
        <is>
          <t>Chicken, broilers or fryers, thigh, meat and skin, cooked, fried, batter</t>
        </is>
      </c>
      <c r="C2552" s="1" t="n">
        <v>9.08</v>
      </c>
      <c r="D2552" s="1" t="n">
        <v>19</v>
      </c>
      <c r="E2552" s="1" t="n">
        <v>1.45</v>
      </c>
      <c r="F2552" s="1" t="n">
        <v>21.61</v>
      </c>
      <c r="G2552" s="1" t="n">
        <v>16.53</v>
      </c>
      <c r="H2552" s="1" t="n">
        <v>95</v>
      </c>
      <c r="I2552" s="1" t="n">
        <v>2.04</v>
      </c>
      <c r="J2552" t="n">
        <v>28141010</v>
      </c>
    </row>
    <row r="2553" ht="15.75" customHeight="1" s="201">
      <c r="A2553" s="1" t="inlineStr">
        <is>
          <t>Chicken, broilers or fryers, thigh, meat and skin, cooked, fried, flour</t>
        </is>
      </c>
      <c r="C2553" s="1" t="n">
        <v>3.18</v>
      </c>
      <c r="D2553" s="1" t="n">
        <v>12</v>
      </c>
      <c r="E2553" s="1" t="n">
        <v>1.49</v>
      </c>
      <c r="F2553" s="1" t="n">
        <v>26.75</v>
      </c>
      <c r="G2553" s="1" t="n">
        <v>14.98</v>
      </c>
      <c r="H2553" s="1" t="n">
        <v>98</v>
      </c>
      <c r="I2553" s="1" t="n">
        <v>2.52</v>
      </c>
      <c r="J2553" t="n">
        <v>28141010</v>
      </c>
    </row>
    <row r="2554" ht="15.75" customHeight="1" s="201">
      <c r="A2554" s="1" t="inlineStr">
        <is>
          <t>Chicken, broilers or fryers, thigh, meat and skin, cooked, roasted</t>
        </is>
      </c>
      <c r="C2554" s="1" t="n">
        <v>0</v>
      </c>
      <c r="D2554" s="1" t="n">
        <v>4</v>
      </c>
      <c r="E2554" s="1" t="n">
        <v>1.08</v>
      </c>
      <c r="F2554" s="1" t="n">
        <v>23.26</v>
      </c>
      <c r="G2554" s="1" t="n">
        <v>14.71</v>
      </c>
      <c r="H2554" s="1" t="n">
        <v>55</v>
      </c>
      <c r="I2554" s="1" t="n">
        <v>1.73</v>
      </c>
      <c r="J2554" t="n">
        <v>24132240</v>
      </c>
    </row>
    <row r="2555" ht="15.75" customHeight="1" s="201">
      <c r="A2555" s="1" t="inlineStr">
        <is>
          <t>Chicken, broilers or fryers, thigh, meat and skin, cooked, stewed</t>
        </is>
      </c>
      <c r="C2555" s="1" t="n">
        <v>0</v>
      </c>
      <c r="D2555" s="1" t="n">
        <v>6</v>
      </c>
      <c r="E2555" s="1" t="n">
        <v>1.37</v>
      </c>
      <c r="F2555" s="1" t="n">
        <v>23.26</v>
      </c>
      <c r="G2555" s="1" t="n">
        <v>14.74</v>
      </c>
      <c r="H2555" s="1" t="n">
        <v>151</v>
      </c>
      <c r="I2555" s="1" t="n">
        <v>2.25</v>
      </c>
      <c r="J2555" t="n">
        <v>24157310</v>
      </c>
    </row>
    <row r="2556" ht="15.75" customHeight="1" s="201">
      <c r="A2556" s="1" t="inlineStr">
        <is>
          <t>Chicken, broilers or fryers, thigh, meat and skin, raw</t>
        </is>
      </c>
      <c r="C2556" s="1" t="n">
        <v>0.25</v>
      </c>
      <c r="D2556" s="1" t="n">
        <v>3</v>
      </c>
      <c r="E2556" s="1" t="n">
        <v>0.68</v>
      </c>
      <c r="F2556" s="1" t="n">
        <v>16.52</v>
      </c>
      <c r="G2556" s="1" t="n">
        <v>16.61</v>
      </c>
      <c r="H2556" s="1" t="n">
        <v>78</v>
      </c>
      <c r="I2556" s="1" t="n">
        <v>1.29</v>
      </c>
      <c r="J2556" t="n">
        <v>27446315</v>
      </c>
    </row>
    <row r="2557" ht="15.75" customHeight="1" s="201">
      <c r="A2557" s="1" t="inlineStr">
        <is>
          <t>Chicken, broilers or fryers, thigh, meat only, cooked, fried</t>
        </is>
      </c>
      <c r="C2557" s="1" t="n">
        <v>1.18</v>
      </c>
      <c r="D2557" s="1" t="n">
        <v>9</v>
      </c>
      <c r="E2557" s="1" t="n">
        <v>1.46</v>
      </c>
      <c r="F2557" s="1" t="n">
        <v>28.18</v>
      </c>
      <c r="G2557" s="1" t="n">
        <v>10.3</v>
      </c>
      <c r="H2557" s="1" t="n">
        <v>70</v>
      </c>
      <c r="I2557" s="1" t="n">
        <v>2.79</v>
      </c>
      <c r="J2557" t="n">
        <v>28141010</v>
      </c>
    </row>
    <row r="2558" ht="15.75" customHeight="1" s="201">
      <c r="A2558" s="1" t="inlineStr">
        <is>
          <t>Chicken, broilers or fryers, thigh, meat only, cooked, roasted</t>
        </is>
      </c>
      <c r="C2558" s="1" t="n">
        <v>0</v>
      </c>
      <c r="D2558" s="1" t="n">
        <v>5</v>
      </c>
      <c r="E2558" s="1" t="n">
        <v>1.13</v>
      </c>
      <c r="F2558" s="1" t="n">
        <v>24.76</v>
      </c>
      <c r="G2558" s="1" t="n">
        <v>8.15</v>
      </c>
      <c r="H2558" s="1" t="n">
        <v>27</v>
      </c>
      <c r="I2558" s="1" t="n">
        <v>1.92</v>
      </c>
      <c r="J2558" t="n">
        <v>27446315</v>
      </c>
    </row>
    <row r="2559" ht="15.75" customHeight="1" s="201">
      <c r="A2559" s="1" t="inlineStr">
        <is>
          <t>Chicken, broilers or fryers, thigh, meat only, cooked, stewed</t>
        </is>
      </c>
      <c r="C2559" s="1" t="n">
        <v>0</v>
      </c>
      <c r="D2559" s="1" t="n">
        <v>7</v>
      </c>
      <c r="E2559" s="1" t="n">
        <v>1.42</v>
      </c>
      <c r="F2559" s="1" t="n">
        <v>25</v>
      </c>
      <c r="G2559" s="1" t="n">
        <v>9.789999999999999</v>
      </c>
      <c r="H2559" s="1" t="n">
        <v>62</v>
      </c>
      <c r="I2559" s="1" t="n">
        <v>2.58</v>
      </c>
      <c r="J2559" t="n">
        <v>27446315</v>
      </c>
    </row>
    <row r="2560" ht="15.75" customHeight="1" s="201">
      <c r="A2560" s="1" t="inlineStr">
        <is>
          <t>Chicken, broilers or fryers, wing, meat and skin, cooked, fried, batter</t>
        </is>
      </c>
      <c r="C2560" s="1" t="n">
        <v>10.94</v>
      </c>
      <c r="D2560" s="1" t="n">
        <v>18</v>
      </c>
      <c r="E2560" s="1" t="n">
        <v>1.29</v>
      </c>
      <c r="F2560" s="1" t="n">
        <v>19.87</v>
      </c>
      <c r="G2560" s="1" t="n">
        <v>21.81</v>
      </c>
      <c r="H2560" s="1" t="n">
        <v>113</v>
      </c>
      <c r="I2560" s="1" t="n">
        <v>1.38</v>
      </c>
      <c r="J2560" t="n">
        <v>28141010</v>
      </c>
    </row>
    <row r="2561" ht="15.75" customHeight="1" s="201">
      <c r="A2561" s="1" t="inlineStr">
        <is>
          <t>Chicken, broilers or fryers, wing, meat and skin, cooked, fried, flour</t>
        </is>
      </c>
      <c r="C2561" s="1" t="n">
        <v>2.39</v>
      </c>
      <c r="D2561" s="1" t="n">
        <v>6</v>
      </c>
      <c r="E2561" s="1" t="n">
        <v>1.25</v>
      </c>
      <c r="F2561" s="1" t="n">
        <v>26.11</v>
      </c>
      <c r="G2561" s="1" t="n">
        <v>22.16</v>
      </c>
      <c r="H2561" s="1" t="n">
        <v>125</v>
      </c>
      <c r="I2561" s="1" t="n">
        <v>1.76</v>
      </c>
      <c r="J2561" t="n">
        <v>28141010</v>
      </c>
    </row>
    <row r="2562" ht="15.75" customHeight="1" s="201">
      <c r="A2562" s="1" t="inlineStr">
        <is>
          <t>Chicken, broilers or fryers, wing, meat and skin, cooked, roasted</t>
        </is>
      </c>
      <c r="C2562" s="1" t="n">
        <v>0</v>
      </c>
      <c r="D2562" s="1" t="n">
        <v>9</v>
      </c>
      <c r="E2562" s="1" t="n">
        <v>0.84</v>
      </c>
      <c r="F2562" s="1" t="n">
        <v>23.79</v>
      </c>
      <c r="G2562" s="1" t="n">
        <v>16.87</v>
      </c>
      <c r="H2562" s="1" t="n">
        <v>39</v>
      </c>
      <c r="I2562" s="1" t="n">
        <v>1.64</v>
      </c>
      <c r="J2562" t="n">
        <v>27446315</v>
      </c>
    </row>
    <row r="2563" ht="15.75" customHeight="1" s="201">
      <c r="A2563" s="1" t="inlineStr">
        <is>
          <t>Chicken, broilers or fryers, wing, meat and skin, cooked, stewed</t>
        </is>
      </c>
      <c r="C2563" s="1" t="n">
        <v>0</v>
      </c>
      <c r="D2563" s="1" t="n">
        <v>3</v>
      </c>
      <c r="E2563" s="1" t="n">
        <v>1.13</v>
      </c>
      <c r="F2563" s="1" t="n">
        <v>22.78</v>
      </c>
      <c r="G2563" s="1" t="n">
        <v>16.82</v>
      </c>
      <c r="H2563" s="1" t="n">
        <v>133</v>
      </c>
      <c r="I2563" s="1" t="n">
        <v>1.63</v>
      </c>
      <c r="J2563" t="n">
        <v>27446315</v>
      </c>
    </row>
    <row r="2564" ht="15.75" customHeight="1" s="201">
      <c r="A2564" s="1" t="inlineStr">
        <is>
          <t>Chicken, broilers or fryers, wing, meat and skin, raw</t>
        </is>
      </c>
      <c r="C2564" s="1" t="n">
        <v>0</v>
      </c>
      <c r="D2564" s="1" t="n">
        <v>7</v>
      </c>
      <c r="E2564" s="1" t="n">
        <v>0.46</v>
      </c>
      <c r="F2564" s="1" t="n">
        <v>17.52</v>
      </c>
      <c r="G2564" s="1" t="n">
        <v>12.85</v>
      </c>
      <c r="H2564" s="1" t="n">
        <v>29</v>
      </c>
      <c r="I2564" s="1" t="n">
        <v>1.21</v>
      </c>
      <c r="J2564" t="n">
        <v>27446315</v>
      </c>
    </row>
    <row r="2565" ht="15.75" customHeight="1" s="201">
      <c r="A2565" s="1" t="inlineStr">
        <is>
          <t>Chicken, broilers or fryers, wing, meat only, cooked, fried</t>
        </is>
      </c>
      <c r="C2565" s="1" t="n">
        <v>0</v>
      </c>
      <c r="D2565" s="1" t="n">
        <v>4</v>
      </c>
      <c r="E2565" s="1" t="n">
        <v>1.14</v>
      </c>
      <c r="F2565" s="1" t="n">
        <v>30.15</v>
      </c>
      <c r="G2565" s="1" t="n">
        <v>9.15</v>
      </c>
      <c r="H2565" s="1" t="n">
        <v>61</v>
      </c>
      <c r="I2565" s="1" t="n">
        <v>2.12</v>
      </c>
      <c r="J2565" t="n">
        <v>28141010</v>
      </c>
    </row>
    <row r="2566" ht="15.75" customHeight="1" s="201">
      <c r="A2566" s="1" t="inlineStr">
        <is>
          <t>Chicken, broilers or fryers, wing, meat only, cooked, roasted</t>
        </is>
      </c>
      <c r="C2566" s="1" t="n">
        <v>0</v>
      </c>
      <c r="D2566" s="1" t="n">
        <v>4</v>
      </c>
      <c r="E2566" s="1" t="n">
        <v>1.16</v>
      </c>
      <c r="F2566" s="1" t="n">
        <v>30.46</v>
      </c>
      <c r="G2566" s="1" t="n">
        <v>8.130000000000001</v>
      </c>
      <c r="H2566" s="1" t="n">
        <v>61</v>
      </c>
      <c r="I2566" s="1" t="n">
        <v>2.14</v>
      </c>
      <c r="J2566" t="n">
        <v>27446315</v>
      </c>
    </row>
    <row r="2567" ht="15.75" customHeight="1" s="201">
      <c r="A2567" s="1" t="inlineStr">
        <is>
          <t>Chicken, broilers or fryers, wing, meat only, cooked, stewed</t>
        </is>
      </c>
      <c r="C2567" s="1" t="n">
        <v>0</v>
      </c>
      <c r="D2567" s="1" t="n">
        <v>3</v>
      </c>
      <c r="E2567" s="1" t="n">
        <v>1.12</v>
      </c>
      <c r="F2567" s="1" t="n">
        <v>27.18</v>
      </c>
      <c r="G2567" s="1" t="n">
        <v>7.18</v>
      </c>
      <c r="H2567" s="1" t="n">
        <v>54</v>
      </c>
      <c r="I2567" s="1" t="n">
        <v>2.02</v>
      </c>
      <c r="J2567" t="n">
        <v>27446315</v>
      </c>
    </row>
    <row r="2568" ht="15.75" customHeight="1" s="201">
      <c r="A2568" s="1" t="inlineStr">
        <is>
          <t>Chicken, broilers or fryers, wing, meat only, raw</t>
        </is>
      </c>
      <c r="C2568" s="1" t="n">
        <v>0</v>
      </c>
      <c r="D2568" s="1" t="n">
        <v>4</v>
      </c>
      <c r="E2568" s="1" t="n">
        <v>0.88</v>
      </c>
      <c r="F2568" s="1" t="n">
        <v>21.97</v>
      </c>
      <c r="G2568" s="1" t="n">
        <v>3.54</v>
      </c>
      <c r="H2568" s="1" t="n">
        <v>59</v>
      </c>
      <c r="I2568" s="1" t="n">
        <v>1.63</v>
      </c>
      <c r="J2568" t="n">
        <v>27446315</v>
      </c>
    </row>
    <row r="2569" ht="15.75" customHeight="1" s="201">
      <c r="A2569" s="1" t="inlineStr">
        <is>
          <t>Chicken, canned, meat only, with broth</t>
        </is>
      </c>
      <c r="C2569" s="1" t="n">
        <v>0</v>
      </c>
      <c r="D2569" s="1" t="n">
        <v>4</v>
      </c>
      <c r="E2569" s="1" t="n">
        <v>1.58</v>
      </c>
      <c r="F2569" s="1" t="n">
        <v>21.77</v>
      </c>
      <c r="G2569" s="1" t="n">
        <v>7.95</v>
      </c>
      <c r="H2569" s="1" t="n">
        <v>113</v>
      </c>
      <c r="I2569" s="1" t="n">
        <v>1.41</v>
      </c>
      <c r="J2569" t="n">
        <v>27446315</v>
      </c>
    </row>
    <row r="2570" ht="15.75" customHeight="1" s="201">
      <c r="A2570" s="1" t="inlineStr">
        <is>
          <t>Chicken, canned, no broth</t>
        </is>
      </c>
      <c r="C2570" s="1" t="n">
        <v>0.9</v>
      </c>
      <c r="D2570" s="1" t="n">
        <v>2</v>
      </c>
      <c r="E2570" s="1" t="n">
        <v>1.3</v>
      </c>
      <c r="F2570" s="1" t="n">
        <v>25.3</v>
      </c>
      <c r="G2570" s="1" t="n">
        <v>8.1</v>
      </c>
      <c r="H2570" s="1" t="n">
        <v>177</v>
      </c>
      <c r="I2570" s="1" t="n">
        <v>2.5</v>
      </c>
      <c r="J2570" t="n">
        <v>27446315</v>
      </c>
    </row>
    <row r="2571" ht="15.75" customHeight="1" s="201">
      <c r="A2571" s="1" t="inlineStr">
        <is>
          <t>Chicken, capons, giblets, cooked, simmered</t>
        </is>
      </c>
      <c r="C2571" s="1" t="n">
        <v>0.76</v>
      </c>
      <c r="D2571" s="1" t="n">
        <v>414</v>
      </c>
      <c r="E2571" s="1" t="n">
        <v>6.8</v>
      </c>
      <c r="F2571" s="1" t="n">
        <v>26.39</v>
      </c>
      <c r="G2571" s="1" t="n">
        <v>5.4</v>
      </c>
      <c r="H2571" s="1" t="n">
        <v>13266</v>
      </c>
      <c r="I2571" s="1" t="n">
        <v>4.67</v>
      </c>
      <c r="J2571" t="n">
        <v>27446315</v>
      </c>
    </row>
    <row r="2572" ht="15.75" customHeight="1" s="201">
      <c r="A2572" s="1" t="inlineStr">
        <is>
          <t>Chicken, capons, giblets, raw</t>
        </is>
      </c>
      <c r="C2572" s="1" t="n">
        <v>1.42</v>
      </c>
      <c r="D2572" s="1" t="n">
        <v>394</v>
      </c>
      <c r="E2572" s="1" t="n">
        <v>6.25</v>
      </c>
      <c r="F2572" s="1" t="n">
        <v>18.28</v>
      </c>
      <c r="G2572" s="1" t="n">
        <v>5.18</v>
      </c>
      <c r="H2572" s="1" t="n">
        <v>14566</v>
      </c>
      <c r="I2572" s="1" t="n">
        <v>3.38</v>
      </c>
      <c r="J2572" t="n">
        <v>27446315</v>
      </c>
    </row>
    <row r="2573" ht="15.75" customHeight="1" s="201">
      <c r="A2573" s="1" t="inlineStr">
        <is>
          <t>Chicken, capons, meat and skin and giblets and neck, cooked, roasted</t>
        </is>
      </c>
      <c r="C2573" s="1" t="n">
        <v>0.04</v>
      </c>
      <c r="D2573" s="1" t="n">
        <v>26</v>
      </c>
      <c r="E2573" s="1" t="n">
        <v>1.79</v>
      </c>
      <c r="F2573" s="1" t="n">
        <v>28.35</v>
      </c>
      <c r="G2573" s="1" t="n">
        <v>11.67</v>
      </c>
      <c r="H2573" s="1" t="n">
        <v>734</v>
      </c>
      <c r="I2573" s="1" t="n">
        <v>1.94</v>
      </c>
      <c r="J2573" t="n">
        <v>27446315</v>
      </c>
    </row>
    <row r="2574" ht="15.75" customHeight="1" s="201">
      <c r="A2574" s="1" t="inlineStr">
        <is>
          <t>Chicken, capons, meat and skin and giblets and neck, raw</t>
        </is>
      </c>
      <c r="C2574" s="1" t="n">
        <v>0.08</v>
      </c>
      <c r="D2574" s="1" t="n">
        <v>27</v>
      </c>
      <c r="E2574" s="1" t="n">
        <v>1.41</v>
      </c>
      <c r="F2574" s="1" t="n">
        <v>18.51</v>
      </c>
      <c r="G2574" s="1" t="n">
        <v>16.9</v>
      </c>
      <c r="H2574" s="1" t="n">
        <v>905</v>
      </c>
      <c r="I2574" s="1" t="n">
        <v>1.32</v>
      </c>
      <c r="J2574" t="n">
        <v>27446315</v>
      </c>
    </row>
    <row r="2575" ht="15.75" customHeight="1" s="201">
      <c r="A2575" s="1" t="inlineStr">
        <is>
          <t>Chicken, capons, meat and skin, cooked, roasted</t>
        </is>
      </c>
      <c r="C2575" s="1" t="n">
        <v>0</v>
      </c>
      <c r="D2575" s="1" t="n">
        <v>6</v>
      </c>
      <c r="E2575" s="1" t="n">
        <v>1.49</v>
      </c>
      <c r="F2575" s="1" t="n">
        <v>28.96</v>
      </c>
      <c r="G2575" s="1" t="n">
        <v>11.65</v>
      </c>
      <c r="H2575" s="1" t="n">
        <v>68</v>
      </c>
      <c r="I2575" s="1" t="n">
        <v>1.74</v>
      </c>
      <c r="J2575" t="n">
        <v>27446315</v>
      </c>
    </row>
    <row r="2576" ht="15.75" customHeight="1" s="201">
      <c r="A2576" s="1" t="inlineStr">
        <is>
          <t>Chicken, capons, meat and skin, raw</t>
        </is>
      </c>
      <c r="C2576" s="1" t="n">
        <v>0</v>
      </c>
      <c r="D2576" s="1" t="n">
        <v>6</v>
      </c>
      <c r="E2576" s="1" t="n">
        <v>1.09</v>
      </c>
      <c r="F2576" s="1" t="n">
        <v>18.77</v>
      </c>
      <c r="G2576" s="1" t="n">
        <v>17.07</v>
      </c>
      <c r="H2576" s="1" t="n">
        <v>129</v>
      </c>
      <c r="I2576" s="1" t="n">
        <v>1.17</v>
      </c>
      <c r="J2576" t="n">
        <v>27446315</v>
      </c>
    </row>
    <row r="2577" ht="15.75" customHeight="1" s="201">
      <c r="A2577" s="1" t="inlineStr">
        <is>
          <t>Chicken, cornish game hens, meat and skin, cooked, roasted</t>
        </is>
      </c>
      <c r="C2577" s="1" t="n">
        <v>0</v>
      </c>
      <c r="D2577" s="1" t="n">
        <v>2</v>
      </c>
      <c r="E2577" s="1" t="n">
        <v>0.91</v>
      </c>
      <c r="F2577" s="1" t="n">
        <v>22.27</v>
      </c>
      <c r="G2577" s="1" t="n">
        <v>18.21</v>
      </c>
      <c r="H2577" s="1" t="n">
        <v>106</v>
      </c>
      <c r="I2577" s="1" t="n">
        <v>1.49</v>
      </c>
      <c r="J2577" t="n">
        <v>27446315</v>
      </c>
    </row>
    <row r="2578" ht="15.75" customHeight="1" s="201">
      <c r="A2578" s="1" t="inlineStr">
        <is>
          <t>Chicken, cornish game hens, meat and skin, raw</t>
        </is>
      </c>
      <c r="C2578" s="1" t="n">
        <v>0</v>
      </c>
      <c r="D2578" s="1" t="n">
        <v>3</v>
      </c>
      <c r="E2578" s="1" t="n">
        <v>0.78</v>
      </c>
      <c r="F2578" s="1" t="n">
        <v>17.15</v>
      </c>
      <c r="G2578" s="1" t="n">
        <v>14.02</v>
      </c>
      <c r="H2578" s="1" t="n">
        <v>108</v>
      </c>
      <c r="I2578" s="1" t="n">
        <v>1.15</v>
      </c>
      <c r="J2578" t="n">
        <v>27446315</v>
      </c>
    </row>
    <row r="2579" ht="15.75" customHeight="1" s="201">
      <c r="A2579" s="1" t="inlineStr">
        <is>
          <t>Chicken, cornish game hens, meat only, cooked, roasted</t>
        </is>
      </c>
      <c r="C2579" s="1" t="n">
        <v>0</v>
      </c>
      <c r="D2579" s="1" t="n">
        <v>2</v>
      </c>
      <c r="E2579" s="1" t="n">
        <v>0.77</v>
      </c>
      <c r="F2579" s="1" t="n">
        <v>23.3</v>
      </c>
      <c r="G2579" s="1" t="n">
        <v>3.87</v>
      </c>
      <c r="H2579" s="1" t="n">
        <v>65</v>
      </c>
      <c r="I2579" s="1" t="n">
        <v>1.53</v>
      </c>
      <c r="J2579" t="n">
        <v>27446315</v>
      </c>
    </row>
    <row r="2580" ht="15.75" customHeight="1" s="201">
      <c r="A2580" s="1" t="inlineStr">
        <is>
          <t>Chicken, cornish game hens, meat only, raw</t>
        </is>
      </c>
      <c r="C2580" s="1" t="n">
        <v>0</v>
      </c>
      <c r="D2580" s="1" t="n">
        <v>3</v>
      </c>
      <c r="E2580" s="1" t="n">
        <v>0.74</v>
      </c>
      <c r="F2580" s="1" t="n">
        <v>20.04</v>
      </c>
      <c r="G2580" s="1" t="n">
        <v>3.33</v>
      </c>
      <c r="H2580" s="1" t="n">
        <v>75</v>
      </c>
      <c r="I2580" s="1" t="n">
        <v>1.31</v>
      </c>
      <c r="J2580" t="n">
        <v>27446315</v>
      </c>
    </row>
    <row r="2581" ht="15.75" customHeight="1" s="201">
      <c r="A2581" s="1" t="inlineStr">
        <is>
          <t>Chicken, dark meat, drumstick, meat and skin, with added solution, cooked, braised</t>
        </is>
      </c>
      <c r="C2581" s="1" t="n">
        <v>0.13</v>
      </c>
      <c r="D2581" s="1" t="n">
        <v>4</v>
      </c>
      <c r="E2581" s="1" t="n">
        <v>0.76</v>
      </c>
      <c r="F2581" s="1" t="n">
        <v>21.55</v>
      </c>
      <c r="G2581" s="1" t="n">
        <v>10.71</v>
      </c>
      <c r="H2581" s="1" t="n">
        <v>40</v>
      </c>
      <c r="I2581" s="1" t="n">
        <v>2.11</v>
      </c>
      <c r="J2581" t="n">
        <v>28160310</v>
      </c>
    </row>
    <row r="2582" ht="15.75" customHeight="1" s="201">
      <c r="A2582" s="1" t="inlineStr">
        <is>
          <t>Chicken, dark meat, drumstick, meat and skin, with added solution, cooked, roasted</t>
        </is>
      </c>
      <c r="C2582" s="1" t="n">
        <v>0.05</v>
      </c>
      <c r="D2582" s="1" t="n">
        <v>4</v>
      </c>
      <c r="E2582" s="1" t="n">
        <v>1.11</v>
      </c>
      <c r="F2582" s="1" t="n">
        <v>24.72</v>
      </c>
      <c r="G2582" s="1" t="n">
        <v>9</v>
      </c>
      <c r="H2582" s="1" t="n">
        <v>39</v>
      </c>
      <c r="I2582" s="1" t="n">
        <v>2.5</v>
      </c>
      <c r="J2582" t="n">
        <v>28160310</v>
      </c>
    </row>
    <row r="2583" ht="15.75" customHeight="1" s="201">
      <c r="A2583" s="1" t="inlineStr">
        <is>
          <t>Chicken, dark meat, drumstick, meat and skin, with added solution, raw</t>
        </is>
      </c>
      <c r="C2583" s="1" t="n">
        <v>0</v>
      </c>
      <c r="D2583" s="1" t="n">
        <v>3</v>
      </c>
      <c r="E2583" s="1" t="n">
        <v>0.6899999999999999</v>
      </c>
      <c r="F2583" s="1" t="n">
        <v>18.03</v>
      </c>
      <c r="G2583" s="1" t="n">
        <v>8.24</v>
      </c>
      <c r="H2583" s="1" t="n">
        <v>50</v>
      </c>
      <c r="I2583" s="1" t="n">
        <v>1.8</v>
      </c>
      <c r="J2583" t="n">
        <v>28160310</v>
      </c>
    </row>
    <row r="2584" ht="15.75" customHeight="1" s="201">
      <c r="A2584" s="1" t="inlineStr">
        <is>
          <t>Chicken, dark meat, drumstick, meat only, with added solution, cooked, braised</t>
        </is>
      </c>
      <c r="C2584" s="1" t="n">
        <v>0</v>
      </c>
      <c r="D2584" s="1" t="n">
        <v>4</v>
      </c>
      <c r="E2584" s="1" t="n">
        <v>0.78</v>
      </c>
      <c r="F2584" s="1" t="n">
        <v>22.99</v>
      </c>
      <c r="G2584" s="1" t="n">
        <v>6.33</v>
      </c>
      <c r="H2584" s="1" t="n">
        <v>23</v>
      </c>
      <c r="I2584" s="1" t="n">
        <v>2.34</v>
      </c>
      <c r="J2584" t="n">
        <v>28160310</v>
      </c>
    </row>
    <row r="2585" ht="15.75" customHeight="1" s="201">
      <c r="A2585" s="1" t="inlineStr">
        <is>
          <t>Chicken, dark meat, drumstick, meat only, with added solution, cooked, roasted</t>
        </is>
      </c>
      <c r="C2585" s="1" t="n">
        <v>0</v>
      </c>
      <c r="D2585" s="1" t="n">
        <v>4</v>
      </c>
      <c r="E2585" s="1" t="n">
        <v>1.1</v>
      </c>
      <c r="F2585" s="1" t="n">
        <v>25.34</v>
      </c>
      <c r="G2585" s="1" t="n">
        <v>5</v>
      </c>
      <c r="H2585" s="1" t="n">
        <v>20</v>
      </c>
      <c r="I2585" s="1" t="n">
        <v>2.64</v>
      </c>
      <c r="J2585" t="n">
        <v>28160310</v>
      </c>
    </row>
    <row r="2586" ht="15.75" customHeight="1" s="201">
      <c r="A2586" s="1" t="inlineStr">
        <is>
          <t>Chicken, dark meat, drumstick, meat only, with added solution, raw</t>
        </is>
      </c>
      <c r="C2586" s="1" t="n">
        <v>0</v>
      </c>
      <c r="D2586" s="1" t="n">
        <v>3</v>
      </c>
      <c r="E2586" s="1" t="n">
        <v>0.72</v>
      </c>
      <c r="F2586" s="1" t="n">
        <v>19.19</v>
      </c>
      <c r="G2586" s="1" t="n">
        <v>3.26</v>
      </c>
      <c r="H2586" s="1" t="n">
        <v>28</v>
      </c>
      <c r="I2586" s="1" t="n">
        <v>2</v>
      </c>
      <c r="J2586" t="n">
        <v>28160310</v>
      </c>
    </row>
    <row r="2587" ht="15.75" customHeight="1" s="201">
      <c r="A2587" s="1" t="inlineStr">
        <is>
          <t>Chicken, dark meat, thigh, meat and skin, with added solution, cooked, braised</t>
        </is>
      </c>
      <c r="C2587" s="1" t="n">
        <v>0.21</v>
      </c>
      <c r="D2587" s="1" t="n">
        <v>4</v>
      </c>
      <c r="E2587" s="1" t="n">
        <v>0.98</v>
      </c>
      <c r="F2587" s="1" t="n">
        <v>20.7</v>
      </c>
      <c r="G2587" s="1" t="n">
        <v>14.62</v>
      </c>
      <c r="H2587" s="1" t="n">
        <v>52</v>
      </c>
      <c r="I2587" s="1" t="n">
        <v>1.6</v>
      </c>
      <c r="J2587" t="n">
        <v>28160310</v>
      </c>
    </row>
    <row r="2588" ht="15.75" customHeight="1" s="201">
      <c r="A2588" s="1" t="inlineStr">
        <is>
          <t>Chicken, dark meat, thigh, meat and skin, with added solution, cooked, roasted</t>
        </is>
      </c>
      <c r="C2588" s="1" t="n">
        <v>0.09</v>
      </c>
      <c r="D2588" s="1" t="n">
        <v>4</v>
      </c>
      <c r="E2588" s="1" t="n">
        <v>1.02</v>
      </c>
      <c r="F2588" s="1" t="n">
        <v>23.47</v>
      </c>
      <c r="G2588" s="1" t="n">
        <v>13.81</v>
      </c>
      <c r="H2588" s="1" t="n">
        <v>56</v>
      </c>
      <c r="I2588" s="1" t="n">
        <v>1.82</v>
      </c>
      <c r="J2588" t="n">
        <v>28160310</v>
      </c>
    </row>
    <row r="2589" ht="15.75" customHeight="1" s="201">
      <c r="A2589" s="1" t="inlineStr">
        <is>
          <t>Chicken, dark meat, thigh, meat and skin, with added solution, raw</t>
        </is>
      </c>
      <c r="C2589" s="1" t="n">
        <v>0</v>
      </c>
      <c r="D2589" s="1" t="n">
        <v>3</v>
      </c>
      <c r="E2589" s="1" t="n">
        <v>0.57</v>
      </c>
      <c r="F2589" s="1" t="n">
        <v>16.56</v>
      </c>
      <c r="G2589" s="1" t="n">
        <v>14.58</v>
      </c>
      <c r="H2589" s="1" t="n">
        <v>72</v>
      </c>
      <c r="I2589" s="1" t="n">
        <v>1.24</v>
      </c>
      <c r="J2589" t="n">
        <v>28160310</v>
      </c>
    </row>
    <row r="2590" ht="15.75" customHeight="1" s="201">
      <c r="A2590" s="1" t="inlineStr">
        <is>
          <t>Chicken, dark meat, thigh, meat only, with added solution, cooked, braised</t>
        </is>
      </c>
      <c r="C2590" s="1" t="n">
        <v>0</v>
      </c>
      <c r="D2590" s="1" t="n">
        <v>4</v>
      </c>
      <c r="E2590" s="1" t="n">
        <v>1.07</v>
      </c>
      <c r="F2590" s="1" t="n">
        <v>23</v>
      </c>
      <c r="G2590" s="1" t="n">
        <v>7.96</v>
      </c>
      <c r="H2590" s="1" t="n">
        <v>25</v>
      </c>
      <c r="I2590" s="1" t="n">
        <v>1.86</v>
      </c>
      <c r="J2590" t="n">
        <v>28160310</v>
      </c>
    </row>
    <row r="2591" ht="15.75" customHeight="1" s="201">
      <c r="A2591" s="1" t="inlineStr">
        <is>
          <t>Chicken, dark meat, thigh, meat only, with added solution, cooked, roasted</t>
        </is>
      </c>
      <c r="C2591" s="1" t="n">
        <v>0</v>
      </c>
      <c r="D2591" s="1" t="n">
        <v>4</v>
      </c>
      <c r="E2591" s="1" t="n">
        <v>0.98</v>
      </c>
      <c r="F2591" s="1" t="n">
        <v>24.23</v>
      </c>
      <c r="G2591" s="1" t="n">
        <v>7.73</v>
      </c>
      <c r="H2591" s="1" t="n">
        <v>27</v>
      </c>
      <c r="I2591" s="1" t="n">
        <v>1.9</v>
      </c>
      <c r="J2591" t="n">
        <v>28160310</v>
      </c>
    </row>
    <row r="2592" ht="15.75" customHeight="1" s="201">
      <c r="A2592" s="1" t="inlineStr">
        <is>
          <t>Chicken, dark meat, thigh, meat only, with added solution, raw</t>
        </is>
      </c>
      <c r="C2592" s="1" t="n">
        <v>0</v>
      </c>
      <c r="D2592" s="1" t="n">
        <v>3</v>
      </c>
      <c r="E2592" s="1" t="n">
        <v>0.6</v>
      </c>
      <c r="F2592" s="1" t="n">
        <v>19.11</v>
      </c>
      <c r="G2592" s="1" t="n">
        <v>3.69</v>
      </c>
      <c r="H2592" s="1" t="n">
        <v>19</v>
      </c>
      <c r="I2592" s="1" t="n">
        <v>1.53</v>
      </c>
      <c r="J2592" t="n">
        <v>28160310</v>
      </c>
    </row>
    <row r="2593" ht="15.75" customHeight="1" s="201">
      <c r="A2593" s="1" t="inlineStr">
        <is>
          <t>Chicken, feet, boiled</t>
        </is>
      </c>
      <c r="C2593" s="1" t="n">
        <v>0.2</v>
      </c>
      <c r="D2593" s="1" t="n">
        <v>86</v>
      </c>
      <c r="E2593" s="1" t="n">
        <v>0.91</v>
      </c>
      <c r="F2593" s="1" t="n">
        <v>19.4</v>
      </c>
      <c r="G2593" s="1" t="n">
        <v>14.6</v>
      </c>
      <c r="H2593" s="1" t="n">
        <v>100</v>
      </c>
      <c r="I2593" s="1" t="n">
        <v>0.6899999999999999</v>
      </c>
      <c r="J2593" t="n">
        <v>27446315</v>
      </c>
    </row>
    <row r="2594" ht="15.75" customHeight="1" s="201">
      <c r="A2594" s="1" t="inlineStr">
        <is>
          <t>Chicken, gizzard, all classes, cooked, simmered</t>
        </is>
      </c>
      <c r="C2594" s="1" t="n">
        <v>0</v>
      </c>
      <c r="D2594" s="1" t="n">
        <v>5</v>
      </c>
      <c r="E2594" s="1" t="n">
        <v>3.19</v>
      </c>
      <c r="F2594" s="1" t="n">
        <v>30.39</v>
      </c>
      <c r="G2594" s="1" t="n">
        <v>2.68</v>
      </c>
      <c r="H2594" s="1" t="n">
        <v>0</v>
      </c>
      <c r="I2594" s="1" t="n">
        <v>4.42</v>
      </c>
      <c r="J2594" t="n">
        <v>27446315</v>
      </c>
    </row>
    <row r="2595" ht="15.75" customHeight="1" s="201">
      <c r="A2595" s="1" t="inlineStr">
        <is>
          <t>Chicken, gizzard, all classes, raw</t>
        </is>
      </c>
      <c r="C2595" s="1" t="n">
        <v>0</v>
      </c>
      <c r="D2595" s="1" t="n">
        <v>5</v>
      </c>
      <c r="E2595" s="1" t="n">
        <v>2.49</v>
      </c>
      <c r="F2595" s="1" t="n">
        <v>17.66</v>
      </c>
      <c r="G2595" s="1" t="n">
        <v>2.06</v>
      </c>
      <c r="H2595" s="1" t="n">
        <v>64</v>
      </c>
      <c r="I2595" s="1" t="n">
        <v>2.72</v>
      </c>
      <c r="J2595" t="n">
        <v>27446315</v>
      </c>
    </row>
    <row r="2596" ht="15.75" customHeight="1" s="201">
      <c r="A2596" s="1" t="inlineStr">
        <is>
          <t>Chicken, ground, crumbles, cooked, pan-browned</t>
        </is>
      </c>
      <c r="C2596" s="1" t="n">
        <v>0</v>
      </c>
      <c r="D2596" s="1" t="n">
        <v>2</v>
      </c>
      <c r="E2596" s="1" t="n">
        <v>0.93</v>
      </c>
      <c r="F2596" s="1" t="n">
        <v>23.28</v>
      </c>
      <c r="G2596" s="1" t="n">
        <v>10.92</v>
      </c>
      <c r="H2596" s="1" t="n">
        <v>0</v>
      </c>
      <c r="I2596" s="1" t="n">
        <v>1.92</v>
      </c>
      <c r="J2596" t="n">
        <v>27446315</v>
      </c>
    </row>
    <row r="2597" ht="15.75" customHeight="1" s="201">
      <c r="A2597" s="1" t="inlineStr">
        <is>
          <t>Chicken, ground, raw</t>
        </is>
      </c>
      <c r="C2597" s="1" t="n">
        <v>0.04</v>
      </c>
      <c r="D2597" s="1" t="n">
        <v>1</v>
      </c>
      <c r="E2597" s="1" t="n">
        <v>0.82</v>
      </c>
      <c r="F2597" s="1" t="n">
        <v>17.44</v>
      </c>
      <c r="G2597" s="1" t="n">
        <v>8.1</v>
      </c>
      <c r="H2597" s="1" t="n">
        <v>0</v>
      </c>
      <c r="I2597" s="1" t="n">
        <v>1.47</v>
      </c>
      <c r="J2597" t="n">
        <v>27446315</v>
      </c>
    </row>
    <row r="2598" ht="15.75" customHeight="1" s="201">
      <c r="A2598" s="1" t="inlineStr">
        <is>
          <t>Chicken, heart, all classes, cooked, simmered</t>
        </is>
      </c>
      <c r="C2598" s="1" t="n">
        <v>0.1</v>
      </c>
      <c r="D2598" s="1" t="n">
        <v>80</v>
      </c>
      <c r="E2598" s="1" t="n">
        <v>9.029999999999999</v>
      </c>
      <c r="F2598" s="1" t="n">
        <v>26.41</v>
      </c>
      <c r="G2598" s="1" t="n">
        <v>7.92</v>
      </c>
      <c r="H2598" s="1" t="n">
        <v>28</v>
      </c>
      <c r="I2598" s="1" t="n">
        <v>7.3</v>
      </c>
      <c r="J2598" t="n">
        <v>27446315</v>
      </c>
    </row>
    <row r="2599" ht="15.75" customHeight="1" s="201">
      <c r="A2599" s="1" t="inlineStr">
        <is>
          <t>Chicken, heart, all classes, raw</t>
        </is>
      </c>
      <c r="C2599" s="1" t="n">
        <v>0.71</v>
      </c>
      <c r="D2599" s="1" t="n">
        <v>72</v>
      </c>
      <c r="E2599" s="1" t="n">
        <v>5.96</v>
      </c>
      <c r="F2599" s="1" t="n">
        <v>15.55</v>
      </c>
      <c r="G2599" s="1" t="n">
        <v>9.33</v>
      </c>
      <c r="H2599" s="1" t="n">
        <v>30</v>
      </c>
      <c r="I2599" s="1" t="n">
        <v>6.59</v>
      </c>
      <c r="J2599" t="n">
        <v>27446315</v>
      </c>
    </row>
    <row r="2600" ht="15.75" customHeight="1" s="201">
      <c r="A2600" s="1" t="inlineStr">
        <is>
          <t>Chicken, liver, all classes, cooked, pan-fried</t>
        </is>
      </c>
      <c r="C2600" s="1" t="n">
        <v>1.11</v>
      </c>
      <c r="D2600" s="1" t="n">
        <v>560</v>
      </c>
      <c r="E2600" s="1" t="n">
        <v>12.88</v>
      </c>
      <c r="F2600" s="1" t="n">
        <v>25.78</v>
      </c>
      <c r="G2600" s="1" t="n">
        <v>6.43</v>
      </c>
      <c r="H2600" s="1" t="n">
        <v>14378</v>
      </c>
      <c r="I2600" s="1" t="n">
        <v>4.01</v>
      </c>
      <c r="J2600" t="n">
        <v>27446320</v>
      </c>
    </row>
    <row r="2601" ht="15.75" customHeight="1" s="201">
      <c r="A2601" s="1" t="inlineStr">
        <is>
          <t>Chicken, liver, all classes, cooked, simmered</t>
        </is>
      </c>
      <c r="C2601" s="1" t="n">
        <v>0.87</v>
      </c>
      <c r="D2601" s="1" t="n">
        <v>578</v>
      </c>
      <c r="E2601" s="1" t="n">
        <v>11.63</v>
      </c>
      <c r="F2601" s="1" t="n">
        <v>24.46</v>
      </c>
      <c r="G2601" s="1" t="n">
        <v>6.51</v>
      </c>
      <c r="H2601" s="1" t="n">
        <v>13328</v>
      </c>
      <c r="I2601" s="1" t="n">
        <v>3.98</v>
      </c>
      <c r="J2601" t="n">
        <v>25230560</v>
      </c>
    </row>
    <row r="2602" ht="15.75" customHeight="1" s="201">
      <c r="A2602" s="1" t="inlineStr">
        <is>
          <t>Chicken, liver, all classes, raw</t>
        </is>
      </c>
      <c r="C2602" s="1" t="n">
        <v>0.73</v>
      </c>
      <c r="D2602" s="1" t="n">
        <v>588</v>
      </c>
      <c r="E2602" s="1" t="n">
        <v>8.99</v>
      </c>
      <c r="F2602" s="1" t="n">
        <v>16.92</v>
      </c>
      <c r="G2602" s="1" t="n">
        <v>4.83</v>
      </c>
      <c r="H2602" s="1" t="n">
        <v>11078</v>
      </c>
      <c r="I2602" s="1" t="n">
        <v>2.67</v>
      </c>
      <c r="J2602" t="n">
        <v>25230560</v>
      </c>
    </row>
    <row r="2603" ht="15.75" customHeight="1" s="201">
      <c r="A2603" s="1" t="inlineStr">
        <is>
          <t>Chicken, meatless</t>
        </is>
      </c>
      <c r="C2603" s="1" t="n">
        <v>3.64</v>
      </c>
      <c r="D2603" s="1" t="n">
        <v>76</v>
      </c>
      <c r="E2603" s="1" t="n">
        <v>3.27</v>
      </c>
      <c r="F2603" s="1" t="n">
        <v>23.64</v>
      </c>
      <c r="G2603" s="1" t="n">
        <v>12.73</v>
      </c>
      <c r="H2603" s="1" t="n">
        <v>0</v>
      </c>
      <c r="I2603" s="1" t="n">
        <v>0.7</v>
      </c>
      <c r="J2603" t="n">
        <v>27446315</v>
      </c>
    </row>
    <row r="2604" ht="15.75" customHeight="1" s="201">
      <c r="A2604" s="1" t="inlineStr">
        <is>
          <t>Chicken, meatless, breaded, fried</t>
        </is>
      </c>
      <c r="C2604" s="1" t="n">
        <v>8.51</v>
      </c>
      <c r="D2604" s="1" t="n">
        <v>56</v>
      </c>
      <c r="E2604" s="1" t="n">
        <v>3.83</v>
      </c>
      <c r="F2604" s="1" t="n">
        <v>21.28</v>
      </c>
      <c r="G2604" s="1" t="n">
        <v>12.77</v>
      </c>
      <c r="H2604" s="1" t="n">
        <v>0</v>
      </c>
      <c r="I2604" s="1" t="n">
        <v>0.65</v>
      </c>
      <c r="J2604" t="n">
        <v>27446320</v>
      </c>
    </row>
    <row r="2605" ht="15.75" customHeight="1" s="201">
      <c r="A2605" s="1" t="inlineStr">
        <is>
          <t>Chicken, nuggets, dark and white meat, precooked, frozen, not reheated</t>
        </is>
      </c>
      <c r="C2605" s="1" t="n">
        <v>16.09</v>
      </c>
      <c r="D2605" s="1" t="n">
        <v>35</v>
      </c>
      <c r="E2605" s="1" t="n">
        <v>0.95</v>
      </c>
      <c r="F2605" s="1" t="n">
        <v>12.02</v>
      </c>
      <c r="G2605" s="1" t="n">
        <v>17.31</v>
      </c>
      <c r="H2605" s="1" t="n">
        <v>135</v>
      </c>
      <c r="I2605" s="1" t="n">
        <v>0.78</v>
      </c>
      <c r="J2605" t="n">
        <v>28141010</v>
      </c>
    </row>
    <row r="2606" ht="15.75" customHeight="1" s="201">
      <c r="A2606" s="1" t="inlineStr">
        <is>
          <t>Chicken, nuggets, white meat, precooked, frozen, not reheated</t>
        </is>
      </c>
      <c r="C2606" s="1" t="n">
        <v>16.24</v>
      </c>
      <c r="D2606" s="1" t="n">
        <v>5</v>
      </c>
      <c r="E2606" s="1" t="n">
        <v>1.43</v>
      </c>
      <c r="F2606" s="1" t="n">
        <v>14.36</v>
      </c>
      <c r="G2606" s="1" t="n">
        <v>15.42</v>
      </c>
      <c r="H2606" s="1" t="n">
        <v>53</v>
      </c>
      <c r="I2606" s="1" t="n">
        <v>0.75</v>
      </c>
      <c r="J2606" t="n">
        <v>28141010</v>
      </c>
    </row>
    <row r="2607" ht="15.75" customHeight="1" s="201">
      <c r="A2607" s="1" t="inlineStr">
        <is>
          <t>Chicken, roasting, dark meat, meat only, cooked, roasted</t>
        </is>
      </c>
      <c r="C2607" s="1" t="n">
        <v>0</v>
      </c>
      <c r="D2607" s="1" t="n">
        <v>7</v>
      </c>
      <c r="E2607" s="1" t="n">
        <v>1.33</v>
      </c>
      <c r="F2607" s="1" t="n">
        <v>23.25</v>
      </c>
      <c r="G2607" s="1" t="n">
        <v>8.75</v>
      </c>
      <c r="H2607" s="1" t="n">
        <v>54</v>
      </c>
      <c r="I2607" s="1" t="n">
        <v>2.13</v>
      </c>
      <c r="J2607" t="n">
        <v>28141010</v>
      </c>
    </row>
    <row r="2608" ht="15.75" customHeight="1" s="201">
      <c r="A2608" s="1" t="inlineStr">
        <is>
          <t>Chicken, roasting, dark meat, meat only, raw</t>
        </is>
      </c>
      <c r="C2608" s="1" t="n">
        <v>0</v>
      </c>
      <c r="D2608" s="1" t="n">
        <v>9</v>
      </c>
      <c r="E2608" s="1" t="n">
        <v>1.15</v>
      </c>
      <c r="F2608" s="1" t="n">
        <v>18.74</v>
      </c>
      <c r="G2608" s="1" t="n">
        <v>3.61</v>
      </c>
      <c r="H2608" s="1" t="n">
        <v>60</v>
      </c>
      <c r="I2608" s="1" t="n">
        <v>1.65</v>
      </c>
      <c r="J2608" t="n">
        <v>28141010</v>
      </c>
    </row>
    <row r="2609" ht="15.75" customHeight="1" s="201">
      <c r="A2609" s="1" t="inlineStr">
        <is>
          <t>Chicken, roasting, giblets, cooked, simmered</t>
        </is>
      </c>
      <c r="C2609" s="1" t="n">
        <v>0.86</v>
      </c>
      <c r="D2609" s="1" t="n">
        <v>303</v>
      </c>
      <c r="E2609" s="1" t="n">
        <v>6.09</v>
      </c>
      <c r="F2609" s="1" t="n">
        <v>26.77</v>
      </c>
      <c r="G2609" s="1" t="n">
        <v>5.22</v>
      </c>
      <c r="H2609" s="1" t="n">
        <v>8136</v>
      </c>
      <c r="I2609" s="1" t="n">
        <v>4.63</v>
      </c>
      <c r="J2609" t="n">
        <v>27446315</v>
      </c>
    </row>
    <row r="2610" ht="15.75" customHeight="1" s="201">
      <c r="A2610" s="1" t="inlineStr">
        <is>
          <t>Chicken, roasting, giblets, raw</t>
        </is>
      </c>
      <c r="C2610" s="1" t="n">
        <v>1.14</v>
      </c>
      <c r="D2610" s="1" t="n">
        <v>276</v>
      </c>
      <c r="E2610" s="1" t="n">
        <v>5.4</v>
      </c>
      <c r="F2610" s="1" t="n">
        <v>18.14</v>
      </c>
      <c r="G2610" s="1" t="n">
        <v>5.04</v>
      </c>
      <c r="H2610" s="1" t="n">
        <v>9592</v>
      </c>
      <c r="I2610" s="1" t="n">
        <v>3.39</v>
      </c>
      <c r="J2610" t="n">
        <v>27446315</v>
      </c>
    </row>
    <row r="2611" ht="15.75" customHeight="1" s="201">
      <c r="A2611" s="1" t="inlineStr">
        <is>
          <t>Chicken, roasting, light meat, meat only, cooked, roasted</t>
        </is>
      </c>
      <c r="C2611" s="1" t="n">
        <v>0</v>
      </c>
      <c r="D2611" s="1" t="n">
        <v>3</v>
      </c>
      <c r="E2611" s="1" t="n">
        <v>1.08</v>
      </c>
      <c r="F2611" s="1" t="n">
        <v>27.13</v>
      </c>
      <c r="G2611" s="1" t="n">
        <v>4.07</v>
      </c>
      <c r="H2611" s="1" t="n">
        <v>25</v>
      </c>
      <c r="I2611" s="1" t="n">
        <v>0.78</v>
      </c>
      <c r="J2611" t="n">
        <v>27446245</v>
      </c>
    </row>
    <row r="2612" ht="15.75" customHeight="1" s="201">
      <c r="A2612" s="1" t="inlineStr">
        <is>
          <t>Chicken, roasting, light meat, meat only, raw</t>
        </is>
      </c>
      <c r="C2612" s="1" t="n">
        <v>0</v>
      </c>
      <c r="D2612" s="1" t="n">
        <v>4</v>
      </c>
      <c r="E2612" s="1" t="n">
        <v>0.89</v>
      </c>
      <c r="F2612" s="1" t="n">
        <v>22.2</v>
      </c>
      <c r="G2612" s="1" t="n">
        <v>1.63</v>
      </c>
      <c r="H2612" s="1" t="n">
        <v>27</v>
      </c>
      <c r="I2612" s="1" t="n">
        <v>0.66</v>
      </c>
      <c r="J2612" t="n">
        <v>27446245</v>
      </c>
    </row>
    <row r="2613" ht="15.75" customHeight="1" s="201">
      <c r="A2613" s="1" t="inlineStr">
        <is>
          <t>Chicken, roasting, meat and skin and giblets and neck, cooked, roasted</t>
        </is>
      </c>
      <c r="C2613" s="1" t="n">
        <v>0.05</v>
      </c>
      <c r="D2613" s="1" t="n">
        <v>23</v>
      </c>
      <c r="E2613" s="1" t="n">
        <v>1.61</v>
      </c>
      <c r="F2613" s="1" t="n">
        <v>23.96</v>
      </c>
      <c r="G2613" s="1" t="n">
        <v>13.07</v>
      </c>
      <c r="H2613" s="1" t="n">
        <v>597</v>
      </c>
      <c r="I2613" s="1" t="n">
        <v>1.71</v>
      </c>
      <c r="J2613" t="n">
        <v>27446315</v>
      </c>
    </row>
    <row r="2614" ht="15.75" customHeight="1" s="201">
      <c r="A2614" s="1" t="inlineStr">
        <is>
          <t>Chicken, roasting, meat and skin and giblets and neck, raw</t>
        </is>
      </c>
      <c r="C2614" s="1" t="n">
        <v>0.09</v>
      </c>
      <c r="D2614" s="1" t="n">
        <v>26</v>
      </c>
      <c r="E2614" s="1" t="n">
        <v>1.37</v>
      </c>
      <c r="F2614" s="1" t="n">
        <v>17.09</v>
      </c>
      <c r="G2614" s="1" t="n">
        <v>15.46</v>
      </c>
      <c r="H2614" s="1" t="n">
        <v>843</v>
      </c>
      <c r="I2614" s="1" t="n">
        <v>1.28</v>
      </c>
      <c r="J2614" t="n">
        <v>27446315</v>
      </c>
    </row>
    <row r="2615" ht="15.75" customHeight="1" s="201">
      <c r="A2615" s="1" t="inlineStr">
        <is>
          <t>Chicken, roasting, meat and skin, cooked, roasted</t>
        </is>
      </c>
      <c r="C2615" s="1" t="n">
        <v>0</v>
      </c>
      <c r="D2615" s="1" t="n">
        <v>5</v>
      </c>
      <c r="E2615" s="1" t="n">
        <v>1.26</v>
      </c>
      <c r="F2615" s="1" t="n">
        <v>23.97</v>
      </c>
      <c r="G2615" s="1" t="n">
        <v>13.39</v>
      </c>
      <c r="H2615" s="1" t="n">
        <v>83</v>
      </c>
      <c r="I2615" s="1" t="n">
        <v>1.45</v>
      </c>
      <c r="J2615" t="n">
        <v>27446315</v>
      </c>
    </row>
    <row r="2616" ht="15.75" customHeight="1" s="201">
      <c r="A2616" s="1" t="inlineStr">
        <is>
          <t>Chicken, roasting, meat only, cooked, roasted</t>
        </is>
      </c>
      <c r="C2616" s="1" t="n">
        <v>0</v>
      </c>
      <c r="D2616" s="1" t="n">
        <v>5</v>
      </c>
      <c r="E2616" s="1" t="n">
        <v>1.21</v>
      </c>
      <c r="F2616" s="1" t="n">
        <v>25.01</v>
      </c>
      <c r="G2616" s="1" t="n">
        <v>6.63</v>
      </c>
      <c r="H2616" s="1" t="n">
        <v>41</v>
      </c>
      <c r="I2616" s="1" t="n">
        <v>1.52</v>
      </c>
      <c r="J2616" t="n">
        <v>27446315</v>
      </c>
    </row>
    <row r="2617" ht="15.75" customHeight="1" s="201">
      <c r="A2617" s="1" t="inlineStr">
        <is>
          <t>Chicken, roasting, meat only, raw</t>
        </is>
      </c>
      <c r="C2617" s="1" t="n">
        <v>0</v>
      </c>
      <c r="D2617" s="1" t="n">
        <v>7</v>
      </c>
      <c r="E2617" s="1" t="n">
        <v>1.03</v>
      </c>
      <c r="F2617" s="1" t="n">
        <v>20.33</v>
      </c>
      <c r="G2617" s="1" t="n">
        <v>2.7</v>
      </c>
      <c r="H2617" s="1" t="n">
        <v>45</v>
      </c>
      <c r="I2617" s="1" t="n">
        <v>1.19</v>
      </c>
      <c r="J2617" t="n">
        <v>27446315</v>
      </c>
    </row>
    <row r="2618" ht="15.75" customHeight="1" s="201">
      <c r="A2618" s="1" t="inlineStr">
        <is>
          <t>Chicken, skin (drumsticks and thighs), cooked, braised</t>
        </is>
      </c>
      <c r="C2618" s="1" t="n">
        <v>0</v>
      </c>
      <c r="D2618" s="1" t="n">
        <v>3</v>
      </c>
      <c r="E2618" s="1" t="n">
        <v>1</v>
      </c>
      <c r="F2618" s="1" t="n">
        <v>14.61</v>
      </c>
      <c r="G2618" s="1" t="n">
        <v>42.76</v>
      </c>
      <c r="H2618" s="1" t="n">
        <v>161</v>
      </c>
      <c r="I2618" s="1" t="n">
        <v>0.74</v>
      </c>
      <c r="J2618" t="n">
        <v>27446315</v>
      </c>
    </row>
    <row r="2619" ht="15.75" customHeight="1" s="201">
      <c r="A2619" s="1" t="inlineStr">
        <is>
          <t>Chicken, skin (drumsticks and thighs), cooked, roasted</t>
        </is>
      </c>
      <c r="C2619" s="1" t="n">
        <v>0</v>
      </c>
      <c r="D2619" s="1" t="n">
        <v>3</v>
      </c>
      <c r="E2619" s="1" t="n">
        <v>0.9</v>
      </c>
      <c r="F2619" s="1" t="n">
        <v>16.57</v>
      </c>
      <c r="G2619" s="1" t="n">
        <v>43.99</v>
      </c>
      <c r="H2619" s="1" t="n">
        <v>181</v>
      </c>
      <c r="I2619" s="1" t="n">
        <v>0.86</v>
      </c>
      <c r="J2619" t="n">
        <v>27446315</v>
      </c>
    </row>
    <row r="2620" ht="15.75" customHeight="1" s="201">
      <c r="A2620" s="1" t="inlineStr">
        <is>
          <t>Chicken, skin (drumsticks and thighs), raw</t>
        </is>
      </c>
      <c r="C2620" s="1" t="n">
        <v>0.79</v>
      </c>
      <c r="D2620" s="1" t="n">
        <v>2</v>
      </c>
      <c r="E2620" s="1" t="n">
        <v>0.37</v>
      </c>
      <c r="F2620" s="1" t="n">
        <v>9.58</v>
      </c>
      <c r="G2620" s="1" t="n">
        <v>44.23</v>
      </c>
      <c r="H2620" s="1" t="n">
        <v>196</v>
      </c>
      <c r="I2620" s="1" t="n">
        <v>0.65</v>
      </c>
      <c r="J2620" t="n">
        <v>27446315</v>
      </c>
    </row>
    <row r="2621" ht="15.75" customHeight="1" s="201">
      <c r="A2621" s="1" t="inlineStr">
        <is>
          <t>Chicken, skin (drumsticks and thighs), with added solution, cooked, braised</t>
        </is>
      </c>
      <c r="C2621" s="1" t="n">
        <v>1</v>
      </c>
      <c r="D2621" s="1" t="n">
        <v>2</v>
      </c>
      <c r="E2621" s="1" t="n">
        <v>0.65</v>
      </c>
      <c r="F2621" s="1" t="n">
        <v>12.26</v>
      </c>
      <c r="G2621" s="1" t="n">
        <v>38.94</v>
      </c>
      <c r="H2621" s="1" t="n">
        <v>147</v>
      </c>
      <c r="I2621" s="1" t="n">
        <v>0.63</v>
      </c>
      <c r="J2621" t="n">
        <v>27446315</v>
      </c>
    </row>
    <row r="2622" ht="15.75" customHeight="1" s="201">
      <c r="A2622" s="1" t="inlineStr">
        <is>
          <t>Chicken, skin (drumsticks and thighs), with added solution, cooked, roasted</t>
        </is>
      </c>
      <c r="C2622" s="1" t="n">
        <v>0.44</v>
      </c>
      <c r="D2622" s="1" t="n">
        <v>3</v>
      </c>
      <c r="E2622" s="1" t="n">
        <v>1.17</v>
      </c>
      <c r="F2622" s="1" t="n">
        <v>20.31</v>
      </c>
      <c r="G2622" s="1" t="n">
        <v>37.6</v>
      </c>
      <c r="H2622" s="1" t="n">
        <v>176</v>
      </c>
      <c r="I2622" s="1" t="n">
        <v>1.51</v>
      </c>
      <c r="J2622" t="n">
        <v>27446315</v>
      </c>
    </row>
    <row r="2623" ht="15.75" customHeight="1" s="201">
      <c r="A2623" s="1" t="inlineStr">
        <is>
          <t>Chicken, skin (drumsticks and thighs), with added solution, raw</t>
        </is>
      </c>
      <c r="C2623" s="1" t="n">
        <v>0.01</v>
      </c>
      <c r="D2623" s="1" t="n">
        <v>2</v>
      </c>
      <c r="E2623" s="1" t="n">
        <v>0.51</v>
      </c>
      <c r="F2623" s="1" t="n">
        <v>11.11</v>
      </c>
      <c r="G2623" s="1" t="n">
        <v>37.9</v>
      </c>
      <c r="H2623" s="1" t="n">
        <v>186</v>
      </c>
      <c r="I2623" s="1" t="n">
        <v>0.62</v>
      </c>
      <c r="J2623" t="n">
        <v>27446315</v>
      </c>
    </row>
    <row r="2624" ht="15.75" customHeight="1" s="201">
      <c r="A2624" s="1" t="inlineStr">
        <is>
          <t>Chicken, stewing, dark meat, meat only, cooked, stewed</t>
        </is>
      </c>
      <c r="C2624" s="1" t="n">
        <v>0</v>
      </c>
      <c r="D2624" s="1" t="n">
        <v>8</v>
      </c>
      <c r="E2624" s="1" t="n">
        <v>1.64</v>
      </c>
      <c r="F2624" s="1" t="n">
        <v>28.14</v>
      </c>
      <c r="G2624" s="1" t="n">
        <v>15.28</v>
      </c>
      <c r="H2624" s="1" t="n">
        <v>145</v>
      </c>
      <c r="I2624" s="1" t="n">
        <v>3.12</v>
      </c>
      <c r="J2624" t="n">
        <v>28141010</v>
      </c>
    </row>
    <row r="2625" ht="15.75" customHeight="1" s="201">
      <c r="A2625" s="1" t="inlineStr">
        <is>
          <t>Chicken, stewing, dark meat, meat only, raw</t>
        </is>
      </c>
      <c r="C2625" s="1" t="n">
        <v>0</v>
      </c>
      <c r="D2625" s="1" t="n">
        <v>10</v>
      </c>
      <c r="E2625" s="1" t="n">
        <v>1.22</v>
      </c>
      <c r="F2625" s="1" t="n">
        <v>19.7</v>
      </c>
      <c r="G2625" s="1" t="n">
        <v>8.119999999999999</v>
      </c>
      <c r="H2625" s="1" t="n">
        <v>135</v>
      </c>
      <c r="I2625" s="1" t="n">
        <v>2.08</v>
      </c>
      <c r="J2625" t="n">
        <v>28141010</v>
      </c>
    </row>
    <row r="2626" ht="15.75" customHeight="1" s="201">
      <c r="A2626" s="1" t="inlineStr">
        <is>
          <t>Chicken, stewing, giblets, cooked, simmered</t>
        </is>
      </c>
      <c r="C2626" s="1" t="n">
        <v>0.11</v>
      </c>
      <c r="D2626" s="1" t="n">
        <v>367</v>
      </c>
      <c r="E2626" s="1" t="n">
        <v>6.44</v>
      </c>
      <c r="F2626" s="1" t="n">
        <v>25.73</v>
      </c>
      <c r="G2626" s="1" t="n">
        <v>9.300000000000001</v>
      </c>
      <c r="H2626" s="1" t="n">
        <v>9536</v>
      </c>
      <c r="I2626" s="1" t="n">
        <v>4.28</v>
      </c>
      <c r="J2626" t="n">
        <v>27446315</v>
      </c>
    </row>
    <row r="2627" ht="15.75" customHeight="1" s="201">
      <c r="A2627" s="1" t="inlineStr">
        <is>
          <t>Chicken, stewing, giblets, raw</t>
        </is>
      </c>
      <c r="C2627" s="1" t="n">
        <v>2.13</v>
      </c>
      <c r="D2627" s="1" t="n">
        <v>350</v>
      </c>
      <c r="E2627" s="1" t="n">
        <v>5.93</v>
      </c>
      <c r="F2627" s="1" t="n">
        <v>17.89</v>
      </c>
      <c r="G2627" s="1" t="n">
        <v>9.210000000000001</v>
      </c>
      <c r="H2627" s="1" t="n">
        <v>10497</v>
      </c>
      <c r="I2627" s="1" t="n">
        <v>3.01</v>
      </c>
      <c r="J2627" t="n">
        <v>27446315</v>
      </c>
    </row>
    <row r="2628" ht="15.75" customHeight="1" s="201">
      <c r="A2628" s="1" t="inlineStr">
        <is>
          <t>Chicken, stewing, light meat, meat only, cooked, stewed</t>
        </is>
      </c>
      <c r="C2628" s="1" t="n">
        <v>0</v>
      </c>
      <c r="D2628" s="1" t="n">
        <v>4</v>
      </c>
      <c r="E2628" s="1" t="n">
        <v>1.19</v>
      </c>
      <c r="F2628" s="1" t="n">
        <v>33.04</v>
      </c>
      <c r="G2628" s="1" t="n">
        <v>7.98</v>
      </c>
      <c r="H2628" s="1" t="n">
        <v>73</v>
      </c>
      <c r="I2628" s="1" t="n">
        <v>0.83</v>
      </c>
      <c r="J2628" t="n">
        <v>27446245</v>
      </c>
    </row>
    <row r="2629" ht="15.75" customHeight="1" s="201">
      <c r="A2629" s="1" t="inlineStr">
        <is>
          <t>Chicken, stewing, light meat, meat only, raw</t>
        </is>
      </c>
      <c r="C2629" s="1" t="n">
        <v>0</v>
      </c>
      <c r="D2629" s="1" t="n">
        <v>4</v>
      </c>
      <c r="E2629" s="1" t="n">
        <v>0.92</v>
      </c>
      <c r="F2629" s="1" t="n">
        <v>23.1</v>
      </c>
      <c r="G2629" s="1" t="n">
        <v>4.21</v>
      </c>
      <c r="H2629" s="1" t="n">
        <v>70</v>
      </c>
      <c r="I2629" s="1" t="n">
        <v>0.6</v>
      </c>
      <c r="J2629" t="n">
        <v>27446245</v>
      </c>
    </row>
    <row r="2630" ht="15.75" customHeight="1" s="201">
      <c r="A2630" s="1" t="inlineStr">
        <is>
          <t>Chicken, stewing, meat and skin, and giblets and neck, cooked, stewed</t>
        </is>
      </c>
      <c r="C2630" s="1" t="n">
        <v>0</v>
      </c>
      <c r="D2630" s="1" t="n">
        <v>25</v>
      </c>
      <c r="E2630" s="1" t="n">
        <v>1.64</v>
      </c>
      <c r="F2630" s="1" t="n">
        <v>24.88</v>
      </c>
      <c r="G2630" s="1" t="n">
        <v>11.91</v>
      </c>
      <c r="H2630" s="1" t="n">
        <v>609</v>
      </c>
      <c r="I2630" s="1" t="n">
        <v>1.96</v>
      </c>
      <c r="J2630" t="n">
        <v>27446315</v>
      </c>
    </row>
    <row r="2631" ht="15.75" customHeight="1" s="201">
      <c r="A2631" s="1" t="inlineStr">
        <is>
          <t>Chicken, stewing, meat and skin, and giblets and neck, raw</t>
        </is>
      </c>
      <c r="C2631" s="1" t="n">
        <v>0.19</v>
      </c>
      <c r="D2631" s="1" t="n">
        <v>37</v>
      </c>
      <c r="E2631" s="1" t="n">
        <v>1.51</v>
      </c>
      <c r="F2631" s="1" t="n">
        <v>17.48</v>
      </c>
      <c r="G2631" s="1" t="n">
        <v>19.52</v>
      </c>
      <c r="H2631" s="1" t="n">
        <v>1102</v>
      </c>
      <c r="I2631" s="1" t="n">
        <v>1.37</v>
      </c>
      <c r="J2631" t="n">
        <v>27446315</v>
      </c>
    </row>
    <row r="2632" ht="15.75" customHeight="1" s="201">
      <c r="A2632" s="1" t="inlineStr">
        <is>
          <t>Chicken, stewing, meat and skin, cooked, stewed</t>
        </is>
      </c>
      <c r="C2632" s="1" t="n">
        <v>0</v>
      </c>
      <c r="D2632" s="1" t="n">
        <v>5</v>
      </c>
      <c r="E2632" s="1" t="n">
        <v>1.37</v>
      </c>
      <c r="F2632" s="1" t="n">
        <v>26.88</v>
      </c>
      <c r="G2632" s="1" t="n">
        <v>18.87</v>
      </c>
      <c r="H2632" s="1" t="n">
        <v>131</v>
      </c>
      <c r="I2632" s="1" t="n">
        <v>1.77</v>
      </c>
      <c r="J2632" t="n">
        <v>27446315</v>
      </c>
    </row>
    <row r="2633" ht="15.75" customHeight="1" s="201">
      <c r="A2633" s="1" t="inlineStr">
        <is>
          <t>Chicken, stewing, meat and skin, raw</t>
        </is>
      </c>
      <c r="C2633" s="1" t="n">
        <v>0</v>
      </c>
      <c r="D2633" s="1" t="n">
        <v>6</v>
      </c>
      <c r="E2633" s="1" t="n">
        <v>1.04</v>
      </c>
      <c r="F2633" s="1" t="n">
        <v>17.55</v>
      </c>
      <c r="G2633" s="1" t="n">
        <v>20.33</v>
      </c>
      <c r="H2633" s="1" t="n">
        <v>178</v>
      </c>
      <c r="I2633" s="1" t="n">
        <v>1.19</v>
      </c>
      <c r="J2633" t="n">
        <v>27446315</v>
      </c>
    </row>
    <row r="2634" ht="15.75" customHeight="1" s="201">
      <c r="A2634" s="1" t="inlineStr">
        <is>
          <t>Chicken, stewing, meat only, cooked, stewed</t>
        </is>
      </c>
      <c r="C2634" s="1" t="n">
        <v>0</v>
      </c>
      <c r="D2634" s="1" t="n">
        <v>6</v>
      </c>
      <c r="E2634" s="1" t="n">
        <v>1.43</v>
      </c>
      <c r="F2634" s="1" t="n">
        <v>30.42</v>
      </c>
      <c r="G2634" s="1" t="n">
        <v>11.89</v>
      </c>
      <c r="H2634" s="1" t="n">
        <v>112</v>
      </c>
      <c r="I2634" s="1" t="n">
        <v>2.06</v>
      </c>
      <c r="J2634" t="n">
        <v>27446315</v>
      </c>
    </row>
    <row r="2635" ht="15.75" customHeight="1" s="201">
      <c r="A2635" s="1" t="inlineStr">
        <is>
          <t>Chicken Stock</t>
        </is>
      </c>
      <c r="J2635" t="n">
        <v>27446315</v>
      </c>
    </row>
    <row r="2636" ht="15.75" customHeight="1" s="201">
      <c r="A2636" s="1" t="inlineStr">
        <is>
          <t>Chicken gravy</t>
        </is>
      </c>
      <c r="J2636" t="n">
        <v>27446315</v>
      </c>
    </row>
    <row r="2637" ht="15.75" customHeight="1" s="201">
      <c r="A2637" s="1" t="inlineStr">
        <is>
          <t>Chicken</t>
        </is>
      </c>
      <c r="J2637" t="n">
        <v>27446315</v>
      </c>
    </row>
    <row r="2638" ht="15.75" customHeight="1" s="201">
      <c r="A2638" s="1" t="inlineStr">
        <is>
          <t>Chicken, stewing, meat only, raw</t>
        </is>
      </c>
      <c r="C2638" s="1" t="n">
        <v>0</v>
      </c>
      <c r="D2638" s="1" t="n">
        <v>7</v>
      </c>
      <c r="E2638" s="1" t="n">
        <v>1.09</v>
      </c>
      <c r="F2638" s="1" t="n">
        <v>21.26</v>
      </c>
      <c r="G2638" s="1" t="n">
        <v>6.32</v>
      </c>
      <c r="H2638" s="1" t="n">
        <v>105</v>
      </c>
      <c r="I2638" s="1" t="n">
        <v>1.4</v>
      </c>
      <c r="J2638" t="n">
        <v>27446315</v>
      </c>
    </row>
    <row r="2639" ht="15.75" customHeight="1" s="201">
      <c r="A2639" s="1" t="inlineStr">
        <is>
          <t>Chicken, thighs, frozen, breaded, reheated</t>
        </is>
      </c>
      <c r="C2639" s="1" t="n">
        <v>14.23</v>
      </c>
      <c r="D2639" s="1" t="n">
        <v>20</v>
      </c>
      <c r="E2639" s="1" t="n">
        <v>1.26</v>
      </c>
      <c r="F2639" s="1" t="n">
        <v>18.66</v>
      </c>
      <c r="G2639" s="1" t="n">
        <v>22.45</v>
      </c>
      <c r="H2639" s="1" t="n">
        <v>125</v>
      </c>
      <c r="I2639" s="1" t="n">
        <v>1.39</v>
      </c>
      <c r="J2639" t="n">
        <v>24198746</v>
      </c>
    </row>
    <row r="2640" ht="15.75" customHeight="1" s="201">
      <c r="A2640" s="1" t="inlineStr">
        <is>
          <t>Chicken, wing, frozen, glazed, barbecue flavored</t>
        </is>
      </c>
      <c r="C2640" s="1" t="n">
        <v>3.34</v>
      </c>
      <c r="D2640" s="1" t="n">
        <v>10</v>
      </c>
      <c r="E2640" s="1" t="n">
        <v>2.41</v>
      </c>
      <c r="F2640" s="1" t="n">
        <v>19.67</v>
      </c>
      <c r="G2640" s="1" t="n">
        <v>12.67</v>
      </c>
      <c r="H2640" s="1" t="n">
        <v>58</v>
      </c>
      <c r="I2640" s="1" t="n">
        <v>1.14</v>
      </c>
      <c r="J2640" t="n">
        <v>24198746</v>
      </c>
    </row>
    <row r="2641" ht="15.75" customHeight="1" s="201">
      <c r="A2641" s="1" t="inlineStr">
        <is>
          <t>Chicken, wing, frozen, glazed, barbecue flavored, heated (conventional oven)</t>
        </is>
      </c>
      <c r="C2641" s="1" t="n">
        <v>3.36</v>
      </c>
      <c r="D2641" s="1" t="n">
        <v>10</v>
      </c>
      <c r="E2641" s="1" t="n">
        <v>1.97</v>
      </c>
      <c r="F2641" s="1" t="n">
        <v>22.24</v>
      </c>
      <c r="G2641" s="1" t="n">
        <v>14.87</v>
      </c>
      <c r="H2641" s="1" t="n">
        <v>69</v>
      </c>
      <c r="I2641" s="1" t="n">
        <v>1.3</v>
      </c>
      <c r="J2641" t="n">
        <v>24198746</v>
      </c>
    </row>
    <row r="2642" ht="15.75" customHeight="1" s="201">
      <c r="A2642" s="1" t="inlineStr">
        <is>
          <t>Chicken, wing, frozen, glazed, barbecue flavored, heated (microwave)</t>
        </is>
      </c>
      <c r="C2642" s="1" t="n">
        <v>3.84</v>
      </c>
      <c r="D2642" s="1" t="n">
        <v>12</v>
      </c>
      <c r="E2642" s="1" t="n">
        <v>2.74</v>
      </c>
      <c r="F2642" s="1" t="n">
        <v>25.34</v>
      </c>
      <c r="G2642" s="1" t="n">
        <v>13.9</v>
      </c>
      <c r="H2642" s="1" t="n">
        <v>68</v>
      </c>
      <c r="I2642" s="1" t="n">
        <v>1.55</v>
      </c>
      <c r="J2642" t="n">
        <v>24198746</v>
      </c>
    </row>
    <row r="2643" ht="15.75" customHeight="1" s="201">
      <c r="A2643" s="1" t="inlineStr">
        <is>
          <t>CHICK-FIL-A, chicken sandwich</t>
        </is>
      </c>
      <c r="C2643" s="1" t="n">
        <v>20.89</v>
      </c>
      <c r="D2643" s="1" t="n">
        <v>47</v>
      </c>
      <c r="E2643" s="1" t="n">
        <v>1.77</v>
      </c>
      <c r="F2643" s="1" t="n">
        <v>16.28</v>
      </c>
      <c r="G2643" s="1" t="n">
        <v>11.19</v>
      </c>
      <c r="I2643" s="1" t="n">
        <v>0.61</v>
      </c>
      <c r="J2643" t="n">
        <v>27446315</v>
      </c>
    </row>
    <row r="2644" ht="15.75" customHeight="1" s="201">
      <c r="A2644" s="1" t="inlineStr">
        <is>
          <t>CHICK-FIL-A, Chick-n-Strips</t>
        </is>
      </c>
      <c r="C2644" s="1" t="n">
        <v>10.39</v>
      </c>
      <c r="D2644" s="1" t="n">
        <v>40</v>
      </c>
      <c r="E2644" s="1" t="n">
        <v>0.97</v>
      </c>
      <c r="F2644" s="1" t="n">
        <v>21.4</v>
      </c>
      <c r="G2644" s="1" t="n">
        <v>11.2</v>
      </c>
      <c r="I2644" s="1" t="n">
        <v>0.72</v>
      </c>
      <c r="J2644" t="n">
        <v>58100013</v>
      </c>
    </row>
    <row r="2645" ht="15.75" customHeight="1" s="201">
      <c r="A2645" s="1" t="inlineStr">
        <is>
          <t>CHICK-FIL-A, hash browns</t>
        </is>
      </c>
      <c r="C2645" s="1" t="n">
        <v>30.51</v>
      </c>
      <c r="D2645" s="1" t="n">
        <v>13</v>
      </c>
      <c r="E2645" s="1" t="n">
        <v>0.65</v>
      </c>
      <c r="F2645" s="1" t="n">
        <v>3</v>
      </c>
      <c r="G2645" s="1" t="n">
        <v>18.5</v>
      </c>
      <c r="H2645" s="1" t="n">
        <v>5</v>
      </c>
      <c r="I2645" s="1" t="n">
        <v>0.45</v>
      </c>
    </row>
    <row r="2646" ht="15.75" customHeight="1" s="201">
      <c r="A2646" s="1" t="inlineStr">
        <is>
          <t>Chickpeas</t>
        </is>
      </c>
      <c r="J2646" t="n">
        <v>41301990</v>
      </c>
    </row>
    <row r="2647" ht="15.75" customHeight="1" s="201">
      <c r="A2647" s="1" t="inlineStr">
        <is>
          <t>Chickpea flour (besan)</t>
        </is>
      </c>
      <c r="C2647" s="1" t="n">
        <v>57.82</v>
      </c>
      <c r="D2647" s="1" t="n">
        <v>437</v>
      </c>
      <c r="E2647" s="1" t="n">
        <v>4.86</v>
      </c>
      <c r="F2647" s="1" t="n">
        <v>22.39</v>
      </c>
      <c r="G2647" s="1" t="n">
        <v>6.69</v>
      </c>
      <c r="H2647" s="1" t="n">
        <v>41</v>
      </c>
      <c r="I2647" s="1" t="n">
        <v>2.81</v>
      </c>
      <c r="J2647" t="n">
        <v>52215350</v>
      </c>
    </row>
    <row r="2648" ht="15.75" customHeight="1" s="201">
      <c r="A2648" s="1" t="inlineStr">
        <is>
          <t>Chickpeas (garbanzo beans, bengal gram), mature seeds, canned, drained solids</t>
        </is>
      </c>
      <c r="C2648" s="1" t="n">
        <v>22.53</v>
      </c>
      <c r="D2648" s="1" t="n">
        <v>48</v>
      </c>
      <c r="E2648" s="1" t="n">
        <v>1.07</v>
      </c>
      <c r="F2648" s="1" t="n">
        <v>7.05</v>
      </c>
      <c r="G2648" s="1" t="n">
        <v>2.77</v>
      </c>
      <c r="H2648" s="1" t="n">
        <v>23</v>
      </c>
      <c r="I2648" s="1" t="n">
        <v>0.63</v>
      </c>
    </row>
    <row r="2649" ht="15.75" customHeight="1" s="201">
      <c r="A2649" s="1" t="inlineStr">
        <is>
          <t>Chickpeas (garbanzo beans, bengal gram), mature seeds, canned, drained, rinsed in tap water</t>
        </is>
      </c>
      <c r="C2649" s="1" t="n">
        <v>22.87</v>
      </c>
      <c r="D2649" s="1" t="n">
        <v>41</v>
      </c>
      <c r="E2649" s="1" t="n">
        <v>0.98</v>
      </c>
      <c r="F2649" s="1" t="n">
        <v>7.04</v>
      </c>
      <c r="G2649" s="1" t="n">
        <v>2.47</v>
      </c>
      <c r="H2649" s="1" t="n">
        <v>22</v>
      </c>
      <c r="I2649" s="1" t="n">
        <v>0.59</v>
      </c>
      <c r="J2649" t="n">
        <v>11740312</v>
      </c>
    </row>
    <row r="2650" ht="15.75" customHeight="1" s="201">
      <c r="A2650" s="1" t="inlineStr">
        <is>
          <t>Chickpeas (garbanzo beans, bengal gram), mature seeds, cooked, boiled, with salt</t>
        </is>
      </c>
      <c r="C2650" s="1" t="n">
        <v>27.42</v>
      </c>
      <c r="D2650" s="1" t="n">
        <v>172</v>
      </c>
      <c r="E2650" s="1" t="n">
        <v>2.89</v>
      </c>
      <c r="F2650" s="1" t="n">
        <v>8.859999999999999</v>
      </c>
      <c r="G2650" s="1" t="n">
        <v>2.59</v>
      </c>
      <c r="H2650" s="1" t="n">
        <v>27</v>
      </c>
      <c r="I2650" s="1" t="n">
        <v>1.53</v>
      </c>
      <c r="J2650" t="n">
        <v>75142550</v>
      </c>
    </row>
    <row r="2651" ht="15.75" customHeight="1" s="201">
      <c r="A2651" s="1" t="inlineStr">
        <is>
          <t>Chickpeas (garbanzo beans, bengal gram), mature seeds, cooked, boiled, without salt</t>
        </is>
      </c>
      <c r="C2651" s="1" t="n">
        <v>27.42</v>
      </c>
      <c r="D2651" s="1" t="n">
        <v>172</v>
      </c>
      <c r="E2651" s="1" t="n">
        <v>2.89</v>
      </c>
      <c r="F2651" s="1" t="n">
        <v>8.859999999999999</v>
      </c>
      <c r="G2651" s="1" t="n">
        <v>2.59</v>
      </c>
      <c r="H2651" s="1" t="n">
        <v>27</v>
      </c>
      <c r="I2651" s="1" t="n">
        <v>1.53</v>
      </c>
    </row>
    <row r="2652" ht="15.75" customHeight="1" s="201">
      <c r="A2652" s="1" t="inlineStr">
        <is>
          <t>Chickpeas (garbanzo beans, bengal gram), mature seeds, raw</t>
        </is>
      </c>
      <c r="C2652" s="1" t="n">
        <v>62.95</v>
      </c>
      <c r="D2652" s="1" t="n">
        <v>557</v>
      </c>
      <c r="E2652" s="1" t="n">
        <v>4.31</v>
      </c>
      <c r="F2652" s="1" t="n">
        <v>20.47</v>
      </c>
      <c r="G2652" s="1" t="n">
        <v>6.04</v>
      </c>
      <c r="H2652" s="1" t="n">
        <v>67</v>
      </c>
      <c r="I2652" s="1" t="n">
        <v>2.76</v>
      </c>
    </row>
    <row r="2653" ht="15.75" customHeight="1" s="201">
      <c r="A2653" s="1" t="inlineStr">
        <is>
          <t>Chicory greens, raw</t>
        </is>
      </c>
      <c r="C2653" s="1" t="n">
        <v>4.7</v>
      </c>
      <c r="D2653" s="1" t="n">
        <v>110</v>
      </c>
      <c r="E2653" s="1" t="n">
        <v>0.9</v>
      </c>
      <c r="F2653" s="1" t="n">
        <v>1.7</v>
      </c>
      <c r="G2653" s="1" t="n">
        <v>0.3</v>
      </c>
      <c r="H2653" s="1" t="n">
        <v>5717</v>
      </c>
      <c r="I2653" s="1" t="n">
        <v>0.42</v>
      </c>
      <c r="J2653" t="n">
        <v>72116000</v>
      </c>
    </row>
    <row r="2654" ht="15.75" customHeight="1" s="201">
      <c r="A2654" s="1" t="inlineStr">
        <is>
          <t>Chicory roots, raw</t>
        </is>
      </c>
      <c r="C2654" s="1" t="n">
        <v>17.51</v>
      </c>
      <c r="D2654" s="1" t="n">
        <v>23</v>
      </c>
      <c r="E2654" s="1" t="n">
        <v>0.8</v>
      </c>
      <c r="F2654" s="1" t="n">
        <v>1.4</v>
      </c>
      <c r="G2654" s="1" t="n">
        <v>0.2</v>
      </c>
      <c r="H2654" s="1" t="n">
        <v>6</v>
      </c>
      <c r="I2654" s="1" t="n">
        <v>0.33</v>
      </c>
      <c r="J2654" t="n">
        <v>72116000</v>
      </c>
    </row>
    <row r="2655" ht="15.75" customHeight="1" s="201">
      <c r="A2655" s="1" t="inlineStr">
        <is>
          <t>Chicory, witloof, raw</t>
        </is>
      </c>
      <c r="C2655" s="1" t="n">
        <v>4</v>
      </c>
      <c r="D2655" s="1" t="n">
        <v>37</v>
      </c>
      <c r="E2655" s="1" t="n">
        <v>0.24</v>
      </c>
      <c r="F2655" s="1" t="n">
        <v>0.9</v>
      </c>
      <c r="G2655" s="1" t="n">
        <v>0.1</v>
      </c>
      <c r="H2655" s="1" t="n">
        <v>29</v>
      </c>
      <c r="I2655" s="1" t="n">
        <v>0.16</v>
      </c>
      <c r="J2655" t="n">
        <v>72116000</v>
      </c>
    </row>
    <row r="2656" ht="15.75" customHeight="1" s="201">
      <c r="A2656" s="1" t="inlineStr">
        <is>
          <t>Chilchen (Red Berry Beverage) (Navajo)</t>
        </is>
      </c>
      <c r="C2656" s="1" t="n">
        <v>8.68</v>
      </c>
      <c r="D2656" s="1" t="n">
        <v>8</v>
      </c>
      <c r="E2656" s="1" t="n">
        <v>0.95</v>
      </c>
      <c r="F2656" s="1" t="n">
        <v>0.8100000000000001</v>
      </c>
      <c r="G2656" s="1" t="n">
        <v>0.63</v>
      </c>
      <c r="I2656" s="1" t="n">
        <v>0.19</v>
      </c>
      <c r="J2656" t="n">
        <v>53303500</v>
      </c>
    </row>
    <row r="2657" ht="15.75" customHeight="1" s="201">
      <c r="A2657" s="1" t="inlineStr">
        <is>
          <t>Child formula, ABBOTT NUTRITION, PEDIASURE, ready-to-feed</t>
        </is>
      </c>
      <c r="C2657" s="1" t="n">
        <v>11.15</v>
      </c>
      <c r="D2657" s="1" t="n">
        <v>35</v>
      </c>
      <c r="E2657" s="1" t="n">
        <v>1.34</v>
      </c>
      <c r="F2657" s="1" t="n">
        <v>2.86</v>
      </c>
      <c r="G2657" s="1" t="n">
        <v>4.77</v>
      </c>
      <c r="H2657" s="1" t="n">
        <v>246</v>
      </c>
      <c r="I2657" s="1" t="n">
        <v>1.15</v>
      </c>
      <c r="J2657" t="n">
        <v>11710801</v>
      </c>
    </row>
    <row r="2658" ht="15.75" customHeight="1" s="201">
      <c r="A2658" s="1" t="inlineStr">
        <is>
          <t>Child formula, ABBOTT NUTRITION, PEDIASURE, ready-to-feed, with iron and fiber</t>
        </is>
      </c>
      <c r="C2658" s="1" t="n">
        <v>11.28</v>
      </c>
      <c r="D2658" s="1" t="n">
        <v>28</v>
      </c>
      <c r="E2658" s="1" t="n">
        <v>1.32</v>
      </c>
      <c r="F2658" s="1" t="n">
        <v>2.8</v>
      </c>
      <c r="G2658" s="1" t="n">
        <v>4.7</v>
      </c>
      <c r="H2658" s="1" t="n">
        <v>152</v>
      </c>
      <c r="I2658" s="1" t="n">
        <v>0.5600000000000001</v>
      </c>
      <c r="J2658" t="n">
        <v>75142550</v>
      </c>
    </row>
    <row r="2659" ht="15.75" customHeight="1" s="201">
      <c r="A2659" s="1" t="inlineStr">
        <is>
          <t>Chili con carne with beans, canned entree</t>
        </is>
      </c>
      <c r="C2659" s="1" t="n">
        <v>13.1</v>
      </c>
      <c r="D2659" s="1" t="n">
        <v>21</v>
      </c>
      <c r="E2659" s="1" t="n">
        <v>1.34</v>
      </c>
      <c r="F2659" s="1" t="n">
        <v>5.8</v>
      </c>
      <c r="G2659" s="1" t="n">
        <v>3.47</v>
      </c>
      <c r="H2659" s="1" t="n">
        <v>467</v>
      </c>
      <c r="I2659" s="1" t="n">
        <v>0.89</v>
      </c>
      <c r="J2659" t="n">
        <v>75142550</v>
      </c>
    </row>
    <row r="2660" ht="15.75" customHeight="1" s="201">
      <c r="A2660" s="1" t="inlineStr">
        <is>
          <t>Chili with beans, microwavable bowls</t>
        </is>
      </c>
      <c r="C2660" s="1" t="n">
        <v>10.88</v>
      </c>
      <c r="D2660" s="1" t="n">
        <v>24</v>
      </c>
      <c r="E2660" s="1" t="n">
        <v>1.13</v>
      </c>
      <c r="F2660" s="1" t="n">
        <v>5.85</v>
      </c>
      <c r="G2660" s="1" t="n">
        <v>3.68</v>
      </c>
      <c r="H2660" s="1" t="n">
        <v>452</v>
      </c>
      <c r="I2660" s="1" t="n">
        <v>0.95</v>
      </c>
      <c r="J2660" t="n">
        <v>75142550</v>
      </c>
    </row>
    <row r="2661" ht="15.75" customHeight="1" s="201">
      <c r="A2661" s="1" t="inlineStr">
        <is>
          <t>Chili, no beans, canned entree</t>
        </is>
      </c>
      <c r="C2661" s="1" t="n">
        <v>6.1</v>
      </c>
      <c r="D2661" s="1" t="n">
        <v>8</v>
      </c>
      <c r="E2661" s="1" t="n">
        <v>2.01</v>
      </c>
      <c r="F2661" s="1" t="n">
        <v>7.53</v>
      </c>
      <c r="G2661" s="1" t="n">
        <v>7.1</v>
      </c>
      <c r="H2661" s="1" t="n">
        <v>271</v>
      </c>
      <c r="I2661" s="1" t="n">
        <v>1.12</v>
      </c>
      <c r="J2661" t="n">
        <v>27111407</v>
      </c>
    </row>
    <row r="2662" ht="15.75" customHeight="1" s="201">
      <c r="A2662" s="1" t="inlineStr">
        <is>
          <t>Chilli paste</t>
        </is>
      </c>
      <c r="J2662" t="n">
        <v>74403000</v>
      </c>
    </row>
    <row r="2663" ht="15.75" customHeight="1" s="201">
      <c r="A2663" s="1" t="inlineStr">
        <is>
          <t>Chilli flakes</t>
        </is>
      </c>
      <c r="J2663" t="n">
        <v>74403000</v>
      </c>
    </row>
    <row r="2664" ht="15.75" customHeight="1" s="201">
      <c r="A2664" s="1" t="inlineStr">
        <is>
          <t>Chilli pepper</t>
        </is>
      </c>
      <c r="J2664" t="n">
        <v>74403000</v>
      </c>
    </row>
    <row r="2665" ht="15.75" customHeight="1" s="201">
      <c r="A2665" s="1" t="inlineStr">
        <is>
          <t>Chiton, leathery, gumboots (Alaska Native)</t>
        </is>
      </c>
      <c r="C2665" s="1" t="n">
        <v>0</v>
      </c>
      <c r="E2665" s="1" t="n">
        <v>16</v>
      </c>
      <c r="F2665" s="1" t="n">
        <v>17.1</v>
      </c>
      <c r="G2665" s="1" t="n">
        <v>1.6</v>
      </c>
      <c r="H2665" s="1" t="n">
        <v>1650</v>
      </c>
    </row>
    <row r="2666" ht="15.75" customHeight="1" s="201">
      <c r="A2666" s="1" t="inlineStr">
        <is>
          <t>Chives, freeze-dried</t>
        </is>
      </c>
      <c r="C2666" s="1" t="n">
        <v>64.29000000000001</v>
      </c>
      <c r="D2666" s="1" t="n">
        <v>108</v>
      </c>
      <c r="E2666" s="1" t="n">
        <v>20</v>
      </c>
      <c r="F2666" s="1" t="n">
        <v>21.2</v>
      </c>
      <c r="G2666" s="1" t="n">
        <v>3.5</v>
      </c>
      <c r="H2666" s="1" t="n">
        <v>68300</v>
      </c>
      <c r="I2666" s="1" t="n">
        <v>5.12</v>
      </c>
      <c r="J2666" t="n">
        <v>75109500</v>
      </c>
    </row>
    <row r="2667" ht="15.75" customHeight="1" s="201">
      <c r="A2667" s="1" t="inlineStr">
        <is>
          <t>Chives, raw</t>
        </is>
      </c>
      <c r="C2667" s="1" t="n">
        <v>4.35</v>
      </c>
      <c r="D2667" s="1" t="n">
        <v>105</v>
      </c>
      <c r="E2667" s="1" t="n">
        <v>1.6</v>
      </c>
      <c r="F2667" s="1" t="n">
        <v>3.27</v>
      </c>
      <c r="G2667" s="1" t="n">
        <v>0.73</v>
      </c>
      <c r="H2667" s="1" t="n">
        <v>4353</v>
      </c>
      <c r="I2667" s="1" t="n">
        <v>0.5600000000000001</v>
      </c>
      <c r="J2667" t="n">
        <v>75109500</v>
      </c>
    </row>
    <row r="2668" ht="15.75" customHeight="1" s="201">
      <c r="A2668" s="1" t="inlineStr">
        <is>
          <t>Chocolate, dark, 45- 59% cacao solids</t>
        </is>
      </c>
      <c r="C2668" s="1" t="n">
        <v>61.17</v>
      </c>
      <c r="E2668" s="1" t="n">
        <v>8.02</v>
      </c>
      <c r="F2668" s="1" t="n">
        <v>4.88</v>
      </c>
      <c r="G2668" s="1" t="n">
        <v>31.28</v>
      </c>
      <c r="H2668" s="1" t="n">
        <v>50</v>
      </c>
      <c r="I2668" s="1" t="n">
        <v>2.01</v>
      </c>
      <c r="J2668" t="n">
        <v>53108200</v>
      </c>
    </row>
    <row r="2669" ht="15.75" customHeight="1" s="201">
      <c r="A2669" s="1" t="inlineStr">
        <is>
          <t>Chocolate, dark, 60-69% cacao solids</t>
        </is>
      </c>
      <c r="C2669" s="1" t="n">
        <v>52.42</v>
      </c>
      <c r="E2669" s="1" t="n">
        <v>6.32</v>
      </c>
      <c r="F2669" s="1" t="n">
        <v>6.12</v>
      </c>
      <c r="G2669" s="1" t="n">
        <v>38.31</v>
      </c>
      <c r="H2669" s="1" t="n">
        <v>50</v>
      </c>
      <c r="I2669" s="1" t="n">
        <v>2.65</v>
      </c>
      <c r="J2669" t="n">
        <v>53108200</v>
      </c>
    </row>
    <row r="2670" ht="15.75" customHeight="1" s="201">
      <c r="A2670" s="1" t="inlineStr">
        <is>
          <t>Chocolate, dark, 70-85% cacao solids</t>
        </is>
      </c>
      <c r="C2670" s="1" t="n">
        <v>45.9</v>
      </c>
      <c r="E2670" s="1" t="n">
        <v>11.9</v>
      </c>
      <c r="F2670" s="1" t="n">
        <v>7.79</v>
      </c>
      <c r="G2670" s="1" t="n">
        <v>42.63</v>
      </c>
      <c r="H2670" s="1" t="n">
        <v>39</v>
      </c>
      <c r="I2670" s="1" t="n">
        <v>3.31</v>
      </c>
      <c r="J2670" t="n">
        <v>53108200</v>
      </c>
    </row>
    <row r="2671" ht="15.75" customHeight="1" s="201">
      <c r="A2671" s="1" t="inlineStr">
        <is>
          <t>Chocolate-flavored hazelnut spread</t>
        </is>
      </c>
      <c r="C2671" s="1" t="n">
        <v>62.36</v>
      </c>
      <c r="D2671" s="1" t="n">
        <v>14</v>
      </c>
      <c r="E2671" s="1" t="n">
        <v>4.38</v>
      </c>
      <c r="F2671" s="1" t="n">
        <v>5.41</v>
      </c>
      <c r="G2671" s="1" t="n">
        <v>29.73</v>
      </c>
      <c r="H2671" s="1" t="n">
        <v>3</v>
      </c>
      <c r="I2671" s="1" t="n">
        <v>1.06</v>
      </c>
      <c r="J2671" t="n">
        <v>53108200</v>
      </c>
    </row>
    <row r="2672" ht="15.75" customHeight="1" s="201">
      <c r="A2672" s="1" t="inlineStr">
        <is>
          <t>Chokecherries, raw, pitted (Northern Plains Indians)</t>
        </is>
      </c>
      <c r="C2672" s="1" t="n">
        <v>33.62</v>
      </c>
      <c r="D2672" s="1" t="n">
        <v>2</v>
      </c>
      <c r="E2672" s="1" t="n">
        <v>0.6899999999999999</v>
      </c>
      <c r="F2672" s="1" t="n">
        <v>3.04</v>
      </c>
      <c r="G2672" s="1" t="n">
        <v>1.69</v>
      </c>
      <c r="H2672" s="1" t="n">
        <v>168</v>
      </c>
      <c r="I2672" s="1" t="n">
        <v>0.33</v>
      </c>
    </row>
    <row r="2673" ht="15.75" customHeight="1" s="201">
      <c r="A2673" s="1" t="inlineStr">
        <is>
          <t>Chokecherries, raw, pitted (Shoshone Bannock)</t>
        </is>
      </c>
      <c r="C2673" s="1" t="n">
        <v>33.88</v>
      </c>
      <c r="D2673" s="1" t="n">
        <v>10</v>
      </c>
      <c r="E2673" s="1" t="n">
        <v>0.4</v>
      </c>
      <c r="F2673" s="1" t="n">
        <v>2.89</v>
      </c>
      <c r="G2673" s="1" t="n">
        <v>0.98</v>
      </c>
      <c r="H2673" s="1" t="n">
        <v>43</v>
      </c>
      <c r="I2673" s="1" t="n">
        <v>0.19</v>
      </c>
    </row>
    <row r="2674" ht="15.75" customHeight="1" s="201">
      <c r="A2674" s="1" t="inlineStr">
        <is>
          <t>Chrysanthemum leaves, raw</t>
        </is>
      </c>
      <c r="C2674" s="1" t="n">
        <v>3.01</v>
      </c>
      <c r="D2674" s="1" t="n">
        <v>177</v>
      </c>
      <c r="E2674" s="1" t="n">
        <v>2.3</v>
      </c>
      <c r="F2674" s="1" t="n">
        <v>3.36</v>
      </c>
      <c r="G2674" s="1" t="n">
        <v>0.5600000000000001</v>
      </c>
      <c r="H2674" s="1" t="n">
        <v>1870</v>
      </c>
      <c r="I2674" s="1" t="n">
        <v>0.71</v>
      </c>
      <c r="J2674" t="n">
        <v>27330170</v>
      </c>
    </row>
    <row r="2675" ht="15.75" customHeight="1" s="201">
      <c r="A2675" s="1" t="inlineStr">
        <is>
          <t>Chrysanthemum, garland, cooked, boiled, drained, with salt</t>
        </is>
      </c>
      <c r="C2675" s="1" t="n">
        <v>4.31</v>
      </c>
      <c r="D2675" s="1" t="n">
        <v>50</v>
      </c>
      <c r="E2675" s="1" t="n">
        <v>3.74</v>
      </c>
      <c r="F2675" s="1" t="n">
        <v>1.64</v>
      </c>
      <c r="G2675" s="1" t="n">
        <v>0.09</v>
      </c>
      <c r="H2675" s="1" t="n">
        <v>2572</v>
      </c>
      <c r="I2675" s="1" t="n">
        <v>0.2</v>
      </c>
      <c r="J2675" t="n">
        <v>75142550</v>
      </c>
    </row>
    <row r="2676" ht="15.75" customHeight="1" s="201">
      <c r="A2676" s="1" t="inlineStr">
        <is>
          <t>Chrysanthemum, garland, cooked, boiled, drained, without salt</t>
        </is>
      </c>
      <c r="C2676" s="1" t="n">
        <v>4.31</v>
      </c>
      <c r="D2676" s="1" t="n">
        <v>50</v>
      </c>
      <c r="E2676" s="1" t="n">
        <v>3.74</v>
      </c>
      <c r="F2676" s="1" t="n">
        <v>1.64</v>
      </c>
      <c r="G2676" s="1" t="n">
        <v>0.09</v>
      </c>
      <c r="H2676" s="1" t="n">
        <v>2572</v>
      </c>
      <c r="I2676" s="1" t="n">
        <v>0.2</v>
      </c>
      <c r="J2676" t="n">
        <v>31103010</v>
      </c>
    </row>
    <row r="2677" ht="15.75" customHeight="1" s="201">
      <c r="A2677" s="1" t="inlineStr">
        <is>
          <t>Chrysanthemum, garland, raw</t>
        </is>
      </c>
      <c r="C2677" s="1" t="n">
        <v>3.02</v>
      </c>
      <c r="D2677" s="1" t="n">
        <v>177</v>
      </c>
      <c r="E2677" s="1" t="n">
        <v>2.29</v>
      </c>
      <c r="F2677" s="1" t="n">
        <v>3.36</v>
      </c>
      <c r="G2677" s="1" t="n">
        <v>0.5600000000000001</v>
      </c>
      <c r="H2677" s="1" t="n">
        <v>2320</v>
      </c>
      <c r="I2677" s="1" t="n">
        <v>0.71</v>
      </c>
    </row>
    <row r="2678" ht="15.75" customHeight="1" s="201">
      <c r="A2678" s="1" t="inlineStr">
        <is>
          <t>Cinnamon buns, frosted (includes honey buns)</t>
        </is>
      </c>
      <c r="C2678" s="1" t="n">
        <v>48.6</v>
      </c>
      <c r="D2678" s="1" t="n">
        <v>72</v>
      </c>
      <c r="E2678" s="1" t="n">
        <v>1.37</v>
      </c>
      <c r="F2678" s="1" t="n">
        <v>4.45</v>
      </c>
      <c r="G2678" s="1" t="n">
        <v>26.61</v>
      </c>
      <c r="H2678" s="1" t="n">
        <v>2</v>
      </c>
      <c r="I2678" s="1" t="n">
        <v>0.53</v>
      </c>
      <c r="J2678" t="n">
        <v>57237100</v>
      </c>
    </row>
    <row r="2679" ht="15.75" customHeight="1" s="201">
      <c r="A2679" s="1" t="inlineStr">
        <is>
          <t>Clementines, raw</t>
        </is>
      </c>
      <c r="C2679" s="1" t="n">
        <v>12.02</v>
      </c>
      <c r="D2679" s="1" t="n">
        <v>24</v>
      </c>
      <c r="E2679" s="1" t="n">
        <v>0.14</v>
      </c>
      <c r="F2679" s="1" t="n">
        <v>0.85</v>
      </c>
      <c r="G2679" s="1" t="n">
        <v>0.15</v>
      </c>
      <c r="I2679" s="1" t="n">
        <v>0.06</v>
      </c>
      <c r="J2679" t="n">
        <v>63311000</v>
      </c>
    </row>
    <row r="2680" ht="15.75" customHeight="1" s="201">
      <c r="A2680" s="1" t="inlineStr">
        <is>
          <t>Clif Z bar</t>
        </is>
      </c>
      <c r="C2680" s="1" t="n">
        <v>74.72</v>
      </c>
      <c r="D2680" s="1" t="n">
        <v>20</v>
      </c>
      <c r="E2680" s="1" t="n">
        <v>2.7</v>
      </c>
      <c r="F2680" s="1" t="n">
        <v>5.55</v>
      </c>
      <c r="G2680" s="1" t="n">
        <v>9.720000000000001</v>
      </c>
      <c r="H2680" s="1" t="n">
        <v>7</v>
      </c>
      <c r="I2680" s="1" t="n">
        <v>1.15</v>
      </c>
      <c r="J2680" t="n">
        <v>53720200</v>
      </c>
    </row>
    <row r="2681" ht="15.75" customHeight="1" s="201">
      <c r="A2681" s="1" t="inlineStr">
        <is>
          <t>Cloudberries, raw (Alaska Native)</t>
        </is>
      </c>
      <c r="C2681" s="1" t="n">
        <v>8.6</v>
      </c>
      <c r="E2681" s="1" t="n">
        <v>0.7</v>
      </c>
      <c r="F2681" s="1" t="n">
        <v>2.4</v>
      </c>
      <c r="G2681" s="1" t="n">
        <v>0.8</v>
      </c>
      <c r="H2681" s="1" t="n">
        <v>210</v>
      </c>
    </row>
    <row r="2682" ht="15.75" customHeight="1" s="201">
      <c r="A2682" s="1" t="inlineStr">
        <is>
          <t>Cockles, raw (Alaska Native)</t>
        </is>
      </c>
      <c r="C2682" s="1" t="n">
        <v>4.7</v>
      </c>
      <c r="E2682" s="1" t="n">
        <v>16.2</v>
      </c>
      <c r="F2682" s="1" t="n">
        <v>13.5</v>
      </c>
      <c r="G2682" s="1" t="n">
        <v>0.7</v>
      </c>
    </row>
    <row r="2683" ht="15.75" customHeight="1" s="201">
      <c r="A2683" s="1" t="inlineStr">
        <is>
          <t>Cocoa mix, NESTLE, Rich Chocolate Hot Cocoa Mix</t>
        </is>
      </c>
      <c r="C2683" s="1" t="n">
        <v>75</v>
      </c>
      <c r="E2683" s="1" t="n">
        <v>1.8</v>
      </c>
      <c r="F2683" s="1" t="n">
        <v>3</v>
      </c>
      <c r="G2683" s="1" t="n">
        <v>15</v>
      </c>
      <c r="H2683" s="1" t="n">
        <v>11</v>
      </c>
      <c r="J2683" t="n">
        <v>53108200</v>
      </c>
    </row>
    <row r="2684" ht="15.75" customHeight="1" s="201">
      <c r="A2684" s="1" t="inlineStr">
        <is>
          <t>Cocoa, dry powder, hi-fat or breakfast, processed with alkali</t>
        </is>
      </c>
      <c r="C2684" s="1" t="n">
        <v>49.71</v>
      </c>
      <c r="D2684" s="1" t="n">
        <v>38</v>
      </c>
      <c r="E2684" s="1" t="n">
        <v>14.5</v>
      </c>
      <c r="F2684" s="1" t="n">
        <v>16.8</v>
      </c>
      <c r="G2684" s="1" t="n">
        <v>23.71</v>
      </c>
      <c r="H2684" s="1" t="n">
        <v>0</v>
      </c>
      <c r="I2684" s="1" t="n">
        <v>6.7</v>
      </c>
      <c r="J2684" t="n">
        <v>75142550</v>
      </c>
    </row>
    <row r="2685" ht="15.75" customHeight="1" s="201">
      <c r="A2685" s="1" t="inlineStr">
        <is>
          <t>Cocoa, dry powder, unsweetened</t>
        </is>
      </c>
      <c r="C2685" s="1" t="n">
        <v>57.9</v>
      </c>
      <c r="D2685" s="1" t="n">
        <v>32</v>
      </c>
      <c r="E2685" s="1" t="n">
        <v>13.86</v>
      </c>
      <c r="F2685" s="1" t="n">
        <v>19.6</v>
      </c>
      <c r="G2685" s="1" t="n">
        <v>13.7</v>
      </c>
      <c r="H2685" s="1" t="n">
        <v>0</v>
      </c>
      <c r="I2685" s="1" t="n">
        <v>6.81</v>
      </c>
      <c r="J2685" t="n">
        <v>11514100</v>
      </c>
    </row>
    <row r="2686" ht="15.75" customHeight="1" s="201">
      <c r="A2686" s="1" t="inlineStr">
        <is>
          <t>Cocoa, dry powder, unsweetened, HERSHEY'S European Style Cocoa</t>
        </is>
      </c>
      <c r="C2686" s="1" t="n">
        <v>60</v>
      </c>
      <c r="E2686" s="1" t="n">
        <v>36</v>
      </c>
      <c r="F2686" s="1" t="n">
        <v>20</v>
      </c>
      <c r="G2686" s="1" t="n">
        <v>10</v>
      </c>
      <c r="H2686" s="1" t="n">
        <v>0</v>
      </c>
      <c r="J2686" t="n">
        <v>11514100</v>
      </c>
    </row>
    <row r="2687" ht="15.75" customHeight="1" s="201">
      <c r="A2687" s="1" t="inlineStr">
        <is>
          <t>Cocoa, dry powder, unsweetened, processed with alkali</t>
        </is>
      </c>
      <c r="C2687" s="1" t="n">
        <v>58.3</v>
      </c>
      <c r="D2687" s="1" t="n">
        <v>32</v>
      </c>
      <c r="E2687" s="1" t="n">
        <v>15.52</v>
      </c>
      <c r="F2687" s="1" t="n">
        <v>18.1</v>
      </c>
      <c r="G2687" s="1" t="n">
        <v>13.1</v>
      </c>
      <c r="H2687" s="1" t="n">
        <v>0</v>
      </c>
      <c r="I2687" s="1" t="n">
        <v>6.37</v>
      </c>
      <c r="J2687" t="n">
        <v>75142550</v>
      </c>
    </row>
    <row r="2688" ht="15.75" customHeight="1" s="201">
      <c r="A2688" s="1" t="inlineStr">
        <is>
          <t>Collards, cooked, boiled, drained, with salt</t>
        </is>
      </c>
      <c r="C2688" s="1" t="n">
        <v>5.65</v>
      </c>
      <c r="D2688" s="1" t="n">
        <v>16</v>
      </c>
      <c r="E2688" s="1" t="n">
        <v>1.13</v>
      </c>
      <c r="F2688" s="1" t="n">
        <v>2.71</v>
      </c>
      <c r="G2688" s="1" t="n">
        <v>0.72</v>
      </c>
      <c r="H2688" s="1" t="n">
        <v>7600</v>
      </c>
      <c r="I2688" s="1" t="n">
        <v>0.23</v>
      </c>
      <c r="J2688" t="n">
        <v>75142550</v>
      </c>
    </row>
    <row r="2689" ht="15.75" customHeight="1" s="201">
      <c r="A2689" s="1" t="inlineStr">
        <is>
          <t>Collards, cooked, boiled, drained, without salt</t>
        </is>
      </c>
      <c r="C2689" s="1" t="n">
        <v>5.65</v>
      </c>
      <c r="D2689" s="1" t="n">
        <v>16</v>
      </c>
      <c r="E2689" s="1" t="n">
        <v>1.13</v>
      </c>
      <c r="F2689" s="1" t="n">
        <v>2.71</v>
      </c>
      <c r="G2689" s="1" t="n">
        <v>0.72</v>
      </c>
      <c r="H2689" s="1" t="n">
        <v>7600</v>
      </c>
      <c r="I2689" s="1" t="n">
        <v>0.23</v>
      </c>
      <c r="J2689" t="n">
        <v>31103010</v>
      </c>
    </row>
    <row r="2690" ht="15.75" customHeight="1" s="201">
      <c r="A2690" s="1" t="inlineStr">
        <is>
          <t>Collards, frozen, chopped, cooked, boiled, drained, with salt</t>
        </is>
      </c>
      <c r="C2690" s="1" t="n">
        <v>7.1</v>
      </c>
      <c r="D2690" s="1" t="n">
        <v>76</v>
      </c>
      <c r="E2690" s="1" t="n">
        <v>1.12</v>
      </c>
      <c r="F2690" s="1" t="n">
        <v>2.97</v>
      </c>
      <c r="G2690" s="1" t="n">
        <v>0.41</v>
      </c>
      <c r="H2690" s="1" t="n">
        <v>11493</v>
      </c>
      <c r="I2690" s="1" t="n">
        <v>0.27</v>
      </c>
      <c r="J2690" t="n">
        <v>75142550</v>
      </c>
    </row>
    <row r="2691" ht="15.75" customHeight="1" s="201">
      <c r="A2691" s="1" t="inlineStr">
        <is>
          <t>Collards, frozen, chopped, cooked, boiled, drained, without salt</t>
        </is>
      </c>
      <c r="C2691" s="1" t="n">
        <v>7.1</v>
      </c>
      <c r="D2691" s="1" t="n">
        <v>76</v>
      </c>
      <c r="E2691" s="1" t="n">
        <v>1.12</v>
      </c>
      <c r="F2691" s="1" t="n">
        <v>2.97</v>
      </c>
      <c r="G2691" s="1" t="n">
        <v>0.41</v>
      </c>
      <c r="H2691" s="1" t="n">
        <v>11493</v>
      </c>
      <c r="I2691" s="1" t="n">
        <v>0.27</v>
      </c>
      <c r="J2691" t="n">
        <v>28110220</v>
      </c>
    </row>
    <row r="2692" ht="15.75" customHeight="1" s="201">
      <c r="A2692" s="1" t="inlineStr">
        <is>
          <t>Collards, frozen, chopped, unprepared</t>
        </is>
      </c>
      <c r="C2692" s="1" t="n">
        <v>6.46</v>
      </c>
      <c r="D2692" s="1" t="n">
        <v>73</v>
      </c>
      <c r="E2692" s="1" t="n">
        <v>1.07</v>
      </c>
      <c r="F2692" s="1" t="n">
        <v>2.69</v>
      </c>
      <c r="G2692" s="1" t="n">
        <v>0.37</v>
      </c>
      <c r="H2692" s="1" t="n">
        <v>9183</v>
      </c>
      <c r="I2692" s="1" t="n">
        <v>0.26</v>
      </c>
      <c r="J2692" t="n">
        <v>28110220</v>
      </c>
    </row>
    <row r="2693" ht="15.75" customHeight="1" s="201">
      <c r="A2693" s="1" t="inlineStr">
        <is>
          <t>Collards, raw</t>
        </is>
      </c>
      <c r="C2693" s="1" t="n">
        <v>5.42</v>
      </c>
      <c r="D2693" s="1" t="n">
        <v>129</v>
      </c>
      <c r="E2693" s="1" t="n">
        <v>0.47</v>
      </c>
      <c r="F2693" s="1" t="n">
        <v>3.02</v>
      </c>
      <c r="G2693" s="1" t="n">
        <v>0.61</v>
      </c>
      <c r="H2693" s="1" t="n">
        <v>5019</v>
      </c>
      <c r="I2693" s="1" t="n">
        <v>0.21</v>
      </c>
      <c r="J2693" t="n">
        <v>72107100</v>
      </c>
    </row>
    <row r="2694" ht="15.75" customHeight="1" s="201">
      <c r="A2694" s="1" t="inlineStr">
        <is>
          <t>Continental Mills, Krusteaz Almond Poppyseed Muffin Mix, Artificially Flavored, dry</t>
        </is>
      </c>
      <c r="C2694" s="1" t="n">
        <v>75.59999999999999</v>
      </c>
      <c r="E2694" s="1" t="n">
        <v>2.47</v>
      </c>
      <c r="F2694" s="1" t="n">
        <v>5.6</v>
      </c>
      <c r="G2694" s="1" t="n">
        <v>10.3</v>
      </c>
    </row>
    <row r="2695" ht="15.75" customHeight="1" s="201">
      <c r="A2695" s="1" t="inlineStr">
        <is>
          <t>Cookie, butter or sugar, with chocolate icing or filling</t>
        </is>
      </c>
      <c r="C2695" s="1" t="n">
        <v>68.83</v>
      </c>
      <c r="D2695" s="1" t="n">
        <v>71</v>
      </c>
      <c r="E2695" s="1" t="n">
        <v>2.44</v>
      </c>
      <c r="F2695" s="1" t="n">
        <v>4.1</v>
      </c>
      <c r="G2695" s="1" t="n">
        <v>23.5</v>
      </c>
      <c r="H2695" s="1" t="n">
        <v>1</v>
      </c>
      <c r="I2695" s="1" t="n">
        <v>0.2</v>
      </c>
      <c r="J2695" t="n">
        <v>53108200</v>
      </c>
    </row>
    <row r="2696" ht="15.75" customHeight="1" s="201">
      <c r="A2696" s="1" t="inlineStr">
        <is>
          <t>Cookie, chocolate, with icing or coating</t>
        </is>
      </c>
      <c r="C2696" s="1" t="n">
        <v>67.87</v>
      </c>
      <c r="D2696" s="1" t="n">
        <v>58</v>
      </c>
      <c r="E2696" s="1" t="n">
        <v>3</v>
      </c>
      <c r="F2696" s="1" t="n">
        <v>4.5</v>
      </c>
      <c r="G2696" s="1" t="n">
        <v>24.2</v>
      </c>
      <c r="H2696" s="1" t="n">
        <v>1</v>
      </c>
      <c r="I2696" s="1" t="n">
        <v>0.3</v>
      </c>
      <c r="J2696" t="n">
        <v>53108200</v>
      </c>
    </row>
    <row r="2697" ht="15.75" customHeight="1" s="201">
      <c r="A2697" s="1" t="inlineStr">
        <is>
          <t>Cookie, vanilla with caramel, coconut, and chocolate coating</t>
        </is>
      </c>
      <c r="C2697" s="1" t="n">
        <v>64.09999999999999</v>
      </c>
      <c r="D2697" s="1" t="n">
        <v>28</v>
      </c>
      <c r="E2697" s="1" t="n">
        <v>3.2</v>
      </c>
      <c r="F2697" s="1" t="n">
        <v>3.5</v>
      </c>
      <c r="G2697" s="1" t="n">
        <v>25.8</v>
      </c>
      <c r="H2697" s="1" t="n">
        <v>25</v>
      </c>
      <c r="I2697" s="1" t="n">
        <v>0.5</v>
      </c>
      <c r="J2697" t="n">
        <v>53108200</v>
      </c>
    </row>
    <row r="2698" ht="15.75" customHeight="1" s="201">
      <c r="A2698" s="1" t="inlineStr">
        <is>
          <t>Cookie, with peanut butter filling, chocolate-coated</t>
        </is>
      </c>
      <c r="C2698" s="1" t="n">
        <v>52.9</v>
      </c>
      <c r="D2698" s="1" t="n">
        <v>63</v>
      </c>
      <c r="E2698" s="1" t="n">
        <v>2.1</v>
      </c>
      <c r="F2698" s="1" t="n">
        <v>8.1</v>
      </c>
      <c r="G2698" s="1" t="n">
        <v>35.3</v>
      </c>
      <c r="H2698" s="1" t="n">
        <v>0</v>
      </c>
      <c r="I2698" s="1" t="n">
        <v>0.2</v>
      </c>
      <c r="J2698" t="n">
        <v>53108200</v>
      </c>
    </row>
    <row r="2699" ht="15.75" customHeight="1" s="201">
      <c r="A2699" s="1" t="inlineStr">
        <is>
          <t>Cookies, animal crackers (includes arrowroot, tea biscuits)</t>
        </is>
      </c>
      <c r="C2699" s="1" t="n">
        <v>74.09999999999999</v>
      </c>
      <c r="D2699" s="1" t="n">
        <v>103</v>
      </c>
      <c r="E2699" s="1" t="n">
        <v>2.75</v>
      </c>
      <c r="F2699" s="1" t="n">
        <v>6.9</v>
      </c>
      <c r="G2699" s="1" t="n">
        <v>13.8</v>
      </c>
      <c r="H2699" s="1" t="n">
        <v>0</v>
      </c>
      <c r="I2699" s="1" t="n">
        <v>0.64</v>
      </c>
      <c r="J2699" t="n">
        <v>53240000</v>
      </c>
    </row>
    <row r="2700" ht="15.75" customHeight="1" s="201">
      <c r="A2700" s="1" t="inlineStr">
        <is>
          <t>Cookies, animal, with frosting or icing</t>
        </is>
      </c>
      <c r="C2700" s="1" t="n">
        <v>70.09</v>
      </c>
      <c r="D2700" s="1" t="n">
        <v>59</v>
      </c>
      <c r="E2700" s="1" t="n">
        <v>1.57</v>
      </c>
      <c r="F2700" s="1" t="n">
        <v>3</v>
      </c>
      <c r="G2700" s="1" t="n">
        <v>24.1</v>
      </c>
      <c r="H2700" s="1" t="n">
        <v>0</v>
      </c>
      <c r="I2700" s="1" t="n">
        <v>0.24</v>
      </c>
      <c r="J2700" t="n">
        <v>75142550</v>
      </c>
    </row>
    <row r="2701" ht="15.75" customHeight="1" s="201">
      <c r="A2701" s="1" t="inlineStr">
        <is>
          <t>Cookies, brownies, commercially prepared</t>
        </is>
      </c>
      <c r="C2701" s="1" t="n">
        <v>63.9</v>
      </c>
      <c r="D2701" s="1" t="n">
        <v>47</v>
      </c>
      <c r="E2701" s="1" t="n">
        <v>2.25</v>
      </c>
      <c r="F2701" s="1" t="n">
        <v>4.8</v>
      </c>
      <c r="G2701" s="1" t="n">
        <v>16.3</v>
      </c>
      <c r="H2701" s="1" t="n">
        <v>69</v>
      </c>
      <c r="I2701" s="1" t="n">
        <v>0.72</v>
      </c>
      <c r="J2701" t="n">
        <v>74402150</v>
      </c>
    </row>
    <row r="2702" ht="15.75" customHeight="1" s="201">
      <c r="A2702" s="1" t="inlineStr">
        <is>
          <t>Cookies, brownies, commercially prepared, reduced fat, with added fiber</t>
        </is>
      </c>
      <c r="C2702" s="1" t="n">
        <v>61.58</v>
      </c>
      <c r="D2702" s="1" t="n">
        <v>42</v>
      </c>
      <c r="E2702" s="1" t="n">
        <v>1.99</v>
      </c>
      <c r="F2702" s="1" t="n">
        <v>2.77</v>
      </c>
      <c r="G2702" s="1" t="n">
        <v>9.68</v>
      </c>
      <c r="H2702" s="1" t="n">
        <v>0</v>
      </c>
      <c r="I2702" s="1" t="n">
        <v>0.46</v>
      </c>
      <c r="J2702" t="n">
        <v>75142550</v>
      </c>
    </row>
    <row r="2703" ht="15.75" customHeight="1" s="201">
      <c r="A2703" s="1" t="inlineStr">
        <is>
          <t>Cookies, brownies, dry mix, sugar free</t>
        </is>
      </c>
      <c r="C2703" s="1" t="n">
        <v>80.40000000000001</v>
      </c>
      <c r="D2703" s="1" t="n">
        <v>48</v>
      </c>
      <c r="E2703" s="1" t="n">
        <v>1.52</v>
      </c>
      <c r="F2703" s="1" t="n">
        <v>2.9</v>
      </c>
      <c r="G2703" s="1" t="n">
        <v>12.5</v>
      </c>
      <c r="H2703" s="1" t="n">
        <v>0</v>
      </c>
      <c r="I2703" s="1" t="n">
        <v>0.14</v>
      </c>
      <c r="J2703" t="n">
        <v>27446260</v>
      </c>
    </row>
    <row r="2704" ht="15.75" customHeight="1" s="201">
      <c r="A2704" s="1" t="inlineStr">
        <is>
          <t>Cookies, butter, commercially prepared, unenriched</t>
        </is>
      </c>
      <c r="C2704" s="1" t="n">
        <v>68.90000000000001</v>
      </c>
      <c r="D2704" s="1" t="n">
        <v>6</v>
      </c>
      <c r="E2704" s="1" t="n">
        <v>0.29</v>
      </c>
      <c r="F2704" s="1" t="n">
        <v>6.1</v>
      </c>
      <c r="G2704" s="1" t="n">
        <v>18.8</v>
      </c>
      <c r="H2704" s="1" t="n">
        <v>673</v>
      </c>
      <c r="I2704" s="1" t="n">
        <v>0.38</v>
      </c>
      <c r="J2704" t="n">
        <v>54328100</v>
      </c>
    </row>
    <row r="2705" ht="15.75" customHeight="1" s="201">
      <c r="A2705" s="1" t="inlineStr">
        <is>
          <t>Cookies, chocolate chip sandwich, with creme filling</t>
        </is>
      </c>
      <c r="C2705" s="1" t="n">
        <v>63.52</v>
      </c>
      <c r="D2705" s="1" t="n">
        <v>56</v>
      </c>
      <c r="E2705" s="1" t="n">
        <v>1.06</v>
      </c>
      <c r="F2705" s="1" t="n">
        <v>2.94</v>
      </c>
      <c r="G2705" s="1" t="n">
        <v>17.65</v>
      </c>
      <c r="H2705" s="1" t="n">
        <v>1</v>
      </c>
      <c r="I2705" s="1" t="n">
        <v>0.6899999999999999</v>
      </c>
      <c r="J2705" t="n">
        <v>53108200</v>
      </c>
    </row>
    <row r="2706" ht="15.75" customHeight="1" s="201">
      <c r="A2706" s="1" t="inlineStr">
        <is>
          <t>Cookies, chocolate chip, commercially prepared, regular, higher fat, enriched</t>
        </is>
      </c>
      <c r="C2706" s="1" t="n">
        <v>65.36</v>
      </c>
      <c r="D2706" s="1" t="n">
        <v>72</v>
      </c>
      <c r="E2706" s="1" t="n">
        <v>5.58</v>
      </c>
      <c r="F2706" s="1" t="n">
        <v>5.1</v>
      </c>
      <c r="G2706" s="1" t="n">
        <v>24.72</v>
      </c>
      <c r="H2706" s="1" t="n">
        <v>1</v>
      </c>
      <c r="I2706" s="1" t="n">
        <v>0.72</v>
      </c>
      <c r="J2706" t="n">
        <v>53108200</v>
      </c>
    </row>
    <row r="2707" ht="15.75" customHeight="1" s="201">
      <c r="A2707" s="1" t="inlineStr">
        <is>
          <t>Cookies, chocolate chip, commercially prepared, regular, higher fat, unenriched</t>
        </is>
      </c>
      <c r="C2707" s="1" t="n">
        <v>66.8</v>
      </c>
      <c r="D2707" s="1" t="n">
        <v>9</v>
      </c>
      <c r="E2707" s="1" t="n">
        <v>1</v>
      </c>
      <c r="F2707" s="1" t="n">
        <v>5.4</v>
      </c>
      <c r="G2707" s="1" t="n">
        <v>22.6</v>
      </c>
      <c r="H2707" s="1" t="n">
        <v>4</v>
      </c>
      <c r="I2707" s="1" t="n">
        <v>0.64</v>
      </c>
      <c r="J2707" t="n">
        <v>53108200</v>
      </c>
    </row>
    <row r="2708" ht="15.75" customHeight="1" s="201">
      <c r="A2708" s="1" t="inlineStr">
        <is>
          <t>Cookies, chocolate chip, commercially prepared, regular, lower fat</t>
        </is>
      </c>
      <c r="C2708" s="1" t="n">
        <v>67.48999999999999</v>
      </c>
      <c r="D2708" s="1" t="n">
        <v>62</v>
      </c>
      <c r="E2708" s="1" t="n">
        <v>3.22</v>
      </c>
      <c r="F2708" s="1" t="n">
        <v>5.97</v>
      </c>
      <c r="G2708" s="1" t="n">
        <v>17.91</v>
      </c>
      <c r="H2708" s="1" t="n">
        <v>1</v>
      </c>
      <c r="I2708" s="1" t="n">
        <v>0.59</v>
      </c>
      <c r="J2708" t="n">
        <v>53108200</v>
      </c>
    </row>
    <row r="2709" ht="15.75" customHeight="1" s="201">
      <c r="A2709" s="1" t="inlineStr">
        <is>
          <t>Cookies, chocolate chip, commercially prepared, soft-type</t>
        </is>
      </c>
      <c r="C2709" s="1" t="n">
        <v>65.75</v>
      </c>
      <c r="D2709" s="1" t="n">
        <v>27</v>
      </c>
      <c r="E2709" s="1" t="n">
        <v>4.07</v>
      </c>
      <c r="F2709" s="1" t="n">
        <v>3.63</v>
      </c>
      <c r="G2709" s="1" t="n">
        <v>19.77</v>
      </c>
      <c r="H2709" s="1" t="n">
        <v>0</v>
      </c>
      <c r="I2709" s="1" t="n">
        <v>0.54</v>
      </c>
      <c r="J2709" t="n">
        <v>53108200</v>
      </c>
    </row>
    <row r="2710" ht="15.75" customHeight="1" s="201">
      <c r="A2710" s="1" t="inlineStr">
        <is>
          <t>Cookies, chocolate chip, commercially prepared, special dietary</t>
        </is>
      </c>
      <c r="C2710" s="1" t="n">
        <v>73.40000000000001</v>
      </c>
      <c r="D2710" s="1" t="n">
        <v>54</v>
      </c>
      <c r="E2710" s="1" t="n">
        <v>3.5</v>
      </c>
      <c r="F2710" s="1" t="n">
        <v>3.9</v>
      </c>
      <c r="G2710" s="1" t="n">
        <v>16.8</v>
      </c>
      <c r="H2710" s="1" t="n">
        <v>3</v>
      </c>
      <c r="I2710" s="1" t="n">
        <v>0.47</v>
      </c>
      <c r="J2710" t="n">
        <v>53108200</v>
      </c>
    </row>
    <row r="2711" ht="15.75" customHeight="1" s="201">
      <c r="A2711" s="1" t="inlineStr">
        <is>
          <t>Cookies, chocolate chip, prepared from recipe, made with butter</t>
        </is>
      </c>
      <c r="C2711" s="1" t="n">
        <v>58.2</v>
      </c>
      <c r="D2711" s="1" t="n">
        <v>33</v>
      </c>
      <c r="E2711" s="1" t="n">
        <v>2.48</v>
      </c>
      <c r="F2711" s="1" t="n">
        <v>5.7</v>
      </c>
      <c r="G2711" s="1" t="n">
        <v>28.4</v>
      </c>
      <c r="H2711" s="1" t="n">
        <v>594</v>
      </c>
      <c r="I2711" s="1" t="n">
        <v>0.9399999999999999</v>
      </c>
      <c r="J2711" t="n">
        <v>53108200</v>
      </c>
    </row>
    <row r="2712" ht="15.75" customHeight="1" s="201">
      <c r="A2712" s="1" t="inlineStr">
        <is>
          <t>Cookies, chocolate cream covered biscuit sticks</t>
        </is>
      </c>
      <c r="C2712" s="1" t="n">
        <v>51.08</v>
      </c>
      <c r="D2712" s="1" t="n">
        <v>17</v>
      </c>
      <c r="E2712" s="1" t="n">
        <v>0.9</v>
      </c>
      <c r="F2712" s="1" t="n">
        <v>10</v>
      </c>
      <c r="G2712" s="1" t="n">
        <v>22.5</v>
      </c>
      <c r="H2712" s="1" t="n">
        <v>4</v>
      </c>
      <c r="I2712" s="1" t="n">
        <v>0.9</v>
      </c>
      <c r="J2712" t="n">
        <v>53108200</v>
      </c>
    </row>
    <row r="2713" ht="15.75" customHeight="1" s="201">
      <c r="A2713" s="1" t="inlineStr">
        <is>
          <t>Cookies, chocolate sandwich, with creme filling, reduced fat</t>
        </is>
      </c>
      <c r="C2713" s="1" t="n">
        <v>76.17</v>
      </c>
      <c r="D2713" s="1" t="n">
        <v>68</v>
      </c>
      <c r="E2713" s="1" t="n">
        <v>3.18</v>
      </c>
      <c r="F2713" s="1" t="n">
        <v>2.94</v>
      </c>
      <c r="G2713" s="1" t="n">
        <v>13.24</v>
      </c>
      <c r="H2713" s="1" t="n">
        <v>1</v>
      </c>
      <c r="I2713" s="1" t="n">
        <v>0.49</v>
      </c>
      <c r="J2713" t="n">
        <v>53108200</v>
      </c>
    </row>
    <row r="2714" ht="15.75" customHeight="1" s="201">
      <c r="A2714" s="1" t="inlineStr">
        <is>
          <t>Cookies, chocolate sandwich, with creme filling, regular</t>
        </is>
      </c>
      <c r="C2714" s="1" t="n">
        <v>71</v>
      </c>
      <c r="D2714" s="1" t="n">
        <v>61</v>
      </c>
      <c r="E2714" s="1" t="n">
        <v>12.14</v>
      </c>
      <c r="F2714" s="1" t="n">
        <v>5.21</v>
      </c>
      <c r="G2714" s="1" t="n">
        <v>19.14</v>
      </c>
      <c r="H2714" s="1" t="n">
        <v>2</v>
      </c>
      <c r="I2714" s="1" t="n">
        <v>0.74</v>
      </c>
      <c r="J2714" t="n">
        <v>53108200</v>
      </c>
    </row>
    <row r="2715" ht="15.75" customHeight="1" s="201">
      <c r="A2715" s="1" t="inlineStr">
        <is>
          <t>Cookies, chocolate sandwich, with creme filling, regular, chocolate-coated</t>
        </is>
      </c>
      <c r="C2715" s="1" t="n">
        <v>66.40000000000001</v>
      </c>
      <c r="D2715" s="1" t="n">
        <v>18</v>
      </c>
      <c r="E2715" s="1" t="n">
        <v>3.13</v>
      </c>
      <c r="F2715" s="1" t="n">
        <v>3.6</v>
      </c>
      <c r="G2715" s="1" t="n">
        <v>26.4</v>
      </c>
      <c r="H2715" s="1" t="n">
        <v>5</v>
      </c>
      <c r="I2715" s="1" t="n">
        <v>0.58</v>
      </c>
      <c r="J2715" t="n">
        <v>53108200</v>
      </c>
    </row>
    <row r="2716" ht="15.75" customHeight="1" s="201">
      <c r="A2716" s="1" t="inlineStr">
        <is>
          <t>Cookies, chocolate sandwich, with creme filling, special dietary</t>
        </is>
      </c>
      <c r="C2716" s="1" t="n">
        <v>68</v>
      </c>
      <c r="D2716" s="1" t="n">
        <v>62</v>
      </c>
      <c r="E2716" s="1" t="n">
        <v>4.72</v>
      </c>
      <c r="F2716" s="1" t="n">
        <v>4.5</v>
      </c>
      <c r="G2716" s="1" t="n">
        <v>22.1</v>
      </c>
      <c r="H2716" s="1" t="n">
        <v>4</v>
      </c>
      <c r="I2716" s="1" t="n">
        <v>0.58</v>
      </c>
      <c r="J2716" t="n">
        <v>53108200</v>
      </c>
    </row>
    <row r="2717" ht="15.75" customHeight="1" s="201">
      <c r="A2717" s="1" t="inlineStr">
        <is>
          <t>Cookies, chocolate sandwich, with extra creme filling</t>
        </is>
      </c>
      <c r="C2717" s="1" t="n">
        <v>68.2</v>
      </c>
      <c r="D2717" s="1" t="n">
        <v>46</v>
      </c>
      <c r="E2717" s="1" t="n">
        <v>7.8</v>
      </c>
      <c r="F2717" s="1" t="n">
        <v>4.33</v>
      </c>
      <c r="G2717" s="1" t="n">
        <v>24.52</v>
      </c>
      <c r="H2717" s="1" t="n">
        <v>0</v>
      </c>
      <c r="I2717" s="1" t="n">
        <v>0.78</v>
      </c>
      <c r="J2717" t="n">
        <v>53108200</v>
      </c>
    </row>
    <row r="2718" ht="15.75" customHeight="1" s="201">
      <c r="A2718" s="1" t="inlineStr">
        <is>
          <t>Cookies, chocolate wafers</t>
        </is>
      </c>
      <c r="C2718" s="1" t="n">
        <v>72.7</v>
      </c>
      <c r="D2718" s="1" t="n">
        <v>47</v>
      </c>
      <c r="E2718" s="1" t="n">
        <v>4.01</v>
      </c>
      <c r="F2718" s="1" t="n">
        <v>6.6</v>
      </c>
      <c r="G2718" s="1" t="n">
        <v>14.2</v>
      </c>
      <c r="H2718" s="1" t="n">
        <v>10</v>
      </c>
      <c r="I2718" s="1" t="n">
        <v>1.09</v>
      </c>
      <c r="J2718" t="n">
        <v>53108200</v>
      </c>
    </row>
    <row r="2719" ht="15.75" customHeight="1" s="201">
      <c r="A2719" s="1" t="inlineStr">
        <is>
          <t>Cookies, chocolate, made with rice cereal</t>
        </is>
      </c>
      <c r="C2719" s="1" t="n">
        <v>63.26</v>
      </c>
      <c r="D2719" s="1" t="n">
        <v>24</v>
      </c>
      <c r="E2719" s="1" t="n">
        <v>2.49</v>
      </c>
      <c r="F2719" s="1" t="n">
        <v>3.23</v>
      </c>
      <c r="G2719" s="1" t="n">
        <v>19.35</v>
      </c>
      <c r="H2719" s="1" t="n">
        <v>0</v>
      </c>
      <c r="I2719" s="1" t="n">
        <v>0.67</v>
      </c>
      <c r="J2719" t="n">
        <v>53108200</v>
      </c>
    </row>
    <row r="2720" ht="15.75" customHeight="1" s="201">
      <c r="A2720" s="1" t="inlineStr">
        <is>
          <t>Cookies, coconut macaroon</t>
        </is>
      </c>
      <c r="C2720" s="1" t="n">
        <v>61.22</v>
      </c>
      <c r="D2720" s="1" t="n">
        <v>3</v>
      </c>
      <c r="E2720" s="1" t="n">
        <v>0.82</v>
      </c>
      <c r="F2720" s="1" t="n">
        <v>3.02</v>
      </c>
      <c r="G2720" s="1" t="n">
        <v>22.55</v>
      </c>
      <c r="H2720" s="1" t="n">
        <v>0</v>
      </c>
      <c r="I2720" s="1" t="n">
        <v>0.73</v>
      </c>
      <c r="J2720" t="n">
        <v>42404010</v>
      </c>
    </row>
    <row r="2721" ht="15.75" customHeight="1" s="201">
      <c r="A2721" s="1" t="inlineStr">
        <is>
          <t>Cookies, fig bars</t>
        </is>
      </c>
      <c r="C2721" s="1" t="n">
        <v>70.90000000000001</v>
      </c>
      <c r="D2721" s="1" t="n">
        <v>35</v>
      </c>
      <c r="E2721" s="1" t="n">
        <v>2.9</v>
      </c>
      <c r="F2721" s="1" t="n">
        <v>3.7</v>
      </c>
      <c r="G2721" s="1" t="n">
        <v>7.3</v>
      </c>
      <c r="H2721" s="1" t="n">
        <v>33</v>
      </c>
      <c r="I2721" s="1" t="n">
        <v>0.39</v>
      </c>
      <c r="J2721" t="n">
        <v>53241500</v>
      </c>
    </row>
    <row r="2722" ht="15.75" customHeight="1" s="201">
      <c r="A2722" s="1" t="inlineStr">
        <is>
          <t>Cookies, fortune</t>
        </is>
      </c>
      <c r="C2722" s="1" t="n">
        <v>84</v>
      </c>
      <c r="D2722" s="1" t="n">
        <v>66</v>
      </c>
      <c r="E2722" s="1" t="n">
        <v>1.44</v>
      </c>
      <c r="F2722" s="1" t="n">
        <v>4.2</v>
      </c>
      <c r="G2722" s="1" t="n">
        <v>2.7</v>
      </c>
      <c r="H2722" s="1" t="n">
        <v>3</v>
      </c>
      <c r="I2722" s="1" t="n">
        <v>0.17</v>
      </c>
      <c r="J2722" t="n">
        <v>53241500</v>
      </c>
    </row>
    <row r="2723" ht="15.75" customHeight="1" s="201">
      <c r="A2723" s="1" t="inlineStr">
        <is>
          <t>Cookies, gluten-free, chocolate sandwich, with creme filling</t>
        </is>
      </c>
      <c r="C2723" s="1" t="n">
        <v>76.03</v>
      </c>
      <c r="D2723" s="1" t="n">
        <v>0</v>
      </c>
      <c r="E2723" s="1" t="n">
        <v>2.81</v>
      </c>
      <c r="F2723" s="1" t="n">
        <v>2.19</v>
      </c>
      <c r="G2723" s="1" t="n">
        <v>17.89</v>
      </c>
      <c r="H2723" s="1" t="n">
        <v>2</v>
      </c>
      <c r="I2723" s="1" t="n">
        <v>0.66</v>
      </c>
      <c r="J2723" t="n">
        <v>53108200</v>
      </c>
    </row>
    <row r="2724" ht="15.75" customHeight="1" s="201">
      <c r="A2724" s="1" t="inlineStr">
        <is>
          <t>Cookies, gluten-free, chocolate wafer</t>
        </is>
      </c>
      <c r="C2724" s="1" t="n">
        <v>62.82</v>
      </c>
      <c r="E2724" s="1" t="n">
        <v>3.67</v>
      </c>
      <c r="F2724" s="1" t="n">
        <v>4.06</v>
      </c>
      <c r="G2724" s="1" t="n">
        <v>30.42</v>
      </c>
      <c r="I2724" s="1" t="n">
        <v>0.78</v>
      </c>
      <c r="J2724" t="n">
        <v>53108200</v>
      </c>
    </row>
    <row r="2725" ht="15.75" customHeight="1" s="201">
      <c r="A2725" s="1" t="inlineStr">
        <is>
          <t>Cookies, gluten-free, lemon wafer</t>
        </is>
      </c>
      <c r="C2725" s="1" t="n">
        <v>74.39</v>
      </c>
      <c r="D2725" s="1" t="n">
        <v>0</v>
      </c>
      <c r="E2725" s="1" t="n">
        <v>0.18</v>
      </c>
      <c r="F2725" s="1" t="n">
        <v>0</v>
      </c>
      <c r="G2725" s="1" t="n">
        <v>24.18</v>
      </c>
      <c r="I2725" s="1" t="n">
        <v>0.03</v>
      </c>
      <c r="J2725" t="n">
        <v>27446260</v>
      </c>
    </row>
    <row r="2726" ht="15.75" customHeight="1" s="201">
      <c r="A2726" s="1" t="inlineStr">
        <is>
          <t>Cookies, gluten-free, vanilla sandwich, with creme filling</t>
        </is>
      </c>
      <c r="C2726" s="1" t="n">
        <v>74.61</v>
      </c>
      <c r="E2726" s="1" t="n">
        <v>0.34</v>
      </c>
      <c r="F2726" s="1" t="n">
        <v>2.66</v>
      </c>
      <c r="G2726" s="1" t="n">
        <v>20.47</v>
      </c>
      <c r="I2726" s="1" t="n">
        <v>0.23</v>
      </c>
      <c r="J2726" t="n">
        <v>58148118</v>
      </c>
    </row>
    <row r="2727" ht="15.75" customHeight="1" s="201">
      <c r="A2727" s="1" t="inlineStr">
        <is>
          <t>Cookies, graham crackers, plain or honey, lowfat</t>
        </is>
      </c>
      <c r="C2727" s="1" t="n">
        <v>77.95999999999999</v>
      </c>
      <c r="D2727" s="1" t="n">
        <v>80</v>
      </c>
      <c r="E2727" s="1" t="n">
        <v>3.09</v>
      </c>
      <c r="F2727" s="1" t="n">
        <v>5.71</v>
      </c>
      <c r="G2727" s="1" t="n">
        <v>5.71</v>
      </c>
      <c r="H2727" s="1" t="n">
        <v>4</v>
      </c>
      <c r="I2727" s="1" t="n">
        <v>1.16</v>
      </c>
      <c r="J2727" t="n">
        <v>54102100</v>
      </c>
    </row>
    <row r="2728" ht="15.75" customHeight="1" s="201">
      <c r="A2728" s="1" t="inlineStr">
        <is>
          <t>Cookies, ladyfingers, without lemon juice and rind</t>
        </is>
      </c>
      <c r="C2728" s="1" t="n">
        <v>59.7</v>
      </c>
      <c r="D2728" s="1" t="n">
        <v>77</v>
      </c>
      <c r="E2728" s="1" t="n">
        <v>3.58</v>
      </c>
      <c r="F2728" s="1" t="n">
        <v>10.6</v>
      </c>
      <c r="G2728" s="1" t="n">
        <v>9.1</v>
      </c>
      <c r="H2728" s="1" t="n">
        <v>556</v>
      </c>
      <c r="I2728" s="1" t="n">
        <v>1.14</v>
      </c>
      <c r="J2728" t="n">
        <v>64100110</v>
      </c>
    </row>
    <row r="2729" ht="15.75" customHeight="1" s="201">
      <c r="A2729" s="1" t="inlineStr">
        <is>
          <t>Cookies, Marie biscuit</t>
        </is>
      </c>
      <c r="C2729" s="1" t="n">
        <v>70.54000000000001</v>
      </c>
      <c r="D2729" s="1" t="n">
        <v>118</v>
      </c>
      <c r="E2729" s="1" t="n">
        <v>0</v>
      </c>
      <c r="F2729" s="1" t="n">
        <v>7.05</v>
      </c>
      <c r="G2729" s="1" t="n">
        <v>10.58</v>
      </c>
      <c r="H2729" s="1" t="n">
        <v>3</v>
      </c>
      <c r="I2729" s="1" t="n">
        <v>0.61</v>
      </c>
      <c r="J2729" t="n">
        <v>27515080</v>
      </c>
    </row>
    <row r="2730" ht="15.75" customHeight="1" s="201">
      <c r="A2730" s="1" t="inlineStr">
        <is>
          <t>Cookies, marshmallow, chocolate-coated (includes marshmallow pies)</t>
        </is>
      </c>
      <c r="C2730" s="1" t="n">
        <v>67.7</v>
      </c>
      <c r="D2730" s="1" t="n">
        <v>23</v>
      </c>
      <c r="E2730" s="1" t="n">
        <v>2.53</v>
      </c>
      <c r="F2730" s="1" t="n">
        <v>4</v>
      </c>
      <c r="G2730" s="1" t="n">
        <v>16.9</v>
      </c>
      <c r="H2730" s="1" t="n">
        <v>5</v>
      </c>
      <c r="I2730" s="1" t="n">
        <v>0.65</v>
      </c>
      <c r="J2730" t="n">
        <v>53108200</v>
      </c>
    </row>
    <row r="2731" ht="15.75" customHeight="1" s="201">
      <c r="A2731" s="1" t="inlineStr">
        <is>
          <t>Cookies, marshmallow, with rice cereal and chocolate chips</t>
        </is>
      </c>
      <c r="C2731" s="1" t="n">
        <v>63.26</v>
      </c>
      <c r="D2731" s="1" t="n">
        <v>36</v>
      </c>
      <c r="E2731" s="1" t="n">
        <v>1.64</v>
      </c>
      <c r="F2731" s="1" t="n">
        <v>4.55</v>
      </c>
      <c r="G2731" s="1" t="n">
        <v>18.18</v>
      </c>
      <c r="H2731" s="1" t="n">
        <v>186</v>
      </c>
      <c r="I2731" s="1" t="n">
        <v>1.11</v>
      </c>
      <c r="J2731" t="n">
        <v>53108200</v>
      </c>
    </row>
    <row r="2732" ht="15.75" customHeight="1" s="201">
      <c r="A2732" s="1" t="inlineStr">
        <is>
          <t>Cookies, molasses</t>
        </is>
      </c>
      <c r="C2732" s="1" t="n">
        <v>73.8</v>
      </c>
      <c r="D2732" s="1" t="n">
        <v>89</v>
      </c>
      <c r="E2732" s="1" t="n">
        <v>6.43</v>
      </c>
      <c r="F2732" s="1" t="n">
        <v>5.6</v>
      </c>
      <c r="G2732" s="1" t="n">
        <v>12.8</v>
      </c>
      <c r="H2732" s="1" t="n">
        <v>0</v>
      </c>
      <c r="I2732" s="1" t="n">
        <v>0.45</v>
      </c>
      <c r="J2732" t="n">
        <v>53230000</v>
      </c>
    </row>
    <row r="2733" ht="15.75" customHeight="1" s="201">
      <c r="A2733" s="1" t="inlineStr">
        <is>
          <t>Cookies, oatmeal sandwich, with creme filling</t>
        </is>
      </c>
      <c r="C2733" s="1" t="n">
        <v>55.62</v>
      </c>
      <c r="D2733" s="1" t="n">
        <v>38</v>
      </c>
      <c r="E2733" s="1" t="n">
        <v>1.88</v>
      </c>
      <c r="F2733" s="1" t="n">
        <v>2.61</v>
      </c>
      <c r="G2733" s="1" t="n">
        <v>18.29</v>
      </c>
      <c r="H2733" s="1" t="n">
        <v>4</v>
      </c>
      <c r="I2733" s="1" t="n">
        <v>0.67</v>
      </c>
      <c r="J2733" t="n">
        <v>75142550</v>
      </c>
    </row>
    <row r="2734" ht="15.75" customHeight="1" s="201">
      <c r="A2734" s="1" t="inlineStr">
        <is>
          <t>Cookies, oatmeal, commercially prepared, regular</t>
        </is>
      </c>
      <c r="C2734" s="1" t="n">
        <v>68.7</v>
      </c>
      <c r="D2734" s="1" t="n">
        <v>59</v>
      </c>
      <c r="E2734" s="1" t="n">
        <v>2.58</v>
      </c>
      <c r="F2734" s="1" t="n">
        <v>6.2</v>
      </c>
      <c r="G2734" s="1" t="n">
        <v>18.1</v>
      </c>
      <c r="H2734" s="1" t="n">
        <v>18</v>
      </c>
      <c r="I2734" s="1" t="n">
        <v>0.79</v>
      </c>
      <c r="J2734" t="n">
        <v>74402150</v>
      </c>
    </row>
    <row r="2735" ht="15.75" customHeight="1" s="201">
      <c r="A2735" s="1" t="inlineStr">
        <is>
          <t>Cookies, oatmeal, commercially prepared, soft-type</t>
        </is>
      </c>
      <c r="C2735" s="1" t="n">
        <v>65.7</v>
      </c>
      <c r="D2735" s="1" t="n">
        <v>34</v>
      </c>
      <c r="E2735" s="1" t="n">
        <v>2.79</v>
      </c>
      <c r="F2735" s="1" t="n">
        <v>6.1</v>
      </c>
      <c r="G2735" s="1" t="n">
        <v>14.7</v>
      </c>
      <c r="H2735" s="1" t="n">
        <v>32</v>
      </c>
      <c r="I2735" s="1" t="n">
        <v>0.44</v>
      </c>
      <c r="J2735" t="n">
        <v>74402150</v>
      </c>
    </row>
    <row r="2736" ht="15.75" customHeight="1" s="201">
      <c r="A2736" s="1" t="inlineStr">
        <is>
          <t>Cookies, oatmeal, commercially prepared, special dietary</t>
        </is>
      </c>
      <c r="C2736" s="1" t="n">
        <v>69.90000000000001</v>
      </c>
      <c r="D2736" s="1" t="n">
        <v>46</v>
      </c>
      <c r="E2736" s="1" t="n">
        <v>4.07</v>
      </c>
      <c r="F2736" s="1" t="n">
        <v>4.8</v>
      </c>
      <c r="G2736" s="1" t="n">
        <v>18</v>
      </c>
      <c r="H2736" s="1" t="n">
        <v>8</v>
      </c>
      <c r="I2736" s="1" t="n">
        <v>0.49</v>
      </c>
      <c r="J2736" t="n">
        <v>74402150</v>
      </c>
    </row>
    <row r="2737" ht="15.75" customHeight="1" s="201">
      <c r="A2737" s="1" t="inlineStr">
        <is>
          <t>Cookies, oatmeal, prepared from recipe, without raisins</t>
        </is>
      </c>
      <c r="C2737" s="1" t="n">
        <v>66.40000000000001</v>
      </c>
      <c r="D2737" s="1" t="n">
        <v>33</v>
      </c>
      <c r="E2737" s="1" t="n">
        <v>2.7</v>
      </c>
      <c r="F2737" s="1" t="n">
        <v>6.8</v>
      </c>
      <c r="G2737" s="1" t="n">
        <v>17.9</v>
      </c>
      <c r="H2737" s="1" t="n">
        <v>757</v>
      </c>
      <c r="I2737" s="1" t="n">
        <v>0.93</v>
      </c>
      <c r="J2737" t="n">
        <v>24164000</v>
      </c>
    </row>
    <row r="2738" ht="15.75" customHeight="1" s="201">
      <c r="A2738" s="1" t="inlineStr">
        <is>
          <t>Cookies, oatmeal, reduced fat</t>
        </is>
      </c>
      <c r="C2738" s="1" t="n">
        <v>64.62</v>
      </c>
      <c r="D2738" s="1" t="n">
        <v>54</v>
      </c>
      <c r="E2738" s="1" t="n">
        <v>1.45</v>
      </c>
      <c r="F2738" s="1" t="n">
        <v>4.02</v>
      </c>
      <c r="G2738" s="1" t="n">
        <v>10.04</v>
      </c>
      <c r="H2738" s="1" t="n">
        <v>402</v>
      </c>
      <c r="I2738" s="1" t="n">
        <v>0.61</v>
      </c>
      <c r="J2738" t="n">
        <v>54301100</v>
      </c>
    </row>
    <row r="2739" ht="15.75" customHeight="1" s="201">
      <c r="A2739" s="1" t="inlineStr">
        <is>
          <t>Cookies, peanut butter, commercially prepared, regular</t>
        </is>
      </c>
      <c r="C2739" s="1" t="n">
        <v>58.15</v>
      </c>
      <c r="D2739" s="1" t="n">
        <v>57</v>
      </c>
      <c r="E2739" s="1" t="n">
        <v>2.11</v>
      </c>
      <c r="F2739" s="1" t="n">
        <v>8.92</v>
      </c>
      <c r="G2739" s="1" t="n">
        <v>23.82</v>
      </c>
      <c r="H2739" s="1" t="n">
        <v>32</v>
      </c>
      <c r="I2739" s="1" t="n">
        <v>0.86</v>
      </c>
      <c r="J2739" t="n">
        <v>91734000</v>
      </c>
    </row>
    <row r="2740" ht="15.75" customHeight="1" s="201">
      <c r="A2740" s="1" t="inlineStr">
        <is>
          <t>Cookies, peanut butter, commercially prepared, soft-type</t>
        </is>
      </c>
      <c r="C2740" s="1" t="n">
        <v>57.7</v>
      </c>
      <c r="D2740" s="1" t="n">
        <v>67</v>
      </c>
      <c r="E2740" s="1" t="n">
        <v>0.89</v>
      </c>
      <c r="F2740" s="1" t="n">
        <v>5.3</v>
      </c>
      <c r="G2740" s="1" t="n">
        <v>24.4</v>
      </c>
      <c r="H2740" s="1" t="n">
        <v>0</v>
      </c>
      <c r="I2740" s="1" t="n">
        <v>0.55</v>
      </c>
      <c r="J2740" t="n">
        <v>91734000</v>
      </c>
    </row>
    <row r="2741" ht="15.75" customHeight="1" s="201">
      <c r="A2741" s="1" t="inlineStr">
        <is>
          <t>Cookies, peanut butter, commercially prepared, sugar free</t>
        </is>
      </c>
      <c r="C2741" s="1" t="n">
        <v>50.52</v>
      </c>
      <c r="D2741" s="1" t="n">
        <v>83</v>
      </c>
      <c r="E2741" s="1" t="n">
        <v>2.48</v>
      </c>
      <c r="F2741" s="1" t="n">
        <v>10.34</v>
      </c>
      <c r="G2741" s="1" t="n">
        <v>31.03</v>
      </c>
      <c r="H2741" s="1" t="n">
        <v>1</v>
      </c>
      <c r="I2741" s="1" t="n">
        <v>1.05</v>
      </c>
      <c r="J2741" t="n">
        <v>91734000</v>
      </c>
    </row>
    <row r="2742" ht="15.75" customHeight="1" s="201">
      <c r="A2742" s="1" t="inlineStr">
        <is>
          <t>Cookies, peanut butter, refrigerated dough</t>
        </is>
      </c>
      <c r="C2742" s="1" t="n">
        <v>52.1</v>
      </c>
      <c r="D2742" s="1" t="n">
        <v>57</v>
      </c>
      <c r="E2742" s="1" t="n">
        <v>1.7</v>
      </c>
      <c r="F2742" s="1" t="n">
        <v>8.199999999999999</v>
      </c>
      <c r="G2742" s="1" t="n">
        <v>25</v>
      </c>
      <c r="H2742" s="1" t="n">
        <v>47</v>
      </c>
      <c r="I2742" s="1" t="n">
        <v>0.68</v>
      </c>
      <c r="J2742" t="n">
        <v>91734000</v>
      </c>
    </row>
    <row r="2743" ht="15.75" customHeight="1" s="201">
      <c r="A2743" s="1" t="inlineStr">
        <is>
          <t>Cookies, peanut butter, refrigerated dough, baked</t>
        </is>
      </c>
      <c r="C2743" s="1" t="n">
        <v>57.3</v>
      </c>
      <c r="D2743" s="1" t="n">
        <v>44</v>
      </c>
      <c r="E2743" s="1" t="n">
        <v>1.87</v>
      </c>
      <c r="F2743" s="1" t="n">
        <v>9.1</v>
      </c>
      <c r="G2743" s="1" t="n">
        <v>27.5</v>
      </c>
      <c r="H2743" s="1" t="n">
        <v>46</v>
      </c>
      <c r="I2743" s="1" t="n">
        <v>0.75</v>
      </c>
      <c r="J2743" t="n">
        <v>91734000</v>
      </c>
    </row>
    <row r="2744" ht="15.75" customHeight="1" s="201">
      <c r="A2744" s="1" t="inlineStr">
        <is>
          <t>Cookies, shortbread, reduced fat</t>
        </is>
      </c>
      <c r="C2744" s="1" t="n">
        <v>75.98999999999999</v>
      </c>
      <c r="D2744" s="1" t="n">
        <v>81</v>
      </c>
      <c r="E2744" s="1" t="n">
        <v>2.98</v>
      </c>
      <c r="F2744" s="1" t="n">
        <v>5.37</v>
      </c>
      <c r="G2744" s="1" t="n">
        <v>14</v>
      </c>
      <c r="H2744" s="1" t="n">
        <v>1</v>
      </c>
      <c r="I2744" s="1" t="n">
        <v>0.49</v>
      </c>
      <c r="J2744" t="n">
        <v>53239010</v>
      </c>
    </row>
    <row r="2745" ht="15.75" customHeight="1" s="201">
      <c r="A2745" s="1" t="inlineStr">
        <is>
          <t>Cookies, sugar wafer, chocolate-covered</t>
        </is>
      </c>
      <c r="C2745" s="1" t="n">
        <v>65.98999999999999</v>
      </c>
      <c r="D2745" s="1" t="n">
        <v>15</v>
      </c>
      <c r="E2745" s="1" t="n">
        <v>1.24</v>
      </c>
      <c r="F2745" s="1" t="n">
        <v>3.45</v>
      </c>
      <c r="G2745" s="1" t="n">
        <v>27.59</v>
      </c>
      <c r="H2745" s="1" t="n">
        <v>2</v>
      </c>
      <c r="I2745" s="1" t="n">
        <v>0.61</v>
      </c>
      <c r="J2745" t="n">
        <v>53108200</v>
      </c>
    </row>
    <row r="2746" ht="15.75" customHeight="1" s="201">
      <c r="A2746" s="1" t="inlineStr">
        <is>
          <t>Cookies, sugar wafers with creme filling, regular</t>
        </is>
      </c>
      <c r="C2746" s="1" t="n">
        <v>70.64</v>
      </c>
      <c r="D2746" s="1" t="n">
        <v>77</v>
      </c>
      <c r="E2746" s="1" t="n">
        <v>3.73</v>
      </c>
      <c r="F2746" s="1" t="n">
        <v>3.84</v>
      </c>
      <c r="G2746" s="1" t="n">
        <v>23.24</v>
      </c>
      <c r="H2746" s="1" t="n">
        <v>1</v>
      </c>
      <c r="I2746" s="1" t="n">
        <v>0.43</v>
      </c>
      <c r="J2746" t="n">
        <v>75142550</v>
      </c>
    </row>
    <row r="2747" ht="15.75" customHeight="1" s="201">
      <c r="A2747" s="1" t="inlineStr">
        <is>
          <t>Cookies, sugar, refrigerated dough, baked</t>
        </is>
      </c>
      <c r="C2747" s="1" t="n">
        <v>65.59999999999999</v>
      </c>
      <c r="D2747" s="1" t="n">
        <v>70</v>
      </c>
      <c r="E2747" s="1" t="n">
        <v>1.84</v>
      </c>
      <c r="F2747" s="1" t="n">
        <v>4.7</v>
      </c>
      <c r="G2747" s="1" t="n">
        <v>23.1</v>
      </c>
      <c r="H2747" s="1" t="n">
        <v>41</v>
      </c>
      <c r="I2747" s="1" t="n">
        <v>0.27</v>
      </c>
      <c r="J2747" t="n">
        <v>53260400</v>
      </c>
    </row>
    <row r="2748" ht="15.75" customHeight="1" s="201">
      <c r="A2748" s="1" t="inlineStr">
        <is>
          <t>Cookies, vanilla sandwich with creme filling</t>
        </is>
      </c>
      <c r="C2748" s="1" t="n">
        <v>72.09999999999999</v>
      </c>
      <c r="D2748" s="1" t="n">
        <v>50</v>
      </c>
      <c r="E2748" s="1" t="n">
        <v>2.21</v>
      </c>
      <c r="F2748" s="1" t="n">
        <v>4.5</v>
      </c>
      <c r="G2748" s="1" t="n">
        <v>20</v>
      </c>
      <c r="H2748" s="1" t="n">
        <v>0</v>
      </c>
      <c r="I2748" s="1" t="n">
        <v>0.4</v>
      </c>
      <c r="J2748" t="n">
        <v>75142550</v>
      </c>
    </row>
    <row r="2749" ht="15.75" customHeight="1" s="201">
      <c r="A2749" s="1" t="inlineStr">
        <is>
          <t>Cookies, vanilla sandwich with creme filling, reduced fat</t>
        </is>
      </c>
      <c r="C2749" s="1" t="n">
        <v>78.16</v>
      </c>
      <c r="D2749" s="1" t="n">
        <v>93</v>
      </c>
      <c r="E2749" s="1" t="n">
        <v>2.25</v>
      </c>
      <c r="F2749" s="1" t="n">
        <v>4.17</v>
      </c>
      <c r="G2749" s="1" t="n">
        <v>10.42</v>
      </c>
      <c r="H2749" s="1" t="n">
        <v>1</v>
      </c>
      <c r="I2749" s="1" t="n">
        <v>0.37</v>
      </c>
      <c r="J2749" t="n">
        <v>75142550</v>
      </c>
    </row>
    <row r="2750" ht="15.75" customHeight="1" s="201">
      <c r="A2750" s="1" t="inlineStr">
        <is>
          <t>Coriander (cilantro) leaves, raw</t>
        </is>
      </c>
      <c r="C2750" s="1" t="n">
        <v>3.67</v>
      </c>
      <c r="D2750" s="1" t="n">
        <v>62</v>
      </c>
      <c r="E2750" s="1" t="n">
        <v>1.77</v>
      </c>
      <c r="F2750" s="1" t="n">
        <v>2.13</v>
      </c>
      <c r="G2750" s="1" t="n">
        <v>0.52</v>
      </c>
      <c r="H2750" s="1" t="n">
        <v>6748</v>
      </c>
      <c r="I2750" s="1" t="n">
        <v>0.5</v>
      </c>
      <c r="J2750" t="n">
        <v>75109550</v>
      </c>
    </row>
    <row r="2751" ht="15.75" customHeight="1" s="201">
      <c r="A2751" s="1" t="inlineStr">
        <is>
          <t>Corn bran, crude</t>
        </is>
      </c>
      <c r="C2751" s="1" t="n">
        <v>85.64</v>
      </c>
      <c r="D2751" s="1" t="n">
        <v>4</v>
      </c>
      <c r="E2751" s="1" t="n">
        <v>2.79</v>
      </c>
      <c r="F2751" s="1" t="n">
        <v>8.359999999999999</v>
      </c>
      <c r="G2751" s="1" t="n">
        <v>0.92</v>
      </c>
      <c r="H2751" s="1" t="n">
        <v>71</v>
      </c>
      <c r="I2751" s="1" t="n">
        <v>1.56</v>
      </c>
      <c r="J2751" t="n">
        <v>54401055</v>
      </c>
    </row>
    <row r="2752" ht="15.75" customHeight="1" s="201">
      <c r="A2752" s="1" t="inlineStr">
        <is>
          <t>Corn dogs, frozen, prepared</t>
        </is>
      </c>
      <c r="C2752" s="1" t="n">
        <v>26.96</v>
      </c>
      <c r="D2752" s="1" t="n">
        <v>60</v>
      </c>
      <c r="E2752" s="1" t="n">
        <v>1.9</v>
      </c>
      <c r="F2752" s="1" t="n">
        <v>8.57</v>
      </c>
      <c r="G2752" s="1" t="n">
        <v>12.02</v>
      </c>
      <c r="H2752" s="1" t="n">
        <v>166</v>
      </c>
      <c r="I2752" s="1" t="n">
        <v>0.85</v>
      </c>
      <c r="J2752" t="n">
        <v>54401055</v>
      </c>
    </row>
    <row r="2753" ht="15.75" customHeight="1" s="201">
      <c r="A2753" s="1" t="inlineStr">
        <is>
          <t>Corn flour, masa, enriched, white</t>
        </is>
      </c>
      <c r="C2753" s="1" t="n">
        <v>76.59</v>
      </c>
      <c r="D2753" s="1" t="n">
        <v>162</v>
      </c>
      <c r="E2753" s="1" t="n">
        <v>8.5</v>
      </c>
      <c r="F2753" s="1" t="n">
        <v>8.460000000000001</v>
      </c>
      <c r="G2753" s="1" t="n">
        <v>3.69</v>
      </c>
      <c r="H2753" s="1" t="n">
        <v>5</v>
      </c>
      <c r="I2753" s="1" t="n">
        <v>1.8</v>
      </c>
      <c r="J2753" t="n">
        <v>54401055</v>
      </c>
    </row>
    <row r="2754" ht="15.75" customHeight="1" s="201">
      <c r="A2754" s="1" t="inlineStr">
        <is>
          <t>Corn flour, masa, unenriched, white</t>
        </is>
      </c>
      <c r="C2754" s="1" t="n">
        <v>76.59</v>
      </c>
      <c r="D2754" s="1" t="n">
        <v>29</v>
      </c>
      <c r="E2754" s="1" t="n">
        <v>1.47</v>
      </c>
      <c r="F2754" s="1" t="n">
        <v>8.460000000000001</v>
      </c>
      <c r="G2754" s="1" t="n">
        <v>3.69</v>
      </c>
      <c r="H2754" s="1" t="n">
        <v>5</v>
      </c>
      <c r="I2754" s="1" t="n">
        <v>1.8</v>
      </c>
      <c r="J2754" t="n">
        <v>54401055</v>
      </c>
    </row>
    <row r="2755" ht="15.75" customHeight="1" s="201">
      <c r="A2755" s="1" t="inlineStr">
        <is>
          <t>Corn flour, whole-grain, blue (harina de maiz morado)</t>
        </is>
      </c>
      <c r="C2755" s="1" t="n">
        <v>73.89</v>
      </c>
      <c r="E2755" s="1" t="n">
        <v>1.74</v>
      </c>
      <c r="F2755" s="1" t="n">
        <v>8.75</v>
      </c>
      <c r="G2755" s="1" t="n">
        <v>5.09</v>
      </c>
      <c r="I2755" s="1" t="n">
        <v>2.24</v>
      </c>
      <c r="J2755" t="n">
        <v>54204030</v>
      </c>
    </row>
    <row r="2756" ht="15.75" customHeight="1" s="201">
      <c r="A2756" s="1" t="inlineStr">
        <is>
          <t>Corn flour, whole-grain, white</t>
        </is>
      </c>
      <c r="C2756" s="1" t="n">
        <v>76.84999999999999</v>
      </c>
      <c r="D2756" s="1" t="n">
        <v>25</v>
      </c>
      <c r="E2756" s="1" t="n">
        <v>2.38</v>
      </c>
      <c r="F2756" s="1" t="n">
        <v>6.93</v>
      </c>
      <c r="G2756" s="1" t="n">
        <v>3.86</v>
      </c>
      <c r="H2756" s="1" t="n">
        <v>3</v>
      </c>
      <c r="I2756" s="1" t="n">
        <v>1.73</v>
      </c>
      <c r="J2756" t="n">
        <v>54204030</v>
      </c>
    </row>
    <row r="2757" ht="15.75" customHeight="1" s="201">
      <c r="A2757" s="1" t="inlineStr">
        <is>
          <t>Corn flour, whole-grain, yellow</t>
        </is>
      </c>
      <c r="C2757" s="1" t="n">
        <v>76.84999999999999</v>
      </c>
      <c r="D2757" s="1" t="n">
        <v>25</v>
      </c>
      <c r="E2757" s="1" t="n">
        <v>2.38</v>
      </c>
      <c r="F2757" s="1" t="n">
        <v>6.93</v>
      </c>
      <c r="G2757" s="1" t="n">
        <v>3.86</v>
      </c>
      <c r="H2757" s="1" t="n">
        <v>214</v>
      </c>
      <c r="I2757" s="1" t="n">
        <v>1.73</v>
      </c>
      <c r="J2757" t="n">
        <v>54204030</v>
      </c>
    </row>
    <row r="2758" ht="15.75" customHeight="1" s="201">
      <c r="A2758" s="1" t="inlineStr">
        <is>
          <t>Corn flour, yellow, degermed, unenriched</t>
        </is>
      </c>
      <c r="C2758" s="1" t="n">
        <v>82.75</v>
      </c>
      <c r="D2758" s="1" t="n">
        <v>48</v>
      </c>
      <c r="E2758" s="1" t="n">
        <v>0.91</v>
      </c>
      <c r="F2758" s="1" t="n">
        <v>5.59</v>
      </c>
      <c r="G2758" s="1" t="n">
        <v>1.39</v>
      </c>
      <c r="H2758" s="1" t="n">
        <v>214</v>
      </c>
      <c r="I2758" s="1" t="n">
        <v>0.37</v>
      </c>
      <c r="J2758" t="n">
        <v>53109200</v>
      </c>
    </row>
    <row r="2759" ht="15.75" customHeight="1" s="201">
      <c r="A2759" s="1" t="inlineStr">
        <is>
          <t>Corn flour, yellow, masa, enriched</t>
        </is>
      </c>
      <c r="C2759" s="1" t="n">
        <v>76.59</v>
      </c>
      <c r="D2759" s="1" t="n">
        <v>162</v>
      </c>
      <c r="E2759" s="1" t="n">
        <v>8.5</v>
      </c>
      <c r="F2759" s="1" t="n">
        <v>8.460000000000001</v>
      </c>
      <c r="G2759" s="1" t="n">
        <v>3.69</v>
      </c>
      <c r="H2759" s="1" t="n">
        <v>214</v>
      </c>
      <c r="I2759" s="1" t="n">
        <v>1.8</v>
      </c>
      <c r="J2759" t="n">
        <v>53109200</v>
      </c>
    </row>
    <row r="2760" ht="15.75" customHeight="1" s="201">
      <c r="A2760" s="1" t="inlineStr">
        <is>
          <t>Cornflour</t>
        </is>
      </c>
    </row>
    <row r="2761" ht="15.75" customHeight="1" s="201">
      <c r="A2761" s="1" t="inlineStr">
        <is>
          <t>Corn Crisps</t>
        </is>
      </c>
      <c r="J2761" t="n">
        <v>54401055</v>
      </c>
    </row>
    <row r="2762" ht="15.75" customHeight="1" s="201">
      <c r="A2762" s="1" t="inlineStr">
        <is>
          <t>Corn Oil</t>
        </is>
      </c>
      <c r="J2762" t="n">
        <v>54401055</v>
      </c>
    </row>
    <row r="2763" ht="15.75" customHeight="1" s="201">
      <c r="A2763" s="1" t="inlineStr">
        <is>
          <t>Corn grain</t>
        </is>
      </c>
      <c r="J2763" t="n">
        <v>54401055</v>
      </c>
    </row>
    <row r="2764" ht="15.75" customHeight="1" s="201">
      <c r="A2764" s="1" t="inlineStr">
        <is>
          <t>Corn grain, white</t>
        </is>
      </c>
      <c r="C2764" s="1" t="n">
        <v>74.26000000000001</v>
      </c>
      <c r="E2764" s="1" t="n">
        <v>2.71</v>
      </c>
      <c r="F2764" s="1" t="n">
        <v>9.42</v>
      </c>
      <c r="G2764" s="1" t="n">
        <v>4.74</v>
      </c>
      <c r="H2764" s="1" t="n">
        <v>0</v>
      </c>
      <c r="I2764" s="1" t="n">
        <v>2.21</v>
      </c>
      <c r="J2764" t="n">
        <v>54401055</v>
      </c>
    </row>
    <row r="2765" ht="15.75" customHeight="1" s="201">
      <c r="A2765" s="1" t="inlineStr">
        <is>
          <t>Corn grain, yellow</t>
        </is>
      </c>
      <c r="C2765" s="1" t="n">
        <v>74.26000000000001</v>
      </c>
      <c r="D2765" s="1" t="n">
        <v>19</v>
      </c>
      <c r="E2765" s="1" t="n">
        <v>2.71</v>
      </c>
      <c r="F2765" s="1" t="n">
        <v>9.42</v>
      </c>
      <c r="G2765" s="1" t="n">
        <v>4.74</v>
      </c>
      <c r="H2765" s="1" t="n">
        <v>214</v>
      </c>
      <c r="I2765" s="1" t="n">
        <v>2.21</v>
      </c>
      <c r="J2765" t="n">
        <v>53109200</v>
      </c>
    </row>
    <row r="2766" ht="15.75" customHeight="1" s="201">
      <c r="A2766" s="1" t="inlineStr">
        <is>
          <t>Corn pudding, home prepared</t>
        </is>
      </c>
      <c r="C2766" s="1" t="n">
        <v>16.97</v>
      </c>
      <c r="D2766" s="1" t="n">
        <v>29</v>
      </c>
      <c r="E2766" s="1" t="n">
        <v>0.53</v>
      </c>
      <c r="F2766" s="1" t="n">
        <v>4.42</v>
      </c>
      <c r="G2766" s="1" t="n">
        <v>5.04</v>
      </c>
      <c r="H2766" s="1" t="n">
        <v>296</v>
      </c>
      <c r="I2766" s="1" t="n">
        <v>0.48</v>
      </c>
      <c r="J2766" t="n">
        <v>54401055</v>
      </c>
    </row>
    <row r="2767" ht="15.75" customHeight="1" s="201">
      <c r="A2767" s="1" t="inlineStr">
        <is>
          <t>Corn with red and green peppers, canned, solids and liquids</t>
        </is>
      </c>
      <c r="C2767" s="1" t="n">
        <v>18.17</v>
      </c>
      <c r="D2767" s="1" t="n">
        <v>34</v>
      </c>
      <c r="E2767" s="1" t="n">
        <v>0.79</v>
      </c>
      <c r="F2767" s="1" t="n">
        <v>2.33</v>
      </c>
      <c r="G2767" s="1" t="n">
        <v>0.55</v>
      </c>
      <c r="H2767" s="1" t="n">
        <v>232</v>
      </c>
      <c r="I2767" s="1" t="n">
        <v>0.37</v>
      </c>
      <c r="J2767" t="n">
        <v>75142550</v>
      </c>
    </row>
    <row r="2768" ht="15.75" customHeight="1" s="201">
      <c r="A2768" s="1" t="inlineStr">
        <is>
          <t>Corn, dried (Navajo)</t>
        </is>
      </c>
      <c r="C2768" s="1" t="n">
        <v>74.93000000000001</v>
      </c>
      <c r="D2768" s="1" t="n">
        <v>77</v>
      </c>
      <c r="E2768" s="1" t="n">
        <v>1.92</v>
      </c>
      <c r="F2768" s="1" t="n">
        <v>9.880000000000001</v>
      </c>
      <c r="G2768" s="1" t="n">
        <v>5.22</v>
      </c>
      <c r="I2768" s="1" t="n">
        <v>3.05</v>
      </c>
      <c r="J2768" t="n">
        <v>54401055</v>
      </c>
    </row>
    <row r="2769" ht="15.75" customHeight="1" s="201">
      <c r="A2769" s="1" t="inlineStr">
        <is>
          <t>Corn, dried, yellow (Northern Plains Indians)</t>
        </is>
      </c>
      <c r="C2769" s="1" t="n">
        <v>66.27</v>
      </c>
      <c r="D2769" s="1" t="n">
        <v>111</v>
      </c>
      <c r="E2769" s="1" t="n">
        <v>2.61</v>
      </c>
      <c r="F2769" s="1" t="n">
        <v>14.48</v>
      </c>
      <c r="G2769" s="1" t="n">
        <v>10.64</v>
      </c>
      <c r="H2769" s="1" t="n">
        <v>261</v>
      </c>
      <c r="I2769" s="1" t="n">
        <v>3.06</v>
      </c>
      <c r="J2769" t="n">
        <v>53109200</v>
      </c>
    </row>
    <row r="2770" ht="15.75" customHeight="1" s="201">
      <c r="A2770" s="1" t="inlineStr">
        <is>
          <t>Corn, sweet, white, canned, cream style, no salt added</t>
        </is>
      </c>
      <c r="C2770" s="1" t="n">
        <v>18.13</v>
      </c>
      <c r="D2770" s="1" t="n">
        <v>45</v>
      </c>
      <c r="E2770" s="1" t="n">
        <v>0.38</v>
      </c>
      <c r="F2770" s="1" t="n">
        <v>1.74</v>
      </c>
      <c r="G2770" s="1" t="n">
        <v>0.42</v>
      </c>
      <c r="H2770" s="1" t="n">
        <v>1</v>
      </c>
      <c r="I2770" s="1" t="n">
        <v>0.53</v>
      </c>
      <c r="J2770" t="n">
        <v>75216320</v>
      </c>
    </row>
    <row r="2771" ht="15.75" customHeight="1" s="201">
      <c r="A2771" s="1" t="inlineStr">
        <is>
          <t>Corn, sweet, white, canned, cream style, regular pack</t>
        </is>
      </c>
      <c r="C2771" s="1" t="n">
        <v>18.62</v>
      </c>
      <c r="D2771" s="1" t="n">
        <v>45</v>
      </c>
      <c r="E2771" s="1" t="n">
        <v>0.31</v>
      </c>
      <c r="F2771" s="1" t="n">
        <v>1.74</v>
      </c>
      <c r="G2771" s="1" t="n">
        <v>0.42</v>
      </c>
      <c r="H2771" s="1" t="n">
        <v>2</v>
      </c>
      <c r="I2771" s="1" t="n">
        <v>0.5600000000000001</v>
      </c>
      <c r="J2771" t="n">
        <v>53109200</v>
      </c>
    </row>
    <row r="2772" ht="15.75" customHeight="1" s="201">
      <c r="A2772" s="1" t="inlineStr">
        <is>
          <t>Corn, sweet, white, canned, vacuum pack, no salt added</t>
        </is>
      </c>
      <c r="C2772" s="1" t="n">
        <v>19.44</v>
      </c>
      <c r="D2772" s="1" t="n">
        <v>49</v>
      </c>
      <c r="E2772" s="1" t="n">
        <v>0.42</v>
      </c>
      <c r="F2772" s="1" t="n">
        <v>2.41</v>
      </c>
      <c r="G2772" s="1" t="n">
        <v>0.5</v>
      </c>
      <c r="H2772" s="1" t="n">
        <v>1</v>
      </c>
      <c r="I2772" s="1" t="n">
        <v>0.46</v>
      </c>
      <c r="J2772" t="n">
        <v>53109200</v>
      </c>
    </row>
    <row r="2773" ht="15.75" customHeight="1" s="201">
      <c r="A2773" s="1" t="inlineStr">
        <is>
          <t>Corn, sweet, white, canned, vacuum pack, regular pack</t>
        </is>
      </c>
      <c r="C2773" s="1" t="n">
        <v>19.44</v>
      </c>
      <c r="D2773" s="1" t="n">
        <v>49</v>
      </c>
      <c r="E2773" s="1" t="n">
        <v>0.42</v>
      </c>
      <c r="F2773" s="1" t="n">
        <v>2.41</v>
      </c>
      <c r="G2773" s="1" t="n">
        <v>0.5</v>
      </c>
      <c r="H2773" s="1" t="n">
        <v>1</v>
      </c>
      <c r="I2773" s="1" t="n">
        <v>0.46</v>
      </c>
      <c r="J2773" t="n">
        <v>53109200</v>
      </c>
    </row>
    <row r="2774" ht="15.75" customHeight="1" s="201">
      <c r="A2774" s="1" t="inlineStr">
        <is>
          <t>Corn, sweet, white, canned, whole kernel, drained solids</t>
        </is>
      </c>
      <c r="C2774" s="1" t="n">
        <v>14.34</v>
      </c>
      <c r="D2774" s="1" t="n">
        <v>39</v>
      </c>
      <c r="E2774" s="1" t="n">
        <v>0.27</v>
      </c>
      <c r="F2774" s="1" t="n">
        <v>2.29</v>
      </c>
      <c r="G2774" s="1" t="n">
        <v>1.22</v>
      </c>
      <c r="H2774" s="1" t="n">
        <v>1</v>
      </c>
      <c r="I2774" s="1" t="n">
        <v>0.32</v>
      </c>
      <c r="J2774" t="n">
        <v>54401055</v>
      </c>
    </row>
    <row r="2775" ht="15.75" customHeight="1" s="201">
      <c r="A2775" s="1" t="inlineStr">
        <is>
          <t>Corn, sweet, white, canned, whole kernel, no salt added, solids and liquids</t>
        </is>
      </c>
      <c r="C2775" s="1" t="n">
        <v>15.41</v>
      </c>
      <c r="D2775" s="1" t="n">
        <v>38</v>
      </c>
      <c r="E2775" s="1" t="n">
        <v>0.41</v>
      </c>
      <c r="F2775" s="1" t="n">
        <v>1.95</v>
      </c>
      <c r="G2775" s="1" t="n">
        <v>0.5</v>
      </c>
      <c r="H2775" s="1" t="n">
        <v>1</v>
      </c>
      <c r="I2775" s="1" t="n">
        <v>0.36</v>
      </c>
      <c r="J2775" t="n">
        <v>75216320</v>
      </c>
    </row>
    <row r="2776" ht="15.75" customHeight="1" s="201">
      <c r="A2776" s="1" t="inlineStr">
        <is>
          <t>Corn, sweet, white, canned, whole kernel, regular pack, solids and liquids</t>
        </is>
      </c>
      <c r="C2776" s="1" t="n">
        <v>15.41</v>
      </c>
      <c r="D2776" s="1" t="n">
        <v>38</v>
      </c>
      <c r="E2776" s="1" t="n">
        <v>0.41</v>
      </c>
      <c r="F2776" s="1" t="n">
        <v>1.95</v>
      </c>
      <c r="G2776" s="1" t="n">
        <v>0.5</v>
      </c>
      <c r="H2776" s="1" t="n">
        <v>0</v>
      </c>
      <c r="I2776" s="1" t="n">
        <v>0.36</v>
      </c>
      <c r="J2776" t="n">
        <v>53109200</v>
      </c>
    </row>
    <row r="2777" ht="15.75" customHeight="1" s="201">
      <c r="A2777" s="1" t="inlineStr">
        <is>
          <t>Corn, sweet, white, cooked, boiled, drained, with salt</t>
        </is>
      </c>
      <c r="C2777" s="1" t="n">
        <v>21.71</v>
      </c>
      <c r="D2777" s="1" t="n">
        <v>20</v>
      </c>
      <c r="E2777" s="1" t="n">
        <v>0.55</v>
      </c>
      <c r="F2777" s="1" t="n">
        <v>3.34</v>
      </c>
      <c r="G2777" s="1" t="n">
        <v>1.41</v>
      </c>
      <c r="H2777" s="1" t="n">
        <v>2</v>
      </c>
      <c r="I2777" s="1" t="n">
        <v>0.54</v>
      </c>
      <c r="J2777" t="n">
        <v>75142550</v>
      </c>
    </row>
    <row r="2778" ht="15.75" customHeight="1" s="201">
      <c r="A2778" s="1" t="inlineStr">
        <is>
          <t>Corn, sweet, white, cooked, boiled, drained, without salt</t>
        </is>
      </c>
      <c r="C2778" s="1" t="n">
        <v>21.71</v>
      </c>
      <c r="D2778" s="1" t="n">
        <v>20</v>
      </c>
      <c r="E2778" s="1" t="n">
        <v>0.55</v>
      </c>
      <c r="F2778" s="1" t="n">
        <v>3.34</v>
      </c>
      <c r="G2778" s="1" t="n">
        <v>1.41</v>
      </c>
      <c r="H2778" s="1" t="n">
        <v>2</v>
      </c>
      <c r="I2778" s="1" t="n">
        <v>0.54</v>
      </c>
      <c r="J2778" t="n">
        <v>54401055</v>
      </c>
    </row>
    <row r="2779" ht="15.75" customHeight="1" s="201">
      <c r="A2779" s="1" t="inlineStr">
        <is>
          <t>Corn, sweet, white, frozen, kernels cut off cob, boiled, drained, with salt</t>
        </is>
      </c>
      <c r="C2779" s="1" t="n">
        <v>19.56</v>
      </c>
      <c r="D2779" s="1" t="n">
        <v>31</v>
      </c>
      <c r="E2779" s="1" t="n">
        <v>0.35</v>
      </c>
      <c r="F2779" s="1" t="n">
        <v>2.75</v>
      </c>
      <c r="G2779" s="1" t="n">
        <v>0.43</v>
      </c>
      <c r="H2779" s="1" t="n">
        <v>3</v>
      </c>
      <c r="I2779" s="1" t="n">
        <v>0.4</v>
      </c>
      <c r="J2779" t="n">
        <v>75142550</v>
      </c>
    </row>
    <row r="2780" ht="15.75" customHeight="1" s="201">
      <c r="A2780" s="1" t="inlineStr">
        <is>
          <t>Corn, sweet, white, frozen, kernels cut off cob, boiled, drained, without salt</t>
        </is>
      </c>
      <c r="C2780" s="1" t="n">
        <v>19.56</v>
      </c>
      <c r="D2780" s="1" t="n">
        <v>31</v>
      </c>
      <c r="E2780" s="1" t="n">
        <v>0.35</v>
      </c>
      <c r="F2780" s="1" t="n">
        <v>2.75</v>
      </c>
      <c r="G2780" s="1" t="n">
        <v>0.43</v>
      </c>
      <c r="H2780" s="1" t="n">
        <v>3</v>
      </c>
      <c r="I2780" s="1" t="n">
        <v>0.4</v>
      </c>
    </row>
    <row r="2781" ht="15.75" customHeight="1" s="201">
      <c r="A2781" s="1" t="inlineStr">
        <is>
          <t>Corn, sweet, white, frozen, kernels cut off cob, unprepared</t>
        </is>
      </c>
      <c r="C2781" s="1" t="n">
        <v>20.73</v>
      </c>
      <c r="D2781" s="1" t="n">
        <v>36</v>
      </c>
      <c r="E2781" s="1" t="n">
        <v>0.41</v>
      </c>
      <c r="F2781" s="1" t="n">
        <v>3.02</v>
      </c>
      <c r="G2781" s="1" t="n">
        <v>0.77</v>
      </c>
      <c r="H2781" s="1" t="n">
        <v>3</v>
      </c>
      <c r="I2781" s="1" t="n">
        <v>0.37</v>
      </c>
      <c r="J2781" t="n">
        <v>54401055</v>
      </c>
    </row>
    <row r="2782" ht="15.75" customHeight="1" s="201">
      <c r="A2782" s="1" t="inlineStr">
        <is>
          <t>Corn, sweet, white, frozen, kernels on cob, cooked, boiled, drained, with salt</t>
        </is>
      </c>
      <c r="C2782" s="1" t="n">
        <v>22.33</v>
      </c>
      <c r="D2782" s="1" t="n">
        <v>31</v>
      </c>
      <c r="E2782" s="1" t="n">
        <v>0.61</v>
      </c>
      <c r="F2782" s="1" t="n">
        <v>3.11</v>
      </c>
      <c r="G2782" s="1" t="n">
        <v>0.74</v>
      </c>
      <c r="H2782" s="1" t="n">
        <v>4</v>
      </c>
      <c r="I2782" s="1" t="n">
        <v>0.63</v>
      </c>
      <c r="J2782" t="n">
        <v>75142550</v>
      </c>
    </row>
    <row r="2783" ht="15.75" customHeight="1" s="201">
      <c r="A2783" s="1" t="inlineStr">
        <is>
          <t>Corn, sweet, white, frozen, kernels on cob, cooked, boiled, drained, without salt</t>
        </is>
      </c>
      <c r="C2783" s="1" t="n">
        <v>22.33</v>
      </c>
      <c r="D2783" s="1" t="n">
        <v>31</v>
      </c>
      <c r="E2783" s="1" t="n">
        <v>0.61</v>
      </c>
      <c r="F2783" s="1" t="n">
        <v>3.11</v>
      </c>
      <c r="G2783" s="1" t="n">
        <v>0.74</v>
      </c>
      <c r="H2783" s="1" t="n">
        <v>4</v>
      </c>
      <c r="I2783" s="1" t="n">
        <v>0.63</v>
      </c>
    </row>
    <row r="2784" ht="15.75" customHeight="1" s="201">
      <c r="A2784" s="1" t="inlineStr">
        <is>
          <t>Corn, sweet, white, frozen, kernels on cob, unprepared</t>
        </is>
      </c>
      <c r="C2784" s="1" t="n">
        <v>23.5</v>
      </c>
      <c r="D2784" s="1" t="n">
        <v>40</v>
      </c>
      <c r="E2784" s="1" t="n">
        <v>0.68</v>
      </c>
      <c r="F2784" s="1" t="n">
        <v>3.28</v>
      </c>
      <c r="G2784" s="1" t="n">
        <v>0.78</v>
      </c>
      <c r="H2784" s="1" t="n">
        <v>4</v>
      </c>
      <c r="I2784" s="1" t="n">
        <v>0.7</v>
      </c>
      <c r="J2784" t="n">
        <v>54401055</v>
      </c>
    </row>
    <row r="2785" ht="15.75" customHeight="1" s="201">
      <c r="A2785" s="1" t="inlineStr">
        <is>
          <t>Corn, sweet, white, raw</t>
        </is>
      </c>
      <c r="C2785" s="1" t="n">
        <v>19.02</v>
      </c>
      <c r="D2785" s="1" t="n">
        <v>46</v>
      </c>
      <c r="E2785" s="1" t="n">
        <v>0.52</v>
      </c>
      <c r="F2785" s="1" t="n">
        <v>3.22</v>
      </c>
      <c r="G2785" s="1" t="n">
        <v>1.18</v>
      </c>
      <c r="H2785" s="1" t="n">
        <v>1</v>
      </c>
      <c r="I2785" s="1" t="n">
        <v>0.45</v>
      </c>
      <c r="J2785" t="n">
        <v>54401055</v>
      </c>
    </row>
    <row r="2786" ht="15.75" customHeight="1" s="201">
      <c r="A2786" s="1" t="inlineStr">
        <is>
          <t>Corn, sweet, yellow, canned, brine pack, regular pack, solids and liquids</t>
        </is>
      </c>
      <c r="C2786" s="1" t="n">
        <v>13.86</v>
      </c>
      <c r="D2786" s="1" t="n">
        <v>38</v>
      </c>
      <c r="E2786" s="1" t="n">
        <v>0.36</v>
      </c>
      <c r="F2786" s="1" t="n">
        <v>1.95</v>
      </c>
      <c r="G2786" s="1" t="n">
        <v>0.77</v>
      </c>
      <c r="H2786" s="1" t="n">
        <v>34</v>
      </c>
      <c r="I2786" s="1" t="n">
        <v>0.39</v>
      </c>
      <c r="J2786" t="n">
        <v>53109200</v>
      </c>
    </row>
    <row r="2787" ht="15.75" customHeight="1" s="201">
      <c r="A2787" s="1" t="inlineStr">
        <is>
          <t>Corn, sweet, yellow, canned, cream style, no salt added</t>
        </is>
      </c>
      <c r="C2787" s="1" t="n">
        <v>18.13</v>
      </c>
      <c r="D2787" s="1" t="n">
        <v>45</v>
      </c>
      <c r="E2787" s="1" t="n">
        <v>0.38</v>
      </c>
      <c r="F2787" s="1" t="n">
        <v>1.74</v>
      </c>
      <c r="G2787" s="1" t="n">
        <v>0.42</v>
      </c>
      <c r="H2787" s="1" t="n">
        <v>74</v>
      </c>
      <c r="I2787" s="1" t="n">
        <v>0.53</v>
      </c>
      <c r="J2787" t="n">
        <v>75216320</v>
      </c>
    </row>
    <row r="2788" ht="15.75" customHeight="1" s="201">
      <c r="A2788" s="1" t="inlineStr">
        <is>
          <t>Corn, sweet, yellow, canned, cream style, regular pack</t>
        </is>
      </c>
      <c r="C2788" s="1" t="n">
        <v>18.13</v>
      </c>
      <c r="D2788" s="1" t="n">
        <v>45</v>
      </c>
      <c r="E2788" s="1" t="n">
        <v>0.38</v>
      </c>
      <c r="F2788" s="1" t="n">
        <v>1.74</v>
      </c>
      <c r="G2788" s="1" t="n">
        <v>0.42</v>
      </c>
      <c r="H2788" s="1" t="n">
        <v>74</v>
      </c>
      <c r="I2788" s="1" t="n">
        <v>0.53</v>
      </c>
      <c r="J2788" t="n">
        <v>53109200</v>
      </c>
    </row>
    <row r="2789" ht="15.75" customHeight="1" s="201">
      <c r="A2789" s="1" t="inlineStr">
        <is>
          <t>Corn, sweet, yellow, canned, drained solids, rinsed with tap water</t>
        </is>
      </c>
      <c r="C2789" s="1" t="n">
        <v>13.02</v>
      </c>
      <c r="D2789" s="1" t="n">
        <v>29</v>
      </c>
      <c r="E2789" s="1" t="n">
        <v>0.22</v>
      </c>
      <c r="F2789" s="1" t="n">
        <v>2.18</v>
      </c>
      <c r="G2789" s="1" t="n">
        <v>1.43</v>
      </c>
      <c r="I2789" s="1" t="n">
        <v>0.28</v>
      </c>
      <c r="J2789" t="n">
        <v>11740312</v>
      </c>
    </row>
    <row r="2790" ht="15.75" customHeight="1" s="201">
      <c r="A2790" s="1" t="inlineStr">
        <is>
          <t>Corn, sweet, yellow, canned, no salt added, solids and liquids (Includes foods for USDA's Food Distribution Program)</t>
        </is>
      </c>
      <c r="C2790" s="1" t="n">
        <v>13.86</v>
      </c>
      <c r="D2790" s="1" t="n">
        <v>38</v>
      </c>
      <c r="E2790" s="1" t="n">
        <v>0.36</v>
      </c>
      <c r="F2790" s="1" t="n">
        <v>1.95</v>
      </c>
      <c r="G2790" s="1" t="n">
        <v>0.77</v>
      </c>
      <c r="H2790" s="1" t="n">
        <v>34</v>
      </c>
      <c r="I2790" s="1" t="n">
        <v>0.39</v>
      </c>
      <c r="J2790" t="n">
        <v>75216320</v>
      </c>
    </row>
    <row r="2791" ht="15.75" customHeight="1" s="201">
      <c r="A2791" s="1" t="inlineStr">
        <is>
          <t>Corn, sweet, yellow, canned, vacuum pack, no salt added</t>
        </is>
      </c>
      <c r="C2791" s="1" t="n">
        <v>19.44</v>
      </c>
      <c r="D2791" s="1" t="n">
        <v>49</v>
      </c>
      <c r="E2791" s="1" t="n">
        <v>0.42</v>
      </c>
      <c r="F2791" s="1" t="n">
        <v>2.41</v>
      </c>
      <c r="G2791" s="1" t="n">
        <v>0.5</v>
      </c>
      <c r="H2791" s="1" t="n">
        <v>81</v>
      </c>
      <c r="I2791" s="1" t="n">
        <v>0.46</v>
      </c>
      <c r="J2791" t="n">
        <v>53109200</v>
      </c>
    </row>
    <row r="2792" ht="15.75" customHeight="1" s="201">
      <c r="A2792" s="1" t="inlineStr">
        <is>
          <t>Corn, sweet, yellow, canned, vacuum pack, regular pack</t>
        </is>
      </c>
      <c r="C2792" s="1" t="n">
        <v>19.44</v>
      </c>
      <c r="D2792" s="1" t="n">
        <v>49</v>
      </c>
      <c r="E2792" s="1" t="n">
        <v>0.42</v>
      </c>
      <c r="F2792" s="1" t="n">
        <v>2.41</v>
      </c>
      <c r="G2792" s="1" t="n">
        <v>0.5</v>
      </c>
      <c r="H2792" s="1" t="n">
        <v>81</v>
      </c>
      <c r="I2792" s="1" t="n">
        <v>0.46</v>
      </c>
      <c r="J2792" t="n">
        <v>53109200</v>
      </c>
    </row>
    <row r="2793" ht="15.75" customHeight="1" s="201">
      <c r="A2793" s="1" t="inlineStr">
        <is>
          <t>Corn, sweet, yellow, canned, whole kernel, drained solids</t>
        </is>
      </c>
      <c r="C2793" s="1" t="n">
        <v>14.34</v>
      </c>
      <c r="D2793" s="1" t="n">
        <v>39</v>
      </c>
      <c r="E2793" s="1" t="n">
        <v>0.27</v>
      </c>
      <c r="F2793" s="1" t="n">
        <v>2.29</v>
      </c>
      <c r="G2793" s="1" t="n">
        <v>1.22</v>
      </c>
      <c r="H2793" s="1" t="n">
        <v>46</v>
      </c>
      <c r="I2793" s="1" t="n">
        <v>0.32</v>
      </c>
      <c r="J2793" t="n">
        <v>53109200</v>
      </c>
    </row>
    <row r="2794" ht="15.75" customHeight="1" s="201">
      <c r="A2794" s="1" t="inlineStr">
        <is>
          <t>Corn, sweet, yellow, cooked, boiled, drained, with salt</t>
        </is>
      </c>
      <c r="C2794" s="1" t="n">
        <v>20.98</v>
      </c>
      <c r="D2794" s="1" t="n">
        <v>23</v>
      </c>
      <c r="E2794" s="1" t="n">
        <v>0.45</v>
      </c>
      <c r="F2794" s="1" t="n">
        <v>3.41</v>
      </c>
      <c r="G2794" s="1" t="n">
        <v>1.5</v>
      </c>
      <c r="H2794" s="1" t="n">
        <v>263</v>
      </c>
      <c r="I2794" s="1" t="n">
        <v>0.62</v>
      </c>
      <c r="J2794" t="n">
        <v>75142550</v>
      </c>
    </row>
    <row r="2795" ht="15.75" customHeight="1" s="201">
      <c r="A2795" s="1" t="inlineStr">
        <is>
          <t>Corn, sweet, yellow, cooked, boiled, drained, without salt</t>
        </is>
      </c>
      <c r="C2795" s="1" t="n">
        <v>20.98</v>
      </c>
      <c r="D2795" s="1" t="n">
        <v>23</v>
      </c>
      <c r="E2795" s="1" t="n">
        <v>0.45</v>
      </c>
      <c r="F2795" s="1" t="n">
        <v>3.41</v>
      </c>
      <c r="G2795" s="1" t="n">
        <v>1.5</v>
      </c>
      <c r="H2795" s="1" t="n">
        <v>263</v>
      </c>
      <c r="I2795" s="1" t="n">
        <v>0.62</v>
      </c>
      <c r="J2795" t="n">
        <v>53109200</v>
      </c>
    </row>
    <row r="2796" ht="15.75" customHeight="1" s="201">
      <c r="A2796" s="1" t="inlineStr">
        <is>
          <t>Corn, sweet, yellow, frozen, kernels cut off cob, boiled, drained, without salt</t>
        </is>
      </c>
      <c r="C2796" s="1" t="n">
        <v>19.3</v>
      </c>
      <c r="D2796" s="1" t="n">
        <v>35</v>
      </c>
      <c r="E2796" s="1" t="n">
        <v>0.47</v>
      </c>
      <c r="F2796" s="1" t="n">
        <v>2.55</v>
      </c>
      <c r="G2796" s="1" t="n">
        <v>0.67</v>
      </c>
      <c r="H2796" s="1" t="n">
        <v>199</v>
      </c>
      <c r="I2796" s="1" t="n">
        <v>0.63</v>
      </c>
      <c r="J2796" t="n">
        <v>53109200</v>
      </c>
    </row>
    <row r="2797" ht="15.75" customHeight="1" s="201">
      <c r="A2797" s="1" t="inlineStr">
        <is>
          <t>Corn, sweet, yellow, frozen, kernels cut off cob, unprepared (Includes foods for USDA's Food Distribution Program)</t>
        </is>
      </c>
      <c r="C2797" s="1" t="n">
        <v>20.71</v>
      </c>
      <c r="D2797" s="1" t="n">
        <v>36</v>
      </c>
      <c r="E2797" s="1" t="n">
        <v>0.42</v>
      </c>
      <c r="F2797" s="1" t="n">
        <v>3.02</v>
      </c>
      <c r="G2797" s="1" t="n">
        <v>0.78</v>
      </c>
      <c r="H2797" s="1" t="n">
        <v>195</v>
      </c>
      <c r="I2797" s="1" t="n">
        <v>0.38</v>
      </c>
      <c r="J2797" t="n">
        <v>76409010</v>
      </c>
    </row>
    <row r="2798" ht="15.75" customHeight="1" s="201">
      <c r="A2798" s="1" t="inlineStr">
        <is>
          <t>Corn, sweet, yellow, frozen, kernels on cob, cooked, boiled, drained, with salt</t>
        </is>
      </c>
      <c r="C2798" s="1" t="n">
        <v>22.33</v>
      </c>
      <c r="D2798" s="1" t="n">
        <v>31</v>
      </c>
      <c r="E2798" s="1" t="n">
        <v>0.61</v>
      </c>
      <c r="F2798" s="1" t="n">
        <v>3.11</v>
      </c>
      <c r="G2798" s="1" t="n">
        <v>0.74</v>
      </c>
      <c r="H2798" s="1" t="n">
        <v>232</v>
      </c>
      <c r="I2798" s="1" t="n">
        <v>0.63</v>
      </c>
      <c r="J2798" t="n">
        <v>75142550</v>
      </c>
    </row>
    <row r="2799" ht="15.75" customHeight="1" s="201">
      <c r="A2799" s="1" t="inlineStr">
        <is>
          <t>Corn, sweet, yellow, frozen, kernels on cob, cooked, boiled, drained, without salt</t>
        </is>
      </c>
      <c r="C2799" s="1" t="n">
        <v>22.33</v>
      </c>
      <c r="D2799" s="1" t="n">
        <v>31</v>
      </c>
      <c r="E2799" s="1" t="n">
        <v>0.61</v>
      </c>
      <c r="F2799" s="1" t="n">
        <v>3.11</v>
      </c>
      <c r="G2799" s="1" t="n">
        <v>0.74</v>
      </c>
      <c r="H2799" s="1" t="n">
        <v>232</v>
      </c>
      <c r="I2799" s="1" t="n">
        <v>0.63</v>
      </c>
      <c r="J2799" t="n">
        <v>53109200</v>
      </c>
    </row>
    <row r="2800" ht="15.75" customHeight="1" s="201">
      <c r="A2800" s="1" t="inlineStr">
        <is>
          <t>Corn, sweet, yellow, frozen, kernels on cob, unprepared</t>
        </is>
      </c>
      <c r="C2800" s="1" t="n">
        <v>23.5</v>
      </c>
      <c r="D2800" s="1" t="n">
        <v>40</v>
      </c>
      <c r="E2800" s="1" t="n">
        <v>0.68</v>
      </c>
      <c r="F2800" s="1" t="n">
        <v>3.28</v>
      </c>
      <c r="G2800" s="1" t="n">
        <v>0.78</v>
      </c>
      <c r="H2800" s="1" t="n">
        <v>244</v>
      </c>
      <c r="I2800" s="1" t="n">
        <v>0.7</v>
      </c>
      <c r="J2800" t="n">
        <v>53109200</v>
      </c>
    </row>
    <row r="2801" ht="15.75" customHeight="1" s="201">
      <c r="A2801" s="1" t="inlineStr">
        <is>
          <t>Corn, sweet, yellow, frozen, kernels, cut off cob, boiled, drained, with salt</t>
        </is>
      </c>
      <c r="C2801" s="1" t="n">
        <v>18.71</v>
      </c>
      <c r="D2801" s="1" t="n">
        <v>35</v>
      </c>
      <c r="E2801" s="1" t="n">
        <v>0.47</v>
      </c>
      <c r="F2801" s="1" t="n">
        <v>2.55</v>
      </c>
      <c r="G2801" s="1" t="n">
        <v>0.67</v>
      </c>
      <c r="H2801" s="1" t="n">
        <v>199</v>
      </c>
      <c r="I2801" s="1" t="n">
        <v>0.63</v>
      </c>
      <c r="J2801" t="n">
        <v>75142550</v>
      </c>
    </row>
    <row r="2802" ht="15.75" customHeight="1" s="201">
      <c r="A2802" s="1" t="inlineStr">
        <is>
          <t>Corn, sweet, yellow, raw</t>
        </is>
      </c>
      <c r="C2802" s="1" t="n">
        <v>18.7</v>
      </c>
      <c r="D2802" s="1" t="n">
        <v>42</v>
      </c>
      <c r="E2802" s="1" t="n">
        <v>0.52</v>
      </c>
      <c r="F2802" s="1" t="n">
        <v>3.27</v>
      </c>
      <c r="G2802" s="1" t="n">
        <v>1.35</v>
      </c>
      <c r="H2802" s="1" t="n">
        <v>187</v>
      </c>
      <c r="I2802" s="1" t="n">
        <v>0.46</v>
      </c>
      <c r="J2802" t="n">
        <v>53109200</v>
      </c>
    </row>
    <row r="2803" ht="15.75" customHeight="1" s="201">
      <c r="A2803" s="1" t="inlineStr">
        <is>
          <t>Corn, white, steamed (Navajo)</t>
        </is>
      </c>
      <c r="C2803" s="1" t="n">
        <v>75.2</v>
      </c>
      <c r="D2803" s="1" t="n">
        <v>100</v>
      </c>
      <c r="E2803" s="1" t="n">
        <v>2.29</v>
      </c>
      <c r="F2803" s="1" t="n">
        <v>9.720000000000001</v>
      </c>
      <c r="G2803" s="1" t="n">
        <v>5.18</v>
      </c>
      <c r="I2803" s="1" t="n">
        <v>3.15</v>
      </c>
      <c r="J2803" t="n">
        <v>54401055</v>
      </c>
    </row>
    <row r="2804" ht="15.75" customHeight="1" s="201">
      <c r="A2804" s="1" t="inlineStr">
        <is>
          <t>Corn, yellow, whole kernel, frozen, microwaved</t>
        </is>
      </c>
      <c r="C2804" s="1" t="n">
        <v>25.87</v>
      </c>
      <c r="D2804" s="1" t="n">
        <v>38</v>
      </c>
      <c r="E2804" s="1" t="n">
        <v>0.39</v>
      </c>
      <c r="F2804" s="1" t="n">
        <v>3.62</v>
      </c>
      <c r="G2804" s="1" t="n">
        <v>1.42</v>
      </c>
      <c r="H2804" s="1" t="n">
        <v>234</v>
      </c>
      <c r="I2804" s="1" t="n">
        <v>0.53</v>
      </c>
      <c r="J2804" t="n">
        <v>53109200</v>
      </c>
    </row>
    <row r="2805" ht="15.75" customHeight="1" s="201">
      <c r="A2805" s="1" t="inlineStr">
        <is>
          <t>Corned beef and potatoes in tortilla (Apache)</t>
        </is>
      </c>
      <c r="C2805" s="1" t="n">
        <v>29.35</v>
      </c>
      <c r="D2805" s="1" t="n">
        <v>70</v>
      </c>
      <c r="E2805" s="1" t="n">
        <v>1.8</v>
      </c>
      <c r="F2805" s="1" t="n">
        <v>7.91</v>
      </c>
      <c r="G2805" s="1" t="n">
        <v>8.31</v>
      </c>
      <c r="I2805" s="1" t="n">
        <v>0.88</v>
      </c>
      <c r="J2805" t="n">
        <v>28110510</v>
      </c>
    </row>
    <row r="2806" ht="15.75" customHeight="1" s="201">
      <c r="A2806" s="1" t="inlineStr">
        <is>
          <t>Corned beef loaf, jellied</t>
        </is>
      </c>
      <c r="C2806" s="1" t="n">
        <v>0</v>
      </c>
      <c r="D2806" s="1" t="n">
        <v>8</v>
      </c>
      <c r="E2806" s="1" t="n">
        <v>2.04</v>
      </c>
      <c r="F2806" s="1" t="n">
        <v>22.9</v>
      </c>
      <c r="G2806" s="1" t="n">
        <v>6.1</v>
      </c>
      <c r="H2806" s="1" t="n">
        <v>0</v>
      </c>
      <c r="I2806" s="1" t="n">
        <v>4.09</v>
      </c>
      <c r="J2806" t="n">
        <v>28110510</v>
      </c>
    </row>
    <row r="2807" ht="15.75" customHeight="1" s="201">
      <c r="A2807" s="1" t="inlineStr">
        <is>
          <t>Cornmeal, blue (Navajo)</t>
        </is>
      </c>
      <c r="C2807" s="1" t="n">
        <v>76.93000000000001</v>
      </c>
      <c r="D2807" s="1" t="n">
        <v>58</v>
      </c>
      <c r="E2807" s="1" t="n">
        <v>2.91</v>
      </c>
      <c r="F2807" s="1" t="n">
        <v>10.4</v>
      </c>
      <c r="G2807" s="1" t="n">
        <v>5.44</v>
      </c>
      <c r="I2807" s="1" t="n">
        <v>2.91</v>
      </c>
      <c r="J2807" t="n">
        <v>83101000</v>
      </c>
    </row>
    <row r="2808" ht="15.75" customHeight="1" s="201">
      <c r="A2808" s="1" t="inlineStr">
        <is>
          <t>Cornmeal, degermed, enriched, white</t>
        </is>
      </c>
      <c r="C2808" s="1" t="n">
        <v>79.45</v>
      </c>
      <c r="D2808" s="1" t="n">
        <v>209</v>
      </c>
      <c r="E2808" s="1" t="n">
        <v>4.36</v>
      </c>
      <c r="F2808" s="1" t="n">
        <v>7.11</v>
      </c>
      <c r="G2808" s="1" t="n">
        <v>1.75</v>
      </c>
      <c r="H2808" s="1" t="n">
        <v>3</v>
      </c>
      <c r="I2808" s="1" t="n">
        <v>0.66</v>
      </c>
      <c r="J2808" t="n">
        <v>53109200</v>
      </c>
    </row>
    <row r="2809" ht="15.75" customHeight="1" s="201">
      <c r="A2809" s="1" t="inlineStr">
        <is>
          <t>Cornmeal, degermed, enriched, yellow</t>
        </is>
      </c>
      <c r="C2809" s="1" t="n">
        <v>79.45</v>
      </c>
      <c r="D2809" s="1" t="n">
        <v>209</v>
      </c>
      <c r="E2809" s="1" t="n">
        <v>4.36</v>
      </c>
      <c r="F2809" s="1" t="n">
        <v>7.11</v>
      </c>
      <c r="G2809" s="1" t="n">
        <v>1.75</v>
      </c>
      <c r="H2809" s="1" t="n">
        <v>214</v>
      </c>
      <c r="I2809" s="1" t="n">
        <v>0.66</v>
      </c>
      <c r="J2809" t="n">
        <v>53109200</v>
      </c>
    </row>
    <row r="2810" ht="15.75" customHeight="1" s="201">
      <c r="A2810" s="1" t="inlineStr">
        <is>
          <t>Cornmeal, degermed, unenriched, white</t>
        </is>
      </c>
      <c r="C2810" s="1" t="n">
        <v>79.45</v>
      </c>
      <c r="D2810" s="1" t="n">
        <v>30</v>
      </c>
      <c r="E2810" s="1" t="n">
        <v>1.1</v>
      </c>
      <c r="F2810" s="1" t="n">
        <v>7.11</v>
      </c>
      <c r="G2810" s="1" t="n">
        <v>1.75</v>
      </c>
      <c r="H2810" s="1" t="n">
        <v>3</v>
      </c>
      <c r="I2810" s="1" t="n">
        <v>0.66</v>
      </c>
      <c r="J2810" t="n">
        <v>53109200</v>
      </c>
    </row>
    <row r="2811" ht="15.75" customHeight="1" s="201">
      <c r="A2811" s="1" t="inlineStr">
        <is>
          <t>Cornmeal, degermed, unenriched, yellow</t>
        </is>
      </c>
      <c r="C2811" s="1" t="n">
        <v>79.45</v>
      </c>
      <c r="D2811" s="1" t="n">
        <v>30</v>
      </c>
      <c r="E2811" s="1" t="n">
        <v>1.1</v>
      </c>
      <c r="F2811" s="1" t="n">
        <v>7.11</v>
      </c>
      <c r="G2811" s="1" t="n">
        <v>1.75</v>
      </c>
      <c r="H2811" s="1" t="n">
        <v>214</v>
      </c>
      <c r="I2811" s="1" t="n">
        <v>0.66</v>
      </c>
      <c r="J2811" t="n">
        <v>53109200</v>
      </c>
    </row>
    <row r="2812" ht="15.75" customHeight="1" s="201">
      <c r="A2812" s="1" t="inlineStr">
        <is>
          <t>Cornmeal, white (Navajo)</t>
        </is>
      </c>
      <c r="C2812" s="1" t="n">
        <v>77.14</v>
      </c>
      <c r="D2812" s="1" t="n">
        <v>32</v>
      </c>
      <c r="E2812" s="1" t="n">
        <v>3.79</v>
      </c>
      <c r="F2812" s="1" t="n">
        <v>10.99</v>
      </c>
      <c r="G2812" s="1" t="n">
        <v>5.04</v>
      </c>
      <c r="I2812" s="1" t="n">
        <v>3.24</v>
      </c>
      <c r="J2812" t="n">
        <v>53109200</v>
      </c>
    </row>
    <row r="2813" ht="15.75" customHeight="1" s="201">
      <c r="A2813" s="1" t="inlineStr">
        <is>
          <t>Cornmeal, white, self-rising, bolted, plain, enriched</t>
        </is>
      </c>
      <c r="C2813" s="1" t="n">
        <v>70.28</v>
      </c>
      <c r="D2813" s="1" t="n">
        <v>233</v>
      </c>
      <c r="E2813" s="1" t="n">
        <v>5.76</v>
      </c>
      <c r="F2813" s="1" t="n">
        <v>8.279999999999999</v>
      </c>
      <c r="G2813" s="1" t="n">
        <v>3.4</v>
      </c>
      <c r="H2813" s="1" t="n">
        <v>0</v>
      </c>
      <c r="I2813" s="1" t="n">
        <v>2</v>
      </c>
    </row>
    <row r="2814" ht="15.75" customHeight="1" s="201">
      <c r="A2814" s="1" t="inlineStr">
        <is>
          <t>Cornmeal, white, self-rising, bolted, with wheat flour added, enriched</t>
        </is>
      </c>
      <c r="C2814" s="1" t="n">
        <v>73.43000000000001</v>
      </c>
      <c r="D2814" s="1" t="n">
        <v>264</v>
      </c>
      <c r="E2814" s="1" t="n">
        <v>4.95</v>
      </c>
      <c r="F2814" s="1" t="n">
        <v>8.41</v>
      </c>
      <c r="G2814" s="1" t="n">
        <v>2.85</v>
      </c>
      <c r="H2814" s="1" t="n">
        <v>0</v>
      </c>
      <c r="I2814" s="1" t="n">
        <v>1.39</v>
      </c>
      <c r="J2814" t="n">
        <v>54338000</v>
      </c>
    </row>
    <row r="2815" ht="15.75" customHeight="1" s="201">
      <c r="A2815" s="1" t="inlineStr">
        <is>
          <t>Cornmeal, white, self-rising, degermed, enriched</t>
        </is>
      </c>
      <c r="C2815" s="1" t="n">
        <v>74.79000000000001</v>
      </c>
      <c r="D2815" s="1" t="n">
        <v>233</v>
      </c>
      <c r="E2815" s="1" t="n">
        <v>4.73</v>
      </c>
      <c r="F2815" s="1" t="n">
        <v>8.41</v>
      </c>
      <c r="G2815" s="1" t="n">
        <v>1.72</v>
      </c>
      <c r="H2815" s="1" t="n">
        <v>0</v>
      </c>
      <c r="I2815" s="1" t="n">
        <v>1</v>
      </c>
      <c r="J2815" t="n">
        <v>53109200</v>
      </c>
    </row>
    <row r="2816" ht="15.75" customHeight="1" s="201">
      <c r="A2816" s="1" t="inlineStr">
        <is>
          <t>Cornmeal, whole-grain, white</t>
        </is>
      </c>
      <c r="C2816" s="1" t="n">
        <v>76.89</v>
      </c>
      <c r="D2816" s="1" t="n">
        <v>25</v>
      </c>
      <c r="E2816" s="1" t="n">
        <v>3.45</v>
      </c>
      <c r="F2816" s="1" t="n">
        <v>8.119999999999999</v>
      </c>
      <c r="G2816" s="1" t="n">
        <v>3.59</v>
      </c>
      <c r="H2816" s="1" t="n">
        <v>3</v>
      </c>
      <c r="I2816" s="1" t="n">
        <v>1.82</v>
      </c>
      <c r="J2816" t="n">
        <v>54204030</v>
      </c>
    </row>
    <row r="2817" ht="15.75" customHeight="1" s="201">
      <c r="A2817" s="1" t="inlineStr">
        <is>
          <t>Cornmeal, whole-grain, yellow</t>
        </is>
      </c>
      <c r="C2817" s="1" t="n">
        <v>76.89</v>
      </c>
      <c r="D2817" s="1" t="n">
        <v>25</v>
      </c>
      <c r="E2817" s="1" t="n">
        <v>3.45</v>
      </c>
      <c r="F2817" s="1" t="n">
        <v>8.119999999999999</v>
      </c>
      <c r="G2817" s="1" t="n">
        <v>3.59</v>
      </c>
      <c r="H2817" s="1" t="n">
        <v>214</v>
      </c>
      <c r="I2817" s="1" t="n">
        <v>1.82</v>
      </c>
      <c r="J2817" t="n">
        <v>54204030</v>
      </c>
    </row>
    <row r="2818" ht="15.75" customHeight="1" s="201">
      <c r="A2818" s="1" t="inlineStr">
        <is>
          <t>Cornmeal, yellow (Navajo)</t>
        </is>
      </c>
      <c r="C2818" s="1" t="n">
        <v>72.90000000000001</v>
      </c>
      <c r="D2818" s="1" t="n">
        <v>34</v>
      </c>
      <c r="E2818" s="1" t="n">
        <v>2.99</v>
      </c>
      <c r="F2818" s="1" t="n">
        <v>9.85</v>
      </c>
      <c r="G2818" s="1" t="n">
        <v>5.88</v>
      </c>
      <c r="I2818" s="1" t="n">
        <v>3.1</v>
      </c>
      <c r="J2818" t="n">
        <v>53109200</v>
      </c>
    </row>
    <row r="2819" ht="15.75" customHeight="1" s="201">
      <c r="A2819" s="1" t="inlineStr">
        <is>
          <t>Cornmeal, yellow, self-rising, bolted, plain, enriched</t>
        </is>
      </c>
      <c r="C2819" s="1" t="n">
        <v>70.28</v>
      </c>
      <c r="D2819" s="1" t="n">
        <v>233</v>
      </c>
      <c r="E2819" s="1" t="n">
        <v>5.76</v>
      </c>
      <c r="F2819" s="1" t="n">
        <v>8.279999999999999</v>
      </c>
      <c r="G2819" s="1" t="n">
        <v>3.4</v>
      </c>
      <c r="H2819" s="1" t="n">
        <v>469</v>
      </c>
      <c r="I2819" s="1" t="n">
        <v>2</v>
      </c>
      <c r="J2819" t="n">
        <v>53109200</v>
      </c>
    </row>
    <row r="2820" ht="15.75" customHeight="1" s="201">
      <c r="A2820" s="1" t="inlineStr">
        <is>
          <t>Cornmeal, yellow, self-rising, bolted, with wheat flour added, enriched</t>
        </is>
      </c>
      <c r="C2820" s="1" t="n">
        <v>73.43000000000001</v>
      </c>
      <c r="D2820" s="1" t="n">
        <v>264</v>
      </c>
      <c r="E2820" s="1" t="n">
        <v>4.95</v>
      </c>
      <c r="F2820" s="1" t="n">
        <v>8.41</v>
      </c>
      <c r="G2820" s="1" t="n">
        <v>2.85</v>
      </c>
      <c r="H2820" s="1" t="n">
        <v>287</v>
      </c>
      <c r="I2820" s="1" t="n">
        <v>1.39</v>
      </c>
      <c r="J2820" t="n">
        <v>54338000</v>
      </c>
    </row>
    <row r="2821" ht="15.75" customHeight="1" s="201">
      <c r="A2821" s="1" t="inlineStr">
        <is>
          <t>Cornmeal, yellow, self-rising, degermed, enriched</t>
        </is>
      </c>
      <c r="C2821" s="1" t="n">
        <v>74.79000000000001</v>
      </c>
      <c r="D2821" s="1" t="n">
        <v>233</v>
      </c>
      <c r="E2821" s="1" t="n">
        <v>4.73</v>
      </c>
      <c r="F2821" s="1" t="n">
        <v>8.41</v>
      </c>
      <c r="G2821" s="1" t="n">
        <v>1.72</v>
      </c>
      <c r="H2821" s="1" t="n">
        <v>214</v>
      </c>
      <c r="I2821" s="1" t="n">
        <v>1</v>
      </c>
      <c r="J2821" t="n">
        <v>53109200</v>
      </c>
    </row>
    <row r="2822" ht="15.75" customHeight="1" s="201">
      <c r="A2822" s="1" t="inlineStr">
        <is>
          <t>Cornsalad, raw</t>
        </is>
      </c>
      <c r="C2822" s="1" t="n">
        <v>3.6</v>
      </c>
      <c r="D2822" s="1" t="n">
        <v>14</v>
      </c>
      <c r="E2822" s="1" t="n">
        <v>2.18</v>
      </c>
      <c r="F2822" s="1" t="n">
        <v>2</v>
      </c>
      <c r="G2822" s="1" t="n">
        <v>0.4</v>
      </c>
      <c r="H2822" s="1" t="n">
        <v>7092</v>
      </c>
      <c r="I2822" s="1" t="n">
        <v>0.59</v>
      </c>
    </row>
    <row r="2823" ht="15.75" customHeight="1" s="201">
      <c r="A2823" s="1" t="inlineStr">
        <is>
          <t>Cornstarch</t>
        </is>
      </c>
      <c r="C2823" s="1" t="n">
        <v>91.27</v>
      </c>
      <c r="D2823" s="1" t="n">
        <v>0</v>
      </c>
      <c r="E2823" s="1" t="n">
        <v>0.47</v>
      </c>
      <c r="F2823" s="1" t="n">
        <v>0.26</v>
      </c>
      <c r="G2823" s="1" t="n">
        <v>0.05</v>
      </c>
      <c r="H2823" s="1" t="n">
        <v>0</v>
      </c>
      <c r="I2823" s="1" t="n">
        <v>0.06</v>
      </c>
    </row>
    <row r="2824" ht="15.75" customHeight="1" s="201">
      <c r="A2824" s="1" t="inlineStr">
        <is>
          <t>Couscous, cooked</t>
        </is>
      </c>
      <c r="C2824" s="1" t="n">
        <v>23.22</v>
      </c>
      <c r="D2824" s="1" t="n">
        <v>15</v>
      </c>
      <c r="E2824" s="1" t="n">
        <v>0.38</v>
      </c>
      <c r="F2824" s="1" t="n">
        <v>3.79</v>
      </c>
      <c r="G2824" s="1" t="n">
        <v>0.16</v>
      </c>
      <c r="H2824" s="1" t="n">
        <v>0</v>
      </c>
      <c r="I2824" s="1" t="n">
        <v>0.26</v>
      </c>
      <c r="J2824" t="n">
        <v>56207160</v>
      </c>
    </row>
    <row r="2825" ht="15.75" customHeight="1" s="201">
      <c r="A2825" s="1" t="inlineStr">
        <is>
          <t>Couscous, dry</t>
        </is>
      </c>
      <c r="C2825" s="1" t="n">
        <v>77.43000000000001</v>
      </c>
      <c r="D2825" s="1" t="n">
        <v>20</v>
      </c>
      <c r="E2825" s="1" t="n">
        <v>1.08</v>
      </c>
      <c r="F2825" s="1" t="n">
        <v>12.76</v>
      </c>
      <c r="G2825" s="1" t="n">
        <v>0.64</v>
      </c>
      <c r="H2825" s="1" t="n">
        <v>0</v>
      </c>
      <c r="I2825" s="1" t="n">
        <v>0.83</v>
      </c>
      <c r="J2825" t="n">
        <v>56207160</v>
      </c>
    </row>
    <row r="2826" ht="15.75" customHeight="1" s="201">
      <c r="A2826" s="1" t="inlineStr">
        <is>
          <t>Couscous</t>
        </is>
      </c>
      <c r="J2826" t="n">
        <v>56207160</v>
      </c>
    </row>
    <row r="2827" ht="15.75" customHeight="1" s="201">
      <c r="A2827" s="1" t="inlineStr">
        <is>
          <t>Cowpeas (blackeyes), immature seeds, cooked, boiled, drained, with salt</t>
        </is>
      </c>
      <c r="C2827" s="1" t="n">
        <v>19.73</v>
      </c>
      <c r="D2827" s="1" t="n">
        <v>127</v>
      </c>
      <c r="E2827" s="1" t="n">
        <v>1.12</v>
      </c>
      <c r="F2827" s="1" t="n">
        <v>3.17</v>
      </c>
      <c r="G2827" s="1" t="n">
        <v>0.38</v>
      </c>
      <c r="H2827" s="1" t="n">
        <v>791</v>
      </c>
      <c r="I2827" s="1" t="n">
        <v>1.03</v>
      </c>
      <c r="J2827" t="n">
        <v>75142550</v>
      </c>
    </row>
    <row r="2828" ht="15.75" customHeight="1" s="201">
      <c r="A2828" s="1" t="inlineStr">
        <is>
          <t>Cowpeas (blackeyes), immature seeds, cooked, boiled, drained, without salt</t>
        </is>
      </c>
      <c r="C2828" s="1" t="n">
        <v>20.32</v>
      </c>
      <c r="D2828" s="1" t="n">
        <v>127</v>
      </c>
      <c r="E2828" s="1" t="n">
        <v>1.12</v>
      </c>
      <c r="F2828" s="1" t="n">
        <v>3.17</v>
      </c>
      <c r="G2828" s="1" t="n">
        <v>0.38</v>
      </c>
      <c r="H2828" s="1" t="n">
        <v>791</v>
      </c>
      <c r="I2828" s="1" t="n">
        <v>1.03</v>
      </c>
    </row>
    <row r="2829" ht="15.75" customHeight="1" s="201">
      <c r="A2829" s="1" t="inlineStr">
        <is>
          <t>Cowpeas (blackeyes), immature seeds, frozen, cooked, boiled, drained, with salt</t>
        </is>
      </c>
      <c r="C2829" s="1" t="n">
        <v>23.5</v>
      </c>
      <c r="D2829" s="1" t="n">
        <v>141</v>
      </c>
      <c r="E2829" s="1" t="n">
        <v>2.12</v>
      </c>
      <c r="F2829" s="1" t="n">
        <v>8.49</v>
      </c>
      <c r="G2829" s="1" t="n">
        <v>0.66</v>
      </c>
      <c r="H2829" s="1" t="n">
        <v>75</v>
      </c>
      <c r="I2829" s="1" t="n">
        <v>1.42</v>
      </c>
      <c r="J2829" t="n">
        <v>75142550</v>
      </c>
    </row>
    <row r="2830" ht="15.75" customHeight="1" s="201">
      <c r="A2830" s="1" t="inlineStr">
        <is>
          <t>Cowpeas (blackeyes), immature seeds, frozen, cooked, boiled, drained, without salt</t>
        </is>
      </c>
      <c r="C2830" s="1" t="n">
        <v>23.76</v>
      </c>
      <c r="D2830" s="1" t="n">
        <v>141</v>
      </c>
      <c r="E2830" s="1" t="n">
        <v>2.12</v>
      </c>
      <c r="F2830" s="1" t="n">
        <v>8.49</v>
      </c>
      <c r="G2830" s="1" t="n">
        <v>0.66</v>
      </c>
      <c r="H2830" s="1" t="n">
        <v>75</v>
      </c>
      <c r="I2830" s="1" t="n">
        <v>1.42</v>
      </c>
    </row>
    <row r="2831" ht="15.75" customHeight="1" s="201">
      <c r="A2831" s="1" t="inlineStr">
        <is>
          <t>Cowpeas (blackeyes), immature seeds, frozen, unprepared</t>
        </is>
      </c>
      <c r="C2831" s="1" t="n">
        <v>25.13</v>
      </c>
      <c r="D2831" s="1" t="n">
        <v>187</v>
      </c>
      <c r="E2831" s="1" t="n">
        <v>2.35</v>
      </c>
      <c r="F2831" s="1" t="n">
        <v>8.98</v>
      </c>
      <c r="G2831" s="1" t="n">
        <v>0.7</v>
      </c>
      <c r="H2831" s="1" t="n">
        <v>84</v>
      </c>
      <c r="I2831" s="1" t="n">
        <v>1.58</v>
      </c>
    </row>
    <row r="2832" ht="15.75" customHeight="1" s="201">
      <c r="A2832" s="1" t="inlineStr">
        <is>
          <t>Cowpeas (blackeyes), immature seeds, raw</t>
        </is>
      </c>
      <c r="C2832" s="1" t="n">
        <v>18.83</v>
      </c>
      <c r="D2832" s="1" t="n">
        <v>168</v>
      </c>
      <c r="E2832" s="1" t="n">
        <v>1.1</v>
      </c>
      <c r="F2832" s="1" t="n">
        <v>2.95</v>
      </c>
      <c r="G2832" s="1" t="n">
        <v>0.35</v>
      </c>
      <c r="H2832" s="1" t="n">
        <v>817</v>
      </c>
      <c r="I2832" s="1" t="n">
        <v>1.01</v>
      </c>
      <c r="J2832" t="n">
        <v>43101100</v>
      </c>
    </row>
    <row r="2833" ht="15.75" customHeight="1" s="201">
      <c r="A2833" s="1" t="inlineStr">
        <is>
          <t>Cowpeas, common (blackeyes, crowder, southern), mature seeds, canned with pork</t>
        </is>
      </c>
      <c r="C2833" s="1" t="n">
        <v>16.53</v>
      </c>
      <c r="D2833" s="1" t="n">
        <v>51</v>
      </c>
      <c r="E2833" s="1" t="n">
        <v>1.42</v>
      </c>
      <c r="F2833" s="1" t="n">
        <v>2.74</v>
      </c>
      <c r="G2833" s="1" t="n">
        <v>1.6</v>
      </c>
      <c r="H2833" s="1" t="n">
        <v>0</v>
      </c>
      <c r="I2833" s="1" t="n">
        <v>1.04</v>
      </c>
      <c r="J2833" t="n">
        <v>75142550</v>
      </c>
    </row>
    <row r="2834" ht="15.75" customHeight="1" s="201">
      <c r="A2834" s="1" t="inlineStr">
        <is>
          <t>Cowpeas, common (blackeyes, crowder, southern), mature seeds, canned, plain</t>
        </is>
      </c>
      <c r="C2834" s="1" t="n">
        <v>13.63</v>
      </c>
      <c r="D2834" s="1" t="n">
        <v>51</v>
      </c>
      <c r="E2834" s="1" t="n">
        <v>0.97</v>
      </c>
      <c r="F2834" s="1" t="n">
        <v>4.74</v>
      </c>
      <c r="G2834" s="1" t="n">
        <v>0.55</v>
      </c>
      <c r="H2834" s="1" t="n">
        <v>13</v>
      </c>
      <c r="I2834" s="1" t="n">
        <v>0.7</v>
      </c>
    </row>
    <row r="2835" ht="15.75" customHeight="1" s="201">
      <c r="A2835" s="1" t="inlineStr">
        <is>
          <t>Cowpeas, common (blackeyes, crowder, southern), mature seeds, cooked, boiled, without salt</t>
        </is>
      </c>
      <c r="C2835" s="1" t="n">
        <v>20.76</v>
      </c>
      <c r="D2835" s="1" t="n">
        <v>208</v>
      </c>
      <c r="E2835" s="1" t="n">
        <v>2.51</v>
      </c>
      <c r="F2835" s="1" t="n">
        <v>7.73</v>
      </c>
      <c r="G2835" s="1" t="n">
        <v>0.53</v>
      </c>
      <c r="H2835" s="1" t="n">
        <v>15</v>
      </c>
      <c r="I2835" s="1" t="n">
        <v>1.29</v>
      </c>
    </row>
    <row r="2836" ht="15.75" customHeight="1" s="201">
      <c r="A2836" s="1" t="inlineStr">
        <is>
          <t>Cowpeas, common (blackeyes, crowder, southern), mature seeds, raw</t>
        </is>
      </c>
      <c r="C2836" s="1" t="n">
        <v>60.03</v>
      </c>
      <c r="D2836" s="1" t="n">
        <v>633</v>
      </c>
      <c r="E2836" s="1" t="n">
        <v>8.27</v>
      </c>
      <c r="F2836" s="1" t="n">
        <v>23.52</v>
      </c>
      <c r="G2836" s="1" t="n">
        <v>1.26</v>
      </c>
      <c r="H2836" s="1" t="n">
        <v>50</v>
      </c>
      <c r="I2836" s="1" t="n">
        <v>3.37</v>
      </c>
    </row>
    <row r="2837" ht="15.75" customHeight="1" s="201">
      <c r="A2837" s="1" t="inlineStr">
        <is>
          <t>Cowpeas, leafy tips, cooked, boiled, drained, with salt</t>
        </is>
      </c>
      <c r="C2837" s="1" t="n">
        <v>2.8</v>
      </c>
      <c r="D2837" s="1" t="n">
        <v>60</v>
      </c>
      <c r="E2837" s="1" t="n">
        <v>1.09</v>
      </c>
      <c r="F2837" s="1" t="n">
        <v>4.67</v>
      </c>
      <c r="G2837" s="1" t="n">
        <v>0.1</v>
      </c>
      <c r="H2837" s="1" t="n">
        <v>576</v>
      </c>
      <c r="I2837" s="1" t="n">
        <v>0.24</v>
      </c>
      <c r="J2837" t="n">
        <v>75142550</v>
      </c>
    </row>
    <row r="2838" ht="15.75" customHeight="1" s="201">
      <c r="A2838" s="1" t="inlineStr">
        <is>
          <t>Cowpeas, leafy tips, cooked, boiled, drained, without salt</t>
        </is>
      </c>
      <c r="C2838" s="1" t="n">
        <v>2.8</v>
      </c>
      <c r="D2838" s="1" t="n">
        <v>60</v>
      </c>
      <c r="E2838" s="1" t="n">
        <v>1.09</v>
      </c>
      <c r="F2838" s="1" t="n">
        <v>4.67</v>
      </c>
      <c r="G2838" s="1" t="n">
        <v>0.1</v>
      </c>
      <c r="H2838" s="1" t="n">
        <v>576</v>
      </c>
      <c r="I2838" s="1" t="n">
        <v>0.24</v>
      </c>
      <c r="J2838" t="n">
        <v>31103010</v>
      </c>
    </row>
    <row r="2839" ht="15.75" customHeight="1" s="201">
      <c r="A2839" s="1" t="inlineStr">
        <is>
          <t>Cowpeas, leafy tips, raw</t>
        </is>
      </c>
      <c r="C2839" s="1" t="n">
        <v>4.82</v>
      </c>
      <c r="D2839" s="1" t="n">
        <v>101</v>
      </c>
      <c r="E2839" s="1" t="n">
        <v>1.92</v>
      </c>
      <c r="F2839" s="1" t="n">
        <v>4.1</v>
      </c>
      <c r="G2839" s="1" t="n">
        <v>0.25</v>
      </c>
      <c r="H2839" s="1" t="n">
        <v>712</v>
      </c>
      <c r="I2839" s="1" t="n">
        <v>0.29</v>
      </c>
      <c r="J2839" t="n">
        <v>28110250</v>
      </c>
    </row>
    <row r="2840" ht="15.75" customHeight="1" s="201">
      <c r="A2840" s="1" t="inlineStr">
        <is>
          <t>Cowpeas, young pods with seeds, cooked, boiled, drained, with salt</t>
        </is>
      </c>
      <c r="C2840" s="1" t="n">
        <v>7</v>
      </c>
      <c r="D2840" s="1" t="n">
        <v>26</v>
      </c>
      <c r="E2840" s="1" t="n">
        <v>0.7</v>
      </c>
      <c r="F2840" s="1" t="n">
        <v>2.6</v>
      </c>
      <c r="G2840" s="1" t="n">
        <v>0.3</v>
      </c>
      <c r="H2840" s="1" t="n">
        <v>1400</v>
      </c>
      <c r="I2840" s="1" t="n">
        <v>0.24</v>
      </c>
      <c r="J2840" t="n">
        <v>75142550</v>
      </c>
    </row>
    <row r="2841" ht="15.75" customHeight="1" s="201">
      <c r="A2841" s="1" t="inlineStr">
        <is>
          <t>Cowpeas, young pods with seeds, cooked, boiled, drained, without salt</t>
        </is>
      </c>
      <c r="C2841" s="1" t="n">
        <v>7</v>
      </c>
      <c r="D2841" s="1" t="n">
        <v>26</v>
      </c>
      <c r="E2841" s="1" t="n">
        <v>0.7</v>
      </c>
      <c r="F2841" s="1" t="n">
        <v>2.6</v>
      </c>
      <c r="G2841" s="1" t="n">
        <v>0.3</v>
      </c>
      <c r="H2841" s="1" t="n">
        <v>1400</v>
      </c>
      <c r="I2841" s="1" t="n">
        <v>0.24</v>
      </c>
      <c r="J2841" t="n">
        <v>75142550</v>
      </c>
    </row>
    <row r="2842" ht="15.75" customHeight="1" s="201">
      <c r="A2842" s="1" t="inlineStr">
        <is>
          <t>Cowpeas, young pods with seeds, raw</t>
        </is>
      </c>
      <c r="C2842" s="1" t="n">
        <v>9.5</v>
      </c>
      <c r="D2842" s="1" t="n">
        <v>53</v>
      </c>
      <c r="E2842" s="1" t="n">
        <v>1</v>
      </c>
      <c r="F2842" s="1" t="n">
        <v>3.3</v>
      </c>
      <c r="G2842" s="1" t="n">
        <v>0.3</v>
      </c>
      <c r="H2842" s="1" t="n">
        <v>1369</v>
      </c>
      <c r="I2842" s="1" t="n">
        <v>0.34</v>
      </c>
      <c r="J2842" t="n">
        <v>75142550</v>
      </c>
    </row>
    <row r="2843" ht="15.75" customHeight="1" s="201">
      <c r="A2843" s="1" t="inlineStr">
        <is>
          <t>Crabapples, raw</t>
        </is>
      </c>
      <c r="C2843" s="1" t="n">
        <v>19.95</v>
      </c>
      <c r="E2843" s="1" t="n">
        <v>0.36</v>
      </c>
      <c r="F2843" s="1" t="n">
        <v>0.4</v>
      </c>
      <c r="G2843" s="1" t="n">
        <v>0.3</v>
      </c>
      <c r="H2843" s="1" t="n">
        <v>40</v>
      </c>
    </row>
    <row r="2844" ht="15.75" customHeight="1" s="201">
      <c r="A2844" s="1" t="inlineStr">
        <is>
          <t>CRACKER BARREL, chicken tenderloin platter, fried</t>
        </is>
      </c>
      <c r="C2844" s="1" t="n">
        <v>20.29</v>
      </c>
      <c r="D2844" s="1" t="n">
        <v>7</v>
      </c>
      <c r="E2844" s="1" t="n">
        <v>0.59</v>
      </c>
      <c r="F2844" s="1" t="n">
        <v>18.06</v>
      </c>
      <c r="G2844" s="1" t="n">
        <v>15.48</v>
      </c>
      <c r="H2844" s="1" t="n">
        <v>11</v>
      </c>
      <c r="I2844" s="1" t="n">
        <v>0.66</v>
      </c>
      <c r="J2844" t="n">
        <v>27446320</v>
      </c>
    </row>
    <row r="2845" ht="15.75" customHeight="1" s="201">
      <c r="A2845" s="1" t="inlineStr">
        <is>
          <t>CRACKER BARREL, chicken tenderloin platter, fried, from kid's menu</t>
        </is>
      </c>
      <c r="C2845" s="1" t="n">
        <v>20.24</v>
      </c>
      <c r="D2845" s="1" t="n">
        <v>7</v>
      </c>
      <c r="E2845" s="1" t="n">
        <v>0.58</v>
      </c>
      <c r="F2845" s="1" t="n">
        <v>18.67</v>
      </c>
      <c r="G2845" s="1" t="n">
        <v>15.41</v>
      </c>
      <c r="H2845" s="1" t="n">
        <v>10</v>
      </c>
      <c r="I2845" s="1" t="n">
        <v>0.67</v>
      </c>
      <c r="J2845" t="n">
        <v>27446320</v>
      </c>
    </row>
    <row r="2846" ht="15.75" customHeight="1" s="201">
      <c r="A2846" s="1" t="inlineStr">
        <is>
          <t>CRACKER BARREL, coleslaw</t>
        </is>
      </c>
      <c r="C2846" s="1" t="n">
        <v>13.01</v>
      </c>
      <c r="E2846" s="1" t="n">
        <v>0.29</v>
      </c>
      <c r="F2846" s="1" t="n">
        <v>0.89</v>
      </c>
      <c r="G2846" s="1" t="n">
        <v>13.22</v>
      </c>
      <c r="H2846" s="1" t="n">
        <v>777</v>
      </c>
      <c r="I2846" s="1" t="n">
        <v>0.16</v>
      </c>
      <c r="J2846" t="n">
        <v>54440020</v>
      </c>
    </row>
    <row r="2847" ht="15.75" customHeight="1" s="201">
      <c r="A2847" s="1" t="inlineStr">
        <is>
          <t>CRACKER BARREL, country fried shrimp platter</t>
        </is>
      </c>
      <c r="C2847" s="1" t="n">
        <v>21.4</v>
      </c>
      <c r="E2847" s="1" t="n">
        <v>1.53</v>
      </c>
      <c r="F2847" s="1" t="n">
        <v>12.62</v>
      </c>
      <c r="G2847" s="1" t="n">
        <v>16.77</v>
      </c>
      <c r="H2847" s="1" t="n">
        <v>5</v>
      </c>
      <c r="I2847" s="1" t="n">
        <v>0.8</v>
      </c>
      <c r="J2847" t="n">
        <v>26319145</v>
      </c>
    </row>
    <row r="2848" ht="15.75" customHeight="1" s="201">
      <c r="A2848" s="1" t="inlineStr">
        <is>
          <t>CRACKER BARREL, farm raised catfish platter</t>
        </is>
      </c>
      <c r="C2848" s="1" t="n">
        <v>5.31</v>
      </c>
      <c r="E2848" s="1" t="n">
        <v>0.71</v>
      </c>
      <c r="F2848" s="1" t="n">
        <v>22.94</v>
      </c>
      <c r="G2848" s="1" t="n">
        <v>17.05</v>
      </c>
      <c r="H2848" s="1" t="n">
        <v>0</v>
      </c>
      <c r="I2848" s="1" t="n">
        <v>0.9399999999999999</v>
      </c>
      <c r="J2848" t="n">
        <v>54440020</v>
      </c>
    </row>
    <row r="2849" ht="15.75" customHeight="1" s="201">
      <c r="A2849" s="1" t="inlineStr">
        <is>
          <t>CRACKER BARREL, grilled sirloin steak</t>
        </is>
      </c>
      <c r="C2849" s="1" t="n">
        <v>0</v>
      </c>
      <c r="E2849" s="1" t="n">
        <v>2.75</v>
      </c>
      <c r="F2849" s="1" t="n">
        <v>31.52</v>
      </c>
      <c r="G2849" s="1" t="n">
        <v>8.52</v>
      </c>
      <c r="H2849" s="1" t="n">
        <v>23</v>
      </c>
      <c r="I2849" s="1" t="n">
        <v>5.42</v>
      </c>
      <c r="J2849" t="n">
        <v>27515080</v>
      </c>
    </row>
    <row r="2850" ht="15.75" customHeight="1" s="201">
      <c r="A2850" s="1" t="inlineStr">
        <is>
          <t>CRACKER BARREL, macaroni n' cheese</t>
        </is>
      </c>
      <c r="C2850" s="1" t="n">
        <v>15.61</v>
      </c>
      <c r="D2850" s="1" t="n">
        <v>28</v>
      </c>
      <c r="E2850" s="1" t="n">
        <v>0.57</v>
      </c>
      <c r="F2850" s="1" t="n">
        <v>6.49</v>
      </c>
      <c r="G2850" s="1" t="n">
        <v>11.75</v>
      </c>
      <c r="H2850" s="1" t="n">
        <v>230</v>
      </c>
      <c r="I2850" s="1" t="n">
        <v>0.83</v>
      </c>
      <c r="J2850" t="n">
        <v>14420100</v>
      </c>
    </row>
    <row r="2851" ht="15.75" customHeight="1" s="201">
      <c r="A2851" s="1" t="inlineStr">
        <is>
          <t>CRACKER BARREL, macaroni n' cheese plate, from kid's menu</t>
        </is>
      </c>
      <c r="C2851" s="1" t="n">
        <v>15.58</v>
      </c>
      <c r="D2851" s="1" t="n">
        <v>31</v>
      </c>
      <c r="E2851" s="1" t="n">
        <v>0.55</v>
      </c>
      <c r="F2851" s="1" t="n">
        <v>6.46</v>
      </c>
      <c r="G2851" s="1" t="n">
        <v>11.51</v>
      </c>
      <c r="H2851" s="1" t="n">
        <v>254</v>
      </c>
      <c r="I2851" s="1" t="n">
        <v>0.83</v>
      </c>
      <c r="J2851" t="n">
        <v>51121065</v>
      </c>
    </row>
    <row r="2852" ht="15.75" customHeight="1" s="201">
      <c r="A2852" s="1" t="inlineStr">
        <is>
          <t>CRACKER BARREL, onion rings, thick-cut</t>
        </is>
      </c>
      <c r="C2852" s="1" t="n">
        <v>40.95</v>
      </c>
      <c r="D2852" s="1" t="n">
        <v>14</v>
      </c>
      <c r="E2852" s="1" t="n">
        <v>0.73</v>
      </c>
      <c r="F2852" s="1" t="n">
        <v>4.78</v>
      </c>
      <c r="G2852" s="1" t="n">
        <v>16</v>
      </c>
      <c r="H2852" s="1" t="n">
        <v>41</v>
      </c>
      <c r="I2852" s="1" t="n">
        <v>0.55</v>
      </c>
      <c r="J2852" t="n">
        <v>11440030</v>
      </c>
    </row>
    <row r="2853" ht="15.75" customHeight="1" s="201">
      <c r="A2853" s="1" t="inlineStr">
        <is>
          <t>CRACKER BARREL, steak fries</t>
        </is>
      </c>
      <c r="C2853" s="1" t="n">
        <v>30.87</v>
      </c>
      <c r="D2853" s="1" t="n">
        <v>29</v>
      </c>
      <c r="E2853" s="1" t="n">
        <v>0.6899999999999999</v>
      </c>
      <c r="F2853" s="1" t="n">
        <v>3.26</v>
      </c>
      <c r="G2853" s="1" t="n">
        <v>13.18</v>
      </c>
      <c r="I2853" s="1" t="n">
        <v>0.42</v>
      </c>
      <c r="J2853" t="n">
        <v>27515080</v>
      </c>
    </row>
    <row r="2854" ht="15.75" customHeight="1" s="201">
      <c r="A2854" s="1" t="inlineStr">
        <is>
          <t>Cracker, meal</t>
        </is>
      </c>
      <c r="C2854" s="1" t="n">
        <v>80.90000000000001</v>
      </c>
      <c r="D2854" s="1" t="n">
        <v>136</v>
      </c>
      <c r="E2854" s="1" t="n">
        <v>4.64</v>
      </c>
      <c r="F2854" s="1" t="n">
        <v>9.300000000000001</v>
      </c>
      <c r="G2854" s="1" t="n">
        <v>1.7</v>
      </c>
      <c r="H2854" s="1" t="n">
        <v>0</v>
      </c>
      <c r="I2854" s="1" t="n">
        <v>0.6899999999999999</v>
      </c>
      <c r="J2854" t="n">
        <v>54440020</v>
      </c>
    </row>
    <row r="2855" ht="15.75" customHeight="1" s="201">
      <c r="A2855" s="1" t="inlineStr">
        <is>
          <t>Crackers, cheese, reduced fat</t>
        </is>
      </c>
      <c r="C2855" s="1" t="n">
        <v>68.19</v>
      </c>
      <c r="D2855" s="1" t="n">
        <v>228</v>
      </c>
      <c r="E2855" s="1" t="n">
        <v>4.8</v>
      </c>
      <c r="F2855" s="1" t="n">
        <v>10</v>
      </c>
      <c r="G2855" s="1" t="n">
        <v>11.67</v>
      </c>
      <c r="H2855" s="1" t="n">
        <v>56</v>
      </c>
      <c r="I2855" s="1" t="n">
        <v>0.9</v>
      </c>
      <c r="J2855" t="n">
        <v>54328200</v>
      </c>
    </row>
    <row r="2856" ht="15.75" customHeight="1" s="201">
      <c r="A2856" s="1" t="inlineStr">
        <is>
          <t>Crackers, cheese, sandwich-type with cheese filling</t>
        </is>
      </c>
      <c r="C2856" s="1" t="n">
        <v>58.76</v>
      </c>
      <c r="D2856" s="1" t="n">
        <v>82</v>
      </c>
      <c r="E2856" s="1" t="n">
        <v>2.13</v>
      </c>
      <c r="F2856" s="1" t="n">
        <v>8.92</v>
      </c>
      <c r="G2856" s="1" t="n">
        <v>24.41</v>
      </c>
      <c r="H2856" s="1" t="n">
        <v>39</v>
      </c>
      <c r="I2856" s="1" t="n">
        <v>0.57</v>
      </c>
      <c r="J2856" t="n">
        <v>54328200</v>
      </c>
    </row>
    <row r="2857" ht="15.75" customHeight="1" s="201">
      <c r="A2857" s="1" t="inlineStr">
        <is>
          <t>Crackers, cheese, whole grain</t>
        </is>
      </c>
      <c r="C2857" s="1" t="n">
        <v>57.29</v>
      </c>
      <c r="D2857" s="1" t="n">
        <v>103</v>
      </c>
      <c r="E2857" s="1" t="n">
        <v>3.46</v>
      </c>
      <c r="F2857" s="1" t="n">
        <v>9.619999999999999</v>
      </c>
      <c r="G2857" s="1" t="n">
        <v>16.03</v>
      </c>
      <c r="H2857" s="1" t="n">
        <v>110</v>
      </c>
      <c r="I2857" s="1" t="n">
        <v>1.84</v>
      </c>
      <c r="J2857" t="n">
        <v>54304150</v>
      </c>
    </row>
    <row r="2858" ht="15.75" customHeight="1" s="201">
      <c r="A2858" s="1" t="inlineStr">
        <is>
          <t>Crackers, cream, Gamesa Sabrosas</t>
        </is>
      </c>
      <c r="C2858" s="1" t="n">
        <v>64.55</v>
      </c>
      <c r="D2858" s="1" t="n">
        <v>149</v>
      </c>
      <c r="E2858" s="1" t="n">
        <v>7.38</v>
      </c>
      <c r="F2858" s="1" t="n">
        <v>7.01</v>
      </c>
      <c r="G2858" s="1" t="n">
        <v>20.37</v>
      </c>
      <c r="I2858" s="1" t="n">
        <v>0.66</v>
      </c>
      <c r="J2858" t="n">
        <v>54326000</v>
      </c>
    </row>
    <row r="2859" ht="15.75" customHeight="1" s="201">
      <c r="A2859" s="1" t="inlineStr">
        <is>
          <t>Crackers, cream, La Moderna Rikis Cream Crackers</t>
        </is>
      </c>
      <c r="C2859" s="1" t="n">
        <v>64.88</v>
      </c>
      <c r="E2859" s="1" t="n">
        <v>6.64</v>
      </c>
      <c r="F2859" s="1" t="n">
        <v>7.19</v>
      </c>
      <c r="G2859" s="1" t="n">
        <v>19.5</v>
      </c>
      <c r="I2859" s="1" t="n">
        <v>4.11</v>
      </c>
      <c r="J2859" t="n">
        <v>54326000</v>
      </c>
    </row>
    <row r="2860" ht="15.75" customHeight="1" s="201">
      <c r="A2860" s="1" t="inlineStr">
        <is>
          <t>Crackers, crispbread, rye</t>
        </is>
      </c>
      <c r="C2860" s="1" t="n">
        <v>82.2</v>
      </c>
      <c r="D2860" s="1" t="n">
        <v>47</v>
      </c>
      <c r="E2860" s="1" t="n">
        <v>2.43</v>
      </c>
      <c r="F2860" s="1" t="n">
        <v>7.9</v>
      </c>
      <c r="G2860" s="1" t="n">
        <v>1.3</v>
      </c>
      <c r="H2860" s="1" t="n">
        <v>0</v>
      </c>
      <c r="I2860" s="1" t="n">
        <v>2.39</v>
      </c>
      <c r="J2860" t="n">
        <v>54326000</v>
      </c>
    </row>
    <row r="2861" ht="15.75" customHeight="1" s="201">
      <c r="A2861" s="1" t="inlineStr">
        <is>
          <t>Crackers, flavored, fish-shaped</t>
        </is>
      </c>
      <c r="C2861" s="1" t="n">
        <v>65.67</v>
      </c>
      <c r="D2861" s="1" t="n">
        <v>153</v>
      </c>
      <c r="E2861" s="1" t="n">
        <v>4.58</v>
      </c>
      <c r="F2861" s="1" t="n">
        <v>10.16</v>
      </c>
      <c r="G2861" s="1" t="n">
        <v>17.71</v>
      </c>
      <c r="I2861" s="1" t="n">
        <v>1.09</v>
      </c>
      <c r="J2861" t="n">
        <v>54326000</v>
      </c>
    </row>
    <row r="2862" ht="15.75" customHeight="1" s="201">
      <c r="A2862" s="1" t="inlineStr">
        <is>
          <t>Crackers, gluten-free, multigrain and vegetable, made with corn starch and white rice flour</t>
        </is>
      </c>
      <c r="C2862" s="1" t="n">
        <v>76.94</v>
      </c>
      <c r="D2862" s="1" t="n">
        <v>7</v>
      </c>
      <c r="E2862" s="1" t="n">
        <v>0.5600000000000001</v>
      </c>
      <c r="F2862" s="1" t="n">
        <v>2.5</v>
      </c>
      <c r="G2862" s="1" t="n">
        <v>15.41</v>
      </c>
      <c r="I2862" s="1" t="n">
        <v>0.44</v>
      </c>
      <c r="J2862" t="n">
        <v>54326000</v>
      </c>
    </row>
    <row r="2863" ht="15.75" customHeight="1" s="201">
      <c r="A2863" s="1" t="inlineStr">
        <is>
          <t>Crackers, gluten-free, multi-seeded and multigrain</t>
        </is>
      </c>
      <c r="C2863" s="1" t="n">
        <v>66.3</v>
      </c>
      <c r="D2863" s="1" t="n">
        <v>35</v>
      </c>
      <c r="E2863" s="1" t="n">
        <v>2.83</v>
      </c>
      <c r="F2863" s="1" t="n">
        <v>11.25</v>
      </c>
      <c r="G2863" s="1" t="n">
        <v>15.84</v>
      </c>
      <c r="H2863" s="1" t="n">
        <v>7</v>
      </c>
      <c r="I2863" s="1" t="n">
        <v>2.64</v>
      </c>
      <c r="J2863" t="n">
        <v>54326000</v>
      </c>
    </row>
    <row r="2864" ht="15.75" customHeight="1" s="201">
      <c r="A2864" s="1" t="inlineStr">
        <is>
          <t>Crackers, matzo, egg</t>
        </is>
      </c>
      <c r="C2864" s="1" t="n">
        <v>78.59999999999999</v>
      </c>
      <c r="D2864" s="1" t="n">
        <v>24</v>
      </c>
      <c r="E2864" s="1" t="n">
        <v>2.7</v>
      </c>
      <c r="F2864" s="1" t="n">
        <v>12.3</v>
      </c>
      <c r="G2864" s="1" t="n">
        <v>2.1</v>
      </c>
      <c r="H2864" s="1" t="n">
        <v>42</v>
      </c>
      <c r="I2864" s="1" t="n">
        <v>0.73</v>
      </c>
      <c r="J2864" t="n">
        <v>54326000</v>
      </c>
    </row>
    <row r="2865" ht="15.75" customHeight="1" s="201">
      <c r="A2865" s="1" t="inlineStr">
        <is>
          <t>Crackers, matzo, egg and onion</t>
        </is>
      </c>
      <c r="C2865" s="1" t="n">
        <v>77.09999999999999</v>
      </c>
      <c r="D2865" s="1" t="n">
        <v>158</v>
      </c>
      <c r="E2865" s="1" t="n">
        <v>4.37</v>
      </c>
      <c r="F2865" s="1" t="n">
        <v>10</v>
      </c>
      <c r="G2865" s="1" t="n">
        <v>3.9</v>
      </c>
      <c r="H2865" s="1" t="n">
        <v>24</v>
      </c>
      <c r="I2865" s="1" t="n">
        <v>0.73</v>
      </c>
      <c r="J2865" t="n">
        <v>54326000</v>
      </c>
    </row>
    <row r="2866" ht="15.75" customHeight="1" s="201">
      <c r="A2866" s="1" t="inlineStr">
        <is>
          <t>Crackers, matzo, plain</t>
        </is>
      </c>
      <c r="C2866" s="1" t="n">
        <v>83.7</v>
      </c>
      <c r="D2866" s="1" t="n">
        <v>17</v>
      </c>
      <c r="E2866" s="1" t="n">
        <v>3.16</v>
      </c>
      <c r="F2866" s="1" t="n">
        <v>10</v>
      </c>
      <c r="G2866" s="1" t="n">
        <v>1.4</v>
      </c>
      <c r="H2866" s="1" t="n">
        <v>0</v>
      </c>
      <c r="I2866" s="1" t="n">
        <v>0.68</v>
      </c>
      <c r="J2866" t="n">
        <v>54326000</v>
      </c>
    </row>
    <row r="2867" ht="15.75" customHeight="1" s="201">
      <c r="A2867" s="1" t="inlineStr">
        <is>
          <t>Crackers, matzo, whole-wheat</t>
        </is>
      </c>
      <c r="C2867" s="1" t="n">
        <v>78.90000000000001</v>
      </c>
      <c r="D2867" s="1" t="n">
        <v>35</v>
      </c>
      <c r="E2867" s="1" t="n">
        <v>4.65</v>
      </c>
      <c r="F2867" s="1" t="n">
        <v>13.1</v>
      </c>
      <c r="G2867" s="1" t="n">
        <v>1.5</v>
      </c>
      <c r="H2867" s="1" t="n">
        <v>0</v>
      </c>
      <c r="I2867" s="1" t="n">
        <v>2.61</v>
      </c>
      <c r="J2867" t="n">
        <v>54204030</v>
      </c>
    </row>
    <row r="2868" ht="15.75" customHeight="1" s="201">
      <c r="A2868" s="1" t="inlineStr">
        <is>
          <t>Crackers, melba toast, plain, without salt</t>
        </is>
      </c>
      <c r="C2868" s="1" t="n">
        <v>76.59999999999999</v>
      </c>
      <c r="D2868" s="1" t="n">
        <v>124</v>
      </c>
      <c r="E2868" s="1" t="n">
        <v>3.7</v>
      </c>
      <c r="F2868" s="1" t="n">
        <v>12.1</v>
      </c>
      <c r="G2868" s="1" t="n">
        <v>3.2</v>
      </c>
      <c r="H2868" s="1" t="n">
        <v>0</v>
      </c>
      <c r="I2868" s="1" t="n">
        <v>2.01</v>
      </c>
      <c r="J2868" t="n">
        <v>54202020</v>
      </c>
    </row>
    <row r="2869" ht="15.75" customHeight="1" s="201">
      <c r="A2869" s="1" t="inlineStr">
        <is>
          <t>Crackers, multigrain</t>
        </is>
      </c>
      <c r="C2869" s="1" t="n">
        <v>67.59999999999999</v>
      </c>
      <c r="D2869" s="1" t="n">
        <v>103</v>
      </c>
      <c r="E2869" s="1" t="n">
        <v>2.59</v>
      </c>
      <c r="F2869" s="1" t="n">
        <v>7.1</v>
      </c>
      <c r="G2869" s="1" t="n">
        <v>20.4</v>
      </c>
      <c r="H2869" s="1" t="n">
        <v>5</v>
      </c>
      <c r="I2869" s="1" t="n">
        <v>0.98</v>
      </c>
      <c r="J2869" t="n">
        <v>54326000</v>
      </c>
    </row>
    <row r="2870" ht="15.75" customHeight="1" s="201">
      <c r="A2870" s="1" t="inlineStr">
        <is>
          <t>Crackers, rye, sandwich-type with cheese filling</t>
        </is>
      </c>
      <c r="C2870" s="1" t="n">
        <v>60.8</v>
      </c>
      <c r="D2870" s="1" t="n">
        <v>81</v>
      </c>
      <c r="E2870" s="1" t="n">
        <v>2.45</v>
      </c>
      <c r="F2870" s="1" t="n">
        <v>9.199999999999999</v>
      </c>
      <c r="G2870" s="1" t="n">
        <v>22.3</v>
      </c>
      <c r="H2870" s="1" t="n">
        <v>334</v>
      </c>
      <c r="I2870" s="1" t="n">
        <v>0.7</v>
      </c>
      <c r="J2870" t="n">
        <v>54328200</v>
      </c>
    </row>
    <row r="2871" ht="15.75" customHeight="1" s="201">
      <c r="A2871" s="1" t="inlineStr">
        <is>
          <t>Crackers, rye, wafers, plain</t>
        </is>
      </c>
      <c r="C2871" s="1" t="n">
        <v>80.40000000000001</v>
      </c>
      <c r="D2871" s="1" t="n">
        <v>45</v>
      </c>
      <c r="E2871" s="1" t="n">
        <v>5.94</v>
      </c>
      <c r="F2871" s="1" t="n">
        <v>9.6</v>
      </c>
      <c r="G2871" s="1" t="n">
        <v>0.9</v>
      </c>
      <c r="H2871" s="1" t="n">
        <v>5</v>
      </c>
      <c r="I2871" s="1" t="n">
        <v>2.8</v>
      </c>
      <c r="J2871" t="n">
        <v>54326000</v>
      </c>
    </row>
    <row r="2872" ht="15.75" customHeight="1" s="201">
      <c r="A2872" s="1" t="inlineStr">
        <is>
          <t>Crackers, rye, wafers, seasoned</t>
        </is>
      </c>
      <c r="C2872" s="1" t="n">
        <v>73.8</v>
      </c>
      <c r="D2872" s="1" t="n">
        <v>52</v>
      </c>
      <c r="E2872" s="1" t="n">
        <v>3.04</v>
      </c>
      <c r="F2872" s="1" t="n">
        <v>9</v>
      </c>
      <c r="G2872" s="1" t="n">
        <v>9.199999999999999</v>
      </c>
      <c r="H2872" s="1" t="n">
        <v>8</v>
      </c>
      <c r="I2872" s="1" t="n">
        <v>2.55</v>
      </c>
      <c r="J2872" t="n">
        <v>54326000</v>
      </c>
    </row>
    <row r="2873" ht="15.75" customHeight="1" s="201">
      <c r="A2873" s="1" t="inlineStr">
        <is>
          <t>Crackers, saltines (includes oyster, soda, soup)</t>
        </is>
      </c>
      <c r="C2873" s="1" t="n">
        <v>74.05</v>
      </c>
      <c r="D2873" s="1" t="n">
        <v>134</v>
      </c>
      <c r="E2873" s="1" t="n">
        <v>5.57</v>
      </c>
      <c r="F2873" s="1" t="n">
        <v>9.460000000000001</v>
      </c>
      <c r="G2873" s="1" t="n">
        <v>8.640000000000001</v>
      </c>
      <c r="H2873" s="1" t="n">
        <v>2</v>
      </c>
      <c r="I2873" s="1" t="n">
        <v>0.6899999999999999</v>
      </c>
      <c r="J2873" t="n">
        <v>54202020</v>
      </c>
    </row>
    <row r="2874" ht="15.75" customHeight="1" s="201">
      <c r="A2874" s="1" t="inlineStr">
        <is>
          <t>Crackers, saltines, whole wheat (includes multi-grain)</t>
        </is>
      </c>
      <c r="C2874" s="1" t="n">
        <v>68.25</v>
      </c>
      <c r="D2874" s="1" t="n">
        <v>82</v>
      </c>
      <c r="E2874" s="1" t="n">
        <v>5.14</v>
      </c>
      <c r="F2874" s="1" t="n">
        <v>7.14</v>
      </c>
      <c r="G2874" s="1" t="n">
        <v>10.71</v>
      </c>
      <c r="H2874" s="1" t="n">
        <v>1</v>
      </c>
      <c r="I2874" s="1" t="n">
        <v>1.46</v>
      </c>
      <c r="J2874" t="n">
        <v>54204030</v>
      </c>
    </row>
    <row r="2875" ht="15.75" customHeight="1" s="201">
      <c r="A2875" s="1" t="inlineStr">
        <is>
          <t>Crackers, sandwich-type, peanut butter filled, reduced fat</t>
        </is>
      </c>
      <c r="C2875" s="1" t="n">
        <v>63.49</v>
      </c>
      <c r="D2875" s="1" t="n">
        <v>111</v>
      </c>
      <c r="E2875" s="1" t="n">
        <v>3</v>
      </c>
      <c r="F2875" s="1" t="n">
        <v>8.33</v>
      </c>
      <c r="G2875" s="1" t="n">
        <v>16.67</v>
      </c>
      <c r="H2875" s="1" t="n">
        <v>0</v>
      </c>
      <c r="I2875" s="1" t="n">
        <v>0.67</v>
      </c>
      <c r="J2875" t="n">
        <v>54328100</v>
      </c>
    </row>
    <row r="2876" ht="15.75" customHeight="1" s="201">
      <c r="A2876" s="1" t="inlineStr">
        <is>
          <t>Crackers, snack, Goya Crackers</t>
        </is>
      </c>
      <c r="C2876" s="1" t="n">
        <v>64.34999999999999</v>
      </c>
      <c r="E2876" s="1" t="n">
        <v>5.66</v>
      </c>
      <c r="F2876" s="1" t="n">
        <v>14.25</v>
      </c>
      <c r="G2876" s="1" t="n">
        <v>13.35</v>
      </c>
      <c r="I2876" s="1" t="n">
        <v>1.17</v>
      </c>
      <c r="J2876" t="n">
        <v>54326000</v>
      </c>
    </row>
    <row r="2877" ht="15.75" customHeight="1" s="201">
      <c r="A2877" s="1" t="inlineStr">
        <is>
          <t>Crackers, standard snack-type, with whole wheat</t>
        </is>
      </c>
      <c r="C2877" s="1" t="n">
        <v>68.37</v>
      </c>
      <c r="D2877" s="1" t="n">
        <v>58</v>
      </c>
      <c r="E2877" s="1" t="n">
        <v>3.65</v>
      </c>
      <c r="F2877" s="1" t="n">
        <v>7.29</v>
      </c>
      <c r="G2877" s="1" t="n">
        <v>17.84</v>
      </c>
      <c r="H2877" s="1" t="n">
        <v>7</v>
      </c>
      <c r="I2877" s="1" t="n">
        <v>1.11</v>
      </c>
      <c r="J2877" t="n">
        <v>54204030</v>
      </c>
    </row>
    <row r="2878" ht="15.75" customHeight="1" s="201">
      <c r="A2878" s="1" t="inlineStr">
        <is>
          <t>Crackers, toast thins, low sodium</t>
        </is>
      </c>
      <c r="C2878" s="1" t="n">
        <v>67.66</v>
      </c>
      <c r="D2878" s="1" t="n">
        <v>33</v>
      </c>
      <c r="E2878" s="1" t="n">
        <v>3.48</v>
      </c>
      <c r="F2878" s="1" t="n">
        <v>6.45</v>
      </c>
      <c r="G2878" s="1" t="n">
        <v>16.13</v>
      </c>
      <c r="H2878" s="1" t="n">
        <v>7</v>
      </c>
      <c r="I2878" s="1" t="n">
        <v>1.94</v>
      </c>
      <c r="J2878" t="n">
        <v>54204030</v>
      </c>
    </row>
    <row r="2879" ht="15.75" customHeight="1" s="201">
      <c r="A2879" s="1" t="inlineStr">
        <is>
          <t>Crackers, water biscuits</t>
        </is>
      </c>
      <c r="C2879" s="1" t="n">
        <v>72.81</v>
      </c>
      <c r="D2879" s="1" t="n">
        <v>24</v>
      </c>
      <c r="E2879" s="1" t="n">
        <v>0</v>
      </c>
      <c r="F2879" s="1" t="n">
        <v>7.14</v>
      </c>
      <c r="G2879" s="1" t="n">
        <v>7.14</v>
      </c>
      <c r="H2879" s="1" t="n">
        <v>0</v>
      </c>
      <c r="I2879" s="1" t="n">
        <v>0.65</v>
      </c>
      <c r="J2879" t="n">
        <v>54336000</v>
      </c>
    </row>
    <row r="2880" ht="15.75" customHeight="1" s="201">
      <c r="A2880" s="1" t="inlineStr">
        <is>
          <t>Crackers, wheat, reduced fat</t>
        </is>
      </c>
      <c r="C2880" s="1" t="n">
        <v>71.52</v>
      </c>
      <c r="D2880" s="1" t="n">
        <v>127</v>
      </c>
      <c r="E2880" s="1" t="n">
        <v>5.02</v>
      </c>
      <c r="F2880" s="1" t="n">
        <v>9.34</v>
      </c>
      <c r="G2880" s="1" t="n">
        <v>13.37</v>
      </c>
      <c r="H2880" s="1" t="n">
        <v>0</v>
      </c>
      <c r="I2880" s="1" t="n">
        <v>1.74</v>
      </c>
      <c r="J2880" t="n">
        <v>54204030</v>
      </c>
    </row>
    <row r="2881" ht="15.75" customHeight="1" s="201">
      <c r="A2881" s="1" t="inlineStr">
        <is>
          <t>Crackers, wheat, sandwich, with cheese filling</t>
        </is>
      </c>
      <c r="C2881" s="1" t="n">
        <v>58.2</v>
      </c>
      <c r="D2881" s="1" t="n">
        <v>64</v>
      </c>
      <c r="E2881" s="1" t="n">
        <v>2.62</v>
      </c>
      <c r="F2881" s="1" t="n">
        <v>9.800000000000001</v>
      </c>
      <c r="G2881" s="1" t="n">
        <v>25</v>
      </c>
      <c r="H2881" s="1" t="n">
        <v>71</v>
      </c>
      <c r="I2881" s="1" t="n">
        <v>0.87</v>
      </c>
      <c r="J2881" t="n">
        <v>54328200</v>
      </c>
    </row>
    <row r="2882" ht="15.75" customHeight="1" s="201">
      <c r="A2882" s="1" t="inlineStr">
        <is>
          <t>Crackers, wheat, sandwich, with peanut butter filling</t>
        </is>
      </c>
      <c r="C2882" s="1" t="n">
        <v>53.8</v>
      </c>
      <c r="D2882" s="1" t="n">
        <v>70</v>
      </c>
      <c r="E2882" s="1" t="n">
        <v>2.67</v>
      </c>
      <c r="F2882" s="1" t="n">
        <v>13.5</v>
      </c>
      <c r="G2882" s="1" t="n">
        <v>26.7</v>
      </c>
      <c r="H2882" s="1" t="n">
        <v>0</v>
      </c>
      <c r="I2882" s="1" t="n">
        <v>0.82</v>
      </c>
      <c r="J2882" t="n">
        <v>54328100</v>
      </c>
    </row>
    <row r="2883" ht="15.75" customHeight="1" s="201">
      <c r="A2883" s="1" t="inlineStr">
        <is>
          <t>Crackers, whole grain, sandwich-type, with peanut butter filling</t>
        </is>
      </c>
      <c r="C2883" s="1" t="n">
        <v>54.59</v>
      </c>
      <c r="D2883" s="1" t="n">
        <v>74</v>
      </c>
      <c r="E2883" s="1" t="n">
        <v>3.07</v>
      </c>
      <c r="F2883" s="1" t="n">
        <v>14.12</v>
      </c>
      <c r="G2883" s="1" t="n">
        <v>21.18</v>
      </c>
      <c r="H2883" s="1" t="n">
        <v>3</v>
      </c>
      <c r="I2883" s="1" t="n">
        <v>2.05</v>
      </c>
      <c r="J2883" t="n">
        <v>54328100</v>
      </c>
    </row>
    <row r="2884" ht="15.75" customHeight="1" s="201">
      <c r="A2884" s="1" t="inlineStr">
        <is>
          <t>Crackers, whole-wheat</t>
        </is>
      </c>
      <c r="C2884" s="1" t="n">
        <v>69.55</v>
      </c>
      <c r="D2884" s="1" t="n">
        <v>28</v>
      </c>
      <c r="E2884" s="1" t="n">
        <v>3.34</v>
      </c>
      <c r="F2884" s="1" t="n">
        <v>10.58</v>
      </c>
      <c r="G2884" s="1" t="n">
        <v>14.13</v>
      </c>
      <c r="H2884" s="1" t="n">
        <v>0</v>
      </c>
      <c r="I2884" s="1" t="n">
        <v>2.63</v>
      </c>
      <c r="J2884" t="n">
        <v>54204030</v>
      </c>
    </row>
    <row r="2885" ht="15.75" customHeight="1" s="201">
      <c r="A2885" s="1" t="inlineStr">
        <is>
          <t>Crackers, whole-wheat, low salt</t>
        </is>
      </c>
      <c r="C2885" s="1" t="n">
        <v>68.59999999999999</v>
      </c>
      <c r="D2885" s="1" t="n">
        <v>28</v>
      </c>
      <c r="E2885" s="1" t="n">
        <v>3.08</v>
      </c>
      <c r="F2885" s="1" t="n">
        <v>8.800000000000001</v>
      </c>
      <c r="G2885" s="1" t="n">
        <v>17.2</v>
      </c>
      <c r="H2885" s="1" t="n">
        <v>0</v>
      </c>
      <c r="I2885" s="1" t="n">
        <v>2.15</v>
      </c>
      <c r="J2885" t="n">
        <v>54204030</v>
      </c>
    </row>
    <row r="2886" ht="15.75" customHeight="1" s="201">
      <c r="A2886" s="1" t="inlineStr">
        <is>
          <t>Crackers, whole-wheat, reduced fat</t>
        </is>
      </c>
      <c r="C2886" s="1" t="n">
        <v>75.52</v>
      </c>
      <c r="D2886" s="1" t="n">
        <v>30</v>
      </c>
      <c r="E2886" s="1" t="n">
        <v>3.56</v>
      </c>
      <c r="F2886" s="1" t="n">
        <v>11.34</v>
      </c>
      <c r="G2886" s="1" t="n">
        <v>7.59</v>
      </c>
      <c r="H2886" s="1" t="n">
        <v>0</v>
      </c>
      <c r="I2886" s="1" t="n">
        <v>2.99</v>
      </c>
      <c r="J2886" t="n">
        <v>54204030</v>
      </c>
    </row>
    <row r="2887" ht="15.75" customHeight="1" s="201">
      <c r="A2887" s="1" t="inlineStr">
        <is>
          <t>Cranberries, dried, sweetened (Includes foods for USDA's Food Distribution Program)</t>
        </is>
      </c>
      <c r="C2887" s="1" t="n">
        <v>82.8</v>
      </c>
      <c r="D2887" s="1" t="n">
        <v>0</v>
      </c>
      <c r="E2887" s="1" t="n">
        <v>0.39</v>
      </c>
      <c r="F2887" s="1" t="n">
        <v>0.17</v>
      </c>
      <c r="G2887" s="1" t="n">
        <v>1.09</v>
      </c>
      <c r="H2887" s="1" t="n">
        <v>46</v>
      </c>
      <c r="I2887" s="1" t="n">
        <v>0.1</v>
      </c>
    </row>
    <row r="2888" ht="15.75" customHeight="1" s="201">
      <c r="A2888" s="1" t="inlineStr">
        <is>
          <t>Cranberries, frozen</t>
        </is>
      </c>
      <c r="J2888" t="n">
        <v>62109100</v>
      </c>
    </row>
    <row r="2889" ht="15.75" customHeight="1" s="201">
      <c r="A2889" s="1" t="inlineStr">
        <is>
          <t>Cranberries, raw</t>
        </is>
      </c>
      <c r="C2889" s="1" t="n">
        <v>11.97</v>
      </c>
      <c r="D2889" s="1" t="n">
        <v>1</v>
      </c>
      <c r="E2889" s="1" t="n">
        <v>0.23</v>
      </c>
      <c r="F2889" s="1" t="n">
        <v>0.46</v>
      </c>
      <c r="G2889" s="1" t="n">
        <v>0.13</v>
      </c>
      <c r="H2889" s="1" t="n">
        <v>63</v>
      </c>
      <c r="I2889" s="1" t="n">
        <v>0.09</v>
      </c>
      <c r="J2889" t="n">
        <v>63207010</v>
      </c>
    </row>
    <row r="2890" ht="15.75" customHeight="1" s="201">
      <c r="A2890" s="1" t="inlineStr">
        <is>
          <t>Cranberries, wild, bush, raw (Alaska Native)</t>
        </is>
      </c>
      <c r="C2890" s="1" t="n">
        <v>12.3</v>
      </c>
      <c r="E2890" s="1" t="n">
        <v>1</v>
      </c>
      <c r="F2890" s="1" t="n">
        <v>1.1</v>
      </c>
      <c r="G2890" s="1" t="n">
        <v>0.2</v>
      </c>
      <c r="H2890" s="1" t="n">
        <v>1060</v>
      </c>
      <c r="J2890" t="n">
        <v>56205320</v>
      </c>
    </row>
    <row r="2891" ht="15.75" customHeight="1" s="201">
      <c r="A2891" s="1" t="inlineStr">
        <is>
          <t>Cranberry juice blend, 100% juice, bottled, with added vitamin C and calcium</t>
        </is>
      </c>
      <c r="C2891" s="1" t="n">
        <v>10.91</v>
      </c>
      <c r="D2891" s="1" t="n">
        <v>18</v>
      </c>
      <c r="E2891" s="1" t="n">
        <v>0.08</v>
      </c>
      <c r="F2891" s="1" t="n">
        <v>0.27</v>
      </c>
      <c r="G2891" s="1" t="n">
        <v>0.12</v>
      </c>
      <c r="H2891" s="1" t="n">
        <v>25</v>
      </c>
      <c r="I2891" s="1" t="n">
        <v>0.05</v>
      </c>
      <c r="J2891" t="n">
        <v>64100220</v>
      </c>
    </row>
    <row r="2892" ht="15.75" customHeight="1" s="201">
      <c r="A2892" s="1" t="inlineStr">
        <is>
          <t>Cranberry juice cocktail, bottled</t>
        </is>
      </c>
      <c r="C2892" s="1" t="n">
        <v>13.52</v>
      </c>
      <c r="D2892" s="1" t="n">
        <v>0</v>
      </c>
      <c r="E2892" s="1" t="n">
        <v>0.1</v>
      </c>
      <c r="F2892" s="1" t="n">
        <v>0</v>
      </c>
      <c r="G2892" s="1" t="n">
        <v>0.1</v>
      </c>
      <c r="H2892" s="1" t="n">
        <v>8</v>
      </c>
      <c r="I2892" s="1" t="n">
        <v>0.03</v>
      </c>
      <c r="J2892" t="n">
        <v>92530510</v>
      </c>
    </row>
    <row r="2893" ht="15.75" customHeight="1" s="201">
      <c r="A2893" s="1" t="inlineStr">
        <is>
          <t>Cranberry juice cocktail, bottled, low calorie, with calcium, saccharin and corn sweetener</t>
        </is>
      </c>
      <c r="C2893" s="1" t="n">
        <v>4.6</v>
      </c>
      <c r="D2893" s="1" t="n">
        <v>0</v>
      </c>
      <c r="E2893" s="1" t="n">
        <v>0.04</v>
      </c>
      <c r="F2893" s="1" t="n">
        <v>0.02</v>
      </c>
      <c r="G2893" s="1" t="n">
        <v>0.01</v>
      </c>
      <c r="H2893" s="1" t="n">
        <v>2</v>
      </c>
      <c r="I2893" s="1" t="n">
        <v>0.02</v>
      </c>
      <c r="J2893" t="n">
        <v>64100220</v>
      </c>
    </row>
    <row r="2894" ht="15.75" customHeight="1" s="201">
      <c r="A2894" s="1" t="inlineStr">
        <is>
          <t>Cranberry juice cocktail, frozen concentrate</t>
        </is>
      </c>
      <c r="C2894" s="1" t="n">
        <v>51.45</v>
      </c>
      <c r="D2894" s="1" t="n">
        <v>0</v>
      </c>
      <c r="E2894" s="1" t="n">
        <v>0.3</v>
      </c>
      <c r="F2894" s="1" t="n">
        <v>0.05</v>
      </c>
      <c r="G2894" s="1" t="n">
        <v>0</v>
      </c>
      <c r="H2894" s="1" t="n">
        <v>34</v>
      </c>
      <c r="I2894" s="1" t="n">
        <v>0.07000000000000001</v>
      </c>
      <c r="J2894" t="n">
        <v>92530510</v>
      </c>
    </row>
    <row r="2895" ht="15.75" customHeight="1" s="201">
      <c r="A2895" s="1" t="inlineStr">
        <is>
          <t>Cranberry juice cocktail, frozen concentrate, prepared with water</t>
        </is>
      </c>
      <c r="C2895" s="1" t="n">
        <v>11.81</v>
      </c>
      <c r="D2895" s="1" t="n">
        <v>0</v>
      </c>
      <c r="E2895" s="1" t="n">
        <v>0.07000000000000001</v>
      </c>
      <c r="F2895" s="1" t="n">
        <v>0.01</v>
      </c>
      <c r="G2895" s="1" t="n">
        <v>0</v>
      </c>
      <c r="H2895" s="1" t="n">
        <v>8</v>
      </c>
      <c r="I2895" s="1" t="n">
        <v>0.02</v>
      </c>
      <c r="J2895" t="n">
        <v>92530510</v>
      </c>
    </row>
    <row r="2896" ht="15.75" customHeight="1" s="201">
      <c r="A2896" s="1" t="inlineStr">
        <is>
          <t>Cranberry juice, unsweetened</t>
        </is>
      </c>
      <c r="C2896" s="1" t="n">
        <v>12.2</v>
      </c>
      <c r="D2896" s="1" t="n">
        <v>1</v>
      </c>
      <c r="E2896" s="1" t="n">
        <v>0.25</v>
      </c>
      <c r="F2896" s="1" t="n">
        <v>0.39</v>
      </c>
      <c r="G2896" s="1" t="n">
        <v>0.13</v>
      </c>
      <c r="H2896" s="1" t="n">
        <v>45</v>
      </c>
      <c r="I2896" s="1" t="n">
        <v>0.1</v>
      </c>
      <c r="J2896" t="n">
        <v>64100220</v>
      </c>
    </row>
    <row r="2897" ht="15.75" customHeight="1" s="201">
      <c r="A2897" s="1" t="inlineStr">
        <is>
          <t>Cranberry sauce, canned, sweetened</t>
        </is>
      </c>
      <c r="C2897" s="1" t="n">
        <v>40.4</v>
      </c>
      <c r="D2897" s="1" t="n">
        <v>1</v>
      </c>
      <c r="E2897" s="1" t="n">
        <v>0.41</v>
      </c>
      <c r="F2897" s="1" t="n">
        <v>0.9</v>
      </c>
      <c r="G2897" s="1" t="n">
        <v>0.15</v>
      </c>
      <c r="H2897" s="1" t="n">
        <v>33</v>
      </c>
      <c r="I2897" s="1" t="n">
        <v>0.03</v>
      </c>
      <c r="J2897" t="n">
        <v>92530510</v>
      </c>
    </row>
    <row r="2898" ht="15.75" customHeight="1" s="201">
      <c r="A2898" s="1" t="inlineStr">
        <is>
          <t>Cranberry sauce, jellied, canned, OCEAN SPRAY</t>
        </is>
      </c>
      <c r="C2898" s="1" t="n">
        <v>40.61</v>
      </c>
      <c r="E2898" s="1" t="n">
        <v>0.62</v>
      </c>
      <c r="F2898" s="1" t="n">
        <v>1.05</v>
      </c>
      <c r="G2898" s="1" t="n">
        <v>0.04</v>
      </c>
      <c r="H2898" s="1" t="n">
        <v>33</v>
      </c>
      <c r="I2898" s="1" t="n">
        <v>0.03</v>
      </c>
      <c r="J2898" t="n">
        <v>92530510</v>
      </c>
    </row>
    <row r="2899" ht="15.75" customHeight="1" s="201">
      <c r="A2899" s="1" t="inlineStr">
        <is>
          <t>Cranberry sauce, whole, canned, OCEAN SPRAY</t>
        </is>
      </c>
      <c r="C2899" s="1" t="n">
        <v>40.4</v>
      </c>
      <c r="E2899" s="1" t="n">
        <v>0.2</v>
      </c>
      <c r="F2899" s="1" t="n">
        <v>0.75</v>
      </c>
      <c r="G2899" s="1" t="n">
        <v>0.05</v>
      </c>
      <c r="H2899" s="1" t="n">
        <v>33</v>
      </c>
      <c r="I2899" s="1" t="n">
        <v>0.02</v>
      </c>
      <c r="J2899" t="n">
        <v>92530510</v>
      </c>
    </row>
    <row r="2900" ht="15.75" customHeight="1" s="201">
      <c r="A2900" s="1" t="inlineStr">
        <is>
          <t>Cranberry, low bush or lingenberry, raw (Alaska Native)</t>
        </is>
      </c>
      <c r="C2900" s="1" t="n">
        <v>12.2</v>
      </c>
      <c r="E2900" s="1" t="n">
        <v>0.4</v>
      </c>
      <c r="F2900" s="1" t="n">
        <v>0.4</v>
      </c>
      <c r="G2900" s="1" t="n">
        <v>0.5</v>
      </c>
      <c r="H2900" s="1" t="n">
        <v>90</v>
      </c>
      <c r="J2900" t="n">
        <v>92530510</v>
      </c>
    </row>
    <row r="2901" ht="15.75" customHeight="1" s="201">
      <c r="A2901" s="1" t="inlineStr">
        <is>
          <t>Cranberry-orange relish, canned</t>
        </is>
      </c>
      <c r="C2901" s="1" t="n">
        <v>46.2</v>
      </c>
      <c r="E2901" s="1" t="n">
        <v>0.2</v>
      </c>
      <c r="F2901" s="1" t="n">
        <v>0.3</v>
      </c>
      <c r="G2901" s="1" t="n">
        <v>0.1</v>
      </c>
      <c r="H2901" s="1" t="n">
        <v>70</v>
      </c>
      <c r="J2901" t="n">
        <v>92530510</v>
      </c>
    </row>
    <row r="2902" ht="15.75" customHeight="1" s="201">
      <c r="A2902" s="1" t="inlineStr">
        <is>
          <t>Cream puff, eclair, custard or cream filled, iced</t>
        </is>
      </c>
      <c r="C2902" s="1" t="n">
        <v>37.43</v>
      </c>
      <c r="D2902" s="1" t="n">
        <v>66</v>
      </c>
      <c r="E2902" s="1" t="n">
        <v>0.95</v>
      </c>
      <c r="F2902" s="1" t="n">
        <v>4.41</v>
      </c>
      <c r="G2902" s="1" t="n">
        <v>18.52</v>
      </c>
      <c r="H2902" s="1" t="n">
        <v>88</v>
      </c>
      <c r="I2902" s="1" t="n">
        <v>0.45</v>
      </c>
      <c r="J2902" t="n">
        <v>53420100</v>
      </c>
    </row>
    <row r="2903" ht="15.75" customHeight="1" s="201">
      <c r="A2903" s="1" t="inlineStr">
        <is>
          <t>Cream substitute, flavored, liquid</t>
        </is>
      </c>
      <c r="C2903" s="1" t="n">
        <v>35.07</v>
      </c>
      <c r="D2903" s="1" t="n">
        <v>1</v>
      </c>
      <c r="E2903" s="1" t="n">
        <v>0.59</v>
      </c>
      <c r="F2903" s="1" t="n">
        <v>0.6899999999999999</v>
      </c>
      <c r="G2903" s="1" t="n">
        <v>13.5</v>
      </c>
      <c r="H2903" s="1" t="n">
        <v>0</v>
      </c>
      <c r="I2903" s="1" t="n">
        <v>0.25</v>
      </c>
      <c r="J2903" t="n">
        <v>12110100</v>
      </c>
    </row>
    <row r="2904" ht="15.75" customHeight="1" s="201">
      <c r="A2904" s="1" t="inlineStr">
        <is>
          <t>Cream substitute, flavored, powdered</t>
        </is>
      </c>
      <c r="C2904" s="1" t="n">
        <v>75.42</v>
      </c>
      <c r="D2904" s="1" t="n">
        <v>1</v>
      </c>
      <c r="E2904" s="1" t="n">
        <v>0.63</v>
      </c>
      <c r="F2904" s="1" t="n">
        <v>0.68</v>
      </c>
      <c r="G2904" s="1" t="n">
        <v>21.47</v>
      </c>
      <c r="H2904" s="1" t="n">
        <v>0</v>
      </c>
      <c r="I2904" s="1" t="n">
        <v>0.23</v>
      </c>
      <c r="J2904" t="n">
        <v>12110100</v>
      </c>
    </row>
    <row r="2905" ht="15.75" customHeight="1" s="201">
      <c r="A2905" s="1" t="inlineStr">
        <is>
          <t>Cream substitute, liquid, light</t>
        </is>
      </c>
      <c r="C2905" s="1" t="n">
        <v>9.1</v>
      </c>
      <c r="D2905" s="1" t="n">
        <v>0</v>
      </c>
      <c r="E2905" s="1" t="n">
        <v>0.5600000000000001</v>
      </c>
      <c r="F2905" s="1" t="n">
        <v>0.8</v>
      </c>
      <c r="G2905" s="1" t="n">
        <v>3.5</v>
      </c>
      <c r="H2905" s="1" t="n">
        <v>5</v>
      </c>
      <c r="I2905" s="1" t="n">
        <v>0.05</v>
      </c>
      <c r="J2905" t="n">
        <v>27446245</v>
      </c>
    </row>
    <row r="2906" ht="15.75" customHeight="1" s="201">
      <c r="A2906" s="1" t="inlineStr">
        <is>
          <t>Cream substitute, liquid, with hydrogenated vegetable oil and soy protein</t>
        </is>
      </c>
      <c r="C2906" s="1" t="n">
        <v>11.38</v>
      </c>
      <c r="D2906" s="1" t="n">
        <v>0</v>
      </c>
      <c r="E2906" s="1" t="n">
        <v>0.03</v>
      </c>
      <c r="F2906" s="1" t="n">
        <v>1</v>
      </c>
      <c r="G2906" s="1" t="n">
        <v>9.970000000000001</v>
      </c>
      <c r="H2906" s="1" t="n">
        <v>15</v>
      </c>
      <c r="I2906" s="1" t="n">
        <v>0.02</v>
      </c>
      <c r="J2906" t="n">
        <v>75142550</v>
      </c>
    </row>
    <row r="2907" ht="15.75" customHeight="1" s="201">
      <c r="A2907" s="1" t="inlineStr">
        <is>
          <t>Cream substitute, liquid, with lauric acid oil and sodium caseinate</t>
        </is>
      </c>
      <c r="C2907" s="1" t="n">
        <v>11.38</v>
      </c>
      <c r="D2907" s="1" t="n">
        <v>0</v>
      </c>
      <c r="E2907" s="1" t="n">
        <v>0.03</v>
      </c>
      <c r="F2907" s="1" t="n">
        <v>1</v>
      </c>
      <c r="G2907" s="1" t="n">
        <v>9.970000000000001</v>
      </c>
      <c r="H2907" s="1" t="n">
        <v>89</v>
      </c>
      <c r="I2907" s="1" t="n">
        <v>0.02</v>
      </c>
      <c r="J2907" t="n">
        <v>75142550</v>
      </c>
    </row>
    <row r="2908" ht="15.75" customHeight="1" s="201">
      <c r="A2908" s="1" t="inlineStr">
        <is>
          <t>Cream substitute, powdered</t>
        </is>
      </c>
      <c r="C2908" s="1" t="n">
        <v>59.29</v>
      </c>
      <c r="D2908" s="1" t="n">
        <v>0</v>
      </c>
      <c r="E2908" s="1" t="n">
        <v>0.26</v>
      </c>
      <c r="F2908" s="1" t="n">
        <v>2.48</v>
      </c>
      <c r="G2908" s="1" t="n">
        <v>32.92</v>
      </c>
      <c r="H2908" s="1" t="n">
        <v>0</v>
      </c>
      <c r="I2908" s="1" t="n">
        <v>0.07000000000000001</v>
      </c>
      <c r="J2908" t="n">
        <v>12110100</v>
      </c>
    </row>
    <row r="2909" ht="15.75" customHeight="1" s="201">
      <c r="A2909" s="1" t="inlineStr">
        <is>
          <t>Cream substitute, powdered, light</t>
        </is>
      </c>
      <c r="C2909" s="1" t="n">
        <v>73.40000000000001</v>
      </c>
      <c r="D2909" s="1" t="n">
        <v>1</v>
      </c>
      <c r="E2909" s="1" t="n">
        <v>0.03</v>
      </c>
      <c r="F2909" s="1" t="n">
        <v>1.9</v>
      </c>
      <c r="G2909" s="1" t="n">
        <v>15.7</v>
      </c>
      <c r="H2909" s="1" t="n">
        <v>15</v>
      </c>
      <c r="I2909" s="1" t="n">
        <v>0.02</v>
      </c>
      <c r="J2909" t="n">
        <v>27446245</v>
      </c>
    </row>
    <row r="2910" ht="15.75" customHeight="1" s="201">
      <c r="A2910" s="1" t="inlineStr">
        <is>
          <t>Cream, fluid, half and half</t>
        </is>
      </c>
      <c r="C2910" s="1" t="n">
        <v>4.3</v>
      </c>
      <c r="D2910" s="1" t="n">
        <v>3</v>
      </c>
      <c r="E2910" s="1" t="n">
        <v>0.05</v>
      </c>
      <c r="F2910" s="1" t="n">
        <v>3.13</v>
      </c>
      <c r="G2910" s="1" t="n">
        <v>11.5</v>
      </c>
      <c r="H2910" s="1" t="n">
        <v>354</v>
      </c>
      <c r="I2910" s="1" t="n">
        <v>0.39</v>
      </c>
      <c r="J2910" t="n">
        <v>92307500</v>
      </c>
    </row>
    <row r="2911" ht="15.75" customHeight="1" s="201">
      <c r="A2911" s="1" t="inlineStr">
        <is>
          <t>Cream, fluid, heavy whipping</t>
        </is>
      </c>
      <c r="C2911" s="1" t="n">
        <v>2.84</v>
      </c>
      <c r="D2911" s="1" t="n">
        <v>4</v>
      </c>
      <c r="E2911" s="1" t="n">
        <v>0.1</v>
      </c>
      <c r="F2911" s="1" t="n">
        <v>2.84</v>
      </c>
      <c r="G2911" s="1" t="n">
        <v>36.08</v>
      </c>
      <c r="H2911" s="1" t="n">
        <v>1470</v>
      </c>
      <c r="I2911" s="1" t="n">
        <v>0.24</v>
      </c>
      <c r="J2911" t="n">
        <v>12130100</v>
      </c>
    </row>
    <row r="2912" ht="15.75" customHeight="1" s="201">
      <c r="A2912" s="1" t="inlineStr">
        <is>
          <t>Cream, fluid, light (coffee cream or table cream)</t>
        </is>
      </c>
      <c r="C2912" s="1" t="n">
        <v>3.66</v>
      </c>
      <c r="D2912" s="1" t="n">
        <v>2</v>
      </c>
      <c r="E2912" s="1" t="n">
        <v>0.05</v>
      </c>
      <c r="F2912" s="1" t="n">
        <v>2.96</v>
      </c>
      <c r="G2912" s="1" t="n">
        <v>19.1</v>
      </c>
      <c r="H2912" s="1" t="n">
        <v>452</v>
      </c>
      <c r="I2912" s="1" t="n">
        <v>0.32</v>
      </c>
      <c r="J2912" t="n">
        <v>27446245</v>
      </c>
    </row>
    <row r="2913" ht="15.75" customHeight="1" s="201">
      <c r="A2913" s="1" t="inlineStr">
        <is>
          <t>Cream, fluid, light whipping</t>
        </is>
      </c>
      <c r="C2913" s="1" t="n">
        <v>2.96</v>
      </c>
      <c r="D2913" s="1" t="n">
        <v>4</v>
      </c>
      <c r="E2913" s="1" t="n">
        <v>0.03</v>
      </c>
      <c r="F2913" s="1" t="n">
        <v>2.17</v>
      </c>
      <c r="G2913" s="1" t="n">
        <v>30.91</v>
      </c>
      <c r="H2913" s="1" t="n">
        <v>1013</v>
      </c>
      <c r="I2913" s="1" t="n">
        <v>0.25</v>
      </c>
      <c r="J2913" t="n">
        <v>27446245</v>
      </c>
    </row>
    <row r="2914" ht="15.75" customHeight="1" s="201">
      <c r="A2914" s="1" t="inlineStr">
        <is>
          <t>Cream, half and half, fat free</t>
        </is>
      </c>
      <c r="C2914" s="1" t="n">
        <v>9</v>
      </c>
      <c r="D2914" s="1" t="n">
        <v>4</v>
      </c>
      <c r="E2914" s="1" t="n">
        <v>0</v>
      </c>
      <c r="F2914" s="1" t="n">
        <v>2.6</v>
      </c>
      <c r="G2914" s="1" t="n">
        <v>1.4</v>
      </c>
      <c r="H2914" s="1" t="n">
        <v>43</v>
      </c>
      <c r="I2914" s="1" t="n">
        <v>0.8100000000000001</v>
      </c>
      <c r="J2914" t="n">
        <v>92307500</v>
      </c>
    </row>
    <row r="2915" ht="15.75" customHeight="1" s="201">
      <c r="A2915" s="1" t="inlineStr">
        <is>
          <t>Cream, half and half, lowfat</t>
        </is>
      </c>
      <c r="C2915" s="1" t="n">
        <v>3.33</v>
      </c>
      <c r="D2915" s="1" t="n">
        <v>3</v>
      </c>
      <c r="E2915" s="1" t="n">
        <v>0</v>
      </c>
      <c r="F2915" s="1" t="n">
        <v>3.33</v>
      </c>
      <c r="G2915" s="1" t="n">
        <v>5</v>
      </c>
      <c r="H2915" s="1" t="n">
        <v>170</v>
      </c>
      <c r="I2915" s="1" t="n">
        <v>0.39</v>
      </c>
      <c r="J2915" t="n">
        <v>92307500</v>
      </c>
    </row>
    <row r="2916" ht="15.75" customHeight="1" s="201">
      <c r="A2916" s="1" t="inlineStr">
        <is>
          <t>Cream, sour, cultured</t>
        </is>
      </c>
      <c r="C2916" s="1" t="n">
        <v>4.63</v>
      </c>
      <c r="D2916" s="1" t="n">
        <v>6</v>
      </c>
      <c r="E2916" s="1" t="n">
        <v>0.07000000000000001</v>
      </c>
      <c r="F2916" s="1" t="n">
        <v>2.44</v>
      </c>
      <c r="G2916" s="1" t="n">
        <v>19.35</v>
      </c>
      <c r="H2916" s="1" t="n">
        <v>447</v>
      </c>
      <c r="I2916" s="1" t="n">
        <v>0.33</v>
      </c>
      <c r="J2916" t="n">
        <v>27446240</v>
      </c>
    </row>
    <row r="2917" ht="15.75" customHeight="1" s="201">
      <c r="A2917" s="1" t="inlineStr">
        <is>
          <t>Cream, sour, reduced fat, cultured</t>
        </is>
      </c>
      <c r="C2917" s="1" t="n">
        <v>4.26</v>
      </c>
      <c r="D2917" s="1" t="n">
        <v>11</v>
      </c>
      <c r="E2917" s="1" t="n">
        <v>0.07000000000000001</v>
      </c>
      <c r="F2917" s="1" t="n">
        <v>2.94</v>
      </c>
      <c r="G2917" s="1" t="n">
        <v>12</v>
      </c>
      <c r="H2917" s="1" t="n">
        <v>372</v>
      </c>
      <c r="I2917" s="1" t="n">
        <v>0.5</v>
      </c>
      <c r="J2917" t="n">
        <v>27446245</v>
      </c>
    </row>
    <row r="2918" ht="15.75" customHeight="1" s="201">
      <c r="A2918" s="1" t="inlineStr">
        <is>
          <t>Cream, whipped, cream topping, pressurized</t>
        </is>
      </c>
      <c r="C2918" s="1" t="n">
        <v>12.49</v>
      </c>
      <c r="D2918" s="1" t="n">
        <v>3</v>
      </c>
      <c r="E2918" s="1" t="n">
        <v>0.05</v>
      </c>
      <c r="F2918" s="1" t="n">
        <v>3.2</v>
      </c>
      <c r="G2918" s="1" t="n">
        <v>22.22</v>
      </c>
      <c r="H2918" s="1" t="n">
        <v>685</v>
      </c>
      <c r="I2918" s="1" t="n">
        <v>0.37</v>
      </c>
      <c r="J2918" t="n">
        <v>63402960</v>
      </c>
    </row>
    <row r="2919" ht="15.75" customHeight="1" s="201">
      <c r="A2919" s="1" t="inlineStr">
        <is>
          <t>Creamy dressing, made with sour cream and/or buttermilk and oil, reduced calorie</t>
        </is>
      </c>
      <c r="C2919" s="1" t="n">
        <v>7</v>
      </c>
      <c r="D2919" s="1" t="n">
        <v>6</v>
      </c>
      <c r="E2919" s="1" t="n">
        <v>0.13</v>
      </c>
      <c r="F2919" s="1" t="n">
        <v>1.5</v>
      </c>
      <c r="G2919" s="1" t="n">
        <v>14</v>
      </c>
      <c r="H2919" s="1" t="n">
        <v>137</v>
      </c>
      <c r="I2919" s="1" t="n">
        <v>0.04</v>
      </c>
      <c r="J2919" t="n">
        <v>58148117</v>
      </c>
    </row>
    <row r="2920" ht="15.75" customHeight="1" s="201">
      <c r="A2920" s="1" t="inlineStr">
        <is>
          <t>Creamy dressing, made with sour cream and/or buttermilk and oil, reduced calorie, cholesterol-free</t>
        </is>
      </c>
      <c r="C2920" s="1" t="n">
        <v>16</v>
      </c>
      <c r="D2920" s="1" t="n">
        <v>4</v>
      </c>
      <c r="E2920" s="1" t="n">
        <v>0.26</v>
      </c>
      <c r="F2920" s="1" t="n">
        <v>1</v>
      </c>
      <c r="G2920" s="1" t="n">
        <v>8</v>
      </c>
      <c r="H2920" s="1" t="n">
        <v>67</v>
      </c>
      <c r="I2920" s="1" t="n">
        <v>0.18</v>
      </c>
      <c r="J2920" t="n">
        <v>58148117</v>
      </c>
    </row>
    <row r="2921" ht="15.75" customHeight="1" s="201">
      <c r="A2921" s="1" t="inlineStr">
        <is>
          <t>Creamy dressing, made with sour cream and/or buttermilk and oil, reduced calorie, fat-free</t>
        </is>
      </c>
      <c r="C2921" s="1" t="n">
        <v>20</v>
      </c>
      <c r="D2921" s="1" t="n">
        <v>6</v>
      </c>
      <c r="E2921" s="1" t="n">
        <v>0.25</v>
      </c>
      <c r="F2921" s="1" t="n">
        <v>1.4</v>
      </c>
      <c r="G2921" s="1" t="n">
        <v>2.7</v>
      </c>
      <c r="H2921" s="1" t="n">
        <v>3</v>
      </c>
      <c r="I2921" s="1" t="n">
        <v>0.18</v>
      </c>
      <c r="J2921" t="n">
        <v>58148117</v>
      </c>
    </row>
    <row r="2922" ht="15.75" customHeight="1" s="201">
      <c r="A2922" s="1" t="inlineStr">
        <is>
          <t>Cress, garden, cooked, boiled, drained, with salt</t>
        </is>
      </c>
      <c r="C2922" s="1" t="n">
        <v>3.8</v>
      </c>
      <c r="D2922" s="1" t="n">
        <v>37</v>
      </c>
      <c r="E2922" s="1" t="n">
        <v>0.8</v>
      </c>
      <c r="F2922" s="1" t="n">
        <v>1.9</v>
      </c>
      <c r="G2922" s="1" t="n">
        <v>0.6</v>
      </c>
      <c r="H2922" s="1" t="n">
        <v>4649</v>
      </c>
      <c r="I2922" s="1" t="n">
        <v>0.15</v>
      </c>
      <c r="J2922" t="n">
        <v>75142550</v>
      </c>
    </row>
    <row r="2923" ht="15.75" customHeight="1" s="201">
      <c r="A2923" s="1" t="inlineStr">
        <is>
          <t>Cress, garden, cooked, boiled, drained, without salt</t>
        </is>
      </c>
      <c r="C2923" s="1" t="n">
        <v>3.8</v>
      </c>
      <c r="D2923" s="1" t="n">
        <v>37</v>
      </c>
      <c r="E2923" s="1" t="n">
        <v>0.8</v>
      </c>
      <c r="F2923" s="1" t="n">
        <v>1.9</v>
      </c>
      <c r="G2923" s="1" t="n">
        <v>0.6</v>
      </c>
      <c r="H2923" s="1" t="n">
        <v>4649</v>
      </c>
      <c r="I2923" s="1" t="n">
        <v>0.15</v>
      </c>
      <c r="J2923" t="n">
        <v>31103010</v>
      </c>
    </row>
    <row r="2924" ht="15.75" customHeight="1" s="201">
      <c r="A2924" s="1" t="inlineStr">
        <is>
          <t>Cress, garden, raw</t>
        </is>
      </c>
      <c r="C2924" s="1" t="n">
        <v>5.5</v>
      </c>
      <c r="D2924" s="1" t="n">
        <v>80</v>
      </c>
      <c r="E2924" s="1" t="n">
        <v>1.3</v>
      </c>
      <c r="F2924" s="1" t="n">
        <v>2.6</v>
      </c>
      <c r="G2924" s="1" t="n">
        <v>0.7</v>
      </c>
      <c r="H2924" s="1" t="n">
        <v>6917</v>
      </c>
      <c r="I2924" s="1" t="n">
        <v>0.23</v>
      </c>
      <c r="J2924" t="n">
        <v>76407010</v>
      </c>
    </row>
    <row r="2925" ht="15.75" customHeight="1" s="201">
      <c r="A2925" s="1" t="inlineStr">
        <is>
          <t>Cress, water</t>
        </is>
      </c>
      <c r="J2925" t="n">
        <v>11740312</v>
      </c>
    </row>
    <row r="2926" ht="15.75" customHeight="1" s="201">
      <c r="A2926" s="1" t="inlineStr">
        <is>
          <t>Croutons, plain</t>
        </is>
      </c>
      <c r="C2926" s="1" t="n">
        <v>73.5</v>
      </c>
      <c r="D2926" s="1" t="n">
        <v>132</v>
      </c>
      <c r="E2926" s="1" t="n">
        <v>4.08</v>
      </c>
      <c r="F2926" s="1" t="n">
        <v>11.9</v>
      </c>
      <c r="G2926" s="1" t="n">
        <v>6.6</v>
      </c>
      <c r="H2926" s="1" t="n">
        <v>0</v>
      </c>
      <c r="I2926" s="1" t="n">
        <v>0.89</v>
      </c>
      <c r="J2926" t="n">
        <v>54401075</v>
      </c>
    </row>
    <row r="2927" ht="15.75" customHeight="1" s="201">
      <c r="A2927" s="1" t="inlineStr">
        <is>
          <t>Croutons, seasoned</t>
        </is>
      </c>
      <c r="C2927" s="1" t="n">
        <v>63.5</v>
      </c>
      <c r="D2927" s="1" t="n">
        <v>105</v>
      </c>
      <c r="E2927" s="1" t="n">
        <v>2.82</v>
      </c>
      <c r="F2927" s="1" t="n">
        <v>10.8</v>
      </c>
      <c r="G2927" s="1" t="n">
        <v>18.3</v>
      </c>
      <c r="H2927" s="1" t="n">
        <v>32</v>
      </c>
      <c r="I2927" s="1" t="n">
        <v>0.9399999999999999</v>
      </c>
      <c r="J2927" t="n">
        <v>51185000</v>
      </c>
    </row>
    <row r="2928" ht="15.75" customHeight="1" s="201">
      <c r="A2928" s="1" t="inlineStr">
        <is>
          <t>Crunchmaster, Multi-Grain Crisps, Snack Crackers, Gluten-Free</t>
        </is>
      </c>
      <c r="C2928" s="1" t="n">
        <v>67.18000000000001</v>
      </c>
      <c r="D2928" s="1" t="n">
        <v>35</v>
      </c>
      <c r="E2928" s="1" t="n">
        <v>2.68</v>
      </c>
      <c r="F2928" s="1" t="n">
        <v>10.91</v>
      </c>
      <c r="G2928" s="1" t="n">
        <v>15.92</v>
      </c>
      <c r="I2928" s="1" t="n">
        <v>2.5</v>
      </c>
      <c r="J2928" t="n">
        <v>54326000</v>
      </c>
    </row>
    <row r="2929" ht="15.75" customHeight="1" s="201">
      <c r="A2929" s="1" t="inlineStr">
        <is>
          <t>Crustaceans, crab, alaska king, cooked, moist heat</t>
        </is>
      </c>
      <c r="C2929" s="1" t="n">
        <v>0</v>
      </c>
      <c r="D2929" s="1" t="n">
        <v>51</v>
      </c>
      <c r="E2929" s="1" t="n">
        <v>0.76</v>
      </c>
      <c r="F2929" s="1" t="n">
        <v>19.35</v>
      </c>
      <c r="G2929" s="1" t="n">
        <v>1.54</v>
      </c>
      <c r="H2929" s="1" t="n">
        <v>29</v>
      </c>
      <c r="I2929" s="1" t="n">
        <v>7.62</v>
      </c>
    </row>
    <row r="2930" ht="15.75" customHeight="1" s="201">
      <c r="A2930" s="1" t="inlineStr">
        <is>
          <t>Crustaceans, crab, alaska king, imitation, made from surimi</t>
        </is>
      </c>
      <c r="C2930" s="1" t="n">
        <v>15</v>
      </c>
      <c r="D2930" s="1" t="n">
        <v>0</v>
      </c>
      <c r="E2930" s="1" t="n">
        <v>0.39</v>
      </c>
      <c r="F2930" s="1" t="n">
        <v>7.62</v>
      </c>
      <c r="G2930" s="1" t="n">
        <v>0.46</v>
      </c>
      <c r="H2930" s="1" t="n">
        <v>0</v>
      </c>
      <c r="I2930" s="1" t="n">
        <v>0.33</v>
      </c>
      <c r="J2930" t="n">
        <v>27450130</v>
      </c>
    </row>
    <row r="2931" ht="15.75" customHeight="1" s="201">
      <c r="A2931" s="1" t="inlineStr">
        <is>
          <t>Crustaceans, crab, blue, canned</t>
        </is>
      </c>
      <c r="C2931" s="1" t="n">
        <v>0</v>
      </c>
      <c r="D2931" s="1" t="n">
        <v>51</v>
      </c>
      <c r="E2931" s="1" t="n">
        <v>0.5</v>
      </c>
      <c r="F2931" s="1" t="n">
        <v>17.88</v>
      </c>
      <c r="G2931" s="1" t="n">
        <v>0.74</v>
      </c>
      <c r="H2931" s="1" t="n">
        <v>2</v>
      </c>
      <c r="I2931" s="1" t="n">
        <v>3.81</v>
      </c>
      <c r="J2931" t="n">
        <v>83101000</v>
      </c>
    </row>
    <row r="2932" ht="15.75" customHeight="1" s="201">
      <c r="A2932" s="1" t="inlineStr">
        <is>
          <t>Crustaceans, crab, blue, cooked, moist heat</t>
        </is>
      </c>
      <c r="C2932" s="1" t="n">
        <v>0</v>
      </c>
      <c r="D2932" s="1" t="n">
        <v>51</v>
      </c>
      <c r="E2932" s="1" t="n">
        <v>0.5</v>
      </c>
      <c r="F2932" s="1" t="n">
        <v>17.88</v>
      </c>
      <c r="G2932" s="1" t="n">
        <v>0.74</v>
      </c>
      <c r="H2932" s="1" t="n">
        <v>2</v>
      </c>
      <c r="I2932" s="1" t="n">
        <v>3.81</v>
      </c>
      <c r="J2932" t="n">
        <v>83101000</v>
      </c>
    </row>
    <row r="2933" ht="15.75" customHeight="1" s="201">
      <c r="A2933" s="1" t="inlineStr">
        <is>
          <t>Crustaceans, crab, blue, crab cakes, home recipe</t>
        </is>
      </c>
      <c r="C2933" s="1" t="n">
        <v>0.48</v>
      </c>
      <c r="D2933" s="1" t="n">
        <v>53</v>
      </c>
      <c r="E2933" s="1" t="n">
        <v>1.08</v>
      </c>
      <c r="F2933" s="1" t="n">
        <v>20.21</v>
      </c>
      <c r="G2933" s="1" t="n">
        <v>7.52</v>
      </c>
      <c r="H2933" s="1" t="n">
        <v>252</v>
      </c>
      <c r="I2933" s="1" t="n">
        <v>4.09</v>
      </c>
      <c r="J2933" t="n">
        <v>53109200</v>
      </c>
    </row>
    <row r="2934" ht="15.75" customHeight="1" s="201">
      <c r="A2934" s="1" t="inlineStr">
        <is>
          <t>Crustaceans, crab, blue, raw</t>
        </is>
      </c>
      <c r="C2934" s="1" t="n">
        <v>0.04</v>
      </c>
      <c r="D2934" s="1" t="n">
        <v>44</v>
      </c>
      <c r="E2934" s="1" t="n">
        <v>0.74</v>
      </c>
      <c r="F2934" s="1" t="n">
        <v>18.06</v>
      </c>
      <c r="G2934" s="1" t="n">
        <v>1.08</v>
      </c>
      <c r="H2934" s="1" t="n">
        <v>5</v>
      </c>
      <c r="I2934" s="1" t="n">
        <v>3.54</v>
      </c>
      <c r="J2934" t="n">
        <v>83101000</v>
      </c>
    </row>
    <row r="2935" ht="15.75" customHeight="1" s="201">
      <c r="A2935" s="1" t="inlineStr">
        <is>
          <t>Crustaceans, crab, dungeness, cooked, moist heat</t>
        </is>
      </c>
      <c r="C2935" s="1" t="n">
        <v>0.95</v>
      </c>
      <c r="D2935" s="1" t="n">
        <v>42</v>
      </c>
      <c r="E2935" s="1" t="n">
        <v>0.43</v>
      </c>
      <c r="F2935" s="1" t="n">
        <v>22.32</v>
      </c>
      <c r="G2935" s="1" t="n">
        <v>1.24</v>
      </c>
      <c r="H2935" s="1" t="n">
        <v>104</v>
      </c>
      <c r="I2935" s="1" t="n">
        <v>5.47</v>
      </c>
    </row>
    <row r="2936" ht="15.75" customHeight="1" s="201">
      <c r="A2936" s="1" t="inlineStr">
        <is>
          <t>Crustaceans, crab, dungeness, raw</t>
        </is>
      </c>
      <c r="C2936" s="1" t="n">
        <v>0.74</v>
      </c>
      <c r="D2936" s="1" t="n">
        <v>44</v>
      </c>
      <c r="E2936" s="1" t="n">
        <v>0.37</v>
      </c>
      <c r="F2936" s="1" t="n">
        <v>17.41</v>
      </c>
      <c r="G2936" s="1" t="n">
        <v>0.97</v>
      </c>
      <c r="H2936" s="1" t="n">
        <v>90</v>
      </c>
      <c r="I2936" s="1" t="n">
        <v>4.27</v>
      </c>
      <c r="J2936" t="n">
        <v>27450130</v>
      </c>
    </row>
    <row r="2937" ht="15.75" customHeight="1" s="201">
      <c r="A2937" s="1" t="inlineStr">
        <is>
          <t>Crustaceans, crab, queen, cooked, moist heat</t>
        </is>
      </c>
      <c r="C2937" s="1" t="n">
        <v>0</v>
      </c>
      <c r="D2937" s="1" t="n">
        <v>42</v>
      </c>
      <c r="E2937" s="1" t="n">
        <v>2.88</v>
      </c>
      <c r="F2937" s="1" t="n">
        <v>23.72</v>
      </c>
      <c r="G2937" s="1" t="n">
        <v>1.51</v>
      </c>
      <c r="H2937" s="1" t="n">
        <v>173</v>
      </c>
      <c r="I2937" s="1" t="n">
        <v>3.59</v>
      </c>
    </row>
    <row r="2938" ht="15.75" customHeight="1" s="201">
      <c r="A2938" s="1" t="inlineStr">
        <is>
          <t>Crustaceans, crab, queen, raw</t>
        </is>
      </c>
      <c r="C2938" s="1" t="n">
        <v>0</v>
      </c>
      <c r="D2938" s="1" t="n">
        <v>44</v>
      </c>
      <c r="E2938" s="1" t="n">
        <v>2.5</v>
      </c>
      <c r="F2938" s="1" t="n">
        <v>18.5</v>
      </c>
      <c r="G2938" s="1" t="n">
        <v>1.18</v>
      </c>
      <c r="H2938" s="1" t="n">
        <v>150</v>
      </c>
      <c r="I2938" s="1" t="n">
        <v>2.8</v>
      </c>
      <c r="J2938" t="n">
        <v>27450130</v>
      </c>
    </row>
    <row r="2939" ht="15.75" customHeight="1" s="201">
      <c r="A2939" s="1" t="inlineStr">
        <is>
          <t>Crustaceans, crab</t>
        </is>
      </c>
      <c r="J2939" t="n">
        <v>27450130</v>
      </c>
    </row>
    <row r="2940" ht="15.75" customHeight="1" s="201">
      <c r="A2940" s="1" t="inlineStr">
        <is>
          <t>Crustaceans, crayfish, mixed species, wild, cooked, moist heat</t>
        </is>
      </c>
      <c r="C2940" s="1" t="n">
        <v>0</v>
      </c>
      <c r="D2940" s="1" t="n">
        <v>44</v>
      </c>
      <c r="E2940" s="1" t="n">
        <v>0.83</v>
      </c>
      <c r="F2940" s="1" t="n">
        <v>16.77</v>
      </c>
      <c r="G2940" s="1" t="n">
        <v>1.2</v>
      </c>
      <c r="H2940" s="1" t="n">
        <v>50</v>
      </c>
      <c r="I2940" s="1" t="n">
        <v>1.76</v>
      </c>
      <c r="J2940" t="n">
        <v>56205320</v>
      </c>
    </row>
    <row r="2941" ht="15.75" customHeight="1" s="201">
      <c r="A2941" s="1" t="inlineStr">
        <is>
          <t>Crustaceans, crayfish, mixed species, wild, raw</t>
        </is>
      </c>
      <c r="C2941" s="1" t="n">
        <v>0</v>
      </c>
      <c r="D2941" s="1" t="n">
        <v>37</v>
      </c>
      <c r="E2941" s="1" t="n">
        <v>0.84</v>
      </c>
      <c r="F2941" s="1" t="n">
        <v>15.97</v>
      </c>
      <c r="G2941" s="1" t="n">
        <v>0.95</v>
      </c>
      <c r="H2941" s="1" t="n">
        <v>53</v>
      </c>
      <c r="I2941" s="1" t="n">
        <v>1.3</v>
      </c>
      <c r="J2941" t="n">
        <v>76407010</v>
      </c>
    </row>
    <row r="2942" ht="15.75" customHeight="1" s="201">
      <c r="A2942" s="1" t="inlineStr">
        <is>
          <t>Crustaceans, cray fish</t>
        </is>
      </c>
      <c r="J2942" t="n">
        <v>27150310</v>
      </c>
    </row>
    <row r="2943" ht="15.75" customHeight="1" s="201">
      <c r="A2943" s="1" t="inlineStr">
        <is>
          <t>Crustaceans, lobster, northern, cooked, moist heat</t>
        </is>
      </c>
      <c r="C2943" s="1" t="n">
        <v>0</v>
      </c>
      <c r="D2943" s="1" t="n">
        <v>11</v>
      </c>
      <c r="E2943" s="1" t="n">
        <v>0.29</v>
      </c>
      <c r="F2943" s="1" t="n">
        <v>19</v>
      </c>
      <c r="G2943" s="1" t="n">
        <v>0.86</v>
      </c>
      <c r="H2943" s="1" t="n">
        <v>4</v>
      </c>
      <c r="I2943" s="1" t="n">
        <v>4.05</v>
      </c>
      <c r="J2943" t="n">
        <v>26311110</v>
      </c>
    </row>
    <row r="2944" ht="15.75" customHeight="1" s="201">
      <c r="A2944" s="1" t="inlineStr">
        <is>
          <t>Crustaceans, lobster, northern, raw</t>
        </is>
      </c>
      <c r="C2944" s="1" t="n">
        <v>0</v>
      </c>
      <c r="D2944" s="1" t="n">
        <v>10</v>
      </c>
      <c r="E2944" s="1" t="n">
        <v>0.26</v>
      </c>
      <c r="F2944" s="1" t="n">
        <v>16.52</v>
      </c>
      <c r="G2944" s="1" t="n">
        <v>0.75</v>
      </c>
      <c r="H2944" s="1" t="n">
        <v>4</v>
      </c>
      <c r="I2944" s="1" t="n">
        <v>3.53</v>
      </c>
      <c r="J2944" t="n">
        <v>26311110</v>
      </c>
    </row>
    <row r="2945" ht="15.75" customHeight="1" s="201">
      <c r="A2945" s="1" t="inlineStr">
        <is>
          <t>Crustaceans, lobster</t>
        </is>
      </c>
      <c r="J2945" t="n">
        <v>26311110</v>
      </c>
    </row>
    <row r="2946" ht="15.75" customHeight="1" s="201">
      <c r="A2946" s="1" t="inlineStr">
        <is>
          <t>Crustaceans, shrimp</t>
        </is>
      </c>
      <c r="J2946" t="n">
        <v>26319145</v>
      </c>
    </row>
    <row r="2947" ht="15.75" customHeight="1" s="201">
      <c r="A2947" s="1" t="inlineStr">
        <is>
          <t>Crustaceans, shrimp, mixed species, canned</t>
        </is>
      </c>
      <c r="C2947" s="1" t="n">
        <v>0</v>
      </c>
      <c r="D2947" s="1" t="n">
        <v>9</v>
      </c>
      <c r="E2947" s="1" t="n">
        <v>2.13</v>
      </c>
      <c r="F2947" s="1" t="n">
        <v>20.42</v>
      </c>
      <c r="G2947" s="1" t="n">
        <v>1.36</v>
      </c>
      <c r="H2947" s="1" t="n">
        <v>0</v>
      </c>
      <c r="I2947" s="1" t="n">
        <v>1.96</v>
      </c>
      <c r="J2947" t="n">
        <v>26319145</v>
      </c>
    </row>
    <row r="2948" ht="15.75" customHeight="1" s="201">
      <c r="A2948" s="1" t="inlineStr">
        <is>
          <t>Crustaceans, shrimp, mixed species, cooked, breaded and fried</t>
        </is>
      </c>
      <c r="C2948" s="1" t="n">
        <v>11.47</v>
      </c>
      <c r="D2948" s="1" t="n">
        <v>33</v>
      </c>
      <c r="E2948" s="1" t="n">
        <v>1.26</v>
      </c>
      <c r="F2948" s="1" t="n">
        <v>21.39</v>
      </c>
      <c r="G2948" s="1" t="n">
        <v>12.28</v>
      </c>
      <c r="H2948" s="1" t="n">
        <v>189</v>
      </c>
      <c r="I2948" s="1" t="n">
        <v>1.38</v>
      </c>
      <c r="J2948" t="n">
        <v>26319145</v>
      </c>
    </row>
    <row r="2949" ht="15.75" customHeight="1" s="201">
      <c r="A2949" s="1" t="inlineStr">
        <is>
          <t>Crustaceans, shrimp, mixed species, cooked, moist heat (may contain additives to retain moisture)</t>
        </is>
      </c>
      <c r="C2949" s="1" t="n">
        <v>1.52</v>
      </c>
      <c r="D2949" s="1" t="n">
        <v>24</v>
      </c>
      <c r="E2949" s="1" t="n">
        <v>0.32</v>
      </c>
      <c r="F2949" s="1" t="n">
        <v>22.78</v>
      </c>
      <c r="G2949" s="1" t="n">
        <v>1.7</v>
      </c>
      <c r="H2949" s="1" t="n">
        <v>301</v>
      </c>
      <c r="I2949" s="1" t="n">
        <v>1.63</v>
      </c>
    </row>
    <row r="2950" ht="15.75" customHeight="1" s="201">
      <c r="A2950" s="1" t="inlineStr">
        <is>
          <t>Crustaceans, shrimp, mixed species, imitation, made from surimi</t>
        </is>
      </c>
      <c r="C2950" s="1" t="n">
        <v>9.130000000000001</v>
      </c>
      <c r="D2950" s="1" t="n">
        <v>2</v>
      </c>
      <c r="E2950" s="1" t="n">
        <v>0.6</v>
      </c>
      <c r="F2950" s="1" t="n">
        <v>12.39</v>
      </c>
      <c r="G2950" s="1" t="n">
        <v>1.47</v>
      </c>
      <c r="H2950" s="1" t="n">
        <v>66</v>
      </c>
      <c r="I2950" s="1" t="n">
        <v>0.33</v>
      </c>
      <c r="J2950" t="n">
        <v>26319145</v>
      </c>
    </row>
    <row r="2951" ht="15.75" customHeight="1" s="201">
      <c r="A2951" s="1" t="inlineStr">
        <is>
          <t>Crustaceans, shrimp, mixed species, raw (may contain additives to retain moisture)</t>
        </is>
      </c>
      <c r="C2951" s="1" t="n">
        <v>0.91</v>
      </c>
      <c r="D2951" s="1" t="n">
        <v>19</v>
      </c>
      <c r="E2951" s="1" t="n">
        <v>0.21</v>
      </c>
      <c r="F2951" s="1" t="n">
        <v>13.61</v>
      </c>
      <c r="G2951" s="1" t="n">
        <v>1.01</v>
      </c>
      <c r="H2951" s="1" t="n">
        <v>180</v>
      </c>
      <c r="I2951" s="1" t="n">
        <v>0.97</v>
      </c>
      <c r="J2951" t="n">
        <v>26319145</v>
      </c>
    </row>
    <row r="2952" ht="15.75" customHeight="1" s="201">
      <c r="A2952" s="1" t="inlineStr">
        <is>
          <t>Crustaceans, spiny lobster, mixed species, cooked, moist heat</t>
        </is>
      </c>
      <c r="C2952" s="1" t="n">
        <v>3.12</v>
      </c>
      <c r="D2952" s="1" t="n">
        <v>1</v>
      </c>
      <c r="E2952" s="1" t="n">
        <v>1.41</v>
      </c>
      <c r="F2952" s="1" t="n">
        <v>26.41</v>
      </c>
      <c r="G2952" s="1" t="n">
        <v>1.94</v>
      </c>
      <c r="H2952" s="1" t="n">
        <v>20</v>
      </c>
      <c r="I2952" s="1" t="n">
        <v>7.27</v>
      </c>
      <c r="J2952" t="n">
        <v>26311110</v>
      </c>
    </row>
    <row r="2953" ht="15.75" customHeight="1" s="201">
      <c r="A2953" s="1" t="inlineStr">
        <is>
          <t>Crustaceans, spiny lobster, mixed species, raw</t>
        </is>
      </c>
      <c r="C2953" s="1" t="n">
        <v>2.43</v>
      </c>
      <c r="D2953" s="1" t="n">
        <v>1</v>
      </c>
      <c r="E2953" s="1" t="n">
        <v>1.22</v>
      </c>
      <c r="F2953" s="1" t="n">
        <v>20.6</v>
      </c>
      <c r="G2953" s="1" t="n">
        <v>1.51</v>
      </c>
      <c r="H2953" s="1" t="n">
        <v>17</v>
      </c>
      <c r="I2953" s="1" t="n">
        <v>5.67</v>
      </c>
      <c r="J2953" t="n">
        <v>26311110</v>
      </c>
    </row>
    <row r="2954" ht="15.75" customHeight="1" s="201">
      <c r="A2954" s="1" t="inlineStr">
        <is>
          <t>Cucumber, peeled, raw</t>
        </is>
      </c>
      <c r="C2954" s="1" t="n">
        <v>2.16</v>
      </c>
      <c r="D2954" s="1" t="n">
        <v>14</v>
      </c>
      <c r="E2954" s="1" t="n">
        <v>0.22</v>
      </c>
      <c r="F2954" s="1" t="n">
        <v>0.59</v>
      </c>
      <c r="G2954" s="1" t="n">
        <v>0.16</v>
      </c>
      <c r="H2954" s="1" t="n">
        <v>72</v>
      </c>
      <c r="I2954" s="1" t="n">
        <v>0.17</v>
      </c>
      <c r="J2954" t="n">
        <v>74506000</v>
      </c>
    </row>
    <row r="2955" ht="15.75" customHeight="1" s="201">
      <c r="A2955" s="1" t="inlineStr">
        <is>
          <t>Cucumber, pickled</t>
        </is>
      </c>
      <c r="J2955" t="n">
        <v>74506000</v>
      </c>
    </row>
    <row r="2956" ht="15.75" customHeight="1" s="201">
      <c r="A2956" s="1" t="inlineStr">
        <is>
          <t>Cucumber, with peel, raw</t>
        </is>
      </c>
      <c r="C2956" s="1" t="n">
        <v>3.63</v>
      </c>
      <c r="D2956" s="1" t="n">
        <v>7</v>
      </c>
      <c r="E2956" s="1" t="n">
        <v>0.28</v>
      </c>
      <c r="F2956" s="1" t="n">
        <v>0.65</v>
      </c>
      <c r="G2956" s="1" t="n">
        <v>0.11</v>
      </c>
      <c r="H2956" s="1" t="n">
        <v>105</v>
      </c>
      <c r="I2956" s="1" t="n">
        <v>0.2</v>
      </c>
      <c r="J2956" t="n">
        <v>75142550</v>
      </c>
    </row>
    <row r="2957" ht="15.75" customHeight="1" s="201">
      <c r="A2957" s="1" t="inlineStr">
        <is>
          <t>Currants, european black, raw</t>
        </is>
      </c>
      <c r="C2957" s="1" t="n">
        <v>15.38</v>
      </c>
      <c r="E2957" s="1" t="n">
        <v>1.54</v>
      </c>
      <c r="F2957" s="1" t="n">
        <v>1.4</v>
      </c>
      <c r="G2957" s="1" t="n">
        <v>0.41</v>
      </c>
      <c r="H2957" s="1" t="n">
        <v>230</v>
      </c>
      <c r="I2957" s="1" t="n">
        <v>0.27</v>
      </c>
      <c r="J2957" t="n">
        <v>92302000</v>
      </c>
    </row>
    <row r="2958" ht="15.75" customHeight="1" s="201">
      <c r="A2958" s="1" t="inlineStr">
        <is>
          <t>Currants, red and white, raw</t>
        </is>
      </c>
      <c r="C2958" s="1" t="n">
        <v>13.8</v>
      </c>
      <c r="D2958" s="1" t="n">
        <v>8</v>
      </c>
      <c r="E2958" s="1" t="n">
        <v>1</v>
      </c>
      <c r="F2958" s="1" t="n">
        <v>1.4</v>
      </c>
      <c r="G2958" s="1" t="n">
        <v>0.2</v>
      </c>
      <c r="H2958" s="1" t="n">
        <v>42</v>
      </c>
      <c r="I2958" s="1" t="n">
        <v>0.23</v>
      </c>
      <c r="J2958" t="n">
        <v>53109200</v>
      </c>
    </row>
    <row r="2959" ht="15.75" customHeight="1" s="201">
      <c r="A2959" s="1" t="inlineStr">
        <is>
          <t>Currants, zante, dried</t>
        </is>
      </c>
      <c r="C2959" s="1" t="n">
        <v>76.98</v>
      </c>
      <c r="D2959" s="1" t="n">
        <v>10</v>
      </c>
      <c r="E2959" s="1" t="n">
        <v>1.88</v>
      </c>
      <c r="F2959" s="1" t="n">
        <v>3.43</v>
      </c>
      <c r="G2959" s="1" t="n">
        <v>0.22</v>
      </c>
      <c r="H2959" s="1" t="n">
        <v>73</v>
      </c>
      <c r="I2959" s="1" t="n">
        <v>0.37</v>
      </c>
      <c r="J2959" t="n">
        <v>62108100</v>
      </c>
    </row>
    <row r="2960" ht="15.75" customHeight="1" s="201">
      <c r="A2960" s="1" t="inlineStr">
        <is>
          <t>Currants, raw</t>
        </is>
      </c>
      <c r="J2960" t="n">
        <v>62108100</v>
      </c>
    </row>
    <row r="2961" ht="15.75" customHeight="1" s="201">
      <c r="A2961" s="1" t="inlineStr">
        <is>
          <t>Custard-apple, (bullock's-heart), raw</t>
        </is>
      </c>
      <c r="C2961" s="1" t="n">
        <v>25.2</v>
      </c>
      <c r="E2961" s="1" t="n">
        <v>0.71</v>
      </c>
      <c r="F2961" s="1" t="n">
        <v>1.7</v>
      </c>
      <c r="G2961" s="1" t="n">
        <v>0.6</v>
      </c>
      <c r="H2961" s="1" t="n">
        <v>33</v>
      </c>
      <c r="J2961" t="n">
        <v>57301530</v>
      </c>
    </row>
    <row r="2962" ht="15.75" customHeight="1" s="201">
      <c r="A2962" s="1" t="inlineStr">
        <is>
          <t>Dandelion greens, cooked, boiled, drained, with salt</t>
        </is>
      </c>
      <c r="C2962" s="1" t="n">
        <v>6.4</v>
      </c>
      <c r="D2962" s="1" t="n">
        <v>13</v>
      </c>
      <c r="E2962" s="1" t="n">
        <v>1.8</v>
      </c>
      <c r="F2962" s="1" t="n">
        <v>2</v>
      </c>
      <c r="G2962" s="1" t="n">
        <v>0.6</v>
      </c>
      <c r="H2962" s="1" t="n">
        <v>14544</v>
      </c>
      <c r="I2962" s="1" t="n">
        <v>0.28</v>
      </c>
      <c r="J2962" t="n">
        <v>75142550</v>
      </c>
    </row>
    <row r="2963" ht="15.75" customHeight="1" s="201">
      <c r="A2963" s="1" t="inlineStr">
        <is>
          <t>Dandelion greens, cooked, boiled, drained, without salt</t>
        </is>
      </c>
      <c r="C2963" s="1" t="n">
        <v>6.4</v>
      </c>
      <c r="D2963" s="1" t="n">
        <v>13</v>
      </c>
      <c r="E2963" s="1" t="n">
        <v>1.8</v>
      </c>
      <c r="F2963" s="1" t="n">
        <v>2</v>
      </c>
      <c r="G2963" s="1" t="n">
        <v>0.6</v>
      </c>
      <c r="H2963" s="1" t="n">
        <v>6837</v>
      </c>
      <c r="I2963" s="1" t="n">
        <v>0.28</v>
      </c>
      <c r="J2963" t="n">
        <v>31103010</v>
      </c>
    </row>
    <row r="2964" ht="15.75" customHeight="1" s="201">
      <c r="A2964" s="1" t="inlineStr">
        <is>
          <t>Dandelion greens, raw</t>
        </is>
      </c>
      <c r="C2964" s="1" t="n">
        <v>9.199999999999999</v>
      </c>
      <c r="D2964" s="1" t="n">
        <v>27</v>
      </c>
      <c r="E2964" s="1" t="n">
        <v>3.1</v>
      </c>
      <c r="F2964" s="1" t="n">
        <v>2.7</v>
      </c>
      <c r="G2964" s="1" t="n">
        <v>0.7</v>
      </c>
      <c r="H2964" s="1" t="n">
        <v>10161</v>
      </c>
      <c r="I2964" s="1" t="n">
        <v>0.41</v>
      </c>
      <c r="J2964" t="n">
        <v>27420080</v>
      </c>
    </row>
    <row r="2965" ht="15.75" customHeight="1" s="201">
      <c r="A2965" s="1" t="inlineStr">
        <is>
          <t>Danish pastry, cheese</t>
        </is>
      </c>
      <c r="C2965" s="1" t="n">
        <v>37.2</v>
      </c>
      <c r="D2965" s="1" t="n">
        <v>60</v>
      </c>
      <c r="E2965" s="1" t="n">
        <v>1.8</v>
      </c>
      <c r="F2965" s="1" t="n">
        <v>8</v>
      </c>
      <c r="G2965" s="1" t="n">
        <v>21.9</v>
      </c>
      <c r="H2965" s="1" t="n">
        <v>128</v>
      </c>
      <c r="I2965" s="1" t="n">
        <v>0.7</v>
      </c>
      <c r="J2965" t="n">
        <v>14420100</v>
      </c>
    </row>
    <row r="2966" ht="15.75" customHeight="1" s="201">
      <c r="A2966" s="1" t="inlineStr">
        <is>
          <t>Danish pastry, cinnamon, enriched</t>
        </is>
      </c>
      <c r="C2966" s="1" t="n">
        <v>44.6</v>
      </c>
      <c r="D2966" s="1" t="n">
        <v>68</v>
      </c>
      <c r="E2966" s="1" t="n">
        <v>1.96</v>
      </c>
      <c r="F2966" s="1" t="n">
        <v>7</v>
      </c>
      <c r="G2966" s="1" t="n">
        <v>22.4</v>
      </c>
      <c r="H2966" s="1" t="n">
        <v>24</v>
      </c>
      <c r="I2966" s="1" t="n">
        <v>0.72</v>
      </c>
      <c r="J2966" t="n">
        <v>53510000</v>
      </c>
    </row>
    <row r="2967" ht="15.75" customHeight="1" s="201">
      <c r="A2967" s="1" t="inlineStr">
        <is>
          <t>Danish pastry, cinnamon, unenriched</t>
        </is>
      </c>
      <c r="C2967" s="1" t="n">
        <v>44.6</v>
      </c>
      <c r="D2967" s="1" t="n">
        <v>33</v>
      </c>
      <c r="E2967" s="1" t="n">
        <v>0.78</v>
      </c>
      <c r="F2967" s="1" t="n">
        <v>7</v>
      </c>
      <c r="G2967" s="1" t="n">
        <v>22.4</v>
      </c>
      <c r="H2967" s="1" t="n">
        <v>12</v>
      </c>
      <c r="I2967" s="1" t="n">
        <v>0.72</v>
      </c>
      <c r="J2967" t="n">
        <v>53510000</v>
      </c>
    </row>
    <row r="2968" ht="15.75" customHeight="1" s="201">
      <c r="A2968" s="1" t="inlineStr">
        <is>
          <t>Danish pastry, fruit, enriched (includes apple, cinnamon, raisin, lemon, raspberry, strawberry)</t>
        </is>
      </c>
      <c r="C2968" s="1" t="n">
        <v>47.8</v>
      </c>
      <c r="D2968" s="1" t="n">
        <v>47</v>
      </c>
      <c r="E2968" s="1" t="n">
        <v>1.77</v>
      </c>
      <c r="F2968" s="1" t="n">
        <v>5.4</v>
      </c>
      <c r="G2968" s="1" t="n">
        <v>18.5</v>
      </c>
      <c r="H2968" s="1" t="n">
        <v>51</v>
      </c>
      <c r="I2968" s="1" t="n">
        <v>0.54</v>
      </c>
      <c r="J2968" t="n">
        <v>91708030</v>
      </c>
    </row>
    <row r="2969" ht="15.75" customHeight="1" s="201">
      <c r="A2969" s="1" t="inlineStr">
        <is>
          <t>Danish pastry, fruit, unenriched (includes apple, cinnamon, raisin, strawberry)</t>
        </is>
      </c>
      <c r="C2969" s="1" t="n">
        <v>47.8</v>
      </c>
      <c r="D2969" s="1" t="n">
        <v>16</v>
      </c>
      <c r="E2969" s="1" t="n">
        <v>0.75</v>
      </c>
      <c r="F2969" s="1" t="n">
        <v>5.4</v>
      </c>
      <c r="G2969" s="1" t="n">
        <v>18.5</v>
      </c>
      <c r="H2969" s="1" t="n">
        <v>74</v>
      </c>
      <c r="I2969" s="1" t="n">
        <v>0.54</v>
      </c>
      <c r="J2969" t="n">
        <v>91708030</v>
      </c>
    </row>
    <row r="2970" ht="15.75" customHeight="1" s="201">
      <c r="A2970" s="1" t="inlineStr">
        <is>
          <t>Danish pastry, lemon, unenriched</t>
        </is>
      </c>
      <c r="C2970" s="1" t="n">
        <v>47.8</v>
      </c>
      <c r="D2970" s="1" t="n">
        <v>16</v>
      </c>
      <c r="E2970" s="1" t="n">
        <v>0.75</v>
      </c>
      <c r="F2970" s="1" t="n">
        <v>5.4</v>
      </c>
      <c r="G2970" s="1" t="n">
        <v>18.5</v>
      </c>
      <c r="H2970" s="1" t="n">
        <v>175</v>
      </c>
      <c r="I2970" s="1" t="n">
        <v>0.54</v>
      </c>
      <c r="J2970" t="n">
        <v>53510000</v>
      </c>
    </row>
    <row r="2971" ht="15.75" customHeight="1" s="201">
      <c r="A2971" s="1" t="inlineStr">
        <is>
          <t>Dates, deglet noor</t>
        </is>
      </c>
      <c r="C2971" s="1" t="n">
        <v>75.03</v>
      </c>
      <c r="D2971" s="1" t="n">
        <v>19</v>
      </c>
      <c r="E2971" s="1" t="n">
        <v>1.02</v>
      </c>
      <c r="F2971" s="1" t="n">
        <v>2.45</v>
      </c>
      <c r="G2971" s="1" t="n">
        <v>0.39</v>
      </c>
      <c r="H2971" s="1" t="n">
        <v>10</v>
      </c>
      <c r="I2971" s="1" t="n">
        <v>0.29</v>
      </c>
    </row>
    <row r="2972" ht="15.75" customHeight="1" s="201">
      <c r="A2972" s="1" t="inlineStr">
        <is>
          <t>Dates, medjool</t>
        </is>
      </c>
      <c r="C2972" s="1" t="n">
        <v>74.97</v>
      </c>
      <c r="D2972" s="1" t="n">
        <v>15</v>
      </c>
      <c r="E2972" s="1" t="n">
        <v>0.9</v>
      </c>
      <c r="F2972" s="1" t="n">
        <v>1.81</v>
      </c>
      <c r="G2972" s="1" t="n">
        <v>0.15</v>
      </c>
      <c r="H2972" s="1" t="n">
        <v>149</v>
      </c>
      <c r="I2972" s="1" t="n">
        <v>0.44</v>
      </c>
      <c r="J2972" t="n">
        <v>53233010</v>
      </c>
    </row>
    <row r="2973" ht="15.75" customHeight="1" s="201">
      <c r="A2973" s="1" t="inlineStr">
        <is>
          <t>Date</t>
        </is>
      </c>
      <c r="J2973" t="n">
        <v>62110100</v>
      </c>
    </row>
    <row r="2974" ht="15.75" customHeight="1" s="201">
      <c r="A2974" s="1" t="inlineStr">
        <is>
          <t>Deer (venison), sitka, raw (Alaska Native)</t>
        </is>
      </c>
      <c r="C2974" s="1" t="n">
        <v>0</v>
      </c>
      <c r="E2974" s="1" t="n">
        <v>2.9</v>
      </c>
      <c r="F2974" s="1" t="n">
        <v>21.5</v>
      </c>
      <c r="G2974" s="1" t="n">
        <v>2.66</v>
      </c>
      <c r="H2974" s="1" t="n">
        <v>0</v>
      </c>
      <c r="J2974" t="n">
        <v>23321200</v>
      </c>
    </row>
    <row r="2975" ht="15.75" customHeight="1" s="201">
      <c r="A2975" s="1" t="inlineStr">
        <is>
          <t>DENNY'S, chicken nuggets, star shaped, from kid's menu</t>
        </is>
      </c>
      <c r="C2975" s="1" t="n">
        <v>13.59</v>
      </c>
      <c r="D2975" s="1" t="n">
        <v>29</v>
      </c>
      <c r="E2975" s="1" t="n">
        <v>1.34</v>
      </c>
      <c r="F2975" s="1" t="n">
        <v>16.27</v>
      </c>
      <c r="G2975" s="1" t="n">
        <v>28.57</v>
      </c>
      <c r="H2975" s="1" t="n">
        <v>58</v>
      </c>
      <c r="I2975" s="1" t="n">
        <v>0.73</v>
      </c>
      <c r="J2975" t="n">
        <v>24198746</v>
      </c>
    </row>
    <row r="2976" ht="15.75" customHeight="1" s="201">
      <c r="A2976" s="1" t="inlineStr">
        <is>
          <t>DENNY'S, chicken strips</t>
        </is>
      </c>
      <c r="C2976" s="1" t="n">
        <v>22.03</v>
      </c>
      <c r="D2976" s="1" t="n">
        <v>14</v>
      </c>
      <c r="E2976" s="1" t="n">
        <v>0.72</v>
      </c>
      <c r="F2976" s="1" t="n">
        <v>19.17</v>
      </c>
      <c r="G2976" s="1" t="n">
        <v>14.5</v>
      </c>
      <c r="H2976" s="1" t="n">
        <v>87</v>
      </c>
      <c r="I2976" s="1" t="n">
        <v>0.71</v>
      </c>
      <c r="J2976" t="n">
        <v>24198746</v>
      </c>
    </row>
    <row r="2977" ht="15.75" customHeight="1" s="201">
      <c r="A2977" s="1" t="inlineStr">
        <is>
          <t>DENNY'S, coleslaw</t>
        </is>
      </c>
      <c r="C2977" s="1" t="n">
        <v>10.88</v>
      </c>
      <c r="E2977" s="1" t="n">
        <v>0.34</v>
      </c>
      <c r="F2977" s="1" t="n">
        <v>0.97</v>
      </c>
      <c r="G2977" s="1" t="n">
        <v>15.03</v>
      </c>
      <c r="H2977" s="1" t="n">
        <v>707</v>
      </c>
      <c r="I2977" s="1" t="n">
        <v>0.2</v>
      </c>
      <c r="J2977" t="n">
        <v>75141000</v>
      </c>
    </row>
    <row r="2978" ht="15.75" customHeight="1" s="201">
      <c r="A2978" s="1" t="inlineStr">
        <is>
          <t>DENNY'S, fish fillet, battered or breaded, fried</t>
        </is>
      </c>
      <c r="C2978" s="1" t="n">
        <v>17.41</v>
      </c>
      <c r="D2978" s="1" t="n">
        <v>17</v>
      </c>
      <c r="E2978" s="1" t="n">
        <v>0.41</v>
      </c>
      <c r="F2978" s="1" t="n">
        <v>13.75</v>
      </c>
      <c r="G2978" s="1" t="n">
        <v>12.16</v>
      </c>
      <c r="H2978" s="1" t="n">
        <v>11</v>
      </c>
      <c r="I2978" s="1" t="n">
        <v>0.44</v>
      </c>
      <c r="J2978" t="n">
        <v>27550100</v>
      </c>
    </row>
    <row r="2979" ht="15.75" customHeight="1" s="201">
      <c r="A2979" s="1" t="inlineStr">
        <is>
          <t>DENNY'S, french fries</t>
        </is>
      </c>
      <c r="C2979" s="1" t="n">
        <v>35.2</v>
      </c>
      <c r="D2979" s="1" t="n">
        <v>15</v>
      </c>
      <c r="E2979" s="1" t="n">
        <v>0.72</v>
      </c>
      <c r="F2979" s="1" t="n">
        <v>3.41</v>
      </c>
      <c r="G2979" s="1" t="n">
        <v>14.13</v>
      </c>
      <c r="I2979" s="1" t="n">
        <v>0.46</v>
      </c>
      <c r="J2979" t="n">
        <v>71205040</v>
      </c>
    </row>
    <row r="2980" ht="15.75" customHeight="1" s="201">
      <c r="A2980" s="1" t="inlineStr">
        <is>
          <t>DENNY'S, golden fried shrimp</t>
        </is>
      </c>
      <c r="C2980" s="1" t="n">
        <v>20.93</v>
      </c>
      <c r="D2980" s="1" t="n">
        <v>54</v>
      </c>
      <c r="E2980" s="1" t="n">
        <v>1.54</v>
      </c>
      <c r="F2980" s="1" t="n">
        <v>13.88</v>
      </c>
      <c r="G2980" s="1" t="n">
        <v>20.01</v>
      </c>
      <c r="H2980" s="1" t="n">
        <v>6</v>
      </c>
      <c r="I2980" s="1" t="n">
        <v>0.85</v>
      </c>
      <c r="J2980" t="n">
        <v>26319145</v>
      </c>
    </row>
    <row r="2981" ht="15.75" customHeight="1" s="201">
      <c r="A2981" s="1" t="inlineStr">
        <is>
          <t>DENNY'S, hash browns</t>
        </is>
      </c>
      <c r="C2981" s="1" t="n">
        <v>26.59</v>
      </c>
      <c r="D2981" s="1" t="n">
        <v>23</v>
      </c>
      <c r="E2981" s="1" t="n">
        <v>0.5600000000000001</v>
      </c>
      <c r="F2981" s="1" t="n">
        <v>2.49</v>
      </c>
      <c r="G2981" s="1" t="n">
        <v>8.99</v>
      </c>
      <c r="I2981" s="1" t="n">
        <v>0.29</v>
      </c>
    </row>
    <row r="2982" ht="15.75" customHeight="1" s="201">
      <c r="A2982" s="1" t="inlineStr">
        <is>
          <t>DENNY'S, macaroni &amp; cheese, from kid's menu</t>
        </is>
      </c>
      <c r="C2982" s="1" t="n">
        <v>21.16</v>
      </c>
      <c r="D2982" s="1" t="n">
        <v>36</v>
      </c>
      <c r="E2982" s="1" t="n">
        <v>0.79</v>
      </c>
      <c r="F2982" s="1" t="n">
        <v>5.19</v>
      </c>
      <c r="G2982" s="1" t="n">
        <v>4.92</v>
      </c>
      <c r="H2982" s="1" t="n">
        <v>58</v>
      </c>
      <c r="I2982" s="1" t="n">
        <v>0.58</v>
      </c>
      <c r="J2982" t="n">
        <v>51121065</v>
      </c>
    </row>
    <row r="2983" ht="15.75" customHeight="1" s="201">
      <c r="A2983" s="1" t="inlineStr">
        <is>
          <t>DENNY'S, mozzarella cheese sticks</t>
        </is>
      </c>
      <c r="C2983" s="1" t="n">
        <v>27.22</v>
      </c>
      <c r="D2983" s="1" t="n">
        <v>26</v>
      </c>
      <c r="E2983" s="1" t="n">
        <v>0.84</v>
      </c>
      <c r="F2983" s="1" t="n">
        <v>13.56</v>
      </c>
      <c r="G2983" s="1" t="n">
        <v>17.87</v>
      </c>
      <c r="H2983" s="1" t="n">
        <v>343</v>
      </c>
      <c r="I2983" s="1" t="n">
        <v>1.98</v>
      </c>
      <c r="J2983" t="n">
        <v>14107030</v>
      </c>
    </row>
    <row r="2984" ht="15.75" customHeight="1" s="201">
      <c r="A2984" s="1" t="inlineStr">
        <is>
          <t>DENNY'S, onion rings</t>
        </is>
      </c>
      <c r="C2984" s="1" t="n">
        <v>41.05</v>
      </c>
      <c r="D2984" s="1" t="n">
        <v>13</v>
      </c>
      <c r="E2984" s="1" t="n">
        <v>0.74</v>
      </c>
      <c r="F2984" s="1" t="n">
        <v>5.29</v>
      </c>
      <c r="G2984" s="1" t="n">
        <v>22.23</v>
      </c>
      <c r="H2984" s="1" t="n">
        <v>5</v>
      </c>
      <c r="I2984" s="1" t="n">
        <v>0.55</v>
      </c>
      <c r="J2984" t="n">
        <v>11440030</v>
      </c>
    </row>
    <row r="2985" ht="15.75" customHeight="1" s="201">
      <c r="A2985" s="1" t="inlineStr">
        <is>
          <t>DENNY'S, spaghetti and meatballs</t>
        </is>
      </c>
      <c r="C2985" s="1" t="n">
        <v>15.51</v>
      </c>
      <c r="D2985" s="1" t="n">
        <v>36</v>
      </c>
      <c r="E2985" s="1" t="n">
        <v>1.29</v>
      </c>
      <c r="F2985" s="1" t="n">
        <v>7.84</v>
      </c>
      <c r="G2985" s="1" t="n">
        <v>8.52</v>
      </c>
      <c r="H2985" s="1" t="n">
        <v>258</v>
      </c>
      <c r="I2985" s="1" t="n">
        <v>1.04</v>
      </c>
      <c r="J2985" t="n">
        <v>58304010</v>
      </c>
    </row>
    <row r="2986" ht="15.75" customHeight="1" s="201">
      <c r="A2986" s="1" t="inlineStr">
        <is>
          <t>DENNY'S, top sirloin steak</t>
        </is>
      </c>
      <c r="C2986" s="1" t="n">
        <v>0.14</v>
      </c>
      <c r="E2986" s="1" t="n">
        <v>3.27</v>
      </c>
      <c r="F2986" s="1" t="n">
        <v>28.9</v>
      </c>
      <c r="G2986" s="1" t="n">
        <v>7.34</v>
      </c>
      <c r="I2986" s="1" t="n">
        <v>5.26</v>
      </c>
      <c r="J2986" t="n">
        <v>27515080</v>
      </c>
    </row>
    <row r="2987" ht="15.75" customHeight="1" s="201">
      <c r="A2987" s="1" t="inlineStr">
        <is>
          <t>Dessert topping, powdered</t>
        </is>
      </c>
      <c r="C2987" s="1" t="n">
        <v>52.54</v>
      </c>
      <c r="D2987" s="1" t="n">
        <v>0</v>
      </c>
      <c r="E2987" s="1" t="n">
        <v>0.03</v>
      </c>
      <c r="F2987" s="1" t="n">
        <v>4.9</v>
      </c>
      <c r="G2987" s="1" t="n">
        <v>39.92</v>
      </c>
      <c r="H2987" s="1" t="n">
        <v>0</v>
      </c>
      <c r="I2987" s="1" t="n">
        <v>0.08</v>
      </c>
      <c r="J2987" t="n">
        <v>51161270</v>
      </c>
    </row>
    <row r="2988" ht="15.75" customHeight="1" s="201">
      <c r="A2988" s="1" t="inlineStr">
        <is>
          <t>Dessert topping, powdered, 1.5 ounce prepared with 1/2 cup milk</t>
        </is>
      </c>
      <c r="C2988" s="1" t="n">
        <v>17.13</v>
      </c>
      <c r="D2988" s="1" t="n">
        <v>4</v>
      </c>
      <c r="E2988" s="1" t="n">
        <v>0.04</v>
      </c>
      <c r="F2988" s="1" t="n">
        <v>3.61</v>
      </c>
      <c r="G2988" s="1" t="n">
        <v>12.72</v>
      </c>
      <c r="H2988" s="1" t="n">
        <v>120</v>
      </c>
      <c r="I2988" s="1" t="n">
        <v>0.27</v>
      </c>
      <c r="J2988" t="n">
        <v>75142550</v>
      </c>
    </row>
    <row r="2989" ht="15.75" customHeight="1" s="201">
      <c r="A2989" s="1" t="inlineStr">
        <is>
          <t>Dessert topping, pressurized</t>
        </is>
      </c>
      <c r="C2989" s="1" t="n">
        <v>16.07</v>
      </c>
      <c r="D2989" s="1" t="n">
        <v>0</v>
      </c>
      <c r="E2989" s="1" t="n">
        <v>0.02</v>
      </c>
      <c r="F2989" s="1" t="n">
        <v>0.98</v>
      </c>
      <c r="G2989" s="1" t="n">
        <v>22.3</v>
      </c>
      <c r="H2989" s="1" t="n">
        <v>78</v>
      </c>
      <c r="I2989" s="1" t="n">
        <v>0.01</v>
      </c>
      <c r="J2989" t="n">
        <v>51161270</v>
      </c>
    </row>
    <row r="2990" ht="15.75" customHeight="1" s="201">
      <c r="A2990" s="1" t="inlineStr">
        <is>
          <t>Dessert topping, semi solid, frozen</t>
        </is>
      </c>
      <c r="C2990" s="1" t="n">
        <v>23.05</v>
      </c>
      <c r="D2990" s="1" t="n">
        <v>0</v>
      </c>
      <c r="E2990" s="1" t="n">
        <v>0.12</v>
      </c>
      <c r="F2990" s="1" t="n">
        <v>1.25</v>
      </c>
      <c r="G2990" s="1" t="n">
        <v>25.31</v>
      </c>
      <c r="H2990" s="1" t="n">
        <v>143</v>
      </c>
      <c r="I2990" s="1" t="n">
        <v>0.03</v>
      </c>
      <c r="J2990" t="n">
        <v>12220200</v>
      </c>
    </row>
    <row r="2991" ht="15.75" customHeight="1" s="201">
      <c r="A2991" s="1" t="inlineStr">
        <is>
          <t>Desserts, apple crisp, prepared-from-recipe</t>
        </is>
      </c>
      <c r="C2991" s="1" t="n">
        <v>30.84</v>
      </c>
      <c r="D2991" s="1" t="n">
        <v>16</v>
      </c>
      <c r="E2991" s="1" t="n">
        <v>0.82</v>
      </c>
      <c r="F2991" s="1" t="n">
        <v>1.75</v>
      </c>
      <c r="G2991" s="1" t="n">
        <v>3.43</v>
      </c>
      <c r="H2991" s="1" t="n">
        <v>142</v>
      </c>
      <c r="I2991" s="1" t="n">
        <v>0.18</v>
      </c>
      <c r="J2991" t="n">
        <v>24127210</v>
      </c>
    </row>
    <row r="2992" ht="15.75" customHeight="1" s="201">
      <c r="A2992" s="1" t="inlineStr">
        <is>
          <t>Desserts, egg custard, baked, prepared-from-recipe</t>
        </is>
      </c>
      <c r="C2992" s="1" t="n">
        <v>11</v>
      </c>
      <c r="D2992" s="1" t="n">
        <v>10</v>
      </c>
      <c r="E2992" s="1" t="n">
        <v>0.35</v>
      </c>
      <c r="F2992" s="1" t="n">
        <v>5.02</v>
      </c>
      <c r="G2992" s="1" t="n">
        <v>4.58</v>
      </c>
      <c r="H2992" s="1" t="n">
        <v>175</v>
      </c>
      <c r="I2992" s="1" t="n">
        <v>0.54</v>
      </c>
      <c r="J2992" t="n">
        <v>54401121</v>
      </c>
    </row>
    <row r="2993" ht="15.75" customHeight="1" s="201">
      <c r="A2993" s="1" t="inlineStr">
        <is>
          <t>Desserts, flan, caramel custard, prepared-from-recipe</t>
        </is>
      </c>
      <c r="C2993" s="1" t="n">
        <v>22.78</v>
      </c>
      <c r="D2993" s="1" t="n">
        <v>9</v>
      </c>
      <c r="E2993" s="1" t="n">
        <v>0.38</v>
      </c>
      <c r="F2993" s="1" t="n">
        <v>4.53</v>
      </c>
      <c r="G2993" s="1" t="n">
        <v>4.03</v>
      </c>
      <c r="H2993" s="1" t="n">
        <v>161</v>
      </c>
      <c r="I2993" s="1" t="n">
        <v>0.47</v>
      </c>
      <c r="J2993" t="n">
        <v>24127210</v>
      </c>
    </row>
    <row r="2994" ht="15.75" customHeight="1" s="201">
      <c r="A2994" s="1" t="inlineStr">
        <is>
          <t>Desserts, mousse, chocolate, prepared-from-recipe</t>
        </is>
      </c>
      <c r="C2994" s="1" t="n">
        <v>16.07</v>
      </c>
      <c r="D2994" s="1" t="n">
        <v>15</v>
      </c>
      <c r="E2994" s="1" t="n">
        <v>0.55</v>
      </c>
      <c r="F2994" s="1" t="n">
        <v>4.14</v>
      </c>
      <c r="G2994" s="1" t="n">
        <v>16</v>
      </c>
      <c r="H2994" s="1" t="n">
        <v>509</v>
      </c>
      <c r="I2994" s="1" t="n">
        <v>0.64</v>
      </c>
      <c r="J2994" t="n">
        <v>53108200</v>
      </c>
    </row>
    <row r="2995" ht="15.75" customHeight="1" s="201">
      <c r="A2995" s="1" t="inlineStr">
        <is>
          <t>Desserts, rennin, chocolate, dry mix</t>
        </is>
      </c>
      <c r="C2995" s="1" t="n">
        <v>91.5</v>
      </c>
      <c r="D2995" s="1" t="n">
        <v>6</v>
      </c>
      <c r="E2995" s="1" t="n">
        <v>2.55</v>
      </c>
      <c r="F2995" s="1" t="n">
        <v>2.4</v>
      </c>
      <c r="G2995" s="1" t="n">
        <v>3.3</v>
      </c>
      <c r="H2995" s="1" t="n">
        <v>3</v>
      </c>
      <c r="I2995" s="1" t="n">
        <v>1.58</v>
      </c>
      <c r="J2995" t="n">
        <v>53108200</v>
      </c>
    </row>
    <row r="2996" ht="15.75" customHeight="1" s="201">
      <c r="A2996" s="1" t="inlineStr">
        <is>
          <t>Desserts, rennin, tablets, unsweetened</t>
        </is>
      </c>
      <c r="C2996" s="1" t="n">
        <v>19.8</v>
      </c>
      <c r="D2996" s="1" t="n">
        <v>0</v>
      </c>
      <c r="E2996" s="1" t="n">
        <v>7.07</v>
      </c>
      <c r="F2996" s="1" t="n">
        <v>1</v>
      </c>
      <c r="G2996" s="1" t="n">
        <v>0.1</v>
      </c>
      <c r="H2996" s="1" t="n">
        <v>0</v>
      </c>
      <c r="I2996" s="1" t="n">
        <v>6.36</v>
      </c>
      <c r="J2996" t="n">
        <v>11350020</v>
      </c>
    </row>
    <row r="2997" ht="15.75" customHeight="1" s="201">
      <c r="A2997" s="1" t="inlineStr">
        <is>
          <t>Desserts, rennin, vanilla, dry mix</t>
        </is>
      </c>
      <c r="C2997" s="1" t="n">
        <v>99</v>
      </c>
      <c r="D2997" s="1" t="n">
        <v>0</v>
      </c>
      <c r="E2997" s="1" t="n">
        <v>0.07000000000000001</v>
      </c>
      <c r="F2997" s="1" t="n">
        <v>0</v>
      </c>
      <c r="G2997" s="1" t="n">
        <v>0</v>
      </c>
      <c r="H2997" s="1" t="n">
        <v>0</v>
      </c>
      <c r="I2997" s="1" t="n">
        <v>0.04</v>
      </c>
      <c r="J2997" t="n">
        <v>53247000</v>
      </c>
    </row>
    <row r="2998" ht="15.75" customHeight="1" s="201">
      <c r="A2998" s="1" t="inlineStr">
        <is>
          <t>DIGIORNO Pizza, cheese topping, cheese stuffed crust, frozen, baked</t>
        </is>
      </c>
      <c r="C2998" s="1" t="n">
        <v>29.86</v>
      </c>
      <c r="E2998" s="1" t="n">
        <v>2.35</v>
      </c>
      <c r="F2998" s="1" t="n">
        <v>13.48</v>
      </c>
      <c r="G2998" s="1" t="n">
        <v>11.68</v>
      </c>
      <c r="H2998" s="1" t="n">
        <v>266</v>
      </c>
      <c r="I2998" s="1" t="n">
        <v>1.67</v>
      </c>
      <c r="J2998" t="n">
        <v>14420100</v>
      </c>
    </row>
    <row r="2999" ht="15.75" customHeight="1" s="201">
      <c r="A2999" s="1" t="inlineStr">
        <is>
          <t>DIGIORNO Pizza, cheese topping, rising crust, frozen, baked</t>
        </is>
      </c>
      <c r="C2999" s="1" t="n">
        <v>31.78</v>
      </c>
      <c r="E2999" s="1" t="n">
        <v>0.77</v>
      </c>
      <c r="F2999" s="1" t="n">
        <v>12.8</v>
      </c>
      <c r="G2999" s="1" t="n">
        <v>8.6</v>
      </c>
      <c r="H2999" s="1" t="n">
        <v>154</v>
      </c>
      <c r="I2999" s="1" t="n">
        <v>1.56</v>
      </c>
      <c r="J2999" t="n">
        <v>58106205</v>
      </c>
    </row>
    <row r="3000" ht="15.75" customHeight="1" s="201">
      <c r="A3000" s="1" t="inlineStr">
        <is>
          <t>DIGIORNO Pizza, cheese topping, thin crispy crust, frozen, baked</t>
        </is>
      </c>
      <c r="C3000" s="1" t="n">
        <v>26.47</v>
      </c>
      <c r="E3000" s="1" t="n">
        <v>0.68</v>
      </c>
      <c r="F3000" s="1" t="n">
        <v>12.96</v>
      </c>
      <c r="G3000" s="1" t="n">
        <v>9.91</v>
      </c>
      <c r="H3000" s="1" t="n">
        <v>212</v>
      </c>
      <c r="I3000" s="1" t="n">
        <v>1.8</v>
      </c>
      <c r="J3000" t="n">
        <v>58106200</v>
      </c>
    </row>
    <row r="3001" ht="15.75" customHeight="1" s="201">
      <c r="A3001" s="1" t="inlineStr">
        <is>
          <t>DIGIORNO Pizza, pepperoni topping, cheese stuffed crust, frozen, baked</t>
        </is>
      </c>
      <c r="C3001" s="1" t="n">
        <v>29.46</v>
      </c>
      <c r="E3001" s="1" t="n">
        <v>2.3</v>
      </c>
      <c r="F3001" s="1" t="n">
        <v>13.92</v>
      </c>
      <c r="G3001" s="1" t="n">
        <v>11.71</v>
      </c>
      <c r="H3001" s="1" t="n">
        <v>212</v>
      </c>
      <c r="I3001" s="1" t="n">
        <v>1.63</v>
      </c>
      <c r="J3001" t="n">
        <v>58106633</v>
      </c>
    </row>
    <row r="3002" ht="15.75" customHeight="1" s="201">
      <c r="A3002" s="1" t="inlineStr">
        <is>
          <t>DIGIORNO Pizza, pepperoni topping, rising crust, frozen, baked</t>
        </is>
      </c>
      <c r="C3002" s="1" t="n">
        <v>31.15</v>
      </c>
      <c r="E3002" s="1" t="n">
        <v>0.95</v>
      </c>
      <c r="F3002" s="1" t="n">
        <v>12.46</v>
      </c>
      <c r="G3002" s="1" t="n">
        <v>10.11</v>
      </c>
      <c r="H3002" s="1" t="n">
        <v>137</v>
      </c>
      <c r="I3002" s="1" t="n">
        <v>1.45</v>
      </c>
      <c r="J3002" t="n">
        <v>58106516</v>
      </c>
    </row>
    <row r="3003" ht="15.75" customHeight="1" s="201">
      <c r="A3003" s="1" t="inlineStr">
        <is>
          <t>DIGIORNO Pizza, pepperoni topping, thin crispy crust, frozen, baked</t>
        </is>
      </c>
      <c r="C3003" s="1" t="n">
        <v>28.67</v>
      </c>
      <c r="E3003" s="1" t="n">
        <v>0.9</v>
      </c>
      <c r="F3003" s="1" t="n">
        <v>13.22</v>
      </c>
      <c r="G3003" s="1" t="n">
        <v>12.86</v>
      </c>
      <c r="H3003" s="1" t="n">
        <v>152</v>
      </c>
      <c r="I3003" s="1" t="n">
        <v>1.64</v>
      </c>
      <c r="J3003" t="n">
        <v>58106602</v>
      </c>
    </row>
    <row r="3004" ht="15.75" customHeight="1" s="201">
      <c r="A3004" s="1" t="inlineStr">
        <is>
          <t>DIGIORNO Pizza, supreme topping, rising crust, frozen, baked</t>
        </is>
      </c>
      <c r="C3004" s="1" t="n">
        <v>27.93</v>
      </c>
      <c r="E3004" s="1" t="n">
        <v>1.01</v>
      </c>
      <c r="F3004" s="1" t="n">
        <v>11.74</v>
      </c>
      <c r="G3004" s="1" t="n">
        <v>10.68</v>
      </c>
      <c r="H3004" s="1" t="n">
        <v>117</v>
      </c>
      <c r="I3004" s="1" t="n">
        <v>1.3</v>
      </c>
      <c r="J3004" t="n">
        <v>58106700</v>
      </c>
    </row>
    <row r="3005" ht="15.75" customHeight="1" s="201">
      <c r="A3005" s="1" t="inlineStr">
        <is>
          <t>DIGIORNO Pizza, supreme topping, thin crispy crust, frozen, baked</t>
        </is>
      </c>
      <c r="C3005" s="1" t="n">
        <v>28.05</v>
      </c>
      <c r="E3005" s="1" t="n">
        <v>0.92</v>
      </c>
      <c r="F3005" s="1" t="n">
        <v>11.41</v>
      </c>
      <c r="G3005" s="1" t="n">
        <v>10.8</v>
      </c>
      <c r="H3005" s="1" t="n">
        <v>138</v>
      </c>
      <c r="I3005" s="1" t="n">
        <v>1.4</v>
      </c>
      <c r="J3005" t="n">
        <v>58106700</v>
      </c>
    </row>
    <row r="3006" ht="15.75" customHeight="1" s="201">
      <c r="A3006" s="1" t="inlineStr">
        <is>
          <t>Dill weed, fresh</t>
        </is>
      </c>
      <c r="C3006" s="1" t="n">
        <v>7.02</v>
      </c>
      <c r="D3006" s="1" t="n">
        <v>150</v>
      </c>
      <c r="E3006" s="1" t="n">
        <v>6.59</v>
      </c>
      <c r="F3006" s="1" t="n">
        <v>3.46</v>
      </c>
      <c r="G3006" s="1" t="n">
        <v>1.12</v>
      </c>
      <c r="H3006" s="1" t="n">
        <v>7718</v>
      </c>
      <c r="I3006" s="1" t="n">
        <v>0.91</v>
      </c>
      <c r="J3006" t="n">
        <v>11440020</v>
      </c>
    </row>
    <row r="3007" ht="15.75" customHeight="1" s="201">
      <c r="A3007" s="1" t="inlineStr">
        <is>
          <t>Dip, bean, original flavor</t>
        </is>
      </c>
      <c r="C3007" s="1" t="n">
        <v>15.89</v>
      </c>
      <c r="D3007" s="1" t="n">
        <v>21</v>
      </c>
      <c r="E3007" s="1" t="n">
        <v>1.6</v>
      </c>
      <c r="F3007" s="1" t="n">
        <v>5.44</v>
      </c>
      <c r="G3007" s="1" t="n">
        <v>3.7</v>
      </c>
      <c r="H3007" s="1" t="n">
        <v>0</v>
      </c>
      <c r="I3007" s="1" t="n">
        <v>0.6899999999999999</v>
      </c>
      <c r="J3007" t="n">
        <v>41205050</v>
      </c>
    </row>
    <row r="3008" ht="15.75" customHeight="1" s="201">
      <c r="A3008" s="1" t="inlineStr">
        <is>
          <t>Dip, FRITO'S, bean, original flavor</t>
        </is>
      </c>
      <c r="C3008" s="1" t="n">
        <v>15.89</v>
      </c>
      <c r="D3008" s="1" t="n">
        <v>21</v>
      </c>
      <c r="E3008" s="1" t="n">
        <v>1.6</v>
      </c>
      <c r="F3008" s="1" t="n">
        <v>5.44</v>
      </c>
      <c r="G3008" s="1" t="n">
        <v>3.7</v>
      </c>
      <c r="I3008" s="1" t="n">
        <v>0.6899999999999999</v>
      </c>
      <c r="J3008" t="n">
        <v>41205050</v>
      </c>
    </row>
    <row r="3009" ht="15.75" customHeight="1" s="201">
      <c r="A3009" s="1" t="inlineStr">
        <is>
          <t>Dip, salsa con queso, cheese and salsa- medium</t>
        </is>
      </c>
      <c r="C3009" s="1" t="n">
        <v>11.14</v>
      </c>
      <c r="D3009" s="1" t="n">
        <v>6</v>
      </c>
      <c r="E3009" s="1" t="n">
        <v>0.14</v>
      </c>
      <c r="F3009" s="1" t="n">
        <v>3.14</v>
      </c>
      <c r="G3009" s="1" t="n">
        <v>9.51</v>
      </c>
      <c r="H3009" s="1" t="n">
        <v>287</v>
      </c>
      <c r="I3009" s="1" t="n">
        <v>0.41</v>
      </c>
      <c r="J3009" t="n">
        <v>74402150</v>
      </c>
    </row>
    <row r="3010" ht="15.75" customHeight="1" s="201">
      <c r="A3010" s="1" t="inlineStr">
        <is>
          <t>Dip, TOSTITOS, salsa con queso, medium</t>
        </is>
      </c>
      <c r="C3010" s="1" t="n">
        <v>11.72</v>
      </c>
      <c r="E3010" s="1" t="n">
        <v>0.14</v>
      </c>
      <c r="F3010" s="1" t="n">
        <v>2.92</v>
      </c>
      <c r="G3010" s="1" t="n">
        <v>8.26</v>
      </c>
      <c r="H3010" s="1" t="n">
        <v>259</v>
      </c>
      <c r="I3010" s="1" t="n">
        <v>0.44</v>
      </c>
      <c r="J3010" t="n">
        <v>74402150</v>
      </c>
    </row>
    <row r="3011" ht="15.75" customHeight="1" s="201">
      <c r="A3011" s="1" t="inlineStr">
        <is>
          <t>Dock, cooked, boiled, drained, with salt</t>
        </is>
      </c>
      <c r="C3011" s="1" t="n">
        <v>2.93</v>
      </c>
      <c r="D3011" s="1" t="n">
        <v>8</v>
      </c>
      <c r="E3011" s="1" t="n">
        <v>2.08</v>
      </c>
      <c r="F3011" s="1" t="n">
        <v>1.83</v>
      </c>
      <c r="G3011" s="1" t="n">
        <v>0.64</v>
      </c>
      <c r="H3011" s="1" t="n">
        <v>3474</v>
      </c>
      <c r="I3011" s="1" t="n">
        <v>0.17</v>
      </c>
      <c r="J3011" t="n">
        <v>75142550</v>
      </c>
    </row>
    <row r="3012" ht="15.75" customHeight="1" s="201">
      <c r="A3012" s="1" t="inlineStr">
        <is>
          <t>Dock, cooked, boiled, drained, without salt</t>
        </is>
      </c>
      <c r="C3012" s="1" t="n">
        <v>2.93</v>
      </c>
      <c r="D3012" s="1" t="n">
        <v>8</v>
      </c>
      <c r="E3012" s="1" t="n">
        <v>2.08</v>
      </c>
      <c r="F3012" s="1" t="n">
        <v>1.83</v>
      </c>
      <c r="G3012" s="1" t="n">
        <v>0.64</v>
      </c>
      <c r="H3012" s="1" t="n">
        <v>3474</v>
      </c>
      <c r="I3012" s="1" t="n">
        <v>0.17</v>
      </c>
      <c r="J3012" t="n">
        <v>31103010</v>
      </c>
    </row>
    <row r="3013" ht="15.75" customHeight="1" s="201">
      <c r="A3013" s="1" t="inlineStr">
        <is>
          <t>Dock, raw</t>
        </is>
      </c>
      <c r="C3013" s="1" t="n">
        <v>3.2</v>
      </c>
      <c r="D3013" s="1" t="n">
        <v>13</v>
      </c>
      <c r="E3013" s="1" t="n">
        <v>2.4</v>
      </c>
      <c r="F3013" s="1" t="n">
        <v>2</v>
      </c>
      <c r="G3013" s="1" t="n">
        <v>0.7</v>
      </c>
      <c r="H3013" s="1" t="n">
        <v>4000</v>
      </c>
      <c r="I3013" s="1" t="n">
        <v>0.2</v>
      </c>
    </row>
    <row r="3014" ht="15.75" customHeight="1" s="201">
      <c r="A3014" s="1" t="inlineStr">
        <is>
          <t>DOMINO'S 14" Cheese Pizza, Classic Hand-Tossed Crust</t>
        </is>
      </c>
      <c r="C3014" s="1" t="n">
        <v>33.24</v>
      </c>
      <c r="E3014" s="1" t="n">
        <v>2.34</v>
      </c>
      <c r="F3014" s="1" t="n">
        <v>10.8</v>
      </c>
      <c r="G3014" s="1" t="n">
        <v>8.970000000000001</v>
      </c>
      <c r="H3014" s="1" t="n">
        <v>301</v>
      </c>
      <c r="I3014" s="1" t="n">
        <v>1.24</v>
      </c>
      <c r="J3014" t="n">
        <v>14420100</v>
      </c>
    </row>
    <row r="3015" ht="15.75" customHeight="1" s="201">
      <c r="A3015" s="1" t="inlineStr">
        <is>
          <t>DOMINO'S 14" Cheese Pizza, Crunchy Thin Crust</t>
        </is>
      </c>
      <c r="C3015" s="1" t="n">
        <v>28.18</v>
      </c>
      <c r="E3015" s="1" t="n">
        <v>0.91</v>
      </c>
      <c r="F3015" s="1" t="n">
        <v>12.33</v>
      </c>
      <c r="G3015" s="1" t="n">
        <v>15.1</v>
      </c>
      <c r="I3015" s="1" t="n">
        <v>1.54</v>
      </c>
      <c r="J3015" t="n">
        <v>14420100</v>
      </c>
    </row>
    <row r="3016" ht="15.75" customHeight="1" s="201">
      <c r="A3016" s="1" t="inlineStr">
        <is>
          <t>DOMINO'S 14" Cheese Pizza, Ultimate Deep Dish Crust</t>
        </is>
      </c>
      <c r="C3016" s="1" t="n">
        <v>33.48</v>
      </c>
      <c r="E3016" s="1" t="n">
        <v>2.49</v>
      </c>
      <c r="F3016" s="1" t="n">
        <v>10.76</v>
      </c>
      <c r="G3016" s="1" t="n">
        <v>9.83</v>
      </c>
      <c r="I3016" s="1" t="n">
        <v>1.22</v>
      </c>
      <c r="J3016" t="n">
        <v>14420100</v>
      </c>
    </row>
    <row r="3017" ht="15.75" customHeight="1" s="201">
      <c r="A3017" s="1" t="inlineStr">
        <is>
          <t>DOMINO'S 14" EXTRAVAGANZZA FEAST Pizza, Classic Hand-Tossed Crust</t>
        </is>
      </c>
      <c r="C3017" s="1" t="n">
        <v>25.72</v>
      </c>
      <c r="E3017" s="1" t="n">
        <v>2.32</v>
      </c>
      <c r="F3017" s="1" t="n">
        <v>10.33</v>
      </c>
      <c r="G3017" s="1" t="n">
        <v>11.1</v>
      </c>
      <c r="H3017" s="1" t="n">
        <v>227</v>
      </c>
      <c r="I3017" s="1" t="n">
        <v>1.27</v>
      </c>
      <c r="J3017" t="n">
        <v>58106738</v>
      </c>
    </row>
    <row r="3018" ht="15.75" customHeight="1" s="201">
      <c r="A3018" s="1" t="inlineStr">
        <is>
          <t>DOMINO'S 14" Pepperoni Pizza, Classic Hand-Tossed Crust</t>
        </is>
      </c>
      <c r="C3018" s="1" t="n">
        <v>31.86</v>
      </c>
      <c r="E3018" s="1" t="n">
        <v>2.33</v>
      </c>
      <c r="F3018" s="1" t="n">
        <v>11.25</v>
      </c>
      <c r="G3018" s="1" t="n">
        <v>11.18</v>
      </c>
      <c r="I3018" s="1" t="n">
        <v>1.31</v>
      </c>
      <c r="J3018" t="n">
        <v>58106625</v>
      </c>
    </row>
    <row r="3019" ht="15.75" customHeight="1" s="201">
      <c r="A3019" s="1" t="inlineStr">
        <is>
          <t>DOMINO'S 14" Pepperoni Pizza, Crunchy Thin Crust</t>
        </is>
      </c>
      <c r="C3019" s="1" t="n">
        <v>25.35</v>
      </c>
      <c r="E3019" s="1" t="n">
        <v>1.13</v>
      </c>
      <c r="F3019" s="1" t="n">
        <v>13.88</v>
      </c>
      <c r="G3019" s="1" t="n">
        <v>19.05</v>
      </c>
      <c r="I3019" s="1" t="n">
        <v>1.65</v>
      </c>
      <c r="J3019" t="n">
        <v>58106602</v>
      </c>
    </row>
    <row r="3020" ht="15.75" customHeight="1" s="201">
      <c r="A3020" s="1" t="inlineStr">
        <is>
          <t>DOMINO'S 14" Pepperoni Pizza, Ultimate Deep Dish Crust</t>
        </is>
      </c>
      <c r="C3020" s="1" t="n">
        <v>31.89</v>
      </c>
      <c r="E3020" s="1" t="n">
        <v>2.54</v>
      </c>
      <c r="F3020" s="1" t="n">
        <v>11.52</v>
      </c>
      <c r="G3020" s="1" t="n">
        <v>12.1</v>
      </c>
      <c r="I3020" s="1" t="n">
        <v>1.33</v>
      </c>
      <c r="J3020" t="n">
        <v>58106516</v>
      </c>
    </row>
    <row r="3021" ht="15.75" customHeight="1" s="201">
      <c r="A3021" s="1" t="inlineStr">
        <is>
          <t>DOMINO'S 14" Sausage Pizza, Classic Hand-Tossed Crust</t>
        </is>
      </c>
      <c r="C3021" s="1" t="n">
        <v>31.84</v>
      </c>
      <c r="E3021" s="1" t="n">
        <v>2.36</v>
      </c>
      <c r="F3021" s="1" t="n">
        <v>11.08</v>
      </c>
      <c r="G3021" s="1" t="n">
        <v>11.2</v>
      </c>
      <c r="I3021" s="1" t="n">
        <v>1.24</v>
      </c>
      <c r="J3021" t="n">
        <v>58106738</v>
      </c>
    </row>
    <row r="3022" ht="15.75" customHeight="1" s="201">
      <c r="A3022" s="1" t="inlineStr">
        <is>
          <t>DOMINO'S 14" Sausage Pizza, Crunchy Thin Crust</t>
        </is>
      </c>
      <c r="C3022" s="1" t="n">
        <v>25.3</v>
      </c>
      <c r="E3022" s="1" t="n">
        <v>1.07</v>
      </c>
      <c r="F3022" s="1" t="n">
        <v>12.77</v>
      </c>
      <c r="G3022" s="1" t="n">
        <v>18.52</v>
      </c>
      <c r="I3022" s="1" t="n">
        <v>1.48</v>
      </c>
      <c r="J3022" t="n">
        <v>58106700</v>
      </c>
    </row>
    <row r="3023" ht="15.75" customHeight="1" s="201">
      <c r="A3023" s="1" t="inlineStr">
        <is>
          <t>DOMINO'S 14" Sausage Pizza, Ultimate Deep Dish Crust</t>
        </is>
      </c>
      <c r="C3023" s="1" t="n">
        <v>31.17</v>
      </c>
      <c r="E3023" s="1" t="n">
        <v>2.5</v>
      </c>
      <c r="F3023" s="1" t="n">
        <v>11.03</v>
      </c>
      <c r="G3023" s="1" t="n">
        <v>12.03</v>
      </c>
      <c r="I3023" s="1" t="n">
        <v>1.27</v>
      </c>
      <c r="J3023" t="n">
        <v>58106205</v>
      </c>
    </row>
    <row r="3024" ht="15.75" customHeight="1" s="201">
      <c r="A3024" s="1" t="inlineStr">
        <is>
          <t>Doughnuts, french crullers, glazed</t>
        </is>
      </c>
      <c r="C3024" s="1" t="n">
        <v>59.5</v>
      </c>
      <c r="D3024" s="1" t="n">
        <v>42</v>
      </c>
      <c r="E3024" s="1" t="n">
        <v>2.42</v>
      </c>
      <c r="F3024" s="1" t="n">
        <v>3.1</v>
      </c>
      <c r="G3024" s="1" t="n">
        <v>18.3</v>
      </c>
      <c r="H3024" s="1" t="n">
        <v>8</v>
      </c>
      <c r="I3024" s="1" t="n">
        <v>0.26</v>
      </c>
      <c r="J3024" t="n">
        <v>55300020</v>
      </c>
    </row>
    <row r="3025" ht="15.75" customHeight="1" s="201">
      <c r="A3025" s="1" t="inlineStr">
        <is>
          <t>Doughnuts, yeast-leavened, glazed, enriched (includes honey buns)</t>
        </is>
      </c>
      <c r="C3025" s="1" t="n">
        <v>47.93</v>
      </c>
      <c r="D3025" s="1" t="n">
        <v>108</v>
      </c>
      <c r="E3025" s="1" t="n">
        <v>2.38</v>
      </c>
      <c r="F3025" s="1" t="n">
        <v>6.14</v>
      </c>
      <c r="G3025" s="1" t="n">
        <v>22.7</v>
      </c>
      <c r="H3025" s="1" t="n">
        <v>23</v>
      </c>
      <c r="I3025" s="1" t="n">
        <v>0.61</v>
      </c>
      <c r="J3025" t="n">
        <v>57237100</v>
      </c>
    </row>
    <row r="3026" ht="15.75" customHeight="1" s="201">
      <c r="A3026" s="1" t="inlineStr">
        <is>
          <t>Doughnuts, yeast-leavened, with creme filling</t>
        </is>
      </c>
      <c r="C3026" s="1" t="n">
        <v>30</v>
      </c>
      <c r="D3026" s="1" t="n">
        <v>70</v>
      </c>
      <c r="E3026" s="1" t="n">
        <v>1.83</v>
      </c>
      <c r="F3026" s="1" t="n">
        <v>6.4</v>
      </c>
      <c r="G3026" s="1" t="n">
        <v>24.5</v>
      </c>
      <c r="H3026" s="1" t="n">
        <v>40</v>
      </c>
      <c r="I3026" s="1" t="n">
        <v>0.8</v>
      </c>
      <c r="J3026" t="n">
        <v>75142550</v>
      </c>
    </row>
    <row r="3027" ht="15.75" customHeight="1" s="201">
      <c r="A3027" s="1" t="inlineStr">
        <is>
          <t>Doughnuts, yeast-leavened, with jelly filling</t>
        </is>
      </c>
      <c r="C3027" s="1" t="n">
        <v>39</v>
      </c>
      <c r="D3027" s="1" t="n">
        <v>68</v>
      </c>
      <c r="E3027" s="1" t="n">
        <v>1.76</v>
      </c>
      <c r="F3027" s="1" t="n">
        <v>5.9</v>
      </c>
      <c r="G3027" s="1" t="n">
        <v>18.7</v>
      </c>
      <c r="H3027" s="1" t="n">
        <v>71</v>
      </c>
      <c r="I3027" s="1" t="n">
        <v>0.75</v>
      </c>
      <c r="J3027" t="n">
        <v>75142550</v>
      </c>
    </row>
    <row r="3028" ht="15.75" customHeight="1" s="201">
      <c r="A3028" s="1" t="inlineStr">
        <is>
          <t>Dooughnuts</t>
        </is>
      </c>
    </row>
    <row r="3029" ht="15.75" customHeight="1" s="201">
      <c r="A3029" s="1" t="inlineStr">
        <is>
          <t>Dove, cooked (includes squab)</t>
        </is>
      </c>
      <c r="C3029" s="1" t="n">
        <v>0</v>
      </c>
      <c r="D3029" s="1" t="n">
        <v>6</v>
      </c>
      <c r="E3029" s="1" t="n">
        <v>5.91</v>
      </c>
      <c r="F3029" s="1" t="n">
        <v>23.9</v>
      </c>
      <c r="G3029" s="1" t="n">
        <v>13</v>
      </c>
      <c r="H3029" s="1" t="n">
        <v>95</v>
      </c>
      <c r="I3029" s="1" t="n">
        <v>3.83</v>
      </c>
      <c r="J3029" t="n">
        <v>91705010</v>
      </c>
    </row>
    <row r="3030" ht="15.75" customHeight="1" s="201">
      <c r="A3030" s="1" t="inlineStr">
        <is>
          <t>Dressing, honey mustard, fat-free</t>
        </is>
      </c>
      <c r="C3030" s="1" t="n">
        <v>38.43</v>
      </c>
      <c r="D3030" s="1" t="n">
        <v>9</v>
      </c>
      <c r="E3030" s="1" t="n">
        <v>0.36</v>
      </c>
      <c r="F3030" s="1" t="n">
        <v>1.07</v>
      </c>
      <c r="G3030" s="1" t="n">
        <v>1.47</v>
      </c>
      <c r="H3030" s="1" t="n">
        <v>18</v>
      </c>
      <c r="I3030" s="1" t="n">
        <v>0.29</v>
      </c>
      <c r="J3030" t="n">
        <v>27446260</v>
      </c>
    </row>
    <row r="3031" ht="15.75" customHeight="1" s="201">
      <c r="A3031" s="1" t="inlineStr">
        <is>
          <t>Drumstick leaves, cooked, boiled, drained, with salt</t>
        </is>
      </c>
      <c r="C3031" s="1" t="n">
        <v>11.15</v>
      </c>
      <c r="D3031" s="1" t="n">
        <v>23</v>
      </c>
      <c r="E3031" s="1" t="n">
        <v>2.32</v>
      </c>
      <c r="F3031" s="1" t="n">
        <v>5.27</v>
      </c>
      <c r="G3031" s="1" t="n">
        <v>0.93</v>
      </c>
      <c r="H3031" s="1" t="n">
        <v>7013</v>
      </c>
      <c r="I3031" s="1" t="n">
        <v>0.49</v>
      </c>
      <c r="J3031" t="n">
        <v>75142550</v>
      </c>
    </row>
    <row r="3032" ht="15.75" customHeight="1" s="201">
      <c r="A3032" s="1" t="inlineStr">
        <is>
          <t>Drumstick leaves, cooked, boiled, drained, without salt</t>
        </is>
      </c>
      <c r="C3032" s="1" t="n">
        <v>11.15</v>
      </c>
      <c r="D3032" s="1" t="n">
        <v>23</v>
      </c>
      <c r="E3032" s="1" t="n">
        <v>2.32</v>
      </c>
      <c r="F3032" s="1" t="n">
        <v>5.27</v>
      </c>
      <c r="G3032" s="1" t="n">
        <v>0.93</v>
      </c>
      <c r="H3032" s="1" t="n">
        <v>7013</v>
      </c>
      <c r="I3032" s="1" t="n">
        <v>0.49</v>
      </c>
      <c r="J3032" t="n">
        <v>31103010</v>
      </c>
    </row>
    <row r="3033" ht="15.75" customHeight="1" s="201">
      <c r="A3033" s="1" t="inlineStr">
        <is>
          <t>Drumstick leaves, raw</t>
        </is>
      </c>
      <c r="C3033" s="1" t="n">
        <v>8.279999999999999</v>
      </c>
      <c r="D3033" s="1" t="n">
        <v>40</v>
      </c>
      <c r="E3033" s="1" t="n">
        <v>4</v>
      </c>
      <c r="F3033" s="1" t="n">
        <v>9.4</v>
      </c>
      <c r="G3033" s="1" t="n">
        <v>1.4</v>
      </c>
      <c r="H3033" s="1" t="n">
        <v>7564</v>
      </c>
      <c r="I3033" s="1" t="n">
        <v>0.6</v>
      </c>
      <c r="J3033" t="n">
        <v>13120790</v>
      </c>
    </row>
    <row r="3034" ht="15.75" customHeight="1" s="201">
      <c r="A3034" s="1" t="inlineStr">
        <is>
          <t>Drumstick pods, cooked, boiled, drained, with salt</t>
        </is>
      </c>
      <c r="C3034" s="1" t="n">
        <v>8.18</v>
      </c>
      <c r="D3034" s="1" t="n">
        <v>30</v>
      </c>
      <c r="E3034" s="1" t="n">
        <v>0.45</v>
      </c>
      <c r="F3034" s="1" t="n">
        <v>2.09</v>
      </c>
      <c r="G3034" s="1" t="n">
        <v>0.19</v>
      </c>
      <c r="H3034" s="1" t="n">
        <v>70</v>
      </c>
      <c r="I3034" s="1" t="n">
        <v>0.42</v>
      </c>
      <c r="J3034" t="n">
        <v>75142550</v>
      </c>
    </row>
    <row r="3035" ht="15.75" customHeight="1" s="201">
      <c r="A3035" s="1" t="inlineStr">
        <is>
          <t>Drumstick pods, cooked, boiled, drained, without salt</t>
        </is>
      </c>
      <c r="C3035" s="1" t="n">
        <v>8.18</v>
      </c>
      <c r="D3035" s="1" t="n">
        <v>30</v>
      </c>
      <c r="E3035" s="1" t="n">
        <v>0.45</v>
      </c>
      <c r="F3035" s="1" t="n">
        <v>2.09</v>
      </c>
      <c r="G3035" s="1" t="n">
        <v>0.19</v>
      </c>
      <c r="H3035" s="1" t="n">
        <v>70</v>
      </c>
      <c r="I3035" s="1" t="n">
        <v>0.42</v>
      </c>
      <c r="J3035" t="n">
        <v>31103010</v>
      </c>
    </row>
    <row r="3036" ht="15.75" customHeight="1" s="201">
      <c r="A3036" s="1" t="inlineStr">
        <is>
          <t>Drumstick pods, raw</t>
        </is>
      </c>
      <c r="C3036" s="1" t="n">
        <v>8.529999999999999</v>
      </c>
      <c r="D3036" s="1" t="n">
        <v>44</v>
      </c>
      <c r="E3036" s="1" t="n">
        <v>0.36</v>
      </c>
      <c r="F3036" s="1" t="n">
        <v>2.1</v>
      </c>
      <c r="G3036" s="1" t="n">
        <v>0.2</v>
      </c>
      <c r="H3036" s="1" t="n">
        <v>74</v>
      </c>
      <c r="I3036" s="1" t="n">
        <v>0.45</v>
      </c>
      <c r="J3036" t="n">
        <v>13120790</v>
      </c>
    </row>
    <row r="3037" ht="15.75" customHeight="1" s="201">
      <c r="A3037" s="1" t="inlineStr">
        <is>
          <t>Duck, domesticated, liver, raw</t>
        </is>
      </c>
      <c r="C3037" s="1" t="n">
        <v>3.53</v>
      </c>
      <c r="D3037" s="1" t="n">
        <v>738</v>
      </c>
      <c r="E3037" s="1" t="n">
        <v>30.53</v>
      </c>
      <c r="F3037" s="1" t="n">
        <v>18.74</v>
      </c>
      <c r="G3037" s="1" t="n">
        <v>4.64</v>
      </c>
      <c r="H3037" s="1" t="n">
        <v>39907</v>
      </c>
      <c r="I3037" s="1" t="n">
        <v>3.07</v>
      </c>
      <c r="J3037" t="n">
        <v>25230560</v>
      </c>
    </row>
    <row r="3038" ht="15.75" customHeight="1" s="201">
      <c r="A3038" s="1" t="inlineStr">
        <is>
          <t>Duck, domesticated, meat and skin, cooked, roasted</t>
        </is>
      </c>
      <c r="C3038" s="1" t="n">
        <v>0</v>
      </c>
      <c r="D3038" s="1" t="n">
        <v>6</v>
      </c>
      <c r="E3038" s="1" t="n">
        <v>2.7</v>
      </c>
      <c r="F3038" s="1" t="n">
        <v>18.99</v>
      </c>
      <c r="G3038" s="1" t="n">
        <v>28.35</v>
      </c>
      <c r="H3038" s="1" t="n">
        <v>210</v>
      </c>
      <c r="I3038" s="1" t="n">
        <v>1.86</v>
      </c>
      <c r="J3038" t="n">
        <v>24300110</v>
      </c>
    </row>
    <row r="3039" ht="15.75" customHeight="1" s="201">
      <c r="A3039" s="1" t="inlineStr">
        <is>
          <t>Duck, domesticated, meat and skin, raw</t>
        </is>
      </c>
      <c r="C3039" s="1" t="n">
        <v>0</v>
      </c>
      <c r="D3039" s="1" t="n">
        <v>13</v>
      </c>
      <c r="E3039" s="1" t="n">
        <v>2.4</v>
      </c>
      <c r="F3039" s="1" t="n">
        <v>11.49</v>
      </c>
      <c r="G3039" s="1" t="n">
        <v>39.34</v>
      </c>
      <c r="H3039" s="1" t="n">
        <v>168</v>
      </c>
      <c r="I3039" s="1" t="n">
        <v>1.36</v>
      </c>
      <c r="J3039" t="n">
        <v>24300110</v>
      </c>
    </row>
    <row r="3040" ht="15.75" customHeight="1" s="201">
      <c r="A3040" s="1" t="inlineStr">
        <is>
          <t>Duck, domesticated, meat only, cooked, roasted</t>
        </is>
      </c>
      <c r="C3040" s="1" t="n">
        <v>0</v>
      </c>
      <c r="D3040" s="1" t="n">
        <v>10</v>
      </c>
      <c r="E3040" s="1" t="n">
        <v>2.7</v>
      </c>
      <c r="F3040" s="1" t="n">
        <v>23.48</v>
      </c>
      <c r="G3040" s="1" t="n">
        <v>11.2</v>
      </c>
      <c r="H3040" s="1" t="n">
        <v>77</v>
      </c>
      <c r="I3040" s="1" t="n">
        <v>2.6</v>
      </c>
      <c r="J3040" t="n">
        <v>14620320</v>
      </c>
    </row>
    <row r="3041" ht="15.75" customHeight="1" s="201">
      <c r="A3041" s="1" t="inlineStr">
        <is>
          <t>Duck, domesticated, meat only, raw</t>
        </is>
      </c>
      <c r="C3041" s="1" t="n">
        <v>0.9399999999999999</v>
      </c>
      <c r="D3041" s="1" t="n">
        <v>25</v>
      </c>
      <c r="E3041" s="1" t="n">
        <v>2.4</v>
      </c>
      <c r="F3041" s="1" t="n">
        <v>18.28</v>
      </c>
      <c r="G3041" s="1" t="n">
        <v>5.95</v>
      </c>
      <c r="H3041" s="1" t="n">
        <v>79</v>
      </c>
      <c r="I3041" s="1" t="n">
        <v>1.9</v>
      </c>
      <c r="J3041" t="n">
        <v>14620320</v>
      </c>
    </row>
    <row r="3042" ht="15.75" customHeight="1" s="201">
      <c r="A3042" s="1" t="inlineStr">
        <is>
          <t>Duck, scoter, white-winged, meat (Alaska Native)</t>
        </is>
      </c>
      <c r="C3042" s="1" t="n">
        <v>0</v>
      </c>
      <c r="F3042" s="1" t="n">
        <v>20.2</v>
      </c>
      <c r="G3042" s="1" t="n">
        <v>0.4</v>
      </c>
      <c r="H3042" s="1" t="n">
        <v>280</v>
      </c>
    </row>
    <row r="3043" ht="15.75" customHeight="1" s="201">
      <c r="A3043" s="1" t="inlineStr">
        <is>
          <t>Duck, wild, breast, meat only, raw</t>
        </is>
      </c>
      <c r="C3043" s="1" t="n">
        <v>0</v>
      </c>
      <c r="D3043" s="1" t="n">
        <v>25</v>
      </c>
      <c r="E3043" s="1" t="n">
        <v>4.51</v>
      </c>
      <c r="F3043" s="1" t="n">
        <v>19.85</v>
      </c>
      <c r="G3043" s="1" t="n">
        <v>4.25</v>
      </c>
      <c r="H3043" s="1" t="n">
        <v>53</v>
      </c>
      <c r="I3043" s="1" t="n">
        <v>0.74</v>
      </c>
      <c r="J3043" t="n">
        <v>56205320</v>
      </c>
    </row>
    <row r="3044" ht="15.75" customHeight="1" s="201">
      <c r="A3044" s="1" t="inlineStr">
        <is>
          <t>Duck, wild, meat and skin, raw</t>
        </is>
      </c>
      <c r="C3044" s="1" t="n">
        <v>0</v>
      </c>
      <c r="D3044" s="1" t="n">
        <v>21</v>
      </c>
      <c r="E3044" s="1" t="n">
        <v>4.16</v>
      </c>
      <c r="F3044" s="1" t="n">
        <v>17.42</v>
      </c>
      <c r="G3044" s="1" t="n">
        <v>15.2</v>
      </c>
      <c r="H3044" s="1" t="n">
        <v>88</v>
      </c>
      <c r="I3044" s="1" t="n">
        <v>0.77</v>
      </c>
      <c r="J3044" t="n">
        <v>24300110</v>
      </c>
    </row>
    <row r="3045" ht="15.75" customHeight="1" s="201">
      <c r="A3045" s="1" t="inlineStr">
        <is>
          <t>Duck, young duckling, domesticated, White Pekin, breast, meat and skin, boneless, cooked, roasted</t>
        </is>
      </c>
      <c r="C3045" s="1" t="n">
        <v>0</v>
      </c>
      <c r="E3045" s="1" t="n">
        <v>3.26</v>
      </c>
      <c r="F3045" s="1" t="n">
        <v>24.5</v>
      </c>
      <c r="G3045" s="1" t="n">
        <v>10.85</v>
      </c>
    </row>
    <row r="3046" ht="15.75" customHeight="1" s="201">
      <c r="A3046" s="1" t="inlineStr">
        <is>
          <t>Duck, young duckling, domesticated, White Pekin, breast, meat only, boneless, cooked without skin, broiled</t>
        </is>
      </c>
      <c r="C3046" s="1" t="n">
        <v>0</v>
      </c>
      <c r="E3046" s="1" t="n">
        <v>4.49</v>
      </c>
      <c r="F3046" s="1" t="n">
        <v>27.6</v>
      </c>
      <c r="G3046" s="1" t="n">
        <v>2.5</v>
      </c>
    </row>
    <row r="3047" ht="15.75" customHeight="1" s="201">
      <c r="A3047" s="1" t="inlineStr">
        <is>
          <t>Duck, young duckling, domesticated, White Pekin, leg, meat and skin, bone in, cooked, roasted</t>
        </is>
      </c>
      <c r="C3047" s="1" t="n">
        <v>0</v>
      </c>
      <c r="E3047" s="1" t="n">
        <v>2.08</v>
      </c>
      <c r="F3047" s="1" t="n">
        <v>26.75</v>
      </c>
      <c r="G3047" s="1" t="n">
        <v>11.4</v>
      </c>
    </row>
    <row r="3048" ht="15.75" customHeight="1" s="201">
      <c r="A3048" s="1" t="inlineStr">
        <is>
          <t>Duck, young duckling, domesticated, White Pekin, leg, meat only, bone in, cooked without skin, braised</t>
        </is>
      </c>
      <c r="C3048" s="1" t="n">
        <v>0</v>
      </c>
      <c r="E3048" s="1" t="n">
        <v>2.33</v>
      </c>
      <c r="F3048" s="1" t="n">
        <v>29.1</v>
      </c>
      <c r="G3048" s="1" t="n">
        <v>5.96</v>
      </c>
    </row>
    <row r="3049" ht="15.75" customHeight="1" s="201">
      <c r="A3049" s="1" t="inlineStr">
        <is>
          <t>Duck</t>
        </is>
      </c>
      <c r="J3049" t="n">
        <v>24300110</v>
      </c>
    </row>
    <row r="3050" ht="15.75" customHeight="1" s="201">
      <c r="A3050" s="1" t="inlineStr">
        <is>
          <t>Dulce de Leche</t>
        </is>
      </c>
      <c r="C3050" s="1" t="n">
        <v>55.35</v>
      </c>
      <c r="D3050" s="1" t="n">
        <v>11</v>
      </c>
      <c r="E3050" s="1" t="n">
        <v>0.17</v>
      </c>
      <c r="F3050" s="1" t="n">
        <v>6.84</v>
      </c>
      <c r="G3050" s="1" t="n">
        <v>7.35</v>
      </c>
      <c r="H3050" s="1" t="n">
        <v>267</v>
      </c>
      <c r="I3050" s="1" t="n">
        <v>0.79</v>
      </c>
      <c r="J3050" t="n">
        <v>51161270</v>
      </c>
    </row>
    <row r="3051" ht="15.75" customHeight="1" s="201">
      <c r="A3051" s="1" t="inlineStr">
        <is>
          <t>Dumpling, potato- or cheese-filled, frozen</t>
        </is>
      </c>
      <c r="C3051" s="1" t="n">
        <v>29.64</v>
      </c>
      <c r="D3051" s="1" t="n">
        <v>64</v>
      </c>
      <c r="E3051" s="1" t="n">
        <v>1.26</v>
      </c>
      <c r="F3051" s="1" t="n">
        <v>5.26</v>
      </c>
      <c r="G3051" s="1" t="n">
        <v>6.14</v>
      </c>
      <c r="H3051" s="1" t="n">
        <v>11</v>
      </c>
      <c r="I3051" s="1" t="n">
        <v>0.44</v>
      </c>
      <c r="J3051" t="n">
        <v>54328200</v>
      </c>
    </row>
    <row r="3052" ht="15.75" customHeight="1" s="201">
      <c r="A3052" s="1" t="inlineStr">
        <is>
          <t>Durian, raw or frozen</t>
        </is>
      </c>
      <c r="C3052" s="1" t="n">
        <v>27.09</v>
      </c>
      <c r="D3052" s="1" t="n">
        <v>36</v>
      </c>
      <c r="E3052" s="1" t="n">
        <v>0.43</v>
      </c>
      <c r="F3052" s="1" t="n">
        <v>1.47</v>
      </c>
      <c r="G3052" s="1" t="n">
        <v>5.33</v>
      </c>
      <c r="H3052" s="1" t="n">
        <v>44</v>
      </c>
      <c r="I3052" s="1" t="n">
        <v>0.28</v>
      </c>
      <c r="J3052" t="n">
        <v>11461200</v>
      </c>
    </row>
    <row r="3053" ht="15.75" customHeight="1" s="201">
      <c r="A3053" s="1" t="inlineStr">
        <is>
          <t>Dutch brand loaf, chicken, pork and beef</t>
        </is>
      </c>
      <c r="C3053" s="1" t="n">
        <v>3.93</v>
      </c>
      <c r="D3053" s="1" t="n">
        <v>11</v>
      </c>
      <c r="E3053" s="1" t="n">
        <v>0.16</v>
      </c>
      <c r="F3053" s="1" t="n">
        <v>12</v>
      </c>
      <c r="G3053" s="1" t="n">
        <v>22.91</v>
      </c>
      <c r="H3053" s="1" t="n">
        <v>110</v>
      </c>
      <c r="I3053" s="1" t="n">
        <v>2.53</v>
      </c>
      <c r="J3053" t="n">
        <v>25230610</v>
      </c>
    </row>
    <row r="3054" ht="15.75" customHeight="1" s="201">
      <c r="A3054" s="1" t="inlineStr">
        <is>
          <t>Edamame, frozen, prepared</t>
        </is>
      </c>
      <c r="C3054" s="1" t="n">
        <v>8.91</v>
      </c>
      <c r="D3054" s="1" t="n">
        <v>311</v>
      </c>
      <c r="E3054" s="1" t="n">
        <v>2.27</v>
      </c>
      <c r="F3054" s="1" t="n">
        <v>11.91</v>
      </c>
      <c r="G3054" s="1" t="n">
        <v>5.2</v>
      </c>
      <c r="H3054" s="1" t="n">
        <v>298</v>
      </c>
      <c r="I3054" s="1" t="n">
        <v>1.37</v>
      </c>
      <c r="J3054" t="n">
        <v>11461200</v>
      </c>
    </row>
    <row r="3055" ht="15.75" customHeight="1" s="201">
      <c r="A3055" s="1" t="inlineStr">
        <is>
          <t>Edamame, frozen, unprepared</t>
        </is>
      </c>
      <c r="C3055" s="1" t="n">
        <v>7.61</v>
      </c>
      <c r="D3055" s="1" t="n">
        <v>303</v>
      </c>
      <c r="E3055" s="1" t="n">
        <v>2.11</v>
      </c>
      <c r="F3055" s="1" t="n">
        <v>11.22</v>
      </c>
      <c r="G3055" s="1" t="n">
        <v>4.73</v>
      </c>
      <c r="I3055" s="1" t="n">
        <v>1.32</v>
      </c>
      <c r="J3055" t="n">
        <v>11461200</v>
      </c>
    </row>
    <row r="3056" ht="15.75" customHeight="1" s="201">
      <c r="A3056" s="1" t="inlineStr">
        <is>
          <t>Egg custards, dry mix</t>
        </is>
      </c>
      <c r="C3056" s="1" t="n">
        <v>82.8</v>
      </c>
      <c r="D3056" s="1" t="n">
        <v>30</v>
      </c>
      <c r="E3056" s="1" t="n">
        <v>1.93</v>
      </c>
      <c r="F3056" s="1" t="n">
        <v>6.9</v>
      </c>
      <c r="G3056" s="1" t="n">
        <v>6.4</v>
      </c>
      <c r="H3056" s="1" t="n">
        <v>217</v>
      </c>
      <c r="I3056" s="1" t="n">
        <v>1.05</v>
      </c>
    </row>
    <row r="3057" ht="15.75" customHeight="1" s="201">
      <c r="A3057" s="1" t="inlineStr">
        <is>
          <t>Egg custards, dry mix, prepared with 2% milk</t>
        </is>
      </c>
      <c r="C3057" s="1" t="n">
        <v>17.61</v>
      </c>
      <c r="D3057" s="1" t="n">
        <v>8</v>
      </c>
      <c r="E3057" s="1" t="n">
        <v>0.33</v>
      </c>
      <c r="F3057" s="1" t="n">
        <v>4.13</v>
      </c>
      <c r="G3057" s="1" t="n">
        <v>2.83</v>
      </c>
      <c r="H3057" s="1" t="n">
        <v>208</v>
      </c>
      <c r="I3057" s="1" t="n">
        <v>0.61</v>
      </c>
      <c r="J3057" t="n">
        <v>75142550</v>
      </c>
    </row>
    <row r="3058" ht="15.75" customHeight="1" s="201">
      <c r="A3058" s="1" t="inlineStr">
        <is>
          <t>Egg custards, dry mix, prepared with whole milk</t>
        </is>
      </c>
      <c r="C3058" s="1" t="n">
        <v>17.6</v>
      </c>
      <c r="D3058" s="1" t="n">
        <v>9</v>
      </c>
      <c r="E3058" s="1" t="n">
        <v>0.34</v>
      </c>
      <c r="F3058" s="1" t="n">
        <v>3.99</v>
      </c>
      <c r="G3058" s="1" t="n">
        <v>4</v>
      </c>
      <c r="H3058" s="1" t="n">
        <v>182</v>
      </c>
      <c r="I3058" s="1" t="n">
        <v>0.51</v>
      </c>
      <c r="J3058" t="n">
        <v>75142550</v>
      </c>
    </row>
    <row r="3059" ht="15.75" customHeight="1" s="201">
      <c r="A3059" s="1" t="inlineStr">
        <is>
          <t>Egg rolls, chicken, refrigerated, heated</t>
        </is>
      </c>
      <c r="C3059" s="1" t="n">
        <v>28.54</v>
      </c>
      <c r="D3059" s="1" t="n">
        <v>63</v>
      </c>
      <c r="E3059" s="1" t="n">
        <v>1.69</v>
      </c>
      <c r="F3059" s="1" t="n">
        <v>10.44</v>
      </c>
      <c r="G3059" s="1" t="n">
        <v>4.51</v>
      </c>
      <c r="H3059" s="1" t="n">
        <v>1066</v>
      </c>
      <c r="I3059" s="1" t="n">
        <v>0.52</v>
      </c>
      <c r="J3059" t="n">
        <v>27446315</v>
      </c>
    </row>
    <row r="3060" ht="15.75" customHeight="1" s="201">
      <c r="A3060" s="1" t="inlineStr">
        <is>
          <t>Egg rolls, pork, refrigerated, heated</t>
        </is>
      </c>
      <c r="C3060" s="1" t="n">
        <v>28.49</v>
      </c>
      <c r="D3060" s="1" t="n">
        <v>80</v>
      </c>
      <c r="E3060" s="1" t="n">
        <v>1.55</v>
      </c>
      <c r="F3060" s="1" t="n">
        <v>9.94</v>
      </c>
      <c r="G3060" s="1" t="n">
        <v>8.18</v>
      </c>
      <c r="H3060" s="1" t="n">
        <v>7804</v>
      </c>
      <c r="I3060" s="1" t="n">
        <v>0.9</v>
      </c>
      <c r="J3060" t="n">
        <v>27120030</v>
      </c>
    </row>
    <row r="3061" ht="15.75" customHeight="1" s="201">
      <c r="A3061" s="1" t="inlineStr">
        <is>
          <t>Egg rolls, vegetable, frozen, prepared</t>
        </is>
      </c>
      <c r="C3061" s="1" t="n">
        <v>31.77</v>
      </c>
      <c r="D3061" s="1" t="n">
        <v>71</v>
      </c>
      <c r="E3061" s="1" t="n">
        <v>1.95</v>
      </c>
      <c r="F3061" s="1" t="n">
        <v>5.95</v>
      </c>
      <c r="G3061" s="1" t="n">
        <v>6.97</v>
      </c>
      <c r="H3061" s="1" t="n">
        <v>972</v>
      </c>
      <c r="I3061" s="1" t="n">
        <v>0.45</v>
      </c>
      <c r="J3061" t="n">
        <v>28141201</v>
      </c>
    </row>
    <row r="3062" ht="15.75" customHeight="1" s="201">
      <c r="A3062" s="1" t="inlineStr">
        <is>
          <t>Egg substitute, liquid or frozen, fat free</t>
        </is>
      </c>
      <c r="C3062" s="1" t="n">
        <v>2</v>
      </c>
      <c r="D3062" s="1" t="n">
        <v>16</v>
      </c>
      <c r="E3062" s="1" t="n">
        <v>1.98</v>
      </c>
      <c r="F3062" s="1" t="n">
        <v>10</v>
      </c>
      <c r="G3062" s="1" t="n">
        <v>0</v>
      </c>
      <c r="H3062" s="1" t="n">
        <v>225</v>
      </c>
      <c r="I3062" s="1" t="n">
        <v>0.98</v>
      </c>
      <c r="J3062" t="n">
        <v>27446260</v>
      </c>
    </row>
    <row r="3063" ht="15.75" customHeight="1" s="201">
      <c r="A3063" s="1" t="inlineStr">
        <is>
          <t>Egg substitute, powder</t>
        </is>
      </c>
      <c r="C3063" s="1" t="n">
        <v>21.8</v>
      </c>
      <c r="D3063" s="1" t="n">
        <v>125</v>
      </c>
      <c r="E3063" s="1" t="n">
        <v>3.16</v>
      </c>
      <c r="F3063" s="1" t="n">
        <v>55.5</v>
      </c>
      <c r="G3063" s="1" t="n">
        <v>13</v>
      </c>
      <c r="H3063" s="1" t="n">
        <v>1230</v>
      </c>
      <c r="I3063" s="1" t="n">
        <v>1.82</v>
      </c>
      <c r="J3063" t="n">
        <v>91107000</v>
      </c>
    </row>
    <row r="3064" ht="15.75" customHeight="1" s="201">
      <c r="A3064" s="1" t="inlineStr">
        <is>
          <t>Egg, duck, whole, fresh, raw</t>
        </is>
      </c>
      <c r="C3064" s="1" t="n">
        <v>1.45</v>
      </c>
      <c r="D3064" s="1" t="n">
        <v>80</v>
      </c>
      <c r="E3064" s="1" t="n">
        <v>3.85</v>
      </c>
      <c r="F3064" s="1" t="n">
        <v>12.81</v>
      </c>
      <c r="G3064" s="1" t="n">
        <v>13.77</v>
      </c>
      <c r="H3064" s="1" t="n">
        <v>674</v>
      </c>
      <c r="I3064" s="1" t="n">
        <v>1.41</v>
      </c>
      <c r="J3064" t="n">
        <v>54204030</v>
      </c>
    </row>
    <row r="3065" ht="15.75" customHeight="1" s="201">
      <c r="A3065" s="1" t="inlineStr">
        <is>
          <t>Egg, goose, whole, fresh, raw</t>
        </is>
      </c>
      <c r="C3065" s="1" t="n">
        <v>1.35</v>
      </c>
      <c r="D3065" s="1" t="n">
        <v>76</v>
      </c>
      <c r="E3065" s="1" t="n">
        <v>3.64</v>
      </c>
      <c r="F3065" s="1" t="n">
        <v>13.87</v>
      </c>
      <c r="G3065" s="1" t="n">
        <v>13.27</v>
      </c>
      <c r="H3065" s="1" t="n">
        <v>650</v>
      </c>
      <c r="I3065" s="1" t="n">
        <v>1.33</v>
      </c>
      <c r="J3065" t="n">
        <v>54204030</v>
      </c>
    </row>
    <row r="3066" ht="15.75" customHeight="1" s="201">
      <c r="A3066" s="1" t="inlineStr">
        <is>
          <t>Egg, quail, whole, fresh, raw</t>
        </is>
      </c>
      <c r="C3066" s="1" t="n">
        <v>0.41</v>
      </c>
      <c r="D3066" s="1" t="n">
        <v>66</v>
      </c>
      <c r="E3066" s="1" t="n">
        <v>3.65</v>
      </c>
      <c r="F3066" s="1" t="n">
        <v>13.05</v>
      </c>
      <c r="G3066" s="1" t="n">
        <v>11.09</v>
      </c>
      <c r="H3066" s="1" t="n">
        <v>543</v>
      </c>
      <c r="I3066" s="1" t="n">
        <v>1.47</v>
      </c>
      <c r="J3066" t="n">
        <v>54204030</v>
      </c>
    </row>
    <row r="3067" ht="15.75" customHeight="1" s="201">
      <c r="A3067" s="1" t="inlineStr">
        <is>
          <t>Egg, turkey, whole, fresh, raw</t>
        </is>
      </c>
      <c r="C3067" s="1" t="n">
        <v>1.15</v>
      </c>
      <c r="D3067" s="1" t="n">
        <v>71</v>
      </c>
      <c r="E3067" s="1" t="n">
        <v>4.1</v>
      </c>
      <c r="F3067" s="1" t="n">
        <v>13.68</v>
      </c>
      <c r="G3067" s="1" t="n">
        <v>11.88</v>
      </c>
      <c r="H3067" s="1" t="n">
        <v>554</v>
      </c>
      <c r="I3067" s="1" t="n">
        <v>1.58</v>
      </c>
      <c r="J3067" t="n">
        <v>27540350</v>
      </c>
    </row>
    <row r="3068" ht="15.75" customHeight="1" s="201">
      <c r="A3068" s="1" t="inlineStr">
        <is>
          <t>Egg, white, dried</t>
        </is>
      </c>
      <c r="C3068" s="1" t="n">
        <v>7.8</v>
      </c>
      <c r="D3068" s="1" t="n">
        <v>18</v>
      </c>
      <c r="E3068" s="1" t="n">
        <v>0.15</v>
      </c>
      <c r="F3068" s="1" t="n">
        <v>81.09999999999999</v>
      </c>
      <c r="G3068" s="1" t="n">
        <v>0</v>
      </c>
      <c r="H3068" s="1" t="n">
        <v>0</v>
      </c>
      <c r="I3068" s="1" t="n">
        <v>0.1</v>
      </c>
      <c r="J3068" t="n">
        <v>53109200</v>
      </c>
    </row>
    <row r="3069" ht="15.75" customHeight="1" s="201">
      <c r="A3069" s="1" t="inlineStr">
        <is>
          <t>Egg, white, dried, flakes, stabilized, glucose reduced</t>
        </is>
      </c>
      <c r="C3069" s="1" t="n">
        <v>4.17</v>
      </c>
      <c r="D3069" s="1" t="n">
        <v>89</v>
      </c>
      <c r="E3069" s="1" t="n">
        <v>0.23</v>
      </c>
      <c r="F3069" s="1" t="n">
        <v>76.92</v>
      </c>
      <c r="G3069" s="1" t="n">
        <v>0.04</v>
      </c>
      <c r="H3069" s="1" t="n">
        <v>0</v>
      </c>
      <c r="I3069" s="1" t="n">
        <v>0.15</v>
      </c>
      <c r="J3069" t="n">
        <v>54301100</v>
      </c>
    </row>
    <row r="3070" ht="15.75" customHeight="1" s="201">
      <c r="A3070" s="1" t="inlineStr">
        <is>
          <t>Egg, white, dried, powder, stabilized, glucose reduced</t>
        </is>
      </c>
      <c r="C3070" s="1" t="n">
        <v>4.47</v>
      </c>
      <c r="D3070" s="1" t="n">
        <v>96</v>
      </c>
      <c r="E3070" s="1" t="n">
        <v>0.24</v>
      </c>
      <c r="F3070" s="1" t="n">
        <v>82.40000000000001</v>
      </c>
      <c r="G3070" s="1" t="n">
        <v>0.04</v>
      </c>
      <c r="H3070" s="1" t="n">
        <v>0</v>
      </c>
      <c r="I3070" s="1" t="n">
        <v>0.16</v>
      </c>
      <c r="J3070" t="n">
        <v>54301100</v>
      </c>
    </row>
    <row r="3071" ht="15.75" customHeight="1" s="201">
      <c r="A3071" s="1" t="inlineStr">
        <is>
          <t>Egg, white, dried, stabilized, glucose reduced</t>
        </is>
      </c>
      <c r="C3071" s="1" t="n">
        <v>4.51</v>
      </c>
      <c r="D3071" s="1" t="n">
        <v>0</v>
      </c>
      <c r="E3071" s="1" t="n">
        <v>0.18</v>
      </c>
      <c r="F3071" s="1" t="n">
        <v>84.08</v>
      </c>
      <c r="G3071" s="1" t="n">
        <v>0.32</v>
      </c>
      <c r="H3071" s="1" t="n">
        <v>0</v>
      </c>
      <c r="I3071" s="1" t="n">
        <v>0.13</v>
      </c>
      <c r="J3071" t="n">
        <v>54301100</v>
      </c>
    </row>
    <row r="3072" ht="15.75" customHeight="1" s="201">
      <c r="A3072" s="1" t="inlineStr">
        <is>
          <t>Egg, white, raw, fresh</t>
        </is>
      </c>
      <c r="C3072" s="1" t="n">
        <v>0.73</v>
      </c>
      <c r="D3072" s="1" t="n">
        <v>4</v>
      </c>
      <c r="E3072" s="1" t="n">
        <v>0.08</v>
      </c>
      <c r="F3072" s="1" t="n">
        <v>10.9</v>
      </c>
      <c r="G3072" s="1" t="n">
        <v>0.17</v>
      </c>
      <c r="H3072" s="1" t="n">
        <v>0</v>
      </c>
      <c r="I3072" s="1" t="n">
        <v>0.03</v>
      </c>
      <c r="J3072" t="n">
        <v>53109200</v>
      </c>
    </row>
    <row r="3073" ht="15.75" customHeight="1" s="201">
      <c r="A3073" s="1" t="inlineStr">
        <is>
          <t>Egg, white, raw, frozen, pasteurized</t>
        </is>
      </c>
      <c r="C3073" s="1" t="n">
        <v>1.04</v>
      </c>
      <c r="D3073" s="1" t="n">
        <v>10</v>
      </c>
      <c r="E3073" s="1" t="n">
        <v>0.04</v>
      </c>
      <c r="F3073" s="1" t="n">
        <v>10.2</v>
      </c>
      <c r="G3073" s="1" t="n">
        <v>0</v>
      </c>
      <c r="H3073" s="1" t="n">
        <v>0</v>
      </c>
      <c r="I3073" s="1" t="n">
        <v>0.07000000000000001</v>
      </c>
      <c r="J3073" t="n">
        <v>53109200</v>
      </c>
    </row>
    <row r="3074" ht="15.75" customHeight="1" s="201">
      <c r="A3074" s="1" t="inlineStr">
        <is>
          <t>Egg, whole, cooked, fried</t>
        </is>
      </c>
      <c r="C3074" s="1" t="n">
        <v>0.83</v>
      </c>
      <c r="D3074" s="1" t="n">
        <v>51</v>
      </c>
      <c r="E3074" s="1" t="n">
        <v>1.89</v>
      </c>
      <c r="F3074" s="1" t="n">
        <v>13.61</v>
      </c>
      <c r="G3074" s="1" t="n">
        <v>14.84</v>
      </c>
      <c r="H3074" s="1" t="n">
        <v>787</v>
      </c>
      <c r="I3074" s="1" t="n">
        <v>1.39</v>
      </c>
      <c r="J3074" t="n">
        <v>54204030</v>
      </c>
    </row>
    <row r="3075" ht="15.75" customHeight="1" s="201">
      <c r="A3075" s="1" t="inlineStr">
        <is>
          <t>Egg, whole, cooked, hard-boiled</t>
        </is>
      </c>
      <c r="C3075" s="1" t="n">
        <v>1.12</v>
      </c>
      <c r="D3075" s="1" t="n">
        <v>44</v>
      </c>
      <c r="E3075" s="1" t="n">
        <v>1.19</v>
      </c>
      <c r="F3075" s="1" t="n">
        <v>12.58</v>
      </c>
      <c r="G3075" s="1" t="n">
        <v>10.61</v>
      </c>
      <c r="H3075" s="1" t="n">
        <v>520</v>
      </c>
      <c r="I3075" s="1" t="n">
        <v>1.05</v>
      </c>
      <c r="J3075" t="n">
        <v>31103010</v>
      </c>
    </row>
    <row r="3076" ht="15.75" customHeight="1" s="201">
      <c r="A3076" s="1" t="inlineStr">
        <is>
          <t>Egg, whole, cooked, omelet</t>
        </is>
      </c>
      <c r="C3076" s="1" t="n">
        <v>0.64</v>
      </c>
      <c r="D3076" s="1" t="n">
        <v>39</v>
      </c>
      <c r="E3076" s="1" t="n">
        <v>1.48</v>
      </c>
      <c r="F3076" s="1" t="n">
        <v>10.57</v>
      </c>
      <c r="G3076" s="1" t="n">
        <v>11.66</v>
      </c>
      <c r="H3076" s="1" t="n">
        <v>617</v>
      </c>
      <c r="I3076" s="1" t="n">
        <v>1.09</v>
      </c>
      <c r="J3076" t="n">
        <v>54204030</v>
      </c>
    </row>
    <row r="3077" ht="15.75" customHeight="1" s="201">
      <c r="A3077" s="1" t="inlineStr">
        <is>
          <t>Egg, whole, cooked, poached</t>
        </is>
      </c>
      <c r="C3077" s="1" t="n">
        <v>0.71</v>
      </c>
      <c r="D3077" s="1" t="n">
        <v>35</v>
      </c>
      <c r="E3077" s="1" t="n">
        <v>1.75</v>
      </c>
      <c r="F3077" s="1" t="n">
        <v>12.51</v>
      </c>
      <c r="G3077" s="1" t="n">
        <v>9.470000000000001</v>
      </c>
      <c r="H3077" s="1" t="n">
        <v>538</v>
      </c>
      <c r="I3077" s="1" t="n">
        <v>1.29</v>
      </c>
      <c r="J3077" t="n">
        <v>54204030</v>
      </c>
    </row>
    <row r="3078" ht="15.75" customHeight="1" s="201">
      <c r="A3078" s="1" t="inlineStr">
        <is>
          <t>Egg, whole, cooked, scrambled</t>
        </is>
      </c>
      <c r="C3078" s="1" t="n">
        <v>1.61</v>
      </c>
      <c r="D3078" s="1" t="n">
        <v>36</v>
      </c>
      <c r="E3078" s="1" t="n">
        <v>1.31</v>
      </c>
      <c r="F3078" s="1" t="n">
        <v>9.99</v>
      </c>
      <c r="G3078" s="1" t="n">
        <v>10.98</v>
      </c>
      <c r="H3078" s="1" t="n">
        <v>578</v>
      </c>
      <c r="I3078" s="1" t="n">
        <v>1.04</v>
      </c>
      <c r="J3078" t="n">
        <v>54204030</v>
      </c>
    </row>
    <row r="3079" ht="15.75" customHeight="1" s="201">
      <c r="A3079" s="1" t="inlineStr">
        <is>
          <t>Egg, whole, dried</t>
        </is>
      </c>
      <c r="C3079" s="1" t="n">
        <v>1.13</v>
      </c>
      <c r="D3079" s="1" t="n">
        <v>119</v>
      </c>
      <c r="E3079" s="1" t="n">
        <v>7.2</v>
      </c>
      <c r="F3079" s="1" t="n">
        <v>48.05</v>
      </c>
      <c r="G3079" s="1" t="n">
        <v>43.9</v>
      </c>
      <c r="H3079" s="1" t="n">
        <v>1029</v>
      </c>
      <c r="I3079" s="1" t="n">
        <v>3.15</v>
      </c>
      <c r="J3079" t="n">
        <v>54204030</v>
      </c>
    </row>
    <row r="3080" ht="15.75" customHeight="1" s="201">
      <c r="A3080" s="1" t="inlineStr">
        <is>
          <t>Egg, whole, dried, stabilized, glucose reduced</t>
        </is>
      </c>
      <c r="C3080" s="1" t="n">
        <v>2.38</v>
      </c>
      <c r="D3080" s="1" t="n">
        <v>193</v>
      </c>
      <c r="E3080" s="1" t="n">
        <v>8.279999999999999</v>
      </c>
      <c r="F3080" s="1" t="n">
        <v>48.17</v>
      </c>
      <c r="G3080" s="1" t="n">
        <v>43.95</v>
      </c>
      <c r="H3080" s="1" t="n">
        <v>2050</v>
      </c>
      <c r="I3080" s="1" t="n">
        <v>5.71</v>
      </c>
      <c r="J3080" t="n">
        <v>54204030</v>
      </c>
    </row>
    <row r="3081" ht="15.75" customHeight="1" s="201">
      <c r="A3081" s="1" t="inlineStr">
        <is>
          <t>Egg, whole, raw, fresh</t>
        </is>
      </c>
      <c r="C3081" s="1" t="n">
        <v>0.72</v>
      </c>
      <c r="D3081" s="1" t="n">
        <v>47</v>
      </c>
      <c r="E3081" s="1" t="n">
        <v>1.75</v>
      </c>
      <c r="F3081" s="1" t="n">
        <v>12.56</v>
      </c>
      <c r="G3081" s="1" t="n">
        <v>9.51</v>
      </c>
      <c r="H3081" s="1" t="n">
        <v>540</v>
      </c>
      <c r="I3081" s="1" t="n">
        <v>1.29</v>
      </c>
      <c r="J3081" t="n">
        <v>54204030</v>
      </c>
    </row>
    <row r="3082" ht="15.75" customHeight="1" s="201">
      <c r="A3082" s="1" t="inlineStr">
        <is>
          <t>Egg, whole, raw, frozen, pasteurized (Includes foods for USDA's Food Distribution Program)</t>
        </is>
      </c>
      <c r="C3082" s="1" t="n">
        <v>1.01</v>
      </c>
      <c r="D3082" s="1" t="n">
        <v>87</v>
      </c>
      <c r="E3082" s="1" t="n">
        <v>1.74</v>
      </c>
      <c r="F3082" s="1" t="n">
        <v>12.33</v>
      </c>
      <c r="G3082" s="1" t="n">
        <v>9.949999999999999</v>
      </c>
      <c r="H3082" s="1" t="n">
        <v>570</v>
      </c>
      <c r="I3082" s="1" t="n">
        <v>1.32</v>
      </c>
      <c r="J3082" t="n">
        <v>54204030</v>
      </c>
    </row>
    <row r="3083" ht="15.75" customHeight="1" s="201">
      <c r="A3083" s="1" t="inlineStr">
        <is>
          <t>Egg, whole, raw, frozen, salted, pasteurized</t>
        </is>
      </c>
      <c r="C3083" s="1" t="n">
        <v>0.83</v>
      </c>
      <c r="D3083" s="1" t="n">
        <v>69</v>
      </c>
      <c r="E3083" s="1" t="n">
        <v>1.71</v>
      </c>
      <c r="F3083" s="1" t="n">
        <v>10.97</v>
      </c>
      <c r="G3083" s="1" t="n">
        <v>10.07</v>
      </c>
      <c r="H3083" s="1" t="n">
        <v>504</v>
      </c>
      <c r="I3083" s="1" t="n">
        <v>1.3</v>
      </c>
      <c r="J3083" t="n">
        <v>54204030</v>
      </c>
    </row>
    <row r="3084" ht="15.75" customHeight="1" s="201">
      <c r="A3084" s="1" t="inlineStr">
        <is>
          <t>Egg, yolk, dried</t>
        </is>
      </c>
      <c r="C3084" s="1" t="n">
        <v>0.66</v>
      </c>
      <c r="D3084" s="1" t="n">
        <v>209</v>
      </c>
      <c r="E3084" s="1" t="n">
        <v>9.56</v>
      </c>
      <c r="F3084" s="1" t="n">
        <v>33.63</v>
      </c>
      <c r="G3084" s="1" t="n">
        <v>59.13</v>
      </c>
      <c r="H3084" s="1" t="n">
        <v>1715</v>
      </c>
      <c r="I3084" s="1" t="n">
        <v>7.73</v>
      </c>
      <c r="J3084" t="n">
        <v>41301010</v>
      </c>
    </row>
    <row r="3085" ht="15.75" customHeight="1" s="201">
      <c r="A3085" s="1" t="inlineStr">
        <is>
          <t>Egg, yolk, raw, fresh</t>
        </is>
      </c>
      <c r="C3085" s="1" t="n">
        <v>3.59</v>
      </c>
      <c r="D3085" s="1" t="n">
        <v>146</v>
      </c>
      <c r="E3085" s="1" t="n">
        <v>2.73</v>
      </c>
      <c r="F3085" s="1" t="n">
        <v>15.86</v>
      </c>
      <c r="G3085" s="1" t="n">
        <v>26.54</v>
      </c>
      <c r="H3085" s="1" t="n">
        <v>1442</v>
      </c>
      <c r="I3085" s="1" t="n">
        <v>2.3</v>
      </c>
      <c r="J3085" t="n">
        <v>14108020</v>
      </c>
    </row>
    <row r="3086" ht="15.75" customHeight="1" s="201">
      <c r="A3086" s="1" t="inlineStr">
        <is>
          <t>Egg, yolk, raw, frozen, pasteurized</t>
        </is>
      </c>
      <c r="C3086" s="1" t="n">
        <v>0.8100000000000001</v>
      </c>
      <c r="D3086" s="1" t="n">
        <v>151</v>
      </c>
      <c r="E3086" s="1" t="n">
        <v>4.55</v>
      </c>
      <c r="F3086" s="1" t="n">
        <v>15.53</v>
      </c>
      <c r="G3086" s="1" t="n">
        <v>25.6</v>
      </c>
      <c r="H3086" s="1" t="n">
        <v>1469</v>
      </c>
      <c r="I3086" s="1" t="n">
        <v>3.17</v>
      </c>
      <c r="J3086" t="n">
        <v>11461200</v>
      </c>
    </row>
    <row r="3087" ht="15.75" customHeight="1" s="201">
      <c r="A3087" s="1" t="inlineStr">
        <is>
          <t>Egg, yolk, raw, frozen, salted, pasteurized</t>
        </is>
      </c>
      <c r="C3087" s="1" t="n">
        <v>1.77</v>
      </c>
      <c r="D3087" s="1" t="n">
        <v>112</v>
      </c>
      <c r="E3087" s="1" t="n">
        <v>3.4</v>
      </c>
      <c r="F3087" s="1" t="n">
        <v>14.07</v>
      </c>
      <c r="G3087" s="1" t="n">
        <v>22.93</v>
      </c>
      <c r="H3087" s="1" t="n">
        <v>1043</v>
      </c>
      <c r="I3087" s="1" t="n">
        <v>2.87</v>
      </c>
      <c r="J3087" t="n">
        <v>11461200</v>
      </c>
    </row>
    <row r="3088" ht="15.75" customHeight="1" s="201">
      <c r="A3088" s="1" t="inlineStr">
        <is>
          <t>Egg, yolk, raw, frozen, sugared, pasteurized</t>
        </is>
      </c>
      <c r="C3088" s="1" t="n">
        <v>10.95</v>
      </c>
      <c r="D3088" s="1" t="n">
        <v>174</v>
      </c>
      <c r="E3088" s="1" t="n">
        <v>3.7</v>
      </c>
      <c r="F3088" s="1" t="n">
        <v>13.87</v>
      </c>
      <c r="G3088" s="1" t="n">
        <v>22.82</v>
      </c>
      <c r="H3088" s="1" t="n">
        <v>1103</v>
      </c>
      <c r="I3088" s="1" t="n">
        <v>3.06</v>
      </c>
      <c r="J3088" t="n">
        <v>11461200</v>
      </c>
    </row>
    <row r="3089" ht="15.75" customHeight="1" s="201">
      <c r="A3089" s="1" t="inlineStr">
        <is>
          <t>Eggs</t>
        </is>
      </c>
      <c r="J3089" t="n">
        <v>91705020</v>
      </c>
    </row>
    <row r="3090" ht="15.75" customHeight="1" s="201">
      <c r="A3090" s="1" t="inlineStr">
        <is>
          <t>Eggnog</t>
        </is>
      </c>
      <c r="C3090" s="1" t="n">
        <v>8.050000000000001</v>
      </c>
      <c r="D3090" s="1" t="n">
        <v>1</v>
      </c>
      <c r="E3090" s="1" t="n">
        <v>0.2</v>
      </c>
      <c r="F3090" s="1" t="n">
        <v>4.55</v>
      </c>
      <c r="G3090" s="1" t="n">
        <v>4.19</v>
      </c>
      <c r="H3090" s="1" t="n">
        <v>206</v>
      </c>
      <c r="I3090" s="1" t="n">
        <v>0.46</v>
      </c>
      <c r="J3090" t="n">
        <v>11531000</v>
      </c>
    </row>
    <row r="3091" ht="15.75" customHeight="1" s="201">
      <c r="A3091" s="1" t="inlineStr">
        <is>
          <t>Eggplant, cooked, boiled, drained, with salt</t>
        </is>
      </c>
      <c r="C3091" s="1" t="n">
        <v>8.140000000000001</v>
      </c>
      <c r="D3091" s="1" t="n">
        <v>14</v>
      </c>
      <c r="E3091" s="1" t="n">
        <v>0.25</v>
      </c>
      <c r="F3091" s="1" t="n">
        <v>0.83</v>
      </c>
      <c r="G3091" s="1" t="n">
        <v>0.23</v>
      </c>
      <c r="H3091" s="1" t="n">
        <v>37</v>
      </c>
      <c r="I3091" s="1" t="n">
        <v>0.12</v>
      </c>
      <c r="J3091" t="n">
        <v>75142550</v>
      </c>
    </row>
    <row r="3092" ht="15.75" customHeight="1" s="201">
      <c r="A3092" s="1" t="inlineStr">
        <is>
          <t>Eggplant, cooked, boiled, drained, without salt</t>
        </is>
      </c>
      <c r="C3092" s="1" t="n">
        <v>8.73</v>
      </c>
      <c r="D3092" s="1" t="n">
        <v>14</v>
      </c>
      <c r="E3092" s="1" t="n">
        <v>0.25</v>
      </c>
      <c r="F3092" s="1" t="n">
        <v>0.83</v>
      </c>
      <c r="G3092" s="1" t="n">
        <v>0.23</v>
      </c>
      <c r="H3092" s="1" t="n">
        <v>37</v>
      </c>
      <c r="I3092" s="1" t="n">
        <v>0.12</v>
      </c>
      <c r="J3092" t="n">
        <v>31103010</v>
      </c>
    </row>
    <row r="3093" ht="15.75" customHeight="1" s="201">
      <c r="A3093" s="1" t="inlineStr">
        <is>
          <t>Eggplant, pickled</t>
        </is>
      </c>
      <c r="C3093" s="1" t="n">
        <v>9.77</v>
      </c>
      <c r="D3093" s="1" t="n">
        <v>20</v>
      </c>
      <c r="E3093" s="1" t="n">
        <v>0.77</v>
      </c>
      <c r="F3093" s="1" t="n">
        <v>0.9</v>
      </c>
      <c r="G3093" s="1" t="n">
        <v>0.7</v>
      </c>
      <c r="H3093" s="1" t="n">
        <v>50</v>
      </c>
      <c r="I3093" s="1" t="n">
        <v>0.23</v>
      </c>
      <c r="J3093" t="n">
        <v>75412070</v>
      </c>
    </row>
    <row r="3094" ht="15.75" customHeight="1" s="201">
      <c r="A3094" s="1" t="inlineStr">
        <is>
          <t>Eggplant, raw</t>
        </is>
      </c>
      <c r="C3094" s="1" t="n">
        <v>5.88</v>
      </c>
      <c r="D3094" s="1" t="n">
        <v>22</v>
      </c>
      <c r="E3094" s="1" t="n">
        <v>0.23</v>
      </c>
      <c r="F3094" s="1" t="n">
        <v>0.98</v>
      </c>
      <c r="G3094" s="1" t="n">
        <v>0.18</v>
      </c>
      <c r="H3094" s="1" t="n">
        <v>23</v>
      </c>
      <c r="I3094" s="1" t="n">
        <v>0.16</v>
      </c>
      <c r="J3094" t="n">
        <v>75111200</v>
      </c>
    </row>
    <row r="3095" ht="15.75" customHeight="1" s="201">
      <c r="A3095" s="1" t="inlineStr">
        <is>
          <t>Eggs, scrambled, frozen mixture</t>
        </is>
      </c>
      <c r="C3095" s="1" t="n">
        <v>7.5</v>
      </c>
      <c r="D3095" s="1" t="n">
        <v>17</v>
      </c>
      <c r="E3095" s="1" t="n">
        <v>0.23</v>
      </c>
      <c r="F3095" s="1" t="n">
        <v>13.1</v>
      </c>
      <c r="G3095" s="1" t="n">
        <v>5.6</v>
      </c>
      <c r="H3095" s="1" t="n">
        <v>410</v>
      </c>
      <c r="I3095" s="1" t="n">
        <v>0.14</v>
      </c>
      <c r="J3095" t="n">
        <v>11461200</v>
      </c>
    </row>
    <row r="3096" ht="15.75" customHeight="1" s="201">
      <c r="A3096" s="1" t="inlineStr">
        <is>
          <t>Elderberries, raw</t>
        </is>
      </c>
      <c r="C3096" s="1" t="n">
        <v>18.4</v>
      </c>
      <c r="D3096" s="1" t="n">
        <v>6</v>
      </c>
      <c r="E3096" s="1" t="n">
        <v>1.6</v>
      </c>
      <c r="F3096" s="1" t="n">
        <v>0.66</v>
      </c>
      <c r="G3096" s="1" t="n">
        <v>0.5</v>
      </c>
      <c r="H3096" s="1" t="n">
        <v>600</v>
      </c>
      <c r="I3096" s="1" t="n">
        <v>0.11</v>
      </c>
    </row>
    <row r="3097" ht="15.75" customHeight="1" s="201">
      <c r="A3097" s="1" t="inlineStr">
        <is>
          <t>Elk, free range, ground, cooked patties (Shoshone Bannock)</t>
        </is>
      </c>
      <c r="C3097" s="1" t="n">
        <v>0</v>
      </c>
      <c r="D3097" s="1" t="n">
        <v>1</v>
      </c>
      <c r="E3097" s="1" t="n">
        <v>9.06</v>
      </c>
      <c r="F3097" s="1" t="n">
        <v>29.45</v>
      </c>
      <c r="G3097" s="1" t="n">
        <v>2.8</v>
      </c>
      <c r="H3097" s="1" t="n">
        <v>0</v>
      </c>
      <c r="I3097" s="1" t="n">
        <v>7.79</v>
      </c>
      <c r="J3097" t="n">
        <v>27446260</v>
      </c>
    </row>
    <row r="3098" ht="15.75" customHeight="1" s="201">
      <c r="A3098" s="1" t="inlineStr">
        <is>
          <t>Elk, free range, ground, raw (Shoshone Bannock)</t>
        </is>
      </c>
      <c r="C3098" s="1" t="n">
        <v>0</v>
      </c>
      <c r="E3098" s="1" t="n">
        <v>7.17</v>
      </c>
      <c r="F3098" s="1" t="n">
        <v>20.14</v>
      </c>
      <c r="G3098" s="1" t="n">
        <v>1.8</v>
      </c>
      <c r="H3098" s="1" t="n">
        <v>0</v>
      </c>
      <c r="I3098" s="1" t="n">
        <v>5.82</v>
      </c>
      <c r="J3098" t="n">
        <v>27446260</v>
      </c>
    </row>
    <row r="3099" ht="15.75" customHeight="1" s="201">
      <c r="A3099" s="1" t="inlineStr">
        <is>
          <t>Elk, free range, roast, eye of round, cooked (Shoshone Bannock)</t>
        </is>
      </c>
      <c r="C3099" s="1" t="n">
        <v>0</v>
      </c>
      <c r="D3099" s="1" t="n">
        <v>1</v>
      </c>
      <c r="E3099" s="1" t="n">
        <v>2.68</v>
      </c>
      <c r="F3099" s="1" t="n">
        <v>30.56</v>
      </c>
      <c r="G3099" s="1" t="n">
        <v>2.85</v>
      </c>
      <c r="H3099" s="1" t="n">
        <v>0</v>
      </c>
      <c r="I3099" s="1" t="n">
        <v>4.8</v>
      </c>
      <c r="J3099" t="n">
        <v>27446260</v>
      </c>
    </row>
    <row r="3100" ht="15.75" customHeight="1" s="201">
      <c r="A3100" s="1" t="inlineStr">
        <is>
          <t>Elk, free range, roast, eye of round, raw (Shoshone Bannock)</t>
        </is>
      </c>
      <c r="C3100" s="1" t="n">
        <v>0</v>
      </c>
      <c r="E3100" s="1" t="n">
        <v>2.27</v>
      </c>
      <c r="F3100" s="1" t="n">
        <v>19.74</v>
      </c>
      <c r="G3100" s="1" t="n">
        <v>2.1</v>
      </c>
      <c r="H3100" s="1" t="n">
        <v>0</v>
      </c>
      <c r="I3100" s="1" t="n">
        <v>4.16</v>
      </c>
      <c r="J3100" t="n">
        <v>27446260</v>
      </c>
    </row>
    <row r="3101" ht="15.75" customHeight="1" s="201">
      <c r="A3101" s="1" t="inlineStr">
        <is>
          <t>Emu, fan fillet, cooked, broiled</t>
        </is>
      </c>
      <c r="C3101" s="1" t="n">
        <v>0</v>
      </c>
      <c r="D3101" s="1" t="n">
        <v>9</v>
      </c>
      <c r="E3101" s="1" t="n">
        <v>4.56</v>
      </c>
      <c r="F3101" s="1" t="n">
        <v>31.27</v>
      </c>
      <c r="G3101" s="1" t="n">
        <v>2.3</v>
      </c>
      <c r="H3101" s="1" t="n">
        <v>0</v>
      </c>
      <c r="I3101" s="1" t="n">
        <v>3.19</v>
      </c>
      <c r="J3101" t="n">
        <v>24198683</v>
      </c>
    </row>
    <row r="3102" ht="15.75" customHeight="1" s="201">
      <c r="A3102" s="1" t="inlineStr">
        <is>
          <t>Emu, fan fillet, raw</t>
        </is>
      </c>
      <c r="C3102" s="1" t="n">
        <v>0</v>
      </c>
      <c r="D3102" s="1" t="n">
        <v>13</v>
      </c>
      <c r="E3102" s="1" t="n">
        <v>4.5</v>
      </c>
      <c r="F3102" s="1" t="n">
        <v>22.5</v>
      </c>
      <c r="G3102" s="1" t="n">
        <v>0.8</v>
      </c>
      <c r="H3102" s="1" t="n">
        <v>0</v>
      </c>
      <c r="I3102" s="1" t="n">
        <v>3.5</v>
      </c>
      <c r="J3102" t="n">
        <v>24198683</v>
      </c>
    </row>
    <row r="3103" ht="15.75" customHeight="1" s="201">
      <c r="A3103" s="1" t="inlineStr">
        <is>
          <t>Emu, flat fillet, raw</t>
        </is>
      </c>
      <c r="C3103" s="1" t="n">
        <v>0</v>
      </c>
      <c r="D3103" s="1" t="n">
        <v>12</v>
      </c>
      <c r="E3103" s="1" t="n">
        <v>5</v>
      </c>
      <c r="F3103" s="1" t="n">
        <v>22.25</v>
      </c>
      <c r="G3103" s="1" t="n">
        <v>0.74</v>
      </c>
      <c r="H3103" s="1" t="n">
        <v>0</v>
      </c>
      <c r="I3103" s="1" t="n">
        <v>3</v>
      </c>
      <c r="J3103" t="n">
        <v>24198683</v>
      </c>
    </row>
    <row r="3104" ht="15.75" customHeight="1" s="201">
      <c r="A3104" s="1" t="inlineStr">
        <is>
          <t>Emu, full rump, cooked, broiled</t>
        </is>
      </c>
      <c r="C3104" s="1" t="n">
        <v>0</v>
      </c>
      <c r="D3104" s="1" t="n">
        <v>10</v>
      </c>
      <c r="E3104" s="1" t="n">
        <v>6.89</v>
      </c>
      <c r="F3104" s="1" t="n">
        <v>33.67</v>
      </c>
      <c r="G3104" s="1" t="n">
        <v>2.68</v>
      </c>
      <c r="H3104" s="1" t="n">
        <v>11</v>
      </c>
      <c r="I3104" s="1" t="n">
        <v>4.32</v>
      </c>
      <c r="J3104" t="n">
        <v>24122140</v>
      </c>
    </row>
    <row r="3105" ht="15.75" customHeight="1" s="201">
      <c r="A3105" s="1" t="inlineStr">
        <is>
          <t>Emu, full rump, raw</t>
        </is>
      </c>
      <c r="C3105" s="1" t="n">
        <v>0</v>
      </c>
      <c r="D3105" s="1" t="n">
        <v>13</v>
      </c>
      <c r="E3105" s="1" t="n">
        <v>4.96</v>
      </c>
      <c r="F3105" s="1" t="n">
        <v>22.83</v>
      </c>
      <c r="G3105" s="1" t="n">
        <v>1.64</v>
      </c>
      <c r="H3105" s="1" t="n">
        <v>15</v>
      </c>
      <c r="I3105" s="1" t="n">
        <v>3.59</v>
      </c>
      <c r="J3105" t="n">
        <v>95310200</v>
      </c>
    </row>
    <row r="3106" ht="15.75" customHeight="1" s="201">
      <c r="A3106" s="1" t="inlineStr">
        <is>
          <t>Emu, ground, cooked, pan-broiled</t>
        </is>
      </c>
      <c r="C3106" s="1" t="n">
        <v>0</v>
      </c>
      <c r="D3106" s="1" t="n">
        <v>9</v>
      </c>
      <c r="E3106" s="1" t="n">
        <v>5.01</v>
      </c>
      <c r="F3106" s="1" t="n">
        <v>28.43</v>
      </c>
      <c r="G3106" s="1" t="n">
        <v>4.65</v>
      </c>
      <c r="H3106" s="1" t="n">
        <v>0</v>
      </c>
      <c r="I3106" s="1" t="n">
        <v>4.56</v>
      </c>
      <c r="J3106" t="n">
        <v>23132000</v>
      </c>
    </row>
    <row r="3107" ht="15.75" customHeight="1" s="201">
      <c r="A3107" s="1" t="inlineStr">
        <is>
          <t>Emu, ground, raw</t>
        </is>
      </c>
      <c r="C3107" s="1" t="n">
        <v>0</v>
      </c>
      <c r="D3107" s="1" t="n">
        <v>13</v>
      </c>
      <c r="E3107" s="1" t="n">
        <v>4.02</v>
      </c>
      <c r="F3107" s="1" t="n">
        <v>22.77</v>
      </c>
      <c r="G3107" s="1" t="n">
        <v>4.03</v>
      </c>
      <c r="H3107" s="1" t="n">
        <v>0</v>
      </c>
      <c r="I3107" s="1" t="n">
        <v>3.48</v>
      </c>
      <c r="J3107" t="n">
        <v>23132000</v>
      </c>
    </row>
    <row r="3108" ht="15.75" customHeight="1" s="201">
      <c r="A3108" s="1" t="inlineStr">
        <is>
          <t>Emu, inside drum, raw</t>
        </is>
      </c>
      <c r="C3108" s="1" t="n">
        <v>0</v>
      </c>
      <c r="D3108" s="1" t="n">
        <v>12</v>
      </c>
      <c r="E3108" s="1" t="n">
        <v>5.23</v>
      </c>
      <c r="F3108" s="1" t="n">
        <v>22.22</v>
      </c>
      <c r="G3108" s="1" t="n">
        <v>1.49</v>
      </c>
      <c r="H3108" s="1" t="n">
        <v>17</v>
      </c>
      <c r="I3108" s="1" t="n">
        <v>4.33</v>
      </c>
    </row>
    <row r="3109" ht="15.75" customHeight="1" s="201">
      <c r="A3109" s="1" t="inlineStr">
        <is>
          <t>Emu, inside drums, cooked, broiled</t>
        </is>
      </c>
      <c r="C3109" s="1" t="n">
        <v>0</v>
      </c>
      <c r="D3109" s="1" t="n">
        <v>10</v>
      </c>
      <c r="E3109" s="1" t="n">
        <v>7.27</v>
      </c>
      <c r="F3109" s="1" t="n">
        <v>32.38</v>
      </c>
      <c r="G3109" s="1" t="n">
        <v>2.01</v>
      </c>
      <c r="H3109" s="1" t="n">
        <v>10</v>
      </c>
      <c r="I3109" s="1" t="n">
        <v>5.09</v>
      </c>
      <c r="J3109" t="n">
        <v>24122140</v>
      </c>
    </row>
    <row r="3110" ht="15.75" customHeight="1" s="201">
      <c r="A3110" s="1" t="inlineStr">
        <is>
          <t>Emu, outside drum, raw</t>
        </is>
      </c>
      <c r="C3110" s="1" t="n">
        <v>0</v>
      </c>
      <c r="D3110" s="1" t="n">
        <v>7</v>
      </c>
      <c r="E3110" s="1" t="n">
        <v>4.5</v>
      </c>
      <c r="F3110" s="1" t="n">
        <v>23.08</v>
      </c>
      <c r="G3110" s="1" t="n">
        <v>0.48</v>
      </c>
      <c r="H3110" s="1" t="n">
        <v>0</v>
      </c>
      <c r="I3110" s="1" t="n">
        <v>4.5</v>
      </c>
    </row>
    <row r="3111" ht="15.75" customHeight="1" s="201">
      <c r="A3111" s="1" t="inlineStr">
        <is>
          <t>Emu, oyster, raw</t>
        </is>
      </c>
      <c r="C3111" s="1" t="n">
        <v>0</v>
      </c>
      <c r="D3111" s="1" t="n">
        <v>13</v>
      </c>
      <c r="E3111" s="1" t="n">
        <v>5.5</v>
      </c>
      <c r="F3111" s="1" t="n">
        <v>22.81</v>
      </c>
      <c r="G3111" s="1" t="n">
        <v>4.86</v>
      </c>
      <c r="H3111" s="1" t="n">
        <v>0</v>
      </c>
      <c r="I3111" s="1" t="n">
        <v>6</v>
      </c>
      <c r="J3111" t="n">
        <v>54202020</v>
      </c>
    </row>
    <row r="3112" ht="15.75" customHeight="1" s="201">
      <c r="A3112" s="1" t="inlineStr">
        <is>
          <t>Emu, top loin, cooked, broiled</t>
        </is>
      </c>
      <c r="C3112" s="1" t="n">
        <v>0</v>
      </c>
      <c r="D3112" s="1" t="n">
        <v>9</v>
      </c>
      <c r="E3112" s="1" t="n">
        <v>5.07</v>
      </c>
      <c r="F3112" s="1" t="n">
        <v>29.07</v>
      </c>
      <c r="G3112" s="1" t="n">
        <v>3.13</v>
      </c>
      <c r="H3112" s="1" t="n">
        <v>0</v>
      </c>
      <c r="I3112" s="1" t="n">
        <v>3.42</v>
      </c>
      <c r="J3112" t="n">
        <v>23104000</v>
      </c>
    </row>
    <row r="3113" ht="15.75" customHeight="1" s="201">
      <c r="A3113" s="1" t="inlineStr">
        <is>
          <t>Endive, raw</t>
        </is>
      </c>
      <c r="C3113" s="1" t="n">
        <v>3.35</v>
      </c>
      <c r="D3113" s="1" t="n">
        <v>142</v>
      </c>
      <c r="E3113" s="1" t="n">
        <v>0.83</v>
      </c>
      <c r="F3113" s="1" t="n">
        <v>1.25</v>
      </c>
      <c r="G3113" s="1" t="n">
        <v>0.2</v>
      </c>
      <c r="H3113" s="1" t="n">
        <v>2167</v>
      </c>
      <c r="I3113" s="1" t="n">
        <v>0.79</v>
      </c>
      <c r="J3113" t="n">
        <v>72116000</v>
      </c>
    </row>
    <row r="3114" ht="15.75" customHeight="1" s="201">
      <c r="A3114" s="1" t="inlineStr">
        <is>
          <t>English muffins, plain, unenriched, with calcium propionate (includes sourdough)</t>
        </is>
      </c>
      <c r="C3114" s="1" t="n">
        <v>46</v>
      </c>
      <c r="D3114" s="1" t="n">
        <v>37</v>
      </c>
      <c r="E3114" s="1" t="n">
        <v>0.89</v>
      </c>
      <c r="F3114" s="1" t="n">
        <v>7.7</v>
      </c>
      <c r="G3114" s="1" t="n">
        <v>1.8</v>
      </c>
      <c r="H3114" s="1" t="n">
        <v>0</v>
      </c>
      <c r="I3114" s="1" t="n">
        <v>0.7</v>
      </c>
      <c r="J3114" t="n">
        <v>75142550</v>
      </c>
    </row>
    <row r="3115" ht="15.75" customHeight="1" s="201">
      <c r="A3115" s="1" t="inlineStr">
        <is>
          <t>English muffins, plain, unenriched, without calcium propionate (includes sourdough)</t>
        </is>
      </c>
      <c r="C3115" s="1" t="n">
        <v>46</v>
      </c>
      <c r="D3115" s="1" t="n">
        <v>37</v>
      </c>
      <c r="E3115" s="1" t="n">
        <v>0.89</v>
      </c>
      <c r="F3115" s="1" t="n">
        <v>7.7</v>
      </c>
      <c r="G3115" s="1" t="n">
        <v>1.8</v>
      </c>
      <c r="H3115" s="1" t="n">
        <v>0</v>
      </c>
      <c r="I3115" s="1" t="n">
        <v>0.7</v>
      </c>
    </row>
    <row r="3116" ht="15.75" customHeight="1" s="201">
      <c r="A3116" s="1" t="inlineStr">
        <is>
          <t>English muffins, whole grain white</t>
        </is>
      </c>
      <c r="C3116" s="1" t="n">
        <v>50.17</v>
      </c>
      <c r="D3116" s="1" t="n">
        <v>70</v>
      </c>
      <c r="E3116" s="1" t="n">
        <v>2.53</v>
      </c>
      <c r="F3116" s="1" t="n">
        <v>7.02</v>
      </c>
      <c r="G3116" s="1" t="n">
        <v>1.75</v>
      </c>
      <c r="H3116" s="1" t="n">
        <v>2</v>
      </c>
      <c r="I3116" s="1" t="n">
        <v>0.97</v>
      </c>
      <c r="J3116" t="n">
        <v>54204030</v>
      </c>
    </row>
    <row r="3117" ht="15.75" customHeight="1" s="201">
      <c r="A3117" s="1" t="inlineStr">
        <is>
          <t>Epazote, raw</t>
        </is>
      </c>
      <c r="C3117" s="1" t="n">
        <v>7.44</v>
      </c>
      <c r="D3117" s="1" t="n">
        <v>215</v>
      </c>
      <c r="E3117" s="1" t="n">
        <v>1.88</v>
      </c>
      <c r="F3117" s="1" t="n">
        <v>0.33</v>
      </c>
      <c r="G3117" s="1" t="n">
        <v>0.52</v>
      </c>
      <c r="H3117" s="1" t="n">
        <v>57</v>
      </c>
      <c r="I3117" s="1" t="n">
        <v>1.1</v>
      </c>
    </row>
    <row r="3118" ht="15.75" customHeight="1" s="201">
      <c r="A3118" s="1" t="inlineStr">
        <is>
          <t>Eppaw, raw</t>
        </is>
      </c>
      <c r="C3118" s="1" t="n">
        <v>31.68</v>
      </c>
      <c r="D3118" s="1" t="n">
        <v>24</v>
      </c>
      <c r="E3118" s="1" t="n">
        <v>1.15</v>
      </c>
      <c r="F3118" s="1" t="n">
        <v>4.6</v>
      </c>
      <c r="G3118" s="1" t="n">
        <v>1.8</v>
      </c>
      <c r="H3118" s="1" t="n">
        <v>0</v>
      </c>
      <c r="I3118" s="1" t="n">
        <v>1.15</v>
      </c>
    </row>
    <row r="3119" ht="15.75" customHeight="1" s="201">
      <c r="A3119" s="1" t="inlineStr">
        <is>
          <t>Escarole, cooked, boiled, drained, no salt added</t>
        </is>
      </c>
      <c r="C3119" s="1" t="n">
        <v>3.07</v>
      </c>
      <c r="D3119" s="1" t="n">
        <v>78</v>
      </c>
      <c r="E3119" s="1" t="n">
        <v>0.72</v>
      </c>
      <c r="F3119" s="1" t="n">
        <v>1.15</v>
      </c>
      <c r="G3119" s="1" t="n">
        <v>0.18</v>
      </c>
      <c r="H3119" s="1" t="n">
        <v>1888</v>
      </c>
      <c r="I3119" s="1" t="n">
        <v>0.6899999999999999</v>
      </c>
      <c r="J3119" t="n">
        <v>31103010</v>
      </c>
    </row>
    <row r="3120" ht="15.75" customHeight="1" s="201">
      <c r="A3120" s="1" t="inlineStr">
        <is>
          <t>Falafel, home-prepared</t>
        </is>
      </c>
      <c r="C3120" s="1" t="n">
        <v>31.84</v>
      </c>
      <c r="D3120" s="1" t="n">
        <v>93</v>
      </c>
      <c r="E3120" s="1" t="n">
        <v>3.42</v>
      </c>
      <c r="F3120" s="1" t="n">
        <v>13.31</v>
      </c>
      <c r="G3120" s="1" t="n">
        <v>17.8</v>
      </c>
      <c r="H3120" s="1" t="n">
        <v>13</v>
      </c>
      <c r="I3120" s="1" t="n">
        <v>1.5</v>
      </c>
      <c r="J3120" t="n">
        <v>28345110</v>
      </c>
    </row>
    <row r="3121" ht="15.75" customHeight="1" s="201">
      <c r="A3121" s="1" t="inlineStr">
        <is>
          <t>Fast food, biscuit</t>
        </is>
      </c>
      <c r="C3121" s="1" t="n">
        <v>42.82</v>
      </c>
      <c r="D3121" s="1" t="n">
        <v>84</v>
      </c>
      <c r="E3121" s="1" t="n">
        <v>2.76</v>
      </c>
      <c r="F3121" s="1" t="n">
        <v>7.08</v>
      </c>
      <c r="G3121" s="1" t="n">
        <v>18.92</v>
      </c>
      <c r="H3121" s="1" t="n">
        <v>60</v>
      </c>
      <c r="I3121" s="1" t="n">
        <v>0.5</v>
      </c>
      <c r="J3121" t="n">
        <v>27515080</v>
      </c>
    </row>
    <row r="3122" ht="15.75" customHeight="1" s="201">
      <c r="A3122" s="1" t="inlineStr">
        <is>
          <t>Fast Food, Pizza Chain, 14" pizza, cheese topping, regular crust</t>
        </is>
      </c>
      <c r="C3122" s="1" t="n">
        <v>33.33</v>
      </c>
      <c r="D3122" s="1" t="n">
        <v>93</v>
      </c>
      <c r="E3122" s="1" t="n">
        <v>2.48</v>
      </c>
      <c r="F3122" s="1" t="n">
        <v>11.39</v>
      </c>
      <c r="G3122" s="1" t="n">
        <v>9.69</v>
      </c>
      <c r="H3122" s="1" t="n">
        <v>358</v>
      </c>
      <c r="I3122" s="1" t="n">
        <v>1.34</v>
      </c>
      <c r="J3122" t="n">
        <v>58106230</v>
      </c>
    </row>
    <row r="3123" ht="15.75" customHeight="1" s="201">
      <c r="A3123" s="1" t="inlineStr">
        <is>
          <t>Fast Food, Pizza Chain, 14" pizza, cheese topping, stuffed crust</t>
        </is>
      </c>
      <c r="C3123" s="1" t="n">
        <v>30</v>
      </c>
      <c r="D3123" s="1" t="n">
        <v>90</v>
      </c>
      <c r="E3123" s="1" t="n">
        <v>2.04</v>
      </c>
      <c r="F3123" s="1" t="n">
        <v>12.23</v>
      </c>
      <c r="G3123" s="1" t="n">
        <v>11.63</v>
      </c>
      <c r="H3123" s="1" t="n">
        <v>511</v>
      </c>
      <c r="I3123" s="1" t="n">
        <v>1.49</v>
      </c>
      <c r="J3123" t="n">
        <v>58106230</v>
      </c>
    </row>
    <row r="3124" ht="15.75" customHeight="1" s="201">
      <c r="A3124" s="1" t="inlineStr">
        <is>
          <t>Fast Food, Pizza Chain, 14" pizza, cheese topping, thick crust</t>
        </is>
      </c>
      <c r="C3124" s="1" t="n">
        <v>33.17</v>
      </c>
      <c r="D3124" s="1" t="n">
        <v>106</v>
      </c>
      <c r="E3124" s="1" t="n">
        <v>2.48</v>
      </c>
      <c r="F3124" s="1" t="n">
        <v>10.81</v>
      </c>
      <c r="G3124" s="1" t="n">
        <v>10.54</v>
      </c>
      <c r="H3124" s="1" t="n">
        <v>360</v>
      </c>
      <c r="I3124" s="1" t="n">
        <v>1.27</v>
      </c>
      <c r="J3124" t="n">
        <v>58106230</v>
      </c>
    </row>
    <row r="3125" ht="15.75" customHeight="1" s="201">
      <c r="A3125" s="1" t="inlineStr">
        <is>
          <t>Fast Food, Pizza Chain, 14" pizza, cheese topping, thin crust</t>
        </is>
      </c>
      <c r="C3125" s="1" t="n">
        <v>31.2</v>
      </c>
      <c r="D3125" s="1" t="n">
        <v>96</v>
      </c>
      <c r="E3125" s="1" t="n">
        <v>1.71</v>
      </c>
      <c r="F3125" s="1" t="n">
        <v>12.85</v>
      </c>
      <c r="G3125" s="1" t="n">
        <v>13.95</v>
      </c>
      <c r="H3125" s="1" t="n">
        <v>376</v>
      </c>
      <c r="I3125" s="1" t="n">
        <v>1.59</v>
      </c>
      <c r="J3125" t="n">
        <v>58106230</v>
      </c>
    </row>
    <row r="3126" ht="15.75" customHeight="1" s="201">
      <c r="A3126" s="1" t="inlineStr">
        <is>
          <t>Fast Food, Pizza Chain, 14" pizza, meat and vegetable topping, regular crust</t>
        </is>
      </c>
      <c r="C3126" s="1" t="n">
        <v>25.38</v>
      </c>
      <c r="D3126" s="1" t="n">
        <v>62</v>
      </c>
      <c r="E3126" s="1" t="n">
        <v>1.86</v>
      </c>
      <c r="F3126" s="1" t="n">
        <v>11.02</v>
      </c>
      <c r="G3126" s="1" t="n">
        <v>10.9</v>
      </c>
      <c r="H3126" s="1" t="n">
        <v>315</v>
      </c>
      <c r="I3126" s="1" t="n">
        <v>1.24</v>
      </c>
      <c r="J3126" t="n">
        <v>58106730</v>
      </c>
    </row>
    <row r="3127" ht="15.75" customHeight="1" s="201">
      <c r="A3127" s="1" t="inlineStr">
        <is>
          <t>Fast Food, Pizza Chain, 14" pizza, pepperoni topping, regular crust</t>
        </is>
      </c>
      <c r="C3127" s="1" t="n">
        <v>31.98</v>
      </c>
      <c r="D3127" s="1" t="n">
        <v>92</v>
      </c>
      <c r="E3127" s="1" t="n">
        <v>2.52</v>
      </c>
      <c r="F3127" s="1" t="n">
        <v>11.74</v>
      </c>
      <c r="G3127" s="1" t="n">
        <v>11.91</v>
      </c>
      <c r="H3127" s="1" t="n">
        <v>365</v>
      </c>
      <c r="I3127" s="1" t="n">
        <v>1.4</v>
      </c>
      <c r="J3127" t="n">
        <v>58106630</v>
      </c>
    </row>
    <row r="3128" ht="15.75" customHeight="1" s="201">
      <c r="A3128" s="1" t="inlineStr">
        <is>
          <t>Fast Food, Pizza Chain, 14" pizza, pepperoni topping, thick crust</t>
        </is>
      </c>
      <c r="C3128" s="1" t="n">
        <v>31.84</v>
      </c>
      <c r="D3128" s="1" t="n">
        <v>103</v>
      </c>
      <c r="E3128" s="1" t="n">
        <v>2.55</v>
      </c>
      <c r="F3128" s="1" t="n">
        <v>11.49</v>
      </c>
      <c r="G3128" s="1" t="n">
        <v>12.58</v>
      </c>
      <c r="H3128" s="1" t="n">
        <v>367</v>
      </c>
      <c r="I3128" s="1" t="n">
        <v>1.35</v>
      </c>
      <c r="J3128" t="n">
        <v>58106630</v>
      </c>
    </row>
    <row r="3129" ht="15.75" customHeight="1" s="201">
      <c r="A3129" s="1" t="inlineStr">
        <is>
          <t>Fast Food, Pizza Chain, 14" pizza, pepperoni topping, thin crust</t>
        </is>
      </c>
      <c r="C3129" s="1" t="n">
        <v>29</v>
      </c>
      <c r="D3129" s="1" t="n">
        <v>92</v>
      </c>
      <c r="E3129" s="1" t="n">
        <v>1.95</v>
      </c>
      <c r="F3129" s="1" t="n">
        <v>14.01</v>
      </c>
      <c r="G3129" s="1" t="n">
        <v>17.61</v>
      </c>
      <c r="H3129" s="1" t="n">
        <v>366</v>
      </c>
      <c r="I3129" s="1" t="n">
        <v>1.64</v>
      </c>
      <c r="J3129" t="n">
        <v>58106630</v>
      </c>
    </row>
    <row r="3130" ht="15.75" customHeight="1" s="201">
      <c r="A3130" s="1" t="inlineStr">
        <is>
          <t>Fast Food, Pizza Chain, 14" pizza, sausage topping, regular crust</t>
        </is>
      </c>
      <c r="C3130" s="1" t="n">
        <v>30.62</v>
      </c>
      <c r="D3130" s="1" t="n">
        <v>88</v>
      </c>
      <c r="E3130" s="1" t="n">
        <v>2.41</v>
      </c>
      <c r="F3130" s="1" t="n">
        <v>11.5</v>
      </c>
      <c r="G3130" s="1" t="n">
        <v>12.35</v>
      </c>
      <c r="H3130" s="1" t="n">
        <v>352</v>
      </c>
      <c r="I3130" s="1" t="n">
        <v>1.32</v>
      </c>
      <c r="J3130" t="n">
        <v>58106230</v>
      </c>
    </row>
    <row r="3131" ht="15.75" customHeight="1" s="201">
      <c r="A3131" s="1" t="inlineStr">
        <is>
          <t>Fast Food, Pizza Chain, 14" pizza, sausage topping, thick crust</t>
        </is>
      </c>
      <c r="C3131" s="1" t="n">
        <v>30.36</v>
      </c>
      <c r="D3131" s="1" t="n">
        <v>98</v>
      </c>
      <c r="E3131" s="1" t="n">
        <v>2.45</v>
      </c>
      <c r="F3131" s="1" t="n">
        <v>11.06</v>
      </c>
      <c r="G3131" s="1" t="n">
        <v>12.94</v>
      </c>
      <c r="H3131" s="1" t="n">
        <v>351</v>
      </c>
      <c r="I3131" s="1" t="n">
        <v>1.26</v>
      </c>
      <c r="J3131" t="n">
        <v>58106230</v>
      </c>
    </row>
    <row r="3132" ht="15.75" customHeight="1" s="201">
      <c r="A3132" s="1" t="inlineStr">
        <is>
          <t>Fast Food, Pizza Chain, 14" pizza, sausage topping, thin crust</t>
        </is>
      </c>
      <c r="C3132" s="1" t="n">
        <v>27</v>
      </c>
      <c r="D3132" s="1" t="n">
        <v>86</v>
      </c>
      <c r="E3132" s="1" t="n">
        <v>1.73</v>
      </c>
      <c r="F3132" s="1" t="n">
        <v>13.36</v>
      </c>
      <c r="G3132" s="1" t="n">
        <v>17.71</v>
      </c>
      <c r="H3132" s="1" t="n">
        <v>429</v>
      </c>
      <c r="I3132" s="1" t="n">
        <v>1.51</v>
      </c>
      <c r="J3132" t="n">
        <v>58106230</v>
      </c>
    </row>
    <row r="3133" ht="15.75" customHeight="1" s="201">
      <c r="A3133" s="1" t="inlineStr">
        <is>
          <t>Fast foods, bagel, with breakfast steak, egg, cheese, and condiments</t>
        </is>
      </c>
      <c r="C3133" s="1" t="n">
        <v>22.99</v>
      </c>
      <c r="D3133" s="1" t="n">
        <v>47</v>
      </c>
      <c r="E3133" s="1" t="n">
        <v>2.06</v>
      </c>
      <c r="F3133" s="1" t="n">
        <v>15.95</v>
      </c>
      <c r="G3133" s="1" t="n">
        <v>14.07</v>
      </c>
      <c r="H3133" s="1" t="n">
        <v>306</v>
      </c>
      <c r="I3133" s="1" t="n">
        <v>2.21</v>
      </c>
      <c r="J3133" t="n">
        <v>51121065</v>
      </c>
    </row>
    <row r="3134" ht="15.75" customHeight="1" s="201">
      <c r="A3134" s="1" t="inlineStr">
        <is>
          <t>Fast foods, bagel, with egg, sausage patty, cheese, and condiments</t>
        </is>
      </c>
      <c r="C3134" s="1" t="n">
        <v>22.64</v>
      </c>
      <c r="D3134" s="1" t="n">
        <v>53</v>
      </c>
      <c r="E3134" s="1" t="n">
        <v>1.77</v>
      </c>
      <c r="F3134" s="1" t="n">
        <v>12.98</v>
      </c>
      <c r="G3134" s="1" t="n">
        <v>16.97</v>
      </c>
      <c r="H3134" s="1" t="n">
        <v>212</v>
      </c>
      <c r="I3134" s="1" t="n">
        <v>1.05</v>
      </c>
      <c r="J3134" t="n">
        <v>51121065</v>
      </c>
    </row>
    <row r="3135" ht="15.75" customHeight="1" s="201">
      <c r="A3135" s="1" t="inlineStr">
        <is>
          <t>Fast foods, biscuit, with crispy chicken fillet</t>
        </is>
      </c>
      <c r="C3135" s="1" t="n">
        <v>30.56</v>
      </c>
      <c r="D3135" s="1" t="n">
        <v>64</v>
      </c>
      <c r="E3135" s="1" t="n">
        <v>1.76</v>
      </c>
      <c r="F3135" s="1" t="n">
        <v>11.93</v>
      </c>
      <c r="G3135" s="1" t="n">
        <v>14.93</v>
      </c>
      <c r="H3135" s="1" t="n">
        <v>35</v>
      </c>
      <c r="I3135" s="1" t="n">
        <v>0.49</v>
      </c>
      <c r="J3135" t="n">
        <v>27446320</v>
      </c>
    </row>
    <row r="3136" ht="15.75" customHeight="1" s="201">
      <c r="A3136" s="1" t="inlineStr">
        <is>
          <t>Fast foods, biscuit, with egg and bacon</t>
        </is>
      </c>
      <c r="C3136" s="1" t="n">
        <v>19.06</v>
      </c>
      <c r="D3136" s="1" t="n">
        <v>40</v>
      </c>
      <c r="E3136" s="1" t="n">
        <v>2.49</v>
      </c>
      <c r="F3136" s="1" t="n">
        <v>11.33</v>
      </c>
      <c r="G3136" s="1" t="n">
        <v>20.73</v>
      </c>
      <c r="H3136" s="1" t="n">
        <v>233</v>
      </c>
      <c r="I3136" s="1" t="n">
        <v>1.09</v>
      </c>
      <c r="J3136" t="n">
        <v>75142550</v>
      </c>
    </row>
    <row r="3137" ht="15.75" customHeight="1" s="201">
      <c r="A3137" s="1" t="inlineStr">
        <is>
          <t>Fast foods, biscuit, with egg and ham</t>
        </is>
      </c>
      <c r="C3137" s="1" t="n">
        <v>16.37</v>
      </c>
      <c r="D3137" s="1" t="n">
        <v>34</v>
      </c>
      <c r="E3137" s="1" t="n">
        <v>2.37</v>
      </c>
      <c r="F3137" s="1" t="n">
        <v>10.64</v>
      </c>
      <c r="G3137" s="1" t="n">
        <v>14.08</v>
      </c>
      <c r="H3137" s="1" t="n">
        <v>223</v>
      </c>
      <c r="I3137" s="1" t="n">
        <v>1.16</v>
      </c>
      <c r="J3137" t="n">
        <v>75142550</v>
      </c>
    </row>
    <row r="3138" ht="15.75" customHeight="1" s="201">
      <c r="A3138" s="1" t="inlineStr">
        <is>
          <t>Fast Foods, biscuit, with egg and sausage</t>
        </is>
      </c>
      <c r="C3138" s="1" t="n">
        <v>21.05</v>
      </c>
      <c r="D3138" s="1" t="n">
        <v>42</v>
      </c>
      <c r="E3138" s="1" t="n">
        <v>1.9</v>
      </c>
      <c r="F3138" s="1" t="n">
        <v>11.13</v>
      </c>
      <c r="G3138" s="1" t="n">
        <v>20.77</v>
      </c>
      <c r="H3138" s="1" t="n">
        <v>203</v>
      </c>
      <c r="I3138" s="1" t="n">
        <v>0.9</v>
      </c>
      <c r="J3138" t="n">
        <v>75142550</v>
      </c>
    </row>
    <row r="3139" ht="15.75" customHeight="1" s="201">
      <c r="A3139" s="1" t="inlineStr">
        <is>
          <t>Fast foods, biscuit, with egg, cheese, and bacon</t>
        </is>
      </c>
      <c r="C3139" s="1" t="n">
        <v>24.44</v>
      </c>
      <c r="D3139" s="1" t="n">
        <v>48</v>
      </c>
      <c r="E3139" s="1" t="n">
        <v>1.57</v>
      </c>
      <c r="F3139" s="1" t="n">
        <v>12.01</v>
      </c>
      <c r="G3139" s="1" t="n">
        <v>17.48</v>
      </c>
      <c r="H3139" s="1" t="n">
        <v>294</v>
      </c>
      <c r="I3139" s="1" t="n">
        <v>1.09</v>
      </c>
      <c r="J3139" t="n">
        <v>32202070</v>
      </c>
    </row>
    <row r="3140" ht="15.75" customHeight="1" s="201">
      <c r="A3140" s="1" t="inlineStr">
        <is>
          <t>Fast foods, biscuit, with ham</t>
        </is>
      </c>
      <c r="C3140" s="1" t="n">
        <v>38.75</v>
      </c>
      <c r="D3140" s="1" t="n">
        <v>34</v>
      </c>
      <c r="E3140" s="1" t="n">
        <v>2.41</v>
      </c>
      <c r="F3140" s="1" t="n">
        <v>11.85</v>
      </c>
      <c r="G3140" s="1" t="n">
        <v>16.3</v>
      </c>
      <c r="H3140" s="1" t="n">
        <v>118</v>
      </c>
      <c r="I3140" s="1" t="n">
        <v>1.46</v>
      </c>
      <c r="J3140" t="n">
        <v>75142550</v>
      </c>
    </row>
    <row r="3141" ht="15.75" customHeight="1" s="201">
      <c r="A3141" s="1" t="inlineStr">
        <is>
          <t>Fast foods, biscuit, with sausage</t>
        </is>
      </c>
      <c r="C3141" s="1" t="n">
        <v>29.99</v>
      </c>
      <c r="D3141" s="1" t="n">
        <v>49</v>
      </c>
      <c r="E3141" s="1" t="n">
        <v>1.86</v>
      </c>
      <c r="F3141" s="1" t="n">
        <v>9.67</v>
      </c>
      <c r="G3141" s="1" t="n">
        <v>24.42</v>
      </c>
      <c r="H3141" s="1" t="n">
        <v>13</v>
      </c>
      <c r="I3141" s="1" t="n">
        <v>0.71</v>
      </c>
      <c r="J3141" t="n">
        <v>75142550</v>
      </c>
    </row>
    <row r="3142" ht="15.75" customHeight="1" s="201">
      <c r="A3142" s="1" t="inlineStr">
        <is>
          <t>Fast foods, breadstick, soft, prepared with garlic and parmesan cheese</t>
        </is>
      </c>
      <c r="C3142" s="1" t="n">
        <v>44.48</v>
      </c>
      <c r="D3142" s="1" t="n">
        <v>147</v>
      </c>
      <c r="E3142" s="1" t="n">
        <v>4.65</v>
      </c>
      <c r="F3142" s="1" t="n">
        <v>12.2</v>
      </c>
      <c r="G3142" s="1" t="n">
        <v>12.88</v>
      </c>
      <c r="H3142" s="1" t="n">
        <v>88</v>
      </c>
      <c r="I3142" s="1" t="n">
        <v>1.02</v>
      </c>
      <c r="J3142" t="n">
        <v>51121045</v>
      </c>
    </row>
    <row r="3143" ht="15.75" customHeight="1" s="201">
      <c r="A3143" s="1" t="inlineStr">
        <is>
          <t>Fast foods, breakfast burrito, with egg, cheese, and sausage</t>
        </is>
      </c>
      <c r="C3143" s="1" t="n">
        <v>22.97</v>
      </c>
      <c r="D3143" s="1" t="n">
        <v>63</v>
      </c>
      <c r="E3143" s="1" t="n">
        <v>2.28</v>
      </c>
      <c r="F3143" s="1" t="n">
        <v>11.1</v>
      </c>
      <c r="G3143" s="1" t="n">
        <v>15.63</v>
      </c>
      <c r="H3143" s="1" t="n">
        <v>474</v>
      </c>
      <c r="I3143" s="1" t="n">
        <v>1.09</v>
      </c>
      <c r="J3143" t="n">
        <v>58100013</v>
      </c>
    </row>
    <row r="3144" ht="15.75" customHeight="1" s="201">
      <c r="A3144" s="1" t="inlineStr">
        <is>
          <t>Fast foods, burrito, with beans</t>
        </is>
      </c>
      <c r="C3144" s="1" t="n">
        <v>32.92</v>
      </c>
      <c r="D3144" s="1" t="n">
        <v>40</v>
      </c>
      <c r="E3144" s="1" t="n">
        <v>2.08</v>
      </c>
      <c r="F3144" s="1" t="n">
        <v>6.48</v>
      </c>
      <c r="G3144" s="1" t="n">
        <v>6.22</v>
      </c>
      <c r="H3144" s="1" t="n">
        <v>153</v>
      </c>
      <c r="I3144" s="1" t="n">
        <v>0.7</v>
      </c>
      <c r="J3144" t="n">
        <v>75142550</v>
      </c>
    </row>
    <row r="3145" ht="15.75" customHeight="1" s="201">
      <c r="A3145" s="1" t="inlineStr">
        <is>
          <t>Fast foods, burrito, with beans and beef</t>
        </is>
      </c>
      <c r="C3145" s="1" t="n">
        <v>19.52</v>
      </c>
      <c r="D3145" s="1" t="n">
        <v>73</v>
      </c>
      <c r="E3145" s="1" t="n">
        <v>1.91</v>
      </c>
      <c r="F3145" s="1" t="n">
        <v>11.52</v>
      </c>
      <c r="G3145" s="1" t="n">
        <v>7.47</v>
      </c>
      <c r="H3145" s="1" t="n">
        <v>79</v>
      </c>
      <c r="I3145" s="1" t="n">
        <v>1.99</v>
      </c>
      <c r="J3145" t="n">
        <v>75142550</v>
      </c>
    </row>
    <row r="3146" ht="15.75" customHeight="1" s="201">
      <c r="A3146" s="1" t="inlineStr">
        <is>
          <t>Fast foods, burrito, with beans and cheese</t>
        </is>
      </c>
      <c r="C3146" s="1" t="n">
        <v>31.23</v>
      </c>
      <c r="D3146" s="1" t="n">
        <v>104</v>
      </c>
      <c r="E3146" s="1" t="n">
        <v>2.37</v>
      </c>
      <c r="F3146" s="1" t="n">
        <v>7.35</v>
      </c>
      <c r="G3146" s="1" t="n">
        <v>6.05</v>
      </c>
      <c r="H3146" s="1" t="n">
        <v>116</v>
      </c>
      <c r="I3146" s="1" t="n">
        <v>0.86</v>
      </c>
      <c r="J3146" t="n">
        <v>51121065</v>
      </c>
    </row>
    <row r="3147" ht="15.75" customHeight="1" s="201">
      <c r="A3147" s="1" t="inlineStr">
        <is>
          <t>Fast foods, burrito, with beans, cheese, and beef</t>
        </is>
      </c>
      <c r="C3147" s="1" t="n">
        <v>23.37</v>
      </c>
      <c r="D3147" s="1" t="n">
        <v>45</v>
      </c>
      <c r="E3147" s="1" t="n">
        <v>1.82</v>
      </c>
      <c r="F3147" s="1" t="n">
        <v>7.03</v>
      </c>
      <c r="G3147" s="1" t="n">
        <v>6.8</v>
      </c>
      <c r="H3147" s="1" t="n">
        <v>277</v>
      </c>
      <c r="I3147" s="1" t="n">
        <v>0.88</v>
      </c>
      <c r="J3147" t="n">
        <v>51121065</v>
      </c>
    </row>
    <row r="3148" ht="15.75" customHeight="1" s="201">
      <c r="A3148" s="1" t="inlineStr">
        <is>
          <t>Fast foods, cheeseburger, double, regular patty and bun, with condiments</t>
        </is>
      </c>
      <c r="C3148" s="1" t="n">
        <v>17.97</v>
      </c>
      <c r="D3148" s="1" t="n">
        <v>43</v>
      </c>
      <c r="E3148" s="1" t="n">
        <v>2.35</v>
      </c>
      <c r="F3148" s="1" t="n">
        <v>16.24</v>
      </c>
      <c r="G3148" s="1" t="n">
        <v>16.18</v>
      </c>
      <c r="H3148" s="1" t="n">
        <v>220</v>
      </c>
      <c r="I3148" s="1" t="n">
        <v>2.77</v>
      </c>
      <c r="J3148" t="n">
        <v>75142550</v>
      </c>
    </row>
    <row r="3149" ht="15.75" customHeight="1" s="201">
      <c r="A3149" s="1" t="inlineStr">
        <is>
          <t>Fast foods, cheeseburger; double, large patty; with condiments</t>
        </is>
      </c>
      <c r="C3149" s="1" t="n">
        <v>14.43</v>
      </c>
      <c r="D3149" s="1" t="n">
        <v>45</v>
      </c>
      <c r="E3149" s="1" t="n">
        <v>2.18</v>
      </c>
      <c r="F3149" s="1" t="n">
        <v>16.96</v>
      </c>
      <c r="G3149" s="1" t="n">
        <v>16.22</v>
      </c>
      <c r="H3149" s="1" t="n">
        <v>200</v>
      </c>
      <c r="I3149" s="1" t="n">
        <v>3.33</v>
      </c>
      <c r="J3149" t="n">
        <v>75142550</v>
      </c>
    </row>
    <row r="3150" ht="15.75" customHeight="1" s="201">
      <c r="A3150" s="1" t="inlineStr">
        <is>
          <t>Fast Foods, cheeseburger; double, large patty; with condiments, vegetables and mayonnaise</t>
        </is>
      </c>
      <c r="C3150" s="1" t="n">
        <v>12.62</v>
      </c>
      <c r="D3150" s="1" t="n">
        <v>27</v>
      </c>
      <c r="E3150" s="1" t="n">
        <v>4.12</v>
      </c>
      <c r="F3150" s="1" t="n">
        <v>15.5</v>
      </c>
      <c r="G3150" s="1" t="n">
        <v>15.63</v>
      </c>
      <c r="H3150" s="1" t="n">
        <v>111</v>
      </c>
      <c r="I3150" s="1" t="n">
        <v>3.27</v>
      </c>
      <c r="J3150" t="n">
        <v>75142550</v>
      </c>
    </row>
    <row r="3151" ht="15.75" customHeight="1" s="201">
      <c r="A3151" s="1" t="inlineStr">
        <is>
          <t>Fast foods, cheeseburger; double, regular patty; double decker bun with condiments and special sauce</t>
        </is>
      </c>
      <c r="C3151" s="1" t="n">
        <v>21.53</v>
      </c>
      <c r="D3151" s="1" t="n">
        <v>27</v>
      </c>
      <c r="E3151" s="1" t="n">
        <v>1.4</v>
      </c>
      <c r="F3151" s="1" t="n">
        <v>11.94</v>
      </c>
      <c r="G3151" s="1" t="n">
        <v>14.1</v>
      </c>
      <c r="H3151" s="1" t="n">
        <v>174</v>
      </c>
      <c r="I3151" s="1" t="n">
        <v>2.16</v>
      </c>
      <c r="J3151" t="n">
        <v>75142550</v>
      </c>
    </row>
    <row r="3152" ht="15.75" customHeight="1" s="201">
      <c r="A3152" s="1" t="inlineStr">
        <is>
          <t>Fast foods, cheeseburger; double, regular patty; with condiments</t>
        </is>
      </c>
      <c r="C3152" s="1" t="n">
        <v>17.97</v>
      </c>
      <c r="D3152" s="1" t="n">
        <v>43</v>
      </c>
      <c r="E3152" s="1" t="n">
        <v>2.35</v>
      </c>
      <c r="F3152" s="1" t="n">
        <v>16.24</v>
      </c>
      <c r="G3152" s="1" t="n">
        <v>16.18</v>
      </c>
      <c r="H3152" s="1" t="n">
        <v>220</v>
      </c>
      <c r="I3152" s="1" t="n">
        <v>2.77</v>
      </c>
      <c r="J3152" t="n">
        <v>75142550</v>
      </c>
    </row>
    <row r="3153" ht="15.75" customHeight="1" s="201">
      <c r="A3153" s="1" t="inlineStr">
        <is>
          <t>Fast foods, cheeseburger; single, large patty; plain</t>
        </is>
      </c>
      <c r="C3153" s="1" t="n">
        <v>24.07</v>
      </c>
      <c r="D3153" s="1" t="n">
        <v>62</v>
      </c>
      <c r="E3153" s="1" t="n">
        <v>2.57</v>
      </c>
      <c r="F3153" s="1" t="n">
        <v>17.29</v>
      </c>
      <c r="G3153" s="1" t="n">
        <v>15.97</v>
      </c>
      <c r="H3153" s="1" t="n">
        <v>275</v>
      </c>
      <c r="I3153" s="1" t="n">
        <v>2.79</v>
      </c>
      <c r="J3153" t="n">
        <v>27510160</v>
      </c>
    </row>
    <row r="3154" ht="15.75" customHeight="1" s="201">
      <c r="A3154" s="1" t="inlineStr">
        <is>
          <t>Fast foods, cheeseburger; single, large patty; with condiments</t>
        </is>
      </c>
      <c r="C3154" s="1" t="n">
        <v>19.72</v>
      </c>
      <c r="D3154" s="1" t="n">
        <v>16</v>
      </c>
      <c r="E3154" s="1" t="n">
        <v>1.02</v>
      </c>
      <c r="F3154" s="1" t="n">
        <v>15.21</v>
      </c>
      <c r="G3154" s="1" t="n">
        <v>14.4</v>
      </c>
      <c r="H3154" s="1" t="n">
        <v>237</v>
      </c>
      <c r="I3154" s="1" t="n">
        <v>2.83</v>
      </c>
      <c r="J3154" t="n">
        <v>75142550</v>
      </c>
    </row>
    <row r="3155" ht="15.75" customHeight="1" s="201">
      <c r="A3155" s="1" t="inlineStr">
        <is>
          <t>Fast foods, cheeseburger; single, large patty; with condiments, vegetables and mayonnaise</t>
        </is>
      </c>
      <c r="C3155" s="1" t="n">
        <v>17.73</v>
      </c>
      <c r="D3155" s="1" t="n">
        <v>51</v>
      </c>
      <c r="E3155" s="1" t="n">
        <v>2.3</v>
      </c>
      <c r="F3155" s="1" t="n">
        <v>13.69</v>
      </c>
      <c r="G3155" s="1" t="n">
        <v>15.8</v>
      </c>
      <c r="H3155" s="1" t="n">
        <v>256</v>
      </c>
      <c r="I3155" s="1" t="n">
        <v>2.26</v>
      </c>
      <c r="J3155" t="n">
        <v>75142550</v>
      </c>
    </row>
    <row r="3156" ht="15.75" customHeight="1" s="201">
      <c r="A3156" s="1" t="inlineStr">
        <is>
          <t>Fast foods, cheeseburger; single, regular patty, with condiments</t>
        </is>
      </c>
      <c r="C3156" s="1" t="n">
        <v>25.46</v>
      </c>
      <c r="D3156" s="1" t="n">
        <v>26</v>
      </c>
      <c r="E3156" s="1" t="n">
        <v>2.25</v>
      </c>
      <c r="F3156" s="1" t="n">
        <v>13.49</v>
      </c>
      <c r="G3156" s="1" t="n">
        <v>12.9</v>
      </c>
      <c r="H3156" s="1" t="n">
        <v>261</v>
      </c>
      <c r="I3156" s="1" t="n">
        <v>2.21</v>
      </c>
      <c r="J3156" t="n">
        <v>75142550</v>
      </c>
    </row>
    <row r="3157" ht="15.75" customHeight="1" s="201">
      <c r="A3157" s="1" t="inlineStr">
        <is>
          <t>Fast foods, cheeseburger; single, regular patty, with condiments and vegetables</t>
        </is>
      </c>
      <c r="C3157" s="1" t="n">
        <v>24.97</v>
      </c>
      <c r="D3157" s="1" t="n">
        <v>42</v>
      </c>
      <c r="E3157" s="1" t="n">
        <v>2.78</v>
      </c>
      <c r="F3157" s="1" t="n">
        <v>13.06</v>
      </c>
      <c r="G3157" s="1" t="n">
        <v>11.5</v>
      </c>
      <c r="H3157" s="1" t="n">
        <v>107</v>
      </c>
      <c r="I3157" s="1" t="n">
        <v>2.18</v>
      </c>
      <c r="J3157" t="n">
        <v>75142550</v>
      </c>
    </row>
    <row r="3158" ht="15.75" customHeight="1" s="201">
      <c r="A3158" s="1" t="inlineStr">
        <is>
          <t>Fast foods, cheeseburger; single, regular patty; plain</t>
        </is>
      </c>
      <c r="C3158" s="1" t="n">
        <v>28.03</v>
      </c>
      <c r="D3158" s="1" t="n">
        <v>70</v>
      </c>
      <c r="E3158" s="1" t="n">
        <v>2.71</v>
      </c>
      <c r="F3158" s="1" t="n">
        <v>16.51</v>
      </c>
      <c r="G3158" s="1" t="n">
        <v>14.72</v>
      </c>
      <c r="H3158" s="1" t="n">
        <v>254</v>
      </c>
      <c r="I3158" s="1" t="n">
        <v>2.49</v>
      </c>
      <c r="J3158" t="n">
        <v>27510160</v>
      </c>
    </row>
    <row r="3159" ht="15.75" customHeight="1" s="201">
      <c r="A3159" s="1" t="inlineStr">
        <is>
          <t>Fast foods, chicken fillet sandwich, plain with pickles</t>
        </is>
      </c>
      <c r="C3159" s="1" t="n">
        <v>20.89</v>
      </c>
      <c r="D3159" s="1" t="n">
        <v>47</v>
      </c>
      <c r="E3159" s="1" t="n">
        <v>1.77</v>
      </c>
      <c r="F3159" s="1" t="n">
        <v>16.28</v>
      </c>
      <c r="G3159" s="1" t="n">
        <v>11.19</v>
      </c>
      <c r="H3159" s="1" t="n">
        <v>32</v>
      </c>
      <c r="I3159" s="1" t="n">
        <v>0.61</v>
      </c>
      <c r="J3159" t="n">
        <v>27446315</v>
      </c>
    </row>
    <row r="3160" ht="15.75" customHeight="1" s="201">
      <c r="A3160" s="1" t="inlineStr">
        <is>
          <t>Fast foods, chicken tenders</t>
        </is>
      </c>
      <c r="C3160" s="1" t="n">
        <v>17.25</v>
      </c>
      <c r="D3160" s="1" t="n">
        <v>19</v>
      </c>
      <c r="E3160" s="1" t="n">
        <v>0.73</v>
      </c>
      <c r="F3160" s="1" t="n">
        <v>19.22</v>
      </c>
      <c r="G3160" s="1" t="n">
        <v>13.95</v>
      </c>
      <c r="H3160" s="1" t="n">
        <v>11</v>
      </c>
      <c r="I3160" s="1" t="n">
        <v>0.71</v>
      </c>
      <c r="J3160" t="n">
        <v>24198746</v>
      </c>
    </row>
    <row r="3161" ht="15.75" customHeight="1" s="201">
      <c r="A3161" s="1" t="inlineStr">
        <is>
          <t>Fast foods, chicken, breaded and fried, boneless pieces, plain</t>
        </is>
      </c>
      <c r="C3161" s="1" t="n">
        <v>14.93</v>
      </c>
      <c r="D3161" s="1" t="n">
        <v>11</v>
      </c>
      <c r="E3161" s="1" t="n">
        <v>0.83</v>
      </c>
      <c r="F3161" s="1" t="n">
        <v>15.92</v>
      </c>
      <c r="G3161" s="1" t="n">
        <v>20.36</v>
      </c>
      <c r="H3161" s="1" t="n">
        <v>16</v>
      </c>
      <c r="I3161" s="1" t="n">
        <v>0.59</v>
      </c>
      <c r="J3161" t="n">
        <v>27446320</v>
      </c>
    </row>
    <row r="3162" ht="15.75" customHeight="1" s="201">
      <c r="A3162" s="1" t="inlineStr">
        <is>
          <t>Fast foods, coleslaw</t>
        </is>
      </c>
      <c r="C3162" s="1" t="n">
        <v>14.89</v>
      </c>
      <c r="E3162" s="1" t="n">
        <v>0.22</v>
      </c>
      <c r="F3162" s="1" t="n">
        <v>0.95</v>
      </c>
      <c r="G3162" s="1" t="n">
        <v>9.91</v>
      </c>
      <c r="H3162" s="1" t="n">
        <v>95</v>
      </c>
      <c r="I3162" s="1" t="n">
        <v>0.14</v>
      </c>
      <c r="J3162" t="n">
        <v>75141000</v>
      </c>
    </row>
    <row r="3163" ht="15.75" customHeight="1" s="201">
      <c r="A3163" s="1" t="inlineStr">
        <is>
          <t>Fast Foods, crispy chicken filet sandwich, with lettuce and mayonnaise</t>
        </is>
      </c>
      <c r="C3163" s="1" t="n">
        <v>27.4</v>
      </c>
      <c r="D3163" s="1" t="n">
        <v>29</v>
      </c>
      <c r="E3163" s="1" t="n">
        <v>1.71</v>
      </c>
      <c r="F3163" s="1" t="n">
        <v>10.94</v>
      </c>
      <c r="G3163" s="1" t="n">
        <v>13.59</v>
      </c>
      <c r="H3163" s="1" t="n">
        <v>78</v>
      </c>
      <c r="I3163" s="1" t="n">
        <v>0.62</v>
      </c>
      <c r="J3163" t="n">
        <v>27446320</v>
      </c>
    </row>
    <row r="3164" ht="15.75" customHeight="1" s="201">
      <c r="A3164" s="1" t="inlineStr">
        <is>
          <t>Fast foods, crispy chicken in tortilla, with lettuce, cheese, and ranch sauce</t>
        </is>
      </c>
      <c r="C3164" s="1" t="n">
        <v>23.22</v>
      </c>
      <c r="D3164" s="1" t="n">
        <v>36</v>
      </c>
      <c r="E3164" s="1" t="n">
        <v>1.47</v>
      </c>
      <c r="F3164" s="1" t="n">
        <v>11.48</v>
      </c>
      <c r="G3164" s="1" t="n">
        <v>15.1</v>
      </c>
      <c r="H3164" s="1" t="n">
        <v>101</v>
      </c>
      <c r="I3164" s="1" t="n">
        <v>0.72</v>
      </c>
      <c r="J3164" t="n">
        <v>27446320</v>
      </c>
    </row>
    <row r="3165" ht="15.75" customHeight="1" s="201">
      <c r="A3165" s="1" t="inlineStr">
        <is>
          <t>Fast foods, crispy chicken, bacon, and tomato club sandwich, with cheese, lettuce, and mayonnaise</t>
        </is>
      </c>
      <c r="C3165" s="1" t="n">
        <v>22.61</v>
      </c>
      <c r="D3165" s="1" t="n">
        <v>30</v>
      </c>
      <c r="E3165" s="1" t="n">
        <v>1.32</v>
      </c>
      <c r="F3165" s="1" t="n">
        <v>15.38</v>
      </c>
      <c r="G3165" s="1" t="n">
        <v>11.76</v>
      </c>
      <c r="H3165" s="1" t="n">
        <v>343</v>
      </c>
      <c r="I3165" s="1" t="n">
        <v>1.17</v>
      </c>
      <c r="J3165" t="n">
        <v>27446320</v>
      </c>
    </row>
    <row r="3166" ht="15.75" customHeight="1" s="201">
      <c r="A3166" s="1" t="inlineStr">
        <is>
          <t>Fast foods, croissant, with egg, cheese, and bacon</t>
        </is>
      </c>
      <c r="C3166" s="1" t="n">
        <v>22.5</v>
      </c>
      <c r="D3166" s="1" t="n">
        <v>51</v>
      </c>
      <c r="E3166" s="1" t="n">
        <v>1.55</v>
      </c>
      <c r="F3166" s="1" t="n">
        <v>12.92</v>
      </c>
      <c r="G3166" s="1" t="n">
        <v>16.4</v>
      </c>
      <c r="H3166" s="1" t="n">
        <v>638</v>
      </c>
      <c r="I3166" s="1" t="n">
        <v>1.31</v>
      </c>
      <c r="J3166" t="n">
        <v>58127350</v>
      </c>
    </row>
    <row r="3167" ht="15.75" customHeight="1" s="201">
      <c r="A3167" s="1" t="inlineStr">
        <is>
          <t>Fast foods, croissant, with egg, cheese, and ham</t>
        </is>
      </c>
      <c r="C3167" s="1" t="n">
        <v>18.98</v>
      </c>
      <c r="D3167" s="1" t="n">
        <v>42</v>
      </c>
      <c r="E3167" s="1" t="n">
        <v>1.4</v>
      </c>
      <c r="F3167" s="1" t="n">
        <v>12.45</v>
      </c>
      <c r="G3167" s="1" t="n">
        <v>14.95</v>
      </c>
      <c r="H3167" s="1" t="n">
        <v>529</v>
      </c>
      <c r="I3167" s="1" t="n">
        <v>1.43</v>
      </c>
      <c r="J3167" t="n">
        <v>51121065</v>
      </c>
    </row>
    <row r="3168" ht="15.75" customHeight="1" s="201">
      <c r="A3168" s="1" t="inlineStr">
        <is>
          <t>Fast foods, croissant, with egg, cheese, and sausage</t>
        </is>
      </c>
      <c r="C3168" s="1" t="n">
        <v>15.9</v>
      </c>
      <c r="D3168" s="1" t="n">
        <v>50</v>
      </c>
      <c r="E3168" s="1" t="n">
        <v>1.65</v>
      </c>
      <c r="F3168" s="1" t="n">
        <v>12.09</v>
      </c>
      <c r="G3168" s="1" t="n">
        <v>21.78</v>
      </c>
      <c r="H3168" s="1" t="n">
        <v>622</v>
      </c>
      <c r="I3168" s="1" t="n">
        <v>1.14</v>
      </c>
      <c r="J3168" t="n">
        <v>58127330</v>
      </c>
    </row>
    <row r="3169" ht="15.75" customHeight="1" s="201">
      <c r="A3169" s="1" t="inlineStr">
        <is>
          <t>Fast foods, egg, scrambled</t>
        </is>
      </c>
      <c r="C3169" s="1" t="n">
        <v>2.08</v>
      </c>
      <c r="D3169" s="1" t="n">
        <v>29</v>
      </c>
      <c r="E3169" s="1" t="n">
        <v>2.59</v>
      </c>
      <c r="F3169" s="1" t="n">
        <v>13.84</v>
      </c>
      <c r="G3169" s="1" t="n">
        <v>16.18</v>
      </c>
      <c r="H3169" s="1" t="n">
        <v>679</v>
      </c>
      <c r="I3169" s="1" t="n">
        <v>1.66</v>
      </c>
      <c r="J3169" t="n">
        <v>26319145</v>
      </c>
    </row>
    <row r="3170" ht="15.75" customHeight="1" s="201">
      <c r="A3170" s="1" t="inlineStr">
        <is>
          <t>Fast foods, english muffin, with cheese and sausage</t>
        </is>
      </c>
      <c r="C3170" s="1" t="n">
        <v>25.28</v>
      </c>
      <c r="D3170" s="1" t="n">
        <v>51</v>
      </c>
      <c r="E3170" s="1" t="n">
        <v>3.14</v>
      </c>
      <c r="F3170" s="1" t="n">
        <v>13.28</v>
      </c>
      <c r="G3170" s="1" t="n">
        <v>20.67</v>
      </c>
      <c r="H3170" s="1" t="n">
        <v>219</v>
      </c>
      <c r="I3170" s="1" t="n">
        <v>1.19</v>
      </c>
      <c r="J3170" t="n">
        <v>51121065</v>
      </c>
    </row>
    <row r="3171" ht="15.75" customHeight="1" s="201">
      <c r="A3171" s="1" t="inlineStr">
        <is>
          <t>Fast foods, english muffin, with egg, cheese, and canadian bacon</t>
        </is>
      </c>
      <c r="C3171" s="1" t="n">
        <v>21.67</v>
      </c>
      <c r="D3171" s="1" t="n">
        <v>71</v>
      </c>
      <c r="E3171" s="1" t="n">
        <v>2.3</v>
      </c>
      <c r="F3171" s="1" t="n">
        <v>13.64</v>
      </c>
      <c r="G3171" s="1" t="n">
        <v>9.66</v>
      </c>
      <c r="H3171" s="1" t="n">
        <v>347</v>
      </c>
      <c r="I3171" s="1" t="n">
        <v>1.29</v>
      </c>
      <c r="J3171" t="n">
        <v>51121065</v>
      </c>
    </row>
    <row r="3172" ht="15.75" customHeight="1" s="201">
      <c r="A3172" s="1" t="inlineStr">
        <is>
          <t>Fast foods, english muffin, with egg, cheese, and sausage</t>
        </is>
      </c>
      <c r="C3172" s="1" t="n">
        <v>17.44</v>
      </c>
      <c r="D3172" s="1" t="n">
        <v>57</v>
      </c>
      <c r="E3172" s="1" t="n">
        <v>2.63</v>
      </c>
      <c r="F3172" s="1" t="n">
        <v>13.38</v>
      </c>
      <c r="G3172" s="1" t="n">
        <v>18.1</v>
      </c>
      <c r="H3172" s="1" t="n">
        <v>270</v>
      </c>
      <c r="I3172" s="1" t="n">
        <v>1</v>
      </c>
      <c r="J3172" t="n">
        <v>51121065</v>
      </c>
    </row>
    <row r="3173" ht="15.75" customHeight="1" s="201">
      <c r="A3173" s="1" t="inlineStr">
        <is>
          <t>Fast foods, fish sandwich, with tartar sauce</t>
        </is>
      </c>
      <c r="C3173" s="1" t="n">
        <v>26.69</v>
      </c>
      <c r="D3173" s="1" t="n">
        <v>46</v>
      </c>
      <c r="E3173" s="1" t="n">
        <v>1.5</v>
      </c>
      <c r="F3173" s="1" t="n">
        <v>10.29</v>
      </c>
      <c r="G3173" s="1" t="n">
        <v>12.45</v>
      </c>
      <c r="H3173" s="1" t="n">
        <v>87</v>
      </c>
      <c r="I3173" s="1" t="n">
        <v>0.49</v>
      </c>
      <c r="J3173" t="n">
        <v>75142550</v>
      </c>
    </row>
    <row r="3174" ht="15.75" customHeight="1" s="201">
      <c r="A3174" s="1" t="inlineStr">
        <is>
          <t>Fast foods, fish sandwich, with tartar sauce and cheese</t>
        </is>
      </c>
      <c r="C3174" s="1" t="n">
        <v>26.39</v>
      </c>
      <c r="D3174" s="1" t="n">
        <v>44</v>
      </c>
      <c r="E3174" s="1" t="n">
        <v>1.56</v>
      </c>
      <c r="F3174" s="1" t="n">
        <v>11.26</v>
      </c>
      <c r="G3174" s="1" t="n">
        <v>14.64</v>
      </c>
      <c r="H3174" s="1" t="n">
        <v>101</v>
      </c>
      <c r="I3174" s="1" t="n">
        <v>0.58</v>
      </c>
      <c r="J3174" t="n">
        <v>51121065</v>
      </c>
    </row>
    <row r="3175" ht="15.75" customHeight="1" s="201">
      <c r="A3175" s="1" t="inlineStr">
        <is>
          <t>Fast foods, french toast sticks</t>
        </is>
      </c>
      <c r="C3175" s="1" t="n">
        <v>41.21</v>
      </c>
      <c r="D3175" s="1" t="n">
        <v>183</v>
      </c>
      <c r="E3175" s="1" t="n">
        <v>1.92</v>
      </c>
      <c r="F3175" s="1" t="n">
        <v>6</v>
      </c>
      <c r="G3175" s="1" t="n">
        <v>17.74</v>
      </c>
      <c r="H3175" s="1" t="n">
        <v>5</v>
      </c>
      <c r="I3175" s="1" t="n">
        <v>0.51</v>
      </c>
      <c r="J3175" t="n">
        <v>55301040</v>
      </c>
    </row>
    <row r="3176" ht="15.75" customHeight="1" s="201">
      <c r="A3176" s="1" t="inlineStr">
        <is>
          <t>Fast Foods, Fried Chicken, Breast, meat and skin and breading</t>
        </is>
      </c>
      <c r="C3176" s="1" t="n">
        <v>6.03</v>
      </c>
      <c r="D3176" s="1" t="n">
        <v>21</v>
      </c>
      <c r="E3176" s="1" t="n">
        <v>0.72</v>
      </c>
      <c r="F3176" s="1" t="n">
        <v>23.51</v>
      </c>
      <c r="G3176" s="1" t="n">
        <v>12.44</v>
      </c>
      <c r="H3176" s="1" t="n">
        <v>32</v>
      </c>
      <c r="I3176" s="1" t="n">
        <v>0.92</v>
      </c>
      <c r="J3176" t="n">
        <v>28141010</v>
      </c>
    </row>
    <row r="3177" ht="15.75" customHeight="1" s="201">
      <c r="A3177" s="1" t="inlineStr">
        <is>
          <t>Fast Foods, Fried Chicken, Breast, meat only, skin and breading removed</t>
        </is>
      </c>
      <c r="C3177" s="1" t="n">
        <v>0</v>
      </c>
      <c r="D3177" s="1" t="n">
        <v>12</v>
      </c>
      <c r="E3177" s="1" t="n">
        <v>0.54</v>
      </c>
      <c r="F3177" s="1" t="n">
        <v>27.93</v>
      </c>
      <c r="G3177" s="1" t="n">
        <v>4.54</v>
      </c>
      <c r="H3177" s="1" t="n">
        <v>14</v>
      </c>
      <c r="I3177" s="1" t="n">
        <v>0.97</v>
      </c>
      <c r="J3177" t="n">
        <v>28141010</v>
      </c>
    </row>
    <row r="3178" ht="15.75" customHeight="1" s="201">
      <c r="A3178" s="1" t="inlineStr">
        <is>
          <t>Fast Foods, Fried Chicken, Drumstick, meat and skin with breading</t>
        </is>
      </c>
      <c r="C3178" s="1" t="n">
        <v>7.59</v>
      </c>
      <c r="D3178" s="1" t="n">
        <v>21</v>
      </c>
      <c r="E3178" s="1" t="n">
        <v>0.99</v>
      </c>
      <c r="F3178" s="1" t="n">
        <v>21.13</v>
      </c>
      <c r="G3178" s="1" t="n">
        <v>16.92</v>
      </c>
      <c r="H3178" s="1" t="n">
        <v>75</v>
      </c>
      <c r="I3178" s="1" t="n">
        <v>1.83</v>
      </c>
      <c r="J3178" t="n">
        <v>27246505</v>
      </c>
    </row>
    <row r="3179" ht="15.75" customHeight="1" s="201">
      <c r="A3179" s="1" t="inlineStr">
        <is>
          <t>Fast Foods, Fried Chicken, Drumstick, meat only, skin and breading removed</t>
        </is>
      </c>
      <c r="C3179" s="1" t="n">
        <v>0</v>
      </c>
      <c r="D3179" s="1" t="n">
        <v>10</v>
      </c>
      <c r="E3179" s="1" t="n">
        <v>1.03</v>
      </c>
      <c r="F3179" s="1" t="n">
        <v>26.24</v>
      </c>
      <c r="G3179" s="1" t="n">
        <v>7.41</v>
      </c>
      <c r="H3179" s="1" t="n">
        <v>37</v>
      </c>
      <c r="I3179" s="1" t="n">
        <v>2.5</v>
      </c>
      <c r="J3179" t="n">
        <v>28141010</v>
      </c>
    </row>
    <row r="3180" ht="15.75" customHeight="1" s="201">
      <c r="A3180" s="1" t="inlineStr">
        <is>
          <t>Fast Foods, Fried Chicken, Skin and breading from all pieces</t>
        </is>
      </c>
      <c r="C3180" s="1" t="n">
        <v>19.56</v>
      </c>
      <c r="D3180" s="1" t="n">
        <v>41</v>
      </c>
      <c r="E3180" s="1" t="n">
        <v>1.12</v>
      </c>
      <c r="F3180" s="1" t="n">
        <v>14.11</v>
      </c>
      <c r="G3180" s="1" t="n">
        <v>29.22</v>
      </c>
      <c r="H3180" s="1" t="n">
        <v>71</v>
      </c>
      <c r="I3180" s="1" t="n">
        <v>0.8100000000000001</v>
      </c>
      <c r="J3180" t="n">
        <v>24147320</v>
      </c>
    </row>
    <row r="3181" ht="15.75" customHeight="1" s="201">
      <c r="A3181" s="1" t="inlineStr">
        <is>
          <t>Fast Foods, Fried Chicken, Thigh, meat and skin and breading</t>
        </is>
      </c>
      <c r="C3181" s="1" t="n">
        <v>8.68</v>
      </c>
      <c r="D3181" s="1" t="n">
        <v>25</v>
      </c>
      <c r="E3181" s="1" t="n">
        <v>1</v>
      </c>
      <c r="F3181" s="1" t="n">
        <v>19.23</v>
      </c>
      <c r="G3181" s="1" t="n">
        <v>18.07</v>
      </c>
      <c r="H3181" s="1" t="n">
        <v>54</v>
      </c>
      <c r="I3181" s="1" t="n">
        <v>1.45</v>
      </c>
      <c r="J3181" t="n">
        <v>28141010</v>
      </c>
    </row>
    <row r="3182" ht="15.75" customHeight="1" s="201">
      <c r="A3182" s="1" t="inlineStr">
        <is>
          <t>Fast Foods, Fried Chicken, Thigh, meat only, skin and breading removed</t>
        </is>
      </c>
      <c r="C3182" s="1" t="n">
        <v>0.24</v>
      </c>
      <c r="D3182" s="1" t="n">
        <v>12</v>
      </c>
      <c r="E3182" s="1" t="n">
        <v>0.91</v>
      </c>
      <c r="F3182" s="1" t="n">
        <v>23.21</v>
      </c>
      <c r="G3182" s="1" t="n">
        <v>9.41</v>
      </c>
      <c r="H3182" s="1" t="n">
        <v>40</v>
      </c>
      <c r="I3182" s="1" t="n">
        <v>1.94</v>
      </c>
      <c r="J3182" t="n">
        <v>28141010</v>
      </c>
    </row>
    <row r="3183" ht="15.75" customHeight="1" s="201">
      <c r="A3183" s="1" t="inlineStr">
        <is>
          <t>Fast Foods, Fried Chicken, Wing, meat and skin and breading</t>
        </is>
      </c>
      <c r="C3183" s="1" t="n">
        <v>11.19</v>
      </c>
      <c r="D3183" s="1" t="n">
        <v>25</v>
      </c>
      <c r="E3183" s="1" t="n">
        <v>1.04</v>
      </c>
      <c r="F3183" s="1" t="n">
        <v>21.14</v>
      </c>
      <c r="G3183" s="1" t="n">
        <v>20.09</v>
      </c>
      <c r="H3183" s="1" t="n">
        <v>53</v>
      </c>
      <c r="I3183" s="1" t="n">
        <v>1.33</v>
      </c>
      <c r="J3183" t="n">
        <v>28141010</v>
      </c>
    </row>
    <row r="3184" ht="15.75" customHeight="1" s="201">
      <c r="A3184" s="1" t="inlineStr">
        <is>
          <t>Fast Foods, Fried Chicken, Wing, meat only, skin and breading removed</t>
        </is>
      </c>
      <c r="C3184" s="1" t="n">
        <v>2.13</v>
      </c>
      <c r="D3184" s="1" t="n">
        <v>8</v>
      </c>
      <c r="E3184" s="1" t="n">
        <v>0.96</v>
      </c>
      <c r="F3184" s="1" t="n">
        <v>28.77</v>
      </c>
      <c r="G3184" s="1" t="n">
        <v>10.2</v>
      </c>
      <c r="H3184" s="1" t="n">
        <v>32</v>
      </c>
      <c r="I3184" s="1" t="n">
        <v>1.9</v>
      </c>
      <c r="J3184" t="n">
        <v>28141010</v>
      </c>
    </row>
    <row r="3185" ht="15.75" customHeight="1" s="201">
      <c r="A3185" s="1" t="inlineStr">
        <is>
          <t>Fast foods, griddle cake sandwich, egg, cheese, and bacon</t>
        </is>
      </c>
      <c r="C3185" s="1" t="n">
        <v>26.19</v>
      </c>
      <c r="D3185" s="1" t="n">
        <v>61</v>
      </c>
      <c r="E3185" s="1" t="n">
        <v>1.65</v>
      </c>
      <c r="F3185" s="1" t="n">
        <v>12.03</v>
      </c>
      <c r="G3185" s="1" t="n">
        <v>13.19</v>
      </c>
      <c r="H3185" s="1" t="n">
        <v>232</v>
      </c>
      <c r="I3185" s="1" t="n">
        <v>1.37</v>
      </c>
      <c r="J3185" t="n">
        <v>53116000</v>
      </c>
    </row>
    <row r="3186" ht="15.75" customHeight="1" s="201">
      <c r="A3186" s="1" t="inlineStr">
        <is>
          <t>Fast foods, griddle cake sandwich, egg, cheese, and sausage</t>
        </is>
      </c>
      <c r="C3186" s="1" t="n">
        <v>22.04</v>
      </c>
      <c r="D3186" s="1" t="n">
        <v>52</v>
      </c>
      <c r="E3186" s="1" t="n">
        <v>1.51</v>
      </c>
      <c r="F3186" s="1" t="n">
        <v>10.77</v>
      </c>
      <c r="G3186" s="1" t="n">
        <v>17.73</v>
      </c>
      <c r="H3186" s="1" t="n">
        <v>217</v>
      </c>
      <c r="I3186" s="1" t="n">
        <v>1.03</v>
      </c>
      <c r="J3186" t="n">
        <v>58127330</v>
      </c>
    </row>
    <row r="3187" ht="15.75" customHeight="1" s="201">
      <c r="A3187" s="1" t="inlineStr">
        <is>
          <t>Fast foods, griddle cake sandwich, sausage</t>
        </is>
      </c>
      <c r="C3187" s="1" t="n">
        <v>31.25</v>
      </c>
      <c r="D3187" s="1" t="n">
        <v>74</v>
      </c>
      <c r="E3187" s="1" t="n">
        <v>1.42</v>
      </c>
      <c r="F3187" s="1" t="n">
        <v>8.41</v>
      </c>
      <c r="G3187" s="1" t="n">
        <v>17.76</v>
      </c>
      <c r="H3187" s="1" t="n">
        <v>0</v>
      </c>
      <c r="I3187" s="1" t="n">
        <v>0.76</v>
      </c>
      <c r="J3187" t="n">
        <v>53116000</v>
      </c>
    </row>
    <row r="3188" ht="15.75" customHeight="1" s="201">
      <c r="A3188" s="1" t="inlineStr">
        <is>
          <t>Fast Foods, grilled chicken filet sandwich, with lettuce, tomato and spread</t>
        </is>
      </c>
      <c r="C3188" s="1" t="n">
        <v>16.78</v>
      </c>
      <c r="D3188" s="1" t="n">
        <v>39</v>
      </c>
      <c r="E3188" s="1" t="n">
        <v>1.58</v>
      </c>
      <c r="F3188" s="1" t="n">
        <v>17.34</v>
      </c>
      <c r="G3188" s="1" t="n">
        <v>4.57</v>
      </c>
      <c r="H3188" s="1" t="n">
        <v>158</v>
      </c>
      <c r="I3188" s="1" t="n">
        <v>0.75</v>
      </c>
      <c r="J3188" t="n">
        <v>27446315</v>
      </c>
    </row>
    <row r="3189" ht="15.75" customHeight="1" s="201">
      <c r="A3189" s="1" t="inlineStr">
        <is>
          <t>Fast foods, grilled chicken in tortilla, with lettuce, cheese, and ranch sauce</t>
        </is>
      </c>
      <c r="C3189" s="1" t="n">
        <v>18.43</v>
      </c>
      <c r="D3189" s="1" t="n">
        <v>45</v>
      </c>
      <c r="E3189" s="1" t="n">
        <v>1.45</v>
      </c>
      <c r="F3189" s="1" t="n">
        <v>13.77</v>
      </c>
      <c r="G3189" s="1" t="n">
        <v>10.31</v>
      </c>
      <c r="H3189" s="1" t="n">
        <v>130</v>
      </c>
      <c r="I3189" s="1" t="n">
        <v>0.77</v>
      </c>
      <c r="J3189" t="n">
        <v>27446315</v>
      </c>
    </row>
    <row r="3190" ht="15.75" customHeight="1" s="201">
      <c r="A3190" s="1" t="inlineStr">
        <is>
          <t>Fast foods, grilled chicken, bacon and tomato club sandwich, with cheese, lettuce, and mayonnaise</t>
        </is>
      </c>
      <c r="C3190" s="1" t="n">
        <v>19.87</v>
      </c>
      <c r="D3190" s="1" t="n">
        <v>31</v>
      </c>
      <c r="E3190" s="1" t="n">
        <v>1.37</v>
      </c>
      <c r="F3190" s="1" t="n">
        <v>17.19</v>
      </c>
      <c r="G3190" s="1" t="n">
        <v>8.050000000000001</v>
      </c>
      <c r="H3190" s="1" t="n">
        <v>359</v>
      </c>
      <c r="I3190" s="1" t="n">
        <v>1.34</v>
      </c>
      <c r="J3190" t="n">
        <v>27446315</v>
      </c>
    </row>
    <row r="3191" ht="15.75" customHeight="1" s="201">
      <c r="A3191" s="1" t="inlineStr">
        <is>
          <t>Fast foods, hamburger, large, single patty, with condiments</t>
        </is>
      </c>
      <c r="C3191" s="1" t="n">
        <v>22.14</v>
      </c>
      <c r="D3191" s="1" t="n">
        <v>22</v>
      </c>
      <c r="E3191" s="1" t="n">
        <v>1.73</v>
      </c>
      <c r="F3191" s="1" t="n">
        <v>15.68</v>
      </c>
      <c r="G3191" s="1" t="n">
        <v>11.6</v>
      </c>
      <c r="H3191" s="1" t="n">
        <v>45</v>
      </c>
      <c r="I3191" s="1" t="n">
        <v>3.04</v>
      </c>
      <c r="J3191" t="n">
        <v>75142550</v>
      </c>
    </row>
    <row r="3192" ht="15.75" customHeight="1" s="201">
      <c r="A3192" s="1" t="inlineStr">
        <is>
          <t>Fast foods, hamburger; double, large patty; with condiments, vegetables and mayonnaise</t>
        </is>
      </c>
      <c r="C3192" s="1" t="n">
        <v>13.74</v>
      </c>
      <c r="D3192" s="1" t="n">
        <v>45</v>
      </c>
      <c r="E3192" s="1" t="n">
        <v>2.8</v>
      </c>
      <c r="F3192" s="1" t="n">
        <v>13.94</v>
      </c>
      <c r="G3192" s="1" t="n">
        <v>15.66</v>
      </c>
      <c r="H3192" s="1" t="n">
        <v>111</v>
      </c>
      <c r="I3192" s="1" t="n">
        <v>3</v>
      </c>
      <c r="J3192" t="n">
        <v>75142550</v>
      </c>
    </row>
    <row r="3193" ht="15.75" customHeight="1" s="201">
      <c r="A3193" s="1" t="inlineStr">
        <is>
          <t>Fast foods, hamburger; single, large patty; with condiments, vegetables and mayonnaise</t>
        </is>
      </c>
      <c r="C3193" s="1" t="n">
        <v>17.33</v>
      </c>
      <c r="D3193" s="1" t="n">
        <v>64</v>
      </c>
      <c r="E3193" s="1" t="n">
        <v>2.99</v>
      </c>
      <c r="F3193" s="1" t="n">
        <v>11.34</v>
      </c>
      <c r="G3193" s="1" t="n">
        <v>12.37</v>
      </c>
      <c r="H3193" s="1" t="n">
        <v>186</v>
      </c>
      <c r="I3193" s="1" t="n">
        <v>2.46</v>
      </c>
      <c r="J3193" t="n">
        <v>75142550</v>
      </c>
    </row>
    <row r="3194" ht="15.75" customHeight="1" s="201">
      <c r="A3194" s="1" t="inlineStr">
        <is>
          <t>Fast foods, hamburger; single, regular patty; double decker bun with condiments and special sauce</t>
        </is>
      </c>
      <c r="C3194" s="1" t="n">
        <v>22.69</v>
      </c>
      <c r="D3194" s="1" t="n">
        <v>22</v>
      </c>
      <c r="E3194" s="1" t="n">
        <v>2.07</v>
      </c>
      <c r="F3194" s="1" t="n">
        <v>12.17</v>
      </c>
      <c r="G3194" s="1" t="n">
        <v>13.3</v>
      </c>
      <c r="I3194" s="1" t="n">
        <v>2.38</v>
      </c>
      <c r="J3194" t="n">
        <v>75142550</v>
      </c>
    </row>
    <row r="3195" ht="15.75" customHeight="1" s="201">
      <c r="A3195" s="1" t="inlineStr">
        <is>
          <t>Fast foods, hamburger; single, regular patty; plain</t>
        </is>
      </c>
      <c r="C3195" s="1" t="n">
        <v>31.5</v>
      </c>
      <c r="D3195" s="1" t="n">
        <v>80</v>
      </c>
      <c r="E3195" s="1" t="n">
        <v>3.06</v>
      </c>
      <c r="F3195" s="1" t="n">
        <v>16.52</v>
      </c>
      <c r="G3195" s="1" t="n">
        <v>12.01</v>
      </c>
      <c r="H3195" s="1" t="n">
        <v>51</v>
      </c>
      <c r="I3195" s="1" t="n">
        <v>2.52</v>
      </c>
      <c r="J3195" t="n">
        <v>27510531</v>
      </c>
    </row>
    <row r="3196" ht="15.75" customHeight="1" s="201">
      <c r="A3196" s="1" t="inlineStr">
        <is>
          <t>Fast foods, hamburger; single, regular patty; with condiments</t>
        </is>
      </c>
      <c r="C3196" s="1" t="n">
        <v>29.57</v>
      </c>
      <c r="D3196" s="1" t="n">
        <v>46</v>
      </c>
      <c r="E3196" s="1" t="n">
        <v>2.87</v>
      </c>
      <c r="F3196" s="1" t="n">
        <v>13.3</v>
      </c>
      <c r="G3196" s="1" t="n">
        <v>10.18</v>
      </c>
      <c r="H3196" s="1" t="n">
        <v>57</v>
      </c>
      <c r="I3196" s="1" t="n">
        <v>2.03</v>
      </c>
      <c r="J3196" t="n">
        <v>75142550</v>
      </c>
    </row>
    <row r="3197" ht="15.75" customHeight="1" s="201">
      <c r="A3197" s="1" t="inlineStr">
        <is>
          <t>Fast foods, hush puppies</t>
        </is>
      </c>
      <c r="C3197" s="1" t="n">
        <v>40.21</v>
      </c>
      <c r="D3197" s="1" t="n">
        <v>143</v>
      </c>
      <c r="E3197" s="1" t="n">
        <v>2.55</v>
      </c>
      <c r="F3197" s="1" t="n">
        <v>6.16</v>
      </c>
      <c r="G3197" s="1" t="n">
        <v>13.25</v>
      </c>
      <c r="H3197" s="1" t="n">
        <v>1</v>
      </c>
      <c r="I3197" s="1" t="n">
        <v>0.73</v>
      </c>
      <c r="J3197" t="n">
        <v>26319145</v>
      </c>
    </row>
    <row r="3198" ht="15.75" customHeight="1" s="201">
      <c r="A3198" s="1" t="inlineStr">
        <is>
          <t>Fast foods, miniature cinnamon rolls</t>
        </is>
      </c>
      <c r="C3198" s="1" t="n">
        <v>53.38</v>
      </c>
      <c r="E3198" s="1" t="n">
        <v>2.55</v>
      </c>
      <c r="F3198" s="1" t="n">
        <v>7.02</v>
      </c>
      <c r="G3198" s="1" t="n">
        <v>17.95</v>
      </c>
      <c r="I3198" s="1" t="n">
        <v>0.54</v>
      </c>
      <c r="J3198" t="n">
        <v>51160110</v>
      </c>
    </row>
    <row r="3199" ht="15.75" customHeight="1" s="201">
      <c r="A3199" s="1" t="inlineStr">
        <is>
          <t>Fast foods, nachos, with cheese</t>
        </is>
      </c>
      <c r="C3199" s="1" t="n">
        <v>34.91</v>
      </c>
      <c r="D3199" s="1" t="n">
        <v>10</v>
      </c>
      <c r="E3199" s="1" t="n">
        <v>0.75</v>
      </c>
      <c r="F3199" s="1" t="n">
        <v>4.32</v>
      </c>
      <c r="G3199" s="1" t="n">
        <v>21.5</v>
      </c>
      <c r="H3199" s="1" t="n">
        <v>21</v>
      </c>
      <c r="I3199" s="1" t="n">
        <v>0.86</v>
      </c>
      <c r="J3199" t="n">
        <v>51121065</v>
      </c>
    </row>
    <row r="3200" ht="15.75" customHeight="1" s="201">
      <c r="A3200" s="1" t="inlineStr">
        <is>
          <t>Fast foods, nachos, with cheese, beans, ground beef, and tomatoes</t>
        </is>
      </c>
      <c r="C3200" s="1" t="n">
        <v>21.39</v>
      </c>
      <c r="D3200" s="1" t="n">
        <v>14</v>
      </c>
      <c r="E3200" s="1" t="n">
        <v>1.01</v>
      </c>
      <c r="F3200" s="1" t="n">
        <v>6.21</v>
      </c>
      <c r="G3200" s="1" t="n">
        <v>12.48</v>
      </c>
      <c r="H3200" s="1" t="n">
        <v>242</v>
      </c>
      <c r="I3200" s="1" t="n">
        <v>1.05</v>
      </c>
      <c r="J3200" t="n">
        <v>51121065</v>
      </c>
    </row>
    <row r="3201" ht="15.75" customHeight="1" s="201">
      <c r="A3201" s="1" t="inlineStr">
        <is>
          <t>Fast foods, onion rings, breaded and fried</t>
        </is>
      </c>
      <c r="C3201" s="1" t="n">
        <v>43.58</v>
      </c>
      <c r="D3201" s="1" t="n">
        <v>42</v>
      </c>
      <c r="E3201" s="1" t="n">
        <v>0.78</v>
      </c>
      <c r="F3201" s="1" t="n">
        <v>3.86</v>
      </c>
      <c r="G3201" s="1" t="n">
        <v>25.23</v>
      </c>
      <c r="H3201" s="1" t="n">
        <v>6</v>
      </c>
      <c r="I3201" s="1" t="n">
        <v>0.51</v>
      </c>
      <c r="J3201" t="n">
        <v>26319145</v>
      </c>
    </row>
    <row r="3202" ht="15.75" customHeight="1" s="201">
      <c r="A3202" s="1" t="inlineStr">
        <is>
          <t>Fast foods, potato, french fried in vegetable oil</t>
        </is>
      </c>
      <c r="C3202" s="1" t="n">
        <v>41.44</v>
      </c>
      <c r="D3202" s="1" t="n">
        <v>30</v>
      </c>
      <c r="E3202" s="1" t="n">
        <v>0.8100000000000001</v>
      </c>
      <c r="F3202" s="1" t="n">
        <v>3.43</v>
      </c>
      <c r="G3202" s="1" t="n">
        <v>14.73</v>
      </c>
      <c r="H3202" s="1" t="n">
        <v>0</v>
      </c>
      <c r="I3202" s="1" t="n">
        <v>0.5</v>
      </c>
      <c r="J3202" t="n">
        <v>26319145</v>
      </c>
    </row>
    <row r="3203" ht="15.75" customHeight="1" s="201">
      <c r="A3203" s="1" t="inlineStr">
        <is>
          <t>Fast foods, potato, mashed</t>
        </is>
      </c>
      <c r="C3203" s="1" t="n">
        <v>14.65</v>
      </c>
      <c r="D3203" s="1" t="n">
        <v>9</v>
      </c>
      <c r="E3203" s="1" t="n">
        <v>0.31</v>
      </c>
      <c r="F3203" s="1" t="n">
        <v>1.65</v>
      </c>
      <c r="G3203" s="1" t="n">
        <v>2.82</v>
      </c>
      <c r="H3203" s="1" t="n">
        <v>185</v>
      </c>
      <c r="I3203" s="1" t="n">
        <v>0.22</v>
      </c>
      <c r="J3203" t="n">
        <v>71501005</v>
      </c>
    </row>
    <row r="3204" ht="15.75" customHeight="1" s="201">
      <c r="A3204" s="1" t="inlineStr">
        <is>
          <t>Fast foods, potatoes, hash browns, round pieces or patty</t>
        </is>
      </c>
      <c r="C3204" s="1" t="n">
        <v>28.88</v>
      </c>
      <c r="D3204" s="1" t="n">
        <v>12</v>
      </c>
      <c r="E3204" s="1" t="n">
        <v>0.6</v>
      </c>
      <c r="F3204" s="1" t="n">
        <v>2.58</v>
      </c>
      <c r="G3204" s="1" t="n">
        <v>17.04</v>
      </c>
      <c r="H3204" s="1" t="n">
        <v>2</v>
      </c>
      <c r="I3204" s="1" t="n">
        <v>0.36</v>
      </c>
    </row>
    <row r="3205" ht="15.75" customHeight="1" s="201">
      <c r="A3205" s="1" t="inlineStr">
        <is>
          <t>Fast foods, quesadilla, with chicken</t>
        </is>
      </c>
      <c r="C3205" s="1" t="n">
        <v>24.04</v>
      </c>
      <c r="D3205" s="1" t="n">
        <v>52</v>
      </c>
      <c r="E3205" s="1" t="n">
        <v>1.77</v>
      </c>
      <c r="F3205" s="1" t="n">
        <v>15.05</v>
      </c>
      <c r="G3205" s="1" t="n">
        <v>15.25</v>
      </c>
      <c r="H3205" s="1" t="n">
        <v>271</v>
      </c>
      <c r="I3205" s="1" t="n">
        <v>1.42</v>
      </c>
      <c r="J3205" t="n">
        <v>27446315</v>
      </c>
    </row>
    <row r="3206" ht="15.75" customHeight="1" s="201">
      <c r="A3206" s="1" t="inlineStr">
        <is>
          <t>Fast foods, roast beef sandwich, plain</t>
        </is>
      </c>
      <c r="C3206" s="1" t="n">
        <v>22.21</v>
      </c>
      <c r="D3206" s="1" t="n">
        <v>51</v>
      </c>
      <c r="E3206" s="1" t="n">
        <v>2.64</v>
      </c>
      <c r="F3206" s="1" t="n">
        <v>15.17</v>
      </c>
      <c r="G3206" s="1" t="n">
        <v>10.3</v>
      </c>
      <c r="H3206" s="1" t="n">
        <v>8</v>
      </c>
      <c r="I3206" s="1" t="n">
        <v>2.27</v>
      </c>
      <c r="J3206" t="n">
        <v>27513010</v>
      </c>
    </row>
    <row r="3207" ht="15.75" customHeight="1" s="201">
      <c r="A3207" s="1" t="inlineStr">
        <is>
          <t>Fast foods, shrimp, breaded and fried</t>
        </is>
      </c>
      <c r="C3207" s="1" t="n">
        <v>27.99</v>
      </c>
      <c r="D3207" s="1" t="n">
        <v>43</v>
      </c>
      <c r="E3207" s="1" t="n">
        <v>0.86</v>
      </c>
      <c r="F3207" s="1" t="n">
        <v>7.84</v>
      </c>
      <c r="G3207" s="1" t="n">
        <v>18.9</v>
      </c>
      <c r="H3207" s="1" t="n">
        <v>109</v>
      </c>
      <c r="I3207" s="1" t="n">
        <v>0.58</v>
      </c>
      <c r="J3207" t="n">
        <v>26319145</v>
      </c>
    </row>
    <row r="3208" ht="15.75" customHeight="1" s="201">
      <c r="A3208" s="1" t="inlineStr">
        <is>
          <t>Fast foods, strawberry banana smoothie made with ice and low-fat yogurt</t>
        </is>
      </c>
      <c r="C3208" s="1" t="n">
        <v>15.05</v>
      </c>
      <c r="D3208" s="1" t="n">
        <v>8</v>
      </c>
      <c r="E3208" s="1" t="n">
        <v>0.14</v>
      </c>
      <c r="F3208" s="1" t="n">
        <v>0.86</v>
      </c>
      <c r="G3208" s="1" t="n">
        <v>0.14</v>
      </c>
      <c r="H3208" s="1" t="n">
        <v>20</v>
      </c>
      <c r="I3208" s="1" t="n">
        <v>0.09</v>
      </c>
      <c r="J3208" t="n">
        <v>75142550</v>
      </c>
    </row>
    <row r="3209" ht="15.75" customHeight="1" s="201">
      <c r="A3209" s="1" t="inlineStr">
        <is>
          <t>Fast foods, submarine sandwich, bacon, lettuce, and tomato on white bread</t>
        </is>
      </c>
      <c r="C3209" s="1" t="n">
        <v>26.66</v>
      </c>
      <c r="D3209" s="1" t="n">
        <v>89</v>
      </c>
      <c r="E3209" s="1" t="n">
        <v>2.14</v>
      </c>
      <c r="F3209" s="1" t="n">
        <v>10.06</v>
      </c>
      <c r="G3209" s="1" t="n">
        <v>6.41</v>
      </c>
      <c r="H3209" s="1" t="n">
        <v>70</v>
      </c>
      <c r="I3209" s="1" t="n">
        <v>0.96</v>
      </c>
      <c r="J3209" t="n">
        <v>27540361</v>
      </c>
    </row>
    <row r="3210" ht="15.75" customHeight="1" s="201">
      <c r="A3210" s="1" t="inlineStr">
        <is>
          <t>Fast foods, submarine sandwich, cold cut on white bread with lettuce and tomato</t>
        </is>
      </c>
      <c r="C3210" s="1" t="n">
        <v>20.43</v>
      </c>
      <c r="D3210" s="1" t="n">
        <v>66</v>
      </c>
      <c r="E3210" s="1" t="n">
        <v>1.81</v>
      </c>
      <c r="F3210" s="1" t="n">
        <v>10.52</v>
      </c>
      <c r="G3210" s="1" t="n">
        <v>10.04</v>
      </c>
      <c r="H3210" s="1" t="n">
        <v>170</v>
      </c>
      <c r="I3210" s="1" t="n">
        <v>1.05</v>
      </c>
      <c r="J3210" t="n">
        <v>75142550</v>
      </c>
    </row>
    <row r="3211" ht="15.75" customHeight="1" s="201">
      <c r="A3211" s="1" t="inlineStr">
        <is>
          <t>Fast foods, submarine sandwich, ham on white bread with lettuce and tomato</t>
        </is>
      </c>
      <c r="C3211" s="1" t="n">
        <v>22.91</v>
      </c>
      <c r="D3211" s="1" t="n">
        <v>72</v>
      </c>
      <c r="E3211" s="1" t="n">
        <v>1.78</v>
      </c>
      <c r="F3211" s="1" t="n">
        <v>9.119999999999999</v>
      </c>
      <c r="G3211" s="1" t="n">
        <v>2.53</v>
      </c>
      <c r="H3211" s="1" t="n">
        <v>41</v>
      </c>
      <c r="I3211" s="1" t="n">
        <v>0.88</v>
      </c>
      <c r="J3211" t="n">
        <v>75142550</v>
      </c>
    </row>
    <row r="3212" ht="15.75" customHeight="1" s="201">
      <c r="A3212" s="1" t="inlineStr">
        <is>
          <t>Fast foods, submarine sandwich, meatball marinara on white bread</t>
        </is>
      </c>
      <c r="C3212" s="1" t="n">
        <v>26.01</v>
      </c>
      <c r="D3212" s="1" t="n">
        <v>79</v>
      </c>
      <c r="E3212" s="1" t="n">
        <v>2.32</v>
      </c>
      <c r="F3212" s="1" t="n">
        <v>9.77</v>
      </c>
      <c r="G3212" s="1" t="n">
        <v>8.449999999999999</v>
      </c>
      <c r="H3212" s="1" t="n">
        <v>292</v>
      </c>
      <c r="I3212" s="1" t="n">
        <v>1.19</v>
      </c>
      <c r="J3212" t="n">
        <v>27513010</v>
      </c>
    </row>
    <row r="3213" ht="15.75" customHeight="1" s="201">
      <c r="A3213" s="1" t="inlineStr">
        <is>
          <t>Fast foods, submarine sandwich, oven roasted chicken on white bread with lettuce and tomato</t>
        </is>
      </c>
      <c r="C3213" s="1" t="n">
        <v>21.35</v>
      </c>
      <c r="D3213" s="1" t="n">
        <v>68</v>
      </c>
      <c r="E3213" s="1" t="n">
        <v>1.72</v>
      </c>
      <c r="F3213" s="1" t="n">
        <v>10.84</v>
      </c>
      <c r="G3213" s="1" t="n">
        <v>3.15</v>
      </c>
      <c r="H3213" s="1" t="n">
        <v>64</v>
      </c>
      <c r="I3213" s="1" t="n">
        <v>0.66</v>
      </c>
      <c r="J3213" t="n">
        <v>27540291</v>
      </c>
    </row>
    <row r="3214" ht="15.75" customHeight="1" s="201">
      <c r="A3214" s="1" t="inlineStr">
        <is>
          <t>Fast foods, submarine sandwich, roast beef on white bread with lettuce and tomato</t>
        </is>
      </c>
      <c r="C3214" s="1" t="n">
        <v>20.34</v>
      </c>
      <c r="D3214" s="1" t="n">
        <v>67</v>
      </c>
      <c r="E3214" s="1" t="n">
        <v>2.09</v>
      </c>
      <c r="F3214" s="1" t="n">
        <v>12.17</v>
      </c>
      <c r="G3214" s="1" t="n">
        <v>2.73</v>
      </c>
      <c r="H3214" s="1" t="n">
        <v>77</v>
      </c>
      <c r="I3214" s="1" t="n">
        <v>1.5</v>
      </c>
      <c r="J3214" t="n">
        <v>27513010</v>
      </c>
    </row>
    <row r="3215" ht="15.75" customHeight="1" s="201">
      <c r="A3215" s="1" t="inlineStr">
        <is>
          <t>Fast foods, submarine sandwich, steak and cheese on white bread with cheese, lettuce and tomato</t>
        </is>
      </c>
      <c r="C3215" s="1" t="n">
        <v>21.49</v>
      </c>
      <c r="D3215" s="1" t="n">
        <v>63</v>
      </c>
      <c r="E3215" s="1" t="n">
        <v>2.02</v>
      </c>
      <c r="F3215" s="1" t="n">
        <v>12.29</v>
      </c>
      <c r="G3215" s="1" t="n">
        <v>5.34</v>
      </c>
      <c r="H3215" s="1" t="n">
        <v>87</v>
      </c>
      <c r="I3215" s="1" t="n">
        <v>1.98</v>
      </c>
      <c r="J3215" t="n">
        <v>51121065</v>
      </c>
    </row>
    <row r="3216" ht="15.75" customHeight="1" s="201">
      <c r="A3216" s="1" t="inlineStr">
        <is>
          <t>Fast foods, submarine sandwich, sweet onion chicken teriyaki on white bread with lettuce, tomato and sweet onion sauce</t>
        </is>
      </c>
      <c r="C3216" s="1" t="n">
        <v>22.54</v>
      </c>
      <c r="D3216" s="1" t="n">
        <v>58</v>
      </c>
      <c r="E3216" s="1" t="n">
        <v>1.52</v>
      </c>
      <c r="F3216" s="1" t="n">
        <v>10.91</v>
      </c>
      <c r="G3216" s="1" t="n">
        <v>2.37</v>
      </c>
      <c r="H3216" s="1" t="n">
        <v>56</v>
      </c>
      <c r="I3216" s="1" t="n">
        <v>0.64</v>
      </c>
      <c r="J3216" t="n">
        <v>27540291</v>
      </c>
    </row>
    <row r="3217" ht="15.75" customHeight="1" s="201">
      <c r="A3217" s="1" t="inlineStr">
        <is>
          <t>Fast foods, submarine sandwich, tuna on white bread with lettuce and tomato</t>
        </is>
      </c>
      <c r="C3217" s="1" t="n">
        <v>15.95</v>
      </c>
      <c r="D3217" s="1" t="n">
        <v>51</v>
      </c>
      <c r="E3217" s="1" t="n">
        <v>1.57</v>
      </c>
      <c r="F3217" s="1" t="n">
        <v>12.33</v>
      </c>
      <c r="G3217" s="1" t="n">
        <v>12.04</v>
      </c>
      <c r="H3217" s="1" t="n">
        <v>78</v>
      </c>
      <c r="I3217" s="1" t="n">
        <v>0.67</v>
      </c>
      <c r="J3217" t="n">
        <v>75142550</v>
      </c>
    </row>
    <row r="3218" ht="15.75" customHeight="1" s="201">
      <c r="A3218" s="1" t="inlineStr">
        <is>
          <t>Fast foods, submarine sandwich, turkey breast on white bread with lettuce and tomato</t>
        </is>
      </c>
      <c r="C3218" s="1" t="n">
        <v>22.42</v>
      </c>
      <c r="D3218" s="1" t="n">
        <v>66</v>
      </c>
      <c r="E3218" s="1" t="n">
        <v>1.84</v>
      </c>
      <c r="F3218" s="1" t="n">
        <v>9.119999999999999</v>
      </c>
      <c r="G3218" s="1" t="n">
        <v>2.31</v>
      </c>
      <c r="H3218" s="1" t="n">
        <v>47</v>
      </c>
      <c r="I3218" s="1" t="n">
        <v>0.66</v>
      </c>
      <c r="J3218" t="n">
        <v>27540350</v>
      </c>
    </row>
    <row r="3219" ht="15.75" customHeight="1" s="201">
      <c r="A3219" s="1" t="inlineStr">
        <is>
          <t>Fast foods, submarine sandwich, turkey, roast beef and ham on white bread with lettuce and tomato</t>
        </is>
      </c>
      <c r="C3219" s="1" t="n">
        <v>20.36</v>
      </c>
      <c r="D3219" s="1" t="n">
        <v>65</v>
      </c>
      <c r="E3219" s="1" t="n">
        <v>1.93</v>
      </c>
      <c r="F3219" s="1" t="n">
        <v>10.66</v>
      </c>
      <c r="G3219" s="1" t="n">
        <v>2.42</v>
      </c>
      <c r="H3219" s="1" t="n">
        <v>49</v>
      </c>
      <c r="I3219" s="1" t="n">
        <v>1.18</v>
      </c>
      <c r="J3219" t="n">
        <v>27513010</v>
      </c>
    </row>
    <row r="3220" ht="15.75" customHeight="1" s="201">
      <c r="A3220" s="1" t="inlineStr">
        <is>
          <t>Fast foods, sundae, caramel</t>
        </is>
      </c>
      <c r="C3220" s="1" t="n">
        <v>31.81</v>
      </c>
      <c r="D3220" s="1" t="n">
        <v>8</v>
      </c>
      <c r="E3220" s="1" t="n">
        <v>0.14</v>
      </c>
      <c r="F3220" s="1" t="n">
        <v>4.71</v>
      </c>
      <c r="G3220" s="1" t="n">
        <v>5.98</v>
      </c>
      <c r="H3220" s="1" t="n">
        <v>170</v>
      </c>
      <c r="I3220" s="1" t="n">
        <v>0.53</v>
      </c>
      <c r="J3220" t="n">
        <v>91703020</v>
      </c>
    </row>
    <row r="3221" ht="15.75" customHeight="1" s="201">
      <c r="A3221" s="1" t="inlineStr">
        <is>
          <t>Fast foods, sundae, hot fudge</t>
        </is>
      </c>
      <c r="C3221" s="1" t="n">
        <v>30.17</v>
      </c>
      <c r="D3221" s="1" t="n">
        <v>6</v>
      </c>
      <c r="E3221" s="1" t="n">
        <v>0.37</v>
      </c>
      <c r="F3221" s="1" t="n">
        <v>3.57</v>
      </c>
      <c r="G3221" s="1" t="n">
        <v>5.46</v>
      </c>
      <c r="H3221" s="1" t="n">
        <v>140</v>
      </c>
      <c r="I3221" s="1" t="n">
        <v>0.6</v>
      </c>
      <c r="J3221" t="n">
        <v>91713030</v>
      </c>
    </row>
    <row r="3222" ht="15.75" customHeight="1" s="201">
      <c r="A3222" s="1" t="inlineStr">
        <is>
          <t>Fast foods, sundae, strawberry</t>
        </is>
      </c>
      <c r="C3222" s="1" t="n">
        <v>29.18</v>
      </c>
      <c r="D3222" s="1" t="n">
        <v>12</v>
      </c>
      <c r="E3222" s="1" t="n">
        <v>0.21</v>
      </c>
      <c r="F3222" s="1" t="n">
        <v>4.09</v>
      </c>
      <c r="G3222" s="1" t="n">
        <v>5.13</v>
      </c>
      <c r="H3222" s="1" t="n">
        <v>145</v>
      </c>
      <c r="I3222" s="1" t="n">
        <v>0.43</v>
      </c>
      <c r="J3222" t="n">
        <v>26319145</v>
      </c>
    </row>
    <row r="3223" ht="15.75" customHeight="1" s="201">
      <c r="A3223" s="1" t="inlineStr">
        <is>
          <t>Fast foods, taco with beef, cheese and lettuce, hard shell</t>
        </is>
      </c>
      <c r="C3223" s="1" t="n">
        <v>19.85</v>
      </c>
      <c r="D3223" s="1" t="n">
        <v>19</v>
      </c>
      <c r="E3223" s="1" t="n">
        <v>1.19</v>
      </c>
      <c r="F3223" s="1" t="n">
        <v>8.859999999999999</v>
      </c>
      <c r="G3223" s="1" t="n">
        <v>12.7</v>
      </c>
      <c r="H3223" s="1" t="n">
        <v>131</v>
      </c>
      <c r="I3223" s="1" t="n">
        <v>1.75</v>
      </c>
      <c r="J3223" t="n">
        <v>51121065</v>
      </c>
    </row>
    <row r="3224" ht="15.75" customHeight="1" s="201">
      <c r="A3224" s="1" t="inlineStr">
        <is>
          <t>Fast foods, taco with beef, cheese and lettuce, soft</t>
        </is>
      </c>
      <c r="C3224" s="1" t="n">
        <v>20.23</v>
      </c>
      <c r="D3224" s="1" t="n">
        <v>63</v>
      </c>
      <c r="E3224" s="1" t="n">
        <v>1.67</v>
      </c>
      <c r="F3224" s="1" t="n">
        <v>9.25</v>
      </c>
      <c r="G3224" s="1" t="n">
        <v>9.75</v>
      </c>
      <c r="H3224" s="1" t="n">
        <v>159</v>
      </c>
      <c r="I3224" s="1" t="n">
        <v>1.37</v>
      </c>
      <c r="J3224" t="n">
        <v>51121065</v>
      </c>
    </row>
    <row r="3225" ht="15.75" customHeight="1" s="201">
      <c r="A3225" s="1" t="inlineStr">
        <is>
          <t>Fast foods, taco with chicken, lettuce and cheese, soft</t>
        </is>
      </c>
      <c r="C3225" s="1" t="n">
        <v>19.69</v>
      </c>
      <c r="D3225" s="1" t="n">
        <v>53</v>
      </c>
      <c r="E3225" s="1" t="n">
        <v>1.59</v>
      </c>
      <c r="F3225" s="1" t="n">
        <v>13.3</v>
      </c>
      <c r="G3225" s="1" t="n">
        <v>6.35</v>
      </c>
      <c r="H3225" s="1" t="n">
        <v>201</v>
      </c>
      <c r="I3225" s="1" t="n">
        <v>0.76</v>
      </c>
      <c r="J3225" t="n">
        <v>27540291</v>
      </c>
    </row>
    <row r="3226" ht="15.75" customHeight="1" s="201">
      <c r="A3226" s="1" t="inlineStr">
        <is>
          <t>Fast foods, vanilla, light, soft-serve ice cream, with cone</t>
        </is>
      </c>
      <c r="C3226" s="1" t="n">
        <v>26.36</v>
      </c>
      <c r="D3226" s="1" t="n">
        <v>13</v>
      </c>
      <c r="E3226" s="1" t="n">
        <v>0.35</v>
      </c>
      <c r="F3226" s="1" t="n">
        <v>4.24</v>
      </c>
      <c r="G3226" s="1" t="n">
        <v>4.86</v>
      </c>
      <c r="H3226" s="1" t="n">
        <v>97</v>
      </c>
      <c r="I3226" s="1" t="n">
        <v>0.5</v>
      </c>
      <c r="J3226" t="n">
        <v>58148117</v>
      </c>
    </row>
    <row r="3227" ht="15.75" customHeight="1" s="201">
      <c r="A3227" s="1" t="inlineStr">
        <is>
          <t>Fat free ice cream, no sugar added, flavors other than chocolate</t>
        </is>
      </c>
      <c r="C3227" s="1" t="n">
        <v>28.86</v>
      </c>
      <c r="D3227" s="1" t="n">
        <v>4</v>
      </c>
      <c r="E3227" s="1" t="n">
        <v>0</v>
      </c>
      <c r="F3227" s="1" t="n">
        <v>4.41</v>
      </c>
      <c r="G3227" s="1" t="n">
        <v>0</v>
      </c>
      <c r="H3227" s="1" t="n">
        <v>461</v>
      </c>
      <c r="I3227" s="1" t="n">
        <v>0.31</v>
      </c>
      <c r="J3227" t="n">
        <v>53108200</v>
      </c>
    </row>
    <row r="3228" ht="15.75" customHeight="1" s="201">
      <c r="A3228" s="1" t="inlineStr">
        <is>
          <t>Fat, beef tallow</t>
        </is>
      </c>
      <c r="C3228" s="1" t="n">
        <v>0</v>
      </c>
      <c r="D3228" s="1" t="n">
        <v>0</v>
      </c>
      <c r="E3228" s="1" t="n">
        <v>0</v>
      </c>
      <c r="F3228" s="1" t="n">
        <v>0</v>
      </c>
      <c r="G3228" s="1" t="n">
        <v>100</v>
      </c>
      <c r="H3228" s="1" t="n">
        <v>0</v>
      </c>
      <c r="I3228" s="1" t="n">
        <v>0</v>
      </c>
      <c r="J3228" t="n">
        <v>28110510</v>
      </c>
    </row>
    <row r="3229" ht="15.75" customHeight="1" s="201">
      <c r="A3229" s="1" t="inlineStr">
        <is>
          <t>Fat, chicken</t>
        </is>
      </c>
      <c r="C3229" s="1" t="n">
        <v>0</v>
      </c>
      <c r="D3229" s="1" t="n">
        <v>0</v>
      </c>
      <c r="E3229" s="1" t="n">
        <v>0</v>
      </c>
      <c r="F3229" s="1" t="n">
        <v>0</v>
      </c>
      <c r="G3229" s="1" t="n">
        <v>99.8</v>
      </c>
      <c r="H3229" s="1" t="n">
        <v>0</v>
      </c>
      <c r="I3229" s="1" t="n">
        <v>0</v>
      </c>
      <c r="J3229" t="n">
        <v>27446315</v>
      </c>
    </row>
    <row r="3230" ht="15.75" customHeight="1" s="201">
      <c r="A3230" s="1" t="inlineStr">
        <is>
          <t>Fat, goose</t>
        </is>
      </c>
      <c r="C3230" s="1" t="n">
        <v>0</v>
      </c>
      <c r="D3230" s="1" t="n">
        <v>0</v>
      </c>
      <c r="E3230" s="1" t="n">
        <v>0</v>
      </c>
      <c r="F3230" s="1" t="n">
        <v>0</v>
      </c>
      <c r="G3230" s="1" t="n">
        <v>99.8</v>
      </c>
      <c r="H3230" s="1" t="n">
        <v>0</v>
      </c>
      <c r="I3230" s="1" t="n">
        <v>0</v>
      </c>
      <c r="J3230" t="n">
        <v>25230560</v>
      </c>
    </row>
    <row r="3231" ht="15.75" customHeight="1" s="201">
      <c r="A3231" s="1" t="inlineStr">
        <is>
          <t>Fat, turkey</t>
        </is>
      </c>
      <c r="C3231" s="1" t="n">
        <v>0</v>
      </c>
      <c r="D3231" s="1" t="n">
        <v>0</v>
      </c>
      <c r="E3231" s="1" t="n">
        <v>0</v>
      </c>
      <c r="F3231" s="1" t="n">
        <v>0</v>
      </c>
      <c r="G3231" s="1" t="n">
        <v>99.8</v>
      </c>
      <c r="H3231" s="1" t="n">
        <v>0</v>
      </c>
      <c r="I3231" s="1" t="n">
        <v>0</v>
      </c>
      <c r="J3231" t="n">
        <v>27540350</v>
      </c>
    </row>
    <row r="3232" ht="15.75" customHeight="1" s="201">
      <c r="A3232" s="1" t="inlineStr">
        <is>
          <t>Feijoa, raw</t>
        </is>
      </c>
      <c r="C3232" s="1" t="n">
        <v>15.21</v>
      </c>
      <c r="D3232" s="1" t="n">
        <v>23</v>
      </c>
      <c r="E3232" s="1" t="n">
        <v>0.14</v>
      </c>
      <c r="F3232" s="1" t="n">
        <v>0.71</v>
      </c>
      <c r="G3232" s="1" t="n">
        <v>0.42</v>
      </c>
      <c r="H3232" s="1" t="n">
        <v>6</v>
      </c>
      <c r="I3232" s="1" t="n">
        <v>0.06</v>
      </c>
    </row>
    <row r="3233" ht="15.75" customHeight="1" s="201">
      <c r="A3233" s="1" t="inlineStr">
        <is>
          <t>Fennel, bulb, raw</t>
        </is>
      </c>
      <c r="C3233" s="1" t="n">
        <v>7.3</v>
      </c>
      <c r="D3233" s="1" t="n">
        <v>27</v>
      </c>
      <c r="E3233" s="1" t="n">
        <v>0.73</v>
      </c>
      <c r="F3233" s="1" t="n">
        <v>1.24</v>
      </c>
      <c r="G3233" s="1" t="n">
        <v>0.2</v>
      </c>
      <c r="H3233" s="1" t="n">
        <v>963</v>
      </c>
      <c r="I3233" s="1" t="n">
        <v>0.2</v>
      </c>
      <c r="J3233" t="n">
        <v>75109010</v>
      </c>
    </row>
    <row r="3234" ht="15.75" customHeight="1" s="201">
      <c r="A3234" s="1" t="inlineStr">
        <is>
          <t>Fennel seeds</t>
        </is>
      </c>
      <c r="J3234" t="n">
        <v>43101100</v>
      </c>
    </row>
    <row r="3235" ht="15.75" customHeight="1" s="201">
      <c r="A3235" s="1" t="inlineStr">
        <is>
          <t>Fiddlehead ferns, frozen, unprepared</t>
        </is>
      </c>
      <c r="C3235" s="1" t="n">
        <v>5.74</v>
      </c>
      <c r="E3235" s="1" t="n">
        <v>0.73</v>
      </c>
      <c r="F3235" s="1" t="n">
        <v>4.31</v>
      </c>
      <c r="G3235" s="1" t="n">
        <v>0.35</v>
      </c>
      <c r="H3235" s="1" t="n">
        <v>3350</v>
      </c>
      <c r="I3235" s="1" t="n">
        <v>0.71</v>
      </c>
      <c r="J3235" t="n">
        <v>11461200</v>
      </c>
    </row>
    <row r="3236" ht="15.75" customHeight="1" s="201">
      <c r="A3236" s="1" t="inlineStr">
        <is>
          <t>Fiddlehead ferns, raw</t>
        </is>
      </c>
      <c r="C3236" s="1" t="n">
        <v>5.54</v>
      </c>
      <c r="E3236" s="1" t="n">
        <v>1.31</v>
      </c>
      <c r="F3236" s="1" t="n">
        <v>4.55</v>
      </c>
      <c r="G3236" s="1" t="n">
        <v>0.4</v>
      </c>
      <c r="H3236" s="1" t="n">
        <v>3617</v>
      </c>
      <c r="I3236" s="1" t="n">
        <v>0.83</v>
      </c>
    </row>
    <row r="3237" ht="15.75" customHeight="1" s="201">
      <c r="A3237" s="1" t="inlineStr">
        <is>
          <t>Figs, canned, extra heavy syrup pack, solids and liquids</t>
        </is>
      </c>
      <c r="C3237" s="1" t="n">
        <v>27.86</v>
      </c>
      <c r="E3237" s="1" t="n">
        <v>0.28</v>
      </c>
      <c r="F3237" s="1" t="n">
        <v>0.38</v>
      </c>
      <c r="G3237" s="1" t="n">
        <v>0.1</v>
      </c>
      <c r="H3237" s="1" t="n">
        <v>36</v>
      </c>
      <c r="I3237" s="1" t="n">
        <v>0.11</v>
      </c>
      <c r="J3237" t="n">
        <v>53109200</v>
      </c>
    </row>
    <row r="3238" ht="15.75" customHeight="1" s="201">
      <c r="A3238" s="1" t="inlineStr">
        <is>
          <t>Figs, canned, heavy syrup pack, solids and liquids</t>
        </is>
      </c>
      <c r="C3238" s="1" t="n">
        <v>22.9</v>
      </c>
      <c r="D3238" s="1" t="n">
        <v>2</v>
      </c>
      <c r="E3238" s="1" t="n">
        <v>0.28</v>
      </c>
      <c r="F3238" s="1" t="n">
        <v>0.38</v>
      </c>
      <c r="G3238" s="1" t="n">
        <v>0.1</v>
      </c>
      <c r="H3238" s="1" t="n">
        <v>37</v>
      </c>
      <c r="I3238" s="1" t="n">
        <v>0.11</v>
      </c>
      <c r="J3238" t="n">
        <v>53109200</v>
      </c>
    </row>
    <row r="3239" ht="15.75" customHeight="1" s="201">
      <c r="A3239" s="1" t="inlineStr">
        <is>
          <t>Figs, canned, light syrup pack, solids and liquids</t>
        </is>
      </c>
      <c r="C3239" s="1" t="n">
        <v>17.95</v>
      </c>
      <c r="D3239" s="1" t="n">
        <v>2</v>
      </c>
      <c r="E3239" s="1" t="n">
        <v>0.29</v>
      </c>
      <c r="F3239" s="1" t="n">
        <v>0.39</v>
      </c>
      <c r="G3239" s="1" t="n">
        <v>0.1</v>
      </c>
      <c r="H3239" s="1" t="n">
        <v>37</v>
      </c>
      <c r="I3239" s="1" t="n">
        <v>0.11</v>
      </c>
      <c r="J3239" t="n">
        <v>27446245</v>
      </c>
    </row>
    <row r="3240" ht="15.75" customHeight="1" s="201">
      <c r="A3240" s="1" t="inlineStr">
        <is>
          <t>Figs, canned, water pack, solids and liquids</t>
        </is>
      </c>
      <c r="C3240" s="1" t="n">
        <v>13.99</v>
      </c>
      <c r="D3240" s="1" t="n">
        <v>2</v>
      </c>
      <c r="E3240" s="1" t="n">
        <v>0.29</v>
      </c>
      <c r="F3240" s="1" t="n">
        <v>0.4</v>
      </c>
      <c r="G3240" s="1" t="n">
        <v>0.1</v>
      </c>
      <c r="H3240" s="1" t="n">
        <v>38</v>
      </c>
      <c r="I3240" s="1" t="n">
        <v>0.12</v>
      </c>
      <c r="J3240" t="n">
        <v>11740312</v>
      </c>
    </row>
    <row r="3241" ht="15.75" customHeight="1" s="201">
      <c r="A3241" s="1" t="inlineStr">
        <is>
          <t>Figs, dried, stewed</t>
        </is>
      </c>
      <c r="C3241" s="1" t="n">
        <v>27.57</v>
      </c>
      <c r="D3241" s="1" t="n">
        <v>1</v>
      </c>
      <c r="E3241" s="1" t="n">
        <v>0.88</v>
      </c>
      <c r="F3241" s="1" t="n">
        <v>1.42</v>
      </c>
      <c r="G3241" s="1" t="n">
        <v>0.4</v>
      </c>
      <c r="H3241" s="1" t="n">
        <v>4</v>
      </c>
      <c r="I3241" s="1" t="n">
        <v>0.24</v>
      </c>
      <c r="J3241" t="n">
        <v>24163110</v>
      </c>
    </row>
    <row r="3242" ht="15.75" customHeight="1" s="201">
      <c r="A3242" s="1" t="inlineStr">
        <is>
          <t>Figs, dried, uncooked</t>
        </is>
      </c>
      <c r="C3242" s="1" t="n">
        <v>63.87</v>
      </c>
      <c r="D3242" s="1" t="n">
        <v>9</v>
      </c>
      <c r="E3242" s="1" t="n">
        <v>2.03</v>
      </c>
      <c r="F3242" s="1" t="n">
        <v>3.3</v>
      </c>
      <c r="G3242" s="1" t="n">
        <v>0.93</v>
      </c>
      <c r="H3242" s="1" t="n">
        <v>10</v>
      </c>
      <c r="I3242" s="1" t="n">
        <v>0.55</v>
      </c>
      <c r="J3242" t="n">
        <v>41301010</v>
      </c>
    </row>
    <row r="3243" ht="15.75" customHeight="1" s="201">
      <c r="A3243" s="1" t="inlineStr">
        <is>
          <t>Figs, raw</t>
        </is>
      </c>
      <c r="C3243" s="1" t="n">
        <v>19.18</v>
      </c>
      <c r="D3243" s="1" t="n">
        <v>6</v>
      </c>
      <c r="E3243" s="1" t="n">
        <v>0.37</v>
      </c>
      <c r="F3243" s="1" t="n">
        <v>0.75</v>
      </c>
      <c r="G3243" s="1" t="n">
        <v>0.3</v>
      </c>
      <c r="H3243" s="1" t="n">
        <v>142</v>
      </c>
      <c r="I3243" s="1" t="n">
        <v>0.15</v>
      </c>
    </row>
    <row r="3244" ht="15.75" customHeight="1" s="201">
      <c r="A3244" s="1" t="inlineStr">
        <is>
          <t>Fireweed, leaves, raw</t>
        </is>
      </c>
      <c r="C3244" s="1" t="n">
        <v>19.22</v>
      </c>
      <c r="D3244" s="1" t="n">
        <v>112</v>
      </c>
      <c r="E3244" s="1" t="n">
        <v>2.4</v>
      </c>
      <c r="F3244" s="1" t="n">
        <v>4.71</v>
      </c>
      <c r="G3244" s="1" t="n">
        <v>2.75</v>
      </c>
      <c r="H3244" s="1" t="n">
        <v>3598</v>
      </c>
      <c r="I3244" s="1" t="n">
        <v>2.66</v>
      </c>
      <c r="J3244" t="n">
        <v>27330170</v>
      </c>
    </row>
    <row r="3245" ht="15.75" customHeight="1" s="201">
      <c r="A3245" s="1" t="inlineStr">
        <is>
          <t>Fireweed, young leaves, raw (Alaska Native)</t>
        </is>
      </c>
      <c r="C3245" s="1" t="n">
        <v>6.3</v>
      </c>
      <c r="E3245" s="1" t="n">
        <v>2.1</v>
      </c>
      <c r="F3245" s="1" t="n">
        <v>3</v>
      </c>
      <c r="G3245" s="1" t="n">
        <v>0.8</v>
      </c>
      <c r="H3245" s="1" t="n">
        <v>5720</v>
      </c>
    </row>
    <row r="3246" ht="15.75" customHeight="1" s="201">
      <c r="A3246" s="1" t="inlineStr">
        <is>
          <t>Fish broth</t>
        </is>
      </c>
      <c r="C3246" s="1" t="n">
        <v>0.4</v>
      </c>
      <c r="D3246" s="1" t="n">
        <v>4</v>
      </c>
      <c r="E3246" s="1" t="n">
        <v>0.21</v>
      </c>
      <c r="F3246" s="1" t="n">
        <v>2</v>
      </c>
      <c r="G3246" s="1" t="n">
        <v>0.6</v>
      </c>
      <c r="H3246" s="1" t="n">
        <v>4</v>
      </c>
      <c r="I3246" s="1" t="n">
        <v>0.1</v>
      </c>
      <c r="J3246" t="n">
        <v>27150310</v>
      </c>
    </row>
    <row r="3247" ht="15.75" customHeight="1" s="201">
      <c r="A3247" s="1" t="inlineStr">
        <is>
          <t>Fish oil, cod liver</t>
        </is>
      </c>
      <c r="C3247" s="1" t="n">
        <v>0</v>
      </c>
      <c r="D3247" s="1" t="n">
        <v>0</v>
      </c>
      <c r="E3247" s="1" t="n">
        <v>0</v>
      </c>
      <c r="F3247" s="1" t="n">
        <v>0</v>
      </c>
      <c r="G3247" s="1" t="n">
        <v>100</v>
      </c>
      <c r="H3247" s="1" t="n">
        <v>100000</v>
      </c>
      <c r="I3247" s="1" t="n">
        <v>0</v>
      </c>
      <c r="J3247" t="n">
        <v>25230560</v>
      </c>
    </row>
    <row r="3248" ht="15.75" customHeight="1" s="201">
      <c r="A3248" s="1" t="inlineStr">
        <is>
          <t>Fish oil, herring</t>
        </is>
      </c>
      <c r="C3248" s="1" t="n">
        <v>0</v>
      </c>
      <c r="D3248" s="1" t="n">
        <v>0</v>
      </c>
      <c r="E3248" s="1" t="n">
        <v>0</v>
      </c>
      <c r="F3248" s="1" t="n">
        <v>0</v>
      </c>
      <c r="G3248" s="1" t="n">
        <v>100</v>
      </c>
      <c r="H3248" s="1" t="n">
        <v>0</v>
      </c>
      <c r="I3248" s="1" t="n">
        <v>0</v>
      </c>
      <c r="J3248" t="n">
        <v>27150310</v>
      </c>
    </row>
    <row r="3249" ht="15.75" customHeight="1" s="201">
      <c r="A3249" s="1" t="inlineStr">
        <is>
          <t>Fish oil, menhaden</t>
        </is>
      </c>
      <c r="C3249" s="1" t="n">
        <v>0</v>
      </c>
      <c r="D3249" s="1" t="n">
        <v>0</v>
      </c>
      <c r="E3249" s="1" t="n">
        <v>0</v>
      </c>
      <c r="F3249" s="1" t="n">
        <v>0</v>
      </c>
      <c r="G3249" s="1" t="n">
        <v>100</v>
      </c>
      <c r="H3249" s="1" t="n">
        <v>0</v>
      </c>
      <c r="I3249" s="1" t="n">
        <v>0</v>
      </c>
      <c r="J3249" t="n">
        <v>27150310</v>
      </c>
    </row>
    <row r="3250" ht="15.75" customHeight="1" s="201">
      <c r="A3250" s="1" t="inlineStr">
        <is>
          <t>Fish oil, menhaden, fully hydrogenated</t>
        </is>
      </c>
      <c r="C3250" s="1" t="n">
        <v>0</v>
      </c>
      <c r="D3250" s="1" t="n">
        <v>0</v>
      </c>
      <c r="E3250" s="1" t="n">
        <v>0</v>
      </c>
      <c r="F3250" s="1" t="n">
        <v>0</v>
      </c>
      <c r="G3250" s="1" t="n">
        <v>100</v>
      </c>
      <c r="H3250" s="1" t="n">
        <v>0</v>
      </c>
      <c r="I3250" s="1" t="n">
        <v>0</v>
      </c>
      <c r="J3250" t="n">
        <v>27150310</v>
      </c>
    </row>
    <row r="3251" ht="15.75" customHeight="1" s="201">
      <c r="A3251" s="1" t="inlineStr">
        <is>
          <t>Fish oil, salmon</t>
        </is>
      </c>
      <c r="C3251" s="1" t="n">
        <v>0</v>
      </c>
      <c r="D3251" s="1" t="n">
        <v>0</v>
      </c>
      <c r="E3251" s="1" t="n">
        <v>0</v>
      </c>
      <c r="F3251" s="1" t="n">
        <v>0</v>
      </c>
      <c r="G3251" s="1" t="n">
        <v>100</v>
      </c>
      <c r="H3251" s="1" t="n">
        <v>0</v>
      </c>
      <c r="I3251" s="1" t="n">
        <v>0</v>
      </c>
      <c r="J3251" t="n">
        <v>27150310</v>
      </c>
    </row>
    <row r="3252" ht="15.75" customHeight="1" s="201">
      <c r="A3252" s="1" t="inlineStr">
        <is>
          <t>Fish oil, sardine</t>
        </is>
      </c>
      <c r="C3252" s="1" t="n">
        <v>0</v>
      </c>
      <c r="D3252" s="1" t="n">
        <v>0</v>
      </c>
      <c r="E3252" s="1" t="n">
        <v>0</v>
      </c>
      <c r="F3252" s="1" t="n">
        <v>0</v>
      </c>
      <c r="G3252" s="1" t="n">
        <v>100</v>
      </c>
      <c r="H3252" s="1" t="n">
        <v>0</v>
      </c>
      <c r="I3252" s="1" t="n">
        <v>0</v>
      </c>
      <c r="J3252" t="n">
        <v>27150310</v>
      </c>
    </row>
    <row r="3253" ht="15.75" customHeight="1" s="201">
      <c r="A3253" s="1" t="inlineStr">
        <is>
          <t>Fish, anchovy, european, canned in oil, drained solids</t>
        </is>
      </c>
      <c r="C3253" s="1" t="n">
        <v>0</v>
      </c>
      <c r="D3253" s="1" t="n">
        <v>13</v>
      </c>
      <c r="E3253" s="1" t="n">
        <v>4.63</v>
      </c>
      <c r="F3253" s="1" t="n">
        <v>28.89</v>
      </c>
      <c r="G3253" s="1" t="n">
        <v>9.710000000000001</v>
      </c>
      <c r="H3253" s="1" t="n">
        <v>40</v>
      </c>
      <c r="I3253" s="1" t="n">
        <v>2.44</v>
      </c>
      <c r="J3253" t="n">
        <v>63311110</v>
      </c>
    </row>
    <row r="3254" ht="15.75" customHeight="1" s="201">
      <c r="A3254" s="1" t="inlineStr">
        <is>
          <t>Fish, anchovy, european, raw</t>
        </is>
      </c>
      <c r="C3254" s="1" t="n">
        <v>0</v>
      </c>
      <c r="D3254" s="1" t="n">
        <v>9</v>
      </c>
      <c r="E3254" s="1" t="n">
        <v>3.25</v>
      </c>
      <c r="F3254" s="1" t="n">
        <v>20.35</v>
      </c>
      <c r="G3254" s="1" t="n">
        <v>4.84</v>
      </c>
      <c r="H3254" s="1" t="n">
        <v>50</v>
      </c>
      <c r="I3254" s="1" t="n">
        <v>1.72</v>
      </c>
      <c r="J3254" t="n">
        <v>27150310</v>
      </c>
    </row>
    <row r="3255" ht="15.75" customHeight="1" s="201">
      <c r="A3255" s="1" t="inlineStr">
        <is>
          <t>Fish, bass, fresh water, mixed species, raw</t>
        </is>
      </c>
      <c r="C3255" s="1" t="n">
        <v>0</v>
      </c>
      <c r="D3255" s="1" t="n">
        <v>15</v>
      </c>
      <c r="E3255" s="1" t="n">
        <v>1.49</v>
      </c>
      <c r="F3255" s="1" t="n">
        <v>18.86</v>
      </c>
      <c r="G3255" s="1" t="n">
        <v>3.69</v>
      </c>
      <c r="H3255" s="1" t="n">
        <v>100</v>
      </c>
      <c r="I3255" s="1" t="n">
        <v>0.65</v>
      </c>
      <c r="J3255" t="n">
        <v>11740312</v>
      </c>
    </row>
    <row r="3256" ht="15.75" customHeight="1" s="201">
      <c r="A3256" s="1" t="inlineStr">
        <is>
          <t>Fish, bass, freshwater, mixed species, cooked, dry heat</t>
        </is>
      </c>
      <c r="C3256" s="1" t="n">
        <v>0</v>
      </c>
      <c r="D3256" s="1" t="n">
        <v>17</v>
      </c>
      <c r="E3256" s="1" t="n">
        <v>1.91</v>
      </c>
      <c r="F3256" s="1" t="n">
        <v>24.18</v>
      </c>
      <c r="G3256" s="1" t="n">
        <v>4.73</v>
      </c>
      <c r="H3256" s="1" t="n">
        <v>115</v>
      </c>
      <c r="I3256" s="1" t="n">
        <v>0.83</v>
      </c>
    </row>
    <row r="3257" ht="15.75" customHeight="1" s="201">
      <c r="A3257" s="1" t="inlineStr">
        <is>
          <t>Fish, bass, striped, cooked, dry heat</t>
        </is>
      </c>
      <c r="C3257" s="1" t="n">
        <v>0</v>
      </c>
      <c r="D3257" s="1" t="n">
        <v>10</v>
      </c>
      <c r="E3257" s="1" t="n">
        <v>1.08</v>
      </c>
      <c r="F3257" s="1" t="n">
        <v>22.73</v>
      </c>
      <c r="G3257" s="1" t="n">
        <v>2.99</v>
      </c>
      <c r="H3257" s="1" t="n">
        <v>104</v>
      </c>
      <c r="I3257" s="1" t="n">
        <v>0.51</v>
      </c>
      <c r="J3257" t="n">
        <v>26141120</v>
      </c>
    </row>
    <row r="3258" ht="15.75" customHeight="1" s="201">
      <c r="A3258" s="1" t="inlineStr">
        <is>
          <t>Fish, bass, striped, raw</t>
        </is>
      </c>
      <c r="C3258" s="1" t="n">
        <v>0</v>
      </c>
      <c r="D3258" s="1" t="n">
        <v>9</v>
      </c>
      <c r="E3258" s="1" t="n">
        <v>0.84</v>
      </c>
      <c r="F3258" s="1" t="n">
        <v>17.73</v>
      </c>
      <c r="G3258" s="1" t="n">
        <v>2.33</v>
      </c>
      <c r="H3258" s="1" t="n">
        <v>90</v>
      </c>
      <c r="I3258" s="1" t="n">
        <v>0.4</v>
      </c>
      <c r="J3258" t="n">
        <v>26141120</v>
      </c>
    </row>
    <row r="3259" ht="15.75" customHeight="1" s="201">
      <c r="A3259" s="1" t="inlineStr">
        <is>
          <t>Fish, blackfish, whole (Alaska Native)</t>
        </is>
      </c>
      <c r="C3259" s="1" t="n">
        <v>0</v>
      </c>
      <c r="E3259" s="1" t="n">
        <v>4.6</v>
      </c>
      <c r="F3259" s="1" t="n">
        <v>15.5</v>
      </c>
      <c r="G3259" s="1" t="n">
        <v>1.75</v>
      </c>
      <c r="H3259" s="1" t="n">
        <v>1202</v>
      </c>
      <c r="J3259" t="n">
        <v>54204030</v>
      </c>
    </row>
    <row r="3260" ht="15.75" customHeight="1" s="201">
      <c r="A3260" s="1" t="inlineStr">
        <is>
          <t>Fish, bluefish, cooked, dry heat</t>
        </is>
      </c>
      <c r="C3260" s="1" t="n">
        <v>0</v>
      </c>
      <c r="D3260" s="1" t="n">
        <v>2</v>
      </c>
      <c r="E3260" s="1" t="n">
        <v>0.62</v>
      </c>
      <c r="F3260" s="1" t="n">
        <v>25.69</v>
      </c>
      <c r="G3260" s="1" t="n">
        <v>5.44</v>
      </c>
      <c r="H3260" s="1" t="n">
        <v>459</v>
      </c>
      <c r="I3260" s="1" t="n">
        <v>1.04</v>
      </c>
      <c r="J3260" t="n">
        <v>26100110</v>
      </c>
    </row>
    <row r="3261" ht="15.75" customHeight="1" s="201">
      <c r="A3261" s="1" t="inlineStr">
        <is>
          <t>Fish, bluefish, raw</t>
        </is>
      </c>
      <c r="C3261" s="1" t="n">
        <v>0</v>
      </c>
      <c r="D3261" s="1" t="n">
        <v>2</v>
      </c>
      <c r="E3261" s="1" t="n">
        <v>0.48</v>
      </c>
      <c r="F3261" s="1" t="n">
        <v>20.04</v>
      </c>
      <c r="G3261" s="1" t="n">
        <v>4.24</v>
      </c>
      <c r="H3261" s="1" t="n">
        <v>398</v>
      </c>
      <c r="I3261" s="1" t="n">
        <v>0.8100000000000001</v>
      </c>
      <c r="J3261" t="n">
        <v>26131120</v>
      </c>
    </row>
    <row r="3262" ht="15.75" customHeight="1" s="201">
      <c r="A3262" s="1" t="inlineStr">
        <is>
          <t>Fish, burbot, cooked, dry heat</t>
        </is>
      </c>
      <c r="C3262" s="1" t="n">
        <v>0</v>
      </c>
      <c r="D3262" s="1" t="n">
        <v>1</v>
      </c>
      <c r="E3262" s="1" t="n">
        <v>1.15</v>
      </c>
      <c r="F3262" s="1" t="n">
        <v>24.76</v>
      </c>
      <c r="G3262" s="1" t="n">
        <v>1.04</v>
      </c>
      <c r="H3262" s="1" t="n">
        <v>17</v>
      </c>
      <c r="I3262" s="1" t="n">
        <v>0.97</v>
      </c>
      <c r="J3262" t="n">
        <v>26100110</v>
      </c>
    </row>
    <row r="3263" ht="15.75" customHeight="1" s="201">
      <c r="A3263" s="1" t="inlineStr">
        <is>
          <t>Fish, burbot, raw</t>
        </is>
      </c>
      <c r="C3263" s="1" t="n">
        <v>0</v>
      </c>
      <c r="D3263" s="1" t="n">
        <v>1</v>
      </c>
      <c r="E3263" s="1" t="n">
        <v>0.9</v>
      </c>
      <c r="F3263" s="1" t="n">
        <v>19.31</v>
      </c>
      <c r="G3263" s="1" t="n">
        <v>0.8100000000000001</v>
      </c>
      <c r="H3263" s="1" t="n">
        <v>15</v>
      </c>
      <c r="I3263" s="1" t="n">
        <v>0.76</v>
      </c>
      <c r="J3263" t="n">
        <v>27150310</v>
      </c>
    </row>
    <row r="3264" ht="15.75" customHeight="1" s="201">
      <c r="A3264" s="1" t="inlineStr">
        <is>
          <t>Fish, butterfish, cooked, dry heat</t>
        </is>
      </c>
      <c r="C3264" s="1" t="n">
        <v>0</v>
      </c>
      <c r="D3264" s="1" t="n">
        <v>17</v>
      </c>
      <c r="E3264" s="1" t="n">
        <v>0.64</v>
      </c>
      <c r="F3264" s="1" t="n">
        <v>22.15</v>
      </c>
      <c r="G3264" s="1" t="n">
        <v>10.28</v>
      </c>
      <c r="H3264" s="1" t="n">
        <v>109</v>
      </c>
      <c r="I3264" s="1" t="n">
        <v>0.99</v>
      </c>
      <c r="J3264" t="n">
        <v>26100110</v>
      </c>
    </row>
    <row r="3265" ht="15.75" customHeight="1" s="201">
      <c r="A3265" s="1" t="inlineStr">
        <is>
          <t>Fish, butterfish, raw</t>
        </is>
      </c>
      <c r="C3265" s="1" t="n">
        <v>0</v>
      </c>
      <c r="D3265" s="1" t="n">
        <v>15</v>
      </c>
      <c r="E3265" s="1" t="n">
        <v>0.5</v>
      </c>
      <c r="F3265" s="1" t="n">
        <v>17.28</v>
      </c>
      <c r="G3265" s="1" t="n">
        <v>8.02</v>
      </c>
      <c r="H3265" s="1" t="n">
        <v>100</v>
      </c>
      <c r="I3265" s="1" t="n">
        <v>0.77</v>
      </c>
      <c r="J3265" t="n">
        <v>26131120</v>
      </c>
    </row>
    <row r="3266" ht="15.75" customHeight="1" s="201">
      <c r="A3266" s="1" t="inlineStr">
        <is>
          <t>Fish, carp, cooked, dry heat</t>
        </is>
      </c>
      <c r="C3266" s="1" t="n">
        <v>0</v>
      </c>
      <c r="D3266" s="1" t="n">
        <v>17</v>
      </c>
      <c r="E3266" s="1" t="n">
        <v>1.59</v>
      </c>
      <c r="F3266" s="1" t="n">
        <v>22.86</v>
      </c>
      <c r="G3266" s="1" t="n">
        <v>7.17</v>
      </c>
      <c r="H3266" s="1" t="n">
        <v>32</v>
      </c>
      <c r="I3266" s="1" t="n">
        <v>1.9</v>
      </c>
      <c r="J3266" t="n">
        <v>26100110</v>
      </c>
    </row>
    <row r="3267" ht="15.75" customHeight="1" s="201">
      <c r="A3267" s="1" t="inlineStr">
        <is>
          <t>Fish, carp, raw</t>
        </is>
      </c>
      <c r="C3267" s="1" t="n">
        <v>0</v>
      </c>
      <c r="D3267" s="1" t="n">
        <v>15</v>
      </c>
      <c r="E3267" s="1" t="n">
        <v>1.24</v>
      </c>
      <c r="F3267" s="1" t="n">
        <v>17.83</v>
      </c>
      <c r="G3267" s="1" t="n">
        <v>5.6</v>
      </c>
      <c r="H3267" s="1" t="n">
        <v>30</v>
      </c>
      <c r="I3267" s="1" t="n">
        <v>1.48</v>
      </c>
      <c r="J3267" t="n">
        <v>27150310</v>
      </c>
    </row>
    <row r="3268" ht="15.75" customHeight="1" s="201">
      <c r="A3268" s="1" t="inlineStr">
        <is>
          <t>Fish, catfish, channel, cooked, breaded and fried</t>
        </is>
      </c>
      <c r="C3268" s="1" t="n">
        <v>8.039999999999999</v>
      </c>
      <c r="D3268" s="1" t="n">
        <v>30</v>
      </c>
      <c r="E3268" s="1" t="n">
        <v>1.43</v>
      </c>
      <c r="F3268" s="1" t="n">
        <v>18.09</v>
      </c>
      <c r="G3268" s="1" t="n">
        <v>13.33</v>
      </c>
      <c r="H3268" s="1" t="n">
        <v>28</v>
      </c>
      <c r="I3268" s="1" t="n">
        <v>0.86</v>
      </c>
      <c r="J3268" t="n">
        <v>27550100</v>
      </c>
    </row>
    <row r="3269" ht="15.75" customHeight="1" s="201">
      <c r="A3269" s="1" t="inlineStr">
        <is>
          <t>Fish, catfish, channel, wild, cooked, dry heat</t>
        </is>
      </c>
      <c r="C3269" s="1" t="n">
        <v>0</v>
      </c>
      <c r="D3269" s="1" t="n">
        <v>10</v>
      </c>
      <c r="E3269" s="1" t="n">
        <v>0.35</v>
      </c>
      <c r="F3269" s="1" t="n">
        <v>18.47</v>
      </c>
      <c r="G3269" s="1" t="n">
        <v>2.85</v>
      </c>
      <c r="H3269" s="1" t="n">
        <v>50</v>
      </c>
      <c r="I3269" s="1" t="n">
        <v>0.61</v>
      </c>
      <c r="J3269" t="n">
        <v>56205320</v>
      </c>
    </row>
    <row r="3270" ht="15.75" customHeight="1" s="201">
      <c r="A3270" s="1" t="inlineStr">
        <is>
          <t>Fish, catfish, channel, wild, raw</t>
        </is>
      </c>
      <c r="C3270" s="1" t="n">
        <v>0</v>
      </c>
      <c r="D3270" s="1" t="n">
        <v>10</v>
      </c>
      <c r="E3270" s="1" t="n">
        <v>0.3</v>
      </c>
      <c r="F3270" s="1" t="n">
        <v>16.38</v>
      </c>
      <c r="G3270" s="1" t="n">
        <v>2.82</v>
      </c>
      <c r="H3270" s="1" t="n">
        <v>50</v>
      </c>
      <c r="I3270" s="1" t="n">
        <v>0.51</v>
      </c>
      <c r="J3270" t="n">
        <v>56205320</v>
      </c>
    </row>
    <row r="3271" ht="15.75" customHeight="1" s="201">
      <c r="A3271" s="1" t="inlineStr">
        <is>
          <t>Fish, caviar, black and red, granular</t>
        </is>
      </c>
      <c r="C3271" s="1" t="n">
        <v>4</v>
      </c>
      <c r="D3271" s="1" t="n">
        <v>50</v>
      </c>
      <c r="E3271" s="1" t="n">
        <v>11.88</v>
      </c>
      <c r="F3271" s="1" t="n">
        <v>24.6</v>
      </c>
      <c r="G3271" s="1" t="n">
        <v>17.9</v>
      </c>
      <c r="H3271" s="1" t="n">
        <v>905</v>
      </c>
      <c r="I3271" s="1" t="n">
        <v>0.95</v>
      </c>
      <c r="J3271" t="n">
        <v>27150310</v>
      </c>
    </row>
    <row r="3272" ht="15.75" customHeight="1" s="201">
      <c r="A3272" s="1" t="inlineStr">
        <is>
          <t>Fish, cisco, raw</t>
        </is>
      </c>
      <c r="C3272" s="1" t="n">
        <v>0</v>
      </c>
      <c r="D3272" s="1" t="n">
        <v>15</v>
      </c>
      <c r="E3272" s="1" t="n">
        <v>0.4</v>
      </c>
      <c r="F3272" s="1" t="n">
        <v>18.99</v>
      </c>
      <c r="G3272" s="1" t="n">
        <v>1.91</v>
      </c>
      <c r="H3272" s="1" t="n">
        <v>100</v>
      </c>
      <c r="I3272" s="1" t="n">
        <v>0.37</v>
      </c>
      <c r="J3272" t="n">
        <v>27150310</v>
      </c>
    </row>
    <row r="3273" ht="15.75" customHeight="1" s="201">
      <c r="A3273" s="1" t="inlineStr">
        <is>
          <t>Fish, cisco, smoked</t>
        </is>
      </c>
      <c r="C3273" s="1" t="n">
        <v>0</v>
      </c>
      <c r="D3273" s="1" t="n">
        <v>2</v>
      </c>
      <c r="E3273" s="1" t="n">
        <v>0.49</v>
      </c>
      <c r="F3273" s="1" t="n">
        <v>16.36</v>
      </c>
      <c r="G3273" s="1" t="n">
        <v>11.9</v>
      </c>
      <c r="H3273" s="1" t="n">
        <v>943</v>
      </c>
      <c r="I3273" s="1" t="n">
        <v>0.3</v>
      </c>
      <c r="J3273" t="n">
        <v>26100190</v>
      </c>
    </row>
    <row r="3274" ht="15.75" customHeight="1" s="201">
      <c r="A3274" s="1" t="inlineStr">
        <is>
          <t>Fish, cod, Atlantic, canned, solids and liquid</t>
        </is>
      </c>
      <c r="C3274" s="1" t="n">
        <v>0</v>
      </c>
      <c r="D3274" s="1" t="n">
        <v>8</v>
      </c>
      <c r="E3274" s="1" t="n">
        <v>0.49</v>
      </c>
      <c r="F3274" s="1" t="n">
        <v>22.76</v>
      </c>
      <c r="G3274" s="1" t="n">
        <v>0.86</v>
      </c>
      <c r="H3274" s="1" t="n">
        <v>47</v>
      </c>
      <c r="I3274" s="1" t="n">
        <v>0.58</v>
      </c>
      <c r="J3274" t="n">
        <v>63311110</v>
      </c>
    </row>
    <row r="3275" ht="15.75" customHeight="1" s="201">
      <c r="A3275" s="1" t="inlineStr">
        <is>
          <t>Fish, cod, Atlantic, cooked, dry heat</t>
        </is>
      </c>
      <c r="C3275" s="1" t="n">
        <v>0</v>
      </c>
      <c r="D3275" s="1" t="n">
        <v>8</v>
      </c>
      <c r="E3275" s="1" t="n">
        <v>0.49</v>
      </c>
      <c r="F3275" s="1" t="n">
        <v>22.83</v>
      </c>
      <c r="G3275" s="1" t="n">
        <v>0.86</v>
      </c>
      <c r="H3275" s="1" t="n">
        <v>47</v>
      </c>
      <c r="I3275" s="1" t="n">
        <v>0.58</v>
      </c>
      <c r="J3275" t="n">
        <v>26100110</v>
      </c>
    </row>
    <row r="3276" ht="15.75" customHeight="1" s="201">
      <c r="A3276" s="1" t="inlineStr">
        <is>
          <t>Fish, cod, Atlantic, dried and salted</t>
        </is>
      </c>
      <c r="C3276" s="1" t="n">
        <v>0</v>
      </c>
      <c r="D3276" s="1" t="n">
        <v>25</v>
      </c>
      <c r="E3276" s="1" t="n">
        <v>2.5</v>
      </c>
      <c r="F3276" s="1" t="n">
        <v>62.82</v>
      </c>
      <c r="G3276" s="1" t="n">
        <v>2.37</v>
      </c>
      <c r="H3276" s="1" t="n">
        <v>140</v>
      </c>
      <c r="I3276" s="1" t="n">
        <v>1.59</v>
      </c>
      <c r="J3276" t="n">
        <v>26100170</v>
      </c>
    </row>
    <row r="3277" ht="15.75" customHeight="1" s="201">
      <c r="A3277" s="1" t="inlineStr">
        <is>
          <t>Fish, cod, Atlantic, raw</t>
        </is>
      </c>
      <c r="C3277" s="1" t="n">
        <v>0</v>
      </c>
      <c r="D3277" s="1" t="n">
        <v>7</v>
      </c>
      <c r="E3277" s="1" t="n">
        <v>0.38</v>
      </c>
      <c r="F3277" s="1" t="n">
        <v>17.81</v>
      </c>
      <c r="G3277" s="1" t="n">
        <v>0.67</v>
      </c>
      <c r="H3277" s="1" t="n">
        <v>40</v>
      </c>
      <c r="I3277" s="1" t="n">
        <v>0.45</v>
      </c>
      <c r="J3277" t="n">
        <v>27150310</v>
      </c>
    </row>
    <row r="3278" ht="15.75" customHeight="1" s="201">
      <c r="A3278" s="1" t="inlineStr">
        <is>
          <t>Fish, cod, Pacific, cooked, dry heat (may contain additives to retain moisture)</t>
        </is>
      </c>
      <c r="C3278" s="1" t="n">
        <v>0</v>
      </c>
      <c r="D3278" s="1" t="n">
        <v>8</v>
      </c>
      <c r="E3278" s="1" t="n">
        <v>0.2</v>
      </c>
      <c r="F3278" s="1" t="n">
        <v>18.73</v>
      </c>
      <c r="G3278" s="1" t="n">
        <v>0.5</v>
      </c>
      <c r="H3278" s="1" t="n">
        <v>7</v>
      </c>
      <c r="I3278" s="1" t="n">
        <v>0.39</v>
      </c>
    </row>
    <row r="3279" ht="15.75" customHeight="1" s="201">
      <c r="A3279" s="1" t="inlineStr">
        <is>
          <t>Fish, cod, Pacific, raw (may have been previously frozen)</t>
        </is>
      </c>
      <c r="C3279" s="1" t="n">
        <v>0</v>
      </c>
      <c r="D3279" s="1" t="n">
        <v>7</v>
      </c>
      <c r="E3279" s="1" t="n">
        <v>0.16</v>
      </c>
      <c r="F3279" s="1" t="n">
        <v>15.27</v>
      </c>
      <c r="G3279" s="1" t="n">
        <v>0.41</v>
      </c>
      <c r="H3279" s="1" t="n">
        <v>6</v>
      </c>
      <c r="I3279" s="1" t="n">
        <v>0.31</v>
      </c>
    </row>
    <row r="3280" ht="15.75" customHeight="1" s="201">
      <c r="A3280" s="1" t="inlineStr">
        <is>
          <t>Fish, Cod, Raw</t>
        </is>
      </c>
      <c r="J3280" t="n">
        <v>27150310</v>
      </c>
    </row>
    <row r="3281" ht="15.75" customHeight="1" s="201">
      <c r="A3281" s="1" t="inlineStr">
        <is>
          <t>Fish, croaker, Atlantic, cooked, breaded and fried</t>
        </is>
      </c>
      <c r="C3281" s="1" t="n">
        <v>7.54</v>
      </c>
      <c r="D3281" s="1" t="n">
        <v>34</v>
      </c>
      <c r="E3281" s="1" t="n">
        <v>0.86</v>
      </c>
      <c r="F3281" s="1" t="n">
        <v>18.2</v>
      </c>
      <c r="G3281" s="1" t="n">
        <v>12.67</v>
      </c>
      <c r="H3281" s="1" t="n">
        <v>75</v>
      </c>
      <c r="I3281" s="1" t="n">
        <v>0.52</v>
      </c>
      <c r="J3281" t="n">
        <v>27550100</v>
      </c>
    </row>
    <row r="3282" ht="15.75" customHeight="1" s="201">
      <c r="A3282" s="1" t="inlineStr">
        <is>
          <t>Fish, croaker, Atlantic, raw</t>
        </is>
      </c>
      <c r="C3282" s="1" t="n">
        <v>0</v>
      </c>
      <c r="D3282" s="1" t="n">
        <v>15</v>
      </c>
      <c r="E3282" s="1" t="n">
        <v>0.37</v>
      </c>
      <c r="F3282" s="1" t="n">
        <v>17.78</v>
      </c>
      <c r="G3282" s="1" t="n">
        <v>3.17</v>
      </c>
      <c r="H3282" s="1" t="n">
        <v>41</v>
      </c>
      <c r="I3282" s="1" t="n">
        <v>0.42</v>
      </c>
      <c r="J3282" t="n">
        <v>27150310</v>
      </c>
    </row>
    <row r="3283" ht="15.75" customHeight="1" s="201">
      <c r="A3283" s="1" t="inlineStr">
        <is>
          <t>Fish, cusk, cooked, dry heat</t>
        </is>
      </c>
      <c r="C3283" s="1" t="n">
        <v>0</v>
      </c>
      <c r="D3283" s="1" t="n">
        <v>2</v>
      </c>
      <c r="E3283" s="1" t="n">
        <v>1.06</v>
      </c>
      <c r="F3283" s="1" t="n">
        <v>24.35</v>
      </c>
      <c r="G3283" s="1" t="n">
        <v>0.88</v>
      </c>
      <c r="H3283" s="1" t="n">
        <v>69</v>
      </c>
      <c r="I3283" s="1" t="n">
        <v>0.49</v>
      </c>
      <c r="J3283" t="n">
        <v>26100110</v>
      </c>
    </row>
    <row r="3284" ht="15.75" customHeight="1" s="201">
      <c r="A3284" s="1" t="inlineStr">
        <is>
          <t>Fish, cusk, raw</t>
        </is>
      </c>
      <c r="C3284" s="1" t="n">
        <v>0</v>
      </c>
      <c r="D3284" s="1" t="n">
        <v>2</v>
      </c>
      <c r="E3284" s="1" t="n">
        <v>0.83</v>
      </c>
      <c r="F3284" s="1" t="n">
        <v>18.99</v>
      </c>
      <c r="G3284" s="1" t="n">
        <v>0.6899999999999999</v>
      </c>
      <c r="H3284" s="1" t="n">
        <v>60</v>
      </c>
      <c r="I3284" s="1" t="n">
        <v>0.38</v>
      </c>
      <c r="J3284" t="n">
        <v>27150310</v>
      </c>
    </row>
    <row r="3285" ht="15.75" customHeight="1" s="201">
      <c r="A3285" s="1" t="inlineStr">
        <is>
          <t>Fish, devilfish, meat (Alaska Native)</t>
        </is>
      </c>
      <c r="C3285" s="1" t="n">
        <v>0</v>
      </c>
      <c r="E3285" s="1" t="n">
        <v>0.4</v>
      </c>
      <c r="F3285" s="1" t="n">
        <v>11.7</v>
      </c>
      <c r="G3285" s="1" t="n">
        <v>5.3</v>
      </c>
      <c r="H3285" s="1" t="n">
        <v>1020</v>
      </c>
      <c r="J3285" t="n">
        <v>14620320</v>
      </c>
    </row>
    <row r="3286" ht="15.75" customHeight="1" s="201">
      <c r="A3286" s="1" t="inlineStr">
        <is>
          <t>Fish, drum, freshwater, cooked, dry heat</t>
        </is>
      </c>
      <c r="C3286" s="1" t="n">
        <v>0</v>
      </c>
      <c r="D3286" s="1" t="n">
        <v>17</v>
      </c>
      <c r="E3286" s="1" t="n">
        <v>1.15</v>
      </c>
      <c r="F3286" s="1" t="n">
        <v>22.49</v>
      </c>
      <c r="G3286" s="1" t="n">
        <v>6.32</v>
      </c>
      <c r="H3286" s="1" t="n">
        <v>196</v>
      </c>
      <c r="I3286" s="1" t="n">
        <v>0.85</v>
      </c>
    </row>
    <row r="3287" ht="15.75" customHeight="1" s="201">
      <c r="A3287" s="1" t="inlineStr">
        <is>
          <t>Fish, drum, freshwater, raw</t>
        </is>
      </c>
      <c r="C3287" s="1" t="n">
        <v>0</v>
      </c>
      <c r="D3287" s="1" t="n">
        <v>15</v>
      </c>
      <c r="E3287" s="1" t="n">
        <v>0.9</v>
      </c>
      <c r="F3287" s="1" t="n">
        <v>17.54</v>
      </c>
      <c r="G3287" s="1" t="n">
        <v>4.93</v>
      </c>
      <c r="H3287" s="1" t="n">
        <v>170</v>
      </c>
      <c r="I3287" s="1" t="n">
        <v>0.66</v>
      </c>
      <c r="J3287" t="n">
        <v>27150310</v>
      </c>
    </row>
    <row r="3288" ht="15.75" customHeight="1" s="201">
      <c r="A3288" s="1" t="inlineStr">
        <is>
          <t>Fish, eel, mixed species, cooked, dry heat</t>
        </is>
      </c>
      <c r="C3288" s="1" t="n">
        <v>0</v>
      </c>
      <c r="D3288" s="1" t="n">
        <v>17</v>
      </c>
      <c r="E3288" s="1" t="n">
        <v>0.64</v>
      </c>
      <c r="F3288" s="1" t="n">
        <v>23.65</v>
      </c>
      <c r="G3288" s="1" t="n">
        <v>14.95</v>
      </c>
      <c r="H3288" s="1" t="n">
        <v>3787</v>
      </c>
      <c r="I3288" s="1" t="n">
        <v>2.08</v>
      </c>
      <c r="J3288" t="n">
        <v>75311020</v>
      </c>
    </row>
    <row r="3289" ht="15.75" customHeight="1" s="201">
      <c r="A3289" s="1" t="inlineStr">
        <is>
          <t>Fish, eel, mixed species, raw</t>
        </is>
      </c>
      <c r="C3289" s="1" t="n">
        <v>0</v>
      </c>
      <c r="D3289" s="1" t="n">
        <v>15</v>
      </c>
      <c r="E3289" s="1" t="n">
        <v>0.5</v>
      </c>
      <c r="F3289" s="1" t="n">
        <v>18.44</v>
      </c>
      <c r="G3289" s="1" t="n">
        <v>11.66</v>
      </c>
      <c r="H3289" s="1" t="n">
        <v>3477</v>
      </c>
      <c r="I3289" s="1" t="n">
        <v>1.62</v>
      </c>
      <c r="J3289" t="n">
        <v>76407010</v>
      </c>
    </row>
    <row r="3290" ht="15.75" customHeight="1" s="201">
      <c r="A3290" s="1" t="inlineStr">
        <is>
          <t>Fish, fish sticks, frozen, prepared</t>
        </is>
      </c>
      <c r="C3290" s="1" t="n">
        <v>21.66</v>
      </c>
      <c r="D3290" s="1" t="n">
        <v>24</v>
      </c>
      <c r="E3290" s="1" t="n">
        <v>0.84</v>
      </c>
      <c r="F3290" s="1" t="n">
        <v>11.01</v>
      </c>
      <c r="G3290" s="1" t="n">
        <v>16.23</v>
      </c>
      <c r="H3290" s="1" t="n">
        <v>18</v>
      </c>
      <c r="I3290" s="1" t="n">
        <v>0.42</v>
      </c>
      <c r="J3290" t="n">
        <v>27150310</v>
      </c>
    </row>
    <row r="3291" ht="15.75" customHeight="1" s="201">
      <c r="A3291" s="1" t="inlineStr">
        <is>
          <t>Fish, flatfish (flounder and sole species), cooked, dry heat</t>
        </is>
      </c>
      <c r="C3291" s="1" t="n">
        <v>0</v>
      </c>
      <c r="D3291" s="1" t="n">
        <v>6</v>
      </c>
      <c r="E3291" s="1" t="n">
        <v>0.23</v>
      </c>
      <c r="F3291" s="1" t="n">
        <v>15.24</v>
      </c>
      <c r="G3291" s="1" t="n">
        <v>2.37</v>
      </c>
      <c r="H3291" s="1" t="n">
        <v>37</v>
      </c>
      <c r="I3291" s="1" t="n">
        <v>0.39</v>
      </c>
    </row>
    <row r="3292" ht="15.75" customHeight="1" s="201">
      <c r="A3292" s="1" t="inlineStr">
        <is>
          <t>Fish, flatfish (flounder and sole species), raw</t>
        </is>
      </c>
      <c r="C3292" s="1" t="n">
        <v>0</v>
      </c>
      <c r="D3292" s="1" t="n">
        <v>5</v>
      </c>
      <c r="E3292" s="1" t="n">
        <v>0.18</v>
      </c>
      <c r="F3292" s="1" t="n">
        <v>12.41</v>
      </c>
      <c r="G3292" s="1" t="n">
        <v>1.93</v>
      </c>
      <c r="H3292" s="1" t="n">
        <v>33</v>
      </c>
      <c r="I3292" s="1" t="n">
        <v>0.32</v>
      </c>
    </row>
    <row r="3293" ht="15.75" customHeight="1" s="201">
      <c r="A3293" s="1" t="inlineStr">
        <is>
          <t>Fish, gefiltefish, commercial, sweet recipe</t>
        </is>
      </c>
      <c r="C3293" s="1" t="n">
        <v>7.41</v>
      </c>
      <c r="D3293" s="1" t="n">
        <v>3</v>
      </c>
      <c r="E3293" s="1" t="n">
        <v>2.48</v>
      </c>
      <c r="F3293" s="1" t="n">
        <v>9.07</v>
      </c>
      <c r="G3293" s="1" t="n">
        <v>1.73</v>
      </c>
      <c r="H3293" s="1" t="n">
        <v>89</v>
      </c>
      <c r="I3293" s="1" t="n">
        <v>0.82</v>
      </c>
      <c r="J3293" t="n">
        <v>51160000</v>
      </c>
    </row>
    <row r="3294" ht="15.75" customHeight="1" s="201">
      <c r="A3294" s="1" t="inlineStr">
        <is>
          <t>Fish, grouper, mixed species, cooked, dry heat</t>
        </is>
      </c>
      <c r="C3294" s="1" t="n">
        <v>0</v>
      </c>
      <c r="D3294" s="1" t="n">
        <v>10</v>
      </c>
      <c r="E3294" s="1" t="n">
        <v>1.14</v>
      </c>
      <c r="F3294" s="1" t="n">
        <v>24.84</v>
      </c>
      <c r="G3294" s="1" t="n">
        <v>1.3</v>
      </c>
      <c r="H3294" s="1" t="n">
        <v>165</v>
      </c>
      <c r="I3294" s="1" t="n">
        <v>0.51</v>
      </c>
      <c r="J3294" t="n">
        <v>75311020</v>
      </c>
    </row>
    <row r="3295" ht="15.75" customHeight="1" s="201">
      <c r="A3295" s="1" t="inlineStr">
        <is>
          <t>Fish, grouper, mixed species, raw</t>
        </is>
      </c>
      <c r="C3295" s="1" t="n">
        <v>0</v>
      </c>
      <c r="D3295" s="1" t="n">
        <v>9</v>
      </c>
      <c r="E3295" s="1" t="n">
        <v>0.89</v>
      </c>
      <c r="F3295" s="1" t="n">
        <v>19.38</v>
      </c>
      <c r="G3295" s="1" t="n">
        <v>1.02</v>
      </c>
      <c r="H3295" s="1" t="n">
        <v>143</v>
      </c>
      <c r="I3295" s="1" t="n">
        <v>0.48</v>
      </c>
      <c r="J3295" t="n">
        <v>76407010</v>
      </c>
    </row>
    <row r="3296" ht="15.75" customHeight="1" s="201">
      <c r="A3296" s="1" t="inlineStr">
        <is>
          <t>Fish, haddock, cooked, dry heat</t>
        </is>
      </c>
      <c r="C3296" s="1" t="n">
        <v>0</v>
      </c>
      <c r="D3296" s="1" t="n">
        <v>13</v>
      </c>
      <c r="E3296" s="1" t="n">
        <v>0.21</v>
      </c>
      <c r="F3296" s="1" t="n">
        <v>19.99</v>
      </c>
      <c r="G3296" s="1" t="n">
        <v>0.55</v>
      </c>
      <c r="H3296" s="1" t="n">
        <v>62</v>
      </c>
      <c r="I3296" s="1" t="n">
        <v>0.4</v>
      </c>
      <c r="J3296" t="n">
        <v>26100110</v>
      </c>
    </row>
    <row r="3297" ht="15.75" customHeight="1" s="201">
      <c r="A3297" s="1" t="inlineStr">
        <is>
          <t>Fish, haddock, raw</t>
        </is>
      </c>
      <c r="C3297" s="1" t="n">
        <v>0</v>
      </c>
      <c r="D3297" s="1" t="n">
        <v>12</v>
      </c>
      <c r="E3297" s="1" t="n">
        <v>0.17</v>
      </c>
      <c r="F3297" s="1" t="n">
        <v>16.32</v>
      </c>
      <c r="G3297" s="1" t="n">
        <v>0.45</v>
      </c>
      <c r="H3297" s="1" t="n">
        <v>57</v>
      </c>
      <c r="I3297" s="1" t="n">
        <v>0.32</v>
      </c>
      <c r="J3297" t="n">
        <v>27150310</v>
      </c>
    </row>
    <row r="3298" ht="15.75" customHeight="1" s="201">
      <c r="A3298" s="1" t="inlineStr">
        <is>
          <t>Fish, haddock, smoked</t>
        </is>
      </c>
      <c r="C3298" s="1" t="n">
        <v>0</v>
      </c>
      <c r="D3298" s="1" t="n">
        <v>15</v>
      </c>
      <c r="E3298" s="1" t="n">
        <v>1.4</v>
      </c>
      <c r="F3298" s="1" t="n">
        <v>25.23</v>
      </c>
      <c r="G3298" s="1" t="n">
        <v>0.96</v>
      </c>
      <c r="H3298" s="1" t="n">
        <v>80</v>
      </c>
      <c r="I3298" s="1" t="n">
        <v>0.5</v>
      </c>
      <c r="J3298" t="n">
        <v>26100190</v>
      </c>
    </row>
    <row r="3299" ht="15.75" customHeight="1" s="201">
      <c r="A3299" s="1" t="inlineStr">
        <is>
          <t>Fish, halibut, Atlantic and Pacific, cooked, dry heat</t>
        </is>
      </c>
      <c r="C3299" s="1" t="n">
        <v>0</v>
      </c>
      <c r="D3299" s="1" t="n">
        <v>14</v>
      </c>
      <c r="E3299" s="1" t="n">
        <v>0.2</v>
      </c>
      <c r="F3299" s="1" t="n">
        <v>22.54</v>
      </c>
      <c r="G3299" s="1" t="n">
        <v>1.61</v>
      </c>
      <c r="H3299" s="1" t="n">
        <v>73</v>
      </c>
      <c r="I3299" s="1" t="n">
        <v>0.43</v>
      </c>
    </row>
    <row r="3300" ht="15.75" customHeight="1" s="201">
      <c r="A3300" s="1" t="inlineStr">
        <is>
          <t>Fish, halibut, Atlantic and Pacific, raw</t>
        </is>
      </c>
      <c r="C3300" s="1" t="n">
        <v>0</v>
      </c>
      <c r="D3300" s="1" t="n">
        <v>12</v>
      </c>
      <c r="E3300" s="1" t="n">
        <v>0.16</v>
      </c>
      <c r="F3300" s="1" t="n">
        <v>18.56</v>
      </c>
      <c r="G3300" s="1" t="n">
        <v>1.33</v>
      </c>
      <c r="H3300" s="1" t="n">
        <v>67</v>
      </c>
      <c r="I3300" s="1" t="n">
        <v>0.36</v>
      </c>
      <c r="J3300" t="n">
        <v>27150310</v>
      </c>
    </row>
    <row r="3301" ht="15.75" customHeight="1" s="201">
      <c r="A3301" s="1" t="inlineStr">
        <is>
          <t>Fish, halibut, cooked, with skin (Alaska Native)</t>
        </is>
      </c>
      <c r="C3301" s="1" t="n">
        <v>0</v>
      </c>
      <c r="D3301" s="1" t="n">
        <v>22</v>
      </c>
      <c r="E3301" s="1" t="n">
        <v>0.36</v>
      </c>
      <c r="F3301" s="1" t="n">
        <v>22.13</v>
      </c>
      <c r="G3301" s="1" t="n">
        <v>2.73</v>
      </c>
      <c r="H3301" s="1" t="n">
        <v>160</v>
      </c>
      <c r="I3301" s="1" t="n">
        <v>0.75</v>
      </c>
      <c r="J3301" t="n">
        <v>75142550</v>
      </c>
    </row>
    <row r="3302" ht="15.75" customHeight="1" s="201">
      <c r="A3302" s="1" t="inlineStr">
        <is>
          <t>Fish, halibut, greenland, cooked, dry heat</t>
        </is>
      </c>
      <c r="C3302" s="1" t="n">
        <v>0</v>
      </c>
      <c r="D3302" s="1" t="n">
        <v>1</v>
      </c>
      <c r="E3302" s="1" t="n">
        <v>0.85</v>
      </c>
      <c r="F3302" s="1" t="n">
        <v>18.42</v>
      </c>
      <c r="G3302" s="1" t="n">
        <v>17.74</v>
      </c>
      <c r="H3302" s="1" t="n">
        <v>60</v>
      </c>
      <c r="I3302" s="1" t="n">
        <v>0.51</v>
      </c>
    </row>
    <row r="3303" ht="15.75" customHeight="1" s="201">
      <c r="A3303" s="1" t="inlineStr">
        <is>
          <t>Fish, halibut</t>
        </is>
      </c>
      <c r="J3303" t="n">
        <v>27150310</v>
      </c>
    </row>
    <row r="3304" ht="15.75" customHeight="1" s="201">
      <c r="A3304" s="1" t="inlineStr">
        <is>
          <t>Fish, halibut, Greenland, raw</t>
        </is>
      </c>
      <c r="C3304" s="1" t="n">
        <v>0</v>
      </c>
      <c r="D3304" s="1" t="n">
        <v>1</v>
      </c>
      <c r="E3304" s="1" t="n">
        <v>0.66</v>
      </c>
      <c r="F3304" s="1" t="n">
        <v>14.37</v>
      </c>
      <c r="G3304" s="1" t="n">
        <v>13.84</v>
      </c>
      <c r="H3304" s="1" t="n">
        <v>47</v>
      </c>
      <c r="I3304" s="1" t="n">
        <v>0.4</v>
      </c>
      <c r="J3304" t="n">
        <v>27150310</v>
      </c>
    </row>
    <row r="3305" ht="15.75" customHeight="1" s="201">
      <c r="A3305" s="1" t="inlineStr">
        <is>
          <t>Fish, halibut, raw, with skin (Alaska Native)</t>
        </is>
      </c>
      <c r="C3305" s="1" t="n">
        <v>1.81</v>
      </c>
      <c r="D3305" s="1" t="n">
        <v>15</v>
      </c>
      <c r="E3305" s="1" t="n">
        <v>0.27</v>
      </c>
      <c r="F3305" s="1" t="n">
        <v>20.53</v>
      </c>
      <c r="G3305" s="1" t="n">
        <v>2.92</v>
      </c>
      <c r="H3305" s="1" t="n">
        <v>157</v>
      </c>
      <c r="I3305" s="1" t="n">
        <v>0.61</v>
      </c>
      <c r="J3305" t="n">
        <v>75142550</v>
      </c>
    </row>
    <row r="3306" ht="15.75" customHeight="1" s="201">
      <c r="A3306" s="1" t="inlineStr">
        <is>
          <t>Fish, herring eggs on giant kelp, Pacific (Alaska Native)</t>
        </is>
      </c>
      <c r="C3306" s="1" t="n">
        <v>2.6</v>
      </c>
      <c r="E3306" s="1" t="n">
        <v>3.4</v>
      </c>
      <c r="F3306" s="1" t="n">
        <v>11.3</v>
      </c>
      <c r="G3306" s="1" t="n">
        <v>0.8</v>
      </c>
      <c r="H3306" s="1" t="n">
        <v>89</v>
      </c>
    </row>
    <row r="3307" ht="15.75" customHeight="1" s="201">
      <c r="A3307" s="1" t="inlineStr">
        <is>
          <t>Fish, herring eggs, Pacific, dry (Alaska Native)</t>
        </is>
      </c>
      <c r="C3307" s="1" t="n">
        <v>2.8</v>
      </c>
      <c r="F3307" s="1" t="n">
        <v>60.4</v>
      </c>
      <c r="G3307" s="1" t="n">
        <v>6.6</v>
      </c>
    </row>
    <row r="3308" ht="15.75" customHeight="1" s="201">
      <c r="A3308" s="1" t="inlineStr">
        <is>
          <t>Fish, herring eggs, Pacific, plain (Alaska Native)</t>
        </is>
      </c>
      <c r="C3308" s="1" t="n">
        <v>4.47</v>
      </c>
      <c r="E3308" s="1" t="n">
        <v>2.7</v>
      </c>
      <c r="F3308" s="1" t="n">
        <v>9.6</v>
      </c>
      <c r="G3308" s="1" t="n">
        <v>1.93</v>
      </c>
      <c r="H3308" s="1" t="n">
        <v>57</v>
      </c>
    </row>
    <row r="3309" ht="15.75" customHeight="1" s="201">
      <c r="A3309" s="1" t="inlineStr">
        <is>
          <t>Fish, herring, Atlantic, kippered</t>
        </is>
      </c>
      <c r="C3309" s="1" t="n">
        <v>0</v>
      </c>
      <c r="D3309" s="1" t="n">
        <v>14</v>
      </c>
      <c r="E3309" s="1" t="n">
        <v>1.51</v>
      </c>
      <c r="F3309" s="1" t="n">
        <v>24.58</v>
      </c>
      <c r="G3309" s="1" t="n">
        <v>12.37</v>
      </c>
      <c r="H3309" s="1" t="n">
        <v>135</v>
      </c>
      <c r="I3309" s="1" t="n">
        <v>1.36</v>
      </c>
      <c r="J3309" t="n">
        <v>27150310</v>
      </c>
    </row>
    <row r="3310" ht="15.75" customHeight="1" s="201">
      <c r="A3310" s="1" t="inlineStr">
        <is>
          <t>Fish, herring, Pacific, cooked, dry heat</t>
        </is>
      </c>
      <c r="C3310" s="1" t="n">
        <v>0</v>
      </c>
      <c r="D3310" s="1" t="n">
        <v>6</v>
      </c>
      <c r="E3310" s="1" t="n">
        <v>1.44</v>
      </c>
      <c r="F3310" s="1" t="n">
        <v>21.01</v>
      </c>
      <c r="G3310" s="1" t="n">
        <v>17.79</v>
      </c>
      <c r="H3310" s="1" t="n">
        <v>116</v>
      </c>
      <c r="I3310" s="1" t="n">
        <v>0.68</v>
      </c>
    </row>
    <row r="3311" ht="15.75" customHeight="1" s="201">
      <c r="A3311" s="1" t="inlineStr">
        <is>
          <t>Fish, herring, Pacific, flesh, air-dried, packed in oil (Alaska Native)</t>
        </is>
      </c>
      <c r="C3311" s="1" t="n">
        <v>0</v>
      </c>
      <c r="F3311" s="1" t="n">
        <v>44.5</v>
      </c>
      <c r="G3311" s="1" t="n">
        <v>34.6</v>
      </c>
      <c r="H3311" s="1" t="n">
        <v>1300</v>
      </c>
    </row>
    <row r="3312" ht="15.75" customHeight="1" s="201">
      <c r="A3312" s="1" t="inlineStr">
        <is>
          <t>Fish, herring, Pacific, raw</t>
        </is>
      </c>
      <c r="C3312" s="1" t="n">
        <v>0</v>
      </c>
      <c r="D3312" s="1" t="n">
        <v>5</v>
      </c>
      <c r="E3312" s="1" t="n">
        <v>1.12</v>
      </c>
      <c r="F3312" s="1" t="n">
        <v>16.39</v>
      </c>
      <c r="G3312" s="1" t="n">
        <v>13.88</v>
      </c>
      <c r="H3312" s="1" t="n">
        <v>106</v>
      </c>
      <c r="I3312" s="1" t="n">
        <v>0.53</v>
      </c>
      <c r="J3312" t="n">
        <v>27150310</v>
      </c>
    </row>
    <row r="3313" ht="15.75" customHeight="1" s="201">
      <c r="A3313" s="1" t="inlineStr">
        <is>
          <t>Fish, herring</t>
        </is>
      </c>
      <c r="J3313" t="n">
        <v>27150310</v>
      </c>
    </row>
    <row r="3314" ht="15.75" customHeight="1" s="201">
      <c r="A3314" s="1" t="inlineStr">
        <is>
          <t>Fish, ling, cooked, dry heat</t>
        </is>
      </c>
      <c r="C3314" s="1" t="n">
        <v>0</v>
      </c>
      <c r="D3314" s="1" t="n">
        <v>8</v>
      </c>
      <c r="E3314" s="1" t="n">
        <v>0.83</v>
      </c>
      <c r="F3314" s="1" t="n">
        <v>24.35</v>
      </c>
      <c r="G3314" s="1" t="n">
        <v>0.82</v>
      </c>
      <c r="H3314" s="1" t="n">
        <v>115</v>
      </c>
      <c r="I3314" s="1" t="n">
        <v>1</v>
      </c>
      <c r="J3314" t="n">
        <v>26100110</v>
      </c>
    </row>
    <row r="3315" ht="15.75" customHeight="1" s="201">
      <c r="A3315" s="1" t="inlineStr">
        <is>
          <t>Fish, ling, raw</t>
        </is>
      </c>
      <c r="C3315" s="1" t="n">
        <v>0</v>
      </c>
      <c r="D3315" s="1" t="n">
        <v>7</v>
      </c>
      <c r="E3315" s="1" t="n">
        <v>0.65</v>
      </c>
      <c r="F3315" s="1" t="n">
        <v>18.99</v>
      </c>
      <c r="G3315" s="1" t="n">
        <v>0.64</v>
      </c>
      <c r="H3315" s="1" t="n">
        <v>100</v>
      </c>
      <c r="I3315" s="1" t="n">
        <v>0.78</v>
      </c>
      <c r="J3315" t="n">
        <v>27150310</v>
      </c>
    </row>
    <row r="3316" ht="15.75" customHeight="1" s="201">
      <c r="A3316" s="1" t="inlineStr">
        <is>
          <t>Fish, lingcod, cooked, dry heat</t>
        </is>
      </c>
      <c r="C3316" s="1" t="n">
        <v>0</v>
      </c>
      <c r="D3316" s="1" t="n">
        <v>10</v>
      </c>
      <c r="E3316" s="1" t="n">
        <v>0.41</v>
      </c>
      <c r="F3316" s="1" t="n">
        <v>22.64</v>
      </c>
      <c r="G3316" s="1" t="n">
        <v>1.36</v>
      </c>
      <c r="H3316" s="1" t="n">
        <v>58</v>
      </c>
      <c r="I3316" s="1" t="n">
        <v>0.58</v>
      </c>
      <c r="J3316" t="n">
        <v>26100110</v>
      </c>
    </row>
    <row r="3317" ht="15.75" customHeight="1" s="201">
      <c r="A3317" s="1" t="inlineStr">
        <is>
          <t>Fish, lingcod, liver (Alaska Native)</t>
        </is>
      </c>
      <c r="C3317" s="1" t="n">
        <v>6</v>
      </c>
      <c r="E3317" s="1" t="n">
        <v>1</v>
      </c>
      <c r="F3317" s="1" t="n">
        <v>5.6</v>
      </c>
      <c r="G3317" s="1" t="n">
        <v>42</v>
      </c>
      <c r="H3317" s="1" t="n">
        <v>9100</v>
      </c>
      <c r="J3317" t="n">
        <v>25230560</v>
      </c>
    </row>
    <row r="3318" ht="15.75" customHeight="1" s="201">
      <c r="A3318" s="1" t="inlineStr">
        <is>
          <t>Fish, lingcod, meat, raw (Alaska Native)</t>
        </is>
      </c>
      <c r="C3318" s="1" t="n">
        <v>0</v>
      </c>
      <c r="F3318" s="1" t="n">
        <v>17.9</v>
      </c>
      <c r="G3318" s="1" t="n">
        <v>0.8</v>
      </c>
      <c r="H3318" s="1" t="n">
        <v>230</v>
      </c>
      <c r="J3318" t="n">
        <v>14620320</v>
      </c>
    </row>
    <row r="3319" ht="15.75" customHeight="1" s="201">
      <c r="A3319" s="1" t="inlineStr">
        <is>
          <t>Fish, lingcod, raw</t>
        </is>
      </c>
      <c r="C3319" s="1" t="n">
        <v>0</v>
      </c>
      <c r="D3319" s="1" t="n">
        <v>9</v>
      </c>
      <c r="E3319" s="1" t="n">
        <v>0.32</v>
      </c>
      <c r="F3319" s="1" t="n">
        <v>17.66</v>
      </c>
      <c r="G3319" s="1" t="n">
        <v>1.06</v>
      </c>
      <c r="H3319" s="1" t="n">
        <v>50</v>
      </c>
      <c r="I3319" s="1" t="n">
        <v>0.45</v>
      </c>
      <c r="J3319" t="n">
        <v>27150310</v>
      </c>
    </row>
    <row r="3320" ht="15.75" customHeight="1" s="201">
      <c r="A3320" s="1" t="inlineStr">
        <is>
          <t>Fish, mackerel, king, cooked, dry heat</t>
        </is>
      </c>
      <c r="C3320" s="1" t="n">
        <v>0</v>
      </c>
      <c r="D3320" s="1" t="n">
        <v>9</v>
      </c>
      <c r="E3320" s="1" t="n">
        <v>2.28</v>
      </c>
      <c r="F3320" s="1" t="n">
        <v>26</v>
      </c>
      <c r="G3320" s="1" t="n">
        <v>2.56</v>
      </c>
      <c r="H3320" s="1" t="n">
        <v>839</v>
      </c>
      <c r="I3320" s="1" t="n">
        <v>0.72</v>
      </c>
    </row>
    <row r="3321" ht="15.75" customHeight="1" s="201">
      <c r="A3321" s="1" t="inlineStr">
        <is>
          <t>Fish, mackerel, Pacific and jack, mixed species, cooked, dry heat</t>
        </is>
      </c>
      <c r="C3321" s="1" t="n">
        <v>0</v>
      </c>
      <c r="D3321" s="1" t="n">
        <v>2</v>
      </c>
      <c r="E3321" s="1" t="n">
        <v>1.49</v>
      </c>
      <c r="F3321" s="1" t="n">
        <v>25.73</v>
      </c>
      <c r="G3321" s="1" t="n">
        <v>10.12</v>
      </c>
      <c r="H3321" s="1" t="n">
        <v>77</v>
      </c>
      <c r="I3321" s="1" t="n">
        <v>0.86</v>
      </c>
    </row>
    <row r="3322" ht="15.75" customHeight="1" s="201">
      <c r="A3322" s="1" t="inlineStr">
        <is>
          <t>Fish, mackerel, Pacific and jack, mixed species, raw</t>
        </is>
      </c>
      <c r="C3322" s="1" t="n">
        <v>0</v>
      </c>
      <c r="D3322" s="1" t="n">
        <v>2</v>
      </c>
      <c r="E3322" s="1" t="n">
        <v>1.16</v>
      </c>
      <c r="F3322" s="1" t="n">
        <v>20.07</v>
      </c>
      <c r="G3322" s="1" t="n">
        <v>7.89</v>
      </c>
      <c r="H3322" s="1" t="n">
        <v>62</v>
      </c>
      <c r="I3322" s="1" t="n">
        <v>0.67</v>
      </c>
      <c r="J3322" t="n">
        <v>76407010</v>
      </c>
    </row>
    <row r="3323" ht="15.75" customHeight="1" s="201">
      <c r="A3323" s="1" t="inlineStr">
        <is>
          <t>Fish, mackerel, salted</t>
        </is>
      </c>
      <c r="C3323" s="1" t="n">
        <v>0</v>
      </c>
      <c r="D3323" s="1" t="n">
        <v>15</v>
      </c>
      <c r="E3323" s="1" t="n">
        <v>1.4</v>
      </c>
      <c r="F3323" s="1" t="n">
        <v>18.5</v>
      </c>
      <c r="G3323" s="1" t="n">
        <v>25.1</v>
      </c>
      <c r="H3323" s="1" t="n">
        <v>157</v>
      </c>
      <c r="I3323" s="1" t="n">
        <v>1.1</v>
      </c>
      <c r="J3323" t="n">
        <v>27150310</v>
      </c>
    </row>
    <row r="3324" ht="15.75" customHeight="1" s="201">
      <c r="A3324" s="1" t="inlineStr">
        <is>
          <t>Fish, mackerel</t>
        </is>
      </c>
      <c r="J3324" t="n">
        <v>27150310</v>
      </c>
    </row>
    <row r="3325" ht="15.75" customHeight="1" s="201">
      <c r="A3325" s="1" t="inlineStr">
        <is>
          <t>Fish, mackerel, spanish, cooked, dry heat</t>
        </is>
      </c>
      <c r="C3325" s="1" t="n">
        <v>0</v>
      </c>
      <c r="D3325" s="1" t="n">
        <v>1</v>
      </c>
      <c r="E3325" s="1" t="n">
        <v>0.74</v>
      </c>
      <c r="F3325" s="1" t="n">
        <v>23.59</v>
      </c>
      <c r="G3325" s="1" t="n">
        <v>6.32</v>
      </c>
      <c r="H3325" s="1" t="n">
        <v>109</v>
      </c>
      <c r="I3325" s="1" t="n">
        <v>0.62</v>
      </c>
    </row>
    <row r="3326" ht="15.75" customHeight="1" s="201">
      <c r="A3326" s="1" t="inlineStr">
        <is>
          <t>Fish, mackerel, spanish, raw</t>
        </is>
      </c>
      <c r="C3326" s="1" t="n">
        <v>0</v>
      </c>
      <c r="D3326" s="1" t="n">
        <v>1</v>
      </c>
      <c r="E3326" s="1" t="n">
        <v>0.44</v>
      </c>
      <c r="F3326" s="1" t="n">
        <v>19.29</v>
      </c>
      <c r="G3326" s="1" t="n">
        <v>6.3</v>
      </c>
      <c r="H3326" s="1" t="n">
        <v>130</v>
      </c>
      <c r="I3326" s="1" t="n">
        <v>0.49</v>
      </c>
      <c r="J3326" t="n">
        <v>27150310</v>
      </c>
    </row>
    <row r="3327" ht="15.75" customHeight="1" s="201">
      <c r="A3327" s="1" t="inlineStr">
        <is>
          <t>Fish, mahimahi, cooked, dry heat</t>
        </is>
      </c>
      <c r="C3327" s="1" t="n">
        <v>0</v>
      </c>
      <c r="D3327" s="1" t="n">
        <v>6</v>
      </c>
      <c r="E3327" s="1" t="n">
        <v>1.45</v>
      </c>
      <c r="F3327" s="1" t="n">
        <v>23.72</v>
      </c>
      <c r="G3327" s="1" t="n">
        <v>0.9</v>
      </c>
      <c r="H3327" s="1" t="n">
        <v>208</v>
      </c>
      <c r="I3327" s="1" t="n">
        <v>0.59</v>
      </c>
      <c r="J3327" t="n">
        <v>26100110</v>
      </c>
    </row>
    <row r="3328" ht="15.75" customHeight="1" s="201">
      <c r="A3328" s="1" t="inlineStr">
        <is>
          <t>Fish, mahimahi, raw</t>
        </is>
      </c>
      <c r="C3328" s="1" t="n">
        <v>0</v>
      </c>
      <c r="D3328" s="1" t="n">
        <v>5</v>
      </c>
      <c r="E3328" s="1" t="n">
        <v>1.13</v>
      </c>
      <c r="F3328" s="1" t="n">
        <v>18.5</v>
      </c>
      <c r="G3328" s="1" t="n">
        <v>0.7</v>
      </c>
      <c r="H3328" s="1" t="n">
        <v>180</v>
      </c>
      <c r="I3328" s="1" t="n">
        <v>0.46</v>
      </c>
      <c r="J3328" t="n">
        <v>26131120</v>
      </c>
    </row>
    <row r="3329" ht="15.75" customHeight="1" s="201">
      <c r="A3329" s="1" t="inlineStr">
        <is>
          <t>Fish, milkfish, cooked, dry heat</t>
        </is>
      </c>
      <c r="C3329" s="1" t="n">
        <v>0</v>
      </c>
      <c r="D3329" s="1" t="n">
        <v>18</v>
      </c>
      <c r="E3329" s="1" t="n">
        <v>0.41</v>
      </c>
      <c r="F3329" s="1" t="n">
        <v>26.32</v>
      </c>
      <c r="G3329" s="1" t="n">
        <v>8.630000000000001</v>
      </c>
      <c r="H3329" s="1" t="n">
        <v>109</v>
      </c>
      <c r="I3329" s="1" t="n">
        <v>1.05</v>
      </c>
      <c r="J3329" t="n">
        <v>26100110</v>
      </c>
    </row>
    <row r="3330" ht="15.75" customHeight="1" s="201">
      <c r="A3330" s="1" t="inlineStr">
        <is>
          <t>Fish, milkfish, raw</t>
        </is>
      </c>
      <c r="C3330" s="1" t="n">
        <v>0</v>
      </c>
      <c r="D3330" s="1" t="n">
        <v>16</v>
      </c>
      <c r="E3330" s="1" t="n">
        <v>0.32</v>
      </c>
      <c r="F3330" s="1" t="n">
        <v>20.53</v>
      </c>
      <c r="G3330" s="1" t="n">
        <v>6.73</v>
      </c>
      <c r="H3330" s="1" t="n">
        <v>100</v>
      </c>
      <c r="I3330" s="1" t="n">
        <v>0.82</v>
      </c>
      <c r="J3330" t="n">
        <v>27150310</v>
      </c>
    </row>
    <row r="3331" ht="15.75" customHeight="1" s="201">
      <c r="A3331" s="1" t="inlineStr">
        <is>
          <t>Fish, monkfish, cooked, dry heat</t>
        </is>
      </c>
      <c r="C3331" s="1" t="n">
        <v>0</v>
      </c>
      <c r="D3331" s="1" t="n">
        <v>8</v>
      </c>
      <c r="E3331" s="1" t="n">
        <v>0.41</v>
      </c>
      <c r="F3331" s="1" t="n">
        <v>18.56</v>
      </c>
      <c r="G3331" s="1" t="n">
        <v>1.95</v>
      </c>
      <c r="H3331" s="1" t="n">
        <v>46</v>
      </c>
      <c r="I3331" s="1" t="n">
        <v>0.53</v>
      </c>
      <c r="J3331" t="n">
        <v>26100110</v>
      </c>
    </row>
    <row r="3332" ht="15.75" customHeight="1" s="201">
      <c r="A3332" s="1" t="inlineStr">
        <is>
          <t>Fish, monkfish, raw</t>
        </is>
      </c>
      <c r="C3332" s="1" t="n">
        <v>0</v>
      </c>
      <c r="D3332" s="1" t="n">
        <v>7</v>
      </c>
      <c r="E3332" s="1" t="n">
        <v>0.32</v>
      </c>
      <c r="F3332" s="1" t="n">
        <v>14.48</v>
      </c>
      <c r="G3332" s="1" t="n">
        <v>1.52</v>
      </c>
      <c r="H3332" s="1" t="n">
        <v>40</v>
      </c>
      <c r="I3332" s="1" t="n">
        <v>0.41</v>
      </c>
      <c r="J3332" t="n">
        <v>27150310</v>
      </c>
    </row>
    <row r="3333" ht="15.75" customHeight="1" s="201">
      <c r="A3333" s="1" t="inlineStr">
        <is>
          <t>Fish, perch, mixed species, cooked, dry heat</t>
        </is>
      </c>
      <c r="C3333" s="1" t="n">
        <v>0</v>
      </c>
      <c r="D3333" s="1" t="n">
        <v>6</v>
      </c>
      <c r="E3333" s="1" t="n">
        <v>1.16</v>
      </c>
      <c r="F3333" s="1" t="n">
        <v>24.86</v>
      </c>
      <c r="G3333" s="1" t="n">
        <v>1.18</v>
      </c>
      <c r="H3333" s="1" t="n">
        <v>32</v>
      </c>
      <c r="I3333" s="1" t="n">
        <v>1.43</v>
      </c>
      <c r="J3333" t="n">
        <v>75311020</v>
      </c>
    </row>
    <row r="3334" ht="15.75" customHeight="1" s="201">
      <c r="A3334" s="1" t="inlineStr">
        <is>
          <t>Fish, perch, mixed species, raw</t>
        </is>
      </c>
      <c r="C3334" s="1" t="n">
        <v>0</v>
      </c>
      <c r="D3334" s="1" t="n">
        <v>5</v>
      </c>
      <c r="E3334" s="1" t="n">
        <v>0.9</v>
      </c>
      <c r="F3334" s="1" t="n">
        <v>19.39</v>
      </c>
      <c r="G3334" s="1" t="n">
        <v>0.92</v>
      </c>
      <c r="H3334" s="1" t="n">
        <v>30</v>
      </c>
      <c r="I3334" s="1" t="n">
        <v>1.11</v>
      </c>
      <c r="J3334" t="n">
        <v>76407010</v>
      </c>
    </row>
    <row r="3335" ht="15.75" customHeight="1" s="201">
      <c r="A3335" s="1" t="inlineStr">
        <is>
          <t>Fish, pike, northern, liver (Alaska Native)</t>
        </is>
      </c>
      <c r="C3335" s="1" t="n">
        <v>4.3</v>
      </c>
      <c r="E3335" s="1" t="n">
        <v>2.1</v>
      </c>
      <c r="F3335" s="1" t="n">
        <v>16.6</v>
      </c>
      <c r="G3335" s="1" t="n">
        <v>8</v>
      </c>
      <c r="H3335" s="1" t="n">
        <v>860</v>
      </c>
      <c r="J3335" t="n">
        <v>25230560</v>
      </c>
    </row>
    <row r="3336" ht="15.75" customHeight="1" s="201">
      <c r="A3336" s="1" t="inlineStr">
        <is>
          <t>Fish, pike, northern, raw</t>
        </is>
      </c>
      <c r="C3336" s="1" t="n">
        <v>0</v>
      </c>
      <c r="D3336" s="1" t="n">
        <v>15</v>
      </c>
      <c r="E3336" s="1" t="n">
        <v>0.55</v>
      </c>
      <c r="F3336" s="1" t="n">
        <v>19.26</v>
      </c>
      <c r="G3336" s="1" t="n">
        <v>0.6899999999999999</v>
      </c>
      <c r="H3336" s="1" t="n">
        <v>70</v>
      </c>
      <c r="I3336" s="1" t="n">
        <v>0.67</v>
      </c>
      <c r="J3336" t="n">
        <v>27150310</v>
      </c>
    </row>
    <row r="3337" ht="15.75" customHeight="1" s="201">
      <c r="A3337" s="1" t="inlineStr">
        <is>
          <t>Fish, pike, walleye, cooked, dry heat</t>
        </is>
      </c>
      <c r="C3337" s="1" t="n">
        <v>0</v>
      </c>
      <c r="D3337" s="1" t="n">
        <v>17</v>
      </c>
      <c r="E3337" s="1" t="n">
        <v>1.67</v>
      </c>
      <c r="F3337" s="1" t="n">
        <v>24.54</v>
      </c>
      <c r="G3337" s="1" t="n">
        <v>1.56</v>
      </c>
      <c r="H3337" s="1" t="n">
        <v>81</v>
      </c>
      <c r="I3337" s="1" t="n">
        <v>0.79</v>
      </c>
    </row>
    <row r="3338" ht="15.75" customHeight="1" s="201">
      <c r="A3338" s="1" t="inlineStr">
        <is>
          <t>Fish, pollock, Alaska, cooked</t>
        </is>
      </c>
      <c r="C3338" s="1" t="n">
        <v>0</v>
      </c>
      <c r="E3338" s="1" t="n">
        <v>0.29</v>
      </c>
      <c r="F3338" s="1" t="n">
        <v>19.42</v>
      </c>
      <c r="G3338" s="1" t="n">
        <v>0.9946</v>
      </c>
      <c r="I3338" s="1" t="n">
        <v>0.44</v>
      </c>
      <c r="J3338" t="n">
        <v>26100110</v>
      </c>
    </row>
    <row r="3339" ht="15.75" customHeight="1" s="201">
      <c r="A3339" s="1" t="inlineStr">
        <is>
          <t>Fish, pollock, Alaska, cooked, dry heat (may contain additives to retain moisture)</t>
        </is>
      </c>
      <c r="C3339" s="1" t="n">
        <v>0</v>
      </c>
      <c r="D3339" s="1" t="n">
        <v>3</v>
      </c>
      <c r="E3339" s="1" t="n">
        <v>0.5600000000000001</v>
      </c>
      <c r="F3339" s="1" t="n">
        <v>23.48</v>
      </c>
      <c r="G3339" s="1" t="n">
        <v>1.18</v>
      </c>
      <c r="H3339" s="1" t="n">
        <v>51</v>
      </c>
      <c r="I3339" s="1" t="n">
        <v>0.57</v>
      </c>
    </row>
    <row r="3340" ht="15.75" customHeight="1" s="201">
      <c r="A3340" s="1" t="inlineStr">
        <is>
          <t>Fish, pollock, Alaska, raw</t>
        </is>
      </c>
      <c r="C3340" s="1" t="n">
        <v>0</v>
      </c>
      <c r="E3340" s="1" t="n">
        <v>0.27</v>
      </c>
      <c r="F3340" s="1" t="n">
        <v>17.17</v>
      </c>
      <c r="G3340" s="1" t="n">
        <v>0.82</v>
      </c>
      <c r="I3340" s="1" t="n">
        <v>0.4</v>
      </c>
      <c r="J3340" t="n">
        <v>27150310</v>
      </c>
    </row>
    <row r="3341" ht="15.75" customHeight="1" s="201">
      <c r="A3341" s="1" t="inlineStr">
        <is>
          <t>Fish, pollock, Atlantic, cooked, dry heat</t>
        </is>
      </c>
      <c r="C3341" s="1" t="n">
        <v>0</v>
      </c>
      <c r="D3341" s="1" t="n">
        <v>3</v>
      </c>
      <c r="E3341" s="1" t="n">
        <v>0.59</v>
      </c>
      <c r="F3341" s="1" t="n">
        <v>24.92</v>
      </c>
      <c r="G3341" s="1" t="n">
        <v>1.26</v>
      </c>
      <c r="H3341" s="1" t="n">
        <v>40</v>
      </c>
      <c r="I3341" s="1" t="n">
        <v>0.6</v>
      </c>
    </row>
    <row r="3342" ht="15.75" customHeight="1" s="201">
      <c r="A3342" s="1" t="inlineStr">
        <is>
          <t>Fish, pollock</t>
        </is>
      </c>
      <c r="J3342" t="n">
        <v>27150310</v>
      </c>
    </row>
    <row r="3343" ht="15.75" customHeight="1" s="201">
      <c r="A3343" s="1" t="inlineStr">
        <is>
          <t>Fish, pompano, florida, cooked, dry heat</t>
        </is>
      </c>
      <c r="C3343" s="1" t="n">
        <v>0</v>
      </c>
      <c r="D3343" s="1" t="n">
        <v>17</v>
      </c>
      <c r="E3343" s="1" t="n">
        <v>0.67</v>
      </c>
      <c r="F3343" s="1" t="n">
        <v>23.69</v>
      </c>
      <c r="G3343" s="1" t="n">
        <v>12.14</v>
      </c>
      <c r="H3343" s="1" t="n">
        <v>120</v>
      </c>
      <c r="I3343" s="1" t="n">
        <v>0.6899999999999999</v>
      </c>
    </row>
    <row r="3344" ht="15.75" customHeight="1" s="201">
      <c r="A3344" s="1" t="inlineStr">
        <is>
          <t>Fish, pompano, florida, raw</t>
        </is>
      </c>
      <c r="C3344" s="1" t="n">
        <v>0</v>
      </c>
      <c r="D3344" s="1" t="n">
        <v>15</v>
      </c>
      <c r="E3344" s="1" t="n">
        <v>0.6</v>
      </c>
      <c r="F3344" s="1" t="n">
        <v>18.48</v>
      </c>
      <c r="G3344" s="1" t="n">
        <v>9.470000000000001</v>
      </c>
      <c r="H3344" s="1" t="n">
        <v>132</v>
      </c>
      <c r="I3344" s="1" t="n">
        <v>0.72</v>
      </c>
      <c r="J3344" t="n">
        <v>26131120</v>
      </c>
    </row>
    <row r="3345" ht="15.75" customHeight="1" s="201">
      <c r="A3345" s="1" t="inlineStr">
        <is>
          <t>Fish, pout, ocean, cooked, dry heat</t>
        </is>
      </c>
      <c r="C3345" s="1" t="n">
        <v>0</v>
      </c>
      <c r="D3345" s="1" t="n">
        <v>8</v>
      </c>
      <c r="E3345" s="1" t="n">
        <v>0.36</v>
      </c>
      <c r="F3345" s="1" t="n">
        <v>21.33</v>
      </c>
      <c r="G3345" s="1" t="n">
        <v>1.17</v>
      </c>
      <c r="H3345" s="1" t="n">
        <v>46</v>
      </c>
      <c r="I3345" s="1" t="n">
        <v>1.32</v>
      </c>
    </row>
    <row r="3346" ht="15.75" customHeight="1" s="201">
      <c r="A3346" s="1" t="inlineStr">
        <is>
          <t>Fish, pout, ocean, raw</t>
        </is>
      </c>
      <c r="C3346" s="1" t="n">
        <v>0</v>
      </c>
      <c r="D3346" s="1" t="n">
        <v>7</v>
      </c>
      <c r="E3346" s="1" t="n">
        <v>0.28</v>
      </c>
      <c r="F3346" s="1" t="n">
        <v>16.64</v>
      </c>
      <c r="G3346" s="1" t="n">
        <v>0.91</v>
      </c>
      <c r="H3346" s="1" t="n">
        <v>40</v>
      </c>
      <c r="I3346" s="1" t="n">
        <v>1.03</v>
      </c>
      <c r="J3346" t="n">
        <v>27150310</v>
      </c>
    </row>
    <row r="3347" ht="15.75" customHeight="1" s="201">
      <c r="A3347" s="1" t="inlineStr">
        <is>
          <t>Fish, rockfish, Pacific, mixed species, raw</t>
        </is>
      </c>
      <c r="C3347" s="1" t="n">
        <v>0</v>
      </c>
      <c r="D3347" s="1" t="n">
        <v>9</v>
      </c>
      <c r="E3347" s="1" t="n">
        <v>0.3</v>
      </c>
      <c r="F3347" s="1" t="n">
        <v>18.36</v>
      </c>
      <c r="G3347" s="1" t="n">
        <v>1.34</v>
      </c>
      <c r="H3347" s="1" t="n">
        <v>15</v>
      </c>
      <c r="I3347" s="1" t="n">
        <v>0.36</v>
      </c>
      <c r="J3347" t="n">
        <v>76407010</v>
      </c>
    </row>
    <row r="3348" ht="15.75" customHeight="1" s="201">
      <c r="A3348" s="1" t="inlineStr">
        <is>
          <t>Fish, roe, mixed species, cooked, dry heat</t>
        </is>
      </c>
      <c r="C3348" s="1" t="n">
        <v>1.92</v>
      </c>
      <c r="D3348" s="1" t="n">
        <v>92</v>
      </c>
      <c r="E3348" s="1" t="n">
        <v>0.77</v>
      </c>
      <c r="F3348" s="1" t="n">
        <v>28.62</v>
      </c>
      <c r="G3348" s="1" t="n">
        <v>8.23</v>
      </c>
      <c r="H3348" s="1" t="n">
        <v>303</v>
      </c>
      <c r="I3348" s="1" t="n">
        <v>1.28</v>
      </c>
      <c r="J3348" t="n">
        <v>75311020</v>
      </c>
    </row>
    <row r="3349" ht="15.75" customHeight="1" s="201">
      <c r="A3349" s="1" t="inlineStr">
        <is>
          <t>Fish, roughy, orange, cooked, dry heat</t>
        </is>
      </c>
      <c r="C3349" s="1" t="n">
        <v>0</v>
      </c>
      <c r="D3349" s="1" t="n">
        <v>5</v>
      </c>
      <c r="E3349" s="1" t="n">
        <v>1.13</v>
      </c>
      <c r="F3349" s="1" t="n">
        <v>22.64</v>
      </c>
      <c r="G3349" s="1" t="n">
        <v>0.9</v>
      </c>
      <c r="H3349" s="1" t="n">
        <v>80</v>
      </c>
      <c r="I3349" s="1" t="n">
        <v>0.32</v>
      </c>
      <c r="J3349" t="n">
        <v>92550350</v>
      </c>
    </row>
    <row r="3350" ht="15.75" customHeight="1" s="201">
      <c r="A3350" s="1" t="inlineStr">
        <is>
          <t>Fish, sablefish, cooked, dry heat</t>
        </is>
      </c>
      <c r="C3350" s="1" t="n">
        <v>0</v>
      </c>
      <c r="D3350" s="1" t="n">
        <v>17</v>
      </c>
      <c r="E3350" s="1" t="n">
        <v>1.64</v>
      </c>
      <c r="F3350" s="1" t="n">
        <v>17.19</v>
      </c>
      <c r="G3350" s="1" t="n">
        <v>19.62</v>
      </c>
      <c r="H3350" s="1" t="n">
        <v>338</v>
      </c>
      <c r="I3350" s="1" t="n">
        <v>0.41</v>
      </c>
      <c r="J3350" t="n">
        <v>26100110</v>
      </c>
    </row>
    <row r="3351" ht="15.75" customHeight="1" s="201">
      <c r="A3351" s="1" t="inlineStr">
        <is>
          <t>Fish, sablefish, smoked</t>
        </is>
      </c>
      <c r="C3351" s="1" t="n">
        <v>0</v>
      </c>
      <c r="D3351" s="1" t="n">
        <v>20</v>
      </c>
      <c r="E3351" s="1" t="n">
        <v>1.69</v>
      </c>
      <c r="F3351" s="1" t="n">
        <v>17.65</v>
      </c>
      <c r="G3351" s="1" t="n">
        <v>20.14</v>
      </c>
      <c r="H3351" s="1" t="n">
        <v>408</v>
      </c>
      <c r="I3351" s="1" t="n">
        <v>0.43</v>
      </c>
      <c r="J3351" t="n">
        <v>26100190</v>
      </c>
    </row>
    <row r="3352" ht="15.75" customHeight="1" s="201">
      <c r="A3352" s="1" t="inlineStr">
        <is>
          <t>Fish, salmon, Atlantic, wild, cooked, dry heat</t>
        </is>
      </c>
      <c r="C3352" s="1" t="n">
        <v>0</v>
      </c>
      <c r="D3352" s="1" t="n">
        <v>29</v>
      </c>
      <c r="E3352" s="1" t="n">
        <v>1.03</v>
      </c>
      <c r="F3352" s="1" t="n">
        <v>25.44</v>
      </c>
      <c r="G3352" s="1" t="n">
        <v>8.130000000000001</v>
      </c>
      <c r="H3352" s="1" t="n">
        <v>44</v>
      </c>
      <c r="I3352" s="1" t="n">
        <v>0.82</v>
      </c>
      <c r="J3352" t="n">
        <v>56205320</v>
      </c>
    </row>
    <row r="3353" ht="15.75" customHeight="1" s="201">
      <c r="A3353" s="1" t="inlineStr">
        <is>
          <t>Fish, salmon, Atlantic, wild, raw</t>
        </is>
      </c>
      <c r="C3353" s="1" t="n">
        <v>0</v>
      </c>
      <c r="D3353" s="1" t="n">
        <v>25</v>
      </c>
      <c r="E3353" s="1" t="n">
        <v>0.8</v>
      </c>
      <c r="F3353" s="1" t="n">
        <v>19.84</v>
      </c>
      <c r="G3353" s="1" t="n">
        <v>6.34</v>
      </c>
      <c r="H3353" s="1" t="n">
        <v>40</v>
      </c>
      <c r="I3353" s="1" t="n">
        <v>0.64</v>
      </c>
      <c r="J3353" t="n">
        <v>56205320</v>
      </c>
    </row>
    <row r="3354" ht="15.75" customHeight="1" s="201">
      <c r="A3354" s="1" t="inlineStr">
        <is>
          <t>Fish, salmon, chinook, cooked, dry heat</t>
        </is>
      </c>
      <c r="C3354" s="1" t="n">
        <v>0</v>
      </c>
      <c r="D3354" s="1" t="n">
        <v>35</v>
      </c>
      <c r="E3354" s="1" t="n">
        <v>0.91</v>
      </c>
      <c r="F3354" s="1" t="n">
        <v>25.72</v>
      </c>
      <c r="G3354" s="1" t="n">
        <v>13.38</v>
      </c>
      <c r="H3354" s="1" t="n">
        <v>496</v>
      </c>
      <c r="I3354" s="1" t="n">
        <v>0.5600000000000001</v>
      </c>
    </row>
    <row r="3355" ht="15.75" customHeight="1" s="201">
      <c r="A3355" s="1" t="inlineStr">
        <is>
          <t>Fish, salmon, chinook, raw</t>
        </is>
      </c>
      <c r="C3355" s="1" t="n">
        <v>0</v>
      </c>
      <c r="D3355" s="1" t="n">
        <v>30</v>
      </c>
      <c r="E3355" s="1" t="n">
        <v>0.25</v>
      </c>
      <c r="F3355" s="1" t="n">
        <v>19.93</v>
      </c>
      <c r="G3355" s="1" t="n">
        <v>10.43</v>
      </c>
      <c r="H3355" s="1" t="n">
        <v>453</v>
      </c>
      <c r="I3355" s="1" t="n">
        <v>0.44</v>
      </c>
      <c r="J3355" t="n">
        <v>27150310</v>
      </c>
    </row>
    <row r="3356" ht="15.75" customHeight="1" s="201">
      <c r="A3356" s="1" t="inlineStr">
        <is>
          <t>Fish, salmon, chinook, smoked</t>
        </is>
      </c>
      <c r="C3356" s="1" t="n">
        <v>0</v>
      </c>
      <c r="D3356" s="1" t="n">
        <v>2</v>
      </c>
      <c r="E3356" s="1" t="n">
        <v>0.85</v>
      </c>
      <c r="F3356" s="1" t="n">
        <v>18.28</v>
      </c>
      <c r="G3356" s="1" t="n">
        <v>4.32</v>
      </c>
      <c r="H3356" s="1" t="n">
        <v>87</v>
      </c>
      <c r="I3356" s="1" t="n">
        <v>0.31</v>
      </c>
      <c r="J3356" t="n">
        <v>26100190</v>
      </c>
    </row>
    <row r="3357" ht="15.75" customHeight="1" s="201">
      <c r="A3357" s="1" t="inlineStr">
        <is>
          <t>Fish, salmon, chinook, smoked, (lox), regular</t>
        </is>
      </c>
      <c r="C3357" s="1" t="n">
        <v>0</v>
      </c>
      <c r="D3357" s="1" t="n">
        <v>2</v>
      </c>
      <c r="E3357" s="1" t="n">
        <v>0.85</v>
      </c>
      <c r="F3357" s="1" t="n">
        <v>18.28</v>
      </c>
      <c r="G3357" s="1" t="n">
        <v>4.32</v>
      </c>
      <c r="H3357" s="1" t="n">
        <v>88</v>
      </c>
      <c r="I3357" s="1" t="n">
        <v>0.31</v>
      </c>
      <c r="J3357" t="n">
        <v>14420200</v>
      </c>
    </row>
    <row r="3358" ht="15.75" customHeight="1" s="201">
      <c r="A3358" s="1" t="inlineStr">
        <is>
          <t>Fish, salmon, chum, canned, without salt, drained solids with bone</t>
        </is>
      </c>
      <c r="C3358" s="1" t="n">
        <v>0</v>
      </c>
      <c r="D3358" s="1" t="n">
        <v>20</v>
      </c>
      <c r="E3358" s="1" t="n">
        <v>0.7</v>
      </c>
      <c r="F3358" s="1" t="n">
        <v>21.43</v>
      </c>
      <c r="G3358" s="1" t="n">
        <v>5.5</v>
      </c>
      <c r="H3358" s="1" t="n">
        <v>61</v>
      </c>
      <c r="I3358" s="1" t="n">
        <v>1</v>
      </c>
      <c r="J3358" t="n">
        <v>75142550</v>
      </c>
    </row>
    <row r="3359" ht="15.75" customHeight="1" s="201">
      <c r="A3359" s="1" t="inlineStr">
        <is>
          <t>Fish, salmon, chum, cooked, dry heat</t>
        </is>
      </c>
      <c r="C3359" s="1" t="n">
        <v>0</v>
      </c>
      <c r="D3359" s="1" t="n">
        <v>5</v>
      </c>
      <c r="E3359" s="1" t="n">
        <v>0.71</v>
      </c>
      <c r="F3359" s="1" t="n">
        <v>25.82</v>
      </c>
      <c r="G3359" s="1" t="n">
        <v>4.83</v>
      </c>
      <c r="H3359" s="1" t="n">
        <v>114</v>
      </c>
      <c r="I3359" s="1" t="n">
        <v>0.6</v>
      </c>
    </row>
    <row r="3360" ht="15.75" customHeight="1" s="201">
      <c r="A3360" s="1" t="inlineStr">
        <is>
          <t>Fish, salmon, chum, dried (Alaska Native)</t>
        </is>
      </c>
      <c r="C3360" s="1" t="n">
        <v>0</v>
      </c>
      <c r="D3360" s="1" t="n">
        <v>12</v>
      </c>
      <c r="E3360" s="1" t="n">
        <v>2.2</v>
      </c>
      <c r="F3360" s="1" t="n">
        <v>62.09</v>
      </c>
      <c r="G3360" s="1" t="n">
        <v>14.38</v>
      </c>
      <c r="H3360" s="1" t="n">
        <v>53</v>
      </c>
      <c r="I3360" s="1" t="n">
        <v>1.4</v>
      </c>
    </row>
    <row r="3361" ht="15.75" customHeight="1" s="201">
      <c r="A3361" s="1" t="inlineStr">
        <is>
          <t>Fish, salmon, chum, raw</t>
        </is>
      </c>
      <c r="C3361" s="1" t="n">
        <v>0</v>
      </c>
      <c r="D3361" s="1" t="n">
        <v>4</v>
      </c>
      <c r="E3361" s="1" t="n">
        <v>0.55</v>
      </c>
      <c r="F3361" s="1" t="n">
        <v>20.14</v>
      </c>
      <c r="G3361" s="1" t="n">
        <v>3.77</v>
      </c>
      <c r="H3361" s="1" t="n">
        <v>99</v>
      </c>
      <c r="I3361" s="1" t="n">
        <v>0.47</v>
      </c>
      <c r="J3361" t="n">
        <v>27150310</v>
      </c>
    </row>
    <row r="3362" ht="15.75" customHeight="1" s="201">
      <c r="A3362" s="1" t="inlineStr">
        <is>
          <t>Fish, Salmon, Chum, raw (Alaska Native)</t>
        </is>
      </c>
      <c r="C3362" s="1" t="n">
        <v>0</v>
      </c>
      <c r="D3362" s="1" t="n">
        <v>18</v>
      </c>
      <c r="E3362" s="1" t="n">
        <v>0.5600000000000001</v>
      </c>
      <c r="F3362" s="1" t="n">
        <v>20.69</v>
      </c>
      <c r="G3362" s="1" t="n">
        <v>3.67</v>
      </c>
      <c r="H3362" s="1" t="n">
        <v>105</v>
      </c>
      <c r="I3362" s="1" t="n">
        <v>0.54</v>
      </c>
    </row>
    <row r="3363" ht="15.75" customHeight="1" s="201">
      <c r="A3363" s="1" t="inlineStr">
        <is>
          <t>Fish, salmon, coho (silver), raw (Alaska Native)</t>
        </is>
      </c>
      <c r="C3363" s="1" t="n">
        <v>0</v>
      </c>
      <c r="D3363" s="1" t="n">
        <v>13</v>
      </c>
      <c r="E3363" s="1" t="n">
        <v>0.55</v>
      </c>
      <c r="F3363" s="1" t="n">
        <v>22.56</v>
      </c>
      <c r="G3363" s="1" t="n">
        <v>5.57</v>
      </c>
      <c r="H3363" s="1" t="n">
        <v>100</v>
      </c>
      <c r="I3363" s="1" t="n">
        <v>0.41</v>
      </c>
    </row>
    <row r="3364" ht="15.75" customHeight="1" s="201">
      <c r="A3364" s="1" t="inlineStr">
        <is>
          <t>Fish, salmon, coho, farmed, cooked, dry heat</t>
        </is>
      </c>
      <c r="C3364" s="1" t="n">
        <v>0</v>
      </c>
      <c r="D3364" s="1" t="n">
        <v>14</v>
      </c>
      <c r="E3364" s="1" t="n">
        <v>0.39</v>
      </c>
      <c r="F3364" s="1" t="n">
        <v>24.3</v>
      </c>
      <c r="G3364" s="1" t="n">
        <v>8.23</v>
      </c>
      <c r="H3364" s="1" t="n">
        <v>197</v>
      </c>
      <c r="I3364" s="1" t="n">
        <v>0.47</v>
      </c>
    </row>
    <row r="3365" ht="15.75" customHeight="1" s="201">
      <c r="A3365" s="1" t="inlineStr">
        <is>
          <t>Fish, salmon, coho, farmed, raw</t>
        </is>
      </c>
      <c r="C3365" s="1" t="n">
        <v>0</v>
      </c>
      <c r="D3365" s="1" t="n">
        <v>13</v>
      </c>
      <c r="E3365" s="1" t="n">
        <v>0.34</v>
      </c>
      <c r="F3365" s="1" t="n">
        <v>21.27</v>
      </c>
      <c r="G3365" s="1" t="n">
        <v>7.67</v>
      </c>
      <c r="H3365" s="1" t="n">
        <v>188</v>
      </c>
      <c r="I3365" s="1" t="n">
        <v>0.43</v>
      </c>
      <c r="J3365" t="n">
        <v>27150310</v>
      </c>
    </row>
    <row r="3366" ht="15.75" customHeight="1" s="201">
      <c r="A3366" s="1" t="inlineStr">
        <is>
          <t>Fish, salmon, coho, wild, cooked, dry heat</t>
        </is>
      </c>
      <c r="C3366" s="1" t="n">
        <v>0</v>
      </c>
      <c r="D3366" s="1" t="n">
        <v>13</v>
      </c>
      <c r="E3366" s="1" t="n">
        <v>0.61</v>
      </c>
      <c r="F3366" s="1" t="n">
        <v>23.45</v>
      </c>
      <c r="G3366" s="1" t="n">
        <v>4.3</v>
      </c>
      <c r="H3366" s="1" t="n">
        <v>169</v>
      </c>
      <c r="I3366" s="1" t="n">
        <v>0.5600000000000001</v>
      </c>
      <c r="J3366" t="n">
        <v>56205320</v>
      </c>
    </row>
    <row r="3367" ht="15.75" customHeight="1" s="201">
      <c r="A3367" s="1" t="inlineStr">
        <is>
          <t>Fish, salmon, king (chinook), raw (Alaska Native)</t>
        </is>
      </c>
      <c r="C3367" s="1" t="n">
        <v>0</v>
      </c>
      <c r="D3367" s="1" t="n">
        <v>15</v>
      </c>
      <c r="E3367" s="1" t="n">
        <v>0.79</v>
      </c>
      <c r="F3367" s="1" t="n">
        <v>20.25</v>
      </c>
      <c r="G3367" s="1" t="n">
        <v>11.73</v>
      </c>
      <c r="H3367" s="1" t="n">
        <v>453</v>
      </c>
      <c r="I3367" s="1" t="n">
        <v>0.52</v>
      </c>
    </row>
    <row r="3368" ht="15.75" customHeight="1" s="201">
      <c r="A3368" s="1" t="inlineStr">
        <is>
          <t>Fish, salmon, king, chinook, kippered, canned (Alaska Native)</t>
        </is>
      </c>
      <c r="C3368" s="1" t="n">
        <v>0</v>
      </c>
      <c r="E3368" s="1" t="n">
        <v>1.7</v>
      </c>
      <c r="F3368" s="1" t="n">
        <v>30.7</v>
      </c>
      <c r="G3368" s="1" t="n">
        <v>15.9</v>
      </c>
      <c r="H3368" s="1" t="n">
        <v>50</v>
      </c>
    </row>
    <row r="3369" ht="15.75" customHeight="1" s="201">
      <c r="A3369" s="1" t="inlineStr">
        <is>
          <t>Fish, salmon, king, chinook, liver (Alaska Native)</t>
        </is>
      </c>
      <c r="C3369" s="1" t="n">
        <v>4.3</v>
      </c>
      <c r="E3369" s="1" t="n">
        <v>2.6</v>
      </c>
      <c r="F3369" s="1" t="n">
        <v>16.6</v>
      </c>
      <c r="G3369" s="1" t="n">
        <v>8</v>
      </c>
      <c r="H3369" s="1" t="n">
        <v>3140</v>
      </c>
      <c r="J3369" t="n">
        <v>25230560</v>
      </c>
    </row>
    <row r="3370" ht="15.75" customHeight="1" s="201">
      <c r="A3370" s="1" t="inlineStr">
        <is>
          <t>Fish, salmon, king, chinook, smoked and canned (Alaska Native)</t>
        </is>
      </c>
      <c r="C3370" s="1" t="n">
        <v>0</v>
      </c>
      <c r="E3370" s="1" t="n">
        <v>1.8</v>
      </c>
      <c r="F3370" s="1" t="n">
        <v>23.2</v>
      </c>
      <c r="G3370" s="1" t="n">
        <v>5.9</v>
      </c>
      <c r="H3370" s="1" t="n">
        <v>319</v>
      </c>
    </row>
    <row r="3371" ht="15.75" customHeight="1" s="201">
      <c r="A3371" s="1" t="inlineStr">
        <is>
          <t>Fish, salmon, king, chinook, smoked, brined (Alaska Native)</t>
        </is>
      </c>
      <c r="C3371" s="1" t="n">
        <v>0</v>
      </c>
      <c r="E3371" s="1" t="n">
        <v>4.5</v>
      </c>
      <c r="F3371" s="1" t="n">
        <v>39.9</v>
      </c>
      <c r="G3371" s="1" t="n">
        <v>30</v>
      </c>
      <c r="H3371" s="1" t="n">
        <v>527</v>
      </c>
    </row>
    <row r="3372" ht="15.75" customHeight="1" s="201">
      <c r="A3372" s="1" t="inlineStr">
        <is>
          <t>Fish, salmon, king, with skin, kippered, (Alaska Native)</t>
        </is>
      </c>
      <c r="C3372" s="1" t="n">
        <v>0</v>
      </c>
      <c r="D3372" s="1" t="n">
        <v>3</v>
      </c>
      <c r="E3372" s="1" t="n">
        <v>0.55</v>
      </c>
      <c r="F3372" s="1" t="n">
        <v>23.19</v>
      </c>
      <c r="G3372" s="1" t="n">
        <v>12.95</v>
      </c>
      <c r="H3372" s="1" t="n">
        <v>41</v>
      </c>
      <c r="I3372" s="1" t="n">
        <v>0.77</v>
      </c>
      <c r="J3372" t="n">
        <v>75142550</v>
      </c>
    </row>
    <row r="3373" ht="15.75" customHeight="1" s="201">
      <c r="A3373" s="1" t="inlineStr">
        <is>
          <t>Fish, Salmon, pink, canned, drained solids, without skin and bones</t>
        </is>
      </c>
      <c r="C3373" s="1" t="n">
        <v>0</v>
      </c>
      <c r="D3373" s="1" t="n">
        <v>4</v>
      </c>
      <c r="E3373" s="1" t="n">
        <v>0.57</v>
      </c>
      <c r="F3373" s="1" t="n">
        <v>24.62</v>
      </c>
      <c r="G3373" s="1" t="n">
        <v>4.21</v>
      </c>
      <c r="H3373" s="1" t="n">
        <v>66</v>
      </c>
      <c r="I3373" s="1" t="n">
        <v>0.65</v>
      </c>
    </row>
    <row r="3374" ht="15.75" customHeight="1" s="201">
      <c r="A3374" s="1" t="inlineStr">
        <is>
          <t>Fish, salmon, pink, canned, total can contents</t>
        </is>
      </c>
      <c r="C3374" s="1" t="n">
        <v>0</v>
      </c>
      <c r="D3374" s="1" t="n">
        <v>15</v>
      </c>
      <c r="E3374" s="1" t="n">
        <v>0.64</v>
      </c>
      <c r="F3374" s="1" t="n">
        <v>19.68</v>
      </c>
      <c r="G3374" s="1" t="n">
        <v>4.97</v>
      </c>
      <c r="H3374" s="1" t="n">
        <v>57</v>
      </c>
      <c r="I3374" s="1" t="n">
        <v>0.76</v>
      </c>
      <c r="J3374" t="n">
        <v>63311110</v>
      </c>
    </row>
    <row r="3375" ht="15.75" customHeight="1" s="201">
      <c r="A3375" s="1" t="inlineStr">
        <is>
          <t>Fish, salmon, pink, canned, without salt, solids with bone and liquid</t>
        </is>
      </c>
      <c r="C3375" s="1" t="n">
        <v>0</v>
      </c>
      <c r="D3375" s="1" t="n">
        <v>15</v>
      </c>
      <c r="E3375" s="1" t="n">
        <v>0.84</v>
      </c>
      <c r="F3375" s="1" t="n">
        <v>19.78</v>
      </c>
      <c r="G3375" s="1" t="n">
        <v>6.05</v>
      </c>
      <c r="H3375" s="1" t="n">
        <v>55</v>
      </c>
      <c r="I3375" s="1" t="n">
        <v>0.92</v>
      </c>
      <c r="J3375" t="n">
        <v>75142550</v>
      </c>
    </row>
    <row r="3376" ht="15.75" customHeight="1" s="201">
      <c r="A3376" s="1" t="inlineStr">
        <is>
          <t>Fish, salmon, pink, cooked, dry heat</t>
        </is>
      </c>
      <c r="C3376" s="1" t="n">
        <v>0</v>
      </c>
      <c r="D3376" s="1" t="n">
        <v>5</v>
      </c>
      <c r="E3376" s="1" t="n">
        <v>0.45</v>
      </c>
      <c r="F3376" s="1" t="n">
        <v>24.58</v>
      </c>
      <c r="G3376" s="1" t="n">
        <v>5.28</v>
      </c>
      <c r="H3376" s="1" t="n">
        <v>126</v>
      </c>
      <c r="I3376" s="1" t="n">
        <v>0.46</v>
      </c>
    </row>
    <row r="3377" ht="15.75" customHeight="1" s="201">
      <c r="A3377" s="1" t="inlineStr">
        <is>
          <t>Fish, salmon, red, (sockeye), canned, smoked (Alaska Native)</t>
        </is>
      </c>
      <c r="C3377" s="1" t="n">
        <v>0</v>
      </c>
      <c r="D3377" s="1" t="n">
        <v>4</v>
      </c>
      <c r="E3377" s="1" t="n">
        <v>1.5</v>
      </c>
      <c r="F3377" s="1" t="n">
        <v>35.19</v>
      </c>
      <c r="G3377" s="1" t="n">
        <v>7.26</v>
      </c>
      <c r="H3377" s="1" t="n">
        <v>63</v>
      </c>
      <c r="I3377" s="1" t="n">
        <v>1.1</v>
      </c>
    </row>
    <row r="3378" ht="15.75" customHeight="1" s="201">
      <c r="A3378" s="1" t="inlineStr">
        <is>
          <t>Fish, salmon, red, (sockeye), kippered (Alaska Native)</t>
        </is>
      </c>
      <c r="C3378" s="1" t="n">
        <v>0</v>
      </c>
      <c r="D3378" s="1" t="n">
        <v>6</v>
      </c>
      <c r="E3378" s="1" t="n">
        <v>0.49</v>
      </c>
      <c r="F3378" s="1" t="n">
        <v>24.5</v>
      </c>
      <c r="G3378" s="1" t="n">
        <v>4.75</v>
      </c>
      <c r="H3378" s="1" t="n">
        <v>50</v>
      </c>
      <c r="I3378" s="1" t="n">
        <v>0.75</v>
      </c>
    </row>
    <row r="3379" ht="15.75" customHeight="1" s="201">
      <c r="A3379" s="1" t="inlineStr">
        <is>
          <t>Fish, salmon, red, canned, bones removed (Alaska Native)</t>
        </is>
      </c>
      <c r="C3379" s="1" t="n">
        <v>0</v>
      </c>
      <c r="D3379" s="1" t="n">
        <v>7</v>
      </c>
      <c r="E3379" s="1" t="n">
        <v>1.9</v>
      </c>
      <c r="F3379" s="1" t="n">
        <v>27.31</v>
      </c>
      <c r="G3379" s="1" t="n">
        <v>5.76</v>
      </c>
      <c r="H3379" s="1" t="n">
        <v>216</v>
      </c>
      <c r="I3379" s="1" t="n">
        <v>0.66</v>
      </c>
    </row>
    <row r="3380" ht="15.75" customHeight="1" s="201">
      <c r="A3380" s="1" t="inlineStr">
        <is>
          <t>Fish, salmon, sockeye (red), raw (Alaska Native)</t>
        </is>
      </c>
      <c r="C3380" s="1" t="n">
        <v>0</v>
      </c>
      <c r="D3380" s="1" t="n">
        <v>11</v>
      </c>
      <c r="E3380" s="1" t="n">
        <v>0.53</v>
      </c>
      <c r="F3380" s="1" t="n">
        <v>21.94</v>
      </c>
      <c r="G3380" s="1" t="n">
        <v>7.28</v>
      </c>
      <c r="H3380" s="1" t="n">
        <v>193</v>
      </c>
      <c r="I3380" s="1" t="n">
        <v>0.52</v>
      </c>
    </row>
    <row r="3381" ht="15.75" customHeight="1" s="201">
      <c r="A3381" s="1" t="inlineStr">
        <is>
          <t>Fish, salmon, sockeye, canned, drained solids</t>
        </is>
      </c>
      <c r="C3381" s="1" t="n">
        <v>0</v>
      </c>
      <c r="D3381" s="1" t="n">
        <v>4</v>
      </c>
      <c r="E3381" s="1" t="n">
        <v>0.65</v>
      </c>
      <c r="F3381" s="1" t="n">
        <v>23.59</v>
      </c>
      <c r="G3381" s="1" t="n">
        <v>7.39</v>
      </c>
      <c r="H3381" s="1" t="n">
        <v>184</v>
      </c>
      <c r="I3381" s="1" t="n">
        <v>0.84</v>
      </c>
      <c r="J3381" t="n">
        <v>63311110</v>
      </c>
    </row>
    <row r="3382" ht="15.75" customHeight="1" s="201">
      <c r="A3382" s="1" t="inlineStr">
        <is>
          <t>Fish, salmon, sockeye, canned, without salt, drained solids with bone</t>
        </is>
      </c>
      <c r="C3382" s="1" t="n">
        <v>0</v>
      </c>
      <c r="D3382" s="1" t="n">
        <v>10</v>
      </c>
      <c r="E3382" s="1" t="n">
        <v>1.06</v>
      </c>
      <c r="F3382" s="1" t="n">
        <v>20.47</v>
      </c>
      <c r="G3382" s="1" t="n">
        <v>7.31</v>
      </c>
      <c r="H3382" s="1" t="n">
        <v>176</v>
      </c>
      <c r="I3382" s="1" t="n">
        <v>1.02</v>
      </c>
      <c r="J3382" t="n">
        <v>75142550</v>
      </c>
    </row>
    <row r="3383" ht="15.75" customHeight="1" s="201">
      <c r="A3383" s="1" t="inlineStr">
        <is>
          <t>Fish, salmon, sockeye, cooked, dry heat</t>
        </is>
      </c>
      <c r="C3383" s="1" t="n">
        <v>0</v>
      </c>
      <c r="D3383" s="1" t="n">
        <v>7</v>
      </c>
      <c r="E3383" s="1" t="n">
        <v>0.52</v>
      </c>
      <c r="F3383" s="1" t="n">
        <v>26.48</v>
      </c>
      <c r="G3383" s="1" t="n">
        <v>5.57</v>
      </c>
      <c r="H3383" s="1" t="n">
        <v>193</v>
      </c>
      <c r="I3383" s="1" t="n">
        <v>0.55</v>
      </c>
    </row>
    <row r="3384" ht="15.75" customHeight="1" s="201">
      <c r="A3384" s="1" t="inlineStr">
        <is>
          <t>Fish, salmon, sockeye, raw</t>
        </is>
      </c>
      <c r="C3384" s="1" t="n">
        <v>0</v>
      </c>
      <c r="D3384" s="1" t="n">
        <v>6</v>
      </c>
      <c r="E3384" s="1" t="n">
        <v>0.43</v>
      </c>
      <c r="F3384" s="1" t="n">
        <v>22.25</v>
      </c>
      <c r="G3384" s="1" t="n">
        <v>4.69</v>
      </c>
      <c r="H3384" s="1" t="n">
        <v>162</v>
      </c>
      <c r="I3384" s="1" t="n">
        <v>0.46</v>
      </c>
      <c r="J3384" t="n">
        <v>27150310</v>
      </c>
    </row>
    <row r="3385" ht="15.75" customHeight="1" s="201">
      <c r="A3385" s="1" t="inlineStr">
        <is>
          <t>Fish, salmon, tipnuk, fermented (Alaska Native)</t>
        </is>
      </c>
      <c r="C3385" s="1" t="n">
        <v>0</v>
      </c>
      <c r="F3385" s="1" t="n">
        <v>15.9</v>
      </c>
      <c r="G3385" s="1" t="n">
        <v>10.6</v>
      </c>
      <c r="H3385" s="1" t="n">
        <v>780</v>
      </c>
    </row>
    <row r="3386" ht="15.75" customHeight="1" s="201">
      <c r="A3386" s="1" t="inlineStr">
        <is>
          <t>Fish, salmon, smoked</t>
        </is>
      </c>
      <c r="J3386" t="n">
        <v>26100190</v>
      </c>
    </row>
    <row r="3387" ht="15.75" customHeight="1" s="201">
      <c r="A3387" s="1" t="inlineStr">
        <is>
          <t>Fish, scup, cooked, dry heat</t>
        </is>
      </c>
      <c r="C3387" s="1" t="n">
        <v>0</v>
      </c>
      <c r="D3387" s="1" t="n">
        <v>17</v>
      </c>
      <c r="E3387" s="1" t="n">
        <v>0.68</v>
      </c>
      <c r="F3387" s="1" t="n">
        <v>24.21</v>
      </c>
      <c r="G3387" s="1" t="n">
        <v>3.5</v>
      </c>
      <c r="H3387" s="1" t="n">
        <v>104</v>
      </c>
      <c r="I3387" s="1" t="n">
        <v>0.62</v>
      </c>
      <c r="J3387" t="n">
        <v>26100110</v>
      </c>
    </row>
    <row r="3388" ht="15.75" customHeight="1" s="201">
      <c r="A3388" s="1" t="inlineStr">
        <is>
          <t>Fish, sea bass, mixed species, cooked, dry heat</t>
        </is>
      </c>
      <c r="C3388" s="1" t="n">
        <v>0</v>
      </c>
      <c r="D3388" s="1" t="n">
        <v>6</v>
      </c>
      <c r="E3388" s="1" t="n">
        <v>0.37</v>
      </c>
      <c r="F3388" s="1" t="n">
        <v>23.63</v>
      </c>
      <c r="G3388" s="1" t="n">
        <v>2.56</v>
      </c>
      <c r="H3388" s="1" t="n">
        <v>213</v>
      </c>
      <c r="I3388" s="1" t="n">
        <v>0.52</v>
      </c>
      <c r="J3388" t="n">
        <v>26141120</v>
      </c>
    </row>
    <row r="3389" ht="15.75" customHeight="1" s="201">
      <c r="A3389" s="1" t="inlineStr">
        <is>
          <t>Fish, seatrout, mixed species, cooked, dry heat</t>
        </is>
      </c>
      <c r="C3389" s="1" t="n">
        <v>0</v>
      </c>
      <c r="D3389" s="1" t="n">
        <v>6</v>
      </c>
      <c r="E3389" s="1" t="n">
        <v>0.35</v>
      </c>
      <c r="F3389" s="1" t="n">
        <v>21.46</v>
      </c>
      <c r="G3389" s="1" t="n">
        <v>4.63</v>
      </c>
      <c r="H3389" s="1" t="n">
        <v>115</v>
      </c>
      <c r="I3389" s="1" t="n">
        <v>0.58</v>
      </c>
      <c r="J3389" t="n">
        <v>75311020</v>
      </c>
    </row>
    <row r="3390" ht="15.75" customHeight="1" s="201">
      <c r="A3390" s="1" t="inlineStr">
        <is>
          <t>Fish, seatrout, mixed species, raw</t>
        </is>
      </c>
      <c r="C3390" s="1" t="n">
        <v>0</v>
      </c>
      <c r="D3390" s="1" t="n">
        <v>5</v>
      </c>
      <c r="E3390" s="1" t="n">
        <v>0.27</v>
      </c>
      <c r="F3390" s="1" t="n">
        <v>16.74</v>
      </c>
      <c r="G3390" s="1" t="n">
        <v>3.61</v>
      </c>
      <c r="H3390" s="1" t="n">
        <v>100</v>
      </c>
      <c r="I3390" s="1" t="n">
        <v>0.45</v>
      </c>
      <c r="J3390" t="n">
        <v>76407010</v>
      </c>
    </row>
    <row r="3391" ht="15.75" customHeight="1" s="201">
      <c r="A3391" s="1" t="inlineStr">
        <is>
          <t>Fish, shad, american, cooked, dry heat</t>
        </is>
      </c>
      <c r="C3391" s="1" t="n">
        <v>0</v>
      </c>
      <c r="D3391" s="1" t="n">
        <v>17</v>
      </c>
      <c r="E3391" s="1" t="n">
        <v>1.24</v>
      </c>
      <c r="F3391" s="1" t="n">
        <v>21.71</v>
      </c>
      <c r="G3391" s="1" t="n">
        <v>17.65</v>
      </c>
      <c r="H3391" s="1" t="n">
        <v>120</v>
      </c>
      <c r="I3391" s="1" t="n">
        <v>0.47</v>
      </c>
    </row>
    <row r="3392" ht="15.75" customHeight="1" s="201">
      <c r="A3392" s="1" t="inlineStr">
        <is>
          <t>Fish, shad, american, raw</t>
        </is>
      </c>
      <c r="C3392" s="1" t="n">
        <v>0</v>
      </c>
      <c r="D3392" s="1" t="n">
        <v>15</v>
      </c>
      <c r="E3392" s="1" t="n">
        <v>0.97</v>
      </c>
      <c r="F3392" s="1" t="n">
        <v>16.93</v>
      </c>
      <c r="G3392" s="1" t="n">
        <v>13.77</v>
      </c>
      <c r="H3392" s="1" t="n">
        <v>106</v>
      </c>
      <c r="I3392" s="1" t="n">
        <v>0.37</v>
      </c>
      <c r="J3392" t="n">
        <v>27150310</v>
      </c>
    </row>
    <row r="3393" ht="15.75" customHeight="1" s="201">
      <c r="A3393" s="1" t="inlineStr">
        <is>
          <t>Fish, shark, mixed species, raw</t>
        </is>
      </c>
      <c r="C3393" s="1" t="n">
        <v>0</v>
      </c>
      <c r="D3393" s="1" t="n">
        <v>3</v>
      </c>
      <c r="E3393" s="1" t="n">
        <v>0.84</v>
      </c>
      <c r="F3393" s="1" t="n">
        <v>20.98</v>
      </c>
      <c r="G3393" s="1" t="n">
        <v>4.51</v>
      </c>
      <c r="H3393" s="1" t="n">
        <v>233</v>
      </c>
      <c r="I3393" s="1" t="n">
        <v>0.43</v>
      </c>
      <c r="J3393" t="n">
        <v>76407010</v>
      </c>
    </row>
    <row r="3394" ht="15.75" customHeight="1" s="201">
      <c r="A3394" s="1" t="inlineStr">
        <is>
          <t>Fish, sheefish, raw (Alaska Native)</t>
        </is>
      </c>
      <c r="C3394" s="1" t="n">
        <v>0</v>
      </c>
      <c r="D3394" s="1" t="n">
        <v>9</v>
      </c>
      <c r="E3394" s="1" t="n">
        <v>0.5</v>
      </c>
      <c r="F3394" s="1" t="n">
        <v>22.25</v>
      </c>
      <c r="G3394" s="1" t="n">
        <v>2.84</v>
      </c>
      <c r="H3394" s="1" t="n">
        <v>0</v>
      </c>
      <c r="I3394" s="1" t="n">
        <v>0.6</v>
      </c>
      <c r="J3394" t="n">
        <v>27150310</v>
      </c>
    </row>
    <row r="3395" ht="15.75" customHeight="1" s="201">
      <c r="A3395" s="1" t="inlineStr">
        <is>
          <t>Fish, snapper, mixed species, cooked, dry heat</t>
        </is>
      </c>
      <c r="C3395" s="1" t="n">
        <v>0</v>
      </c>
      <c r="D3395" s="1" t="n">
        <v>6</v>
      </c>
      <c r="E3395" s="1" t="n">
        <v>0.24</v>
      </c>
      <c r="F3395" s="1" t="n">
        <v>26.3</v>
      </c>
      <c r="G3395" s="1" t="n">
        <v>1.72</v>
      </c>
      <c r="H3395" s="1" t="n">
        <v>115</v>
      </c>
      <c r="I3395" s="1" t="n">
        <v>0.44</v>
      </c>
      <c r="J3395" t="n">
        <v>75311020</v>
      </c>
    </row>
    <row r="3396" ht="15.75" customHeight="1" s="201">
      <c r="A3396" s="1" t="inlineStr">
        <is>
          <t>Fish, snapper, mixed species, raw</t>
        </is>
      </c>
      <c r="C3396" s="1" t="n">
        <v>0</v>
      </c>
      <c r="D3396" s="1" t="n">
        <v>5</v>
      </c>
      <c r="E3396" s="1" t="n">
        <v>0.18</v>
      </c>
      <c r="F3396" s="1" t="n">
        <v>20.51</v>
      </c>
      <c r="G3396" s="1" t="n">
        <v>1.34</v>
      </c>
      <c r="H3396" s="1" t="n">
        <v>106</v>
      </c>
      <c r="I3396" s="1" t="n">
        <v>0.36</v>
      </c>
      <c r="J3396" t="n">
        <v>76407010</v>
      </c>
    </row>
    <row r="3397" ht="15.75" customHeight="1" s="201">
      <c r="A3397" s="1" t="inlineStr">
        <is>
          <t>Fish, spot, cooked, dry heat</t>
        </is>
      </c>
      <c r="C3397" s="1" t="n">
        <v>0</v>
      </c>
      <c r="D3397" s="1" t="n">
        <v>6</v>
      </c>
      <c r="E3397" s="1" t="n">
        <v>0.41</v>
      </c>
      <c r="F3397" s="1" t="n">
        <v>23.73</v>
      </c>
      <c r="G3397" s="1" t="n">
        <v>6.28</v>
      </c>
      <c r="H3397" s="1" t="n">
        <v>115</v>
      </c>
      <c r="I3397" s="1" t="n">
        <v>0.65</v>
      </c>
      <c r="J3397" t="n">
        <v>26100110</v>
      </c>
    </row>
    <row r="3398" ht="15.75" customHeight="1" s="201">
      <c r="A3398" s="1" t="inlineStr">
        <is>
          <t>Fish, spot, raw</t>
        </is>
      </c>
      <c r="C3398" s="1" t="n">
        <v>0</v>
      </c>
      <c r="D3398" s="1" t="n">
        <v>5</v>
      </c>
      <c r="E3398" s="1" t="n">
        <v>0.32</v>
      </c>
      <c r="F3398" s="1" t="n">
        <v>18.51</v>
      </c>
      <c r="G3398" s="1" t="n">
        <v>4.9</v>
      </c>
      <c r="H3398" s="1" t="n">
        <v>100</v>
      </c>
      <c r="I3398" s="1" t="n">
        <v>0.51</v>
      </c>
      <c r="J3398" t="n">
        <v>27150310</v>
      </c>
    </row>
    <row r="3399" ht="15.75" customHeight="1" s="201">
      <c r="A3399" s="1" t="inlineStr">
        <is>
          <t>Fish, sturgeon, mixed species, raw</t>
        </is>
      </c>
      <c r="C3399" s="1" t="n">
        <v>0</v>
      </c>
      <c r="D3399" s="1" t="n">
        <v>15</v>
      </c>
      <c r="E3399" s="1" t="n">
        <v>0.7</v>
      </c>
      <c r="F3399" s="1" t="n">
        <v>16.14</v>
      </c>
      <c r="G3399" s="1" t="n">
        <v>4.04</v>
      </c>
      <c r="H3399" s="1" t="n">
        <v>700</v>
      </c>
      <c r="I3399" s="1" t="n">
        <v>0.42</v>
      </c>
      <c r="J3399" t="n">
        <v>76407010</v>
      </c>
    </row>
    <row r="3400" ht="15.75" customHeight="1" s="201">
      <c r="A3400" s="1" t="inlineStr">
        <is>
          <t>Fish, sucker, white, cooked, dry heat</t>
        </is>
      </c>
      <c r="C3400" s="1" t="n">
        <v>0</v>
      </c>
      <c r="D3400" s="1" t="n">
        <v>17</v>
      </c>
      <c r="E3400" s="1" t="n">
        <v>1.67</v>
      </c>
      <c r="F3400" s="1" t="n">
        <v>21.49</v>
      </c>
      <c r="G3400" s="1" t="n">
        <v>2.97</v>
      </c>
      <c r="H3400" s="1" t="n">
        <v>196</v>
      </c>
      <c r="I3400" s="1" t="n">
        <v>0.96</v>
      </c>
      <c r="J3400" t="n">
        <v>53109200</v>
      </c>
    </row>
    <row r="3401" ht="15.75" customHeight="1" s="201">
      <c r="A3401" s="1" t="inlineStr">
        <is>
          <t>Fish, sunfish, pumpkin seed, cooked, dry heat</t>
        </is>
      </c>
      <c r="C3401" s="1" t="n">
        <v>0</v>
      </c>
      <c r="D3401" s="1" t="n">
        <v>17</v>
      </c>
      <c r="E3401" s="1" t="n">
        <v>1.54</v>
      </c>
      <c r="F3401" s="1" t="n">
        <v>24.87</v>
      </c>
      <c r="G3401" s="1" t="n">
        <v>0.9</v>
      </c>
      <c r="H3401" s="1" t="n">
        <v>58</v>
      </c>
      <c r="I3401" s="1" t="n">
        <v>1.99</v>
      </c>
    </row>
    <row r="3402" ht="15.75" customHeight="1" s="201">
      <c r="A3402" s="1" t="inlineStr">
        <is>
          <t>Fish, surimi</t>
        </is>
      </c>
      <c r="C3402" s="1" t="n">
        <v>6.85</v>
      </c>
      <c r="D3402" s="1" t="n">
        <v>2</v>
      </c>
      <c r="E3402" s="1" t="n">
        <v>0.26</v>
      </c>
      <c r="F3402" s="1" t="n">
        <v>15.18</v>
      </c>
      <c r="G3402" s="1" t="n">
        <v>0.9</v>
      </c>
      <c r="H3402" s="1" t="n">
        <v>67</v>
      </c>
      <c r="I3402" s="1" t="n">
        <v>0.33</v>
      </c>
      <c r="J3402" t="n">
        <v>27150310</v>
      </c>
    </row>
    <row r="3403" ht="15.75" customHeight="1" s="201">
      <c r="A3403" s="1" t="inlineStr">
        <is>
          <t>Fish, swordfish, cooked, dry heat</t>
        </is>
      </c>
      <c r="C3403" s="1" t="n">
        <v>0</v>
      </c>
      <c r="D3403" s="1" t="n">
        <v>2</v>
      </c>
      <c r="E3403" s="1" t="n">
        <v>0.45</v>
      </c>
      <c r="F3403" s="1" t="n">
        <v>23.45</v>
      </c>
      <c r="G3403" s="1" t="n">
        <v>7.93</v>
      </c>
      <c r="H3403" s="1" t="n">
        <v>129</v>
      </c>
      <c r="I3403" s="1" t="n">
        <v>0.78</v>
      </c>
      <c r="J3403" t="n">
        <v>26100110</v>
      </c>
    </row>
    <row r="3404" ht="15.75" customHeight="1" s="201">
      <c r="A3404" s="1" t="inlineStr">
        <is>
          <t>Fish, swordfish, raw</t>
        </is>
      </c>
      <c r="C3404" s="1" t="n">
        <v>0</v>
      </c>
      <c r="D3404" s="1" t="n">
        <v>2</v>
      </c>
      <c r="E3404" s="1" t="n">
        <v>0.38</v>
      </c>
      <c r="F3404" s="1" t="n">
        <v>19.66</v>
      </c>
      <c r="G3404" s="1" t="n">
        <v>6.65</v>
      </c>
      <c r="H3404" s="1" t="n">
        <v>120</v>
      </c>
      <c r="I3404" s="1" t="n">
        <v>0.66</v>
      </c>
      <c r="J3404" t="n">
        <v>27150310</v>
      </c>
    </row>
    <row r="3405" ht="15.75" customHeight="1" s="201">
      <c r="A3405" s="1" t="inlineStr">
        <is>
          <t>Fish, tilefish, raw</t>
        </is>
      </c>
      <c r="C3405" s="1" t="n">
        <v>0</v>
      </c>
      <c r="D3405" s="1" t="n">
        <v>15</v>
      </c>
      <c r="E3405" s="1" t="n">
        <v>0.25</v>
      </c>
      <c r="F3405" s="1" t="n">
        <v>17.5</v>
      </c>
      <c r="G3405" s="1" t="n">
        <v>2.31</v>
      </c>
      <c r="H3405" s="1" t="n">
        <v>60</v>
      </c>
      <c r="I3405" s="1" t="n">
        <v>0.37</v>
      </c>
      <c r="J3405" t="n">
        <v>26131120</v>
      </c>
    </row>
    <row r="3406" ht="15.75" customHeight="1" s="201">
      <c r="A3406" s="1" t="inlineStr">
        <is>
          <t>Fish, trout, mixed species, cooked, dry heat</t>
        </is>
      </c>
      <c r="C3406" s="1" t="n">
        <v>0</v>
      </c>
      <c r="D3406" s="1" t="n">
        <v>15</v>
      </c>
      <c r="E3406" s="1" t="n">
        <v>1.92</v>
      </c>
      <c r="F3406" s="1" t="n">
        <v>26.63</v>
      </c>
      <c r="G3406" s="1" t="n">
        <v>8.470000000000001</v>
      </c>
      <c r="H3406" s="1" t="n">
        <v>63</v>
      </c>
      <c r="I3406" s="1" t="n">
        <v>0.85</v>
      </c>
      <c r="J3406" t="n">
        <v>75311020</v>
      </c>
    </row>
    <row r="3407" ht="15.75" customHeight="1" s="201">
      <c r="A3407" s="1" t="inlineStr">
        <is>
          <t>Fish, trout, rainbow, farmed, cooked, dry heat</t>
        </is>
      </c>
      <c r="C3407" s="1" t="n">
        <v>0</v>
      </c>
      <c r="D3407" s="1" t="n">
        <v>12</v>
      </c>
      <c r="E3407" s="1" t="n">
        <v>0.36</v>
      </c>
      <c r="F3407" s="1" t="n">
        <v>23.8</v>
      </c>
      <c r="G3407" s="1" t="n">
        <v>7.38</v>
      </c>
      <c r="H3407" s="1" t="n">
        <v>301</v>
      </c>
      <c r="I3407" s="1" t="n">
        <v>0.54</v>
      </c>
    </row>
    <row r="3408" ht="15.75" customHeight="1" s="201">
      <c r="A3408" s="1" t="inlineStr">
        <is>
          <t>Fish, trout, rainbow, farmed, raw</t>
        </is>
      </c>
      <c r="C3408" s="1" t="n">
        <v>0</v>
      </c>
      <c r="D3408" s="1" t="n">
        <v>11</v>
      </c>
      <c r="E3408" s="1" t="n">
        <v>0.31</v>
      </c>
      <c r="F3408" s="1" t="n">
        <v>19.94</v>
      </c>
      <c r="G3408" s="1" t="n">
        <v>6.18</v>
      </c>
      <c r="H3408" s="1" t="n">
        <v>280</v>
      </c>
      <c r="I3408" s="1" t="n">
        <v>0.45</v>
      </c>
      <c r="J3408" t="n">
        <v>27150310</v>
      </c>
    </row>
    <row r="3409" ht="15.75" customHeight="1" s="201">
      <c r="A3409" s="1" t="inlineStr">
        <is>
          <t>Fish, tuna, fresh, bluefin, cooked, dry heat</t>
        </is>
      </c>
      <c r="C3409" s="1" t="n">
        <v>0</v>
      </c>
      <c r="D3409" s="1" t="n">
        <v>2</v>
      </c>
      <c r="E3409" s="1" t="n">
        <v>1.31</v>
      </c>
      <c r="F3409" s="1" t="n">
        <v>29.91</v>
      </c>
      <c r="G3409" s="1" t="n">
        <v>6.28</v>
      </c>
      <c r="H3409" s="1" t="n">
        <v>2520</v>
      </c>
      <c r="I3409" s="1" t="n">
        <v>0.77</v>
      </c>
      <c r="J3409" t="n">
        <v>27550730</v>
      </c>
    </row>
    <row r="3410" ht="15.75" customHeight="1" s="201">
      <c r="A3410" s="1" t="inlineStr">
        <is>
          <t>Fish, tuna, fresh, bluefin, raw</t>
        </is>
      </c>
      <c r="C3410" s="1" t="n">
        <v>0</v>
      </c>
      <c r="D3410" s="1" t="n">
        <v>2</v>
      </c>
      <c r="E3410" s="1" t="n">
        <v>1.02</v>
      </c>
      <c r="F3410" s="1" t="n">
        <v>23.33</v>
      </c>
      <c r="G3410" s="1" t="n">
        <v>4.9</v>
      </c>
      <c r="H3410" s="1" t="n">
        <v>2183</v>
      </c>
      <c r="I3410" s="1" t="n">
        <v>0.6</v>
      </c>
      <c r="J3410" t="n">
        <v>27550730</v>
      </c>
    </row>
    <row r="3411" ht="15.75" customHeight="1" s="201">
      <c r="A3411" s="1" t="inlineStr">
        <is>
          <t>Fish, tuna, light, canned in oil, drained solids</t>
        </is>
      </c>
      <c r="C3411" s="1" t="n">
        <v>0</v>
      </c>
      <c r="D3411" s="1" t="n">
        <v>5</v>
      </c>
      <c r="E3411" s="1" t="n">
        <v>1.39</v>
      </c>
      <c r="F3411" s="1" t="n">
        <v>29.13</v>
      </c>
      <c r="G3411" s="1" t="n">
        <v>8.210000000000001</v>
      </c>
      <c r="H3411" s="1" t="n">
        <v>77</v>
      </c>
      <c r="I3411" s="1" t="n">
        <v>0.9</v>
      </c>
      <c r="J3411" t="n">
        <v>27446245</v>
      </c>
    </row>
    <row r="3412" ht="15.75" customHeight="1" s="201">
      <c r="A3412" s="1" t="inlineStr">
        <is>
          <t>Fish, tuna, light, canned in oil, without salt, drained solids</t>
        </is>
      </c>
      <c r="C3412" s="1" t="n">
        <v>0</v>
      </c>
      <c r="D3412" s="1" t="n">
        <v>5</v>
      </c>
      <c r="E3412" s="1" t="n">
        <v>1.39</v>
      </c>
      <c r="F3412" s="1" t="n">
        <v>29.13</v>
      </c>
      <c r="G3412" s="1" t="n">
        <v>8.210000000000001</v>
      </c>
      <c r="H3412" s="1" t="n">
        <v>78</v>
      </c>
      <c r="I3412" s="1" t="n">
        <v>0.9</v>
      </c>
      <c r="J3412" t="n">
        <v>27446245</v>
      </c>
    </row>
    <row r="3413" ht="15.75" customHeight="1" s="201">
      <c r="A3413" s="1" t="inlineStr">
        <is>
          <t>Fish, tuna, light, canned in water, drained solids (Includes foods for USDA's Food Distribution Program)</t>
        </is>
      </c>
      <c r="C3413" s="1" t="n">
        <v>0</v>
      </c>
      <c r="D3413" s="1" t="n">
        <v>4</v>
      </c>
      <c r="E3413" s="1" t="n">
        <v>1.63</v>
      </c>
      <c r="F3413" s="1" t="n">
        <v>19.44</v>
      </c>
      <c r="G3413" s="1" t="n">
        <v>0.96</v>
      </c>
      <c r="H3413" s="1" t="n">
        <v>57</v>
      </c>
      <c r="I3413" s="1" t="n">
        <v>0.6899999999999999</v>
      </c>
      <c r="J3413" t="n">
        <v>27446245</v>
      </c>
    </row>
    <row r="3414" ht="15.75" customHeight="1" s="201">
      <c r="A3414" s="1" t="inlineStr">
        <is>
          <t>Fish, tuna, light, canned in water, without salt, drained solids</t>
        </is>
      </c>
      <c r="C3414" s="1" t="n">
        <v>0</v>
      </c>
      <c r="D3414" s="1" t="n">
        <v>4</v>
      </c>
      <c r="E3414" s="1" t="n">
        <v>1.53</v>
      </c>
      <c r="F3414" s="1" t="n">
        <v>25.51</v>
      </c>
      <c r="G3414" s="1" t="n">
        <v>0.82</v>
      </c>
      <c r="H3414" s="1" t="n">
        <v>56</v>
      </c>
      <c r="I3414" s="1" t="n">
        <v>0.77</v>
      </c>
      <c r="J3414" t="n">
        <v>27446245</v>
      </c>
    </row>
    <row r="3415" ht="15.75" customHeight="1" s="201">
      <c r="A3415" s="1" t="inlineStr">
        <is>
          <t>Fish, tuna, skipjack, fresh, cooked, dry heat</t>
        </is>
      </c>
      <c r="C3415" s="1" t="n">
        <v>0</v>
      </c>
      <c r="D3415" s="1" t="n">
        <v>10</v>
      </c>
      <c r="E3415" s="1" t="n">
        <v>1.6</v>
      </c>
      <c r="F3415" s="1" t="n">
        <v>28.21</v>
      </c>
      <c r="G3415" s="1" t="n">
        <v>1.29</v>
      </c>
      <c r="H3415" s="1" t="n">
        <v>60</v>
      </c>
      <c r="I3415" s="1" t="n">
        <v>1.05</v>
      </c>
      <c r="J3415" t="n">
        <v>27550730</v>
      </c>
    </row>
    <row r="3416" ht="15.75" customHeight="1" s="201">
      <c r="A3416" s="1" t="inlineStr">
        <is>
          <t>Fish, tuna, white, canned in oil, without salt, drained solids</t>
        </is>
      </c>
      <c r="C3416" s="1" t="n">
        <v>0</v>
      </c>
      <c r="D3416" s="1" t="n">
        <v>5</v>
      </c>
      <c r="E3416" s="1" t="n">
        <v>0.65</v>
      </c>
      <c r="F3416" s="1" t="n">
        <v>26.53</v>
      </c>
      <c r="G3416" s="1" t="n">
        <v>8.08</v>
      </c>
      <c r="H3416" s="1" t="n">
        <v>80</v>
      </c>
      <c r="I3416" s="1" t="n">
        <v>0.47</v>
      </c>
      <c r="J3416" t="n">
        <v>27550730</v>
      </c>
    </row>
    <row r="3417" ht="15.75" customHeight="1" s="201">
      <c r="A3417" s="1" t="inlineStr">
        <is>
          <t>Fish, tuna, white, canned in water, without salt, drained solids</t>
        </is>
      </c>
      <c r="C3417" s="1" t="n">
        <v>0</v>
      </c>
      <c r="D3417" s="1" t="n">
        <v>2</v>
      </c>
      <c r="E3417" s="1" t="n">
        <v>0.97</v>
      </c>
      <c r="F3417" s="1" t="n">
        <v>23.62</v>
      </c>
      <c r="G3417" s="1" t="n">
        <v>2.97</v>
      </c>
      <c r="H3417" s="1" t="n">
        <v>19</v>
      </c>
      <c r="I3417" s="1" t="n">
        <v>0.48</v>
      </c>
      <c r="J3417" t="n">
        <v>11740312</v>
      </c>
    </row>
    <row r="3418" ht="15.75" customHeight="1" s="201">
      <c r="A3418" s="1" t="inlineStr">
        <is>
          <t>Fish, tuna, yellowfin, fresh, cooked, dry heat</t>
        </is>
      </c>
      <c r="C3418" s="1" t="n">
        <v>0</v>
      </c>
      <c r="D3418" s="1" t="n">
        <v>2</v>
      </c>
      <c r="E3418" s="1" t="n">
        <v>0.92</v>
      </c>
      <c r="F3418" s="1" t="n">
        <v>29.15</v>
      </c>
      <c r="G3418" s="1" t="n">
        <v>0.59</v>
      </c>
      <c r="H3418" s="1" t="n">
        <v>65</v>
      </c>
      <c r="I3418" s="1" t="n">
        <v>0.45</v>
      </c>
      <c r="J3418" t="n">
        <v>27550730</v>
      </c>
    </row>
    <row r="3419" ht="15.75" customHeight="1" s="201">
      <c r="A3419" s="1" t="inlineStr">
        <is>
          <t>Fish, tuna</t>
        </is>
      </c>
      <c r="J3419" t="n">
        <v>27550730</v>
      </c>
    </row>
    <row r="3420" ht="15.75" customHeight="1" s="201">
      <c r="A3420" s="1" t="inlineStr">
        <is>
          <t>Fish, turbot, european, cooked, dry heat</t>
        </is>
      </c>
      <c r="C3420" s="1" t="n">
        <v>0</v>
      </c>
      <c r="D3420" s="1" t="n">
        <v>9</v>
      </c>
      <c r="E3420" s="1" t="n">
        <v>0.46</v>
      </c>
      <c r="F3420" s="1" t="n">
        <v>20.58</v>
      </c>
      <c r="G3420" s="1" t="n">
        <v>3.78</v>
      </c>
      <c r="H3420" s="1" t="n">
        <v>40</v>
      </c>
      <c r="I3420" s="1" t="n">
        <v>0.28</v>
      </c>
    </row>
    <row r="3421" ht="15.75" customHeight="1" s="201">
      <c r="A3421" s="1" t="inlineStr">
        <is>
          <t>Fish, turbot, european, raw</t>
        </is>
      </c>
      <c r="C3421" s="1" t="n">
        <v>0</v>
      </c>
      <c r="D3421" s="1" t="n">
        <v>8</v>
      </c>
      <c r="E3421" s="1" t="n">
        <v>0.36</v>
      </c>
      <c r="F3421" s="1" t="n">
        <v>16.05</v>
      </c>
      <c r="G3421" s="1" t="n">
        <v>2.95</v>
      </c>
      <c r="H3421" s="1" t="n">
        <v>35</v>
      </c>
      <c r="I3421" s="1" t="n">
        <v>0.22</v>
      </c>
      <c r="J3421" t="n">
        <v>27150310</v>
      </c>
    </row>
    <row r="3422" ht="15.75" customHeight="1" s="201">
      <c r="A3422" s="1" t="inlineStr">
        <is>
          <t>Fish, whitefish, broad, head, eyes, cheeks and soft bones (Alaska Native)</t>
        </is>
      </c>
      <c r="C3422" s="1" t="n">
        <v>0</v>
      </c>
      <c r="E3422" s="1" t="n">
        <v>3.9</v>
      </c>
      <c r="F3422" s="1" t="n">
        <v>18.6</v>
      </c>
      <c r="G3422" s="1" t="n">
        <v>3.6</v>
      </c>
    </row>
    <row r="3423" ht="15.75" customHeight="1" s="201">
      <c r="A3423" s="1" t="inlineStr">
        <is>
          <t>Fish, whitefish, broad, liver (Alaska Native)</t>
        </is>
      </c>
      <c r="C3423" s="1" t="n">
        <v>5.1</v>
      </c>
      <c r="E3423" s="1" t="n">
        <v>8.6</v>
      </c>
      <c r="F3423" s="1" t="n">
        <v>11</v>
      </c>
      <c r="G3423" s="1" t="n">
        <v>4.4</v>
      </c>
      <c r="H3423" s="1" t="n">
        <v>1510</v>
      </c>
      <c r="J3423" t="n">
        <v>25230560</v>
      </c>
    </row>
    <row r="3424" ht="15.75" customHeight="1" s="201">
      <c r="A3424" s="1" t="inlineStr">
        <is>
          <t>Fish, whitefish, dried (Alaska Native)</t>
        </is>
      </c>
      <c r="C3424" s="1" t="n">
        <v>0</v>
      </c>
      <c r="D3424" s="1" t="n">
        <v>11</v>
      </c>
      <c r="E3424" s="1" t="n">
        <v>4.1</v>
      </c>
      <c r="F3424" s="1" t="n">
        <v>62.44</v>
      </c>
      <c r="G3424" s="1" t="n">
        <v>13.44</v>
      </c>
      <c r="H3424" s="1" t="n">
        <v>131</v>
      </c>
      <c r="I3424" s="1" t="n">
        <v>5</v>
      </c>
    </row>
    <row r="3425" ht="15.75" customHeight="1" s="201">
      <c r="A3425" s="1" t="inlineStr">
        <is>
          <t>Fish, whitefish, eggs (Alaska Native)</t>
        </is>
      </c>
      <c r="C3425" s="1" t="n">
        <v>4.89</v>
      </c>
      <c r="D3425" s="1" t="n">
        <v>53</v>
      </c>
      <c r="E3425" s="1" t="n">
        <v>5.95</v>
      </c>
      <c r="F3425" s="1" t="n">
        <v>14.66</v>
      </c>
      <c r="G3425" s="1" t="n">
        <v>2.88</v>
      </c>
      <c r="H3425" s="1" t="n">
        <v>305</v>
      </c>
      <c r="I3425" s="1" t="n">
        <v>2.1</v>
      </c>
    </row>
    <row r="3426" ht="15.75" customHeight="1" s="201">
      <c r="A3426" s="1" t="inlineStr">
        <is>
          <t>Fish, whitefish, mixed species, cooked, dry heat</t>
        </is>
      </c>
      <c r="C3426" s="1" t="n">
        <v>0</v>
      </c>
      <c r="D3426" s="1" t="n">
        <v>17</v>
      </c>
      <c r="E3426" s="1" t="n">
        <v>0.47</v>
      </c>
      <c r="F3426" s="1" t="n">
        <v>24.47</v>
      </c>
      <c r="G3426" s="1" t="n">
        <v>7.51</v>
      </c>
      <c r="H3426" s="1" t="n">
        <v>131</v>
      </c>
      <c r="I3426" s="1" t="n">
        <v>1.27</v>
      </c>
      <c r="J3426" t="n">
        <v>75311020</v>
      </c>
    </row>
    <row r="3427" ht="15.75" customHeight="1" s="201">
      <c r="A3427" s="1" t="inlineStr">
        <is>
          <t>Fish, whitefish, mixed species, raw</t>
        </is>
      </c>
      <c r="C3427" s="1" t="n">
        <v>0</v>
      </c>
      <c r="D3427" s="1" t="n">
        <v>15</v>
      </c>
      <c r="E3427" s="1" t="n">
        <v>0.37</v>
      </c>
      <c r="F3427" s="1" t="n">
        <v>19.09</v>
      </c>
      <c r="G3427" s="1" t="n">
        <v>5.86</v>
      </c>
      <c r="H3427" s="1" t="n">
        <v>120</v>
      </c>
      <c r="I3427" s="1" t="n">
        <v>0.99</v>
      </c>
      <c r="J3427" t="n">
        <v>76407010</v>
      </c>
    </row>
    <row r="3428" ht="15.75" customHeight="1" s="201">
      <c r="A3428" s="1" t="inlineStr">
        <is>
          <t>Fish, whitefish, mixed species, raw (Alaska Native)</t>
        </is>
      </c>
      <c r="C3428" s="1" t="n">
        <v>0</v>
      </c>
      <c r="E3428" s="1" t="n">
        <v>0.29</v>
      </c>
      <c r="F3428" s="1" t="n">
        <v>18.9</v>
      </c>
      <c r="G3428" s="1" t="n">
        <v>6.1</v>
      </c>
      <c r="H3428" s="1" t="n">
        <v>540</v>
      </c>
      <c r="I3428" s="1" t="n">
        <v>0.99</v>
      </c>
      <c r="J3428" t="n">
        <v>76407010</v>
      </c>
    </row>
    <row r="3429" ht="15.75" customHeight="1" s="201">
      <c r="A3429" s="1" t="inlineStr">
        <is>
          <t>Fish, whitefish, mixed species, smoked</t>
        </is>
      </c>
      <c r="C3429" s="1" t="n">
        <v>0</v>
      </c>
      <c r="D3429" s="1" t="n">
        <v>7</v>
      </c>
      <c r="E3429" s="1" t="n">
        <v>0.5</v>
      </c>
      <c r="F3429" s="1" t="n">
        <v>23.4</v>
      </c>
      <c r="G3429" s="1" t="n">
        <v>0.93</v>
      </c>
      <c r="H3429" s="1" t="n">
        <v>190</v>
      </c>
      <c r="I3429" s="1" t="n">
        <v>0.49</v>
      </c>
      <c r="J3429" t="n">
        <v>76407010</v>
      </c>
    </row>
    <row r="3430" ht="15.75" customHeight="1" s="201">
      <c r="A3430" s="1" t="inlineStr">
        <is>
          <t>Fish, whiting, mixed species, raw</t>
        </is>
      </c>
      <c r="C3430" s="1" t="n">
        <v>0</v>
      </c>
      <c r="D3430" s="1" t="n">
        <v>13</v>
      </c>
      <c r="E3430" s="1" t="n">
        <v>0.34</v>
      </c>
      <c r="F3430" s="1" t="n">
        <v>18.31</v>
      </c>
      <c r="G3430" s="1" t="n">
        <v>1.31</v>
      </c>
      <c r="H3430" s="1" t="n">
        <v>100</v>
      </c>
      <c r="I3430" s="1" t="n">
        <v>0.88</v>
      </c>
      <c r="J3430" t="n">
        <v>76407010</v>
      </c>
    </row>
    <row r="3431" ht="15.75" customHeight="1" s="201">
      <c r="A3431" s="1" t="inlineStr">
        <is>
          <t>Fish, whiting</t>
        </is>
      </c>
      <c r="J3431" t="n">
        <v>27150310</v>
      </c>
    </row>
    <row r="3432" ht="15.75" customHeight="1" s="201">
      <c r="A3432" s="1" t="inlineStr">
        <is>
          <t>Fish, wolffish, Atlantic, cooked, dry heat</t>
        </is>
      </c>
      <c r="C3432" s="1" t="n">
        <v>0</v>
      </c>
      <c r="D3432" s="1" t="n">
        <v>6</v>
      </c>
      <c r="E3432" s="1" t="n">
        <v>0.12</v>
      </c>
      <c r="F3432" s="1" t="n">
        <v>22.44</v>
      </c>
      <c r="G3432" s="1" t="n">
        <v>3.06</v>
      </c>
      <c r="H3432" s="1" t="n">
        <v>433</v>
      </c>
      <c r="I3432" s="1" t="n">
        <v>1</v>
      </c>
    </row>
    <row r="3433" ht="15.75" customHeight="1" s="201">
      <c r="A3433" s="1" t="inlineStr">
        <is>
          <t>Fish, yellowtail, mixed species, cooked, dry heat</t>
        </is>
      </c>
      <c r="C3433" s="1" t="n">
        <v>0</v>
      </c>
      <c r="D3433" s="1" t="n">
        <v>4</v>
      </c>
      <c r="E3433" s="1" t="n">
        <v>0.63</v>
      </c>
      <c r="F3433" s="1" t="n">
        <v>29.67</v>
      </c>
      <c r="G3433" s="1" t="n">
        <v>6.72</v>
      </c>
      <c r="H3433" s="1" t="n">
        <v>104</v>
      </c>
      <c r="I3433" s="1" t="n">
        <v>0.67</v>
      </c>
      <c r="J3433" t="n">
        <v>75311020</v>
      </c>
    </row>
    <row r="3434" ht="15.75" customHeight="1" s="201">
      <c r="A3434" s="1" t="inlineStr">
        <is>
          <t>Flan, caramel custard, dry mix</t>
        </is>
      </c>
      <c r="C3434" s="1" t="n">
        <v>91.59999999999999</v>
      </c>
      <c r="D3434" s="1" t="n">
        <v>0</v>
      </c>
      <c r="E3434" s="1" t="n">
        <v>0.08</v>
      </c>
      <c r="F3434" s="1" t="n">
        <v>0</v>
      </c>
      <c r="G3434" s="1" t="n">
        <v>0</v>
      </c>
      <c r="H3434" s="1" t="n">
        <v>0</v>
      </c>
      <c r="I3434" s="1" t="n">
        <v>0.04</v>
      </c>
      <c r="J3434" t="n">
        <v>91703020</v>
      </c>
    </row>
    <row r="3435" ht="15.75" customHeight="1" s="201">
      <c r="A3435" s="1" t="inlineStr">
        <is>
          <t>Flan, caramel custard, dry mix, prepared with 2% milk</t>
        </is>
      </c>
      <c r="C3435" s="1" t="n">
        <v>18.82</v>
      </c>
      <c r="D3435" s="1" t="n">
        <v>4</v>
      </c>
      <c r="E3435" s="1" t="n">
        <v>0.06</v>
      </c>
      <c r="F3435" s="1" t="n">
        <v>2.99</v>
      </c>
      <c r="G3435" s="1" t="n">
        <v>1.72</v>
      </c>
      <c r="H3435" s="1" t="n">
        <v>180</v>
      </c>
      <c r="I3435" s="1" t="n">
        <v>0.36</v>
      </c>
      <c r="J3435" t="n">
        <v>75142550</v>
      </c>
    </row>
    <row r="3436" ht="15.75" customHeight="1" s="201">
      <c r="A3436" s="1" t="inlineStr">
        <is>
          <t>Flan, caramel custard, dry mix, prepared with whole milk</t>
        </is>
      </c>
      <c r="C3436" s="1" t="n">
        <v>18.68</v>
      </c>
      <c r="D3436" s="1" t="n">
        <v>4</v>
      </c>
      <c r="E3436" s="1" t="n">
        <v>0.06</v>
      </c>
      <c r="F3436" s="1" t="n">
        <v>2.95</v>
      </c>
      <c r="G3436" s="1" t="n">
        <v>3</v>
      </c>
      <c r="H3436" s="1" t="n">
        <v>113</v>
      </c>
      <c r="I3436" s="1" t="n">
        <v>0.35</v>
      </c>
      <c r="J3436" t="n">
        <v>75142550</v>
      </c>
    </row>
    <row r="3437" ht="15.75" customHeight="1" s="201">
      <c r="A3437" s="1" t="inlineStr">
        <is>
          <t>Fluid replacement, electrolyte solution (include PEDIALYTE)</t>
        </is>
      </c>
      <c r="C3437" s="1" t="n">
        <v>2.45</v>
      </c>
      <c r="D3437" s="1" t="n">
        <v>0</v>
      </c>
      <c r="E3437" s="1" t="n">
        <v>0</v>
      </c>
      <c r="F3437" s="1" t="n">
        <v>0</v>
      </c>
      <c r="G3437" s="1" t="n">
        <v>0</v>
      </c>
      <c r="H3437" s="1" t="n">
        <v>0</v>
      </c>
      <c r="I3437" s="1" t="n">
        <v>0.02</v>
      </c>
      <c r="J3437" t="n">
        <v>95330100</v>
      </c>
    </row>
    <row r="3438" ht="15.75" customHeight="1" s="201">
      <c r="A3438" s="1" t="inlineStr">
        <is>
          <t>Focaccia, Italian flatbread, plain</t>
        </is>
      </c>
      <c r="C3438" s="1" t="n">
        <v>35.82</v>
      </c>
      <c r="D3438" s="1" t="n">
        <v>138</v>
      </c>
      <c r="E3438" s="1" t="n">
        <v>3.16</v>
      </c>
      <c r="F3438" s="1" t="n">
        <v>8.77</v>
      </c>
      <c r="G3438" s="1" t="n">
        <v>7.89</v>
      </c>
      <c r="H3438" s="1" t="n">
        <v>2</v>
      </c>
      <c r="I3438" s="1" t="n">
        <v>1.33</v>
      </c>
      <c r="J3438" t="n">
        <v>51108010</v>
      </c>
    </row>
    <row r="3439" ht="15.75" customHeight="1" s="201">
      <c r="A3439" s="1" t="inlineStr">
        <is>
          <t>Formulated bar, high fiber, chewy, oats and chocolate</t>
        </is>
      </c>
      <c r="C3439" s="1" t="n">
        <v>69.81999999999999</v>
      </c>
      <c r="D3439" s="1" t="n">
        <v>35</v>
      </c>
      <c r="E3439" s="1" t="n">
        <v>0.9</v>
      </c>
      <c r="F3439" s="1" t="n">
        <v>5</v>
      </c>
      <c r="G3439" s="1" t="n">
        <v>10</v>
      </c>
      <c r="H3439" s="1" t="n">
        <v>0</v>
      </c>
      <c r="I3439" s="1" t="n">
        <v>1.96</v>
      </c>
      <c r="J3439" t="n">
        <v>53108200</v>
      </c>
    </row>
    <row r="3440" ht="15.75" customHeight="1" s="201">
      <c r="A3440" s="1" t="inlineStr">
        <is>
          <t>Formulated bar, MARS SNACKFOOD US, COCOAVIA, Chocolate Blueberry Snack Bar</t>
        </is>
      </c>
      <c r="C3440" s="1" t="n">
        <v>57.87</v>
      </c>
      <c r="D3440" s="1" t="n">
        <v>273</v>
      </c>
      <c r="E3440" s="1" t="n">
        <v>1.88</v>
      </c>
      <c r="F3440" s="1" t="n">
        <v>6.21</v>
      </c>
      <c r="G3440" s="1" t="n">
        <v>9.27</v>
      </c>
      <c r="H3440" s="1" t="n">
        <v>32</v>
      </c>
      <c r="J3440" t="n">
        <v>53108200</v>
      </c>
    </row>
    <row r="3441" ht="15.75" customHeight="1" s="201">
      <c r="A3441" s="1" t="inlineStr">
        <is>
          <t>Formulated bar, MARS SNACKFOOD US, SNICKERS MARATHON Double Chocolate Nut Bar</t>
        </is>
      </c>
      <c r="C3441" s="1" t="n">
        <v>51.66</v>
      </c>
      <c r="D3441" s="1" t="n">
        <v>905</v>
      </c>
      <c r="E3441" s="1" t="n">
        <v>17.95</v>
      </c>
      <c r="F3441" s="1" t="n">
        <v>22.35</v>
      </c>
      <c r="G3441" s="1" t="n">
        <v>8.99</v>
      </c>
      <c r="H3441" s="1" t="n">
        <v>4445</v>
      </c>
      <c r="I3441" s="1" t="n">
        <v>13.57</v>
      </c>
      <c r="J3441" t="n">
        <v>53108200</v>
      </c>
    </row>
    <row r="3442" ht="15.75" customHeight="1" s="201">
      <c r="A3442" s="1" t="inlineStr">
        <is>
          <t>Formulated bar, MARS SNACKFOOD US, SNICKERS MARATHON Energy Bar, all flavors</t>
        </is>
      </c>
      <c r="C3442" s="1" t="n">
        <v>50.3</v>
      </c>
      <c r="D3442" s="1" t="n">
        <v>816</v>
      </c>
      <c r="E3442" s="1" t="n">
        <v>16.31</v>
      </c>
      <c r="F3442" s="1" t="n">
        <v>21.91</v>
      </c>
      <c r="G3442" s="1" t="n">
        <v>10.79</v>
      </c>
      <c r="H3442" s="1" t="n">
        <v>209</v>
      </c>
      <c r="I3442" s="1" t="n">
        <v>11.88</v>
      </c>
    </row>
    <row r="3443" ht="15.75" customHeight="1" s="201">
      <c r="A3443" s="1" t="inlineStr">
        <is>
          <t>Formulated bar, MARS SNACKFOOD US, SNICKERS MARATHON Honey Nut Oat Bar</t>
        </is>
      </c>
      <c r="C3443" s="1" t="n">
        <v>55.13</v>
      </c>
      <c r="D3443" s="1" t="n">
        <v>905</v>
      </c>
      <c r="E3443" s="1" t="n">
        <v>18.15</v>
      </c>
      <c r="F3443" s="1" t="n">
        <v>22.5</v>
      </c>
      <c r="G3443" s="1" t="n">
        <v>7.87</v>
      </c>
      <c r="H3443" s="1" t="n">
        <v>4451</v>
      </c>
      <c r="I3443" s="1" t="n">
        <v>11.88</v>
      </c>
      <c r="J3443" t="n">
        <v>57237100</v>
      </c>
    </row>
    <row r="3444" ht="15.75" customHeight="1" s="201">
      <c r="A3444" s="1" t="inlineStr">
        <is>
          <t>Formulated bar, POWER BAR, chocolate</t>
        </is>
      </c>
      <c r="C3444" s="1" t="n">
        <v>69.63</v>
      </c>
      <c r="D3444" s="1" t="n">
        <v>615</v>
      </c>
      <c r="E3444" s="1" t="n">
        <v>11.7</v>
      </c>
      <c r="F3444" s="1" t="n">
        <v>14.15</v>
      </c>
      <c r="G3444" s="1" t="n">
        <v>3.11</v>
      </c>
      <c r="H3444" s="1" t="n">
        <v>0</v>
      </c>
      <c r="I3444" s="1" t="n">
        <v>9.960000000000001</v>
      </c>
      <c r="J3444" t="n">
        <v>53108200</v>
      </c>
    </row>
    <row r="3445" ht="15.75" customHeight="1" s="201">
      <c r="A3445" s="1" t="inlineStr">
        <is>
          <t>Formulated bar, SLIM-FAST OPTIMA meal bar, milk chocolate peanut</t>
        </is>
      </c>
      <c r="C3445" s="1" t="n">
        <v>60.21</v>
      </c>
      <c r="D3445" s="1" t="n">
        <v>430</v>
      </c>
      <c r="E3445" s="1" t="n">
        <v>4.98</v>
      </c>
      <c r="F3445" s="1" t="n">
        <v>16.19</v>
      </c>
      <c r="G3445" s="1" t="n">
        <v>8.92</v>
      </c>
      <c r="H3445" s="1" t="n">
        <v>3133</v>
      </c>
      <c r="I3445" s="1" t="n">
        <v>5.73</v>
      </c>
      <c r="J3445" t="n">
        <v>53108200</v>
      </c>
    </row>
    <row r="3446" ht="15.75" customHeight="1" s="201">
      <c r="A3446" s="1" t="inlineStr">
        <is>
          <t>Formulated Bar, SOUTH BEACH protein bar</t>
        </is>
      </c>
      <c r="C3446" s="1" t="n">
        <v>38.4</v>
      </c>
      <c r="D3446" s="1" t="n">
        <v>184</v>
      </c>
      <c r="E3446" s="1" t="n">
        <v>5.4</v>
      </c>
      <c r="F3446" s="1" t="n">
        <v>30.34</v>
      </c>
      <c r="G3446" s="1" t="n">
        <v>15.17</v>
      </c>
      <c r="H3446" s="1" t="n">
        <v>6720</v>
      </c>
      <c r="I3446" s="1" t="n">
        <v>2.39</v>
      </c>
      <c r="J3446" t="n">
        <v>53720610</v>
      </c>
    </row>
    <row r="3447" ht="15.75" customHeight="1" s="201">
      <c r="A3447" s="1" t="inlineStr">
        <is>
          <t>Frankfurter, beef, heated</t>
        </is>
      </c>
      <c r="C3447" s="1" t="n">
        <v>2.66</v>
      </c>
      <c r="D3447" s="1" t="n">
        <v>10</v>
      </c>
      <c r="E3447" s="1" t="n">
        <v>1.22</v>
      </c>
      <c r="F3447" s="1" t="n">
        <v>11.69</v>
      </c>
      <c r="G3447" s="1" t="n">
        <v>29.36</v>
      </c>
      <c r="H3447" s="1" t="n">
        <v>0</v>
      </c>
      <c r="I3447" s="1" t="n">
        <v>2.17</v>
      </c>
      <c r="J3447" t="n">
        <v>28110510</v>
      </c>
    </row>
    <row r="3448" ht="15.75" customHeight="1" s="201">
      <c r="A3448" s="1" t="inlineStr">
        <is>
          <t>Frankfurter, beef, low fat</t>
        </is>
      </c>
      <c r="C3448" s="1" t="n">
        <v>1.6</v>
      </c>
      <c r="D3448" s="1" t="n">
        <v>4</v>
      </c>
      <c r="E3448" s="1" t="n">
        <v>1.15</v>
      </c>
      <c r="F3448" s="1" t="n">
        <v>12</v>
      </c>
      <c r="G3448" s="1" t="n">
        <v>9.5</v>
      </c>
      <c r="H3448" s="1" t="n">
        <v>0</v>
      </c>
      <c r="I3448" s="1" t="n">
        <v>1.96</v>
      </c>
      <c r="J3448" t="n">
        <v>28110510</v>
      </c>
    </row>
    <row r="3449" ht="15.75" customHeight="1" s="201">
      <c r="A3449" s="1" t="inlineStr">
        <is>
          <t>Frankfurter, beef, pork, and turkey, fat free</t>
        </is>
      </c>
      <c r="C3449" s="1" t="n">
        <v>11.21</v>
      </c>
      <c r="D3449" s="1" t="n">
        <v>6</v>
      </c>
      <c r="E3449" s="1" t="n">
        <v>1.78</v>
      </c>
      <c r="F3449" s="1" t="n">
        <v>12.5</v>
      </c>
      <c r="G3449" s="1" t="n">
        <v>1.59</v>
      </c>
      <c r="H3449" s="1" t="n">
        <v>0</v>
      </c>
      <c r="I3449" s="1" t="n">
        <v>2.92</v>
      </c>
      <c r="J3449" t="n">
        <v>28110510</v>
      </c>
    </row>
    <row r="3450" ht="15.75" customHeight="1" s="201">
      <c r="A3450" s="1" t="inlineStr">
        <is>
          <t>Frankfurter, beef, unheated</t>
        </is>
      </c>
      <c r="C3450" s="1" t="n">
        <v>2.97</v>
      </c>
      <c r="D3450" s="1" t="n">
        <v>0</v>
      </c>
      <c r="E3450" s="1" t="n">
        <v>1.12</v>
      </c>
      <c r="F3450" s="1" t="n">
        <v>11.69</v>
      </c>
      <c r="G3450" s="1" t="n">
        <v>28.1</v>
      </c>
      <c r="H3450" s="1" t="n">
        <v>11</v>
      </c>
      <c r="I3450" s="1" t="n">
        <v>2.01</v>
      </c>
      <c r="J3450" t="n">
        <v>28110510</v>
      </c>
    </row>
    <row r="3451" ht="15.75" customHeight="1" s="201">
      <c r="A3451" s="1" t="inlineStr">
        <is>
          <t>Frankfurter, chicken</t>
        </is>
      </c>
      <c r="C3451" s="1" t="n">
        <v>2.74</v>
      </c>
      <c r="D3451" s="1" t="n">
        <v>7</v>
      </c>
      <c r="E3451" s="1" t="n">
        <v>1.17</v>
      </c>
      <c r="F3451" s="1" t="n">
        <v>15.51</v>
      </c>
      <c r="G3451" s="1" t="n">
        <v>16.19</v>
      </c>
      <c r="H3451" s="1" t="n">
        <v>0</v>
      </c>
      <c r="I3451" s="1" t="n">
        <v>1.11</v>
      </c>
      <c r="J3451" t="n">
        <v>27446315</v>
      </c>
    </row>
    <row r="3452" ht="15.75" customHeight="1" s="201">
      <c r="A3452" s="1" t="inlineStr">
        <is>
          <t>Frankfurter, low sodium</t>
        </is>
      </c>
      <c r="C3452" s="1" t="n">
        <v>1.8</v>
      </c>
      <c r="D3452" s="1" t="n">
        <v>4</v>
      </c>
      <c r="E3452" s="1" t="n">
        <v>1.43</v>
      </c>
      <c r="F3452" s="1" t="n">
        <v>12</v>
      </c>
      <c r="G3452" s="1" t="n">
        <v>28.51</v>
      </c>
      <c r="H3452" s="1" t="n">
        <v>0</v>
      </c>
      <c r="I3452" s="1" t="n">
        <v>2.17</v>
      </c>
      <c r="J3452" t="n">
        <v>54204030</v>
      </c>
    </row>
    <row r="3453" ht="15.75" customHeight="1" s="201">
      <c r="A3453" s="1" t="inlineStr">
        <is>
          <t>Frankfurter, meat</t>
        </is>
      </c>
      <c r="C3453" s="1" t="n">
        <v>4.17</v>
      </c>
      <c r="D3453" s="1" t="n">
        <v>6</v>
      </c>
      <c r="E3453" s="1" t="n">
        <v>1.09</v>
      </c>
      <c r="F3453" s="1" t="n">
        <v>10.26</v>
      </c>
      <c r="G3453" s="1" t="n">
        <v>25.76</v>
      </c>
      <c r="H3453" s="1" t="n">
        <v>0</v>
      </c>
      <c r="I3453" s="1" t="n">
        <v>1.2</v>
      </c>
      <c r="J3453" t="n">
        <v>14620320</v>
      </c>
    </row>
    <row r="3454" ht="15.75" customHeight="1" s="201">
      <c r="A3454" s="1" t="inlineStr">
        <is>
          <t>Frankfurter, meat and poultry, cooked, boiled</t>
        </is>
      </c>
      <c r="C3454" s="1" t="n">
        <v>4.96</v>
      </c>
      <c r="D3454" s="1" t="n">
        <v>6</v>
      </c>
      <c r="E3454" s="1" t="n">
        <v>1.12</v>
      </c>
      <c r="F3454" s="1" t="n">
        <v>10.31</v>
      </c>
      <c r="G3454" s="1" t="n">
        <v>26.28</v>
      </c>
      <c r="H3454" s="1" t="n">
        <v>103</v>
      </c>
      <c r="I3454" s="1" t="n">
        <v>1.25</v>
      </c>
      <c r="J3454" t="n">
        <v>14620320</v>
      </c>
    </row>
    <row r="3455" ht="15.75" customHeight="1" s="201">
      <c r="A3455" s="1" t="inlineStr">
        <is>
          <t>Frankfurter, meat and poultry, cooked, grilled</t>
        </is>
      </c>
      <c r="C3455" s="1" t="n">
        <v>5.24</v>
      </c>
      <c r="D3455" s="1" t="n">
        <v>9</v>
      </c>
      <c r="E3455" s="1" t="n">
        <v>1.15</v>
      </c>
      <c r="F3455" s="1" t="n">
        <v>10.67</v>
      </c>
      <c r="G3455" s="1" t="n">
        <v>26.43</v>
      </c>
      <c r="H3455" s="1" t="n">
        <v>107</v>
      </c>
      <c r="I3455" s="1" t="n">
        <v>1.27</v>
      </c>
      <c r="J3455" t="n">
        <v>14620320</v>
      </c>
    </row>
    <row r="3456" ht="15.75" customHeight="1" s="201">
      <c r="A3456" s="1" t="inlineStr">
        <is>
          <t>Frankfurter, meat and poultry, low fat</t>
        </is>
      </c>
      <c r="C3456" s="1" t="n">
        <v>8.4</v>
      </c>
      <c r="D3456" s="1" t="n">
        <v>3</v>
      </c>
      <c r="E3456" s="1" t="n">
        <v>0.91</v>
      </c>
      <c r="F3456" s="1" t="n">
        <v>15.5</v>
      </c>
      <c r="G3456" s="1" t="n">
        <v>2.8</v>
      </c>
      <c r="H3456" s="1" t="n">
        <v>3</v>
      </c>
      <c r="I3456" s="1" t="n">
        <v>1.93</v>
      </c>
      <c r="J3456" t="n">
        <v>14620320</v>
      </c>
    </row>
    <row r="3457" ht="15.75" customHeight="1" s="201">
      <c r="A3457" s="1" t="inlineStr">
        <is>
          <t>Frankfurter, meat and poultry, unheated</t>
        </is>
      </c>
      <c r="C3457" s="1" t="n">
        <v>5.02</v>
      </c>
      <c r="D3457" s="1" t="n">
        <v>6</v>
      </c>
      <c r="E3457" s="1" t="n">
        <v>1.04</v>
      </c>
      <c r="F3457" s="1" t="n">
        <v>9.720000000000001</v>
      </c>
      <c r="G3457" s="1" t="n">
        <v>24.18</v>
      </c>
      <c r="H3457" s="1" t="n">
        <v>102</v>
      </c>
      <c r="I3457" s="1" t="n">
        <v>1.14</v>
      </c>
      <c r="J3457" t="n">
        <v>14620320</v>
      </c>
    </row>
    <row r="3458" ht="15.75" customHeight="1" s="201">
      <c r="A3458" s="1" t="inlineStr">
        <is>
          <t>Frankfurter, meat, heated</t>
        </is>
      </c>
      <c r="C3458" s="1" t="n">
        <v>4.9</v>
      </c>
      <c r="D3458" s="1" t="n">
        <v>6</v>
      </c>
      <c r="E3458" s="1" t="n">
        <v>1.22</v>
      </c>
      <c r="F3458" s="1" t="n">
        <v>9.77</v>
      </c>
      <c r="G3458" s="1" t="n">
        <v>24.31</v>
      </c>
      <c r="H3458" s="1" t="n">
        <v>0</v>
      </c>
      <c r="I3458" s="1" t="n">
        <v>1.08</v>
      </c>
      <c r="J3458" t="n">
        <v>14620320</v>
      </c>
    </row>
    <row r="3459" ht="15.75" customHeight="1" s="201">
      <c r="A3459" s="1" t="inlineStr">
        <is>
          <t>Frankfurter, meatless</t>
        </is>
      </c>
      <c r="C3459" s="1" t="n">
        <v>7.7</v>
      </c>
      <c r="D3459" s="1" t="n">
        <v>78</v>
      </c>
      <c r="E3459" s="1" t="n">
        <v>1.41</v>
      </c>
      <c r="F3459" s="1" t="n">
        <v>19.61</v>
      </c>
      <c r="G3459" s="1" t="n">
        <v>13.73</v>
      </c>
      <c r="H3459" s="1" t="n">
        <v>0</v>
      </c>
      <c r="I3459" s="1" t="n">
        <v>1.2</v>
      </c>
      <c r="J3459" t="n">
        <v>27564430</v>
      </c>
    </row>
    <row r="3460" ht="15.75" customHeight="1" s="201">
      <c r="A3460" s="1" t="inlineStr">
        <is>
          <t>Frankfurter, pork</t>
        </is>
      </c>
      <c r="C3460" s="1" t="n">
        <v>0.28</v>
      </c>
      <c r="D3460" s="1" t="n">
        <v>3</v>
      </c>
      <c r="E3460" s="1" t="n">
        <v>3.7</v>
      </c>
      <c r="F3460" s="1" t="n">
        <v>12.81</v>
      </c>
      <c r="G3460" s="1" t="n">
        <v>23.68</v>
      </c>
      <c r="H3460" s="1" t="n">
        <v>263</v>
      </c>
      <c r="I3460" s="1" t="n">
        <v>2.09</v>
      </c>
      <c r="J3460" t="n">
        <v>25210220</v>
      </c>
    </row>
    <row r="3461" ht="15.75" customHeight="1" s="201">
      <c r="A3461" s="1" t="inlineStr">
        <is>
          <t>Frankfurter, turkey</t>
        </is>
      </c>
      <c r="C3461" s="1" t="n">
        <v>3.81</v>
      </c>
      <c r="D3461" s="1" t="n">
        <v>9</v>
      </c>
      <c r="E3461" s="1" t="n">
        <v>1.47</v>
      </c>
      <c r="F3461" s="1" t="n">
        <v>12.23</v>
      </c>
      <c r="G3461" s="1" t="n">
        <v>17.29</v>
      </c>
      <c r="H3461" s="1" t="n">
        <v>0</v>
      </c>
      <c r="I3461" s="1" t="n">
        <v>1.84</v>
      </c>
      <c r="J3461" t="n">
        <v>27540350</v>
      </c>
    </row>
    <row r="3462" ht="15.75" customHeight="1" s="201">
      <c r="A3462" s="1" t="inlineStr">
        <is>
          <t>French toast, frozen, ready-to-heat</t>
        </is>
      </c>
      <c r="C3462" s="1" t="n">
        <v>32.1</v>
      </c>
      <c r="D3462" s="1" t="n">
        <v>52</v>
      </c>
      <c r="E3462" s="1" t="n">
        <v>2.21</v>
      </c>
      <c r="F3462" s="1" t="n">
        <v>7.4</v>
      </c>
      <c r="G3462" s="1" t="n">
        <v>6.1</v>
      </c>
      <c r="H3462" s="1" t="n">
        <v>187</v>
      </c>
      <c r="I3462" s="1" t="n">
        <v>0.77</v>
      </c>
      <c r="J3462" t="n">
        <v>55300020</v>
      </c>
    </row>
    <row r="3463" ht="15.75" customHeight="1" s="201">
      <c r="A3463" s="1" t="inlineStr">
        <is>
          <t>Frijoles rojos volteados (Refried beans, red, canned)</t>
        </is>
      </c>
      <c r="C3463" s="1" t="n">
        <v>15.47</v>
      </c>
      <c r="D3463" s="1" t="n">
        <v>5</v>
      </c>
      <c r="E3463" s="1" t="n">
        <v>1.95</v>
      </c>
      <c r="F3463" s="1" t="n">
        <v>5</v>
      </c>
      <c r="G3463" s="1" t="n">
        <v>6.93</v>
      </c>
      <c r="I3463" s="1" t="n">
        <v>0.7</v>
      </c>
      <c r="J3463" t="n">
        <v>41205010</v>
      </c>
    </row>
    <row r="3464" ht="15.75" customHeight="1" s="201">
      <c r="A3464" s="1" t="inlineStr">
        <is>
          <t>Frog legs, raw</t>
        </is>
      </c>
      <c r="C3464" s="1" t="n">
        <v>0</v>
      </c>
      <c r="D3464" s="1" t="n">
        <v>15</v>
      </c>
      <c r="E3464" s="1" t="n">
        <v>1.5</v>
      </c>
      <c r="F3464" s="1" t="n">
        <v>16.4</v>
      </c>
      <c r="G3464" s="1" t="n">
        <v>0.3</v>
      </c>
      <c r="H3464" s="1" t="n">
        <v>50</v>
      </c>
      <c r="I3464" s="1" t="n">
        <v>1</v>
      </c>
    </row>
    <row r="3465" ht="15.75" customHeight="1" s="201">
      <c r="A3465" s="1" t="inlineStr">
        <is>
          <t>Frostings, chocolate, creamy, dry mix</t>
        </is>
      </c>
      <c r="C3465" s="1" t="n">
        <v>92</v>
      </c>
      <c r="D3465" s="1" t="n">
        <v>3</v>
      </c>
      <c r="E3465" s="1" t="n">
        <v>1.19</v>
      </c>
      <c r="F3465" s="1" t="n">
        <v>1.3</v>
      </c>
      <c r="G3465" s="1" t="n">
        <v>5.2</v>
      </c>
      <c r="H3465" s="1" t="n">
        <v>0</v>
      </c>
      <c r="I3465" s="1" t="n">
        <v>0.8100000000000001</v>
      </c>
      <c r="J3465" t="n">
        <v>53108200</v>
      </c>
    </row>
    <row r="3466" ht="15.75" customHeight="1" s="201">
      <c r="A3466" s="1" t="inlineStr">
        <is>
          <t>Frostings, chocolate, creamy, dry mix, prepared with butter</t>
        </is>
      </c>
      <c r="C3466" s="1" t="n">
        <v>71.8</v>
      </c>
      <c r="D3466" s="1" t="n">
        <v>3</v>
      </c>
      <c r="E3466" s="1" t="n">
        <v>0.93</v>
      </c>
      <c r="F3466" s="1" t="n">
        <v>1.11</v>
      </c>
      <c r="G3466" s="1" t="n">
        <v>13.06</v>
      </c>
      <c r="H3466" s="1" t="n">
        <v>278</v>
      </c>
      <c r="I3466" s="1" t="n">
        <v>0.64</v>
      </c>
      <c r="J3466" t="n">
        <v>53108200</v>
      </c>
    </row>
    <row r="3467" ht="15.75" customHeight="1" s="201">
      <c r="A3467" s="1" t="inlineStr">
        <is>
          <t>Frostings, chocolate, creamy, dry mix, prepared with margarine</t>
        </is>
      </c>
      <c r="C3467" s="1" t="n">
        <v>71.02</v>
      </c>
      <c r="D3467" s="1" t="n">
        <v>2</v>
      </c>
      <c r="E3467" s="1" t="n">
        <v>0.93</v>
      </c>
      <c r="F3467" s="1" t="n">
        <v>1.1</v>
      </c>
      <c r="G3467" s="1" t="n">
        <v>12.87</v>
      </c>
      <c r="H3467" s="1" t="n">
        <v>393</v>
      </c>
      <c r="I3467" s="1" t="n">
        <v>0.63</v>
      </c>
      <c r="J3467" t="n">
        <v>53108200</v>
      </c>
    </row>
    <row r="3468" ht="15.75" customHeight="1" s="201">
      <c r="A3468" s="1" t="inlineStr">
        <is>
          <t>Frostings, chocolate, creamy, ready-to-eat</t>
        </is>
      </c>
      <c r="C3468" s="1" t="n">
        <v>63.2</v>
      </c>
      <c r="D3468" s="1" t="n">
        <v>1</v>
      </c>
      <c r="E3468" s="1" t="n">
        <v>1.42</v>
      </c>
      <c r="F3468" s="1" t="n">
        <v>1.1</v>
      </c>
      <c r="G3468" s="1" t="n">
        <v>17.6</v>
      </c>
      <c r="H3468" s="1" t="n">
        <v>1</v>
      </c>
      <c r="I3468" s="1" t="n">
        <v>0.29</v>
      </c>
      <c r="J3468" t="n">
        <v>53108200</v>
      </c>
    </row>
    <row r="3469" ht="15.75" customHeight="1" s="201">
      <c r="A3469" s="1" t="inlineStr">
        <is>
          <t>Frostings, coconut-nut, ready-to-eat</t>
        </is>
      </c>
      <c r="C3469" s="1" t="n">
        <v>52.7</v>
      </c>
      <c r="D3469" s="1" t="n">
        <v>2</v>
      </c>
      <c r="E3469" s="1" t="n">
        <v>0.54</v>
      </c>
      <c r="F3469" s="1" t="n">
        <v>1.5</v>
      </c>
      <c r="G3469" s="1" t="n">
        <v>24</v>
      </c>
      <c r="H3469" s="1" t="n">
        <v>4</v>
      </c>
      <c r="I3469" s="1" t="n">
        <v>0.41</v>
      </c>
      <c r="J3469" t="n">
        <v>42404010</v>
      </c>
    </row>
    <row r="3470" ht="15.75" customHeight="1" s="201">
      <c r="A3470" s="1" t="inlineStr">
        <is>
          <t>Frostings, cream cheese-flavor, ready-to-eat</t>
        </is>
      </c>
      <c r="C3470" s="1" t="n">
        <v>67.31999999999999</v>
      </c>
      <c r="D3470" s="1" t="n">
        <v>0</v>
      </c>
      <c r="E3470" s="1" t="n">
        <v>0.16</v>
      </c>
      <c r="F3470" s="1" t="n">
        <v>0.1</v>
      </c>
      <c r="G3470" s="1" t="n">
        <v>17.3</v>
      </c>
      <c r="H3470" s="1" t="n">
        <v>0</v>
      </c>
      <c r="I3470" s="1" t="n">
        <v>0.02</v>
      </c>
      <c r="J3470" t="n">
        <v>27446240</v>
      </c>
    </row>
    <row r="3471" ht="15.75" customHeight="1" s="201">
      <c r="A3471" s="1" t="inlineStr">
        <is>
          <t>Frostings, glaze, chocolate, prepared-from-recipe, with butter, NFSMI Recipe No. C-32</t>
        </is>
      </c>
      <c r="C3471" s="1" t="n">
        <v>72.18000000000001</v>
      </c>
      <c r="D3471" s="1" t="n">
        <v>2</v>
      </c>
      <c r="E3471" s="1" t="n">
        <v>0.6</v>
      </c>
      <c r="F3471" s="1" t="n">
        <v>1.42</v>
      </c>
      <c r="G3471" s="1" t="n">
        <v>7.17</v>
      </c>
      <c r="H3471" s="1" t="n">
        <v>249</v>
      </c>
      <c r="I3471" s="1" t="n">
        <v>0.37</v>
      </c>
      <c r="J3471" t="n">
        <v>53108200</v>
      </c>
    </row>
    <row r="3472" ht="15.75" customHeight="1" s="201">
      <c r="A3472" s="1" t="inlineStr">
        <is>
          <t>Frostings, glaze, prepared-from-recipe</t>
        </is>
      </c>
      <c r="C3472" s="1" t="n">
        <v>83.65000000000001</v>
      </c>
      <c r="D3472" s="1" t="n">
        <v>1</v>
      </c>
      <c r="E3472" s="1" t="n">
        <v>0.03</v>
      </c>
      <c r="F3472" s="1" t="n">
        <v>0.44</v>
      </c>
      <c r="G3472" s="1" t="n">
        <v>0.53</v>
      </c>
      <c r="H3472" s="1" t="n">
        <v>14</v>
      </c>
      <c r="I3472" s="1" t="n">
        <v>0.06</v>
      </c>
      <c r="J3472" t="n">
        <v>24127210</v>
      </c>
    </row>
    <row r="3473" ht="15.75" customHeight="1" s="201">
      <c r="A3473" s="1" t="inlineStr">
        <is>
          <t>Frostings, vanilla, creamy, dry mix</t>
        </is>
      </c>
      <c r="C3473" s="1" t="n">
        <v>93.8</v>
      </c>
      <c r="D3473" s="1" t="n">
        <v>0</v>
      </c>
      <c r="E3473" s="1" t="n">
        <v>0</v>
      </c>
      <c r="F3473" s="1" t="n">
        <v>0.3</v>
      </c>
      <c r="G3473" s="1" t="n">
        <v>4.9</v>
      </c>
      <c r="H3473" s="1" t="n">
        <v>0</v>
      </c>
      <c r="I3473" s="1" t="n">
        <v>0.01</v>
      </c>
      <c r="J3473" t="n">
        <v>83112500</v>
      </c>
    </row>
    <row r="3474" ht="15.75" customHeight="1" s="201">
      <c r="A3474" s="1" t="inlineStr">
        <is>
          <t>Frostings, vanilla, creamy, dry mix, prepared with margarine</t>
        </is>
      </c>
      <c r="C3474" s="1" t="n">
        <v>74.28</v>
      </c>
      <c r="D3474" s="1" t="n">
        <v>0</v>
      </c>
      <c r="E3474" s="1" t="n">
        <v>0.01</v>
      </c>
      <c r="F3474" s="1" t="n">
        <v>0.34</v>
      </c>
      <c r="G3474" s="1" t="n">
        <v>12.74</v>
      </c>
      <c r="H3474" s="1" t="n">
        <v>393</v>
      </c>
      <c r="I3474" s="1" t="n">
        <v>0.01</v>
      </c>
      <c r="J3474" t="n">
        <v>75142550</v>
      </c>
    </row>
    <row r="3475" ht="15.75" customHeight="1" s="201">
      <c r="A3475" s="1" t="inlineStr">
        <is>
          <t>Frostings, vanilla, creamy, ready-to-eat</t>
        </is>
      </c>
      <c r="C3475" s="1" t="n">
        <v>67.89</v>
      </c>
      <c r="D3475" s="1" t="n">
        <v>8</v>
      </c>
      <c r="E3475" s="1" t="n">
        <v>0.16</v>
      </c>
      <c r="F3475" s="1" t="n">
        <v>0</v>
      </c>
      <c r="G3475" s="1" t="n">
        <v>16.23</v>
      </c>
      <c r="H3475" s="1" t="n">
        <v>0</v>
      </c>
      <c r="I3475" s="1" t="n">
        <v>0.07000000000000001</v>
      </c>
      <c r="J3475" t="n">
        <v>83112500</v>
      </c>
    </row>
    <row r="3476" ht="15.75" customHeight="1" s="201">
      <c r="A3476" s="1" t="inlineStr">
        <is>
          <t>Frostings, white, fluffy, dry mix</t>
        </is>
      </c>
      <c r="C3476" s="1" t="n">
        <v>94.90000000000001</v>
      </c>
      <c r="D3476" s="1" t="n">
        <v>3</v>
      </c>
      <c r="E3476" s="1" t="n">
        <v>0.09</v>
      </c>
      <c r="F3476" s="1" t="n">
        <v>2.3</v>
      </c>
      <c r="G3476" s="1" t="n">
        <v>0</v>
      </c>
      <c r="H3476" s="1" t="n">
        <v>0</v>
      </c>
      <c r="I3476" s="1" t="n">
        <v>0.01</v>
      </c>
      <c r="J3476" t="n">
        <v>53109200</v>
      </c>
    </row>
    <row r="3477" ht="15.75" customHeight="1" s="201">
      <c r="A3477" s="1" t="inlineStr">
        <is>
          <t>Frostings, white, fluffy, dry mix, prepared with water</t>
        </is>
      </c>
      <c r="C3477" s="1" t="n">
        <v>62.6</v>
      </c>
      <c r="D3477" s="1" t="n">
        <v>2</v>
      </c>
      <c r="E3477" s="1" t="n">
        <v>0.06</v>
      </c>
      <c r="F3477" s="1" t="n">
        <v>1.5</v>
      </c>
      <c r="G3477" s="1" t="n">
        <v>0</v>
      </c>
      <c r="H3477" s="1" t="n">
        <v>0</v>
      </c>
      <c r="I3477" s="1" t="n">
        <v>0.02</v>
      </c>
      <c r="J3477" t="n">
        <v>11740312</v>
      </c>
    </row>
    <row r="3478" ht="15.75" customHeight="1" s="201">
      <c r="A3478" s="1" t="inlineStr">
        <is>
          <t>Frozen novelties, fruit and juice bars</t>
        </is>
      </c>
      <c r="C3478" s="1" t="n">
        <v>20.2</v>
      </c>
      <c r="D3478" s="1" t="n">
        <v>7</v>
      </c>
      <c r="E3478" s="1" t="n">
        <v>0.19</v>
      </c>
      <c r="F3478" s="1" t="n">
        <v>1.2</v>
      </c>
      <c r="G3478" s="1" t="n">
        <v>0.1</v>
      </c>
      <c r="H3478" s="1" t="n">
        <v>18</v>
      </c>
      <c r="I3478" s="1" t="n">
        <v>0.05</v>
      </c>
      <c r="J3478" t="n">
        <v>91708030</v>
      </c>
    </row>
    <row r="3479" ht="15.75" customHeight="1" s="201">
      <c r="A3479" s="1" t="inlineStr">
        <is>
          <t>Frozen novelties, ice cream type, chocolate or caramel covered, with nuts</t>
        </is>
      </c>
      <c r="C3479" s="1" t="n">
        <v>30.9</v>
      </c>
      <c r="D3479" s="1" t="n">
        <v>11</v>
      </c>
      <c r="E3479" s="1" t="n">
        <v>0.72</v>
      </c>
      <c r="F3479" s="1" t="n">
        <v>4.4</v>
      </c>
      <c r="G3479" s="1" t="n">
        <v>20.2</v>
      </c>
      <c r="H3479" s="1" t="n">
        <v>220</v>
      </c>
      <c r="I3479" s="1" t="n">
        <v>0.63</v>
      </c>
      <c r="J3479" t="n">
        <v>53108200</v>
      </c>
    </row>
    <row r="3480" ht="15.75" customHeight="1" s="201">
      <c r="A3480" s="1" t="inlineStr">
        <is>
          <t>Frozen novelties, ice cream type, sundae, prepackaged</t>
        </is>
      </c>
      <c r="C3480" s="1" t="n">
        <v>29.64</v>
      </c>
      <c r="D3480" s="1" t="n">
        <v>5</v>
      </c>
      <c r="E3480" s="1" t="n">
        <v>0.25</v>
      </c>
      <c r="F3480" s="1" t="n">
        <v>4.3</v>
      </c>
      <c r="G3480" s="1" t="n">
        <v>6</v>
      </c>
      <c r="H3480" s="1" t="n">
        <v>458</v>
      </c>
      <c r="I3480" s="1" t="n">
        <v>0.54</v>
      </c>
      <c r="J3480" t="n">
        <v>13110200</v>
      </c>
    </row>
    <row r="3481" ht="15.75" customHeight="1" s="201">
      <c r="A3481" s="1" t="inlineStr">
        <is>
          <t>Frozen novelties, ice cream type, vanilla ice cream, light, no sugar added, chocolate coated</t>
        </is>
      </c>
      <c r="C3481" s="1" t="n">
        <v>26.11</v>
      </c>
      <c r="D3481" s="1" t="n">
        <v>7</v>
      </c>
      <c r="E3481" s="1" t="n">
        <v>0.29</v>
      </c>
      <c r="F3481" s="1" t="n">
        <v>6.4</v>
      </c>
      <c r="G3481" s="1" t="n">
        <v>10.1</v>
      </c>
      <c r="H3481" s="1" t="n">
        <v>123</v>
      </c>
      <c r="I3481" s="1" t="n">
        <v>0.82</v>
      </c>
      <c r="J3481" t="n">
        <v>27446245</v>
      </c>
    </row>
    <row r="3482" ht="15.75" customHeight="1" s="201">
      <c r="A3482" s="1" t="inlineStr">
        <is>
          <t>Frozen novelties, ice type, fruit, no sugar added</t>
        </is>
      </c>
      <c r="C3482" s="1" t="n">
        <v>6.2</v>
      </c>
      <c r="D3482" s="1" t="n">
        <v>0</v>
      </c>
      <c r="E3482" s="1" t="n">
        <v>0.13</v>
      </c>
      <c r="F3482" s="1" t="n">
        <v>0.5</v>
      </c>
      <c r="G3482" s="1" t="n">
        <v>0.1</v>
      </c>
      <c r="H3482" s="1" t="n">
        <v>1</v>
      </c>
      <c r="I3482" s="1" t="n">
        <v>0.04</v>
      </c>
      <c r="J3482" t="n">
        <v>91708030</v>
      </c>
    </row>
    <row r="3483" ht="15.75" customHeight="1" s="201">
      <c r="A3483" s="1" t="inlineStr">
        <is>
          <t>Frozen novelties, ice type, italian, restaurant-prepared</t>
        </is>
      </c>
      <c r="C3483" s="1" t="n">
        <v>13.5</v>
      </c>
      <c r="D3483" s="1" t="n">
        <v>5</v>
      </c>
      <c r="E3483" s="1" t="n">
        <v>0.09</v>
      </c>
      <c r="F3483" s="1" t="n">
        <v>0.03</v>
      </c>
      <c r="G3483" s="1" t="n">
        <v>0.02</v>
      </c>
      <c r="H3483" s="1" t="n">
        <v>167</v>
      </c>
      <c r="I3483" s="1" t="n">
        <v>0.03</v>
      </c>
      <c r="J3483" t="n">
        <v>42303100</v>
      </c>
    </row>
    <row r="3484" ht="15.75" customHeight="1" s="201">
      <c r="A3484" s="1" t="inlineStr">
        <is>
          <t>Frozen novelties, ice type, lime</t>
        </is>
      </c>
      <c r="C3484" s="1" t="n">
        <v>32.6</v>
      </c>
      <c r="D3484" s="1" t="n">
        <v>0</v>
      </c>
      <c r="E3484" s="1" t="n">
        <v>0.16</v>
      </c>
      <c r="F3484" s="1" t="n">
        <v>0.4</v>
      </c>
      <c r="G3484" s="1" t="n">
        <v>0</v>
      </c>
      <c r="H3484" s="1" t="n">
        <v>0</v>
      </c>
      <c r="I3484" s="1" t="n">
        <v>0.02</v>
      </c>
      <c r="J3484" t="n">
        <v>42303100</v>
      </c>
    </row>
    <row r="3485" ht="15.75" customHeight="1" s="201">
      <c r="A3485" s="1" t="inlineStr">
        <is>
          <t>Frozen novelties, ice type, pineapple-coconut</t>
        </is>
      </c>
      <c r="C3485" s="1" t="n">
        <v>23.9</v>
      </c>
      <c r="D3485" s="1" t="n">
        <v>1</v>
      </c>
      <c r="E3485" s="1" t="n">
        <v>3.53</v>
      </c>
      <c r="F3485" s="1" t="n">
        <v>0</v>
      </c>
      <c r="G3485" s="1" t="n">
        <v>2.6</v>
      </c>
      <c r="H3485" s="1" t="n">
        <v>0</v>
      </c>
      <c r="I3485" s="1" t="n">
        <v>0.11</v>
      </c>
      <c r="J3485" t="n">
        <v>42303100</v>
      </c>
    </row>
    <row r="3486" ht="15.75" customHeight="1" s="201">
      <c r="A3486" s="1" t="inlineStr">
        <is>
          <t>Frozen novelties, ice type, pop</t>
        </is>
      </c>
      <c r="C3486" s="1" t="n">
        <v>19.23</v>
      </c>
      <c r="D3486" s="1" t="n">
        <v>0</v>
      </c>
      <c r="E3486" s="1" t="n">
        <v>0.54</v>
      </c>
      <c r="F3486" s="1" t="n">
        <v>0</v>
      </c>
      <c r="G3486" s="1" t="n">
        <v>0.24</v>
      </c>
      <c r="H3486" s="1" t="n">
        <v>0</v>
      </c>
      <c r="I3486" s="1" t="n">
        <v>0.15</v>
      </c>
      <c r="J3486" t="n">
        <v>42303100</v>
      </c>
    </row>
    <row r="3487" ht="15.75" customHeight="1" s="201">
      <c r="A3487" s="1" t="inlineStr">
        <is>
          <t>Frozen novelties, ice type, pop, with low calorie sweetener</t>
        </is>
      </c>
      <c r="C3487" s="1" t="n">
        <v>5.92</v>
      </c>
      <c r="D3487" s="1" t="n">
        <v>0</v>
      </c>
      <c r="E3487" s="1" t="n">
        <v>0.67</v>
      </c>
      <c r="F3487" s="1" t="n">
        <v>0</v>
      </c>
      <c r="G3487" s="1" t="n">
        <v>0</v>
      </c>
      <c r="H3487" s="1" t="n">
        <v>0</v>
      </c>
      <c r="I3487" s="1" t="n">
        <v>0.47</v>
      </c>
      <c r="J3487" t="n">
        <v>53109200</v>
      </c>
    </row>
    <row r="3488" ht="15.75" customHeight="1" s="201">
      <c r="A3488" s="1" t="inlineStr">
        <is>
          <t>Frozen novelties, ice type, sugar free, orange, cherry, and grape POPSICLE pops</t>
        </is>
      </c>
      <c r="C3488" s="1" t="n">
        <v>5.14</v>
      </c>
      <c r="E3488" s="1" t="n">
        <v>0.67</v>
      </c>
      <c r="F3488" s="1" t="n">
        <v>0</v>
      </c>
      <c r="G3488" s="1" t="n">
        <v>0</v>
      </c>
      <c r="H3488" s="1" t="n">
        <v>0</v>
      </c>
      <c r="I3488" s="1" t="n">
        <v>0.47</v>
      </c>
      <c r="J3488" t="n">
        <v>27446260</v>
      </c>
    </row>
    <row r="3489" ht="15.75" customHeight="1" s="201">
      <c r="A3489" s="1" t="inlineStr">
        <is>
          <t>Frozen novelties, juice type, juice with cream</t>
        </is>
      </c>
      <c r="C3489" s="1" t="n">
        <v>24.11</v>
      </c>
      <c r="D3489" s="1" t="n">
        <v>11</v>
      </c>
      <c r="E3489" s="1" t="n">
        <v>0.28</v>
      </c>
      <c r="F3489" s="1" t="n">
        <v>1.41</v>
      </c>
      <c r="G3489" s="1" t="n">
        <v>1.41</v>
      </c>
      <c r="H3489" s="1" t="n">
        <v>145</v>
      </c>
      <c r="I3489" s="1" t="n">
        <v>0.27</v>
      </c>
      <c r="J3489" t="n">
        <v>92530610</v>
      </c>
    </row>
    <row r="3490" ht="15.75" customHeight="1" s="201">
      <c r="A3490" s="1" t="inlineStr">
        <is>
          <t>Frozen novelties, juice type, orange</t>
        </is>
      </c>
      <c r="C3490" s="1" t="n">
        <v>23.17</v>
      </c>
      <c r="D3490" s="1" t="n">
        <v>18</v>
      </c>
      <c r="E3490" s="1" t="n">
        <v>0.47</v>
      </c>
      <c r="F3490" s="1" t="n">
        <v>0.5</v>
      </c>
      <c r="G3490" s="1" t="n">
        <v>0</v>
      </c>
      <c r="H3490" s="1" t="n">
        <v>21</v>
      </c>
      <c r="I3490" s="1" t="n">
        <v>0.02</v>
      </c>
      <c r="J3490" t="n">
        <v>64100110</v>
      </c>
    </row>
    <row r="3491" ht="15.75" customHeight="1" s="201">
      <c r="A3491" s="1" t="inlineStr">
        <is>
          <t>Frozen novelties, juice type, POPSICLE SCRIBBLERS</t>
        </is>
      </c>
      <c r="C3491" s="1" t="n">
        <v>19.68</v>
      </c>
      <c r="E3491" s="1" t="n">
        <v>0.3</v>
      </c>
      <c r="F3491" s="1" t="n">
        <v>0</v>
      </c>
      <c r="G3491" s="1" t="n">
        <v>0.24</v>
      </c>
      <c r="I3491" s="1" t="n">
        <v>0.07000000000000001</v>
      </c>
      <c r="J3491" t="n">
        <v>64100110</v>
      </c>
    </row>
    <row r="3492" ht="15.75" customHeight="1" s="201">
      <c r="A3492" s="1" t="inlineStr">
        <is>
          <t>Frozen novelties, KLONDIKE, SLIM-A-BEAR Chocolate Cone</t>
        </is>
      </c>
      <c r="C3492" s="1" t="n">
        <v>45.32</v>
      </c>
      <c r="E3492" s="1" t="n">
        <v>0.75</v>
      </c>
      <c r="F3492" s="1" t="n">
        <v>4.09</v>
      </c>
      <c r="G3492" s="1" t="n">
        <v>4.1</v>
      </c>
      <c r="H3492" s="1" t="n">
        <v>259</v>
      </c>
      <c r="J3492" t="n">
        <v>53108200</v>
      </c>
    </row>
    <row r="3493" ht="15.75" customHeight="1" s="201">
      <c r="A3493" s="1" t="inlineStr">
        <is>
          <t>Frozen novelties, KLONDIKE, SLIM-A-BEAR Fudge Bar, 98% fat free, no sugar added</t>
        </is>
      </c>
      <c r="C3493" s="1" t="n">
        <v>30.07</v>
      </c>
      <c r="E3493" s="1" t="n">
        <v>0.71</v>
      </c>
      <c r="F3493" s="1" t="n">
        <v>4.31</v>
      </c>
      <c r="G3493" s="1" t="n">
        <v>1.88</v>
      </c>
      <c r="H3493" s="1" t="n">
        <v>49</v>
      </c>
      <c r="J3493" t="n">
        <v>27446260</v>
      </c>
    </row>
    <row r="3494" ht="15.75" customHeight="1" s="201">
      <c r="A3494" s="1" t="inlineStr">
        <is>
          <t>Frozen novelties, KLONDIKE, SLIM-A-BEAR Vanilla Sandwich</t>
        </is>
      </c>
      <c r="C3494" s="1" t="n">
        <v>42.75</v>
      </c>
      <c r="E3494" s="1" t="n">
        <v>0.38</v>
      </c>
      <c r="F3494" s="1" t="n">
        <v>3.9</v>
      </c>
      <c r="G3494" s="1" t="n">
        <v>5.85</v>
      </c>
      <c r="H3494" s="1" t="n">
        <v>288</v>
      </c>
      <c r="J3494" t="n">
        <v>27513010</v>
      </c>
    </row>
    <row r="3495" ht="15.75" customHeight="1" s="201">
      <c r="A3495" s="1" t="inlineStr">
        <is>
          <t>Frozen novelties, KLONDIKE, SLIM-A-BEAR, No Sugar Added, Stickless Bar</t>
        </is>
      </c>
      <c r="C3495" s="1" t="n">
        <v>25.98</v>
      </c>
      <c r="E3495" s="1" t="n">
        <v>0.41</v>
      </c>
      <c r="F3495" s="1" t="n">
        <v>5.2</v>
      </c>
      <c r="G3495" s="1" t="n">
        <v>13</v>
      </c>
      <c r="H3495" s="1" t="n">
        <v>289</v>
      </c>
      <c r="J3495" t="n">
        <v>75231022</v>
      </c>
    </row>
    <row r="3496" ht="15.75" customHeight="1" s="201">
      <c r="A3496" s="1" t="inlineStr">
        <is>
          <t>Frozen novelties, No Sugar Added CREAMSICLE Pops</t>
        </is>
      </c>
      <c r="C3496" s="1" t="n">
        <v>12.88</v>
      </c>
      <c r="E3496" s="1" t="n">
        <v>0.28</v>
      </c>
      <c r="F3496" s="1" t="n">
        <v>3.69</v>
      </c>
      <c r="G3496" s="1" t="n">
        <v>0.61</v>
      </c>
      <c r="H3496" s="1" t="n">
        <v>23</v>
      </c>
      <c r="J3496" t="n">
        <v>75231022</v>
      </c>
    </row>
    <row r="3497" ht="15.75" customHeight="1" s="201">
      <c r="A3497" s="1" t="inlineStr">
        <is>
          <t>Frozen novelties, No Sugar Added, FUDGSICLE pops</t>
        </is>
      </c>
      <c r="C3497" s="1" t="n">
        <v>23.11</v>
      </c>
      <c r="D3497" s="1" t="n">
        <v>6</v>
      </c>
      <c r="E3497" s="1" t="n">
        <v>1.58</v>
      </c>
      <c r="F3497" s="1" t="n">
        <v>3.67</v>
      </c>
      <c r="G3497" s="1" t="n">
        <v>1.87</v>
      </c>
      <c r="H3497" s="1" t="n">
        <v>0</v>
      </c>
      <c r="I3497" s="1" t="n">
        <v>0.55</v>
      </c>
      <c r="J3497" t="n">
        <v>75231022</v>
      </c>
    </row>
    <row r="3498" ht="15.75" customHeight="1" s="201">
      <c r="A3498" s="1" t="inlineStr">
        <is>
          <t>Frozen novelties, Sugar Free, CREAMSICLE Pops</t>
        </is>
      </c>
      <c r="C3498" s="1" t="n">
        <v>11.95</v>
      </c>
      <c r="E3498" s="1" t="n">
        <v>0.03</v>
      </c>
      <c r="F3498" s="1" t="n">
        <v>1.37</v>
      </c>
      <c r="G3498" s="1" t="n">
        <v>2.33</v>
      </c>
      <c r="H3498" s="1" t="n">
        <v>0</v>
      </c>
      <c r="J3498" t="n">
        <v>27446260</v>
      </c>
    </row>
    <row r="3499" ht="15.75" customHeight="1" s="201">
      <c r="A3499" s="1" t="inlineStr">
        <is>
          <t>Frozen yogurts, chocolate</t>
        </is>
      </c>
      <c r="C3499" s="1" t="n">
        <v>21.6</v>
      </c>
      <c r="D3499" s="1" t="n">
        <v>12</v>
      </c>
      <c r="E3499" s="1" t="n">
        <v>0.46</v>
      </c>
      <c r="F3499" s="1" t="n">
        <v>3</v>
      </c>
      <c r="G3499" s="1" t="n">
        <v>3.6</v>
      </c>
      <c r="H3499" s="1" t="n">
        <v>141</v>
      </c>
      <c r="I3499" s="1" t="n">
        <v>0.28</v>
      </c>
      <c r="J3499" t="n">
        <v>53108200</v>
      </c>
    </row>
    <row r="3500" ht="15.75" customHeight="1" s="201">
      <c r="A3500" s="1" t="inlineStr">
        <is>
          <t>Frozen yogurts, chocolate, nonfat milk, sweetened without sugar</t>
        </is>
      </c>
      <c r="C3500" s="1" t="n">
        <v>19.7</v>
      </c>
      <c r="D3500" s="1" t="n">
        <v>12</v>
      </c>
      <c r="E3500" s="1" t="n">
        <v>0.04</v>
      </c>
      <c r="F3500" s="1" t="n">
        <v>4.4</v>
      </c>
      <c r="G3500" s="1" t="n">
        <v>0.8</v>
      </c>
      <c r="H3500" s="1" t="n">
        <v>7</v>
      </c>
      <c r="I3500" s="1" t="n">
        <v>0.49</v>
      </c>
      <c r="J3500" t="n">
        <v>53108200</v>
      </c>
    </row>
    <row r="3501" ht="15.75" customHeight="1" s="201">
      <c r="A3501" s="1" t="inlineStr">
        <is>
          <t>Frozen yogurts, chocolate, soft-serve</t>
        </is>
      </c>
      <c r="C3501" s="1" t="n">
        <v>24.9</v>
      </c>
      <c r="D3501" s="1" t="n">
        <v>11</v>
      </c>
      <c r="E3501" s="1" t="n">
        <v>1.25</v>
      </c>
      <c r="F3501" s="1" t="n">
        <v>4</v>
      </c>
      <c r="G3501" s="1" t="n">
        <v>6</v>
      </c>
      <c r="H3501" s="1" t="n">
        <v>160</v>
      </c>
      <c r="I3501" s="1" t="n">
        <v>0.49</v>
      </c>
      <c r="J3501" t="n">
        <v>53108200</v>
      </c>
    </row>
    <row r="3502" ht="15.75" customHeight="1" s="201">
      <c r="A3502" s="1" t="inlineStr">
        <is>
          <t>Frozen yogurts, flavors other than chocolate</t>
        </is>
      </c>
      <c r="C3502" s="1" t="n">
        <v>21.6</v>
      </c>
      <c r="D3502" s="1" t="n">
        <v>4</v>
      </c>
      <c r="E3502" s="1" t="n">
        <v>0.46</v>
      </c>
      <c r="F3502" s="1" t="n">
        <v>3</v>
      </c>
      <c r="G3502" s="1" t="n">
        <v>3.6</v>
      </c>
      <c r="H3502" s="1" t="n">
        <v>176</v>
      </c>
      <c r="I3502" s="1" t="n">
        <v>0.28</v>
      </c>
      <c r="J3502" t="n">
        <v>53108200</v>
      </c>
    </row>
    <row r="3503" ht="15.75" customHeight="1" s="201">
      <c r="A3503" s="1" t="inlineStr">
        <is>
          <t>Frozen yogurts, vanilla, soft-serve</t>
        </is>
      </c>
      <c r="C3503" s="1" t="n">
        <v>24.2</v>
      </c>
      <c r="D3503" s="1" t="n">
        <v>6</v>
      </c>
      <c r="E3503" s="1" t="n">
        <v>0.3</v>
      </c>
      <c r="F3503" s="1" t="n">
        <v>4</v>
      </c>
      <c r="G3503" s="1" t="n">
        <v>5.6</v>
      </c>
      <c r="H3503" s="1" t="n">
        <v>212</v>
      </c>
      <c r="I3503" s="1" t="n">
        <v>0.42</v>
      </c>
      <c r="J3503" t="n">
        <v>13110200</v>
      </c>
    </row>
    <row r="3504" ht="15.75" customHeight="1" s="201">
      <c r="A3504" s="1" t="inlineStr">
        <is>
          <t>Fruit butters, apple</t>
        </is>
      </c>
      <c r="C3504" s="1" t="n">
        <v>42.47</v>
      </c>
      <c r="D3504" s="1" t="n">
        <v>1</v>
      </c>
      <c r="E3504" s="1" t="n">
        <v>0.31</v>
      </c>
      <c r="F3504" s="1" t="n">
        <v>0.39</v>
      </c>
      <c r="G3504" s="1" t="n">
        <v>0.3</v>
      </c>
      <c r="H3504" s="1" t="n">
        <v>22</v>
      </c>
      <c r="I3504" s="1" t="n">
        <v>0.06</v>
      </c>
      <c r="J3504" t="n">
        <v>91708030</v>
      </c>
    </row>
    <row r="3505" ht="15.75" customHeight="1" s="201">
      <c r="A3505" s="1" t="inlineStr">
        <is>
          <t>Fruit cocktail, (peach and pineapple and pear and grape and cherry), canned, extra heavy syrup, solids and liquids</t>
        </is>
      </c>
      <c r="C3505" s="1" t="n">
        <v>22.89</v>
      </c>
      <c r="D3505" s="1" t="n">
        <v>3</v>
      </c>
      <c r="E3505" s="1" t="n">
        <v>0.28</v>
      </c>
      <c r="F3505" s="1" t="n">
        <v>0.39</v>
      </c>
      <c r="G3505" s="1" t="n">
        <v>0.07000000000000001</v>
      </c>
      <c r="H3505" s="1" t="n">
        <v>201</v>
      </c>
      <c r="I3505" s="1" t="n">
        <v>0.08</v>
      </c>
      <c r="J3505" t="n">
        <v>91708030</v>
      </c>
    </row>
    <row r="3506" ht="15.75" customHeight="1" s="201">
      <c r="A3506" s="1" t="inlineStr">
        <is>
          <t>Fruit cocktail, (peach and pineapple and pear and grape and cherry), canned, extra light syrup, solids and liquids</t>
        </is>
      </c>
      <c r="C3506" s="1" t="n">
        <v>11.63</v>
      </c>
      <c r="D3506" s="1" t="n">
        <v>3</v>
      </c>
      <c r="E3506" s="1" t="n">
        <v>0.3</v>
      </c>
      <c r="F3506" s="1" t="n">
        <v>0.4</v>
      </c>
      <c r="G3506" s="1" t="n">
        <v>0.07000000000000001</v>
      </c>
      <c r="H3506" s="1" t="n">
        <v>233</v>
      </c>
      <c r="I3506" s="1" t="n">
        <v>0.08</v>
      </c>
      <c r="J3506" t="n">
        <v>27446245</v>
      </c>
    </row>
    <row r="3507" ht="15.75" customHeight="1" s="201">
      <c r="A3507" s="1" t="inlineStr">
        <is>
          <t>Fruit cocktail, (peach and pineapple and pear and grape and cherry), canned, heavy syrup, solids and liquids</t>
        </is>
      </c>
      <c r="C3507" s="1" t="n">
        <v>18.91</v>
      </c>
      <c r="D3507" s="1" t="n">
        <v>3</v>
      </c>
      <c r="E3507" s="1" t="n">
        <v>0.29</v>
      </c>
      <c r="F3507" s="1" t="n">
        <v>0.39</v>
      </c>
      <c r="G3507" s="1" t="n">
        <v>0.07000000000000001</v>
      </c>
      <c r="H3507" s="1" t="n">
        <v>205</v>
      </c>
      <c r="I3507" s="1" t="n">
        <v>0.08</v>
      </c>
      <c r="J3507" t="n">
        <v>91708030</v>
      </c>
    </row>
    <row r="3508" ht="15.75" customHeight="1" s="201">
      <c r="A3508" s="1" t="inlineStr">
        <is>
          <t>Fruit cocktail, (peach and pineapple and pear and grape and cherry), canned, juice pack, solids and liquids</t>
        </is>
      </c>
      <c r="C3508" s="1" t="n">
        <v>11.86</v>
      </c>
      <c r="D3508" s="1" t="n">
        <v>3</v>
      </c>
      <c r="E3508" s="1" t="n">
        <v>0.21</v>
      </c>
      <c r="F3508" s="1" t="n">
        <v>0.46</v>
      </c>
      <c r="G3508" s="1" t="n">
        <v>0.01</v>
      </c>
      <c r="H3508" s="1" t="n">
        <v>305</v>
      </c>
      <c r="I3508" s="1" t="n">
        <v>0.09</v>
      </c>
      <c r="J3508" t="n">
        <v>92530610</v>
      </c>
    </row>
    <row r="3509" ht="15.75" customHeight="1" s="201">
      <c r="A3509" s="1" t="inlineStr">
        <is>
          <t>Fruit cocktail, (peach and pineapple and pear and grape and cherry), canned, light syrup, solids and liquids</t>
        </is>
      </c>
      <c r="C3509" s="1" t="n">
        <v>14.93</v>
      </c>
      <c r="D3509" s="1" t="n">
        <v>3</v>
      </c>
      <c r="E3509" s="1" t="n">
        <v>0.29</v>
      </c>
      <c r="F3509" s="1" t="n">
        <v>0.4</v>
      </c>
      <c r="G3509" s="1" t="n">
        <v>0.07000000000000001</v>
      </c>
      <c r="H3509" s="1" t="n">
        <v>208</v>
      </c>
      <c r="I3509" s="1" t="n">
        <v>0.09</v>
      </c>
      <c r="J3509" t="n">
        <v>27446245</v>
      </c>
    </row>
    <row r="3510" ht="15.75" customHeight="1" s="201">
      <c r="A3510" s="1" t="inlineStr">
        <is>
          <t>Fruit cocktail, (peach and pineapple and pear and grape and cherry), canned, water pack, solids and liquids</t>
        </is>
      </c>
      <c r="C3510" s="1" t="n">
        <v>8.51</v>
      </c>
      <c r="D3510" s="1" t="n">
        <v>3</v>
      </c>
      <c r="E3510" s="1" t="n">
        <v>0.25</v>
      </c>
      <c r="F3510" s="1" t="n">
        <v>0.42</v>
      </c>
      <c r="G3510" s="1" t="n">
        <v>0.05</v>
      </c>
      <c r="H3510" s="1" t="n">
        <v>250</v>
      </c>
      <c r="I3510" s="1" t="n">
        <v>0.09</v>
      </c>
      <c r="J3510" t="n">
        <v>91708030</v>
      </c>
    </row>
    <row r="3511" ht="15.75" customHeight="1" s="201">
      <c r="A3511" s="1" t="inlineStr">
        <is>
          <t>Fruit cocktail, canned, heavy syrup, drained</t>
        </is>
      </c>
      <c r="C3511" s="1" t="n">
        <v>18.8</v>
      </c>
      <c r="D3511" s="1" t="n">
        <v>3</v>
      </c>
      <c r="E3511" s="1" t="n">
        <v>0.29</v>
      </c>
      <c r="F3511" s="1" t="n">
        <v>0.47</v>
      </c>
      <c r="G3511" s="1" t="n">
        <v>0.1</v>
      </c>
      <c r="H3511" s="1" t="n">
        <v>273</v>
      </c>
      <c r="I3511" s="1" t="n">
        <v>0.08</v>
      </c>
      <c r="J3511" t="n">
        <v>91708030</v>
      </c>
    </row>
    <row r="3512" ht="15.75" customHeight="1" s="201">
      <c r="A3512" s="1" t="inlineStr">
        <is>
          <t>Fruit juice smoothie, BOLTHOUSE FARMS, BERRY BOOST</t>
        </is>
      </c>
      <c r="C3512" s="1" t="n">
        <v>10.9</v>
      </c>
      <c r="E3512" s="1" t="n">
        <v>0.21</v>
      </c>
      <c r="F3512" s="1" t="n">
        <v>0.63</v>
      </c>
      <c r="G3512" s="1" t="n">
        <v>0.02</v>
      </c>
      <c r="H3512" s="1" t="n">
        <v>290</v>
      </c>
      <c r="J3512" t="n">
        <v>91708030</v>
      </c>
    </row>
    <row r="3513" ht="15.75" customHeight="1" s="201">
      <c r="A3513" s="1" t="inlineStr">
        <is>
          <t>Fruit juice smoothie, BOLTHOUSE FARMS, GREEN GOODNESS</t>
        </is>
      </c>
      <c r="C3513" s="1" t="n">
        <v>13.04</v>
      </c>
      <c r="D3513" s="1" t="n">
        <v>17</v>
      </c>
      <c r="E3513" s="1" t="n">
        <v>0.34</v>
      </c>
      <c r="F3513" s="1" t="n">
        <v>0.63</v>
      </c>
      <c r="G3513" s="1" t="n">
        <v>0.33</v>
      </c>
      <c r="H3513" s="1" t="n">
        <v>417</v>
      </c>
      <c r="I3513" s="1" t="n">
        <v>0.08</v>
      </c>
      <c r="J3513" t="n">
        <v>91708030</v>
      </c>
    </row>
    <row r="3514" ht="15.75" customHeight="1" s="201">
      <c r="A3514" s="1" t="inlineStr">
        <is>
          <t>Fruit juice smoothie, BOLTHOUSE FARMS, strawberry banana</t>
        </is>
      </c>
      <c r="C3514" s="1" t="n">
        <v>12.37</v>
      </c>
      <c r="D3514" s="1" t="n">
        <v>24</v>
      </c>
      <c r="E3514" s="1" t="n">
        <v>0.32</v>
      </c>
      <c r="F3514" s="1" t="n">
        <v>0.44</v>
      </c>
      <c r="G3514" s="1" t="n">
        <v>0.3</v>
      </c>
      <c r="H3514" s="1" t="n">
        <v>20</v>
      </c>
      <c r="I3514" s="1" t="n">
        <v>0.07000000000000001</v>
      </c>
      <c r="J3514" t="n">
        <v>91708030</v>
      </c>
    </row>
    <row r="3515" ht="15.75" customHeight="1" s="201">
      <c r="A3515" s="1" t="inlineStr">
        <is>
          <t>Fruit juice smoothie, NAKED JUICE, BLUE MACHINE</t>
        </is>
      </c>
      <c r="C3515" s="1" t="n">
        <v>16.67</v>
      </c>
      <c r="E3515" s="1" t="n">
        <v>0.15</v>
      </c>
      <c r="F3515" s="1" t="n">
        <v>0.42</v>
      </c>
      <c r="G3515" s="1" t="n">
        <v>0</v>
      </c>
      <c r="H3515" s="1" t="n">
        <v>0</v>
      </c>
      <c r="J3515" t="n">
        <v>92530610</v>
      </c>
    </row>
    <row r="3516" ht="15.75" customHeight="1" s="201">
      <c r="A3516" s="1" t="inlineStr">
        <is>
          <t>Fruit juice smoothie, NAKED JUICE, GREEN MACHINE</t>
        </is>
      </c>
      <c r="C3516" s="1" t="n">
        <v>12.53</v>
      </c>
      <c r="D3516" s="1" t="n">
        <v>15</v>
      </c>
      <c r="E3516" s="1" t="n">
        <v>0.42</v>
      </c>
      <c r="F3516" s="1" t="n">
        <v>0.6</v>
      </c>
      <c r="G3516" s="1" t="n">
        <v>0.26</v>
      </c>
      <c r="H3516" s="1" t="n">
        <v>428</v>
      </c>
      <c r="I3516" s="1" t="n">
        <v>0.06</v>
      </c>
      <c r="J3516" t="n">
        <v>92530610</v>
      </c>
    </row>
    <row r="3517" ht="15.75" customHeight="1" s="201">
      <c r="A3517" s="1" t="inlineStr">
        <is>
          <t>Fruit juice smoothie, NAKED JUICE, MIGHTY MANGO</t>
        </is>
      </c>
      <c r="C3517" s="1" t="n">
        <v>15</v>
      </c>
      <c r="E3517" s="1" t="n">
        <v>0.15</v>
      </c>
      <c r="F3517" s="1" t="n">
        <v>0.42</v>
      </c>
      <c r="G3517" s="1" t="n">
        <v>0</v>
      </c>
      <c r="H3517" s="1" t="n">
        <v>2083</v>
      </c>
      <c r="J3517" t="n">
        <v>92530610</v>
      </c>
    </row>
    <row r="3518" ht="15.75" customHeight="1" s="201">
      <c r="A3518" s="1" t="inlineStr">
        <is>
          <t>Fruit juice smoothie, NAKED JUICE, strawberry banana</t>
        </is>
      </c>
      <c r="C3518" s="1" t="n">
        <v>11.66</v>
      </c>
      <c r="D3518" s="1" t="n">
        <v>35</v>
      </c>
      <c r="E3518" s="1" t="n">
        <v>0.2</v>
      </c>
      <c r="F3518" s="1" t="n">
        <v>0.48</v>
      </c>
      <c r="G3518" s="1" t="n">
        <v>0.27</v>
      </c>
      <c r="H3518" s="1" t="n">
        <v>31</v>
      </c>
      <c r="I3518" s="1" t="n">
        <v>0.08</v>
      </c>
      <c r="J3518" t="n">
        <v>92530610</v>
      </c>
    </row>
    <row r="3519" ht="15.75" customHeight="1" s="201">
      <c r="A3519" s="1" t="inlineStr">
        <is>
          <t>Fruit juice smoothie, ODWALLA, ORIGINAL SUPERFOOD</t>
        </is>
      </c>
      <c r="C3519" s="1" t="n">
        <v>11.51</v>
      </c>
      <c r="D3519" s="1" t="n">
        <v>14</v>
      </c>
      <c r="E3519" s="1" t="n">
        <v>0.39</v>
      </c>
      <c r="F3519" s="1" t="n">
        <v>0.63</v>
      </c>
      <c r="G3519" s="1" t="n">
        <v>0.36</v>
      </c>
      <c r="H3519" s="1" t="n">
        <v>1408</v>
      </c>
      <c r="I3519" s="1" t="n">
        <v>0.06</v>
      </c>
      <c r="J3519" t="n">
        <v>91708030</v>
      </c>
    </row>
    <row r="3520" ht="15.75" customHeight="1" s="201">
      <c r="A3520" s="1" t="inlineStr">
        <is>
          <t>Fruit juice smoothie, ODWALLA, strawberry banana</t>
        </is>
      </c>
      <c r="C3520" s="1" t="n">
        <v>11.05</v>
      </c>
      <c r="D3520" s="1" t="n">
        <v>30</v>
      </c>
      <c r="E3520" s="1" t="n">
        <v>0.2</v>
      </c>
      <c r="F3520" s="1" t="n">
        <v>0.5</v>
      </c>
      <c r="G3520" s="1" t="n">
        <v>0.32</v>
      </c>
      <c r="H3520" s="1" t="n">
        <v>222</v>
      </c>
      <c r="I3520" s="1" t="n">
        <v>0.08</v>
      </c>
      <c r="J3520" t="n">
        <v>91708030</v>
      </c>
    </row>
    <row r="3521" ht="15.75" customHeight="1" s="201">
      <c r="A3521" s="1" t="inlineStr">
        <is>
          <t>Fruit salad, (peach and pear and apricot and pineapple and cherry), canned, extra heavy syrup, solids and liquids</t>
        </is>
      </c>
      <c r="C3521" s="1" t="n">
        <v>22.77</v>
      </c>
      <c r="D3521" s="1" t="n">
        <v>3</v>
      </c>
      <c r="E3521" s="1" t="n">
        <v>0.28</v>
      </c>
      <c r="F3521" s="1" t="n">
        <v>0.33</v>
      </c>
      <c r="G3521" s="1" t="n">
        <v>0.06</v>
      </c>
      <c r="H3521" s="1" t="n">
        <v>637</v>
      </c>
      <c r="I3521" s="1" t="n">
        <v>0.07000000000000001</v>
      </c>
      <c r="J3521" t="n">
        <v>91708030</v>
      </c>
    </row>
    <row r="3522" ht="15.75" customHeight="1" s="201">
      <c r="A3522" s="1" t="inlineStr">
        <is>
          <t>Fruit salad, (peach and pear and apricot and pineapple and cherry), canned, juice pack, solids and liquids</t>
        </is>
      </c>
      <c r="C3522" s="1" t="n">
        <v>13.05</v>
      </c>
      <c r="D3522" s="1" t="n">
        <v>3</v>
      </c>
      <c r="E3522" s="1" t="n">
        <v>0.25</v>
      </c>
      <c r="F3522" s="1" t="n">
        <v>0.51</v>
      </c>
      <c r="G3522" s="1" t="n">
        <v>0.03</v>
      </c>
      <c r="H3522" s="1" t="n">
        <v>600</v>
      </c>
      <c r="I3522" s="1" t="n">
        <v>0.14</v>
      </c>
      <c r="J3522" t="n">
        <v>91708030</v>
      </c>
    </row>
    <row r="3523" ht="15.75" customHeight="1" s="201">
      <c r="A3523" s="1" t="inlineStr">
        <is>
          <t>Fruit salad, (peach and pear and apricot and pineapple and cherry), canned, light syrup, solids and liquids</t>
        </is>
      </c>
      <c r="C3523" s="1" t="n">
        <v>15.14</v>
      </c>
      <c r="D3523" s="1" t="n">
        <v>3</v>
      </c>
      <c r="E3523" s="1" t="n">
        <v>0.29</v>
      </c>
      <c r="F3523" s="1" t="n">
        <v>0.34</v>
      </c>
      <c r="G3523" s="1" t="n">
        <v>0.07000000000000001</v>
      </c>
      <c r="H3523" s="1" t="n">
        <v>429</v>
      </c>
      <c r="I3523" s="1" t="n">
        <v>0.07000000000000001</v>
      </c>
      <c r="J3523" t="n">
        <v>27446245</v>
      </c>
    </row>
    <row r="3524" ht="15.75" customHeight="1" s="201">
      <c r="A3524" s="1" t="inlineStr">
        <is>
          <t>Fruit salad, (peach and pear and apricot and pineapple and cherry), canned, water pack, solids and liquids</t>
        </is>
      </c>
      <c r="C3524" s="1" t="n">
        <v>7.87</v>
      </c>
      <c r="D3524" s="1" t="n">
        <v>3</v>
      </c>
      <c r="E3524" s="1" t="n">
        <v>0.3</v>
      </c>
      <c r="F3524" s="1" t="n">
        <v>0.35</v>
      </c>
      <c r="G3524" s="1" t="n">
        <v>0.07000000000000001</v>
      </c>
      <c r="H3524" s="1" t="n">
        <v>440</v>
      </c>
      <c r="I3524" s="1" t="n">
        <v>0.08</v>
      </c>
      <c r="J3524" t="n">
        <v>91708030</v>
      </c>
    </row>
    <row r="3525" ht="15.75" customHeight="1" s="201">
      <c r="A3525" s="1" t="inlineStr">
        <is>
          <t>Fruit salad, (pineapple and papaya and banana and guava), tropical, canned, heavy syrup, solids and liquids</t>
        </is>
      </c>
      <c r="C3525" s="1" t="n">
        <v>22.36</v>
      </c>
      <c r="D3525" s="1" t="n">
        <v>9</v>
      </c>
      <c r="E3525" s="1" t="n">
        <v>0.52</v>
      </c>
      <c r="F3525" s="1" t="n">
        <v>0.41</v>
      </c>
      <c r="G3525" s="1" t="n">
        <v>0.1</v>
      </c>
      <c r="H3525" s="1" t="n">
        <v>127</v>
      </c>
      <c r="I3525" s="1" t="n">
        <v>0.11</v>
      </c>
      <c r="J3525" t="n">
        <v>91708030</v>
      </c>
    </row>
    <row r="3526" ht="15.75" customHeight="1" s="201">
      <c r="A3526" s="1" t="inlineStr">
        <is>
          <t>Fruit salad</t>
        </is>
      </c>
      <c r="J3526" t="n">
        <v>91708030</v>
      </c>
    </row>
    <row r="3527" ht="15.75" customHeight="1" s="201">
      <c r="A3527" s="1" t="inlineStr">
        <is>
          <t>Fruit juice</t>
        </is>
      </c>
      <c r="J3527" t="n">
        <v>91708030</v>
      </c>
    </row>
    <row r="3528" ht="15.75" customHeight="1" s="201">
      <c r="A3528" s="1" t="inlineStr">
        <is>
          <t>Fruit syrup</t>
        </is>
      </c>
      <c r="C3528" s="1" t="n">
        <v>85.13</v>
      </c>
      <c r="D3528" s="1" t="n">
        <v>0</v>
      </c>
      <c r="E3528" s="1" t="n">
        <v>0.04</v>
      </c>
      <c r="F3528" s="1" t="n">
        <v>0</v>
      </c>
      <c r="G3528" s="1" t="n">
        <v>0</v>
      </c>
      <c r="H3528" s="1" t="n">
        <v>2</v>
      </c>
      <c r="I3528" s="1" t="n">
        <v>0.26</v>
      </c>
      <c r="J3528" t="n">
        <v>91708030</v>
      </c>
    </row>
    <row r="3529" ht="15.75" customHeight="1" s="201">
      <c r="A3529" s="1" t="inlineStr">
        <is>
          <t>Fruit Tea</t>
        </is>
      </c>
      <c r="J3529" t="n">
        <v>91708030</v>
      </c>
    </row>
    <row r="3530" ht="15.75" customHeight="1" s="201">
      <c r="A3530" s="1" t="inlineStr">
        <is>
          <t>Frybread, made with lard (Apache)</t>
        </is>
      </c>
      <c r="C3530" s="1" t="n">
        <v>46.01</v>
      </c>
      <c r="D3530" s="1" t="n">
        <v>112</v>
      </c>
      <c r="E3530" s="1" t="n">
        <v>3.43</v>
      </c>
      <c r="F3530" s="1" t="n">
        <v>8.380000000000001</v>
      </c>
      <c r="G3530" s="1" t="n">
        <v>10.14</v>
      </c>
      <c r="I3530" s="1" t="n">
        <v>0.47</v>
      </c>
      <c r="J3530" t="n">
        <v>75142550</v>
      </c>
    </row>
    <row r="3531" ht="15.75" customHeight="1" s="201">
      <c r="A3531" s="1" t="inlineStr">
        <is>
          <t>Frybread, made with lard (Navajo)</t>
        </is>
      </c>
      <c r="C3531" s="1" t="n">
        <v>48.26</v>
      </c>
      <c r="D3531" s="1" t="n">
        <v>122</v>
      </c>
      <c r="E3531" s="1" t="n">
        <v>4.04</v>
      </c>
      <c r="F3531" s="1" t="n">
        <v>6.69</v>
      </c>
      <c r="G3531" s="1" t="n">
        <v>12.22</v>
      </c>
      <c r="I3531" s="1" t="n">
        <v>0.35</v>
      </c>
      <c r="J3531" t="n">
        <v>75142550</v>
      </c>
    </row>
    <row r="3532" ht="15.75" customHeight="1" s="201">
      <c r="A3532" s="1" t="inlineStr">
        <is>
          <t>Fungi, Cloud ears, dried</t>
        </is>
      </c>
      <c r="C3532" s="1" t="n">
        <v>73.01000000000001</v>
      </c>
      <c r="D3532" s="1" t="n">
        <v>38</v>
      </c>
      <c r="E3532" s="1" t="n">
        <v>5.88</v>
      </c>
      <c r="F3532" s="1" t="n">
        <v>9.25</v>
      </c>
      <c r="G3532" s="1" t="n">
        <v>0.73</v>
      </c>
      <c r="H3532" s="1" t="n">
        <v>0</v>
      </c>
      <c r="I3532" s="1" t="n">
        <v>1.32</v>
      </c>
      <c r="J3532" t="n">
        <v>41301010</v>
      </c>
    </row>
    <row r="3533" ht="15.75" customHeight="1" s="201">
      <c r="A3533" s="1" t="inlineStr">
        <is>
          <t>Game meat , bison, ground, raw</t>
        </is>
      </c>
      <c r="C3533" s="1" t="n">
        <v>0</v>
      </c>
      <c r="D3533" s="1" t="n">
        <v>11</v>
      </c>
      <c r="E3533" s="1" t="n">
        <v>2.6</v>
      </c>
      <c r="F3533" s="1" t="n">
        <v>18.67</v>
      </c>
      <c r="G3533" s="1" t="n">
        <v>15.93</v>
      </c>
      <c r="H3533" s="1" t="n">
        <v>0</v>
      </c>
      <c r="I3533" s="1" t="n">
        <v>4.29</v>
      </c>
      <c r="J3533" t="n">
        <v>14620320</v>
      </c>
    </row>
    <row r="3534" ht="15.75" customHeight="1" s="201">
      <c r="A3534" s="1" t="inlineStr">
        <is>
          <t>Game meat , bison, top sirloin, separable lean only, 1" steak, cooked, broiled</t>
        </is>
      </c>
      <c r="C3534" s="1" t="n">
        <v>0</v>
      </c>
      <c r="D3534" s="1" t="n">
        <v>18</v>
      </c>
      <c r="E3534" s="1" t="n">
        <v>3.47</v>
      </c>
      <c r="F3534" s="1" t="n">
        <v>28.05</v>
      </c>
      <c r="G3534" s="1" t="n">
        <v>5.65</v>
      </c>
      <c r="H3534" s="1" t="n">
        <v>0</v>
      </c>
      <c r="I3534" s="1" t="n">
        <v>5.11</v>
      </c>
      <c r="J3534" t="n">
        <v>21104130</v>
      </c>
    </row>
    <row r="3535" ht="15.75" customHeight="1" s="201">
      <c r="A3535" s="1" t="inlineStr">
        <is>
          <t>Game meat, antelope, cooked, roasted</t>
        </is>
      </c>
      <c r="C3535" s="1" t="n">
        <v>0</v>
      </c>
      <c r="D3535" s="1" t="n">
        <v>9</v>
      </c>
      <c r="E3535" s="1" t="n">
        <v>4.2</v>
      </c>
      <c r="F3535" s="1" t="n">
        <v>29.45</v>
      </c>
      <c r="G3535" s="1" t="n">
        <v>2.67</v>
      </c>
      <c r="H3535" s="1" t="n">
        <v>0</v>
      </c>
      <c r="I3535" s="1" t="n">
        <v>1.68</v>
      </c>
      <c r="J3535" t="n">
        <v>14620320</v>
      </c>
    </row>
    <row r="3536" ht="15.75" customHeight="1" s="201">
      <c r="A3536" s="1" t="inlineStr">
        <is>
          <t>Game meat, bear, cooked, simmered</t>
        </is>
      </c>
      <c r="C3536" s="1" t="n">
        <v>0</v>
      </c>
      <c r="D3536" s="1" t="n">
        <v>6</v>
      </c>
      <c r="E3536" s="1" t="n">
        <v>10.73</v>
      </c>
      <c r="F3536" s="1" t="n">
        <v>32.42</v>
      </c>
      <c r="G3536" s="1" t="n">
        <v>13.39</v>
      </c>
      <c r="H3536" s="1" t="n">
        <v>0</v>
      </c>
      <c r="I3536" s="1" t="n">
        <v>10.27</v>
      </c>
      <c r="J3536" t="n">
        <v>14620320</v>
      </c>
    </row>
    <row r="3537" ht="15.75" customHeight="1" s="201">
      <c r="A3537" s="1" t="inlineStr">
        <is>
          <t>Game meat, bear, raw</t>
        </is>
      </c>
      <c r="C3537" s="1" t="n">
        <v>0</v>
      </c>
      <c r="E3537" s="1" t="n">
        <v>6.65</v>
      </c>
      <c r="F3537" s="1" t="n">
        <v>20.1</v>
      </c>
      <c r="G3537" s="1" t="n">
        <v>8.300000000000001</v>
      </c>
      <c r="H3537" s="1" t="n">
        <v>0</v>
      </c>
      <c r="J3537" t="n">
        <v>14620320</v>
      </c>
    </row>
    <row r="3538" ht="15.75" customHeight="1" s="201">
      <c r="A3538" s="1" t="inlineStr">
        <is>
          <t>Game meat, beefalo, composite of cuts, cooked, roasted</t>
        </is>
      </c>
      <c r="C3538" s="1" t="n">
        <v>0</v>
      </c>
      <c r="D3538" s="1" t="n">
        <v>18</v>
      </c>
      <c r="E3538" s="1" t="n">
        <v>3.05</v>
      </c>
      <c r="F3538" s="1" t="n">
        <v>30.66</v>
      </c>
      <c r="G3538" s="1" t="n">
        <v>6.32</v>
      </c>
      <c r="H3538" s="1" t="n">
        <v>0</v>
      </c>
      <c r="I3538" s="1" t="n">
        <v>6.4</v>
      </c>
    </row>
    <row r="3539" ht="15.75" customHeight="1" s="201">
      <c r="A3539" s="1" t="inlineStr">
        <is>
          <t>Game meat, bison, chuck, shoulder clod, separable lean only, cooked, braised</t>
        </is>
      </c>
      <c r="C3539" s="1" t="n">
        <v>0</v>
      </c>
      <c r="D3539" s="1" t="n">
        <v>21</v>
      </c>
      <c r="E3539" s="1" t="n">
        <v>4.86</v>
      </c>
      <c r="F3539" s="1" t="n">
        <v>33.78</v>
      </c>
      <c r="G3539" s="1" t="n">
        <v>5.43</v>
      </c>
      <c r="H3539" s="1" t="n">
        <v>0</v>
      </c>
      <c r="I3539" s="1" t="n">
        <v>8.640000000000001</v>
      </c>
    </row>
    <row r="3540" ht="15.75" customHeight="1" s="201">
      <c r="A3540" s="1" t="inlineStr">
        <is>
          <t>Game meat, bison, chuck, shoulder clod, separable lean only, raw</t>
        </is>
      </c>
      <c r="C3540" s="1" t="n">
        <v>0</v>
      </c>
      <c r="D3540" s="1" t="n">
        <v>13</v>
      </c>
      <c r="E3540" s="1" t="n">
        <v>2.88</v>
      </c>
      <c r="F3540" s="1" t="n">
        <v>21.12</v>
      </c>
      <c r="G3540" s="1" t="n">
        <v>3.15</v>
      </c>
      <c r="H3540" s="1" t="n">
        <v>0</v>
      </c>
      <c r="I3540" s="1" t="n">
        <v>5.27</v>
      </c>
    </row>
    <row r="3541" ht="15.75" customHeight="1" s="201">
      <c r="A3541" s="1" t="inlineStr">
        <is>
          <t>Game meat, bison, ground, cooked, pan-broiled</t>
        </is>
      </c>
      <c r="C3541" s="1" t="n">
        <v>0</v>
      </c>
      <c r="D3541" s="1" t="n">
        <v>15</v>
      </c>
      <c r="E3541" s="1" t="n">
        <v>3.08</v>
      </c>
      <c r="F3541" s="1" t="n">
        <v>23.77</v>
      </c>
      <c r="G3541" s="1" t="n">
        <v>15.13</v>
      </c>
      <c r="H3541" s="1" t="n">
        <v>0</v>
      </c>
      <c r="I3541" s="1" t="n">
        <v>5.14</v>
      </c>
      <c r="J3541" t="n">
        <v>14620320</v>
      </c>
    </row>
    <row r="3542" ht="15.75" customHeight="1" s="201">
      <c r="A3542" s="1" t="inlineStr">
        <is>
          <t>Game meat, bison, ribeye, separable lean only, 1" steak, cooked, broiled</t>
        </is>
      </c>
      <c r="C3542" s="1" t="n">
        <v>0</v>
      </c>
      <c r="D3542" s="1" t="n">
        <v>18</v>
      </c>
      <c r="E3542" s="1" t="n">
        <v>2.88</v>
      </c>
      <c r="F3542" s="1" t="n">
        <v>29.45</v>
      </c>
      <c r="G3542" s="1" t="n">
        <v>5.67</v>
      </c>
      <c r="H3542" s="1" t="n">
        <v>0</v>
      </c>
      <c r="I3542" s="1" t="n">
        <v>5.01</v>
      </c>
      <c r="J3542" t="n">
        <v>21104130</v>
      </c>
    </row>
    <row r="3543" ht="15.75" customHeight="1" s="201">
      <c r="A3543" s="1" t="inlineStr">
        <is>
          <t>Game meat, bison, ribeye, separable lean only, trimmed to 0" fat, raw</t>
        </is>
      </c>
      <c r="C3543" s="1" t="n">
        <v>0</v>
      </c>
      <c r="E3543" s="1" t="n">
        <v>2.8</v>
      </c>
      <c r="F3543" s="1" t="n">
        <v>22.1</v>
      </c>
      <c r="G3543" s="1" t="n">
        <v>2.4</v>
      </c>
      <c r="H3543" s="1" t="n">
        <v>3</v>
      </c>
      <c r="I3543" s="1" t="n">
        <v>3.2</v>
      </c>
      <c r="J3543" t="n">
        <v>25230210</v>
      </c>
    </row>
    <row r="3544" ht="15.75" customHeight="1" s="201">
      <c r="A3544" s="1" t="inlineStr">
        <is>
          <t>Game meat, bison, separable lean only, cooked, roasted</t>
        </is>
      </c>
      <c r="C3544" s="1" t="n">
        <v>0</v>
      </c>
      <c r="D3544" s="1" t="n">
        <v>8</v>
      </c>
      <c r="E3544" s="1" t="n">
        <v>3.42</v>
      </c>
      <c r="F3544" s="1" t="n">
        <v>28.44</v>
      </c>
      <c r="G3544" s="1" t="n">
        <v>2.42</v>
      </c>
      <c r="H3544" s="1" t="n">
        <v>0</v>
      </c>
      <c r="I3544" s="1" t="n">
        <v>3.68</v>
      </c>
      <c r="J3544" t="n">
        <v>21410120</v>
      </c>
    </row>
    <row r="3545" ht="15.75" customHeight="1" s="201">
      <c r="A3545" s="1" t="inlineStr">
        <is>
          <t>Game meat, bison, separable lean only, raw</t>
        </is>
      </c>
      <c r="C3545" s="1" t="n">
        <v>0</v>
      </c>
      <c r="E3545" s="1" t="n">
        <v>2.6</v>
      </c>
      <c r="F3545" s="1" t="n">
        <v>21.62</v>
      </c>
      <c r="G3545" s="1" t="n">
        <v>1.84</v>
      </c>
      <c r="H3545" s="1" t="n">
        <v>0</v>
      </c>
      <c r="I3545" s="1" t="n">
        <v>2.8</v>
      </c>
      <c r="J3545" t="n">
        <v>25230210</v>
      </c>
    </row>
    <row r="3546" ht="15.75" customHeight="1" s="201">
      <c r="A3546" s="1" t="inlineStr">
        <is>
          <t>Game meat, bison, shoulder clod, separable lean only, trimmed to 0" fat, raw</t>
        </is>
      </c>
      <c r="C3546" s="1" t="n">
        <v>0</v>
      </c>
      <c r="E3546" s="1" t="n">
        <v>3</v>
      </c>
      <c r="F3546" s="1" t="n">
        <v>21.1</v>
      </c>
      <c r="G3546" s="1" t="n">
        <v>2.1</v>
      </c>
      <c r="H3546" s="1" t="n">
        <v>2</v>
      </c>
      <c r="I3546" s="1" t="n">
        <v>5</v>
      </c>
    </row>
    <row r="3547" ht="15.75" customHeight="1" s="201">
      <c r="A3547" s="1" t="inlineStr">
        <is>
          <t>Game meat, bison, top round, separable lean only, 1" steak, cooked, broiled</t>
        </is>
      </c>
      <c r="C3547" s="1" t="n">
        <v>0</v>
      </c>
      <c r="D3547" s="1" t="n">
        <v>19</v>
      </c>
      <c r="E3547" s="1" t="n">
        <v>3.52</v>
      </c>
      <c r="F3547" s="1" t="n">
        <v>30.18</v>
      </c>
      <c r="G3547" s="1" t="n">
        <v>4.96</v>
      </c>
      <c r="H3547" s="1" t="n">
        <v>0</v>
      </c>
      <c r="I3547" s="1" t="n">
        <v>3.79</v>
      </c>
      <c r="J3547" t="n">
        <v>21104130</v>
      </c>
    </row>
    <row r="3548" ht="15.75" customHeight="1" s="201">
      <c r="A3548" s="1" t="inlineStr">
        <is>
          <t>Game meat, bison, top round, separable lean only, 1" steak, raw</t>
        </is>
      </c>
      <c r="C3548" s="1" t="n">
        <v>0</v>
      </c>
      <c r="D3548" s="1" t="n">
        <v>14</v>
      </c>
      <c r="E3548" s="1" t="n">
        <v>2.66</v>
      </c>
      <c r="F3548" s="1" t="n">
        <v>23.32</v>
      </c>
      <c r="G3548" s="1" t="n">
        <v>2.43</v>
      </c>
      <c r="H3548" s="1" t="n">
        <v>0</v>
      </c>
      <c r="I3548" s="1" t="n">
        <v>2.92</v>
      </c>
      <c r="J3548" t="n">
        <v>21104130</v>
      </c>
    </row>
    <row r="3549" ht="15.75" customHeight="1" s="201">
      <c r="A3549" s="1" t="inlineStr">
        <is>
          <t>Game meat, bison, top sirloin, separable lean only, trimmed to 0" fat, raw</t>
        </is>
      </c>
      <c r="C3549" s="1" t="n">
        <v>0</v>
      </c>
      <c r="E3549" s="1" t="n">
        <v>3</v>
      </c>
      <c r="F3549" s="1" t="n">
        <v>21.4</v>
      </c>
      <c r="G3549" s="1" t="n">
        <v>2.4</v>
      </c>
      <c r="H3549" s="1" t="n">
        <v>3</v>
      </c>
      <c r="I3549" s="1" t="n">
        <v>3.4</v>
      </c>
      <c r="J3549" t="n">
        <v>25230210</v>
      </c>
    </row>
    <row r="3550" ht="15.75" customHeight="1" s="201">
      <c r="A3550" s="1" t="inlineStr">
        <is>
          <t>Game meat, caribou, cooked, roasted</t>
        </is>
      </c>
      <c r="C3550" s="1" t="n">
        <v>0</v>
      </c>
      <c r="D3550" s="1" t="n">
        <v>5</v>
      </c>
      <c r="E3550" s="1" t="n">
        <v>6.17</v>
      </c>
      <c r="F3550" s="1" t="n">
        <v>29.77</v>
      </c>
      <c r="G3550" s="1" t="n">
        <v>4.42</v>
      </c>
      <c r="H3550" s="1" t="n">
        <v>0</v>
      </c>
      <c r="I3550" s="1" t="n">
        <v>5.26</v>
      </c>
      <c r="J3550" t="n">
        <v>14620320</v>
      </c>
    </row>
    <row r="3551" ht="15.75" customHeight="1" s="201">
      <c r="A3551" s="1" t="inlineStr">
        <is>
          <t>Game meat, caribou, raw</t>
        </is>
      </c>
      <c r="C3551" s="1" t="n">
        <v>0</v>
      </c>
      <c r="D3551" s="1" t="n">
        <v>4</v>
      </c>
      <c r="E3551" s="1" t="n">
        <v>4.69</v>
      </c>
      <c r="F3551" s="1" t="n">
        <v>22.63</v>
      </c>
      <c r="G3551" s="1" t="n">
        <v>3.36</v>
      </c>
      <c r="H3551" s="1" t="n">
        <v>0</v>
      </c>
      <c r="I3551" s="1" t="n">
        <v>4</v>
      </c>
      <c r="J3551" t="n">
        <v>14620320</v>
      </c>
    </row>
    <row r="3552" ht="15.75" customHeight="1" s="201">
      <c r="A3552" s="1" t="inlineStr">
        <is>
          <t>Game meat, deer, ground, cooked, pan-broiled</t>
        </is>
      </c>
      <c r="C3552" s="1" t="n">
        <v>0</v>
      </c>
      <c r="D3552" s="1" t="n">
        <v>8</v>
      </c>
      <c r="E3552" s="1" t="n">
        <v>3.35</v>
      </c>
      <c r="F3552" s="1" t="n">
        <v>26.45</v>
      </c>
      <c r="G3552" s="1" t="n">
        <v>8.220000000000001</v>
      </c>
      <c r="H3552" s="1" t="n">
        <v>0</v>
      </c>
      <c r="I3552" s="1" t="n">
        <v>5.2</v>
      </c>
      <c r="J3552" t="n">
        <v>23321200</v>
      </c>
    </row>
    <row r="3553" ht="15.75" customHeight="1" s="201">
      <c r="A3553" s="1" t="inlineStr">
        <is>
          <t>Game meat, deer, ground, raw</t>
        </is>
      </c>
      <c r="C3553" s="1" t="n">
        <v>0</v>
      </c>
      <c r="D3553" s="1" t="n">
        <v>4</v>
      </c>
      <c r="E3553" s="1" t="n">
        <v>2.92</v>
      </c>
      <c r="F3553" s="1" t="n">
        <v>21.78</v>
      </c>
      <c r="G3553" s="1" t="n">
        <v>7.13</v>
      </c>
      <c r="H3553" s="1" t="n">
        <v>0</v>
      </c>
      <c r="I3553" s="1" t="n">
        <v>4.2</v>
      </c>
      <c r="J3553" t="n">
        <v>14620320</v>
      </c>
    </row>
    <row r="3554" ht="15.75" customHeight="1" s="201">
      <c r="A3554" s="1" t="inlineStr">
        <is>
          <t>Game meat, deer, loin, separable lean only, 1" steak, cooked, broiled</t>
        </is>
      </c>
      <c r="C3554" s="1" t="n">
        <v>0</v>
      </c>
      <c r="D3554" s="1" t="n">
        <v>9</v>
      </c>
      <c r="E3554" s="1" t="n">
        <v>4.09</v>
      </c>
      <c r="F3554" s="1" t="n">
        <v>30.2</v>
      </c>
      <c r="G3554" s="1" t="n">
        <v>2.38</v>
      </c>
      <c r="H3554" s="1" t="n">
        <v>0</v>
      </c>
      <c r="I3554" s="1" t="n">
        <v>3.63</v>
      </c>
      <c r="J3554" t="n">
        <v>23104020</v>
      </c>
    </row>
    <row r="3555" ht="15.75" customHeight="1" s="201">
      <c r="A3555" s="1" t="inlineStr">
        <is>
          <t>Game meat, deer, raw</t>
        </is>
      </c>
      <c r="C3555" s="1" t="n">
        <v>0</v>
      </c>
      <c r="D3555" s="1" t="n">
        <v>4</v>
      </c>
      <c r="E3555" s="1" t="n">
        <v>3.4</v>
      </c>
      <c r="F3555" s="1" t="n">
        <v>22.96</v>
      </c>
      <c r="G3555" s="1" t="n">
        <v>2.42</v>
      </c>
      <c r="H3555" s="1" t="n">
        <v>0</v>
      </c>
      <c r="I3555" s="1" t="n">
        <v>2.09</v>
      </c>
      <c r="J3555" t="n">
        <v>14620320</v>
      </c>
    </row>
    <row r="3556" ht="15.75" customHeight="1" s="201">
      <c r="A3556" s="1" t="inlineStr">
        <is>
          <t>Game meat, deer, shoulder clod, separable lean only, cooked, braised</t>
        </is>
      </c>
      <c r="C3556" s="1" t="n">
        <v>0</v>
      </c>
      <c r="D3556" s="1" t="n">
        <v>11</v>
      </c>
      <c r="E3556" s="1" t="n">
        <v>5.01</v>
      </c>
      <c r="F3556" s="1" t="n">
        <v>36.28</v>
      </c>
      <c r="G3556" s="1" t="n">
        <v>3.95</v>
      </c>
      <c r="H3556" s="1" t="n">
        <v>0</v>
      </c>
      <c r="I3556" s="1" t="n">
        <v>8.640000000000001</v>
      </c>
      <c r="J3556" t="n">
        <v>23107020</v>
      </c>
    </row>
    <row r="3557" ht="15.75" customHeight="1" s="201">
      <c r="A3557" s="1" t="inlineStr">
        <is>
          <t>Game meat, deer, tenderloin, separable lean only, cooked, broiled</t>
        </is>
      </c>
      <c r="C3557" s="1" t="n">
        <v>0</v>
      </c>
      <c r="D3557" s="1" t="n">
        <v>9</v>
      </c>
      <c r="E3557" s="1" t="n">
        <v>4.25</v>
      </c>
      <c r="F3557" s="1" t="n">
        <v>29.9</v>
      </c>
      <c r="G3557" s="1" t="n">
        <v>2.35</v>
      </c>
      <c r="H3557" s="1" t="n">
        <v>0</v>
      </c>
      <c r="I3557" s="1" t="n">
        <v>3.99</v>
      </c>
    </row>
    <row r="3558" ht="15.75" customHeight="1" s="201">
      <c r="A3558" s="1" t="inlineStr">
        <is>
          <t>Game meat, deer, top round, separable lean only, 1" steak, cooked, broiled</t>
        </is>
      </c>
      <c r="C3558" s="1" t="n">
        <v>0</v>
      </c>
      <c r="D3558" s="1" t="n">
        <v>10</v>
      </c>
      <c r="E3558" s="1" t="n">
        <v>4.23</v>
      </c>
      <c r="F3558" s="1" t="n">
        <v>31.47</v>
      </c>
      <c r="G3558" s="1" t="n">
        <v>1.92</v>
      </c>
      <c r="H3558" s="1" t="n">
        <v>0</v>
      </c>
      <c r="I3558" s="1" t="n">
        <v>3.67</v>
      </c>
      <c r="J3558" t="n">
        <v>21104130</v>
      </c>
    </row>
    <row r="3559" ht="15.75" customHeight="1" s="201">
      <c r="A3559" s="1" t="inlineStr">
        <is>
          <t>Game meat, elk, ground, cooked, pan-broiled</t>
        </is>
      </c>
      <c r="C3559" s="1" t="n">
        <v>0</v>
      </c>
      <c r="D3559" s="1" t="n">
        <v>8</v>
      </c>
      <c r="E3559" s="1" t="n">
        <v>3.34</v>
      </c>
      <c r="F3559" s="1" t="n">
        <v>26.64</v>
      </c>
      <c r="G3559" s="1" t="n">
        <v>8.74</v>
      </c>
      <c r="H3559" s="1" t="n">
        <v>0</v>
      </c>
      <c r="I3559" s="1" t="n">
        <v>6.56</v>
      </c>
      <c r="J3559" t="n">
        <v>14620320</v>
      </c>
    </row>
    <row r="3560" ht="15.75" customHeight="1" s="201">
      <c r="A3560" s="1" t="inlineStr">
        <is>
          <t>Game meat, elk, ground, raw</t>
        </is>
      </c>
      <c r="C3560" s="1" t="n">
        <v>0</v>
      </c>
      <c r="D3560" s="1" t="n">
        <v>7</v>
      </c>
      <c r="E3560" s="1" t="n">
        <v>2.75</v>
      </c>
      <c r="F3560" s="1" t="n">
        <v>21.76</v>
      </c>
      <c r="G3560" s="1" t="n">
        <v>8.82</v>
      </c>
      <c r="H3560" s="1" t="n">
        <v>0</v>
      </c>
      <c r="I3560" s="1" t="n">
        <v>5.4</v>
      </c>
      <c r="J3560" t="n">
        <v>14620320</v>
      </c>
    </row>
    <row r="3561" ht="15.75" customHeight="1" s="201">
      <c r="A3561" s="1" t="inlineStr">
        <is>
          <t>Game meat, elk, loin, separable lean only, cooked, broiled</t>
        </is>
      </c>
      <c r="C3561" s="1" t="n">
        <v>0</v>
      </c>
      <c r="D3561" s="1" t="n">
        <v>9</v>
      </c>
      <c r="E3561" s="1" t="n">
        <v>3.96</v>
      </c>
      <c r="F3561" s="1" t="n">
        <v>31</v>
      </c>
      <c r="G3561" s="1" t="n">
        <v>3.84</v>
      </c>
      <c r="H3561" s="1" t="n">
        <v>0</v>
      </c>
      <c r="I3561" s="1" t="n">
        <v>5.1</v>
      </c>
      <c r="J3561" t="n">
        <v>23104020</v>
      </c>
    </row>
    <row r="3562" ht="15.75" customHeight="1" s="201">
      <c r="A3562" s="1" t="inlineStr">
        <is>
          <t>Game meat, elk, round, separable lean only, cooked, broiled</t>
        </is>
      </c>
      <c r="C3562" s="1" t="n">
        <v>0</v>
      </c>
      <c r="D3562" s="1" t="n">
        <v>9</v>
      </c>
      <c r="E3562" s="1" t="n">
        <v>4.08</v>
      </c>
      <c r="F3562" s="1" t="n">
        <v>30.94</v>
      </c>
      <c r="G3562" s="1" t="n">
        <v>2.64</v>
      </c>
      <c r="H3562" s="1" t="n">
        <v>0</v>
      </c>
      <c r="I3562" s="1" t="n">
        <v>5.64</v>
      </c>
      <c r="J3562" t="n">
        <v>21410120</v>
      </c>
    </row>
    <row r="3563" ht="15.75" customHeight="1" s="201">
      <c r="A3563" s="1" t="inlineStr">
        <is>
          <t>Game meat, elk, tenderloin, separable lean only, cooked, broiled</t>
        </is>
      </c>
      <c r="C3563" s="1" t="n">
        <v>0</v>
      </c>
      <c r="D3563" s="1" t="n">
        <v>9</v>
      </c>
      <c r="E3563" s="1" t="n">
        <v>4.07</v>
      </c>
      <c r="F3563" s="1" t="n">
        <v>30.76</v>
      </c>
      <c r="G3563" s="1" t="n">
        <v>3.41</v>
      </c>
      <c r="H3563" s="1" t="n">
        <v>0</v>
      </c>
      <c r="I3563" s="1" t="n">
        <v>4.12</v>
      </c>
      <c r="J3563" t="n">
        <v>21410120</v>
      </c>
    </row>
    <row r="3564" ht="15.75" customHeight="1" s="201">
      <c r="A3564" s="1" t="inlineStr">
        <is>
          <t>Game meat, moose, cooked, roasted</t>
        </is>
      </c>
      <c r="C3564" s="1" t="n">
        <v>0</v>
      </c>
      <c r="D3564" s="1" t="n">
        <v>4</v>
      </c>
      <c r="E3564" s="1" t="n">
        <v>4.22</v>
      </c>
      <c r="F3564" s="1" t="n">
        <v>29.27</v>
      </c>
      <c r="G3564" s="1" t="n">
        <v>0.97</v>
      </c>
      <c r="H3564" s="1" t="n">
        <v>0</v>
      </c>
      <c r="I3564" s="1" t="n">
        <v>3.68</v>
      </c>
      <c r="J3564" t="n">
        <v>14620320</v>
      </c>
    </row>
    <row r="3565" ht="15.75" customHeight="1" s="201">
      <c r="A3565" s="1" t="inlineStr">
        <is>
          <t>Game meat, moose, raw</t>
        </is>
      </c>
      <c r="C3565" s="1" t="n">
        <v>0</v>
      </c>
      <c r="E3565" s="1" t="n">
        <v>3.21</v>
      </c>
      <c r="F3565" s="1" t="n">
        <v>22.24</v>
      </c>
      <c r="G3565" s="1" t="n">
        <v>0.74</v>
      </c>
      <c r="H3565" s="1" t="n">
        <v>0</v>
      </c>
      <c r="I3565" s="1" t="n">
        <v>2.8</v>
      </c>
      <c r="J3565" t="n">
        <v>14620320</v>
      </c>
    </row>
    <row r="3566" ht="15.75" customHeight="1" s="201">
      <c r="A3566" s="1" t="inlineStr">
        <is>
          <t>Game meat, muskrat, cooked, roasted</t>
        </is>
      </c>
      <c r="C3566" s="1" t="n">
        <v>0</v>
      </c>
      <c r="D3566" s="1" t="n">
        <v>11</v>
      </c>
      <c r="E3566" s="1" t="n">
        <v>7.1</v>
      </c>
      <c r="F3566" s="1" t="n">
        <v>30.09</v>
      </c>
      <c r="G3566" s="1" t="n">
        <v>11.74</v>
      </c>
      <c r="H3566" s="1" t="n">
        <v>0</v>
      </c>
      <c r="I3566" s="1" t="n">
        <v>2.27</v>
      </c>
      <c r="J3566" t="n">
        <v>14620320</v>
      </c>
    </row>
    <row r="3567" ht="15.75" customHeight="1" s="201">
      <c r="A3567" s="1" t="inlineStr">
        <is>
          <t>Game meat, muskrat, raw</t>
        </is>
      </c>
      <c r="C3567" s="1" t="n">
        <v>0</v>
      </c>
      <c r="F3567" s="1" t="n">
        <v>20.76</v>
      </c>
      <c r="G3567" s="1" t="n">
        <v>8.1</v>
      </c>
      <c r="H3567" s="1" t="n">
        <v>0</v>
      </c>
      <c r="J3567" t="n">
        <v>14620320</v>
      </c>
    </row>
    <row r="3568" ht="15.75" customHeight="1" s="201">
      <c r="A3568" s="1" t="inlineStr">
        <is>
          <t>Game meat, opossum, cooked, roasted</t>
        </is>
      </c>
      <c r="C3568" s="1" t="n">
        <v>0</v>
      </c>
      <c r="D3568" s="1" t="n">
        <v>10</v>
      </c>
      <c r="E3568" s="1" t="n">
        <v>4.64</v>
      </c>
      <c r="F3568" s="1" t="n">
        <v>30.2</v>
      </c>
      <c r="G3568" s="1" t="n">
        <v>10.2</v>
      </c>
      <c r="H3568" s="1" t="n">
        <v>0</v>
      </c>
      <c r="I3568" s="1" t="n">
        <v>2.28</v>
      </c>
      <c r="J3568" t="n">
        <v>14620320</v>
      </c>
    </row>
    <row r="3569" ht="15.75" customHeight="1" s="201">
      <c r="A3569" s="1" t="inlineStr">
        <is>
          <t>Game meat, rabbit, domesticated, composite of cuts, cooked, roasted</t>
        </is>
      </c>
      <c r="C3569" s="1" t="n">
        <v>0</v>
      </c>
      <c r="D3569" s="1" t="n">
        <v>11</v>
      </c>
      <c r="E3569" s="1" t="n">
        <v>2.27</v>
      </c>
      <c r="F3569" s="1" t="n">
        <v>29.06</v>
      </c>
      <c r="G3569" s="1" t="n">
        <v>8.050000000000001</v>
      </c>
      <c r="H3569" s="1" t="n">
        <v>0</v>
      </c>
      <c r="I3569" s="1" t="n">
        <v>2.27</v>
      </c>
    </row>
    <row r="3570" ht="15.75" customHeight="1" s="201">
      <c r="A3570" s="1" t="inlineStr">
        <is>
          <t>Game meat, rabbit, domesticated, composite of cuts, cooked, stewed</t>
        </is>
      </c>
      <c r="C3570" s="1" t="n">
        <v>0</v>
      </c>
      <c r="D3570" s="1" t="n">
        <v>9</v>
      </c>
      <c r="E3570" s="1" t="n">
        <v>2.37</v>
      </c>
      <c r="F3570" s="1" t="n">
        <v>30.38</v>
      </c>
      <c r="G3570" s="1" t="n">
        <v>8.41</v>
      </c>
      <c r="H3570" s="1" t="n">
        <v>0</v>
      </c>
      <c r="I3570" s="1" t="n">
        <v>2.37</v>
      </c>
    </row>
    <row r="3571" ht="15.75" customHeight="1" s="201">
      <c r="A3571" s="1" t="inlineStr">
        <is>
          <t>Game meat, rabbit, domesticated, composite of cuts, raw</t>
        </is>
      </c>
      <c r="C3571" s="1" t="n">
        <v>0</v>
      </c>
      <c r="D3571" s="1" t="n">
        <v>8</v>
      </c>
      <c r="E3571" s="1" t="n">
        <v>1.57</v>
      </c>
      <c r="F3571" s="1" t="n">
        <v>20.05</v>
      </c>
      <c r="G3571" s="1" t="n">
        <v>5.55</v>
      </c>
      <c r="H3571" s="1" t="n">
        <v>0</v>
      </c>
      <c r="I3571" s="1" t="n">
        <v>1.57</v>
      </c>
      <c r="J3571" t="n">
        <v>14620320</v>
      </c>
    </row>
    <row r="3572" ht="15.75" customHeight="1" s="201">
      <c r="A3572" s="1" t="inlineStr">
        <is>
          <t>Game meat, rabbit, wild, cooked, stewed</t>
        </is>
      </c>
      <c r="C3572" s="1" t="n">
        <v>0</v>
      </c>
      <c r="D3572" s="1" t="n">
        <v>8</v>
      </c>
      <c r="E3572" s="1" t="n">
        <v>4.85</v>
      </c>
      <c r="F3572" s="1" t="n">
        <v>33.02</v>
      </c>
      <c r="G3572" s="1" t="n">
        <v>3.51</v>
      </c>
      <c r="H3572" s="1" t="n">
        <v>0</v>
      </c>
      <c r="I3572" s="1" t="n">
        <v>2.38</v>
      </c>
      <c r="J3572" t="n">
        <v>56205320</v>
      </c>
    </row>
    <row r="3573" ht="15.75" customHeight="1" s="201">
      <c r="A3573" s="1" t="inlineStr">
        <is>
          <t>Game meat, rabbit, wild, raw</t>
        </is>
      </c>
      <c r="C3573" s="1" t="n">
        <v>0</v>
      </c>
      <c r="E3573" s="1" t="n">
        <v>3.2</v>
      </c>
      <c r="F3573" s="1" t="n">
        <v>21.79</v>
      </c>
      <c r="G3573" s="1" t="n">
        <v>2.32</v>
      </c>
      <c r="H3573" s="1" t="n">
        <v>0</v>
      </c>
      <c r="J3573" t="n">
        <v>14620320</v>
      </c>
    </row>
    <row r="3574" ht="15.75" customHeight="1" s="201">
      <c r="A3574" s="1" t="inlineStr">
        <is>
          <t>Game meat, raccoon, cooked, roasted</t>
        </is>
      </c>
      <c r="C3574" s="1" t="n">
        <v>0</v>
      </c>
      <c r="D3574" s="1" t="n">
        <v>11</v>
      </c>
      <c r="E3574" s="1" t="n">
        <v>7.1</v>
      </c>
      <c r="F3574" s="1" t="n">
        <v>29.2</v>
      </c>
      <c r="G3574" s="1" t="n">
        <v>14.5</v>
      </c>
      <c r="H3574" s="1" t="n">
        <v>0</v>
      </c>
      <c r="I3574" s="1" t="n">
        <v>2.27</v>
      </c>
      <c r="J3574" t="n">
        <v>14620320</v>
      </c>
    </row>
    <row r="3575" ht="15.75" customHeight="1" s="201">
      <c r="A3575" s="1" t="inlineStr">
        <is>
          <t>Game meat, squirrel, cooked, roasted</t>
        </is>
      </c>
      <c r="C3575" s="1" t="n">
        <v>0</v>
      </c>
      <c r="D3575" s="1" t="n">
        <v>9</v>
      </c>
      <c r="E3575" s="1" t="n">
        <v>6.81</v>
      </c>
      <c r="F3575" s="1" t="n">
        <v>30.77</v>
      </c>
      <c r="G3575" s="1" t="n">
        <v>4.69</v>
      </c>
      <c r="H3575" s="1" t="n">
        <v>0</v>
      </c>
      <c r="I3575" s="1" t="n">
        <v>1.78</v>
      </c>
      <c r="J3575" t="n">
        <v>14620320</v>
      </c>
    </row>
    <row r="3576" ht="15.75" customHeight="1" s="201">
      <c r="A3576" s="1" t="inlineStr">
        <is>
          <t>Game meat, squirrel, raw</t>
        </is>
      </c>
      <c r="C3576" s="1" t="n">
        <v>0</v>
      </c>
      <c r="E3576" s="1" t="n">
        <v>4.7</v>
      </c>
      <c r="F3576" s="1" t="n">
        <v>21.23</v>
      </c>
      <c r="G3576" s="1" t="n">
        <v>3.21</v>
      </c>
      <c r="H3576" s="1" t="n">
        <v>0</v>
      </c>
      <c r="J3576" t="n">
        <v>14620320</v>
      </c>
    </row>
    <row r="3577" ht="15.75" customHeight="1" s="201">
      <c r="A3577" s="1" t="inlineStr">
        <is>
          <t>Garlic bread, frozen</t>
        </is>
      </c>
      <c r="C3577" s="1" t="n">
        <v>41.72</v>
      </c>
      <c r="D3577" s="1" t="n">
        <v>186</v>
      </c>
      <c r="E3577" s="1" t="n">
        <v>3.05</v>
      </c>
      <c r="F3577" s="1" t="n">
        <v>8.359999999999999</v>
      </c>
      <c r="G3577" s="1" t="n">
        <v>16.61</v>
      </c>
      <c r="H3577" s="1" t="n">
        <v>44</v>
      </c>
      <c r="I3577" s="1" t="n">
        <v>0.87</v>
      </c>
      <c r="J3577" t="n">
        <v>51121055</v>
      </c>
    </row>
    <row r="3578" ht="15.75" customHeight="1" s="201">
      <c r="A3578" s="1" t="inlineStr">
        <is>
          <t>Garlic, raw</t>
        </is>
      </c>
      <c r="C3578" s="1" t="n">
        <v>33.06</v>
      </c>
      <c r="D3578" s="1" t="n">
        <v>3</v>
      </c>
      <c r="E3578" s="1" t="n">
        <v>1.7</v>
      </c>
      <c r="F3578" s="1" t="n">
        <v>6.36</v>
      </c>
      <c r="G3578" s="1" t="n">
        <v>0.5</v>
      </c>
      <c r="H3578" s="1" t="n">
        <v>9</v>
      </c>
      <c r="I3578" s="1" t="n">
        <v>1.16</v>
      </c>
      <c r="J3578" t="n">
        <v>75111500</v>
      </c>
    </row>
    <row r="3579" ht="15.75" customHeight="1" s="201">
      <c r="A3579" s="1" t="inlineStr">
        <is>
          <t>Gelatin desserts, dry mix</t>
        </is>
      </c>
      <c r="C3579" s="1" t="n">
        <v>90.5</v>
      </c>
      <c r="D3579" s="1" t="n">
        <v>3</v>
      </c>
      <c r="E3579" s="1" t="n">
        <v>0.13</v>
      </c>
      <c r="F3579" s="1" t="n">
        <v>7.8</v>
      </c>
      <c r="G3579" s="1" t="n">
        <v>0</v>
      </c>
      <c r="H3579" s="1" t="n">
        <v>0</v>
      </c>
      <c r="I3579" s="1" t="n">
        <v>0.01</v>
      </c>
      <c r="J3579" t="n">
        <v>91501010</v>
      </c>
    </row>
    <row r="3580" ht="15.75" customHeight="1" s="201">
      <c r="A3580" s="1" t="inlineStr">
        <is>
          <t>Gelatin desserts, dry mix, prepared with water</t>
        </is>
      </c>
      <c r="C3580" s="1" t="n">
        <v>14.19</v>
      </c>
      <c r="D3580" s="1" t="n">
        <v>1</v>
      </c>
      <c r="E3580" s="1" t="n">
        <v>0.02</v>
      </c>
      <c r="F3580" s="1" t="n">
        <v>1.22</v>
      </c>
      <c r="G3580" s="1" t="n">
        <v>0</v>
      </c>
      <c r="H3580" s="1" t="n">
        <v>0</v>
      </c>
      <c r="I3580" s="1" t="n">
        <v>0.01</v>
      </c>
      <c r="J3580" t="n">
        <v>11740312</v>
      </c>
    </row>
    <row r="3581" ht="15.75" customHeight="1" s="201">
      <c r="A3581" s="1" t="inlineStr">
        <is>
          <t>Gelatin desserts, dry mix, reduced calorie, with aspartame</t>
        </is>
      </c>
      <c r="C3581" s="1" t="n">
        <v>80.20999999999999</v>
      </c>
      <c r="D3581" s="1" t="n">
        <v>0</v>
      </c>
      <c r="E3581" s="1" t="n">
        <v>0.06</v>
      </c>
      <c r="F3581" s="1" t="n">
        <v>15.67</v>
      </c>
      <c r="G3581" s="1" t="n">
        <v>0</v>
      </c>
      <c r="H3581" s="1" t="n">
        <v>0</v>
      </c>
      <c r="I3581" s="1" t="n">
        <v>0</v>
      </c>
      <c r="J3581" t="n">
        <v>53109200</v>
      </c>
    </row>
    <row r="3582" ht="15.75" customHeight="1" s="201">
      <c r="A3582" s="1" t="inlineStr">
        <is>
          <t>Gelatin desserts, dry mix, reduced calorie, with aspartame, added phosphorus, potassium, sodium, vitamin C</t>
        </is>
      </c>
      <c r="C3582" s="1" t="n">
        <v>33.3</v>
      </c>
      <c r="D3582" s="1" t="n">
        <v>14</v>
      </c>
      <c r="E3582" s="1" t="n">
        <v>0.02</v>
      </c>
      <c r="F3582" s="1" t="n">
        <v>55.3</v>
      </c>
      <c r="G3582" s="1" t="n">
        <v>0</v>
      </c>
      <c r="H3582" s="1" t="n">
        <v>0</v>
      </c>
      <c r="I3582" s="1" t="n">
        <v>0.07000000000000001</v>
      </c>
      <c r="J3582" t="n">
        <v>54204030</v>
      </c>
    </row>
    <row r="3583" ht="15.75" customHeight="1" s="201">
      <c r="A3583" s="1" t="inlineStr">
        <is>
          <t>Gelatin desserts, dry mix, reduced calorie, with aspartame, no added sodium</t>
        </is>
      </c>
      <c r="C3583" s="1" t="n">
        <v>33.3</v>
      </c>
      <c r="D3583" s="1" t="n">
        <v>14</v>
      </c>
      <c r="E3583" s="1" t="n">
        <v>0.02</v>
      </c>
      <c r="F3583" s="1" t="n">
        <v>55.3</v>
      </c>
      <c r="G3583" s="1" t="n">
        <v>0</v>
      </c>
      <c r="H3583" s="1" t="n">
        <v>0</v>
      </c>
      <c r="I3583" s="1" t="n">
        <v>0.07000000000000001</v>
      </c>
      <c r="J3583" t="n">
        <v>54204030</v>
      </c>
    </row>
    <row r="3584" ht="15.75" customHeight="1" s="201">
      <c r="A3584" s="1" t="inlineStr">
        <is>
          <t>Gelatin desserts, dry mix, reduced calorie, with aspartame, prepared with water</t>
        </is>
      </c>
      <c r="C3584" s="1" t="n">
        <v>4.22</v>
      </c>
      <c r="D3584" s="1" t="n">
        <v>0</v>
      </c>
      <c r="E3584" s="1" t="n">
        <v>0.01</v>
      </c>
      <c r="F3584" s="1" t="n">
        <v>0.83</v>
      </c>
      <c r="G3584" s="1" t="n">
        <v>0</v>
      </c>
      <c r="H3584" s="1" t="n">
        <v>0</v>
      </c>
      <c r="I3584" s="1" t="n">
        <v>0</v>
      </c>
      <c r="J3584" t="n">
        <v>75142550</v>
      </c>
    </row>
    <row r="3585" ht="15.75" customHeight="1" s="201">
      <c r="A3585" s="1" t="inlineStr">
        <is>
          <t>Gelatin desserts, dry mix, with added ascorbic acid, sodium-citrate and salt</t>
        </is>
      </c>
      <c r="C3585" s="1" t="n">
        <v>90.5</v>
      </c>
      <c r="D3585" s="1" t="n">
        <v>3</v>
      </c>
      <c r="E3585" s="1" t="n">
        <v>0.15</v>
      </c>
      <c r="F3585" s="1" t="n">
        <v>7.8</v>
      </c>
      <c r="G3585" s="1" t="n">
        <v>0</v>
      </c>
      <c r="H3585" s="1" t="n">
        <v>0</v>
      </c>
      <c r="I3585" s="1" t="n">
        <v>0.01</v>
      </c>
      <c r="J3585" t="n">
        <v>75142550</v>
      </c>
    </row>
    <row r="3586" ht="15.75" customHeight="1" s="201">
      <c r="A3586" s="1" t="inlineStr">
        <is>
          <t>Gelatins, dry powder, unsweetened</t>
        </is>
      </c>
      <c r="C3586" s="1" t="n">
        <v>0</v>
      </c>
      <c r="D3586" s="1" t="n">
        <v>30</v>
      </c>
      <c r="E3586" s="1" t="n">
        <v>1.11</v>
      </c>
      <c r="F3586" s="1" t="n">
        <v>85.59999999999999</v>
      </c>
      <c r="G3586" s="1" t="n">
        <v>0.1</v>
      </c>
      <c r="H3586" s="1" t="n">
        <v>0</v>
      </c>
      <c r="I3586" s="1" t="n">
        <v>0.14</v>
      </c>
      <c r="J3586" t="n">
        <v>12210420</v>
      </c>
    </row>
    <row r="3587" ht="15.75" customHeight="1" s="201">
      <c r="A3587" s="1" t="inlineStr">
        <is>
          <t>George Weston Bakeries, Brownberry Sage and Onion Stuffing Mix, dry</t>
        </is>
      </c>
      <c r="C3587" s="1" t="n">
        <v>72.7</v>
      </c>
      <c r="E3587" s="1" t="n">
        <v>3.81</v>
      </c>
      <c r="F3587" s="1" t="n">
        <v>13.3</v>
      </c>
      <c r="G3587" s="1" t="n">
        <v>5.1</v>
      </c>
      <c r="J3587" t="n">
        <v>11440030</v>
      </c>
    </row>
    <row r="3588" ht="15.75" customHeight="1" s="201">
      <c r="A3588" s="1" t="inlineStr">
        <is>
          <t>George Weston Bakeries, Thomas English Muffins</t>
        </is>
      </c>
      <c r="C3588" s="1" t="n">
        <v>46</v>
      </c>
      <c r="D3588" s="1" t="n">
        <v>40</v>
      </c>
      <c r="E3588" s="1" t="n">
        <v>1.4</v>
      </c>
      <c r="F3588" s="1" t="n">
        <v>8</v>
      </c>
      <c r="G3588" s="1" t="n">
        <v>1.8</v>
      </c>
      <c r="H3588" s="1" t="n">
        <v>0</v>
      </c>
    </row>
    <row r="3589" ht="15.75" customHeight="1" s="201">
      <c r="A3589" s="1" t="inlineStr">
        <is>
          <t>Ginger root, pickled, canned, with artificial sweetener</t>
        </is>
      </c>
      <c r="C3589" s="1" t="n">
        <v>4.83</v>
      </c>
      <c r="D3589" s="1" t="n">
        <v>1</v>
      </c>
      <c r="E3589" s="1" t="n">
        <v>0.28</v>
      </c>
      <c r="F3589" s="1" t="n">
        <v>0.33</v>
      </c>
      <c r="G3589" s="1" t="n">
        <v>0.1</v>
      </c>
      <c r="H3589" s="1" t="n">
        <v>0</v>
      </c>
      <c r="I3589" s="1" t="n">
        <v>0.04</v>
      </c>
      <c r="J3589" t="n">
        <v>75142550</v>
      </c>
    </row>
    <row r="3590" ht="15.75" customHeight="1" s="201">
      <c r="A3590" s="1" t="inlineStr">
        <is>
          <t>Ginger root, raw</t>
        </is>
      </c>
      <c r="C3590" s="1" t="n">
        <v>17.77</v>
      </c>
      <c r="D3590" s="1" t="n">
        <v>11</v>
      </c>
      <c r="E3590" s="1" t="n">
        <v>0.6</v>
      </c>
      <c r="F3590" s="1" t="n">
        <v>1.82</v>
      </c>
      <c r="G3590" s="1" t="n">
        <v>0.75</v>
      </c>
      <c r="H3590" s="1" t="n">
        <v>0</v>
      </c>
      <c r="I3590" s="1" t="n">
        <v>0.34</v>
      </c>
      <c r="J3590" t="n">
        <v>75503085</v>
      </c>
    </row>
    <row r="3591" ht="15.75" customHeight="1" s="201">
      <c r="A3591" s="1" t="inlineStr">
        <is>
          <t>Glutino, Gluten Free Cookies, Chocolate Vanilla Creme</t>
        </is>
      </c>
      <c r="C3591" s="1" t="n">
        <v>76.03</v>
      </c>
      <c r="D3591" s="1" t="n">
        <v>0</v>
      </c>
      <c r="E3591" s="1" t="n">
        <v>2.81</v>
      </c>
      <c r="F3591" s="1" t="n">
        <v>2.19</v>
      </c>
      <c r="G3591" s="1" t="n">
        <v>17.89</v>
      </c>
      <c r="I3591" s="1" t="n">
        <v>0.66</v>
      </c>
      <c r="J3591" t="n">
        <v>53108200</v>
      </c>
    </row>
    <row r="3592" ht="15.75" customHeight="1" s="201">
      <c r="A3592" s="1" t="inlineStr">
        <is>
          <t>Glutino, Gluten Free Cookies, Vanilla Creme</t>
        </is>
      </c>
      <c r="C3592" s="1" t="n">
        <v>77.34</v>
      </c>
      <c r="E3592" s="1" t="n">
        <v>0.23</v>
      </c>
      <c r="F3592" s="1" t="n">
        <v>2.19</v>
      </c>
      <c r="G3592" s="1" t="n">
        <v>18.79</v>
      </c>
      <c r="I3592" s="1" t="n">
        <v>0.18</v>
      </c>
      <c r="J3592" t="n">
        <v>27446260</v>
      </c>
    </row>
    <row r="3593" ht="15.75" customHeight="1" s="201">
      <c r="A3593" s="1" t="inlineStr">
        <is>
          <t>Glutino, Gluten Free Wafers, Lemon Flavored</t>
        </is>
      </c>
      <c r="C3593" s="1" t="n">
        <v>74.39</v>
      </c>
      <c r="D3593" s="1" t="n">
        <v>0</v>
      </c>
      <c r="E3593" s="1" t="n">
        <v>0.18</v>
      </c>
      <c r="F3593" s="1" t="n">
        <v>0</v>
      </c>
      <c r="G3593" s="1" t="n">
        <v>24.18</v>
      </c>
      <c r="I3593" s="1" t="n">
        <v>0.03</v>
      </c>
      <c r="J3593" t="n">
        <v>27446260</v>
      </c>
    </row>
    <row r="3594" ht="15.75" customHeight="1" s="201">
      <c r="A3594" s="1" t="inlineStr">
        <is>
          <t>Glutino, Gluten Free Wafers, Milk Chocolate</t>
        </is>
      </c>
      <c r="C3594" s="1" t="n">
        <v>62.82</v>
      </c>
      <c r="E3594" s="1" t="n">
        <v>3.67</v>
      </c>
      <c r="F3594" s="1" t="n">
        <v>4.06</v>
      </c>
      <c r="G3594" s="1" t="n">
        <v>30.42</v>
      </c>
      <c r="I3594" s="1" t="n">
        <v>0.78</v>
      </c>
      <c r="J3594" t="n">
        <v>53108200</v>
      </c>
    </row>
    <row r="3595" ht="15.75" customHeight="1" s="201">
      <c r="A3595" s="1" t="inlineStr">
        <is>
          <t>Goji berries, dried</t>
        </is>
      </c>
      <c r="C3595" s="1" t="n">
        <v>77.06</v>
      </c>
      <c r="E3595" s="1" t="n">
        <v>6.8</v>
      </c>
      <c r="F3595" s="1" t="n">
        <v>14.26</v>
      </c>
      <c r="G3595" s="1" t="n">
        <v>0.39</v>
      </c>
      <c r="H3595" s="1" t="n">
        <v>26822</v>
      </c>
      <c r="J3595" t="n">
        <v>63200100</v>
      </c>
    </row>
    <row r="3596" ht="15.75" customHeight="1" s="201">
      <c r="A3596" s="1" t="inlineStr">
        <is>
          <t>Goose, domesticated, meat and skin, cooked, roasted</t>
        </is>
      </c>
      <c r="C3596" s="1" t="n">
        <v>0</v>
      </c>
      <c r="D3596" s="1" t="n">
        <v>2</v>
      </c>
      <c r="E3596" s="1" t="n">
        <v>2.83</v>
      </c>
      <c r="F3596" s="1" t="n">
        <v>25.16</v>
      </c>
      <c r="G3596" s="1" t="n">
        <v>21.92</v>
      </c>
      <c r="H3596" s="1" t="n">
        <v>70</v>
      </c>
      <c r="I3596" s="1" t="n">
        <v>2.62</v>
      </c>
      <c r="J3596" t="n">
        <v>24201130</v>
      </c>
    </row>
    <row r="3597" ht="15.75" customHeight="1" s="201">
      <c r="A3597" s="1" t="inlineStr">
        <is>
          <t>Goose, domesticated, meat and skin, raw</t>
        </is>
      </c>
      <c r="C3597" s="1" t="n">
        <v>0</v>
      </c>
      <c r="D3597" s="1" t="n">
        <v>4</v>
      </c>
      <c r="E3597" s="1" t="n">
        <v>2.5</v>
      </c>
      <c r="F3597" s="1" t="n">
        <v>15.86</v>
      </c>
      <c r="G3597" s="1" t="n">
        <v>33.62</v>
      </c>
      <c r="H3597" s="1" t="n">
        <v>55</v>
      </c>
      <c r="I3597" s="1" t="n">
        <v>1.72</v>
      </c>
      <c r="J3597" t="n">
        <v>14620320</v>
      </c>
    </row>
    <row r="3598" ht="15.75" customHeight="1" s="201">
      <c r="A3598" s="1" t="inlineStr">
        <is>
          <t>Goose, domesticated, meat only, cooked, roasted</t>
        </is>
      </c>
      <c r="C3598" s="1" t="n">
        <v>0</v>
      </c>
      <c r="D3598" s="1" t="n">
        <v>12</v>
      </c>
      <c r="E3598" s="1" t="n">
        <v>2.87</v>
      </c>
      <c r="F3598" s="1" t="n">
        <v>28.97</v>
      </c>
      <c r="G3598" s="1" t="n">
        <v>12.67</v>
      </c>
      <c r="H3598" s="1" t="n">
        <v>40</v>
      </c>
      <c r="I3598" s="1" t="n">
        <v>3.17</v>
      </c>
      <c r="J3598" t="n">
        <v>14620320</v>
      </c>
    </row>
    <row r="3599" ht="15.75" customHeight="1" s="201">
      <c r="A3599" s="1" t="inlineStr">
        <is>
          <t>Goose, domesticated, meat only, raw</t>
        </is>
      </c>
      <c r="C3599" s="1" t="n">
        <v>0</v>
      </c>
      <c r="D3599" s="1" t="n">
        <v>31</v>
      </c>
      <c r="E3599" s="1" t="n">
        <v>2.57</v>
      </c>
      <c r="F3599" s="1" t="n">
        <v>22.75</v>
      </c>
      <c r="G3599" s="1" t="n">
        <v>7.13</v>
      </c>
      <c r="H3599" s="1" t="n">
        <v>40</v>
      </c>
      <c r="I3599" s="1" t="n">
        <v>2.34</v>
      </c>
      <c r="J3599" t="n">
        <v>14620320</v>
      </c>
    </row>
    <row r="3600" ht="15.75" customHeight="1" s="201">
      <c r="A3600" s="1" t="inlineStr">
        <is>
          <t>Goose, liver, raw</t>
        </is>
      </c>
      <c r="C3600" s="1" t="n">
        <v>6.32</v>
      </c>
      <c r="D3600" s="1" t="n">
        <v>738</v>
      </c>
      <c r="E3600" s="1" t="n">
        <v>30.53</v>
      </c>
      <c r="F3600" s="1" t="n">
        <v>16.37</v>
      </c>
      <c r="G3600" s="1" t="n">
        <v>4.28</v>
      </c>
      <c r="H3600" s="1" t="n">
        <v>30998</v>
      </c>
      <c r="I3600" s="1" t="n">
        <v>3.07</v>
      </c>
      <c r="J3600" t="n">
        <v>25230560</v>
      </c>
    </row>
    <row r="3601" ht="15.75" customHeight="1" s="201">
      <c r="A3601" s="1" t="inlineStr">
        <is>
          <t>Gooseberries, canned, light syrup pack, solids and liquids</t>
        </is>
      </c>
      <c r="C3601" s="1" t="n">
        <v>18.75</v>
      </c>
      <c r="D3601" s="1" t="n">
        <v>3</v>
      </c>
      <c r="E3601" s="1" t="n">
        <v>0.33</v>
      </c>
      <c r="F3601" s="1" t="n">
        <v>0.65</v>
      </c>
      <c r="G3601" s="1" t="n">
        <v>0.2</v>
      </c>
      <c r="H3601" s="1" t="n">
        <v>138</v>
      </c>
      <c r="I3601" s="1" t="n">
        <v>0.11</v>
      </c>
      <c r="J3601" t="n">
        <v>27446245</v>
      </c>
    </row>
    <row r="3602" ht="15.75" customHeight="1" s="201">
      <c r="A3602" s="1" t="inlineStr">
        <is>
          <t>Gooseberries, raw</t>
        </is>
      </c>
      <c r="C3602" s="1" t="n">
        <v>10.18</v>
      </c>
      <c r="D3602" s="1" t="n">
        <v>6</v>
      </c>
      <c r="E3602" s="1" t="n">
        <v>0.31</v>
      </c>
      <c r="F3602" s="1" t="n">
        <v>0.88</v>
      </c>
      <c r="G3602" s="1" t="n">
        <v>0.58</v>
      </c>
      <c r="H3602" s="1" t="n">
        <v>290</v>
      </c>
      <c r="I3602" s="1" t="n">
        <v>0.12</v>
      </c>
    </row>
    <row r="3603" ht="15.75" customHeight="1" s="201">
      <c r="A3603" s="1" t="inlineStr">
        <is>
          <t>Gourd, dishcloth (towelgourd), cooked, boiled, drained, with salt</t>
        </is>
      </c>
      <c r="C3603" s="1" t="n">
        <v>13.75</v>
      </c>
      <c r="D3603" s="1" t="n">
        <v>12</v>
      </c>
      <c r="E3603" s="1" t="n">
        <v>0.36</v>
      </c>
      <c r="F3603" s="1" t="n">
        <v>0.66</v>
      </c>
      <c r="G3603" s="1" t="n">
        <v>0.34</v>
      </c>
      <c r="H3603" s="1" t="n">
        <v>260</v>
      </c>
      <c r="I3603" s="1" t="n">
        <v>0.17</v>
      </c>
      <c r="J3603" t="n">
        <v>75142550</v>
      </c>
    </row>
    <row r="3604" ht="15.75" customHeight="1" s="201">
      <c r="A3604" s="1" t="inlineStr">
        <is>
          <t>Gourd, dishcloth (towelgourd), cooked, boiled, drained, without salt</t>
        </is>
      </c>
      <c r="C3604" s="1" t="n">
        <v>14.34</v>
      </c>
      <c r="D3604" s="1" t="n">
        <v>12</v>
      </c>
      <c r="E3604" s="1" t="n">
        <v>0.36</v>
      </c>
      <c r="F3604" s="1" t="n">
        <v>0.66</v>
      </c>
      <c r="G3604" s="1" t="n">
        <v>0.34</v>
      </c>
      <c r="H3604" s="1" t="n">
        <v>260</v>
      </c>
      <c r="I3604" s="1" t="n">
        <v>0.17</v>
      </c>
      <c r="J3604" t="n">
        <v>31103010</v>
      </c>
    </row>
    <row r="3605" ht="15.75" customHeight="1" s="201">
      <c r="A3605" s="1" t="inlineStr">
        <is>
          <t>Gourd, dishcloth (towelgourd), raw</t>
        </is>
      </c>
      <c r="C3605" s="1" t="n">
        <v>4.35</v>
      </c>
      <c r="D3605" s="1" t="n">
        <v>7</v>
      </c>
      <c r="E3605" s="1" t="n">
        <v>0.36</v>
      </c>
      <c r="F3605" s="1" t="n">
        <v>1.2</v>
      </c>
      <c r="G3605" s="1" t="n">
        <v>0.2</v>
      </c>
      <c r="H3605" s="1" t="n">
        <v>410</v>
      </c>
      <c r="I3605" s="1" t="n">
        <v>0.07000000000000001</v>
      </c>
    </row>
    <row r="3606" ht="15.75" customHeight="1" s="201">
      <c r="A3606" s="1" t="inlineStr">
        <is>
          <t>Gourd, white-flowered (calabash), cooked, boiled, drained, with salt</t>
        </is>
      </c>
      <c r="C3606" s="1" t="n">
        <v>3.1</v>
      </c>
      <c r="D3606" s="1" t="n">
        <v>4</v>
      </c>
      <c r="E3606" s="1" t="n">
        <v>0.25</v>
      </c>
      <c r="F3606" s="1" t="n">
        <v>0.6</v>
      </c>
      <c r="G3606" s="1" t="n">
        <v>0.02</v>
      </c>
      <c r="H3606" s="1" t="n">
        <v>0</v>
      </c>
      <c r="I3606" s="1" t="n">
        <v>0.7</v>
      </c>
      <c r="J3606" t="n">
        <v>75142550</v>
      </c>
    </row>
    <row r="3607" ht="15.75" customHeight="1" s="201">
      <c r="A3607" s="1" t="inlineStr">
        <is>
          <t>Gourd, white-flowered (calabash), cooked, boiled, drained, without salt</t>
        </is>
      </c>
      <c r="C3607" s="1" t="n">
        <v>3.69</v>
      </c>
      <c r="D3607" s="1" t="n">
        <v>4</v>
      </c>
      <c r="E3607" s="1" t="n">
        <v>0.25</v>
      </c>
      <c r="F3607" s="1" t="n">
        <v>0.6</v>
      </c>
      <c r="G3607" s="1" t="n">
        <v>0.02</v>
      </c>
      <c r="H3607" s="1" t="n">
        <v>0</v>
      </c>
      <c r="I3607" s="1" t="n">
        <v>0.7</v>
      </c>
    </row>
    <row r="3608" ht="15.75" customHeight="1" s="201">
      <c r="A3608" s="1" t="inlineStr">
        <is>
          <t>Gourd, white-flowered (calabash), raw</t>
        </is>
      </c>
      <c r="C3608" s="1" t="n">
        <v>3.39</v>
      </c>
      <c r="D3608" s="1" t="n">
        <v>6</v>
      </c>
      <c r="E3608" s="1" t="n">
        <v>0.2</v>
      </c>
      <c r="F3608" s="1" t="n">
        <v>0.62</v>
      </c>
      <c r="G3608" s="1" t="n">
        <v>0.02</v>
      </c>
      <c r="H3608" s="1" t="n">
        <v>16</v>
      </c>
      <c r="I3608" s="1" t="n">
        <v>0.7</v>
      </c>
      <c r="J3608" t="n">
        <v>53109200</v>
      </c>
    </row>
    <row r="3609" ht="15.75" customHeight="1" s="201">
      <c r="A3609" s="1" t="inlineStr">
        <is>
          <t>Granola bar, soft, milk chocolate coated, peanut butter</t>
        </is>
      </c>
      <c r="C3609" s="1" t="n">
        <v>54.1</v>
      </c>
      <c r="D3609" s="1" t="n">
        <v>25</v>
      </c>
      <c r="E3609" s="1" t="n">
        <v>1.45</v>
      </c>
      <c r="F3609" s="1" t="n">
        <v>9.6</v>
      </c>
      <c r="G3609" s="1" t="n">
        <v>31.2</v>
      </c>
      <c r="H3609" s="1" t="n">
        <v>26</v>
      </c>
      <c r="I3609" s="1" t="n">
        <v>1.47</v>
      </c>
      <c r="J3609" t="n">
        <v>53108200</v>
      </c>
    </row>
    <row r="3610" ht="15.75" customHeight="1" s="201">
      <c r="A3610" s="1" t="inlineStr">
        <is>
          <t>Grape juice, canned or bottled, unsweetened, with added ascorbic acid</t>
        </is>
      </c>
      <c r="C3610" s="1" t="n">
        <v>14.77</v>
      </c>
      <c r="D3610" s="1" t="n">
        <v>0</v>
      </c>
      <c r="E3610" s="1" t="n">
        <v>0.25</v>
      </c>
      <c r="F3610" s="1" t="n">
        <v>0.37</v>
      </c>
      <c r="G3610" s="1" t="n">
        <v>0.13</v>
      </c>
      <c r="H3610" s="1" t="n">
        <v>8</v>
      </c>
      <c r="I3610" s="1" t="n">
        <v>0.07000000000000001</v>
      </c>
      <c r="J3610" t="n">
        <v>75142550</v>
      </c>
    </row>
    <row r="3611" ht="15.75" customHeight="1" s="201">
      <c r="A3611" s="1" t="inlineStr">
        <is>
          <t>Grape juice, canned or bottled, unsweetened, with added ascorbic acid and calcium</t>
        </is>
      </c>
      <c r="C3611" s="1" t="n">
        <v>14.77</v>
      </c>
      <c r="D3611" s="1" t="n">
        <v>0</v>
      </c>
      <c r="E3611" s="1" t="n">
        <v>0.25</v>
      </c>
      <c r="F3611" s="1" t="n">
        <v>0.37</v>
      </c>
      <c r="G3611" s="1" t="n">
        <v>0.13</v>
      </c>
      <c r="H3611" s="1" t="n">
        <v>8</v>
      </c>
      <c r="I3611" s="1" t="n">
        <v>0.07000000000000001</v>
      </c>
      <c r="J3611" t="n">
        <v>61210250</v>
      </c>
    </row>
    <row r="3612" ht="15.75" customHeight="1" s="201">
      <c r="A3612" s="1" t="inlineStr">
        <is>
          <t>Grape juice, canned or bottled, unsweetened, without added ascorbic acid</t>
        </is>
      </c>
      <c r="C3612" s="1" t="n">
        <v>14.77</v>
      </c>
      <c r="D3612" s="1" t="n">
        <v>0</v>
      </c>
      <c r="E3612" s="1" t="n">
        <v>0.25</v>
      </c>
      <c r="F3612" s="1" t="n">
        <v>0.37</v>
      </c>
      <c r="G3612" s="1" t="n">
        <v>0.13</v>
      </c>
      <c r="H3612" s="1" t="n">
        <v>8</v>
      </c>
      <c r="I3612" s="1" t="n">
        <v>0.07000000000000001</v>
      </c>
      <c r="J3612" t="n">
        <v>64100110</v>
      </c>
    </row>
    <row r="3613" ht="15.75" customHeight="1" s="201">
      <c r="A3613" s="1" t="inlineStr">
        <is>
          <t>Grape leaves, canned</t>
        </is>
      </c>
      <c r="C3613" s="1" t="n">
        <v>11.71</v>
      </c>
      <c r="D3613" s="1" t="n">
        <v>78</v>
      </c>
      <c r="E3613" s="1" t="n">
        <v>2.98</v>
      </c>
      <c r="F3613" s="1" t="n">
        <v>4.27</v>
      </c>
      <c r="G3613" s="1" t="n">
        <v>1.97</v>
      </c>
      <c r="H3613" s="1" t="n">
        <v>5253</v>
      </c>
      <c r="I3613" s="1" t="n">
        <v>0.4</v>
      </c>
      <c r="J3613" t="n">
        <v>63311110</v>
      </c>
    </row>
    <row r="3614" ht="15.75" customHeight="1" s="201">
      <c r="A3614" s="1" t="inlineStr">
        <is>
          <t>Grape leaves, raw</t>
        </is>
      </c>
      <c r="C3614" s="1" t="n">
        <v>17.31</v>
      </c>
      <c r="D3614" s="1" t="n">
        <v>83</v>
      </c>
      <c r="E3614" s="1" t="n">
        <v>2.63</v>
      </c>
      <c r="F3614" s="1" t="n">
        <v>5.6</v>
      </c>
      <c r="G3614" s="1" t="n">
        <v>2.12</v>
      </c>
      <c r="H3614" s="1" t="n">
        <v>27521</v>
      </c>
      <c r="I3614" s="1" t="n">
        <v>0.67</v>
      </c>
      <c r="J3614" t="n">
        <v>27330170</v>
      </c>
    </row>
    <row r="3615" ht="15.75" customHeight="1" s="201">
      <c r="A3615" s="1" t="inlineStr">
        <is>
          <t>Grapefruit juice, pink or red, with added calcium</t>
        </is>
      </c>
      <c r="C3615" s="1" t="n">
        <v>7.74</v>
      </c>
      <c r="D3615" s="1" t="n">
        <v>12</v>
      </c>
      <c r="E3615" s="1" t="n">
        <v>0.06</v>
      </c>
      <c r="F3615" s="1" t="n">
        <v>0.51</v>
      </c>
      <c r="G3615" s="1" t="n">
        <v>0.68</v>
      </c>
      <c r="H3615" s="1" t="n">
        <v>320</v>
      </c>
      <c r="I3615" s="1" t="n">
        <v>0.04</v>
      </c>
      <c r="J3615" t="n">
        <v>64100220</v>
      </c>
    </row>
    <row r="3616" ht="15.75" customHeight="1" s="201">
      <c r="A3616" s="1" t="inlineStr">
        <is>
          <t>Grapefruit juice, pink, raw</t>
        </is>
      </c>
      <c r="C3616" s="1" t="n">
        <v>9.199999999999999</v>
      </c>
      <c r="D3616" s="1" t="n">
        <v>10</v>
      </c>
      <c r="E3616" s="1" t="n">
        <v>0.2</v>
      </c>
      <c r="F3616" s="1" t="n">
        <v>0.5</v>
      </c>
      <c r="G3616" s="1" t="n">
        <v>0.1</v>
      </c>
      <c r="H3616" s="1" t="n">
        <v>440</v>
      </c>
      <c r="I3616" s="1" t="n">
        <v>0.05</v>
      </c>
      <c r="J3616" t="n">
        <v>64100110</v>
      </c>
    </row>
    <row r="3617" ht="15.75" customHeight="1" s="201">
      <c r="A3617" s="1" t="inlineStr">
        <is>
          <t>Grapefruit juice, white, bottled, unsweetened, OCEAN SPRAY</t>
        </is>
      </c>
      <c r="C3617" s="1" t="n">
        <v>7.51</v>
      </c>
      <c r="D3617" s="1" t="n">
        <v>15</v>
      </c>
      <c r="E3617" s="1" t="n">
        <v>0.08</v>
      </c>
      <c r="F3617" s="1" t="n">
        <v>0.54</v>
      </c>
      <c r="G3617" s="1" t="n">
        <v>0.64</v>
      </c>
      <c r="H3617" s="1" t="n">
        <v>33</v>
      </c>
      <c r="I3617" s="1" t="n">
        <v>0.05</v>
      </c>
      <c r="J3617" t="n">
        <v>92530610</v>
      </c>
    </row>
    <row r="3618" ht="15.75" customHeight="1" s="201">
      <c r="A3618" s="1" t="inlineStr">
        <is>
          <t>Grapefruit juice, white, canned or bottled, unsweetened</t>
        </is>
      </c>
      <c r="C3618" s="1" t="n">
        <v>7.54</v>
      </c>
      <c r="D3618" s="1" t="n">
        <v>14</v>
      </c>
      <c r="E3618" s="1" t="n">
        <v>0.08</v>
      </c>
      <c r="F3618" s="1" t="n">
        <v>0.55</v>
      </c>
      <c r="G3618" s="1" t="n">
        <v>0.66</v>
      </c>
      <c r="H3618" s="1" t="n">
        <v>35</v>
      </c>
      <c r="I3618" s="1" t="n">
        <v>0.05</v>
      </c>
      <c r="J3618" t="n">
        <v>64100110</v>
      </c>
    </row>
    <row r="3619" ht="15.75" customHeight="1" s="201">
      <c r="A3619" s="1" t="inlineStr">
        <is>
          <t>Grapefruit juice, white, canned, sweetened</t>
        </is>
      </c>
      <c r="C3619" s="1" t="n">
        <v>11.13</v>
      </c>
      <c r="D3619" s="1" t="n">
        <v>10</v>
      </c>
      <c r="E3619" s="1" t="n">
        <v>0.36</v>
      </c>
      <c r="F3619" s="1" t="n">
        <v>0.58</v>
      </c>
      <c r="G3619" s="1" t="n">
        <v>0.09</v>
      </c>
      <c r="H3619" s="1" t="n">
        <v>7</v>
      </c>
      <c r="I3619" s="1" t="n">
        <v>0.06</v>
      </c>
      <c r="J3619" t="n">
        <v>64100110</v>
      </c>
    </row>
    <row r="3620" ht="15.75" customHeight="1" s="201">
      <c r="A3620" s="1" t="inlineStr">
        <is>
          <t>Grapefruit juice, white, frozen concentrate, unsweetened, diluted with 3 volume water</t>
        </is>
      </c>
      <c r="C3620" s="1" t="n">
        <v>9.73</v>
      </c>
      <c r="D3620" s="1" t="n">
        <v>4</v>
      </c>
      <c r="E3620" s="1" t="n">
        <v>0.14</v>
      </c>
      <c r="F3620" s="1" t="n">
        <v>0.55</v>
      </c>
      <c r="G3620" s="1" t="n">
        <v>0.13</v>
      </c>
      <c r="H3620" s="1" t="n">
        <v>9</v>
      </c>
      <c r="I3620" s="1" t="n">
        <v>0.05</v>
      </c>
      <c r="J3620" t="n">
        <v>11740312</v>
      </c>
    </row>
    <row r="3621" ht="15.75" customHeight="1" s="201">
      <c r="A3621" s="1" t="inlineStr">
        <is>
          <t>Grapefruit juice, white, frozen concentrate, unsweetened, undiluted</t>
        </is>
      </c>
      <c r="C3621" s="1" t="n">
        <v>34.56</v>
      </c>
      <c r="D3621" s="1" t="n">
        <v>13</v>
      </c>
      <c r="E3621" s="1" t="n">
        <v>0.49</v>
      </c>
      <c r="F3621" s="1" t="n">
        <v>1.97</v>
      </c>
      <c r="G3621" s="1" t="n">
        <v>0.48</v>
      </c>
      <c r="H3621" s="1" t="n">
        <v>31</v>
      </c>
      <c r="I3621" s="1" t="n">
        <v>0.18</v>
      </c>
      <c r="J3621" t="n">
        <v>64100110</v>
      </c>
    </row>
    <row r="3622" ht="15.75" customHeight="1" s="201">
      <c r="A3622" s="1" t="inlineStr">
        <is>
          <t>Grapefruit juice, white, raw</t>
        </is>
      </c>
      <c r="C3622" s="1" t="n">
        <v>9.199999999999999</v>
      </c>
      <c r="D3622" s="1" t="n">
        <v>10</v>
      </c>
      <c r="E3622" s="1" t="n">
        <v>0.2</v>
      </c>
      <c r="F3622" s="1" t="n">
        <v>0.5</v>
      </c>
      <c r="G3622" s="1" t="n">
        <v>0.1</v>
      </c>
      <c r="H3622" s="1" t="n">
        <v>10</v>
      </c>
      <c r="I3622" s="1" t="n">
        <v>0.05</v>
      </c>
      <c r="J3622" t="n">
        <v>64100110</v>
      </c>
    </row>
    <row r="3623" ht="15.75" customHeight="1" s="201">
      <c r="A3623" s="1" t="inlineStr">
        <is>
          <t>Grapefruit juice</t>
        </is>
      </c>
      <c r="J3623" t="n">
        <v>64100110</v>
      </c>
    </row>
    <row r="3624" ht="15.75" customHeight="1" s="201">
      <c r="A3624" s="1" t="inlineStr">
        <is>
          <t>Grapefruit, raw, pink and red and white, all areas</t>
        </is>
      </c>
      <c r="C3624" s="1" t="n">
        <v>8.08</v>
      </c>
      <c r="D3624" s="1" t="n">
        <v>10</v>
      </c>
      <c r="E3624" s="1" t="n">
        <v>0.09</v>
      </c>
      <c r="F3624" s="1" t="n">
        <v>0.63</v>
      </c>
      <c r="G3624" s="1" t="n">
        <v>0.1</v>
      </c>
      <c r="H3624" s="1" t="n">
        <v>927</v>
      </c>
      <c r="I3624" s="1" t="n">
        <v>0.07000000000000001</v>
      </c>
      <c r="J3624" t="n">
        <v>53109200</v>
      </c>
    </row>
    <row r="3625" ht="15.75" customHeight="1" s="201">
      <c r="A3625" s="1" t="inlineStr">
        <is>
          <t>Grapefruit, raw, pink and red, all areas</t>
        </is>
      </c>
      <c r="C3625" s="1" t="n">
        <v>10.66</v>
      </c>
      <c r="D3625" s="1" t="n">
        <v>13</v>
      </c>
      <c r="E3625" s="1" t="n">
        <v>0.08</v>
      </c>
      <c r="F3625" s="1" t="n">
        <v>0.77</v>
      </c>
      <c r="G3625" s="1" t="n">
        <v>0.14</v>
      </c>
      <c r="H3625" s="1" t="n">
        <v>1150</v>
      </c>
      <c r="I3625" s="1" t="n">
        <v>0.07000000000000001</v>
      </c>
      <c r="J3625" t="n">
        <v>61101010</v>
      </c>
    </row>
    <row r="3626" ht="15.75" customHeight="1" s="201">
      <c r="A3626" s="1" t="inlineStr">
        <is>
          <t>Grapefruit, raw, pink and red, California and Arizona</t>
        </is>
      </c>
      <c r="C3626" s="1" t="n">
        <v>9.69</v>
      </c>
      <c r="D3626" s="1" t="n">
        <v>12</v>
      </c>
      <c r="E3626" s="1" t="n">
        <v>0.08</v>
      </c>
      <c r="F3626" s="1" t="n">
        <v>0.5</v>
      </c>
      <c r="G3626" s="1" t="n">
        <v>0.1</v>
      </c>
      <c r="H3626" s="1" t="n">
        <v>259</v>
      </c>
      <c r="I3626" s="1" t="n">
        <v>0.07000000000000001</v>
      </c>
      <c r="J3626" t="n">
        <v>61101010</v>
      </c>
    </row>
    <row r="3627" ht="15.75" customHeight="1" s="201">
      <c r="A3627" s="1" t="inlineStr">
        <is>
          <t>Grapefruit, raw, pink and red, Florida</t>
        </is>
      </c>
      <c r="C3627" s="1" t="n">
        <v>7.5</v>
      </c>
      <c r="D3627" s="1" t="n">
        <v>9</v>
      </c>
      <c r="E3627" s="1" t="n">
        <v>0.12</v>
      </c>
      <c r="F3627" s="1" t="n">
        <v>0.55</v>
      </c>
      <c r="G3627" s="1" t="n">
        <v>0.1</v>
      </c>
      <c r="H3627" s="1" t="n">
        <v>259</v>
      </c>
      <c r="I3627" s="1" t="n">
        <v>0.07000000000000001</v>
      </c>
      <c r="J3627" t="n">
        <v>61201220</v>
      </c>
    </row>
    <row r="3628" ht="15.75" customHeight="1" s="201">
      <c r="A3628" s="1" t="inlineStr">
        <is>
          <t>Grapefruit, raw, white, all areas</t>
        </is>
      </c>
      <c r="C3628" s="1" t="n">
        <v>8.41</v>
      </c>
      <c r="D3628" s="1" t="n">
        <v>10</v>
      </c>
      <c r="E3628" s="1" t="n">
        <v>0.06</v>
      </c>
      <c r="F3628" s="1" t="n">
        <v>0.6899999999999999</v>
      </c>
      <c r="G3628" s="1" t="n">
        <v>0.1</v>
      </c>
      <c r="H3628" s="1" t="n">
        <v>33</v>
      </c>
      <c r="I3628" s="1" t="n">
        <v>0.07000000000000001</v>
      </c>
      <c r="J3628" t="n">
        <v>53109200</v>
      </c>
    </row>
    <row r="3629" ht="15.75" customHeight="1" s="201">
      <c r="A3629" s="1" t="inlineStr">
        <is>
          <t>Grapefruit, raw, white, California</t>
        </is>
      </c>
      <c r="C3629" s="1" t="n">
        <v>9.09</v>
      </c>
      <c r="D3629" s="1" t="n">
        <v>12</v>
      </c>
      <c r="E3629" s="1" t="n">
        <v>0.08</v>
      </c>
      <c r="F3629" s="1" t="n">
        <v>0.88</v>
      </c>
      <c r="G3629" s="1" t="n">
        <v>0.1</v>
      </c>
      <c r="H3629" s="1" t="n">
        <v>10</v>
      </c>
      <c r="I3629" s="1" t="n">
        <v>0.07000000000000001</v>
      </c>
      <c r="J3629" t="n">
        <v>53109200</v>
      </c>
    </row>
    <row r="3630" ht="15.75" customHeight="1" s="201">
      <c r="A3630" s="1" t="inlineStr">
        <is>
          <t>Grapefruit, raw, white, Florida</t>
        </is>
      </c>
      <c r="C3630" s="1" t="n">
        <v>8.19</v>
      </c>
      <c r="D3630" s="1" t="n">
        <v>9</v>
      </c>
      <c r="E3630" s="1" t="n">
        <v>0.05</v>
      </c>
      <c r="F3630" s="1" t="n">
        <v>0.63</v>
      </c>
      <c r="G3630" s="1" t="n">
        <v>0.1</v>
      </c>
      <c r="H3630" s="1" t="n">
        <v>10</v>
      </c>
      <c r="I3630" s="1" t="n">
        <v>0.07000000000000001</v>
      </c>
      <c r="J3630" t="n">
        <v>61201220</v>
      </c>
    </row>
    <row r="3631" ht="15.75" customHeight="1" s="201">
      <c r="A3631" s="1" t="inlineStr">
        <is>
          <t>Grapefruit, sections, canned, juice pack, solids and liquids</t>
        </is>
      </c>
      <c r="C3631" s="1" t="n">
        <v>9.210000000000001</v>
      </c>
      <c r="D3631" s="1" t="n">
        <v>9</v>
      </c>
      <c r="E3631" s="1" t="n">
        <v>0.21</v>
      </c>
      <c r="F3631" s="1" t="n">
        <v>0.7</v>
      </c>
      <c r="G3631" s="1" t="n">
        <v>0.09</v>
      </c>
      <c r="H3631" s="1" t="n">
        <v>0</v>
      </c>
      <c r="I3631" s="1" t="n">
        <v>0.08</v>
      </c>
      <c r="J3631" t="n">
        <v>64100110</v>
      </c>
    </row>
    <row r="3632" ht="15.75" customHeight="1" s="201">
      <c r="A3632" s="1" t="inlineStr">
        <is>
          <t>Grapefruit, sections, canned, light syrup pack, solids and liquids</t>
        </is>
      </c>
      <c r="C3632" s="1" t="n">
        <v>15.44</v>
      </c>
      <c r="D3632" s="1" t="n">
        <v>9</v>
      </c>
      <c r="E3632" s="1" t="n">
        <v>0.4</v>
      </c>
      <c r="F3632" s="1" t="n">
        <v>0.5600000000000001</v>
      </c>
      <c r="G3632" s="1" t="n">
        <v>0.1</v>
      </c>
      <c r="H3632" s="1" t="n">
        <v>0</v>
      </c>
      <c r="I3632" s="1" t="n">
        <v>0.08</v>
      </c>
      <c r="J3632" t="n">
        <v>27446245</v>
      </c>
    </row>
    <row r="3633" ht="15.75" customHeight="1" s="201">
      <c r="A3633" s="1" t="inlineStr">
        <is>
          <t>Grapefruit, sections, canned, water pack, solids and liquids</t>
        </is>
      </c>
      <c r="C3633" s="1" t="n">
        <v>9.15</v>
      </c>
      <c r="D3633" s="1" t="n">
        <v>9</v>
      </c>
      <c r="E3633" s="1" t="n">
        <v>0.41</v>
      </c>
      <c r="F3633" s="1" t="n">
        <v>0.58</v>
      </c>
      <c r="G3633" s="1" t="n">
        <v>0.1</v>
      </c>
      <c r="H3633" s="1" t="n">
        <v>0</v>
      </c>
      <c r="I3633" s="1" t="n">
        <v>0.09</v>
      </c>
      <c r="J3633" t="n">
        <v>11740312</v>
      </c>
    </row>
    <row r="3634" ht="15.75" customHeight="1" s="201">
      <c r="A3634" s="1" t="inlineStr">
        <is>
          <t>Grapefruits</t>
        </is>
      </c>
    </row>
    <row r="3635" ht="15.75" customHeight="1" s="201">
      <c r="A3635" s="1" t="inlineStr">
        <is>
          <t>Grapes, american type (slip skin), raw</t>
        </is>
      </c>
      <c r="C3635" s="1" t="n">
        <v>17.15</v>
      </c>
      <c r="D3635" s="1" t="n">
        <v>4</v>
      </c>
      <c r="E3635" s="1" t="n">
        <v>0.29</v>
      </c>
      <c r="F3635" s="1" t="n">
        <v>0.63</v>
      </c>
      <c r="G3635" s="1" t="n">
        <v>0.35</v>
      </c>
      <c r="H3635" s="1" t="n">
        <v>100</v>
      </c>
      <c r="I3635" s="1" t="n">
        <v>0.04</v>
      </c>
      <c r="J3635" t="n">
        <v>42303100</v>
      </c>
    </row>
    <row r="3636" ht="15.75" customHeight="1" s="201">
      <c r="A3636" s="1" t="inlineStr">
        <is>
          <t>Grapes, canned, thompson seedless, heavy syrup pack, solids and liquids</t>
        </is>
      </c>
      <c r="C3636" s="1" t="n">
        <v>19.65</v>
      </c>
      <c r="D3636" s="1" t="n">
        <v>3</v>
      </c>
      <c r="E3636" s="1" t="n">
        <v>0.9399999999999999</v>
      </c>
      <c r="F3636" s="1" t="n">
        <v>0.48</v>
      </c>
      <c r="G3636" s="1" t="n">
        <v>0.1</v>
      </c>
      <c r="H3636" s="1" t="n">
        <v>64</v>
      </c>
      <c r="I3636" s="1" t="n">
        <v>0.05</v>
      </c>
      <c r="J3636" t="n">
        <v>53109200</v>
      </c>
    </row>
    <row r="3637" ht="15.75" customHeight="1" s="201">
      <c r="A3637" s="1" t="inlineStr">
        <is>
          <t>Grapes, canned, thompson seedless, water pack, solids and liquids</t>
        </is>
      </c>
      <c r="C3637" s="1" t="n">
        <v>10.3</v>
      </c>
      <c r="D3637" s="1" t="n">
        <v>3</v>
      </c>
      <c r="E3637" s="1" t="n">
        <v>0.98</v>
      </c>
      <c r="F3637" s="1" t="n">
        <v>0.5</v>
      </c>
      <c r="G3637" s="1" t="n">
        <v>0.11</v>
      </c>
      <c r="H3637" s="1" t="n">
        <v>45</v>
      </c>
      <c r="I3637" s="1" t="n">
        <v>0.05</v>
      </c>
      <c r="J3637" t="n">
        <v>11740312</v>
      </c>
    </row>
    <row r="3638" ht="15.75" customHeight="1" s="201">
      <c r="A3638" s="1" t="inlineStr">
        <is>
          <t>Grapes, muscadine, raw</t>
        </is>
      </c>
      <c r="C3638" s="1" t="n">
        <v>13.93</v>
      </c>
      <c r="D3638" s="1" t="n">
        <v>2</v>
      </c>
      <c r="E3638" s="1" t="n">
        <v>0.26</v>
      </c>
      <c r="F3638" s="1" t="n">
        <v>0.8100000000000001</v>
      </c>
      <c r="G3638" s="1" t="n">
        <v>0.47</v>
      </c>
      <c r="H3638" s="1" t="n">
        <v>67</v>
      </c>
      <c r="I3638" s="1" t="n">
        <v>0.11</v>
      </c>
      <c r="J3638" t="n">
        <v>63123000</v>
      </c>
    </row>
    <row r="3639" ht="15.75" customHeight="1" s="201">
      <c r="A3639" s="1" t="inlineStr">
        <is>
          <t>Grapes, red or green (European type, such as Thompson seedless), raw</t>
        </is>
      </c>
      <c r="C3639" s="1" t="n">
        <v>18.1</v>
      </c>
      <c r="D3639" s="1" t="n">
        <v>2</v>
      </c>
      <c r="E3639" s="1" t="n">
        <v>0.36</v>
      </c>
      <c r="F3639" s="1" t="n">
        <v>0.72</v>
      </c>
      <c r="G3639" s="1" t="n">
        <v>0.16</v>
      </c>
      <c r="H3639" s="1" t="n">
        <v>66</v>
      </c>
      <c r="I3639" s="1" t="n">
        <v>0.07000000000000001</v>
      </c>
    </row>
    <row r="3640" ht="15.75" customHeight="1" s="201">
      <c r="A3640" s="1" t="inlineStr">
        <is>
          <t>Grapes</t>
        </is>
      </c>
      <c r="J3640" t="n">
        <v>63123000</v>
      </c>
    </row>
    <row r="3641" ht="15.75" customHeight="1" s="201">
      <c r="A3641" s="1" t="inlineStr">
        <is>
          <t>Gravy, au jus, canned</t>
        </is>
      </c>
      <c r="C3641" s="1" t="n">
        <v>2.5</v>
      </c>
      <c r="D3641" s="1" t="n">
        <v>2</v>
      </c>
      <c r="E3641" s="1" t="n">
        <v>0.6</v>
      </c>
      <c r="F3641" s="1" t="n">
        <v>1.2</v>
      </c>
      <c r="G3641" s="1" t="n">
        <v>0.2</v>
      </c>
      <c r="H3641" s="1" t="n">
        <v>0</v>
      </c>
      <c r="I3641" s="1" t="n">
        <v>1</v>
      </c>
      <c r="J3641" t="n">
        <v>28110510</v>
      </c>
    </row>
    <row r="3642" ht="15.75" customHeight="1" s="201">
      <c r="A3642" s="1" t="inlineStr">
        <is>
          <t>Gravy, au jus, dry</t>
        </is>
      </c>
      <c r="C3642" s="1" t="n">
        <v>47.49</v>
      </c>
      <c r="D3642" s="1" t="n">
        <v>81</v>
      </c>
      <c r="E3642" s="1" t="n">
        <v>9.300000000000001</v>
      </c>
      <c r="F3642" s="1" t="n">
        <v>9.199999999999999</v>
      </c>
      <c r="G3642" s="1" t="n">
        <v>9.630000000000001</v>
      </c>
      <c r="H3642" s="1" t="n">
        <v>10</v>
      </c>
      <c r="I3642" s="1" t="n">
        <v>0.7</v>
      </c>
      <c r="J3642" t="n">
        <v>28110510</v>
      </c>
    </row>
    <row r="3643" ht="15.75" customHeight="1" s="201">
      <c r="A3643" s="1" t="inlineStr">
        <is>
          <t>Gravy, beef, canned, ready-to-serve</t>
        </is>
      </c>
      <c r="C3643" s="1" t="n">
        <v>4.81</v>
      </c>
      <c r="D3643" s="1" t="n">
        <v>2</v>
      </c>
      <c r="E3643" s="1" t="n">
        <v>0.7</v>
      </c>
      <c r="F3643" s="1" t="n">
        <v>3.75</v>
      </c>
      <c r="G3643" s="1" t="n">
        <v>2.36</v>
      </c>
      <c r="H3643" s="1" t="n">
        <v>3</v>
      </c>
      <c r="I3643" s="1" t="n">
        <v>1</v>
      </c>
      <c r="J3643" t="n">
        <v>28110510</v>
      </c>
    </row>
    <row r="3644" ht="15.75" customHeight="1" s="201">
      <c r="A3644" s="1" t="inlineStr">
        <is>
          <t>Gravy, beef</t>
        </is>
      </c>
      <c r="J3644" t="n">
        <v>28110510</v>
      </c>
    </row>
    <row r="3645" ht="15.75" customHeight="1" s="201">
      <c r="A3645" s="1" t="inlineStr">
        <is>
          <t>Gravy, brown instant, dry</t>
        </is>
      </c>
      <c r="C3645" s="1" t="n">
        <v>59.78</v>
      </c>
      <c r="D3645" s="1" t="n">
        <v>69</v>
      </c>
      <c r="E3645" s="1" t="n">
        <v>7.4</v>
      </c>
      <c r="F3645" s="1" t="n">
        <v>8.529999999999999</v>
      </c>
      <c r="G3645" s="1" t="n">
        <v>11.85</v>
      </c>
      <c r="H3645" s="1" t="n">
        <v>1</v>
      </c>
      <c r="I3645" s="1" t="n">
        <v>0.96</v>
      </c>
      <c r="J3645" t="n">
        <v>28110510</v>
      </c>
    </row>
    <row r="3646" ht="15.75" customHeight="1" s="201">
      <c r="A3646" s="1" t="inlineStr">
        <is>
          <t>Gravy, brown, dry</t>
        </is>
      </c>
      <c r="C3646" s="1" t="n">
        <v>59.38</v>
      </c>
      <c r="D3646" s="1" t="n">
        <v>31</v>
      </c>
      <c r="E3646" s="1" t="n">
        <v>1.72</v>
      </c>
      <c r="F3646" s="1" t="n">
        <v>10.74</v>
      </c>
      <c r="G3646" s="1" t="n">
        <v>9.609999999999999</v>
      </c>
      <c r="H3646" s="1" t="n">
        <v>27</v>
      </c>
      <c r="I3646" s="1" t="n">
        <v>1.11</v>
      </c>
      <c r="J3646" t="n">
        <v>28110510</v>
      </c>
    </row>
    <row r="3647" ht="15.75" customHeight="1" s="201">
      <c r="A3647" s="1" t="inlineStr">
        <is>
          <t>Gravy, chicken</t>
        </is>
      </c>
      <c r="J3647" t="n">
        <v>27446315</v>
      </c>
    </row>
    <row r="3648" ht="15.75" customHeight="1" s="201">
      <c r="A3648" s="1" t="inlineStr">
        <is>
          <t>Gravy, CAMPBELL'S, chicken</t>
        </is>
      </c>
      <c r="C3648" s="1" t="n">
        <v>5.87</v>
      </c>
      <c r="E3648" s="1" t="n">
        <v>0.12</v>
      </c>
      <c r="F3648" s="1" t="n">
        <v>0.79</v>
      </c>
      <c r="G3648" s="1" t="n">
        <v>2.73</v>
      </c>
      <c r="I3648" s="1" t="n">
        <v>0.09</v>
      </c>
      <c r="J3648" t="n">
        <v>27446315</v>
      </c>
    </row>
    <row r="3649" ht="15.75" customHeight="1" s="201">
      <c r="A3649" s="1" t="inlineStr">
        <is>
          <t>Gravy, chicken, canned or bottled, ready-to-serve</t>
        </is>
      </c>
      <c r="C3649" s="1" t="n">
        <v>5.29</v>
      </c>
      <c r="D3649" s="1" t="n">
        <v>2</v>
      </c>
      <c r="E3649" s="1" t="n">
        <v>0.09</v>
      </c>
      <c r="F3649" s="1" t="n">
        <v>0.71</v>
      </c>
      <c r="G3649" s="1" t="n">
        <v>2.62</v>
      </c>
      <c r="H3649" s="1" t="n">
        <v>3</v>
      </c>
      <c r="I3649" s="1" t="n">
        <v>0.08</v>
      </c>
      <c r="J3649" t="n">
        <v>27446315</v>
      </c>
    </row>
    <row r="3650" ht="15.75" customHeight="1" s="201">
      <c r="A3650" s="1" t="inlineStr">
        <is>
          <t>Gravy, chicken, dry</t>
        </is>
      </c>
      <c r="C3650" s="1" t="n">
        <v>62.09</v>
      </c>
      <c r="D3650" s="1" t="n">
        <v>125</v>
      </c>
      <c r="E3650" s="1" t="n">
        <v>1.33</v>
      </c>
      <c r="F3650" s="1" t="n">
        <v>11.27</v>
      </c>
      <c r="G3650" s="1" t="n">
        <v>9.73</v>
      </c>
      <c r="H3650" s="1" t="n">
        <v>308</v>
      </c>
      <c r="I3650" s="1" t="n">
        <v>1.39</v>
      </c>
      <c r="J3650" t="n">
        <v>27446315</v>
      </c>
    </row>
    <row r="3651" ht="15.75" customHeight="1" s="201">
      <c r="A3651" s="1" t="inlineStr">
        <is>
          <t>Gravy, HEINZ Home Style, classic chicken</t>
        </is>
      </c>
      <c r="C3651" s="1" t="n">
        <v>5.01</v>
      </c>
      <c r="E3651" s="1" t="n">
        <v>0.07000000000000001</v>
      </c>
      <c r="F3651" s="1" t="n">
        <v>0.67</v>
      </c>
      <c r="G3651" s="1" t="n">
        <v>2.57</v>
      </c>
      <c r="I3651" s="1" t="n">
        <v>0.08</v>
      </c>
      <c r="J3651" t="n">
        <v>27446315</v>
      </c>
    </row>
    <row r="3652" ht="15.75" customHeight="1" s="201">
      <c r="A3652" s="1" t="inlineStr">
        <is>
          <t>Gravy, HEINZ Home Style, savory beef</t>
        </is>
      </c>
      <c r="C3652" s="1" t="n">
        <v>6.24</v>
      </c>
      <c r="D3652" s="1" t="n">
        <v>4</v>
      </c>
      <c r="E3652" s="1" t="n">
        <v>0.13</v>
      </c>
      <c r="F3652" s="1" t="n">
        <v>1.09</v>
      </c>
      <c r="G3652" s="1" t="n">
        <v>1.13</v>
      </c>
      <c r="I3652" s="1" t="n">
        <v>0.15</v>
      </c>
      <c r="J3652" t="n">
        <v>28110510</v>
      </c>
    </row>
    <row r="3653" ht="15.75" customHeight="1" s="201">
      <c r="A3653" s="1" t="inlineStr">
        <is>
          <t>Gravy, instant beef, dry</t>
        </is>
      </c>
      <c r="C3653" s="1" t="n">
        <v>61.1</v>
      </c>
      <c r="D3653" s="1" t="n">
        <v>34</v>
      </c>
      <c r="E3653" s="1" t="n">
        <v>6.27</v>
      </c>
      <c r="F3653" s="1" t="n">
        <v>9.800000000000001</v>
      </c>
      <c r="G3653" s="1" t="n">
        <v>9.48</v>
      </c>
      <c r="H3653" s="1" t="n">
        <v>8</v>
      </c>
      <c r="I3653" s="1" t="n">
        <v>0.76</v>
      </c>
      <c r="J3653" t="n">
        <v>28110510</v>
      </c>
    </row>
    <row r="3654" ht="15.75" customHeight="1" s="201">
      <c r="A3654" s="1" t="inlineStr">
        <is>
          <t>Gravy, instant turkey, dry</t>
        </is>
      </c>
      <c r="C3654" s="1" t="n">
        <v>57.56</v>
      </c>
      <c r="D3654" s="1" t="n">
        <v>45</v>
      </c>
      <c r="E3654" s="1" t="n">
        <v>9.57</v>
      </c>
      <c r="F3654" s="1" t="n">
        <v>11.72</v>
      </c>
      <c r="G3654" s="1" t="n">
        <v>14.66</v>
      </c>
      <c r="H3654" s="1" t="n">
        <v>63</v>
      </c>
      <c r="I3654" s="1" t="n">
        <v>1.13</v>
      </c>
      <c r="J3654" t="n">
        <v>28145110</v>
      </c>
    </row>
    <row r="3655" ht="15.75" customHeight="1" s="201">
      <c r="A3655" s="1" t="inlineStr">
        <is>
          <t>Gravy, meat or poultry, low sodium, prepared</t>
        </is>
      </c>
      <c r="C3655" s="1" t="n">
        <v>6.16</v>
      </c>
      <c r="D3655" s="1" t="n">
        <v>25</v>
      </c>
      <c r="E3655" s="1" t="n">
        <v>0.7</v>
      </c>
      <c r="F3655" s="1" t="n">
        <v>3.8</v>
      </c>
      <c r="G3655" s="1" t="n">
        <v>2.4</v>
      </c>
      <c r="H3655" s="1" t="n">
        <v>0</v>
      </c>
      <c r="I3655" s="1" t="n">
        <v>1</v>
      </c>
      <c r="J3655" t="n">
        <v>54204030</v>
      </c>
    </row>
    <row r="3656" ht="15.75" customHeight="1" s="201">
      <c r="A3656" s="1" t="inlineStr">
        <is>
          <t>Gravy, mushroom, canned</t>
        </is>
      </c>
      <c r="C3656" s="1" t="n">
        <v>5.47</v>
      </c>
      <c r="D3656" s="1" t="n">
        <v>12</v>
      </c>
      <c r="E3656" s="1" t="n">
        <v>0.66</v>
      </c>
      <c r="F3656" s="1" t="n">
        <v>1.26</v>
      </c>
      <c r="G3656" s="1" t="n">
        <v>2.71</v>
      </c>
      <c r="H3656" s="1" t="n">
        <v>0</v>
      </c>
      <c r="I3656" s="1" t="n">
        <v>0.7</v>
      </c>
      <c r="J3656" t="n">
        <v>28110510</v>
      </c>
    </row>
    <row r="3657" ht="15.75" customHeight="1" s="201">
      <c r="A3657" s="1" t="inlineStr">
        <is>
          <t>Gravy, mushroom, dry, powder</t>
        </is>
      </c>
      <c r="C3657" s="1" t="n">
        <v>64.66</v>
      </c>
      <c r="D3657" s="1" t="n">
        <v>31</v>
      </c>
      <c r="E3657" s="1" t="n">
        <v>1</v>
      </c>
      <c r="F3657" s="1" t="n">
        <v>10</v>
      </c>
      <c r="G3657" s="1" t="n">
        <v>4</v>
      </c>
      <c r="H3657" s="1" t="n">
        <v>1</v>
      </c>
      <c r="I3657" s="1" t="n">
        <v>1.54</v>
      </c>
      <c r="J3657" t="n">
        <v>28110510</v>
      </c>
    </row>
    <row r="3658" ht="15.75" customHeight="1" s="201">
      <c r="A3658" s="1" t="inlineStr">
        <is>
          <t>Gravy, onion, dry, mix</t>
        </is>
      </c>
      <c r="C3658" s="1" t="n">
        <v>67.64</v>
      </c>
      <c r="D3658" s="1" t="n">
        <v>31</v>
      </c>
      <c r="E3658" s="1" t="n">
        <v>1</v>
      </c>
      <c r="F3658" s="1" t="n">
        <v>9</v>
      </c>
      <c r="G3658" s="1" t="n">
        <v>3</v>
      </c>
      <c r="H3658" s="1" t="n">
        <v>0</v>
      </c>
      <c r="I3658" s="1" t="n">
        <v>0.88</v>
      </c>
      <c r="J3658" t="n">
        <v>11440030</v>
      </c>
    </row>
    <row r="3659" ht="15.75" customHeight="1" s="201">
      <c r="A3659" s="1" t="inlineStr">
        <is>
          <t>Gravy, pork, dry, powder</t>
        </is>
      </c>
      <c r="C3659" s="1" t="n">
        <v>63.57</v>
      </c>
      <c r="D3659" s="1" t="n">
        <v>31</v>
      </c>
      <c r="E3659" s="1" t="n">
        <v>3.94</v>
      </c>
      <c r="F3659" s="1" t="n">
        <v>8.779999999999999</v>
      </c>
      <c r="G3659" s="1" t="n">
        <v>8.630000000000001</v>
      </c>
      <c r="H3659" s="1" t="n">
        <v>117</v>
      </c>
      <c r="I3659" s="1" t="n">
        <v>1.06</v>
      </c>
      <c r="J3659" t="n">
        <v>28110510</v>
      </c>
    </row>
    <row r="3660" ht="15.75" customHeight="1" s="201">
      <c r="A3660" s="1" t="inlineStr">
        <is>
          <t>Gravy, turkey, canned, ready-to-serve</t>
        </is>
      </c>
      <c r="C3660" s="1" t="n">
        <v>5.1</v>
      </c>
      <c r="D3660" s="1" t="n">
        <v>2</v>
      </c>
      <c r="E3660" s="1" t="n">
        <v>0.7</v>
      </c>
      <c r="F3660" s="1" t="n">
        <v>2.6</v>
      </c>
      <c r="G3660" s="1" t="n">
        <v>2.1</v>
      </c>
      <c r="H3660" s="1" t="n">
        <v>0</v>
      </c>
      <c r="I3660" s="1" t="n">
        <v>0.8</v>
      </c>
      <c r="J3660" t="n">
        <v>75651010</v>
      </c>
    </row>
    <row r="3661" ht="15.75" customHeight="1" s="201">
      <c r="A3661" s="1" t="inlineStr">
        <is>
          <t>Gravy, turkey, dry</t>
        </is>
      </c>
      <c r="C3661" s="1" t="n">
        <v>65.12</v>
      </c>
      <c r="D3661" s="1" t="n">
        <v>82</v>
      </c>
      <c r="E3661" s="1" t="n">
        <v>3.29</v>
      </c>
      <c r="F3661" s="1" t="n">
        <v>10.42</v>
      </c>
      <c r="G3661" s="1" t="n">
        <v>7.19</v>
      </c>
      <c r="H3661" s="1" t="n">
        <v>35</v>
      </c>
      <c r="I3661" s="1" t="n">
        <v>1.26</v>
      </c>
      <c r="J3661" t="n">
        <v>28145110</v>
      </c>
    </row>
    <row r="3662" ht="15.75" customHeight="1" s="201">
      <c r="A3662" s="1" t="inlineStr">
        <is>
          <t>Gravy, unspecified type, dry</t>
        </is>
      </c>
      <c r="C3662" s="1" t="n">
        <v>58</v>
      </c>
      <c r="D3662" s="1" t="n">
        <v>31</v>
      </c>
      <c r="E3662" s="1" t="n">
        <v>1</v>
      </c>
      <c r="F3662" s="1" t="n">
        <v>13</v>
      </c>
      <c r="G3662" s="1" t="n">
        <v>8</v>
      </c>
      <c r="H3662" s="1" t="n">
        <v>0</v>
      </c>
      <c r="I3662" s="1" t="n">
        <v>1.4</v>
      </c>
      <c r="J3662" t="n">
        <v>28110510</v>
      </c>
    </row>
    <row r="3663" ht="15.75" customHeight="1" s="201">
      <c r="A3663" s="1" t="inlineStr">
        <is>
          <t>Groundcherries, (cape-gooseberries or poha), raw</t>
        </is>
      </c>
      <c r="C3663" s="1" t="n">
        <v>11.2</v>
      </c>
      <c r="E3663" s="1" t="n">
        <v>1</v>
      </c>
      <c r="F3663" s="1" t="n">
        <v>1.9</v>
      </c>
      <c r="G3663" s="1" t="n">
        <v>0.7</v>
      </c>
      <c r="H3663" s="1" t="n">
        <v>720</v>
      </c>
      <c r="J3663" t="n">
        <v>93301032</v>
      </c>
    </row>
    <row r="3664" ht="15.75" customHeight="1" s="201">
      <c r="A3664" s="1" t="inlineStr">
        <is>
          <t>Guanabana nectar, canned</t>
        </is>
      </c>
      <c r="C3664" s="1" t="n">
        <v>14.93</v>
      </c>
      <c r="D3664" s="1" t="n">
        <v>6</v>
      </c>
      <c r="E3664" s="1" t="n">
        <v>0.36</v>
      </c>
      <c r="F3664" s="1" t="n">
        <v>0.11</v>
      </c>
      <c r="G3664" s="1" t="n">
        <v>0.17</v>
      </c>
      <c r="H3664" s="1" t="n">
        <v>0</v>
      </c>
      <c r="I3664" s="1" t="n">
        <v>0.02</v>
      </c>
      <c r="J3664" t="n">
        <v>63311110</v>
      </c>
    </row>
    <row r="3665" ht="15.75" customHeight="1" s="201">
      <c r="A3665" s="1" t="inlineStr">
        <is>
          <t>Guava nectar, canned, with added ascorbic acid</t>
        </is>
      </c>
      <c r="C3665" s="1" t="n">
        <v>16.25</v>
      </c>
      <c r="D3665" s="1" t="n">
        <v>3</v>
      </c>
      <c r="E3665" s="1" t="n">
        <v>0.38</v>
      </c>
      <c r="F3665" s="1" t="n">
        <v>0.09</v>
      </c>
      <c r="G3665" s="1" t="n">
        <v>0.06</v>
      </c>
      <c r="H3665" s="1" t="n">
        <v>106</v>
      </c>
      <c r="I3665" s="1" t="n">
        <v>0.03</v>
      </c>
      <c r="J3665" t="n">
        <v>75142550</v>
      </c>
    </row>
    <row r="3666" ht="15.75" customHeight="1" s="201">
      <c r="A3666" s="1" t="inlineStr">
        <is>
          <t>Guava nectar, with sucralose, canned</t>
        </is>
      </c>
      <c r="C3666" s="1" t="n">
        <v>13.3</v>
      </c>
      <c r="D3666" s="1" t="n">
        <v>4</v>
      </c>
      <c r="E3666" s="1" t="n">
        <v>0.54</v>
      </c>
      <c r="F3666" s="1" t="n">
        <v>0.3</v>
      </c>
      <c r="G3666" s="1" t="n">
        <v>0.07000000000000001</v>
      </c>
      <c r="H3666" s="1" t="n">
        <v>49</v>
      </c>
      <c r="I3666" s="1" t="n">
        <v>0.02</v>
      </c>
      <c r="J3666" t="n">
        <v>75142550</v>
      </c>
    </row>
    <row r="3667" ht="15.75" customHeight="1" s="201">
      <c r="A3667" s="1" t="inlineStr">
        <is>
          <t>Guava sauce, cooked</t>
        </is>
      </c>
      <c r="C3667" s="1" t="n">
        <v>9.48</v>
      </c>
      <c r="D3667" s="1" t="n">
        <v>5</v>
      </c>
      <c r="E3667" s="1" t="n">
        <v>0.18</v>
      </c>
      <c r="F3667" s="1" t="n">
        <v>0.32</v>
      </c>
      <c r="G3667" s="1" t="n">
        <v>0.14</v>
      </c>
      <c r="H3667" s="1" t="n">
        <v>283</v>
      </c>
      <c r="I3667" s="1" t="n">
        <v>0.17</v>
      </c>
      <c r="J3667" t="n">
        <v>58146361</v>
      </c>
    </row>
    <row r="3668" ht="15.75" customHeight="1" s="201">
      <c r="A3668" s="1" t="inlineStr">
        <is>
          <t>Guavas, common, raw</t>
        </is>
      </c>
      <c r="C3668" s="1" t="n">
        <v>14.32</v>
      </c>
      <c r="D3668" s="1" t="n">
        <v>49</v>
      </c>
      <c r="E3668" s="1" t="n">
        <v>0.26</v>
      </c>
      <c r="F3668" s="1" t="n">
        <v>2.55</v>
      </c>
      <c r="G3668" s="1" t="n">
        <v>0.95</v>
      </c>
      <c r="H3668" s="1" t="n">
        <v>624</v>
      </c>
      <c r="I3668" s="1" t="n">
        <v>0.23</v>
      </c>
    </row>
    <row r="3669" ht="15.75" customHeight="1" s="201">
      <c r="A3669" s="1" t="inlineStr">
        <is>
          <t>Guavas, strawberry, raw</t>
        </is>
      </c>
      <c r="C3669" s="1" t="n">
        <v>17.36</v>
      </c>
      <c r="E3669" s="1" t="n">
        <v>0.22</v>
      </c>
      <c r="F3669" s="1" t="n">
        <v>0.58</v>
      </c>
      <c r="G3669" s="1" t="n">
        <v>0.6</v>
      </c>
      <c r="H3669" s="1" t="n">
        <v>90</v>
      </c>
      <c r="J3669" t="n">
        <v>53109200</v>
      </c>
    </row>
    <row r="3670" ht="15.75" customHeight="1" s="201">
      <c r="A3670" s="1" t="inlineStr">
        <is>
          <t>Guinea hen, meat and skin, raw</t>
        </is>
      </c>
      <c r="C3670" s="1" t="n">
        <v>0</v>
      </c>
      <c r="D3670" s="1" t="n">
        <v>5</v>
      </c>
      <c r="E3670" s="1" t="n">
        <v>0.84</v>
      </c>
      <c r="F3670" s="1" t="n">
        <v>23.4</v>
      </c>
      <c r="G3670" s="1" t="n">
        <v>6.45</v>
      </c>
      <c r="H3670" s="1" t="n">
        <v>92</v>
      </c>
      <c r="I3670" s="1" t="n">
        <v>1.13</v>
      </c>
      <c r="J3670" t="n">
        <v>14620320</v>
      </c>
    </row>
    <row r="3671" ht="15.75" customHeight="1" s="201">
      <c r="A3671" s="1" t="inlineStr">
        <is>
          <t>Guinea hen, meat only, raw</t>
        </is>
      </c>
      <c r="C3671" s="1" t="n">
        <v>0</v>
      </c>
      <c r="D3671" s="1" t="n">
        <v>6</v>
      </c>
      <c r="E3671" s="1" t="n">
        <v>0.77</v>
      </c>
      <c r="F3671" s="1" t="n">
        <v>20.64</v>
      </c>
      <c r="G3671" s="1" t="n">
        <v>2.47</v>
      </c>
      <c r="H3671" s="1" t="n">
        <v>41</v>
      </c>
      <c r="I3671" s="1" t="n">
        <v>1.2</v>
      </c>
      <c r="J3671" t="n">
        <v>14620320</v>
      </c>
    </row>
    <row r="3672" ht="15.75" customHeight="1" s="201">
      <c r="A3672" s="1" t="inlineStr">
        <is>
          <t>Gums, seed gums (includes locust bean, guar)</t>
        </is>
      </c>
      <c r="C3672" s="1" t="n">
        <v>77.3</v>
      </c>
      <c r="D3672" s="1" t="n">
        <v>0</v>
      </c>
      <c r="E3672" s="1" t="n">
        <v>0</v>
      </c>
      <c r="F3672" s="1" t="n">
        <v>4.6</v>
      </c>
      <c r="G3672" s="1" t="n">
        <v>0.5</v>
      </c>
      <c r="H3672" s="1" t="n">
        <v>0</v>
      </c>
      <c r="I3672" s="1" t="n">
        <v>0</v>
      </c>
      <c r="J3672" t="n">
        <v>41205050</v>
      </c>
    </row>
    <row r="3673" ht="15.75" customHeight="1" s="201">
      <c r="A3673" s="1" t="inlineStr">
        <is>
          <t>Ham and cheese loaf or roll</t>
        </is>
      </c>
      <c r="C3673" s="1" t="n">
        <v>4</v>
      </c>
      <c r="D3673" s="1" t="n">
        <v>3</v>
      </c>
      <c r="E3673" s="1" t="n">
        <v>0.91</v>
      </c>
      <c r="F3673" s="1" t="n">
        <v>13.6</v>
      </c>
      <c r="G3673" s="1" t="n">
        <v>18.7</v>
      </c>
      <c r="H3673" s="1" t="n">
        <v>0</v>
      </c>
      <c r="I3673" s="1" t="n">
        <v>2</v>
      </c>
      <c r="J3673" t="n">
        <v>51150000</v>
      </c>
    </row>
    <row r="3674" ht="15.75" customHeight="1" s="201">
      <c r="A3674" s="1" t="inlineStr">
        <is>
          <t>Ham and cheese spread</t>
        </is>
      </c>
      <c r="C3674" s="1" t="n">
        <v>2.28</v>
      </c>
      <c r="D3674" s="1" t="n">
        <v>3</v>
      </c>
      <c r="E3674" s="1" t="n">
        <v>0.76</v>
      </c>
      <c r="F3674" s="1" t="n">
        <v>16.18</v>
      </c>
      <c r="G3674" s="1" t="n">
        <v>18.53</v>
      </c>
      <c r="H3674" s="1" t="n">
        <v>304</v>
      </c>
      <c r="I3674" s="1" t="n">
        <v>2.25</v>
      </c>
      <c r="J3674" t="n">
        <v>14420100</v>
      </c>
    </row>
    <row r="3675" ht="15.75" customHeight="1" s="201">
      <c r="A3675" s="1" t="inlineStr">
        <is>
          <t>Ham salad spread</t>
        </is>
      </c>
      <c r="C3675" s="1" t="n">
        <v>10.64</v>
      </c>
      <c r="D3675" s="1" t="n">
        <v>1</v>
      </c>
      <c r="E3675" s="1" t="n">
        <v>0.59</v>
      </c>
      <c r="F3675" s="1" t="n">
        <v>8.68</v>
      </c>
      <c r="G3675" s="1" t="n">
        <v>15.53</v>
      </c>
      <c r="H3675" s="1" t="n">
        <v>0</v>
      </c>
      <c r="I3675" s="1" t="n">
        <v>1.1</v>
      </c>
      <c r="J3675" t="n">
        <v>25240220</v>
      </c>
    </row>
    <row r="3676" ht="15.75" customHeight="1" s="201">
      <c r="A3676" s="1" t="inlineStr">
        <is>
          <t>Ham, chopped, canned</t>
        </is>
      </c>
      <c r="C3676" s="1" t="n">
        <v>0.26</v>
      </c>
      <c r="D3676" s="1" t="n">
        <v>1</v>
      </c>
      <c r="E3676" s="1" t="n">
        <v>0.95</v>
      </c>
      <c r="F3676" s="1" t="n">
        <v>16.06</v>
      </c>
      <c r="G3676" s="1" t="n">
        <v>18.83</v>
      </c>
      <c r="H3676" s="1" t="n">
        <v>0</v>
      </c>
      <c r="I3676" s="1" t="n">
        <v>1.83</v>
      </c>
      <c r="J3676" t="n">
        <v>28110220</v>
      </c>
    </row>
    <row r="3677" ht="15.75" customHeight="1" s="201">
      <c r="A3677" s="1" t="inlineStr">
        <is>
          <t>Ham, chopped, not canned</t>
        </is>
      </c>
      <c r="C3677" s="1" t="n">
        <v>0</v>
      </c>
      <c r="D3677" s="1" t="n">
        <v>1</v>
      </c>
      <c r="E3677" s="1" t="n">
        <v>0.83</v>
      </c>
      <c r="F3677" s="1" t="n">
        <v>16.5</v>
      </c>
      <c r="G3677" s="1" t="n">
        <v>16.7</v>
      </c>
      <c r="H3677" s="1" t="n">
        <v>0</v>
      </c>
      <c r="I3677" s="1" t="n">
        <v>1.94</v>
      </c>
      <c r="J3677" t="n">
        <v>28110220</v>
      </c>
    </row>
    <row r="3678" ht="15.75" customHeight="1" s="201">
      <c r="A3678" s="1" t="inlineStr">
        <is>
          <t>Ham, honey, smoked, cooked</t>
        </is>
      </c>
      <c r="C3678" s="1" t="n">
        <v>7.27</v>
      </c>
      <c r="D3678" s="1" t="n">
        <v>2</v>
      </c>
      <c r="E3678" s="1" t="n">
        <v>0.39</v>
      </c>
      <c r="F3678" s="1" t="n">
        <v>17.93</v>
      </c>
      <c r="G3678" s="1" t="n">
        <v>2.37</v>
      </c>
      <c r="H3678" s="1" t="n">
        <v>0</v>
      </c>
      <c r="I3678" s="1" t="n">
        <v>0.91</v>
      </c>
      <c r="J3678" t="n">
        <v>57237100</v>
      </c>
    </row>
    <row r="3679" ht="15.75" customHeight="1" s="201">
      <c r="A3679" s="1" t="inlineStr">
        <is>
          <t>Ham</t>
        </is>
      </c>
    </row>
    <row r="3680" ht="15.75" customHeight="1" s="201">
      <c r="A3680" s="1" t="inlineStr">
        <is>
          <t>Ham, minced</t>
        </is>
      </c>
      <c r="C3680" s="1" t="n">
        <v>1.84</v>
      </c>
      <c r="D3680" s="1" t="n">
        <v>1</v>
      </c>
      <c r="E3680" s="1" t="n">
        <v>0.79</v>
      </c>
      <c r="F3680" s="1" t="n">
        <v>16.28</v>
      </c>
      <c r="G3680" s="1" t="n">
        <v>20.68</v>
      </c>
      <c r="H3680" s="1" t="n">
        <v>0</v>
      </c>
      <c r="I3680" s="1" t="n">
        <v>1.9</v>
      </c>
      <c r="J3680" t="n">
        <v>25230420</v>
      </c>
    </row>
    <row r="3681" ht="15.75" customHeight="1" s="201">
      <c r="A3681" s="1" t="inlineStr">
        <is>
          <t>Ham, sliced, pre-packaged, deli meat (96%fat free, water added)</t>
        </is>
      </c>
      <c r="C3681" s="1" t="n">
        <v>0.7</v>
      </c>
      <c r="D3681" s="1" t="n">
        <v>0</v>
      </c>
      <c r="E3681" s="1" t="n">
        <v>0.59</v>
      </c>
      <c r="F3681" s="1" t="n">
        <v>16.85</v>
      </c>
      <c r="G3681" s="1" t="n">
        <v>4.04</v>
      </c>
      <c r="H3681" s="1" t="n">
        <v>0</v>
      </c>
      <c r="I3681" s="1" t="n">
        <v>1.51</v>
      </c>
      <c r="J3681" t="n">
        <v>27446260</v>
      </c>
    </row>
    <row r="3682" ht="15.75" customHeight="1" s="201">
      <c r="A3682" s="1" t="inlineStr">
        <is>
          <t>Ham, sliced, regular (approximately 11% fat)</t>
        </is>
      </c>
      <c r="C3682" s="1" t="n">
        <v>3.63</v>
      </c>
      <c r="D3682" s="1" t="n">
        <v>7</v>
      </c>
      <c r="E3682" s="1" t="n">
        <v>1.02</v>
      </c>
      <c r="F3682" s="1" t="n">
        <v>16.6</v>
      </c>
      <c r="G3682" s="1" t="n">
        <v>8.800000000000001</v>
      </c>
      <c r="H3682" s="1" t="n">
        <v>0</v>
      </c>
      <c r="I3682" s="1" t="n">
        <v>1.35</v>
      </c>
      <c r="J3682" t="n">
        <v>51101000</v>
      </c>
    </row>
    <row r="3683" ht="15.75" customHeight="1" s="201">
      <c r="A3683" s="1" t="inlineStr">
        <is>
          <t>Ham, smoked, extra lean, low sodium</t>
        </is>
      </c>
      <c r="C3683" s="1" t="n">
        <v>10.7</v>
      </c>
      <c r="D3683" s="1" t="n">
        <v>2</v>
      </c>
      <c r="E3683" s="1" t="n">
        <v>0.76</v>
      </c>
      <c r="F3683" s="1" t="n">
        <v>18.52</v>
      </c>
      <c r="G3683" s="1" t="n">
        <v>2.71</v>
      </c>
      <c r="H3683" s="1" t="n">
        <v>39</v>
      </c>
      <c r="I3683" s="1" t="n">
        <v>1.78</v>
      </c>
      <c r="J3683" t="n">
        <v>54204030</v>
      </c>
    </row>
    <row r="3684" ht="15.75" customHeight="1" s="201">
      <c r="A3684" s="1" t="inlineStr">
        <is>
          <t>Ham, turkey, sliced, extra lean, prepackaged or deli</t>
        </is>
      </c>
      <c r="C3684" s="1" t="n">
        <v>0.93</v>
      </c>
      <c r="D3684" s="1" t="n">
        <v>6</v>
      </c>
      <c r="E3684" s="1" t="n">
        <v>1.35</v>
      </c>
      <c r="F3684" s="1" t="n">
        <v>19.6</v>
      </c>
      <c r="G3684" s="1" t="n">
        <v>5.8</v>
      </c>
      <c r="H3684" s="1" t="n">
        <v>0</v>
      </c>
      <c r="I3684" s="1" t="n">
        <v>2.36</v>
      </c>
      <c r="J3684" t="n">
        <v>25230780</v>
      </c>
    </row>
    <row r="3685" ht="15.75" customHeight="1" s="201">
      <c r="A3685" s="1" t="inlineStr">
        <is>
          <t>Hazelnuts, beaked (Northern Plains Indians)</t>
        </is>
      </c>
      <c r="C3685" s="1" t="n">
        <v>22.98</v>
      </c>
      <c r="E3685" s="1" t="n">
        <v>3.12</v>
      </c>
      <c r="F3685" s="1" t="n">
        <v>14.89</v>
      </c>
      <c r="G3685" s="1" t="n">
        <v>52.99</v>
      </c>
      <c r="I3685" s="1" t="n">
        <v>2.06</v>
      </c>
    </row>
    <row r="3686" ht="15.75" customHeight="1" s="201">
      <c r="A3686" s="1" t="inlineStr">
        <is>
          <t>Hazelnuts, chocolate covered</t>
        </is>
      </c>
      <c r="J3686" t="n">
        <v>53108200</v>
      </c>
    </row>
    <row r="3687" ht="15.75" customHeight="1" s="201">
      <c r="A3687" s="1" t="inlineStr">
        <is>
          <t>Headcheese, pork</t>
        </is>
      </c>
      <c r="C3687" s="1" t="n">
        <v>0</v>
      </c>
      <c r="D3687" s="1" t="n">
        <v>2</v>
      </c>
      <c r="E3687" s="1" t="n">
        <v>1.5</v>
      </c>
      <c r="F3687" s="1" t="n">
        <v>13.83</v>
      </c>
      <c r="G3687" s="1" t="n">
        <v>10.9</v>
      </c>
      <c r="H3687" s="1" t="n">
        <v>0</v>
      </c>
      <c r="I3687" s="1" t="n">
        <v>0.97</v>
      </c>
      <c r="J3687" t="n">
        <v>27120030</v>
      </c>
    </row>
    <row r="3688" ht="15.75" customHeight="1" s="201">
      <c r="A3688" s="1" t="inlineStr">
        <is>
          <t>Hearts of palm, canned</t>
        </is>
      </c>
      <c r="C3688" s="1" t="n">
        <v>4.62</v>
      </c>
      <c r="D3688" s="1" t="n">
        <v>39</v>
      </c>
      <c r="E3688" s="1" t="n">
        <v>3.13</v>
      </c>
      <c r="F3688" s="1" t="n">
        <v>2.52</v>
      </c>
      <c r="G3688" s="1" t="n">
        <v>0.62</v>
      </c>
      <c r="H3688" s="1" t="n">
        <v>0</v>
      </c>
      <c r="I3688" s="1" t="n">
        <v>1.15</v>
      </c>
      <c r="J3688" t="n">
        <v>91745020</v>
      </c>
    </row>
    <row r="3689" ht="15.75" customHeight="1" s="201">
      <c r="A3689" s="1" t="inlineStr">
        <is>
          <t>Hearts of palm, raw</t>
        </is>
      </c>
      <c r="C3689" s="1" t="n">
        <v>25.61</v>
      </c>
      <c r="D3689" s="1" t="n">
        <v>24</v>
      </c>
      <c r="E3689" s="1" t="n">
        <v>1.69</v>
      </c>
      <c r="F3689" s="1" t="n">
        <v>2.7</v>
      </c>
      <c r="G3689" s="1" t="n">
        <v>0.2</v>
      </c>
      <c r="H3689" s="1" t="n">
        <v>68</v>
      </c>
      <c r="I3689" s="1" t="n">
        <v>3.73</v>
      </c>
      <c r="J3689" t="n">
        <v>91745020</v>
      </c>
    </row>
    <row r="3690" ht="15.75" customHeight="1" s="201">
      <c r="A3690" s="1" t="inlineStr">
        <is>
          <t>Heinz, Weight Watcher, Chocolate Eclair, frozen</t>
        </is>
      </c>
      <c r="C3690" s="1" t="n">
        <v>40.3</v>
      </c>
      <c r="E3690" s="1" t="n">
        <v>0.7</v>
      </c>
      <c r="F3690" s="1" t="n">
        <v>4.4</v>
      </c>
      <c r="G3690" s="1" t="n">
        <v>6.9</v>
      </c>
      <c r="H3690" s="1" t="n">
        <v>75</v>
      </c>
      <c r="J3690" t="n">
        <v>53108200</v>
      </c>
    </row>
    <row r="3691" ht="15.75" customHeight="1" s="201">
      <c r="A3691" s="1" t="inlineStr">
        <is>
          <t>Hominy, canned, white</t>
        </is>
      </c>
      <c r="C3691" s="1" t="n">
        <v>14.26</v>
      </c>
      <c r="D3691" s="1" t="n">
        <v>1</v>
      </c>
      <c r="E3691" s="1" t="n">
        <v>0.62</v>
      </c>
      <c r="F3691" s="1" t="n">
        <v>1.48</v>
      </c>
      <c r="G3691" s="1" t="n">
        <v>0.88</v>
      </c>
      <c r="H3691" s="1" t="n">
        <v>1</v>
      </c>
      <c r="I3691" s="1" t="n">
        <v>1.05</v>
      </c>
      <c r="J3691" t="n">
        <v>58146443</v>
      </c>
    </row>
    <row r="3692" ht="15.75" customHeight="1" s="201">
      <c r="A3692" s="1" t="inlineStr">
        <is>
          <t>Hominy, canned, yellow</t>
        </is>
      </c>
      <c r="C3692" s="1" t="n">
        <v>14.26</v>
      </c>
      <c r="D3692" s="1" t="n">
        <v>1</v>
      </c>
      <c r="E3692" s="1" t="n">
        <v>0.62</v>
      </c>
      <c r="F3692" s="1" t="n">
        <v>1.48</v>
      </c>
      <c r="G3692" s="1" t="n">
        <v>0.88</v>
      </c>
      <c r="H3692" s="1" t="n">
        <v>110</v>
      </c>
      <c r="I3692" s="1" t="n">
        <v>1.05</v>
      </c>
      <c r="J3692" t="n">
        <v>53109200</v>
      </c>
    </row>
    <row r="3693" ht="15.75" customHeight="1" s="201">
      <c r="A3693" s="1" t="inlineStr">
        <is>
          <t>Honey</t>
        </is>
      </c>
      <c r="C3693" s="1" t="n">
        <v>82.40000000000001</v>
      </c>
      <c r="D3693" s="1" t="n">
        <v>2</v>
      </c>
      <c r="E3693" s="1" t="n">
        <v>0.42</v>
      </c>
      <c r="F3693" s="1" t="n">
        <v>0.3</v>
      </c>
      <c r="G3693" s="1" t="n">
        <v>0</v>
      </c>
      <c r="H3693" s="1" t="n">
        <v>0</v>
      </c>
      <c r="I3693" s="1" t="n">
        <v>0.22</v>
      </c>
      <c r="J3693" t="n">
        <v>91302010</v>
      </c>
    </row>
    <row r="3694" ht="15.75" customHeight="1" s="201">
      <c r="A3694" s="1" t="inlineStr">
        <is>
          <t>Honey roll sausage, beef</t>
        </is>
      </c>
      <c r="C3694" s="1" t="n">
        <v>2.18</v>
      </c>
      <c r="D3694" s="1" t="n">
        <v>4</v>
      </c>
      <c r="E3694" s="1" t="n">
        <v>2.2</v>
      </c>
      <c r="F3694" s="1" t="n">
        <v>18.58</v>
      </c>
      <c r="G3694" s="1" t="n">
        <v>10.5</v>
      </c>
      <c r="H3694" s="1" t="n">
        <v>0</v>
      </c>
      <c r="I3694" s="1" t="n">
        <v>3.25</v>
      </c>
      <c r="J3694" t="n">
        <v>51150000</v>
      </c>
    </row>
    <row r="3695" ht="15.75" customHeight="1" s="201">
      <c r="A3695" s="1" t="inlineStr">
        <is>
          <t>HORMEL ALWAYS TENDER, Boneless Pork Loin, Fresh Pork</t>
        </is>
      </c>
      <c r="C3695" s="1" t="n">
        <v>0.76</v>
      </c>
      <c r="E3695" s="1" t="n">
        <v>0.6</v>
      </c>
      <c r="F3695" s="1" t="n">
        <v>19.02</v>
      </c>
      <c r="G3695" s="1" t="n">
        <v>7.18</v>
      </c>
      <c r="H3695" s="1" t="n">
        <v>0</v>
      </c>
      <c r="I3695" s="1" t="n">
        <v>1.6</v>
      </c>
      <c r="J3695" t="n">
        <v>27120030</v>
      </c>
    </row>
    <row r="3696" ht="15.75" customHeight="1" s="201">
      <c r="A3696" s="1" t="inlineStr">
        <is>
          <t>HORMEL ALWAYS TENDER, Center Cut Chops, Fresh Pork</t>
        </is>
      </c>
      <c r="C3696" s="1" t="n">
        <v>0.84</v>
      </c>
      <c r="E3696" s="1" t="n">
        <v>0.6</v>
      </c>
      <c r="F3696" s="1" t="n">
        <v>18.74</v>
      </c>
      <c r="G3696" s="1" t="n">
        <v>9.619999999999999</v>
      </c>
      <c r="H3696" s="1" t="n">
        <v>0</v>
      </c>
      <c r="I3696" s="1" t="n">
        <v>1.5</v>
      </c>
    </row>
    <row r="3697" ht="15.75" customHeight="1" s="201">
      <c r="A3697" s="1" t="inlineStr">
        <is>
          <t>HORMEL ALWAYS TENDER, Pork Loin Filets, Lemon Garlic-Flavored</t>
        </is>
      </c>
      <c r="C3697" s="1" t="n">
        <v>1.79</v>
      </c>
      <c r="E3697" s="1" t="n">
        <v>0.6</v>
      </c>
      <c r="F3697" s="1" t="n">
        <v>17.83</v>
      </c>
      <c r="G3697" s="1" t="n">
        <v>4.16</v>
      </c>
      <c r="H3697" s="1" t="n">
        <v>0</v>
      </c>
      <c r="I3697" s="1" t="n">
        <v>1.3</v>
      </c>
    </row>
    <row r="3698" ht="15.75" customHeight="1" s="201">
      <c r="A3698" s="1" t="inlineStr">
        <is>
          <t>HORMEL ALWAYS TENDER, Pork Tenderloin, Peppercorn-Flavored</t>
        </is>
      </c>
      <c r="C3698" s="1" t="n">
        <v>1.82</v>
      </c>
      <c r="E3698" s="1" t="n">
        <v>1.1</v>
      </c>
      <c r="F3698" s="1" t="n">
        <v>17.21</v>
      </c>
      <c r="G3698" s="1" t="n">
        <v>3.8</v>
      </c>
      <c r="H3698" s="1" t="n">
        <v>0</v>
      </c>
      <c r="I3698" s="1" t="n">
        <v>1.4</v>
      </c>
    </row>
    <row r="3699" ht="15.75" customHeight="1" s="201">
      <c r="A3699" s="1" t="inlineStr">
        <is>
          <t>HORMEL ALWAYS TENDER, Pork Tenderloin, Teriyaki-Flavored</t>
        </is>
      </c>
      <c r="C3699" s="1" t="n">
        <v>4.63</v>
      </c>
      <c r="E3699" s="1" t="n">
        <v>1</v>
      </c>
      <c r="F3699" s="1" t="n">
        <v>18.2</v>
      </c>
      <c r="G3699" s="1" t="n">
        <v>3.07</v>
      </c>
      <c r="H3699" s="1" t="n">
        <v>0</v>
      </c>
      <c r="I3699" s="1" t="n">
        <v>1.5</v>
      </c>
      <c r="J3699" t="n">
        <v>28141201</v>
      </c>
    </row>
    <row r="3700" ht="15.75" customHeight="1" s="201">
      <c r="A3700" s="1" t="inlineStr">
        <is>
          <t>HORMEL Canadian Style Bacon</t>
        </is>
      </c>
      <c r="C3700" s="1" t="n">
        <v>1.87</v>
      </c>
      <c r="E3700" s="1" t="n">
        <v>0.9</v>
      </c>
      <c r="F3700" s="1" t="n">
        <v>16.88</v>
      </c>
      <c r="G3700" s="1" t="n">
        <v>4.94</v>
      </c>
      <c r="H3700" s="1" t="n">
        <v>0</v>
      </c>
      <c r="I3700" s="1" t="n">
        <v>1.8</v>
      </c>
      <c r="J3700" t="n">
        <v>32202070</v>
      </c>
    </row>
    <row r="3701" ht="15.75" customHeight="1" s="201">
      <c r="A3701" s="1" t="inlineStr">
        <is>
          <t>Hormel Pillow Pak Sliced Turkey Pepperoni</t>
        </is>
      </c>
      <c r="C3701" s="1" t="n">
        <v>3.78</v>
      </c>
      <c r="D3701" s="1" t="n">
        <v>4</v>
      </c>
      <c r="E3701" s="1" t="n">
        <v>2.7</v>
      </c>
      <c r="F3701" s="1" t="n">
        <v>30.99</v>
      </c>
      <c r="G3701" s="1" t="n">
        <v>11.52</v>
      </c>
      <c r="H3701" s="1" t="n">
        <v>49</v>
      </c>
      <c r="I3701" s="1" t="n">
        <v>4.3</v>
      </c>
      <c r="J3701" t="n">
        <v>28145110</v>
      </c>
    </row>
    <row r="3702" ht="15.75" customHeight="1" s="201">
      <c r="A3702" s="1" t="inlineStr">
        <is>
          <t>HORMEL, Cure 81 Ham</t>
        </is>
      </c>
      <c r="C3702" s="1" t="n">
        <v>0.21</v>
      </c>
      <c r="E3702" s="1" t="n">
        <v>0.8</v>
      </c>
      <c r="F3702" s="1" t="n">
        <v>18.43</v>
      </c>
      <c r="G3702" s="1" t="n">
        <v>3.59</v>
      </c>
      <c r="H3702" s="1" t="n">
        <v>0</v>
      </c>
      <c r="I3702" s="1" t="n">
        <v>2</v>
      </c>
    </row>
    <row r="3703" ht="15.75" customHeight="1" s="201">
      <c r="A3703" s="1" t="inlineStr">
        <is>
          <t>Horned melon (Kiwano)</t>
        </is>
      </c>
      <c r="C3703" s="1" t="n">
        <v>7.56</v>
      </c>
      <c r="D3703" s="1" t="n">
        <v>3</v>
      </c>
      <c r="E3703" s="1" t="n">
        <v>1.13</v>
      </c>
      <c r="F3703" s="1" t="n">
        <v>1.78</v>
      </c>
      <c r="G3703" s="1" t="n">
        <v>1.26</v>
      </c>
      <c r="H3703" s="1" t="n">
        <v>147</v>
      </c>
      <c r="I3703" s="1" t="n">
        <v>0.48</v>
      </c>
    </row>
    <row r="3704" ht="15.75" customHeight="1" s="201">
      <c r="A3704" s="1" t="inlineStr">
        <is>
          <t>Horseradish, prepared</t>
        </is>
      </c>
      <c r="C3704" s="1" t="n">
        <v>11.29</v>
      </c>
      <c r="D3704" s="1" t="n">
        <v>57</v>
      </c>
      <c r="E3704" s="1" t="n">
        <v>0.42</v>
      </c>
      <c r="F3704" s="1" t="n">
        <v>1.18</v>
      </c>
      <c r="G3704" s="1" t="n">
        <v>0.6899999999999999</v>
      </c>
      <c r="H3704" s="1" t="n">
        <v>2</v>
      </c>
      <c r="I3704" s="1" t="n">
        <v>0.83</v>
      </c>
      <c r="J3704" t="n">
        <v>24107070</v>
      </c>
    </row>
    <row r="3705" ht="15.75" customHeight="1" s="201">
      <c r="A3705" s="1" t="inlineStr">
        <is>
          <t>HOT POCKETS Ham 'N Cheese Stuffed Sandwich, frozen</t>
        </is>
      </c>
      <c r="C3705" s="1" t="n">
        <v>24.69</v>
      </c>
      <c r="D3705" s="1" t="n">
        <v>54</v>
      </c>
      <c r="E3705" s="1" t="n">
        <v>2</v>
      </c>
      <c r="F3705" s="1" t="n">
        <v>9.16</v>
      </c>
      <c r="G3705" s="1" t="n">
        <v>15</v>
      </c>
      <c r="H3705" s="1" t="n">
        <v>0</v>
      </c>
      <c r="I3705" s="1" t="n">
        <v>0.95</v>
      </c>
      <c r="J3705" t="n">
        <v>27520370</v>
      </c>
    </row>
    <row r="3706" ht="15.75" customHeight="1" s="201">
      <c r="A3706" s="1" t="inlineStr">
        <is>
          <t>HOT POCKETS, CROISSANT POCKETS Chicken, Broccoli, and Cheddar Stuffed Sandwich, frozen</t>
        </is>
      </c>
      <c r="C3706" s="1" t="n">
        <v>30.4</v>
      </c>
      <c r="D3706" s="1" t="n">
        <v>54</v>
      </c>
      <c r="E3706" s="1" t="n">
        <v>2.97</v>
      </c>
      <c r="F3706" s="1" t="n">
        <v>8.9</v>
      </c>
      <c r="G3706" s="1" t="n">
        <v>8.6</v>
      </c>
      <c r="H3706" s="1" t="n">
        <v>265</v>
      </c>
      <c r="I3706" s="1" t="n">
        <v>0.95</v>
      </c>
      <c r="J3706" t="n">
        <v>58126280</v>
      </c>
    </row>
    <row r="3707" ht="15.75" customHeight="1" s="201">
      <c r="A3707" s="1" t="inlineStr">
        <is>
          <t>HOT POCKETS, meatballs &amp; mozzarella stuffed sandwich, frozen</t>
        </is>
      </c>
      <c r="C3707" s="1" t="n">
        <v>30.68</v>
      </c>
      <c r="D3707" s="1" t="n">
        <v>76</v>
      </c>
      <c r="E3707" s="1" t="n">
        <v>2.08</v>
      </c>
      <c r="F3707" s="1" t="n">
        <v>9.32</v>
      </c>
      <c r="G3707" s="1" t="n">
        <v>10.23</v>
      </c>
      <c r="H3707" s="1" t="n">
        <v>242</v>
      </c>
      <c r="I3707" s="1" t="n">
        <v>0.99</v>
      </c>
      <c r="J3707" t="n">
        <v>27513010</v>
      </c>
    </row>
    <row r="3708" ht="15.75" customHeight="1" s="201">
      <c r="A3708" s="1" t="inlineStr">
        <is>
          <t>HOUSE FOODS Premium Firm Tofu</t>
        </is>
      </c>
      <c r="C3708" s="1" t="n">
        <v>0.97</v>
      </c>
      <c r="E3708" s="1" t="n">
        <v>1.69</v>
      </c>
      <c r="F3708" s="1" t="n">
        <v>10.92</v>
      </c>
      <c r="G3708" s="1" t="n">
        <v>4.19</v>
      </c>
      <c r="H3708" s="1" t="n">
        <v>0</v>
      </c>
      <c r="J3708" t="n">
        <v>54301010</v>
      </c>
    </row>
    <row r="3709" ht="15.75" customHeight="1" s="201">
      <c r="A3709" s="1" t="inlineStr">
        <is>
          <t>HOUSE FOODS Premium Soft Tofu</t>
        </is>
      </c>
      <c r="C3709" s="1" t="n">
        <v>2.19</v>
      </c>
      <c r="E3709" s="1" t="n">
        <v>1.53</v>
      </c>
      <c r="F3709" s="1" t="n">
        <v>6.38</v>
      </c>
      <c r="G3709" s="1" t="n">
        <v>2.71</v>
      </c>
      <c r="H3709" s="1" t="n">
        <v>34</v>
      </c>
      <c r="J3709" t="n">
        <v>54301010</v>
      </c>
    </row>
    <row r="3710" ht="15.75" customHeight="1" s="201">
      <c r="A3710" s="1" t="inlineStr">
        <is>
          <t>Huckleberries, raw (Alaska Native)</t>
        </is>
      </c>
      <c r="C3710" s="1" t="n">
        <v>8.699999999999999</v>
      </c>
      <c r="E3710" s="1" t="n">
        <v>0.3</v>
      </c>
      <c r="F3710" s="1" t="n">
        <v>0.4</v>
      </c>
      <c r="G3710" s="1" t="n">
        <v>0.1</v>
      </c>
      <c r="H3710" s="1" t="n">
        <v>79</v>
      </c>
    </row>
    <row r="3711" ht="15.75" customHeight="1" s="201">
      <c r="A3711" s="1" t="inlineStr">
        <is>
          <t>Hummus, commercial</t>
        </is>
      </c>
      <c r="C3711" s="1" t="n">
        <v>15</v>
      </c>
      <c r="D3711" s="1" t="n">
        <v>48</v>
      </c>
      <c r="E3711" s="1" t="n">
        <v>2.54</v>
      </c>
      <c r="F3711" s="1" t="n">
        <v>7.78</v>
      </c>
      <c r="G3711" s="1" t="n">
        <v>17.82</v>
      </c>
      <c r="H3711" s="1" t="n">
        <v>23</v>
      </c>
      <c r="I3711" s="1" t="n">
        <v>1.44</v>
      </c>
      <c r="J3711" t="n">
        <v>41205070</v>
      </c>
    </row>
    <row r="3712" ht="15.75" customHeight="1" s="201">
      <c r="A3712" s="1" t="inlineStr">
        <is>
          <t>Hummus, home prepared</t>
        </is>
      </c>
      <c r="C3712" s="1" t="n">
        <v>20.12</v>
      </c>
      <c r="D3712" s="1" t="n">
        <v>59</v>
      </c>
      <c r="E3712" s="1" t="n">
        <v>1.56</v>
      </c>
      <c r="F3712" s="1" t="n">
        <v>4.86</v>
      </c>
      <c r="G3712" s="1" t="n">
        <v>8.59</v>
      </c>
      <c r="H3712" s="1" t="n">
        <v>5</v>
      </c>
      <c r="I3712" s="1" t="n">
        <v>1.09</v>
      </c>
      <c r="J3712" t="n">
        <v>28345110</v>
      </c>
    </row>
    <row r="3713" ht="15.75" customHeight="1" s="201">
      <c r="A3713" s="1" t="inlineStr">
        <is>
          <t>Hummus</t>
        </is>
      </c>
      <c r="J3713" t="n">
        <v>41205070</v>
      </c>
    </row>
    <row r="3714" ht="15.75" customHeight="1" s="201">
      <c r="A3714" s="1" t="inlineStr">
        <is>
          <t>HUNGRY MAN, Salisbury Steak With Gravy, frozen, unprepared</t>
        </is>
      </c>
      <c r="C3714" s="1" t="n">
        <v>6.96</v>
      </c>
      <c r="E3714" s="1" t="n">
        <v>1.02</v>
      </c>
      <c r="F3714" s="1" t="n">
        <v>7.96</v>
      </c>
      <c r="G3714" s="1" t="n">
        <v>8.529999999999999</v>
      </c>
      <c r="I3714" s="1" t="n">
        <v>1.12</v>
      </c>
      <c r="J3714" t="n">
        <v>28110310</v>
      </c>
    </row>
    <row r="3715" ht="15.75" customHeight="1" s="201">
      <c r="A3715" s="1" t="inlineStr">
        <is>
          <t>Hyacinth-beans, immature seeds, cooked, boiled, drained, with salt</t>
        </is>
      </c>
      <c r="C3715" s="1" t="n">
        <v>9.199999999999999</v>
      </c>
      <c r="D3715" s="1" t="n">
        <v>47</v>
      </c>
      <c r="E3715" s="1" t="n">
        <v>0.76</v>
      </c>
      <c r="F3715" s="1" t="n">
        <v>2.95</v>
      </c>
      <c r="G3715" s="1" t="n">
        <v>0.27</v>
      </c>
      <c r="H3715" s="1" t="n">
        <v>142</v>
      </c>
      <c r="I3715" s="1" t="n">
        <v>0.38</v>
      </c>
      <c r="J3715" t="n">
        <v>75142550</v>
      </c>
    </row>
    <row r="3716" ht="15.75" customHeight="1" s="201">
      <c r="A3716" s="1" t="inlineStr">
        <is>
          <t>Hyacinth-beans, immature seeds, cooked, boiled, drained, without salt</t>
        </is>
      </c>
      <c r="C3716" s="1" t="n">
        <v>9.199999999999999</v>
      </c>
      <c r="D3716" s="1" t="n">
        <v>47</v>
      </c>
      <c r="E3716" s="1" t="n">
        <v>0.76</v>
      </c>
      <c r="F3716" s="1" t="n">
        <v>2.95</v>
      </c>
      <c r="G3716" s="1" t="n">
        <v>0.27</v>
      </c>
      <c r="H3716" s="1" t="n">
        <v>142</v>
      </c>
      <c r="I3716" s="1" t="n">
        <v>0.38</v>
      </c>
    </row>
    <row r="3717" ht="15.75" customHeight="1" s="201">
      <c r="A3717" s="1" t="inlineStr">
        <is>
          <t>Hyacinth-beans, immature seeds, raw</t>
        </is>
      </c>
      <c r="C3717" s="1" t="n">
        <v>9.19</v>
      </c>
      <c r="D3717" s="1" t="n">
        <v>62</v>
      </c>
      <c r="E3717" s="1" t="n">
        <v>0.74</v>
      </c>
      <c r="F3717" s="1" t="n">
        <v>2.1</v>
      </c>
      <c r="G3717" s="1" t="n">
        <v>0.2</v>
      </c>
      <c r="H3717" s="1" t="n">
        <v>864</v>
      </c>
      <c r="I3717" s="1" t="n">
        <v>0.37</v>
      </c>
      <c r="J3717" t="n">
        <v>41202510</v>
      </c>
    </row>
    <row r="3718" ht="15.75" customHeight="1" s="201">
      <c r="A3718" s="1" t="inlineStr">
        <is>
          <t>Ice cream bar, covered with chocolate and nuts</t>
        </is>
      </c>
      <c r="C3718" s="1" t="n">
        <v>11.89</v>
      </c>
      <c r="D3718" s="1" t="n">
        <v>14</v>
      </c>
      <c r="E3718" s="1" t="n">
        <v>1.21</v>
      </c>
      <c r="F3718" s="1" t="n">
        <v>5.62</v>
      </c>
      <c r="G3718" s="1" t="n">
        <v>25.84</v>
      </c>
      <c r="H3718" s="1" t="n">
        <v>281</v>
      </c>
      <c r="I3718" s="1" t="n">
        <v>0.8100000000000001</v>
      </c>
      <c r="J3718" t="n">
        <v>53108200</v>
      </c>
    </row>
    <row r="3719" ht="15.75" customHeight="1" s="201">
      <c r="A3719" s="1" t="inlineStr">
        <is>
          <t>Ice cream bar, stick or nugget, with crunch coating</t>
        </is>
      </c>
      <c r="C3719" s="1" t="n">
        <v>37.12</v>
      </c>
      <c r="D3719" s="1" t="n">
        <v>3</v>
      </c>
      <c r="E3719" s="1" t="n">
        <v>0</v>
      </c>
      <c r="F3719" s="1" t="n">
        <v>2.11</v>
      </c>
      <c r="G3719" s="1" t="n">
        <v>25.26</v>
      </c>
      <c r="H3719" s="1" t="n">
        <v>105</v>
      </c>
      <c r="I3719" s="1" t="n">
        <v>0.32</v>
      </c>
      <c r="J3719" t="n">
        <v>75142550</v>
      </c>
    </row>
    <row r="3720" ht="15.75" customHeight="1" s="201">
      <c r="A3720" s="1" t="inlineStr">
        <is>
          <t>Ice cream cone, chocolate covered, with nuts, flavors other than chocolate</t>
        </is>
      </c>
      <c r="C3720" s="1" t="n">
        <v>34.38</v>
      </c>
      <c r="D3720" s="1" t="n">
        <v>24</v>
      </c>
      <c r="E3720" s="1" t="n">
        <v>0</v>
      </c>
      <c r="F3720" s="1" t="n">
        <v>5.21</v>
      </c>
      <c r="G3720" s="1" t="n">
        <v>21.88</v>
      </c>
      <c r="H3720" s="1" t="n">
        <v>104</v>
      </c>
      <c r="I3720" s="1" t="n">
        <v>0.86</v>
      </c>
      <c r="J3720" t="n">
        <v>53108200</v>
      </c>
    </row>
    <row r="3721" ht="15.75" customHeight="1" s="201">
      <c r="A3721" s="1" t="inlineStr">
        <is>
          <t>Ice cream cookie sandwich</t>
        </is>
      </c>
      <c r="C3721" s="1" t="n">
        <v>39.6</v>
      </c>
      <c r="D3721" s="1" t="n">
        <v>5</v>
      </c>
      <c r="E3721" s="1" t="n">
        <v>1.1</v>
      </c>
      <c r="F3721" s="1" t="n">
        <v>3.7</v>
      </c>
      <c r="G3721" s="1" t="n">
        <v>7.4</v>
      </c>
      <c r="H3721" s="1" t="n">
        <v>122</v>
      </c>
      <c r="I3721" s="1" t="n">
        <v>0.32</v>
      </c>
      <c r="J3721" t="n">
        <v>27513010</v>
      </c>
    </row>
    <row r="3722" ht="15.75" customHeight="1" s="201">
      <c r="A3722" s="1" t="inlineStr">
        <is>
          <t>Ice cream sandwich</t>
        </is>
      </c>
      <c r="C3722" s="1" t="n">
        <v>37.14</v>
      </c>
      <c r="D3722" s="1" t="n">
        <v>34</v>
      </c>
      <c r="E3722" s="1" t="n">
        <v>0.26</v>
      </c>
      <c r="F3722" s="1" t="n">
        <v>4.29</v>
      </c>
      <c r="G3722" s="1" t="n">
        <v>8.57</v>
      </c>
      <c r="H3722" s="1" t="n">
        <v>286</v>
      </c>
      <c r="I3722" s="1" t="n">
        <v>0.6</v>
      </c>
      <c r="J3722" t="n">
        <v>27513010</v>
      </c>
    </row>
    <row r="3723" ht="15.75" customHeight="1" s="201">
      <c r="A3723" s="1" t="inlineStr">
        <is>
          <t>Ice cream sandwich, made with light ice cream, vanilla</t>
        </is>
      </c>
      <c r="C3723" s="1" t="n">
        <v>39.64</v>
      </c>
      <c r="D3723" s="1" t="n">
        <v>12</v>
      </c>
      <c r="E3723" s="1" t="n">
        <v>0.09</v>
      </c>
      <c r="F3723" s="1" t="n">
        <v>4.29</v>
      </c>
      <c r="G3723" s="1" t="n">
        <v>3.04</v>
      </c>
      <c r="H3723" s="1" t="n">
        <v>321</v>
      </c>
      <c r="I3723" s="1" t="n">
        <v>0.21</v>
      </c>
      <c r="J3723" t="n">
        <v>58148117</v>
      </c>
    </row>
    <row r="3724" ht="15.75" customHeight="1" s="201">
      <c r="A3724" s="1" t="inlineStr">
        <is>
          <t>Ice cream sandwich, vanilla, light, no sugar added</t>
        </is>
      </c>
      <c r="C3724" s="1" t="n">
        <v>42.86</v>
      </c>
      <c r="D3724" s="1" t="n">
        <v>12</v>
      </c>
      <c r="E3724" s="1" t="n">
        <v>0</v>
      </c>
      <c r="F3724" s="1" t="n">
        <v>5.71</v>
      </c>
      <c r="G3724" s="1" t="n">
        <v>2.86</v>
      </c>
      <c r="H3724" s="1" t="n">
        <v>430</v>
      </c>
      <c r="I3724" s="1" t="n">
        <v>0.21</v>
      </c>
      <c r="J3724" t="n">
        <v>27446245</v>
      </c>
    </row>
    <row r="3725" ht="15.75" customHeight="1" s="201">
      <c r="A3725" s="1" t="inlineStr">
        <is>
          <t>Ice cream sundae cone</t>
        </is>
      </c>
      <c r="C3725" s="1" t="n">
        <v>28.89</v>
      </c>
      <c r="D3725" s="1" t="n">
        <v>19</v>
      </c>
      <c r="E3725" s="1" t="n">
        <v>0.36</v>
      </c>
      <c r="F3725" s="1" t="n">
        <v>3</v>
      </c>
      <c r="G3725" s="1" t="n">
        <v>14</v>
      </c>
      <c r="H3725" s="1" t="n">
        <v>410</v>
      </c>
      <c r="I3725" s="1" t="n">
        <v>0.5600000000000001</v>
      </c>
      <c r="J3725" t="n">
        <v>13120790</v>
      </c>
    </row>
    <row r="3726" ht="15.75" customHeight="1" s="201">
      <c r="A3726" s="1" t="inlineStr">
        <is>
          <t>Ice cream, bar or stick, chocolate covered</t>
        </is>
      </c>
      <c r="C3726" s="1" t="n">
        <v>24.5</v>
      </c>
      <c r="D3726" s="1" t="n">
        <v>7</v>
      </c>
      <c r="E3726" s="1" t="n">
        <v>0.29</v>
      </c>
      <c r="F3726" s="1" t="n">
        <v>4.1</v>
      </c>
      <c r="G3726" s="1" t="n">
        <v>24.1</v>
      </c>
      <c r="H3726" s="1" t="n">
        <v>123</v>
      </c>
      <c r="I3726" s="1" t="n">
        <v>0.82</v>
      </c>
      <c r="J3726" t="n">
        <v>53108200</v>
      </c>
    </row>
    <row r="3727" ht="15.75" customHeight="1" s="201">
      <c r="A3727" s="1" t="inlineStr">
        <is>
          <t>Ice cream, light, soft serve, chocolate</t>
        </is>
      </c>
      <c r="C3727" s="1" t="n">
        <v>23.15</v>
      </c>
      <c r="D3727" s="1" t="n">
        <v>17</v>
      </c>
      <c r="E3727" s="1" t="n">
        <v>0.6</v>
      </c>
      <c r="F3727" s="1" t="n">
        <v>3.36</v>
      </c>
      <c r="G3727" s="1" t="n">
        <v>3.69</v>
      </c>
      <c r="H3727" s="1" t="n">
        <v>336</v>
      </c>
      <c r="I3727" s="1" t="n">
        <v>0.67</v>
      </c>
      <c r="J3727" t="n">
        <v>53108200</v>
      </c>
    </row>
    <row r="3728" ht="15.75" customHeight="1" s="201">
      <c r="A3728" s="1" t="inlineStr">
        <is>
          <t>Ice cream, lowfat, no sugar added, cone, added peanuts and chocolate sauce</t>
        </is>
      </c>
      <c r="C3728" s="1" t="n">
        <v>40.01</v>
      </c>
      <c r="D3728" s="1" t="n">
        <v>17</v>
      </c>
      <c r="E3728" s="1" t="n">
        <v>0.48</v>
      </c>
      <c r="F3728" s="1" t="n">
        <v>5.33</v>
      </c>
      <c r="G3728" s="1" t="n">
        <v>9.33</v>
      </c>
      <c r="H3728" s="1" t="n">
        <v>89</v>
      </c>
      <c r="I3728" s="1" t="n">
        <v>1.06</v>
      </c>
      <c r="J3728" t="n">
        <v>53108200</v>
      </c>
    </row>
    <row r="3729" ht="15.75" customHeight="1" s="201">
      <c r="A3729" s="1" t="inlineStr">
        <is>
          <t>Ice cream, soft serve, chocolate</t>
        </is>
      </c>
      <c r="C3729" s="1" t="n">
        <v>22.2</v>
      </c>
      <c r="D3729" s="1" t="n">
        <v>9</v>
      </c>
      <c r="E3729" s="1" t="n">
        <v>0.21</v>
      </c>
      <c r="F3729" s="1" t="n">
        <v>4.1</v>
      </c>
      <c r="G3729" s="1" t="n">
        <v>13</v>
      </c>
      <c r="H3729" s="1" t="n">
        <v>589</v>
      </c>
      <c r="I3729" s="1" t="n">
        <v>0.52</v>
      </c>
      <c r="J3729" t="n">
        <v>53108200</v>
      </c>
    </row>
    <row r="3730" ht="15.75" customHeight="1" s="201">
      <c r="A3730" s="1" t="inlineStr">
        <is>
          <t>Ice creams, BREYERS, 98% Fat Free Chocolate</t>
        </is>
      </c>
      <c r="C3730" s="1" t="n">
        <v>30.18</v>
      </c>
      <c r="E3730" s="1" t="n">
        <v>0.84</v>
      </c>
      <c r="F3730" s="1" t="n">
        <v>3.89</v>
      </c>
      <c r="G3730" s="1" t="n">
        <v>2.17</v>
      </c>
      <c r="H3730" s="1" t="n">
        <v>255</v>
      </c>
      <c r="J3730" t="n">
        <v>53108200</v>
      </c>
    </row>
    <row r="3731" ht="15.75" customHeight="1" s="201">
      <c r="A3731" s="1" t="inlineStr">
        <is>
          <t>Ice creams, BREYERS, 98% Fat Free Vanilla</t>
        </is>
      </c>
      <c r="C3731" s="1" t="n">
        <v>30.51</v>
      </c>
      <c r="E3731" s="1" t="n">
        <v>0.09</v>
      </c>
      <c r="F3731" s="1" t="n">
        <v>3.3</v>
      </c>
      <c r="G3731" s="1" t="n">
        <v>2.2</v>
      </c>
      <c r="H3731" s="1" t="n">
        <v>268</v>
      </c>
      <c r="J3731" t="n">
        <v>27446260</v>
      </c>
    </row>
    <row r="3732" ht="15.75" customHeight="1" s="201">
      <c r="A3732" s="1" t="inlineStr">
        <is>
          <t>Ice creams, BREYERS, All Natural Light French Chocolate</t>
        </is>
      </c>
      <c r="C3732" s="1" t="n">
        <v>29.68</v>
      </c>
      <c r="E3732" s="1" t="n">
        <v>0.85</v>
      </c>
      <c r="F3732" s="1" t="n">
        <v>5.3</v>
      </c>
      <c r="G3732" s="1" t="n">
        <v>7.28</v>
      </c>
      <c r="H3732" s="1" t="n">
        <v>446</v>
      </c>
      <c r="J3732" t="n">
        <v>53108200</v>
      </c>
    </row>
    <row r="3733" ht="15.75" customHeight="1" s="201">
      <c r="A3733" s="1" t="inlineStr">
        <is>
          <t>Ice creams, BREYERS, All Natural Light French Vanilla</t>
        </is>
      </c>
      <c r="C3733" s="1" t="n">
        <v>26.03</v>
      </c>
      <c r="E3733" s="1" t="n">
        <v>0.21</v>
      </c>
      <c r="F3733" s="1" t="n">
        <v>4.82</v>
      </c>
      <c r="G3733" s="1" t="n">
        <v>5.56</v>
      </c>
      <c r="H3733" s="1" t="n">
        <v>489</v>
      </c>
      <c r="J3733" t="n">
        <v>27446245</v>
      </c>
    </row>
    <row r="3734" ht="15.75" customHeight="1" s="201">
      <c r="A3734" s="1" t="inlineStr">
        <is>
          <t>Ice creams, BREYERS, All Natural Light Mint Chocolate Chip</t>
        </is>
      </c>
      <c r="C3734" s="1" t="n">
        <v>28.39</v>
      </c>
      <c r="E3734" s="1" t="n">
        <v>0.52</v>
      </c>
      <c r="F3734" s="1" t="n">
        <v>4.69</v>
      </c>
      <c r="G3734" s="1" t="n">
        <v>7.09</v>
      </c>
      <c r="H3734" s="1" t="n">
        <v>404</v>
      </c>
      <c r="J3734" t="n">
        <v>53108200</v>
      </c>
    </row>
    <row r="3735" ht="15.75" customHeight="1" s="201">
      <c r="A3735" s="1" t="inlineStr">
        <is>
          <t>Ice creams, BREYERS, All Natural Light Vanilla</t>
        </is>
      </c>
      <c r="C3735" s="1" t="n">
        <v>25.3</v>
      </c>
      <c r="E3735" s="1" t="n">
        <v>0.06</v>
      </c>
      <c r="F3735" s="1" t="n">
        <v>4.84</v>
      </c>
      <c r="G3735" s="1" t="n">
        <v>4.59</v>
      </c>
      <c r="H3735" s="1" t="n">
        <v>437</v>
      </c>
      <c r="J3735" t="n">
        <v>27446245</v>
      </c>
    </row>
    <row r="3736" ht="15.75" customHeight="1" s="201">
      <c r="A3736" s="1" t="inlineStr">
        <is>
          <t>Ice creams, BREYERS, All Natural Light Vanilla Chocolate Strawberry</t>
        </is>
      </c>
      <c r="C3736" s="1" t="n">
        <v>26.06</v>
      </c>
      <c r="E3736" s="1" t="n">
        <v>0.31</v>
      </c>
      <c r="F3736" s="1" t="n">
        <v>4.69</v>
      </c>
      <c r="G3736" s="1" t="n">
        <v>4.35</v>
      </c>
      <c r="H3736" s="1" t="n">
        <v>417</v>
      </c>
      <c r="J3736" t="n">
        <v>53108200</v>
      </c>
    </row>
    <row r="3737" ht="15.75" customHeight="1" s="201">
      <c r="A3737" s="1" t="inlineStr">
        <is>
          <t>Ice creams, BREYERS, No Sugar Added, Butter Pecan</t>
        </is>
      </c>
      <c r="C3737" s="1" t="n">
        <v>21.3</v>
      </c>
      <c r="E3737" s="1" t="n">
        <v>0.19</v>
      </c>
      <c r="F3737" s="1" t="n">
        <v>3.99</v>
      </c>
      <c r="G3737" s="1" t="n">
        <v>10.3</v>
      </c>
      <c r="H3737" s="1" t="n">
        <v>281</v>
      </c>
      <c r="J3737" t="n">
        <v>54328100</v>
      </c>
    </row>
    <row r="3738" ht="15.75" customHeight="1" s="201">
      <c r="A3738" s="1" t="inlineStr">
        <is>
          <t>Ice creams, BREYERS, No Sugar Added, Chocolate Caramel</t>
        </is>
      </c>
      <c r="C3738" s="1" t="n">
        <v>25.17</v>
      </c>
      <c r="E3738" s="1" t="n">
        <v>0.59</v>
      </c>
      <c r="F3738" s="1" t="n">
        <v>3.54</v>
      </c>
      <c r="G3738" s="1" t="n">
        <v>5.8</v>
      </c>
      <c r="H3738" s="1" t="n">
        <v>266</v>
      </c>
      <c r="J3738" t="n">
        <v>53108200</v>
      </c>
    </row>
    <row r="3739" ht="15.75" customHeight="1" s="201">
      <c r="A3739" s="1" t="inlineStr">
        <is>
          <t>Ice creams, BREYERS, No Sugar Added, French Vanilla</t>
        </is>
      </c>
      <c r="C3739" s="1" t="n">
        <v>20.75</v>
      </c>
      <c r="E3739" s="1" t="n">
        <v>0.19</v>
      </c>
      <c r="F3739" s="1" t="n">
        <v>4.5</v>
      </c>
      <c r="G3739" s="1" t="n">
        <v>7.05</v>
      </c>
      <c r="H3739" s="1" t="n">
        <v>345</v>
      </c>
      <c r="J3739" t="n">
        <v>42202100</v>
      </c>
    </row>
    <row r="3740" ht="15.75" customHeight="1" s="201">
      <c r="A3740" s="1" t="inlineStr">
        <is>
          <t>Ice creams, BREYERS, No Sugar Added, Vanilla</t>
        </is>
      </c>
      <c r="C3740" s="1" t="n">
        <v>21.92</v>
      </c>
      <c r="E3740" s="1" t="n">
        <v>0.09</v>
      </c>
      <c r="F3740" s="1" t="n">
        <v>3.68</v>
      </c>
      <c r="G3740" s="1" t="n">
        <v>6.2</v>
      </c>
      <c r="H3740" s="1" t="n">
        <v>291</v>
      </c>
      <c r="J3740" t="n">
        <v>42202100</v>
      </c>
    </row>
    <row r="3741" ht="15.75" customHeight="1" s="201">
      <c r="A3741" s="1" t="inlineStr">
        <is>
          <t>Ice creams, BREYERS, No Sugar Added, Vanilla Chocolate Strawberry</t>
        </is>
      </c>
      <c r="C3741" s="1" t="n">
        <v>21.7</v>
      </c>
      <c r="E3741" s="1" t="n">
        <v>0.27</v>
      </c>
      <c r="F3741" s="1" t="n">
        <v>3.71</v>
      </c>
      <c r="G3741" s="1" t="n">
        <v>6.26</v>
      </c>
      <c r="H3741" s="1" t="n">
        <v>292</v>
      </c>
      <c r="J3741" t="n">
        <v>53108200</v>
      </c>
    </row>
    <row r="3742" ht="15.75" customHeight="1" s="201">
      <c r="A3742" s="1" t="inlineStr">
        <is>
          <t>Ice creams, BREYERS, No Sugar Added, Vanilla Fudge Twirl</t>
        </is>
      </c>
      <c r="C3742" s="1" t="n">
        <v>25.63</v>
      </c>
      <c r="E3742" s="1" t="n">
        <v>0.36</v>
      </c>
      <c r="F3742" s="1" t="n">
        <v>3.53</v>
      </c>
      <c r="G3742" s="1" t="n">
        <v>5.68</v>
      </c>
      <c r="H3742" s="1" t="n">
        <v>262</v>
      </c>
      <c r="J3742" t="n">
        <v>42202100</v>
      </c>
    </row>
    <row r="3743" ht="15.75" customHeight="1" s="201">
      <c r="A3743" s="1" t="inlineStr">
        <is>
          <t>Ice creams, chocolate</t>
        </is>
      </c>
      <c r="C3743" s="1" t="n">
        <v>28.2</v>
      </c>
      <c r="D3743" s="1" t="n">
        <v>16</v>
      </c>
      <c r="E3743" s="1" t="n">
        <v>0.93</v>
      </c>
      <c r="F3743" s="1" t="n">
        <v>3.8</v>
      </c>
      <c r="G3743" s="1" t="n">
        <v>11</v>
      </c>
      <c r="H3743" s="1" t="n">
        <v>416</v>
      </c>
      <c r="I3743" s="1" t="n">
        <v>0.58</v>
      </c>
      <c r="J3743" t="n">
        <v>53108200</v>
      </c>
    </row>
    <row r="3744" ht="15.75" customHeight="1" s="201">
      <c r="A3744" s="1" t="inlineStr">
        <is>
          <t>Ice creams, chocolate, light</t>
        </is>
      </c>
      <c r="C3744" s="1" t="n">
        <v>25.7</v>
      </c>
      <c r="D3744" s="1" t="n">
        <v>4</v>
      </c>
      <c r="E3744" s="1" t="n">
        <v>0.6899999999999999</v>
      </c>
      <c r="F3744" s="1" t="n">
        <v>5</v>
      </c>
      <c r="G3744" s="1" t="n">
        <v>7.19</v>
      </c>
      <c r="H3744" s="1" t="n">
        <v>424</v>
      </c>
      <c r="I3744" s="1" t="n">
        <v>0.43</v>
      </c>
      <c r="J3744" t="n">
        <v>53108200</v>
      </c>
    </row>
    <row r="3745" ht="15.75" customHeight="1" s="201">
      <c r="A3745" s="1" t="inlineStr">
        <is>
          <t>Ice creams, chocolate, light, no sugar added</t>
        </is>
      </c>
      <c r="C3745" s="1" t="n">
        <v>26.79</v>
      </c>
      <c r="D3745" s="1" t="n">
        <v>5</v>
      </c>
      <c r="E3745" s="1" t="n">
        <v>0.48</v>
      </c>
      <c r="F3745" s="1" t="n">
        <v>3.54</v>
      </c>
      <c r="G3745" s="1" t="n">
        <v>5.74</v>
      </c>
      <c r="H3745" s="1" t="n">
        <v>264</v>
      </c>
      <c r="I3745" s="1" t="n">
        <v>0.4</v>
      </c>
      <c r="J3745" t="n">
        <v>53108200</v>
      </c>
    </row>
    <row r="3746" ht="15.75" customHeight="1" s="201">
      <c r="A3746" s="1" t="inlineStr">
        <is>
          <t>Ice creams, chocolate, rich</t>
        </is>
      </c>
      <c r="C3746" s="1" t="n">
        <v>19.78</v>
      </c>
      <c r="D3746" s="1" t="n">
        <v>5</v>
      </c>
      <c r="E3746" s="1" t="n">
        <v>1.02</v>
      </c>
      <c r="F3746" s="1" t="n">
        <v>4.72</v>
      </c>
      <c r="G3746" s="1" t="n">
        <v>16.98</v>
      </c>
      <c r="H3746" s="1" t="n">
        <v>713</v>
      </c>
      <c r="I3746" s="1" t="n">
        <v>0.64</v>
      </c>
      <c r="J3746" t="n">
        <v>53108200</v>
      </c>
    </row>
    <row r="3747" ht="15.75" customHeight="1" s="201">
      <c r="A3747" s="1" t="inlineStr">
        <is>
          <t>Ice creams, french vanilla, soft-serve</t>
        </is>
      </c>
      <c r="C3747" s="1" t="n">
        <v>22.2</v>
      </c>
      <c r="D3747" s="1" t="n">
        <v>9</v>
      </c>
      <c r="E3747" s="1" t="n">
        <v>0.21</v>
      </c>
      <c r="F3747" s="1" t="n">
        <v>4.1</v>
      </c>
      <c r="G3747" s="1" t="n">
        <v>13</v>
      </c>
      <c r="H3747" s="1" t="n">
        <v>589</v>
      </c>
      <c r="I3747" s="1" t="n">
        <v>0.52</v>
      </c>
      <c r="J3747" t="n">
        <v>13110200</v>
      </c>
    </row>
    <row r="3748" ht="15.75" customHeight="1" s="201">
      <c r="A3748" s="1" t="inlineStr">
        <is>
          <t>Ice creams, regular, low carbohydrate, chocolate</t>
        </is>
      </c>
      <c r="C3748" s="1" t="n">
        <v>26.8</v>
      </c>
      <c r="D3748" s="1" t="n">
        <v>16</v>
      </c>
      <c r="E3748" s="1" t="n">
        <v>0.93</v>
      </c>
      <c r="F3748" s="1" t="n">
        <v>3.8</v>
      </c>
      <c r="G3748" s="1" t="n">
        <v>12.7</v>
      </c>
      <c r="H3748" s="1" t="n">
        <v>419</v>
      </c>
      <c r="I3748" s="1" t="n">
        <v>0.58</v>
      </c>
      <c r="J3748" t="n">
        <v>53108200</v>
      </c>
    </row>
    <row r="3749" ht="15.75" customHeight="1" s="201">
      <c r="A3749" s="1" t="inlineStr">
        <is>
          <t>Ice creams, regular, low carbohydrate, vanilla</t>
        </is>
      </c>
      <c r="C3749" s="1" t="n">
        <v>22.23</v>
      </c>
      <c r="D3749" s="1" t="n">
        <v>5</v>
      </c>
      <c r="E3749" s="1" t="n">
        <v>0.09</v>
      </c>
      <c r="F3749" s="1" t="n">
        <v>3.17</v>
      </c>
      <c r="G3749" s="1" t="n">
        <v>12.7</v>
      </c>
      <c r="H3749" s="1" t="n">
        <v>418</v>
      </c>
      <c r="I3749" s="1" t="n">
        <v>0.6899999999999999</v>
      </c>
      <c r="J3749" t="n">
        <v>42302015</v>
      </c>
    </row>
    <row r="3750" ht="15.75" customHeight="1" s="201">
      <c r="A3750" s="1" t="inlineStr">
        <is>
          <t>Ice creams, strawberry</t>
        </is>
      </c>
      <c r="C3750" s="1" t="n">
        <v>27.6</v>
      </c>
      <c r="D3750" s="1" t="n">
        <v>12</v>
      </c>
      <c r="E3750" s="1" t="n">
        <v>0.21</v>
      </c>
      <c r="F3750" s="1" t="n">
        <v>3.2</v>
      </c>
      <c r="G3750" s="1" t="n">
        <v>8.4</v>
      </c>
      <c r="H3750" s="1" t="n">
        <v>320</v>
      </c>
      <c r="I3750" s="1" t="n">
        <v>0.34</v>
      </c>
      <c r="J3750" t="n">
        <v>53109200</v>
      </c>
    </row>
    <row r="3751" ht="15.75" customHeight="1" s="201">
      <c r="A3751" s="1" t="inlineStr">
        <is>
          <t>Ice creams, vanilla</t>
        </is>
      </c>
      <c r="C3751" s="1" t="n">
        <v>23.6</v>
      </c>
      <c r="D3751" s="1" t="n">
        <v>5</v>
      </c>
      <c r="E3751" s="1" t="n">
        <v>0.09</v>
      </c>
      <c r="F3751" s="1" t="n">
        <v>3.5</v>
      </c>
      <c r="G3751" s="1" t="n">
        <v>11</v>
      </c>
      <c r="H3751" s="1" t="n">
        <v>421</v>
      </c>
      <c r="I3751" s="1" t="n">
        <v>0.6899999999999999</v>
      </c>
      <c r="J3751" t="n">
        <v>53247000</v>
      </c>
    </row>
    <row r="3752" ht="15.75" customHeight="1" s="201">
      <c r="A3752" s="1" t="inlineStr">
        <is>
          <t>Ice creams, vanilla, fat free</t>
        </is>
      </c>
      <c r="C3752" s="1" t="n">
        <v>30.06</v>
      </c>
      <c r="D3752" s="1" t="n">
        <v>7</v>
      </c>
      <c r="E3752" s="1" t="n">
        <v>0</v>
      </c>
      <c r="F3752" s="1" t="n">
        <v>4.48</v>
      </c>
      <c r="G3752" s="1" t="n">
        <v>0</v>
      </c>
      <c r="H3752" s="1" t="n">
        <v>698</v>
      </c>
      <c r="I3752" s="1" t="n">
        <v>1.06</v>
      </c>
      <c r="J3752" t="n">
        <v>27446260</v>
      </c>
    </row>
    <row r="3753" ht="15.75" customHeight="1" s="201">
      <c r="A3753" s="1" t="inlineStr">
        <is>
          <t>Ice creams, vanilla, light</t>
        </is>
      </c>
      <c r="C3753" s="1" t="n">
        <v>29.46</v>
      </c>
      <c r="D3753" s="1" t="n">
        <v>6</v>
      </c>
      <c r="E3753" s="1" t="n">
        <v>0.19</v>
      </c>
      <c r="F3753" s="1" t="n">
        <v>4.78</v>
      </c>
      <c r="G3753" s="1" t="n">
        <v>4.83</v>
      </c>
      <c r="H3753" s="1" t="n">
        <v>448</v>
      </c>
      <c r="I3753" s="1" t="n">
        <v>0.73</v>
      </c>
      <c r="J3753" t="n">
        <v>27446245</v>
      </c>
    </row>
    <row r="3754" ht="15.75" customHeight="1" s="201">
      <c r="A3754" s="1" t="inlineStr">
        <is>
          <t>Ice creams, vanilla, light, no sugar added</t>
        </is>
      </c>
      <c r="C3754" s="1" t="n">
        <v>21.42</v>
      </c>
      <c r="D3754" s="1" t="n">
        <v>4</v>
      </c>
      <c r="E3754" s="1" t="n">
        <v>0.19</v>
      </c>
      <c r="F3754" s="1" t="n">
        <v>3.97</v>
      </c>
      <c r="G3754" s="1" t="n">
        <v>7.45</v>
      </c>
      <c r="H3754" s="1" t="n">
        <v>302</v>
      </c>
      <c r="I3754" s="1" t="n">
        <v>0.31</v>
      </c>
      <c r="J3754" t="n">
        <v>27446245</v>
      </c>
    </row>
    <row r="3755" ht="15.75" customHeight="1" s="201">
      <c r="A3755" s="1" t="inlineStr">
        <is>
          <t>Ice creams, vanilla, light, soft-serve</t>
        </is>
      </c>
      <c r="C3755" s="1" t="n">
        <v>21.8</v>
      </c>
      <c r="D3755" s="1" t="n">
        <v>5</v>
      </c>
      <c r="E3755" s="1" t="n">
        <v>0.06</v>
      </c>
      <c r="F3755" s="1" t="n">
        <v>4.9</v>
      </c>
      <c r="G3755" s="1" t="n">
        <v>2.6</v>
      </c>
      <c r="H3755" s="1" t="n">
        <v>103</v>
      </c>
      <c r="I3755" s="1" t="n">
        <v>0.53</v>
      </c>
      <c r="J3755" t="n">
        <v>27446245</v>
      </c>
    </row>
    <row r="3756" ht="15.75" customHeight="1" s="201">
      <c r="A3756" s="1" t="inlineStr">
        <is>
          <t>Ice creams, vanilla, rich</t>
        </is>
      </c>
      <c r="C3756" s="1" t="n">
        <v>22.29</v>
      </c>
      <c r="D3756" s="1" t="n">
        <v>8</v>
      </c>
      <c r="E3756" s="1" t="n">
        <v>0.34</v>
      </c>
      <c r="F3756" s="1" t="n">
        <v>3.5</v>
      </c>
      <c r="G3756" s="1" t="n">
        <v>16.2</v>
      </c>
      <c r="H3756" s="1" t="n">
        <v>653</v>
      </c>
      <c r="I3756" s="1" t="n">
        <v>0.47</v>
      </c>
      <c r="J3756" t="n">
        <v>53247000</v>
      </c>
    </row>
    <row r="3757" ht="15.75" customHeight="1" s="201">
      <c r="A3757" s="1" t="inlineStr">
        <is>
          <t>Ice Cream</t>
        </is>
      </c>
      <c r="J3757" t="n">
        <v>12110100</v>
      </c>
    </row>
    <row r="3758" ht="15.75" customHeight="1" s="201">
      <c r="A3758" s="1" t="inlineStr">
        <is>
          <t>Imitation cheese, american or cheddar, low cholesterol</t>
        </is>
      </c>
      <c r="C3758" s="1" t="n">
        <v>1</v>
      </c>
      <c r="D3758" s="1" t="n">
        <v>18</v>
      </c>
      <c r="E3758" s="1" t="n">
        <v>0.7</v>
      </c>
      <c r="F3758" s="1" t="n">
        <v>25</v>
      </c>
      <c r="G3758" s="1" t="n">
        <v>32</v>
      </c>
      <c r="H3758" s="1" t="n">
        <v>423</v>
      </c>
      <c r="I3758" s="1" t="n">
        <v>3</v>
      </c>
      <c r="J3758" t="n">
        <v>14420100</v>
      </c>
    </row>
    <row r="3759" ht="15.75" customHeight="1" s="201">
      <c r="A3759" s="1" t="inlineStr">
        <is>
          <t>Incaparina, dry mix (corn and soy flours), unprepared</t>
        </is>
      </c>
      <c r="C3759" s="1" t="n">
        <v>60.53</v>
      </c>
      <c r="E3759" s="1" t="n">
        <v>22</v>
      </c>
      <c r="F3759" s="1" t="n">
        <v>21.75</v>
      </c>
      <c r="G3759" s="1" t="n">
        <v>5.58</v>
      </c>
      <c r="H3759" s="1" t="n">
        <v>5900</v>
      </c>
      <c r="I3759" s="1" t="n">
        <v>23</v>
      </c>
      <c r="J3759" t="n">
        <v>54401055</v>
      </c>
    </row>
    <row r="3760" ht="15.75" customHeight="1" s="201">
      <c r="A3760" s="1" t="inlineStr">
        <is>
          <t>Infant formula, ABBOTT NUTRITION, ALIMENTUM ADVANCE, with iron, powder, not reconstituted, with DHA and ARA</t>
        </is>
      </c>
      <c r="C3760" s="1" t="n">
        <v>51.91</v>
      </c>
      <c r="D3760" s="1" t="n">
        <v>76</v>
      </c>
      <c r="E3760" s="1" t="n">
        <v>9.16</v>
      </c>
      <c r="F3760" s="1" t="n">
        <v>13.99</v>
      </c>
      <c r="G3760" s="1" t="n">
        <v>28.19</v>
      </c>
      <c r="H3760" s="1" t="n">
        <v>1528</v>
      </c>
      <c r="I3760" s="1" t="n">
        <v>3.82</v>
      </c>
      <c r="J3760" t="n">
        <v>75142550</v>
      </c>
    </row>
    <row r="3761" ht="15.75" customHeight="1" s="201">
      <c r="A3761" s="1" t="inlineStr">
        <is>
          <t>Infant formula, ABBOTT NUTRITION, SIMILAC NEOSURE, ready-to-feed, with ARA and DHA</t>
        </is>
      </c>
      <c r="C3761" s="1" t="n">
        <v>6.94</v>
      </c>
      <c r="D3761" s="1" t="n">
        <v>17</v>
      </c>
      <c r="E3761" s="1" t="n">
        <v>1.23</v>
      </c>
      <c r="F3761" s="1" t="n">
        <v>1.92</v>
      </c>
      <c r="G3761" s="1" t="n">
        <v>3.77</v>
      </c>
      <c r="H3761" s="1" t="n">
        <v>315</v>
      </c>
      <c r="I3761" s="1" t="n">
        <v>0.82</v>
      </c>
      <c r="J3761" t="n">
        <v>75142550</v>
      </c>
    </row>
    <row r="3762" ht="15.75" customHeight="1" s="201">
      <c r="A3762" s="1" t="inlineStr">
        <is>
          <t>Infant formula, ABBOTT NUTRITION, SIMILAC, ADVANCE, with iron, liquid concentrate, not reconstituted</t>
        </is>
      </c>
      <c r="C3762" s="1" t="n">
        <v>13.52</v>
      </c>
      <c r="D3762" s="1" t="n">
        <v>19</v>
      </c>
      <c r="E3762" s="1" t="n">
        <v>2.3</v>
      </c>
      <c r="F3762" s="1" t="n">
        <v>2.64</v>
      </c>
      <c r="G3762" s="1" t="n">
        <v>6.89</v>
      </c>
      <c r="H3762" s="1" t="n">
        <v>382</v>
      </c>
      <c r="I3762" s="1" t="n">
        <v>0.96</v>
      </c>
      <c r="J3762" t="n">
        <v>11710359</v>
      </c>
    </row>
    <row r="3763" ht="15.75" customHeight="1" s="201">
      <c r="A3763" s="1" t="inlineStr">
        <is>
          <t>Infant formula, ABBOTT NUTRITION, SIMILAC, ADVANCE, with iron, powder, not reconstituted</t>
        </is>
      </c>
      <c r="C3763" s="1" t="n">
        <v>54.73</v>
      </c>
      <c r="D3763" s="1" t="n">
        <v>79</v>
      </c>
      <c r="E3763" s="1" t="n">
        <v>9.470000000000001</v>
      </c>
      <c r="F3763" s="1" t="n">
        <v>10.89</v>
      </c>
      <c r="G3763" s="1" t="n">
        <v>28.87</v>
      </c>
      <c r="H3763" s="1" t="n">
        <v>1578</v>
      </c>
      <c r="I3763" s="1" t="n">
        <v>3.94</v>
      </c>
      <c r="J3763" t="n">
        <v>11710359</v>
      </c>
    </row>
    <row r="3764" ht="15.75" customHeight="1" s="201">
      <c r="A3764" s="1" t="inlineStr">
        <is>
          <t>Infant formula, ABBOTT NUTRITION, SIMILAC, ADVANCE, with iron, ready-to-feed</t>
        </is>
      </c>
      <c r="C3764" s="1" t="n">
        <v>6.77</v>
      </c>
      <c r="D3764" s="1" t="n">
        <v>10</v>
      </c>
      <c r="E3764" s="1" t="n">
        <v>1.18</v>
      </c>
      <c r="F3764" s="1" t="n">
        <v>1.36</v>
      </c>
      <c r="G3764" s="1" t="n">
        <v>3.7</v>
      </c>
      <c r="H3764" s="1" t="n">
        <v>197</v>
      </c>
      <c r="I3764" s="1" t="n">
        <v>0.49</v>
      </c>
      <c r="J3764" t="n">
        <v>11710359</v>
      </c>
    </row>
    <row r="3765" ht="15.75" customHeight="1" s="201">
      <c r="A3765" s="1" t="inlineStr">
        <is>
          <t>Infant formula, ABBOTT NUTRITION, SIMILAC, ALIMENTUM, ADVANCE, ready-to-feed, with ARA and DHA</t>
        </is>
      </c>
      <c r="C3765" s="1" t="n">
        <v>6.77</v>
      </c>
      <c r="D3765" s="1" t="n">
        <v>10</v>
      </c>
      <c r="E3765" s="1" t="n">
        <v>1.18</v>
      </c>
      <c r="F3765" s="1" t="n">
        <v>1.8</v>
      </c>
      <c r="G3765" s="1" t="n">
        <v>3.63</v>
      </c>
      <c r="H3765" s="1" t="n">
        <v>197</v>
      </c>
      <c r="I3765" s="1" t="n">
        <v>0.49</v>
      </c>
      <c r="J3765" t="n">
        <v>11710359</v>
      </c>
    </row>
    <row r="3766" ht="15.75" customHeight="1" s="201">
      <c r="A3766" s="1" t="inlineStr">
        <is>
          <t>Infant formula, ABBOTT NUTRITION, SIMILAC, ALIMENTUM, with iron, ready-to-feed</t>
        </is>
      </c>
      <c r="C3766" s="1" t="n">
        <v>6.77</v>
      </c>
      <c r="D3766" s="1" t="n">
        <v>10</v>
      </c>
      <c r="E3766" s="1" t="n">
        <v>1.18</v>
      </c>
      <c r="F3766" s="1" t="n">
        <v>1.8</v>
      </c>
      <c r="G3766" s="1" t="n">
        <v>3.63</v>
      </c>
      <c r="H3766" s="1" t="n">
        <v>197</v>
      </c>
      <c r="I3766" s="1" t="n">
        <v>0.49</v>
      </c>
      <c r="J3766" t="n">
        <v>75142550</v>
      </c>
    </row>
    <row r="3767" ht="15.75" customHeight="1" s="201">
      <c r="A3767" s="1" t="inlineStr">
        <is>
          <t>Infant formula, ABBOTT NUTRITION, SIMILAC, Expert Care, Diarrhea, ready- to- feed with ARA and DHA</t>
        </is>
      </c>
      <c r="C3767" s="1" t="n">
        <v>6.67</v>
      </c>
      <c r="D3767" s="1" t="n">
        <v>10</v>
      </c>
      <c r="E3767" s="1" t="n">
        <v>1.18</v>
      </c>
      <c r="F3767" s="1" t="n">
        <v>1.76</v>
      </c>
      <c r="G3767" s="1" t="n">
        <v>3.6</v>
      </c>
      <c r="H3767" s="1" t="n">
        <v>199</v>
      </c>
      <c r="I3767" s="1" t="n">
        <v>0.49</v>
      </c>
      <c r="J3767" t="n">
        <v>75142550</v>
      </c>
    </row>
    <row r="3768" ht="15.75" customHeight="1" s="201">
      <c r="A3768" s="1" t="inlineStr">
        <is>
          <t>Infant formula, ABBOTT NUTRITION, SIMILAC, For Spit Up, powder, with ARA and DHA</t>
        </is>
      </c>
      <c r="C3768" s="1" t="n">
        <v>55</v>
      </c>
      <c r="D3768" s="1" t="n">
        <v>77</v>
      </c>
      <c r="E3768" s="1" t="n">
        <v>9.300000000000001</v>
      </c>
      <c r="F3768" s="1" t="n">
        <v>11</v>
      </c>
      <c r="G3768" s="1" t="n">
        <v>27.75</v>
      </c>
      <c r="H3768" s="1" t="n">
        <v>1557</v>
      </c>
      <c r="I3768" s="1" t="n">
        <v>3.83</v>
      </c>
      <c r="J3768" t="n">
        <v>11710383</v>
      </c>
    </row>
    <row r="3769" ht="15.75" customHeight="1" s="201">
      <c r="A3769" s="1" t="inlineStr">
        <is>
          <t>Infant formula, ABBOTT NUTRITION, SIMILAC, For Spit Up, ready-to-feed, with ARA and DHA</t>
        </is>
      </c>
      <c r="C3769" s="1" t="n">
        <v>7.19</v>
      </c>
      <c r="D3769" s="1" t="n">
        <v>10</v>
      </c>
      <c r="E3769" s="1" t="n">
        <v>1.18</v>
      </c>
      <c r="F3769" s="1" t="n">
        <v>1.4</v>
      </c>
      <c r="G3769" s="1" t="n">
        <v>3.54</v>
      </c>
      <c r="H3769" s="1" t="n">
        <v>199</v>
      </c>
      <c r="I3769" s="1" t="n">
        <v>0.49</v>
      </c>
      <c r="J3769" t="n">
        <v>11710383</v>
      </c>
    </row>
    <row r="3770" ht="15.75" customHeight="1" s="201">
      <c r="A3770" s="1" t="inlineStr">
        <is>
          <t>Infant formula, ABBOTT NUTRITION, SIMILAC, GO AND GROW, powder, with ARA and DHA</t>
        </is>
      </c>
      <c r="C3770" s="1" t="n">
        <v>52.2</v>
      </c>
      <c r="D3770" s="1" t="n">
        <v>77</v>
      </c>
      <c r="E3770" s="1" t="n">
        <v>10.2</v>
      </c>
      <c r="F3770" s="1" t="n">
        <v>15.36</v>
      </c>
      <c r="G3770" s="1" t="n">
        <v>27.65</v>
      </c>
      <c r="H3770" s="1" t="n">
        <v>1550</v>
      </c>
      <c r="I3770" s="1" t="n">
        <v>3.84</v>
      </c>
      <c r="J3770" t="n">
        <v>75142550</v>
      </c>
    </row>
    <row r="3771" ht="15.75" customHeight="1" s="201">
      <c r="A3771" s="1" t="inlineStr">
        <is>
          <t>Infant formula, ABBOTT NUTRITION, SIMILAC, GO AND GROW, ready-to-feed, with ARA and DHA</t>
        </is>
      </c>
      <c r="C3771" s="1" t="n">
        <v>6.69</v>
      </c>
      <c r="D3771" s="1" t="n">
        <v>10</v>
      </c>
      <c r="E3771" s="1" t="n">
        <v>1.31</v>
      </c>
      <c r="F3771" s="1" t="n">
        <v>1.97</v>
      </c>
      <c r="G3771" s="1" t="n">
        <v>3.54</v>
      </c>
      <c r="H3771" s="1" t="n">
        <v>199</v>
      </c>
      <c r="I3771" s="1" t="n">
        <v>0.49</v>
      </c>
      <c r="J3771" t="n">
        <v>75142550</v>
      </c>
    </row>
    <row r="3772" ht="15.75" customHeight="1" s="201">
      <c r="A3772" s="1" t="inlineStr">
        <is>
          <t>Infant formula, ABBOTT NUTRITION, SIMILAC, ISOMIL, ADVANCE with iron, liquid concentrate</t>
        </is>
      </c>
      <c r="C3772" s="1" t="n">
        <v>13.21</v>
      </c>
      <c r="D3772" s="1" t="n">
        <v>19</v>
      </c>
      <c r="E3772" s="1" t="n">
        <v>2.3</v>
      </c>
      <c r="F3772" s="1" t="n">
        <v>3.13</v>
      </c>
      <c r="G3772" s="1" t="n">
        <v>6.98</v>
      </c>
      <c r="H3772" s="1" t="n">
        <v>380</v>
      </c>
      <c r="I3772" s="1" t="n">
        <v>0.96</v>
      </c>
      <c r="J3772" t="n">
        <v>11710359</v>
      </c>
    </row>
    <row r="3773" ht="15.75" customHeight="1" s="201">
      <c r="A3773" s="1" t="inlineStr">
        <is>
          <t>Infant formula, ABBOTT NUTRITION, SIMILAC, ISOMIL, ADVANCE with iron, powder, not reconstituted</t>
        </is>
      </c>
      <c r="C3773" s="1" t="n">
        <v>53.57</v>
      </c>
      <c r="D3773" s="1" t="n">
        <v>77</v>
      </c>
      <c r="E3773" s="1" t="n">
        <v>9.26</v>
      </c>
      <c r="F3773" s="1" t="n">
        <v>12.6</v>
      </c>
      <c r="G3773" s="1" t="n">
        <v>28.09</v>
      </c>
      <c r="H3773" s="1" t="n">
        <v>1543</v>
      </c>
      <c r="I3773" s="1" t="n">
        <v>3.86</v>
      </c>
      <c r="J3773" t="n">
        <v>11710359</v>
      </c>
    </row>
    <row r="3774" ht="15.75" customHeight="1" s="201">
      <c r="A3774" s="1" t="inlineStr">
        <is>
          <t>Infant formula, ABBOTT NUTRITION, SIMILAC, ISOMIL, ADVANCE with iron, ready-to-feed</t>
        </is>
      </c>
      <c r="C3774" s="1" t="n">
        <v>6.7</v>
      </c>
      <c r="D3774" s="1" t="n">
        <v>10</v>
      </c>
      <c r="E3774" s="1" t="n">
        <v>1.18</v>
      </c>
      <c r="F3774" s="1" t="n">
        <v>1.61</v>
      </c>
      <c r="G3774" s="1" t="n">
        <v>3.59</v>
      </c>
      <c r="H3774" s="1" t="n">
        <v>197</v>
      </c>
      <c r="I3774" s="1" t="n">
        <v>0.49</v>
      </c>
      <c r="J3774" t="n">
        <v>11710359</v>
      </c>
    </row>
    <row r="3775" ht="15.75" customHeight="1" s="201">
      <c r="A3775" s="1" t="inlineStr">
        <is>
          <t>Infant formula, ABBOTT NUTRITION, SIMILAC, ISOMIL, with iron, liquid concentrate</t>
        </is>
      </c>
      <c r="C3775" s="1" t="n">
        <v>13.21</v>
      </c>
      <c r="D3775" s="1" t="n">
        <v>19</v>
      </c>
      <c r="E3775" s="1" t="n">
        <v>2.3</v>
      </c>
      <c r="F3775" s="1" t="n">
        <v>3.13</v>
      </c>
      <c r="G3775" s="1" t="n">
        <v>6.98</v>
      </c>
      <c r="H3775" s="1" t="n">
        <v>380</v>
      </c>
      <c r="I3775" s="1" t="n">
        <v>0.96</v>
      </c>
      <c r="J3775" t="n">
        <v>75142550</v>
      </c>
    </row>
    <row r="3776" ht="15.75" customHeight="1" s="201">
      <c r="A3776" s="1" t="inlineStr">
        <is>
          <t>Infant formula, ABBOTT NUTRITION, SIMILAC, ISOMIL, with iron, powder, not reconstituted</t>
        </is>
      </c>
      <c r="C3776" s="1" t="n">
        <v>53.57</v>
      </c>
      <c r="D3776" s="1" t="n">
        <v>77</v>
      </c>
      <c r="E3776" s="1" t="n">
        <v>9.26</v>
      </c>
      <c r="F3776" s="1" t="n">
        <v>12.6</v>
      </c>
      <c r="G3776" s="1" t="n">
        <v>28.09</v>
      </c>
      <c r="H3776" s="1" t="n">
        <v>1543</v>
      </c>
      <c r="I3776" s="1" t="n">
        <v>3.86</v>
      </c>
      <c r="J3776" t="n">
        <v>75142550</v>
      </c>
    </row>
    <row r="3777" ht="15.75" customHeight="1" s="201">
      <c r="A3777" s="1" t="inlineStr">
        <is>
          <t>Infant formula, ABBOTT NUTRITION, SIMILAC, ISOMIL, with iron, ready-to-feed</t>
        </is>
      </c>
      <c r="C3777" s="1" t="n">
        <v>6.7</v>
      </c>
      <c r="D3777" s="1" t="n">
        <v>10</v>
      </c>
      <c r="E3777" s="1" t="n">
        <v>1.18</v>
      </c>
      <c r="F3777" s="1" t="n">
        <v>1.61</v>
      </c>
      <c r="G3777" s="1" t="n">
        <v>3.59</v>
      </c>
      <c r="H3777" s="1" t="n">
        <v>197</v>
      </c>
      <c r="I3777" s="1" t="n">
        <v>0.49</v>
      </c>
      <c r="J3777" t="n">
        <v>75142550</v>
      </c>
    </row>
    <row r="3778" ht="15.75" customHeight="1" s="201">
      <c r="A3778" s="1" t="inlineStr">
        <is>
          <t>Infant formula, ABBOTT NUTRITION, SIMILAC, NEOSURE, powder, with ARA and DHA</t>
        </is>
      </c>
      <c r="C3778" s="1" t="n">
        <v>51.75</v>
      </c>
      <c r="D3778" s="1" t="n">
        <v>128</v>
      </c>
      <c r="E3778" s="1" t="n">
        <v>9.26</v>
      </c>
      <c r="F3778" s="1" t="n">
        <v>14.42</v>
      </c>
      <c r="G3778" s="1" t="n">
        <v>28.33</v>
      </c>
      <c r="H3778" s="1" t="n">
        <v>2371</v>
      </c>
      <c r="I3778" s="1" t="n">
        <v>6.18</v>
      </c>
      <c r="J3778" t="n">
        <v>11710477</v>
      </c>
    </row>
    <row r="3779" ht="15.75" customHeight="1" s="201">
      <c r="A3779" s="1" t="inlineStr">
        <is>
          <t>Infant formula, ABBOTT NUTRITION, SIMILAC, PM 60/40, powder not reconstituted</t>
        </is>
      </c>
      <c r="C3779" s="1" t="n">
        <v>54.94</v>
      </c>
      <c r="D3779" s="1" t="n">
        <v>77</v>
      </c>
      <c r="E3779" s="1" t="n">
        <v>1.13</v>
      </c>
      <c r="F3779" s="1" t="n">
        <v>11.4</v>
      </c>
      <c r="G3779" s="1" t="n">
        <v>28.71</v>
      </c>
      <c r="H3779" s="1" t="n">
        <v>1541</v>
      </c>
      <c r="I3779" s="1" t="n">
        <v>3.85</v>
      </c>
      <c r="J3779" t="n">
        <v>11710359</v>
      </c>
    </row>
    <row r="3780" ht="15.75" customHeight="1" s="201">
      <c r="A3780" s="1" t="inlineStr">
        <is>
          <t>Infant formula, ABBOTT NUTRITION, SIMILAC, SENSITIVE (LACTOSE FREE) ready-to-feed, with ARA and DHA</t>
        </is>
      </c>
      <c r="C3780" s="1" t="n">
        <v>7.4</v>
      </c>
      <c r="D3780" s="1" t="n">
        <v>10</v>
      </c>
      <c r="E3780" s="1" t="n">
        <v>1.24</v>
      </c>
      <c r="F3780" s="1" t="n">
        <v>1.48</v>
      </c>
      <c r="G3780" s="1" t="n">
        <v>3.74</v>
      </c>
      <c r="H3780" s="1" t="n">
        <v>208</v>
      </c>
      <c r="I3780" s="1" t="n">
        <v>0.52</v>
      </c>
      <c r="J3780" t="n">
        <v>11710383</v>
      </c>
    </row>
    <row r="3781" ht="15.75" customHeight="1" s="201">
      <c r="A3781" s="1" t="inlineStr">
        <is>
          <t>Infant formula, ABBOTT NUTRITION, SIMILAC, SENSITIVE, (LACTOSE FREE), liquid concentrate, with ARA and DHA</t>
        </is>
      </c>
      <c r="C3781" s="1" t="n">
        <v>13.64</v>
      </c>
      <c r="D3781" s="1" t="n">
        <v>19</v>
      </c>
      <c r="E3781" s="1" t="n">
        <v>2.32</v>
      </c>
      <c r="F3781" s="1" t="n">
        <v>2.73</v>
      </c>
      <c r="G3781" s="1" t="n">
        <v>6.95</v>
      </c>
      <c r="H3781" s="1" t="n">
        <v>385</v>
      </c>
      <c r="I3781" s="1" t="n">
        <v>0.97</v>
      </c>
      <c r="J3781" t="n">
        <v>11710383</v>
      </c>
    </row>
    <row r="3782" ht="15.75" customHeight="1" s="201">
      <c r="A3782" s="1" t="inlineStr">
        <is>
          <t>Infant formula, ABBOTT NUTRITION, SIMILAC, SENSITIVE, (LACTOSE FREE), powder, with ARA and DHA</t>
        </is>
      </c>
      <c r="C3782" s="1" t="n">
        <v>55.67</v>
      </c>
      <c r="D3782" s="1" t="n">
        <v>75</v>
      </c>
      <c r="E3782" s="1" t="n">
        <v>9.33</v>
      </c>
      <c r="F3782" s="1" t="n">
        <v>11.13</v>
      </c>
      <c r="G3782" s="1" t="n">
        <v>28.14</v>
      </c>
      <c r="H3782" s="1" t="n">
        <v>1559</v>
      </c>
      <c r="I3782" s="1" t="n">
        <v>3.91</v>
      </c>
      <c r="J3782" t="n">
        <v>11710383</v>
      </c>
    </row>
    <row r="3783" ht="15.75" customHeight="1" s="201">
      <c r="A3783" s="1" t="inlineStr">
        <is>
          <t>Infant formula, ABBOTT NUTRITION, SIMILAC, with iron, liquid concentrate, not reconstituted</t>
        </is>
      </c>
      <c r="C3783" s="1" t="n">
        <v>13.76</v>
      </c>
      <c r="D3783" s="1" t="n">
        <v>19</v>
      </c>
      <c r="E3783" s="1" t="n">
        <v>2.3</v>
      </c>
      <c r="F3783" s="1" t="n">
        <v>2.64</v>
      </c>
      <c r="G3783" s="1" t="n">
        <v>6.89</v>
      </c>
      <c r="H3783" s="1" t="n">
        <v>382</v>
      </c>
      <c r="I3783" s="1" t="n">
        <v>0.96</v>
      </c>
      <c r="J3783" t="n">
        <v>75142550</v>
      </c>
    </row>
    <row r="3784" ht="15.75" customHeight="1" s="201">
      <c r="A3784" s="1" t="inlineStr">
        <is>
          <t>Infant formula, ABBOTT NUTRITION, SIMILAC, with iron, powder, not reconstituted</t>
        </is>
      </c>
      <c r="C3784" s="1" t="n">
        <v>54.73</v>
      </c>
      <c r="D3784" s="1" t="n">
        <v>79</v>
      </c>
      <c r="E3784" s="1" t="n">
        <v>9.470000000000001</v>
      </c>
      <c r="F3784" s="1" t="n">
        <v>10.89</v>
      </c>
      <c r="G3784" s="1" t="n">
        <v>28.87</v>
      </c>
      <c r="H3784" s="1" t="n">
        <v>1577</v>
      </c>
      <c r="I3784" s="1" t="n">
        <v>3.94</v>
      </c>
      <c r="J3784" t="n">
        <v>75142550</v>
      </c>
    </row>
    <row r="3785" ht="15.75" customHeight="1" s="201">
      <c r="A3785" s="1" t="inlineStr">
        <is>
          <t>Infant Formula, GERBER GOOD START 2, GENTLE PLUS, powder</t>
        </is>
      </c>
      <c r="C3785" s="1" t="n">
        <v>57.1</v>
      </c>
      <c r="D3785" s="1" t="n">
        <v>74</v>
      </c>
      <c r="E3785" s="1" t="n">
        <v>9.800000000000001</v>
      </c>
      <c r="F3785" s="1" t="n">
        <v>10.8</v>
      </c>
      <c r="G3785" s="1" t="n">
        <v>25.1</v>
      </c>
      <c r="H3785" s="1" t="n">
        <v>1490</v>
      </c>
      <c r="I3785" s="1" t="n">
        <v>3.9</v>
      </c>
      <c r="J3785" t="n">
        <v>11710919</v>
      </c>
    </row>
    <row r="3786" ht="15.75" customHeight="1" s="201">
      <c r="A3786" s="1" t="inlineStr">
        <is>
          <t>Infant Formula, GERBER GOOD START 2, GENTLE PLUS, ready-to-feed</t>
        </is>
      </c>
      <c r="C3786" s="1" t="n">
        <v>7.61</v>
      </c>
      <c r="D3786" s="1" t="n">
        <v>10</v>
      </c>
      <c r="E3786" s="1" t="n">
        <v>1.31</v>
      </c>
      <c r="F3786" s="1" t="n">
        <v>1.44</v>
      </c>
      <c r="G3786" s="1" t="n">
        <v>3.34</v>
      </c>
      <c r="H3786" s="1" t="n">
        <v>199</v>
      </c>
      <c r="I3786" s="1" t="n">
        <v>0.52</v>
      </c>
      <c r="J3786" t="n">
        <v>11710919</v>
      </c>
    </row>
    <row r="3787" ht="15.75" customHeight="1" s="201">
      <c r="A3787" s="1" t="inlineStr">
        <is>
          <t>Infant formula, GERBER, GOOD START 2 SOY, with iron, powder</t>
        </is>
      </c>
      <c r="C3787" s="1" t="n">
        <v>55.6</v>
      </c>
      <c r="D3787" s="1" t="n">
        <v>80</v>
      </c>
      <c r="E3787" s="1" t="n">
        <v>9</v>
      </c>
      <c r="F3787" s="1" t="n">
        <v>12.5</v>
      </c>
      <c r="G3787" s="1" t="n">
        <v>25.6</v>
      </c>
      <c r="H3787" s="1" t="n">
        <v>1517</v>
      </c>
      <c r="I3787" s="1" t="n">
        <v>4.5</v>
      </c>
      <c r="J3787" t="n">
        <v>11710919</v>
      </c>
    </row>
    <row r="3788" ht="15.75" customHeight="1" s="201">
      <c r="A3788" s="1" t="inlineStr">
        <is>
          <t>Infant formula, GERBER, GOOD START 2 Soy, with iron, ready-to-feed</t>
        </is>
      </c>
      <c r="C3788" s="1" t="n">
        <v>7.15</v>
      </c>
      <c r="D3788" s="1" t="n">
        <v>10</v>
      </c>
      <c r="E3788" s="1" t="n">
        <v>1.31</v>
      </c>
      <c r="F3788" s="1" t="n">
        <v>1.84</v>
      </c>
      <c r="G3788" s="1" t="n">
        <v>3.28</v>
      </c>
      <c r="H3788" s="1" t="n">
        <v>199</v>
      </c>
      <c r="I3788" s="1" t="n">
        <v>0.59</v>
      </c>
      <c r="J3788" t="n">
        <v>11710919</v>
      </c>
    </row>
    <row r="3789" ht="15.75" customHeight="1" s="201">
      <c r="A3789" s="1" t="inlineStr">
        <is>
          <t>Infant formula, GERBER, GOOD START 2, PROTECT PLUS, powder</t>
        </is>
      </c>
      <c r="C3789" s="1" t="n">
        <v>56.3</v>
      </c>
      <c r="D3789" s="1" t="n">
        <v>77</v>
      </c>
      <c r="E3789" s="1" t="n">
        <v>10</v>
      </c>
      <c r="F3789" s="1" t="n">
        <v>11.1</v>
      </c>
      <c r="G3789" s="1" t="n">
        <v>25.7</v>
      </c>
      <c r="H3789" s="1" t="n">
        <v>1523</v>
      </c>
      <c r="I3789" s="1" t="n">
        <v>4.1</v>
      </c>
      <c r="J3789" t="n">
        <v>11710919</v>
      </c>
    </row>
    <row r="3790" ht="15.75" customHeight="1" s="201">
      <c r="A3790" s="1" t="inlineStr">
        <is>
          <t>Infant formula, GERBER, GOOD START 2, PROTECT PLUS, ready-to-feed</t>
        </is>
      </c>
      <c r="C3790" s="1" t="n">
        <v>7.39</v>
      </c>
      <c r="D3790" s="1" t="n">
        <v>10</v>
      </c>
      <c r="E3790" s="1" t="n">
        <v>0.98</v>
      </c>
      <c r="F3790" s="1" t="n">
        <v>1.44</v>
      </c>
      <c r="G3790" s="1" t="n">
        <v>3.37</v>
      </c>
      <c r="H3790" s="1" t="n">
        <v>199</v>
      </c>
      <c r="I3790" s="1" t="n">
        <v>0.52</v>
      </c>
      <c r="J3790" t="n">
        <v>11710919</v>
      </c>
    </row>
    <row r="3791" ht="15.75" customHeight="1" s="201">
      <c r="A3791" s="1" t="inlineStr">
        <is>
          <t>Infant formula, GERBER, GOOD START, PROTECT PLUS, powder</t>
        </is>
      </c>
      <c r="C3791" s="1" t="n">
        <v>57</v>
      </c>
      <c r="D3791" s="1" t="n">
        <v>77</v>
      </c>
      <c r="E3791" s="1" t="n">
        <v>7.7</v>
      </c>
      <c r="F3791" s="1" t="n">
        <v>11.3</v>
      </c>
      <c r="G3791" s="1" t="n">
        <v>26.1</v>
      </c>
      <c r="H3791" s="1" t="n">
        <v>1550</v>
      </c>
      <c r="I3791" s="1" t="n">
        <v>4.1</v>
      </c>
      <c r="J3791" t="n">
        <v>11710919</v>
      </c>
    </row>
    <row r="3792" ht="15.75" customHeight="1" s="201">
      <c r="A3792" s="1" t="inlineStr">
        <is>
          <t>Infant formula, GERBER, GOOD START, PROTECT PLUS, ready-to-feed</t>
        </is>
      </c>
      <c r="C3792" s="1" t="n">
        <v>7.17</v>
      </c>
      <c r="D3792" s="1" t="n">
        <v>10</v>
      </c>
      <c r="E3792" s="1" t="n">
        <v>0.98</v>
      </c>
      <c r="F3792" s="1" t="n">
        <v>1.44</v>
      </c>
      <c r="G3792" s="1" t="n">
        <v>3.36</v>
      </c>
      <c r="H3792" s="1" t="n">
        <v>199</v>
      </c>
      <c r="I3792" s="1" t="n">
        <v>0.52</v>
      </c>
      <c r="J3792" t="n">
        <v>11710919</v>
      </c>
    </row>
    <row r="3793" ht="15.75" customHeight="1" s="201">
      <c r="A3793" s="1" t="inlineStr">
        <is>
          <t>Infant formula, MEAD JOHNSON, Enfamil 24, ready to feed, with ARA and DHA</t>
        </is>
      </c>
      <c r="C3793" s="1" t="n">
        <v>6.93</v>
      </c>
      <c r="D3793" s="1" t="n">
        <v>13</v>
      </c>
      <c r="E3793" s="1" t="n">
        <v>1.41</v>
      </c>
      <c r="F3793" s="1" t="n">
        <v>1.64</v>
      </c>
      <c r="G3793" s="1" t="n">
        <v>4.1</v>
      </c>
      <c r="H3793" s="1" t="n">
        <v>230</v>
      </c>
      <c r="I3793" s="1" t="n">
        <v>0.78</v>
      </c>
      <c r="J3793" t="n">
        <v>11710639</v>
      </c>
    </row>
    <row r="3794" ht="15.75" customHeight="1" s="201">
      <c r="A3794" s="1" t="inlineStr">
        <is>
          <t>Infant formula, MEAD JOHNSON, Enfamil Enspire Powder, with ARA and DHA, not reconstituted</t>
        </is>
      </c>
      <c r="C3794" s="1" t="n">
        <v>57.2</v>
      </c>
      <c r="D3794" s="1" t="n">
        <v>80</v>
      </c>
      <c r="E3794" s="1" t="n">
        <v>9</v>
      </c>
      <c r="F3794" s="1" t="n">
        <v>10.5</v>
      </c>
      <c r="G3794" s="1" t="n">
        <v>27</v>
      </c>
      <c r="H3794" s="1" t="n">
        <v>1500</v>
      </c>
      <c r="I3794" s="1" t="n">
        <v>5</v>
      </c>
      <c r="J3794" t="n">
        <v>11710639</v>
      </c>
    </row>
    <row r="3795" ht="15.75" customHeight="1" s="201">
      <c r="A3795" s="1" t="inlineStr">
        <is>
          <t>Infant formula, MEAD JOHNSON, Enfamil for Supplementing, powder, with ARA and DHA, not reconstituted</t>
        </is>
      </c>
      <c r="C3795" s="1" t="n">
        <v>55.8</v>
      </c>
      <c r="D3795" s="1" t="n">
        <v>82</v>
      </c>
      <c r="E3795" s="1" t="n">
        <v>9.199999999999999</v>
      </c>
      <c r="F3795" s="1" t="n">
        <v>11.7</v>
      </c>
      <c r="G3795" s="1" t="n">
        <v>27</v>
      </c>
      <c r="H3795" s="1" t="n">
        <v>1530</v>
      </c>
      <c r="I3795" s="1" t="n">
        <v>5.1</v>
      </c>
      <c r="J3795" t="n">
        <v>11710639</v>
      </c>
    </row>
    <row r="3796" ht="15.75" customHeight="1" s="201">
      <c r="A3796" s="1" t="inlineStr">
        <is>
          <t>Infant formula, MEAD JOHNSON, Enfamil for Supplementing, ready to feed, with ARA and DHA</t>
        </is>
      </c>
      <c r="C3796" s="1" t="n">
        <v>7.6</v>
      </c>
      <c r="D3796" s="1" t="n">
        <v>11</v>
      </c>
      <c r="E3796" s="1" t="n">
        <v>1.18</v>
      </c>
      <c r="F3796" s="1" t="n">
        <v>1.51</v>
      </c>
      <c r="G3796" s="1" t="n">
        <v>3.5</v>
      </c>
      <c r="H3796" s="1" t="n">
        <v>200</v>
      </c>
      <c r="I3796" s="1" t="n">
        <v>0.66</v>
      </c>
      <c r="J3796" t="n">
        <v>11710639</v>
      </c>
    </row>
    <row r="3797" ht="15.75" customHeight="1" s="201">
      <c r="A3797" s="1" t="inlineStr">
        <is>
          <t>Infant Formula, MEAD JOHNSON, ENFAMIL GENTLEASE, with iron, prepared from powder</t>
        </is>
      </c>
      <c r="C3797" s="1" t="n">
        <v>7.6</v>
      </c>
      <c r="D3797" s="1" t="n">
        <v>10</v>
      </c>
      <c r="E3797" s="1" t="n">
        <v>1.18</v>
      </c>
      <c r="F3797" s="1" t="n">
        <v>1.51</v>
      </c>
      <c r="G3797" s="1" t="n">
        <v>3.5</v>
      </c>
      <c r="H3797" s="1" t="n">
        <v>197</v>
      </c>
      <c r="I3797" s="1" t="n">
        <v>0.66</v>
      </c>
      <c r="J3797" t="n">
        <v>11710639</v>
      </c>
    </row>
    <row r="3798" ht="15.75" customHeight="1" s="201">
      <c r="A3798" s="1" t="inlineStr">
        <is>
          <t>Infant formula, MEAD JOHNSON, ENFAMIL LIPIL, with iron, ready-to-feed, with ARA and DHA</t>
        </is>
      </c>
      <c r="C3798" s="1" t="n">
        <v>7.1</v>
      </c>
      <c r="D3798" s="1" t="n">
        <v>11</v>
      </c>
      <c r="E3798" s="1" t="n">
        <v>1.18</v>
      </c>
      <c r="F3798" s="1" t="n">
        <v>1.38</v>
      </c>
      <c r="G3798" s="1" t="n">
        <v>3.5</v>
      </c>
      <c r="H3798" s="1" t="n">
        <v>193</v>
      </c>
      <c r="I3798" s="1" t="n">
        <v>0.66</v>
      </c>
      <c r="J3798" t="n">
        <v>75142550</v>
      </c>
    </row>
    <row r="3799" ht="15.75" customHeight="1" s="201">
      <c r="A3799" s="1" t="inlineStr">
        <is>
          <t>Infant formula, MEAD JOHNSON, Enfamil Premature 30 Calories, ready to feed, with ARA and DHA</t>
        </is>
      </c>
      <c r="C3799" s="1" t="n">
        <v>11.13</v>
      </c>
      <c r="D3799" s="1" t="n">
        <v>39</v>
      </c>
      <c r="E3799" s="1" t="n">
        <v>1.74</v>
      </c>
      <c r="F3799" s="1" t="n">
        <v>3.2</v>
      </c>
      <c r="G3799" s="1" t="n">
        <v>4.8</v>
      </c>
      <c r="H3799" s="1" t="n">
        <v>1300</v>
      </c>
      <c r="I3799" s="1" t="n">
        <v>1.45</v>
      </c>
      <c r="J3799" t="n">
        <v>11710639</v>
      </c>
    </row>
    <row r="3800" ht="15.75" customHeight="1" s="201">
      <c r="A3800" s="1" t="inlineStr">
        <is>
          <t>Infant formula, MEAD JOHNSON, Enfamil Premature High Protein 24 Calories, ready to feed, with ARA and DHA</t>
        </is>
      </c>
      <c r="C3800" s="1" t="n">
        <v>8.66</v>
      </c>
      <c r="D3800" s="1" t="n">
        <v>31</v>
      </c>
      <c r="E3800" s="1" t="n">
        <v>1.41</v>
      </c>
      <c r="F3800" s="1" t="n">
        <v>2.8</v>
      </c>
      <c r="G3800" s="1" t="n">
        <v>3.9</v>
      </c>
      <c r="H3800" s="1" t="n">
        <v>1050</v>
      </c>
      <c r="I3800" s="1" t="n">
        <v>1.17</v>
      </c>
      <c r="J3800" t="n">
        <v>11710639</v>
      </c>
    </row>
    <row r="3801" ht="15.75" customHeight="1" s="201">
      <c r="A3801" s="1" t="inlineStr">
        <is>
          <t>Infant formula, MEAD JOHNSON, Enfamil Reguline Powder, with ARA and DHA, not reconstituted</t>
        </is>
      </c>
      <c r="C3801" s="1" t="n">
        <v>55.9</v>
      </c>
      <c r="D3801" s="1" t="n">
        <v>81</v>
      </c>
      <c r="E3801" s="1" t="n">
        <v>2.6</v>
      </c>
      <c r="F3801" s="1" t="n">
        <v>11.7</v>
      </c>
      <c r="G3801" s="1" t="n">
        <v>27</v>
      </c>
      <c r="H3801" s="1" t="n">
        <v>1520</v>
      </c>
      <c r="I3801" s="1" t="n">
        <v>5.1</v>
      </c>
      <c r="J3801" t="n">
        <v>11710639</v>
      </c>
    </row>
    <row r="3802" ht="15.75" customHeight="1" s="201">
      <c r="A3802" s="1" t="inlineStr">
        <is>
          <t>Infant formula, MEAD JOHNSON, Enfamil Reguline, ready to feed, with ARA and DHA</t>
        </is>
      </c>
      <c r="C3802" s="1" t="n">
        <v>7.6</v>
      </c>
      <c r="D3802" s="1" t="n">
        <v>11</v>
      </c>
      <c r="E3802" s="1" t="n">
        <v>0.98</v>
      </c>
      <c r="F3802" s="1" t="n">
        <v>1.51</v>
      </c>
      <c r="G3802" s="1" t="n">
        <v>3.5</v>
      </c>
      <c r="H3802" s="1" t="n">
        <v>200</v>
      </c>
      <c r="I3802" s="1" t="n">
        <v>0.66</v>
      </c>
      <c r="J3802" t="n">
        <v>11710639</v>
      </c>
    </row>
    <row r="3803" ht="15.75" customHeight="1" s="201">
      <c r="A3803" s="1" t="inlineStr">
        <is>
          <t>Infant formula, MEAD JOHNSON, ENFAMIL, AR, powder, with ARA and DHA</t>
        </is>
      </c>
      <c r="C3803" s="1" t="n">
        <v>57.4</v>
      </c>
      <c r="D3803" s="1" t="n">
        <v>80</v>
      </c>
      <c r="E3803" s="1" t="n">
        <v>9.16</v>
      </c>
      <c r="F3803" s="1" t="n">
        <v>12.4</v>
      </c>
      <c r="G3803" s="1" t="n">
        <v>25</v>
      </c>
      <c r="H3803" s="1" t="n">
        <v>1500</v>
      </c>
      <c r="I3803" s="1" t="n">
        <v>5.09</v>
      </c>
      <c r="J3803" t="n">
        <v>11710639</v>
      </c>
    </row>
    <row r="3804" ht="15.75" customHeight="1" s="201">
      <c r="A3804" s="1" t="inlineStr">
        <is>
          <t>Infant formula, MEAD JOHNSON, ENFAMIL, AR, ready-to-feed, with ARA and DHA</t>
        </is>
      </c>
      <c r="C3804" s="1" t="n">
        <v>8.73</v>
      </c>
      <c r="D3804" s="1" t="n">
        <v>11</v>
      </c>
      <c r="E3804" s="1" t="n">
        <v>1.18</v>
      </c>
      <c r="F3804" s="1" t="n">
        <v>1.64</v>
      </c>
      <c r="G3804" s="1" t="n">
        <v>3.3</v>
      </c>
      <c r="H3804" s="1" t="n">
        <v>197</v>
      </c>
      <c r="I3804" s="1" t="n">
        <v>0.66</v>
      </c>
      <c r="J3804" t="n">
        <v>11710639</v>
      </c>
    </row>
    <row r="3805" ht="15.75" customHeight="1" s="201">
      <c r="A3805" s="1" t="inlineStr">
        <is>
          <t>Infant Formula, MEAD JOHNSON, ENFAMIL, ENFACARE, ready-to-feed, with ARA and DHA</t>
        </is>
      </c>
      <c r="C3805" s="1" t="n">
        <v>7.73</v>
      </c>
      <c r="D3805" s="1" t="n">
        <v>19</v>
      </c>
      <c r="E3805" s="1" t="n">
        <v>1.28</v>
      </c>
      <c r="F3805" s="1" t="n">
        <v>2</v>
      </c>
      <c r="G3805" s="1" t="n">
        <v>3.8</v>
      </c>
      <c r="H3805" s="1" t="n">
        <v>323</v>
      </c>
      <c r="I3805" s="1" t="n">
        <v>0.72</v>
      </c>
      <c r="J3805" t="n">
        <v>11710639</v>
      </c>
    </row>
    <row r="3806" ht="15.75" customHeight="1" s="201">
      <c r="A3806" s="1" t="inlineStr">
        <is>
          <t>Infant formula, MEAD JOHNSON, ENFAMIL, ENFACARE, with iron, powder, with ARA and DHA</t>
        </is>
      </c>
      <c r="C3806" s="1" t="n">
        <v>53.8</v>
      </c>
      <c r="D3806" s="1" t="n">
        <v>128</v>
      </c>
      <c r="E3806" s="1" t="n">
        <v>8.9</v>
      </c>
      <c r="F3806" s="1" t="n">
        <v>13.9</v>
      </c>
      <c r="G3806" s="1" t="n">
        <v>26</v>
      </c>
      <c r="H3806" s="1" t="n">
        <v>2233</v>
      </c>
      <c r="I3806" s="1" t="n">
        <v>6.2</v>
      </c>
      <c r="J3806" t="n">
        <v>75142550</v>
      </c>
    </row>
    <row r="3807" ht="15.75" customHeight="1" s="201">
      <c r="A3807" s="1" t="inlineStr">
        <is>
          <t>Infant formula, MEAD JOHNSON, ENFAMIL, ENFAGROW, GENTLEASE, Toddler transitions, with ARA and DHA, powder</t>
        </is>
      </c>
      <c r="C3807" s="1" t="n">
        <v>53.5</v>
      </c>
      <c r="D3807" s="1" t="n">
        <v>80</v>
      </c>
      <c r="E3807" s="1" t="n">
        <v>7.5</v>
      </c>
      <c r="F3807" s="1" t="n">
        <v>12.9</v>
      </c>
      <c r="G3807" s="1" t="n">
        <v>26</v>
      </c>
      <c r="H3807" s="1" t="n">
        <v>1500</v>
      </c>
      <c r="I3807" s="1" t="n">
        <v>5</v>
      </c>
      <c r="J3807" t="n">
        <v>11710639</v>
      </c>
    </row>
    <row r="3808" ht="15.75" customHeight="1" s="201">
      <c r="A3808" s="1" t="inlineStr">
        <is>
          <t>Infant formula, MEAD JOHNSON, ENFAMIL, Enfagrow, Soy, Toddler ready-to-feed</t>
        </is>
      </c>
      <c r="C3808" s="1" t="n">
        <v>7.64</v>
      </c>
      <c r="D3808" s="1" t="n">
        <v>11</v>
      </c>
      <c r="E3808" s="1" t="n">
        <v>1.31</v>
      </c>
      <c r="F3808" s="1" t="n">
        <v>2.17</v>
      </c>
      <c r="G3808" s="1" t="n">
        <v>2.89</v>
      </c>
      <c r="H3808" s="1" t="n">
        <v>199</v>
      </c>
      <c r="I3808" s="1" t="n">
        <v>0.79</v>
      </c>
      <c r="J3808" t="n">
        <v>11710631</v>
      </c>
    </row>
    <row r="3809" ht="15.75" customHeight="1" s="201">
      <c r="A3809" s="1" t="inlineStr">
        <is>
          <t>Infant formula, MEAD JOHNSON, ENFAMIL, ENFAGROW, Soy, Toddler transitions, with ARA and DHA,  powder</t>
        </is>
      </c>
      <c r="C3809" s="1" t="n">
        <v>56</v>
      </c>
      <c r="D3809" s="1" t="n">
        <v>76</v>
      </c>
      <c r="E3809" s="1" t="n">
        <v>9.5</v>
      </c>
      <c r="F3809" s="1" t="n">
        <v>15.7</v>
      </c>
      <c r="G3809" s="1" t="n">
        <v>21</v>
      </c>
      <c r="H3809" s="1" t="n">
        <v>1433</v>
      </c>
      <c r="I3809" s="1" t="n">
        <v>5.7</v>
      </c>
      <c r="J3809" t="n">
        <v>11710639</v>
      </c>
    </row>
    <row r="3810" ht="15.75" customHeight="1" s="201">
      <c r="A3810" s="1" t="inlineStr">
        <is>
          <t>Infant Formula, MEAD JOHNSON, ENFAMIL, GENTLEASE, with ARA and DHA powder not reconstituted</t>
        </is>
      </c>
      <c r="C3810" s="1" t="n">
        <v>56.5</v>
      </c>
      <c r="D3810" s="1" t="n">
        <v>82</v>
      </c>
      <c r="E3810" s="1" t="n">
        <v>9.199999999999999</v>
      </c>
      <c r="F3810" s="1" t="n">
        <v>11.7</v>
      </c>
      <c r="G3810" s="1" t="n">
        <v>27</v>
      </c>
      <c r="H3810" s="1" t="n">
        <v>1533</v>
      </c>
      <c r="I3810" s="1" t="n">
        <v>5.1</v>
      </c>
      <c r="J3810" t="n">
        <v>11710639</v>
      </c>
    </row>
    <row r="3811" ht="15.75" customHeight="1" s="201">
      <c r="A3811" s="1" t="inlineStr">
        <is>
          <t>Infant formula, MEAD JOHNSON, ENFAMIL, Infant, ready-to-feed, with ARA and DHA</t>
        </is>
      </c>
      <c r="C3811" s="1" t="n">
        <v>7.86</v>
      </c>
      <c r="D3811" s="1" t="n">
        <v>11</v>
      </c>
      <c r="E3811" s="1" t="n">
        <v>1.18</v>
      </c>
      <c r="F3811" s="1" t="n">
        <v>1.31</v>
      </c>
      <c r="G3811" s="1" t="n">
        <v>3.5</v>
      </c>
      <c r="H3811" s="1" t="n">
        <v>197</v>
      </c>
      <c r="I3811" s="1" t="n">
        <v>0.66</v>
      </c>
      <c r="J3811" t="n">
        <v>11710639</v>
      </c>
    </row>
    <row r="3812" ht="15.75" customHeight="1" s="201">
      <c r="A3812" s="1" t="inlineStr">
        <is>
          <t>Infant formula, MEAD JOHNSON, ENFAMIL, Infant, with iron, liquid concentrate, with ARA and DHA, reconstituted</t>
        </is>
      </c>
      <c r="C3812" s="1" t="n">
        <v>7.86</v>
      </c>
      <c r="D3812" s="1" t="n">
        <v>11</v>
      </c>
      <c r="E3812" s="1" t="n">
        <v>1.18</v>
      </c>
      <c r="F3812" s="1" t="n">
        <v>1.31</v>
      </c>
      <c r="G3812" s="1" t="n">
        <v>3.5</v>
      </c>
      <c r="H3812" s="1" t="n">
        <v>197</v>
      </c>
      <c r="I3812" s="1" t="n">
        <v>0.66</v>
      </c>
      <c r="J3812" t="n">
        <v>75142550</v>
      </c>
    </row>
    <row r="3813" ht="15.75" customHeight="1" s="201">
      <c r="A3813" s="1" t="inlineStr">
        <is>
          <t>Infant formula, MEAD JOHNSON, ENFAMIL, Infant, with iron, powder, with ARA and DHA</t>
        </is>
      </c>
      <c r="C3813" s="1" t="n">
        <v>56.2</v>
      </c>
      <c r="D3813" s="1" t="n">
        <v>83</v>
      </c>
      <c r="E3813" s="1" t="n">
        <v>9.300000000000001</v>
      </c>
      <c r="F3813" s="1" t="n">
        <v>10.8</v>
      </c>
      <c r="G3813" s="1" t="n">
        <v>27</v>
      </c>
      <c r="H3813" s="1" t="n">
        <v>1567</v>
      </c>
      <c r="I3813" s="1" t="n">
        <v>5.2</v>
      </c>
      <c r="J3813" t="n">
        <v>75142550</v>
      </c>
    </row>
    <row r="3814" ht="15.75" customHeight="1" s="201">
      <c r="A3814" s="1" t="inlineStr">
        <is>
          <t>Infant formula, MEAD JOHNSON, ENFAMIL, LIPIL, low iron, liquid concentrate, with ARA and DHA</t>
        </is>
      </c>
      <c r="C3814" s="1" t="n">
        <v>14.24</v>
      </c>
      <c r="D3814" s="1" t="n">
        <v>21</v>
      </c>
      <c r="E3814" s="1" t="n">
        <v>0.92</v>
      </c>
      <c r="F3814" s="1" t="n">
        <v>2.76</v>
      </c>
      <c r="G3814" s="1" t="n">
        <v>7.16</v>
      </c>
      <c r="H3814" s="1" t="n">
        <v>394</v>
      </c>
      <c r="I3814" s="1" t="n">
        <v>1.31</v>
      </c>
      <c r="J3814" t="n">
        <v>11710639</v>
      </c>
    </row>
    <row r="3815" ht="15.75" customHeight="1" s="201">
      <c r="A3815" s="1" t="inlineStr">
        <is>
          <t>Infant formula, MEAD JOHNSON, ENFAMIL, LIPIL, low iron, ready to feed, with ARA and DHA</t>
        </is>
      </c>
      <c r="C3815" s="1" t="n">
        <v>7.18</v>
      </c>
      <c r="D3815" s="1" t="n">
        <v>11</v>
      </c>
      <c r="E3815" s="1" t="n">
        <v>0.46</v>
      </c>
      <c r="F3815" s="1" t="n">
        <v>1.38</v>
      </c>
      <c r="G3815" s="1" t="n">
        <v>3.5</v>
      </c>
      <c r="H3815" s="1" t="n">
        <v>194</v>
      </c>
      <c r="I3815" s="1" t="n">
        <v>0.66</v>
      </c>
      <c r="J3815" t="n">
        <v>11710639</v>
      </c>
    </row>
    <row r="3816" ht="15.75" customHeight="1" s="201">
      <c r="A3816" s="1" t="inlineStr">
        <is>
          <t>Infant Formula, MEAD JOHNSON, ENFAMIL, Newborn, with ARA and DHA, powder</t>
        </is>
      </c>
      <c r="C3816" s="1" t="n">
        <v>57.6</v>
      </c>
      <c r="D3816" s="1" t="n">
        <v>82</v>
      </c>
      <c r="E3816" s="1" t="n">
        <v>9.199999999999999</v>
      </c>
      <c r="F3816" s="1" t="n">
        <v>10.7</v>
      </c>
      <c r="G3816" s="1" t="n">
        <v>27</v>
      </c>
      <c r="H3816" s="1" t="n">
        <v>1533</v>
      </c>
      <c r="I3816" s="1" t="n">
        <v>5.1</v>
      </c>
      <c r="J3816" t="n">
        <v>11710639</v>
      </c>
    </row>
    <row r="3817" ht="15.75" customHeight="1" s="201">
      <c r="A3817" s="1" t="inlineStr">
        <is>
          <t>Infant Formula, MEAD JOHNSON, ENFAMIL, Newborn, with DHA and ARA, ready-to-feed</t>
        </is>
      </c>
      <c r="C3817" s="1" t="n">
        <v>7.81</v>
      </c>
      <c r="D3817" s="1" t="n">
        <v>11</v>
      </c>
      <c r="E3817" s="1" t="n">
        <v>1.18</v>
      </c>
      <c r="F3817" s="1" t="n">
        <v>1.38</v>
      </c>
      <c r="G3817" s="1" t="n">
        <v>3.48</v>
      </c>
      <c r="H3817" s="1" t="n">
        <v>197</v>
      </c>
      <c r="I3817" s="1" t="n">
        <v>0.66</v>
      </c>
      <c r="J3817" t="n">
        <v>11710639</v>
      </c>
    </row>
    <row r="3818" ht="15.75" customHeight="1" s="201">
      <c r="A3818" s="1" t="inlineStr">
        <is>
          <t>Infant formula, MEAD JOHNSON, ENFAMIL, NUTRAMIGEN AA, ready-to-feed</t>
        </is>
      </c>
      <c r="C3818" s="1" t="n">
        <v>6.76</v>
      </c>
      <c r="D3818" s="1" t="n">
        <v>11</v>
      </c>
      <c r="E3818" s="1" t="n">
        <v>1.18</v>
      </c>
      <c r="F3818" s="1" t="n">
        <v>1.84</v>
      </c>
      <c r="G3818" s="1" t="n">
        <v>3.48</v>
      </c>
      <c r="H3818" s="1" t="n">
        <v>197</v>
      </c>
      <c r="I3818" s="1" t="n">
        <v>0.66</v>
      </c>
      <c r="J3818" t="n">
        <v>11710631</v>
      </c>
    </row>
    <row r="3819" ht="15.75" customHeight="1" s="201">
      <c r="A3819" s="1" t="inlineStr">
        <is>
          <t>Infant formula, MEAD JOHNSON, ENFAMIL, NUTRAMIGEN WITH LGG, with iron, powder, not reconstituted, with ARA and DHA</t>
        </is>
      </c>
      <c r="C3819" s="1" t="n">
        <v>53.6</v>
      </c>
      <c r="D3819" s="1" t="n">
        <v>79</v>
      </c>
      <c r="E3819" s="1" t="n">
        <v>9.1</v>
      </c>
      <c r="F3819" s="1" t="n">
        <v>14.1</v>
      </c>
      <c r="G3819" s="1" t="n">
        <v>27</v>
      </c>
      <c r="H3819" s="1" t="n">
        <v>1500</v>
      </c>
      <c r="I3819" s="1" t="n">
        <v>5.1</v>
      </c>
      <c r="J3819" t="n">
        <v>75142550</v>
      </c>
    </row>
    <row r="3820" ht="15.75" customHeight="1" s="201">
      <c r="A3820" s="1" t="inlineStr">
        <is>
          <t>Infant formula, MEAD JOHNSON, ENFAMIL, NUTRAMIGEN, PurAmino, powder, not reconstituted</t>
        </is>
      </c>
      <c r="C3820" s="1" t="n">
        <v>55.68</v>
      </c>
      <c r="D3820" s="1" t="n">
        <v>80</v>
      </c>
      <c r="E3820" s="1" t="n">
        <v>9</v>
      </c>
      <c r="F3820" s="1" t="n">
        <v>13.9</v>
      </c>
      <c r="G3820" s="1" t="n">
        <v>26</v>
      </c>
      <c r="H3820" s="1" t="n">
        <v>1500</v>
      </c>
      <c r="I3820" s="1" t="n">
        <v>5</v>
      </c>
      <c r="J3820" t="n">
        <v>11710639</v>
      </c>
    </row>
    <row r="3821" ht="15.75" customHeight="1" s="201">
      <c r="A3821" s="1" t="inlineStr">
        <is>
          <t>Infant formula, MEAD JOHNSON, ENFAMIL, NUTRAMIGEN, with iron, liquid concentrate not reconstituted, with ARA and DHA</t>
        </is>
      </c>
      <c r="C3821" s="1" t="n">
        <v>7.2</v>
      </c>
      <c r="D3821" s="1" t="n">
        <v>11</v>
      </c>
      <c r="E3821" s="1" t="n">
        <v>1.18</v>
      </c>
      <c r="F3821" s="1" t="n">
        <v>1.84</v>
      </c>
      <c r="G3821" s="1" t="n">
        <v>3.5</v>
      </c>
      <c r="H3821" s="1" t="n">
        <v>197</v>
      </c>
      <c r="I3821" s="1" t="n">
        <v>0.66</v>
      </c>
      <c r="J3821" t="n">
        <v>11740312</v>
      </c>
    </row>
    <row r="3822" ht="15.75" customHeight="1" s="201">
      <c r="A3822" s="1" t="inlineStr">
        <is>
          <t>Infant formula, MEAD JOHNSON, ENFAMIL, NUTRAMIGEN, with iron, ready-to-feed, with ARA and DHA</t>
        </is>
      </c>
      <c r="C3822" s="1" t="n">
        <v>7.21</v>
      </c>
      <c r="D3822" s="1" t="n">
        <v>11</v>
      </c>
      <c r="E3822" s="1" t="n">
        <v>1.18</v>
      </c>
      <c r="F3822" s="1" t="n">
        <v>1.83</v>
      </c>
      <c r="G3822" s="1" t="n">
        <v>3.5</v>
      </c>
      <c r="H3822" s="1" t="n">
        <v>197</v>
      </c>
      <c r="I3822" s="1" t="n">
        <v>0.66</v>
      </c>
      <c r="J3822" t="n">
        <v>75142550</v>
      </c>
    </row>
    <row r="3823" ht="15.75" customHeight="1" s="201">
      <c r="A3823" s="1" t="inlineStr">
        <is>
          <t>Infant formula, MEAD JOHNSON, ENFAMIL, Premature, 20 calories ready-to-feed Low iron</t>
        </is>
      </c>
      <c r="C3823" s="1" t="n">
        <v>7.21</v>
      </c>
      <c r="D3823" s="1" t="n">
        <v>26</v>
      </c>
      <c r="E3823" s="1" t="n">
        <v>0.33</v>
      </c>
      <c r="F3823" s="1" t="n">
        <v>1.97</v>
      </c>
      <c r="G3823" s="1" t="n">
        <v>3.34</v>
      </c>
      <c r="H3823" s="1" t="n">
        <v>833</v>
      </c>
      <c r="I3823" s="1" t="n">
        <v>0.98</v>
      </c>
      <c r="J3823" t="n">
        <v>11710631</v>
      </c>
    </row>
    <row r="3824" ht="15.75" customHeight="1" s="201">
      <c r="A3824" s="1" t="inlineStr">
        <is>
          <t>Infant formula, MEAD JOHNSON, ENFAMIL, Premature, 24 calories ready-to-feed Low iron</t>
        </is>
      </c>
      <c r="C3824" s="1" t="n">
        <v>7.19</v>
      </c>
      <c r="D3824" s="1" t="n">
        <v>26</v>
      </c>
      <c r="E3824" s="1" t="n">
        <v>0.33</v>
      </c>
      <c r="F3824" s="1" t="n">
        <v>1.97</v>
      </c>
      <c r="G3824" s="1" t="n">
        <v>3.34</v>
      </c>
      <c r="H3824" s="1" t="n">
        <v>828</v>
      </c>
      <c r="I3824" s="1" t="n">
        <v>0.98</v>
      </c>
      <c r="J3824" t="n">
        <v>11710631</v>
      </c>
    </row>
    <row r="3825" ht="15.75" customHeight="1" s="201">
      <c r="A3825" s="1" t="inlineStr">
        <is>
          <t>Infant formula, MEAD JOHNSON, ENFAMIL, Premature, with iron, 20 calories, ready-to-feed</t>
        </is>
      </c>
      <c r="C3825" s="1" t="n">
        <v>6.2</v>
      </c>
      <c r="D3825" s="1" t="n">
        <v>26</v>
      </c>
      <c r="E3825" s="1" t="n">
        <v>1.18</v>
      </c>
      <c r="F3825" s="1" t="n">
        <v>2.2</v>
      </c>
      <c r="G3825" s="1" t="n">
        <v>3.3</v>
      </c>
      <c r="H3825" s="1" t="n">
        <v>900</v>
      </c>
      <c r="I3825" s="1" t="n">
        <v>0.98</v>
      </c>
      <c r="J3825" t="n">
        <v>11710639</v>
      </c>
    </row>
    <row r="3826" ht="15.75" customHeight="1" s="201">
      <c r="A3826" s="1" t="inlineStr">
        <is>
          <t>Infant formula, MEAD JOHNSON, ENFAMIL, Premature, with iron, 24 calories, ready-to-feed</t>
        </is>
      </c>
      <c r="C3826" s="1" t="n">
        <v>8.880000000000001</v>
      </c>
      <c r="D3826" s="1" t="n">
        <v>31</v>
      </c>
      <c r="E3826" s="1" t="n">
        <v>1.4</v>
      </c>
      <c r="F3826" s="1" t="n">
        <v>2.6</v>
      </c>
      <c r="G3826" s="1" t="n">
        <v>3.9</v>
      </c>
      <c r="H3826" s="1" t="n">
        <v>828</v>
      </c>
      <c r="I3826" s="1" t="n">
        <v>1.17</v>
      </c>
      <c r="J3826" t="n">
        <v>11710639</v>
      </c>
    </row>
    <row r="3827" ht="15.75" customHeight="1" s="201">
      <c r="A3827" s="1" t="inlineStr">
        <is>
          <t>Infant Formula, MEAD JOHNSON, ENFAMIL, Premium LIPIL, Infant, Liquid concentrate, not reconstituted</t>
        </is>
      </c>
      <c r="C3827" s="1" t="n">
        <v>14.42</v>
      </c>
      <c r="D3827" s="1" t="n">
        <v>12</v>
      </c>
      <c r="E3827" s="1" t="n">
        <v>2.33</v>
      </c>
      <c r="F3827" s="1" t="n">
        <v>2.73</v>
      </c>
      <c r="G3827" s="1" t="n">
        <v>6.83</v>
      </c>
      <c r="H3827" s="1" t="n">
        <v>394</v>
      </c>
      <c r="I3827" s="1" t="n">
        <v>1.29</v>
      </c>
      <c r="J3827" t="n">
        <v>11710639</v>
      </c>
    </row>
    <row r="3828" ht="15.75" customHeight="1" s="201">
      <c r="A3828" s="1" t="inlineStr">
        <is>
          <t>Infant Formula, MEAD JOHNSON, ENFAMIL, Premium LIPIL, Infant, powder</t>
        </is>
      </c>
      <c r="C3828" s="1" t="n">
        <v>57</v>
      </c>
      <c r="D3828" s="1" t="n">
        <v>81</v>
      </c>
      <c r="E3828" s="1" t="n">
        <v>9.199999999999999</v>
      </c>
      <c r="F3828" s="1" t="n">
        <v>10.8</v>
      </c>
      <c r="G3828" s="1" t="n">
        <v>27</v>
      </c>
      <c r="H3828" s="1" t="n">
        <v>1525</v>
      </c>
      <c r="I3828" s="1" t="n">
        <v>5.1</v>
      </c>
      <c r="J3828" t="n">
        <v>11710639</v>
      </c>
    </row>
    <row r="3829" ht="15.75" customHeight="1" s="201">
      <c r="A3829" s="1" t="inlineStr">
        <is>
          <t>Infant Formula, MEAD JOHNSON, ENFAMIL, Premium, Infant, Liquid concentrate, not reconstituted</t>
        </is>
      </c>
      <c r="C3829" s="1" t="n">
        <v>14.34</v>
      </c>
      <c r="D3829" s="1" t="n">
        <v>12</v>
      </c>
      <c r="E3829" s="1" t="n">
        <v>2.32</v>
      </c>
      <c r="F3829" s="1" t="n">
        <v>2.72</v>
      </c>
      <c r="G3829" s="1" t="n">
        <v>7.1</v>
      </c>
      <c r="H3829" s="1" t="n">
        <v>395</v>
      </c>
      <c r="I3829" s="1" t="n">
        <v>1.28</v>
      </c>
      <c r="J3829" t="n">
        <v>11710639</v>
      </c>
    </row>
    <row r="3830" ht="15.75" customHeight="1" s="201">
      <c r="A3830" s="1" t="inlineStr">
        <is>
          <t>Infant Formula, MEAD JOHNSON, ENFAMIL, Premium, Infant, powder</t>
        </is>
      </c>
      <c r="C3830" s="1" t="n">
        <v>57</v>
      </c>
      <c r="D3830" s="1" t="n">
        <v>81</v>
      </c>
      <c r="E3830" s="1" t="n">
        <v>9.199999999999999</v>
      </c>
      <c r="F3830" s="1" t="n">
        <v>10.8</v>
      </c>
      <c r="G3830" s="1" t="n">
        <v>27</v>
      </c>
      <c r="H3830" s="1" t="n">
        <v>1525</v>
      </c>
      <c r="I3830" s="1" t="n">
        <v>5.1</v>
      </c>
      <c r="J3830" t="n">
        <v>11710639</v>
      </c>
    </row>
    <row r="3831" ht="15.75" customHeight="1" s="201">
      <c r="A3831" s="1" t="inlineStr">
        <is>
          <t>Infant Formula, MEAD JOHNSON, ENFAMIL, Premium, Infant, ready-to-feed</t>
        </is>
      </c>
      <c r="C3831" s="1" t="n">
        <v>7.39</v>
      </c>
      <c r="D3831" s="1" t="n">
        <v>11</v>
      </c>
      <c r="E3831" s="1" t="n">
        <v>1.18</v>
      </c>
      <c r="F3831" s="1" t="n">
        <v>1.38</v>
      </c>
      <c r="G3831" s="1" t="n">
        <v>3.48</v>
      </c>
      <c r="H3831" s="1" t="n">
        <v>199</v>
      </c>
      <c r="I3831" s="1" t="n">
        <v>0.66</v>
      </c>
      <c r="J3831" t="n">
        <v>11710631</v>
      </c>
    </row>
    <row r="3832" ht="15.75" customHeight="1" s="201">
      <c r="A3832" s="1" t="inlineStr">
        <is>
          <t>Infant formula, MEAD JOHNSON, ENFAMIL, PROSOBEE, liquid concentrate, reconstituted, with ARA and DHA</t>
        </is>
      </c>
      <c r="C3832" s="1" t="n">
        <v>7.58</v>
      </c>
      <c r="D3832" s="1" t="n">
        <v>10</v>
      </c>
      <c r="E3832" s="1" t="n">
        <v>1.17</v>
      </c>
      <c r="F3832" s="1" t="n">
        <v>1.63</v>
      </c>
      <c r="G3832" s="1" t="n">
        <v>3.4</v>
      </c>
      <c r="H3832" s="1" t="n">
        <v>197</v>
      </c>
      <c r="I3832" s="1" t="n">
        <v>6.1</v>
      </c>
      <c r="J3832" t="n">
        <v>11710639</v>
      </c>
    </row>
    <row r="3833" ht="15.75" customHeight="1" s="201">
      <c r="A3833" s="1" t="inlineStr">
        <is>
          <t>Infant formula, MEAD JOHNSON, ENFAMIL, PROSOBEE, with iron, powder, not reconstituted, with ARA and DHA</t>
        </is>
      </c>
      <c r="C3833" s="1" t="n">
        <v>54.6</v>
      </c>
      <c r="D3833" s="1" t="n">
        <v>81</v>
      </c>
      <c r="E3833" s="1" t="n">
        <v>9.5</v>
      </c>
      <c r="F3833" s="1" t="n">
        <v>12.7</v>
      </c>
      <c r="G3833" s="1" t="n">
        <v>27</v>
      </c>
      <c r="H3833" s="1" t="n">
        <v>1533</v>
      </c>
      <c r="I3833" s="1" t="n">
        <v>6.1</v>
      </c>
      <c r="J3833" t="n">
        <v>75142550</v>
      </c>
    </row>
    <row r="3834" ht="15.75" customHeight="1" s="201">
      <c r="A3834" s="1" t="inlineStr">
        <is>
          <t>Infant formula, MEAD JOHNSON, ENFAMIL, with iron, powder</t>
        </is>
      </c>
      <c r="C3834" s="1" t="n">
        <v>56.2</v>
      </c>
      <c r="D3834" s="1" t="n">
        <v>83</v>
      </c>
      <c r="E3834" s="1" t="n">
        <v>9.300000000000001</v>
      </c>
      <c r="F3834" s="1" t="n">
        <v>10.8</v>
      </c>
      <c r="G3834" s="1" t="n">
        <v>27</v>
      </c>
      <c r="H3834" s="1" t="n">
        <v>1567</v>
      </c>
      <c r="I3834" s="1" t="n">
        <v>5.2</v>
      </c>
      <c r="J3834" t="n">
        <v>11710639</v>
      </c>
    </row>
    <row r="3835" ht="15.75" customHeight="1" s="201">
      <c r="A3835" s="1" t="inlineStr">
        <is>
          <t>Infant formula, MEAD JOHNSON, Gentlease, ready to feed, with ARA and DHA</t>
        </is>
      </c>
      <c r="C3835" s="1" t="n">
        <v>7.61</v>
      </c>
      <c r="D3835" s="1" t="n">
        <v>11</v>
      </c>
      <c r="E3835" s="1" t="n">
        <v>1.18</v>
      </c>
      <c r="F3835" s="1" t="n">
        <v>1.5</v>
      </c>
      <c r="G3835" s="1" t="n">
        <v>3.5</v>
      </c>
      <c r="H3835" s="1" t="n">
        <v>200</v>
      </c>
      <c r="I3835" s="1" t="n">
        <v>0.66</v>
      </c>
      <c r="J3835" t="n">
        <v>75142550</v>
      </c>
    </row>
    <row r="3836" ht="15.75" customHeight="1" s="201">
      <c r="A3836" s="1" t="inlineStr">
        <is>
          <t>Infant formula, MEAD JOHNSON, NEXT STEP PROSOBEE, powder, not reconstituted</t>
        </is>
      </c>
      <c r="C3836" s="1" t="n">
        <v>57.1</v>
      </c>
      <c r="D3836" s="1" t="n">
        <v>76</v>
      </c>
      <c r="E3836" s="1" t="n">
        <v>9.5</v>
      </c>
      <c r="F3836" s="1" t="n">
        <v>15.6</v>
      </c>
      <c r="G3836" s="1" t="n">
        <v>21</v>
      </c>
      <c r="H3836" s="1" t="n">
        <v>1420</v>
      </c>
      <c r="I3836" s="1" t="n">
        <v>5.7</v>
      </c>
      <c r="J3836" t="n">
        <v>11710637</v>
      </c>
    </row>
    <row r="3837" ht="15.75" customHeight="1" s="201">
      <c r="A3837" s="1" t="inlineStr">
        <is>
          <t>Infant formula, MEAD JOHNSON, NEXT STEP, PROSOBEE LIPIL, powder, with ARA and DHA</t>
        </is>
      </c>
      <c r="C3837" s="1" t="n">
        <v>57.1</v>
      </c>
      <c r="D3837" s="1" t="n">
        <v>76</v>
      </c>
      <c r="E3837" s="1" t="n">
        <v>9.5</v>
      </c>
      <c r="F3837" s="1" t="n">
        <v>15.6</v>
      </c>
      <c r="G3837" s="1" t="n">
        <v>21</v>
      </c>
      <c r="H3837" s="1" t="n">
        <v>1420</v>
      </c>
      <c r="I3837" s="1" t="n">
        <v>5.7</v>
      </c>
      <c r="J3837" t="n">
        <v>11710637</v>
      </c>
    </row>
    <row r="3838" ht="15.75" customHeight="1" s="201">
      <c r="A3838" s="1" t="inlineStr">
        <is>
          <t>Infant formula, MEAD JOHNSON, NEXT STEP, PROSOBEE, LIPIL, ready to feed, with ARA and DHA</t>
        </is>
      </c>
      <c r="C3838" s="1" t="n">
        <v>8.09</v>
      </c>
      <c r="D3838" s="1" t="n">
        <v>11</v>
      </c>
      <c r="E3838" s="1" t="n">
        <v>1.31</v>
      </c>
      <c r="F3838" s="1" t="n">
        <v>2.14</v>
      </c>
      <c r="G3838" s="1" t="n">
        <v>2.91</v>
      </c>
      <c r="H3838" s="1" t="n">
        <v>194</v>
      </c>
      <c r="I3838" s="1" t="n">
        <v>0.79</v>
      </c>
      <c r="J3838" t="n">
        <v>75142550</v>
      </c>
    </row>
    <row r="3839" ht="15.75" customHeight="1" s="201">
      <c r="A3839" s="1" t="inlineStr">
        <is>
          <t>Infant formula, MEAD JOHNSON, Pregestimil 20 Calories, ready to feed, with ARA and DHA</t>
        </is>
      </c>
      <c r="C3839" s="1" t="n">
        <v>7</v>
      </c>
      <c r="D3839" s="1" t="n">
        <v>11</v>
      </c>
      <c r="E3839" s="1" t="n">
        <v>1.18</v>
      </c>
      <c r="F3839" s="1" t="n">
        <v>1.84</v>
      </c>
      <c r="G3839" s="1" t="n">
        <v>3.7</v>
      </c>
      <c r="H3839" s="1" t="n">
        <v>230</v>
      </c>
      <c r="I3839" s="1" t="n">
        <v>0.66</v>
      </c>
      <c r="J3839" t="n">
        <v>75142550</v>
      </c>
    </row>
    <row r="3840" ht="15.75" customHeight="1" s="201">
      <c r="A3840" s="1" t="inlineStr">
        <is>
          <t>Infant formula, MEAD JOHNSON, Pregestimil 24 Calories, ready to feed, with ARA and DHA</t>
        </is>
      </c>
      <c r="C3840" s="1" t="n">
        <v>5.95</v>
      </c>
      <c r="D3840" s="1" t="n">
        <v>13</v>
      </c>
      <c r="E3840" s="1" t="n">
        <v>1.4</v>
      </c>
      <c r="F3840" s="1" t="n">
        <v>2.2</v>
      </c>
      <c r="G3840" s="1" t="n">
        <v>4.4</v>
      </c>
      <c r="H3840" s="1" t="n">
        <v>270</v>
      </c>
      <c r="I3840" s="1" t="n">
        <v>0.78</v>
      </c>
      <c r="J3840" t="n">
        <v>75142550</v>
      </c>
    </row>
    <row r="3841" ht="15.75" customHeight="1" s="201">
      <c r="A3841" s="1" t="inlineStr">
        <is>
          <t>Infant formula, MEAD JOHNSON, PREGESTIMIL, with iron, powder, with ARA and DHA, not reconstituted</t>
        </is>
      </c>
      <c r="C3841" s="1" t="n">
        <v>52.2</v>
      </c>
      <c r="D3841" s="1" t="n">
        <v>80</v>
      </c>
      <c r="E3841" s="1" t="n">
        <v>9</v>
      </c>
      <c r="F3841" s="1" t="n">
        <v>14</v>
      </c>
      <c r="G3841" s="1" t="n">
        <v>28</v>
      </c>
      <c r="H3841" s="1" t="n">
        <v>1767</v>
      </c>
      <c r="I3841" s="1" t="n">
        <v>5</v>
      </c>
      <c r="J3841" t="n">
        <v>75142550</v>
      </c>
    </row>
    <row r="3842" ht="15.75" customHeight="1" s="201">
      <c r="A3842" s="1" t="inlineStr">
        <is>
          <t>Infant formula, MEAD JOHNSON, PREGESTIMIL, with iron, with ARA and DHA, prepared from powder</t>
        </is>
      </c>
      <c r="C3842" s="1" t="n">
        <v>6.54</v>
      </c>
      <c r="D3842" s="1" t="n">
        <v>11</v>
      </c>
      <c r="E3842" s="1" t="n">
        <v>1.19</v>
      </c>
      <c r="F3842" s="1" t="n">
        <v>1.86</v>
      </c>
      <c r="G3842" s="1" t="n">
        <v>3.7</v>
      </c>
      <c r="H3842" s="1" t="n">
        <v>233</v>
      </c>
      <c r="I3842" s="1" t="n">
        <v>0.66</v>
      </c>
      <c r="J3842" t="n">
        <v>75142550</v>
      </c>
    </row>
    <row r="3843" ht="15.75" customHeight="1" s="201">
      <c r="A3843" s="1" t="inlineStr">
        <is>
          <t>Infant formula, MEAD JOHNSON, PROSOBEE, with iron, ready to feed, with ARA and DHA</t>
        </is>
      </c>
      <c r="C3843" s="1" t="n">
        <v>6.47</v>
      </c>
      <c r="D3843" s="1" t="n">
        <v>11</v>
      </c>
      <c r="E3843" s="1" t="n">
        <v>1.18</v>
      </c>
      <c r="F3843" s="1" t="n">
        <v>1.64</v>
      </c>
      <c r="G3843" s="1" t="n">
        <v>3.5</v>
      </c>
      <c r="H3843" s="1" t="n">
        <v>197</v>
      </c>
      <c r="I3843" s="1" t="n">
        <v>0.79</v>
      </c>
      <c r="J3843" t="n">
        <v>75142550</v>
      </c>
    </row>
    <row r="3844" ht="15.75" customHeight="1" s="201">
      <c r="A3844" s="1" t="inlineStr">
        <is>
          <t>Infant formula, MEAD JOHNSON, PROSOBEE, with iron, ready-to-feed</t>
        </is>
      </c>
      <c r="C3844" s="1" t="n">
        <v>6.11</v>
      </c>
      <c r="D3844" s="1" t="n">
        <v>11</v>
      </c>
      <c r="E3844" s="1" t="n">
        <v>1.18</v>
      </c>
      <c r="F3844" s="1" t="n">
        <v>1.64</v>
      </c>
      <c r="G3844" s="1" t="n">
        <v>3.5</v>
      </c>
      <c r="H3844" s="1" t="n">
        <v>194</v>
      </c>
      <c r="I3844" s="1" t="n">
        <v>0.79</v>
      </c>
      <c r="J3844" t="n">
        <v>75142550</v>
      </c>
    </row>
    <row r="3845" ht="15.75" customHeight="1" s="201">
      <c r="A3845" s="1" t="inlineStr">
        <is>
          <t>Infant formula, MEAD JOHNSON,NEXT STEP PROSOBEE, prepared from powder</t>
        </is>
      </c>
      <c r="C3845" s="1" t="n">
        <v>8.08</v>
      </c>
      <c r="D3845" s="1" t="n">
        <v>11</v>
      </c>
      <c r="E3845" s="1" t="n">
        <v>1.31</v>
      </c>
      <c r="F3845" s="1" t="n">
        <v>2.14</v>
      </c>
      <c r="G3845" s="1" t="n">
        <v>2.91</v>
      </c>
      <c r="H3845" s="1" t="n">
        <v>194</v>
      </c>
      <c r="I3845" s="1" t="n">
        <v>0.79</v>
      </c>
      <c r="J3845" t="n">
        <v>11710637</v>
      </c>
    </row>
    <row r="3846" ht="15.75" customHeight="1" s="201">
      <c r="A3846" s="1" t="inlineStr">
        <is>
          <t>Infant formula, NESTLE, GOOD START ESSENTIALS SOY, with iron, powder</t>
        </is>
      </c>
      <c r="C3846" s="1" t="n">
        <v>55.7</v>
      </c>
      <c r="D3846" s="1" t="n">
        <v>80</v>
      </c>
      <c r="E3846" s="1" t="n">
        <v>9</v>
      </c>
      <c r="F3846" s="1" t="n">
        <v>12.5</v>
      </c>
      <c r="G3846" s="1" t="n">
        <v>25.5</v>
      </c>
      <c r="H3846" s="1" t="n">
        <v>1503</v>
      </c>
      <c r="I3846" s="1" t="n">
        <v>4.51</v>
      </c>
      <c r="J3846" t="n">
        <v>11710917</v>
      </c>
    </row>
    <row r="3847" ht="15.75" customHeight="1" s="201">
      <c r="A3847" s="1" t="inlineStr">
        <is>
          <t>Infant formula, NESTLE, GOOD START SOY, with ARA and DHA, powder</t>
        </is>
      </c>
      <c r="C3847" s="1" t="n">
        <v>55.6</v>
      </c>
      <c r="D3847" s="1" t="n">
        <v>80</v>
      </c>
      <c r="E3847" s="1" t="n">
        <v>9</v>
      </c>
      <c r="F3847" s="1" t="n">
        <v>12.5</v>
      </c>
      <c r="G3847" s="1" t="n">
        <v>25.6</v>
      </c>
      <c r="H3847" s="1" t="n">
        <v>1503</v>
      </c>
      <c r="I3847" s="1" t="n">
        <v>4.51</v>
      </c>
      <c r="J3847" t="n">
        <v>11710917</v>
      </c>
    </row>
    <row r="3848" ht="15.75" customHeight="1" s="201">
      <c r="A3848" s="1" t="inlineStr">
        <is>
          <t>Infant formula, NESTLE, GOOD START SOY, with DHA and ARA, liquid concentrate</t>
        </is>
      </c>
      <c r="C3848" s="1" t="n">
        <v>14.71</v>
      </c>
      <c r="D3848" s="1" t="n">
        <v>21</v>
      </c>
      <c r="E3848" s="1" t="n">
        <v>2.38</v>
      </c>
      <c r="F3848" s="1" t="n">
        <v>3.31</v>
      </c>
      <c r="G3848" s="1" t="n">
        <v>6.67</v>
      </c>
      <c r="H3848" s="1" t="n">
        <v>397</v>
      </c>
      <c r="I3848" s="1" t="n">
        <v>1.19</v>
      </c>
      <c r="J3848" t="n">
        <v>75142550</v>
      </c>
    </row>
    <row r="3849" ht="15.75" customHeight="1" s="201">
      <c r="A3849" s="1" t="inlineStr">
        <is>
          <t>Infant formula, NESTLE, GOOD START SOY, with DHA and ARA, ready-to-feed</t>
        </is>
      </c>
      <c r="C3849" s="1" t="n">
        <v>7.13</v>
      </c>
      <c r="D3849" s="1" t="n">
        <v>10</v>
      </c>
      <c r="E3849" s="1" t="n">
        <v>1.15</v>
      </c>
      <c r="F3849" s="1" t="n">
        <v>1.6</v>
      </c>
      <c r="G3849" s="1" t="n">
        <v>3.28</v>
      </c>
      <c r="H3849" s="1" t="n">
        <v>193</v>
      </c>
      <c r="I3849" s="1" t="n">
        <v>0.58</v>
      </c>
      <c r="J3849" t="n">
        <v>75142550</v>
      </c>
    </row>
    <row r="3850" ht="15.75" customHeight="1" s="201">
      <c r="A3850" s="1" t="inlineStr">
        <is>
          <t>Infant formula, NESTLE, GOOD START SUPREME, with iron, DHA and ARA, prepared from liquid concentrate</t>
        </is>
      </c>
      <c r="C3850" s="1" t="n">
        <v>7.39</v>
      </c>
      <c r="D3850" s="1" t="n">
        <v>10</v>
      </c>
      <c r="E3850" s="1" t="n">
        <v>0.99</v>
      </c>
      <c r="F3850" s="1" t="n">
        <v>1.45</v>
      </c>
      <c r="G3850" s="1" t="n">
        <v>3.37</v>
      </c>
      <c r="H3850" s="1" t="n">
        <v>200</v>
      </c>
      <c r="I3850" s="1" t="n">
        <v>0.53</v>
      </c>
      <c r="J3850" t="n">
        <v>75142550</v>
      </c>
    </row>
    <row r="3851" ht="15.75" customHeight="1" s="201">
      <c r="A3851" s="1" t="inlineStr">
        <is>
          <t>Infant formula, NESTLE, GOOD START SUPREME, with iron, DHA and ARA, ready-to-feed</t>
        </is>
      </c>
      <c r="C3851" s="1" t="n">
        <v>7.39</v>
      </c>
      <c r="D3851" s="1" t="n">
        <v>10</v>
      </c>
      <c r="E3851" s="1" t="n">
        <v>0.99</v>
      </c>
      <c r="F3851" s="1" t="n">
        <v>1.45</v>
      </c>
      <c r="G3851" s="1" t="n">
        <v>3.37</v>
      </c>
      <c r="H3851" s="1" t="n">
        <v>200</v>
      </c>
      <c r="I3851" s="1" t="n">
        <v>0.53</v>
      </c>
      <c r="J3851" t="n">
        <v>75142550</v>
      </c>
    </row>
    <row r="3852" ht="15.75" customHeight="1" s="201">
      <c r="A3852" s="1" t="inlineStr">
        <is>
          <t>Infant formula, NESTLE, GOOD START SUPREME, with iron, liquid concentrate, not reconstituted</t>
        </is>
      </c>
      <c r="C3852" s="1" t="n">
        <v>14.2</v>
      </c>
      <c r="D3852" s="1" t="n">
        <v>19</v>
      </c>
      <c r="E3852" s="1" t="n">
        <v>1.9</v>
      </c>
      <c r="F3852" s="1" t="n">
        <v>2.79</v>
      </c>
      <c r="G3852" s="1" t="n">
        <v>6.5</v>
      </c>
      <c r="H3852" s="1" t="n">
        <v>381</v>
      </c>
      <c r="I3852" s="1" t="n">
        <v>1.02</v>
      </c>
      <c r="J3852" t="n">
        <v>75142550</v>
      </c>
    </row>
    <row r="3853" ht="15.75" customHeight="1" s="201">
      <c r="A3853" s="1" t="inlineStr">
        <is>
          <t>Infant formula, NESTLE, GOOD START SUPREME, with iron, powder</t>
        </is>
      </c>
      <c r="C3853" s="1" t="n">
        <v>57.32</v>
      </c>
      <c r="D3853" s="1" t="n">
        <v>77</v>
      </c>
      <c r="E3853" s="1" t="n">
        <v>7.7</v>
      </c>
      <c r="F3853" s="1" t="n">
        <v>11.3</v>
      </c>
      <c r="G3853" s="1" t="n">
        <v>26.1</v>
      </c>
      <c r="H3853" s="1" t="n">
        <v>1537</v>
      </c>
      <c r="I3853" s="1" t="n">
        <v>4.1</v>
      </c>
      <c r="J3853" t="n">
        <v>11710917</v>
      </c>
    </row>
    <row r="3854" ht="15.75" customHeight="1" s="201">
      <c r="A3854" s="1" t="inlineStr">
        <is>
          <t>Infant formula, PBM PRODUCTS, store brand, liquid concentrate, not reconstituted</t>
        </is>
      </c>
      <c r="C3854" s="1" t="n">
        <v>13.9</v>
      </c>
      <c r="D3854" s="1" t="n">
        <v>10</v>
      </c>
      <c r="E3854" s="1" t="n">
        <v>2.36</v>
      </c>
      <c r="F3854" s="1" t="n">
        <v>2.9</v>
      </c>
      <c r="G3854" s="1" t="n">
        <v>7</v>
      </c>
      <c r="H3854" s="1" t="n">
        <v>393</v>
      </c>
      <c r="I3854" s="1" t="n">
        <v>1.06</v>
      </c>
      <c r="J3854" t="n">
        <v>11710631</v>
      </c>
    </row>
    <row r="3855" ht="15.75" customHeight="1" s="201">
      <c r="A3855" s="1" t="inlineStr">
        <is>
          <t>Infant formula, PBM PRODUCTS, store brand, powder</t>
        </is>
      </c>
      <c r="C3855" s="1" t="n">
        <v>56</v>
      </c>
      <c r="D3855" s="1" t="n">
        <v>39</v>
      </c>
      <c r="E3855" s="1" t="n">
        <v>9.5</v>
      </c>
      <c r="F3855" s="1" t="n">
        <v>12</v>
      </c>
      <c r="G3855" s="1" t="n">
        <v>28</v>
      </c>
      <c r="H3855" s="1" t="n">
        <v>1577</v>
      </c>
      <c r="I3855" s="1" t="n">
        <v>3.9</v>
      </c>
      <c r="J3855" t="n">
        <v>11710637</v>
      </c>
    </row>
    <row r="3856" ht="15.75" customHeight="1" s="201">
      <c r="A3856" s="1" t="inlineStr">
        <is>
          <t>Infant formula, PBM PRODUCTS, store brand, ready-to-feed</t>
        </is>
      </c>
      <c r="C3856" s="1" t="n">
        <v>6.39</v>
      </c>
      <c r="D3856" s="1" t="n">
        <v>5</v>
      </c>
      <c r="E3856" s="1" t="n">
        <v>1.18</v>
      </c>
      <c r="F3856" s="1" t="n">
        <v>1.4</v>
      </c>
      <c r="G3856" s="1" t="n">
        <v>3.5</v>
      </c>
      <c r="H3856" s="1" t="n">
        <v>197</v>
      </c>
      <c r="I3856" s="1" t="n">
        <v>0.53</v>
      </c>
      <c r="J3856" t="n">
        <v>11710631</v>
      </c>
    </row>
    <row r="3857" ht="15.75" customHeight="1" s="201">
      <c r="A3857" s="1" t="inlineStr">
        <is>
          <t>Infant formula, PBM PRODUCTS, store brand, soy, liquid concentrate, not reconstituted</t>
        </is>
      </c>
      <c r="C3857" s="1" t="n">
        <v>12.18</v>
      </c>
      <c r="D3857" s="1" t="n">
        <v>10</v>
      </c>
      <c r="E3857" s="1" t="n">
        <v>2.36</v>
      </c>
      <c r="F3857" s="1" t="n">
        <v>3.6</v>
      </c>
      <c r="G3857" s="1" t="n">
        <v>7</v>
      </c>
      <c r="H3857" s="1" t="n">
        <v>393</v>
      </c>
      <c r="I3857" s="1" t="n">
        <v>1.06</v>
      </c>
      <c r="J3857" t="n">
        <v>11710631</v>
      </c>
    </row>
    <row r="3858" ht="15.75" customHeight="1" s="201">
      <c r="A3858" s="1" t="inlineStr">
        <is>
          <t>Infant formula, PBM PRODUCTS, store brand, soy, powder</t>
        </is>
      </c>
      <c r="C3858" s="1" t="n">
        <v>52.2</v>
      </c>
      <c r="D3858" s="1" t="n">
        <v>38</v>
      </c>
      <c r="E3858" s="1" t="n">
        <v>9.1</v>
      </c>
      <c r="F3858" s="1" t="n">
        <v>13.6</v>
      </c>
      <c r="G3858" s="1" t="n">
        <v>27.2</v>
      </c>
      <c r="H3858" s="1" t="n">
        <v>1577</v>
      </c>
      <c r="I3858" s="1" t="n">
        <v>3.8</v>
      </c>
      <c r="J3858" t="n">
        <v>11710637</v>
      </c>
    </row>
    <row r="3859" ht="15.75" customHeight="1" s="201">
      <c r="A3859" s="1" t="inlineStr">
        <is>
          <t>Infant formula, PBM PRODUCTS, store brand, soy, ready-to-feed</t>
        </is>
      </c>
      <c r="C3859" s="1" t="n">
        <v>6.09</v>
      </c>
      <c r="D3859" s="1" t="n">
        <v>5</v>
      </c>
      <c r="E3859" s="1" t="n">
        <v>1.18</v>
      </c>
      <c r="F3859" s="1" t="n">
        <v>1.8</v>
      </c>
      <c r="G3859" s="1" t="n">
        <v>3.5</v>
      </c>
      <c r="H3859" s="1" t="n">
        <v>247</v>
      </c>
      <c r="I3859" s="1" t="n">
        <v>0.53</v>
      </c>
      <c r="J3859" t="n">
        <v>11710631</v>
      </c>
    </row>
    <row r="3860" ht="15.75" customHeight="1" s="201">
      <c r="A3860" s="1" t="inlineStr">
        <is>
          <t>Interstate Brands Corp, Wonder Hamburger Rolls</t>
        </is>
      </c>
      <c r="C3860" s="1" t="n">
        <v>50.84</v>
      </c>
      <c r="E3860" s="1" t="n">
        <v>2.22</v>
      </c>
      <c r="F3860" s="1" t="n">
        <v>8.07</v>
      </c>
      <c r="G3860" s="1" t="n">
        <v>4.15</v>
      </c>
      <c r="J3860" t="n">
        <v>27212100</v>
      </c>
    </row>
    <row r="3861" ht="15.75" customHeight="1" s="201">
      <c r="A3861" s="1" t="inlineStr">
        <is>
          <t>Jackfruit, canned, syrup pack</t>
        </is>
      </c>
      <c r="C3861" s="1" t="n">
        <v>23.94</v>
      </c>
      <c r="D3861" s="1" t="n">
        <v>14</v>
      </c>
      <c r="E3861" s="1" t="n">
        <v>0.29</v>
      </c>
      <c r="F3861" s="1" t="n">
        <v>0.36</v>
      </c>
      <c r="G3861" s="1" t="n">
        <v>0.14</v>
      </c>
      <c r="H3861" s="1" t="n">
        <v>2</v>
      </c>
      <c r="I3861" s="1" t="n">
        <v>0.11</v>
      </c>
      <c r="J3861" t="n">
        <v>53109200</v>
      </c>
    </row>
    <row r="3862" ht="15.75" customHeight="1" s="201">
      <c r="A3862" s="1" t="inlineStr">
        <is>
          <t>Jackfruit, raw</t>
        </is>
      </c>
      <c r="C3862" s="1" t="n">
        <v>23.25</v>
      </c>
      <c r="D3862" s="1" t="n">
        <v>24</v>
      </c>
      <c r="E3862" s="1" t="n">
        <v>0.23</v>
      </c>
      <c r="F3862" s="1" t="n">
        <v>1.72</v>
      </c>
      <c r="G3862" s="1" t="n">
        <v>0.64</v>
      </c>
      <c r="H3862" s="1" t="n">
        <v>110</v>
      </c>
      <c r="I3862" s="1" t="n">
        <v>0.13</v>
      </c>
    </row>
    <row r="3863" ht="15.75" customHeight="1" s="201">
      <c r="A3863" s="1" t="inlineStr">
        <is>
          <t>Jams and preserves</t>
        </is>
      </c>
      <c r="C3863" s="1" t="n">
        <v>68.86</v>
      </c>
      <c r="D3863" s="1" t="n">
        <v>11</v>
      </c>
      <c r="E3863" s="1" t="n">
        <v>0.49</v>
      </c>
      <c r="F3863" s="1" t="n">
        <v>0.37</v>
      </c>
      <c r="G3863" s="1" t="n">
        <v>0.07000000000000001</v>
      </c>
      <c r="H3863" s="1" t="n">
        <v>0</v>
      </c>
      <c r="I3863" s="1" t="n">
        <v>0.06</v>
      </c>
    </row>
    <row r="3864" ht="15.75" customHeight="1" s="201">
      <c r="A3864" s="1" t="inlineStr">
        <is>
          <t>Jams and preserves, apricot</t>
        </is>
      </c>
      <c r="C3864" s="1" t="n">
        <v>64.40000000000001</v>
      </c>
      <c r="D3864" s="1" t="n">
        <v>1</v>
      </c>
      <c r="E3864" s="1" t="n">
        <v>0.49</v>
      </c>
      <c r="F3864" s="1" t="n">
        <v>0.7</v>
      </c>
      <c r="G3864" s="1" t="n">
        <v>0.2</v>
      </c>
      <c r="H3864" s="1" t="n">
        <v>205</v>
      </c>
      <c r="I3864" s="1" t="n">
        <v>0.06</v>
      </c>
      <c r="J3864" t="n">
        <v>63103010</v>
      </c>
    </row>
    <row r="3865" ht="15.75" customHeight="1" s="201">
      <c r="A3865" s="1" t="inlineStr">
        <is>
          <t>Jams and preserves, no sugar (with sodium saccharin), any flavor</t>
        </is>
      </c>
      <c r="C3865" s="1" t="n">
        <v>53.42</v>
      </c>
      <c r="D3865" s="1" t="n">
        <v>9</v>
      </c>
      <c r="E3865" s="1" t="n">
        <v>0.4</v>
      </c>
      <c r="F3865" s="1" t="n">
        <v>0.3</v>
      </c>
      <c r="G3865" s="1" t="n">
        <v>0.3</v>
      </c>
      <c r="H3865" s="1" t="n">
        <v>0</v>
      </c>
      <c r="I3865" s="1" t="n">
        <v>0.06</v>
      </c>
      <c r="J3865" t="n">
        <v>75142550</v>
      </c>
    </row>
    <row r="3866" ht="15.75" customHeight="1" s="201">
      <c r="A3866" s="1" t="inlineStr">
        <is>
          <t>Jams, preserves, marmalade, reduced sugar</t>
        </is>
      </c>
      <c r="C3866" s="1" t="n">
        <v>37.6</v>
      </c>
      <c r="D3866" s="1" t="n">
        <v>18</v>
      </c>
      <c r="E3866" s="1" t="n">
        <v>0</v>
      </c>
      <c r="F3866" s="1" t="n">
        <v>0</v>
      </c>
      <c r="G3866" s="1" t="n">
        <v>0.1</v>
      </c>
      <c r="H3866" s="1" t="n">
        <v>9</v>
      </c>
      <c r="I3866" s="1" t="n">
        <v>0.05</v>
      </c>
      <c r="J3866" t="n">
        <v>42202100</v>
      </c>
    </row>
    <row r="3867" ht="15.75" customHeight="1" s="201">
      <c r="A3867" s="1" t="inlineStr">
        <is>
          <t>Jams, preserves, marmalades, sweetened with fruit juice</t>
        </is>
      </c>
      <c r="C3867" s="1" t="n">
        <v>52.93</v>
      </c>
      <c r="D3867" s="1" t="n">
        <v>7</v>
      </c>
      <c r="E3867" s="1" t="n">
        <v>0.34</v>
      </c>
      <c r="F3867" s="1" t="n">
        <v>0</v>
      </c>
      <c r="G3867" s="1" t="n">
        <v>0</v>
      </c>
      <c r="H3867" s="1" t="n">
        <v>20</v>
      </c>
      <c r="I3867" s="1" t="n">
        <v>0.2</v>
      </c>
      <c r="J3867" t="n">
        <v>92530610</v>
      </c>
    </row>
    <row r="3868" ht="15.75" customHeight="1" s="201">
      <c r="A3868" s="1" t="inlineStr">
        <is>
          <t>Java-plum, (jambolan), raw</t>
        </is>
      </c>
      <c r="C3868" s="1" t="n">
        <v>15.56</v>
      </c>
      <c r="E3868" s="1" t="n">
        <v>0.19</v>
      </c>
      <c r="F3868" s="1" t="n">
        <v>0.72</v>
      </c>
      <c r="G3868" s="1" t="n">
        <v>0.23</v>
      </c>
      <c r="H3868" s="1" t="n">
        <v>3</v>
      </c>
      <c r="J3868" t="n">
        <v>63143010</v>
      </c>
    </row>
    <row r="3869" ht="15.75" customHeight="1" s="201">
      <c r="A3869" s="1" t="inlineStr">
        <is>
          <t>Jellies</t>
        </is>
      </c>
      <c r="C3869" s="1" t="n">
        <v>69.95</v>
      </c>
      <c r="D3869" s="1" t="n">
        <v>2</v>
      </c>
      <c r="E3869" s="1" t="n">
        <v>0.19</v>
      </c>
      <c r="F3869" s="1" t="n">
        <v>0.15</v>
      </c>
      <c r="G3869" s="1" t="n">
        <v>0.02</v>
      </c>
      <c r="H3869" s="1" t="n">
        <v>5</v>
      </c>
      <c r="I3869" s="1" t="n">
        <v>0.03</v>
      </c>
    </row>
    <row r="3870" ht="15.75" customHeight="1" s="201">
      <c r="A3870" s="1" t="inlineStr">
        <is>
          <t>Jellies, no sugar (with sodium saccharin), any flavors</t>
        </is>
      </c>
      <c r="C3870" s="1" t="n">
        <v>29.6</v>
      </c>
      <c r="D3870" s="1" t="n">
        <v>3</v>
      </c>
      <c r="E3870" s="1" t="n">
        <v>0.15</v>
      </c>
      <c r="F3870" s="1" t="n">
        <v>0.55</v>
      </c>
      <c r="G3870" s="1" t="n">
        <v>0</v>
      </c>
      <c r="H3870" s="1" t="n">
        <v>707</v>
      </c>
      <c r="I3870" s="1" t="n">
        <v>0.07000000000000001</v>
      </c>
      <c r="J3870" t="n">
        <v>75142550</v>
      </c>
    </row>
    <row r="3871" ht="15.75" customHeight="1" s="201">
      <c r="A3871" s="1" t="inlineStr">
        <is>
          <t>Jellies, reduced sugar, home preserved</t>
        </is>
      </c>
      <c r="C3871" s="1" t="n">
        <v>46.1</v>
      </c>
      <c r="D3871" s="1" t="n">
        <v>1</v>
      </c>
      <c r="E3871" s="1" t="n">
        <v>0.18</v>
      </c>
      <c r="F3871" s="1" t="n">
        <v>0.3</v>
      </c>
      <c r="G3871" s="1" t="n">
        <v>0.03</v>
      </c>
      <c r="H3871" s="1" t="n">
        <v>3</v>
      </c>
      <c r="I3871" s="1" t="n">
        <v>0.03</v>
      </c>
      <c r="J3871" t="n">
        <v>42202100</v>
      </c>
    </row>
    <row r="3872" ht="15.75" customHeight="1" s="201">
      <c r="A3872" s="1" t="inlineStr">
        <is>
          <t>Jellyfish, dried, salted</t>
        </is>
      </c>
      <c r="C3872" s="1" t="n">
        <v>0</v>
      </c>
      <c r="D3872" s="1" t="n">
        <v>1</v>
      </c>
      <c r="E3872" s="1" t="n">
        <v>2.27</v>
      </c>
      <c r="F3872" s="1" t="n">
        <v>5.5</v>
      </c>
      <c r="G3872" s="1" t="n">
        <v>1.4</v>
      </c>
      <c r="H3872" s="1" t="n">
        <v>7</v>
      </c>
      <c r="I3872" s="1" t="n">
        <v>0.42</v>
      </c>
      <c r="J3872" t="n">
        <v>26109170</v>
      </c>
    </row>
    <row r="3873" ht="15.75" customHeight="1" s="201">
      <c r="A3873" s="1" t="inlineStr">
        <is>
          <t>Jerusalem-artichokes, raw</t>
        </is>
      </c>
      <c r="C3873" s="1" t="n">
        <v>17.44</v>
      </c>
      <c r="D3873" s="1" t="n">
        <v>13</v>
      </c>
      <c r="E3873" s="1" t="n">
        <v>3.4</v>
      </c>
      <c r="F3873" s="1" t="n">
        <v>2</v>
      </c>
      <c r="G3873" s="1" t="n">
        <v>0.01</v>
      </c>
      <c r="H3873" s="1" t="n">
        <v>20</v>
      </c>
      <c r="I3873" s="1" t="n">
        <v>0.12</v>
      </c>
      <c r="J3873" t="n">
        <v>75201020</v>
      </c>
    </row>
    <row r="3874" ht="15.75" customHeight="1" s="201">
      <c r="A3874" s="1" t="inlineStr">
        <is>
          <t>Jew's ear, (pepeao), raw</t>
        </is>
      </c>
      <c r="C3874" s="1" t="n">
        <v>6.75</v>
      </c>
      <c r="D3874" s="1" t="n">
        <v>19</v>
      </c>
      <c r="E3874" s="1" t="n">
        <v>0.5600000000000001</v>
      </c>
      <c r="F3874" s="1" t="n">
        <v>0.48</v>
      </c>
      <c r="G3874" s="1" t="n">
        <v>0.04</v>
      </c>
      <c r="H3874" s="1" t="n">
        <v>0</v>
      </c>
      <c r="I3874" s="1" t="n">
        <v>0.66</v>
      </c>
    </row>
    <row r="3875" ht="15.75" customHeight="1" s="201">
      <c r="A3875" s="1" t="inlineStr">
        <is>
          <t>JIMMY DEAN, Sausage, Egg, and Cheese Breakfast Biscuit, frozen, unprepared</t>
        </is>
      </c>
      <c r="C3875" s="1" t="n">
        <v>21.07</v>
      </c>
      <c r="D3875" s="1" t="n">
        <v>52</v>
      </c>
      <c r="E3875" s="1" t="n">
        <v>1.84</v>
      </c>
      <c r="F3875" s="1" t="n">
        <v>9.289999999999999</v>
      </c>
      <c r="G3875" s="1" t="n">
        <v>22.9</v>
      </c>
      <c r="I3875" s="1" t="n">
        <v>0.9399999999999999</v>
      </c>
      <c r="J3875" t="n">
        <v>32202050</v>
      </c>
    </row>
    <row r="3876" ht="15.75" customHeight="1" s="201">
      <c r="A3876" s="1" t="inlineStr">
        <is>
          <t>Juice, apple and grape blend, with added ascorbic acid</t>
        </is>
      </c>
      <c r="C3876" s="1" t="n">
        <v>12.46</v>
      </c>
      <c r="D3876" s="1" t="n">
        <v>0</v>
      </c>
      <c r="E3876" s="1" t="n">
        <v>0.11</v>
      </c>
      <c r="F3876" s="1" t="n">
        <v>0.16</v>
      </c>
      <c r="G3876" s="1" t="n">
        <v>0.12</v>
      </c>
      <c r="H3876" s="1" t="n">
        <v>4</v>
      </c>
      <c r="I3876" s="1" t="n">
        <v>0.05</v>
      </c>
      <c r="J3876" t="n">
        <v>64100220</v>
      </c>
    </row>
    <row r="3877" ht="15.75" customHeight="1" s="201">
      <c r="A3877" s="1" t="inlineStr">
        <is>
          <t>Juice, apple, grape and pear blend, with added ascorbic acid and calcium</t>
        </is>
      </c>
      <c r="C3877" s="1" t="n">
        <v>12.96</v>
      </c>
      <c r="D3877" s="1" t="n">
        <v>0</v>
      </c>
      <c r="E3877" s="1" t="n">
        <v>0.14</v>
      </c>
      <c r="F3877" s="1" t="n">
        <v>0.17</v>
      </c>
      <c r="G3877" s="1" t="n">
        <v>0.12</v>
      </c>
      <c r="H3877" s="1" t="n">
        <v>1</v>
      </c>
      <c r="I3877" s="1" t="n">
        <v>0.06</v>
      </c>
      <c r="J3877" t="n">
        <v>64100220</v>
      </c>
    </row>
    <row r="3878" ht="15.75" customHeight="1" s="201">
      <c r="A3878" s="1" t="inlineStr">
        <is>
          <t>Jujube, Chinese, fresh, dried</t>
        </is>
      </c>
      <c r="C3878" s="1" t="n">
        <v>72.52</v>
      </c>
      <c r="E3878" s="1" t="n">
        <v>5.09</v>
      </c>
      <c r="F3878" s="1" t="n">
        <v>4.72</v>
      </c>
      <c r="G3878" s="1" t="n">
        <v>0.5</v>
      </c>
      <c r="I3878" s="1" t="n">
        <v>0.39</v>
      </c>
      <c r="J3878" t="n">
        <v>14108020</v>
      </c>
    </row>
    <row r="3879" ht="15.75" customHeight="1" s="201">
      <c r="A3879" s="1" t="inlineStr">
        <is>
          <t>Jujube, raw</t>
        </is>
      </c>
      <c r="C3879" s="1" t="n">
        <v>20.23</v>
      </c>
      <c r="E3879" s="1" t="n">
        <v>0.48</v>
      </c>
      <c r="F3879" s="1" t="n">
        <v>1.2</v>
      </c>
      <c r="G3879" s="1" t="n">
        <v>0.2</v>
      </c>
      <c r="H3879" s="1" t="n">
        <v>40</v>
      </c>
      <c r="I3879" s="1" t="n">
        <v>0.05</v>
      </c>
    </row>
    <row r="3880" ht="15.75" customHeight="1" s="201">
      <c r="A3880" s="1" t="inlineStr">
        <is>
          <t>Jute, potherb, cooked, boiled, drained, with salt</t>
        </is>
      </c>
      <c r="C3880" s="1" t="n">
        <v>7.29</v>
      </c>
      <c r="D3880" s="1" t="n">
        <v>104</v>
      </c>
      <c r="E3880" s="1" t="n">
        <v>3.14</v>
      </c>
      <c r="F3880" s="1" t="n">
        <v>3.68</v>
      </c>
      <c r="G3880" s="1" t="n">
        <v>0.2</v>
      </c>
      <c r="H3880" s="1" t="n">
        <v>5185</v>
      </c>
      <c r="I3880" s="1" t="n">
        <v>0.79</v>
      </c>
      <c r="J3880" t="n">
        <v>75142550</v>
      </c>
    </row>
    <row r="3881" ht="15.75" customHeight="1" s="201">
      <c r="A3881" s="1" t="inlineStr">
        <is>
          <t>Jute, potherb, cooked, boiled, drained, without salt</t>
        </is>
      </c>
      <c r="C3881" s="1" t="n">
        <v>7.29</v>
      </c>
      <c r="D3881" s="1" t="n">
        <v>104</v>
      </c>
      <c r="E3881" s="1" t="n">
        <v>3.14</v>
      </c>
      <c r="F3881" s="1" t="n">
        <v>3.68</v>
      </c>
      <c r="G3881" s="1" t="n">
        <v>0.2</v>
      </c>
      <c r="H3881" s="1" t="n">
        <v>5185</v>
      </c>
      <c r="I3881" s="1" t="n">
        <v>0.79</v>
      </c>
      <c r="J3881" t="n">
        <v>31103010</v>
      </c>
    </row>
    <row r="3882" ht="15.75" customHeight="1" s="201">
      <c r="A3882" s="1" t="inlineStr">
        <is>
          <t>Jute, potherb, raw</t>
        </is>
      </c>
      <c r="C3882" s="1" t="n">
        <v>5.8</v>
      </c>
      <c r="D3882" s="1" t="n">
        <v>123</v>
      </c>
      <c r="E3882" s="1" t="n">
        <v>4.76</v>
      </c>
      <c r="F3882" s="1" t="n">
        <v>4.65</v>
      </c>
      <c r="G3882" s="1" t="n">
        <v>0.25</v>
      </c>
      <c r="H3882" s="1" t="n">
        <v>5559</v>
      </c>
      <c r="I3882" s="1" t="n">
        <v>0.79</v>
      </c>
    </row>
    <row r="3883" ht="15.75" customHeight="1" s="201">
      <c r="A3883" s="1" t="inlineStr">
        <is>
          <t>Kale, cooked, boiled, drained, with salt</t>
        </is>
      </c>
      <c r="C3883" s="1" t="n">
        <v>5.3</v>
      </c>
      <c r="D3883" s="1" t="n">
        <v>65</v>
      </c>
      <c r="E3883" s="1" t="n">
        <v>0.84</v>
      </c>
      <c r="F3883" s="1" t="n">
        <v>2.94</v>
      </c>
      <c r="G3883" s="1" t="n">
        <v>1.21</v>
      </c>
      <c r="H3883" s="1" t="n">
        <v>2915</v>
      </c>
      <c r="I3883" s="1" t="n">
        <v>0.27</v>
      </c>
      <c r="J3883" t="n">
        <v>75142550</v>
      </c>
    </row>
    <row r="3884" ht="15.75" customHeight="1" s="201">
      <c r="A3884" s="1" t="inlineStr">
        <is>
          <t>Kale, cooked, boiled, drained, without salt</t>
        </is>
      </c>
      <c r="C3884" s="1" t="n">
        <v>5.3</v>
      </c>
      <c r="D3884" s="1" t="n">
        <v>65</v>
      </c>
      <c r="E3884" s="1" t="n">
        <v>0.84</v>
      </c>
      <c r="F3884" s="1" t="n">
        <v>2.94</v>
      </c>
      <c r="G3884" s="1" t="n">
        <v>1.21</v>
      </c>
      <c r="H3884" s="1" t="n">
        <v>2915</v>
      </c>
      <c r="I3884" s="1" t="n">
        <v>0.27</v>
      </c>
      <c r="J3884" t="n">
        <v>31103010</v>
      </c>
    </row>
    <row r="3885" ht="15.75" customHeight="1" s="201">
      <c r="A3885" s="1" t="inlineStr">
        <is>
          <t>Kale, frozen, cooked, boiled, drained, with salt</t>
        </is>
      </c>
      <c r="C3885" s="1" t="n">
        <v>5.3</v>
      </c>
      <c r="D3885" s="1" t="n">
        <v>65</v>
      </c>
      <c r="E3885" s="1" t="n">
        <v>0.84</v>
      </c>
      <c r="F3885" s="1" t="n">
        <v>2.94</v>
      </c>
      <c r="G3885" s="1" t="n">
        <v>1.21</v>
      </c>
      <c r="H3885" s="1" t="n">
        <v>2915</v>
      </c>
      <c r="I3885" s="1" t="n">
        <v>0.27</v>
      </c>
      <c r="J3885" t="n">
        <v>75142550</v>
      </c>
    </row>
    <row r="3886" ht="15.75" customHeight="1" s="201">
      <c r="A3886" s="1" t="inlineStr">
        <is>
          <t>Kale, frozen, cooked, boiled, drained, without salt</t>
        </is>
      </c>
      <c r="C3886" s="1" t="n">
        <v>5.3</v>
      </c>
      <c r="D3886" s="1" t="n">
        <v>65</v>
      </c>
      <c r="E3886" s="1" t="n">
        <v>0.84</v>
      </c>
      <c r="F3886" s="1" t="n">
        <v>2.94</v>
      </c>
      <c r="G3886" s="1" t="n">
        <v>1.21</v>
      </c>
      <c r="H3886" s="1" t="n">
        <v>2915</v>
      </c>
      <c r="I3886" s="1" t="n">
        <v>0.27</v>
      </c>
      <c r="J3886" t="n">
        <v>71102990</v>
      </c>
    </row>
    <row r="3887" ht="15.75" customHeight="1" s="201">
      <c r="A3887" s="1" t="inlineStr">
        <is>
          <t>Kale, frozen, unprepared</t>
        </is>
      </c>
      <c r="C3887" s="1" t="n">
        <v>4.88</v>
      </c>
      <c r="D3887" s="1" t="n">
        <v>17</v>
      </c>
      <c r="E3887" s="1" t="n">
        <v>0.93</v>
      </c>
      <c r="F3887" s="1" t="n">
        <v>2.66</v>
      </c>
      <c r="G3887" s="1" t="n">
        <v>0.46</v>
      </c>
      <c r="H3887" s="1" t="n">
        <v>4120</v>
      </c>
      <c r="I3887" s="1" t="n">
        <v>0.18</v>
      </c>
      <c r="J3887" t="n">
        <v>72119212</v>
      </c>
    </row>
    <row r="3888" ht="15.75" customHeight="1" s="201">
      <c r="A3888" s="1" t="inlineStr">
        <is>
          <t>Kale, raw</t>
        </is>
      </c>
      <c r="C3888" s="1" t="n">
        <v>4.42</v>
      </c>
      <c r="D3888" s="1" t="n">
        <v>62</v>
      </c>
      <c r="E3888" s="1" t="n">
        <v>1.6</v>
      </c>
      <c r="F3888" s="1" t="n">
        <v>2.92</v>
      </c>
      <c r="G3888" s="1" t="n">
        <v>1.49</v>
      </c>
      <c r="H3888" s="1" t="n">
        <v>4812</v>
      </c>
      <c r="I3888" s="1" t="n">
        <v>0.39</v>
      </c>
      <c r="J3888" t="n">
        <v>72119190</v>
      </c>
    </row>
    <row r="3889" ht="15.75" customHeight="1" s="201">
      <c r="A3889" s="1" t="inlineStr">
        <is>
          <t>Kanpyo, (dried gourd strips)</t>
        </is>
      </c>
      <c r="C3889" s="1" t="n">
        <v>65.03</v>
      </c>
      <c r="D3889" s="1" t="n">
        <v>61</v>
      </c>
      <c r="E3889" s="1" t="n">
        <v>5.12</v>
      </c>
      <c r="F3889" s="1" t="n">
        <v>8.58</v>
      </c>
      <c r="G3889" s="1" t="n">
        <v>0.5600000000000001</v>
      </c>
      <c r="H3889" s="1" t="n">
        <v>0</v>
      </c>
      <c r="I3889" s="1" t="n">
        <v>5.86</v>
      </c>
      <c r="J3889" t="n">
        <v>41301010</v>
      </c>
    </row>
    <row r="3890" ht="15.75" customHeight="1" s="201">
      <c r="A3890" s="1" t="inlineStr">
        <is>
          <t>Keebler, Keebler Chocolate Graham SELECTS</t>
        </is>
      </c>
      <c r="C3890" s="1" t="n">
        <v>71.8</v>
      </c>
      <c r="F3890" s="1" t="n">
        <v>7.1</v>
      </c>
      <c r="G3890" s="1" t="n">
        <v>16.6</v>
      </c>
      <c r="J3890" t="n">
        <v>53108200</v>
      </c>
    </row>
    <row r="3891" ht="15.75" customHeight="1" s="201">
      <c r="A3891" s="1" t="inlineStr">
        <is>
          <t>Kefir, lowfat, plain, LIFEWAY</t>
        </is>
      </c>
      <c r="C3891" s="1" t="n">
        <v>4.77</v>
      </c>
      <c r="D3891" s="1" t="n">
        <v>13</v>
      </c>
      <c r="E3891" s="1" t="n">
        <v>0.04</v>
      </c>
      <c r="F3891" s="1" t="n">
        <v>3.79</v>
      </c>
      <c r="G3891" s="1" t="n">
        <v>1.02</v>
      </c>
      <c r="H3891" s="1" t="n">
        <v>569</v>
      </c>
      <c r="I3891" s="1" t="n">
        <v>0.46</v>
      </c>
      <c r="J3891" t="n">
        <v>53712200</v>
      </c>
    </row>
    <row r="3892" ht="15.75" customHeight="1" s="201">
      <c r="A3892" s="1" t="inlineStr">
        <is>
          <t>Kefir, lowfat, strawberry, LIFEWAY</t>
        </is>
      </c>
      <c r="C3892" s="1" t="n">
        <v>10.2</v>
      </c>
      <c r="D3892" s="1" t="n">
        <v>22</v>
      </c>
      <c r="E3892" s="1" t="n">
        <v>0.04</v>
      </c>
      <c r="F3892" s="1" t="n">
        <v>3.39</v>
      </c>
      <c r="G3892" s="1" t="n">
        <v>0.9</v>
      </c>
      <c r="H3892" s="1" t="n">
        <v>599</v>
      </c>
      <c r="I3892" s="1" t="n">
        <v>0.44</v>
      </c>
      <c r="J3892" t="n">
        <v>53712200</v>
      </c>
    </row>
    <row r="3893" ht="15.75" customHeight="1" s="201">
      <c r="A3893" s="1" t="inlineStr">
        <is>
          <t>Keikitos (muffins), Latino bakery item</t>
        </is>
      </c>
      <c r="C3893" s="1" t="n">
        <v>53.16</v>
      </c>
      <c r="E3893" s="1" t="n">
        <v>2.53</v>
      </c>
      <c r="F3893" s="1" t="n">
        <v>6.81</v>
      </c>
      <c r="G3893" s="1" t="n">
        <v>25.24</v>
      </c>
      <c r="I3893" s="1" t="n">
        <v>0.52</v>
      </c>
    </row>
    <row r="3894" ht="15.75" customHeight="1" s="201">
      <c r="A3894" s="1" t="inlineStr">
        <is>
          <t>KFC, biscuit</t>
        </is>
      </c>
      <c r="C3894" s="1" t="n">
        <v>43.55</v>
      </c>
      <c r="D3894" s="1" t="n">
        <v>81</v>
      </c>
      <c r="E3894" s="1" t="n">
        <v>2.86</v>
      </c>
      <c r="F3894" s="1" t="n">
        <v>7.5</v>
      </c>
      <c r="G3894" s="1" t="n">
        <v>17.05</v>
      </c>
      <c r="H3894" s="1" t="n">
        <v>0</v>
      </c>
      <c r="I3894" s="1" t="n">
        <v>0.5</v>
      </c>
      <c r="J3894" t="n">
        <v>27515080</v>
      </c>
    </row>
    <row r="3895" ht="15.75" customHeight="1" s="201">
      <c r="A3895" s="1" t="inlineStr">
        <is>
          <t>KFC, Coleslaw</t>
        </is>
      </c>
      <c r="C3895" s="1" t="n">
        <v>15.65</v>
      </c>
      <c r="E3895" s="1" t="n">
        <v>0.21</v>
      </c>
      <c r="F3895" s="1" t="n">
        <v>0.91</v>
      </c>
      <c r="G3895" s="1" t="n">
        <v>8.640000000000001</v>
      </c>
      <c r="H3895" s="1" t="n">
        <v>4</v>
      </c>
      <c r="I3895" s="1" t="n">
        <v>0.15</v>
      </c>
      <c r="J3895" t="n">
        <v>75141000</v>
      </c>
    </row>
    <row r="3896" ht="15.75" customHeight="1" s="201">
      <c r="A3896" s="1" t="inlineStr">
        <is>
          <t>KFC, Crispy Chicken Strips</t>
        </is>
      </c>
      <c r="C3896" s="1" t="n">
        <v>13.66</v>
      </c>
      <c r="E3896" s="1" t="n">
        <v>0.6899999999999999</v>
      </c>
      <c r="F3896" s="1" t="n">
        <v>20.25</v>
      </c>
      <c r="G3896" s="1" t="n">
        <v>15.42</v>
      </c>
      <c r="I3896" s="1" t="n">
        <v>0.68</v>
      </c>
      <c r="J3896" t="n">
        <v>27446320</v>
      </c>
    </row>
    <row r="3897" ht="15.75" customHeight="1" s="201">
      <c r="A3897" s="1" t="inlineStr">
        <is>
          <t>KFC, Fried Chicken, EXTRA CRISPY, Breast, meat and skin with breading</t>
        </is>
      </c>
      <c r="C3897" s="1" t="n">
        <v>8.470000000000001</v>
      </c>
      <c r="E3897" s="1" t="n">
        <v>0.57</v>
      </c>
      <c r="F3897" s="1" t="n">
        <v>21.24</v>
      </c>
      <c r="G3897" s="1" t="n">
        <v>16.55</v>
      </c>
      <c r="I3897" s="1" t="n">
        <v>0.78</v>
      </c>
      <c r="J3897" t="n">
        <v>27446320</v>
      </c>
    </row>
    <row r="3898" ht="15.75" customHeight="1" s="201">
      <c r="A3898" s="1" t="inlineStr">
        <is>
          <t>KFC, Fried Chicken, EXTRA CRISPY, Breast, meat only, skin and breading removed</t>
        </is>
      </c>
      <c r="C3898" s="1" t="n">
        <v>0.25</v>
      </c>
      <c r="E3898" s="1" t="n">
        <v>0.51</v>
      </c>
      <c r="F3898" s="1" t="n">
        <v>27.25</v>
      </c>
      <c r="G3898" s="1" t="n">
        <v>4.82</v>
      </c>
      <c r="I3898" s="1" t="n">
        <v>0.89</v>
      </c>
      <c r="J3898" t="n">
        <v>27446320</v>
      </c>
    </row>
    <row r="3899" ht="15.75" customHeight="1" s="201">
      <c r="A3899" s="1" t="inlineStr">
        <is>
          <t>KFC, Fried Chicken, EXTRA CRISPY, Drumstick, meat and skin with breading</t>
        </is>
      </c>
      <c r="C3899" s="1" t="n">
        <v>7.96</v>
      </c>
      <c r="E3899" s="1" t="n">
        <v>0.91</v>
      </c>
      <c r="F3899" s="1" t="n">
        <v>20.62</v>
      </c>
      <c r="G3899" s="1" t="n">
        <v>17.73</v>
      </c>
      <c r="I3899" s="1" t="n">
        <v>1.84</v>
      </c>
      <c r="J3899" t="n">
        <v>27446320</v>
      </c>
    </row>
    <row r="3900" ht="15.75" customHeight="1" s="201">
      <c r="A3900" s="1" t="inlineStr">
        <is>
          <t>KFC, Fried Chicken, EXTRA CRISPY, Drumstick, meat only, skin and breading removed</t>
        </is>
      </c>
      <c r="C3900" s="1" t="n">
        <v>0</v>
      </c>
      <c r="E3900" s="1" t="n">
        <v>1.05</v>
      </c>
      <c r="F3900" s="1" t="n">
        <v>25.9</v>
      </c>
      <c r="G3900" s="1" t="n">
        <v>7.43</v>
      </c>
      <c r="I3900" s="1" t="n">
        <v>2.51</v>
      </c>
      <c r="J3900" t="n">
        <v>27446320</v>
      </c>
    </row>
    <row r="3901" ht="15.75" customHeight="1" s="201">
      <c r="A3901" s="1" t="inlineStr">
        <is>
          <t>KFC, Fried Chicken, EXTRA CRISPY, Skin and Breading</t>
        </is>
      </c>
      <c r="C3901" s="1" t="n">
        <v>22.54</v>
      </c>
      <c r="E3901" s="1" t="n">
        <v>0.67</v>
      </c>
      <c r="F3901" s="1" t="n">
        <v>10.96</v>
      </c>
      <c r="G3901" s="1" t="n">
        <v>36.61</v>
      </c>
      <c r="H3901" s="1" t="n">
        <v>116</v>
      </c>
      <c r="I3901" s="1" t="n">
        <v>0.61</v>
      </c>
      <c r="J3901" t="n">
        <v>27446320</v>
      </c>
    </row>
    <row r="3902" ht="15.75" customHeight="1" s="201">
      <c r="A3902" s="1" t="inlineStr">
        <is>
          <t>KFC, Fried Chicken, EXTRA CRISPY, Thigh, meat and skin with breading</t>
        </is>
      </c>
      <c r="C3902" s="1" t="n">
        <v>10.3</v>
      </c>
      <c r="E3902" s="1" t="n">
        <v>0.83</v>
      </c>
      <c r="F3902" s="1" t="n">
        <v>17.17</v>
      </c>
      <c r="G3902" s="1" t="n">
        <v>22.14</v>
      </c>
      <c r="I3902" s="1" t="n">
        <v>1.31</v>
      </c>
      <c r="J3902" t="n">
        <v>27446320</v>
      </c>
    </row>
    <row r="3903" ht="15.75" customHeight="1" s="201">
      <c r="A3903" s="1" t="inlineStr">
        <is>
          <t>KFC, Fried Chicken, EXTRA CRISPY, Thigh, meat only, skin and breading removed</t>
        </is>
      </c>
      <c r="C3903" s="1" t="n">
        <v>0</v>
      </c>
      <c r="E3903" s="1" t="n">
        <v>0.96</v>
      </c>
      <c r="F3903" s="1" t="n">
        <v>22.41</v>
      </c>
      <c r="G3903" s="1" t="n">
        <v>9.960000000000001</v>
      </c>
      <c r="I3903" s="1" t="n">
        <v>1.9</v>
      </c>
      <c r="J3903" t="n">
        <v>27446320</v>
      </c>
    </row>
    <row r="3904" ht="15.75" customHeight="1" s="201">
      <c r="A3904" s="1" t="inlineStr">
        <is>
          <t>KFC, Fried Chicken, EXTRA CRISPY, Wing, meat and skin with breading</t>
        </is>
      </c>
      <c r="C3904" s="1" t="n">
        <v>11.66</v>
      </c>
      <c r="E3904" s="1" t="n">
        <v>0.79</v>
      </c>
      <c r="F3904" s="1" t="n">
        <v>20.8</v>
      </c>
      <c r="G3904" s="1" t="n">
        <v>23</v>
      </c>
      <c r="I3904" s="1" t="n">
        <v>1.24</v>
      </c>
      <c r="J3904" t="n">
        <v>27446320</v>
      </c>
    </row>
    <row r="3905" ht="15.75" customHeight="1" s="201">
      <c r="A3905" s="1" t="inlineStr">
        <is>
          <t>KFC, Fried Chicken, EXTRA CRISPY, Wing, meat only, skin and breading removed</t>
        </is>
      </c>
      <c r="C3905" s="1" t="n">
        <v>2.97</v>
      </c>
      <c r="E3905" s="1" t="n">
        <v>0.89</v>
      </c>
      <c r="F3905" s="1" t="n">
        <v>28.67</v>
      </c>
      <c r="G3905" s="1" t="n">
        <v>12.13</v>
      </c>
      <c r="I3905" s="1" t="n">
        <v>1.75</v>
      </c>
      <c r="J3905" t="n">
        <v>27446320</v>
      </c>
    </row>
    <row r="3906" ht="15.75" customHeight="1" s="201">
      <c r="A3906" s="1" t="inlineStr">
        <is>
          <t>KFC, Fried Chicken, ORIGINAL RECIPE, Breast, meat and skin with breading</t>
        </is>
      </c>
      <c r="C3906" s="1" t="n">
        <v>6.28</v>
      </c>
      <c r="E3906" s="1" t="n">
        <v>0.6</v>
      </c>
      <c r="F3906" s="1" t="n">
        <v>21.94</v>
      </c>
      <c r="G3906" s="1" t="n">
        <v>13.11</v>
      </c>
      <c r="I3906" s="1" t="n">
        <v>0.8100000000000001</v>
      </c>
      <c r="J3906" t="n">
        <v>27246505</v>
      </c>
    </row>
    <row r="3907" ht="15.75" customHeight="1" s="201">
      <c r="A3907" s="1" t="inlineStr">
        <is>
          <t>KFC, Fried Chicken, ORIGINAL RECIPE, Breast, meat only, skin and breading removed</t>
        </is>
      </c>
      <c r="C3907" s="1" t="n">
        <v>0</v>
      </c>
      <c r="E3907" s="1" t="n">
        <v>0.53</v>
      </c>
      <c r="F3907" s="1" t="n">
        <v>26.89</v>
      </c>
      <c r="G3907" s="1" t="n">
        <v>4.56</v>
      </c>
      <c r="H3907" s="1" t="n">
        <v>15</v>
      </c>
      <c r="I3907" s="1" t="n">
        <v>0.97</v>
      </c>
      <c r="J3907" t="n">
        <v>28141010</v>
      </c>
    </row>
    <row r="3908" ht="15.75" customHeight="1" s="201">
      <c r="A3908" s="1" t="inlineStr">
        <is>
          <t>KFC, Fried Chicken, ORIGINAL RECIPE, Drumstick, meat and skin with breading</t>
        </is>
      </c>
      <c r="C3908" s="1" t="n">
        <v>5.39</v>
      </c>
      <c r="E3908" s="1" t="n">
        <v>0.97</v>
      </c>
      <c r="F3908" s="1" t="n">
        <v>22.3</v>
      </c>
      <c r="G3908" s="1" t="n">
        <v>14.22</v>
      </c>
      <c r="I3908" s="1" t="n">
        <v>1.96</v>
      </c>
      <c r="J3908" t="n">
        <v>27246505</v>
      </c>
    </row>
    <row r="3909" ht="15.75" customHeight="1" s="201">
      <c r="A3909" s="1" t="inlineStr">
        <is>
          <t>KFC, Fried Chicken, ORIGINAL RECIPE, Drumstick, meat only, skin and breading removed</t>
        </is>
      </c>
      <c r="C3909" s="1" t="n">
        <v>0.11</v>
      </c>
      <c r="E3909" s="1" t="n">
        <v>1.04</v>
      </c>
      <c r="F3909" s="1" t="n">
        <v>26.3</v>
      </c>
      <c r="G3909" s="1" t="n">
        <v>7.66</v>
      </c>
      <c r="I3909" s="1" t="n">
        <v>2.5</v>
      </c>
      <c r="J3909" t="n">
        <v>28141010</v>
      </c>
    </row>
    <row r="3910" ht="15.75" customHeight="1" s="201">
      <c r="A3910" s="1" t="inlineStr">
        <is>
          <t>KFC, Fried Chicken, ORIGINAL RECIPE, Skin and Breading</t>
        </is>
      </c>
      <c r="C3910" s="1" t="n">
        <v>18.79</v>
      </c>
      <c r="E3910" s="1" t="n">
        <v>0.88</v>
      </c>
      <c r="F3910" s="1" t="n">
        <v>14.17</v>
      </c>
      <c r="G3910" s="1" t="n">
        <v>28.01</v>
      </c>
      <c r="H3910" s="1" t="n">
        <v>66</v>
      </c>
      <c r="I3910" s="1" t="n">
        <v>0.87</v>
      </c>
      <c r="J3910" t="n">
        <v>27446320</v>
      </c>
    </row>
    <row r="3911" ht="15.75" customHeight="1" s="201">
      <c r="A3911" s="1" t="inlineStr">
        <is>
          <t>KFC, Fried Chicken, ORIGINAL RECIPE, Thigh, meat and skin with breading</t>
        </is>
      </c>
      <c r="C3911" s="1" t="n">
        <v>8.460000000000001</v>
      </c>
      <c r="E3911" s="1" t="n">
        <v>0.88</v>
      </c>
      <c r="F3911" s="1" t="n">
        <v>18.9</v>
      </c>
      <c r="G3911" s="1" t="n">
        <v>17.73</v>
      </c>
      <c r="H3911" s="1" t="n">
        <v>50</v>
      </c>
      <c r="I3911" s="1" t="n">
        <v>1.44</v>
      </c>
      <c r="J3911" t="n">
        <v>27246505</v>
      </c>
    </row>
    <row r="3912" ht="15.75" customHeight="1" s="201">
      <c r="A3912" s="1" t="inlineStr">
        <is>
          <t>KFC, Fried Chicken, ORIGINAL RECIPE, Thigh, meat only, skin and breading removed</t>
        </is>
      </c>
      <c r="C3912" s="1" t="n">
        <v>0.01</v>
      </c>
      <c r="E3912" s="1" t="n">
        <v>0.87</v>
      </c>
      <c r="F3912" s="1" t="n">
        <v>22.78</v>
      </c>
      <c r="G3912" s="1" t="n">
        <v>9.31</v>
      </c>
      <c r="H3912" s="1" t="n">
        <v>37</v>
      </c>
      <c r="I3912" s="1" t="n">
        <v>1.91</v>
      </c>
      <c r="J3912" t="n">
        <v>28141010</v>
      </c>
    </row>
    <row r="3913" ht="15.75" customHeight="1" s="201">
      <c r="A3913" s="1" t="inlineStr">
        <is>
          <t>KFC, Fried Chicken, ORIGINAL RECIPE, Wing, meat and skin with breading</t>
        </is>
      </c>
      <c r="C3913" s="1" t="n">
        <v>9.93</v>
      </c>
      <c r="E3913" s="1" t="n">
        <v>0.93</v>
      </c>
      <c r="F3913" s="1" t="n">
        <v>21.7</v>
      </c>
      <c r="G3913" s="1" t="n">
        <v>18.9</v>
      </c>
      <c r="H3913" s="1" t="n">
        <v>48</v>
      </c>
      <c r="I3913" s="1" t="n">
        <v>1.36</v>
      </c>
      <c r="J3913" t="n">
        <v>27246505</v>
      </c>
    </row>
    <row r="3914" ht="15.75" customHeight="1" s="201">
      <c r="A3914" s="1" t="inlineStr">
        <is>
          <t>KFC, Fried Chicken, ORIGINAL RECIPE, Wing, meat only, skin and breading removed</t>
        </is>
      </c>
      <c r="C3914" s="1" t="n">
        <v>1.76</v>
      </c>
      <c r="E3914" s="1" t="n">
        <v>0.98</v>
      </c>
      <c r="F3914" s="1" t="n">
        <v>28.65</v>
      </c>
      <c r="G3914" s="1" t="n">
        <v>10.49</v>
      </c>
      <c r="H3914" s="1" t="n">
        <v>31</v>
      </c>
      <c r="I3914" s="1" t="n">
        <v>1.82</v>
      </c>
      <c r="J3914" t="n">
        <v>28141010</v>
      </c>
    </row>
    <row r="3915" ht="15.75" customHeight="1" s="201">
      <c r="A3915" s="1" t="inlineStr">
        <is>
          <t>KFC, Popcorn Chicken</t>
        </is>
      </c>
      <c r="C3915" s="1" t="n">
        <v>21.18</v>
      </c>
      <c r="E3915" s="1" t="n">
        <v>1.42</v>
      </c>
      <c r="F3915" s="1" t="n">
        <v>17.67</v>
      </c>
      <c r="G3915" s="1" t="n">
        <v>21.74</v>
      </c>
      <c r="I3915" s="1" t="n">
        <v>0.98</v>
      </c>
      <c r="J3915" t="n">
        <v>24198746</v>
      </c>
    </row>
    <row r="3916" ht="15.75" customHeight="1" s="201">
      <c r="A3916" s="1" t="inlineStr">
        <is>
          <t>Kielbasa, fully cooked, grilled</t>
        </is>
      </c>
      <c r="C3916" s="1" t="n">
        <v>5.03</v>
      </c>
      <c r="D3916" s="1" t="n">
        <v>0</v>
      </c>
      <c r="E3916" s="1" t="n">
        <v>0.99</v>
      </c>
      <c r="F3916" s="1" t="n">
        <v>12.45</v>
      </c>
      <c r="G3916" s="1" t="n">
        <v>29.68</v>
      </c>
      <c r="H3916" s="1" t="n">
        <v>32</v>
      </c>
      <c r="I3916" s="1" t="n">
        <v>1.53</v>
      </c>
      <c r="J3916" t="n">
        <v>24164000</v>
      </c>
    </row>
    <row r="3917" ht="15.75" customHeight="1" s="201">
      <c r="A3917" s="1" t="inlineStr">
        <is>
          <t>Kielbasa, fully cooked, pan-fried</t>
        </is>
      </c>
      <c r="C3917" s="1" t="n">
        <v>4.78</v>
      </c>
      <c r="D3917" s="1" t="n">
        <v>0</v>
      </c>
      <c r="E3917" s="1" t="n">
        <v>0.93</v>
      </c>
      <c r="F3917" s="1" t="n">
        <v>12.36</v>
      </c>
      <c r="G3917" s="1" t="n">
        <v>29.43</v>
      </c>
      <c r="H3917" s="1" t="n">
        <v>32</v>
      </c>
      <c r="I3917" s="1" t="n">
        <v>1.55</v>
      </c>
      <c r="J3917" t="n">
        <v>14660200</v>
      </c>
    </row>
    <row r="3918" ht="15.75" customHeight="1" s="201">
      <c r="A3918" s="1" t="inlineStr">
        <is>
          <t>Kielbasa, fully cooked, unheated</t>
        </is>
      </c>
      <c r="C3918" s="1" t="n">
        <v>3.72</v>
      </c>
      <c r="D3918" s="1" t="n">
        <v>1</v>
      </c>
      <c r="E3918" s="1" t="n">
        <v>0.75</v>
      </c>
      <c r="F3918" s="1" t="n">
        <v>10.84</v>
      </c>
      <c r="G3918" s="1" t="n">
        <v>29.63</v>
      </c>
      <c r="H3918" s="1" t="n">
        <v>27</v>
      </c>
      <c r="I3918" s="1" t="n">
        <v>1.29</v>
      </c>
    </row>
    <row r="3919" ht="15.75" customHeight="1" s="201">
      <c r="A3919" s="1" t="inlineStr">
        <is>
          <t>Kielbasa, Polish, turkey and beef, smoked</t>
        </is>
      </c>
      <c r="C3919" s="1" t="n">
        <v>3.9</v>
      </c>
      <c r="E3919" s="1" t="n">
        <v>1.24</v>
      </c>
      <c r="F3919" s="1" t="n">
        <v>13.1</v>
      </c>
      <c r="G3919" s="1" t="n">
        <v>17.6</v>
      </c>
      <c r="H3919" s="1" t="n">
        <v>0</v>
      </c>
      <c r="J3919" t="n">
        <v>28110510</v>
      </c>
    </row>
    <row r="3920" ht="15.75" customHeight="1" s="201">
      <c r="A3920" s="1" t="inlineStr">
        <is>
          <t>Kiwifruit, green, raw</t>
        </is>
      </c>
      <c r="C3920" s="1" t="n">
        <v>14.66</v>
      </c>
      <c r="D3920" s="1" t="n">
        <v>25</v>
      </c>
      <c r="E3920" s="1" t="n">
        <v>0.31</v>
      </c>
      <c r="F3920" s="1" t="n">
        <v>1.14</v>
      </c>
      <c r="G3920" s="1" t="n">
        <v>0.52</v>
      </c>
      <c r="H3920" s="1" t="n">
        <v>87</v>
      </c>
      <c r="I3920" s="1" t="n">
        <v>0.14</v>
      </c>
      <c r="J3920" t="n">
        <v>92303010</v>
      </c>
    </row>
    <row r="3921" ht="15.75" customHeight="1" s="201">
      <c r="A3921" s="1" t="inlineStr">
        <is>
          <t>Kiwifruit, ZESPRI SunGold, raw</t>
        </is>
      </c>
      <c r="C3921" s="1" t="n">
        <v>15.79</v>
      </c>
      <c r="D3921" s="1" t="n">
        <v>31</v>
      </c>
      <c r="E3921" s="1" t="n">
        <v>0.21</v>
      </c>
      <c r="F3921" s="1" t="n">
        <v>1.02</v>
      </c>
      <c r="G3921" s="1" t="n">
        <v>0.28</v>
      </c>
      <c r="H3921" s="1" t="n">
        <v>23</v>
      </c>
      <c r="I3921" s="1" t="n">
        <v>0.08</v>
      </c>
    </row>
    <row r="3922" ht="15.75" customHeight="1" s="201">
      <c r="A3922" s="1" t="inlineStr">
        <is>
          <t>Knackwurst, knockwurst, pork, beef</t>
        </is>
      </c>
      <c r="C3922" s="1" t="n">
        <v>3.2</v>
      </c>
      <c r="D3922" s="1" t="n">
        <v>2</v>
      </c>
      <c r="E3922" s="1" t="n">
        <v>0.66</v>
      </c>
      <c r="F3922" s="1" t="n">
        <v>11.1</v>
      </c>
      <c r="G3922" s="1" t="n">
        <v>27.7</v>
      </c>
      <c r="H3922" s="1" t="n">
        <v>0</v>
      </c>
      <c r="I3922" s="1" t="n">
        <v>1.66</v>
      </c>
      <c r="J3922" t="n">
        <v>28110510</v>
      </c>
    </row>
    <row r="3923" ht="15.75" customHeight="1" s="201">
      <c r="A3923" s="1" t="inlineStr">
        <is>
          <t>Kohlrabi, cooked, boiled, drained, with salt</t>
        </is>
      </c>
      <c r="C3923" s="1" t="n">
        <v>6.69</v>
      </c>
      <c r="D3923" s="1" t="n">
        <v>12</v>
      </c>
      <c r="E3923" s="1" t="n">
        <v>0.4</v>
      </c>
      <c r="F3923" s="1" t="n">
        <v>1.8</v>
      </c>
      <c r="G3923" s="1" t="n">
        <v>0.11</v>
      </c>
      <c r="H3923" s="1" t="n">
        <v>35</v>
      </c>
      <c r="I3923" s="1" t="n">
        <v>0.31</v>
      </c>
      <c r="J3923" t="n">
        <v>75142550</v>
      </c>
    </row>
    <row r="3924" ht="15.75" customHeight="1" s="201">
      <c r="A3924" s="1" t="inlineStr">
        <is>
          <t>Kohlrabi, cooked, boiled, drained, without salt</t>
        </is>
      </c>
      <c r="C3924" s="1" t="n">
        <v>6.69</v>
      </c>
      <c r="D3924" s="1" t="n">
        <v>12</v>
      </c>
      <c r="E3924" s="1" t="n">
        <v>0.4</v>
      </c>
      <c r="F3924" s="1" t="n">
        <v>1.8</v>
      </c>
      <c r="G3924" s="1" t="n">
        <v>0.11</v>
      </c>
      <c r="H3924" s="1" t="n">
        <v>35</v>
      </c>
      <c r="I3924" s="1" t="n">
        <v>0.31</v>
      </c>
      <c r="J3924" t="n">
        <v>31103010</v>
      </c>
    </row>
    <row r="3925" ht="15.75" customHeight="1" s="201">
      <c r="A3925" s="1" t="inlineStr">
        <is>
          <t>Kohlrabi, raw</t>
        </is>
      </c>
      <c r="C3925" s="1" t="n">
        <v>6.2</v>
      </c>
      <c r="D3925" s="1" t="n">
        <v>16</v>
      </c>
      <c r="E3925" s="1" t="n">
        <v>0.4</v>
      </c>
      <c r="F3925" s="1" t="n">
        <v>1.7</v>
      </c>
      <c r="G3925" s="1" t="n">
        <v>0.1</v>
      </c>
      <c r="H3925" s="1" t="n">
        <v>36</v>
      </c>
      <c r="I3925" s="1" t="n">
        <v>0.03</v>
      </c>
    </row>
    <row r="3926" ht="15.75" customHeight="1" s="201">
      <c r="A3926" s="1" t="inlineStr">
        <is>
          <t>KRAFT BREAKSTONE'S FREE Fat Free Sour Cream</t>
        </is>
      </c>
      <c r="C3926" s="1" t="n">
        <v>15.1</v>
      </c>
      <c r="E3926" s="1" t="n">
        <v>0.05</v>
      </c>
      <c r="F3926" s="1" t="n">
        <v>4.7</v>
      </c>
      <c r="G3926" s="1" t="n">
        <v>1.3</v>
      </c>
      <c r="H3926" s="1" t="n">
        <v>679</v>
      </c>
      <c r="J3926" t="n">
        <v>27446260</v>
      </c>
    </row>
    <row r="3927" ht="15.75" customHeight="1" s="201">
      <c r="A3927" s="1" t="inlineStr">
        <is>
          <t>KRAFT BREAKSTONE'S Reduced Fat Sour Cream</t>
        </is>
      </c>
      <c r="C3927" s="1" t="n">
        <v>6.5</v>
      </c>
      <c r="E3927" s="1" t="n">
        <v>0.06</v>
      </c>
      <c r="F3927" s="1" t="n">
        <v>4.5</v>
      </c>
      <c r="G3927" s="1" t="n">
        <v>12</v>
      </c>
      <c r="H3927" s="1" t="n">
        <v>1053</v>
      </c>
      <c r="J3927" t="n">
        <v>27446245</v>
      </c>
    </row>
    <row r="3928" ht="15.75" customHeight="1" s="201">
      <c r="A3928" s="1" t="inlineStr">
        <is>
          <t>KRAFT CHEEZ WHIZ LIGHT Pasteurized Process Cheese Product</t>
        </is>
      </c>
      <c r="C3928" s="1" t="n">
        <v>16.2</v>
      </c>
      <c r="E3928" s="1" t="n">
        <v>0.16</v>
      </c>
      <c r="F3928" s="1" t="n">
        <v>16.3</v>
      </c>
      <c r="G3928" s="1" t="n">
        <v>9.5</v>
      </c>
      <c r="H3928" s="1" t="n">
        <v>628</v>
      </c>
      <c r="I3928" s="1" t="n">
        <v>2.36</v>
      </c>
      <c r="J3928" t="n">
        <v>27446245</v>
      </c>
    </row>
    <row r="3929" ht="15.75" customHeight="1" s="201">
      <c r="A3929" s="1" t="inlineStr">
        <is>
          <t>KRAFT CHEEZ WHIZ Pasteurized Process Cheese Sauce</t>
        </is>
      </c>
      <c r="C3929" s="1" t="n">
        <v>9.199999999999999</v>
      </c>
      <c r="E3929" s="1" t="n">
        <v>0.19</v>
      </c>
      <c r="F3929" s="1" t="n">
        <v>12</v>
      </c>
      <c r="G3929" s="1" t="n">
        <v>21</v>
      </c>
      <c r="H3929" s="1" t="n">
        <v>649</v>
      </c>
      <c r="I3929" s="1" t="n">
        <v>1.64</v>
      </c>
      <c r="J3929" t="n">
        <v>14420100</v>
      </c>
    </row>
    <row r="3930" ht="15.75" customHeight="1" s="201">
      <c r="A3930" s="1" t="inlineStr">
        <is>
          <t>Kraft Foods, Shake N Bake Original Recipe, Coating for Pork, dry</t>
        </is>
      </c>
      <c r="C3930" s="1" t="n">
        <v>79.8</v>
      </c>
      <c r="F3930" s="1" t="n">
        <v>6.1</v>
      </c>
      <c r="G3930" s="1" t="n">
        <v>3.7</v>
      </c>
    </row>
    <row r="3931" ht="15.75" customHeight="1" s="201">
      <c r="A3931" s="1" t="inlineStr">
        <is>
          <t>KRAFT FREE Singles American Nonfat Pasteurized Process Cheese Product</t>
        </is>
      </c>
      <c r="C3931" s="1" t="n">
        <v>11.7</v>
      </c>
      <c r="E3931" s="1" t="n">
        <v>0.05</v>
      </c>
      <c r="F3931" s="1" t="n">
        <v>22.7</v>
      </c>
      <c r="G3931" s="1" t="n">
        <v>1</v>
      </c>
      <c r="H3931" s="1" t="n">
        <v>2166</v>
      </c>
      <c r="I3931" s="1" t="n">
        <v>2.5</v>
      </c>
      <c r="J3931" t="n">
        <v>14420100</v>
      </c>
    </row>
    <row r="3932" ht="15.75" customHeight="1" s="201">
      <c r="A3932" s="1" t="inlineStr">
        <is>
          <t>KRAFT VELVEETA LIGHT Reduced Fat Pasteurized Process Cheese Product</t>
        </is>
      </c>
      <c r="C3932" s="1" t="n">
        <v>11.8</v>
      </c>
      <c r="E3932" s="1" t="n">
        <v>0.14</v>
      </c>
      <c r="F3932" s="1" t="n">
        <v>19.6</v>
      </c>
      <c r="G3932" s="1" t="n">
        <v>10.6</v>
      </c>
      <c r="H3932" s="1" t="n">
        <v>982</v>
      </c>
      <c r="I3932" s="1" t="n">
        <v>2.49</v>
      </c>
      <c r="J3932" t="n">
        <v>27446245</v>
      </c>
    </row>
    <row r="3933" ht="15.75" customHeight="1" s="201">
      <c r="A3933" s="1" t="inlineStr">
        <is>
          <t>KRAFT VELVEETA Pasteurized Process Cheese Spread</t>
        </is>
      </c>
      <c r="C3933" s="1" t="n">
        <v>9.800000000000001</v>
      </c>
      <c r="E3933" s="1" t="n">
        <v>0.18</v>
      </c>
      <c r="F3933" s="1" t="n">
        <v>16.3</v>
      </c>
      <c r="G3933" s="1" t="n">
        <v>22</v>
      </c>
      <c r="H3933" s="1" t="n">
        <v>1107</v>
      </c>
      <c r="I3933" s="1" t="n">
        <v>1.84</v>
      </c>
      <c r="J3933" t="n">
        <v>14420100</v>
      </c>
    </row>
    <row r="3934" ht="15.75" customHeight="1" s="201">
      <c r="A3934" s="1" t="inlineStr">
        <is>
          <t>Kumquats, raw</t>
        </is>
      </c>
      <c r="C3934" s="1" t="n">
        <v>15.9</v>
      </c>
      <c r="D3934" s="1" t="n">
        <v>17</v>
      </c>
      <c r="E3934" s="1" t="n">
        <v>0.86</v>
      </c>
      <c r="F3934" s="1" t="n">
        <v>1.88</v>
      </c>
      <c r="G3934" s="1" t="n">
        <v>0.86</v>
      </c>
      <c r="H3934" s="1" t="n">
        <v>290</v>
      </c>
      <c r="I3934" s="1" t="n">
        <v>0.17</v>
      </c>
    </row>
    <row r="3935" ht="15.75" customHeight="1" s="201">
      <c r="A3935" s="1" t="inlineStr">
        <is>
          <t>Lamb, Australian, ground,  85% lean / 15% fat, raw</t>
        </is>
      </c>
      <c r="C3935" s="1" t="n">
        <v>0</v>
      </c>
      <c r="E3935" s="1" t="n">
        <v>1.41</v>
      </c>
      <c r="F3935" s="1" t="n">
        <v>17.14</v>
      </c>
      <c r="G3935" s="1" t="n">
        <v>20.71</v>
      </c>
      <c r="J3935" t="n">
        <v>58126280</v>
      </c>
    </row>
    <row r="3936" ht="15.75" customHeight="1" s="201">
      <c r="A3936" s="1" t="inlineStr">
        <is>
          <t>Lamb, Australian, imported, fresh, composite of trimmed retail cuts, separable lean and fat, trimmed to 1/8" fat, cooked</t>
        </is>
      </c>
      <c r="C3936" s="1" t="n">
        <v>0</v>
      </c>
      <c r="E3936" s="1" t="n">
        <v>1.93</v>
      </c>
      <c r="F3936" s="1" t="n">
        <v>24.52</v>
      </c>
      <c r="G3936" s="1" t="n">
        <v>16.82</v>
      </c>
      <c r="I3936" s="1" t="n">
        <v>4.68</v>
      </c>
    </row>
    <row r="3937" ht="15.75" customHeight="1" s="201">
      <c r="A3937" s="1" t="inlineStr">
        <is>
          <t>Lamb, Australian, imported, fresh, composite of trimmed retail cuts, separable lean and fat, trimmed to 1/8" fat, raw</t>
        </is>
      </c>
      <c r="C3937" s="1" t="n">
        <v>0</v>
      </c>
      <c r="E3937" s="1" t="n">
        <v>1.43</v>
      </c>
      <c r="F3937" s="1" t="n">
        <v>17.84</v>
      </c>
      <c r="G3937" s="1" t="n">
        <v>16.97</v>
      </c>
      <c r="I3937" s="1" t="n">
        <v>3.67</v>
      </c>
    </row>
    <row r="3938" ht="15.75" customHeight="1" s="201">
      <c r="A3938" s="1" t="inlineStr">
        <is>
          <t>Lamb, Australian, imported, fresh, composite of trimmed retail cuts, separable lean only, trimmed to 1/8" fat, cooked</t>
        </is>
      </c>
      <c r="C3938" s="1" t="n">
        <v>0</v>
      </c>
      <c r="E3938" s="1" t="n">
        <v>2.05</v>
      </c>
      <c r="F3938" s="1" t="n">
        <v>26.71</v>
      </c>
      <c r="G3938" s="1" t="n">
        <v>9.630000000000001</v>
      </c>
      <c r="I3938" s="1" t="n">
        <v>5.14</v>
      </c>
    </row>
    <row r="3939" ht="15.75" customHeight="1" s="201">
      <c r="A3939" s="1" t="inlineStr">
        <is>
          <t>Lamb, Australian, imported, fresh, composite of trimmed retail cuts, separable lean only, trimmed to 1/8" fat, raw</t>
        </is>
      </c>
      <c r="C3939" s="1" t="n">
        <v>0</v>
      </c>
      <c r="E3939" s="1" t="n">
        <v>1.59</v>
      </c>
      <c r="F3939" s="1" t="n">
        <v>20.25</v>
      </c>
      <c r="G3939" s="1" t="n">
        <v>6.18</v>
      </c>
      <c r="I3939" s="1" t="n">
        <v>4.21</v>
      </c>
    </row>
    <row r="3940" ht="15.75" customHeight="1" s="201">
      <c r="A3940" s="1" t="inlineStr">
        <is>
          <t>Lamb, Australian, imported, fresh, foreshank, separable lean and fat, trimmed to 1/8" fat, cooked, braised</t>
        </is>
      </c>
      <c r="C3940" s="1" t="n">
        <v>0</v>
      </c>
      <c r="E3940" s="1" t="n">
        <v>1.79</v>
      </c>
      <c r="F3940" s="1" t="n">
        <v>24.78</v>
      </c>
      <c r="G3940" s="1" t="n">
        <v>14.44</v>
      </c>
      <c r="I3940" s="1" t="n">
        <v>6.96</v>
      </c>
    </row>
    <row r="3941" ht="15.75" customHeight="1" s="201">
      <c r="A3941" s="1" t="inlineStr">
        <is>
          <t>Lamb, Australian, imported, fresh, foreshank, separable lean and fat, trimmed to 1/8" fat, raw</t>
        </is>
      </c>
      <c r="C3941" s="1" t="n">
        <v>0</v>
      </c>
      <c r="E3941" s="1" t="n">
        <v>1.38</v>
      </c>
      <c r="F3941" s="1" t="n">
        <v>18.85</v>
      </c>
      <c r="G3941" s="1" t="n">
        <v>12.68</v>
      </c>
      <c r="I3941" s="1" t="n">
        <v>5.4</v>
      </c>
      <c r="J3941" t="n">
        <v>58126280</v>
      </c>
    </row>
    <row r="3942" ht="15.75" customHeight="1" s="201">
      <c r="A3942" s="1" t="inlineStr">
        <is>
          <t>Lamb, Australian, imported, fresh, foreshank, separable lean only, trimmed to 1/8" fat, cooked, braised</t>
        </is>
      </c>
      <c r="C3942" s="1" t="n">
        <v>0</v>
      </c>
      <c r="E3942" s="1" t="n">
        <v>1.91</v>
      </c>
      <c r="F3942" s="1" t="n">
        <v>27.5</v>
      </c>
      <c r="G3942" s="1" t="n">
        <v>5.22</v>
      </c>
      <c r="I3942" s="1" t="n">
        <v>7.93</v>
      </c>
    </row>
    <row r="3943" ht="15.75" customHeight="1" s="201">
      <c r="A3943" s="1" t="inlineStr">
        <is>
          <t>Lamb, Australian, imported, fresh, foreshank, separable lean only, trimmed to 1/8" fat, raw</t>
        </is>
      </c>
      <c r="C3943" s="1" t="n">
        <v>0</v>
      </c>
      <c r="E3943" s="1" t="n">
        <v>1.5</v>
      </c>
      <c r="F3943" s="1" t="n">
        <v>20.83</v>
      </c>
      <c r="G3943" s="1" t="n">
        <v>3.81</v>
      </c>
      <c r="I3943" s="1" t="n">
        <v>6.08</v>
      </c>
    </row>
    <row r="3944" ht="15.75" customHeight="1" s="201">
      <c r="A3944" s="1" t="inlineStr">
        <is>
          <t>Lamb, Australian, imported, fresh, leg, bottom, boneless, separable lean and fat, trimmed to 1/8" fat, cooked, roasted</t>
        </is>
      </c>
      <c r="C3944" s="1" t="n">
        <v>0</v>
      </c>
      <c r="E3944" s="1" t="n">
        <v>2.01</v>
      </c>
      <c r="F3944" s="1" t="n">
        <v>27.54</v>
      </c>
      <c r="G3944" s="1" t="n">
        <v>12.04</v>
      </c>
      <c r="H3944" s="1" t="n">
        <v>6</v>
      </c>
      <c r="I3944" s="1" t="n">
        <v>3.53</v>
      </c>
    </row>
    <row r="3945" ht="15.75" customHeight="1" s="201">
      <c r="A3945" s="1" t="inlineStr">
        <is>
          <t>Lamb, Australian, imported, fresh, leg, bottom, boneless, separable lean and fat, trimmed to 1/8" fat, raw</t>
        </is>
      </c>
      <c r="C3945" s="1" t="n">
        <v>0</v>
      </c>
      <c r="E3945" s="1" t="n">
        <v>1.76</v>
      </c>
      <c r="F3945" s="1" t="n">
        <v>20.97</v>
      </c>
      <c r="G3945" s="1" t="n">
        <v>11.43</v>
      </c>
      <c r="H3945" s="1" t="n">
        <v>8</v>
      </c>
      <c r="I3945" s="1" t="n">
        <v>2.83</v>
      </c>
    </row>
    <row r="3946" ht="15.75" customHeight="1" s="201">
      <c r="A3946" s="1" t="inlineStr">
        <is>
          <t>Lamb, Australian, imported, fresh, leg, bottom, boneless, separable lean only, trimmed to 1/8" fat, raw</t>
        </is>
      </c>
      <c r="C3946" s="1" t="n">
        <v>0</v>
      </c>
      <c r="E3946" s="1" t="n">
        <v>1.88</v>
      </c>
      <c r="F3946" s="1" t="n">
        <v>22.28</v>
      </c>
      <c r="G3946" s="1" t="n">
        <v>5.24</v>
      </c>
      <c r="H3946" s="1" t="n">
        <v>9</v>
      </c>
      <c r="I3946" s="1" t="n">
        <v>3.1</v>
      </c>
    </row>
    <row r="3947" ht="15.75" customHeight="1" s="201">
      <c r="A3947" s="1" t="inlineStr">
        <is>
          <t>Lamb, Australian, imported, fresh, leg, center slice, bone-in, separable lean and fat, trimmed to 1/8" fat, cooked, broiled</t>
        </is>
      </c>
      <c r="C3947" s="1" t="n">
        <v>0</v>
      </c>
      <c r="E3947" s="1" t="n">
        <v>2.38</v>
      </c>
      <c r="F3947" s="1" t="n">
        <v>25.54</v>
      </c>
      <c r="G3947" s="1" t="n">
        <v>11.78</v>
      </c>
      <c r="I3947" s="1" t="n">
        <v>4.95</v>
      </c>
    </row>
    <row r="3948" ht="15.75" customHeight="1" s="201">
      <c r="A3948" s="1" t="inlineStr">
        <is>
          <t>Lamb, Australian, imported, fresh, leg, center slice, bone-in, separable lean and fat, trimmed to 1/8" fat, raw</t>
        </is>
      </c>
      <c r="C3948" s="1" t="n">
        <v>0</v>
      </c>
      <c r="E3948" s="1" t="n">
        <v>1.81</v>
      </c>
      <c r="F3948" s="1" t="n">
        <v>19.17</v>
      </c>
      <c r="G3948" s="1" t="n">
        <v>12.56</v>
      </c>
      <c r="I3948" s="1" t="n">
        <v>3.32</v>
      </c>
    </row>
    <row r="3949" ht="15.75" customHeight="1" s="201">
      <c r="A3949" s="1" t="inlineStr">
        <is>
          <t>Lamb, Australian, imported, fresh, leg, center slice, bone-in, separable lean only, trimmed to 1/8" fat, cooked, broiled</t>
        </is>
      </c>
      <c r="C3949" s="1" t="n">
        <v>0</v>
      </c>
      <c r="E3949" s="1" t="n">
        <v>2.48</v>
      </c>
      <c r="F3949" s="1" t="n">
        <v>26.75</v>
      </c>
      <c r="G3949" s="1" t="n">
        <v>7.68</v>
      </c>
      <c r="I3949" s="1" t="n">
        <v>5.21</v>
      </c>
    </row>
    <row r="3950" ht="15.75" customHeight="1" s="201">
      <c r="A3950" s="1" t="inlineStr">
        <is>
          <t>Lamb, Australian, imported, fresh, leg, center slice, bone-in, separable lean only, trimmed to 1/8" fat, raw</t>
        </is>
      </c>
      <c r="C3950" s="1" t="n">
        <v>0</v>
      </c>
      <c r="E3950" s="1" t="n">
        <v>1.94</v>
      </c>
      <c r="F3950" s="1" t="n">
        <v>20.65</v>
      </c>
      <c r="G3950" s="1" t="n">
        <v>6.08</v>
      </c>
      <c r="I3950" s="1" t="n">
        <v>3.58</v>
      </c>
    </row>
    <row r="3951" ht="15.75" customHeight="1" s="201">
      <c r="A3951" s="1" t="inlineStr">
        <is>
          <t>Lamb, Australian, imported, fresh, leg, shank half, separable lean and fat, trimmed to 1/8" fat, cooked, roasted</t>
        </is>
      </c>
      <c r="C3951" s="1" t="n">
        <v>0</v>
      </c>
      <c r="E3951" s="1" t="n">
        <v>2.01</v>
      </c>
      <c r="F3951" s="1" t="n">
        <v>25.25</v>
      </c>
      <c r="G3951" s="1" t="n">
        <v>13.69</v>
      </c>
      <c r="I3951" s="1" t="n">
        <v>4.49</v>
      </c>
      <c r="J3951" t="n">
        <v>92307500</v>
      </c>
    </row>
    <row r="3952" ht="15.75" customHeight="1" s="201">
      <c r="A3952" s="1" t="inlineStr">
        <is>
          <t>Lamb, Australian, imported, fresh, leg, shank half, separable lean and fat, trimmed to 1/8" fat, raw</t>
        </is>
      </c>
      <c r="C3952" s="1" t="n">
        <v>0</v>
      </c>
      <c r="E3952" s="1" t="n">
        <v>1.48</v>
      </c>
      <c r="F3952" s="1" t="n">
        <v>18.59</v>
      </c>
      <c r="G3952" s="1" t="n">
        <v>13.48</v>
      </c>
      <c r="I3952" s="1" t="n">
        <v>4.04</v>
      </c>
      <c r="J3952" t="n">
        <v>92307500</v>
      </c>
    </row>
    <row r="3953" ht="15.75" customHeight="1" s="201">
      <c r="A3953" s="1" t="inlineStr">
        <is>
          <t>Lamb, Australian, imported, fresh, leg, shank half, separable lean only, trimmed to 1/8" fat, cooked, roasted</t>
        </is>
      </c>
      <c r="C3953" s="1" t="n">
        <v>0</v>
      </c>
      <c r="E3953" s="1" t="n">
        <v>2.13</v>
      </c>
      <c r="F3953" s="1" t="n">
        <v>27.18</v>
      </c>
      <c r="G3953" s="1" t="n">
        <v>7.27</v>
      </c>
      <c r="I3953" s="1" t="n">
        <v>4.86</v>
      </c>
      <c r="J3953" t="n">
        <v>92307500</v>
      </c>
    </row>
    <row r="3954" ht="15.75" customHeight="1" s="201">
      <c r="A3954" s="1" t="inlineStr">
        <is>
          <t>Lamb, Australian, imported, fresh, leg, shank half, separable lean only, trimmed to 1/8" fat, raw</t>
        </is>
      </c>
      <c r="C3954" s="1" t="n">
        <v>0</v>
      </c>
      <c r="E3954" s="1" t="n">
        <v>1.61</v>
      </c>
      <c r="F3954" s="1" t="n">
        <v>20.45</v>
      </c>
      <c r="G3954" s="1" t="n">
        <v>5.1</v>
      </c>
      <c r="I3954" s="1" t="n">
        <v>4.5</v>
      </c>
      <c r="J3954" t="n">
        <v>92307500</v>
      </c>
    </row>
    <row r="3955" ht="15.75" customHeight="1" s="201">
      <c r="A3955" s="1" t="inlineStr">
        <is>
          <t>Lamb, Australian, imported, fresh, leg, sirloin chops, boneless, separable lean and fat, trimmed to 1/8" fat, cooked, broiled</t>
        </is>
      </c>
      <c r="C3955" s="1" t="n">
        <v>0</v>
      </c>
      <c r="E3955" s="1" t="n">
        <v>2.34</v>
      </c>
      <c r="F3955" s="1" t="n">
        <v>25.75</v>
      </c>
      <c r="G3955" s="1" t="n">
        <v>13.83</v>
      </c>
      <c r="I3955" s="1" t="n">
        <v>4.83</v>
      </c>
    </row>
    <row r="3956" ht="15.75" customHeight="1" s="201">
      <c r="A3956" s="1" t="inlineStr">
        <is>
          <t>Lamb, Australian, imported, fresh, leg, sirloin chops, boneless, separable lean and fat, trimmed to 1/8" fat, raw</t>
        </is>
      </c>
      <c r="C3956" s="1" t="n">
        <v>0</v>
      </c>
      <c r="E3956" s="1" t="n">
        <v>1.75</v>
      </c>
      <c r="F3956" s="1" t="n">
        <v>18.33</v>
      </c>
      <c r="G3956" s="1" t="n">
        <v>14.38</v>
      </c>
      <c r="I3956" s="1" t="n">
        <v>3.21</v>
      </c>
    </row>
    <row r="3957" ht="15.75" customHeight="1" s="201">
      <c r="A3957" s="1" t="inlineStr">
        <is>
          <t>Lamb, Australian, imported, fresh, leg, sirloin chops, boneless, separable lean only, trimmed to 1/8" fat, cooked, broiled</t>
        </is>
      </c>
      <c r="C3957" s="1" t="n">
        <v>0</v>
      </c>
      <c r="E3957" s="1" t="n">
        <v>2.48</v>
      </c>
      <c r="F3957" s="1" t="n">
        <v>27.63</v>
      </c>
      <c r="G3957" s="1" t="n">
        <v>7.8</v>
      </c>
      <c r="I3957" s="1" t="n">
        <v>5.21</v>
      </c>
    </row>
    <row r="3958" ht="15.75" customHeight="1" s="201">
      <c r="A3958" s="1" t="inlineStr">
        <is>
          <t>Lamb, Australian, imported, fresh, leg, sirloin chops, boneless, separable lean only, trimmed to 1/8" fat, raw</t>
        </is>
      </c>
      <c r="C3958" s="1" t="n">
        <v>0</v>
      </c>
      <c r="E3958" s="1" t="n">
        <v>1.94</v>
      </c>
      <c r="F3958" s="1" t="n">
        <v>20.43</v>
      </c>
      <c r="G3958" s="1" t="n">
        <v>4.91</v>
      </c>
      <c r="I3958" s="1" t="n">
        <v>3.58</v>
      </c>
    </row>
    <row r="3959" ht="15.75" customHeight="1" s="201">
      <c r="A3959" s="1" t="inlineStr">
        <is>
          <t>Lamb, Australian, imported, fresh, leg, sirloin half, boneless, separable lean and fat, trimmed to 1/8" fat, cooked, roasted</t>
        </is>
      </c>
      <c r="C3959" s="1" t="n">
        <v>0</v>
      </c>
      <c r="E3959" s="1" t="n">
        <v>2.06</v>
      </c>
      <c r="F3959" s="1" t="n">
        <v>24.88</v>
      </c>
      <c r="G3959" s="1" t="n">
        <v>19.38</v>
      </c>
      <c r="I3959" s="1" t="n">
        <v>4.24</v>
      </c>
      <c r="J3959" t="n">
        <v>92307500</v>
      </c>
    </row>
    <row r="3960" ht="15.75" customHeight="1" s="201">
      <c r="A3960" s="1" t="inlineStr">
        <is>
          <t>Lamb, Australian, imported, fresh, leg, sirloin half, boneless, separable lean and fat, trimmed to 1/8" fat, raw</t>
        </is>
      </c>
      <c r="C3960" s="1" t="n">
        <v>0</v>
      </c>
      <c r="E3960" s="1" t="n">
        <v>1.5</v>
      </c>
      <c r="F3960" s="1" t="n">
        <v>17.25</v>
      </c>
      <c r="G3960" s="1" t="n">
        <v>20</v>
      </c>
      <c r="I3960" s="1" t="n">
        <v>2.95</v>
      </c>
      <c r="J3960" t="n">
        <v>92307500</v>
      </c>
    </row>
    <row r="3961" ht="15.75" customHeight="1" s="201">
      <c r="A3961" s="1" t="inlineStr">
        <is>
          <t>Lamb, Australian, imported, fresh, leg, sirloin half, boneless, separable lean only, trimmed to 1/8" fat, cooked, roasted</t>
        </is>
      </c>
      <c r="C3961" s="1" t="n">
        <v>0</v>
      </c>
      <c r="E3961" s="1" t="n">
        <v>2.24</v>
      </c>
      <c r="F3961" s="1" t="n">
        <v>27.75</v>
      </c>
      <c r="G3961" s="1" t="n">
        <v>10.65</v>
      </c>
      <c r="I3961" s="1" t="n">
        <v>4.76</v>
      </c>
    </row>
    <row r="3962" ht="15.75" customHeight="1" s="201">
      <c r="A3962" s="1" t="inlineStr">
        <is>
          <t>Lamb, Australian, imported, fresh, leg, sirloin half, boneless, separable lean only, trimmed to 1/8" fat, raw</t>
        </is>
      </c>
      <c r="C3962" s="1" t="n">
        <v>0</v>
      </c>
      <c r="E3962" s="1" t="n">
        <v>1.75</v>
      </c>
      <c r="F3962" s="1" t="n">
        <v>20.48</v>
      </c>
      <c r="G3962" s="1" t="n">
        <v>5.64</v>
      </c>
      <c r="I3962" s="1" t="n">
        <v>3.5</v>
      </c>
      <c r="J3962" t="n">
        <v>92307500</v>
      </c>
    </row>
    <row r="3963" ht="15.75" customHeight="1" s="201">
      <c r="A3963" s="1" t="inlineStr">
        <is>
          <t>Lamb, Australian, imported, fresh, leg, trotter off, bone-in, separable lean only, trimmed to 1/8" fat, cooked, roasted</t>
        </is>
      </c>
      <c r="C3963" s="1" t="n">
        <v>0</v>
      </c>
      <c r="E3963" s="1" t="n">
        <v>2.55</v>
      </c>
      <c r="F3963" s="1" t="n">
        <v>32.08</v>
      </c>
      <c r="G3963" s="1" t="n">
        <v>9.59</v>
      </c>
      <c r="H3963" s="1" t="n">
        <v>8</v>
      </c>
      <c r="I3963" s="1" t="n">
        <v>4.15</v>
      </c>
    </row>
    <row r="3964" ht="15.75" customHeight="1" s="201">
      <c r="A3964" s="1" t="inlineStr">
        <is>
          <t>Lamb, Australian, imported, fresh, leg, trotter off, bone-in, separable lean only, trimmed to 1/8" fat, raw</t>
        </is>
      </c>
      <c r="C3964" s="1" t="n">
        <v>0</v>
      </c>
      <c r="E3964" s="1" t="n">
        <v>2.25</v>
      </c>
      <c r="F3964" s="1" t="n">
        <v>23.11</v>
      </c>
      <c r="G3964" s="1" t="n">
        <v>4.33</v>
      </c>
      <c r="H3964" s="1" t="n">
        <v>9</v>
      </c>
      <c r="I3964" s="1" t="n">
        <v>2.94</v>
      </c>
    </row>
    <row r="3965" ht="15.75" customHeight="1" s="201">
      <c r="A3965" s="1" t="inlineStr">
        <is>
          <t>Lamb, Australian, imported, fresh, leg, whole (shank and sirloin), separable lean and fat, trimmed to 1/8" fat, cooked, roasted</t>
        </is>
      </c>
      <c r="C3965" s="1" t="n">
        <v>0</v>
      </c>
      <c r="E3965" s="1" t="n">
        <v>2.03</v>
      </c>
      <c r="F3965" s="1" t="n">
        <v>25.16</v>
      </c>
      <c r="G3965" s="1" t="n">
        <v>15.13</v>
      </c>
      <c r="I3965" s="1" t="n">
        <v>4.43</v>
      </c>
    </row>
    <row r="3966" ht="15.75" customHeight="1" s="201">
      <c r="A3966" s="1" t="inlineStr">
        <is>
          <t>Lamb, Australian, imported, fresh, leg, whole (shank and sirloin), separable lean and fat, trimmed to 1/8" fat, raw</t>
        </is>
      </c>
      <c r="C3966" s="1" t="n">
        <v>0</v>
      </c>
      <c r="E3966" s="1" t="n">
        <v>1.48</v>
      </c>
      <c r="F3966" s="1" t="n">
        <v>18.24</v>
      </c>
      <c r="G3966" s="1" t="n">
        <v>15.19</v>
      </c>
      <c r="I3966" s="1" t="n">
        <v>3.75</v>
      </c>
    </row>
    <row r="3967" ht="15.75" customHeight="1" s="201">
      <c r="A3967" s="1" t="inlineStr">
        <is>
          <t>Lamb, Australian, imported, fresh, leg, whole (shank and sirloin), separable lean only, trimmed to 1/8" fat, cooked, roasted</t>
        </is>
      </c>
      <c r="C3967" s="1" t="n">
        <v>0</v>
      </c>
      <c r="E3967" s="1" t="n">
        <v>2.15</v>
      </c>
      <c r="F3967" s="1" t="n">
        <v>27.31</v>
      </c>
      <c r="G3967" s="1" t="n">
        <v>8.1</v>
      </c>
      <c r="I3967" s="1" t="n">
        <v>4.83</v>
      </c>
    </row>
    <row r="3968" ht="15.75" customHeight="1" s="201">
      <c r="A3968" s="1" t="inlineStr">
        <is>
          <t>Lamb, Australian, imported, fresh, leg, whole (shank and sirloin), separable lean only, trimmed to 1/8" fat, raw</t>
        </is>
      </c>
      <c r="C3968" s="1" t="n">
        <v>0</v>
      </c>
      <c r="E3968" s="1" t="n">
        <v>1.64</v>
      </c>
      <c r="F3968" s="1" t="n">
        <v>20.46</v>
      </c>
      <c r="G3968" s="1" t="n">
        <v>5.23</v>
      </c>
      <c r="I3968" s="1" t="n">
        <v>4.25</v>
      </c>
    </row>
    <row r="3969" ht="15.75" customHeight="1" s="201">
      <c r="A3969" s="1" t="inlineStr">
        <is>
          <t>Lamb, Australian, imported, fresh, loin, separable lean and fat, trimmed to 1/8" fat, cooked, broiled</t>
        </is>
      </c>
      <c r="C3969" s="1" t="n">
        <v>0</v>
      </c>
      <c r="E3969" s="1" t="n">
        <v>2.12</v>
      </c>
      <c r="F3969" s="1" t="n">
        <v>25.49</v>
      </c>
      <c r="G3969" s="1" t="n">
        <v>12.25</v>
      </c>
      <c r="I3969" s="1" t="n">
        <v>3.36</v>
      </c>
      <c r="J3969" t="n">
        <v>23104010</v>
      </c>
    </row>
    <row r="3970" ht="15.75" customHeight="1" s="201">
      <c r="A3970" s="1" t="inlineStr">
        <is>
          <t>Lamb, Australian, imported, fresh, loin, separable lean and fat, trimmed to 1/8" fat, raw</t>
        </is>
      </c>
      <c r="C3970" s="1" t="n">
        <v>0</v>
      </c>
      <c r="E3970" s="1" t="n">
        <v>1.66</v>
      </c>
      <c r="F3970" s="1" t="n">
        <v>19.32</v>
      </c>
      <c r="G3970" s="1" t="n">
        <v>13.38</v>
      </c>
      <c r="I3970" s="1" t="n">
        <v>2.5</v>
      </c>
      <c r="J3970" t="n">
        <v>23104010</v>
      </c>
    </row>
    <row r="3971" ht="15.75" customHeight="1" s="201">
      <c r="A3971" s="1" t="inlineStr">
        <is>
          <t>Lamb, Australian, imported, fresh, loin, separable lean only, trimmed to 1/8" fat, cooked, broiled</t>
        </is>
      </c>
      <c r="C3971" s="1" t="n">
        <v>0</v>
      </c>
      <c r="E3971" s="1" t="n">
        <v>2.18</v>
      </c>
      <c r="F3971" s="1" t="n">
        <v>26.53</v>
      </c>
      <c r="G3971" s="1" t="n">
        <v>8.75</v>
      </c>
      <c r="I3971" s="1" t="n">
        <v>3.48</v>
      </c>
      <c r="J3971" t="n">
        <v>23104020</v>
      </c>
    </row>
    <row r="3972" ht="15.75" customHeight="1" s="201">
      <c r="A3972" s="1" t="inlineStr">
        <is>
          <t>Lamb, Australian, imported, fresh, loin, separable lean only, trimmed to 1/8" fat, raw</t>
        </is>
      </c>
      <c r="C3972" s="1" t="n">
        <v>0</v>
      </c>
      <c r="E3972" s="1" t="n">
        <v>1.79</v>
      </c>
      <c r="F3972" s="1" t="n">
        <v>21</v>
      </c>
      <c r="G3972" s="1" t="n">
        <v>6.24</v>
      </c>
      <c r="I3972" s="1" t="n">
        <v>2.69</v>
      </c>
      <c r="J3972" t="n">
        <v>23104020</v>
      </c>
    </row>
    <row r="3973" ht="15.75" customHeight="1" s="201">
      <c r="A3973" s="1" t="inlineStr">
        <is>
          <t>Lamb, Australian, imported, fresh, rack, roast, frenched, bone-in, separable lean and fat, trimmed to 1/8" fat, cooked, roasted</t>
        </is>
      </c>
      <c r="C3973" s="1" t="n">
        <v>0</v>
      </c>
      <c r="E3973" s="1" t="n">
        <v>2.47</v>
      </c>
      <c r="F3973" s="1" t="n">
        <v>25.96</v>
      </c>
      <c r="G3973" s="1" t="n">
        <v>20.77</v>
      </c>
      <c r="H3973" s="1" t="n">
        <v>12</v>
      </c>
      <c r="I3973" s="1" t="n">
        <v>2.81</v>
      </c>
      <c r="J3973" t="n">
        <v>28110510</v>
      </c>
    </row>
    <row r="3974" ht="15.75" customHeight="1" s="201">
      <c r="A3974" s="1" t="inlineStr">
        <is>
          <t>Lamb, Australian, imported, fresh, rack, roast, frenched, denuded, bone-in, separable lean and fat, trimmed to 0" fat, cooked, roasted</t>
        </is>
      </c>
      <c r="C3974" s="1" t="n">
        <v>0</v>
      </c>
      <c r="E3974" s="1" t="n">
        <v>1.92</v>
      </c>
      <c r="F3974" s="1" t="n">
        <v>25.95</v>
      </c>
      <c r="G3974" s="1" t="n">
        <v>9.91</v>
      </c>
      <c r="H3974" s="1" t="n">
        <v>11</v>
      </c>
      <c r="I3974" s="1" t="n">
        <v>2.31</v>
      </c>
      <c r="J3974" t="n">
        <v>28110510</v>
      </c>
    </row>
    <row r="3975" ht="15.75" customHeight="1" s="201">
      <c r="A3975" s="1" t="inlineStr">
        <is>
          <t>Lamb, Australian, imported, fresh, rib chop, frenched, bone-in, separable lean and fat, trimmed to 1/8" fat, cooked, grilled</t>
        </is>
      </c>
      <c r="C3975" s="1" t="n">
        <v>0</v>
      </c>
      <c r="E3975" s="1" t="n">
        <v>2.24</v>
      </c>
      <c r="F3975" s="1" t="n">
        <v>28.48</v>
      </c>
      <c r="G3975" s="1" t="n">
        <v>21.2</v>
      </c>
      <c r="H3975" s="1" t="n">
        <v>11</v>
      </c>
      <c r="I3975" s="1" t="n">
        <v>3</v>
      </c>
      <c r="J3975" t="n">
        <v>23104010</v>
      </c>
    </row>
    <row r="3976" ht="15.75" customHeight="1" s="201">
      <c r="A3976" s="1" t="inlineStr">
        <is>
          <t>Lamb, Australian, imported, fresh, rib chop, frenched, bone-in, separable lean only, trimmed to 1/8" fat, cooked, grilled</t>
        </is>
      </c>
      <c r="C3976" s="1" t="n">
        <v>0</v>
      </c>
      <c r="E3976" s="1" t="n">
        <v>2.36</v>
      </c>
      <c r="F3976" s="1" t="n">
        <v>32.16</v>
      </c>
      <c r="G3976" s="1" t="n">
        <v>11.68</v>
      </c>
      <c r="H3976" s="1" t="n">
        <v>15</v>
      </c>
      <c r="I3976" s="1" t="n">
        <v>3.28</v>
      </c>
      <c r="J3976" t="n">
        <v>23104020</v>
      </c>
    </row>
    <row r="3977" ht="15.75" customHeight="1" s="201">
      <c r="A3977" s="1" t="inlineStr">
        <is>
          <t>Lamb, Australian, imported, fresh, rib chop, frenched, denuded, bone-in, separable lean only, trimmed to 0" fat, cooked, grilled</t>
        </is>
      </c>
      <c r="C3977" s="1" t="n">
        <v>0</v>
      </c>
      <c r="E3977" s="1" t="n">
        <v>2.46</v>
      </c>
      <c r="F3977" s="1" t="n">
        <v>33.17</v>
      </c>
      <c r="G3977" s="1" t="n">
        <v>11.5</v>
      </c>
      <c r="H3977" s="1" t="n">
        <v>15</v>
      </c>
      <c r="I3977" s="1" t="n">
        <v>3.79</v>
      </c>
      <c r="J3977" t="n">
        <v>23104020</v>
      </c>
    </row>
    <row r="3978" ht="15.75" customHeight="1" s="201">
      <c r="A3978" s="1" t="inlineStr">
        <is>
          <t>Lamb, Australian, imported, fresh, rib chop/rack roast, frenched, bone-in, separable lean and fat, trimmed to 1/8" fat, raw</t>
        </is>
      </c>
      <c r="C3978" s="1" t="n">
        <v>0</v>
      </c>
      <c r="E3978" s="1" t="n">
        <v>1.55</v>
      </c>
      <c r="F3978" s="1" t="n">
        <v>21.26</v>
      </c>
      <c r="G3978" s="1" t="n">
        <v>16.89</v>
      </c>
      <c r="H3978" s="1" t="n">
        <v>12</v>
      </c>
      <c r="I3978" s="1" t="n">
        <v>1.94</v>
      </c>
      <c r="J3978" t="n">
        <v>21407110</v>
      </c>
    </row>
    <row r="3979" ht="15.75" customHeight="1" s="201">
      <c r="A3979" s="1" t="inlineStr">
        <is>
          <t>Lamb, Australian, imported, fresh, rib chop/rack roast, frenched, bone-in, separable lean only, trimmed to 1/8" fat, raw</t>
        </is>
      </c>
      <c r="C3979" s="1" t="n">
        <v>0</v>
      </c>
      <c r="E3979" s="1" t="n">
        <v>1.75</v>
      </c>
      <c r="F3979" s="1" t="n">
        <v>24.07</v>
      </c>
      <c r="G3979" s="1" t="n">
        <v>5.59</v>
      </c>
      <c r="H3979" s="1" t="n">
        <v>17</v>
      </c>
      <c r="I3979" s="1" t="n">
        <v>2.2</v>
      </c>
      <c r="J3979" t="n">
        <v>21407120</v>
      </c>
    </row>
    <row r="3980" ht="15.75" customHeight="1" s="201">
      <c r="A3980" s="1" t="inlineStr">
        <is>
          <t>Lamb, Australian, imported, fresh, seam fat, cooked</t>
        </is>
      </c>
      <c r="C3980" s="1" t="n">
        <v>1.55</v>
      </c>
      <c r="E3980" s="1" t="n">
        <v>1.39</v>
      </c>
      <c r="F3980" s="1" t="n">
        <v>13.81</v>
      </c>
      <c r="G3980" s="1" t="n">
        <v>54.72</v>
      </c>
      <c r="I3980" s="1" t="n">
        <v>1.8</v>
      </c>
      <c r="J3980" t="n">
        <v>23104000</v>
      </c>
    </row>
    <row r="3981" ht="15.75" customHeight="1" s="201">
      <c r="A3981" s="1" t="inlineStr">
        <is>
          <t>Lamb, Australian, imported, fresh, seam fat, raw</t>
        </is>
      </c>
      <c r="C3981" s="1" t="n">
        <v>0</v>
      </c>
      <c r="E3981" s="1" t="n">
        <v>0.98</v>
      </c>
      <c r="F3981" s="1" t="n">
        <v>15.65</v>
      </c>
      <c r="G3981" s="1" t="n">
        <v>44.01</v>
      </c>
      <c r="I3981" s="1" t="n">
        <v>1.1</v>
      </c>
    </row>
    <row r="3982" ht="15.75" customHeight="1" s="201">
      <c r="A3982" s="1" t="inlineStr">
        <is>
          <t>Lamb, Australian, imported, fresh, separable fat, cooked</t>
        </is>
      </c>
      <c r="C3982" s="1" t="n">
        <v>0</v>
      </c>
      <c r="E3982" s="1" t="n">
        <v>1.11</v>
      </c>
      <c r="F3982" s="1" t="n">
        <v>9.42</v>
      </c>
      <c r="G3982" s="1" t="n">
        <v>66.40000000000001</v>
      </c>
      <c r="I3982" s="1" t="n">
        <v>1.48</v>
      </c>
      <c r="J3982" t="n">
        <v>23104000</v>
      </c>
    </row>
    <row r="3983" ht="15.75" customHeight="1" s="201">
      <c r="A3983" s="1" t="inlineStr">
        <is>
          <t>Lamb, Australian, imported, fresh, separable fat, raw</t>
        </is>
      </c>
      <c r="C3983" s="1" t="n">
        <v>0</v>
      </c>
      <c r="E3983" s="1" t="n">
        <v>0.63</v>
      </c>
      <c r="F3983" s="1" t="n">
        <v>6.27</v>
      </c>
      <c r="G3983" s="1" t="n">
        <v>68.87</v>
      </c>
      <c r="I3983" s="1" t="n">
        <v>1.06</v>
      </c>
    </row>
    <row r="3984" ht="15.75" customHeight="1" s="201">
      <c r="A3984" s="1" t="inlineStr">
        <is>
          <t>Lamb, Australian, imported, fresh, shoulder ,blade, separable lean only, trimmed to 1/8" fat, cooked, broiled</t>
        </is>
      </c>
      <c r="C3984" s="1" t="n">
        <v>0</v>
      </c>
      <c r="E3984" s="1" t="n">
        <v>1.67</v>
      </c>
      <c r="F3984" s="1" t="n">
        <v>23.83</v>
      </c>
      <c r="G3984" s="1" t="n">
        <v>14.38</v>
      </c>
      <c r="I3984" s="1" t="n">
        <v>6.32</v>
      </c>
      <c r="J3984" t="n">
        <v>23107020</v>
      </c>
    </row>
    <row r="3985" ht="15.75" customHeight="1" s="201">
      <c r="A3985" s="1" t="inlineStr">
        <is>
          <t>Lamb, Australian, imported, fresh, shoulder, arm, separable lean and fat, trimmed to 1/8" fat, cooked, braised</t>
        </is>
      </c>
      <c r="C3985" s="1" t="n">
        <v>0</v>
      </c>
      <c r="E3985" s="1" t="n">
        <v>2.42</v>
      </c>
      <c r="F3985" s="1" t="n">
        <v>29.7</v>
      </c>
      <c r="G3985" s="1" t="n">
        <v>20.38</v>
      </c>
      <c r="I3985" s="1" t="n">
        <v>6.64</v>
      </c>
      <c r="J3985" t="n">
        <v>23107010</v>
      </c>
    </row>
    <row r="3986" ht="15.75" customHeight="1" s="201">
      <c r="A3986" s="1" t="inlineStr">
        <is>
          <t>Lamb, Australian, imported, fresh, shoulder, arm, separable lean and fat, trimmed to 1/8" fat, raw</t>
        </is>
      </c>
      <c r="C3986" s="1" t="n">
        <v>0</v>
      </c>
      <c r="E3986" s="1" t="n">
        <v>1.35</v>
      </c>
      <c r="F3986" s="1" t="n">
        <v>17.06</v>
      </c>
      <c r="G3986" s="1" t="n">
        <v>18.89</v>
      </c>
      <c r="I3986" s="1" t="n">
        <v>3.52</v>
      </c>
      <c r="J3986" t="n">
        <v>23107010</v>
      </c>
    </row>
    <row r="3987" ht="15.75" customHeight="1" s="201">
      <c r="A3987" s="1" t="inlineStr">
        <is>
          <t>Lamb, Australian, imported, fresh, shoulder, arm, separable lean only,   trimmed to 1/8" fat, cooked, braised</t>
        </is>
      </c>
      <c r="C3987" s="1" t="n">
        <v>0</v>
      </c>
      <c r="E3987" s="1" t="n">
        <v>2.71</v>
      </c>
      <c r="F3987" s="1" t="n">
        <v>34.17</v>
      </c>
      <c r="G3987" s="1" t="n">
        <v>10.23</v>
      </c>
      <c r="I3987" s="1" t="n">
        <v>7.78</v>
      </c>
      <c r="J3987" t="n">
        <v>23107020</v>
      </c>
    </row>
    <row r="3988" ht="15.75" customHeight="1" s="201">
      <c r="A3988" s="1" t="inlineStr">
        <is>
          <t>Lamb, Australian, imported, fresh, shoulder, arm, separable lean only, trimmed to 1/8" fat, raw</t>
        </is>
      </c>
      <c r="C3988" s="1" t="n">
        <v>0</v>
      </c>
      <c r="E3988" s="1" t="n">
        <v>1.54</v>
      </c>
      <c r="F3988" s="1" t="n">
        <v>19.88</v>
      </c>
      <c r="G3988" s="1" t="n">
        <v>5.81</v>
      </c>
      <c r="I3988" s="1" t="n">
        <v>4.16</v>
      </c>
      <c r="J3988" t="n">
        <v>23107020</v>
      </c>
    </row>
    <row r="3989" ht="15.75" customHeight="1" s="201">
      <c r="A3989" s="1" t="inlineStr">
        <is>
          <t>Lamb, Australian, imported, fresh, shoulder, blade, separable lean and fat, trimmed to 1/8" fat, cooked, broiled</t>
        </is>
      </c>
      <c r="C3989" s="1" t="n">
        <v>0</v>
      </c>
      <c r="E3989" s="1" t="n">
        <v>1.58</v>
      </c>
      <c r="F3989" s="1" t="n">
        <v>21.71</v>
      </c>
      <c r="G3989" s="1" t="n">
        <v>22.03</v>
      </c>
      <c r="I3989" s="1" t="n">
        <v>5.61</v>
      </c>
    </row>
    <row r="3990" ht="15.75" customHeight="1" s="201">
      <c r="A3990" s="1" t="inlineStr">
        <is>
          <t>Lamb, Australian, imported, fresh, shoulder, blade, separable lean and fat, trimmed to 1/8" fat, raw</t>
        </is>
      </c>
      <c r="C3990" s="1" t="n">
        <v>0</v>
      </c>
      <c r="E3990" s="1" t="n">
        <v>1.21</v>
      </c>
      <c r="F3990" s="1" t="n">
        <v>16.48</v>
      </c>
      <c r="G3990" s="1" t="n">
        <v>21.28</v>
      </c>
      <c r="I3990" s="1" t="n">
        <v>4.37</v>
      </c>
    </row>
    <row r="3991" ht="15.75" customHeight="1" s="201">
      <c r="A3991" s="1" t="inlineStr">
        <is>
          <t>Lamb, Australian, imported, fresh, shoulder, blade, separable lean only, trimmed to 1/8" fat, raw</t>
        </is>
      </c>
      <c r="C3991" s="1" t="n">
        <v>0</v>
      </c>
      <c r="E3991" s="1" t="n">
        <v>1.36</v>
      </c>
      <c r="F3991" s="1" t="n">
        <v>19.1</v>
      </c>
      <c r="G3991" s="1" t="n">
        <v>9.09</v>
      </c>
      <c r="I3991" s="1" t="n">
        <v>5.22</v>
      </c>
      <c r="J3991" t="n">
        <v>23107020</v>
      </c>
    </row>
    <row r="3992" ht="15.75" customHeight="1" s="201">
      <c r="A3992" s="1" t="inlineStr">
        <is>
          <t>Lamb, Australian, imported, fresh, shoulder, whole (arm and blade), separable lean and fat, trimmed to 1/8" fat, cooked</t>
        </is>
      </c>
      <c r="C3992" s="1" t="n">
        <v>0</v>
      </c>
      <c r="E3992" s="1" t="n">
        <v>1.78</v>
      </c>
      <c r="F3992" s="1" t="n">
        <v>23.58</v>
      </c>
      <c r="G3992" s="1" t="n">
        <v>21.65</v>
      </c>
      <c r="I3992" s="1" t="n">
        <v>5.85</v>
      </c>
    </row>
    <row r="3993" ht="15.75" customHeight="1" s="201">
      <c r="A3993" s="1" t="inlineStr">
        <is>
          <t>Lamb, Australian, imported, fresh, shoulder, whole (arm and blade), separable lean and fat, trimmed to 1/8" fat, raw</t>
        </is>
      </c>
      <c r="C3993" s="1" t="n">
        <v>0</v>
      </c>
      <c r="E3993" s="1" t="n">
        <v>1.26</v>
      </c>
      <c r="F3993" s="1" t="n">
        <v>16.68</v>
      </c>
      <c r="G3993" s="1" t="n">
        <v>20.47</v>
      </c>
      <c r="I3993" s="1" t="n">
        <v>4.09</v>
      </c>
    </row>
    <row r="3994" ht="15.75" customHeight="1" s="201">
      <c r="A3994" s="1" t="inlineStr">
        <is>
          <t>Lamb, Australian, imported, fresh, shoulder, whole (arm and blade), separable lean only,   trimmed to 1/8" fat, raw</t>
        </is>
      </c>
      <c r="C3994" s="1" t="n">
        <v>0</v>
      </c>
      <c r="E3994" s="1" t="n">
        <v>1.42</v>
      </c>
      <c r="F3994" s="1" t="n">
        <v>19.36</v>
      </c>
      <c r="G3994" s="1" t="n">
        <v>8.01</v>
      </c>
      <c r="I3994" s="1" t="n">
        <v>4.87</v>
      </c>
    </row>
    <row r="3995" ht="15.75" customHeight="1" s="201">
      <c r="A3995" s="1" t="inlineStr">
        <is>
          <t>Lamb, Australian, imported, fresh, shoulder, whole (arm and blade), separable lean only, trimmed to 1/8" fat, cooked</t>
        </is>
      </c>
      <c r="C3995" s="1" t="n">
        <v>0</v>
      </c>
      <c r="E3995" s="1" t="n">
        <v>1.9</v>
      </c>
      <c r="F3995" s="1" t="n">
        <v>26.18</v>
      </c>
      <c r="G3995" s="1" t="n">
        <v>13.44</v>
      </c>
      <c r="I3995" s="1" t="n">
        <v>6.65</v>
      </c>
      <c r="J3995" t="n">
        <v>23107020</v>
      </c>
    </row>
    <row r="3996" ht="15.75" customHeight="1" s="201">
      <c r="A3996" s="1" t="inlineStr">
        <is>
          <t>Lamb, Australian, imported, fresh, tenderloin, boneless, separable lean and fat, trimmed to 1/8" fat, raw</t>
        </is>
      </c>
      <c r="C3996" s="1" t="n">
        <v>0</v>
      </c>
      <c r="E3996" s="1" t="n">
        <v>2.25</v>
      </c>
      <c r="F3996" s="1" t="n">
        <v>23.23</v>
      </c>
      <c r="G3996" s="1" t="n">
        <v>5.52</v>
      </c>
      <c r="H3996" s="1" t="n">
        <v>5</v>
      </c>
      <c r="I3996" s="1" t="n">
        <v>2.3</v>
      </c>
    </row>
    <row r="3997" ht="15.75" customHeight="1" s="201">
      <c r="A3997" s="1" t="inlineStr">
        <is>
          <t>Lamb, Australian, imported, fresh, tenderloin, boneless, separable lean only, trimmed to 1/8" fat, raw</t>
        </is>
      </c>
      <c r="C3997" s="1" t="n">
        <v>0</v>
      </c>
      <c r="E3997" s="1" t="n">
        <v>2.27</v>
      </c>
      <c r="F3997" s="1" t="n">
        <v>23.42</v>
      </c>
      <c r="G3997" s="1" t="n">
        <v>4.73</v>
      </c>
      <c r="H3997" s="1" t="n">
        <v>5</v>
      </c>
      <c r="I3997" s="1" t="n">
        <v>2.32</v>
      </c>
    </row>
    <row r="3998" ht="15.75" customHeight="1" s="201">
      <c r="A3998" s="1" t="inlineStr">
        <is>
          <t>Lamb, composite of trimmed retail cuts, separable fat, trimmed to 1/4" fat, choice, cooked</t>
        </is>
      </c>
      <c r="C3998" s="1" t="n">
        <v>0</v>
      </c>
      <c r="D3998" s="1" t="n">
        <v>3</v>
      </c>
      <c r="E3998" s="1" t="n">
        <v>1.29</v>
      </c>
      <c r="F3998" s="1" t="n">
        <v>12.16</v>
      </c>
      <c r="G3998" s="1" t="n">
        <v>59.18</v>
      </c>
      <c r="H3998" s="1" t="n">
        <v>0</v>
      </c>
      <c r="I3998" s="1" t="n">
        <v>1.74</v>
      </c>
    </row>
    <row r="3999" ht="15.75" customHeight="1" s="201">
      <c r="A3999" s="1" t="inlineStr">
        <is>
          <t>Lamb, composite of trimmed retail cuts, separable fat, trimmed to 1/4" fat, choice, raw</t>
        </is>
      </c>
      <c r="C3999" s="1" t="n">
        <v>0</v>
      </c>
      <c r="D3999" s="1" t="n">
        <v>3</v>
      </c>
      <c r="E3999" s="1" t="n">
        <v>0.98</v>
      </c>
      <c r="F3999" s="1" t="n">
        <v>6.65</v>
      </c>
      <c r="G3999" s="1" t="n">
        <v>70.61</v>
      </c>
      <c r="H3999" s="1" t="n">
        <v>0</v>
      </c>
      <c r="I3999" s="1" t="n">
        <v>1.13</v>
      </c>
    </row>
    <row r="4000" ht="15.75" customHeight="1" s="201">
      <c r="A4000" s="1" t="inlineStr">
        <is>
          <t>Lamb, composite of trimmed retail cuts, separable lean and fat, trimmed to 1/4" fat, choice, cooked</t>
        </is>
      </c>
      <c r="C4000" s="1" t="n">
        <v>0</v>
      </c>
      <c r="D4000" s="1" t="n">
        <v>18</v>
      </c>
      <c r="E4000" s="1" t="n">
        <v>1.88</v>
      </c>
      <c r="F4000" s="1" t="n">
        <v>24.52</v>
      </c>
      <c r="G4000" s="1" t="n">
        <v>20.94</v>
      </c>
      <c r="H4000" s="1" t="n">
        <v>0</v>
      </c>
      <c r="I4000" s="1" t="n">
        <v>4.46</v>
      </c>
    </row>
    <row r="4001" ht="15.75" customHeight="1" s="201">
      <c r="A4001" s="1" t="inlineStr">
        <is>
          <t>Lamb, composite of trimmed retail cuts, separable lean and fat, trimmed to 1/4" fat, choice, raw</t>
        </is>
      </c>
      <c r="C4001" s="1" t="n">
        <v>0</v>
      </c>
      <c r="D4001" s="1" t="n">
        <v>18</v>
      </c>
      <c r="E4001" s="1" t="n">
        <v>1.57</v>
      </c>
      <c r="F4001" s="1" t="n">
        <v>16.88</v>
      </c>
      <c r="G4001" s="1" t="n">
        <v>21.59</v>
      </c>
      <c r="H4001" s="1" t="n">
        <v>0</v>
      </c>
      <c r="I4001" s="1" t="n">
        <v>3.33</v>
      </c>
    </row>
    <row r="4002" ht="15.75" customHeight="1" s="201">
      <c r="A4002" s="1" t="inlineStr">
        <is>
          <t>Lamb, composite of trimmed retail cuts, separable lean and fat, trimmed to 1/8" fat, choice, cooked</t>
        </is>
      </c>
      <c r="C4002" s="1" t="n">
        <v>0</v>
      </c>
      <c r="D4002" s="1" t="n">
        <v>19</v>
      </c>
      <c r="E4002" s="1" t="n">
        <v>1.93</v>
      </c>
      <c r="F4002" s="1" t="n">
        <v>25.51</v>
      </c>
      <c r="G4002" s="1" t="n">
        <v>18.01</v>
      </c>
      <c r="H4002" s="1" t="n">
        <v>0</v>
      </c>
      <c r="I4002" s="1" t="n">
        <v>4.74</v>
      </c>
    </row>
    <row r="4003" ht="15.75" customHeight="1" s="201">
      <c r="A4003" s="1" t="inlineStr">
        <is>
          <t>Lamb, composite of trimmed retail cuts, separable lean and fat, trimmed to 1/8" fat, choice, raw</t>
        </is>
      </c>
      <c r="C4003" s="1" t="n">
        <v>0</v>
      </c>
      <c r="D4003" s="1" t="n">
        <v>19</v>
      </c>
      <c r="E4003" s="1" t="n">
        <v>1.62</v>
      </c>
      <c r="F4003" s="1" t="n">
        <v>17.54</v>
      </c>
      <c r="G4003" s="1" t="n">
        <v>18.66</v>
      </c>
      <c r="H4003" s="1" t="n">
        <v>0</v>
      </c>
      <c r="I4003" s="1" t="n">
        <v>3.52</v>
      </c>
    </row>
    <row r="4004" ht="15.75" customHeight="1" s="201">
      <c r="A4004" s="1" t="inlineStr">
        <is>
          <t>Lamb, composite of trimmed retail cuts, separable lean only, trimmed to 1/4" fat, choice, cooked</t>
        </is>
      </c>
      <c r="C4004" s="1" t="n">
        <v>0</v>
      </c>
      <c r="D4004" s="1" t="n">
        <v>23</v>
      </c>
      <c r="E4004" s="1" t="n">
        <v>2.05</v>
      </c>
      <c r="F4004" s="1" t="n">
        <v>28.22</v>
      </c>
      <c r="G4004" s="1" t="n">
        <v>9.52</v>
      </c>
      <c r="H4004" s="1" t="n">
        <v>0</v>
      </c>
      <c r="I4004" s="1" t="n">
        <v>5.27</v>
      </c>
    </row>
    <row r="4005" ht="15.75" customHeight="1" s="201">
      <c r="A4005" s="1" t="inlineStr">
        <is>
          <t>Lamb, composite of trimmed retail cuts, separable lean only, trimmed to 1/4" fat, choice, raw</t>
        </is>
      </c>
      <c r="C4005" s="1" t="n">
        <v>0</v>
      </c>
      <c r="D4005" s="1" t="n">
        <v>23</v>
      </c>
      <c r="E4005" s="1" t="n">
        <v>1.77</v>
      </c>
      <c r="F4005" s="1" t="n">
        <v>20.29</v>
      </c>
      <c r="G4005" s="1" t="n">
        <v>5.25</v>
      </c>
      <c r="H4005" s="1" t="n">
        <v>0</v>
      </c>
      <c r="I4005" s="1" t="n">
        <v>4.06</v>
      </c>
    </row>
    <row r="4006" ht="15.75" customHeight="1" s="201">
      <c r="A4006" s="1" t="inlineStr">
        <is>
          <t>Lamb, cubed for stew or kabob (leg and shoulder), separable lean only, trimmed to 1/4" fat, cooked, braised</t>
        </is>
      </c>
      <c r="C4006" s="1" t="n">
        <v>0</v>
      </c>
      <c r="D4006" s="1" t="n">
        <v>21</v>
      </c>
      <c r="E4006" s="1" t="n">
        <v>2.8</v>
      </c>
      <c r="F4006" s="1" t="n">
        <v>33.69</v>
      </c>
      <c r="G4006" s="1" t="n">
        <v>8.800000000000001</v>
      </c>
      <c r="H4006" s="1" t="n">
        <v>0</v>
      </c>
      <c r="I4006" s="1" t="n">
        <v>6.58</v>
      </c>
      <c r="J4006" t="n">
        <v>23107020</v>
      </c>
    </row>
    <row r="4007" ht="15.75" customHeight="1" s="201">
      <c r="A4007" s="1" t="inlineStr">
        <is>
          <t>Lamb, cubed for stew or kabob (leg and shoulder), separable lean only, trimmed to 1/4" fat, cooked, broiled</t>
        </is>
      </c>
      <c r="C4007" s="1" t="n">
        <v>0</v>
      </c>
      <c r="D4007" s="1" t="n">
        <v>23</v>
      </c>
      <c r="E4007" s="1" t="n">
        <v>2.34</v>
      </c>
      <c r="F4007" s="1" t="n">
        <v>28.08</v>
      </c>
      <c r="G4007" s="1" t="n">
        <v>7.33</v>
      </c>
      <c r="H4007" s="1" t="n">
        <v>0</v>
      </c>
      <c r="I4007" s="1" t="n">
        <v>5.77</v>
      </c>
      <c r="J4007" t="n">
        <v>23107020</v>
      </c>
    </row>
    <row r="4008" ht="15.75" customHeight="1" s="201">
      <c r="A4008" s="1" t="inlineStr">
        <is>
          <t>Lamb, cubed for stew or kabob (leg and shoulder), separable lean only, trimmed to 1/4" fat, raw</t>
        </is>
      </c>
      <c r="C4008" s="1" t="n">
        <v>0</v>
      </c>
      <c r="D4008" s="1" t="n">
        <v>23</v>
      </c>
      <c r="E4008" s="1" t="n">
        <v>1.77</v>
      </c>
      <c r="F4008" s="1" t="n">
        <v>20.21</v>
      </c>
      <c r="G4008" s="1" t="n">
        <v>5.28</v>
      </c>
      <c r="H4008" s="1" t="n">
        <v>0</v>
      </c>
      <c r="I4008" s="1" t="n">
        <v>4.15</v>
      </c>
      <c r="J4008" t="n">
        <v>23107020</v>
      </c>
    </row>
    <row r="4009" ht="15.75" customHeight="1" s="201">
      <c r="A4009" s="1" t="inlineStr">
        <is>
          <t>Lamb, foreshank, separable lean and fat, trimmed to 1/4" fat, choice, cooked, braised</t>
        </is>
      </c>
      <c r="C4009" s="1" t="n">
        <v>0</v>
      </c>
      <c r="D4009" s="1" t="n">
        <v>17</v>
      </c>
      <c r="E4009" s="1" t="n">
        <v>2.14</v>
      </c>
      <c r="F4009" s="1" t="n">
        <v>28.37</v>
      </c>
      <c r="G4009" s="1" t="n">
        <v>13.46</v>
      </c>
      <c r="H4009" s="1" t="n">
        <v>0</v>
      </c>
      <c r="I4009" s="1" t="n">
        <v>7.69</v>
      </c>
      <c r="J4009" t="n">
        <v>23104010</v>
      </c>
    </row>
    <row r="4010" ht="15.75" customHeight="1" s="201">
      <c r="A4010" s="1" t="inlineStr">
        <is>
          <t>Lamb, foreshank, separable lean and fat, trimmed to 1/4" fat, choice, raw</t>
        </is>
      </c>
      <c r="C4010" s="1" t="n">
        <v>0</v>
      </c>
      <c r="D4010" s="1" t="n">
        <v>19</v>
      </c>
      <c r="E4010" s="1" t="n">
        <v>1.67</v>
      </c>
      <c r="F4010" s="1" t="n">
        <v>18.91</v>
      </c>
      <c r="G4010" s="1" t="n">
        <v>13.38</v>
      </c>
      <c r="H4010" s="1" t="n">
        <v>0</v>
      </c>
      <c r="I4010" s="1" t="n">
        <v>5.22</v>
      </c>
      <c r="J4010" t="n">
        <v>58126280</v>
      </c>
    </row>
    <row r="4011" ht="15.75" customHeight="1" s="201">
      <c r="A4011" s="1" t="inlineStr">
        <is>
          <t>Lamb, foreshank, separable lean and fat, trimmed to 1/8" fat, choice, raw</t>
        </is>
      </c>
      <c r="C4011" s="1" t="n">
        <v>0</v>
      </c>
      <c r="D4011" s="1" t="n">
        <v>19</v>
      </c>
      <c r="E4011" s="1" t="n">
        <v>1.67</v>
      </c>
      <c r="F4011" s="1" t="n">
        <v>18.91</v>
      </c>
      <c r="G4011" s="1" t="n">
        <v>13.38</v>
      </c>
      <c r="H4011" s="1" t="n">
        <v>0</v>
      </c>
      <c r="I4011" s="1" t="n">
        <v>5.22</v>
      </c>
      <c r="J4011" t="n">
        <v>58126280</v>
      </c>
    </row>
    <row r="4012" ht="15.75" customHeight="1" s="201">
      <c r="A4012" s="1" t="inlineStr">
        <is>
          <t>Lamb, foreshank, separable lean and fat, trimmed to 1/8" fat, cooked, braised</t>
        </is>
      </c>
      <c r="C4012" s="1" t="n">
        <v>0</v>
      </c>
      <c r="D4012" s="1" t="n">
        <v>17</v>
      </c>
      <c r="E4012" s="1" t="n">
        <v>2.14</v>
      </c>
      <c r="F4012" s="1" t="n">
        <v>28.37</v>
      </c>
      <c r="G4012" s="1" t="n">
        <v>13.46</v>
      </c>
      <c r="H4012" s="1" t="n">
        <v>0</v>
      </c>
      <c r="I4012" s="1" t="n">
        <v>7.69</v>
      </c>
      <c r="J4012" t="n">
        <v>23104010</v>
      </c>
    </row>
    <row r="4013" ht="15.75" customHeight="1" s="201">
      <c r="A4013" s="1" t="inlineStr">
        <is>
          <t>Lamb, foreshank, separable lean only, trimmed to 1/4" fat, choice, cooked, braised</t>
        </is>
      </c>
      <c r="C4013" s="1" t="n">
        <v>0</v>
      </c>
      <c r="D4013" s="1" t="n">
        <v>19</v>
      </c>
      <c r="E4013" s="1" t="n">
        <v>2.27</v>
      </c>
      <c r="F4013" s="1" t="n">
        <v>31.01</v>
      </c>
      <c r="G4013" s="1" t="n">
        <v>6.02</v>
      </c>
      <c r="H4013" s="1" t="n">
        <v>0</v>
      </c>
      <c r="I4013" s="1" t="n">
        <v>8.66</v>
      </c>
      <c r="J4013" t="n">
        <v>23104020</v>
      </c>
    </row>
    <row r="4014" ht="15.75" customHeight="1" s="201">
      <c r="A4014" s="1" t="inlineStr">
        <is>
          <t>Lamb, foreshank, separable lean only, trimmed to 1/4" fat, choice, raw</t>
        </is>
      </c>
      <c r="C4014" s="1" t="n">
        <v>0</v>
      </c>
      <c r="D4014" s="1" t="n">
        <v>22</v>
      </c>
      <c r="E4014" s="1" t="n">
        <v>1.79</v>
      </c>
      <c r="F4014" s="1" t="n">
        <v>21.08</v>
      </c>
      <c r="G4014" s="1" t="n">
        <v>3.29</v>
      </c>
      <c r="H4014" s="1" t="n">
        <v>0</v>
      </c>
      <c r="I4014" s="1" t="n">
        <v>5.95</v>
      </c>
      <c r="J4014" t="n">
        <v>23104020</v>
      </c>
    </row>
    <row r="4015" ht="15.75" customHeight="1" s="201">
      <c r="A4015" s="1" t="inlineStr">
        <is>
          <t>Lamb, ground, cooked, broiled</t>
        </is>
      </c>
      <c r="C4015" s="1" t="n">
        <v>0</v>
      </c>
      <c r="D4015" s="1" t="n">
        <v>19</v>
      </c>
      <c r="E4015" s="1" t="n">
        <v>1.79</v>
      </c>
      <c r="F4015" s="1" t="n">
        <v>24.75</v>
      </c>
      <c r="G4015" s="1" t="n">
        <v>19.65</v>
      </c>
      <c r="H4015" s="1" t="n">
        <v>0</v>
      </c>
      <c r="I4015" s="1" t="n">
        <v>4.67</v>
      </c>
      <c r="J4015" t="n">
        <v>23132000</v>
      </c>
    </row>
    <row r="4016" ht="15.75" customHeight="1" s="201">
      <c r="A4016" s="1" t="inlineStr">
        <is>
          <t>Lamb, ground, raw</t>
        </is>
      </c>
      <c r="C4016" s="1" t="n">
        <v>0</v>
      </c>
      <c r="D4016" s="1" t="n">
        <v>18</v>
      </c>
      <c r="E4016" s="1" t="n">
        <v>1.55</v>
      </c>
      <c r="F4016" s="1" t="n">
        <v>16.56</v>
      </c>
      <c r="G4016" s="1" t="n">
        <v>23.41</v>
      </c>
      <c r="H4016" s="1" t="n">
        <v>0</v>
      </c>
      <c r="I4016" s="1" t="n">
        <v>3.41</v>
      </c>
      <c r="J4016" t="n">
        <v>23132000</v>
      </c>
    </row>
    <row r="4017" ht="15.75" customHeight="1" s="201">
      <c r="A4017" s="1" t="inlineStr">
        <is>
          <t>Lamb, leg, shank half, separable lean and fat, trimmed to 1/4" fat, choice, cooked, roasted</t>
        </is>
      </c>
      <c r="C4017" s="1" t="n">
        <v>0</v>
      </c>
      <c r="D4017" s="1" t="n">
        <v>22</v>
      </c>
      <c r="E4017" s="1" t="n">
        <v>1.98</v>
      </c>
      <c r="F4017" s="1" t="n">
        <v>26.41</v>
      </c>
      <c r="G4017" s="1" t="n">
        <v>12.45</v>
      </c>
      <c r="H4017" s="1" t="n">
        <v>0</v>
      </c>
      <c r="I4017" s="1" t="n">
        <v>4.66</v>
      </c>
      <c r="J4017" t="n">
        <v>92307500</v>
      </c>
    </row>
    <row r="4018" ht="15.75" customHeight="1" s="201">
      <c r="A4018" s="1" t="inlineStr">
        <is>
          <t>Lamb, leg, shank half, separable lean and fat, trimmed to 1/4" fat, choice, raw</t>
        </is>
      </c>
      <c r="C4018" s="1" t="n">
        <v>0</v>
      </c>
      <c r="D4018" s="1" t="n">
        <v>20</v>
      </c>
      <c r="E4018" s="1" t="n">
        <v>1.71</v>
      </c>
      <c r="F4018" s="1" t="n">
        <v>18.58</v>
      </c>
      <c r="G4018" s="1" t="n">
        <v>13.49</v>
      </c>
      <c r="H4018" s="1" t="n">
        <v>0</v>
      </c>
      <c r="I4018" s="1" t="n">
        <v>3.5</v>
      </c>
      <c r="J4018" t="n">
        <v>92307500</v>
      </c>
    </row>
    <row r="4019" ht="15.75" customHeight="1" s="201">
      <c r="A4019" s="1" t="inlineStr">
        <is>
          <t>Lamb, leg, shank half, separable lean and fat, trimmed to 1/8" fat, choice, cooked, roasted</t>
        </is>
      </c>
      <c r="C4019" s="1" t="n">
        <v>0</v>
      </c>
      <c r="D4019" s="1" t="n">
        <v>23</v>
      </c>
      <c r="E4019" s="1" t="n">
        <v>1.99</v>
      </c>
      <c r="F4019" s="1" t="n">
        <v>26.73</v>
      </c>
      <c r="G4019" s="1" t="n">
        <v>11.4</v>
      </c>
      <c r="H4019" s="1" t="n">
        <v>0</v>
      </c>
      <c r="I4019" s="1" t="n">
        <v>4.72</v>
      </c>
      <c r="J4019" t="n">
        <v>92307500</v>
      </c>
    </row>
    <row r="4020" ht="15.75" customHeight="1" s="201">
      <c r="A4020" s="1" t="inlineStr">
        <is>
          <t>Lamb, leg, shank half, separable lean and fat, trimmed to 1/8" fat, choice, raw</t>
        </is>
      </c>
      <c r="C4020" s="1" t="n">
        <v>0</v>
      </c>
      <c r="D4020" s="1" t="n">
        <v>21</v>
      </c>
      <c r="E4020" s="1" t="n">
        <v>1.73</v>
      </c>
      <c r="F4020" s="1" t="n">
        <v>18.99</v>
      </c>
      <c r="G4020" s="1" t="n">
        <v>11.5</v>
      </c>
      <c r="H4020" s="1" t="n">
        <v>0</v>
      </c>
      <c r="I4020" s="1" t="n">
        <v>3.58</v>
      </c>
      <c r="J4020" t="n">
        <v>92307500</v>
      </c>
    </row>
    <row r="4021" ht="15.75" customHeight="1" s="201">
      <c r="A4021" s="1" t="inlineStr">
        <is>
          <t>Lamb, leg, shank half, separable lean only, trimmed to 1/4" fat, choice, cooked, roasted</t>
        </is>
      </c>
      <c r="C4021" s="1" t="n">
        <v>0</v>
      </c>
      <c r="D4021" s="1" t="n">
        <v>24</v>
      </c>
      <c r="E4021" s="1" t="n">
        <v>2.06</v>
      </c>
      <c r="F4021" s="1" t="n">
        <v>28.17</v>
      </c>
      <c r="G4021" s="1" t="n">
        <v>6.67</v>
      </c>
      <c r="H4021" s="1" t="n">
        <v>0</v>
      </c>
      <c r="I4021" s="1" t="n">
        <v>5.02</v>
      </c>
      <c r="J4021" t="n">
        <v>92307500</v>
      </c>
    </row>
    <row r="4022" ht="15.75" customHeight="1" s="201">
      <c r="A4022" s="1" t="inlineStr">
        <is>
          <t>Lamb, leg, shank half, separable lean only, trimmed to 1/4" fat, choice, raw</t>
        </is>
      </c>
      <c r="C4022" s="1" t="n">
        <v>0</v>
      </c>
      <c r="D4022" s="1" t="n">
        <v>23</v>
      </c>
      <c r="E4022" s="1" t="n">
        <v>1.82</v>
      </c>
      <c r="F4022" s="1" t="n">
        <v>20.52</v>
      </c>
      <c r="G4022" s="1" t="n">
        <v>4.19</v>
      </c>
      <c r="H4022" s="1" t="n">
        <v>0</v>
      </c>
      <c r="I4022" s="1" t="n">
        <v>3.89</v>
      </c>
      <c r="J4022" t="n">
        <v>92307500</v>
      </c>
    </row>
    <row r="4023" ht="15.75" customHeight="1" s="201">
      <c r="A4023" s="1" t="inlineStr">
        <is>
          <t>Lamb, leg, sirloin half, separable lean and fat, trimmed to 1/4" fat, choice, cooked, roasted</t>
        </is>
      </c>
      <c r="C4023" s="1" t="n">
        <v>0</v>
      </c>
      <c r="D4023" s="1" t="n">
        <v>17</v>
      </c>
      <c r="E4023" s="1" t="n">
        <v>2</v>
      </c>
      <c r="F4023" s="1" t="n">
        <v>24.63</v>
      </c>
      <c r="G4023" s="1" t="n">
        <v>20.67</v>
      </c>
      <c r="H4023" s="1" t="n">
        <v>0</v>
      </c>
      <c r="I4023" s="1" t="n">
        <v>4.13</v>
      </c>
      <c r="J4023" t="n">
        <v>92307500</v>
      </c>
    </row>
    <row r="4024" ht="15.75" customHeight="1" s="201">
      <c r="A4024" s="1" t="inlineStr">
        <is>
          <t>Lamb, leg, sirloin half, separable lean and fat, trimmed to 1/4" fat, choice, raw</t>
        </is>
      </c>
      <c r="C4024" s="1" t="n">
        <v>0</v>
      </c>
      <c r="D4024" s="1" t="n">
        <v>18</v>
      </c>
      <c r="E4024" s="1" t="n">
        <v>1.61</v>
      </c>
      <c r="F4024" s="1" t="n">
        <v>16.94</v>
      </c>
      <c r="G4024" s="1" t="n">
        <v>22.11</v>
      </c>
      <c r="H4024" s="1" t="n">
        <v>0</v>
      </c>
      <c r="I4024" s="1" t="n">
        <v>3.08</v>
      </c>
      <c r="J4024" t="n">
        <v>92307500</v>
      </c>
    </row>
    <row r="4025" ht="15.75" customHeight="1" s="201">
      <c r="A4025" s="1" t="inlineStr">
        <is>
          <t>Lamb, leg, sirloin half, separable lean and fat, trimmed to 1/8" fat, choice, cooked, roasted</t>
        </is>
      </c>
      <c r="C4025" s="1" t="n">
        <v>0</v>
      </c>
      <c r="D4025" s="1" t="n">
        <v>17</v>
      </c>
      <c r="E4025" s="1" t="n">
        <v>2.01</v>
      </c>
      <c r="F4025" s="1" t="n">
        <v>24.95</v>
      </c>
      <c r="G4025" s="1" t="n">
        <v>19.67</v>
      </c>
      <c r="H4025" s="1" t="n">
        <v>0</v>
      </c>
      <c r="I4025" s="1" t="n">
        <v>4.2</v>
      </c>
      <c r="J4025" t="n">
        <v>92307500</v>
      </c>
    </row>
    <row r="4026" ht="15.75" customHeight="1" s="201">
      <c r="A4026" s="1" t="inlineStr">
        <is>
          <t>Lamb, leg, sirloin half, separable lean and fat, trimmed to 1/8" fat, choice, raw</t>
        </is>
      </c>
      <c r="C4026" s="1" t="n">
        <v>0</v>
      </c>
      <c r="D4026" s="1" t="n">
        <v>19</v>
      </c>
      <c r="E4026" s="1" t="n">
        <v>1.63</v>
      </c>
      <c r="F4026" s="1" t="n">
        <v>17.21</v>
      </c>
      <c r="G4026" s="1" t="n">
        <v>20.8</v>
      </c>
      <c r="H4026" s="1" t="n">
        <v>0</v>
      </c>
      <c r="I4026" s="1" t="n">
        <v>3.13</v>
      </c>
      <c r="J4026" t="n">
        <v>92307500</v>
      </c>
    </row>
    <row r="4027" ht="15.75" customHeight="1" s="201">
      <c r="A4027" s="1" t="inlineStr">
        <is>
          <t>Lamb, leg, sirloin half, separable lean only, trimmed to 1/4" fat, choice, cooked, roasted</t>
        </is>
      </c>
      <c r="C4027" s="1" t="n">
        <v>0</v>
      </c>
      <c r="D4027" s="1" t="n">
        <v>21</v>
      </c>
      <c r="E4027" s="1" t="n">
        <v>2.2</v>
      </c>
      <c r="F4027" s="1" t="n">
        <v>28.35</v>
      </c>
      <c r="G4027" s="1" t="n">
        <v>9.17</v>
      </c>
      <c r="H4027" s="1" t="n">
        <v>0</v>
      </c>
      <c r="I4027" s="1" t="n">
        <v>4.85</v>
      </c>
      <c r="J4027" t="n">
        <v>92307500</v>
      </c>
    </row>
    <row r="4028" ht="15.75" customHeight="1" s="201">
      <c r="A4028" s="1" t="inlineStr">
        <is>
          <t>Lamb, leg, sirloin half, separable lean only, trimmed to 1/4" fat, choice, raw</t>
        </is>
      </c>
      <c r="C4028" s="1" t="n">
        <v>0</v>
      </c>
      <c r="D4028" s="1" t="n">
        <v>24</v>
      </c>
      <c r="E4028" s="1" t="n">
        <v>1.83</v>
      </c>
      <c r="F4028" s="1" t="n">
        <v>20.55</v>
      </c>
      <c r="G4028" s="1" t="n">
        <v>5.08</v>
      </c>
      <c r="H4028" s="1" t="n">
        <v>0</v>
      </c>
      <c r="I4028" s="1" t="n">
        <v>3.77</v>
      </c>
      <c r="J4028" t="n">
        <v>92307500</v>
      </c>
    </row>
    <row r="4029" ht="15.75" customHeight="1" s="201">
      <c r="A4029" s="1" t="inlineStr">
        <is>
          <t>Lamb, leg, whole (shank and sirloin), separable lean and fat, trimmed to 1/4" fat, choice, cooked, roasted</t>
        </is>
      </c>
      <c r="C4029" s="1" t="n">
        <v>0</v>
      </c>
      <c r="D4029" s="1" t="n">
        <v>20</v>
      </c>
      <c r="E4029" s="1" t="n">
        <v>1.98</v>
      </c>
      <c r="F4029" s="1" t="n">
        <v>25.55</v>
      </c>
      <c r="G4029" s="1" t="n">
        <v>16.48</v>
      </c>
      <c r="H4029" s="1" t="n">
        <v>0</v>
      </c>
      <c r="I4029" s="1" t="n">
        <v>4.4</v>
      </c>
    </row>
    <row r="4030" ht="15.75" customHeight="1" s="201">
      <c r="A4030" s="1" t="inlineStr">
        <is>
          <t>Lamb, leg, whole (shank and sirloin), separable lean and fat, trimmed to 1/4" fat, choice, raw</t>
        </is>
      </c>
      <c r="C4030" s="1" t="n">
        <v>0</v>
      </c>
      <c r="D4030" s="1" t="n">
        <v>19</v>
      </c>
      <c r="E4030" s="1" t="n">
        <v>1.66</v>
      </c>
      <c r="F4030" s="1" t="n">
        <v>17.91</v>
      </c>
      <c r="G4030" s="1" t="n">
        <v>17.07</v>
      </c>
      <c r="H4030" s="1" t="n">
        <v>0</v>
      </c>
      <c r="I4030" s="1" t="n">
        <v>3.32</v>
      </c>
      <c r="J4030" t="n">
        <v>54204030</v>
      </c>
    </row>
    <row r="4031" ht="15.75" customHeight="1" s="201">
      <c r="A4031" s="1" t="inlineStr">
        <is>
          <t>Lamb, leg, whole (shank and sirloin), separable lean and fat, trimmed to 1/8" fat, choice, cooked, roasted</t>
        </is>
      </c>
      <c r="C4031" s="1" t="n">
        <v>0</v>
      </c>
      <c r="D4031" s="1" t="n">
        <v>20</v>
      </c>
      <c r="E4031" s="1" t="n">
        <v>2.02</v>
      </c>
      <c r="F4031" s="1" t="n">
        <v>26.2</v>
      </c>
      <c r="G4031" s="1" t="n">
        <v>14.42</v>
      </c>
      <c r="H4031" s="1" t="n">
        <v>0</v>
      </c>
      <c r="I4031" s="1" t="n">
        <v>4.53</v>
      </c>
    </row>
    <row r="4032" ht="15.75" customHeight="1" s="201">
      <c r="A4032" s="1" t="inlineStr">
        <is>
          <t>Lamb, leg, whole (shank and sirloin), separable lean and fat, trimmed to 1/8" fat, choice, raw</t>
        </is>
      </c>
      <c r="C4032" s="1" t="n">
        <v>0</v>
      </c>
      <c r="D4032" s="1" t="n">
        <v>20</v>
      </c>
      <c r="E4032" s="1" t="n">
        <v>1.7</v>
      </c>
      <c r="F4032" s="1" t="n">
        <v>18.47</v>
      </c>
      <c r="G4032" s="1" t="n">
        <v>14.42</v>
      </c>
      <c r="H4032" s="1" t="n">
        <v>0</v>
      </c>
      <c r="I4032" s="1" t="n">
        <v>3.43</v>
      </c>
      <c r="J4032" t="n">
        <v>54204030</v>
      </c>
    </row>
    <row r="4033" ht="15.75" customHeight="1" s="201">
      <c r="A4033" s="1" t="inlineStr">
        <is>
          <t>Lamb, leg, whole (shank and sirloin), separable lean only, trimmed to 1/4" fat, choice, cooked, roasted</t>
        </is>
      </c>
      <c r="C4033" s="1" t="n">
        <v>0</v>
      </c>
      <c r="D4033" s="1" t="n">
        <v>23</v>
      </c>
      <c r="E4033" s="1" t="n">
        <v>2.12</v>
      </c>
      <c r="F4033" s="1" t="n">
        <v>28.3</v>
      </c>
      <c r="G4033" s="1" t="n">
        <v>7.74</v>
      </c>
      <c r="H4033" s="1" t="n">
        <v>0</v>
      </c>
      <c r="I4033" s="1" t="n">
        <v>4.94</v>
      </c>
    </row>
    <row r="4034" ht="15.75" customHeight="1" s="201">
      <c r="A4034" s="1" t="inlineStr">
        <is>
          <t>Lamb, leg, whole (shank and sirloin), separable lean only, trimmed to 1/4" fat, choice, raw</t>
        </is>
      </c>
      <c r="C4034" s="1" t="n">
        <v>0</v>
      </c>
      <c r="D4034" s="1" t="n">
        <v>23</v>
      </c>
      <c r="E4034" s="1" t="n">
        <v>1.82</v>
      </c>
      <c r="F4034" s="1" t="n">
        <v>20.56</v>
      </c>
      <c r="G4034" s="1" t="n">
        <v>4.51</v>
      </c>
      <c r="H4034" s="1" t="n">
        <v>0</v>
      </c>
      <c r="I4034" s="1" t="n">
        <v>3.84</v>
      </c>
    </row>
    <row r="4035" ht="15.75" customHeight="1" s="201">
      <c r="A4035" s="1" t="inlineStr">
        <is>
          <t>Lamb, loin, separable lean and fat, trimmed to 1/4" fat, choice, cooked, broiled</t>
        </is>
      </c>
      <c r="C4035" s="1" t="n">
        <v>0</v>
      </c>
      <c r="D4035" s="1" t="n">
        <v>18</v>
      </c>
      <c r="E4035" s="1" t="n">
        <v>1.81</v>
      </c>
      <c r="F4035" s="1" t="n">
        <v>25.17</v>
      </c>
      <c r="G4035" s="1" t="n">
        <v>23.08</v>
      </c>
      <c r="H4035" s="1" t="n">
        <v>0</v>
      </c>
      <c r="I4035" s="1" t="n">
        <v>3.48</v>
      </c>
      <c r="J4035" t="n">
        <v>23104010</v>
      </c>
    </row>
    <row r="4036" ht="15.75" customHeight="1" s="201">
      <c r="A4036" s="1" t="inlineStr">
        <is>
          <t>Lamb, loin, separable lean and fat, trimmed to 1/4" fat, choice, cooked, roasted</t>
        </is>
      </c>
      <c r="C4036" s="1" t="n">
        <v>0</v>
      </c>
      <c r="D4036" s="1" t="n">
        <v>19</v>
      </c>
      <c r="E4036" s="1" t="n">
        <v>2.12</v>
      </c>
      <c r="F4036" s="1" t="n">
        <v>22.55</v>
      </c>
      <c r="G4036" s="1" t="n">
        <v>23.59</v>
      </c>
      <c r="H4036" s="1" t="n">
        <v>0</v>
      </c>
      <c r="I4036" s="1" t="n">
        <v>3.41</v>
      </c>
      <c r="J4036" t="n">
        <v>23104010</v>
      </c>
    </row>
    <row r="4037" ht="15.75" customHeight="1" s="201">
      <c r="A4037" s="1" t="inlineStr">
        <is>
          <t>Lamb, loin, separable lean and fat, trimmed to 1/4" fat, choice, raw</t>
        </is>
      </c>
      <c r="C4037" s="1" t="n">
        <v>0</v>
      </c>
      <c r="D4037" s="1" t="n">
        <v>17</v>
      </c>
      <c r="E4037" s="1" t="n">
        <v>1.61</v>
      </c>
      <c r="F4037" s="1" t="n">
        <v>16.32</v>
      </c>
      <c r="G4037" s="1" t="n">
        <v>26.63</v>
      </c>
      <c r="H4037" s="1" t="n">
        <v>0</v>
      </c>
      <c r="I4037" s="1" t="n">
        <v>2.53</v>
      </c>
      <c r="J4037" t="n">
        <v>23104010</v>
      </c>
    </row>
    <row r="4038" ht="15.75" customHeight="1" s="201">
      <c r="A4038" s="1" t="inlineStr">
        <is>
          <t>Lamb, loin, separable lean and fat, trimmed to 1/8" fat, choice, cooked, broiled</t>
        </is>
      </c>
      <c r="C4038" s="1" t="n">
        <v>0</v>
      </c>
      <c r="D4038" s="1" t="n">
        <v>19</v>
      </c>
      <c r="E4038" s="1" t="n">
        <v>1.84</v>
      </c>
      <c r="F4038" s="1" t="n">
        <v>26.06</v>
      </c>
      <c r="G4038" s="1" t="n">
        <v>20.61</v>
      </c>
      <c r="H4038" s="1" t="n">
        <v>0</v>
      </c>
      <c r="I4038" s="1" t="n">
        <v>3.6</v>
      </c>
      <c r="J4038" t="n">
        <v>23104010</v>
      </c>
    </row>
    <row r="4039" ht="15.75" customHeight="1" s="201">
      <c r="A4039" s="1" t="inlineStr">
        <is>
          <t>Lamb, loin, separable lean and fat, trimmed to 1/8" fat, choice, cooked, roasted</t>
        </is>
      </c>
      <c r="C4039" s="1" t="n">
        <v>0</v>
      </c>
      <c r="D4039" s="1" t="n">
        <v>20</v>
      </c>
      <c r="E4039" s="1" t="n">
        <v>2.17</v>
      </c>
      <c r="F4039" s="1" t="n">
        <v>23.27</v>
      </c>
      <c r="G4039" s="1" t="n">
        <v>21.12</v>
      </c>
      <c r="H4039" s="1" t="n">
        <v>0</v>
      </c>
      <c r="I4039" s="1" t="n">
        <v>3.52</v>
      </c>
      <c r="J4039" t="n">
        <v>23104010</v>
      </c>
    </row>
    <row r="4040" ht="15.75" customHeight="1" s="201">
      <c r="A4040" s="1" t="inlineStr">
        <is>
          <t>Lamb, loin, separable lean and fat, trimmed to 1/8" fat, choice, raw</t>
        </is>
      </c>
      <c r="C4040" s="1" t="n">
        <v>0</v>
      </c>
      <c r="D4040" s="1" t="n">
        <v>18</v>
      </c>
      <c r="E4040" s="1" t="n">
        <v>1.66</v>
      </c>
      <c r="F4040" s="1" t="n">
        <v>17.18</v>
      </c>
      <c r="G4040" s="1" t="n">
        <v>22.75</v>
      </c>
      <c r="H4040" s="1" t="n">
        <v>0</v>
      </c>
      <c r="I4040" s="1" t="n">
        <v>2.65</v>
      </c>
      <c r="J4040" t="n">
        <v>23104010</v>
      </c>
    </row>
    <row r="4041" ht="15.75" customHeight="1" s="201">
      <c r="A4041" s="1" t="inlineStr">
        <is>
          <t>Lamb, loin, separable lean only, trimmed to 1/4" fat, choice, cooked, broiled</t>
        </is>
      </c>
      <c r="C4041" s="1" t="n">
        <v>0</v>
      </c>
      <c r="D4041" s="1" t="n">
        <v>24</v>
      </c>
      <c r="E4041" s="1" t="n">
        <v>2</v>
      </c>
      <c r="F4041" s="1" t="n">
        <v>29.99</v>
      </c>
      <c r="G4041" s="1" t="n">
        <v>9.73</v>
      </c>
      <c r="H4041" s="1" t="n">
        <v>0</v>
      </c>
      <c r="I4041" s="1" t="n">
        <v>4.13</v>
      </c>
      <c r="J4041" t="n">
        <v>23104020</v>
      </c>
    </row>
    <row r="4042" ht="15.75" customHeight="1" s="201">
      <c r="A4042" s="1" t="inlineStr">
        <is>
          <t>Lamb, loin, separable lean only, trimmed to 1/4" fat, choice, cooked, roasted</t>
        </is>
      </c>
      <c r="C4042" s="1" t="n">
        <v>0</v>
      </c>
      <c r="D4042" s="1" t="n">
        <v>25</v>
      </c>
      <c r="E4042" s="1" t="n">
        <v>2.44</v>
      </c>
      <c r="F4042" s="1" t="n">
        <v>26.59</v>
      </c>
      <c r="G4042" s="1" t="n">
        <v>9.76</v>
      </c>
      <c r="H4042" s="1" t="n">
        <v>0</v>
      </c>
      <c r="I4042" s="1" t="n">
        <v>4.06</v>
      </c>
      <c r="J4042" t="n">
        <v>23104020</v>
      </c>
    </row>
    <row r="4043" ht="15.75" customHeight="1" s="201">
      <c r="A4043" s="1" t="inlineStr">
        <is>
          <t>Lamb, loin, separable lean only, trimmed to 1/4" fat, choice, raw</t>
        </is>
      </c>
      <c r="C4043" s="1" t="n">
        <v>0</v>
      </c>
      <c r="D4043" s="1" t="n">
        <v>24</v>
      </c>
      <c r="E4043" s="1" t="n">
        <v>1.91</v>
      </c>
      <c r="F4043" s="1" t="n">
        <v>20.88</v>
      </c>
      <c r="G4043" s="1" t="n">
        <v>5.94</v>
      </c>
      <c r="H4043" s="1" t="n">
        <v>0</v>
      </c>
      <c r="I4043" s="1" t="n">
        <v>3.19</v>
      </c>
      <c r="J4043" t="n">
        <v>23104020</v>
      </c>
    </row>
    <row r="4044" ht="15.75" customHeight="1" s="201">
      <c r="A4044" s="1" t="inlineStr">
        <is>
          <t>Lamb, New Zealand, imported, brains, cooked, soaked and fried</t>
        </is>
      </c>
      <c r="C4044" s="1" t="n">
        <v>0</v>
      </c>
      <c r="E4044" s="1" t="n">
        <v>1.21</v>
      </c>
      <c r="F4044" s="1" t="n">
        <v>14.03</v>
      </c>
      <c r="G4044" s="1" t="n">
        <v>10.92</v>
      </c>
      <c r="H4044" s="1" t="n">
        <v>8</v>
      </c>
      <c r="I4044" s="1" t="n">
        <v>1.33</v>
      </c>
    </row>
    <row r="4045" ht="15.75" customHeight="1" s="201">
      <c r="A4045" s="1" t="inlineStr">
        <is>
          <t>Lamb, New Zealand, imported, brains, raw</t>
        </is>
      </c>
      <c r="C4045" s="1" t="n">
        <v>0</v>
      </c>
      <c r="E4045" s="1" t="n">
        <v>1.07</v>
      </c>
      <c r="F4045" s="1" t="n">
        <v>11.33</v>
      </c>
      <c r="G4045" s="1" t="n">
        <v>8.029999999999999</v>
      </c>
      <c r="H4045" s="1" t="n">
        <v>10</v>
      </c>
      <c r="I4045" s="1" t="n">
        <v>1.1</v>
      </c>
      <c r="J4045" t="n">
        <v>23104000</v>
      </c>
    </row>
    <row r="4046" ht="15.75" customHeight="1" s="201">
      <c r="A4046" s="1" t="inlineStr">
        <is>
          <t>Lamb, New Zealand, imported, breast, separable lean only, cooked, braised</t>
        </is>
      </c>
      <c r="C4046" s="1" t="n">
        <v>0</v>
      </c>
      <c r="E4046" s="1" t="n">
        <v>1.89</v>
      </c>
      <c r="F4046" s="1" t="n">
        <v>28.16</v>
      </c>
      <c r="G4046" s="1" t="n">
        <v>17.53</v>
      </c>
      <c r="H4046" s="1" t="n">
        <v>16</v>
      </c>
      <c r="I4046" s="1" t="n">
        <v>4.8</v>
      </c>
      <c r="J4046" t="n">
        <v>23104020</v>
      </c>
    </row>
    <row r="4047" ht="15.75" customHeight="1" s="201">
      <c r="A4047" s="1" t="inlineStr">
        <is>
          <t>Lamb, New Zealand, imported, breast, separable lean only, raw</t>
        </is>
      </c>
      <c r="C4047" s="1" t="n">
        <v>1.02</v>
      </c>
      <c r="E4047" s="1" t="n">
        <v>1.15</v>
      </c>
      <c r="F4047" s="1" t="n">
        <v>18.31</v>
      </c>
      <c r="G4047" s="1" t="n">
        <v>7.98</v>
      </c>
      <c r="H4047" s="1" t="n">
        <v>31</v>
      </c>
      <c r="I4047" s="1" t="n">
        <v>2.93</v>
      </c>
      <c r="J4047" t="n">
        <v>23104020</v>
      </c>
    </row>
    <row r="4048" ht="15.75" customHeight="1" s="201">
      <c r="A4048" s="1" t="inlineStr">
        <is>
          <t>Lamb, New Zealand, imported, chump, boneless, separable lean only, cooked, fast roasted</t>
        </is>
      </c>
      <c r="C4048" s="1" t="n">
        <v>0</v>
      </c>
      <c r="E4048" s="1" t="n">
        <v>1.73</v>
      </c>
      <c r="F4048" s="1" t="n">
        <v>23.69</v>
      </c>
      <c r="G4048" s="1" t="n">
        <v>5.27</v>
      </c>
      <c r="H4048" s="1" t="n">
        <v>17</v>
      </c>
      <c r="I4048" s="1" t="n">
        <v>3.24</v>
      </c>
    </row>
    <row r="4049" ht="15.75" customHeight="1" s="201">
      <c r="A4049" s="1" t="inlineStr">
        <is>
          <t>Lamb, New Zealand, imported, chump, boneless, separable lean only, raw</t>
        </is>
      </c>
      <c r="C4049" s="1" t="n">
        <v>0</v>
      </c>
      <c r="E4049" s="1" t="n">
        <v>1.52</v>
      </c>
      <c r="F4049" s="1" t="n">
        <v>21.68</v>
      </c>
      <c r="G4049" s="1" t="n">
        <v>3.83</v>
      </c>
      <c r="H4049" s="1" t="n">
        <v>15</v>
      </c>
      <c r="I4049" s="1" t="n">
        <v>2.89</v>
      </c>
      <c r="J4049" t="n">
        <v>23104020</v>
      </c>
    </row>
    <row r="4050" ht="15.75" customHeight="1" s="201">
      <c r="A4050" s="1" t="inlineStr">
        <is>
          <t>Lamb, New Zealand, imported, flap, boneless, separable lean and fat, cooked, braised</t>
        </is>
      </c>
      <c r="C4050" s="1" t="n">
        <v>0.14</v>
      </c>
      <c r="E4050" s="1" t="n">
        <v>1.11</v>
      </c>
      <c r="F4050" s="1" t="n">
        <v>20.48</v>
      </c>
      <c r="G4050" s="1" t="n">
        <v>32.63</v>
      </c>
      <c r="H4050" s="1" t="n">
        <v>80</v>
      </c>
      <c r="I4050" s="1" t="n">
        <v>3.2</v>
      </c>
    </row>
    <row r="4051" ht="15.75" customHeight="1" s="201">
      <c r="A4051" s="1" t="inlineStr">
        <is>
          <t>Lamb, New Zealand, imported, flap, boneless, separable lean and fat, raw</t>
        </is>
      </c>
      <c r="C4051" s="1" t="n">
        <v>0.27</v>
      </c>
      <c r="E4051" s="1" t="n">
        <v>0.84</v>
      </c>
      <c r="F4051" s="1" t="n">
        <v>16.17</v>
      </c>
      <c r="G4051" s="1" t="n">
        <v>30.14</v>
      </c>
      <c r="H4051" s="1" t="n">
        <v>68</v>
      </c>
      <c r="I4051" s="1" t="n">
        <v>2.35</v>
      </c>
      <c r="J4051" t="n">
        <v>58126280</v>
      </c>
    </row>
    <row r="4052" ht="15.75" customHeight="1" s="201">
      <c r="A4052" s="1" t="inlineStr">
        <is>
          <t>Lamb, New Zealand, imported, flap, boneless, separable lean only, cooked, braised</t>
        </is>
      </c>
      <c r="C4052" s="1" t="n">
        <v>0</v>
      </c>
      <c r="E4052" s="1" t="n">
        <v>1.21</v>
      </c>
      <c r="F4052" s="1" t="n">
        <v>27.88</v>
      </c>
      <c r="G4052" s="1" t="n">
        <v>13.6</v>
      </c>
      <c r="H4052" s="1" t="n">
        <v>32</v>
      </c>
      <c r="I4052" s="1" t="n">
        <v>4.21</v>
      </c>
      <c r="J4052" t="n">
        <v>23104020</v>
      </c>
    </row>
    <row r="4053" ht="15.75" customHeight="1" s="201">
      <c r="A4053" s="1" t="inlineStr">
        <is>
          <t>Lamb, New Zealand, imported, flap, boneless, separable lean only, raw</t>
        </is>
      </c>
      <c r="C4053" s="1" t="n">
        <v>0</v>
      </c>
      <c r="E4053" s="1" t="n">
        <v>0.96</v>
      </c>
      <c r="F4053" s="1" t="n">
        <v>21.72</v>
      </c>
      <c r="G4053" s="1" t="n">
        <v>10.31</v>
      </c>
      <c r="H4053" s="1" t="n">
        <v>30</v>
      </c>
      <c r="I4053" s="1" t="n">
        <v>3.15</v>
      </c>
      <c r="J4053" t="n">
        <v>23104020</v>
      </c>
    </row>
    <row r="4054" ht="15.75" customHeight="1" s="201">
      <c r="A4054" s="1" t="inlineStr">
        <is>
          <t>Lamb, New Zealand, imported, fore-shank, separable lean and fat, cooked, braised</t>
        </is>
      </c>
      <c r="C4054" s="1" t="n">
        <v>0.03</v>
      </c>
      <c r="E4054" s="1" t="n">
        <v>2.11</v>
      </c>
      <c r="F4054" s="1" t="n">
        <v>30.35</v>
      </c>
      <c r="G4054" s="1" t="n">
        <v>14.99</v>
      </c>
      <c r="H4054" s="1" t="n">
        <v>27</v>
      </c>
      <c r="I4054" s="1" t="n">
        <v>6.45</v>
      </c>
    </row>
    <row r="4055" ht="15.75" customHeight="1" s="201">
      <c r="A4055" s="1" t="inlineStr">
        <is>
          <t>Lamb, New Zealand, imported, fore-shank, separable lean and fat, raw</t>
        </is>
      </c>
      <c r="C4055" s="1" t="n">
        <v>0.09</v>
      </c>
      <c r="E4055" s="1" t="n">
        <v>1.28</v>
      </c>
      <c r="F4055" s="1" t="n">
        <v>20.09</v>
      </c>
      <c r="G4055" s="1" t="n">
        <v>11.38</v>
      </c>
      <c r="H4055" s="1" t="n">
        <v>26</v>
      </c>
      <c r="I4055" s="1" t="n">
        <v>3.88</v>
      </c>
      <c r="J4055" t="n">
        <v>58126280</v>
      </c>
    </row>
    <row r="4056" ht="15.75" customHeight="1" s="201">
      <c r="A4056" s="1" t="inlineStr">
        <is>
          <t>Lamb, New Zealand, imported, fore-shank, separable lean only, cooked, braised</t>
        </is>
      </c>
      <c r="C4056" s="1" t="n">
        <v>0</v>
      </c>
      <c r="E4056" s="1" t="n">
        <v>2.24</v>
      </c>
      <c r="F4056" s="1" t="n">
        <v>33.31</v>
      </c>
      <c r="G4056" s="1" t="n">
        <v>8.4</v>
      </c>
      <c r="H4056" s="1" t="n">
        <v>10</v>
      </c>
      <c r="I4056" s="1" t="n">
        <v>7.09</v>
      </c>
      <c r="J4056" t="n">
        <v>23104020</v>
      </c>
    </row>
    <row r="4057" ht="15.75" customHeight="1" s="201">
      <c r="A4057" s="1" t="inlineStr">
        <is>
          <t>Lamb, New Zealand, imported, fore-shank, separable lean only, raw</t>
        </is>
      </c>
      <c r="C4057" s="1" t="n">
        <v>0</v>
      </c>
      <c r="E4057" s="1" t="n">
        <v>1.37</v>
      </c>
      <c r="F4057" s="1" t="n">
        <v>22.05</v>
      </c>
      <c r="G4057" s="1" t="n">
        <v>3.77</v>
      </c>
      <c r="H4057" s="1" t="n">
        <v>10</v>
      </c>
      <c r="I4057" s="1" t="n">
        <v>4.28</v>
      </c>
      <c r="J4057" t="n">
        <v>23104020</v>
      </c>
    </row>
    <row r="4058" ht="15.75" customHeight="1" s="201">
      <c r="A4058" s="1" t="inlineStr">
        <is>
          <t>Lamb, New Zealand, imported, frozen, composite of trimmed retail cuts, separable fat, cooked</t>
        </is>
      </c>
      <c r="C4058" s="1" t="n">
        <v>0</v>
      </c>
      <c r="D4058" s="1" t="n">
        <v>3</v>
      </c>
      <c r="E4058" s="1" t="n">
        <v>1.39</v>
      </c>
      <c r="F4058" s="1" t="n">
        <v>9.720000000000001</v>
      </c>
      <c r="G4058" s="1" t="n">
        <v>60.39</v>
      </c>
      <c r="H4058" s="1" t="n">
        <v>0</v>
      </c>
      <c r="I4058" s="1" t="n">
        <v>1.17</v>
      </c>
    </row>
    <row r="4059" ht="15.75" customHeight="1" s="201">
      <c r="A4059" s="1" t="inlineStr">
        <is>
          <t>Lamb, New Zealand, imported, frozen, composite of trimmed retail cuts, separable fat, raw</t>
        </is>
      </c>
      <c r="C4059" s="1" t="n">
        <v>0</v>
      </c>
      <c r="D4059" s="1" t="n">
        <v>3</v>
      </c>
      <c r="E4059" s="1" t="n">
        <v>1.14</v>
      </c>
      <c r="F4059" s="1" t="n">
        <v>6.92</v>
      </c>
      <c r="G4059" s="1" t="n">
        <v>67.63</v>
      </c>
      <c r="H4059" s="1" t="n">
        <v>0</v>
      </c>
      <c r="I4059" s="1" t="n">
        <v>0.85</v>
      </c>
    </row>
    <row r="4060" ht="15.75" customHeight="1" s="201">
      <c r="A4060" s="1" t="inlineStr">
        <is>
          <t>Lamb, New Zealand, imported, frozen, composite of trimmed retail cuts, separable lean and fat, cooked</t>
        </is>
      </c>
      <c r="C4060" s="1" t="n">
        <v>0</v>
      </c>
      <c r="D4060" s="1" t="n">
        <v>1</v>
      </c>
      <c r="E4060" s="1" t="n">
        <v>2.1</v>
      </c>
      <c r="F4060" s="1" t="n">
        <v>24.42</v>
      </c>
      <c r="G4060" s="1" t="n">
        <v>22.26</v>
      </c>
      <c r="H4060" s="1" t="n">
        <v>0</v>
      </c>
      <c r="I4060" s="1" t="n">
        <v>3.49</v>
      </c>
    </row>
    <row r="4061" ht="15.75" customHeight="1" s="201">
      <c r="A4061" s="1" t="inlineStr">
        <is>
          <t>Lamb, New Zealand, imported, frozen, composite of trimmed retail cuts, separable lean and fat, raw</t>
        </is>
      </c>
      <c r="C4061" s="1" t="n">
        <v>0</v>
      </c>
      <c r="D4061" s="1" t="n">
        <v>1</v>
      </c>
      <c r="E4061" s="1" t="n">
        <v>1.49</v>
      </c>
      <c r="F4061" s="1" t="n">
        <v>16.74</v>
      </c>
      <c r="G4061" s="1" t="n">
        <v>22.74</v>
      </c>
      <c r="H4061" s="1" t="n">
        <v>0</v>
      </c>
      <c r="I4061" s="1" t="n">
        <v>2.39</v>
      </c>
    </row>
    <row r="4062" ht="15.75" customHeight="1" s="201">
      <c r="A4062" s="1" t="inlineStr">
        <is>
          <t>Lamb, New Zealand, imported, frozen, composite of trimmed retail cuts, separable lean and fat, trimmed to 1/8" fat, cooked</t>
        </is>
      </c>
      <c r="C4062" s="1" t="n">
        <v>0</v>
      </c>
      <c r="D4062" s="1" t="n">
        <v>1</v>
      </c>
      <c r="E4062" s="1" t="n">
        <v>2.08</v>
      </c>
      <c r="F4062" s="1" t="n">
        <v>25.26</v>
      </c>
      <c r="G4062" s="1" t="n">
        <v>17.98</v>
      </c>
      <c r="H4062" s="1" t="n">
        <v>0</v>
      </c>
      <c r="I4062" s="1" t="n">
        <v>3.61</v>
      </c>
    </row>
    <row r="4063" ht="15.75" customHeight="1" s="201">
      <c r="A4063" s="1" t="inlineStr">
        <is>
          <t>Lamb, New Zealand, imported, frozen, composite of trimmed retail cuts, separable lean and fat, trimmed to 1/8" fat, raw</t>
        </is>
      </c>
      <c r="C4063" s="1" t="n">
        <v>0</v>
      </c>
      <c r="D4063" s="1" t="n">
        <v>1</v>
      </c>
      <c r="E4063" s="1" t="n">
        <v>1.54</v>
      </c>
      <c r="F4063" s="1" t="n">
        <v>17.95</v>
      </c>
      <c r="G4063" s="1" t="n">
        <v>17.2</v>
      </c>
      <c r="H4063" s="1" t="n">
        <v>0</v>
      </c>
      <c r="I4063" s="1" t="n">
        <v>2.58</v>
      </c>
    </row>
    <row r="4064" ht="15.75" customHeight="1" s="201">
      <c r="A4064" s="1" t="inlineStr">
        <is>
          <t>Lamb, New Zealand, imported, frozen, composite of trimmed retail cuts, separable lean only, cooked</t>
        </is>
      </c>
      <c r="C4064" s="1" t="n">
        <v>0</v>
      </c>
      <c r="D4064" s="1" t="n">
        <v>0</v>
      </c>
      <c r="E4064" s="1" t="n">
        <v>2.35</v>
      </c>
      <c r="F4064" s="1" t="n">
        <v>29.59</v>
      </c>
      <c r="G4064" s="1" t="n">
        <v>8.859999999999999</v>
      </c>
      <c r="H4064" s="1" t="n">
        <v>0</v>
      </c>
      <c r="I4064" s="1" t="n">
        <v>4.3</v>
      </c>
    </row>
    <row r="4065" ht="15.75" customHeight="1" s="201">
      <c r="A4065" s="1" t="inlineStr">
        <is>
          <t>Lamb, New Zealand, imported, frozen, composite of trimmed retail cuts, separable lean only, raw</t>
        </is>
      </c>
      <c r="C4065" s="1" t="n">
        <v>0</v>
      </c>
      <c r="D4065" s="1" t="n">
        <v>0</v>
      </c>
      <c r="E4065" s="1" t="n">
        <v>1.64</v>
      </c>
      <c r="F4065" s="1" t="n">
        <v>20.75</v>
      </c>
      <c r="G4065" s="1" t="n">
        <v>4.41</v>
      </c>
      <c r="H4065" s="1" t="n">
        <v>0</v>
      </c>
      <c r="I4065" s="1" t="n">
        <v>3.01</v>
      </c>
    </row>
    <row r="4066" ht="15.75" customHeight="1" s="201">
      <c r="A4066" s="1" t="inlineStr">
        <is>
          <t>Lamb, New Zealand, imported, frozen, foreshank, separable lean and fat, trimmed to 1/8" fat, cooked, braised</t>
        </is>
      </c>
      <c r="C4066" s="1" t="n">
        <v>0</v>
      </c>
      <c r="D4066" s="1" t="n">
        <v>1</v>
      </c>
      <c r="E4066" s="1" t="n">
        <v>2.07</v>
      </c>
      <c r="F4066" s="1" t="n">
        <v>26.97</v>
      </c>
      <c r="G4066" s="1" t="n">
        <v>15.83</v>
      </c>
      <c r="H4066" s="1" t="n">
        <v>0</v>
      </c>
      <c r="I4066" s="1" t="n">
        <v>4.8</v>
      </c>
    </row>
    <row r="4067" ht="15.75" customHeight="1" s="201">
      <c r="A4067" s="1" t="inlineStr">
        <is>
          <t>Lamb, New Zealand, imported, frozen, foreshank, separable lean and fat, trimmed to 1/8" fat, raw</t>
        </is>
      </c>
      <c r="C4067" s="1" t="n">
        <v>0</v>
      </c>
      <c r="D4067" s="1" t="n">
        <v>1</v>
      </c>
      <c r="E4067" s="1" t="n">
        <v>1.49</v>
      </c>
      <c r="F4067" s="1" t="n">
        <v>18.04</v>
      </c>
      <c r="G4067" s="1" t="n">
        <v>16.15</v>
      </c>
      <c r="H4067" s="1" t="n">
        <v>0</v>
      </c>
      <c r="I4067" s="1" t="n">
        <v>3.37</v>
      </c>
      <c r="J4067" t="n">
        <v>58126280</v>
      </c>
    </row>
    <row r="4068" ht="15.75" customHeight="1" s="201">
      <c r="A4068" s="1" t="inlineStr">
        <is>
          <t>Lamb, New Zealand, imported, frozen, leg, whole (shank and sirloin), separable lean and fat, cooked, roasted</t>
        </is>
      </c>
      <c r="C4068" s="1" t="n">
        <v>0</v>
      </c>
      <c r="D4068" s="1" t="n">
        <v>1</v>
      </c>
      <c r="E4068" s="1" t="n">
        <v>2.1</v>
      </c>
      <c r="F4068" s="1" t="n">
        <v>24.81</v>
      </c>
      <c r="G4068" s="1" t="n">
        <v>15.56</v>
      </c>
      <c r="H4068" s="1" t="n">
        <v>0</v>
      </c>
      <c r="I4068" s="1" t="n">
        <v>3.58</v>
      </c>
    </row>
    <row r="4069" ht="15.75" customHeight="1" s="201">
      <c r="A4069" s="1" t="inlineStr">
        <is>
          <t>Lamb, New Zealand, imported, frozen, leg, whole (shank and sirloin), separable lean and fat, trimmed to 1/8" fat, cooked, roasted</t>
        </is>
      </c>
      <c r="C4069" s="1" t="n">
        <v>0</v>
      </c>
      <c r="D4069" s="1" t="n">
        <v>1</v>
      </c>
      <c r="E4069" s="1" t="n">
        <v>2.13</v>
      </c>
      <c r="F4069" s="1" t="n">
        <v>25.34</v>
      </c>
      <c r="G4069" s="1" t="n">
        <v>13.95</v>
      </c>
      <c r="H4069" s="1" t="n">
        <v>0</v>
      </c>
      <c r="I4069" s="1" t="n">
        <v>3.67</v>
      </c>
    </row>
    <row r="4070" ht="15.75" customHeight="1" s="201">
      <c r="A4070" s="1" t="inlineStr">
        <is>
          <t>Lamb, New Zealand, imported, frozen, leg, whole (shank and sirloin), separable lean and fat, trimmed to 1/8" fat, raw</t>
        </is>
      </c>
      <c r="C4070" s="1" t="n">
        <v>0</v>
      </c>
      <c r="D4070" s="1" t="n">
        <v>1</v>
      </c>
      <c r="E4070" s="1" t="n">
        <v>1.6</v>
      </c>
      <c r="F4070" s="1" t="n">
        <v>18.76</v>
      </c>
      <c r="G4070" s="1" t="n">
        <v>13.37</v>
      </c>
      <c r="H4070" s="1" t="n">
        <v>0</v>
      </c>
      <c r="I4070" s="1" t="n">
        <v>2.72</v>
      </c>
    </row>
    <row r="4071" ht="15.75" customHeight="1" s="201">
      <c r="A4071" s="1" t="inlineStr">
        <is>
          <t>Lamb, New Zealand, imported, frozen, leg, whole (shank and sirloin), separable lean only, cooked, roasted</t>
        </is>
      </c>
      <c r="C4071" s="1" t="n">
        <v>0</v>
      </c>
      <c r="D4071" s="1" t="n">
        <v>0</v>
      </c>
      <c r="E4071" s="1" t="n">
        <v>2.24</v>
      </c>
      <c r="F4071" s="1" t="n">
        <v>27.68</v>
      </c>
      <c r="G4071" s="1" t="n">
        <v>7.01</v>
      </c>
      <c r="H4071" s="1" t="n">
        <v>0</v>
      </c>
      <c r="I4071" s="1" t="n">
        <v>4.04</v>
      </c>
    </row>
    <row r="4072" ht="15.75" customHeight="1" s="201">
      <c r="A4072" s="1" t="inlineStr">
        <is>
          <t>Lamb, New Zealand, imported, frozen, loin, separable lean and fat, trimmed to 1/8" fat, cooked, broiled</t>
        </is>
      </c>
      <c r="C4072" s="1" t="n">
        <v>0</v>
      </c>
      <c r="D4072" s="1" t="n">
        <v>1</v>
      </c>
      <c r="E4072" s="1" t="n">
        <v>2.1</v>
      </c>
      <c r="F4072" s="1" t="n">
        <v>24.41</v>
      </c>
      <c r="G4072" s="1" t="n">
        <v>21.28</v>
      </c>
      <c r="H4072" s="1" t="n">
        <v>0</v>
      </c>
      <c r="I4072" s="1" t="n">
        <v>2.76</v>
      </c>
      <c r="J4072" t="n">
        <v>23104010</v>
      </c>
    </row>
    <row r="4073" ht="15.75" customHeight="1" s="201">
      <c r="A4073" s="1" t="inlineStr">
        <is>
          <t>Lamb, New Zealand, imported, frozen, loin, separable lean and fat, trimmed to 1/8" fat, raw</t>
        </is>
      </c>
      <c r="C4073" s="1" t="n">
        <v>0</v>
      </c>
      <c r="D4073" s="1" t="n">
        <v>1</v>
      </c>
      <c r="E4073" s="1" t="n">
        <v>1.59</v>
      </c>
      <c r="F4073" s="1" t="n">
        <v>17.18</v>
      </c>
      <c r="G4073" s="1" t="n">
        <v>22.1</v>
      </c>
      <c r="H4073" s="1" t="n">
        <v>0</v>
      </c>
      <c r="I4073" s="1" t="n">
        <v>1.94</v>
      </c>
      <c r="J4073" t="n">
        <v>23104010</v>
      </c>
    </row>
    <row r="4074" ht="15.75" customHeight="1" s="201">
      <c r="A4074" s="1" t="inlineStr">
        <is>
          <t>Lamb, New Zealand, imported, frozen, loin, separable lean only, cooked, broiled</t>
        </is>
      </c>
      <c r="C4074" s="1" t="n">
        <v>0</v>
      </c>
      <c r="D4074" s="1" t="n">
        <v>0</v>
      </c>
      <c r="E4074" s="1" t="n">
        <v>2.34</v>
      </c>
      <c r="F4074" s="1" t="n">
        <v>29.31</v>
      </c>
      <c r="G4074" s="1" t="n">
        <v>8.24</v>
      </c>
      <c r="H4074" s="1" t="n">
        <v>0</v>
      </c>
      <c r="I4074" s="1" t="n">
        <v>3.29</v>
      </c>
      <c r="J4074" t="n">
        <v>23104020</v>
      </c>
    </row>
    <row r="4075" ht="15.75" customHeight="1" s="201">
      <c r="A4075" s="1" t="inlineStr">
        <is>
          <t>Lamb, New Zealand, imported, frozen, rib, separable lean and fat, trimmed to 1/8" fat, cooked, roasted</t>
        </is>
      </c>
      <c r="C4075" s="1" t="n">
        <v>0</v>
      </c>
      <c r="D4075" s="1" t="n">
        <v>1</v>
      </c>
      <c r="E4075" s="1" t="n">
        <v>1.74</v>
      </c>
      <c r="F4075" s="1" t="n">
        <v>19.86</v>
      </c>
      <c r="G4075" s="1" t="n">
        <v>25.74</v>
      </c>
      <c r="H4075" s="1" t="n">
        <v>0</v>
      </c>
      <c r="I4075" s="1" t="n">
        <v>2.73</v>
      </c>
    </row>
    <row r="4076" ht="15.75" customHeight="1" s="201">
      <c r="A4076" s="1" t="inlineStr">
        <is>
          <t>Lamb, new zealand, imported, frozen, rib, separable lean and fat, trimmed to 1/8" fat, raw</t>
        </is>
      </c>
      <c r="C4076" s="1" t="n">
        <v>0</v>
      </c>
      <c r="D4076" s="1" t="n">
        <v>1</v>
      </c>
      <c r="E4076" s="1" t="n">
        <v>1.43</v>
      </c>
      <c r="F4076" s="1" t="n">
        <v>15.87</v>
      </c>
      <c r="G4076" s="1" t="n">
        <v>27</v>
      </c>
      <c r="H4076" s="1" t="n">
        <v>0</v>
      </c>
      <c r="I4076" s="1" t="n">
        <v>2.19</v>
      </c>
      <c r="J4076" t="n">
        <v>58126280</v>
      </c>
    </row>
    <row r="4077" ht="15.75" customHeight="1" s="201">
      <c r="A4077" s="1" t="inlineStr">
        <is>
          <t>Lamb, New Zealand, imported, frozen, shoulder, whole (arm and blade), separable lean and fat, trimmed to 1/8" fat, cooked, braised</t>
        </is>
      </c>
      <c r="C4077" s="1" t="n">
        <v>0</v>
      </c>
      <c r="D4077" s="1" t="n">
        <v>1</v>
      </c>
      <c r="E4077" s="1" t="n">
        <v>2.16</v>
      </c>
      <c r="F4077" s="1" t="n">
        <v>29.43</v>
      </c>
      <c r="G4077" s="1" t="n">
        <v>24.03</v>
      </c>
      <c r="H4077" s="1" t="n">
        <v>0</v>
      </c>
      <c r="I4077" s="1" t="n">
        <v>4.76</v>
      </c>
    </row>
    <row r="4078" ht="15.75" customHeight="1" s="201">
      <c r="A4078" s="1" t="inlineStr">
        <is>
          <t>Lamb, New Zealand, imported, frozen, shoulder, whole (arm and blade), separable lean and fat, trimmed to 1/8" fat, raw</t>
        </is>
      </c>
      <c r="C4078" s="1" t="n">
        <v>0</v>
      </c>
      <c r="D4078" s="1" t="n">
        <v>1</v>
      </c>
      <c r="E4078" s="1" t="n">
        <v>1.36</v>
      </c>
      <c r="F4078" s="1" t="n">
        <v>17.19</v>
      </c>
      <c r="G4078" s="1" t="n">
        <v>19.74</v>
      </c>
      <c r="H4078" s="1" t="n">
        <v>0</v>
      </c>
      <c r="I4078" s="1" t="n">
        <v>2.91</v>
      </c>
    </row>
    <row r="4079" ht="15.75" customHeight="1" s="201">
      <c r="A4079" s="1" t="inlineStr">
        <is>
          <t>Lamb, New Zealand, imported, frozen, shoulder, whole (arm and blade), separable lean only, cooked, braised</t>
        </is>
      </c>
      <c r="C4079" s="1" t="n">
        <v>0</v>
      </c>
      <c r="D4079" s="1" t="n">
        <v>0</v>
      </c>
      <c r="E4079" s="1" t="n">
        <v>2.34</v>
      </c>
      <c r="F4079" s="1" t="n">
        <v>34.06</v>
      </c>
      <c r="G4079" s="1" t="n">
        <v>15.5</v>
      </c>
      <c r="H4079" s="1" t="n">
        <v>0</v>
      </c>
      <c r="I4079" s="1" t="n">
        <v>5.6</v>
      </c>
      <c r="J4079" t="n">
        <v>23107020</v>
      </c>
    </row>
    <row r="4080" ht="15.75" customHeight="1" s="201">
      <c r="A4080" s="1" t="inlineStr">
        <is>
          <t>Lamb, New Zealand, imported, ground lamb, cooked, braised</t>
        </is>
      </c>
      <c r="C4080" s="1" t="n">
        <v>0</v>
      </c>
      <c r="E4080" s="1" t="n">
        <v>1.27</v>
      </c>
      <c r="F4080" s="1" t="n">
        <v>22.6</v>
      </c>
      <c r="G4080" s="1" t="n">
        <v>11.34</v>
      </c>
      <c r="H4080" s="1" t="n">
        <v>27</v>
      </c>
      <c r="I4080" s="1" t="n">
        <v>3.38</v>
      </c>
      <c r="J4080" t="n">
        <v>23104000</v>
      </c>
    </row>
    <row r="4081" ht="15.75" customHeight="1" s="201">
      <c r="A4081" s="1" t="inlineStr">
        <is>
          <t>Lamb, New Zealand, imported, ground lamb, raw</t>
        </is>
      </c>
      <c r="C4081" s="1" t="n">
        <v>0</v>
      </c>
      <c r="E4081" s="1" t="n">
        <v>1.04</v>
      </c>
      <c r="F4081" s="1" t="n">
        <v>20.33</v>
      </c>
      <c r="G4081" s="1" t="n">
        <v>12.41</v>
      </c>
      <c r="H4081" s="1" t="n">
        <v>26</v>
      </c>
      <c r="I4081" s="1" t="n">
        <v>2.75</v>
      </c>
      <c r="J4081" t="n">
        <v>23104000</v>
      </c>
    </row>
    <row r="4082" ht="15.75" customHeight="1" s="201">
      <c r="A4082" s="1" t="inlineStr">
        <is>
          <t>Lamb, New Zealand, imported, heart, cooked, soaked and simmered</t>
        </is>
      </c>
      <c r="C4082" s="1" t="n">
        <v>0</v>
      </c>
      <c r="E4082" s="1" t="n">
        <v>4.94</v>
      </c>
      <c r="F4082" s="1" t="n">
        <v>26.26</v>
      </c>
      <c r="G4082" s="1" t="n">
        <v>6.21</v>
      </c>
      <c r="H4082" s="1" t="n">
        <v>12</v>
      </c>
      <c r="I4082" s="1" t="n">
        <v>2.66</v>
      </c>
      <c r="J4082" t="n">
        <v>57301530</v>
      </c>
    </row>
    <row r="4083" ht="15.75" customHeight="1" s="201">
      <c r="A4083" s="1" t="inlineStr">
        <is>
          <t>Lamb, New Zealand, imported, heart, raw</t>
        </is>
      </c>
      <c r="C4083" s="1" t="n">
        <v>0</v>
      </c>
      <c r="E4083" s="1" t="n">
        <v>3.29</v>
      </c>
      <c r="F4083" s="1" t="n">
        <v>18.09</v>
      </c>
      <c r="G4083" s="1" t="n">
        <v>3.68</v>
      </c>
      <c r="H4083" s="1" t="n">
        <v>18</v>
      </c>
      <c r="I4083" s="1" t="n">
        <v>1.65</v>
      </c>
      <c r="J4083" t="n">
        <v>57301530</v>
      </c>
    </row>
    <row r="4084" ht="15.75" customHeight="1" s="201">
      <c r="A4084" s="1" t="inlineStr">
        <is>
          <t>Lamb, New Zealand, imported, hind-shank, separable lean and fat, cooked, braised</t>
        </is>
      </c>
      <c r="C4084" s="1" t="n">
        <v>0.04</v>
      </c>
      <c r="E4084" s="1" t="n">
        <v>1.99</v>
      </c>
      <c r="F4084" s="1" t="n">
        <v>29.59</v>
      </c>
      <c r="G4084" s="1" t="n">
        <v>14.22</v>
      </c>
      <c r="H4084" s="1" t="n">
        <v>26</v>
      </c>
      <c r="I4084" s="1" t="n">
        <v>4.95</v>
      </c>
    </row>
    <row r="4085" ht="15.75" customHeight="1" s="201">
      <c r="A4085" s="1" t="inlineStr">
        <is>
          <t>Lamb, New Zealand, imported, hind-shank, separable lean and fat, raw</t>
        </is>
      </c>
      <c r="C4085" s="1" t="n">
        <v>0.73</v>
      </c>
      <c r="E4085" s="1" t="n">
        <v>1.34</v>
      </c>
      <c r="F4085" s="1" t="n">
        <v>18.39</v>
      </c>
      <c r="G4085" s="1" t="n">
        <v>12.12</v>
      </c>
      <c r="H4085" s="1" t="n">
        <v>25</v>
      </c>
      <c r="I4085" s="1" t="n">
        <v>3.09</v>
      </c>
      <c r="J4085" t="n">
        <v>58126280</v>
      </c>
    </row>
    <row r="4086" ht="15.75" customHeight="1" s="201">
      <c r="A4086" s="1" t="inlineStr">
        <is>
          <t>Lamb, New Zealand, imported, hind-shank, separable lean only, cooked, braised</t>
        </is>
      </c>
      <c r="C4086" s="1" t="n">
        <v>0</v>
      </c>
      <c r="E4086" s="1" t="n">
        <v>2.12</v>
      </c>
      <c r="F4086" s="1" t="n">
        <v>32.5</v>
      </c>
      <c r="G4086" s="1" t="n">
        <v>7.37</v>
      </c>
      <c r="H4086" s="1" t="n">
        <v>8</v>
      </c>
      <c r="I4086" s="1" t="n">
        <v>5.41</v>
      </c>
      <c r="J4086" t="n">
        <v>23104020</v>
      </c>
    </row>
    <row r="4087" ht="15.75" customHeight="1" s="201">
      <c r="A4087" s="1" t="inlineStr">
        <is>
          <t>Lamb, New Zealand, imported, hind-shank, separable lean only, raw</t>
        </is>
      </c>
      <c r="C4087" s="1" t="n">
        <v>0.73</v>
      </c>
      <c r="E4087" s="1" t="n">
        <v>1.46</v>
      </c>
      <c r="F4087" s="1" t="n">
        <v>20.4</v>
      </c>
      <c r="G4087" s="1" t="n">
        <v>3.35</v>
      </c>
      <c r="H4087" s="1" t="n">
        <v>7</v>
      </c>
      <c r="I4087" s="1" t="n">
        <v>3.45</v>
      </c>
      <c r="J4087" t="n">
        <v>23104020</v>
      </c>
    </row>
    <row r="4088" ht="15.75" customHeight="1" s="201">
      <c r="A4088" s="1" t="inlineStr">
        <is>
          <t>Lamb, New Zealand, imported, Intermuscular fat, cooked</t>
        </is>
      </c>
      <c r="C4088" s="1" t="n">
        <v>0</v>
      </c>
      <c r="E4088" s="1" t="n">
        <v>1.39</v>
      </c>
      <c r="F4088" s="1" t="n">
        <v>8.529999999999999</v>
      </c>
      <c r="G4088" s="1" t="n">
        <v>62.44</v>
      </c>
      <c r="H4088" s="1" t="n">
        <v>113</v>
      </c>
      <c r="I4088" s="1" t="n">
        <v>1.77</v>
      </c>
      <c r="J4088" t="n">
        <v>23104000</v>
      </c>
    </row>
    <row r="4089" ht="15.75" customHeight="1" s="201">
      <c r="A4089" s="1" t="inlineStr">
        <is>
          <t>Lamb, New Zealand, imported, Intermuscular fat, raw</t>
        </is>
      </c>
      <c r="C4089" s="1" t="n">
        <v>1.26</v>
      </c>
      <c r="E4089" s="1" t="n">
        <v>0.72</v>
      </c>
      <c r="F4089" s="1" t="n">
        <v>4.63</v>
      </c>
      <c r="G4089" s="1" t="n">
        <v>68.53</v>
      </c>
      <c r="H4089" s="1" t="n">
        <v>153</v>
      </c>
      <c r="I4089" s="1" t="n">
        <v>0.87</v>
      </c>
      <c r="J4089" t="n">
        <v>23104000</v>
      </c>
    </row>
    <row r="4090" ht="15.75" customHeight="1" s="201">
      <c r="A4090" s="1" t="inlineStr">
        <is>
          <t>Lamb, New Zealand, imported, kidney, cooked, soaked and fried</t>
        </is>
      </c>
      <c r="C4090" s="1" t="n">
        <v>0.18</v>
      </c>
      <c r="E4090" s="1" t="n">
        <v>14.7</v>
      </c>
      <c r="F4090" s="1" t="n">
        <v>19.78</v>
      </c>
      <c r="G4090" s="1" t="n">
        <v>3.56</v>
      </c>
      <c r="H4090" s="1" t="n">
        <v>284</v>
      </c>
      <c r="I4090" s="1" t="n">
        <v>2.36</v>
      </c>
    </row>
    <row r="4091" ht="15.75" customHeight="1" s="201">
      <c r="A4091" s="1" t="inlineStr">
        <is>
          <t>Lamb, New Zealand, imported, kidney, raw</t>
        </is>
      </c>
      <c r="C4091" s="1" t="n">
        <v>0.03</v>
      </c>
      <c r="E4091" s="1" t="n">
        <v>6.6</v>
      </c>
      <c r="F4091" s="1" t="n">
        <v>15.21</v>
      </c>
      <c r="G4091" s="1" t="n">
        <v>2.54</v>
      </c>
      <c r="H4091" s="1" t="n">
        <v>204</v>
      </c>
      <c r="I4091" s="1" t="n">
        <v>1.81</v>
      </c>
      <c r="J4091" t="n">
        <v>23104000</v>
      </c>
    </row>
    <row r="4092" ht="15.75" customHeight="1" s="201">
      <c r="A4092" s="1" t="inlineStr">
        <is>
          <t>Lamb, New Zealand, imported, leg chop/steak, bone-in, separable lean and fat, cooked, fast fried</t>
        </is>
      </c>
      <c r="C4092" s="1" t="n">
        <v>0.04</v>
      </c>
      <c r="E4092" s="1" t="n">
        <v>1.93</v>
      </c>
      <c r="F4092" s="1" t="n">
        <v>24.26</v>
      </c>
      <c r="G4092" s="1" t="n">
        <v>12.76</v>
      </c>
      <c r="H4092" s="1" t="n">
        <v>22</v>
      </c>
      <c r="I4092" s="1" t="n">
        <v>3.66</v>
      </c>
      <c r="J4092" t="n">
        <v>23104010</v>
      </c>
    </row>
    <row r="4093" ht="15.75" customHeight="1" s="201">
      <c r="A4093" s="1" t="inlineStr">
        <is>
          <t>Lamb, New Zealand, imported, leg chop/steak, bone-in, separable lean and fat, raw</t>
        </is>
      </c>
      <c r="C4093" s="1" t="n">
        <v>0.13</v>
      </c>
      <c r="E4093" s="1" t="n">
        <v>1.49</v>
      </c>
      <c r="F4093" s="1" t="n">
        <v>18.64</v>
      </c>
      <c r="G4093" s="1" t="n">
        <v>14.52</v>
      </c>
      <c r="H4093" s="1" t="n">
        <v>29</v>
      </c>
      <c r="I4093" s="1" t="n">
        <v>2.8</v>
      </c>
      <c r="J4093" t="n">
        <v>23104010</v>
      </c>
    </row>
    <row r="4094" ht="15.75" customHeight="1" s="201">
      <c r="A4094" s="1" t="inlineStr">
        <is>
          <t>Lamb, New Zealand, imported, leg chop/steak, bone-in, separable lean only, cooked, fast fried</t>
        </is>
      </c>
      <c r="C4094" s="1" t="n">
        <v>0</v>
      </c>
      <c r="E4094" s="1" t="n">
        <v>2.03</v>
      </c>
      <c r="F4094" s="1" t="n">
        <v>26.31</v>
      </c>
      <c r="G4094" s="1" t="n">
        <v>6.35</v>
      </c>
      <c r="H4094" s="1" t="n">
        <v>6</v>
      </c>
      <c r="I4094" s="1" t="n">
        <v>3.93</v>
      </c>
      <c r="J4094" t="n">
        <v>23104020</v>
      </c>
    </row>
    <row r="4095" ht="15.75" customHeight="1" s="201">
      <c r="A4095" s="1" t="inlineStr">
        <is>
          <t>Lamb, New Zealand, imported, leg chop/steak, bone-in, separable lean only, raw</t>
        </is>
      </c>
      <c r="C4095" s="1" t="n">
        <v>0</v>
      </c>
      <c r="E4095" s="1" t="n">
        <v>1.64</v>
      </c>
      <c r="F4095" s="1" t="n">
        <v>21.1</v>
      </c>
      <c r="G4095" s="1" t="n">
        <v>4.64</v>
      </c>
      <c r="H4095" s="1" t="n">
        <v>9</v>
      </c>
      <c r="I4095" s="1" t="n">
        <v>3.16</v>
      </c>
      <c r="J4095" t="n">
        <v>23104020</v>
      </c>
    </row>
    <row r="4096" ht="15.75" customHeight="1" s="201">
      <c r="A4096" s="1" t="inlineStr">
        <is>
          <t>Lamb, New Zealand, imported, liver, cooked, soaked and fried</t>
        </is>
      </c>
      <c r="C4096" s="1" t="n">
        <v>1.48</v>
      </c>
      <c r="E4096" s="1" t="n">
        <v>5.4</v>
      </c>
      <c r="F4096" s="1" t="n">
        <v>25.8</v>
      </c>
      <c r="G4096" s="1" t="n">
        <v>6.56</v>
      </c>
      <c r="H4096" s="1" t="n">
        <v>66240</v>
      </c>
      <c r="I4096" s="1" t="n">
        <v>5.1</v>
      </c>
      <c r="J4096" t="n">
        <v>25230560</v>
      </c>
    </row>
    <row r="4097" ht="15.75" customHeight="1" s="201">
      <c r="A4097" s="1" t="inlineStr">
        <is>
          <t>Lamb, New Zealand, imported, liver, raw</t>
        </is>
      </c>
      <c r="C4097" s="1" t="n">
        <v>2.22</v>
      </c>
      <c r="E4097" s="1" t="n">
        <v>4.6</v>
      </c>
      <c r="F4097" s="1" t="n">
        <v>20.7</v>
      </c>
      <c r="G4097" s="1" t="n">
        <v>4.92</v>
      </c>
      <c r="H4097" s="1" t="n">
        <v>51447</v>
      </c>
      <c r="I4097" s="1" t="n">
        <v>3.4</v>
      </c>
      <c r="J4097" t="n">
        <v>25230560</v>
      </c>
    </row>
    <row r="4098" ht="15.75" customHeight="1" s="201">
      <c r="A4098" s="1" t="inlineStr">
        <is>
          <t>Lamb, New Zealand, imported, loin chop, separable lean and fat, cooked, fast fried</t>
        </is>
      </c>
      <c r="C4098" s="1" t="n">
        <v>0.41</v>
      </c>
      <c r="E4098" s="1" t="n">
        <v>1.62</v>
      </c>
      <c r="F4098" s="1" t="n">
        <v>21.5</v>
      </c>
      <c r="G4098" s="1" t="n">
        <v>27.11</v>
      </c>
      <c r="H4098" s="1" t="n">
        <v>63</v>
      </c>
      <c r="I4098" s="1" t="n">
        <v>2.86</v>
      </c>
      <c r="J4098" t="n">
        <v>23104010</v>
      </c>
    </row>
    <row r="4099" ht="15.75" customHeight="1" s="201">
      <c r="A4099" s="1" t="inlineStr">
        <is>
          <t>Lamb, New Zealand, imported, loin chop, separable lean and fat, raw</t>
        </is>
      </c>
      <c r="C4099" s="1" t="n">
        <v>0.22</v>
      </c>
      <c r="E4099" s="1" t="n">
        <v>1.24</v>
      </c>
      <c r="F4099" s="1" t="n">
        <v>15.4</v>
      </c>
      <c r="G4099" s="1" t="n">
        <v>26.19</v>
      </c>
      <c r="H4099" s="1" t="n">
        <v>54</v>
      </c>
      <c r="I4099" s="1" t="n">
        <v>2.08</v>
      </c>
      <c r="J4099" t="n">
        <v>23104010</v>
      </c>
    </row>
    <row r="4100" ht="15.75" customHeight="1" s="201">
      <c r="A4100" s="1" t="inlineStr">
        <is>
          <t>Lamb, New Zealand, imported, loin chop, separable lean only, cooked, fast fried</t>
        </is>
      </c>
      <c r="C4100" s="1" t="n">
        <v>0.41</v>
      </c>
      <c r="E4100" s="1" t="n">
        <v>1.88</v>
      </c>
      <c r="F4100" s="1" t="n">
        <v>27.43</v>
      </c>
      <c r="G4100" s="1" t="n">
        <v>10.7</v>
      </c>
      <c r="H4100" s="1" t="n">
        <v>20</v>
      </c>
      <c r="I4100" s="1" t="n">
        <v>3.48</v>
      </c>
      <c r="J4100" t="n">
        <v>23104020</v>
      </c>
    </row>
    <row r="4101" ht="15.75" customHeight="1" s="201">
      <c r="A4101" s="1" t="inlineStr">
        <is>
          <t>Lamb, New Zealand, imported, loin chop, separable lean only, raw</t>
        </is>
      </c>
      <c r="C4101" s="1" t="n">
        <v>0</v>
      </c>
      <c r="E4101" s="1" t="n">
        <v>1.52</v>
      </c>
      <c r="F4101" s="1" t="n">
        <v>19.98</v>
      </c>
      <c r="G4101" s="1" t="n">
        <v>6.88</v>
      </c>
      <c r="H4101" s="1" t="n">
        <v>16</v>
      </c>
      <c r="I4101" s="1" t="n">
        <v>2.69</v>
      </c>
      <c r="J4101" t="n">
        <v>23104020</v>
      </c>
    </row>
    <row r="4102" ht="15.75" customHeight="1" s="201">
      <c r="A4102" s="1" t="inlineStr">
        <is>
          <t>Lamb, New Zealand, imported, loin saddle, separable lean and fat, cooked, fast roasted</t>
        </is>
      </c>
      <c r="C4102" s="1" t="n">
        <v>0.1</v>
      </c>
      <c r="E4102" s="1" t="n">
        <v>1.44</v>
      </c>
      <c r="F4102" s="1" t="n">
        <v>21.13</v>
      </c>
      <c r="G4102" s="1" t="n">
        <v>20.98</v>
      </c>
      <c r="H4102" s="1" t="n">
        <v>52</v>
      </c>
      <c r="I4102" s="1" t="n">
        <v>2.61</v>
      </c>
      <c r="J4102" t="n">
        <v>23104010</v>
      </c>
    </row>
    <row r="4103" ht="15.75" customHeight="1" s="201">
      <c r="A4103" s="1" t="inlineStr">
        <is>
          <t>Lamb, New Zealand, imported, loin saddle, separable lean and fat, raw</t>
        </is>
      </c>
      <c r="C4103" s="1" t="n">
        <v>0.2</v>
      </c>
      <c r="E4103" s="1" t="n">
        <v>1.29</v>
      </c>
      <c r="F4103" s="1" t="n">
        <v>16.56</v>
      </c>
      <c r="G4103" s="1" t="n">
        <v>22.9</v>
      </c>
      <c r="H4103" s="1" t="n">
        <v>49</v>
      </c>
      <c r="I4103" s="1" t="n">
        <v>2.04</v>
      </c>
      <c r="J4103" t="n">
        <v>23104010</v>
      </c>
    </row>
    <row r="4104" ht="15.75" customHeight="1" s="201">
      <c r="A4104" s="1" t="inlineStr">
        <is>
          <t>Lamb, New Zealand, imported, loin saddle, separable lean only, cooked, fast roasted</t>
        </is>
      </c>
      <c r="C4104" s="1" t="n">
        <v>0</v>
      </c>
      <c r="E4104" s="1" t="n">
        <v>1.6</v>
      </c>
      <c r="F4104" s="1" t="n">
        <v>25.53</v>
      </c>
      <c r="G4104" s="1" t="n">
        <v>6.7</v>
      </c>
      <c r="H4104" s="1" t="n">
        <v>16</v>
      </c>
      <c r="I4104" s="1" t="n">
        <v>3.01</v>
      </c>
      <c r="J4104" t="n">
        <v>23104020</v>
      </c>
    </row>
    <row r="4105" ht="15.75" customHeight="1" s="201">
      <c r="A4105" s="1" t="inlineStr">
        <is>
          <t>Lamb, New Zealand, imported, loin saddle, separable lean only, raw</t>
        </is>
      </c>
      <c r="C4105" s="1" t="n">
        <v>0</v>
      </c>
      <c r="E4105" s="1" t="n">
        <v>1.54</v>
      </c>
      <c r="F4105" s="1" t="n">
        <v>20.86</v>
      </c>
      <c r="G4105" s="1" t="n">
        <v>5.32</v>
      </c>
      <c r="H4105" s="1" t="n">
        <v>15</v>
      </c>
      <c r="I4105" s="1" t="n">
        <v>2.54</v>
      </c>
      <c r="J4105" t="n">
        <v>23104020</v>
      </c>
    </row>
    <row r="4106" ht="15.75" customHeight="1" s="201">
      <c r="A4106" s="1" t="inlineStr">
        <is>
          <t>Lamb, New Zealand, imported, loin, boneless, separable lean and fat, cooked, fast roasted</t>
        </is>
      </c>
      <c r="C4106" s="1" t="n">
        <v>0</v>
      </c>
      <c r="E4106" s="1" t="n">
        <v>2.05</v>
      </c>
      <c r="F4106" s="1" t="n">
        <v>28.96</v>
      </c>
      <c r="G4106" s="1" t="n">
        <v>4.57</v>
      </c>
      <c r="H4106" s="1" t="n">
        <v>3</v>
      </c>
      <c r="I4106" s="1" t="n">
        <v>2.69</v>
      </c>
      <c r="J4106" t="n">
        <v>23104010</v>
      </c>
    </row>
    <row r="4107" ht="15.75" customHeight="1" s="201">
      <c r="A4107" s="1" t="inlineStr">
        <is>
          <t>Lamb, New Zealand, imported, loin, boneless, separable lean and fat, raw</t>
        </is>
      </c>
      <c r="C4107" s="1" t="n">
        <v>0</v>
      </c>
      <c r="E4107" s="1" t="n">
        <v>1.55</v>
      </c>
      <c r="F4107" s="1" t="n">
        <v>21.44</v>
      </c>
      <c r="G4107" s="1" t="n">
        <v>3.99</v>
      </c>
      <c r="H4107" s="1" t="n">
        <v>6</v>
      </c>
      <c r="I4107" s="1" t="n">
        <v>2.09</v>
      </c>
      <c r="J4107" t="n">
        <v>23104010</v>
      </c>
    </row>
    <row r="4108" ht="15.75" customHeight="1" s="201">
      <c r="A4108" s="1" t="inlineStr">
        <is>
          <t>Lamb, New Zealand, imported, loin, boneless, separable lean only, cooked, fast roasted</t>
        </is>
      </c>
      <c r="C4108" s="1" t="n">
        <v>0</v>
      </c>
      <c r="E4108" s="1" t="n">
        <v>2.05</v>
      </c>
      <c r="F4108" s="1" t="n">
        <v>28.99</v>
      </c>
      <c r="G4108" s="1" t="n">
        <v>4.49</v>
      </c>
      <c r="H4108" s="1" t="n">
        <v>3</v>
      </c>
      <c r="I4108" s="1" t="n">
        <v>2.7</v>
      </c>
      <c r="J4108" t="n">
        <v>23104020</v>
      </c>
    </row>
    <row r="4109" ht="15.75" customHeight="1" s="201">
      <c r="A4109" s="1" t="inlineStr">
        <is>
          <t>Lamb, New Zealand, imported, loin, boneless, separable lean only, raw</t>
        </is>
      </c>
      <c r="C4109" s="1" t="n">
        <v>0</v>
      </c>
      <c r="E4109" s="1" t="n">
        <v>1.55</v>
      </c>
      <c r="F4109" s="1" t="n">
        <v>21.5</v>
      </c>
      <c r="G4109" s="1" t="n">
        <v>3.77</v>
      </c>
      <c r="H4109" s="1" t="n">
        <v>6</v>
      </c>
      <c r="I4109" s="1" t="n">
        <v>2.1</v>
      </c>
      <c r="J4109" t="n">
        <v>23104020</v>
      </c>
    </row>
    <row r="4110" ht="15.75" customHeight="1" s="201">
      <c r="A4110" s="1" t="inlineStr">
        <is>
          <t>Lamb, New Zealand, imported, neck chops, separable lean and fat, cooked, braised</t>
        </is>
      </c>
      <c r="C4110" s="1" t="n">
        <v>0.03</v>
      </c>
      <c r="E4110" s="1" t="n">
        <v>2.14</v>
      </c>
      <c r="F4110" s="1" t="n">
        <v>28.53</v>
      </c>
      <c r="G4110" s="1" t="n">
        <v>21.43</v>
      </c>
      <c r="H4110" s="1" t="n">
        <v>42</v>
      </c>
      <c r="I4110" s="1" t="n">
        <v>5.21</v>
      </c>
    </row>
    <row r="4111" ht="15.75" customHeight="1" s="201">
      <c r="A4111" s="1" t="inlineStr">
        <is>
          <t>Lamb, New Zealand, imported, neck chops, separable lean and fat, raw</t>
        </is>
      </c>
      <c r="C4111" s="1" t="n">
        <v>0.14</v>
      </c>
      <c r="E4111" s="1" t="n">
        <v>1.14</v>
      </c>
      <c r="F4111" s="1" t="n">
        <v>17.43</v>
      </c>
      <c r="G4111" s="1" t="n">
        <v>17.9</v>
      </c>
      <c r="H4111" s="1" t="n">
        <v>38</v>
      </c>
      <c r="I4111" s="1" t="n">
        <v>3.05</v>
      </c>
      <c r="J4111" t="n">
        <v>58126280</v>
      </c>
    </row>
    <row r="4112" ht="15.75" customHeight="1" s="201">
      <c r="A4112" s="1" t="inlineStr">
        <is>
          <t>Lamb, New Zealand, imported, neck chops, separable lean only, cooked, braised</t>
        </is>
      </c>
      <c r="C4112" s="1" t="n">
        <v>0</v>
      </c>
      <c r="E4112" s="1" t="n">
        <v>2.28</v>
      </c>
      <c r="F4112" s="1" t="n">
        <v>31.4</v>
      </c>
      <c r="G4112" s="1" t="n">
        <v>15.36</v>
      </c>
      <c r="H4112" s="1" t="n">
        <v>28</v>
      </c>
      <c r="I4112" s="1" t="n">
        <v>5.72</v>
      </c>
      <c r="J4112" t="n">
        <v>23104020</v>
      </c>
    </row>
    <row r="4113" ht="15.75" customHeight="1" s="201">
      <c r="A4113" s="1" t="inlineStr">
        <is>
          <t>Lamb, New Zealand, imported, neck chops, separable lean only, raw</t>
        </is>
      </c>
      <c r="C4113" s="1" t="n">
        <v>0</v>
      </c>
      <c r="E4113" s="1" t="n">
        <v>1.24</v>
      </c>
      <c r="F4113" s="1" t="n">
        <v>19.84</v>
      </c>
      <c r="G4113" s="1" t="n">
        <v>7.97</v>
      </c>
      <c r="H4113" s="1" t="n">
        <v>17</v>
      </c>
      <c r="I4113" s="1" t="n">
        <v>3.48</v>
      </c>
      <c r="J4113" t="n">
        <v>23104020</v>
      </c>
    </row>
    <row r="4114" ht="15.75" customHeight="1" s="201">
      <c r="A4114" s="1" t="inlineStr">
        <is>
          <t>Lamb, New Zealand, imported, netted shoulder, rolled, boneless, separable lean and fat, cooked, slow roasted</t>
        </is>
      </c>
      <c r="C4114" s="1" t="n">
        <v>0.05</v>
      </c>
      <c r="E4114" s="1" t="n">
        <v>1.33</v>
      </c>
      <c r="F4114" s="1" t="n">
        <v>21.45</v>
      </c>
      <c r="G4114" s="1" t="n">
        <v>22.33</v>
      </c>
      <c r="H4114" s="1" t="n">
        <v>46</v>
      </c>
      <c r="I4114" s="1" t="n">
        <v>4.28</v>
      </c>
    </row>
    <row r="4115" ht="15.75" customHeight="1" s="201">
      <c r="A4115" s="1" t="inlineStr">
        <is>
          <t>Lamb, New Zealand, imported, netted shoulder, rolled, boneless, separable lean and fat, raw</t>
        </is>
      </c>
      <c r="C4115" s="1" t="n">
        <v>0.2</v>
      </c>
      <c r="E4115" s="1" t="n">
        <v>1.05</v>
      </c>
      <c r="F4115" s="1" t="n">
        <v>16.9</v>
      </c>
      <c r="G4115" s="1" t="n">
        <v>20.36</v>
      </c>
      <c r="H4115" s="1" t="n">
        <v>44</v>
      </c>
      <c r="I4115" s="1" t="n">
        <v>3.16</v>
      </c>
    </row>
    <row r="4116" ht="15.75" customHeight="1" s="201">
      <c r="A4116" s="1" t="inlineStr">
        <is>
          <t>Lamb, New Zealand, imported, netted shoulder, rolled, boneless, separable lean only, cooked, slow roasted</t>
        </is>
      </c>
      <c r="C4116" s="1" t="n">
        <v>0</v>
      </c>
      <c r="E4116" s="1" t="n">
        <v>1.38</v>
      </c>
      <c r="F4116" s="1" t="n">
        <v>25.14</v>
      </c>
      <c r="G4116" s="1" t="n">
        <v>10.91</v>
      </c>
      <c r="H4116" s="1" t="n">
        <v>19</v>
      </c>
      <c r="I4116" s="1" t="n">
        <v>5</v>
      </c>
    </row>
    <row r="4117" ht="15.75" customHeight="1" s="201">
      <c r="A4117" s="1" t="inlineStr">
        <is>
          <t>Lamb, New Zealand, imported, netted shoulder, rolled, boneless, separable lean only, raw</t>
        </is>
      </c>
      <c r="C4117" s="1" t="n">
        <v>0</v>
      </c>
      <c r="E4117" s="1" t="n">
        <v>1.16</v>
      </c>
      <c r="F4117" s="1" t="n">
        <v>20.2</v>
      </c>
      <c r="G4117" s="1" t="n">
        <v>6.88</v>
      </c>
      <c r="H4117" s="1" t="n">
        <v>16</v>
      </c>
      <c r="I4117" s="1" t="n">
        <v>3.8</v>
      </c>
      <c r="J4117" t="n">
        <v>23107020</v>
      </c>
    </row>
    <row r="4118" ht="15.75" customHeight="1" s="201">
      <c r="A4118" s="1" t="inlineStr">
        <is>
          <t>Lamb, New Zealand, imported, rack - fully frenched, separable lean and fat, cooked, fast roasted</t>
        </is>
      </c>
      <c r="C4118" s="1" t="n">
        <v>0.01</v>
      </c>
      <c r="E4118" s="1" t="n">
        <v>1.74</v>
      </c>
      <c r="F4118" s="1" t="n">
        <v>23.56</v>
      </c>
      <c r="G4118" s="1" t="n">
        <v>11.2</v>
      </c>
      <c r="H4118" s="1" t="n">
        <v>17</v>
      </c>
      <c r="I4118" s="1" t="n">
        <v>2.52</v>
      </c>
    </row>
    <row r="4119" ht="15.75" customHeight="1" s="201">
      <c r="A4119" s="1" t="inlineStr">
        <is>
          <t>Lamb, New Zealand, imported, rack - fully frenched, separable lean and fat, raw</t>
        </is>
      </c>
      <c r="C4119" s="1" t="n">
        <v>0.05</v>
      </c>
      <c r="E4119" s="1" t="n">
        <v>1.36</v>
      </c>
      <c r="F4119" s="1" t="n">
        <v>19.88</v>
      </c>
      <c r="G4119" s="1" t="n">
        <v>9.960000000000001</v>
      </c>
      <c r="H4119" s="1" t="n">
        <v>23</v>
      </c>
      <c r="I4119" s="1" t="n">
        <v>2.17</v>
      </c>
      <c r="J4119" t="n">
        <v>58126280</v>
      </c>
    </row>
    <row r="4120" ht="15.75" customHeight="1" s="201">
      <c r="A4120" s="1" t="inlineStr">
        <is>
          <t>Lamb, New Zealand, imported, rack - fully frenched, separable lean only, cooked, fast roasted</t>
        </is>
      </c>
      <c r="C4120" s="1" t="n">
        <v>0</v>
      </c>
      <c r="E4120" s="1" t="n">
        <v>1.76</v>
      </c>
      <c r="F4120" s="1" t="n">
        <v>24.39</v>
      </c>
      <c r="G4120" s="1" t="n">
        <v>8.380000000000001</v>
      </c>
      <c r="H4120" s="1" t="n">
        <v>11</v>
      </c>
      <c r="I4120" s="1" t="n">
        <v>2.56</v>
      </c>
    </row>
    <row r="4121" ht="15.75" customHeight="1" s="201">
      <c r="A4121" s="1" t="inlineStr">
        <is>
          <t>Lamb, New Zealand, imported, rack - fully frenched, separable lean only, raw</t>
        </is>
      </c>
      <c r="C4121" s="1" t="n">
        <v>0</v>
      </c>
      <c r="E4121" s="1" t="n">
        <v>1.4</v>
      </c>
      <c r="F4121" s="1" t="n">
        <v>20.61</v>
      </c>
      <c r="G4121" s="1" t="n">
        <v>7.12</v>
      </c>
      <c r="H4121" s="1" t="n">
        <v>17</v>
      </c>
      <c r="I4121" s="1" t="n">
        <v>2.24</v>
      </c>
    </row>
    <row r="4122" ht="15.75" customHeight="1" s="201">
      <c r="A4122" s="1" t="inlineStr">
        <is>
          <t>Lamb, New Zealand, imported, rack - partly frenched, separable lean and fat, cooked, fast roasted</t>
        </is>
      </c>
      <c r="C4122" s="1" t="n">
        <v>0.04</v>
      </c>
      <c r="D4122" s="1" t="n">
        <v>0</v>
      </c>
      <c r="E4122" s="1" t="n">
        <v>1.57</v>
      </c>
      <c r="F4122" s="1" t="n">
        <v>22.06</v>
      </c>
      <c r="G4122" s="1" t="n">
        <v>18.29</v>
      </c>
      <c r="H4122" s="1" t="n">
        <v>33</v>
      </c>
      <c r="I4122" s="1" t="n">
        <v>2.69</v>
      </c>
    </row>
    <row r="4123" ht="15.75" customHeight="1" s="201">
      <c r="A4123" s="1" t="inlineStr">
        <is>
          <t>Lamb, New Zealand, imported, rack - partly frenched, separable lean and fat, raw</t>
        </is>
      </c>
      <c r="C4123" s="1" t="n">
        <v>0.13</v>
      </c>
      <c r="E4123" s="1" t="n">
        <v>1.3</v>
      </c>
      <c r="F4123" s="1" t="n">
        <v>18.12</v>
      </c>
      <c r="G4123" s="1" t="n">
        <v>18.52</v>
      </c>
      <c r="H4123" s="1" t="n">
        <v>37</v>
      </c>
      <c r="I4123" s="1" t="n">
        <v>2.34</v>
      </c>
      <c r="J4123" t="n">
        <v>58126280</v>
      </c>
    </row>
    <row r="4124" ht="15.75" customHeight="1" s="201">
      <c r="A4124" s="1" t="inlineStr">
        <is>
          <t>Lamb, New Zealand, imported, square-cut shoulder chops, separable lean only, cooked, braised</t>
        </is>
      </c>
      <c r="C4124" s="1" t="n">
        <v>0</v>
      </c>
      <c r="E4124" s="1" t="n">
        <v>1.89</v>
      </c>
      <c r="F4124" s="1" t="n">
        <v>31.06</v>
      </c>
      <c r="G4124" s="1" t="n">
        <v>14.56</v>
      </c>
      <c r="H4124" s="1" t="n">
        <v>26</v>
      </c>
      <c r="I4124" s="1" t="n">
        <v>6.2</v>
      </c>
      <c r="J4124" t="n">
        <v>23107020</v>
      </c>
    </row>
    <row r="4125" ht="15.75" customHeight="1" s="201">
      <c r="A4125" s="1" t="inlineStr">
        <is>
          <t>Lamb, New Zealand, imported, square-cut shoulder chops, separable lean only, raw</t>
        </is>
      </c>
      <c r="C4125" s="1" t="n">
        <v>0</v>
      </c>
      <c r="E4125" s="1" t="n">
        <v>1.18</v>
      </c>
      <c r="F4125" s="1" t="n">
        <v>20.62</v>
      </c>
      <c r="G4125" s="1" t="n">
        <v>9.08</v>
      </c>
      <c r="H4125" s="1" t="n">
        <v>21</v>
      </c>
      <c r="I4125" s="1" t="n">
        <v>3.29</v>
      </c>
      <c r="J4125" t="n">
        <v>23107020</v>
      </c>
    </row>
    <row r="4126" ht="15.75" customHeight="1" s="201">
      <c r="A4126" s="1" t="inlineStr">
        <is>
          <t>Lamb, New Zealand, imported, square-cut shoulder, separable lean only, cooked, slow roasted</t>
        </is>
      </c>
      <c r="C4126" s="1" t="n">
        <v>0</v>
      </c>
      <c r="E4126" s="1" t="n">
        <v>1.47</v>
      </c>
      <c r="F4126" s="1" t="n">
        <v>25.08</v>
      </c>
      <c r="G4126" s="1" t="n">
        <v>10.13</v>
      </c>
      <c r="H4126" s="1" t="n">
        <v>4</v>
      </c>
      <c r="I4126" s="1" t="n">
        <v>4.59</v>
      </c>
      <c r="J4126" t="n">
        <v>23107020</v>
      </c>
    </row>
    <row r="4127" ht="15.75" customHeight="1" s="201">
      <c r="A4127" s="1" t="inlineStr">
        <is>
          <t>Lamb, New Zealand, imported, subcutaneous fat, cooked</t>
        </is>
      </c>
      <c r="C4127" s="1" t="n">
        <v>0.62</v>
      </c>
      <c r="E4127" s="1" t="n">
        <v>0.7</v>
      </c>
      <c r="F4127" s="1" t="n">
        <v>5.24</v>
      </c>
      <c r="G4127" s="1" t="n">
        <v>72.28</v>
      </c>
      <c r="H4127" s="1" t="n">
        <v>201</v>
      </c>
      <c r="I4127" s="1" t="n">
        <v>1.03</v>
      </c>
      <c r="J4127" t="n">
        <v>23104000</v>
      </c>
    </row>
    <row r="4128" ht="15.75" customHeight="1" s="201">
      <c r="A4128" s="1" t="inlineStr">
        <is>
          <t>Lamb, New Zealand, imported, subcutaneous fat, raw</t>
        </is>
      </c>
      <c r="C4128" s="1" t="n">
        <v>0.55</v>
      </c>
      <c r="E4128" s="1" t="n">
        <v>0.47</v>
      </c>
      <c r="F4128" s="1" t="n">
        <v>3.87</v>
      </c>
      <c r="G4128" s="1" t="n">
        <v>76.16</v>
      </c>
      <c r="H4128" s="1" t="n">
        <v>146</v>
      </c>
      <c r="I4128" s="1" t="n">
        <v>0.46</v>
      </c>
      <c r="J4128" t="n">
        <v>23104000</v>
      </c>
    </row>
    <row r="4129" ht="15.75" customHeight="1" s="201">
      <c r="A4129" s="1" t="inlineStr">
        <is>
          <t>Lamb, New Zealand, imported, sweetbread, cooked, soaked and simmered</t>
        </is>
      </c>
      <c r="C4129" s="1" t="n">
        <v>0</v>
      </c>
      <c r="E4129" s="1" t="n">
        <v>1.06</v>
      </c>
      <c r="F4129" s="1" t="n">
        <v>21.13</v>
      </c>
      <c r="G4129" s="1" t="n">
        <v>6.61</v>
      </c>
      <c r="H4129" s="1" t="n">
        <v>28</v>
      </c>
      <c r="I4129" s="1" t="n">
        <v>1.93</v>
      </c>
    </row>
    <row r="4130" ht="15.75" customHeight="1" s="201">
      <c r="A4130" s="1" t="inlineStr">
        <is>
          <t>Lamb, New Zealand, imported, sweetbread, raw</t>
        </is>
      </c>
      <c r="C4130" s="1" t="n">
        <v>0</v>
      </c>
      <c r="E4130" s="1" t="n">
        <v>0.54</v>
      </c>
      <c r="F4130" s="1" t="n">
        <v>11</v>
      </c>
      <c r="G4130" s="1" t="n">
        <v>3.16</v>
      </c>
      <c r="H4130" s="1" t="n">
        <v>18</v>
      </c>
      <c r="I4130" s="1" t="n">
        <v>0.98</v>
      </c>
      <c r="J4130" t="n">
        <v>23104000</v>
      </c>
    </row>
    <row r="4131" ht="15.75" customHeight="1" s="201">
      <c r="A4131" s="1" t="inlineStr">
        <is>
          <t>Lamb, New Zealand, imported, tenderloin, separable lean and fat, cooked, fast fried</t>
        </is>
      </c>
      <c r="C4131" s="1" t="n">
        <v>0</v>
      </c>
      <c r="E4131" s="1" t="n">
        <v>2.11</v>
      </c>
      <c r="F4131" s="1" t="n">
        <v>27.87</v>
      </c>
      <c r="G4131" s="1" t="n">
        <v>5</v>
      </c>
      <c r="H4131" s="1" t="n">
        <v>5</v>
      </c>
      <c r="I4131" s="1" t="n">
        <v>2.8</v>
      </c>
      <c r="J4131" t="n">
        <v>26319145</v>
      </c>
    </row>
    <row r="4132" ht="15.75" customHeight="1" s="201">
      <c r="A4132" s="1" t="inlineStr">
        <is>
          <t>Lamb, New Zealand, imported, tenderloin, separable lean only, cooked, fast fried</t>
        </is>
      </c>
      <c r="C4132" s="1" t="n">
        <v>0</v>
      </c>
      <c r="E4132" s="1" t="n">
        <v>2.12</v>
      </c>
      <c r="F4132" s="1" t="n">
        <v>27.94</v>
      </c>
      <c r="G4132" s="1" t="n">
        <v>4.81</v>
      </c>
      <c r="H4132" s="1" t="n">
        <v>5</v>
      </c>
      <c r="I4132" s="1" t="n">
        <v>2.81</v>
      </c>
      <c r="J4132" t="n">
        <v>23104020</v>
      </c>
    </row>
    <row r="4133" ht="15.75" customHeight="1" s="201">
      <c r="A4133" s="1" t="inlineStr">
        <is>
          <t>Lamb, New Zealand, imported, tenderloin, separable lean only, raw</t>
        </is>
      </c>
      <c r="C4133" s="1" t="n">
        <v>0</v>
      </c>
      <c r="E4133" s="1" t="n">
        <v>1.63</v>
      </c>
      <c r="F4133" s="1" t="n">
        <v>20.53</v>
      </c>
      <c r="G4133" s="1" t="n">
        <v>3.81</v>
      </c>
      <c r="H4133" s="1" t="n">
        <v>5</v>
      </c>
      <c r="I4133" s="1" t="n">
        <v>2.16</v>
      </c>
      <c r="J4133" t="n">
        <v>23104020</v>
      </c>
    </row>
    <row r="4134" ht="15.75" customHeight="1" s="201">
      <c r="A4134" s="1" t="inlineStr">
        <is>
          <t>Lamb, New Zealand, imported, testes, cooked, soaked and fried</t>
        </is>
      </c>
      <c r="C4134" s="1" t="n">
        <v>0</v>
      </c>
      <c r="E4134" s="1" t="n">
        <v>1.69</v>
      </c>
      <c r="F4134" s="1" t="n">
        <v>21.01</v>
      </c>
      <c r="G4134" s="1" t="n">
        <v>4.56</v>
      </c>
      <c r="H4134" s="1" t="n">
        <v>72</v>
      </c>
      <c r="I4134" s="1" t="n">
        <v>2.12</v>
      </c>
    </row>
    <row r="4135" ht="15.75" customHeight="1" s="201">
      <c r="A4135" s="1" t="inlineStr">
        <is>
          <t>Lamb, New Zealand, imported, testes, raw</t>
        </is>
      </c>
      <c r="C4135" s="1" t="n">
        <v>0.14</v>
      </c>
      <c r="E4135" s="1" t="n">
        <v>1.14</v>
      </c>
      <c r="F4135" s="1" t="n">
        <v>11.4</v>
      </c>
      <c r="G4135" s="1" t="n">
        <v>2.38</v>
      </c>
      <c r="H4135" s="1" t="n">
        <v>34</v>
      </c>
      <c r="I4135" s="1" t="n">
        <v>1.14</v>
      </c>
      <c r="J4135" t="n">
        <v>23104000</v>
      </c>
    </row>
    <row r="4136" ht="15.75" customHeight="1" s="201">
      <c r="A4136" s="1" t="inlineStr">
        <is>
          <t>Lamb, New Zealand, imported, tongue - swiss cut, cooked, soaked and simmered</t>
        </is>
      </c>
      <c r="C4136" s="1" t="n">
        <v>0.86</v>
      </c>
      <c r="E4136" s="1" t="n">
        <v>1.74</v>
      </c>
      <c r="F4136" s="1" t="n">
        <v>17.51</v>
      </c>
      <c r="G4136" s="1" t="n">
        <v>22.04</v>
      </c>
      <c r="H4136" s="1" t="n">
        <v>5</v>
      </c>
      <c r="I4136" s="1" t="n">
        <v>2.07</v>
      </c>
    </row>
    <row r="4137" ht="15.75" customHeight="1" s="201">
      <c r="A4137" s="1" t="inlineStr">
        <is>
          <t>Lamb, New Zealand, imported, tongue - swiss cut, raw</t>
        </is>
      </c>
      <c r="C4137" s="1" t="n">
        <v>0</v>
      </c>
      <c r="E4137" s="1" t="n">
        <v>1.25</v>
      </c>
      <c r="F4137" s="1" t="n">
        <v>14.27</v>
      </c>
      <c r="G4137" s="1" t="n">
        <v>18.61</v>
      </c>
      <c r="H4137" s="1" t="n">
        <v>18</v>
      </c>
      <c r="I4137" s="1" t="n">
        <v>1.55</v>
      </c>
      <c r="J4137" t="n">
        <v>53108200</v>
      </c>
    </row>
    <row r="4138" ht="15.75" customHeight="1" s="201">
      <c r="A4138" s="1" t="inlineStr">
        <is>
          <t>Lamb, New Zealand, imported, tunnel-boned leg, chump off, shank off, separable lean and fat, cooked, slow roasted</t>
        </is>
      </c>
      <c r="C4138" s="1" t="n">
        <v>0.03</v>
      </c>
      <c r="E4138" s="1" t="n">
        <v>1.64</v>
      </c>
      <c r="F4138" s="1" t="n">
        <v>23.41</v>
      </c>
      <c r="G4138" s="1" t="n">
        <v>12.68</v>
      </c>
      <c r="H4138" s="1" t="n">
        <v>24</v>
      </c>
      <c r="I4138" s="1" t="n">
        <v>3.45</v>
      </c>
    </row>
    <row r="4139" ht="15.75" customHeight="1" s="201">
      <c r="A4139" s="1" t="inlineStr">
        <is>
          <t>Lamb, New Zealand, imported, tunnel-boned leg, chump off, shank off, separable lean only, cooked, slow roasted</t>
        </is>
      </c>
      <c r="C4139" s="1" t="n">
        <v>0</v>
      </c>
      <c r="E4139" s="1" t="n">
        <v>1.71</v>
      </c>
      <c r="F4139" s="1" t="n">
        <v>25.29</v>
      </c>
      <c r="G4139" s="1" t="n">
        <v>6.44</v>
      </c>
      <c r="H4139" s="1" t="n">
        <v>8</v>
      </c>
      <c r="I4139" s="1" t="n">
        <v>3.69</v>
      </c>
    </row>
    <row r="4140" ht="15.75" customHeight="1" s="201">
      <c r="A4140" s="1" t="inlineStr">
        <is>
          <t>Lamb, New Zealand, imported, tunnel-boned leg, chump off, shank off, separable lean only, raw</t>
        </is>
      </c>
      <c r="C4140" s="1" t="n">
        <v>0</v>
      </c>
      <c r="E4140" s="1" t="n">
        <v>1.4</v>
      </c>
      <c r="F4140" s="1" t="n">
        <v>20.93</v>
      </c>
      <c r="G4140" s="1" t="n">
        <v>4.09</v>
      </c>
      <c r="H4140" s="1" t="n">
        <v>11</v>
      </c>
      <c r="I4140" s="1" t="n">
        <v>3.26</v>
      </c>
    </row>
    <row r="4141" ht="15.75" customHeight="1" s="201">
      <c r="A4141" s="1" t="inlineStr">
        <is>
          <t>Lamb, rib, separable lean and fat, trimmed to 1/4" fat, choice, cooked, broiled</t>
        </is>
      </c>
      <c r="C4141" s="1" t="n">
        <v>0</v>
      </c>
      <c r="D4141" s="1" t="n">
        <v>14</v>
      </c>
      <c r="E4141" s="1" t="n">
        <v>1.88</v>
      </c>
      <c r="F4141" s="1" t="n">
        <v>22.13</v>
      </c>
      <c r="G4141" s="1" t="n">
        <v>29.59</v>
      </c>
      <c r="H4141" s="1" t="n">
        <v>0</v>
      </c>
      <c r="I4141" s="1" t="n">
        <v>4</v>
      </c>
      <c r="J4141" t="n">
        <v>23104010</v>
      </c>
    </row>
    <row r="4142" ht="15.75" customHeight="1" s="201">
      <c r="A4142" s="1" t="inlineStr">
        <is>
          <t>Lamb, rib, separable lean and fat, trimmed to 1/4" fat, choice, cooked, roasted</t>
        </is>
      </c>
      <c r="C4142" s="1" t="n">
        <v>0</v>
      </c>
      <c r="D4142" s="1" t="n">
        <v>15</v>
      </c>
      <c r="E4142" s="1" t="n">
        <v>1.6</v>
      </c>
      <c r="F4142" s="1" t="n">
        <v>21.12</v>
      </c>
      <c r="G4142" s="1" t="n">
        <v>29.82</v>
      </c>
      <c r="H4142" s="1" t="n">
        <v>0</v>
      </c>
      <c r="I4142" s="1" t="n">
        <v>3.49</v>
      </c>
      <c r="J4142" t="n">
        <v>23104010</v>
      </c>
    </row>
    <row r="4143" ht="15.75" customHeight="1" s="201">
      <c r="A4143" s="1" t="inlineStr">
        <is>
          <t>Lamb, rib, separable lean and fat, trimmed to 1/4" fat, choice, raw</t>
        </is>
      </c>
      <c r="C4143" s="1" t="n">
        <v>0</v>
      </c>
      <c r="D4143" s="1" t="n">
        <v>14</v>
      </c>
      <c r="E4143" s="1" t="n">
        <v>1.39</v>
      </c>
      <c r="F4143" s="1" t="n">
        <v>14.52</v>
      </c>
      <c r="G4143" s="1" t="n">
        <v>34.39</v>
      </c>
      <c r="H4143" s="1" t="n">
        <v>0</v>
      </c>
      <c r="I4143" s="1" t="n">
        <v>2.71</v>
      </c>
      <c r="J4143" t="n">
        <v>58126280</v>
      </c>
    </row>
    <row r="4144" ht="15.75" customHeight="1" s="201">
      <c r="A4144" s="1" t="inlineStr">
        <is>
          <t>Lamb, rib, separable lean and fat, trimmed to 1/8" fat, choice, cooked, broiled</t>
        </is>
      </c>
      <c r="C4144" s="1" t="n">
        <v>0</v>
      </c>
      <c r="D4144" s="1" t="n">
        <v>15</v>
      </c>
      <c r="E4144" s="1" t="n">
        <v>1.93</v>
      </c>
      <c r="F4144" s="1" t="n">
        <v>23.06</v>
      </c>
      <c r="G4144" s="1" t="n">
        <v>26.82</v>
      </c>
      <c r="H4144" s="1" t="n">
        <v>0</v>
      </c>
      <c r="I4144" s="1" t="n">
        <v>4.21</v>
      </c>
      <c r="J4144" t="n">
        <v>23104010</v>
      </c>
    </row>
    <row r="4145" ht="15.75" customHeight="1" s="201">
      <c r="A4145" s="1" t="inlineStr">
        <is>
          <t>Lamb, rib, separable lean and fat, trimmed to 1/8" fat, choice, cooked, roasted</t>
        </is>
      </c>
      <c r="C4145" s="1" t="n">
        <v>0</v>
      </c>
      <c r="D4145" s="1" t="n">
        <v>16</v>
      </c>
      <c r="E4145" s="1" t="n">
        <v>1.62</v>
      </c>
      <c r="F4145" s="1" t="n">
        <v>21.82</v>
      </c>
      <c r="G4145" s="1" t="n">
        <v>27.53</v>
      </c>
      <c r="H4145" s="1" t="n">
        <v>0</v>
      </c>
      <c r="I4145" s="1" t="n">
        <v>3.62</v>
      </c>
      <c r="J4145" t="n">
        <v>23104010</v>
      </c>
    </row>
    <row r="4146" ht="15.75" customHeight="1" s="201">
      <c r="A4146" s="1" t="inlineStr">
        <is>
          <t>Lamb, rib, separable lean and fat, trimmed to 1/8" fat, choice, raw</t>
        </is>
      </c>
      <c r="C4146" s="1" t="n">
        <v>0</v>
      </c>
      <c r="D4146" s="1" t="n">
        <v>15</v>
      </c>
      <c r="E4146" s="1" t="n">
        <v>1.43</v>
      </c>
      <c r="F4146" s="1" t="n">
        <v>15.32</v>
      </c>
      <c r="G4146" s="1" t="n">
        <v>30.71</v>
      </c>
      <c r="H4146" s="1" t="n">
        <v>0</v>
      </c>
      <c r="I4146" s="1" t="n">
        <v>2.87</v>
      </c>
      <c r="J4146" t="n">
        <v>58126280</v>
      </c>
    </row>
    <row r="4147" ht="15.75" customHeight="1" s="201">
      <c r="A4147" s="1" t="inlineStr">
        <is>
          <t>Lamb, rib, separable lean only, trimmed to 1/4" fat, choice, cooked, broiled</t>
        </is>
      </c>
      <c r="C4147" s="1" t="n">
        <v>0</v>
      </c>
      <c r="D4147" s="1" t="n">
        <v>21</v>
      </c>
      <c r="E4147" s="1" t="n">
        <v>2.21</v>
      </c>
      <c r="F4147" s="1" t="n">
        <v>27.74</v>
      </c>
      <c r="G4147" s="1" t="n">
        <v>12.95</v>
      </c>
      <c r="H4147" s="1" t="n">
        <v>0</v>
      </c>
      <c r="I4147" s="1" t="n">
        <v>5.27</v>
      </c>
      <c r="J4147" t="n">
        <v>23104020</v>
      </c>
    </row>
    <row r="4148" ht="15.75" customHeight="1" s="201">
      <c r="A4148" s="1" t="inlineStr">
        <is>
          <t>Lamb, rib, separable lean only, trimmed to 1/4" fat, choice, cooked, roasted</t>
        </is>
      </c>
      <c r="C4148" s="1" t="n">
        <v>0</v>
      </c>
      <c r="D4148" s="1" t="n">
        <v>22</v>
      </c>
      <c r="E4148" s="1" t="n">
        <v>1.77</v>
      </c>
      <c r="F4148" s="1" t="n">
        <v>26.16</v>
      </c>
      <c r="G4148" s="1" t="n">
        <v>13.31</v>
      </c>
      <c r="H4148" s="1" t="n">
        <v>0</v>
      </c>
      <c r="I4148" s="1" t="n">
        <v>4.47</v>
      </c>
      <c r="J4148" t="n">
        <v>23104020</v>
      </c>
    </row>
    <row r="4149" ht="15.75" customHeight="1" s="201">
      <c r="A4149" s="1" t="inlineStr">
        <is>
          <t>Lamb, rib, separable lean only, trimmed to 1/4" fat, choice, raw</t>
        </is>
      </c>
      <c r="C4149" s="1" t="n">
        <v>0</v>
      </c>
      <c r="D4149" s="1" t="n">
        <v>21</v>
      </c>
      <c r="E4149" s="1" t="n">
        <v>1.67</v>
      </c>
      <c r="F4149" s="1" t="n">
        <v>19.98</v>
      </c>
      <c r="G4149" s="1" t="n">
        <v>9.23</v>
      </c>
      <c r="H4149" s="1" t="n">
        <v>0</v>
      </c>
      <c r="I4149" s="1" t="n">
        <v>3.8</v>
      </c>
      <c r="J4149" t="n">
        <v>23104020</v>
      </c>
    </row>
    <row r="4150" ht="15.75" customHeight="1" s="201">
      <c r="A4150" s="1" t="inlineStr">
        <is>
          <t>Lamb, shoulder, arm, separable lean and fat, trimmed to 1/4" fat, choice, cooked, braised</t>
        </is>
      </c>
      <c r="C4150" s="1" t="n">
        <v>0</v>
      </c>
      <c r="D4150" s="1" t="n">
        <v>18</v>
      </c>
      <c r="E4150" s="1" t="n">
        <v>2.39</v>
      </c>
      <c r="F4150" s="1" t="n">
        <v>30.39</v>
      </c>
      <c r="G4150" s="1" t="n">
        <v>24</v>
      </c>
      <c r="H4150" s="1" t="n">
        <v>0</v>
      </c>
      <c r="I4150" s="1" t="n">
        <v>6.08</v>
      </c>
      <c r="J4150" t="n">
        <v>23107010</v>
      </c>
    </row>
    <row r="4151" ht="15.75" customHeight="1" s="201">
      <c r="A4151" s="1" t="inlineStr">
        <is>
          <t>Lamb, shoulder, arm, separable lean and fat, trimmed to 1/4" fat, choice, cooked, broiled</t>
        </is>
      </c>
      <c r="C4151" s="1" t="n">
        <v>0</v>
      </c>
      <c r="D4151" s="1" t="n">
        <v>18</v>
      </c>
      <c r="E4151" s="1" t="n">
        <v>2.09</v>
      </c>
      <c r="F4151" s="1" t="n">
        <v>24.44</v>
      </c>
      <c r="G4151" s="1" t="n">
        <v>19.55</v>
      </c>
      <c r="H4151" s="1" t="n">
        <v>0</v>
      </c>
      <c r="I4151" s="1" t="n">
        <v>4.89</v>
      </c>
      <c r="J4151" t="n">
        <v>23107010</v>
      </c>
    </row>
    <row r="4152" ht="15.75" customHeight="1" s="201">
      <c r="A4152" s="1" t="inlineStr">
        <is>
          <t>Lamb, shoulder, arm, separable lean and fat, trimmed to 1/4" fat, choice, cooked, roasted</t>
        </is>
      </c>
      <c r="C4152" s="1" t="n">
        <v>0</v>
      </c>
      <c r="D4152" s="1" t="n">
        <v>20</v>
      </c>
      <c r="E4152" s="1" t="n">
        <v>2.03</v>
      </c>
      <c r="F4152" s="1" t="n">
        <v>22.53</v>
      </c>
      <c r="G4152" s="1" t="n">
        <v>20.24</v>
      </c>
      <c r="H4152" s="1" t="n">
        <v>0</v>
      </c>
      <c r="I4152" s="1" t="n">
        <v>4.48</v>
      </c>
      <c r="J4152" t="n">
        <v>23107010</v>
      </c>
    </row>
    <row r="4153" ht="15.75" customHeight="1" s="201">
      <c r="A4153" s="1" t="inlineStr">
        <is>
          <t>Lamb, shoulder, arm, separable lean and fat, trimmed to 1/4" fat, choice, raw</t>
        </is>
      </c>
      <c r="C4153" s="1" t="n">
        <v>0</v>
      </c>
      <c r="D4153" s="1" t="n">
        <v>19</v>
      </c>
      <c r="E4153" s="1" t="n">
        <v>1.56</v>
      </c>
      <c r="F4153" s="1" t="n">
        <v>16.79</v>
      </c>
      <c r="G4153" s="1" t="n">
        <v>20.9</v>
      </c>
      <c r="H4153" s="1" t="n">
        <v>0</v>
      </c>
      <c r="I4153" s="1" t="n">
        <v>3.43</v>
      </c>
      <c r="J4153" t="n">
        <v>23107010</v>
      </c>
    </row>
    <row r="4154" ht="15.75" customHeight="1" s="201">
      <c r="A4154" s="1" t="inlineStr">
        <is>
          <t>Lamb, shoulder, arm, separable lean and fat, trimmed to 1/8" fat, choice, cooked, braised</t>
        </is>
      </c>
      <c r="C4154" s="1" t="n">
        <v>0</v>
      </c>
      <c r="D4154" s="1" t="n">
        <v>19</v>
      </c>
      <c r="E4154" s="1" t="n">
        <v>2.43</v>
      </c>
      <c r="F4154" s="1" t="n">
        <v>31.1</v>
      </c>
      <c r="G4154" s="1" t="n">
        <v>22.65</v>
      </c>
      <c r="H4154" s="1" t="n">
        <v>0</v>
      </c>
      <c r="I4154" s="1" t="n">
        <v>6.24</v>
      </c>
      <c r="J4154" t="n">
        <v>23107010</v>
      </c>
    </row>
    <row r="4155" ht="15.75" customHeight="1" s="201">
      <c r="A4155" s="1" t="inlineStr">
        <is>
          <t>Lamb, shoulder, arm, separable lean and fat, trimmed to 1/8" fat, choice, raw</t>
        </is>
      </c>
      <c r="C4155" s="1" t="n">
        <v>0</v>
      </c>
      <c r="D4155" s="1" t="n">
        <v>19</v>
      </c>
      <c r="E4155" s="1" t="n">
        <v>1.58</v>
      </c>
      <c r="F4155" s="1" t="n">
        <v>17.19</v>
      </c>
      <c r="G4155" s="1" t="n">
        <v>18.94</v>
      </c>
      <c r="H4155" s="1" t="n">
        <v>0</v>
      </c>
      <c r="I4155" s="1" t="n">
        <v>3.52</v>
      </c>
      <c r="J4155" t="n">
        <v>23107010</v>
      </c>
    </row>
    <row r="4156" ht="15.75" customHeight="1" s="201">
      <c r="A4156" s="1" t="inlineStr">
        <is>
          <t>Lamb, shoulder, arm, separable lean and fat, trimmed to 1/8" fat, choice, roasted</t>
        </is>
      </c>
      <c r="C4156" s="1" t="n">
        <v>0</v>
      </c>
      <c r="D4156" s="1" t="n">
        <v>21</v>
      </c>
      <c r="E4156" s="1" t="n">
        <v>2.05</v>
      </c>
      <c r="F4156" s="1" t="n">
        <v>22.93</v>
      </c>
      <c r="G4156" s="1" t="n">
        <v>18.75</v>
      </c>
      <c r="H4156" s="1" t="n">
        <v>0</v>
      </c>
      <c r="I4156" s="1" t="n">
        <v>4.58</v>
      </c>
      <c r="J4156" t="n">
        <v>23107010</v>
      </c>
    </row>
    <row r="4157" ht="15.75" customHeight="1" s="201">
      <c r="A4157" s="1" t="inlineStr">
        <is>
          <t>Lamb, shoulder, arm, separable lean and fat, trimmed to 1/8" fat, cooked, broiled</t>
        </is>
      </c>
      <c r="C4157" s="1" t="n">
        <v>0</v>
      </c>
      <c r="D4157" s="1" t="n">
        <v>19</v>
      </c>
      <c r="E4157" s="1" t="n">
        <v>2.12</v>
      </c>
      <c r="F4157" s="1" t="n">
        <v>24.91</v>
      </c>
      <c r="G4157" s="1" t="n">
        <v>18.05</v>
      </c>
      <c r="H4157" s="1" t="n">
        <v>0</v>
      </c>
      <c r="I4157" s="1" t="n">
        <v>5.01</v>
      </c>
      <c r="J4157" t="n">
        <v>23107010</v>
      </c>
    </row>
    <row r="4158" ht="15.75" customHeight="1" s="201">
      <c r="A4158" s="1" t="inlineStr">
        <is>
          <t>Lamb, shoulder, arm, separable lean only, trimmed to 1/4" fat, choice, cooked, braised</t>
        </is>
      </c>
      <c r="C4158" s="1" t="n">
        <v>0</v>
      </c>
      <c r="D4158" s="1" t="n">
        <v>22</v>
      </c>
      <c r="E4158" s="1" t="n">
        <v>2.7</v>
      </c>
      <c r="F4158" s="1" t="n">
        <v>35.54</v>
      </c>
      <c r="G4158" s="1" t="n">
        <v>14.08</v>
      </c>
      <c r="H4158" s="1" t="n">
        <v>0</v>
      </c>
      <c r="I4158" s="1" t="n">
        <v>7.3</v>
      </c>
      <c r="J4158" t="n">
        <v>23107020</v>
      </c>
    </row>
    <row r="4159" ht="15.75" customHeight="1" s="201">
      <c r="A4159" s="1" t="inlineStr">
        <is>
          <t>Lamb, shoulder, arm, separable lean only, trimmed to 1/4" fat, choice, cooked, broiled</t>
        </is>
      </c>
      <c r="C4159" s="1" t="n">
        <v>0</v>
      </c>
      <c r="D4159" s="1" t="n">
        <v>23</v>
      </c>
      <c r="E4159" s="1" t="n">
        <v>2.31</v>
      </c>
      <c r="F4159" s="1" t="n">
        <v>27.71</v>
      </c>
      <c r="G4159" s="1" t="n">
        <v>9.02</v>
      </c>
      <c r="H4159" s="1" t="n">
        <v>0</v>
      </c>
      <c r="I4159" s="1" t="n">
        <v>5.73</v>
      </c>
      <c r="J4159" t="n">
        <v>23107020</v>
      </c>
    </row>
    <row r="4160" ht="15.75" customHeight="1" s="201">
      <c r="A4160" s="1" t="inlineStr">
        <is>
          <t>Lamb, shoulder, arm, separable lean only, trimmed to 1/4" fat, choice, cooked, roasted</t>
        </is>
      </c>
      <c r="C4160" s="1" t="n">
        <v>0</v>
      </c>
      <c r="D4160" s="1" t="n">
        <v>25</v>
      </c>
      <c r="E4160" s="1" t="n">
        <v>2.23</v>
      </c>
      <c r="F4160" s="1" t="n">
        <v>25.46</v>
      </c>
      <c r="G4160" s="1" t="n">
        <v>9.26</v>
      </c>
      <c r="H4160" s="1" t="n">
        <v>0</v>
      </c>
      <c r="I4160" s="1" t="n">
        <v>5.25</v>
      </c>
      <c r="J4160" t="n">
        <v>23107020</v>
      </c>
    </row>
    <row r="4161" ht="15.75" customHeight="1" s="201">
      <c r="A4161" s="1" t="inlineStr">
        <is>
          <t>Lamb, shoulder, arm, separable lean only, trimmed to 1/4" fat, choice, raw</t>
        </is>
      </c>
      <c r="C4161" s="1" t="n">
        <v>0</v>
      </c>
      <c r="D4161" s="1" t="n">
        <v>24</v>
      </c>
      <c r="E4161" s="1" t="n">
        <v>1.74</v>
      </c>
      <c r="F4161" s="1" t="n">
        <v>19.99</v>
      </c>
      <c r="G4161" s="1" t="n">
        <v>5.2</v>
      </c>
      <c r="H4161" s="1" t="n">
        <v>0</v>
      </c>
      <c r="I4161" s="1" t="n">
        <v>4.15</v>
      </c>
      <c r="J4161" t="n">
        <v>23107020</v>
      </c>
    </row>
    <row r="4162" ht="15.75" customHeight="1" s="201">
      <c r="A4162" s="1" t="inlineStr">
        <is>
          <t>Lamb, shoulder, blade, separable lean and fat, trimmed to 1/4" fat, choice, cooked, braised</t>
        </is>
      </c>
      <c r="C4162" s="1" t="n">
        <v>0</v>
      </c>
      <c r="D4162" s="1" t="n">
        <v>18</v>
      </c>
      <c r="E4162" s="1" t="n">
        <v>2.35</v>
      </c>
      <c r="F4162" s="1" t="n">
        <v>28.51</v>
      </c>
      <c r="G4162" s="1" t="n">
        <v>24.73</v>
      </c>
      <c r="H4162" s="1" t="n">
        <v>0</v>
      </c>
      <c r="I4162" s="1" t="n">
        <v>6.86</v>
      </c>
      <c r="J4162" t="n">
        <v>23107010</v>
      </c>
    </row>
    <row r="4163" ht="15.75" customHeight="1" s="201">
      <c r="A4163" s="1" t="inlineStr">
        <is>
          <t>Lamb, shoulder, blade, separable lean and fat, trimmed to 1/4" fat, choice, cooked, broiled</t>
        </is>
      </c>
      <c r="C4163" s="1" t="n">
        <v>0</v>
      </c>
      <c r="D4163" s="1" t="n">
        <v>18</v>
      </c>
      <c r="E4163" s="1" t="n">
        <v>1.72</v>
      </c>
      <c r="F4163" s="1" t="n">
        <v>23.08</v>
      </c>
      <c r="G4163" s="1" t="n">
        <v>19.94</v>
      </c>
      <c r="H4163" s="1" t="n">
        <v>0</v>
      </c>
      <c r="I4163" s="1" t="n">
        <v>5.62</v>
      </c>
      <c r="J4163" t="n">
        <v>23107010</v>
      </c>
    </row>
    <row r="4164" ht="15.75" customHeight="1" s="201">
      <c r="A4164" s="1" t="inlineStr">
        <is>
          <t>Lamb, shoulder, blade, separable lean and fat, trimmed to 1/4" fat, choice, cooked, roasted</t>
        </is>
      </c>
      <c r="C4164" s="1" t="n">
        <v>0</v>
      </c>
      <c r="D4164" s="1" t="n">
        <v>21</v>
      </c>
      <c r="E4164" s="1" t="n">
        <v>1.92</v>
      </c>
      <c r="F4164" s="1" t="n">
        <v>22.25</v>
      </c>
      <c r="G4164" s="1" t="n">
        <v>20.61</v>
      </c>
      <c r="H4164" s="1" t="n">
        <v>0</v>
      </c>
      <c r="I4164" s="1" t="n">
        <v>5.58</v>
      </c>
      <c r="J4164" t="n">
        <v>23107010</v>
      </c>
    </row>
    <row r="4165" ht="15.75" customHeight="1" s="201">
      <c r="A4165" s="1" t="inlineStr">
        <is>
          <t>Lamb, shoulder, blade, separable lean and fat, trimmed to 1/4" fat, choice, raw</t>
        </is>
      </c>
      <c r="C4165" s="1" t="n">
        <v>0</v>
      </c>
      <c r="D4165" s="1" t="n">
        <v>19</v>
      </c>
      <c r="E4165" s="1" t="n">
        <v>1.48</v>
      </c>
      <c r="F4165" s="1" t="n">
        <v>16.63</v>
      </c>
      <c r="G4165" s="1" t="n">
        <v>20.86</v>
      </c>
      <c r="H4165" s="1" t="n">
        <v>0</v>
      </c>
      <c r="I4165" s="1" t="n">
        <v>4.28</v>
      </c>
      <c r="J4165" t="n">
        <v>23107010</v>
      </c>
    </row>
    <row r="4166" ht="15.75" customHeight="1" s="201">
      <c r="A4166" s="1" t="inlineStr">
        <is>
          <t>Lamb, shoulder, blade, separable lean and fat, trimmed to 1/8" fat, choice, cooked, braised</t>
        </is>
      </c>
      <c r="C4166" s="1" t="n">
        <v>0</v>
      </c>
      <c r="D4166" s="1" t="n">
        <v>18</v>
      </c>
      <c r="E4166" s="1" t="n">
        <v>2.38</v>
      </c>
      <c r="F4166" s="1" t="n">
        <v>28.92</v>
      </c>
      <c r="G4166" s="1" t="n">
        <v>23.88</v>
      </c>
      <c r="H4166" s="1" t="n">
        <v>0</v>
      </c>
      <c r="I4166" s="1" t="n">
        <v>6.98</v>
      </c>
      <c r="J4166" t="n">
        <v>23107010</v>
      </c>
    </row>
    <row r="4167" ht="15.75" customHeight="1" s="201">
      <c r="A4167" s="1" t="inlineStr">
        <is>
          <t>Lamb, shoulder, blade, separable lean and fat, trimmed to 1/8" fat, choice, cooked, broiled</t>
        </is>
      </c>
      <c r="C4167" s="1" t="n">
        <v>0</v>
      </c>
      <c r="D4167" s="1" t="n">
        <v>18</v>
      </c>
      <c r="E4167" s="1" t="n">
        <v>1.73</v>
      </c>
      <c r="F4167" s="1" t="n">
        <v>23.48</v>
      </c>
      <c r="G4167" s="1" t="n">
        <v>18.5</v>
      </c>
      <c r="H4167" s="1" t="n">
        <v>0</v>
      </c>
      <c r="I4167" s="1" t="n">
        <v>5.77</v>
      </c>
      <c r="J4167" t="n">
        <v>23107010</v>
      </c>
    </row>
    <row r="4168" ht="15.75" customHeight="1" s="201">
      <c r="A4168" s="1" t="inlineStr">
        <is>
          <t>Lamb, shoulder, blade, separable lean and fat, trimmed to 1/8" fat, choice, cooked, roasted</t>
        </is>
      </c>
      <c r="C4168" s="1" t="n">
        <v>0</v>
      </c>
      <c r="D4168" s="1" t="n">
        <v>21</v>
      </c>
      <c r="E4168" s="1" t="n">
        <v>1.95</v>
      </c>
      <c r="F4168" s="1" t="n">
        <v>22.62</v>
      </c>
      <c r="G4168" s="1" t="n">
        <v>19.19</v>
      </c>
      <c r="H4168" s="1" t="n">
        <v>0</v>
      </c>
      <c r="I4168" s="1" t="n">
        <v>5.72</v>
      </c>
      <c r="J4168" t="n">
        <v>23107010</v>
      </c>
    </row>
    <row r="4169" ht="15.75" customHeight="1" s="201">
      <c r="A4169" s="1" t="inlineStr">
        <is>
          <t>Lamb, shoulder, blade, separable lean and fat, trimmed to 1/8" fat, choice, raw</t>
        </is>
      </c>
      <c r="C4169" s="1" t="n">
        <v>0</v>
      </c>
      <c r="D4169" s="1" t="n">
        <v>20</v>
      </c>
      <c r="E4169" s="1" t="n">
        <v>1.5</v>
      </c>
      <c r="F4169" s="1" t="n">
        <v>17.01</v>
      </c>
      <c r="G4169" s="1" t="n">
        <v>18.97</v>
      </c>
      <c r="H4169" s="1" t="n">
        <v>0</v>
      </c>
      <c r="I4169" s="1" t="n">
        <v>4.4</v>
      </c>
      <c r="J4169" t="n">
        <v>23107010</v>
      </c>
    </row>
    <row r="4170" ht="15.75" customHeight="1" s="201">
      <c r="A4170" s="1" t="inlineStr">
        <is>
          <t>Lamb, shoulder, blade, separable lean only, trimmed to 1/4" fat, choice, cooked, braised</t>
        </is>
      </c>
      <c r="C4170" s="1" t="n">
        <v>0</v>
      </c>
      <c r="D4170" s="1" t="n">
        <v>21</v>
      </c>
      <c r="E4170" s="1" t="n">
        <v>2.6</v>
      </c>
      <c r="F4170" s="1" t="n">
        <v>32.35</v>
      </c>
      <c r="G4170" s="1" t="n">
        <v>16.64</v>
      </c>
      <c r="H4170" s="1" t="n">
        <v>0</v>
      </c>
      <c r="I4170" s="1" t="n">
        <v>8.06</v>
      </c>
      <c r="J4170" t="n">
        <v>23107020</v>
      </c>
    </row>
    <row r="4171" ht="15.75" customHeight="1" s="201">
      <c r="A4171" s="1" t="inlineStr">
        <is>
          <t>Lamb, shoulder, blade, separable lean only, trimmed to 1/4" fat, choice, cooked, broiled</t>
        </is>
      </c>
      <c r="C4171" s="1" t="n">
        <v>0</v>
      </c>
      <c r="D4171" s="1" t="n">
        <v>21</v>
      </c>
      <c r="E4171" s="1" t="n">
        <v>1.81</v>
      </c>
      <c r="F4171" s="1" t="n">
        <v>25.48</v>
      </c>
      <c r="G4171" s="1" t="n">
        <v>11.32</v>
      </c>
      <c r="H4171" s="1" t="n">
        <v>0</v>
      </c>
      <c r="I4171" s="1" t="n">
        <v>6.48</v>
      </c>
      <c r="J4171" t="n">
        <v>23107020</v>
      </c>
    </row>
    <row r="4172" ht="15.75" customHeight="1" s="201">
      <c r="A4172" s="1" t="inlineStr">
        <is>
          <t>Lamb, shoulder, blade, separable lean only, trimmed to 1/4" fat, choice, cooked, roasted</t>
        </is>
      </c>
      <c r="C4172" s="1" t="n">
        <v>0</v>
      </c>
      <c r="D4172" s="1" t="n">
        <v>25</v>
      </c>
      <c r="E4172" s="1" t="n">
        <v>2.07</v>
      </c>
      <c r="F4172" s="1" t="n">
        <v>24.61</v>
      </c>
      <c r="G4172" s="1" t="n">
        <v>11.57</v>
      </c>
      <c r="H4172" s="1" t="n">
        <v>0</v>
      </c>
      <c r="I4172" s="1" t="n">
        <v>6.48</v>
      </c>
      <c r="J4172" t="n">
        <v>23107020</v>
      </c>
    </row>
    <row r="4173" ht="15.75" customHeight="1" s="201">
      <c r="A4173" s="1" t="inlineStr">
        <is>
          <t>Lamb, shoulder, blade, separable lean only, trimmed to 1/4" fat, choice, raw</t>
        </is>
      </c>
      <c r="C4173" s="1" t="n">
        <v>0</v>
      </c>
      <c r="D4173" s="1" t="n">
        <v>23</v>
      </c>
      <c r="E4173" s="1" t="n">
        <v>1.62</v>
      </c>
      <c r="F4173" s="1" t="n">
        <v>19.29</v>
      </c>
      <c r="G4173" s="1" t="n">
        <v>7.63</v>
      </c>
      <c r="H4173" s="1" t="n">
        <v>0</v>
      </c>
      <c r="I4173" s="1" t="n">
        <v>5.11</v>
      </c>
      <c r="J4173" t="n">
        <v>23107020</v>
      </c>
    </row>
    <row r="4174" ht="15.75" customHeight="1" s="201">
      <c r="A4174" s="1" t="inlineStr">
        <is>
          <t>Lamb, shoulder, whole (arm and blade), separable lean and fat, trimmed to 1/4" fat, choice, cooked, braised</t>
        </is>
      </c>
      <c r="C4174" s="1" t="n">
        <v>0</v>
      </c>
      <c r="D4174" s="1" t="n">
        <v>17</v>
      </c>
      <c r="E4174" s="1" t="n">
        <v>2.4</v>
      </c>
      <c r="F4174" s="1" t="n">
        <v>28.68</v>
      </c>
      <c r="G4174" s="1" t="n">
        <v>24.55</v>
      </c>
      <c r="H4174" s="1" t="n">
        <v>0</v>
      </c>
      <c r="I4174" s="1" t="n">
        <v>6.37</v>
      </c>
      <c r="J4174" t="n">
        <v>23107010</v>
      </c>
    </row>
    <row r="4175" ht="15.75" customHeight="1" s="201">
      <c r="A4175" s="1" t="inlineStr">
        <is>
          <t>Lamb, shoulder, whole (arm and blade), separable lean and fat, trimmed to 1/4" fat, choice, cooked, broiled</t>
        </is>
      </c>
      <c r="C4175" s="1" t="n">
        <v>0</v>
      </c>
      <c r="D4175" s="1" t="n">
        <v>19</v>
      </c>
      <c r="E4175" s="1" t="n">
        <v>2.03</v>
      </c>
      <c r="F4175" s="1" t="n">
        <v>24.42</v>
      </c>
      <c r="G4175" s="1" t="n">
        <v>19.26</v>
      </c>
      <c r="H4175" s="1" t="n">
        <v>0</v>
      </c>
      <c r="I4175" s="1" t="n">
        <v>5.72</v>
      </c>
      <c r="J4175" t="n">
        <v>23107010</v>
      </c>
    </row>
    <row r="4176" ht="15.75" customHeight="1" s="201">
      <c r="A4176" s="1" t="inlineStr">
        <is>
          <t>Lamb, shoulder, whole (arm and blade), separable lean and fat, trimmed to 1/4" fat, choice, cooked, roasted</t>
        </is>
      </c>
      <c r="C4176" s="1" t="n">
        <v>0</v>
      </c>
      <c r="D4176" s="1" t="n">
        <v>21</v>
      </c>
      <c r="E4176" s="1" t="n">
        <v>1.97</v>
      </c>
      <c r="F4176" s="1" t="n">
        <v>22.51</v>
      </c>
      <c r="G4176" s="1" t="n">
        <v>19.97</v>
      </c>
      <c r="H4176" s="1" t="n">
        <v>0</v>
      </c>
      <c r="I4176" s="1" t="n">
        <v>5.23</v>
      </c>
      <c r="J4176" t="n">
        <v>23107010</v>
      </c>
    </row>
    <row r="4177" ht="15.75" customHeight="1" s="201">
      <c r="A4177" s="1" t="inlineStr">
        <is>
          <t>Lamb, shoulder, whole (arm and blade), separable lean and fat, trimmed to 1/4" fat, choice, raw</t>
        </is>
      </c>
      <c r="C4177" s="1" t="n">
        <v>0</v>
      </c>
      <c r="D4177" s="1" t="n">
        <v>19</v>
      </c>
      <c r="E4177" s="1" t="n">
        <v>1.5</v>
      </c>
      <c r="F4177" s="1" t="n">
        <v>16.58</v>
      </c>
      <c r="G4177" s="1" t="n">
        <v>21.45</v>
      </c>
      <c r="H4177" s="1" t="n">
        <v>0</v>
      </c>
      <c r="I4177" s="1" t="n">
        <v>3.94</v>
      </c>
      <c r="J4177" t="n">
        <v>23107010</v>
      </c>
    </row>
    <row r="4178" ht="15.75" customHeight="1" s="201">
      <c r="A4178" s="1" t="inlineStr">
        <is>
          <t>Lamb, shoulder, whole (arm and blade), separable lean and fat, trimmed to 1/8" fat, choice, cooked, braised</t>
        </is>
      </c>
      <c r="C4178" s="1" t="n">
        <v>0</v>
      </c>
      <c r="D4178" s="1" t="n">
        <v>18</v>
      </c>
      <c r="E4178" s="1" t="n">
        <v>2.39</v>
      </c>
      <c r="F4178" s="1" t="n">
        <v>29.46</v>
      </c>
      <c r="G4178" s="1" t="n">
        <v>23.57</v>
      </c>
      <c r="H4178" s="1" t="n">
        <v>0</v>
      </c>
      <c r="I4178" s="1" t="n">
        <v>6.8</v>
      </c>
      <c r="J4178" t="n">
        <v>23107010</v>
      </c>
    </row>
    <row r="4179" ht="15.75" customHeight="1" s="201">
      <c r="A4179" s="1" t="inlineStr">
        <is>
          <t>Lamb, shoulder, whole (arm and blade), separable lean and fat, trimmed to 1/8" fat, choice, cooked, broiled</t>
        </is>
      </c>
      <c r="C4179" s="1" t="n">
        <v>0</v>
      </c>
      <c r="D4179" s="1" t="n">
        <v>18</v>
      </c>
      <c r="E4179" s="1" t="n">
        <v>1.83</v>
      </c>
      <c r="F4179" s="1" t="n">
        <v>23.84</v>
      </c>
      <c r="G4179" s="1" t="n">
        <v>18.39</v>
      </c>
      <c r="H4179" s="1" t="n">
        <v>0</v>
      </c>
      <c r="I4179" s="1" t="n">
        <v>5.58</v>
      </c>
      <c r="J4179" t="n">
        <v>23107010</v>
      </c>
    </row>
    <row r="4180" ht="15.75" customHeight="1" s="201">
      <c r="A4180" s="1" t="inlineStr">
        <is>
          <t>Lamb, shoulder, whole (arm and blade), separable lean and fat, trimmed to 1/8" fat, choice, cooked, roasted</t>
        </is>
      </c>
      <c r="C4180" s="1" t="n">
        <v>0</v>
      </c>
      <c r="D4180" s="1" t="n">
        <v>21</v>
      </c>
      <c r="E4180" s="1" t="n">
        <v>1.97</v>
      </c>
      <c r="F4180" s="1" t="n">
        <v>22.7</v>
      </c>
      <c r="G4180" s="1" t="n">
        <v>19.08</v>
      </c>
      <c r="H4180" s="1" t="n">
        <v>0</v>
      </c>
      <c r="I4180" s="1" t="n">
        <v>5.44</v>
      </c>
      <c r="J4180" t="n">
        <v>23107010</v>
      </c>
    </row>
    <row r="4181" ht="15.75" customHeight="1" s="201">
      <c r="A4181" s="1" t="inlineStr">
        <is>
          <t>Lamb, shoulder, whole (arm and blade), separable lean and fat, trimmed to 1/8" fat, choice, raw</t>
        </is>
      </c>
      <c r="C4181" s="1" t="n">
        <v>0</v>
      </c>
      <c r="D4181" s="1" t="n">
        <v>19</v>
      </c>
      <c r="E4181" s="1" t="n">
        <v>1.53</v>
      </c>
      <c r="F4181" s="1" t="n">
        <v>17.07</v>
      </c>
      <c r="G4181" s="1" t="n">
        <v>18.96</v>
      </c>
      <c r="H4181" s="1" t="n">
        <v>0</v>
      </c>
      <c r="I4181" s="1" t="n">
        <v>4.12</v>
      </c>
      <c r="J4181" t="n">
        <v>23107010</v>
      </c>
    </row>
    <row r="4182" ht="15.75" customHeight="1" s="201">
      <c r="A4182" s="1" t="inlineStr">
        <is>
          <t>Lamb, shoulder, whole (arm and blade), separable lean only, trimmed to 1/4" fat, choice, cooked, braised</t>
        </is>
      </c>
      <c r="C4182" s="1" t="n">
        <v>0</v>
      </c>
      <c r="D4182" s="1" t="n">
        <v>21</v>
      </c>
      <c r="E4182" s="1" t="n">
        <v>2.67</v>
      </c>
      <c r="F4182" s="1" t="n">
        <v>32.81</v>
      </c>
      <c r="G4182" s="1" t="n">
        <v>15.89</v>
      </c>
      <c r="H4182" s="1" t="n">
        <v>0</v>
      </c>
      <c r="I4182" s="1" t="n">
        <v>7.52</v>
      </c>
      <c r="J4182" t="n">
        <v>23107020</v>
      </c>
    </row>
    <row r="4183" ht="15.75" customHeight="1" s="201">
      <c r="A4183" s="1" t="inlineStr">
        <is>
          <t>Lamb, shoulder, whole (arm and blade), separable lean only, trimmed to 1/4" fat, choice, cooked, broiled</t>
        </is>
      </c>
      <c r="C4183" s="1" t="n">
        <v>0</v>
      </c>
      <c r="D4183" s="1" t="n">
        <v>23</v>
      </c>
      <c r="E4183" s="1" t="n">
        <v>2.19</v>
      </c>
      <c r="F4183" s="1" t="n">
        <v>27.12</v>
      </c>
      <c r="G4183" s="1" t="n">
        <v>10.5</v>
      </c>
      <c r="H4183" s="1" t="n">
        <v>0</v>
      </c>
      <c r="I4183" s="1" t="n">
        <v>6.6</v>
      </c>
      <c r="J4183" t="n">
        <v>23107020</v>
      </c>
    </row>
    <row r="4184" ht="15.75" customHeight="1" s="201">
      <c r="A4184" s="1" t="inlineStr">
        <is>
          <t>Lamb, shoulder, whole (arm and blade), separable lean only, trimmed to 1/4" fat, choice, cooked, roasted</t>
        </is>
      </c>
      <c r="C4184" s="1" t="n">
        <v>0</v>
      </c>
      <c r="D4184" s="1" t="n">
        <v>25</v>
      </c>
      <c r="E4184" s="1" t="n">
        <v>2.13</v>
      </c>
      <c r="F4184" s="1" t="n">
        <v>24.94</v>
      </c>
      <c r="G4184" s="1" t="n">
        <v>10.77</v>
      </c>
      <c r="H4184" s="1" t="n">
        <v>0</v>
      </c>
      <c r="I4184" s="1" t="n">
        <v>6.04</v>
      </c>
      <c r="J4184" t="n">
        <v>23107020</v>
      </c>
    </row>
    <row r="4185" ht="15.75" customHeight="1" s="201">
      <c r="A4185" s="1" t="inlineStr">
        <is>
          <t>Lamb, shoulder, whole (arm and blade), separable lean only, trimmed to 1/4" fat, choice, raw</t>
        </is>
      </c>
      <c r="C4185" s="1" t="n">
        <v>0</v>
      </c>
      <c r="D4185" s="1" t="n">
        <v>23</v>
      </c>
      <c r="E4185" s="1" t="n">
        <v>1.66</v>
      </c>
      <c r="F4185" s="1" t="n">
        <v>19.55</v>
      </c>
      <c r="G4185" s="1" t="n">
        <v>6.76</v>
      </c>
      <c r="H4185" s="1" t="n">
        <v>0</v>
      </c>
      <c r="I4185" s="1" t="n">
        <v>4.77</v>
      </c>
      <c r="J4185" t="n">
        <v>23107020</v>
      </c>
    </row>
    <row r="4186" ht="15.75" customHeight="1" s="201">
      <c r="A4186" s="1" t="inlineStr">
        <is>
          <t>Lamb, variety meats and by-products, brain, cooked, braised</t>
        </is>
      </c>
      <c r="C4186" s="1" t="n">
        <v>0</v>
      </c>
      <c r="D4186" s="1" t="n">
        <v>5</v>
      </c>
      <c r="E4186" s="1" t="n">
        <v>1.68</v>
      </c>
      <c r="F4186" s="1" t="n">
        <v>12.55</v>
      </c>
      <c r="G4186" s="1" t="n">
        <v>10.17</v>
      </c>
      <c r="H4186" s="1" t="n">
        <v>0</v>
      </c>
      <c r="I4186" s="1" t="n">
        <v>1.36</v>
      </c>
    </row>
    <row r="4187" ht="15.75" customHeight="1" s="201">
      <c r="A4187" s="1" t="inlineStr">
        <is>
          <t>Lamb, variety meats and by-products, brain, cooked, pan-fried</t>
        </is>
      </c>
      <c r="C4187" s="1" t="n">
        <v>0</v>
      </c>
      <c r="D4187" s="1" t="n">
        <v>7</v>
      </c>
      <c r="E4187" s="1" t="n">
        <v>2.04</v>
      </c>
      <c r="F4187" s="1" t="n">
        <v>16.97</v>
      </c>
      <c r="G4187" s="1" t="n">
        <v>22.19</v>
      </c>
      <c r="H4187" s="1" t="n">
        <v>0</v>
      </c>
      <c r="I4187" s="1" t="n">
        <v>2</v>
      </c>
    </row>
    <row r="4188" ht="15.75" customHeight="1" s="201">
      <c r="A4188" s="1" t="inlineStr">
        <is>
          <t>Lamb, variety meats and by-products, brain, raw</t>
        </is>
      </c>
      <c r="C4188" s="1" t="n">
        <v>0</v>
      </c>
      <c r="D4188" s="1" t="n">
        <v>3</v>
      </c>
      <c r="E4188" s="1" t="n">
        <v>1.75</v>
      </c>
      <c r="F4188" s="1" t="n">
        <v>10.4</v>
      </c>
      <c r="G4188" s="1" t="n">
        <v>8.58</v>
      </c>
      <c r="H4188" s="1" t="n">
        <v>0</v>
      </c>
      <c r="I4188" s="1" t="n">
        <v>1.17</v>
      </c>
    </row>
    <row r="4189" ht="15.75" customHeight="1" s="201">
      <c r="A4189" s="1" t="inlineStr">
        <is>
          <t>Lamb, variety meats and by-products, heart, cooked, braised</t>
        </is>
      </c>
      <c r="C4189" s="1" t="n">
        <v>1.93</v>
      </c>
      <c r="D4189" s="1" t="n">
        <v>2</v>
      </c>
      <c r="E4189" s="1" t="n">
        <v>5.52</v>
      </c>
      <c r="F4189" s="1" t="n">
        <v>24.97</v>
      </c>
      <c r="G4189" s="1" t="n">
        <v>7.91</v>
      </c>
      <c r="H4189" s="1" t="n">
        <v>0</v>
      </c>
      <c r="I4189" s="1" t="n">
        <v>3.68</v>
      </c>
      <c r="J4189" t="n">
        <v>57301530</v>
      </c>
    </row>
    <row r="4190" ht="15.75" customHeight="1" s="201">
      <c r="A4190" s="1" t="inlineStr">
        <is>
          <t>Lamb, variety meats and by-products, heart, raw</t>
        </is>
      </c>
      <c r="C4190" s="1" t="n">
        <v>0.21</v>
      </c>
      <c r="D4190" s="1" t="n">
        <v>2</v>
      </c>
      <c r="E4190" s="1" t="n">
        <v>4.6</v>
      </c>
      <c r="F4190" s="1" t="n">
        <v>16.47</v>
      </c>
      <c r="G4190" s="1" t="n">
        <v>5.68</v>
      </c>
      <c r="H4190" s="1" t="n">
        <v>0</v>
      </c>
      <c r="I4190" s="1" t="n">
        <v>1.87</v>
      </c>
      <c r="J4190" t="n">
        <v>57301530</v>
      </c>
    </row>
    <row r="4191" ht="15.75" customHeight="1" s="201">
      <c r="A4191" s="1" t="inlineStr">
        <is>
          <t>Lamb, variety meats and by-products, kidneys, cooked, braised</t>
        </is>
      </c>
      <c r="C4191" s="1" t="n">
        <v>0.99</v>
      </c>
      <c r="D4191" s="1" t="n">
        <v>81</v>
      </c>
      <c r="E4191" s="1" t="n">
        <v>12.4</v>
      </c>
      <c r="F4191" s="1" t="n">
        <v>23.65</v>
      </c>
      <c r="G4191" s="1" t="n">
        <v>3.62</v>
      </c>
      <c r="H4191" s="1" t="n">
        <v>455</v>
      </c>
      <c r="I4191" s="1" t="n">
        <v>3.8</v>
      </c>
    </row>
    <row r="4192" ht="15.75" customHeight="1" s="201">
      <c r="A4192" s="1" t="inlineStr">
        <is>
          <t>Lamb, variety meats and by-products, kidneys, raw</t>
        </is>
      </c>
      <c r="C4192" s="1" t="n">
        <v>0.82</v>
      </c>
      <c r="D4192" s="1" t="n">
        <v>28</v>
      </c>
      <c r="E4192" s="1" t="n">
        <v>6.38</v>
      </c>
      <c r="F4192" s="1" t="n">
        <v>15.74</v>
      </c>
      <c r="G4192" s="1" t="n">
        <v>2.95</v>
      </c>
      <c r="H4192" s="1" t="n">
        <v>316</v>
      </c>
      <c r="I4192" s="1" t="n">
        <v>2.24</v>
      </c>
    </row>
    <row r="4193" ht="15.75" customHeight="1" s="201">
      <c r="A4193" s="1" t="inlineStr">
        <is>
          <t>Lamb, variety meats and by-products, liver, cooked, braised</t>
        </is>
      </c>
      <c r="C4193" s="1" t="n">
        <v>2.53</v>
      </c>
      <c r="D4193" s="1" t="n">
        <v>73</v>
      </c>
      <c r="E4193" s="1" t="n">
        <v>8.279999999999999</v>
      </c>
      <c r="F4193" s="1" t="n">
        <v>30.57</v>
      </c>
      <c r="G4193" s="1" t="n">
        <v>8.81</v>
      </c>
      <c r="H4193" s="1" t="n">
        <v>24945</v>
      </c>
      <c r="I4193" s="1" t="n">
        <v>7.89</v>
      </c>
      <c r="J4193" t="n">
        <v>25230560</v>
      </c>
    </row>
    <row r="4194" ht="15.75" customHeight="1" s="201">
      <c r="A4194" s="1" t="inlineStr">
        <is>
          <t>Lamb, variety meats and by-products, liver, cooked, pan-fried</t>
        </is>
      </c>
      <c r="C4194" s="1" t="n">
        <v>3.78</v>
      </c>
      <c r="D4194" s="1" t="n">
        <v>400</v>
      </c>
      <c r="E4194" s="1" t="n">
        <v>10.2</v>
      </c>
      <c r="F4194" s="1" t="n">
        <v>25.53</v>
      </c>
      <c r="G4194" s="1" t="n">
        <v>12.65</v>
      </c>
      <c r="H4194" s="1" t="n">
        <v>25998</v>
      </c>
      <c r="I4194" s="1" t="n">
        <v>5.63</v>
      </c>
      <c r="J4194" t="n">
        <v>25230560</v>
      </c>
    </row>
    <row r="4195" ht="15.75" customHeight="1" s="201">
      <c r="A4195" s="1" t="inlineStr">
        <is>
          <t>Lamb, variety meats and by-products, liver, raw</t>
        </is>
      </c>
      <c r="C4195" s="1" t="n">
        <v>1.78</v>
      </c>
      <c r="D4195" s="1" t="n">
        <v>230</v>
      </c>
      <c r="E4195" s="1" t="n">
        <v>7.37</v>
      </c>
      <c r="F4195" s="1" t="n">
        <v>20.38</v>
      </c>
      <c r="G4195" s="1" t="n">
        <v>5.02</v>
      </c>
      <c r="H4195" s="1" t="n">
        <v>24612</v>
      </c>
      <c r="I4195" s="1" t="n">
        <v>4.66</v>
      </c>
      <c r="J4195" t="n">
        <v>25230560</v>
      </c>
    </row>
    <row r="4196" ht="15.75" customHeight="1" s="201">
      <c r="A4196" s="1" t="inlineStr">
        <is>
          <t>Lamb, variety meats and by-products, lungs, cooked, braised</t>
        </is>
      </c>
      <c r="C4196" s="1" t="n">
        <v>0</v>
      </c>
      <c r="D4196" s="1" t="n">
        <v>8</v>
      </c>
      <c r="E4196" s="1" t="n">
        <v>4.57</v>
      </c>
      <c r="F4196" s="1" t="n">
        <v>19.88</v>
      </c>
      <c r="G4196" s="1" t="n">
        <v>3.1</v>
      </c>
      <c r="H4196" s="1" t="n">
        <v>106</v>
      </c>
      <c r="I4196" s="1" t="n">
        <v>1.93</v>
      </c>
    </row>
    <row r="4197" ht="15.75" customHeight="1" s="201">
      <c r="A4197" s="1" t="inlineStr">
        <is>
          <t>Lamb, variety meats and by-products, lungs, raw</t>
        </is>
      </c>
      <c r="C4197" s="1" t="n">
        <v>0</v>
      </c>
      <c r="D4197" s="1" t="n">
        <v>12</v>
      </c>
      <c r="E4197" s="1" t="n">
        <v>6.4</v>
      </c>
      <c r="F4197" s="1" t="n">
        <v>16.7</v>
      </c>
      <c r="G4197" s="1" t="n">
        <v>2.6</v>
      </c>
      <c r="H4197" s="1" t="n">
        <v>89</v>
      </c>
      <c r="I4197" s="1" t="n">
        <v>1.8</v>
      </c>
    </row>
    <row r="4198" ht="15.75" customHeight="1" s="201">
      <c r="A4198" s="1" t="inlineStr">
        <is>
          <t>Lamb, variety meats and by-products, mechanically separated, raw</t>
        </is>
      </c>
      <c r="C4198" s="1" t="n">
        <v>0</v>
      </c>
      <c r="D4198" s="1" t="n">
        <v>5</v>
      </c>
      <c r="E4198" s="1" t="n">
        <v>5.9</v>
      </c>
      <c r="F4198" s="1" t="n">
        <v>14.97</v>
      </c>
      <c r="G4198" s="1" t="n">
        <v>23.54</v>
      </c>
      <c r="H4198" s="1" t="n">
        <v>0</v>
      </c>
      <c r="I4198" s="1" t="n">
        <v>3.72</v>
      </c>
    </row>
    <row r="4199" ht="15.75" customHeight="1" s="201">
      <c r="A4199" s="1" t="inlineStr">
        <is>
          <t>Lamb, variety meats and by-products, pancreas, cooked, braised</t>
        </is>
      </c>
      <c r="C4199" s="1" t="n">
        <v>0</v>
      </c>
      <c r="D4199" s="1" t="n">
        <v>13</v>
      </c>
      <c r="E4199" s="1" t="n">
        <v>2.12</v>
      </c>
      <c r="F4199" s="1" t="n">
        <v>22.83</v>
      </c>
      <c r="G4199" s="1" t="n">
        <v>15.12</v>
      </c>
      <c r="H4199" s="1" t="n">
        <v>0</v>
      </c>
      <c r="I4199" s="1" t="n">
        <v>2.68</v>
      </c>
    </row>
    <row r="4200" ht="15.75" customHeight="1" s="201">
      <c r="A4200" s="1" t="inlineStr">
        <is>
          <t>Lamb, variety meats and by-products, pancreas, raw</t>
        </is>
      </c>
      <c r="C4200" s="1" t="n">
        <v>0</v>
      </c>
      <c r="D4200" s="1" t="n">
        <v>13</v>
      </c>
      <c r="E4200" s="1" t="n">
        <v>2.3</v>
      </c>
      <c r="F4200" s="1" t="n">
        <v>14.84</v>
      </c>
      <c r="G4200" s="1" t="n">
        <v>9.82</v>
      </c>
      <c r="H4200" s="1" t="n">
        <v>0</v>
      </c>
      <c r="I4200" s="1" t="n">
        <v>1.93</v>
      </c>
    </row>
    <row r="4201" ht="15.75" customHeight="1" s="201">
      <c r="A4201" s="1" t="inlineStr">
        <is>
          <t>Lamb, variety meats and by-products, spleen, cooked, braised</t>
        </is>
      </c>
      <c r="C4201" s="1" t="n">
        <v>0</v>
      </c>
      <c r="D4201" s="1" t="n">
        <v>4</v>
      </c>
      <c r="E4201" s="1" t="n">
        <v>38.67</v>
      </c>
      <c r="F4201" s="1" t="n">
        <v>26.46</v>
      </c>
      <c r="G4201" s="1" t="n">
        <v>4.77</v>
      </c>
      <c r="H4201" s="1" t="n">
        <v>0</v>
      </c>
      <c r="I4201" s="1" t="n">
        <v>3.94</v>
      </c>
    </row>
    <row r="4202" ht="15.75" customHeight="1" s="201">
      <c r="A4202" s="1" t="inlineStr">
        <is>
          <t>Lamb, variety meats and by-products, spleen, raw</t>
        </is>
      </c>
      <c r="C4202" s="1" t="n">
        <v>0</v>
      </c>
      <c r="D4202" s="1" t="n">
        <v>4</v>
      </c>
      <c r="E4202" s="1" t="n">
        <v>41.89</v>
      </c>
      <c r="F4202" s="1" t="n">
        <v>17.2</v>
      </c>
      <c r="G4202" s="1" t="n">
        <v>3.1</v>
      </c>
      <c r="H4202" s="1" t="n">
        <v>0</v>
      </c>
      <c r="I4202" s="1" t="n">
        <v>2.84</v>
      </c>
    </row>
    <row r="4203" ht="15.75" customHeight="1" s="201">
      <c r="A4203" s="1" t="inlineStr">
        <is>
          <t>Lamb, variety meats and by-products, tongue, cooked, braised</t>
        </is>
      </c>
      <c r="C4203" s="1" t="n">
        <v>0</v>
      </c>
      <c r="D4203" s="1" t="n">
        <v>3</v>
      </c>
      <c r="E4203" s="1" t="n">
        <v>2.63</v>
      </c>
      <c r="F4203" s="1" t="n">
        <v>21.57</v>
      </c>
      <c r="G4203" s="1" t="n">
        <v>20.28</v>
      </c>
      <c r="H4203" s="1" t="n">
        <v>0</v>
      </c>
      <c r="I4203" s="1" t="n">
        <v>2.99</v>
      </c>
    </row>
    <row r="4204" ht="15.75" customHeight="1" s="201">
      <c r="A4204" s="1" t="inlineStr">
        <is>
          <t>Lamb, variety meats and by-products, tongue, raw</t>
        </is>
      </c>
      <c r="C4204" s="1" t="n">
        <v>0</v>
      </c>
      <c r="D4204" s="1" t="n">
        <v>4</v>
      </c>
      <c r="E4204" s="1" t="n">
        <v>2.65</v>
      </c>
      <c r="F4204" s="1" t="n">
        <v>15.7</v>
      </c>
      <c r="G4204" s="1" t="n">
        <v>17.17</v>
      </c>
      <c r="H4204" s="1" t="n">
        <v>0</v>
      </c>
      <c r="I4204" s="1" t="n">
        <v>2.32</v>
      </c>
    </row>
    <row r="4205" ht="15.75" customHeight="1" s="201">
      <c r="A4205" s="1" t="inlineStr">
        <is>
          <t>Lambsquarters, cooked, boiled, drained, with salt</t>
        </is>
      </c>
      <c r="C4205" s="1" t="n">
        <v>5</v>
      </c>
      <c r="D4205" s="1" t="n">
        <v>14</v>
      </c>
      <c r="E4205" s="1" t="n">
        <v>0.7</v>
      </c>
      <c r="F4205" s="1" t="n">
        <v>3.2</v>
      </c>
      <c r="G4205" s="1" t="n">
        <v>0.7</v>
      </c>
      <c r="H4205" s="1" t="n">
        <v>7816</v>
      </c>
      <c r="I4205" s="1" t="n">
        <v>0.3</v>
      </c>
      <c r="J4205" t="n">
        <v>75142550</v>
      </c>
    </row>
    <row r="4206" ht="15.75" customHeight="1" s="201">
      <c r="A4206" s="1" t="inlineStr">
        <is>
          <t>Lambsquarters, cooked, boiled, drained, without salt</t>
        </is>
      </c>
      <c r="C4206" s="1" t="n">
        <v>5</v>
      </c>
      <c r="D4206" s="1" t="n">
        <v>14</v>
      </c>
      <c r="E4206" s="1" t="n">
        <v>0.7</v>
      </c>
      <c r="F4206" s="1" t="n">
        <v>3.2</v>
      </c>
      <c r="G4206" s="1" t="n">
        <v>0.7</v>
      </c>
      <c r="H4206" s="1" t="n">
        <v>7816</v>
      </c>
      <c r="I4206" s="1" t="n">
        <v>0.3</v>
      </c>
      <c r="J4206" t="n">
        <v>31103010</v>
      </c>
    </row>
    <row r="4207" ht="15.75" customHeight="1" s="201">
      <c r="A4207" s="1" t="inlineStr">
        <is>
          <t>Lambsquarters, raw</t>
        </is>
      </c>
      <c r="C4207" s="1" t="n">
        <v>7.3</v>
      </c>
      <c r="D4207" s="1" t="n">
        <v>30</v>
      </c>
      <c r="E4207" s="1" t="n">
        <v>1.2</v>
      </c>
      <c r="F4207" s="1" t="n">
        <v>4.2</v>
      </c>
      <c r="G4207" s="1" t="n">
        <v>0.8</v>
      </c>
      <c r="H4207" s="1" t="n">
        <v>11600</v>
      </c>
      <c r="I4207" s="1" t="n">
        <v>0.44</v>
      </c>
    </row>
    <row r="4208" ht="15.75" customHeight="1" s="201">
      <c r="A4208" s="1" t="inlineStr">
        <is>
          <t>Lambsquarters, raw (Northern Plains Indians)</t>
        </is>
      </c>
      <c r="C4208" s="1" t="n">
        <v>6.96</v>
      </c>
      <c r="D4208" s="1" t="n">
        <v>48</v>
      </c>
      <c r="E4208" s="1" t="n">
        <v>1.16</v>
      </c>
      <c r="F4208" s="1" t="n">
        <v>4.21</v>
      </c>
      <c r="G4208" s="1" t="n">
        <v>0.28</v>
      </c>
      <c r="H4208" s="1" t="n">
        <v>1952</v>
      </c>
      <c r="I4208" s="1" t="n">
        <v>0.72</v>
      </c>
    </row>
    <row r="4209" ht="15.75" customHeight="1" s="201">
      <c r="A4209" s="1" t="inlineStr">
        <is>
          <t>Lambsquarters, steamed (Northern Plains Indians)</t>
        </is>
      </c>
      <c r="C4209" s="1" t="n">
        <v>7.47</v>
      </c>
      <c r="E4209" s="1" t="n">
        <v>1.15</v>
      </c>
      <c r="F4209" s="1" t="n">
        <v>4.06</v>
      </c>
      <c r="G4209" s="1" t="n">
        <v>0.16</v>
      </c>
      <c r="H4209" s="1" t="n">
        <v>3882</v>
      </c>
      <c r="I4209" s="1" t="n">
        <v>0.61</v>
      </c>
      <c r="J4209" t="n">
        <v>58112510</v>
      </c>
    </row>
    <row r="4210" ht="15.75" customHeight="1" s="201">
      <c r="A4210" s="1" t="inlineStr">
        <is>
          <t>Lard</t>
        </is>
      </c>
      <c r="C4210" s="1" t="n">
        <v>0</v>
      </c>
      <c r="D4210" s="1" t="n">
        <v>0</v>
      </c>
      <c r="E4210" s="1" t="n">
        <v>0</v>
      </c>
      <c r="F4210" s="1" t="n">
        <v>0</v>
      </c>
      <c r="G4210" s="1" t="n">
        <v>100</v>
      </c>
      <c r="H4210" s="1" t="n">
        <v>0</v>
      </c>
      <c r="I4210" s="1" t="n">
        <v>0.11</v>
      </c>
    </row>
    <row r="4211" ht="15.75" customHeight="1" s="201">
      <c r="A4211" s="1" t="inlineStr">
        <is>
          <t>Lasagna with meat &amp; sauce, frozen entree</t>
        </is>
      </c>
      <c r="C4211" s="1" t="n">
        <v>14.39</v>
      </c>
      <c r="D4211" s="1" t="n">
        <v>14</v>
      </c>
      <c r="E4211" s="1" t="n">
        <v>0.65</v>
      </c>
      <c r="F4211" s="1" t="n">
        <v>6.63</v>
      </c>
      <c r="G4211" s="1" t="n">
        <v>4.42</v>
      </c>
      <c r="H4211" s="1" t="n">
        <v>437</v>
      </c>
      <c r="I4211" s="1" t="n">
        <v>0.79</v>
      </c>
      <c r="J4211" t="n">
        <v>58301050</v>
      </c>
    </row>
    <row r="4212" ht="15.75" customHeight="1" s="201">
      <c r="A4212" s="1" t="inlineStr">
        <is>
          <t>Lasagna with meat &amp; sauce, low-fat, frozen entree</t>
        </is>
      </c>
      <c r="C4212" s="1" t="n">
        <v>13.5</v>
      </c>
      <c r="D4212" s="1" t="n">
        <v>38</v>
      </c>
      <c r="E4212" s="1" t="n">
        <v>0.97</v>
      </c>
      <c r="F4212" s="1" t="n">
        <v>6.81</v>
      </c>
      <c r="G4212" s="1" t="n">
        <v>2.23</v>
      </c>
      <c r="I4212" s="1" t="n">
        <v>0.86</v>
      </c>
      <c r="J4212" t="n">
        <v>58301050</v>
      </c>
    </row>
    <row r="4213" ht="15.75" customHeight="1" s="201">
      <c r="A4213" s="1" t="inlineStr">
        <is>
          <t>Lasagna with meat sauce, frozen, prepared</t>
        </is>
      </c>
      <c r="C4213" s="1" t="n">
        <v>15.36</v>
      </c>
      <c r="D4213" s="1" t="n">
        <v>24</v>
      </c>
      <c r="E4213" s="1" t="n">
        <v>0.71</v>
      </c>
      <c r="F4213" s="1" t="n">
        <v>7.28</v>
      </c>
      <c r="G4213" s="1" t="n">
        <v>4.92</v>
      </c>
      <c r="H4213" s="1" t="n">
        <v>437</v>
      </c>
      <c r="I4213" s="1" t="n">
        <v>0.87</v>
      </c>
      <c r="J4213" t="n">
        <v>58301050</v>
      </c>
    </row>
    <row r="4214" ht="15.75" customHeight="1" s="201">
      <c r="A4214" s="1" t="inlineStr">
        <is>
          <t>Lasagna, cheese, frozen, prepared</t>
        </is>
      </c>
      <c r="C4214" s="1" t="n">
        <v>13.84</v>
      </c>
      <c r="D4214" s="1" t="n">
        <v>32</v>
      </c>
      <c r="E4214" s="1" t="n">
        <v>1.27</v>
      </c>
      <c r="F4214" s="1" t="n">
        <v>6.54</v>
      </c>
      <c r="G4214" s="1" t="n">
        <v>5.33</v>
      </c>
      <c r="H4214" s="1" t="n">
        <v>277</v>
      </c>
      <c r="I4214" s="1" t="n">
        <v>0.91</v>
      </c>
      <c r="J4214" t="n">
        <v>58301050</v>
      </c>
    </row>
    <row r="4215" ht="15.75" customHeight="1" s="201">
      <c r="A4215" s="1" t="inlineStr">
        <is>
          <t>Lasagna, cheese, frozen, unprepared</t>
        </is>
      </c>
      <c r="C4215" s="1" t="n">
        <v>21.61</v>
      </c>
      <c r="D4215" s="1" t="n">
        <v>44</v>
      </c>
      <c r="E4215" s="1" t="n">
        <v>0.76</v>
      </c>
      <c r="F4215" s="1" t="n">
        <v>5.06</v>
      </c>
      <c r="G4215" s="1" t="n">
        <v>4.22</v>
      </c>
      <c r="H4215" s="1" t="n">
        <v>199</v>
      </c>
      <c r="I4215" s="1" t="n">
        <v>0.63</v>
      </c>
      <c r="J4215" t="n">
        <v>58301050</v>
      </c>
    </row>
    <row r="4216" ht="15.75" customHeight="1" s="201">
      <c r="A4216" s="1" t="inlineStr">
        <is>
          <t>Lasagna, Vegetable, frozen, baked</t>
        </is>
      </c>
      <c r="C4216" s="1" t="n">
        <v>14.18</v>
      </c>
      <c r="D4216" s="1" t="n">
        <v>14</v>
      </c>
      <c r="E4216" s="1" t="n">
        <v>0.55</v>
      </c>
      <c r="F4216" s="1" t="n">
        <v>6.87</v>
      </c>
      <c r="G4216" s="1" t="n">
        <v>6.04</v>
      </c>
      <c r="H4216" s="1" t="n">
        <v>647</v>
      </c>
      <c r="I4216" s="1" t="n">
        <v>0.87</v>
      </c>
      <c r="J4216" t="n">
        <v>58301050</v>
      </c>
    </row>
    <row r="4217" ht="15.75" customHeight="1" s="201">
      <c r="A4217" s="1" t="inlineStr">
        <is>
          <t>LEAN POCKETS, Ham N Cheddar</t>
        </is>
      </c>
      <c r="C4217" s="1" t="n">
        <v>32.52</v>
      </c>
      <c r="D4217" s="1" t="n">
        <v>54</v>
      </c>
      <c r="E4217" s="1" t="n">
        <v>2.15</v>
      </c>
      <c r="F4217" s="1" t="n">
        <v>10.28</v>
      </c>
      <c r="G4217" s="1" t="n">
        <v>6.53</v>
      </c>
      <c r="H4217" s="1" t="n">
        <v>0</v>
      </c>
      <c r="I4217" s="1" t="n">
        <v>1.21</v>
      </c>
      <c r="J4217" t="n">
        <v>58126280</v>
      </c>
    </row>
    <row r="4218" ht="15.75" customHeight="1" s="201">
      <c r="A4218" s="1" t="inlineStr">
        <is>
          <t>Lean Pockets, Meatballs &amp; Mozzarella</t>
        </is>
      </c>
      <c r="C4218" s="1" t="n">
        <v>32.28</v>
      </c>
      <c r="E4218" s="1" t="n">
        <v>2.06</v>
      </c>
      <c r="F4218" s="1" t="n">
        <v>10.49</v>
      </c>
      <c r="G4218" s="1" t="n">
        <v>7.7</v>
      </c>
      <c r="H4218" s="1" t="n">
        <v>256</v>
      </c>
      <c r="I4218" s="1" t="n">
        <v>0.98</v>
      </c>
      <c r="J4218" t="n">
        <v>58126280</v>
      </c>
    </row>
    <row r="4219" ht="15.75" customHeight="1" s="201">
      <c r="A4219" s="1" t="inlineStr">
        <is>
          <t>Leavening agents, baking powder, double-acting, sodium aluminum sulfate</t>
        </is>
      </c>
      <c r="C4219" s="1" t="n">
        <v>27.7</v>
      </c>
      <c r="D4219" s="1" t="n">
        <v>0</v>
      </c>
      <c r="E4219" s="1" t="n">
        <v>11.02</v>
      </c>
      <c r="F4219" s="1" t="n">
        <v>0</v>
      </c>
      <c r="G4219" s="1" t="n">
        <v>0</v>
      </c>
      <c r="H4219" s="1" t="n">
        <v>0</v>
      </c>
      <c r="I4219" s="1" t="n">
        <v>0.01</v>
      </c>
      <c r="J4219" t="n">
        <v>54204030</v>
      </c>
    </row>
    <row r="4220" ht="15.75" customHeight="1" s="201">
      <c r="A4220" s="1" t="inlineStr">
        <is>
          <t>Leavening agents, baking powder, double-acting, straight phosphate</t>
        </is>
      </c>
      <c r="C4220" s="1" t="n">
        <v>24.1</v>
      </c>
      <c r="D4220" s="1" t="n">
        <v>0</v>
      </c>
      <c r="E4220" s="1" t="n">
        <v>11.27</v>
      </c>
      <c r="F4220" s="1" t="n">
        <v>0.1</v>
      </c>
      <c r="G4220" s="1" t="n">
        <v>0</v>
      </c>
      <c r="H4220" s="1" t="n">
        <v>0</v>
      </c>
      <c r="I4220" s="1" t="n">
        <v>0.02</v>
      </c>
    </row>
    <row r="4221" ht="15.75" customHeight="1" s="201">
      <c r="A4221" s="1" t="inlineStr">
        <is>
          <t>Leavening agents, baking powder, low-sodium</t>
        </is>
      </c>
      <c r="C4221" s="1" t="n">
        <v>46.9</v>
      </c>
      <c r="D4221" s="1" t="n">
        <v>0</v>
      </c>
      <c r="E4221" s="1" t="n">
        <v>8.17</v>
      </c>
      <c r="F4221" s="1" t="n">
        <v>0.1</v>
      </c>
      <c r="G4221" s="1" t="n">
        <v>0.4</v>
      </c>
      <c r="H4221" s="1" t="n">
        <v>0</v>
      </c>
      <c r="I4221" s="1" t="n">
        <v>0.72</v>
      </c>
      <c r="J4221" t="n">
        <v>54204030</v>
      </c>
    </row>
    <row r="4222" ht="15.75" customHeight="1" s="201">
      <c r="A4222" s="1" t="inlineStr">
        <is>
          <t>Lebanon bologna, beef</t>
        </is>
      </c>
      <c r="C4222" s="1" t="n">
        <v>0.44</v>
      </c>
      <c r="D4222" s="1" t="n">
        <v>6</v>
      </c>
      <c r="E4222" s="1" t="n">
        <v>2.15</v>
      </c>
      <c r="F4222" s="1" t="n">
        <v>19.03</v>
      </c>
      <c r="G4222" s="1" t="n">
        <v>10.44</v>
      </c>
      <c r="H4222" s="1" t="n">
        <v>39</v>
      </c>
      <c r="I4222" s="1" t="n">
        <v>3.84</v>
      </c>
      <c r="J4222" t="n">
        <v>28110510</v>
      </c>
    </row>
    <row r="4223" ht="15.75" customHeight="1" s="201">
      <c r="A4223" s="1" t="inlineStr">
        <is>
          <t>Leeks, (bulb and lower leaf-portion), cooked, boiled, drained, with salt</t>
        </is>
      </c>
      <c r="C4223" s="1" t="n">
        <v>7.62</v>
      </c>
      <c r="D4223" s="1" t="n">
        <v>24</v>
      </c>
      <c r="E4223" s="1" t="n">
        <v>1.1</v>
      </c>
      <c r="F4223" s="1" t="n">
        <v>0.8100000000000001</v>
      </c>
      <c r="G4223" s="1" t="n">
        <v>0.2</v>
      </c>
      <c r="H4223" s="1" t="n">
        <v>812</v>
      </c>
      <c r="I4223" s="1" t="n">
        <v>0.06</v>
      </c>
      <c r="J4223" t="n">
        <v>75142550</v>
      </c>
    </row>
    <row r="4224" ht="15.75" customHeight="1" s="201">
      <c r="A4224" s="1" t="inlineStr">
        <is>
          <t>Leeks, (bulb and lower leaf-portion), cooked, boiled, drained, without salt</t>
        </is>
      </c>
      <c r="C4224" s="1" t="n">
        <v>7.62</v>
      </c>
      <c r="D4224" s="1" t="n">
        <v>24</v>
      </c>
      <c r="E4224" s="1" t="n">
        <v>1.1</v>
      </c>
      <c r="F4224" s="1" t="n">
        <v>0.8100000000000001</v>
      </c>
      <c r="G4224" s="1" t="n">
        <v>0.2</v>
      </c>
      <c r="H4224" s="1" t="n">
        <v>812</v>
      </c>
      <c r="I4224" s="1" t="n">
        <v>0.06</v>
      </c>
    </row>
    <row r="4225" ht="15.75" customHeight="1" s="201">
      <c r="A4225" s="1" t="inlineStr">
        <is>
          <t>Leeks, (bulb and lower leaf-portion), raw</t>
        </is>
      </c>
      <c r="C4225" s="1" t="n">
        <v>14.15</v>
      </c>
      <c r="D4225" s="1" t="n">
        <v>64</v>
      </c>
      <c r="E4225" s="1" t="n">
        <v>2.1</v>
      </c>
      <c r="F4225" s="1" t="n">
        <v>1.5</v>
      </c>
      <c r="G4225" s="1" t="n">
        <v>0.3</v>
      </c>
      <c r="H4225" s="1" t="n">
        <v>1667</v>
      </c>
      <c r="I4225" s="1" t="n">
        <v>0.12</v>
      </c>
    </row>
    <row r="4226" ht="15.75" customHeight="1" s="201">
      <c r="A4226" s="1" t="inlineStr">
        <is>
          <t>Leeks, (bulb and lower-leaf portion), freeze-dried</t>
        </is>
      </c>
      <c r="C4226" s="1" t="n">
        <v>74.65000000000001</v>
      </c>
      <c r="D4226" s="1" t="n">
        <v>366</v>
      </c>
      <c r="E4226" s="1" t="n">
        <v>7.6</v>
      </c>
      <c r="F4226" s="1" t="n">
        <v>15.2</v>
      </c>
      <c r="G4226" s="1" t="n">
        <v>2.1</v>
      </c>
      <c r="H4226" s="1" t="n">
        <v>277</v>
      </c>
      <c r="I4226" s="1" t="n">
        <v>0.66</v>
      </c>
    </row>
    <row r="4227" ht="15.75" customHeight="1" s="201">
      <c r="A4227" s="1" t="inlineStr">
        <is>
          <t>Lemon grass (citronella), raw</t>
        </is>
      </c>
      <c r="C4227" s="1" t="n">
        <v>25.31</v>
      </c>
      <c r="D4227" s="1" t="n">
        <v>75</v>
      </c>
      <c r="E4227" s="1" t="n">
        <v>8.17</v>
      </c>
      <c r="F4227" s="1" t="n">
        <v>1.82</v>
      </c>
      <c r="G4227" s="1" t="n">
        <v>0.49</v>
      </c>
      <c r="H4227" s="1" t="n">
        <v>6</v>
      </c>
      <c r="I4227" s="1" t="n">
        <v>2.23</v>
      </c>
      <c r="J4227" t="n">
        <v>53109200</v>
      </c>
    </row>
    <row r="4228" ht="15.75" customHeight="1" s="201">
      <c r="A4228" s="1" t="inlineStr">
        <is>
          <t>Lemon juice from concentrate, bottled, CONCORD</t>
        </is>
      </c>
      <c r="C4228" s="1" t="n">
        <v>5.37</v>
      </c>
      <c r="D4228" s="1" t="n">
        <v>4</v>
      </c>
      <c r="E4228" s="1" t="n">
        <v>0.06</v>
      </c>
      <c r="F4228" s="1" t="n">
        <v>0.4</v>
      </c>
      <c r="G4228" s="1" t="n">
        <v>0.07000000000000001</v>
      </c>
      <c r="I4228" s="1" t="n">
        <v>0.09</v>
      </c>
      <c r="J4228" t="n">
        <v>64100110</v>
      </c>
    </row>
    <row r="4229" ht="15.75" customHeight="1" s="201">
      <c r="A4229" s="1" t="inlineStr">
        <is>
          <t>Lemon juice from concentrate, bottled, REAL LEMON</t>
        </is>
      </c>
      <c r="C4229" s="1" t="n">
        <v>5.66</v>
      </c>
      <c r="D4229" s="1" t="n">
        <v>11</v>
      </c>
      <c r="E4229" s="1" t="n">
        <v>0.06</v>
      </c>
      <c r="F4229" s="1" t="n">
        <v>0.47</v>
      </c>
      <c r="G4229" s="1" t="n">
        <v>0.07000000000000001</v>
      </c>
      <c r="H4229" s="1" t="n">
        <v>33</v>
      </c>
      <c r="I4229" s="1" t="n">
        <v>0.23</v>
      </c>
      <c r="J4229" t="n">
        <v>64100110</v>
      </c>
    </row>
    <row r="4230" ht="15.75" customHeight="1" s="201">
      <c r="A4230" s="1" t="inlineStr">
        <is>
          <t>Lemon juice from concentrate, canned or bottled</t>
        </is>
      </c>
      <c r="C4230" s="1" t="n">
        <v>5.62</v>
      </c>
      <c r="D4230" s="1" t="n">
        <v>9</v>
      </c>
      <c r="E4230" s="1" t="n">
        <v>0.06</v>
      </c>
      <c r="F4230" s="1" t="n">
        <v>0.45</v>
      </c>
      <c r="G4230" s="1" t="n">
        <v>0.07000000000000001</v>
      </c>
      <c r="H4230" s="1" t="n">
        <v>33</v>
      </c>
      <c r="I4230" s="1" t="n">
        <v>0.19</v>
      </c>
      <c r="J4230" t="n">
        <v>64100110</v>
      </c>
    </row>
    <row r="4231" ht="15.75" customHeight="1" s="201">
      <c r="A4231" s="1" t="inlineStr">
        <is>
          <t>Lemon juice, raw</t>
        </is>
      </c>
      <c r="C4231" s="1" t="n">
        <v>6.9</v>
      </c>
      <c r="D4231" s="1" t="n">
        <v>20</v>
      </c>
      <c r="E4231" s="1" t="n">
        <v>0.08</v>
      </c>
      <c r="F4231" s="1" t="n">
        <v>0.35</v>
      </c>
      <c r="G4231" s="1" t="n">
        <v>0.24</v>
      </c>
      <c r="H4231" s="1" t="n">
        <v>6</v>
      </c>
      <c r="I4231" s="1" t="n">
        <v>0.05</v>
      </c>
      <c r="J4231" t="n">
        <v>64100110</v>
      </c>
    </row>
    <row r="4232" ht="15.75" customHeight="1" s="201">
      <c r="A4232" s="1" t="inlineStr">
        <is>
          <t>Lemon peel, raw</t>
        </is>
      </c>
      <c r="C4232" s="1" t="n">
        <v>16</v>
      </c>
      <c r="D4232" s="1" t="n">
        <v>13</v>
      </c>
      <c r="E4232" s="1" t="n">
        <v>0.8</v>
      </c>
      <c r="F4232" s="1" t="n">
        <v>1.5</v>
      </c>
      <c r="G4232" s="1" t="n">
        <v>0.3</v>
      </c>
      <c r="H4232" s="1" t="n">
        <v>50</v>
      </c>
      <c r="I4232" s="1" t="n">
        <v>0.25</v>
      </c>
      <c r="J4232" t="n">
        <v>53109200</v>
      </c>
    </row>
    <row r="4233" ht="15.75" customHeight="1" s="201">
      <c r="A4233" s="1" t="inlineStr">
        <is>
          <t>Lemonade, frozen concentrate, pink</t>
        </is>
      </c>
      <c r="C4233" s="1" t="n">
        <v>48.86</v>
      </c>
      <c r="D4233" s="1" t="n">
        <v>11</v>
      </c>
      <c r="E4233" s="1" t="n">
        <v>0.08</v>
      </c>
      <c r="F4233" s="1" t="n">
        <v>0.22</v>
      </c>
      <c r="G4233" s="1" t="n">
        <v>0.6899999999999999</v>
      </c>
      <c r="H4233" s="1" t="n">
        <v>0</v>
      </c>
      <c r="I4233" s="1" t="n">
        <v>0.03</v>
      </c>
      <c r="J4233" t="n">
        <v>92510955</v>
      </c>
    </row>
    <row r="4234" ht="15.75" customHeight="1" s="201">
      <c r="A4234" s="1" t="inlineStr">
        <is>
          <t>Lemonade, frozen concentrate, white</t>
        </is>
      </c>
      <c r="C4234" s="1" t="n">
        <v>49.89</v>
      </c>
      <c r="D4234" s="1" t="n">
        <v>7</v>
      </c>
      <c r="E4234" s="1" t="n">
        <v>0.09</v>
      </c>
      <c r="F4234" s="1" t="n">
        <v>0.22</v>
      </c>
      <c r="G4234" s="1" t="n">
        <v>0.7</v>
      </c>
      <c r="H4234" s="1" t="n">
        <v>0</v>
      </c>
      <c r="I4234" s="1" t="n">
        <v>0.04</v>
      </c>
      <c r="J4234" t="n">
        <v>92510955</v>
      </c>
    </row>
    <row r="4235" ht="15.75" customHeight="1" s="201">
      <c r="A4235" s="1" t="inlineStr">
        <is>
          <t>Lemonade, frozen concentrate, white, prepared with water</t>
        </is>
      </c>
      <c r="C4235" s="1" t="n">
        <v>10.42</v>
      </c>
      <c r="D4235" s="1" t="n">
        <v>1</v>
      </c>
      <c r="E4235" s="1" t="n">
        <v>0.16</v>
      </c>
      <c r="F4235" s="1" t="n">
        <v>0.07000000000000001</v>
      </c>
      <c r="G4235" s="1" t="n">
        <v>0.04</v>
      </c>
      <c r="H4235" s="1" t="n">
        <v>1</v>
      </c>
      <c r="I4235" s="1" t="n">
        <v>0.02</v>
      </c>
      <c r="J4235" t="n">
        <v>11740312</v>
      </c>
    </row>
    <row r="4236" ht="15.75" customHeight="1" s="201">
      <c r="A4236" s="1" t="inlineStr">
        <is>
          <t>Lemons, raw, without peel</t>
        </is>
      </c>
      <c r="C4236" s="1" t="n">
        <v>9.32</v>
      </c>
      <c r="D4236" s="1" t="n">
        <v>11</v>
      </c>
      <c r="E4236" s="1" t="n">
        <v>0.6</v>
      </c>
      <c r="F4236" s="1" t="n">
        <v>1.1</v>
      </c>
      <c r="G4236" s="1" t="n">
        <v>0.3</v>
      </c>
      <c r="H4236" s="1" t="n">
        <v>22</v>
      </c>
      <c r="I4236" s="1" t="n">
        <v>0.06</v>
      </c>
      <c r="J4236" t="n">
        <v>24164000</v>
      </c>
    </row>
    <row r="4237" ht="15.75" customHeight="1" s="201">
      <c r="A4237" s="1" t="inlineStr">
        <is>
          <t>Lentils, mature seeds, cooked, boiled, without salt</t>
        </is>
      </c>
      <c r="C4237" s="1" t="n">
        <v>20.13</v>
      </c>
      <c r="D4237" s="1" t="n">
        <v>181</v>
      </c>
      <c r="E4237" s="1" t="n">
        <v>3.33</v>
      </c>
      <c r="F4237" s="1" t="n">
        <v>9.02</v>
      </c>
      <c r="G4237" s="1" t="n">
        <v>0.38</v>
      </c>
      <c r="H4237" s="1" t="n">
        <v>8</v>
      </c>
      <c r="I4237" s="1" t="n">
        <v>1.27</v>
      </c>
      <c r="J4237" t="n">
        <v>54318500</v>
      </c>
    </row>
    <row r="4238" ht="15.75" customHeight="1" s="201">
      <c r="A4238" s="1" t="inlineStr">
        <is>
          <t>Lentils, pink or red, raw</t>
        </is>
      </c>
      <c r="C4238" s="1" t="n">
        <v>63.1</v>
      </c>
      <c r="D4238" s="1" t="n">
        <v>204</v>
      </c>
      <c r="E4238" s="1" t="n">
        <v>7.39</v>
      </c>
      <c r="F4238" s="1" t="n">
        <v>23.91</v>
      </c>
      <c r="G4238" s="1" t="n">
        <v>2.17</v>
      </c>
      <c r="H4238" s="1" t="n">
        <v>58</v>
      </c>
      <c r="I4238" s="1" t="n">
        <v>3.6</v>
      </c>
      <c r="J4238" t="n">
        <v>41304970</v>
      </c>
    </row>
    <row r="4239" ht="15.75" customHeight="1" s="201">
      <c r="A4239" s="1" t="inlineStr">
        <is>
          <t>Lentils, raw</t>
        </is>
      </c>
      <c r="C4239" s="1" t="n">
        <v>63.35</v>
      </c>
      <c r="D4239" s="1" t="n">
        <v>479</v>
      </c>
      <c r="E4239" s="1" t="n">
        <v>6.51</v>
      </c>
      <c r="F4239" s="1" t="n">
        <v>24.63</v>
      </c>
      <c r="G4239" s="1" t="n">
        <v>1.06</v>
      </c>
      <c r="H4239" s="1" t="n">
        <v>39</v>
      </c>
      <c r="I4239" s="1" t="n">
        <v>3.27</v>
      </c>
      <c r="J4239" t="n">
        <v>41304970</v>
      </c>
    </row>
    <row r="4240" ht="15.75" customHeight="1" s="201">
      <c r="A4240" s="1" t="inlineStr">
        <is>
          <t>Lentils, sprouted, cooked, stir-fried, with salt</t>
        </is>
      </c>
      <c r="C4240" s="1" t="n">
        <v>21.25</v>
      </c>
      <c r="D4240" s="1" t="n">
        <v>67</v>
      </c>
      <c r="E4240" s="1" t="n">
        <v>3.1</v>
      </c>
      <c r="F4240" s="1" t="n">
        <v>8.800000000000001</v>
      </c>
      <c r="G4240" s="1" t="n">
        <v>0.45</v>
      </c>
      <c r="H4240" s="1" t="n">
        <v>41</v>
      </c>
      <c r="I4240" s="1" t="n">
        <v>1.6</v>
      </c>
      <c r="J4240" t="n">
        <v>75142550</v>
      </c>
    </row>
    <row r="4241" ht="15.75" customHeight="1" s="201">
      <c r="A4241" s="1" t="inlineStr">
        <is>
          <t>Lentils, sprouted, cooked, stir-fried, without salt</t>
        </is>
      </c>
      <c r="C4241" s="1" t="n">
        <v>21.25</v>
      </c>
      <c r="D4241" s="1" t="n">
        <v>67</v>
      </c>
      <c r="E4241" s="1" t="n">
        <v>3.1</v>
      </c>
      <c r="F4241" s="1" t="n">
        <v>8.800000000000001</v>
      </c>
      <c r="G4241" s="1" t="n">
        <v>0.45</v>
      </c>
      <c r="H4241" s="1" t="n">
        <v>41</v>
      </c>
      <c r="I4241" s="1" t="n">
        <v>1.6</v>
      </c>
    </row>
    <row r="4242" ht="15.75" customHeight="1" s="201">
      <c r="A4242" s="1" t="inlineStr">
        <is>
          <t>Lentils, sprouted, raw</t>
        </is>
      </c>
      <c r="C4242" s="1" t="n">
        <v>22.14</v>
      </c>
      <c r="D4242" s="1" t="n">
        <v>100</v>
      </c>
      <c r="E4242" s="1" t="n">
        <v>3.21</v>
      </c>
      <c r="F4242" s="1" t="n">
        <v>8.960000000000001</v>
      </c>
      <c r="G4242" s="1" t="n">
        <v>0.55</v>
      </c>
      <c r="H4242" s="1" t="n">
        <v>45</v>
      </c>
      <c r="I4242" s="1" t="n">
        <v>1.51</v>
      </c>
      <c r="J4242" t="n">
        <v>41304970</v>
      </c>
    </row>
    <row r="4243" ht="15.75" customHeight="1" s="201">
      <c r="A4243" s="1" t="inlineStr">
        <is>
          <t>Lettuce, butterhead (includes boston and bibb types), raw</t>
        </is>
      </c>
      <c r="C4243" s="1" t="n">
        <v>2.23</v>
      </c>
      <c r="D4243" s="1" t="n">
        <v>73</v>
      </c>
      <c r="E4243" s="1" t="n">
        <v>1.24</v>
      </c>
      <c r="F4243" s="1" t="n">
        <v>1.35</v>
      </c>
      <c r="G4243" s="1" t="n">
        <v>0.22</v>
      </c>
      <c r="H4243" s="1" t="n">
        <v>3312</v>
      </c>
      <c r="I4243" s="1" t="n">
        <v>0.2</v>
      </c>
      <c r="J4243" t="n">
        <v>75113060</v>
      </c>
    </row>
    <row r="4244" ht="15.75" customHeight="1" s="201">
      <c r="A4244" s="1" t="inlineStr">
        <is>
          <t>Lettuce, cos or romaine, raw</t>
        </is>
      </c>
      <c r="C4244" s="1" t="n">
        <v>3.29</v>
      </c>
      <c r="D4244" s="1" t="n">
        <v>136</v>
      </c>
      <c r="E4244" s="1" t="n">
        <v>0.97</v>
      </c>
      <c r="F4244" s="1" t="n">
        <v>1.23</v>
      </c>
      <c r="G4244" s="1" t="n">
        <v>0.3</v>
      </c>
      <c r="H4244" s="1" t="n">
        <v>8710</v>
      </c>
      <c r="I4244" s="1" t="n">
        <v>0.23</v>
      </c>
      <c r="J4244" t="n">
        <v>75113060</v>
      </c>
    </row>
    <row r="4245" ht="15.75" customHeight="1" s="201">
      <c r="A4245" s="1" t="inlineStr">
        <is>
          <t>Lettuce, green leaf, raw</t>
        </is>
      </c>
      <c r="C4245" s="1" t="n">
        <v>2.87</v>
      </c>
      <c r="D4245" s="1" t="n">
        <v>38</v>
      </c>
      <c r="E4245" s="1" t="n">
        <v>0.86</v>
      </c>
      <c r="F4245" s="1" t="n">
        <v>1.36</v>
      </c>
      <c r="G4245" s="1" t="n">
        <v>0.15</v>
      </c>
      <c r="H4245" s="1" t="n">
        <v>7405</v>
      </c>
      <c r="I4245" s="1" t="n">
        <v>0.18</v>
      </c>
      <c r="J4245" t="n">
        <v>75113060</v>
      </c>
    </row>
    <row r="4246" ht="15.75" customHeight="1" s="201">
      <c r="A4246" s="1" t="inlineStr">
        <is>
          <t>Lettuce, iceberg (includes crisphead types), raw</t>
        </is>
      </c>
      <c r="C4246" s="1" t="n">
        <v>2.97</v>
      </c>
      <c r="D4246" s="1" t="n">
        <v>29</v>
      </c>
      <c r="E4246" s="1" t="n">
        <v>0.41</v>
      </c>
      <c r="F4246" s="1" t="n">
        <v>0.9</v>
      </c>
      <c r="G4246" s="1" t="n">
        <v>0.14</v>
      </c>
      <c r="H4246" s="1" t="n">
        <v>502</v>
      </c>
      <c r="I4246" s="1" t="n">
        <v>0.15</v>
      </c>
      <c r="J4246" t="n">
        <v>75113060</v>
      </c>
    </row>
    <row r="4247" ht="15.75" customHeight="1" s="201">
      <c r="A4247" s="1" t="inlineStr">
        <is>
          <t>Lettuce, red leaf, raw</t>
        </is>
      </c>
      <c r="C4247" s="1" t="n">
        <v>2.26</v>
      </c>
      <c r="D4247" s="1" t="n">
        <v>36</v>
      </c>
      <c r="E4247" s="1" t="n">
        <v>1.2</v>
      </c>
      <c r="F4247" s="1" t="n">
        <v>1.33</v>
      </c>
      <c r="G4247" s="1" t="n">
        <v>0.22</v>
      </c>
      <c r="H4247" s="1" t="n">
        <v>7492</v>
      </c>
      <c r="I4247" s="1" t="n">
        <v>0.2</v>
      </c>
      <c r="J4247" t="n">
        <v>75113060</v>
      </c>
    </row>
    <row r="4248" ht="15.75" customHeight="1" s="201">
      <c r="A4248" s="1" t="inlineStr">
        <is>
          <t>Light ice cream, Creamsicle</t>
        </is>
      </c>
      <c r="C4248" s="1" t="n">
        <v>32.75</v>
      </c>
      <c r="D4248" s="1" t="n">
        <v>6</v>
      </c>
      <c r="E4248" s="1" t="n">
        <v>0</v>
      </c>
      <c r="F4248" s="1" t="n">
        <v>1.54</v>
      </c>
      <c r="G4248" s="1" t="n">
        <v>3.08</v>
      </c>
      <c r="H4248" s="1" t="n">
        <v>324</v>
      </c>
      <c r="I4248" s="1" t="n">
        <v>0.66</v>
      </c>
      <c r="J4248" t="n">
        <v>27446245</v>
      </c>
    </row>
    <row r="4249" ht="15.75" customHeight="1" s="201">
      <c r="A4249" s="1" t="inlineStr">
        <is>
          <t>Light Ice Cream, soft serve, blended with cookie pieces</t>
        </is>
      </c>
      <c r="C4249" s="1" t="n">
        <v>25.55</v>
      </c>
      <c r="D4249" s="1" t="n">
        <v>10</v>
      </c>
      <c r="E4249" s="1" t="n">
        <v>0.61</v>
      </c>
      <c r="F4249" s="1" t="n">
        <v>3.97</v>
      </c>
      <c r="G4249" s="1" t="n">
        <v>5.66</v>
      </c>
      <c r="H4249" s="1" t="n">
        <v>93</v>
      </c>
      <c r="I4249" s="1" t="n">
        <v>0.5</v>
      </c>
      <c r="J4249" t="n">
        <v>58148117</v>
      </c>
    </row>
    <row r="4250" ht="15.75" customHeight="1" s="201">
      <c r="A4250" s="1" t="inlineStr">
        <is>
          <t>Light Ice Cream, soft serve, blended with milk chocolate candies</t>
        </is>
      </c>
      <c r="C4250" s="1" t="n">
        <v>26.82</v>
      </c>
      <c r="D4250" s="1" t="n">
        <v>3</v>
      </c>
      <c r="E4250" s="1" t="n">
        <v>0.27</v>
      </c>
      <c r="F4250" s="1" t="n">
        <v>4.02</v>
      </c>
      <c r="G4250" s="1" t="n">
        <v>6.46</v>
      </c>
      <c r="H4250" s="1" t="n">
        <v>111</v>
      </c>
      <c r="I4250" s="1" t="n">
        <v>0.54</v>
      </c>
      <c r="J4250" t="n">
        <v>58148117</v>
      </c>
    </row>
    <row r="4251" ht="15.75" customHeight="1" s="201">
      <c r="A4251" s="1" t="inlineStr">
        <is>
          <t>Lima beans, immature seeds, canned, no salt added, solids and liquids</t>
        </is>
      </c>
      <c r="C4251" s="1" t="n">
        <v>13.33</v>
      </c>
      <c r="D4251" s="1" t="n">
        <v>16</v>
      </c>
      <c r="E4251" s="1" t="n">
        <v>1.61</v>
      </c>
      <c r="F4251" s="1" t="n">
        <v>4.07</v>
      </c>
      <c r="G4251" s="1" t="n">
        <v>0.29</v>
      </c>
      <c r="H4251" s="1" t="n">
        <v>150</v>
      </c>
      <c r="I4251" s="1" t="n">
        <v>0.64</v>
      </c>
      <c r="J4251" t="n">
        <v>75205130</v>
      </c>
    </row>
    <row r="4252" ht="15.75" customHeight="1" s="201">
      <c r="A4252" s="1" t="inlineStr">
        <is>
          <t>Lima beans, immature seeds, canned, regular pack, solids and liquids</t>
        </is>
      </c>
      <c r="C4252" s="1" t="n">
        <v>13.33</v>
      </c>
      <c r="D4252" s="1" t="n">
        <v>16</v>
      </c>
      <c r="E4252" s="1" t="n">
        <v>1.61</v>
      </c>
      <c r="F4252" s="1" t="n">
        <v>4.07</v>
      </c>
      <c r="G4252" s="1" t="n">
        <v>0.29</v>
      </c>
      <c r="H4252" s="1" t="n">
        <v>150</v>
      </c>
      <c r="I4252" s="1" t="n">
        <v>0.64</v>
      </c>
      <c r="J4252" t="n">
        <v>53109200</v>
      </c>
    </row>
    <row r="4253" ht="15.75" customHeight="1" s="201">
      <c r="A4253" s="1" t="inlineStr">
        <is>
          <t>Lima beans, immature seeds, cooked, boiled, drained, with salt</t>
        </is>
      </c>
      <c r="C4253" s="1" t="n">
        <v>23.64</v>
      </c>
      <c r="D4253" s="1" t="n">
        <v>26</v>
      </c>
      <c r="E4253" s="1" t="n">
        <v>2.45</v>
      </c>
      <c r="F4253" s="1" t="n">
        <v>6.81</v>
      </c>
      <c r="G4253" s="1" t="n">
        <v>0.32</v>
      </c>
      <c r="H4253" s="1" t="n">
        <v>370</v>
      </c>
      <c r="I4253" s="1" t="n">
        <v>0.79</v>
      </c>
      <c r="J4253" t="n">
        <v>75142550</v>
      </c>
    </row>
    <row r="4254" ht="15.75" customHeight="1" s="201">
      <c r="A4254" s="1" t="inlineStr">
        <is>
          <t>Lima beans, immature seeds, cooked, boiled, drained, without salt</t>
        </is>
      </c>
      <c r="C4254" s="1" t="n">
        <v>23.64</v>
      </c>
      <c r="D4254" s="1" t="n">
        <v>26</v>
      </c>
      <c r="E4254" s="1" t="n">
        <v>2.45</v>
      </c>
      <c r="F4254" s="1" t="n">
        <v>6.81</v>
      </c>
      <c r="G4254" s="1" t="n">
        <v>0.32</v>
      </c>
      <c r="H4254" s="1" t="n">
        <v>303</v>
      </c>
      <c r="I4254" s="1" t="n">
        <v>0.79</v>
      </c>
      <c r="J4254" t="n">
        <v>75311020</v>
      </c>
    </row>
    <row r="4255" ht="15.75" customHeight="1" s="201">
      <c r="A4255" s="1" t="inlineStr">
        <is>
          <t>Lima beans, immature seeds, frozen, baby, cooked, boiled, drained, with salt</t>
        </is>
      </c>
      <c r="C4255" s="1" t="n">
        <v>19.45</v>
      </c>
      <c r="D4255" s="1" t="n">
        <v>16</v>
      </c>
      <c r="E4255" s="1" t="n">
        <v>1.96</v>
      </c>
      <c r="F4255" s="1" t="n">
        <v>6.65</v>
      </c>
      <c r="G4255" s="1" t="n">
        <v>0.3</v>
      </c>
      <c r="H4255" s="1" t="n">
        <v>167</v>
      </c>
      <c r="I4255" s="1" t="n">
        <v>0.55</v>
      </c>
      <c r="J4255" t="n">
        <v>75142550</v>
      </c>
    </row>
    <row r="4256" ht="15.75" customHeight="1" s="201">
      <c r="A4256" s="1" t="inlineStr">
        <is>
          <t>Lima beans, immature seeds, frozen, baby, cooked, boiled, drained, without salt</t>
        </is>
      </c>
      <c r="C4256" s="1" t="n">
        <v>19.45</v>
      </c>
      <c r="D4256" s="1" t="n">
        <v>16</v>
      </c>
      <c r="E4256" s="1" t="n">
        <v>1.96</v>
      </c>
      <c r="F4256" s="1" t="n">
        <v>6.65</v>
      </c>
      <c r="G4256" s="1" t="n">
        <v>0.3</v>
      </c>
      <c r="H4256" s="1" t="n">
        <v>167</v>
      </c>
      <c r="I4256" s="1" t="n">
        <v>0.55</v>
      </c>
    </row>
    <row r="4257" ht="15.75" customHeight="1" s="201">
      <c r="A4257" s="1" t="inlineStr">
        <is>
          <t>Lima beans, immature seeds, frozen, baby, unprepared</t>
        </is>
      </c>
      <c r="C4257" s="1" t="n">
        <v>25.14</v>
      </c>
      <c r="D4257" s="1" t="n">
        <v>28</v>
      </c>
      <c r="E4257" s="1" t="n">
        <v>2.21</v>
      </c>
      <c r="F4257" s="1" t="n">
        <v>7.59</v>
      </c>
      <c r="G4257" s="1" t="n">
        <v>0.44</v>
      </c>
      <c r="H4257" s="1" t="n">
        <v>189</v>
      </c>
      <c r="I4257" s="1" t="n">
        <v>0.63</v>
      </c>
      <c r="J4257" t="n">
        <v>75204022</v>
      </c>
    </row>
    <row r="4258" ht="15.75" customHeight="1" s="201">
      <c r="A4258" s="1" t="inlineStr">
        <is>
          <t>Lima beans, immature seeds, frozen, fordhook, cooked, boiled, drained, with salt</t>
        </is>
      </c>
      <c r="C4258" s="1" t="n">
        <v>19.32</v>
      </c>
      <c r="D4258" s="1" t="n">
        <v>21</v>
      </c>
      <c r="E4258" s="1" t="n">
        <v>1.82</v>
      </c>
      <c r="F4258" s="1" t="n">
        <v>6.07</v>
      </c>
      <c r="G4258" s="1" t="n">
        <v>0.34</v>
      </c>
      <c r="H4258" s="1" t="n">
        <v>190</v>
      </c>
      <c r="I4258" s="1" t="n">
        <v>0.74</v>
      </c>
      <c r="J4258" t="n">
        <v>75142550</v>
      </c>
    </row>
    <row r="4259" ht="15.75" customHeight="1" s="201">
      <c r="A4259" s="1" t="inlineStr">
        <is>
          <t>Lima beans, immature seeds, frozen, fordhook, cooked, boiled, drained, without salt</t>
        </is>
      </c>
      <c r="C4259" s="1" t="n">
        <v>19.32</v>
      </c>
      <c r="D4259" s="1" t="n">
        <v>21</v>
      </c>
      <c r="E4259" s="1" t="n">
        <v>1.82</v>
      </c>
      <c r="F4259" s="1" t="n">
        <v>6.07</v>
      </c>
      <c r="G4259" s="1" t="n">
        <v>0.34</v>
      </c>
      <c r="H4259" s="1" t="n">
        <v>190</v>
      </c>
      <c r="I4259" s="1" t="n">
        <v>0.74</v>
      </c>
    </row>
    <row r="4260" ht="15.75" customHeight="1" s="201">
      <c r="A4260" s="1" t="inlineStr">
        <is>
          <t>Lima beans, immature seeds, frozen, fordhook, unprepared</t>
        </is>
      </c>
      <c r="C4260" s="1" t="n">
        <v>19.83</v>
      </c>
      <c r="D4260" s="1" t="n">
        <v>32</v>
      </c>
      <c r="E4260" s="1" t="n">
        <v>1.51</v>
      </c>
      <c r="F4260" s="1" t="n">
        <v>6.4</v>
      </c>
      <c r="G4260" s="1" t="n">
        <v>0.35</v>
      </c>
      <c r="H4260" s="1" t="n">
        <v>223</v>
      </c>
      <c r="I4260" s="1" t="n">
        <v>0.49</v>
      </c>
      <c r="J4260" t="n">
        <v>75204022</v>
      </c>
    </row>
    <row r="4261" ht="15.75" customHeight="1" s="201">
      <c r="A4261" s="1" t="inlineStr">
        <is>
          <t>Lima beans, immature seeds, raw</t>
        </is>
      </c>
      <c r="C4261" s="1" t="n">
        <v>20.17</v>
      </c>
      <c r="D4261" s="1" t="n">
        <v>34</v>
      </c>
      <c r="E4261" s="1" t="n">
        <v>3.14</v>
      </c>
      <c r="F4261" s="1" t="n">
        <v>6.84</v>
      </c>
      <c r="G4261" s="1" t="n">
        <v>0.86</v>
      </c>
      <c r="H4261" s="1" t="n">
        <v>209</v>
      </c>
      <c r="I4261" s="1" t="n">
        <v>0.78</v>
      </c>
      <c r="J4261" t="n">
        <v>41102990</v>
      </c>
    </row>
    <row r="4262" ht="15.75" customHeight="1" s="201">
      <c r="A4262" s="1" t="inlineStr">
        <is>
          <t>Lima beans, large, mature seeds, canned</t>
        </is>
      </c>
      <c r="C4262" s="1" t="n">
        <v>14.91</v>
      </c>
      <c r="D4262" s="1" t="n">
        <v>50</v>
      </c>
      <c r="E4262" s="1" t="n">
        <v>1.81</v>
      </c>
      <c r="F4262" s="1" t="n">
        <v>4.93</v>
      </c>
      <c r="G4262" s="1" t="n">
        <v>0.17</v>
      </c>
      <c r="H4262" s="1" t="n">
        <v>0</v>
      </c>
      <c r="I4262" s="1" t="n">
        <v>0.65</v>
      </c>
      <c r="J4262" t="n">
        <v>75204023</v>
      </c>
    </row>
    <row r="4263" ht="15.75" customHeight="1" s="201">
      <c r="A4263" s="1" t="inlineStr">
        <is>
          <t>Lima beans, large, mature seeds, cooked, boiled, with salt</t>
        </is>
      </c>
      <c r="C4263" s="1" t="n">
        <v>20.88</v>
      </c>
      <c r="D4263" s="1" t="n">
        <v>83</v>
      </c>
      <c r="E4263" s="1" t="n">
        <v>2.39</v>
      </c>
      <c r="F4263" s="1" t="n">
        <v>7.8</v>
      </c>
      <c r="G4263" s="1" t="n">
        <v>0.38</v>
      </c>
      <c r="H4263" s="1" t="n">
        <v>0</v>
      </c>
      <c r="I4263" s="1" t="n">
        <v>0.95</v>
      </c>
      <c r="J4263" t="n">
        <v>75142550</v>
      </c>
    </row>
    <row r="4264" ht="15.75" customHeight="1" s="201">
      <c r="A4264" s="1" t="inlineStr">
        <is>
          <t>Lima beans, large, mature seeds, cooked, boiled, without salt</t>
        </is>
      </c>
      <c r="C4264" s="1" t="n">
        <v>20.88</v>
      </c>
      <c r="D4264" s="1" t="n">
        <v>83</v>
      </c>
      <c r="E4264" s="1" t="n">
        <v>2.39</v>
      </c>
      <c r="F4264" s="1" t="n">
        <v>7.8</v>
      </c>
      <c r="G4264" s="1" t="n">
        <v>0.38</v>
      </c>
      <c r="H4264" s="1" t="n">
        <v>0</v>
      </c>
      <c r="I4264" s="1" t="n">
        <v>0.95</v>
      </c>
      <c r="J4264" t="n">
        <v>75311020</v>
      </c>
    </row>
    <row r="4265" ht="15.75" customHeight="1" s="201">
      <c r="A4265" s="1" t="inlineStr">
        <is>
          <t>Lima beans, large, mature seeds, raw</t>
        </is>
      </c>
      <c r="C4265" s="1" t="n">
        <v>63.38</v>
      </c>
      <c r="D4265" s="1" t="n">
        <v>395</v>
      </c>
      <c r="E4265" s="1" t="n">
        <v>7.51</v>
      </c>
      <c r="F4265" s="1" t="n">
        <v>21.46</v>
      </c>
      <c r="G4265" s="1" t="n">
        <v>0.6899999999999999</v>
      </c>
      <c r="H4265" s="1" t="n">
        <v>0</v>
      </c>
      <c r="I4265" s="1" t="n">
        <v>2.83</v>
      </c>
      <c r="J4265" t="n">
        <v>41102990</v>
      </c>
    </row>
    <row r="4266" ht="15.75" customHeight="1" s="201">
      <c r="A4266" s="1" t="inlineStr">
        <is>
          <t>Lima beans, thin seeded (baby), mature seeds, cooked, boiled, with salt</t>
        </is>
      </c>
      <c r="C4266" s="1" t="n">
        <v>23.31</v>
      </c>
      <c r="D4266" s="1" t="n">
        <v>150</v>
      </c>
      <c r="E4266" s="1" t="n">
        <v>2.4</v>
      </c>
      <c r="F4266" s="1" t="n">
        <v>8.039999999999999</v>
      </c>
      <c r="G4266" s="1" t="n">
        <v>0.38</v>
      </c>
      <c r="H4266" s="1" t="n">
        <v>0</v>
      </c>
      <c r="I4266" s="1" t="n">
        <v>1.03</v>
      </c>
      <c r="J4266" t="n">
        <v>75142550</v>
      </c>
    </row>
    <row r="4267" ht="15.75" customHeight="1" s="201">
      <c r="A4267" s="1" t="inlineStr">
        <is>
          <t>Lima beans, thin seeded (baby), mature seeds, cooked, boiled, without salt</t>
        </is>
      </c>
      <c r="C4267" s="1" t="n">
        <v>23.31</v>
      </c>
      <c r="D4267" s="1" t="n">
        <v>150</v>
      </c>
      <c r="E4267" s="1" t="n">
        <v>2.4</v>
      </c>
      <c r="F4267" s="1" t="n">
        <v>8.039999999999999</v>
      </c>
      <c r="G4267" s="1" t="n">
        <v>0.38</v>
      </c>
      <c r="H4267" s="1" t="n">
        <v>0</v>
      </c>
      <c r="I4267" s="1" t="n">
        <v>1.03</v>
      </c>
    </row>
    <row r="4268" ht="15.75" customHeight="1" s="201">
      <c r="A4268" s="1" t="inlineStr">
        <is>
          <t>Lima beans, thin seeded (baby), mature seeds, raw</t>
        </is>
      </c>
      <c r="C4268" s="1" t="n">
        <v>62.83</v>
      </c>
      <c r="D4268" s="1" t="n">
        <v>400</v>
      </c>
      <c r="E4268" s="1" t="n">
        <v>6.19</v>
      </c>
      <c r="F4268" s="1" t="n">
        <v>20.62</v>
      </c>
      <c r="G4268" s="1" t="n">
        <v>0.93</v>
      </c>
      <c r="H4268" s="1" t="n">
        <v>0</v>
      </c>
      <c r="I4268" s="1" t="n">
        <v>2.6</v>
      </c>
    </row>
    <row r="4269" ht="15.75" customHeight="1" s="201">
      <c r="A4269" s="1" t="inlineStr">
        <is>
          <t>Lime juice, canned or bottled, unsweetened</t>
        </is>
      </c>
      <c r="C4269" s="1" t="n">
        <v>6.69</v>
      </c>
      <c r="D4269" s="1" t="n">
        <v>8</v>
      </c>
      <c r="E4269" s="1" t="n">
        <v>0.23</v>
      </c>
      <c r="F4269" s="1" t="n">
        <v>0.25</v>
      </c>
      <c r="G4269" s="1" t="n">
        <v>0.23</v>
      </c>
      <c r="H4269" s="1" t="n">
        <v>16</v>
      </c>
      <c r="I4269" s="1" t="n">
        <v>0.06</v>
      </c>
      <c r="J4269" t="n">
        <v>64100110</v>
      </c>
    </row>
    <row r="4270" ht="15.75" customHeight="1" s="201">
      <c r="A4270" s="1" t="inlineStr">
        <is>
          <t>Lime juice, raw</t>
        </is>
      </c>
      <c r="C4270" s="1" t="n">
        <v>8.42</v>
      </c>
      <c r="D4270" s="1" t="n">
        <v>10</v>
      </c>
      <c r="E4270" s="1" t="n">
        <v>0.09</v>
      </c>
      <c r="F4270" s="1" t="n">
        <v>0.42</v>
      </c>
      <c r="G4270" s="1" t="n">
        <v>0.07000000000000001</v>
      </c>
      <c r="H4270" s="1" t="n">
        <v>50</v>
      </c>
      <c r="I4270" s="1" t="n">
        <v>0.08</v>
      </c>
      <c r="J4270" t="n">
        <v>64100110</v>
      </c>
    </row>
    <row r="4271" ht="15.75" customHeight="1" s="201">
      <c r="A4271" s="1" t="inlineStr">
        <is>
          <t>Limes, raw</t>
        </is>
      </c>
      <c r="C4271" s="1" t="n">
        <v>10.54</v>
      </c>
      <c r="D4271" s="1" t="n">
        <v>8</v>
      </c>
      <c r="E4271" s="1" t="n">
        <v>0.6</v>
      </c>
      <c r="F4271" s="1" t="n">
        <v>0.7</v>
      </c>
      <c r="G4271" s="1" t="n">
        <v>0.2</v>
      </c>
      <c r="H4271" s="1" t="n">
        <v>50</v>
      </c>
      <c r="I4271" s="1" t="n">
        <v>0.11</v>
      </c>
    </row>
    <row r="4272" ht="15.75" customHeight="1" s="201">
      <c r="A4272" s="1" t="inlineStr">
        <is>
          <t>Litchis, dried</t>
        </is>
      </c>
      <c r="C4272" s="1" t="n">
        <v>70.7</v>
      </c>
      <c r="D4272" s="1" t="n">
        <v>12</v>
      </c>
      <c r="E4272" s="1" t="n">
        <v>1.7</v>
      </c>
      <c r="F4272" s="1" t="n">
        <v>3.8</v>
      </c>
      <c r="G4272" s="1" t="n">
        <v>1.2</v>
      </c>
      <c r="H4272" s="1" t="n">
        <v>0</v>
      </c>
      <c r="I4272" s="1" t="n">
        <v>0.28</v>
      </c>
      <c r="J4272" t="n">
        <v>41301010</v>
      </c>
    </row>
    <row r="4273" ht="15.75" customHeight="1" s="201">
      <c r="A4273" s="1" t="inlineStr">
        <is>
          <t>Litchis, raw</t>
        </is>
      </c>
      <c r="C4273" s="1" t="n">
        <v>16.53</v>
      </c>
      <c r="D4273" s="1" t="n">
        <v>14</v>
      </c>
      <c r="E4273" s="1" t="n">
        <v>0.31</v>
      </c>
      <c r="F4273" s="1" t="n">
        <v>0.83</v>
      </c>
      <c r="G4273" s="1" t="n">
        <v>0.44</v>
      </c>
      <c r="H4273" s="1" t="n">
        <v>0</v>
      </c>
      <c r="I4273" s="1" t="n">
        <v>0.07000000000000001</v>
      </c>
    </row>
    <row r="4274" ht="15.75" customHeight="1" s="201">
      <c r="A4274" s="1" t="inlineStr">
        <is>
          <t>LITTLE CAESARS 14" Cheese Pizza, Large Deep Dish Crust</t>
        </is>
      </c>
      <c r="C4274" s="1" t="n">
        <v>30.1</v>
      </c>
      <c r="E4274" s="1" t="n">
        <v>2.31</v>
      </c>
      <c r="F4274" s="1" t="n">
        <v>12.63</v>
      </c>
      <c r="G4274" s="1" t="n">
        <v>10.22</v>
      </c>
      <c r="H4274" s="1" t="n">
        <v>334</v>
      </c>
      <c r="I4274" s="1" t="n">
        <v>1.52</v>
      </c>
      <c r="J4274" t="n">
        <v>53108200</v>
      </c>
    </row>
    <row r="4275" ht="15.75" customHeight="1" s="201">
      <c r="A4275" s="1" t="inlineStr">
        <is>
          <t>LITTLE CAESARS 14" Cheese Pizza, Thin Crust</t>
        </is>
      </c>
      <c r="C4275" s="1" t="n">
        <v>22.85</v>
      </c>
      <c r="E4275" s="1" t="n">
        <v>0.64</v>
      </c>
      <c r="F4275" s="1" t="n">
        <v>16.23</v>
      </c>
      <c r="G4275" s="1" t="n">
        <v>16.99</v>
      </c>
      <c r="H4275" s="1" t="n">
        <v>542</v>
      </c>
      <c r="I4275" s="1" t="n">
        <v>2.12</v>
      </c>
      <c r="J4275" t="n">
        <v>53108200</v>
      </c>
    </row>
    <row r="4276" ht="15.75" customHeight="1" s="201">
      <c r="A4276" s="1" t="inlineStr">
        <is>
          <t>LITTLE CAESARS 14" Original Round Cheese Pizza, Regular Crust</t>
        </is>
      </c>
      <c r="C4276" s="1" t="n">
        <v>31.5</v>
      </c>
      <c r="E4276" s="1" t="n">
        <v>2.34</v>
      </c>
      <c r="F4276" s="1" t="n">
        <v>13.39</v>
      </c>
      <c r="G4276" s="1" t="n">
        <v>9.539999999999999</v>
      </c>
      <c r="H4276" s="1" t="n">
        <v>360</v>
      </c>
      <c r="I4276" s="1" t="n">
        <v>1.61</v>
      </c>
      <c r="J4276" t="n">
        <v>53108200</v>
      </c>
    </row>
    <row r="4277" ht="15.75" customHeight="1" s="201">
      <c r="A4277" s="1" t="inlineStr">
        <is>
          <t>LITTLE CAESARS 14" Original Round Meat and Vegetable Pizza, Regular Crust</t>
        </is>
      </c>
      <c r="C4277" s="1" t="n">
        <v>23.1</v>
      </c>
      <c r="E4277" s="1" t="n">
        <v>2.11</v>
      </c>
      <c r="F4277" s="1" t="n">
        <v>12.12</v>
      </c>
      <c r="G4277" s="1" t="n">
        <v>11.35</v>
      </c>
      <c r="H4277" s="1" t="n">
        <v>211</v>
      </c>
      <c r="I4277" s="1" t="n">
        <v>1.55</v>
      </c>
      <c r="J4277" t="n">
        <v>53108200</v>
      </c>
    </row>
    <row r="4278" ht="15.75" customHeight="1" s="201">
      <c r="A4278" s="1" t="inlineStr">
        <is>
          <t>LITTLE CAESARS 14" Original Round Pepperoni Pizza, Regular Crust</t>
        </is>
      </c>
      <c r="C4278" s="1" t="n">
        <v>31.01</v>
      </c>
      <c r="E4278" s="1" t="n">
        <v>2.34</v>
      </c>
      <c r="F4278" s="1" t="n">
        <v>13.59</v>
      </c>
      <c r="G4278" s="1" t="n">
        <v>10.5</v>
      </c>
      <c r="H4278" s="1" t="n">
        <v>331</v>
      </c>
      <c r="I4278" s="1" t="n">
        <v>1.66</v>
      </c>
      <c r="J4278" t="n">
        <v>53108200</v>
      </c>
    </row>
    <row r="4279" ht="15.75" customHeight="1" s="201">
      <c r="A4279" s="1" t="inlineStr">
        <is>
          <t>LITTLE CAESARS 14" Pepperoni Pizza, Large Deep Dish Crust</t>
        </is>
      </c>
      <c r="C4279" s="1" t="n">
        <v>29.03</v>
      </c>
      <c r="E4279" s="1" t="n">
        <v>2.3</v>
      </c>
      <c r="F4279" s="1" t="n">
        <v>12.93</v>
      </c>
      <c r="G4279" s="1" t="n">
        <v>10.81</v>
      </c>
      <c r="H4279" s="1" t="n">
        <v>315</v>
      </c>
      <c r="I4279" s="1" t="n">
        <v>1.57</v>
      </c>
      <c r="J4279" t="n">
        <v>53108200</v>
      </c>
    </row>
    <row r="4280" ht="15.75" customHeight="1" s="201">
      <c r="A4280" s="1" t="inlineStr">
        <is>
          <t>Liver cheese, pork</t>
        </is>
      </c>
      <c r="C4280" s="1" t="n">
        <v>2.1</v>
      </c>
      <c r="D4280" s="1" t="n">
        <v>104</v>
      </c>
      <c r="E4280" s="1" t="n">
        <v>10.83</v>
      </c>
      <c r="F4280" s="1" t="n">
        <v>15.2</v>
      </c>
      <c r="G4280" s="1" t="n">
        <v>25.6</v>
      </c>
      <c r="H4280" s="1" t="n">
        <v>17490</v>
      </c>
      <c r="I4280" s="1" t="n">
        <v>3.7</v>
      </c>
      <c r="J4280" t="n">
        <v>25230560</v>
      </c>
    </row>
    <row r="4281" ht="15.75" customHeight="1" s="201">
      <c r="A4281" s="1" t="inlineStr">
        <is>
          <t>Liver sausage, liverwurst, pork</t>
        </is>
      </c>
      <c r="C4281" s="1" t="n">
        <v>2.2</v>
      </c>
      <c r="D4281" s="1" t="n">
        <v>30</v>
      </c>
      <c r="E4281" s="1" t="n">
        <v>6.4</v>
      </c>
      <c r="F4281" s="1" t="n">
        <v>14.1</v>
      </c>
      <c r="G4281" s="1" t="n">
        <v>28.5</v>
      </c>
      <c r="H4281" s="1" t="n">
        <v>27667</v>
      </c>
      <c r="I4281" s="1" t="n">
        <v>2.3</v>
      </c>
      <c r="J4281" t="n">
        <v>25230560</v>
      </c>
    </row>
    <row r="4282" ht="15.75" customHeight="1" s="201">
      <c r="A4282" s="1" t="inlineStr">
        <is>
          <t>Liverwurst spread</t>
        </is>
      </c>
      <c r="C4282" s="1" t="n">
        <v>5.89</v>
      </c>
      <c r="D4282" s="1" t="n">
        <v>30</v>
      </c>
      <c r="E4282" s="1" t="n">
        <v>8.85</v>
      </c>
      <c r="F4282" s="1" t="n">
        <v>12.38</v>
      </c>
      <c r="G4282" s="1" t="n">
        <v>25.45</v>
      </c>
      <c r="H4282" s="1" t="n">
        <v>13636</v>
      </c>
      <c r="I4282" s="1" t="n">
        <v>2.3</v>
      </c>
      <c r="J4282" t="n">
        <v>14420100</v>
      </c>
    </row>
    <row r="4283" ht="15.75" customHeight="1" s="201">
      <c r="A4283" s="1" t="inlineStr">
        <is>
          <t>Loganberries, frozen</t>
        </is>
      </c>
      <c r="C4283" s="1" t="n">
        <v>13.02</v>
      </c>
      <c r="D4283" s="1" t="n">
        <v>26</v>
      </c>
      <c r="E4283" s="1" t="n">
        <v>0.64</v>
      </c>
      <c r="F4283" s="1" t="n">
        <v>1.52</v>
      </c>
      <c r="G4283" s="1" t="n">
        <v>0.31</v>
      </c>
      <c r="H4283" s="1" t="n">
        <v>35</v>
      </c>
      <c r="I4283" s="1" t="n">
        <v>0.34</v>
      </c>
      <c r="J4283" t="n">
        <v>11461200</v>
      </c>
    </row>
    <row r="4284" ht="15.75" customHeight="1" s="201">
      <c r="A4284" s="1" t="inlineStr">
        <is>
          <t>Longans, dried</t>
        </is>
      </c>
      <c r="C4284" s="1" t="n">
        <v>74</v>
      </c>
      <c r="E4284" s="1" t="n">
        <v>5.4</v>
      </c>
      <c r="F4284" s="1" t="n">
        <v>4.9</v>
      </c>
      <c r="G4284" s="1" t="n">
        <v>0.4</v>
      </c>
      <c r="H4284" s="1" t="n">
        <v>0</v>
      </c>
      <c r="I4284" s="1" t="n">
        <v>0.22</v>
      </c>
      <c r="J4284" t="n">
        <v>41301010</v>
      </c>
    </row>
    <row r="4285" ht="15.75" customHeight="1" s="201">
      <c r="A4285" s="1" t="inlineStr">
        <is>
          <t>Longans, raw</t>
        </is>
      </c>
      <c r="C4285" s="1" t="n">
        <v>15.14</v>
      </c>
      <c r="E4285" s="1" t="n">
        <v>0.13</v>
      </c>
      <c r="F4285" s="1" t="n">
        <v>1.31</v>
      </c>
      <c r="G4285" s="1" t="n">
        <v>0.1</v>
      </c>
      <c r="I4285" s="1" t="n">
        <v>0.05</v>
      </c>
    </row>
    <row r="4286" ht="15.75" customHeight="1" s="201">
      <c r="A4286" s="1" t="inlineStr">
        <is>
          <t>Loquats, raw</t>
        </is>
      </c>
      <c r="C4286" s="1" t="n">
        <v>12.14</v>
      </c>
      <c r="D4286" s="1" t="n">
        <v>14</v>
      </c>
      <c r="E4286" s="1" t="n">
        <v>0.28</v>
      </c>
      <c r="F4286" s="1" t="n">
        <v>0.43</v>
      </c>
      <c r="G4286" s="1" t="n">
        <v>0.2</v>
      </c>
      <c r="H4286" s="1" t="n">
        <v>1528</v>
      </c>
      <c r="I4286" s="1" t="n">
        <v>0.05</v>
      </c>
    </row>
    <row r="4287" ht="15.75" customHeight="1" s="201">
      <c r="A4287" s="1" t="inlineStr">
        <is>
          <t>Lotus root, cooked, boiled, drained, with salt</t>
        </is>
      </c>
      <c r="C4287" s="1" t="n">
        <v>16.02</v>
      </c>
      <c r="D4287" s="1" t="n">
        <v>8</v>
      </c>
      <c r="E4287" s="1" t="n">
        <v>0.9</v>
      </c>
      <c r="F4287" s="1" t="n">
        <v>1.58</v>
      </c>
      <c r="G4287" s="1" t="n">
        <v>0.07000000000000001</v>
      </c>
      <c r="H4287" s="1" t="n">
        <v>0</v>
      </c>
      <c r="I4287" s="1" t="n">
        <v>0.33</v>
      </c>
      <c r="J4287" t="n">
        <v>75142550</v>
      </c>
    </row>
    <row r="4288" ht="15.75" customHeight="1" s="201">
      <c r="A4288" s="1" t="inlineStr">
        <is>
          <t>Lotus root, cooked, boiled, drained, without salt</t>
        </is>
      </c>
      <c r="C4288" s="1" t="n">
        <v>16.02</v>
      </c>
      <c r="D4288" s="1" t="n">
        <v>8</v>
      </c>
      <c r="E4288" s="1" t="n">
        <v>0.9</v>
      </c>
      <c r="F4288" s="1" t="n">
        <v>1.58</v>
      </c>
      <c r="G4288" s="1" t="n">
        <v>0.07000000000000001</v>
      </c>
      <c r="H4288" s="1" t="n">
        <v>0</v>
      </c>
      <c r="I4288" s="1" t="n">
        <v>0.33</v>
      </c>
      <c r="J4288" t="n">
        <v>31103010</v>
      </c>
    </row>
    <row r="4289" ht="15.75" customHeight="1" s="201">
      <c r="A4289" s="1" t="inlineStr">
        <is>
          <t>Lotus root, raw</t>
        </is>
      </c>
      <c r="C4289" s="1" t="n">
        <v>17.23</v>
      </c>
      <c r="D4289" s="1" t="n">
        <v>13</v>
      </c>
      <c r="E4289" s="1" t="n">
        <v>1.16</v>
      </c>
      <c r="F4289" s="1" t="n">
        <v>2.6</v>
      </c>
      <c r="G4289" s="1" t="n">
        <v>0.1</v>
      </c>
      <c r="H4289" s="1" t="n">
        <v>0</v>
      </c>
      <c r="I4289" s="1" t="n">
        <v>0.39</v>
      </c>
      <c r="J4289" t="n">
        <v>53452120</v>
      </c>
    </row>
    <row r="4290" ht="15.75" customHeight="1" s="201">
      <c r="A4290" s="1" t="inlineStr">
        <is>
          <t>Luncheon meat, pork and chicken, minced, canned, includes Spam Lite</t>
        </is>
      </c>
      <c r="C4290" s="1" t="n">
        <v>1.35</v>
      </c>
      <c r="D4290" s="1" t="n">
        <v>4</v>
      </c>
      <c r="E4290" s="1" t="n">
        <v>1.4</v>
      </c>
      <c r="F4290" s="1" t="n">
        <v>15.23</v>
      </c>
      <c r="G4290" s="1" t="n">
        <v>13.9</v>
      </c>
      <c r="H4290" s="1" t="n">
        <v>0</v>
      </c>
      <c r="I4290" s="1" t="n">
        <v>2.2</v>
      </c>
      <c r="J4290" t="n">
        <v>25230540</v>
      </c>
    </row>
    <row r="4291" ht="15.75" customHeight="1" s="201">
      <c r="A4291" s="1" t="inlineStr">
        <is>
          <t>Luncheon meat, pork with ham, minced, canned, includes Spam (Hormel)</t>
        </is>
      </c>
      <c r="C4291" s="1" t="n">
        <v>4.6</v>
      </c>
      <c r="D4291" s="1" t="n">
        <v>3</v>
      </c>
      <c r="E4291" s="1" t="n">
        <v>0.64</v>
      </c>
      <c r="F4291" s="1" t="n">
        <v>13.4</v>
      </c>
      <c r="G4291" s="1" t="n">
        <v>26.6</v>
      </c>
      <c r="H4291" s="1" t="n">
        <v>0</v>
      </c>
      <c r="I4291" s="1" t="n">
        <v>1.59</v>
      </c>
      <c r="J4291" t="n">
        <v>75142550</v>
      </c>
    </row>
    <row r="4292" ht="15.75" customHeight="1" s="201">
      <c r="A4292" s="1" t="inlineStr">
        <is>
          <t>Luncheon meat, pork, canned</t>
        </is>
      </c>
      <c r="C4292" s="1" t="n">
        <v>2.1</v>
      </c>
      <c r="D4292" s="1" t="n">
        <v>6</v>
      </c>
      <c r="E4292" s="1" t="n">
        <v>0.72</v>
      </c>
      <c r="F4292" s="1" t="n">
        <v>12.5</v>
      </c>
      <c r="G4292" s="1" t="n">
        <v>30.3</v>
      </c>
      <c r="H4292" s="1" t="n">
        <v>0</v>
      </c>
      <c r="I4292" s="1" t="n">
        <v>1.48</v>
      </c>
      <c r="J4292" t="n">
        <v>25230530</v>
      </c>
    </row>
    <row r="4293" ht="15.75" customHeight="1" s="201">
      <c r="A4293" s="1" t="inlineStr">
        <is>
          <t>Luncheon meat, pork, ham, and chicken, minced, canned, reduced sodium, added ascorbic acid, includes SPAM, 25% less sodium</t>
        </is>
      </c>
      <c r="C4293" s="1" t="n">
        <v>3.4</v>
      </c>
      <c r="D4293" s="1" t="n">
        <v>4</v>
      </c>
      <c r="E4293" s="1" t="n">
        <v>0.64</v>
      </c>
      <c r="F4293" s="1" t="n">
        <v>12.5</v>
      </c>
      <c r="G4293" s="1" t="n">
        <v>25.1</v>
      </c>
      <c r="H4293" s="1" t="n">
        <v>0</v>
      </c>
      <c r="I4293" s="1" t="n">
        <v>2.12</v>
      </c>
      <c r="J4293" t="n">
        <v>54204030</v>
      </c>
    </row>
    <row r="4294" ht="15.75" customHeight="1" s="201">
      <c r="A4294" s="1" t="inlineStr">
        <is>
          <t>Luncheon sausage, pork and beef</t>
        </is>
      </c>
      <c r="C4294" s="1" t="n">
        <v>1.58</v>
      </c>
      <c r="D4294" s="1" t="n">
        <v>3</v>
      </c>
      <c r="E4294" s="1" t="n">
        <v>1.43</v>
      </c>
      <c r="F4294" s="1" t="n">
        <v>15.38</v>
      </c>
      <c r="G4294" s="1" t="n">
        <v>20.9</v>
      </c>
      <c r="H4294" s="1" t="n">
        <v>0</v>
      </c>
      <c r="I4294" s="1" t="n">
        <v>2.45</v>
      </c>
      <c r="J4294" t="n">
        <v>28110510</v>
      </c>
    </row>
    <row r="4295" ht="15.75" customHeight="1" s="201">
      <c r="A4295" s="1" t="inlineStr">
        <is>
          <t>Luncheon slices, meatless</t>
        </is>
      </c>
      <c r="C4295" s="1" t="n">
        <v>4.44</v>
      </c>
      <c r="D4295" s="1" t="n">
        <v>100</v>
      </c>
      <c r="E4295" s="1" t="n">
        <v>1.8</v>
      </c>
      <c r="F4295" s="1" t="n">
        <v>17.78</v>
      </c>
      <c r="G4295" s="1" t="n">
        <v>11.11</v>
      </c>
      <c r="H4295" s="1" t="n">
        <v>0</v>
      </c>
      <c r="I4295" s="1" t="n">
        <v>1.6</v>
      </c>
      <c r="J4295" t="n">
        <v>58147510</v>
      </c>
    </row>
    <row r="4296" ht="15.75" customHeight="1" s="201">
      <c r="A4296" s="1" t="inlineStr">
        <is>
          <t>Lupins, mature seeds, cooked, boiled, with salt</t>
        </is>
      </c>
      <c r="C4296" s="1" t="n">
        <v>9.289999999999999</v>
      </c>
      <c r="D4296" s="1" t="n">
        <v>59</v>
      </c>
      <c r="E4296" s="1" t="n">
        <v>1.2</v>
      </c>
      <c r="F4296" s="1" t="n">
        <v>15.57</v>
      </c>
      <c r="G4296" s="1" t="n">
        <v>2.92</v>
      </c>
      <c r="H4296" s="1" t="n">
        <v>0</v>
      </c>
      <c r="I4296" s="1" t="n">
        <v>1.38</v>
      </c>
      <c r="J4296" t="n">
        <v>75142550</v>
      </c>
    </row>
    <row r="4297" ht="15.75" customHeight="1" s="201">
      <c r="A4297" s="1" t="inlineStr">
        <is>
          <t>Lupins, mature seeds, cooked, boiled, without salt</t>
        </is>
      </c>
      <c r="C4297" s="1" t="n">
        <v>9.880000000000001</v>
      </c>
      <c r="D4297" s="1" t="n">
        <v>59</v>
      </c>
      <c r="E4297" s="1" t="n">
        <v>1.2</v>
      </c>
      <c r="F4297" s="1" t="n">
        <v>15.57</v>
      </c>
      <c r="G4297" s="1" t="n">
        <v>2.92</v>
      </c>
      <c r="H4297" s="1" t="n">
        <v>7</v>
      </c>
      <c r="I4297" s="1" t="n">
        <v>1.38</v>
      </c>
      <c r="J4297" t="n">
        <v>54318500</v>
      </c>
    </row>
    <row r="4298" ht="15.75" customHeight="1" s="201">
      <c r="A4298" s="1" t="inlineStr">
        <is>
          <t>Lupins, mature seeds, raw</t>
        </is>
      </c>
      <c r="C4298" s="1" t="n">
        <v>40.37</v>
      </c>
      <c r="D4298" s="1" t="n">
        <v>355</v>
      </c>
      <c r="E4298" s="1" t="n">
        <v>4.36</v>
      </c>
      <c r="F4298" s="1" t="n">
        <v>36.17</v>
      </c>
      <c r="G4298" s="1" t="n">
        <v>9.74</v>
      </c>
      <c r="H4298" s="1" t="n">
        <v>0</v>
      </c>
      <c r="I4298" s="1" t="n">
        <v>4.75</v>
      </c>
      <c r="J4298" t="n">
        <v>43101100</v>
      </c>
    </row>
    <row r="4299" ht="15.75" customHeight="1" s="201">
      <c r="A4299" s="1" t="inlineStr">
        <is>
          <t>Luxury loaf, pork</t>
        </is>
      </c>
      <c r="C4299" s="1" t="n">
        <v>4.9</v>
      </c>
      <c r="D4299" s="1" t="n">
        <v>2</v>
      </c>
      <c r="E4299" s="1" t="n">
        <v>1.05</v>
      </c>
      <c r="F4299" s="1" t="n">
        <v>18.4</v>
      </c>
      <c r="G4299" s="1" t="n">
        <v>4.8</v>
      </c>
      <c r="H4299" s="1" t="n">
        <v>0</v>
      </c>
      <c r="I4299" s="1" t="n">
        <v>3.05</v>
      </c>
      <c r="J4299" t="n">
        <v>25230610</v>
      </c>
    </row>
    <row r="4300" ht="15.75" customHeight="1" s="201">
      <c r="A4300" s="1" t="inlineStr">
        <is>
          <t>Macaroni and cheese dinner with dry sauce mix, boxed, uncooked</t>
        </is>
      </c>
      <c r="C4300" s="1" t="n">
        <v>70.12</v>
      </c>
      <c r="D4300" s="1" t="n">
        <v>204</v>
      </c>
      <c r="E4300" s="1" t="n">
        <v>2.75</v>
      </c>
      <c r="F4300" s="1" t="n">
        <v>13.86</v>
      </c>
      <c r="G4300" s="1" t="n">
        <v>4.82</v>
      </c>
      <c r="H4300" s="1" t="n">
        <v>66</v>
      </c>
      <c r="I4300" s="1" t="n">
        <v>1.23</v>
      </c>
      <c r="J4300" t="n">
        <v>51121065</v>
      </c>
    </row>
    <row r="4301" ht="15.75" customHeight="1" s="201">
      <c r="A4301" s="1" t="inlineStr">
        <is>
          <t>Macaroni and cheese loaf, chicken, pork and beef</t>
        </is>
      </c>
      <c r="C4301" s="1" t="n">
        <v>11.63</v>
      </c>
      <c r="D4301" s="1" t="n">
        <v>24</v>
      </c>
      <c r="E4301" s="1" t="n">
        <v>1.2</v>
      </c>
      <c r="F4301" s="1" t="n">
        <v>11.76</v>
      </c>
      <c r="G4301" s="1" t="n">
        <v>14.96</v>
      </c>
      <c r="H4301" s="1" t="n">
        <v>0</v>
      </c>
      <c r="I4301" s="1" t="n">
        <v>1.51</v>
      </c>
      <c r="J4301" t="n">
        <v>27446315</v>
      </c>
    </row>
    <row r="4302" ht="15.75" customHeight="1" s="201">
      <c r="A4302" s="1" t="inlineStr">
        <is>
          <t>Macaroni and cheese, box mix with cheese sauce, prepared</t>
        </is>
      </c>
      <c r="C4302" s="1" t="n">
        <v>23.1</v>
      </c>
      <c r="E4302" s="1" t="n">
        <v>1.17</v>
      </c>
      <c r="F4302" s="1" t="n">
        <v>6.68</v>
      </c>
      <c r="G4302" s="1" t="n">
        <v>4.99</v>
      </c>
      <c r="H4302" s="1" t="n">
        <v>72</v>
      </c>
      <c r="I4302" s="1" t="n">
        <v>0.65</v>
      </c>
      <c r="J4302" t="n">
        <v>51121065</v>
      </c>
    </row>
    <row r="4303" ht="15.75" customHeight="1" s="201">
      <c r="A4303" s="1" t="inlineStr">
        <is>
          <t>Macaroni and cheese, box mix with cheese sauce, unprepared</t>
        </is>
      </c>
      <c r="C4303" s="1" t="n">
        <v>46.66</v>
      </c>
      <c r="D4303" s="1" t="n">
        <v>134</v>
      </c>
      <c r="E4303" s="1" t="n">
        <v>2.07</v>
      </c>
      <c r="F4303" s="1" t="n">
        <v>12.73</v>
      </c>
      <c r="G4303" s="1" t="n">
        <v>10.67</v>
      </c>
      <c r="H4303" s="1" t="n">
        <v>42</v>
      </c>
      <c r="I4303" s="1" t="n">
        <v>1.3</v>
      </c>
      <c r="J4303" t="n">
        <v>51121065</v>
      </c>
    </row>
    <row r="4304" ht="15.75" customHeight="1" s="201">
      <c r="A4304" s="1" t="inlineStr">
        <is>
          <t>Macaroni and Cheese, canned entree</t>
        </is>
      </c>
      <c r="C4304" s="1" t="n">
        <v>11.52</v>
      </c>
      <c r="D4304" s="1" t="n">
        <v>13</v>
      </c>
      <c r="E4304" s="1" t="n">
        <v>0.9</v>
      </c>
      <c r="F4304" s="1" t="n">
        <v>3.38</v>
      </c>
      <c r="G4304" s="1" t="n">
        <v>2.46</v>
      </c>
      <c r="H4304" s="1" t="n">
        <v>65</v>
      </c>
      <c r="I4304" s="1" t="n">
        <v>0.45</v>
      </c>
      <c r="J4304" t="n">
        <v>14420100</v>
      </c>
    </row>
    <row r="4305" ht="15.75" customHeight="1" s="201">
      <c r="A4305" s="1" t="inlineStr">
        <is>
          <t>Macaroni and Cheese, canned, microwavable</t>
        </is>
      </c>
      <c r="C4305" s="1" t="n">
        <v>13.96</v>
      </c>
      <c r="E4305" s="1" t="n">
        <v>0.91</v>
      </c>
      <c r="F4305" s="1" t="n">
        <v>5.98</v>
      </c>
      <c r="G4305" s="1" t="n">
        <v>5.99</v>
      </c>
      <c r="I4305" s="1" t="n">
        <v>0.55</v>
      </c>
      <c r="J4305" t="n">
        <v>14420100</v>
      </c>
    </row>
    <row r="4306" ht="15.75" customHeight="1" s="201">
      <c r="A4306" s="1" t="inlineStr">
        <is>
          <t>Macaroni and cheese, dry mix, prepared with 2% milk and 80% stick margarine from dry mix</t>
        </is>
      </c>
      <c r="C4306" s="1" t="n">
        <v>23.93</v>
      </c>
      <c r="D4306" s="1" t="n">
        <v>70</v>
      </c>
      <c r="E4306" s="1" t="n">
        <v>0.99</v>
      </c>
      <c r="F4306" s="1" t="n">
        <v>4.89</v>
      </c>
      <c r="G4306" s="1" t="n">
        <v>8.279999999999999</v>
      </c>
      <c r="I4306" s="1" t="n">
        <v>0.47</v>
      </c>
      <c r="J4306" t="n">
        <v>51121065</v>
      </c>
    </row>
    <row r="4307" ht="15.75" customHeight="1" s="201">
      <c r="A4307" s="1" t="inlineStr">
        <is>
          <t>Macaroni and cheese, frozen entree</t>
        </is>
      </c>
      <c r="C4307" s="1" t="n">
        <v>17.28</v>
      </c>
      <c r="D4307" s="1" t="n">
        <v>7</v>
      </c>
      <c r="E4307" s="1" t="n">
        <v>0.57</v>
      </c>
      <c r="F4307" s="1" t="n">
        <v>5.6</v>
      </c>
      <c r="G4307" s="1" t="n">
        <v>6.41</v>
      </c>
      <c r="H4307" s="1" t="n">
        <v>182</v>
      </c>
      <c r="I4307" s="1" t="n">
        <v>0.8</v>
      </c>
      <c r="J4307" t="n">
        <v>58145110</v>
      </c>
    </row>
    <row r="4308" ht="15.75" customHeight="1" s="201">
      <c r="A4308" s="1" t="inlineStr">
        <is>
          <t>Macaroni or noodles with cheese, made from reduced fat packaged mix, unprepared</t>
        </is>
      </c>
      <c r="C4308" s="1" t="n">
        <v>52.06</v>
      </c>
      <c r="D4308" s="1" t="n">
        <v>138</v>
      </c>
      <c r="E4308" s="1" t="n">
        <v>1.81</v>
      </c>
      <c r="F4308" s="1" t="n">
        <v>13.1</v>
      </c>
      <c r="G4308" s="1" t="n">
        <v>4.03</v>
      </c>
      <c r="H4308" s="1" t="n">
        <v>101</v>
      </c>
      <c r="I4308" s="1" t="n">
        <v>1.34</v>
      </c>
      <c r="J4308" t="n">
        <v>58145119</v>
      </c>
    </row>
    <row r="4309" ht="15.75" customHeight="1" s="201">
      <c r="A4309" s="1" t="inlineStr">
        <is>
          <t>Macaroni or noodles with cheese, microwaveable, unprepared</t>
        </is>
      </c>
      <c r="C4309" s="1" t="n">
        <v>70.75</v>
      </c>
      <c r="D4309" s="1" t="n">
        <v>204</v>
      </c>
      <c r="E4309" s="1" t="n">
        <v>2.36</v>
      </c>
      <c r="F4309" s="1" t="n">
        <v>11.48</v>
      </c>
      <c r="G4309" s="1" t="n">
        <v>6.56</v>
      </c>
      <c r="H4309" s="1" t="n">
        <v>336</v>
      </c>
      <c r="I4309" s="1" t="n">
        <v>1.23</v>
      </c>
      <c r="J4309" t="n">
        <v>51121065</v>
      </c>
    </row>
    <row r="4310" ht="15.75" customHeight="1" s="201">
      <c r="A4310" s="1" t="inlineStr">
        <is>
          <t>Macaroni, vegetable, enriched, cooked</t>
        </is>
      </c>
      <c r="C4310" s="1" t="n">
        <v>26.61</v>
      </c>
      <c r="D4310" s="1" t="n">
        <v>65</v>
      </c>
      <c r="E4310" s="1" t="n">
        <v>0.49</v>
      </c>
      <c r="F4310" s="1" t="n">
        <v>4.53</v>
      </c>
      <c r="G4310" s="1" t="n">
        <v>0.11</v>
      </c>
      <c r="H4310" s="1" t="n">
        <v>92</v>
      </c>
      <c r="I4310" s="1" t="n">
        <v>0.44</v>
      </c>
      <c r="J4310" t="n">
        <v>56104000</v>
      </c>
    </row>
    <row r="4311" ht="15.75" customHeight="1" s="201">
      <c r="A4311" s="1" t="inlineStr">
        <is>
          <t>Macaroni, vegetable, enriched, dry</t>
        </is>
      </c>
      <c r="C4311" s="1" t="n">
        <v>74.88</v>
      </c>
      <c r="D4311" s="1" t="n">
        <v>278</v>
      </c>
      <c r="E4311" s="1" t="n">
        <v>4.28</v>
      </c>
      <c r="F4311" s="1" t="n">
        <v>13.14</v>
      </c>
      <c r="G4311" s="1" t="n">
        <v>1.04</v>
      </c>
      <c r="H4311" s="1" t="n">
        <v>160</v>
      </c>
      <c r="I4311" s="1" t="n">
        <v>0.76</v>
      </c>
      <c r="J4311" t="n">
        <v>56104000</v>
      </c>
    </row>
    <row r="4312" ht="15.75" customHeight="1" s="201">
      <c r="A4312" s="1" t="inlineStr">
        <is>
          <t>Malabar spinach, cooked</t>
        </is>
      </c>
      <c r="C4312" s="1" t="n">
        <v>2.71</v>
      </c>
      <c r="D4312" s="1" t="n">
        <v>114</v>
      </c>
      <c r="E4312" s="1" t="n">
        <v>1.48</v>
      </c>
      <c r="F4312" s="1" t="n">
        <v>2.98</v>
      </c>
      <c r="G4312" s="1" t="n">
        <v>0.78</v>
      </c>
      <c r="H4312" s="1" t="n">
        <v>1158</v>
      </c>
      <c r="I4312" s="1" t="n">
        <v>0.3</v>
      </c>
      <c r="J4312" t="n">
        <v>56104000</v>
      </c>
    </row>
    <row r="4313" ht="15.75" customHeight="1" s="201">
      <c r="A4313" s="1" t="inlineStr">
        <is>
          <t>Mammy-apple, (mamey), raw</t>
        </is>
      </c>
      <c r="C4313" s="1" t="n">
        <v>12.5</v>
      </c>
      <c r="D4313" s="1" t="n">
        <v>14</v>
      </c>
      <c r="E4313" s="1" t="n">
        <v>0.7</v>
      </c>
      <c r="F4313" s="1" t="n">
        <v>0.5</v>
      </c>
      <c r="G4313" s="1" t="n">
        <v>0.5</v>
      </c>
      <c r="H4313" s="1" t="n">
        <v>230</v>
      </c>
      <c r="I4313" s="1" t="n">
        <v>0.1</v>
      </c>
      <c r="J4313" t="n">
        <v>53301000</v>
      </c>
    </row>
    <row r="4314" ht="15.75" customHeight="1" s="201">
      <c r="A4314" s="1" t="inlineStr">
        <is>
          <t>Mango nectar, canned</t>
        </is>
      </c>
      <c r="C4314" s="1" t="n">
        <v>13.12</v>
      </c>
      <c r="D4314" s="1" t="n">
        <v>7</v>
      </c>
      <c r="E4314" s="1" t="n">
        <v>0.36</v>
      </c>
      <c r="F4314" s="1" t="n">
        <v>0.11</v>
      </c>
      <c r="G4314" s="1" t="n">
        <v>0.06</v>
      </c>
      <c r="H4314" s="1" t="n">
        <v>692</v>
      </c>
      <c r="I4314" s="1" t="n">
        <v>0.02</v>
      </c>
      <c r="J4314" t="n">
        <v>63311110</v>
      </c>
    </row>
    <row r="4315" ht="15.75" customHeight="1" s="201">
      <c r="A4315" s="1" t="inlineStr">
        <is>
          <t>Mango, dried, sweetened</t>
        </is>
      </c>
      <c r="C4315" s="1" t="n">
        <v>78.58</v>
      </c>
      <c r="D4315" s="1" t="n">
        <v>68</v>
      </c>
      <c r="E4315" s="1" t="n">
        <v>0.23</v>
      </c>
      <c r="F4315" s="1" t="n">
        <v>2.45</v>
      </c>
      <c r="G4315" s="1" t="n">
        <v>1.18</v>
      </c>
      <c r="H4315" s="1" t="n">
        <v>1343</v>
      </c>
      <c r="I4315" s="1" t="n">
        <v>0.3</v>
      </c>
      <c r="J4315" t="n">
        <v>62114050</v>
      </c>
    </row>
    <row r="4316" ht="15.75" customHeight="1" s="201">
      <c r="A4316" s="1" t="inlineStr">
        <is>
          <t>Mangos, raw</t>
        </is>
      </c>
      <c r="C4316" s="1" t="n">
        <v>14.98</v>
      </c>
      <c r="D4316" s="1" t="n">
        <v>43</v>
      </c>
      <c r="E4316" s="1" t="n">
        <v>0.16</v>
      </c>
      <c r="F4316" s="1" t="n">
        <v>0.82</v>
      </c>
      <c r="G4316" s="1" t="n">
        <v>0.38</v>
      </c>
      <c r="H4316" s="1" t="n">
        <v>1082</v>
      </c>
      <c r="I4316" s="1" t="n">
        <v>0.09</v>
      </c>
    </row>
    <row r="4317" ht="15.75" customHeight="1" s="201">
      <c r="A4317" s="1" t="inlineStr">
        <is>
          <t>Mangosteen, canned, syrup pack</t>
        </is>
      </c>
      <c r="C4317" s="1" t="n">
        <v>17.91</v>
      </c>
      <c r="D4317" s="1" t="n">
        <v>31</v>
      </c>
      <c r="E4317" s="1" t="n">
        <v>0.3</v>
      </c>
      <c r="F4317" s="1" t="n">
        <v>0.41</v>
      </c>
      <c r="G4317" s="1" t="n">
        <v>0.58</v>
      </c>
      <c r="H4317" s="1" t="n">
        <v>35</v>
      </c>
      <c r="I4317" s="1" t="n">
        <v>0.21</v>
      </c>
      <c r="J4317" t="n">
        <v>53109200</v>
      </c>
    </row>
    <row r="4318" ht="15.75" customHeight="1" s="201">
      <c r="A4318" s="1" t="inlineStr">
        <is>
          <t>Maraschino cherries, canned, drained</t>
        </is>
      </c>
      <c r="C4318" s="1" t="n">
        <v>41.97</v>
      </c>
      <c r="D4318" s="1" t="n">
        <v>0</v>
      </c>
      <c r="E4318" s="1" t="n">
        <v>0.43</v>
      </c>
      <c r="F4318" s="1" t="n">
        <v>0.22</v>
      </c>
      <c r="G4318" s="1" t="n">
        <v>0.21</v>
      </c>
      <c r="H4318" s="1" t="n">
        <v>45</v>
      </c>
      <c r="I4318" s="1" t="n">
        <v>0.26</v>
      </c>
      <c r="J4318" t="n">
        <v>63311110</v>
      </c>
    </row>
    <row r="4319" ht="15.75" customHeight="1" s="201">
      <c r="A4319" s="1" t="inlineStr">
        <is>
          <t>Margarine Spread, 40-49% fat, tub</t>
        </is>
      </c>
      <c r="C4319" s="1" t="n">
        <v>0</v>
      </c>
      <c r="D4319" s="1" t="n">
        <v>1</v>
      </c>
      <c r="E4319" s="1" t="n">
        <v>0.06</v>
      </c>
      <c r="F4319" s="1" t="n">
        <v>0.27</v>
      </c>
      <c r="G4319" s="1" t="n">
        <v>44.46</v>
      </c>
      <c r="I4319" s="1" t="n">
        <v>0.02</v>
      </c>
      <c r="J4319" t="n">
        <v>14420100</v>
      </c>
    </row>
    <row r="4320" ht="15.75" customHeight="1" s="201">
      <c r="A4320" s="1" t="inlineStr">
        <is>
          <t>Margarine, 80% fat, stick, includes regular and hydrogenated corn and soybean oils</t>
        </is>
      </c>
      <c r="C4320" s="1" t="n">
        <v>0.7</v>
      </c>
      <c r="D4320" s="1" t="n">
        <v>1</v>
      </c>
      <c r="E4320" s="1" t="n">
        <v>0.12</v>
      </c>
      <c r="F4320" s="1" t="n">
        <v>0.16</v>
      </c>
      <c r="G4320" s="1" t="n">
        <v>80.70999999999999</v>
      </c>
      <c r="I4320" s="1" t="n">
        <v>0.11</v>
      </c>
      <c r="J4320" t="n">
        <v>54401055</v>
      </c>
    </row>
    <row r="4321" ht="15.75" customHeight="1" s="201">
      <c r="A4321" s="1" t="inlineStr">
        <is>
          <t>Margarine, 80% fat, tub, CANOLA HARVEST Soft Spread (canola, palm and palm kernel oils)</t>
        </is>
      </c>
      <c r="C4321" s="1" t="n">
        <v>1.39</v>
      </c>
      <c r="F4321" s="1" t="n">
        <v>0.41</v>
      </c>
      <c r="G4321" s="1" t="n">
        <v>80.31999999999999</v>
      </c>
    </row>
    <row r="4322" ht="15.75" customHeight="1" s="201">
      <c r="A4322" s="1" t="inlineStr">
        <is>
          <t>Margarine, industrial, non-dairy, cottonseed, soy oil (partially hydrogenated ), for flaky pastries</t>
        </is>
      </c>
      <c r="C4322" s="1" t="n">
        <v>0</v>
      </c>
      <c r="D4322" s="1" t="n">
        <v>3</v>
      </c>
      <c r="E4322" s="1" t="n">
        <v>0</v>
      </c>
      <c r="F4322" s="1" t="n">
        <v>1.9</v>
      </c>
      <c r="G4322" s="1" t="n">
        <v>80.2</v>
      </c>
      <c r="H4322" s="1" t="n">
        <v>4286</v>
      </c>
      <c r="I4322" s="1" t="n">
        <v>0</v>
      </c>
    </row>
    <row r="4323" ht="15.75" customHeight="1" s="201">
      <c r="A4323" s="1" t="inlineStr">
        <is>
          <t>Margarine, industrial, soy and partially hydrogenated soy oil, use for baking, sauces and candy</t>
        </is>
      </c>
      <c r="C4323" s="1" t="n">
        <v>0.71</v>
      </c>
      <c r="D4323" s="1" t="n">
        <v>1</v>
      </c>
      <c r="E4323" s="1" t="n">
        <v>0.12</v>
      </c>
      <c r="F4323" s="1" t="n">
        <v>0.18</v>
      </c>
      <c r="G4323" s="1" t="n">
        <v>80</v>
      </c>
      <c r="H4323" s="1" t="n">
        <v>3571</v>
      </c>
      <c r="I4323" s="1" t="n">
        <v>0.11</v>
      </c>
      <c r="J4323" t="n">
        <v>91745020</v>
      </c>
    </row>
    <row r="4324" ht="15.75" customHeight="1" s="201">
      <c r="A4324" s="1" t="inlineStr">
        <is>
          <t>Margarine, margarine-like vegetable oil spread, 67-70% fat, tub</t>
        </is>
      </c>
      <c r="C4324" s="1" t="n">
        <v>0.59</v>
      </c>
      <c r="F4324" s="1" t="n">
        <v>0.07000000000000001</v>
      </c>
      <c r="G4324" s="1" t="n">
        <v>68.29000000000001</v>
      </c>
      <c r="H4324" s="1" t="n">
        <v>3571</v>
      </c>
      <c r="J4324" t="n">
        <v>81104010</v>
      </c>
    </row>
    <row r="4325" ht="15.75" customHeight="1" s="201">
      <c r="A4325" s="1" t="inlineStr">
        <is>
          <t>Margarine, margarine-type vegetable oil spread, 70% fat, soybean and partially hydrogenated soybean, stick</t>
        </is>
      </c>
      <c r="C4325" s="1" t="n">
        <v>1.53</v>
      </c>
      <c r="D4325" s="1" t="n">
        <v>1</v>
      </c>
      <c r="E4325" s="1" t="n">
        <v>0.12</v>
      </c>
      <c r="F4325" s="1" t="n">
        <v>0.26</v>
      </c>
      <c r="G4325" s="1" t="n">
        <v>70.22</v>
      </c>
      <c r="H4325" s="1" t="n">
        <v>3571</v>
      </c>
      <c r="I4325" s="1" t="n">
        <v>0.06</v>
      </c>
    </row>
    <row r="4326" ht="15.75" customHeight="1" s="201">
      <c r="A4326" s="1" t="inlineStr">
        <is>
          <t>Margarine, regular, 80% fat, composite, stick, with salt</t>
        </is>
      </c>
      <c r="C4326" s="1" t="n">
        <v>0.7</v>
      </c>
      <c r="D4326" s="1" t="n">
        <v>1</v>
      </c>
      <c r="E4326" s="1" t="n">
        <v>0.06</v>
      </c>
      <c r="F4326" s="1" t="n">
        <v>0.16</v>
      </c>
      <c r="G4326" s="1" t="n">
        <v>80.70999999999999</v>
      </c>
      <c r="H4326" s="1" t="n">
        <v>3571</v>
      </c>
      <c r="I4326" s="1" t="n">
        <v>0</v>
      </c>
      <c r="J4326" t="n">
        <v>75142550</v>
      </c>
    </row>
    <row r="4327" ht="15.75" customHeight="1" s="201">
      <c r="A4327" s="1" t="inlineStr">
        <is>
          <t>Margarine, regular, 80% fat, composite, stick, with salt, with added vitamin D</t>
        </is>
      </c>
      <c r="C4327" s="1" t="n">
        <v>0.7</v>
      </c>
      <c r="D4327" s="1" t="n">
        <v>1</v>
      </c>
      <c r="E4327" s="1" t="n">
        <v>0.06</v>
      </c>
      <c r="F4327" s="1" t="n">
        <v>0.16</v>
      </c>
      <c r="G4327" s="1" t="n">
        <v>80.70999999999999</v>
      </c>
      <c r="H4327" s="1" t="n">
        <v>3577</v>
      </c>
      <c r="I4327" s="1" t="n">
        <v>0</v>
      </c>
      <c r="J4327" t="n">
        <v>75142550</v>
      </c>
    </row>
    <row r="4328" ht="15.75" customHeight="1" s="201">
      <c r="A4328" s="1" t="inlineStr">
        <is>
          <t>Margarine, regular, 80% fat, composite, stick, without salt</t>
        </is>
      </c>
      <c r="C4328" s="1" t="n">
        <v>0.7</v>
      </c>
      <c r="D4328" s="1" t="n">
        <v>1</v>
      </c>
      <c r="E4328" s="1" t="n">
        <v>0.06</v>
      </c>
      <c r="F4328" s="1" t="n">
        <v>0.16</v>
      </c>
      <c r="G4328" s="1" t="n">
        <v>80.70999999999999</v>
      </c>
      <c r="H4328" s="1" t="n">
        <v>3577</v>
      </c>
      <c r="I4328" s="1" t="n">
        <v>0</v>
      </c>
      <c r="J4328" t="n">
        <v>25230220</v>
      </c>
    </row>
    <row r="4329" ht="15.75" customHeight="1" s="201">
      <c r="A4329" s="1" t="inlineStr">
        <is>
          <t>Margarine, regular, 80% fat, composite, stick, without salt, with added vitamin D</t>
        </is>
      </c>
      <c r="C4329" s="1" t="n">
        <v>0.7</v>
      </c>
      <c r="D4329" s="1" t="n">
        <v>1</v>
      </c>
      <c r="E4329" s="1" t="n">
        <v>0.06</v>
      </c>
      <c r="F4329" s="1" t="n">
        <v>0.16</v>
      </c>
      <c r="G4329" s="1" t="n">
        <v>80.70999999999999</v>
      </c>
      <c r="H4329" s="1" t="n">
        <v>3577</v>
      </c>
      <c r="I4329" s="1" t="n">
        <v>0</v>
      </c>
      <c r="J4329" t="n">
        <v>75142550</v>
      </c>
    </row>
    <row r="4330" ht="15.75" customHeight="1" s="201">
      <c r="A4330" s="1" t="inlineStr">
        <is>
          <t>Margarine, regular, 80% fat, composite, tub, with salt</t>
        </is>
      </c>
      <c r="C4330" s="1" t="n">
        <v>0.75</v>
      </c>
      <c r="D4330" s="1" t="n">
        <v>1</v>
      </c>
      <c r="E4330" s="1" t="n">
        <v>0</v>
      </c>
      <c r="F4330" s="1" t="n">
        <v>0.22</v>
      </c>
      <c r="G4330" s="1" t="n">
        <v>80.17</v>
      </c>
      <c r="H4330" s="1" t="n">
        <v>3571</v>
      </c>
      <c r="I4330" s="1" t="n">
        <v>0</v>
      </c>
      <c r="J4330" t="n">
        <v>75142550</v>
      </c>
    </row>
    <row r="4331" ht="15.75" customHeight="1" s="201">
      <c r="A4331" s="1" t="inlineStr">
        <is>
          <t>Margarine, regular, 80% fat, composite, tub, with salt, with added vitamin D</t>
        </is>
      </c>
      <c r="C4331" s="1" t="n">
        <v>0.75</v>
      </c>
      <c r="D4331" s="1" t="n">
        <v>1</v>
      </c>
      <c r="E4331" s="1" t="n">
        <v>0</v>
      </c>
      <c r="F4331" s="1" t="n">
        <v>0.22</v>
      </c>
      <c r="G4331" s="1" t="n">
        <v>80.17</v>
      </c>
      <c r="H4331" s="1" t="n">
        <v>3577</v>
      </c>
      <c r="I4331" s="1" t="n">
        <v>0</v>
      </c>
      <c r="J4331" t="n">
        <v>75142550</v>
      </c>
    </row>
    <row r="4332" ht="15.75" customHeight="1" s="201">
      <c r="A4332" s="1" t="inlineStr">
        <is>
          <t>Margarine, regular, 80% fat, composite, tub, without salt</t>
        </is>
      </c>
      <c r="C4332" s="1" t="n">
        <v>0.75</v>
      </c>
      <c r="D4332" s="1" t="n">
        <v>1</v>
      </c>
      <c r="E4332" s="1" t="n">
        <v>0</v>
      </c>
      <c r="F4332" s="1" t="n">
        <v>0.22</v>
      </c>
      <c r="G4332" s="1" t="n">
        <v>80.17</v>
      </c>
      <c r="H4332" s="1" t="n">
        <v>3577</v>
      </c>
      <c r="I4332" s="1" t="n">
        <v>0</v>
      </c>
      <c r="J4332" t="n">
        <v>25230220</v>
      </c>
    </row>
    <row r="4333" ht="15.75" customHeight="1" s="201">
      <c r="A4333" s="1" t="inlineStr">
        <is>
          <t>Margarine, regular, hard, soybean (hydrogenated)</t>
        </is>
      </c>
      <c r="C4333" s="1" t="n">
        <v>0.9</v>
      </c>
      <c r="D4333" s="1" t="n">
        <v>1</v>
      </c>
      <c r="E4333" s="1" t="n">
        <v>0</v>
      </c>
      <c r="F4333" s="1" t="n">
        <v>0.9</v>
      </c>
      <c r="G4333" s="1" t="n">
        <v>80.5</v>
      </c>
      <c r="H4333" s="1" t="n">
        <v>3577</v>
      </c>
      <c r="I4333" s="1" t="n">
        <v>0</v>
      </c>
      <c r="J4333" t="n">
        <v>93106000</v>
      </c>
    </row>
    <row r="4334" ht="15.75" customHeight="1" s="201">
      <c r="A4334" s="1" t="inlineStr">
        <is>
          <t>Margarine,spread, 35-39% fat, tub</t>
        </is>
      </c>
      <c r="C4334" s="1" t="n">
        <v>1.52</v>
      </c>
      <c r="D4334" s="1" t="n">
        <v>3</v>
      </c>
      <c r="E4334" s="1" t="n">
        <v>0.04</v>
      </c>
      <c r="F4334" s="1" t="n">
        <v>0.23</v>
      </c>
      <c r="G4334" s="1" t="n">
        <v>37.98</v>
      </c>
      <c r="H4334" s="1" t="n">
        <v>5339</v>
      </c>
      <c r="I4334" s="1" t="n">
        <v>0.02</v>
      </c>
      <c r="J4334" t="n">
        <v>14420100</v>
      </c>
    </row>
    <row r="4335" ht="15.75" customHeight="1" s="201">
      <c r="A4335" s="1" t="inlineStr">
        <is>
          <t>Margarine-like shortening, industrial, soy (partially hydrogenated), cottonseed, and soy, principal use flaky pastries</t>
        </is>
      </c>
      <c r="C4335" s="1" t="n">
        <v>0</v>
      </c>
      <c r="D4335" s="1" t="n">
        <v>0</v>
      </c>
      <c r="E4335" s="1" t="n">
        <v>0</v>
      </c>
      <c r="F4335" s="1" t="n">
        <v>0</v>
      </c>
      <c r="G4335" s="1" t="n">
        <v>71</v>
      </c>
      <c r="H4335" s="1" t="n">
        <v>0</v>
      </c>
      <c r="I4335" s="1" t="n">
        <v>0</v>
      </c>
    </row>
    <row r="4336" ht="15.75" customHeight="1" s="201">
      <c r="A4336" s="1" t="inlineStr">
        <is>
          <t>Margarine-like spread with yogurt, 70% fat, stick, with salt</t>
        </is>
      </c>
      <c r="C4336" s="1" t="n">
        <v>0.5</v>
      </c>
      <c r="D4336" s="1" t="n">
        <v>1</v>
      </c>
      <c r="E4336" s="1" t="n">
        <v>0.01</v>
      </c>
      <c r="F4336" s="1" t="n">
        <v>0.3</v>
      </c>
      <c r="G4336" s="1" t="n">
        <v>70</v>
      </c>
      <c r="H4336" s="1" t="n">
        <v>3577</v>
      </c>
      <c r="I4336" s="1" t="n">
        <v>0.1</v>
      </c>
      <c r="J4336" t="n">
        <v>75142550</v>
      </c>
    </row>
    <row r="4337" ht="15.75" customHeight="1" s="201">
      <c r="A4337" s="1" t="inlineStr">
        <is>
          <t>Margarine-like spread with yogurt, approximately 40% fat, tub, with salt</t>
        </is>
      </c>
      <c r="C4337" s="1" t="n">
        <v>2</v>
      </c>
      <c r="D4337" s="1" t="n">
        <v>3</v>
      </c>
      <c r="E4337" s="1" t="n">
        <v>0.02</v>
      </c>
      <c r="F4337" s="1" t="n">
        <v>2</v>
      </c>
      <c r="G4337" s="1" t="n">
        <v>35</v>
      </c>
      <c r="H4337" s="1" t="n">
        <v>3577</v>
      </c>
      <c r="I4337" s="1" t="n">
        <v>0.24</v>
      </c>
      <c r="J4337" t="n">
        <v>75142550</v>
      </c>
    </row>
    <row r="4338" ht="15.75" customHeight="1" s="201">
      <c r="A4338" s="1" t="inlineStr">
        <is>
          <t>Margarine-like spread, BENECOL Light Spread</t>
        </is>
      </c>
      <c r="C4338" s="1" t="n">
        <v>5.71</v>
      </c>
      <c r="E4338" s="1" t="n">
        <v>0</v>
      </c>
      <c r="F4338" s="1" t="n">
        <v>0</v>
      </c>
      <c r="G4338" s="1" t="n">
        <v>38.71</v>
      </c>
      <c r="H4338" s="1" t="n">
        <v>4567</v>
      </c>
      <c r="I4338" s="1" t="n">
        <v>0</v>
      </c>
      <c r="J4338" t="n">
        <v>27446245</v>
      </c>
    </row>
    <row r="4339" ht="15.75" customHeight="1" s="201">
      <c r="A4339" s="1" t="inlineStr">
        <is>
          <t>Margarine-like spread, SMART BALANCE Light Buttery Spread</t>
        </is>
      </c>
      <c r="C4339" s="1" t="n">
        <v>1.98</v>
      </c>
      <c r="E4339" s="1" t="n">
        <v>0</v>
      </c>
      <c r="F4339" s="1" t="n">
        <v>0.02</v>
      </c>
      <c r="G4339" s="1" t="n">
        <v>36.41</v>
      </c>
      <c r="H4339" s="1" t="n">
        <v>5161</v>
      </c>
      <c r="I4339" s="1" t="n">
        <v>0</v>
      </c>
      <c r="J4339" t="n">
        <v>27446245</v>
      </c>
    </row>
    <row r="4340" ht="15.75" customHeight="1" s="201">
      <c r="A4340" s="1" t="inlineStr">
        <is>
          <t>Margarine-like spread, SMART BALANCE Omega Plus Spread (with plant sterols &amp; fish oil)</t>
        </is>
      </c>
      <c r="C4340" s="1" t="n">
        <v>0.16</v>
      </c>
      <c r="F4340" s="1" t="n">
        <v>0.13</v>
      </c>
      <c r="G4340" s="1" t="n">
        <v>70.95</v>
      </c>
      <c r="H4340" s="1" t="n">
        <v>5407</v>
      </c>
      <c r="J4340" t="n">
        <v>75142550</v>
      </c>
    </row>
    <row r="4341" ht="15.75" customHeight="1" s="201">
      <c r="A4341" s="1" t="inlineStr">
        <is>
          <t>Margarine-like spread, SMART BALANCE Regular Buttery Spread with flax oil</t>
        </is>
      </c>
      <c r="C4341" s="1" t="n">
        <v>0.14</v>
      </c>
      <c r="F4341" s="1" t="n">
        <v>0.14</v>
      </c>
      <c r="G4341" s="1" t="n">
        <v>64.63</v>
      </c>
      <c r="H4341" s="1" t="n">
        <v>3819</v>
      </c>
      <c r="J4341" t="n">
        <v>75142550</v>
      </c>
    </row>
    <row r="4342" ht="15.75" customHeight="1" s="201">
      <c r="A4342" s="1" t="inlineStr">
        <is>
          <t>Margarine-like spread, SMART BEAT Smart Squeeze</t>
        </is>
      </c>
      <c r="C4342" s="1" t="n">
        <v>7.1</v>
      </c>
      <c r="F4342" s="1" t="n">
        <v>0</v>
      </c>
      <c r="G4342" s="1" t="n">
        <v>2.1</v>
      </c>
      <c r="H4342" s="1" t="n">
        <v>5772</v>
      </c>
    </row>
    <row r="4343" ht="15.75" customHeight="1" s="201">
      <c r="A4343" s="1" t="inlineStr">
        <is>
          <t>Margarine-like spread, SMART BEAT Super Light without saturated fat</t>
        </is>
      </c>
      <c r="C4343" s="1" t="n">
        <v>0</v>
      </c>
      <c r="F4343" s="1" t="n">
        <v>0</v>
      </c>
      <c r="G4343" s="1" t="n">
        <v>17.1</v>
      </c>
      <c r="H4343" s="1" t="n">
        <v>4489</v>
      </c>
      <c r="J4343" t="n">
        <v>27446245</v>
      </c>
    </row>
    <row r="4344" ht="15.75" customHeight="1" s="201">
      <c r="A4344" s="1" t="inlineStr">
        <is>
          <t>Margarine-like vegetable-oil spread, stick/tub/bottle, 60% fat, with added vitamin D</t>
        </is>
      </c>
      <c r="C4344" s="1" t="n">
        <v>0</v>
      </c>
      <c r="D4344" s="1" t="n">
        <v>1</v>
      </c>
      <c r="E4344" s="1" t="n">
        <v>0</v>
      </c>
      <c r="F4344" s="1" t="n">
        <v>0.6</v>
      </c>
      <c r="G4344" s="1" t="n">
        <v>59.17</v>
      </c>
      <c r="H4344" s="1" t="n">
        <v>3577</v>
      </c>
      <c r="I4344" s="1" t="n">
        <v>0</v>
      </c>
      <c r="J4344" t="n">
        <v>75142550</v>
      </c>
    </row>
    <row r="4345" ht="15.75" customHeight="1" s="201">
      <c r="A4345" s="1" t="inlineStr">
        <is>
          <t>Margarine-like, butter-margarine blend, 80% fat, stick, without salt</t>
        </is>
      </c>
      <c r="C4345" s="1" t="n">
        <v>0.6</v>
      </c>
      <c r="D4345" s="1" t="n">
        <v>2</v>
      </c>
      <c r="E4345" s="1" t="n">
        <v>0.09</v>
      </c>
      <c r="F4345" s="1" t="n">
        <v>0.9</v>
      </c>
      <c r="G4345" s="1" t="n">
        <v>80.7</v>
      </c>
      <c r="H4345" s="1" t="n">
        <v>3577</v>
      </c>
      <c r="I4345" s="1" t="n">
        <v>0.02</v>
      </c>
      <c r="J4345" t="n">
        <v>54328100</v>
      </c>
    </row>
    <row r="4346" ht="15.75" customHeight="1" s="201">
      <c r="A4346" s="1" t="inlineStr">
        <is>
          <t>Margarine-like, margarine-butter blend, soybean oil and butter</t>
        </is>
      </c>
      <c r="C4346" s="1" t="n">
        <v>0.77</v>
      </c>
      <c r="D4346" s="1" t="n">
        <v>2</v>
      </c>
      <c r="E4346" s="1" t="n">
        <v>0.04</v>
      </c>
      <c r="F4346" s="1" t="n">
        <v>0.31</v>
      </c>
      <c r="G4346" s="1" t="n">
        <v>80.31999999999999</v>
      </c>
      <c r="H4346" s="1" t="n">
        <v>3571</v>
      </c>
      <c r="I4346" s="1" t="n">
        <v>0.03</v>
      </c>
      <c r="J4346" t="n">
        <v>54328100</v>
      </c>
    </row>
    <row r="4347" ht="15.75" customHeight="1" s="201">
      <c r="A4347" s="1" t="inlineStr">
        <is>
          <t>Margarine-like, vegetable oil spread, 20% fat, with salt</t>
        </is>
      </c>
      <c r="C4347" s="1" t="n">
        <v>0.4</v>
      </c>
      <c r="D4347" s="1" t="n">
        <v>0</v>
      </c>
      <c r="E4347" s="1" t="n">
        <v>0</v>
      </c>
      <c r="F4347" s="1" t="n">
        <v>0</v>
      </c>
      <c r="G4347" s="1" t="n">
        <v>19.5</v>
      </c>
      <c r="H4347" s="1" t="n">
        <v>3577</v>
      </c>
      <c r="I4347" s="1" t="n">
        <v>0</v>
      </c>
      <c r="J4347" t="n">
        <v>75142550</v>
      </c>
    </row>
    <row r="4348" ht="15.75" customHeight="1" s="201">
      <c r="A4348" s="1" t="inlineStr">
        <is>
          <t>Margarine-like, vegetable oil spread, 20% fat, without salt</t>
        </is>
      </c>
      <c r="C4348" s="1" t="n">
        <v>0.4</v>
      </c>
      <c r="D4348" s="1" t="n">
        <v>0</v>
      </c>
      <c r="E4348" s="1" t="n">
        <v>0</v>
      </c>
      <c r="F4348" s="1" t="n">
        <v>0</v>
      </c>
      <c r="G4348" s="1" t="n">
        <v>19.5</v>
      </c>
      <c r="H4348" s="1" t="n">
        <v>3577</v>
      </c>
      <c r="I4348" s="1" t="n">
        <v>0</v>
      </c>
      <c r="J4348" t="n">
        <v>71220000</v>
      </c>
    </row>
    <row r="4349" ht="15.75" customHeight="1" s="201">
      <c r="A4349" s="1" t="inlineStr">
        <is>
          <t>Margarine-like, vegetable oil spread, 60% fat, stick, with salt</t>
        </is>
      </c>
      <c r="C4349" s="1" t="n">
        <v>0.6899999999999999</v>
      </c>
      <c r="D4349" s="1" t="n">
        <v>1</v>
      </c>
      <c r="E4349" s="1" t="n">
        <v>0</v>
      </c>
      <c r="F4349" s="1" t="n">
        <v>0.12</v>
      </c>
      <c r="G4349" s="1" t="n">
        <v>60.39</v>
      </c>
      <c r="H4349" s="1" t="n">
        <v>3571</v>
      </c>
      <c r="I4349" s="1" t="n">
        <v>0</v>
      </c>
      <c r="J4349" t="n">
        <v>75142550</v>
      </c>
    </row>
    <row r="4350" ht="15.75" customHeight="1" s="201">
      <c r="A4350" s="1" t="inlineStr">
        <is>
          <t>Margarine-like, vegetable oil spread, 60% fat, stick, with salt, with added vitamin D</t>
        </is>
      </c>
      <c r="C4350" s="1" t="n">
        <v>0.6899999999999999</v>
      </c>
      <c r="D4350" s="1" t="n">
        <v>1</v>
      </c>
      <c r="E4350" s="1" t="n">
        <v>0</v>
      </c>
      <c r="F4350" s="1" t="n">
        <v>0.12</v>
      </c>
      <c r="G4350" s="1" t="n">
        <v>60.39</v>
      </c>
      <c r="H4350" s="1" t="n">
        <v>3577</v>
      </c>
      <c r="I4350" s="1" t="n">
        <v>0</v>
      </c>
      <c r="J4350" t="n">
        <v>75142550</v>
      </c>
    </row>
    <row r="4351" ht="15.75" customHeight="1" s="201">
      <c r="A4351" s="1" t="inlineStr">
        <is>
          <t>Margarine-like, vegetable oil spread, 60% fat, stick/tub/bottle, with salt</t>
        </is>
      </c>
      <c r="C4351" s="1" t="n">
        <v>0</v>
      </c>
      <c r="D4351" s="1" t="n">
        <v>1</v>
      </c>
      <c r="E4351" s="1" t="n">
        <v>0</v>
      </c>
      <c r="F4351" s="1" t="n">
        <v>0.6</v>
      </c>
      <c r="G4351" s="1" t="n">
        <v>59.17</v>
      </c>
      <c r="H4351" s="1" t="n">
        <v>3571</v>
      </c>
      <c r="I4351" s="1" t="n">
        <v>0</v>
      </c>
      <c r="J4351" t="n">
        <v>75142550</v>
      </c>
    </row>
    <row r="4352" ht="15.75" customHeight="1" s="201">
      <c r="A4352" s="1" t="inlineStr">
        <is>
          <t>Margarine-like, vegetable oil spread, 60% fat, stick/tub/bottle, without salt</t>
        </is>
      </c>
      <c r="C4352" s="1" t="n">
        <v>0.86</v>
      </c>
      <c r="D4352" s="1" t="n">
        <v>1</v>
      </c>
      <c r="E4352" s="1" t="n">
        <v>0</v>
      </c>
      <c r="F4352" s="1" t="n">
        <v>0.17</v>
      </c>
      <c r="G4352" s="1" t="n">
        <v>59.81</v>
      </c>
      <c r="H4352" s="1" t="n">
        <v>3577</v>
      </c>
      <c r="I4352" s="1" t="n">
        <v>0</v>
      </c>
    </row>
    <row r="4353" ht="15.75" customHeight="1" s="201">
      <c r="A4353" s="1" t="inlineStr">
        <is>
          <t>Margarine-like, vegetable oil spread, 60% fat, stick/tub/bottle, without salt, with added vitamin D</t>
        </is>
      </c>
      <c r="C4353" s="1" t="n">
        <v>0.86</v>
      </c>
      <c r="D4353" s="1" t="n">
        <v>1</v>
      </c>
      <c r="E4353" s="1" t="n">
        <v>0</v>
      </c>
      <c r="F4353" s="1" t="n">
        <v>0.17</v>
      </c>
      <c r="G4353" s="1" t="n">
        <v>59.81</v>
      </c>
      <c r="H4353" s="1" t="n">
        <v>3577</v>
      </c>
      <c r="I4353" s="1" t="n">
        <v>0</v>
      </c>
      <c r="J4353" t="n">
        <v>75142550</v>
      </c>
    </row>
    <row r="4354" ht="15.75" customHeight="1" s="201">
      <c r="A4354" s="1" t="inlineStr">
        <is>
          <t>Margarine-like, vegetable oil spread, 60% fat, tub, with salt</t>
        </is>
      </c>
      <c r="C4354" s="1" t="n">
        <v>0.86</v>
      </c>
      <c r="D4354" s="1" t="n">
        <v>1</v>
      </c>
      <c r="E4354" s="1" t="n">
        <v>0</v>
      </c>
      <c r="F4354" s="1" t="n">
        <v>0.17</v>
      </c>
      <c r="G4354" s="1" t="n">
        <v>59.81</v>
      </c>
      <c r="H4354" s="1" t="n">
        <v>3571</v>
      </c>
      <c r="I4354" s="1" t="n">
        <v>0</v>
      </c>
      <c r="J4354" t="n">
        <v>75142550</v>
      </c>
    </row>
    <row r="4355" ht="15.75" customHeight="1" s="201">
      <c r="A4355" s="1" t="inlineStr">
        <is>
          <t>Margarine-like, vegetable oil spread, 60% fat, tub, with salt, with added vitamin D</t>
        </is>
      </c>
      <c r="C4355" s="1" t="n">
        <v>0.86</v>
      </c>
      <c r="D4355" s="1" t="n">
        <v>1</v>
      </c>
      <c r="E4355" s="1" t="n">
        <v>0</v>
      </c>
      <c r="F4355" s="1" t="n">
        <v>0.17</v>
      </c>
      <c r="G4355" s="1" t="n">
        <v>59.81</v>
      </c>
      <c r="H4355" s="1" t="n">
        <v>3577</v>
      </c>
      <c r="I4355" s="1" t="n">
        <v>0</v>
      </c>
      <c r="J4355" t="n">
        <v>75142550</v>
      </c>
    </row>
    <row r="4356" ht="15.75" customHeight="1" s="201">
      <c r="A4356" s="1" t="inlineStr">
        <is>
          <t>Margarine-like, vegetable oil spread, approximately 37% fat, unspecified oils, with salt, with added vitamin D</t>
        </is>
      </c>
      <c r="C4356" s="1" t="n">
        <v>0.66</v>
      </c>
      <c r="D4356" s="1" t="n">
        <v>1</v>
      </c>
      <c r="E4356" s="1" t="n">
        <v>0.02</v>
      </c>
      <c r="F4356" s="1" t="n">
        <v>0.51</v>
      </c>
      <c r="G4356" s="1" t="n">
        <v>37.77</v>
      </c>
      <c r="H4356" s="1" t="n">
        <v>4322</v>
      </c>
      <c r="I4356" s="1" t="n">
        <v>0.02</v>
      </c>
      <c r="J4356" t="n">
        <v>75142550</v>
      </c>
    </row>
    <row r="4357" ht="15.75" customHeight="1" s="201">
      <c r="A4357" s="1" t="inlineStr">
        <is>
          <t>Margarine-like, vegetable oil spread, fat free, liquid, with salt</t>
        </is>
      </c>
      <c r="C4357" s="1" t="n">
        <v>2.5</v>
      </c>
      <c r="D4357" s="1" t="n">
        <v>2</v>
      </c>
      <c r="E4357" s="1" t="n">
        <v>0.03</v>
      </c>
      <c r="F4357" s="1" t="n">
        <v>1.5</v>
      </c>
      <c r="G4357" s="1" t="n">
        <v>3</v>
      </c>
      <c r="H4357" s="1" t="n">
        <v>3571</v>
      </c>
      <c r="I4357" s="1" t="n">
        <v>0.14</v>
      </c>
      <c r="J4357" t="n">
        <v>58148118</v>
      </c>
    </row>
    <row r="4358" ht="15.75" customHeight="1" s="201">
      <c r="A4358" s="1" t="inlineStr">
        <is>
          <t>Margarine-like, vegetable oil spread, fat-free, tub</t>
        </is>
      </c>
      <c r="C4358" s="1" t="n">
        <v>4.34</v>
      </c>
      <c r="D4358" s="1" t="n">
        <v>0</v>
      </c>
      <c r="E4358" s="1" t="n">
        <v>0.08</v>
      </c>
      <c r="F4358" s="1" t="n">
        <v>0.1</v>
      </c>
      <c r="G4358" s="1" t="n">
        <v>3.04</v>
      </c>
      <c r="H4358" s="1" t="n">
        <v>3307</v>
      </c>
      <c r="I4358" s="1" t="n">
        <v>0.07000000000000001</v>
      </c>
      <c r="J4358" t="n">
        <v>27446260</v>
      </c>
    </row>
    <row r="4359" ht="15.75" customHeight="1" s="201">
      <c r="A4359" s="1" t="inlineStr">
        <is>
          <t>Margarine-like, vegetable oil spread, stick or tub, sweetened</t>
        </is>
      </c>
      <c r="C4359" s="1" t="n">
        <v>16.7</v>
      </c>
      <c r="D4359" s="1" t="n">
        <v>0</v>
      </c>
      <c r="E4359" s="1" t="n">
        <v>0</v>
      </c>
      <c r="F4359" s="1" t="n">
        <v>0</v>
      </c>
      <c r="G4359" s="1" t="n">
        <v>52</v>
      </c>
      <c r="H4359" s="1" t="n">
        <v>3577</v>
      </c>
      <c r="I4359" s="1" t="n">
        <v>0</v>
      </c>
      <c r="J4359" t="n">
        <v>71220000</v>
      </c>
    </row>
    <row r="4360" ht="15.75" customHeight="1" s="201">
      <c r="A4360" s="1" t="inlineStr">
        <is>
          <t>Margarine-like, vegetable oil-butter spread, reduced calorie, tub, with salt</t>
        </is>
      </c>
      <c r="C4360" s="1" t="n">
        <v>1</v>
      </c>
      <c r="D4360" s="1" t="n">
        <v>2</v>
      </c>
      <c r="E4360" s="1" t="n">
        <v>0.09</v>
      </c>
      <c r="F4360" s="1" t="n">
        <v>1</v>
      </c>
      <c r="G4360" s="1" t="n">
        <v>50</v>
      </c>
      <c r="H4360" s="1" t="n">
        <v>3571</v>
      </c>
      <c r="I4360" s="1" t="n">
        <v>0.02</v>
      </c>
      <c r="J4360" t="n">
        <v>53109200</v>
      </c>
    </row>
    <row r="4361" ht="15.75" customHeight="1" s="201">
      <c r="A4361" s="1" t="inlineStr">
        <is>
          <t>Margarine-like, vegetable oil-butter spread, tub, with salt</t>
        </is>
      </c>
      <c r="C4361" s="1" t="n">
        <v>1</v>
      </c>
      <c r="D4361" s="1" t="n">
        <v>1</v>
      </c>
      <c r="E4361" s="1" t="n">
        <v>0.04</v>
      </c>
      <c r="F4361" s="1" t="n">
        <v>1</v>
      </c>
      <c r="G4361" s="1" t="n">
        <v>40</v>
      </c>
      <c r="H4361" s="1" t="n">
        <v>3571</v>
      </c>
      <c r="I4361" s="1" t="n">
        <v>0.01</v>
      </c>
      <c r="J4361" t="n">
        <v>75142550</v>
      </c>
    </row>
    <row r="4362" ht="15.75" customHeight="1" s="201">
      <c r="A4362" s="1" t="inlineStr">
        <is>
          <t>Marmalade, orange</t>
        </is>
      </c>
      <c r="C4362" s="1" t="n">
        <v>66.3</v>
      </c>
      <c r="D4362" s="1" t="n">
        <v>9</v>
      </c>
      <c r="E4362" s="1" t="n">
        <v>0.15</v>
      </c>
      <c r="F4362" s="1" t="n">
        <v>0.3</v>
      </c>
      <c r="G4362" s="1" t="n">
        <v>0</v>
      </c>
      <c r="H4362" s="1" t="n">
        <v>62</v>
      </c>
      <c r="I4362" s="1" t="n">
        <v>0.04</v>
      </c>
      <c r="J4362" t="n">
        <v>92550350</v>
      </c>
    </row>
    <row r="4363" ht="15.75" customHeight="1" s="201">
      <c r="A4363" s="1" t="inlineStr">
        <is>
          <t>Mary's Gone Crackers, Original Crackers, Organic Gluten Free</t>
        </is>
      </c>
      <c r="C4363" s="1" t="n">
        <v>64.29000000000001</v>
      </c>
      <c r="E4363" s="1" t="n">
        <v>3.17</v>
      </c>
      <c r="F4363" s="1" t="n">
        <v>12.06</v>
      </c>
      <c r="G4363" s="1" t="n">
        <v>15.63</v>
      </c>
      <c r="I4363" s="1" t="n">
        <v>2.95</v>
      </c>
      <c r="J4363" t="n">
        <v>54326000</v>
      </c>
    </row>
    <row r="4364" ht="15.75" customHeight="1" s="201">
      <c r="A4364" s="1" t="inlineStr">
        <is>
          <t>Mashu roots, raw (Alaska Native)</t>
        </is>
      </c>
      <c r="C4364" s="1" t="n">
        <v>22.6</v>
      </c>
      <c r="F4364" s="1" t="n">
        <v>5.8</v>
      </c>
      <c r="G4364" s="1" t="n">
        <v>2.4</v>
      </c>
      <c r="H4364" s="1" t="n">
        <v>16</v>
      </c>
    </row>
    <row r="4365" ht="15.75" customHeight="1" s="201">
      <c r="A4365" s="1" t="inlineStr">
        <is>
          <t>Mayonnaise dressing, no cholesterol</t>
        </is>
      </c>
      <c r="C4365" s="1" t="n">
        <v>0.3</v>
      </c>
      <c r="D4365" s="1" t="n">
        <v>0</v>
      </c>
      <c r="E4365" s="1" t="n">
        <v>0.23</v>
      </c>
      <c r="F4365" s="1" t="n">
        <v>0</v>
      </c>
      <c r="G4365" s="1" t="n">
        <v>77.8</v>
      </c>
      <c r="H4365" s="1" t="n">
        <v>0</v>
      </c>
      <c r="I4365" s="1" t="n">
        <v>0.13</v>
      </c>
      <c r="J4365" t="n">
        <v>75141005</v>
      </c>
    </row>
    <row r="4366" ht="15.75" customHeight="1" s="201">
      <c r="A4366" s="1" t="inlineStr">
        <is>
          <t>Mayonnaise, low sodium, low calorie or diet</t>
        </is>
      </c>
      <c r="C4366" s="1" t="n">
        <v>16</v>
      </c>
      <c r="D4366" s="1" t="n">
        <v>0</v>
      </c>
      <c r="E4366" s="1" t="n">
        <v>0</v>
      </c>
      <c r="F4366" s="1" t="n">
        <v>0.3</v>
      </c>
      <c r="G4366" s="1" t="n">
        <v>19.2</v>
      </c>
      <c r="H4366" s="1" t="n">
        <v>0</v>
      </c>
      <c r="I4366" s="1" t="n">
        <v>0.11</v>
      </c>
      <c r="J4366" t="n">
        <v>53109200</v>
      </c>
    </row>
    <row r="4367" ht="15.75" customHeight="1" s="201">
      <c r="A4367" s="1" t="inlineStr">
        <is>
          <t>Mayonnaise, made with tofu</t>
        </is>
      </c>
      <c r="C4367" s="1" t="n">
        <v>3.06</v>
      </c>
      <c r="D4367" s="1" t="n">
        <v>8</v>
      </c>
      <c r="E4367" s="1" t="n">
        <v>0.27</v>
      </c>
      <c r="F4367" s="1" t="n">
        <v>5.95</v>
      </c>
      <c r="G4367" s="1" t="n">
        <v>31.79</v>
      </c>
      <c r="H4367" s="1" t="n">
        <v>43</v>
      </c>
      <c r="I4367" s="1" t="n">
        <v>0.4</v>
      </c>
      <c r="J4367" t="n">
        <v>75142550</v>
      </c>
    </row>
    <row r="4368" ht="15.75" customHeight="1" s="201">
      <c r="A4368" s="1" t="inlineStr">
        <is>
          <t>Mayonnaise, reduced fat, with olive oil</t>
        </is>
      </c>
      <c r="C4368" s="1" t="n">
        <v>0</v>
      </c>
      <c r="D4368" s="1" t="n">
        <v>0</v>
      </c>
      <c r="E4368" s="1" t="n">
        <v>0</v>
      </c>
      <c r="F4368" s="1" t="n">
        <v>0.37</v>
      </c>
      <c r="G4368" s="1" t="n">
        <v>40</v>
      </c>
      <c r="H4368" s="1" t="n">
        <v>70</v>
      </c>
      <c r="I4368" s="1" t="n">
        <v>0.07000000000000001</v>
      </c>
      <c r="J4368" t="n">
        <v>75142550</v>
      </c>
    </row>
    <row r="4369" ht="15.75" customHeight="1" s="201">
      <c r="A4369" s="1" t="inlineStr">
        <is>
          <t>Mayonnaise, reduced-calorie or diet, cholesterol-free</t>
        </is>
      </c>
      <c r="C4369" s="1" t="n">
        <v>6.7</v>
      </c>
      <c r="D4369" s="1" t="n">
        <v>0</v>
      </c>
      <c r="E4369" s="1" t="n">
        <v>0</v>
      </c>
      <c r="F4369" s="1" t="n">
        <v>0.9</v>
      </c>
      <c r="G4369" s="1" t="n">
        <v>33.3</v>
      </c>
      <c r="H4369" s="1" t="n">
        <v>0</v>
      </c>
      <c r="I4369" s="1" t="n">
        <v>0</v>
      </c>
      <c r="J4369" t="n">
        <v>92410520</v>
      </c>
    </row>
    <row r="4370" ht="15.75" customHeight="1" s="201">
      <c r="A4370" s="1" t="inlineStr">
        <is>
          <t>McDONALD'S Bacon Ranch Salad with Crispy Chicken</t>
        </is>
      </c>
      <c r="C4370" s="1" t="n">
        <v>6.08</v>
      </c>
      <c r="E4370" s="1" t="n">
        <v>0.61</v>
      </c>
      <c r="F4370" s="1" t="n">
        <v>8.82</v>
      </c>
      <c r="G4370" s="1" t="n">
        <v>6.3</v>
      </c>
      <c r="H4370" s="1" t="n">
        <v>2485</v>
      </c>
      <c r="J4370" t="n">
        <v>27446320</v>
      </c>
    </row>
    <row r="4371" ht="15.75" customHeight="1" s="201">
      <c r="A4371" s="1" t="inlineStr">
        <is>
          <t>McDONALD'S, Bacon Egg &amp; Cheese Biscuit</t>
        </is>
      </c>
      <c r="C4371" s="1" t="n">
        <v>22.26</v>
      </c>
      <c r="E4371" s="1" t="n">
        <v>2.13</v>
      </c>
      <c r="F4371" s="1" t="n">
        <v>13.45</v>
      </c>
      <c r="G4371" s="1" t="n">
        <v>18.77</v>
      </c>
      <c r="H4371" s="1" t="n">
        <v>399</v>
      </c>
      <c r="I4371" s="1" t="n">
        <v>0.9</v>
      </c>
      <c r="J4371" t="n">
        <v>32202070</v>
      </c>
    </row>
    <row r="4372" ht="15.75" customHeight="1" s="201">
      <c r="A4372" s="1" t="inlineStr">
        <is>
          <t>McDONALD'S, Bacon Ranch Salad with Grilled Chicken</t>
        </is>
      </c>
      <c r="C4372" s="1" t="n">
        <v>3.64</v>
      </c>
      <c r="E4372" s="1" t="n">
        <v>0.65</v>
      </c>
      <c r="F4372" s="1" t="n">
        <v>10.28</v>
      </c>
      <c r="G4372" s="1" t="n">
        <v>3.14</v>
      </c>
      <c r="H4372" s="1" t="n">
        <v>2012</v>
      </c>
      <c r="J4372" t="n">
        <v>27446315</v>
      </c>
    </row>
    <row r="4373" ht="15.75" customHeight="1" s="201">
      <c r="A4373" s="1" t="inlineStr">
        <is>
          <t>McDONALD'S, Bacon Ranch Salad without chicken</t>
        </is>
      </c>
      <c r="C4373" s="1" t="n">
        <v>4.2</v>
      </c>
      <c r="D4373" s="1" t="n">
        <v>53</v>
      </c>
      <c r="E4373" s="1" t="n">
        <v>0.67</v>
      </c>
      <c r="F4373" s="1" t="n">
        <v>4.14</v>
      </c>
      <c r="G4373" s="1" t="n">
        <v>3.64</v>
      </c>
      <c r="H4373" s="1" t="n">
        <v>2891</v>
      </c>
      <c r="J4373" t="n">
        <v>27446315</v>
      </c>
    </row>
    <row r="4374" ht="15.75" customHeight="1" s="201">
      <c r="A4374" s="1" t="inlineStr">
        <is>
          <t>McDONALD'S, Bacon, Egg &amp; Cheese McGRIDDLES</t>
        </is>
      </c>
      <c r="C4374" s="1" t="n">
        <v>26.19</v>
      </c>
      <c r="E4374" s="1" t="n">
        <v>1.65</v>
      </c>
      <c r="F4374" s="1" t="n">
        <v>12.03</v>
      </c>
      <c r="G4374" s="1" t="n">
        <v>13.19</v>
      </c>
      <c r="H4374" s="1" t="n">
        <v>313</v>
      </c>
      <c r="J4374" t="n">
        <v>32202070</v>
      </c>
    </row>
    <row r="4375" ht="15.75" customHeight="1" s="201">
      <c r="A4375" s="1" t="inlineStr">
        <is>
          <t>McDONALD'S, BIG BREAKFAST</t>
        </is>
      </c>
      <c r="C4375" s="1" t="n">
        <v>17.5</v>
      </c>
      <c r="E4375" s="1" t="n">
        <v>1.74</v>
      </c>
      <c r="F4375" s="1" t="n">
        <v>10.16</v>
      </c>
      <c r="G4375" s="1" t="n">
        <v>19.37</v>
      </c>
      <c r="H4375" s="1" t="n">
        <v>234</v>
      </c>
      <c r="I4375" s="1" t="n">
        <v>0.97</v>
      </c>
      <c r="J4375" t="n">
        <v>58100013</v>
      </c>
    </row>
    <row r="4376" ht="15.75" customHeight="1" s="201">
      <c r="A4376" s="1" t="inlineStr">
        <is>
          <t>McDONALD'S, BIG MAC</t>
        </is>
      </c>
      <c r="C4376" s="1" t="n">
        <v>20.08</v>
      </c>
      <c r="D4376" s="1" t="n">
        <v>46</v>
      </c>
      <c r="E4376" s="1" t="n">
        <v>2</v>
      </c>
      <c r="F4376" s="1" t="n">
        <v>11.82</v>
      </c>
      <c r="G4376" s="1" t="n">
        <v>14.96</v>
      </c>
      <c r="H4376" s="1" t="n">
        <v>188</v>
      </c>
      <c r="I4376" s="1" t="n">
        <v>1.91</v>
      </c>
      <c r="J4376" t="n">
        <v>11446000</v>
      </c>
    </row>
    <row r="4377" ht="15.75" customHeight="1" s="201">
      <c r="A4377" s="1" t="inlineStr">
        <is>
          <t>McDONALD'S, BIG MAC (without Big Mac Sauce)</t>
        </is>
      </c>
      <c r="C4377" s="1" t="n">
        <v>21.01</v>
      </c>
      <c r="D4377" s="1" t="n">
        <v>50</v>
      </c>
      <c r="E4377" s="1" t="n">
        <v>2.14</v>
      </c>
      <c r="F4377" s="1" t="n">
        <v>12.79</v>
      </c>
      <c r="G4377" s="1" t="n">
        <v>11.57</v>
      </c>
      <c r="H4377" s="1" t="n">
        <v>186</v>
      </c>
      <c r="I4377" s="1" t="n">
        <v>2.07</v>
      </c>
      <c r="J4377" t="n">
        <v>24164000</v>
      </c>
    </row>
    <row r="4378" ht="15.75" customHeight="1" s="201">
      <c r="A4378" s="1" t="inlineStr">
        <is>
          <t>McDONALD'S, Cheeseburger</t>
        </is>
      </c>
      <c r="C4378" s="1" t="n">
        <v>27.81</v>
      </c>
      <c r="D4378" s="1" t="n">
        <v>59</v>
      </c>
      <c r="E4378" s="1" t="n">
        <v>2.35</v>
      </c>
      <c r="F4378" s="1" t="n">
        <v>12.97</v>
      </c>
      <c r="G4378" s="1" t="n">
        <v>11.79</v>
      </c>
      <c r="H4378" s="1" t="n">
        <v>243</v>
      </c>
      <c r="I4378" s="1" t="n">
        <v>1.91</v>
      </c>
      <c r="J4378" t="n">
        <v>27510190</v>
      </c>
    </row>
    <row r="4379" ht="15.75" customHeight="1" s="201">
      <c r="A4379" s="1" t="inlineStr">
        <is>
          <t>McDONALD'S, Chicken McNUGGETS</t>
        </is>
      </c>
      <c r="C4379" s="1" t="n">
        <v>15.09</v>
      </c>
      <c r="E4379" s="1" t="n">
        <v>0.89</v>
      </c>
      <c r="F4379" s="1" t="n">
        <v>15.79</v>
      </c>
      <c r="G4379" s="1" t="n">
        <v>19.81</v>
      </c>
      <c r="I4379" s="1" t="n">
        <v>0.59</v>
      </c>
      <c r="J4379" t="n">
        <v>27446315</v>
      </c>
    </row>
    <row r="4380" ht="15.75" customHeight="1" s="201">
      <c r="A4380" s="1" t="inlineStr">
        <is>
          <t>McDONALD'S, Deluxe Breakfast, with syrup and margarine</t>
        </is>
      </c>
      <c r="C4380" s="1" t="n">
        <v>29.48</v>
      </c>
      <c r="E4380" s="1" t="n">
        <v>1.5</v>
      </c>
      <c r="F4380" s="1" t="n">
        <v>7.56</v>
      </c>
      <c r="G4380" s="1" t="n">
        <v>15.23</v>
      </c>
      <c r="H4380" s="1" t="n">
        <v>258</v>
      </c>
      <c r="I4380" s="1" t="n">
        <v>0.6899999999999999</v>
      </c>
      <c r="J4380" t="n">
        <v>75142550</v>
      </c>
    </row>
    <row r="4381" ht="15.75" customHeight="1" s="201">
      <c r="A4381" s="1" t="inlineStr">
        <is>
          <t>McDONALD'S, Double Cheeseburger</t>
        </is>
      </c>
      <c r="C4381" s="1" t="n">
        <v>18.79</v>
      </c>
      <c r="E4381" s="1" t="n">
        <v>2.24</v>
      </c>
      <c r="F4381" s="1" t="n">
        <v>15.5</v>
      </c>
      <c r="G4381" s="1" t="n">
        <v>16.09</v>
      </c>
      <c r="I4381" s="1" t="n">
        <v>2.58</v>
      </c>
      <c r="J4381" t="n">
        <v>27510257</v>
      </c>
    </row>
    <row r="4382" ht="15.75" customHeight="1" s="201">
      <c r="A4382" s="1" t="inlineStr">
        <is>
          <t>McDONALD'S, DOUBLE QUARTER POUNDER with Cheese</t>
        </is>
      </c>
      <c r="C4382" s="1" t="n">
        <v>14.43</v>
      </c>
      <c r="D4382" s="1" t="n">
        <v>45</v>
      </c>
      <c r="E4382" s="1" t="n">
        <v>2.18</v>
      </c>
      <c r="F4382" s="1" t="n">
        <v>16.96</v>
      </c>
      <c r="G4382" s="1" t="n">
        <v>16.22</v>
      </c>
      <c r="H4382" s="1" t="n">
        <v>200</v>
      </c>
      <c r="I4382" s="1" t="n">
        <v>3.33</v>
      </c>
      <c r="J4382" t="n">
        <v>51121065</v>
      </c>
    </row>
    <row r="4383" ht="15.75" customHeight="1" s="201">
      <c r="A4383" s="1" t="inlineStr">
        <is>
          <t>McDONALD'S, Egg McMUFFIN</t>
        </is>
      </c>
      <c r="C4383" s="1" t="n">
        <v>21.67</v>
      </c>
      <c r="D4383" s="1" t="n">
        <v>79</v>
      </c>
      <c r="E4383" s="1" t="n">
        <v>2.3</v>
      </c>
      <c r="F4383" s="1" t="n">
        <v>13.64</v>
      </c>
      <c r="G4383" s="1" t="n">
        <v>9.66</v>
      </c>
      <c r="I4383" s="1" t="n">
        <v>1.29</v>
      </c>
      <c r="J4383" t="n">
        <v>27560670</v>
      </c>
    </row>
    <row r="4384" ht="15.75" customHeight="1" s="201">
      <c r="A4384" s="1" t="inlineStr">
        <is>
          <t>McDONALD'S, FILET-O-FISH</t>
        </is>
      </c>
      <c r="C4384" s="1" t="n">
        <v>26.39</v>
      </c>
      <c r="D4384" s="1" t="n">
        <v>21</v>
      </c>
      <c r="E4384" s="1" t="n">
        <v>1.56</v>
      </c>
      <c r="F4384" s="1" t="n">
        <v>11.26</v>
      </c>
      <c r="G4384" s="1" t="n">
        <v>14.64</v>
      </c>
      <c r="I4384" s="1" t="n">
        <v>0.58</v>
      </c>
      <c r="J4384" t="n">
        <v>27150310</v>
      </c>
    </row>
    <row r="4385" ht="15.75" customHeight="1" s="201">
      <c r="A4385" s="1" t="inlineStr">
        <is>
          <t>McDONALD'S, FILET-O-FISH (without tartar sauce)</t>
        </is>
      </c>
      <c r="C4385" s="1" t="n">
        <v>31.08</v>
      </c>
      <c r="D4385" s="1" t="n">
        <v>57</v>
      </c>
      <c r="E4385" s="1" t="n">
        <v>1.64</v>
      </c>
      <c r="F4385" s="1" t="n">
        <v>12.47</v>
      </c>
      <c r="G4385" s="1" t="n">
        <v>7.62</v>
      </c>
      <c r="H4385" s="1" t="n">
        <v>93</v>
      </c>
      <c r="I4385" s="1" t="n">
        <v>0.54</v>
      </c>
      <c r="J4385" t="n">
        <v>24164000</v>
      </c>
    </row>
    <row r="4386" ht="15.75" customHeight="1" s="201">
      <c r="A4386" s="1" t="inlineStr">
        <is>
          <t>McDONALD'S, french fries</t>
        </is>
      </c>
      <c r="C4386" s="1" t="n">
        <v>42.58</v>
      </c>
      <c r="E4386" s="1" t="n">
        <v>0.8</v>
      </c>
      <c r="F4386" s="1" t="n">
        <v>3.41</v>
      </c>
      <c r="G4386" s="1" t="n">
        <v>15.47</v>
      </c>
      <c r="H4386" s="1" t="n">
        <v>0</v>
      </c>
      <c r="I4386" s="1" t="n">
        <v>0.51</v>
      </c>
      <c r="J4386" t="n">
        <v>71205040</v>
      </c>
    </row>
    <row r="4387" ht="15.75" customHeight="1" s="201">
      <c r="A4387" s="1" t="inlineStr">
        <is>
          <t>McDONALD'S, Fruit 'n Yogurt Parfait</t>
        </is>
      </c>
      <c r="C4387" s="1" t="n">
        <v>20.72</v>
      </c>
      <c r="D4387" s="1" t="n">
        <v>13</v>
      </c>
      <c r="E4387" s="1" t="n">
        <v>0.45</v>
      </c>
      <c r="F4387" s="1" t="n">
        <v>2.73</v>
      </c>
      <c r="G4387" s="1" t="n">
        <v>1.3</v>
      </c>
      <c r="H4387" s="1" t="n">
        <v>59</v>
      </c>
      <c r="I4387" s="1" t="n">
        <v>0.36</v>
      </c>
      <c r="J4387" t="n">
        <v>91708030</v>
      </c>
    </row>
    <row r="4388" ht="15.75" customHeight="1" s="201">
      <c r="A4388" s="1" t="inlineStr">
        <is>
          <t>McDONALD'S, Fruit 'n Yogurt Parfait (without granola)</t>
        </is>
      </c>
      <c r="C4388" s="1" t="n">
        <v>17.67</v>
      </c>
      <c r="D4388" s="1" t="n">
        <v>11</v>
      </c>
      <c r="E4388" s="1" t="n">
        <v>0.36</v>
      </c>
      <c r="F4388" s="1" t="n">
        <v>2.47</v>
      </c>
      <c r="G4388" s="1" t="n">
        <v>1.13</v>
      </c>
      <c r="H4388" s="1" t="n">
        <v>62</v>
      </c>
      <c r="I4388" s="1" t="n">
        <v>0.3</v>
      </c>
      <c r="J4388" t="n">
        <v>91708030</v>
      </c>
    </row>
    <row r="4389" ht="15.75" customHeight="1" s="201">
      <c r="A4389" s="1" t="inlineStr">
        <is>
          <t>McDONALD'S, Hamburger</t>
        </is>
      </c>
      <c r="C4389" s="1" t="n">
        <v>30.28</v>
      </c>
      <c r="D4389" s="1" t="n">
        <v>64</v>
      </c>
      <c r="E4389" s="1" t="n">
        <v>2.87</v>
      </c>
      <c r="F4389" s="1" t="n">
        <v>12.92</v>
      </c>
      <c r="G4389" s="1" t="n">
        <v>10.09</v>
      </c>
      <c r="H4389" s="1" t="n">
        <v>55</v>
      </c>
      <c r="I4389" s="1" t="n">
        <v>1.95</v>
      </c>
      <c r="J4389" t="n">
        <v>27212100</v>
      </c>
    </row>
    <row r="4390" ht="15.75" customHeight="1" s="201">
      <c r="A4390" s="1" t="inlineStr">
        <is>
          <t>McDONALD'S, Hash Brown</t>
        </is>
      </c>
      <c r="C4390" s="1" t="n">
        <v>28.56</v>
      </c>
      <c r="D4390" s="1" t="n">
        <v>12</v>
      </c>
      <c r="E4390" s="1" t="n">
        <v>0.5600000000000001</v>
      </c>
      <c r="F4390" s="1" t="n">
        <v>2.48</v>
      </c>
      <c r="G4390" s="1" t="n">
        <v>16.3</v>
      </c>
      <c r="H4390" s="1" t="n">
        <v>2</v>
      </c>
      <c r="I4390" s="1" t="n">
        <v>0.34</v>
      </c>
      <c r="J4390" t="n">
        <v>71404000</v>
      </c>
    </row>
    <row r="4391" ht="15.75" customHeight="1" s="201">
      <c r="A4391" s="1" t="inlineStr">
        <is>
          <t>McDONALD'S, Hot Caramel Sundae</t>
        </is>
      </c>
      <c r="C4391" s="1" t="n">
        <v>33.36</v>
      </c>
      <c r="D4391" s="1" t="n">
        <v>2</v>
      </c>
      <c r="E4391" s="1" t="n">
        <v>0.08</v>
      </c>
      <c r="F4391" s="1" t="n">
        <v>3.58</v>
      </c>
      <c r="G4391" s="1" t="n">
        <v>4.89</v>
      </c>
      <c r="H4391" s="1" t="n">
        <v>307</v>
      </c>
      <c r="I4391" s="1" t="n">
        <v>0.45</v>
      </c>
      <c r="J4391" t="n">
        <v>91703020</v>
      </c>
    </row>
    <row r="4392" ht="15.75" customHeight="1" s="201">
      <c r="A4392" s="1" t="inlineStr">
        <is>
          <t>McDONALD'S, Hot Fudge Sundae</t>
        </is>
      </c>
      <c r="C4392" s="1" t="n">
        <v>30.05</v>
      </c>
      <c r="D4392" s="1" t="n">
        <v>0</v>
      </c>
      <c r="E4392" s="1" t="n">
        <v>0.83</v>
      </c>
      <c r="F4392" s="1" t="n">
        <v>4.14</v>
      </c>
      <c r="G4392" s="1" t="n">
        <v>5.91</v>
      </c>
      <c r="H4392" s="1" t="n">
        <v>270</v>
      </c>
      <c r="I4392" s="1" t="n">
        <v>0.5600000000000001</v>
      </c>
      <c r="J4392" t="n">
        <v>91713030</v>
      </c>
    </row>
    <row r="4393" ht="15.75" customHeight="1" s="201">
      <c r="A4393" s="1" t="inlineStr">
        <is>
          <t>McDONALD'S, Hotcakes (plain)</t>
        </is>
      </c>
      <c r="C4393" s="1" t="n">
        <v>38.27</v>
      </c>
      <c r="D4393" s="1" t="n">
        <v>96</v>
      </c>
      <c r="E4393" s="1" t="n">
        <v>1.83</v>
      </c>
      <c r="F4393" s="1" t="n">
        <v>6</v>
      </c>
      <c r="G4393" s="1" t="n">
        <v>5.84</v>
      </c>
      <c r="H4393" s="1" t="n">
        <v>57</v>
      </c>
      <c r="I4393" s="1" t="n">
        <v>0.42</v>
      </c>
      <c r="J4393" t="n">
        <v>27515080</v>
      </c>
    </row>
    <row r="4394" ht="15.75" customHeight="1" s="201">
      <c r="A4394" s="1" t="inlineStr">
        <is>
          <t>McDONALD'S, Hotcakes (with 2 pats margarine &amp; syrup)</t>
        </is>
      </c>
      <c r="C4394" s="1" t="n">
        <v>46.08</v>
      </c>
      <c r="D4394" s="1" t="n">
        <v>65</v>
      </c>
      <c r="E4394" s="1" t="n">
        <v>1.28</v>
      </c>
      <c r="F4394" s="1" t="n">
        <v>4.05</v>
      </c>
      <c r="G4394" s="1" t="n">
        <v>8.06</v>
      </c>
      <c r="H4394" s="1" t="n">
        <v>241</v>
      </c>
      <c r="I4394" s="1" t="n">
        <v>0.29</v>
      </c>
      <c r="J4394" t="n">
        <v>75142550</v>
      </c>
    </row>
    <row r="4395" ht="15.75" customHeight="1" s="201">
      <c r="A4395" s="1" t="inlineStr">
        <is>
          <t>McDONALD'S, Hotcakes and Sausage</t>
        </is>
      </c>
      <c r="C4395" s="1" t="n">
        <v>37.55</v>
      </c>
      <c r="D4395" s="1" t="n">
        <v>54</v>
      </c>
      <c r="E4395" s="1" t="n">
        <v>1.41</v>
      </c>
      <c r="F4395" s="1" t="n">
        <v>7.81</v>
      </c>
      <c r="G4395" s="1" t="n">
        <v>12.5</v>
      </c>
      <c r="H4395" s="1" t="n">
        <v>202</v>
      </c>
      <c r="I4395" s="1" t="n">
        <v>0.5</v>
      </c>
      <c r="J4395" t="n">
        <v>27560650</v>
      </c>
    </row>
    <row r="4396" ht="15.75" customHeight="1" s="201">
      <c r="A4396" s="1" t="inlineStr">
        <is>
          <t>McDONALD'S, McCHICKEN Sandwich</t>
        </is>
      </c>
      <c r="C4396" s="1" t="n">
        <v>27.97</v>
      </c>
      <c r="E4396" s="1" t="n">
        <v>1.74</v>
      </c>
      <c r="F4396" s="1" t="n">
        <v>10.43</v>
      </c>
      <c r="G4396" s="1" t="n">
        <v>13.21</v>
      </c>
      <c r="I4396" s="1" t="n">
        <v>0.63</v>
      </c>
      <c r="J4396" t="n">
        <v>27513010</v>
      </c>
    </row>
    <row r="4397" ht="15.75" customHeight="1" s="201">
      <c r="A4397" s="1" t="inlineStr">
        <is>
          <t>McDONALD'S, McCHICKEN Sandwich (without mayonnaise)</t>
        </is>
      </c>
      <c r="C4397" s="1" t="n">
        <v>30.95</v>
      </c>
      <c r="D4397" s="1" t="n">
        <v>72</v>
      </c>
      <c r="E4397" s="1" t="n">
        <v>1.78</v>
      </c>
      <c r="F4397" s="1" t="n">
        <v>11.08</v>
      </c>
      <c r="G4397" s="1" t="n">
        <v>8.460000000000001</v>
      </c>
      <c r="H4397" s="1" t="n">
        <v>55</v>
      </c>
      <c r="I4397" s="1" t="n">
        <v>0.75</v>
      </c>
      <c r="J4397" t="n">
        <v>27513010</v>
      </c>
    </row>
    <row r="4398" ht="15.75" customHeight="1" s="201">
      <c r="A4398" s="1" t="inlineStr">
        <is>
          <t>McDONALD'S, McFLURRY with M&amp;M'S CANDIES</t>
        </is>
      </c>
      <c r="C4398" s="1" t="n">
        <v>26.82</v>
      </c>
      <c r="D4398" s="1" t="n">
        <v>3</v>
      </c>
      <c r="E4398" s="1" t="n">
        <v>0.27</v>
      </c>
      <c r="F4398" s="1" t="n">
        <v>4.02</v>
      </c>
      <c r="G4398" s="1" t="n">
        <v>6.46</v>
      </c>
      <c r="H4398" s="1" t="n">
        <v>312</v>
      </c>
      <c r="I4398" s="1" t="n">
        <v>0.54</v>
      </c>
      <c r="J4398" t="n">
        <v>75142550</v>
      </c>
    </row>
    <row r="4399" ht="15.75" customHeight="1" s="201">
      <c r="A4399" s="1" t="inlineStr">
        <is>
          <t>McDONALD'S, McFLURRY with OREO cookies</t>
        </is>
      </c>
      <c r="C4399" s="1" t="n">
        <v>25.55</v>
      </c>
      <c r="D4399" s="1" t="n">
        <v>5</v>
      </c>
      <c r="E4399" s="1" t="n">
        <v>0.61</v>
      </c>
      <c r="F4399" s="1" t="n">
        <v>3.97</v>
      </c>
      <c r="G4399" s="1" t="n">
        <v>5.66</v>
      </c>
      <c r="H4399" s="1" t="n">
        <v>323</v>
      </c>
      <c r="I4399" s="1" t="n">
        <v>0.5</v>
      </c>
      <c r="J4399" t="n">
        <v>75142550</v>
      </c>
    </row>
    <row r="4400" ht="15.75" customHeight="1" s="201">
      <c r="A4400" s="1" t="inlineStr">
        <is>
          <t>McDONALD'S, QUARTER POUNDER</t>
        </is>
      </c>
      <c r="C4400" s="1" t="n">
        <v>22.17</v>
      </c>
      <c r="D4400" s="1" t="n">
        <v>56</v>
      </c>
      <c r="E4400" s="1" t="n">
        <v>2.41</v>
      </c>
      <c r="F4400" s="1" t="n">
        <v>14.1</v>
      </c>
      <c r="G4400" s="1" t="n">
        <v>11.55</v>
      </c>
      <c r="H4400" s="1" t="n">
        <v>56</v>
      </c>
      <c r="I4400" s="1" t="n">
        <v>2.69</v>
      </c>
      <c r="J4400" t="n">
        <v>27510232</v>
      </c>
    </row>
    <row r="4401" ht="15.75" customHeight="1" s="201">
      <c r="A4401" s="1" t="inlineStr">
        <is>
          <t>McDONALD'S, QUARTER POUNDER with Cheese</t>
        </is>
      </c>
      <c r="C4401" s="1" t="n">
        <v>19.95</v>
      </c>
      <c r="D4401" s="1" t="n">
        <v>51</v>
      </c>
      <c r="E4401" s="1" t="n">
        <v>2.1</v>
      </c>
      <c r="F4401" s="1" t="n">
        <v>14.59</v>
      </c>
      <c r="G4401" s="1" t="n">
        <v>14.22</v>
      </c>
      <c r="H4401" s="1" t="n">
        <v>280</v>
      </c>
      <c r="I4401" s="1" t="n">
        <v>2.63</v>
      </c>
      <c r="J4401" t="n">
        <v>51121065</v>
      </c>
    </row>
    <row r="4402" ht="15.75" customHeight="1" s="201">
      <c r="A4402" s="1" t="inlineStr">
        <is>
          <t>McDONALD'S, RANCH SNACK WRAP, Crispy</t>
        </is>
      </c>
      <c r="C4402" s="1" t="n">
        <v>23.22</v>
      </c>
      <c r="D4402" s="1" t="n">
        <v>36</v>
      </c>
      <c r="E4402" s="1" t="n">
        <v>1.47</v>
      </c>
      <c r="F4402" s="1" t="n">
        <v>11.48</v>
      </c>
      <c r="G4402" s="1" t="n">
        <v>15.1</v>
      </c>
      <c r="H4402" s="1" t="n">
        <v>101</v>
      </c>
      <c r="I4402" s="1" t="n">
        <v>0.72</v>
      </c>
      <c r="J4402" t="n">
        <v>27446320</v>
      </c>
    </row>
    <row r="4403" ht="15.75" customHeight="1" s="201">
      <c r="A4403" s="1" t="inlineStr">
        <is>
          <t>McDONALD'S, RANCH SNACK WRAP, Grilled</t>
        </is>
      </c>
      <c r="C4403" s="1" t="n">
        <v>18.43</v>
      </c>
      <c r="D4403" s="1" t="n">
        <v>45</v>
      </c>
      <c r="E4403" s="1" t="n">
        <v>1.45</v>
      </c>
      <c r="F4403" s="1" t="n">
        <v>13.77</v>
      </c>
      <c r="G4403" s="1" t="n">
        <v>10.31</v>
      </c>
      <c r="H4403" s="1" t="n">
        <v>88</v>
      </c>
      <c r="I4403" s="1" t="n">
        <v>0.77</v>
      </c>
      <c r="J4403" t="n">
        <v>27446315</v>
      </c>
    </row>
    <row r="4404" ht="15.75" customHeight="1" s="201">
      <c r="A4404" s="1" t="inlineStr">
        <is>
          <t>McDONALD'S, Sausage Biscuit</t>
        </is>
      </c>
      <c r="C4404" s="1" t="n">
        <v>27.2</v>
      </c>
      <c r="D4404" s="1" t="n">
        <v>91</v>
      </c>
      <c r="E4404" s="1" t="n">
        <v>2.01</v>
      </c>
      <c r="F4404" s="1" t="n">
        <v>9.619999999999999</v>
      </c>
      <c r="G4404" s="1" t="n">
        <v>25.4</v>
      </c>
      <c r="H4404" s="1" t="n">
        <v>26</v>
      </c>
      <c r="I4404" s="1" t="n">
        <v>0.86</v>
      </c>
      <c r="J4404" t="n">
        <v>27560650</v>
      </c>
    </row>
    <row r="4405" ht="15.75" customHeight="1" s="201">
      <c r="A4405" s="1" t="inlineStr">
        <is>
          <t>McDONALD'S, Sausage Biscuit with Egg</t>
        </is>
      </c>
      <c r="C4405" s="1" t="n">
        <v>19.28</v>
      </c>
      <c r="D4405" s="1" t="n">
        <v>85</v>
      </c>
      <c r="E4405" s="1" t="n">
        <v>2.03</v>
      </c>
      <c r="F4405" s="1" t="n">
        <v>11.27</v>
      </c>
      <c r="G4405" s="1" t="n">
        <v>22.26</v>
      </c>
      <c r="H4405" s="1" t="n">
        <v>214</v>
      </c>
      <c r="I4405" s="1" t="n">
        <v>1.04</v>
      </c>
      <c r="J4405" t="n">
        <v>27560650</v>
      </c>
    </row>
    <row r="4406" ht="15.75" customHeight="1" s="201">
      <c r="A4406" s="1" t="inlineStr">
        <is>
          <t>McDONALD'S, Sausage Burrito</t>
        </is>
      </c>
      <c r="C4406" s="1" t="n">
        <v>22.97</v>
      </c>
      <c r="D4406" s="1" t="n">
        <v>63</v>
      </c>
      <c r="E4406" s="1" t="n">
        <v>2.28</v>
      </c>
      <c r="F4406" s="1" t="n">
        <v>11.1</v>
      </c>
      <c r="G4406" s="1" t="n">
        <v>15.63</v>
      </c>
      <c r="H4406" s="1" t="n">
        <v>474</v>
      </c>
      <c r="I4406" s="1" t="n">
        <v>1.09</v>
      </c>
      <c r="J4406" t="n">
        <v>58100013</v>
      </c>
    </row>
    <row r="4407" ht="15.75" customHeight="1" s="201">
      <c r="A4407" s="1" t="inlineStr">
        <is>
          <t>McDONALD'S, Sausage McGRIDDLES</t>
        </is>
      </c>
      <c r="C4407" s="1" t="n">
        <v>31.25</v>
      </c>
      <c r="D4407" s="1" t="n">
        <v>37</v>
      </c>
      <c r="E4407" s="1" t="n">
        <v>1.42</v>
      </c>
      <c r="F4407" s="1" t="n">
        <v>8.41</v>
      </c>
      <c r="G4407" s="1" t="n">
        <v>17.76</v>
      </c>
      <c r="H4407" s="1" t="n">
        <v>0</v>
      </c>
      <c r="I4407" s="1" t="n">
        <v>0.76</v>
      </c>
      <c r="J4407" t="n">
        <v>27560650</v>
      </c>
    </row>
    <row r="4408" ht="15.75" customHeight="1" s="201">
      <c r="A4408" s="1" t="inlineStr">
        <is>
          <t>McDONALD'S, Sausage McMUFFIN</t>
        </is>
      </c>
      <c r="C4408" s="1" t="n">
        <v>24.52</v>
      </c>
      <c r="D4408" s="1" t="n">
        <v>69</v>
      </c>
      <c r="E4408" s="1" t="n">
        <v>2.04</v>
      </c>
      <c r="F4408" s="1" t="n">
        <v>12.66</v>
      </c>
      <c r="G4408" s="1" t="n">
        <v>21.06</v>
      </c>
      <c r="H4408" s="1" t="n">
        <v>260</v>
      </c>
      <c r="I4408" s="1" t="n">
        <v>1.28</v>
      </c>
      <c r="J4408" t="n">
        <v>27560650</v>
      </c>
    </row>
    <row r="4409" ht="15.75" customHeight="1" s="201">
      <c r="A4409" s="1" t="inlineStr">
        <is>
          <t>McDONALD'S, Sausage McMUFFIN with Egg</t>
        </is>
      </c>
      <c r="C4409" s="1" t="n">
        <v>17.28</v>
      </c>
      <c r="E4409" s="1" t="n">
        <v>1.97</v>
      </c>
      <c r="F4409" s="1" t="n">
        <v>12.59</v>
      </c>
      <c r="G4409" s="1" t="n">
        <v>17.83</v>
      </c>
      <c r="H4409" s="1" t="n">
        <v>335</v>
      </c>
      <c r="I4409" s="1" t="n">
        <v>1.22</v>
      </c>
      <c r="J4409" t="n">
        <v>75142550</v>
      </c>
    </row>
    <row r="4410" ht="15.75" customHeight="1" s="201">
      <c r="A4410" s="1" t="inlineStr">
        <is>
          <t>McDONALD'S, Sausage, Egg &amp; Cheese McGRIDDLES</t>
        </is>
      </c>
      <c r="C4410" s="1" t="n">
        <v>22.04</v>
      </c>
      <c r="E4410" s="1" t="n">
        <v>1.51</v>
      </c>
      <c r="F4410" s="1" t="n">
        <v>10.77</v>
      </c>
      <c r="G4410" s="1" t="n">
        <v>17.73</v>
      </c>
      <c r="H4410" s="1" t="n">
        <v>264</v>
      </c>
      <c r="I4410" s="1" t="n">
        <v>1.03</v>
      </c>
      <c r="J4410" t="n">
        <v>58127330</v>
      </c>
    </row>
    <row r="4411" ht="15.75" customHeight="1" s="201">
      <c r="A4411" s="1" t="inlineStr">
        <is>
          <t>McDONALD'S, Side Salad</t>
        </is>
      </c>
      <c r="C4411" s="1" t="n">
        <v>4.3</v>
      </c>
      <c r="D4411" s="1" t="n">
        <v>57</v>
      </c>
      <c r="E4411" s="1" t="n">
        <v>0.65</v>
      </c>
      <c r="F4411" s="1" t="n">
        <v>1.03</v>
      </c>
      <c r="G4411" s="1" t="n">
        <v>0.19</v>
      </c>
      <c r="H4411" s="1" t="n">
        <v>2850</v>
      </c>
      <c r="J4411" t="n">
        <v>75143000</v>
      </c>
    </row>
    <row r="4412" ht="15.75" customHeight="1" s="201">
      <c r="A4412" s="1" t="inlineStr">
        <is>
          <t>McDONALD'S, Southern Style Chicken Biscuit</t>
        </is>
      </c>
      <c r="C4412" s="1" t="n">
        <v>30.56</v>
      </c>
      <c r="D4412" s="1" t="n">
        <v>64</v>
      </c>
      <c r="E4412" s="1" t="n">
        <v>1.76</v>
      </c>
      <c r="F4412" s="1" t="n">
        <v>11.93</v>
      </c>
      <c r="G4412" s="1" t="n">
        <v>14.93</v>
      </c>
      <c r="I4412" s="1" t="n">
        <v>0.49</v>
      </c>
      <c r="J4412" t="n">
        <v>27446315</v>
      </c>
    </row>
    <row r="4413" ht="15.75" customHeight="1" s="201">
      <c r="A4413" s="1" t="inlineStr">
        <is>
          <t>McDONALD'S, Strawberry Sundae</t>
        </is>
      </c>
      <c r="C4413" s="1" t="n">
        <v>28.09</v>
      </c>
      <c r="D4413" s="1" t="n">
        <v>11</v>
      </c>
      <c r="E4413" s="1" t="n">
        <v>0.1</v>
      </c>
      <c r="F4413" s="1" t="n">
        <v>3.19</v>
      </c>
      <c r="G4413" s="1" t="n">
        <v>3.95</v>
      </c>
      <c r="H4413" s="1" t="n">
        <v>271</v>
      </c>
      <c r="I4413" s="1" t="n">
        <v>0.39</v>
      </c>
      <c r="J4413" t="n">
        <v>53109200</v>
      </c>
    </row>
    <row r="4414" ht="15.75" customHeight="1" s="201">
      <c r="A4414" s="1" t="inlineStr">
        <is>
          <t>McDONALD'S, Vanilla Reduced Fat Ice Cream Cone</t>
        </is>
      </c>
      <c r="C4414" s="1" t="n">
        <v>26.36</v>
      </c>
      <c r="D4414" s="1" t="n">
        <v>9</v>
      </c>
      <c r="E4414" s="1" t="n">
        <v>0.35</v>
      </c>
      <c r="F4414" s="1" t="n">
        <v>4.24</v>
      </c>
      <c r="G4414" s="1" t="n">
        <v>4.86</v>
      </c>
      <c r="H4414" s="1" t="n">
        <v>321</v>
      </c>
      <c r="I4414" s="1" t="n">
        <v>0.5</v>
      </c>
      <c r="J4414" t="n">
        <v>54301100</v>
      </c>
    </row>
    <row r="4415" ht="15.75" customHeight="1" s="201">
      <c r="A4415" s="1" t="inlineStr">
        <is>
          <t>Mckee Baking, Little Debbie Nutty Bars, Wafers with Peanut Butter, Chocolate Covered</t>
        </is>
      </c>
      <c r="C4415" s="1" t="n">
        <v>55.2</v>
      </c>
      <c r="F4415" s="1" t="n">
        <v>8</v>
      </c>
      <c r="G4415" s="1" t="n">
        <v>32.8</v>
      </c>
      <c r="J4415" t="n">
        <v>53108200</v>
      </c>
    </row>
    <row r="4416" ht="15.75" customHeight="1" s="201">
      <c r="A4416" s="1" t="inlineStr">
        <is>
          <t>Meat extender</t>
        </is>
      </c>
      <c r="C4416" s="1" t="n">
        <v>34.71</v>
      </c>
      <c r="D4416" s="1" t="n">
        <v>198</v>
      </c>
      <c r="E4416" s="1" t="n">
        <v>11.99</v>
      </c>
      <c r="F4416" s="1" t="n">
        <v>41.71</v>
      </c>
      <c r="G4416" s="1" t="n">
        <v>2.97</v>
      </c>
      <c r="H4416" s="1" t="n">
        <v>32</v>
      </c>
      <c r="I4416" s="1" t="n">
        <v>2.21</v>
      </c>
      <c r="J4416" t="n">
        <v>14620320</v>
      </c>
    </row>
    <row r="4417" ht="15.75" customHeight="1" s="201">
      <c r="A4417" s="1" t="inlineStr">
        <is>
          <t>Meatballs, frozen, Italian style</t>
        </is>
      </c>
      <c r="C4417" s="1" t="n">
        <v>8.06</v>
      </c>
      <c r="D4417" s="1" t="n">
        <v>36</v>
      </c>
      <c r="E4417" s="1" t="n">
        <v>1.77</v>
      </c>
      <c r="F4417" s="1" t="n">
        <v>14.4</v>
      </c>
      <c r="G4417" s="1" t="n">
        <v>22.21</v>
      </c>
      <c r="H4417" s="1" t="n">
        <v>73</v>
      </c>
      <c r="I4417" s="1" t="n">
        <v>1.66</v>
      </c>
      <c r="J4417" t="n">
        <v>28110660</v>
      </c>
    </row>
    <row r="4418" ht="15.75" customHeight="1" s="201">
      <c r="A4418" s="1" t="inlineStr">
        <is>
          <t>Meatballs, meatless</t>
        </is>
      </c>
      <c r="C4418" s="1" t="n">
        <v>8</v>
      </c>
      <c r="D4418" s="1" t="n">
        <v>78</v>
      </c>
      <c r="E4418" s="1" t="n">
        <v>2.16</v>
      </c>
      <c r="F4418" s="1" t="n">
        <v>21</v>
      </c>
      <c r="G4418" s="1" t="n">
        <v>9</v>
      </c>
      <c r="H4418" s="1" t="n">
        <v>0</v>
      </c>
      <c r="I4418" s="1" t="n">
        <v>1.8</v>
      </c>
      <c r="J4418" t="n">
        <v>28110660</v>
      </c>
    </row>
    <row r="4419" ht="15.75" customHeight="1" s="201">
      <c r="A4419" s="1" t="inlineStr">
        <is>
          <t>Melon balls, frozen</t>
        </is>
      </c>
      <c r="C4419" s="1" t="n">
        <v>7.94</v>
      </c>
      <c r="D4419" s="1" t="n">
        <v>26</v>
      </c>
      <c r="E4419" s="1" t="n">
        <v>0.29</v>
      </c>
      <c r="F4419" s="1" t="n">
        <v>0.84</v>
      </c>
      <c r="G4419" s="1" t="n">
        <v>0.25</v>
      </c>
      <c r="H4419" s="1" t="n">
        <v>1774</v>
      </c>
      <c r="I4419" s="1" t="n">
        <v>0.17</v>
      </c>
      <c r="J4419" t="n">
        <v>63311180</v>
      </c>
    </row>
    <row r="4420" ht="15.75" customHeight="1" s="201">
      <c r="A4420" s="1" t="inlineStr">
        <is>
          <t>Melon, banana (Navajo)</t>
        </is>
      </c>
      <c r="C4420" s="1" t="n">
        <v>4.06</v>
      </c>
      <c r="D4420" s="1" t="n">
        <v>20</v>
      </c>
      <c r="E4420" s="1" t="n">
        <v>0.21</v>
      </c>
      <c r="F4420" s="1" t="n">
        <v>0.84</v>
      </c>
      <c r="G4420" s="1" t="n">
        <v>0.2</v>
      </c>
      <c r="I4420" s="1" t="n">
        <v>0.14</v>
      </c>
      <c r="J4420" t="n">
        <v>52302010</v>
      </c>
    </row>
    <row r="4421" ht="15.75" customHeight="1" s="201">
      <c r="A4421" s="1" t="inlineStr">
        <is>
          <t>Melons, cantaloupe, raw</t>
        </is>
      </c>
      <c r="C4421" s="1" t="n">
        <v>8.16</v>
      </c>
      <c r="D4421" s="1" t="n">
        <v>21</v>
      </c>
      <c r="E4421" s="1" t="n">
        <v>0.21</v>
      </c>
      <c r="F4421" s="1" t="n">
        <v>0.84</v>
      </c>
      <c r="G4421" s="1" t="n">
        <v>0.19</v>
      </c>
      <c r="H4421" s="1" t="n">
        <v>3382</v>
      </c>
      <c r="I4421" s="1" t="n">
        <v>0.18</v>
      </c>
      <c r="J4421" t="n">
        <v>63109010</v>
      </c>
    </row>
    <row r="4422" ht="15.75" customHeight="1" s="201">
      <c r="A4422" s="1" t="inlineStr">
        <is>
          <t>Melons, casaba, raw</t>
        </is>
      </c>
      <c r="C4422" s="1" t="n">
        <v>6.58</v>
      </c>
      <c r="D4422" s="1" t="n">
        <v>8</v>
      </c>
      <c r="E4422" s="1" t="n">
        <v>0.34</v>
      </c>
      <c r="F4422" s="1" t="n">
        <v>1.11</v>
      </c>
      <c r="G4422" s="1" t="n">
        <v>0.1</v>
      </c>
      <c r="H4422" s="1" t="n">
        <v>0</v>
      </c>
      <c r="I4422" s="1" t="n">
        <v>0.07000000000000001</v>
      </c>
    </row>
    <row r="4423" ht="15.75" customHeight="1" s="201">
      <c r="A4423" s="1" t="inlineStr">
        <is>
          <t>Melons, honeydew, raw</t>
        </is>
      </c>
      <c r="C4423" s="1" t="n">
        <v>9.09</v>
      </c>
      <c r="D4423" s="1" t="n">
        <v>19</v>
      </c>
      <c r="E4423" s="1" t="n">
        <v>0.17</v>
      </c>
      <c r="F4423" s="1" t="n">
        <v>0.54</v>
      </c>
      <c r="G4423" s="1" t="n">
        <v>0.14</v>
      </c>
      <c r="H4423" s="1" t="n">
        <v>50</v>
      </c>
      <c r="I4423" s="1" t="n">
        <v>0.09</v>
      </c>
      <c r="J4423" t="n">
        <v>63127010</v>
      </c>
    </row>
    <row r="4424" ht="15.75" customHeight="1" s="201">
      <c r="A4424" s="1" t="inlineStr">
        <is>
          <t>Milk and cereal bar</t>
        </is>
      </c>
      <c r="C4424" s="1" t="n">
        <v>72.05</v>
      </c>
      <c r="D4424" s="1" t="n">
        <v>98</v>
      </c>
      <c r="E4424" s="1" t="n">
        <v>5.99</v>
      </c>
      <c r="F4424" s="1" t="n">
        <v>6.47</v>
      </c>
      <c r="G4424" s="1" t="n">
        <v>10.98</v>
      </c>
      <c r="H4424" s="1" t="n">
        <v>627</v>
      </c>
      <c r="I4424" s="1" t="n">
        <v>0.84</v>
      </c>
      <c r="J4424" t="n">
        <v>11112110</v>
      </c>
    </row>
    <row r="4425" ht="15.75" customHeight="1" s="201">
      <c r="A4425" s="1" t="inlineStr">
        <is>
          <t>Milk dessert bar, frozen, made from lowfat milk</t>
        </is>
      </c>
      <c r="C4425" s="1" t="n">
        <v>32</v>
      </c>
      <c r="D4425" s="1" t="n">
        <v>4</v>
      </c>
      <c r="E4425" s="1" t="n">
        <v>0.53</v>
      </c>
      <c r="F4425" s="1" t="n">
        <v>4.41</v>
      </c>
      <c r="G4425" s="1" t="n">
        <v>1.47</v>
      </c>
      <c r="H4425" s="1" t="n">
        <v>424</v>
      </c>
      <c r="I4425" s="1" t="n">
        <v>0.43</v>
      </c>
      <c r="J4425" t="n">
        <v>11513300</v>
      </c>
    </row>
    <row r="4426" ht="15.75" customHeight="1" s="201">
      <c r="A4426" s="1" t="inlineStr">
        <is>
          <t>Milk dessert, frozen, milk-fat free, chocolate</t>
        </is>
      </c>
      <c r="C4426" s="1" t="n">
        <v>37.7</v>
      </c>
      <c r="D4426" s="1" t="n">
        <v>6</v>
      </c>
      <c r="E4426" s="1" t="n">
        <v>0.04</v>
      </c>
      <c r="F4426" s="1" t="n">
        <v>4.3</v>
      </c>
      <c r="G4426" s="1" t="n">
        <v>1</v>
      </c>
      <c r="H4426" s="1" t="n">
        <v>30</v>
      </c>
      <c r="I4426" s="1" t="n">
        <v>0.47</v>
      </c>
      <c r="J4426" t="n">
        <v>53108200</v>
      </c>
    </row>
    <row r="4427" ht="15.75" customHeight="1" s="201">
      <c r="A4427" s="1" t="inlineStr">
        <is>
          <t>Milk shakes, thick chocolate</t>
        </is>
      </c>
      <c r="C4427" s="1" t="n">
        <v>21.15</v>
      </c>
      <c r="D4427" s="1" t="n">
        <v>5</v>
      </c>
      <c r="E4427" s="1" t="n">
        <v>0.31</v>
      </c>
      <c r="F4427" s="1" t="n">
        <v>3.05</v>
      </c>
      <c r="G4427" s="1" t="n">
        <v>2.7</v>
      </c>
      <c r="H4427" s="1" t="n">
        <v>67</v>
      </c>
      <c r="I4427" s="1" t="n">
        <v>0.48</v>
      </c>
      <c r="J4427" t="n">
        <v>53108200</v>
      </c>
    </row>
    <row r="4428" ht="15.75" customHeight="1" s="201">
      <c r="A4428" s="1" t="inlineStr">
        <is>
          <t>Milk shakes, thick vanilla</t>
        </is>
      </c>
      <c r="C4428" s="1" t="n">
        <v>17.75</v>
      </c>
      <c r="D4428" s="1" t="n">
        <v>7</v>
      </c>
      <c r="E4428" s="1" t="n">
        <v>0.1</v>
      </c>
      <c r="F4428" s="1" t="n">
        <v>3.86</v>
      </c>
      <c r="G4428" s="1" t="n">
        <v>3.03</v>
      </c>
      <c r="H4428" s="1" t="n">
        <v>91</v>
      </c>
      <c r="I4428" s="1" t="n">
        <v>0.39</v>
      </c>
      <c r="J4428" t="n">
        <v>11112110</v>
      </c>
    </row>
    <row r="4429" ht="15.75" customHeight="1" s="201">
      <c r="A4429" s="1" t="inlineStr">
        <is>
          <t>Milk substitutes, fluid, with lauric acid oil</t>
        </is>
      </c>
      <c r="C4429" s="1" t="n">
        <v>6.16</v>
      </c>
      <c r="D4429" s="1" t="n">
        <v>0</v>
      </c>
      <c r="E4429" s="1" t="n">
        <v>0.39</v>
      </c>
      <c r="F4429" s="1" t="n">
        <v>1.75</v>
      </c>
      <c r="G4429" s="1" t="n">
        <v>3.41</v>
      </c>
      <c r="H4429" s="1" t="n">
        <v>0</v>
      </c>
      <c r="I4429" s="1" t="n">
        <v>1.18</v>
      </c>
      <c r="J4429" t="n">
        <v>75142550</v>
      </c>
    </row>
    <row r="4430" ht="15.75" customHeight="1" s="201">
      <c r="A4430" s="1" t="inlineStr">
        <is>
          <t>Milk, buttermilk, dried</t>
        </is>
      </c>
      <c r="C4430" s="1" t="n">
        <v>49</v>
      </c>
      <c r="D4430" s="1" t="n">
        <v>47</v>
      </c>
      <c r="E4430" s="1" t="n">
        <v>0.3</v>
      </c>
      <c r="F4430" s="1" t="n">
        <v>34.3</v>
      </c>
      <c r="G4430" s="1" t="n">
        <v>5.78</v>
      </c>
      <c r="H4430" s="1" t="n">
        <v>175</v>
      </c>
      <c r="I4430" s="1" t="n">
        <v>4.02</v>
      </c>
      <c r="J4430" t="n">
        <v>11112110</v>
      </c>
    </row>
    <row r="4431" ht="15.75" customHeight="1" s="201">
      <c r="A4431" s="1" t="inlineStr">
        <is>
          <t>Milk, buttermilk, fluid, cultured, lowfat</t>
        </is>
      </c>
      <c r="C4431" s="1" t="n">
        <v>4.79</v>
      </c>
      <c r="D4431" s="1" t="n">
        <v>5</v>
      </c>
      <c r="E4431" s="1" t="n">
        <v>0.05</v>
      </c>
      <c r="F4431" s="1" t="n">
        <v>3.31</v>
      </c>
      <c r="G4431" s="1" t="n">
        <v>1.07</v>
      </c>
      <c r="H4431" s="1" t="n">
        <v>47</v>
      </c>
      <c r="I4431" s="1" t="n">
        <v>0.42</v>
      </c>
      <c r="J4431" t="n">
        <v>11112110</v>
      </c>
    </row>
    <row r="4432" ht="15.75" customHeight="1" s="201">
      <c r="A4432" s="1" t="inlineStr">
        <is>
          <t>Milk, buttermilk, fluid, cultured, reduced fat</t>
        </is>
      </c>
      <c r="C4432" s="1" t="n">
        <v>5.3</v>
      </c>
      <c r="D4432" s="1" t="n">
        <v>6</v>
      </c>
      <c r="E4432" s="1" t="n">
        <v>0.06</v>
      </c>
      <c r="F4432" s="1" t="n">
        <v>4.1</v>
      </c>
      <c r="G4432" s="1" t="n">
        <v>2</v>
      </c>
      <c r="H4432" s="1" t="n">
        <v>58</v>
      </c>
      <c r="I4432" s="1" t="n">
        <v>0.24</v>
      </c>
      <c r="J4432" t="n">
        <v>54301100</v>
      </c>
    </row>
    <row r="4433" ht="15.75" customHeight="1" s="201">
      <c r="A4433" s="1" t="inlineStr">
        <is>
          <t>Milk, buttermilk, fluid, whole</t>
        </is>
      </c>
      <c r="C4433" s="1" t="n">
        <v>4.88</v>
      </c>
      <c r="D4433" s="1" t="n">
        <v>5</v>
      </c>
      <c r="E4433" s="1" t="n">
        <v>0.03</v>
      </c>
      <c r="F4433" s="1" t="n">
        <v>3.21</v>
      </c>
      <c r="G4433" s="1" t="n">
        <v>3.31</v>
      </c>
      <c r="H4433" s="1" t="n">
        <v>165</v>
      </c>
      <c r="I4433" s="1" t="n">
        <v>0.38</v>
      </c>
      <c r="J4433" t="n">
        <v>11112110</v>
      </c>
    </row>
    <row r="4434" ht="15.75" customHeight="1" s="201">
      <c r="A4434" s="1" t="inlineStr">
        <is>
          <t>Milk, canned, condensed, sweetened</t>
        </is>
      </c>
      <c r="C4434" s="1" t="n">
        <v>54.4</v>
      </c>
      <c r="D4434" s="1" t="n">
        <v>11</v>
      </c>
      <c r="E4434" s="1" t="n">
        <v>0.19</v>
      </c>
      <c r="F4434" s="1" t="n">
        <v>7.91</v>
      </c>
      <c r="G4434" s="1" t="n">
        <v>8.699999999999999</v>
      </c>
      <c r="H4434" s="1" t="n">
        <v>267</v>
      </c>
      <c r="I4434" s="1" t="n">
        <v>0.9399999999999999</v>
      </c>
      <c r="J4434" t="n">
        <v>11112110</v>
      </c>
    </row>
    <row r="4435" ht="15.75" customHeight="1" s="201">
      <c r="A4435" s="1" t="inlineStr">
        <is>
          <t>Milk, canned, evaporated, nonfat, with added vitamin A and vitamin D</t>
        </is>
      </c>
      <c r="C4435" s="1" t="n">
        <v>11.35</v>
      </c>
      <c r="D4435" s="1" t="n">
        <v>9</v>
      </c>
      <c r="E4435" s="1" t="n">
        <v>0.29</v>
      </c>
      <c r="F4435" s="1" t="n">
        <v>7.55</v>
      </c>
      <c r="G4435" s="1" t="n">
        <v>0.2</v>
      </c>
      <c r="H4435" s="1" t="n">
        <v>394</v>
      </c>
      <c r="I4435" s="1" t="n">
        <v>0.9</v>
      </c>
      <c r="J4435" t="n">
        <v>75142550</v>
      </c>
    </row>
    <row r="4436" ht="15.75" customHeight="1" s="201">
      <c r="A4436" s="1" t="inlineStr">
        <is>
          <t>Milk, canned, evaporated, with added vitamin A</t>
        </is>
      </c>
      <c r="C4436" s="1" t="n">
        <v>10.04</v>
      </c>
      <c r="D4436" s="1" t="n">
        <v>8</v>
      </c>
      <c r="E4436" s="1" t="n">
        <v>0.19</v>
      </c>
      <c r="F4436" s="1" t="n">
        <v>6.81</v>
      </c>
      <c r="G4436" s="1" t="n">
        <v>7.56</v>
      </c>
      <c r="H4436" s="1" t="n">
        <v>397</v>
      </c>
      <c r="I4436" s="1" t="n">
        <v>0.77</v>
      </c>
      <c r="J4436" t="n">
        <v>75142550</v>
      </c>
    </row>
    <row r="4437" ht="15.75" customHeight="1" s="201">
      <c r="A4437" s="1" t="inlineStr">
        <is>
          <t>Milk, canned, evaporated, with added vitamin D and without added vitamin A</t>
        </is>
      </c>
      <c r="C4437" s="1" t="n">
        <v>10.04</v>
      </c>
      <c r="D4437" s="1" t="n">
        <v>8</v>
      </c>
      <c r="E4437" s="1" t="n">
        <v>0.19</v>
      </c>
      <c r="F4437" s="1" t="n">
        <v>6.81</v>
      </c>
      <c r="G4437" s="1" t="n">
        <v>7.56</v>
      </c>
      <c r="H4437" s="1" t="n">
        <v>233</v>
      </c>
      <c r="I4437" s="1" t="n">
        <v>0.77</v>
      </c>
      <c r="J4437" t="n">
        <v>61210250</v>
      </c>
    </row>
    <row r="4438" ht="15.75" customHeight="1" s="201">
      <c r="A4438" s="1" t="inlineStr">
        <is>
          <t>Milk, chocolate beverage, hot cocoa, homemade</t>
        </is>
      </c>
      <c r="C4438" s="1" t="n">
        <v>10.74</v>
      </c>
      <c r="D4438" s="1" t="n">
        <v>5</v>
      </c>
      <c r="E4438" s="1" t="n">
        <v>0.42</v>
      </c>
      <c r="F4438" s="1" t="n">
        <v>3.52</v>
      </c>
      <c r="G4438" s="1" t="n">
        <v>2.34</v>
      </c>
      <c r="H4438" s="1" t="n">
        <v>175</v>
      </c>
      <c r="I4438" s="1" t="n">
        <v>0.63</v>
      </c>
      <c r="J4438" t="n">
        <v>53108200</v>
      </c>
    </row>
    <row r="4439" ht="15.75" customHeight="1" s="201">
      <c r="A4439" s="1" t="inlineStr">
        <is>
          <t>Milk, chocolate, fat free, with added vitamin A and vitamin D</t>
        </is>
      </c>
      <c r="C4439" s="1" t="n">
        <v>13.46</v>
      </c>
      <c r="D4439" s="1" t="n">
        <v>2</v>
      </c>
      <c r="E4439" s="1" t="n">
        <v>0.27</v>
      </c>
      <c r="F4439" s="1" t="n">
        <v>3.39</v>
      </c>
      <c r="G4439" s="1" t="n">
        <v>0</v>
      </c>
      <c r="H4439" s="1" t="n">
        <v>227</v>
      </c>
      <c r="I4439" s="1" t="n">
        <v>0.41</v>
      </c>
      <c r="J4439" t="n">
        <v>53108200</v>
      </c>
    </row>
    <row r="4440" ht="15.75" customHeight="1" s="201">
      <c r="A4440" s="1" t="inlineStr">
        <is>
          <t>Milk, chocolate, fluid, commercial, reduced fat, with added calcium</t>
        </is>
      </c>
      <c r="C4440" s="1" t="n">
        <v>12.13</v>
      </c>
      <c r="D4440" s="1" t="n">
        <v>2</v>
      </c>
      <c r="E4440" s="1" t="n">
        <v>0.24</v>
      </c>
      <c r="F4440" s="1" t="n">
        <v>2.99</v>
      </c>
      <c r="G4440" s="1" t="n">
        <v>1.9</v>
      </c>
      <c r="H4440" s="1" t="n">
        <v>227</v>
      </c>
      <c r="I4440" s="1" t="n">
        <v>0.39</v>
      </c>
      <c r="J4440" t="n">
        <v>53108200</v>
      </c>
    </row>
    <row r="4441" ht="15.75" customHeight="1" s="201">
      <c r="A4441" s="1" t="inlineStr">
        <is>
          <t>Milk, chocolate, fluid, commercial, reduced fat, with added vitamin A and vitamin D</t>
        </is>
      </c>
      <c r="C4441" s="1" t="n">
        <v>12.13</v>
      </c>
      <c r="D4441" s="1" t="n">
        <v>2</v>
      </c>
      <c r="E4441" s="1" t="n">
        <v>0.24</v>
      </c>
      <c r="F4441" s="1" t="n">
        <v>2.99</v>
      </c>
      <c r="G4441" s="1" t="n">
        <v>1.9</v>
      </c>
      <c r="H4441" s="1" t="n">
        <v>227</v>
      </c>
      <c r="I4441" s="1" t="n">
        <v>0.39</v>
      </c>
      <c r="J4441" t="n">
        <v>53108200</v>
      </c>
    </row>
    <row r="4442" ht="15.75" customHeight="1" s="201">
      <c r="A4442" s="1" t="inlineStr">
        <is>
          <t>Milk, chocolate, fluid, commercial, whole, with added vitamin A and vitamin D</t>
        </is>
      </c>
      <c r="C4442" s="1" t="n">
        <v>10.34</v>
      </c>
      <c r="D4442" s="1" t="n">
        <v>5</v>
      </c>
      <c r="E4442" s="1" t="n">
        <v>0.24</v>
      </c>
      <c r="F4442" s="1" t="n">
        <v>3.17</v>
      </c>
      <c r="G4442" s="1" t="n">
        <v>3.39</v>
      </c>
      <c r="H4442" s="1" t="n">
        <v>98</v>
      </c>
      <c r="I4442" s="1" t="n">
        <v>0.41</v>
      </c>
      <c r="J4442" t="n">
        <v>53108200</v>
      </c>
    </row>
    <row r="4443" ht="15.75" customHeight="1" s="201">
      <c r="A4443" s="1" t="inlineStr">
        <is>
          <t>Milk, chocolate, lowfat, reduced sugar</t>
        </is>
      </c>
      <c r="C4443" s="1" t="n">
        <v>7.68</v>
      </c>
      <c r="D4443" s="1" t="n">
        <v>5</v>
      </c>
      <c r="E4443" s="1" t="n">
        <v>0.16</v>
      </c>
      <c r="F4443" s="1" t="n">
        <v>3.43</v>
      </c>
      <c r="G4443" s="1" t="n">
        <v>1.04</v>
      </c>
      <c r="H4443" s="1" t="n">
        <v>321</v>
      </c>
      <c r="I4443" s="1" t="n">
        <v>0.46</v>
      </c>
      <c r="J4443" t="n">
        <v>53108200</v>
      </c>
    </row>
    <row r="4444" ht="15.75" customHeight="1" s="201">
      <c r="A4444" s="1" t="inlineStr">
        <is>
          <t>Milk, chocolate, lowfat, with added vitamin A and vitamin D</t>
        </is>
      </c>
      <c r="C4444" s="1" t="n">
        <v>10.15</v>
      </c>
      <c r="D4444" s="1" t="n">
        <v>3</v>
      </c>
      <c r="E4444" s="1" t="n">
        <v>0.23</v>
      </c>
      <c r="F4444" s="1" t="n">
        <v>3.46</v>
      </c>
      <c r="G4444" s="1" t="n">
        <v>1.11</v>
      </c>
      <c r="H4444" s="1" t="n">
        <v>174</v>
      </c>
      <c r="I4444" s="1" t="n">
        <v>0.43</v>
      </c>
      <c r="J4444" t="n">
        <v>53108200</v>
      </c>
    </row>
    <row r="4445" ht="15.75" customHeight="1" s="201">
      <c r="A4445" s="1" t="inlineStr">
        <is>
          <t>Milk, dry, nonfat, calcium reduced</t>
        </is>
      </c>
      <c r="C4445" s="1" t="n">
        <v>51.8</v>
      </c>
      <c r="D4445" s="1" t="n">
        <v>50</v>
      </c>
      <c r="E4445" s="1" t="n">
        <v>0.32</v>
      </c>
      <c r="F4445" s="1" t="n">
        <v>35.5</v>
      </c>
      <c r="G4445" s="1" t="n">
        <v>0.2</v>
      </c>
      <c r="H4445" s="1" t="n">
        <v>8</v>
      </c>
      <c r="I4445" s="1" t="n">
        <v>4.03</v>
      </c>
      <c r="J4445" t="n">
        <v>54301100</v>
      </c>
    </row>
    <row r="4446" ht="15.75" customHeight="1" s="201">
      <c r="A4446" s="1" t="inlineStr">
        <is>
          <t>Milk, dry, nonfat, instant, with added vitamin A and vitamin D</t>
        </is>
      </c>
      <c r="C4446" s="1" t="n">
        <v>52.19</v>
      </c>
      <c r="D4446" s="1" t="n">
        <v>50</v>
      </c>
      <c r="E4446" s="1" t="n">
        <v>0.31</v>
      </c>
      <c r="F4446" s="1" t="n">
        <v>35.1</v>
      </c>
      <c r="G4446" s="1" t="n">
        <v>0.72</v>
      </c>
      <c r="H4446" s="1" t="n">
        <v>2365</v>
      </c>
      <c r="I4446" s="1" t="n">
        <v>4.41</v>
      </c>
      <c r="J4446" t="n">
        <v>75142550</v>
      </c>
    </row>
    <row r="4447" ht="15.75" customHeight="1" s="201">
      <c r="A4447" s="1" t="inlineStr">
        <is>
          <t>Milk, dry, nonfat, instant, without added vitamin A and vitamin D</t>
        </is>
      </c>
      <c r="C4447" s="1" t="n">
        <v>52.19</v>
      </c>
      <c r="D4447" s="1" t="n">
        <v>50</v>
      </c>
      <c r="E4447" s="1" t="n">
        <v>0.31</v>
      </c>
      <c r="F4447" s="1" t="n">
        <v>35.1</v>
      </c>
      <c r="G4447" s="1" t="n">
        <v>0.72</v>
      </c>
      <c r="H4447" s="1" t="n">
        <v>15</v>
      </c>
      <c r="I4447" s="1" t="n">
        <v>4.41</v>
      </c>
      <c r="J4447" t="n">
        <v>56203106</v>
      </c>
    </row>
    <row r="4448" ht="15.75" customHeight="1" s="201">
      <c r="A4448" s="1" t="inlineStr">
        <is>
          <t>Milk, dry, nonfat, regular, with added vitamin A and vitamin D</t>
        </is>
      </c>
      <c r="C4448" s="1" t="n">
        <v>51.98</v>
      </c>
      <c r="D4448" s="1" t="n">
        <v>50</v>
      </c>
      <c r="E4448" s="1" t="n">
        <v>0.32</v>
      </c>
      <c r="F4448" s="1" t="n">
        <v>36.16</v>
      </c>
      <c r="G4448" s="1" t="n">
        <v>0.77</v>
      </c>
      <c r="H4448" s="1" t="n">
        <v>2179</v>
      </c>
      <c r="I4448" s="1" t="n">
        <v>4.08</v>
      </c>
      <c r="J4448" t="n">
        <v>75142550</v>
      </c>
    </row>
    <row r="4449" ht="15.75" customHeight="1" s="201">
      <c r="A4449" s="1" t="inlineStr">
        <is>
          <t>Milk, dry, nonfat, regular, without added vitamin A and vitamin D</t>
        </is>
      </c>
      <c r="C4449" s="1" t="n">
        <v>51.98</v>
      </c>
      <c r="D4449" s="1" t="n">
        <v>50</v>
      </c>
      <c r="E4449" s="1" t="n">
        <v>0.32</v>
      </c>
      <c r="F4449" s="1" t="n">
        <v>36.16</v>
      </c>
      <c r="G4449" s="1" t="n">
        <v>0.77</v>
      </c>
      <c r="H4449" s="1" t="n">
        <v>22</v>
      </c>
      <c r="I4449" s="1" t="n">
        <v>4.08</v>
      </c>
      <c r="J4449" t="n">
        <v>94220215</v>
      </c>
    </row>
    <row r="4450" ht="15.75" customHeight="1" s="201">
      <c r="A4450" s="1" t="inlineStr">
        <is>
          <t>Milk, dry, whole, with added vitamin D</t>
        </is>
      </c>
      <c r="C4450" s="1" t="n">
        <v>38.42</v>
      </c>
      <c r="D4450" s="1" t="n">
        <v>37</v>
      </c>
      <c r="E4450" s="1" t="n">
        <v>0.47</v>
      </c>
      <c r="F4450" s="1" t="n">
        <v>26.32</v>
      </c>
      <c r="G4450" s="1" t="n">
        <v>26.71</v>
      </c>
      <c r="H4450" s="1" t="n">
        <v>934</v>
      </c>
      <c r="I4450" s="1" t="n">
        <v>3.34</v>
      </c>
      <c r="J4450" t="n">
        <v>75142550</v>
      </c>
    </row>
    <row r="4451" ht="15.75" customHeight="1" s="201">
      <c r="A4451" s="1" t="inlineStr">
        <is>
          <t>Milk, dry, whole, without added vitamin D</t>
        </is>
      </c>
      <c r="C4451" s="1" t="n">
        <v>38.42</v>
      </c>
      <c r="D4451" s="1" t="n">
        <v>37</v>
      </c>
      <c r="E4451" s="1" t="n">
        <v>0.47</v>
      </c>
      <c r="F4451" s="1" t="n">
        <v>26.32</v>
      </c>
      <c r="G4451" s="1" t="n">
        <v>26.71</v>
      </c>
      <c r="H4451" s="1" t="n">
        <v>934</v>
      </c>
      <c r="I4451" s="1" t="n">
        <v>3.34</v>
      </c>
      <c r="J4451" t="n">
        <v>11112110</v>
      </c>
    </row>
    <row r="4452" ht="15.75" customHeight="1" s="201">
      <c r="A4452" s="1" t="inlineStr">
        <is>
          <t>Milk, evaporated, 2% fat, with added vitamin A and vitamin D</t>
        </is>
      </c>
      <c r="C4452" s="1" t="n">
        <v>15.74</v>
      </c>
      <c r="D4452" s="1" t="n">
        <v>8</v>
      </c>
      <c r="E4452" s="1" t="n">
        <v>0.19</v>
      </c>
      <c r="F4452" s="1" t="n">
        <v>6.67</v>
      </c>
      <c r="G4452" s="1" t="n">
        <v>2</v>
      </c>
      <c r="H4452" s="1" t="n">
        <v>192</v>
      </c>
      <c r="I4452" s="1" t="n">
        <v>0.77</v>
      </c>
      <c r="J4452" t="n">
        <v>75142550</v>
      </c>
    </row>
    <row r="4453" ht="15.75" customHeight="1" s="201">
      <c r="A4453" s="1" t="inlineStr">
        <is>
          <t>Milk, filled, fluid, with blend of hydrogenated vegetable oils</t>
        </is>
      </c>
      <c r="C4453" s="1" t="n">
        <v>4.74</v>
      </c>
      <c r="D4453" s="1" t="n">
        <v>5</v>
      </c>
      <c r="E4453" s="1" t="n">
        <v>0.05</v>
      </c>
      <c r="F4453" s="1" t="n">
        <v>3.33</v>
      </c>
      <c r="G4453" s="1" t="n">
        <v>3.46</v>
      </c>
      <c r="H4453" s="1" t="n">
        <v>7</v>
      </c>
      <c r="I4453" s="1" t="n">
        <v>0.36</v>
      </c>
      <c r="J4453" t="n">
        <v>75142550</v>
      </c>
    </row>
    <row r="4454" ht="15.75" customHeight="1" s="201">
      <c r="A4454" s="1" t="inlineStr">
        <is>
          <t>Milk, filled, fluid, with lauric acid oil</t>
        </is>
      </c>
      <c r="C4454" s="1" t="n">
        <v>4.74</v>
      </c>
      <c r="D4454" s="1" t="n">
        <v>5</v>
      </c>
      <c r="E4454" s="1" t="n">
        <v>0.05</v>
      </c>
      <c r="F4454" s="1" t="n">
        <v>3.33</v>
      </c>
      <c r="G4454" s="1" t="n">
        <v>3.4</v>
      </c>
      <c r="H4454" s="1" t="n">
        <v>7</v>
      </c>
      <c r="I4454" s="1" t="n">
        <v>0.36</v>
      </c>
      <c r="J4454" t="n">
        <v>75142550</v>
      </c>
    </row>
    <row r="4455" ht="15.75" customHeight="1" s="201">
      <c r="A4455" s="1" t="inlineStr">
        <is>
          <t>Milk, fluid, 1% fat, without added vitamin A and vitamin D</t>
        </is>
      </c>
      <c r="C4455" s="1" t="n">
        <v>4.99</v>
      </c>
      <c r="D4455" s="1" t="n">
        <v>5</v>
      </c>
      <c r="E4455" s="1" t="n">
        <v>0.03</v>
      </c>
      <c r="F4455" s="1" t="n">
        <v>3.37</v>
      </c>
      <c r="G4455" s="1" t="n">
        <v>0.97</v>
      </c>
      <c r="H4455" s="1" t="n">
        <v>47</v>
      </c>
      <c r="I4455" s="1" t="n">
        <v>0.42</v>
      </c>
      <c r="J4455" t="n">
        <v>94220215</v>
      </c>
    </row>
    <row r="4456" ht="15.75" customHeight="1" s="201">
      <c r="A4456" s="1" t="inlineStr">
        <is>
          <t>Milk, fluid, nonfat, calcium fortified (fat free or skim)</t>
        </is>
      </c>
      <c r="C4456" s="1" t="n">
        <v>4.85</v>
      </c>
      <c r="D4456" s="1" t="n">
        <v>5</v>
      </c>
      <c r="E4456" s="1" t="n">
        <v>0.04</v>
      </c>
      <c r="F4456" s="1" t="n">
        <v>3.4</v>
      </c>
      <c r="G4456" s="1" t="n">
        <v>0.18</v>
      </c>
      <c r="H4456" s="1" t="n">
        <v>458</v>
      </c>
      <c r="I4456" s="1" t="n">
        <v>0.4</v>
      </c>
      <c r="J4456" t="n">
        <v>11513370</v>
      </c>
    </row>
    <row r="4457" ht="15.75" customHeight="1" s="201">
      <c r="A4457" s="1" t="inlineStr">
        <is>
          <t>Milk, goat, fluid, with added vitamin D</t>
        </is>
      </c>
      <c r="C4457" s="1" t="n">
        <v>4.45</v>
      </c>
      <c r="D4457" s="1" t="n">
        <v>1</v>
      </c>
      <c r="E4457" s="1" t="n">
        <v>0.05</v>
      </c>
      <c r="F4457" s="1" t="n">
        <v>3.56</v>
      </c>
      <c r="G4457" s="1" t="n">
        <v>4.14</v>
      </c>
      <c r="H4457" s="1" t="n">
        <v>198</v>
      </c>
      <c r="I4457" s="1" t="n">
        <v>0.3</v>
      </c>
      <c r="J4457" t="n">
        <v>75142550</v>
      </c>
    </row>
    <row r="4458" ht="15.75" customHeight="1" s="201">
      <c r="A4458" s="1" t="inlineStr">
        <is>
          <t>Milk, human, mature, fluid (For Reference Only)</t>
        </is>
      </c>
      <c r="C4458" s="1" t="n">
        <v>6.89</v>
      </c>
      <c r="D4458" s="1" t="n">
        <v>5</v>
      </c>
      <c r="E4458" s="1" t="n">
        <v>0.03</v>
      </c>
      <c r="F4458" s="1" t="n">
        <v>1.03</v>
      </c>
      <c r="G4458" s="1" t="n">
        <v>4.38</v>
      </c>
      <c r="H4458" s="1" t="n">
        <v>212</v>
      </c>
      <c r="I4458" s="1" t="n">
        <v>0.17</v>
      </c>
      <c r="J4458" t="n">
        <v>11112110</v>
      </c>
    </row>
    <row r="4459" ht="15.75" customHeight="1" s="201">
      <c r="A4459" s="1" t="inlineStr">
        <is>
          <t>Milk, imitation, non-soy</t>
        </is>
      </c>
      <c r="C4459" s="1" t="n">
        <v>5.3</v>
      </c>
      <c r="D4459" s="1" t="n">
        <v>0</v>
      </c>
      <c r="E4459" s="1" t="n">
        <v>0.1</v>
      </c>
      <c r="F4459" s="1" t="n">
        <v>1.6</v>
      </c>
      <c r="G4459" s="1" t="n">
        <v>2</v>
      </c>
      <c r="H4459" s="1" t="n">
        <v>203</v>
      </c>
      <c r="I4459" s="1" t="n">
        <v>0.1</v>
      </c>
      <c r="J4459" t="n">
        <v>11112110</v>
      </c>
    </row>
    <row r="4460" ht="15.75" customHeight="1" s="201">
      <c r="A4460" s="1" t="inlineStr">
        <is>
          <t>Milk, indian buffalo, fluid</t>
        </is>
      </c>
      <c r="C4460" s="1" t="n">
        <v>5.18</v>
      </c>
      <c r="D4460" s="1" t="n">
        <v>6</v>
      </c>
      <c r="E4460" s="1" t="n">
        <v>0.12</v>
      </c>
      <c r="F4460" s="1" t="n">
        <v>3.75</v>
      </c>
      <c r="G4460" s="1" t="n">
        <v>6.89</v>
      </c>
      <c r="H4460" s="1" t="n">
        <v>178</v>
      </c>
      <c r="I4460" s="1" t="n">
        <v>0.22</v>
      </c>
      <c r="J4460" t="n">
        <v>11112110</v>
      </c>
    </row>
    <row r="4461" ht="15.75" customHeight="1" s="201">
      <c r="A4461" s="1" t="inlineStr">
        <is>
          <t>Milk, low sodium, fluid</t>
        </is>
      </c>
      <c r="C4461" s="1" t="n">
        <v>4.46</v>
      </c>
      <c r="D4461" s="1" t="n">
        <v>5</v>
      </c>
      <c r="E4461" s="1" t="n">
        <v>0.05</v>
      </c>
      <c r="F4461" s="1" t="n">
        <v>3.1</v>
      </c>
      <c r="G4461" s="1" t="n">
        <v>3.46</v>
      </c>
      <c r="H4461" s="1" t="n">
        <v>105</v>
      </c>
      <c r="I4461" s="1" t="n">
        <v>0.38</v>
      </c>
      <c r="J4461" t="n">
        <v>54204030</v>
      </c>
    </row>
    <row r="4462" ht="15.75" customHeight="1" s="201">
      <c r="A4462" s="1" t="inlineStr">
        <is>
          <t>Milk, lowfat, fluid, 1% milkfat, protein fortified, with added vitamin A and vitamin D</t>
        </is>
      </c>
      <c r="C4462" s="1" t="n">
        <v>5.52</v>
      </c>
      <c r="D4462" s="1" t="n">
        <v>6</v>
      </c>
      <c r="E4462" s="1" t="n">
        <v>0.06</v>
      </c>
      <c r="F4462" s="1" t="n">
        <v>3.93</v>
      </c>
      <c r="G4462" s="1" t="n">
        <v>1.17</v>
      </c>
      <c r="H4462" s="1" t="n">
        <v>203</v>
      </c>
      <c r="I4462" s="1" t="n">
        <v>0.45</v>
      </c>
      <c r="J4462" t="n">
        <v>75142550</v>
      </c>
    </row>
    <row r="4463" ht="15.75" customHeight="1" s="201">
      <c r="A4463" s="1" t="inlineStr">
        <is>
          <t>Milk, lowfat, fluid, 1% milkfat, with added nonfat milk solids, vitamin A and vitamin D</t>
        </is>
      </c>
      <c r="C4463" s="1" t="n">
        <v>4.97</v>
      </c>
      <c r="D4463" s="1" t="n">
        <v>5</v>
      </c>
      <c r="E4463" s="1" t="n">
        <v>0.05</v>
      </c>
      <c r="F4463" s="1" t="n">
        <v>3.48</v>
      </c>
      <c r="G4463" s="1" t="n">
        <v>0.97</v>
      </c>
      <c r="H4463" s="1" t="n">
        <v>204</v>
      </c>
      <c r="I4463" s="1" t="n">
        <v>0.4</v>
      </c>
      <c r="J4463" t="n">
        <v>11513300</v>
      </c>
    </row>
    <row r="4464" ht="15.75" customHeight="1" s="201">
      <c r="A4464" s="1" t="inlineStr">
        <is>
          <t>Milk, lowfat, fluid, 1% milkfat, with added vitamin A and vitamin D</t>
        </is>
      </c>
      <c r="C4464" s="1" t="n">
        <v>4.99</v>
      </c>
      <c r="D4464" s="1" t="n">
        <v>5</v>
      </c>
      <c r="E4464" s="1" t="n">
        <v>0.03</v>
      </c>
      <c r="F4464" s="1" t="n">
        <v>3.37</v>
      </c>
      <c r="G4464" s="1" t="n">
        <v>0.97</v>
      </c>
      <c r="H4464" s="1" t="n">
        <v>196</v>
      </c>
      <c r="I4464" s="1" t="n">
        <v>0.42</v>
      </c>
      <c r="J4464" t="n">
        <v>75142550</v>
      </c>
    </row>
    <row r="4465" ht="15.75" customHeight="1" s="201">
      <c r="A4465" s="1" t="inlineStr">
        <is>
          <t>Milk, nonfat, fluid, protein fortified, with added vitamin A and vitamin D (fat free and skim)</t>
        </is>
      </c>
      <c r="C4465" s="1" t="n">
        <v>5.56</v>
      </c>
      <c r="D4465" s="1" t="n">
        <v>6</v>
      </c>
      <c r="E4465" s="1" t="n">
        <v>0.06</v>
      </c>
      <c r="F4465" s="1" t="n">
        <v>3.96</v>
      </c>
      <c r="G4465" s="1" t="n">
        <v>0.25</v>
      </c>
      <c r="H4465" s="1" t="n">
        <v>203</v>
      </c>
      <c r="I4465" s="1" t="n">
        <v>0.45</v>
      </c>
      <c r="J4465" t="n">
        <v>11513370</v>
      </c>
    </row>
    <row r="4466" ht="15.75" customHeight="1" s="201">
      <c r="A4466" s="1" t="inlineStr">
        <is>
          <t>Milk, nonfat, fluid, with added nonfat milk solids, vitamin A and vitamin D (fat free or skim)</t>
        </is>
      </c>
      <c r="C4466" s="1" t="n">
        <v>5.02</v>
      </c>
      <c r="D4466" s="1" t="n">
        <v>5</v>
      </c>
      <c r="E4466" s="1" t="n">
        <v>0.05</v>
      </c>
      <c r="F4466" s="1" t="n">
        <v>3.57</v>
      </c>
      <c r="G4466" s="1" t="n">
        <v>0.25</v>
      </c>
      <c r="H4466" s="1" t="n">
        <v>214</v>
      </c>
      <c r="I4466" s="1" t="n">
        <v>0.41</v>
      </c>
      <c r="J4466" t="n">
        <v>11513300</v>
      </c>
    </row>
    <row r="4467" ht="15.75" customHeight="1" s="201">
      <c r="A4467" s="1" t="inlineStr">
        <is>
          <t>Milk, nonfat, fluid, with added vitamin A and vitamin D (fat free or skim)</t>
        </is>
      </c>
      <c r="C4467" s="1" t="n">
        <v>4.96</v>
      </c>
      <c r="D4467" s="1" t="n">
        <v>5</v>
      </c>
      <c r="E4467" s="1" t="n">
        <v>0.03</v>
      </c>
      <c r="F4467" s="1" t="n">
        <v>3.37</v>
      </c>
      <c r="G4467" s="1" t="n">
        <v>0.08</v>
      </c>
      <c r="H4467" s="1" t="n">
        <v>204</v>
      </c>
      <c r="I4467" s="1" t="n">
        <v>0.42</v>
      </c>
      <c r="J4467" t="n">
        <v>11513370</v>
      </c>
    </row>
    <row r="4468" ht="15.75" customHeight="1" s="201">
      <c r="A4468" s="1" t="inlineStr">
        <is>
          <t>Milk, nonfat, fluid, without added vitamin A and vitamin D (fat free or skim)</t>
        </is>
      </c>
      <c r="C4468" s="1" t="n">
        <v>4.86</v>
      </c>
      <c r="D4468" s="1" t="n">
        <v>5</v>
      </c>
      <c r="E4468" s="1" t="n">
        <v>0.03</v>
      </c>
      <c r="F4468" s="1" t="n">
        <v>3.37</v>
      </c>
      <c r="G4468" s="1" t="n">
        <v>0.18</v>
      </c>
      <c r="H4468" s="1" t="n">
        <v>15</v>
      </c>
      <c r="I4468" s="1" t="n">
        <v>0.42</v>
      </c>
      <c r="J4468" t="n">
        <v>11513370</v>
      </c>
    </row>
    <row r="4469" ht="15.75" customHeight="1" s="201">
      <c r="A4469" s="1" t="inlineStr">
        <is>
          <t>Milk, producer, fluid, 3.7% milkfat</t>
        </is>
      </c>
      <c r="C4469" s="1" t="n">
        <v>4.65</v>
      </c>
      <c r="D4469" s="1" t="n">
        <v>5</v>
      </c>
      <c r="E4469" s="1" t="n">
        <v>0.05</v>
      </c>
      <c r="F4469" s="1" t="n">
        <v>3.28</v>
      </c>
      <c r="G4469" s="1" t="n">
        <v>3.66</v>
      </c>
      <c r="H4469" s="1" t="n">
        <v>138</v>
      </c>
      <c r="I4469" s="1" t="n">
        <v>0.38</v>
      </c>
      <c r="J4469" t="n">
        <v>11112110</v>
      </c>
    </row>
    <row r="4470" ht="15.75" customHeight="1" s="201">
      <c r="A4470" s="1" t="inlineStr">
        <is>
          <t>Milk, reduced fat, fluid, 2% milkfat, protein fortified, with added vitamin A and vitamin D</t>
        </is>
      </c>
      <c r="C4470" s="1" t="n">
        <v>5.49</v>
      </c>
      <c r="D4470" s="1" t="n">
        <v>6</v>
      </c>
      <c r="E4470" s="1" t="n">
        <v>0.06</v>
      </c>
      <c r="F4470" s="1" t="n">
        <v>3.95</v>
      </c>
      <c r="G4470" s="1" t="n">
        <v>1.98</v>
      </c>
      <c r="H4470" s="1" t="n">
        <v>5</v>
      </c>
      <c r="I4470" s="1" t="n">
        <v>0.45</v>
      </c>
      <c r="J4470" t="n">
        <v>75142550</v>
      </c>
    </row>
    <row r="4471" ht="15.75" customHeight="1" s="201">
      <c r="A4471" s="1" t="inlineStr">
        <is>
          <t>Milk, reduced fat, fluid, 2% milkfat, with added nonfat milk solids and vitamin A and vitamin D</t>
        </is>
      </c>
      <c r="C4471" s="1" t="n">
        <v>4.97</v>
      </c>
      <c r="D4471" s="1" t="n">
        <v>5</v>
      </c>
      <c r="E4471" s="1" t="n">
        <v>0.05</v>
      </c>
      <c r="F4471" s="1" t="n">
        <v>3.48</v>
      </c>
      <c r="G4471" s="1" t="n">
        <v>1.92</v>
      </c>
      <c r="H4471" s="1" t="n">
        <v>204</v>
      </c>
      <c r="I4471" s="1" t="n">
        <v>0.4</v>
      </c>
      <c r="J4471" t="n">
        <v>11513300</v>
      </c>
    </row>
    <row r="4472" ht="15.75" customHeight="1" s="201">
      <c r="A4472" s="1" t="inlineStr">
        <is>
          <t>Milk, reduced fat, fluid, 2% milkfat, with added nonfat milk solids, without added vitamin A</t>
        </is>
      </c>
      <c r="C4472" s="1" t="n">
        <v>5.49</v>
      </c>
      <c r="D4472" s="1" t="n">
        <v>5</v>
      </c>
      <c r="E4472" s="1" t="n">
        <v>0.06</v>
      </c>
      <c r="F4472" s="1" t="n">
        <v>3.95</v>
      </c>
      <c r="G4472" s="1" t="n">
        <v>1.98</v>
      </c>
      <c r="H4472" s="1" t="n">
        <v>75</v>
      </c>
      <c r="I4472" s="1" t="n">
        <v>0.41</v>
      </c>
      <c r="J4472" t="n">
        <v>11513300</v>
      </c>
    </row>
    <row r="4473" ht="15.75" customHeight="1" s="201">
      <c r="A4473" s="1" t="inlineStr">
        <is>
          <t>Milk, reduced fat, fluid, 2% milkfat, with added vitamin A and vitamin D</t>
        </is>
      </c>
      <c r="C4473" s="1" t="n">
        <v>4.8</v>
      </c>
      <c r="D4473" s="1" t="n">
        <v>5</v>
      </c>
      <c r="E4473" s="1" t="n">
        <v>0.02</v>
      </c>
      <c r="F4473" s="1" t="n">
        <v>3.3</v>
      </c>
      <c r="G4473" s="1" t="n">
        <v>1.98</v>
      </c>
      <c r="H4473" s="1" t="n">
        <v>190</v>
      </c>
      <c r="I4473" s="1" t="n">
        <v>0.48</v>
      </c>
      <c r="J4473" t="n">
        <v>75142550</v>
      </c>
    </row>
    <row r="4474" ht="15.75" customHeight="1" s="201">
      <c r="A4474" s="1" t="inlineStr">
        <is>
          <t>Milk, reduced fat, fluid, 2% milkfat, without added vitamin A and vitamin D</t>
        </is>
      </c>
      <c r="C4474" s="1" t="n">
        <v>4.8</v>
      </c>
      <c r="D4474" s="1" t="n">
        <v>5</v>
      </c>
      <c r="E4474" s="1" t="n">
        <v>0.02</v>
      </c>
      <c r="F4474" s="1" t="n">
        <v>3.3</v>
      </c>
      <c r="G4474" s="1" t="n">
        <v>1.98</v>
      </c>
      <c r="H4474" s="1" t="n">
        <v>102</v>
      </c>
      <c r="I4474" s="1" t="n">
        <v>0.48</v>
      </c>
      <c r="J4474" t="n">
        <v>54301100</v>
      </c>
    </row>
    <row r="4475" ht="15.75" customHeight="1" s="201">
      <c r="A4475" s="1" t="inlineStr">
        <is>
          <t>Milk, sheep, fluid</t>
        </is>
      </c>
      <c r="C4475" s="1" t="n">
        <v>5.36</v>
      </c>
      <c r="D4475" s="1" t="n">
        <v>7</v>
      </c>
      <c r="E4475" s="1" t="n">
        <v>0.1</v>
      </c>
      <c r="F4475" s="1" t="n">
        <v>5.98</v>
      </c>
      <c r="G4475" s="1" t="n">
        <v>7</v>
      </c>
      <c r="H4475" s="1" t="n">
        <v>147</v>
      </c>
      <c r="I4475" s="1" t="n">
        <v>0.54</v>
      </c>
      <c r="J4475" t="n">
        <v>11112110</v>
      </c>
    </row>
    <row r="4476" ht="15.75" customHeight="1" s="201">
      <c r="A4476" s="1" t="inlineStr">
        <is>
          <t>Milk, whole, 3.25% milkfat, with added vitamin D</t>
        </is>
      </c>
      <c r="C4476" s="1" t="n">
        <v>4.8</v>
      </c>
      <c r="D4476" s="1" t="n">
        <v>5</v>
      </c>
      <c r="E4476" s="1" t="n">
        <v>0.03</v>
      </c>
      <c r="F4476" s="1" t="n">
        <v>3.15</v>
      </c>
      <c r="G4476" s="1" t="n">
        <v>3.25</v>
      </c>
      <c r="H4476" s="1" t="n">
        <v>162</v>
      </c>
      <c r="I4476" s="1" t="n">
        <v>0.37</v>
      </c>
      <c r="J4476" t="n">
        <v>75142550</v>
      </c>
    </row>
    <row r="4477" ht="15.75" customHeight="1" s="201">
      <c r="A4477" s="1" t="inlineStr">
        <is>
          <t>Milk, whole, 3.25% milkfat, without added vitamin A and vitamin D</t>
        </is>
      </c>
      <c r="C4477" s="1" t="n">
        <v>4.78</v>
      </c>
      <c r="D4477" s="1" t="n">
        <v>5</v>
      </c>
      <c r="E4477" s="1" t="n">
        <v>0.03</v>
      </c>
      <c r="F4477" s="1" t="n">
        <v>3.15</v>
      </c>
      <c r="G4477" s="1" t="n">
        <v>3.27</v>
      </c>
      <c r="H4477" s="1" t="n">
        <v>162</v>
      </c>
      <c r="I4477" s="1" t="n">
        <v>0.37</v>
      </c>
      <c r="J4477" t="n">
        <v>94220215</v>
      </c>
    </row>
    <row r="4478" ht="15.75" customHeight="1" s="201">
      <c r="A4478" s="1" t="inlineStr">
        <is>
          <t>Millet flour</t>
        </is>
      </c>
      <c r="C4478" s="1" t="n">
        <v>75.12</v>
      </c>
      <c r="D4478" s="1" t="n">
        <v>42</v>
      </c>
      <c r="E4478" s="1" t="n">
        <v>3.94</v>
      </c>
      <c r="F4478" s="1" t="n">
        <v>10.75</v>
      </c>
      <c r="G4478" s="1" t="n">
        <v>4.25</v>
      </c>
      <c r="I4478" s="1" t="n">
        <v>2.63</v>
      </c>
      <c r="J4478" t="n">
        <v>52215350</v>
      </c>
    </row>
    <row r="4479" ht="15.75" customHeight="1" s="201">
      <c r="A4479" s="1" t="inlineStr">
        <is>
          <t>Millet, cooked</t>
        </is>
      </c>
      <c r="C4479" s="1" t="n">
        <v>23.67</v>
      </c>
      <c r="D4479" s="1" t="n">
        <v>19</v>
      </c>
      <c r="E4479" s="1" t="n">
        <v>0.63</v>
      </c>
      <c r="F4479" s="1" t="n">
        <v>3.51</v>
      </c>
      <c r="G4479" s="1" t="n">
        <v>1</v>
      </c>
      <c r="H4479" s="1" t="n">
        <v>3</v>
      </c>
      <c r="I4479" s="1" t="n">
        <v>0.91</v>
      </c>
      <c r="J4479" t="n">
        <v>56202000</v>
      </c>
    </row>
    <row r="4480" ht="15.75" customHeight="1" s="201">
      <c r="A4480" s="1" t="inlineStr">
        <is>
          <t>Millet, puffed</t>
        </is>
      </c>
      <c r="C4480" s="1" t="n">
        <v>80</v>
      </c>
      <c r="D4480" s="1" t="n">
        <v>79</v>
      </c>
      <c r="E4480" s="1" t="n">
        <v>2.81</v>
      </c>
      <c r="F4480" s="1" t="n">
        <v>13</v>
      </c>
      <c r="G4480" s="1" t="n">
        <v>3.4</v>
      </c>
      <c r="H4480" s="1" t="n">
        <v>0</v>
      </c>
      <c r="I4480" s="1" t="n">
        <v>1.58</v>
      </c>
      <c r="J4480" t="n">
        <v>56202000</v>
      </c>
    </row>
    <row r="4481" ht="15.75" customHeight="1" s="201">
      <c r="A4481" s="1" t="inlineStr">
        <is>
          <t>Millet, raw</t>
        </is>
      </c>
      <c r="C4481" s="1" t="n">
        <v>72.84999999999999</v>
      </c>
      <c r="D4481" s="1" t="n">
        <v>85</v>
      </c>
      <c r="E4481" s="1" t="n">
        <v>3.01</v>
      </c>
      <c r="F4481" s="1" t="n">
        <v>11.02</v>
      </c>
      <c r="G4481" s="1" t="n">
        <v>4.22</v>
      </c>
      <c r="H4481" s="1" t="n">
        <v>0</v>
      </c>
      <c r="I4481" s="1" t="n">
        <v>1.68</v>
      </c>
      <c r="J4481" t="n">
        <v>56202000</v>
      </c>
    </row>
    <row r="4482" ht="15.75" customHeight="1" s="201">
      <c r="A4482" s="1" t="inlineStr">
        <is>
          <t>Miso</t>
        </is>
      </c>
      <c r="C4482" s="1" t="n">
        <v>25.37</v>
      </c>
      <c r="D4482" s="1" t="n">
        <v>19</v>
      </c>
      <c r="E4482" s="1" t="n">
        <v>2.49</v>
      </c>
      <c r="F4482" s="1" t="n">
        <v>12.79</v>
      </c>
      <c r="G4482" s="1" t="n">
        <v>6.01</v>
      </c>
      <c r="H4482" s="1" t="n">
        <v>87</v>
      </c>
      <c r="I4482" s="1" t="n">
        <v>2.56</v>
      </c>
      <c r="J4482" t="n">
        <v>41420100</v>
      </c>
    </row>
    <row r="4483" ht="15.75" customHeight="1" s="201">
      <c r="A4483" s="1" t="inlineStr">
        <is>
          <t>Molasses</t>
        </is>
      </c>
      <c r="C4483" s="1" t="n">
        <v>74.73</v>
      </c>
      <c r="D4483" s="1" t="n">
        <v>0</v>
      </c>
      <c r="E4483" s="1" t="n">
        <v>4.72</v>
      </c>
      <c r="F4483" s="1" t="n">
        <v>0</v>
      </c>
      <c r="G4483" s="1" t="n">
        <v>0.1</v>
      </c>
      <c r="H4483" s="1" t="n">
        <v>0</v>
      </c>
      <c r="I4483" s="1" t="n">
        <v>0.29</v>
      </c>
      <c r="J4483" t="n">
        <v>91303000</v>
      </c>
    </row>
    <row r="4484" ht="15.75" customHeight="1" s="201">
      <c r="A4484" s="1" t="inlineStr">
        <is>
          <t>Mollusks, abalone, mixed species, cooked, fried</t>
        </is>
      </c>
      <c r="C4484" s="1" t="n">
        <v>11.05</v>
      </c>
      <c r="D4484" s="1" t="n">
        <v>14</v>
      </c>
      <c r="E4484" s="1" t="n">
        <v>3.8</v>
      </c>
      <c r="F4484" s="1" t="n">
        <v>19.63</v>
      </c>
      <c r="G4484" s="1" t="n">
        <v>6.78</v>
      </c>
      <c r="H4484" s="1" t="n">
        <v>5</v>
      </c>
      <c r="I4484" s="1" t="n">
        <v>0.95</v>
      </c>
      <c r="J4484" t="n">
        <v>75311020</v>
      </c>
    </row>
    <row r="4485" ht="15.75" customHeight="1" s="201">
      <c r="A4485" s="1" t="inlineStr">
        <is>
          <t>Mollusks, abalone, mixed species, raw</t>
        </is>
      </c>
      <c r="C4485" s="1" t="n">
        <v>6.01</v>
      </c>
      <c r="D4485" s="1" t="n">
        <v>5</v>
      </c>
      <c r="E4485" s="1" t="n">
        <v>3.19</v>
      </c>
      <c r="F4485" s="1" t="n">
        <v>17.1</v>
      </c>
      <c r="G4485" s="1" t="n">
        <v>0.76</v>
      </c>
      <c r="H4485" s="1" t="n">
        <v>7</v>
      </c>
      <c r="I4485" s="1" t="n">
        <v>0.82</v>
      </c>
      <c r="J4485" t="n">
        <v>76407010</v>
      </c>
    </row>
    <row r="4486" ht="15.75" customHeight="1" s="201">
      <c r="A4486" s="1" t="inlineStr">
        <is>
          <t>Mollusks, clam, mixed species, canned, drained solids</t>
        </is>
      </c>
      <c r="C4486" s="1" t="n">
        <v>5.9</v>
      </c>
      <c r="D4486" s="1" t="n">
        <v>7</v>
      </c>
      <c r="E4486" s="1" t="n">
        <v>2.68</v>
      </c>
      <c r="F4486" s="1" t="n">
        <v>24.25</v>
      </c>
      <c r="G4486" s="1" t="n">
        <v>1.59</v>
      </c>
      <c r="H4486" s="1" t="n">
        <v>496</v>
      </c>
      <c r="I4486" s="1" t="n">
        <v>0.84</v>
      </c>
    </row>
    <row r="4487" ht="15.75" customHeight="1" s="201">
      <c r="A4487" s="1" t="inlineStr">
        <is>
          <t>Mollusks, clam, mixed species, canned, liquid</t>
        </is>
      </c>
      <c r="C4487" s="1" t="n">
        <v>0.1</v>
      </c>
      <c r="D4487" s="1" t="n">
        <v>2</v>
      </c>
      <c r="E4487" s="1" t="n">
        <v>0.3</v>
      </c>
      <c r="F4487" s="1" t="n">
        <v>0.4</v>
      </c>
      <c r="G4487" s="1" t="n">
        <v>0.02</v>
      </c>
      <c r="H4487" s="1" t="n">
        <v>30</v>
      </c>
      <c r="I4487" s="1" t="n">
        <v>0.1</v>
      </c>
      <c r="J4487" t="n">
        <v>76407010</v>
      </c>
    </row>
    <row r="4488" ht="15.75" customHeight="1" s="201">
      <c r="A4488" s="1" t="inlineStr">
        <is>
          <t>Mollusks, clam, mixed species, cooked, breaded and fried</t>
        </is>
      </c>
      <c r="C4488" s="1" t="n">
        <v>10.33</v>
      </c>
      <c r="D4488" s="1" t="n">
        <v>36</v>
      </c>
      <c r="E4488" s="1" t="n">
        <v>13.91</v>
      </c>
      <c r="F4488" s="1" t="n">
        <v>14.24</v>
      </c>
      <c r="G4488" s="1" t="n">
        <v>11.15</v>
      </c>
      <c r="H4488" s="1" t="n">
        <v>302</v>
      </c>
      <c r="I4488" s="1" t="n">
        <v>1.46</v>
      </c>
      <c r="J4488" t="n">
        <v>14660200</v>
      </c>
    </row>
    <row r="4489" ht="15.75" customHeight="1" s="201">
      <c r="A4489" s="1" t="inlineStr">
        <is>
          <t>Mollusks, clam, mixed species, cooked, moist heat</t>
        </is>
      </c>
      <c r="C4489" s="1" t="n">
        <v>5.13</v>
      </c>
      <c r="D4489" s="1" t="n">
        <v>29</v>
      </c>
      <c r="E4489" s="1" t="n">
        <v>2.81</v>
      </c>
      <c r="F4489" s="1" t="n">
        <v>25.55</v>
      </c>
      <c r="G4489" s="1" t="n">
        <v>1.95</v>
      </c>
      <c r="H4489" s="1" t="n">
        <v>570</v>
      </c>
      <c r="I4489" s="1" t="n">
        <v>2.73</v>
      </c>
    </row>
    <row r="4490" ht="15.75" customHeight="1" s="201">
      <c r="A4490" s="1" t="inlineStr">
        <is>
          <t>Mollusks, clam, mixed species, raw</t>
        </is>
      </c>
      <c r="C4490" s="1" t="n">
        <v>3.57</v>
      </c>
      <c r="D4490" s="1" t="n">
        <v>5</v>
      </c>
      <c r="E4490" s="1" t="n">
        <v>1.62</v>
      </c>
      <c r="F4490" s="1" t="n">
        <v>14.67</v>
      </c>
      <c r="G4490" s="1" t="n">
        <v>0.96</v>
      </c>
      <c r="H4490" s="1" t="n">
        <v>300</v>
      </c>
      <c r="I4490" s="1" t="n">
        <v>0.51</v>
      </c>
      <c r="J4490" t="n">
        <v>76407010</v>
      </c>
    </row>
    <row r="4491" ht="15.75" customHeight="1" s="201">
      <c r="A4491" s="1" t="inlineStr">
        <is>
          <t>Mollusks, conch, baked or broiled</t>
        </is>
      </c>
      <c r="C4491" s="1" t="n">
        <v>1.7</v>
      </c>
      <c r="D4491" s="1" t="n">
        <v>179</v>
      </c>
      <c r="E4491" s="1" t="n">
        <v>1.41</v>
      </c>
      <c r="F4491" s="1" t="n">
        <v>26.3</v>
      </c>
      <c r="G4491" s="1" t="n">
        <v>1.2</v>
      </c>
      <c r="H4491" s="1" t="n">
        <v>23</v>
      </c>
      <c r="I4491" s="1" t="n">
        <v>1.71</v>
      </c>
      <c r="J4491" t="n">
        <v>54401121</v>
      </c>
    </row>
    <row r="4492" ht="15.75" customHeight="1" s="201">
      <c r="A4492" s="1" t="inlineStr">
        <is>
          <t>Mollusks, cuttlefish, mixed species, cooked, moist heat</t>
        </is>
      </c>
      <c r="C4492" s="1" t="n">
        <v>1.64</v>
      </c>
      <c r="D4492" s="1" t="n">
        <v>24</v>
      </c>
      <c r="E4492" s="1" t="n">
        <v>10.84</v>
      </c>
      <c r="F4492" s="1" t="n">
        <v>32.48</v>
      </c>
      <c r="G4492" s="1" t="n">
        <v>1.4</v>
      </c>
      <c r="H4492" s="1" t="n">
        <v>675</v>
      </c>
      <c r="I4492" s="1" t="n">
        <v>3.46</v>
      </c>
    </row>
    <row r="4493" ht="15.75" customHeight="1" s="201">
      <c r="A4493" s="1" t="inlineStr">
        <is>
          <t>Mollusks, cuttlefish, mixed species, raw</t>
        </is>
      </c>
      <c r="C4493" s="1" t="n">
        <v>0.82</v>
      </c>
      <c r="D4493" s="1" t="n">
        <v>16</v>
      </c>
      <c r="E4493" s="1" t="n">
        <v>6.02</v>
      </c>
      <c r="F4493" s="1" t="n">
        <v>16.24</v>
      </c>
      <c r="G4493" s="1" t="n">
        <v>0.7</v>
      </c>
      <c r="H4493" s="1" t="n">
        <v>375</v>
      </c>
      <c r="I4493" s="1" t="n">
        <v>1.73</v>
      </c>
      <c r="J4493" t="n">
        <v>76407010</v>
      </c>
    </row>
    <row r="4494" ht="15.75" customHeight="1" s="201">
      <c r="A4494" s="1" t="inlineStr">
        <is>
          <t>Mollusks, mussel, blue, cooked, moist heat</t>
        </is>
      </c>
      <c r="C4494" s="1" t="n">
        <v>7.39</v>
      </c>
      <c r="D4494" s="1" t="n">
        <v>76</v>
      </c>
      <c r="E4494" s="1" t="n">
        <v>6.72</v>
      </c>
      <c r="F4494" s="1" t="n">
        <v>23.8</v>
      </c>
      <c r="G4494" s="1" t="n">
        <v>4.48</v>
      </c>
      <c r="H4494" s="1" t="n">
        <v>304</v>
      </c>
      <c r="I4494" s="1" t="n">
        <v>2.67</v>
      </c>
      <c r="J4494" t="n">
        <v>83101000</v>
      </c>
    </row>
    <row r="4495" ht="15.75" customHeight="1" s="201">
      <c r="A4495" s="1" t="inlineStr">
        <is>
          <t>Mollusks, mussel, blue, raw</t>
        </is>
      </c>
      <c r="C4495" s="1" t="n">
        <v>3.69</v>
      </c>
      <c r="D4495" s="1" t="n">
        <v>42</v>
      </c>
      <c r="E4495" s="1" t="n">
        <v>3.95</v>
      </c>
      <c r="F4495" s="1" t="n">
        <v>11.9</v>
      </c>
      <c r="G4495" s="1" t="n">
        <v>2.24</v>
      </c>
      <c r="H4495" s="1" t="n">
        <v>160</v>
      </c>
      <c r="I4495" s="1" t="n">
        <v>1.6</v>
      </c>
      <c r="J4495" t="n">
        <v>83101000</v>
      </c>
    </row>
    <row r="4496" ht="15.75" customHeight="1" s="201">
      <c r="A4496" s="1" t="inlineStr">
        <is>
          <t>Mollusks, octopus, common, cooked, moist heat</t>
        </is>
      </c>
      <c r="C4496" s="1" t="n">
        <v>4.4</v>
      </c>
      <c r="D4496" s="1" t="n">
        <v>24</v>
      </c>
      <c r="E4496" s="1" t="n">
        <v>9.539999999999999</v>
      </c>
      <c r="F4496" s="1" t="n">
        <v>29.82</v>
      </c>
      <c r="G4496" s="1" t="n">
        <v>2.08</v>
      </c>
      <c r="H4496" s="1" t="n">
        <v>300</v>
      </c>
      <c r="I4496" s="1" t="n">
        <v>3.36</v>
      </c>
    </row>
    <row r="4497" ht="15.75" customHeight="1" s="201">
      <c r="A4497" s="1" t="inlineStr">
        <is>
          <t>Mollusks, octopus, common, raw</t>
        </is>
      </c>
      <c r="C4497" s="1" t="n">
        <v>2.2</v>
      </c>
      <c r="D4497" s="1" t="n">
        <v>16</v>
      </c>
      <c r="E4497" s="1" t="n">
        <v>5.3</v>
      </c>
      <c r="F4497" s="1" t="n">
        <v>14.91</v>
      </c>
      <c r="G4497" s="1" t="n">
        <v>1.04</v>
      </c>
      <c r="H4497" s="1" t="n">
        <v>150</v>
      </c>
      <c r="I4497" s="1" t="n">
        <v>1.68</v>
      </c>
    </row>
    <row r="4498" ht="15.75" customHeight="1" s="201">
      <c r="A4498" s="1" t="inlineStr">
        <is>
          <t>Mollusks, oyster, eastern, canned</t>
        </is>
      </c>
      <c r="C4498" s="1" t="n">
        <v>3.91</v>
      </c>
      <c r="D4498" s="1" t="n">
        <v>9</v>
      </c>
      <c r="E4498" s="1" t="n">
        <v>6.7</v>
      </c>
      <c r="F4498" s="1" t="n">
        <v>7.06</v>
      </c>
      <c r="G4498" s="1" t="n">
        <v>2.47</v>
      </c>
      <c r="H4498" s="1" t="n">
        <v>300</v>
      </c>
      <c r="I4498" s="1" t="n">
        <v>90.95</v>
      </c>
      <c r="J4498" t="n">
        <v>63311110</v>
      </c>
    </row>
    <row r="4499" ht="15.75" customHeight="1" s="201">
      <c r="A4499" s="1" t="inlineStr">
        <is>
          <t>Mollusks, oyster, eastern, cooked, breaded and fried</t>
        </is>
      </c>
      <c r="C4499" s="1" t="n">
        <v>11.62</v>
      </c>
      <c r="D4499" s="1" t="n">
        <v>31</v>
      </c>
      <c r="E4499" s="1" t="n">
        <v>6.95</v>
      </c>
      <c r="F4499" s="1" t="n">
        <v>8.77</v>
      </c>
      <c r="G4499" s="1" t="n">
        <v>12.58</v>
      </c>
      <c r="H4499" s="1" t="n">
        <v>302</v>
      </c>
      <c r="I4499" s="1" t="n">
        <v>87.13</v>
      </c>
      <c r="J4499" t="n">
        <v>14660200</v>
      </c>
    </row>
    <row r="4500" ht="15.75" customHeight="1" s="201">
      <c r="A4500" s="1" t="inlineStr">
        <is>
          <t>Mollusks, oyster, eastern, wild, cooked, moist heat</t>
        </is>
      </c>
      <c r="C4500" s="1" t="n">
        <v>5.45</v>
      </c>
      <c r="D4500" s="1" t="n">
        <v>14</v>
      </c>
      <c r="E4500" s="1" t="n">
        <v>9.210000000000001</v>
      </c>
      <c r="F4500" s="1" t="n">
        <v>11.42</v>
      </c>
      <c r="G4500" s="1" t="n">
        <v>3.42</v>
      </c>
      <c r="H4500" s="1" t="n">
        <v>88</v>
      </c>
      <c r="I4500" s="1" t="n">
        <v>78.59999999999999</v>
      </c>
      <c r="J4500" t="n">
        <v>56205320</v>
      </c>
    </row>
    <row r="4501" ht="15.75" customHeight="1" s="201">
      <c r="A4501" s="1" t="inlineStr">
        <is>
          <t>Mollusks, oyster, eastern, wild, raw</t>
        </is>
      </c>
      <c r="C4501" s="1" t="n">
        <v>2.72</v>
      </c>
      <c r="D4501" s="1" t="n">
        <v>7</v>
      </c>
      <c r="E4501" s="1" t="n">
        <v>4.61</v>
      </c>
      <c r="F4501" s="1" t="n">
        <v>5.71</v>
      </c>
      <c r="G4501" s="1" t="n">
        <v>1.71</v>
      </c>
      <c r="H4501" s="1" t="n">
        <v>44</v>
      </c>
      <c r="I4501" s="1" t="n">
        <v>39.3</v>
      </c>
      <c r="J4501" t="n">
        <v>56205320</v>
      </c>
    </row>
    <row r="4502" ht="15.75" customHeight="1" s="201">
      <c r="A4502" s="1" t="inlineStr">
        <is>
          <t>Mollusks, oyster, Pacific, cooked, moist heat</t>
        </is>
      </c>
      <c r="C4502" s="1" t="n">
        <v>9.9</v>
      </c>
      <c r="D4502" s="1" t="n">
        <v>15</v>
      </c>
      <c r="E4502" s="1" t="n">
        <v>9.199999999999999</v>
      </c>
      <c r="F4502" s="1" t="n">
        <v>18.9</v>
      </c>
      <c r="G4502" s="1" t="n">
        <v>4.6</v>
      </c>
      <c r="H4502" s="1" t="n">
        <v>487</v>
      </c>
      <c r="I4502" s="1" t="n">
        <v>33.24</v>
      </c>
    </row>
    <row r="4503" ht="15.75" customHeight="1" s="201">
      <c r="A4503" s="1" t="inlineStr">
        <is>
          <t>Mollusks, oyster, Pacific, raw</t>
        </is>
      </c>
      <c r="C4503" s="1" t="n">
        <v>4.95</v>
      </c>
      <c r="D4503" s="1" t="n">
        <v>10</v>
      </c>
      <c r="E4503" s="1" t="n">
        <v>5.11</v>
      </c>
      <c r="F4503" s="1" t="n">
        <v>9.449999999999999</v>
      </c>
      <c r="G4503" s="1" t="n">
        <v>2.3</v>
      </c>
      <c r="H4503" s="1" t="n">
        <v>270</v>
      </c>
      <c r="I4503" s="1" t="n">
        <v>16.62</v>
      </c>
      <c r="J4503" t="n">
        <v>54202020</v>
      </c>
    </row>
    <row r="4504" ht="15.75" customHeight="1" s="201">
      <c r="A4504" s="1" t="inlineStr">
        <is>
          <t>Mollusks, scallop, (bay and sea), cooked, steamed</t>
        </is>
      </c>
      <c r="C4504" s="1" t="n">
        <v>5.41</v>
      </c>
      <c r="D4504" s="1" t="n">
        <v>20</v>
      </c>
      <c r="E4504" s="1" t="n">
        <v>0.58</v>
      </c>
      <c r="F4504" s="1" t="n">
        <v>20.54</v>
      </c>
      <c r="G4504" s="1" t="n">
        <v>0.84</v>
      </c>
      <c r="H4504" s="1" t="n">
        <v>5</v>
      </c>
      <c r="I4504" s="1" t="n">
        <v>1.55</v>
      </c>
      <c r="J4504" t="n">
        <v>58112510</v>
      </c>
    </row>
    <row r="4505" ht="15.75" customHeight="1" s="201">
      <c r="A4505" s="1" t="inlineStr">
        <is>
          <t>Mollusks, scallop, mixed species, cooked, breaded and fried</t>
        </is>
      </c>
      <c r="C4505" s="1" t="n">
        <v>10.13</v>
      </c>
      <c r="D4505" s="1" t="n">
        <v>37</v>
      </c>
      <c r="E4505" s="1" t="n">
        <v>0.82</v>
      </c>
      <c r="F4505" s="1" t="n">
        <v>18.07</v>
      </c>
      <c r="G4505" s="1" t="n">
        <v>10.94</v>
      </c>
      <c r="H4505" s="1" t="n">
        <v>75</v>
      </c>
      <c r="I4505" s="1" t="n">
        <v>1.06</v>
      </c>
      <c r="J4505" t="n">
        <v>14660200</v>
      </c>
    </row>
    <row r="4506" ht="15.75" customHeight="1" s="201">
      <c r="A4506" s="1" t="inlineStr">
        <is>
          <t>Mollusks, scallop, mixed species, imitation, made from surimi</t>
        </is>
      </c>
      <c r="C4506" s="1" t="n">
        <v>10.62</v>
      </c>
      <c r="D4506" s="1" t="n">
        <v>2</v>
      </c>
      <c r="E4506" s="1" t="n">
        <v>0.31</v>
      </c>
      <c r="F4506" s="1" t="n">
        <v>12.77</v>
      </c>
      <c r="G4506" s="1" t="n">
        <v>0.41</v>
      </c>
      <c r="H4506" s="1" t="n">
        <v>66</v>
      </c>
      <c r="I4506" s="1" t="n">
        <v>0.33</v>
      </c>
      <c r="J4506" t="n">
        <v>51121025</v>
      </c>
    </row>
    <row r="4507" ht="15.75" customHeight="1" s="201">
      <c r="A4507" s="1" t="inlineStr">
        <is>
          <t>Mollusks, scallop, mixed species, raw</t>
        </is>
      </c>
      <c r="C4507" s="1" t="n">
        <v>3.18</v>
      </c>
      <c r="D4507" s="1" t="n">
        <v>16</v>
      </c>
      <c r="E4507" s="1" t="n">
        <v>0.38</v>
      </c>
      <c r="F4507" s="1" t="n">
        <v>12.06</v>
      </c>
      <c r="G4507" s="1" t="n">
        <v>0.49</v>
      </c>
      <c r="H4507" s="1" t="n">
        <v>3</v>
      </c>
      <c r="I4507" s="1" t="n">
        <v>0.91</v>
      </c>
      <c r="J4507" t="n">
        <v>76407010</v>
      </c>
    </row>
    <row r="4508" ht="15.75" customHeight="1" s="201">
      <c r="A4508" s="1" t="inlineStr">
        <is>
          <t>Mollusks, snail, raw</t>
        </is>
      </c>
      <c r="C4508" s="1" t="n">
        <v>2</v>
      </c>
      <c r="D4508" s="1" t="n">
        <v>6</v>
      </c>
      <c r="E4508" s="1" t="n">
        <v>3.5</v>
      </c>
      <c r="F4508" s="1" t="n">
        <v>16.1</v>
      </c>
      <c r="G4508" s="1" t="n">
        <v>1.4</v>
      </c>
      <c r="H4508" s="1" t="n">
        <v>100</v>
      </c>
      <c r="I4508" s="1" t="n">
        <v>1</v>
      </c>
      <c r="J4508" t="n">
        <v>53510000</v>
      </c>
    </row>
    <row r="4509" ht="15.75" customHeight="1" s="201">
      <c r="A4509" s="1" t="inlineStr">
        <is>
          <t>Mollusks, squid, mixed species, cooked, fried</t>
        </is>
      </c>
      <c r="C4509" s="1" t="n">
        <v>7.79</v>
      </c>
      <c r="D4509" s="1" t="n">
        <v>14</v>
      </c>
      <c r="E4509" s="1" t="n">
        <v>1.01</v>
      </c>
      <c r="F4509" s="1" t="n">
        <v>17.94</v>
      </c>
      <c r="G4509" s="1" t="n">
        <v>7.48</v>
      </c>
      <c r="H4509" s="1" t="n">
        <v>35</v>
      </c>
      <c r="I4509" s="1" t="n">
        <v>1.74</v>
      </c>
      <c r="J4509" t="n">
        <v>26213140</v>
      </c>
    </row>
    <row r="4510" ht="15.75" customHeight="1" s="201">
      <c r="A4510" s="1" t="inlineStr">
        <is>
          <t>Mollusks, squid, mixed species, raw</t>
        </is>
      </c>
      <c r="C4510" s="1" t="n">
        <v>3.08</v>
      </c>
      <c r="D4510" s="1" t="n">
        <v>5</v>
      </c>
      <c r="E4510" s="1" t="n">
        <v>0.68</v>
      </c>
      <c r="F4510" s="1" t="n">
        <v>15.58</v>
      </c>
      <c r="G4510" s="1" t="n">
        <v>1.38</v>
      </c>
      <c r="H4510" s="1" t="n">
        <v>33</v>
      </c>
      <c r="I4510" s="1" t="n">
        <v>1.53</v>
      </c>
      <c r="J4510" t="n">
        <v>76407010</v>
      </c>
    </row>
    <row r="4511" ht="15.75" customHeight="1" s="201">
      <c r="A4511" s="1" t="inlineStr">
        <is>
          <t>Mollusks, whelk, unspecified, cooked, moist heat</t>
        </is>
      </c>
      <c r="C4511" s="1" t="n">
        <v>15.52</v>
      </c>
      <c r="D4511" s="1" t="n">
        <v>11</v>
      </c>
      <c r="E4511" s="1" t="n">
        <v>10.06</v>
      </c>
      <c r="F4511" s="1" t="n">
        <v>47.68</v>
      </c>
      <c r="G4511" s="1" t="n">
        <v>0.8</v>
      </c>
      <c r="H4511" s="1" t="n">
        <v>162</v>
      </c>
      <c r="I4511" s="1" t="n">
        <v>3.26</v>
      </c>
    </row>
    <row r="4512" ht="15.75" customHeight="1" s="201">
      <c r="A4512" s="1" t="inlineStr">
        <is>
          <t>Mollusks, whelk, unspecified, raw</t>
        </is>
      </c>
      <c r="C4512" s="1" t="n">
        <v>7.76</v>
      </c>
      <c r="D4512" s="1" t="n">
        <v>6</v>
      </c>
      <c r="E4512" s="1" t="n">
        <v>5.03</v>
      </c>
      <c r="F4512" s="1" t="n">
        <v>23.84</v>
      </c>
      <c r="G4512" s="1" t="n">
        <v>0.4</v>
      </c>
      <c r="H4512" s="1" t="n">
        <v>87</v>
      </c>
      <c r="I4512" s="1" t="n">
        <v>1.63</v>
      </c>
    </row>
    <row r="4513" ht="15.75" customHeight="1" s="201">
      <c r="A4513" s="1" t="inlineStr">
        <is>
          <t>Moose, liver, braised (Alaska Native)</t>
        </is>
      </c>
      <c r="C4513" s="1" t="n">
        <v>3.43</v>
      </c>
      <c r="D4513" s="1" t="n">
        <v>217</v>
      </c>
      <c r="E4513" s="1" t="n">
        <v>6.77</v>
      </c>
      <c r="F4513" s="1" t="n">
        <v>24.38</v>
      </c>
      <c r="G4513" s="1" t="n">
        <v>4.89</v>
      </c>
      <c r="H4513" s="1" t="n">
        <v>96000</v>
      </c>
      <c r="I4513" s="1" t="n">
        <v>6.07</v>
      </c>
      <c r="J4513" t="n">
        <v>25230560</v>
      </c>
    </row>
    <row r="4514" ht="15.75" customHeight="1" s="201">
      <c r="A4514" s="1" t="inlineStr">
        <is>
          <t>Moose, meat, raw (Alaska Native)</t>
        </is>
      </c>
      <c r="C4514" s="1" t="n">
        <v>0</v>
      </c>
      <c r="E4514" s="1" t="n">
        <v>3.28</v>
      </c>
      <c r="F4514" s="1" t="n">
        <v>22.3</v>
      </c>
      <c r="G4514" s="1" t="n">
        <v>1.5</v>
      </c>
      <c r="H4514" s="1" t="n">
        <v>0</v>
      </c>
      <c r="I4514" s="1" t="n">
        <v>2.8</v>
      </c>
      <c r="J4514" t="n">
        <v>14620320</v>
      </c>
    </row>
    <row r="4515" ht="15.75" customHeight="1" s="201">
      <c r="A4515" s="1" t="inlineStr">
        <is>
          <t>MORI-NU, Tofu, silken, extra firm</t>
        </is>
      </c>
      <c r="C4515" s="1" t="n">
        <v>2</v>
      </c>
      <c r="E4515" s="1" t="n">
        <v>1.19</v>
      </c>
      <c r="F4515" s="1" t="n">
        <v>7.4</v>
      </c>
      <c r="G4515" s="1" t="n">
        <v>1.9</v>
      </c>
      <c r="H4515" s="1" t="n">
        <v>0</v>
      </c>
      <c r="I4515" s="1" t="n">
        <v>0.6</v>
      </c>
    </row>
    <row r="4516" ht="15.75" customHeight="1" s="201">
      <c r="A4516" s="1" t="inlineStr">
        <is>
          <t>MORI-NU, Tofu, silken, firm</t>
        </is>
      </c>
      <c r="C4516" s="1" t="n">
        <v>2.4</v>
      </c>
      <c r="E4516" s="1" t="n">
        <v>1.03</v>
      </c>
      <c r="F4516" s="1" t="n">
        <v>6.9</v>
      </c>
      <c r="G4516" s="1" t="n">
        <v>2.7</v>
      </c>
      <c r="H4516" s="1" t="n">
        <v>0</v>
      </c>
      <c r="I4516" s="1" t="n">
        <v>0.61</v>
      </c>
    </row>
    <row r="4517" ht="15.75" customHeight="1" s="201">
      <c r="A4517" s="1" t="inlineStr">
        <is>
          <t>MORI-NU, Tofu, silken, lite extra firm</t>
        </is>
      </c>
      <c r="C4517" s="1" t="n">
        <v>1</v>
      </c>
      <c r="E4517" s="1" t="n">
        <v>0.79</v>
      </c>
      <c r="F4517" s="1" t="n">
        <v>7</v>
      </c>
      <c r="G4517" s="1" t="n">
        <v>0.7</v>
      </c>
      <c r="H4517" s="1" t="n">
        <v>0</v>
      </c>
      <c r="I4517" s="1" t="n">
        <v>0.26</v>
      </c>
    </row>
    <row r="4518" ht="15.75" customHeight="1" s="201">
      <c r="A4518" s="1" t="inlineStr">
        <is>
          <t>MORI-NU, Tofu, silken, lite firm</t>
        </is>
      </c>
      <c r="C4518" s="1" t="n">
        <v>1.1</v>
      </c>
      <c r="E4518" s="1" t="n">
        <v>0.75</v>
      </c>
      <c r="F4518" s="1" t="n">
        <v>6.3</v>
      </c>
      <c r="G4518" s="1" t="n">
        <v>0.8</v>
      </c>
      <c r="H4518" s="1" t="n">
        <v>0</v>
      </c>
      <c r="I4518" s="1" t="n">
        <v>0.33</v>
      </c>
    </row>
    <row r="4519" ht="15.75" customHeight="1" s="201">
      <c r="A4519" s="1" t="inlineStr">
        <is>
          <t>MORI-NU, Tofu, silken, soft</t>
        </is>
      </c>
      <c r="C4519" s="1" t="n">
        <v>2.9</v>
      </c>
      <c r="E4519" s="1" t="n">
        <v>0.82</v>
      </c>
      <c r="F4519" s="1" t="n">
        <v>4.8</v>
      </c>
      <c r="G4519" s="1" t="n">
        <v>2.7</v>
      </c>
      <c r="H4519" s="1" t="n">
        <v>0</v>
      </c>
      <c r="I4519" s="1" t="n">
        <v>0.52</v>
      </c>
      <c r="J4519" t="n">
        <v>51150000</v>
      </c>
    </row>
    <row r="4520" ht="15.75" customHeight="1" s="201">
      <c r="A4520" s="1" t="inlineStr">
        <is>
          <t>Mortadella, beef, pork</t>
        </is>
      </c>
      <c r="C4520" s="1" t="n">
        <v>3.05</v>
      </c>
      <c r="D4520" s="1" t="n">
        <v>3</v>
      </c>
      <c r="E4520" s="1" t="n">
        <v>1.4</v>
      </c>
      <c r="F4520" s="1" t="n">
        <v>16.37</v>
      </c>
      <c r="G4520" s="1" t="n">
        <v>25.39</v>
      </c>
      <c r="H4520" s="1" t="n">
        <v>0</v>
      </c>
      <c r="I4520" s="1" t="n">
        <v>2.1</v>
      </c>
      <c r="J4520" t="n">
        <v>28110510</v>
      </c>
    </row>
    <row r="4521" ht="15.75" customHeight="1" s="201">
      <c r="A4521" s="1" t="inlineStr">
        <is>
          <t>Mothbeans, mature seeds, cooked, boiled, with salt</t>
        </is>
      </c>
      <c r="C4521" s="1" t="n">
        <v>20.96</v>
      </c>
      <c r="D4521" s="1" t="n">
        <v>143</v>
      </c>
      <c r="E4521" s="1" t="n">
        <v>3.14</v>
      </c>
      <c r="F4521" s="1" t="n">
        <v>7.81</v>
      </c>
      <c r="G4521" s="1" t="n">
        <v>0.55</v>
      </c>
      <c r="H4521" s="1" t="n">
        <v>10</v>
      </c>
      <c r="I4521" s="1" t="n">
        <v>0.59</v>
      </c>
      <c r="J4521" t="n">
        <v>75142550</v>
      </c>
    </row>
    <row r="4522" ht="15.75" customHeight="1" s="201">
      <c r="A4522" s="1" t="inlineStr">
        <is>
          <t>Mothbeans, mature seeds, cooked, boiled, without salt</t>
        </is>
      </c>
      <c r="C4522" s="1" t="n">
        <v>20.96</v>
      </c>
      <c r="D4522" s="1" t="n">
        <v>143</v>
      </c>
      <c r="E4522" s="1" t="n">
        <v>3.14</v>
      </c>
      <c r="F4522" s="1" t="n">
        <v>7.81</v>
      </c>
      <c r="G4522" s="1" t="n">
        <v>0.55</v>
      </c>
      <c r="H4522" s="1" t="n">
        <v>10</v>
      </c>
      <c r="I4522" s="1" t="n">
        <v>0.59</v>
      </c>
      <c r="J4522" t="n">
        <v>54318500</v>
      </c>
    </row>
    <row r="4523" ht="15.75" customHeight="1" s="201">
      <c r="A4523" s="1" t="inlineStr">
        <is>
          <t>Mothbeans, mature seeds, raw</t>
        </is>
      </c>
      <c r="C4523" s="1" t="n">
        <v>61.52</v>
      </c>
      <c r="D4523" s="1" t="n">
        <v>649</v>
      </c>
      <c r="E4523" s="1" t="n">
        <v>10.85</v>
      </c>
      <c r="F4523" s="1" t="n">
        <v>22.94</v>
      </c>
      <c r="G4523" s="1" t="n">
        <v>1.61</v>
      </c>
      <c r="H4523" s="1" t="n">
        <v>32</v>
      </c>
      <c r="I4523" s="1" t="n">
        <v>1.92</v>
      </c>
      <c r="J4523" t="n">
        <v>43101100</v>
      </c>
    </row>
    <row r="4524" ht="15.75" customHeight="1" s="201">
      <c r="A4524" s="1" t="inlineStr">
        <is>
          <t>Mother's loaf, pork</t>
        </is>
      </c>
      <c r="C4524" s="1" t="n">
        <v>7.53</v>
      </c>
      <c r="D4524" s="1" t="n">
        <v>8</v>
      </c>
      <c r="E4524" s="1" t="n">
        <v>1.32</v>
      </c>
      <c r="F4524" s="1" t="n">
        <v>12.07</v>
      </c>
      <c r="G4524" s="1" t="n">
        <v>22.3</v>
      </c>
      <c r="H4524" s="1" t="n">
        <v>0</v>
      </c>
      <c r="I4524" s="1" t="n">
        <v>1.43</v>
      </c>
      <c r="J4524" t="n">
        <v>25230610</v>
      </c>
    </row>
    <row r="4525" ht="15.75" customHeight="1" s="201">
      <c r="A4525" s="1" t="inlineStr">
        <is>
          <t>Mountain yam, hawaii, cooked, steamed, with salt</t>
        </is>
      </c>
      <c r="C4525" s="1" t="n">
        <v>19.99</v>
      </c>
      <c r="D4525" s="1" t="n">
        <v>12</v>
      </c>
      <c r="E4525" s="1" t="n">
        <v>0.43</v>
      </c>
      <c r="F4525" s="1" t="n">
        <v>1.73</v>
      </c>
      <c r="G4525" s="1" t="n">
        <v>0.08</v>
      </c>
      <c r="H4525" s="1" t="n">
        <v>0</v>
      </c>
      <c r="I4525" s="1" t="n">
        <v>0.32</v>
      </c>
      <c r="J4525" t="n">
        <v>75142550</v>
      </c>
    </row>
    <row r="4526" ht="15.75" customHeight="1" s="201">
      <c r="A4526" s="1" t="inlineStr">
        <is>
          <t>Mountain yam, hawaii, cooked, steamed, without salt</t>
        </is>
      </c>
      <c r="C4526" s="1" t="n">
        <v>20</v>
      </c>
      <c r="D4526" s="1" t="n">
        <v>12</v>
      </c>
      <c r="E4526" s="1" t="n">
        <v>0.43</v>
      </c>
      <c r="F4526" s="1" t="n">
        <v>1.73</v>
      </c>
      <c r="G4526" s="1" t="n">
        <v>0.08</v>
      </c>
      <c r="H4526" s="1" t="n">
        <v>0</v>
      </c>
      <c r="I4526" s="1" t="n">
        <v>0.32</v>
      </c>
      <c r="J4526" t="n">
        <v>92410550</v>
      </c>
    </row>
    <row r="4527" ht="15.75" customHeight="1" s="201">
      <c r="A4527" s="1" t="inlineStr">
        <is>
          <t>Mountain yam, hawaii, raw</t>
        </is>
      </c>
      <c r="C4527" s="1" t="n">
        <v>16.3</v>
      </c>
      <c r="D4527" s="1" t="n">
        <v>14</v>
      </c>
      <c r="E4527" s="1" t="n">
        <v>0.44</v>
      </c>
      <c r="F4527" s="1" t="n">
        <v>1.34</v>
      </c>
      <c r="G4527" s="1" t="n">
        <v>0.1</v>
      </c>
      <c r="H4527" s="1" t="n">
        <v>0</v>
      </c>
      <c r="I4527" s="1" t="n">
        <v>0.27</v>
      </c>
      <c r="J4527" t="n">
        <v>92410550</v>
      </c>
    </row>
    <row r="4528" ht="15.75" customHeight="1" s="201">
      <c r="A4528" s="1" t="inlineStr">
        <is>
          <t>Mouse nuts, roots (Alaska Native)</t>
        </is>
      </c>
      <c r="C4528" s="1" t="n">
        <v>16.1</v>
      </c>
      <c r="F4528" s="1" t="n">
        <v>3.9</v>
      </c>
      <c r="G4528" s="1" t="n">
        <v>0.1</v>
      </c>
    </row>
    <row r="4529" ht="15.75" customHeight="1" s="201">
      <c r="A4529" s="1" t="inlineStr">
        <is>
          <t>Mouse nuts, seedlings (Alaska Native)</t>
        </is>
      </c>
      <c r="C4529" s="1" t="n">
        <v>16.3</v>
      </c>
      <c r="F4529" s="1" t="n">
        <v>7.3</v>
      </c>
      <c r="G4529" s="1" t="n">
        <v>1.1</v>
      </c>
    </row>
    <row r="4530" ht="15.75" customHeight="1" s="201">
      <c r="A4530" s="1" t="inlineStr">
        <is>
          <t>Muffin, blueberry, commercially prepared, low-fat</t>
        </is>
      </c>
      <c r="C4530" s="1" t="n">
        <v>50.05</v>
      </c>
      <c r="D4530" s="1" t="n">
        <v>48</v>
      </c>
      <c r="E4530" s="1" t="n">
        <v>2</v>
      </c>
      <c r="F4530" s="1" t="n">
        <v>4.23</v>
      </c>
      <c r="G4530" s="1" t="n">
        <v>4.22</v>
      </c>
      <c r="H4530" s="1" t="n">
        <v>39</v>
      </c>
      <c r="I4530" s="1" t="n">
        <v>1.27</v>
      </c>
      <c r="J4530" t="n">
        <v>74402150</v>
      </c>
    </row>
    <row r="4531" ht="15.75" customHeight="1" s="201">
      <c r="A4531" s="1" t="inlineStr">
        <is>
          <t>Muffins, blueberry, commercially prepared (Includes mini-muffins)</t>
        </is>
      </c>
      <c r="C4531" s="1" t="n">
        <v>53</v>
      </c>
      <c r="D4531" s="1" t="n">
        <v>48</v>
      </c>
      <c r="E4531" s="1" t="n">
        <v>1.3</v>
      </c>
      <c r="F4531" s="1" t="n">
        <v>4.49</v>
      </c>
      <c r="G4531" s="1" t="n">
        <v>16.07</v>
      </c>
      <c r="H4531" s="1" t="n">
        <v>73</v>
      </c>
      <c r="I4531" s="1" t="n">
        <v>0.37</v>
      </c>
      <c r="J4531" t="n">
        <v>52302010</v>
      </c>
    </row>
    <row r="4532" ht="15.75" customHeight="1" s="201">
      <c r="A4532" s="1" t="inlineStr">
        <is>
          <t>Muffins, blueberry, dry mix</t>
        </is>
      </c>
      <c r="C4532" s="1" t="n">
        <v>61</v>
      </c>
      <c r="D4532" s="1" t="n">
        <v>53</v>
      </c>
      <c r="E4532" s="1" t="n">
        <v>1.62</v>
      </c>
      <c r="F4532" s="1" t="n">
        <v>3.48</v>
      </c>
      <c r="G4532" s="1" t="n">
        <v>3.25</v>
      </c>
      <c r="H4532" s="1" t="n">
        <v>18</v>
      </c>
      <c r="I4532" s="1" t="n">
        <v>0.33</v>
      </c>
      <c r="J4532" t="n">
        <v>52302010</v>
      </c>
    </row>
    <row r="4533" ht="15.75" customHeight="1" s="201">
      <c r="A4533" s="1" t="inlineStr">
        <is>
          <t>Muffins, blueberry, prepared from recipe, made with low fat (2%) milk</t>
        </is>
      </c>
      <c r="C4533" s="1" t="n">
        <v>40.7</v>
      </c>
      <c r="D4533" s="1" t="n">
        <v>48</v>
      </c>
      <c r="E4533" s="1" t="n">
        <v>2.27</v>
      </c>
      <c r="F4533" s="1" t="n">
        <v>6.5</v>
      </c>
      <c r="G4533" s="1" t="n">
        <v>10.8</v>
      </c>
      <c r="H4533" s="1" t="n">
        <v>141</v>
      </c>
      <c r="I4533" s="1" t="n">
        <v>0.54</v>
      </c>
      <c r="J4533" t="n">
        <v>75142550</v>
      </c>
    </row>
    <row r="4534" ht="15.75" customHeight="1" s="201">
      <c r="A4534" s="1" t="inlineStr">
        <is>
          <t>Muffins, blueberry, toaster-type</t>
        </is>
      </c>
      <c r="C4534" s="1" t="n">
        <v>53.3</v>
      </c>
      <c r="D4534" s="1" t="n">
        <v>65</v>
      </c>
      <c r="E4534" s="1" t="n">
        <v>0.51</v>
      </c>
      <c r="F4534" s="1" t="n">
        <v>4.6</v>
      </c>
      <c r="G4534" s="1" t="n">
        <v>9.5</v>
      </c>
      <c r="H4534" s="1" t="n">
        <v>318</v>
      </c>
      <c r="I4534" s="1" t="n">
        <v>0.39</v>
      </c>
      <c r="J4534" t="n">
        <v>52302010</v>
      </c>
    </row>
    <row r="4535" ht="15.75" customHeight="1" s="201">
      <c r="A4535" s="1" t="inlineStr">
        <is>
          <t>Muffins, English, raisin-cinnamon, toasted (includes apple-cinnamon)</t>
        </is>
      </c>
      <c r="C4535" s="1" t="n">
        <v>55.04</v>
      </c>
      <c r="D4535" s="1" t="n">
        <v>86</v>
      </c>
      <c r="E4535" s="1" t="n">
        <v>4.9</v>
      </c>
      <c r="F4535" s="1" t="n">
        <v>8.869999999999999</v>
      </c>
      <c r="G4535" s="1" t="n">
        <v>2.21</v>
      </c>
      <c r="H4535" s="1" t="n">
        <v>1</v>
      </c>
      <c r="I4535" s="1" t="n">
        <v>1</v>
      </c>
      <c r="J4535" t="n">
        <v>51160110</v>
      </c>
    </row>
    <row r="4536" ht="15.75" customHeight="1" s="201">
      <c r="A4536" s="1" t="inlineStr">
        <is>
          <t>Muffins, English, wheat</t>
        </is>
      </c>
      <c r="C4536" s="1" t="n">
        <v>44.8</v>
      </c>
      <c r="D4536" s="1" t="n">
        <v>64</v>
      </c>
      <c r="E4536" s="1" t="n">
        <v>2.87</v>
      </c>
      <c r="F4536" s="1" t="n">
        <v>8.699999999999999</v>
      </c>
      <c r="G4536" s="1" t="n">
        <v>2</v>
      </c>
      <c r="H4536" s="1" t="n">
        <v>1</v>
      </c>
      <c r="I4536" s="1" t="n">
        <v>1.07</v>
      </c>
      <c r="J4536" t="n">
        <v>54338000</v>
      </c>
    </row>
    <row r="4537" ht="15.75" customHeight="1" s="201">
      <c r="A4537" s="1" t="inlineStr">
        <is>
          <t>Muffins, English, whole-wheat</t>
        </is>
      </c>
      <c r="C4537" s="1" t="n">
        <v>40.4</v>
      </c>
      <c r="D4537" s="1" t="n">
        <v>49</v>
      </c>
      <c r="E4537" s="1" t="n">
        <v>2.45</v>
      </c>
      <c r="F4537" s="1" t="n">
        <v>8.800000000000001</v>
      </c>
      <c r="G4537" s="1" t="n">
        <v>2.1</v>
      </c>
      <c r="H4537" s="1" t="n">
        <v>5</v>
      </c>
      <c r="I4537" s="1" t="n">
        <v>1.6</v>
      </c>
      <c r="J4537" t="n">
        <v>54204030</v>
      </c>
    </row>
    <row r="4538" ht="15.75" customHeight="1" s="201">
      <c r="A4538" s="1" t="inlineStr">
        <is>
          <t>Muffins, oat bran</t>
        </is>
      </c>
      <c r="C4538" s="1" t="n">
        <v>48.3</v>
      </c>
      <c r="D4538" s="1" t="n">
        <v>89</v>
      </c>
      <c r="E4538" s="1" t="n">
        <v>4.2</v>
      </c>
      <c r="F4538" s="1" t="n">
        <v>7</v>
      </c>
      <c r="G4538" s="1" t="n">
        <v>7.4</v>
      </c>
      <c r="H4538" s="1" t="n">
        <v>0</v>
      </c>
      <c r="I4538" s="1" t="n">
        <v>1.84</v>
      </c>
      <c r="J4538" t="n">
        <v>52302010</v>
      </c>
    </row>
    <row r="4539" ht="15.75" customHeight="1" s="201">
      <c r="A4539" s="1" t="inlineStr">
        <is>
          <t>Muffins, plain, prepared from recipe, made with low fat (2%) milk</t>
        </is>
      </c>
      <c r="C4539" s="1" t="n">
        <v>41.4</v>
      </c>
      <c r="D4539" s="1" t="n">
        <v>51</v>
      </c>
      <c r="E4539" s="1" t="n">
        <v>2.39</v>
      </c>
      <c r="F4539" s="1" t="n">
        <v>6.9</v>
      </c>
      <c r="G4539" s="1" t="n">
        <v>11.4</v>
      </c>
      <c r="H4539" s="1" t="n">
        <v>140</v>
      </c>
      <c r="I4539" s="1" t="n">
        <v>0.5600000000000001</v>
      </c>
      <c r="J4539" t="n">
        <v>75142550</v>
      </c>
    </row>
    <row r="4540" ht="15.75" customHeight="1" s="201">
      <c r="A4540" s="1" t="inlineStr">
        <is>
          <t>Muffins, wheat bran, dry mix</t>
        </is>
      </c>
      <c r="C4540" s="1" t="n">
        <v>73</v>
      </c>
      <c r="D4540" s="1" t="n">
        <v>85</v>
      </c>
      <c r="E4540" s="1" t="n">
        <v>3.6</v>
      </c>
      <c r="F4540" s="1" t="n">
        <v>7.1</v>
      </c>
      <c r="G4540" s="1" t="n">
        <v>12</v>
      </c>
      <c r="H4540" s="1" t="n">
        <v>0</v>
      </c>
      <c r="I4540" s="1" t="n">
        <v>1.5</v>
      </c>
      <c r="J4540" t="n">
        <v>51301010</v>
      </c>
    </row>
    <row r="4541" ht="15.75" customHeight="1" s="201">
      <c r="A4541" s="1" t="inlineStr">
        <is>
          <t>Mulberries, raw</t>
        </is>
      </c>
      <c r="C4541" s="1" t="n">
        <v>9.800000000000001</v>
      </c>
      <c r="D4541" s="1" t="n">
        <v>6</v>
      </c>
      <c r="E4541" s="1" t="n">
        <v>1.85</v>
      </c>
      <c r="F4541" s="1" t="n">
        <v>1.44</v>
      </c>
      <c r="G4541" s="1" t="n">
        <v>0.39</v>
      </c>
      <c r="H4541" s="1" t="n">
        <v>25</v>
      </c>
      <c r="I4541" s="1" t="n">
        <v>0.12</v>
      </c>
    </row>
    <row r="4542" ht="15.75" customHeight="1" s="201">
      <c r="A4542" s="1" t="inlineStr">
        <is>
          <t>Mung beans, mature seeds, cooked, boiled, without salt</t>
        </is>
      </c>
      <c r="C4542" s="1" t="n">
        <v>19.15</v>
      </c>
      <c r="D4542" s="1" t="n">
        <v>159</v>
      </c>
      <c r="E4542" s="1" t="n">
        <v>1.4</v>
      </c>
      <c r="F4542" s="1" t="n">
        <v>7.02</v>
      </c>
      <c r="G4542" s="1" t="n">
        <v>0.38</v>
      </c>
      <c r="H4542" s="1" t="n">
        <v>24</v>
      </c>
      <c r="I4542" s="1" t="n">
        <v>0.84</v>
      </c>
      <c r="J4542" t="n">
        <v>41108010</v>
      </c>
    </row>
    <row r="4543" ht="15.75" customHeight="1" s="201">
      <c r="A4543" s="1" t="inlineStr">
        <is>
          <t>Mung beans, mature seeds, raw</t>
        </is>
      </c>
      <c r="C4543" s="1" t="n">
        <v>62.62</v>
      </c>
      <c r="D4543" s="1" t="n">
        <v>625</v>
      </c>
      <c r="E4543" s="1" t="n">
        <v>6.74</v>
      </c>
      <c r="F4543" s="1" t="n">
        <v>23.86</v>
      </c>
      <c r="G4543" s="1" t="n">
        <v>1.15</v>
      </c>
      <c r="H4543" s="1" t="n">
        <v>114</v>
      </c>
      <c r="I4543" s="1" t="n">
        <v>2.68</v>
      </c>
      <c r="J4543" t="n">
        <v>41202510</v>
      </c>
    </row>
    <row r="4544" ht="15.75" customHeight="1" s="201">
      <c r="A4544" s="1" t="inlineStr">
        <is>
          <t>Mung beans, mature seeds, sprouted, cooked, boiled, drained, with salt</t>
        </is>
      </c>
      <c r="C4544" s="1" t="n">
        <v>3.6</v>
      </c>
      <c r="D4544" s="1" t="n">
        <v>29</v>
      </c>
      <c r="E4544" s="1" t="n">
        <v>0.65</v>
      </c>
      <c r="F4544" s="1" t="n">
        <v>2.03</v>
      </c>
      <c r="G4544" s="1" t="n">
        <v>0.09</v>
      </c>
      <c r="H4544" s="1" t="n">
        <v>13</v>
      </c>
      <c r="I4544" s="1" t="n">
        <v>0.47</v>
      </c>
      <c r="J4544" t="n">
        <v>75142550</v>
      </c>
    </row>
    <row r="4545" ht="15.75" customHeight="1" s="201">
      <c r="A4545" s="1" t="inlineStr">
        <is>
          <t>Mung beans, mature seeds, sprouted, cooked, boiled, drained, without salt</t>
        </is>
      </c>
      <c r="C4545" s="1" t="n">
        <v>4.19</v>
      </c>
      <c r="D4545" s="1" t="n">
        <v>29</v>
      </c>
      <c r="E4545" s="1" t="n">
        <v>0.65</v>
      </c>
      <c r="F4545" s="1" t="n">
        <v>2.03</v>
      </c>
      <c r="G4545" s="1" t="n">
        <v>0.09</v>
      </c>
      <c r="H4545" s="1" t="n">
        <v>13</v>
      </c>
      <c r="I4545" s="1" t="n">
        <v>0.47</v>
      </c>
    </row>
    <row r="4546" ht="15.75" customHeight="1" s="201">
      <c r="A4546" s="1" t="inlineStr">
        <is>
          <t>Mung beans, mature seeds, sprouted, cooked, stir-fried</t>
        </is>
      </c>
      <c r="C4546" s="1" t="n">
        <v>10.59</v>
      </c>
      <c r="D4546" s="1" t="n">
        <v>70</v>
      </c>
      <c r="E4546" s="1" t="n">
        <v>1.9</v>
      </c>
      <c r="F4546" s="1" t="n">
        <v>4.3</v>
      </c>
      <c r="G4546" s="1" t="n">
        <v>0.21</v>
      </c>
      <c r="H4546" s="1" t="n">
        <v>31</v>
      </c>
      <c r="I4546" s="1" t="n">
        <v>0.9</v>
      </c>
    </row>
    <row r="4547" ht="15.75" customHeight="1" s="201">
      <c r="A4547" s="1" t="inlineStr">
        <is>
          <t>Mung beans, mature seeds, sprouted, raw</t>
        </is>
      </c>
      <c r="C4547" s="1" t="n">
        <v>5.94</v>
      </c>
      <c r="D4547" s="1" t="n">
        <v>61</v>
      </c>
      <c r="E4547" s="1" t="n">
        <v>0.91</v>
      </c>
      <c r="F4547" s="1" t="n">
        <v>3.04</v>
      </c>
      <c r="G4547" s="1" t="n">
        <v>0.18</v>
      </c>
      <c r="H4547" s="1" t="n">
        <v>21</v>
      </c>
      <c r="I4547" s="1" t="n">
        <v>0.41</v>
      </c>
      <c r="J4547" t="n">
        <v>41202510</v>
      </c>
    </row>
    <row r="4548" ht="15.75" customHeight="1" s="201">
      <c r="A4548" s="1" t="inlineStr">
        <is>
          <t>Mungo beans, mature seeds, cooked, boiled, without salt</t>
        </is>
      </c>
      <c r="C4548" s="1" t="n">
        <v>18.34</v>
      </c>
      <c r="D4548" s="1" t="n">
        <v>94</v>
      </c>
      <c r="E4548" s="1" t="n">
        <v>1.75</v>
      </c>
      <c r="F4548" s="1" t="n">
        <v>7.54</v>
      </c>
      <c r="G4548" s="1" t="n">
        <v>0.55</v>
      </c>
      <c r="H4548" s="1" t="n">
        <v>31</v>
      </c>
      <c r="I4548" s="1" t="n">
        <v>0.83</v>
      </c>
      <c r="J4548" t="n">
        <v>75205030</v>
      </c>
    </row>
    <row r="4549" ht="15.75" customHeight="1" s="201">
      <c r="A4549" s="1" t="inlineStr">
        <is>
          <t>Mungo beans, mature seeds, raw</t>
        </is>
      </c>
      <c r="C4549" s="1" t="n">
        <v>58.99</v>
      </c>
      <c r="D4549" s="1" t="n">
        <v>216</v>
      </c>
      <c r="E4549" s="1" t="n">
        <v>7.57</v>
      </c>
      <c r="F4549" s="1" t="n">
        <v>25.21</v>
      </c>
      <c r="G4549" s="1" t="n">
        <v>1.64</v>
      </c>
      <c r="H4549" s="1" t="n">
        <v>23</v>
      </c>
      <c r="I4549" s="1" t="n">
        <v>3.35</v>
      </c>
      <c r="J4549" t="n">
        <v>41202510</v>
      </c>
    </row>
    <row r="4550" ht="15.75" customHeight="1" s="201">
      <c r="A4550" s="1" t="inlineStr">
        <is>
          <t>Mush, blue corn with ash (Navajo)</t>
        </is>
      </c>
      <c r="C4550" s="1" t="n">
        <v>11.74</v>
      </c>
      <c r="D4550" s="1" t="n">
        <v>4</v>
      </c>
      <c r="E4550" s="1" t="n">
        <v>2.92</v>
      </c>
      <c r="F4550" s="1" t="n">
        <v>0.66</v>
      </c>
      <c r="G4550" s="1" t="n">
        <v>0.49</v>
      </c>
      <c r="I4550" s="1" t="n">
        <v>0.76</v>
      </c>
      <c r="J4550" t="n">
        <v>75142550</v>
      </c>
    </row>
    <row r="4551" ht="15.75" customHeight="1" s="201">
      <c r="A4551" s="1" t="inlineStr">
        <is>
          <t>Mushroom, white, exposed to ultraviolet light, raw</t>
        </is>
      </c>
      <c r="C4551" s="1" t="n">
        <v>3.26</v>
      </c>
      <c r="D4551" s="1" t="n">
        <v>17</v>
      </c>
      <c r="E4551" s="1" t="n">
        <v>0.5</v>
      </c>
      <c r="F4551" s="1" t="n">
        <v>3.09</v>
      </c>
      <c r="G4551" s="1" t="n">
        <v>0.34</v>
      </c>
      <c r="H4551" s="1" t="n">
        <v>0</v>
      </c>
      <c r="I4551" s="1" t="n">
        <v>0.52</v>
      </c>
      <c r="J4551" t="n">
        <v>27446245</v>
      </c>
    </row>
    <row r="4552" ht="15.75" customHeight="1" s="201">
      <c r="A4552" s="1" t="inlineStr">
        <is>
          <t>Mushrooms, brown, italian, or crimini, exposed to ultraviolet light, raw</t>
        </is>
      </c>
      <c r="C4552" s="1" t="n">
        <v>4.3</v>
      </c>
      <c r="D4552" s="1" t="n">
        <v>28</v>
      </c>
      <c r="E4552" s="1" t="n">
        <v>0.4</v>
      </c>
      <c r="F4552" s="1" t="n">
        <v>2.5</v>
      </c>
      <c r="G4552" s="1" t="n">
        <v>0.1</v>
      </c>
      <c r="H4552" s="1" t="n">
        <v>0</v>
      </c>
      <c r="I4552" s="1" t="n">
        <v>1.1</v>
      </c>
      <c r="J4552" t="n">
        <v>27446245</v>
      </c>
    </row>
    <row r="4553" ht="15.75" customHeight="1" s="201">
      <c r="A4553" s="1" t="inlineStr">
        <is>
          <t>Mushrooms, brown, italian, or crimini, raw</t>
        </is>
      </c>
      <c r="C4553" s="1" t="n">
        <v>4.3</v>
      </c>
      <c r="D4553" s="1" t="n">
        <v>25</v>
      </c>
      <c r="E4553" s="1" t="n">
        <v>0.4</v>
      </c>
      <c r="F4553" s="1" t="n">
        <v>2.5</v>
      </c>
      <c r="G4553" s="1" t="n">
        <v>0.1</v>
      </c>
      <c r="H4553" s="1" t="n">
        <v>0</v>
      </c>
      <c r="I4553" s="1" t="n">
        <v>1.1</v>
      </c>
      <c r="J4553" t="n">
        <v>27560910</v>
      </c>
    </row>
    <row r="4554" ht="15.75" customHeight="1" s="201">
      <c r="A4554" s="1" t="inlineStr">
        <is>
          <t>Mushrooms, canned, drained solids</t>
        </is>
      </c>
      <c r="C4554" s="1" t="n">
        <v>5.09</v>
      </c>
      <c r="D4554" s="1" t="n">
        <v>12</v>
      </c>
      <c r="E4554" s="1" t="n">
        <v>0.79</v>
      </c>
      <c r="F4554" s="1" t="n">
        <v>1.87</v>
      </c>
      <c r="G4554" s="1" t="n">
        <v>0.29</v>
      </c>
      <c r="H4554" s="1" t="n">
        <v>0</v>
      </c>
      <c r="I4554" s="1" t="n">
        <v>0.72</v>
      </c>
      <c r="J4554" t="n">
        <v>63311110</v>
      </c>
    </row>
    <row r="4555" ht="15.75" customHeight="1" s="201">
      <c r="A4555" s="1" t="inlineStr">
        <is>
          <t>Mushrooms, Chanterelle, raw</t>
        </is>
      </c>
      <c r="C4555" s="1" t="n">
        <v>6.86</v>
      </c>
      <c r="D4555" s="1" t="n">
        <v>2</v>
      </c>
      <c r="E4555" s="1" t="n">
        <v>3.47</v>
      </c>
      <c r="F4555" s="1" t="n">
        <v>1.49</v>
      </c>
      <c r="G4555" s="1" t="n">
        <v>0.53</v>
      </c>
      <c r="I4555" s="1" t="n">
        <v>0.71</v>
      </c>
      <c r="J4555" t="n">
        <v>58160700</v>
      </c>
    </row>
    <row r="4556" ht="15.75" customHeight="1" s="201">
      <c r="A4556" s="1" t="inlineStr">
        <is>
          <t>Mushrooms, enoki, raw</t>
        </is>
      </c>
      <c r="C4556" s="1" t="n">
        <v>7.81</v>
      </c>
      <c r="D4556" s="1" t="n">
        <v>48</v>
      </c>
      <c r="E4556" s="1" t="n">
        <v>1.15</v>
      </c>
      <c r="F4556" s="1" t="n">
        <v>2.66</v>
      </c>
      <c r="G4556" s="1" t="n">
        <v>0.29</v>
      </c>
      <c r="I4556" s="1" t="n">
        <v>0.65</v>
      </c>
      <c r="J4556" t="n">
        <v>58160700</v>
      </c>
    </row>
    <row r="4557" ht="15.75" customHeight="1" s="201">
      <c r="A4557" s="1" t="inlineStr">
        <is>
          <t>Mushrooms, maitake, raw</t>
        </is>
      </c>
      <c r="C4557" s="1" t="n">
        <v>6.97</v>
      </c>
      <c r="D4557" s="1" t="n">
        <v>21</v>
      </c>
      <c r="E4557" s="1" t="n">
        <v>0.3</v>
      </c>
      <c r="F4557" s="1" t="n">
        <v>1.94</v>
      </c>
      <c r="G4557" s="1" t="n">
        <v>0.19</v>
      </c>
      <c r="H4557" s="1" t="n">
        <v>0</v>
      </c>
      <c r="I4557" s="1" t="n">
        <v>0.75</v>
      </c>
      <c r="J4557" t="n">
        <v>58160700</v>
      </c>
    </row>
    <row r="4558" ht="15.75" customHeight="1" s="201">
      <c r="A4558" s="1" t="inlineStr">
        <is>
          <t>Mushrooms, morel, raw</t>
        </is>
      </c>
      <c r="C4558" s="1" t="n">
        <v>5.1</v>
      </c>
      <c r="D4558" s="1" t="n">
        <v>9</v>
      </c>
      <c r="E4558" s="1" t="n">
        <v>12.18</v>
      </c>
      <c r="F4558" s="1" t="n">
        <v>3.12</v>
      </c>
      <c r="G4558" s="1" t="n">
        <v>0.57</v>
      </c>
      <c r="H4558" s="1" t="n">
        <v>0</v>
      </c>
      <c r="I4558" s="1" t="n">
        <v>2.03</v>
      </c>
      <c r="J4558" t="n">
        <v>58160700</v>
      </c>
    </row>
    <row r="4559" ht="15.75" customHeight="1" s="201">
      <c r="A4559" s="1" t="inlineStr">
        <is>
          <t>Mushrooms, oyster, raw</t>
        </is>
      </c>
      <c r="C4559" s="1" t="n">
        <v>6.09</v>
      </c>
      <c r="D4559" s="1" t="n">
        <v>38</v>
      </c>
      <c r="E4559" s="1" t="n">
        <v>1.33</v>
      </c>
      <c r="F4559" s="1" t="n">
        <v>3.31</v>
      </c>
      <c r="G4559" s="1" t="n">
        <v>0.41</v>
      </c>
      <c r="H4559" s="1" t="n">
        <v>48</v>
      </c>
      <c r="I4559" s="1" t="n">
        <v>0.77</v>
      </c>
      <c r="J4559" t="n">
        <v>54202020</v>
      </c>
    </row>
    <row r="4560" ht="15.75" customHeight="1" s="201">
      <c r="A4560" s="1" t="inlineStr">
        <is>
          <t>Mushrooms, portabella, exposed to ultraviolet light, grilled</t>
        </is>
      </c>
      <c r="C4560" s="1" t="n">
        <v>4.44</v>
      </c>
      <c r="D4560" s="1" t="n">
        <v>19</v>
      </c>
      <c r="E4560" s="1" t="n">
        <v>0.4</v>
      </c>
      <c r="F4560" s="1" t="n">
        <v>3.28</v>
      </c>
      <c r="G4560" s="1" t="n">
        <v>0.58</v>
      </c>
      <c r="I4560" s="1" t="n">
        <v>0.65</v>
      </c>
      <c r="J4560" t="n">
        <v>27446245</v>
      </c>
    </row>
    <row r="4561" ht="15.75" customHeight="1" s="201">
      <c r="A4561" s="1" t="inlineStr">
        <is>
          <t>Mushrooms, portabella, exposed to ultraviolet light, raw</t>
        </is>
      </c>
      <c r="C4561" s="1" t="n">
        <v>3.87</v>
      </c>
      <c r="D4561" s="1" t="n">
        <v>28</v>
      </c>
      <c r="E4561" s="1" t="n">
        <v>0.31</v>
      </c>
      <c r="F4561" s="1" t="n">
        <v>2.11</v>
      </c>
      <c r="G4561" s="1" t="n">
        <v>0.35</v>
      </c>
      <c r="H4561" s="1" t="n">
        <v>0</v>
      </c>
      <c r="I4561" s="1" t="n">
        <v>0.53</v>
      </c>
      <c r="J4561" t="n">
        <v>27446245</v>
      </c>
    </row>
    <row r="4562" ht="15.75" customHeight="1" s="201">
      <c r="A4562" s="1" t="inlineStr">
        <is>
          <t>Mushrooms, portabella, grilled</t>
        </is>
      </c>
      <c r="C4562" s="1" t="n">
        <v>4.44</v>
      </c>
      <c r="D4562" s="1" t="n">
        <v>19</v>
      </c>
      <c r="E4562" s="1" t="n">
        <v>0.4</v>
      </c>
      <c r="F4562" s="1" t="n">
        <v>3.28</v>
      </c>
      <c r="G4562" s="1" t="n">
        <v>0.58</v>
      </c>
      <c r="H4562" s="1" t="n">
        <v>0</v>
      </c>
      <c r="I4562" s="1" t="n">
        <v>0.65</v>
      </c>
      <c r="J4562" t="n">
        <v>24164000</v>
      </c>
    </row>
    <row r="4563" ht="15.75" customHeight="1" s="201">
      <c r="A4563" s="1" t="inlineStr">
        <is>
          <t>Mushrooms, portabella, raw</t>
        </is>
      </c>
      <c r="C4563" s="1" t="n">
        <v>3.87</v>
      </c>
      <c r="D4563" s="1" t="n">
        <v>28</v>
      </c>
      <c r="E4563" s="1" t="n">
        <v>0.31</v>
      </c>
      <c r="F4563" s="1" t="n">
        <v>2.11</v>
      </c>
      <c r="G4563" s="1" t="n">
        <v>0.35</v>
      </c>
      <c r="H4563" s="1" t="n">
        <v>0</v>
      </c>
      <c r="I4563" s="1" t="n">
        <v>0.53</v>
      </c>
      <c r="J4563" t="n">
        <v>58160700</v>
      </c>
    </row>
    <row r="4564" ht="15.75" customHeight="1" s="201">
      <c r="A4564" s="1" t="inlineStr">
        <is>
          <t>Mushrooms, shiitake, cooked, with salt</t>
        </is>
      </c>
      <c r="C4564" s="1" t="n">
        <v>14.39</v>
      </c>
      <c r="D4564" s="1" t="n">
        <v>21</v>
      </c>
      <c r="E4564" s="1" t="n">
        <v>0.44</v>
      </c>
      <c r="F4564" s="1" t="n">
        <v>1.56</v>
      </c>
      <c r="G4564" s="1" t="n">
        <v>0.22</v>
      </c>
      <c r="H4564" s="1" t="n">
        <v>0</v>
      </c>
      <c r="I4564" s="1" t="n">
        <v>1.33</v>
      </c>
      <c r="J4564" t="n">
        <v>75142550</v>
      </c>
    </row>
    <row r="4565" ht="15.75" customHeight="1" s="201">
      <c r="A4565" s="1" t="inlineStr">
        <is>
          <t>Mushrooms, shiitake, cooked, without salt</t>
        </is>
      </c>
      <c r="C4565" s="1" t="n">
        <v>14.39</v>
      </c>
      <c r="D4565" s="1" t="n">
        <v>21</v>
      </c>
      <c r="E4565" s="1" t="n">
        <v>0.44</v>
      </c>
      <c r="F4565" s="1" t="n">
        <v>1.56</v>
      </c>
      <c r="G4565" s="1" t="n">
        <v>0.22</v>
      </c>
      <c r="H4565" s="1" t="n">
        <v>0</v>
      </c>
      <c r="I4565" s="1" t="n">
        <v>1.33</v>
      </c>
      <c r="J4565" t="n">
        <v>75219020</v>
      </c>
    </row>
    <row r="4566" ht="15.75" customHeight="1" s="201">
      <c r="A4566" s="1" t="inlineStr">
        <is>
          <t>Mushrooms, shiitake, dried</t>
        </is>
      </c>
      <c r="C4566" s="1" t="n">
        <v>75.37</v>
      </c>
      <c r="D4566" s="1" t="n">
        <v>163</v>
      </c>
      <c r="E4566" s="1" t="n">
        <v>1.72</v>
      </c>
      <c r="F4566" s="1" t="n">
        <v>9.58</v>
      </c>
      <c r="G4566" s="1" t="n">
        <v>0.99</v>
      </c>
      <c r="H4566" s="1" t="n">
        <v>0</v>
      </c>
      <c r="I4566" s="1" t="n">
        <v>7.66</v>
      </c>
      <c r="J4566" t="n">
        <v>75219100</v>
      </c>
    </row>
    <row r="4567" ht="15.75" customHeight="1" s="201">
      <c r="A4567" s="1" t="inlineStr">
        <is>
          <t>Mushrooms, shiitake, raw</t>
        </is>
      </c>
      <c r="C4567" s="1" t="n">
        <v>6.79</v>
      </c>
      <c r="D4567" s="1" t="n">
        <v>13</v>
      </c>
      <c r="E4567" s="1" t="n">
        <v>0.41</v>
      </c>
      <c r="F4567" s="1" t="n">
        <v>2.24</v>
      </c>
      <c r="G4567" s="1" t="n">
        <v>0.49</v>
      </c>
      <c r="I4567" s="1" t="n">
        <v>1.03</v>
      </c>
      <c r="J4567" t="n">
        <v>58160700</v>
      </c>
    </row>
    <row r="4568" ht="15.75" customHeight="1" s="201">
      <c r="A4568" s="1" t="inlineStr">
        <is>
          <t>Mushrooms, shiitake, stir-fried</t>
        </is>
      </c>
      <c r="C4568" s="1" t="n">
        <v>7.68</v>
      </c>
      <c r="D4568" s="1" t="n">
        <v>14</v>
      </c>
      <c r="E4568" s="1" t="n">
        <v>0.53</v>
      </c>
      <c r="F4568" s="1" t="n">
        <v>3.45</v>
      </c>
      <c r="G4568" s="1" t="n">
        <v>0.35</v>
      </c>
      <c r="H4568" s="1" t="n">
        <v>0</v>
      </c>
      <c r="I4568" s="1" t="n">
        <v>0.96</v>
      </c>
      <c r="J4568" t="n">
        <v>14660200</v>
      </c>
    </row>
    <row r="4569" ht="15.75" customHeight="1" s="201">
      <c r="A4569" s="1" t="inlineStr">
        <is>
          <t>Mushrooms, straw, canned, drained solids</t>
        </is>
      </c>
      <c r="C4569" s="1" t="n">
        <v>4.64</v>
      </c>
      <c r="D4569" s="1" t="n">
        <v>38</v>
      </c>
      <c r="E4569" s="1" t="n">
        <v>1.43</v>
      </c>
      <c r="F4569" s="1" t="n">
        <v>3.83</v>
      </c>
      <c r="G4569" s="1" t="n">
        <v>0.68</v>
      </c>
      <c r="H4569" s="1" t="n">
        <v>0</v>
      </c>
      <c r="I4569" s="1" t="n">
        <v>0.67</v>
      </c>
      <c r="J4569" t="n">
        <v>63311110</v>
      </c>
    </row>
    <row r="4570" ht="15.75" customHeight="1" s="201">
      <c r="A4570" s="1" t="inlineStr">
        <is>
          <t>Mushrooms, white, cooked, boiled, drained, with salt</t>
        </is>
      </c>
      <c r="C4570" s="1" t="n">
        <v>5.29</v>
      </c>
      <c r="D4570" s="1" t="n">
        <v>18</v>
      </c>
      <c r="E4570" s="1" t="n">
        <v>1.74</v>
      </c>
      <c r="F4570" s="1" t="n">
        <v>2.17</v>
      </c>
      <c r="G4570" s="1" t="n">
        <v>0.47</v>
      </c>
      <c r="H4570" s="1" t="n">
        <v>0</v>
      </c>
      <c r="I4570" s="1" t="n">
        <v>0.87</v>
      </c>
      <c r="J4570" t="n">
        <v>75142550</v>
      </c>
    </row>
    <row r="4571" ht="15.75" customHeight="1" s="201">
      <c r="A4571" s="1" t="inlineStr">
        <is>
          <t>Mushrooms, white, cooked, boiled, drained, without salt</t>
        </is>
      </c>
      <c r="C4571" s="1" t="n">
        <v>5.29</v>
      </c>
      <c r="D4571" s="1" t="n">
        <v>18</v>
      </c>
      <c r="E4571" s="1" t="n">
        <v>1.74</v>
      </c>
      <c r="F4571" s="1" t="n">
        <v>2.17</v>
      </c>
      <c r="G4571" s="1" t="n">
        <v>0.47</v>
      </c>
      <c r="H4571" s="1" t="n">
        <v>0</v>
      </c>
      <c r="I4571" s="1" t="n">
        <v>0.87</v>
      </c>
      <c r="J4571" t="n">
        <v>31103010</v>
      </c>
    </row>
    <row r="4572" ht="15.75" customHeight="1" s="201">
      <c r="A4572" s="1" t="inlineStr">
        <is>
          <t>Mushrooms, white, microwaved</t>
        </is>
      </c>
      <c r="C4572" s="1" t="n">
        <v>6.04</v>
      </c>
      <c r="D4572" s="1" t="n">
        <v>16</v>
      </c>
      <c r="E4572" s="1" t="n">
        <v>0.33</v>
      </c>
      <c r="F4572" s="1" t="n">
        <v>3.91</v>
      </c>
      <c r="G4572" s="1" t="n">
        <v>0.46</v>
      </c>
      <c r="H4572" s="1" t="n">
        <v>0</v>
      </c>
      <c r="I4572" s="1" t="n">
        <v>0.73</v>
      </c>
      <c r="J4572" t="n">
        <v>53109200</v>
      </c>
    </row>
    <row r="4573" ht="15.75" customHeight="1" s="201">
      <c r="A4573" s="1" t="inlineStr">
        <is>
          <t>Mushrooms, white, raw</t>
        </is>
      </c>
      <c r="C4573" s="1" t="n">
        <v>3.26</v>
      </c>
      <c r="D4573" s="1" t="n">
        <v>17</v>
      </c>
      <c r="E4573" s="1" t="n">
        <v>0.5</v>
      </c>
      <c r="F4573" s="1" t="n">
        <v>3.09</v>
      </c>
      <c r="G4573" s="1" t="n">
        <v>0.34</v>
      </c>
      <c r="H4573" s="1" t="n">
        <v>0</v>
      </c>
      <c r="I4573" s="1" t="n">
        <v>0.52</v>
      </c>
      <c r="J4573" t="n">
        <v>53109200</v>
      </c>
    </row>
    <row r="4574" ht="15.75" customHeight="1" s="201">
      <c r="A4574" s="1" t="inlineStr">
        <is>
          <t>Mushrooms, white, stir-fried</t>
        </is>
      </c>
      <c r="C4574" s="1" t="n">
        <v>4.04</v>
      </c>
      <c r="D4574" s="1" t="n">
        <v>20</v>
      </c>
      <c r="E4574" s="1" t="n">
        <v>0.25</v>
      </c>
      <c r="F4574" s="1" t="n">
        <v>3.58</v>
      </c>
      <c r="G4574" s="1" t="n">
        <v>0.33</v>
      </c>
      <c r="H4574" s="1" t="n">
        <v>0</v>
      </c>
      <c r="I4574" s="1" t="n">
        <v>0.57</v>
      </c>
      <c r="J4574" t="n">
        <v>28141010</v>
      </c>
    </row>
    <row r="4575" ht="15.75" customHeight="1" s="201">
      <c r="A4575" s="1" t="inlineStr">
        <is>
          <t>Mustard greens, cooked, boiled, drained, with salt</t>
        </is>
      </c>
      <c r="C4575" s="1" t="n">
        <v>4.51</v>
      </c>
      <c r="D4575" s="1" t="n">
        <v>9</v>
      </c>
      <c r="E4575" s="1" t="n">
        <v>0.87</v>
      </c>
      <c r="F4575" s="1" t="n">
        <v>2.56</v>
      </c>
      <c r="G4575" s="1" t="n">
        <v>0.47</v>
      </c>
      <c r="H4575" s="1" t="n">
        <v>10537</v>
      </c>
      <c r="I4575" s="1" t="n">
        <v>0.15</v>
      </c>
      <c r="J4575" t="n">
        <v>75142550</v>
      </c>
    </row>
    <row r="4576" ht="15.75" customHeight="1" s="201">
      <c r="A4576" s="1" t="inlineStr">
        <is>
          <t>Mustard greens, cooked, boiled, drained, without salt</t>
        </is>
      </c>
      <c r="C4576" s="1" t="n">
        <v>4.51</v>
      </c>
      <c r="D4576" s="1" t="n">
        <v>9</v>
      </c>
      <c r="E4576" s="1" t="n">
        <v>0.87</v>
      </c>
      <c r="F4576" s="1" t="n">
        <v>2.56</v>
      </c>
      <c r="G4576" s="1" t="n">
        <v>0.47</v>
      </c>
      <c r="H4576" s="1" t="n">
        <v>12370</v>
      </c>
      <c r="I4576" s="1" t="n">
        <v>0.22</v>
      </c>
      <c r="J4576" t="n">
        <v>72122220</v>
      </c>
    </row>
    <row r="4577" ht="15.75" customHeight="1" s="201">
      <c r="A4577" s="1" t="inlineStr">
        <is>
          <t>Mustard greens, frozen, cooked, boiled, drained, with salt</t>
        </is>
      </c>
      <c r="C4577" s="1" t="n">
        <v>3.11</v>
      </c>
      <c r="D4577" s="1" t="n">
        <v>70</v>
      </c>
      <c r="E4577" s="1" t="n">
        <v>1.12</v>
      </c>
      <c r="F4577" s="1" t="n">
        <v>2.27</v>
      </c>
      <c r="G4577" s="1" t="n">
        <v>0.25</v>
      </c>
      <c r="H4577" s="1" t="n">
        <v>7076</v>
      </c>
      <c r="I4577" s="1" t="n">
        <v>0.2</v>
      </c>
      <c r="J4577" t="n">
        <v>75142550</v>
      </c>
    </row>
    <row r="4578" ht="15.75" customHeight="1" s="201">
      <c r="A4578" s="1" t="inlineStr">
        <is>
          <t>Mustard greens, frozen, cooked, boiled, drained, without salt</t>
        </is>
      </c>
      <c r="C4578" s="1" t="n">
        <v>3.11</v>
      </c>
      <c r="D4578" s="1" t="n">
        <v>70</v>
      </c>
      <c r="E4578" s="1" t="n">
        <v>1.12</v>
      </c>
      <c r="F4578" s="1" t="n">
        <v>2.27</v>
      </c>
      <c r="G4578" s="1" t="n">
        <v>0.25</v>
      </c>
      <c r="H4578" s="1" t="n">
        <v>7076</v>
      </c>
      <c r="I4578" s="1" t="n">
        <v>0.2</v>
      </c>
      <c r="J4578" t="n">
        <v>72122220</v>
      </c>
    </row>
    <row r="4579" ht="15.75" customHeight="1" s="201">
      <c r="A4579" s="1" t="inlineStr">
        <is>
          <t>Mustard greens, frozen, unprepared</t>
        </is>
      </c>
      <c r="C4579" s="1" t="n">
        <v>3.41</v>
      </c>
      <c r="D4579" s="1" t="n">
        <v>138</v>
      </c>
      <c r="E4579" s="1" t="n">
        <v>1.29</v>
      </c>
      <c r="F4579" s="1" t="n">
        <v>2.49</v>
      </c>
      <c r="G4579" s="1" t="n">
        <v>0.27</v>
      </c>
      <c r="H4579" s="1" t="n">
        <v>5155</v>
      </c>
      <c r="I4579" s="1" t="n">
        <v>0.23</v>
      </c>
      <c r="J4579" t="n">
        <v>75506100</v>
      </c>
    </row>
    <row r="4580" ht="15.75" customHeight="1" s="201">
      <c r="A4580" s="1" t="inlineStr">
        <is>
          <t>Mustard greens, raw</t>
        </is>
      </c>
      <c r="C4580" s="1" t="n">
        <v>4.67</v>
      </c>
      <c r="D4580" s="1" t="n">
        <v>12</v>
      </c>
      <c r="E4580" s="1" t="n">
        <v>1.64</v>
      </c>
      <c r="F4580" s="1" t="n">
        <v>2.86</v>
      </c>
      <c r="G4580" s="1" t="n">
        <v>0.42</v>
      </c>
      <c r="H4580" s="1" t="n">
        <v>3024</v>
      </c>
      <c r="I4580" s="1" t="n">
        <v>0.25</v>
      </c>
      <c r="J4580" t="n">
        <v>75506100</v>
      </c>
    </row>
    <row r="4581" ht="15.75" customHeight="1" s="201">
      <c r="A4581" s="1" t="inlineStr">
        <is>
          <t>Mustard spinach, (tendergreen), cooked, boiled, drained, with salt</t>
        </is>
      </c>
      <c r="C4581" s="1" t="n">
        <v>2.8</v>
      </c>
      <c r="D4581" s="1" t="n">
        <v>73</v>
      </c>
      <c r="E4581" s="1" t="n">
        <v>0.8</v>
      </c>
      <c r="F4581" s="1" t="n">
        <v>1.7</v>
      </c>
      <c r="G4581" s="1" t="n">
        <v>0.2</v>
      </c>
      <c r="H4581" s="1" t="n">
        <v>8200</v>
      </c>
      <c r="I4581" s="1" t="n">
        <v>0.11</v>
      </c>
      <c r="J4581" t="n">
        <v>75142550</v>
      </c>
    </row>
    <row r="4582" ht="15.75" customHeight="1" s="201">
      <c r="A4582" s="1" t="inlineStr">
        <is>
          <t>Mustard spinach, (tendergreen), cooked, boiled, drained, without salt</t>
        </is>
      </c>
      <c r="C4582" s="1" t="n">
        <v>2.8</v>
      </c>
      <c r="D4582" s="1" t="n">
        <v>73</v>
      </c>
      <c r="E4582" s="1" t="n">
        <v>0.8</v>
      </c>
      <c r="F4582" s="1" t="n">
        <v>1.7</v>
      </c>
      <c r="G4582" s="1" t="n">
        <v>0.2</v>
      </c>
      <c r="H4582" s="1" t="n">
        <v>8200</v>
      </c>
      <c r="I4582" s="1" t="n">
        <v>0.11</v>
      </c>
      <c r="J4582" t="n">
        <v>31103010</v>
      </c>
    </row>
    <row r="4583" ht="15.75" customHeight="1" s="201">
      <c r="A4583" s="1" t="inlineStr">
        <is>
          <t>Mustard spinach, (tendergreen), raw</t>
        </is>
      </c>
      <c r="C4583" s="1" t="n">
        <v>3.9</v>
      </c>
      <c r="D4583" s="1" t="n">
        <v>159</v>
      </c>
      <c r="E4583" s="1" t="n">
        <v>1.5</v>
      </c>
      <c r="F4583" s="1" t="n">
        <v>2.2</v>
      </c>
      <c r="G4583" s="1" t="n">
        <v>0.3</v>
      </c>
      <c r="H4583" s="1" t="n">
        <v>9900</v>
      </c>
      <c r="I4583" s="1" t="n">
        <v>0.17</v>
      </c>
      <c r="J4583" t="n">
        <v>75506100</v>
      </c>
    </row>
    <row r="4584" ht="15.75" customHeight="1" s="201">
      <c r="A4584" s="1" t="inlineStr">
        <is>
          <t>Mustard, prepared, yellow</t>
        </is>
      </c>
      <c r="C4584" s="1" t="n">
        <v>5.83</v>
      </c>
      <c r="D4584" s="1" t="n">
        <v>7</v>
      </c>
      <c r="E4584" s="1" t="n">
        <v>1.61</v>
      </c>
      <c r="F4584" s="1" t="n">
        <v>3.74</v>
      </c>
      <c r="G4584" s="1" t="n">
        <v>3.34</v>
      </c>
      <c r="H4584" s="1" t="n">
        <v>109</v>
      </c>
      <c r="I4584" s="1" t="n">
        <v>0.64</v>
      </c>
      <c r="J4584" t="n">
        <v>53109200</v>
      </c>
    </row>
    <row r="4585" ht="15.75" customHeight="1" s="201">
      <c r="A4585" s="1" t="inlineStr">
        <is>
          <t>Mutton, cooked, roasted (Navajo)</t>
        </is>
      </c>
      <c r="C4585" s="1" t="n">
        <v>0.08</v>
      </c>
      <c r="D4585" s="1" t="n">
        <v>0</v>
      </c>
      <c r="E4585" s="1" t="n">
        <v>4.76</v>
      </c>
      <c r="F4585" s="1" t="n">
        <v>33.43</v>
      </c>
      <c r="G4585" s="1" t="n">
        <v>11.09</v>
      </c>
      <c r="I4585" s="1" t="n">
        <v>5.93</v>
      </c>
      <c r="J4585" t="n">
        <v>23104000</v>
      </c>
    </row>
    <row r="4586" ht="15.75" customHeight="1" s="201">
      <c r="A4586" s="1" t="inlineStr">
        <is>
          <t>Nabisco, Nabisco Ritz Crackers</t>
        </is>
      </c>
      <c r="C4586" s="1" t="n">
        <v>63.51</v>
      </c>
      <c r="D4586" s="1" t="n">
        <v>72</v>
      </c>
      <c r="E4586" s="1" t="n">
        <v>4.47</v>
      </c>
      <c r="F4586" s="1" t="n">
        <v>7.23</v>
      </c>
      <c r="G4586" s="1" t="n">
        <v>23.21</v>
      </c>
      <c r="I4586" s="1" t="n">
        <v>0.61</v>
      </c>
      <c r="J4586" t="n">
        <v>54301030</v>
      </c>
    </row>
    <row r="4587" ht="15.75" customHeight="1" s="201">
      <c r="A4587" s="1" t="inlineStr">
        <is>
          <t>Nabisco, Nabisco Snackwell's Fat Free Devil's Food Cookie Cakes</t>
        </is>
      </c>
      <c r="C4587" s="1" t="n">
        <v>74.25</v>
      </c>
      <c r="D4587" s="1" t="n">
        <v>19</v>
      </c>
      <c r="E4587" s="1" t="n">
        <v>2.78</v>
      </c>
      <c r="F4587" s="1" t="n">
        <v>5</v>
      </c>
      <c r="G4587" s="1" t="n">
        <v>1.09</v>
      </c>
      <c r="H4587" s="1" t="n">
        <v>1</v>
      </c>
      <c r="I4587" s="1" t="n">
        <v>0.46</v>
      </c>
      <c r="J4587" t="n">
        <v>53108200</v>
      </c>
    </row>
    <row r="4588" ht="15.75" customHeight="1" s="201">
      <c r="A4588" s="1" t="inlineStr">
        <is>
          <t>Nance, canned, syrup, drained</t>
        </is>
      </c>
      <c r="C4588" s="1" t="n">
        <v>22.79</v>
      </c>
      <c r="E4588" s="1" t="n">
        <v>0.37</v>
      </c>
      <c r="F4588" s="1" t="n">
        <v>0.5600000000000001</v>
      </c>
      <c r="G4588" s="1" t="n">
        <v>1.28</v>
      </c>
      <c r="I4588" s="1" t="n">
        <v>0.06</v>
      </c>
      <c r="J4588" t="n">
        <v>63311110</v>
      </c>
    </row>
    <row r="4589" ht="15.75" customHeight="1" s="201">
      <c r="A4589" s="1" t="inlineStr">
        <is>
          <t>Nance, frozen, unsweetened</t>
        </is>
      </c>
      <c r="C4589" s="1" t="n">
        <v>16.97</v>
      </c>
      <c r="D4589" s="1" t="n">
        <v>8</v>
      </c>
      <c r="E4589" s="1" t="n">
        <v>0.38</v>
      </c>
      <c r="F4589" s="1" t="n">
        <v>0.66</v>
      </c>
      <c r="G4589" s="1" t="n">
        <v>1.16</v>
      </c>
      <c r="H4589" s="1" t="n">
        <v>74</v>
      </c>
      <c r="I4589" s="1" t="n">
        <v>0.09</v>
      </c>
      <c r="J4589" t="n">
        <v>11461200</v>
      </c>
    </row>
    <row r="4590" ht="15.75" customHeight="1" s="201">
      <c r="A4590" s="1" t="inlineStr">
        <is>
          <t>Naranjilla (lulo) pulp, frozen, unsweetened</t>
        </is>
      </c>
      <c r="C4590" s="1" t="n">
        <v>5.9</v>
      </c>
      <c r="D4590" s="1" t="n">
        <v>3</v>
      </c>
      <c r="E4590" s="1" t="n">
        <v>0.35</v>
      </c>
      <c r="F4590" s="1" t="n">
        <v>0.44</v>
      </c>
      <c r="G4590" s="1" t="n">
        <v>0.22</v>
      </c>
      <c r="H4590" s="1" t="n">
        <v>568</v>
      </c>
      <c r="I4590" s="1" t="n">
        <v>0.1</v>
      </c>
    </row>
    <row r="4591" ht="15.75" customHeight="1" s="201">
      <c r="A4591" s="1" t="inlineStr">
        <is>
          <t>Natto</t>
        </is>
      </c>
      <c r="C4591" s="1" t="n">
        <v>12.68</v>
      </c>
      <c r="D4591" s="1" t="n">
        <v>8</v>
      </c>
      <c r="E4591" s="1" t="n">
        <v>8.6</v>
      </c>
      <c r="F4591" s="1" t="n">
        <v>19.4</v>
      </c>
      <c r="G4591" s="1" t="n">
        <v>11</v>
      </c>
      <c r="H4591" s="1" t="n">
        <v>0</v>
      </c>
      <c r="I4591" s="1" t="n">
        <v>3.03</v>
      </c>
      <c r="J4591" t="n">
        <v>41420200</v>
      </c>
    </row>
    <row r="4592" ht="15.75" customHeight="1" s="201">
      <c r="A4592" s="1" t="inlineStr">
        <is>
          <t>Nectarines, raw</t>
        </is>
      </c>
      <c r="C4592" s="1" t="n">
        <v>10.55</v>
      </c>
      <c r="D4592" s="1" t="n">
        <v>5</v>
      </c>
      <c r="E4592" s="1" t="n">
        <v>0.28</v>
      </c>
      <c r="F4592" s="1" t="n">
        <v>1.06</v>
      </c>
      <c r="G4592" s="1" t="n">
        <v>0.32</v>
      </c>
      <c r="H4592" s="1" t="n">
        <v>332</v>
      </c>
      <c r="I4592" s="1" t="n">
        <v>0.17</v>
      </c>
    </row>
    <row r="4593" ht="15.75" customHeight="1" s="201">
      <c r="A4593" s="1" t="inlineStr">
        <is>
          <t>New zealand spinach, cooked, boiled, drained, with salt</t>
        </is>
      </c>
      <c r="C4593" s="1" t="n">
        <v>2.13</v>
      </c>
      <c r="D4593" s="1" t="n">
        <v>8</v>
      </c>
      <c r="E4593" s="1" t="n">
        <v>0.66</v>
      </c>
      <c r="F4593" s="1" t="n">
        <v>1.3</v>
      </c>
      <c r="G4593" s="1" t="n">
        <v>0.17</v>
      </c>
      <c r="H4593" s="1" t="n">
        <v>3622</v>
      </c>
      <c r="I4593" s="1" t="n">
        <v>0.31</v>
      </c>
      <c r="J4593" t="n">
        <v>75142550</v>
      </c>
    </row>
    <row r="4594" ht="15.75" customHeight="1" s="201">
      <c r="A4594" s="1" t="inlineStr">
        <is>
          <t>New Zealand spinach, cooked, boiled, drained, without salt</t>
        </is>
      </c>
      <c r="C4594" s="1" t="n">
        <v>2.13</v>
      </c>
      <c r="D4594" s="1" t="n">
        <v>8</v>
      </c>
      <c r="E4594" s="1" t="n">
        <v>0.66</v>
      </c>
      <c r="F4594" s="1" t="n">
        <v>1.3</v>
      </c>
      <c r="G4594" s="1" t="n">
        <v>0.17</v>
      </c>
      <c r="H4594" s="1" t="n">
        <v>3622</v>
      </c>
      <c r="I4594" s="1" t="n">
        <v>0.31</v>
      </c>
      <c r="J4594" t="n">
        <v>31103010</v>
      </c>
    </row>
    <row r="4595" ht="15.75" customHeight="1" s="201">
      <c r="A4595" s="1" t="inlineStr">
        <is>
          <t>New Zealand spinach, raw</t>
        </is>
      </c>
      <c r="C4595" s="1" t="n">
        <v>2.5</v>
      </c>
      <c r="D4595" s="1" t="n">
        <v>15</v>
      </c>
      <c r="E4595" s="1" t="n">
        <v>0.8</v>
      </c>
      <c r="F4595" s="1" t="n">
        <v>1.5</v>
      </c>
      <c r="G4595" s="1" t="n">
        <v>0.2</v>
      </c>
      <c r="H4595" s="1" t="n">
        <v>4400</v>
      </c>
      <c r="I4595" s="1" t="n">
        <v>0.38</v>
      </c>
      <c r="J4595" t="n">
        <v>72125260</v>
      </c>
    </row>
    <row r="4596" ht="15.75" customHeight="1" s="201">
      <c r="A4596" s="1" t="inlineStr">
        <is>
          <t>Noodles, chinese, cellophane or long rice (mung beans), dehydrated</t>
        </is>
      </c>
      <c r="C4596" s="1" t="n">
        <v>86.09</v>
      </c>
      <c r="D4596" s="1" t="n">
        <v>2</v>
      </c>
      <c r="E4596" s="1" t="n">
        <v>2.17</v>
      </c>
      <c r="F4596" s="1" t="n">
        <v>0.16</v>
      </c>
      <c r="G4596" s="1" t="n">
        <v>0.06</v>
      </c>
      <c r="H4596" s="1" t="n">
        <v>0</v>
      </c>
      <c r="I4596" s="1" t="n">
        <v>0.41</v>
      </c>
      <c r="J4596" t="n">
        <v>56116990</v>
      </c>
    </row>
    <row r="4597" ht="15.75" customHeight="1" s="201">
      <c r="A4597" s="1" t="inlineStr">
        <is>
          <t>Noodles, chinese, chow mein</t>
        </is>
      </c>
      <c r="C4597" s="1" t="n">
        <v>63.64</v>
      </c>
      <c r="D4597" s="1" t="n">
        <v>125</v>
      </c>
      <c r="E4597" s="1" t="n">
        <v>6.43</v>
      </c>
      <c r="F4597" s="1" t="n">
        <v>10.88</v>
      </c>
      <c r="G4597" s="1" t="n">
        <v>21.24</v>
      </c>
      <c r="H4597" s="1" t="n">
        <v>0</v>
      </c>
      <c r="I4597" s="1" t="n">
        <v>0.8100000000000001</v>
      </c>
      <c r="J4597" t="n">
        <v>56116000</v>
      </c>
    </row>
    <row r="4598" ht="15.75" customHeight="1" s="201">
      <c r="A4598" s="1" t="inlineStr">
        <is>
          <t>Noodles, egg, cooked, enriched, with added salt</t>
        </is>
      </c>
      <c r="C4598" s="1" t="n">
        <v>25.16</v>
      </c>
      <c r="D4598" s="1" t="n">
        <v>84</v>
      </c>
      <c r="E4598" s="1" t="n">
        <v>1.47</v>
      </c>
      <c r="F4598" s="1" t="n">
        <v>4.54</v>
      </c>
      <c r="G4598" s="1" t="n">
        <v>2.07</v>
      </c>
      <c r="H4598" s="1" t="n">
        <v>21</v>
      </c>
      <c r="I4598" s="1" t="n">
        <v>0.65</v>
      </c>
      <c r="J4598" t="n">
        <v>75142550</v>
      </c>
    </row>
    <row r="4599" ht="15.75" customHeight="1" s="201">
      <c r="A4599" s="1" t="inlineStr">
        <is>
          <t>Noodles, egg, cooked, unenriched, with added salt</t>
        </is>
      </c>
      <c r="C4599" s="1" t="n">
        <v>25.16</v>
      </c>
      <c r="D4599" s="1" t="n">
        <v>7</v>
      </c>
      <c r="E4599" s="1" t="n">
        <v>0.6</v>
      </c>
      <c r="F4599" s="1" t="n">
        <v>4.54</v>
      </c>
      <c r="G4599" s="1" t="n">
        <v>2.07</v>
      </c>
      <c r="H4599" s="1" t="n">
        <v>21</v>
      </c>
      <c r="I4599" s="1" t="n">
        <v>0.65</v>
      </c>
      <c r="J4599" t="n">
        <v>75142550</v>
      </c>
    </row>
    <row r="4600" ht="15.75" customHeight="1" s="201">
      <c r="A4600" s="1" t="inlineStr">
        <is>
          <t>Noodles, egg, dry, enriched</t>
        </is>
      </c>
      <c r="C4600" s="1" t="n">
        <v>71.27</v>
      </c>
      <c r="D4600" s="1" t="n">
        <v>230</v>
      </c>
      <c r="E4600" s="1" t="n">
        <v>4.01</v>
      </c>
      <c r="F4600" s="1" t="n">
        <v>14.16</v>
      </c>
      <c r="G4600" s="1" t="n">
        <v>4.44</v>
      </c>
      <c r="H4600" s="1" t="n">
        <v>62</v>
      </c>
      <c r="I4600" s="1" t="n">
        <v>1.92</v>
      </c>
      <c r="J4600" t="n">
        <v>56116990</v>
      </c>
    </row>
    <row r="4601" ht="15.75" customHeight="1" s="201">
      <c r="A4601" s="1" t="inlineStr">
        <is>
          <t>Noodles, egg, dry, unenriched</t>
        </is>
      </c>
      <c r="C4601" s="1" t="n">
        <v>71.27</v>
      </c>
      <c r="D4601" s="1" t="n">
        <v>29</v>
      </c>
      <c r="E4601" s="1" t="n">
        <v>1.9</v>
      </c>
      <c r="F4601" s="1" t="n">
        <v>14.16</v>
      </c>
      <c r="G4601" s="1" t="n">
        <v>4.44</v>
      </c>
      <c r="H4601" s="1" t="n">
        <v>62</v>
      </c>
      <c r="I4601" s="1" t="n">
        <v>1.92</v>
      </c>
      <c r="J4601" t="n">
        <v>56116990</v>
      </c>
    </row>
    <row r="4602" ht="15.75" customHeight="1" s="201">
      <c r="A4602" s="1" t="inlineStr">
        <is>
          <t>Noodles, egg, enriched, cooked</t>
        </is>
      </c>
      <c r="C4602" s="1" t="n">
        <v>25.16</v>
      </c>
      <c r="D4602" s="1" t="n">
        <v>84</v>
      </c>
      <c r="E4602" s="1" t="n">
        <v>1.47</v>
      </c>
      <c r="F4602" s="1" t="n">
        <v>4.54</v>
      </c>
      <c r="G4602" s="1" t="n">
        <v>2.07</v>
      </c>
      <c r="H4602" s="1" t="n">
        <v>21</v>
      </c>
      <c r="I4602" s="1" t="n">
        <v>0.65</v>
      </c>
      <c r="J4602" t="n">
        <v>56116990</v>
      </c>
    </row>
    <row r="4603" ht="15.75" customHeight="1" s="201">
      <c r="A4603" s="1" t="inlineStr">
        <is>
          <t>Noodles, egg, spinach, enriched, cooked</t>
        </is>
      </c>
      <c r="C4603" s="1" t="n">
        <v>24.25</v>
      </c>
      <c r="D4603" s="1" t="n">
        <v>64</v>
      </c>
      <c r="E4603" s="1" t="n">
        <v>1.09</v>
      </c>
      <c r="F4603" s="1" t="n">
        <v>5.04</v>
      </c>
      <c r="G4603" s="1" t="n">
        <v>1.57</v>
      </c>
      <c r="H4603" s="1" t="n">
        <v>103</v>
      </c>
      <c r="I4603" s="1" t="n">
        <v>0.63</v>
      </c>
      <c r="J4603" t="n">
        <v>56113990</v>
      </c>
    </row>
    <row r="4604" ht="15.75" customHeight="1" s="201">
      <c r="A4604" s="1" t="inlineStr">
        <is>
          <t>Noodles, egg, spinach, enriched, dry</t>
        </is>
      </c>
      <c r="C4604" s="1" t="n">
        <v>70.31999999999999</v>
      </c>
      <c r="D4604" s="1" t="n">
        <v>245</v>
      </c>
      <c r="E4604" s="1" t="n">
        <v>4.2</v>
      </c>
      <c r="F4604" s="1" t="n">
        <v>14.61</v>
      </c>
      <c r="G4604" s="1" t="n">
        <v>4.55</v>
      </c>
      <c r="H4604" s="1" t="n">
        <v>315</v>
      </c>
      <c r="I4604" s="1" t="n">
        <v>1.83</v>
      </c>
      <c r="J4604" t="n">
        <v>56113990</v>
      </c>
    </row>
    <row r="4605" ht="15.75" customHeight="1" s="201">
      <c r="A4605" s="1" t="inlineStr">
        <is>
          <t>Noodles, egg, unenriched, cooked, without added salt</t>
        </is>
      </c>
      <c r="C4605" s="1" t="n">
        <v>25.16</v>
      </c>
      <c r="D4605" s="1" t="n">
        <v>7</v>
      </c>
      <c r="E4605" s="1" t="n">
        <v>0.6</v>
      </c>
      <c r="F4605" s="1" t="n">
        <v>4.54</v>
      </c>
      <c r="G4605" s="1" t="n">
        <v>2.07</v>
      </c>
      <c r="H4605" s="1" t="n">
        <v>21</v>
      </c>
      <c r="I4605" s="1" t="n">
        <v>0.65</v>
      </c>
      <c r="J4605" t="n">
        <v>73103020</v>
      </c>
    </row>
    <row r="4606" ht="15.75" customHeight="1" s="201">
      <c r="A4606" s="1" t="inlineStr">
        <is>
          <t>Noodles, flat, crunchy, Chinese restaurant</t>
        </is>
      </c>
      <c r="C4606" s="1" t="n">
        <v>51.9</v>
      </c>
      <c r="D4606" s="1" t="n">
        <v>17</v>
      </c>
      <c r="E4606" s="1" t="n">
        <v>1.76</v>
      </c>
      <c r="F4606" s="1" t="n">
        <v>10.33</v>
      </c>
      <c r="G4606" s="1" t="n">
        <v>31.72</v>
      </c>
      <c r="H4606" s="1" t="n">
        <v>1</v>
      </c>
      <c r="I4606" s="1" t="n">
        <v>0.63</v>
      </c>
      <c r="J4606" t="n">
        <v>56116000</v>
      </c>
    </row>
    <row r="4607" ht="15.75" customHeight="1" s="201">
      <c r="A4607" s="1" t="inlineStr">
        <is>
          <t>Noodles, japanese, soba, cooked</t>
        </is>
      </c>
      <c r="C4607" s="1" t="n">
        <v>21.44</v>
      </c>
      <c r="D4607" s="1" t="n">
        <v>7</v>
      </c>
      <c r="E4607" s="1" t="n">
        <v>0.48</v>
      </c>
      <c r="F4607" s="1" t="n">
        <v>5.06</v>
      </c>
      <c r="G4607" s="1" t="n">
        <v>0.1</v>
      </c>
      <c r="H4607" s="1" t="n">
        <v>0</v>
      </c>
      <c r="I4607" s="1" t="n">
        <v>0.12</v>
      </c>
      <c r="J4607" t="n">
        <v>56116990</v>
      </c>
    </row>
    <row r="4608" ht="15.75" customHeight="1" s="201">
      <c r="A4608" s="1" t="inlineStr">
        <is>
          <t>Noodles, japanese, soba, dry</t>
        </is>
      </c>
      <c r="C4608" s="1" t="n">
        <v>74.62</v>
      </c>
      <c r="D4608" s="1" t="n">
        <v>60</v>
      </c>
      <c r="E4608" s="1" t="n">
        <v>2.7</v>
      </c>
      <c r="F4608" s="1" t="n">
        <v>14.38</v>
      </c>
      <c r="G4608" s="1" t="n">
        <v>0.71</v>
      </c>
      <c r="H4608" s="1" t="n">
        <v>0</v>
      </c>
      <c r="I4608" s="1" t="n">
        <v>1.71</v>
      </c>
      <c r="J4608" t="n">
        <v>56116990</v>
      </c>
    </row>
    <row r="4609" ht="15.75" customHeight="1" s="201">
      <c r="A4609" s="1" t="inlineStr">
        <is>
          <t>Noodles, japanese, somen, cooked</t>
        </is>
      </c>
      <c r="C4609" s="1" t="n">
        <v>27.54</v>
      </c>
      <c r="D4609" s="1" t="n">
        <v>2</v>
      </c>
      <c r="E4609" s="1" t="n">
        <v>0.52</v>
      </c>
      <c r="F4609" s="1" t="n">
        <v>4</v>
      </c>
      <c r="G4609" s="1" t="n">
        <v>0.18</v>
      </c>
      <c r="H4609" s="1" t="n">
        <v>0</v>
      </c>
      <c r="I4609" s="1" t="n">
        <v>0.22</v>
      </c>
      <c r="J4609" t="n">
        <v>56116990</v>
      </c>
    </row>
    <row r="4610" ht="15.75" customHeight="1" s="201">
      <c r="A4610" s="1" t="inlineStr">
        <is>
          <t>Noodles, japanese, somen, dry</t>
        </is>
      </c>
      <c r="C4610" s="1" t="n">
        <v>74.09999999999999</v>
      </c>
      <c r="D4610" s="1" t="n">
        <v>14</v>
      </c>
      <c r="E4610" s="1" t="n">
        <v>1.32</v>
      </c>
      <c r="F4610" s="1" t="n">
        <v>11.35</v>
      </c>
      <c r="G4610" s="1" t="n">
        <v>0.8100000000000001</v>
      </c>
      <c r="H4610" s="1" t="n">
        <v>0</v>
      </c>
      <c r="I4610" s="1" t="n">
        <v>0.45</v>
      </c>
      <c r="J4610" t="n">
        <v>56116990</v>
      </c>
    </row>
    <row r="4611" ht="15.75" customHeight="1" s="201">
      <c r="A4611" s="1" t="inlineStr">
        <is>
          <t>Nopales, cooked, without salt</t>
        </is>
      </c>
      <c r="C4611" s="1" t="n">
        <v>3.28</v>
      </c>
      <c r="D4611" s="1" t="n">
        <v>3</v>
      </c>
      <c r="E4611" s="1" t="n">
        <v>0.5</v>
      </c>
      <c r="F4611" s="1" t="n">
        <v>1.35</v>
      </c>
      <c r="G4611" s="1" t="n">
        <v>0.05</v>
      </c>
      <c r="H4611" s="1" t="n">
        <v>443</v>
      </c>
      <c r="I4611" s="1" t="n">
        <v>0.21</v>
      </c>
      <c r="J4611" t="n">
        <v>24164000</v>
      </c>
    </row>
    <row r="4612" ht="15.75" customHeight="1" s="201">
      <c r="A4612" s="1" t="inlineStr">
        <is>
          <t>Nopales, raw</t>
        </is>
      </c>
      <c r="C4612" s="1" t="n">
        <v>3.33</v>
      </c>
      <c r="D4612" s="1" t="n">
        <v>3</v>
      </c>
      <c r="E4612" s="1" t="n">
        <v>0.59</v>
      </c>
      <c r="F4612" s="1" t="n">
        <v>1.32</v>
      </c>
      <c r="G4612" s="1" t="n">
        <v>0.09</v>
      </c>
      <c r="H4612" s="1" t="n">
        <v>457</v>
      </c>
      <c r="I4612" s="1" t="n">
        <v>0.25</v>
      </c>
    </row>
    <row r="4613" ht="15.75" customHeight="1" s="201">
      <c r="A4613" s="1" t="inlineStr">
        <is>
          <t>Nutritional supplement for people with diabetes, liquid</t>
        </is>
      </c>
      <c r="C4613" s="1" t="n">
        <v>11.88</v>
      </c>
      <c r="D4613" s="1" t="n">
        <v>44</v>
      </c>
      <c r="E4613" s="1" t="n">
        <v>1.98</v>
      </c>
      <c r="F4613" s="1" t="n">
        <v>4.4</v>
      </c>
      <c r="G4613" s="1" t="n">
        <v>3.08</v>
      </c>
      <c r="H4613" s="1" t="n">
        <v>550</v>
      </c>
      <c r="I4613" s="1" t="n">
        <v>1.65</v>
      </c>
      <c r="J4613" t="n">
        <v>75142550</v>
      </c>
    </row>
    <row r="4614" ht="15.75" customHeight="1" s="201">
      <c r="A4614" s="1" t="inlineStr">
        <is>
          <t>Nuts, acorn flour, full fat</t>
        </is>
      </c>
      <c r="C4614" s="1" t="n">
        <v>54.65</v>
      </c>
      <c r="D4614" s="1" t="n">
        <v>114</v>
      </c>
      <c r="E4614" s="1" t="n">
        <v>1.21</v>
      </c>
      <c r="F4614" s="1" t="n">
        <v>7.49</v>
      </c>
      <c r="G4614" s="1" t="n">
        <v>30.17</v>
      </c>
      <c r="H4614" s="1" t="n">
        <v>51</v>
      </c>
      <c r="I4614" s="1" t="n">
        <v>0.64</v>
      </c>
      <c r="J4614" t="n">
        <v>52215350</v>
      </c>
    </row>
    <row r="4615" ht="15.75" customHeight="1" s="201">
      <c r="A4615" s="1" t="inlineStr">
        <is>
          <t>Nuts, acorns, dried</t>
        </is>
      </c>
      <c r="C4615" s="1" t="n">
        <v>53.66</v>
      </c>
      <c r="D4615" s="1" t="n">
        <v>115</v>
      </c>
      <c r="E4615" s="1" t="n">
        <v>1.04</v>
      </c>
      <c r="F4615" s="1" t="n">
        <v>8.1</v>
      </c>
      <c r="G4615" s="1" t="n">
        <v>31.41</v>
      </c>
      <c r="H4615" s="1" t="n">
        <v>0</v>
      </c>
      <c r="I4615" s="1" t="n">
        <v>0.67</v>
      </c>
      <c r="J4615" t="n">
        <v>51161050</v>
      </c>
    </row>
    <row r="4616" ht="15.75" customHeight="1" s="201">
      <c r="A4616" s="1" t="inlineStr">
        <is>
          <t>Nuts, acorns, raw</t>
        </is>
      </c>
      <c r="C4616" s="1" t="n">
        <v>40.75</v>
      </c>
      <c r="D4616" s="1" t="n">
        <v>87</v>
      </c>
      <c r="E4616" s="1" t="n">
        <v>0.79</v>
      </c>
      <c r="F4616" s="1" t="n">
        <v>6.15</v>
      </c>
      <c r="G4616" s="1" t="n">
        <v>23.86</v>
      </c>
      <c r="H4616" s="1" t="n">
        <v>39</v>
      </c>
      <c r="I4616" s="1" t="n">
        <v>0.51</v>
      </c>
      <c r="J4616" t="n">
        <v>51161050</v>
      </c>
    </row>
    <row r="4617" ht="15.75" customHeight="1" s="201">
      <c r="A4617" s="1" t="inlineStr">
        <is>
          <t>Nuts, almond butter, plain, with salt added</t>
        </is>
      </c>
      <c r="C4617" s="1" t="n">
        <v>18.82</v>
      </c>
      <c r="D4617" s="1" t="n">
        <v>53</v>
      </c>
      <c r="E4617" s="1" t="n">
        <v>3.49</v>
      </c>
      <c r="F4617" s="1" t="n">
        <v>20.96</v>
      </c>
      <c r="G4617" s="1" t="n">
        <v>55.5</v>
      </c>
      <c r="H4617" s="1" t="n">
        <v>1</v>
      </c>
      <c r="I4617" s="1" t="n">
        <v>3.29</v>
      </c>
      <c r="J4617" t="n">
        <v>75142550</v>
      </c>
    </row>
    <row r="4618" ht="15.75" customHeight="1" s="201">
      <c r="A4618" s="1" t="inlineStr">
        <is>
          <t>Nuts, almond butter, plain, without salt added</t>
        </is>
      </c>
      <c r="C4618" s="1" t="n">
        <v>18.82</v>
      </c>
      <c r="D4618" s="1" t="n">
        <v>53</v>
      </c>
      <c r="E4618" s="1" t="n">
        <v>3.49</v>
      </c>
      <c r="F4618" s="1" t="n">
        <v>20.96</v>
      </c>
      <c r="G4618" s="1" t="n">
        <v>55.5</v>
      </c>
      <c r="H4618" s="1" t="n">
        <v>1</v>
      </c>
      <c r="I4618" s="1" t="n">
        <v>3.29</v>
      </c>
      <c r="J4618" t="n">
        <v>54328100</v>
      </c>
    </row>
    <row r="4619" ht="15.75" customHeight="1" s="201">
      <c r="A4619" s="1" t="inlineStr">
        <is>
          <t>Nuts, almond paste</t>
        </is>
      </c>
      <c r="C4619" s="1" t="n">
        <v>47.81</v>
      </c>
      <c r="D4619" s="1" t="n">
        <v>73</v>
      </c>
      <c r="E4619" s="1" t="n">
        <v>1.6</v>
      </c>
      <c r="F4619" s="1" t="n">
        <v>9</v>
      </c>
      <c r="G4619" s="1" t="n">
        <v>27.74</v>
      </c>
      <c r="H4619" s="1" t="n">
        <v>0</v>
      </c>
      <c r="I4619" s="1" t="n">
        <v>1.48</v>
      </c>
      <c r="J4619" t="n">
        <v>11350030</v>
      </c>
    </row>
    <row r="4620" ht="15.75" customHeight="1" s="201">
      <c r="A4620" s="1" t="inlineStr">
        <is>
          <t>Nuts, almonds</t>
        </is>
      </c>
      <c r="C4620" s="1" t="n">
        <v>21.55</v>
      </c>
      <c r="D4620" s="1" t="n">
        <v>44</v>
      </c>
      <c r="E4620" s="1" t="n">
        <v>3.71</v>
      </c>
      <c r="F4620" s="1" t="n">
        <v>21.15</v>
      </c>
      <c r="G4620" s="1" t="n">
        <v>49.93</v>
      </c>
      <c r="H4620" s="1" t="n">
        <v>2</v>
      </c>
      <c r="I4620" s="1" t="n">
        <v>3.12</v>
      </c>
      <c r="J4620" t="n">
        <v>91705060</v>
      </c>
    </row>
    <row r="4621" ht="15.75" customHeight="1" s="201">
      <c r="A4621" s="1" t="inlineStr">
        <is>
          <t>Nuts, almonds, blanched</t>
        </is>
      </c>
      <c r="C4621" s="1" t="n">
        <v>18.67</v>
      </c>
      <c r="D4621" s="1" t="n">
        <v>49</v>
      </c>
      <c r="E4621" s="1" t="n">
        <v>3.28</v>
      </c>
      <c r="F4621" s="1" t="n">
        <v>21.4</v>
      </c>
      <c r="G4621" s="1" t="n">
        <v>52.52</v>
      </c>
      <c r="H4621" s="1" t="n">
        <v>7</v>
      </c>
      <c r="I4621" s="1" t="n">
        <v>2.97</v>
      </c>
      <c r="J4621" t="n">
        <v>91705060</v>
      </c>
    </row>
    <row r="4622" ht="15.75" customHeight="1" s="201">
      <c r="A4622" s="1" t="inlineStr">
        <is>
          <t>Nuts, almonds, dry roasted, with salt added</t>
        </is>
      </c>
      <c r="C4622" s="1" t="n">
        <v>21.01</v>
      </c>
      <c r="D4622" s="1" t="n">
        <v>55</v>
      </c>
      <c r="E4622" s="1" t="n">
        <v>3.73</v>
      </c>
      <c r="F4622" s="1" t="n">
        <v>20.96</v>
      </c>
      <c r="G4622" s="1" t="n">
        <v>52.54</v>
      </c>
      <c r="H4622" s="1" t="n">
        <v>1</v>
      </c>
      <c r="I4622" s="1" t="n">
        <v>3.31</v>
      </c>
      <c r="J4622" t="n">
        <v>91705060</v>
      </c>
    </row>
    <row r="4623" ht="15.75" customHeight="1" s="201">
      <c r="A4623" s="1" t="inlineStr">
        <is>
          <t>Nuts, almonds, dry roasted, without salt added</t>
        </is>
      </c>
      <c r="C4623" s="1" t="n">
        <v>21.01</v>
      </c>
      <c r="D4623" s="1" t="n">
        <v>55</v>
      </c>
      <c r="E4623" s="1" t="n">
        <v>3.73</v>
      </c>
      <c r="F4623" s="1" t="n">
        <v>20.96</v>
      </c>
      <c r="G4623" s="1" t="n">
        <v>52.54</v>
      </c>
      <c r="H4623" s="1" t="n">
        <v>1</v>
      </c>
      <c r="I4623" s="1" t="n">
        <v>3.31</v>
      </c>
      <c r="J4623" t="n">
        <v>91705060</v>
      </c>
    </row>
    <row r="4624" ht="15.75" customHeight="1" s="201">
      <c r="A4624" s="1" t="inlineStr">
        <is>
          <t>Nuts, almonds, honey roasted, unblanched</t>
        </is>
      </c>
      <c r="C4624" s="1" t="n">
        <v>27.9</v>
      </c>
      <c r="D4624" s="1" t="n">
        <v>32</v>
      </c>
      <c r="E4624" s="1" t="n">
        <v>2.83</v>
      </c>
      <c r="F4624" s="1" t="n">
        <v>18.17</v>
      </c>
      <c r="G4624" s="1" t="n">
        <v>49.9</v>
      </c>
      <c r="H4624" s="1" t="n">
        <v>0</v>
      </c>
      <c r="I4624" s="1" t="n">
        <v>2.6</v>
      </c>
      <c r="J4624" t="n">
        <v>91705060</v>
      </c>
    </row>
    <row r="4625" ht="15.75" customHeight="1" s="201">
      <c r="A4625" s="1" t="inlineStr">
        <is>
          <t>Nuts, almonds, oil roasted, lightly salted</t>
        </is>
      </c>
      <c r="C4625" s="1" t="n">
        <v>17.68</v>
      </c>
      <c r="D4625" s="1" t="n">
        <v>27</v>
      </c>
      <c r="E4625" s="1" t="n">
        <v>3.68</v>
      </c>
      <c r="F4625" s="1" t="n">
        <v>21.23</v>
      </c>
      <c r="G4625" s="1" t="n">
        <v>55.17</v>
      </c>
      <c r="H4625" s="1" t="n">
        <v>1</v>
      </c>
      <c r="I4625" s="1" t="n">
        <v>3.07</v>
      </c>
      <c r="J4625" t="n">
        <v>91705060</v>
      </c>
    </row>
    <row r="4626" ht="15.75" customHeight="1" s="201">
      <c r="A4626" s="1" t="inlineStr">
        <is>
          <t>Nuts, almonds, oil roasted, with salt added</t>
        </is>
      </c>
      <c r="C4626" s="1" t="n">
        <v>17.68</v>
      </c>
      <c r="D4626" s="1" t="n">
        <v>27</v>
      </c>
      <c r="E4626" s="1" t="n">
        <v>3.68</v>
      </c>
      <c r="F4626" s="1" t="n">
        <v>21.23</v>
      </c>
      <c r="G4626" s="1" t="n">
        <v>55.17</v>
      </c>
      <c r="H4626" s="1" t="n">
        <v>1</v>
      </c>
      <c r="I4626" s="1" t="n">
        <v>3.07</v>
      </c>
      <c r="J4626" t="n">
        <v>91705060</v>
      </c>
    </row>
    <row r="4627" ht="15.75" customHeight="1" s="201">
      <c r="A4627" s="1" t="inlineStr">
        <is>
          <t>Nuts, almonds, oil roasted, with salt added, smoke flavor</t>
        </is>
      </c>
      <c r="C4627" s="1" t="n">
        <v>17.86</v>
      </c>
      <c r="E4627" s="1" t="n">
        <v>3.86</v>
      </c>
      <c r="F4627" s="1" t="n">
        <v>21.43</v>
      </c>
      <c r="G4627" s="1" t="n">
        <v>55.89</v>
      </c>
      <c r="H4627" s="1" t="n">
        <v>0</v>
      </c>
      <c r="J4627" t="n">
        <v>91705060</v>
      </c>
    </row>
    <row r="4628" ht="15.75" customHeight="1" s="201">
      <c r="A4628" s="1" t="inlineStr">
        <is>
          <t>Nuts, almonds, oil roasted, without salt added</t>
        </is>
      </c>
      <c r="C4628" s="1" t="n">
        <v>17.68</v>
      </c>
      <c r="D4628" s="1" t="n">
        <v>27</v>
      </c>
      <c r="E4628" s="1" t="n">
        <v>3.68</v>
      </c>
      <c r="F4628" s="1" t="n">
        <v>21.23</v>
      </c>
      <c r="G4628" s="1" t="n">
        <v>55.17</v>
      </c>
      <c r="H4628" s="1" t="n">
        <v>1</v>
      </c>
      <c r="I4628" s="1" t="n">
        <v>3.07</v>
      </c>
      <c r="J4628" t="n">
        <v>91705060</v>
      </c>
    </row>
    <row r="4629" ht="15.75" customHeight="1" s="201">
      <c r="A4629" s="1" t="inlineStr">
        <is>
          <t>Nuts, beechnuts, dried</t>
        </is>
      </c>
      <c r="C4629" s="1" t="n">
        <v>33.5</v>
      </c>
      <c r="D4629" s="1" t="n">
        <v>113</v>
      </c>
      <c r="E4629" s="1" t="n">
        <v>2.46</v>
      </c>
      <c r="F4629" s="1" t="n">
        <v>6.2</v>
      </c>
      <c r="G4629" s="1" t="n">
        <v>50</v>
      </c>
      <c r="H4629" s="1" t="n">
        <v>0</v>
      </c>
      <c r="I4629" s="1" t="n">
        <v>0.36</v>
      </c>
      <c r="J4629" t="n">
        <v>51161050</v>
      </c>
    </row>
    <row r="4630" ht="15.75" customHeight="1" s="201">
      <c r="A4630" s="1" t="inlineStr">
        <is>
          <t>Nuts, brazilnuts, dried, unblanched</t>
        </is>
      </c>
      <c r="C4630" s="1" t="n">
        <v>11.74</v>
      </c>
      <c r="D4630" s="1" t="n">
        <v>22</v>
      </c>
      <c r="E4630" s="1" t="n">
        <v>2.43</v>
      </c>
      <c r="F4630" s="1" t="n">
        <v>14.32</v>
      </c>
      <c r="G4630" s="1" t="n">
        <v>67.09999999999999</v>
      </c>
      <c r="H4630" s="1" t="n">
        <v>0</v>
      </c>
      <c r="I4630" s="1" t="n">
        <v>4.06</v>
      </c>
      <c r="J4630" t="n">
        <v>51161050</v>
      </c>
    </row>
    <row r="4631" ht="15.75" customHeight="1" s="201">
      <c r="A4631" s="1" t="inlineStr">
        <is>
          <t>Nuts, butternuts, dried</t>
        </is>
      </c>
      <c r="C4631" s="1" t="n">
        <v>12.05</v>
      </c>
      <c r="D4631" s="1" t="n">
        <v>66</v>
      </c>
      <c r="E4631" s="1" t="n">
        <v>4.02</v>
      </c>
      <c r="F4631" s="1" t="n">
        <v>24.9</v>
      </c>
      <c r="G4631" s="1" t="n">
        <v>56.98</v>
      </c>
      <c r="H4631" s="1" t="n">
        <v>124</v>
      </c>
      <c r="I4631" s="1" t="n">
        <v>3.13</v>
      </c>
      <c r="J4631" t="n">
        <v>51161050</v>
      </c>
    </row>
    <row r="4632" ht="15.75" customHeight="1" s="201">
      <c r="A4632" s="1" t="inlineStr">
        <is>
          <t>Nuts, cashew butter, plain, with salt added</t>
        </is>
      </c>
      <c r="C4632" s="1" t="n">
        <v>30.3</v>
      </c>
      <c r="D4632" s="1" t="n">
        <v>55</v>
      </c>
      <c r="E4632" s="1" t="n">
        <v>4.91</v>
      </c>
      <c r="F4632" s="1" t="n">
        <v>12.12</v>
      </c>
      <c r="G4632" s="1" t="n">
        <v>53.03</v>
      </c>
      <c r="H4632" s="1" t="n">
        <v>0</v>
      </c>
      <c r="I4632" s="1" t="n">
        <v>4.43</v>
      </c>
      <c r="J4632" t="n">
        <v>75142550</v>
      </c>
    </row>
    <row r="4633" ht="15.75" customHeight="1" s="201">
      <c r="A4633" s="1" t="inlineStr">
        <is>
          <t>Nuts, cashew butter, plain, without salt added</t>
        </is>
      </c>
      <c r="C4633" s="1" t="n">
        <v>27.57</v>
      </c>
      <c r="D4633" s="1" t="n">
        <v>68</v>
      </c>
      <c r="E4633" s="1" t="n">
        <v>5.03</v>
      </c>
      <c r="F4633" s="1" t="n">
        <v>17.56</v>
      </c>
      <c r="G4633" s="1" t="n">
        <v>49.41</v>
      </c>
      <c r="H4633" s="1" t="n">
        <v>0</v>
      </c>
      <c r="I4633" s="1" t="n">
        <v>5.16</v>
      </c>
      <c r="J4633" t="n">
        <v>54328100</v>
      </c>
    </row>
    <row r="4634" ht="15.75" customHeight="1" s="201">
      <c r="A4634" s="1" t="inlineStr">
        <is>
          <t>Nuts, cashew nuts, dry roasted, with salt added</t>
        </is>
      </c>
      <c r="C4634" s="1" t="n">
        <v>32.69</v>
      </c>
      <c r="D4634" s="1" t="n">
        <v>69</v>
      </c>
      <c r="E4634" s="1" t="n">
        <v>6</v>
      </c>
      <c r="F4634" s="1" t="n">
        <v>15.31</v>
      </c>
      <c r="G4634" s="1" t="n">
        <v>46.35</v>
      </c>
      <c r="H4634" s="1" t="n">
        <v>0</v>
      </c>
      <c r="I4634" s="1" t="n">
        <v>5.6</v>
      </c>
      <c r="J4634" t="n">
        <v>75142550</v>
      </c>
    </row>
    <row r="4635" ht="15.75" customHeight="1" s="201">
      <c r="A4635" s="1" t="inlineStr">
        <is>
          <t>Nuts, cashew nuts, dry roasted, without salt added</t>
        </is>
      </c>
      <c r="C4635" s="1" t="n">
        <v>32.69</v>
      </c>
      <c r="D4635" s="1" t="n">
        <v>69</v>
      </c>
      <c r="E4635" s="1" t="n">
        <v>6</v>
      </c>
      <c r="F4635" s="1" t="n">
        <v>15.31</v>
      </c>
      <c r="G4635" s="1" t="n">
        <v>46.35</v>
      </c>
      <c r="H4635" s="1" t="n">
        <v>0</v>
      </c>
      <c r="I4635" s="1" t="n">
        <v>5.6</v>
      </c>
      <c r="J4635" t="n">
        <v>42110150</v>
      </c>
    </row>
    <row r="4636" ht="15.75" customHeight="1" s="201">
      <c r="A4636" s="1" t="inlineStr">
        <is>
          <t>Nuts, cashew nuts, oil roasted, with salt added</t>
        </is>
      </c>
      <c r="C4636" s="1" t="n">
        <v>30.16</v>
      </c>
      <c r="D4636" s="1" t="n">
        <v>25</v>
      </c>
      <c r="E4636" s="1" t="n">
        <v>6.05</v>
      </c>
      <c r="F4636" s="1" t="n">
        <v>16.84</v>
      </c>
      <c r="G4636" s="1" t="n">
        <v>47.77</v>
      </c>
      <c r="H4636" s="1" t="n">
        <v>0</v>
      </c>
      <c r="I4636" s="1" t="n">
        <v>5.35</v>
      </c>
      <c r="J4636" t="n">
        <v>75142550</v>
      </c>
    </row>
    <row r="4637" ht="15.75" customHeight="1" s="201">
      <c r="A4637" s="1" t="inlineStr">
        <is>
          <t>Nuts, cashew nuts, oil roasted, without salt added</t>
        </is>
      </c>
      <c r="C4637" s="1" t="n">
        <v>29.87</v>
      </c>
      <c r="D4637" s="1" t="n">
        <v>25</v>
      </c>
      <c r="E4637" s="1" t="n">
        <v>6.05</v>
      </c>
      <c r="F4637" s="1" t="n">
        <v>16.84</v>
      </c>
      <c r="G4637" s="1" t="n">
        <v>47.77</v>
      </c>
      <c r="H4637" s="1" t="n">
        <v>0</v>
      </c>
      <c r="I4637" s="1" t="n">
        <v>5.35</v>
      </c>
      <c r="J4637" t="n">
        <v>42110150</v>
      </c>
    </row>
    <row r="4638" ht="15.75" customHeight="1" s="201">
      <c r="A4638" s="1" t="inlineStr">
        <is>
          <t>Nuts, cashew nuts, raw</t>
        </is>
      </c>
      <c r="C4638" s="1" t="n">
        <v>30.19</v>
      </c>
      <c r="D4638" s="1" t="n">
        <v>25</v>
      </c>
      <c r="E4638" s="1" t="n">
        <v>6.68</v>
      </c>
      <c r="F4638" s="1" t="n">
        <v>18.22</v>
      </c>
      <c r="G4638" s="1" t="n">
        <v>43.85</v>
      </c>
      <c r="H4638" s="1" t="n">
        <v>0</v>
      </c>
      <c r="I4638" s="1" t="n">
        <v>5.78</v>
      </c>
      <c r="J4638" t="n">
        <v>51161050</v>
      </c>
    </row>
    <row r="4639" ht="15.75" customHeight="1" s="201">
      <c r="A4639" s="1" t="inlineStr">
        <is>
          <t>Nuts, chestnuts, chinese, boiled and steamed</t>
        </is>
      </c>
      <c r="C4639" s="1" t="n">
        <v>33.64</v>
      </c>
      <c r="D4639" s="1" t="n">
        <v>46</v>
      </c>
      <c r="E4639" s="1" t="n">
        <v>0.97</v>
      </c>
      <c r="F4639" s="1" t="n">
        <v>2.88</v>
      </c>
      <c r="G4639" s="1" t="n">
        <v>0.76</v>
      </c>
      <c r="H4639" s="1" t="n">
        <v>138</v>
      </c>
      <c r="I4639" s="1" t="n">
        <v>0.6</v>
      </c>
      <c r="J4639" t="n">
        <v>31103010</v>
      </c>
    </row>
    <row r="4640" ht="15.75" customHeight="1" s="201">
      <c r="A4640" s="1" t="inlineStr">
        <is>
          <t>Nuts, chestnuts, chinese, dried</t>
        </is>
      </c>
      <c r="C4640" s="1" t="n">
        <v>79.76000000000001</v>
      </c>
      <c r="D4640" s="1" t="n">
        <v>110</v>
      </c>
      <c r="E4640" s="1" t="n">
        <v>2.29</v>
      </c>
      <c r="F4640" s="1" t="n">
        <v>6.82</v>
      </c>
      <c r="G4640" s="1" t="n">
        <v>1.81</v>
      </c>
      <c r="H4640" s="1" t="n">
        <v>328</v>
      </c>
      <c r="I4640" s="1" t="n">
        <v>1.41</v>
      </c>
      <c r="J4640" t="n">
        <v>51161050</v>
      </c>
    </row>
    <row r="4641" ht="15.75" customHeight="1" s="201">
      <c r="A4641" s="1" t="inlineStr">
        <is>
          <t>Nuts, chestnuts, chinese, raw</t>
        </is>
      </c>
      <c r="C4641" s="1" t="n">
        <v>49.07</v>
      </c>
      <c r="D4641" s="1" t="n">
        <v>68</v>
      </c>
      <c r="E4641" s="1" t="n">
        <v>1.41</v>
      </c>
      <c r="F4641" s="1" t="n">
        <v>4.2</v>
      </c>
      <c r="G4641" s="1" t="n">
        <v>1.11</v>
      </c>
      <c r="H4641" s="1" t="n">
        <v>202</v>
      </c>
      <c r="I4641" s="1" t="n">
        <v>0.87</v>
      </c>
      <c r="J4641" t="n">
        <v>51161050</v>
      </c>
    </row>
    <row r="4642" ht="15.75" customHeight="1" s="201">
      <c r="A4642" s="1" t="inlineStr">
        <is>
          <t>Nuts, chestnuts, chinese, roasted</t>
        </is>
      </c>
      <c r="C4642" s="1" t="n">
        <v>52.36</v>
      </c>
      <c r="D4642" s="1" t="n">
        <v>72</v>
      </c>
      <c r="E4642" s="1" t="n">
        <v>1.5</v>
      </c>
      <c r="F4642" s="1" t="n">
        <v>4.48</v>
      </c>
      <c r="G4642" s="1" t="n">
        <v>1.19</v>
      </c>
      <c r="H4642" s="1" t="n">
        <v>5</v>
      </c>
      <c r="I4642" s="1" t="n">
        <v>0.93</v>
      </c>
      <c r="J4642" t="n">
        <v>42110100</v>
      </c>
    </row>
    <row r="4643" ht="15.75" customHeight="1" s="201">
      <c r="A4643" s="1" t="inlineStr">
        <is>
          <t>Nuts, chestnuts, european, boiled and steamed</t>
        </is>
      </c>
      <c r="C4643" s="1" t="n">
        <v>27.76</v>
      </c>
      <c r="D4643" s="1" t="n">
        <v>38</v>
      </c>
      <c r="E4643" s="1" t="n">
        <v>1.73</v>
      </c>
      <c r="F4643" s="1" t="n">
        <v>2</v>
      </c>
      <c r="G4643" s="1" t="n">
        <v>1.38</v>
      </c>
      <c r="H4643" s="1" t="n">
        <v>17</v>
      </c>
      <c r="I4643" s="1" t="n">
        <v>0.25</v>
      </c>
      <c r="J4643" t="n">
        <v>31103010</v>
      </c>
    </row>
    <row r="4644" ht="15.75" customHeight="1" s="201">
      <c r="A4644" s="1" t="inlineStr">
        <is>
          <t>Nuts, chestnuts, european, dried, peeled</t>
        </is>
      </c>
      <c r="C4644" s="1" t="n">
        <v>78.43000000000001</v>
      </c>
      <c r="D4644" s="1" t="n">
        <v>110</v>
      </c>
      <c r="E4644" s="1" t="n">
        <v>2.39</v>
      </c>
      <c r="F4644" s="1" t="n">
        <v>5.01</v>
      </c>
      <c r="G4644" s="1" t="n">
        <v>3.91</v>
      </c>
      <c r="H4644" s="1" t="n">
        <v>0</v>
      </c>
      <c r="I4644" s="1" t="n">
        <v>0.35</v>
      </c>
    </row>
    <row r="4645" ht="15.75" customHeight="1" s="201">
      <c r="A4645" s="1" t="inlineStr">
        <is>
          <t>Nuts, chestnuts, european, dried, unpeeled</t>
        </is>
      </c>
      <c r="C4645" s="1" t="n">
        <v>77.31</v>
      </c>
      <c r="D4645" s="1" t="n">
        <v>109</v>
      </c>
      <c r="E4645" s="1" t="n">
        <v>2.38</v>
      </c>
      <c r="F4645" s="1" t="n">
        <v>6.39</v>
      </c>
      <c r="G4645" s="1" t="n">
        <v>4.45</v>
      </c>
      <c r="H4645" s="1" t="n">
        <v>0</v>
      </c>
      <c r="I4645" s="1" t="n">
        <v>0.35</v>
      </c>
    </row>
    <row r="4646" ht="15.75" customHeight="1" s="201">
      <c r="A4646" s="1" t="inlineStr">
        <is>
          <t>Nuts, chestnuts, european, raw, peeled</t>
        </is>
      </c>
      <c r="C4646" s="1" t="n">
        <v>44.17</v>
      </c>
      <c r="D4646" s="1" t="n">
        <v>58</v>
      </c>
      <c r="E4646" s="1" t="n">
        <v>0.9399999999999999</v>
      </c>
      <c r="F4646" s="1" t="n">
        <v>1.63</v>
      </c>
      <c r="G4646" s="1" t="n">
        <v>1.25</v>
      </c>
      <c r="H4646" s="1" t="n">
        <v>26</v>
      </c>
      <c r="I4646" s="1" t="n">
        <v>0.49</v>
      </c>
      <c r="J4646" t="n">
        <v>51161050</v>
      </c>
    </row>
    <row r="4647" ht="15.75" customHeight="1" s="201">
      <c r="A4647" s="1" t="inlineStr">
        <is>
          <t>Nuts, chestnuts, european, raw, unpeeled</t>
        </is>
      </c>
      <c r="C4647" s="1" t="n">
        <v>45.54</v>
      </c>
      <c r="D4647" s="1" t="n">
        <v>62</v>
      </c>
      <c r="E4647" s="1" t="n">
        <v>1.01</v>
      </c>
      <c r="F4647" s="1" t="n">
        <v>2.42</v>
      </c>
      <c r="G4647" s="1" t="n">
        <v>2.26</v>
      </c>
      <c r="H4647" s="1" t="n">
        <v>28</v>
      </c>
      <c r="I4647" s="1" t="n">
        <v>0.52</v>
      </c>
      <c r="J4647" t="n">
        <v>51161050</v>
      </c>
    </row>
    <row r="4648" ht="15.75" customHeight="1" s="201">
      <c r="A4648" s="1" t="inlineStr">
        <is>
          <t>Nuts, chestnuts, european, roasted</t>
        </is>
      </c>
      <c r="C4648" s="1" t="n">
        <v>52.96</v>
      </c>
      <c r="D4648" s="1" t="n">
        <v>70</v>
      </c>
      <c r="E4648" s="1" t="n">
        <v>0.91</v>
      </c>
      <c r="F4648" s="1" t="n">
        <v>3.17</v>
      </c>
      <c r="G4648" s="1" t="n">
        <v>2.2</v>
      </c>
      <c r="H4648" s="1" t="n">
        <v>24</v>
      </c>
      <c r="I4648" s="1" t="n">
        <v>0.57</v>
      </c>
      <c r="J4648" t="n">
        <v>42110100</v>
      </c>
    </row>
    <row r="4649" ht="15.75" customHeight="1" s="201">
      <c r="A4649" s="1" t="inlineStr">
        <is>
          <t>Nuts, chestnuts, japanese, boiled and steamed</t>
        </is>
      </c>
      <c r="C4649" s="1" t="n">
        <v>12.64</v>
      </c>
      <c r="D4649" s="1" t="n">
        <v>17</v>
      </c>
      <c r="E4649" s="1" t="n">
        <v>0.53</v>
      </c>
      <c r="F4649" s="1" t="n">
        <v>0.82</v>
      </c>
      <c r="G4649" s="1" t="n">
        <v>0.19</v>
      </c>
      <c r="H4649" s="1" t="n">
        <v>13</v>
      </c>
      <c r="I4649" s="1" t="n">
        <v>0.4</v>
      </c>
      <c r="J4649" t="n">
        <v>31103010</v>
      </c>
    </row>
    <row r="4650" ht="15.75" customHeight="1" s="201">
      <c r="A4650" s="1" t="inlineStr">
        <is>
          <t>Nuts, chestnuts, japanese, dried</t>
        </is>
      </c>
      <c r="C4650" s="1" t="n">
        <v>81.43000000000001</v>
      </c>
      <c r="D4650" s="1" t="n">
        <v>109</v>
      </c>
      <c r="E4650" s="1" t="n">
        <v>3.38</v>
      </c>
      <c r="F4650" s="1" t="n">
        <v>5.25</v>
      </c>
      <c r="G4650" s="1" t="n">
        <v>1.24</v>
      </c>
      <c r="H4650" s="1" t="n">
        <v>86</v>
      </c>
      <c r="I4650" s="1" t="n">
        <v>2.57</v>
      </c>
      <c r="J4650" t="n">
        <v>51161050</v>
      </c>
    </row>
    <row r="4651" ht="15.75" customHeight="1" s="201">
      <c r="A4651" s="1" t="inlineStr">
        <is>
          <t>Nuts, chestnuts, japanese, raw</t>
        </is>
      </c>
      <c r="C4651" s="1" t="n">
        <v>34.91</v>
      </c>
      <c r="D4651" s="1" t="n">
        <v>47</v>
      </c>
      <c r="E4651" s="1" t="n">
        <v>1.45</v>
      </c>
      <c r="F4651" s="1" t="n">
        <v>2.25</v>
      </c>
      <c r="G4651" s="1" t="n">
        <v>0.53</v>
      </c>
      <c r="H4651" s="1" t="n">
        <v>37</v>
      </c>
      <c r="I4651" s="1" t="n">
        <v>1.1</v>
      </c>
      <c r="J4651" t="n">
        <v>51161050</v>
      </c>
    </row>
    <row r="4652" ht="15.75" customHeight="1" s="201">
      <c r="A4652" s="1" t="inlineStr">
        <is>
          <t>Nuts, chestnuts, japanese, roasted</t>
        </is>
      </c>
      <c r="C4652" s="1" t="n">
        <v>45.13</v>
      </c>
      <c r="D4652" s="1" t="n">
        <v>59</v>
      </c>
      <c r="E4652" s="1" t="n">
        <v>2.1</v>
      </c>
      <c r="F4652" s="1" t="n">
        <v>2.97</v>
      </c>
      <c r="G4652" s="1" t="n">
        <v>0.8</v>
      </c>
      <c r="H4652" s="1" t="n">
        <v>74</v>
      </c>
      <c r="I4652" s="1" t="n">
        <v>1.43</v>
      </c>
      <c r="J4652" t="n">
        <v>42110100</v>
      </c>
    </row>
    <row r="4653" ht="15.75" customHeight="1" s="201">
      <c r="A4653" s="1" t="inlineStr">
        <is>
          <t>Nuts, coconut cream, canned, sweetened</t>
        </is>
      </c>
      <c r="C4653" s="1" t="n">
        <v>53.21</v>
      </c>
      <c r="D4653" s="1" t="n">
        <v>14</v>
      </c>
      <c r="E4653" s="1" t="n">
        <v>0.13</v>
      </c>
      <c r="F4653" s="1" t="n">
        <v>1.17</v>
      </c>
      <c r="G4653" s="1" t="n">
        <v>16.31</v>
      </c>
      <c r="H4653" s="1" t="n">
        <v>0</v>
      </c>
      <c r="I4653" s="1" t="n">
        <v>0.6</v>
      </c>
      <c r="J4653" t="n">
        <v>42404010</v>
      </c>
    </row>
    <row r="4654" ht="15.75" customHeight="1" s="201">
      <c r="A4654" s="1" t="inlineStr">
        <is>
          <t>Nuts, coconut cream, raw (liquid expressed from grated meat)</t>
        </is>
      </c>
      <c r="C4654" s="1" t="n">
        <v>6.65</v>
      </c>
      <c r="D4654" s="1" t="n">
        <v>23</v>
      </c>
      <c r="E4654" s="1" t="n">
        <v>2.28</v>
      </c>
      <c r="F4654" s="1" t="n">
        <v>3.63</v>
      </c>
      <c r="G4654" s="1" t="n">
        <v>34.68</v>
      </c>
      <c r="H4654" s="1" t="n">
        <v>0</v>
      </c>
      <c r="I4654" s="1" t="n">
        <v>0.96</v>
      </c>
      <c r="J4654" t="n">
        <v>14620320</v>
      </c>
    </row>
    <row r="4655" ht="15.75" customHeight="1" s="201">
      <c r="A4655" s="1" t="inlineStr">
        <is>
          <t>Nuts, coconut meat, dried (desiccated), creamed</t>
        </is>
      </c>
      <c r="C4655" s="1" t="n">
        <v>21.52</v>
      </c>
      <c r="D4655" s="1" t="n">
        <v>9</v>
      </c>
      <c r="E4655" s="1" t="n">
        <v>3.36</v>
      </c>
      <c r="F4655" s="1" t="n">
        <v>5.3</v>
      </c>
      <c r="G4655" s="1" t="n">
        <v>69.08</v>
      </c>
      <c r="H4655" s="1" t="n">
        <v>0</v>
      </c>
      <c r="I4655" s="1" t="n">
        <v>2.04</v>
      </c>
      <c r="J4655" t="n">
        <v>42404010</v>
      </c>
    </row>
    <row r="4656" ht="15.75" customHeight="1" s="201">
      <c r="A4656" s="1" t="inlineStr">
        <is>
          <t>Nuts, coconut meat, dried (desiccated), not sweetened</t>
        </is>
      </c>
      <c r="C4656" s="1" t="n">
        <v>23.65</v>
      </c>
      <c r="D4656" s="1" t="n">
        <v>9</v>
      </c>
      <c r="E4656" s="1" t="n">
        <v>3.32</v>
      </c>
      <c r="F4656" s="1" t="n">
        <v>6.88</v>
      </c>
      <c r="G4656" s="1" t="n">
        <v>64.53</v>
      </c>
      <c r="H4656" s="1" t="n">
        <v>0</v>
      </c>
      <c r="I4656" s="1" t="n">
        <v>2.01</v>
      </c>
      <c r="J4656" t="n">
        <v>42404010</v>
      </c>
    </row>
    <row r="4657" ht="15.75" customHeight="1" s="201">
      <c r="A4657" s="1" t="inlineStr">
        <is>
          <t>Nuts, coconut meat, dried (desiccated), sweetened, flaked, canned</t>
        </is>
      </c>
      <c r="C4657" s="1" t="n">
        <v>40.91</v>
      </c>
      <c r="D4657" s="1" t="n">
        <v>7</v>
      </c>
      <c r="E4657" s="1" t="n">
        <v>1.84</v>
      </c>
      <c r="F4657" s="1" t="n">
        <v>3.35</v>
      </c>
      <c r="G4657" s="1" t="n">
        <v>31.69</v>
      </c>
      <c r="H4657" s="1" t="n">
        <v>0</v>
      </c>
      <c r="I4657" s="1" t="n">
        <v>1.59</v>
      </c>
      <c r="J4657" t="n">
        <v>42404010</v>
      </c>
    </row>
    <row r="4658" ht="15.75" customHeight="1" s="201">
      <c r="A4658" s="1" t="inlineStr">
        <is>
          <t>Nuts, coconut meat, dried (desiccated), sweetened, flaked, packaged</t>
        </is>
      </c>
      <c r="C4658" s="1" t="n">
        <v>51.85</v>
      </c>
      <c r="D4658" s="1" t="n">
        <v>3</v>
      </c>
      <c r="E4658" s="1" t="n">
        <v>1.51</v>
      </c>
      <c r="F4658" s="1" t="n">
        <v>3.13</v>
      </c>
      <c r="G4658" s="1" t="n">
        <v>27.99</v>
      </c>
      <c r="H4658" s="1" t="n">
        <v>0</v>
      </c>
      <c r="I4658" s="1" t="n">
        <v>0.71</v>
      </c>
      <c r="J4658" t="n">
        <v>42404010</v>
      </c>
    </row>
    <row r="4659" ht="15.75" customHeight="1" s="201">
      <c r="A4659" s="1" t="inlineStr">
        <is>
          <t>Nuts, coconut meat, dried (desiccated), sweetened, shredded</t>
        </is>
      </c>
      <c r="C4659" s="1" t="n">
        <v>47.67</v>
      </c>
      <c r="D4659" s="1" t="n">
        <v>8</v>
      </c>
      <c r="E4659" s="1" t="n">
        <v>1.92</v>
      </c>
      <c r="F4659" s="1" t="n">
        <v>2.88</v>
      </c>
      <c r="G4659" s="1" t="n">
        <v>35.49</v>
      </c>
      <c r="H4659" s="1" t="n">
        <v>0</v>
      </c>
      <c r="I4659" s="1" t="n">
        <v>1.82</v>
      </c>
      <c r="J4659" t="n">
        <v>42404010</v>
      </c>
    </row>
    <row r="4660" ht="15.75" customHeight="1" s="201">
      <c r="A4660" s="1" t="inlineStr">
        <is>
          <t>Nuts, coconut meat, dried (desiccated), toasted</t>
        </is>
      </c>
      <c r="C4660" s="1" t="n">
        <v>44.4</v>
      </c>
      <c r="D4660" s="1" t="n">
        <v>9</v>
      </c>
      <c r="E4660" s="1" t="n">
        <v>3.39</v>
      </c>
      <c r="F4660" s="1" t="n">
        <v>5.3</v>
      </c>
      <c r="G4660" s="1" t="n">
        <v>47</v>
      </c>
      <c r="H4660" s="1" t="n">
        <v>0</v>
      </c>
      <c r="I4660" s="1" t="n">
        <v>2.05</v>
      </c>
      <c r="J4660" t="n">
        <v>42404010</v>
      </c>
    </row>
    <row r="4661" ht="15.75" customHeight="1" s="201">
      <c r="A4661" s="1" t="inlineStr">
        <is>
          <t>Nuts, coconut meat, raw</t>
        </is>
      </c>
      <c r="C4661" s="1" t="n">
        <v>15.23</v>
      </c>
      <c r="D4661" s="1" t="n">
        <v>26</v>
      </c>
      <c r="E4661" s="1" t="n">
        <v>2.43</v>
      </c>
      <c r="F4661" s="1" t="n">
        <v>3.33</v>
      </c>
      <c r="G4661" s="1" t="n">
        <v>33.49</v>
      </c>
      <c r="H4661" s="1" t="n">
        <v>0</v>
      </c>
      <c r="I4661" s="1" t="n">
        <v>1.1</v>
      </c>
      <c r="J4661" t="n">
        <v>42404010</v>
      </c>
    </row>
    <row r="4662" ht="15.75" customHeight="1" s="201">
      <c r="A4662" s="1" t="inlineStr">
        <is>
          <t>Nuts, coconut milk, canned (liquid expressed from grated meat and water)</t>
        </is>
      </c>
      <c r="C4662" s="1" t="n">
        <v>2.81</v>
      </c>
      <c r="D4662" s="1" t="n">
        <v>14</v>
      </c>
      <c r="E4662" s="1" t="n">
        <v>3.3</v>
      </c>
      <c r="F4662" s="1" t="n">
        <v>2.02</v>
      </c>
      <c r="G4662" s="1" t="n">
        <v>21.33</v>
      </c>
      <c r="H4662" s="1" t="n">
        <v>0</v>
      </c>
      <c r="I4662" s="1" t="n">
        <v>0.5600000000000001</v>
      </c>
      <c r="J4662" t="n">
        <v>42404010</v>
      </c>
    </row>
    <row r="4663" ht="15.75" customHeight="1" s="201">
      <c r="A4663" s="1" t="inlineStr">
        <is>
          <t>Nuts, coconut milk, frozen (liquid expressed from grated meat and water)</t>
        </is>
      </c>
      <c r="C4663" s="1" t="n">
        <v>5.58</v>
      </c>
      <c r="D4663" s="1" t="n">
        <v>14</v>
      </c>
      <c r="E4663" s="1" t="n">
        <v>0.8100000000000001</v>
      </c>
      <c r="F4663" s="1" t="n">
        <v>1.61</v>
      </c>
      <c r="G4663" s="1" t="n">
        <v>20.8</v>
      </c>
      <c r="H4663" s="1" t="n">
        <v>0</v>
      </c>
      <c r="I4663" s="1" t="n">
        <v>0.59</v>
      </c>
      <c r="J4663" t="n">
        <v>42404010</v>
      </c>
    </row>
    <row r="4664" ht="15.75" customHeight="1" s="201">
      <c r="A4664" s="1" t="inlineStr">
        <is>
          <t>Nuts, coconut milk, raw (liquid expressed from grated meat and water)</t>
        </is>
      </c>
      <c r="C4664" s="1" t="n">
        <v>5.54</v>
      </c>
      <c r="D4664" s="1" t="n">
        <v>16</v>
      </c>
      <c r="E4664" s="1" t="n">
        <v>1.64</v>
      </c>
      <c r="F4664" s="1" t="n">
        <v>2.29</v>
      </c>
      <c r="G4664" s="1" t="n">
        <v>23.84</v>
      </c>
      <c r="H4664" s="1" t="n">
        <v>0</v>
      </c>
      <c r="I4664" s="1" t="n">
        <v>0.67</v>
      </c>
      <c r="J4664" t="n">
        <v>42404010</v>
      </c>
    </row>
    <row r="4665" ht="15.75" customHeight="1" s="201">
      <c r="A4665" s="1" t="inlineStr">
        <is>
          <t>Nuts, coconut water (liquid from coconuts)</t>
        </is>
      </c>
      <c r="C4665" s="1" t="n">
        <v>3.71</v>
      </c>
      <c r="D4665" s="1" t="n">
        <v>3</v>
      </c>
      <c r="E4665" s="1" t="n">
        <v>0.29</v>
      </c>
      <c r="F4665" s="1" t="n">
        <v>0.72</v>
      </c>
      <c r="G4665" s="1" t="n">
        <v>0.2</v>
      </c>
      <c r="H4665" s="1" t="n">
        <v>0</v>
      </c>
      <c r="I4665" s="1" t="n">
        <v>0.1</v>
      </c>
      <c r="J4665" t="n">
        <v>42404010</v>
      </c>
    </row>
    <row r="4666" ht="15.75" customHeight="1" s="201">
      <c r="A4666" s="1" t="inlineStr">
        <is>
          <t>Nuts, formulated, wheat-based, all flavors except macadamia, without salt</t>
        </is>
      </c>
      <c r="C4666" s="1" t="n">
        <v>20.79</v>
      </c>
      <c r="D4666" s="1" t="n">
        <v>125</v>
      </c>
      <c r="E4666" s="1" t="n">
        <v>2.6</v>
      </c>
      <c r="F4666" s="1" t="n">
        <v>13.11</v>
      </c>
      <c r="G4666" s="1" t="n">
        <v>62.3</v>
      </c>
      <c r="H4666" s="1" t="n">
        <v>1</v>
      </c>
      <c r="I4666" s="1" t="n">
        <v>2.96</v>
      </c>
      <c r="J4666" t="n">
        <v>54338000</v>
      </c>
    </row>
    <row r="4667" ht="15.75" customHeight="1" s="201">
      <c r="A4667" s="1" t="inlineStr">
        <is>
          <t>Nuts, formulated, wheat-based, unflavored, with salt added</t>
        </is>
      </c>
      <c r="C4667" s="1" t="n">
        <v>23.68</v>
      </c>
      <c r="D4667" s="1" t="n">
        <v>142</v>
      </c>
      <c r="E4667" s="1" t="n">
        <v>2.4</v>
      </c>
      <c r="F4667" s="1" t="n">
        <v>13.82</v>
      </c>
      <c r="G4667" s="1" t="n">
        <v>57.7</v>
      </c>
      <c r="H4667" s="1" t="n">
        <v>1</v>
      </c>
      <c r="I4667" s="1" t="n">
        <v>2.94</v>
      </c>
      <c r="J4667" t="n">
        <v>54338000</v>
      </c>
    </row>
    <row r="4668" ht="15.75" customHeight="1" s="201">
      <c r="A4668" s="1" t="inlineStr">
        <is>
          <t>Nuts, ginkgo nuts, canned</t>
        </is>
      </c>
      <c r="C4668" s="1" t="n">
        <v>22.1</v>
      </c>
      <c r="D4668" s="1" t="n">
        <v>33</v>
      </c>
      <c r="E4668" s="1" t="n">
        <v>0.29</v>
      </c>
      <c r="F4668" s="1" t="n">
        <v>2.29</v>
      </c>
      <c r="G4668" s="1" t="n">
        <v>1.62</v>
      </c>
      <c r="H4668" s="1" t="n">
        <v>337</v>
      </c>
      <c r="I4668" s="1" t="n">
        <v>0.21</v>
      </c>
      <c r="J4668" t="n">
        <v>51161050</v>
      </c>
    </row>
    <row r="4669" ht="15.75" customHeight="1" s="201">
      <c r="A4669" s="1" t="inlineStr">
        <is>
          <t>Nuts, ginkgo nuts, dried</t>
        </is>
      </c>
      <c r="C4669" s="1" t="n">
        <v>72.45</v>
      </c>
      <c r="D4669" s="1" t="n">
        <v>106</v>
      </c>
      <c r="E4669" s="1" t="n">
        <v>1.6</v>
      </c>
      <c r="F4669" s="1" t="n">
        <v>10.35</v>
      </c>
      <c r="G4669" s="1" t="n">
        <v>2</v>
      </c>
      <c r="H4669" s="1" t="n">
        <v>1091</v>
      </c>
      <c r="I4669" s="1" t="n">
        <v>0.67</v>
      </c>
      <c r="J4669" t="n">
        <v>51161050</v>
      </c>
    </row>
    <row r="4670" ht="15.75" customHeight="1" s="201">
      <c r="A4670" s="1" t="inlineStr">
        <is>
          <t>Nuts, ginkgo nuts, raw</t>
        </is>
      </c>
      <c r="C4670" s="1" t="n">
        <v>37.6</v>
      </c>
      <c r="D4670" s="1" t="n">
        <v>54</v>
      </c>
      <c r="E4670" s="1" t="n">
        <v>1</v>
      </c>
      <c r="F4670" s="1" t="n">
        <v>4.32</v>
      </c>
      <c r="G4670" s="1" t="n">
        <v>1.68</v>
      </c>
      <c r="H4670" s="1" t="n">
        <v>558</v>
      </c>
      <c r="I4670" s="1" t="n">
        <v>0.34</v>
      </c>
      <c r="J4670" t="n">
        <v>51161050</v>
      </c>
    </row>
    <row r="4671" ht="15.75" customHeight="1" s="201">
      <c r="A4671" s="1" t="inlineStr">
        <is>
          <t>Nuts, hazelnuts or filberts</t>
        </is>
      </c>
      <c r="C4671" s="1" t="n">
        <v>16.7</v>
      </c>
      <c r="D4671" s="1" t="n">
        <v>113</v>
      </c>
      <c r="E4671" s="1" t="n">
        <v>4.7</v>
      </c>
      <c r="F4671" s="1" t="n">
        <v>14.95</v>
      </c>
      <c r="G4671" s="1" t="n">
        <v>60.75</v>
      </c>
      <c r="H4671" s="1" t="n">
        <v>20</v>
      </c>
      <c r="I4671" s="1" t="n">
        <v>2.45</v>
      </c>
      <c r="J4671" t="n">
        <v>51161050</v>
      </c>
    </row>
    <row r="4672" ht="15.75" customHeight="1" s="201">
      <c r="A4672" s="1" t="inlineStr">
        <is>
          <t>Nuts, hazelnuts or filberts, blanched</t>
        </is>
      </c>
      <c r="C4672" s="1" t="n">
        <v>17</v>
      </c>
      <c r="D4672" s="1" t="n">
        <v>78</v>
      </c>
      <c r="E4672" s="1" t="n">
        <v>3.3</v>
      </c>
      <c r="F4672" s="1" t="n">
        <v>13.7</v>
      </c>
      <c r="G4672" s="1" t="n">
        <v>61.15</v>
      </c>
      <c r="H4672" s="1" t="n">
        <v>40</v>
      </c>
      <c r="I4672" s="1" t="n">
        <v>2.2</v>
      </c>
      <c r="J4672" t="n">
        <v>51161050</v>
      </c>
    </row>
    <row r="4673" ht="15.75" customHeight="1" s="201">
      <c r="A4673" s="1" t="inlineStr">
        <is>
          <t>Nuts, hazelnuts or filberts, dry roasted, without salt added</t>
        </is>
      </c>
      <c r="C4673" s="1" t="n">
        <v>17.6</v>
      </c>
      <c r="D4673" s="1" t="n">
        <v>88</v>
      </c>
      <c r="E4673" s="1" t="n">
        <v>4.38</v>
      </c>
      <c r="F4673" s="1" t="n">
        <v>15.03</v>
      </c>
      <c r="G4673" s="1" t="n">
        <v>62.4</v>
      </c>
      <c r="H4673" s="1" t="n">
        <v>61</v>
      </c>
      <c r="I4673" s="1" t="n">
        <v>2.5</v>
      </c>
      <c r="J4673" t="n">
        <v>42110150</v>
      </c>
    </row>
    <row r="4674" ht="15.75" customHeight="1" s="201">
      <c r="A4674" s="1" t="inlineStr">
        <is>
          <t>Nuts, hickorynuts, dried</t>
        </is>
      </c>
      <c r="C4674" s="1" t="n">
        <v>18.25</v>
      </c>
      <c r="D4674" s="1" t="n">
        <v>40</v>
      </c>
      <c r="E4674" s="1" t="n">
        <v>2.12</v>
      </c>
      <c r="F4674" s="1" t="n">
        <v>12.72</v>
      </c>
      <c r="G4674" s="1" t="n">
        <v>64.37</v>
      </c>
      <c r="H4674" s="1" t="n">
        <v>131</v>
      </c>
      <c r="I4674" s="1" t="n">
        <v>4.31</v>
      </c>
      <c r="J4674" t="n">
        <v>51161050</v>
      </c>
    </row>
    <row r="4675" ht="15.75" customHeight="1" s="201">
      <c r="A4675" s="1" t="inlineStr">
        <is>
          <t>Nuts, macadamia nuts, dry roasted, with salt added</t>
        </is>
      </c>
      <c r="C4675" s="1" t="n">
        <v>12.83</v>
      </c>
      <c r="D4675" s="1" t="n">
        <v>10</v>
      </c>
      <c r="E4675" s="1" t="n">
        <v>2.65</v>
      </c>
      <c r="F4675" s="1" t="n">
        <v>7.79</v>
      </c>
      <c r="G4675" s="1" t="n">
        <v>76.08</v>
      </c>
      <c r="H4675" s="1" t="n">
        <v>0</v>
      </c>
      <c r="I4675" s="1" t="n">
        <v>1.29</v>
      </c>
      <c r="J4675" t="n">
        <v>75142550</v>
      </c>
    </row>
    <row r="4676" ht="15.75" customHeight="1" s="201">
      <c r="A4676" s="1" t="inlineStr">
        <is>
          <t>Nuts, macadamia nuts, dry roasted, without salt added</t>
        </is>
      </c>
      <c r="C4676" s="1" t="n">
        <v>13.38</v>
      </c>
      <c r="D4676" s="1" t="n">
        <v>10</v>
      </c>
      <c r="E4676" s="1" t="n">
        <v>2.65</v>
      </c>
      <c r="F4676" s="1" t="n">
        <v>7.79</v>
      </c>
      <c r="G4676" s="1" t="n">
        <v>76.08</v>
      </c>
      <c r="H4676" s="1" t="n">
        <v>0</v>
      </c>
      <c r="I4676" s="1" t="n">
        <v>1.29</v>
      </c>
      <c r="J4676" t="n">
        <v>42110150</v>
      </c>
    </row>
    <row r="4677" ht="15.75" customHeight="1" s="201">
      <c r="A4677" s="1" t="inlineStr">
        <is>
          <t>Nuts, macadamia nuts, raw</t>
        </is>
      </c>
      <c r="C4677" s="1" t="n">
        <v>13.82</v>
      </c>
      <c r="D4677" s="1" t="n">
        <v>11</v>
      </c>
      <c r="E4677" s="1" t="n">
        <v>3.69</v>
      </c>
      <c r="F4677" s="1" t="n">
        <v>7.91</v>
      </c>
      <c r="G4677" s="1" t="n">
        <v>75.77</v>
      </c>
      <c r="H4677" s="1" t="n">
        <v>0</v>
      </c>
      <c r="I4677" s="1" t="n">
        <v>1.3</v>
      </c>
      <c r="J4677" t="n">
        <v>51161050</v>
      </c>
    </row>
    <row r="4678" ht="15.75" customHeight="1" s="201">
      <c r="A4678" s="1" t="inlineStr">
        <is>
          <t>Nuts, mixed nuts, dry roasted, with peanuts, salt added, CHOSEN ROASTER</t>
        </is>
      </c>
      <c r="C4678" s="1" t="n">
        <v>24.62</v>
      </c>
      <c r="D4678" s="1" t="n">
        <v>60</v>
      </c>
      <c r="E4678" s="1" t="n">
        <v>3.22</v>
      </c>
      <c r="F4678" s="1" t="n">
        <v>18</v>
      </c>
      <c r="G4678" s="1" t="n">
        <v>53.2</v>
      </c>
      <c r="I4678" s="1" t="n">
        <v>3.76</v>
      </c>
      <c r="J4678" t="n">
        <v>75142550</v>
      </c>
    </row>
    <row r="4679" ht="15.75" customHeight="1" s="201">
      <c r="A4679" s="1" t="inlineStr">
        <is>
          <t>Nuts, mixed nuts, dry roasted, with peanuts, salt added, PLANTERS pistachio blend</t>
        </is>
      </c>
      <c r="C4679" s="1" t="n">
        <v>23.07</v>
      </c>
      <c r="D4679" s="1" t="n">
        <v>60</v>
      </c>
      <c r="E4679" s="1" t="n">
        <v>3.43</v>
      </c>
      <c r="F4679" s="1" t="n">
        <v>23.28</v>
      </c>
      <c r="G4679" s="1" t="n">
        <v>47.52</v>
      </c>
      <c r="H4679" s="1" t="n">
        <v>90</v>
      </c>
      <c r="I4679" s="1" t="n">
        <v>3.42</v>
      </c>
      <c r="J4679" t="n">
        <v>75142550</v>
      </c>
    </row>
    <row r="4680" ht="15.75" customHeight="1" s="201">
      <c r="A4680" s="1" t="inlineStr">
        <is>
          <t>Nuts, mixed nuts, dry roasted, with peanuts, with salt added</t>
        </is>
      </c>
      <c r="C4680" s="1" t="n">
        <v>25.35</v>
      </c>
      <c r="D4680" s="1" t="n">
        <v>50</v>
      </c>
      <c r="E4680" s="1" t="n">
        <v>3.7</v>
      </c>
      <c r="F4680" s="1" t="n">
        <v>17.3</v>
      </c>
      <c r="G4680" s="1" t="n">
        <v>51.45</v>
      </c>
      <c r="H4680" s="1" t="n">
        <v>5</v>
      </c>
      <c r="I4680" s="1" t="n">
        <v>3.8</v>
      </c>
      <c r="J4680" t="n">
        <v>75142550</v>
      </c>
    </row>
    <row r="4681" ht="15.75" customHeight="1" s="201">
      <c r="A4681" s="1" t="inlineStr">
        <is>
          <t>Nuts, mixed nuts, dry roasted, with peanuts, without salt added</t>
        </is>
      </c>
      <c r="C4681" s="1" t="n">
        <v>22.42</v>
      </c>
      <c r="D4681" s="1" t="n">
        <v>60</v>
      </c>
      <c r="E4681" s="1" t="n">
        <v>3.73</v>
      </c>
      <c r="F4681" s="1" t="n">
        <v>19.5</v>
      </c>
      <c r="G4681" s="1" t="n">
        <v>53.5</v>
      </c>
      <c r="H4681" s="1" t="n">
        <v>4</v>
      </c>
      <c r="I4681" s="1" t="n">
        <v>4.06</v>
      </c>
      <c r="J4681" t="n">
        <v>75142550</v>
      </c>
    </row>
    <row r="4682" ht="15.75" customHeight="1" s="201">
      <c r="A4682" s="1" t="inlineStr">
        <is>
          <t>Nuts, mixed nuts, oil roasted, with peanuts, lightly salted</t>
        </is>
      </c>
      <c r="C4682" s="1" t="n">
        <v>21.05</v>
      </c>
      <c r="D4682" s="1" t="n">
        <v>83</v>
      </c>
      <c r="E4682" s="1" t="n">
        <v>2.61</v>
      </c>
      <c r="F4682" s="1" t="n">
        <v>20.04</v>
      </c>
      <c r="G4682" s="1" t="n">
        <v>53.95</v>
      </c>
      <c r="H4682" s="1" t="n">
        <v>3</v>
      </c>
      <c r="I4682" s="1" t="n">
        <v>3.36</v>
      </c>
      <c r="J4682" t="n">
        <v>75142550</v>
      </c>
    </row>
    <row r="4683" ht="15.75" customHeight="1" s="201">
      <c r="A4683" s="1" t="inlineStr">
        <is>
          <t>Nuts, mixed nuts, oil roasted, with peanuts, with salt added</t>
        </is>
      </c>
      <c r="C4683" s="1" t="n">
        <v>21.05</v>
      </c>
      <c r="D4683" s="1" t="n">
        <v>83</v>
      </c>
      <c r="E4683" s="1" t="n">
        <v>2.61</v>
      </c>
      <c r="F4683" s="1" t="n">
        <v>20.04</v>
      </c>
      <c r="G4683" s="1" t="n">
        <v>53.95</v>
      </c>
      <c r="H4683" s="1" t="n">
        <v>3</v>
      </c>
      <c r="I4683" s="1" t="n">
        <v>3.36</v>
      </c>
      <c r="J4683" t="n">
        <v>75142550</v>
      </c>
    </row>
    <row r="4684" ht="15.75" customHeight="1" s="201">
      <c r="A4684" s="1" t="inlineStr">
        <is>
          <t>Nuts, mixed nuts, oil roasted, with peanuts, without salt added</t>
        </is>
      </c>
      <c r="C4684" s="1" t="n">
        <v>21.05</v>
      </c>
      <c r="D4684" s="1" t="n">
        <v>83</v>
      </c>
      <c r="E4684" s="1" t="n">
        <v>2.61</v>
      </c>
      <c r="F4684" s="1" t="n">
        <v>20.04</v>
      </c>
      <c r="G4684" s="1" t="n">
        <v>53.95</v>
      </c>
      <c r="H4684" s="1" t="n">
        <v>3</v>
      </c>
      <c r="I4684" s="1" t="n">
        <v>3.36</v>
      </c>
      <c r="J4684" t="n">
        <v>75142550</v>
      </c>
    </row>
    <row r="4685" ht="15.75" customHeight="1" s="201">
      <c r="A4685" s="1" t="inlineStr">
        <is>
          <t>Nuts, mixed nuts, oil roasted, without peanuts, lightly salted</t>
        </is>
      </c>
      <c r="C4685" s="1" t="n">
        <v>25</v>
      </c>
      <c r="D4685" s="1" t="n">
        <v>104</v>
      </c>
      <c r="E4685" s="1" t="n">
        <v>5.18</v>
      </c>
      <c r="F4685" s="1" t="n">
        <v>17.86</v>
      </c>
      <c r="G4685" s="1" t="n">
        <v>50</v>
      </c>
      <c r="H4685" s="1" t="n">
        <v>27</v>
      </c>
      <c r="I4685" s="1" t="n">
        <v>4.57</v>
      </c>
      <c r="J4685" t="n">
        <v>42110150</v>
      </c>
    </row>
    <row r="4686" ht="15.75" customHeight="1" s="201">
      <c r="A4686" s="1" t="inlineStr">
        <is>
          <t>Nuts, mixed nuts, oil roasted, without peanuts, with salt added</t>
        </is>
      </c>
      <c r="C4686" s="1" t="n">
        <v>22.27</v>
      </c>
      <c r="D4686" s="1" t="n">
        <v>56</v>
      </c>
      <c r="E4686" s="1" t="n">
        <v>2.57</v>
      </c>
      <c r="F4686" s="1" t="n">
        <v>15.52</v>
      </c>
      <c r="G4686" s="1" t="n">
        <v>56.17</v>
      </c>
      <c r="H4686" s="1" t="n">
        <v>8</v>
      </c>
      <c r="I4686" s="1" t="n">
        <v>4.66</v>
      </c>
      <c r="J4686" t="n">
        <v>75142550</v>
      </c>
    </row>
    <row r="4687" ht="15.75" customHeight="1" s="201">
      <c r="A4687" s="1" t="inlineStr">
        <is>
          <t>Nuts, mixed nuts, oil roasted, without peanuts, without salt added</t>
        </is>
      </c>
      <c r="C4687" s="1" t="n">
        <v>22.27</v>
      </c>
      <c r="D4687" s="1" t="n">
        <v>56</v>
      </c>
      <c r="E4687" s="1" t="n">
        <v>2.57</v>
      </c>
      <c r="F4687" s="1" t="n">
        <v>15.52</v>
      </c>
      <c r="G4687" s="1" t="n">
        <v>56.17</v>
      </c>
      <c r="H4687" s="1" t="n">
        <v>20</v>
      </c>
      <c r="I4687" s="1" t="n">
        <v>4.66</v>
      </c>
      <c r="J4687" t="n">
        <v>42110150</v>
      </c>
    </row>
    <row r="4688" ht="15.75" customHeight="1" s="201">
      <c r="A4688" s="1" t="inlineStr">
        <is>
          <t>Nuts, pecans</t>
        </is>
      </c>
      <c r="C4688" s="1" t="n">
        <v>13.86</v>
      </c>
      <c r="D4688" s="1" t="n">
        <v>22</v>
      </c>
      <c r="E4688" s="1" t="n">
        <v>2.53</v>
      </c>
      <c r="F4688" s="1" t="n">
        <v>9.17</v>
      </c>
      <c r="G4688" s="1" t="n">
        <v>71.97</v>
      </c>
      <c r="H4688" s="1" t="n">
        <v>56</v>
      </c>
      <c r="I4688" s="1" t="n">
        <v>4.53</v>
      </c>
      <c r="J4688" t="n">
        <v>51161050</v>
      </c>
    </row>
    <row r="4689" ht="15.75" customHeight="1" s="201">
      <c r="A4689" s="1" t="inlineStr">
        <is>
          <t>Nuts, pecans, dry roasted, with salt added</t>
        </is>
      </c>
      <c r="C4689" s="1" t="n">
        <v>13.55</v>
      </c>
      <c r="D4689" s="1" t="n">
        <v>16</v>
      </c>
      <c r="E4689" s="1" t="n">
        <v>2.8</v>
      </c>
      <c r="F4689" s="1" t="n">
        <v>9.5</v>
      </c>
      <c r="G4689" s="1" t="n">
        <v>74.27</v>
      </c>
      <c r="H4689" s="1" t="n">
        <v>140</v>
      </c>
      <c r="I4689" s="1" t="n">
        <v>5.07</v>
      </c>
      <c r="J4689" t="n">
        <v>75142550</v>
      </c>
    </row>
    <row r="4690" ht="15.75" customHeight="1" s="201">
      <c r="A4690" s="1" t="inlineStr">
        <is>
          <t>Nuts, pecans, dry roasted, without salt added</t>
        </is>
      </c>
      <c r="C4690" s="1" t="n">
        <v>13.55</v>
      </c>
      <c r="D4690" s="1" t="n">
        <v>16</v>
      </c>
      <c r="E4690" s="1" t="n">
        <v>2.8</v>
      </c>
      <c r="F4690" s="1" t="n">
        <v>9.5</v>
      </c>
      <c r="G4690" s="1" t="n">
        <v>74.27</v>
      </c>
      <c r="H4690" s="1" t="n">
        <v>140</v>
      </c>
      <c r="I4690" s="1" t="n">
        <v>5.07</v>
      </c>
      <c r="J4690" t="n">
        <v>42110150</v>
      </c>
    </row>
    <row r="4691" ht="15.75" customHeight="1" s="201">
      <c r="A4691" s="1" t="inlineStr">
        <is>
          <t>Nuts, pecans, oil roasted, with salt added</t>
        </is>
      </c>
      <c r="C4691" s="1" t="n">
        <v>13.01</v>
      </c>
      <c r="D4691" s="1" t="n">
        <v>15</v>
      </c>
      <c r="E4691" s="1" t="n">
        <v>2.47</v>
      </c>
      <c r="F4691" s="1" t="n">
        <v>9.199999999999999</v>
      </c>
      <c r="G4691" s="1" t="n">
        <v>75.23</v>
      </c>
      <c r="H4691" s="1" t="n">
        <v>104</v>
      </c>
      <c r="I4691" s="1" t="n">
        <v>4.47</v>
      </c>
      <c r="J4691" t="n">
        <v>75142550</v>
      </c>
    </row>
    <row r="4692" ht="15.75" customHeight="1" s="201">
      <c r="A4692" s="1" t="inlineStr">
        <is>
          <t>Nuts, pecans, oil roasted, without salt added</t>
        </is>
      </c>
      <c r="C4692" s="1" t="n">
        <v>13.01</v>
      </c>
      <c r="D4692" s="1" t="n">
        <v>15</v>
      </c>
      <c r="E4692" s="1" t="n">
        <v>2.47</v>
      </c>
      <c r="F4692" s="1" t="n">
        <v>9.199999999999999</v>
      </c>
      <c r="G4692" s="1" t="n">
        <v>75.23</v>
      </c>
      <c r="H4692" s="1" t="n">
        <v>104</v>
      </c>
      <c r="I4692" s="1" t="n">
        <v>4.47</v>
      </c>
      <c r="J4692" t="n">
        <v>42110150</v>
      </c>
    </row>
    <row r="4693" ht="15.75" customHeight="1" s="201">
      <c r="A4693" s="1" t="inlineStr">
        <is>
          <t>Nuts, pilinuts, dried</t>
        </is>
      </c>
      <c r="C4693" s="1" t="n">
        <v>3.98</v>
      </c>
      <c r="D4693" s="1" t="n">
        <v>60</v>
      </c>
      <c r="E4693" s="1" t="n">
        <v>3.53</v>
      </c>
      <c r="F4693" s="1" t="n">
        <v>10.8</v>
      </c>
      <c r="G4693" s="1" t="n">
        <v>79.55</v>
      </c>
      <c r="H4693" s="1" t="n">
        <v>41</v>
      </c>
      <c r="I4693" s="1" t="n">
        <v>2.97</v>
      </c>
      <c r="J4693" t="n">
        <v>51161050</v>
      </c>
    </row>
    <row r="4694" ht="15.75" customHeight="1" s="201">
      <c r="A4694" s="1" t="inlineStr">
        <is>
          <t>Nuts, pine nuts, dried</t>
        </is>
      </c>
      <c r="C4694" s="1" t="n">
        <v>13.08</v>
      </c>
      <c r="D4694" s="1" t="n">
        <v>34</v>
      </c>
      <c r="E4694" s="1" t="n">
        <v>5.53</v>
      </c>
      <c r="F4694" s="1" t="n">
        <v>13.69</v>
      </c>
      <c r="G4694" s="1" t="n">
        <v>68.37</v>
      </c>
      <c r="H4694" s="1" t="n">
        <v>29</v>
      </c>
      <c r="I4694" s="1" t="n">
        <v>6.45</v>
      </c>
      <c r="J4694" t="n">
        <v>51161050</v>
      </c>
    </row>
    <row r="4695" ht="15.75" customHeight="1" s="201">
      <c r="A4695" s="1" t="inlineStr">
        <is>
          <t>Nuts, pine nuts, pinyon, dried</t>
        </is>
      </c>
      <c r="C4695" s="1" t="n">
        <v>19.3</v>
      </c>
      <c r="D4695" s="1" t="n">
        <v>58</v>
      </c>
      <c r="E4695" s="1" t="n">
        <v>3.06</v>
      </c>
      <c r="F4695" s="1" t="n">
        <v>11.57</v>
      </c>
      <c r="G4695" s="1" t="n">
        <v>60.98</v>
      </c>
      <c r="H4695" s="1" t="n">
        <v>29</v>
      </c>
      <c r="I4695" s="1" t="n">
        <v>4.28</v>
      </c>
      <c r="J4695" t="n">
        <v>51161050</v>
      </c>
    </row>
    <row r="4696" ht="15.75" customHeight="1" s="201">
      <c r="A4696" s="1" t="inlineStr">
        <is>
          <t>Nuts, pistachio nuts, dry roasted, with salt added</t>
        </is>
      </c>
      <c r="C4696" s="1" t="n">
        <v>27.55</v>
      </c>
      <c r="D4696" s="1" t="n">
        <v>51</v>
      </c>
      <c r="E4696" s="1" t="n">
        <v>4.03</v>
      </c>
      <c r="F4696" s="1" t="n">
        <v>21.05</v>
      </c>
      <c r="G4696" s="1" t="n">
        <v>45.82</v>
      </c>
      <c r="H4696" s="1" t="n">
        <v>266</v>
      </c>
      <c r="I4696" s="1" t="n">
        <v>2.34</v>
      </c>
      <c r="J4696" t="n">
        <v>75142550</v>
      </c>
    </row>
    <row r="4697" ht="15.75" customHeight="1" s="201">
      <c r="A4697" s="1" t="inlineStr">
        <is>
          <t>Nuts, pistachio nuts, dry roasted, without salt added</t>
        </is>
      </c>
      <c r="C4697" s="1" t="n">
        <v>28.28</v>
      </c>
      <c r="D4697" s="1" t="n">
        <v>51</v>
      </c>
      <c r="E4697" s="1" t="n">
        <v>4.03</v>
      </c>
      <c r="F4697" s="1" t="n">
        <v>21.05</v>
      </c>
      <c r="G4697" s="1" t="n">
        <v>45.82</v>
      </c>
      <c r="H4697" s="1" t="n">
        <v>266</v>
      </c>
      <c r="I4697" s="1" t="n">
        <v>2.34</v>
      </c>
      <c r="J4697" t="n">
        <v>42110150</v>
      </c>
    </row>
    <row r="4698" ht="15.75" customHeight="1" s="201">
      <c r="A4698" s="1" t="inlineStr">
        <is>
          <t>Nuts, pistachio nuts, raw</t>
        </is>
      </c>
      <c r="C4698" s="1" t="n">
        <v>27.17</v>
      </c>
      <c r="D4698" s="1" t="n">
        <v>51</v>
      </c>
      <c r="E4698" s="1" t="n">
        <v>3.92</v>
      </c>
      <c r="F4698" s="1" t="n">
        <v>20.16</v>
      </c>
      <c r="G4698" s="1" t="n">
        <v>45.32</v>
      </c>
      <c r="H4698" s="1" t="n">
        <v>516</v>
      </c>
      <c r="I4698" s="1" t="n">
        <v>2.2</v>
      </c>
      <c r="J4698" t="n">
        <v>51161050</v>
      </c>
    </row>
    <row r="4699" ht="15.75" customHeight="1" s="201">
      <c r="A4699" s="1" t="inlineStr">
        <is>
          <t>Nuts, walnuts, black, dried</t>
        </is>
      </c>
      <c r="C4699" s="1" t="n">
        <v>9.58</v>
      </c>
      <c r="D4699" s="1" t="n">
        <v>31</v>
      </c>
      <c r="E4699" s="1" t="n">
        <v>3.12</v>
      </c>
      <c r="F4699" s="1" t="n">
        <v>24.06</v>
      </c>
      <c r="G4699" s="1" t="n">
        <v>59.33</v>
      </c>
      <c r="H4699" s="1" t="n">
        <v>40</v>
      </c>
      <c r="I4699" s="1" t="n">
        <v>3.37</v>
      </c>
      <c r="J4699" t="n">
        <v>51161050</v>
      </c>
    </row>
    <row r="4700" ht="15.75" customHeight="1" s="201">
      <c r="A4700" s="1" t="inlineStr">
        <is>
          <t>Nuts, walnuts, dry roasted, with salt added</t>
        </is>
      </c>
      <c r="C4700" s="1" t="n">
        <v>17.86</v>
      </c>
      <c r="D4700" s="1" t="n">
        <v>91</v>
      </c>
      <c r="E4700" s="1" t="n">
        <v>2.57</v>
      </c>
      <c r="F4700" s="1" t="n">
        <v>14.29</v>
      </c>
      <c r="G4700" s="1" t="n">
        <v>60.71</v>
      </c>
      <c r="H4700" s="1" t="n">
        <v>19</v>
      </c>
      <c r="I4700" s="1" t="n">
        <v>2.98</v>
      </c>
      <c r="J4700" t="n">
        <v>75142550</v>
      </c>
    </row>
    <row r="4701" ht="15.75" customHeight="1" s="201">
      <c r="A4701" s="1" t="inlineStr">
        <is>
          <t>Nuts, walnuts, english</t>
        </is>
      </c>
      <c r="C4701" s="1" t="n">
        <v>13.71</v>
      </c>
      <c r="D4701" s="1" t="n">
        <v>98</v>
      </c>
      <c r="E4701" s="1" t="n">
        <v>2.91</v>
      </c>
      <c r="F4701" s="1" t="n">
        <v>15.23</v>
      </c>
      <c r="G4701" s="1" t="n">
        <v>65.20999999999999</v>
      </c>
      <c r="H4701" s="1" t="n">
        <v>20</v>
      </c>
      <c r="I4701" s="1" t="n">
        <v>3.09</v>
      </c>
      <c r="J4701" t="n">
        <v>51161050</v>
      </c>
    </row>
    <row r="4702" ht="15.75" customHeight="1" s="201">
      <c r="A4702" s="1" t="inlineStr">
        <is>
          <t>Nuts, walnuts, glazed</t>
        </is>
      </c>
      <c r="C4702" s="1" t="n">
        <v>47.59</v>
      </c>
      <c r="E4702" s="1" t="n">
        <v>1.29</v>
      </c>
      <c r="F4702" s="1" t="n">
        <v>8.279999999999999</v>
      </c>
      <c r="G4702" s="1" t="n">
        <v>35.71</v>
      </c>
      <c r="H4702" s="1" t="n">
        <v>0</v>
      </c>
      <c r="J4702" t="n">
        <v>51161050</v>
      </c>
    </row>
    <row r="4703" ht="15.75" customHeight="1" s="201">
      <c r="A4703" s="1" t="inlineStr">
        <is>
          <t>Oat bran, cooked</t>
        </is>
      </c>
      <c r="C4703" s="1" t="n">
        <v>11.44</v>
      </c>
      <c r="D4703" s="1" t="n">
        <v>6</v>
      </c>
      <c r="E4703" s="1" t="n">
        <v>0.88</v>
      </c>
      <c r="F4703" s="1" t="n">
        <v>3.21</v>
      </c>
      <c r="G4703" s="1" t="n">
        <v>0.86</v>
      </c>
      <c r="H4703" s="1" t="n">
        <v>0</v>
      </c>
      <c r="I4703" s="1" t="n">
        <v>0.53</v>
      </c>
      <c r="J4703" t="n">
        <v>51301010</v>
      </c>
    </row>
    <row r="4704" ht="15.75" customHeight="1" s="201">
      <c r="A4704" s="1" t="inlineStr">
        <is>
          <t>Oat bran, raw</t>
        </is>
      </c>
      <c r="C4704" s="1" t="n">
        <v>66.22</v>
      </c>
      <c r="D4704" s="1" t="n">
        <v>52</v>
      </c>
      <c r="E4704" s="1" t="n">
        <v>5.41</v>
      </c>
      <c r="F4704" s="1" t="n">
        <v>17.3</v>
      </c>
      <c r="G4704" s="1" t="n">
        <v>7.03</v>
      </c>
      <c r="H4704" s="1" t="n">
        <v>0</v>
      </c>
      <c r="I4704" s="1" t="n">
        <v>3.11</v>
      </c>
      <c r="J4704" t="n">
        <v>51301010</v>
      </c>
    </row>
    <row r="4705" ht="15.75" customHeight="1" s="201">
      <c r="A4705" s="1" t="inlineStr">
        <is>
          <t>Oat flour, partially debranned</t>
        </is>
      </c>
      <c r="C4705" s="1" t="n">
        <v>65.7</v>
      </c>
      <c r="D4705" s="1" t="n">
        <v>32</v>
      </c>
      <c r="E4705" s="1" t="n">
        <v>4</v>
      </c>
      <c r="F4705" s="1" t="n">
        <v>14.66</v>
      </c>
      <c r="G4705" s="1" t="n">
        <v>9.119999999999999</v>
      </c>
      <c r="H4705" s="1" t="n">
        <v>0</v>
      </c>
      <c r="I4705" s="1" t="n">
        <v>3.2</v>
      </c>
      <c r="J4705" t="n">
        <v>52215350</v>
      </c>
    </row>
    <row r="4706" ht="15.75" customHeight="1" s="201">
      <c r="A4706" s="1" t="inlineStr">
        <is>
          <t>Oats (Includes foods for USDA's Food Distribution Program)</t>
        </is>
      </c>
      <c r="C4706" s="1" t="n">
        <v>66.27</v>
      </c>
      <c r="D4706" s="1" t="n">
        <v>56</v>
      </c>
      <c r="E4706" s="1" t="n">
        <v>4.72</v>
      </c>
      <c r="F4706" s="1" t="n">
        <v>16.89</v>
      </c>
      <c r="G4706" s="1" t="n">
        <v>6.9</v>
      </c>
      <c r="H4706" s="1" t="n">
        <v>0</v>
      </c>
      <c r="I4706" s="1" t="n">
        <v>3.97</v>
      </c>
      <c r="J4706" t="n">
        <v>57237100</v>
      </c>
    </row>
    <row r="4707" ht="15.75" customHeight="1" s="201">
      <c r="A4707" s="1" t="inlineStr">
        <is>
          <t>Octopus (Alaska Native)</t>
        </is>
      </c>
      <c r="C4707" s="1" t="n">
        <v>0</v>
      </c>
      <c r="E4707" s="1" t="n">
        <v>4.9</v>
      </c>
      <c r="F4707" s="1" t="n">
        <v>12.3</v>
      </c>
      <c r="G4707" s="1" t="n">
        <v>0.8</v>
      </c>
      <c r="H4707" s="1" t="n">
        <v>0</v>
      </c>
      <c r="I4707" s="1" t="n">
        <v>1.43</v>
      </c>
    </row>
    <row r="4708" ht="15.75" customHeight="1" s="201">
      <c r="A4708" s="1" t="inlineStr">
        <is>
          <t>Oheloberries, raw</t>
        </is>
      </c>
      <c r="C4708" s="1" t="n">
        <v>6.84</v>
      </c>
      <c r="E4708" s="1" t="n">
        <v>0.09</v>
      </c>
      <c r="F4708" s="1" t="n">
        <v>0.38</v>
      </c>
      <c r="G4708" s="1" t="n">
        <v>0.22</v>
      </c>
      <c r="H4708" s="1" t="n">
        <v>830</v>
      </c>
    </row>
    <row r="4709" ht="15.75" customHeight="1" s="201">
      <c r="A4709" s="1" t="inlineStr">
        <is>
          <t>Oil, almond</t>
        </is>
      </c>
      <c r="C4709" s="1" t="n">
        <v>0</v>
      </c>
      <c r="D4709" s="1" t="n">
        <v>0</v>
      </c>
      <c r="E4709" s="1" t="n">
        <v>0</v>
      </c>
      <c r="F4709" s="1" t="n">
        <v>0</v>
      </c>
      <c r="G4709" s="1" t="n">
        <v>100</v>
      </c>
      <c r="H4709" s="1" t="n">
        <v>0</v>
      </c>
      <c r="I4709" s="1" t="n">
        <v>0</v>
      </c>
      <c r="J4709" t="n">
        <v>11350030</v>
      </c>
    </row>
    <row r="4710" ht="15.75" customHeight="1" s="201">
      <c r="A4710" s="1" t="inlineStr">
        <is>
          <t>Oil, apricot kernel</t>
        </is>
      </c>
      <c r="C4710" s="1" t="n">
        <v>0</v>
      </c>
      <c r="D4710" s="1" t="n">
        <v>0</v>
      </c>
      <c r="E4710" s="1" t="n">
        <v>0</v>
      </c>
      <c r="F4710" s="1" t="n">
        <v>0</v>
      </c>
      <c r="G4710" s="1" t="n">
        <v>100</v>
      </c>
      <c r="H4710" s="1" t="n">
        <v>0</v>
      </c>
      <c r="I4710" s="1" t="n">
        <v>0</v>
      </c>
      <c r="J4710" t="n">
        <v>63103010</v>
      </c>
    </row>
    <row r="4711" ht="15.75" customHeight="1" s="201">
      <c r="A4711" s="1" t="inlineStr">
        <is>
          <t>Oil, avocado</t>
        </is>
      </c>
      <c r="C4711" s="1" t="n">
        <v>0</v>
      </c>
      <c r="D4711" s="1" t="n">
        <v>0</v>
      </c>
      <c r="E4711" s="1" t="n">
        <v>0</v>
      </c>
      <c r="F4711" s="1" t="n">
        <v>0</v>
      </c>
      <c r="G4711" s="1" t="n">
        <v>100</v>
      </c>
      <c r="H4711" s="1" t="n">
        <v>0</v>
      </c>
      <c r="I4711" s="1" t="n">
        <v>0</v>
      </c>
      <c r="J4711" t="n">
        <v>27540361</v>
      </c>
    </row>
    <row r="4712" ht="15.75" customHeight="1" s="201">
      <c r="A4712" s="1" t="inlineStr">
        <is>
          <t>Oil, babassu</t>
        </is>
      </c>
      <c r="C4712" s="1" t="n">
        <v>0</v>
      </c>
      <c r="D4712" s="1" t="n">
        <v>0</v>
      </c>
      <c r="E4712" s="1" t="n">
        <v>0</v>
      </c>
      <c r="F4712" s="1" t="n">
        <v>0</v>
      </c>
      <c r="G4712" s="1" t="n">
        <v>100</v>
      </c>
      <c r="H4712" s="1" t="n">
        <v>0</v>
      </c>
      <c r="I4712" s="1" t="n">
        <v>0</v>
      </c>
    </row>
    <row r="4713" ht="15.75" customHeight="1" s="201">
      <c r="A4713" s="1" t="inlineStr">
        <is>
          <t>Oil, bearded seal (Oogruk) (Alaska Native)</t>
        </is>
      </c>
      <c r="C4713" s="1" t="n">
        <v>0</v>
      </c>
      <c r="D4713" s="1" t="n">
        <v>2</v>
      </c>
      <c r="E4713" s="1" t="n">
        <v>0</v>
      </c>
      <c r="F4713" s="1" t="n">
        <v>0.5600000000000001</v>
      </c>
      <c r="G4713" s="1" t="n">
        <v>99.59999999999999</v>
      </c>
      <c r="H4713" s="1" t="n">
        <v>33</v>
      </c>
      <c r="I4713" s="1" t="n">
        <v>0</v>
      </c>
    </row>
    <row r="4714" ht="15.75" customHeight="1" s="201">
      <c r="A4714" s="1" t="inlineStr">
        <is>
          <t>Oil, beluga, whale (Alaska Native)</t>
        </is>
      </c>
      <c r="C4714" s="1" t="n">
        <v>0</v>
      </c>
      <c r="E4714" s="1" t="n">
        <v>0</v>
      </c>
      <c r="F4714" s="1" t="n">
        <v>0</v>
      </c>
      <c r="G4714" s="1" t="n">
        <v>100</v>
      </c>
      <c r="H4714" s="1" t="n">
        <v>2310</v>
      </c>
      <c r="I4714" s="1" t="n">
        <v>0</v>
      </c>
    </row>
    <row r="4715" ht="15.75" customHeight="1" s="201">
      <c r="A4715" s="1" t="inlineStr">
        <is>
          <t>Oil, canola</t>
        </is>
      </c>
      <c r="C4715" s="1" t="n">
        <v>0</v>
      </c>
      <c r="D4715" s="1" t="n">
        <v>0</v>
      </c>
      <c r="E4715" s="1" t="n">
        <v>0</v>
      </c>
      <c r="F4715" s="1" t="n">
        <v>0</v>
      </c>
      <c r="G4715" s="1" t="n">
        <v>100</v>
      </c>
      <c r="H4715" s="1" t="n">
        <v>0</v>
      </c>
      <c r="I4715" s="1" t="n">
        <v>0</v>
      </c>
    </row>
    <row r="4716" ht="15.75" customHeight="1" s="201">
      <c r="A4716" s="1" t="inlineStr">
        <is>
          <t>Oil, cocoa butter</t>
        </is>
      </c>
      <c r="C4716" s="1" t="n">
        <v>0</v>
      </c>
      <c r="D4716" s="1" t="n">
        <v>0</v>
      </c>
      <c r="E4716" s="1" t="n">
        <v>0</v>
      </c>
      <c r="F4716" s="1" t="n">
        <v>0</v>
      </c>
      <c r="G4716" s="1" t="n">
        <v>100</v>
      </c>
      <c r="H4716" s="1" t="n">
        <v>0</v>
      </c>
      <c r="I4716" s="1" t="n">
        <v>0</v>
      </c>
      <c r="J4716" t="n">
        <v>54328100</v>
      </c>
    </row>
    <row r="4717" ht="15.75" customHeight="1" s="201">
      <c r="A4717" s="1" t="inlineStr">
        <is>
          <t>Oil, coconut</t>
        </is>
      </c>
      <c r="C4717" s="1" t="n">
        <v>0</v>
      </c>
      <c r="D4717" s="1" t="n">
        <v>0</v>
      </c>
      <c r="E4717" s="1" t="n">
        <v>0.05</v>
      </c>
      <c r="F4717" s="1" t="n">
        <v>0</v>
      </c>
      <c r="G4717" s="1" t="n">
        <v>99.06</v>
      </c>
      <c r="H4717" s="1" t="n">
        <v>0</v>
      </c>
      <c r="I4717" s="1" t="n">
        <v>0.02</v>
      </c>
      <c r="J4717" t="n">
        <v>42404010</v>
      </c>
    </row>
    <row r="4718" ht="15.75" customHeight="1" s="201">
      <c r="A4718" s="1" t="inlineStr">
        <is>
          <t>Oil, cooking and salad, ENOVA, 80% diglycerides</t>
        </is>
      </c>
      <c r="C4718" s="1" t="n">
        <v>0</v>
      </c>
      <c r="F4718" s="1" t="n">
        <v>0</v>
      </c>
      <c r="G4718" s="1" t="n">
        <v>100</v>
      </c>
      <c r="J4718" t="n">
        <v>75143000</v>
      </c>
    </row>
    <row r="4719" ht="15.75" customHeight="1" s="201">
      <c r="A4719" s="1" t="inlineStr">
        <is>
          <t>Oil, corn and canola</t>
        </is>
      </c>
      <c r="C4719" s="1" t="n">
        <v>0</v>
      </c>
      <c r="D4719" s="1" t="n">
        <v>0</v>
      </c>
      <c r="E4719" s="1" t="n">
        <v>0</v>
      </c>
      <c r="F4719" s="1" t="n">
        <v>0</v>
      </c>
      <c r="G4719" s="1" t="n">
        <v>100</v>
      </c>
      <c r="H4719" s="1" t="n">
        <v>0</v>
      </c>
      <c r="I4719" s="1" t="n">
        <v>0</v>
      </c>
      <c r="J4719" t="n">
        <v>54401055</v>
      </c>
    </row>
    <row r="4720" ht="15.75" customHeight="1" s="201">
      <c r="A4720" s="1" t="inlineStr">
        <is>
          <t>Oil, corn, industrial and retail, all purpose salad or cooking</t>
        </is>
      </c>
      <c r="C4720" s="1" t="n">
        <v>0</v>
      </c>
      <c r="D4720" s="1" t="n">
        <v>0</v>
      </c>
      <c r="E4720" s="1" t="n">
        <v>0</v>
      </c>
      <c r="F4720" s="1" t="n">
        <v>0</v>
      </c>
      <c r="G4720" s="1" t="n">
        <v>100</v>
      </c>
      <c r="H4720" s="1" t="n">
        <v>0</v>
      </c>
      <c r="I4720" s="1" t="n">
        <v>0</v>
      </c>
      <c r="J4720" t="n">
        <v>75143000</v>
      </c>
    </row>
    <row r="4721" ht="15.75" customHeight="1" s="201">
      <c r="A4721" s="1" t="inlineStr">
        <is>
          <t>Oil, corn, peanut, and olive</t>
        </is>
      </c>
      <c r="C4721" s="1" t="n">
        <v>0</v>
      </c>
      <c r="D4721" s="1" t="n">
        <v>0</v>
      </c>
      <c r="E4721" s="1" t="n">
        <v>0.13</v>
      </c>
      <c r="F4721" s="1" t="n">
        <v>0</v>
      </c>
      <c r="G4721" s="1" t="n">
        <v>100</v>
      </c>
      <c r="H4721" s="1" t="n">
        <v>0</v>
      </c>
      <c r="I4721" s="1" t="n">
        <v>0.02</v>
      </c>
      <c r="J4721" t="n">
        <v>91734000</v>
      </c>
    </row>
    <row r="4722" ht="15.75" customHeight="1" s="201">
      <c r="A4722" s="1" t="inlineStr">
        <is>
          <t>Oil, cottonseed, salad or cooking</t>
        </is>
      </c>
      <c r="C4722" s="1" t="n">
        <v>0</v>
      </c>
      <c r="D4722" s="1" t="n">
        <v>0</v>
      </c>
      <c r="E4722" s="1" t="n">
        <v>0</v>
      </c>
      <c r="F4722" s="1" t="n">
        <v>0</v>
      </c>
      <c r="G4722" s="1" t="n">
        <v>100</v>
      </c>
      <c r="H4722" s="1" t="n">
        <v>0</v>
      </c>
      <c r="I4722" s="1" t="n">
        <v>0</v>
      </c>
      <c r="J4722" t="n">
        <v>75143000</v>
      </c>
    </row>
    <row r="4723" ht="15.75" customHeight="1" s="201">
      <c r="A4723" s="1" t="inlineStr">
        <is>
          <t>Oil, cupu assu</t>
        </is>
      </c>
      <c r="C4723" s="1" t="n">
        <v>0</v>
      </c>
      <c r="D4723" s="1" t="n">
        <v>0</v>
      </c>
      <c r="F4723" s="1" t="n">
        <v>0</v>
      </c>
      <c r="G4723" s="1" t="n">
        <v>100</v>
      </c>
      <c r="H4723" s="1" t="n">
        <v>0</v>
      </c>
      <c r="I4723" s="1" t="n">
        <v>0</v>
      </c>
    </row>
    <row r="4724" ht="15.75" customHeight="1" s="201">
      <c r="A4724" s="1" t="inlineStr">
        <is>
          <t>Oil, flaxseed, cold pressed</t>
        </is>
      </c>
      <c r="C4724" s="1" t="n">
        <v>0</v>
      </c>
      <c r="D4724" s="1" t="n">
        <v>0</v>
      </c>
      <c r="E4724" s="1" t="n">
        <v>0</v>
      </c>
      <c r="F4724" s="1" t="n">
        <v>0.11</v>
      </c>
      <c r="G4724" s="1" t="n">
        <v>99.98</v>
      </c>
      <c r="H4724" s="1" t="n">
        <v>0</v>
      </c>
      <c r="I4724" s="1" t="n">
        <v>0.07000000000000001</v>
      </c>
      <c r="J4724" t="n">
        <v>27560910</v>
      </c>
    </row>
    <row r="4725" ht="15.75" customHeight="1" s="201">
      <c r="A4725" s="1" t="inlineStr">
        <is>
          <t>Oil, flaxseed, contains added sliced flaxseed</t>
        </is>
      </c>
      <c r="C4725" s="1" t="n">
        <v>0.39</v>
      </c>
      <c r="E4725" s="1" t="n">
        <v>0.34</v>
      </c>
      <c r="F4725" s="1" t="n">
        <v>0.37</v>
      </c>
      <c r="G4725" s="1" t="n">
        <v>99.01000000000001</v>
      </c>
      <c r="I4725" s="1" t="n">
        <v>0.31</v>
      </c>
      <c r="J4725" t="n">
        <v>73103020</v>
      </c>
    </row>
    <row r="4726" ht="15.75" customHeight="1" s="201">
      <c r="A4726" s="1" t="inlineStr">
        <is>
          <t>Oil, grapeseed</t>
        </is>
      </c>
      <c r="C4726" s="1" t="n">
        <v>0</v>
      </c>
      <c r="D4726" s="1" t="n">
        <v>0</v>
      </c>
      <c r="E4726" s="1" t="n">
        <v>0</v>
      </c>
      <c r="F4726" s="1" t="n">
        <v>0</v>
      </c>
      <c r="G4726" s="1" t="n">
        <v>100</v>
      </c>
      <c r="H4726" s="1" t="n">
        <v>0</v>
      </c>
      <c r="I4726" s="1" t="n">
        <v>0</v>
      </c>
    </row>
    <row r="4727" ht="15.75" customHeight="1" s="201">
      <c r="A4727" s="1" t="inlineStr">
        <is>
          <t>Oil, hazelnut</t>
        </is>
      </c>
      <c r="C4727" s="1" t="n">
        <v>0</v>
      </c>
      <c r="D4727" s="1" t="n">
        <v>0</v>
      </c>
      <c r="E4727" s="1" t="n">
        <v>0</v>
      </c>
      <c r="F4727" s="1" t="n">
        <v>0</v>
      </c>
      <c r="G4727" s="1" t="n">
        <v>100</v>
      </c>
      <c r="H4727" s="1" t="n">
        <v>0</v>
      </c>
      <c r="I4727" s="1" t="n">
        <v>0</v>
      </c>
      <c r="J4727" t="n">
        <v>91705040</v>
      </c>
    </row>
    <row r="4728" ht="15.75" customHeight="1" s="201">
      <c r="A4728" s="1" t="inlineStr">
        <is>
          <t>Oil, industrial, canola (partially hydrogenated) oil for deep fat frying</t>
        </is>
      </c>
      <c r="C4728" s="1" t="n">
        <v>0</v>
      </c>
      <c r="D4728" s="1" t="n">
        <v>0</v>
      </c>
      <c r="E4728" s="1" t="n">
        <v>0</v>
      </c>
      <c r="F4728" s="1" t="n">
        <v>0</v>
      </c>
      <c r="G4728" s="1" t="n">
        <v>100</v>
      </c>
      <c r="H4728" s="1" t="n">
        <v>0</v>
      </c>
      <c r="I4728" s="1" t="n">
        <v>0</v>
      </c>
    </row>
    <row r="4729" ht="15.75" customHeight="1" s="201">
      <c r="A4729" s="1" t="inlineStr">
        <is>
          <t>Oil, industrial, canola for salads, woks and light frying</t>
        </is>
      </c>
      <c r="C4729" s="1" t="n">
        <v>0</v>
      </c>
      <c r="D4729" s="1" t="n">
        <v>0</v>
      </c>
      <c r="E4729" s="1" t="n">
        <v>0</v>
      </c>
      <c r="F4729" s="1" t="n">
        <v>0</v>
      </c>
      <c r="G4729" s="1" t="n">
        <v>100</v>
      </c>
      <c r="H4729" s="1" t="n">
        <v>0</v>
      </c>
      <c r="I4729" s="1" t="n">
        <v>0</v>
      </c>
      <c r="J4729" t="n">
        <v>27446245</v>
      </c>
    </row>
    <row r="4730" ht="15.75" customHeight="1" s="201">
      <c r="A4730" s="1" t="inlineStr">
        <is>
          <t>Oil, industrial, canola with antifoaming agent, principal uses salads, woks and light frying</t>
        </is>
      </c>
      <c r="C4730" s="1" t="n">
        <v>0</v>
      </c>
      <c r="D4730" s="1" t="n">
        <v>0</v>
      </c>
      <c r="E4730" s="1" t="n">
        <v>0</v>
      </c>
      <c r="F4730" s="1" t="n">
        <v>0</v>
      </c>
      <c r="G4730" s="1" t="n">
        <v>100</v>
      </c>
      <c r="H4730" s="1" t="n">
        <v>0</v>
      </c>
      <c r="I4730" s="1" t="n">
        <v>0</v>
      </c>
      <c r="J4730" t="n">
        <v>58148117</v>
      </c>
    </row>
    <row r="4731" ht="15.75" customHeight="1" s="201">
      <c r="A4731" s="1" t="inlineStr">
        <is>
          <t>Oil, industrial, canola, high oleic</t>
        </is>
      </c>
      <c r="C4731" s="1" t="n">
        <v>0</v>
      </c>
      <c r="D4731" s="1" t="n">
        <v>0</v>
      </c>
      <c r="E4731" s="1" t="n">
        <v>0</v>
      </c>
      <c r="F4731" s="1" t="n">
        <v>0</v>
      </c>
      <c r="G4731" s="1" t="n">
        <v>100</v>
      </c>
      <c r="H4731" s="1" t="n">
        <v>0</v>
      </c>
      <c r="I4731" s="1" t="n">
        <v>0</v>
      </c>
      <c r="J4731" t="n">
        <v>53231400</v>
      </c>
    </row>
    <row r="4732" ht="15.75" customHeight="1" s="201">
      <c r="A4732" s="1" t="inlineStr">
        <is>
          <t>Oil, industrial, coconut (hydrogenated), used for whipped toppings and coffee whiteners</t>
        </is>
      </c>
      <c r="C4732" s="1" t="n">
        <v>0</v>
      </c>
      <c r="D4732" s="1" t="n">
        <v>0</v>
      </c>
      <c r="E4732" s="1" t="n">
        <v>0.15</v>
      </c>
      <c r="F4732" s="1" t="n">
        <v>0</v>
      </c>
      <c r="G4732" s="1" t="n">
        <v>99.5</v>
      </c>
      <c r="H4732" s="1" t="n">
        <v>0</v>
      </c>
      <c r="I4732" s="1" t="n">
        <v>0.04</v>
      </c>
      <c r="J4732" t="n">
        <v>42404010</v>
      </c>
    </row>
    <row r="4733" ht="15.75" customHeight="1" s="201">
      <c r="A4733" s="1" t="inlineStr">
        <is>
          <t>Oil, industrial, coconut, confection fat, typical basis for ice cream coatings</t>
        </is>
      </c>
      <c r="C4733" s="1" t="n">
        <v>0</v>
      </c>
      <c r="D4733" s="1" t="n">
        <v>0</v>
      </c>
      <c r="E4733" s="1" t="n">
        <v>0.15</v>
      </c>
      <c r="F4733" s="1" t="n">
        <v>0</v>
      </c>
      <c r="G4733" s="1" t="n">
        <v>100</v>
      </c>
      <c r="H4733" s="1" t="n">
        <v>0</v>
      </c>
      <c r="I4733" s="1" t="n">
        <v>0.04</v>
      </c>
      <c r="J4733" t="n">
        <v>42404010</v>
      </c>
    </row>
    <row r="4734" ht="15.75" customHeight="1" s="201">
      <c r="A4734" s="1" t="inlineStr">
        <is>
          <t>Oil, industrial, coconut, principal uses candy coatings, oil sprays, roasting nuts</t>
        </is>
      </c>
      <c r="C4734" s="1" t="n">
        <v>0</v>
      </c>
      <c r="D4734" s="1" t="n">
        <v>0</v>
      </c>
      <c r="E4734" s="1" t="n">
        <v>0.04</v>
      </c>
      <c r="F4734" s="1" t="n">
        <v>0</v>
      </c>
      <c r="G4734" s="1" t="n">
        <v>100</v>
      </c>
      <c r="H4734" s="1" t="n">
        <v>0</v>
      </c>
      <c r="I4734" s="1" t="n">
        <v>0</v>
      </c>
      <c r="J4734" t="n">
        <v>91745020</v>
      </c>
    </row>
    <row r="4735" ht="15.75" customHeight="1" s="201">
      <c r="A4735" s="1" t="inlineStr">
        <is>
          <t>Oil, industrial, cottonseed, fully hydrogenated</t>
        </is>
      </c>
      <c r="C4735" s="1" t="n">
        <v>0</v>
      </c>
      <c r="D4735" s="1" t="n">
        <v>0</v>
      </c>
      <c r="E4735" s="1" t="n">
        <v>0</v>
      </c>
      <c r="F4735" s="1" t="n">
        <v>0</v>
      </c>
      <c r="G4735" s="1" t="n">
        <v>100</v>
      </c>
      <c r="H4735" s="1" t="n">
        <v>0</v>
      </c>
      <c r="I4735" s="1" t="n">
        <v>0</v>
      </c>
    </row>
    <row r="4736" ht="15.75" customHeight="1" s="201">
      <c r="A4736" s="1" t="inlineStr">
        <is>
          <t>Oil, industrial, mid-oleic, sunflower</t>
        </is>
      </c>
      <c r="C4736" s="1" t="n">
        <v>0</v>
      </c>
      <c r="D4736" s="1" t="n">
        <v>0</v>
      </c>
      <c r="E4736" s="1" t="n">
        <v>0.03</v>
      </c>
      <c r="F4736" s="1" t="n">
        <v>0</v>
      </c>
      <c r="G4736" s="1" t="n">
        <v>100</v>
      </c>
      <c r="H4736" s="1" t="n">
        <v>0</v>
      </c>
      <c r="I4736" s="1" t="n">
        <v>0</v>
      </c>
    </row>
    <row r="4737" ht="15.75" customHeight="1" s="201">
      <c r="A4737" s="1" t="inlineStr">
        <is>
          <t>Oil, industrial, palm and palm kernel, filling fat (non-hydrogenated)</t>
        </is>
      </c>
      <c r="C4737" s="1" t="n">
        <v>0</v>
      </c>
      <c r="D4737" s="1" t="n">
        <v>0</v>
      </c>
      <c r="E4737" s="1" t="n">
        <v>0.15</v>
      </c>
      <c r="F4737" s="1" t="n">
        <v>0</v>
      </c>
      <c r="G4737" s="1" t="n">
        <v>99.5</v>
      </c>
      <c r="H4737" s="1" t="n">
        <v>0</v>
      </c>
      <c r="I4737" s="1" t="n">
        <v>0.04</v>
      </c>
    </row>
    <row r="4738" ht="15.75" customHeight="1" s="201">
      <c r="A4738" s="1" t="inlineStr">
        <is>
          <t>Oil, industrial, palm kernel (hydrogenated) , used for whipped toppings, non-dairy</t>
        </is>
      </c>
      <c r="C4738" s="1" t="n">
        <v>0</v>
      </c>
      <c r="D4738" s="1" t="n">
        <v>0</v>
      </c>
      <c r="E4738" s="1" t="n">
        <v>0.15</v>
      </c>
      <c r="F4738" s="1" t="n">
        <v>0</v>
      </c>
      <c r="G4738" s="1" t="n">
        <v>100</v>
      </c>
      <c r="H4738" s="1" t="n">
        <v>0</v>
      </c>
      <c r="I4738" s="1" t="n">
        <v>0.04</v>
      </c>
    </row>
    <row r="4739" ht="15.75" customHeight="1" s="201">
      <c r="A4739" s="1" t="inlineStr">
        <is>
          <t>Oil, industrial, palm kernel (hydrogenated), confection fat, intermediate grade product</t>
        </is>
      </c>
      <c r="C4739" s="1" t="n">
        <v>0</v>
      </c>
      <c r="D4739" s="1" t="n">
        <v>0</v>
      </c>
      <c r="E4739" s="1" t="n">
        <v>0.15</v>
      </c>
      <c r="F4739" s="1" t="n">
        <v>0</v>
      </c>
      <c r="G4739" s="1" t="n">
        <v>100</v>
      </c>
      <c r="H4739" s="1" t="n">
        <v>0</v>
      </c>
      <c r="I4739" s="1" t="n">
        <v>0.04</v>
      </c>
    </row>
    <row r="4740" ht="15.75" customHeight="1" s="201">
      <c r="A4740" s="1" t="inlineStr">
        <is>
          <t>Oil, industrial, palm kernel (hydrogenated), confection fat, uses similar to 95 degree hard butter</t>
        </is>
      </c>
      <c r="C4740" s="1" t="n">
        <v>0</v>
      </c>
      <c r="D4740" s="1" t="n">
        <v>0</v>
      </c>
      <c r="E4740" s="1" t="n">
        <v>0.15</v>
      </c>
      <c r="F4740" s="1" t="n">
        <v>0</v>
      </c>
      <c r="G4740" s="1" t="n">
        <v>100</v>
      </c>
      <c r="H4740" s="1" t="n">
        <v>0</v>
      </c>
      <c r="I4740" s="1" t="n">
        <v>0.08</v>
      </c>
      <c r="J4740" t="n">
        <v>54328100</v>
      </c>
    </row>
    <row r="4741" ht="15.75" customHeight="1" s="201">
      <c r="A4741" s="1" t="inlineStr">
        <is>
          <t>Oil, industrial, palm kernel (hydrogenated), filling fat</t>
        </is>
      </c>
      <c r="C4741" s="1" t="n">
        <v>0</v>
      </c>
      <c r="D4741" s="1" t="n">
        <v>0</v>
      </c>
      <c r="E4741" s="1" t="n">
        <v>0.15</v>
      </c>
      <c r="F4741" s="1" t="n">
        <v>0</v>
      </c>
      <c r="G4741" s="1" t="n">
        <v>100</v>
      </c>
      <c r="H4741" s="1" t="n">
        <v>0</v>
      </c>
      <c r="I4741" s="1" t="n">
        <v>0.04</v>
      </c>
    </row>
    <row r="4742" ht="15.75" customHeight="1" s="201">
      <c r="A4742" s="1" t="inlineStr">
        <is>
          <t>Oil, industrial, palm kernel, confection fat, uses similar to high quality cocoa butter</t>
        </is>
      </c>
      <c r="C4742" s="1" t="n">
        <v>0</v>
      </c>
      <c r="D4742" s="1" t="n">
        <v>0</v>
      </c>
      <c r="E4742" s="1" t="n">
        <v>0.29</v>
      </c>
      <c r="F4742" s="1" t="n">
        <v>0</v>
      </c>
      <c r="G4742" s="1" t="n">
        <v>100</v>
      </c>
      <c r="H4742" s="1" t="n">
        <v>0</v>
      </c>
      <c r="I4742" s="1" t="n">
        <v>0.04</v>
      </c>
      <c r="J4742" t="n">
        <v>54328100</v>
      </c>
    </row>
    <row r="4743" ht="15.75" customHeight="1" s="201">
      <c r="A4743" s="1" t="inlineStr">
        <is>
          <t>Oil, industrial, soy ( partially hydrogenated), all purpose</t>
        </is>
      </c>
      <c r="C4743" s="1" t="n">
        <v>0</v>
      </c>
      <c r="D4743" s="1" t="n">
        <v>0</v>
      </c>
      <c r="E4743" s="1" t="n">
        <v>0</v>
      </c>
      <c r="F4743" s="1" t="n">
        <v>0</v>
      </c>
      <c r="G4743" s="1" t="n">
        <v>100</v>
      </c>
      <c r="H4743" s="1" t="n">
        <v>0</v>
      </c>
      <c r="I4743" s="1" t="n">
        <v>0</v>
      </c>
    </row>
    <row r="4744" ht="15.75" customHeight="1" s="201">
      <c r="A4744" s="1" t="inlineStr">
        <is>
          <t>Oil, industrial, soy (partially hydrogenated ) and soy (winterized), pourable clear fry</t>
        </is>
      </c>
      <c r="C4744" s="1" t="n">
        <v>0</v>
      </c>
      <c r="D4744" s="1" t="n">
        <v>0</v>
      </c>
      <c r="E4744" s="1" t="n">
        <v>0</v>
      </c>
      <c r="F4744" s="1" t="n">
        <v>0</v>
      </c>
      <c r="G4744" s="1" t="n">
        <v>100</v>
      </c>
      <c r="H4744" s="1" t="n">
        <v>0</v>
      </c>
      <c r="I4744" s="1" t="n">
        <v>0</v>
      </c>
    </row>
    <row r="4745" ht="15.75" customHeight="1" s="201">
      <c r="A4745" s="1" t="inlineStr">
        <is>
          <t>Oil, industrial, soy (partially hydrogenated ), palm, principal uses icings and fillings</t>
        </is>
      </c>
      <c r="C4745" s="1" t="n">
        <v>0</v>
      </c>
      <c r="D4745" s="1" t="n">
        <v>0</v>
      </c>
      <c r="E4745" s="1" t="n">
        <v>0</v>
      </c>
      <c r="F4745" s="1" t="n">
        <v>0</v>
      </c>
      <c r="G4745" s="1" t="n">
        <v>100</v>
      </c>
      <c r="H4745" s="1" t="n">
        <v>0</v>
      </c>
      <c r="I4745" s="1" t="n">
        <v>0</v>
      </c>
    </row>
    <row r="4746" ht="15.75" customHeight="1" s="201">
      <c r="A4746" s="1" t="inlineStr">
        <is>
          <t>Oil, industrial, soy (partially hydrogenated)  and cottonseed, principal use as a tortilla shortening</t>
        </is>
      </c>
      <c r="C4746" s="1" t="n">
        <v>0</v>
      </c>
      <c r="D4746" s="1" t="n">
        <v>0</v>
      </c>
      <c r="E4746" s="1" t="n">
        <v>0</v>
      </c>
      <c r="F4746" s="1" t="n">
        <v>0</v>
      </c>
      <c r="G4746" s="1" t="n">
        <v>100</v>
      </c>
      <c r="H4746" s="1" t="n">
        <v>0</v>
      </c>
      <c r="I4746" s="1" t="n">
        <v>0</v>
      </c>
    </row>
    <row r="4747" ht="15.75" customHeight="1" s="201">
      <c r="A4747" s="1" t="inlineStr">
        <is>
          <t>Oil, industrial, soy (partially hydrogenated), multiuse for non-dairy butter flavor</t>
        </is>
      </c>
      <c r="C4747" s="1" t="n">
        <v>0</v>
      </c>
      <c r="D4747" s="1" t="n">
        <v>0</v>
      </c>
      <c r="E4747" s="1" t="n">
        <v>0</v>
      </c>
      <c r="F4747" s="1" t="n">
        <v>0</v>
      </c>
      <c r="G4747" s="1" t="n">
        <v>100</v>
      </c>
      <c r="H4747" s="1" t="n">
        <v>0</v>
      </c>
      <c r="I4747" s="1" t="n">
        <v>0</v>
      </c>
      <c r="J4747" t="n">
        <v>54328100</v>
      </c>
    </row>
    <row r="4748" ht="15.75" customHeight="1" s="201">
      <c r="A4748" s="1" t="inlineStr">
        <is>
          <t>Oil, industrial, soy (partially hydrogenated), principal uses popcorn and flavoring vegetables</t>
        </is>
      </c>
      <c r="C4748" s="1" t="n">
        <v>0</v>
      </c>
      <c r="D4748" s="1" t="n">
        <v>0</v>
      </c>
      <c r="E4748" s="1" t="n">
        <v>0</v>
      </c>
      <c r="F4748" s="1" t="n">
        <v>0</v>
      </c>
      <c r="G4748" s="1" t="n">
        <v>100</v>
      </c>
      <c r="H4748" s="1" t="n">
        <v>0</v>
      </c>
      <c r="I4748" s="1" t="n">
        <v>0</v>
      </c>
      <c r="J4748" t="n">
        <v>76407010</v>
      </c>
    </row>
    <row r="4749" ht="15.75" customHeight="1" s="201">
      <c r="A4749" s="1" t="inlineStr">
        <is>
          <t>Oil, industrial, soy, fully hydrogenated</t>
        </is>
      </c>
      <c r="C4749" s="1" t="n">
        <v>0</v>
      </c>
      <c r="D4749" s="1" t="n">
        <v>0</v>
      </c>
      <c r="E4749" s="1" t="n">
        <v>0.05</v>
      </c>
      <c r="F4749" s="1" t="n">
        <v>0</v>
      </c>
      <c r="G4749" s="1" t="n">
        <v>100</v>
      </c>
      <c r="H4749" s="1" t="n">
        <v>0</v>
      </c>
      <c r="I4749" s="1" t="n">
        <v>0.01</v>
      </c>
    </row>
    <row r="4750" ht="15.75" customHeight="1" s="201">
      <c r="A4750" s="1" t="inlineStr">
        <is>
          <t>Oil, industrial, soy, low linolenic</t>
        </is>
      </c>
      <c r="C4750" s="1" t="n">
        <v>0</v>
      </c>
      <c r="D4750" s="1" t="n">
        <v>0</v>
      </c>
      <c r="E4750" s="1" t="n">
        <v>0.05</v>
      </c>
      <c r="F4750" s="1" t="n">
        <v>0</v>
      </c>
      <c r="G4750" s="1" t="n">
        <v>100</v>
      </c>
      <c r="H4750" s="1" t="n">
        <v>0</v>
      </c>
      <c r="I4750" s="1" t="n">
        <v>0.01</v>
      </c>
    </row>
    <row r="4751" ht="15.75" customHeight="1" s="201">
      <c r="A4751" s="1" t="inlineStr">
        <is>
          <t>Oil, industrial, soy, refined, for woks and light frying</t>
        </is>
      </c>
      <c r="C4751" s="1" t="n">
        <v>0</v>
      </c>
      <c r="D4751" s="1" t="n">
        <v>0</v>
      </c>
      <c r="E4751" s="1" t="n">
        <v>0.02</v>
      </c>
      <c r="F4751" s="1" t="n">
        <v>0</v>
      </c>
      <c r="G4751" s="1" t="n">
        <v>100</v>
      </c>
      <c r="H4751" s="1" t="n">
        <v>0</v>
      </c>
      <c r="I4751" s="1" t="n">
        <v>0</v>
      </c>
      <c r="J4751" t="n">
        <v>27446245</v>
      </c>
    </row>
    <row r="4752" ht="15.75" customHeight="1" s="201">
      <c r="A4752" s="1" t="inlineStr">
        <is>
          <t>Oil, industrial, soy, ultra low linolenic</t>
        </is>
      </c>
      <c r="C4752" s="1" t="n">
        <v>0</v>
      </c>
      <c r="D4752" s="1" t="n">
        <v>0</v>
      </c>
      <c r="E4752" s="1" t="n">
        <v>0.05</v>
      </c>
      <c r="F4752" s="1" t="n">
        <v>0</v>
      </c>
      <c r="G4752" s="1" t="n">
        <v>100</v>
      </c>
      <c r="H4752" s="1" t="n">
        <v>0</v>
      </c>
      <c r="I4752" s="1" t="n">
        <v>0.01</v>
      </c>
    </row>
    <row r="4753" ht="15.75" customHeight="1" s="201">
      <c r="A4753" s="1" t="inlineStr">
        <is>
          <t>Oil, mustard</t>
        </is>
      </c>
      <c r="C4753" s="1" t="n">
        <v>0</v>
      </c>
      <c r="D4753" s="1" t="n">
        <v>0</v>
      </c>
      <c r="E4753" s="1" t="n">
        <v>0</v>
      </c>
      <c r="F4753" s="1" t="n">
        <v>0</v>
      </c>
      <c r="G4753" s="1" t="n">
        <v>100</v>
      </c>
      <c r="H4753" s="1" t="n">
        <v>0</v>
      </c>
      <c r="I4753" s="1" t="n">
        <v>0</v>
      </c>
      <c r="J4753" t="n">
        <v>75506100</v>
      </c>
    </row>
    <row r="4754" ht="15.75" customHeight="1" s="201">
      <c r="A4754" s="1" t="inlineStr">
        <is>
          <t>Oil, nutmeg butter</t>
        </is>
      </c>
      <c r="C4754" s="1" t="n">
        <v>0</v>
      </c>
      <c r="D4754" s="1" t="n">
        <v>0</v>
      </c>
      <c r="E4754" s="1" t="n">
        <v>0</v>
      </c>
      <c r="F4754" s="1" t="n">
        <v>0</v>
      </c>
      <c r="G4754" s="1" t="n">
        <v>100</v>
      </c>
      <c r="H4754" s="1" t="n">
        <v>0</v>
      </c>
      <c r="I4754" s="1" t="n">
        <v>0</v>
      </c>
      <c r="J4754" t="n">
        <v>54328100</v>
      </c>
    </row>
    <row r="4755" ht="15.75" customHeight="1" s="201">
      <c r="A4755" s="1" t="inlineStr">
        <is>
          <t>Oil, oat</t>
        </is>
      </c>
      <c r="C4755" s="1" t="n">
        <v>0</v>
      </c>
      <c r="D4755" s="1" t="n">
        <v>0</v>
      </c>
      <c r="E4755" s="1" t="n">
        <v>0</v>
      </c>
      <c r="F4755" s="1" t="n">
        <v>0</v>
      </c>
      <c r="G4755" s="1" t="n">
        <v>100</v>
      </c>
      <c r="H4755" s="1" t="n">
        <v>0</v>
      </c>
      <c r="I4755" s="1" t="n">
        <v>0</v>
      </c>
    </row>
    <row r="4756" ht="15.75" customHeight="1" s="201">
      <c r="A4756" s="1" t="inlineStr">
        <is>
          <t>Oil, olive, salad or cooking</t>
        </is>
      </c>
      <c r="C4756" s="1" t="n">
        <v>0</v>
      </c>
      <c r="D4756" s="1" t="n">
        <v>0</v>
      </c>
      <c r="E4756" s="1" t="n">
        <v>0.5600000000000001</v>
      </c>
      <c r="F4756" s="1" t="n">
        <v>0</v>
      </c>
      <c r="G4756" s="1" t="n">
        <v>100</v>
      </c>
      <c r="H4756" s="1" t="n">
        <v>0</v>
      </c>
      <c r="I4756" s="1" t="n">
        <v>0</v>
      </c>
      <c r="J4756" t="n">
        <v>75143000</v>
      </c>
    </row>
    <row r="4757" ht="15.75" customHeight="1" s="201">
      <c r="A4757" s="1" t="inlineStr">
        <is>
          <t>Oil, palm</t>
        </is>
      </c>
      <c r="C4757" s="1" t="n">
        <v>0</v>
      </c>
      <c r="D4757" s="1" t="n">
        <v>0</v>
      </c>
      <c r="E4757" s="1" t="n">
        <v>0.01</v>
      </c>
      <c r="F4757" s="1" t="n">
        <v>0</v>
      </c>
      <c r="G4757" s="1" t="n">
        <v>100</v>
      </c>
      <c r="H4757" s="1" t="n">
        <v>0</v>
      </c>
      <c r="I4757" s="1" t="n">
        <v>0</v>
      </c>
      <c r="J4757" t="n">
        <v>75221160</v>
      </c>
    </row>
    <row r="4758" ht="15.75" customHeight="1" s="201">
      <c r="A4758" s="1" t="inlineStr">
        <is>
          <t>Oil, PAM cooking spray, original</t>
        </is>
      </c>
      <c r="C4758" s="1" t="n">
        <v>20.69</v>
      </c>
      <c r="D4758" s="1" t="n">
        <v>0</v>
      </c>
      <c r="E4758" s="1" t="n">
        <v>0</v>
      </c>
      <c r="F4758" s="1" t="n">
        <v>0.26</v>
      </c>
      <c r="G4758" s="1" t="n">
        <v>78.69</v>
      </c>
      <c r="H4758" s="1" t="n">
        <v>0</v>
      </c>
      <c r="I4758" s="1" t="n">
        <v>0</v>
      </c>
      <c r="J4758" t="n">
        <v>32131060</v>
      </c>
    </row>
    <row r="4759" ht="15.75" customHeight="1" s="201">
      <c r="A4759" s="1" t="inlineStr">
        <is>
          <t>Oil, peanut, salad or cooking</t>
        </is>
      </c>
      <c r="C4759" s="1" t="n">
        <v>0</v>
      </c>
      <c r="D4759" s="1" t="n">
        <v>0</v>
      </c>
      <c r="E4759" s="1" t="n">
        <v>0.03</v>
      </c>
      <c r="F4759" s="1" t="n">
        <v>0</v>
      </c>
      <c r="G4759" s="1" t="n">
        <v>100</v>
      </c>
      <c r="H4759" s="1" t="n">
        <v>0</v>
      </c>
      <c r="I4759" s="1" t="n">
        <v>0.01</v>
      </c>
      <c r="J4759" t="n">
        <v>91734000</v>
      </c>
    </row>
    <row r="4760" ht="15.75" customHeight="1" s="201">
      <c r="A4760" s="1" t="inlineStr">
        <is>
          <t>Oil, poppyseed</t>
        </is>
      </c>
      <c r="C4760" s="1" t="n">
        <v>0</v>
      </c>
      <c r="D4760" s="1" t="n">
        <v>0</v>
      </c>
      <c r="E4760" s="1" t="n">
        <v>0</v>
      </c>
      <c r="F4760" s="1" t="n">
        <v>0</v>
      </c>
      <c r="G4760" s="1" t="n">
        <v>100</v>
      </c>
      <c r="H4760" s="1" t="n">
        <v>0</v>
      </c>
      <c r="I4760" s="1" t="n">
        <v>0</v>
      </c>
      <c r="J4760" t="n">
        <v>52306010</v>
      </c>
    </row>
    <row r="4761" ht="15.75" customHeight="1" s="201">
      <c r="A4761" s="1" t="inlineStr">
        <is>
          <t>Oil, rice bran</t>
        </is>
      </c>
      <c r="C4761" s="1" t="n">
        <v>0</v>
      </c>
      <c r="D4761" s="1" t="n">
        <v>0</v>
      </c>
      <c r="E4761" s="1" t="n">
        <v>0.07000000000000001</v>
      </c>
      <c r="F4761" s="1" t="n">
        <v>0</v>
      </c>
      <c r="G4761" s="1" t="n">
        <v>100</v>
      </c>
      <c r="H4761" s="1" t="n">
        <v>0</v>
      </c>
      <c r="I4761" s="1" t="n">
        <v>0</v>
      </c>
      <c r="J4761" t="n">
        <v>54319000</v>
      </c>
    </row>
    <row r="4762" ht="15.75" customHeight="1" s="201">
      <c r="A4762" s="1" t="inlineStr">
        <is>
          <t>Oil, safflower, salad or cooking, high oleic (primary safflower oil of commerce)</t>
        </is>
      </c>
      <c r="C4762" s="1" t="n">
        <v>0</v>
      </c>
      <c r="D4762" s="1" t="n">
        <v>0</v>
      </c>
      <c r="E4762" s="1" t="n">
        <v>0</v>
      </c>
      <c r="F4762" s="1" t="n">
        <v>0</v>
      </c>
      <c r="G4762" s="1" t="n">
        <v>100</v>
      </c>
      <c r="H4762" s="1" t="n">
        <v>0</v>
      </c>
      <c r="I4762" s="1" t="n">
        <v>0</v>
      </c>
      <c r="J4762" t="n">
        <v>75143000</v>
      </c>
    </row>
    <row r="4763" ht="15.75" customHeight="1" s="201">
      <c r="A4763" s="1" t="inlineStr">
        <is>
          <t>Oil, safflower, salad or cooking, linoleic, (over 70%)</t>
        </is>
      </c>
      <c r="C4763" s="1" t="n">
        <v>0</v>
      </c>
      <c r="D4763" s="1" t="n">
        <v>0</v>
      </c>
      <c r="E4763" s="1" t="n">
        <v>0</v>
      </c>
      <c r="F4763" s="1" t="n">
        <v>0</v>
      </c>
      <c r="G4763" s="1" t="n">
        <v>100</v>
      </c>
      <c r="H4763" s="1" t="n">
        <v>0</v>
      </c>
      <c r="I4763" s="1" t="n">
        <v>0</v>
      </c>
      <c r="J4763" t="n">
        <v>75143000</v>
      </c>
    </row>
    <row r="4764" ht="15.75" customHeight="1" s="201">
      <c r="A4764" s="1" t="inlineStr">
        <is>
          <t>Oil, sesame, salad or cooking</t>
        </is>
      </c>
      <c r="C4764" s="1" t="n">
        <v>0</v>
      </c>
      <c r="D4764" s="1" t="n">
        <v>0</v>
      </c>
      <c r="E4764" s="1" t="n">
        <v>0</v>
      </c>
      <c r="F4764" s="1" t="n">
        <v>0</v>
      </c>
      <c r="G4764" s="1" t="n">
        <v>100</v>
      </c>
      <c r="H4764" s="1" t="n">
        <v>0</v>
      </c>
      <c r="I4764" s="1" t="n">
        <v>0</v>
      </c>
      <c r="J4764" t="n">
        <v>75143000</v>
      </c>
    </row>
    <row r="4765" ht="15.75" customHeight="1" s="201">
      <c r="A4765" s="1" t="inlineStr">
        <is>
          <t>Oil, sheanut</t>
        </is>
      </c>
      <c r="C4765" s="1" t="n">
        <v>0</v>
      </c>
      <c r="D4765" s="1" t="n">
        <v>0</v>
      </c>
      <c r="E4765" s="1" t="n">
        <v>0</v>
      </c>
      <c r="F4765" s="1" t="n">
        <v>0</v>
      </c>
      <c r="G4765" s="1" t="n">
        <v>100</v>
      </c>
      <c r="H4765" s="1" t="n">
        <v>0</v>
      </c>
      <c r="I4765" s="1" t="n">
        <v>0</v>
      </c>
    </row>
    <row r="4766" ht="15.75" customHeight="1" s="201">
      <c r="A4766" s="1" t="inlineStr">
        <is>
          <t>Oil, soybean lecithin</t>
        </is>
      </c>
      <c r="C4766" s="1" t="n">
        <v>0</v>
      </c>
      <c r="D4766" s="1" t="n">
        <v>0</v>
      </c>
      <c r="E4766" s="1" t="n">
        <v>0</v>
      </c>
      <c r="F4766" s="1" t="n">
        <v>0</v>
      </c>
      <c r="G4766" s="1" t="n">
        <v>100</v>
      </c>
      <c r="H4766" s="1" t="n">
        <v>0</v>
      </c>
      <c r="I4766" s="1" t="n">
        <v>0</v>
      </c>
      <c r="J4766" t="n">
        <v>41420010</v>
      </c>
    </row>
    <row r="4767" ht="15.75" customHeight="1" s="201">
      <c r="A4767" s="1" t="inlineStr">
        <is>
          <t>Oil, soybean, salad or cooking</t>
        </is>
      </c>
      <c r="C4767" s="1" t="n">
        <v>0</v>
      </c>
      <c r="D4767" s="1" t="n">
        <v>0</v>
      </c>
      <c r="E4767" s="1" t="n">
        <v>0.05</v>
      </c>
      <c r="F4767" s="1" t="n">
        <v>0</v>
      </c>
      <c r="G4767" s="1" t="n">
        <v>100</v>
      </c>
      <c r="H4767" s="1" t="n">
        <v>0</v>
      </c>
      <c r="I4767" s="1" t="n">
        <v>0.01</v>
      </c>
      <c r="J4767" t="n">
        <v>75143000</v>
      </c>
    </row>
    <row r="4768" ht="15.75" customHeight="1" s="201">
      <c r="A4768" s="1" t="inlineStr">
        <is>
          <t>Oil, soybean, salad or cooking, (partially hydrogenated)</t>
        </is>
      </c>
      <c r="C4768" s="1" t="n">
        <v>0</v>
      </c>
      <c r="D4768" s="1" t="n">
        <v>0</v>
      </c>
      <c r="E4768" s="1" t="n">
        <v>0</v>
      </c>
      <c r="F4768" s="1" t="n">
        <v>0</v>
      </c>
      <c r="G4768" s="1" t="n">
        <v>100</v>
      </c>
      <c r="H4768" s="1" t="n">
        <v>0</v>
      </c>
      <c r="I4768" s="1" t="n">
        <v>0</v>
      </c>
      <c r="J4768" t="n">
        <v>75143000</v>
      </c>
    </row>
    <row r="4769" ht="15.75" customHeight="1" s="201">
      <c r="A4769" s="1" t="inlineStr">
        <is>
          <t>Oil, soybean, salad or cooking, (partially hydrogenated) and cottonseed</t>
        </is>
      </c>
      <c r="C4769" s="1" t="n">
        <v>0</v>
      </c>
      <c r="D4769" s="1" t="n">
        <v>0</v>
      </c>
      <c r="E4769" s="1" t="n">
        <v>0</v>
      </c>
      <c r="F4769" s="1" t="n">
        <v>0</v>
      </c>
      <c r="G4769" s="1" t="n">
        <v>100</v>
      </c>
      <c r="H4769" s="1" t="n">
        <v>0</v>
      </c>
      <c r="I4769" s="1" t="n">
        <v>0</v>
      </c>
      <c r="J4769" t="n">
        <v>75143000</v>
      </c>
    </row>
    <row r="4770" ht="15.75" customHeight="1" s="201">
      <c r="A4770" s="1" t="inlineStr">
        <is>
          <t>Oil, spotted seal (Alaska Native)</t>
        </is>
      </c>
      <c r="C4770" s="1" t="n">
        <v>0</v>
      </c>
      <c r="D4770" s="1" t="n">
        <v>0</v>
      </c>
      <c r="E4770" s="1" t="n">
        <v>0</v>
      </c>
      <c r="F4770" s="1" t="n">
        <v>0</v>
      </c>
      <c r="G4770" s="1" t="n">
        <v>99.31999999999999</v>
      </c>
      <c r="H4770" s="1" t="n">
        <v>3480</v>
      </c>
      <c r="I4770" s="1" t="n">
        <v>0</v>
      </c>
    </row>
    <row r="4771" ht="15.75" customHeight="1" s="201">
      <c r="A4771" s="1" t="inlineStr">
        <is>
          <t>Oil, sunflower, high oleic (70% and over)</t>
        </is>
      </c>
      <c r="C4771" s="1" t="n">
        <v>0</v>
      </c>
      <c r="D4771" s="1" t="n">
        <v>0</v>
      </c>
      <c r="E4771" s="1" t="n">
        <v>0</v>
      </c>
      <c r="F4771" s="1" t="n">
        <v>0</v>
      </c>
      <c r="G4771" s="1" t="n">
        <v>100</v>
      </c>
      <c r="H4771" s="1" t="n">
        <v>0</v>
      </c>
      <c r="I4771" s="1" t="n">
        <v>0</v>
      </c>
      <c r="J4771" t="n">
        <v>53231400</v>
      </c>
    </row>
    <row r="4772" ht="15.75" customHeight="1" s="201">
      <c r="A4772" s="1" t="inlineStr">
        <is>
          <t>Oil, sunflower, linoleic (less than 60%)</t>
        </is>
      </c>
      <c r="C4772" s="1" t="n">
        <v>0</v>
      </c>
      <c r="D4772" s="1" t="n">
        <v>0</v>
      </c>
      <c r="E4772" s="1" t="n">
        <v>0.03</v>
      </c>
      <c r="F4772" s="1" t="n">
        <v>0</v>
      </c>
      <c r="G4772" s="1" t="n">
        <v>100</v>
      </c>
      <c r="H4772" s="1" t="n">
        <v>0</v>
      </c>
      <c r="I4772" s="1" t="n">
        <v>0</v>
      </c>
      <c r="J4772" t="n">
        <v>11513380</v>
      </c>
    </row>
    <row r="4773" ht="15.75" customHeight="1" s="201">
      <c r="A4773" s="1" t="inlineStr">
        <is>
          <t>Oil, sunflower, linoleic, (approx. 65%)</t>
        </is>
      </c>
      <c r="C4773" s="1" t="n">
        <v>0</v>
      </c>
      <c r="D4773" s="1" t="n">
        <v>0</v>
      </c>
      <c r="E4773" s="1" t="n">
        <v>0</v>
      </c>
      <c r="F4773" s="1" t="n">
        <v>0</v>
      </c>
      <c r="G4773" s="1" t="n">
        <v>100</v>
      </c>
      <c r="H4773" s="1" t="n">
        <v>0</v>
      </c>
      <c r="I4773" s="1" t="n">
        <v>0</v>
      </c>
    </row>
    <row r="4774" ht="15.75" customHeight="1" s="201">
      <c r="A4774" s="1" t="inlineStr">
        <is>
          <t>Oil, sunflower, linoleic, (partially hydrogenated)</t>
        </is>
      </c>
      <c r="C4774" s="1" t="n">
        <v>0</v>
      </c>
      <c r="D4774" s="1" t="n">
        <v>0</v>
      </c>
      <c r="E4774" s="1" t="n">
        <v>0</v>
      </c>
      <c r="F4774" s="1" t="n">
        <v>0</v>
      </c>
      <c r="G4774" s="1" t="n">
        <v>100</v>
      </c>
      <c r="H4774" s="1" t="n">
        <v>0</v>
      </c>
      <c r="I4774" s="1" t="n">
        <v>0</v>
      </c>
    </row>
    <row r="4775" ht="15.75" customHeight="1" s="201">
      <c r="A4775" s="1" t="inlineStr">
        <is>
          <t>Oil, teaseed</t>
        </is>
      </c>
      <c r="C4775" s="1" t="n">
        <v>0</v>
      </c>
      <c r="D4775" s="1" t="n">
        <v>0</v>
      </c>
      <c r="E4775" s="1" t="n">
        <v>0</v>
      </c>
      <c r="F4775" s="1" t="n">
        <v>0</v>
      </c>
      <c r="G4775" s="1" t="n">
        <v>100</v>
      </c>
      <c r="H4775" s="1" t="n">
        <v>0</v>
      </c>
      <c r="I4775" s="1" t="n">
        <v>0</v>
      </c>
    </row>
    <row r="4776" ht="15.75" customHeight="1" s="201">
      <c r="A4776" s="1" t="inlineStr">
        <is>
          <t>Oil, tomatoseed</t>
        </is>
      </c>
      <c r="C4776" s="1" t="n">
        <v>0</v>
      </c>
      <c r="D4776" s="1" t="n">
        <v>0</v>
      </c>
      <c r="E4776" s="1" t="n">
        <v>0</v>
      </c>
      <c r="F4776" s="1" t="n">
        <v>0</v>
      </c>
      <c r="G4776" s="1" t="n">
        <v>100</v>
      </c>
      <c r="H4776" s="1" t="n">
        <v>0</v>
      </c>
      <c r="I4776" s="1" t="n">
        <v>0</v>
      </c>
    </row>
    <row r="4777" ht="15.75" customHeight="1" s="201">
      <c r="A4777" s="1" t="inlineStr">
        <is>
          <t>Oil, ucuhuba butter</t>
        </is>
      </c>
      <c r="C4777" s="1" t="n">
        <v>0</v>
      </c>
      <c r="D4777" s="1" t="n">
        <v>0</v>
      </c>
      <c r="E4777" s="1" t="n">
        <v>0</v>
      </c>
      <c r="F4777" s="1" t="n">
        <v>0</v>
      </c>
      <c r="G4777" s="1" t="n">
        <v>100</v>
      </c>
      <c r="H4777" s="1" t="n">
        <v>0</v>
      </c>
      <c r="I4777" s="1" t="n">
        <v>0</v>
      </c>
      <c r="J4777" t="n">
        <v>54328100</v>
      </c>
    </row>
    <row r="4778" ht="15.75" customHeight="1" s="201">
      <c r="A4778" s="1" t="inlineStr">
        <is>
          <t>Oil, vegetable, Natreon canola, high stability, non trans, high oleic (70%)</t>
        </is>
      </c>
      <c r="C4778" s="1" t="n">
        <v>0</v>
      </c>
      <c r="F4778" s="1" t="n">
        <v>0</v>
      </c>
      <c r="G4778" s="1" t="n">
        <v>100</v>
      </c>
      <c r="H4778" s="1" t="n">
        <v>0</v>
      </c>
      <c r="J4778" t="n">
        <v>53231400</v>
      </c>
    </row>
    <row r="4779" ht="15.75" customHeight="1" s="201">
      <c r="A4779" s="1" t="inlineStr">
        <is>
          <t>Oil, vegetable, soybean, refined</t>
        </is>
      </c>
      <c r="C4779" s="1" t="n">
        <v>0</v>
      </c>
      <c r="D4779" s="1" t="n">
        <v>0</v>
      </c>
      <c r="E4779" s="1" t="n">
        <v>0.02</v>
      </c>
      <c r="F4779" s="1" t="n">
        <v>0</v>
      </c>
      <c r="G4779" s="1" t="n">
        <v>100</v>
      </c>
      <c r="H4779" s="1" t="n">
        <v>0</v>
      </c>
      <c r="I4779" s="1" t="n">
        <v>0</v>
      </c>
      <c r="J4779" t="n">
        <v>71220000</v>
      </c>
    </row>
    <row r="4780" ht="15.75" customHeight="1" s="201">
      <c r="A4780" s="1" t="inlineStr">
        <is>
          <t>Oil, walnut</t>
        </is>
      </c>
      <c r="C4780" s="1" t="n">
        <v>0</v>
      </c>
      <c r="D4780" s="1" t="n">
        <v>0</v>
      </c>
      <c r="E4780" s="1" t="n">
        <v>0</v>
      </c>
      <c r="F4780" s="1" t="n">
        <v>0</v>
      </c>
      <c r="G4780" s="1" t="n">
        <v>100</v>
      </c>
      <c r="H4780" s="1" t="n">
        <v>0</v>
      </c>
      <c r="I4780" s="1" t="n">
        <v>0</v>
      </c>
      <c r="J4780" t="n">
        <v>52302010</v>
      </c>
    </row>
    <row r="4781" ht="15.75" customHeight="1" s="201">
      <c r="A4781" s="1" t="inlineStr">
        <is>
          <t>Oil, walrus (Alaska Native)</t>
        </is>
      </c>
      <c r="C4781" s="1" t="n">
        <v>0</v>
      </c>
      <c r="F4781" s="1" t="n">
        <v>0</v>
      </c>
      <c r="G4781" s="1" t="n">
        <v>100</v>
      </c>
      <c r="H4781" s="1" t="n">
        <v>2600</v>
      </c>
    </row>
    <row r="4782" ht="15.75" customHeight="1" s="201">
      <c r="A4782" s="1" t="inlineStr">
        <is>
          <t>Oil, whale, bowhead (Alaska Native)</t>
        </is>
      </c>
      <c r="C4782" s="1" t="n">
        <v>0</v>
      </c>
      <c r="E4782" s="1" t="n">
        <v>0</v>
      </c>
      <c r="F4782" s="1" t="n">
        <v>0</v>
      </c>
      <c r="G4782" s="1" t="n">
        <v>100</v>
      </c>
      <c r="H4782" s="1" t="n">
        <v>2810</v>
      </c>
    </row>
    <row r="4783" ht="15.75" customHeight="1" s="201">
      <c r="A4783" s="1" t="inlineStr">
        <is>
          <t>Oil, wheat germ</t>
        </is>
      </c>
      <c r="C4783" s="1" t="n">
        <v>0</v>
      </c>
      <c r="D4783" s="1" t="n">
        <v>0</v>
      </c>
      <c r="E4783" s="1" t="n">
        <v>0</v>
      </c>
      <c r="F4783" s="1" t="n">
        <v>0</v>
      </c>
      <c r="G4783" s="1" t="n">
        <v>100</v>
      </c>
      <c r="H4783" s="1" t="n">
        <v>0</v>
      </c>
      <c r="I4783" s="1" t="n">
        <v>0</v>
      </c>
      <c r="J4783" t="n">
        <v>54338000</v>
      </c>
    </row>
    <row r="4784" ht="15.75" customHeight="1" s="201">
      <c r="A4784" s="1" t="inlineStr">
        <is>
          <t>Okara</t>
        </is>
      </c>
      <c r="C4784" s="1" t="n">
        <v>12.23</v>
      </c>
      <c r="D4784" s="1" t="n">
        <v>26</v>
      </c>
      <c r="E4784" s="1" t="n">
        <v>1.3</v>
      </c>
      <c r="F4784" s="1" t="n">
        <v>3.52</v>
      </c>
      <c r="G4784" s="1" t="n">
        <v>1.73</v>
      </c>
      <c r="H4784" s="1" t="n">
        <v>0</v>
      </c>
      <c r="I4784" s="1" t="n">
        <v>0.5600000000000001</v>
      </c>
    </row>
    <row r="4785" ht="15.75" customHeight="1" s="201">
      <c r="A4785" s="1" t="inlineStr">
        <is>
          <t>Okra, cooked, boiled, drained, with salt</t>
        </is>
      </c>
      <c r="C4785" s="1" t="n">
        <v>4.51</v>
      </c>
      <c r="D4785" s="1" t="n">
        <v>46</v>
      </c>
      <c r="E4785" s="1" t="n">
        <v>0.28</v>
      </c>
      <c r="F4785" s="1" t="n">
        <v>1.87</v>
      </c>
      <c r="G4785" s="1" t="n">
        <v>0.21</v>
      </c>
      <c r="H4785" s="1" t="n">
        <v>283</v>
      </c>
      <c r="I4785" s="1" t="n">
        <v>0.43</v>
      </c>
      <c r="J4785" t="n">
        <v>75142550</v>
      </c>
    </row>
    <row r="4786" ht="15.75" customHeight="1" s="201">
      <c r="A4786" s="1" t="inlineStr">
        <is>
          <t>Okra, cooked, boiled, drained, without salt</t>
        </is>
      </c>
      <c r="C4786" s="1" t="n">
        <v>4.51</v>
      </c>
      <c r="D4786" s="1" t="n">
        <v>46</v>
      </c>
      <c r="E4786" s="1" t="n">
        <v>0.28</v>
      </c>
      <c r="F4786" s="1" t="n">
        <v>1.87</v>
      </c>
      <c r="G4786" s="1" t="n">
        <v>0.21</v>
      </c>
      <c r="H4786" s="1" t="n">
        <v>283</v>
      </c>
      <c r="I4786" s="1" t="n">
        <v>0.43</v>
      </c>
      <c r="J4786" t="n">
        <v>31103010</v>
      </c>
    </row>
    <row r="4787" ht="15.75" customHeight="1" s="201">
      <c r="A4787" s="1" t="inlineStr">
        <is>
          <t>Okra, frozen, cooked, boiled, drained, with salt</t>
        </is>
      </c>
      <c r="C4787" s="1" t="n">
        <v>6.41</v>
      </c>
      <c r="D4787" s="1" t="n">
        <v>100</v>
      </c>
      <c r="E4787" s="1" t="n">
        <v>0.52</v>
      </c>
      <c r="F4787" s="1" t="n">
        <v>1.63</v>
      </c>
      <c r="G4787" s="1" t="n">
        <v>0.24</v>
      </c>
      <c r="H4787" s="1" t="n">
        <v>305</v>
      </c>
      <c r="I4787" s="1" t="n">
        <v>0.49</v>
      </c>
      <c r="J4787" t="n">
        <v>75142550</v>
      </c>
    </row>
    <row r="4788" ht="15.75" customHeight="1" s="201">
      <c r="A4788" s="1" t="inlineStr">
        <is>
          <t>Okra, frozen, cooked, boiled, drained, without salt</t>
        </is>
      </c>
      <c r="C4788" s="1" t="n">
        <v>6.41</v>
      </c>
      <c r="D4788" s="1" t="n">
        <v>100</v>
      </c>
      <c r="E4788" s="1" t="n">
        <v>0.52</v>
      </c>
      <c r="F4788" s="1" t="n">
        <v>1.63</v>
      </c>
      <c r="G4788" s="1" t="n">
        <v>0.24</v>
      </c>
      <c r="H4788" s="1" t="n">
        <v>305</v>
      </c>
      <c r="I4788" s="1" t="n">
        <v>0.49</v>
      </c>
      <c r="J4788" t="n">
        <v>71102990</v>
      </c>
    </row>
    <row r="4789" ht="15.75" customHeight="1" s="201">
      <c r="A4789" s="1" t="inlineStr">
        <is>
          <t>Okra, frozen, unprepared</t>
        </is>
      </c>
      <c r="C4789" s="1" t="n">
        <v>6.63</v>
      </c>
      <c r="D4789" s="1" t="n">
        <v>148</v>
      </c>
      <c r="E4789" s="1" t="n">
        <v>0.57</v>
      </c>
      <c r="F4789" s="1" t="n">
        <v>1.69</v>
      </c>
      <c r="G4789" s="1" t="n">
        <v>0.25</v>
      </c>
      <c r="H4789" s="1" t="n">
        <v>350</v>
      </c>
      <c r="I4789" s="1" t="n">
        <v>0.53</v>
      </c>
      <c r="J4789" t="n">
        <v>75220012</v>
      </c>
    </row>
    <row r="4790" ht="15.75" customHeight="1" s="201">
      <c r="A4790" s="1" t="inlineStr">
        <is>
          <t>Okra, raw</t>
        </is>
      </c>
      <c r="C4790" s="1" t="n">
        <v>7.45</v>
      </c>
      <c r="D4790" s="1" t="n">
        <v>60</v>
      </c>
      <c r="E4790" s="1" t="n">
        <v>0.62</v>
      </c>
      <c r="F4790" s="1" t="n">
        <v>1.93</v>
      </c>
      <c r="G4790" s="1" t="n">
        <v>0.19</v>
      </c>
      <c r="H4790" s="1" t="n">
        <v>716</v>
      </c>
      <c r="I4790" s="1" t="n">
        <v>0.58</v>
      </c>
      <c r="J4790" t="n">
        <v>27363000</v>
      </c>
    </row>
    <row r="4791" ht="15.75" customHeight="1" s="201">
      <c r="A4791" s="1" t="inlineStr">
        <is>
          <t>OLIVE GARDEN, cheese ravioli with marinara sauce</t>
        </is>
      </c>
      <c r="C4791" s="1" t="n">
        <v>19.64</v>
      </c>
      <c r="D4791" s="1" t="n">
        <v>44</v>
      </c>
      <c r="E4791" s="1" t="n">
        <v>0.96</v>
      </c>
      <c r="F4791" s="1" t="n">
        <v>7.44</v>
      </c>
      <c r="G4791" s="1" t="n">
        <v>5.61</v>
      </c>
      <c r="H4791" s="1" t="n">
        <v>330</v>
      </c>
      <c r="I4791" s="1" t="n">
        <v>0.75</v>
      </c>
      <c r="J4791" t="n">
        <v>51121065</v>
      </c>
    </row>
    <row r="4792" ht="15.75" customHeight="1" s="201">
      <c r="A4792" s="1" t="inlineStr">
        <is>
          <t>OLIVE GARDEN, chicken parmigiana without pasta</t>
        </is>
      </c>
      <c r="C4792" s="1" t="n">
        <v>12.28</v>
      </c>
      <c r="D4792" s="1" t="n">
        <v>16</v>
      </c>
      <c r="E4792" s="1" t="n">
        <v>0.58</v>
      </c>
      <c r="F4792" s="1" t="n">
        <v>15.33</v>
      </c>
      <c r="G4792" s="1" t="n">
        <v>11.23</v>
      </c>
      <c r="H4792" s="1" t="n">
        <v>259</v>
      </c>
      <c r="I4792" s="1" t="n">
        <v>0.86</v>
      </c>
      <c r="J4792" t="n">
        <v>27446315</v>
      </c>
    </row>
    <row r="4793" ht="15.75" customHeight="1" s="201">
      <c r="A4793" s="1" t="inlineStr">
        <is>
          <t>OLIVE GARDEN, lasagna classico</t>
        </is>
      </c>
      <c r="C4793" s="1" t="n">
        <v>10.33</v>
      </c>
      <c r="D4793" s="1" t="n">
        <v>35</v>
      </c>
      <c r="E4793" s="1" t="n">
        <v>0.75</v>
      </c>
      <c r="F4793" s="1" t="n">
        <v>11.28</v>
      </c>
      <c r="G4793" s="1" t="n">
        <v>10.84</v>
      </c>
      <c r="H4793" s="1" t="n">
        <v>414</v>
      </c>
      <c r="I4793" s="1" t="n">
        <v>1.31</v>
      </c>
      <c r="J4793" t="n">
        <v>76407010</v>
      </c>
    </row>
    <row r="4794" ht="15.75" customHeight="1" s="201">
      <c r="A4794" s="1" t="inlineStr">
        <is>
          <t>OLIVE GARDEN, spaghetti with meat sauce</t>
        </is>
      </c>
      <c r="C4794" s="1" t="n">
        <v>17.19</v>
      </c>
      <c r="D4794" s="1" t="n">
        <v>30</v>
      </c>
      <c r="E4794" s="1" t="n">
        <v>1.03</v>
      </c>
      <c r="F4794" s="1" t="n">
        <v>5.8</v>
      </c>
      <c r="G4794" s="1" t="n">
        <v>3.28</v>
      </c>
      <c r="H4794" s="1" t="n">
        <v>191</v>
      </c>
      <c r="I4794" s="1" t="n">
        <v>0.68</v>
      </c>
      <c r="J4794" t="n">
        <v>58301050</v>
      </c>
    </row>
    <row r="4795" ht="15.75" customHeight="1" s="201">
      <c r="A4795" s="1" t="inlineStr">
        <is>
          <t>OLIVE GARDEN, spaghetti with pomodoro sauce</t>
        </is>
      </c>
      <c r="C4795" s="1" t="n">
        <v>17.14</v>
      </c>
      <c r="D4795" s="1" t="n">
        <v>27</v>
      </c>
      <c r="E4795" s="1" t="n">
        <v>0.98</v>
      </c>
      <c r="F4795" s="1" t="n">
        <v>4.26</v>
      </c>
      <c r="G4795" s="1" t="n">
        <v>1.85</v>
      </c>
      <c r="H4795" s="1" t="n">
        <v>218</v>
      </c>
      <c r="I4795" s="1" t="n">
        <v>0.34</v>
      </c>
      <c r="J4795" t="n">
        <v>75142550</v>
      </c>
    </row>
    <row r="4796" ht="15.75" customHeight="1" s="201">
      <c r="A4796" s="1" t="inlineStr">
        <is>
          <t>Olive loaf, pork</t>
        </is>
      </c>
      <c r="C4796" s="1" t="n">
        <v>9.199999999999999</v>
      </c>
      <c r="D4796" s="1" t="n">
        <v>2</v>
      </c>
      <c r="E4796" s="1" t="n">
        <v>0.54</v>
      </c>
      <c r="F4796" s="1" t="n">
        <v>11.8</v>
      </c>
      <c r="G4796" s="1" t="n">
        <v>16.5</v>
      </c>
      <c r="H4796" s="1" t="n">
        <v>200</v>
      </c>
      <c r="I4796" s="1" t="n">
        <v>1.38</v>
      </c>
      <c r="J4796" t="n">
        <v>25230610</v>
      </c>
    </row>
    <row r="4797" ht="15.75" customHeight="1" s="201">
      <c r="A4797" s="1" t="inlineStr">
        <is>
          <t>Olives, pickled, canned or bottled, green</t>
        </is>
      </c>
      <c r="C4797" s="1" t="n">
        <v>3.84</v>
      </c>
      <c r="D4797" s="1" t="n">
        <v>3</v>
      </c>
      <c r="E4797" s="1" t="n">
        <v>0.49</v>
      </c>
      <c r="F4797" s="1" t="n">
        <v>1.03</v>
      </c>
      <c r="G4797" s="1" t="n">
        <v>15.32</v>
      </c>
      <c r="H4797" s="1" t="n">
        <v>393</v>
      </c>
      <c r="I4797" s="1" t="n">
        <v>0.04</v>
      </c>
      <c r="J4797" t="n">
        <v>63311110</v>
      </c>
    </row>
    <row r="4798" ht="15.75" customHeight="1" s="201">
      <c r="A4798" s="1" t="inlineStr">
        <is>
          <t>Olives, ripe, canned (jumbo-super colossal)</t>
        </is>
      </c>
      <c r="C4798" s="1" t="n">
        <v>5.61</v>
      </c>
      <c r="D4798" s="1" t="n">
        <v>0</v>
      </c>
      <c r="E4798" s="1" t="n">
        <v>3.32</v>
      </c>
      <c r="F4798" s="1" t="n">
        <v>0.97</v>
      </c>
      <c r="G4798" s="1" t="n">
        <v>6.87</v>
      </c>
      <c r="H4798" s="1" t="n">
        <v>346</v>
      </c>
      <c r="I4798" s="1" t="n">
        <v>0.22</v>
      </c>
      <c r="J4798" t="n">
        <v>63311110</v>
      </c>
    </row>
    <row r="4799" ht="15.75" customHeight="1" s="201">
      <c r="A4799" s="1" t="inlineStr">
        <is>
          <t>Olives, ripe, canned (small-extra large)</t>
        </is>
      </c>
      <c r="C4799" s="1" t="n">
        <v>6.04</v>
      </c>
      <c r="D4799" s="1" t="n">
        <v>0</v>
      </c>
      <c r="E4799" s="1" t="n">
        <v>6.28</v>
      </c>
      <c r="F4799" s="1" t="n">
        <v>0.84</v>
      </c>
      <c r="G4799" s="1" t="n">
        <v>10.9</v>
      </c>
      <c r="H4799" s="1" t="n">
        <v>330</v>
      </c>
      <c r="I4799" s="1" t="n">
        <v>0.22</v>
      </c>
      <c r="J4799" t="n">
        <v>63311110</v>
      </c>
    </row>
    <row r="4800" ht="15.75" customHeight="1" s="201">
      <c r="A4800" s="1" t="inlineStr">
        <is>
          <t>ON THE BORDER, cheese enchilada</t>
        </is>
      </c>
      <c r="C4800" s="1" t="n">
        <v>16.2</v>
      </c>
      <c r="D4800" s="1" t="n">
        <v>14</v>
      </c>
      <c r="E4800" s="1" t="n">
        <v>0.71</v>
      </c>
      <c r="F4800" s="1" t="n">
        <v>11.67</v>
      </c>
      <c r="G4800" s="1" t="n">
        <v>17.74</v>
      </c>
      <c r="H4800" s="1" t="n">
        <v>195</v>
      </c>
      <c r="I4800" s="1" t="n">
        <v>1.88</v>
      </c>
      <c r="J4800" t="n">
        <v>14420100</v>
      </c>
    </row>
    <row r="4801" ht="15.75" customHeight="1" s="201">
      <c r="A4801" s="1" t="inlineStr">
        <is>
          <t>ON THE BORDER, cheese quesadilla</t>
        </is>
      </c>
      <c r="C4801" s="1" t="n">
        <v>24.25</v>
      </c>
      <c r="D4801" s="1" t="n">
        <v>55</v>
      </c>
      <c r="E4801" s="1" t="n">
        <v>1.52</v>
      </c>
      <c r="F4801" s="1" t="n">
        <v>16.87</v>
      </c>
      <c r="G4801" s="1" t="n">
        <v>25.5</v>
      </c>
      <c r="I4801" s="1" t="n">
        <v>2.32</v>
      </c>
      <c r="J4801" t="n">
        <v>14420100</v>
      </c>
    </row>
    <row r="4802" ht="15.75" customHeight="1" s="201">
      <c r="A4802" s="1" t="inlineStr">
        <is>
          <t>ON THE BORDER, Mexican rice</t>
        </is>
      </c>
      <c r="C4802" s="1" t="n">
        <v>34.15</v>
      </c>
      <c r="D4802" s="1" t="n">
        <v>52</v>
      </c>
      <c r="E4802" s="1" t="n">
        <v>1.18</v>
      </c>
      <c r="F4802" s="1" t="n">
        <v>3.56</v>
      </c>
      <c r="G4802" s="1" t="n">
        <v>4.86</v>
      </c>
      <c r="H4802" s="1" t="n">
        <v>61</v>
      </c>
      <c r="I4802" s="1" t="n">
        <v>0.38</v>
      </c>
      <c r="J4802" t="n">
        <v>58163410</v>
      </c>
    </row>
    <row r="4803" ht="15.75" customHeight="1" s="201">
      <c r="A4803" s="1" t="inlineStr">
        <is>
          <t>ON THE BORDER, refried beans</t>
        </is>
      </c>
      <c r="C4803" s="1" t="n">
        <v>17.52</v>
      </c>
      <c r="D4803" s="1" t="n">
        <v>36</v>
      </c>
      <c r="E4803" s="1" t="n">
        <v>1.67</v>
      </c>
      <c r="F4803" s="1" t="n">
        <v>7.3</v>
      </c>
      <c r="G4803" s="1" t="n">
        <v>5</v>
      </c>
      <c r="I4803" s="1" t="n">
        <v>0.98</v>
      </c>
      <c r="J4803" t="n">
        <v>41205010</v>
      </c>
    </row>
    <row r="4804" ht="15.75" customHeight="1" s="201">
      <c r="A4804" s="1" t="inlineStr">
        <is>
          <t>ON THE BORDER, soft taco with ground beef, cheese and lettuce</t>
        </is>
      </c>
      <c r="C4804" s="1" t="n">
        <v>19.28</v>
      </c>
      <c r="D4804" s="1" t="n">
        <v>40</v>
      </c>
      <c r="E4804" s="1" t="n">
        <v>1.94</v>
      </c>
      <c r="F4804" s="1" t="n">
        <v>13.19</v>
      </c>
      <c r="G4804" s="1" t="n">
        <v>11.05</v>
      </c>
      <c r="H4804" s="1" t="n">
        <v>89</v>
      </c>
      <c r="I4804" s="1" t="n">
        <v>1.97</v>
      </c>
      <c r="J4804" t="n">
        <v>58101347</v>
      </c>
    </row>
    <row r="4805" ht="15.75" customHeight="1" s="201">
      <c r="A4805" s="1" t="inlineStr">
        <is>
          <t>Onion rings, breaded, par fried, frozen, prepared, heated in oven</t>
        </is>
      </c>
      <c r="C4805" s="1" t="n">
        <v>33.79</v>
      </c>
      <c r="D4805" s="1" t="n">
        <v>33</v>
      </c>
      <c r="E4805" s="1" t="n">
        <v>1.25</v>
      </c>
      <c r="F4805" s="1" t="n">
        <v>4.14</v>
      </c>
      <c r="G4805" s="1" t="n">
        <v>14.3</v>
      </c>
      <c r="H4805" s="1" t="n">
        <v>0</v>
      </c>
      <c r="I4805" s="1" t="n">
        <v>0.42</v>
      </c>
      <c r="J4805" t="n">
        <v>11440030</v>
      </c>
    </row>
    <row r="4806" ht="15.75" customHeight="1" s="201">
      <c r="A4806" s="1" t="inlineStr">
        <is>
          <t>Onion rings, breaded, par fried, frozen, unprepared</t>
        </is>
      </c>
      <c r="C4806" s="1" t="n">
        <v>30.53</v>
      </c>
      <c r="D4806" s="1" t="n">
        <v>48</v>
      </c>
      <c r="E4806" s="1" t="n">
        <v>0.93</v>
      </c>
      <c r="F4806" s="1" t="n">
        <v>3.15</v>
      </c>
      <c r="G4806" s="1" t="n">
        <v>14.1</v>
      </c>
      <c r="H4806" s="1" t="n">
        <v>0</v>
      </c>
      <c r="I4806" s="1" t="n">
        <v>0.36</v>
      </c>
      <c r="J4806" t="n">
        <v>11440030</v>
      </c>
    </row>
    <row r="4807" ht="15.75" customHeight="1" s="201">
      <c r="A4807" s="1" t="inlineStr">
        <is>
          <t>Onions, canned, solids and liquids</t>
        </is>
      </c>
      <c r="C4807" s="1" t="n">
        <v>4.02</v>
      </c>
      <c r="D4807" s="1" t="n">
        <v>10</v>
      </c>
      <c r="E4807" s="1" t="n">
        <v>0.13</v>
      </c>
      <c r="F4807" s="1" t="n">
        <v>0.85</v>
      </c>
      <c r="G4807" s="1" t="n">
        <v>0.09</v>
      </c>
      <c r="H4807" s="1" t="n">
        <v>1</v>
      </c>
      <c r="I4807" s="1" t="n">
        <v>0.29</v>
      </c>
      <c r="J4807" t="n">
        <v>75117020</v>
      </c>
    </row>
    <row r="4808" ht="15.75" customHeight="1" s="201">
      <c r="A4808" s="1" t="inlineStr">
        <is>
          <t>Onions, cooked, boiled, drained, with salt</t>
        </is>
      </c>
      <c r="C4808" s="1" t="n">
        <v>9.56</v>
      </c>
      <c r="D4808" s="1" t="n">
        <v>15</v>
      </c>
      <c r="E4808" s="1" t="n">
        <v>0.24</v>
      </c>
      <c r="F4808" s="1" t="n">
        <v>1.36</v>
      </c>
      <c r="G4808" s="1" t="n">
        <v>0.19</v>
      </c>
      <c r="H4808" s="1" t="n">
        <v>2</v>
      </c>
      <c r="I4808" s="1" t="n">
        <v>0.21</v>
      </c>
      <c r="J4808" t="n">
        <v>75142550</v>
      </c>
    </row>
    <row r="4809" ht="15.75" customHeight="1" s="201">
      <c r="A4809" s="1" t="inlineStr">
        <is>
          <t>Onions, cooked, boiled, drained, without salt</t>
        </is>
      </c>
      <c r="C4809" s="1" t="n">
        <v>10.15</v>
      </c>
      <c r="D4809" s="1" t="n">
        <v>15</v>
      </c>
      <c r="E4809" s="1" t="n">
        <v>0.24</v>
      </c>
      <c r="F4809" s="1" t="n">
        <v>1.36</v>
      </c>
      <c r="G4809" s="1" t="n">
        <v>0.19</v>
      </c>
      <c r="H4809" s="1" t="n">
        <v>2</v>
      </c>
      <c r="I4809" s="1" t="n">
        <v>0.21</v>
      </c>
      <c r="J4809" t="n">
        <v>75221030</v>
      </c>
    </row>
    <row r="4810" ht="15.75" customHeight="1" s="201">
      <c r="A4810" s="1" t="inlineStr">
        <is>
          <t>Onions, dehydrated flakes</t>
        </is>
      </c>
      <c r="C4810" s="1" t="n">
        <v>83.28</v>
      </c>
      <c r="D4810" s="1" t="n">
        <v>166</v>
      </c>
      <c r="E4810" s="1" t="n">
        <v>1.55</v>
      </c>
      <c r="F4810" s="1" t="n">
        <v>8.949999999999999</v>
      </c>
      <c r="G4810" s="1" t="n">
        <v>0.46</v>
      </c>
      <c r="H4810" s="1" t="n">
        <v>18</v>
      </c>
      <c r="I4810" s="1" t="n">
        <v>1.89</v>
      </c>
      <c r="J4810" t="n">
        <v>75117020</v>
      </c>
    </row>
    <row r="4811" ht="15.75" customHeight="1" s="201">
      <c r="A4811" s="1" t="inlineStr">
        <is>
          <t>Onions, frozen, chopped, cooked, boiled, drained, with salt</t>
        </is>
      </c>
      <c r="C4811" s="1" t="n">
        <v>6</v>
      </c>
      <c r="D4811" s="1" t="n">
        <v>13</v>
      </c>
      <c r="E4811" s="1" t="n">
        <v>0.3</v>
      </c>
      <c r="F4811" s="1" t="n">
        <v>0.77</v>
      </c>
      <c r="G4811" s="1" t="n">
        <v>0.1</v>
      </c>
      <c r="H4811" s="1" t="n">
        <v>2</v>
      </c>
      <c r="I4811" s="1" t="n">
        <v>0.07000000000000001</v>
      </c>
      <c r="J4811" t="n">
        <v>75142550</v>
      </c>
    </row>
    <row r="4812" ht="15.75" customHeight="1" s="201">
      <c r="A4812" s="1" t="inlineStr">
        <is>
          <t>Onions, frozen, chopped, cooked, boiled, drained, without salt</t>
        </is>
      </c>
      <c r="C4812" s="1" t="n">
        <v>6.59</v>
      </c>
      <c r="D4812" s="1" t="n">
        <v>13</v>
      </c>
      <c r="E4812" s="1" t="n">
        <v>0.3</v>
      </c>
      <c r="F4812" s="1" t="n">
        <v>0.77</v>
      </c>
      <c r="G4812" s="1" t="n">
        <v>0.1</v>
      </c>
      <c r="H4812" s="1" t="n">
        <v>2</v>
      </c>
      <c r="I4812" s="1" t="n">
        <v>0.07000000000000001</v>
      </c>
      <c r="J4812" t="n">
        <v>75221030</v>
      </c>
    </row>
    <row r="4813" ht="15.75" customHeight="1" s="201">
      <c r="A4813" s="1" t="inlineStr">
        <is>
          <t>Onions, frozen, chopped, unprepared</t>
        </is>
      </c>
      <c r="C4813" s="1" t="n">
        <v>6.82</v>
      </c>
      <c r="D4813" s="1" t="n">
        <v>17</v>
      </c>
      <c r="E4813" s="1" t="n">
        <v>0.33</v>
      </c>
      <c r="F4813" s="1" t="n">
        <v>0.79</v>
      </c>
      <c r="G4813" s="1" t="n">
        <v>0.1</v>
      </c>
      <c r="H4813" s="1" t="n">
        <v>35</v>
      </c>
      <c r="I4813" s="1" t="n">
        <v>0.07000000000000001</v>
      </c>
      <c r="J4813" t="n">
        <v>28110220</v>
      </c>
    </row>
    <row r="4814" ht="15.75" customHeight="1" s="201">
      <c r="A4814" s="1" t="inlineStr">
        <is>
          <t>Onions, frozen, whole, cooked, boiled, drained, with salt</t>
        </is>
      </c>
      <c r="C4814" s="1" t="n">
        <v>6.11</v>
      </c>
      <c r="D4814" s="1" t="n">
        <v>13</v>
      </c>
      <c r="E4814" s="1" t="n">
        <v>0.34</v>
      </c>
      <c r="F4814" s="1" t="n">
        <v>0.71</v>
      </c>
      <c r="G4814" s="1" t="n">
        <v>0.05</v>
      </c>
      <c r="H4814" s="1" t="n">
        <v>2</v>
      </c>
      <c r="I4814" s="1" t="n">
        <v>0.09</v>
      </c>
      <c r="J4814" t="n">
        <v>75142550</v>
      </c>
    </row>
    <row r="4815" ht="15.75" customHeight="1" s="201">
      <c r="A4815" s="1" t="inlineStr">
        <is>
          <t>Onions, frozen, whole, cooked, boiled, drained, without salt</t>
        </is>
      </c>
      <c r="C4815" s="1" t="n">
        <v>6.7</v>
      </c>
      <c r="D4815" s="1" t="n">
        <v>13</v>
      </c>
      <c r="E4815" s="1" t="n">
        <v>0.34</v>
      </c>
      <c r="F4815" s="1" t="n">
        <v>0.71</v>
      </c>
      <c r="G4815" s="1" t="n">
        <v>0.05</v>
      </c>
      <c r="H4815" s="1" t="n">
        <v>2</v>
      </c>
      <c r="I4815" s="1" t="n">
        <v>0.09</v>
      </c>
      <c r="J4815" t="n">
        <v>31103010</v>
      </c>
    </row>
    <row r="4816" ht="15.75" customHeight="1" s="201">
      <c r="A4816" s="1" t="inlineStr">
        <is>
          <t>Onions, frozen, whole, unprepared</t>
        </is>
      </c>
      <c r="C4816" s="1" t="n">
        <v>8.449999999999999</v>
      </c>
      <c r="D4816" s="1" t="n">
        <v>21</v>
      </c>
      <c r="E4816" s="1" t="n">
        <v>0.46</v>
      </c>
      <c r="F4816" s="1" t="n">
        <v>0.89</v>
      </c>
      <c r="G4816" s="1" t="n">
        <v>0.06</v>
      </c>
      <c r="H4816" s="1" t="n">
        <v>2</v>
      </c>
      <c r="I4816" s="1" t="n">
        <v>0.12</v>
      </c>
      <c r="J4816" t="n">
        <v>58146613</v>
      </c>
    </row>
    <row r="4817" ht="15.75" customHeight="1" s="201">
      <c r="A4817" s="1" t="inlineStr">
        <is>
          <t>Onions, raw</t>
        </is>
      </c>
      <c r="C4817" s="1" t="n">
        <v>9.34</v>
      </c>
      <c r="D4817" s="1" t="n">
        <v>19</v>
      </c>
      <c r="E4817" s="1" t="n">
        <v>0.21</v>
      </c>
      <c r="F4817" s="1" t="n">
        <v>1.1</v>
      </c>
      <c r="G4817" s="1" t="n">
        <v>0.1</v>
      </c>
      <c r="H4817" s="1" t="n">
        <v>2</v>
      </c>
      <c r="I4817" s="1" t="n">
        <v>0.17</v>
      </c>
      <c r="J4817" t="n">
        <v>75117020</v>
      </c>
    </row>
    <row r="4818" ht="15.75" customHeight="1" s="201">
      <c r="A4818" s="1" t="inlineStr">
        <is>
          <t>Onions, spring or scallions (includes tops and bulb), raw</t>
        </is>
      </c>
      <c r="C4818" s="1" t="n">
        <v>7.34</v>
      </c>
      <c r="D4818" s="1" t="n">
        <v>64</v>
      </c>
      <c r="E4818" s="1" t="n">
        <v>1.48</v>
      </c>
      <c r="F4818" s="1" t="n">
        <v>1.83</v>
      </c>
      <c r="G4818" s="1" t="n">
        <v>0.19</v>
      </c>
      <c r="H4818" s="1" t="n">
        <v>997</v>
      </c>
      <c r="I4818" s="1" t="n">
        <v>0.39</v>
      </c>
      <c r="J4818" t="n">
        <v>75117010</v>
      </c>
    </row>
    <row r="4819" ht="15.75" customHeight="1" s="201">
      <c r="A4819" s="1" t="inlineStr">
        <is>
          <t>Onions, sweet, raw</t>
        </is>
      </c>
      <c r="C4819" s="1" t="n">
        <v>7.55</v>
      </c>
      <c r="D4819" s="1" t="n">
        <v>23</v>
      </c>
      <c r="E4819" s="1" t="n">
        <v>0.26</v>
      </c>
      <c r="F4819" s="1" t="n">
        <v>0.8</v>
      </c>
      <c r="G4819" s="1" t="n">
        <v>0.08</v>
      </c>
      <c r="H4819" s="1" t="n">
        <v>1</v>
      </c>
      <c r="I4819" s="1" t="n">
        <v>0.13</v>
      </c>
      <c r="J4819" t="n">
        <v>75117020</v>
      </c>
    </row>
    <row r="4820" ht="15.75" customHeight="1" s="201">
      <c r="A4820" s="1" t="inlineStr">
        <is>
          <t>Onions, welsh, raw</t>
        </is>
      </c>
      <c r="C4820" s="1" t="n">
        <v>6.5</v>
      </c>
      <c r="D4820" s="1" t="n">
        <v>16</v>
      </c>
      <c r="E4820" s="1" t="n">
        <v>1.22</v>
      </c>
      <c r="F4820" s="1" t="n">
        <v>1.9</v>
      </c>
      <c r="G4820" s="1" t="n">
        <v>0.4</v>
      </c>
      <c r="H4820" s="1" t="n">
        <v>1160</v>
      </c>
      <c r="I4820" s="1" t="n">
        <v>0.52</v>
      </c>
      <c r="J4820" t="n">
        <v>75117020</v>
      </c>
    </row>
    <row r="4821" ht="15.75" customHeight="1" s="201">
      <c r="A4821" s="1" t="inlineStr">
        <is>
          <t>Onions, yellow, sauteed</t>
        </is>
      </c>
      <c r="C4821" s="1" t="n">
        <v>7.86</v>
      </c>
      <c r="D4821" s="1" t="n">
        <v>2</v>
      </c>
      <c r="E4821" s="1" t="n">
        <v>0.27</v>
      </c>
      <c r="F4821" s="1" t="n">
        <v>0.95</v>
      </c>
      <c r="G4821" s="1" t="n">
        <v>10.8</v>
      </c>
      <c r="I4821" s="1" t="n">
        <v>0.21</v>
      </c>
      <c r="J4821" t="n">
        <v>53109200</v>
      </c>
    </row>
    <row r="4822" ht="15.75" customHeight="1" s="201">
      <c r="A4822" s="1" t="inlineStr">
        <is>
          <t>Onions, young green, tops only</t>
        </is>
      </c>
      <c r="C4822" s="1" t="n">
        <v>5.74</v>
      </c>
      <c r="D4822" s="1" t="n">
        <v>30</v>
      </c>
      <c r="E4822" s="1" t="n">
        <v>0.51</v>
      </c>
      <c r="F4822" s="1" t="n">
        <v>0.97</v>
      </c>
      <c r="G4822" s="1" t="n">
        <v>0.47</v>
      </c>
      <c r="H4822" s="1" t="n">
        <v>4000</v>
      </c>
      <c r="I4822" s="1" t="n">
        <v>0.2</v>
      </c>
      <c r="J4822" t="n">
        <v>75117010</v>
      </c>
    </row>
    <row r="4823" ht="15.75" customHeight="1" s="201">
      <c r="A4823" s="1" t="inlineStr">
        <is>
          <t>Oopah (tunicate), whole animal (Alaska Native)</t>
        </is>
      </c>
      <c r="C4823" s="1" t="n">
        <v>0</v>
      </c>
      <c r="E4823" s="1" t="n">
        <v>20.7</v>
      </c>
      <c r="F4823" s="1" t="n">
        <v>11.7</v>
      </c>
      <c r="G4823" s="1" t="n">
        <v>2.2</v>
      </c>
      <c r="J4823" t="n">
        <v>54204030</v>
      </c>
    </row>
    <row r="4824" ht="15.75" customHeight="1" s="201">
      <c r="A4824" s="1" t="inlineStr">
        <is>
          <t>Orange juice, canned, unsweetened</t>
        </is>
      </c>
      <c r="C4824" s="1" t="n">
        <v>11.01</v>
      </c>
      <c r="D4824" s="1" t="n">
        <v>24</v>
      </c>
      <c r="E4824" s="1" t="n">
        <v>0.1</v>
      </c>
      <c r="F4824" s="1" t="n">
        <v>0.68</v>
      </c>
      <c r="G4824" s="1" t="n">
        <v>0.15</v>
      </c>
      <c r="H4824" s="1" t="n">
        <v>175</v>
      </c>
      <c r="I4824" s="1" t="n">
        <v>0.04</v>
      </c>
      <c r="J4824" t="n">
        <v>92550350</v>
      </c>
    </row>
    <row r="4825" ht="15.75" customHeight="1" s="201">
      <c r="A4825" s="1" t="inlineStr">
        <is>
          <t>Orange juice, chilled, includes from concentrate</t>
        </is>
      </c>
      <c r="C4825" s="1" t="n">
        <v>11.54</v>
      </c>
      <c r="D4825" s="1" t="n">
        <v>19</v>
      </c>
      <c r="E4825" s="1" t="n">
        <v>0.13</v>
      </c>
      <c r="F4825" s="1" t="n">
        <v>0.68</v>
      </c>
      <c r="G4825" s="1" t="n">
        <v>0.12</v>
      </c>
      <c r="H4825" s="1" t="n">
        <v>42</v>
      </c>
      <c r="I4825" s="1" t="n">
        <v>0.07000000000000001</v>
      </c>
      <c r="J4825" t="n">
        <v>92530610</v>
      </c>
    </row>
    <row r="4826" ht="15.75" customHeight="1" s="201">
      <c r="A4826" s="1" t="inlineStr">
        <is>
          <t>Orange juice, chilled, includes from concentrate, with added calcium</t>
        </is>
      </c>
      <c r="C4826" s="1" t="n">
        <v>11.27</v>
      </c>
      <c r="D4826" s="1" t="n">
        <v>19</v>
      </c>
      <c r="E4826" s="1" t="n">
        <v>0.13</v>
      </c>
      <c r="F4826" s="1" t="n">
        <v>0.68</v>
      </c>
      <c r="G4826" s="1" t="n">
        <v>0.12</v>
      </c>
      <c r="H4826" s="1" t="n">
        <v>42</v>
      </c>
      <c r="I4826" s="1" t="n">
        <v>0.07000000000000001</v>
      </c>
      <c r="J4826" t="n">
        <v>61210250</v>
      </c>
    </row>
    <row r="4827" ht="15.75" customHeight="1" s="201">
      <c r="A4827" s="1" t="inlineStr">
        <is>
          <t>Orange juice, chilled, includes from concentrate, with added calcium and vitamin D</t>
        </is>
      </c>
      <c r="C4827" s="1" t="n">
        <v>11.27</v>
      </c>
      <c r="D4827" s="1" t="n">
        <v>19</v>
      </c>
      <c r="E4827" s="1" t="n">
        <v>0.13</v>
      </c>
      <c r="F4827" s="1" t="n">
        <v>0.68</v>
      </c>
      <c r="G4827" s="1" t="n">
        <v>0.12</v>
      </c>
      <c r="H4827" s="1" t="n">
        <v>42</v>
      </c>
      <c r="I4827" s="1" t="n">
        <v>0.07000000000000001</v>
      </c>
      <c r="J4827" t="n">
        <v>61210250</v>
      </c>
    </row>
    <row r="4828" ht="15.75" customHeight="1" s="201">
      <c r="A4828" s="1" t="inlineStr">
        <is>
          <t>Orange juice, chilled, includes from concentrate, with added calcium and vitamins A, D, E</t>
        </is>
      </c>
      <c r="C4828" s="1" t="n">
        <v>11.54</v>
      </c>
      <c r="D4828" s="1" t="n">
        <v>19</v>
      </c>
      <c r="E4828" s="1" t="n">
        <v>0.13</v>
      </c>
      <c r="F4828" s="1" t="n">
        <v>0.68</v>
      </c>
      <c r="G4828" s="1" t="n">
        <v>0.12</v>
      </c>
      <c r="H4828" s="1" t="n">
        <v>417</v>
      </c>
      <c r="I4828" s="1" t="n">
        <v>0.07000000000000001</v>
      </c>
      <c r="J4828" t="n">
        <v>61210250</v>
      </c>
    </row>
    <row r="4829" ht="15.75" customHeight="1" s="201">
      <c r="A4829" s="1" t="inlineStr">
        <is>
          <t>Orange juice, frozen concentrate, unsweetened, diluted with 3 volume water</t>
        </is>
      </c>
      <c r="C4829" s="1" t="n">
        <v>8.800000000000001</v>
      </c>
      <c r="D4829" s="1" t="n">
        <v>19</v>
      </c>
      <c r="E4829" s="1" t="n">
        <v>0.08</v>
      </c>
      <c r="F4829" s="1" t="n">
        <v>0.6</v>
      </c>
      <c r="G4829" s="1" t="n">
        <v>0.06</v>
      </c>
      <c r="H4829" s="1" t="n">
        <v>66</v>
      </c>
      <c r="I4829" s="1" t="n">
        <v>0.04</v>
      </c>
      <c r="J4829" t="n">
        <v>11740312</v>
      </c>
    </row>
    <row r="4830" ht="15.75" customHeight="1" s="201">
      <c r="A4830" s="1" t="inlineStr">
        <is>
          <t>Orange juice, frozen concentrate, unsweetened, diluted with 3 volume water, with added calcium</t>
        </is>
      </c>
      <c r="C4830" s="1" t="n">
        <v>8.470000000000001</v>
      </c>
      <c r="D4830" s="1" t="n">
        <v>19</v>
      </c>
      <c r="E4830" s="1" t="n">
        <v>0.08</v>
      </c>
      <c r="F4830" s="1" t="n">
        <v>0.6</v>
      </c>
      <c r="G4830" s="1" t="n">
        <v>0.06</v>
      </c>
      <c r="H4830" s="1" t="n">
        <v>66</v>
      </c>
      <c r="I4830" s="1" t="n">
        <v>0.04</v>
      </c>
      <c r="J4830" t="n">
        <v>75142550</v>
      </c>
    </row>
    <row r="4831" ht="15.75" customHeight="1" s="201">
      <c r="A4831" s="1" t="inlineStr">
        <is>
          <t>Orange juice, frozen concentrate, unsweetened, undiluted</t>
        </is>
      </c>
      <c r="C4831" s="1" t="n">
        <v>35.19</v>
      </c>
      <c r="D4831" s="1" t="n">
        <v>77</v>
      </c>
      <c r="E4831" s="1" t="n">
        <v>0.33</v>
      </c>
      <c r="F4831" s="1" t="n">
        <v>2.4</v>
      </c>
      <c r="G4831" s="1" t="n">
        <v>0.25</v>
      </c>
      <c r="H4831" s="1" t="n">
        <v>264</v>
      </c>
      <c r="I4831" s="1" t="n">
        <v>0.16</v>
      </c>
      <c r="J4831" t="n">
        <v>92550350</v>
      </c>
    </row>
    <row r="4832" ht="15.75" customHeight="1" s="201">
      <c r="A4832" s="1" t="inlineStr">
        <is>
          <t>Orange juice, frozen concentrate, unsweetened, undiluted, with added calcium</t>
        </is>
      </c>
      <c r="C4832" s="1" t="n">
        <v>33.86</v>
      </c>
      <c r="D4832" s="1" t="n">
        <v>77</v>
      </c>
      <c r="E4832" s="1" t="n">
        <v>0.33</v>
      </c>
      <c r="F4832" s="1" t="n">
        <v>2.4</v>
      </c>
      <c r="G4832" s="1" t="n">
        <v>0.25</v>
      </c>
      <c r="H4832" s="1" t="n">
        <v>264</v>
      </c>
      <c r="I4832" s="1" t="n">
        <v>0.16</v>
      </c>
      <c r="J4832" t="n">
        <v>61210250</v>
      </c>
    </row>
    <row r="4833" ht="15.75" customHeight="1" s="201">
      <c r="A4833" s="1" t="inlineStr">
        <is>
          <t>Orange juice, raw (Includes foods for USDA's Food Distribution Program)</t>
        </is>
      </c>
      <c r="C4833" s="1" t="n">
        <v>10.4</v>
      </c>
      <c r="D4833" s="1" t="n">
        <v>30</v>
      </c>
      <c r="E4833" s="1" t="n">
        <v>0.2</v>
      </c>
      <c r="F4833" s="1" t="n">
        <v>0.7</v>
      </c>
      <c r="G4833" s="1" t="n">
        <v>0.2</v>
      </c>
      <c r="H4833" s="1" t="n">
        <v>200</v>
      </c>
      <c r="I4833" s="1" t="n">
        <v>0.05</v>
      </c>
      <c r="J4833" t="n">
        <v>92550350</v>
      </c>
    </row>
    <row r="4834" ht="15.75" customHeight="1" s="201">
      <c r="A4834" s="1" t="inlineStr">
        <is>
          <t>Orange peel, raw</t>
        </is>
      </c>
      <c r="C4834" s="1" t="n">
        <v>25</v>
      </c>
      <c r="D4834" s="1" t="n">
        <v>30</v>
      </c>
      <c r="E4834" s="1" t="n">
        <v>0.8</v>
      </c>
      <c r="F4834" s="1" t="n">
        <v>1.5</v>
      </c>
      <c r="G4834" s="1" t="n">
        <v>0.2</v>
      </c>
      <c r="H4834" s="1" t="n">
        <v>420</v>
      </c>
      <c r="I4834" s="1" t="n">
        <v>0.25</v>
      </c>
      <c r="J4834" t="n">
        <v>92550350</v>
      </c>
    </row>
    <row r="4835" ht="15.75" customHeight="1" s="201">
      <c r="A4835" s="1" t="inlineStr">
        <is>
          <t>Orange Pineapple Juice Blend</t>
        </is>
      </c>
      <c r="C4835" s="1" t="n">
        <v>12.2</v>
      </c>
      <c r="D4835" s="1" t="n">
        <v>10</v>
      </c>
      <c r="E4835" s="1" t="n">
        <v>0.18</v>
      </c>
      <c r="F4835" s="1" t="n">
        <v>0.41</v>
      </c>
      <c r="G4835" s="1" t="n">
        <v>0.08</v>
      </c>
      <c r="H4835" s="1" t="n">
        <v>17</v>
      </c>
      <c r="I4835" s="1" t="n">
        <v>0.06</v>
      </c>
      <c r="J4835" t="n">
        <v>92550350</v>
      </c>
    </row>
    <row r="4836" ht="15.75" customHeight="1" s="201">
      <c r="A4836" s="1" t="inlineStr">
        <is>
          <t>Orange-grapefruit juice, canned or bottled, unsweetened</t>
        </is>
      </c>
      <c r="C4836" s="1" t="n">
        <v>10.28</v>
      </c>
      <c r="D4836" s="1" t="n">
        <v>14</v>
      </c>
      <c r="E4836" s="1" t="n">
        <v>0.46</v>
      </c>
      <c r="F4836" s="1" t="n">
        <v>0.6</v>
      </c>
      <c r="G4836" s="1" t="n">
        <v>0.1</v>
      </c>
      <c r="H4836" s="1" t="n">
        <v>119</v>
      </c>
      <c r="I4836" s="1" t="n">
        <v>0.07000000000000001</v>
      </c>
      <c r="J4836" t="n">
        <v>92550350</v>
      </c>
    </row>
    <row r="4837" ht="15.75" customHeight="1" s="201">
      <c r="A4837" s="1" t="inlineStr">
        <is>
          <t>Oranges, raw, all commercial varieties</t>
        </is>
      </c>
      <c r="C4837" s="1" t="n">
        <v>11.75</v>
      </c>
      <c r="D4837" s="1" t="n">
        <v>30</v>
      </c>
      <c r="E4837" s="1" t="n">
        <v>0.1</v>
      </c>
      <c r="F4837" s="1" t="n">
        <v>0.9399999999999999</v>
      </c>
      <c r="G4837" s="1" t="n">
        <v>0.12</v>
      </c>
      <c r="H4837" s="1" t="n">
        <v>225</v>
      </c>
      <c r="I4837" s="1" t="n">
        <v>0.07000000000000001</v>
      </c>
      <c r="J4837" t="n">
        <v>63311000</v>
      </c>
    </row>
    <row r="4838" ht="15.75" customHeight="1" s="201">
      <c r="A4838" s="1" t="inlineStr">
        <is>
          <t>Oranges, raw, California, valencias</t>
        </is>
      </c>
      <c r="C4838" s="1" t="n">
        <v>11.89</v>
      </c>
      <c r="D4838" s="1" t="n">
        <v>39</v>
      </c>
      <c r="E4838" s="1" t="n">
        <v>0.09</v>
      </c>
      <c r="F4838" s="1" t="n">
        <v>1.04</v>
      </c>
      <c r="G4838" s="1" t="n">
        <v>0.3</v>
      </c>
      <c r="H4838" s="1" t="n">
        <v>230</v>
      </c>
      <c r="I4838" s="1" t="n">
        <v>0.06</v>
      </c>
      <c r="J4838" t="n">
        <v>63311000</v>
      </c>
    </row>
    <row r="4839" ht="15.75" customHeight="1" s="201">
      <c r="A4839" s="1" t="inlineStr">
        <is>
          <t>Oranges, raw, Florida</t>
        </is>
      </c>
      <c r="C4839" s="1" t="n">
        <v>11.54</v>
      </c>
      <c r="D4839" s="1" t="n">
        <v>17</v>
      </c>
      <c r="E4839" s="1" t="n">
        <v>0.09</v>
      </c>
      <c r="F4839" s="1" t="n">
        <v>0.7</v>
      </c>
      <c r="G4839" s="1" t="n">
        <v>0.21</v>
      </c>
      <c r="H4839" s="1" t="n">
        <v>225</v>
      </c>
      <c r="I4839" s="1" t="n">
        <v>0.08</v>
      </c>
      <c r="J4839" t="n">
        <v>63311000</v>
      </c>
    </row>
    <row r="4840" ht="15.75" customHeight="1" s="201">
      <c r="A4840" s="1" t="inlineStr">
        <is>
          <t>Oranges, raw, navels (Includes foods for USDA's Food Distribution Program)</t>
        </is>
      </c>
      <c r="C4840" s="1" t="n">
        <v>12.54</v>
      </c>
      <c r="D4840" s="1" t="n">
        <v>34</v>
      </c>
      <c r="E4840" s="1" t="n">
        <v>0.13</v>
      </c>
      <c r="F4840" s="1" t="n">
        <v>0.91</v>
      </c>
      <c r="G4840" s="1" t="n">
        <v>0.15</v>
      </c>
      <c r="H4840" s="1" t="n">
        <v>247</v>
      </c>
      <c r="I4840" s="1" t="n">
        <v>0.08</v>
      </c>
      <c r="J4840" t="n">
        <v>54350020</v>
      </c>
    </row>
    <row r="4841" ht="15.75" customHeight="1" s="201">
      <c r="A4841" s="1" t="inlineStr">
        <is>
          <t>Oranges, raw, with peel</t>
        </is>
      </c>
      <c r="C4841" s="1" t="n">
        <v>15.5</v>
      </c>
      <c r="D4841" s="1" t="n">
        <v>30</v>
      </c>
      <c r="E4841" s="1" t="n">
        <v>0.8</v>
      </c>
      <c r="F4841" s="1" t="n">
        <v>1.3</v>
      </c>
      <c r="G4841" s="1" t="n">
        <v>0.3</v>
      </c>
      <c r="H4841" s="1" t="n">
        <v>250</v>
      </c>
      <c r="I4841" s="1" t="n">
        <v>0.11</v>
      </c>
      <c r="J4841" t="n">
        <v>75142550</v>
      </c>
    </row>
    <row r="4842" ht="15.75" customHeight="1" s="201">
      <c r="A4842" s="1" t="inlineStr">
        <is>
          <t>Oscar Mayer, Bologna (beef)</t>
        </is>
      </c>
      <c r="C4842" s="1" t="n">
        <v>2.45</v>
      </c>
      <c r="D4842" s="1" t="n">
        <v>13</v>
      </c>
      <c r="E4842" s="1" t="n">
        <v>1.36</v>
      </c>
      <c r="F4842" s="1" t="n">
        <v>11.05</v>
      </c>
      <c r="G4842" s="1" t="n">
        <v>29.1</v>
      </c>
      <c r="H4842" s="1" t="n">
        <v>0</v>
      </c>
      <c r="I4842" s="1" t="n">
        <v>2.03</v>
      </c>
      <c r="J4842" t="n">
        <v>28110510</v>
      </c>
    </row>
    <row r="4843" ht="15.75" customHeight="1" s="201">
      <c r="A4843" s="1" t="inlineStr">
        <is>
          <t>Oscar Mayer, Braunschweiger Liver Sausage (sliced)</t>
        </is>
      </c>
      <c r="C4843" s="1" t="n">
        <v>2.6</v>
      </c>
      <c r="D4843" s="1" t="n">
        <v>47</v>
      </c>
      <c r="E4843" s="1" t="n">
        <v>10.51</v>
      </c>
      <c r="F4843" s="1" t="n">
        <v>14.25</v>
      </c>
      <c r="G4843" s="1" t="n">
        <v>29.35</v>
      </c>
      <c r="H4843" s="1" t="n">
        <v>15744</v>
      </c>
      <c r="I4843" s="1" t="n">
        <v>3.4</v>
      </c>
      <c r="J4843" t="n">
        <v>25230560</v>
      </c>
    </row>
    <row r="4844" ht="15.75" customHeight="1" s="201">
      <c r="A4844" s="1" t="inlineStr">
        <is>
          <t>Oscar Mayer, Chicken Breast (honey glazed)</t>
        </is>
      </c>
      <c r="C4844" s="1" t="n">
        <v>4.3</v>
      </c>
      <c r="D4844" s="1" t="n">
        <v>4</v>
      </c>
      <c r="E4844" s="1" t="n">
        <v>1.13</v>
      </c>
      <c r="F4844" s="1" t="n">
        <v>19.85</v>
      </c>
      <c r="G4844" s="1" t="n">
        <v>1.5</v>
      </c>
      <c r="H4844" s="1" t="n">
        <v>0</v>
      </c>
      <c r="I4844" s="1" t="n">
        <v>0.7</v>
      </c>
      <c r="J4844" t="n">
        <v>24198746</v>
      </c>
    </row>
    <row r="4845" ht="15.75" customHeight="1" s="201">
      <c r="A4845" s="1" t="inlineStr">
        <is>
          <t>Oscar Mayer, Ham (chopped with natural juice)</t>
        </is>
      </c>
      <c r="C4845" s="1" t="n">
        <v>3.65</v>
      </c>
      <c r="D4845" s="1" t="n">
        <v>3</v>
      </c>
      <c r="E4845" s="1" t="n">
        <v>1.3</v>
      </c>
      <c r="F4845" s="1" t="n">
        <v>16.3</v>
      </c>
      <c r="G4845" s="1" t="n">
        <v>11.15</v>
      </c>
      <c r="H4845" s="1" t="n">
        <v>0</v>
      </c>
      <c r="I4845" s="1" t="n">
        <v>2.25</v>
      </c>
      <c r="J4845" t="n">
        <v>75142550</v>
      </c>
    </row>
    <row r="4846" ht="15.75" customHeight="1" s="201">
      <c r="A4846" s="1" t="inlineStr">
        <is>
          <t>Oscar Mayer, Salami (hard)</t>
        </is>
      </c>
      <c r="C4846" s="1" t="n">
        <v>1.6</v>
      </c>
      <c r="D4846" s="1" t="n">
        <v>3</v>
      </c>
      <c r="E4846" s="1" t="n">
        <v>1.83</v>
      </c>
      <c r="F4846" s="1" t="n">
        <v>25.9</v>
      </c>
      <c r="G4846" s="1" t="n">
        <v>28.7</v>
      </c>
      <c r="H4846" s="1" t="n">
        <v>44</v>
      </c>
      <c r="I4846" s="1" t="n">
        <v>3.16</v>
      </c>
      <c r="J4846" t="n">
        <v>93106000</v>
      </c>
    </row>
    <row r="4847" ht="15.75" customHeight="1" s="201">
      <c r="A4847" s="1" t="inlineStr">
        <is>
          <t>Oscar Mayer, Smokies Sausage Little Cheese (pork, turkey)</t>
        </is>
      </c>
      <c r="C4847" s="1" t="n">
        <v>1.7</v>
      </c>
      <c r="E4847" s="1" t="n">
        <v>1.24</v>
      </c>
      <c r="F4847" s="1" t="n">
        <v>13.5</v>
      </c>
      <c r="G4847" s="1" t="n">
        <v>28.2</v>
      </c>
      <c r="H4847" s="1" t="n">
        <v>0</v>
      </c>
      <c r="I4847" s="1" t="n">
        <v>2.04</v>
      </c>
      <c r="J4847" t="n">
        <v>53108200</v>
      </c>
    </row>
    <row r="4848" ht="15.75" customHeight="1" s="201">
      <c r="A4848" s="1" t="inlineStr">
        <is>
          <t>Oscar Mayer, Wieners (beef franks)</t>
        </is>
      </c>
      <c r="C4848" s="1" t="n">
        <v>2.78</v>
      </c>
      <c r="D4848" s="1" t="n">
        <v>6</v>
      </c>
      <c r="E4848" s="1" t="n">
        <v>1.34</v>
      </c>
      <c r="F4848" s="1" t="n">
        <v>11.35</v>
      </c>
      <c r="G4848" s="1" t="n">
        <v>30.26</v>
      </c>
      <c r="H4848" s="1" t="n">
        <v>0</v>
      </c>
      <c r="I4848" s="1" t="n">
        <v>2.19</v>
      </c>
      <c r="J4848" t="n">
        <v>28110510</v>
      </c>
    </row>
    <row r="4849" ht="15.75" customHeight="1" s="201">
      <c r="A4849" s="1" t="inlineStr">
        <is>
          <t>Ostrich, fan, raw</t>
        </is>
      </c>
      <c r="C4849" s="1" t="n">
        <v>0</v>
      </c>
      <c r="D4849" s="1" t="n">
        <v>8</v>
      </c>
      <c r="E4849" s="1" t="n">
        <v>4.38</v>
      </c>
      <c r="F4849" s="1" t="n">
        <v>21.81</v>
      </c>
      <c r="G4849" s="1" t="n">
        <v>2.65</v>
      </c>
      <c r="H4849" s="1" t="n">
        <v>0</v>
      </c>
      <c r="I4849" s="1" t="n">
        <v>3.71</v>
      </c>
    </row>
    <row r="4850" ht="15.75" customHeight="1" s="201">
      <c r="A4850" s="1" t="inlineStr">
        <is>
          <t>Ostrich, ground, cooked, pan-broiled</t>
        </is>
      </c>
      <c r="C4850" s="1" t="n">
        <v>0</v>
      </c>
      <c r="D4850" s="1" t="n">
        <v>14</v>
      </c>
      <c r="E4850" s="1" t="n">
        <v>3.43</v>
      </c>
      <c r="F4850" s="1" t="n">
        <v>26.15</v>
      </c>
      <c r="G4850" s="1" t="n">
        <v>7.07</v>
      </c>
      <c r="H4850" s="1" t="n">
        <v>0</v>
      </c>
      <c r="I4850" s="1" t="n">
        <v>4.33</v>
      </c>
      <c r="J4850" t="n">
        <v>23132000</v>
      </c>
    </row>
    <row r="4851" ht="15.75" customHeight="1" s="201">
      <c r="A4851" s="1" t="inlineStr">
        <is>
          <t>Ostrich, ground, raw</t>
        </is>
      </c>
      <c r="C4851" s="1" t="n">
        <v>0</v>
      </c>
      <c r="D4851" s="1" t="n">
        <v>7</v>
      </c>
      <c r="E4851" s="1" t="n">
        <v>2.91</v>
      </c>
      <c r="F4851" s="1" t="n">
        <v>20.22</v>
      </c>
      <c r="G4851" s="1" t="n">
        <v>8.699999999999999</v>
      </c>
      <c r="H4851" s="1" t="n">
        <v>0</v>
      </c>
      <c r="I4851" s="1" t="n">
        <v>3.51</v>
      </c>
      <c r="J4851" t="n">
        <v>23132000</v>
      </c>
    </row>
    <row r="4852" ht="15.75" customHeight="1" s="201">
      <c r="A4852" s="1" t="inlineStr">
        <is>
          <t>Ostrich, inside leg, cooked</t>
        </is>
      </c>
      <c r="C4852" s="1" t="n">
        <v>0</v>
      </c>
      <c r="D4852" s="1" t="n">
        <v>16</v>
      </c>
      <c r="E4852" s="1" t="n">
        <v>3.12</v>
      </c>
      <c r="F4852" s="1" t="n">
        <v>29.01</v>
      </c>
      <c r="G4852" s="1" t="n">
        <v>1.94</v>
      </c>
      <c r="H4852" s="1" t="n">
        <v>0</v>
      </c>
      <c r="I4852" s="1" t="n">
        <v>4.71</v>
      </c>
    </row>
    <row r="4853" ht="15.75" customHeight="1" s="201">
      <c r="A4853" s="1" t="inlineStr">
        <is>
          <t>Ostrich, inside leg, raw</t>
        </is>
      </c>
      <c r="C4853" s="1" t="n">
        <v>0</v>
      </c>
      <c r="D4853" s="1" t="n">
        <v>8</v>
      </c>
      <c r="E4853" s="1" t="n">
        <v>2.3</v>
      </c>
      <c r="F4853" s="1" t="n">
        <v>22.39</v>
      </c>
      <c r="G4853" s="1" t="n">
        <v>1.72</v>
      </c>
      <c r="H4853" s="1" t="n">
        <v>0</v>
      </c>
      <c r="I4853" s="1" t="n">
        <v>3.87</v>
      </c>
    </row>
    <row r="4854" ht="15.75" customHeight="1" s="201">
      <c r="A4854" s="1" t="inlineStr">
        <is>
          <t>Ostrich, inside strip, cooked</t>
        </is>
      </c>
      <c r="C4854" s="1" t="n">
        <v>0</v>
      </c>
      <c r="D4854" s="1" t="n">
        <v>16</v>
      </c>
      <c r="E4854" s="1" t="n">
        <v>4.8</v>
      </c>
      <c r="F4854" s="1" t="n">
        <v>29.37</v>
      </c>
      <c r="G4854" s="1" t="n">
        <v>4.26</v>
      </c>
      <c r="H4854" s="1" t="n">
        <v>0</v>
      </c>
      <c r="I4854" s="1" t="n">
        <v>4.9</v>
      </c>
      <c r="J4854" t="n">
        <v>41810200</v>
      </c>
    </row>
    <row r="4855" ht="15.75" customHeight="1" s="201">
      <c r="A4855" s="1" t="inlineStr">
        <is>
          <t>Ostrich, inside strip, raw</t>
        </is>
      </c>
      <c r="C4855" s="1" t="n">
        <v>0</v>
      </c>
      <c r="D4855" s="1" t="n">
        <v>9</v>
      </c>
      <c r="E4855" s="1" t="n">
        <v>4.2</v>
      </c>
      <c r="F4855" s="1" t="n">
        <v>23.69</v>
      </c>
      <c r="G4855" s="1" t="n">
        <v>2.87</v>
      </c>
      <c r="H4855" s="1" t="n">
        <v>0</v>
      </c>
      <c r="I4855" s="1" t="n">
        <v>3.98</v>
      </c>
      <c r="J4855" t="n">
        <v>41810200</v>
      </c>
    </row>
    <row r="4856" ht="15.75" customHeight="1" s="201">
      <c r="A4856" s="1" t="inlineStr">
        <is>
          <t>Ostrich, outside leg, raw</t>
        </is>
      </c>
      <c r="C4856" s="1" t="n">
        <v>0</v>
      </c>
      <c r="D4856" s="1" t="n">
        <v>8</v>
      </c>
      <c r="E4856" s="1" t="n">
        <v>2.65</v>
      </c>
      <c r="F4856" s="1" t="n">
        <v>22.86</v>
      </c>
      <c r="G4856" s="1" t="n">
        <v>1.96</v>
      </c>
      <c r="H4856" s="1" t="n">
        <v>0</v>
      </c>
      <c r="I4856" s="1" t="n">
        <v>3.89</v>
      </c>
    </row>
    <row r="4857" ht="15.75" customHeight="1" s="201">
      <c r="A4857" s="1" t="inlineStr">
        <is>
          <t>Ostrich, outside strip, cooked</t>
        </is>
      </c>
      <c r="C4857" s="1" t="n">
        <v>0</v>
      </c>
      <c r="D4857" s="1" t="n">
        <v>16</v>
      </c>
      <c r="E4857" s="1" t="n">
        <v>4.3</v>
      </c>
      <c r="F4857" s="1" t="n">
        <v>28.55</v>
      </c>
      <c r="G4857" s="1" t="n">
        <v>3.83</v>
      </c>
      <c r="H4857" s="1" t="n">
        <v>0</v>
      </c>
      <c r="I4857" s="1" t="n">
        <v>4.91</v>
      </c>
      <c r="J4857" t="n">
        <v>41810200</v>
      </c>
    </row>
    <row r="4858" ht="15.75" customHeight="1" s="201">
      <c r="A4858" s="1" t="inlineStr">
        <is>
          <t>Ostrich, outside strip, raw</t>
        </is>
      </c>
      <c r="C4858" s="1" t="n">
        <v>0</v>
      </c>
      <c r="D4858" s="1" t="n">
        <v>8</v>
      </c>
      <c r="E4858" s="1" t="n">
        <v>3.69</v>
      </c>
      <c r="F4858" s="1" t="n">
        <v>23.36</v>
      </c>
      <c r="G4858" s="1" t="n">
        <v>2.21</v>
      </c>
      <c r="H4858" s="1" t="n">
        <v>0</v>
      </c>
      <c r="I4858" s="1" t="n">
        <v>4.02</v>
      </c>
      <c r="J4858" t="n">
        <v>41810200</v>
      </c>
    </row>
    <row r="4859" ht="15.75" customHeight="1" s="201">
      <c r="A4859" s="1" t="inlineStr">
        <is>
          <t>Ostrich, oyster, cooked</t>
        </is>
      </c>
      <c r="C4859" s="1" t="n">
        <v>0</v>
      </c>
      <c r="D4859" s="1" t="n">
        <v>16</v>
      </c>
      <c r="E4859" s="1" t="n">
        <v>4.9</v>
      </c>
      <c r="F4859" s="1" t="n">
        <v>28.81</v>
      </c>
      <c r="G4859" s="1" t="n">
        <v>3.97</v>
      </c>
      <c r="H4859" s="1" t="n">
        <v>0</v>
      </c>
      <c r="I4859" s="1" t="n">
        <v>4.94</v>
      </c>
      <c r="J4859" t="n">
        <v>54202020</v>
      </c>
    </row>
    <row r="4860" ht="15.75" customHeight="1" s="201">
      <c r="A4860" s="1" t="inlineStr">
        <is>
          <t>Ostrich, oyster, raw</t>
        </is>
      </c>
      <c r="C4860" s="1" t="n">
        <v>0</v>
      </c>
      <c r="D4860" s="1" t="n">
        <v>8</v>
      </c>
      <c r="E4860" s="1" t="n">
        <v>3.86</v>
      </c>
      <c r="F4860" s="1" t="n">
        <v>21.55</v>
      </c>
      <c r="G4860" s="1" t="n">
        <v>3.67</v>
      </c>
      <c r="H4860" s="1" t="n">
        <v>0</v>
      </c>
      <c r="I4860" s="1" t="n">
        <v>3.59</v>
      </c>
      <c r="J4860" t="n">
        <v>54202020</v>
      </c>
    </row>
    <row r="4861" ht="15.75" customHeight="1" s="201">
      <c r="A4861" s="1" t="inlineStr">
        <is>
          <t>Ostrich, round, raw</t>
        </is>
      </c>
      <c r="C4861" s="1" t="n">
        <v>0</v>
      </c>
      <c r="D4861" s="1" t="n">
        <v>8</v>
      </c>
      <c r="E4861" s="1" t="n">
        <v>3.54</v>
      </c>
      <c r="F4861" s="1" t="n">
        <v>21.99</v>
      </c>
      <c r="G4861" s="1" t="n">
        <v>2.4</v>
      </c>
      <c r="H4861" s="1" t="n">
        <v>0</v>
      </c>
      <c r="I4861" s="1" t="n">
        <v>3.8</v>
      </c>
      <c r="J4861" t="n">
        <v>52206010</v>
      </c>
    </row>
    <row r="4862" ht="15.75" customHeight="1" s="201">
      <c r="A4862" s="1" t="inlineStr">
        <is>
          <t>Ostrich, tenderloin, raw</t>
        </is>
      </c>
      <c r="C4862" s="1" t="n">
        <v>0</v>
      </c>
      <c r="D4862" s="1" t="n">
        <v>8</v>
      </c>
      <c r="E4862" s="1" t="n">
        <v>4.88</v>
      </c>
      <c r="F4862" s="1" t="n">
        <v>22.07</v>
      </c>
      <c r="G4862" s="1" t="n">
        <v>3.19</v>
      </c>
      <c r="H4862" s="1" t="n">
        <v>0</v>
      </c>
      <c r="I4862" s="1" t="n">
        <v>3.87</v>
      </c>
      <c r="J4862" t="n">
        <v>22210310</v>
      </c>
    </row>
    <row r="4863" ht="15.75" customHeight="1" s="201">
      <c r="A4863" s="1" t="inlineStr">
        <is>
          <t>Ostrich, tip trimmed, cooked</t>
        </is>
      </c>
      <c r="C4863" s="1" t="n">
        <v>0</v>
      </c>
      <c r="D4863" s="1" t="n">
        <v>15</v>
      </c>
      <c r="E4863" s="1" t="n">
        <v>2.79</v>
      </c>
      <c r="F4863" s="1" t="n">
        <v>28.49</v>
      </c>
      <c r="G4863" s="1" t="n">
        <v>2.57</v>
      </c>
      <c r="H4863" s="1" t="n">
        <v>0</v>
      </c>
      <c r="I4863" s="1" t="n">
        <v>4.85</v>
      </c>
    </row>
    <row r="4864" ht="15.75" customHeight="1" s="201">
      <c r="A4864" s="1" t="inlineStr">
        <is>
          <t>Ostrich, tip trimmed, raw</t>
        </is>
      </c>
      <c r="C4864" s="1" t="n">
        <v>0</v>
      </c>
      <c r="D4864" s="1" t="n">
        <v>8</v>
      </c>
      <c r="E4864" s="1" t="n">
        <v>2.86</v>
      </c>
      <c r="F4864" s="1" t="n">
        <v>21.85</v>
      </c>
      <c r="G4864" s="1" t="n">
        <v>2.3</v>
      </c>
      <c r="H4864" s="1" t="n">
        <v>0</v>
      </c>
      <c r="I4864" s="1" t="n">
        <v>3.74</v>
      </c>
    </row>
    <row r="4865" ht="15.75" customHeight="1" s="201">
      <c r="A4865" s="1" t="inlineStr">
        <is>
          <t>Ostrich, top loin, cooked</t>
        </is>
      </c>
      <c r="C4865" s="1" t="n">
        <v>0</v>
      </c>
      <c r="D4865" s="1" t="n">
        <v>15</v>
      </c>
      <c r="E4865" s="1" t="n">
        <v>3.31</v>
      </c>
      <c r="F4865" s="1" t="n">
        <v>28.12</v>
      </c>
      <c r="G4865" s="1" t="n">
        <v>3.87</v>
      </c>
      <c r="H4865" s="1" t="n">
        <v>0</v>
      </c>
      <c r="I4865" s="1" t="n">
        <v>4.72</v>
      </c>
      <c r="J4865" t="n">
        <v>23104000</v>
      </c>
    </row>
    <row r="4866" ht="15.75" customHeight="1" s="201">
      <c r="A4866" s="1" t="inlineStr">
        <is>
          <t>Ostrich, top loin, raw</t>
        </is>
      </c>
      <c r="C4866" s="1" t="n">
        <v>0</v>
      </c>
      <c r="D4866" s="1" t="n">
        <v>8</v>
      </c>
      <c r="E4866" s="1" t="n">
        <v>3.13</v>
      </c>
      <c r="F4866" s="1" t="n">
        <v>21.67</v>
      </c>
      <c r="G4866" s="1" t="n">
        <v>2.95</v>
      </c>
      <c r="H4866" s="1" t="n">
        <v>0</v>
      </c>
      <c r="I4866" s="1" t="n">
        <v>3.76</v>
      </c>
      <c r="J4866" t="n">
        <v>23104000</v>
      </c>
    </row>
    <row r="4867" ht="15.75" customHeight="1" s="201">
      <c r="A4867" s="1" t="inlineStr">
        <is>
          <t>Owl, horned, flesh, raw (Alaska Native)</t>
        </is>
      </c>
      <c r="C4867" s="1" t="n">
        <v>0</v>
      </c>
      <c r="E4867" s="1" t="n">
        <v>4.8</v>
      </c>
      <c r="F4867" s="1" t="n">
        <v>22.7</v>
      </c>
      <c r="G4867" s="1" t="n">
        <v>5</v>
      </c>
      <c r="H4867" s="1" t="n">
        <v>350</v>
      </c>
    </row>
    <row r="4868" ht="15.75" customHeight="1" s="201">
      <c r="A4868" s="1" t="inlineStr">
        <is>
          <t>Pan Dulce, La Ricura, Salpora de Arroz con Azucar, cookie-like, contains wheat flour and rice flour</t>
        </is>
      </c>
      <c r="C4868" s="1" t="n">
        <v>66.28</v>
      </c>
      <c r="E4868" s="1" t="n">
        <v>2.52</v>
      </c>
      <c r="F4868" s="1" t="n">
        <v>8.81</v>
      </c>
      <c r="G4868" s="1" t="n">
        <v>16.11</v>
      </c>
      <c r="I4868" s="1" t="n">
        <v>0.82</v>
      </c>
      <c r="J4868" t="n">
        <v>54338000</v>
      </c>
    </row>
    <row r="4869" ht="15.75" customHeight="1" s="201">
      <c r="A4869" s="1" t="inlineStr">
        <is>
          <t>Pancakes plain, frozen, ready-to-heat (includes buttermilk)</t>
        </is>
      </c>
      <c r="C4869" s="1" t="n">
        <v>37.75</v>
      </c>
      <c r="D4869" s="1" t="n">
        <v>71</v>
      </c>
      <c r="E4869" s="1" t="n">
        <v>5.67</v>
      </c>
      <c r="F4869" s="1" t="n">
        <v>5.23</v>
      </c>
      <c r="G4869" s="1" t="n">
        <v>6.83</v>
      </c>
      <c r="H4869" s="1" t="n">
        <v>1511</v>
      </c>
      <c r="I4869" s="1" t="n">
        <v>0.4</v>
      </c>
      <c r="J4869" t="n">
        <v>55100010</v>
      </c>
    </row>
    <row r="4870" ht="15.75" customHeight="1" s="201">
      <c r="A4870" s="1" t="inlineStr">
        <is>
          <t>Pancakes, blueberry, prepared from recipe</t>
        </is>
      </c>
      <c r="C4870" s="1" t="n">
        <v>29</v>
      </c>
      <c r="D4870" s="1" t="n">
        <v>36</v>
      </c>
      <c r="E4870" s="1" t="n">
        <v>1.72</v>
      </c>
      <c r="F4870" s="1" t="n">
        <v>6.1</v>
      </c>
      <c r="G4870" s="1" t="n">
        <v>9.199999999999999</v>
      </c>
      <c r="H4870" s="1" t="n">
        <v>199</v>
      </c>
      <c r="I4870" s="1" t="n">
        <v>0.54</v>
      </c>
      <c r="J4870" t="n">
        <v>55100050</v>
      </c>
    </row>
    <row r="4871" ht="15.75" customHeight="1" s="201">
      <c r="A4871" s="1" t="inlineStr">
        <is>
          <t>Pancakes, buckwheat, dry mix, incomplete</t>
        </is>
      </c>
      <c r="C4871" s="1" t="n">
        <v>71.3</v>
      </c>
      <c r="D4871" s="1" t="n">
        <v>53</v>
      </c>
      <c r="E4871" s="1" t="n">
        <v>4.73</v>
      </c>
      <c r="F4871" s="1" t="n">
        <v>10.9</v>
      </c>
      <c r="G4871" s="1" t="n">
        <v>2.7</v>
      </c>
      <c r="H4871" s="1" t="n">
        <v>0</v>
      </c>
      <c r="I4871" s="1" t="n">
        <v>2.55</v>
      </c>
      <c r="J4871" t="n">
        <v>55100010</v>
      </c>
    </row>
    <row r="4872" ht="15.75" customHeight="1" s="201">
      <c r="A4872" s="1" t="inlineStr">
        <is>
          <t>Pancakes, gluten-free, frozen, ready-to-heat</t>
        </is>
      </c>
      <c r="C4872" s="1" t="n">
        <v>40.32</v>
      </c>
      <c r="D4872" s="1" t="n">
        <v>9</v>
      </c>
      <c r="E4872" s="1" t="n">
        <v>0.7</v>
      </c>
      <c r="F4872" s="1" t="n">
        <v>3.31</v>
      </c>
      <c r="G4872" s="1" t="n">
        <v>4.55</v>
      </c>
      <c r="H4872" s="1" t="n">
        <v>1</v>
      </c>
      <c r="I4872" s="1" t="n">
        <v>0.55</v>
      </c>
      <c r="J4872" t="n">
        <v>27446260</v>
      </c>
    </row>
    <row r="4873" ht="15.75" customHeight="1" s="201">
      <c r="A4873" s="1" t="inlineStr">
        <is>
          <t>Pancakes, plain, dry mix, complete (includes buttermilk)</t>
        </is>
      </c>
      <c r="C4873" s="1" t="n">
        <v>73.65000000000001</v>
      </c>
      <c r="E4873" s="1" t="n">
        <v>3.6</v>
      </c>
      <c r="F4873" s="1" t="n">
        <v>9.77</v>
      </c>
      <c r="G4873" s="1" t="n">
        <v>3.1</v>
      </c>
      <c r="I4873" s="1" t="n">
        <v>0.72</v>
      </c>
      <c r="J4873" t="n">
        <v>55100010</v>
      </c>
    </row>
    <row r="4874" ht="15.75" customHeight="1" s="201">
      <c r="A4874" s="1" t="inlineStr">
        <is>
          <t>Pancakes, plain, frozen, ready-to-heat, microwave (includes buttermilk)</t>
        </is>
      </c>
      <c r="C4874" s="1" t="n">
        <v>43.33</v>
      </c>
      <c r="D4874" s="1" t="n">
        <v>54</v>
      </c>
      <c r="E4874" s="1" t="n">
        <v>1.64</v>
      </c>
      <c r="F4874" s="1" t="n">
        <v>5.88</v>
      </c>
      <c r="G4874" s="1" t="n">
        <v>4.73</v>
      </c>
      <c r="H4874" s="1" t="n">
        <v>719</v>
      </c>
      <c r="I4874" s="1" t="n">
        <v>0.44</v>
      </c>
      <c r="J4874" t="n">
        <v>55100010</v>
      </c>
    </row>
    <row r="4875" ht="15.75" customHeight="1" s="201">
      <c r="A4875" s="1" t="inlineStr">
        <is>
          <t>Pancakes, plain, reduced fat</t>
        </is>
      </c>
      <c r="C4875" s="1" t="n">
        <v>57.32</v>
      </c>
      <c r="D4875" s="1" t="n">
        <v>112</v>
      </c>
      <c r="E4875" s="1" t="n">
        <v>1.71</v>
      </c>
      <c r="F4875" s="1" t="n">
        <v>5.71</v>
      </c>
      <c r="G4875" s="1" t="n">
        <v>1.9</v>
      </c>
      <c r="H4875" s="1" t="n">
        <v>24</v>
      </c>
      <c r="I4875" s="1" t="n">
        <v>0.52</v>
      </c>
      <c r="J4875" t="n">
        <v>54301100</v>
      </c>
    </row>
    <row r="4876" ht="15.75" customHeight="1" s="201">
      <c r="A4876" s="1" t="inlineStr">
        <is>
          <t>Pancakes, special dietary, dry mix</t>
        </is>
      </c>
      <c r="C4876" s="1" t="n">
        <v>73.90000000000001</v>
      </c>
      <c r="D4876" s="1" t="n">
        <v>107</v>
      </c>
      <c r="E4876" s="1" t="n">
        <v>3.05</v>
      </c>
      <c r="F4876" s="1" t="n">
        <v>8.9</v>
      </c>
      <c r="G4876" s="1" t="n">
        <v>1.4</v>
      </c>
      <c r="H4876" s="1" t="n">
        <v>126</v>
      </c>
      <c r="I4876" s="1" t="n">
        <v>1.19</v>
      </c>
      <c r="J4876" t="n">
        <v>55100010</v>
      </c>
    </row>
    <row r="4877" ht="15.75" customHeight="1" s="201">
      <c r="A4877" s="1" t="inlineStr">
        <is>
          <t>Pancakes, whole wheat, dry mix, incomplete</t>
        </is>
      </c>
      <c r="C4877" s="1" t="n">
        <v>74.11</v>
      </c>
      <c r="D4877" s="1" t="n">
        <v>84</v>
      </c>
      <c r="E4877" s="1" t="n">
        <v>7.11</v>
      </c>
      <c r="F4877" s="1" t="n">
        <v>10.53</v>
      </c>
      <c r="G4877" s="1" t="n">
        <v>1.32</v>
      </c>
      <c r="H4877" s="1" t="n">
        <v>4</v>
      </c>
      <c r="I4877" s="1" t="n">
        <v>1.64</v>
      </c>
      <c r="J4877" t="n">
        <v>54204030</v>
      </c>
    </row>
    <row r="4878" ht="15.75" customHeight="1" s="201">
      <c r="A4878" s="1" t="inlineStr">
        <is>
          <t>Pancakes, whole-wheat, dry mix, incomplete</t>
        </is>
      </c>
      <c r="C4878" s="1" t="n">
        <v>71</v>
      </c>
      <c r="D4878" s="1" t="n">
        <v>82</v>
      </c>
      <c r="E4878" s="1" t="n">
        <v>7.84</v>
      </c>
      <c r="F4878" s="1" t="n">
        <v>12.8</v>
      </c>
      <c r="G4878" s="1" t="n">
        <v>1.5</v>
      </c>
      <c r="H4878" s="1" t="n">
        <v>31</v>
      </c>
      <c r="I4878" s="1" t="n">
        <v>1.96</v>
      </c>
      <c r="J4878" t="n">
        <v>54204030</v>
      </c>
    </row>
    <row r="4879" ht="15.75" customHeight="1" s="201">
      <c r="A4879" s="1" t="inlineStr">
        <is>
          <t>PAPA JOHN'S 14" Cheese Pizza, Original Crust</t>
        </is>
      </c>
      <c r="C4879" s="1" t="n">
        <v>32.74</v>
      </c>
      <c r="D4879" s="1" t="n">
        <v>77</v>
      </c>
      <c r="E4879" s="1" t="n">
        <v>1.97</v>
      </c>
      <c r="F4879" s="1" t="n">
        <v>11.53</v>
      </c>
      <c r="G4879" s="1" t="n">
        <v>9.25</v>
      </c>
      <c r="H4879" s="1" t="n">
        <v>295</v>
      </c>
      <c r="I4879" s="1" t="n">
        <v>1.24</v>
      </c>
      <c r="J4879" t="n">
        <v>14420100</v>
      </c>
    </row>
    <row r="4880" ht="15.75" customHeight="1" s="201">
      <c r="A4880" s="1" t="inlineStr">
        <is>
          <t>PAPA JOHN'S 14" Cheese Pizza, Thin Crust</t>
        </is>
      </c>
      <c r="C4880" s="1" t="n">
        <v>26.26</v>
      </c>
      <c r="E4880" s="1" t="n">
        <v>0.51</v>
      </c>
      <c r="F4880" s="1" t="n">
        <v>12.29</v>
      </c>
      <c r="G4880" s="1" t="n">
        <v>15.66</v>
      </c>
      <c r="H4880" s="1" t="n">
        <v>390</v>
      </c>
      <c r="I4880" s="1" t="n">
        <v>1.25</v>
      </c>
      <c r="J4880" t="n">
        <v>14420100</v>
      </c>
    </row>
    <row r="4881" ht="15.75" customHeight="1" s="201">
      <c r="A4881" s="1" t="inlineStr">
        <is>
          <t>PAPA JOHN'S 14" Pepperoni Pizza, Original Crust</t>
        </is>
      </c>
      <c r="C4881" s="1" t="n">
        <v>30.04</v>
      </c>
      <c r="D4881" s="1" t="n">
        <v>72</v>
      </c>
      <c r="E4881" s="1" t="n">
        <v>1.98</v>
      </c>
      <c r="F4881" s="1" t="n">
        <v>11.97</v>
      </c>
      <c r="G4881" s="1" t="n">
        <v>11.86</v>
      </c>
      <c r="H4881" s="1" t="n">
        <v>294</v>
      </c>
      <c r="I4881" s="1" t="n">
        <v>1.34</v>
      </c>
      <c r="J4881" t="n">
        <v>58106604</v>
      </c>
    </row>
    <row r="4882" ht="15.75" customHeight="1" s="201">
      <c r="A4882" s="1" t="inlineStr">
        <is>
          <t>PAPA JOHN'S 14" The Works Pizza, Original Crust</t>
        </is>
      </c>
      <c r="C4882" s="1" t="n">
        <v>26.69</v>
      </c>
      <c r="D4882" s="1" t="n">
        <v>65</v>
      </c>
      <c r="E4882" s="1" t="n">
        <v>1.5</v>
      </c>
      <c r="F4882" s="1" t="n">
        <v>10.27</v>
      </c>
      <c r="G4882" s="1" t="n">
        <v>10.21</v>
      </c>
      <c r="H4882" s="1" t="n">
        <v>172</v>
      </c>
      <c r="I4882" s="1" t="n">
        <v>0.98</v>
      </c>
      <c r="J4882" t="n">
        <v>58106702</v>
      </c>
    </row>
    <row r="4883" ht="15.75" customHeight="1" s="201">
      <c r="A4883" s="1" t="inlineStr">
        <is>
          <t>Papad</t>
        </is>
      </c>
      <c r="C4883" s="1" t="n">
        <v>59.87</v>
      </c>
      <c r="D4883" s="1" t="n">
        <v>219</v>
      </c>
      <c r="E4883" s="1" t="n">
        <v>7.8</v>
      </c>
      <c r="F4883" s="1" t="n">
        <v>25.56</v>
      </c>
      <c r="G4883" s="1" t="n">
        <v>3.25</v>
      </c>
      <c r="H4883" s="1" t="n">
        <v>50</v>
      </c>
      <c r="I4883" s="1" t="n">
        <v>3.4</v>
      </c>
      <c r="J4883" t="n">
        <v>41311000</v>
      </c>
    </row>
    <row r="4884" ht="15.75" customHeight="1" s="201">
      <c r="A4884" s="1" t="inlineStr">
        <is>
          <t>Papaya nectar, canned</t>
        </is>
      </c>
      <c r="C4884" s="1" t="n">
        <v>14.51</v>
      </c>
      <c r="D4884" s="1" t="n">
        <v>2</v>
      </c>
      <c r="E4884" s="1" t="n">
        <v>0.34</v>
      </c>
      <c r="F4884" s="1" t="n">
        <v>0.17</v>
      </c>
      <c r="G4884" s="1" t="n">
        <v>0.15</v>
      </c>
      <c r="H4884" s="1" t="n">
        <v>361</v>
      </c>
      <c r="I4884" s="1" t="n">
        <v>0.15</v>
      </c>
      <c r="J4884" t="n">
        <v>63311110</v>
      </c>
    </row>
    <row r="4885" ht="15.75" customHeight="1" s="201">
      <c r="A4885" s="1" t="inlineStr">
        <is>
          <t>Papaya, canned, heavy syrup, drained</t>
        </is>
      </c>
      <c r="C4885" s="1" t="n">
        <v>55.83</v>
      </c>
      <c r="E4885" s="1" t="n">
        <v>0.29</v>
      </c>
      <c r="F4885" s="1" t="n">
        <v>0.14</v>
      </c>
      <c r="G4885" s="1" t="n">
        <v>0.55</v>
      </c>
      <c r="H4885" s="1" t="n">
        <v>6</v>
      </c>
      <c r="I4885" s="1" t="n">
        <v>0.05</v>
      </c>
      <c r="J4885" t="n">
        <v>63311110</v>
      </c>
    </row>
    <row r="4886" ht="15.75" customHeight="1" s="201">
      <c r="A4886" s="1" t="inlineStr">
        <is>
          <t>Papayas, raw</t>
        </is>
      </c>
      <c r="C4886" s="1" t="n">
        <v>10.82</v>
      </c>
      <c r="D4886" s="1" t="n">
        <v>37</v>
      </c>
      <c r="E4886" s="1" t="n">
        <v>0.25</v>
      </c>
      <c r="F4886" s="1" t="n">
        <v>0.47</v>
      </c>
      <c r="G4886" s="1" t="n">
        <v>0.26</v>
      </c>
      <c r="H4886" s="1" t="n">
        <v>950</v>
      </c>
      <c r="I4886" s="1" t="n">
        <v>0.08</v>
      </c>
    </row>
    <row r="4887" ht="15.75" customHeight="1" s="201">
      <c r="A4887" s="1" t="inlineStr">
        <is>
          <t>Parmesan cheese topping, fat free</t>
        </is>
      </c>
      <c r="C4887" s="1" t="n">
        <v>40</v>
      </c>
      <c r="D4887" s="1" t="n">
        <v>25</v>
      </c>
      <c r="E4887" s="1" t="n">
        <v>5</v>
      </c>
      <c r="F4887" s="1" t="n">
        <v>40</v>
      </c>
      <c r="G4887" s="1" t="n">
        <v>5</v>
      </c>
      <c r="H4887" s="1" t="n">
        <v>151</v>
      </c>
      <c r="I4887" s="1" t="n">
        <v>3</v>
      </c>
      <c r="J4887" t="n">
        <v>51121045</v>
      </c>
    </row>
    <row r="4888" ht="15.75" customHeight="1" s="201">
      <c r="A4888" s="1" t="inlineStr">
        <is>
          <t>Parsley, freeze-dried</t>
        </is>
      </c>
      <c r="C4888" s="1" t="n">
        <v>42.38</v>
      </c>
      <c r="D4888" s="1" t="n">
        <v>194</v>
      </c>
      <c r="E4888" s="1" t="n">
        <v>53.9</v>
      </c>
      <c r="F4888" s="1" t="n">
        <v>31.3</v>
      </c>
      <c r="G4888" s="1" t="n">
        <v>5.2</v>
      </c>
      <c r="H4888" s="1" t="n">
        <v>63240</v>
      </c>
      <c r="I4888" s="1" t="n">
        <v>6.11</v>
      </c>
      <c r="J4888" t="n">
        <v>41301010</v>
      </c>
    </row>
    <row r="4889" ht="15.75" customHeight="1" s="201">
      <c r="A4889" s="1" t="inlineStr">
        <is>
          <t>Parsley, fresh</t>
        </is>
      </c>
      <c r="C4889" s="1" t="n">
        <v>6.33</v>
      </c>
      <c r="D4889" s="1" t="n">
        <v>152</v>
      </c>
      <c r="E4889" s="1" t="n">
        <v>6.2</v>
      </c>
      <c r="F4889" s="1" t="n">
        <v>2.97</v>
      </c>
      <c r="G4889" s="1" t="n">
        <v>0.79</v>
      </c>
      <c r="H4889" s="1" t="n">
        <v>8424</v>
      </c>
      <c r="I4889" s="1" t="n">
        <v>1.07</v>
      </c>
      <c r="J4889" t="n">
        <v>14108020</v>
      </c>
    </row>
    <row r="4890" ht="15.75" customHeight="1" s="201">
      <c r="A4890" s="1" t="inlineStr">
        <is>
          <t>Parsnips, cooked, boiled, drained, with salt</t>
        </is>
      </c>
      <c r="C4890" s="1" t="n">
        <v>17.01</v>
      </c>
      <c r="D4890" s="1" t="n">
        <v>58</v>
      </c>
      <c r="E4890" s="1" t="n">
        <v>0.58</v>
      </c>
      <c r="F4890" s="1" t="n">
        <v>1.32</v>
      </c>
      <c r="G4890" s="1" t="n">
        <v>0.3</v>
      </c>
      <c r="H4890" s="1" t="n">
        <v>0</v>
      </c>
      <c r="I4890" s="1" t="n">
        <v>0.26</v>
      </c>
      <c r="J4890" t="n">
        <v>75142550</v>
      </c>
    </row>
    <row r="4891" ht="15.75" customHeight="1" s="201">
      <c r="A4891" s="1" t="inlineStr">
        <is>
          <t>Parsnips, cooked, boiled, drained, without salt</t>
        </is>
      </c>
      <c r="C4891" s="1" t="n">
        <v>17.01</v>
      </c>
      <c r="D4891" s="1" t="n">
        <v>58</v>
      </c>
      <c r="E4891" s="1" t="n">
        <v>0.58</v>
      </c>
      <c r="F4891" s="1" t="n">
        <v>1.32</v>
      </c>
      <c r="G4891" s="1" t="n">
        <v>0.3</v>
      </c>
      <c r="H4891" s="1" t="n">
        <v>0</v>
      </c>
      <c r="I4891" s="1" t="n">
        <v>0.26</v>
      </c>
      <c r="J4891" t="n">
        <v>31103010</v>
      </c>
    </row>
    <row r="4892" ht="15.75" customHeight="1" s="201">
      <c r="A4892" s="1" t="inlineStr">
        <is>
          <t>Parsnips, raw</t>
        </is>
      </c>
      <c r="C4892" s="1" t="n">
        <v>17.99</v>
      </c>
      <c r="D4892" s="1" t="n">
        <v>67</v>
      </c>
      <c r="E4892" s="1" t="n">
        <v>0.59</v>
      </c>
      <c r="F4892" s="1" t="n">
        <v>1.2</v>
      </c>
      <c r="G4892" s="1" t="n">
        <v>0.3</v>
      </c>
      <c r="H4892" s="1" t="n">
        <v>0</v>
      </c>
      <c r="I4892" s="1" t="n">
        <v>0.59</v>
      </c>
      <c r="J4892" t="n">
        <v>75222020</v>
      </c>
    </row>
    <row r="4893" ht="15.75" customHeight="1" s="201">
      <c r="A4893" s="1" t="inlineStr">
        <is>
          <t>Passion-fruit juice, purple, raw</t>
        </is>
      </c>
      <c r="C4893" s="1" t="n">
        <v>13.6</v>
      </c>
      <c r="D4893" s="1" t="n">
        <v>7</v>
      </c>
      <c r="E4893" s="1" t="n">
        <v>0.24</v>
      </c>
      <c r="F4893" s="1" t="n">
        <v>0.39</v>
      </c>
      <c r="G4893" s="1" t="n">
        <v>0.05</v>
      </c>
      <c r="H4893" s="1" t="n">
        <v>717</v>
      </c>
      <c r="I4893" s="1" t="n">
        <v>0.05</v>
      </c>
      <c r="J4893" t="n">
        <v>91708030</v>
      </c>
    </row>
    <row r="4894" ht="15.75" customHeight="1" s="201">
      <c r="A4894" s="1" t="inlineStr">
        <is>
          <t>Passion-fruit juice, yellow, raw</t>
        </is>
      </c>
      <c r="C4894" s="1" t="n">
        <v>14.45</v>
      </c>
      <c r="D4894" s="1" t="n">
        <v>8</v>
      </c>
      <c r="E4894" s="1" t="n">
        <v>0.36</v>
      </c>
      <c r="F4894" s="1" t="n">
        <v>0.67</v>
      </c>
      <c r="G4894" s="1" t="n">
        <v>0.18</v>
      </c>
      <c r="H4894" s="1" t="n">
        <v>943</v>
      </c>
      <c r="I4894" s="1" t="n">
        <v>0.06</v>
      </c>
      <c r="J4894" t="n">
        <v>91708030</v>
      </c>
    </row>
    <row r="4895" ht="15.75" customHeight="1" s="201">
      <c r="A4895" s="1" t="inlineStr">
        <is>
          <t>Passion-fruit, (granadilla), purple, raw</t>
        </is>
      </c>
      <c r="C4895" s="1" t="n">
        <v>23.38</v>
      </c>
      <c r="D4895" s="1" t="n">
        <v>14</v>
      </c>
      <c r="E4895" s="1" t="n">
        <v>1.6</v>
      </c>
      <c r="F4895" s="1" t="n">
        <v>2.2</v>
      </c>
      <c r="G4895" s="1" t="n">
        <v>0.7</v>
      </c>
      <c r="H4895" s="1" t="n">
        <v>1272</v>
      </c>
      <c r="I4895" s="1" t="n">
        <v>0.1</v>
      </c>
      <c r="J4895" t="n">
        <v>91708030</v>
      </c>
    </row>
    <row r="4896" ht="15.75" customHeight="1" s="201">
      <c r="A4896" s="1" t="inlineStr">
        <is>
          <t>Pasta mix, classic beef, unprepared</t>
        </is>
      </c>
      <c r="C4896" s="1" t="n">
        <v>72.2</v>
      </c>
      <c r="D4896" s="1" t="n">
        <v>127</v>
      </c>
      <c r="E4896" s="1" t="n">
        <v>2.71</v>
      </c>
      <c r="F4896" s="1" t="n">
        <v>12.32</v>
      </c>
      <c r="G4896" s="1" t="n">
        <v>1.78</v>
      </c>
      <c r="H4896" s="1" t="n">
        <v>1</v>
      </c>
      <c r="I4896" s="1" t="n">
        <v>0.99</v>
      </c>
      <c r="J4896" t="n">
        <v>28110510</v>
      </c>
    </row>
    <row r="4897" ht="15.75" customHeight="1" s="201">
      <c r="A4897" s="1" t="inlineStr">
        <is>
          <t>Pasta mix, classic cheeseburger macaroni, unprepared</t>
        </is>
      </c>
      <c r="C4897" s="1" t="n">
        <v>71.51000000000001</v>
      </c>
      <c r="D4897" s="1" t="n">
        <v>122</v>
      </c>
      <c r="E4897" s="1" t="n">
        <v>2.75</v>
      </c>
      <c r="F4897" s="1" t="n">
        <v>11.6</v>
      </c>
      <c r="G4897" s="1" t="n">
        <v>1.88</v>
      </c>
      <c r="H4897" s="1" t="n">
        <v>371</v>
      </c>
      <c r="I4897" s="1" t="n">
        <v>0.82</v>
      </c>
      <c r="J4897" t="n">
        <v>58147510</v>
      </c>
    </row>
    <row r="4898" ht="15.75" customHeight="1" s="201">
      <c r="A4898" s="1" t="inlineStr">
        <is>
          <t>Pasta mix, Italian four cheese lasagna, unprepared</t>
        </is>
      </c>
      <c r="C4898" s="1" t="n">
        <v>70.26000000000001</v>
      </c>
      <c r="D4898" s="1" t="n">
        <v>140</v>
      </c>
      <c r="E4898" s="1" t="n">
        <v>3.12</v>
      </c>
      <c r="F4898" s="1" t="n">
        <v>12.53</v>
      </c>
      <c r="G4898" s="1" t="n">
        <v>2.7</v>
      </c>
      <c r="H4898" s="1" t="n">
        <v>126</v>
      </c>
      <c r="I4898" s="1" t="n">
        <v>0.98</v>
      </c>
      <c r="J4898" t="n">
        <v>58147510</v>
      </c>
    </row>
    <row r="4899" ht="15.75" customHeight="1" s="201">
      <c r="A4899" s="1" t="inlineStr">
        <is>
          <t>Pasta mix, Italian lasagna, unprepared</t>
        </is>
      </c>
      <c r="C4899" s="1" t="n">
        <v>73.77</v>
      </c>
      <c r="D4899" s="1" t="n">
        <v>113</v>
      </c>
      <c r="E4899" s="1" t="n">
        <v>2.87</v>
      </c>
      <c r="F4899" s="1" t="n">
        <v>10.9</v>
      </c>
      <c r="G4899" s="1" t="n">
        <v>1.97</v>
      </c>
      <c r="H4899" s="1" t="n">
        <v>141</v>
      </c>
      <c r="I4899" s="1" t="n">
        <v>0.84</v>
      </c>
      <c r="J4899" t="n">
        <v>58147510</v>
      </c>
    </row>
    <row r="4900" ht="15.75" customHeight="1" s="201">
      <c r="A4900" s="1" t="inlineStr">
        <is>
          <t>Pasta with Sliced Franks in Tomato Sauce, canned entree</t>
        </is>
      </c>
      <c r="C4900" s="1" t="n">
        <v>12.7</v>
      </c>
      <c r="D4900" s="1" t="n">
        <v>40</v>
      </c>
      <c r="E4900" s="1" t="n">
        <v>0.91</v>
      </c>
      <c r="F4900" s="1" t="n">
        <v>4.37</v>
      </c>
      <c r="G4900" s="1" t="n">
        <v>2.38</v>
      </c>
      <c r="H4900" s="1" t="n">
        <v>198</v>
      </c>
      <c r="I4900" s="1" t="n">
        <v>0.52</v>
      </c>
      <c r="J4900" t="n">
        <v>58147510</v>
      </c>
    </row>
    <row r="4901" ht="15.75" customHeight="1" s="201">
      <c r="A4901" s="1" t="inlineStr">
        <is>
          <t>Pasta with tomato sauce, no meat, canned</t>
        </is>
      </c>
      <c r="C4901" s="1" t="n">
        <v>13.94</v>
      </c>
      <c r="D4901" s="1" t="n">
        <v>26</v>
      </c>
      <c r="E4901" s="1" t="n">
        <v>0.91</v>
      </c>
      <c r="F4901" s="1" t="n">
        <v>2.22</v>
      </c>
      <c r="G4901" s="1" t="n">
        <v>0.71</v>
      </c>
      <c r="H4901" s="1" t="n">
        <v>696</v>
      </c>
      <c r="I4901" s="1" t="n">
        <v>0.38</v>
      </c>
      <c r="J4901" t="n">
        <v>58146323</v>
      </c>
    </row>
    <row r="4902" ht="15.75" customHeight="1" s="201">
      <c r="A4902" s="1" t="inlineStr">
        <is>
          <t>Pasta, cooked, enriched, with added salt</t>
        </is>
      </c>
      <c r="C4902" s="1" t="n">
        <v>30.59</v>
      </c>
      <c r="D4902" s="1" t="n">
        <v>73</v>
      </c>
      <c r="E4902" s="1" t="n">
        <v>1.28</v>
      </c>
      <c r="F4902" s="1" t="n">
        <v>5.8</v>
      </c>
      <c r="G4902" s="1" t="n">
        <v>0.93</v>
      </c>
      <c r="H4902" s="1" t="n">
        <v>0</v>
      </c>
      <c r="I4902" s="1" t="n">
        <v>0.51</v>
      </c>
      <c r="J4902" t="n">
        <v>75142550</v>
      </c>
    </row>
    <row r="4903" ht="15.75" customHeight="1" s="201">
      <c r="A4903" s="1" t="inlineStr">
        <is>
          <t>Pasta, cooked, enriched, without added salt</t>
        </is>
      </c>
      <c r="C4903" s="1" t="n">
        <v>30.86</v>
      </c>
      <c r="D4903" s="1" t="n">
        <v>73</v>
      </c>
      <c r="E4903" s="1" t="n">
        <v>1.28</v>
      </c>
      <c r="F4903" s="1" t="n">
        <v>5.8</v>
      </c>
      <c r="G4903" s="1" t="n">
        <v>0.93</v>
      </c>
      <c r="H4903" s="1" t="n">
        <v>0</v>
      </c>
      <c r="I4903" s="1" t="n">
        <v>0.51</v>
      </c>
      <c r="J4903" t="n">
        <v>58147510</v>
      </c>
    </row>
    <row r="4904" ht="15.75" customHeight="1" s="201">
      <c r="A4904" s="1" t="inlineStr">
        <is>
          <t>Pasta, cooked, unenriched, with added salt</t>
        </is>
      </c>
      <c r="C4904" s="1" t="n">
        <v>30.59</v>
      </c>
      <c r="D4904" s="1" t="n">
        <v>7</v>
      </c>
      <c r="E4904" s="1" t="n">
        <v>0.5</v>
      </c>
      <c r="F4904" s="1" t="n">
        <v>5.8</v>
      </c>
      <c r="G4904" s="1" t="n">
        <v>0.93</v>
      </c>
      <c r="I4904" s="1" t="n">
        <v>0.51</v>
      </c>
      <c r="J4904" t="n">
        <v>75142550</v>
      </c>
    </row>
    <row r="4905" ht="15.75" customHeight="1" s="201">
      <c r="A4905" s="1" t="inlineStr">
        <is>
          <t>Pasta, cooked, unenriched, without added salt</t>
        </is>
      </c>
      <c r="C4905" s="1" t="n">
        <v>30.86</v>
      </c>
      <c r="D4905" s="1" t="n">
        <v>7</v>
      </c>
      <c r="E4905" s="1" t="n">
        <v>0.5</v>
      </c>
      <c r="F4905" s="1" t="n">
        <v>5.8</v>
      </c>
      <c r="G4905" s="1" t="n">
        <v>0.93</v>
      </c>
      <c r="H4905" s="1" t="n">
        <v>0</v>
      </c>
      <c r="I4905" s="1" t="n">
        <v>0.51</v>
      </c>
      <c r="J4905" t="n">
        <v>58147510</v>
      </c>
    </row>
    <row r="4906" ht="15.75" customHeight="1" s="201">
      <c r="A4906" s="1" t="inlineStr">
        <is>
          <t>Pasta, dry, enriched</t>
        </is>
      </c>
      <c r="C4906" s="1" t="n">
        <v>74.67</v>
      </c>
      <c r="D4906" s="1" t="n">
        <v>237</v>
      </c>
      <c r="E4906" s="1" t="n">
        <v>3.3</v>
      </c>
      <c r="F4906" s="1" t="n">
        <v>13.04</v>
      </c>
      <c r="G4906" s="1" t="n">
        <v>1.51</v>
      </c>
      <c r="H4906" s="1" t="n">
        <v>0</v>
      </c>
      <c r="I4906" s="1" t="n">
        <v>1.41</v>
      </c>
      <c r="J4906" t="n">
        <v>58147510</v>
      </c>
    </row>
    <row r="4907" ht="15.75" customHeight="1" s="201">
      <c r="A4907" s="1" t="inlineStr">
        <is>
          <t>Pasta, dry, unenriched</t>
        </is>
      </c>
      <c r="C4907" s="1" t="n">
        <v>74.67</v>
      </c>
      <c r="D4907" s="1" t="n">
        <v>18</v>
      </c>
      <c r="E4907" s="1" t="n">
        <v>1.3</v>
      </c>
      <c r="F4907" s="1" t="n">
        <v>13.04</v>
      </c>
      <c r="G4907" s="1" t="n">
        <v>1.51</v>
      </c>
      <c r="H4907" s="1" t="n">
        <v>0</v>
      </c>
      <c r="I4907" s="1" t="n">
        <v>1.41</v>
      </c>
      <c r="J4907" t="n">
        <v>58147510</v>
      </c>
    </row>
    <row r="4908" ht="15.75" customHeight="1" s="201">
      <c r="A4908" s="1" t="inlineStr">
        <is>
          <t>Pasta, fresh-refrigerated, plain, as purchased</t>
        </is>
      </c>
      <c r="C4908" s="1" t="n">
        <v>54.73</v>
      </c>
      <c r="D4908" s="1" t="n">
        <v>176</v>
      </c>
      <c r="E4908" s="1" t="n">
        <v>3.35</v>
      </c>
      <c r="F4908" s="1" t="n">
        <v>11.31</v>
      </c>
      <c r="G4908" s="1" t="n">
        <v>2.3</v>
      </c>
      <c r="H4908" s="1" t="n">
        <v>47</v>
      </c>
      <c r="I4908" s="1" t="n">
        <v>1.22</v>
      </c>
      <c r="J4908" t="n">
        <v>58147510</v>
      </c>
    </row>
    <row r="4909" ht="15.75" customHeight="1" s="201">
      <c r="A4909" s="1" t="inlineStr">
        <is>
          <t>Pasta, fresh-refrigerated, plain, cooked</t>
        </is>
      </c>
      <c r="C4909" s="1" t="n">
        <v>24.93</v>
      </c>
      <c r="D4909" s="1" t="n">
        <v>64</v>
      </c>
      <c r="E4909" s="1" t="n">
        <v>1.14</v>
      </c>
      <c r="F4909" s="1" t="n">
        <v>5.15</v>
      </c>
      <c r="G4909" s="1" t="n">
        <v>1.05</v>
      </c>
      <c r="H4909" s="1" t="n">
        <v>20</v>
      </c>
      <c r="I4909" s="1" t="n">
        <v>0.5600000000000001</v>
      </c>
      <c r="J4909" t="n">
        <v>58147510</v>
      </c>
    </row>
    <row r="4910" ht="15.75" customHeight="1" s="201">
      <c r="A4910" s="1" t="inlineStr">
        <is>
          <t>Pasta, fresh-refrigerated, spinach, as purchased</t>
        </is>
      </c>
      <c r="C4910" s="1" t="n">
        <v>55.72</v>
      </c>
      <c r="D4910" s="1" t="n">
        <v>177</v>
      </c>
      <c r="E4910" s="1" t="n">
        <v>3.3</v>
      </c>
      <c r="F4910" s="1" t="n">
        <v>11.26</v>
      </c>
      <c r="G4910" s="1" t="n">
        <v>2.1</v>
      </c>
      <c r="H4910" s="1" t="n">
        <v>241</v>
      </c>
      <c r="I4910" s="1" t="n">
        <v>1.4</v>
      </c>
      <c r="J4910" t="n">
        <v>58147510</v>
      </c>
    </row>
    <row r="4911" ht="15.75" customHeight="1" s="201">
      <c r="A4911" s="1" t="inlineStr">
        <is>
          <t>Pasta, fresh-refrigerated, spinach, cooked</t>
        </is>
      </c>
      <c r="C4911" s="1" t="n">
        <v>25.04</v>
      </c>
      <c r="D4911" s="1" t="n">
        <v>64</v>
      </c>
      <c r="E4911" s="1" t="n">
        <v>1.11</v>
      </c>
      <c r="F4911" s="1" t="n">
        <v>5.06</v>
      </c>
      <c r="G4911" s="1" t="n">
        <v>0.9399999999999999</v>
      </c>
      <c r="H4911" s="1" t="n">
        <v>103</v>
      </c>
      <c r="I4911" s="1" t="n">
        <v>0.63</v>
      </c>
      <c r="J4911" t="n">
        <v>56104000</v>
      </c>
    </row>
    <row r="4912" ht="15.75" customHeight="1" s="201">
      <c r="A4912" s="1" t="inlineStr">
        <is>
          <t>Pasta, gluten-free, brown rice flour, cooked, TINKYADA</t>
        </is>
      </c>
      <c r="C4912" s="1" t="n">
        <v>32.2</v>
      </c>
      <c r="D4912" s="1" t="n">
        <v>4</v>
      </c>
      <c r="E4912" s="1" t="n">
        <v>0.53</v>
      </c>
      <c r="F4912" s="1" t="n">
        <v>3.46</v>
      </c>
      <c r="G4912" s="1" t="n">
        <v>1.67</v>
      </c>
      <c r="H4912" s="1" t="n">
        <v>0</v>
      </c>
      <c r="I4912" s="1" t="n">
        <v>0.83</v>
      </c>
      <c r="J4912" t="n">
        <v>54318500</v>
      </c>
    </row>
    <row r="4913" ht="15.75" customHeight="1" s="201">
      <c r="A4913" s="1" t="inlineStr">
        <is>
          <t>Pasta, gluten-free, corn and rice flour, cooked</t>
        </is>
      </c>
      <c r="C4913" s="1" t="n">
        <v>38.05</v>
      </c>
      <c r="D4913" s="1" t="n">
        <v>4</v>
      </c>
      <c r="E4913" s="1" t="n">
        <v>0.22</v>
      </c>
      <c r="F4913" s="1" t="n">
        <v>3.2</v>
      </c>
      <c r="G4913" s="1" t="n">
        <v>1</v>
      </c>
      <c r="H4913" s="1" t="n">
        <v>71</v>
      </c>
      <c r="I4913" s="1" t="n">
        <v>0.27</v>
      </c>
      <c r="J4913" t="n">
        <v>54318500</v>
      </c>
    </row>
    <row r="4914" ht="15.75" customHeight="1" s="201">
      <c r="A4914" s="1" t="inlineStr">
        <is>
          <t>Pasta, gluten-free, corn flour and quinoa flour, cooked, ANCIENT HARVEST</t>
        </is>
      </c>
      <c r="C4914" s="1" t="n">
        <v>31.11</v>
      </c>
      <c r="D4914" s="1" t="n">
        <v>8</v>
      </c>
      <c r="E4914" s="1" t="n">
        <v>0.72</v>
      </c>
      <c r="F4914" s="1" t="n">
        <v>3.23</v>
      </c>
      <c r="G4914" s="1" t="n">
        <v>2.07</v>
      </c>
      <c r="H4914" s="1" t="n">
        <v>11</v>
      </c>
      <c r="I4914" s="1" t="n">
        <v>0.7</v>
      </c>
      <c r="J4914" t="n">
        <v>58148118</v>
      </c>
    </row>
    <row r="4915" ht="15.75" customHeight="1" s="201">
      <c r="A4915" s="1" t="inlineStr">
        <is>
          <t>Pasta, gluten-free, corn, cooked</t>
        </is>
      </c>
      <c r="C4915" s="1" t="n">
        <v>27.91</v>
      </c>
      <c r="D4915" s="1" t="n">
        <v>6</v>
      </c>
      <c r="E4915" s="1" t="n">
        <v>0.25</v>
      </c>
      <c r="F4915" s="1" t="n">
        <v>2.63</v>
      </c>
      <c r="G4915" s="1" t="n">
        <v>0.73</v>
      </c>
      <c r="H4915" s="1" t="n">
        <v>57</v>
      </c>
      <c r="I4915" s="1" t="n">
        <v>0.63</v>
      </c>
      <c r="J4915" t="n">
        <v>58148118</v>
      </c>
    </row>
    <row r="4916" ht="15.75" customHeight="1" s="201">
      <c r="A4916" s="1" t="inlineStr">
        <is>
          <t>Pasta, gluten-free, corn, dry</t>
        </is>
      </c>
      <c r="C4916" s="1" t="n">
        <v>79.26000000000001</v>
      </c>
      <c r="D4916" s="1" t="n">
        <v>25</v>
      </c>
      <c r="E4916" s="1" t="n">
        <v>0.93</v>
      </c>
      <c r="F4916" s="1" t="n">
        <v>7.46</v>
      </c>
      <c r="G4916" s="1" t="n">
        <v>2.08</v>
      </c>
      <c r="H4916" s="1" t="n">
        <v>170</v>
      </c>
      <c r="I4916" s="1" t="n">
        <v>1.79</v>
      </c>
      <c r="J4916" t="n">
        <v>58148118</v>
      </c>
    </row>
    <row r="4917" ht="15.75" customHeight="1" s="201">
      <c r="A4917" s="1" t="inlineStr">
        <is>
          <t>Pasta, gluten-free, rice flour and rice bran extract, cooked, DE BOLES</t>
        </is>
      </c>
      <c r="C4917" s="1" t="n">
        <v>40.75</v>
      </c>
      <c r="E4917" s="1" t="n">
        <v>0.62</v>
      </c>
      <c r="F4917" s="1" t="n">
        <v>4.21</v>
      </c>
      <c r="G4917" s="1" t="n">
        <v>1.7</v>
      </c>
      <c r="I4917" s="1" t="n">
        <v>1.08</v>
      </c>
      <c r="J4917" t="n">
        <v>54318500</v>
      </c>
    </row>
    <row r="4918" ht="15.75" customHeight="1" s="201">
      <c r="A4918" s="1" t="inlineStr">
        <is>
          <t>Pasta, homemade, made with egg, cooked</t>
        </is>
      </c>
      <c r="C4918" s="1" t="n">
        <v>23.54</v>
      </c>
      <c r="D4918" s="1" t="n">
        <v>43</v>
      </c>
      <c r="E4918" s="1" t="n">
        <v>1.16</v>
      </c>
      <c r="F4918" s="1" t="n">
        <v>5.28</v>
      </c>
      <c r="G4918" s="1" t="n">
        <v>1.74</v>
      </c>
      <c r="H4918" s="1" t="n">
        <v>58</v>
      </c>
      <c r="I4918" s="1" t="n">
        <v>0.44</v>
      </c>
      <c r="J4918" t="n">
        <v>75142550</v>
      </c>
    </row>
    <row r="4919" ht="15.75" customHeight="1" s="201">
      <c r="A4919" s="1" t="inlineStr">
        <is>
          <t>Pasta, homemade, made without egg, cooked</t>
        </is>
      </c>
      <c r="C4919" s="1" t="n">
        <v>25.12</v>
      </c>
      <c r="D4919" s="1" t="n">
        <v>43</v>
      </c>
      <c r="E4919" s="1" t="n">
        <v>1.13</v>
      </c>
      <c r="F4919" s="1" t="n">
        <v>4.37</v>
      </c>
      <c r="G4919" s="1" t="n">
        <v>0.98</v>
      </c>
      <c r="H4919" s="1" t="n">
        <v>0</v>
      </c>
      <c r="I4919" s="1" t="n">
        <v>0.37</v>
      </c>
      <c r="J4919" t="n">
        <v>58147510</v>
      </c>
    </row>
    <row r="4920" ht="15.75" customHeight="1" s="201">
      <c r="A4920" s="1" t="inlineStr">
        <is>
          <t>Pasta, whole grain, 51% whole wheat, remaining enriched semolina, cooked (Includes foods for USDA's Food Distribution Program)</t>
        </is>
      </c>
      <c r="C4920" s="1" t="n">
        <v>30.87</v>
      </c>
      <c r="D4920" s="1" t="n">
        <v>38</v>
      </c>
      <c r="E4920" s="1" t="n">
        <v>1.58</v>
      </c>
      <c r="F4920" s="1" t="n">
        <v>5.67</v>
      </c>
      <c r="G4920" s="1" t="n">
        <v>1.48</v>
      </c>
      <c r="I4920" s="1" t="n">
        <v>1.02</v>
      </c>
      <c r="J4920" t="n">
        <v>54204030</v>
      </c>
    </row>
    <row r="4921" ht="15.75" customHeight="1" s="201">
      <c r="A4921" s="1" t="inlineStr">
        <is>
          <t>Pasta, whole grain, 51% whole wheat, remaining enriched semolina, dry (Includes foods for USDA's Food Distribution Program)</t>
        </is>
      </c>
      <c r="C4921" s="1" t="n">
        <v>73.3</v>
      </c>
      <c r="D4921" s="1" t="n">
        <v>114</v>
      </c>
      <c r="E4921" s="1" t="n">
        <v>3.41</v>
      </c>
      <c r="F4921" s="1" t="n">
        <v>13.2</v>
      </c>
      <c r="G4921" s="1" t="n">
        <v>2.55</v>
      </c>
      <c r="I4921" s="1" t="n">
        <v>2.2</v>
      </c>
      <c r="J4921" t="n">
        <v>54204030</v>
      </c>
    </row>
    <row r="4922" ht="15.75" customHeight="1" s="201">
      <c r="A4922" s="1" t="inlineStr">
        <is>
          <t>Pasta, whole grain, 51% whole wheat, remaining unenriched semolina, cooked</t>
        </is>
      </c>
      <c r="C4922" s="1" t="n">
        <v>31.51</v>
      </c>
      <c r="D4922" s="1" t="n">
        <v>20</v>
      </c>
      <c r="E4922" s="1" t="n">
        <v>1.65</v>
      </c>
      <c r="F4922" s="1" t="n">
        <v>5.82</v>
      </c>
      <c r="G4922" s="1" t="n">
        <v>1.5</v>
      </c>
      <c r="I4922" s="1" t="n">
        <v>1.12</v>
      </c>
      <c r="J4922" t="n">
        <v>54204030</v>
      </c>
    </row>
    <row r="4923" ht="15.75" customHeight="1" s="201">
      <c r="A4923" s="1" t="inlineStr">
        <is>
          <t>Pasta, whole grain, 51% whole wheat, remaining unenriched semolina, dry</t>
        </is>
      </c>
      <c r="C4923" s="1" t="n">
        <v>73.09999999999999</v>
      </c>
      <c r="D4923" s="1" t="n">
        <v>59</v>
      </c>
      <c r="E4923" s="1" t="n">
        <v>3.33</v>
      </c>
      <c r="F4923" s="1" t="n">
        <v>13.51</v>
      </c>
      <c r="G4923" s="1" t="n">
        <v>2.68</v>
      </c>
      <c r="I4923" s="1" t="n">
        <v>2.4</v>
      </c>
      <c r="J4923" t="n">
        <v>54204030</v>
      </c>
    </row>
    <row r="4924" ht="15.75" customHeight="1" s="201">
      <c r="A4924" s="1" t="inlineStr">
        <is>
          <t>Pasta, whole-wheat, cooked (Includes foods for USDA's Food Distribution Program)</t>
        </is>
      </c>
      <c r="C4924" s="1" t="n">
        <v>30.07</v>
      </c>
      <c r="D4924" s="1" t="n">
        <v>21</v>
      </c>
      <c r="E4924" s="1" t="n">
        <v>1.72</v>
      </c>
      <c r="F4924" s="1" t="n">
        <v>5.99</v>
      </c>
      <c r="G4924" s="1" t="n">
        <v>1.71</v>
      </c>
      <c r="H4924" s="1" t="n">
        <v>4</v>
      </c>
      <c r="I4924" s="1" t="n">
        <v>1.34</v>
      </c>
      <c r="J4924" t="n">
        <v>54204030</v>
      </c>
    </row>
    <row r="4925" ht="15.75" customHeight="1" s="201">
      <c r="A4925" s="1" t="inlineStr">
        <is>
          <t>Pasta, whole-wheat, dry (Includes foods for USDA's Food Distribution Program)</t>
        </is>
      </c>
      <c r="C4925" s="1" t="n">
        <v>73.37</v>
      </c>
      <c r="D4925" s="1" t="n">
        <v>69</v>
      </c>
      <c r="E4925" s="1" t="n">
        <v>3.62</v>
      </c>
      <c r="F4925" s="1" t="n">
        <v>13.87</v>
      </c>
      <c r="G4925" s="1" t="n">
        <v>2.93</v>
      </c>
      <c r="I4925" s="1" t="n">
        <v>2.97</v>
      </c>
      <c r="J4925" t="n">
        <v>54204030</v>
      </c>
    </row>
    <row r="4926" ht="15.75" customHeight="1" s="201">
      <c r="A4926" s="1" t="inlineStr">
        <is>
          <t>Pastrami, beef, 98% fat-free</t>
        </is>
      </c>
      <c r="C4926" s="1" t="n">
        <v>1.54</v>
      </c>
      <c r="D4926" s="1" t="n">
        <v>7</v>
      </c>
      <c r="E4926" s="1" t="n">
        <v>2.78</v>
      </c>
      <c r="F4926" s="1" t="n">
        <v>19.6</v>
      </c>
      <c r="G4926" s="1" t="n">
        <v>1.16</v>
      </c>
      <c r="H4926" s="1" t="n">
        <v>0</v>
      </c>
      <c r="I4926" s="1" t="n">
        <v>4.26</v>
      </c>
      <c r="J4926" t="n">
        <v>28110510</v>
      </c>
    </row>
    <row r="4927" ht="15.75" customHeight="1" s="201">
      <c r="A4927" s="1" t="inlineStr">
        <is>
          <t>Pastrami, turkey</t>
        </is>
      </c>
      <c r="C4927" s="1" t="n">
        <v>3.34</v>
      </c>
      <c r="D4927" s="1" t="n">
        <v>5</v>
      </c>
      <c r="E4927" s="1" t="n">
        <v>4.2</v>
      </c>
      <c r="F4927" s="1" t="n">
        <v>16.3</v>
      </c>
      <c r="G4927" s="1" t="n">
        <v>6.21</v>
      </c>
      <c r="H4927" s="1" t="n">
        <v>12</v>
      </c>
      <c r="I4927" s="1" t="n">
        <v>2.16</v>
      </c>
      <c r="J4927" t="n">
        <v>27540350</v>
      </c>
    </row>
    <row r="4928" ht="15.75" customHeight="1" s="201">
      <c r="A4928" s="1" t="inlineStr">
        <is>
          <t>Pastry, Pastelitos de Guava (guava pastries)</t>
        </is>
      </c>
      <c r="C4928" s="1" t="n">
        <v>47.76</v>
      </c>
      <c r="E4928" s="1" t="n">
        <v>2.12</v>
      </c>
      <c r="F4928" s="1" t="n">
        <v>5.48</v>
      </c>
      <c r="G4928" s="1" t="n">
        <v>18.5</v>
      </c>
      <c r="I4928" s="1" t="n">
        <v>0.42</v>
      </c>
    </row>
    <row r="4929" ht="15.75" customHeight="1" s="201">
      <c r="A4929" s="1" t="inlineStr">
        <is>
          <t>Pate de foie gras, canned (goose liver pate), smoked</t>
        </is>
      </c>
      <c r="C4929" s="1" t="n">
        <v>4.67</v>
      </c>
      <c r="D4929" s="1" t="n">
        <v>60</v>
      </c>
      <c r="E4929" s="1" t="n">
        <v>5.5</v>
      </c>
      <c r="F4929" s="1" t="n">
        <v>11.4</v>
      </c>
      <c r="G4929" s="1" t="n">
        <v>43.84</v>
      </c>
      <c r="H4929" s="1" t="n">
        <v>3333</v>
      </c>
      <c r="I4929" s="1" t="n">
        <v>0.92</v>
      </c>
      <c r="J4929" t="n">
        <v>25230560</v>
      </c>
    </row>
    <row r="4930" ht="15.75" customHeight="1" s="201">
      <c r="A4930" s="1" t="inlineStr">
        <is>
          <t>Pate, chicken liver, canned</t>
        </is>
      </c>
      <c r="C4930" s="1" t="n">
        <v>6.55</v>
      </c>
      <c r="D4930" s="1" t="n">
        <v>321</v>
      </c>
      <c r="E4930" s="1" t="n">
        <v>9.19</v>
      </c>
      <c r="F4930" s="1" t="n">
        <v>13.45</v>
      </c>
      <c r="G4930" s="1" t="n">
        <v>13.1</v>
      </c>
      <c r="H4930" s="1" t="n">
        <v>724</v>
      </c>
      <c r="I4930" s="1" t="n">
        <v>2.14</v>
      </c>
      <c r="J4930" t="n">
        <v>25230560</v>
      </c>
    </row>
    <row r="4931" ht="15.75" customHeight="1" s="201">
      <c r="A4931" s="1" t="inlineStr">
        <is>
          <t>Pate, goose liver, smoked, canned</t>
        </is>
      </c>
      <c r="C4931" s="1" t="n">
        <v>4.67</v>
      </c>
      <c r="D4931" s="1" t="n">
        <v>60</v>
      </c>
      <c r="E4931" s="1" t="n">
        <v>5.5</v>
      </c>
      <c r="F4931" s="1" t="n">
        <v>11.4</v>
      </c>
      <c r="G4931" s="1" t="n">
        <v>43.84</v>
      </c>
      <c r="H4931" s="1" t="n">
        <v>3333</v>
      </c>
      <c r="I4931" s="1" t="n">
        <v>0.92</v>
      </c>
      <c r="J4931" t="n">
        <v>25230560</v>
      </c>
    </row>
    <row r="4932" ht="15.75" customHeight="1" s="201">
      <c r="A4932" s="1" t="inlineStr">
        <is>
          <t>Pate, liver, not specified, canned</t>
        </is>
      </c>
      <c r="C4932" s="1" t="n">
        <v>1.5</v>
      </c>
      <c r="D4932" s="1" t="n">
        <v>60</v>
      </c>
      <c r="E4932" s="1" t="n">
        <v>5.5</v>
      </c>
      <c r="F4932" s="1" t="n">
        <v>14.2</v>
      </c>
      <c r="G4932" s="1" t="n">
        <v>28</v>
      </c>
      <c r="H4932" s="1" t="n">
        <v>3300</v>
      </c>
      <c r="I4932" s="1" t="n">
        <v>2.85</v>
      </c>
      <c r="J4932" t="n">
        <v>25230560</v>
      </c>
    </row>
    <row r="4933" ht="15.75" customHeight="1" s="201">
      <c r="A4933" s="1" t="inlineStr">
        <is>
          <t>Pate, truffle flavor</t>
        </is>
      </c>
      <c r="C4933" s="1" t="n">
        <v>6.3</v>
      </c>
      <c r="D4933" s="1" t="n">
        <v>60</v>
      </c>
      <c r="E4933" s="1" t="n">
        <v>3.94</v>
      </c>
      <c r="F4933" s="1" t="n">
        <v>11.2</v>
      </c>
      <c r="G4933" s="1" t="n">
        <v>28.5</v>
      </c>
      <c r="H4933" s="1" t="n">
        <v>15000</v>
      </c>
      <c r="I4933" s="1" t="n">
        <v>2.85</v>
      </c>
      <c r="J4933" t="n">
        <v>25112200</v>
      </c>
    </row>
    <row r="4934" ht="15.75" customHeight="1" s="201">
      <c r="A4934" s="1" t="inlineStr">
        <is>
          <t>Peach nectar, canned, with added ascorbic acid</t>
        </is>
      </c>
      <c r="C4934" s="1" t="n">
        <v>11.93</v>
      </c>
      <c r="D4934" s="1" t="n">
        <v>1</v>
      </c>
      <c r="E4934" s="1" t="n">
        <v>0.07000000000000001</v>
      </c>
      <c r="F4934" s="1" t="n">
        <v>0.21</v>
      </c>
      <c r="G4934" s="1" t="n">
        <v>0.51</v>
      </c>
      <c r="H4934" s="1" t="n">
        <v>569</v>
      </c>
      <c r="I4934" s="1" t="n">
        <v>0.02</v>
      </c>
      <c r="J4934" t="n">
        <v>75142550</v>
      </c>
    </row>
    <row r="4935" ht="15.75" customHeight="1" s="201">
      <c r="A4935" s="1" t="inlineStr">
        <is>
          <t>Peach nectar, canned, with sucralose, without added ascorbic acid</t>
        </is>
      </c>
      <c r="C4935" s="1" t="n">
        <v>11.61</v>
      </c>
      <c r="D4935" s="1" t="n">
        <v>1</v>
      </c>
      <c r="E4935" s="1" t="n">
        <v>0.07000000000000001</v>
      </c>
      <c r="F4935" s="1" t="n">
        <v>0.1</v>
      </c>
      <c r="G4935" s="1" t="n">
        <v>0.57</v>
      </c>
      <c r="H4935" s="1" t="n">
        <v>326</v>
      </c>
      <c r="I4935" s="1" t="n">
        <v>0.01</v>
      </c>
      <c r="J4935" t="n">
        <v>75142550</v>
      </c>
    </row>
    <row r="4936" ht="15.75" customHeight="1" s="201">
      <c r="A4936" s="1" t="inlineStr">
        <is>
          <t>Peaches, canned, extra heavy syrup pack, solids and liquids</t>
        </is>
      </c>
      <c r="C4936" s="1" t="n">
        <v>26.06</v>
      </c>
      <c r="D4936" s="1" t="n">
        <v>3</v>
      </c>
      <c r="E4936" s="1" t="n">
        <v>0.29</v>
      </c>
      <c r="F4936" s="1" t="n">
        <v>0.47</v>
      </c>
      <c r="G4936" s="1" t="n">
        <v>0.03</v>
      </c>
      <c r="H4936" s="1" t="n">
        <v>131</v>
      </c>
      <c r="I4936" s="1" t="n">
        <v>0.09</v>
      </c>
      <c r="J4936" t="n">
        <v>53109200</v>
      </c>
    </row>
    <row r="4937" ht="15.75" customHeight="1" s="201">
      <c r="A4937" s="1" t="inlineStr">
        <is>
          <t>Peaches, canned, extra light syrup, solids and liquids (Includes foods for USDA's Food Distribution Program)</t>
        </is>
      </c>
      <c r="C4937" s="1" t="n">
        <v>11.1</v>
      </c>
      <c r="D4937" s="1" t="n">
        <v>3</v>
      </c>
      <c r="E4937" s="1" t="n">
        <v>0.3</v>
      </c>
      <c r="F4937" s="1" t="n">
        <v>0.4</v>
      </c>
      <c r="G4937" s="1" t="n">
        <v>0.1</v>
      </c>
      <c r="H4937" s="1" t="n">
        <v>270</v>
      </c>
      <c r="I4937" s="1" t="n">
        <v>0.09</v>
      </c>
      <c r="J4937" t="n">
        <v>27446245</v>
      </c>
    </row>
    <row r="4938" ht="15.75" customHeight="1" s="201">
      <c r="A4938" s="1" t="inlineStr">
        <is>
          <t>Peaches, canned, heavy syrup pack, solids and liquids</t>
        </is>
      </c>
      <c r="C4938" s="1" t="n">
        <v>19.94</v>
      </c>
      <c r="D4938" s="1" t="n">
        <v>3</v>
      </c>
      <c r="E4938" s="1" t="n">
        <v>0.27</v>
      </c>
      <c r="F4938" s="1" t="n">
        <v>0.45</v>
      </c>
      <c r="G4938" s="1" t="n">
        <v>0.1</v>
      </c>
      <c r="H4938" s="1" t="n">
        <v>332</v>
      </c>
      <c r="I4938" s="1" t="n">
        <v>0.09</v>
      </c>
      <c r="J4938" t="n">
        <v>53109200</v>
      </c>
    </row>
    <row r="4939" ht="15.75" customHeight="1" s="201">
      <c r="A4939" s="1" t="inlineStr">
        <is>
          <t>Peaches, canned, heavy syrup, drained</t>
        </is>
      </c>
      <c r="C4939" s="1" t="n">
        <v>18.43</v>
      </c>
      <c r="D4939" s="1" t="n">
        <v>9</v>
      </c>
      <c r="E4939" s="1" t="n">
        <v>0.27</v>
      </c>
      <c r="F4939" s="1" t="n">
        <v>0.52</v>
      </c>
      <c r="G4939" s="1" t="n">
        <v>0.18</v>
      </c>
      <c r="H4939" s="1" t="n">
        <v>626</v>
      </c>
      <c r="I4939" s="1" t="n">
        <v>0.09</v>
      </c>
      <c r="J4939" t="n">
        <v>63311110</v>
      </c>
    </row>
    <row r="4940" ht="15.75" customHeight="1" s="201">
      <c r="A4940" s="1" t="inlineStr">
        <is>
          <t>Peaches, canned, juice pack, solids and liquids</t>
        </is>
      </c>
      <c r="C4940" s="1" t="n">
        <v>11.57</v>
      </c>
      <c r="D4940" s="1" t="n">
        <v>3</v>
      </c>
      <c r="E4940" s="1" t="n">
        <v>0.27</v>
      </c>
      <c r="F4940" s="1" t="n">
        <v>0.63</v>
      </c>
      <c r="G4940" s="1" t="n">
        <v>0.03</v>
      </c>
      <c r="H4940" s="1" t="n">
        <v>381</v>
      </c>
      <c r="I4940" s="1" t="n">
        <v>0.11</v>
      </c>
      <c r="J4940" t="n">
        <v>64100110</v>
      </c>
    </row>
    <row r="4941" ht="15.75" customHeight="1" s="201">
      <c r="A4941" s="1" t="inlineStr">
        <is>
          <t>Peaches, canned, light syrup pack, solids and liquids</t>
        </is>
      </c>
      <c r="C4941" s="1" t="n">
        <v>14.55</v>
      </c>
      <c r="D4941" s="1" t="n">
        <v>3</v>
      </c>
      <c r="E4941" s="1" t="n">
        <v>0.36</v>
      </c>
      <c r="F4941" s="1" t="n">
        <v>0.45</v>
      </c>
      <c r="G4941" s="1" t="n">
        <v>0.03</v>
      </c>
      <c r="H4941" s="1" t="n">
        <v>354</v>
      </c>
      <c r="I4941" s="1" t="n">
        <v>0.09</v>
      </c>
      <c r="J4941" t="n">
        <v>27446245</v>
      </c>
    </row>
    <row r="4942" ht="15.75" customHeight="1" s="201">
      <c r="A4942" s="1" t="inlineStr">
        <is>
          <t>Peaches, canned, water pack, solids and liquids</t>
        </is>
      </c>
      <c r="C4942" s="1" t="n">
        <v>6.11</v>
      </c>
      <c r="D4942" s="1" t="n">
        <v>3</v>
      </c>
      <c r="E4942" s="1" t="n">
        <v>0.32</v>
      </c>
      <c r="F4942" s="1" t="n">
        <v>0.44</v>
      </c>
      <c r="G4942" s="1" t="n">
        <v>0.06</v>
      </c>
      <c r="H4942" s="1" t="n">
        <v>532</v>
      </c>
      <c r="I4942" s="1" t="n">
        <v>0.09</v>
      </c>
      <c r="J4942" t="n">
        <v>11740312</v>
      </c>
    </row>
    <row r="4943" ht="15.75" customHeight="1" s="201">
      <c r="A4943" s="1" t="inlineStr">
        <is>
          <t>Peaches, dehydrated (low-moisture), sulfured, stewed</t>
        </is>
      </c>
      <c r="C4943" s="1" t="n">
        <v>34.14</v>
      </c>
      <c r="D4943" s="1" t="n">
        <v>3</v>
      </c>
      <c r="E4943" s="1" t="n">
        <v>2.26</v>
      </c>
      <c r="F4943" s="1" t="n">
        <v>2.01</v>
      </c>
      <c r="G4943" s="1" t="n">
        <v>0.42</v>
      </c>
      <c r="H4943" s="1" t="n">
        <v>396</v>
      </c>
      <c r="I4943" s="1" t="n">
        <v>0.32</v>
      </c>
      <c r="J4943" t="n">
        <v>24163110</v>
      </c>
    </row>
    <row r="4944" ht="15.75" customHeight="1" s="201">
      <c r="A4944" s="1" t="inlineStr">
        <is>
          <t>Peaches, dehydrated (low-moisture), sulfured, uncooked</t>
        </is>
      </c>
      <c r="C4944" s="1" t="n">
        <v>83.18000000000001</v>
      </c>
      <c r="D4944" s="1" t="n">
        <v>7</v>
      </c>
      <c r="E4944" s="1" t="n">
        <v>5.51</v>
      </c>
      <c r="F4944" s="1" t="n">
        <v>4.89</v>
      </c>
      <c r="G4944" s="1" t="n">
        <v>1.03</v>
      </c>
      <c r="H4944" s="1" t="n">
        <v>1417</v>
      </c>
      <c r="I4944" s="1" t="n">
        <v>0.78</v>
      </c>
    </row>
    <row r="4945" ht="15.75" customHeight="1" s="201">
      <c r="A4945" s="1" t="inlineStr">
        <is>
          <t>Peaches, dried, sulfured, stewed, with added sugar</t>
        </is>
      </c>
      <c r="C4945" s="1" t="n">
        <v>26.6</v>
      </c>
      <c r="D4945" s="1" t="n">
        <v>0</v>
      </c>
      <c r="E4945" s="1" t="n">
        <v>1.2</v>
      </c>
      <c r="F4945" s="1" t="n">
        <v>1.06</v>
      </c>
      <c r="G4945" s="1" t="n">
        <v>0.22</v>
      </c>
      <c r="H4945" s="1" t="n">
        <v>180</v>
      </c>
      <c r="I4945" s="1" t="n">
        <v>0.17</v>
      </c>
      <c r="J4945" t="n">
        <v>75142550</v>
      </c>
    </row>
    <row r="4946" ht="15.75" customHeight="1" s="201">
      <c r="A4946" s="1" t="inlineStr">
        <is>
          <t>Peaches, dried, sulfured, stewed, without added sugar</t>
        </is>
      </c>
      <c r="C4946" s="1" t="n">
        <v>19.69</v>
      </c>
      <c r="D4946" s="1" t="n">
        <v>0</v>
      </c>
      <c r="E4946" s="1" t="n">
        <v>1.31</v>
      </c>
      <c r="F4946" s="1" t="n">
        <v>1.16</v>
      </c>
      <c r="G4946" s="1" t="n">
        <v>0.25</v>
      </c>
      <c r="H4946" s="1" t="n">
        <v>197</v>
      </c>
      <c r="I4946" s="1" t="n">
        <v>0.18</v>
      </c>
      <c r="J4946" t="n">
        <v>75231021</v>
      </c>
    </row>
    <row r="4947" ht="15.75" customHeight="1" s="201">
      <c r="A4947" s="1" t="inlineStr">
        <is>
          <t>Peaches, dried, sulfured, uncooked</t>
        </is>
      </c>
      <c r="C4947" s="1" t="n">
        <v>61.33</v>
      </c>
      <c r="D4947" s="1" t="n">
        <v>0</v>
      </c>
      <c r="E4947" s="1" t="n">
        <v>4.06</v>
      </c>
      <c r="F4947" s="1" t="n">
        <v>3.61</v>
      </c>
      <c r="G4947" s="1" t="n">
        <v>0.76</v>
      </c>
      <c r="H4947" s="1" t="n">
        <v>2163</v>
      </c>
      <c r="I4947" s="1" t="n">
        <v>0.57</v>
      </c>
      <c r="J4947" t="n">
        <v>62101050</v>
      </c>
    </row>
    <row r="4948" ht="15.75" customHeight="1" s="201">
      <c r="A4948" s="1" t="inlineStr">
        <is>
          <t>Peaches, frozen, sliced, sweetened</t>
        </is>
      </c>
      <c r="C4948" s="1" t="n">
        <v>23.98</v>
      </c>
      <c r="D4948" s="1" t="n">
        <v>3</v>
      </c>
      <c r="E4948" s="1" t="n">
        <v>0.37</v>
      </c>
      <c r="F4948" s="1" t="n">
        <v>0.63</v>
      </c>
      <c r="G4948" s="1" t="n">
        <v>0.13</v>
      </c>
      <c r="H4948" s="1" t="n">
        <v>284</v>
      </c>
      <c r="I4948" s="1" t="n">
        <v>0.05</v>
      </c>
      <c r="J4948" t="n">
        <v>28145110</v>
      </c>
    </row>
    <row r="4949" ht="15.75" customHeight="1" s="201">
      <c r="A4949" s="1" t="inlineStr">
        <is>
          <t>Peaches, spiced, canned, heavy syrup pack, solids and liquids</t>
        </is>
      </c>
      <c r="C4949" s="1" t="n">
        <v>20.08</v>
      </c>
      <c r="D4949" s="1" t="n">
        <v>3</v>
      </c>
      <c r="E4949" s="1" t="n">
        <v>0.28</v>
      </c>
      <c r="F4949" s="1" t="n">
        <v>0.41</v>
      </c>
      <c r="G4949" s="1" t="n">
        <v>0.1</v>
      </c>
      <c r="H4949" s="1" t="n">
        <v>317</v>
      </c>
      <c r="I4949" s="1" t="n">
        <v>0.08</v>
      </c>
      <c r="J4949" t="n">
        <v>53109200</v>
      </c>
    </row>
    <row r="4950" ht="15.75" customHeight="1" s="201">
      <c r="A4950" s="1" t="inlineStr">
        <is>
          <t>Peaches, yellow, raw</t>
        </is>
      </c>
      <c r="C4950" s="1" t="n">
        <v>9.539999999999999</v>
      </c>
      <c r="D4950" s="1" t="n">
        <v>4</v>
      </c>
      <c r="E4950" s="1" t="n">
        <v>0.25</v>
      </c>
      <c r="F4950" s="1" t="n">
        <v>0.91</v>
      </c>
      <c r="G4950" s="1" t="n">
        <v>0.25</v>
      </c>
      <c r="H4950" s="1" t="n">
        <v>326</v>
      </c>
      <c r="I4950" s="1" t="n">
        <v>0.17</v>
      </c>
      <c r="J4950" t="n">
        <v>53109200</v>
      </c>
    </row>
    <row r="4951" ht="15.75" customHeight="1" s="201">
      <c r="A4951" s="1" t="inlineStr">
        <is>
          <t>Peanut butter with omega-3, creamy</t>
        </is>
      </c>
      <c r="C4951" s="1" t="n">
        <v>17</v>
      </c>
      <c r="E4951" s="1" t="n">
        <v>1.67</v>
      </c>
      <c r="F4951" s="1" t="n">
        <v>24.47</v>
      </c>
      <c r="G4951" s="1" t="n">
        <v>54.17</v>
      </c>
      <c r="I4951" s="1" t="n">
        <v>3.08</v>
      </c>
      <c r="J4951" t="n">
        <v>91734000</v>
      </c>
    </row>
    <row r="4952" ht="15.75" customHeight="1" s="201">
      <c r="A4952" s="1" t="inlineStr">
        <is>
          <t>Peanut butter, chunk style, with salt</t>
        </is>
      </c>
      <c r="C4952" s="1" t="n">
        <v>21.57</v>
      </c>
      <c r="D4952" s="1" t="n">
        <v>92</v>
      </c>
      <c r="E4952" s="1" t="n">
        <v>1.9</v>
      </c>
      <c r="F4952" s="1" t="n">
        <v>24.06</v>
      </c>
      <c r="G4952" s="1" t="n">
        <v>49.94</v>
      </c>
      <c r="H4952" s="1" t="n">
        <v>0</v>
      </c>
      <c r="I4952" s="1" t="n">
        <v>2.79</v>
      </c>
      <c r="J4952" t="n">
        <v>91734000</v>
      </c>
    </row>
    <row r="4953" ht="15.75" customHeight="1" s="201">
      <c r="A4953" s="1" t="inlineStr">
        <is>
          <t>Peanut butter, chunk style, without salt</t>
        </is>
      </c>
      <c r="C4953" s="1" t="n">
        <v>21.57</v>
      </c>
      <c r="D4953" s="1" t="n">
        <v>92</v>
      </c>
      <c r="E4953" s="1" t="n">
        <v>1.9</v>
      </c>
      <c r="F4953" s="1" t="n">
        <v>24.06</v>
      </c>
      <c r="G4953" s="1" t="n">
        <v>49.94</v>
      </c>
      <c r="H4953" s="1" t="n">
        <v>0</v>
      </c>
      <c r="I4953" s="1" t="n">
        <v>2.79</v>
      </c>
      <c r="J4953" t="n">
        <v>91734000</v>
      </c>
    </row>
    <row r="4954" ht="15.75" customHeight="1" s="201">
      <c r="A4954" s="1" t="inlineStr">
        <is>
          <t>Peanut butter, chunky, vitamin and mineral fortified</t>
        </is>
      </c>
      <c r="C4954" s="1" t="n">
        <v>17.69</v>
      </c>
      <c r="D4954" s="1" t="n">
        <v>313</v>
      </c>
      <c r="E4954" s="1" t="n">
        <v>17.5</v>
      </c>
      <c r="F4954" s="1" t="n">
        <v>26.06</v>
      </c>
      <c r="G4954" s="1" t="n">
        <v>51.47</v>
      </c>
      <c r="H4954" s="1" t="n">
        <v>3907</v>
      </c>
      <c r="I4954" s="1" t="n">
        <v>15.1</v>
      </c>
      <c r="J4954" t="n">
        <v>91734000</v>
      </c>
    </row>
    <row r="4955" ht="15.75" customHeight="1" s="201">
      <c r="A4955" s="1" t="inlineStr">
        <is>
          <t>Peanut butter, reduced sodium</t>
        </is>
      </c>
      <c r="C4955" s="1" t="n">
        <v>21.83</v>
      </c>
      <c r="D4955" s="1" t="n">
        <v>92</v>
      </c>
      <c r="E4955" s="1" t="n">
        <v>1.9</v>
      </c>
      <c r="F4955" s="1" t="n">
        <v>24</v>
      </c>
      <c r="G4955" s="1" t="n">
        <v>49.9</v>
      </c>
      <c r="H4955" s="1" t="n">
        <v>0</v>
      </c>
      <c r="I4955" s="1" t="n">
        <v>2.78</v>
      </c>
      <c r="J4955" t="n">
        <v>91734000</v>
      </c>
    </row>
    <row r="4956" ht="15.75" customHeight="1" s="201">
      <c r="A4956" s="1" t="inlineStr">
        <is>
          <t>Peanut Butter, smooth (Includes foods for USDA's Food Distribution Program)</t>
        </is>
      </c>
      <c r="C4956" s="1" t="n">
        <v>23.98</v>
      </c>
      <c r="D4956" s="1" t="n">
        <v>35</v>
      </c>
      <c r="E4956" s="1" t="n">
        <v>2.16</v>
      </c>
      <c r="F4956" s="1" t="n">
        <v>21.93</v>
      </c>
      <c r="G4956" s="1" t="n">
        <v>49.54</v>
      </c>
      <c r="H4956" s="1" t="n">
        <v>0</v>
      </c>
      <c r="I4956" s="1" t="n">
        <v>2.67</v>
      </c>
      <c r="J4956" t="n">
        <v>91734000</v>
      </c>
    </row>
    <row r="4957" ht="15.75" customHeight="1" s="201">
      <c r="A4957" s="1" t="inlineStr">
        <is>
          <t>Peanut butter, smooth style, with salt (Includes foods for USDA's Food Distribution Program)</t>
        </is>
      </c>
      <c r="C4957" s="1" t="n">
        <v>22.31</v>
      </c>
      <c r="D4957" s="1" t="n">
        <v>87</v>
      </c>
      <c r="E4957" s="1" t="n">
        <v>1.74</v>
      </c>
      <c r="F4957" s="1" t="n">
        <v>22.21</v>
      </c>
      <c r="G4957" s="1" t="n">
        <v>51.36</v>
      </c>
      <c r="H4957" s="1" t="n">
        <v>0</v>
      </c>
      <c r="I4957" s="1" t="n">
        <v>2.51</v>
      </c>
      <c r="J4957" t="n">
        <v>91734000</v>
      </c>
    </row>
    <row r="4958" ht="15.75" customHeight="1" s="201">
      <c r="A4958" s="1" t="inlineStr">
        <is>
          <t>Peanut butter, smooth style, without salt</t>
        </is>
      </c>
      <c r="C4958" s="1" t="n">
        <v>22.31</v>
      </c>
      <c r="D4958" s="1" t="n">
        <v>87</v>
      </c>
      <c r="E4958" s="1" t="n">
        <v>1.74</v>
      </c>
      <c r="F4958" s="1" t="n">
        <v>22.21</v>
      </c>
      <c r="G4958" s="1" t="n">
        <v>51.36</v>
      </c>
      <c r="H4958" s="1" t="n">
        <v>0</v>
      </c>
      <c r="I4958" s="1" t="n">
        <v>2.51</v>
      </c>
      <c r="J4958" t="n">
        <v>91734000</v>
      </c>
    </row>
    <row r="4959" ht="15.75" customHeight="1" s="201">
      <c r="A4959" s="1" t="inlineStr">
        <is>
          <t>Peanut butter, smooth, reduced fat</t>
        </is>
      </c>
      <c r="C4959" s="1" t="n">
        <v>35.65</v>
      </c>
      <c r="D4959" s="1" t="n">
        <v>60</v>
      </c>
      <c r="E4959" s="1" t="n">
        <v>1.9</v>
      </c>
      <c r="F4959" s="1" t="n">
        <v>25.9</v>
      </c>
      <c r="G4959" s="1" t="n">
        <v>34</v>
      </c>
      <c r="H4959" s="1" t="n">
        <v>0</v>
      </c>
      <c r="I4959" s="1" t="n">
        <v>2.8</v>
      </c>
      <c r="J4959" t="n">
        <v>91734000</v>
      </c>
    </row>
    <row r="4960" ht="15.75" customHeight="1" s="201">
      <c r="A4960" s="1" t="inlineStr">
        <is>
          <t>Peanut butter, smooth, vitamin and mineral fortified</t>
        </is>
      </c>
      <c r="C4960" s="1" t="n">
        <v>18.75</v>
      </c>
      <c r="D4960" s="1" t="n">
        <v>373</v>
      </c>
      <c r="E4960" s="1" t="n">
        <v>16.6</v>
      </c>
      <c r="F4960" s="1" t="n">
        <v>25.72</v>
      </c>
      <c r="G4960" s="1" t="n">
        <v>50.81</v>
      </c>
      <c r="H4960" s="1" t="n">
        <v>3907</v>
      </c>
      <c r="I4960" s="1" t="n">
        <v>14.4</v>
      </c>
      <c r="J4960" t="n">
        <v>91734000</v>
      </c>
    </row>
    <row r="4961" ht="15.75" customHeight="1" s="201">
      <c r="A4961" s="1" t="inlineStr">
        <is>
          <t>Peanut flour, defatted</t>
        </is>
      </c>
      <c r="C4961" s="1" t="n">
        <v>34.7</v>
      </c>
      <c r="D4961" s="1" t="n">
        <v>248</v>
      </c>
      <c r="E4961" s="1" t="n">
        <v>2.1</v>
      </c>
      <c r="F4961" s="1" t="n">
        <v>52.2</v>
      </c>
      <c r="G4961" s="1" t="n">
        <v>0.55</v>
      </c>
      <c r="H4961" s="1" t="n">
        <v>0</v>
      </c>
      <c r="I4961" s="1" t="n">
        <v>5.1</v>
      </c>
      <c r="J4961" t="n">
        <v>91734000</v>
      </c>
    </row>
    <row r="4962" ht="15.75" customHeight="1" s="201">
      <c r="A4962" s="1" t="inlineStr">
        <is>
          <t>Peanut flour, low fat</t>
        </is>
      </c>
      <c r="C4962" s="1" t="n">
        <v>31.27</v>
      </c>
      <c r="D4962" s="1" t="n">
        <v>133</v>
      </c>
      <c r="E4962" s="1" t="n">
        <v>4.74</v>
      </c>
      <c r="F4962" s="1" t="n">
        <v>33.8</v>
      </c>
      <c r="G4962" s="1" t="n">
        <v>21.9</v>
      </c>
      <c r="H4962" s="1" t="n">
        <v>0</v>
      </c>
      <c r="I4962" s="1" t="n">
        <v>5.99</v>
      </c>
      <c r="J4962" t="n">
        <v>91734000</v>
      </c>
    </row>
    <row r="4963" ht="15.75" customHeight="1" s="201">
      <c r="A4963" s="1" t="inlineStr">
        <is>
          <t>Peanut spread, reduced sugar</t>
        </is>
      </c>
      <c r="C4963" s="1" t="n">
        <v>14.23</v>
      </c>
      <c r="D4963" s="1" t="n">
        <v>144</v>
      </c>
      <c r="E4963" s="1" t="n">
        <v>2.84</v>
      </c>
      <c r="F4963" s="1" t="n">
        <v>24.8</v>
      </c>
      <c r="G4963" s="1" t="n">
        <v>54.89</v>
      </c>
      <c r="H4963" s="1" t="n">
        <v>0</v>
      </c>
      <c r="I4963" s="1" t="n">
        <v>3.51</v>
      </c>
      <c r="J4963" t="n">
        <v>42202100</v>
      </c>
    </row>
    <row r="4964" ht="15.75" customHeight="1" s="201">
      <c r="A4964" s="1" t="inlineStr">
        <is>
          <t>Peanuts, all types, cooked, boiled, with salt</t>
        </is>
      </c>
      <c r="C4964" s="1" t="n">
        <v>21.26</v>
      </c>
      <c r="D4964" s="1" t="n">
        <v>75</v>
      </c>
      <c r="E4964" s="1" t="n">
        <v>1.01</v>
      </c>
      <c r="F4964" s="1" t="n">
        <v>13.5</v>
      </c>
      <c r="G4964" s="1" t="n">
        <v>22.01</v>
      </c>
      <c r="H4964" s="1" t="n">
        <v>0</v>
      </c>
      <c r="I4964" s="1" t="n">
        <v>1.83</v>
      </c>
      <c r="J4964" t="n">
        <v>75142550</v>
      </c>
    </row>
    <row r="4965" ht="15.75" customHeight="1" s="201">
      <c r="A4965" s="1" t="inlineStr">
        <is>
          <t>Peanuts, all types, dry-roasted, with salt</t>
        </is>
      </c>
      <c r="C4965" s="1" t="n">
        <v>21.26</v>
      </c>
      <c r="D4965" s="1" t="n">
        <v>97</v>
      </c>
      <c r="E4965" s="1" t="n">
        <v>1.58</v>
      </c>
      <c r="F4965" s="1" t="n">
        <v>24.35</v>
      </c>
      <c r="G4965" s="1" t="n">
        <v>49.66</v>
      </c>
      <c r="H4965" s="1" t="n">
        <v>0</v>
      </c>
      <c r="I4965" s="1" t="n">
        <v>2.77</v>
      </c>
      <c r="J4965" t="n">
        <v>75142550</v>
      </c>
    </row>
    <row r="4966" ht="15.75" customHeight="1" s="201">
      <c r="A4966" s="1" t="inlineStr">
        <is>
          <t>Peanuts, all types, dry-roasted, without salt</t>
        </is>
      </c>
      <c r="C4966" s="1" t="n">
        <v>21.26</v>
      </c>
      <c r="D4966" s="1" t="n">
        <v>97</v>
      </c>
      <c r="E4966" s="1" t="n">
        <v>1.58</v>
      </c>
      <c r="F4966" s="1" t="n">
        <v>24.35</v>
      </c>
      <c r="G4966" s="1" t="n">
        <v>49.66</v>
      </c>
      <c r="H4966" s="1" t="n">
        <v>0</v>
      </c>
      <c r="I4966" s="1" t="n">
        <v>2.77</v>
      </c>
      <c r="J4966" t="n">
        <v>42110150</v>
      </c>
    </row>
    <row r="4967" ht="15.75" customHeight="1" s="201">
      <c r="A4967" s="1" t="inlineStr">
        <is>
          <t>Peanuts, all types, oil-roasted, with salt</t>
        </is>
      </c>
      <c r="C4967" s="1" t="n">
        <v>15.26</v>
      </c>
      <c r="D4967" s="1" t="n">
        <v>120</v>
      </c>
      <c r="E4967" s="1" t="n">
        <v>1.52</v>
      </c>
      <c r="F4967" s="1" t="n">
        <v>28.03</v>
      </c>
      <c r="G4967" s="1" t="n">
        <v>52.5</v>
      </c>
      <c r="H4967" s="1" t="n">
        <v>0</v>
      </c>
      <c r="I4967" s="1" t="n">
        <v>3.28</v>
      </c>
      <c r="J4967" t="n">
        <v>75142550</v>
      </c>
    </row>
    <row r="4968" ht="15.75" customHeight="1" s="201">
      <c r="A4968" s="1" t="inlineStr">
        <is>
          <t>Peanuts, all types, raw</t>
        </is>
      </c>
      <c r="C4968" s="1" t="n">
        <v>16.13</v>
      </c>
      <c r="D4968" s="1" t="n">
        <v>240</v>
      </c>
      <c r="E4968" s="1" t="n">
        <v>4.58</v>
      </c>
      <c r="F4968" s="1" t="n">
        <v>25.8</v>
      </c>
      <c r="G4968" s="1" t="n">
        <v>49.24</v>
      </c>
      <c r="H4968" s="1" t="n">
        <v>0</v>
      </c>
      <c r="I4968" s="1" t="n">
        <v>3.27</v>
      </c>
      <c r="J4968" t="n">
        <v>91705070</v>
      </c>
    </row>
    <row r="4969" ht="15.75" customHeight="1" s="201">
      <c r="A4969" s="1" t="inlineStr">
        <is>
          <t>Peanuts, spanish, oil-roasted, with salt</t>
        </is>
      </c>
      <c r="C4969" s="1" t="n">
        <v>17.45</v>
      </c>
      <c r="D4969" s="1" t="n">
        <v>126</v>
      </c>
      <c r="E4969" s="1" t="n">
        <v>2.28</v>
      </c>
      <c r="F4969" s="1" t="n">
        <v>28.01</v>
      </c>
      <c r="G4969" s="1" t="n">
        <v>49.04</v>
      </c>
      <c r="H4969" s="1" t="n">
        <v>0</v>
      </c>
      <c r="I4969" s="1" t="n">
        <v>2</v>
      </c>
      <c r="J4969" t="n">
        <v>75142550</v>
      </c>
    </row>
    <row r="4970" ht="15.75" customHeight="1" s="201">
      <c r="A4970" s="1" t="inlineStr">
        <is>
          <t>Peanuts, spanish, oil-roasted, without salt</t>
        </is>
      </c>
      <c r="C4970" s="1" t="n">
        <v>17.45</v>
      </c>
      <c r="D4970" s="1" t="n">
        <v>126</v>
      </c>
      <c r="E4970" s="1" t="n">
        <v>2.28</v>
      </c>
      <c r="F4970" s="1" t="n">
        <v>28.01</v>
      </c>
      <c r="G4970" s="1" t="n">
        <v>49.04</v>
      </c>
      <c r="H4970" s="1" t="n">
        <v>0</v>
      </c>
      <c r="I4970" s="1" t="n">
        <v>2</v>
      </c>
      <c r="J4970" t="n">
        <v>42110150</v>
      </c>
    </row>
    <row r="4971" ht="15.75" customHeight="1" s="201">
      <c r="A4971" s="1" t="inlineStr">
        <is>
          <t>Peanuts, spanish, raw</t>
        </is>
      </c>
      <c r="C4971" s="1" t="n">
        <v>15.83</v>
      </c>
      <c r="D4971" s="1" t="n">
        <v>240</v>
      </c>
      <c r="E4971" s="1" t="n">
        <v>3.91</v>
      </c>
      <c r="F4971" s="1" t="n">
        <v>26.15</v>
      </c>
      <c r="G4971" s="1" t="n">
        <v>49.6</v>
      </c>
      <c r="H4971" s="1" t="n">
        <v>0</v>
      </c>
      <c r="I4971" s="1" t="n">
        <v>2.12</v>
      </c>
      <c r="J4971" t="n">
        <v>91705070</v>
      </c>
    </row>
    <row r="4972" ht="15.75" customHeight="1" s="201">
      <c r="A4972" s="1" t="inlineStr">
        <is>
          <t>Peanuts, valencia, oil-roasted, with salt</t>
        </is>
      </c>
      <c r="C4972" s="1" t="n">
        <v>16.3</v>
      </c>
      <c r="D4972" s="1" t="n">
        <v>126</v>
      </c>
      <c r="E4972" s="1" t="n">
        <v>1.65</v>
      </c>
      <c r="F4972" s="1" t="n">
        <v>27.04</v>
      </c>
      <c r="G4972" s="1" t="n">
        <v>51.24</v>
      </c>
      <c r="H4972" s="1" t="n">
        <v>0</v>
      </c>
      <c r="I4972" s="1" t="n">
        <v>3.08</v>
      </c>
      <c r="J4972" t="n">
        <v>75142550</v>
      </c>
    </row>
    <row r="4973" ht="15.75" customHeight="1" s="201">
      <c r="A4973" s="1" t="inlineStr">
        <is>
          <t>Peanuts, valencia, oil-roasted, without salt</t>
        </is>
      </c>
      <c r="C4973" s="1" t="n">
        <v>16.3</v>
      </c>
      <c r="D4973" s="1" t="n">
        <v>126</v>
      </c>
      <c r="E4973" s="1" t="n">
        <v>1.65</v>
      </c>
      <c r="F4973" s="1" t="n">
        <v>27.04</v>
      </c>
      <c r="G4973" s="1" t="n">
        <v>51.24</v>
      </c>
      <c r="H4973" s="1" t="n">
        <v>0</v>
      </c>
      <c r="I4973" s="1" t="n">
        <v>3.08</v>
      </c>
      <c r="J4973" t="n">
        <v>42110150</v>
      </c>
    </row>
    <row r="4974" ht="15.75" customHeight="1" s="201">
      <c r="A4974" s="1" t="inlineStr">
        <is>
          <t>Peanuts, valencia, raw</t>
        </is>
      </c>
      <c r="C4974" s="1" t="n">
        <v>20.91</v>
      </c>
      <c r="D4974" s="1" t="n">
        <v>246</v>
      </c>
      <c r="E4974" s="1" t="n">
        <v>2.09</v>
      </c>
      <c r="F4974" s="1" t="n">
        <v>25.09</v>
      </c>
      <c r="G4974" s="1" t="n">
        <v>47.58</v>
      </c>
      <c r="H4974" s="1" t="n">
        <v>0</v>
      </c>
      <c r="I4974" s="1" t="n">
        <v>3.34</v>
      </c>
      <c r="J4974" t="n">
        <v>91705070</v>
      </c>
    </row>
    <row r="4975" ht="15.75" customHeight="1" s="201">
      <c r="A4975" s="1" t="inlineStr">
        <is>
          <t>Peanuts, virginia, oil-roasted, with salt</t>
        </is>
      </c>
      <c r="C4975" s="1" t="n">
        <v>19.86</v>
      </c>
      <c r="D4975" s="1" t="n">
        <v>125</v>
      </c>
      <c r="E4975" s="1" t="n">
        <v>1.67</v>
      </c>
      <c r="F4975" s="1" t="n">
        <v>25.87</v>
      </c>
      <c r="G4975" s="1" t="n">
        <v>48.62</v>
      </c>
      <c r="H4975" s="1" t="n">
        <v>0</v>
      </c>
      <c r="I4975" s="1" t="n">
        <v>6.62</v>
      </c>
      <c r="J4975" t="n">
        <v>75142550</v>
      </c>
    </row>
    <row r="4976" ht="15.75" customHeight="1" s="201">
      <c r="A4976" s="1" t="inlineStr">
        <is>
          <t>Peanuts, virginia, oil-roasted, without salt</t>
        </is>
      </c>
      <c r="C4976" s="1" t="n">
        <v>19.86</v>
      </c>
      <c r="D4976" s="1" t="n">
        <v>125</v>
      </c>
      <c r="E4976" s="1" t="n">
        <v>1.67</v>
      </c>
      <c r="F4976" s="1" t="n">
        <v>25.87</v>
      </c>
      <c r="G4976" s="1" t="n">
        <v>48.62</v>
      </c>
      <c r="H4976" s="1" t="n">
        <v>0</v>
      </c>
      <c r="I4976" s="1" t="n">
        <v>6.62</v>
      </c>
      <c r="J4976" t="n">
        <v>42110150</v>
      </c>
    </row>
    <row r="4977" ht="15.75" customHeight="1" s="201">
      <c r="A4977" s="1" t="inlineStr">
        <is>
          <t>Peanuts, virginia, raw</t>
        </is>
      </c>
      <c r="C4977" s="1" t="n">
        <v>16.54</v>
      </c>
      <c r="D4977" s="1" t="n">
        <v>239</v>
      </c>
      <c r="E4977" s="1" t="n">
        <v>2.55</v>
      </c>
      <c r="F4977" s="1" t="n">
        <v>25.19</v>
      </c>
      <c r="G4977" s="1" t="n">
        <v>48.75</v>
      </c>
      <c r="H4977" s="1" t="n">
        <v>0</v>
      </c>
      <c r="I4977" s="1" t="n">
        <v>4.43</v>
      </c>
      <c r="J4977" t="n">
        <v>91705070</v>
      </c>
    </row>
    <row r="4978" ht="15.75" customHeight="1" s="201">
      <c r="A4978" s="1" t="inlineStr">
        <is>
          <t>Pear nectar, canned, with added ascorbic acid</t>
        </is>
      </c>
      <c r="C4978" s="1" t="n">
        <v>15.76</v>
      </c>
      <c r="D4978" s="1" t="n">
        <v>1</v>
      </c>
      <c r="E4978" s="1" t="n">
        <v>0.26</v>
      </c>
      <c r="F4978" s="1" t="n">
        <v>0.11</v>
      </c>
      <c r="G4978" s="1" t="n">
        <v>0.01</v>
      </c>
      <c r="H4978" s="1" t="n">
        <v>1</v>
      </c>
      <c r="I4978" s="1" t="n">
        <v>0.07000000000000001</v>
      </c>
      <c r="J4978" t="n">
        <v>75142550</v>
      </c>
    </row>
    <row r="4979" ht="15.75" customHeight="1" s="201">
      <c r="A4979" s="1" t="inlineStr">
        <is>
          <t>Pear nectar, canned, without added ascorbic acid</t>
        </is>
      </c>
      <c r="C4979" s="1" t="n">
        <v>15.76</v>
      </c>
      <c r="D4979" s="1" t="n">
        <v>1</v>
      </c>
      <c r="E4979" s="1" t="n">
        <v>0.26</v>
      </c>
      <c r="F4979" s="1" t="n">
        <v>0.11</v>
      </c>
      <c r="G4979" s="1" t="n">
        <v>0.01</v>
      </c>
      <c r="H4979" s="1" t="n">
        <v>1</v>
      </c>
      <c r="I4979" s="1" t="n">
        <v>0.07000000000000001</v>
      </c>
      <c r="J4979" t="n">
        <v>73103020</v>
      </c>
    </row>
    <row r="4980" ht="15.75" customHeight="1" s="201">
      <c r="A4980" s="1" t="inlineStr">
        <is>
          <t>Pears, asian, raw</t>
        </is>
      </c>
      <c r="C4980" s="1" t="n">
        <v>10.65</v>
      </c>
      <c r="D4980" s="1" t="n">
        <v>8</v>
      </c>
      <c r="E4980" s="1" t="n">
        <v>0</v>
      </c>
      <c r="F4980" s="1" t="n">
        <v>0.5</v>
      </c>
      <c r="G4980" s="1" t="n">
        <v>0.23</v>
      </c>
      <c r="H4980" s="1" t="n">
        <v>0</v>
      </c>
      <c r="I4980" s="1" t="n">
        <v>0.02</v>
      </c>
      <c r="J4980" t="n">
        <v>62101050</v>
      </c>
    </row>
    <row r="4981" ht="15.75" customHeight="1" s="201">
      <c r="A4981" s="1" t="inlineStr">
        <is>
          <t>Pears, canned, extra heavy syrup pack, solids and liquids</t>
        </is>
      </c>
      <c r="C4981" s="1" t="n">
        <v>25.25</v>
      </c>
      <c r="D4981" s="1" t="n">
        <v>1</v>
      </c>
      <c r="E4981" s="1" t="n">
        <v>0.22</v>
      </c>
      <c r="F4981" s="1" t="n">
        <v>0.19</v>
      </c>
      <c r="G4981" s="1" t="n">
        <v>0.13</v>
      </c>
      <c r="H4981" s="1" t="n">
        <v>0</v>
      </c>
      <c r="I4981" s="1" t="n">
        <v>0.08</v>
      </c>
      <c r="J4981" t="n">
        <v>53109200</v>
      </c>
    </row>
    <row r="4982" ht="15.75" customHeight="1" s="201">
      <c r="A4982" s="1" t="inlineStr">
        <is>
          <t>Pears, canned, extra light syrup pack, solids and liquids (Includes foods for USDA's Food Distribution Program)</t>
        </is>
      </c>
      <c r="C4982" s="1" t="n">
        <v>12.2</v>
      </c>
      <c r="D4982" s="1" t="n">
        <v>1</v>
      </c>
      <c r="E4982" s="1" t="n">
        <v>0.2</v>
      </c>
      <c r="F4982" s="1" t="n">
        <v>0.3</v>
      </c>
      <c r="G4982" s="1" t="n">
        <v>0.1</v>
      </c>
      <c r="H4982" s="1" t="n">
        <v>0</v>
      </c>
      <c r="I4982" s="1" t="n">
        <v>0.07000000000000001</v>
      </c>
      <c r="J4982" t="n">
        <v>27446245</v>
      </c>
    </row>
    <row r="4983" ht="15.75" customHeight="1" s="201">
      <c r="A4983" s="1" t="inlineStr">
        <is>
          <t>Pears, canned, heavy syrup pack, solids and liquids</t>
        </is>
      </c>
      <c r="C4983" s="1" t="n">
        <v>19.17</v>
      </c>
      <c r="D4983" s="1" t="n">
        <v>1</v>
      </c>
      <c r="E4983" s="1" t="n">
        <v>0.22</v>
      </c>
      <c r="F4983" s="1" t="n">
        <v>0.2</v>
      </c>
      <c r="G4983" s="1" t="n">
        <v>0.13</v>
      </c>
      <c r="H4983" s="1" t="n">
        <v>0</v>
      </c>
      <c r="I4983" s="1" t="n">
        <v>0.08</v>
      </c>
      <c r="J4983" t="n">
        <v>53109200</v>
      </c>
    </row>
    <row r="4984" ht="15.75" customHeight="1" s="201">
      <c r="A4984" s="1" t="inlineStr">
        <is>
          <t>Pears, canned, heavy syrup, drained</t>
        </is>
      </c>
      <c r="C4984" s="1" t="n">
        <v>19.08</v>
      </c>
      <c r="D4984" s="1" t="n">
        <v>1</v>
      </c>
      <c r="E4984" s="1" t="n">
        <v>0.22</v>
      </c>
      <c r="F4984" s="1" t="n">
        <v>0.24</v>
      </c>
      <c r="G4984" s="1" t="n">
        <v>0.18</v>
      </c>
      <c r="H4984" s="1" t="n">
        <v>8</v>
      </c>
      <c r="I4984" s="1" t="n">
        <v>0.08</v>
      </c>
      <c r="J4984" t="n">
        <v>63311110</v>
      </c>
    </row>
    <row r="4985" ht="15.75" customHeight="1" s="201">
      <c r="A4985" s="1" t="inlineStr">
        <is>
          <t>Pears, canned, juice pack, solids and liquids</t>
        </is>
      </c>
      <c r="C4985" s="1" t="n">
        <v>12.94</v>
      </c>
      <c r="D4985" s="1" t="n">
        <v>1</v>
      </c>
      <c r="E4985" s="1" t="n">
        <v>0.29</v>
      </c>
      <c r="F4985" s="1" t="n">
        <v>0.34</v>
      </c>
      <c r="G4985" s="1" t="n">
        <v>0.07000000000000001</v>
      </c>
      <c r="H4985" s="1" t="n">
        <v>6</v>
      </c>
      <c r="I4985" s="1" t="n">
        <v>0.09</v>
      </c>
      <c r="J4985" t="n">
        <v>64100110</v>
      </c>
    </row>
    <row r="4986" ht="15.75" customHeight="1" s="201">
      <c r="A4986" s="1" t="inlineStr">
        <is>
          <t>Pears, canned, light syrup pack, solids and liquids</t>
        </is>
      </c>
      <c r="C4986" s="1" t="n">
        <v>15.17</v>
      </c>
      <c r="D4986" s="1" t="n">
        <v>1</v>
      </c>
      <c r="E4986" s="1" t="n">
        <v>0.28</v>
      </c>
      <c r="F4986" s="1" t="n">
        <v>0.19</v>
      </c>
      <c r="G4986" s="1" t="n">
        <v>0.03</v>
      </c>
      <c r="H4986" s="1" t="n">
        <v>0</v>
      </c>
      <c r="I4986" s="1" t="n">
        <v>0.08</v>
      </c>
      <c r="J4986" t="n">
        <v>27446245</v>
      </c>
    </row>
    <row r="4987" ht="15.75" customHeight="1" s="201">
      <c r="A4987" s="1" t="inlineStr">
        <is>
          <t>Pears, canned, water pack, solids and liquids</t>
        </is>
      </c>
      <c r="C4987" s="1" t="n">
        <v>7.81</v>
      </c>
      <c r="D4987" s="1" t="n">
        <v>1</v>
      </c>
      <c r="E4987" s="1" t="n">
        <v>0.21</v>
      </c>
      <c r="F4987" s="1" t="n">
        <v>0.19</v>
      </c>
      <c r="G4987" s="1" t="n">
        <v>0.03</v>
      </c>
      <c r="H4987" s="1" t="n">
        <v>0</v>
      </c>
      <c r="I4987" s="1" t="n">
        <v>0.09</v>
      </c>
      <c r="J4987" t="n">
        <v>11740312</v>
      </c>
    </row>
    <row r="4988" ht="15.75" customHeight="1" s="201">
      <c r="A4988" s="1" t="inlineStr">
        <is>
          <t>Pears, dried, sulfured, stewed, with added sugar</t>
        </is>
      </c>
      <c r="C4988" s="1" t="n">
        <v>37.14</v>
      </c>
      <c r="D4988" s="1" t="n">
        <v>0</v>
      </c>
      <c r="E4988" s="1" t="n">
        <v>0.97</v>
      </c>
      <c r="F4988" s="1" t="n">
        <v>0.86</v>
      </c>
      <c r="G4988" s="1" t="n">
        <v>0.29</v>
      </c>
      <c r="H4988" s="1" t="n">
        <v>40</v>
      </c>
      <c r="I4988" s="1" t="n">
        <v>0.18</v>
      </c>
      <c r="J4988" t="n">
        <v>75142550</v>
      </c>
    </row>
    <row r="4989" ht="15.75" customHeight="1" s="201">
      <c r="A4989" s="1" t="inlineStr">
        <is>
          <t>Pears, dried, sulfured, stewed, without added sugar</t>
        </is>
      </c>
      <c r="C4989" s="1" t="n">
        <v>33.81</v>
      </c>
      <c r="D4989" s="1" t="n">
        <v>0</v>
      </c>
      <c r="E4989" s="1" t="n">
        <v>1.02</v>
      </c>
      <c r="F4989" s="1" t="n">
        <v>0.91</v>
      </c>
      <c r="G4989" s="1" t="n">
        <v>0.31</v>
      </c>
      <c r="H4989" s="1" t="n">
        <v>42</v>
      </c>
      <c r="I4989" s="1" t="n">
        <v>0.19</v>
      </c>
      <c r="J4989" t="n">
        <v>75231021</v>
      </c>
    </row>
    <row r="4990" ht="15.75" customHeight="1" s="201">
      <c r="A4990" s="1" t="inlineStr">
        <is>
          <t>Pears, dried, sulfured, uncooked</t>
        </is>
      </c>
      <c r="C4990" s="1" t="n">
        <v>69.7</v>
      </c>
      <c r="D4990" s="1" t="n">
        <v>0</v>
      </c>
      <c r="E4990" s="1" t="n">
        <v>2.1</v>
      </c>
      <c r="F4990" s="1" t="n">
        <v>1.87</v>
      </c>
      <c r="G4990" s="1" t="n">
        <v>0.63</v>
      </c>
      <c r="H4990" s="1" t="n">
        <v>3</v>
      </c>
      <c r="I4990" s="1" t="n">
        <v>0.39</v>
      </c>
      <c r="J4990" t="n">
        <v>62101050</v>
      </c>
    </row>
    <row r="4991" ht="15.75" customHeight="1" s="201">
      <c r="A4991" s="1" t="inlineStr">
        <is>
          <t>Pears, raw</t>
        </is>
      </c>
      <c r="C4991" s="1" t="n">
        <v>15.23</v>
      </c>
      <c r="D4991" s="1" t="n">
        <v>7</v>
      </c>
      <c r="E4991" s="1" t="n">
        <v>0.18</v>
      </c>
      <c r="F4991" s="1" t="n">
        <v>0.36</v>
      </c>
      <c r="G4991" s="1" t="n">
        <v>0.14</v>
      </c>
      <c r="H4991" s="1" t="n">
        <v>25</v>
      </c>
      <c r="I4991" s="1" t="n">
        <v>0.1</v>
      </c>
      <c r="J4991" t="n">
        <v>62101050</v>
      </c>
    </row>
    <row r="4992" ht="15.75" customHeight="1" s="201">
      <c r="A4992" s="1" t="inlineStr">
        <is>
          <t>Pears, raw, bartlett (Includes foods for USDA's Food Distribution Program)</t>
        </is>
      </c>
      <c r="C4992" s="1" t="n">
        <v>15.01</v>
      </c>
      <c r="D4992" s="1" t="n">
        <v>6</v>
      </c>
      <c r="E4992" s="1" t="n">
        <v>0.19</v>
      </c>
      <c r="F4992" s="1" t="n">
        <v>0.39</v>
      </c>
      <c r="G4992" s="1" t="n">
        <v>0.16</v>
      </c>
      <c r="H4992" s="1" t="n">
        <v>28</v>
      </c>
      <c r="I4992" s="1" t="n">
        <v>0.08</v>
      </c>
      <c r="J4992" t="n">
        <v>67109010</v>
      </c>
    </row>
    <row r="4993" ht="15.75" customHeight="1" s="201">
      <c r="A4993" s="1" t="inlineStr">
        <is>
          <t>Pears, raw, bosc (Includes foods for USDA's Food Distribution Program)</t>
        </is>
      </c>
      <c r="C4993" s="1" t="n">
        <v>16.1</v>
      </c>
      <c r="D4993" s="1" t="n">
        <v>7</v>
      </c>
      <c r="E4993" s="1" t="n">
        <v>0.15</v>
      </c>
      <c r="F4993" s="1" t="n">
        <v>0.36</v>
      </c>
      <c r="G4993" s="1" t="n">
        <v>0.09</v>
      </c>
      <c r="H4993" s="1" t="n">
        <v>19</v>
      </c>
      <c r="I4993" s="1" t="n">
        <v>0.13</v>
      </c>
      <c r="J4993" t="n">
        <v>67109010</v>
      </c>
    </row>
    <row r="4994" ht="15.75" customHeight="1" s="201">
      <c r="A4994" s="1" t="inlineStr">
        <is>
          <t>Pears, raw, green anjou (Includes foods for USDA's Food Distribution Program)</t>
        </is>
      </c>
      <c r="C4994" s="1" t="n">
        <v>15.79</v>
      </c>
      <c r="D4994" s="1" t="n">
        <v>9</v>
      </c>
      <c r="E4994" s="1" t="n">
        <v>0.24</v>
      </c>
      <c r="F4994" s="1" t="n">
        <v>0.44</v>
      </c>
      <c r="G4994" s="1" t="n">
        <v>0.1</v>
      </c>
      <c r="H4994" s="1" t="n">
        <v>25</v>
      </c>
      <c r="I4994" s="1" t="n">
        <v>0.1</v>
      </c>
      <c r="J4994" t="n">
        <v>67109010</v>
      </c>
    </row>
    <row r="4995" ht="15.75" customHeight="1" s="201">
      <c r="A4995" s="1" t="inlineStr">
        <is>
          <t>Pears, raw, red anjou</t>
        </is>
      </c>
      <c r="C4995" s="1" t="n">
        <v>14.94</v>
      </c>
      <c r="D4995" s="1" t="n">
        <v>7</v>
      </c>
      <c r="E4995" s="1" t="n">
        <v>0.19</v>
      </c>
      <c r="F4995" s="1" t="n">
        <v>0.33</v>
      </c>
      <c r="G4995" s="1" t="n">
        <v>0.14</v>
      </c>
      <c r="H4995" s="1" t="n">
        <v>24</v>
      </c>
      <c r="I4995" s="1" t="n">
        <v>0.13</v>
      </c>
      <c r="J4995" t="n">
        <v>62101050</v>
      </c>
    </row>
    <row r="4996" ht="15.75" customHeight="1" s="201">
      <c r="A4996" s="1" t="inlineStr">
        <is>
          <t>Peas and carrots, canned, no salt added, solids and liquids</t>
        </is>
      </c>
      <c r="C4996" s="1" t="n">
        <v>8.48</v>
      </c>
      <c r="D4996" s="1" t="n">
        <v>18</v>
      </c>
      <c r="E4996" s="1" t="n">
        <v>0.75</v>
      </c>
      <c r="F4996" s="1" t="n">
        <v>2.17</v>
      </c>
      <c r="G4996" s="1" t="n">
        <v>0.27</v>
      </c>
      <c r="H4996" s="1" t="n">
        <v>6854</v>
      </c>
      <c r="I4996" s="1" t="n">
        <v>0.58</v>
      </c>
      <c r="J4996" t="n">
        <v>75224120</v>
      </c>
    </row>
    <row r="4997" ht="15.75" customHeight="1" s="201">
      <c r="A4997" s="1" t="inlineStr">
        <is>
          <t>Peas and carrots, canned, regular pack, solids and liquids</t>
        </is>
      </c>
      <c r="C4997" s="1" t="n">
        <v>8.48</v>
      </c>
      <c r="D4997" s="1" t="n">
        <v>18</v>
      </c>
      <c r="E4997" s="1" t="n">
        <v>0.75</v>
      </c>
      <c r="F4997" s="1" t="n">
        <v>2.17</v>
      </c>
      <c r="G4997" s="1" t="n">
        <v>0.27</v>
      </c>
      <c r="H4997" s="1" t="n">
        <v>5770</v>
      </c>
      <c r="I4997" s="1" t="n">
        <v>0.58</v>
      </c>
      <c r="J4997" t="n">
        <v>53109200</v>
      </c>
    </row>
    <row r="4998" ht="15.75" customHeight="1" s="201">
      <c r="A4998" s="1" t="inlineStr">
        <is>
          <t>Peas and carrots, frozen, cooked, boiled, drained, with salt</t>
        </is>
      </c>
      <c r="C4998" s="1" t="n">
        <v>10.12</v>
      </c>
      <c r="D4998" s="1" t="n">
        <v>26</v>
      </c>
      <c r="E4998" s="1" t="n">
        <v>0.9399999999999999</v>
      </c>
      <c r="F4998" s="1" t="n">
        <v>3.09</v>
      </c>
      <c r="G4998" s="1" t="n">
        <v>0.42</v>
      </c>
      <c r="H4998" s="1" t="n">
        <v>9514</v>
      </c>
      <c r="I4998" s="1" t="n">
        <v>0.45</v>
      </c>
      <c r="J4998" t="n">
        <v>75142550</v>
      </c>
    </row>
    <row r="4999" ht="15.75" customHeight="1" s="201">
      <c r="A4999" s="1" t="inlineStr">
        <is>
          <t>Peas and carrots, frozen, cooked, boiled, drained, without salt</t>
        </is>
      </c>
      <c r="C4999" s="1" t="n">
        <v>10.12</v>
      </c>
      <c r="D4999" s="1" t="n">
        <v>26</v>
      </c>
      <c r="E4999" s="1" t="n">
        <v>0.9399999999999999</v>
      </c>
      <c r="F4999" s="1" t="n">
        <v>3.09</v>
      </c>
      <c r="G4999" s="1" t="n">
        <v>0.42</v>
      </c>
      <c r="H4999" s="1" t="n">
        <v>9514</v>
      </c>
      <c r="I4999" s="1" t="n">
        <v>0.45</v>
      </c>
      <c r="J4999" t="n">
        <v>73111212</v>
      </c>
    </row>
    <row r="5000" ht="15.75" customHeight="1" s="201">
      <c r="A5000" s="1" t="inlineStr">
        <is>
          <t>Peas and carrots, frozen, unprepared</t>
        </is>
      </c>
      <c r="C5000" s="1" t="n">
        <v>11.15</v>
      </c>
      <c r="D5000" s="1" t="n">
        <v>36</v>
      </c>
      <c r="E5000" s="1" t="n">
        <v>1.09</v>
      </c>
      <c r="F5000" s="1" t="n">
        <v>3.4</v>
      </c>
      <c r="G5000" s="1" t="n">
        <v>0.47</v>
      </c>
      <c r="H5000" s="1" t="n">
        <v>9497</v>
      </c>
      <c r="I5000" s="1" t="n">
        <v>0.52</v>
      </c>
      <c r="J5000" t="n">
        <v>73111212</v>
      </c>
    </row>
    <row r="5001" ht="15.75" customHeight="1" s="201">
      <c r="A5001" s="1" t="inlineStr">
        <is>
          <t>Peas and onions, canned, solids and liquids</t>
        </is>
      </c>
      <c r="C5001" s="1" t="n">
        <v>8.57</v>
      </c>
      <c r="D5001" s="1" t="n">
        <v>27</v>
      </c>
      <c r="E5001" s="1" t="n">
        <v>0.87</v>
      </c>
      <c r="F5001" s="1" t="n">
        <v>3.28</v>
      </c>
      <c r="G5001" s="1" t="n">
        <v>0.38</v>
      </c>
      <c r="H5001" s="1" t="n">
        <v>161</v>
      </c>
      <c r="I5001" s="1" t="n">
        <v>0.58</v>
      </c>
      <c r="J5001" t="n">
        <v>58161430</v>
      </c>
    </row>
    <row r="5002" ht="15.75" customHeight="1" s="201">
      <c r="A5002" s="1" t="inlineStr">
        <is>
          <t>Peas and onions, frozen, cooked, boiled, drained, with salt</t>
        </is>
      </c>
      <c r="C5002" s="1" t="n">
        <v>8.630000000000001</v>
      </c>
      <c r="D5002" s="1" t="n">
        <v>20</v>
      </c>
      <c r="E5002" s="1" t="n">
        <v>0.9399999999999999</v>
      </c>
      <c r="F5002" s="1" t="n">
        <v>2.54</v>
      </c>
      <c r="G5002" s="1" t="n">
        <v>0.2</v>
      </c>
      <c r="H5002" s="1" t="n">
        <v>1051</v>
      </c>
      <c r="I5002" s="1" t="n">
        <v>0.29</v>
      </c>
      <c r="J5002" t="n">
        <v>75142550</v>
      </c>
    </row>
    <row r="5003" ht="15.75" customHeight="1" s="201">
      <c r="A5003" s="1" t="inlineStr">
        <is>
          <t>Peas and onions, frozen, cooked, boiled, drained, without salt</t>
        </is>
      </c>
      <c r="C5003" s="1" t="n">
        <v>8.630000000000001</v>
      </c>
      <c r="D5003" s="1" t="n">
        <v>20</v>
      </c>
      <c r="E5003" s="1" t="n">
        <v>0.9399999999999999</v>
      </c>
      <c r="F5003" s="1" t="n">
        <v>2.54</v>
      </c>
      <c r="G5003" s="1" t="n">
        <v>0.2</v>
      </c>
      <c r="H5003" s="1" t="n">
        <v>1051</v>
      </c>
      <c r="I5003" s="1" t="n">
        <v>0.29</v>
      </c>
      <c r="J5003" t="n">
        <v>75223022</v>
      </c>
    </row>
    <row r="5004" ht="15.75" customHeight="1" s="201">
      <c r="A5004" s="1" t="inlineStr">
        <is>
          <t>Peas and onions, frozen, unprepared</t>
        </is>
      </c>
      <c r="C5004" s="1" t="n">
        <v>13.51</v>
      </c>
      <c r="D5004" s="1" t="n">
        <v>45</v>
      </c>
      <c r="E5004" s="1" t="n">
        <v>1.54</v>
      </c>
      <c r="F5004" s="1" t="n">
        <v>3.98</v>
      </c>
      <c r="G5004" s="1" t="n">
        <v>0.32</v>
      </c>
      <c r="H5004" s="1" t="n">
        <v>544</v>
      </c>
      <c r="I5004" s="1" t="n">
        <v>0.48</v>
      </c>
      <c r="J5004" t="n">
        <v>58161430</v>
      </c>
    </row>
    <row r="5005" ht="15.75" customHeight="1" s="201">
      <c r="A5005" s="1" t="inlineStr">
        <is>
          <t>Peas, edible-podded, boiled, drained, without salt</t>
        </is>
      </c>
      <c r="C5005" s="1" t="n">
        <v>7.05</v>
      </c>
      <c r="D5005" s="1" t="n">
        <v>29</v>
      </c>
      <c r="E5005" s="1" t="n">
        <v>1.97</v>
      </c>
      <c r="F5005" s="1" t="n">
        <v>3.27</v>
      </c>
      <c r="G5005" s="1" t="n">
        <v>0.23</v>
      </c>
      <c r="H5005" s="1" t="n">
        <v>1030</v>
      </c>
      <c r="I5005" s="1" t="n">
        <v>0.37</v>
      </c>
    </row>
    <row r="5006" ht="15.75" customHeight="1" s="201">
      <c r="A5006" s="1" t="inlineStr">
        <is>
          <t>Peas, edible-podded, cooked, boiled, drained, with salt</t>
        </is>
      </c>
      <c r="C5006" s="1" t="n">
        <v>6.46</v>
      </c>
      <c r="D5006" s="1" t="n">
        <v>29</v>
      </c>
      <c r="E5006" s="1" t="n">
        <v>1.97</v>
      </c>
      <c r="F5006" s="1" t="n">
        <v>3.27</v>
      </c>
      <c r="G5006" s="1" t="n">
        <v>0.23</v>
      </c>
      <c r="H5006" s="1" t="n">
        <v>1030</v>
      </c>
      <c r="I5006" s="1" t="n">
        <v>0.37</v>
      </c>
      <c r="J5006" t="n">
        <v>75142550</v>
      </c>
    </row>
    <row r="5007" ht="15.75" customHeight="1" s="201">
      <c r="A5007" s="1" t="inlineStr">
        <is>
          <t>Peas, edible-podded, frozen, cooked, boiled, drained, with salt</t>
        </is>
      </c>
      <c r="C5007" s="1" t="n">
        <v>8.43</v>
      </c>
      <c r="D5007" s="1" t="n">
        <v>35</v>
      </c>
      <c r="E5007" s="1" t="n">
        <v>2.4</v>
      </c>
      <c r="F5007" s="1" t="n">
        <v>3.5</v>
      </c>
      <c r="G5007" s="1" t="n">
        <v>0.38</v>
      </c>
      <c r="H5007" s="1" t="n">
        <v>1311</v>
      </c>
      <c r="I5007" s="1" t="n">
        <v>0.49</v>
      </c>
      <c r="J5007" t="n">
        <v>75142550</v>
      </c>
    </row>
    <row r="5008" ht="15.75" customHeight="1" s="201">
      <c r="A5008" s="1" t="inlineStr">
        <is>
          <t>Peas, edible-podded, frozen, cooked, boiled, drained, without salt</t>
        </is>
      </c>
      <c r="C5008" s="1" t="n">
        <v>9.02</v>
      </c>
      <c r="D5008" s="1" t="n">
        <v>35</v>
      </c>
      <c r="E5008" s="1" t="n">
        <v>2.4</v>
      </c>
      <c r="F5008" s="1" t="n">
        <v>3.5</v>
      </c>
      <c r="G5008" s="1" t="n">
        <v>0.38</v>
      </c>
      <c r="H5008" s="1" t="n">
        <v>1311</v>
      </c>
      <c r="I5008" s="1" t="n">
        <v>0.49</v>
      </c>
    </row>
    <row r="5009" ht="15.75" customHeight="1" s="201">
      <c r="A5009" s="1" t="inlineStr">
        <is>
          <t>Peas, edible-podded, frozen, unprepared</t>
        </is>
      </c>
      <c r="C5009" s="1" t="n">
        <v>7.2</v>
      </c>
      <c r="D5009" s="1" t="n">
        <v>40</v>
      </c>
      <c r="E5009" s="1" t="n">
        <v>2</v>
      </c>
      <c r="F5009" s="1" t="n">
        <v>2.8</v>
      </c>
      <c r="G5009" s="1" t="n">
        <v>0.3</v>
      </c>
      <c r="H5009" s="1" t="n">
        <v>140</v>
      </c>
      <c r="I5009" s="1" t="n">
        <v>0.41</v>
      </c>
      <c r="J5009" t="n">
        <v>75223022</v>
      </c>
    </row>
    <row r="5010" ht="15.75" customHeight="1" s="201">
      <c r="A5010" s="1" t="inlineStr">
        <is>
          <t>Peas, edible-podded, raw</t>
        </is>
      </c>
      <c r="C5010" s="1" t="n">
        <v>7.55</v>
      </c>
      <c r="D5010" s="1" t="n">
        <v>42</v>
      </c>
      <c r="E5010" s="1" t="n">
        <v>2.08</v>
      </c>
      <c r="F5010" s="1" t="n">
        <v>2.8</v>
      </c>
      <c r="G5010" s="1" t="n">
        <v>0.2</v>
      </c>
      <c r="H5010" s="1" t="n">
        <v>1087</v>
      </c>
      <c r="I5010" s="1" t="n">
        <v>0.27</v>
      </c>
      <c r="J5010" t="n">
        <v>76409010</v>
      </c>
    </row>
    <row r="5011" ht="15.75" customHeight="1" s="201">
      <c r="A5011" s="1" t="inlineStr">
        <is>
          <t>Peas, green (includes baby and lesuer types), canned, drained solids, unprepared</t>
        </is>
      </c>
      <c r="C5011" s="1" t="n">
        <v>11.36</v>
      </c>
      <c r="D5011" s="1" t="n">
        <v>31</v>
      </c>
      <c r="E5011" s="1" t="n">
        <v>1.18</v>
      </c>
      <c r="F5011" s="1" t="n">
        <v>4.47</v>
      </c>
      <c r="G5011" s="1" t="n">
        <v>0.8</v>
      </c>
      <c r="H5011" s="1" t="n">
        <v>865</v>
      </c>
      <c r="I5011" s="1" t="n">
        <v>0.66</v>
      </c>
      <c r="J5011" t="n">
        <v>75224023</v>
      </c>
    </row>
    <row r="5012" ht="15.75" customHeight="1" s="201">
      <c r="A5012" s="1" t="inlineStr">
        <is>
          <t>Peas, green, canned, drained solids, rinsed in tap water</t>
        </is>
      </c>
      <c r="C5012" s="1" t="n">
        <v>11.82</v>
      </c>
      <c r="D5012" s="1" t="n">
        <v>30</v>
      </c>
      <c r="E5012" s="1" t="n">
        <v>1.09</v>
      </c>
      <c r="F5012" s="1" t="n">
        <v>4.33</v>
      </c>
      <c r="G5012" s="1" t="n">
        <v>0.95</v>
      </c>
      <c r="I5012" s="1" t="n">
        <v>0.68</v>
      </c>
      <c r="J5012" t="n">
        <v>11740312</v>
      </c>
    </row>
    <row r="5013" ht="15.75" customHeight="1" s="201">
      <c r="A5013" s="1" t="inlineStr">
        <is>
          <t>Peas, green, canned, no salt added, drained solids</t>
        </is>
      </c>
      <c r="C5013" s="1" t="n">
        <v>12.58</v>
      </c>
      <c r="D5013" s="1" t="n">
        <v>44</v>
      </c>
      <c r="E5013" s="1" t="n">
        <v>0.95</v>
      </c>
      <c r="F5013" s="1" t="n">
        <v>4.42</v>
      </c>
      <c r="G5013" s="1" t="n">
        <v>0.35</v>
      </c>
      <c r="H5013" s="1" t="n">
        <v>533</v>
      </c>
      <c r="I5013" s="1" t="n">
        <v>0.71</v>
      </c>
      <c r="J5013" t="n">
        <v>75224120</v>
      </c>
    </row>
    <row r="5014" ht="15.75" customHeight="1" s="201">
      <c r="A5014" s="1" t="inlineStr">
        <is>
          <t>Peas, green, canned, no salt added, solids and liquids</t>
        </is>
      </c>
      <c r="C5014" s="1" t="n">
        <v>9.75</v>
      </c>
      <c r="D5014" s="1" t="n">
        <v>29</v>
      </c>
      <c r="E5014" s="1" t="n">
        <v>1.02</v>
      </c>
      <c r="F5014" s="1" t="n">
        <v>3.19</v>
      </c>
      <c r="G5014" s="1" t="n">
        <v>0.3</v>
      </c>
      <c r="H5014" s="1" t="n">
        <v>1444</v>
      </c>
      <c r="I5014" s="1" t="n">
        <v>0.7</v>
      </c>
      <c r="J5014" t="n">
        <v>75224120</v>
      </c>
    </row>
    <row r="5015" ht="15.75" customHeight="1" s="201">
      <c r="A5015" s="1" t="inlineStr">
        <is>
          <t>Peas, green, canned, regular pack, solids and liquids</t>
        </is>
      </c>
      <c r="C5015" s="1" t="n">
        <v>10.6</v>
      </c>
      <c r="D5015" s="1" t="n">
        <v>24</v>
      </c>
      <c r="E5015" s="1" t="n">
        <v>1.29</v>
      </c>
      <c r="F5015" s="1" t="n">
        <v>3.01</v>
      </c>
      <c r="G5015" s="1" t="n">
        <v>0.48</v>
      </c>
      <c r="H5015" s="1" t="n">
        <v>1529</v>
      </c>
      <c r="I5015" s="1" t="n">
        <v>0.72</v>
      </c>
      <c r="J5015" t="n">
        <v>53109200</v>
      </c>
    </row>
    <row r="5016" ht="15.75" customHeight="1" s="201">
      <c r="A5016" s="1" t="inlineStr">
        <is>
          <t>Peas, green, canned, seasoned, solids and liquids</t>
        </is>
      </c>
      <c r="C5016" s="1" t="n">
        <v>9.25</v>
      </c>
      <c r="D5016" s="1" t="n">
        <v>29</v>
      </c>
      <c r="E5016" s="1" t="n">
        <v>1.2</v>
      </c>
      <c r="F5016" s="1" t="n">
        <v>3.09</v>
      </c>
      <c r="G5016" s="1" t="n">
        <v>0.27</v>
      </c>
      <c r="H5016" s="1" t="n">
        <v>433</v>
      </c>
      <c r="I5016" s="1" t="n">
        <v>0.65</v>
      </c>
      <c r="J5016" t="n">
        <v>75224023</v>
      </c>
    </row>
    <row r="5017" ht="15.75" customHeight="1" s="201">
      <c r="A5017" s="1" t="inlineStr">
        <is>
          <t>Peas, green, cooked, boiled, drained, with salt</t>
        </is>
      </c>
      <c r="C5017" s="1" t="n">
        <v>15.63</v>
      </c>
      <c r="D5017" s="1" t="n">
        <v>63</v>
      </c>
      <c r="E5017" s="1" t="n">
        <v>1.54</v>
      </c>
      <c r="F5017" s="1" t="n">
        <v>5.36</v>
      </c>
      <c r="G5017" s="1" t="n">
        <v>0.22</v>
      </c>
      <c r="H5017" s="1" t="n">
        <v>801</v>
      </c>
      <c r="I5017" s="1" t="n">
        <v>1.19</v>
      </c>
      <c r="J5017" t="n">
        <v>75142550</v>
      </c>
    </row>
    <row r="5018" ht="15.75" customHeight="1" s="201">
      <c r="A5018" s="1" t="inlineStr">
        <is>
          <t>Peas, green, cooked, boiled, drained, without salt</t>
        </is>
      </c>
      <c r="C5018" s="1" t="n">
        <v>15.63</v>
      </c>
      <c r="D5018" s="1" t="n">
        <v>63</v>
      </c>
      <c r="E5018" s="1" t="n">
        <v>1.54</v>
      </c>
      <c r="F5018" s="1" t="n">
        <v>5.36</v>
      </c>
      <c r="G5018" s="1" t="n">
        <v>0.22</v>
      </c>
      <c r="H5018" s="1" t="n">
        <v>801</v>
      </c>
      <c r="I5018" s="1" t="n">
        <v>1.19</v>
      </c>
      <c r="J5018" t="n">
        <v>75224030</v>
      </c>
    </row>
    <row r="5019" ht="15.75" customHeight="1" s="201">
      <c r="A5019" s="1" t="inlineStr">
        <is>
          <t>Peas, green, frozen, cooked, boiled, drained, with salt</t>
        </is>
      </c>
      <c r="C5019" s="1" t="n">
        <v>14.26</v>
      </c>
      <c r="D5019" s="1" t="n">
        <v>59</v>
      </c>
      <c r="E5019" s="1" t="n">
        <v>1.52</v>
      </c>
      <c r="F5019" s="1" t="n">
        <v>5.15</v>
      </c>
      <c r="G5019" s="1" t="n">
        <v>0.27</v>
      </c>
      <c r="H5019" s="1" t="n">
        <v>2100</v>
      </c>
      <c r="I5019" s="1" t="n">
        <v>0.67</v>
      </c>
      <c r="J5019" t="n">
        <v>75142550</v>
      </c>
    </row>
    <row r="5020" ht="15.75" customHeight="1" s="201">
      <c r="A5020" s="1" t="inlineStr">
        <is>
          <t>Peas, green, frozen, cooked, boiled, drained, without salt</t>
        </is>
      </c>
      <c r="C5020" s="1" t="n">
        <v>14.26</v>
      </c>
      <c r="D5020" s="1" t="n">
        <v>59</v>
      </c>
      <c r="E5020" s="1" t="n">
        <v>1.52</v>
      </c>
      <c r="F5020" s="1" t="n">
        <v>5.15</v>
      </c>
      <c r="G5020" s="1" t="n">
        <v>0.27</v>
      </c>
      <c r="H5020" s="1" t="n">
        <v>2100</v>
      </c>
      <c r="I5020" s="1" t="n">
        <v>0.67</v>
      </c>
      <c r="J5020" t="n">
        <v>75224022</v>
      </c>
    </row>
    <row r="5021" ht="15.75" customHeight="1" s="201">
      <c r="A5021" s="1" t="inlineStr">
        <is>
          <t>Peas, green, frozen, unprepared (Includes foods for USDA's Food Distribution Program)</t>
        </is>
      </c>
      <c r="C5021" s="1" t="n">
        <v>13.62</v>
      </c>
      <c r="D5021" s="1" t="n">
        <v>53</v>
      </c>
      <c r="E5021" s="1" t="n">
        <v>1.53</v>
      </c>
      <c r="F5021" s="1" t="n">
        <v>5.22</v>
      </c>
      <c r="G5021" s="1" t="n">
        <v>0.4</v>
      </c>
      <c r="H5021" s="1" t="n">
        <v>2058</v>
      </c>
      <c r="I5021" s="1" t="n">
        <v>0.82</v>
      </c>
      <c r="J5021" t="n">
        <v>76409010</v>
      </c>
    </row>
    <row r="5022" ht="15.75" customHeight="1" s="201">
      <c r="A5022" s="1" t="inlineStr">
        <is>
          <t>Peas, green, raw</t>
        </is>
      </c>
      <c r="C5022" s="1" t="n">
        <v>14.45</v>
      </c>
      <c r="D5022" s="1" t="n">
        <v>65</v>
      </c>
      <c r="E5022" s="1" t="n">
        <v>1.47</v>
      </c>
      <c r="F5022" s="1" t="n">
        <v>5.42</v>
      </c>
      <c r="G5022" s="1" t="n">
        <v>0.4</v>
      </c>
      <c r="H5022" s="1" t="n">
        <v>765</v>
      </c>
      <c r="I5022" s="1" t="n">
        <v>1.24</v>
      </c>
      <c r="J5022" t="n">
        <v>58161430</v>
      </c>
    </row>
    <row r="5023" ht="15.75" customHeight="1" s="201">
      <c r="A5023" s="1" t="inlineStr">
        <is>
          <t>Peas, green, split, mature seeds, raw</t>
        </is>
      </c>
      <c r="C5023" s="1" t="n">
        <v>61.63</v>
      </c>
      <c r="D5023" s="1" t="n">
        <v>15</v>
      </c>
      <c r="E5023" s="1" t="n">
        <v>4.73</v>
      </c>
      <c r="F5023" s="1" t="n">
        <v>23.12</v>
      </c>
      <c r="G5023" s="1" t="n">
        <v>3.89</v>
      </c>
      <c r="H5023" s="1" t="n">
        <v>149</v>
      </c>
      <c r="I5023" s="1" t="n">
        <v>3.49</v>
      </c>
      <c r="J5023" t="n">
        <v>58161430</v>
      </c>
    </row>
    <row r="5024" ht="15.75" customHeight="1" s="201">
      <c r="A5024" s="1" t="inlineStr">
        <is>
          <t>Peas, mature seeds, sprouted, cooked, boiled, drained, with salt</t>
        </is>
      </c>
      <c r="C5024" s="1" t="n">
        <v>17.08</v>
      </c>
      <c r="D5024" s="1" t="n">
        <v>36</v>
      </c>
      <c r="E5024" s="1" t="n">
        <v>1.67</v>
      </c>
      <c r="F5024" s="1" t="n">
        <v>7.05</v>
      </c>
      <c r="G5024" s="1" t="n">
        <v>0.51</v>
      </c>
      <c r="H5024" s="1" t="n">
        <v>107</v>
      </c>
      <c r="I5024" s="1" t="n">
        <v>0.78</v>
      </c>
      <c r="J5024" t="n">
        <v>75142550</v>
      </c>
    </row>
    <row r="5025" ht="15.75" customHeight="1" s="201">
      <c r="A5025" s="1" t="inlineStr">
        <is>
          <t>Peas, mature seeds, sprouted, cooked, boiled, drained, without salt</t>
        </is>
      </c>
      <c r="C5025" s="1" t="n">
        <v>17.08</v>
      </c>
      <c r="D5025" s="1" t="n">
        <v>36</v>
      </c>
      <c r="E5025" s="1" t="n">
        <v>1.67</v>
      </c>
      <c r="F5025" s="1" t="n">
        <v>7.05</v>
      </c>
      <c r="G5025" s="1" t="n">
        <v>0.51</v>
      </c>
      <c r="H5025" s="1" t="n">
        <v>107</v>
      </c>
      <c r="I5025" s="1" t="n">
        <v>0.78</v>
      </c>
    </row>
    <row r="5026" ht="15.75" customHeight="1" s="201">
      <c r="A5026" s="1" t="inlineStr">
        <is>
          <t>Peas, mature seeds, sprouted, raw</t>
        </is>
      </c>
      <c r="C5026" s="1" t="n">
        <v>27.11</v>
      </c>
      <c r="D5026" s="1" t="n">
        <v>144</v>
      </c>
      <c r="E5026" s="1" t="n">
        <v>2.26</v>
      </c>
      <c r="F5026" s="1" t="n">
        <v>8.800000000000001</v>
      </c>
      <c r="G5026" s="1" t="n">
        <v>0.68</v>
      </c>
      <c r="H5026" s="1" t="n">
        <v>166</v>
      </c>
      <c r="I5026" s="1" t="n">
        <v>1.05</v>
      </c>
      <c r="J5026" t="n">
        <v>76409010</v>
      </c>
    </row>
    <row r="5027" ht="15.75" customHeight="1" s="201">
      <c r="A5027" s="1" t="inlineStr">
        <is>
          <t>Peas, split, mature seeds, cooked, boiled, without salt</t>
        </is>
      </c>
      <c r="C5027" s="1" t="n">
        <v>21.1</v>
      </c>
      <c r="D5027" s="1" t="n">
        <v>65</v>
      </c>
      <c r="E5027" s="1" t="n">
        <v>1.29</v>
      </c>
      <c r="F5027" s="1" t="n">
        <v>8.34</v>
      </c>
      <c r="G5027" s="1" t="n">
        <v>0.39</v>
      </c>
      <c r="H5027" s="1" t="n">
        <v>7</v>
      </c>
      <c r="I5027" s="1" t="n">
        <v>1</v>
      </c>
      <c r="J5027" t="n">
        <v>75224030</v>
      </c>
    </row>
    <row r="5028" ht="15.75" customHeight="1" s="201">
      <c r="A5028" s="1" t="inlineStr">
        <is>
          <t>Pectin, liquid</t>
        </is>
      </c>
      <c r="C5028" s="1" t="n">
        <v>2.1</v>
      </c>
      <c r="D5028" s="1" t="n">
        <v>0</v>
      </c>
      <c r="E5028" s="1" t="n">
        <v>0</v>
      </c>
      <c r="F5028" s="1" t="n">
        <v>0</v>
      </c>
      <c r="G5028" s="1" t="n">
        <v>0</v>
      </c>
      <c r="H5028" s="1" t="n">
        <v>0</v>
      </c>
      <c r="I5028" s="1" t="n">
        <v>0</v>
      </c>
      <c r="J5028" t="n">
        <v>95120050</v>
      </c>
    </row>
    <row r="5029" ht="15.75" customHeight="1" s="201">
      <c r="A5029" s="1" t="inlineStr">
        <is>
          <t>Pectin, unsweetened, dry mix</t>
        </is>
      </c>
      <c r="C5029" s="1" t="n">
        <v>90.40000000000001</v>
      </c>
      <c r="D5029" s="1" t="n">
        <v>1</v>
      </c>
      <c r="E5029" s="1" t="n">
        <v>2.71</v>
      </c>
      <c r="F5029" s="1" t="n">
        <v>0.3</v>
      </c>
      <c r="G5029" s="1" t="n">
        <v>0.3</v>
      </c>
      <c r="H5029" s="1" t="n">
        <v>3</v>
      </c>
      <c r="I5029" s="1" t="n">
        <v>0.47</v>
      </c>
      <c r="J5029" t="n">
        <v>11350020</v>
      </c>
    </row>
    <row r="5030" ht="15.75" customHeight="1" s="201">
      <c r="A5030" s="1" t="inlineStr">
        <is>
          <t>Pepeao, dried</t>
        </is>
      </c>
      <c r="C5030" s="1" t="n">
        <v>81.03</v>
      </c>
      <c r="D5030" s="1" t="n">
        <v>160</v>
      </c>
      <c r="E5030" s="1" t="n">
        <v>6.14</v>
      </c>
      <c r="F5030" s="1" t="n">
        <v>4.82</v>
      </c>
      <c r="G5030" s="1" t="n">
        <v>0.44</v>
      </c>
      <c r="H5030" s="1" t="n">
        <v>0</v>
      </c>
      <c r="I5030" s="1" t="n">
        <v>7.52</v>
      </c>
      <c r="J5030" t="n">
        <v>41301010</v>
      </c>
    </row>
    <row r="5031" ht="15.75" customHeight="1" s="201">
      <c r="A5031" s="1" t="inlineStr">
        <is>
          <t>Pepper, banana, raw</t>
        </is>
      </c>
      <c r="C5031" s="1" t="n">
        <v>5.35</v>
      </c>
      <c r="D5031" s="1" t="n">
        <v>29</v>
      </c>
      <c r="E5031" s="1" t="n">
        <v>0.46</v>
      </c>
      <c r="F5031" s="1" t="n">
        <v>1.66</v>
      </c>
      <c r="G5031" s="1" t="n">
        <v>0.45</v>
      </c>
      <c r="H5031" s="1" t="n">
        <v>340</v>
      </c>
      <c r="I5031" s="1" t="n">
        <v>0.25</v>
      </c>
      <c r="J5031" t="n">
        <v>75124000</v>
      </c>
    </row>
    <row r="5032" ht="15.75" customHeight="1" s="201">
      <c r="A5032" s="1" t="inlineStr">
        <is>
          <t>Peppered loaf, pork, beef</t>
        </is>
      </c>
      <c r="C5032" s="1" t="n">
        <v>4.53</v>
      </c>
      <c r="D5032" s="1" t="n">
        <v>2</v>
      </c>
      <c r="E5032" s="1" t="n">
        <v>1.07</v>
      </c>
      <c r="F5032" s="1" t="n">
        <v>17.3</v>
      </c>
      <c r="G5032" s="1" t="n">
        <v>6.37</v>
      </c>
      <c r="H5032" s="1" t="n">
        <v>0</v>
      </c>
      <c r="I5032" s="1" t="n">
        <v>3.23</v>
      </c>
      <c r="J5032" t="n">
        <v>28110510</v>
      </c>
    </row>
    <row r="5033" ht="15.75" customHeight="1" s="201">
      <c r="A5033" s="1" t="inlineStr">
        <is>
          <t>Pepperidge Farm, Goldfish, Baked Snack Crackers, Cheddar</t>
        </is>
      </c>
      <c r="C5033" s="1" t="n">
        <v>66.2</v>
      </c>
      <c r="E5033" s="1" t="n">
        <v>4.26</v>
      </c>
      <c r="F5033" s="1" t="n">
        <v>11.71</v>
      </c>
      <c r="G5033" s="1" t="n">
        <v>16.11</v>
      </c>
      <c r="I5033" s="1" t="n">
        <v>1.45</v>
      </c>
      <c r="J5033" t="n">
        <v>53241500</v>
      </c>
    </row>
    <row r="5034" ht="15.75" customHeight="1" s="201">
      <c r="A5034" s="1" t="inlineStr">
        <is>
          <t>Pepperidge Farm, Goldfish, Baked Snack Crackers, Explosive Pizza</t>
        </is>
      </c>
      <c r="C5034" s="1" t="n">
        <v>67.2</v>
      </c>
      <c r="E5034" s="1" t="n">
        <v>4.43</v>
      </c>
      <c r="F5034" s="1" t="n">
        <v>9.56</v>
      </c>
      <c r="G5034" s="1" t="n">
        <v>16.82</v>
      </c>
      <c r="I5034" s="1" t="n">
        <v>0.8100000000000001</v>
      </c>
      <c r="J5034" t="n">
        <v>53241500</v>
      </c>
    </row>
    <row r="5035" ht="15.75" customHeight="1" s="201">
      <c r="A5035" s="1" t="inlineStr">
        <is>
          <t>Pepperidge Farm, Goldfish, Baked Snack Crackers, Original</t>
        </is>
      </c>
      <c r="C5035" s="1" t="n">
        <v>65.81</v>
      </c>
      <c r="D5035" s="1" t="n">
        <v>153</v>
      </c>
      <c r="E5035" s="1" t="n">
        <v>4.73</v>
      </c>
      <c r="F5035" s="1" t="n">
        <v>9.42</v>
      </c>
      <c r="G5035" s="1" t="n">
        <v>18.42</v>
      </c>
      <c r="I5035" s="1" t="n">
        <v>0.97</v>
      </c>
      <c r="J5035" t="n">
        <v>53241500</v>
      </c>
    </row>
    <row r="5036" ht="15.75" customHeight="1" s="201">
      <c r="A5036" s="1" t="inlineStr">
        <is>
          <t>Pepperidge Farm, Goldfish, Baked Snack Crackers, Parmesan</t>
        </is>
      </c>
      <c r="C5036" s="1" t="n">
        <v>64.7</v>
      </c>
      <c r="E5036" s="1" t="n">
        <v>4.45</v>
      </c>
      <c r="F5036" s="1" t="n">
        <v>11.16</v>
      </c>
      <c r="G5036" s="1" t="n">
        <v>17.29</v>
      </c>
      <c r="I5036" s="1" t="n">
        <v>1.32</v>
      </c>
      <c r="J5036" t="n">
        <v>53241500</v>
      </c>
    </row>
    <row r="5037" ht="15.75" customHeight="1" s="201">
      <c r="A5037" s="1" t="inlineStr">
        <is>
          <t>Pepperidge Farm, Goldfish, Baked Snack Crackers, Pizza</t>
        </is>
      </c>
      <c r="C5037" s="1" t="n">
        <v>65.11</v>
      </c>
      <c r="E5037" s="1" t="n">
        <v>4.87</v>
      </c>
      <c r="F5037" s="1" t="n">
        <v>9.67</v>
      </c>
      <c r="G5037" s="1" t="n">
        <v>18.93</v>
      </c>
      <c r="I5037" s="1" t="n">
        <v>1.04</v>
      </c>
      <c r="J5037" t="n">
        <v>53241500</v>
      </c>
    </row>
    <row r="5038" ht="15.75" customHeight="1" s="201">
      <c r="A5038" s="1" t="inlineStr">
        <is>
          <t>Peppermint, fresh</t>
        </is>
      </c>
      <c r="C5038" s="1" t="n">
        <v>14.89</v>
      </c>
      <c r="D5038" s="1" t="n">
        <v>114</v>
      </c>
      <c r="E5038" s="1" t="n">
        <v>5.08</v>
      </c>
      <c r="F5038" s="1" t="n">
        <v>3.75</v>
      </c>
      <c r="G5038" s="1" t="n">
        <v>0.9399999999999999</v>
      </c>
      <c r="H5038" s="1" t="n">
        <v>4248</v>
      </c>
      <c r="I5038" s="1" t="n">
        <v>1.11</v>
      </c>
      <c r="J5038" t="n">
        <v>14108020</v>
      </c>
    </row>
    <row r="5039" ht="15.75" customHeight="1" s="201">
      <c r="A5039" s="1" t="inlineStr">
        <is>
          <t>Pepperoni, beef and pork, sliced</t>
        </is>
      </c>
      <c r="C5039" s="1" t="n">
        <v>1.18</v>
      </c>
      <c r="D5039" s="1" t="n">
        <v>5</v>
      </c>
      <c r="E5039" s="1" t="n">
        <v>1.33</v>
      </c>
      <c r="F5039" s="1" t="n">
        <v>19.25</v>
      </c>
      <c r="G5039" s="1" t="n">
        <v>46.28</v>
      </c>
      <c r="H5039" s="1" t="n">
        <v>0</v>
      </c>
      <c r="I5039" s="1" t="n">
        <v>2.44</v>
      </c>
      <c r="J5039" t="n">
        <v>28110510</v>
      </c>
    </row>
    <row r="5040" ht="15.75" customHeight="1" s="201">
      <c r="A5040" s="1" t="inlineStr">
        <is>
          <t>Peppers, ancho, dried</t>
        </is>
      </c>
      <c r="C5040" s="1" t="n">
        <v>51.42</v>
      </c>
      <c r="D5040" s="1" t="n">
        <v>69</v>
      </c>
      <c r="E5040" s="1" t="n">
        <v>10.93</v>
      </c>
      <c r="F5040" s="1" t="n">
        <v>11.86</v>
      </c>
      <c r="G5040" s="1" t="n">
        <v>8.199999999999999</v>
      </c>
      <c r="H5040" s="1" t="n">
        <v>20438</v>
      </c>
      <c r="I5040" s="1" t="n">
        <v>1.42</v>
      </c>
      <c r="J5040" t="n">
        <v>75226060</v>
      </c>
    </row>
    <row r="5041" ht="15.75" customHeight="1" s="201">
      <c r="A5041" s="1" t="inlineStr">
        <is>
          <t>Peppers, chili, green, canned</t>
        </is>
      </c>
      <c r="C5041" s="1" t="n">
        <v>4.6</v>
      </c>
      <c r="D5041" s="1" t="n">
        <v>54</v>
      </c>
      <c r="E5041" s="1" t="n">
        <v>1.33</v>
      </c>
      <c r="F5041" s="1" t="n">
        <v>0.72</v>
      </c>
      <c r="G5041" s="1" t="n">
        <v>0.27</v>
      </c>
      <c r="H5041" s="1" t="n">
        <v>126</v>
      </c>
      <c r="I5041" s="1" t="n">
        <v>0.09</v>
      </c>
      <c r="J5041" t="n">
        <v>27111407</v>
      </c>
    </row>
    <row r="5042" ht="15.75" customHeight="1" s="201">
      <c r="A5042" s="1" t="inlineStr">
        <is>
          <t>Peppers, hot chile, sun-dried</t>
        </is>
      </c>
      <c r="C5042" s="1" t="n">
        <v>69.86</v>
      </c>
      <c r="D5042" s="1" t="n">
        <v>51</v>
      </c>
      <c r="E5042" s="1" t="n">
        <v>6.04</v>
      </c>
      <c r="F5042" s="1" t="n">
        <v>10.58</v>
      </c>
      <c r="G5042" s="1" t="n">
        <v>5.81</v>
      </c>
      <c r="H5042" s="1" t="n">
        <v>26488</v>
      </c>
      <c r="I5042" s="1" t="n">
        <v>1.02</v>
      </c>
      <c r="J5042" t="n">
        <v>75226060</v>
      </c>
    </row>
    <row r="5043" ht="15.75" customHeight="1" s="201">
      <c r="A5043" s="1" t="inlineStr">
        <is>
          <t>Peppers, hot chili, green, canned, pods, excluding seeds, solids and liquids</t>
        </is>
      </c>
      <c r="C5043" s="1" t="n">
        <v>5.1</v>
      </c>
      <c r="D5043" s="1" t="n">
        <v>10</v>
      </c>
      <c r="E5043" s="1" t="n">
        <v>0.5</v>
      </c>
      <c r="F5043" s="1" t="n">
        <v>0.9</v>
      </c>
      <c r="G5043" s="1" t="n">
        <v>0.1</v>
      </c>
      <c r="H5043" s="1" t="n">
        <v>721</v>
      </c>
      <c r="I5043" s="1" t="n">
        <v>0.17</v>
      </c>
    </row>
    <row r="5044" ht="15.75" customHeight="1" s="201">
      <c r="A5044" s="1" t="inlineStr">
        <is>
          <t>Peppers, hot chili, green, raw</t>
        </is>
      </c>
      <c r="C5044" s="1" t="n">
        <v>9.460000000000001</v>
      </c>
      <c r="D5044" s="1" t="n">
        <v>23</v>
      </c>
      <c r="E5044" s="1" t="n">
        <v>1.2</v>
      </c>
      <c r="F5044" s="1" t="n">
        <v>2</v>
      </c>
      <c r="G5044" s="1" t="n">
        <v>0.2</v>
      </c>
      <c r="H5044" s="1" t="n">
        <v>1179</v>
      </c>
      <c r="I5044" s="1" t="n">
        <v>0.3</v>
      </c>
      <c r="J5044" t="n">
        <v>27564440</v>
      </c>
    </row>
    <row r="5045" ht="15.75" customHeight="1" s="201">
      <c r="A5045" s="1" t="inlineStr">
        <is>
          <t>Peppers, hot chili, red, canned, excluding seeds, solids and liquids</t>
        </is>
      </c>
      <c r="C5045" s="1" t="n">
        <v>5.1</v>
      </c>
      <c r="D5045" s="1" t="n">
        <v>10</v>
      </c>
      <c r="E5045" s="1" t="n">
        <v>0.5</v>
      </c>
      <c r="F5045" s="1" t="n">
        <v>0.9</v>
      </c>
      <c r="G5045" s="1" t="n">
        <v>0.1</v>
      </c>
      <c r="H5045" s="1" t="n">
        <v>11892</v>
      </c>
      <c r="I5045" s="1" t="n">
        <v>0.17</v>
      </c>
    </row>
    <row r="5046" ht="15.75" customHeight="1" s="201">
      <c r="A5046" s="1" t="inlineStr">
        <is>
          <t>Peppers, hot chili, red, raw</t>
        </is>
      </c>
      <c r="C5046" s="1" t="n">
        <v>8.81</v>
      </c>
      <c r="D5046" s="1" t="n">
        <v>23</v>
      </c>
      <c r="E5046" s="1" t="n">
        <v>1.03</v>
      </c>
      <c r="F5046" s="1" t="n">
        <v>1.87</v>
      </c>
      <c r="G5046" s="1" t="n">
        <v>0.44</v>
      </c>
      <c r="H5046" s="1" t="n">
        <v>952</v>
      </c>
      <c r="I5046" s="1" t="n">
        <v>0.26</v>
      </c>
      <c r="J5046" t="n">
        <v>27564440</v>
      </c>
    </row>
    <row r="5047" ht="15.75" customHeight="1" s="201">
      <c r="A5047" s="1" t="inlineStr">
        <is>
          <t>Peppers, hot pickled, canned</t>
        </is>
      </c>
      <c r="C5047" s="1" t="n">
        <v>4.56</v>
      </c>
      <c r="D5047" s="1" t="n">
        <v>13</v>
      </c>
      <c r="E5047" s="1" t="n">
        <v>0.32</v>
      </c>
      <c r="F5047" s="1" t="n">
        <v>0.8</v>
      </c>
      <c r="G5047" s="1" t="n">
        <v>0.4</v>
      </c>
      <c r="H5047" s="1" t="n">
        <v>870</v>
      </c>
      <c r="I5047" s="1" t="n">
        <v>0.09</v>
      </c>
      <c r="J5047" t="n">
        <v>63311110</v>
      </c>
    </row>
    <row r="5048" ht="15.75" customHeight="1" s="201">
      <c r="A5048" s="1" t="inlineStr">
        <is>
          <t>Peppers, hungarian, raw</t>
        </is>
      </c>
      <c r="C5048" s="1" t="n">
        <v>6.7</v>
      </c>
      <c r="D5048" s="1" t="n">
        <v>53</v>
      </c>
      <c r="E5048" s="1" t="n">
        <v>0.46</v>
      </c>
      <c r="F5048" s="1" t="n">
        <v>0.8</v>
      </c>
      <c r="G5048" s="1" t="n">
        <v>0.41</v>
      </c>
      <c r="H5048" s="1" t="n">
        <v>816</v>
      </c>
      <c r="I5048" s="1" t="n">
        <v>0.3</v>
      </c>
      <c r="J5048" t="n">
        <v>75124000</v>
      </c>
    </row>
    <row r="5049" ht="15.75" customHeight="1" s="201">
      <c r="A5049" s="1" t="inlineStr">
        <is>
          <t>Peppers, jalapeno, canned, solids and liquids</t>
        </is>
      </c>
      <c r="C5049" s="1" t="n">
        <v>4.74</v>
      </c>
      <c r="D5049" s="1" t="n">
        <v>14</v>
      </c>
      <c r="E5049" s="1" t="n">
        <v>1.88</v>
      </c>
      <c r="F5049" s="1" t="n">
        <v>0.92</v>
      </c>
      <c r="G5049" s="1" t="n">
        <v>0.9399999999999999</v>
      </c>
      <c r="H5049" s="1" t="n">
        <v>1700</v>
      </c>
      <c r="I5049" s="1" t="n">
        <v>0.34</v>
      </c>
      <c r="J5049" t="n">
        <v>63311110</v>
      </c>
    </row>
    <row r="5050" ht="15.75" customHeight="1" s="201">
      <c r="A5050" s="1" t="inlineStr">
        <is>
          <t>Peppers, jalapeno, raw</t>
        </is>
      </c>
      <c r="C5050" s="1" t="n">
        <v>6.5</v>
      </c>
      <c r="D5050" s="1" t="n">
        <v>27</v>
      </c>
      <c r="E5050" s="1" t="n">
        <v>0.25</v>
      </c>
      <c r="F5050" s="1" t="n">
        <v>0.91</v>
      </c>
      <c r="G5050" s="1" t="n">
        <v>0.37</v>
      </c>
      <c r="H5050" s="1" t="n">
        <v>1078</v>
      </c>
      <c r="I5050" s="1" t="n">
        <v>0.14</v>
      </c>
      <c r="J5050" t="n">
        <v>75226060</v>
      </c>
    </row>
    <row r="5051" ht="15.75" customHeight="1" s="201">
      <c r="A5051" s="1" t="inlineStr">
        <is>
          <t>Peppers, pasilla, dried</t>
        </is>
      </c>
      <c r="C5051" s="1" t="n">
        <v>51.13</v>
      </c>
      <c r="D5051" s="1" t="n">
        <v>170</v>
      </c>
      <c r="E5051" s="1" t="n">
        <v>9.83</v>
      </c>
      <c r="F5051" s="1" t="n">
        <v>12.35</v>
      </c>
      <c r="G5051" s="1" t="n">
        <v>15.85</v>
      </c>
      <c r="H5051" s="1" t="n">
        <v>35760</v>
      </c>
      <c r="I5051" s="1" t="n">
        <v>1.4</v>
      </c>
      <c r="J5051" t="n">
        <v>75226060</v>
      </c>
    </row>
    <row r="5052" ht="15.75" customHeight="1" s="201">
      <c r="A5052" s="1" t="inlineStr">
        <is>
          <t>Peppers, serrano, raw</t>
        </is>
      </c>
      <c r="C5052" s="1" t="n">
        <v>6.7</v>
      </c>
      <c r="D5052" s="1" t="n">
        <v>23</v>
      </c>
      <c r="E5052" s="1" t="n">
        <v>0.86</v>
      </c>
      <c r="F5052" s="1" t="n">
        <v>1.74</v>
      </c>
      <c r="G5052" s="1" t="n">
        <v>0.44</v>
      </c>
      <c r="H5052" s="1" t="n">
        <v>937</v>
      </c>
      <c r="I5052" s="1" t="n">
        <v>0.26</v>
      </c>
      <c r="J5052" t="n">
        <v>75226060</v>
      </c>
    </row>
    <row r="5053" ht="15.75" customHeight="1" s="201">
      <c r="A5053" s="1" t="inlineStr">
        <is>
          <t>Peppers, sweet, green, canned, solids and liquids</t>
        </is>
      </c>
      <c r="C5053" s="1" t="n">
        <v>3.9</v>
      </c>
      <c r="D5053" s="1" t="n">
        <v>16</v>
      </c>
      <c r="E5053" s="1" t="n">
        <v>0.8</v>
      </c>
      <c r="F5053" s="1" t="n">
        <v>0.8</v>
      </c>
      <c r="G5053" s="1" t="n">
        <v>0.3</v>
      </c>
      <c r="H5053" s="1" t="n">
        <v>155</v>
      </c>
      <c r="I5053" s="1" t="n">
        <v>0.18</v>
      </c>
      <c r="J5053" t="n">
        <v>51160000</v>
      </c>
    </row>
    <row r="5054" ht="15.75" customHeight="1" s="201">
      <c r="A5054" s="1" t="inlineStr">
        <is>
          <t>Peppers, sweet, green, cooked, boiled, drained, with salt</t>
        </is>
      </c>
      <c r="C5054" s="1" t="n">
        <v>6.11</v>
      </c>
      <c r="D5054" s="1" t="n">
        <v>16</v>
      </c>
      <c r="E5054" s="1" t="n">
        <v>0.46</v>
      </c>
      <c r="F5054" s="1" t="n">
        <v>0.92</v>
      </c>
      <c r="G5054" s="1" t="n">
        <v>0.2</v>
      </c>
      <c r="H5054" s="1" t="n">
        <v>468</v>
      </c>
      <c r="I5054" s="1" t="n">
        <v>0.12</v>
      </c>
      <c r="J5054" t="n">
        <v>75142550</v>
      </c>
    </row>
    <row r="5055" ht="15.75" customHeight="1" s="201">
      <c r="A5055" s="1" t="inlineStr">
        <is>
          <t>Peppers, sweet, green, cooked, boiled, drained, without salt</t>
        </is>
      </c>
      <c r="C5055" s="1" t="n">
        <v>6.7</v>
      </c>
      <c r="D5055" s="1" t="n">
        <v>16</v>
      </c>
      <c r="E5055" s="1" t="n">
        <v>0.46</v>
      </c>
      <c r="F5055" s="1" t="n">
        <v>0.92</v>
      </c>
      <c r="G5055" s="1" t="n">
        <v>0.2</v>
      </c>
      <c r="H5055" s="1" t="n">
        <v>468</v>
      </c>
      <c r="I5055" s="1" t="n">
        <v>0.12</v>
      </c>
      <c r="J5055" t="n">
        <v>75226020</v>
      </c>
    </row>
    <row r="5056" ht="15.75" customHeight="1" s="201">
      <c r="A5056" s="1" t="inlineStr">
        <is>
          <t>Peppers, sweet, green, frozen, chopped, boiled, drained, without salt</t>
        </is>
      </c>
      <c r="C5056" s="1" t="n">
        <v>3.9</v>
      </c>
      <c r="D5056" s="1" t="n">
        <v>10</v>
      </c>
      <c r="E5056" s="1" t="n">
        <v>0.52</v>
      </c>
      <c r="F5056" s="1" t="n">
        <v>0.95</v>
      </c>
      <c r="G5056" s="1" t="n">
        <v>0.18</v>
      </c>
      <c r="H5056" s="1" t="n">
        <v>290</v>
      </c>
      <c r="I5056" s="1" t="n">
        <v>0.05</v>
      </c>
    </row>
    <row r="5057" ht="15.75" customHeight="1" s="201">
      <c r="A5057" s="1" t="inlineStr">
        <is>
          <t>Peppers, sweet, green, frozen, chopped, cooked, boiled, drained, with salt</t>
        </is>
      </c>
      <c r="C5057" s="1" t="n">
        <v>3.31</v>
      </c>
      <c r="D5057" s="1" t="n">
        <v>10</v>
      </c>
      <c r="E5057" s="1" t="n">
        <v>0.52</v>
      </c>
      <c r="F5057" s="1" t="n">
        <v>0.95</v>
      </c>
      <c r="G5057" s="1" t="n">
        <v>0.18</v>
      </c>
      <c r="H5057" s="1" t="n">
        <v>290</v>
      </c>
      <c r="I5057" s="1" t="n">
        <v>0.05</v>
      </c>
      <c r="J5057" t="n">
        <v>75142550</v>
      </c>
    </row>
    <row r="5058" ht="15.75" customHeight="1" s="201">
      <c r="A5058" s="1" t="inlineStr">
        <is>
          <t>Peppers, sweet, green, frozen, chopped, unprepared</t>
        </is>
      </c>
      <c r="C5058" s="1" t="n">
        <v>4.45</v>
      </c>
      <c r="D5058" s="1" t="n">
        <v>14</v>
      </c>
      <c r="E5058" s="1" t="n">
        <v>0.62</v>
      </c>
      <c r="F5058" s="1" t="n">
        <v>1.08</v>
      </c>
      <c r="G5058" s="1" t="n">
        <v>0.21</v>
      </c>
      <c r="H5058" s="1" t="n">
        <v>367</v>
      </c>
      <c r="I5058" s="1" t="n">
        <v>0.06</v>
      </c>
      <c r="J5058" t="n">
        <v>28110220</v>
      </c>
    </row>
    <row r="5059" ht="15.75" customHeight="1" s="201">
      <c r="A5059" s="1" t="inlineStr">
        <is>
          <t>Peppers, sweet, green, raw</t>
        </is>
      </c>
      <c r="C5059" s="1" t="n">
        <v>4.64</v>
      </c>
      <c r="D5059" s="1" t="n">
        <v>10</v>
      </c>
      <c r="E5059" s="1" t="n">
        <v>0.34</v>
      </c>
      <c r="F5059" s="1" t="n">
        <v>0.86</v>
      </c>
      <c r="G5059" s="1" t="n">
        <v>0.17</v>
      </c>
      <c r="H5059" s="1" t="n">
        <v>370</v>
      </c>
      <c r="I5059" s="1" t="n">
        <v>0.13</v>
      </c>
      <c r="J5059" t="n">
        <v>51160000</v>
      </c>
    </row>
    <row r="5060" ht="15.75" customHeight="1" s="201">
      <c r="A5060" s="1" t="inlineStr">
        <is>
          <t>Peppers, sweet, green, sauteed</t>
        </is>
      </c>
      <c r="C5060" s="1" t="n">
        <v>4.22</v>
      </c>
      <c r="D5060" s="1" t="n">
        <v>2</v>
      </c>
      <c r="E5060" s="1" t="n">
        <v>0.3</v>
      </c>
      <c r="F5060" s="1" t="n">
        <v>0.78</v>
      </c>
      <c r="G5060" s="1" t="n">
        <v>11.85</v>
      </c>
      <c r="H5060" s="1" t="n">
        <v>273</v>
      </c>
      <c r="I5060" s="1" t="n">
        <v>0.06</v>
      </c>
      <c r="J5060" t="n">
        <v>51160000</v>
      </c>
    </row>
    <row r="5061" ht="15.75" customHeight="1" s="201">
      <c r="A5061" s="1" t="inlineStr">
        <is>
          <t>Peppers, sweet, red, canned, solids and liquids</t>
        </is>
      </c>
      <c r="C5061" s="1" t="n">
        <v>3.9</v>
      </c>
      <c r="D5061" s="1" t="n">
        <v>16</v>
      </c>
      <c r="E5061" s="1" t="n">
        <v>0.8</v>
      </c>
      <c r="F5061" s="1" t="n">
        <v>0.8</v>
      </c>
      <c r="G5061" s="1" t="n">
        <v>0.3</v>
      </c>
      <c r="H5061" s="1" t="n">
        <v>520</v>
      </c>
      <c r="I5061" s="1" t="n">
        <v>0.18</v>
      </c>
      <c r="J5061" t="n">
        <v>51160000</v>
      </c>
    </row>
    <row r="5062" ht="15.75" customHeight="1" s="201">
      <c r="A5062" s="1" t="inlineStr">
        <is>
          <t>Peppers, sweet, red, cooked, boiled, drained, with salt</t>
        </is>
      </c>
      <c r="C5062" s="1" t="n">
        <v>6.11</v>
      </c>
      <c r="D5062" s="1" t="n">
        <v>16</v>
      </c>
      <c r="E5062" s="1" t="n">
        <v>0.46</v>
      </c>
      <c r="F5062" s="1" t="n">
        <v>0.92</v>
      </c>
      <c r="G5062" s="1" t="n">
        <v>0.2</v>
      </c>
      <c r="H5062" s="1" t="n">
        <v>2941</v>
      </c>
      <c r="I5062" s="1" t="n">
        <v>0.12</v>
      </c>
      <c r="J5062" t="n">
        <v>75142550</v>
      </c>
    </row>
    <row r="5063" ht="15.75" customHeight="1" s="201">
      <c r="A5063" s="1" t="inlineStr">
        <is>
          <t>Peppers, sweet, red, cooked, boiled, drained, without salt</t>
        </is>
      </c>
      <c r="C5063" s="1" t="n">
        <v>6.7</v>
      </c>
      <c r="D5063" s="1" t="n">
        <v>16</v>
      </c>
      <c r="E5063" s="1" t="n">
        <v>0.46</v>
      </c>
      <c r="F5063" s="1" t="n">
        <v>0.92</v>
      </c>
      <c r="G5063" s="1" t="n">
        <v>0.2</v>
      </c>
      <c r="H5063" s="1" t="n">
        <v>2941</v>
      </c>
      <c r="I5063" s="1" t="n">
        <v>0.12</v>
      </c>
      <c r="J5063" t="n">
        <v>75226060</v>
      </c>
    </row>
    <row r="5064" ht="15.75" customHeight="1" s="201">
      <c r="A5064" s="1" t="inlineStr">
        <is>
          <t>Peppers, sweet, red, freeze-dried</t>
        </is>
      </c>
      <c r="C5064" s="1" t="n">
        <v>68.7</v>
      </c>
      <c r="D5064" s="1" t="n">
        <v>229</v>
      </c>
      <c r="E5064" s="1" t="n">
        <v>10.4</v>
      </c>
      <c r="F5064" s="1" t="n">
        <v>17.9</v>
      </c>
      <c r="G5064" s="1" t="n">
        <v>3</v>
      </c>
      <c r="H5064" s="1" t="n">
        <v>77261</v>
      </c>
      <c r="I5064" s="1" t="n">
        <v>2.41</v>
      </c>
      <c r="J5064" t="n">
        <v>51160000</v>
      </c>
    </row>
    <row r="5065" ht="15.75" customHeight="1" s="201">
      <c r="A5065" s="1" t="inlineStr">
        <is>
          <t>Peppers, sweet, red, frozen, chopped, boiled, drained, with salt</t>
        </is>
      </c>
      <c r="C5065" s="1" t="n">
        <v>3.31</v>
      </c>
      <c r="D5065" s="1" t="n">
        <v>10</v>
      </c>
      <c r="E5065" s="1" t="n">
        <v>0.52</v>
      </c>
      <c r="F5065" s="1" t="n">
        <v>0.95</v>
      </c>
      <c r="G5065" s="1" t="n">
        <v>0.18</v>
      </c>
      <c r="H5065" s="1" t="n">
        <v>1917</v>
      </c>
      <c r="I5065" s="1" t="n">
        <v>0.05</v>
      </c>
      <c r="J5065" t="n">
        <v>75142550</v>
      </c>
    </row>
    <row r="5066" ht="15.75" customHeight="1" s="201">
      <c r="A5066" s="1" t="inlineStr">
        <is>
          <t>Peppers, sweet, red, frozen, chopped, boiled, drained, without salt</t>
        </is>
      </c>
      <c r="C5066" s="1" t="n">
        <v>3.31</v>
      </c>
      <c r="D5066" s="1" t="n">
        <v>10</v>
      </c>
      <c r="E5066" s="1" t="n">
        <v>0.52</v>
      </c>
      <c r="F5066" s="1" t="n">
        <v>0.95</v>
      </c>
      <c r="G5066" s="1" t="n">
        <v>0.18</v>
      </c>
      <c r="H5066" s="1" t="n">
        <v>1917</v>
      </c>
      <c r="I5066" s="1" t="n">
        <v>0.05</v>
      </c>
      <c r="J5066" t="n">
        <v>51160000</v>
      </c>
    </row>
    <row r="5067" ht="15.75" customHeight="1" s="201">
      <c r="A5067" s="1" t="inlineStr">
        <is>
          <t>Peppers, sweet, red, frozen, chopped, unprepared</t>
        </is>
      </c>
      <c r="C5067" s="1" t="n">
        <v>4.45</v>
      </c>
      <c r="D5067" s="1" t="n">
        <v>14</v>
      </c>
      <c r="E5067" s="1" t="n">
        <v>0.62</v>
      </c>
      <c r="F5067" s="1" t="n">
        <v>1.08</v>
      </c>
      <c r="G5067" s="1" t="n">
        <v>0.21</v>
      </c>
      <c r="H5067" s="1" t="n">
        <v>2428</v>
      </c>
      <c r="I5067" s="1" t="n">
        <v>0.06</v>
      </c>
      <c r="J5067" t="n">
        <v>28110220</v>
      </c>
    </row>
    <row r="5068" ht="15.75" customHeight="1" s="201">
      <c r="A5068" s="1" t="inlineStr">
        <is>
          <t>Peppers, sweet, red, raw</t>
        </is>
      </c>
      <c r="C5068" s="1" t="n">
        <v>6.03</v>
      </c>
      <c r="D5068" s="1" t="n">
        <v>46</v>
      </c>
      <c r="E5068" s="1" t="n">
        <v>0.43</v>
      </c>
      <c r="F5068" s="1" t="n">
        <v>0.99</v>
      </c>
      <c r="G5068" s="1" t="n">
        <v>0.3</v>
      </c>
      <c r="H5068" s="1" t="n">
        <v>3131</v>
      </c>
      <c r="I5068" s="1" t="n">
        <v>0.25</v>
      </c>
      <c r="J5068" t="n">
        <v>51160000</v>
      </c>
    </row>
    <row r="5069" ht="15.75" customHeight="1" s="201">
      <c r="A5069" s="1" t="inlineStr">
        <is>
          <t>Peppers, sweet, red, sauteed</t>
        </is>
      </c>
      <c r="C5069" s="1" t="n">
        <v>6.57</v>
      </c>
      <c r="D5069" s="1" t="n">
        <v>2</v>
      </c>
      <c r="E5069" s="1" t="n">
        <v>0.47</v>
      </c>
      <c r="F5069" s="1" t="n">
        <v>1.04</v>
      </c>
      <c r="G5069" s="1" t="n">
        <v>12.75</v>
      </c>
      <c r="H5069" s="1" t="n">
        <v>2760</v>
      </c>
      <c r="I5069" s="1" t="n">
        <v>0.15</v>
      </c>
      <c r="J5069" t="n">
        <v>51160000</v>
      </c>
    </row>
    <row r="5070" ht="15.75" customHeight="1" s="201">
      <c r="A5070" s="1" t="inlineStr">
        <is>
          <t>Peppers, sweet, yellow, raw</t>
        </is>
      </c>
      <c r="C5070" s="1" t="n">
        <v>6.32</v>
      </c>
      <c r="D5070" s="1" t="n">
        <v>26</v>
      </c>
      <c r="E5070" s="1" t="n">
        <v>0.46</v>
      </c>
      <c r="F5070" s="1" t="n">
        <v>1</v>
      </c>
      <c r="G5070" s="1" t="n">
        <v>0.21</v>
      </c>
      <c r="H5070" s="1" t="n">
        <v>200</v>
      </c>
      <c r="I5070" s="1" t="n">
        <v>0.17</v>
      </c>
      <c r="J5070" t="n">
        <v>53109200</v>
      </c>
    </row>
    <row r="5071" ht="15.75" customHeight="1" s="201">
      <c r="A5071" s="1" t="inlineStr">
        <is>
          <t>Persimmons, japanese, dried</t>
        </is>
      </c>
      <c r="C5071" s="1" t="n">
        <v>73.43000000000001</v>
      </c>
      <c r="E5071" s="1" t="n">
        <v>0.74</v>
      </c>
      <c r="F5071" s="1" t="n">
        <v>1.38</v>
      </c>
      <c r="G5071" s="1" t="n">
        <v>0.59</v>
      </c>
      <c r="H5071" s="1" t="n">
        <v>767</v>
      </c>
      <c r="I5071" s="1" t="n">
        <v>0.42</v>
      </c>
      <c r="J5071" t="n">
        <v>41301010</v>
      </c>
    </row>
    <row r="5072" ht="15.75" customHeight="1" s="201">
      <c r="A5072" s="1" t="inlineStr">
        <is>
          <t>Persimmons, japanese, raw</t>
        </is>
      </c>
      <c r="C5072" s="1" t="n">
        <v>18.59</v>
      </c>
      <c r="D5072" s="1" t="n">
        <v>8</v>
      </c>
      <c r="E5072" s="1" t="n">
        <v>0.15</v>
      </c>
      <c r="F5072" s="1" t="n">
        <v>0.58</v>
      </c>
      <c r="G5072" s="1" t="n">
        <v>0.19</v>
      </c>
      <c r="H5072" s="1" t="n">
        <v>1627</v>
      </c>
      <c r="I5072" s="1" t="n">
        <v>0.11</v>
      </c>
      <c r="J5072" t="n">
        <v>53239100</v>
      </c>
    </row>
    <row r="5073" ht="15.75" customHeight="1" s="201">
      <c r="A5073" s="1" t="inlineStr">
        <is>
          <t>Persimmons, native, raw</t>
        </is>
      </c>
      <c r="C5073" s="1" t="n">
        <v>33.5</v>
      </c>
      <c r="E5073" s="1" t="n">
        <v>2.5</v>
      </c>
      <c r="F5073" s="1" t="n">
        <v>0.8</v>
      </c>
      <c r="G5073" s="1" t="n">
        <v>0.4</v>
      </c>
      <c r="J5073" t="n">
        <v>51106010</v>
      </c>
    </row>
    <row r="5074" ht="15.75" customHeight="1" s="201">
      <c r="A5074" s="1" t="inlineStr">
        <is>
          <t>Pheasant, breast, meat only, raw</t>
        </is>
      </c>
      <c r="C5074" s="1" t="n">
        <v>0</v>
      </c>
      <c r="D5074" s="1" t="n">
        <v>4</v>
      </c>
      <c r="E5074" s="1" t="n">
        <v>0.79</v>
      </c>
      <c r="F5074" s="1" t="n">
        <v>24.37</v>
      </c>
      <c r="G5074" s="1" t="n">
        <v>3.25</v>
      </c>
      <c r="H5074" s="1" t="n">
        <v>147</v>
      </c>
      <c r="I5074" s="1" t="n">
        <v>0.63</v>
      </c>
      <c r="J5074" t="n">
        <v>25230320</v>
      </c>
    </row>
    <row r="5075" ht="15.75" customHeight="1" s="201">
      <c r="A5075" s="1" t="inlineStr">
        <is>
          <t>Pheasant, cooked, total edible</t>
        </is>
      </c>
      <c r="C5075" s="1" t="n">
        <v>0</v>
      </c>
      <c r="D5075" s="1" t="n">
        <v>5</v>
      </c>
      <c r="E5075" s="1" t="n">
        <v>1.43</v>
      </c>
      <c r="F5075" s="1" t="n">
        <v>32.4</v>
      </c>
      <c r="G5075" s="1" t="n">
        <v>12.1</v>
      </c>
      <c r="H5075" s="1" t="n">
        <v>190</v>
      </c>
      <c r="I5075" s="1" t="n">
        <v>1.37</v>
      </c>
    </row>
    <row r="5076" ht="15.75" customHeight="1" s="201">
      <c r="A5076" s="1" t="inlineStr">
        <is>
          <t>Pheasant, leg, meat only, raw</t>
        </is>
      </c>
      <c r="C5076" s="1" t="n">
        <v>0</v>
      </c>
      <c r="D5076" s="1" t="n">
        <v>10</v>
      </c>
      <c r="E5076" s="1" t="n">
        <v>1.78</v>
      </c>
      <c r="F5076" s="1" t="n">
        <v>22.2</v>
      </c>
      <c r="G5076" s="1" t="n">
        <v>4.3</v>
      </c>
      <c r="H5076" s="1" t="n">
        <v>195</v>
      </c>
      <c r="I5076" s="1" t="n">
        <v>1.53</v>
      </c>
      <c r="J5076" t="n">
        <v>14620320</v>
      </c>
    </row>
    <row r="5077" ht="15.75" customHeight="1" s="201">
      <c r="A5077" s="1" t="inlineStr">
        <is>
          <t>Pheasant, raw, meat and skin</t>
        </is>
      </c>
      <c r="C5077" s="1" t="n">
        <v>0</v>
      </c>
      <c r="D5077" s="1" t="n">
        <v>6</v>
      </c>
      <c r="E5077" s="1" t="n">
        <v>1.15</v>
      </c>
      <c r="F5077" s="1" t="n">
        <v>22.7</v>
      </c>
      <c r="G5077" s="1" t="n">
        <v>9.289999999999999</v>
      </c>
      <c r="H5077" s="1" t="n">
        <v>177</v>
      </c>
      <c r="I5077" s="1" t="n">
        <v>0.96</v>
      </c>
      <c r="J5077" t="n">
        <v>14620320</v>
      </c>
    </row>
    <row r="5078" ht="15.75" customHeight="1" s="201">
      <c r="A5078" s="1" t="inlineStr">
        <is>
          <t>Pheasant, raw, meat only</t>
        </is>
      </c>
      <c r="C5078" s="1" t="n">
        <v>0</v>
      </c>
      <c r="D5078" s="1" t="n">
        <v>6</v>
      </c>
      <c r="E5078" s="1" t="n">
        <v>1.15</v>
      </c>
      <c r="F5078" s="1" t="n">
        <v>23.57</v>
      </c>
      <c r="G5078" s="1" t="n">
        <v>3.64</v>
      </c>
      <c r="H5078" s="1" t="n">
        <v>165</v>
      </c>
      <c r="I5078" s="1" t="n">
        <v>0.97</v>
      </c>
      <c r="J5078" t="n">
        <v>14620320</v>
      </c>
    </row>
    <row r="5079" ht="15.75" customHeight="1" s="201">
      <c r="A5079" s="1" t="inlineStr">
        <is>
          <t>Phyllo dough</t>
        </is>
      </c>
      <c r="C5079" s="1" t="n">
        <v>52.6</v>
      </c>
      <c r="D5079" s="1" t="n">
        <v>88</v>
      </c>
      <c r="E5079" s="1" t="n">
        <v>3.21</v>
      </c>
      <c r="F5079" s="1" t="n">
        <v>7.1</v>
      </c>
      <c r="G5079" s="1" t="n">
        <v>6</v>
      </c>
      <c r="H5079" s="1" t="n">
        <v>0</v>
      </c>
      <c r="I5079" s="1" t="n">
        <v>0.49</v>
      </c>
      <c r="J5079" t="n">
        <v>53200100</v>
      </c>
    </row>
    <row r="5080" ht="15.75" customHeight="1" s="201">
      <c r="A5080" s="1" t="inlineStr">
        <is>
          <t>Pickle and pimiento loaf, pork</t>
        </is>
      </c>
      <c r="C5080" s="1" t="n">
        <v>8.460000000000001</v>
      </c>
      <c r="D5080" s="1" t="n">
        <v>37</v>
      </c>
      <c r="E5080" s="1" t="n">
        <v>1.33</v>
      </c>
      <c r="F5080" s="1" t="n">
        <v>11.23</v>
      </c>
      <c r="G5080" s="1" t="n">
        <v>15.95</v>
      </c>
      <c r="H5080" s="1" t="n">
        <v>260</v>
      </c>
      <c r="I5080" s="1" t="n">
        <v>1.68</v>
      </c>
      <c r="J5080" t="n">
        <v>25230610</v>
      </c>
    </row>
    <row r="5081" ht="15.75" customHeight="1" s="201">
      <c r="A5081" s="1" t="inlineStr">
        <is>
          <t>Pickle relish, hamburger</t>
        </is>
      </c>
      <c r="C5081" s="1" t="n">
        <v>34.48</v>
      </c>
      <c r="D5081" s="1" t="n">
        <v>1</v>
      </c>
      <c r="E5081" s="1" t="n">
        <v>1.14</v>
      </c>
      <c r="F5081" s="1" t="n">
        <v>0.63</v>
      </c>
      <c r="G5081" s="1" t="n">
        <v>0.54</v>
      </c>
      <c r="H5081" s="1" t="n">
        <v>267</v>
      </c>
      <c r="I5081" s="1" t="n">
        <v>0.11</v>
      </c>
      <c r="J5081" t="n">
        <v>27212100</v>
      </c>
    </row>
    <row r="5082" ht="15.75" customHeight="1" s="201">
      <c r="A5082" s="1" t="inlineStr">
        <is>
          <t>Pickle relish, hot dog</t>
        </is>
      </c>
      <c r="C5082" s="1" t="n">
        <v>23.35</v>
      </c>
      <c r="D5082" s="1" t="n">
        <v>1</v>
      </c>
      <c r="E5082" s="1" t="n">
        <v>1.25</v>
      </c>
      <c r="F5082" s="1" t="n">
        <v>1.5</v>
      </c>
      <c r="G5082" s="1" t="n">
        <v>0.46</v>
      </c>
      <c r="H5082" s="1" t="n">
        <v>167</v>
      </c>
      <c r="I5082" s="1" t="n">
        <v>0.21</v>
      </c>
      <c r="J5082" t="n">
        <v>75503020</v>
      </c>
    </row>
    <row r="5083" ht="15.75" customHeight="1" s="201">
      <c r="A5083" s="1" t="inlineStr">
        <is>
          <t>Pickle relish, sweet</t>
        </is>
      </c>
      <c r="C5083" s="1" t="n">
        <v>35.06</v>
      </c>
      <c r="D5083" s="1" t="n">
        <v>1</v>
      </c>
      <c r="E5083" s="1" t="n">
        <v>0.87</v>
      </c>
      <c r="F5083" s="1" t="n">
        <v>0.37</v>
      </c>
      <c r="G5083" s="1" t="n">
        <v>0.47</v>
      </c>
      <c r="H5083" s="1" t="n">
        <v>1218</v>
      </c>
      <c r="I5083" s="1" t="n">
        <v>0.14</v>
      </c>
      <c r="J5083" t="n">
        <v>75503020</v>
      </c>
    </row>
    <row r="5084" ht="15.75" customHeight="1" s="201">
      <c r="A5084" s="1" t="inlineStr">
        <is>
          <t>Pickles, chowchow, with cauliflower onion mustard, sweet</t>
        </is>
      </c>
      <c r="C5084" s="1" t="n">
        <v>26.64</v>
      </c>
      <c r="D5084" s="1" t="n">
        <v>5</v>
      </c>
      <c r="E5084" s="1" t="n">
        <v>1.4</v>
      </c>
      <c r="F5084" s="1" t="n">
        <v>1.5</v>
      </c>
      <c r="G5084" s="1" t="n">
        <v>0.9</v>
      </c>
      <c r="H5084" s="1" t="n">
        <v>90</v>
      </c>
      <c r="I5084" s="1" t="n">
        <v>0.23</v>
      </c>
      <c r="J5084" t="n">
        <v>75142550</v>
      </c>
    </row>
    <row r="5085" ht="15.75" customHeight="1" s="201">
      <c r="A5085" s="1" t="inlineStr">
        <is>
          <t>Pickles, cucumber, dill or kosher dill</t>
        </is>
      </c>
      <c r="C5085" s="1" t="n">
        <v>2.41</v>
      </c>
      <c r="D5085" s="1" t="n">
        <v>8</v>
      </c>
      <c r="E5085" s="1" t="n">
        <v>0.26</v>
      </c>
      <c r="F5085" s="1" t="n">
        <v>0.5</v>
      </c>
      <c r="G5085" s="1" t="n">
        <v>0.3</v>
      </c>
      <c r="H5085" s="1" t="n">
        <v>125</v>
      </c>
      <c r="I5085" s="1" t="n">
        <v>0.1</v>
      </c>
      <c r="J5085" t="n">
        <v>11440020</v>
      </c>
    </row>
    <row r="5086" ht="15.75" customHeight="1" s="201">
      <c r="A5086" s="1" t="inlineStr">
        <is>
          <t>Pickles, cucumber, dill, reduced sodium</t>
        </is>
      </c>
      <c r="C5086" s="1" t="n">
        <v>2.41</v>
      </c>
      <c r="D5086" s="1" t="n">
        <v>8</v>
      </c>
      <c r="E5086" s="1" t="n">
        <v>0.26</v>
      </c>
      <c r="F5086" s="1" t="n">
        <v>0.5</v>
      </c>
      <c r="G5086" s="1" t="n">
        <v>0.3</v>
      </c>
      <c r="H5086" s="1" t="n">
        <v>125</v>
      </c>
      <c r="I5086" s="1" t="n">
        <v>0.1</v>
      </c>
      <c r="J5086" t="n">
        <v>54204030</v>
      </c>
    </row>
    <row r="5087" ht="15.75" customHeight="1" s="201">
      <c r="A5087" s="1" t="inlineStr">
        <is>
          <t>Pickles, cucumber, sour</t>
        </is>
      </c>
      <c r="C5087" s="1" t="n">
        <v>2.26</v>
      </c>
      <c r="D5087" s="1" t="n">
        <v>1</v>
      </c>
      <c r="E5087" s="1" t="n">
        <v>0.4</v>
      </c>
      <c r="F5087" s="1" t="n">
        <v>0.33</v>
      </c>
      <c r="G5087" s="1" t="n">
        <v>0.2</v>
      </c>
      <c r="H5087" s="1" t="n">
        <v>191</v>
      </c>
      <c r="I5087" s="1" t="n">
        <v>0.02</v>
      </c>
      <c r="J5087" t="n">
        <v>75142500</v>
      </c>
    </row>
    <row r="5088" ht="15.75" customHeight="1" s="201">
      <c r="A5088" s="1" t="inlineStr">
        <is>
          <t>Pickles, cucumber, sour, low sodium</t>
        </is>
      </c>
      <c r="C5088" s="1" t="n">
        <v>2.26</v>
      </c>
      <c r="D5088" s="1" t="n">
        <v>1</v>
      </c>
      <c r="E5088" s="1" t="n">
        <v>0.4</v>
      </c>
      <c r="F5088" s="1" t="n">
        <v>0.33</v>
      </c>
      <c r="G5088" s="1" t="n">
        <v>0.2</v>
      </c>
      <c r="H5088" s="1" t="n">
        <v>191</v>
      </c>
      <c r="I5088" s="1" t="n">
        <v>0.02</v>
      </c>
      <c r="J5088" t="n">
        <v>54204030</v>
      </c>
    </row>
    <row r="5089" ht="15.75" customHeight="1" s="201">
      <c r="A5089" s="1" t="inlineStr">
        <is>
          <t>Pickles, cucumber, sweet (includes bread and butter pickles)</t>
        </is>
      </c>
      <c r="C5089" s="1" t="n">
        <v>21.15</v>
      </c>
      <c r="D5089" s="1" t="n">
        <v>1</v>
      </c>
      <c r="E5089" s="1" t="n">
        <v>0.25</v>
      </c>
      <c r="F5089" s="1" t="n">
        <v>0.58</v>
      </c>
      <c r="G5089" s="1" t="n">
        <v>0.41</v>
      </c>
      <c r="H5089" s="1" t="n">
        <v>764</v>
      </c>
      <c r="I5089" s="1" t="n">
        <v>0.12</v>
      </c>
      <c r="J5089" t="n">
        <v>42302015</v>
      </c>
    </row>
    <row r="5090" ht="15.75" customHeight="1" s="201">
      <c r="A5090" s="1" t="inlineStr">
        <is>
          <t>Pickles, cucumber, sweet, low sodium (includes bread and butter pickles)</t>
        </is>
      </c>
      <c r="C5090" s="1" t="n">
        <v>33.73</v>
      </c>
      <c r="D5090" s="1" t="n">
        <v>1</v>
      </c>
      <c r="E5090" s="1" t="n">
        <v>0.59</v>
      </c>
      <c r="F5090" s="1" t="n">
        <v>0.37</v>
      </c>
      <c r="G5090" s="1" t="n">
        <v>0.26</v>
      </c>
      <c r="H5090" s="1" t="n">
        <v>1116</v>
      </c>
      <c r="I5090" s="1" t="n">
        <v>0.08</v>
      </c>
      <c r="J5090" t="n">
        <v>54204030</v>
      </c>
    </row>
    <row r="5091" ht="15.75" customHeight="1" s="201">
      <c r="A5091" s="1" t="inlineStr">
        <is>
          <t>Picnic loaf, pork, beef</t>
        </is>
      </c>
      <c r="C5091" s="1" t="n">
        <v>4.76</v>
      </c>
      <c r="D5091" s="1" t="n">
        <v>2</v>
      </c>
      <c r="E5091" s="1" t="n">
        <v>1.02</v>
      </c>
      <c r="F5091" s="1" t="n">
        <v>14.92</v>
      </c>
      <c r="G5091" s="1" t="n">
        <v>16.64</v>
      </c>
      <c r="H5091" s="1" t="n">
        <v>0</v>
      </c>
      <c r="I5091" s="1" t="n">
        <v>2.18</v>
      </c>
      <c r="J5091" t="n">
        <v>28110510</v>
      </c>
    </row>
    <row r="5092" ht="15.75" customHeight="1" s="201">
      <c r="A5092" s="1" t="inlineStr">
        <is>
          <t>Pie Crust, Cookie-type, Chocolate, Ready Crust</t>
        </is>
      </c>
      <c r="C5092" s="1" t="n">
        <v>64.48</v>
      </c>
      <c r="D5092" s="1" t="n">
        <v>72</v>
      </c>
      <c r="E5092" s="1" t="n">
        <v>4.3</v>
      </c>
      <c r="F5092" s="1" t="n">
        <v>6.08</v>
      </c>
      <c r="G5092" s="1" t="n">
        <v>22.42</v>
      </c>
      <c r="H5092" s="1" t="n">
        <v>0</v>
      </c>
      <c r="I5092" s="1" t="n">
        <v>2.1</v>
      </c>
      <c r="J5092" t="n">
        <v>53108200</v>
      </c>
    </row>
    <row r="5093" ht="15.75" customHeight="1" s="201">
      <c r="A5093" s="1" t="inlineStr">
        <is>
          <t>Pie Crust, Cookie-type, Graham Cracker, Ready Crust</t>
        </is>
      </c>
      <c r="C5093" s="1" t="n">
        <v>64.3</v>
      </c>
      <c r="D5093" s="1" t="n">
        <v>65</v>
      </c>
      <c r="E5093" s="1" t="n">
        <v>2.6</v>
      </c>
      <c r="F5093" s="1" t="n">
        <v>5.1</v>
      </c>
      <c r="G5093" s="1" t="n">
        <v>24.83</v>
      </c>
      <c r="H5093" s="1" t="n">
        <v>1</v>
      </c>
      <c r="I5093" s="1" t="n">
        <v>1.25</v>
      </c>
      <c r="J5093" t="n">
        <v>58106200</v>
      </c>
    </row>
    <row r="5094" ht="15.75" customHeight="1" s="201">
      <c r="A5094" s="1" t="inlineStr">
        <is>
          <t>Pie crust, cookie-type, prepared from recipe, graham cracker, chilled</t>
        </is>
      </c>
      <c r="C5094" s="1" t="n">
        <v>63.9</v>
      </c>
      <c r="D5094" s="1" t="n">
        <v>34</v>
      </c>
      <c r="E5094" s="1" t="n">
        <v>2.12</v>
      </c>
      <c r="F5094" s="1" t="n">
        <v>4.1</v>
      </c>
      <c r="G5094" s="1" t="n">
        <v>24.4</v>
      </c>
      <c r="H5094" s="1" t="n">
        <v>833</v>
      </c>
      <c r="I5094" s="1" t="n">
        <v>0.46</v>
      </c>
      <c r="J5094" t="n">
        <v>58106325</v>
      </c>
    </row>
    <row r="5095" ht="15.75" customHeight="1" s="201">
      <c r="A5095" s="1" t="inlineStr">
        <is>
          <t>Pie crust, cookie-type, prepared from recipe, vanilla wafer, chilled</t>
        </is>
      </c>
      <c r="C5095" s="1" t="n">
        <v>50.2</v>
      </c>
      <c r="D5095" s="1" t="n">
        <v>49</v>
      </c>
      <c r="E5095" s="1" t="n">
        <v>1.63</v>
      </c>
      <c r="F5095" s="1" t="n">
        <v>3.7</v>
      </c>
      <c r="G5095" s="1" t="n">
        <v>36.2</v>
      </c>
      <c r="H5095" s="1" t="n">
        <v>1172</v>
      </c>
      <c r="I5095" s="1" t="n">
        <v>0.24</v>
      </c>
      <c r="J5095" t="n">
        <v>53247000</v>
      </c>
    </row>
    <row r="5096" ht="15.75" customHeight="1" s="201">
      <c r="A5096" s="1" t="inlineStr">
        <is>
          <t>Pie crust, deep dish, frozen, baked, made with enriched flour</t>
        </is>
      </c>
      <c r="C5096" s="1" t="n">
        <v>52.47</v>
      </c>
      <c r="D5096" s="1" t="n">
        <v>94</v>
      </c>
      <c r="E5096" s="1" t="n">
        <v>2.47</v>
      </c>
      <c r="F5096" s="1" t="n">
        <v>6.1</v>
      </c>
      <c r="G5096" s="1" t="n">
        <v>31.84</v>
      </c>
      <c r="I5096" s="1" t="n">
        <v>0.52</v>
      </c>
      <c r="J5096" t="n">
        <v>75142550</v>
      </c>
    </row>
    <row r="5097" ht="15.75" customHeight="1" s="201">
      <c r="A5097" s="1" t="inlineStr">
        <is>
          <t>Pie crust, deep dish, frozen, unbaked, made with enriched flour</t>
        </is>
      </c>
      <c r="C5097" s="1" t="n">
        <v>46.79</v>
      </c>
      <c r="D5097" s="1" t="n">
        <v>77</v>
      </c>
      <c r="E5097" s="1" t="n">
        <v>2.26</v>
      </c>
      <c r="F5097" s="1" t="n">
        <v>5.52</v>
      </c>
      <c r="G5097" s="1" t="n">
        <v>28.74</v>
      </c>
      <c r="I5097" s="1" t="n">
        <v>0.46</v>
      </c>
      <c r="J5097" t="n">
        <v>75142550</v>
      </c>
    </row>
    <row r="5098" ht="15.75" customHeight="1" s="201">
      <c r="A5098" s="1" t="inlineStr">
        <is>
          <t>Pie crust, refrigerated, regular, baked</t>
        </is>
      </c>
      <c r="C5098" s="1" t="n">
        <v>58.52</v>
      </c>
      <c r="D5098" s="1" t="n">
        <v>32</v>
      </c>
      <c r="E5098" s="1" t="n">
        <v>1.15</v>
      </c>
      <c r="F5098" s="1" t="n">
        <v>3.41</v>
      </c>
      <c r="G5098" s="1" t="n">
        <v>28.69</v>
      </c>
      <c r="I5098" s="1" t="n">
        <v>0.22</v>
      </c>
      <c r="J5098" t="n">
        <v>54401121</v>
      </c>
    </row>
    <row r="5099" ht="15.75" customHeight="1" s="201">
      <c r="A5099" s="1" t="inlineStr">
        <is>
          <t>Pie crust, refrigerated, regular, unbaked</t>
        </is>
      </c>
      <c r="C5099" s="1" t="n">
        <v>51.11</v>
      </c>
      <c r="D5099" s="1" t="n">
        <v>25</v>
      </c>
      <c r="E5099" s="1" t="n">
        <v>1.02</v>
      </c>
      <c r="F5099" s="1" t="n">
        <v>2.97</v>
      </c>
      <c r="G5099" s="1" t="n">
        <v>25.46</v>
      </c>
      <c r="I5099" s="1" t="n">
        <v>0.2</v>
      </c>
      <c r="J5099" t="n">
        <v>58106200</v>
      </c>
    </row>
    <row r="5100" ht="15.75" customHeight="1" s="201">
      <c r="A5100" s="1" t="inlineStr">
        <is>
          <t>Pie crust, standard-type, prepared from recipe, unbaked</t>
        </is>
      </c>
      <c r="C5100" s="1" t="n">
        <v>42.3</v>
      </c>
      <c r="D5100" s="1" t="n">
        <v>71</v>
      </c>
      <c r="E5100" s="1" t="n">
        <v>2.57</v>
      </c>
      <c r="F5100" s="1" t="n">
        <v>5.7</v>
      </c>
      <c r="G5100" s="1" t="n">
        <v>30.8</v>
      </c>
      <c r="H5100" s="1" t="n">
        <v>0</v>
      </c>
      <c r="I5100" s="1" t="n">
        <v>0.39</v>
      </c>
      <c r="J5100" t="n">
        <v>58106325</v>
      </c>
    </row>
    <row r="5101" ht="15.75" customHeight="1" s="201">
      <c r="A5101" s="1" t="inlineStr">
        <is>
          <t>Pie fillings, apple, canned</t>
        </is>
      </c>
      <c r="C5101" s="1" t="n">
        <v>26.1</v>
      </c>
      <c r="D5101" s="1" t="n">
        <v>0</v>
      </c>
      <c r="E5101" s="1" t="n">
        <v>0.29</v>
      </c>
      <c r="F5101" s="1" t="n">
        <v>0.1</v>
      </c>
      <c r="G5101" s="1" t="n">
        <v>0.1</v>
      </c>
      <c r="H5101" s="1" t="n">
        <v>24</v>
      </c>
      <c r="I5101" s="1" t="n">
        <v>0.04</v>
      </c>
      <c r="J5101" t="n">
        <v>53301000</v>
      </c>
    </row>
    <row r="5102" ht="15.75" customHeight="1" s="201">
      <c r="A5102" s="1" t="inlineStr">
        <is>
          <t>Pie fillings, blueberry, canned</t>
        </is>
      </c>
      <c r="C5102" s="1" t="n">
        <v>44.38</v>
      </c>
      <c r="D5102" s="1" t="n">
        <v>1</v>
      </c>
      <c r="E5102" s="1" t="n">
        <v>0.8</v>
      </c>
      <c r="F5102" s="1" t="n">
        <v>0.41</v>
      </c>
      <c r="G5102" s="1" t="n">
        <v>0.2</v>
      </c>
      <c r="H5102" s="1" t="n">
        <v>22</v>
      </c>
      <c r="I5102" s="1" t="n">
        <v>0.1</v>
      </c>
      <c r="J5102" t="n">
        <v>63311110</v>
      </c>
    </row>
    <row r="5103" ht="15.75" customHeight="1" s="201">
      <c r="A5103" s="1" t="inlineStr">
        <is>
          <t>Pie fillings, canned, cherry</t>
        </is>
      </c>
      <c r="C5103" s="1" t="n">
        <v>28</v>
      </c>
      <c r="D5103" s="1" t="n">
        <v>4</v>
      </c>
      <c r="E5103" s="1" t="n">
        <v>0.24</v>
      </c>
      <c r="F5103" s="1" t="n">
        <v>0.37</v>
      </c>
      <c r="G5103" s="1" t="n">
        <v>0.07000000000000001</v>
      </c>
      <c r="H5103" s="1" t="n">
        <v>205</v>
      </c>
      <c r="I5103" s="1" t="n">
        <v>0.05</v>
      </c>
      <c r="J5103" t="n">
        <v>63311110</v>
      </c>
    </row>
    <row r="5104" ht="15.75" customHeight="1" s="201">
      <c r="A5104" s="1" t="inlineStr">
        <is>
          <t>Pie fillings, cherry, low calorie</t>
        </is>
      </c>
      <c r="C5104" s="1" t="n">
        <v>11.98</v>
      </c>
      <c r="D5104" s="1" t="n">
        <v>4</v>
      </c>
      <c r="E5104" s="1" t="n">
        <v>0.33</v>
      </c>
      <c r="F5104" s="1" t="n">
        <v>0.82</v>
      </c>
      <c r="G5104" s="1" t="n">
        <v>0.16</v>
      </c>
      <c r="H5104" s="1" t="n">
        <v>208</v>
      </c>
      <c r="I5104" s="1" t="n">
        <v>0.07000000000000001</v>
      </c>
      <c r="J5104" t="n">
        <v>53109200</v>
      </c>
    </row>
    <row r="5105" ht="15.75" customHeight="1" s="201">
      <c r="A5105" s="1" t="inlineStr">
        <is>
          <t>Pie, apple, commercially prepared, unenriched flour</t>
        </is>
      </c>
      <c r="C5105" s="1" t="n">
        <v>34</v>
      </c>
      <c r="D5105" s="1" t="n">
        <v>4</v>
      </c>
      <c r="E5105" s="1" t="n">
        <v>1.21</v>
      </c>
      <c r="F5105" s="1" t="n">
        <v>1.9</v>
      </c>
      <c r="G5105" s="1" t="n">
        <v>11</v>
      </c>
      <c r="H5105" s="1" t="n">
        <v>124</v>
      </c>
      <c r="I5105" s="1" t="n">
        <v>0.16</v>
      </c>
      <c r="J5105" t="n">
        <v>53301000</v>
      </c>
    </row>
    <row r="5106" ht="15.75" customHeight="1" s="201">
      <c r="A5106" s="1" t="inlineStr">
        <is>
          <t>Pie, banana cream, prepared from recipe</t>
        </is>
      </c>
      <c r="C5106" s="1" t="n">
        <v>32.9</v>
      </c>
      <c r="D5106" s="1" t="n">
        <v>27</v>
      </c>
      <c r="E5106" s="1" t="n">
        <v>1.04</v>
      </c>
      <c r="F5106" s="1" t="n">
        <v>4.4</v>
      </c>
      <c r="G5106" s="1" t="n">
        <v>13.6</v>
      </c>
      <c r="H5106" s="1" t="n">
        <v>237</v>
      </c>
      <c r="I5106" s="1" t="n">
        <v>0.48</v>
      </c>
      <c r="J5106" t="n">
        <v>28345110</v>
      </c>
    </row>
    <row r="5107" ht="15.75" customHeight="1" s="201">
      <c r="A5107" s="1" t="inlineStr">
        <is>
          <t>Pie, blueberry, commercially prepared</t>
        </is>
      </c>
      <c r="C5107" s="1" t="n">
        <v>34.9</v>
      </c>
      <c r="D5107" s="1" t="n">
        <v>27</v>
      </c>
      <c r="E5107" s="1" t="n">
        <v>0.3</v>
      </c>
      <c r="F5107" s="1" t="n">
        <v>1.8</v>
      </c>
      <c r="G5107" s="1" t="n">
        <v>10</v>
      </c>
      <c r="H5107" s="1" t="n">
        <v>140</v>
      </c>
      <c r="I5107" s="1" t="n">
        <v>0.16</v>
      </c>
      <c r="J5107" t="n">
        <v>74402150</v>
      </c>
    </row>
    <row r="5108" ht="15.75" customHeight="1" s="201">
      <c r="A5108" s="1" t="inlineStr">
        <is>
          <t>Pie, blueberry, prepared from recipe</t>
        </is>
      </c>
      <c r="C5108" s="1" t="n">
        <v>33.5</v>
      </c>
      <c r="D5108" s="1" t="n">
        <v>23</v>
      </c>
      <c r="E5108" s="1" t="n">
        <v>1.23</v>
      </c>
      <c r="F5108" s="1" t="n">
        <v>2.7</v>
      </c>
      <c r="G5108" s="1" t="n">
        <v>11.9</v>
      </c>
      <c r="H5108" s="1" t="n">
        <v>42</v>
      </c>
      <c r="I5108" s="1" t="n">
        <v>0.2</v>
      </c>
      <c r="J5108" t="n">
        <v>24127210</v>
      </c>
    </row>
    <row r="5109" ht="15.75" customHeight="1" s="201">
      <c r="A5109" s="1" t="inlineStr">
        <is>
          <t>Pie, cherry, commercially prepared</t>
        </is>
      </c>
      <c r="C5109" s="1" t="n">
        <v>39.8</v>
      </c>
      <c r="D5109" s="1" t="n">
        <v>27</v>
      </c>
      <c r="E5109" s="1" t="n">
        <v>0.48</v>
      </c>
      <c r="F5109" s="1" t="n">
        <v>2</v>
      </c>
      <c r="G5109" s="1" t="n">
        <v>11</v>
      </c>
      <c r="H5109" s="1" t="n">
        <v>267</v>
      </c>
      <c r="I5109" s="1" t="n">
        <v>0.18</v>
      </c>
      <c r="J5109" t="n">
        <v>92411510</v>
      </c>
    </row>
    <row r="5110" ht="15.75" customHeight="1" s="201">
      <c r="A5110" s="1" t="inlineStr">
        <is>
          <t>Pie, cherry, prepared from recipe</t>
        </is>
      </c>
      <c r="C5110" s="1" t="n">
        <v>38.5</v>
      </c>
      <c r="D5110" s="1" t="n">
        <v>27</v>
      </c>
      <c r="E5110" s="1" t="n">
        <v>1.85</v>
      </c>
      <c r="F5110" s="1" t="n">
        <v>2.8</v>
      </c>
      <c r="G5110" s="1" t="n">
        <v>12.2</v>
      </c>
      <c r="H5110" s="1" t="n">
        <v>409</v>
      </c>
      <c r="I5110" s="1" t="n">
        <v>0.2</v>
      </c>
      <c r="J5110" t="n">
        <v>24127210</v>
      </c>
    </row>
    <row r="5111" ht="15.75" customHeight="1" s="201">
      <c r="A5111" s="1" t="inlineStr">
        <is>
          <t>Pie, coconut custard, commercially prepared</t>
        </is>
      </c>
      <c r="C5111" s="1" t="n">
        <v>30.2</v>
      </c>
      <c r="D5111" s="1" t="n">
        <v>13</v>
      </c>
      <c r="E5111" s="1" t="n">
        <v>0.8</v>
      </c>
      <c r="F5111" s="1" t="n">
        <v>5.9</v>
      </c>
      <c r="G5111" s="1" t="n">
        <v>13.2</v>
      </c>
      <c r="H5111" s="1" t="n">
        <v>110</v>
      </c>
      <c r="I5111" s="1" t="n">
        <v>0.68</v>
      </c>
      <c r="J5111" t="n">
        <v>42404010</v>
      </c>
    </row>
    <row r="5112" ht="15.75" customHeight="1" s="201">
      <c r="A5112" s="1" t="inlineStr">
        <is>
          <t>Pie, Dutch Apple, Commercially Prepared</t>
        </is>
      </c>
      <c r="C5112" s="1" t="n">
        <v>44.54</v>
      </c>
      <c r="D5112" s="1" t="n">
        <v>21</v>
      </c>
      <c r="E5112" s="1" t="n">
        <v>0.91</v>
      </c>
      <c r="F5112" s="1" t="n">
        <v>2.17</v>
      </c>
      <c r="G5112" s="1" t="n">
        <v>11.5</v>
      </c>
      <c r="H5112" s="1" t="n">
        <v>82</v>
      </c>
      <c r="I5112" s="1" t="n">
        <v>0.19</v>
      </c>
      <c r="J5112" t="n">
        <v>53203000</v>
      </c>
    </row>
    <row r="5113" ht="15.75" customHeight="1" s="201">
      <c r="A5113" s="1" t="inlineStr">
        <is>
          <t>Pie, egg custard, commercially prepared</t>
        </is>
      </c>
      <c r="C5113" s="1" t="n">
        <v>20.8</v>
      </c>
      <c r="D5113" s="1" t="n">
        <v>20</v>
      </c>
      <c r="E5113" s="1" t="n">
        <v>0.58</v>
      </c>
      <c r="F5113" s="1" t="n">
        <v>5.5</v>
      </c>
      <c r="G5113" s="1" t="n">
        <v>11.6</v>
      </c>
      <c r="H5113" s="1" t="n">
        <v>232</v>
      </c>
      <c r="I5113" s="1" t="n">
        <v>0.52</v>
      </c>
      <c r="J5113" t="n">
        <v>74402150</v>
      </c>
    </row>
    <row r="5114" ht="15.75" customHeight="1" s="201">
      <c r="A5114" s="1" t="inlineStr">
        <is>
          <t>Pie, fried pies, cherry</t>
        </is>
      </c>
      <c r="C5114" s="1" t="n">
        <v>42.6</v>
      </c>
      <c r="D5114" s="1" t="n">
        <v>18</v>
      </c>
      <c r="E5114" s="1" t="n">
        <v>1.22</v>
      </c>
      <c r="F5114" s="1" t="n">
        <v>3</v>
      </c>
      <c r="G5114" s="1" t="n">
        <v>16.1</v>
      </c>
      <c r="H5114" s="1" t="n">
        <v>172</v>
      </c>
      <c r="I5114" s="1" t="n">
        <v>0.23</v>
      </c>
      <c r="J5114" t="n">
        <v>14660200</v>
      </c>
    </row>
    <row r="5115" ht="15.75" customHeight="1" s="201">
      <c r="A5115" s="1" t="inlineStr">
        <is>
          <t>Pie, fried pies, fruit</t>
        </is>
      </c>
      <c r="C5115" s="1" t="n">
        <v>42.6</v>
      </c>
      <c r="D5115" s="1" t="n">
        <v>18</v>
      </c>
      <c r="E5115" s="1" t="n">
        <v>1.22</v>
      </c>
      <c r="F5115" s="1" t="n">
        <v>3</v>
      </c>
      <c r="G5115" s="1" t="n">
        <v>16.1</v>
      </c>
      <c r="H5115" s="1" t="n">
        <v>27</v>
      </c>
      <c r="I5115" s="1" t="n">
        <v>0.23</v>
      </c>
      <c r="J5115" t="n">
        <v>91708030</v>
      </c>
    </row>
    <row r="5116" ht="15.75" customHeight="1" s="201">
      <c r="A5116" s="1" t="inlineStr">
        <is>
          <t>Pie, lemon meringue, commercially prepared</t>
        </is>
      </c>
      <c r="C5116" s="1" t="n">
        <v>47.2</v>
      </c>
      <c r="D5116" s="1" t="n">
        <v>24</v>
      </c>
      <c r="E5116" s="1" t="n">
        <v>0.61</v>
      </c>
      <c r="F5116" s="1" t="n">
        <v>1.5</v>
      </c>
      <c r="G5116" s="1" t="n">
        <v>8.699999999999999</v>
      </c>
      <c r="H5116" s="1" t="n">
        <v>173</v>
      </c>
      <c r="I5116" s="1" t="n">
        <v>0.49</v>
      </c>
      <c r="J5116" t="n">
        <v>53381000</v>
      </c>
    </row>
    <row r="5117" ht="15.75" customHeight="1" s="201">
      <c r="A5117" s="1" t="inlineStr">
        <is>
          <t>Pie, pecan, prepared from recipe</t>
        </is>
      </c>
      <c r="C5117" s="1" t="n">
        <v>52.2</v>
      </c>
      <c r="D5117" s="1" t="n">
        <v>26</v>
      </c>
      <c r="E5117" s="1" t="n">
        <v>1.48</v>
      </c>
      <c r="F5117" s="1" t="n">
        <v>4.9</v>
      </c>
      <c r="G5117" s="1" t="n">
        <v>22.2</v>
      </c>
      <c r="H5117" s="1" t="n">
        <v>357</v>
      </c>
      <c r="I5117" s="1" t="n">
        <v>1.02</v>
      </c>
      <c r="J5117" t="n">
        <v>24127210</v>
      </c>
    </row>
    <row r="5118" ht="15.75" customHeight="1" s="201">
      <c r="A5118" s="1" t="inlineStr">
        <is>
          <t>Pie, pumpkin, commercially prepared</t>
        </is>
      </c>
      <c r="C5118" s="1" t="n">
        <v>34.83</v>
      </c>
      <c r="D5118" s="1" t="n">
        <v>26</v>
      </c>
      <c r="E5118" s="1" t="n">
        <v>0.9</v>
      </c>
      <c r="F5118" s="1" t="n">
        <v>3.9</v>
      </c>
      <c r="G5118" s="1" t="n">
        <v>9.75</v>
      </c>
      <c r="H5118" s="1" t="n">
        <v>3434</v>
      </c>
      <c r="I5118" s="1" t="n">
        <v>0.39</v>
      </c>
      <c r="J5118" t="n">
        <v>74402150</v>
      </c>
    </row>
    <row r="5119" ht="15.75" customHeight="1" s="201">
      <c r="A5119" s="1" t="inlineStr">
        <is>
          <t>Pie, pumpkin, prepared from recipe</t>
        </is>
      </c>
      <c r="C5119" s="1" t="n">
        <v>26.4</v>
      </c>
      <c r="D5119" s="1" t="n">
        <v>21</v>
      </c>
      <c r="E5119" s="1" t="n">
        <v>1.27</v>
      </c>
      <c r="F5119" s="1" t="n">
        <v>4.5</v>
      </c>
      <c r="G5119" s="1" t="n">
        <v>9.300000000000001</v>
      </c>
      <c r="H5119" s="1" t="n">
        <v>8020</v>
      </c>
      <c r="I5119" s="1" t="n">
        <v>0.46</v>
      </c>
      <c r="J5119" t="n">
        <v>24127210</v>
      </c>
    </row>
    <row r="5120" ht="15.75" customHeight="1" s="201">
      <c r="A5120" s="1" t="inlineStr">
        <is>
          <t>Pie, vanilla cream, prepared from recipe</t>
        </is>
      </c>
      <c r="C5120" s="1" t="n">
        <v>32.6</v>
      </c>
      <c r="D5120" s="1" t="n">
        <v>26</v>
      </c>
      <c r="E5120" s="1" t="n">
        <v>1.02</v>
      </c>
      <c r="F5120" s="1" t="n">
        <v>4.8</v>
      </c>
      <c r="G5120" s="1" t="n">
        <v>14.4</v>
      </c>
      <c r="H5120" s="1" t="n">
        <v>306</v>
      </c>
      <c r="I5120" s="1" t="n">
        <v>0.53</v>
      </c>
      <c r="J5120" t="n">
        <v>53242000</v>
      </c>
    </row>
    <row r="5121" ht="15.75" customHeight="1" s="201">
      <c r="A5121" s="1" t="inlineStr">
        <is>
          <t>Pigeon peas (red gram), mature seeds, cooked, boiled, with salt</t>
        </is>
      </c>
      <c r="C5121" s="1" t="n">
        <v>23.25</v>
      </c>
      <c r="D5121" s="1" t="n">
        <v>111</v>
      </c>
      <c r="E5121" s="1" t="n">
        <v>1.11</v>
      </c>
      <c r="F5121" s="1" t="n">
        <v>6.76</v>
      </c>
      <c r="G5121" s="1" t="n">
        <v>0.38</v>
      </c>
      <c r="H5121" s="1" t="n">
        <v>3</v>
      </c>
      <c r="I5121" s="1" t="n">
        <v>0.9</v>
      </c>
      <c r="J5121" t="n">
        <v>75142550</v>
      </c>
    </row>
    <row r="5122" ht="15.75" customHeight="1" s="201">
      <c r="A5122" s="1" t="inlineStr">
        <is>
          <t>Pigeon peas (red gram), mature seeds, cooked, boiled, without salt</t>
        </is>
      </c>
      <c r="C5122" s="1" t="n">
        <v>23.25</v>
      </c>
      <c r="D5122" s="1" t="n">
        <v>111</v>
      </c>
      <c r="E5122" s="1" t="n">
        <v>1.11</v>
      </c>
      <c r="F5122" s="1" t="n">
        <v>6.76</v>
      </c>
      <c r="G5122" s="1" t="n">
        <v>0.38</v>
      </c>
      <c r="H5122" s="1" t="n">
        <v>3</v>
      </c>
      <c r="I5122" s="1" t="n">
        <v>0.9</v>
      </c>
    </row>
    <row r="5123" ht="15.75" customHeight="1" s="201">
      <c r="A5123" s="1" t="inlineStr">
        <is>
          <t>Pigeon peas (red gram), mature seeds, raw</t>
        </is>
      </c>
      <c r="C5123" s="1" t="n">
        <v>62.78</v>
      </c>
      <c r="D5123" s="1" t="n">
        <v>456</v>
      </c>
      <c r="E5123" s="1" t="n">
        <v>5.23</v>
      </c>
      <c r="F5123" s="1" t="n">
        <v>21.7</v>
      </c>
      <c r="G5123" s="1" t="n">
        <v>1.49</v>
      </c>
      <c r="H5123" s="1" t="n">
        <v>28</v>
      </c>
      <c r="I5123" s="1" t="n">
        <v>2.76</v>
      </c>
      <c r="J5123" t="n">
        <v>76409010</v>
      </c>
    </row>
    <row r="5124" ht="15.75" customHeight="1" s="201">
      <c r="A5124" s="1" t="inlineStr">
        <is>
          <t>Pigeonpeas, immature seeds, cooked, boiled, drained, with salt</t>
        </is>
      </c>
      <c r="C5124" s="1" t="n">
        <v>19.49</v>
      </c>
      <c r="D5124" s="1" t="n">
        <v>100</v>
      </c>
      <c r="E5124" s="1" t="n">
        <v>1.57</v>
      </c>
      <c r="F5124" s="1" t="n">
        <v>5.96</v>
      </c>
      <c r="G5124" s="1" t="n">
        <v>1.36</v>
      </c>
      <c r="H5124" s="1" t="n">
        <v>50</v>
      </c>
      <c r="I5124" s="1" t="n">
        <v>0.82</v>
      </c>
      <c r="J5124" t="n">
        <v>75142550</v>
      </c>
    </row>
    <row r="5125" ht="15.75" customHeight="1" s="201">
      <c r="A5125" s="1" t="inlineStr">
        <is>
          <t>Pigeonpeas, immature seeds, cooked, boiled, drained, without salt</t>
        </is>
      </c>
      <c r="C5125" s="1" t="n">
        <v>19.49</v>
      </c>
      <c r="D5125" s="1" t="n">
        <v>100</v>
      </c>
      <c r="E5125" s="1" t="n">
        <v>1.57</v>
      </c>
      <c r="F5125" s="1" t="n">
        <v>5.96</v>
      </c>
      <c r="G5125" s="1" t="n">
        <v>1.36</v>
      </c>
      <c r="H5125" s="1" t="n">
        <v>50</v>
      </c>
      <c r="I5125" s="1" t="n">
        <v>0.82</v>
      </c>
      <c r="J5125" t="n">
        <v>54318500</v>
      </c>
    </row>
    <row r="5126" ht="15.75" customHeight="1" s="201">
      <c r="A5126" s="1" t="inlineStr">
        <is>
          <t>Pigeonpeas, immature seeds, raw</t>
        </is>
      </c>
      <c r="C5126" s="1" t="n">
        <v>23.88</v>
      </c>
      <c r="D5126" s="1" t="n">
        <v>173</v>
      </c>
      <c r="E5126" s="1" t="n">
        <v>1.6</v>
      </c>
      <c r="F5126" s="1" t="n">
        <v>7.2</v>
      </c>
      <c r="G5126" s="1" t="n">
        <v>1.64</v>
      </c>
      <c r="H5126" s="1" t="n">
        <v>67</v>
      </c>
      <c r="I5126" s="1" t="n">
        <v>1.04</v>
      </c>
      <c r="J5126" t="n">
        <v>43101100</v>
      </c>
    </row>
    <row r="5127" ht="15.75" customHeight="1" s="201">
      <c r="A5127" s="1" t="inlineStr">
        <is>
          <t>Piki bread, made from blue cornmeal (Hopi)</t>
        </is>
      </c>
      <c r="C5127" s="1" t="n">
        <v>72.22</v>
      </c>
      <c r="E5127" s="1" t="n">
        <v>6.11</v>
      </c>
      <c r="F5127" s="1" t="n">
        <v>9.06</v>
      </c>
      <c r="G5127" s="1" t="n">
        <v>7.16</v>
      </c>
      <c r="H5127" s="1" t="n">
        <v>3</v>
      </c>
      <c r="I5127" s="1" t="n">
        <v>3.75</v>
      </c>
      <c r="J5127" t="n">
        <v>51121065</v>
      </c>
    </row>
    <row r="5128" ht="15.75" customHeight="1" s="201">
      <c r="A5128" s="1" t="inlineStr">
        <is>
          <t>Pillsbury Golden Layer Buttermilk Biscuits, Artificial Flavor, refrigerated dough</t>
        </is>
      </c>
      <c r="C5128" s="1" t="n">
        <v>41.18</v>
      </c>
      <c r="E5128" s="1" t="n">
        <v>2.12</v>
      </c>
      <c r="F5128" s="1" t="n">
        <v>5.88</v>
      </c>
      <c r="G5128" s="1" t="n">
        <v>13.24</v>
      </c>
    </row>
    <row r="5129" ht="15.75" customHeight="1" s="201">
      <c r="A5129" s="1" t="inlineStr">
        <is>
          <t>Pillsbury Grands, Buttermilk Biscuits, refrigerated dough</t>
        </is>
      </c>
      <c r="C5129" s="1" t="n">
        <v>42.41</v>
      </c>
      <c r="E5129" s="1" t="n">
        <v>2.34</v>
      </c>
      <c r="F5129" s="1" t="n">
        <v>6.16</v>
      </c>
      <c r="G5129" s="1" t="n">
        <v>11.34</v>
      </c>
      <c r="H5129" s="1" t="n">
        <v>0</v>
      </c>
      <c r="J5129" t="n">
        <v>52102040</v>
      </c>
    </row>
    <row r="5130" ht="15.75" customHeight="1" s="201">
      <c r="A5130" s="1" t="inlineStr">
        <is>
          <t>Pillsbury, Buttermilk Biscuits, Artificial Flavor, refrigerated dough</t>
        </is>
      </c>
      <c r="C5130" s="1" t="n">
        <v>47.07</v>
      </c>
      <c r="E5130" s="1" t="n">
        <v>2.6</v>
      </c>
      <c r="F5130" s="1" t="n">
        <v>6.4</v>
      </c>
      <c r="G5130" s="1" t="n">
        <v>2.79</v>
      </c>
      <c r="H5130" s="1" t="n">
        <v>0</v>
      </c>
    </row>
    <row r="5131" ht="15.75" customHeight="1" s="201">
      <c r="A5131" s="1" t="inlineStr">
        <is>
          <t>Pillsbury, Chocolate Chip Cookies, refrigerated dough</t>
        </is>
      </c>
      <c r="C5131" s="1" t="n">
        <v>60.75</v>
      </c>
      <c r="E5131" s="1" t="n">
        <v>2.03</v>
      </c>
      <c r="F5131" s="1" t="n">
        <v>3.82</v>
      </c>
      <c r="G5131" s="1" t="n">
        <v>21.26</v>
      </c>
      <c r="H5131" s="1" t="n">
        <v>19</v>
      </c>
      <c r="J5131" t="n">
        <v>53108200</v>
      </c>
    </row>
    <row r="5132" ht="15.75" customHeight="1" s="201">
      <c r="A5132" s="1" t="inlineStr">
        <is>
          <t>Pillsbury, Cinnamon Rolls with Icing, refrigerated dough</t>
        </is>
      </c>
      <c r="C5132" s="1" t="n">
        <v>53.42</v>
      </c>
      <c r="E5132" s="1" t="n">
        <v>1.93</v>
      </c>
      <c r="F5132" s="1" t="n">
        <v>4.34</v>
      </c>
      <c r="G5132" s="1" t="n">
        <v>11.27</v>
      </c>
      <c r="H5132" s="1" t="n">
        <v>1</v>
      </c>
      <c r="J5132" t="n">
        <v>75142550</v>
      </c>
    </row>
    <row r="5133" ht="15.75" customHeight="1" s="201">
      <c r="A5133" s="1" t="inlineStr">
        <is>
          <t>Pillsbury, Crusty French Loaf, refrigerated dough</t>
        </is>
      </c>
      <c r="C5133" s="1" t="n">
        <v>46.35</v>
      </c>
      <c r="E5133" s="1" t="n">
        <v>2.27</v>
      </c>
      <c r="F5133" s="1" t="n">
        <v>8.59</v>
      </c>
      <c r="G5133" s="1" t="n">
        <v>2.88</v>
      </c>
      <c r="H5133" s="1" t="n">
        <v>0</v>
      </c>
      <c r="J5133" t="n">
        <v>25230610</v>
      </c>
    </row>
    <row r="5134" ht="15.75" customHeight="1" s="201">
      <c r="A5134" s="1" t="inlineStr">
        <is>
          <t>Pimento, canned</t>
        </is>
      </c>
      <c r="C5134" s="1" t="n">
        <v>5.1</v>
      </c>
      <c r="D5134" s="1" t="n">
        <v>6</v>
      </c>
      <c r="E5134" s="1" t="n">
        <v>1.68</v>
      </c>
      <c r="F5134" s="1" t="n">
        <v>1.1</v>
      </c>
      <c r="G5134" s="1" t="n">
        <v>0.3</v>
      </c>
      <c r="H5134" s="1" t="n">
        <v>2655</v>
      </c>
      <c r="I5134" s="1" t="n">
        <v>0.19</v>
      </c>
      <c r="J5134" t="n">
        <v>63311110</v>
      </c>
    </row>
    <row r="5135" ht="15.75" customHeight="1" s="201">
      <c r="A5135" s="1" t="inlineStr">
        <is>
          <t>Pineapple juice, canned or bottled, unsweetened, with added ascorbic acid</t>
        </is>
      </c>
      <c r="C5135" s="1" t="n">
        <v>12.87</v>
      </c>
      <c r="D5135" s="1" t="n">
        <v>18</v>
      </c>
      <c r="E5135" s="1" t="n">
        <v>0.31</v>
      </c>
      <c r="F5135" s="1" t="n">
        <v>0.36</v>
      </c>
      <c r="G5135" s="1" t="n">
        <v>0.12</v>
      </c>
      <c r="H5135" s="1" t="n">
        <v>5</v>
      </c>
      <c r="I5135" s="1" t="n">
        <v>0.11</v>
      </c>
      <c r="J5135" t="n">
        <v>75142550</v>
      </c>
    </row>
    <row r="5136" ht="15.75" customHeight="1" s="201">
      <c r="A5136" s="1" t="inlineStr">
        <is>
          <t>Pineapple juice, canned or bottled, unsweetened, without added ascorbic acid</t>
        </is>
      </c>
      <c r="C5136" s="1" t="n">
        <v>12.87</v>
      </c>
      <c r="D5136" s="1" t="n">
        <v>18</v>
      </c>
      <c r="E5136" s="1" t="n">
        <v>0.31</v>
      </c>
      <c r="F5136" s="1" t="n">
        <v>0.36</v>
      </c>
      <c r="G5136" s="1" t="n">
        <v>0.12</v>
      </c>
      <c r="H5136" s="1" t="n">
        <v>5</v>
      </c>
      <c r="I5136" s="1" t="n">
        <v>0.11</v>
      </c>
      <c r="J5136" t="n">
        <v>64100110</v>
      </c>
    </row>
    <row r="5137" ht="15.75" customHeight="1" s="201">
      <c r="A5137" s="1" t="inlineStr">
        <is>
          <t>Pineapple juice, canned, not from concentrate, unsweetened, with added vitamins A, C and E</t>
        </is>
      </c>
      <c r="C5137" s="1" t="n">
        <v>12.18</v>
      </c>
      <c r="D5137" s="1" t="n">
        <v>12</v>
      </c>
      <c r="E5137" s="1" t="n">
        <v>0.26</v>
      </c>
      <c r="F5137" s="1" t="n">
        <v>0.36</v>
      </c>
      <c r="G5137" s="1" t="n">
        <v>0.14</v>
      </c>
      <c r="H5137" s="1" t="n">
        <v>235</v>
      </c>
      <c r="I5137" s="1" t="n">
        <v>0.11</v>
      </c>
      <c r="J5137" t="n">
        <v>75142550</v>
      </c>
    </row>
    <row r="5138" ht="15.75" customHeight="1" s="201">
      <c r="A5138" s="1" t="inlineStr">
        <is>
          <t>Pineapple juice, frozen concentrate, unsweetened, diluted with 3 volume water</t>
        </is>
      </c>
      <c r="C5138" s="1" t="n">
        <v>12.67</v>
      </c>
      <c r="D5138" s="1" t="n">
        <v>11</v>
      </c>
      <c r="E5138" s="1" t="n">
        <v>0.16</v>
      </c>
      <c r="F5138" s="1" t="n">
        <v>0.4</v>
      </c>
      <c r="G5138" s="1" t="n">
        <v>0.03</v>
      </c>
      <c r="H5138" s="1" t="n">
        <v>10</v>
      </c>
      <c r="I5138" s="1" t="n">
        <v>0.08</v>
      </c>
      <c r="J5138" t="n">
        <v>11740312</v>
      </c>
    </row>
    <row r="5139" ht="15.75" customHeight="1" s="201">
      <c r="A5139" s="1" t="inlineStr">
        <is>
          <t>Pineapple juice, frozen concentrate, unsweetened, undiluted</t>
        </is>
      </c>
      <c r="C5139" s="1" t="n">
        <v>44.3</v>
      </c>
      <c r="D5139" s="1" t="n">
        <v>37</v>
      </c>
      <c r="E5139" s="1" t="n">
        <v>0.9</v>
      </c>
      <c r="F5139" s="1" t="n">
        <v>1.3</v>
      </c>
      <c r="G5139" s="1" t="n">
        <v>0.1</v>
      </c>
      <c r="H5139" s="1" t="n">
        <v>50</v>
      </c>
      <c r="I5139" s="1" t="n">
        <v>0.4</v>
      </c>
      <c r="J5139" t="n">
        <v>64100110</v>
      </c>
    </row>
    <row r="5140" ht="15.75" customHeight="1" s="201">
      <c r="A5140" s="1" t="inlineStr">
        <is>
          <t>Pineapple, canned, extra heavy syrup pack, solids and liquids</t>
        </is>
      </c>
      <c r="C5140" s="1" t="n">
        <v>21.5</v>
      </c>
      <c r="D5140" s="1" t="n">
        <v>5</v>
      </c>
      <c r="E5140" s="1" t="n">
        <v>0.38</v>
      </c>
      <c r="F5140" s="1" t="n">
        <v>0.34</v>
      </c>
      <c r="G5140" s="1" t="n">
        <v>0.11</v>
      </c>
      <c r="H5140" s="1" t="n">
        <v>14</v>
      </c>
      <c r="I5140" s="1" t="n">
        <v>0.11</v>
      </c>
      <c r="J5140" t="n">
        <v>53109200</v>
      </c>
    </row>
    <row r="5141" ht="15.75" customHeight="1" s="201">
      <c r="A5141" s="1" t="inlineStr">
        <is>
          <t>Pineapple, canned, heavy syrup pack, solids and liquids</t>
        </is>
      </c>
      <c r="C5141" s="1" t="n">
        <v>20.2</v>
      </c>
      <c r="D5141" s="1" t="n">
        <v>5</v>
      </c>
      <c r="E5141" s="1" t="n">
        <v>0.38</v>
      </c>
      <c r="F5141" s="1" t="n">
        <v>0.35</v>
      </c>
      <c r="G5141" s="1" t="n">
        <v>0.11</v>
      </c>
      <c r="H5141" s="1" t="n">
        <v>14</v>
      </c>
      <c r="I5141" s="1" t="n">
        <v>0.12</v>
      </c>
      <c r="J5141" t="n">
        <v>53109200</v>
      </c>
    </row>
    <row r="5142" ht="15.75" customHeight="1" s="201">
      <c r="A5142" s="1" t="inlineStr">
        <is>
          <t>Pineapple, canned, juice pack, drained</t>
        </is>
      </c>
      <c r="C5142" s="1" t="n">
        <v>15.56</v>
      </c>
      <c r="D5142" s="1" t="n">
        <v>5</v>
      </c>
      <c r="E5142" s="1" t="n">
        <v>0.28</v>
      </c>
      <c r="F5142" s="1" t="n">
        <v>0.51</v>
      </c>
      <c r="G5142" s="1" t="n">
        <v>0.11</v>
      </c>
      <c r="H5142" s="1" t="n">
        <v>50</v>
      </c>
      <c r="I5142" s="1" t="n">
        <v>0.1</v>
      </c>
      <c r="J5142" t="n">
        <v>64100110</v>
      </c>
    </row>
    <row r="5143" ht="15.75" customHeight="1" s="201">
      <c r="A5143" s="1" t="inlineStr">
        <is>
          <t>Pineapple, canned, juice pack, solids and liquids</t>
        </is>
      </c>
      <c r="C5143" s="1" t="n">
        <v>15.7</v>
      </c>
      <c r="D5143" s="1" t="n">
        <v>5</v>
      </c>
      <c r="E5143" s="1" t="n">
        <v>0.28</v>
      </c>
      <c r="F5143" s="1" t="n">
        <v>0.42</v>
      </c>
      <c r="G5143" s="1" t="n">
        <v>0.08</v>
      </c>
      <c r="H5143" s="1" t="n">
        <v>38</v>
      </c>
      <c r="I5143" s="1" t="n">
        <v>0.1</v>
      </c>
      <c r="J5143" t="n">
        <v>64100110</v>
      </c>
    </row>
    <row r="5144" ht="15.75" customHeight="1" s="201">
      <c r="A5144" s="1" t="inlineStr">
        <is>
          <t>Pineapple, canned, light syrup pack, solids and liquids</t>
        </is>
      </c>
      <c r="C5144" s="1" t="n">
        <v>13.45</v>
      </c>
      <c r="D5144" s="1" t="n">
        <v>5</v>
      </c>
      <c r="E5144" s="1" t="n">
        <v>0.39</v>
      </c>
      <c r="F5144" s="1" t="n">
        <v>0.36</v>
      </c>
      <c r="G5144" s="1" t="n">
        <v>0.12</v>
      </c>
      <c r="H5144" s="1" t="n">
        <v>38</v>
      </c>
      <c r="I5144" s="1" t="n">
        <v>0.12</v>
      </c>
      <c r="J5144" t="n">
        <v>27446245</v>
      </c>
    </row>
    <row r="5145" ht="15.75" customHeight="1" s="201">
      <c r="A5145" s="1" t="inlineStr">
        <is>
          <t>Pineapple, canned, water pack, solids and liquids</t>
        </is>
      </c>
      <c r="C5145" s="1" t="n">
        <v>8.300000000000001</v>
      </c>
      <c r="D5145" s="1" t="n">
        <v>5</v>
      </c>
      <c r="E5145" s="1" t="n">
        <v>0.4</v>
      </c>
      <c r="F5145" s="1" t="n">
        <v>0.43</v>
      </c>
      <c r="G5145" s="1" t="n">
        <v>0.09</v>
      </c>
      <c r="H5145" s="1" t="n">
        <v>38</v>
      </c>
      <c r="I5145" s="1" t="n">
        <v>0.12</v>
      </c>
      <c r="J5145" t="n">
        <v>11740312</v>
      </c>
    </row>
    <row r="5146" ht="15.75" customHeight="1" s="201">
      <c r="A5146" s="1" t="inlineStr">
        <is>
          <t>Pineapple, frozen, chunks, sweetened</t>
        </is>
      </c>
      <c r="C5146" s="1" t="n">
        <v>22.2</v>
      </c>
      <c r="D5146" s="1" t="n">
        <v>11</v>
      </c>
      <c r="E5146" s="1" t="n">
        <v>0.4</v>
      </c>
      <c r="F5146" s="1" t="n">
        <v>0.4</v>
      </c>
      <c r="G5146" s="1" t="n">
        <v>0.1</v>
      </c>
      <c r="H5146" s="1" t="n">
        <v>30</v>
      </c>
      <c r="I5146" s="1" t="n">
        <v>0.11</v>
      </c>
      <c r="J5146" t="n">
        <v>63141010</v>
      </c>
    </row>
    <row r="5147" ht="15.75" customHeight="1" s="201">
      <c r="A5147" s="1" t="inlineStr">
        <is>
          <t>Pineapple, raw, all varieties</t>
        </is>
      </c>
      <c r="C5147" s="1" t="n">
        <v>13.12</v>
      </c>
      <c r="D5147" s="1" t="n">
        <v>18</v>
      </c>
      <c r="E5147" s="1" t="n">
        <v>0.29</v>
      </c>
      <c r="F5147" s="1" t="n">
        <v>0.54</v>
      </c>
      <c r="G5147" s="1" t="n">
        <v>0.12</v>
      </c>
      <c r="H5147" s="1" t="n">
        <v>58</v>
      </c>
      <c r="I5147" s="1" t="n">
        <v>0.12</v>
      </c>
      <c r="J5147" t="n">
        <v>63141010</v>
      </c>
    </row>
    <row r="5148" ht="15.75" customHeight="1" s="201">
      <c r="A5148" s="1" t="inlineStr">
        <is>
          <t>Pineapple, raw, extra sweet variety</t>
        </is>
      </c>
      <c r="C5148" s="1" t="n">
        <v>13.5</v>
      </c>
      <c r="D5148" s="1" t="n">
        <v>19</v>
      </c>
      <c r="E5148" s="1" t="n">
        <v>0.28</v>
      </c>
      <c r="F5148" s="1" t="n">
        <v>0.53</v>
      </c>
      <c r="G5148" s="1" t="n">
        <v>0.11</v>
      </c>
      <c r="H5148" s="1" t="n">
        <v>57</v>
      </c>
      <c r="I5148" s="1" t="n">
        <v>0.12</v>
      </c>
      <c r="J5148" t="n">
        <v>51160000</v>
      </c>
    </row>
    <row r="5149" ht="15.75" customHeight="1" s="201">
      <c r="A5149" s="1" t="inlineStr">
        <is>
          <t>Pineapple, raw, traditional varieties</t>
        </is>
      </c>
      <c r="C5149" s="1" t="n">
        <v>11.82</v>
      </c>
      <c r="D5149" s="1" t="n">
        <v>11</v>
      </c>
      <c r="E5149" s="1" t="n">
        <v>0.25</v>
      </c>
      <c r="F5149" s="1" t="n">
        <v>0.55</v>
      </c>
      <c r="G5149" s="1" t="n">
        <v>0.13</v>
      </c>
      <c r="H5149" s="1" t="n">
        <v>52</v>
      </c>
      <c r="I5149" s="1" t="n">
        <v>0.08</v>
      </c>
      <c r="J5149" t="n">
        <v>63141010</v>
      </c>
    </row>
    <row r="5150" ht="15.75" customHeight="1" s="201">
      <c r="A5150" s="1" t="inlineStr">
        <is>
          <t>Pinon Nuts, roasted (Navajo)</t>
        </is>
      </c>
      <c r="C5150" s="1" t="n">
        <v>51.06</v>
      </c>
      <c r="D5150" s="1" t="n">
        <v>7</v>
      </c>
      <c r="E5150" s="1" t="n">
        <v>3.53</v>
      </c>
      <c r="F5150" s="1" t="n">
        <v>7.41</v>
      </c>
      <c r="G5150" s="1" t="n">
        <v>34.08</v>
      </c>
      <c r="I5150" s="1" t="n">
        <v>2.89</v>
      </c>
      <c r="J5150" t="n">
        <v>42110100</v>
      </c>
    </row>
    <row r="5151" ht="15.75" customHeight="1" s="201">
      <c r="A5151" s="1" t="inlineStr">
        <is>
          <t>Pitanga, (surinam-cherry), raw</t>
        </is>
      </c>
      <c r="C5151" s="1" t="n">
        <v>7.49</v>
      </c>
      <c r="E5151" s="1" t="n">
        <v>0.2</v>
      </c>
      <c r="F5151" s="1" t="n">
        <v>0.8</v>
      </c>
      <c r="G5151" s="1" t="n">
        <v>0.4</v>
      </c>
      <c r="H5151" s="1" t="n">
        <v>1500</v>
      </c>
      <c r="J5151" t="n">
        <v>92411510</v>
      </c>
    </row>
    <row r="5152" ht="15.75" customHeight="1" s="201">
      <c r="A5152" s="1" t="inlineStr">
        <is>
          <t>PIZZA HUT 12" Cheese Pizza, Hand-Tossed Crust</t>
        </is>
      </c>
      <c r="C5152" s="1" t="n">
        <v>31.22</v>
      </c>
      <c r="E5152" s="1" t="n">
        <v>1.95</v>
      </c>
      <c r="F5152" s="1" t="n">
        <v>11.93</v>
      </c>
      <c r="G5152" s="1" t="n">
        <v>10.89</v>
      </c>
      <c r="H5152" s="1" t="n">
        <v>435</v>
      </c>
      <c r="I5152" s="1" t="n">
        <v>1.65</v>
      </c>
      <c r="J5152" t="n">
        <v>58106205</v>
      </c>
    </row>
    <row r="5153" ht="15.75" customHeight="1" s="201">
      <c r="A5153" s="1" t="inlineStr">
        <is>
          <t>PIZZA HUT 12" Cheese Pizza, Pan Crust</t>
        </is>
      </c>
      <c r="C5153" s="1" t="n">
        <v>29.93</v>
      </c>
      <c r="E5153" s="1" t="n">
        <v>1.86</v>
      </c>
      <c r="F5153" s="1" t="n">
        <v>11.73</v>
      </c>
      <c r="G5153" s="1" t="n">
        <v>12.56</v>
      </c>
      <c r="H5153" s="1" t="n">
        <v>260</v>
      </c>
      <c r="I5153" s="1" t="n">
        <v>1.63</v>
      </c>
      <c r="J5153" t="n">
        <v>58106205</v>
      </c>
    </row>
    <row r="5154" ht="15.75" customHeight="1" s="201">
      <c r="A5154" s="1" t="inlineStr">
        <is>
          <t>PIZZA HUT 12" Cheese Pizza, THIN 'N CRISPY Crust</t>
        </is>
      </c>
      <c r="C5154" s="1" t="n">
        <v>28.64</v>
      </c>
      <c r="E5154" s="1" t="n">
        <v>1.71</v>
      </c>
      <c r="F5154" s="1" t="n">
        <v>15.29</v>
      </c>
      <c r="G5154" s="1" t="n">
        <v>14.1</v>
      </c>
      <c r="H5154" s="1" t="n">
        <v>374</v>
      </c>
      <c r="I5154" s="1" t="n">
        <v>1.87</v>
      </c>
      <c r="J5154" t="n">
        <v>58106205</v>
      </c>
    </row>
    <row r="5155" ht="15.75" customHeight="1" s="201">
      <c r="A5155" s="1" t="inlineStr">
        <is>
          <t>PIZZA HUT 12" Pepperoni Pizza, Hand-Tossed Crust</t>
        </is>
      </c>
      <c r="C5155" s="1" t="n">
        <v>31.55</v>
      </c>
      <c r="E5155" s="1" t="n">
        <v>2.14</v>
      </c>
      <c r="F5155" s="1" t="n">
        <v>12.86</v>
      </c>
      <c r="G5155" s="1" t="n">
        <v>11.38</v>
      </c>
      <c r="H5155" s="1" t="n">
        <v>204</v>
      </c>
      <c r="I5155" s="1" t="n">
        <v>1.68</v>
      </c>
      <c r="J5155" t="n">
        <v>58106516</v>
      </c>
    </row>
    <row r="5156" ht="15.75" customHeight="1" s="201">
      <c r="A5156" s="1" t="inlineStr">
        <is>
          <t>PIZZA HUT 12" Pepperoni Pizza, Pan Crust</t>
        </is>
      </c>
      <c r="C5156" s="1" t="n">
        <v>30.49</v>
      </c>
      <c r="E5156" s="1" t="n">
        <v>2.14</v>
      </c>
      <c r="F5156" s="1" t="n">
        <v>11.97</v>
      </c>
      <c r="G5156" s="1" t="n">
        <v>14.21</v>
      </c>
      <c r="H5156" s="1" t="n">
        <v>171</v>
      </c>
      <c r="I5156" s="1" t="n">
        <v>1.54</v>
      </c>
      <c r="J5156" t="n">
        <v>58106516</v>
      </c>
    </row>
    <row r="5157" ht="15.75" customHeight="1" s="201">
      <c r="A5157" s="1" t="inlineStr">
        <is>
          <t>PIZZA HUT 12" Super Supreme Pizza, Hand-Tossed Crust</t>
        </is>
      </c>
      <c r="C5157" s="1" t="n">
        <v>25.62</v>
      </c>
      <c r="E5157" s="1" t="n">
        <v>2</v>
      </c>
      <c r="F5157" s="1" t="n">
        <v>10.9</v>
      </c>
      <c r="G5157" s="1" t="n">
        <v>10.72</v>
      </c>
      <c r="H5157" s="1" t="n">
        <v>137</v>
      </c>
      <c r="I5157" s="1" t="n">
        <v>1.45</v>
      </c>
      <c r="J5157" t="n">
        <v>58106737</v>
      </c>
    </row>
    <row r="5158" ht="15.75" customHeight="1" s="201">
      <c r="A5158" s="1" t="inlineStr">
        <is>
          <t>PIZZA HUT 14" Cheese Pizza, Hand-Tossed Crust</t>
        </is>
      </c>
      <c r="C5158" s="1" t="n">
        <v>33.42</v>
      </c>
      <c r="D5158" s="1" t="n">
        <v>108</v>
      </c>
      <c r="E5158" s="1" t="n">
        <v>2.62</v>
      </c>
      <c r="F5158" s="1" t="n">
        <v>11.98</v>
      </c>
      <c r="G5158" s="1" t="n">
        <v>10.42</v>
      </c>
      <c r="I5158" s="1" t="n">
        <v>1.44</v>
      </c>
      <c r="J5158" t="n">
        <v>58106205</v>
      </c>
    </row>
    <row r="5159" ht="15.75" customHeight="1" s="201">
      <c r="A5159" s="1" t="inlineStr">
        <is>
          <t>PIZZA HUT 14" Cheese Pizza, Pan Crust</t>
        </is>
      </c>
      <c r="C5159" s="1" t="n">
        <v>32.85</v>
      </c>
      <c r="D5159" s="1" t="n">
        <v>106</v>
      </c>
      <c r="E5159" s="1" t="n">
        <v>2.47</v>
      </c>
      <c r="F5159" s="1" t="n">
        <v>10.85</v>
      </c>
      <c r="G5159" s="1" t="n">
        <v>11.25</v>
      </c>
      <c r="I5159" s="1" t="n">
        <v>1.31</v>
      </c>
      <c r="J5159" t="n">
        <v>58106205</v>
      </c>
    </row>
    <row r="5160" ht="15.75" customHeight="1" s="201">
      <c r="A5160" s="1" t="inlineStr">
        <is>
          <t>PIZZA HUT 14" Cheese Pizza, Stuffed Crust</t>
        </is>
      </c>
      <c r="C5160" s="1" t="n">
        <v>30</v>
      </c>
      <c r="D5160" s="1" t="n">
        <v>90</v>
      </c>
      <c r="E5160" s="1" t="n">
        <v>2.04</v>
      </c>
      <c r="F5160" s="1" t="n">
        <v>12.23</v>
      </c>
      <c r="G5160" s="1" t="n">
        <v>11.63</v>
      </c>
      <c r="H5160" s="1" t="n">
        <v>511</v>
      </c>
      <c r="I5160" s="1" t="n">
        <v>1.49</v>
      </c>
      <c r="J5160" t="n">
        <v>58106205</v>
      </c>
    </row>
    <row r="5161" ht="15.75" customHeight="1" s="201">
      <c r="A5161" s="1" t="inlineStr">
        <is>
          <t>PIZZA HUT 14" Cheese Pizza, THIN 'N CRISPY Crust</t>
        </is>
      </c>
      <c r="C5161" s="1" t="n">
        <v>34.22</v>
      </c>
      <c r="D5161" s="1" t="n">
        <v>96</v>
      </c>
      <c r="E5161" s="1" t="n">
        <v>2.52</v>
      </c>
      <c r="F5161" s="1" t="n">
        <v>13.37</v>
      </c>
      <c r="G5161" s="1" t="n">
        <v>12.8</v>
      </c>
      <c r="I5161" s="1" t="n">
        <v>1.64</v>
      </c>
      <c r="J5161" t="n">
        <v>58106205</v>
      </c>
    </row>
    <row r="5162" ht="15.75" customHeight="1" s="201">
      <c r="A5162" s="1" t="inlineStr">
        <is>
          <t>PIZZA HUT 14" Pepperoni Pizza, Hand-Tossed Crust</t>
        </is>
      </c>
      <c r="C5162" s="1" t="n">
        <v>32.11</v>
      </c>
      <c r="D5162" s="1" t="n">
        <v>112</v>
      </c>
      <c r="E5162" s="1" t="n">
        <v>2.71</v>
      </c>
      <c r="F5162" s="1" t="n">
        <v>12.23</v>
      </c>
      <c r="G5162" s="1" t="n">
        <v>12.63</v>
      </c>
      <c r="I5162" s="1" t="n">
        <v>1.49</v>
      </c>
      <c r="J5162" t="n">
        <v>58106516</v>
      </c>
    </row>
    <row r="5163" ht="15.75" customHeight="1" s="201">
      <c r="A5163" s="1" t="inlineStr">
        <is>
          <t>PIZZA HUT 14" Pepperoni Pizza, Pan Crust</t>
        </is>
      </c>
      <c r="C5163" s="1" t="n">
        <v>31.79</v>
      </c>
      <c r="D5163" s="1" t="n">
        <v>103</v>
      </c>
      <c r="E5163" s="1" t="n">
        <v>2.57</v>
      </c>
      <c r="F5163" s="1" t="n">
        <v>11.47</v>
      </c>
      <c r="G5163" s="1" t="n">
        <v>13.07</v>
      </c>
      <c r="I5163" s="1" t="n">
        <v>1.36</v>
      </c>
      <c r="J5163" t="n">
        <v>58106516</v>
      </c>
    </row>
    <row r="5164" ht="15.75" customHeight="1" s="201">
      <c r="A5164" s="1" t="inlineStr">
        <is>
          <t>PIZZA HUT 14" Pepperoni Pizza, THIN 'N CRISPY Crust</t>
        </is>
      </c>
      <c r="C5164" s="1" t="n">
        <v>32.66</v>
      </c>
      <c r="E5164" s="1" t="n">
        <v>2.78</v>
      </c>
      <c r="F5164" s="1" t="n">
        <v>14.13</v>
      </c>
      <c r="G5164" s="1" t="n">
        <v>16.17</v>
      </c>
      <c r="I5164" s="1" t="n">
        <v>1.63</v>
      </c>
      <c r="J5164" t="n">
        <v>58106516</v>
      </c>
    </row>
    <row r="5165" ht="15.75" customHeight="1" s="201">
      <c r="A5165" s="1" t="inlineStr">
        <is>
          <t>PIZZA HUT 14" Sausage Pizza, Hand-Tossed Crust</t>
        </is>
      </c>
      <c r="C5165" s="1" t="n">
        <v>29.39</v>
      </c>
      <c r="E5165" s="1" t="n">
        <v>2.45</v>
      </c>
      <c r="F5165" s="1" t="n">
        <v>11.92</v>
      </c>
      <c r="G5165" s="1" t="n">
        <v>13.5</v>
      </c>
      <c r="I5165" s="1" t="n">
        <v>1.4</v>
      </c>
      <c r="J5165" t="n">
        <v>58106205</v>
      </c>
    </row>
    <row r="5166" ht="15.75" customHeight="1" s="201">
      <c r="A5166" s="1" t="inlineStr">
        <is>
          <t>PIZZA HUT 14" Sausage Pizza, Pan Crust</t>
        </is>
      </c>
      <c r="C5166" s="1" t="n">
        <v>29.56</v>
      </c>
      <c r="E5166" s="1" t="n">
        <v>2.39</v>
      </c>
      <c r="F5166" s="1" t="n">
        <v>11.08</v>
      </c>
      <c r="G5166" s="1" t="n">
        <v>13.85</v>
      </c>
      <c r="I5166" s="1" t="n">
        <v>1.25</v>
      </c>
      <c r="J5166" t="n">
        <v>58106205</v>
      </c>
    </row>
    <row r="5167" ht="15.75" customHeight="1" s="201">
      <c r="A5167" s="1" t="inlineStr">
        <is>
          <t>PIZZA HUT 14" Sausage Pizza, THIN 'N CRISPY Crust</t>
        </is>
      </c>
      <c r="C5167" s="1" t="n">
        <v>28.7</v>
      </c>
      <c r="E5167" s="1" t="n">
        <v>2.38</v>
      </c>
      <c r="F5167" s="1" t="n">
        <v>13.95</v>
      </c>
      <c r="G5167" s="1" t="n">
        <v>16.9</v>
      </c>
      <c r="I5167" s="1" t="n">
        <v>1.54</v>
      </c>
      <c r="J5167" t="n">
        <v>58106205</v>
      </c>
    </row>
    <row r="5168" ht="15.75" customHeight="1" s="201">
      <c r="A5168" s="1" t="inlineStr">
        <is>
          <t>PIZZA HUT 14" Super Supreme Pizza, Hand-Tossed Crust</t>
        </is>
      </c>
      <c r="C5168" s="1" t="n">
        <v>26.01</v>
      </c>
      <c r="D5168" s="1" t="n">
        <v>59</v>
      </c>
      <c r="E5168" s="1" t="n">
        <v>1.53</v>
      </c>
      <c r="F5168" s="1" t="n">
        <v>11.34</v>
      </c>
      <c r="G5168" s="1" t="n">
        <v>10.95</v>
      </c>
      <c r="H5168" s="1" t="n">
        <v>156</v>
      </c>
      <c r="I5168" s="1" t="n">
        <v>1.15</v>
      </c>
      <c r="J5168" t="n">
        <v>58106737</v>
      </c>
    </row>
    <row r="5169" ht="15.75" customHeight="1" s="201">
      <c r="A5169" s="1" t="inlineStr">
        <is>
          <t>PIZZA HUT, breadstick, parmesan garlic</t>
        </is>
      </c>
      <c r="C5169" s="1" t="n">
        <v>44.48</v>
      </c>
      <c r="D5169" s="1" t="n">
        <v>147</v>
      </c>
      <c r="E5169" s="1" t="n">
        <v>4.65</v>
      </c>
      <c r="F5169" s="1" t="n">
        <v>12.2</v>
      </c>
      <c r="G5169" s="1" t="n">
        <v>12.88</v>
      </c>
      <c r="I5169" s="1" t="n">
        <v>1.02</v>
      </c>
      <c r="J5169" t="n">
        <v>51121045</v>
      </c>
    </row>
    <row r="5170" ht="15.75" customHeight="1" s="201">
      <c r="A5170" s="1" t="inlineStr">
        <is>
          <t>Pizza rolls, frozen, unprepared</t>
        </is>
      </c>
      <c r="C5170" s="1" t="n">
        <v>50.72</v>
      </c>
      <c r="D5170" s="1" t="n">
        <v>46</v>
      </c>
      <c r="E5170" s="1" t="n">
        <v>1.8</v>
      </c>
      <c r="F5170" s="1" t="n">
        <v>8.73</v>
      </c>
      <c r="G5170" s="1" t="n">
        <v>9.98</v>
      </c>
      <c r="H5170" s="1" t="n">
        <v>519</v>
      </c>
      <c r="I5170" s="1" t="n">
        <v>0.73</v>
      </c>
      <c r="J5170" t="n">
        <v>58106205</v>
      </c>
    </row>
    <row r="5171" ht="15.75" customHeight="1" s="201">
      <c r="A5171" s="1" t="inlineStr">
        <is>
          <t>Pizza, cheese topping, regular crust, frozen, cooked</t>
        </is>
      </c>
      <c r="C5171" s="1" t="n">
        <v>29.02</v>
      </c>
      <c r="D5171" s="1" t="n">
        <v>38</v>
      </c>
      <c r="E5171" s="1" t="n">
        <v>2.27</v>
      </c>
      <c r="F5171" s="1" t="n">
        <v>10.36</v>
      </c>
      <c r="G5171" s="1" t="n">
        <v>12.28</v>
      </c>
      <c r="H5171" s="1" t="n">
        <v>342</v>
      </c>
      <c r="I5171" s="1" t="n">
        <v>1.32</v>
      </c>
      <c r="J5171" t="n">
        <v>58106205</v>
      </c>
    </row>
    <row r="5172" ht="15.75" customHeight="1" s="201">
      <c r="A5172" s="1" t="inlineStr">
        <is>
          <t>Pizza, cheese topping, rising crust, frozen, cooked</t>
        </is>
      </c>
      <c r="C5172" s="1" t="n">
        <v>32.91</v>
      </c>
      <c r="D5172" s="1" t="n">
        <v>37</v>
      </c>
      <c r="E5172" s="1" t="n">
        <v>1.77</v>
      </c>
      <c r="F5172" s="1" t="n">
        <v>12.37</v>
      </c>
      <c r="G5172" s="1" t="n">
        <v>8.779999999999999</v>
      </c>
      <c r="H5172" s="1" t="n">
        <v>359</v>
      </c>
      <c r="I5172" s="1" t="n">
        <v>1.32</v>
      </c>
      <c r="J5172" t="n">
        <v>58106205</v>
      </c>
    </row>
    <row r="5173" ht="15.75" customHeight="1" s="201">
      <c r="A5173" s="1" t="inlineStr">
        <is>
          <t>Pizza, cheese topping, thin crust, frozen, cooked</t>
        </is>
      </c>
      <c r="C5173" s="1" t="n">
        <v>28.8</v>
      </c>
      <c r="D5173" s="1" t="n">
        <v>87</v>
      </c>
      <c r="E5173" s="1" t="n">
        <v>2.14</v>
      </c>
      <c r="F5173" s="1" t="n">
        <v>11.91</v>
      </c>
      <c r="G5173" s="1" t="n">
        <v>11.07</v>
      </c>
      <c r="H5173" s="1" t="n">
        <v>374</v>
      </c>
      <c r="I5173" s="1" t="n">
        <v>1.49</v>
      </c>
      <c r="J5173" t="n">
        <v>58106200</v>
      </c>
    </row>
    <row r="5174" ht="15.75" customHeight="1" s="201">
      <c r="A5174" s="1" t="inlineStr">
        <is>
          <t>Pizza, meat and vegetable topping, regular crust, frozen, cooked</t>
        </is>
      </c>
      <c r="C5174" s="1" t="n">
        <v>25.14</v>
      </c>
      <c r="D5174" s="1" t="n">
        <v>34</v>
      </c>
      <c r="E5174" s="1" t="n">
        <v>1.36</v>
      </c>
      <c r="F5174" s="1" t="n">
        <v>11.28</v>
      </c>
      <c r="G5174" s="1" t="n">
        <v>14.43</v>
      </c>
      <c r="H5174" s="1" t="n">
        <v>339</v>
      </c>
      <c r="I5174" s="1" t="n">
        <v>1.71</v>
      </c>
      <c r="J5174" t="n">
        <v>58106700</v>
      </c>
    </row>
    <row r="5175" ht="15.75" customHeight="1" s="201">
      <c r="A5175" s="1" t="inlineStr">
        <is>
          <t>Pizza, meat and vegetable topping, rising crust, frozen, cooked</t>
        </is>
      </c>
      <c r="C5175" s="1" t="n">
        <v>28.78</v>
      </c>
      <c r="D5175" s="1" t="n">
        <v>70</v>
      </c>
      <c r="E5175" s="1" t="n">
        <v>1.36</v>
      </c>
      <c r="F5175" s="1" t="n">
        <v>12.63</v>
      </c>
      <c r="G5175" s="1" t="n">
        <v>11.75</v>
      </c>
      <c r="H5175" s="1" t="n">
        <v>355</v>
      </c>
      <c r="I5175" s="1" t="n">
        <v>1.87</v>
      </c>
      <c r="J5175" t="n">
        <v>58106700</v>
      </c>
    </row>
    <row r="5176" ht="15.75" customHeight="1" s="201">
      <c r="A5176" s="1" t="inlineStr">
        <is>
          <t>Pizza, meat topping, thick crust, frozen, cooked</t>
        </is>
      </c>
      <c r="C5176" s="1" t="n">
        <v>30.76</v>
      </c>
      <c r="D5176" s="1" t="n">
        <v>101</v>
      </c>
      <c r="E5176" s="1" t="n">
        <v>1.7</v>
      </c>
      <c r="F5176" s="1" t="n">
        <v>11.76</v>
      </c>
      <c r="G5176" s="1" t="n">
        <v>11.52</v>
      </c>
      <c r="H5176" s="1" t="n">
        <v>292</v>
      </c>
      <c r="I5176" s="1" t="n">
        <v>1.36</v>
      </c>
      <c r="J5176" t="n">
        <v>58106700</v>
      </c>
    </row>
    <row r="5177" ht="15.75" customHeight="1" s="201">
      <c r="A5177" s="1" t="inlineStr">
        <is>
          <t>Pizza, pepperoni topping, regular crust, frozen, cooked</t>
        </is>
      </c>
      <c r="C5177" s="1" t="n">
        <v>24.69</v>
      </c>
      <c r="D5177" s="1" t="n">
        <v>75</v>
      </c>
      <c r="E5177" s="1" t="n">
        <v>2.43</v>
      </c>
      <c r="F5177" s="1" t="n">
        <v>14.38</v>
      </c>
      <c r="G5177" s="1" t="n">
        <v>13.13</v>
      </c>
      <c r="H5177" s="1" t="n">
        <v>229</v>
      </c>
      <c r="I5177" s="1" t="n">
        <v>1.52</v>
      </c>
      <c r="J5177" t="n">
        <v>58106516</v>
      </c>
    </row>
    <row r="5178" ht="15.75" customHeight="1" s="201">
      <c r="A5178" s="1" t="inlineStr">
        <is>
          <t>Plantains, green, boiled</t>
        </is>
      </c>
      <c r="C5178" s="1" t="n">
        <v>29.15</v>
      </c>
      <c r="D5178" s="1" t="n">
        <v>48</v>
      </c>
      <c r="E5178" s="1" t="n">
        <v>0.3</v>
      </c>
      <c r="F5178" s="1" t="n">
        <v>1.09</v>
      </c>
      <c r="G5178" s="1" t="n">
        <v>0.08</v>
      </c>
      <c r="I5178" s="1" t="n">
        <v>0.14</v>
      </c>
      <c r="J5178" t="n">
        <v>92303010</v>
      </c>
    </row>
    <row r="5179" ht="15.75" customHeight="1" s="201">
      <c r="A5179" s="1" t="inlineStr">
        <is>
          <t>Plantains, green, fried</t>
        </is>
      </c>
      <c r="C5179" s="1" t="n">
        <v>49.17</v>
      </c>
      <c r="D5179" s="1" t="n">
        <v>15</v>
      </c>
      <c r="E5179" s="1" t="n">
        <v>0.67</v>
      </c>
      <c r="F5179" s="1" t="n">
        <v>1.5</v>
      </c>
      <c r="G5179" s="1" t="n">
        <v>11.81</v>
      </c>
      <c r="H5179" s="1" t="n">
        <v>1192</v>
      </c>
      <c r="I5179" s="1" t="n">
        <v>0.23</v>
      </c>
      <c r="J5179" t="n">
        <v>74205010</v>
      </c>
    </row>
    <row r="5180" ht="15.75" customHeight="1" s="201">
      <c r="A5180" s="1" t="inlineStr">
        <is>
          <t>Plantains, green, raw</t>
        </is>
      </c>
      <c r="C5180" s="1" t="n">
        <v>36.66</v>
      </c>
      <c r="D5180" s="1" t="n">
        <v>28</v>
      </c>
      <c r="E5180" s="1" t="n">
        <v>0.75</v>
      </c>
      <c r="F5180" s="1" t="n">
        <v>1.25</v>
      </c>
      <c r="G5180" s="1" t="n">
        <v>0.07000000000000001</v>
      </c>
      <c r="I5180" s="1" t="n">
        <v>0.18</v>
      </c>
      <c r="J5180" t="n">
        <v>92303010</v>
      </c>
    </row>
    <row r="5181" ht="15.75" customHeight="1" s="201">
      <c r="A5181" s="1" t="inlineStr">
        <is>
          <t>Plantains, yellow, baked</t>
        </is>
      </c>
      <c r="C5181" s="1" t="n">
        <v>41.37</v>
      </c>
      <c r="D5181" s="1" t="n">
        <v>53</v>
      </c>
      <c r="E5181" s="1" t="n">
        <v>0.28</v>
      </c>
      <c r="F5181" s="1" t="n">
        <v>1.52</v>
      </c>
      <c r="G5181" s="1" t="n">
        <v>0.16</v>
      </c>
      <c r="H5181" s="1" t="n">
        <v>909</v>
      </c>
      <c r="I5181" s="1" t="n">
        <v>0.21</v>
      </c>
      <c r="J5181" t="n">
        <v>53109200</v>
      </c>
    </row>
    <row r="5182" ht="15.75" customHeight="1" s="201">
      <c r="A5182" s="1" t="inlineStr">
        <is>
          <t>Plantains, yellow, fried, Latino restaurant</t>
        </is>
      </c>
      <c r="C5182" s="1" t="n">
        <v>40.77</v>
      </c>
      <c r="E5182" s="1" t="n">
        <v>0.62</v>
      </c>
      <c r="F5182" s="1" t="n">
        <v>1.42</v>
      </c>
      <c r="G5182" s="1" t="n">
        <v>7.51</v>
      </c>
      <c r="H5182" s="1" t="n">
        <v>1318</v>
      </c>
      <c r="I5182" s="1" t="n">
        <v>0.24</v>
      </c>
      <c r="J5182" t="n">
        <v>53109200</v>
      </c>
    </row>
    <row r="5183" ht="15.75" customHeight="1" s="201">
      <c r="A5183" s="1" t="inlineStr">
        <is>
          <t>Plantains, yellow, raw</t>
        </is>
      </c>
      <c r="C5183" s="1" t="n">
        <v>31.89</v>
      </c>
      <c r="D5183" s="1" t="n">
        <v>22</v>
      </c>
      <c r="E5183" s="1" t="n">
        <v>0.55</v>
      </c>
      <c r="F5183" s="1" t="n">
        <v>1.3</v>
      </c>
      <c r="G5183" s="1" t="n">
        <v>0.35</v>
      </c>
      <c r="H5183" s="1" t="n">
        <v>1127</v>
      </c>
      <c r="I5183" s="1" t="n">
        <v>0.19</v>
      </c>
      <c r="J5183" t="n">
        <v>53109200</v>
      </c>
    </row>
    <row r="5184" ht="15.75" customHeight="1" s="201">
      <c r="A5184" s="1" t="inlineStr">
        <is>
          <t>Plums, canned, heavy syrup, drained</t>
        </is>
      </c>
      <c r="C5184" s="1" t="n">
        <v>23.12</v>
      </c>
      <c r="D5184" s="1" t="n">
        <v>3</v>
      </c>
      <c r="E5184" s="1" t="n">
        <v>0.84</v>
      </c>
      <c r="F5184" s="1" t="n">
        <v>0.44</v>
      </c>
      <c r="G5184" s="1" t="n">
        <v>0.14</v>
      </c>
      <c r="H5184" s="1" t="n">
        <v>399</v>
      </c>
      <c r="I5184" s="1" t="n">
        <v>0.07000000000000001</v>
      </c>
      <c r="J5184" t="n">
        <v>63311110</v>
      </c>
    </row>
    <row r="5185" ht="15.75" customHeight="1" s="201">
      <c r="A5185" s="1" t="inlineStr">
        <is>
          <t>Plums, canned, purple, extra heavy syrup pack, solids and liquids</t>
        </is>
      </c>
      <c r="C5185" s="1" t="n">
        <v>26.31</v>
      </c>
      <c r="D5185" s="1" t="n">
        <v>3</v>
      </c>
      <c r="E5185" s="1" t="n">
        <v>0.82</v>
      </c>
      <c r="F5185" s="1" t="n">
        <v>0.36</v>
      </c>
      <c r="G5185" s="1" t="n">
        <v>0.1</v>
      </c>
      <c r="H5185" s="1" t="n">
        <v>254</v>
      </c>
      <c r="I5185" s="1" t="n">
        <v>0.07000000000000001</v>
      </c>
      <c r="J5185" t="n">
        <v>53109200</v>
      </c>
    </row>
    <row r="5186" ht="15.75" customHeight="1" s="201">
      <c r="A5186" s="1" t="inlineStr">
        <is>
          <t>Plums, canned, purple, heavy syrup pack, solids and liquids</t>
        </is>
      </c>
      <c r="C5186" s="1" t="n">
        <v>23.24</v>
      </c>
      <c r="D5186" s="1" t="n">
        <v>3</v>
      </c>
      <c r="E5186" s="1" t="n">
        <v>0.84</v>
      </c>
      <c r="F5186" s="1" t="n">
        <v>0.36</v>
      </c>
      <c r="G5186" s="1" t="n">
        <v>0.1</v>
      </c>
      <c r="H5186" s="1" t="n">
        <v>259</v>
      </c>
      <c r="I5186" s="1" t="n">
        <v>0.07000000000000001</v>
      </c>
      <c r="J5186" t="n">
        <v>53109200</v>
      </c>
    </row>
    <row r="5187" ht="15.75" customHeight="1" s="201">
      <c r="A5187" s="1" t="inlineStr">
        <is>
          <t>Plums, canned, purple, juice pack, solids and liquids</t>
        </is>
      </c>
      <c r="C5187" s="1" t="n">
        <v>15.15</v>
      </c>
      <c r="D5187" s="1" t="n">
        <v>3</v>
      </c>
      <c r="E5187" s="1" t="n">
        <v>0.34</v>
      </c>
      <c r="F5187" s="1" t="n">
        <v>0.51</v>
      </c>
      <c r="G5187" s="1" t="n">
        <v>0.02</v>
      </c>
      <c r="H5187" s="1" t="n">
        <v>1009</v>
      </c>
      <c r="I5187" s="1" t="n">
        <v>0.11</v>
      </c>
      <c r="J5187" t="n">
        <v>64100110</v>
      </c>
    </row>
    <row r="5188" ht="15.75" customHeight="1" s="201">
      <c r="A5188" s="1" t="inlineStr">
        <is>
          <t>Plums, canned, purple, light syrup pack, solids and liquids</t>
        </is>
      </c>
      <c r="C5188" s="1" t="n">
        <v>16.28</v>
      </c>
      <c r="D5188" s="1" t="n">
        <v>3</v>
      </c>
      <c r="E5188" s="1" t="n">
        <v>0.86</v>
      </c>
      <c r="F5188" s="1" t="n">
        <v>0.37</v>
      </c>
      <c r="G5188" s="1" t="n">
        <v>0.1</v>
      </c>
      <c r="H5188" s="1" t="n">
        <v>231</v>
      </c>
      <c r="I5188" s="1" t="n">
        <v>0.08</v>
      </c>
      <c r="J5188" t="n">
        <v>27446245</v>
      </c>
    </row>
    <row r="5189" ht="15.75" customHeight="1" s="201">
      <c r="A5189" s="1" t="inlineStr">
        <is>
          <t>Plums, canned, purple, water pack, solids and liquids</t>
        </is>
      </c>
      <c r="C5189" s="1" t="n">
        <v>11.03</v>
      </c>
      <c r="D5189" s="1" t="n">
        <v>3</v>
      </c>
      <c r="E5189" s="1" t="n">
        <v>0.16</v>
      </c>
      <c r="F5189" s="1" t="n">
        <v>0.39</v>
      </c>
      <c r="G5189" s="1" t="n">
        <v>0.01</v>
      </c>
      <c r="H5189" s="1" t="n">
        <v>914</v>
      </c>
      <c r="I5189" s="1" t="n">
        <v>0.08</v>
      </c>
      <c r="J5189" t="n">
        <v>11740312</v>
      </c>
    </row>
    <row r="5190" ht="15.75" customHeight="1" s="201">
      <c r="A5190" s="1" t="inlineStr">
        <is>
          <t>Plums, dried (prunes), stewed, with added sugar</t>
        </is>
      </c>
      <c r="C5190" s="1" t="n">
        <v>32.88</v>
      </c>
      <c r="D5190" s="1" t="n">
        <v>0</v>
      </c>
      <c r="E5190" s="1" t="n">
        <v>1.04</v>
      </c>
      <c r="F5190" s="1" t="n">
        <v>1.09</v>
      </c>
      <c r="G5190" s="1" t="n">
        <v>0.22</v>
      </c>
      <c r="H5190" s="1" t="n">
        <v>285</v>
      </c>
      <c r="I5190" s="1" t="n">
        <v>0.22</v>
      </c>
      <c r="J5190" t="n">
        <v>75142550</v>
      </c>
    </row>
    <row r="5191" ht="15.75" customHeight="1" s="201">
      <c r="A5191" s="1" t="inlineStr">
        <is>
          <t>Plums, dried (prunes), stewed, without added sugar</t>
        </is>
      </c>
      <c r="C5191" s="1" t="n">
        <v>28.08</v>
      </c>
      <c r="D5191" s="1" t="n">
        <v>0</v>
      </c>
      <c r="E5191" s="1" t="n">
        <v>0.41</v>
      </c>
      <c r="F5191" s="1" t="n">
        <v>0.96</v>
      </c>
      <c r="G5191" s="1" t="n">
        <v>0.16</v>
      </c>
      <c r="H5191" s="1" t="n">
        <v>342</v>
      </c>
      <c r="I5191" s="1" t="n">
        <v>0.19</v>
      </c>
      <c r="J5191" t="n">
        <v>75231021</v>
      </c>
    </row>
    <row r="5192" ht="15.75" customHeight="1" s="201">
      <c r="A5192" s="1" t="inlineStr">
        <is>
          <t>Plums, dried (prunes), uncooked</t>
        </is>
      </c>
      <c r="C5192" s="1" t="n">
        <v>63.88</v>
      </c>
      <c r="D5192" s="1" t="n">
        <v>4</v>
      </c>
      <c r="E5192" s="1" t="n">
        <v>0.93</v>
      </c>
      <c r="F5192" s="1" t="n">
        <v>2.18</v>
      </c>
      <c r="G5192" s="1" t="n">
        <v>0.38</v>
      </c>
      <c r="H5192" s="1" t="n">
        <v>781</v>
      </c>
      <c r="I5192" s="1" t="n">
        <v>0.44</v>
      </c>
      <c r="J5192" t="n">
        <v>62101050</v>
      </c>
    </row>
    <row r="5193" ht="15.75" customHeight="1" s="201">
      <c r="A5193" s="1" t="inlineStr">
        <is>
          <t>Plums, raw</t>
        </is>
      </c>
      <c r="C5193" s="1" t="n">
        <v>11.42</v>
      </c>
      <c r="D5193" s="1" t="n">
        <v>5</v>
      </c>
      <c r="E5193" s="1" t="n">
        <v>0.17</v>
      </c>
      <c r="F5193" s="1" t="n">
        <v>0.7</v>
      </c>
      <c r="G5193" s="1" t="n">
        <v>0.28</v>
      </c>
      <c r="H5193" s="1" t="n">
        <v>345</v>
      </c>
      <c r="I5193" s="1" t="n">
        <v>0.1</v>
      </c>
    </row>
    <row r="5194" ht="15.75" customHeight="1" s="201">
      <c r="A5194" s="1" t="inlineStr">
        <is>
          <t>Plums, wild (Northern Plains Indians)</t>
        </is>
      </c>
      <c r="C5194" s="1" t="n">
        <v>21.95</v>
      </c>
      <c r="D5194" s="1" t="n">
        <v>1</v>
      </c>
      <c r="E5194" s="1" t="n">
        <v>0.17</v>
      </c>
      <c r="F5194" s="1" t="n">
        <v>0.43</v>
      </c>
      <c r="G5194" s="1" t="n">
        <v>0.17</v>
      </c>
      <c r="H5194" s="1" t="n">
        <v>3464</v>
      </c>
      <c r="I5194" s="1" t="n">
        <v>0.09</v>
      </c>
      <c r="J5194" t="n">
        <v>56205320</v>
      </c>
    </row>
    <row r="5195" ht="15.75" customHeight="1" s="201">
      <c r="A5195" s="1" t="inlineStr">
        <is>
          <t>Poi</t>
        </is>
      </c>
      <c r="C5195" s="1" t="n">
        <v>27.23</v>
      </c>
      <c r="D5195" s="1" t="n">
        <v>21</v>
      </c>
      <c r="E5195" s="1" t="n">
        <v>0.88</v>
      </c>
      <c r="F5195" s="1" t="n">
        <v>0.38</v>
      </c>
      <c r="G5195" s="1" t="n">
        <v>0.14</v>
      </c>
      <c r="H5195" s="1" t="n">
        <v>66</v>
      </c>
      <c r="I5195" s="1" t="n">
        <v>0.22</v>
      </c>
    </row>
    <row r="5196" ht="15.75" customHeight="1" s="201">
      <c r="A5196" s="1" t="inlineStr">
        <is>
          <t>Pokeberry shoots, (poke), cooked, boiled, drained, with salt</t>
        </is>
      </c>
      <c r="C5196" s="1" t="n">
        <v>3.1</v>
      </c>
      <c r="D5196" s="1" t="n">
        <v>9</v>
      </c>
      <c r="E5196" s="1" t="n">
        <v>1.2</v>
      </c>
      <c r="F5196" s="1" t="n">
        <v>2.3</v>
      </c>
      <c r="G5196" s="1" t="n">
        <v>0.4</v>
      </c>
      <c r="H5196" s="1" t="n">
        <v>8700</v>
      </c>
      <c r="I5196" s="1" t="n">
        <v>0.19</v>
      </c>
      <c r="J5196" t="n">
        <v>75142550</v>
      </c>
    </row>
    <row r="5197" ht="15.75" customHeight="1" s="201">
      <c r="A5197" s="1" t="inlineStr">
        <is>
          <t>Pokeberry shoots, (poke), cooked, boiled, drained, without salt</t>
        </is>
      </c>
      <c r="C5197" s="1" t="n">
        <v>3.1</v>
      </c>
      <c r="D5197" s="1" t="n">
        <v>9</v>
      </c>
      <c r="E5197" s="1" t="n">
        <v>1.2</v>
      </c>
      <c r="F5197" s="1" t="n">
        <v>2.3</v>
      </c>
      <c r="G5197" s="1" t="n">
        <v>0.4</v>
      </c>
      <c r="H5197" s="1" t="n">
        <v>8700</v>
      </c>
      <c r="I5197" s="1" t="n">
        <v>0.19</v>
      </c>
      <c r="J5197" t="n">
        <v>31103010</v>
      </c>
    </row>
    <row r="5198" ht="15.75" customHeight="1" s="201">
      <c r="A5198" s="1" t="inlineStr">
        <is>
          <t>Pokeberry shoots, (poke), raw</t>
        </is>
      </c>
      <c r="C5198" s="1" t="n">
        <v>3.7</v>
      </c>
      <c r="D5198" s="1" t="n">
        <v>16</v>
      </c>
      <c r="E5198" s="1" t="n">
        <v>1.7</v>
      </c>
      <c r="F5198" s="1" t="n">
        <v>2.6</v>
      </c>
      <c r="G5198" s="1" t="n">
        <v>0.4</v>
      </c>
      <c r="H5198" s="1" t="n">
        <v>8700</v>
      </c>
      <c r="I5198" s="1" t="n">
        <v>0.24</v>
      </c>
    </row>
    <row r="5199" ht="15.75" customHeight="1" s="201">
      <c r="A5199" s="1" t="inlineStr">
        <is>
          <t>Polish sausage, pork</t>
        </is>
      </c>
      <c r="C5199" s="1" t="n">
        <v>1.63</v>
      </c>
      <c r="D5199" s="1" t="n">
        <v>2</v>
      </c>
      <c r="E5199" s="1" t="n">
        <v>1.44</v>
      </c>
      <c r="F5199" s="1" t="n">
        <v>14.1</v>
      </c>
      <c r="G5199" s="1" t="n">
        <v>28.72</v>
      </c>
      <c r="H5199" s="1" t="n">
        <v>0</v>
      </c>
      <c r="I5199" s="1" t="n">
        <v>1.93</v>
      </c>
      <c r="J5199" t="n">
        <v>25221405</v>
      </c>
    </row>
    <row r="5200" ht="15.75" customHeight="1" s="201">
      <c r="A5200" s="1" t="inlineStr">
        <is>
          <t>Pomegranate juice, bottled</t>
        </is>
      </c>
      <c r="C5200" s="1" t="n">
        <v>13.13</v>
      </c>
      <c r="D5200" s="1" t="n">
        <v>24</v>
      </c>
      <c r="E5200" s="1" t="n">
        <v>0.1</v>
      </c>
      <c r="F5200" s="1" t="n">
        <v>0.15</v>
      </c>
      <c r="G5200" s="1" t="n">
        <v>0.29</v>
      </c>
      <c r="H5200" s="1" t="n">
        <v>0</v>
      </c>
      <c r="I5200" s="1" t="n">
        <v>0.09</v>
      </c>
      <c r="J5200" t="n">
        <v>64100110</v>
      </c>
    </row>
    <row r="5201" ht="15.75" customHeight="1" s="201">
      <c r="A5201" s="1" t="inlineStr">
        <is>
          <t>Pomegranates, raw</t>
        </is>
      </c>
      <c r="C5201" s="1" t="n">
        <v>18.7</v>
      </c>
      <c r="D5201" s="1" t="n">
        <v>38</v>
      </c>
      <c r="E5201" s="1" t="n">
        <v>0.3</v>
      </c>
      <c r="F5201" s="1" t="n">
        <v>1.67</v>
      </c>
      <c r="G5201" s="1" t="n">
        <v>1.17</v>
      </c>
      <c r="H5201" s="1" t="n">
        <v>0</v>
      </c>
      <c r="I5201" s="1" t="n">
        <v>0.35</v>
      </c>
    </row>
    <row r="5202" ht="15.75" customHeight="1" s="201">
      <c r="A5202" s="1" t="inlineStr">
        <is>
          <t>Popcorn, microwave, low fat and sodium</t>
        </is>
      </c>
      <c r="C5202" s="1" t="n">
        <v>73.39</v>
      </c>
      <c r="D5202" s="1" t="n">
        <v>17</v>
      </c>
      <c r="E5202" s="1" t="n">
        <v>2.28</v>
      </c>
      <c r="F5202" s="1" t="n">
        <v>12.6</v>
      </c>
      <c r="G5202" s="1" t="n">
        <v>9.5</v>
      </c>
      <c r="H5202" s="1" t="n">
        <v>147</v>
      </c>
      <c r="I5202" s="1" t="n">
        <v>3.83</v>
      </c>
      <c r="J5202" t="n">
        <v>54204030</v>
      </c>
    </row>
    <row r="5203" ht="15.75" customHeight="1" s="201">
      <c r="A5203" s="1" t="inlineStr">
        <is>
          <t>Popcorn, microwave, regular (butter) flavor, made with palm oil</t>
        </is>
      </c>
      <c r="C5203" s="1" t="n">
        <v>57.26</v>
      </c>
      <c r="D5203" s="1" t="n">
        <v>15</v>
      </c>
      <c r="E5203" s="1" t="n">
        <v>2.06</v>
      </c>
      <c r="F5203" s="1" t="n">
        <v>8.380000000000001</v>
      </c>
      <c r="G5203" s="1" t="n">
        <v>30.22</v>
      </c>
      <c r="H5203" s="1" t="n">
        <v>182</v>
      </c>
      <c r="I5203" s="1" t="n">
        <v>2.32</v>
      </c>
      <c r="J5203" t="n">
        <v>75142550</v>
      </c>
    </row>
    <row r="5204" ht="15.75" customHeight="1" s="201">
      <c r="A5204" s="1" t="inlineStr">
        <is>
          <t>Popcorn, sugar syrup/caramel, fat-free</t>
        </is>
      </c>
      <c r="C5204" s="1" t="n">
        <v>90.06</v>
      </c>
      <c r="D5204" s="1" t="n">
        <v>4</v>
      </c>
      <c r="E5204" s="1" t="n">
        <v>0.8</v>
      </c>
      <c r="F5204" s="1" t="n">
        <v>2</v>
      </c>
      <c r="G5204" s="1" t="n">
        <v>1.4</v>
      </c>
      <c r="H5204" s="1" t="n">
        <v>33</v>
      </c>
      <c r="I5204" s="1" t="n">
        <v>0.62</v>
      </c>
      <c r="J5204" t="n">
        <v>27446260</v>
      </c>
    </row>
    <row r="5205" ht="15.75" customHeight="1" s="201">
      <c r="A5205" s="1" t="inlineStr">
        <is>
          <t>POPEYES, biscuit</t>
        </is>
      </c>
      <c r="C5205" s="1" t="n">
        <v>40.95</v>
      </c>
      <c r="D5205" s="1" t="n">
        <v>91</v>
      </c>
      <c r="E5205" s="1" t="n">
        <v>2.51</v>
      </c>
      <c r="F5205" s="1" t="n">
        <v>6</v>
      </c>
      <c r="G5205" s="1" t="n">
        <v>23.71</v>
      </c>
      <c r="H5205" s="1" t="n">
        <v>212</v>
      </c>
      <c r="I5205" s="1" t="n">
        <v>0.49</v>
      </c>
      <c r="J5205" t="n">
        <v>27515080</v>
      </c>
    </row>
    <row r="5206" ht="15.75" customHeight="1" s="201">
      <c r="A5206" s="1" t="inlineStr">
        <is>
          <t>POPEYES, Coleslaw</t>
        </is>
      </c>
      <c r="C5206" s="1" t="n">
        <v>14.12</v>
      </c>
      <c r="E5206" s="1" t="n">
        <v>0.23</v>
      </c>
      <c r="F5206" s="1" t="n">
        <v>0.98</v>
      </c>
      <c r="G5206" s="1" t="n">
        <v>11.18</v>
      </c>
      <c r="H5206" s="1" t="n">
        <v>185</v>
      </c>
      <c r="I5206" s="1" t="n">
        <v>0.12</v>
      </c>
      <c r="J5206" t="n">
        <v>75141000</v>
      </c>
    </row>
    <row r="5207" ht="15.75" customHeight="1" s="201">
      <c r="A5207" s="1" t="inlineStr">
        <is>
          <t>POPEYES, Fried Chicken, Mild, Breast, meat and skin with breading</t>
        </is>
      </c>
      <c r="C5207" s="1" t="n">
        <v>9.83</v>
      </c>
      <c r="E5207" s="1" t="n">
        <v>0.74</v>
      </c>
      <c r="F5207" s="1" t="n">
        <v>21.67</v>
      </c>
      <c r="G5207" s="1" t="n">
        <v>16.47</v>
      </c>
      <c r="H5207" s="1" t="n">
        <v>53</v>
      </c>
      <c r="I5207" s="1" t="n">
        <v>0.76</v>
      </c>
      <c r="J5207" t="n">
        <v>27246505</v>
      </c>
    </row>
    <row r="5208" ht="15.75" customHeight="1" s="201">
      <c r="A5208" s="1" t="inlineStr">
        <is>
          <t>POPEYES, Fried Chicken, Mild, Breast, meat only, skin and breading removed</t>
        </is>
      </c>
      <c r="C5208" s="1" t="n">
        <v>0</v>
      </c>
      <c r="E5208" s="1" t="n">
        <v>0.55</v>
      </c>
      <c r="F5208" s="1" t="n">
        <v>28.98</v>
      </c>
      <c r="G5208" s="1" t="n">
        <v>4.52</v>
      </c>
      <c r="H5208" s="1" t="n">
        <v>12</v>
      </c>
      <c r="I5208" s="1" t="n">
        <v>0.97</v>
      </c>
      <c r="J5208" t="n">
        <v>28141010</v>
      </c>
    </row>
    <row r="5209" ht="15.75" customHeight="1" s="201">
      <c r="A5209" s="1" t="inlineStr">
        <is>
          <t>POPEYES, Fried Chicken, Mild, Drumstick, meat and skin with breading</t>
        </is>
      </c>
      <c r="C5209" s="1" t="n">
        <v>9.84</v>
      </c>
      <c r="E5209" s="1" t="n">
        <v>1.06</v>
      </c>
      <c r="F5209" s="1" t="n">
        <v>20.44</v>
      </c>
      <c r="G5209" s="1" t="n">
        <v>19.14</v>
      </c>
      <c r="I5209" s="1" t="n">
        <v>1.76</v>
      </c>
      <c r="J5209" t="n">
        <v>27246505</v>
      </c>
    </row>
    <row r="5210" ht="15.75" customHeight="1" s="201">
      <c r="A5210" s="1" t="inlineStr">
        <is>
          <t>POPEYES, Fried Chicken, Mild, Drumstick, meat only, skin and breading removed</t>
        </is>
      </c>
      <c r="C5210" s="1" t="n">
        <v>0.04</v>
      </c>
      <c r="E5210" s="1" t="n">
        <v>1.06</v>
      </c>
      <c r="F5210" s="1" t="n">
        <v>26.51</v>
      </c>
      <c r="G5210" s="1" t="n">
        <v>7.14</v>
      </c>
      <c r="I5210" s="1" t="n">
        <v>2.59</v>
      </c>
      <c r="J5210" t="n">
        <v>28141010</v>
      </c>
    </row>
    <row r="5211" ht="15.75" customHeight="1" s="201">
      <c r="A5211" s="1" t="inlineStr">
        <is>
          <t>POPEYES, Fried Chicken, Mild, Skin and Breading</t>
        </is>
      </c>
      <c r="C5211" s="1" t="n">
        <v>21.54</v>
      </c>
      <c r="E5211" s="1" t="n">
        <v>1.73</v>
      </c>
      <c r="F5211" s="1" t="n">
        <v>13.96</v>
      </c>
      <c r="G5211" s="1" t="n">
        <v>32.32</v>
      </c>
      <c r="H5211" s="1" t="n">
        <v>84</v>
      </c>
      <c r="I5211" s="1" t="n">
        <v>0.67</v>
      </c>
      <c r="J5211" t="n">
        <v>27446320</v>
      </c>
    </row>
    <row r="5212" ht="15.75" customHeight="1" s="201">
      <c r="A5212" s="1" t="inlineStr">
        <is>
          <t>POPEYES, Fried Chicken, Mild, Thigh, meat and skin with breading</t>
        </is>
      </c>
      <c r="C5212" s="1" t="n">
        <v>11.2</v>
      </c>
      <c r="E5212" s="1" t="n">
        <v>1.38</v>
      </c>
      <c r="F5212" s="1" t="n">
        <v>19.14</v>
      </c>
      <c r="G5212" s="1" t="n">
        <v>20.99</v>
      </c>
      <c r="H5212" s="1" t="n">
        <v>64</v>
      </c>
      <c r="I5212" s="1" t="n">
        <v>1.34</v>
      </c>
      <c r="J5212" t="n">
        <v>27246505</v>
      </c>
    </row>
    <row r="5213" ht="15.75" customHeight="1" s="201">
      <c r="A5213" s="1" t="inlineStr">
        <is>
          <t>POPEYES, Fried Chicken, Mild, Thigh, meat only, skin and breading removed</t>
        </is>
      </c>
      <c r="C5213" s="1" t="n">
        <v>0.85</v>
      </c>
      <c r="E5213" s="1" t="n">
        <v>1.03</v>
      </c>
      <c r="F5213" s="1" t="n">
        <v>24.31</v>
      </c>
      <c r="G5213" s="1" t="n">
        <v>9.66</v>
      </c>
      <c r="H5213" s="1" t="n">
        <v>44</v>
      </c>
      <c r="I5213" s="1" t="n">
        <v>2.01</v>
      </c>
      <c r="J5213" t="n">
        <v>28141010</v>
      </c>
    </row>
    <row r="5214" ht="15.75" customHeight="1" s="201">
      <c r="A5214" s="1" t="inlineStr">
        <is>
          <t>POPEYES, Fried Chicken, Mild, Wing, meat and skin with breading</t>
        </is>
      </c>
      <c r="C5214" s="1" t="n">
        <v>13.52</v>
      </c>
      <c r="E5214" s="1" t="n">
        <v>1.38</v>
      </c>
      <c r="F5214" s="1" t="n">
        <v>20.4</v>
      </c>
      <c r="G5214" s="1" t="n">
        <v>22.48</v>
      </c>
      <c r="H5214" s="1" t="n">
        <v>63</v>
      </c>
      <c r="I5214" s="1" t="n">
        <v>1.25</v>
      </c>
      <c r="J5214" t="n">
        <v>27246505</v>
      </c>
    </row>
    <row r="5215" ht="15.75" customHeight="1" s="201">
      <c r="A5215" s="1" t="inlineStr">
        <is>
          <t>POPEYES, Fried Chicken, Mild, Wing, meat only, skin and breading removed</t>
        </is>
      </c>
      <c r="C5215" s="1" t="n">
        <v>2.9</v>
      </c>
      <c r="E5215" s="1" t="n">
        <v>0.92</v>
      </c>
      <c r="F5215" s="1" t="n">
        <v>28.94</v>
      </c>
      <c r="G5215" s="1" t="n">
        <v>9.42</v>
      </c>
      <c r="H5215" s="1" t="n">
        <v>35</v>
      </c>
      <c r="I5215" s="1" t="n">
        <v>2.02</v>
      </c>
      <c r="J5215" t="n">
        <v>28141010</v>
      </c>
    </row>
    <row r="5216" ht="15.75" customHeight="1" s="201">
      <c r="A5216" s="1" t="inlineStr">
        <is>
          <t>POPEYES, Mild Chicken Strips, analyzed 2006</t>
        </is>
      </c>
      <c r="C5216" s="1" t="n">
        <v>19.31</v>
      </c>
      <c r="E5216" s="1" t="n">
        <v>0.91</v>
      </c>
      <c r="F5216" s="1" t="n">
        <v>19.2</v>
      </c>
      <c r="G5216" s="1" t="n">
        <v>13.01</v>
      </c>
      <c r="I5216" s="1" t="n">
        <v>0.59</v>
      </c>
      <c r="J5216" t="n">
        <v>24198746</v>
      </c>
    </row>
    <row r="5217" ht="15.75" customHeight="1" s="201">
      <c r="A5217" s="1" t="inlineStr">
        <is>
          <t>POPEYES, Spicy Chicken Strips, analyzed 2006</t>
        </is>
      </c>
      <c r="C5217" s="1" t="n">
        <v>18.52</v>
      </c>
      <c r="E5217" s="1" t="n">
        <v>1.01</v>
      </c>
      <c r="F5217" s="1" t="n">
        <v>19.61</v>
      </c>
      <c r="G5217" s="1" t="n">
        <v>11.2</v>
      </c>
      <c r="I5217" s="1" t="n">
        <v>0.6</v>
      </c>
      <c r="J5217" t="n">
        <v>24198746</v>
      </c>
    </row>
    <row r="5218" ht="15.75" customHeight="1" s="201">
      <c r="A5218" s="1" t="inlineStr">
        <is>
          <t>Popovers, dry mix, enriched</t>
        </is>
      </c>
      <c r="C5218" s="1" t="n">
        <v>71</v>
      </c>
      <c r="D5218" s="1" t="n">
        <v>145</v>
      </c>
      <c r="E5218" s="1" t="n">
        <v>2.97</v>
      </c>
      <c r="F5218" s="1" t="n">
        <v>10.4</v>
      </c>
      <c r="G5218" s="1" t="n">
        <v>4.3</v>
      </c>
      <c r="H5218" s="1" t="n">
        <v>0</v>
      </c>
      <c r="I5218" s="1" t="n">
        <v>0.88</v>
      </c>
    </row>
    <row r="5219" ht="15.75" customHeight="1" s="201">
      <c r="A5219" s="1" t="inlineStr">
        <is>
          <t>Pork loin, fresh, backribs, bone-in, cooked-roasted, lean only</t>
        </is>
      </c>
      <c r="C5219" s="1" t="n">
        <v>0</v>
      </c>
      <c r="D5219" s="1" t="n">
        <v>0</v>
      </c>
      <c r="E5219" s="1" t="n">
        <v>0.96</v>
      </c>
      <c r="F5219" s="1" t="n">
        <v>24.15</v>
      </c>
      <c r="G5219" s="1" t="n">
        <v>17.65</v>
      </c>
      <c r="H5219" s="1" t="n">
        <v>15</v>
      </c>
      <c r="I5219" s="1" t="n">
        <v>3.24</v>
      </c>
      <c r="J5219" t="n">
        <v>22401020</v>
      </c>
    </row>
    <row r="5220" ht="15.75" customHeight="1" s="201">
      <c r="A5220" s="1" t="inlineStr">
        <is>
          <t>Pork loin, fresh, backribs, bone-in, raw, lean only</t>
        </is>
      </c>
      <c r="C5220" s="1" t="n">
        <v>0</v>
      </c>
      <c r="D5220" s="1" t="n">
        <v>0</v>
      </c>
      <c r="E5220" s="1" t="n">
        <v>0.84</v>
      </c>
      <c r="F5220" s="1" t="n">
        <v>20.85</v>
      </c>
      <c r="G5220" s="1" t="n">
        <v>9.84</v>
      </c>
      <c r="H5220" s="1" t="n">
        <v>11</v>
      </c>
      <c r="I5220" s="1" t="n">
        <v>2.73</v>
      </c>
      <c r="J5220" t="n">
        <v>22401020</v>
      </c>
    </row>
    <row r="5221" ht="15.75" customHeight="1" s="201">
      <c r="A5221" s="1" t="inlineStr">
        <is>
          <t>Pork sausage rice links, brown and serve, cooked</t>
        </is>
      </c>
      <c r="C5221" s="1" t="n">
        <v>2.36</v>
      </c>
      <c r="D5221" s="1" t="n">
        <v>6</v>
      </c>
      <c r="E5221" s="1" t="n">
        <v>1.12</v>
      </c>
      <c r="F5221" s="1" t="n">
        <v>13.7</v>
      </c>
      <c r="G5221" s="1" t="n">
        <v>37.63</v>
      </c>
      <c r="H5221" s="1" t="n">
        <v>0</v>
      </c>
      <c r="I5221" s="1" t="n">
        <v>1.45</v>
      </c>
      <c r="J5221" t="n">
        <v>25221405</v>
      </c>
    </row>
    <row r="5222" ht="15.75" customHeight="1" s="201">
      <c r="A5222" s="1" t="inlineStr">
        <is>
          <t>Pork sausage, link/patty, cooked, pan-fried</t>
        </is>
      </c>
      <c r="C5222" s="1" t="n">
        <v>1.42</v>
      </c>
      <c r="D5222" s="1" t="n">
        <v>1</v>
      </c>
      <c r="E5222" s="1" t="n">
        <v>1.2</v>
      </c>
      <c r="F5222" s="1" t="n">
        <v>18.53</v>
      </c>
      <c r="G5222" s="1" t="n">
        <v>27.25</v>
      </c>
      <c r="H5222" s="1" t="n">
        <v>93</v>
      </c>
      <c r="I5222" s="1" t="n">
        <v>2.45</v>
      </c>
      <c r="J5222" t="n">
        <v>25221405</v>
      </c>
    </row>
    <row r="5223" ht="15.75" customHeight="1" s="201">
      <c r="A5223" s="1" t="inlineStr">
        <is>
          <t>Pork sausage, link/patty, fully cooked, microwaved</t>
        </is>
      </c>
      <c r="C5223" s="1" t="n">
        <v>0.62</v>
      </c>
      <c r="D5223" s="1" t="n">
        <v>1</v>
      </c>
      <c r="E5223" s="1" t="n">
        <v>0.95</v>
      </c>
      <c r="F5223" s="1" t="n">
        <v>15.12</v>
      </c>
      <c r="G5223" s="1" t="n">
        <v>41.66</v>
      </c>
      <c r="H5223" s="1" t="n">
        <v>75</v>
      </c>
      <c r="I5223" s="1" t="n">
        <v>1.59</v>
      </c>
      <c r="J5223" t="n">
        <v>25221405</v>
      </c>
    </row>
    <row r="5224" ht="15.75" customHeight="1" s="201">
      <c r="A5224" s="1" t="inlineStr">
        <is>
          <t>Pork sausage, link/patty, fully cooked, unheated</t>
        </is>
      </c>
      <c r="C5224" s="1" t="n">
        <v>0.6899999999999999</v>
      </c>
      <c r="D5224" s="1" t="n">
        <v>0</v>
      </c>
      <c r="E5224" s="1" t="n">
        <v>0.92</v>
      </c>
      <c r="F5224" s="1" t="n">
        <v>13.46</v>
      </c>
      <c r="G5224" s="1" t="n">
        <v>37.25</v>
      </c>
      <c r="H5224" s="1" t="n">
        <v>69</v>
      </c>
      <c r="I5224" s="1" t="n">
        <v>1.45</v>
      </c>
      <c r="J5224" t="n">
        <v>25221405</v>
      </c>
    </row>
    <row r="5225" ht="15.75" customHeight="1" s="201">
      <c r="A5225" s="1" t="inlineStr">
        <is>
          <t>Pork sausage, link/patty, reduced fat, cooked, pan-fried</t>
        </is>
      </c>
      <c r="C5225" s="1" t="n">
        <v>0.15</v>
      </c>
      <c r="D5225" s="1" t="n">
        <v>1</v>
      </c>
      <c r="E5225" s="1" t="n">
        <v>1.91</v>
      </c>
      <c r="F5225" s="1" t="n">
        <v>20.94</v>
      </c>
      <c r="G5225" s="1" t="n">
        <v>20.32</v>
      </c>
      <c r="H5225" s="1" t="n">
        <v>93</v>
      </c>
      <c r="I5225" s="1" t="n">
        <v>3.14</v>
      </c>
      <c r="J5225" t="n">
        <v>25221408</v>
      </c>
    </row>
    <row r="5226" ht="15.75" customHeight="1" s="201">
      <c r="A5226" s="1" t="inlineStr">
        <is>
          <t>Pork sausage, link/patty, reduced fat, unprepared</t>
        </is>
      </c>
      <c r="C5226" s="1" t="n">
        <v>0.2</v>
      </c>
      <c r="D5226" s="1" t="n">
        <v>2</v>
      </c>
      <c r="E5226" s="1" t="n">
        <v>1.46</v>
      </c>
      <c r="F5226" s="1" t="n">
        <v>16.75</v>
      </c>
      <c r="G5226" s="1" t="n">
        <v>16.55</v>
      </c>
      <c r="H5226" s="1" t="n">
        <v>92</v>
      </c>
      <c r="I5226" s="1" t="n">
        <v>2.42</v>
      </c>
      <c r="J5226" t="n">
        <v>25221408</v>
      </c>
    </row>
    <row r="5227" ht="15.75" customHeight="1" s="201">
      <c r="A5227" s="1" t="inlineStr">
        <is>
          <t>Pork sausage, link/patty, unprepared</t>
        </is>
      </c>
      <c r="C5227" s="1" t="n">
        <v>0.93</v>
      </c>
      <c r="D5227" s="1" t="n">
        <v>2</v>
      </c>
      <c r="E5227" s="1" t="n">
        <v>1.02</v>
      </c>
      <c r="F5227" s="1" t="n">
        <v>15.39</v>
      </c>
      <c r="G5227" s="1" t="n">
        <v>24.8</v>
      </c>
      <c r="H5227" s="1" t="n">
        <v>92</v>
      </c>
      <c r="I5227" s="1" t="n">
        <v>2.01</v>
      </c>
      <c r="J5227" t="n">
        <v>25221405</v>
      </c>
    </row>
    <row r="5228" ht="15.75" customHeight="1" s="201">
      <c r="A5228" s="1" t="inlineStr">
        <is>
          <t>Pork sausage, reduced sodium, cooked</t>
        </is>
      </c>
      <c r="C5228" s="1" t="n">
        <v>8.130000000000001</v>
      </c>
      <c r="D5228" s="1" t="n">
        <v>2</v>
      </c>
      <c r="E5228" s="1" t="n">
        <v>0.85</v>
      </c>
      <c r="F5228" s="1" t="n">
        <v>9.41</v>
      </c>
      <c r="G5228" s="1" t="n">
        <v>22.35</v>
      </c>
      <c r="H5228" s="1" t="n">
        <v>29</v>
      </c>
      <c r="I5228" s="1" t="n">
        <v>1.31</v>
      </c>
      <c r="J5228" t="n">
        <v>54204030</v>
      </c>
    </row>
    <row r="5229" ht="15.75" customHeight="1" s="201">
      <c r="A5229" s="1" t="inlineStr">
        <is>
          <t>Pork, bacon, rendered fat, cooked</t>
        </is>
      </c>
      <c r="C5229" s="1" t="n">
        <v>0</v>
      </c>
      <c r="D5229" s="1" t="n">
        <v>0</v>
      </c>
      <c r="E5229" s="1" t="n">
        <v>0.13</v>
      </c>
      <c r="F5229" s="1" t="n">
        <v>0.07000000000000001</v>
      </c>
      <c r="G5229" s="1" t="n">
        <v>99.5</v>
      </c>
      <c r="H5229" s="1" t="n">
        <v>37</v>
      </c>
      <c r="I5229" s="1" t="n">
        <v>0.06</v>
      </c>
      <c r="J5229" t="n">
        <v>32202070</v>
      </c>
    </row>
    <row r="5230" ht="15.75" customHeight="1" s="201">
      <c r="A5230" s="1" t="inlineStr">
        <is>
          <t>Pork, cured, bacon, cooked, baked</t>
        </is>
      </c>
      <c r="C5230" s="1" t="n">
        <v>1.35</v>
      </c>
      <c r="D5230" s="1" t="n">
        <v>2</v>
      </c>
      <c r="E5230" s="1" t="n">
        <v>1.49</v>
      </c>
      <c r="F5230" s="1" t="n">
        <v>35.73</v>
      </c>
      <c r="G5230" s="1" t="n">
        <v>43.27</v>
      </c>
      <c r="H5230" s="1" t="n">
        <v>37</v>
      </c>
      <c r="I5230" s="1" t="n">
        <v>3.36</v>
      </c>
      <c r="J5230" t="n">
        <v>22600200</v>
      </c>
    </row>
    <row r="5231" ht="15.75" customHeight="1" s="201">
      <c r="A5231" s="1" t="inlineStr">
        <is>
          <t>Pork, cured, bacon, cooked, broiled, pan-fried or roasted, reduced sodium</t>
        </is>
      </c>
      <c r="C5231" s="1" t="n">
        <v>1.43</v>
      </c>
      <c r="D5231" s="1" t="n">
        <v>2</v>
      </c>
      <c r="E5231" s="1" t="n">
        <v>1.44</v>
      </c>
      <c r="F5231" s="1" t="n">
        <v>37.04</v>
      </c>
      <c r="G5231" s="1" t="n">
        <v>41.78</v>
      </c>
      <c r="H5231" s="1" t="n">
        <v>37</v>
      </c>
      <c r="I5231" s="1" t="n">
        <v>3.5</v>
      </c>
      <c r="J5231" t="n">
        <v>54204030</v>
      </c>
    </row>
    <row r="5232" ht="15.75" customHeight="1" s="201">
      <c r="A5232" s="1" t="inlineStr">
        <is>
          <t>Pork, cured, bacon, cooked, microwaved</t>
        </is>
      </c>
      <c r="C5232" s="1" t="n">
        <v>0.48</v>
      </c>
      <c r="E5232" s="1" t="n">
        <v>1.14</v>
      </c>
      <c r="F5232" s="1" t="n">
        <v>39.01</v>
      </c>
      <c r="G5232" s="1" t="n">
        <v>34.12</v>
      </c>
      <c r="I5232" s="1" t="n">
        <v>3.51</v>
      </c>
      <c r="J5232" t="n">
        <v>22600200</v>
      </c>
    </row>
    <row r="5233" ht="15.75" customHeight="1" s="201">
      <c r="A5233" s="1" t="inlineStr">
        <is>
          <t>Pork, cured, bacon, pre-sliced, cooked, pan-fried</t>
        </is>
      </c>
      <c r="C5233" s="1" t="n">
        <v>1.7</v>
      </c>
      <c r="D5233" s="1" t="n">
        <v>0</v>
      </c>
      <c r="E5233" s="1" t="n">
        <v>0.95</v>
      </c>
      <c r="F5233" s="1" t="n">
        <v>33.92</v>
      </c>
      <c r="G5233" s="1" t="n">
        <v>35.09</v>
      </c>
      <c r="H5233" s="1" t="n">
        <v>37</v>
      </c>
      <c r="I5233" s="1" t="n">
        <v>3.06</v>
      </c>
      <c r="J5233" t="n">
        <v>22600200</v>
      </c>
    </row>
    <row r="5234" ht="15.75" customHeight="1" s="201">
      <c r="A5234" s="1" t="inlineStr">
        <is>
          <t>Pork, cured, bacon, unprepared</t>
        </is>
      </c>
      <c r="C5234" s="1" t="n">
        <v>0</v>
      </c>
      <c r="D5234" s="1" t="n">
        <v>0</v>
      </c>
      <c r="E5234" s="1" t="n">
        <v>0.38</v>
      </c>
      <c r="F5234" s="1" t="n">
        <v>13.66</v>
      </c>
      <c r="G5234" s="1" t="n">
        <v>37.13</v>
      </c>
      <c r="H5234" s="1" t="n">
        <v>37</v>
      </c>
      <c r="I5234" s="1" t="n">
        <v>1.14</v>
      </c>
      <c r="J5234" t="n">
        <v>32202070</v>
      </c>
    </row>
    <row r="5235" ht="15.75" customHeight="1" s="201">
      <c r="A5235" s="1" t="inlineStr">
        <is>
          <t>Pork, cured, breakfast strips, raw or unheated</t>
        </is>
      </c>
      <c r="C5235" s="1" t="n">
        <v>0.7</v>
      </c>
      <c r="D5235" s="1" t="n">
        <v>3</v>
      </c>
      <c r="E5235" s="1" t="n">
        <v>0.9399999999999999</v>
      </c>
      <c r="F5235" s="1" t="n">
        <v>11.74</v>
      </c>
      <c r="G5235" s="1" t="n">
        <v>37.16</v>
      </c>
      <c r="H5235" s="1" t="n">
        <v>0</v>
      </c>
      <c r="I5235" s="1" t="n">
        <v>1.66</v>
      </c>
      <c r="J5235" t="n">
        <v>25221870</v>
      </c>
    </row>
    <row r="5236" ht="15.75" customHeight="1" s="201">
      <c r="A5236" s="1" t="inlineStr">
        <is>
          <t>Pork, cured, feet, pickled</t>
        </is>
      </c>
      <c r="C5236" s="1" t="n">
        <v>0.01</v>
      </c>
      <c r="D5236" s="1" t="n">
        <v>1</v>
      </c>
      <c r="E5236" s="1" t="n">
        <v>0.31</v>
      </c>
      <c r="F5236" s="1" t="n">
        <v>11.63</v>
      </c>
      <c r="G5236" s="1" t="n">
        <v>10.02</v>
      </c>
      <c r="H5236" s="1" t="n">
        <v>37</v>
      </c>
      <c r="I5236" s="1" t="n">
        <v>0.2</v>
      </c>
      <c r="J5236" t="n">
        <v>22707020</v>
      </c>
    </row>
    <row r="5237" ht="15.75" customHeight="1" s="201">
      <c r="A5237" s="1" t="inlineStr">
        <is>
          <t>Pork, cured, ham -- water added, rump, bone-in, separable lean and fat, heated, roasted</t>
        </is>
      </c>
      <c r="C5237" s="1" t="n">
        <v>0.99</v>
      </c>
      <c r="D5237" s="1" t="n">
        <v>4</v>
      </c>
      <c r="E5237" s="1" t="n">
        <v>0.6899999999999999</v>
      </c>
      <c r="F5237" s="1" t="n">
        <v>20.1</v>
      </c>
      <c r="G5237" s="1" t="n">
        <v>8.56</v>
      </c>
      <c r="H5237" s="1" t="n">
        <v>37</v>
      </c>
      <c r="I5237" s="1" t="n">
        <v>1.74</v>
      </c>
      <c r="J5237" t="n">
        <v>11740312</v>
      </c>
    </row>
    <row r="5238" ht="15.75" customHeight="1" s="201">
      <c r="A5238" s="1" t="inlineStr">
        <is>
          <t>Pork, cured, ham -- water added, rump, bone-in, separable lean and fat, unheated</t>
        </is>
      </c>
      <c r="C5238" s="1" t="n">
        <v>0.8</v>
      </c>
      <c r="D5238" s="1" t="n">
        <v>2</v>
      </c>
      <c r="E5238" s="1" t="n">
        <v>1.02</v>
      </c>
      <c r="F5238" s="1" t="n">
        <v>13.99</v>
      </c>
      <c r="G5238" s="1" t="n">
        <v>12.5</v>
      </c>
      <c r="H5238" s="1" t="n">
        <v>32</v>
      </c>
      <c r="I5238" s="1" t="n">
        <v>1.33</v>
      </c>
      <c r="J5238" t="n">
        <v>11740312</v>
      </c>
    </row>
    <row r="5239" ht="15.75" customHeight="1" s="201">
      <c r="A5239" s="1" t="inlineStr">
        <is>
          <t>Pork, cured, ham -- water added, rump, bone-in, separable lean only, heated, roasted</t>
        </is>
      </c>
      <c r="C5239" s="1" t="n">
        <v>0.87</v>
      </c>
      <c r="D5239" s="1" t="n">
        <v>4</v>
      </c>
      <c r="E5239" s="1" t="n">
        <v>0.71</v>
      </c>
      <c r="F5239" s="1" t="n">
        <v>21.41</v>
      </c>
      <c r="G5239" s="1" t="n">
        <v>3.56</v>
      </c>
      <c r="H5239" s="1" t="n">
        <v>37</v>
      </c>
      <c r="I5239" s="1" t="n">
        <v>1.81</v>
      </c>
      <c r="J5239" t="n">
        <v>11740312</v>
      </c>
    </row>
    <row r="5240" ht="15.75" customHeight="1" s="201">
      <c r="A5240" s="1" t="inlineStr">
        <is>
          <t>Pork, cured, ham -- water added, rump, bone-in, separable lean only, unheated</t>
        </is>
      </c>
      <c r="C5240" s="1" t="n">
        <v>0.67</v>
      </c>
      <c r="D5240" s="1" t="n">
        <v>3</v>
      </c>
      <c r="E5240" s="1" t="n">
        <v>1.13</v>
      </c>
      <c r="F5240" s="1" t="n">
        <v>15.43</v>
      </c>
      <c r="G5240" s="1" t="n">
        <v>3.48</v>
      </c>
      <c r="H5240" s="1" t="n">
        <v>29</v>
      </c>
      <c r="I5240" s="1" t="n">
        <v>1.37</v>
      </c>
      <c r="J5240" t="n">
        <v>11740312</v>
      </c>
    </row>
    <row r="5241" ht="15.75" customHeight="1" s="201">
      <c r="A5241" s="1" t="inlineStr">
        <is>
          <t>Pork, cured, ham -- water added, shank, bone-in, separable lean and fat, heated, roasted</t>
        </is>
      </c>
      <c r="C5241" s="1" t="n">
        <v>1.35</v>
      </c>
      <c r="D5241" s="1" t="n">
        <v>1</v>
      </c>
      <c r="E5241" s="1" t="n">
        <v>1.37</v>
      </c>
      <c r="F5241" s="1" t="n">
        <v>18.62</v>
      </c>
      <c r="G5241" s="1" t="n">
        <v>13.37</v>
      </c>
      <c r="H5241" s="1" t="n">
        <v>38</v>
      </c>
      <c r="I5241" s="1" t="n">
        <v>2.72</v>
      </c>
      <c r="J5241" t="n">
        <v>11740312</v>
      </c>
    </row>
    <row r="5242" ht="15.75" customHeight="1" s="201">
      <c r="A5242" s="1" t="inlineStr">
        <is>
          <t>Pork, cured, ham -- water added, shank, bone-in, separable lean and fat, unheated</t>
        </is>
      </c>
      <c r="C5242" s="1" t="n">
        <v>0.66</v>
      </c>
      <c r="D5242" s="1" t="n">
        <v>1</v>
      </c>
      <c r="E5242" s="1" t="n">
        <v>0.72</v>
      </c>
      <c r="F5242" s="1" t="n">
        <v>16.65</v>
      </c>
      <c r="G5242" s="1" t="n">
        <v>11.02</v>
      </c>
      <c r="H5242" s="1" t="n">
        <v>32</v>
      </c>
      <c r="I5242" s="1" t="n">
        <v>1.84</v>
      </c>
      <c r="J5242" t="n">
        <v>11740312</v>
      </c>
    </row>
    <row r="5243" ht="15.75" customHeight="1" s="201">
      <c r="A5243" s="1" t="inlineStr">
        <is>
          <t>Pork, cured, ham -- water added, shank, bone-in, separable lean only, heated, roasted</t>
        </is>
      </c>
      <c r="C5243" s="1" t="n">
        <v>1.2</v>
      </c>
      <c r="D5243" s="1" t="n">
        <v>1</v>
      </c>
      <c r="E5243" s="1" t="n">
        <v>1.56</v>
      </c>
      <c r="F5243" s="1" t="n">
        <v>20.92</v>
      </c>
      <c r="G5243" s="1" t="n">
        <v>4.43</v>
      </c>
      <c r="H5243" s="1" t="n">
        <v>37</v>
      </c>
      <c r="I5243" s="1" t="n">
        <v>3.09</v>
      </c>
      <c r="J5243" t="n">
        <v>11740312</v>
      </c>
    </row>
    <row r="5244" ht="15.75" customHeight="1" s="201">
      <c r="A5244" s="1" t="inlineStr">
        <is>
          <t>Pork, cured, ham -- water added, shank, bone-in, separable lean only, unheated</t>
        </is>
      </c>
      <c r="C5244" s="1" t="n">
        <v>0.71</v>
      </c>
      <c r="D5244" s="1" t="n">
        <v>1</v>
      </c>
      <c r="E5244" s="1" t="n">
        <v>0.76</v>
      </c>
      <c r="F5244" s="1" t="n">
        <v>18.65</v>
      </c>
      <c r="G5244" s="1" t="n">
        <v>1.87</v>
      </c>
      <c r="H5244" s="1" t="n">
        <v>29</v>
      </c>
      <c r="I5244" s="1" t="n">
        <v>1.99</v>
      </c>
      <c r="J5244" t="n">
        <v>11740312</v>
      </c>
    </row>
    <row r="5245" ht="15.75" customHeight="1" s="201">
      <c r="A5245" s="1" t="inlineStr">
        <is>
          <t>Pork, cured, ham -- water added, slice, bone-in, separable lean and fat, heated, pan-broil</t>
        </is>
      </c>
      <c r="C5245" s="1" t="n">
        <v>1.54</v>
      </c>
      <c r="D5245" s="1" t="n">
        <v>2</v>
      </c>
      <c r="E5245" s="1" t="n">
        <v>1.07</v>
      </c>
      <c r="F5245" s="1" t="n">
        <v>20.8</v>
      </c>
      <c r="G5245" s="1" t="n">
        <v>8.73</v>
      </c>
      <c r="H5245" s="1" t="n">
        <v>39</v>
      </c>
      <c r="I5245" s="1" t="n">
        <v>2.19</v>
      </c>
      <c r="J5245" t="n">
        <v>11740312</v>
      </c>
    </row>
    <row r="5246" ht="15.75" customHeight="1" s="201">
      <c r="A5246" s="1" t="inlineStr">
        <is>
          <t>Pork, cured, ham -- water added, slice, bone-in, separable lean and fat, unheated</t>
        </is>
      </c>
      <c r="C5246" s="1" t="n">
        <v>1.1</v>
      </c>
      <c r="D5246" s="1" t="n">
        <v>1</v>
      </c>
      <c r="E5246" s="1" t="n">
        <v>0.98</v>
      </c>
      <c r="F5246" s="1" t="n">
        <v>15.73</v>
      </c>
      <c r="G5246" s="1" t="n">
        <v>10.77</v>
      </c>
      <c r="H5246" s="1" t="n">
        <v>31</v>
      </c>
      <c r="I5246" s="1" t="n">
        <v>1.74</v>
      </c>
      <c r="J5246" t="n">
        <v>11740312</v>
      </c>
    </row>
    <row r="5247" ht="15.75" customHeight="1" s="201">
      <c r="A5247" s="1" t="inlineStr">
        <is>
          <t>Pork, cured, ham -- water added, slice, bone-in, separable lean only, heated, pan-broil</t>
        </is>
      </c>
      <c r="C5247" s="1" t="n">
        <v>1.48</v>
      </c>
      <c r="D5247" s="1" t="n">
        <v>2</v>
      </c>
      <c r="E5247" s="1" t="n">
        <v>1.12</v>
      </c>
      <c r="F5247" s="1" t="n">
        <v>22.04</v>
      </c>
      <c r="G5247" s="1" t="n">
        <v>4.3</v>
      </c>
      <c r="H5247" s="1" t="n">
        <v>38</v>
      </c>
      <c r="I5247" s="1" t="n">
        <v>2.29</v>
      </c>
      <c r="J5247" t="n">
        <v>11740312</v>
      </c>
    </row>
    <row r="5248" ht="15.75" customHeight="1" s="201">
      <c r="A5248" s="1" t="inlineStr">
        <is>
          <t>Pork, cured, ham -- water added, slice, bone-in, separable lean only, unheated</t>
        </is>
      </c>
      <c r="C5248" s="1" t="n">
        <v>1.23</v>
      </c>
      <c r="D5248" s="1" t="n">
        <v>1</v>
      </c>
      <c r="E5248" s="1" t="n">
        <v>1.08</v>
      </c>
      <c r="F5248" s="1" t="n">
        <v>17.38</v>
      </c>
      <c r="G5248" s="1" t="n">
        <v>2.29</v>
      </c>
      <c r="H5248" s="1" t="n">
        <v>28</v>
      </c>
      <c r="I5248" s="1" t="n">
        <v>1.86</v>
      </c>
      <c r="J5248" t="n">
        <v>11740312</v>
      </c>
    </row>
    <row r="5249" ht="15.75" customHeight="1" s="201">
      <c r="A5249" s="1" t="inlineStr">
        <is>
          <t>Pork, cured, ham -- water added, slice, boneless, separable lean and fat, heated, pan-broil</t>
        </is>
      </c>
      <c r="C5249" s="1" t="n">
        <v>1.72</v>
      </c>
      <c r="D5249" s="1" t="n">
        <v>1</v>
      </c>
      <c r="E5249" s="1" t="n">
        <v>0.85</v>
      </c>
      <c r="F5249" s="1" t="n">
        <v>18.62</v>
      </c>
      <c r="G5249" s="1" t="n">
        <v>5.05</v>
      </c>
      <c r="H5249" s="1" t="n">
        <v>43</v>
      </c>
      <c r="I5249" s="1" t="n">
        <v>1.93</v>
      </c>
      <c r="J5249" t="n">
        <v>11740312</v>
      </c>
    </row>
    <row r="5250" ht="15.75" customHeight="1" s="201">
      <c r="A5250" s="1" t="inlineStr">
        <is>
          <t>Pork, cured, ham -- water added, slice, boneless, separable lean only, heated, pan-broil</t>
        </is>
      </c>
      <c r="C5250" s="1" t="n">
        <v>1.75</v>
      </c>
      <c r="D5250" s="1" t="n">
        <v>1</v>
      </c>
      <c r="E5250" s="1" t="n">
        <v>0.86</v>
      </c>
      <c r="F5250" s="1" t="n">
        <v>18.82</v>
      </c>
      <c r="G5250" s="1" t="n">
        <v>4.09</v>
      </c>
      <c r="H5250" s="1" t="n">
        <v>43</v>
      </c>
      <c r="I5250" s="1" t="n">
        <v>1.94</v>
      </c>
      <c r="J5250" t="n">
        <v>11740312</v>
      </c>
    </row>
    <row r="5251" ht="15.75" customHeight="1" s="201">
      <c r="A5251" s="1" t="inlineStr">
        <is>
          <t>Pork, cured, ham -- water added, whole, boneless, separable lean and fat, heated, roasted</t>
        </is>
      </c>
      <c r="C5251" s="1" t="n">
        <v>1.54</v>
      </c>
      <c r="D5251" s="1" t="n">
        <v>1</v>
      </c>
      <c r="E5251" s="1" t="n">
        <v>0.82</v>
      </c>
      <c r="F5251" s="1" t="n">
        <v>17.77</v>
      </c>
      <c r="G5251" s="1" t="n">
        <v>5.48</v>
      </c>
      <c r="H5251" s="1" t="n">
        <v>44</v>
      </c>
      <c r="I5251" s="1" t="n">
        <v>1.8</v>
      </c>
      <c r="J5251" t="n">
        <v>11740312</v>
      </c>
    </row>
    <row r="5252" ht="15.75" customHeight="1" s="201">
      <c r="A5252" s="1" t="inlineStr">
        <is>
          <t>Pork, cured, ham -- water added, whole, boneless, separable lean and fat, unheated</t>
        </is>
      </c>
      <c r="C5252" s="1" t="n">
        <v>1.42</v>
      </c>
      <c r="D5252" s="1" t="n">
        <v>2</v>
      </c>
      <c r="E5252" s="1" t="n">
        <v>0.85</v>
      </c>
      <c r="F5252" s="1" t="n">
        <v>17.06</v>
      </c>
      <c r="G5252" s="1" t="n">
        <v>5.38</v>
      </c>
      <c r="H5252" s="1" t="n">
        <v>42</v>
      </c>
      <c r="I5252" s="1" t="n">
        <v>1.77</v>
      </c>
      <c r="J5252" t="n">
        <v>11740312</v>
      </c>
    </row>
    <row r="5253" ht="15.75" customHeight="1" s="201">
      <c r="A5253" s="1" t="inlineStr">
        <is>
          <t>Pork, cured, ham -- water added, whole, boneless, separable lean only, heated, roasted</t>
        </is>
      </c>
      <c r="C5253" s="1" t="n">
        <v>1.57</v>
      </c>
      <c r="D5253" s="1" t="n">
        <v>1</v>
      </c>
      <c r="E5253" s="1" t="n">
        <v>0.82</v>
      </c>
      <c r="F5253" s="1" t="n">
        <v>17.99</v>
      </c>
      <c r="G5253" s="1" t="n">
        <v>4.39</v>
      </c>
      <c r="H5253" s="1" t="n">
        <v>44</v>
      </c>
      <c r="I5253" s="1" t="n">
        <v>1.82</v>
      </c>
      <c r="J5253" t="n">
        <v>11740312</v>
      </c>
    </row>
    <row r="5254" ht="15.75" customHeight="1" s="201">
      <c r="A5254" s="1" t="inlineStr">
        <is>
          <t>Pork, cured, ham -- water added, whole, boneless, separable lean only, unheated</t>
        </is>
      </c>
      <c r="C5254" s="1" t="n">
        <v>1.45</v>
      </c>
      <c r="D5254" s="1" t="n">
        <v>2</v>
      </c>
      <c r="E5254" s="1" t="n">
        <v>0.86</v>
      </c>
      <c r="F5254" s="1" t="n">
        <v>17.34</v>
      </c>
      <c r="G5254" s="1" t="n">
        <v>3.97</v>
      </c>
      <c r="H5254" s="1" t="n">
        <v>42</v>
      </c>
      <c r="I5254" s="1" t="n">
        <v>1.79</v>
      </c>
      <c r="J5254" t="n">
        <v>11740312</v>
      </c>
    </row>
    <row r="5255" ht="15.75" customHeight="1" s="201">
      <c r="A5255" s="1" t="inlineStr">
        <is>
          <t>Pork, cured, ham and water product, rump, bone-in, separable lean and fat, heated, roasted</t>
        </is>
      </c>
      <c r="C5255" s="1" t="n">
        <v>1.15</v>
      </c>
      <c r="D5255" s="1" t="n">
        <v>2</v>
      </c>
      <c r="E5255" s="1" t="n">
        <v>0.82</v>
      </c>
      <c r="F5255" s="1" t="n">
        <v>19.46</v>
      </c>
      <c r="G5255" s="1" t="n">
        <v>11.48</v>
      </c>
      <c r="H5255" s="1" t="n">
        <v>38</v>
      </c>
      <c r="I5255" s="1" t="n">
        <v>1.95</v>
      </c>
      <c r="J5255" t="n">
        <v>11740312</v>
      </c>
    </row>
    <row r="5256" ht="15.75" customHeight="1" s="201">
      <c r="A5256" s="1" t="inlineStr">
        <is>
          <t>Pork, cured, ham and water product, rump, bone-in, separable lean and fat, unheated</t>
        </is>
      </c>
      <c r="C5256" s="1" t="n">
        <v>1.35</v>
      </c>
      <c r="D5256" s="1" t="n">
        <v>1</v>
      </c>
      <c r="E5256" s="1" t="n">
        <v>0.64</v>
      </c>
      <c r="F5256" s="1" t="n">
        <v>16.09</v>
      </c>
      <c r="G5256" s="1" t="n">
        <v>12.13</v>
      </c>
      <c r="H5256" s="1" t="n">
        <v>34</v>
      </c>
      <c r="I5256" s="1" t="n">
        <v>1.56</v>
      </c>
      <c r="J5256" t="n">
        <v>11740312</v>
      </c>
    </row>
    <row r="5257" ht="15.75" customHeight="1" s="201">
      <c r="A5257" s="1" t="inlineStr">
        <is>
          <t>Pork, cured, ham and water product, rump, bone-in, separable lean only, heated, roasted</t>
        </is>
      </c>
      <c r="C5257" s="1" t="n">
        <v>1.15</v>
      </c>
      <c r="D5257" s="1" t="n">
        <v>2</v>
      </c>
      <c r="E5257" s="1" t="n">
        <v>0.87</v>
      </c>
      <c r="F5257" s="1" t="n">
        <v>21.28</v>
      </c>
      <c r="G5257" s="1" t="n">
        <v>4.7</v>
      </c>
      <c r="H5257" s="1" t="n">
        <v>38</v>
      </c>
      <c r="I5257" s="1" t="n">
        <v>2.08</v>
      </c>
      <c r="J5257" t="n">
        <v>11740312</v>
      </c>
    </row>
    <row r="5258" ht="15.75" customHeight="1" s="201">
      <c r="A5258" s="1" t="inlineStr">
        <is>
          <t>Pork, cured, ham and water product, rump, bone-in, separable lean only, unheated</t>
        </is>
      </c>
      <c r="C5258" s="1" t="n">
        <v>1.24</v>
      </c>
      <c r="D5258" s="1" t="n">
        <v>2</v>
      </c>
      <c r="E5258" s="1" t="n">
        <v>0.67</v>
      </c>
      <c r="F5258" s="1" t="n">
        <v>17.93</v>
      </c>
      <c r="G5258" s="1" t="n">
        <v>3.38</v>
      </c>
      <c r="H5258" s="1" t="n">
        <v>32</v>
      </c>
      <c r="I5258" s="1" t="n">
        <v>1.65</v>
      </c>
      <c r="J5258" t="n">
        <v>11740312</v>
      </c>
    </row>
    <row r="5259" ht="15.75" customHeight="1" s="201">
      <c r="A5259" s="1" t="inlineStr">
        <is>
          <t>Pork, cured, ham and water product, shank, bone-in, separable lean and fat, heated, roasted</t>
        </is>
      </c>
      <c r="C5259" s="1" t="n">
        <v>1.42</v>
      </c>
      <c r="D5259" s="1" t="n">
        <v>1</v>
      </c>
      <c r="E5259" s="1" t="n">
        <v>1</v>
      </c>
      <c r="F5259" s="1" t="n">
        <v>18.17</v>
      </c>
      <c r="G5259" s="1" t="n">
        <v>17.29</v>
      </c>
      <c r="H5259" s="1" t="n">
        <v>38</v>
      </c>
      <c r="I5259" s="1" t="n">
        <v>2.36</v>
      </c>
      <c r="J5259" t="n">
        <v>11740312</v>
      </c>
    </row>
    <row r="5260" ht="15.75" customHeight="1" s="201">
      <c r="A5260" s="1" t="inlineStr">
        <is>
          <t>Pork, cured, ham and water product, shank, bone-in, separable lean and fat, unheated</t>
        </is>
      </c>
      <c r="C5260" s="1" t="n">
        <v>1.42</v>
      </c>
      <c r="D5260" s="1" t="n">
        <v>1</v>
      </c>
      <c r="E5260" s="1" t="n">
        <v>0.82</v>
      </c>
      <c r="F5260" s="1" t="n">
        <v>14.28</v>
      </c>
      <c r="G5260" s="1" t="n">
        <v>20</v>
      </c>
      <c r="H5260" s="1" t="n">
        <v>36</v>
      </c>
      <c r="I5260" s="1" t="n">
        <v>1.85</v>
      </c>
      <c r="J5260" t="n">
        <v>11740312</v>
      </c>
    </row>
    <row r="5261" ht="15.75" customHeight="1" s="201">
      <c r="A5261" s="1" t="inlineStr">
        <is>
          <t>Pork, cured, ham and water product, shank, bone-in, separable lean only, heated, roasted</t>
        </is>
      </c>
      <c r="C5261" s="1" t="n">
        <v>1.26</v>
      </c>
      <c r="D5261" s="1" t="n">
        <v>2</v>
      </c>
      <c r="E5261" s="1" t="n">
        <v>1.17</v>
      </c>
      <c r="F5261" s="1" t="n">
        <v>21.69</v>
      </c>
      <c r="G5261" s="1" t="n">
        <v>4.45</v>
      </c>
      <c r="H5261" s="1" t="n">
        <v>37</v>
      </c>
      <c r="I5261" s="1" t="n">
        <v>2.82</v>
      </c>
      <c r="J5261" t="n">
        <v>11740312</v>
      </c>
    </row>
    <row r="5262" ht="15.75" customHeight="1" s="201">
      <c r="A5262" s="1" t="inlineStr">
        <is>
          <t>Pork, cured, ham and water product, shank, bone-in, unheated, separable lean only</t>
        </is>
      </c>
      <c r="C5262" s="1" t="n">
        <v>1.2</v>
      </c>
      <c r="D5262" s="1" t="n">
        <v>1</v>
      </c>
      <c r="E5262" s="1" t="n">
        <v>0.97</v>
      </c>
      <c r="F5262" s="1" t="n">
        <v>17.53</v>
      </c>
      <c r="G5262" s="1" t="n">
        <v>4.18</v>
      </c>
      <c r="H5262" s="1" t="n">
        <v>32</v>
      </c>
      <c r="I5262" s="1" t="n">
        <v>2.19</v>
      </c>
      <c r="J5262" t="n">
        <v>11740312</v>
      </c>
    </row>
    <row r="5263" ht="15.75" customHeight="1" s="201">
      <c r="A5263" s="1" t="inlineStr">
        <is>
          <t>Pork, cured, ham and water product, slice, bone-in, separable lean and fat, heated, pan-broil</t>
        </is>
      </c>
      <c r="C5263" s="1" t="n">
        <v>1.41</v>
      </c>
      <c r="D5263" s="1" t="n">
        <v>2</v>
      </c>
      <c r="E5263" s="1" t="n">
        <v>0.9</v>
      </c>
      <c r="F5263" s="1" t="n">
        <v>19.85</v>
      </c>
      <c r="G5263" s="1" t="n">
        <v>7.78</v>
      </c>
      <c r="H5263" s="1" t="n">
        <v>38</v>
      </c>
      <c r="I5263" s="1" t="n">
        <v>2.16</v>
      </c>
      <c r="J5263" t="n">
        <v>11740312</v>
      </c>
    </row>
    <row r="5264" ht="15.75" customHeight="1" s="201">
      <c r="A5264" s="1" t="inlineStr">
        <is>
          <t>Pork, cured, ham and water product, slice, bone-in, separable lean and fat, unheated</t>
        </is>
      </c>
      <c r="C5264" s="1" t="n">
        <v>2.72</v>
      </c>
      <c r="D5264" s="1" t="n">
        <v>1</v>
      </c>
      <c r="E5264" s="1" t="n">
        <v>1.39</v>
      </c>
      <c r="F5264" s="1" t="n">
        <v>13.69</v>
      </c>
      <c r="G5264" s="1" t="n">
        <v>9.289999999999999</v>
      </c>
      <c r="H5264" s="1" t="n">
        <v>33</v>
      </c>
      <c r="I5264" s="1" t="n">
        <v>1.6</v>
      </c>
      <c r="J5264" t="n">
        <v>11740312</v>
      </c>
    </row>
    <row r="5265" ht="15.75" customHeight="1" s="201">
      <c r="A5265" s="1" t="inlineStr">
        <is>
          <t>Pork, cured, ham and water product, slice, bone-in, separable lean only, heated, pan-broil</t>
        </is>
      </c>
      <c r="C5265" s="1" t="n">
        <v>1.35</v>
      </c>
      <c r="D5265" s="1" t="n">
        <v>2</v>
      </c>
      <c r="E5265" s="1" t="n">
        <v>0.93</v>
      </c>
      <c r="F5265" s="1" t="n">
        <v>20.9</v>
      </c>
      <c r="G5265" s="1" t="n">
        <v>3.63</v>
      </c>
      <c r="H5265" s="1" t="n">
        <v>38</v>
      </c>
      <c r="I5265" s="1" t="n">
        <v>2.25</v>
      </c>
      <c r="J5265" t="n">
        <v>11740312</v>
      </c>
    </row>
    <row r="5266" ht="15.75" customHeight="1" s="201">
      <c r="A5266" s="1" t="inlineStr">
        <is>
          <t>Pork, cured, ham and water product, slice, bone-in, separable lean only, unheated</t>
        </is>
      </c>
      <c r="C5266" s="1" t="n">
        <v>2.82</v>
      </c>
      <c r="D5266" s="1" t="n">
        <v>1</v>
      </c>
      <c r="E5266" s="1" t="n">
        <v>1.5</v>
      </c>
      <c r="F5266" s="1" t="n">
        <v>14.47</v>
      </c>
      <c r="G5266" s="1" t="n">
        <v>3.78</v>
      </c>
      <c r="H5266" s="1" t="n">
        <v>31</v>
      </c>
      <c r="I5266" s="1" t="n">
        <v>1.66</v>
      </c>
      <c r="J5266" t="n">
        <v>11740312</v>
      </c>
    </row>
    <row r="5267" ht="15.75" customHeight="1" s="201">
      <c r="A5267" s="1" t="inlineStr">
        <is>
          <t>Pork, cured, ham and water product, slice, boneless, separable lean and fat, heated, pan-broil</t>
        </is>
      </c>
      <c r="C5267" s="1" t="n">
        <v>4.69</v>
      </c>
      <c r="D5267" s="1" t="n">
        <v>2</v>
      </c>
      <c r="E5267" s="1" t="n">
        <v>0.74</v>
      </c>
      <c r="F5267" s="1" t="n">
        <v>15.08</v>
      </c>
      <c r="G5267" s="1" t="n">
        <v>5.13</v>
      </c>
      <c r="H5267" s="1" t="n">
        <v>44</v>
      </c>
      <c r="I5267" s="1" t="n">
        <v>1.63</v>
      </c>
      <c r="J5267" t="n">
        <v>11740312</v>
      </c>
    </row>
    <row r="5268" ht="15.75" customHeight="1" s="201">
      <c r="A5268" s="1" t="inlineStr">
        <is>
          <t>Pork, cured, ham and water product, slice, boneless, separable lean only, heated, pan-broil</t>
        </is>
      </c>
      <c r="C5268" s="1" t="n">
        <v>4.69</v>
      </c>
      <c r="D5268" s="1" t="n">
        <v>3</v>
      </c>
      <c r="E5268" s="1" t="n">
        <v>0.74</v>
      </c>
      <c r="F5268" s="1" t="n">
        <v>15.09</v>
      </c>
      <c r="G5268" s="1" t="n">
        <v>5.06</v>
      </c>
      <c r="H5268" s="1" t="n">
        <v>44</v>
      </c>
      <c r="I5268" s="1" t="n">
        <v>1.64</v>
      </c>
      <c r="J5268" t="n">
        <v>11740312</v>
      </c>
    </row>
    <row r="5269" ht="15.75" customHeight="1" s="201">
      <c r="A5269" s="1" t="inlineStr">
        <is>
          <t>Pork, cured, ham and water product, whole, boneless, separable lean and fat, heated, roasted</t>
        </is>
      </c>
      <c r="C5269" s="1" t="n">
        <v>4.61</v>
      </c>
      <c r="D5269" s="1" t="n">
        <v>2</v>
      </c>
      <c r="E5269" s="1" t="n">
        <v>0.74</v>
      </c>
      <c r="F5269" s="1" t="n">
        <v>13.88</v>
      </c>
      <c r="G5269" s="1" t="n">
        <v>5.46</v>
      </c>
      <c r="H5269" s="1" t="n">
        <v>44</v>
      </c>
      <c r="I5269" s="1" t="n">
        <v>1.64</v>
      </c>
      <c r="J5269" t="n">
        <v>11740312</v>
      </c>
    </row>
    <row r="5270" ht="15.75" customHeight="1" s="201">
      <c r="A5270" s="1" t="inlineStr">
        <is>
          <t>Pork, cured, ham and water product, whole, boneless, separable lean and fat, unheated</t>
        </is>
      </c>
      <c r="C5270" s="1" t="n">
        <v>4.21</v>
      </c>
      <c r="D5270" s="1" t="n">
        <v>3</v>
      </c>
      <c r="E5270" s="1" t="n">
        <v>0.78</v>
      </c>
      <c r="F5270" s="1" t="n">
        <v>14.05</v>
      </c>
      <c r="G5270" s="1" t="n">
        <v>4.99</v>
      </c>
      <c r="H5270" s="1" t="n">
        <v>45</v>
      </c>
      <c r="I5270" s="1" t="n">
        <v>1.59</v>
      </c>
      <c r="J5270" t="n">
        <v>11740312</v>
      </c>
    </row>
    <row r="5271" ht="15.75" customHeight="1" s="201">
      <c r="A5271" s="1" t="inlineStr">
        <is>
          <t>Pork, cured, ham and water product, whole, boneless, separable lean only, heated, roasted</t>
        </is>
      </c>
      <c r="C5271" s="1" t="n">
        <v>4.61</v>
      </c>
      <c r="D5271" s="1" t="n">
        <v>2</v>
      </c>
      <c r="E5271" s="1" t="n">
        <v>0.74</v>
      </c>
      <c r="F5271" s="1" t="n">
        <v>13.88</v>
      </c>
      <c r="G5271" s="1" t="n">
        <v>5.46</v>
      </c>
      <c r="H5271" s="1" t="n">
        <v>44</v>
      </c>
      <c r="I5271" s="1" t="n">
        <v>1.64</v>
      </c>
      <c r="J5271" t="n">
        <v>11740312</v>
      </c>
    </row>
    <row r="5272" ht="15.75" customHeight="1" s="201">
      <c r="A5272" s="1" t="inlineStr">
        <is>
          <t>Pork, cured, ham and water product, whole, boneless, separable lean only, unheated</t>
        </is>
      </c>
      <c r="C5272" s="1" t="n">
        <v>4.22</v>
      </c>
      <c r="D5272" s="1" t="n">
        <v>4</v>
      </c>
      <c r="E5272" s="1" t="n">
        <v>0.78</v>
      </c>
      <c r="F5272" s="1" t="n">
        <v>14.07</v>
      </c>
      <c r="G5272" s="1" t="n">
        <v>4.86</v>
      </c>
      <c r="H5272" s="1" t="n">
        <v>45</v>
      </c>
      <c r="I5272" s="1" t="n">
        <v>1.6</v>
      </c>
      <c r="J5272" t="n">
        <v>11740312</v>
      </c>
    </row>
    <row r="5273" ht="15.75" customHeight="1" s="201">
      <c r="A5273" s="1" t="inlineStr">
        <is>
          <t>Pork, cured, ham with natural juices, rump, bone-in, separable lean and fat, heated, roasted</t>
        </is>
      </c>
      <c r="C5273" s="1" t="n">
        <v>0.6</v>
      </c>
      <c r="D5273" s="1" t="n">
        <v>1</v>
      </c>
      <c r="E5273" s="1" t="n">
        <v>0.99</v>
      </c>
      <c r="F5273" s="1" t="n">
        <v>22.47</v>
      </c>
      <c r="G5273" s="1" t="n">
        <v>9.390000000000001</v>
      </c>
      <c r="H5273" s="1" t="n">
        <v>38</v>
      </c>
      <c r="I5273" s="1" t="n">
        <v>2.35</v>
      </c>
      <c r="J5273" t="n">
        <v>75142550</v>
      </c>
    </row>
    <row r="5274" ht="15.75" customHeight="1" s="201">
      <c r="A5274" s="1" t="inlineStr">
        <is>
          <t>Pork, cured, ham with natural juices, rump, bone-in, separable lean and fat, unheated</t>
        </is>
      </c>
      <c r="C5274" s="1" t="n">
        <v>0.43</v>
      </c>
      <c r="D5274" s="1" t="n">
        <v>1</v>
      </c>
      <c r="E5274" s="1" t="n">
        <v>0.9399999999999999</v>
      </c>
      <c r="F5274" s="1" t="n">
        <v>19.7</v>
      </c>
      <c r="G5274" s="1" t="n">
        <v>13.26</v>
      </c>
      <c r="H5274" s="1" t="n">
        <v>36</v>
      </c>
      <c r="I5274" s="1" t="n">
        <v>2.15</v>
      </c>
      <c r="J5274" t="n">
        <v>75142550</v>
      </c>
    </row>
    <row r="5275" ht="15.75" customHeight="1" s="201">
      <c r="A5275" s="1" t="inlineStr">
        <is>
          <t>Pork, cured, ham with natural juices, rump, bone-in, separable lean only, heated, roasted</t>
        </is>
      </c>
      <c r="C5275" s="1" t="n">
        <v>0.48</v>
      </c>
      <c r="D5275" s="1" t="n">
        <v>1</v>
      </c>
      <c r="E5275" s="1" t="n">
        <v>1.04</v>
      </c>
      <c r="F5275" s="1" t="n">
        <v>24.14</v>
      </c>
      <c r="G5275" s="1" t="n">
        <v>4.25</v>
      </c>
      <c r="H5275" s="1" t="n">
        <v>37</v>
      </c>
      <c r="I5275" s="1" t="n">
        <v>2.5</v>
      </c>
      <c r="J5275" t="n">
        <v>75142550</v>
      </c>
    </row>
    <row r="5276" ht="15.75" customHeight="1" s="201">
      <c r="A5276" s="1" t="inlineStr">
        <is>
          <t>Pork, cured, ham with natural juices, rump, bone-in, separable lean only, unheated</t>
        </is>
      </c>
      <c r="C5276" s="1" t="n">
        <v>0.43</v>
      </c>
      <c r="D5276" s="1" t="n">
        <v>1</v>
      </c>
      <c r="E5276" s="1" t="n">
        <v>1.05</v>
      </c>
      <c r="F5276" s="1" t="n">
        <v>22.71</v>
      </c>
      <c r="G5276" s="1" t="n">
        <v>3.47</v>
      </c>
      <c r="H5276" s="1" t="n">
        <v>34</v>
      </c>
      <c r="I5276" s="1" t="n">
        <v>2.4</v>
      </c>
      <c r="J5276" t="n">
        <v>75142550</v>
      </c>
    </row>
    <row r="5277" ht="15.75" customHeight="1" s="201">
      <c r="A5277" s="1" t="inlineStr">
        <is>
          <t>Pork, cured, ham with natural juices, shank, bone-in, separable lean and fat, heated, roasted</t>
        </is>
      </c>
      <c r="C5277" s="1" t="n">
        <v>0.33</v>
      </c>
      <c r="D5277" s="1" t="n">
        <v>3</v>
      </c>
      <c r="E5277" s="1" t="n">
        <v>1.11</v>
      </c>
      <c r="F5277" s="1" t="n">
        <v>22.88</v>
      </c>
      <c r="G5277" s="1" t="n">
        <v>10.93</v>
      </c>
      <c r="H5277" s="1" t="n">
        <v>38</v>
      </c>
      <c r="I5277" s="1" t="n">
        <v>2.82</v>
      </c>
      <c r="J5277" t="n">
        <v>75142550</v>
      </c>
    </row>
    <row r="5278" ht="15.75" customHeight="1" s="201">
      <c r="A5278" s="1" t="inlineStr">
        <is>
          <t>Pork, cured, ham with natural juices, shank, bone-in, separable lean and fat, unheated</t>
        </is>
      </c>
      <c r="C5278" s="1" t="n">
        <v>0.32</v>
      </c>
      <c r="D5278" s="1" t="n">
        <v>3</v>
      </c>
      <c r="E5278" s="1" t="n">
        <v>1.01</v>
      </c>
      <c r="F5278" s="1" t="n">
        <v>22.35</v>
      </c>
      <c r="G5278" s="1" t="n">
        <v>11.11</v>
      </c>
      <c r="H5278" s="1" t="n">
        <v>35</v>
      </c>
      <c r="I5278" s="1" t="n">
        <v>2.53</v>
      </c>
      <c r="J5278" t="n">
        <v>75142550</v>
      </c>
    </row>
    <row r="5279" ht="15.75" customHeight="1" s="201">
      <c r="A5279" s="1" t="inlineStr">
        <is>
          <t>Pork, cured, ham with natural juices, shank, bone-in, separable lean only, heated, roasted</t>
        </is>
      </c>
      <c r="C5279" s="1" t="n">
        <v>0.34</v>
      </c>
      <c r="D5279" s="1" t="n">
        <v>3</v>
      </c>
      <c r="E5279" s="1" t="n">
        <v>1.2</v>
      </c>
      <c r="F5279" s="1" t="n">
        <v>24.95</v>
      </c>
      <c r="G5279" s="1" t="n">
        <v>4.97</v>
      </c>
      <c r="H5279" s="1" t="n">
        <v>37</v>
      </c>
      <c r="I5279" s="1" t="n">
        <v>3.06</v>
      </c>
      <c r="J5279" t="n">
        <v>75142550</v>
      </c>
    </row>
    <row r="5280" ht="15.75" customHeight="1" s="201">
      <c r="A5280" s="1" t="inlineStr">
        <is>
          <t>Pork, cured, ham with natural juices, shank, bone-in, separable lean only, unheated</t>
        </is>
      </c>
      <c r="C5280" s="1" t="n">
        <v>0.3</v>
      </c>
      <c r="D5280" s="1" t="n">
        <v>3</v>
      </c>
      <c r="E5280" s="1" t="n">
        <v>1.1</v>
      </c>
      <c r="F5280" s="1" t="n">
        <v>25.11</v>
      </c>
      <c r="G5280" s="1" t="n">
        <v>3.33</v>
      </c>
      <c r="H5280" s="1" t="n">
        <v>33</v>
      </c>
      <c r="I5280" s="1" t="n">
        <v>2.79</v>
      </c>
      <c r="J5280" t="n">
        <v>75142550</v>
      </c>
    </row>
    <row r="5281" ht="15.75" customHeight="1" s="201">
      <c r="A5281" s="1" t="inlineStr">
        <is>
          <t>Pork, cured, ham with natural juices, slice, bone-in, separable lean and fat, heated, pan-broil</t>
        </is>
      </c>
      <c r="C5281" s="1" t="n">
        <v>0.17</v>
      </c>
      <c r="D5281" s="1" t="n">
        <v>1</v>
      </c>
      <c r="E5281" s="1" t="n">
        <v>1.15</v>
      </c>
      <c r="F5281" s="1" t="n">
        <v>26.18</v>
      </c>
      <c r="G5281" s="1" t="n">
        <v>8.279999999999999</v>
      </c>
      <c r="H5281" s="1" t="n">
        <v>44</v>
      </c>
      <c r="I5281" s="1" t="n">
        <v>2.87</v>
      </c>
      <c r="J5281" t="n">
        <v>75142550</v>
      </c>
    </row>
    <row r="5282" ht="15.75" customHeight="1" s="201">
      <c r="A5282" s="1" t="inlineStr">
        <is>
          <t>Pork, cured, ham with natural juices, slice, bone-in, separable lean and fat, unheated</t>
        </is>
      </c>
      <c r="C5282" s="1" t="n">
        <v>0.17</v>
      </c>
      <c r="D5282" s="1" t="n">
        <v>1</v>
      </c>
      <c r="E5282" s="1" t="n">
        <v>1.05</v>
      </c>
      <c r="F5282" s="1" t="n">
        <v>22.82</v>
      </c>
      <c r="G5282" s="1" t="n">
        <v>7.4</v>
      </c>
      <c r="H5282" s="1" t="n">
        <v>39</v>
      </c>
      <c r="I5282" s="1" t="n">
        <v>2.2</v>
      </c>
      <c r="J5282" t="n">
        <v>75142550</v>
      </c>
    </row>
    <row r="5283" ht="15.75" customHeight="1" s="201">
      <c r="A5283" s="1" t="inlineStr">
        <is>
          <t>Pork, cured, ham with natural juices, slice, bone-in, separable lean only, heated, pan-broil</t>
        </is>
      </c>
      <c r="C5283" s="1" t="n">
        <v>0</v>
      </c>
      <c r="D5283" s="1" t="n">
        <v>1</v>
      </c>
      <c r="E5283" s="1" t="n">
        <v>1.2</v>
      </c>
      <c r="F5283" s="1" t="n">
        <v>27.75</v>
      </c>
      <c r="G5283" s="1" t="n">
        <v>4.38</v>
      </c>
      <c r="H5283" s="1" t="n">
        <v>45</v>
      </c>
      <c r="I5283" s="1" t="n">
        <v>3.03</v>
      </c>
      <c r="J5283" t="n">
        <v>75142550</v>
      </c>
    </row>
    <row r="5284" ht="15.75" customHeight="1" s="201">
      <c r="A5284" s="1" t="inlineStr">
        <is>
          <t>Pork, cured, ham with natural juices, slice, bone-in, separable lean only, unheated</t>
        </is>
      </c>
      <c r="C5284" s="1" t="n">
        <v>0</v>
      </c>
      <c r="D5284" s="1" t="n">
        <v>1</v>
      </c>
      <c r="E5284" s="1" t="n">
        <v>1.1</v>
      </c>
      <c r="F5284" s="1" t="n">
        <v>24.34</v>
      </c>
      <c r="G5284" s="1" t="n">
        <v>2.87</v>
      </c>
      <c r="H5284" s="1" t="n">
        <v>39</v>
      </c>
      <c r="I5284" s="1" t="n">
        <v>2.3</v>
      </c>
      <c r="J5284" t="n">
        <v>75142550</v>
      </c>
    </row>
    <row r="5285" ht="15.75" customHeight="1" s="201">
      <c r="A5285" s="1" t="inlineStr">
        <is>
          <t>Pork, cured, ham with natural juices, slice, boneless, separable lean and fat, heated, pan-broil</t>
        </is>
      </c>
      <c r="C5285" s="1" t="n">
        <v>1.04</v>
      </c>
      <c r="D5285" s="1" t="n">
        <v>1</v>
      </c>
      <c r="E5285" s="1" t="n">
        <v>0.93</v>
      </c>
      <c r="F5285" s="1" t="n">
        <v>20.89</v>
      </c>
      <c r="G5285" s="1" t="n">
        <v>3.4</v>
      </c>
      <c r="H5285" s="1" t="n">
        <v>44</v>
      </c>
      <c r="I5285" s="1" t="n">
        <v>2.13</v>
      </c>
      <c r="J5285" t="n">
        <v>75142550</v>
      </c>
    </row>
    <row r="5286" ht="15.75" customHeight="1" s="201">
      <c r="A5286" s="1" t="inlineStr">
        <is>
          <t>Pork, cured, ham with natural juices, slice, boneless, separable lean only, heated, pan-broil</t>
        </is>
      </c>
      <c r="C5286" s="1" t="n">
        <v>1.05</v>
      </c>
      <c r="D5286" s="1" t="n">
        <v>1</v>
      </c>
      <c r="E5286" s="1" t="n">
        <v>0.9399999999999999</v>
      </c>
      <c r="F5286" s="1" t="n">
        <v>20.95</v>
      </c>
      <c r="G5286" s="1" t="n">
        <v>3.16</v>
      </c>
      <c r="H5286" s="1" t="n">
        <v>44</v>
      </c>
      <c r="I5286" s="1" t="n">
        <v>2.14</v>
      </c>
      <c r="J5286" t="n">
        <v>75142550</v>
      </c>
    </row>
    <row r="5287" ht="15.75" customHeight="1" s="201">
      <c r="A5287" s="1" t="inlineStr">
        <is>
          <t>Pork, cured, ham with natural juices, spiral slice, boneless, separable lean and fat, heated, roasted</t>
        </is>
      </c>
      <c r="C5287" s="1" t="n">
        <v>1.06</v>
      </c>
      <c r="D5287" s="1" t="n">
        <v>1</v>
      </c>
      <c r="E5287" s="1" t="n">
        <v>0.83</v>
      </c>
      <c r="F5287" s="1" t="n">
        <v>22.18</v>
      </c>
      <c r="G5287" s="1" t="n">
        <v>5.1</v>
      </c>
      <c r="H5287" s="1" t="n">
        <v>43</v>
      </c>
      <c r="I5287" s="1" t="n">
        <v>1.8</v>
      </c>
      <c r="J5287" t="n">
        <v>75142550</v>
      </c>
    </row>
    <row r="5288" ht="15.75" customHeight="1" s="201">
      <c r="A5288" s="1" t="inlineStr">
        <is>
          <t>Pork, cured, ham with natural juices, spiral slice, boneless, separable lean and fat, unheated</t>
        </is>
      </c>
      <c r="C5288" s="1" t="n">
        <v>1.18</v>
      </c>
      <c r="D5288" s="1" t="n">
        <v>1</v>
      </c>
      <c r="E5288" s="1" t="n">
        <v>0.75</v>
      </c>
      <c r="F5288" s="1" t="n">
        <v>18.66</v>
      </c>
      <c r="G5288" s="1" t="n">
        <v>5.75</v>
      </c>
      <c r="H5288" s="1" t="n">
        <v>39</v>
      </c>
      <c r="I5288" s="1" t="n">
        <v>1.63</v>
      </c>
      <c r="J5288" t="n">
        <v>75142550</v>
      </c>
    </row>
    <row r="5289" ht="15.75" customHeight="1" s="201">
      <c r="A5289" s="1" t="inlineStr">
        <is>
          <t>Pork, cured, ham with natural juices, spiral slice, boneless, separable lean only, unheated</t>
        </is>
      </c>
      <c r="C5289" s="1" t="n">
        <v>1.22</v>
      </c>
      <c r="D5289" s="1" t="n">
        <v>1</v>
      </c>
      <c r="E5289" s="1" t="n">
        <v>0.76</v>
      </c>
      <c r="F5289" s="1" t="n">
        <v>19.25</v>
      </c>
      <c r="G5289" s="1" t="n">
        <v>3.26</v>
      </c>
      <c r="H5289" s="1" t="n">
        <v>39</v>
      </c>
      <c r="I5289" s="1" t="n">
        <v>1.65</v>
      </c>
      <c r="J5289" t="n">
        <v>75142550</v>
      </c>
    </row>
    <row r="5290" ht="15.75" customHeight="1" s="201">
      <c r="A5290" s="1" t="inlineStr">
        <is>
          <t>Pork, cured, ham with natural juices, spiral slice, meat only, boneless, separable lean only, heated, roasted</t>
        </is>
      </c>
      <c r="C5290" s="1" t="n">
        <v>1.08</v>
      </c>
      <c r="D5290" s="1" t="n">
        <v>1</v>
      </c>
      <c r="E5290" s="1" t="n">
        <v>0.84</v>
      </c>
      <c r="F5290" s="1" t="n">
        <v>22.56</v>
      </c>
      <c r="G5290" s="1" t="n">
        <v>3.78</v>
      </c>
      <c r="H5290" s="1" t="n">
        <v>43</v>
      </c>
      <c r="I5290" s="1" t="n">
        <v>1.82</v>
      </c>
      <c r="J5290" t="n">
        <v>75142550</v>
      </c>
    </row>
    <row r="5291" ht="15.75" customHeight="1" s="201">
      <c r="A5291" s="1" t="inlineStr">
        <is>
          <t>Pork, cured, ham with natural juices, whole, boneless, separable lean and fat, heated, roasted</t>
        </is>
      </c>
      <c r="C5291" s="1" t="n">
        <v>0.84</v>
      </c>
      <c r="D5291" s="1" t="n">
        <v>2</v>
      </c>
      <c r="E5291" s="1" t="n">
        <v>0.84</v>
      </c>
      <c r="F5291" s="1" t="n">
        <v>20.54</v>
      </c>
      <c r="G5291" s="1" t="n">
        <v>3.13</v>
      </c>
      <c r="H5291" s="1" t="n">
        <v>44</v>
      </c>
      <c r="I5291" s="1" t="n">
        <v>1.98</v>
      </c>
      <c r="J5291" t="n">
        <v>75142550</v>
      </c>
    </row>
    <row r="5292" ht="15.75" customHeight="1" s="201">
      <c r="A5292" s="1" t="inlineStr">
        <is>
          <t>Pork, cured, ham with natural juices, whole, boneless, separable lean and fat, unheated</t>
        </is>
      </c>
      <c r="C5292" s="1" t="n">
        <v>1.02</v>
      </c>
      <c r="D5292" s="1" t="n">
        <v>1</v>
      </c>
      <c r="E5292" s="1" t="n">
        <v>0.87</v>
      </c>
      <c r="F5292" s="1" t="n">
        <v>19.38</v>
      </c>
      <c r="G5292" s="1" t="n">
        <v>3.43</v>
      </c>
      <c r="H5292" s="1" t="n">
        <v>44</v>
      </c>
      <c r="I5292" s="1" t="n">
        <v>1.97</v>
      </c>
      <c r="J5292" t="n">
        <v>75142550</v>
      </c>
    </row>
    <row r="5293" ht="15.75" customHeight="1" s="201">
      <c r="A5293" s="1" t="inlineStr">
        <is>
          <t>Pork, cured, ham with natural juices, whole, boneless, separable lean only, heated, roasted</t>
        </is>
      </c>
      <c r="C5293" s="1" t="n">
        <v>0.84</v>
      </c>
      <c r="D5293" s="1" t="n">
        <v>2</v>
      </c>
      <c r="E5293" s="1" t="n">
        <v>0.85</v>
      </c>
      <c r="F5293" s="1" t="n">
        <v>20.57</v>
      </c>
      <c r="G5293" s="1" t="n">
        <v>3.01</v>
      </c>
      <c r="H5293" s="1" t="n">
        <v>44</v>
      </c>
      <c r="I5293" s="1" t="n">
        <v>1.98</v>
      </c>
      <c r="J5293" t="n">
        <v>75142550</v>
      </c>
    </row>
    <row r="5294" ht="15.75" customHeight="1" s="201">
      <c r="A5294" s="1" t="inlineStr">
        <is>
          <t>Pork, cured, ham with natural juices, whole, boneless, separable lean only, unheated</t>
        </is>
      </c>
      <c r="C5294" s="1" t="n">
        <v>1.03</v>
      </c>
      <c r="D5294" s="1" t="n">
        <v>1</v>
      </c>
      <c r="E5294" s="1" t="n">
        <v>0.87</v>
      </c>
      <c r="F5294" s="1" t="n">
        <v>19.44</v>
      </c>
      <c r="G5294" s="1" t="n">
        <v>3.21</v>
      </c>
      <c r="H5294" s="1" t="n">
        <v>44</v>
      </c>
      <c r="I5294" s="1" t="n">
        <v>1.98</v>
      </c>
      <c r="J5294" t="n">
        <v>75142550</v>
      </c>
    </row>
    <row r="5295" ht="15.75" customHeight="1" s="201">
      <c r="A5295" s="1" t="inlineStr">
        <is>
          <t>Pork, cured, ham, boneless, extra lean (approximately 5% fat), roasted</t>
        </is>
      </c>
      <c r="C5295" s="1" t="n">
        <v>1.5</v>
      </c>
      <c r="D5295" s="1" t="n">
        <v>3</v>
      </c>
      <c r="E5295" s="1" t="n">
        <v>1.48</v>
      </c>
      <c r="F5295" s="1" t="n">
        <v>20.93</v>
      </c>
      <c r="G5295" s="1" t="n">
        <v>5.53</v>
      </c>
      <c r="H5295" s="1" t="n">
        <v>0</v>
      </c>
      <c r="I5295" s="1" t="n">
        <v>2.88</v>
      </c>
      <c r="J5295" t="n">
        <v>58126280</v>
      </c>
    </row>
    <row r="5296" ht="15.75" customHeight="1" s="201">
      <c r="A5296" s="1" t="inlineStr">
        <is>
          <t>Pork, cured, ham, boneless, extra lean and regular, roasted</t>
        </is>
      </c>
      <c r="C5296" s="1" t="n">
        <v>0.5</v>
      </c>
      <c r="D5296" s="1" t="n">
        <v>3</v>
      </c>
      <c r="E5296" s="1" t="n">
        <v>1.4</v>
      </c>
      <c r="F5296" s="1" t="n">
        <v>21.97</v>
      </c>
      <c r="G5296" s="1" t="n">
        <v>7.66</v>
      </c>
      <c r="H5296" s="1" t="n">
        <v>0</v>
      </c>
      <c r="I5296" s="1" t="n">
        <v>2.63</v>
      </c>
      <c r="J5296" t="n">
        <v>25230210</v>
      </c>
    </row>
    <row r="5297" ht="15.75" customHeight="1" s="201">
      <c r="A5297" s="1" t="inlineStr">
        <is>
          <t>Pork, cured, ham, boneless, extra lean and regular, unheated</t>
        </is>
      </c>
      <c r="C5297" s="1" t="n">
        <v>2.28</v>
      </c>
      <c r="D5297" s="1" t="n">
        <v>3</v>
      </c>
      <c r="E5297" s="1" t="n">
        <v>0.9</v>
      </c>
      <c r="F5297" s="1" t="n">
        <v>18.26</v>
      </c>
      <c r="G5297" s="1" t="n">
        <v>8.390000000000001</v>
      </c>
      <c r="H5297" s="1" t="n">
        <v>0</v>
      </c>
      <c r="I5297" s="1" t="n">
        <v>2.05</v>
      </c>
      <c r="J5297" t="n">
        <v>25230210</v>
      </c>
    </row>
    <row r="5298" ht="15.75" customHeight="1" s="201">
      <c r="A5298" s="1" t="inlineStr">
        <is>
          <t>Pork, cured, ham, boneless, low sodium, extra lean (approximately 5% fat), roasted</t>
        </is>
      </c>
      <c r="C5298" s="1" t="n">
        <v>1.5</v>
      </c>
      <c r="D5298" s="1" t="n">
        <v>3</v>
      </c>
      <c r="E5298" s="1" t="n">
        <v>1.48</v>
      </c>
      <c r="F5298" s="1" t="n">
        <v>20.9</v>
      </c>
      <c r="G5298" s="1" t="n">
        <v>5.5</v>
      </c>
      <c r="H5298" s="1" t="n">
        <v>0</v>
      </c>
      <c r="I5298" s="1" t="n">
        <v>2.88</v>
      </c>
      <c r="J5298" t="n">
        <v>54204030</v>
      </c>
    </row>
    <row r="5299" ht="15.75" customHeight="1" s="201">
      <c r="A5299" s="1" t="inlineStr">
        <is>
          <t>Pork, cured, ham, boneless, low sodium, extra lean and regular, roasted</t>
        </is>
      </c>
      <c r="C5299" s="1" t="n">
        <v>0.5</v>
      </c>
      <c r="D5299" s="1" t="n">
        <v>3</v>
      </c>
      <c r="E5299" s="1" t="n">
        <v>1.4</v>
      </c>
      <c r="F5299" s="1" t="n">
        <v>22</v>
      </c>
      <c r="G5299" s="1" t="n">
        <v>7.7</v>
      </c>
      <c r="H5299" s="1" t="n">
        <v>0</v>
      </c>
      <c r="I5299" s="1" t="n">
        <v>2.63</v>
      </c>
      <c r="J5299" t="n">
        <v>54204030</v>
      </c>
    </row>
    <row r="5300" ht="15.75" customHeight="1" s="201">
      <c r="A5300" s="1" t="inlineStr">
        <is>
          <t>Pork, cured, ham, boneless, regular (approximately 11% fat), roasted</t>
        </is>
      </c>
      <c r="C5300" s="1" t="n">
        <v>0</v>
      </c>
      <c r="D5300" s="1" t="n">
        <v>3</v>
      </c>
      <c r="E5300" s="1" t="n">
        <v>1.34</v>
      </c>
      <c r="F5300" s="1" t="n">
        <v>22.62</v>
      </c>
      <c r="G5300" s="1" t="n">
        <v>9.02</v>
      </c>
      <c r="H5300" s="1" t="n">
        <v>0</v>
      </c>
      <c r="I5300" s="1" t="n">
        <v>2.47</v>
      </c>
      <c r="J5300" t="n">
        <v>27120030</v>
      </c>
    </row>
    <row r="5301" ht="15.75" customHeight="1" s="201">
      <c r="A5301" s="1" t="inlineStr">
        <is>
          <t>Pork, cured, ham, center slice, country-style, separable lean only, raw</t>
        </is>
      </c>
      <c r="C5301" s="1" t="n">
        <v>0.3</v>
      </c>
      <c r="D5301" s="1" t="n">
        <v>5</v>
      </c>
      <c r="E5301" s="1" t="n">
        <v>1.11</v>
      </c>
      <c r="F5301" s="1" t="n">
        <v>27.8</v>
      </c>
      <c r="G5301" s="1" t="n">
        <v>8.32</v>
      </c>
      <c r="H5301" s="1" t="n">
        <v>0</v>
      </c>
      <c r="I5301" s="1" t="n">
        <v>2.81</v>
      </c>
      <c r="J5301" t="n">
        <v>22311020</v>
      </c>
    </row>
    <row r="5302" ht="15.75" customHeight="1" s="201">
      <c r="A5302" s="1" t="inlineStr">
        <is>
          <t>Pork, cured, ham, center slice, separable lean and fat, unheated</t>
        </is>
      </c>
      <c r="C5302" s="1" t="n">
        <v>0.05</v>
      </c>
      <c r="D5302" s="1" t="n">
        <v>4</v>
      </c>
      <c r="E5302" s="1" t="n">
        <v>0.75</v>
      </c>
      <c r="F5302" s="1" t="n">
        <v>20.17</v>
      </c>
      <c r="G5302" s="1" t="n">
        <v>12.9</v>
      </c>
      <c r="H5302" s="1" t="n">
        <v>0</v>
      </c>
      <c r="I5302" s="1" t="n">
        <v>1.88</v>
      </c>
      <c r="J5302" t="n">
        <v>58126280</v>
      </c>
    </row>
    <row r="5303" ht="15.75" customHeight="1" s="201">
      <c r="A5303" s="1" t="inlineStr">
        <is>
          <t>Pork, cured, ham, extra lean (approximately 4% fat), canned, roasted</t>
        </is>
      </c>
      <c r="C5303" s="1" t="n">
        <v>0.52</v>
      </c>
      <c r="D5303" s="1" t="n">
        <v>5</v>
      </c>
      <c r="E5303" s="1" t="n">
        <v>0.92</v>
      </c>
      <c r="F5303" s="1" t="n">
        <v>21.16</v>
      </c>
      <c r="G5303" s="1" t="n">
        <v>4.88</v>
      </c>
      <c r="H5303" s="1" t="n">
        <v>0</v>
      </c>
      <c r="I5303" s="1" t="n">
        <v>2.23</v>
      </c>
      <c r="J5303" t="n">
        <v>58126280</v>
      </c>
    </row>
    <row r="5304" ht="15.75" customHeight="1" s="201">
      <c r="A5304" s="1" t="inlineStr">
        <is>
          <t>Pork, cured, ham, extra lean (approximately 4% fat), canned, unheated</t>
        </is>
      </c>
      <c r="C5304" s="1" t="n">
        <v>0</v>
      </c>
      <c r="D5304" s="1" t="n">
        <v>6</v>
      </c>
      <c r="E5304" s="1" t="n">
        <v>0.9399999999999999</v>
      </c>
      <c r="F5304" s="1" t="n">
        <v>18.49</v>
      </c>
      <c r="G5304" s="1" t="n">
        <v>4.56</v>
      </c>
      <c r="H5304" s="1" t="n">
        <v>0</v>
      </c>
      <c r="I5304" s="1" t="n">
        <v>1.93</v>
      </c>
      <c r="J5304" t="n">
        <v>58126280</v>
      </c>
    </row>
    <row r="5305" ht="15.75" customHeight="1" s="201">
      <c r="A5305" s="1" t="inlineStr">
        <is>
          <t>Pork, cured, ham, extra lean and regular, canned, roasted</t>
        </is>
      </c>
      <c r="C5305" s="1" t="n">
        <v>0.49</v>
      </c>
      <c r="D5305" s="1" t="n">
        <v>5</v>
      </c>
      <c r="E5305" s="1" t="n">
        <v>1.07</v>
      </c>
      <c r="F5305" s="1" t="n">
        <v>20.94</v>
      </c>
      <c r="G5305" s="1" t="n">
        <v>8.43</v>
      </c>
      <c r="H5305" s="1" t="n">
        <v>0</v>
      </c>
      <c r="I5305" s="1" t="n">
        <v>2.32</v>
      </c>
      <c r="J5305" t="n">
        <v>25230210</v>
      </c>
    </row>
    <row r="5306" ht="15.75" customHeight="1" s="201">
      <c r="A5306" s="1" t="inlineStr">
        <is>
          <t>Pork, cured, ham, extra lean and regular, canned, unheated</t>
        </is>
      </c>
      <c r="C5306" s="1" t="n">
        <v>0</v>
      </c>
      <c r="D5306" s="1" t="n">
        <v>6</v>
      </c>
      <c r="E5306" s="1" t="n">
        <v>0.9</v>
      </c>
      <c r="F5306" s="1" t="n">
        <v>17.97</v>
      </c>
      <c r="G5306" s="1" t="n">
        <v>7.46</v>
      </c>
      <c r="H5306" s="1" t="n">
        <v>0</v>
      </c>
      <c r="I5306" s="1" t="n">
        <v>1.84</v>
      </c>
      <c r="J5306" t="n">
        <v>25230210</v>
      </c>
    </row>
    <row r="5307" ht="15.75" customHeight="1" s="201">
      <c r="A5307" s="1" t="inlineStr">
        <is>
          <t>Pork, cured, ham, low sodium, lean and fat, cooked</t>
        </is>
      </c>
      <c r="C5307" s="1" t="n">
        <v>0.3</v>
      </c>
      <c r="D5307" s="1" t="n">
        <v>3</v>
      </c>
      <c r="E5307" s="1" t="n">
        <v>1.37</v>
      </c>
      <c r="F5307" s="1" t="n">
        <v>22.3</v>
      </c>
      <c r="G5307" s="1" t="n">
        <v>8.300000000000001</v>
      </c>
      <c r="H5307" s="1" t="n">
        <v>0</v>
      </c>
      <c r="I5307" s="1" t="n">
        <v>2.55</v>
      </c>
      <c r="J5307" t="n">
        <v>54204030</v>
      </c>
    </row>
    <row r="5308" ht="15.75" customHeight="1" s="201">
      <c r="A5308" s="1" t="inlineStr">
        <is>
          <t>Pork, cured, ham, patties, unheated</t>
        </is>
      </c>
      <c r="C5308" s="1" t="n">
        <v>1.69</v>
      </c>
      <c r="D5308" s="1" t="n">
        <v>3</v>
      </c>
      <c r="E5308" s="1" t="n">
        <v>1.05</v>
      </c>
      <c r="F5308" s="1" t="n">
        <v>12.78</v>
      </c>
      <c r="G5308" s="1" t="n">
        <v>28.19</v>
      </c>
      <c r="H5308" s="1" t="n">
        <v>0</v>
      </c>
      <c r="I5308" s="1" t="n">
        <v>1.57</v>
      </c>
      <c r="J5308" t="n">
        <v>27120030</v>
      </c>
    </row>
    <row r="5309" ht="15.75" customHeight="1" s="201">
      <c r="A5309" s="1" t="inlineStr">
        <is>
          <t>Pork, cured, ham, regular (approximately 13% fat), canned, roasted</t>
        </is>
      </c>
      <c r="C5309" s="1" t="n">
        <v>0.42</v>
      </c>
      <c r="D5309" s="1" t="n">
        <v>5</v>
      </c>
      <c r="E5309" s="1" t="n">
        <v>1.37</v>
      </c>
      <c r="F5309" s="1" t="n">
        <v>20.53</v>
      </c>
      <c r="G5309" s="1" t="n">
        <v>15.2</v>
      </c>
      <c r="H5309" s="1" t="n">
        <v>0</v>
      </c>
      <c r="I5309" s="1" t="n">
        <v>2.5</v>
      </c>
      <c r="J5309" t="n">
        <v>27120030</v>
      </c>
    </row>
    <row r="5310" ht="15.75" customHeight="1" s="201">
      <c r="A5310" s="1" t="inlineStr">
        <is>
          <t>Pork, cured, ham, rump, bone-in, separable lean and fat, heated, roasted</t>
        </is>
      </c>
      <c r="C5310" s="1" t="n">
        <v>0.64</v>
      </c>
      <c r="D5310" s="1" t="n">
        <v>0</v>
      </c>
      <c r="E5310" s="1" t="n">
        <v>1.46</v>
      </c>
      <c r="F5310" s="1" t="n">
        <v>23.95</v>
      </c>
      <c r="G5310" s="1" t="n">
        <v>8.880000000000001</v>
      </c>
      <c r="H5310" s="1" t="n">
        <v>5</v>
      </c>
      <c r="I5310" s="1" t="n">
        <v>2.91</v>
      </c>
      <c r="J5310" t="n">
        <v>58126280</v>
      </c>
    </row>
    <row r="5311" ht="15.75" customHeight="1" s="201">
      <c r="A5311" s="1" t="inlineStr">
        <is>
          <t>Pork, cured, ham, rump, bone-in, separable lean and fat, unheated</t>
        </is>
      </c>
      <c r="C5311" s="1" t="n">
        <v>0.52</v>
      </c>
      <c r="D5311" s="1" t="n">
        <v>1</v>
      </c>
      <c r="E5311" s="1" t="n">
        <v>1.01</v>
      </c>
      <c r="F5311" s="1" t="n">
        <v>22.27</v>
      </c>
      <c r="G5311" s="1" t="n">
        <v>9.380000000000001</v>
      </c>
      <c r="H5311" s="1" t="n">
        <v>6</v>
      </c>
      <c r="I5311" s="1" t="n">
        <v>2.42</v>
      </c>
      <c r="J5311" t="n">
        <v>58126280</v>
      </c>
    </row>
    <row r="5312" ht="15.75" customHeight="1" s="201">
      <c r="A5312" s="1" t="inlineStr">
        <is>
          <t>Pork, cured, ham, rump, bone-in, separable lean only, heated, roasted</t>
        </is>
      </c>
      <c r="C5312" s="1" t="n">
        <v>0.68</v>
      </c>
      <c r="D5312" s="1" t="n">
        <v>0</v>
      </c>
      <c r="E5312" s="1" t="n">
        <v>1.59</v>
      </c>
      <c r="F5312" s="1" t="n">
        <v>26.02</v>
      </c>
      <c r="G5312" s="1" t="n">
        <v>3.07</v>
      </c>
      <c r="H5312" s="1" t="n">
        <v>0</v>
      </c>
      <c r="I5312" s="1" t="n">
        <v>3.16</v>
      </c>
    </row>
    <row r="5313" ht="15.75" customHeight="1" s="201">
      <c r="A5313" s="1" t="inlineStr">
        <is>
          <t>Pork, cured, ham, rump, bone-in, separable lean only, unheated</t>
        </is>
      </c>
      <c r="C5313" s="1" t="n">
        <v>0.32</v>
      </c>
      <c r="D5313" s="1" t="n">
        <v>1</v>
      </c>
      <c r="E5313" s="1" t="n">
        <v>1.08</v>
      </c>
      <c r="F5313" s="1" t="n">
        <v>24.46</v>
      </c>
      <c r="G5313" s="1" t="n">
        <v>2.92</v>
      </c>
      <c r="H5313" s="1" t="n">
        <v>0</v>
      </c>
      <c r="I5313" s="1" t="n">
        <v>2.61</v>
      </c>
      <c r="J5313" t="n">
        <v>22107020</v>
      </c>
    </row>
    <row r="5314" ht="15.75" customHeight="1" s="201">
      <c r="A5314" s="1" t="inlineStr">
        <is>
          <t>Pork, cured, ham, separable fat, boneless, heated</t>
        </is>
      </c>
      <c r="C5314" s="1" t="n">
        <v>2</v>
      </c>
      <c r="D5314" s="1" t="n">
        <v>1</v>
      </c>
      <c r="E5314" s="1" t="n">
        <v>0.53</v>
      </c>
      <c r="F5314" s="1" t="n">
        <v>8.77</v>
      </c>
      <c r="G5314" s="1" t="n">
        <v>51.57</v>
      </c>
      <c r="H5314" s="1" t="n">
        <v>42</v>
      </c>
      <c r="I5314" s="1" t="n">
        <v>1.14</v>
      </c>
      <c r="J5314" t="n">
        <v>27120030</v>
      </c>
    </row>
    <row r="5315" ht="15.75" customHeight="1" s="201">
      <c r="A5315" s="1" t="inlineStr">
        <is>
          <t>Pork, cured, ham, separable fat, boneless, unheated</t>
        </is>
      </c>
      <c r="C5315" s="1" t="n">
        <v>1.87</v>
      </c>
      <c r="D5315" s="1" t="n">
        <v>0</v>
      </c>
      <c r="E5315" s="1" t="n">
        <v>0.5</v>
      </c>
      <c r="F5315" s="1" t="n">
        <v>7.5</v>
      </c>
      <c r="G5315" s="1" t="n">
        <v>53</v>
      </c>
      <c r="H5315" s="1" t="n">
        <v>44</v>
      </c>
      <c r="I5315" s="1" t="n">
        <v>1.14</v>
      </c>
      <c r="J5315" t="n">
        <v>27120030</v>
      </c>
    </row>
    <row r="5316" ht="15.75" customHeight="1" s="201">
      <c r="A5316" s="1" t="inlineStr">
        <is>
          <t>Pork, cured, ham, shank, bone-in, separable lean and fat, heated, roasted</t>
        </is>
      </c>
      <c r="C5316" s="1" t="n">
        <v>0.64</v>
      </c>
      <c r="D5316" s="1" t="n">
        <v>1</v>
      </c>
      <c r="E5316" s="1" t="n">
        <v>1.42</v>
      </c>
      <c r="F5316" s="1" t="n">
        <v>24.39</v>
      </c>
      <c r="G5316" s="1" t="n">
        <v>9.35</v>
      </c>
      <c r="H5316" s="1" t="n">
        <v>5</v>
      </c>
      <c r="I5316" s="1" t="n">
        <v>2.59</v>
      </c>
      <c r="J5316" t="n">
        <v>58126280</v>
      </c>
    </row>
    <row r="5317" ht="15.75" customHeight="1" s="201">
      <c r="A5317" s="1" t="inlineStr">
        <is>
          <t>Pork, cured, ham, shank, bone-in, separable lean and fat, unheated</t>
        </is>
      </c>
      <c r="C5317" s="1" t="n">
        <v>0.41</v>
      </c>
      <c r="D5317" s="1" t="n">
        <v>0</v>
      </c>
      <c r="E5317" s="1" t="n">
        <v>0.92</v>
      </c>
      <c r="F5317" s="1" t="n">
        <v>21.61</v>
      </c>
      <c r="G5317" s="1" t="n">
        <v>9.85</v>
      </c>
      <c r="H5317" s="1" t="n">
        <v>6</v>
      </c>
      <c r="I5317" s="1" t="n">
        <v>2.18</v>
      </c>
      <c r="J5317" t="n">
        <v>58126280</v>
      </c>
    </row>
    <row r="5318" ht="15.75" customHeight="1" s="201">
      <c r="A5318" s="1" t="inlineStr">
        <is>
          <t>Pork, cured, ham, shank, bone-in, separable lean only, heated, roasted</t>
        </is>
      </c>
      <c r="C5318" s="1" t="n">
        <v>0.68</v>
      </c>
      <c r="D5318" s="1" t="n">
        <v>1</v>
      </c>
      <c r="E5318" s="1" t="n">
        <v>1.54</v>
      </c>
      <c r="F5318" s="1" t="n">
        <v>26.49</v>
      </c>
      <c r="G5318" s="1" t="n">
        <v>3.68</v>
      </c>
      <c r="H5318" s="1" t="n">
        <v>0</v>
      </c>
      <c r="I5318" s="1" t="n">
        <v>2.78</v>
      </c>
    </row>
    <row r="5319" ht="15.75" customHeight="1" s="201">
      <c r="A5319" s="1" t="inlineStr">
        <is>
          <t>Pork, cured, ham, shank, bone-in, separable lean only, unheated</t>
        </is>
      </c>
      <c r="C5319" s="1" t="n">
        <v>0.18</v>
      </c>
      <c r="D5319" s="1" t="n">
        <v>0</v>
      </c>
      <c r="E5319" s="1" t="n">
        <v>0.99</v>
      </c>
      <c r="F5319" s="1" t="n">
        <v>23.79</v>
      </c>
      <c r="G5319" s="1" t="n">
        <v>3.19</v>
      </c>
      <c r="H5319" s="1" t="n">
        <v>0</v>
      </c>
      <c r="I5319" s="1" t="n">
        <v>2.34</v>
      </c>
      <c r="J5319" t="n">
        <v>22107020</v>
      </c>
    </row>
    <row r="5320" ht="15.75" customHeight="1" s="201">
      <c r="A5320" s="1" t="inlineStr">
        <is>
          <t>Pork, cured, ham, slice, bone-in, separable lean and fat, heated, pan-broil</t>
        </is>
      </c>
      <c r="C5320" s="1" t="n">
        <v>0.7</v>
      </c>
      <c r="D5320" s="1" t="n">
        <v>2</v>
      </c>
      <c r="E5320" s="1" t="n">
        <v>1.34</v>
      </c>
      <c r="F5320" s="1" t="n">
        <v>25.48</v>
      </c>
      <c r="G5320" s="1" t="n">
        <v>8.48</v>
      </c>
      <c r="H5320" s="1" t="n">
        <v>4</v>
      </c>
      <c r="I5320" s="1" t="n">
        <v>2.87</v>
      </c>
      <c r="J5320" t="n">
        <v>58126280</v>
      </c>
    </row>
    <row r="5321" ht="15.75" customHeight="1" s="201">
      <c r="A5321" s="1" t="inlineStr">
        <is>
          <t>Pork, cured, ham, slice, bone-in, separable lean and fat, unheated</t>
        </is>
      </c>
      <c r="C5321" s="1" t="n">
        <v>0.21</v>
      </c>
      <c r="D5321" s="1" t="n">
        <v>1</v>
      </c>
      <c r="E5321" s="1" t="n">
        <v>1.15</v>
      </c>
      <c r="F5321" s="1" t="n">
        <v>22.45</v>
      </c>
      <c r="G5321" s="1" t="n">
        <v>9.17</v>
      </c>
      <c r="H5321" s="1" t="n">
        <v>5</v>
      </c>
      <c r="I5321" s="1" t="n">
        <v>2.29</v>
      </c>
      <c r="J5321" t="n">
        <v>58126280</v>
      </c>
    </row>
    <row r="5322" ht="15.75" customHeight="1" s="201">
      <c r="A5322" s="1" t="inlineStr">
        <is>
          <t>Pork, cured, ham, slice, bone-in, separable lean only, heated, pan-broil</t>
        </is>
      </c>
      <c r="C5322" s="1" t="n">
        <v>0.74</v>
      </c>
      <c r="D5322" s="1" t="n">
        <v>2</v>
      </c>
      <c r="E5322" s="1" t="n">
        <v>1.42</v>
      </c>
      <c r="F5322" s="1" t="n">
        <v>27.18</v>
      </c>
      <c r="G5322" s="1" t="n">
        <v>4.09</v>
      </c>
      <c r="H5322" s="1" t="n">
        <v>0</v>
      </c>
      <c r="I5322" s="1" t="n">
        <v>3.04</v>
      </c>
    </row>
    <row r="5323" ht="15.75" customHeight="1" s="201">
      <c r="A5323" s="1" t="inlineStr">
        <is>
          <t>Pork, cured, ham, slice, bone-in, separable lean only, unheated</t>
        </is>
      </c>
      <c r="C5323" s="1" t="n">
        <v>0</v>
      </c>
      <c r="D5323" s="1" t="n">
        <v>1</v>
      </c>
      <c r="E5323" s="1" t="n">
        <v>1.23</v>
      </c>
      <c r="F5323" s="1" t="n">
        <v>24.36</v>
      </c>
      <c r="G5323" s="1" t="n">
        <v>3.59</v>
      </c>
      <c r="H5323" s="1" t="n">
        <v>0</v>
      </c>
      <c r="I5323" s="1" t="n">
        <v>2.43</v>
      </c>
      <c r="J5323" t="n">
        <v>22107020</v>
      </c>
    </row>
    <row r="5324" ht="15.75" customHeight="1" s="201">
      <c r="A5324" s="1" t="inlineStr">
        <is>
          <t>Pork, cured, ham, steak, boneless, extra lean, unheated</t>
        </is>
      </c>
      <c r="C5324" s="1" t="n">
        <v>0</v>
      </c>
      <c r="D5324" s="1" t="n">
        <v>4</v>
      </c>
      <c r="E5324" s="1" t="n">
        <v>1</v>
      </c>
      <c r="F5324" s="1" t="n">
        <v>19.56</v>
      </c>
      <c r="G5324" s="1" t="n">
        <v>4.25</v>
      </c>
      <c r="H5324" s="1" t="n">
        <v>0</v>
      </c>
      <c r="I5324" s="1" t="n">
        <v>2.02</v>
      </c>
      <c r="J5324" t="n">
        <v>27515080</v>
      </c>
    </row>
    <row r="5325" ht="15.75" customHeight="1" s="201">
      <c r="A5325" s="1" t="inlineStr">
        <is>
          <t>Pork, cured, ham, whole, separable lean and fat, unheated</t>
        </is>
      </c>
      <c r="C5325" s="1" t="n">
        <v>0.06</v>
      </c>
      <c r="D5325" s="1" t="n">
        <v>1</v>
      </c>
      <c r="E5325" s="1" t="n">
        <v>0.71</v>
      </c>
      <c r="F5325" s="1" t="n">
        <v>18.49</v>
      </c>
      <c r="G5325" s="1" t="n">
        <v>18.52</v>
      </c>
      <c r="H5325" s="1" t="n">
        <v>0</v>
      </c>
      <c r="I5325" s="1" t="n">
        <v>1.76</v>
      </c>
      <c r="J5325" t="n">
        <v>54204030</v>
      </c>
    </row>
    <row r="5326" ht="15.75" customHeight="1" s="201">
      <c r="A5326" s="1" t="inlineStr">
        <is>
          <t>Pork, cured, ham, whole, separable lean only, roasted</t>
        </is>
      </c>
      <c r="C5326" s="1" t="n">
        <v>0</v>
      </c>
      <c r="D5326" s="1" t="n">
        <v>4</v>
      </c>
      <c r="E5326" s="1" t="n">
        <v>0.9399999999999999</v>
      </c>
      <c r="F5326" s="1" t="n">
        <v>25.05</v>
      </c>
      <c r="G5326" s="1" t="n">
        <v>5.5</v>
      </c>
      <c r="H5326" s="1" t="n">
        <v>0</v>
      </c>
      <c r="I5326" s="1" t="n">
        <v>2.57</v>
      </c>
      <c r="J5326" t="n">
        <v>22107020</v>
      </c>
    </row>
    <row r="5327" ht="15.75" customHeight="1" s="201">
      <c r="A5327" s="1" t="inlineStr">
        <is>
          <t>Pork, cured, ham, whole, separable lean only, unheated</t>
        </is>
      </c>
      <c r="C5327" s="1" t="n">
        <v>0.05</v>
      </c>
      <c r="D5327" s="1" t="n">
        <v>4</v>
      </c>
      <c r="E5327" s="1" t="n">
        <v>0.8100000000000001</v>
      </c>
      <c r="F5327" s="1" t="n">
        <v>22.32</v>
      </c>
      <c r="G5327" s="1" t="n">
        <v>5.71</v>
      </c>
      <c r="H5327" s="1" t="n">
        <v>0</v>
      </c>
      <c r="I5327" s="1" t="n">
        <v>2.04</v>
      </c>
      <c r="J5327" t="n">
        <v>22107020</v>
      </c>
    </row>
    <row r="5328" ht="15.75" customHeight="1" s="201">
      <c r="A5328" s="1" t="inlineStr">
        <is>
          <t>Pork, cured, salt pork, raw</t>
        </is>
      </c>
      <c r="C5328" s="1" t="n">
        <v>0</v>
      </c>
      <c r="D5328" s="1" t="n">
        <v>1</v>
      </c>
      <c r="E5328" s="1" t="n">
        <v>0.44</v>
      </c>
      <c r="F5328" s="1" t="n">
        <v>5.05</v>
      </c>
      <c r="G5328" s="1" t="n">
        <v>80.5</v>
      </c>
      <c r="H5328" s="1" t="n">
        <v>0</v>
      </c>
      <c r="I5328" s="1" t="n">
        <v>0.9</v>
      </c>
      <c r="J5328" t="n">
        <v>27120030</v>
      </c>
    </row>
    <row r="5329" ht="15.75" customHeight="1" s="201">
      <c r="A5329" s="1" t="inlineStr">
        <is>
          <t>Pork, cured, separable fat (from ham and arm picnic), roasted</t>
        </is>
      </c>
      <c r="C5329" s="1" t="n">
        <v>0</v>
      </c>
      <c r="D5329" s="1" t="n">
        <v>2</v>
      </c>
      <c r="E5329" s="1" t="n">
        <v>0.61</v>
      </c>
      <c r="F5329" s="1" t="n">
        <v>7.64</v>
      </c>
      <c r="G5329" s="1" t="n">
        <v>61.86</v>
      </c>
      <c r="H5329" s="1" t="n">
        <v>0</v>
      </c>
      <c r="I5329" s="1" t="n">
        <v>1.31</v>
      </c>
      <c r="J5329" t="n">
        <v>27120030</v>
      </c>
    </row>
    <row r="5330" ht="15.75" customHeight="1" s="201">
      <c r="A5330" s="1" t="inlineStr">
        <is>
          <t>Pork, cured, separable fat (from ham and arm picnic), unheated</t>
        </is>
      </c>
      <c r="C5330" s="1" t="n">
        <v>0.09</v>
      </c>
      <c r="D5330" s="1" t="n">
        <v>1</v>
      </c>
      <c r="E5330" s="1" t="n">
        <v>0.39</v>
      </c>
      <c r="F5330" s="1" t="n">
        <v>5.68</v>
      </c>
      <c r="G5330" s="1" t="n">
        <v>61.41</v>
      </c>
      <c r="H5330" s="1" t="n">
        <v>0</v>
      </c>
      <c r="I5330" s="1" t="n">
        <v>0.8</v>
      </c>
      <c r="J5330" t="n">
        <v>27120030</v>
      </c>
    </row>
    <row r="5331" ht="15.75" customHeight="1" s="201">
      <c r="A5331" s="1" t="inlineStr">
        <is>
          <t>Pork, cured, shoulder, arm picnic, separable lean and fat, roasted</t>
        </is>
      </c>
      <c r="C5331" s="1" t="n">
        <v>0</v>
      </c>
      <c r="D5331" s="1" t="n">
        <v>3</v>
      </c>
      <c r="E5331" s="1" t="n">
        <v>0.95</v>
      </c>
      <c r="F5331" s="1" t="n">
        <v>20.43</v>
      </c>
      <c r="G5331" s="1" t="n">
        <v>21.35</v>
      </c>
      <c r="H5331" s="1" t="n">
        <v>0</v>
      </c>
      <c r="I5331" s="1" t="n">
        <v>2.51</v>
      </c>
      <c r="J5331" t="n">
        <v>22311010</v>
      </c>
    </row>
    <row r="5332" ht="15.75" customHeight="1" s="201">
      <c r="A5332" s="1" t="inlineStr">
        <is>
          <t>Pork, cured, shoulder, arm picnic, separable lean only, roasted</t>
        </is>
      </c>
      <c r="C5332" s="1" t="n">
        <v>0</v>
      </c>
      <c r="D5332" s="1" t="n">
        <v>4</v>
      </c>
      <c r="E5332" s="1" t="n">
        <v>1.08</v>
      </c>
      <c r="F5332" s="1" t="n">
        <v>24.94</v>
      </c>
      <c r="G5332" s="1" t="n">
        <v>7.04</v>
      </c>
      <c r="H5332" s="1" t="n">
        <v>0</v>
      </c>
      <c r="I5332" s="1" t="n">
        <v>2.94</v>
      </c>
      <c r="J5332" t="n">
        <v>22311020</v>
      </c>
    </row>
    <row r="5333" ht="15.75" customHeight="1" s="201">
      <c r="A5333" s="1" t="inlineStr">
        <is>
          <t>Pork, cured, shoulder, blade roll, separable lean and fat, roasted</t>
        </is>
      </c>
      <c r="C5333" s="1" t="n">
        <v>0.37</v>
      </c>
      <c r="D5333" s="1" t="n">
        <v>3</v>
      </c>
      <c r="E5333" s="1" t="n">
        <v>0.89</v>
      </c>
      <c r="F5333" s="1" t="n">
        <v>17.28</v>
      </c>
      <c r="G5333" s="1" t="n">
        <v>23.48</v>
      </c>
      <c r="H5333" s="1" t="n">
        <v>0</v>
      </c>
      <c r="I5333" s="1" t="n">
        <v>2.45</v>
      </c>
      <c r="J5333" t="n">
        <v>51150000</v>
      </c>
    </row>
    <row r="5334" ht="15.75" customHeight="1" s="201">
      <c r="A5334" s="1" t="inlineStr">
        <is>
          <t>Pork, cured, shoulder, blade roll, separable lean and fat, unheated</t>
        </is>
      </c>
      <c r="C5334" s="1" t="n">
        <v>0</v>
      </c>
      <c r="D5334" s="1" t="n">
        <v>3</v>
      </c>
      <c r="E5334" s="1" t="n">
        <v>0.82</v>
      </c>
      <c r="F5334" s="1" t="n">
        <v>16.47</v>
      </c>
      <c r="G5334" s="1" t="n">
        <v>21.98</v>
      </c>
      <c r="H5334" s="1" t="n">
        <v>0</v>
      </c>
      <c r="I5334" s="1" t="n">
        <v>2.35</v>
      </c>
      <c r="J5334" t="n">
        <v>51150000</v>
      </c>
    </row>
    <row r="5335" ht="15.75" customHeight="1" s="201">
      <c r="A5335" s="1" t="inlineStr">
        <is>
          <t>Pork, fresh, backfat, raw</t>
        </is>
      </c>
      <c r="C5335" s="1" t="n">
        <v>0</v>
      </c>
      <c r="D5335" s="1" t="n">
        <v>1</v>
      </c>
      <c r="E5335" s="1" t="n">
        <v>0.18</v>
      </c>
      <c r="F5335" s="1" t="n">
        <v>2.92</v>
      </c>
      <c r="G5335" s="1" t="n">
        <v>88.69</v>
      </c>
      <c r="H5335" s="1" t="n">
        <v>15</v>
      </c>
      <c r="I5335" s="1" t="n">
        <v>0.37</v>
      </c>
      <c r="J5335" t="n">
        <v>25221870</v>
      </c>
    </row>
    <row r="5336" ht="15.75" customHeight="1" s="201">
      <c r="A5336" s="1" t="inlineStr">
        <is>
          <t>Pork, fresh, backribs, separable lean and fat, cooked, roasted</t>
        </is>
      </c>
      <c r="C5336" s="1" t="n">
        <v>0</v>
      </c>
      <c r="D5336" s="1" t="n">
        <v>0</v>
      </c>
      <c r="E5336" s="1" t="n">
        <v>0.92</v>
      </c>
      <c r="F5336" s="1" t="n">
        <v>23.01</v>
      </c>
      <c r="G5336" s="1" t="n">
        <v>21.51</v>
      </c>
      <c r="H5336" s="1" t="n">
        <v>20</v>
      </c>
      <c r="I5336" s="1" t="n">
        <v>3.07</v>
      </c>
      <c r="J5336" t="n">
        <v>25221870</v>
      </c>
    </row>
    <row r="5337" ht="15.75" customHeight="1" s="201">
      <c r="A5337" s="1" t="inlineStr">
        <is>
          <t>Pork, fresh, backribs, separable lean and fat, raw</t>
        </is>
      </c>
      <c r="C5337" s="1" t="n">
        <v>0</v>
      </c>
      <c r="D5337" s="1" t="n">
        <v>0</v>
      </c>
      <c r="E5337" s="1" t="n">
        <v>0.76</v>
      </c>
      <c r="F5337" s="1" t="n">
        <v>19.07</v>
      </c>
      <c r="G5337" s="1" t="n">
        <v>16.33</v>
      </c>
      <c r="H5337" s="1" t="n">
        <v>22</v>
      </c>
      <c r="I5337" s="1" t="n">
        <v>2.54</v>
      </c>
      <c r="J5337" t="n">
        <v>58126280</v>
      </c>
    </row>
    <row r="5338" ht="15.75" customHeight="1" s="201">
      <c r="A5338" s="1" t="inlineStr">
        <is>
          <t>Pork, fresh, belly, raw</t>
        </is>
      </c>
      <c r="C5338" s="1" t="n">
        <v>0</v>
      </c>
      <c r="D5338" s="1" t="n">
        <v>1</v>
      </c>
      <c r="E5338" s="1" t="n">
        <v>0.52</v>
      </c>
      <c r="F5338" s="1" t="n">
        <v>9.34</v>
      </c>
      <c r="G5338" s="1" t="n">
        <v>53.01</v>
      </c>
      <c r="H5338" s="1" t="n">
        <v>10</v>
      </c>
      <c r="I5338" s="1" t="n">
        <v>1.02</v>
      </c>
      <c r="J5338" t="n">
        <v>25221870</v>
      </c>
    </row>
    <row r="5339" ht="15.75" customHeight="1" s="201">
      <c r="A5339" s="1" t="inlineStr">
        <is>
          <t>Pork, fresh, blade, (chops), boneless, separable lean and fat, cooked, broiled</t>
        </is>
      </c>
      <c r="C5339" s="1" t="n">
        <v>0.83</v>
      </c>
      <c r="D5339" s="1" t="n">
        <v>0</v>
      </c>
      <c r="E5339" s="1" t="n">
        <v>0.89</v>
      </c>
      <c r="F5339" s="1" t="n">
        <v>24.73</v>
      </c>
      <c r="G5339" s="1" t="n">
        <v>11.13</v>
      </c>
      <c r="H5339" s="1" t="n">
        <v>13</v>
      </c>
      <c r="I5339" s="1" t="n">
        <v>2.32</v>
      </c>
    </row>
    <row r="5340" ht="15.75" customHeight="1" s="201">
      <c r="A5340" s="1" t="inlineStr">
        <is>
          <t>Pork, fresh, carcass, separable lean and fat, raw</t>
        </is>
      </c>
      <c r="C5340" s="1" t="n">
        <v>0</v>
      </c>
      <c r="D5340" s="1" t="n">
        <v>4</v>
      </c>
      <c r="E5340" s="1" t="n">
        <v>0.6899999999999999</v>
      </c>
      <c r="F5340" s="1" t="n">
        <v>13.91</v>
      </c>
      <c r="G5340" s="1" t="n">
        <v>35.07</v>
      </c>
      <c r="H5340" s="1" t="n">
        <v>8</v>
      </c>
      <c r="I5340" s="1" t="n">
        <v>1.59</v>
      </c>
      <c r="J5340" t="n">
        <v>58126280</v>
      </c>
    </row>
    <row r="5341" ht="15.75" customHeight="1" s="201">
      <c r="A5341" s="1" t="inlineStr">
        <is>
          <t>Pork, fresh, composite of separable fat, with added solution, cooked</t>
        </is>
      </c>
      <c r="C5341" s="1" t="n">
        <v>0.32</v>
      </c>
      <c r="D5341" s="1" t="n">
        <v>0</v>
      </c>
      <c r="E5341" s="1" t="n">
        <v>0.82</v>
      </c>
      <c r="F5341" s="1" t="n">
        <v>10.06</v>
      </c>
      <c r="G5341" s="1" t="n">
        <v>60.42</v>
      </c>
      <c r="H5341" s="1" t="n">
        <v>0</v>
      </c>
      <c r="I5341" s="1" t="n">
        <v>1.13</v>
      </c>
      <c r="J5341" t="n">
        <v>75142550</v>
      </c>
    </row>
    <row r="5342" ht="15.75" customHeight="1" s="201">
      <c r="A5342" s="1" t="inlineStr">
        <is>
          <t>Pork, fresh, composite of separable fat, with added solution, raw</t>
        </is>
      </c>
      <c r="C5342" s="1" t="n">
        <v>0</v>
      </c>
      <c r="D5342" s="1" t="n">
        <v>0</v>
      </c>
      <c r="E5342" s="1" t="n">
        <v>0.47</v>
      </c>
      <c r="F5342" s="1" t="n">
        <v>9.27</v>
      </c>
      <c r="G5342" s="1" t="n">
        <v>52.33</v>
      </c>
      <c r="H5342" s="1" t="n">
        <v>0</v>
      </c>
      <c r="I5342" s="1" t="n">
        <v>0.9</v>
      </c>
      <c r="J5342" t="n">
        <v>75142550</v>
      </c>
    </row>
    <row r="5343" ht="15.75" customHeight="1" s="201">
      <c r="A5343" s="1" t="inlineStr">
        <is>
          <t>Pork, fresh, composite of trimmed leg, loin, shoulder, and spareribs, (includes cuts to be cured), separable lean and fat, raw</t>
        </is>
      </c>
      <c r="C5343" s="1" t="n">
        <v>0</v>
      </c>
      <c r="D5343" s="1" t="n">
        <v>3</v>
      </c>
      <c r="E5343" s="1" t="n">
        <v>0.89</v>
      </c>
      <c r="F5343" s="1" t="n">
        <v>18.22</v>
      </c>
      <c r="G5343" s="1" t="n">
        <v>14.79</v>
      </c>
      <c r="H5343" s="1" t="n">
        <v>6</v>
      </c>
      <c r="I5343" s="1" t="n">
        <v>2.27</v>
      </c>
    </row>
    <row r="5344" ht="15.75" customHeight="1" s="201">
      <c r="A5344" s="1" t="inlineStr">
        <is>
          <t>Pork, fresh, composite of trimmed retail cuts (leg, loin, and shoulder), separable lean only, cooked</t>
        </is>
      </c>
      <c r="C5344" s="1" t="n">
        <v>0</v>
      </c>
      <c r="D5344" s="1" t="n">
        <v>3</v>
      </c>
      <c r="E5344" s="1" t="n">
        <v>1</v>
      </c>
      <c r="F5344" s="1" t="n">
        <v>27.51</v>
      </c>
      <c r="G5344" s="1" t="n">
        <v>9.210000000000001</v>
      </c>
      <c r="H5344" s="1" t="n">
        <v>4</v>
      </c>
      <c r="I5344" s="1" t="n">
        <v>2.9</v>
      </c>
    </row>
    <row r="5345" ht="15.75" customHeight="1" s="201">
      <c r="A5345" s="1" t="inlineStr">
        <is>
          <t>Pork, fresh, composite of trimmed retail cuts (leg, loin, shoulder), separable lean only, raw</t>
        </is>
      </c>
      <c r="C5345" s="1" t="n">
        <v>0</v>
      </c>
      <c r="D5345" s="1" t="n">
        <v>2</v>
      </c>
      <c r="E5345" s="1" t="n">
        <v>0.82</v>
      </c>
      <c r="F5345" s="1" t="n">
        <v>21.2</v>
      </c>
      <c r="G5345" s="1" t="n">
        <v>4.86</v>
      </c>
      <c r="H5345" s="1" t="n">
        <v>2</v>
      </c>
      <c r="I5345" s="1" t="n">
        <v>2.21</v>
      </c>
    </row>
    <row r="5346" ht="15.75" customHeight="1" s="201">
      <c r="A5346" s="1" t="inlineStr">
        <is>
          <t>Pork, fresh, composite of trimmed retail cuts (leg, loin, shoulder, and spareribs), separable lean and fat, cooked</t>
        </is>
      </c>
      <c r="C5346" s="1" t="n">
        <v>0</v>
      </c>
      <c r="D5346" s="1" t="n">
        <v>2</v>
      </c>
      <c r="E5346" s="1" t="n">
        <v>1.11</v>
      </c>
      <c r="F5346" s="1" t="n">
        <v>26.36</v>
      </c>
      <c r="G5346" s="1" t="n">
        <v>13.89</v>
      </c>
      <c r="H5346" s="1" t="n">
        <v>7</v>
      </c>
      <c r="I5346" s="1" t="n">
        <v>3.06</v>
      </c>
    </row>
    <row r="5347" ht="15.75" customHeight="1" s="201">
      <c r="A5347" s="1" t="inlineStr">
        <is>
          <t>Pork, fresh, composite of trimmed retail cuts (leg, loin, shoulder, and spareribs), separable lean and fat, raw</t>
        </is>
      </c>
      <c r="C5347" s="1" t="n">
        <v>0</v>
      </c>
      <c r="D5347" s="1" t="n">
        <v>5</v>
      </c>
      <c r="E5347" s="1" t="n">
        <v>0.86</v>
      </c>
      <c r="F5347" s="1" t="n">
        <v>18.95</v>
      </c>
      <c r="G5347" s="1" t="n">
        <v>14.95</v>
      </c>
      <c r="H5347" s="1" t="n">
        <v>7</v>
      </c>
      <c r="I5347" s="1" t="n">
        <v>2.01</v>
      </c>
    </row>
    <row r="5348" ht="15.75" customHeight="1" s="201">
      <c r="A5348" s="1" t="inlineStr">
        <is>
          <t>Pork, fresh, composite of trimmed retail cuts (loin and shoulder blade), separable lean and fat, cooked</t>
        </is>
      </c>
      <c r="C5348" s="1" t="n">
        <v>0</v>
      </c>
      <c r="D5348" s="1" t="n">
        <v>2</v>
      </c>
      <c r="E5348" s="1" t="n">
        <v>0.93</v>
      </c>
      <c r="F5348" s="1" t="n">
        <v>26.07</v>
      </c>
      <c r="G5348" s="1" t="n">
        <v>13.66</v>
      </c>
      <c r="H5348" s="1" t="n">
        <v>7</v>
      </c>
      <c r="I5348" s="1" t="n">
        <v>2.56</v>
      </c>
    </row>
    <row r="5349" ht="15.75" customHeight="1" s="201">
      <c r="A5349" s="1" t="inlineStr">
        <is>
          <t>Pork, fresh, composite of trimmed retail cuts (loin and shoulder blade), separable lean and fat, raw</t>
        </is>
      </c>
      <c r="C5349" s="1" t="n">
        <v>0</v>
      </c>
      <c r="D5349" s="1" t="n">
        <v>1</v>
      </c>
      <c r="E5349" s="1" t="n">
        <v>0.74</v>
      </c>
      <c r="F5349" s="1" t="n">
        <v>20.08</v>
      </c>
      <c r="G5349" s="1" t="n">
        <v>10.14</v>
      </c>
      <c r="H5349" s="1" t="n">
        <v>7</v>
      </c>
      <c r="I5349" s="1" t="n">
        <v>2.01</v>
      </c>
    </row>
    <row r="5350" ht="15.75" customHeight="1" s="201">
      <c r="A5350" s="1" t="inlineStr">
        <is>
          <t>Pork, fresh, composite of trimmed retail cuts (loin and shoulder blade), separable lean only, cooked</t>
        </is>
      </c>
      <c r="C5350" s="1" t="n">
        <v>0</v>
      </c>
      <c r="D5350" s="1" t="n">
        <v>6</v>
      </c>
      <c r="E5350" s="1" t="n">
        <v>1.07</v>
      </c>
      <c r="F5350" s="1" t="n">
        <v>29.47</v>
      </c>
      <c r="G5350" s="1" t="n">
        <v>9.44</v>
      </c>
      <c r="H5350" s="1" t="n">
        <v>7</v>
      </c>
      <c r="I5350" s="1" t="n">
        <v>2.87</v>
      </c>
    </row>
    <row r="5351" ht="15.75" customHeight="1" s="201">
      <c r="A5351" s="1" t="inlineStr">
        <is>
          <t>Pork, fresh, composite of trimmed retail cuts (loin and shoulder blade), separable lean only, raw</t>
        </is>
      </c>
      <c r="C5351" s="1" t="n">
        <v>0</v>
      </c>
      <c r="D5351" s="1" t="n">
        <v>5</v>
      </c>
      <c r="E5351" s="1" t="n">
        <v>0.88</v>
      </c>
      <c r="F5351" s="1" t="n">
        <v>21.23</v>
      </c>
      <c r="G5351" s="1" t="n">
        <v>5.88</v>
      </c>
      <c r="H5351" s="1" t="n">
        <v>7</v>
      </c>
      <c r="I5351" s="1" t="n">
        <v>1.99</v>
      </c>
    </row>
    <row r="5352" ht="15.75" customHeight="1" s="201">
      <c r="A5352" s="1" t="inlineStr">
        <is>
          <t>Pork, fresh, enhanced, loin, tenderloin, separable lean only, raw</t>
        </is>
      </c>
      <c r="C5352" s="1" t="n">
        <v>0</v>
      </c>
      <c r="D5352" s="1" t="n">
        <v>0</v>
      </c>
      <c r="E5352" s="1" t="n">
        <v>0.92</v>
      </c>
      <c r="F5352" s="1" t="n">
        <v>20.39</v>
      </c>
      <c r="G5352" s="1" t="n">
        <v>2.09</v>
      </c>
      <c r="H5352" s="1" t="n">
        <v>0</v>
      </c>
      <c r="I5352" s="1" t="n">
        <v>1.73</v>
      </c>
      <c r="J5352" t="n">
        <v>22401020</v>
      </c>
    </row>
    <row r="5353" ht="15.75" customHeight="1" s="201">
      <c r="A5353" s="1" t="inlineStr">
        <is>
          <t>Pork, fresh, ground, cooked</t>
        </is>
      </c>
      <c r="C5353" s="1" t="n">
        <v>0</v>
      </c>
      <c r="D5353" s="1" t="n">
        <v>6</v>
      </c>
      <c r="E5353" s="1" t="n">
        <v>1.29</v>
      </c>
      <c r="F5353" s="1" t="n">
        <v>25.69</v>
      </c>
      <c r="G5353" s="1" t="n">
        <v>20.77</v>
      </c>
      <c r="H5353" s="1" t="n">
        <v>8</v>
      </c>
      <c r="I5353" s="1" t="n">
        <v>3.21</v>
      </c>
      <c r="J5353" t="n">
        <v>25221870</v>
      </c>
    </row>
    <row r="5354" ht="15.75" customHeight="1" s="201">
      <c r="A5354" s="1" t="inlineStr">
        <is>
          <t>Pork, fresh, ground, raw</t>
        </is>
      </c>
      <c r="C5354" s="1" t="n">
        <v>0</v>
      </c>
      <c r="D5354" s="1" t="n">
        <v>5</v>
      </c>
      <c r="E5354" s="1" t="n">
        <v>0.88</v>
      </c>
      <c r="F5354" s="1" t="n">
        <v>16.88</v>
      </c>
      <c r="G5354" s="1" t="n">
        <v>21.19</v>
      </c>
      <c r="H5354" s="1" t="n">
        <v>7</v>
      </c>
      <c r="I5354" s="1" t="n">
        <v>2.2</v>
      </c>
      <c r="J5354" t="n">
        <v>25221870</v>
      </c>
    </row>
    <row r="5355" ht="15.75" customHeight="1" s="201">
      <c r="A5355" s="1" t="inlineStr">
        <is>
          <t>Pork, fresh, leg (ham), rump half, separable lean and fat, cooked, roasted</t>
        </is>
      </c>
      <c r="C5355" s="1" t="n">
        <v>0</v>
      </c>
      <c r="D5355" s="1" t="n">
        <v>0</v>
      </c>
      <c r="E5355" s="1" t="n">
        <v>0.9</v>
      </c>
      <c r="F5355" s="1" t="n">
        <v>27.03</v>
      </c>
      <c r="G5355" s="1" t="n">
        <v>10.32</v>
      </c>
      <c r="H5355" s="1" t="n">
        <v>10</v>
      </c>
      <c r="I5355" s="1" t="n">
        <v>2.31</v>
      </c>
      <c r="J5355" t="n">
        <v>92307500</v>
      </c>
    </row>
    <row r="5356" ht="15.75" customHeight="1" s="201">
      <c r="A5356" s="1" t="inlineStr">
        <is>
          <t>Pork, fresh, leg (ham), rump half, separable lean and fat, raw</t>
        </is>
      </c>
      <c r="C5356" s="1" t="n">
        <v>0</v>
      </c>
      <c r="D5356" s="1" t="n">
        <v>0</v>
      </c>
      <c r="E5356" s="1" t="n">
        <v>0.62</v>
      </c>
      <c r="F5356" s="1" t="n">
        <v>20.27</v>
      </c>
      <c r="G5356" s="1" t="n">
        <v>10.63</v>
      </c>
      <c r="H5356" s="1" t="n">
        <v>16</v>
      </c>
      <c r="I5356" s="1" t="n">
        <v>1.7</v>
      </c>
      <c r="J5356" t="n">
        <v>92307500</v>
      </c>
    </row>
    <row r="5357" ht="15.75" customHeight="1" s="201">
      <c r="A5357" s="1" t="inlineStr">
        <is>
          <t>Pork, fresh, leg (ham), rump half, separable lean only, cooked, roasted</t>
        </is>
      </c>
      <c r="C5357" s="1" t="n">
        <v>0</v>
      </c>
      <c r="D5357" s="1" t="n">
        <v>0</v>
      </c>
      <c r="E5357" s="1" t="n">
        <v>0.97</v>
      </c>
      <c r="F5357" s="1" t="n">
        <v>28.86</v>
      </c>
      <c r="G5357" s="1" t="n">
        <v>4.62</v>
      </c>
      <c r="H5357" s="1" t="n">
        <v>2</v>
      </c>
      <c r="I5357" s="1" t="n">
        <v>2.48</v>
      </c>
      <c r="J5357" t="n">
        <v>92307500</v>
      </c>
    </row>
    <row r="5358" ht="15.75" customHeight="1" s="201">
      <c r="A5358" s="1" t="inlineStr">
        <is>
          <t>Pork, fresh, leg (ham), rump half, separable lean only, raw (Includes foods for USDA's Food Distribution Program)</t>
        </is>
      </c>
      <c r="C5358" s="1" t="n">
        <v>0</v>
      </c>
      <c r="D5358" s="1" t="n">
        <v>0</v>
      </c>
      <c r="E5358" s="1" t="n">
        <v>0.67</v>
      </c>
      <c r="F5358" s="1" t="n">
        <v>21.81</v>
      </c>
      <c r="G5358" s="1" t="n">
        <v>2.93</v>
      </c>
      <c r="H5358" s="1" t="n">
        <v>7</v>
      </c>
      <c r="I5358" s="1" t="n">
        <v>1.85</v>
      </c>
      <c r="J5358" t="n">
        <v>92307500</v>
      </c>
    </row>
    <row r="5359" ht="15.75" customHeight="1" s="201">
      <c r="A5359" s="1" t="inlineStr">
        <is>
          <t>Pork, fresh, leg (ham), shank half, separable lean and fat, cooked, roasted</t>
        </is>
      </c>
      <c r="C5359" s="1" t="n">
        <v>0</v>
      </c>
      <c r="D5359" s="1" t="n">
        <v>0</v>
      </c>
      <c r="E5359" s="1" t="n">
        <v>0.87</v>
      </c>
      <c r="F5359" s="1" t="n">
        <v>25.96</v>
      </c>
      <c r="G5359" s="1" t="n">
        <v>13.42</v>
      </c>
      <c r="H5359" s="1" t="n">
        <v>14</v>
      </c>
      <c r="I5359" s="1" t="n">
        <v>2.42</v>
      </c>
      <c r="J5359" t="n">
        <v>92307500</v>
      </c>
    </row>
    <row r="5360" ht="15.75" customHeight="1" s="201">
      <c r="A5360" s="1" t="inlineStr">
        <is>
          <t>Pork, fresh, leg (ham), shank half, separable lean and fat, raw</t>
        </is>
      </c>
      <c r="C5360" s="1" t="n">
        <v>0</v>
      </c>
      <c r="D5360" s="1" t="n">
        <v>0</v>
      </c>
      <c r="E5360" s="1" t="n">
        <v>0.6899999999999999</v>
      </c>
      <c r="F5360" s="1" t="n">
        <v>19.87</v>
      </c>
      <c r="G5360" s="1" t="n">
        <v>11.96</v>
      </c>
      <c r="H5360" s="1" t="n">
        <v>20</v>
      </c>
      <c r="I5360" s="1" t="n">
        <v>2.02</v>
      </c>
      <c r="J5360" t="n">
        <v>92307500</v>
      </c>
    </row>
    <row r="5361" ht="15.75" customHeight="1" s="201">
      <c r="A5361" s="1" t="inlineStr">
        <is>
          <t>Pork, fresh, leg (ham), shank half, separable lean only, cooked, roasted</t>
        </is>
      </c>
      <c r="C5361" s="1" t="n">
        <v>0</v>
      </c>
      <c r="D5361" s="1" t="n">
        <v>0</v>
      </c>
      <c r="E5361" s="1" t="n">
        <v>0.92</v>
      </c>
      <c r="F5361" s="1" t="n">
        <v>28.69</v>
      </c>
      <c r="G5361" s="1" t="n">
        <v>5.83</v>
      </c>
      <c r="H5361" s="1" t="n">
        <v>4</v>
      </c>
      <c r="I5361" s="1" t="n">
        <v>2.67</v>
      </c>
      <c r="J5361" t="n">
        <v>92307500</v>
      </c>
    </row>
    <row r="5362" ht="15.75" customHeight="1" s="201">
      <c r="A5362" s="1" t="inlineStr">
        <is>
          <t>Pork, fresh, leg (ham), shank half, separable lean only, raw</t>
        </is>
      </c>
      <c r="C5362" s="1" t="n">
        <v>0</v>
      </c>
      <c r="D5362" s="1" t="n">
        <v>0</v>
      </c>
      <c r="E5362" s="1" t="n">
        <v>0.77</v>
      </c>
      <c r="F5362" s="1" t="n">
        <v>21.66</v>
      </c>
      <c r="G5362" s="1" t="n">
        <v>2.95</v>
      </c>
      <c r="H5362" s="1" t="n">
        <v>9</v>
      </c>
      <c r="I5362" s="1" t="n">
        <v>2.25</v>
      </c>
      <c r="J5362" t="n">
        <v>92307500</v>
      </c>
    </row>
    <row r="5363" ht="15.75" customHeight="1" s="201">
      <c r="A5363" s="1" t="inlineStr">
        <is>
          <t>Pork, fresh, leg (ham), whole, separable lean and fat, cooked, roasted</t>
        </is>
      </c>
      <c r="C5363" s="1" t="n">
        <v>0</v>
      </c>
      <c r="D5363" s="1" t="n">
        <v>10</v>
      </c>
      <c r="E5363" s="1" t="n">
        <v>1.01</v>
      </c>
      <c r="F5363" s="1" t="n">
        <v>26.83</v>
      </c>
      <c r="G5363" s="1" t="n">
        <v>17.61</v>
      </c>
      <c r="H5363" s="1" t="n">
        <v>10</v>
      </c>
      <c r="I5363" s="1" t="n">
        <v>2.96</v>
      </c>
      <c r="J5363" t="n">
        <v>25221870</v>
      </c>
    </row>
    <row r="5364" ht="15.75" customHeight="1" s="201">
      <c r="A5364" s="1" t="inlineStr">
        <is>
          <t>Pork, fresh, leg (ham), whole, separable lean and fat, raw</t>
        </is>
      </c>
      <c r="C5364" s="1" t="n">
        <v>0</v>
      </c>
      <c r="D5364" s="1" t="n">
        <v>7</v>
      </c>
      <c r="E5364" s="1" t="n">
        <v>0.85</v>
      </c>
      <c r="F5364" s="1" t="n">
        <v>17.43</v>
      </c>
      <c r="G5364" s="1" t="n">
        <v>18.87</v>
      </c>
      <c r="H5364" s="1" t="n">
        <v>7</v>
      </c>
      <c r="I5364" s="1" t="n">
        <v>1.93</v>
      </c>
      <c r="J5364" t="n">
        <v>54204030</v>
      </c>
    </row>
    <row r="5365" ht="15.75" customHeight="1" s="201">
      <c r="A5365" s="1" t="inlineStr">
        <is>
          <t>Pork, fresh, leg (ham), whole, separable lean only, cooked, roasted</t>
        </is>
      </c>
      <c r="C5365" s="1" t="n">
        <v>0</v>
      </c>
      <c r="D5365" s="1" t="n">
        <v>12</v>
      </c>
      <c r="E5365" s="1" t="n">
        <v>1.12</v>
      </c>
      <c r="F5365" s="1" t="n">
        <v>29.41</v>
      </c>
      <c r="G5365" s="1" t="n">
        <v>9.44</v>
      </c>
      <c r="H5365" s="1" t="n">
        <v>9</v>
      </c>
      <c r="I5365" s="1" t="n">
        <v>3.26</v>
      </c>
      <c r="J5365" t="n">
        <v>22000120</v>
      </c>
    </row>
    <row r="5366" ht="15.75" customHeight="1" s="201">
      <c r="A5366" s="1" t="inlineStr">
        <is>
          <t>Pork, fresh, leg (ham), whole, separable lean only, raw</t>
        </is>
      </c>
      <c r="C5366" s="1" t="n">
        <v>0</v>
      </c>
      <c r="D5366" s="1" t="n">
        <v>9</v>
      </c>
      <c r="E5366" s="1" t="n">
        <v>1.01</v>
      </c>
      <c r="F5366" s="1" t="n">
        <v>20.48</v>
      </c>
      <c r="G5366" s="1" t="n">
        <v>5.41</v>
      </c>
      <c r="H5366" s="1" t="n">
        <v>6</v>
      </c>
      <c r="I5366" s="1" t="n">
        <v>2.27</v>
      </c>
      <c r="J5366" t="n">
        <v>54204030</v>
      </c>
    </row>
    <row r="5367" ht="15.75" customHeight="1" s="201">
      <c r="A5367" s="1" t="inlineStr">
        <is>
          <t>Pork, fresh, loin, blade (chops or roasts), bone-in, separable lean and fat, raw</t>
        </is>
      </c>
      <c r="C5367" s="1" t="n">
        <v>0</v>
      </c>
      <c r="D5367" s="1" t="n">
        <v>0</v>
      </c>
      <c r="E5367" s="1" t="n">
        <v>0.66</v>
      </c>
      <c r="F5367" s="1" t="n">
        <v>19.56</v>
      </c>
      <c r="G5367" s="1" t="n">
        <v>12.27</v>
      </c>
      <c r="H5367" s="1" t="n">
        <v>20</v>
      </c>
      <c r="I5367" s="1" t="n">
        <v>2.56</v>
      </c>
    </row>
    <row r="5368" ht="15.75" customHeight="1" s="201">
      <c r="A5368" s="1" t="inlineStr">
        <is>
          <t>Pork, fresh, loin, blade (chops or roasts), bone-in, separable lean only, raw</t>
        </is>
      </c>
      <c r="C5368" s="1" t="n">
        <v>0</v>
      </c>
      <c r="D5368" s="1" t="n">
        <v>0</v>
      </c>
      <c r="E5368" s="1" t="n">
        <v>0.71</v>
      </c>
      <c r="F5368" s="1" t="n">
        <v>21.22</v>
      </c>
      <c r="G5368" s="1" t="n">
        <v>5.84</v>
      </c>
      <c r="H5368" s="1" t="n">
        <v>9</v>
      </c>
      <c r="I5368" s="1" t="n">
        <v>2.74</v>
      </c>
    </row>
    <row r="5369" ht="15.75" customHeight="1" s="201">
      <c r="A5369" s="1" t="inlineStr">
        <is>
          <t>Pork, fresh, loin, blade (chops or roasts), boneless, separable lean and fat only, raw</t>
        </is>
      </c>
      <c r="C5369" s="1" t="n">
        <v>0.76</v>
      </c>
      <c r="D5369" s="1" t="n">
        <v>0</v>
      </c>
      <c r="E5369" s="1" t="n">
        <v>0.74</v>
      </c>
      <c r="F5369" s="1" t="n">
        <v>20.54</v>
      </c>
      <c r="G5369" s="1" t="n">
        <v>7.94</v>
      </c>
      <c r="H5369" s="1" t="n">
        <v>14</v>
      </c>
      <c r="I5369" s="1" t="n">
        <v>1.74</v>
      </c>
    </row>
    <row r="5370" ht="15.75" customHeight="1" s="201">
      <c r="A5370" s="1" t="inlineStr">
        <is>
          <t>Pork, fresh, loin, blade (chops or roasts), boneless, separable lean only, raw</t>
        </is>
      </c>
      <c r="C5370" s="1" t="n">
        <v>0.82</v>
      </c>
      <c r="D5370" s="1" t="n">
        <v>0</v>
      </c>
      <c r="E5370" s="1" t="n">
        <v>0.77</v>
      </c>
      <c r="F5370" s="1" t="n">
        <v>21.35</v>
      </c>
      <c r="G5370" s="1" t="n">
        <v>3.78</v>
      </c>
      <c r="H5370" s="1" t="n">
        <v>9</v>
      </c>
      <c r="I5370" s="1" t="n">
        <v>1.82</v>
      </c>
    </row>
    <row r="5371" ht="15.75" customHeight="1" s="201">
      <c r="A5371" s="1" t="inlineStr">
        <is>
          <t>Pork, fresh, loin, blade (chops), bone-in, separable lean and fat, cooked, braised</t>
        </is>
      </c>
      <c r="C5371" s="1" t="n">
        <v>0</v>
      </c>
      <c r="D5371" s="1" t="n">
        <v>0</v>
      </c>
      <c r="E5371" s="1" t="n">
        <v>0.8100000000000001</v>
      </c>
      <c r="F5371" s="1" t="n">
        <v>26.54</v>
      </c>
      <c r="G5371" s="1" t="n">
        <v>15.71</v>
      </c>
      <c r="H5371" s="1" t="n">
        <v>13</v>
      </c>
      <c r="I5371" s="1" t="n">
        <v>3.11</v>
      </c>
    </row>
    <row r="5372" ht="15.75" customHeight="1" s="201">
      <c r="A5372" s="1" t="inlineStr">
        <is>
          <t>Pork, fresh, loin, blade (chops), bone-in, separable lean and fat, cooked, broiled</t>
        </is>
      </c>
      <c r="C5372" s="1" t="n">
        <v>0</v>
      </c>
      <c r="D5372" s="1" t="n">
        <v>0</v>
      </c>
      <c r="E5372" s="1" t="n">
        <v>0.87</v>
      </c>
      <c r="F5372" s="1" t="n">
        <v>23.72</v>
      </c>
      <c r="G5372" s="1" t="n">
        <v>14.35</v>
      </c>
      <c r="H5372" s="1" t="n">
        <v>15</v>
      </c>
      <c r="I5372" s="1" t="n">
        <v>3.15</v>
      </c>
    </row>
    <row r="5373" ht="15.75" customHeight="1" s="201">
      <c r="A5373" s="1" t="inlineStr">
        <is>
          <t>Pork, fresh, loin, blade (chops), bone-in, separable lean and fat, cooked, pan-fried</t>
        </is>
      </c>
      <c r="C5373" s="1" t="n">
        <v>0</v>
      </c>
      <c r="D5373" s="1" t="n">
        <v>0</v>
      </c>
      <c r="E5373" s="1" t="n">
        <v>0.84</v>
      </c>
      <c r="F5373" s="1" t="n">
        <v>25.02</v>
      </c>
      <c r="G5373" s="1" t="n">
        <v>16.56</v>
      </c>
      <c r="H5373" s="1" t="n">
        <v>17</v>
      </c>
      <c r="I5373" s="1" t="n">
        <v>2.88</v>
      </c>
    </row>
    <row r="5374" ht="15.75" customHeight="1" s="201">
      <c r="A5374" s="1" t="inlineStr">
        <is>
          <t>Pork, fresh, loin, blade (chops), bone-in, separable lean only, cooked, braised</t>
        </is>
      </c>
      <c r="C5374" s="1" t="n">
        <v>0</v>
      </c>
      <c r="D5374" s="1" t="n">
        <v>0</v>
      </c>
      <c r="E5374" s="1" t="n">
        <v>0.85</v>
      </c>
      <c r="F5374" s="1" t="n">
        <v>28.02</v>
      </c>
      <c r="G5374" s="1" t="n">
        <v>11.29</v>
      </c>
      <c r="H5374" s="1" t="n">
        <v>6</v>
      </c>
      <c r="I5374" s="1" t="n">
        <v>3.28</v>
      </c>
    </row>
    <row r="5375" ht="15.75" customHeight="1" s="201">
      <c r="A5375" s="1" t="inlineStr">
        <is>
          <t>Pork, fresh, loin, blade (chops), bone-in, separable lean only, cooked, broiled</t>
        </is>
      </c>
      <c r="C5375" s="1" t="n">
        <v>0</v>
      </c>
      <c r="D5375" s="1" t="n">
        <v>0</v>
      </c>
      <c r="E5375" s="1" t="n">
        <v>0.91</v>
      </c>
      <c r="F5375" s="1" t="n">
        <v>24.99</v>
      </c>
      <c r="G5375" s="1" t="n">
        <v>9.56</v>
      </c>
      <c r="H5375" s="1" t="n">
        <v>8</v>
      </c>
      <c r="I5375" s="1" t="n">
        <v>3.34</v>
      </c>
    </row>
    <row r="5376" ht="15.75" customHeight="1" s="201">
      <c r="A5376" s="1" t="inlineStr">
        <is>
          <t>Pork, fresh, loin, blade (chops), bone-in, separable lean only, cooked, pan-fried</t>
        </is>
      </c>
      <c r="C5376" s="1" t="n">
        <v>0</v>
      </c>
      <c r="D5376" s="1" t="n">
        <v>0</v>
      </c>
      <c r="E5376" s="1" t="n">
        <v>0.88</v>
      </c>
      <c r="F5376" s="1" t="n">
        <v>26.38</v>
      </c>
      <c r="G5376" s="1" t="n">
        <v>12.14</v>
      </c>
      <c r="H5376" s="1" t="n">
        <v>10</v>
      </c>
      <c r="I5376" s="1" t="n">
        <v>3.03</v>
      </c>
    </row>
    <row r="5377" ht="15.75" customHeight="1" s="201">
      <c r="A5377" s="1" t="inlineStr">
        <is>
          <t>Pork, fresh, loin, blade (chops), boneless, separable lean only, boneless, cooked, broiled</t>
        </is>
      </c>
      <c r="C5377" s="1" t="n">
        <v>0.89</v>
      </c>
      <c r="D5377" s="1" t="n">
        <v>0</v>
      </c>
      <c r="E5377" s="1" t="n">
        <v>0.92</v>
      </c>
      <c r="F5377" s="1" t="n">
        <v>26.14</v>
      </c>
      <c r="G5377" s="1" t="n">
        <v>6.74</v>
      </c>
      <c r="H5377" s="1" t="n">
        <v>8</v>
      </c>
      <c r="I5377" s="1" t="n">
        <v>2.45</v>
      </c>
      <c r="J5377" t="n">
        <v>24168030</v>
      </c>
    </row>
    <row r="5378" ht="15.75" customHeight="1" s="201">
      <c r="A5378" s="1" t="inlineStr">
        <is>
          <t>Pork, fresh, loin, blade (roasts), bone-in, separable lean and fat, cooked, roasted</t>
        </is>
      </c>
      <c r="C5378" s="1" t="n">
        <v>0</v>
      </c>
      <c r="D5378" s="1" t="n">
        <v>0</v>
      </c>
      <c r="E5378" s="1" t="n">
        <v>0.8100000000000001</v>
      </c>
      <c r="F5378" s="1" t="n">
        <v>24.29</v>
      </c>
      <c r="G5378" s="1" t="n">
        <v>16.71</v>
      </c>
      <c r="H5378" s="1" t="n">
        <v>12</v>
      </c>
      <c r="I5378" s="1" t="n">
        <v>3.21</v>
      </c>
    </row>
    <row r="5379" ht="15.75" customHeight="1" s="201">
      <c r="A5379" s="1" t="inlineStr">
        <is>
          <t>Pork, fresh, loin, blade (roasts), bone-in, separable lean only, cooked, roasted</t>
        </is>
      </c>
      <c r="C5379" s="1" t="n">
        <v>0</v>
      </c>
      <c r="D5379" s="1" t="n">
        <v>0</v>
      </c>
      <c r="E5379" s="1" t="n">
        <v>0.85</v>
      </c>
      <c r="F5379" s="1" t="n">
        <v>25.7</v>
      </c>
      <c r="G5379" s="1" t="n">
        <v>11.89</v>
      </c>
      <c r="H5379" s="1" t="n">
        <v>4</v>
      </c>
      <c r="I5379" s="1" t="n">
        <v>3.41</v>
      </c>
    </row>
    <row r="5380" ht="15.75" customHeight="1" s="201">
      <c r="A5380" s="1" t="inlineStr">
        <is>
          <t>Pork, fresh, loin, blade (roasts), boneless, separable lean and fat, cooked, roasted</t>
        </is>
      </c>
      <c r="C5380" s="1" t="n">
        <v>0</v>
      </c>
      <c r="D5380" s="1" t="n">
        <v>0</v>
      </c>
      <c r="E5380" s="1" t="n">
        <v>0.89</v>
      </c>
      <c r="F5380" s="1" t="n">
        <v>26.48</v>
      </c>
      <c r="G5380" s="1" t="n">
        <v>10.32</v>
      </c>
      <c r="H5380" s="1" t="n">
        <v>8</v>
      </c>
      <c r="I5380" s="1" t="n">
        <v>2.41</v>
      </c>
    </row>
    <row r="5381" ht="15.75" customHeight="1" s="201">
      <c r="A5381" s="1" t="inlineStr">
        <is>
          <t>Pork, fresh, loin, blade (roasts), boneless, separable lean only, cooked, roasted</t>
        </is>
      </c>
      <c r="C5381" s="1" t="n">
        <v>0</v>
      </c>
      <c r="D5381" s="1" t="n">
        <v>0</v>
      </c>
      <c r="E5381" s="1" t="n">
        <v>0.92</v>
      </c>
      <c r="F5381" s="1" t="n">
        <v>27.58</v>
      </c>
      <c r="G5381" s="1" t="n">
        <v>7.14</v>
      </c>
      <c r="H5381" s="1" t="n">
        <v>4</v>
      </c>
      <c r="I5381" s="1" t="n">
        <v>2.5</v>
      </c>
    </row>
    <row r="5382" ht="15.75" customHeight="1" s="201">
      <c r="A5382" s="1" t="inlineStr">
        <is>
          <t>Pork, fresh, loin, center loin (chops), bone-in, separable lean and fat, cooked, braised</t>
        </is>
      </c>
      <c r="C5382" s="1" t="n">
        <v>0</v>
      </c>
      <c r="D5382" s="1" t="n">
        <v>0</v>
      </c>
      <c r="E5382" s="1" t="n">
        <v>0.86</v>
      </c>
      <c r="F5382" s="1" t="n">
        <v>28.21</v>
      </c>
      <c r="G5382" s="1" t="n">
        <v>13.51</v>
      </c>
      <c r="H5382" s="1" t="n">
        <v>14</v>
      </c>
      <c r="I5382" s="1" t="n">
        <v>3.28</v>
      </c>
      <c r="J5382" t="n">
        <v>23104010</v>
      </c>
    </row>
    <row r="5383" ht="15.75" customHeight="1" s="201">
      <c r="A5383" s="1" t="inlineStr">
        <is>
          <t>Pork, fresh, loin, center loin (chops), bone-in, separable lean and fat, cooked, broiled</t>
        </is>
      </c>
      <c r="C5383" s="1" t="n">
        <v>0</v>
      </c>
      <c r="D5383" s="1" t="n">
        <v>0</v>
      </c>
      <c r="E5383" s="1" t="n">
        <v>0.79</v>
      </c>
      <c r="F5383" s="1" t="n">
        <v>25.61</v>
      </c>
      <c r="G5383" s="1" t="n">
        <v>11.06</v>
      </c>
      <c r="H5383" s="1" t="n">
        <v>6</v>
      </c>
      <c r="I5383" s="1" t="n">
        <v>2.14</v>
      </c>
      <c r="J5383" t="n">
        <v>23104010</v>
      </c>
    </row>
    <row r="5384" ht="15.75" customHeight="1" s="201">
      <c r="A5384" s="1" t="inlineStr">
        <is>
          <t>Pork, fresh, loin, center loin (chops), bone-in, separable lean and fat, cooked, pan-fried</t>
        </is>
      </c>
      <c r="C5384" s="1" t="n">
        <v>0</v>
      </c>
      <c r="D5384" s="1" t="n">
        <v>0</v>
      </c>
      <c r="E5384" s="1" t="n">
        <v>0.93</v>
      </c>
      <c r="F5384" s="1" t="n">
        <v>27.63</v>
      </c>
      <c r="G5384" s="1" t="n">
        <v>13.32</v>
      </c>
      <c r="H5384" s="1" t="n">
        <v>17</v>
      </c>
      <c r="I5384" s="1" t="n">
        <v>3.2</v>
      </c>
      <c r="J5384" t="n">
        <v>23104010</v>
      </c>
    </row>
    <row r="5385" ht="15.75" customHeight="1" s="201">
      <c r="A5385" s="1" t="inlineStr">
        <is>
          <t>Pork, fresh, loin, center loin (chops), bone-in, separable lean and fat, raw</t>
        </is>
      </c>
      <c r="C5385" s="1" t="n">
        <v>0</v>
      </c>
      <c r="D5385" s="1" t="n">
        <v>0</v>
      </c>
      <c r="E5385" s="1" t="n">
        <v>0.63</v>
      </c>
      <c r="F5385" s="1" t="n">
        <v>20.71</v>
      </c>
      <c r="G5385" s="1" t="n">
        <v>9.029999999999999</v>
      </c>
      <c r="H5385" s="1" t="n">
        <v>6</v>
      </c>
      <c r="I5385" s="1" t="n">
        <v>1.77</v>
      </c>
      <c r="J5385" t="n">
        <v>23104010</v>
      </c>
    </row>
    <row r="5386" ht="15.75" customHeight="1" s="201">
      <c r="A5386" s="1" t="inlineStr">
        <is>
          <t>Pork, fresh, loin, center loin (chops), bone-in, separable lean only, cooked, braised</t>
        </is>
      </c>
      <c r="C5386" s="1" t="n">
        <v>0</v>
      </c>
      <c r="D5386" s="1" t="n">
        <v>0</v>
      </c>
      <c r="E5386" s="1" t="n">
        <v>0.91</v>
      </c>
      <c r="F5386" s="1" t="n">
        <v>30.2</v>
      </c>
      <c r="G5386" s="1" t="n">
        <v>7.86</v>
      </c>
      <c r="H5386" s="1" t="n">
        <v>6</v>
      </c>
      <c r="I5386" s="1" t="n">
        <v>3.51</v>
      </c>
      <c r="J5386" t="n">
        <v>23104020</v>
      </c>
    </row>
    <row r="5387" ht="15.75" customHeight="1" s="201">
      <c r="A5387" s="1" t="inlineStr">
        <is>
          <t>Pork, fresh, loin, center loin (chops), bone-in, separable lean only, cooked, broiled</t>
        </is>
      </c>
      <c r="C5387" s="1" t="n">
        <v>0</v>
      </c>
      <c r="D5387" s="1" t="n">
        <v>0</v>
      </c>
      <c r="E5387" s="1" t="n">
        <v>0.8</v>
      </c>
      <c r="F5387" s="1" t="n">
        <v>26.76</v>
      </c>
      <c r="G5387" s="1" t="n">
        <v>7.29</v>
      </c>
      <c r="H5387" s="1" t="n">
        <v>0</v>
      </c>
      <c r="I5387" s="1" t="n">
        <v>2.22</v>
      </c>
      <c r="J5387" t="n">
        <v>23104020</v>
      </c>
    </row>
    <row r="5388" ht="15.75" customHeight="1" s="201">
      <c r="A5388" s="1" t="inlineStr">
        <is>
          <t>Pork, fresh, loin, center loin (chops), bone-in, separable lean only, cooked, pan-fried</t>
        </is>
      </c>
      <c r="C5388" s="1" t="n">
        <v>0</v>
      </c>
      <c r="D5388" s="1" t="n">
        <v>0</v>
      </c>
      <c r="E5388" s="1" t="n">
        <v>0.99</v>
      </c>
      <c r="F5388" s="1" t="n">
        <v>29.56</v>
      </c>
      <c r="G5388" s="1" t="n">
        <v>7.66</v>
      </c>
      <c r="H5388" s="1" t="n">
        <v>10</v>
      </c>
      <c r="I5388" s="1" t="n">
        <v>3.42</v>
      </c>
      <c r="J5388" t="n">
        <v>23104020</v>
      </c>
    </row>
    <row r="5389" ht="15.75" customHeight="1" s="201">
      <c r="A5389" s="1" t="inlineStr">
        <is>
          <t>Pork, fresh, loin, center loin (chops), bone-in, separable lean only, raw</t>
        </is>
      </c>
      <c r="C5389" s="1" t="n">
        <v>0</v>
      </c>
      <c r="D5389" s="1" t="n">
        <v>0</v>
      </c>
      <c r="E5389" s="1" t="n">
        <v>0.65</v>
      </c>
      <c r="F5389" s="1" t="n">
        <v>21.99</v>
      </c>
      <c r="G5389" s="1" t="n">
        <v>3.71</v>
      </c>
      <c r="H5389" s="1" t="n">
        <v>0</v>
      </c>
      <c r="I5389" s="1" t="n">
        <v>1.86</v>
      </c>
      <c r="J5389" t="n">
        <v>23104020</v>
      </c>
    </row>
    <row r="5390" ht="15.75" customHeight="1" s="201">
      <c r="A5390" s="1" t="inlineStr">
        <is>
          <t>Pork, fresh, loin, center loin (chops), boneless, separable lean and fat, cooked, pan-broiled</t>
        </is>
      </c>
      <c r="C5390" s="1" t="n">
        <v>0</v>
      </c>
      <c r="D5390" s="1" t="n">
        <v>0</v>
      </c>
      <c r="E5390" s="1" t="n">
        <v>0.62</v>
      </c>
      <c r="F5390" s="1" t="n">
        <v>26.68</v>
      </c>
      <c r="G5390" s="1" t="n">
        <v>13.6</v>
      </c>
      <c r="H5390" s="1" t="n">
        <v>16</v>
      </c>
      <c r="I5390" s="1" t="n">
        <v>1.6</v>
      </c>
      <c r="J5390" t="n">
        <v>23104010</v>
      </c>
    </row>
    <row r="5391" ht="15.75" customHeight="1" s="201">
      <c r="A5391" s="1" t="inlineStr">
        <is>
          <t>Pork, fresh, loin, center loin (chops), boneless, separable lean and fat, raw</t>
        </is>
      </c>
      <c r="C5391" s="1" t="n">
        <v>0</v>
      </c>
      <c r="D5391" s="1" t="n">
        <v>0</v>
      </c>
      <c r="E5391" s="1" t="n">
        <v>0.48</v>
      </c>
      <c r="F5391" s="1" t="n">
        <v>21.14</v>
      </c>
      <c r="G5391" s="1" t="n">
        <v>12.96</v>
      </c>
      <c r="H5391" s="1" t="n">
        <v>16</v>
      </c>
      <c r="I5391" s="1" t="n">
        <v>1.31</v>
      </c>
      <c r="J5391" t="n">
        <v>23104010</v>
      </c>
    </row>
    <row r="5392" ht="15.75" customHeight="1" s="201">
      <c r="A5392" s="1" t="inlineStr">
        <is>
          <t>Pork, fresh, loin, center loin (chops), boneless, separable lean only, cooked, pan-broiled</t>
        </is>
      </c>
      <c r="C5392" s="1" t="n">
        <v>0</v>
      </c>
      <c r="D5392" s="1" t="n">
        <v>0</v>
      </c>
      <c r="E5392" s="1" t="n">
        <v>0.64</v>
      </c>
      <c r="F5392" s="1" t="n">
        <v>30.02</v>
      </c>
      <c r="G5392" s="1" t="n">
        <v>4.65</v>
      </c>
      <c r="H5392" s="1" t="n">
        <v>5</v>
      </c>
      <c r="I5392" s="1" t="n">
        <v>1.75</v>
      </c>
      <c r="J5392" t="n">
        <v>23104020</v>
      </c>
    </row>
    <row r="5393" ht="15.75" customHeight="1" s="201">
      <c r="A5393" s="1" t="inlineStr">
        <is>
          <t>Pork, fresh, loin, center loin (chops), boneless, separable lean only, raw</t>
        </is>
      </c>
      <c r="C5393" s="1" t="n">
        <v>0</v>
      </c>
      <c r="D5393" s="1" t="n">
        <v>0</v>
      </c>
      <c r="E5393" s="1" t="n">
        <v>0.48</v>
      </c>
      <c r="F5393" s="1" t="n">
        <v>23.75</v>
      </c>
      <c r="G5393" s="1" t="n">
        <v>3.09</v>
      </c>
      <c r="H5393" s="1" t="n">
        <v>4</v>
      </c>
      <c r="I5393" s="1" t="n">
        <v>1.42</v>
      </c>
      <c r="J5393" t="n">
        <v>23104020</v>
      </c>
    </row>
    <row r="5394" ht="15.75" customHeight="1" s="201">
      <c r="A5394" s="1" t="inlineStr">
        <is>
          <t>Pork, fresh, loin, center loin (roasts), bone-in, separable lean and fat, cooked, roasted</t>
        </is>
      </c>
      <c r="C5394" s="1" t="n">
        <v>0</v>
      </c>
      <c r="D5394" s="1" t="n">
        <v>0</v>
      </c>
      <c r="E5394" s="1" t="n">
        <v>0.89</v>
      </c>
      <c r="F5394" s="1" t="n">
        <v>27.01</v>
      </c>
      <c r="G5394" s="1" t="n">
        <v>12.8</v>
      </c>
      <c r="H5394" s="1" t="n">
        <v>15</v>
      </c>
      <c r="I5394" s="1" t="n">
        <v>3.53</v>
      </c>
      <c r="J5394" t="n">
        <v>23104010</v>
      </c>
    </row>
    <row r="5395" ht="15.75" customHeight="1" s="201">
      <c r="A5395" s="1" t="inlineStr">
        <is>
          <t>Pork, fresh, loin, center loin (roasts), bone-in, separable lean only, cooked, roasted</t>
        </is>
      </c>
      <c r="C5395" s="1" t="n">
        <v>0</v>
      </c>
      <c r="D5395" s="1" t="n">
        <v>0</v>
      </c>
      <c r="E5395" s="1" t="n">
        <v>0.93</v>
      </c>
      <c r="F5395" s="1" t="n">
        <v>28.58</v>
      </c>
      <c r="G5395" s="1" t="n">
        <v>7.95</v>
      </c>
      <c r="H5395" s="1" t="n">
        <v>8</v>
      </c>
      <c r="I5395" s="1" t="n">
        <v>3.74</v>
      </c>
      <c r="J5395" t="n">
        <v>23104020</v>
      </c>
    </row>
    <row r="5396" ht="15.75" customHeight="1" s="201">
      <c r="A5396" s="1" t="inlineStr">
        <is>
          <t>Pork, fresh, loin, center rib (chops or roasts), bone-in, separable lean and fat, raw</t>
        </is>
      </c>
      <c r="C5396" s="1" t="n">
        <v>0</v>
      </c>
      <c r="D5396" s="1" t="n">
        <v>0</v>
      </c>
      <c r="E5396" s="1" t="n">
        <v>0.59</v>
      </c>
      <c r="F5396" s="1" t="n">
        <v>20.28</v>
      </c>
      <c r="G5396" s="1" t="n">
        <v>11.04</v>
      </c>
      <c r="H5396" s="1" t="n">
        <v>8</v>
      </c>
      <c r="I5396" s="1" t="n">
        <v>1.85</v>
      </c>
    </row>
    <row r="5397" ht="15.75" customHeight="1" s="201">
      <c r="A5397" s="1" t="inlineStr">
        <is>
          <t>Pork, fresh, loin, center rib (chops or roasts), bone-in, separable lean only, raw</t>
        </is>
      </c>
      <c r="C5397" s="1" t="n">
        <v>0</v>
      </c>
      <c r="D5397" s="1" t="n">
        <v>0</v>
      </c>
      <c r="E5397" s="1" t="n">
        <v>0.61</v>
      </c>
      <c r="F5397" s="1" t="n">
        <v>21.79</v>
      </c>
      <c r="G5397" s="1" t="n">
        <v>4.8</v>
      </c>
      <c r="H5397" s="1" t="n">
        <v>0</v>
      </c>
      <c r="I5397" s="1" t="n">
        <v>1.97</v>
      </c>
    </row>
    <row r="5398" ht="15.75" customHeight="1" s="201">
      <c r="A5398" s="1" t="inlineStr">
        <is>
          <t>Pork, fresh, loin, center rib (chops or roasts), boneless, separable lean and fat, raw</t>
        </is>
      </c>
      <c r="C5398" s="1" t="n">
        <v>0</v>
      </c>
      <c r="D5398" s="1" t="n">
        <v>6</v>
      </c>
      <c r="E5398" s="1" t="n">
        <v>0.71</v>
      </c>
      <c r="F5398" s="1" t="n">
        <v>19.9</v>
      </c>
      <c r="G5398" s="1" t="n">
        <v>14.01</v>
      </c>
      <c r="H5398" s="1" t="n">
        <v>6</v>
      </c>
      <c r="I5398" s="1" t="n">
        <v>1.57</v>
      </c>
    </row>
    <row r="5399" ht="15.75" customHeight="1" s="201">
      <c r="A5399" s="1" t="inlineStr">
        <is>
          <t>Pork, fresh, loin, center rib (chops or roasts), boneless, separable lean only, raw</t>
        </is>
      </c>
      <c r="C5399" s="1" t="n">
        <v>0</v>
      </c>
      <c r="D5399" s="1" t="n">
        <v>7</v>
      </c>
      <c r="E5399" s="1" t="n">
        <v>0.77</v>
      </c>
      <c r="F5399" s="1" t="n">
        <v>21.8</v>
      </c>
      <c r="G5399" s="1" t="n">
        <v>6.48</v>
      </c>
      <c r="H5399" s="1" t="n">
        <v>6</v>
      </c>
      <c r="I5399" s="1" t="n">
        <v>1.69</v>
      </c>
    </row>
    <row r="5400" ht="15.75" customHeight="1" s="201">
      <c r="A5400" s="1" t="inlineStr">
        <is>
          <t>Pork, fresh, loin, center rib (chops), bone-in, separable lean and fat, cooked, braised</t>
        </is>
      </c>
      <c r="C5400" s="1" t="n">
        <v>0</v>
      </c>
      <c r="D5400" s="1" t="n">
        <v>0</v>
      </c>
      <c r="E5400" s="1" t="n">
        <v>0.8100000000000001</v>
      </c>
      <c r="F5400" s="1" t="n">
        <v>26.66</v>
      </c>
      <c r="G5400" s="1" t="n">
        <v>16.28</v>
      </c>
      <c r="H5400" s="1" t="n">
        <v>16</v>
      </c>
      <c r="I5400" s="1" t="n">
        <v>3.1</v>
      </c>
    </row>
    <row r="5401" ht="15.75" customHeight="1" s="201">
      <c r="A5401" s="1" t="inlineStr">
        <is>
          <t>Pork, fresh, loin, center rib (chops), bone-in, separable lean and fat, cooked, broiled</t>
        </is>
      </c>
      <c r="C5401" s="1" t="n">
        <v>0</v>
      </c>
      <c r="D5401" s="1" t="n">
        <v>0</v>
      </c>
      <c r="E5401" s="1" t="n">
        <v>0.68</v>
      </c>
      <c r="F5401" s="1" t="n">
        <v>24.42</v>
      </c>
      <c r="G5401" s="1" t="n">
        <v>13.04</v>
      </c>
      <c r="H5401" s="1" t="n">
        <v>8</v>
      </c>
      <c r="I5401" s="1" t="n">
        <v>2.15</v>
      </c>
    </row>
    <row r="5402" ht="15.75" customHeight="1" s="201">
      <c r="A5402" s="1" t="inlineStr">
        <is>
          <t>Pork, fresh, loin, center rib (chops), bone-in, separable lean and fat, cooked, pan-fried</t>
        </is>
      </c>
      <c r="C5402" s="1" t="n">
        <v>0</v>
      </c>
      <c r="D5402" s="1" t="n">
        <v>0</v>
      </c>
      <c r="E5402" s="1" t="n">
        <v>0.83</v>
      </c>
      <c r="F5402" s="1" t="n">
        <v>26.81</v>
      </c>
      <c r="G5402" s="1" t="n">
        <v>15.71</v>
      </c>
      <c r="H5402" s="1" t="n">
        <v>18</v>
      </c>
      <c r="I5402" s="1" t="n">
        <v>2.83</v>
      </c>
    </row>
    <row r="5403" ht="15.75" customHeight="1" s="201">
      <c r="A5403" s="1" t="inlineStr">
        <is>
          <t>Pork, fresh, loin, center rib (chops), bone-in, separable lean only, cooked, braised</t>
        </is>
      </c>
      <c r="C5403" s="1" t="n">
        <v>0</v>
      </c>
      <c r="D5403" s="1" t="n">
        <v>0</v>
      </c>
      <c r="E5403" s="1" t="n">
        <v>0.87</v>
      </c>
      <c r="F5403" s="1" t="n">
        <v>29.03</v>
      </c>
      <c r="G5403" s="1" t="n">
        <v>9.32</v>
      </c>
      <c r="H5403" s="1" t="n">
        <v>6</v>
      </c>
      <c r="I5403" s="1" t="n">
        <v>3.37</v>
      </c>
    </row>
    <row r="5404" ht="15.75" customHeight="1" s="201">
      <c r="A5404" s="1" t="inlineStr">
        <is>
          <t>Pork, fresh, loin, center rib (chops), bone-in, separable lean only, cooked, broiled</t>
        </is>
      </c>
      <c r="C5404" s="1" t="n">
        <v>0</v>
      </c>
      <c r="D5404" s="1" t="n">
        <v>0</v>
      </c>
      <c r="E5404" s="1" t="n">
        <v>0.68</v>
      </c>
      <c r="F5404" s="1" t="n">
        <v>25.79</v>
      </c>
      <c r="G5404" s="1" t="n">
        <v>8.359999999999999</v>
      </c>
      <c r="H5404" s="1" t="n">
        <v>0</v>
      </c>
      <c r="I5404" s="1" t="n">
        <v>2.25</v>
      </c>
    </row>
    <row r="5405" ht="15.75" customHeight="1" s="201">
      <c r="A5405" s="1" t="inlineStr">
        <is>
          <t>Pork, fresh, loin, center rib (chops), bone-in, separable lean only, cooked, pan-fried</t>
        </is>
      </c>
      <c r="C5405" s="1" t="n">
        <v>0</v>
      </c>
      <c r="D5405" s="1" t="n">
        <v>0</v>
      </c>
      <c r="E5405" s="1" t="n">
        <v>0.88</v>
      </c>
      <c r="F5405" s="1" t="n">
        <v>28.84</v>
      </c>
      <c r="G5405" s="1" t="n">
        <v>9.73</v>
      </c>
      <c r="H5405" s="1" t="n">
        <v>10</v>
      </c>
      <c r="I5405" s="1" t="n">
        <v>3.03</v>
      </c>
    </row>
    <row r="5406" ht="15.75" customHeight="1" s="201">
      <c r="A5406" s="1" t="inlineStr">
        <is>
          <t>Pork, fresh, loin, center rib (chops), boneless, separable lean and fat, cooked, braised</t>
        </is>
      </c>
      <c r="C5406" s="1" t="n">
        <v>0</v>
      </c>
      <c r="D5406" s="1" t="n">
        <v>4</v>
      </c>
      <c r="E5406" s="1" t="n">
        <v>0.92</v>
      </c>
      <c r="F5406" s="1" t="n">
        <v>26.29</v>
      </c>
      <c r="G5406" s="1" t="n">
        <v>15.79</v>
      </c>
      <c r="H5406" s="1" t="n">
        <v>7</v>
      </c>
      <c r="I5406" s="1" t="n">
        <v>2.07</v>
      </c>
    </row>
    <row r="5407" ht="15.75" customHeight="1" s="201">
      <c r="A5407" s="1" t="inlineStr">
        <is>
          <t>Pork, fresh, loin, center rib (chops), boneless, separable lean and fat, cooked, broiled</t>
        </is>
      </c>
      <c r="C5407" s="1" t="n">
        <v>0</v>
      </c>
      <c r="D5407" s="1" t="n">
        <v>8</v>
      </c>
      <c r="E5407" s="1" t="n">
        <v>0.77</v>
      </c>
      <c r="F5407" s="1" t="n">
        <v>27.63</v>
      </c>
      <c r="G5407" s="1" t="n">
        <v>15.76</v>
      </c>
      <c r="H5407" s="1" t="n">
        <v>7</v>
      </c>
      <c r="I5407" s="1" t="n">
        <v>2.26</v>
      </c>
    </row>
    <row r="5408" ht="15.75" customHeight="1" s="201">
      <c r="A5408" s="1" t="inlineStr">
        <is>
          <t>Pork, fresh, loin, center rib (chops), boneless, separable lean and fat, cooked, pan-fried</t>
        </is>
      </c>
      <c r="C5408" s="1" t="n">
        <v>0</v>
      </c>
      <c r="D5408" s="1" t="n">
        <v>7</v>
      </c>
      <c r="E5408" s="1" t="n">
        <v>0.73</v>
      </c>
      <c r="F5408" s="1" t="n">
        <v>25.82</v>
      </c>
      <c r="G5408" s="1" t="n">
        <v>18.05</v>
      </c>
      <c r="H5408" s="1" t="n">
        <v>7</v>
      </c>
      <c r="I5408" s="1" t="n">
        <v>2.04</v>
      </c>
    </row>
    <row r="5409" ht="15.75" customHeight="1" s="201">
      <c r="A5409" s="1" t="inlineStr">
        <is>
          <t>Pork, fresh, loin, center rib (chops), boneless, separable lean only, cooked, braised</t>
        </is>
      </c>
      <c r="C5409" s="1" t="n">
        <v>0</v>
      </c>
      <c r="D5409" s="1" t="n">
        <v>4</v>
      </c>
      <c r="E5409" s="1" t="n">
        <v>0.99</v>
      </c>
      <c r="F5409" s="1" t="n">
        <v>27.95</v>
      </c>
      <c r="G5409" s="1" t="n">
        <v>10.14</v>
      </c>
      <c r="H5409" s="1" t="n">
        <v>6</v>
      </c>
      <c r="I5409" s="1" t="n">
        <v>2.16</v>
      </c>
    </row>
    <row r="5410" ht="15.75" customHeight="1" s="201">
      <c r="A5410" s="1" t="inlineStr">
        <is>
          <t>Pork, fresh, loin, center rib (chops), boneless, separable lean only, cooked, broiled</t>
        </is>
      </c>
      <c r="C5410" s="1" t="n">
        <v>0</v>
      </c>
      <c r="D5410" s="1" t="n">
        <v>9</v>
      </c>
      <c r="E5410" s="1" t="n">
        <v>0.82</v>
      </c>
      <c r="F5410" s="1" t="n">
        <v>29.46</v>
      </c>
      <c r="G5410" s="1" t="n">
        <v>10.05</v>
      </c>
      <c r="H5410" s="1" t="n">
        <v>6</v>
      </c>
      <c r="I5410" s="1" t="n">
        <v>2.38</v>
      </c>
    </row>
    <row r="5411" ht="15.75" customHeight="1" s="201">
      <c r="A5411" s="1" t="inlineStr">
        <is>
          <t>Pork, fresh, loin, center rib (chops), boneless, separable lean only, cooked, pan-fried</t>
        </is>
      </c>
      <c r="C5411" s="1" t="n">
        <v>0</v>
      </c>
      <c r="D5411" s="1" t="n">
        <v>8</v>
      </c>
      <c r="E5411" s="1" t="n">
        <v>0.78</v>
      </c>
      <c r="F5411" s="1" t="n">
        <v>27.68</v>
      </c>
      <c r="G5411" s="1" t="n">
        <v>11.8</v>
      </c>
      <c r="H5411" s="1" t="n">
        <v>6</v>
      </c>
      <c r="I5411" s="1" t="n">
        <v>2.14</v>
      </c>
    </row>
    <row r="5412" ht="15.75" customHeight="1" s="201">
      <c r="A5412" s="1" t="inlineStr">
        <is>
          <t>Pork, fresh, loin, center rib (roasts), bone-in, separable lean and fat, cooked, roasted</t>
        </is>
      </c>
      <c r="C5412" s="1" t="n">
        <v>0</v>
      </c>
      <c r="D5412" s="1" t="n">
        <v>0</v>
      </c>
      <c r="E5412" s="1" t="n">
        <v>0.96</v>
      </c>
      <c r="F5412" s="1" t="n">
        <v>26.99</v>
      </c>
      <c r="G5412" s="1" t="n">
        <v>14.68</v>
      </c>
      <c r="H5412" s="1" t="n">
        <v>16</v>
      </c>
      <c r="I5412" s="1" t="n">
        <v>2.91</v>
      </c>
    </row>
    <row r="5413" ht="15.75" customHeight="1" s="201">
      <c r="A5413" s="1" t="inlineStr">
        <is>
          <t>Pork, fresh, loin, center rib (roasts), bone-in, separable lean only, cooked, roasted</t>
        </is>
      </c>
      <c r="C5413" s="1" t="n">
        <v>0</v>
      </c>
      <c r="D5413" s="1" t="n">
        <v>0</v>
      </c>
      <c r="E5413" s="1" t="n">
        <v>1.02</v>
      </c>
      <c r="F5413" s="1" t="n">
        <v>28.82</v>
      </c>
      <c r="G5413" s="1" t="n">
        <v>9.210000000000001</v>
      </c>
      <c r="H5413" s="1" t="n">
        <v>9</v>
      </c>
      <c r="I5413" s="1" t="n">
        <v>3.09</v>
      </c>
    </row>
    <row r="5414" ht="15.75" customHeight="1" s="201">
      <c r="A5414" s="1" t="inlineStr">
        <is>
          <t>Pork, fresh, loin, center rib (roasts), boneless, separable lean and fat, cooked, roasted</t>
        </is>
      </c>
      <c r="C5414" s="1" t="n">
        <v>0</v>
      </c>
      <c r="D5414" s="1" t="n">
        <v>8</v>
      </c>
      <c r="E5414" s="1" t="n">
        <v>0.93</v>
      </c>
      <c r="F5414" s="1" t="n">
        <v>26.99</v>
      </c>
      <c r="G5414" s="1" t="n">
        <v>15.15</v>
      </c>
      <c r="H5414" s="1" t="n">
        <v>9</v>
      </c>
      <c r="I5414" s="1" t="n">
        <v>2.64</v>
      </c>
    </row>
    <row r="5415" ht="15.75" customHeight="1" s="201">
      <c r="A5415" s="1" t="inlineStr">
        <is>
          <t>Pork, fresh, loin, center rib (roasts), boneless, separable lean only, cooked, roasted</t>
        </is>
      </c>
      <c r="C5415" s="1" t="n">
        <v>0</v>
      </c>
      <c r="D5415" s="1" t="n">
        <v>9</v>
      </c>
      <c r="E5415" s="1" t="n">
        <v>1</v>
      </c>
      <c r="F5415" s="1" t="n">
        <v>28.81</v>
      </c>
      <c r="G5415" s="1" t="n">
        <v>10.13</v>
      </c>
      <c r="H5415" s="1" t="n">
        <v>8</v>
      </c>
      <c r="I5415" s="1" t="n">
        <v>2.83</v>
      </c>
    </row>
    <row r="5416" ht="15.75" customHeight="1" s="201">
      <c r="A5416" s="1" t="inlineStr">
        <is>
          <t>Pork, fresh, loin, country-style ribs, separable lean and fat, bone-in, cooked, broiled</t>
        </is>
      </c>
      <c r="C5416" s="1" t="n">
        <v>0</v>
      </c>
      <c r="D5416" s="1" t="n">
        <v>0</v>
      </c>
      <c r="E5416" s="1" t="n">
        <v>0.96</v>
      </c>
      <c r="F5416" s="1" t="n">
        <v>25.58</v>
      </c>
      <c r="G5416" s="1" t="n">
        <v>17.56</v>
      </c>
      <c r="H5416" s="1" t="n">
        <v>17</v>
      </c>
      <c r="I5416" s="1" t="n">
        <v>3.41</v>
      </c>
    </row>
    <row r="5417" ht="15.75" customHeight="1" s="201">
      <c r="A5417" s="1" t="inlineStr">
        <is>
          <t>Pork, fresh, loin, country-style ribs, separable lean and fat, bone-in, cooked, roasted</t>
        </is>
      </c>
      <c r="C5417" s="1" t="n">
        <v>0</v>
      </c>
      <c r="D5417" s="1" t="n">
        <v>4</v>
      </c>
      <c r="E5417" s="1" t="n">
        <v>1</v>
      </c>
      <c r="F5417" s="1" t="n">
        <v>21.75</v>
      </c>
      <c r="G5417" s="1" t="n">
        <v>29.46</v>
      </c>
      <c r="H5417" s="1" t="n">
        <v>8</v>
      </c>
      <c r="I5417" s="1" t="n">
        <v>2.2</v>
      </c>
    </row>
    <row r="5418" ht="15.75" customHeight="1" s="201">
      <c r="A5418" s="1" t="inlineStr">
        <is>
          <t>Pork, fresh, loin, country-style ribs, separable lean and fat, boneless, cooked, broiled</t>
        </is>
      </c>
      <c r="C5418" s="1" t="n">
        <v>0</v>
      </c>
      <c r="D5418" s="1" t="n">
        <v>0</v>
      </c>
      <c r="E5418" s="1" t="n">
        <v>0.89</v>
      </c>
      <c r="F5418" s="1" t="n">
        <v>26.28</v>
      </c>
      <c r="G5418" s="1" t="n">
        <v>15.73</v>
      </c>
      <c r="H5418" s="1" t="n">
        <v>14</v>
      </c>
      <c r="I5418" s="1" t="n">
        <v>2.33</v>
      </c>
    </row>
    <row r="5419" ht="15.75" customHeight="1" s="201">
      <c r="A5419" s="1" t="inlineStr">
        <is>
          <t>Pork, fresh, loin, country-style ribs, separable lean and fat, boneless, cooked, roasted</t>
        </is>
      </c>
      <c r="C5419" s="1" t="n">
        <v>0</v>
      </c>
      <c r="D5419" s="1" t="n">
        <v>0</v>
      </c>
      <c r="E5419" s="1" t="n">
        <v>0.91</v>
      </c>
      <c r="F5419" s="1" t="n">
        <v>26.4</v>
      </c>
      <c r="G5419" s="1" t="n">
        <v>18.31</v>
      </c>
      <c r="H5419" s="1" t="n">
        <v>14</v>
      </c>
      <c r="I5419" s="1" t="n">
        <v>2.42</v>
      </c>
    </row>
    <row r="5420" ht="15.75" customHeight="1" s="201">
      <c r="A5420" s="1" t="inlineStr">
        <is>
          <t>Pork, fresh, loin, country-style ribs, separable lean and fat, cooked, braised</t>
        </is>
      </c>
      <c r="C5420" s="1" t="n">
        <v>0</v>
      </c>
      <c r="D5420" s="1" t="n">
        <v>0</v>
      </c>
      <c r="E5420" s="1" t="n">
        <v>1.34</v>
      </c>
      <c r="F5420" s="1" t="n">
        <v>26.49</v>
      </c>
      <c r="G5420" s="1" t="n">
        <v>17.71</v>
      </c>
      <c r="H5420" s="1" t="n">
        <v>6</v>
      </c>
      <c r="I5420" s="1" t="n">
        <v>4.23</v>
      </c>
    </row>
    <row r="5421" ht="15.75" customHeight="1" s="201">
      <c r="A5421" s="1" t="inlineStr">
        <is>
          <t>Pork, fresh, loin, country-style ribs, separable lean and fat, raw</t>
        </is>
      </c>
      <c r="C5421" s="1" t="n">
        <v>0</v>
      </c>
      <c r="D5421" s="1" t="n">
        <v>0</v>
      </c>
      <c r="E5421" s="1" t="n">
        <v>0.85</v>
      </c>
      <c r="F5421" s="1" t="n">
        <v>19.34</v>
      </c>
      <c r="G5421" s="1" t="n">
        <v>11.82</v>
      </c>
      <c r="H5421" s="1" t="n">
        <v>8</v>
      </c>
      <c r="I5421" s="1" t="n">
        <v>2.78</v>
      </c>
      <c r="J5421" t="n">
        <v>28320300</v>
      </c>
    </row>
    <row r="5422" ht="15.75" customHeight="1" s="201">
      <c r="A5422" s="1" t="inlineStr">
        <is>
          <t>Pork, fresh, loin, country-style ribs, separable lean only, bone-in, cooked, broiled</t>
        </is>
      </c>
      <c r="C5422" s="1" t="n">
        <v>0</v>
      </c>
      <c r="D5422" s="1" t="n">
        <v>0</v>
      </c>
      <c r="E5422" s="1" t="n">
        <v>1.02</v>
      </c>
      <c r="F5422" s="1" t="n">
        <v>27.83</v>
      </c>
      <c r="G5422" s="1" t="n">
        <v>11.65</v>
      </c>
      <c r="H5422" s="1" t="n">
        <v>9</v>
      </c>
      <c r="I5422" s="1" t="n">
        <v>3.73</v>
      </c>
    </row>
    <row r="5423" ht="15.75" customHeight="1" s="201">
      <c r="A5423" s="1" t="inlineStr">
        <is>
          <t>Pork, fresh, loin, country-style ribs, separable lean only, bone-in, cooked, roasted</t>
        </is>
      </c>
      <c r="C5423" s="1" t="n">
        <v>0</v>
      </c>
      <c r="D5423" s="1" t="n">
        <v>0</v>
      </c>
      <c r="E5423" s="1" t="n">
        <v>0.98</v>
      </c>
      <c r="F5423" s="1" t="n">
        <v>29.2</v>
      </c>
      <c r="G5423" s="1" t="n">
        <v>11.38</v>
      </c>
      <c r="H5423" s="1" t="n">
        <v>5</v>
      </c>
      <c r="I5423" s="1" t="n">
        <v>3.94</v>
      </c>
    </row>
    <row r="5424" ht="15.75" customHeight="1" s="201">
      <c r="A5424" s="1" t="inlineStr">
        <is>
          <t>Pork, fresh, loin, country-style ribs, separable lean only, boneless, cooked, broiled</t>
        </is>
      </c>
      <c r="C5424" s="1" t="n">
        <v>0</v>
      </c>
      <c r="D5424" s="1" t="n">
        <v>0</v>
      </c>
      <c r="E5424" s="1" t="n">
        <v>0.92</v>
      </c>
      <c r="F5424" s="1" t="n">
        <v>27.83</v>
      </c>
      <c r="G5424" s="1" t="n">
        <v>11.65</v>
      </c>
      <c r="H5424" s="1" t="n">
        <v>9</v>
      </c>
      <c r="I5424" s="1" t="n">
        <v>2.46</v>
      </c>
    </row>
    <row r="5425" ht="15.75" customHeight="1" s="201">
      <c r="A5425" s="1" t="inlineStr">
        <is>
          <t>Pork, fresh, loin, country-style ribs, separable lean only, boneless, cooked, roasted</t>
        </is>
      </c>
      <c r="C5425" s="1" t="n">
        <v>0</v>
      </c>
      <c r="D5425" s="1" t="n">
        <v>0</v>
      </c>
      <c r="E5425" s="1" t="n">
        <v>0.98</v>
      </c>
      <c r="F5425" s="1" t="n">
        <v>29.2</v>
      </c>
      <c r="G5425" s="1" t="n">
        <v>11.38</v>
      </c>
      <c r="H5425" s="1" t="n">
        <v>5</v>
      </c>
      <c r="I5425" s="1" t="n">
        <v>2.66</v>
      </c>
    </row>
    <row r="5426" ht="15.75" customHeight="1" s="201">
      <c r="A5426" s="1" t="inlineStr">
        <is>
          <t>Pork, fresh, loin, country-style ribs, separable lean only, cooked, braised</t>
        </is>
      </c>
      <c r="C5426" s="1" t="n">
        <v>0</v>
      </c>
      <c r="D5426" s="1" t="n">
        <v>0</v>
      </c>
      <c r="E5426" s="1" t="n">
        <v>1.39</v>
      </c>
      <c r="F5426" s="1" t="n">
        <v>27.74</v>
      </c>
      <c r="G5426" s="1" t="n">
        <v>14.26</v>
      </c>
      <c r="H5426" s="1" t="n">
        <v>0</v>
      </c>
      <c r="I5426" s="1" t="n">
        <v>4.46</v>
      </c>
    </row>
    <row r="5427" ht="15.75" customHeight="1" s="201">
      <c r="A5427" s="1" t="inlineStr">
        <is>
          <t>Pork, fresh, loin, country-style ribs, separable lean only, raw</t>
        </is>
      </c>
      <c r="C5427" s="1" t="n">
        <v>0</v>
      </c>
      <c r="D5427" s="1" t="n">
        <v>0</v>
      </c>
      <c r="E5427" s="1" t="n">
        <v>0.9</v>
      </c>
      <c r="F5427" s="1" t="n">
        <v>20.76</v>
      </c>
      <c r="G5427" s="1" t="n">
        <v>5.64</v>
      </c>
      <c r="H5427" s="1" t="n">
        <v>0</v>
      </c>
      <c r="I5427" s="1" t="n">
        <v>3</v>
      </c>
    </row>
    <row r="5428" ht="15.75" customHeight="1" s="201">
      <c r="A5428" s="1" t="inlineStr">
        <is>
          <t>Pork, fresh, loin, sirloin (chops or roasts), bone-in, separable lean and fat, raw</t>
        </is>
      </c>
      <c r="C5428" s="1" t="n">
        <v>0</v>
      </c>
      <c r="D5428" s="1" t="n">
        <v>0</v>
      </c>
      <c r="E5428" s="1" t="n">
        <v>0.82</v>
      </c>
      <c r="F5428" s="1" t="n">
        <v>20.48</v>
      </c>
      <c r="G5428" s="1" t="n">
        <v>8.960000000000001</v>
      </c>
      <c r="H5428" s="1" t="n">
        <v>6</v>
      </c>
      <c r="I5428" s="1" t="n">
        <v>1.95</v>
      </c>
    </row>
    <row r="5429" ht="15.75" customHeight="1" s="201">
      <c r="A5429" s="1" t="inlineStr">
        <is>
          <t>Pork, fresh, loin, sirloin (chops or roasts), bone-in, separable lean only, raw</t>
        </is>
      </c>
      <c r="C5429" s="1" t="n">
        <v>0</v>
      </c>
      <c r="D5429" s="1" t="n">
        <v>0</v>
      </c>
      <c r="E5429" s="1" t="n">
        <v>0.85</v>
      </c>
      <c r="F5429" s="1" t="n">
        <v>21.65</v>
      </c>
      <c r="G5429" s="1" t="n">
        <v>4.02</v>
      </c>
      <c r="H5429" s="1" t="n">
        <v>0</v>
      </c>
      <c r="I5429" s="1" t="n">
        <v>2.05</v>
      </c>
    </row>
    <row r="5430" ht="15.75" customHeight="1" s="201">
      <c r="A5430" s="1" t="inlineStr">
        <is>
          <t>Pork, fresh, loin, sirloin (chops or roasts), boneless, separable lean and fat, raw</t>
        </is>
      </c>
      <c r="C5430" s="1" t="n">
        <v>0</v>
      </c>
      <c r="D5430" s="1" t="n">
        <v>0</v>
      </c>
      <c r="E5430" s="1" t="n">
        <v>0.55</v>
      </c>
      <c r="F5430" s="1" t="n">
        <v>22.49</v>
      </c>
      <c r="G5430" s="1" t="n">
        <v>4.05</v>
      </c>
      <c r="H5430" s="1" t="n">
        <v>8</v>
      </c>
      <c r="I5430" s="1" t="n">
        <v>1.7</v>
      </c>
    </row>
    <row r="5431" ht="15.75" customHeight="1" s="201">
      <c r="A5431" s="1" t="inlineStr">
        <is>
          <t>Pork, fresh, loin, sirloin (chops or roasts), boneless, separable lean only, raw</t>
        </is>
      </c>
      <c r="C5431" s="1" t="n">
        <v>0</v>
      </c>
      <c r="D5431" s="1" t="n">
        <v>0</v>
      </c>
      <c r="E5431" s="1" t="n">
        <v>0.5600000000000001</v>
      </c>
      <c r="F5431" s="1" t="n">
        <v>22.81</v>
      </c>
      <c r="G5431" s="1" t="n">
        <v>2.59</v>
      </c>
      <c r="H5431" s="1" t="n">
        <v>7</v>
      </c>
      <c r="I5431" s="1" t="n">
        <v>1.72</v>
      </c>
    </row>
    <row r="5432" ht="15.75" customHeight="1" s="201">
      <c r="A5432" s="1" t="inlineStr">
        <is>
          <t>Pork, fresh, loin, sirloin (chops), bone-in, separable lean and fat, cooked, braised</t>
        </is>
      </c>
      <c r="C5432" s="1" t="n">
        <v>0</v>
      </c>
      <c r="D5432" s="1" t="n">
        <v>0</v>
      </c>
      <c r="E5432" s="1" t="n">
        <v>0.71</v>
      </c>
      <c r="F5432" s="1" t="n">
        <v>28.81</v>
      </c>
      <c r="G5432" s="1" t="n">
        <v>12.31</v>
      </c>
      <c r="H5432" s="1" t="n">
        <v>13</v>
      </c>
      <c r="I5432" s="1" t="n">
        <v>1.97</v>
      </c>
    </row>
    <row r="5433" ht="15.75" customHeight="1" s="201">
      <c r="A5433" s="1" t="inlineStr">
        <is>
          <t>Pork, fresh, loin, sirloin (chops), bone-in, separable lean and fat, cooked, broiled</t>
        </is>
      </c>
      <c r="C5433" s="1" t="n">
        <v>0</v>
      </c>
      <c r="D5433" s="1" t="n">
        <v>0</v>
      </c>
      <c r="E5433" s="1" t="n">
        <v>1.01</v>
      </c>
      <c r="F5433" s="1" t="n">
        <v>26.96</v>
      </c>
      <c r="G5433" s="1" t="n">
        <v>11.82</v>
      </c>
      <c r="H5433" s="1" t="n">
        <v>16</v>
      </c>
      <c r="I5433" s="1" t="n">
        <v>3.6</v>
      </c>
    </row>
    <row r="5434" ht="15.75" customHeight="1" s="201">
      <c r="A5434" s="1" t="inlineStr">
        <is>
          <t>Pork, fresh, loin, sirloin (chops), bone-in, separable lean only, cooked, braised</t>
        </is>
      </c>
      <c r="C5434" s="1" t="n">
        <v>0</v>
      </c>
      <c r="D5434" s="1" t="n">
        <v>0</v>
      </c>
      <c r="E5434" s="1" t="n">
        <v>0.73</v>
      </c>
      <c r="F5434" s="1" t="n">
        <v>31</v>
      </c>
      <c r="G5434" s="1" t="n">
        <v>6.9</v>
      </c>
      <c r="H5434" s="1" t="n">
        <v>6</v>
      </c>
      <c r="I5434" s="1" t="n">
        <v>2.09</v>
      </c>
    </row>
    <row r="5435" ht="15.75" customHeight="1" s="201">
      <c r="A5435" s="1" t="inlineStr">
        <is>
          <t>Pork, fresh, loin, sirloin (chops), bone-in, separable lean only, cooked, broiled</t>
        </is>
      </c>
      <c r="C5435" s="1" t="n">
        <v>0</v>
      </c>
      <c r="D5435" s="1" t="n">
        <v>0</v>
      </c>
      <c r="E5435" s="1" t="n">
        <v>1.07</v>
      </c>
      <c r="F5435" s="1" t="n">
        <v>29.29</v>
      </c>
      <c r="G5435" s="1" t="n">
        <v>5.45</v>
      </c>
      <c r="H5435" s="1" t="n">
        <v>8</v>
      </c>
      <c r="I5435" s="1" t="n">
        <v>3.94</v>
      </c>
    </row>
    <row r="5436" ht="15.75" customHeight="1" s="201">
      <c r="A5436" s="1" t="inlineStr">
        <is>
          <t>Pork, fresh, loin, sirloin (chops), boneless, separable lean and fat, cooked, braised</t>
        </is>
      </c>
      <c r="C5436" s="1" t="n">
        <v>0</v>
      </c>
      <c r="D5436" s="1" t="n">
        <v>0</v>
      </c>
      <c r="E5436" s="1" t="n">
        <v>0.71</v>
      </c>
      <c r="F5436" s="1" t="n">
        <v>28.41</v>
      </c>
      <c r="G5436" s="1" t="n">
        <v>5.47</v>
      </c>
      <c r="H5436" s="1" t="n">
        <v>7</v>
      </c>
      <c r="I5436" s="1" t="n">
        <v>2.01</v>
      </c>
    </row>
    <row r="5437" ht="15.75" customHeight="1" s="201">
      <c r="A5437" s="1" t="inlineStr">
        <is>
          <t>Pork, fresh, loin, sirloin (chops), boneless, separable lean and fat, cooked, broiled</t>
        </is>
      </c>
      <c r="C5437" s="1" t="n">
        <v>0</v>
      </c>
      <c r="D5437" s="1" t="n">
        <v>0</v>
      </c>
      <c r="E5437" s="1" t="n">
        <v>0.87</v>
      </c>
      <c r="F5437" s="1" t="n">
        <v>28.19</v>
      </c>
      <c r="G5437" s="1" t="n">
        <v>5.53</v>
      </c>
      <c r="H5437" s="1" t="n">
        <v>8</v>
      </c>
      <c r="I5437" s="1" t="n">
        <v>2.15</v>
      </c>
    </row>
    <row r="5438" ht="15.75" customHeight="1" s="201">
      <c r="A5438" s="1" t="inlineStr">
        <is>
          <t>Pork, fresh, loin, sirloin (chops), boneless, separable lean only, cooked, braised</t>
        </is>
      </c>
      <c r="C5438" s="1" t="n">
        <v>0</v>
      </c>
      <c r="D5438" s="1" t="n">
        <v>0</v>
      </c>
      <c r="E5438" s="1" t="n">
        <v>0.71</v>
      </c>
      <c r="F5438" s="1" t="n">
        <v>28.75</v>
      </c>
      <c r="G5438" s="1" t="n">
        <v>4.5</v>
      </c>
      <c r="H5438" s="1" t="n">
        <v>5</v>
      </c>
      <c r="I5438" s="1" t="n">
        <v>2.04</v>
      </c>
    </row>
    <row r="5439" ht="15.75" customHeight="1" s="201">
      <c r="A5439" s="1" t="inlineStr">
        <is>
          <t>Pork, fresh, loin, sirloin (chops), boneless, separable lean only, cooked, broiled</t>
        </is>
      </c>
      <c r="C5439" s="1" t="n">
        <v>0</v>
      </c>
      <c r="D5439" s="1" t="n">
        <v>0</v>
      </c>
      <c r="E5439" s="1" t="n">
        <v>0.88</v>
      </c>
      <c r="F5439" s="1" t="n">
        <v>28.6</v>
      </c>
      <c r="G5439" s="1" t="n">
        <v>4.36</v>
      </c>
      <c r="H5439" s="1" t="n">
        <v>7</v>
      </c>
      <c r="I5439" s="1" t="n">
        <v>2.18</v>
      </c>
    </row>
    <row r="5440" ht="15.75" customHeight="1" s="201">
      <c r="A5440" s="1" t="inlineStr">
        <is>
          <t>Pork, fresh, loin, sirloin (roasts), bone-in, separable lean and fat, cooked, roasted</t>
        </is>
      </c>
      <c r="C5440" s="1" t="n">
        <v>0</v>
      </c>
      <c r="D5440" s="1" t="n">
        <v>0</v>
      </c>
      <c r="E5440" s="1" t="n">
        <v>0.9399999999999999</v>
      </c>
      <c r="F5440" s="1" t="n">
        <v>26.64</v>
      </c>
      <c r="G5440" s="1" t="n">
        <v>12.87</v>
      </c>
      <c r="H5440" s="1" t="n">
        <v>6</v>
      </c>
      <c r="I5440" s="1" t="n">
        <v>2.52</v>
      </c>
    </row>
    <row r="5441" ht="15.75" customHeight="1" s="201">
      <c r="A5441" s="1" t="inlineStr">
        <is>
          <t>Pork, fresh, loin, sirloin (roasts), bone-in, separable lean only, cooked, roasted</t>
        </is>
      </c>
      <c r="C5441" s="1" t="n">
        <v>0</v>
      </c>
      <c r="D5441" s="1" t="n">
        <v>0</v>
      </c>
      <c r="E5441" s="1" t="n">
        <v>0.96</v>
      </c>
      <c r="F5441" s="1" t="n">
        <v>27.78</v>
      </c>
      <c r="G5441" s="1" t="n">
        <v>9.44</v>
      </c>
      <c r="H5441" s="1" t="n">
        <v>0</v>
      </c>
      <c r="I5441" s="1" t="n">
        <v>2.62</v>
      </c>
    </row>
    <row r="5442" ht="15.75" customHeight="1" s="201">
      <c r="A5442" s="1" t="inlineStr">
        <is>
          <t>Pork, fresh, loin, sirloin (roasts), boneless, separable lean and fat, cooked, roasted</t>
        </is>
      </c>
      <c r="C5442" s="1" t="n">
        <v>0</v>
      </c>
      <c r="D5442" s="1" t="n">
        <v>0</v>
      </c>
      <c r="E5442" s="1" t="n">
        <v>0.66</v>
      </c>
      <c r="F5442" s="1" t="n">
        <v>29.62</v>
      </c>
      <c r="G5442" s="1" t="n">
        <v>7.32</v>
      </c>
      <c r="H5442" s="1" t="n">
        <v>7</v>
      </c>
      <c r="I5442" s="1" t="n">
        <v>2.2</v>
      </c>
    </row>
    <row r="5443" ht="15.75" customHeight="1" s="201">
      <c r="A5443" s="1" t="inlineStr">
        <is>
          <t>Pork, fresh, loin, sirloin (roasts), boneless, separable lean only, cooked, roasted</t>
        </is>
      </c>
      <c r="C5443" s="1" t="n">
        <v>0</v>
      </c>
      <c r="D5443" s="1" t="n">
        <v>0</v>
      </c>
      <c r="E5443" s="1" t="n">
        <v>0.66</v>
      </c>
      <c r="F5443" s="1" t="n">
        <v>30.39</v>
      </c>
      <c r="G5443" s="1" t="n">
        <v>5.31</v>
      </c>
      <c r="H5443" s="1" t="n">
        <v>4</v>
      </c>
      <c r="I5443" s="1" t="n">
        <v>2.25</v>
      </c>
    </row>
    <row r="5444" ht="15.75" customHeight="1" s="201">
      <c r="A5444" s="1" t="inlineStr">
        <is>
          <t>Pork, fresh, loin, tenderloin, separable lean and fat, cooked, broiled</t>
        </is>
      </c>
      <c r="C5444" s="1" t="n">
        <v>0</v>
      </c>
      <c r="D5444" s="1" t="n">
        <v>6</v>
      </c>
      <c r="E5444" s="1" t="n">
        <v>1.39</v>
      </c>
      <c r="F5444" s="1" t="n">
        <v>29.86</v>
      </c>
      <c r="G5444" s="1" t="n">
        <v>8.109999999999999</v>
      </c>
      <c r="H5444" s="1" t="n">
        <v>7</v>
      </c>
      <c r="I5444" s="1" t="n">
        <v>2.89</v>
      </c>
      <c r="J5444" t="n">
        <v>22401010</v>
      </c>
    </row>
    <row r="5445" ht="15.75" customHeight="1" s="201">
      <c r="A5445" s="1" t="inlineStr">
        <is>
          <t>Pork, fresh, loin, tenderloin, separable lean and fat, cooked, roasted</t>
        </is>
      </c>
      <c r="C5445" s="1" t="n">
        <v>0</v>
      </c>
      <c r="D5445" s="1" t="n">
        <v>0</v>
      </c>
      <c r="E5445" s="1" t="n">
        <v>1.15</v>
      </c>
      <c r="F5445" s="1" t="n">
        <v>26.04</v>
      </c>
      <c r="G5445" s="1" t="n">
        <v>3.96</v>
      </c>
      <c r="H5445" s="1" t="n">
        <v>1</v>
      </c>
      <c r="I5445" s="1" t="n">
        <v>2.41</v>
      </c>
      <c r="J5445" t="n">
        <v>22401010</v>
      </c>
    </row>
    <row r="5446" ht="15.75" customHeight="1" s="201">
      <c r="A5446" s="1" t="inlineStr">
        <is>
          <t>Pork, fresh, loin, tenderloin, separable lean and fat, raw</t>
        </is>
      </c>
      <c r="C5446" s="1" t="n">
        <v>0</v>
      </c>
      <c r="D5446" s="1" t="n">
        <v>0</v>
      </c>
      <c r="E5446" s="1" t="n">
        <v>0.97</v>
      </c>
      <c r="F5446" s="1" t="n">
        <v>20.65</v>
      </c>
      <c r="G5446" s="1" t="n">
        <v>3.53</v>
      </c>
      <c r="H5446" s="1" t="n">
        <v>2</v>
      </c>
      <c r="I5446" s="1" t="n">
        <v>1.87</v>
      </c>
      <c r="J5446" t="n">
        <v>58126280</v>
      </c>
    </row>
    <row r="5447" ht="15.75" customHeight="1" s="201">
      <c r="A5447" s="1" t="inlineStr">
        <is>
          <t>Pork, fresh, loin, tenderloin, separable lean and fat, with added solution, cooked, roasted</t>
        </is>
      </c>
      <c r="C5447" s="1" t="n">
        <v>0.31</v>
      </c>
      <c r="D5447" s="1" t="n">
        <v>0</v>
      </c>
      <c r="E5447" s="1" t="n">
        <v>0.97</v>
      </c>
      <c r="F5447" s="1" t="n">
        <v>21.5</v>
      </c>
      <c r="G5447" s="1" t="n">
        <v>3.7</v>
      </c>
      <c r="H5447" s="1" t="n">
        <v>0</v>
      </c>
      <c r="I5447" s="1" t="n">
        <v>1.99</v>
      </c>
      <c r="J5447" t="n">
        <v>75142550</v>
      </c>
    </row>
    <row r="5448" ht="15.75" customHeight="1" s="201">
      <c r="A5448" s="1" t="inlineStr">
        <is>
          <t>Pork, fresh, loin, tenderloin, separable lean and fat, with added solution, raw</t>
        </is>
      </c>
      <c r="C5448" s="1" t="n">
        <v>0</v>
      </c>
      <c r="D5448" s="1" t="n">
        <v>0</v>
      </c>
      <c r="E5448" s="1" t="n">
        <v>0.91</v>
      </c>
      <c r="F5448" s="1" t="n">
        <v>20.16</v>
      </c>
      <c r="G5448" s="1" t="n">
        <v>3.14</v>
      </c>
      <c r="H5448" s="1" t="n">
        <v>0</v>
      </c>
      <c r="I5448" s="1" t="n">
        <v>1.72</v>
      </c>
      <c r="J5448" t="n">
        <v>75142550</v>
      </c>
    </row>
    <row r="5449" ht="15.75" customHeight="1" s="201">
      <c r="A5449" s="1" t="inlineStr">
        <is>
          <t>Pork, fresh, loin, tenderloin, separable lean only, cooked, broiled</t>
        </is>
      </c>
      <c r="C5449" s="1" t="n">
        <v>0</v>
      </c>
      <c r="D5449" s="1" t="n">
        <v>6</v>
      </c>
      <c r="E5449" s="1" t="n">
        <v>1.43</v>
      </c>
      <c r="F5449" s="1" t="n">
        <v>30.42</v>
      </c>
      <c r="G5449" s="1" t="n">
        <v>6.33</v>
      </c>
      <c r="H5449" s="1" t="n">
        <v>7</v>
      </c>
      <c r="I5449" s="1" t="n">
        <v>2.95</v>
      </c>
      <c r="J5449" t="n">
        <v>22401020</v>
      </c>
    </row>
    <row r="5450" ht="15.75" customHeight="1" s="201">
      <c r="A5450" s="1" t="inlineStr">
        <is>
          <t>Pork, fresh, loin, tenderloin, separable lean only, cooked, roasted</t>
        </is>
      </c>
      <c r="C5450" s="1" t="n">
        <v>0</v>
      </c>
      <c r="D5450" s="1" t="n">
        <v>0</v>
      </c>
      <c r="E5450" s="1" t="n">
        <v>1.15</v>
      </c>
      <c r="F5450" s="1" t="n">
        <v>26.17</v>
      </c>
      <c r="G5450" s="1" t="n">
        <v>3.51</v>
      </c>
      <c r="H5450" s="1" t="n">
        <v>0</v>
      </c>
      <c r="I5450" s="1" t="n">
        <v>2.42</v>
      </c>
      <c r="J5450" t="n">
        <v>22401020</v>
      </c>
    </row>
    <row r="5451" ht="15.75" customHeight="1" s="201">
      <c r="A5451" s="1" t="inlineStr">
        <is>
          <t>Pork, fresh, loin, tenderloin, separable lean only, raw</t>
        </is>
      </c>
      <c r="C5451" s="1" t="n">
        <v>0</v>
      </c>
      <c r="D5451" s="1" t="n">
        <v>0</v>
      </c>
      <c r="E5451" s="1" t="n">
        <v>0.98</v>
      </c>
      <c r="F5451" s="1" t="n">
        <v>20.95</v>
      </c>
      <c r="G5451" s="1" t="n">
        <v>2.17</v>
      </c>
      <c r="H5451" s="1" t="n">
        <v>0</v>
      </c>
      <c r="I5451" s="1" t="n">
        <v>1.89</v>
      </c>
      <c r="J5451" t="n">
        <v>22401020</v>
      </c>
    </row>
    <row r="5452" ht="15.75" customHeight="1" s="201">
      <c r="A5452" s="1" t="inlineStr">
        <is>
          <t>Pork, fresh, loin, tenderloin, separable lean only, with added solution, cooked, roasted</t>
        </is>
      </c>
      <c r="C5452" s="1" t="n">
        <v>0.31</v>
      </c>
      <c r="D5452" s="1" t="n">
        <v>0</v>
      </c>
      <c r="E5452" s="1" t="n">
        <v>0.98</v>
      </c>
      <c r="F5452" s="1" t="n">
        <v>21.61</v>
      </c>
      <c r="G5452" s="1" t="n">
        <v>3.15</v>
      </c>
      <c r="H5452" s="1" t="n">
        <v>0</v>
      </c>
      <c r="I5452" s="1" t="n">
        <v>2</v>
      </c>
      <c r="J5452" t="n">
        <v>75142550</v>
      </c>
    </row>
    <row r="5453" ht="15.75" customHeight="1" s="201">
      <c r="A5453" s="1" t="inlineStr">
        <is>
          <t>Pork, fresh, loin, top loin (chops), boneless, separable lean and fat, cooked, braised</t>
        </is>
      </c>
      <c r="C5453" s="1" t="n">
        <v>0</v>
      </c>
      <c r="D5453" s="1" t="n">
        <v>0</v>
      </c>
      <c r="E5453" s="1" t="n">
        <v>0.88</v>
      </c>
      <c r="F5453" s="1" t="n">
        <v>29.2</v>
      </c>
      <c r="G5453" s="1" t="n">
        <v>8.31</v>
      </c>
      <c r="H5453" s="1" t="n">
        <v>11</v>
      </c>
      <c r="I5453" s="1" t="n">
        <v>2.29</v>
      </c>
      <c r="J5453" t="n">
        <v>23104010</v>
      </c>
    </row>
    <row r="5454" ht="15.75" customHeight="1" s="201">
      <c r="A5454" s="1" t="inlineStr">
        <is>
          <t>Pork, fresh, loin, top loin (chops), boneless, separable lean and fat, cooked, broiled</t>
        </is>
      </c>
      <c r="C5454" s="1" t="n">
        <v>0</v>
      </c>
      <c r="D5454" s="1" t="n">
        <v>0</v>
      </c>
      <c r="E5454" s="1" t="n">
        <v>0.63</v>
      </c>
      <c r="F5454" s="1" t="n">
        <v>26.62</v>
      </c>
      <c r="G5454" s="1" t="n">
        <v>9.140000000000001</v>
      </c>
      <c r="H5454" s="1" t="n">
        <v>5</v>
      </c>
      <c r="I5454" s="1" t="n">
        <v>2.09</v>
      </c>
      <c r="J5454" t="n">
        <v>23104010</v>
      </c>
    </row>
    <row r="5455" ht="15.75" customHeight="1" s="201">
      <c r="A5455" s="1" t="inlineStr">
        <is>
          <t>Pork, fresh, loin, top loin (chops), boneless, separable lean and fat, cooked, pan-fried</t>
        </is>
      </c>
      <c r="C5455" s="1" t="n">
        <v>0</v>
      </c>
      <c r="D5455" s="1" t="n">
        <v>0</v>
      </c>
      <c r="E5455" s="1" t="n">
        <v>0.82</v>
      </c>
      <c r="F5455" s="1" t="n">
        <v>29.36</v>
      </c>
      <c r="G5455" s="1" t="n">
        <v>7.86</v>
      </c>
      <c r="H5455" s="1" t="n">
        <v>13</v>
      </c>
      <c r="I5455" s="1" t="n">
        <v>2.26</v>
      </c>
      <c r="J5455" t="n">
        <v>23104010</v>
      </c>
    </row>
    <row r="5456" ht="15.75" customHeight="1" s="201">
      <c r="A5456" s="1" t="inlineStr">
        <is>
          <t>Pork, fresh, loin, top loin (chops), boneless, separable lean and fat, raw</t>
        </is>
      </c>
      <c r="C5456" s="1" t="n">
        <v>0</v>
      </c>
      <c r="D5456" s="1" t="n">
        <v>0</v>
      </c>
      <c r="E5456" s="1" t="n">
        <v>0.5</v>
      </c>
      <c r="F5456" s="1" t="n">
        <v>21.55</v>
      </c>
      <c r="G5456" s="1" t="n">
        <v>6.94</v>
      </c>
      <c r="H5456" s="1" t="n">
        <v>4</v>
      </c>
      <c r="I5456" s="1" t="n">
        <v>1.55</v>
      </c>
      <c r="J5456" t="n">
        <v>23104010</v>
      </c>
    </row>
    <row r="5457" ht="15.75" customHeight="1" s="201">
      <c r="A5457" s="1" t="inlineStr">
        <is>
          <t>Pork, fresh, loin, top loin (chops), boneless, separable lean and fat, with added solution, cooked, broiled</t>
        </is>
      </c>
      <c r="C5457" s="1" t="n">
        <v>0.02</v>
      </c>
      <c r="D5457" s="1" t="n">
        <v>0</v>
      </c>
      <c r="E5457" s="1" t="n">
        <v>0.57</v>
      </c>
      <c r="F5457" s="1" t="n">
        <v>28.33</v>
      </c>
      <c r="G5457" s="1" t="n">
        <v>9.42</v>
      </c>
      <c r="H5457" s="1" t="n">
        <v>0</v>
      </c>
      <c r="I5457" s="1" t="n">
        <v>1.7</v>
      </c>
      <c r="J5457" t="n">
        <v>75142550</v>
      </c>
    </row>
    <row r="5458" ht="15.75" customHeight="1" s="201">
      <c r="A5458" s="1" t="inlineStr">
        <is>
          <t>Pork, fresh, loin, top loin (chops), boneless, separable lean and fat, with added solution, cooked, pan-broiled</t>
        </is>
      </c>
      <c r="C5458" s="1" t="n">
        <v>0</v>
      </c>
      <c r="D5458" s="1" t="n">
        <v>1</v>
      </c>
      <c r="E5458" s="1" t="n">
        <v>0.63</v>
      </c>
      <c r="F5458" s="1" t="n">
        <v>28.35</v>
      </c>
      <c r="G5458" s="1" t="n">
        <v>7.66</v>
      </c>
      <c r="H5458" s="1" t="n">
        <v>6</v>
      </c>
      <c r="I5458" s="1" t="n">
        <v>1.98</v>
      </c>
      <c r="J5458" t="n">
        <v>75142550</v>
      </c>
    </row>
    <row r="5459" ht="15.75" customHeight="1" s="201">
      <c r="A5459" s="1" t="inlineStr">
        <is>
          <t>Pork, fresh, loin, top loin (chops), boneless, separable lean and fat, with added solution, raw</t>
        </is>
      </c>
      <c r="C5459" s="1" t="n">
        <v>0</v>
      </c>
      <c r="D5459" s="1" t="n">
        <v>0</v>
      </c>
      <c r="E5459" s="1" t="n">
        <v>0.42</v>
      </c>
      <c r="F5459" s="1" t="n">
        <v>19.45</v>
      </c>
      <c r="G5459" s="1" t="n">
        <v>10.26</v>
      </c>
      <c r="H5459" s="1" t="n">
        <v>0</v>
      </c>
      <c r="I5459" s="1" t="n">
        <v>1.22</v>
      </c>
      <c r="J5459" t="n">
        <v>75142550</v>
      </c>
    </row>
    <row r="5460" ht="15.75" customHeight="1" s="201">
      <c r="A5460" s="1" t="inlineStr">
        <is>
          <t>Pork, fresh, loin, top loin (chops), boneless, separable lean only, cooked, braised</t>
        </is>
      </c>
      <c r="C5460" s="1" t="n">
        <v>0</v>
      </c>
      <c r="D5460" s="1" t="n">
        <v>0</v>
      </c>
      <c r="E5460" s="1" t="n">
        <v>0.91</v>
      </c>
      <c r="F5460" s="1" t="n">
        <v>30.54</v>
      </c>
      <c r="G5460" s="1" t="n">
        <v>4.34</v>
      </c>
      <c r="H5460" s="1" t="n">
        <v>6</v>
      </c>
      <c r="I5460" s="1" t="n">
        <v>2.37</v>
      </c>
      <c r="J5460" t="n">
        <v>23104020</v>
      </c>
    </row>
    <row r="5461" ht="15.75" customHeight="1" s="201">
      <c r="A5461" s="1" t="inlineStr">
        <is>
          <t>Pork, fresh, loin, top loin (chops), boneless, separable lean only, cooked, broiled</t>
        </is>
      </c>
      <c r="C5461" s="1" t="n">
        <v>0</v>
      </c>
      <c r="D5461" s="1" t="n">
        <v>0</v>
      </c>
      <c r="E5461" s="1" t="n">
        <v>0.63</v>
      </c>
      <c r="F5461" s="1" t="n">
        <v>27.58</v>
      </c>
      <c r="G5461" s="1" t="n">
        <v>6.08</v>
      </c>
      <c r="H5461" s="1" t="n">
        <v>0</v>
      </c>
      <c r="I5461" s="1" t="n">
        <v>2.15</v>
      </c>
      <c r="J5461" t="n">
        <v>23104020</v>
      </c>
    </row>
    <row r="5462" ht="15.75" customHeight="1" s="201">
      <c r="A5462" s="1" t="inlineStr">
        <is>
          <t>Pork, fresh, loin, top loin (chops), boneless, separable lean only, cooked, pan-fried</t>
        </is>
      </c>
      <c r="C5462" s="1" t="n">
        <v>0</v>
      </c>
      <c r="D5462" s="1" t="n">
        <v>0</v>
      </c>
      <c r="E5462" s="1" t="n">
        <v>0.84</v>
      </c>
      <c r="F5462" s="1" t="n">
        <v>30.46</v>
      </c>
      <c r="G5462" s="1" t="n">
        <v>4.62</v>
      </c>
      <c r="H5462" s="1" t="n">
        <v>9</v>
      </c>
      <c r="I5462" s="1" t="n">
        <v>2.32</v>
      </c>
      <c r="J5462" t="n">
        <v>23104020</v>
      </c>
    </row>
    <row r="5463" ht="15.75" customHeight="1" s="201">
      <c r="A5463" s="1" t="inlineStr">
        <is>
          <t>Pork, fresh, loin, top loin (chops), boneless, separable lean only, raw</t>
        </is>
      </c>
      <c r="C5463" s="1" t="n">
        <v>0</v>
      </c>
      <c r="D5463" s="1" t="n">
        <v>0</v>
      </c>
      <c r="E5463" s="1" t="n">
        <v>0.51</v>
      </c>
      <c r="F5463" s="1" t="n">
        <v>22.41</v>
      </c>
      <c r="G5463" s="1" t="n">
        <v>3.42</v>
      </c>
      <c r="H5463" s="1" t="n">
        <v>0</v>
      </c>
      <c r="I5463" s="1" t="n">
        <v>1.59</v>
      </c>
      <c r="J5463" t="n">
        <v>23104020</v>
      </c>
    </row>
    <row r="5464" ht="15.75" customHeight="1" s="201">
      <c r="A5464" s="1" t="inlineStr">
        <is>
          <t>Pork, fresh, loin, top loin (chops), boneless, separable lean only, with added solution, cooked, broiled</t>
        </is>
      </c>
      <c r="C5464" s="1" t="n">
        <v>0</v>
      </c>
      <c r="D5464" s="1" t="n">
        <v>0</v>
      </c>
      <c r="E5464" s="1" t="n">
        <v>0.5600000000000001</v>
      </c>
      <c r="F5464" s="1" t="n">
        <v>29.65</v>
      </c>
      <c r="G5464" s="1" t="n">
        <v>5.73</v>
      </c>
      <c r="H5464" s="1" t="n">
        <v>0</v>
      </c>
      <c r="I5464" s="1" t="n">
        <v>1.74</v>
      </c>
      <c r="J5464" t="n">
        <v>75142550</v>
      </c>
    </row>
    <row r="5465" ht="15.75" customHeight="1" s="201">
      <c r="A5465" s="1" t="inlineStr">
        <is>
          <t>Pork, fresh, loin, top loin (chops), boneless, separable lean only, with added solution, cooked, pan-broiled</t>
        </is>
      </c>
      <c r="C5465" s="1" t="n">
        <v>0</v>
      </c>
      <c r="D5465" s="1" t="n">
        <v>1</v>
      </c>
      <c r="E5465" s="1" t="n">
        <v>0.63</v>
      </c>
      <c r="F5465" s="1" t="n">
        <v>28.95</v>
      </c>
      <c r="G5465" s="1" t="n">
        <v>5</v>
      </c>
      <c r="H5465" s="1" t="n">
        <v>0</v>
      </c>
      <c r="I5465" s="1" t="n">
        <v>2.02</v>
      </c>
      <c r="J5465" t="n">
        <v>75142550</v>
      </c>
    </row>
    <row r="5466" ht="15.75" customHeight="1" s="201">
      <c r="A5466" s="1" t="inlineStr">
        <is>
          <t>Pork, fresh, loin, top loin (chops), boneless, separable lean only, with added solution, raw</t>
        </is>
      </c>
      <c r="C5466" s="1" t="n">
        <v>0.22</v>
      </c>
      <c r="D5466" s="1" t="n">
        <v>0</v>
      </c>
      <c r="E5466" s="1" t="n">
        <v>0.41</v>
      </c>
      <c r="F5466" s="1" t="n">
        <v>21.09</v>
      </c>
      <c r="G5466" s="1" t="n">
        <v>3.48</v>
      </c>
      <c r="H5466" s="1" t="n">
        <v>0</v>
      </c>
      <c r="I5466" s="1" t="n">
        <v>1.28</v>
      </c>
      <c r="J5466" t="n">
        <v>75142550</v>
      </c>
    </row>
    <row r="5467" ht="15.75" customHeight="1" s="201">
      <c r="A5467" s="1" t="inlineStr">
        <is>
          <t>Pork, fresh, loin, top loin (roasts), boneless, separable lean and fat, cooked, roasted</t>
        </is>
      </c>
      <c r="C5467" s="1" t="n">
        <v>0</v>
      </c>
      <c r="D5467" s="1" t="n">
        <v>0</v>
      </c>
      <c r="E5467" s="1" t="n">
        <v>0.64</v>
      </c>
      <c r="F5467" s="1" t="n">
        <v>26.45</v>
      </c>
      <c r="G5467" s="1" t="n">
        <v>8.82</v>
      </c>
      <c r="H5467" s="1" t="n">
        <v>4</v>
      </c>
      <c r="I5467" s="1" t="n">
        <v>2.11</v>
      </c>
      <c r="J5467" t="n">
        <v>23104010</v>
      </c>
    </row>
    <row r="5468" ht="15.75" customHeight="1" s="201">
      <c r="A5468" s="1" t="inlineStr">
        <is>
          <t>Pork, fresh, loin, top loin (roasts), boneless, separable lean and fat, raw</t>
        </is>
      </c>
      <c r="C5468" s="1" t="n">
        <v>0</v>
      </c>
      <c r="D5468" s="1" t="n">
        <v>0</v>
      </c>
      <c r="E5468" s="1" t="n">
        <v>0.53</v>
      </c>
      <c r="F5468" s="1" t="n">
        <v>21.34</v>
      </c>
      <c r="G5468" s="1" t="n">
        <v>8.33</v>
      </c>
      <c r="H5468" s="1" t="n">
        <v>5</v>
      </c>
      <c r="I5468" s="1" t="n">
        <v>1.73</v>
      </c>
      <c r="J5468" t="n">
        <v>23104010</v>
      </c>
    </row>
    <row r="5469" ht="15.75" customHeight="1" s="201">
      <c r="A5469" s="1" t="inlineStr">
        <is>
          <t>Pork, fresh, loin, top loin (roasts), boneless, separable lean only, cooked, roasted</t>
        </is>
      </c>
      <c r="C5469" s="1" t="n">
        <v>0</v>
      </c>
      <c r="D5469" s="1" t="n">
        <v>0</v>
      </c>
      <c r="E5469" s="1" t="n">
        <v>0.64</v>
      </c>
      <c r="F5469" s="1" t="n">
        <v>27.23</v>
      </c>
      <c r="G5469" s="1" t="n">
        <v>6.28</v>
      </c>
      <c r="H5469" s="1" t="n">
        <v>0</v>
      </c>
      <c r="I5469" s="1" t="n">
        <v>2.16</v>
      </c>
      <c r="J5469" t="n">
        <v>23104020</v>
      </c>
    </row>
    <row r="5470" ht="15.75" customHeight="1" s="201">
      <c r="A5470" s="1" t="inlineStr">
        <is>
          <t>Pork, fresh, loin, top loin (roasts), boneless, separable lean only, raw</t>
        </is>
      </c>
      <c r="C5470" s="1" t="n">
        <v>0</v>
      </c>
      <c r="D5470" s="1" t="n">
        <v>0</v>
      </c>
      <c r="E5470" s="1" t="n">
        <v>0.54</v>
      </c>
      <c r="F5470" s="1" t="n">
        <v>22.39</v>
      </c>
      <c r="G5470" s="1" t="n">
        <v>4.06</v>
      </c>
      <c r="H5470" s="1" t="n">
        <v>0</v>
      </c>
      <c r="I5470" s="1" t="n">
        <v>1.8</v>
      </c>
      <c r="J5470" t="n">
        <v>23104020</v>
      </c>
    </row>
    <row r="5471" ht="15.75" customHeight="1" s="201">
      <c r="A5471" s="1" t="inlineStr">
        <is>
          <t>Pork, fresh, loin, whole, separable lean and fat, cooked, braised</t>
        </is>
      </c>
      <c r="C5471" s="1" t="n">
        <v>0</v>
      </c>
      <c r="D5471" s="1" t="n">
        <v>3</v>
      </c>
      <c r="E5471" s="1" t="n">
        <v>1.07</v>
      </c>
      <c r="F5471" s="1" t="n">
        <v>27.23</v>
      </c>
      <c r="G5471" s="1" t="n">
        <v>13.62</v>
      </c>
      <c r="H5471" s="1" t="n">
        <v>7</v>
      </c>
      <c r="I5471" s="1" t="n">
        <v>2.38</v>
      </c>
      <c r="J5471" t="n">
        <v>22401010</v>
      </c>
    </row>
    <row r="5472" ht="15.75" customHeight="1" s="201">
      <c r="A5472" s="1" t="inlineStr">
        <is>
          <t>Pork, fresh, loin, whole, separable lean and fat, cooked, broiled</t>
        </is>
      </c>
      <c r="C5472" s="1" t="n">
        <v>0</v>
      </c>
      <c r="D5472" s="1" t="n">
        <v>5</v>
      </c>
      <c r="E5472" s="1" t="n">
        <v>0.87</v>
      </c>
      <c r="F5472" s="1" t="n">
        <v>27.32</v>
      </c>
      <c r="G5472" s="1" t="n">
        <v>13.92</v>
      </c>
      <c r="H5472" s="1" t="n">
        <v>7</v>
      </c>
      <c r="I5472" s="1" t="n">
        <v>2.39</v>
      </c>
      <c r="J5472" t="n">
        <v>22401010</v>
      </c>
    </row>
    <row r="5473" ht="15.75" customHeight="1" s="201">
      <c r="A5473" s="1" t="inlineStr">
        <is>
          <t>Pork, fresh, loin, whole, separable lean and fat, cooked, roasted</t>
        </is>
      </c>
      <c r="C5473" s="1" t="n">
        <v>0</v>
      </c>
      <c r="D5473" s="1" t="n">
        <v>6</v>
      </c>
      <c r="E5473" s="1" t="n">
        <v>0.99</v>
      </c>
      <c r="F5473" s="1" t="n">
        <v>27.09</v>
      </c>
      <c r="G5473" s="1" t="n">
        <v>14.65</v>
      </c>
      <c r="H5473" s="1" t="n">
        <v>9</v>
      </c>
      <c r="I5473" s="1" t="n">
        <v>2.32</v>
      </c>
      <c r="J5473" t="n">
        <v>22401010</v>
      </c>
    </row>
    <row r="5474" ht="15.75" customHeight="1" s="201">
      <c r="A5474" s="1" t="inlineStr">
        <is>
          <t>Pork, fresh, loin, whole, separable lean and fat, raw</t>
        </is>
      </c>
      <c r="C5474" s="1" t="n">
        <v>0</v>
      </c>
      <c r="D5474" s="1" t="n">
        <v>1</v>
      </c>
      <c r="E5474" s="1" t="n">
        <v>0.79</v>
      </c>
      <c r="F5474" s="1" t="n">
        <v>19.74</v>
      </c>
      <c r="G5474" s="1" t="n">
        <v>12.58</v>
      </c>
      <c r="H5474" s="1" t="n">
        <v>7</v>
      </c>
      <c r="I5474" s="1" t="n">
        <v>1.74</v>
      </c>
      <c r="J5474" t="n">
        <v>54204030</v>
      </c>
    </row>
    <row r="5475" ht="15.75" customHeight="1" s="201">
      <c r="A5475" s="1" t="inlineStr">
        <is>
          <t>Pork, fresh, loin, whole, separable lean only, cooked, braised</t>
        </is>
      </c>
      <c r="C5475" s="1" t="n">
        <v>0</v>
      </c>
      <c r="D5475" s="1" t="n">
        <v>4</v>
      </c>
      <c r="E5475" s="1" t="n">
        <v>1.13</v>
      </c>
      <c r="F5475" s="1" t="n">
        <v>28.57</v>
      </c>
      <c r="G5475" s="1" t="n">
        <v>9.119999999999999</v>
      </c>
      <c r="H5475" s="1" t="n">
        <v>7</v>
      </c>
      <c r="I5475" s="1" t="n">
        <v>2.48</v>
      </c>
      <c r="J5475" t="n">
        <v>22401020</v>
      </c>
    </row>
    <row r="5476" ht="15.75" customHeight="1" s="201">
      <c r="A5476" s="1" t="inlineStr">
        <is>
          <t>Pork, fresh, loin, whole, separable lean only, cooked, broiled</t>
        </is>
      </c>
      <c r="C5476" s="1" t="n">
        <v>0</v>
      </c>
      <c r="D5476" s="1" t="n">
        <v>6</v>
      </c>
      <c r="E5476" s="1" t="n">
        <v>0.91</v>
      </c>
      <c r="F5476" s="1" t="n">
        <v>28.57</v>
      </c>
      <c r="G5476" s="1" t="n">
        <v>9.800000000000001</v>
      </c>
      <c r="H5476" s="1" t="n">
        <v>7</v>
      </c>
      <c r="I5476" s="1" t="n">
        <v>2.48</v>
      </c>
      <c r="J5476" t="n">
        <v>22401020</v>
      </c>
    </row>
    <row r="5477" ht="15.75" customHeight="1" s="201">
      <c r="A5477" s="1" t="inlineStr">
        <is>
          <t>Pork, fresh, loin, whole, separable lean only, cooked, roasted</t>
        </is>
      </c>
      <c r="C5477" s="1" t="n">
        <v>0</v>
      </c>
      <c r="D5477" s="1" t="n">
        <v>1</v>
      </c>
      <c r="E5477" s="1" t="n">
        <v>1.09</v>
      </c>
      <c r="F5477" s="1" t="n">
        <v>28.62</v>
      </c>
      <c r="G5477" s="1" t="n">
        <v>9.630000000000001</v>
      </c>
      <c r="H5477" s="1" t="n">
        <v>8</v>
      </c>
      <c r="I5477" s="1" t="n">
        <v>2.53</v>
      </c>
      <c r="J5477" t="n">
        <v>22401020</v>
      </c>
    </row>
    <row r="5478" ht="15.75" customHeight="1" s="201">
      <c r="A5478" s="1" t="inlineStr">
        <is>
          <t>Pork, fresh, loin, whole, separable lean only, raw</t>
        </is>
      </c>
      <c r="C5478" s="1" t="n">
        <v>0</v>
      </c>
      <c r="D5478" s="1" t="n">
        <v>5</v>
      </c>
      <c r="E5478" s="1" t="n">
        <v>0.84</v>
      </c>
      <c r="F5478" s="1" t="n">
        <v>21.43</v>
      </c>
      <c r="G5478" s="1" t="n">
        <v>5.66</v>
      </c>
      <c r="H5478" s="1" t="n">
        <v>7</v>
      </c>
      <c r="I5478" s="1" t="n">
        <v>1.84</v>
      </c>
      <c r="J5478" t="n">
        <v>22401020</v>
      </c>
    </row>
    <row r="5479" ht="15.75" customHeight="1" s="201">
      <c r="A5479" s="1" t="inlineStr">
        <is>
          <t>Pork, fresh, separable fat, cooked</t>
        </is>
      </c>
      <c r="C5479" s="1" t="n">
        <v>0</v>
      </c>
      <c r="D5479" s="1" t="n">
        <v>0</v>
      </c>
      <c r="E5479" s="1" t="n">
        <v>0.46</v>
      </c>
      <c r="F5479" s="1" t="n">
        <v>7.06</v>
      </c>
      <c r="G5479" s="1" t="n">
        <v>66.09999999999999</v>
      </c>
      <c r="H5479" s="1" t="n">
        <v>80</v>
      </c>
      <c r="I5479" s="1" t="n">
        <v>0.75</v>
      </c>
      <c r="J5479" t="n">
        <v>25221870</v>
      </c>
    </row>
    <row r="5480" ht="15.75" customHeight="1" s="201">
      <c r="A5480" s="1" t="inlineStr">
        <is>
          <t>Pork, fresh, separable fat, raw</t>
        </is>
      </c>
      <c r="C5480" s="1" t="n">
        <v>0</v>
      </c>
      <c r="D5480" s="1" t="n">
        <v>0</v>
      </c>
      <c r="E5480" s="1" t="n">
        <v>0.26</v>
      </c>
      <c r="F5480" s="1" t="n">
        <v>9.25</v>
      </c>
      <c r="G5480" s="1" t="n">
        <v>65.7</v>
      </c>
      <c r="H5480" s="1" t="n">
        <v>86</v>
      </c>
      <c r="I5480" s="1" t="n">
        <v>0.6</v>
      </c>
      <c r="J5480" t="n">
        <v>25221870</v>
      </c>
    </row>
    <row r="5481" ht="15.75" customHeight="1" s="201">
      <c r="A5481" s="1" t="inlineStr">
        <is>
          <t>Pork, fresh, shoulder, (Boston butt), blade (steaks), separable lean and fat, cooked, braised</t>
        </is>
      </c>
      <c r="C5481" s="1" t="n">
        <v>0</v>
      </c>
      <c r="D5481" s="1" t="n">
        <v>0</v>
      </c>
      <c r="E5481" s="1" t="n">
        <v>1.75</v>
      </c>
      <c r="F5481" s="1" t="n">
        <v>25.07</v>
      </c>
      <c r="G5481" s="1" t="n">
        <v>17.69</v>
      </c>
      <c r="H5481" s="1" t="n">
        <v>8</v>
      </c>
      <c r="I5481" s="1" t="n">
        <v>4.84</v>
      </c>
    </row>
    <row r="5482" ht="15.75" customHeight="1" s="201">
      <c r="A5482" s="1" t="inlineStr">
        <is>
          <t>Pork, fresh, shoulder, (Boston butt), blade (steaks), separable lean and fat, raw</t>
        </is>
      </c>
      <c r="C5482" s="1" t="n">
        <v>0</v>
      </c>
      <c r="D5482" s="1" t="n">
        <v>0</v>
      </c>
      <c r="E5482" s="1" t="n">
        <v>1.12</v>
      </c>
      <c r="F5482" s="1" t="n">
        <v>17.42</v>
      </c>
      <c r="G5482" s="1" t="n">
        <v>12.36</v>
      </c>
      <c r="H5482" s="1" t="n">
        <v>8</v>
      </c>
      <c r="I5482" s="1" t="n">
        <v>3.09</v>
      </c>
    </row>
    <row r="5483" ht="15.75" customHeight="1" s="201">
      <c r="A5483" s="1" t="inlineStr">
        <is>
          <t>Pork, fresh, shoulder, (Boston butt), blade (steaks), separable lean and fat, with added solution, cooked, braised</t>
        </is>
      </c>
      <c r="C5483" s="1" t="n">
        <v>0.03</v>
      </c>
      <c r="D5483" s="1" t="n">
        <v>0</v>
      </c>
      <c r="E5483" s="1" t="n">
        <v>1.72</v>
      </c>
      <c r="F5483" s="1" t="n">
        <v>25.84</v>
      </c>
      <c r="G5483" s="1" t="n">
        <v>16.94</v>
      </c>
      <c r="H5483" s="1" t="n">
        <v>0</v>
      </c>
      <c r="I5483" s="1" t="n">
        <v>4.48</v>
      </c>
      <c r="J5483" t="n">
        <v>75142550</v>
      </c>
    </row>
    <row r="5484" ht="15.75" customHeight="1" s="201">
      <c r="A5484" s="1" t="inlineStr">
        <is>
          <t>Pork, fresh, shoulder, (Boston butt), blade (steaks), separable lean and fat,with added solution, raw</t>
        </is>
      </c>
      <c r="C5484" s="1" t="n">
        <v>0.16</v>
      </c>
      <c r="D5484" s="1" t="n">
        <v>0</v>
      </c>
      <c r="E5484" s="1" t="n">
        <v>0.97</v>
      </c>
      <c r="F5484" s="1" t="n">
        <v>17.19</v>
      </c>
      <c r="G5484" s="1" t="n">
        <v>11.12</v>
      </c>
      <c r="H5484" s="1" t="n">
        <v>0</v>
      </c>
      <c r="I5484" s="1" t="n">
        <v>2.83</v>
      </c>
      <c r="J5484" t="n">
        <v>75142550</v>
      </c>
    </row>
    <row r="5485" ht="15.75" customHeight="1" s="201">
      <c r="A5485" s="1" t="inlineStr">
        <is>
          <t>Pork, fresh, shoulder, (Boston butt), blade (steaks), separable lean only, cooked, braised</t>
        </is>
      </c>
      <c r="C5485" s="1" t="n">
        <v>0</v>
      </c>
      <c r="D5485" s="1" t="n">
        <v>0</v>
      </c>
      <c r="E5485" s="1" t="n">
        <v>1.85</v>
      </c>
      <c r="F5485" s="1" t="n">
        <v>26.57</v>
      </c>
      <c r="G5485" s="1" t="n">
        <v>13.2</v>
      </c>
      <c r="H5485" s="1" t="n">
        <v>0</v>
      </c>
      <c r="I5485" s="1" t="n">
        <v>5.2</v>
      </c>
    </row>
    <row r="5486" ht="15.75" customHeight="1" s="201">
      <c r="A5486" s="1" t="inlineStr">
        <is>
          <t>Pork, fresh, shoulder, (Boston butt), blade (steaks), separable lean only, raw</t>
        </is>
      </c>
      <c r="C5486" s="1" t="n">
        <v>0</v>
      </c>
      <c r="D5486" s="1" t="n">
        <v>0</v>
      </c>
      <c r="E5486" s="1" t="n">
        <v>1.2</v>
      </c>
      <c r="F5486" s="1" t="n">
        <v>18.73</v>
      </c>
      <c r="G5486" s="1" t="n">
        <v>5.71</v>
      </c>
      <c r="H5486" s="1" t="n">
        <v>0</v>
      </c>
      <c r="I5486" s="1" t="n">
        <v>3.36</v>
      </c>
    </row>
    <row r="5487" ht="15.75" customHeight="1" s="201">
      <c r="A5487" s="1" t="inlineStr">
        <is>
          <t>Pork, fresh, shoulder, (Boston butt), blade (steaks), separable lean only, with added solution cooked, braised</t>
        </is>
      </c>
      <c r="C5487" s="1" t="n">
        <v>0</v>
      </c>
      <c r="D5487" s="1" t="n">
        <v>0</v>
      </c>
      <c r="E5487" s="1" t="n">
        <v>1.82</v>
      </c>
      <c r="F5487" s="1" t="n">
        <v>27.58</v>
      </c>
      <c r="G5487" s="1" t="n">
        <v>12.14</v>
      </c>
      <c r="H5487" s="1" t="n">
        <v>0</v>
      </c>
      <c r="I5487" s="1" t="n">
        <v>4.85</v>
      </c>
      <c r="J5487" t="n">
        <v>75142550</v>
      </c>
    </row>
    <row r="5488" ht="15.75" customHeight="1" s="201">
      <c r="A5488" s="1" t="inlineStr">
        <is>
          <t>Pork, fresh, shoulder, (Boston butt), blade (steaks), separable lean only, with added solution, raw</t>
        </is>
      </c>
      <c r="C5488" s="1" t="n">
        <v>0.18</v>
      </c>
      <c r="D5488" s="1" t="n">
        <v>0</v>
      </c>
      <c r="E5488" s="1" t="n">
        <v>1.04</v>
      </c>
      <c r="F5488" s="1" t="n">
        <v>18.29</v>
      </c>
      <c r="G5488" s="1" t="n">
        <v>5.36</v>
      </c>
      <c r="H5488" s="1" t="n">
        <v>0</v>
      </c>
      <c r="I5488" s="1" t="n">
        <v>3.1</v>
      </c>
      <c r="J5488" t="n">
        <v>75142550</v>
      </c>
    </row>
    <row r="5489" ht="15.75" customHeight="1" s="201">
      <c r="A5489" s="1" t="inlineStr">
        <is>
          <t>Pork, fresh, shoulder, arm picnic, separable lean and fat, cooked, braised</t>
        </is>
      </c>
      <c r="C5489" s="1" t="n">
        <v>0</v>
      </c>
      <c r="D5489" s="1" t="n">
        <v>5</v>
      </c>
      <c r="E5489" s="1" t="n">
        <v>0.92</v>
      </c>
      <c r="F5489" s="1" t="n">
        <v>24.88</v>
      </c>
      <c r="G5489" s="1" t="n">
        <v>14.33</v>
      </c>
      <c r="H5489" s="1" t="n">
        <v>13</v>
      </c>
      <c r="I5489" s="1" t="n">
        <v>3.1</v>
      </c>
      <c r="J5489" t="n">
        <v>22411010</v>
      </c>
    </row>
    <row r="5490" ht="15.75" customHeight="1" s="201">
      <c r="A5490" s="1" t="inlineStr">
        <is>
          <t>Pork, fresh, shoulder, arm picnic, separable lean and fat, cooked, roasted</t>
        </is>
      </c>
      <c r="C5490" s="1" t="n">
        <v>0</v>
      </c>
      <c r="D5490" s="1" t="n">
        <v>4</v>
      </c>
      <c r="E5490" s="1" t="n">
        <v>1.18</v>
      </c>
      <c r="F5490" s="1" t="n">
        <v>23.47</v>
      </c>
      <c r="G5490" s="1" t="n">
        <v>24.01</v>
      </c>
      <c r="H5490" s="1" t="n">
        <v>8</v>
      </c>
      <c r="I5490" s="1" t="n">
        <v>3.45</v>
      </c>
      <c r="J5490" t="n">
        <v>22411010</v>
      </c>
    </row>
    <row r="5491" ht="15.75" customHeight="1" s="201">
      <c r="A5491" s="1" t="inlineStr">
        <is>
          <t>Pork, fresh, shoulder, arm picnic, separable lean and fat, raw</t>
        </is>
      </c>
      <c r="C5491" s="1" t="n">
        <v>0</v>
      </c>
      <c r="D5491" s="1" t="n">
        <v>0</v>
      </c>
      <c r="E5491" s="1" t="n">
        <v>0.57</v>
      </c>
      <c r="F5491" s="1" t="n">
        <v>18.71</v>
      </c>
      <c r="G5491" s="1" t="n">
        <v>12.51</v>
      </c>
      <c r="H5491" s="1" t="n">
        <v>18</v>
      </c>
      <c r="I5491" s="1" t="n">
        <v>2.15</v>
      </c>
      <c r="J5491" t="n">
        <v>58126280</v>
      </c>
    </row>
    <row r="5492" ht="15.75" customHeight="1" s="201">
      <c r="A5492" s="1" t="inlineStr">
        <is>
          <t>Pork, fresh, shoulder, arm picnic, separable lean only, cooked, braised</t>
        </is>
      </c>
      <c r="C5492" s="1" t="n">
        <v>0</v>
      </c>
      <c r="D5492" s="1" t="n">
        <v>5</v>
      </c>
      <c r="E5492" s="1" t="n">
        <v>0.97</v>
      </c>
      <c r="F5492" s="1" t="n">
        <v>26.76</v>
      </c>
      <c r="G5492" s="1" t="n">
        <v>8.869999999999999</v>
      </c>
      <c r="H5492" s="1" t="n">
        <v>6</v>
      </c>
      <c r="I5492" s="1" t="n">
        <v>3.35</v>
      </c>
      <c r="J5492" t="n">
        <v>22411020</v>
      </c>
    </row>
    <row r="5493" ht="15.75" customHeight="1" s="201">
      <c r="A5493" s="1" t="inlineStr">
        <is>
          <t>Pork, fresh, shoulder, arm picnic, separable lean only, cooked, roasted</t>
        </is>
      </c>
      <c r="C5493" s="1" t="n">
        <v>0</v>
      </c>
      <c r="D5493" s="1" t="n">
        <v>5</v>
      </c>
      <c r="E5493" s="1" t="n">
        <v>1.42</v>
      </c>
      <c r="F5493" s="1" t="n">
        <v>26.68</v>
      </c>
      <c r="G5493" s="1" t="n">
        <v>12.62</v>
      </c>
      <c r="H5493" s="1" t="n">
        <v>7</v>
      </c>
      <c r="I5493" s="1" t="n">
        <v>4.07</v>
      </c>
      <c r="J5493" t="n">
        <v>22411020</v>
      </c>
    </row>
    <row r="5494" ht="15.75" customHeight="1" s="201">
      <c r="A5494" s="1" t="inlineStr">
        <is>
          <t>Pork, fresh, shoulder, arm picnic, separable lean only, raw</t>
        </is>
      </c>
      <c r="C5494" s="1" t="n">
        <v>0</v>
      </c>
      <c r="D5494" s="1" t="n">
        <v>0</v>
      </c>
      <c r="E5494" s="1" t="n">
        <v>0.62</v>
      </c>
      <c r="F5494" s="1" t="n">
        <v>20.26</v>
      </c>
      <c r="G5494" s="1" t="n">
        <v>3.77</v>
      </c>
      <c r="H5494" s="1" t="n">
        <v>7</v>
      </c>
      <c r="I5494" s="1" t="n">
        <v>2.41</v>
      </c>
      <c r="J5494" t="n">
        <v>22411020</v>
      </c>
    </row>
    <row r="5495" ht="15.75" customHeight="1" s="201">
      <c r="A5495" s="1" t="inlineStr">
        <is>
          <t>Pork, fresh, shoulder, blade, boston (roasts), separable lean and fat, cooked, roasted</t>
        </is>
      </c>
      <c r="C5495" s="1" t="n">
        <v>0</v>
      </c>
      <c r="D5495" s="1" t="n">
        <v>5</v>
      </c>
      <c r="E5495" s="1" t="n">
        <v>1.45</v>
      </c>
      <c r="F5495" s="1" t="n">
        <v>23.11</v>
      </c>
      <c r="G5495" s="1" t="n">
        <v>18.86</v>
      </c>
      <c r="H5495" s="1" t="n">
        <v>7</v>
      </c>
      <c r="I5495" s="1" t="n">
        <v>3.96</v>
      </c>
    </row>
    <row r="5496" ht="15.75" customHeight="1" s="201">
      <c r="A5496" s="1" t="inlineStr">
        <is>
          <t>Pork, fresh, shoulder, blade, boston (roasts), separable lean only, cooked, roasted</t>
        </is>
      </c>
      <c r="C5496" s="1" t="n">
        <v>0</v>
      </c>
      <c r="D5496" s="1" t="n">
        <v>8</v>
      </c>
      <c r="E5496" s="1" t="n">
        <v>1.56</v>
      </c>
      <c r="F5496" s="1" t="n">
        <v>24.21</v>
      </c>
      <c r="G5496" s="1" t="n">
        <v>14.3</v>
      </c>
      <c r="H5496" s="1" t="n">
        <v>9</v>
      </c>
      <c r="I5496" s="1" t="n">
        <v>4.23</v>
      </c>
    </row>
    <row r="5497" ht="15.75" customHeight="1" s="201">
      <c r="A5497" s="1" t="inlineStr">
        <is>
          <t>Pork, fresh, shoulder, blade, boston (steaks), separable lean and fat, cooked, broiled</t>
        </is>
      </c>
      <c r="C5497" s="1" t="n">
        <v>0</v>
      </c>
      <c r="D5497" s="1" t="n">
        <v>4</v>
      </c>
      <c r="E5497" s="1" t="n">
        <v>1.4</v>
      </c>
      <c r="F5497" s="1" t="n">
        <v>25.58</v>
      </c>
      <c r="G5497" s="1" t="n">
        <v>16.61</v>
      </c>
      <c r="H5497" s="1" t="n">
        <v>9</v>
      </c>
      <c r="I5497" s="1" t="n">
        <v>4.51</v>
      </c>
    </row>
    <row r="5498" ht="15.75" customHeight="1" s="201">
      <c r="A5498" s="1" t="inlineStr">
        <is>
          <t>Pork, fresh, shoulder, blade, boston (steaks), separable lean only, cooked, broiled</t>
        </is>
      </c>
      <c r="C5498" s="1" t="n">
        <v>0</v>
      </c>
      <c r="D5498" s="1" t="n">
        <v>5</v>
      </c>
      <c r="E5498" s="1" t="n">
        <v>1.56</v>
      </c>
      <c r="F5498" s="1" t="n">
        <v>26.74</v>
      </c>
      <c r="G5498" s="1" t="n">
        <v>12.54</v>
      </c>
      <c r="H5498" s="1" t="n">
        <v>8</v>
      </c>
      <c r="I5498" s="1" t="n">
        <v>5.02</v>
      </c>
    </row>
    <row r="5499" ht="15.75" customHeight="1" s="201">
      <c r="A5499" s="1" t="inlineStr">
        <is>
          <t>Pork, fresh, shoulder, whole, separable lean and fat, cooked, roasted</t>
        </is>
      </c>
      <c r="C5499" s="1" t="n">
        <v>0</v>
      </c>
      <c r="D5499" s="1" t="n">
        <v>5</v>
      </c>
      <c r="E5499" s="1" t="n">
        <v>1.32</v>
      </c>
      <c r="F5499" s="1" t="n">
        <v>23.28</v>
      </c>
      <c r="G5499" s="1" t="n">
        <v>21.39</v>
      </c>
      <c r="H5499" s="1" t="n">
        <v>8</v>
      </c>
      <c r="I5499" s="1" t="n">
        <v>3.71</v>
      </c>
      <c r="J5499" t="n">
        <v>22411010</v>
      </c>
    </row>
    <row r="5500" ht="15.75" customHeight="1" s="201">
      <c r="A5500" s="1" t="inlineStr">
        <is>
          <t>Pork, fresh, shoulder, whole, separable lean and fat, raw</t>
        </is>
      </c>
      <c r="C5500" s="1" t="n">
        <v>0</v>
      </c>
      <c r="D5500" s="1" t="n">
        <v>5</v>
      </c>
      <c r="E5500" s="1" t="n">
        <v>1.05</v>
      </c>
      <c r="F5500" s="1" t="n">
        <v>17.18</v>
      </c>
      <c r="G5500" s="1" t="n">
        <v>17.99</v>
      </c>
      <c r="H5500" s="1" t="n">
        <v>7</v>
      </c>
      <c r="I5500" s="1" t="n">
        <v>2.7</v>
      </c>
      <c r="J5500" t="n">
        <v>54204030</v>
      </c>
    </row>
    <row r="5501" ht="15.75" customHeight="1" s="201">
      <c r="A5501" s="1" t="inlineStr">
        <is>
          <t>Pork, fresh, shoulder, whole, separable lean only, cooked, roasted</t>
        </is>
      </c>
      <c r="C5501" s="1" t="n">
        <v>0</v>
      </c>
      <c r="D5501" s="1" t="n">
        <v>5</v>
      </c>
      <c r="E5501" s="1" t="n">
        <v>1.5</v>
      </c>
      <c r="F5501" s="1" t="n">
        <v>25.33</v>
      </c>
      <c r="G5501" s="1" t="n">
        <v>13.54</v>
      </c>
      <c r="H5501" s="1" t="n">
        <v>7</v>
      </c>
      <c r="I5501" s="1" t="n">
        <v>4.16</v>
      </c>
      <c r="J5501" t="n">
        <v>22411020</v>
      </c>
    </row>
    <row r="5502" ht="15.75" customHeight="1" s="201">
      <c r="A5502" s="1" t="inlineStr">
        <is>
          <t>Pork, fresh, shoulder, whole, separable lean only, raw</t>
        </is>
      </c>
      <c r="C5502" s="1" t="n">
        <v>0</v>
      </c>
      <c r="D5502" s="1" t="n">
        <v>5</v>
      </c>
      <c r="E5502" s="1" t="n">
        <v>1.22</v>
      </c>
      <c r="F5502" s="1" t="n">
        <v>19.55</v>
      </c>
      <c r="G5502" s="1" t="n">
        <v>7.14</v>
      </c>
      <c r="H5502" s="1" t="n">
        <v>6</v>
      </c>
      <c r="I5502" s="1" t="n">
        <v>3.14</v>
      </c>
      <c r="J5502" t="n">
        <v>22411020</v>
      </c>
    </row>
    <row r="5503" ht="15.75" customHeight="1" s="201">
      <c r="A5503" s="1" t="inlineStr">
        <is>
          <t>Pork, fresh, spareribs, separable lean and fat, cooked, braised</t>
        </is>
      </c>
      <c r="C5503" s="1" t="n">
        <v>0</v>
      </c>
      <c r="D5503" s="1" t="n">
        <v>4</v>
      </c>
      <c r="E5503" s="1" t="n">
        <v>1.85</v>
      </c>
      <c r="F5503" s="1" t="n">
        <v>29.06</v>
      </c>
      <c r="G5503" s="1" t="n">
        <v>30.3</v>
      </c>
      <c r="H5503" s="1" t="n">
        <v>10</v>
      </c>
      <c r="I5503" s="1" t="n">
        <v>4.6</v>
      </c>
      <c r="J5503" t="n">
        <v>22701010</v>
      </c>
    </row>
    <row r="5504" ht="15.75" customHeight="1" s="201">
      <c r="A5504" s="1" t="inlineStr">
        <is>
          <t>Pork, fresh, spareribs, separable lean and fat, cooked, roasted</t>
        </is>
      </c>
      <c r="C5504" s="1" t="n">
        <v>0</v>
      </c>
      <c r="D5504" s="1" t="n">
        <v>0</v>
      </c>
      <c r="E5504" s="1" t="n">
        <v>1.43</v>
      </c>
      <c r="F5504" s="1" t="n">
        <v>20.89</v>
      </c>
      <c r="G5504" s="1" t="n">
        <v>30.86</v>
      </c>
      <c r="H5504" s="1" t="n">
        <v>0</v>
      </c>
      <c r="I5504" s="1" t="n">
        <v>3.26</v>
      </c>
      <c r="J5504" t="n">
        <v>22701010</v>
      </c>
    </row>
    <row r="5505" ht="15.75" customHeight="1" s="201">
      <c r="A5505" s="1" t="inlineStr">
        <is>
          <t>Pork, fresh, spareribs, separable lean and fat, raw</t>
        </is>
      </c>
      <c r="C5505" s="1" t="n">
        <v>0</v>
      </c>
      <c r="D5505" s="1" t="n">
        <v>0</v>
      </c>
      <c r="E5505" s="1" t="n">
        <v>0.91</v>
      </c>
      <c r="F5505" s="1" t="n">
        <v>15.47</v>
      </c>
      <c r="G5505" s="1" t="n">
        <v>23.4</v>
      </c>
      <c r="H5505" s="1" t="n">
        <v>0</v>
      </c>
      <c r="I5505" s="1" t="n">
        <v>2.5</v>
      </c>
      <c r="J5505" t="n">
        <v>58126280</v>
      </c>
    </row>
    <row r="5506" ht="15.75" customHeight="1" s="201">
      <c r="A5506" s="1" t="inlineStr">
        <is>
          <t>Pork, fresh, variety meats and by-products, brain, cooked, braised</t>
        </is>
      </c>
      <c r="C5506" s="1" t="n">
        <v>0</v>
      </c>
      <c r="D5506" s="1" t="n">
        <v>4</v>
      </c>
      <c r="E5506" s="1" t="n">
        <v>1.82</v>
      </c>
      <c r="F5506" s="1" t="n">
        <v>12.14</v>
      </c>
      <c r="G5506" s="1" t="n">
        <v>9.51</v>
      </c>
      <c r="H5506" s="1" t="n">
        <v>0</v>
      </c>
      <c r="I5506" s="1" t="n">
        <v>1.48</v>
      </c>
      <c r="J5506" t="n">
        <v>25221870</v>
      </c>
    </row>
    <row r="5507" ht="15.75" customHeight="1" s="201">
      <c r="A5507" s="1" t="inlineStr">
        <is>
          <t>Pork, fresh, variety meats and by-products, brain, raw</t>
        </is>
      </c>
      <c r="C5507" s="1" t="n">
        <v>0</v>
      </c>
      <c r="D5507" s="1" t="n">
        <v>6</v>
      </c>
      <c r="E5507" s="1" t="n">
        <v>1.6</v>
      </c>
      <c r="F5507" s="1" t="n">
        <v>10.28</v>
      </c>
      <c r="G5507" s="1" t="n">
        <v>9.210000000000001</v>
      </c>
      <c r="H5507" s="1" t="n">
        <v>0</v>
      </c>
      <c r="I5507" s="1" t="n">
        <v>1.27</v>
      </c>
      <c r="J5507" t="n">
        <v>25221870</v>
      </c>
    </row>
    <row r="5508" ht="15.75" customHeight="1" s="201">
      <c r="A5508" s="1" t="inlineStr">
        <is>
          <t>Pork, fresh, variety meats and by-products, chitterlings, cooked, simmered</t>
        </is>
      </c>
      <c r="C5508" s="1" t="n">
        <v>0</v>
      </c>
      <c r="D5508" s="1" t="n">
        <v>1</v>
      </c>
      <c r="E5508" s="1" t="n">
        <v>1.47</v>
      </c>
      <c r="F5508" s="1" t="n">
        <v>12.49</v>
      </c>
      <c r="G5508" s="1" t="n">
        <v>20.32</v>
      </c>
      <c r="H5508" s="1" t="n">
        <v>0</v>
      </c>
      <c r="I5508" s="1" t="n">
        <v>1.85</v>
      </c>
      <c r="J5508" t="n">
        <v>25221870</v>
      </c>
    </row>
    <row r="5509" ht="15.75" customHeight="1" s="201">
      <c r="A5509" s="1" t="inlineStr">
        <is>
          <t>Pork, fresh, variety meats and by-products, chitterlings, raw</t>
        </is>
      </c>
      <c r="C5509" s="1" t="n">
        <v>0</v>
      </c>
      <c r="D5509" s="1" t="n">
        <v>3</v>
      </c>
      <c r="E5509" s="1" t="n">
        <v>1.02</v>
      </c>
      <c r="F5509" s="1" t="n">
        <v>7.64</v>
      </c>
      <c r="G5509" s="1" t="n">
        <v>16.61</v>
      </c>
      <c r="H5509" s="1" t="n">
        <v>0</v>
      </c>
      <c r="I5509" s="1" t="n">
        <v>1.02</v>
      </c>
      <c r="J5509" t="n">
        <v>25221870</v>
      </c>
    </row>
    <row r="5510" ht="15.75" customHeight="1" s="201">
      <c r="A5510" s="1" t="inlineStr">
        <is>
          <t>Pork, fresh, variety meats and by-products, ears, frozen, cooked, simmered</t>
        </is>
      </c>
      <c r="C5510" s="1" t="n">
        <v>0.2</v>
      </c>
      <c r="D5510" s="1" t="n">
        <v>0</v>
      </c>
      <c r="E5510" s="1" t="n">
        <v>1.5</v>
      </c>
      <c r="F5510" s="1" t="n">
        <v>15.95</v>
      </c>
      <c r="G5510" s="1" t="n">
        <v>10.8</v>
      </c>
      <c r="H5510" s="1" t="n">
        <v>0</v>
      </c>
      <c r="I5510" s="1" t="n">
        <v>0.2</v>
      </c>
    </row>
    <row r="5511" ht="15.75" customHeight="1" s="201">
      <c r="A5511" s="1" t="inlineStr">
        <is>
          <t>Pork, fresh, variety meats and by-products, ears, frozen, raw</t>
        </is>
      </c>
      <c r="C5511" s="1" t="n">
        <v>0.6</v>
      </c>
      <c r="D5511" s="1" t="n">
        <v>0</v>
      </c>
      <c r="E5511" s="1" t="n">
        <v>2.4</v>
      </c>
      <c r="F5511" s="1" t="n">
        <v>22.45</v>
      </c>
      <c r="G5511" s="1" t="n">
        <v>15.1</v>
      </c>
      <c r="H5511" s="1" t="n">
        <v>0</v>
      </c>
      <c r="I5511" s="1" t="n">
        <v>0.19</v>
      </c>
    </row>
    <row r="5512" ht="15.75" customHeight="1" s="201">
      <c r="A5512" s="1" t="inlineStr">
        <is>
          <t>Pork, fresh, variety meats and by-products, feet, cooked, simmered</t>
        </is>
      </c>
      <c r="C5512" s="1" t="n">
        <v>0</v>
      </c>
      <c r="D5512" s="1" t="n">
        <v>2</v>
      </c>
      <c r="E5512" s="1" t="n">
        <v>0.98</v>
      </c>
      <c r="F5512" s="1" t="n">
        <v>21.94</v>
      </c>
      <c r="G5512" s="1" t="n">
        <v>16.05</v>
      </c>
      <c r="H5512" s="1" t="n">
        <v>0</v>
      </c>
      <c r="I5512" s="1" t="n">
        <v>1.05</v>
      </c>
      <c r="J5512" t="n">
        <v>25221870</v>
      </c>
    </row>
    <row r="5513" ht="15.75" customHeight="1" s="201">
      <c r="A5513" s="1" t="inlineStr">
        <is>
          <t>Pork, fresh, variety meats and by-products, feet, raw</t>
        </is>
      </c>
      <c r="C5513" s="1" t="n">
        <v>0</v>
      </c>
      <c r="D5513" s="1" t="n">
        <v>10</v>
      </c>
      <c r="E5513" s="1" t="n">
        <v>0.58</v>
      </c>
      <c r="F5513" s="1" t="n">
        <v>23.16</v>
      </c>
      <c r="G5513" s="1" t="n">
        <v>12.59</v>
      </c>
      <c r="H5513" s="1" t="n">
        <v>0</v>
      </c>
      <c r="I5513" s="1" t="n">
        <v>0.76</v>
      </c>
      <c r="J5513" t="n">
        <v>25221870</v>
      </c>
    </row>
    <row r="5514" ht="15.75" customHeight="1" s="201">
      <c r="A5514" s="1" t="inlineStr">
        <is>
          <t>Pork, fresh, variety meats and by-products, heart, cooked, braised</t>
        </is>
      </c>
      <c r="C5514" s="1" t="n">
        <v>0.4</v>
      </c>
      <c r="D5514" s="1" t="n">
        <v>4</v>
      </c>
      <c r="E5514" s="1" t="n">
        <v>5.83</v>
      </c>
      <c r="F5514" s="1" t="n">
        <v>23.6</v>
      </c>
      <c r="G5514" s="1" t="n">
        <v>5.05</v>
      </c>
      <c r="H5514" s="1" t="n">
        <v>22</v>
      </c>
      <c r="I5514" s="1" t="n">
        <v>3.09</v>
      </c>
      <c r="J5514" t="n">
        <v>25221870</v>
      </c>
    </row>
    <row r="5515" ht="15.75" customHeight="1" s="201">
      <c r="A5515" s="1" t="inlineStr">
        <is>
          <t>Pork, fresh, variety meats and by-products, heart, raw</t>
        </is>
      </c>
      <c r="C5515" s="1" t="n">
        <v>1.33</v>
      </c>
      <c r="D5515" s="1" t="n">
        <v>4</v>
      </c>
      <c r="E5515" s="1" t="n">
        <v>4.68</v>
      </c>
      <c r="F5515" s="1" t="n">
        <v>17.27</v>
      </c>
      <c r="G5515" s="1" t="n">
        <v>4.36</v>
      </c>
      <c r="H5515" s="1" t="n">
        <v>25</v>
      </c>
      <c r="I5515" s="1" t="n">
        <v>2.8</v>
      </c>
      <c r="J5515" t="n">
        <v>57301530</v>
      </c>
    </row>
    <row r="5516" ht="15.75" customHeight="1" s="201">
      <c r="A5516" s="1" t="inlineStr">
        <is>
          <t>Pork, fresh, variety meats and by-products, jowl, raw</t>
        </is>
      </c>
      <c r="C5516" s="1" t="n">
        <v>0</v>
      </c>
      <c r="D5516" s="1" t="n">
        <v>1</v>
      </c>
      <c r="E5516" s="1" t="n">
        <v>0.42</v>
      </c>
      <c r="F5516" s="1" t="n">
        <v>6.38</v>
      </c>
      <c r="G5516" s="1" t="n">
        <v>69.61</v>
      </c>
      <c r="H5516" s="1" t="n">
        <v>9</v>
      </c>
      <c r="I5516" s="1" t="n">
        <v>0.84</v>
      </c>
      <c r="J5516" t="n">
        <v>25221870</v>
      </c>
    </row>
    <row r="5517" ht="15.75" customHeight="1" s="201">
      <c r="A5517" s="1" t="inlineStr">
        <is>
          <t>Pork, fresh, variety meats and by-products, kidneys, cooked, braised</t>
        </is>
      </c>
      <c r="C5517" s="1" t="n">
        <v>0</v>
      </c>
      <c r="D5517" s="1" t="n">
        <v>41</v>
      </c>
      <c r="E5517" s="1" t="n">
        <v>5.29</v>
      </c>
      <c r="F5517" s="1" t="n">
        <v>25.4</v>
      </c>
      <c r="G5517" s="1" t="n">
        <v>4.7</v>
      </c>
      <c r="H5517" s="1" t="n">
        <v>260</v>
      </c>
      <c r="I5517" s="1" t="n">
        <v>4.15</v>
      </c>
      <c r="J5517" t="n">
        <v>25221870</v>
      </c>
    </row>
    <row r="5518" ht="15.75" customHeight="1" s="201">
      <c r="A5518" s="1" t="inlineStr">
        <is>
          <t>Pork, fresh, variety meats and by-products, kidneys, raw</t>
        </is>
      </c>
      <c r="C5518" s="1" t="n">
        <v>0</v>
      </c>
      <c r="D5518" s="1" t="n">
        <v>42</v>
      </c>
      <c r="E5518" s="1" t="n">
        <v>4.89</v>
      </c>
      <c r="F5518" s="1" t="n">
        <v>16.46</v>
      </c>
      <c r="G5518" s="1" t="n">
        <v>3.25</v>
      </c>
      <c r="H5518" s="1" t="n">
        <v>198</v>
      </c>
      <c r="I5518" s="1" t="n">
        <v>2.75</v>
      </c>
      <c r="J5518" t="n">
        <v>25221870</v>
      </c>
    </row>
    <row r="5519" ht="15.75" customHeight="1" s="201">
      <c r="A5519" s="1" t="inlineStr">
        <is>
          <t>Pork, fresh, variety meats and by-products, leaf fat, raw</t>
        </is>
      </c>
      <c r="C5519" s="1" t="n">
        <v>0</v>
      </c>
      <c r="D5519" s="1" t="n">
        <v>0</v>
      </c>
      <c r="E5519" s="1" t="n">
        <v>0.09</v>
      </c>
      <c r="F5519" s="1" t="n">
        <v>1.76</v>
      </c>
      <c r="G5519" s="1" t="n">
        <v>94.16</v>
      </c>
      <c r="H5519" s="1" t="n">
        <v>0</v>
      </c>
      <c r="I5519" s="1" t="n">
        <v>0.18</v>
      </c>
      <c r="J5519" t="n">
        <v>25221870</v>
      </c>
    </row>
    <row r="5520" ht="15.75" customHeight="1" s="201">
      <c r="A5520" s="1" t="inlineStr">
        <is>
          <t>Pork, fresh, variety meats and by-products, liver, cooked, braised</t>
        </is>
      </c>
      <c r="C5520" s="1" t="n">
        <v>3.76</v>
      </c>
      <c r="D5520" s="1" t="n">
        <v>163</v>
      </c>
      <c r="E5520" s="1" t="n">
        <v>17.92</v>
      </c>
      <c r="F5520" s="1" t="n">
        <v>26.02</v>
      </c>
      <c r="G5520" s="1" t="n">
        <v>4.4</v>
      </c>
      <c r="H5520" s="1" t="n">
        <v>17997</v>
      </c>
      <c r="I5520" s="1" t="n">
        <v>6.72</v>
      </c>
      <c r="J5520" t="n">
        <v>25230560</v>
      </c>
    </row>
    <row r="5521" ht="15.75" customHeight="1" s="201">
      <c r="A5521" s="1" t="inlineStr">
        <is>
          <t>Pork, fresh, variety meats and by-products, liver, raw</t>
        </is>
      </c>
      <c r="C5521" s="1" t="n">
        <v>2.47</v>
      </c>
      <c r="D5521" s="1" t="n">
        <v>212</v>
      </c>
      <c r="E5521" s="1" t="n">
        <v>23.3</v>
      </c>
      <c r="F5521" s="1" t="n">
        <v>21.39</v>
      </c>
      <c r="G5521" s="1" t="n">
        <v>3.65</v>
      </c>
      <c r="H5521" s="1" t="n">
        <v>21650</v>
      </c>
      <c r="I5521" s="1" t="n">
        <v>5.76</v>
      </c>
      <c r="J5521" t="n">
        <v>25230560</v>
      </c>
    </row>
    <row r="5522" ht="15.75" customHeight="1" s="201">
      <c r="A5522" s="1" t="inlineStr">
        <is>
          <t>Pork, fresh, variety meats and by-products, lungs, cooked, braised</t>
        </is>
      </c>
      <c r="C5522" s="1" t="n">
        <v>0</v>
      </c>
      <c r="D5522" s="1" t="n">
        <v>2</v>
      </c>
      <c r="E5522" s="1" t="n">
        <v>16.41</v>
      </c>
      <c r="F5522" s="1" t="n">
        <v>16.6</v>
      </c>
      <c r="G5522" s="1" t="n">
        <v>3.1</v>
      </c>
      <c r="H5522" s="1" t="n">
        <v>0</v>
      </c>
      <c r="I5522" s="1" t="n">
        <v>2.45</v>
      </c>
      <c r="J5522" t="n">
        <v>25221870</v>
      </c>
    </row>
    <row r="5523" ht="15.75" customHeight="1" s="201">
      <c r="A5523" s="1" t="inlineStr">
        <is>
          <t>Pork, fresh, variety meats and by-products, lungs, raw</t>
        </is>
      </c>
      <c r="C5523" s="1" t="n">
        <v>0</v>
      </c>
      <c r="D5523" s="1" t="n">
        <v>3</v>
      </c>
      <c r="E5523" s="1" t="n">
        <v>18.9</v>
      </c>
      <c r="F5523" s="1" t="n">
        <v>14.08</v>
      </c>
      <c r="G5523" s="1" t="n">
        <v>2.72</v>
      </c>
      <c r="H5523" s="1" t="n">
        <v>0</v>
      </c>
      <c r="I5523" s="1" t="n">
        <v>2.03</v>
      </c>
      <c r="J5523" t="n">
        <v>25221870</v>
      </c>
    </row>
    <row r="5524" ht="15.75" customHeight="1" s="201">
      <c r="A5524" s="1" t="inlineStr">
        <is>
          <t>Pork, fresh, variety meats and by-products, mechanically separated, raw</t>
        </is>
      </c>
      <c r="C5524" s="1" t="n">
        <v>0</v>
      </c>
      <c r="D5524" s="1" t="n">
        <v>3</v>
      </c>
      <c r="E5524" s="1" t="n">
        <v>4.25</v>
      </c>
      <c r="F5524" s="1" t="n">
        <v>15.03</v>
      </c>
      <c r="G5524" s="1" t="n">
        <v>26.54</v>
      </c>
      <c r="H5524" s="1" t="n">
        <v>10</v>
      </c>
      <c r="I5524" s="1" t="n">
        <v>2.44</v>
      </c>
    </row>
    <row r="5525" ht="15.75" customHeight="1" s="201">
      <c r="A5525" s="1" t="inlineStr">
        <is>
          <t>Pork, fresh, variety meats and by-products, pancreas, cooked, braised</t>
        </is>
      </c>
      <c r="C5525" s="1" t="n">
        <v>0</v>
      </c>
      <c r="D5525" s="1" t="n">
        <v>5</v>
      </c>
      <c r="E5525" s="1" t="n">
        <v>2.69</v>
      </c>
      <c r="F5525" s="1" t="n">
        <v>28.5</v>
      </c>
      <c r="G5525" s="1" t="n">
        <v>10.8</v>
      </c>
      <c r="H5525" s="1" t="n">
        <v>0</v>
      </c>
      <c r="I5525" s="1" t="n">
        <v>4.29</v>
      </c>
      <c r="J5525" t="n">
        <v>25221870</v>
      </c>
    </row>
    <row r="5526" ht="15.75" customHeight="1" s="201">
      <c r="A5526" s="1" t="inlineStr">
        <is>
          <t>Pork, fresh, variety meats and by-products, pancreas, raw</t>
        </is>
      </c>
      <c r="C5526" s="1" t="n">
        <v>0</v>
      </c>
      <c r="D5526" s="1" t="n">
        <v>3</v>
      </c>
      <c r="E5526" s="1" t="n">
        <v>2.13</v>
      </c>
      <c r="F5526" s="1" t="n">
        <v>18.56</v>
      </c>
      <c r="G5526" s="1" t="n">
        <v>13.24</v>
      </c>
      <c r="H5526" s="1" t="n">
        <v>0</v>
      </c>
      <c r="I5526" s="1" t="n">
        <v>2.62</v>
      </c>
      <c r="J5526" t="n">
        <v>25221870</v>
      </c>
    </row>
    <row r="5527" ht="15.75" customHeight="1" s="201">
      <c r="A5527" s="1" t="inlineStr">
        <is>
          <t>Pork, fresh, variety meats and by-products, spleen, cooked, braised</t>
        </is>
      </c>
      <c r="C5527" s="1" t="n">
        <v>0</v>
      </c>
      <c r="D5527" s="1" t="n">
        <v>4</v>
      </c>
      <c r="E5527" s="1" t="n">
        <v>22.23</v>
      </c>
      <c r="F5527" s="1" t="n">
        <v>28.2</v>
      </c>
      <c r="G5527" s="1" t="n">
        <v>3.2</v>
      </c>
      <c r="H5527" s="1" t="n">
        <v>0</v>
      </c>
      <c r="I5527" s="1" t="n">
        <v>3.54</v>
      </c>
      <c r="J5527" t="n">
        <v>25221870</v>
      </c>
    </row>
    <row r="5528" ht="15.75" customHeight="1" s="201">
      <c r="A5528" s="1" t="inlineStr">
        <is>
          <t>Pork, fresh, variety meats and by-products, spleen, raw</t>
        </is>
      </c>
      <c r="C5528" s="1" t="n">
        <v>0</v>
      </c>
      <c r="D5528" s="1" t="n">
        <v>4</v>
      </c>
      <c r="E5528" s="1" t="n">
        <v>22.32</v>
      </c>
      <c r="F5528" s="1" t="n">
        <v>17.86</v>
      </c>
      <c r="G5528" s="1" t="n">
        <v>2.59</v>
      </c>
      <c r="H5528" s="1" t="n">
        <v>0</v>
      </c>
      <c r="I5528" s="1" t="n">
        <v>2.54</v>
      </c>
      <c r="J5528" t="n">
        <v>25221870</v>
      </c>
    </row>
    <row r="5529" ht="15.75" customHeight="1" s="201">
      <c r="A5529" s="1" t="inlineStr">
        <is>
          <t>Pork, fresh, variety meats and by-products, stomach, cooked, simmered</t>
        </is>
      </c>
      <c r="C5529" s="1" t="n">
        <v>0.09</v>
      </c>
      <c r="D5529" s="1" t="n">
        <v>3</v>
      </c>
      <c r="E5529" s="1" t="n">
        <v>1.23</v>
      </c>
      <c r="F5529" s="1" t="n">
        <v>21.4</v>
      </c>
      <c r="G5529" s="1" t="n">
        <v>7.26</v>
      </c>
      <c r="H5529" s="1" t="n">
        <v>0</v>
      </c>
      <c r="I5529" s="1" t="n">
        <v>2.92</v>
      </c>
      <c r="J5529" t="n">
        <v>25170310</v>
      </c>
    </row>
    <row r="5530" ht="15.75" customHeight="1" s="201">
      <c r="A5530" s="1" t="inlineStr">
        <is>
          <t>Pork, fresh, variety meats and by-products, stomach, raw</t>
        </is>
      </c>
      <c r="C5530" s="1" t="n">
        <v>0</v>
      </c>
      <c r="D5530" s="1" t="n">
        <v>3</v>
      </c>
      <c r="E5530" s="1" t="n">
        <v>1.01</v>
      </c>
      <c r="F5530" s="1" t="n">
        <v>16.85</v>
      </c>
      <c r="G5530" s="1" t="n">
        <v>10.14</v>
      </c>
      <c r="H5530" s="1" t="n">
        <v>0</v>
      </c>
      <c r="I5530" s="1" t="n">
        <v>1.85</v>
      </c>
      <c r="J5530" t="n">
        <v>25170310</v>
      </c>
    </row>
    <row r="5531" ht="15.75" customHeight="1" s="201">
      <c r="A5531" s="1" t="inlineStr">
        <is>
          <t>Pork, fresh, variety meats and by-products, tail, cooked, simmered</t>
        </is>
      </c>
      <c r="C5531" s="1" t="n">
        <v>0</v>
      </c>
      <c r="D5531" s="1" t="n">
        <v>4</v>
      </c>
      <c r="E5531" s="1" t="n">
        <v>0.79</v>
      </c>
      <c r="F5531" s="1" t="n">
        <v>17</v>
      </c>
      <c r="G5531" s="1" t="n">
        <v>35.8</v>
      </c>
      <c r="H5531" s="1" t="n">
        <v>0</v>
      </c>
      <c r="I5531" s="1" t="n">
        <v>1.64</v>
      </c>
      <c r="J5531" t="n">
        <v>25221870</v>
      </c>
    </row>
    <row r="5532" ht="15.75" customHeight="1" s="201">
      <c r="A5532" s="1" t="inlineStr">
        <is>
          <t>Pork, fresh, variety meats and by-products, tail, raw</t>
        </is>
      </c>
      <c r="C5532" s="1" t="n">
        <v>0</v>
      </c>
      <c r="D5532" s="1" t="n">
        <v>5</v>
      </c>
      <c r="E5532" s="1" t="n">
        <v>0.99</v>
      </c>
      <c r="F5532" s="1" t="n">
        <v>17.75</v>
      </c>
      <c r="G5532" s="1" t="n">
        <v>33.5</v>
      </c>
      <c r="H5532" s="1" t="n">
        <v>0</v>
      </c>
      <c r="I5532" s="1" t="n">
        <v>2.31</v>
      </c>
      <c r="J5532" t="n">
        <v>25221870</v>
      </c>
    </row>
    <row r="5533" ht="15.75" customHeight="1" s="201">
      <c r="A5533" s="1" t="inlineStr">
        <is>
          <t>Pork, fresh, variety meats and by-products, tongue, cooked, braised</t>
        </is>
      </c>
      <c r="C5533" s="1" t="n">
        <v>0</v>
      </c>
      <c r="D5533" s="1" t="n">
        <v>4</v>
      </c>
      <c r="E5533" s="1" t="n">
        <v>4.99</v>
      </c>
      <c r="F5533" s="1" t="n">
        <v>24.1</v>
      </c>
      <c r="G5533" s="1" t="n">
        <v>18.6</v>
      </c>
      <c r="H5533" s="1" t="n">
        <v>0</v>
      </c>
      <c r="I5533" s="1" t="n">
        <v>4.53</v>
      </c>
      <c r="J5533" t="n">
        <v>25221870</v>
      </c>
    </row>
    <row r="5534" ht="15.75" customHeight="1" s="201">
      <c r="A5534" s="1" t="inlineStr">
        <is>
          <t>Pork, fresh, variety meats and by-products, tongue, raw</t>
        </is>
      </c>
      <c r="C5534" s="1" t="n">
        <v>0</v>
      </c>
      <c r="D5534" s="1" t="n">
        <v>4</v>
      </c>
      <c r="E5534" s="1" t="n">
        <v>3.35</v>
      </c>
      <c r="F5534" s="1" t="n">
        <v>16.3</v>
      </c>
      <c r="G5534" s="1" t="n">
        <v>17.2</v>
      </c>
      <c r="H5534" s="1" t="n">
        <v>0</v>
      </c>
      <c r="I5534" s="1" t="n">
        <v>3.01</v>
      </c>
      <c r="J5534" t="n">
        <v>25221870</v>
      </c>
    </row>
    <row r="5535" ht="15.75" customHeight="1" s="201">
      <c r="A5535" s="1" t="inlineStr">
        <is>
          <t>Pork, ground, 72% lean / 28% fat, cooked, crumbles</t>
        </is>
      </c>
      <c r="C5535" s="1" t="n">
        <v>1.39</v>
      </c>
      <c r="D5535" s="1" t="n">
        <v>2</v>
      </c>
      <c r="E5535" s="1" t="n">
        <v>1.15</v>
      </c>
      <c r="F5535" s="1" t="n">
        <v>22.83</v>
      </c>
      <c r="G5535" s="1" t="n">
        <v>32.93</v>
      </c>
      <c r="H5535" s="1" t="n">
        <v>0</v>
      </c>
      <c r="I5535" s="1" t="n">
        <v>2.58</v>
      </c>
      <c r="J5535" t="n">
        <v>58126280</v>
      </c>
    </row>
    <row r="5536" ht="15.75" customHeight="1" s="201">
      <c r="A5536" s="1" t="inlineStr">
        <is>
          <t>Pork, ground, 72% lean / 28% fat, cooked, pan-broiled</t>
        </is>
      </c>
      <c r="C5536" s="1" t="n">
        <v>1.08</v>
      </c>
      <c r="D5536" s="1" t="n">
        <v>4</v>
      </c>
      <c r="E5536" s="1" t="n">
        <v>1.21</v>
      </c>
      <c r="F5536" s="1" t="n">
        <v>22.59</v>
      </c>
      <c r="G5536" s="1" t="n">
        <v>31.42</v>
      </c>
      <c r="H5536" s="1" t="n">
        <v>0</v>
      </c>
      <c r="I5536" s="1" t="n">
        <v>2.48</v>
      </c>
      <c r="J5536" t="n">
        <v>58126280</v>
      </c>
    </row>
    <row r="5537" ht="15.75" customHeight="1" s="201">
      <c r="A5537" s="1" t="inlineStr">
        <is>
          <t>Pork, ground, 84% lean / 16% fat, cooked, crumbles</t>
        </is>
      </c>
      <c r="C5537" s="1" t="n">
        <v>0.58</v>
      </c>
      <c r="D5537" s="1" t="n">
        <v>1</v>
      </c>
      <c r="E5537" s="1" t="n">
        <v>1.1</v>
      </c>
      <c r="F5537" s="1" t="n">
        <v>26.69</v>
      </c>
      <c r="G5537" s="1" t="n">
        <v>20.04</v>
      </c>
      <c r="H5537" s="1" t="n">
        <v>0</v>
      </c>
      <c r="I5537" s="1" t="n">
        <v>2.57</v>
      </c>
      <c r="J5537" t="n">
        <v>58126280</v>
      </c>
    </row>
    <row r="5538" ht="15.75" customHeight="1" s="201">
      <c r="A5538" s="1" t="inlineStr">
        <is>
          <t>Pork, ground, 84% lean / 16% fat, cooked, pan-broiled</t>
        </is>
      </c>
      <c r="C5538" s="1" t="n">
        <v>0</v>
      </c>
      <c r="D5538" s="1" t="n">
        <v>4</v>
      </c>
      <c r="E5538" s="1" t="n">
        <v>1.16</v>
      </c>
      <c r="F5538" s="1" t="n">
        <v>27.14</v>
      </c>
      <c r="G5538" s="1" t="n">
        <v>21.39</v>
      </c>
      <c r="H5538" s="1" t="n">
        <v>0</v>
      </c>
      <c r="I5538" s="1" t="n">
        <v>2.54</v>
      </c>
      <c r="J5538" t="n">
        <v>58126280</v>
      </c>
    </row>
    <row r="5539" ht="15.75" customHeight="1" s="201">
      <c r="A5539" s="1" t="inlineStr">
        <is>
          <t>Pork, ground, 84% lean / 16% fat, raw</t>
        </is>
      </c>
      <c r="C5539" s="1" t="n">
        <v>0.44</v>
      </c>
      <c r="D5539" s="1" t="n">
        <v>2</v>
      </c>
      <c r="E5539" s="1" t="n">
        <v>0.88</v>
      </c>
      <c r="F5539" s="1" t="n">
        <v>17.99</v>
      </c>
      <c r="G5539" s="1" t="n">
        <v>16</v>
      </c>
      <c r="H5539" s="1" t="n">
        <v>0</v>
      </c>
      <c r="I5539" s="1" t="n">
        <v>1.91</v>
      </c>
      <c r="J5539" t="n">
        <v>58126280</v>
      </c>
    </row>
    <row r="5540" ht="15.75" customHeight="1" s="201">
      <c r="A5540" s="1" t="inlineStr">
        <is>
          <t>Pork, ground, 96% lean / 4% fat, cooked, crumbles</t>
        </is>
      </c>
      <c r="C5540" s="1" t="n">
        <v>0</v>
      </c>
      <c r="D5540" s="1" t="n">
        <v>0</v>
      </c>
      <c r="E5540" s="1" t="n">
        <v>1.05</v>
      </c>
      <c r="F5540" s="1" t="n">
        <v>30.55</v>
      </c>
      <c r="G5540" s="1" t="n">
        <v>7.15</v>
      </c>
      <c r="H5540" s="1" t="n">
        <v>0</v>
      </c>
      <c r="I5540" s="1" t="n">
        <v>2.56</v>
      </c>
      <c r="J5540" t="n">
        <v>58126280</v>
      </c>
    </row>
    <row r="5541" ht="15.75" customHeight="1" s="201">
      <c r="A5541" s="1" t="inlineStr">
        <is>
          <t>Pork, ground, 96% lean / 4% fat, cooked, pan-broiled</t>
        </is>
      </c>
      <c r="C5541" s="1" t="n">
        <v>0.57</v>
      </c>
      <c r="D5541" s="1" t="n">
        <v>3</v>
      </c>
      <c r="E5541" s="1" t="n">
        <v>1.11</v>
      </c>
      <c r="F5541" s="1" t="n">
        <v>31.69</v>
      </c>
      <c r="G5541" s="1" t="n">
        <v>6.2</v>
      </c>
      <c r="H5541" s="1" t="n">
        <v>0</v>
      </c>
      <c r="I5541" s="1" t="n">
        <v>2.59</v>
      </c>
      <c r="J5541" t="n">
        <v>58126280</v>
      </c>
    </row>
    <row r="5542" ht="15.75" customHeight="1" s="201">
      <c r="A5542" s="1" t="inlineStr">
        <is>
          <t>Pork, ground, 96% lean / 4% fat, raw</t>
        </is>
      </c>
      <c r="C5542" s="1" t="n">
        <v>0.21</v>
      </c>
      <c r="D5542" s="1" t="n">
        <v>2</v>
      </c>
      <c r="E5542" s="1" t="n">
        <v>0.86</v>
      </c>
      <c r="F5542" s="1" t="n">
        <v>21.1</v>
      </c>
      <c r="G5542" s="1" t="n">
        <v>4</v>
      </c>
      <c r="H5542" s="1" t="n">
        <v>0</v>
      </c>
      <c r="I5542" s="1" t="n">
        <v>1.93</v>
      </c>
      <c r="J5542" t="n">
        <v>58126280</v>
      </c>
    </row>
    <row r="5543" ht="15.75" customHeight="1" s="201">
      <c r="A5543" s="1" t="inlineStr">
        <is>
          <t>Pork, Leg Cap Steak, boneless, separable lean and fat, raw</t>
        </is>
      </c>
      <c r="C5543" s="1" t="n">
        <v>0</v>
      </c>
      <c r="D5543" s="1" t="n">
        <v>1</v>
      </c>
      <c r="E5543" s="1" t="n">
        <v>0.84</v>
      </c>
      <c r="F5543" s="1" t="n">
        <v>21.64</v>
      </c>
      <c r="G5543" s="1" t="n">
        <v>3.39</v>
      </c>
      <c r="H5543" s="1" t="n">
        <v>0</v>
      </c>
      <c r="I5543" s="1" t="n">
        <v>3.18</v>
      </c>
      <c r="J5543" t="n">
        <v>27515080</v>
      </c>
    </row>
    <row r="5544" ht="15.75" customHeight="1" s="201">
      <c r="A5544" s="1" t="inlineStr">
        <is>
          <t>Pork, Leg sirloin tip roast, boneless, separable lean and fat, cooked, braised</t>
        </is>
      </c>
      <c r="C5544" s="1" t="n">
        <v>0</v>
      </c>
      <c r="D5544" s="1" t="n">
        <v>1</v>
      </c>
      <c r="E5544" s="1" t="n">
        <v>1.06</v>
      </c>
      <c r="F5544" s="1" t="n">
        <v>31.11</v>
      </c>
      <c r="G5544" s="1" t="n">
        <v>2.56</v>
      </c>
      <c r="H5544" s="1" t="n">
        <v>0</v>
      </c>
      <c r="I5544" s="1" t="n">
        <v>2.86</v>
      </c>
      <c r="J5544" t="n">
        <v>21407110</v>
      </c>
    </row>
    <row r="5545" ht="15.75" customHeight="1" s="201">
      <c r="A5545" s="1" t="inlineStr">
        <is>
          <t>Pork, Leg sirloin tip roast, boneless, separable lean and fat, raw</t>
        </is>
      </c>
      <c r="C5545" s="1" t="n">
        <v>0</v>
      </c>
      <c r="D5545" s="1" t="n">
        <v>0</v>
      </c>
      <c r="E5545" s="1" t="n">
        <v>0.8</v>
      </c>
      <c r="F5545" s="1" t="n">
        <v>22.88</v>
      </c>
      <c r="G5545" s="1" t="n">
        <v>1.71</v>
      </c>
      <c r="H5545" s="1" t="n">
        <v>0</v>
      </c>
      <c r="I5545" s="1" t="n">
        <v>2.05</v>
      </c>
      <c r="J5545" t="n">
        <v>21407110</v>
      </c>
    </row>
    <row r="5546" ht="15.75" customHeight="1" s="201">
      <c r="A5546" s="1" t="inlineStr">
        <is>
          <t>Pork, loin, leg cap steak, boneless, separable lean and fat, cooked, broiled</t>
        </is>
      </c>
      <c r="C5546" s="1" t="n">
        <v>0</v>
      </c>
      <c r="D5546" s="1" t="n">
        <v>1</v>
      </c>
      <c r="E5546" s="1" t="n">
        <v>0.97</v>
      </c>
      <c r="F5546" s="1" t="n">
        <v>27.57</v>
      </c>
      <c r="G5546" s="1" t="n">
        <v>4.41</v>
      </c>
      <c r="H5546" s="1" t="n">
        <v>0</v>
      </c>
      <c r="I5546" s="1" t="n">
        <v>4.11</v>
      </c>
      <c r="J5546" t="n">
        <v>23104010</v>
      </c>
    </row>
    <row r="5547" ht="15.75" customHeight="1" s="201">
      <c r="A5547" s="1" t="inlineStr">
        <is>
          <t>Pork, oriental style, dehydrated</t>
        </is>
      </c>
      <c r="C5547" s="1" t="n">
        <v>1.4</v>
      </c>
      <c r="D5547" s="1" t="n">
        <v>2</v>
      </c>
      <c r="E5547" s="1" t="n">
        <v>0.5</v>
      </c>
      <c r="F5547" s="1" t="n">
        <v>11.8</v>
      </c>
      <c r="G5547" s="1" t="n">
        <v>62.4</v>
      </c>
      <c r="H5547" s="1" t="n">
        <v>0</v>
      </c>
      <c r="I5547" s="1" t="n">
        <v>1.15</v>
      </c>
      <c r="J5547" t="n">
        <v>27120030</v>
      </c>
    </row>
    <row r="5548" ht="15.75" customHeight="1" s="201">
      <c r="A5548" s="1" t="inlineStr">
        <is>
          <t>Pork, pickled pork hocks</t>
        </is>
      </c>
      <c r="C5548" s="1" t="n">
        <v>0</v>
      </c>
      <c r="D5548" s="1" t="n">
        <v>1</v>
      </c>
      <c r="E5548" s="1" t="n">
        <v>1.14</v>
      </c>
      <c r="F5548" s="1" t="n">
        <v>19.11</v>
      </c>
      <c r="G5548" s="1" t="n">
        <v>10.54</v>
      </c>
      <c r="H5548" s="1" t="n">
        <v>76</v>
      </c>
      <c r="I5548" s="1" t="n">
        <v>2.38</v>
      </c>
      <c r="J5548" t="n">
        <v>27120030</v>
      </c>
    </row>
    <row r="5549" ht="15.75" customHeight="1" s="201">
      <c r="A5549" s="1" t="inlineStr">
        <is>
          <t>Pork, Shoulder breast, boneless, separable lean and fat, cooked, broiled</t>
        </is>
      </c>
      <c r="C5549" s="1" t="n">
        <v>0</v>
      </c>
      <c r="D5549" s="1" t="n">
        <v>2</v>
      </c>
      <c r="E5549" s="1" t="n">
        <v>0.92</v>
      </c>
      <c r="F5549" s="1" t="n">
        <v>28.47</v>
      </c>
      <c r="G5549" s="1" t="n">
        <v>4.49</v>
      </c>
      <c r="H5549" s="1" t="n">
        <v>0</v>
      </c>
      <c r="I5549" s="1" t="n">
        <v>2.43</v>
      </c>
      <c r="J5549" t="n">
        <v>22411010</v>
      </c>
    </row>
    <row r="5550" ht="15.75" customHeight="1" s="201">
      <c r="A5550" s="1" t="inlineStr">
        <is>
          <t>Pork, Shoulder breast, boneless, separable lean and fat, raw</t>
        </is>
      </c>
      <c r="C5550" s="1" t="n">
        <v>0</v>
      </c>
      <c r="D5550" s="1" t="n">
        <v>0</v>
      </c>
      <c r="E5550" s="1" t="n">
        <v>0.89</v>
      </c>
      <c r="F5550" s="1" t="n">
        <v>22.54</v>
      </c>
      <c r="G5550" s="1" t="n">
        <v>3.4</v>
      </c>
      <c r="H5550" s="1" t="n">
        <v>0</v>
      </c>
      <c r="I5550" s="1" t="n">
        <v>1.95</v>
      </c>
      <c r="J5550" t="n">
        <v>58126280</v>
      </c>
    </row>
    <row r="5551" ht="15.75" customHeight="1" s="201">
      <c r="A5551" s="1" t="inlineStr">
        <is>
          <t>Pork, Shoulder petite tender, boneless, separable lean and fat, raw</t>
        </is>
      </c>
      <c r="C5551" s="1" t="n">
        <v>0</v>
      </c>
      <c r="D5551" s="1" t="n">
        <v>2</v>
      </c>
      <c r="E5551" s="1" t="n">
        <v>1.07</v>
      </c>
      <c r="F5551" s="1" t="n">
        <v>21.65</v>
      </c>
      <c r="G5551" s="1" t="n">
        <v>3.91</v>
      </c>
      <c r="H5551" s="1" t="n">
        <v>0</v>
      </c>
      <c r="I5551" s="1" t="n">
        <v>2.16</v>
      </c>
      <c r="J5551" t="n">
        <v>58126280</v>
      </c>
    </row>
    <row r="5552" ht="15.75" customHeight="1" s="201">
      <c r="A5552" s="1" t="inlineStr">
        <is>
          <t>Pork, shoulder, petite tender, boneless, separable lean and fat, cooked, broiled</t>
        </is>
      </c>
      <c r="C5552" s="1" t="n">
        <v>0</v>
      </c>
      <c r="D5552" s="1" t="n">
        <v>1</v>
      </c>
      <c r="E5552" s="1" t="n">
        <v>1.25</v>
      </c>
      <c r="F5552" s="1" t="n">
        <v>27.47</v>
      </c>
      <c r="G5552" s="1" t="n">
        <v>4.23</v>
      </c>
      <c r="H5552" s="1" t="n">
        <v>0</v>
      </c>
      <c r="I5552" s="1" t="n">
        <v>2.74</v>
      </c>
    </row>
    <row r="5553" ht="15.75" customHeight="1" s="201">
      <c r="A5553" s="1" t="inlineStr">
        <is>
          <t>Potato chips, without salt, reduced fat</t>
        </is>
      </c>
      <c r="C5553" s="1" t="n">
        <v>67.8</v>
      </c>
      <c r="D5553" s="1" t="n">
        <v>10</v>
      </c>
      <c r="E5553" s="1" t="n">
        <v>1.35</v>
      </c>
      <c r="F5553" s="1" t="n">
        <v>7.1</v>
      </c>
      <c r="G5553" s="1" t="n">
        <v>20.8</v>
      </c>
      <c r="H5553" s="1" t="n">
        <v>0</v>
      </c>
      <c r="I5553" s="1" t="n">
        <v>1.01</v>
      </c>
      <c r="J5553" t="n">
        <v>71201200</v>
      </c>
    </row>
    <row r="5554" ht="15.75" customHeight="1" s="201">
      <c r="A5554" s="1" t="inlineStr">
        <is>
          <t>Potato flour</t>
        </is>
      </c>
      <c r="C5554" s="1" t="n">
        <v>83.09999999999999</v>
      </c>
      <c r="D5554" s="1" t="n">
        <v>25</v>
      </c>
      <c r="E5554" s="1" t="n">
        <v>1.38</v>
      </c>
      <c r="F5554" s="1" t="n">
        <v>6.9</v>
      </c>
      <c r="G5554" s="1" t="n">
        <v>0.34</v>
      </c>
      <c r="H5554" s="1" t="n">
        <v>0</v>
      </c>
      <c r="I5554" s="1" t="n">
        <v>0.54</v>
      </c>
      <c r="J5554" t="n">
        <v>71200300</v>
      </c>
    </row>
    <row r="5555" ht="15.75" customHeight="1" s="201">
      <c r="A5555" s="1" t="inlineStr">
        <is>
          <t>Potato pancakes</t>
        </is>
      </c>
      <c r="C5555" s="1" t="n">
        <v>27.81</v>
      </c>
      <c r="D5555" s="1" t="n">
        <v>41</v>
      </c>
      <c r="E5555" s="1" t="n">
        <v>1.67</v>
      </c>
      <c r="F5555" s="1" t="n">
        <v>6.08</v>
      </c>
      <c r="G5555" s="1" t="n">
        <v>14.76</v>
      </c>
      <c r="H5555" s="1" t="n">
        <v>113</v>
      </c>
      <c r="I5555" s="1" t="n">
        <v>0.7</v>
      </c>
      <c r="J5555" t="n">
        <v>71200300</v>
      </c>
    </row>
    <row r="5556" ht="15.75" customHeight="1" s="201">
      <c r="A5556" s="1" t="inlineStr">
        <is>
          <t>Potato puffs, frozen, oven-heated</t>
        </is>
      </c>
      <c r="C5556" s="1" t="n">
        <v>27.29</v>
      </c>
      <c r="D5556" s="1" t="n">
        <v>23</v>
      </c>
      <c r="E5556" s="1" t="n">
        <v>0.58</v>
      </c>
      <c r="F5556" s="1" t="n">
        <v>2.13</v>
      </c>
      <c r="G5556" s="1" t="n">
        <v>9.050000000000001</v>
      </c>
      <c r="H5556" s="1" t="n">
        <v>5</v>
      </c>
      <c r="I5556" s="1" t="n">
        <v>0.3</v>
      </c>
      <c r="J5556" t="n">
        <v>71505060</v>
      </c>
    </row>
    <row r="5557" ht="15.75" customHeight="1" s="201">
      <c r="A5557" s="1" t="inlineStr">
        <is>
          <t>Potato puffs, frozen, unprepared</t>
        </is>
      </c>
      <c r="C5557" s="1" t="n">
        <v>24.8</v>
      </c>
      <c r="D5557" s="1" t="n">
        <v>17</v>
      </c>
      <c r="E5557" s="1" t="n">
        <v>0.47</v>
      </c>
      <c r="F5557" s="1" t="n">
        <v>1.93</v>
      </c>
      <c r="G5557" s="1" t="n">
        <v>8.710000000000001</v>
      </c>
      <c r="H5557" s="1" t="n">
        <v>4</v>
      </c>
      <c r="I5557" s="1" t="n">
        <v>0.26</v>
      </c>
      <c r="J5557" t="n">
        <v>71505060</v>
      </c>
    </row>
    <row r="5558" ht="15.75" customHeight="1" s="201">
      <c r="A5558" s="1" t="inlineStr">
        <is>
          <t>Potato salad with egg</t>
        </is>
      </c>
      <c r="C5558" s="1" t="n">
        <v>16.18</v>
      </c>
      <c r="D5558" s="1" t="n">
        <v>13</v>
      </c>
      <c r="E5558" s="1" t="n">
        <v>0.5</v>
      </c>
      <c r="F5558" s="1" t="n">
        <v>1.96</v>
      </c>
      <c r="G5558" s="1" t="n">
        <v>9.4</v>
      </c>
      <c r="H5558" s="1" t="n">
        <v>163</v>
      </c>
      <c r="I5558" s="1" t="n">
        <v>0.33</v>
      </c>
      <c r="J5558" t="n">
        <v>75142550</v>
      </c>
    </row>
    <row r="5559" ht="15.75" customHeight="1" s="201">
      <c r="A5559" s="1" t="inlineStr">
        <is>
          <t>Potato salad, home-prepared</t>
        </is>
      </c>
      <c r="C5559" s="1" t="n">
        <v>11.17</v>
      </c>
      <c r="D5559" s="1" t="n">
        <v>7</v>
      </c>
      <c r="E5559" s="1" t="n">
        <v>0.65</v>
      </c>
      <c r="F5559" s="1" t="n">
        <v>2.68</v>
      </c>
      <c r="G5559" s="1" t="n">
        <v>8.199999999999999</v>
      </c>
      <c r="H5559" s="1" t="n">
        <v>157</v>
      </c>
      <c r="I5559" s="1" t="n">
        <v>0.31</v>
      </c>
      <c r="J5559" t="n">
        <v>75143000</v>
      </c>
    </row>
    <row r="5560" ht="15.75" customHeight="1" s="201">
      <c r="A5560" s="1" t="inlineStr">
        <is>
          <t>Potato soup, instant, dry mix</t>
        </is>
      </c>
      <c r="C5560" s="1" t="n">
        <v>76.14</v>
      </c>
      <c r="D5560" s="1" t="n">
        <v>61</v>
      </c>
      <c r="E5560" s="1" t="n">
        <v>2.38</v>
      </c>
      <c r="F5560" s="1" t="n">
        <v>9.199999999999999</v>
      </c>
      <c r="G5560" s="1" t="n">
        <v>3.1</v>
      </c>
      <c r="H5560" s="1" t="n">
        <v>60</v>
      </c>
      <c r="I5560" s="1" t="n">
        <v>0.91</v>
      </c>
      <c r="J5560" t="n">
        <v>58407010</v>
      </c>
    </row>
    <row r="5561" ht="15.75" customHeight="1" s="201">
      <c r="A5561" s="1" t="inlineStr">
        <is>
          <t>Potato wedges, frozen (Includes foods for USDA's Food Distribution Program)</t>
        </is>
      </c>
      <c r="C5561" s="1" t="n">
        <v>25.46</v>
      </c>
      <c r="E5561" s="1" t="n">
        <v>0.7</v>
      </c>
      <c r="F5561" s="1" t="n">
        <v>2.7</v>
      </c>
      <c r="G5561" s="1" t="n">
        <v>2.2</v>
      </c>
      <c r="H5561" s="1" t="n">
        <v>0</v>
      </c>
      <c r="I5561" s="1" t="n">
        <v>0.37</v>
      </c>
      <c r="J5561" t="n">
        <v>71505060</v>
      </c>
    </row>
    <row r="5562" ht="15.75" customHeight="1" s="201">
      <c r="A5562" s="1" t="inlineStr">
        <is>
          <t>Potatoes, au gratin, dry mix, prepared with water, whole milk and butter</t>
        </is>
      </c>
      <c r="C5562" s="1" t="n">
        <v>12.84</v>
      </c>
      <c r="D5562" s="1" t="n">
        <v>7</v>
      </c>
      <c r="E5562" s="1" t="n">
        <v>0.32</v>
      </c>
      <c r="F5562" s="1" t="n">
        <v>2.3</v>
      </c>
      <c r="G5562" s="1" t="n">
        <v>4.12</v>
      </c>
      <c r="H5562" s="1" t="n">
        <v>213</v>
      </c>
      <c r="I5562" s="1" t="n">
        <v>0.24</v>
      </c>
      <c r="J5562" t="n">
        <v>11740312</v>
      </c>
    </row>
    <row r="5563" ht="15.75" customHeight="1" s="201">
      <c r="A5563" s="1" t="inlineStr">
        <is>
          <t>Potatoes, au gratin, dry mix, unprepared</t>
        </is>
      </c>
      <c r="C5563" s="1" t="n">
        <v>74.31</v>
      </c>
      <c r="D5563" s="1" t="n">
        <v>40</v>
      </c>
      <c r="E5563" s="1" t="n">
        <v>1.63</v>
      </c>
      <c r="F5563" s="1" t="n">
        <v>8.9</v>
      </c>
      <c r="G5563" s="1" t="n">
        <v>3.7</v>
      </c>
      <c r="H5563" s="1" t="n">
        <v>263</v>
      </c>
      <c r="I5563" s="1" t="n">
        <v>0.9</v>
      </c>
      <c r="J5563" t="n">
        <v>27211100</v>
      </c>
    </row>
    <row r="5564" ht="15.75" customHeight="1" s="201">
      <c r="A5564" s="1" t="inlineStr">
        <is>
          <t>Potatoes, au gratin, home-prepared from recipe using butter</t>
        </is>
      </c>
      <c r="C5564" s="1" t="n">
        <v>11.26</v>
      </c>
      <c r="D5564" s="1" t="n">
        <v>11</v>
      </c>
      <c r="E5564" s="1" t="n">
        <v>0.64</v>
      </c>
      <c r="F5564" s="1" t="n">
        <v>5.06</v>
      </c>
      <c r="G5564" s="1" t="n">
        <v>7.59</v>
      </c>
      <c r="H5564" s="1" t="n">
        <v>264</v>
      </c>
      <c r="I5564" s="1" t="n">
        <v>0.6899999999999999</v>
      </c>
      <c r="J5564" t="n">
        <v>54328100</v>
      </c>
    </row>
    <row r="5565" ht="15.75" customHeight="1" s="201">
      <c r="A5565" s="1" t="inlineStr">
        <is>
          <t>Potatoes, au gratin, home-prepared from recipe using margarine</t>
        </is>
      </c>
      <c r="C5565" s="1" t="n">
        <v>11.27</v>
      </c>
      <c r="D5565" s="1" t="n">
        <v>11</v>
      </c>
      <c r="E5565" s="1" t="n">
        <v>0.64</v>
      </c>
      <c r="F5565" s="1" t="n">
        <v>5.06</v>
      </c>
      <c r="G5565" s="1" t="n">
        <v>7.59</v>
      </c>
      <c r="H5565" s="1" t="n">
        <v>280</v>
      </c>
      <c r="I5565" s="1" t="n">
        <v>0.6899999999999999</v>
      </c>
      <c r="J5565" t="n">
        <v>52201000</v>
      </c>
    </row>
    <row r="5566" ht="15.75" customHeight="1" s="201">
      <c r="A5566" s="1" t="inlineStr">
        <is>
          <t>Potatoes, baked, flesh and skin, with salt</t>
        </is>
      </c>
      <c r="C5566" s="1" t="n">
        <v>21.15</v>
      </c>
      <c r="D5566" s="1" t="n">
        <v>28</v>
      </c>
      <c r="E5566" s="1" t="n">
        <v>1.08</v>
      </c>
      <c r="F5566" s="1" t="n">
        <v>2.5</v>
      </c>
      <c r="G5566" s="1" t="n">
        <v>0.13</v>
      </c>
      <c r="H5566" s="1" t="n">
        <v>10</v>
      </c>
      <c r="I5566" s="1" t="n">
        <v>0.36</v>
      </c>
      <c r="J5566" t="n">
        <v>75142550</v>
      </c>
    </row>
    <row r="5567" ht="15.75" customHeight="1" s="201">
      <c r="A5567" s="1" t="inlineStr">
        <is>
          <t>Potatoes, baked, flesh and skin, without salt</t>
        </is>
      </c>
      <c r="C5567" s="1" t="n">
        <v>21.15</v>
      </c>
      <c r="D5567" s="1" t="n">
        <v>28</v>
      </c>
      <c r="E5567" s="1" t="n">
        <v>1.08</v>
      </c>
      <c r="F5567" s="1" t="n">
        <v>2.5</v>
      </c>
      <c r="G5567" s="1" t="n">
        <v>0.13</v>
      </c>
      <c r="H5567" s="1" t="n">
        <v>10</v>
      </c>
      <c r="I5567" s="1" t="n">
        <v>0.36</v>
      </c>
      <c r="J5567" t="n">
        <v>24137310</v>
      </c>
    </row>
    <row r="5568" ht="15.75" customHeight="1" s="201">
      <c r="A5568" s="1" t="inlineStr">
        <is>
          <t>Potatoes, baked, flesh, with salt</t>
        </is>
      </c>
      <c r="C5568" s="1" t="n">
        <v>21.55</v>
      </c>
      <c r="D5568" s="1" t="n">
        <v>9</v>
      </c>
      <c r="E5568" s="1" t="n">
        <v>0.35</v>
      </c>
      <c r="F5568" s="1" t="n">
        <v>1.96</v>
      </c>
      <c r="G5568" s="1" t="n">
        <v>0.1</v>
      </c>
      <c r="H5568" s="1" t="n">
        <v>0</v>
      </c>
      <c r="I5568" s="1" t="n">
        <v>0.29</v>
      </c>
      <c r="J5568" t="n">
        <v>75142550</v>
      </c>
    </row>
    <row r="5569" ht="15.75" customHeight="1" s="201">
      <c r="A5569" s="1" t="inlineStr">
        <is>
          <t>Potatoes, baked, flesh, without salt</t>
        </is>
      </c>
      <c r="C5569" s="1" t="n">
        <v>21.55</v>
      </c>
      <c r="D5569" s="1" t="n">
        <v>9</v>
      </c>
      <c r="E5569" s="1" t="n">
        <v>0.35</v>
      </c>
      <c r="F5569" s="1" t="n">
        <v>1.96</v>
      </c>
      <c r="G5569" s="1" t="n">
        <v>0.1</v>
      </c>
      <c r="H5569" s="1" t="n">
        <v>0</v>
      </c>
      <c r="I5569" s="1" t="n">
        <v>0.29</v>
      </c>
      <c r="J5569" t="n">
        <v>54401121</v>
      </c>
    </row>
    <row r="5570" ht="15.75" customHeight="1" s="201">
      <c r="A5570" s="1" t="inlineStr">
        <is>
          <t>Potatoes, baked, skin only, with salt</t>
        </is>
      </c>
      <c r="C5570" s="1" t="n">
        <v>46.06</v>
      </c>
      <c r="D5570" s="1" t="n">
        <v>22</v>
      </c>
      <c r="E5570" s="1" t="n">
        <v>7.04</v>
      </c>
      <c r="F5570" s="1" t="n">
        <v>4.29</v>
      </c>
      <c r="G5570" s="1" t="n">
        <v>0.1</v>
      </c>
      <c r="H5570" s="1" t="n">
        <v>10</v>
      </c>
      <c r="I5570" s="1" t="n">
        <v>0.49</v>
      </c>
      <c r="J5570" t="n">
        <v>75142550</v>
      </c>
    </row>
    <row r="5571" ht="15.75" customHeight="1" s="201">
      <c r="A5571" s="1" t="inlineStr">
        <is>
          <t>Potatoes, baked, skin, without salt</t>
        </is>
      </c>
      <c r="C5571" s="1" t="n">
        <v>46.06</v>
      </c>
      <c r="D5571" s="1" t="n">
        <v>22</v>
      </c>
      <c r="E5571" s="1" t="n">
        <v>7.04</v>
      </c>
      <c r="F5571" s="1" t="n">
        <v>4.29</v>
      </c>
      <c r="G5571" s="1" t="n">
        <v>0.1</v>
      </c>
      <c r="H5571" s="1" t="n">
        <v>10</v>
      </c>
      <c r="I5571" s="1" t="n">
        <v>0.49</v>
      </c>
      <c r="J5571" t="n">
        <v>24137310</v>
      </c>
    </row>
    <row r="5572" ht="15.75" customHeight="1" s="201">
      <c r="A5572" s="1" t="inlineStr">
        <is>
          <t>Potatoes, boiled, cooked in skin, flesh, with salt</t>
        </is>
      </c>
      <c r="C5572" s="1" t="n">
        <v>20.13</v>
      </c>
      <c r="D5572" s="1" t="n">
        <v>10</v>
      </c>
      <c r="E5572" s="1" t="n">
        <v>0.31</v>
      </c>
      <c r="F5572" s="1" t="n">
        <v>1.87</v>
      </c>
      <c r="G5572" s="1" t="n">
        <v>0.1</v>
      </c>
      <c r="H5572" s="1" t="n">
        <v>3</v>
      </c>
      <c r="I5572" s="1" t="n">
        <v>0.3</v>
      </c>
      <c r="J5572" t="n">
        <v>75142550</v>
      </c>
    </row>
    <row r="5573" ht="15.75" customHeight="1" s="201">
      <c r="A5573" s="1" t="inlineStr">
        <is>
          <t>Potatoes, boiled, cooked in skin, flesh, without salt</t>
        </is>
      </c>
      <c r="C5573" s="1" t="n">
        <v>20.13</v>
      </c>
      <c r="D5573" s="1" t="n">
        <v>10</v>
      </c>
      <c r="E5573" s="1" t="n">
        <v>0.31</v>
      </c>
      <c r="F5573" s="1" t="n">
        <v>1.87</v>
      </c>
      <c r="G5573" s="1" t="n">
        <v>0.1</v>
      </c>
      <c r="H5573" s="1" t="n">
        <v>3</v>
      </c>
      <c r="I5573" s="1" t="n">
        <v>0.3</v>
      </c>
      <c r="J5573" t="n">
        <v>31103010</v>
      </c>
    </row>
    <row r="5574" ht="15.75" customHeight="1" s="201">
      <c r="A5574" s="1" t="inlineStr">
        <is>
          <t>Potatoes, boiled, cooked in skin, skin, with salt</t>
        </is>
      </c>
      <c r="C5574" s="1" t="n">
        <v>17.2</v>
      </c>
      <c r="D5574" s="1" t="n">
        <v>10</v>
      </c>
      <c r="E5574" s="1" t="n">
        <v>6.07</v>
      </c>
      <c r="F5574" s="1" t="n">
        <v>2.86</v>
      </c>
      <c r="G5574" s="1" t="n">
        <v>0.1</v>
      </c>
      <c r="H5574" s="1" t="n">
        <v>0</v>
      </c>
      <c r="I5574" s="1" t="n">
        <v>0.44</v>
      </c>
      <c r="J5574" t="n">
        <v>24147310</v>
      </c>
    </row>
    <row r="5575" ht="15.75" customHeight="1" s="201">
      <c r="A5575" s="1" t="inlineStr">
        <is>
          <t>Potatoes, boiled, cooked in skin, skin, without salt</t>
        </is>
      </c>
      <c r="C5575" s="1" t="n">
        <v>17.21</v>
      </c>
      <c r="D5575" s="1" t="n">
        <v>10</v>
      </c>
      <c r="E5575" s="1" t="n">
        <v>6.07</v>
      </c>
      <c r="F5575" s="1" t="n">
        <v>2.86</v>
      </c>
      <c r="G5575" s="1" t="n">
        <v>0.1</v>
      </c>
      <c r="H5575" s="1" t="n">
        <v>0</v>
      </c>
      <c r="I5575" s="1" t="n">
        <v>0.44</v>
      </c>
      <c r="J5575" t="n">
        <v>24147310</v>
      </c>
    </row>
    <row r="5576" ht="15.75" customHeight="1" s="201">
      <c r="A5576" s="1" t="inlineStr">
        <is>
          <t>Potatoes, boiled, cooked without skin, flesh, with salt</t>
        </is>
      </c>
      <c r="C5576" s="1" t="n">
        <v>20.01</v>
      </c>
      <c r="D5576" s="1" t="n">
        <v>9</v>
      </c>
      <c r="E5576" s="1" t="n">
        <v>0.31</v>
      </c>
      <c r="F5576" s="1" t="n">
        <v>1.71</v>
      </c>
      <c r="G5576" s="1" t="n">
        <v>0.1</v>
      </c>
      <c r="H5576" s="1" t="n">
        <v>2</v>
      </c>
      <c r="I5576" s="1" t="n">
        <v>0.27</v>
      </c>
      <c r="J5576" t="n">
        <v>75142550</v>
      </c>
    </row>
    <row r="5577" ht="15.75" customHeight="1" s="201">
      <c r="A5577" s="1" t="inlineStr">
        <is>
          <t>Potatoes, boiled, cooked without skin, flesh, without salt</t>
        </is>
      </c>
      <c r="C5577" s="1" t="n">
        <v>20.01</v>
      </c>
      <c r="D5577" s="1" t="n">
        <v>9</v>
      </c>
      <c r="E5577" s="1" t="n">
        <v>0.31</v>
      </c>
      <c r="F5577" s="1" t="n">
        <v>1.71</v>
      </c>
      <c r="G5577" s="1" t="n">
        <v>0.1</v>
      </c>
      <c r="H5577" s="1" t="n">
        <v>2</v>
      </c>
      <c r="I5577" s="1" t="n">
        <v>0.27</v>
      </c>
      <c r="J5577" t="n">
        <v>24123301</v>
      </c>
    </row>
    <row r="5578" ht="15.75" customHeight="1" s="201">
      <c r="A5578" s="1" t="inlineStr">
        <is>
          <t>Potatoes, canned, drained solids</t>
        </is>
      </c>
      <c r="C5578" s="1" t="n">
        <v>13.61</v>
      </c>
      <c r="D5578" s="1" t="n">
        <v>6</v>
      </c>
      <c r="E5578" s="1" t="n">
        <v>1.26</v>
      </c>
      <c r="F5578" s="1" t="n">
        <v>1.41</v>
      </c>
      <c r="G5578" s="1" t="n">
        <v>0.21</v>
      </c>
      <c r="H5578" s="1" t="n">
        <v>0</v>
      </c>
      <c r="I5578" s="1" t="n">
        <v>0.28</v>
      </c>
      <c r="J5578" t="n">
        <v>63311110</v>
      </c>
    </row>
    <row r="5579" ht="15.75" customHeight="1" s="201">
      <c r="A5579" s="1" t="inlineStr">
        <is>
          <t>Potatoes, canned, drained solids, no salt added</t>
        </is>
      </c>
      <c r="C5579" s="1" t="n">
        <v>13.6</v>
      </c>
      <c r="D5579" s="1" t="n">
        <v>6</v>
      </c>
      <c r="E5579" s="1" t="n">
        <v>1.26</v>
      </c>
      <c r="F5579" s="1" t="n">
        <v>1.4</v>
      </c>
      <c r="G5579" s="1" t="n">
        <v>0.2</v>
      </c>
      <c r="H5579" s="1" t="n">
        <v>2</v>
      </c>
      <c r="I5579" s="1" t="n">
        <v>0.28</v>
      </c>
      <c r="J5579" t="n">
        <v>73103020</v>
      </c>
    </row>
    <row r="5580" ht="15.75" customHeight="1" s="201">
      <c r="A5580" s="1" t="inlineStr">
        <is>
          <t>Potatoes, canned, solids and liquids</t>
        </is>
      </c>
      <c r="C5580" s="1" t="n">
        <v>9.890000000000001</v>
      </c>
      <c r="D5580" s="1" t="n">
        <v>5</v>
      </c>
      <c r="E5580" s="1" t="n">
        <v>0.72</v>
      </c>
      <c r="F5580" s="1" t="n">
        <v>1.2</v>
      </c>
      <c r="G5580" s="1" t="n">
        <v>0.11</v>
      </c>
      <c r="H5580" s="1" t="n">
        <v>0</v>
      </c>
      <c r="I5580" s="1" t="n">
        <v>0.39</v>
      </c>
      <c r="J5580" t="n">
        <v>63311110</v>
      </c>
    </row>
    <row r="5581" ht="15.75" customHeight="1" s="201">
      <c r="A5581" s="1" t="inlineStr">
        <is>
          <t>Potatoes, flesh and skin, raw</t>
        </is>
      </c>
      <c r="C5581" s="1" t="n">
        <v>17.49</v>
      </c>
      <c r="D5581" s="1" t="n">
        <v>15</v>
      </c>
      <c r="E5581" s="1" t="n">
        <v>0.8100000000000001</v>
      </c>
      <c r="F5581" s="1" t="n">
        <v>2.05</v>
      </c>
      <c r="G5581" s="1" t="n">
        <v>0.09</v>
      </c>
      <c r="H5581" s="1" t="n">
        <v>2</v>
      </c>
      <c r="I5581" s="1" t="n">
        <v>0.3</v>
      </c>
      <c r="J5581" t="n">
        <v>24137300</v>
      </c>
    </row>
    <row r="5582" ht="15.75" customHeight="1" s="201">
      <c r="A5582" s="1" t="inlineStr">
        <is>
          <t>Potatoes, french fried, all types, salt added in processing, frozen, home-prepared, oven heated</t>
        </is>
      </c>
      <c r="C5582" s="1" t="n">
        <v>25.55</v>
      </c>
      <c r="D5582" s="1" t="n">
        <v>23</v>
      </c>
      <c r="E5582" s="1" t="n">
        <v>0.57</v>
      </c>
      <c r="F5582" s="1" t="n">
        <v>2.75</v>
      </c>
      <c r="G5582" s="1" t="n">
        <v>5.48</v>
      </c>
      <c r="H5582" s="1" t="n">
        <v>5</v>
      </c>
      <c r="I5582" s="1" t="n">
        <v>0.35</v>
      </c>
    </row>
    <row r="5583" ht="15.75" customHeight="1" s="201">
      <c r="A5583" s="1" t="inlineStr">
        <is>
          <t>Potatoes, french fried, all types, salt added in processing, frozen, unprepared</t>
        </is>
      </c>
      <c r="C5583" s="1" t="n">
        <v>24.81</v>
      </c>
      <c r="D5583" s="1" t="n">
        <v>35</v>
      </c>
      <c r="E5583" s="1" t="n">
        <v>0.62</v>
      </c>
      <c r="F5583" s="1" t="n">
        <v>2.24</v>
      </c>
      <c r="G5583" s="1" t="n">
        <v>4.66</v>
      </c>
      <c r="H5583" s="1" t="n">
        <v>4</v>
      </c>
      <c r="I5583" s="1" t="n">
        <v>0.35</v>
      </c>
      <c r="J5583" t="n">
        <v>28141010</v>
      </c>
    </row>
    <row r="5584" ht="15.75" customHeight="1" s="201">
      <c r="A5584" s="1" t="inlineStr">
        <is>
          <t>Potatoes, french fried, all types, salt not added in processing, frozen, as purchased</t>
        </is>
      </c>
      <c r="C5584" s="1" t="n">
        <v>24.81</v>
      </c>
      <c r="D5584" s="1" t="n">
        <v>35</v>
      </c>
      <c r="E5584" s="1" t="n">
        <v>0.62</v>
      </c>
      <c r="F5584" s="1" t="n">
        <v>2.24</v>
      </c>
      <c r="G5584" s="1" t="n">
        <v>4.66</v>
      </c>
      <c r="I5584" s="1" t="n">
        <v>0.35</v>
      </c>
      <c r="J5584" t="n">
        <v>28141010</v>
      </c>
    </row>
    <row r="5585" ht="15.75" customHeight="1" s="201">
      <c r="A5585" s="1" t="inlineStr">
        <is>
          <t>Potatoes, french fried, all types, salt not added in processing, frozen, oven-heated</t>
        </is>
      </c>
      <c r="C5585" s="1" t="n">
        <v>28.71</v>
      </c>
      <c r="D5585" s="1" t="n">
        <v>28</v>
      </c>
      <c r="E5585" s="1" t="n">
        <v>0.74</v>
      </c>
      <c r="F5585" s="1" t="n">
        <v>2.66</v>
      </c>
      <c r="G5585" s="1" t="n">
        <v>5.22</v>
      </c>
      <c r="I5585" s="1" t="n">
        <v>0.38</v>
      </c>
      <c r="J5585" t="n">
        <v>28141010</v>
      </c>
    </row>
    <row r="5586" ht="15.75" customHeight="1" s="201">
      <c r="A5586" s="1" t="inlineStr">
        <is>
          <t>Potatoes, french fried, cottage-cut, salt not added in processing, frozen, as purchased</t>
        </is>
      </c>
      <c r="C5586" s="1" t="n">
        <v>23.98</v>
      </c>
      <c r="D5586" s="1" t="n">
        <v>15</v>
      </c>
      <c r="E5586" s="1" t="n">
        <v>1.05</v>
      </c>
      <c r="F5586" s="1" t="n">
        <v>2.42</v>
      </c>
      <c r="G5586" s="1" t="n">
        <v>5.78</v>
      </c>
      <c r="H5586" s="1" t="n">
        <v>0</v>
      </c>
      <c r="I5586" s="1" t="n">
        <v>0.29</v>
      </c>
      <c r="J5586" t="n">
        <v>28141010</v>
      </c>
    </row>
    <row r="5587" ht="15.75" customHeight="1" s="201">
      <c r="A5587" s="1" t="inlineStr">
        <is>
          <t>Potatoes, french fried, cottage-cut, salt not added in processing, frozen, oven-heated</t>
        </is>
      </c>
      <c r="C5587" s="1" t="n">
        <v>34.03</v>
      </c>
      <c r="D5587" s="1" t="n">
        <v>17</v>
      </c>
      <c r="E5587" s="1" t="n">
        <v>1.49</v>
      </c>
      <c r="F5587" s="1" t="n">
        <v>3.44</v>
      </c>
      <c r="G5587" s="1" t="n">
        <v>8.199999999999999</v>
      </c>
      <c r="H5587" s="1" t="n">
        <v>0</v>
      </c>
      <c r="I5587" s="1" t="n">
        <v>0.41</v>
      </c>
      <c r="J5587" t="n">
        <v>28141010</v>
      </c>
    </row>
    <row r="5588" ht="15.75" customHeight="1" s="201">
      <c r="A5588" s="1" t="inlineStr">
        <is>
          <t>Potatoes, french fried, crinkle or regular cut, salt added in processing, frozen, as purchased</t>
        </is>
      </c>
      <c r="C5588" s="1" t="n">
        <v>23.96</v>
      </c>
      <c r="D5588" s="1" t="n">
        <v>31</v>
      </c>
      <c r="E5588" s="1" t="n">
        <v>0.62</v>
      </c>
      <c r="F5588" s="1" t="n">
        <v>2.34</v>
      </c>
      <c r="G5588" s="1" t="n">
        <v>4.99</v>
      </c>
      <c r="H5588" s="1" t="n">
        <v>4</v>
      </c>
      <c r="I5588" s="1" t="n">
        <v>0.34</v>
      </c>
      <c r="J5588" t="n">
        <v>28141010</v>
      </c>
    </row>
    <row r="5589" ht="15.75" customHeight="1" s="201">
      <c r="A5589" s="1" t="inlineStr">
        <is>
          <t>Potatoes, french fried, crinkle or regular cut, salt added in processing, frozen, oven-heated</t>
        </is>
      </c>
      <c r="C5589" s="1" t="n">
        <v>27.5</v>
      </c>
      <c r="D5589" s="1" t="n">
        <v>22</v>
      </c>
      <c r="E5589" s="1" t="n">
        <v>0.75</v>
      </c>
      <c r="F5589" s="1" t="n">
        <v>2.51</v>
      </c>
      <c r="G5589" s="1" t="n">
        <v>5.13</v>
      </c>
      <c r="H5589" s="1" t="n">
        <v>4</v>
      </c>
      <c r="I5589" s="1" t="n">
        <v>0.4</v>
      </c>
    </row>
    <row r="5590" ht="15.75" customHeight="1" s="201">
      <c r="A5590" s="1" t="inlineStr">
        <is>
          <t>Potatoes, french fried, cross cut, frozen, unprepared</t>
        </is>
      </c>
      <c r="C5590" s="1" t="n">
        <v>22.95</v>
      </c>
      <c r="E5590" s="1" t="n">
        <v>0.87</v>
      </c>
      <c r="F5590" s="1" t="n">
        <v>2.7</v>
      </c>
      <c r="G5590" s="1" t="n">
        <v>10</v>
      </c>
      <c r="H5590" s="1" t="n">
        <v>0</v>
      </c>
      <c r="J5590" t="n">
        <v>28141010</v>
      </c>
    </row>
    <row r="5591" ht="15.75" customHeight="1" s="201">
      <c r="A5591" s="1" t="inlineStr">
        <is>
          <t>Potatoes, french fried, shoestring, salt added in processing, frozen, as purchased</t>
        </is>
      </c>
      <c r="C5591" s="1" t="n">
        <v>25.59</v>
      </c>
      <c r="D5591" s="1" t="n">
        <v>36</v>
      </c>
      <c r="E5591" s="1" t="n">
        <v>0.72</v>
      </c>
      <c r="F5591" s="1" t="n">
        <v>2.16</v>
      </c>
      <c r="G5591" s="1" t="n">
        <v>6.24</v>
      </c>
      <c r="H5591" s="1" t="n">
        <v>4</v>
      </c>
      <c r="I5591" s="1" t="n">
        <v>0.36</v>
      </c>
      <c r="J5591" t="n">
        <v>28141010</v>
      </c>
    </row>
    <row r="5592" ht="15.75" customHeight="1" s="201">
      <c r="A5592" s="1" t="inlineStr">
        <is>
          <t>Potatoes, french fried, shoestring, salt added in processing, frozen, oven-heated</t>
        </is>
      </c>
      <c r="C5592" s="1" t="n">
        <v>31.66</v>
      </c>
      <c r="D5592" s="1" t="n">
        <v>33</v>
      </c>
      <c r="E5592" s="1" t="n">
        <v>0.8</v>
      </c>
      <c r="F5592" s="1" t="n">
        <v>2.9</v>
      </c>
      <c r="G5592" s="1" t="n">
        <v>6.76</v>
      </c>
      <c r="H5592" s="1" t="n">
        <v>5</v>
      </c>
      <c r="I5592" s="1" t="n">
        <v>0.43</v>
      </c>
      <c r="J5592" t="n">
        <v>28141010</v>
      </c>
    </row>
    <row r="5593" ht="15.75" customHeight="1" s="201">
      <c r="A5593" s="1" t="inlineStr">
        <is>
          <t>Potatoes, french fried, steak cut, salt not added in processing, frozen, unprepared</t>
        </is>
      </c>
      <c r="C5593" s="1" t="n">
        <v>24.31</v>
      </c>
      <c r="E5593" s="1" t="n">
        <v>0.83</v>
      </c>
      <c r="F5593" s="1" t="n">
        <v>2.4</v>
      </c>
      <c r="G5593" s="1" t="n">
        <v>3.42</v>
      </c>
      <c r="H5593" s="1" t="n">
        <v>0</v>
      </c>
      <c r="J5593" t="n">
        <v>21104110</v>
      </c>
    </row>
    <row r="5594" ht="15.75" customHeight="1" s="201">
      <c r="A5594" s="1" t="inlineStr">
        <is>
          <t>Potatoes, french fried, steak fries, salt added in processing, frozen, as purchased</t>
        </is>
      </c>
      <c r="C5594" s="1" t="n">
        <v>23.51</v>
      </c>
      <c r="D5594" s="1" t="n">
        <v>38</v>
      </c>
      <c r="E5594" s="1" t="n">
        <v>0.65</v>
      </c>
      <c r="F5594" s="1" t="n">
        <v>2.19</v>
      </c>
      <c r="G5594" s="1" t="n">
        <v>3.39</v>
      </c>
      <c r="H5594" s="1" t="n">
        <v>4</v>
      </c>
      <c r="I5594" s="1" t="n">
        <v>0.36</v>
      </c>
      <c r="J5594" t="n">
        <v>21104110</v>
      </c>
    </row>
    <row r="5595" ht="15.75" customHeight="1" s="201">
      <c r="A5595" s="1" t="inlineStr">
        <is>
          <t>Potatoes, french fried, steak fries, salt added in processing, frozen, oven-heated</t>
        </is>
      </c>
      <c r="C5595" s="1" t="n">
        <v>26.98</v>
      </c>
      <c r="D5595" s="1" t="n">
        <v>31</v>
      </c>
      <c r="E5595" s="1" t="n">
        <v>0.64</v>
      </c>
      <c r="F5595" s="1" t="n">
        <v>2.57</v>
      </c>
      <c r="G5595" s="1" t="n">
        <v>3.76</v>
      </c>
      <c r="I5595" s="1" t="n">
        <v>0.41</v>
      </c>
      <c r="J5595" t="n">
        <v>21104110</v>
      </c>
    </row>
    <row r="5596" ht="15.75" customHeight="1" s="201">
      <c r="A5596" s="1" t="inlineStr">
        <is>
          <t>Potatoes, french fried, wedge cut, frozen, unprepared</t>
        </is>
      </c>
      <c r="C5596" s="1" t="n">
        <v>22.22</v>
      </c>
      <c r="E5596" s="1" t="n">
        <v>0.72</v>
      </c>
      <c r="F5596" s="1" t="n">
        <v>2.56</v>
      </c>
      <c r="G5596" s="1" t="n">
        <v>7.47</v>
      </c>
      <c r="H5596" s="1" t="n">
        <v>0</v>
      </c>
      <c r="J5596" t="n">
        <v>28141010</v>
      </c>
    </row>
    <row r="5597" ht="15.75" customHeight="1" s="201">
      <c r="A5597" s="1" t="inlineStr">
        <is>
          <t>Potatoes, frozen, french fried, par fried, cottage-cut, prepared, heated in oven, with salt</t>
        </is>
      </c>
      <c r="C5597" s="1" t="n">
        <v>34.03</v>
      </c>
      <c r="D5597" s="1" t="n">
        <v>17</v>
      </c>
      <c r="E5597" s="1" t="n">
        <v>1.49</v>
      </c>
      <c r="F5597" s="1" t="n">
        <v>3.44</v>
      </c>
      <c r="G5597" s="1" t="n">
        <v>8.199999999999999</v>
      </c>
      <c r="H5597" s="1" t="n">
        <v>0</v>
      </c>
      <c r="I5597" s="1" t="n">
        <v>0.41</v>
      </c>
      <c r="J5597" t="n">
        <v>28141010</v>
      </c>
    </row>
    <row r="5598" ht="15.75" customHeight="1" s="201">
      <c r="A5598" s="1" t="inlineStr">
        <is>
          <t>Potatoes, frozen, french fried, par fried, extruded, prepared, heated in oven, without salt</t>
        </is>
      </c>
      <c r="C5598" s="1" t="n">
        <v>39.68</v>
      </c>
      <c r="D5598" s="1" t="n">
        <v>22</v>
      </c>
      <c r="E5598" s="1" t="n">
        <v>1.66</v>
      </c>
      <c r="F5598" s="1" t="n">
        <v>3.55</v>
      </c>
      <c r="G5598" s="1" t="n">
        <v>18.71</v>
      </c>
      <c r="H5598" s="1" t="n">
        <v>0</v>
      </c>
      <c r="I5598" s="1" t="n">
        <v>0.41</v>
      </c>
      <c r="J5598" t="n">
        <v>28141010</v>
      </c>
    </row>
    <row r="5599" ht="15.75" customHeight="1" s="201">
      <c r="A5599" s="1" t="inlineStr">
        <is>
          <t>Potatoes, frozen, french fried, par fried, extruded, unprepared</t>
        </is>
      </c>
      <c r="C5599" s="1" t="n">
        <v>30.15</v>
      </c>
      <c r="D5599" s="1" t="n">
        <v>22</v>
      </c>
      <c r="E5599" s="1" t="n">
        <v>1.32</v>
      </c>
      <c r="F5599" s="1" t="n">
        <v>2.83</v>
      </c>
      <c r="G5599" s="1" t="n">
        <v>14.95</v>
      </c>
      <c r="H5599" s="1" t="n">
        <v>0</v>
      </c>
      <c r="I5599" s="1" t="n">
        <v>0.33</v>
      </c>
      <c r="J5599" t="n">
        <v>28141010</v>
      </c>
    </row>
    <row r="5600" ht="15.75" customHeight="1" s="201">
      <c r="A5600" s="1" t="inlineStr">
        <is>
          <t>Potatoes, frozen, whole, cooked, boiled, drained, with salt</t>
        </is>
      </c>
      <c r="C5600" s="1" t="n">
        <v>13.93</v>
      </c>
      <c r="D5600" s="1" t="n">
        <v>8</v>
      </c>
      <c r="E5600" s="1" t="n">
        <v>0.84</v>
      </c>
      <c r="F5600" s="1" t="n">
        <v>1.98</v>
      </c>
      <c r="G5600" s="1" t="n">
        <v>0.13</v>
      </c>
      <c r="H5600" s="1" t="n">
        <v>0</v>
      </c>
      <c r="I5600" s="1" t="n">
        <v>0.25</v>
      </c>
      <c r="J5600" t="n">
        <v>75142550</v>
      </c>
    </row>
    <row r="5601" ht="15.75" customHeight="1" s="201">
      <c r="A5601" s="1" t="inlineStr">
        <is>
          <t>Potatoes, frozen, whole, cooked, boiled, drained, without salt</t>
        </is>
      </c>
      <c r="C5601" s="1" t="n">
        <v>14.52</v>
      </c>
      <c r="D5601" s="1" t="n">
        <v>8</v>
      </c>
      <c r="E5601" s="1" t="n">
        <v>0.84</v>
      </c>
      <c r="F5601" s="1" t="n">
        <v>1.98</v>
      </c>
      <c r="G5601" s="1" t="n">
        <v>0.13</v>
      </c>
      <c r="H5601" s="1" t="n">
        <v>0</v>
      </c>
      <c r="I5601" s="1" t="n">
        <v>0.25</v>
      </c>
      <c r="J5601" t="n">
        <v>31103010</v>
      </c>
    </row>
    <row r="5602" ht="15.75" customHeight="1" s="201">
      <c r="A5602" s="1" t="inlineStr">
        <is>
          <t>Potatoes, hash brown, frozen, plain, prepared, pan fried in canola oil</t>
        </is>
      </c>
      <c r="C5602" s="1" t="n">
        <v>28.51</v>
      </c>
      <c r="D5602" s="1" t="n">
        <v>16</v>
      </c>
      <c r="E5602" s="1" t="n">
        <v>0.54</v>
      </c>
      <c r="F5602" s="1" t="n">
        <v>2.65</v>
      </c>
      <c r="G5602" s="1" t="n">
        <v>11.59</v>
      </c>
      <c r="H5602" s="1" t="n">
        <v>0</v>
      </c>
      <c r="I5602" s="1" t="n">
        <v>0.38</v>
      </c>
      <c r="J5602" t="n">
        <v>28141010</v>
      </c>
    </row>
    <row r="5603" ht="15.75" customHeight="1" s="201">
      <c r="A5603" s="1" t="inlineStr">
        <is>
          <t>Potatoes, hash brown, frozen, plain, unprepared</t>
        </is>
      </c>
      <c r="C5603" s="1" t="n">
        <v>17.72</v>
      </c>
      <c r="D5603" s="1" t="n">
        <v>4</v>
      </c>
      <c r="E5603" s="1" t="n">
        <v>0.98</v>
      </c>
      <c r="F5603" s="1" t="n">
        <v>2.06</v>
      </c>
      <c r="G5603" s="1" t="n">
        <v>0.62</v>
      </c>
      <c r="H5603" s="1" t="n">
        <v>0</v>
      </c>
      <c r="I5603" s="1" t="n">
        <v>0.21</v>
      </c>
      <c r="J5603" t="n">
        <v>28160310</v>
      </c>
    </row>
    <row r="5604" ht="15.75" customHeight="1" s="201">
      <c r="A5604" s="1" t="inlineStr">
        <is>
          <t>Potatoes, hash brown, frozen, with butter sauce, prepared</t>
        </is>
      </c>
      <c r="C5604" s="1" t="n">
        <v>24.13</v>
      </c>
      <c r="D5604" s="1" t="n">
        <v>13</v>
      </c>
      <c r="E5604" s="1" t="n">
        <v>0.99</v>
      </c>
      <c r="F5604" s="1" t="n">
        <v>2.46</v>
      </c>
      <c r="G5604" s="1" t="n">
        <v>8.789999999999999</v>
      </c>
      <c r="H5604" s="1" t="n">
        <v>111</v>
      </c>
      <c r="I5604" s="1" t="n">
        <v>0.33</v>
      </c>
      <c r="J5604" t="n">
        <v>75142550</v>
      </c>
    </row>
    <row r="5605" ht="15.75" customHeight="1" s="201">
      <c r="A5605" s="1" t="inlineStr">
        <is>
          <t>Potatoes, hash brown, frozen, with butter sauce, unprepared</t>
        </is>
      </c>
      <c r="C5605" s="1" t="n">
        <v>18.28</v>
      </c>
      <c r="D5605" s="1" t="n">
        <v>12</v>
      </c>
      <c r="E5605" s="1" t="n">
        <v>0.75</v>
      </c>
      <c r="F5605" s="1" t="n">
        <v>1.87</v>
      </c>
      <c r="G5605" s="1" t="n">
        <v>6.66</v>
      </c>
      <c r="H5605" s="1" t="n">
        <v>84</v>
      </c>
      <c r="I5605" s="1" t="n">
        <v>0.25</v>
      </c>
      <c r="J5605" t="n">
        <v>75142550</v>
      </c>
    </row>
    <row r="5606" ht="15.75" customHeight="1" s="201">
      <c r="A5606" s="1" t="inlineStr">
        <is>
          <t>Potatoes, hash brown, home-prepared</t>
        </is>
      </c>
      <c r="C5606" s="1" t="n">
        <v>35.11</v>
      </c>
      <c r="D5606" s="1" t="n">
        <v>16</v>
      </c>
      <c r="E5606" s="1" t="n">
        <v>0.55</v>
      </c>
      <c r="F5606" s="1" t="n">
        <v>3</v>
      </c>
      <c r="G5606" s="1" t="n">
        <v>12.52</v>
      </c>
      <c r="H5606" s="1" t="n">
        <v>5</v>
      </c>
      <c r="I5606" s="1" t="n">
        <v>0.47</v>
      </c>
      <c r="J5606" t="n">
        <v>28160310</v>
      </c>
    </row>
    <row r="5607" ht="15.75" customHeight="1" s="201">
      <c r="A5607" s="1" t="inlineStr">
        <is>
          <t>Potatoes, hash brown, refrigerated, prepared, pan-fried in canola oil</t>
        </is>
      </c>
      <c r="C5607" s="1" t="n">
        <v>33.99</v>
      </c>
      <c r="E5607" s="1" t="n">
        <v>0.74</v>
      </c>
      <c r="F5607" s="1" t="n">
        <v>3.24</v>
      </c>
      <c r="G5607" s="1" t="n">
        <v>10.3</v>
      </c>
      <c r="I5607" s="1" t="n">
        <v>0.63</v>
      </c>
      <c r="J5607" t="n">
        <v>28141010</v>
      </c>
    </row>
    <row r="5608" ht="15.75" customHeight="1" s="201">
      <c r="A5608" s="1" t="inlineStr">
        <is>
          <t>Potatoes, hash brown, refrigerated, unprepared</t>
        </is>
      </c>
      <c r="C5608" s="1" t="n">
        <v>19.16</v>
      </c>
      <c r="E5608" s="1" t="n">
        <v>0.48</v>
      </c>
      <c r="F5608" s="1" t="n">
        <v>1.75</v>
      </c>
      <c r="G5608" s="1" t="n">
        <v>0.08</v>
      </c>
      <c r="I5608" s="1" t="n">
        <v>0.38</v>
      </c>
      <c r="J5608" t="n">
        <v>71405040</v>
      </c>
    </row>
    <row r="5609" ht="15.75" customHeight="1" s="201">
      <c r="A5609" s="1" t="inlineStr">
        <is>
          <t>Potatoes, mashed, dehydrated, flakes without milk, dry form</t>
        </is>
      </c>
      <c r="C5609" s="1" t="n">
        <v>81.17</v>
      </c>
      <c r="D5609" s="1" t="n">
        <v>46</v>
      </c>
      <c r="E5609" s="1" t="n">
        <v>1.21</v>
      </c>
      <c r="F5609" s="1" t="n">
        <v>8.34</v>
      </c>
      <c r="G5609" s="1" t="n">
        <v>0.41</v>
      </c>
      <c r="H5609" s="1" t="n">
        <v>11</v>
      </c>
      <c r="I5609" s="1" t="n">
        <v>0.7</v>
      </c>
      <c r="J5609" t="n">
        <v>11112110</v>
      </c>
    </row>
    <row r="5610" ht="15.75" customHeight="1" s="201">
      <c r="A5610" s="1" t="inlineStr">
        <is>
          <t>Potatoes, mashed, dehydrated, granules with milk, dry form</t>
        </is>
      </c>
      <c r="C5610" s="1" t="n">
        <v>77.7</v>
      </c>
      <c r="D5610" s="1" t="n">
        <v>30</v>
      </c>
      <c r="E5610" s="1" t="n">
        <v>3.5</v>
      </c>
      <c r="F5610" s="1" t="n">
        <v>10.9</v>
      </c>
      <c r="G5610" s="1" t="n">
        <v>1.1</v>
      </c>
      <c r="H5610" s="1" t="n">
        <v>75</v>
      </c>
      <c r="I5610" s="1" t="n">
        <v>1.2</v>
      </c>
      <c r="J5610" t="n">
        <v>75142550</v>
      </c>
    </row>
    <row r="5611" ht="15.75" customHeight="1" s="201">
      <c r="A5611" s="1" t="inlineStr">
        <is>
          <t>Potatoes, mashed, dehydrated, granules without milk, dry form</t>
        </is>
      </c>
      <c r="C5611" s="1" t="n">
        <v>85.51000000000001</v>
      </c>
      <c r="D5611" s="1" t="n">
        <v>40</v>
      </c>
      <c r="E5611" s="1" t="n">
        <v>1.09</v>
      </c>
      <c r="F5611" s="1" t="n">
        <v>8.220000000000001</v>
      </c>
      <c r="G5611" s="1" t="n">
        <v>0.54</v>
      </c>
      <c r="H5611" s="1" t="n">
        <v>11</v>
      </c>
      <c r="I5611" s="1" t="n">
        <v>0.91</v>
      </c>
      <c r="J5611" t="n">
        <v>11112110</v>
      </c>
    </row>
    <row r="5612" ht="15.75" customHeight="1" s="201">
      <c r="A5612" s="1" t="inlineStr">
        <is>
          <t>Potatoes, mashed, dehydrated, prepared from flakes without milk, whole milk and butter added</t>
        </is>
      </c>
      <c r="C5612" s="1" t="n">
        <v>10.87</v>
      </c>
      <c r="D5612" s="1" t="n">
        <v>7</v>
      </c>
      <c r="E5612" s="1" t="n">
        <v>0.16</v>
      </c>
      <c r="F5612" s="1" t="n">
        <v>1.77</v>
      </c>
      <c r="G5612" s="1" t="n">
        <v>5.13</v>
      </c>
      <c r="H5612" s="1" t="n">
        <v>172</v>
      </c>
      <c r="I5612" s="1" t="n">
        <v>0.18</v>
      </c>
      <c r="J5612" t="n">
        <v>11513300</v>
      </c>
    </row>
    <row r="5613" ht="15.75" customHeight="1" s="201">
      <c r="A5613" s="1" t="inlineStr">
        <is>
          <t>Potatoes, mashed, dehydrated, prepared from flakes without milk, whole milk and margarine added</t>
        </is>
      </c>
      <c r="C5613" s="1" t="n">
        <v>15.02</v>
      </c>
      <c r="D5613" s="1" t="n">
        <v>7</v>
      </c>
      <c r="E5613" s="1" t="n">
        <v>0.22</v>
      </c>
      <c r="F5613" s="1" t="n">
        <v>1.9</v>
      </c>
      <c r="G5613" s="1" t="n">
        <v>5.6</v>
      </c>
      <c r="H5613" s="1" t="n">
        <v>220</v>
      </c>
      <c r="I5613" s="1" t="n">
        <v>0.18</v>
      </c>
      <c r="J5613" t="n">
        <v>11513300</v>
      </c>
    </row>
    <row r="5614" ht="15.75" customHeight="1" s="201">
      <c r="A5614" s="1" t="inlineStr">
        <is>
          <t>Potatoes, mashed, dehydrated, prepared from granules with milk, water and margarine added</t>
        </is>
      </c>
      <c r="C5614" s="1" t="n">
        <v>16.13</v>
      </c>
      <c r="D5614" s="1" t="n">
        <v>8</v>
      </c>
      <c r="E5614" s="1" t="n">
        <v>0.2</v>
      </c>
      <c r="F5614" s="1" t="n">
        <v>2.13</v>
      </c>
      <c r="G5614" s="1" t="n">
        <v>4.8</v>
      </c>
      <c r="H5614" s="1" t="n">
        <v>214</v>
      </c>
      <c r="I5614" s="1" t="n">
        <v>0.24</v>
      </c>
      <c r="J5614" t="n">
        <v>11740312</v>
      </c>
    </row>
    <row r="5615" ht="15.75" customHeight="1" s="201">
      <c r="A5615" s="1" t="inlineStr">
        <is>
          <t>Potatoes, mashed, dehydrated, prepared from granules without milk, whole milk and butter added</t>
        </is>
      </c>
      <c r="C5615" s="1" t="n">
        <v>14.36</v>
      </c>
      <c r="D5615" s="1" t="n">
        <v>8</v>
      </c>
      <c r="E5615" s="1" t="n">
        <v>0.19</v>
      </c>
      <c r="F5615" s="1" t="n">
        <v>2.05</v>
      </c>
      <c r="G5615" s="1" t="n">
        <v>4.96</v>
      </c>
      <c r="H5615" s="1" t="n">
        <v>183</v>
      </c>
      <c r="I5615" s="1" t="n">
        <v>0.25</v>
      </c>
      <c r="J5615" t="n">
        <v>11513300</v>
      </c>
    </row>
    <row r="5616" ht="15.75" customHeight="1" s="201">
      <c r="A5616" s="1" t="inlineStr">
        <is>
          <t>Potatoes, mashed, home-prepared, whole milk added</t>
        </is>
      </c>
      <c r="C5616" s="1" t="n">
        <v>17.57</v>
      </c>
      <c r="D5616" s="1" t="n">
        <v>8</v>
      </c>
      <c r="E5616" s="1" t="n">
        <v>0.27</v>
      </c>
      <c r="F5616" s="1" t="n">
        <v>1.91</v>
      </c>
      <c r="G5616" s="1" t="n">
        <v>0.57</v>
      </c>
      <c r="H5616" s="1" t="n">
        <v>27</v>
      </c>
      <c r="I5616" s="1" t="n">
        <v>0.28</v>
      </c>
      <c r="J5616" t="n">
        <v>11541110</v>
      </c>
    </row>
    <row r="5617" ht="15.75" customHeight="1" s="201">
      <c r="A5617" s="1" t="inlineStr">
        <is>
          <t>Potatoes, mashed, home-prepared, whole milk and butter added</t>
        </is>
      </c>
      <c r="C5617" s="1" t="n">
        <v>16.81</v>
      </c>
      <c r="D5617" s="1" t="n">
        <v>8</v>
      </c>
      <c r="E5617" s="1" t="n">
        <v>0.26</v>
      </c>
      <c r="F5617" s="1" t="n">
        <v>1.86</v>
      </c>
      <c r="G5617" s="1" t="n">
        <v>4.22</v>
      </c>
      <c r="H5617" s="1" t="n">
        <v>138</v>
      </c>
      <c r="I5617" s="1" t="n">
        <v>0.27</v>
      </c>
      <c r="J5617" t="n">
        <v>54328100</v>
      </c>
    </row>
    <row r="5618" ht="15.75" customHeight="1" s="201">
      <c r="A5618" s="1" t="inlineStr">
        <is>
          <t>Potatoes, mashed, home-prepared, whole milk and margarine added</t>
        </is>
      </c>
      <c r="C5618" s="1" t="n">
        <v>16.94</v>
      </c>
      <c r="D5618" s="1" t="n">
        <v>9</v>
      </c>
      <c r="E5618" s="1" t="n">
        <v>0.26</v>
      </c>
      <c r="F5618" s="1" t="n">
        <v>1.96</v>
      </c>
      <c r="G5618" s="1" t="n">
        <v>4.2</v>
      </c>
      <c r="H5618" s="1" t="n">
        <v>187</v>
      </c>
      <c r="I5618" s="1" t="n">
        <v>0.3</v>
      </c>
      <c r="J5618" t="n">
        <v>11541110</v>
      </c>
    </row>
    <row r="5619" ht="15.75" customHeight="1" s="201">
      <c r="A5619" s="1" t="inlineStr">
        <is>
          <t>Potatoes, mashed, prepared from granules, without milk, whole milk and margarine</t>
        </is>
      </c>
      <c r="C5619" s="1" t="n">
        <v>14.4</v>
      </c>
      <c r="D5619" s="1" t="n">
        <v>7</v>
      </c>
      <c r="E5619" s="1" t="n">
        <v>0.19</v>
      </c>
      <c r="F5619" s="1" t="n">
        <v>2.05</v>
      </c>
      <c r="G5619" s="1" t="n">
        <v>4.93</v>
      </c>
      <c r="H5619" s="1" t="n">
        <v>213</v>
      </c>
      <c r="I5619" s="1" t="n">
        <v>0.24</v>
      </c>
      <c r="J5619" t="n">
        <v>11513300</v>
      </c>
    </row>
    <row r="5620" ht="15.75" customHeight="1" s="201">
      <c r="A5620" s="1" t="inlineStr">
        <is>
          <t>Potatoes, mashed, ready-to-eat</t>
        </is>
      </c>
      <c r="C5620" s="1" t="n">
        <v>13.29</v>
      </c>
      <c r="D5620" s="1" t="n">
        <v>6</v>
      </c>
      <c r="E5620" s="1" t="n">
        <v>0.27</v>
      </c>
      <c r="F5620" s="1" t="n">
        <v>1.97</v>
      </c>
      <c r="G5620" s="1" t="n">
        <v>5.01</v>
      </c>
      <c r="H5620" s="1" t="n">
        <v>205</v>
      </c>
      <c r="I5620" s="1" t="n">
        <v>0.3</v>
      </c>
      <c r="J5620" t="n">
        <v>27211100</v>
      </c>
    </row>
    <row r="5621" ht="15.75" customHeight="1" s="201">
      <c r="A5621" s="1" t="inlineStr">
        <is>
          <t>Potatoes, microwaved, cooked in skin, flesh and skin, without salt</t>
        </is>
      </c>
      <c r="C5621" s="1" t="n">
        <v>24.24</v>
      </c>
      <c r="D5621" s="1" t="n">
        <v>12</v>
      </c>
      <c r="E5621" s="1" t="n">
        <v>1.24</v>
      </c>
      <c r="F5621" s="1" t="n">
        <v>2.44</v>
      </c>
      <c r="G5621" s="1" t="n">
        <v>0.1</v>
      </c>
      <c r="H5621" s="1" t="n">
        <v>0</v>
      </c>
      <c r="I5621" s="1" t="n">
        <v>0.36</v>
      </c>
      <c r="J5621" t="n">
        <v>24147310</v>
      </c>
    </row>
    <row r="5622" ht="15.75" customHeight="1" s="201">
      <c r="A5622" s="1" t="inlineStr">
        <is>
          <t>Potatoes, microwaved, cooked in skin, flesh, with salt</t>
        </is>
      </c>
      <c r="C5622" s="1" t="n">
        <v>23.28</v>
      </c>
      <c r="D5622" s="1" t="n">
        <v>12</v>
      </c>
      <c r="E5622" s="1" t="n">
        <v>0.41</v>
      </c>
      <c r="F5622" s="1" t="n">
        <v>2.1</v>
      </c>
      <c r="G5622" s="1" t="n">
        <v>0.1</v>
      </c>
      <c r="H5622" s="1" t="n">
        <v>0</v>
      </c>
      <c r="I5622" s="1" t="n">
        <v>0.33</v>
      </c>
      <c r="J5622" t="n">
        <v>75142550</v>
      </c>
    </row>
    <row r="5623" ht="15.75" customHeight="1" s="201">
      <c r="A5623" s="1" t="inlineStr">
        <is>
          <t>Potatoes, microwaved, cooked in skin, flesh, without salt</t>
        </is>
      </c>
      <c r="C5623" s="1" t="n">
        <v>23.28</v>
      </c>
      <c r="D5623" s="1" t="n">
        <v>12</v>
      </c>
      <c r="E5623" s="1" t="n">
        <v>0.41</v>
      </c>
      <c r="F5623" s="1" t="n">
        <v>2.1</v>
      </c>
      <c r="G5623" s="1" t="n">
        <v>0.1</v>
      </c>
      <c r="H5623" s="1" t="n">
        <v>0</v>
      </c>
      <c r="I5623" s="1" t="n">
        <v>0.33</v>
      </c>
      <c r="J5623" t="n">
        <v>24147310</v>
      </c>
    </row>
    <row r="5624" ht="15.75" customHeight="1" s="201">
      <c r="A5624" s="1" t="inlineStr">
        <is>
          <t>Potatoes, microwaved, cooked in skin, skin, without salt</t>
        </is>
      </c>
      <c r="C5624" s="1" t="n">
        <v>29.63</v>
      </c>
      <c r="D5624" s="1" t="n">
        <v>17</v>
      </c>
      <c r="E5624" s="1" t="n">
        <v>5.94</v>
      </c>
      <c r="F5624" s="1" t="n">
        <v>4.39</v>
      </c>
      <c r="G5624" s="1" t="n">
        <v>0.1</v>
      </c>
      <c r="H5624" s="1" t="n">
        <v>0</v>
      </c>
      <c r="I5624" s="1" t="n">
        <v>0.51</v>
      </c>
      <c r="J5624" t="n">
        <v>24147310</v>
      </c>
    </row>
    <row r="5625" ht="15.75" customHeight="1" s="201">
      <c r="A5625" s="1" t="inlineStr">
        <is>
          <t>Potatoes, microwaved, cooked, in skin, flesh and skin, with salt</t>
        </is>
      </c>
      <c r="C5625" s="1" t="n">
        <v>24.24</v>
      </c>
      <c r="D5625" s="1" t="n">
        <v>12</v>
      </c>
      <c r="E5625" s="1" t="n">
        <v>1.24</v>
      </c>
      <c r="F5625" s="1" t="n">
        <v>2.44</v>
      </c>
      <c r="G5625" s="1" t="n">
        <v>0.1</v>
      </c>
      <c r="H5625" s="1" t="n">
        <v>0</v>
      </c>
      <c r="I5625" s="1" t="n">
        <v>0.36</v>
      </c>
      <c r="J5625" t="n">
        <v>24147310</v>
      </c>
    </row>
    <row r="5626" ht="15.75" customHeight="1" s="201">
      <c r="A5626" s="1" t="inlineStr">
        <is>
          <t>Potatoes, microwaved, cooked, in skin, skin with salt</t>
        </is>
      </c>
      <c r="C5626" s="1" t="n">
        <v>29.63</v>
      </c>
      <c r="D5626" s="1" t="n">
        <v>17</v>
      </c>
      <c r="E5626" s="1" t="n">
        <v>5.94</v>
      </c>
      <c r="F5626" s="1" t="n">
        <v>4.39</v>
      </c>
      <c r="G5626" s="1" t="n">
        <v>0.1</v>
      </c>
      <c r="H5626" s="1" t="n">
        <v>0</v>
      </c>
      <c r="I5626" s="1" t="n">
        <v>0.51</v>
      </c>
      <c r="J5626" t="n">
        <v>24147310</v>
      </c>
    </row>
    <row r="5627" ht="15.75" customHeight="1" s="201">
      <c r="A5627" s="1" t="inlineStr">
        <is>
          <t>Potatoes, o'brien, frozen, prepared</t>
        </is>
      </c>
      <c r="C5627" s="1" t="n">
        <v>21.86</v>
      </c>
      <c r="D5627" s="1" t="n">
        <v>12</v>
      </c>
      <c r="E5627" s="1" t="n">
        <v>0.96</v>
      </c>
      <c r="F5627" s="1" t="n">
        <v>2.22</v>
      </c>
      <c r="G5627" s="1" t="n">
        <v>13.21</v>
      </c>
      <c r="H5627" s="1" t="n">
        <v>188</v>
      </c>
      <c r="I5627" s="1" t="n">
        <v>0.55</v>
      </c>
      <c r="J5627" t="n">
        <v>28160310</v>
      </c>
    </row>
    <row r="5628" ht="15.75" customHeight="1" s="201">
      <c r="A5628" s="1" t="inlineStr">
        <is>
          <t>Potatoes, o'brien, frozen, unprepared</t>
        </is>
      </c>
      <c r="C5628" s="1" t="n">
        <v>17.47</v>
      </c>
      <c r="D5628" s="1" t="n">
        <v>8</v>
      </c>
      <c r="E5628" s="1" t="n">
        <v>1.03</v>
      </c>
      <c r="F5628" s="1" t="n">
        <v>1.83</v>
      </c>
      <c r="G5628" s="1" t="n">
        <v>0.14</v>
      </c>
      <c r="H5628" s="1" t="n">
        <v>148</v>
      </c>
      <c r="I5628" s="1" t="n">
        <v>0.29</v>
      </c>
      <c r="J5628" t="n">
        <v>28160310</v>
      </c>
    </row>
    <row r="5629" ht="15.75" customHeight="1" s="201">
      <c r="A5629" s="1" t="inlineStr">
        <is>
          <t>Potatoes, o'brien, home-prepared</t>
        </is>
      </c>
      <c r="C5629" s="1" t="n">
        <v>15.47</v>
      </c>
      <c r="D5629" s="1" t="n">
        <v>8</v>
      </c>
      <c r="E5629" s="1" t="n">
        <v>0.47</v>
      </c>
      <c r="F5629" s="1" t="n">
        <v>2.35</v>
      </c>
      <c r="G5629" s="1" t="n">
        <v>1.28</v>
      </c>
      <c r="H5629" s="1" t="n">
        <v>481</v>
      </c>
      <c r="I5629" s="1" t="n">
        <v>0.3</v>
      </c>
      <c r="J5629" t="n">
        <v>28160310</v>
      </c>
    </row>
    <row r="5630" ht="15.75" customHeight="1" s="201">
      <c r="A5630" s="1" t="inlineStr">
        <is>
          <t>Potatoes, raw, skin</t>
        </is>
      </c>
      <c r="C5630" s="1" t="n">
        <v>12.44</v>
      </c>
      <c r="D5630" s="1" t="n">
        <v>17</v>
      </c>
      <c r="E5630" s="1" t="n">
        <v>3.24</v>
      </c>
      <c r="F5630" s="1" t="n">
        <v>2.57</v>
      </c>
      <c r="G5630" s="1" t="n">
        <v>0.1</v>
      </c>
      <c r="H5630" s="1" t="n">
        <v>0</v>
      </c>
      <c r="I5630" s="1" t="n">
        <v>0.35</v>
      </c>
      <c r="J5630" t="n">
        <v>24137300</v>
      </c>
    </row>
    <row r="5631" ht="15.75" customHeight="1" s="201">
      <c r="A5631" s="1" t="inlineStr">
        <is>
          <t>Potatoes, red, flesh and skin, baked</t>
        </is>
      </c>
      <c r="C5631" s="1" t="n">
        <v>19.59</v>
      </c>
      <c r="D5631" s="1" t="n">
        <v>27</v>
      </c>
      <c r="E5631" s="1" t="n">
        <v>0.7</v>
      </c>
      <c r="F5631" s="1" t="n">
        <v>2.3</v>
      </c>
      <c r="G5631" s="1" t="n">
        <v>0.15</v>
      </c>
      <c r="H5631" s="1" t="n">
        <v>10</v>
      </c>
      <c r="I5631" s="1" t="n">
        <v>0.4</v>
      </c>
      <c r="J5631" t="n">
        <v>24137310</v>
      </c>
    </row>
    <row r="5632" ht="15.75" customHeight="1" s="201">
      <c r="A5632" s="1" t="inlineStr">
        <is>
          <t>Potatoes, red, flesh and skin, raw</t>
        </is>
      </c>
      <c r="C5632" s="1" t="n">
        <v>15.9</v>
      </c>
      <c r="D5632" s="1" t="n">
        <v>18</v>
      </c>
      <c r="E5632" s="1" t="n">
        <v>0.73</v>
      </c>
      <c r="F5632" s="1" t="n">
        <v>1.89</v>
      </c>
      <c r="G5632" s="1" t="n">
        <v>0.14</v>
      </c>
      <c r="H5632" s="1" t="n">
        <v>7</v>
      </c>
      <c r="I5632" s="1" t="n">
        <v>0.33</v>
      </c>
      <c r="J5632" t="n">
        <v>24137300</v>
      </c>
    </row>
    <row r="5633" ht="15.75" customHeight="1" s="201">
      <c r="A5633" s="1" t="inlineStr">
        <is>
          <t>Potatoes, roasted, salt added in processing, frozen, unprepared</t>
        </is>
      </c>
      <c r="C5633" s="1" t="n">
        <v>26.15</v>
      </c>
      <c r="E5633" s="1" t="n">
        <v>0.5</v>
      </c>
      <c r="F5633" s="1" t="n">
        <v>2.22</v>
      </c>
      <c r="G5633" s="1" t="n">
        <v>1.81</v>
      </c>
      <c r="H5633" s="1" t="n">
        <v>0</v>
      </c>
      <c r="J5633" t="n">
        <v>28110510</v>
      </c>
    </row>
    <row r="5634" ht="15.75" customHeight="1" s="201">
      <c r="A5634" s="1" t="inlineStr">
        <is>
          <t>Potatoes, Russet, flesh and skin, baked</t>
        </is>
      </c>
      <c r="C5634" s="1" t="n">
        <v>21.44</v>
      </c>
      <c r="D5634" s="1" t="n">
        <v>26</v>
      </c>
      <c r="E5634" s="1" t="n">
        <v>1.07</v>
      </c>
      <c r="F5634" s="1" t="n">
        <v>2.63</v>
      </c>
      <c r="G5634" s="1" t="n">
        <v>0.13</v>
      </c>
      <c r="H5634" s="1" t="n">
        <v>10</v>
      </c>
      <c r="I5634" s="1" t="n">
        <v>0.35</v>
      </c>
      <c r="J5634" t="n">
        <v>24137310</v>
      </c>
    </row>
    <row r="5635" ht="15.75" customHeight="1" s="201">
      <c r="A5635" s="1" t="inlineStr">
        <is>
          <t>Potatoes, russet, flesh and skin, raw (Includes foods for USDA's Food Distribution Program)</t>
        </is>
      </c>
      <c r="C5635" s="1" t="n">
        <v>18.07</v>
      </c>
      <c r="D5635" s="1" t="n">
        <v>14</v>
      </c>
      <c r="E5635" s="1" t="n">
        <v>0.86</v>
      </c>
      <c r="F5635" s="1" t="n">
        <v>2.14</v>
      </c>
      <c r="G5635" s="1" t="n">
        <v>0.08</v>
      </c>
      <c r="H5635" s="1" t="n">
        <v>1</v>
      </c>
      <c r="I5635" s="1" t="n">
        <v>0.29</v>
      </c>
      <c r="J5635" t="n">
        <v>76209010</v>
      </c>
    </row>
    <row r="5636" ht="15.75" customHeight="1" s="201">
      <c r="A5636" s="1" t="inlineStr">
        <is>
          <t>Potatoes, scalloped, dry mix, prepared with water, whole milk and butter</t>
        </is>
      </c>
      <c r="C5636" s="1" t="n">
        <v>12.77</v>
      </c>
      <c r="D5636" s="1" t="n">
        <v>10</v>
      </c>
      <c r="E5636" s="1" t="n">
        <v>0.38</v>
      </c>
      <c r="F5636" s="1" t="n">
        <v>2.12</v>
      </c>
      <c r="G5636" s="1" t="n">
        <v>4.3</v>
      </c>
      <c r="H5636" s="1" t="n">
        <v>148</v>
      </c>
      <c r="I5636" s="1" t="n">
        <v>0.25</v>
      </c>
      <c r="J5636" t="n">
        <v>11740312</v>
      </c>
    </row>
    <row r="5637" ht="15.75" customHeight="1" s="201">
      <c r="A5637" s="1" t="inlineStr">
        <is>
          <t>Potatoes, scalloped, dry mix, unprepared</t>
        </is>
      </c>
      <c r="C5637" s="1" t="n">
        <v>73.93000000000001</v>
      </c>
      <c r="D5637" s="1" t="n">
        <v>32</v>
      </c>
      <c r="E5637" s="1" t="n">
        <v>2.01</v>
      </c>
      <c r="F5637" s="1" t="n">
        <v>7.77</v>
      </c>
      <c r="G5637" s="1" t="n">
        <v>4.59</v>
      </c>
      <c r="H5637" s="1" t="n">
        <v>0</v>
      </c>
      <c r="I5637" s="1" t="n">
        <v>0.92</v>
      </c>
      <c r="J5637" t="n">
        <v>27211100</v>
      </c>
    </row>
    <row r="5638" ht="15.75" customHeight="1" s="201">
      <c r="A5638" s="1" t="inlineStr">
        <is>
          <t>Potatoes, scalloped, home-prepared with butter</t>
        </is>
      </c>
      <c r="C5638" s="1" t="n">
        <v>10.78</v>
      </c>
      <c r="D5638" s="1" t="n">
        <v>11</v>
      </c>
      <c r="E5638" s="1" t="n">
        <v>0.57</v>
      </c>
      <c r="F5638" s="1" t="n">
        <v>2.87</v>
      </c>
      <c r="G5638" s="1" t="n">
        <v>3.68</v>
      </c>
      <c r="H5638" s="1" t="n">
        <v>135</v>
      </c>
      <c r="I5638" s="1" t="n">
        <v>0.4</v>
      </c>
      <c r="J5638" t="n">
        <v>75142550</v>
      </c>
    </row>
    <row r="5639" ht="15.75" customHeight="1" s="201">
      <c r="A5639" s="1" t="inlineStr">
        <is>
          <t>Potatoes, scalloped, home-prepared with margarine</t>
        </is>
      </c>
      <c r="C5639" s="1" t="n">
        <v>10.78</v>
      </c>
      <c r="D5639" s="1" t="n">
        <v>11</v>
      </c>
      <c r="E5639" s="1" t="n">
        <v>0.57</v>
      </c>
      <c r="F5639" s="1" t="n">
        <v>2.87</v>
      </c>
      <c r="G5639" s="1" t="n">
        <v>3.68</v>
      </c>
      <c r="H5639" s="1" t="n">
        <v>150</v>
      </c>
      <c r="I5639" s="1" t="n">
        <v>0.4</v>
      </c>
      <c r="J5639" t="n">
        <v>75142550</v>
      </c>
    </row>
    <row r="5640" ht="15.75" customHeight="1" s="201">
      <c r="A5640" s="1" t="inlineStr">
        <is>
          <t>Potatoes, white, flesh and skin, baked</t>
        </is>
      </c>
      <c r="C5640" s="1" t="n">
        <v>21.08</v>
      </c>
      <c r="D5640" s="1" t="n">
        <v>38</v>
      </c>
      <c r="E5640" s="1" t="n">
        <v>0.64</v>
      </c>
      <c r="F5640" s="1" t="n">
        <v>2.1</v>
      </c>
      <c r="G5640" s="1" t="n">
        <v>0.15</v>
      </c>
      <c r="H5640" s="1" t="n">
        <v>10</v>
      </c>
      <c r="I5640" s="1" t="n">
        <v>0.35</v>
      </c>
      <c r="J5640" t="n">
        <v>24137310</v>
      </c>
    </row>
    <row r="5641" ht="15.75" customHeight="1" s="201">
      <c r="A5641" s="1" t="inlineStr">
        <is>
          <t>Potatoes, white, flesh and skin, raw</t>
        </is>
      </c>
      <c r="C5641" s="1" t="n">
        <v>15.71</v>
      </c>
      <c r="D5641" s="1" t="n">
        <v>18</v>
      </c>
      <c r="E5641" s="1" t="n">
        <v>0.52</v>
      </c>
      <c r="F5641" s="1" t="n">
        <v>1.68</v>
      </c>
      <c r="G5641" s="1" t="n">
        <v>0.1</v>
      </c>
      <c r="H5641" s="1" t="n">
        <v>8</v>
      </c>
      <c r="I5641" s="1" t="n">
        <v>0.29</v>
      </c>
      <c r="J5641" t="n">
        <v>27443110</v>
      </c>
    </row>
    <row r="5642" ht="15.75" customHeight="1" s="201">
      <c r="A5642" s="1" t="inlineStr">
        <is>
          <t>Potatoes, yellow fleshed, french fried, frozen, unprepared</t>
        </is>
      </c>
      <c r="C5642" s="1" t="n">
        <v>25.01</v>
      </c>
      <c r="E5642" s="1" t="n">
        <v>0.48</v>
      </c>
      <c r="F5642" s="1" t="n">
        <v>2.47</v>
      </c>
      <c r="G5642" s="1" t="n">
        <v>5.84</v>
      </c>
      <c r="H5642" s="1" t="n">
        <v>0</v>
      </c>
      <c r="J5642" t="n">
        <v>28141010</v>
      </c>
    </row>
    <row r="5643" ht="15.75" customHeight="1" s="201">
      <c r="A5643" s="1" t="inlineStr">
        <is>
          <t>Potatoes, yellow fleshed, hash brown, shredded, salt added in processing, frozen, unprepared</t>
        </is>
      </c>
      <c r="C5643" s="1" t="n">
        <v>17.98</v>
      </c>
      <c r="E5643" s="1" t="n">
        <v>0.31</v>
      </c>
      <c r="F5643" s="1" t="n">
        <v>2.04</v>
      </c>
      <c r="G5643" s="1" t="n">
        <v>0.07000000000000001</v>
      </c>
      <c r="H5643" s="1" t="n">
        <v>0</v>
      </c>
    </row>
    <row r="5644" ht="15.75" customHeight="1" s="201">
      <c r="A5644" s="1" t="inlineStr">
        <is>
          <t>Potatoes, yellow fleshed, roasted, salt added in processing, frozen, unprepared</t>
        </is>
      </c>
      <c r="C5644" s="1" t="n">
        <v>23.44</v>
      </c>
      <c r="E5644" s="1" t="n">
        <v>0.45</v>
      </c>
      <c r="F5644" s="1" t="n">
        <v>1.99</v>
      </c>
      <c r="G5644" s="1" t="n">
        <v>1.85</v>
      </c>
      <c r="H5644" s="1" t="n">
        <v>0</v>
      </c>
      <c r="J5644" t="n">
        <v>53109200</v>
      </c>
    </row>
    <row r="5645" ht="15.75" customHeight="1" s="201">
      <c r="A5645" s="1" t="inlineStr">
        <is>
          <t>Potsticker or wonton, pork and vegetable, frozen, unprepared</t>
        </is>
      </c>
      <c r="C5645" s="1" t="n">
        <v>13.28</v>
      </c>
      <c r="D5645" s="1" t="n">
        <v>18</v>
      </c>
      <c r="E5645" s="1" t="n">
        <v>0.74</v>
      </c>
      <c r="F5645" s="1" t="n">
        <v>8.279999999999999</v>
      </c>
      <c r="G5645" s="1" t="n">
        <v>5.52</v>
      </c>
      <c r="H5645" s="1" t="n">
        <v>78</v>
      </c>
      <c r="I5645" s="1" t="n">
        <v>1.67</v>
      </c>
      <c r="J5645" t="n">
        <v>27120030</v>
      </c>
    </row>
    <row r="5646" ht="15.75" customHeight="1" s="201">
      <c r="A5646" s="1" t="inlineStr">
        <is>
          <t>Poultry salad sandwich spread</t>
        </is>
      </c>
      <c r="C5646" s="1" t="n">
        <v>7.41</v>
      </c>
      <c r="D5646" s="1" t="n">
        <v>5</v>
      </c>
      <c r="E5646" s="1" t="n">
        <v>0.61</v>
      </c>
      <c r="F5646" s="1" t="n">
        <v>11.64</v>
      </c>
      <c r="G5646" s="1" t="n">
        <v>13.52</v>
      </c>
      <c r="H5646" s="1" t="n">
        <v>140</v>
      </c>
      <c r="I5646" s="1" t="n">
        <v>1.04</v>
      </c>
      <c r="J5646" t="n">
        <v>75143000</v>
      </c>
    </row>
    <row r="5647" ht="15.75" customHeight="1" s="201">
      <c r="A5647" s="1" t="inlineStr">
        <is>
          <t>Poultry, mechanically deboned, from backs and necks with skin, raw</t>
        </is>
      </c>
      <c r="C5647" s="1" t="n">
        <v>0</v>
      </c>
      <c r="D5647" s="1" t="n">
        <v>6</v>
      </c>
      <c r="E5647" s="1" t="n">
        <v>1.57</v>
      </c>
      <c r="F5647" s="1" t="n">
        <v>11.39</v>
      </c>
      <c r="G5647" s="1" t="n">
        <v>24.73</v>
      </c>
      <c r="H5647" s="1" t="n">
        <v>245</v>
      </c>
      <c r="I5647" s="1" t="n">
        <v>1.29</v>
      </c>
      <c r="J5647" t="n">
        <v>75142550</v>
      </c>
    </row>
    <row r="5648" ht="15.75" customHeight="1" s="201">
      <c r="A5648" s="1" t="inlineStr">
        <is>
          <t>Poultry, mechanically deboned, from backs and necks without skin, raw</t>
        </is>
      </c>
      <c r="C5648" s="1" t="n">
        <v>0</v>
      </c>
      <c r="D5648" s="1" t="n">
        <v>9</v>
      </c>
      <c r="E5648" s="1" t="n">
        <v>1.73</v>
      </c>
      <c r="F5648" s="1" t="n">
        <v>13.79</v>
      </c>
      <c r="G5648" s="1" t="n">
        <v>15.48</v>
      </c>
      <c r="H5648" s="1" t="n">
        <v>107</v>
      </c>
      <c r="I5648" s="1" t="n">
        <v>1.82</v>
      </c>
      <c r="J5648" t="n">
        <v>24147310</v>
      </c>
    </row>
    <row r="5649" ht="15.75" customHeight="1" s="201">
      <c r="A5649" s="1" t="inlineStr">
        <is>
          <t>Poultry, mechanically deboned, from mature hens, raw</t>
        </is>
      </c>
      <c r="C5649" s="1" t="n">
        <v>0</v>
      </c>
      <c r="D5649" s="1" t="n">
        <v>5</v>
      </c>
      <c r="E5649" s="1" t="n">
        <v>1.22</v>
      </c>
      <c r="F5649" s="1" t="n">
        <v>14.72</v>
      </c>
      <c r="G5649" s="1" t="n">
        <v>19.98</v>
      </c>
      <c r="H5649" s="1" t="n">
        <v>149</v>
      </c>
      <c r="I5649" s="1" t="n">
        <v>1.9</v>
      </c>
      <c r="J5649" t="n">
        <v>14620320</v>
      </c>
    </row>
    <row r="5650" ht="15.75" customHeight="1" s="201">
      <c r="A5650" s="1" t="inlineStr">
        <is>
          <t>Prairie Turnips, boiled (Northern Plains Indians)</t>
        </is>
      </c>
      <c r="C5650" s="1" t="n">
        <v>29.99</v>
      </c>
      <c r="E5650" s="1" t="n">
        <v>0.95</v>
      </c>
      <c r="F5650" s="1" t="n">
        <v>1.64</v>
      </c>
      <c r="G5650" s="1" t="n">
        <v>0.32</v>
      </c>
      <c r="I5650" s="1" t="n">
        <v>0.28</v>
      </c>
      <c r="J5650" t="n">
        <v>31103010</v>
      </c>
    </row>
    <row r="5651" ht="15.75" customHeight="1" s="201">
      <c r="A5651" s="1" t="inlineStr">
        <is>
          <t>Prairie Turnips, raw (Northern Plains Indians)</t>
        </is>
      </c>
      <c r="C5651" s="1" t="n">
        <v>35.67</v>
      </c>
      <c r="D5651" s="1" t="n">
        <v>10</v>
      </c>
      <c r="E5651" s="1" t="n">
        <v>1.27</v>
      </c>
      <c r="F5651" s="1" t="n">
        <v>2.62</v>
      </c>
      <c r="G5651" s="1" t="n">
        <v>0.36</v>
      </c>
      <c r="I5651" s="1" t="n">
        <v>0.37</v>
      </c>
    </row>
    <row r="5652" ht="15.75" customHeight="1" s="201">
      <c r="A5652" s="1" t="inlineStr">
        <is>
          <t>Pretzels, soft</t>
        </is>
      </c>
      <c r="C5652" s="1" t="n">
        <v>69.39</v>
      </c>
      <c r="D5652" s="1" t="n">
        <v>24</v>
      </c>
      <c r="E5652" s="1" t="n">
        <v>3.92</v>
      </c>
      <c r="F5652" s="1" t="n">
        <v>8.199999999999999</v>
      </c>
      <c r="G5652" s="1" t="n">
        <v>3.1</v>
      </c>
      <c r="H5652" s="1" t="n">
        <v>0</v>
      </c>
      <c r="I5652" s="1" t="n">
        <v>0.9399999999999999</v>
      </c>
      <c r="J5652" t="n">
        <v>51150000</v>
      </c>
    </row>
    <row r="5653" ht="15.75" customHeight="1" s="201">
      <c r="A5653" s="1" t="inlineStr">
        <is>
          <t>Prickly pears, broiled (Northern Plains Indians)</t>
        </is>
      </c>
      <c r="C5653" s="1" t="n">
        <v>21.57</v>
      </c>
      <c r="F5653" s="1" t="n">
        <v>0.39</v>
      </c>
      <c r="G5653" s="1" t="n">
        <v>0.31</v>
      </c>
    </row>
    <row r="5654" ht="15.75" customHeight="1" s="201">
      <c r="A5654" s="1" t="inlineStr">
        <is>
          <t>Prickly pears, raw</t>
        </is>
      </c>
      <c r="C5654" s="1" t="n">
        <v>9.57</v>
      </c>
      <c r="D5654" s="1" t="n">
        <v>6</v>
      </c>
      <c r="E5654" s="1" t="n">
        <v>0.3</v>
      </c>
      <c r="F5654" s="1" t="n">
        <v>0.73</v>
      </c>
      <c r="G5654" s="1" t="n">
        <v>0.51</v>
      </c>
      <c r="H5654" s="1" t="n">
        <v>43</v>
      </c>
      <c r="I5654" s="1" t="n">
        <v>0.12</v>
      </c>
      <c r="J5654" t="n">
        <v>75213120</v>
      </c>
    </row>
    <row r="5655" ht="15.75" customHeight="1" s="201">
      <c r="A5655" s="1" t="inlineStr">
        <is>
          <t>Prickly pears, raw (Northern Plains Indians)</t>
        </is>
      </c>
      <c r="C5655" s="1" t="n">
        <v>10.17</v>
      </c>
      <c r="E5655" s="1" t="n">
        <v>0.2</v>
      </c>
      <c r="F5655" s="1" t="n">
        <v>0.12</v>
      </c>
      <c r="G5655" s="1" t="n">
        <v>0.11</v>
      </c>
      <c r="I5655" s="1" t="n">
        <v>0.14</v>
      </c>
    </row>
    <row r="5656" ht="15.75" customHeight="1" s="201">
      <c r="A5656" s="1" t="inlineStr">
        <is>
          <t>Protein supplement, milk based, Muscle Milk Light, powder</t>
        </is>
      </c>
      <c r="C5656" s="1" t="n">
        <v>22</v>
      </c>
      <c r="D5656" s="1" t="n">
        <v>280</v>
      </c>
      <c r="E5656" s="1" t="n">
        <v>12</v>
      </c>
      <c r="F5656" s="1" t="n">
        <v>50</v>
      </c>
      <c r="G5656" s="1" t="n">
        <v>12</v>
      </c>
      <c r="H5656" s="1" t="n">
        <v>3500</v>
      </c>
      <c r="I5656" s="1" t="n">
        <v>10</v>
      </c>
      <c r="J5656" t="n">
        <v>27446245</v>
      </c>
    </row>
    <row r="5657" ht="15.75" customHeight="1" s="201">
      <c r="A5657" s="1" t="inlineStr">
        <is>
          <t>Protein supplement, milk based, Muscle Milk, powder</t>
        </is>
      </c>
      <c r="C5657" s="1" t="n">
        <v>18.5</v>
      </c>
      <c r="D5657" s="1" t="n">
        <v>200</v>
      </c>
      <c r="E5657" s="1" t="n">
        <v>8.57</v>
      </c>
      <c r="F5657" s="1" t="n">
        <v>45.71</v>
      </c>
      <c r="G5657" s="1" t="n">
        <v>17.14</v>
      </c>
      <c r="H5657" s="1" t="n">
        <v>2500</v>
      </c>
      <c r="I5657" s="1" t="n">
        <v>7.14</v>
      </c>
      <c r="J5657" t="n">
        <v>11112110</v>
      </c>
    </row>
    <row r="5658" ht="15.75" customHeight="1" s="201">
      <c r="A5658" s="1" t="inlineStr">
        <is>
          <t>Prune juice, canned</t>
        </is>
      </c>
      <c r="C5658" s="1" t="n">
        <v>17.45</v>
      </c>
      <c r="D5658" s="1" t="n">
        <v>0</v>
      </c>
      <c r="E5658" s="1" t="n">
        <v>1.18</v>
      </c>
      <c r="F5658" s="1" t="n">
        <v>0.61</v>
      </c>
      <c r="G5658" s="1" t="n">
        <v>0.03</v>
      </c>
      <c r="H5658" s="1" t="n">
        <v>3</v>
      </c>
      <c r="I5658" s="1" t="n">
        <v>0.21</v>
      </c>
      <c r="J5658" t="n">
        <v>64100110</v>
      </c>
    </row>
    <row r="5659" ht="15.75" customHeight="1" s="201">
      <c r="A5659" s="1" t="inlineStr">
        <is>
          <t>Prune puree</t>
        </is>
      </c>
      <c r="C5659" s="1" t="n">
        <v>65.09999999999999</v>
      </c>
      <c r="E5659" s="1" t="n">
        <v>2.8</v>
      </c>
      <c r="F5659" s="1" t="n">
        <v>2.1</v>
      </c>
      <c r="G5659" s="1" t="n">
        <v>0.2</v>
      </c>
      <c r="H5659" s="1" t="n">
        <v>2000</v>
      </c>
      <c r="J5659" t="n">
        <v>62122100</v>
      </c>
    </row>
    <row r="5660" ht="15.75" customHeight="1" s="201">
      <c r="A5660" s="1" t="inlineStr">
        <is>
          <t>Prunes, canned, heavy syrup pack, solids and liquids</t>
        </is>
      </c>
      <c r="C5660" s="1" t="n">
        <v>27.8</v>
      </c>
      <c r="D5660" s="1" t="n">
        <v>0</v>
      </c>
      <c r="E5660" s="1" t="n">
        <v>0.41</v>
      </c>
      <c r="F5660" s="1" t="n">
        <v>0.87</v>
      </c>
      <c r="G5660" s="1" t="n">
        <v>0.2</v>
      </c>
      <c r="H5660" s="1" t="n">
        <v>797</v>
      </c>
      <c r="I5660" s="1" t="n">
        <v>0.19</v>
      </c>
      <c r="J5660" t="n">
        <v>53109200</v>
      </c>
    </row>
    <row r="5661" ht="15.75" customHeight="1" s="201">
      <c r="A5661" s="1" t="inlineStr">
        <is>
          <t>Prunes, dehydrated (low-moisture), stewed</t>
        </is>
      </c>
      <c r="C5661" s="1" t="n">
        <v>29.7</v>
      </c>
      <c r="D5661" s="1" t="n">
        <v>0</v>
      </c>
      <c r="E5661" s="1" t="n">
        <v>1.17</v>
      </c>
      <c r="F5661" s="1" t="n">
        <v>1.23</v>
      </c>
      <c r="G5661" s="1" t="n">
        <v>0.24</v>
      </c>
      <c r="H5661" s="1" t="n">
        <v>523</v>
      </c>
      <c r="I5661" s="1" t="n">
        <v>0.25</v>
      </c>
      <c r="J5661" t="n">
        <v>24163110</v>
      </c>
    </row>
    <row r="5662" ht="15.75" customHeight="1" s="201">
      <c r="A5662" s="1" t="inlineStr">
        <is>
          <t>Prunes, dehydrated (low-moisture), uncooked</t>
        </is>
      </c>
      <c r="C5662" s="1" t="n">
        <v>89.06999999999999</v>
      </c>
      <c r="D5662" s="1" t="n">
        <v>2</v>
      </c>
      <c r="E5662" s="1" t="n">
        <v>3.52</v>
      </c>
      <c r="F5662" s="1" t="n">
        <v>3.7</v>
      </c>
      <c r="G5662" s="1" t="n">
        <v>0.73</v>
      </c>
      <c r="H5662" s="1" t="n">
        <v>1762</v>
      </c>
      <c r="I5662" s="1" t="n">
        <v>0.75</v>
      </c>
    </row>
    <row r="5663" ht="15.75" customHeight="1" s="201">
      <c r="A5663" s="1" t="inlineStr">
        <is>
          <t>Pudding, lemon, dry mix, regular, prepared with sugar, egg yolk and water</t>
        </is>
      </c>
      <c r="C5663" s="1" t="n">
        <v>24.2</v>
      </c>
      <c r="D5663" s="1" t="n">
        <v>4</v>
      </c>
      <c r="E5663" s="1" t="n">
        <v>0.13</v>
      </c>
      <c r="F5663" s="1" t="n">
        <v>0.65</v>
      </c>
      <c r="G5663" s="1" t="n">
        <v>1.12</v>
      </c>
      <c r="H5663" s="1" t="n">
        <v>58</v>
      </c>
      <c r="I5663" s="1" t="n">
        <v>0.1</v>
      </c>
      <c r="J5663" t="n">
        <v>11740312</v>
      </c>
    </row>
    <row r="5664" ht="15.75" customHeight="1" s="201">
      <c r="A5664" s="1" t="inlineStr">
        <is>
          <t>Puddings, all flavors except chocolate, low calorie, instant, dry mix</t>
        </is>
      </c>
      <c r="C5664" s="1" t="n">
        <v>84.66</v>
      </c>
      <c r="D5664" s="1" t="n">
        <v>1</v>
      </c>
      <c r="E5664" s="1" t="n">
        <v>0.38</v>
      </c>
      <c r="F5664" s="1" t="n">
        <v>0.8100000000000001</v>
      </c>
      <c r="G5664" s="1" t="n">
        <v>0.9</v>
      </c>
      <c r="H5664" s="1" t="n">
        <v>0</v>
      </c>
      <c r="I5664" s="1" t="n">
        <v>0.1</v>
      </c>
      <c r="J5664" t="n">
        <v>53108200</v>
      </c>
    </row>
    <row r="5665" ht="15.75" customHeight="1" s="201">
      <c r="A5665" s="1" t="inlineStr">
        <is>
          <t>Puddings, all flavors except chocolate, low calorie, regular, dry mix</t>
        </is>
      </c>
      <c r="C5665" s="1" t="n">
        <v>86.04000000000001</v>
      </c>
      <c r="D5665" s="1" t="n">
        <v>0</v>
      </c>
      <c r="E5665" s="1" t="n">
        <v>0.05</v>
      </c>
      <c r="F5665" s="1" t="n">
        <v>1.6</v>
      </c>
      <c r="G5665" s="1" t="n">
        <v>0.1</v>
      </c>
      <c r="H5665" s="1" t="n">
        <v>0</v>
      </c>
      <c r="I5665" s="1" t="n">
        <v>0.19</v>
      </c>
      <c r="J5665" t="n">
        <v>53108200</v>
      </c>
    </row>
    <row r="5666" ht="15.75" customHeight="1" s="201">
      <c r="A5666" s="1" t="inlineStr">
        <is>
          <t>Puddings, banana, dry mix, instant</t>
        </is>
      </c>
      <c r="C5666" s="1" t="n">
        <v>92.7</v>
      </c>
      <c r="D5666" s="1" t="n">
        <v>0</v>
      </c>
      <c r="E5666" s="1" t="n">
        <v>0.12</v>
      </c>
      <c r="F5666" s="1" t="n">
        <v>0</v>
      </c>
      <c r="G5666" s="1" t="n">
        <v>0.6</v>
      </c>
      <c r="H5666" s="1" t="n">
        <v>0</v>
      </c>
      <c r="I5666" s="1" t="n">
        <v>0.04</v>
      </c>
      <c r="J5666" t="n">
        <v>52302010</v>
      </c>
    </row>
    <row r="5667" ht="15.75" customHeight="1" s="201">
      <c r="A5667" s="1" t="inlineStr">
        <is>
          <t>Puddings, banana, dry mix, instant, prepared with 2% milk</t>
        </is>
      </c>
      <c r="C5667" s="1" t="n">
        <v>19.74</v>
      </c>
      <c r="D5667" s="1" t="n">
        <v>4</v>
      </c>
      <c r="E5667" s="1" t="n">
        <v>0.06</v>
      </c>
      <c r="F5667" s="1" t="n">
        <v>2.76</v>
      </c>
      <c r="G5667" s="1" t="n">
        <v>1.7</v>
      </c>
      <c r="H5667" s="1" t="n">
        <v>170</v>
      </c>
      <c r="I5667" s="1" t="n">
        <v>0.33</v>
      </c>
      <c r="J5667" t="n">
        <v>75142550</v>
      </c>
    </row>
    <row r="5668" ht="15.75" customHeight="1" s="201">
      <c r="A5668" s="1" t="inlineStr">
        <is>
          <t>Puddings, banana, dry mix, instant, prepared with whole milk</t>
        </is>
      </c>
      <c r="C5668" s="1" t="n">
        <v>19.76</v>
      </c>
      <c r="D5668" s="1" t="n">
        <v>4</v>
      </c>
      <c r="E5668" s="1" t="n">
        <v>0.05</v>
      </c>
      <c r="F5668" s="1" t="n">
        <v>2.62</v>
      </c>
      <c r="G5668" s="1" t="n">
        <v>2.8</v>
      </c>
      <c r="H5668" s="1" t="n">
        <v>134</v>
      </c>
      <c r="I5668" s="1" t="n">
        <v>0.32</v>
      </c>
      <c r="J5668" t="n">
        <v>75142550</v>
      </c>
    </row>
    <row r="5669" ht="15.75" customHeight="1" s="201">
      <c r="A5669" s="1" t="inlineStr">
        <is>
          <t>Puddings, banana, dry mix, instant, with added oil</t>
        </is>
      </c>
      <c r="C5669" s="1" t="n">
        <v>89</v>
      </c>
      <c r="D5669" s="1" t="n">
        <v>0</v>
      </c>
      <c r="E5669" s="1" t="n">
        <v>0.12</v>
      </c>
      <c r="F5669" s="1" t="n">
        <v>0</v>
      </c>
      <c r="G5669" s="1" t="n">
        <v>4.4</v>
      </c>
      <c r="H5669" s="1" t="n">
        <v>0</v>
      </c>
      <c r="I5669" s="1" t="n">
        <v>0.04</v>
      </c>
      <c r="J5669" t="n">
        <v>75142550</v>
      </c>
    </row>
    <row r="5670" ht="15.75" customHeight="1" s="201">
      <c r="A5670" s="1" t="inlineStr">
        <is>
          <t>Puddings, banana, dry mix, regular</t>
        </is>
      </c>
      <c r="C5670" s="1" t="n">
        <v>93</v>
      </c>
      <c r="D5670" s="1" t="n">
        <v>0</v>
      </c>
      <c r="E5670" s="1" t="n">
        <v>0.05</v>
      </c>
      <c r="F5670" s="1" t="n">
        <v>0</v>
      </c>
      <c r="G5670" s="1" t="n">
        <v>0.4</v>
      </c>
      <c r="H5670" s="1" t="n">
        <v>0</v>
      </c>
      <c r="I5670" s="1" t="n">
        <v>0.09</v>
      </c>
      <c r="J5670" t="n">
        <v>52302010</v>
      </c>
    </row>
    <row r="5671" ht="15.75" customHeight="1" s="201">
      <c r="A5671" s="1" t="inlineStr">
        <is>
          <t>Puddings, banana, dry mix, regular, prepared with 2% milk</t>
        </is>
      </c>
      <c r="C5671" s="1" t="n">
        <v>18.43</v>
      </c>
      <c r="D5671" s="1" t="n">
        <v>4</v>
      </c>
      <c r="E5671" s="1" t="n">
        <v>0.05</v>
      </c>
      <c r="F5671" s="1" t="n">
        <v>2.9</v>
      </c>
      <c r="G5671" s="1" t="n">
        <v>1.73</v>
      </c>
      <c r="H5671" s="1" t="n">
        <v>178</v>
      </c>
      <c r="I5671" s="1" t="n">
        <v>0.35</v>
      </c>
      <c r="J5671" t="n">
        <v>75142550</v>
      </c>
    </row>
    <row r="5672" ht="15.75" customHeight="1" s="201">
      <c r="A5672" s="1" t="inlineStr">
        <is>
          <t>Puddings, banana, dry mix, regular, prepared with whole milk</t>
        </is>
      </c>
      <c r="C5672" s="1" t="n">
        <v>18.44</v>
      </c>
      <c r="D5672" s="1" t="n">
        <v>4</v>
      </c>
      <c r="E5672" s="1" t="n">
        <v>0.04</v>
      </c>
      <c r="F5672" s="1" t="n">
        <v>2.74</v>
      </c>
      <c r="G5672" s="1" t="n">
        <v>2.89</v>
      </c>
      <c r="H5672" s="1" t="n">
        <v>141</v>
      </c>
      <c r="I5672" s="1" t="n">
        <v>0.34</v>
      </c>
      <c r="J5672" t="n">
        <v>75142550</v>
      </c>
    </row>
    <row r="5673" ht="15.75" customHeight="1" s="201">
      <c r="A5673" s="1" t="inlineStr">
        <is>
          <t>Puddings, banana, dry mix, regular, with added oil</t>
        </is>
      </c>
      <c r="C5673" s="1" t="n">
        <v>88.40000000000001</v>
      </c>
      <c r="D5673" s="1" t="n">
        <v>0</v>
      </c>
      <c r="E5673" s="1" t="n">
        <v>0.05</v>
      </c>
      <c r="F5673" s="1" t="n">
        <v>0</v>
      </c>
      <c r="G5673" s="1" t="n">
        <v>5</v>
      </c>
      <c r="H5673" s="1" t="n">
        <v>0</v>
      </c>
      <c r="I5673" s="1" t="n">
        <v>0.09</v>
      </c>
      <c r="J5673" t="n">
        <v>75142550</v>
      </c>
    </row>
    <row r="5674" ht="15.75" customHeight="1" s="201">
      <c r="A5674" s="1" t="inlineStr">
        <is>
          <t>Puddings, chocolate flavor, low calorie, instant, dry mix</t>
        </is>
      </c>
      <c r="C5674" s="1" t="n">
        <v>78.2</v>
      </c>
      <c r="D5674" s="1" t="n">
        <v>6</v>
      </c>
      <c r="E5674" s="1" t="n">
        <v>3.11</v>
      </c>
      <c r="F5674" s="1" t="n">
        <v>5.3</v>
      </c>
      <c r="G5674" s="1" t="n">
        <v>2.4</v>
      </c>
      <c r="H5674" s="1" t="n">
        <v>0</v>
      </c>
      <c r="I5674" s="1" t="n">
        <v>0.41</v>
      </c>
      <c r="J5674" t="n">
        <v>53108200</v>
      </c>
    </row>
    <row r="5675" ht="15.75" customHeight="1" s="201">
      <c r="A5675" s="1" t="inlineStr">
        <is>
          <t>Puddings, chocolate flavor, low calorie, regular, dry mix</t>
        </is>
      </c>
      <c r="C5675" s="1" t="n">
        <v>74.42</v>
      </c>
      <c r="D5675" s="1" t="n">
        <v>0</v>
      </c>
      <c r="E5675" s="1" t="n">
        <v>3.87</v>
      </c>
      <c r="F5675" s="1" t="n">
        <v>10.08</v>
      </c>
      <c r="G5675" s="1" t="n">
        <v>3</v>
      </c>
      <c r="H5675" s="1" t="n">
        <v>0</v>
      </c>
      <c r="I5675" s="1" t="n">
        <v>1.49</v>
      </c>
      <c r="J5675" t="n">
        <v>53108200</v>
      </c>
    </row>
    <row r="5676" ht="15.75" customHeight="1" s="201">
      <c r="A5676" s="1" t="inlineStr">
        <is>
          <t>Puddings, chocolate, dry mix, instant</t>
        </is>
      </c>
      <c r="C5676" s="1" t="n">
        <v>87.90000000000001</v>
      </c>
      <c r="D5676" s="1" t="n">
        <v>3</v>
      </c>
      <c r="E5676" s="1" t="n">
        <v>1.29</v>
      </c>
      <c r="F5676" s="1" t="n">
        <v>2.3</v>
      </c>
      <c r="G5676" s="1" t="n">
        <v>1.9</v>
      </c>
      <c r="H5676" s="1" t="n">
        <v>0</v>
      </c>
      <c r="I5676" s="1" t="n">
        <v>0.62</v>
      </c>
      <c r="J5676" t="n">
        <v>53108200</v>
      </c>
    </row>
    <row r="5677" ht="15.75" customHeight="1" s="201">
      <c r="A5677" s="1" t="inlineStr">
        <is>
          <t>Puddings, chocolate, dry mix, instant, prepared with 2% milk</t>
        </is>
      </c>
      <c r="C5677" s="1" t="n">
        <v>18.89</v>
      </c>
      <c r="D5677" s="1" t="n">
        <v>5</v>
      </c>
      <c r="E5677" s="1" t="n">
        <v>0.4</v>
      </c>
      <c r="F5677" s="1" t="n">
        <v>3.15</v>
      </c>
      <c r="G5677" s="1" t="n">
        <v>1.92</v>
      </c>
      <c r="H5677" s="1" t="n">
        <v>170</v>
      </c>
      <c r="I5677" s="1" t="n">
        <v>0.43</v>
      </c>
      <c r="J5677" t="n">
        <v>53108200</v>
      </c>
    </row>
    <row r="5678" ht="15.75" customHeight="1" s="201">
      <c r="A5678" s="1" t="inlineStr">
        <is>
          <t>Puddings, chocolate, dry mix, instant, prepared with whole milk</t>
        </is>
      </c>
      <c r="C5678" s="1" t="n">
        <v>18.8</v>
      </c>
      <c r="D5678" s="1" t="n">
        <v>4</v>
      </c>
      <c r="E5678" s="1" t="n">
        <v>0.29</v>
      </c>
      <c r="F5678" s="1" t="n">
        <v>3.1</v>
      </c>
      <c r="G5678" s="1" t="n">
        <v>3.1</v>
      </c>
      <c r="H5678" s="1" t="n">
        <v>120</v>
      </c>
      <c r="I5678" s="1" t="n">
        <v>0.42</v>
      </c>
      <c r="J5678" t="n">
        <v>53108200</v>
      </c>
    </row>
    <row r="5679" ht="15.75" customHeight="1" s="201">
      <c r="A5679" s="1" t="inlineStr">
        <is>
          <t>Puddings, chocolate, dry mix, regular</t>
        </is>
      </c>
      <c r="C5679" s="1" t="n">
        <v>89.3</v>
      </c>
      <c r="D5679" s="1" t="n">
        <v>4</v>
      </c>
      <c r="E5679" s="1" t="n">
        <v>1.82</v>
      </c>
      <c r="F5679" s="1" t="n">
        <v>2.6</v>
      </c>
      <c r="G5679" s="1" t="n">
        <v>2.1</v>
      </c>
      <c r="H5679" s="1" t="n">
        <v>0</v>
      </c>
      <c r="I5679" s="1" t="n">
        <v>0.9</v>
      </c>
      <c r="J5679" t="n">
        <v>53108200</v>
      </c>
    </row>
    <row r="5680" ht="15.75" customHeight="1" s="201">
      <c r="A5680" s="1" t="inlineStr">
        <is>
          <t>Puddings, chocolate, dry mix, regular, prepared with 2% milk</t>
        </is>
      </c>
      <c r="C5680" s="1" t="n">
        <v>19.76</v>
      </c>
      <c r="D5680" s="1" t="n">
        <v>4</v>
      </c>
      <c r="E5680" s="1" t="n">
        <v>0.34</v>
      </c>
      <c r="F5680" s="1" t="n">
        <v>3.28</v>
      </c>
      <c r="G5680" s="1" t="n">
        <v>2.06</v>
      </c>
      <c r="H5680" s="1" t="n">
        <v>163</v>
      </c>
      <c r="I5680" s="1" t="n">
        <v>0.57</v>
      </c>
      <c r="J5680" t="n">
        <v>53108200</v>
      </c>
    </row>
    <row r="5681" ht="15.75" customHeight="1" s="201">
      <c r="A5681" s="1" t="inlineStr">
        <is>
          <t>Puddings, chocolate, dry mix, regular, prepared with whole milk</t>
        </is>
      </c>
      <c r="C5681" s="1" t="n">
        <v>19.64</v>
      </c>
      <c r="D5681" s="1" t="n">
        <v>4</v>
      </c>
      <c r="E5681" s="1" t="n">
        <v>0.34</v>
      </c>
      <c r="F5681" s="1" t="n">
        <v>3.16</v>
      </c>
      <c r="G5681" s="1" t="n">
        <v>3.15</v>
      </c>
      <c r="H5681" s="1" t="n">
        <v>139</v>
      </c>
      <c r="I5681" s="1" t="n">
        <v>0.48</v>
      </c>
      <c r="J5681" t="n">
        <v>53108200</v>
      </c>
    </row>
    <row r="5682" ht="15.75" customHeight="1" s="201">
      <c r="A5682" s="1" t="inlineStr">
        <is>
          <t>Puddings, chocolate, ready-to-eat</t>
        </is>
      </c>
      <c r="C5682" s="1" t="n">
        <v>23.01</v>
      </c>
      <c r="D5682" s="1" t="n">
        <v>3</v>
      </c>
      <c r="E5682" s="1" t="n">
        <v>1.27</v>
      </c>
      <c r="F5682" s="1" t="n">
        <v>2.09</v>
      </c>
      <c r="G5682" s="1" t="n">
        <v>4.6</v>
      </c>
      <c r="H5682" s="1" t="n">
        <v>46</v>
      </c>
      <c r="I5682" s="1" t="n">
        <v>0.34</v>
      </c>
      <c r="J5682" t="n">
        <v>53108200</v>
      </c>
    </row>
    <row r="5683" ht="15.75" customHeight="1" s="201">
      <c r="A5683" s="1" t="inlineStr">
        <is>
          <t>Puddings, chocolate, ready-to-eat, fat free</t>
        </is>
      </c>
      <c r="C5683" s="1" t="n">
        <v>20.87</v>
      </c>
      <c r="D5683" s="1" t="n">
        <v>3</v>
      </c>
      <c r="E5683" s="1" t="n">
        <v>1.69</v>
      </c>
      <c r="F5683" s="1" t="n">
        <v>1.93</v>
      </c>
      <c r="G5683" s="1" t="n">
        <v>0.3</v>
      </c>
      <c r="H5683" s="1" t="n">
        <v>1</v>
      </c>
      <c r="I5683" s="1" t="n">
        <v>0.3</v>
      </c>
      <c r="J5683" t="n">
        <v>53108200</v>
      </c>
    </row>
    <row r="5684" ht="15.75" customHeight="1" s="201">
      <c r="A5684" s="1" t="inlineStr">
        <is>
          <t>Puddings, coconut cream, dry mix, instant</t>
        </is>
      </c>
      <c r="C5684" s="1" t="n">
        <v>83.5</v>
      </c>
      <c r="D5684" s="1" t="n">
        <v>2</v>
      </c>
      <c r="E5684" s="1" t="n">
        <v>0.72</v>
      </c>
      <c r="F5684" s="1" t="n">
        <v>0.9</v>
      </c>
      <c r="G5684" s="1" t="n">
        <v>10</v>
      </c>
      <c r="H5684" s="1" t="n">
        <v>0</v>
      </c>
      <c r="I5684" s="1" t="n">
        <v>0.3</v>
      </c>
      <c r="J5684" t="n">
        <v>42404010</v>
      </c>
    </row>
    <row r="5685" ht="15.75" customHeight="1" s="201">
      <c r="A5685" s="1" t="inlineStr">
        <is>
          <t>Puddings, coconut cream, dry mix, instant, prepared with 2% milk</t>
        </is>
      </c>
      <c r="C5685" s="1" t="n">
        <v>19.2</v>
      </c>
      <c r="D5685" s="1" t="n">
        <v>4</v>
      </c>
      <c r="E5685" s="1" t="n">
        <v>0.15</v>
      </c>
      <c r="F5685" s="1" t="n">
        <v>2.9</v>
      </c>
      <c r="G5685" s="1" t="n">
        <v>2.3</v>
      </c>
      <c r="H5685" s="1" t="n">
        <v>150</v>
      </c>
      <c r="I5685" s="1" t="n">
        <v>0.33</v>
      </c>
      <c r="J5685" t="n">
        <v>75142550</v>
      </c>
    </row>
    <row r="5686" ht="15.75" customHeight="1" s="201">
      <c r="A5686" s="1" t="inlineStr">
        <is>
          <t>Puddings, coconut cream, dry mix, instant, prepared with whole milk</t>
        </is>
      </c>
      <c r="C5686" s="1" t="n">
        <v>19.1</v>
      </c>
      <c r="D5686" s="1" t="n">
        <v>4</v>
      </c>
      <c r="E5686" s="1" t="n">
        <v>0.15</v>
      </c>
      <c r="F5686" s="1" t="n">
        <v>2.9</v>
      </c>
      <c r="G5686" s="1" t="n">
        <v>3.5</v>
      </c>
      <c r="H5686" s="1" t="n">
        <v>105</v>
      </c>
      <c r="I5686" s="1" t="n">
        <v>0.33</v>
      </c>
      <c r="J5686" t="n">
        <v>75142550</v>
      </c>
    </row>
    <row r="5687" ht="15.75" customHeight="1" s="201">
      <c r="A5687" s="1" t="inlineStr">
        <is>
          <t>Puddings, coconut cream, dry mix, regular</t>
        </is>
      </c>
      <c r="C5687" s="1" t="n">
        <v>81.84</v>
      </c>
      <c r="D5687" s="1" t="n">
        <v>2</v>
      </c>
      <c r="E5687" s="1" t="n">
        <v>0.57</v>
      </c>
      <c r="F5687" s="1" t="n">
        <v>1</v>
      </c>
      <c r="G5687" s="1" t="n">
        <v>11.36</v>
      </c>
      <c r="H5687" s="1" t="n">
        <v>0</v>
      </c>
      <c r="I5687" s="1" t="n">
        <v>0.35</v>
      </c>
      <c r="J5687" t="n">
        <v>42404010</v>
      </c>
    </row>
    <row r="5688" ht="15.75" customHeight="1" s="201">
      <c r="A5688" s="1" t="inlineStr">
        <is>
          <t>Puddings, coconut cream, dry mix, regular, prepared with 2% milk</t>
        </is>
      </c>
      <c r="C5688" s="1" t="n">
        <v>17.8</v>
      </c>
      <c r="D5688" s="1" t="n">
        <v>4</v>
      </c>
      <c r="E5688" s="1" t="n">
        <v>0.2</v>
      </c>
      <c r="F5688" s="1" t="n">
        <v>3.1</v>
      </c>
      <c r="G5688" s="1" t="n">
        <v>2.5</v>
      </c>
      <c r="H5688" s="1" t="n">
        <v>170</v>
      </c>
      <c r="I5688" s="1" t="n">
        <v>0.37</v>
      </c>
      <c r="J5688" t="n">
        <v>75142550</v>
      </c>
    </row>
    <row r="5689" ht="15.75" customHeight="1" s="201">
      <c r="A5689" s="1" t="inlineStr">
        <is>
          <t>Puddings, coconut cream, dry mix, regular, prepared with whole milk</t>
        </is>
      </c>
      <c r="C5689" s="1" t="n">
        <v>17.7</v>
      </c>
      <c r="D5689" s="1" t="n">
        <v>4</v>
      </c>
      <c r="E5689" s="1" t="n">
        <v>0.2</v>
      </c>
      <c r="F5689" s="1" t="n">
        <v>3</v>
      </c>
      <c r="G5689" s="1" t="n">
        <v>3.8</v>
      </c>
      <c r="H5689" s="1" t="n">
        <v>110</v>
      </c>
      <c r="I5689" s="1" t="n">
        <v>0.36</v>
      </c>
      <c r="J5689" t="n">
        <v>75142550</v>
      </c>
    </row>
    <row r="5690" ht="15.75" customHeight="1" s="201">
      <c r="A5690" s="1" t="inlineStr">
        <is>
          <t>Puddings, lemon, dry mix, instant</t>
        </is>
      </c>
      <c r="C5690" s="1" t="n">
        <v>95.40000000000001</v>
      </c>
      <c r="D5690" s="1" t="n">
        <v>0</v>
      </c>
      <c r="E5690" s="1" t="n">
        <v>0.08</v>
      </c>
      <c r="F5690" s="1" t="n">
        <v>0</v>
      </c>
      <c r="G5690" s="1" t="n">
        <v>0.7</v>
      </c>
      <c r="H5690" s="1" t="n">
        <v>0</v>
      </c>
      <c r="I5690" s="1" t="n">
        <v>0.05</v>
      </c>
      <c r="J5690" t="n">
        <v>53109200</v>
      </c>
    </row>
    <row r="5691" ht="15.75" customHeight="1" s="201">
      <c r="A5691" s="1" t="inlineStr">
        <is>
          <t>Puddings, lemon, dry mix, instant, prepared with 2% milk</t>
        </is>
      </c>
      <c r="C5691" s="1" t="n">
        <v>20.2</v>
      </c>
      <c r="D5691" s="1" t="n">
        <v>4</v>
      </c>
      <c r="E5691" s="1" t="n">
        <v>0.06</v>
      </c>
      <c r="F5691" s="1" t="n">
        <v>2.76</v>
      </c>
      <c r="G5691" s="1" t="n">
        <v>1.71</v>
      </c>
      <c r="H5691" s="1" t="n">
        <v>170</v>
      </c>
      <c r="I5691" s="1" t="n">
        <v>0.33</v>
      </c>
      <c r="J5691" t="n">
        <v>75142550</v>
      </c>
    </row>
    <row r="5692" ht="15.75" customHeight="1" s="201">
      <c r="A5692" s="1" t="inlineStr">
        <is>
          <t>Puddings, lemon, dry mix, instant, prepared with whole milk</t>
        </is>
      </c>
      <c r="C5692" s="1" t="n">
        <v>20.1</v>
      </c>
      <c r="D5692" s="1" t="n">
        <v>4</v>
      </c>
      <c r="E5692" s="1" t="n">
        <v>0.06</v>
      </c>
      <c r="F5692" s="1" t="n">
        <v>2.7</v>
      </c>
      <c r="G5692" s="1" t="n">
        <v>2.9</v>
      </c>
      <c r="H5692" s="1" t="n">
        <v>105</v>
      </c>
      <c r="I5692" s="1" t="n">
        <v>0.32</v>
      </c>
      <c r="J5692" t="n">
        <v>75142550</v>
      </c>
    </row>
    <row r="5693" ht="15.75" customHeight="1" s="201">
      <c r="A5693" s="1" t="inlineStr">
        <is>
          <t>Puddings, lemon, dry mix, regular</t>
        </is>
      </c>
      <c r="C5693" s="1" t="n">
        <v>91.8</v>
      </c>
      <c r="D5693" s="1" t="n">
        <v>0</v>
      </c>
      <c r="E5693" s="1" t="n">
        <v>0.17</v>
      </c>
      <c r="F5693" s="1" t="n">
        <v>0.1</v>
      </c>
      <c r="G5693" s="1" t="n">
        <v>0.5</v>
      </c>
      <c r="H5693" s="1" t="n">
        <v>0</v>
      </c>
      <c r="I5693" s="1" t="n">
        <v>0.02</v>
      </c>
      <c r="J5693" t="n">
        <v>53109200</v>
      </c>
    </row>
    <row r="5694" ht="15.75" customHeight="1" s="201">
      <c r="A5694" s="1" t="inlineStr">
        <is>
          <t>Puddings, lemon, dry mix, regular, with added oil, potassium, sodium</t>
        </is>
      </c>
      <c r="C5694" s="1" t="n">
        <v>90.3</v>
      </c>
      <c r="D5694" s="1" t="n">
        <v>0</v>
      </c>
      <c r="E5694" s="1" t="n">
        <v>0.17</v>
      </c>
      <c r="F5694" s="1" t="n">
        <v>0.1</v>
      </c>
      <c r="G5694" s="1" t="n">
        <v>1.5</v>
      </c>
      <c r="H5694" s="1" t="n">
        <v>0</v>
      </c>
      <c r="I5694" s="1" t="n">
        <v>0.02</v>
      </c>
      <c r="J5694" t="n">
        <v>75142550</v>
      </c>
    </row>
    <row r="5695" ht="15.75" customHeight="1" s="201">
      <c r="A5695" s="1" t="inlineStr">
        <is>
          <t>Puddings, rice, dry mix</t>
        </is>
      </c>
      <c r="C5695" s="1" t="n">
        <v>91.2</v>
      </c>
      <c r="D5695" s="1" t="n">
        <v>1</v>
      </c>
      <c r="E5695" s="1" t="n">
        <v>1.79</v>
      </c>
      <c r="F5695" s="1" t="n">
        <v>2.7</v>
      </c>
      <c r="G5695" s="1" t="n">
        <v>0.1</v>
      </c>
      <c r="H5695" s="1" t="n">
        <v>0</v>
      </c>
      <c r="I5695" s="1" t="n">
        <v>0.31</v>
      </c>
      <c r="J5695" t="n">
        <v>54319000</v>
      </c>
    </row>
    <row r="5696" ht="15.75" customHeight="1" s="201">
      <c r="A5696" s="1" t="inlineStr">
        <is>
          <t>Puddings, rice, dry mix, prepared with 2% milk</t>
        </is>
      </c>
      <c r="C5696" s="1" t="n">
        <v>20.81</v>
      </c>
      <c r="D5696" s="1" t="n">
        <v>4</v>
      </c>
      <c r="E5696" s="1" t="n">
        <v>0.37</v>
      </c>
      <c r="F5696" s="1" t="n">
        <v>3.29</v>
      </c>
      <c r="G5696" s="1" t="n">
        <v>1.63</v>
      </c>
      <c r="H5696" s="1" t="n">
        <v>172</v>
      </c>
      <c r="I5696" s="1" t="n">
        <v>0.38</v>
      </c>
      <c r="J5696" t="n">
        <v>75142550</v>
      </c>
    </row>
    <row r="5697" ht="15.75" customHeight="1" s="201">
      <c r="A5697" s="1" t="inlineStr">
        <is>
          <t>Puddings, rice, dry mix, prepared with whole milk</t>
        </is>
      </c>
      <c r="C5697" s="1" t="n">
        <v>20.68</v>
      </c>
      <c r="D5697" s="1" t="n">
        <v>4</v>
      </c>
      <c r="E5697" s="1" t="n">
        <v>0.37</v>
      </c>
      <c r="F5697" s="1" t="n">
        <v>3.25</v>
      </c>
      <c r="G5697" s="1" t="n">
        <v>2.82</v>
      </c>
      <c r="H5697" s="1" t="n">
        <v>115</v>
      </c>
      <c r="I5697" s="1" t="n">
        <v>0.38</v>
      </c>
      <c r="J5697" t="n">
        <v>75142550</v>
      </c>
    </row>
    <row r="5698" ht="15.75" customHeight="1" s="201">
      <c r="A5698" s="1" t="inlineStr">
        <is>
          <t>Puddings, rice, ready-to-eat</t>
        </is>
      </c>
      <c r="C5698" s="1" t="n">
        <v>18.39</v>
      </c>
      <c r="D5698" s="1" t="n">
        <v>4</v>
      </c>
      <c r="E5698" s="1" t="n">
        <v>0.11</v>
      </c>
      <c r="F5698" s="1" t="n">
        <v>3.23</v>
      </c>
      <c r="G5698" s="1" t="n">
        <v>2.15</v>
      </c>
      <c r="H5698" s="1" t="n">
        <v>69</v>
      </c>
      <c r="I5698" s="1" t="n">
        <v>0.43</v>
      </c>
      <c r="J5698" t="n">
        <v>54319000</v>
      </c>
    </row>
    <row r="5699" ht="15.75" customHeight="1" s="201">
      <c r="A5699" s="1" t="inlineStr">
        <is>
          <t>Puddings, tapioca, dry mix</t>
        </is>
      </c>
      <c r="C5699" s="1" t="n">
        <v>94.3</v>
      </c>
      <c r="D5699" s="1" t="n">
        <v>0</v>
      </c>
      <c r="E5699" s="1" t="n">
        <v>0.12</v>
      </c>
      <c r="F5699" s="1" t="n">
        <v>0.1</v>
      </c>
      <c r="G5699" s="1" t="n">
        <v>0.1</v>
      </c>
      <c r="H5699" s="1" t="n">
        <v>0</v>
      </c>
      <c r="I5699" s="1" t="n">
        <v>0.08</v>
      </c>
      <c r="J5699" t="n">
        <v>13210520</v>
      </c>
    </row>
    <row r="5700" ht="15.75" customHeight="1" s="201">
      <c r="A5700" s="1" t="inlineStr">
        <is>
          <t>Puddings, tapioca, dry mix, prepared with 2% milk</t>
        </is>
      </c>
      <c r="C5700" s="1" t="n">
        <v>19.56</v>
      </c>
      <c r="D5700" s="1" t="n">
        <v>4</v>
      </c>
      <c r="E5700" s="1" t="n">
        <v>0.06</v>
      </c>
      <c r="F5700" s="1" t="n">
        <v>2.88</v>
      </c>
      <c r="G5700" s="1" t="n">
        <v>1.67</v>
      </c>
      <c r="H5700" s="1" t="n">
        <v>160</v>
      </c>
      <c r="I5700" s="1" t="n">
        <v>0.35</v>
      </c>
      <c r="J5700" t="n">
        <v>75142550</v>
      </c>
    </row>
    <row r="5701" ht="15.75" customHeight="1" s="201">
      <c r="A5701" s="1" t="inlineStr">
        <is>
          <t>Puddings, tapioca, dry mix, prepared with whole milk</t>
        </is>
      </c>
      <c r="C5701" s="1" t="n">
        <v>19.43</v>
      </c>
      <c r="D5701" s="1" t="n">
        <v>4</v>
      </c>
      <c r="E5701" s="1" t="n">
        <v>0.06</v>
      </c>
      <c r="F5701" s="1" t="n">
        <v>2.84</v>
      </c>
      <c r="G5701" s="1" t="n">
        <v>2.89</v>
      </c>
      <c r="H5701" s="1" t="n">
        <v>108</v>
      </c>
      <c r="I5701" s="1" t="n">
        <v>0.34</v>
      </c>
      <c r="J5701" t="n">
        <v>75142550</v>
      </c>
    </row>
    <row r="5702" ht="15.75" customHeight="1" s="201">
      <c r="A5702" s="1" t="inlineStr">
        <is>
          <t>Puddings, tapioca, dry mix, with no added salt</t>
        </is>
      </c>
      <c r="C5702" s="1" t="n">
        <v>94.3</v>
      </c>
      <c r="D5702" s="1" t="n">
        <v>0</v>
      </c>
      <c r="E5702" s="1" t="n">
        <v>0.12</v>
      </c>
      <c r="F5702" s="1" t="n">
        <v>0.1</v>
      </c>
      <c r="G5702" s="1" t="n">
        <v>0.1</v>
      </c>
      <c r="H5702" s="1" t="n">
        <v>0</v>
      </c>
      <c r="I5702" s="1" t="n">
        <v>0.08</v>
      </c>
      <c r="J5702" t="n">
        <v>75142550</v>
      </c>
    </row>
    <row r="5703" ht="15.75" customHeight="1" s="201">
      <c r="A5703" s="1" t="inlineStr">
        <is>
          <t>Puddings, tapioca, ready-to-eat</t>
        </is>
      </c>
      <c r="C5703" s="1" t="n">
        <v>21.69</v>
      </c>
      <c r="D5703" s="1" t="n">
        <v>3</v>
      </c>
      <c r="E5703" s="1" t="n">
        <v>0.11</v>
      </c>
      <c r="F5703" s="1" t="n">
        <v>1.95</v>
      </c>
      <c r="G5703" s="1" t="n">
        <v>3.88</v>
      </c>
      <c r="H5703" s="1" t="n">
        <v>0</v>
      </c>
      <c r="I5703" s="1" t="n">
        <v>0.22</v>
      </c>
      <c r="J5703" t="n">
        <v>13210520</v>
      </c>
    </row>
    <row r="5704" ht="15.75" customHeight="1" s="201">
      <c r="A5704" s="1" t="inlineStr">
        <is>
          <t>Puddings, tapioca, ready-to-eat, fat free</t>
        </is>
      </c>
      <c r="C5704" s="1" t="n">
        <v>21.31</v>
      </c>
      <c r="D5704" s="1" t="n">
        <v>2</v>
      </c>
      <c r="E5704" s="1" t="n">
        <v>0.11</v>
      </c>
      <c r="F5704" s="1" t="n">
        <v>1.44</v>
      </c>
      <c r="G5704" s="1" t="n">
        <v>0.35</v>
      </c>
      <c r="H5704" s="1" t="n">
        <v>1</v>
      </c>
      <c r="I5704" s="1" t="n">
        <v>0.17</v>
      </c>
      <c r="J5704" t="n">
        <v>27446260</v>
      </c>
    </row>
    <row r="5705" ht="15.75" customHeight="1" s="201">
      <c r="A5705" s="1" t="inlineStr">
        <is>
          <t>Puddings, vanilla, dry mix, instant</t>
        </is>
      </c>
      <c r="C5705" s="1" t="n">
        <v>92.90000000000001</v>
      </c>
      <c r="D5705" s="1" t="n">
        <v>0</v>
      </c>
      <c r="E5705" s="1" t="n">
        <v>0.01</v>
      </c>
      <c r="F5705" s="1" t="n">
        <v>0</v>
      </c>
      <c r="G5705" s="1" t="n">
        <v>0.6</v>
      </c>
      <c r="H5705" s="1" t="n">
        <v>2</v>
      </c>
      <c r="I5705" s="1" t="n">
        <v>0.06</v>
      </c>
      <c r="J5705" t="n">
        <v>53247000</v>
      </c>
    </row>
    <row r="5706" ht="15.75" customHeight="1" s="201">
      <c r="A5706" s="1" t="inlineStr">
        <is>
          <t>Puddings, vanilla, dry mix, instant, prepared with whole milk</t>
        </is>
      </c>
      <c r="C5706" s="1" t="n">
        <v>19.7</v>
      </c>
      <c r="D5706" s="1" t="n">
        <v>4</v>
      </c>
      <c r="E5706" s="1" t="n">
        <v>0.07000000000000001</v>
      </c>
      <c r="F5706" s="1" t="n">
        <v>2.7</v>
      </c>
      <c r="G5706" s="1" t="n">
        <v>2.9</v>
      </c>
      <c r="H5706" s="1" t="n">
        <v>105</v>
      </c>
      <c r="I5706" s="1" t="n">
        <v>0.33</v>
      </c>
      <c r="J5706" t="n">
        <v>75142550</v>
      </c>
    </row>
    <row r="5707" ht="15.75" customHeight="1" s="201">
      <c r="A5707" s="1" t="inlineStr">
        <is>
          <t>Puddings, vanilla, dry mix, regular</t>
        </is>
      </c>
      <c r="C5707" s="1" t="n">
        <v>93.5</v>
      </c>
      <c r="D5707" s="1" t="n">
        <v>0</v>
      </c>
      <c r="E5707" s="1" t="n">
        <v>0.08</v>
      </c>
      <c r="F5707" s="1" t="n">
        <v>0.3</v>
      </c>
      <c r="G5707" s="1" t="n">
        <v>0.4</v>
      </c>
      <c r="H5707" s="1" t="n">
        <v>0</v>
      </c>
      <c r="I5707" s="1" t="n">
        <v>0.02</v>
      </c>
      <c r="J5707" t="n">
        <v>53247000</v>
      </c>
    </row>
    <row r="5708" ht="15.75" customHeight="1" s="201">
      <c r="A5708" s="1" t="inlineStr">
        <is>
          <t>Puddings, vanilla, dry mix, regular, prepared with 2% milk</t>
        </is>
      </c>
      <c r="C5708" s="1" t="n">
        <v>18.53</v>
      </c>
      <c r="D5708" s="1" t="n">
        <v>4</v>
      </c>
      <c r="E5708" s="1" t="n">
        <v>0.06</v>
      </c>
      <c r="F5708" s="1" t="n">
        <v>2.94</v>
      </c>
      <c r="G5708" s="1" t="n">
        <v>1.73</v>
      </c>
      <c r="H5708" s="1" t="n">
        <v>160</v>
      </c>
      <c r="I5708" s="1" t="n">
        <v>0.34</v>
      </c>
      <c r="J5708" t="n">
        <v>75142550</v>
      </c>
    </row>
    <row r="5709" ht="15.75" customHeight="1" s="201">
      <c r="A5709" s="1" t="inlineStr">
        <is>
          <t>Puddings, vanilla, dry mix, regular, prepared with whole milk</t>
        </is>
      </c>
      <c r="C5709" s="1" t="n">
        <v>18.92</v>
      </c>
      <c r="D5709" s="1" t="n">
        <v>4</v>
      </c>
      <c r="E5709" s="1" t="n">
        <v>0.04</v>
      </c>
      <c r="F5709" s="1" t="n">
        <v>2.8</v>
      </c>
      <c r="G5709" s="1" t="n">
        <v>2.9</v>
      </c>
      <c r="H5709" s="1" t="n">
        <v>141</v>
      </c>
      <c r="I5709" s="1" t="n">
        <v>0.33</v>
      </c>
      <c r="J5709" t="n">
        <v>75142550</v>
      </c>
    </row>
    <row r="5710" ht="15.75" customHeight="1" s="201">
      <c r="A5710" s="1" t="inlineStr">
        <is>
          <t>Puddings, vanilla, dry mix, regular, with added oil</t>
        </is>
      </c>
      <c r="C5710" s="1" t="n">
        <v>92.40000000000001</v>
      </c>
      <c r="D5710" s="1" t="n">
        <v>0</v>
      </c>
      <c r="E5710" s="1" t="n">
        <v>0.05</v>
      </c>
      <c r="F5710" s="1" t="n">
        <v>0.3</v>
      </c>
      <c r="G5710" s="1" t="n">
        <v>1.1</v>
      </c>
      <c r="H5710" s="1" t="n">
        <v>0</v>
      </c>
      <c r="I5710" s="1" t="n">
        <v>0.09</v>
      </c>
      <c r="J5710" t="n">
        <v>75142550</v>
      </c>
    </row>
    <row r="5711" ht="15.75" customHeight="1" s="201">
      <c r="A5711" s="1" t="inlineStr">
        <is>
          <t>Puddings, vanilla, ready-to-eat</t>
        </is>
      </c>
      <c r="C5711" s="1" t="n">
        <v>22.6</v>
      </c>
      <c r="D5711" s="1" t="n">
        <v>2</v>
      </c>
      <c r="E5711" s="1" t="n">
        <v>0.09</v>
      </c>
      <c r="F5711" s="1" t="n">
        <v>1.45</v>
      </c>
      <c r="G5711" s="1" t="n">
        <v>3.78</v>
      </c>
      <c r="H5711" s="1" t="n">
        <v>5</v>
      </c>
      <c r="I5711" s="1" t="n">
        <v>0.16</v>
      </c>
      <c r="J5711" t="n">
        <v>53247000</v>
      </c>
    </row>
    <row r="5712" ht="15.75" customHeight="1" s="201">
      <c r="A5712" s="1" t="inlineStr">
        <is>
          <t>Puddings, vanilla, ready-to-eat, fat free</t>
        </is>
      </c>
      <c r="C5712" s="1" t="n">
        <v>20.16</v>
      </c>
      <c r="D5712" s="1" t="n">
        <v>3</v>
      </c>
      <c r="E5712" s="1" t="n">
        <v>0.36</v>
      </c>
      <c r="F5712" s="1" t="n">
        <v>2.02</v>
      </c>
      <c r="G5712" s="1" t="n">
        <v>0</v>
      </c>
      <c r="H5712" s="1" t="n">
        <v>1</v>
      </c>
      <c r="I5712" s="1" t="n">
        <v>0.23</v>
      </c>
      <c r="J5712" t="n">
        <v>27446260</v>
      </c>
    </row>
    <row r="5713" ht="15.75" customHeight="1" s="201">
      <c r="A5713" s="1" t="inlineStr">
        <is>
          <t>Puff pastry, frozen, ready-to-bake</t>
        </is>
      </c>
      <c r="C5713" s="1" t="n">
        <v>45.1</v>
      </c>
      <c r="D5713" s="1" t="n">
        <v>78</v>
      </c>
      <c r="E5713" s="1" t="n">
        <v>2.56</v>
      </c>
      <c r="F5713" s="1" t="n">
        <v>7.3</v>
      </c>
      <c r="G5713" s="1" t="n">
        <v>38.1</v>
      </c>
      <c r="H5713" s="1" t="n">
        <v>1</v>
      </c>
      <c r="I5713" s="1" t="n">
        <v>0.53</v>
      </c>
      <c r="J5713" t="n">
        <v>53452400</v>
      </c>
    </row>
    <row r="5714" ht="15.75" customHeight="1" s="201">
      <c r="A5714" s="1" t="inlineStr">
        <is>
          <t>Puff pastry, frozen, ready-to-bake, baked</t>
        </is>
      </c>
      <c r="C5714" s="1" t="n">
        <v>45.7</v>
      </c>
      <c r="D5714" s="1" t="n">
        <v>55</v>
      </c>
      <c r="E5714" s="1" t="n">
        <v>2.6</v>
      </c>
      <c r="F5714" s="1" t="n">
        <v>7.4</v>
      </c>
      <c r="G5714" s="1" t="n">
        <v>38.5</v>
      </c>
      <c r="H5714" s="1" t="n">
        <v>1</v>
      </c>
      <c r="I5714" s="1" t="n">
        <v>0.54</v>
      </c>
      <c r="J5714" t="n">
        <v>54401121</v>
      </c>
    </row>
    <row r="5715" ht="15.75" customHeight="1" s="201">
      <c r="A5715" s="1" t="inlineStr">
        <is>
          <t>Pulled pork in barbecue sauce</t>
        </is>
      </c>
      <c r="C5715" s="1" t="n">
        <v>18.74</v>
      </c>
      <c r="D5715" s="1" t="n">
        <v>2</v>
      </c>
      <c r="E5715" s="1" t="n">
        <v>1.24</v>
      </c>
      <c r="F5715" s="1" t="n">
        <v>13.19</v>
      </c>
      <c r="G5715" s="1" t="n">
        <v>4.42</v>
      </c>
      <c r="H5715" s="1" t="n">
        <v>264</v>
      </c>
      <c r="I5715" s="1" t="n">
        <v>1.85</v>
      </c>
      <c r="J5715" t="n">
        <v>27120030</v>
      </c>
    </row>
    <row r="5716" ht="15.75" customHeight="1" s="201">
      <c r="A5716" s="1" t="inlineStr">
        <is>
          <t>Pummelo, raw</t>
        </is>
      </c>
      <c r="C5716" s="1" t="n">
        <v>9.619999999999999</v>
      </c>
      <c r="E5716" s="1" t="n">
        <v>0.11</v>
      </c>
      <c r="F5716" s="1" t="n">
        <v>0.76</v>
      </c>
      <c r="G5716" s="1" t="n">
        <v>0.04</v>
      </c>
      <c r="H5716" s="1" t="n">
        <v>8</v>
      </c>
      <c r="I5716" s="1" t="n">
        <v>0.08</v>
      </c>
    </row>
    <row r="5717" ht="15.75" customHeight="1" s="201">
      <c r="A5717" s="1" t="inlineStr">
        <is>
          <t>Pumpkin flowers, cooked, boiled, drained, without salt</t>
        </is>
      </c>
      <c r="C5717" s="1" t="n">
        <v>3.3</v>
      </c>
      <c r="D5717" s="1" t="n">
        <v>41</v>
      </c>
      <c r="E5717" s="1" t="n">
        <v>0.88</v>
      </c>
      <c r="F5717" s="1" t="n">
        <v>1.09</v>
      </c>
      <c r="G5717" s="1" t="n">
        <v>0.08</v>
      </c>
      <c r="H5717" s="1" t="n">
        <v>1734</v>
      </c>
      <c r="I5717" s="1" t="n">
        <v>0.1</v>
      </c>
      <c r="J5717" t="n">
        <v>31103010</v>
      </c>
    </row>
    <row r="5718" ht="15.75" customHeight="1" s="201">
      <c r="A5718" s="1" t="inlineStr">
        <is>
          <t>Pumpkin flowers, raw</t>
        </is>
      </c>
      <c r="C5718" s="1" t="n">
        <v>3.28</v>
      </c>
      <c r="D5718" s="1" t="n">
        <v>59</v>
      </c>
      <c r="E5718" s="1" t="n">
        <v>0.7</v>
      </c>
      <c r="F5718" s="1" t="n">
        <v>1.03</v>
      </c>
      <c r="G5718" s="1" t="n">
        <v>0.07000000000000001</v>
      </c>
      <c r="H5718" s="1" t="n">
        <v>1947</v>
      </c>
      <c r="J5718" t="n">
        <v>43101050</v>
      </c>
    </row>
    <row r="5719" ht="15.75" customHeight="1" s="201">
      <c r="A5719" s="1" t="inlineStr">
        <is>
          <t>Pumpkin leaves, cooked, boiled, drained, with salt</t>
        </is>
      </c>
      <c r="C5719" s="1" t="n">
        <v>3.39</v>
      </c>
      <c r="D5719" s="1" t="n">
        <v>25</v>
      </c>
      <c r="E5719" s="1" t="n">
        <v>3.2</v>
      </c>
      <c r="F5719" s="1" t="n">
        <v>2.72</v>
      </c>
      <c r="G5719" s="1" t="n">
        <v>0.22</v>
      </c>
      <c r="H5719" s="1" t="n">
        <v>1600</v>
      </c>
      <c r="I5719" s="1" t="n">
        <v>0.2</v>
      </c>
      <c r="J5719" t="n">
        <v>75142550</v>
      </c>
    </row>
    <row r="5720" ht="15.75" customHeight="1" s="201">
      <c r="A5720" s="1" t="inlineStr">
        <is>
          <t>Pumpkin leaves, cooked, boiled, drained, without salt</t>
        </is>
      </c>
      <c r="C5720" s="1" t="n">
        <v>3.39</v>
      </c>
      <c r="D5720" s="1" t="n">
        <v>25</v>
      </c>
      <c r="E5720" s="1" t="n">
        <v>3.2</v>
      </c>
      <c r="F5720" s="1" t="n">
        <v>2.72</v>
      </c>
      <c r="G5720" s="1" t="n">
        <v>0.22</v>
      </c>
      <c r="H5720" s="1" t="n">
        <v>1600</v>
      </c>
      <c r="I5720" s="1" t="n">
        <v>0.2</v>
      </c>
      <c r="J5720" t="n">
        <v>31103010</v>
      </c>
    </row>
    <row r="5721" ht="15.75" customHeight="1" s="201">
      <c r="A5721" s="1" t="inlineStr">
        <is>
          <t>Pumpkin leaves, raw</t>
        </is>
      </c>
      <c r="C5721" s="1" t="n">
        <v>2.33</v>
      </c>
      <c r="D5721" s="1" t="n">
        <v>36</v>
      </c>
      <c r="E5721" s="1" t="n">
        <v>2.22</v>
      </c>
      <c r="F5721" s="1" t="n">
        <v>3.15</v>
      </c>
      <c r="G5721" s="1" t="n">
        <v>0.4</v>
      </c>
      <c r="H5721" s="1" t="n">
        <v>1942</v>
      </c>
      <c r="I5721" s="1" t="n">
        <v>0.2</v>
      </c>
      <c r="J5721" t="n">
        <v>43101050</v>
      </c>
    </row>
    <row r="5722" ht="15.75" customHeight="1" s="201">
      <c r="A5722" s="1" t="inlineStr">
        <is>
          <t>Pumpkin pie mix, canned</t>
        </is>
      </c>
      <c r="C5722" s="1" t="n">
        <v>26.39</v>
      </c>
      <c r="D5722" s="1" t="n">
        <v>35</v>
      </c>
      <c r="E5722" s="1" t="n">
        <v>1.06</v>
      </c>
      <c r="F5722" s="1" t="n">
        <v>1.09</v>
      </c>
      <c r="G5722" s="1" t="n">
        <v>0.13</v>
      </c>
      <c r="H5722" s="1" t="n">
        <v>8298</v>
      </c>
      <c r="I5722" s="1" t="n">
        <v>0.27</v>
      </c>
      <c r="J5722" t="n">
        <v>63311110</v>
      </c>
    </row>
    <row r="5723" ht="15.75" customHeight="1" s="201">
      <c r="A5723" s="1" t="inlineStr">
        <is>
          <t>Pumpkin, canned, with salt</t>
        </is>
      </c>
      <c r="C5723" s="1" t="n">
        <v>8.09</v>
      </c>
      <c r="D5723" s="1" t="n">
        <v>12</v>
      </c>
      <c r="E5723" s="1" t="n">
        <v>1.39</v>
      </c>
      <c r="F5723" s="1" t="n">
        <v>1.1</v>
      </c>
      <c r="G5723" s="1" t="n">
        <v>0.28</v>
      </c>
      <c r="H5723" s="1" t="n">
        <v>15563</v>
      </c>
      <c r="I5723" s="1" t="n">
        <v>0.17</v>
      </c>
      <c r="J5723" t="n">
        <v>75142550</v>
      </c>
    </row>
    <row r="5724" ht="15.75" customHeight="1" s="201">
      <c r="A5724" s="1" t="inlineStr">
        <is>
          <t>Pumpkin, canned, without salt</t>
        </is>
      </c>
      <c r="C5724" s="1" t="n">
        <v>8.09</v>
      </c>
      <c r="D5724" s="1" t="n">
        <v>12</v>
      </c>
      <c r="E5724" s="1" t="n">
        <v>1.39</v>
      </c>
      <c r="F5724" s="1" t="n">
        <v>1.1</v>
      </c>
      <c r="G5724" s="1" t="n">
        <v>0.28</v>
      </c>
      <c r="H5724" s="1" t="n">
        <v>15563</v>
      </c>
      <c r="I5724" s="1" t="n">
        <v>0.17</v>
      </c>
      <c r="J5724" t="n">
        <v>73201013</v>
      </c>
    </row>
    <row r="5725" ht="15.75" customHeight="1" s="201">
      <c r="A5725" s="1" t="inlineStr">
        <is>
          <t>Pumpkin, cooked, boiled, drained, with salt</t>
        </is>
      </c>
      <c r="C5725" s="1" t="n">
        <v>4.31</v>
      </c>
      <c r="D5725" s="1" t="n">
        <v>9</v>
      </c>
      <c r="E5725" s="1" t="n">
        <v>0.57</v>
      </c>
      <c r="F5725" s="1" t="n">
        <v>0.72</v>
      </c>
      <c r="G5725" s="1" t="n">
        <v>0.07000000000000001</v>
      </c>
      <c r="H5725" s="1" t="n">
        <v>5755</v>
      </c>
      <c r="I5725" s="1" t="n">
        <v>0.23</v>
      </c>
      <c r="J5725" t="n">
        <v>75142550</v>
      </c>
    </row>
    <row r="5726" ht="15.75" customHeight="1" s="201">
      <c r="A5726" s="1" t="inlineStr">
        <is>
          <t>Pumpkin, cooked, boiled, drained, without salt</t>
        </is>
      </c>
      <c r="C5726" s="1" t="n">
        <v>4.9</v>
      </c>
      <c r="D5726" s="1" t="n">
        <v>9</v>
      </c>
      <c r="E5726" s="1" t="n">
        <v>0.57</v>
      </c>
      <c r="F5726" s="1" t="n">
        <v>0.72</v>
      </c>
      <c r="G5726" s="1" t="n">
        <v>0.07000000000000001</v>
      </c>
      <c r="H5726" s="1" t="n">
        <v>5755</v>
      </c>
      <c r="I5726" s="1" t="n">
        <v>0.23</v>
      </c>
      <c r="J5726" t="n">
        <v>31103010</v>
      </c>
    </row>
    <row r="5727" ht="15.75" customHeight="1" s="201">
      <c r="A5727" s="1" t="inlineStr">
        <is>
          <t>Pumpkin, flowers, cooked, boiled, drained, with salt</t>
        </is>
      </c>
      <c r="C5727" s="1" t="n">
        <v>3.18</v>
      </c>
      <c r="D5727" s="1" t="n">
        <v>41</v>
      </c>
      <c r="E5727" s="1" t="n">
        <v>0.88</v>
      </c>
      <c r="F5727" s="1" t="n">
        <v>1.09</v>
      </c>
      <c r="G5727" s="1" t="n">
        <v>0.08</v>
      </c>
      <c r="H5727" s="1" t="n">
        <v>1734</v>
      </c>
      <c r="I5727" s="1" t="n">
        <v>0.1</v>
      </c>
      <c r="J5727" t="n">
        <v>75142550</v>
      </c>
    </row>
    <row r="5728" ht="15.75" customHeight="1" s="201">
      <c r="A5728" s="1" t="inlineStr">
        <is>
          <t>Pumpkin, raw</t>
        </is>
      </c>
      <c r="C5728" s="1" t="n">
        <v>6.5</v>
      </c>
      <c r="D5728" s="1" t="n">
        <v>16</v>
      </c>
      <c r="E5728" s="1" t="n">
        <v>0.8</v>
      </c>
      <c r="F5728" s="1" t="n">
        <v>1</v>
      </c>
      <c r="G5728" s="1" t="n">
        <v>0.1</v>
      </c>
      <c r="H5728" s="1" t="n">
        <v>8513</v>
      </c>
      <c r="I5728" s="1" t="n">
        <v>0.32</v>
      </c>
      <c r="J5728" t="n">
        <v>43101050</v>
      </c>
    </row>
    <row r="5729" ht="15.75" customHeight="1" s="201">
      <c r="A5729" s="1" t="inlineStr">
        <is>
          <t>Purslane, cooked, boiled, drained, with salt</t>
        </is>
      </c>
      <c r="C5729" s="1" t="n">
        <v>3.55</v>
      </c>
      <c r="D5729" s="1" t="n">
        <v>9</v>
      </c>
      <c r="E5729" s="1" t="n">
        <v>0.77</v>
      </c>
      <c r="F5729" s="1" t="n">
        <v>1.49</v>
      </c>
      <c r="G5729" s="1" t="n">
        <v>0.19</v>
      </c>
      <c r="H5729" s="1" t="n">
        <v>1852</v>
      </c>
      <c r="I5729" s="1" t="n">
        <v>0.17</v>
      </c>
      <c r="J5729" t="n">
        <v>75142550</v>
      </c>
    </row>
    <row r="5730" ht="15.75" customHeight="1" s="201">
      <c r="A5730" s="1" t="inlineStr">
        <is>
          <t>Purslane, cooked, boiled, drained, without salt</t>
        </is>
      </c>
      <c r="C5730" s="1" t="n">
        <v>3.55</v>
      </c>
      <c r="D5730" s="1" t="n">
        <v>9</v>
      </c>
      <c r="E5730" s="1" t="n">
        <v>0.77</v>
      </c>
      <c r="F5730" s="1" t="n">
        <v>1.49</v>
      </c>
      <c r="G5730" s="1" t="n">
        <v>0.19</v>
      </c>
      <c r="H5730" s="1" t="n">
        <v>1852</v>
      </c>
      <c r="I5730" s="1" t="n">
        <v>0.17</v>
      </c>
      <c r="J5730" t="n">
        <v>31103010</v>
      </c>
    </row>
    <row r="5731" ht="15.75" customHeight="1" s="201">
      <c r="A5731" s="1" t="inlineStr">
        <is>
          <t>Purslane, raw</t>
        </is>
      </c>
      <c r="C5731" s="1" t="n">
        <v>3.39</v>
      </c>
      <c r="D5731" s="1" t="n">
        <v>12</v>
      </c>
      <c r="E5731" s="1" t="n">
        <v>1.99</v>
      </c>
      <c r="F5731" s="1" t="n">
        <v>2.03</v>
      </c>
      <c r="G5731" s="1" t="n">
        <v>0.36</v>
      </c>
      <c r="H5731" s="1" t="n">
        <v>1320</v>
      </c>
      <c r="I5731" s="1" t="n">
        <v>0.17</v>
      </c>
    </row>
    <row r="5732" ht="15.75" customHeight="1" s="201">
      <c r="A5732" s="1" t="inlineStr">
        <is>
          <t>Quail, breast, meat only, raw</t>
        </is>
      </c>
      <c r="C5732" s="1" t="n">
        <v>0</v>
      </c>
      <c r="D5732" s="1" t="n">
        <v>4</v>
      </c>
      <c r="E5732" s="1" t="n">
        <v>2.31</v>
      </c>
      <c r="F5732" s="1" t="n">
        <v>22.59</v>
      </c>
      <c r="G5732" s="1" t="n">
        <v>2.99</v>
      </c>
      <c r="H5732" s="1" t="n">
        <v>37</v>
      </c>
      <c r="I5732" s="1" t="n">
        <v>2.7</v>
      </c>
      <c r="J5732" t="n">
        <v>25230320</v>
      </c>
    </row>
    <row r="5733" ht="15.75" customHeight="1" s="201">
      <c r="A5733" s="1" t="inlineStr">
        <is>
          <t>Quail, cooked, total edible</t>
        </is>
      </c>
      <c r="C5733" s="1" t="n">
        <v>0</v>
      </c>
      <c r="D5733" s="1" t="n">
        <v>6</v>
      </c>
      <c r="E5733" s="1" t="n">
        <v>4.43</v>
      </c>
      <c r="F5733" s="1" t="n">
        <v>25.1</v>
      </c>
      <c r="G5733" s="1" t="n">
        <v>14.1</v>
      </c>
      <c r="H5733" s="1" t="n">
        <v>234</v>
      </c>
      <c r="I5733" s="1" t="n">
        <v>3.1</v>
      </c>
    </row>
    <row r="5734" ht="15.75" customHeight="1" s="201">
      <c r="A5734" s="1" t="inlineStr">
        <is>
          <t>Quail, meat and skin, raw</t>
        </is>
      </c>
      <c r="C5734" s="1" t="n">
        <v>0</v>
      </c>
      <c r="D5734" s="1" t="n">
        <v>8</v>
      </c>
      <c r="E5734" s="1" t="n">
        <v>3.97</v>
      </c>
      <c r="F5734" s="1" t="n">
        <v>19.63</v>
      </c>
      <c r="G5734" s="1" t="n">
        <v>12.05</v>
      </c>
      <c r="H5734" s="1" t="n">
        <v>243</v>
      </c>
      <c r="I5734" s="1" t="n">
        <v>2.42</v>
      </c>
      <c r="J5734" t="n">
        <v>14620320</v>
      </c>
    </row>
    <row r="5735" ht="15.75" customHeight="1" s="201">
      <c r="A5735" s="1" t="inlineStr">
        <is>
          <t>Quail, meat only, raw</t>
        </is>
      </c>
      <c r="C5735" s="1" t="n">
        <v>0</v>
      </c>
      <c r="D5735" s="1" t="n">
        <v>7</v>
      </c>
      <c r="E5735" s="1" t="n">
        <v>4.51</v>
      </c>
      <c r="F5735" s="1" t="n">
        <v>21.76</v>
      </c>
      <c r="G5735" s="1" t="n">
        <v>4.53</v>
      </c>
      <c r="H5735" s="1" t="n">
        <v>57</v>
      </c>
      <c r="I5735" s="1" t="n">
        <v>2.7</v>
      </c>
      <c r="J5735" t="n">
        <v>14620320</v>
      </c>
    </row>
    <row r="5736" ht="15.75" customHeight="1" s="201">
      <c r="A5736" s="1" t="inlineStr">
        <is>
          <t>Quinces, raw</t>
        </is>
      </c>
      <c r="C5736" s="1" t="n">
        <v>15.3</v>
      </c>
      <c r="D5736" s="1" t="n">
        <v>3</v>
      </c>
      <c r="E5736" s="1" t="n">
        <v>0.7</v>
      </c>
      <c r="F5736" s="1" t="n">
        <v>0.4</v>
      </c>
      <c r="G5736" s="1" t="n">
        <v>0.1</v>
      </c>
      <c r="H5736" s="1" t="n">
        <v>40</v>
      </c>
      <c r="I5736" s="1" t="n">
        <v>0.04</v>
      </c>
    </row>
    <row r="5737" ht="15.75" customHeight="1" s="201">
      <c r="A5737" s="1" t="inlineStr">
        <is>
          <t>Quinoa, cooked</t>
        </is>
      </c>
      <c r="C5737" s="1" t="n">
        <v>21.3</v>
      </c>
      <c r="D5737" s="1" t="n">
        <v>42</v>
      </c>
      <c r="E5737" s="1" t="n">
        <v>1.49</v>
      </c>
      <c r="F5737" s="1" t="n">
        <v>4.4</v>
      </c>
      <c r="G5737" s="1" t="n">
        <v>1.92</v>
      </c>
      <c r="H5737" s="1" t="n">
        <v>5</v>
      </c>
      <c r="I5737" s="1" t="n">
        <v>1.09</v>
      </c>
      <c r="J5737" t="n">
        <v>56204000</v>
      </c>
    </row>
    <row r="5738" ht="15.75" customHeight="1" s="201">
      <c r="A5738" s="1" t="inlineStr">
        <is>
          <t>Quinoa, uncooked</t>
        </is>
      </c>
      <c r="C5738" s="1" t="n">
        <v>64.16</v>
      </c>
      <c r="D5738" s="1" t="n">
        <v>184</v>
      </c>
      <c r="E5738" s="1" t="n">
        <v>4.57</v>
      </c>
      <c r="F5738" s="1" t="n">
        <v>14.12</v>
      </c>
      <c r="G5738" s="1" t="n">
        <v>6.07</v>
      </c>
      <c r="H5738" s="1" t="n">
        <v>14</v>
      </c>
      <c r="I5738" s="1" t="n">
        <v>3.1</v>
      </c>
      <c r="J5738" t="n">
        <v>56204000</v>
      </c>
    </row>
    <row r="5739" ht="15.75" customHeight="1" s="201">
      <c r="A5739" s="1" t="inlineStr">
        <is>
          <t>Radicchio, raw</t>
        </is>
      </c>
      <c r="C5739" s="1" t="n">
        <v>4.48</v>
      </c>
      <c r="D5739" s="1" t="n">
        <v>60</v>
      </c>
      <c r="E5739" s="1" t="n">
        <v>0.57</v>
      </c>
      <c r="F5739" s="1" t="n">
        <v>1.43</v>
      </c>
      <c r="G5739" s="1" t="n">
        <v>0.25</v>
      </c>
      <c r="H5739" s="1" t="n">
        <v>27</v>
      </c>
      <c r="I5739" s="1" t="n">
        <v>0.62</v>
      </c>
      <c r="J5739" t="n">
        <v>72124100</v>
      </c>
    </row>
    <row r="5740" ht="15.75" customHeight="1" s="201">
      <c r="A5740" s="1" t="inlineStr">
        <is>
          <t>Radish seeds, sprouted, raw</t>
        </is>
      </c>
      <c r="C5740" s="1" t="n">
        <v>3.6</v>
      </c>
      <c r="D5740" s="1" t="n">
        <v>95</v>
      </c>
      <c r="E5740" s="1" t="n">
        <v>0.86</v>
      </c>
      <c r="F5740" s="1" t="n">
        <v>3.81</v>
      </c>
      <c r="G5740" s="1" t="n">
        <v>2.53</v>
      </c>
      <c r="H5740" s="1" t="n">
        <v>391</v>
      </c>
      <c r="I5740" s="1" t="n">
        <v>0.5600000000000001</v>
      </c>
      <c r="J5740" t="n">
        <v>43101100</v>
      </c>
    </row>
    <row r="5741" ht="15.75" customHeight="1" s="201">
      <c r="A5741" s="1" t="inlineStr">
        <is>
          <t>Radishes, hawaiian style, pickled</t>
        </is>
      </c>
      <c r="C5741" s="1" t="n">
        <v>5.2</v>
      </c>
      <c r="D5741" s="1" t="n">
        <v>9</v>
      </c>
      <c r="E5741" s="1" t="n">
        <v>0.23</v>
      </c>
      <c r="F5741" s="1" t="n">
        <v>1.1</v>
      </c>
      <c r="G5741" s="1" t="n">
        <v>0.3</v>
      </c>
      <c r="H5741" s="1" t="n">
        <v>0</v>
      </c>
      <c r="I5741" s="1" t="n">
        <v>0.22</v>
      </c>
      <c r="J5741" t="n">
        <v>75512010</v>
      </c>
    </row>
    <row r="5742" ht="15.75" customHeight="1" s="201">
      <c r="A5742" s="1" t="inlineStr">
        <is>
          <t>Radishes, oriental, cooked, boiled, drained, with salt</t>
        </is>
      </c>
      <c r="C5742" s="1" t="n">
        <v>3.43</v>
      </c>
      <c r="D5742" s="1" t="n">
        <v>17</v>
      </c>
      <c r="E5742" s="1" t="n">
        <v>0.15</v>
      </c>
      <c r="F5742" s="1" t="n">
        <v>0.67</v>
      </c>
      <c r="G5742" s="1" t="n">
        <v>0.24</v>
      </c>
      <c r="H5742" s="1" t="n">
        <v>0</v>
      </c>
      <c r="I5742" s="1" t="n">
        <v>0.13</v>
      </c>
      <c r="J5742" t="n">
        <v>75142550</v>
      </c>
    </row>
    <row r="5743" ht="15.75" customHeight="1" s="201">
      <c r="A5743" s="1" t="inlineStr">
        <is>
          <t>Radishes, oriental, cooked, boiled, drained, without salt</t>
        </is>
      </c>
      <c r="C5743" s="1" t="n">
        <v>3.43</v>
      </c>
      <c r="D5743" s="1" t="n">
        <v>17</v>
      </c>
      <c r="E5743" s="1" t="n">
        <v>0.15</v>
      </c>
      <c r="F5743" s="1" t="n">
        <v>0.67</v>
      </c>
      <c r="G5743" s="1" t="n">
        <v>0.24</v>
      </c>
      <c r="H5743" s="1" t="n">
        <v>0</v>
      </c>
      <c r="I5743" s="1" t="n">
        <v>0.13</v>
      </c>
      <c r="J5743" t="n">
        <v>31103010</v>
      </c>
    </row>
    <row r="5744" ht="15.75" customHeight="1" s="201">
      <c r="A5744" s="1" t="inlineStr">
        <is>
          <t>Radishes, oriental, dried</t>
        </is>
      </c>
      <c r="C5744" s="1" t="n">
        <v>63.37</v>
      </c>
      <c r="D5744" s="1" t="n">
        <v>295</v>
      </c>
      <c r="E5744" s="1" t="n">
        <v>6.73</v>
      </c>
      <c r="F5744" s="1" t="n">
        <v>7.9</v>
      </c>
      <c r="G5744" s="1" t="n">
        <v>0.72</v>
      </c>
      <c r="H5744" s="1" t="n">
        <v>0</v>
      </c>
      <c r="I5744" s="1" t="n">
        <v>2.13</v>
      </c>
      <c r="J5744" t="n">
        <v>41301010</v>
      </c>
    </row>
    <row r="5745" ht="15.75" customHeight="1" s="201">
      <c r="A5745" s="1" t="inlineStr">
        <is>
          <t>Radishes, oriental, raw</t>
        </is>
      </c>
      <c r="C5745" s="1" t="n">
        <v>4.1</v>
      </c>
      <c r="D5745" s="1" t="n">
        <v>28</v>
      </c>
      <c r="E5745" s="1" t="n">
        <v>0.4</v>
      </c>
      <c r="F5745" s="1" t="n">
        <v>0.6</v>
      </c>
      <c r="G5745" s="1" t="n">
        <v>0.1</v>
      </c>
      <c r="H5745" s="1" t="n">
        <v>0</v>
      </c>
      <c r="I5745" s="1" t="n">
        <v>0.15</v>
      </c>
      <c r="J5745" t="n">
        <v>75512010</v>
      </c>
    </row>
    <row r="5746" ht="15.75" customHeight="1" s="201">
      <c r="A5746" s="1" t="inlineStr">
        <is>
          <t>Radishes, raw</t>
        </is>
      </c>
      <c r="C5746" s="1" t="n">
        <v>3.4</v>
      </c>
      <c r="D5746" s="1" t="n">
        <v>25</v>
      </c>
      <c r="E5746" s="1" t="n">
        <v>0.34</v>
      </c>
      <c r="F5746" s="1" t="n">
        <v>0.68</v>
      </c>
      <c r="G5746" s="1" t="n">
        <v>0.1</v>
      </c>
      <c r="H5746" s="1" t="n">
        <v>7</v>
      </c>
      <c r="I5746" s="1" t="n">
        <v>0.28</v>
      </c>
      <c r="J5746" t="n">
        <v>75512010</v>
      </c>
    </row>
    <row r="5747" ht="15.75" customHeight="1" s="201">
      <c r="A5747" s="1" t="inlineStr">
        <is>
          <t>Radishes, white icicle, raw</t>
        </is>
      </c>
      <c r="C5747" s="1" t="n">
        <v>2.63</v>
      </c>
      <c r="D5747" s="1" t="n">
        <v>14</v>
      </c>
      <c r="E5747" s="1" t="n">
        <v>0.8</v>
      </c>
      <c r="F5747" s="1" t="n">
        <v>1.1</v>
      </c>
      <c r="G5747" s="1" t="n">
        <v>0.1</v>
      </c>
      <c r="H5747" s="1" t="n">
        <v>0</v>
      </c>
      <c r="I5747" s="1" t="n">
        <v>0.13</v>
      </c>
      <c r="J5747" t="n">
        <v>53109200</v>
      </c>
    </row>
    <row r="5748" ht="15.75" customHeight="1" s="201">
      <c r="A5748" s="1" t="inlineStr">
        <is>
          <t>Raisins, dark, seedless (Includes foods for USDA's Food Distribution Program)</t>
        </is>
      </c>
      <c r="C5748" s="1" t="n">
        <v>79.31999999999999</v>
      </c>
      <c r="D5748" s="1" t="n">
        <v>5</v>
      </c>
      <c r="E5748" s="1" t="n">
        <v>1.79</v>
      </c>
      <c r="F5748" s="1" t="n">
        <v>3.3</v>
      </c>
      <c r="G5748" s="1" t="n">
        <v>0.25</v>
      </c>
      <c r="H5748" s="1" t="n">
        <v>0</v>
      </c>
      <c r="I5748" s="1" t="n">
        <v>0.36</v>
      </c>
      <c r="J5748" t="n">
        <v>91705300</v>
      </c>
    </row>
    <row r="5749" ht="15.75" customHeight="1" s="201">
      <c r="A5749" s="1" t="inlineStr">
        <is>
          <t>Raisins, golden, seedless</t>
        </is>
      </c>
      <c r="C5749" s="1" t="n">
        <v>80.02</v>
      </c>
      <c r="D5749" s="1" t="n">
        <v>3</v>
      </c>
      <c r="E5749" s="1" t="n">
        <v>0.98</v>
      </c>
      <c r="F5749" s="1" t="n">
        <v>3.28</v>
      </c>
      <c r="G5749" s="1" t="n">
        <v>0.2</v>
      </c>
      <c r="H5749" s="1" t="n">
        <v>0</v>
      </c>
      <c r="I5749" s="1" t="n">
        <v>0.37</v>
      </c>
      <c r="J5749" t="n">
        <v>53109200</v>
      </c>
    </row>
    <row r="5750" ht="15.75" customHeight="1" s="201">
      <c r="A5750" s="1" t="inlineStr">
        <is>
          <t>Raisins, seeded</t>
        </is>
      </c>
      <c r="C5750" s="1" t="n">
        <v>78.47</v>
      </c>
      <c r="D5750" s="1" t="n">
        <v>3</v>
      </c>
      <c r="E5750" s="1" t="n">
        <v>2.59</v>
      </c>
      <c r="F5750" s="1" t="n">
        <v>2.52</v>
      </c>
      <c r="G5750" s="1" t="n">
        <v>0.54</v>
      </c>
      <c r="H5750" s="1" t="n">
        <v>0</v>
      </c>
      <c r="I5750" s="1" t="n">
        <v>0.18</v>
      </c>
      <c r="J5750" t="n">
        <v>51301120</v>
      </c>
    </row>
    <row r="5751" ht="15.75" customHeight="1" s="201">
      <c r="A5751" s="1" t="inlineStr">
        <is>
          <t>Rambutan, canned, syrup pack</t>
        </is>
      </c>
      <c r="C5751" s="1" t="n">
        <v>20.87</v>
      </c>
      <c r="D5751" s="1" t="n">
        <v>8</v>
      </c>
      <c r="E5751" s="1" t="n">
        <v>0.35</v>
      </c>
      <c r="F5751" s="1" t="n">
        <v>0.65</v>
      </c>
      <c r="G5751" s="1" t="n">
        <v>0.21</v>
      </c>
      <c r="H5751" s="1" t="n">
        <v>3</v>
      </c>
      <c r="I5751" s="1" t="n">
        <v>0.08</v>
      </c>
      <c r="J5751" t="n">
        <v>53109200</v>
      </c>
    </row>
    <row r="5752" ht="15.75" customHeight="1" s="201">
      <c r="A5752" s="1" t="inlineStr">
        <is>
          <t>Raspberries, canned, red, heavy syrup pack, solids and liquids</t>
        </is>
      </c>
      <c r="C5752" s="1" t="n">
        <v>23.36</v>
      </c>
      <c r="D5752" s="1" t="n">
        <v>11</v>
      </c>
      <c r="E5752" s="1" t="n">
        <v>0.42</v>
      </c>
      <c r="F5752" s="1" t="n">
        <v>0.83</v>
      </c>
      <c r="G5752" s="1" t="n">
        <v>0.12</v>
      </c>
      <c r="H5752" s="1" t="n">
        <v>33</v>
      </c>
      <c r="I5752" s="1" t="n">
        <v>0.16</v>
      </c>
      <c r="J5752" t="n">
        <v>53109200</v>
      </c>
    </row>
    <row r="5753" ht="15.75" customHeight="1" s="201">
      <c r="A5753" s="1" t="inlineStr">
        <is>
          <t>Raspberries, frozen, red, sweetened</t>
        </is>
      </c>
      <c r="C5753" s="1" t="n">
        <v>26.16</v>
      </c>
      <c r="D5753" s="1" t="n">
        <v>26</v>
      </c>
      <c r="E5753" s="1" t="n">
        <v>0.65</v>
      </c>
      <c r="F5753" s="1" t="n">
        <v>0.7</v>
      </c>
      <c r="G5753" s="1" t="n">
        <v>0.16</v>
      </c>
      <c r="H5753" s="1" t="n">
        <v>60</v>
      </c>
      <c r="I5753" s="1" t="n">
        <v>0.18</v>
      </c>
      <c r="J5753" t="n">
        <v>63219000</v>
      </c>
    </row>
    <row r="5754" ht="15.75" customHeight="1" s="201">
      <c r="A5754" s="1" t="inlineStr">
        <is>
          <t>Raspberries, frozen, red, unsweetened</t>
        </is>
      </c>
      <c r="C5754" s="1" t="n">
        <v>12.55</v>
      </c>
      <c r="D5754" s="1" t="n">
        <v>28</v>
      </c>
      <c r="E5754" s="1" t="n">
        <v>0.76</v>
      </c>
      <c r="F5754" s="1" t="n">
        <v>1.15</v>
      </c>
      <c r="G5754" s="1" t="n">
        <v>0.8100000000000001</v>
      </c>
      <c r="H5754" s="1" t="n">
        <v>74</v>
      </c>
      <c r="I5754" s="1" t="n">
        <v>0.31</v>
      </c>
      <c r="J5754" t="n">
        <v>63219000</v>
      </c>
    </row>
    <row r="5755" ht="15.75" customHeight="1" s="201">
      <c r="A5755" s="1" t="inlineStr">
        <is>
          <t>Raspberries, puree, seedless</t>
        </is>
      </c>
      <c r="C5755" s="1" t="n">
        <v>7.99</v>
      </c>
      <c r="D5755" s="1" t="n">
        <v>29</v>
      </c>
      <c r="E5755" s="1" t="n">
        <v>1.08</v>
      </c>
      <c r="F5755" s="1" t="n">
        <v>1.02</v>
      </c>
      <c r="G5755" s="1" t="n">
        <v>0.87</v>
      </c>
      <c r="H5755" s="1" t="n">
        <v>38</v>
      </c>
      <c r="I5755" s="1" t="n">
        <v>0.18</v>
      </c>
      <c r="J5755" t="n">
        <v>63219000</v>
      </c>
    </row>
    <row r="5756" ht="15.75" customHeight="1" s="201">
      <c r="A5756" s="1" t="inlineStr">
        <is>
          <t>Raspberries, puree, with seeds</t>
        </is>
      </c>
      <c r="C5756" s="1" t="n">
        <v>11.51</v>
      </c>
      <c r="D5756" s="1" t="n">
        <v>30</v>
      </c>
      <c r="E5756" s="1" t="n">
        <v>0.6899999999999999</v>
      </c>
      <c r="F5756" s="1" t="n">
        <v>1.1</v>
      </c>
      <c r="G5756" s="1" t="n">
        <v>0.97</v>
      </c>
      <c r="H5756" s="1" t="n">
        <v>97</v>
      </c>
      <c r="I5756" s="1" t="n">
        <v>0.31</v>
      </c>
      <c r="J5756" t="n">
        <v>75142550</v>
      </c>
    </row>
    <row r="5757" ht="15.75" customHeight="1" s="201">
      <c r="A5757" s="1" t="inlineStr">
        <is>
          <t>Raspberries, raw</t>
        </is>
      </c>
      <c r="C5757" s="1" t="n">
        <v>11.94</v>
      </c>
      <c r="D5757" s="1" t="n">
        <v>21</v>
      </c>
      <c r="E5757" s="1" t="n">
        <v>0.6899999999999999</v>
      </c>
      <c r="F5757" s="1" t="n">
        <v>1.2</v>
      </c>
      <c r="G5757" s="1" t="n">
        <v>0.65</v>
      </c>
      <c r="H5757" s="1" t="n">
        <v>33</v>
      </c>
      <c r="I5757" s="1" t="n">
        <v>0.42</v>
      </c>
      <c r="J5757" t="n">
        <v>63219000</v>
      </c>
    </row>
    <row r="5758" ht="15.75" customHeight="1" s="201">
      <c r="A5758" s="1" t="inlineStr">
        <is>
          <t>Raspberries, wild (Northern Plains Indians)</t>
        </is>
      </c>
      <c r="C5758" s="1" t="n">
        <v>13.85</v>
      </c>
      <c r="D5758" s="1" t="n">
        <v>5</v>
      </c>
      <c r="E5758" s="1" t="n">
        <v>0.64</v>
      </c>
      <c r="F5758" s="1" t="n">
        <v>1.12</v>
      </c>
      <c r="G5758" s="1" t="n">
        <v>0.28</v>
      </c>
      <c r="H5758" s="1" t="n">
        <v>50</v>
      </c>
      <c r="I5758" s="1" t="n">
        <v>0.47</v>
      </c>
      <c r="J5758" t="n">
        <v>56205320</v>
      </c>
    </row>
    <row r="5759" ht="15.75" customHeight="1" s="201">
      <c r="A5759" s="1" t="inlineStr">
        <is>
          <t>Raspberry juice concentrate</t>
        </is>
      </c>
      <c r="C5759" s="1" t="n">
        <v>53.19</v>
      </c>
      <c r="D5759" s="1" t="n">
        <v>9</v>
      </c>
      <c r="E5759" s="1" t="n">
        <v>1.16</v>
      </c>
      <c r="F5759" s="1" t="n">
        <v>3.04</v>
      </c>
      <c r="G5759" s="1" t="n">
        <v>1.34</v>
      </c>
      <c r="H5759" s="1" t="n">
        <v>0</v>
      </c>
      <c r="I5759" s="1" t="n">
        <v>1.29</v>
      </c>
      <c r="J5759" t="n">
        <v>64100110</v>
      </c>
    </row>
    <row r="5760" ht="15.75" customHeight="1" s="201">
      <c r="A5760" s="1" t="inlineStr">
        <is>
          <t>Ravioli, cheese with tomato sauce, frozen, not prepared, includes regular and light entrees</t>
        </is>
      </c>
      <c r="C5760" s="1" t="n">
        <v>17.31</v>
      </c>
      <c r="D5760" s="1" t="n">
        <v>47</v>
      </c>
      <c r="E5760" s="1" t="n">
        <v>0.93</v>
      </c>
      <c r="F5760" s="1" t="n">
        <v>4.52</v>
      </c>
      <c r="G5760" s="1" t="n">
        <v>2.61</v>
      </c>
      <c r="H5760" s="1" t="n">
        <v>482</v>
      </c>
      <c r="I5760" s="1" t="n">
        <v>0.43</v>
      </c>
      <c r="J5760" t="n">
        <v>58148117</v>
      </c>
    </row>
    <row r="5761" ht="15.75" customHeight="1" s="201">
      <c r="A5761" s="1" t="inlineStr">
        <is>
          <t>Ravioli, cheese-filled, canned</t>
        </is>
      </c>
      <c r="C5761" s="1" t="n">
        <v>13.64</v>
      </c>
      <c r="D5761" s="1" t="n">
        <v>20</v>
      </c>
      <c r="E5761" s="1" t="n">
        <v>0.74</v>
      </c>
      <c r="F5761" s="1" t="n">
        <v>2.48</v>
      </c>
      <c r="G5761" s="1" t="n">
        <v>1.45</v>
      </c>
      <c r="H5761" s="1" t="n">
        <v>207</v>
      </c>
      <c r="I5761" s="1" t="n">
        <v>0.36</v>
      </c>
      <c r="J5761" t="n">
        <v>58131323</v>
      </c>
    </row>
    <row r="5762" ht="15.75" customHeight="1" s="201">
      <c r="A5762" s="1" t="inlineStr">
        <is>
          <t>Ravioli, meat-filled, with tomato sauce or meat sauce, canned</t>
        </is>
      </c>
      <c r="C5762" s="1" t="n">
        <v>13.26</v>
      </c>
      <c r="D5762" s="1" t="n">
        <v>21</v>
      </c>
      <c r="E5762" s="1" t="n">
        <v>1.09</v>
      </c>
      <c r="F5762" s="1" t="n">
        <v>3.24</v>
      </c>
      <c r="G5762" s="1" t="n">
        <v>3.41</v>
      </c>
      <c r="H5762" s="1" t="n">
        <v>217</v>
      </c>
      <c r="I5762" s="1" t="n">
        <v>0.39</v>
      </c>
      <c r="J5762" t="n">
        <v>58131323</v>
      </c>
    </row>
    <row r="5763" ht="15.75" customHeight="1" s="201">
      <c r="A5763" s="1" t="inlineStr">
        <is>
          <t>Reddi Wip Fat Free Whipped Topping</t>
        </is>
      </c>
      <c r="C5763" s="1" t="n">
        <v>25</v>
      </c>
      <c r="D5763" s="1" t="n">
        <v>17</v>
      </c>
      <c r="E5763" s="1" t="n">
        <v>0.03</v>
      </c>
      <c r="F5763" s="1" t="n">
        <v>3</v>
      </c>
      <c r="G5763" s="1" t="n">
        <v>5</v>
      </c>
      <c r="H5763" s="1" t="n">
        <v>175</v>
      </c>
      <c r="I5763" s="1" t="n">
        <v>0.31</v>
      </c>
      <c r="J5763" t="n">
        <v>27446260</v>
      </c>
    </row>
    <row r="5764" ht="15.75" customHeight="1" s="201">
      <c r="A5764" s="1" t="inlineStr">
        <is>
          <t>Refried beans, canned, fat-free</t>
        </is>
      </c>
      <c r="C5764" s="1" t="n">
        <v>13.5</v>
      </c>
      <c r="D5764" s="1" t="n">
        <v>57</v>
      </c>
      <c r="E5764" s="1" t="n">
        <v>1.62</v>
      </c>
      <c r="F5764" s="1" t="n">
        <v>5.34</v>
      </c>
      <c r="G5764" s="1" t="n">
        <v>0.45</v>
      </c>
      <c r="H5764" s="1" t="n">
        <v>0</v>
      </c>
      <c r="I5764" s="1" t="n">
        <v>0.65</v>
      </c>
      <c r="J5764" t="n">
        <v>27446260</v>
      </c>
    </row>
    <row r="5765" ht="15.75" customHeight="1" s="201">
      <c r="A5765" s="1" t="inlineStr">
        <is>
          <t>Refried beans, canned, traditional style</t>
        </is>
      </c>
      <c r="C5765" s="1" t="n">
        <v>13.55</v>
      </c>
      <c r="D5765" s="1" t="n">
        <v>11</v>
      </c>
      <c r="E5765" s="1" t="n">
        <v>1.44</v>
      </c>
      <c r="F5765" s="1" t="n">
        <v>4.98</v>
      </c>
      <c r="G5765" s="1" t="n">
        <v>2.01</v>
      </c>
      <c r="H5765" s="1" t="n">
        <v>0</v>
      </c>
      <c r="I5765" s="1" t="n">
        <v>0.58</v>
      </c>
      <c r="J5765" t="n">
        <v>41205010</v>
      </c>
    </row>
    <row r="5766" ht="15.75" customHeight="1" s="201">
      <c r="A5766" s="1" t="inlineStr">
        <is>
          <t>Refried beans, canned, traditional, reduced sodium</t>
        </is>
      </c>
      <c r="C5766" s="1" t="n">
        <v>13.55</v>
      </c>
      <c r="D5766" s="1" t="n">
        <v>26</v>
      </c>
      <c r="E5766" s="1" t="n">
        <v>1.44</v>
      </c>
      <c r="F5766" s="1" t="n">
        <v>4.98</v>
      </c>
      <c r="G5766" s="1" t="n">
        <v>2.01</v>
      </c>
      <c r="H5766" s="1" t="n">
        <v>0</v>
      </c>
      <c r="I5766" s="1" t="n">
        <v>0.58</v>
      </c>
      <c r="J5766" t="n">
        <v>54204030</v>
      </c>
    </row>
    <row r="5767" ht="15.75" customHeight="1" s="201">
      <c r="A5767" s="1" t="inlineStr">
        <is>
          <t>Refried beans, canned, vegetarian</t>
        </is>
      </c>
      <c r="C5767" s="1" t="n">
        <v>13.5</v>
      </c>
      <c r="E5767" s="1" t="n">
        <v>1.7</v>
      </c>
      <c r="F5767" s="1" t="n">
        <v>5.28</v>
      </c>
      <c r="G5767" s="1" t="n">
        <v>0.87</v>
      </c>
      <c r="I5767" s="1" t="n">
        <v>0.74</v>
      </c>
      <c r="J5767" t="n">
        <v>41205010</v>
      </c>
    </row>
    <row r="5768" ht="15.75" customHeight="1" s="201">
      <c r="A5768" s="1" t="inlineStr">
        <is>
          <t>Rennin, chocolate, dry mix, prepared with 2% milk</t>
        </is>
      </c>
      <c r="C5768" s="1" t="n">
        <v>13.47</v>
      </c>
      <c r="D5768" s="1" t="n">
        <v>5</v>
      </c>
      <c r="E5768" s="1" t="n">
        <v>0.3</v>
      </c>
      <c r="F5768" s="1" t="n">
        <v>3.24</v>
      </c>
      <c r="G5768" s="1" t="n">
        <v>2.06</v>
      </c>
      <c r="H5768" s="1" t="n">
        <v>170</v>
      </c>
      <c r="I5768" s="1" t="n">
        <v>0.51</v>
      </c>
      <c r="J5768" t="n">
        <v>53108200</v>
      </c>
    </row>
    <row r="5769" ht="15.75" customHeight="1" s="201">
      <c r="A5769" s="1" t="inlineStr">
        <is>
          <t>Rennin, chocolate, dry mix, prepared with whole milk</t>
        </is>
      </c>
      <c r="C5769" s="1" t="n">
        <v>13.34</v>
      </c>
      <c r="D5769" s="1" t="n">
        <v>5</v>
      </c>
      <c r="E5769" s="1" t="n">
        <v>0.3</v>
      </c>
      <c r="F5769" s="1" t="n">
        <v>3.2</v>
      </c>
      <c r="G5769" s="1" t="n">
        <v>3.34</v>
      </c>
      <c r="H5769" s="1" t="n">
        <v>110</v>
      </c>
      <c r="I5769" s="1" t="n">
        <v>0.5</v>
      </c>
      <c r="J5769" t="n">
        <v>53108200</v>
      </c>
    </row>
    <row r="5770" ht="15.75" customHeight="1" s="201">
      <c r="A5770" s="1" t="inlineStr">
        <is>
          <t>Rennin, vanilla, dry mix, prepared with 2% milk</t>
        </is>
      </c>
      <c r="C5770" s="1" t="n">
        <v>12.34</v>
      </c>
      <c r="D5770" s="1" t="n">
        <v>5</v>
      </c>
      <c r="E5770" s="1" t="n">
        <v>0.05</v>
      </c>
      <c r="F5770" s="1" t="n">
        <v>3.06</v>
      </c>
      <c r="G5770" s="1" t="n">
        <v>1.77</v>
      </c>
      <c r="H5770" s="1" t="n">
        <v>170</v>
      </c>
      <c r="I5770" s="1" t="n">
        <v>0.36</v>
      </c>
      <c r="J5770" t="n">
        <v>75142550</v>
      </c>
    </row>
    <row r="5771" ht="15.75" customHeight="1" s="201">
      <c r="A5771" s="1" t="inlineStr">
        <is>
          <t>Rennin, vanilla, dry mix, prepared with whole milk</t>
        </is>
      </c>
      <c r="C5771" s="1" t="n">
        <v>12.21</v>
      </c>
      <c r="D5771" s="1" t="n">
        <v>5</v>
      </c>
      <c r="E5771" s="1" t="n">
        <v>0.05</v>
      </c>
      <c r="F5771" s="1" t="n">
        <v>3.03</v>
      </c>
      <c r="G5771" s="1" t="n">
        <v>3.07</v>
      </c>
      <c r="H5771" s="1" t="n">
        <v>115</v>
      </c>
      <c r="I5771" s="1" t="n">
        <v>0.35</v>
      </c>
      <c r="J5771" t="n">
        <v>75142550</v>
      </c>
    </row>
    <row r="5772" ht="15.75" customHeight="1" s="201">
      <c r="A5772" s="1" t="inlineStr">
        <is>
          <t>Restaurant, Chinese, beef and vegetables</t>
        </is>
      </c>
      <c r="C5772" s="1" t="n">
        <v>7.29</v>
      </c>
      <c r="D5772" s="1" t="n">
        <v>45</v>
      </c>
      <c r="E5772" s="1" t="n">
        <v>1.11</v>
      </c>
      <c r="F5772" s="1" t="n">
        <v>7.08</v>
      </c>
      <c r="G5772" s="1" t="n">
        <v>5.3</v>
      </c>
      <c r="H5772" s="1" t="n">
        <v>1262</v>
      </c>
      <c r="I5772" s="1" t="n">
        <v>1.5</v>
      </c>
      <c r="J5772" t="n">
        <v>28110510</v>
      </c>
    </row>
    <row r="5773" ht="15.75" customHeight="1" s="201">
      <c r="A5773" s="1" t="inlineStr">
        <is>
          <t>Restaurant, Chinese, chicken and vegetables</t>
        </is>
      </c>
      <c r="C5773" s="1" t="n">
        <v>5.38</v>
      </c>
      <c r="D5773" s="1" t="n">
        <v>40</v>
      </c>
      <c r="E5773" s="1" t="n">
        <v>0.5600000000000001</v>
      </c>
      <c r="F5773" s="1" t="n">
        <v>8.18</v>
      </c>
      <c r="G5773" s="1" t="n">
        <v>4.56</v>
      </c>
      <c r="H5773" s="1" t="n">
        <v>630</v>
      </c>
      <c r="I5773" s="1" t="n">
        <v>0.43</v>
      </c>
      <c r="J5773" t="n">
        <v>27446315</v>
      </c>
    </row>
    <row r="5774" ht="15.75" customHeight="1" s="201">
      <c r="A5774" s="1" t="inlineStr">
        <is>
          <t>Restaurant, Chinese, chicken chow mein</t>
        </is>
      </c>
      <c r="C5774" s="1" t="n">
        <v>8.289999999999999</v>
      </c>
      <c r="E5774" s="1" t="n">
        <v>0.67</v>
      </c>
      <c r="F5774" s="1" t="n">
        <v>6.76</v>
      </c>
      <c r="G5774" s="1" t="n">
        <v>2.8</v>
      </c>
      <c r="H5774" s="1" t="n">
        <v>362</v>
      </c>
      <c r="I5774" s="1" t="n">
        <v>0.32</v>
      </c>
      <c r="J5774" t="n">
        <v>27446315</v>
      </c>
    </row>
    <row r="5775" ht="15.75" customHeight="1" s="201">
      <c r="A5775" s="1" t="inlineStr">
        <is>
          <t>Restaurant, Chinese, egg rolls, assorted</t>
        </is>
      </c>
      <c r="C5775" s="1" t="n">
        <v>27.29</v>
      </c>
      <c r="E5775" s="1" t="n">
        <v>1.41</v>
      </c>
      <c r="F5775" s="1" t="n">
        <v>8.279999999999999</v>
      </c>
      <c r="G5775" s="1" t="n">
        <v>11.94</v>
      </c>
      <c r="I5775" s="1" t="n">
        <v>0.62</v>
      </c>
      <c r="J5775" t="n">
        <v>55100050</v>
      </c>
    </row>
    <row r="5776" ht="15.75" customHeight="1" s="201">
      <c r="A5776" s="1" t="inlineStr">
        <is>
          <t>Restaurant, Chinese, fried rice, without meat</t>
        </is>
      </c>
      <c r="C5776" s="1" t="n">
        <v>32.79</v>
      </c>
      <c r="D5776" s="1" t="n">
        <v>6</v>
      </c>
      <c r="E5776" s="1" t="n">
        <v>0.66</v>
      </c>
      <c r="F5776" s="1" t="n">
        <v>4.05</v>
      </c>
      <c r="G5776" s="1" t="n">
        <v>2.96</v>
      </c>
      <c r="H5776" s="1" t="n">
        <v>279</v>
      </c>
      <c r="I5776" s="1" t="n">
        <v>0.72</v>
      </c>
      <c r="J5776" t="n">
        <v>28141010</v>
      </c>
    </row>
    <row r="5777" ht="15.75" customHeight="1" s="201">
      <c r="A5777" s="1" t="inlineStr">
        <is>
          <t>Restaurant, Chinese, general tso's chicken</t>
        </is>
      </c>
      <c r="C5777" s="1" t="n">
        <v>23.99</v>
      </c>
      <c r="D5777" s="1" t="n">
        <v>11</v>
      </c>
      <c r="E5777" s="1" t="n">
        <v>1.16</v>
      </c>
      <c r="F5777" s="1" t="n">
        <v>12.9</v>
      </c>
      <c r="G5777" s="1" t="n">
        <v>16.36</v>
      </c>
      <c r="H5777" s="1" t="n">
        <v>94</v>
      </c>
      <c r="I5777" s="1" t="n">
        <v>1.3</v>
      </c>
      <c r="J5777" t="n">
        <v>27446315</v>
      </c>
    </row>
    <row r="5778" ht="15.75" customHeight="1" s="201">
      <c r="A5778" s="1" t="inlineStr">
        <is>
          <t>Restaurant, Chinese, kung pao chicken</t>
        </is>
      </c>
      <c r="C5778" s="1" t="n">
        <v>6.87</v>
      </c>
      <c r="D5778" s="1" t="n">
        <v>16</v>
      </c>
      <c r="E5778" s="1" t="n">
        <v>0.76</v>
      </c>
      <c r="F5778" s="1" t="n">
        <v>9.76</v>
      </c>
      <c r="G5778" s="1" t="n">
        <v>6.98</v>
      </c>
      <c r="H5778" s="1" t="n">
        <v>1299</v>
      </c>
      <c r="I5778" s="1" t="n">
        <v>0.74</v>
      </c>
      <c r="J5778" t="n">
        <v>27446315</v>
      </c>
    </row>
    <row r="5779" ht="15.75" customHeight="1" s="201">
      <c r="A5779" s="1" t="inlineStr">
        <is>
          <t>Restaurant, Chinese, lemon chicken</t>
        </is>
      </c>
      <c r="C5779" s="1" t="n">
        <v>20.61</v>
      </c>
      <c r="D5779" s="1" t="n">
        <v>9</v>
      </c>
      <c r="E5779" s="1" t="n">
        <v>1.22</v>
      </c>
      <c r="F5779" s="1" t="n">
        <v>11.87</v>
      </c>
      <c r="G5779" s="1" t="n">
        <v>13.55</v>
      </c>
      <c r="H5779" s="1" t="n">
        <v>11</v>
      </c>
      <c r="I5779" s="1" t="n">
        <v>0.51</v>
      </c>
      <c r="J5779" t="n">
        <v>27446315</v>
      </c>
    </row>
    <row r="5780" ht="15.75" customHeight="1" s="201">
      <c r="A5780" s="1" t="inlineStr">
        <is>
          <t>Restaurant, Chinese, orange chicken</t>
        </is>
      </c>
      <c r="C5780" s="1" t="n">
        <v>22.46</v>
      </c>
      <c r="D5780" s="1" t="n">
        <v>10</v>
      </c>
      <c r="E5780" s="1" t="n">
        <v>0.9399999999999999</v>
      </c>
      <c r="F5780" s="1" t="n">
        <v>14.46</v>
      </c>
      <c r="G5780" s="1" t="n">
        <v>12.68</v>
      </c>
      <c r="H5780" s="1" t="n">
        <v>264</v>
      </c>
      <c r="I5780" s="1" t="n">
        <v>1.13</v>
      </c>
      <c r="J5780" t="n">
        <v>27446315</v>
      </c>
    </row>
    <row r="5781" ht="15.75" customHeight="1" s="201">
      <c r="A5781" s="1" t="inlineStr">
        <is>
          <t>Restaurant, Chinese, sesame chicken</t>
        </is>
      </c>
      <c r="C5781" s="1" t="n">
        <v>26.88</v>
      </c>
      <c r="D5781" s="1" t="n">
        <v>8</v>
      </c>
      <c r="E5781" s="1" t="n">
        <v>1.09</v>
      </c>
      <c r="F5781" s="1" t="n">
        <v>14.33</v>
      </c>
      <c r="G5781" s="1" t="n">
        <v>14.25</v>
      </c>
      <c r="H5781" s="1" t="n">
        <v>293</v>
      </c>
      <c r="I5781" s="1" t="n">
        <v>0.91</v>
      </c>
      <c r="J5781" t="n">
        <v>27446315</v>
      </c>
    </row>
    <row r="5782" ht="15.75" customHeight="1" s="201">
      <c r="A5782" s="1" t="inlineStr">
        <is>
          <t>Restaurant, Chinese, shrimp and vegetables</t>
        </is>
      </c>
      <c r="C5782" s="1" t="n">
        <v>4.52</v>
      </c>
      <c r="E5782" s="1" t="n">
        <v>0.72</v>
      </c>
      <c r="F5782" s="1" t="n">
        <v>5.9</v>
      </c>
      <c r="G5782" s="1" t="n">
        <v>4.05</v>
      </c>
      <c r="H5782" s="1" t="n">
        <v>1320</v>
      </c>
      <c r="I5782" s="1" t="n">
        <v>0.49</v>
      </c>
      <c r="J5782" t="n">
        <v>26319145</v>
      </c>
    </row>
    <row r="5783" ht="15.75" customHeight="1" s="201">
      <c r="A5783" s="1" t="inlineStr">
        <is>
          <t>Restaurant, Chinese, sweet and sour chicken</t>
        </is>
      </c>
      <c r="C5783" s="1" t="n">
        <v>23.86</v>
      </c>
      <c r="D5783" s="1" t="n">
        <v>11</v>
      </c>
      <c r="E5783" s="1" t="n">
        <v>2.12</v>
      </c>
      <c r="F5783" s="1" t="n">
        <v>10.1</v>
      </c>
      <c r="G5783" s="1" t="n">
        <v>12.65</v>
      </c>
      <c r="H5783" s="1" t="n">
        <v>317</v>
      </c>
      <c r="I5783" s="1" t="n">
        <v>0.42</v>
      </c>
      <c r="J5783" t="n">
        <v>27146100</v>
      </c>
    </row>
    <row r="5784" ht="15.75" customHeight="1" s="201">
      <c r="A5784" s="1" t="inlineStr">
        <is>
          <t>Restaurant, Chinese, sweet and sour pork</t>
        </is>
      </c>
      <c r="C5784" s="1" t="n">
        <v>23.34</v>
      </c>
      <c r="E5784" s="1" t="n">
        <v>3.07</v>
      </c>
      <c r="F5784" s="1" t="n">
        <v>8.91</v>
      </c>
      <c r="G5784" s="1" t="n">
        <v>15.66</v>
      </c>
      <c r="H5784" s="1" t="n">
        <v>553</v>
      </c>
      <c r="I5784" s="1" t="n">
        <v>1.07</v>
      </c>
      <c r="J5784" t="n">
        <v>27146100</v>
      </c>
    </row>
    <row r="5785" ht="15.75" customHeight="1" s="201">
      <c r="A5785" s="1" t="inlineStr">
        <is>
          <t>Restaurant, Chinese, vegetable chow mein, without meat or noodles</t>
        </is>
      </c>
      <c r="C5785" s="1" t="n">
        <v>5.74</v>
      </c>
      <c r="D5785" s="1" t="n">
        <v>40</v>
      </c>
      <c r="E5785" s="1" t="n">
        <v>0.42</v>
      </c>
      <c r="F5785" s="1" t="n">
        <v>1.34</v>
      </c>
      <c r="G5785" s="1" t="n">
        <v>1.68</v>
      </c>
      <c r="H5785" s="1" t="n">
        <v>270</v>
      </c>
      <c r="I5785" s="1" t="n">
        <v>0.19</v>
      </c>
      <c r="J5785" t="n">
        <v>75460900</v>
      </c>
    </row>
    <row r="5786" ht="15.75" customHeight="1" s="201">
      <c r="A5786" s="1" t="inlineStr">
        <is>
          <t>Restaurant, Chinese, vegetable lo mein, without meat</t>
        </is>
      </c>
      <c r="C5786" s="1" t="n">
        <v>20.16</v>
      </c>
      <c r="D5786" s="1" t="n">
        <v>28</v>
      </c>
      <c r="E5786" s="1" t="n">
        <v>1.07</v>
      </c>
      <c r="F5786" s="1" t="n">
        <v>4.77</v>
      </c>
      <c r="G5786" s="1" t="n">
        <v>2.35</v>
      </c>
      <c r="H5786" s="1" t="n">
        <v>179</v>
      </c>
      <c r="I5786" s="1" t="n">
        <v>0.36</v>
      </c>
      <c r="J5786" t="n">
        <v>58106720</v>
      </c>
    </row>
    <row r="5787" ht="15.75" customHeight="1" s="201">
      <c r="A5787" s="1" t="inlineStr">
        <is>
          <t>Restaurant, family style, chicken fingers, from kid's menu</t>
        </is>
      </c>
      <c r="C5787" s="1" t="n">
        <v>18.77</v>
      </c>
      <c r="D5787" s="1" t="n">
        <v>7</v>
      </c>
      <c r="E5787" s="1" t="n">
        <v>0.76</v>
      </c>
      <c r="F5787" s="1" t="n">
        <v>18.68</v>
      </c>
      <c r="G5787" s="1" t="n">
        <v>17.45</v>
      </c>
      <c r="H5787" s="1" t="n">
        <v>31</v>
      </c>
      <c r="I5787" s="1" t="n">
        <v>0.67</v>
      </c>
      <c r="J5787" t="n">
        <v>24198746</v>
      </c>
    </row>
    <row r="5788" ht="15.75" customHeight="1" s="201">
      <c r="A5788" s="1" t="inlineStr">
        <is>
          <t>Restaurant, family style, chicken tenders</t>
        </is>
      </c>
      <c r="C5788" s="1" t="n">
        <v>19.29</v>
      </c>
      <c r="D5788" s="1" t="n">
        <v>11</v>
      </c>
      <c r="E5788" s="1" t="n">
        <v>0.74</v>
      </c>
      <c r="F5788" s="1" t="n">
        <v>18.88</v>
      </c>
      <c r="G5788" s="1" t="n">
        <v>16.63</v>
      </c>
      <c r="H5788" s="1" t="n">
        <v>44</v>
      </c>
      <c r="I5788" s="1" t="n">
        <v>0.68</v>
      </c>
      <c r="J5788" t="n">
        <v>24198746</v>
      </c>
    </row>
    <row r="5789" ht="15.75" customHeight="1" s="201">
      <c r="A5789" s="1" t="inlineStr">
        <is>
          <t>Restaurant, family style, chili with meat and beans</t>
        </is>
      </c>
      <c r="C5789" s="1" t="n">
        <v>4.57</v>
      </c>
      <c r="D5789" s="1" t="n">
        <v>22</v>
      </c>
      <c r="E5789" s="1" t="n">
        <v>1.46</v>
      </c>
      <c r="F5789" s="1" t="n">
        <v>12.56</v>
      </c>
      <c r="G5789" s="1" t="n">
        <v>9.789999999999999</v>
      </c>
      <c r="H5789" s="1" t="n">
        <v>1436</v>
      </c>
      <c r="I5789" s="1" t="n">
        <v>2.23</v>
      </c>
      <c r="J5789" t="n">
        <v>75142550</v>
      </c>
    </row>
    <row r="5790" ht="15.75" customHeight="1" s="201">
      <c r="A5790" s="1" t="inlineStr">
        <is>
          <t>Restaurant, family style, coleslaw</t>
        </is>
      </c>
      <c r="C5790" s="1" t="n">
        <v>12.35</v>
      </c>
      <c r="D5790" s="1" t="n">
        <v>25</v>
      </c>
      <c r="E5790" s="1" t="n">
        <v>0.3</v>
      </c>
      <c r="F5790" s="1" t="n">
        <v>0.88</v>
      </c>
      <c r="G5790" s="1" t="n">
        <v>11.78</v>
      </c>
      <c r="H5790" s="1" t="n">
        <v>996</v>
      </c>
      <c r="I5790" s="1" t="n">
        <v>0.18</v>
      </c>
      <c r="J5790" t="n">
        <v>75141000</v>
      </c>
    </row>
    <row r="5791" ht="15.75" customHeight="1" s="201">
      <c r="A5791" s="1" t="inlineStr">
        <is>
          <t>Restaurant, family style, fish fillet, battered or breaded, fried</t>
        </is>
      </c>
      <c r="C5791" s="1" t="n">
        <v>16.89</v>
      </c>
      <c r="D5791" s="1" t="n">
        <v>17</v>
      </c>
      <c r="E5791" s="1" t="n">
        <v>0.38</v>
      </c>
      <c r="F5791" s="1" t="n">
        <v>13.49</v>
      </c>
      <c r="G5791" s="1" t="n">
        <v>10.79</v>
      </c>
      <c r="H5791" s="1" t="n">
        <v>16</v>
      </c>
      <c r="I5791" s="1" t="n">
        <v>0.39</v>
      </c>
      <c r="J5791" t="n">
        <v>14660200</v>
      </c>
    </row>
    <row r="5792" ht="15.75" customHeight="1" s="201">
      <c r="A5792" s="1" t="inlineStr">
        <is>
          <t>Restaurant, family style, french fries</t>
        </is>
      </c>
      <c r="C5792" s="1" t="n">
        <v>37.2</v>
      </c>
      <c r="D5792" s="1" t="n">
        <v>15</v>
      </c>
      <c r="E5792" s="1" t="n">
        <v>0.91</v>
      </c>
      <c r="F5792" s="1" t="n">
        <v>3.49</v>
      </c>
      <c r="G5792" s="1" t="n">
        <v>14.04</v>
      </c>
      <c r="H5792" s="1" t="n">
        <v>0</v>
      </c>
      <c r="I5792" s="1" t="n">
        <v>0.51</v>
      </c>
      <c r="J5792" t="n">
        <v>55300050</v>
      </c>
    </row>
    <row r="5793" ht="15.75" customHeight="1" s="201">
      <c r="A5793" s="1" t="inlineStr">
        <is>
          <t>Restaurant, family style, fried mozzarella sticks</t>
        </is>
      </c>
      <c r="C5793" s="1" t="n">
        <v>25.14</v>
      </c>
      <c r="D5793" s="1" t="n">
        <v>26</v>
      </c>
      <c r="E5793" s="1" t="n">
        <v>0.62</v>
      </c>
      <c r="F5793" s="1" t="n">
        <v>14.75</v>
      </c>
      <c r="G5793" s="1" t="n">
        <v>18.33</v>
      </c>
      <c r="H5793" s="1" t="n">
        <v>366</v>
      </c>
      <c r="I5793" s="1" t="n">
        <v>2.07</v>
      </c>
      <c r="J5793" t="n">
        <v>14660200</v>
      </c>
    </row>
    <row r="5794" ht="15.75" customHeight="1" s="201">
      <c r="A5794" s="1" t="inlineStr">
        <is>
          <t>Restaurant, family style, hash browns</t>
        </is>
      </c>
      <c r="C5794" s="1" t="n">
        <v>26.59</v>
      </c>
      <c r="D5794" s="1" t="n">
        <v>23</v>
      </c>
      <c r="E5794" s="1" t="n">
        <v>0.5600000000000001</v>
      </c>
      <c r="F5794" s="1" t="n">
        <v>2.49</v>
      </c>
      <c r="G5794" s="1" t="n">
        <v>8.99</v>
      </c>
      <c r="I5794" s="1" t="n">
        <v>0.29</v>
      </c>
    </row>
    <row r="5795" ht="15.75" customHeight="1" s="201">
      <c r="A5795" s="1" t="inlineStr">
        <is>
          <t>Restaurant, family style, macaroni &amp; cheese, from kids' menu</t>
        </is>
      </c>
      <c r="C5795" s="1" t="n">
        <v>18.8</v>
      </c>
      <c r="D5795" s="1" t="n">
        <v>34</v>
      </c>
      <c r="E5795" s="1" t="n">
        <v>0.68</v>
      </c>
      <c r="F5795" s="1" t="n">
        <v>5.42</v>
      </c>
      <c r="G5795" s="1" t="n">
        <v>6.06</v>
      </c>
      <c r="H5795" s="1" t="n">
        <v>118</v>
      </c>
      <c r="I5795" s="1" t="n">
        <v>0.64</v>
      </c>
      <c r="J5795" t="n">
        <v>51121065</v>
      </c>
    </row>
    <row r="5796" ht="15.75" customHeight="1" s="201">
      <c r="A5796" s="1" t="inlineStr">
        <is>
          <t>Restaurant, family style, onion rings</t>
        </is>
      </c>
      <c r="C5796" s="1" t="n">
        <v>40.72</v>
      </c>
      <c r="D5796" s="1" t="n">
        <v>14</v>
      </c>
      <c r="E5796" s="1" t="n">
        <v>0.71</v>
      </c>
      <c r="F5796" s="1" t="n">
        <v>4.89</v>
      </c>
      <c r="G5796" s="1" t="n">
        <v>19.28</v>
      </c>
      <c r="H5796" s="1" t="n">
        <v>17</v>
      </c>
      <c r="I5796" s="1" t="n">
        <v>0.51</v>
      </c>
      <c r="J5796" t="n">
        <v>11440030</v>
      </c>
    </row>
    <row r="5797" ht="15.75" customHeight="1" s="201">
      <c r="A5797" s="1" t="inlineStr">
        <is>
          <t>Restaurant, family style, shrimp, breaded and fried</t>
        </is>
      </c>
      <c r="C5797" s="1" t="n">
        <v>22.29</v>
      </c>
      <c r="D5797" s="1" t="n">
        <v>43</v>
      </c>
      <c r="E5797" s="1" t="n">
        <v>1.16</v>
      </c>
      <c r="F5797" s="1" t="n">
        <v>12.67</v>
      </c>
      <c r="G5797" s="1" t="n">
        <v>18.67</v>
      </c>
      <c r="H5797" s="1" t="n">
        <v>11</v>
      </c>
      <c r="I5797" s="1" t="n">
        <v>0.79</v>
      </c>
      <c r="J5797" t="n">
        <v>26319145</v>
      </c>
    </row>
    <row r="5798" ht="15.75" customHeight="1" s="201">
      <c r="A5798" s="1" t="inlineStr">
        <is>
          <t>Restaurant, family style, sirloin steak</t>
        </is>
      </c>
      <c r="C5798" s="1" t="n">
        <v>0</v>
      </c>
      <c r="E5798" s="1" t="n">
        <v>2.57</v>
      </c>
      <c r="F5798" s="1" t="n">
        <v>29.8</v>
      </c>
      <c r="G5798" s="1" t="n">
        <v>8.48</v>
      </c>
      <c r="H5798" s="1" t="n">
        <v>27</v>
      </c>
      <c r="I5798" s="1" t="n">
        <v>5.44</v>
      </c>
      <c r="J5798" t="n">
        <v>27515080</v>
      </c>
    </row>
    <row r="5799" ht="15.75" customHeight="1" s="201">
      <c r="A5799" s="1" t="inlineStr">
        <is>
          <t>Restaurant, family style, spaghetti and meatballs</t>
        </is>
      </c>
      <c r="C5799" s="1" t="n">
        <v>15.51</v>
      </c>
      <c r="D5799" s="1" t="n">
        <v>36</v>
      </c>
      <c r="E5799" s="1" t="n">
        <v>1.29</v>
      </c>
      <c r="F5799" s="1" t="n">
        <v>7.84</v>
      </c>
      <c r="G5799" s="1" t="n">
        <v>8.52</v>
      </c>
      <c r="H5799" s="1" t="n">
        <v>258</v>
      </c>
      <c r="I5799" s="1" t="n">
        <v>1.04</v>
      </c>
    </row>
    <row r="5800" ht="15.75" customHeight="1" s="201">
      <c r="A5800" s="1" t="inlineStr">
        <is>
          <t>Restaurant, Italian, cheese ravioli with marinara sauce</t>
        </is>
      </c>
      <c r="C5800" s="1" t="n">
        <v>18.5</v>
      </c>
      <c r="D5800" s="1" t="n">
        <v>28</v>
      </c>
      <c r="E5800" s="1" t="n">
        <v>0.82</v>
      </c>
      <c r="F5800" s="1" t="n">
        <v>7.07</v>
      </c>
      <c r="G5800" s="1" t="n">
        <v>5.7</v>
      </c>
      <c r="H5800" s="1" t="n">
        <v>413</v>
      </c>
      <c r="I5800" s="1" t="n">
        <v>0.74</v>
      </c>
      <c r="J5800" t="n">
        <v>51121065</v>
      </c>
    </row>
    <row r="5801" ht="15.75" customHeight="1" s="201">
      <c r="A5801" s="1" t="inlineStr">
        <is>
          <t>Restaurant, Italian, chicken parmesan without pasta</t>
        </is>
      </c>
      <c r="C5801" s="1" t="n">
        <v>10.92</v>
      </c>
      <c r="D5801" s="1" t="n">
        <v>19</v>
      </c>
      <c r="E5801" s="1" t="n">
        <v>0.68</v>
      </c>
      <c r="F5801" s="1" t="n">
        <v>16.17</v>
      </c>
      <c r="G5801" s="1" t="n">
        <v>10.64</v>
      </c>
      <c r="H5801" s="1" t="n">
        <v>307</v>
      </c>
      <c r="I5801" s="1" t="n">
        <v>0.95</v>
      </c>
      <c r="J5801" t="n">
        <v>58147510</v>
      </c>
    </row>
    <row r="5802" ht="15.75" customHeight="1" s="201">
      <c r="A5802" s="1" t="inlineStr">
        <is>
          <t>Restaurant, Italian, lasagna with meat</t>
        </is>
      </c>
      <c r="C5802" s="1" t="n">
        <v>11.36</v>
      </c>
      <c r="D5802" s="1" t="n">
        <v>26</v>
      </c>
      <c r="E5802" s="1" t="n">
        <v>0.79</v>
      </c>
      <c r="F5802" s="1" t="n">
        <v>10.83</v>
      </c>
      <c r="G5802" s="1" t="n">
        <v>10.69</v>
      </c>
      <c r="H5802" s="1" t="n">
        <v>550</v>
      </c>
      <c r="I5802" s="1" t="n">
        <v>1.32</v>
      </c>
      <c r="J5802" t="n">
        <v>75142550</v>
      </c>
    </row>
    <row r="5803" ht="15.75" customHeight="1" s="201">
      <c r="A5803" s="1" t="inlineStr">
        <is>
          <t>Restaurant, Italian, spaghetti with meat sauce</t>
        </is>
      </c>
      <c r="C5803" s="1" t="n">
        <v>16.4</v>
      </c>
      <c r="D5803" s="1" t="n">
        <v>30</v>
      </c>
      <c r="E5803" s="1" t="n">
        <v>0.97</v>
      </c>
      <c r="F5803" s="1" t="n">
        <v>5.79</v>
      </c>
      <c r="G5803" s="1" t="n">
        <v>3.59</v>
      </c>
      <c r="H5803" s="1" t="n">
        <v>232</v>
      </c>
      <c r="I5803" s="1" t="n">
        <v>0.6899999999999999</v>
      </c>
      <c r="J5803" t="n">
        <v>75142550</v>
      </c>
    </row>
    <row r="5804" ht="15.75" customHeight="1" s="201">
      <c r="A5804" s="1" t="inlineStr">
        <is>
          <t>Restaurant, Italian, spaghetti with pomodoro sauce (no meat)</t>
        </is>
      </c>
      <c r="C5804" s="1" t="n">
        <v>17.77</v>
      </c>
      <c r="D5804" s="1" t="n">
        <v>29</v>
      </c>
      <c r="E5804" s="1" t="n">
        <v>0.9</v>
      </c>
      <c r="F5804" s="1" t="n">
        <v>3.9</v>
      </c>
      <c r="G5804" s="1" t="n">
        <v>1.89</v>
      </c>
      <c r="H5804" s="1" t="n">
        <v>202</v>
      </c>
      <c r="I5804" s="1" t="n">
        <v>0.35</v>
      </c>
      <c r="J5804" t="n">
        <v>75142550</v>
      </c>
    </row>
    <row r="5805" ht="15.75" customHeight="1" s="201">
      <c r="A5805" s="1" t="inlineStr">
        <is>
          <t>Restaurant, Latino, arepa (unleavened cornmeal bread)</t>
        </is>
      </c>
      <c r="C5805" s="1" t="n">
        <v>37.14</v>
      </c>
      <c r="E5805" s="1" t="n">
        <v>1.04</v>
      </c>
      <c r="F5805" s="1" t="n">
        <v>5.48</v>
      </c>
      <c r="G5805" s="1" t="n">
        <v>5.38</v>
      </c>
      <c r="H5805" s="1" t="n">
        <v>213</v>
      </c>
      <c r="I5805" s="1" t="n">
        <v>0.8</v>
      </c>
      <c r="J5805" t="n">
        <v>51121065</v>
      </c>
    </row>
    <row r="5806" ht="15.75" customHeight="1" s="201">
      <c r="A5806" s="1" t="inlineStr">
        <is>
          <t>Restaurant, Latino, Arroz con frijoles negros (rice and black beans)</t>
        </is>
      </c>
      <c r="C5806" s="1" t="n">
        <v>24.4</v>
      </c>
      <c r="E5806" s="1" t="n">
        <v>1.57</v>
      </c>
      <c r="F5806" s="1" t="n">
        <v>4.64</v>
      </c>
      <c r="G5806" s="1" t="n">
        <v>3.85</v>
      </c>
      <c r="I5806" s="1" t="n">
        <v>0.74</v>
      </c>
      <c r="J5806" t="n">
        <v>58160100</v>
      </c>
    </row>
    <row r="5807" ht="15.75" customHeight="1" s="201">
      <c r="A5807" s="1" t="inlineStr">
        <is>
          <t>Restaurant, Latino, Arroz con grandules (rice and pigeonpeas)</t>
        </is>
      </c>
      <c r="C5807" s="1" t="n">
        <v>30.75</v>
      </c>
      <c r="E5807" s="1" t="n">
        <v>0.29</v>
      </c>
      <c r="F5807" s="1" t="n">
        <v>3.5</v>
      </c>
      <c r="G5807" s="1" t="n">
        <v>4.98</v>
      </c>
      <c r="I5807" s="1" t="n">
        <v>0.74</v>
      </c>
      <c r="J5807" t="n">
        <v>54319000</v>
      </c>
    </row>
    <row r="5808" ht="15.75" customHeight="1" s="201">
      <c r="A5808" s="1" t="inlineStr">
        <is>
          <t>Restaurant, Latino, Arroz con habichuelas colorados (Rice And Red Beans)</t>
        </is>
      </c>
      <c r="C5808" s="1" t="n">
        <v>23.74</v>
      </c>
      <c r="E5808" s="1" t="n">
        <v>1.22</v>
      </c>
      <c r="F5808" s="1" t="n">
        <v>3.96</v>
      </c>
      <c r="G5808" s="1" t="n">
        <v>3.46</v>
      </c>
      <c r="I5808" s="1" t="n">
        <v>0.71</v>
      </c>
      <c r="J5808" t="n">
        <v>54319000</v>
      </c>
    </row>
    <row r="5809" ht="15.75" customHeight="1" s="201">
      <c r="A5809" s="1" t="inlineStr">
        <is>
          <t>Restaurant, Latino, arroz con leche (rice pudding)</t>
        </is>
      </c>
      <c r="C5809" s="1" t="n">
        <v>24.92</v>
      </c>
      <c r="E5809" s="1" t="n">
        <v>0.23</v>
      </c>
      <c r="F5809" s="1" t="n">
        <v>3.2</v>
      </c>
      <c r="G5809" s="1" t="n">
        <v>3.69</v>
      </c>
      <c r="I5809" s="1" t="n">
        <v>0.5</v>
      </c>
      <c r="J5809" t="n">
        <v>54319000</v>
      </c>
    </row>
    <row r="5810" ht="15.75" customHeight="1" s="201">
      <c r="A5810" s="1" t="inlineStr">
        <is>
          <t>Restaurant, Latino, black bean soup</t>
        </is>
      </c>
      <c r="C5810" s="1" t="n">
        <v>14.79</v>
      </c>
      <c r="E5810" s="1" t="n">
        <v>1.76</v>
      </c>
      <c r="F5810" s="1" t="n">
        <v>5.1</v>
      </c>
      <c r="G5810" s="1" t="n">
        <v>2.57</v>
      </c>
      <c r="H5810" s="1" t="n">
        <v>2</v>
      </c>
      <c r="I5810" s="1" t="n">
        <v>0.67</v>
      </c>
      <c r="J5810" t="n">
        <v>41601010</v>
      </c>
    </row>
    <row r="5811" ht="15.75" customHeight="1" s="201">
      <c r="A5811" s="1" t="inlineStr">
        <is>
          <t>Restaurant, Latino, bunuelos (fried yeast bread)</t>
        </is>
      </c>
      <c r="C5811" s="1" t="n">
        <v>48.57</v>
      </c>
      <c r="E5811" s="1" t="n">
        <v>1.78</v>
      </c>
      <c r="F5811" s="1" t="n">
        <v>8.02</v>
      </c>
      <c r="G5811" s="1" t="n">
        <v>26.24</v>
      </c>
      <c r="I5811" s="1" t="n">
        <v>0.91</v>
      </c>
      <c r="J5811" t="n">
        <v>51121065</v>
      </c>
    </row>
    <row r="5812" ht="15.75" customHeight="1" s="201">
      <c r="A5812" s="1" t="inlineStr">
        <is>
          <t>Restaurant, Latino, chicken and rice, entree, prepared</t>
        </is>
      </c>
      <c r="C5812" s="1" t="n">
        <v>20.03</v>
      </c>
      <c r="E5812" s="1" t="n">
        <v>0.95</v>
      </c>
      <c r="F5812" s="1" t="n">
        <v>12.02</v>
      </c>
      <c r="G5812" s="1" t="n">
        <v>5.06</v>
      </c>
      <c r="I5812" s="1" t="n">
        <v>0.78</v>
      </c>
      <c r="J5812" t="n">
        <v>27446315</v>
      </c>
    </row>
    <row r="5813" ht="15.75" customHeight="1" s="201">
      <c r="A5813" s="1" t="inlineStr">
        <is>
          <t>Restaurant, Latino, empanadas, beef, prepared</t>
        </is>
      </c>
      <c r="C5813" s="1" t="n">
        <v>31.19</v>
      </c>
      <c r="D5813" s="1" t="n">
        <v>45</v>
      </c>
      <c r="E5813" s="1" t="n">
        <v>2.7</v>
      </c>
      <c r="F5813" s="1" t="n">
        <v>11.31</v>
      </c>
      <c r="G5813" s="1" t="n">
        <v>18.37</v>
      </c>
      <c r="H5813" s="1" t="n">
        <v>183</v>
      </c>
      <c r="I5813" s="1" t="n">
        <v>1.86</v>
      </c>
      <c r="J5813" t="n">
        <v>28110510</v>
      </c>
    </row>
    <row r="5814" ht="15.75" customHeight="1" s="201">
      <c r="A5814" s="1" t="inlineStr">
        <is>
          <t>Restaurant, Latino, pupusas con frijoles (pupusas, bean)</t>
        </is>
      </c>
      <c r="C5814" s="1" t="n">
        <v>31.49</v>
      </c>
      <c r="E5814" s="1" t="n">
        <v>1.46</v>
      </c>
      <c r="F5814" s="1" t="n">
        <v>5.59</v>
      </c>
      <c r="G5814" s="1" t="n">
        <v>9.01</v>
      </c>
      <c r="I5814" s="1" t="n">
        <v>0.9399999999999999</v>
      </c>
      <c r="J5814" t="n">
        <v>41205050</v>
      </c>
    </row>
    <row r="5815" ht="15.75" customHeight="1" s="201">
      <c r="A5815" s="1" t="inlineStr">
        <is>
          <t>Restaurant, Latino, pupusas con queso (pupusas, cheese)</t>
        </is>
      </c>
      <c r="C5815" s="1" t="n">
        <v>22.39</v>
      </c>
      <c r="D5815" s="1" t="n">
        <v>3</v>
      </c>
      <c r="E5815" s="1" t="n">
        <v>0.5600000000000001</v>
      </c>
      <c r="F5815" s="1" t="n">
        <v>11.72</v>
      </c>
      <c r="G5815" s="1" t="n">
        <v>13.25</v>
      </c>
      <c r="H5815" s="1" t="n">
        <v>321</v>
      </c>
      <c r="I5815" s="1" t="n">
        <v>1.87</v>
      </c>
      <c r="J5815" t="n">
        <v>51121065</v>
      </c>
    </row>
    <row r="5816" ht="15.75" customHeight="1" s="201">
      <c r="A5816" s="1" t="inlineStr">
        <is>
          <t>Restaurant, Latino, pupusas del cerdo (pupusas, pork)</t>
        </is>
      </c>
      <c r="C5816" s="1" t="n">
        <v>23.02</v>
      </c>
      <c r="D5816" s="1" t="n">
        <v>4</v>
      </c>
      <c r="E5816" s="1" t="n">
        <v>1.01</v>
      </c>
      <c r="F5816" s="1" t="n">
        <v>11.51</v>
      </c>
      <c r="G5816" s="1" t="n">
        <v>10.43</v>
      </c>
      <c r="H5816" s="1" t="n">
        <v>84</v>
      </c>
      <c r="I5816" s="1" t="n">
        <v>1.62</v>
      </c>
      <c r="J5816" t="n">
        <v>27120030</v>
      </c>
    </row>
    <row r="5817" ht="15.75" customHeight="1" s="201">
      <c r="A5817" s="1" t="inlineStr">
        <is>
          <t>Restaurant, Latino, tamale, corn</t>
        </is>
      </c>
      <c r="C5817" s="1" t="n">
        <v>26.68</v>
      </c>
      <c r="D5817" s="1" t="n">
        <v>1</v>
      </c>
      <c r="E5817" s="1" t="n">
        <v>0.53</v>
      </c>
      <c r="F5817" s="1" t="n">
        <v>3.48</v>
      </c>
      <c r="G5817" s="1" t="n">
        <v>7.21</v>
      </c>
      <c r="H5817" s="1" t="n">
        <v>43</v>
      </c>
      <c r="I5817" s="1" t="n">
        <v>0.62</v>
      </c>
      <c r="J5817" t="n">
        <v>54401055</v>
      </c>
    </row>
    <row r="5818" ht="15.75" customHeight="1" s="201">
      <c r="A5818" s="1" t="inlineStr">
        <is>
          <t>Restaurant, Latino, tamale, pork</t>
        </is>
      </c>
      <c r="C5818" s="1" t="n">
        <v>15.75</v>
      </c>
      <c r="D5818" s="1" t="n">
        <v>39</v>
      </c>
      <c r="E5818" s="1" t="n">
        <v>0.87</v>
      </c>
      <c r="F5818" s="1" t="n">
        <v>7.35</v>
      </c>
      <c r="G5818" s="1" t="n">
        <v>9.039999999999999</v>
      </c>
      <c r="H5818" s="1" t="n">
        <v>238</v>
      </c>
      <c r="I5818" s="1" t="n">
        <v>1.2</v>
      </c>
      <c r="J5818" t="n">
        <v>58103120</v>
      </c>
    </row>
    <row r="5819" ht="15.75" customHeight="1" s="201">
      <c r="A5819" s="1" t="inlineStr">
        <is>
          <t>Restaurant, Latino, tripe soup</t>
        </is>
      </c>
      <c r="C5819" s="1" t="n">
        <v>4.07</v>
      </c>
      <c r="E5819" s="1" t="n">
        <v>0.68</v>
      </c>
      <c r="F5819" s="1" t="n">
        <v>8.609999999999999</v>
      </c>
      <c r="G5819" s="1" t="n">
        <v>2.58</v>
      </c>
      <c r="H5819" s="1" t="n">
        <v>0</v>
      </c>
      <c r="I5819" s="1" t="n">
        <v>1.06</v>
      </c>
      <c r="J5819" t="n">
        <v>58407030</v>
      </c>
    </row>
    <row r="5820" ht="15.75" customHeight="1" s="201">
      <c r="A5820" s="1" t="inlineStr">
        <is>
          <t>Restaurant, Mexican, cheese enchilada</t>
        </is>
      </c>
      <c r="C5820" s="1" t="n">
        <v>15.45</v>
      </c>
      <c r="D5820" s="1" t="n">
        <v>17</v>
      </c>
      <c r="E5820" s="1" t="n">
        <v>0.66</v>
      </c>
      <c r="F5820" s="1" t="n">
        <v>11.24</v>
      </c>
      <c r="G5820" s="1" t="n">
        <v>18.47</v>
      </c>
      <c r="H5820" s="1" t="n">
        <v>988</v>
      </c>
      <c r="I5820" s="1" t="n">
        <v>1.83</v>
      </c>
      <c r="J5820" t="n">
        <v>51121065</v>
      </c>
    </row>
    <row r="5821" ht="15.75" customHeight="1" s="201">
      <c r="A5821" s="1" t="inlineStr">
        <is>
          <t>Restaurant, Mexican, cheese quesadilla</t>
        </is>
      </c>
      <c r="C5821" s="1" t="n">
        <v>24.11</v>
      </c>
      <c r="D5821" s="1" t="n">
        <v>52</v>
      </c>
      <c r="E5821" s="1" t="n">
        <v>1.52</v>
      </c>
      <c r="F5821" s="1" t="n">
        <v>15.93</v>
      </c>
      <c r="G5821" s="1" t="n">
        <v>23.08</v>
      </c>
      <c r="H5821" s="1" t="n">
        <v>518</v>
      </c>
      <c r="I5821" s="1" t="n">
        <v>2.16</v>
      </c>
      <c r="J5821" t="n">
        <v>51121065</v>
      </c>
    </row>
    <row r="5822" ht="15.75" customHeight="1" s="201">
      <c r="A5822" s="1" t="inlineStr">
        <is>
          <t>Restaurant, Mexican, cheese tamales</t>
        </is>
      </c>
      <c r="C5822" s="1" t="n">
        <v>17.97</v>
      </c>
      <c r="D5822" s="1" t="n">
        <v>12</v>
      </c>
      <c r="E5822" s="1" t="n">
        <v>0.87</v>
      </c>
      <c r="F5822" s="1" t="n">
        <v>8.99</v>
      </c>
      <c r="G5822" s="1" t="n">
        <v>11.99</v>
      </c>
      <c r="H5822" s="1" t="n">
        <v>731</v>
      </c>
      <c r="I5822" s="1" t="n">
        <v>1.31</v>
      </c>
      <c r="J5822" t="n">
        <v>51121065</v>
      </c>
    </row>
    <row r="5823" ht="15.75" customHeight="1" s="201">
      <c r="A5823" s="1" t="inlineStr">
        <is>
          <t>Restaurant, Mexican, refried beans</t>
        </is>
      </c>
      <c r="C5823" s="1" t="n">
        <v>16.79</v>
      </c>
      <c r="D5823" s="1" t="n">
        <v>29</v>
      </c>
      <c r="E5823" s="1" t="n">
        <v>1.62</v>
      </c>
      <c r="F5823" s="1" t="n">
        <v>6.91</v>
      </c>
      <c r="G5823" s="1" t="n">
        <v>6.77</v>
      </c>
      <c r="H5823" s="1" t="n">
        <v>42</v>
      </c>
      <c r="I5823" s="1" t="n">
        <v>0.88</v>
      </c>
      <c r="J5823" t="n">
        <v>41205010</v>
      </c>
    </row>
    <row r="5824" ht="15.75" customHeight="1" s="201">
      <c r="A5824" s="1" t="inlineStr">
        <is>
          <t>Restaurant, Mexican, soft taco with ground beef, cheese and lettuce</t>
        </is>
      </c>
      <c r="C5824" s="1" t="n">
        <v>17.92</v>
      </c>
      <c r="D5824" s="1" t="n">
        <v>38</v>
      </c>
      <c r="E5824" s="1" t="n">
        <v>1.85</v>
      </c>
      <c r="F5824" s="1" t="n">
        <v>12.56</v>
      </c>
      <c r="G5824" s="1" t="n">
        <v>10.81</v>
      </c>
      <c r="H5824" s="1" t="n">
        <v>250</v>
      </c>
      <c r="I5824" s="1" t="n">
        <v>2.15</v>
      </c>
      <c r="J5824" t="n">
        <v>51121065</v>
      </c>
    </row>
    <row r="5825" ht="15.75" customHeight="1" s="201">
      <c r="A5825" s="1" t="inlineStr">
        <is>
          <t>Restaurant, Mexican, spanish rice</t>
        </is>
      </c>
      <c r="C5825" s="1" t="n">
        <v>31.16</v>
      </c>
      <c r="D5825" s="1" t="n">
        <v>50</v>
      </c>
      <c r="E5825" s="1" t="n">
        <v>1.15</v>
      </c>
      <c r="F5825" s="1" t="n">
        <v>3.28</v>
      </c>
      <c r="G5825" s="1" t="n">
        <v>5.29</v>
      </c>
      <c r="H5825" s="1" t="n">
        <v>100</v>
      </c>
      <c r="I5825" s="1" t="n">
        <v>0.48</v>
      </c>
      <c r="J5825" t="n">
        <v>58163410</v>
      </c>
    </row>
    <row r="5826" ht="15.75" customHeight="1" s="201">
      <c r="A5826" s="1" t="inlineStr">
        <is>
          <t>Rhubarb, frozen, cooked, with sugar</t>
        </is>
      </c>
      <c r="C5826" s="1" t="n">
        <v>31.2</v>
      </c>
      <c r="D5826" s="1" t="n">
        <v>5</v>
      </c>
      <c r="E5826" s="1" t="n">
        <v>0.21</v>
      </c>
      <c r="F5826" s="1" t="n">
        <v>0.39</v>
      </c>
      <c r="G5826" s="1" t="n">
        <v>0.05</v>
      </c>
      <c r="H5826" s="1" t="n">
        <v>73</v>
      </c>
      <c r="I5826" s="1" t="n">
        <v>0.08</v>
      </c>
      <c r="J5826" t="n">
        <v>75142550</v>
      </c>
    </row>
    <row r="5827" ht="15.75" customHeight="1" s="201">
      <c r="A5827" s="1" t="inlineStr">
        <is>
          <t>Rhubarb, frozen, uncooked</t>
        </is>
      </c>
      <c r="C5827" s="1" t="n">
        <v>5.1</v>
      </c>
      <c r="D5827" s="1" t="n">
        <v>8</v>
      </c>
      <c r="E5827" s="1" t="n">
        <v>0.29</v>
      </c>
      <c r="F5827" s="1" t="n">
        <v>0.55</v>
      </c>
      <c r="G5827" s="1" t="n">
        <v>0.11</v>
      </c>
      <c r="H5827" s="1" t="n">
        <v>107</v>
      </c>
      <c r="I5827" s="1" t="n">
        <v>0.1</v>
      </c>
      <c r="J5827" t="n">
        <v>63147110</v>
      </c>
    </row>
    <row r="5828" ht="15.75" customHeight="1" s="201">
      <c r="A5828" s="1" t="inlineStr">
        <is>
          <t>Rhubarb, raw</t>
        </is>
      </c>
      <c r="C5828" s="1" t="n">
        <v>4.54</v>
      </c>
      <c r="D5828" s="1" t="n">
        <v>7</v>
      </c>
      <c r="E5828" s="1" t="n">
        <v>0.22</v>
      </c>
      <c r="F5828" s="1" t="n">
        <v>0.9</v>
      </c>
      <c r="G5828" s="1" t="n">
        <v>0.2</v>
      </c>
      <c r="H5828" s="1" t="n">
        <v>102</v>
      </c>
      <c r="I5828" s="1" t="n">
        <v>0.1</v>
      </c>
      <c r="J5828" t="n">
        <v>63147110</v>
      </c>
    </row>
    <row r="5829" ht="15.75" customHeight="1" s="201">
      <c r="A5829" s="1" t="inlineStr">
        <is>
          <t>Rhubarb, wild, leaves (Alaska Native)</t>
        </is>
      </c>
      <c r="C5829" s="1" t="n">
        <v>9.9</v>
      </c>
      <c r="F5829" s="1" t="n">
        <v>4.2</v>
      </c>
      <c r="G5829" s="1" t="n">
        <v>0.5</v>
      </c>
      <c r="H5829" s="1" t="n">
        <v>4480</v>
      </c>
      <c r="J5829" t="n">
        <v>56205320</v>
      </c>
    </row>
    <row r="5830" ht="15.75" customHeight="1" s="201">
      <c r="A5830" s="1" t="inlineStr">
        <is>
          <t>Rice and vermicelli mix, beef flavor, prepared with 80% margarine</t>
        </is>
      </c>
      <c r="C5830" s="1" t="n">
        <v>22.03</v>
      </c>
      <c r="E5830" s="1" t="n">
        <v>0.88</v>
      </c>
      <c r="F5830" s="1" t="n">
        <v>2.82</v>
      </c>
      <c r="G5830" s="1" t="n">
        <v>3.2</v>
      </c>
      <c r="I5830" s="1" t="n">
        <v>0.42</v>
      </c>
      <c r="J5830" t="n">
        <v>75142550</v>
      </c>
    </row>
    <row r="5831" ht="15.75" customHeight="1" s="201">
      <c r="A5831" s="1" t="inlineStr">
        <is>
          <t>Rice and vermicelli mix, beef flavor, unprepared</t>
        </is>
      </c>
      <c r="C5831" s="1" t="n">
        <v>76.02</v>
      </c>
      <c r="D5831" s="1" t="n">
        <v>189</v>
      </c>
      <c r="E5831" s="1" t="n">
        <v>2.82</v>
      </c>
      <c r="F5831" s="1" t="n">
        <v>10.84</v>
      </c>
      <c r="G5831" s="1" t="n">
        <v>1.27</v>
      </c>
      <c r="H5831" s="1" t="n">
        <v>1403</v>
      </c>
      <c r="I5831" s="1" t="n">
        <v>1.34</v>
      </c>
      <c r="J5831" t="n">
        <v>28110510</v>
      </c>
    </row>
    <row r="5832" ht="15.75" customHeight="1" s="201">
      <c r="A5832" s="1" t="inlineStr">
        <is>
          <t>Rice and vermicelli mix, chicken flavor, prepared with 80% margarine</t>
        </is>
      </c>
      <c r="C5832" s="1" t="n">
        <v>23.54</v>
      </c>
      <c r="E5832" s="1" t="n">
        <v>0.95</v>
      </c>
      <c r="F5832" s="1" t="n">
        <v>2.65</v>
      </c>
      <c r="G5832" s="1" t="n">
        <v>3.45</v>
      </c>
      <c r="H5832" s="1" t="n">
        <v>139</v>
      </c>
      <c r="I5832" s="1" t="n">
        <v>0.46</v>
      </c>
      <c r="J5832" t="n">
        <v>27446315</v>
      </c>
    </row>
    <row r="5833" ht="15.75" customHeight="1" s="201">
      <c r="A5833" s="1" t="inlineStr">
        <is>
          <t>Rice and vermicelli mix, rice pilaf flavor, prepared with 80% margarine</t>
        </is>
      </c>
      <c r="C5833" s="1" t="n">
        <v>25.67</v>
      </c>
      <c r="E5833" s="1" t="n">
        <v>0.85</v>
      </c>
      <c r="F5833" s="1" t="n">
        <v>2.94</v>
      </c>
      <c r="G5833" s="1" t="n">
        <v>3.7</v>
      </c>
      <c r="H5833" s="1" t="n">
        <v>129</v>
      </c>
      <c r="I5833" s="1" t="n">
        <v>0.39</v>
      </c>
      <c r="J5833" t="n">
        <v>58163410</v>
      </c>
    </row>
    <row r="5834" ht="15.75" customHeight="1" s="201">
      <c r="A5834" s="1" t="inlineStr">
        <is>
          <t>Rice and vermicelli mix, rice pilaf flavor, unprepared</t>
        </is>
      </c>
      <c r="C5834" s="1" t="n">
        <v>76.31</v>
      </c>
      <c r="D5834" s="1" t="n">
        <v>212</v>
      </c>
      <c r="E5834" s="1" t="n">
        <v>2.44</v>
      </c>
      <c r="F5834" s="1" t="n">
        <v>10.42</v>
      </c>
      <c r="G5834" s="1" t="n">
        <v>1.37</v>
      </c>
      <c r="H5834" s="1" t="n">
        <v>14</v>
      </c>
      <c r="I5834" s="1" t="n">
        <v>1.01</v>
      </c>
      <c r="J5834" t="n">
        <v>54319000</v>
      </c>
    </row>
    <row r="5835" ht="15.75" customHeight="1" s="201">
      <c r="A5835" s="1" t="inlineStr">
        <is>
          <t>Rice and Wheat cereal bar</t>
        </is>
      </c>
      <c r="C5835" s="1" t="n">
        <v>72.73</v>
      </c>
      <c r="D5835" s="1" t="n">
        <v>15</v>
      </c>
      <c r="E5835" s="1" t="n">
        <v>2.56</v>
      </c>
      <c r="F5835" s="1" t="n">
        <v>9.09</v>
      </c>
      <c r="G5835" s="1" t="n">
        <v>9.09</v>
      </c>
      <c r="H5835" s="1" t="n">
        <v>0</v>
      </c>
      <c r="I5835" s="1" t="n">
        <v>1.78</v>
      </c>
      <c r="J5835" t="n">
        <v>54338000</v>
      </c>
    </row>
    <row r="5836" ht="15.75" customHeight="1" s="201">
      <c r="A5836" s="1" t="inlineStr">
        <is>
          <t>Rice bowl with chicken, frozen entree, prepared (includes fried, teriyaki, and sweet and sour varieties)</t>
        </is>
      </c>
      <c r="C5836" s="1" t="n">
        <v>22.46</v>
      </c>
      <c r="D5836" s="1" t="n">
        <v>18</v>
      </c>
      <c r="E5836" s="1" t="n">
        <v>0.35</v>
      </c>
      <c r="F5836" s="1" t="n">
        <v>5.65</v>
      </c>
      <c r="G5836" s="1" t="n">
        <v>1.56</v>
      </c>
      <c r="H5836" s="1" t="n">
        <v>609</v>
      </c>
      <c r="I5836" s="1" t="n">
        <v>0.38</v>
      </c>
      <c r="J5836" t="n">
        <v>28141201</v>
      </c>
    </row>
    <row r="5837" ht="15.75" customHeight="1" s="201">
      <c r="A5837" s="1" t="inlineStr">
        <is>
          <t>Rice bran, crude</t>
        </is>
      </c>
      <c r="C5837" s="1" t="n">
        <v>49.69</v>
      </c>
      <c r="D5837" s="1" t="n">
        <v>63</v>
      </c>
      <c r="E5837" s="1" t="n">
        <v>18.54</v>
      </c>
      <c r="F5837" s="1" t="n">
        <v>13.35</v>
      </c>
      <c r="G5837" s="1" t="n">
        <v>20.85</v>
      </c>
      <c r="H5837" s="1" t="n">
        <v>0</v>
      </c>
      <c r="I5837" s="1" t="n">
        <v>6.04</v>
      </c>
      <c r="J5837" t="n">
        <v>54319000</v>
      </c>
    </row>
    <row r="5838" ht="15.75" customHeight="1" s="201">
      <c r="A5838" s="1" t="inlineStr">
        <is>
          <t>Rice cake, cracker (include hain mini rice cakes)</t>
        </is>
      </c>
      <c r="C5838" s="1" t="n">
        <v>81.09999999999999</v>
      </c>
      <c r="D5838" s="1" t="n">
        <v>21</v>
      </c>
      <c r="E5838" s="1" t="n">
        <v>1.49</v>
      </c>
      <c r="F5838" s="1" t="n">
        <v>7.1</v>
      </c>
      <c r="G5838" s="1" t="n">
        <v>4.3</v>
      </c>
      <c r="H5838" s="1" t="n">
        <v>0</v>
      </c>
      <c r="I5838" s="1" t="n">
        <v>3</v>
      </c>
      <c r="J5838" t="n">
        <v>53109200</v>
      </c>
    </row>
    <row r="5839" ht="15.75" customHeight="1" s="201">
      <c r="A5839" s="1" t="inlineStr">
        <is>
          <t>Rice crackers</t>
        </is>
      </c>
      <c r="C5839" s="1" t="n">
        <v>82.64</v>
      </c>
      <c r="D5839" s="1" t="n">
        <v>22</v>
      </c>
      <c r="E5839" s="1" t="n">
        <v>0</v>
      </c>
      <c r="F5839" s="1" t="n">
        <v>10</v>
      </c>
      <c r="G5839" s="1" t="n">
        <v>5</v>
      </c>
      <c r="H5839" s="1" t="n">
        <v>0</v>
      </c>
      <c r="I5839" s="1" t="n">
        <v>2.2</v>
      </c>
      <c r="J5839" t="n">
        <v>54319000</v>
      </c>
    </row>
    <row r="5840" ht="15.75" customHeight="1" s="201">
      <c r="A5840" s="1" t="inlineStr">
        <is>
          <t>Rice flour, brown</t>
        </is>
      </c>
      <c r="C5840" s="1" t="n">
        <v>76.48</v>
      </c>
      <c r="D5840" s="1" t="n">
        <v>16</v>
      </c>
      <c r="E5840" s="1" t="n">
        <v>1.98</v>
      </c>
      <c r="F5840" s="1" t="n">
        <v>7.23</v>
      </c>
      <c r="G5840" s="1" t="n">
        <v>2.78</v>
      </c>
      <c r="H5840" s="1" t="n">
        <v>0</v>
      </c>
      <c r="I5840" s="1" t="n">
        <v>2.45</v>
      </c>
      <c r="J5840" t="n">
        <v>54319000</v>
      </c>
    </row>
    <row r="5841" ht="15.75" customHeight="1" s="201">
      <c r="A5841" s="1" t="inlineStr">
        <is>
          <t>Rice flour, white, unenriched</t>
        </is>
      </c>
      <c r="C5841" s="1" t="n">
        <v>80.13</v>
      </c>
      <c r="D5841" s="1" t="n">
        <v>4</v>
      </c>
      <c r="E5841" s="1" t="n">
        <v>0.35</v>
      </c>
      <c r="F5841" s="1" t="n">
        <v>5.95</v>
      </c>
      <c r="G5841" s="1" t="n">
        <v>1.42</v>
      </c>
      <c r="H5841" s="1" t="n">
        <v>0</v>
      </c>
      <c r="I5841" s="1" t="n">
        <v>0.8</v>
      </c>
      <c r="J5841" t="n">
        <v>58163410</v>
      </c>
    </row>
    <row r="5842" ht="15.75" customHeight="1" s="201">
      <c r="A5842" s="1" t="inlineStr">
        <is>
          <t>Rice mix, cheese flavor, dry mix, unprepared</t>
        </is>
      </c>
      <c r="C5842" s="1" t="n">
        <v>73.88</v>
      </c>
      <c r="D5842" s="1" t="n">
        <v>175</v>
      </c>
      <c r="E5842" s="1" t="n">
        <v>4.74</v>
      </c>
      <c r="F5842" s="1" t="n">
        <v>8.77</v>
      </c>
      <c r="G5842" s="1" t="n">
        <v>3.51</v>
      </c>
      <c r="H5842" s="1" t="n">
        <v>25</v>
      </c>
      <c r="I5842" s="1" t="n">
        <v>1.45</v>
      </c>
      <c r="J5842" t="n">
        <v>14420100</v>
      </c>
    </row>
    <row r="5843" ht="15.75" customHeight="1" s="201">
      <c r="A5843" s="1" t="inlineStr">
        <is>
          <t>Rice mix, white and wild, flavored, unprepared</t>
        </is>
      </c>
      <c r="C5843" s="1" t="n">
        <v>26.28</v>
      </c>
      <c r="D5843" s="1" t="n">
        <v>68</v>
      </c>
      <c r="E5843" s="1" t="n">
        <v>1.45</v>
      </c>
      <c r="F5843" s="1" t="n">
        <v>3.49</v>
      </c>
      <c r="G5843" s="1" t="n">
        <v>2.57</v>
      </c>
      <c r="H5843" s="1" t="n">
        <v>16</v>
      </c>
      <c r="I5843" s="1" t="n">
        <v>0.6</v>
      </c>
      <c r="J5843" t="n">
        <v>56205320</v>
      </c>
    </row>
    <row r="5844" ht="15.75" customHeight="1" s="201">
      <c r="A5844" s="1" t="inlineStr">
        <is>
          <t>Rice noodles, cooked</t>
        </is>
      </c>
      <c r="C5844" s="1" t="n">
        <v>24.01</v>
      </c>
      <c r="D5844" s="1" t="n">
        <v>1</v>
      </c>
      <c r="E5844" s="1" t="n">
        <v>0.14</v>
      </c>
      <c r="F5844" s="1" t="n">
        <v>1.79</v>
      </c>
      <c r="G5844" s="1" t="n">
        <v>0.2</v>
      </c>
      <c r="H5844" s="1" t="n">
        <v>0</v>
      </c>
      <c r="I5844" s="1" t="n">
        <v>0.25</v>
      </c>
      <c r="J5844" t="n">
        <v>54319000</v>
      </c>
    </row>
    <row r="5845" ht="15.75" customHeight="1" s="201">
      <c r="A5845" s="1" t="inlineStr">
        <is>
          <t>Rice noodles, dry</t>
        </is>
      </c>
      <c r="C5845" s="1" t="n">
        <v>80.18000000000001</v>
      </c>
      <c r="D5845" s="1" t="n">
        <v>3</v>
      </c>
      <c r="E5845" s="1" t="n">
        <v>0.7</v>
      </c>
      <c r="F5845" s="1" t="n">
        <v>5.95</v>
      </c>
      <c r="G5845" s="1" t="n">
        <v>0.5600000000000001</v>
      </c>
      <c r="H5845" s="1" t="n">
        <v>0</v>
      </c>
      <c r="I5845" s="1" t="n">
        <v>0.74</v>
      </c>
      <c r="J5845" t="n">
        <v>54319000</v>
      </c>
    </row>
    <row r="5846" ht="15.75" customHeight="1" s="201">
      <c r="A5846" s="1" t="inlineStr">
        <is>
          <t>Rice, brown, long-grain, cooked (Includes foods for USDA's Food Distribution Program)</t>
        </is>
      </c>
      <c r="C5846" s="1" t="n">
        <v>25.58</v>
      </c>
      <c r="D5846" s="1" t="n">
        <v>9</v>
      </c>
      <c r="E5846" s="1" t="n">
        <v>0.5600000000000001</v>
      </c>
      <c r="F5846" s="1" t="n">
        <v>2.74</v>
      </c>
      <c r="G5846" s="1" t="n">
        <v>0.97</v>
      </c>
      <c r="H5846" s="1" t="n">
        <v>0</v>
      </c>
      <c r="I5846" s="1" t="n">
        <v>0.71</v>
      </c>
      <c r="J5846" t="n">
        <v>54319000</v>
      </c>
    </row>
    <row r="5847" ht="15.75" customHeight="1" s="201">
      <c r="A5847" s="1" t="inlineStr">
        <is>
          <t>Rice, brown, long-grain, raw (Includes foods for USDA's Food Distribution Program)</t>
        </is>
      </c>
      <c r="C5847" s="1" t="n">
        <v>76.25</v>
      </c>
      <c r="D5847" s="1" t="n">
        <v>23</v>
      </c>
      <c r="E5847" s="1" t="n">
        <v>1.29</v>
      </c>
      <c r="F5847" s="1" t="n">
        <v>7.54</v>
      </c>
      <c r="G5847" s="1" t="n">
        <v>3.2</v>
      </c>
      <c r="H5847" s="1" t="n">
        <v>0</v>
      </c>
      <c r="I5847" s="1" t="n">
        <v>2.13</v>
      </c>
      <c r="J5847" t="n">
        <v>54319000</v>
      </c>
    </row>
    <row r="5848" ht="15.75" customHeight="1" s="201">
      <c r="A5848" s="1" t="inlineStr">
        <is>
          <t>Rice, brown, medium-grain, cooked (Includes foods for USDA's Food Distribution Program)</t>
        </is>
      </c>
      <c r="C5848" s="1" t="n">
        <v>23.51</v>
      </c>
      <c r="D5848" s="1" t="n">
        <v>4</v>
      </c>
      <c r="E5848" s="1" t="n">
        <v>0.53</v>
      </c>
      <c r="F5848" s="1" t="n">
        <v>2.32</v>
      </c>
      <c r="G5848" s="1" t="n">
        <v>0.83</v>
      </c>
      <c r="H5848" s="1" t="n">
        <v>0</v>
      </c>
      <c r="I5848" s="1" t="n">
        <v>0.62</v>
      </c>
      <c r="J5848" t="n">
        <v>54319000</v>
      </c>
    </row>
    <row r="5849" ht="15.75" customHeight="1" s="201">
      <c r="A5849" s="1" t="inlineStr">
        <is>
          <t>Rice, brown, medium-grain, raw (Includes foods for USDA's Food Distribution Program)</t>
        </is>
      </c>
      <c r="C5849" s="1" t="n">
        <v>76.17</v>
      </c>
      <c r="D5849" s="1" t="n">
        <v>20</v>
      </c>
      <c r="E5849" s="1" t="n">
        <v>1.8</v>
      </c>
      <c r="F5849" s="1" t="n">
        <v>7.5</v>
      </c>
      <c r="G5849" s="1" t="n">
        <v>2.68</v>
      </c>
      <c r="H5849" s="1" t="n">
        <v>0</v>
      </c>
      <c r="I5849" s="1" t="n">
        <v>2.02</v>
      </c>
      <c r="J5849" t="n">
        <v>54319000</v>
      </c>
    </row>
    <row r="5850" ht="15.75" customHeight="1" s="201">
      <c r="A5850" s="1" t="inlineStr">
        <is>
          <t>Rice, brown, parboiled, cooked, UNCLE BENS</t>
        </is>
      </c>
      <c r="C5850" s="1" t="n">
        <v>31.33</v>
      </c>
      <c r="D5850" s="1" t="n">
        <v>4</v>
      </c>
      <c r="E5850" s="1" t="n">
        <v>0.53</v>
      </c>
      <c r="F5850" s="1" t="n">
        <v>3.09</v>
      </c>
      <c r="G5850" s="1" t="n">
        <v>0.85</v>
      </c>
      <c r="I5850" s="1" t="n">
        <v>0.77</v>
      </c>
      <c r="J5850" t="n">
        <v>54319000</v>
      </c>
    </row>
    <row r="5851" ht="15.75" customHeight="1" s="201">
      <c r="A5851" s="1" t="inlineStr">
        <is>
          <t>Rice, brown, parboiled, dry, UNCLE BEN'S</t>
        </is>
      </c>
      <c r="C5851" s="1" t="n">
        <v>78.68000000000001</v>
      </c>
      <c r="D5851" s="1" t="n">
        <v>14</v>
      </c>
      <c r="E5851" s="1" t="n">
        <v>1.16</v>
      </c>
      <c r="F5851" s="1" t="n">
        <v>7.6</v>
      </c>
      <c r="G5851" s="1" t="n">
        <v>2.75</v>
      </c>
      <c r="H5851" s="1" t="n">
        <v>0</v>
      </c>
      <c r="I5851" s="1" t="n">
        <v>1.96</v>
      </c>
      <c r="J5851" t="n">
        <v>54319000</v>
      </c>
    </row>
    <row r="5852" ht="15.75" customHeight="1" s="201">
      <c r="A5852" s="1" t="inlineStr">
        <is>
          <t>Rice, white, glutinous, unenriched, cooked</t>
        </is>
      </c>
      <c r="C5852" s="1" t="n">
        <v>21.09</v>
      </c>
      <c r="D5852" s="1" t="n">
        <v>1</v>
      </c>
      <c r="E5852" s="1" t="n">
        <v>0.14</v>
      </c>
      <c r="F5852" s="1" t="n">
        <v>2.02</v>
      </c>
      <c r="G5852" s="1" t="n">
        <v>0.19</v>
      </c>
      <c r="H5852" s="1" t="n">
        <v>0</v>
      </c>
      <c r="I5852" s="1" t="n">
        <v>0.41</v>
      </c>
      <c r="J5852" t="n">
        <v>56205190</v>
      </c>
    </row>
    <row r="5853" ht="15.75" customHeight="1" s="201">
      <c r="A5853" s="1" t="inlineStr">
        <is>
          <t>Rice, white, glutinous, unenriched, uncooked</t>
        </is>
      </c>
      <c r="C5853" s="1" t="n">
        <v>81.68000000000001</v>
      </c>
      <c r="D5853" s="1" t="n">
        <v>7</v>
      </c>
      <c r="E5853" s="1" t="n">
        <v>1.6</v>
      </c>
      <c r="F5853" s="1" t="n">
        <v>6.81</v>
      </c>
      <c r="G5853" s="1" t="n">
        <v>0.55</v>
      </c>
      <c r="H5853" s="1" t="n">
        <v>0</v>
      </c>
      <c r="I5853" s="1" t="n">
        <v>1.2</v>
      </c>
      <c r="J5853" t="n">
        <v>58163410</v>
      </c>
    </row>
    <row r="5854" ht="15.75" customHeight="1" s="201">
      <c r="A5854" s="1" t="inlineStr">
        <is>
          <t>Rice, white, long-grain, parboiled, enriched, cooked</t>
        </is>
      </c>
      <c r="C5854" s="1" t="n">
        <v>26.05</v>
      </c>
      <c r="D5854" s="1" t="n">
        <v>81</v>
      </c>
      <c r="E5854" s="1" t="n">
        <v>1.81</v>
      </c>
      <c r="F5854" s="1" t="n">
        <v>2.91</v>
      </c>
      <c r="G5854" s="1" t="n">
        <v>0.37</v>
      </c>
      <c r="H5854" s="1" t="n">
        <v>0</v>
      </c>
      <c r="I5854" s="1" t="n">
        <v>0.37</v>
      </c>
      <c r="J5854" t="n">
        <v>56205320</v>
      </c>
    </row>
    <row r="5855" ht="15.75" customHeight="1" s="201">
      <c r="A5855" s="1" t="inlineStr">
        <is>
          <t>Rice, white, long-grain, parboiled, enriched, dry</t>
        </is>
      </c>
      <c r="C5855" s="1" t="n">
        <v>80.89</v>
      </c>
      <c r="D5855" s="1" t="n">
        <v>257</v>
      </c>
      <c r="E5855" s="1" t="n">
        <v>3.33</v>
      </c>
      <c r="F5855" s="1" t="n">
        <v>7.51</v>
      </c>
      <c r="G5855" s="1" t="n">
        <v>1.03</v>
      </c>
      <c r="H5855" s="1" t="n">
        <v>0</v>
      </c>
      <c r="I5855" s="1" t="n">
        <v>1.02</v>
      </c>
      <c r="J5855" t="n">
        <v>56205320</v>
      </c>
    </row>
    <row r="5856" ht="15.75" customHeight="1" s="201">
      <c r="A5856" s="1" t="inlineStr">
        <is>
          <t>Rice, white, long-grain, parboiled, unenriched, cooked</t>
        </is>
      </c>
      <c r="C5856" s="1" t="n">
        <v>26.05</v>
      </c>
      <c r="D5856" s="1" t="n">
        <v>3</v>
      </c>
      <c r="E5856" s="1" t="n">
        <v>0.24</v>
      </c>
      <c r="F5856" s="1" t="n">
        <v>2.91</v>
      </c>
      <c r="G5856" s="1" t="n">
        <v>0.37</v>
      </c>
      <c r="I5856" s="1" t="n">
        <v>0.37</v>
      </c>
      <c r="J5856" t="n">
        <v>56205320</v>
      </c>
    </row>
    <row r="5857" ht="15.75" customHeight="1" s="201">
      <c r="A5857" s="1" t="inlineStr">
        <is>
          <t>Rice, white, long-grain, parboiled, unenriched, dry</t>
        </is>
      </c>
      <c r="C5857" s="1" t="n">
        <v>80.89</v>
      </c>
      <c r="D5857" s="1" t="n">
        <v>8</v>
      </c>
      <c r="E5857" s="1" t="n">
        <v>0.74</v>
      </c>
      <c r="F5857" s="1" t="n">
        <v>7.51</v>
      </c>
      <c r="G5857" s="1" t="n">
        <v>1.03</v>
      </c>
      <c r="H5857" s="1" t="n">
        <v>0</v>
      </c>
      <c r="I5857" s="1" t="n">
        <v>1.02</v>
      </c>
      <c r="J5857" t="n">
        <v>56205320</v>
      </c>
    </row>
    <row r="5858" ht="15.75" customHeight="1" s="201">
      <c r="A5858" s="1" t="inlineStr">
        <is>
          <t>Rice, white, long-grain, precooked or instant, enriched, dry</t>
        </is>
      </c>
      <c r="C5858" s="1" t="n">
        <v>82.31999999999999</v>
      </c>
      <c r="D5858" s="1" t="n">
        <v>275</v>
      </c>
      <c r="E5858" s="1" t="n">
        <v>6.3</v>
      </c>
      <c r="F5858" s="1" t="n">
        <v>7.82</v>
      </c>
      <c r="G5858" s="1" t="n">
        <v>0.9399999999999999</v>
      </c>
      <c r="H5858" s="1" t="n">
        <v>0</v>
      </c>
      <c r="I5858" s="1" t="n">
        <v>1.43</v>
      </c>
      <c r="J5858" t="n">
        <v>56205320</v>
      </c>
    </row>
    <row r="5859" ht="15.75" customHeight="1" s="201">
      <c r="A5859" s="1" t="inlineStr">
        <is>
          <t>Rice, white, long-grain, precooked or instant, enriched, prepared</t>
        </is>
      </c>
      <c r="C5859" s="1" t="n">
        <v>26.76</v>
      </c>
      <c r="D5859" s="1" t="n">
        <v>70</v>
      </c>
      <c r="E5859" s="1" t="n">
        <v>1.77</v>
      </c>
      <c r="F5859" s="1" t="n">
        <v>2.18</v>
      </c>
      <c r="G5859" s="1" t="n">
        <v>0.5</v>
      </c>
      <c r="H5859" s="1" t="n">
        <v>0</v>
      </c>
      <c r="I5859" s="1" t="n">
        <v>0.49</v>
      </c>
      <c r="J5859" t="n">
        <v>56205320</v>
      </c>
    </row>
    <row r="5860" ht="15.75" customHeight="1" s="201">
      <c r="A5860" s="1" t="inlineStr">
        <is>
          <t>Rice, white, long-grain, regular, cooked, enriched, with salt</t>
        </is>
      </c>
      <c r="C5860" s="1" t="n">
        <v>28.17</v>
      </c>
      <c r="D5860" s="1" t="n">
        <v>58</v>
      </c>
      <c r="E5860" s="1" t="n">
        <v>1.2</v>
      </c>
      <c r="F5860" s="1" t="n">
        <v>2.69</v>
      </c>
      <c r="G5860" s="1" t="n">
        <v>0.28</v>
      </c>
      <c r="H5860" s="1" t="n">
        <v>0</v>
      </c>
      <c r="I5860" s="1" t="n">
        <v>0.49</v>
      </c>
      <c r="J5860" t="n">
        <v>75142550</v>
      </c>
    </row>
    <row r="5861" ht="15.75" customHeight="1" s="201">
      <c r="A5861" s="1" t="inlineStr">
        <is>
          <t>Rice, white, long-grain, regular, cooked, unenriched, with salt</t>
        </is>
      </c>
      <c r="C5861" s="1" t="n">
        <v>28.17</v>
      </c>
      <c r="D5861" s="1" t="n">
        <v>3</v>
      </c>
      <c r="E5861" s="1" t="n">
        <v>0.2</v>
      </c>
      <c r="F5861" s="1" t="n">
        <v>2.69</v>
      </c>
      <c r="G5861" s="1" t="n">
        <v>0.28</v>
      </c>
      <c r="H5861" s="1" t="n">
        <v>0</v>
      </c>
      <c r="I5861" s="1" t="n">
        <v>0.49</v>
      </c>
      <c r="J5861" t="n">
        <v>75142550</v>
      </c>
    </row>
    <row r="5862" ht="15.75" customHeight="1" s="201">
      <c r="A5862" s="1" t="inlineStr">
        <is>
          <t>Rice, white, long-grain, regular, enriched, cooked</t>
        </is>
      </c>
      <c r="C5862" s="1" t="n">
        <v>28.17</v>
      </c>
      <c r="D5862" s="1" t="n">
        <v>58</v>
      </c>
      <c r="E5862" s="1" t="n">
        <v>1.2</v>
      </c>
      <c r="F5862" s="1" t="n">
        <v>2.69</v>
      </c>
      <c r="G5862" s="1" t="n">
        <v>0.28</v>
      </c>
      <c r="H5862" s="1" t="n">
        <v>0</v>
      </c>
      <c r="I5862" s="1" t="n">
        <v>0.49</v>
      </c>
      <c r="J5862" t="n">
        <v>56205320</v>
      </c>
    </row>
    <row r="5863" ht="15.75" customHeight="1" s="201">
      <c r="A5863" s="1" t="inlineStr">
        <is>
          <t>Rice, white, long-grain, regular, raw, enriched</t>
        </is>
      </c>
      <c r="C5863" s="1" t="n">
        <v>79.95</v>
      </c>
      <c r="D5863" s="1" t="n">
        <v>231</v>
      </c>
      <c r="E5863" s="1" t="n">
        <v>4.31</v>
      </c>
      <c r="F5863" s="1" t="n">
        <v>7.13</v>
      </c>
      <c r="G5863" s="1" t="n">
        <v>0.66</v>
      </c>
      <c r="H5863" s="1" t="n">
        <v>0</v>
      </c>
      <c r="I5863" s="1" t="n">
        <v>1.09</v>
      </c>
      <c r="J5863" t="n">
        <v>56205320</v>
      </c>
    </row>
    <row r="5864" ht="15.75" customHeight="1" s="201">
      <c r="A5864" s="1" t="inlineStr">
        <is>
          <t>Rice, white, long-grain, regular, raw, unenriched</t>
        </is>
      </c>
      <c r="C5864" s="1" t="n">
        <v>79.95</v>
      </c>
      <c r="D5864" s="1" t="n">
        <v>8</v>
      </c>
      <c r="E5864" s="1" t="n">
        <v>0.8</v>
      </c>
      <c r="F5864" s="1" t="n">
        <v>7.13</v>
      </c>
      <c r="G5864" s="1" t="n">
        <v>0.66</v>
      </c>
      <c r="H5864" s="1" t="n">
        <v>0</v>
      </c>
      <c r="I5864" s="1" t="n">
        <v>1.09</v>
      </c>
      <c r="J5864" t="n">
        <v>56205320</v>
      </c>
    </row>
    <row r="5865" ht="15.75" customHeight="1" s="201">
      <c r="A5865" s="1" t="inlineStr">
        <is>
          <t>Rice, white, long-grain, regular, unenriched, cooked without salt</t>
        </is>
      </c>
      <c r="C5865" s="1" t="n">
        <v>28.17</v>
      </c>
      <c r="D5865" s="1" t="n">
        <v>3</v>
      </c>
      <c r="E5865" s="1" t="n">
        <v>0.2</v>
      </c>
      <c r="F5865" s="1" t="n">
        <v>2.69</v>
      </c>
      <c r="G5865" s="1" t="n">
        <v>0.28</v>
      </c>
      <c r="H5865" s="1" t="n">
        <v>0</v>
      </c>
      <c r="I5865" s="1" t="n">
        <v>0.49</v>
      </c>
      <c r="J5865" t="n">
        <v>56205320</v>
      </c>
    </row>
    <row r="5866" ht="15.75" customHeight="1" s="201">
      <c r="A5866" s="1" t="inlineStr">
        <is>
          <t>Rice, white, medium-grain, cooked, unenriched</t>
        </is>
      </c>
      <c r="C5866" s="1" t="n">
        <v>28.59</v>
      </c>
      <c r="D5866" s="1" t="n">
        <v>2</v>
      </c>
      <c r="E5866" s="1" t="n">
        <v>0.2</v>
      </c>
      <c r="F5866" s="1" t="n">
        <v>2.38</v>
      </c>
      <c r="G5866" s="1" t="n">
        <v>0.21</v>
      </c>
      <c r="H5866" s="1" t="n">
        <v>0</v>
      </c>
      <c r="I5866" s="1" t="n">
        <v>0.42</v>
      </c>
      <c r="J5866" t="n">
        <v>56205320</v>
      </c>
    </row>
    <row r="5867" ht="15.75" customHeight="1" s="201">
      <c r="A5867" s="1" t="inlineStr">
        <is>
          <t>Rice, white, medium-grain, enriched, cooked</t>
        </is>
      </c>
      <c r="C5867" s="1" t="n">
        <v>28.59</v>
      </c>
      <c r="D5867" s="1" t="n">
        <v>58</v>
      </c>
      <c r="E5867" s="1" t="n">
        <v>1.49</v>
      </c>
      <c r="F5867" s="1" t="n">
        <v>2.38</v>
      </c>
      <c r="G5867" s="1" t="n">
        <v>0.21</v>
      </c>
      <c r="H5867" s="1" t="n">
        <v>0</v>
      </c>
      <c r="I5867" s="1" t="n">
        <v>0.42</v>
      </c>
      <c r="J5867" t="n">
        <v>56205320</v>
      </c>
    </row>
    <row r="5868" ht="15.75" customHeight="1" s="201">
      <c r="A5868" s="1" t="inlineStr">
        <is>
          <t>Rice, white, medium-grain, raw, enriched</t>
        </is>
      </c>
      <c r="C5868" s="1" t="n">
        <v>79.34</v>
      </c>
      <c r="D5868" s="1" t="n">
        <v>231</v>
      </c>
      <c r="E5868" s="1" t="n">
        <v>4.36</v>
      </c>
      <c r="F5868" s="1" t="n">
        <v>6.61</v>
      </c>
      <c r="G5868" s="1" t="n">
        <v>0.58</v>
      </c>
      <c r="H5868" s="1" t="n">
        <v>0</v>
      </c>
      <c r="I5868" s="1" t="n">
        <v>1.16</v>
      </c>
      <c r="J5868" t="n">
        <v>56205320</v>
      </c>
    </row>
    <row r="5869" ht="15.75" customHeight="1" s="201">
      <c r="A5869" s="1" t="inlineStr">
        <is>
          <t>Rice, white, medium-grain, raw, unenriched</t>
        </is>
      </c>
      <c r="C5869" s="1" t="n">
        <v>79.34</v>
      </c>
      <c r="D5869" s="1" t="n">
        <v>9</v>
      </c>
      <c r="E5869" s="1" t="n">
        <v>0.8</v>
      </c>
      <c r="F5869" s="1" t="n">
        <v>6.61</v>
      </c>
      <c r="G5869" s="1" t="n">
        <v>0.58</v>
      </c>
      <c r="I5869" s="1" t="n">
        <v>1.16</v>
      </c>
      <c r="J5869" t="n">
        <v>56205320</v>
      </c>
    </row>
    <row r="5870" ht="15.75" customHeight="1" s="201">
      <c r="A5870" s="1" t="inlineStr">
        <is>
          <t>Rice, white, short-grain, cooked, unenriched</t>
        </is>
      </c>
      <c r="C5870" s="1" t="n">
        <v>28.73</v>
      </c>
      <c r="D5870" s="1" t="n">
        <v>2</v>
      </c>
      <c r="E5870" s="1" t="n">
        <v>0.2</v>
      </c>
      <c r="F5870" s="1" t="n">
        <v>2.36</v>
      </c>
      <c r="G5870" s="1" t="n">
        <v>0.19</v>
      </c>
      <c r="I5870" s="1" t="n">
        <v>0.4</v>
      </c>
      <c r="J5870" t="n">
        <v>56205320</v>
      </c>
    </row>
    <row r="5871" ht="15.75" customHeight="1" s="201">
      <c r="A5871" s="1" t="inlineStr">
        <is>
          <t>Rice, white, short-grain, enriched, cooked</t>
        </is>
      </c>
      <c r="C5871" s="1" t="n">
        <v>28.73</v>
      </c>
      <c r="D5871" s="1" t="n">
        <v>59</v>
      </c>
      <c r="E5871" s="1" t="n">
        <v>1.46</v>
      </c>
      <c r="F5871" s="1" t="n">
        <v>2.36</v>
      </c>
      <c r="G5871" s="1" t="n">
        <v>0.19</v>
      </c>
      <c r="H5871" s="1" t="n">
        <v>0</v>
      </c>
      <c r="I5871" s="1" t="n">
        <v>0.4</v>
      </c>
      <c r="J5871" t="n">
        <v>56205320</v>
      </c>
    </row>
    <row r="5872" ht="15.75" customHeight="1" s="201">
      <c r="A5872" s="1" t="inlineStr">
        <is>
          <t>Rice, white, short-grain, enriched, uncooked</t>
        </is>
      </c>
      <c r="C5872" s="1" t="n">
        <v>79.15000000000001</v>
      </c>
      <c r="D5872" s="1" t="n">
        <v>231</v>
      </c>
      <c r="E5872" s="1" t="n">
        <v>4.23</v>
      </c>
      <c r="F5872" s="1" t="n">
        <v>6.5</v>
      </c>
      <c r="G5872" s="1" t="n">
        <v>0.52</v>
      </c>
      <c r="H5872" s="1" t="n">
        <v>0</v>
      </c>
      <c r="I5872" s="1" t="n">
        <v>1.1</v>
      </c>
      <c r="J5872" t="n">
        <v>56205320</v>
      </c>
    </row>
    <row r="5873" ht="15.75" customHeight="1" s="201">
      <c r="A5873" s="1" t="inlineStr">
        <is>
          <t>Rice, white, short-grain, raw, unenriched</t>
        </is>
      </c>
      <c r="C5873" s="1" t="n">
        <v>79.15000000000001</v>
      </c>
      <c r="D5873" s="1" t="n">
        <v>6</v>
      </c>
      <c r="E5873" s="1" t="n">
        <v>0.8</v>
      </c>
      <c r="F5873" s="1" t="n">
        <v>6.5</v>
      </c>
      <c r="G5873" s="1" t="n">
        <v>0.52</v>
      </c>
      <c r="I5873" s="1" t="n">
        <v>1.1</v>
      </c>
      <c r="J5873" t="n">
        <v>56205320</v>
      </c>
    </row>
    <row r="5874" ht="15.75" customHeight="1" s="201">
      <c r="A5874" s="1" t="inlineStr">
        <is>
          <t>Rice, white, steamed, Chinese restaurant</t>
        </is>
      </c>
      <c r="C5874" s="1" t="n">
        <v>33.88</v>
      </c>
      <c r="D5874" s="1" t="n">
        <v>5</v>
      </c>
      <c r="E5874" s="1" t="n">
        <v>0.39</v>
      </c>
      <c r="F5874" s="1" t="n">
        <v>3.2</v>
      </c>
      <c r="G5874" s="1" t="n">
        <v>0.27</v>
      </c>
      <c r="I5874" s="1" t="n">
        <v>0.68</v>
      </c>
      <c r="J5874" t="n">
        <v>58163410</v>
      </c>
    </row>
    <row r="5875" ht="15.75" customHeight="1" s="201">
      <c r="A5875" s="1" t="inlineStr">
        <is>
          <t>RICE-A-RONI, chicken flavor, unprepared</t>
        </is>
      </c>
      <c r="C5875" s="1" t="n">
        <v>76.08</v>
      </c>
      <c r="D5875" s="1" t="n">
        <v>26</v>
      </c>
      <c r="E5875" s="1" t="n">
        <v>2.77</v>
      </c>
      <c r="F5875" s="1" t="n">
        <v>10.64</v>
      </c>
      <c r="G5875" s="1" t="n">
        <v>1.04</v>
      </c>
      <c r="H5875" s="1" t="n">
        <v>51</v>
      </c>
      <c r="I5875" s="1" t="n">
        <v>1.36</v>
      </c>
      <c r="J5875" t="n">
        <v>28141201</v>
      </c>
    </row>
    <row r="5876" ht="15.75" customHeight="1" s="201">
      <c r="A5876" s="1" t="inlineStr">
        <is>
          <t>Roast beef spread</t>
        </is>
      </c>
      <c r="C5876" s="1" t="n">
        <v>3.73</v>
      </c>
      <c r="D5876" s="1" t="n">
        <v>8</v>
      </c>
      <c r="E5876" s="1" t="n">
        <v>2.06</v>
      </c>
      <c r="F5876" s="1" t="n">
        <v>15.27</v>
      </c>
      <c r="G5876" s="1" t="n">
        <v>16.28</v>
      </c>
      <c r="H5876" s="1" t="n">
        <v>1</v>
      </c>
      <c r="I5876" s="1" t="n">
        <v>6.08</v>
      </c>
      <c r="J5876" t="n">
        <v>27513010</v>
      </c>
    </row>
    <row r="5877" ht="15.75" customHeight="1" s="201">
      <c r="A5877" s="1" t="inlineStr">
        <is>
          <t>Roast beef, deli style, prepackaged, sliced</t>
        </is>
      </c>
      <c r="C5877" s="1" t="n">
        <v>0.64</v>
      </c>
      <c r="D5877" s="1" t="n">
        <v>5</v>
      </c>
      <c r="E5877" s="1" t="n">
        <v>2.05</v>
      </c>
      <c r="F5877" s="1" t="n">
        <v>18.62</v>
      </c>
      <c r="G5877" s="1" t="n">
        <v>3.69</v>
      </c>
      <c r="H5877" s="1" t="n">
        <v>11</v>
      </c>
      <c r="I5877" s="1" t="n">
        <v>3.2</v>
      </c>
      <c r="J5877" t="n">
        <v>28110510</v>
      </c>
    </row>
    <row r="5878" ht="15.75" customHeight="1" s="201">
      <c r="A5878" s="1" t="inlineStr">
        <is>
          <t>Rolls, dinner, plain, commercially prepared (includes brown-and-serve)</t>
        </is>
      </c>
      <c r="C5878" s="1" t="n">
        <v>52.04</v>
      </c>
      <c r="D5878" s="1" t="n">
        <v>101</v>
      </c>
      <c r="E5878" s="1" t="n">
        <v>3.72</v>
      </c>
      <c r="F5878" s="1" t="n">
        <v>10.86</v>
      </c>
      <c r="G5878" s="1" t="n">
        <v>6.47</v>
      </c>
      <c r="H5878" s="1" t="n">
        <v>5</v>
      </c>
      <c r="I5878" s="1" t="n">
        <v>0.99</v>
      </c>
      <c r="J5878" t="n">
        <v>25221405</v>
      </c>
    </row>
    <row r="5879" ht="15.75" customHeight="1" s="201">
      <c r="A5879" s="1" t="inlineStr">
        <is>
          <t>Rolls, dinner, plain, prepared from recipe, made with low fat (2%) milk</t>
        </is>
      </c>
      <c r="C5879" s="1" t="n">
        <v>53.4</v>
      </c>
      <c r="D5879" s="1" t="n">
        <v>90</v>
      </c>
      <c r="E5879" s="1" t="n">
        <v>2.96</v>
      </c>
      <c r="F5879" s="1" t="n">
        <v>8.5</v>
      </c>
      <c r="G5879" s="1" t="n">
        <v>7.3</v>
      </c>
      <c r="H5879" s="1" t="n">
        <v>338</v>
      </c>
      <c r="I5879" s="1" t="n">
        <v>0.7</v>
      </c>
      <c r="J5879" t="n">
        <v>75142550</v>
      </c>
    </row>
    <row r="5880" ht="15.75" customHeight="1" s="201">
      <c r="A5880" s="1" t="inlineStr">
        <is>
          <t>Rolls, dinner, sweet</t>
        </is>
      </c>
      <c r="C5880" s="1" t="n">
        <v>53.58</v>
      </c>
      <c r="D5880" s="1" t="n">
        <v>91</v>
      </c>
      <c r="E5880" s="1" t="n">
        <v>2.74</v>
      </c>
      <c r="F5880" s="1" t="n">
        <v>10.04</v>
      </c>
      <c r="G5880" s="1" t="n">
        <v>7.37</v>
      </c>
      <c r="H5880" s="1" t="n">
        <v>135</v>
      </c>
      <c r="I5880" s="1" t="n">
        <v>0.85</v>
      </c>
      <c r="J5880" t="n">
        <v>28110510</v>
      </c>
    </row>
    <row r="5881" ht="15.75" customHeight="1" s="201">
      <c r="A5881" s="1" t="inlineStr">
        <is>
          <t>Rolls, dinner, whole-wheat</t>
        </is>
      </c>
      <c r="C5881" s="1" t="n">
        <v>51.1</v>
      </c>
      <c r="D5881" s="1" t="n">
        <v>30</v>
      </c>
      <c r="E5881" s="1" t="n">
        <v>2.42</v>
      </c>
      <c r="F5881" s="1" t="n">
        <v>8.699999999999999</v>
      </c>
      <c r="G5881" s="1" t="n">
        <v>4.7</v>
      </c>
      <c r="H5881" s="1" t="n">
        <v>0</v>
      </c>
      <c r="I5881" s="1" t="n">
        <v>2.01</v>
      </c>
      <c r="J5881" t="n">
        <v>54204030</v>
      </c>
    </row>
    <row r="5882" ht="15.75" customHeight="1" s="201">
      <c r="A5882" s="1" t="inlineStr">
        <is>
          <t>Rolls, french</t>
        </is>
      </c>
      <c r="C5882" s="1" t="n">
        <v>50.2</v>
      </c>
      <c r="D5882" s="1" t="n">
        <v>113</v>
      </c>
      <c r="E5882" s="1" t="n">
        <v>2.71</v>
      </c>
      <c r="F5882" s="1" t="n">
        <v>8.6</v>
      </c>
      <c r="G5882" s="1" t="n">
        <v>4.3</v>
      </c>
      <c r="H5882" s="1" t="n">
        <v>0</v>
      </c>
      <c r="I5882" s="1" t="n">
        <v>0.9</v>
      </c>
      <c r="J5882" t="n">
        <v>55300020</v>
      </c>
    </row>
    <row r="5883" ht="15.75" customHeight="1" s="201">
      <c r="A5883" s="1" t="inlineStr">
        <is>
          <t>Rolls, gluten-free, white, made with brown rice flour, tapioca starch, and potato starch</t>
        </is>
      </c>
      <c r="C5883" s="1" t="n">
        <v>55.1</v>
      </c>
      <c r="E5883" s="1" t="n">
        <v>0.78</v>
      </c>
      <c r="F5883" s="1" t="n">
        <v>7.99</v>
      </c>
      <c r="G5883" s="1" t="n">
        <v>6.4</v>
      </c>
      <c r="I5883" s="1" t="n">
        <v>0.7</v>
      </c>
      <c r="J5883" t="n">
        <v>58148118</v>
      </c>
    </row>
    <row r="5884" ht="15.75" customHeight="1" s="201">
      <c r="A5884" s="1" t="inlineStr">
        <is>
          <t>Rolls, gluten-free, white, made with brown rice flour, tapioca starch, and sorghum flour</t>
        </is>
      </c>
      <c r="C5884" s="1" t="n">
        <v>40.24</v>
      </c>
      <c r="D5884" s="1" t="n">
        <v>31</v>
      </c>
      <c r="E5884" s="1" t="n">
        <v>0.89</v>
      </c>
      <c r="F5884" s="1" t="n">
        <v>5.65</v>
      </c>
      <c r="G5884" s="1" t="n">
        <v>8.199999999999999</v>
      </c>
      <c r="I5884" s="1" t="n">
        <v>0.77</v>
      </c>
      <c r="J5884" t="n">
        <v>58148118</v>
      </c>
    </row>
    <row r="5885" ht="15.75" customHeight="1" s="201">
      <c r="A5885" s="1" t="inlineStr">
        <is>
          <t>Rolls, gluten-free, white, made with rice flour, rice starch, and corn starch</t>
        </is>
      </c>
      <c r="C5885" s="1" t="n">
        <v>50.47</v>
      </c>
      <c r="D5885" s="1" t="n">
        <v>8</v>
      </c>
      <c r="E5885" s="1" t="n">
        <v>3.57</v>
      </c>
      <c r="F5885" s="1" t="n">
        <v>3.34</v>
      </c>
      <c r="G5885" s="1" t="n">
        <v>2.65</v>
      </c>
      <c r="H5885" s="1" t="n">
        <v>0</v>
      </c>
      <c r="I5885" s="1" t="n">
        <v>0.5600000000000001</v>
      </c>
      <c r="J5885" t="n">
        <v>54318500</v>
      </c>
    </row>
    <row r="5886" ht="15.75" customHeight="1" s="201">
      <c r="A5886" s="1" t="inlineStr">
        <is>
          <t>Rolls, gluten-free, whole grain, made with tapioca starch and brown rice flour</t>
        </is>
      </c>
      <c r="C5886" s="1" t="n">
        <v>44.29</v>
      </c>
      <c r="E5886" s="1" t="n">
        <v>1.64</v>
      </c>
      <c r="F5886" s="1" t="n">
        <v>11.8</v>
      </c>
      <c r="G5886" s="1" t="n">
        <v>11.6</v>
      </c>
      <c r="I5886" s="1" t="n">
        <v>1.35</v>
      </c>
      <c r="J5886" t="n">
        <v>58148118</v>
      </c>
    </row>
    <row r="5887" ht="15.75" customHeight="1" s="201">
      <c r="A5887" s="1" t="inlineStr">
        <is>
          <t>Rolls, hamburger or hot dog, wheat/cracked wheat</t>
        </is>
      </c>
      <c r="C5887" s="1" t="n">
        <v>47.31</v>
      </c>
      <c r="D5887" s="1" t="n">
        <v>84</v>
      </c>
      <c r="E5887" s="1" t="n">
        <v>2.92</v>
      </c>
      <c r="F5887" s="1" t="n">
        <v>11.69</v>
      </c>
      <c r="G5887" s="1" t="n">
        <v>3.61</v>
      </c>
      <c r="H5887" s="1" t="n">
        <v>99</v>
      </c>
      <c r="I5887" s="1" t="n">
        <v>1.17</v>
      </c>
      <c r="J5887" t="n">
        <v>54338000</v>
      </c>
    </row>
    <row r="5888" ht="15.75" customHeight="1" s="201">
      <c r="A5888" s="1" t="inlineStr">
        <is>
          <t>Rolls, hamburger or hot dog, whole wheat</t>
        </is>
      </c>
      <c r="C5888" s="1" t="n">
        <v>44.93</v>
      </c>
      <c r="D5888" s="1" t="n">
        <v>42</v>
      </c>
      <c r="E5888" s="1" t="n">
        <v>2.42</v>
      </c>
      <c r="F5888" s="1" t="n">
        <v>12.38</v>
      </c>
      <c r="G5888" s="1" t="n">
        <v>4.38</v>
      </c>
      <c r="H5888" s="1" t="n">
        <v>120</v>
      </c>
      <c r="I5888" s="1" t="n">
        <v>1.71</v>
      </c>
      <c r="J5888" t="n">
        <v>54204030</v>
      </c>
    </row>
    <row r="5889" ht="15.75" customHeight="1" s="201">
      <c r="A5889" s="1" t="inlineStr">
        <is>
          <t>Rolls, hamburger or hotdog, mixed-grain</t>
        </is>
      </c>
      <c r="C5889" s="1" t="n">
        <v>44.6</v>
      </c>
      <c r="D5889" s="1" t="n">
        <v>111</v>
      </c>
      <c r="E5889" s="1" t="n">
        <v>3.95</v>
      </c>
      <c r="F5889" s="1" t="n">
        <v>9.6</v>
      </c>
      <c r="G5889" s="1" t="n">
        <v>6</v>
      </c>
      <c r="H5889" s="1" t="n">
        <v>0</v>
      </c>
      <c r="I5889" s="1" t="n">
        <v>1.05</v>
      </c>
      <c r="J5889" t="n">
        <v>27212100</v>
      </c>
    </row>
    <row r="5890" ht="15.75" customHeight="1" s="201">
      <c r="A5890" s="1" t="inlineStr">
        <is>
          <t>Rolls, hamburger or hotdog, plain</t>
        </is>
      </c>
      <c r="C5890" s="1" t="n">
        <v>50.12</v>
      </c>
      <c r="D5890" s="1" t="n">
        <v>94</v>
      </c>
      <c r="E5890" s="1" t="n">
        <v>3.43</v>
      </c>
      <c r="F5890" s="1" t="n">
        <v>9.77</v>
      </c>
      <c r="G5890" s="1" t="n">
        <v>3.91</v>
      </c>
      <c r="H5890" s="1" t="n">
        <v>107</v>
      </c>
      <c r="I5890" s="1" t="n">
        <v>0.73</v>
      </c>
      <c r="J5890" t="n">
        <v>27212100</v>
      </c>
    </row>
    <row r="5891" ht="15.75" customHeight="1" s="201">
      <c r="A5891" s="1" t="inlineStr">
        <is>
          <t>Rolls, hamburger, whole grain white, calcium-fortified</t>
        </is>
      </c>
      <c r="C5891" s="1" t="n">
        <v>46.5</v>
      </c>
      <c r="D5891" s="1" t="n">
        <v>140</v>
      </c>
      <c r="E5891" s="1" t="n">
        <v>2.59</v>
      </c>
      <c r="F5891" s="1" t="n">
        <v>9.300000000000001</v>
      </c>
      <c r="G5891" s="1" t="n">
        <v>3.49</v>
      </c>
      <c r="H5891" s="1" t="n">
        <v>2</v>
      </c>
      <c r="I5891" s="1" t="n">
        <v>2.05</v>
      </c>
      <c r="J5891" t="n">
        <v>54204030</v>
      </c>
    </row>
    <row r="5892" ht="15.75" customHeight="1" s="201">
      <c r="A5892" s="1" t="inlineStr">
        <is>
          <t>Rolls, pumpernickel</t>
        </is>
      </c>
      <c r="C5892" s="1" t="n">
        <v>51.87</v>
      </c>
      <c r="D5892" s="1" t="n">
        <v>86</v>
      </c>
      <c r="E5892" s="1" t="n">
        <v>2.78</v>
      </c>
      <c r="F5892" s="1" t="n">
        <v>10.8</v>
      </c>
      <c r="G5892" s="1" t="n">
        <v>2.8</v>
      </c>
      <c r="H5892" s="1" t="n">
        <v>6</v>
      </c>
      <c r="I5892" s="1" t="n">
        <v>1.48</v>
      </c>
      <c r="J5892" t="n">
        <v>27315250</v>
      </c>
    </row>
    <row r="5893" ht="15.75" customHeight="1" s="201">
      <c r="A5893" s="1" t="inlineStr">
        <is>
          <t>Rose Hips, wild (Northern Plains Indians)</t>
        </is>
      </c>
      <c r="C5893" s="1" t="n">
        <v>38.22</v>
      </c>
      <c r="D5893" s="1" t="n">
        <v>3</v>
      </c>
      <c r="E5893" s="1" t="n">
        <v>1.06</v>
      </c>
      <c r="F5893" s="1" t="n">
        <v>1.6</v>
      </c>
      <c r="G5893" s="1" t="n">
        <v>0.34</v>
      </c>
      <c r="H5893" s="1" t="n">
        <v>4345</v>
      </c>
      <c r="I5893" s="1" t="n">
        <v>0.25</v>
      </c>
      <c r="J5893" t="n">
        <v>56205320</v>
      </c>
    </row>
    <row r="5894" ht="15.75" customHeight="1" s="201">
      <c r="A5894" s="1" t="inlineStr">
        <is>
          <t>Rose-apples, raw</t>
        </is>
      </c>
      <c r="C5894" s="1" t="n">
        <v>5.7</v>
      </c>
      <c r="E5894" s="1" t="n">
        <v>0.07000000000000001</v>
      </c>
      <c r="F5894" s="1" t="n">
        <v>0.6</v>
      </c>
      <c r="G5894" s="1" t="n">
        <v>0.3</v>
      </c>
      <c r="H5894" s="1" t="n">
        <v>339</v>
      </c>
      <c r="I5894" s="1" t="n">
        <v>0.06</v>
      </c>
      <c r="J5894" t="n">
        <v>91705010</v>
      </c>
    </row>
    <row r="5895" ht="15.75" customHeight="1" s="201">
      <c r="A5895" s="1" t="inlineStr">
        <is>
          <t>Roselle, raw</t>
        </is>
      </c>
      <c r="C5895" s="1" t="n">
        <v>11.31</v>
      </c>
      <c r="E5895" s="1" t="n">
        <v>1.48</v>
      </c>
      <c r="F5895" s="1" t="n">
        <v>0.96</v>
      </c>
      <c r="G5895" s="1" t="n">
        <v>0.64</v>
      </c>
      <c r="H5895" s="1" t="n">
        <v>287</v>
      </c>
    </row>
    <row r="5896" ht="15.75" customHeight="1" s="201">
      <c r="A5896" s="1" t="inlineStr">
        <is>
          <t>Rosemary, fresh</t>
        </is>
      </c>
      <c r="C5896" s="1" t="n">
        <v>20.7</v>
      </c>
      <c r="D5896" s="1" t="n">
        <v>109</v>
      </c>
      <c r="E5896" s="1" t="n">
        <v>6.65</v>
      </c>
      <c r="F5896" s="1" t="n">
        <v>3.31</v>
      </c>
      <c r="G5896" s="1" t="n">
        <v>5.86</v>
      </c>
      <c r="H5896" s="1" t="n">
        <v>2924</v>
      </c>
      <c r="I5896" s="1" t="n">
        <v>0.93</v>
      </c>
      <c r="J5896" t="n">
        <v>14108020</v>
      </c>
    </row>
    <row r="5897" ht="15.75" customHeight="1" s="201">
      <c r="A5897" s="1" t="inlineStr">
        <is>
          <t>Rowal, raw</t>
        </is>
      </c>
      <c r="C5897" s="1" t="n">
        <v>23.9</v>
      </c>
      <c r="E5897" s="1" t="n">
        <v>2.2</v>
      </c>
      <c r="F5897" s="1" t="n">
        <v>2.3</v>
      </c>
      <c r="G5897" s="1" t="n">
        <v>2</v>
      </c>
      <c r="H5897" s="1" t="n">
        <v>383</v>
      </c>
      <c r="I5897" s="1" t="n">
        <v>0.43</v>
      </c>
    </row>
    <row r="5898" ht="15.75" customHeight="1" s="201">
      <c r="A5898" s="1" t="inlineStr">
        <is>
          <t>Ruby Red grapefruit juice blend (grapefruit, grape, apple), OCEAN SPRAY, bottled, with added vitamin C</t>
        </is>
      </c>
      <c r="C5898" s="1" t="n">
        <v>10.53</v>
      </c>
      <c r="E5898" s="1" t="n">
        <v>0.14</v>
      </c>
      <c r="F5898" s="1" t="n">
        <v>0.5</v>
      </c>
      <c r="G5898" s="1" t="n">
        <v>0.1</v>
      </c>
      <c r="H5898" s="1" t="n">
        <v>129</v>
      </c>
      <c r="J5898" t="n">
        <v>92530610</v>
      </c>
    </row>
    <row r="5899" ht="15.75" customHeight="1" s="201">
      <c r="A5899" s="1" t="inlineStr">
        <is>
          <t>Rudi's, Gluten-Free Bakery, Original Sandwich Bread</t>
        </is>
      </c>
      <c r="C5899" s="1" t="n">
        <v>52.83</v>
      </c>
      <c r="E5899" s="1" t="n">
        <v>0.76</v>
      </c>
      <c r="F5899" s="1" t="n">
        <v>3.13</v>
      </c>
      <c r="G5899" s="1" t="n">
        <v>10.7</v>
      </c>
      <c r="I5899" s="1" t="n">
        <v>0.26</v>
      </c>
      <c r="J5899" t="n">
        <v>27446260</v>
      </c>
    </row>
    <row r="5900" ht="15.75" customHeight="1" s="201">
      <c r="A5900" s="1" t="inlineStr">
        <is>
          <t>Ruffed Grouse, breast meat, skinless, raw</t>
        </is>
      </c>
      <c r="C5900" s="1" t="n">
        <v>0</v>
      </c>
      <c r="E5900" s="1" t="n">
        <v>0.58</v>
      </c>
      <c r="F5900" s="1" t="n">
        <v>25.94</v>
      </c>
      <c r="G5900" s="1" t="n">
        <v>0.88</v>
      </c>
      <c r="H5900" s="1" t="n">
        <v>16</v>
      </c>
      <c r="I5900" s="1" t="n">
        <v>0.51</v>
      </c>
      <c r="J5900" t="n">
        <v>25230320</v>
      </c>
    </row>
    <row r="5901" ht="15.75" customHeight="1" s="201">
      <c r="A5901" s="1" t="inlineStr">
        <is>
          <t>Rutabagas, cooked, boiled, drained, with salt</t>
        </is>
      </c>
      <c r="C5901" s="1" t="n">
        <v>6.84</v>
      </c>
      <c r="D5901" s="1" t="n">
        <v>15</v>
      </c>
      <c r="E5901" s="1" t="n">
        <v>0.18</v>
      </c>
      <c r="F5901" s="1" t="n">
        <v>0.93</v>
      </c>
      <c r="G5901" s="1" t="n">
        <v>0.18</v>
      </c>
      <c r="H5901" s="1" t="n">
        <v>2</v>
      </c>
      <c r="I5901" s="1" t="n">
        <v>0.12</v>
      </c>
      <c r="J5901" t="n">
        <v>75142550</v>
      </c>
    </row>
    <row r="5902" ht="15.75" customHeight="1" s="201">
      <c r="A5902" s="1" t="inlineStr">
        <is>
          <t>Rutabagas, cooked, boiled, drained, without salt</t>
        </is>
      </c>
      <c r="C5902" s="1" t="n">
        <v>6.84</v>
      </c>
      <c r="D5902" s="1" t="n">
        <v>15</v>
      </c>
      <c r="E5902" s="1" t="n">
        <v>0.18</v>
      </c>
      <c r="F5902" s="1" t="n">
        <v>0.93</v>
      </c>
      <c r="G5902" s="1" t="n">
        <v>0.18</v>
      </c>
      <c r="H5902" s="1" t="n">
        <v>2</v>
      </c>
      <c r="I5902" s="1" t="n">
        <v>0.12</v>
      </c>
      <c r="J5902" t="n">
        <v>31103010</v>
      </c>
    </row>
    <row r="5903" ht="15.75" customHeight="1" s="201">
      <c r="A5903" s="1" t="inlineStr">
        <is>
          <t>Rutabagas, raw</t>
        </is>
      </c>
      <c r="C5903" s="1" t="n">
        <v>8.619999999999999</v>
      </c>
      <c r="D5903" s="1" t="n">
        <v>21</v>
      </c>
      <c r="E5903" s="1" t="n">
        <v>0.44</v>
      </c>
      <c r="F5903" s="1" t="n">
        <v>1.08</v>
      </c>
      <c r="G5903" s="1" t="n">
        <v>0.16</v>
      </c>
      <c r="H5903" s="1" t="n">
        <v>2</v>
      </c>
      <c r="I5903" s="1" t="n">
        <v>0.24</v>
      </c>
    </row>
    <row r="5904" ht="15.75" customHeight="1" s="201">
      <c r="A5904" s="1" t="inlineStr">
        <is>
          <t>Rye flour, dark</t>
        </is>
      </c>
      <c r="C5904" s="1" t="n">
        <v>68.63</v>
      </c>
      <c r="D5904" s="1" t="n">
        <v>33</v>
      </c>
      <c r="E5904" s="1" t="n">
        <v>4.97</v>
      </c>
      <c r="F5904" s="1" t="n">
        <v>15.91</v>
      </c>
      <c r="G5904" s="1" t="n">
        <v>2.22</v>
      </c>
      <c r="H5904" s="1" t="n">
        <v>11</v>
      </c>
      <c r="I5904" s="1" t="n">
        <v>5.04</v>
      </c>
      <c r="J5904" t="n">
        <v>91705300</v>
      </c>
    </row>
    <row r="5905" ht="15.75" customHeight="1" s="201">
      <c r="A5905" s="1" t="inlineStr">
        <is>
          <t>Rye flour, light</t>
        </is>
      </c>
      <c r="C5905" s="1" t="n">
        <v>76.68000000000001</v>
      </c>
      <c r="D5905" s="1" t="n">
        <v>23</v>
      </c>
      <c r="E5905" s="1" t="n">
        <v>0.91</v>
      </c>
      <c r="F5905" s="1" t="n">
        <v>9.82</v>
      </c>
      <c r="G5905" s="1" t="n">
        <v>1.33</v>
      </c>
      <c r="H5905" s="1" t="n">
        <v>0</v>
      </c>
      <c r="I5905" s="1" t="n">
        <v>1.33</v>
      </c>
      <c r="J5905" t="n">
        <v>27446245</v>
      </c>
    </row>
    <row r="5906" ht="15.75" customHeight="1" s="201">
      <c r="A5906" s="1" t="inlineStr">
        <is>
          <t>Rye flour, medium</t>
        </is>
      </c>
      <c r="C5906" s="1" t="n">
        <v>75.43000000000001</v>
      </c>
      <c r="D5906" s="1" t="n">
        <v>34</v>
      </c>
      <c r="E5906" s="1" t="n">
        <v>2.54</v>
      </c>
      <c r="F5906" s="1" t="n">
        <v>10.88</v>
      </c>
      <c r="G5906" s="1" t="n">
        <v>1.52</v>
      </c>
      <c r="H5906" s="1" t="n">
        <v>0</v>
      </c>
      <c r="I5906" s="1" t="n">
        <v>2.17</v>
      </c>
      <c r="J5906" t="n">
        <v>52215350</v>
      </c>
    </row>
    <row r="5907" ht="15.75" customHeight="1" s="201">
      <c r="A5907" s="1" t="inlineStr">
        <is>
          <t>Rye grain</t>
        </is>
      </c>
      <c r="C5907" s="1" t="n">
        <v>75.86</v>
      </c>
      <c r="D5907" s="1" t="n">
        <v>38</v>
      </c>
      <c r="E5907" s="1" t="n">
        <v>2.63</v>
      </c>
      <c r="F5907" s="1" t="n">
        <v>10.34</v>
      </c>
      <c r="G5907" s="1" t="n">
        <v>1.63</v>
      </c>
      <c r="H5907" s="1" t="n">
        <v>11</v>
      </c>
      <c r="I5907" s="1" t="n">
        <v>2.65</v>
      </c>
      <c r="J5907" t="n">
        <v>54204030</v>
      </c>
    </row>
    <row r="5908" ht="15.75" customHeight="1" s="201">
      <c r="A5908" s="1" t="inlineStr">
        <is>
          <t>Sage Valley, Gluten Free Vanilla Sandwich Cookies</t>
        </is>
      </c>
      <c r="C5908" s="1" t="n">
        <v>71.88</v>
      </c>
      <c r="E5908" s="1" t="n">
        <v>0.45</v>
      </c>
      <c r="F5908" s="1" t="n">
        <v>3.13</v>
      </c>
      <c r="G5908" s="1" t="n">
        <v>22.15</v>
      </c>
      <c r="I5908" s="1" t="n">
        <v>0.29</v>
      </c>
      <c r="J5908" t="n">
        <v>27446260</v>
      </c>
    </row>
    <row r="5909" ht="15.75" customHeight="1" s="201">
      <c r="A5909" s="1" t="inlineStr">
        <is>
          <t>Salad dressing, bacon and tomato</t>
        </is>
      </c>
      <c r="C5909" s="1" t="n">
        <v>2</v>
      </c>
      <c r="D5909" s="1" t="n">
        <v>0</v>
      </c>
      <c r="E5909" s="1" t="n">
        <v>0.27</v>
      </c>
      <c r="F5909" s="1" t="n">
        <v>1.8</v>
      </c>
      <c r="G5909" s="1" t="n">
        <v>35</v>
      </c>
      <c r="H5909" s="1" t="n">
        <v>211</v>
      </c>
      <c r="I5909" s="1" t="n">
        <v>0.2</v>
      </c>
      <c r="J5909" t="n">
        <v>27446245</v>
      </c>
    </row>
    <row r="5910" ht="15.75" customHeight="1" s="201">
      <c r="A5910" s="1" t="inlineStr">
        <is>
          <t>Salad dressing, blue or roquefort cheese dressing, commercial, regular</t>
        </is>
      </c>
      <c r="C5910" s="1" t="n">
        <v>4.77</v>
      </c>
      <c r="D5910" s="1" t="n">
        <v>5</v>
      </c>
      <c r="E5910" s="1" t="n">
        <v>0.09</v>
      </c>
      <c r="F5910" s="1" t="n">
        <v>1.37</v>
      </c>
      <c r="G5910" s="1" t="n">
        <v>51.1</v>
      </c>
      <c r="H5910" s="1" t="n">
        <v>73</v>
      </c>
      <c r="I5910" s="1" t="n">
        <v>0.21</v>
      </c>
      <c r="J5910" t="n">
        <v>27446245</v>
      </c>
    </row>
    <row r="5911" ht="15.75" customHeight="1" s="201">
      <c r="A5911" s="1" t="inlineStr">
        <is>
          <t>Salad dressing, blue or roquefort cheese dressing, fat-free</t>
        </is>
      </c>
      <c r="C5911" s="1" t="n">
        <v>25.6</v>
      </c>
      <c r="D5911" s="1" t="n">
        <v>2</v>
      </c>
      <c r="E5911" s="1" t="n">
        <v>0.12</v>
      </c>
      <c r="F5911" s="1" t="n">
        <v>1.52</v>
      </c>
      <c r="G5911" s="1" t="n">
        <v>1.01</v>
      </c>
      <c r="H5911" s="1" t="n">
        <v>18</v>
      </c>
      <c r="I5911" s="1" t="n">
        <v>0.21</v>
      </c>
      <c r="J5911" t="n">
        <v>27446245</v>
      </c>
    </row>
    <row r="5912" ht="15.75" customHeight="1" s="201">
      <c r="A5912" s="1" t="inlineStr">
        <is>
          <t>Salad dressing, blue or roquefort cheese dressing, light</t>
        </is>
      </c>
      <c r="C5912" s="1" t="n">
        <v>13.2</v>
      </c>
      <c r="D5912" s="1" t="n">
        <v>28</v>
      </c>
      <c r="E5912" s="1" t="n">
        <v>0.14</v>
      </c>
      <c r="F5912" s="1" t="n">
        <v>2.1</v>
      </c>
      <c r="G5912" s="1" t="n">
        <v>2.7</v>
      </c>
      <c r="H5912" s="1" t="n">
        <v>254</v>
      </c>
      <c r="I5912" s="1" t="n">
        <v>0.3</v>
      </c>
      <c r="J5912" t="n">
        <v>27446245</v>
      </c>
    </row>
    <row r="5913" ht="15.75" customHeight="1" s="201">
      <c r="A5913" s="1" t="inlineStr">
        <is>
          <t>Salad dressing, blue or roquefort cheese, low calorie</t>
        </is>
      </c>
      <c r="C5913" s="1" t="n">
        <v>2.9</v>
      </c>
      <c r="D5913" s="1" t="n">
        <v>3</v>
      </c>
      <c r="E5913" s="1" t="n">
        <v>0.5</v>
      </c>
      <c r="F5913" s="1" t="n">
        <v>5.1</v>
      </c>
      <c r="G5913" s="1" t="n">
        <v>7.2</v>
      </c>
      <c r="H5913" s="1" t="n">
        <v>3</v>
      </c>
      <c r="I5913" s="1" t="n">
        <v>0.25</v>
      </c>
      <c r="J5913" t="n">
        <v>27446245</v>
      </c>
    </row>
    <row r="5914" ht="15.75" customHeight="1" s="201">
      <c r="A5914" s="1" t="inlineStr">
        <is>
          <t>Salad dressing, buttermilk, lite</t>
        </is>
      </c>
      <c r="C5914" s="1" t="n">
        <v>21.33</v>
      </c>
      <c r="D5914" s="1" t="n">
        <v>4</v>
      </c>
      <c r="E5914" s="1" t="n">
        <v>0.6899999999999999</v>
      </c>
      <c r="F5914" s="1" t="n">
        <v>1.25</v>
      </c>
      <c r="G5914" s="1" t="n">
        <v>12.42</v>
      </c>
      <c r="H5914" s="1" t="n">
        <v>67</v>
      </c>
      <c r="I5914" s="1" t="n">
        <v>0.62</v>
      </c>
      <c r="J5914" t="n">
        <v>75141005</v>
      </c>
    </row>
    <row r="5915" ht="15.75" customHeight="1" s="201">
      <c r="A5915" s="1" t="inlineStr">
        <is>
          <t>Salad dressing, caesar dressing, regular</t>
        </is>
      </c>
      <c r="C5915" s="1" t="n">
        <v>3.3</v>
      </c>
      <c r="D5915" s="1" t="n">
        <v>2</v>
      </c>
      <c r="E5915" s="1" t="n">
        <v>1.08</v>
      </c>
      <c r="F5915" s="1" t="n">
        <v>2.17</v>
      </c>
      <c r="G5915" s="1" t="n">
        <v>57.85</v>
      </c>
      <c r="H5915" s="1" t="n">
        <v>34</v>
      </c>
      <c r="I5915" s="1" t="n">
        <v>0.11</v>
      </c>
      <c r="J5915" t="n">
        <v>75141005</v>
      </c>
    </row>
    <row r="5916" ht="15.75" customHeight="1" s="201">
      <c r="A5916" s="1" t="inlineStr">
        <is>
          <t>Salad dressing, caesar, fat-free</t>
        </is>
      </c>
      <c r="C5916" s="1" t="n">
        <v>30.73</v>
      </c>
      <c r="D5916" s="1" t="n">
        <v>2</v>
      </c>
      <c r="E5916" s="1" t="n">
        <v>0.29</v>
      </c>
      <c r="F5916" s="1" t="n">
        <v>1.47</v>
      </c>
      <c r="G5916" s="1" t="n">
        <v>0.23</v>
      </c>
      <c r="H5916" s="1" t="n">
        <v>4</v>
      </c>
      <c r="I5916" s="1" t="n">
        <v>0.3</v>
      </c>
      <c r="J5916" t="n">
        <v>27446260</v>
      </c>
    </row>
    <row r="5917" ht="15.75" customHeight="1" s="201">
      <c r="A5917" s="1" t="inlineStr">
        <is>
          <t>Salad dressing, caesar, low calorie</t>
        </is>
      </c>
      <c r="C5917" s="1" t="n">
        <v>18.6</v>
      </c>
      <c r="D5917" s="1" t="n">
        <v>2</v>
      </c>
      <c r="E5917" s="1" t="n">
        <v>0.18</v>
      </c>
      <c r="F5917" s="1" t="n">
        <v>0.3</v>
      </c>
      <c r="G5917" s="1" t="n">
        <v>4.4</v>
      </c>
      <c r="H5917" s="1" t="n">
        <v>5</v>
      </c>
      <c r="I5917" s="1" t="n">
        <v>0.11</v>
      </c>
      <c r="J5917" t="n">
        <v>27446245</v>
      </c>
    </row>
    <row r="5918" ht="15.75" customHeight="1" s="201">
      <c r="A5918" s="1" t="inlineStr">
        <is>
          <t>Salad dressing, coleslaw</t>
        </is>
      </c>
      <c r="C5918" s="1" t="n">
        <v>22.4</v>
      </c>
      <c r="D5918" s="1" t="n">
        <v>4</v>
      </c>
      <c r="E5918" s="1" t="n">
        <v>0.33</v>
      </c>
      <c r="F5918" s="1" t="n">
        <v>0.85</v>
      </c>
      <c r="G5918" s="1" t="n">
        <v>34.53</v>
      </c>
      <c r="H5918" s="1" t="n">
        <v>63</v>
      </c>
      <c r="I5918" s="1" t="n">
        <v>0.16</v>
      </c>
      <c r="J5918" t="n">
        <v>75141005</v>
      </c>
    </row>
    <row r="5919" ht="15.75" customHeight="1" s="201">
      <c r="A5919" s="1" t="inlineStr">
        <is>
          <t>Salad Dressing, coleslaw, reduced fat</t>
        </is>
      </c>
      <c r="C5919" s="1" t="n">
        <v>40</v>
      </c>
      <c r="D5919" s="1" t="n">
        <v>0</v>
      </c>
      <c r="E5919" s="1" t="n">
        <v>0.26</v>
      </c>
      <c r="F5919" s="1" t="n">
        <v>0</v>
      </c>
      <c r="G5919" s="1" t="n">
        <v>20</v>
      </c>
      <c r="H5919" s="1" t="n">
        <v>1</v>
      </c>
      <c r="I5919" s="1" t="n">
        <v>0.18</v>
      </c>
      <c r="J5919" t="n">
        <v>75141005</v>
      </c>
    </row>
    <row r="5920" ht="15.75" customHeight="1" s="201">
      <c r="A5920" s="1" t="inlineStr">
        <is>
          <t>Salad dressing, french dressing, commercial, regular</t>
        </is>
      </c>
      <c r="C5920" s="1" t="n">
        <v>18.79</v>
      </c>
      <c r="D5920" s="1" t="n">
        <v>0</v>
      </c>
      <c r="E5920" s="1" t="n">
        <v>0.32</v>
      </c>
      <c r="F5920" s="1" t="n">
        <v>0.87</v>
      </c>
      <c r="G5920" s="1" t="n">
        <v>39.07</v>
      </c>
      <c r="H5920" s="1" t="n">
        <v>464</v>
      </c>
      <c r="I5920" s="1" t="n">
        <v>0.12</v>
      </c>
      <c r="J5920" t="n">
        <v>75141005</v>
      </c>
    </row>
    <row r="5921" ht="15.75" customHeight="1" s="201">
      <c r="A5921" s="1" t="inlineStr">
        <is>
          <t>Salad dressing, french dressing, commercial, regular, without salt</t>
        </is>
      </c>
      <c r="C5921" s="1" t="n">
        <v>15.58</v>
      </c>
      <c r="D5921" s="1" t="n">
        <v>0</v>
      </c>
      <c r="E5921" s="1" t="n">
        <v>0.8</v>
      </c>
      <c r="F5921" s="1" t="n">
        <v>0.77</v>
      </c>
      <c r="G5921" s="1" t="n">
        <v>44.81</v>
      </c>
      <c r="H5921" s="1" t="n">
        <v>464</v>
      </c>
      <c r="I5921" s="1" t="n">
        <v>0.29</v>
      </c>
      <c r="J5921" t="n">
        <v>75141005</v>
      </c>
    </row>
    <row r="5922" ht="15.75" customHeight="1" s="201">
      <c r="A5922" s="1" t="inlineStr">
        <is>
          <t>Salad dressing, french dressing, fat-free</t>
        </is>
      </c>
      <c r="C5922" s="1" t="n">
        <v>32.14</v>
      </c>
      <c r="D5922" s="1" t="n">
        <v>14</v>
      </c>
      <c r="E5922" s="1" t="n">
        <v>0.58</v>
      </c>
      <c r="F5922" s="1" t="n">
        <v>0.2</v>
      </c>
      <c r="G5922" s="1" t="n">
        <v>0.27</v>
      </c>
      <c r="H5922" s="1" t="n">
        <v>75</v>
      </c>
      <c r="I5922" s="1" t="n">
        <v>0.1</v>
      </c>
      <c r="J5922" t="n">
        <v>27446260</v>
      </c>
    </row>
    <row r="5923" ht="15.75" customHeight="1" s="201">
      <c r="A5923" s="1" t="inlineStr">
        <is>
          <t>Salad dressing, french dressing, reduced calorie</t>
        </is>
      </c>
      <c r="C5923" s="1" t="n">
        <v>27</v>
      </c>
      <c r="D5923" s="1" t="n">
        <v>2</v>
      </c>
      <c r="E5923" s="1" t="n">
        <v>0.4</v>
      </c>
      <c r="F5923" s="1" t="n">
        <v>0.4</v>
      </c>
      <c r="G5923" s="1" t="n">
        <v>13</v>
      </c>
      <c r="H5923" s="1" t="n">
        <v>204</v>
      </c>
      <c r="I5923" s="1" t="n">
        <v>0.18</v>
      </c>
      <c r="J5923" t="n">
        <v>75141005</v>
      </c>
    </row>
    <row r="5924" ht="15.75" customHeight="1" s="201">
      <c r="A5924" s="1" t="inlineStr">
        <is>
          <t>Salad dressing, french dressing, reduced fat</t>
        </is>
      </c>
      <c r="C5924" s="1" t="n">
        <v>31.22</v>
      </c>
      <c r="D5924" s="1" t="n">
        <v>2</v>
      </c>
      <c r="E5924" s="1" t="n">
        <v>0.73</v>
      </c>
      <c r="F5924" s="1" t="n">
        <v>0.58</v>
      </c>
      <c r="G5924" s="1" t="n">
        <v>11.52</v>
      </c>
      <c r="H5924" s="1" t="n">
        <v>541</v>
      </c>
      <c r="I5924" s="1" t="n">
        <v>0.2</v>
      </c>
      <c r="J5924" t="n">
        <v>75141005</v>
      </c>
    </row>
    <row r="5925" ht="15.75" customHeight="1" s="201">
      <c r="A5925" s="1" t="inlineStr">
        <is>
          <t>Salad dressing, french dressing, reduced fat, without salt</t>
        </is>
      </c>
      <c r="C5925" s="1" t="n">
        <v>29.28</v>
      </c>
      <c r="D5925" s="1" t="n">
        <v>2</v>
      </c>
      <c r="E5925" s="1" t="n">
        <v>0.87</v>
      </c>
      <c r="F5925" s="1" t="n">
        <v>0.58</v>
      </c>
      <c r="G5925" s="1" t="n">
        <v>13.46</v>
      </c>
      <c r="H5925" s="1" t="n">
        <v>541</v>
      </c>
      <c r="I5925" s="1" t="n">
        <v>0.2</v>
      </c>
      <c r="J5925" t="n">
        <v>75141005</v>
      </c>
    </row>
    <row r="5926" ht="15.75" customHeight="1" s="201">
      <c r="A5926" s="1" t="inlineStr">
        <is>
          <t>Salad dressing, french, cottonseed, oil, home recipe</t>
        </is>
      </c>
      <c r="C5926" s="1" t="n">
        <v>3.4</v>
      </c>
      <c r="E5926" s="1" t="n">
        <v>0.2</v>
      </c>
      <c r="F5926" s="1" t="n">
        <v>0.1</v>
      </c>
      <c r="G5926" s="1" t="n">
        <v>70.2</v>
      </c>
      <c r="H5926" s="1" t="n">
        <v>0</v>
      </c>
      <c r="J5926" t="n">
        <v>27446245</v>
      </c>
    </row>
    <row r="5927" ht="15.75" customHeight="1" s="201">
      <c r="A5927" s="1" t="inlineStr">
        <is>
          <t>Salad dressing, french, home recipe</t>
        </is>
      </c>
      <c r="C5927" s="1" t="n">
        <v>3.4</v>
      </c>
      <c r="D5927" s="1" t="n">
        <v>0</v>
      </c>
      <c r="E5927" s="1" t="n">
        <v>0.2</v>
      </c>
      <c r="F5927" s="1" t="n">
        <v>0.1</v>
      </c>
      <c r="G5927" s="1" t="n">
        <v>70.2</v>
      </c>
      <c r="H5927" s="1" t="n">
        <v>514</v>
      </c>
      <c r="I5927" s="1" t="n">
        <v>0</v>
      </c>
      <c r="J5927" t="n">
        <v>27446245</v>
      </c>
    </row>
    <row r="5928" ht="15.75" customHeight="1" s="201">
      <c r="A5928" s="1" t="inlineStr">
        <is>
          <t>Salad dressing, green goddess, regular</t>
        </is>
      </c>
      <c r="C5928" s="1" t="n">
        <v>7.36</v>
      </c>
      <c r="D5928" s="1" t="n">
        <v>4</v>
      </c>
      <c r="E5928" s="1" t="n">
        <v>0.35</v>
      </c>
      <c r="F5928" s="1" t="n">
        <v>1.9</v>
      </c>
      <c r="G5928" s="1" t="n">
        <v>43.33</v>
      </c>
      <c r="H5928" s="1" t="n">
        <v>41</v>
      </c>
      <c r="I5928" s="1" t="n">
        <v>0.25</v>
      </c>
      <c r="J5928" t="n">
        <v>75141005</v>
      </c>
    </row>
    <row r="5929" ht="15.75" customHeight="1" s="201">
      <c r="A5929" s="1" t="inlineStr">
        <is>
          <t>Salad dressing, home recipe, vinegar and oil</t>
        </is>
      </c>
      <c r="C5929" s="1" t="n">
        <v>2.5</v>
      </c>
      <c r="D5929" s="1" t="n">
        <v>0</v>
      </c>
      <c r="E5929" s="1" t="n">
        <v>0</v>
      </c>
      <c r="F5929" s="1" t="n">
        <v>0</v>
      </c>
      <c r="G5929" s="1" t="n">
        <v>50.1</v>
      </c>
      <c r="H5929" s="1" t="n">
        <v>0</v>
      </c>
      <c r="I5929" s="1" t="n">
        <v>0</v>
      </c>
      <c r="J5929" t="n">
        <v>83106000</v>
      </c>
    </row>
    <row r="5930" ht="15.75" customHeight="1" s="201">
      <c r="A5930" s="1" t="inlineStr">
        <is>
          <t>Salad dressing, honey mustard dressing, reduced calorie</t>
        </is>
      </c>
      <c r="C5930" s="1" t="n">
        <v>28.26</v>
      </c>
      <c r="D5930" s="1" t="n">
        <v>2</v>
      </c>
      <c r="E5930" s="1" t="n">
        <v>0.41</v>
      </c>
      <c r="F5930" s="1" t="n">
        <v>0.98</v>
      </c>
      <c r="G5930" s="1" t="n">
        <v>10</v>
      </c>
      <c r="H5930" s="1" t="n">
        <v>14</v>
      </c>
      <c r="I5930" s="1" t="n">
        <v>0.17</v>
      </c>
      <c r="J5930" t="n">
        <v>75141005</v>
      </c>
    </row>
    <row r="5931" ht="15.75" customHeight="1" s="201">
      <c r="A5931" s="1" t="inlineStr">
        <is>
          <t>Salad dressing, honey mustard, regular</t>
        </is>
      </c>
      <c r="C5931" s="1" t="n">
        <v>23.33</v>
      </c>
      <c r="D5931" s="1" t="n">
        <v>5</v>
      </c>
      <c r="E5931" s="1" t="n">
        <v>0.29</v>
      </c>
      <c r="F5931" s="1" t="n">
        <v>0.87</v>
      </c>
      <c r="G5931" s="1" t="n">
        <v>40.83</v>
      </c>
      <c r="H5931" s="1" t="n">
        <v>70</v>
      </c>
      <c r="I5931" s="1" t="n">
        <v>0.14</v>
      </c>
      <c r="J5931" t="n">
        <v>75141005</v>
      </c>
    </row>
    <row r="5932" ht="15.75" customHeight="1" s="201">
      <c r="A5932" s="1" t="inlineStr">
        <is>
          <t>Salad dressing, italian dressing, commercial, reduced fat</t>
        </is>
      </c>
      <c r="C5932" s="1" t="n">
        <v>9.99</v>
      </c>
      <c r="D5932" s="1" t="n">
        <v>3</v>
      </c>
      <c r="E5932" s="1" t="n">
        <v>0.25</v>
      </c>
      <c r="F5932" s="1" t="n">
        <v>0.39</v>
      </c>
      <c r="G5932" s="1" t="n">
        <v>6.68</v>
      </c>
      <c r="H5932" s="1" t="n">
        <v>12</v>
      </c>
      <c r="I5932" s="1" t="n">
        <v>0.06</v>
      </c>
      <c r="J5932" t="n">
        <v>75141005</v>
      </c>
    </row>
    <row r="5933" ht="15.75" customHeight="1" s="201">
      <c r="A5933" s="1" t="inlineStr">
        <is>
          <t>Salad dressing, italian dressing, commercial, regular</t>
        </is>
      </c>
      <c r="C5933" s="1" t="n">
        <v>12.12</v>
      </c>
      <c r="D5933" s="1" t="n">
        <v>0</v>
      </c>
      <c r="E5933" s="1" t="n">
        <v>0.26</v>
      </c>
      <c r="F5933" s="1" t="n">
        <v>0.41</v>
      </c>
      <c r="G5933" s="1" t="n">
        <v>21.12</v>
      </c>
      <c r="H5933" s="1" t="n">
        <v>36</v>
      </c>
      <c r="I5933" s="1" t="n">
        <v>0.07000000000000001</v>
      </c>
      <c r="J5933" t="n">
        <v>75141005</v>
      </c>
    </row>
    <row r="5934" ht="15.75" customHeight="1" s="201">
      <c r="A5934" s="1" t="inlineStr">
        <is>
          <t>Salad dressing, italian dressing, commercial, regular, without salt</t>
        </is>
      </c>
      <c r="C5934" s="1" t="n">
        <v>10.43</v>
      </c>
      <c r="D5934" s="1" t="n">
        <v>0</v>
      </c>
      <c r="E5934" s="1" t="n">
        <v>0.63</v>
      </c>
      <c r="F5934" s="1" t="n">
        <v>0.38</v>
      </c>
      <c r="G5934" s="1" t="n">
        <v>28.37</v>
      </c>
      <c r="H5934" s="1" t="n">
        <v>36</v>
      </c>
      <c r="I5934" s="1" t="n">
        <v>0.13</v>
      </c>
      <c r="J5934" t="n">
        <v>75141005</v>
      </c>
    </row>
    <row r="5935" ht="15.75" customHeight="1" s="201">
      <c r="A5935" s="1" t="inlineStr">
        <is>
          <t>Salad dressing, italian dressing, fat-free</t>
        </is>
      </c>
      <c r="C5935" s="1" t="n">
        <v>8.75</v>
      </c>
      <c r="D5935" s="1" t="n">
        <v>12</v>
      </c>
      <c r="E5935" s="1" t="n">
        <v>0.4</v>
      </c>
      <c r="F5935" s="1" t="n">
        <v>0.97</v>
      </c>
      <c r="G5935" s="1" t="n">
        <v>0.87</v>
      </c>
      <c r="H5935" s="1" t="n">
        <v>77</v>
      </c>
      <c r="I5935" s="1" t="n">
        <v>0.36</v>
      </c>
      <c r="J5935" t="n">
        <v>27446260</v>
      </c>
    </row>
    <row r="5936" ht="15.75" customHeight="1" s="201">
      <c r="A5936" s="1" t="inlineStr">
        <is>
          <t>Salad dressing, italian dressing, reduced calorie</t>
        </is>
      </c>
      <c r="C5936" s="1" t="n">
        <v>6.7</v>
      </c>
      <c r="D5936" s="1" t="n">
        <v>3</v>
      </c>
      <c r="E5936" s="1" t="n">
        <v>0.13</v>
      </c>
      <c r="F5936" s="1" t="n">
        <v>0.3</v>
      </c>
      <c r="G5936" s="1" t="n">
        <v>20</v>
      </c>
      <c r="H5936" s="1" t="n">
        <v>0</v>
      </c>
      <c r="I5936" s="1" t="n">
        <v>0.04</v>
      </c>
      <c r="J5936" t="n">
        <v>75141005</v>
      </c>
    </row>
    <row r="5937" ht="15.75" customHeight="1" s="201">
      <c r="A5937" s="1" t="inlineStr">
        <is>
          <t>Salad dressing, italian dressing, reduced fat, without salt</t>
        </is>
      </c>
      <c r="C5937" s="1" t="n">
        <v>4.57</v>
      </c>
      <c r="D5937" s="1" t="n">
        <v>0</v>
      </c>
      <c r="E5937" s="1" t="n">
        <v>0.65</v>
      </c>
      <c r="F5937" s="1" t="n">
        <v>0.47</v>
      </c>
      <c r="G5937" s="1" t="n">
        <v>6.38</v>
      </c>
      <c r="H5937" s="1" t="n">
        <v>12</v>
      </c>
      <c r="I5937" s="1" t="n">
        <v>0.19</v>
      </c>
      <c r="J5937" t="n">
        <v>75141005</v>
      </c>
    </row>
    <row r="5938" ht="15.75" customHeight="1" s="201">
      <c r="A5938" s="1" t="inlineStr">
        <is>
          <t>Salad dressing, KRAFT Mayo Fat Free Mayonnaise Dressing</t>
        </is>
      </c>
      <c r="C5938" s="1" t="n">
        <v>15.8</v>
      </c>
      <c r="D5938" s="1" t="n">
        <v>4</v>
      </c>
      <c r="E5938" s="1" t="n">
        <v>0.1</v>
      </c>
      <c r="F5938" s="1" t="n">
        <v>0.2</v>
      </c>
      <c r="G5938" s="1" t="n">
        <v>0</v>
      </c>
      <c r="H5938" s="1" t="n">
        <v>50</v>
      </c>
      <c r="I5938" s="1" t="n">
        <v>0.07000000000000001</v>
      </c>
      <c r="J5938" t="n">
        <v>27446260</v>
      </c>
    </row>
    <row r="5939" ht="15.75" customHeight="1" s="201">
      <c r="A5939" s="1" t="inlineStr">
        <is>
          <t>Salad dressing, KRAFT Mayo Light Mayonnaise</t>
        </is>
      </c>
      <c r="C5939" s="1" t="n">
        <v>8.5</v>
      </c>
      <c r="E5939" s="1" t="n">
        <v>0.2</v>
      </c>
      <c r="F5939" s="1" t="n">
        <v>0.6</v>
      </c>
      <c r="G5939" s="1" t="n">
        <v>32.9</v>
      </c>
      <c r="H5939" s="1" t="n">
        <v>185</v>
      </c>
      <c r="J5939" t="n">
        <v>27446245</v>
      </c>
    </row>
    <row r="5940" ht="15.75" customHeight="1" s="201">
      <c r="A5940" s="1" t="inlineStr">
        <is>
          <t>Salad dressing, KRAFT MIRACLE WHIP FREE Nonfat Dressing</t>
        </is>
      </c>
      <c r="C5940" s="1" t="n">
        <v>15.5</v>
      </c>
      <c r="E5940" s="1" t="n">
        <v>0.12</v>
      </c>
      <c r="F5940" s="1" t="n">
        <v>0.2</v>
      </c>
      <c r="G5940" s="1" t="n">
        <v>2.7</v>
      </c>
      <c r="H5940" s="1" t="n">
        <v>69</v>
      </c>
      <c r="J5940" t="n">
        <v>75141005</v>
      </c>
    </row>
    <row r="5941" ht="15.75" customHeight="1" s="201">
      <c r="A5941" s="1" t="inlineStr">
        <is>
          <t>Salad dressing, mayonnaise and mayonnaise-type, low calorie</t>
        </is>
      </c>
      <c r="C5941" s="1" t="n">
        <v>23.9</v>
      </c>
      <c r="D5941" s="1" t="n">
        <v>6</v>
      </c>
      <c r="E5941" s="1" t="n">
        <v>0.26</v>
      </c>
      <c r="F5941" s="1" t="n">
        <v>0.9</v>
      </c>
      <c r="G5941" s="1" t="n">
        <v>19</v>
      </c>
      <c r="H5941" s="1" t="n">
        <v>220</v>
      </c>
      <c r="I5941" s="1" t="n">
        <v>0.18</v>
      </c>
      <c r="J5941" t="n">
        <v>75141005</v>
      </c>
    </row>
    <row r="5942" ht="15.75" customHeight="1" s="201">
      <c r="A5942" s="1" t="inlineStr">
        <is>
          <t>Salad dressing, mayonnaise type, regular, with salt</t>
        </is>
      </c>
      <c r="C5942" s="1" t="n">
        <v>14.78</v>
      </c>
      <c r="D5942" s="1" t="n">
        <v>6</v>
      </c>
      <c r="E5942" s="1" t="n">
        <v>0.12</v>
      </c>
      <c r="F5942" s="1" t="n">
        <v>0.65</v>
      </c>
      <c r="G5942" s="1" t="n">
        <v>21.6</v>
      </c>
      <c r="H5942" s="1" t="n">
        <v>29</v>
      </c>
      <c r="I5942" s="1" t="n">
        <v>0.07000000000000001</v>
      </c>
      <c r="J5942" t="n">
        <v>75142550</v>
      </c>
    </row>
    <row r="5943" ht="15.75" customHeight="1" s="201">
      <c r="A5943" s="1" t="inlineStr">
        <is>
          <t>Salad dressing, mayonnaise, imitation, milk cream</t>
        </is>
      </c>
      <c r="C5943" s="1" t="n">
        <v>11.1</v>
      </c>
      <c r="D5943" s="1" t="n">
        <v>3</v>
      </c>
      <c r="E5943" s="1" t="n">
        <v>0.5</v>
      </c>
      <c r="F5943" s="1" t="n">
        <v>2.1</v>
      </c>
      <c r="G5943" s="1" t="n">
        <v>5.1</v>
      </c>
      <c r="H5943" s="1" t="n">
        <v>13</v>
      </c>
      <c r="I5943" s="1" t="n">
        <v>0.25</v>
      </c>
      <c r="J5943" t="n">
        <v>75141005</v>
      </c>
    </row>
    <row r="5944" ht="15.75" customHeight="1" s="201">
      <c r="A5944" s="1" t="inlineStr">
        <is>
          <t>Salad dressing, mayonnaise, imitation, soybean</t>
        </is>
      </c>
      <c r="C5944" s="1" t="n">
        <v>16</v>
      </c>
      <c r="D5944" s="1" t="n">
        <v>0</v>
      </c>
      <c r="E5944" s="1" t="n">
        <v>0</v>
      </c>
      <c r="F5944" s="1" t="n">
        <v>0.3</v>
      </c>
      <c r="G5944" s="1" t="n">
        <v>19.2</v>
      </c>
      <c r="H5944" s="1" t="n">
        <v>0</v>
      </c>
      <c r="I5944" s="1" t="n">
        <v>0.11</v>
      </c>
      <c r="J5944" t="n">
        <v>75141005</v>
      </c>
    </row>
    <row r="5945" ht="15.75" customHeight="1" s="201">
      <c r="A5945" s="1" t="inlineStr">
        <is>
          <t>Salad dressing, mayonnaise, imitation, soybean without cholesterol</t>
        </is>
      </c>
      <c r="C5945" s="1" t="n">
        <v>15.8</v>
      </c>
      <c r="D5945" s="1" t="n">
        <v>0</v>
      </c>
      <c r="E5945" s="1" t="n">
        <v>0.01</v>
      </c>
      <c r="F5945" s="1" t="n">
        <v>0.1</v>
      </c>
      <c r="G5945" s="1" t="n">
        <v>47.7</v>
      </c>
      <c r="H5945" s="1" t="n">
        <v>0</v>
      </c>
      <c r="I5945" s="1" t="n">
        <v>0.11</v>
      </c>
      <c r="J5945" t="n">
        <v>75141005</v>
      </c>
    </row>
    <row r="5946" ht="15.75" customHeight="1" s="201">
      <c r="A5946" s="1" t="inlineStr">
        <is>
          <t>Salad dressing, mayonnaise, light</t>
        </is>
      </c>
      <c r="C5946" s="1" t="n">
        <v>9.23</v>
      </c>
      <c r="D5946" s="1" t="n">
        <v>4</v>
      </c>
      <c r="E5946" s="1" t="n">
        <v>0.14</v>
      </c>
      <c r="F5946" s="1" t="n">
        <v>0.37</v>
      </c>
      <c r="G5946" s="1" t="n">
        <v>22.22</v>
      </c>
      <c r="H5946" s="1" t="n">
        <v>70</v>
      </c>
      <c r="I5946" s="1" t="n">
        <v>0.07000000000000001</v>
      </c>
      <c r="J5946" t="n">
        <v>27446245</v>
      </c>
    </row>
    <row r="5947" ht="15.75" customHeight="1" s="201">
      <c r="A5947" s="1" t="inlineStr">
        <is>
          <t>Salad Dressing, mayonnaise, light, SMART BALANCE, Omega Plus light</t>
        </is>
      </c>
      <c r="C5947" s="1" t="n">
        <v>9.390000000000001</v>
      </c>
      <c r="E5947" s="1" t="n">
        <v>0.31</v>
      </c>
      <c r="F5947" s="1" t="n">
        <v>1.53</v>
      </c>
      <c r="G5947" s="1" t="n">
        <v>34.18</v>
      </c>
      <c r="H5947" s="1" t="n">
        <v>0</v>
      </c>
      <c r="I5947" s="1" t="n">
        <v>0.2</v>
      </c>
      <c r="J5947" t="n">
        <v>27446245</v>
      </c>
    </row>
    <row r="5948" ht="15.75" customHeight="1" s="201">
      <c r="A5948" s="1" t="inlineStr">
        <is>
          <t>Salad dressing, mayonnaise, regular</t>
        </is>
      </c>
      <c r="C5948" s="1" t="n">
        <v>0.57</v>
      </c>
      <c r="D5948" s="1" t="n">
        <v>5</v>
      </c>
      <c r="E5948" s="1" t="n">
        <v>0.21</v>
      </c>
      <c r="F5948" s="1" t="n">
        <v>0.96</v>
      </c>
      <c r="G5948" s="1" t="n">
        <v>74.84999999999999</v>
      </c>
      <c r="H5948" s="1" t="n">
        <v>65</v>
      </c>
      <c r="I5948" s="1" t="n">
        <v>0.15</v>
      </c>
      <c r="J5948" t="n">
        <v>75141005</v>
      </c>
    </row>
    <row r="5949" ht="15.75" customHeight="1" s="201">
      <c r="A5949" s="1" t="inlineStr">
        <is>
          <t>Salad dressing, mayonnaise, soybean and safflower oil, with salt</t>
        </is>
      </c>
      <c r="C5949" s="1" t="n">
        <v>2.7</v>
      </c>
      <c r="D5949" s="1" t="n">
        <v>8</v>
      </c>
      <c r="E5949" s="1" t="n">
        <v>0.5</v>
      </c>
      <c r="F5949" s="1" t="n">
        <v>1.1</v>
      </c>
      <c r="G5949" s="1" t="n">
        <v>79.40000000000001</v>
      </c>
      <c r="H5949" s="1" t="n">
        <v>280</v>
      </c>
      <c r="I5949" s="1" t="n">
        <v>0.12</v>
      </c>
      <c r="J5949" t="n">
        <v>75142550</v>
      </c>
    </row>
    <row r="5950" ht="15.75" customHeight="1" s="201">
      <c r="A5950" s="1" t="inlineStr">
        <is>
          <t>Salad dressing, mayonnaise, soybean oil, without salt</t>
        </is>
      </c>
      <c r="C5950" s="1" t="n">
        <v>2.7</v>
      </c>
      <c r="E5950" s="1" t="n">
        <v>0.5</v>
      </c>
      <c r="F5950" s="1" t="n">
        <v>1.1</v>
      </c>
      <c r="G5950" s="1" t="n">
        <v>79.40000000000001</v>
      </c>
      <c r="H5950" s="1" t="n">
        <v>280</v>
      </c>
      <c r="J5950" t="n">
        <v>75141005</v>
      </c>
    </row>
    <row r="5951" ht="15.75" customHeight="1" s="201">
      <c r="A5951" s="1" t="inlineStr">
        <is>
          <t>Salad Dressing, mayonnaise-like, fat-free</t>
        </is>
      </c>
      <c r="C5951" s="1" t="n">
        <v>15.5</v>
      </c>
      <c r="D5951" s="1" t="n">
        <v>0</v>
      </c>
      <c r="E5951" s="1" t="n">
        <v>0.12</v>
      </c>
      <c r="F5951" s="1" t="n">
        <v>0.2</v>
      </c>
      <c r="G5951" s="1" t="n">
        <v>2.7</v>
      </c>
      <c r="H5951" s="1" t="n">
        <v>0</v>
      </c>
      <c r="I5951" s="1" t="n">
        <v>0.05</v>
      </c>
      <c r="J5951" t="n">
        <v>27446260</v>
      </c>
    </row>
    <row r="5952" ht="15.75" customHeight="1" s="201">
      <c r="A5952" s="1" t="inlineStr">
        <is>
          <t>Salad dressing, mayonnaise-type, light</t>
        </is>
      </c>
      <c r="C5952" s="1" t="n">
        <v>16.4</v>
      </c>
      <c r="D5952" s="1" t="n">
        <v>6</v>
      </c>
      <c r="E5952" s="1" t="n">
        <v>0.12</v>
      </c>
      <c r="F5952" s="1" t="n">
        <v>0.65</v>
      </c>
      <c r="G5952" s="1" t="n">
        <v>10</v>
      </c>
      <c r="H5952" s="1" t="n">
        <v>13</v>
      </c>
      <c r="I5952" s="1" t="n">
        <v>0.07000000000000001</v>
      </c>
      <c r="J5952" t="n">
        <v>27446245</v>
      </c>
    </row>
    <row r="5953" ht="15.75" customHeight="1" s="201">
      <c r="A5953" s="1" t="inlineStr">
        <is>
          <t>Salad dressing, peppercorn dressing, commercial, regular</t>
        </is>
      </c>
      <c r="C5953" s="1" t="n">
        <v>3.5</v>
      </c>
      <c r="D5953" s="1" t="n">
        <v>4</v>
      </c>
      <c r="E5953" s="1" t="n">
        <v>0.35</v>
      </c>
      <c r="F5953" s="1" t="n">
        <v>1.2</v>
      </c>
      <c r="G5953" s="1" t="n">
        <v>61.4</v>
      </c>
      <c r="H5953" s="1" t="n">
        <v>38</v>
      </c>
      <c r="I5953" s="1" t="n">
        <v>0.18</v>
      </c>
      <c r="J5953" t="n">
        <v>75141005</v>
      </c>
    </row>
    <row r="5954" ht="15.75" customHeight="1" s="201">
      <c r="A5954" s="1" t="inlineStr">
        <is>
          <t>Salad dressing, poppyseed, creamy</t>
        </is>
      </c>
      <c r="C5954" s="1" t="n">
        <v>23.73</v>
      </c>
      <c r="D5954" s="1" t="n">
        <v>3</v>
      </c>
      <c r="E5954" s="1" t="n">
        <v>0.25</v>
      </c>
      <c r="F5954" s="1" t="n">
        <v>0.92</v>
      </c>
      <c r="G5954" s="1" t="n">
        <v>33.33</v>
      </c>
      <c r="H5954" s="1" t="n">
        <v>180</v>
      </c>
      <c r="I5954" s="1" t="n">
        <v>0.25</v>
      </c>
      <c r="J5954" t="n">
        <v>27446245</v>
      </c>
    </row>
    <row r="5955" ht="15.75" customHeight="1" s="201">
      <c r="A5955" s="1" t="inlineStr">
        <is>
          <t>Salad dressing, ranch dressing, fat-free</t>
        </is>
      </c>
      <c r="C5955" s="1" t="n">
        <v>26.51</v>
      </c>
      <c r="D5955" s="1" t="n">
        <v>6</v>
      </c>
      <c r="E5955" s="1" t="n">
        <v>1.05</v>
      </c>
      <c r="F5955" s="1" t="n">
        <v>0.25</v>
      </c>
      <c r="G5955" s="1" t="n">
        <v>1.92</v>
      </c>
      <c r="H5955" s="1" t="n">
        <v>3</v>
      </c>
      <c r="I5955" s="1" t="n">
        <v>0.4</v>
      </c>
      <c r="J5955" t="n">
        <v>27446260</v>
      </c>
    </row>
    <row r="5956" ht="15.75" customHeight="1" s="201">
      <c r="A5956" s="1" t="inlineStr">
        <is>
          <t>Salad dressing, ranch dressing, reduced fat</t>
        </is>
      </c>
      <c r="C5956" s="1" t="n">
        <v>21.33</v>
      </c>
      <c r="D5956" s="1" t="n">
        <v>4</v>
      </c>
      <c r="E5956" s="1" t="n">
        <v>0.6899999999999999</v>
      </c>
      <c r="F5956" s="1" t="n">
        <v>1.25</v>
      </c>
      <c r="G5956" s="1" t="n">
        <v>12.42</v>
      </c>
      <c r="H5956" s="1" t="n">
        <v>67</v>
      </c>
      <c r="I5956" s="1" t="n">
        <v>0.62</v>
      </c>
      <c r="J5956" t="n">
        <v>27446245</v>
      </c>
    </row>
    <row r="5957" ht="15.75" customHeight="1" s="201">
      <c r="A5957" s="1" t="inlineStr">
        <is>
          <t>Salad dressing, ranch dressing, regular</t>
        </is>
      </c>
      <c r="C5957" s="1" t="n">
        <v>5.9</v>
      </c>
      <c r="D5957" s="1" t="n">
        <v>4</v>
      </c>
      <c r="E5957" s="1" t="n">
        <v>0.3</v>
      </c>
      <c r="F5957" s="1" t="n">
        <v>1.32</v>
      </c>
      <c r="G5957" s="1" t="n">
        <v>44.54</v>
      </c>
      <c r="H5957" s="1" t="n">
        <v>69</v>
      </c>
      <c r="I5957" s="1" t="n">
        <v>0.17</v>
      </c>
      <c r="J5957" t="n">
        <v>27446245</v>
      </c>
    </row>
    <row r="5958" ht="15.75" customHeight="1" s="201">
      <c r="A5958" s="1" t="inlineStr">
        <is>
          <t>Salad dressing, russian dressing</t>
        </is>
      </c>
      <c r="C5958" s="1" t="n">
        <v>31.9</v>
      </c>
      <c r="D5958" s="1" t="n">
        <v>5</v>
      </c>
      <c r="E5958" s="1" t="n">
        <v>0.6</v>
      </c>
      <c r="F5958" s="1" t="n">
        <v>0.6899999999999999</v>
      </c>
      <c r="G5958" s="1" t="n">
        <v>26.18</v>
      </c>
      <c r="H5958" s="1" t="n">
        <v>577</v>
      </c>
      <c r="I5958" s="1" t="n">
        <v>0.22</v>
      </c>
      <c r="J5958" t="n">
        <v>75141005</v>
      </c>
    </row>
    <row r="5959" ht="15.75" customHeight="1" s="201">
      <c r="A5959" s="1" t="inlineStr">
        <is>
          <t>Salad dressing, russian dressing, low calorie</t>
        </is>
      </c>
      <c r="C5959" s="1" t="n">
        <v>27.6</v>
      </c>
      <c r="D5959" s="1" t="n">
        <v>3</v>
      </c>
      <c r="E5959" s="1" t="n">
        <v>0.6</v>
      </c>
      <c r="F5959" s="1" t="n">
        <v>0.5</v>
      </c>
      <c r="G5959" s="1" t="n">
        <v>4</v>
      </c>
      <c r="H5959" s="1" t="n">
        <v>33</v>
      </c>
      <c r="I5959" s="1" t="n">
        <v>0.1</v>
      </c>
      <c r="J5959" t="n">
        <v>75141005</v>
      </c>
    </row>
    <row r="5960" ht="15.75" customHeight="1" s="201">
      <c r="A5960" s="1" t="inlineStr">
        <is>
          <t>Salad dressing, sesame seed dressing, regular</t>
        </is>
      </c>
      <c r="C5960" s="1" t="n">
        <v>8.6</v>
      </c>
      <c r="D5960" s="1" t="n">
        <v>0</v>
      </c>
      <c r="E5960" s="1" t="n">
        <v>0.6</v>
      </c>
      <c r="F5960" s="1" t="n">
        <v>3.1</v>
      </c>
      <c r="G5960" s="1" t="n">
        <v>45.2</v>
      </c>
      <c r="H5960" s="1" t="n">
        <v>36</v>
      </c>
      <c r="I5960" s="1" t="n">
        <v>0.1</v>
      </c>
      <c r="J5960" t="n">
        <v>75141005</v>
      </c>
    </row>
    <row r="5961" ht="15.75" customHeight="1" s="201">
      <c r="A5961" s="1" t="inlineStr">
        <is>
          <t>Salad dressing, spray-style dressing, assorted flavors</t>
        </is>
      </c>
      <c r="C5961" s="1" t="n">
        <v>16.6</v>
      </c>
      <c r="E5961" s="1" t="n">
        <v>0.18</v>
      </c>
      <c r="F5961" s="1" t="n">
        <v>0.16</v>
      </c>
      <c r="G5961" s="1" t="n">
        <v>10.75</v>
      </c>
      <c r="H5961" s="1" t="n">
        <v>347</v>
      </c>
      <c r="J5961" t="n">
        <v>75141005</v>
      </c>
    </row>
    <row r="5962" ht="15.75" customHeight="1" s="201">
      <c r="A5962" s="1" t="inlineStr">
        <is>
          <t>Salad dressing, sweet and sour</t>
        </is>
      </c>
      <c r="C5962" s="1" t="n">
        <v>3.7</v>
      </c>
      <c r="D5962" s="1" t="n">
        <v>2</v>
      </c>
      <c r="E5962" s="1" t="n">
        <v>0.04</v>
      </c>
      <c r="F5962" s="1" t="n">
        <v>0.1</v>
      </c>
      <c r="G5962" s="1" t="n">
        <v>0</v>
      </c>
      <c r="H5962" s="1" t="n">
        <v>0</v>
      </c>
      <c r="I5962" s="1" t="n">
        <v>0.02</v>
      </c>
      <c r="J5962" t="n">
        <v>27446245</v>
      </c>
    </row>
    <row r="5963" ht="15.75" customHeight="1" s="201">
      <c r="A5963" s="1" t="inlineStr">
        <is>
          <t>Salad dressing, thousand island dressing, fat-free</t>
        </is>
      </c>
      <c r="C5963" s="1" t="n">
        <v>29.27</v>
      </c>
      <c r="D5963" s="1" t="n">
        <v>12</v>
      </c>
      <c r="E5963" s="1" t="n">
        <v>0.28</v>
      </c>
      <c r="F5963" s="1" t="n">
        <v>0.55</v>
      </c>
      <c r="G5963" s="1" t="n">
        <v>1.45</v>
      </c>
      <c r="H5963" s="1" t="n">
        <v>11</v>
      </c>
      <c r="I5963" s="1" t="n">
        <v>0.09</v>
      </c>
      <c r="J5963" t="n">
        <v>27446260</v>
      </c>
    </row>
    <row r="5964" ht="15.75" customHeight="1" s="201">
      <c r="A5964" s="1" t="inlineStr">
        <is>
          <t>Salad dressing, thousand island dressing, reduced fat</t>
        </is>
      </c>
      <c r="C5964" s="1" t="n">
        <v>24.06</v>
      </c>
      <c r="D5964" s="1" t="n">
        <v>0</v>
      </c>
      <c r="E5964" s="1" t="n">
        <v>0.9</v>
      </c>
      <c r="F5964" s="1" t="n">
        <v>0.83</v>
      </c>
      <c r="G5964" s="1" t="n">
        <v>11.32</v>
      </c>
      <c r="H5964" s="1" t="n">
        <v>311</v>
      </c>
      <c r="I5964" s="1" t="n">
        <v>0.19</v>
      </c>
      <c r="J5964" t="n">
        <v>75141005</v>
      </c>
    </row>
    <row r="5965" ht="15.75" customHeight="1" s="201">
      <c r="A5965" s="1" t="inlineStr">
        <is>
          <t>Salad dressing, thousand island, commercial, regular</t>
        </is>
      </c>
      <c r="C5965" s="1" t="n">
        <v>14.64</v>
      </c>
      <c r="D5965" s="1" t="n">
        <v>0</v>
      </c>
      <c r="E5965" s="1" t="n">
        <v>1.18</v>
      </c>
      <c r="F5965" s="1" t="n">
        <v>1.09</v>
      </c>
      <c r="G5965" s="1" t="n">
        <v>35.06</v>
      </c>
      <c r="H5965" s="1" t="n">
        <v>213</v>
      </c>
      <c r="I5965" s="1" t="n">
        <v>0.26</v>
      </c>
      <c r="J5965" t="n">
        <v>75141005</v>
      </c>
    </row>
    <row r="5966" ht="15.75" customHeight="1" s="201">
      <c r="A5966" s="1" t="inlineStr">
        <is>
          <t>Salami, cooked, beef</t>
        </is>
      </c>
      <c r="C5966" s="1" t="n">
        <v>1.9</v>
      </c>
      <c r="D5966" s="1" t="n">
        <v>2</v>
      </c>
      <c r="E5966" s="1" t="n">
        <v>2.2</v>
      </c>
      <c r="F5966" s="1" t="n">
        <v>12.6</v>
      </c>
      <c r="G5966" s="1" t="n">
        <v>22.2</v>
      </c>
      <c r="H5966" s="1" t="n">
        <v>0</v>
      </c>
      <c r="I5966" s="1" t="n">
        <v>1.77</v>
      </c>
      <c r="J5966" t="n">
        <v>28110510</v>
      </c>
    </row>
    <row r="5967" ht="15.75" customHeight="1" s="201">
      <c r="A5967" s="1" t="inlineStr">
        <is>
          <t>Salami, cooked, beef and pork</t>
        </is>
      </c>
      <c r="C5967" s="1" t="n">
        <v>2.4</v>
      </c>
      <c r="D5967" s="1" t="n">
        <v>3</v>
      </c>
      <c r="E5967" s="1" t="n">
        <v>1.56</v>
      </c>
      <c r="F5967" s="1" t="n">
        <v>21.85</v>
      </c>
      <c r="G5967" s="1" t="n">
        <v>25.9</v>
      </c>
      <c r="H5967" s="1" t="n">
        <v>0</v>
      </c>
      <c r="I5967" s="1" t="n">
        <v>2.93</v>
      </c>
      <c r="J5967" t="n">
        <v>28110510</v>
      </c>
    </row>
    <row r="5968" ht="15.75" customHeight="1" s="201">
      <c r="A5968" s="1" t="inlineStr">
        <is>
          <t>Salami, cooked, turkey</t>
        </is>
      </c>
      <c r="C5968" s="1" t="n">
        <v>1.55</v>
      </c>
      <c r="D5968" s="1" t="n">
        <v>10</v>
      </c>
      <c r="E5968" s="1" t="n">
        <v>1.25</v>
      </c>
      <c r="F5968" s="1" t="n">
        <v>19.2</v>
      </c>
      <c r="G5968" s="1" t="n">
        <v>9.210000000000001</v>
      </c>
      <c r="H5968" s="1" t="n">
        <v>6</v>
      </c>
      <c r="I5968" s="1" t="n">
        <v>2.32</v>
      </c>
      <c r="J5968" t="n">
        <v>27540350</v>
      </c>
    </row>
    <row r="5969" ht="15.75" customHeight="1" s="201">
      <c r="A5969" s="1" t="inlineStr">
        <is>
          <t>Salami, dry or hard, pork</t>
        </is>
      </c>
      <c r="C5969" s="1" t="n">
        <v>1.6</v>
      </c>
      <c r="D5969" s="1" t="n">
        <v>2</v>
      </c>
      <c r="E5969" s="1" t="n">
        <v>1.3</v>
      </c>
      <c r="F5969" s="1" t="n">
        <v>22.58</v>
      </c>
      <c r="G5969" s="1" t="n">
        <v>33.72</v>
      </c>
      <c r="H5969" s="1" t="n">
        <v>0</v>
      </c>
      <c r="I5969" s="1" t="n">
        <v>4.2</v>
      </c>
      <c r="J5969" t="n">
        <v>93106000</v>
      </c>
    </row>
    <row r="5970" ht="15.75" customHeight="1" s="201">
      <c r="A5970" s="1" t="inlineStr">
        <is>
          <t>Salami, dry or hard, pork, beef</t>
        </is>
      </c>
      <c r="C5970" s="1" t="n">
        <v>0.72</v>
      </c>
      <c r="D5970" s="1" t="n">
        <v>0</v>
      </c>
      <c r="E5970" s="1" t="n">
        <v>1.36</v>
      </c>
      <c r="F5970" s="1" t="n">
        <v>21.07</v>
      </c>
      <c r="G5970" s="1" t="n">
        <v>31.65</v>
      </c>
      <c r="H5970" s="1" t="n">
        <v>36</v>
      </c>
      <c r="I5970" s="1" t="n">
        <v>2.67</v>
      </c>
      <c r="J5970" t="n">
        <v>28110510</v>
      </c>
    </row>
    <row r="5971" ht="15.75" customHeight="1" s="201">
      <c r="A5971" s="1" t="inlineStr">
        <is>
          <t>Salami, Italian, pork</t>
        </is>
      </c>
      <c r="C5971" s="1" t="n">
        <v>1.2</v>
      </c>
      <c r="D5971" s="1" t="n">
        <v>2</v>
      </c>
      <c r="E5971" s="1" t="n">
        <v>1.52</v>
      </c>
      <c r="F5971" s="1" t="n">
        <v>21.7</v>
      </c>
      <c r="G5971" s="1" t="n">
        <v>37</v>
      </c>
      <c r="H5971" s="1" t="n">
        <v>0</v>
      </c>
      <c r="I5971" s="1" t="n">
        <v>4.2</v>
      </c>
      <c r="J5971" t="n">
        <v>27560910</v>
      </c>
    </row>
    <row r="5972" ht="15.75" customHeight="1" s="201">
      <c r="A5972" s="1" t="inlineStr">
        <is>
          <t>Salami, Italian, pork and beef, dry, sliced, 50% less sodium</t>
        </is>
      </c>
      <c r="C5972" s="1" t="n">
        <v>6.4</v>
      </c>
      <c r="D5972" s="1" t="n">
        <v>2</v>
      </c>
      <c r="E5972" s="1" t="n">
        <v>1.51</v>
      </c>
      <c r="F5972" s="1" t="n">
        <v>21.8</v>
      </c>
      <c r="G5972" s="1" t="n">
        <v>26.4</v>
      </c>
      <c r="H5972" s="1" t="n">
        <v>0</v>
      </c>
      <c r="I5972" s="1" t="n">
        <v>3.23</v>
      </c>
      <c r="J5972" t="n">
        <v>28110510</v>
      </c>
    </row>
    <row r="5973" ht="15.75" customHeight="1" s="201">
      <c r="A5973" s="1" t="inlineStr">
        <is>
          <t>Salami, pork, beef, less sodium</t>
        </is>
      </c>
      <c r="C5973" s="1" t="n">
        <v>15.38</v>
      </c>
      <c r="D5973" s="1" t="n">
        <v>8</v>
      </c>
      <c r="E5973" s="1" t="n">
        <v>1.55</v>
      </c>
      <c r="F5973" s="1" t="n">
        <v>15.01</v>
      </c>
      <c r="G5973" s="1" t="n">
        <v>30.5</v>
      </c>
      <c r="H5973" s="1" t="n">
        <v>12</v>
      </c>
      <c r="I5973" s="1" t="n">
        <v>3.08</v>
      </c>
      <c r="J5973" t="n">
        <v>28110510</v>
      </c>
    </row>
    <row r="5974" ht="15.75" customHeight="1" s="201">
      <c r="A5974" s="1" t="inlineStr">
        <is>
          <t>Salisbury steak with gravy, frozen</t>
        </is>
      </c>
      <c r="C5974" s="1" t="n">
        <v>6.78</v>
      </c>
      <c r="D5974" s="1" t="n">
        <v>13</v>
      </c>
      <c r="E5974" s="1" t="n">
        <v>0.95</v>
      </c>
      <c r="F5974" s="1" t="n">
        <v>6.98</v>
      </c>
      <c r="G5974" s="1" t="n">
        <v>10.47</v>
      </c>
      <c r="H5974" s="1" t="n">
        <v>5</v>
      </c>
      <c r="I5974" s="1" t="n">
        <v>0.75</v>
      </c>
      <c r="J5974" t="n">
        <v>28110310</v>
      </c>
    </row>
    <row r="5975" ht="15.75" customHeight="1" s="201">
      <c r="A5975" s="1" t="inlineStr">
        <is>
          <t>Salmon nuggets, breaded, frozen, heated</t>
        </is>
      </c>
      <c r="C5975" s="1" t="n">
        <v>13.96</v>
      </c>
      <c r="D5975" s="1" t="n">
        <v>9</v>
      </c>
      <c r="E5975" s="1" t="n">
        <v>1.24</v>
      </c>
      <c r="F5975" s="1" t="n">
        <v>12.69</v>
      </c>
      <c r="G5975" s="1" t="n">
        <v>11.72</v>
      </c>
      <c r="I5975" s="1" t="n">
        <v>0.52</v>
      </c>
      <c r="J5975" t="n">
        <v>28140720</v>
      </c>
    </row>
    <row r="5976" ht="15.75" customHeight="1" s="201">
      <c r="A5976" s="1" t="inlineStr">
        <is>
          <t>Salmon nuggets, cooked as purchased, unheated</t>
        </is>
      </c>
      <c r="C5976" s="1" t="n">
        <v>11.85</v>
      </c>
      <c r="D5976" s="1" t="n">
        <v>9</v>
      </c>
      <c r="E5976" s="1" t="n">
        <v>1.46</v>
      </c>
      <c r="F5976" s="1" t="n">
        <v>11.97</v>
      </c>
      <c r="G5976" s="1" t="n">
        <v>10.43</v>
      </c>
      <c r="I5976" s="1" t="n">
        <v>0.46</v>
      </c>
    </row>
    <row r="5977" ht="15.75" customHeight="1" s="201">
      <c r="A5977" s="1" t="inlineStr">
        <is>
          <t>Salmon, red (sockeye), filets with skin, smoked (Alaska Native)</t>
        </is>
      </c>
      <c r="C5977" s="1" t="n">
        <v>0</v>
      </c>
      <c r="D5977" s="1" t="n">
        <v>9</v>
      </c>
      <c r="E5977" s="1" t="n">
        <v>1.06</v>
      </c>
      <c r="F5977" s="1" t="n">
        <v>60.62</v>
      </c>
      <c r="G5977" s="1" t="n">
        <v>11.43</v>
      </c>
      <c r="H5977" s="1" t="n">
        <v>103</v>
      </c>
      <c r="I5977" s="1" t="n">
        <v>1.14</v>
      </c>
      <c r="J5977" t="n">
        <v>75142550</v>
      </c>
    </row>
    <row r="5978" ht="15.75" customHeight="1" s="201">
      <c r="A5978" s="1" t="inlineStr">
        <is>
          <t>Salmon, sockeye, canned, drained solids, without skin and bones</t>
        </is>
      </c>
      <c r="C5978" s="1" t="n">
        <v>0</v>
      </c>
      <c r="D5978" s="1" t="n">
        <v>4</v>
      </c>
      <c r="E5978" s="1" t="n">
        <v>0.48</v>
      </c>
      <c r="F5978" s="1" t="n">
        <v>26.33</v>
      </c>
      <c r="G5978" s="1" t="n">
        <v>5.87</v>
      </c>
      <c r="H5978" s="1" t="n">
        <v>187</v>
      </c>
      <c r="I5978" s="1" t="n">
        <v>0.58</v>
      </c>
      <c r="J5978" t="n">
        <v>24123301</v>
      </c>
    </row>
    <row r="5979" ht="15.75" customHeight="1" s="201">
      <c r="A5979" s="1" t="inlineStr">
        <is>
          <t>Salmonberries, raw (Alaska Native)</t>
        </is>
      </c>
      <c r="C5979" s="1" t="n">
        <v>10.05</v>
      </c>
      <c r="D5979" s="1" t="n">
        <v>17</v>
      </c>
      <c r="E5979" s="1" t="n">
        <v>0.4</v>
      </c>
      <c r="F5979" s="1" t="n">
        <v>0.85</v>
      </c>
      <c r="G5979" s="1" t="n">
        <v>0.33</v>
      </c>
      <c r="H5979" s="1" t="n">
        <v>496</v>
      </c>
      <c r="I5979" s="1" t="n">
        <v>0.28</v>
      </c>
    </row>
    <row r="5980" ht="15.75" customHeight="1" s="201">
      <c r="A5980" s="1" t="inlineStr">
        <is>
          <t>Salsify, (vegetable oyster), raw</t>
        </is>
      </c>
      <c r="C5980" s="1" t="n">
        <v>18.6</v>
      </c>
      <c r="D5980" s="1" t="n">
        <v>26</v>
      </c>
      <c r="E5980" s="1" t="n">
        <v>0.7</v>
      </c>
      <c r="F5980" s="1" t="n">
        <v>3.3</v>
      </c>
      <c r="G5980" s="1" t="n">
        <v>0.2</v>
      </c>
      <c r="H5980" s="1" t="n">
        <v>0</v>
      </c>
      <c r="I5980" s="1" t="n">
        <v>0.38</v>
      </c>
      <c r="J5980" t="n">
        <v>71220000</v>
      </c>
    </row>
    <row r="5981" ht="15.75" customHeight="1" s="201">
      <c r="A5981" s="1" t="inlineStr">
        <is>
          <t>Salsify, cooked, boiled, drained, with salt</t>
        </is>
      </c>
      <c r="C5981" s="1" t="n">
        <v>15.36</v>
      </c>
      <c r="D5981" s="1" t="n">
        <v>15</v>
      </c>
      <c r="E5981" s="1" t="n">
        <v>0.55</v>
      </c>
      <c r="F5981" s="1" t="n">
        <v>2.73</v>
      </c>
      <c r="G5981" s="1" t="n">
        <v>0.17</v>
      </c>
      <c r="H5981" s="1" t="n">
        <v>0</v>
      </c>
      <c r="I5981" s="1" t="n">
        <v>0.3</v>
      </c>
      <c r="J5981" t="n">
        <v>75142550</v>
      </c>
    </row>
    <row r="5982" ht="15.75" customHeight="1" s="201">
      <c r="A5982" s="1" t="inlineStr">
        <is>
          <t>Salsify, cooked, boiled, drained, without salt</t>
        </is>
      </c>
      <c r="C5982" s="1" t="n">
        <v>15.36</v>
      </c>
      <c r="D5982" s="1" t="n">
        <v>15</v>
      </c>
      <c r="E5982" s="1" t="n">
        <v>0.55</v>
      </c>
      <c r="F5982" s="1" t="n">
        <v>2.73</v>
      </c>
      <c r="G5982" s="1" t="n">
        <v>0.17</v>
      </c>
      <c r="H5982" s="1" t="n">
        <v>0</v>
      </c>
      <c r="I5982" s="1" t="n">
        <v>0.3</v>
      </c>
      <c r="J5982" t="n">
        <v>31103010</v>
      </c>
    </row>
    <row r="5983" ht="15.75" customHeight="1" s="201">
      <c r="A5983" s="1" t="inlineStr">
        <is>
          <t>Salt, table</t>
        </is>
      </c>
      <c r="C5983" s="1" t="n">
        <v>0</v>
      </c>
      <c r="D5983" s="1" t="n">
        <v>0</v>
      </c>
      <c r="E5983" s="1" t="n">
        <v>0.33</v>
      </c>
      <c r="F5983" s="1" t="n">
        <v>0</v>
      </c>
      <c r="G5983" s="1" t="n">
        <v>0</v>
      </c>
      <c r="H5983" s="1" t="n">
        <v>0</v>
      </c>
      <c r="I5983" s="1" t="n">
        <v>0.1</v>
      </c>
      <c r="J5983" t="n">
        <v>25230220</v>
      </c>
    </row>
    <row r="5984" ht="15.75" customHeight="1" s="201">
      <c r="A5984" s="1" t="inlineStr">
        <is>
          <t>Sandwich spread, meatless</t>
        </is>
      </c>
      <c r="C5984" s="1" t="n">
        <v>9</v>
      </c>
      <c r="D5984" s="1" t="n">
        <v>103</v>
      </c>
      <c r="E5984" s="1" t="n">
        <v>1.5</v>
      </c>
      <c r="F5984" s="1" t="n">
        <v>8</v>
      </c>
      <c r="G5984" s="1" t="n">
        <v>9</v>
      </c>
      <c r="H5984" s="1" t="n">
        <v>0</v>
      </c>
      <c r="I5984" s="1" t="n">
        <v>1.3</v>
      </c>
      <c r="J5984" t="n">
        <v>27513010</v>
      </c>
    </row>
    <row r="5985" ht="15.75" customHeight="1" s="201">
      <c r="A5985" s="1" t="inlineStr">
        <is>
          <t>Sandwich spread, pork, beef</t>
        </is>
      </c>
      <c r="C5985" s="1" t="n">
        <v>11.94</v>
      </c>
      <c r="D5985" s="1" t="n">
        <v>2</v>
      </c>
      <c r="E5985" s="1" t="n">
        <v>0.79</v>
      </c>
      <c r="F5985" s="1" t="n">
        <v>7.66</v>
      </c>
      <c r="G5985" s="1" t="n">
        <v>17.34</v>
      </c>
      <c r="H5985" s="1" t="n">
        <v>87</v>
      </c>
      <c r="I5985" s="1" t="n">
        <v>1.02</v>
      </c>
      <c r="J5985" t="n">
        <v>27513010</v>
      </c>
    </row>
    <row r="5986" ht="15.75" customHeight="1" s="201">
      <c r="A5986" s="1" t="inlineStr">
        <is>
          <t>Sandwich spread, with chopped pickle, regular, unspecified oils</t>
        </is>
      </c>
      <c r="C5986" s="1" t="n">
        <v>22.4</v>
      </c>
      <c r="D5986" s="1" t="n">
        <v>6</v>
      </c>
      <c r="E5986" s="1" t="n">
        <v>0.2</v>
      </c>
      <c r="F5986" s="1" t="n">
        <v>0.9</v>
      </c>
      <c r="G5986" s="1" t="n">
        <v>34</v>
      </c>
      <c r="H5986" s="1" t="n">
        <v>220</v>
      </c>
      <c r="I5986" s="1" t="n">
        <v>0.8100000000000001</v>
      </c>
      <c r="J5986" t="n">
        <v>75142550</v>
      </c>
    </row>
    <row r="5987" ht="15.75" customHeight="1" s="201">
      <c r="A5987" s="1" t="inlineStr">
        <is>
          <t>Sapodilla, raw</t>
        </is>
      </c>
      <c r="C5987" s="1" t="n">
        <v>19.96</v>
      </c>
      <c r="D5987" s="1" t="n">
        <v>14</v>
      </c>
      <c r="E5987" s="1" t="n">
        <v>0.8</v>
      </c>
      <c r="F5987" s="1" t="n">
        <v>0.44</v>
      </c>
      <c r="G5987" s="1" t="n">
        <v>1.1</v>
      </c>
      <c r="H5987" s="1" t="n">
        <v>60</v>
      </c>
      <c r="I5987" s="1" t="n">
        <v>0.1</v>
      </c>
    </row>
    <row r="5988" ht="15.75" customHeight="1" s="201">
      <c r="A5988" s="1" t="inlineStr">
        <is>
          <t>Sapote, mamey, raw</t>
        </is>
      </c>
      <c r="C5988" s="1" t="n">
        <v>32.1</v>
      </c>
      <c r="D5988" s="1" t="n">
        <v>7</v>
      </c>
      <c r="E5988" s="1" t="n">
        <v>0.78</v>
      </c>
      <c r="F5988" s="1" t="n">
        <v>1.45</v>
      </c>
      <c r="G5988" s="1" t="n">
        <v>0.46</v>
      </c>
      <c r="H5988" s="1" t="n">
        <v>143</v>
      </c>
      <c r="I5988" s="1" t="n">
        <v>0.19</v>
      </c>
    </row>
    <row r="5989" ht="15.75" customHeight="1" s="201">
      <c r="A5989" s="1" t="inlineStr">
        <is>
          <t>Sauce, alfredo mix, dry</t>
        </is>
      </c>
      <c r="C5989" s="1" t="n">
        <v>36.52</v>
      </c>
      <c r="D5989" s="1" t="n">
        <v>4</v>
      </c>
      <c r="E5989" s="1" t="n">
        <v>0.9399999999999999</v>
      </c>
      <c r="F5989" s="1" t="n">
        <v>15.32</v>
      </c>
      <c r="G5989" s="1" t="n">
        <v>36.35</v>
      </c>
      <c r="H5989" s="1" t="n">
        <v>213</v>
      </c>
      <c r="I5989" s="1" t="n">
        <v>1.49</v>
      </c>
      <c r="J5989" t="n">
        <v>58146403</v>
      </c>
    </row>
    <row r="5990" ht="15.75" customHeight="1" s="201">
      <c r="A5990" s="1" t="inlineStr">
        <is>
          <t>Sauce, barbecue</t>
        </is>
      </c>
      <c r="C5990" s="1" t="n">
        <v>40.77</v>
      </c>
      <c r="D5990" s="1" t="n">
        <v>2</v>
      </c>
      <c r="E5990" s="1" t="n">
        <v>0.64</v>
      </c>
      <c r="F5990" s="1" t="n">
        <v>0.82</v>
      </c>
      <c r="G5990" s="1" t="n">
        <v>0.63</v>
      </c>
      <c r="H5990" s="1" t="n">
        <v>224</v>
      </c>
      <c r="I5990" s="1" t="n">
        <v>0.17</v>
      </c>
      <c r="J5990" t="n">
        <v>24103070</v>
      </c>
    </row>
    <row r="5991" ht="15.75" customHeight="1" s="201">
      <c r="A5991" s="1" t="inlineStr">
        <is>
          <t>Sauce, barbecue, BULL'S-EYE, original</t>
        </is>
      </c>
      <c r="C5991" s="1" t="n">
        <v>39.95</v>
      </c>
      <c r="E5991" s="1" t="n">
        <v>0.6899999999999999</v>
      </c>
      <c r="F5991" s="1" t="n">
        <v>0.91</v>
      </c>
      <c r="G5991" s="1" t="n">
        <v>0.67</v>
      </c>
      <c r="H5991" s="1" t="n">
        <v>320</v>
      </c>
      <c r="I5991" s="1" t="n">
        <v>0.17</v>
      </c>
      <c r="J5991" t="n">
        <v>24103070</v>
      </c>
    </row>
    <row r="5992" ht="15.75" customHeight="1" s="201">
      <c r="A5992" s="1" t="inlineStr">
        <is>
          <t>Sauce, barbecue, KC MASTERPIECE, original</t>
        </is>
      </c>
      <c r="C5992" s="1" t="n">
        <v>37.92</v>
      </c>
      <c r="E5992" s="1" t="n">
        <v>1.09</v>
      </c>
      <c r="F5992" s="1" t="n">
        <v>1</v>
      </c>
      <c r="G5992" s="1" t="n">
        <v>0.52</v>
      </c>
      <c r="H5992" s="1" t="n">
        <v>277</v>
      </c>
      <c r="I5992" s="1" t="n">
        <v>0.22</v>
      </c>
      <c r="J5992" t="n">
        <v>24103070</v>
      </c>
    </row>
    <row r="5993" ht="15.75" customHeight="1" s="201">
      <c r="A5993" s="1" t="inlineStr">
        <is>
          <t>Sauce, barbecue, KRAFT, original</t>
        </is>
      </c>
      <c r="C5993" s="1" t="n">
        <v>40.77</v>
      </c>
      <c r="E5993" s="1" t="n">
        <v>0.79</v>
      </c>
      <c r="F5993" s="1" t="n">
        <v>0.74</v>
      </c>
      <c r="G5993" s="1" t="n">
        <v>0.62</v>
      </c>
      <c r="H5993" s="1" t="n">
        <v>196</v>
      </c>
      <c r="I5993" s="1" t="n">
        <v>0.16</v>
      </c>
      <c r="J5993" t="n">
        <v>24103070</v>
      </c>
    </row>
    <row r="5994" ht="15.75" customHeight="1" s="201">
      <c r="A5994" s="1" t="inlineStr">
        <is>
          <t>Sauce, barbecue, OPEN PIT, original</t>
        </is>
      </c>
      <c r="C5994" s="1" t="n">
        <v>29.45</v>
      </c>
      <c r="E5994" s="1" t="n">
        <v>0.15</v>
      </c>
      <c r="F5994" s="1" t="n">
        <v>0.44</v>
      </c>
      <c r="G5994" s="1" t="n">
        <v>1.41</v>
      </c>
      <c r="H5994" s="1" t="n">
        <v>28</v>
      </c>
      <c r="I5994" s="1" t="n">
        <v>0.12</v>
      </c>
      <c r="J5994" t="n">
        <v>24103070</v>
      </c>
    </row>
    <row r="5995" ht="15.75" customHeight="1" s="201">
      <c r="A5995" s="1" t="inlineStr">
        <is>
          <t>Sauce, barbecue, SWEET BABY RAY'S, original</t>
        </is>
      </c>
      <c r="C5995" s="1" t="n">
        <v>46.08</v>
      </c>
      <c r="E5995" s="1" t="n">
        <v>0.33</v>
      </c>
      <c r="F5995" s="1" t="n">
        <v>0.95</v>
      </c>
      <c r="G5995" s="1" t="n">
        <v>0.43</v>
      </c>
      <c r="H5995" s="1" t="n">
        <v>274</v>
      </c>
      <c r="I5995" s="1" t="n">
        <v>0.19</v>
      </c>
      <c r="J5995" t="n">
        <v>24103070</v>
      </c>
    </row>
    <row r="5996" ht="15.75" customHeight="1" s="201">
      <c r="A5996" s="1" t="inlineStr">
        <is>
          <t>Sauce, cheese sauce mix, dry</t>
        </is>
      </c>
      <c r="C5996" s="1" t="n">
        <v>60.52</v>
      </c>
      <c r="D5996" s="1" t="n">
        <v>134</v>
      </c>
      <c r="E5996" s="1" t="n">
        <v>0.5</v>
      </c>
      <c r="F5996" s="1" t="n">
        <v>7.68</v>
      </c>
      <c r="G5996" s="1" t="n">
        <v>18.33</v>
      </c>
      <c r="H5996" s="1" t="n">
        <v>202</v>
      </c>
      <c r="I5996" s="1" t="n">
        <v>1.11</v>
      </c>
      <c r="J5996" t="n">
        <v>58146403</v>
      </c>
    </row>
    <row r="5997" ht="15.75" customHeight="1" s="201">
      <c r="A5997" s="1" t="inlineStr">
        <is>
          <t>Sauce, cheese, ready-to-serve</t>
        </is>
      </c>
      <c r="C5997" s="1" t="n">
        <v>6.83</v>
      </c>
      <c r="D5997" s="1" t="n">
        <v>4</v>
      </c>
      <c r="E5997" s="1" t="n">
        <v>0.21</v>
      </c>
      <c r="F5997" s="1" t="n">
        <v>6.71</v>
      </c>
      <c r="G5997" s="1" t="n">
        <v>13.29</v>
      </c>
      <c r="H5997" s="1" t="n">
        <v>316</v>
      </c>
      <c r="I5997" s="1" t="n">
        <v>0.98</v>
      </c>
      <c r="J5997" t="n">
        <v>58146403</v>
      </c>
    </row>
    <row r="5998" ht="15.75" customHeight="1" s="201">
      <c r="A5998" s="1" t="inlineStr">
        <is>
          <t>Sauce, chili, peppers, hot, immature green, canned</t>
        </is>
      </c>
      <c r="C5998" s="1" t="n">
        <v>5</v>
      </c>
      <c r="D5998" s="1" t="n">
        <v>12</v>
      </c>
      <c r="E5998" s="1" t="n">
        <v>0.4</v>
      </c>
      <c r="F5998" s="1" t="n">
        <v>0.7</v>
      </c>
      <c r="G5998" s="1" t="n">
        <v>0.1</v>
      </c>
      <c r="H5998" s="1" t="n">
        <v>584</v>
      </c>
      <c r="I5998" s="1" t="n">
        <v>0.15</v>
      </c>
      <c r="J5998" t="n">
        <v>58146403</v>
      </c>
    </row>
    <row r="5999" ht="15.75" customHeight="1" s="201">
      <c r="A5999" s="1" t="inlineStr">
        <is>
          <t>Sauce, cocktail, ready-to-serve</t>
        </is>
      </c>
      <c r="C5999" s="1" t="n">
        <v>28.22</v>
      </c>
      <c r="D5999" s="1" t="n">
        <v>17</v>
      </c>
      <c r="E5999" s="1" t="n">
        <v>0.83</v>
      </c>
      <c r="F5999" s="1" t="n">
        <v>1.36</v>
      </c>
      <c r="G5999" s="1" t="n">
        <v>1.05</v>
      </c>
      <c r="H5999" s="1" t="n">
        <v>359</v>
      </c>
      <c r="I5999" s="1" t="n">
        <v>0.38</v>
      </c>
      <c r="J5999" t="n">
        <v>58146403</v>
      </c>
    </row>
    <row r="6000" ht="15.75" customHeight="1" s="201">
      <c r="A6000" s="1" t="inlineStr">
        <is>
          <t>Sauce, duck, ready-to-serve</t>
        </is>
      </c>
      <c r="C6000" s="1" t="n">
        <v>60.66</v>
      </c>
      <c r="D6000" s="1" t="n">
        <v>2</v>
      </c>
      <c r="E6000" s="1" t="n">
        <v>0.39</v>
      </c>
      <c r="F6000" s="1" t="n">
        <v>0.36</v>
      </c>
      <c r="G6000" s="1" t="n">
        <v>0.13</v>
      </c>
      <c r="H6000" s="1" t="n">
        <v>168</v>
      </c>
      <c r="I6000" s="1" t="n">
        <v>0.21</v>
      </c>
      <c r="J6000" t="n">
        <v>58146403</v>
      </c>
    </row>
    <row r="6001" ht="15.75" customHeight="1" s="201">
      <c r="A6001" s="1" t="inlineStr">
        <is>
          <t>Sauce, enchilada, red, mild, ready to serve</t>
        </is>
      </c>
      <c r="C6001" s="1" t="n">
        <v>4.87</v>
      </c>
      <c r="D6001" s="1" t="n">
        <v>5</v>
      </c>
      <c r="E6001" s="1" t="n">
        <v>0.67</v>
      </c>
      <c r="F6001" s="1" t="n">
        <v>0.62</v>
      </c>
      <c r="G6001" s="1" t="n">
        <v>0.91</v>
      </c>
      <c r="H6001" s="1" t="n">
        <v>717</v>
      </c>
      <c r="I6001" s="1" t="n">
        <v>0.09</v>
      </c>
      <c r="J6001" t="n">
        <v>58146403</v>
      </c>
    </row>
    <row r="6002" ht="15.75" customHeight="1" s="201">
      <c r="A6002" s="1" t="inlineStr">
        <is>
          <t>Sauce, fish, ready-to-serve</t>
        </is>
      </c>
      <c r="C6002" s="1" t="n">
        <v>3.64</v>
      </c>
      <c r="D6002" s="1" t="n">
        <v>51</v>
      </c>
      <c r="E6002" s="1" t="n">
        <v>0.78</v>
      </c>
      <c r="F6002" s="1" t="n">
        <v>5.06</v>
      </c>
      <c r="G6002" s="1" t="n">
        <v>0.01</v>
      </c>
      <c r="H6002" s="1" t="n">
        <v>12</v>
      </c>
      <c r="I6002" s="1" t="n">
        <v>0.2</v>
      </c>
      <c r="J6002" t="n">
        <v>58146403</v>
      </c>
    </row>
    <row r="6003" ht="15.75" customHeight="1" s="201">
      <c r="A6003" s="1" t="inlineStr">
        <is>
          <t>Sauce, hoisin, ready-to-serve</t>
        </is>
      </c>
      <c r="C6003" s="1" t="n">
        <v>44.08</v>
      </c>
      <c r="D6003" s="1" t="n">
        <v>23</v>
      </c>
      <c r="E6003" s="1" t="n">
        <v>1.01</v>
      </c>
      <c r="F6003" s="1" t="n">
        <v>3.31</v>
      </c>
      <c r="G6003" s="1" t="n">
        <v>3.39</v>
      </c>
      <c r="H6003" s="1" t="n">
        <v>6</v>
      </c>
      <c r="I6003" s="1" t="n">
        <v>0.32</v>
      </c>
      <c r="J6003" t="n">
        <v>58146403</v>
      </c>
    </row>
    <row r="6004" ht="15.75" customHeight="1" s="201">
      <c r="A6004" s="1" t="inlineStr">
        <is>
          <t>Sauce, homemade, white, medium</t>
        </is>
      </c>
      <c r="C6004" s="1" t="n">
        <v>9.17</v>
      </c>
      <c r="D6004" s="1" t="n">
        <v>8</v>
      </c>
      <c r="E6004" s="1" t="n">
        <v>0.33</v>
      </c>
      <c r="F6004" s="1" t="n">
        <v>3.84</v>
      </c>
      <c r="G6004" s="1" t="n">
        <v>10.63</v>
      </c>
      <c r="H6004" s="1" t="n">
        <v>377</v>
      </c>
      <c r="I6004" s="1" t="n">
        <v>0.41</v>
      </c>
      <c r="J6004" t="n">
        <v>58146441</v>
      </c>
    </row>
    <row r="6005" ht="15.75" customHeight="1" s="201">
      <c r="A6005" s="1" t="inlineStr">
        <is>
          <t>Sauce, homemade, white, thick</t>
        </is>
      </c>
      <c r="C6005" s="1" t="n">
        <v>11.61</v>
      </c>
      <c r="D6005" s="1" t="n">
        <v>11</v>
      </c>
      <c r="E6005" s="1" t="n">
        <v>0.5</v>
      </c>
      <c r="F6005" s="1" t="n">
        <v>3.99</v>
      </c>
      <c r="G6005" s="1" t="n">
        <v>13.83</v>
      </c>
      <c r="H6005" s="1" t="n">
        <v>469</v>
      </c>
      <c r="I6005" s="1" t="n">
        <v>0.4</v>
      </c>
      <c r="J6005" t="n">
        <v>58146441</v>
      </c>
    </row>
    <row r="6006" ht="15.75" customHeight="1" s="201">
      <c r="A6006" s="1" t="inlineStr">
        <is>
          <t>Sauce, horseradish</t>
        </is>
      </c>
      <c r="C6006" s="1" t="n">
        <v>10.05</v>
      </c>
      <c r="D6006" s="1" t="n">
        <v>1</v>
      </c>
      <c r="E6006" s="1" t="n">
        <v>0.23</v>
      </c>
      <c r="F6006" s="1" t="n">
        <v>1.09</v>
      </c>
      <c r="G6006" s="1" t="n">
        <v>50.89</v>
      </c>
      <c r="H6006" s="1" t="n">
        <v>66</v>
      </c>
      <c r="I6006" s="1" t="n">
        <v>0.17</v>
      </c>
      <c r="J6006" t="n">
        <v>58146361</v>
      </c>
    </row>
    <row r="6007" ht="15.75" customHeight="1" s="201">
      <c r="A6007" s="1" t="inlineStr">
        <is>
          <t>Sauce, hot chile, sriracha</t>
        </is>
      </c>
      <c r="C6007" s="1" t="n">
        <v>19.16</v>
      </c>
      <c r="D6007" s="1" t="n">
        <v>22</v>
      </c>
      <c r="E6007" s="1" t="n">
        <v>1.64</v>
      </c>
      <c r="F6007" s="1" t="n">
        <v>1.93</v>
      </c>
      <c r="G6007" s="1" t="n">
        <v>0.93</v>
      </c>
      <c r="H6007" s="1" t="n">
        <v>2574</v>
      </c>
      <c r="I6007" s="1" t="n">
        <v>0.24</v>
      </c>
      <c r="J6007" t="n">
        <v>58146361</v>
      </c>
    </row>
    <row r="6008" ht="15.75" customHeight="1" s="201">
      <c r="A6008" s="1" t="inlineStr">
        <is>
          <t>Sauce, hot chile, sriracha, CHA! BY TEXAS PETE</t>
        </is>
      </c>
      <c r="C6008" s="1" t="n">
        <v>22.73</v>
      </c>
      <c r="D6008" s="1" t="n">
        <v>17</v>
      </c>
      <c r="E6008" s="1" t="n">
        <v>1.46</v>
      </c>
      <c r="F6008" s="1" t="n">
        <v>2.02</v>
      </c>
      <c r="G6008" s="1" t="n">
        <v>0.98</v>
      </c>
      <c r="H6008" s="1" t="n">
        <v>2773</v>
      </c>
      <c r="I6008" s="1" t="n">
        <v>0.23</v>
      </c>
      <c r="J6008" t="n">
        <v>58146361</v>
      </c>
    </row>
    <row r="6009" ht="15.75" customHeight="1" s="201">
      <c r="A6009" s="1" t="inlineStr">
        <is>
          <t>Sauce, hot chile, sriracha, TUONG OT SRIRACHA</t>
        </is>
      </c>
      <c r="C6009" s="1" t="n">
        <v>15.87</v>
      </c>
      <c r="D6009" s="1" t="n">
        <v>31</v>
      </c>
      <c r="E6009" s="1" t="n">
        <v>1.92</v>
      </c>
      <c r="F6009" s="1" t="n">
        <v>1.86</v>
      </c>
      <c r="G6009" s="1" t="n">
        <v>0.9</v>
      </c>
      <c r="H6009" s="1" t="n">
        <v>2764</v>
      </c>
      <c r="I6009" s="1" t="n">
        <v>0.25</v>
      </c>
      <c r="J6009" t="n">
        <v>74403000</v>
      </c>
    </row>
    <row r="6010" ht="15.75" customHeight="1" s="201">
      <c r="A6010" s="1" t="inlineStr">
        <is>
          <t>Sauce, oyster, ready-to-serve</t>
        </is>
      </c>
      <c r="C6010" s="1" t="n">
        <v>10.92</v>
      </c>
      <c r="D6010" s="1" t="n">
        <v>15</v>
      </c>
      <c r="E6010" s="1" t="n">
        <v>0.18</v>
      </c>
      <c r="F6010" s="1" t="n">
        <v>1.35</v>
      </c>
      <c r="G6010" s="1" t="n">
        <v>0.25</v>
      </c>
      <c r="H6010" s="1" t="n">
        <v>0</v>
      </c>
      <c r="I6010" s="1" t="n">
        <v>0.09</v>
      </c>
      <c r="J6010" t="n">
        <v>58146403</v>
      </c>
    </row>
    <row r="6011" ht="15.75" customHeight="1" s="201">
      <c r="A6011" s="1" t="inlineStr">
        <is>
          <t>Sauce, pasta, spaghetti/marinara, ready-to-serve</t>
        </is>
      </c>
      <c r="C6011" s="1" t="n">
        <v>7.43</v>
      </c>
      <c r="D6011" s="1" t="n">
        <v>13</v>
      </c>
      <c r="E6011" s="1" t="n">
        <v>0.73</v>
      </c>
      <c r="F6011" s="1" t="n">
        <v>1.39</v>
      </c>
      <c r="G6011" s="1" t="n">
        <v>1.61</v>
      </c>
      <c r="H6011" s="1" t="n">
        <v>617</v>
      </c>
      <c r="I6011" s="1" t="n">
        <v>0.2</v>
      </c>
      <c r="J6011" t="n">
        <v>58146603</v>
      </c>
    </row>
    <row r="6012" ht="15.75" customHeight="1" s="201">
      <c r="A6012" s="1" t="inlineStr">
        <is>
          <t>Sauce, pasta, spaghetti/marinara, ready-to-serve, low sodium</t>
        </is>
      </c>
      <c r="C6012" s="1" t="n">
        <v>8.06</v>
      </c>
      <c r="D6012" s="1" t="n">
        <v>13</v>
      </c>
      <c r="E6012" s="1" t="n">
        <v>0.78</v>
      </c>
      <c r="F6012" s="1" t="n">
        <v>1.41</v>
      </c>
      <c r="G6012" s="1" t="n">
        <v>1.48</v>
      </c>
      <c r="H6012" s="1" t="n">
        <v>650</v>
      </c>
      <c r="I6012" s="1" t="n">
        <v>0.2</v>
      </c>
      <c r="J6012" t="n">
        <v>58146603</v>
      </c>
    </row>
    <row r="6013" ht="15.75" customHeight="1" s="201">
      <c r="A6013" s="1" t="inlineStr">
        <is>
          <t>Sauce, peanut, made from coconut, water, sugar, peanuts</t>
        </is>
      </c>
      <c r="C6013" s="1" t="n">
        <v>28.46</v>
      </c>
      <c r="D6013" s="1" t="n">
        <v>4</v>
      </c>
      <c r="E6013" s="1" t="n">
        <v>0.38</v>
      </c>
      <c r="F6013" s="1" t="n">
        <v>2.02</v>
      </c>
      <c r="G6013" s="1" t="n">
        <v>6.34</v>
      </c>
      <c r="H6013" s="1" t="n">
        <v>0</v>
      </c>
      <c r="I6013" s="1" t="n">
        <v>0.3</v>
      </c>
      <c r="J6013" t="n">
        <v>11740312</v>
      </c>
    </row>
    <row r="6014" ht="15.75" customHeight="1" s="201">
      <c r="A6014" s="1" t="inlineStr">
        <is>
          <t>Sauce, peanut, made from peanut butter, water, soy sauce</t>
        </is>
      </c>
      <c r="C6014" s="1" t="n">
        <v>22.02</v>
      </c>
      <c r="D6014" s="1" t="n">
        <v>22</v>
      </c>
      <c r="E6014" s="1" t="n">
        <v>0.91</v>
      </c>
      <c r="F6014" s="1" t="n">
        <v>6.31</v>
      </c>
      <c r="G6014" s="1" t="n">
        <v>16.02</v>
      </c>
      <c r="H6014" s="1" t="n">
        <v>0</v>
      </c>
      <c r="I6014" s="1" t="n">
        <v>0.78</v>
      </c>
      <c r="J6014" t="n">
        <v>91734000</v>
      </c>
    </row>
    <row r="6015" ht="15.75" customHeight="1" s="201">
      <c r="A6015" s="1" t="inlineStr">
        <is>
          <t>Sauce, peppers, hot, chili, mature red, canned</t>
        </is>
      </c>
      <c r="C6015" s="1" t="n">
        <v>3.9</v>
      </c>
      <c r="D6015" s="1" t="n">
        <v>11</v>
      </c>
      <c r="E6015" s="1" t="n">
        <v>0.5</v>
      </c>
      <c r="F6015" s="1" t="n">
        <v>0.9</v>
      </c>
      <c r="G6015" s="1" t="n">
        <v>0.6</v>
      </c>
      <c r="H6015" s="1" t="n">
        <v>458</v>
      </c>
      <c r="I6015" s="1" t="n">
        <v>0.15</v>
      </c>
      <c r="J6015" t="n">
        <v>58146403</v>
      </c>
    </row>
    <row r="6016" ht="15.75" customHeight="1" s="201">
      <c r="A6016" s="1" t="inlineStr">
        <is>
          <t>Sauce, pesto, BUITONI, pesto with basil, ready-to-serve, refrigerated</t>
        </is>
      </c>
      <c r="C6016" s="1" t="n">
        <v>10.09</v>
      </c>
      <c r="D6016" s="1" t="n">
        <v>16</v>
      </c>
      <c r="E6016" s="1" t="n">
        <v>0.57</v>
      </c>
      <c r="F6016" s="1" t="n">
        <v>9.83</v>
      </c>
      <c r="G6016" s="1" t="n">
        <v>37.6</v>
      </c>
      <c r="H6016" s="1" t="n">
        <v>1544</v>
      </c>
      <c r="I6016" s="1" t="n">
        <v>1.33</v>
      </c>
      <c r="J6016" t="n">
        <v>75142550</v>
      </c>
    </row>
    <row r="6017" ht="15.75" customHeight="1" s="201">
      <c r="A6017" s="1" t="inlineStr">
        <is>
          <t>Sauce, pesto, CLASSICO, basil pesto, ready-to-serve</t>
        </is>
      </c>
      <c r="C6017" s="1" t="n">
        <v>6.93</v>
      </c>
      <c r="D6017" s="1" t="n">
        <v>29</v>
      </c>
      <c r="E6017" s="1" t="n">
        <v>0.71</v>
      </c>
      <c r="F6017" s="1" t="n">
        <v>4.16</v>
      </c>
      <c r="G6017" s="1" t="n">
        <v>36.38</v>
      </c>
      <c r="H6017" s="1" t="n">
        <v>1929</v>
      </c>
      <c r="I6017" s="1" t="n">
        <v>0.68</v>
      </c>
      <c r="J6017" t="n">
        <v>58146403</v>
      </c>
    </row>
    <row r="6018" ht="15.75" customHeight="1" s="201">
      <c r="A6018" s="1" t="inlineStr">
        <is>
          <t>Sauce, pesto, MEZZETTA, NAPA VALLEY BISTRO, basil pesto, ready-to-serve</t>
        </is>
      </c>
      <c r="C6018" s="1" t="n">
        <v>5.12</v>
      </c>
      <c r="D6018" s="1" t="n">
        <v>26</v>
      </c>
      <c r="E6018" s="1" t="n">
        <v>0.99</v>
      </c>
      <c r="F6018" s="1" t="n">
        <v>6.69</v>
      </c>
      <c r="G6018" s="1" t="n">
        <v>49.88</v>
      </c>
      <c r="H6018" s="1" t="n">
        <v>1674</v>
      </c>
      <c r="I6018" s="1" t="n">
        <v>1</v>
      </c>
      <c r="J6018" t="n">
        <v>58146403</v>
      </c>
    </row>
    <row r="6019" ht="15.75" customHeight="1" s="201">
      <c r="A6019" s="1" t="inlineStr">
        <is>
          <t>Sauce, pesto, ready-to-serve, refrigerated</t>
        </is>
      </c>
      <c r="C6019" s="1" t="n">
        <v>10.09</v>
      </c>
      <c r="D6019" s="1" t="n">
        <v>16</v>
      </c>
      <c r="E6019" s="1" t="n">
        <v>0.57</v>
      </c>
      <c r="F6019" s="1" t="n">
        <v>9.83</v>
      </c>
      <c r="G6019" s="1" t="n">
        <v>37.6</v>
      </c>
      <c r="H6019" s="1" t="n">
        <v>1544</v>
      </c>
      <c r="I6019" s="1" t="n">
        <v>1.33</v>
      </c>
      <c r="J6019" t="n">
        <v>58146403</v>
      </c>
    </row>
    <row r="6020" ht="15.75" customHeight="1" s="201">
      <c r="A6020" s="1" t="inlineStr">
        <is>
          <t>Sauce, pesto, ready-to-serve, shelf stable</t>
        </is>
      </c>
      <c r="C6020" s="1" t="n">
        <v>6.14</v>
      </c>
      <c r="D6020" s="1" t="n">
        <v>27</v>
      </c>
      <c r="E6020" s="1" t="n">
        <v>0.88</v>
      </c>
      <c r="F6020" s="1" t="n">
        <v>5</v>
      </c>
      <c r="G6020" s="1" t="n">
        <v>42.42</v>
      </c>
      <c r="H6020" s="1" t="n">
        <v>1802</v>
      </c>
      <c r="I6020" s="1" t="n">
        <v>0.88</v>
      </c>
      <c r="J6020" t="n">
        <v>58146403</v>
      </c>
    </row>
    <row r="6021" ht="15.75" customHeight="1" s="201">
      <c r="A6021" s="1" t="inlineStr">
        <is>
          <t>Sauce, pizza, canned, ready-to-serve</t>
        </is>
      </c>
      <c r="C6021" s="1" t="n">
        <v>8.66</v>
      </c>
      <c r="D6021" s="1" t="n">
        <v>10</v>
      </c>
      <c r="E6021" s="1" t="n">
        <v>0.9</v>
      </c>
      <c r="F6021" s="1" t="n">
        <v>2.18</v>
      </c>
      <c r="G6021" s="1" t="n">
        <v>1.15</v>
      </c>
      <c r="H6021" s="1" t="n">
        <v>667</v>
      </c>
      <c r="I6021" s="1" t="n">
        <v>0.25</v>
      </c>
      <c r="J6021" t="n">
        <v>58146403</v>
      </c>
    </row>
    <row r="6022" ht="15.75" customHeight="1" s="201">
      <c r="A6022" s="1" t="inlineStr">
        <is>
          <t>Sauce, plum, ready-to-serve</t>
        </is>
      </c>
      <c r="C6022" s="1" t="n">
        <v>42.81</v>
      </c>
      <c r="D6022" s="1" t="n">
        <v>6</v>
      </c>
      <c r="E6022" s="1" t="n">
        <v>1.43</v>
      </c>
      <c r="F6022" s="1" t="n">
        <v>0.89</v>
      </c>
      <c r="G6022" s="1" t="n">
        <v>1.04</v>
      </c>
      <c r="H6022" s="1" t="n">
        <v>43</v>
      </c>
      <c r="I6022" s="1" t="n">
        <v>0.19</v>
      </c>
      <c r="J6022" t="n">
        <v>58146403</v>
      </c>
    </row>
    <row r="6023" ht="15.75" customHeight="1" s="201">
      <c r="A6023" s="1" t="inlineStr">
        <is>
          <t>Sauce, ready-to-serve, pepper or hot</t>
        </is>
      </c>
      <c r="C6023" s="1" t="n">
        <v>1.75</v>
      </c>
      <c r="D6023" s="1" t="n">
        <v>6</v>
      </c>
      <c r="E6023" s="1" t="n">
        <v>0.48</v>
      </c>
      <c r="F6023" s="1" t="n">
        <v>0.51</v>
      </c>
      <c r="G6023" s="1" t="n">
        <v>0.37</v>
      </c>
      <c r="H6023" s="1" t="n">
        <v>162</v>
      </c>
      <c r="I6023" s="1" t="n">
        <v>0.11</v>
      </c>
      <c r="J6023" t="n">
        <v>58146403</v>
      </c>
    </row>
    <row r="6024" ht="15.75" customHeight="1" s="201">
      <c r="A6024" s="1" t="inlineStr">
        <is>
          <t>Sauce, ready-to-serve, pepper, TABASCO</t>
        </is>
      </c>
      <c r="C6024" s="1" t="n">
        <v>0.8</v>
      </c>
      <c r="D6024" s="1" t="n">
        <v>1</v>
      </c>
      <c r="E6024" s="1" t="n">
        <v>1.16</v>
      </c>
      <c r="F6024" s="1" t="n">
        <v>1.29</v>
      </c>
      <c r="G6024" s="1" t="n">
        <v>0.76</v>
      </c>
      <c r="H6024" s="1" t="n">
        <v>1640</v>
      </c>
      <c r="I6024" s="1" t="n">
        <v>0.16</v>
      </c>
      <c r="J6024" t="n">
        <v>75511010</v>
      </c>
    </row>
    <row r="6025" ht="15.75" customHeight="1" s="201">
      <c r="A6025" s="1" t="inlineStr">
        <is>
          <t>Sauce, salsa, ready-to-serve</t>
        </is>
      </c>
      <c r="C6025" s="1" t="n">
        <v>6.64</v>
      </c>
      <c r="D6025" s="1" t="n">
        <v>4</v>
      </c>
      <c r="E6025" s="1" t="n">
        <v>0.42</v>
      </c>
      <c r="F6025" s="1" t="n">
        <v>1.52</v>
      </c>
      <c r="G6025" s="1" t="n">
        <v>0.17</v>
      </c>
      <c r="H6025" s="1" t="n">
        <v>461</v>
      </c>
      <c r="I6025" s="1" t="n">
        <v>0.18</v>
      </c>
      <c r="J6025" t="n">
        <v>74402150</v>
      </c>
    </row>
    <row r="6026" ht="15.75" customHeight="1" s="201">
      <c r="A6026" s="1" t="inlineStr">
        <is>
          <t>Sauce, salsa, verde, ready-to-serve</t>
        </is>
      </c>
      <c r="C6026" s="1" t="n">
        <v>6.36</v>
      </c>
      <c r="D6026" s="1" t="n">
        <v>8</v>
      </c>
      <c r="E6026" s="1" t="n">
        <v>0.65</v>
      </c>
      <c r="F6026" s="1" t="n">
        <v>1.13</v>
      </c>
      <c r="G6026" s="1" t="n">
        <v>0.89</v>
      </c>
      <c r="H6026" s="1" t="n">
        <v>217</v>
      </c>
      <c r="I6026" s="1" t="n">
        <v>0.25</v>
      </c>
      <c r="J6026" t="n">
        <v>74402150</v>
      </c>
    </row>
    <row r="6027" ht="15.75" customHeight="1" s="201">
      <c r="A6027" s="1" t="inlineStr">
        <is>
          <t>Sauce, sofrito, prepared from recipe</t>
        </is>
      </c>
      <c r="C6027" s="1" t="n">
        <v>5.46</v>
      </c>
      <c r="D6027" s="1" t="n">
        <v>43</v>
      </c>
      <c r="E6027" s="1" t="n">
        <v>0.9399999999999999</v>
      </c>
      <c r="F6027" s="1" t="n">
        <v>12.8</v>
      </c>
      <c r="G6027" s="1" t="n">
        <v>18.2</v>
      </c>
      <c r="I6027" s="1" t="n">
        <v>1.41</v>
      </c>
      <c r="J6027" t="n">
        <v>24164000</v>
      </c>
    </row>
    <row r="6028" ht="15.75" customHeight="1" s="201">
      <c r="A6028" s="1" t="inlineStr">
        <is>
          <t>Sauce, steak, tomato based</t>
        </is>
      </c>
      <c r="C6028" s="1" t="n">
        <v>22.04</v>
      </c>
      <c r="D6028" s="1" t="n">
        <v>8</v>
      </c>
      <c r="E6028" s="1" t="n">
        <v>1.37</v>
      </c>
      <c r="F6028" s="1" t="n">
        <v>1.25</v>
      </c>
      <c r="G6028" s="1" t="n">
        <v>0.23</v>
      </c>
      <c r="H6028" s="1" t="n">
        <v>295</v>
      </c>
      <c r="I6028" s="1" t="n">
        <v>0.34</v>
      </c>
      <c r="J6028" t="n">
        <v>27214110</v>
      </c>
    </row>
    <row r="6029" ht="15.75" customHeight="1" s="201">
      <c r="A6029" s="1" t="inlineStr">
        <is>
          <t>Sauce, sweet and sour, prepared-from-recipe</t>
        </is>
      </c>
      <c r="C6029" s="1" t="n">
        <v>16.72</v>
      </c>
      <c r="D6029" s="1" t="n">
        <v>10</v>
      </c>
      <c r="E6029" s="1" t="n">
        <v>0.67</v>
      </c>
      <c r="F6029" s="1" t="n">
        <v>1.84</v>
      </c>
      <c r="G6029" s="1" t="n">
        <v>0.58</v>
      </c>
      <c r="H6029" s="1" t="n">
        <v>110</v>
      </c>
      <c r="I6029" s="1" t="n">
        <v>0.18</v>
      </c>
      <c r="J6029" t="n">
        <v>24164000</v>
      </c>
    </row>
    <row r="6030" ht="15.75" customHeight="1" s="201">
      <c r="A6030" s="1" t="inlineStr">
        <is>
          <t>Sauce, sweet and sour, ready-to-serve</t>
        </is>
      </c>
      <c r="C6030" s="1" t="n">
        <v>38.22</v>
      </c>
      <c r="D6030" s="1" t="n">
        <v>8</v>
      </c>
      <c r="E6030" s="1" t="n">
        <v>0.21</v>
      </c>
      <c r="F6030" s="1" t="n">
        <v>0.27</v>
      </c>
      <c r="G6030" s="1" t="n">
        <v>0.02</v>
      </c>
      <c r="H6030" s="1" t="n">
        <v>10</v>
      </c>
      <c r="I6030" s="1" t="n">
        <v>0.09</v>
      </c>
      <c r="J6030" t="n">
        <v>58146403</v>
      </c>
    </row>
    <row r="6031" ht="15.75" customHeight="1" s="201">
      <c r="A6031" s="1" t="inlineStr">
        <is>
          <t>Sauce, tartar, ready-to-serve</t>
        </is>
      </c>
      <c r="C6031" s="1" t="n">
        <v>13.3</v>
      </c>
      <c r="D6031" s="1" t="n">
        <v>5</v>
      </c>
      <c r="E6031" s="1" t="n">
        <v>0.25</v>
      </c>
      <c r="F6031" s="1" t="n">
        <v>1</v>
      </c>
      <c r="G6031" s="1" t="n">
        <v>16.7</v>
      </c>
      <c r="H6031" s="1" t="n">
        <v>165</v>
      </c>
      <c r="I6031" s="1" t="n">
        <v>0.12</v>
      </c>
      <c r="J6031" t="n">
        <v>58146403</v>
      </c>
    </row>
    <row r="6032" ht="15.75" customHeight="1" s="201">
      <c r="A6032" s="1" t="inlineStr">
        <is>
          <t>Sauce, teriyaki, ready-to-serve</t>
        </is>
      </c>
      <c r="C6032" s="1" t="n">
        <v>15.56</v>
      </c>
      <c r="D6032" s="1" t="n">
        <v>8</v>
      </c>
      <c r="E6032" s="1" t="n">
        <v>1.7</v>
      </c>
      <c r="F6032" s="1" t="n">
        <v>5.93</v>
      </c>
      <c r="G6032" s="1" t="n">
        <v>0.02</v>
      </c>
      <c r="H6032" s="1" t="n">
        <v>0</v>
      </c>
      <c r="I6032" s="1" t="n">
        <v>0.1</v>
      </c>
      <c r="J6032" t="n">
        <v>58146403</v>
      </c>
    </row>
    <row r="6033" ht="15.75" customHeight="1" s="201">
      <c r="A6033" s="1" t="inlineStr">
        <is>
          <t>Sauce, teriyaki, ready-to-serve, reduced sodium</t>
        </is>
      </c>
      <c r="C6033" s="1" t="n">
        <v>15.58</v>
      </c>
      <c r="D6033" s="1" t="n">
        <v>8</v>
      </c>
      <c r="E6033" s="1" t="n">
        <v>1.7</v>
      </c>
      <c r="F6033" s="1" t="n">
        <v>5.93</v>
      </c>
      <c r="G6033" s="1" t="n">
        <v>0.02</v>
      </c>
      <c r="H6033" s="1" t="n">
        <v>1</v>
      </c>
      <c r="I6033" s="1" t="n">
        <v>0.1</v>
      </c>
      <c r="J6033" t="n">
        <v>54204030</v>
      </c>
    </row>
    <row r="6034" ht="15.75" customHeight="1" s="201">
      <c r="A6034" s="1" t="inlineStr">
        <is>
          <t>Sauce, tomato chili sauce, bottled, with salt</t>
        </is>
      </c>
      <c r="C6034" s="1" t="n">
        <v>19.79</v>
      </c>
      <c r="D6034" s="1" t="n">
        <v>9</v>
      </c>
      <c r="E6034" s="1" t="n">
        <v>0.8</v>
      </c>
      <c r="F6034" s="1" t="n">
        <v>2.5</v>
      </c>
      <c r="G6034" s="1" t="n">
        <v>0.3</v>
      </c>
      <c r="H6034" s="1" t="n">
        <v>680</v>
      </c>
      <c r="I6034" s="1" t="n">
        <v>0.16</v>
      </c>
      <c r="J6034" t="n">
        <v>27120250</v>
      </c>
    </row>
    <row r="6035" ht="15.75" customHeight="1" s="201">
      <c r="A6035" s="1" t="inlineStr">
        <is>
          <t>Sauce, white, thin, prepared-from-recipe, with butter</t>
        </is>
      </c>
      <c r="C6035" s="1" t="n">
        <v>8.289999999999999</v>
      </c>
      <c r="D6035" s="1" t="n">
        <v>10</v>
      </c>
      <c r="E6035" s="1" t="n">
        <v>0.22</v>
      </c>
      <c r="F6035" s="1" t="n">
        <v>3.95</v>
      </c>
      <c r="G6035" s="1" t="n">
        <v>2.56</v>
      </c>
      <c r="H6035" s="1" t="n">
        <v>286</v>
      </c>
      <c r="I6035" s="1" t="n">
        <v>0.47</v>
      </c>
      <c r="J6035" t="n">
        <v>58146442</v>
      </c>
    </row>
    <row r="6036" ht="15.75" customHeight="1" s="201">
      <c r="A6036" s="1" t="inlineStr">
        <is>
          <t>Sauce, worcestershire</t>
        </is>
      </c>
      <c r="C6036" s="1" t="n">
        <v>19.17</v>
      </c>
      <c r="D6036" s="1" t="n">
        <v>8</v>
      </c>
      <c r="E6036" s="1" t="n">
        <v>5.3</v>
      </c>
      <c r="F6036" s="1" t="n">
        <v>0</v>
      </c>
      <c r="G6036" s="1" t="n">
        <v>0</v>
      </c>
      <c r="H6036" s="1" t="n">
        <v>79</v>
      </c>
      <c r="I6036" s="1" t="n">
        <v>0.19</v>
      </c>
      <c r="J6036" t="n">
        <v>58146361</v>
      </c>
    </row>
    <row r="6037" ht="15.75" customHeight="1" s="201">
      <c r="A6037" s="1" t="inlineStr">
        <is>
          <t>Sauerkraut, canned, solids and liquids</t>
        </is>
      </c>
      <c r="C6037" s="1" t="n">
        <v>4.28</v>
      </c>
      <c r="D6037" s="1" t="n">
        <v>24</v>
      </c>
      <c r="E6037" s="1" t="n">
        <v>1.47</v>
      </c>
      <c r="F6037" s="1" t="n">
        <v>0.91</v>
      </c>
      <c r="G6037" s="1" t="n">
        <v>0.14</v>
      </c>
      <c r="H6037" s="1" t="n">
        <v>18</v>
      </c>
      <c r="I6037" s="1" t="n">
        <v>0.19</v>
      </c>
      <c r="J6037" t="n">
        <v>63311110</v>
      </c>
    </row>
    <row r="6038" ht="15.75" customHeight="1" s="201">
      <c r="A6038" s="1" t="inlineStr">
        <is>
          <t>Sausage, beef, cured, cooked, smoked</t>
        </is>
      </c>
      <c r="C6038" s="1" t="n">
        <v>2.42</v>
      </c>
      <c r="D6038" s="1" t="n">
        <v>4</v>
      </c>
      <c r="E6038" s="1" t="n">
        <v>1.76</v>
      </c>
      <c r="F6038" s="1" t="n">
        <v>14.11</v>
      </c>
      <c r="G6038" s="1" t="n">
        <v>26.91</v>
      </c>
      <c r="H6038" s="1" t="n">
        <v>0</v>
      </c>
      <c r="I6038" s="1" t="n">
        <v>2.8</v>
      </c>
      <c r="J6038" t="n">
        <v>25221405</v>
      </c>
    </row>
    <row r="6039" ht="15.75" customHeight="1" s="201">
      <c r="A6039" s="1" t="inlineStr">
        <is>
          <t>Sausage, beef, fresh, cooked</t>
        </is>
      </c>
      <c r="C6039" s="1" t="n">
        <v>0.35</v>
      </c>
      <c r="D6039" s="1" t="n">
        <v>3</v>
      </c>
      <c r="E6039" s="1" t="n">
        <v>1.57</v>
      </c>
      <c r="F6039" s="1" t="n">
        <v>18.21</v>
      </c>
      <c r="G6039" s="1" t="n">
        <v>27.98</v>
      </c>
      <c r="H6039" s="1" t="n">
        <v>81</v>
      </c>
      <c r="I6039" s="1" t="n">
        <v>4.38</v>
      </c>
      <c r="J6039" t="n">
        <v>28110510</v>
      </c>
    </row>
    <row r="6040" ht="15.75" customHeight="1" s="201">
      <c r="A6040" s="1" t="inlineStr">
        <is>
          <t>Sausage, Berliner, pork, beef</t>
        </is>
      </c>
      <c r="C6040" s="1" t="n">
        <v>2.59</v>
      </c>
      <c r="D6040" s="1" t="n">
        <v>5</v>
      </c>
      <c r="E6040" s="1" t="n">
        <v>1.15</v>
      </c>
      <c r="F6040" s="1" t="n">
        <v>15.27</v>
      </c>
      <c r="G6040" s="1" t="n">
        <v>17.2</v>
      </c>
      <c r="H6040" s="1" t="n">
        <v>0</v>
      </c>
      <c r="I6040" s="1" t="n">
        <v>2.47</v>
      </c>
      <c r="J6040" t="n">
        <v>28110510</v>
      </c>
    </row>
    <row r="6041" ht="15.75" customHeight="1" s="201">
      <c r="A6041" s="1" t="inlineStr">
        <is>
          <t>Sausage, breakfast sausage, beef, pre-cooked, unprepared</t>
        </is>
      </c>
      <c r="C6041" s="1" t="n">
        <v>4.61</v>
      </c>
      <c r="D6041" s="1" t="n">
        <v>7</v>
      </c>
      <c r="E6041" s="1" t="n">
        <v>1.45</v>
      </c>
      <c r="F6041" s="1" t="n">
        <v>12.9</v>
      </c>
      <c r="G6041" s="1" t="n">
        <v>28.22</v>
      </c>
      <c r="H6041" s="1" t="n">
        <v>77</v>
      </c>
      <c r="I6041" s="1" t="n">
        <v>2.15</v>
      </c>
      <c r="J6041" t="n">
        <v>25221405</v>
      </c>
    </row>
    <row r="6042" ht="15.75" customHeight="1" s="201">
      <c r="A6042" s="1" t="inlineStr">
        <is>
          <t>Sausage, chicken or turkey, Italian style,  lower sodium</t>
        </is>
      </c>
      <c r="C6042" s="1" t="n">
        <v>14.25</v>
      </c>
      <c r="D6042" s="1" t="n">
        <v>71</v>
      </c>
      <c r="E6042" s="1" t="n">
        <v>1.29</v>
      </c>
      <c r="F6042" s="1" t="n">
        <v>21.43</v>
      </c>
      <c r="G6042" s="1" t="n">
        <v>4.46</v>
      </c>
      <c r="H6042" s="1" t="n">
        <v>0</v>
      </c>
      <c r="I6042" s="1" t="n">
        <v>2.41</v>
      </c>
      <c r="J6042" t="n">
        <v>27446315</v>
      </c>
    </row>
    <row r="6043" ht="15.75" customHeight="1" s="201">
      <c r="A6043" s="1" t="inlineStr">
        <is>
          <t>Sausage, chicken, beef, pork, skinless, smoked</t>
        </is>
      </c>
      <c r="C6043" s="1" t="n">
        <v>8.1</v>
      </c>
      <c r="D6043" s="1" t="n">
        <v>6</v>
      </c>
      <c r="E6043" s="1" t="n">
        <v>4.8</v>
      </c>
      <c r="F6043" s="1" t="n">
        <v>13.6</v>
      </c>
      <c r="G6043" s="1" t="n">
        <v>14.3</v>
      </c>
      <c r="H6043" s="1" t="n">
        <v>0</v>
      </c>
      <c r="I6043" s="1" t="n">
        <v>2.68</v>
      </c>
      <c r="J6043" t="n">
        <v>25221405</v>
      </c>
    </row>
    <row r="6044" ht="15.75" customHeight="1" s="201">
      <c r="A6044" s="1" t="inlineStr">
        <is>
          <t>Sausage, egg and cheese breakfast biscuit</t>
        </is>
      </c>
      <c r="C6044" s="1" t="n">
        <v>21.57</v>
      </c>
      <c r="D6044" s="1" t="n">
        <v>52</v>
      </c>
      <c r="E6044" s="1" t="n">
        <v>1.85</v>
      </c>
      <c r="F6044" s="1" t="n">
        <v>9.539999999999999</v>
      </c>
      <c r="G6044" s="1" t="n">
        <v>22.13</v>
      </c>
      <c r="H6044" s="1" t="n">
        <v>632</v>
      </c>
      <c r="I6044" s="1" t="n">
        <v>0.99</v>
      </c>
      <c r="J6044" t="n">
        <v>32202050</v>
      </c>
    </row>
    <row r="6045" ht="15.75" customHeight="1" s="201">
      <c r="A6045" s="1" t="inlineStr">
        <is>
          <t>Sausage, Italian, pork, mild, cooked, pan-fried</t>
        </is>
      </c>
      <c r="C6045" s="1" t="n">
        <v>1.86</v>
      </c>
      <c r="D6045" s="1" t="n">
        <v>4</v>
      </c>
      <c r="E6045" s="1" t="n">
        <v>1.25</v>
      </c>
      <c r="F6045" s="1" t="n">
        <v>18.4</v>
      </c>
      <c r="G6045" s="1" t="n">
        <v>26.4</v>
      </c>
      <c r="H6045" s="1" t="n">
        <v>32</v>
      </c>
      <c r="I6045" s="1" t="n">
        <v>2.4</v>
      </c>
      <c r="J6045" t="n">
        <v>25221405</v>
      </c>
    </row>
    <row r="6046" ht="15.75" customHeight="1" s="201">
      <c r="A6046" s="1" t="inlineStr">
        <is>
          <t>Sausage, Italian, pork, mild, raw</t>
        </is>
      </c>
      <c r="C6046" s="1" t="n">
        <v>2.97</v>
      </c>
      <c r="E6046" s="1" t="n">
        <v>1.77</v>
      </c>
      <c r="F6046" s="1" t="n">
        <v>13.9</v>
      </c>
      <c r="G6046" s="1" t="n">
        <v>24.26</v>
      </c>
      <c r="H6046" s="1" t="n">
        <v>0</v>
      </c>
      <c r="I6046" s="1" t="n">
        <v>1.91</v>
      </c>
      <c r="J6046" t="n">
        <v>25221405</v>
      </c>
    </row>
    <row r="6047" ht="15.75" customHeight="1" s="201">
      <c r="A6047" s="1" t="inlineStr">
        <is>
          <t>Sausage, Italian, sweet, links</t>
        </is>
      </c>
      <c r="C6047" s="1" t="n">
        <v>2.1</v>
      </c>
      <c r="D6047" s="1" t="n">
        <v>4</v>
      </c>
      <c r="E6047" s="1" t="n">
        <v>1.19</v>
      </c>
      <c r="F6047" s="1" t="n">
        <v>16.13</v>
      </c>
      <c r="G6047" s="1" t="n">
        <v>8.42</v>
      </c>
      <c r="H6047" s="1" t="n">
        <v>2</v>
      </c>
      <c r="I6047" s="1" t="n">
        <v>1.52</v>
      </c>
      <c r="J6047" t="n">
        <v>25221405</v>
      </c>
    </row>
    <row r="6048" ht="15.75" customHeight="1" s="201">
      <c r="A6048" s="1" t="inlineStr">
        <is>
          <t>Sausage, Italian, turkey, smoked</t>
        </is>
      </c>
      <c r="C6048" s="1" t="n">
        <v>4.65</v>
      </c>
      <c r="D6048" s="1" t="n">
        <v>8</v>
      </c>
      <c r="E6048" s="1" t="n">
        <v>9.6</v>
      </c>
      <c r="F6048" s="1" t="n">
        <v>15.05</v>
      </c>
      <c r="G6048" s="1" t="n">
        <v>8.75</v>
      </c>
      <c r="H6048" s="1" t="n">
        <v>144</v>
      </c>
      <c r="I6048" s="1" t="n">
        <v>2.13</v>
      </c>
      <c r="J6048" t="n">
        <v>25221405</v>
      </c>
    </row>
    <row r="6049" ht="15.75" customHeight="1" s="201">
      <c r="A6049" s="1" t="inlineStr">
        <is>
          <t>Sausage, meatless</t>
        </is>
      </c>
      <c r="C6049" s="1" t="n">
        <v>8.09</v>
      </c>
      <c r="D6049" s="1" t="n">
        <v>26</v>
      </c>
      <c r="E6049" s="1" t="n">
        <v>3.72</v>
      </c>
      <c r="F6049" s="1" t="n">
        <v>20.28</v>
      </c>
      <c r="G6049" s="1" t="n">
        <v>18.16</v>
      </c>
      <c r="H6049" s="1" t="n">
        <v>0</v>
      </c>
      <c r="I6049" s="1" t="n">
        <v>1.46</v>
      </c>
      <c r="J6049" t="n">
        <v>25221405</v>
      </c>
    </row>
    <row r="6050" ht="15.75" customHeight="1" s="201">
      <c r="A6050" s="1" t="inlineStr">
        <is>
          <t>Sausage, New england brand, pork, beef</t>
        </is>
      </c>
      <c r="C6050" s="1" t="n">
        <v>4.83</v>
      </c>
      <c r="D6050" s="1" t="n">
        <v>7</v>
      </c>
      <c r="E6050" s="1" t="n">
        <v>0.9399999999999999</v>
      </c>
      <c r="F6050" s="1" t="n">
        <v>17.27</v>
      </c>
      <c r="G6050" s="1" t="n">
        <v>7.58</v>
      </c>
      <c r="H6050" s="1" t="n">
        <v>0</v>
      </c>
      <c r="I6050" s="1" t="n">
        <v>2.7</v>
      </c>
      <c r="J6050" t="n">
        <v>28110510</v>
      </c>
    </row>
    <row r="6051" ht="15.75" customHeight="1" s="201">
      <c r="A6051" s="1" t="inlineStr">
        <is>
          <t>Sausage, Polish, beef with chicken, hot</t>
        </is>
      </c>
      <c r="C6051" s="1" t="n">
        <v>3.6</v>
      </c>
      <c r="D6051" s="1" t="n">
        <v>2</v>
      </c>
      <c r="E6051" s="1" t="n">
        <v>0.88</v>
      </c>
      <c r="F6051" s="1" t="n">
        <v>17.6</v>
      </c>
      <c r="G6051" s="1" t="n">
        <v>19.4</v>
      </c>
      <c r="H6051" s="1" t="n">
        <v>0</v>
      </c>
      <c r="I6051" s="1" t="n">
        <v>1.93</v>
      </c>
      <c r="J6051" t="n">
        <v>58128250</v>
      </c>
    </row>
    <row r="6052" ht="15.75" customHeight="1" s="201">
      <c r="A6052" s="1" t="inlineStr">
        <is>
          <t>Sausage, Polish, pork and beef, smoked</t>
        </is>
      </c>
      <c r="C6052" s="1" t="n">
        <v>1.98</v>
      </c>
      <c r="D6052" s="1" t="n">
        <v>4</v>
      </c>
      <c r="E6052" s="1" t="n">
        <v>1</v>
      </c>
      <c r="F6052" s="1" t="n">
        <v>12.07</v>
      </c>
      <c r="G6052" s="1" t="n">
        <v>26.56</v>
      </c>
      <c r="H6052" s="1" t="n">
        <v>0</v>
      </c>
      <c r="I6052" s="1" t="n">
        <v>2.11</v>
      </c>
      <c r="J6052" t="n">
        <v>25221405</v>
      </c>
    </row>
    <row r="6053" ht="15.75" customHeight="1" s="201">
      <c r="A6053" s="1" t="inlineStr">
        <is>
          <t>Sausage, pork and beef, fresh, cooked</t>
        </is>
      </c>
      <c r="C6053" s="1" t="n">
        <v>2.7</v>
      </c>
      <c r="D6053" s="1" t="n">
        <v>2</v>
      </c>
      <c r="E6053" s="1" t="n">
        <v>1.13</v>
      </c>
      <c r="F6053" s="1" t="n">
        <v>13.8</v>
      </c>
      <c r="G6053" s="1" t="n">
        <v>36.25</v>
      </c>
      <c r="H6053" s="1" t="n">
        <v>0</v>
      </c>
      <c r="I6053" s="1" t="n">
        <v>1.87</v>
      </c>
      <c r="J6053" t="n">
        <v>25221405</v>
      </c>
    </row>
    <row r="6054" ht="15.75" customHeight="1" s="201">
      <c r="A6054" s="1" t="inlineStr">
        <is>
          <t>Sausage, pork and beef, with cheddar cheese, smoked</t>
        </is>
      </c>
      <c r="C6054" s="1" t="n">
        <v>2.13</v>
      </c>
      <c r="D6054" s="1" t="n">
        <v>3</v>
      </c>
      <c r="E6054" s="1" t="n">
        <v>0.73</v>
      </c>
      <c r="F6054" s="1" t="n">
        <v>12.89</v>
      </c>
      <c r="G6054" s="1" t="n">
        <v>25.84</v>
      </c>
      <c r="H6054" s="1" t="n">
        <v>0</v>
      </c>
      <c r="I6054" s="1" t="n">
        <v>2.25</v>
      </c>
      <c r="J6054" t="n">
        <v>58127330</v>
      </c>
    </row>
    <row r="6055" ht="15.75" customHeight="1" s="201">
      <c r="A6055" s="1" t="inlineStr">
        <is>
          <t>Sausage, pork and turkey, pre-cooked</t>
        </is>
      </c>
      <c r="C6055" s="1" t="n">
        <v>3.63</v>
      </c>
      <c r="D6055" s="1" t="n">
        <v>10</v>
      </c>
      <c r="E6055" s="1" t="n">
        <v>1.3</v>
      </c>
      <c r="F6055" s="1" t="n">
        <v>12.05</v>
      </c>
      <c r="G6055" s="1" t="n">
        <v>30.64</v>
      </c>
      <c r="H6055" s="1" t="n">
        <v>102</v>
      </c>
      <c r="I6055" s="1" t="n">
        <v>1.34</v>
      </c>
      <c r="J6055" t="n">
        <v>25221870</v>
      </c>
    </row>
    <row r="6056" ht="15.75" customHeight="1" s="201">
      <c r="A6056" s="1" t="inlineStr">
        <is>
          <t>Sausage, pork, chorizo, link or ground, raw</t>
        </is>
      </c>
      <c r="C6056" s="1" t="n">
        <v>3.78</v>
      </c>
      <c r="D6056" s="1" t="n">
        <v>0</v>
      </c>
      <c r="E6056" s="1" t="n">
        <v>1.41</v>
      </c>
      <c r="F6056" s="1" t="n">
        <v>13.63</v>
      </c>
      <c r="G6056" s="1" t="n">
        <v>25.1</v>
      </c>
      <c r="H6056" s="1" t="n">
        <v>0</v>
      </c>
      <c r="I6056" s="1" t="n">
        <v>1.68</v>
      </c>
      <c r="J6056" t="n">
        <v>25221405</v>
      </c>
    </row>
    <row r="6057" ht="15.75" customHeight="1" s="201">
      <c r="A6057" s="1" t="inlineStr">
        <is>
          <t>Sausage, pork, turkey, and beef, reduced sodium</t>
        </is>
      </c>
      <c r="C6057" s="1" t="n">
        <v>0.11</v>
      </c>
      <c r="D6057" s="1" t="n">
        <v>16</v>
      </c>
      <c r="E6057" s="1" t="n">
        <v>1.6</v>
      </c>
      <c r="F6057" s="1" t="n">
        <v>10.71</v>
      </c>
      <c r="G6057" s="1" t="n">
        <v>26.79</v>
      </c>
      <c r="H6057" s="1" t="n">
        <v>18</v>
      </c>
      <c r="I6057" s="1" t="n">
        <v>3.95</v>
      </c>
      <c r="J6057" t="n">
        <v>54204030</v>
      </c>
    </row>
    <row r="6058" ht="15.75" customHeight="1" s="201">
      <c r="A6058" s="1" t="inlineStr">
        <is>
          <t>Sausage, smoked link sausage, pork</t>
        </is>
      </c>
      <c r="C6058" s="1" t="n">
        <v>0.9399999999999999</v>
      </c>
      <c r="D6058" s="1" t="n">
        <v>1</v>
      </c>
      <c r="E6058" s="1" t="n">
        <v>0.59</v>
      </c>
      <c r="F6058" s="1" t="n">
        <v>11.98</v>
      </c>
      <c r="G6058" s="1" t="n">
        <v>28.23</v>
      </c>
      <c r="H6058" s="1" t="n">
        <v>0</v>
      </c>
      <c r="I6058" s="1" t="n">
        <v>1.31</v>
      </c>
      <c r="J6058" t="n">
        <v>25221405</v>
      </c>
    </row>
    <row r="6059" ht="15.75" customHeight="1" s="201">
      <c r="A6059" s="1" t="inlineStr">
        <is>
          <t>Sausage, smoked link sausage, pork and beef</t>
        </is>
      </c>
      <c r="C6059" s="1" t="n">
        <v>2.42</v>
      </c>
      <c r="D6059" s="1" t="n">
        <v>2</v>
      </c>
      <c r="E6059" s="1" t="n">
        <v>0.75</v>
      </c>
      <c r="F6059" s="1" t="n">
        <v>12</v>
      </c>
      <c r="G6059" s="1" t="n">
        <v>28.73</v>
      </c>
      <c r="H6059" s="1" t="n">
        <v>74</v>
      </c>
      <c r="I6059" s="1" t="n">
        <v>1.26</v>
      </c>
      <c r="J6059" t="n">
        <v>25221405</v>
      </c>
    </row>
    <row r="6060" ht="15.75" customHeight="1" s="201">
      <c r="A6060" s="1" t="inlineStr">
        <is>
          <t>Sausage, smoked link sausage, pork and beef (nonfat dry milk added)</t>
        </is>
      </c>
      <c r="C6060" s="1" t="n">
        <v>1.92</v>
      </c>
      <c r="D6060" s="1" t="n">
        <v>2</v>
      </c>
      <c r="E6060" s="1" t="n">
        <v>1.47</v>
      </c>
      <c r="F6060" s="1" t="n">
        <v>13.28</v>
      </c>
      <c r="G6060" s="1" t="n">
        <v>27.61</v>
      </c>
      <c r="H6060" s="1" t="n">
        <v>0</v>
      </c>
      <c r="I6060" s="1" t="n">
        <v>1.96</v>
      </c>
      <c r="J6060" t="n">
        <v>25221405</v>
      </c>
    </row>
    <row r="6061" ht="15.75" customHeight="1" s="201">
      <c r="A6061" s="1" t="inlineStr">
        <is>
          <t>Sausage, summer, pork and beef, sticks, with cheddar cheese</t>
        </is>
      </c>
      <c r="C6061" s="1" t="n">
        <v>1.82</v>
      </c>
      <c r="D6061" s="1" t="n">
        <v>7</v>
      </c>
      <c r="E6061" s="1" t="n">
        <v>2.26</v>
      </c>
      <c r="F6061" s="1" t="n">
        <v>19.43</v>
      </c>
      <c r="G6061" s="1" t="n">
        <v>37.91</v>
      </c>
      <c r="H6061" s="1" t="n">
        <v>749</v>
      </c>
      <c r="I6061" s="1" t="n">
        <v>2.25</v>
      </c>
      <c r="J6061" t="n">
        <v>58127330</v>
      </c>
    </row>
    <row r="6062" ht="15.75" customHeight="1" s="201">
      <c r="A6062" s="1" t="inlineStr">
        <is>
          <t>Sausage, turkey and pork, fresh, bulk, patty or link, cooked</t>
        </is>
      </c>
      <c r="C6062" s="1" t="n">
        <v>0.7</v>
      </c>
      <c r="D6062" s="1" t="n">
        <v>4</v>
      </c>
      <c r="E6062" s="1" t="n">
        <v>1.62</v>
      </c>
      <c r="F6062" s="1" t="n">
        <v>22.7</v>
      </c>
      <c r="G6062" s="1" t="n">
        <v>23</v>
      </c>
      <c r="H6062" s="1" t="n">
        <v>0</v>
      </c>
      <c r="I6062" s="1" t="n">
        <v>3.17</v>
      </c>
      <c r="J6062" t="n">
        <v>25221870</v>
      </c>
    </row>
    <row r="6063" ht="15.75" customHeight="1" s="201">
      <c r="A6063" s="1" t="inlineStr">
        <is>
          <t>Sausage, turkey, breakfast links, mild, raw</t>
        </is>
      </c>
      <c r="C6063" s="1" t="n">
        <v>3.18</v>
      </c>
      <c r="D6063" s="1" t="n">
        <v>6</v>
      </c>
      <c r="E6063" s="1" t="n">
        <v>1.34</v>
      </c>
      <c r="F6063" s="1" t="n">
        <v>15.91</v>
      </c>
      <c r="G6063" s="1" t="n">
        <v>10.39</v>
      </c>
      <c r="H6063" s="1" t="n">
        <v>0</v>
      </c>
      <c r="I6063" s="1" t="n">
        <v>2.51</v>
      </c>
      <c r="J6063" t="n">
        <v>25221870</v>
      </c>
    </row>
    <row r="6064" ht="15.75" customHeight="1" s="201">
      <c r="A6064" s="1" t="inlineStr">
        <is>
          <t>Sausage, turkey, fresh, cooked</t>
        </is>
      </c>
      <c r="C6064" s="1" t="n">
        <v>0</v>
      </c>
      <c r="D6064" s="1" t="n">
        <v>6</v>
      </c>
      <c r="E6064" s="1" t="n">
        <v>1.49</v>
      </c>
      <c r="F6064" s="1" t="n">
        <v>23.89</v>
      </c>
      <c r="G6064" s="1" t="n">
        <v>10.44</v>
      </c>
      <c r="H6064" s="1" t="n">
        <v>75</v>
      </c>
      <c r="I6064" s="1" t="n">
        <v>3.88</v>
      </c>
      <c r="J6064" t="n">
        <v>25221870</v>
      </c>
    </row>
    <row r="6065" ht="15.75" customHeight="1" s="201">
      <c r="A6065" s="1" t="inlineStr">
        <is>
          <t>Sausage, turkey, fresh, raw</t>
        </is>
      </c>
      <c r="C6065" s="1" t="n">
        <v>0.47</v>
      </c>
      <c r="D6065" s="1" t="n">
        <v>5</v>
      </c>
      <c r="E6065" s="1" t="n">
        <v>1.17</v>
      </c>
      <c r="F6065" s="1" t="n">
        <v>18.79</v>
      </c>
      <c r="G6065" s="1" t="n">
        <v>8.08</v>
      </c>
      <c r="H6065" s="1" t="n">
        <v>75</v>
      </c>
      <c r="I6065" s="1" t="n">
        <v>3.06</v>
      </c>
      <c r="J6065" t="n">
        <v>25221870</v>
      </c>
    </row>
    <row r="6066" ht="15.75" customHeight="1" s="201">
      <c r="A6066" s="1" t="inlineStr">
        <is>
          <t>Sausage, turkey, hot, smoked</t>
        </is>
      </c>
      <c r="C6066" s="1" t="n">
        <v>4.65</v>
      </c>
      <c r="D6066" s="1" t="n">
        <v>8</v>
      </c>
      <c r="E6066" s="1" t="n">
        <v>9.6</v>
      </c>
      <c r="F6066" s="1" t="n">
        <v>15.05</v>
      </c>
      <c r="G6066" s="1" t="n">
        <v>8.75</v>
      </c>
      <c r="H6066" s="1" t="n">
        <v>144</v>
      </c>
      <c r="I6066" s="1" t="n">
        <v>2.13</v>
      </c>
      <c r="J6066" t="n">
        <v>25221405</v>
      </c>
    </row>
    <row r="6067" ht="15.75" customHeight="1" s="201">
      <c r="A6067" s="1" t="inlineStr">
        <is>
          <t>Sausage, turkey, pork, and beef, low fat, smoked</t>
        </is>
      </c>
      <c r="C6067" s="1" t="n">
        <v>11.54</v>
      </c>
      <c r="D6067" s="1" t="n">
        <v>6</v>
      </c>
      <c r="E6067" s="1" t="n">
        <v>2.2</v>
      </c>
      <c r="F6067" s="1" t="n">
        <v>8</v>
      </c>
      <c r="G6067" s="1" t="n">
        <v>2.5</v>
      </c>
      <c r="H6067" s="1" t="n">
        <v>0</v>
      </c>
      <c r="I6067" s="1" t="n">
        <v>1.2</v>
      </c>
      <c r="J6067" t="n">
        <v>25221870</v>
      </c>
    </row>
    <row r="6068" ht="15.75" customHeight="1" s="201">
      <c r="A6068" s="1" t="inlineStr">
        <is>
          <t>Sausage, turkey, reduced fat, brown and serve, cooked</t>
        </is>
      </c>
      <c r="C6068" s="1" t="n">
        <v>10.92</v>
      </c>
      <c r="D6068" s="1" t="n">
        <v>23</v>
      </c>
      <c r="E6068" s="1" t="n">
        <v>1.8</v>
      </c>
      <c r="F6068" s="1" t="n">
        <v>17</v>
      </c>
      <c r="G6068" s="1" t="n">
        <v>10.3</v>
      </c>
      <c r="H6068" s="1" t="n">
        <v>8</v>
      </c>
      <c r="I6068" s="1" t="n">
        <v>2.31</v>
      </c>
      <c r="J6068" t="n">
        <v>25221408</v>
      </c>
    </row>
    <row r="6069" ht="15.75" customHeight="1" s="201">
      <c r="A6069" s="1" t="inlineStr">
        <is>
          <t>Sausage, Vienna, canned, chicken, beef, pork</t>
        </is>
      </c>
      <c r="C6069" s="1" t="n">
        <v>2.6</v>
      </c>
      <c r="D6069" s="1" t="n">
        <v>4</v>
      </c>
      <c r="E6069" s="1" t="n">
        <v>0.88</v>
      </c>
      <c r="F6069" s="1" t="n">
        <v>10.5</v>
      </c>
      <c r="G6069" s="1" t="n">
        <v>19.4</v>
      </c>
      <c r="H6069" s="1" t="n">
        <v>0</v>
      </c>
      <c r="I6069" s="1" t="n">
        <v>1.6</v>
      </c>
      <c r="J6069" t="n">
        <v>28110510</v>
      </c>
    </row>
    <row r="6070" ht="15.75" customHeight="1" s="201">
      <c r="A6070" s="1" t="inlineStr">
        <is>
          <t>Schar, Gluten-Free, Classic White Rolls</t>
        </is>
      </c>
      <c r="C6070" s="1" t="n">
        <v>50.47</v>
      </c>
      <c r="D6070" s="1" t="n">
        <v>8</v>
      </c>
      <c r="E6070" s="1" t="n">
        <v>3.57</v>
      </c>
      <c r="F6070" s="1" t="n">
        <v>3.34</v>
      </c>
      <c r="G6070" s="1" t="n">
        <v>2.65</v>
      </c>
      <c r="I6070" s="1" t="n">
        <v>0.5600000000000001</v>
      </c>
      <c r="J6070" t="n">
        <v>27446260</v>
      </c>
    </row>
    <row r="6071" ht="15.75" customHeight="1" s="201">
      <c r="A6071" s="1" t="inlineStr">
        <is>
          <t>Schar, Gluten-Free, Wheat-Free, Classic White Bread</t>
        </is>
      </c>
      <c r="C6071" s="1" t="n">
        <v>46.13</v>
      </c>
      <c r="D6071" s="1" t="n">
        <v>15</v>
      </c>
      <c r="E6071" s="1" t="n">
        <v>3.17</v>
      </c>
      <c r="F6071" s="1" t="n">
        <v>3.81</v>
      </c>
      <c r="G6071" s="1" t="n">
        <v>4.47</v>
      </c>
      <c r="I6071" s="1" t="n">
        <v>0.47</v>
      </c>
      <c r="J6071" t="n">
        <v>27446260</v>
      </c>
    </row>
    <row r="6072" ht="15.75" customHeight="1" s="201">
      <c r="A6072" s="1" t="inlineStr">
        <is>
          <t>SCHIFF,TIGER'S MILK BAR</t>
        </is>
      </c>
      <c r="C6072" s="1" t="n">
        <v>56.46</v>
      </c>
      <c r="D6072" s="1" t="n">
        <v>55</v>
      </c>
      <c r="E6072" s="1" t="n">
        <v>10.28</v>
      </c>
      <c r="F6072" s="1" t="n">
        <v>16.8</v>
      </c>
      <c r="G6072" s="1" t="n">
        <v>14.29</v>
      </c>
      <c r="H6072" s="1" t="n">
        <v>3</v>
      </c>
      <c r="I6072" s="1" t="n">
        <v>1.44</v>
      </c>
      <c r="J6072" t="n">
        <v>11112110</v>
      </c>
    </row>
    <row r="6073" ht="15.75" customHeight="1" s="201">
      <c r="A6073" s="1" t="inlineStr">
        <is>
          <t>School Lunch, chicken nuggets, whole grain breaded</t>
        </is>
      </c>
      <c r="C6073" s="1" t="n">
        <v>22.86</v>
      </c>
      <c r="D6073" s="1" t="n">
        <v>11</v>
      </c>
      <c r="E6073" s="1" t="n">
        <v>1.99</v>
      </c>
      <c r="F6073" s="1" t="n">
        <v>15.67</v>
      </c>
      <c r="G6073" s="1" t="n">
        <v>12.9</v>
      </c>
      <c r="H6073" s="1" t="n">
        <v>55</v>
      </c>
      <c r="I6073" s="1" t="n">
        <v>0.71</v>
      </c>
      <c r="J6073" t="n">
        <v>27446320</v>
      </c>
    </row>
    <row r="6074" ht="15.75" customHeight="1" s="201">
      <c r="A6074" s="1" t="inlineStr">
        <is>
          <t>School Lunch, chicken patty, whole grain breaded</t>
        </is>
      </c>
      <c r="C6074" s="1" t="n">
        <v>12.5</v>
      </c>
      <c r="D6074" s="1" t="n">
        <v>9</v>
      </c>
      <c r="E6074" s="1" t="n">
        <v>3.77</v>
      </c>
      <c r="F6074" s="1" t="n">
        <v>17.64</v>
      </c>
      <c r="G6074" s="1" t="n">
        <v>13.93</v>
      </c>
      <c r="H6074" s="1" t="n">
        <v>2</v>
      </c>
      <c r="I6074" s="1" t="n">
        <v>1.12</v>
      </c>
      <c r="J6074" t="n">
        <v>27446320</v>
      </c>
    </row>
    <row r="6075" ht="15.75" customHeight="1" s="201">
      <c r="A6075" s="1" t="inlineStr">
        <is>
          <t>School Lunch, pizza, BIG DADDY'S LS 16" 51% Whole Grain Rolled Edge Cheese Pizza, frozen</t>
        </is>
      </c>
      <c r="C6075" s="1" t="n">
        <v>27.1</v>
      </c>
      <c r="E6075" s="1" t="n">
        <v>2.5</v>
      </c>
      <c r="F6075" s="1" t="n">
        <v>13.89</v>
      </c>
      <c r="G6075" s="1" t="n">
        <v>8.81</v>
      </c>
      <c r="H6075" s="1" t="n">
        <v>217</v>
      </c>
      <c r="I6075" s="1" t="n">
        <v>1.74</v>
      </c>
      <c r="J6075" t="n">
        <v>58106205</v>
      </c>
    </row>
    <row r="6076" ht="15.75" customHeight="1" s="201">
      <c r="A6076" s="1" t="inlineStr">
        <is>
          <t>School Lunch, pizza, BIG DADDY'S LS 16" 51% Whole Grain Rolled Edge Turkey Pepperoni Pizza, frozen</t>
        </is>
      </c>
      <c r="C6076" s="1" t="n">
        <v>27.35</v>
      </c>
      <c r="E6076" s="1" t="n">
        <v>2.4</v>
      </c>
      <c r="F6076" s="1" t="n">
        <v>13.63</v>
      </c>
      <c r="G6076" s="1" t="n">
        <v>9.33</v>
      </c>
      <c r="H6076" s="1" t="n">
        <v>244</v>
      </c>
      <c r="I6076" s="1" t="n">
        <v>1.83</v>
      </c>
      <c r="J6076" t="n">
        <v>58106636</v>
      </c>
    </row>
    <row r="6077" ht="15.75" customHeight="1" s="201">
      <c r="A6077" s="1" t="inlineStr">
        <is>
          <t>School Lunch, pizza, cheese topping, thick crust, whole grain, frozen, cooked</t>
        </is>
      </c>
      <c r="C6077" s="1" t="n">
        <v>28.08</v>
      </c>
      <c r="D6077" s="1" t="n">
        <v>88</v>
      </c>
      <c r="E6077" s="1" t="n">
        <v>2.63</v>
      </c>
      <c r="F6077" s="1" t="n">
        <v>14.62</v>
      </c>
      <c r="G6077" s="1" t="n">
        <v>9.27</v>
      </c>
      <c r="H6077" s="1" t="n">
        <v>228</v>
      </c>
      <c r="I6077" s="1" t="n">
        <v>1.83</v>
      </c>
      <c r="J6077" t="n">
        <v>54304150</v>
      </c>
    </row>
    <row r="6078" ht="15.75" customHeight="1" s="201">
      <c r="A6078" s="1" t="inlineStr">
        <is>
          <t>School Lunch, pizza, cheese topping, thin crust, whole grain, frozen, cooked</t>
        </is>
      </c>
      <c r="C6078" s="1" t="n">
        <v>31.31</v>
      </c>
      <c r="D6078" s="1" t="n">
        <v>54</v>
      </c>
      <c r="E6078" s="1" t="n">
        <v>2.53</v>
      </c>
      <c r="F6078" s="1" t="n">
        <v>12.72</v>
      </c>
      <c r="G6078" s="1" t="n">
        <v>7.91</v>
      </c>
      <c r="H6078" s="1" t="n">
        <v>341</v>
      </c>
      <c r="I6078" s="1" t="n">
        <v>1.97</v>
      </c>
      <c r="J6078" t="n">
        <v>54304150</v>
      </c>
    </row>
    <row r="6079" ht="15.75" customHeight="1" s="201">
      <c r="A6079" s="1" t="inlineStr">
        <is>
          <t>School Lunch, pizza, pepperoni topping, thick crust, whole grain, frozen, cooked</t>
        </is>
      </c>
      <c r="C6079" s="1" t="n">
        <v>28.3</v>
      </c>
      <c r="D6079" s="1" t="n">
        <v>59</v>
      </c>
      <c r="E6079" s="1" t="n">
        <v>2.53</v>
      </c>
      <c r="F6079" s="1" t="n">
        <v>14.35</v>
      </c>
      <c r="G6079" s="1" t="n">
        <v>9.82</v>
      </c>
      <c r="H6079" s="1" t="n">
        <v>257</v>
      </c>
      <c r="I6079" s="1" t="n">
        <v>1.93</v>
      </c>
      <c r="J6079" t="n">
        <v>58106636</v>
      </c>
    </row>
    <row r="6080" ht="15.75" customHeight="1" s="201">
      <c r="A6080" s="1" t="inlineStr">
        <is>
          <t>School Lunch, pizza, pepperoni topping, thin crust, whole grain, frozen, cooked</t>
        </is>
      </c>
      <c r="C6080" s="1" t="n">
        <v>31.24</v>
      </c>
      <c r="D6080" s="1" t="n">
        <v>55</v>
      </c>
      <c r="E6080" s="1" t="n">
        <v>2.74</v>
      </c>
      <c r="F6080" s="1" t="n">
        <v>12.78</v>
      </c>
      <c r="G6080" s="1" t="n">
        <v>8.619999999999999</v>
      </c>
      <c r="H6080" s="1" t="n">
        <v>399</v>
      </c>
      <c r="I6080" s="1" t="n">
        <v>2.51</v>
      </c>
      <c r="J6080" t="n">
        <v>58106635</v>
      </c>
    </row>
    <row r="6081" ht="15.75" customHeight="1" s="201">
      <c r="A6081" s="1" t="inlineStr">
        <is>
          <t>School Lunch, pizza, sausage topping, thick crust, whole grain, frozen, cooked</t>
        </is>
      </c>
      <c r="C6081" s="1" t="n">
        <v>30.58</v>
      </c>
      <c r="D6081" s="1" t="n">
        <v>81</v>
      </c>
      <c r="E6081" s="1" t="n">
        <v>2.21</v>
      </c>
      <c r="F6081" s="1" t="n">
        <v>13.26</v>
      </c>
      <c r="G6081" s="1" t="n">
        <v>9.07</v>
      </c>
      <c r="H6081" s="1" t="n">
        <v>309</v>
      </c>
      <c r="I6081" s="1" t="n">
        <v>1.6</v>
      </c>
      <c r="J6081" t="n">
        <v>58106236</v>
      </c>
    </row>
    <row r="6082" ht="15.75" customHeight="1" s="201">
      <c r="A6082" s="1" t="inlineStr">
        <is>
          <t>School Lunch, pizza, sausage topping, thin crust, whole grain, frozen, cooked</t>
        </is>
      </c>
      <c r="C6082" s="1" t="n">
        <v>32.24</v>
      </c>
      <c r="D6082" s="1" t="n">
        <v>71</v>
      </c>
      <c r="E6082" s="1" t="n">
        <v>2.09</v>
      </c>
      <c r="F6082" s="1" t="n">
        <v>12.63</v>
      </c>
      <c r="G6082" s="1" t="n">
        <v>7.83</v>
      </c>
      <c r="H6082" s="1" t="n">
        <v>457</v>
      </c>
      <c r="I6082" s="1" t="n">
        <v>2.53</v>
      </c>
      <c r="J6082" t="n">
        <v>58106700</v>
      </c>
    </row>
    <row r="6083" ht="15.75" customHeight="1" s="201">
      <c r="A6083" s="1" t="inlineStr">
        <is>
          <t>School Lunch, pizza, TONY'S Breakfast Pizza Sausage, frozen</t>
        </is>
      </c>
      <c r="C6083" s="1" t="n">
        <v>26.99</v>
      </c>
      <c r="E6083" s="1" t="n">
        <v>2.1</v>
      </c>
      <c r="F6083" s="1" t="n">
        <v>10.39</v>
      </c>
      <c r="G6083" s="1" t="n">
        <v>10.04</v>
      </c>
      <c r="H6083" s="1" t="n">
        <v>395</v>
      </c>
      <c r="I6083" s="1" t="n">
        <v>1.94</v>
      </c>
      <c r="J6083" t="n">
        <v>58106205</v>
      </c>
    </row>
    <row r="6084" ht="15.75" customHeight="1" s="201">
      <c r="A6084" s="1" t="inlineStr">
        <is>
          <t>School Lunch, pizza, TONY'S SMARTPIZZA Whole Grain 4x6 Cheese Pizza 50/50 Cheese, frozen</t>
        </is>
      </c>
      <c r="C6084" s="1" t="n">
        <v>29.27</v>
      </c>
      <c r="E6084" s="1" t="n">
        <v>2.4</v>
      </c>
      <c r="F6084" s="1" t="n">
        <v>12.08</v>
      </c>
      <c r="G6084" s="1" t="n">
        <v>7.51</v>
      </c>
      <c r="H6084" s="1" t="n">
        <v>324</v>
      </c>
      <c r="I6084" s="1" t="n">
        <v>1.87</v>
      </c>
      <c r="J6084" t="n">
        <v>14420100</v>
      </c>
    </row>
    <row r="6085" ht="15.75" customHeight="1" s="201">
      <c r="A6085" s="1" t="inlineStr">
        <is>
          <t>School Lunch, pizza, TONY'S SMARTPIZZA Whole Grain 4x6 Pepperoni Pizza 50/50 Cheese, frozen</t>
        </is>
      </c>
      <c r="C6085" s="1" t="n">
        <v>28.84</v>
      </c>
      <c r="E6085" s="1" t="n">
        <v>2.6</v>
      </c>
      <c r="F6085" s="1" t="n">
        <v>12.14</v>
      </c>
      <c r="G6085" s="1" t="n">
        <v>8.19</v>
      </c>
      <c r="H6085" s="1" t="n">
        <v>379</v>
      </c>
      <c r="I6085" s="1" t="n">
        <v>2.38</v>
      </c>
      <c r="J6085" t="n">
        <v>58106636</v>
      </c>
    </row>
    <row r="6086" ht="15.75" customHeight="1" s="201">
      <c r="A6086" s="1" t="inlineStr">
        <is>
          <t>Scrapple, pork</t>
        </is>
      </c>
      <c r="C6086" s="1" t="n">
        <v>14.06</v>
      </c>
      <c r="D6086" s="1" t="n">
        <v>5</v>
      </c>
      <c r="E6086" s="1" t="n">
        <v>1.89</v>
      </c>
      <c r="F6086" s="1" t="n">
        <v>8.06</v>
      </c>
      <c r="G6086" s="1" t="n">
        <v>13.87</v>
      </c>
      <c r="H6086" s="1" t="n">
        <v>2086</v>
      </c>
      <c r="I6086" s="1" t="n">
        <v>1.06</v>
      </c>
      <c r="J6086" t="n">
        <v>27120030</v>
      </c>
    </row>
    <row r="6087" ht="15.75" customHeight="1" s="201">
      <c r="A6087" s="1" t="inlineStr">
        <is>
          <t>Sea cucumber, yane (Alaska Native)</t>
        </is>
      </c>
      <c r="C6087" s="1" t="n">
        <v>0</v>
      </c>
      <c r="E6087" s="1" t="n">
        <v>0.6</v>
      </c>
      <c r="F6087" s="1" t="n">
        <v>13</v>
      </c>
      <c r="G6087" s="1" t="n">
        <v>0.4</v>
      </c>
      <c r="H6087" s="1" t="n">
        <v>310</v>
      </c>
      <c r="J6087" t="n">
        <v>74506000</v>
      </c>
    </row>
    <row r="6088" ht="15.75" customHeight="1" s="201">
      <c r="A6088" s="1" t="inlineStr">
        <is>
          <t>Sea lion, Steller, fat (Alaska Native)</t>
        </is>
      </c>
      <c r="C6088" s="1" t="n">
        <v>0</v>
      </c>
      <c r="F6088" s="1" t="n">
        <v>0.9</v>
      </c>
      <c r="G6088" s="1" t="n">
        <v>94</v>
      </c>
      <c r="H6088" s="1" t="n">
        <v>323</v>
      </c>
    </row>
    <row r="6089" ht="15.75" customHeight="1" s="201">
      <c r="A6089" s="1" t="inlineStr">
        <is>
          <t>Sea lion, Steller, heart (Alaska Native)</t>
        </is>
      </c>
      <c r="C6089" s="1" t="n">
        <v>1</v>
      </c>
      <c r="E6089" s="1" t="n">
        <v>6.7</v>
      </c>
      <c r="F6089" s="1" t="n">
        <v>17</v>
      </c>
      <c r="G6089" s="1" t="n">
        <v>3.3</v>
      </c>
      <c r="I6089" s="1" t="n">
        <v>2.24</v>
      </c>
      <c r="J6089" t="n">
        <v>57301530</v>
      </c>
    </row>
    <row r="6090" ht="15.75" customHeight="1" s="201">
      <c r="A6090" s="1" t="inlineStr">
        <is>
          <t>Sea lion, Steller, kidney (Alaska Native)</t>
        </is>
      </c>
      <c r="C6090" s="1" t="n">
        <v>1.4</v>
      </c>
      <c r="E6090" s="1" t="n">
        <v>7</v>
      </c>
      <c r="F6090" s="1" t="n">
        <v>18.1</v>
      </c>
      <c r="G6090" s="1" t="n">
        <v>1.7</v>
      </c>
      <c r="H6090" s="1" t="n">
        <v>0</v>
      </c>
      <c r="I6090" s="1" t="n">
        <v>2.9</v>
      </c>
    </row>
    <row r="6091" ht="15.75" customHeight="1" s="201">
      <c r="A6091" s="1" t="inlineStr">
        <is>
          <t>Sea lion, Steller, liver (Alaska Native)</t>
        </is>
      </c>
      <c r="C6091" s="1" t="n">
        <v>0</v>
      </c>
      <c r="E6091" s="1" t="n">
        <v>9</v>
      </c>
      <c r="F6091" s="1" t="n">
        <v>22.9</v>
      </c>
      <c r="G6091" s="1" t="n">
        <v>5</v>
      </c>
      <c r="I6091" s="1" t="n">
        <v>4.1</v>
      </c>
      <c r="J6091" t="n">
        <v>25230560</v>
      </c>
    </row>
    <row r="6092" ht="15.75" customHeight="1" s="201">
      <c r="A6092" s="1" t="inlineStr">
        <is>
          <t>Sea lion, Steller, meat (Alaska Native)</t>
        </is>
      </c>
      <c r="C6092" s="1" t="n">
        <v>0</v>
      </c>
      <c r="E6092" s="1" t="n">
        <v>11.48</v>
      </c>
      <c r="F6092" s="1" t="n">
        <v>25.85</v>
      </c>
      <c r="G6092" s="1" t="n">
        <v>1.88</v>
      </c>
      <c r="I6092" s="1" t="n">
        <v>3.32</v>
      </c>
      <c r="J6092" t="n">
        <v>14620320</v>
      </c>
    </row>
    <row r="6093" ht="15.75" customHeight="1" s="201">
      <c r="A6093" s="1" t="inlineStr">
        <is>
          <t>Sea lion, Steller, meat with fat (Alaska Native)</t>
        </is>
      </c>
      <c r="C6093" s="1" t="n">
        <v>5.55</v>
      </c>
      <c r="E6093" s="1" t="n">
        <v>9.550000000000001</v>
      </c>
      <c r="F6093" s="1" t="n">
        <v>22.1</v>
      </c>
      <c r="G6093" s="1" t="n">
        <v>14.65</v>
      </c>
      <c r="I6093" s="1" t="n">
        <v>4.26</v>
      </c>
      <c r="J6093" t="n">
        <v>75142550</v>
      </c>
    </row>
    <row r="6094" ht="15.75" customHeight="1" s="201">
      <c r="A6094" s="1" t="inlineStr">
        <is>
          <t>Seal, bearded (Oogruk), meat, dried (Alaska Native)</t>
        </is>
      </c>
      <c r="C6094" s="1" t="n">
        <v>0</v>
      </c>
      <c r="E6094" s="1" t="n">
        <v>49.6</v>
      </c>
      <c r="F6094" s="1" t="n">
        <v>82.59999999999999</v>
      </c>
      <c r="G6094" s="1" t="n">
        <v>2.3</v>
      </c>
      <c r="H6094" s="1" t="n">
        <v>1310</v>
      </c>
    </row>
    <row r="6095" ht="15.75" customHeight="1" s="201">
      <c r="A6095" s="1" t="inlineStr">
        <is>
          <t>Seal, bearded (Oogruk), meat, dried, in oil (Alaska Native)</t>
        </is>
      </c>
      <c r="C6095" s="1" t="n">
        <v>0</v>
      </c>
      <c r="D6095" s="1" t="n">
        <v>11</v>
      </c>
      <c r="E6095" s="1" t="n">
        <v>17</v>
      </c>
      <c r="F6095" s="1" t="n">
        <v>35.31</v>
      </c>
      <c r="G6095" s="1" t="n">
        <v>25.08</v>
      </c>
      <c r="H6095" s="1" t="n">
        <v>1947</v>
      </c>
      <c r="I6095" s="1" t="n">
        <v>3.1</v>
      </c>
    </row>
    <row r="6096" ht="15.75" customHeight="1" s="201">
      <c r="A6096" s="1" t="inlineStr">
        <is>
          <t>Seal, bearded (Oogruk), meat, low quadrant, raw (Alaska Native)</t>
        </is>
      </c>
      <c r="C6096" s="1" t="n">
        <v>0</v>
      </c>
      <c r="E6096" s="1" t="n">
        <v>17</v>
      </c>
      <c r="F6096" s="1" t="n">
        <v>23.63</v>
      </c>
      <c r="G6096" s="1" t="n">
        <v>10.17</v>
      </c>
      <c r="H6096" s="1" t="n">
        <v>648</v>
      </c>
      <c r="I6096" s="1" t="n">
        <v>2.6</v>
      </c>
    </row>
    <row r="6097" ht="15.75" customHeight="1" s="201">
      <c r="A6097" s="1" t="inlineStr">
        <is>
          <t>Seal, bearded (Oogruk), meat, partially dried (Alaska Native)</t>
        </is>
      </c>
      <c r="C6097" s="1" t="n">
        <v>0</v>
      </c>
      <c r="D6097" s="1" t="n">
        <v>0</v>
      </c>
      <c r="E6097" s="1" t="n">
        <v>33</v>
      </c>
      <c r="F6097" s="1" t="n">
        <v>62.38</v>
      </c>
      <c r="G6097" s="1" t="n">
        <v>2.31</v>
      </c>
      <c r="H6097" s="1" t="n">
        <v>0</v>
      </c>
      <c r="I6097" s="1" t="n">
        <v>5</v>
      </c>
    </row>
    <row r="6098" ht="15.75" customHeight="1" s="201">
      <c r="A6098" s="1" t="inlineStr">
        <is>
          <t>Seal, bearded (Oogruk), meat, raw (Alaska Native)</t>
        </is>
      </c>
      <c r="C6098" s="1" t="n">
        <v>0</v>
      </c>
      <c r="E6098" s="1" t="n">
        <v>12.9</v>
      </c>
      <c r="F6098" s="1" t="n">
        <v>26.7</v>
      </c>
      <c r="G6098" s="1" t="n">
        <v>0.4</v>
      </c>
      <c r="H6098" s="1" t="n">
        <v>1400</v>
      </c>
      <c r="J6098" t="n">
        <v>14620320</v>
      </c>
    </row>
    <row r="6099" ht="15.75" customHeight="1" s="201">
      <c r="A6099" s="1" t="inlineStr">
        <is>
          <t>Seal, ringed, liver (Alaska Native)</t>
        </is>
      </c>
      <c r="C6099" s="1" t="n">
        <v>2.9</v>
      </c>
      <c r="E6099" s="1" t="n">
        <v>13.5</v>
      </c>
      <c r="F6099" s="1" t="n">
        <v>18.6</v>
      </c>
      <c r="G6099" s="1" t="n">
        <v>3.3</v>
      </c>
      <c r="H6099" s="1" t="n">
        <v>36600</v>
      </c>
      <c r="J6099" t="n">
        <v>25230560</v>
      </c>
    </row>
    <row r="6100" ht="15.75" customHeight="1" s="201">
      <c r="A6100" s="1" t="inlineStr">
        <is>
          <t>Seal, ringed, meat (Alaska Native)</t>
        </is>
      </c>
      <c r="C6100" s="1" t="n">
        <v>0</v>
      </c>
      <c r="E6100" s="1" t="n">
        <v>19.6</v>
      </c>
      <c r="F6100" s="1" t="n">
        <v>28.4</v>
      </c>
      <c r="G6100" s="1" t="n">
        <v>3.2</v>
      </c>
      <c r="H6100" s="1" t="n">
        <v>385</v>
      </c>
      <c r="J6100" t="n">
        <v>14620320</v>
      </c>
    </row>
    <row r="6101" ht="15.75" customHeight="1" s="201">
      <c r="A6101" s="1" t="inlineStr">
        <is>
          <t>Seasoning mix, dry, chili, original</t>
        </is>
      </c>
      <c r="C6101" s="1" t="n">
        <v>56.56</v>
      </c>
      <c r="E6101" s="1" t="n">
        <v>3.9</v>
      </c>
      <c r="F6101" s="1" t="n">
        <v>10.82</v>
      </c>
      <c r="G6101" s="1" t="n">
        <v>7.3</v>
      </c>
      <c r="H6101" s="1" t="n">
        <v>2816</v>
      </c>
      <c r="J6101" t="n">
        <v>27564440</v>
      </c>
    </row>
    <row r="6102" ht="15.75" customHeight="1" s="201">
      <c r="A6102" s="1" t="inlineStr">
        <is>
          <t>Seasoning mix, dry, sazon, coriander &amp; annatto</t>
        </is>
      </c>
      <c r="C6102" s="1" t="n">
        <v>0</v>
      </c>
      <c r="E6102" s="1" t="n">
        <v>0</v>
      </c>
      <c r="F6102" s="1" t="n">
        <v>0</v>
      </c>
      <c r="G6102" s="1" t="n">
        <v>0</v>
      </c>
      <c r="H6102" s="1" t="n">
        <v>0</v>
      </c>
      <c r="J6102" t="n">
        <v>24168001</v>
      </c>
    </row>
    <row r="6103" ht="15.75" customHeight="1" s="201">
      <c r="A6103" s="1" t="inlineStr">
        <is>
          <t>Seasoning mix, dry, taco, original</t>
        </is>
      </c>
      <c r="C6103" s="1" t="n">
        <v>58</v>
      </c>
      <c r="D6103" s="1" t="n">
        <v>0</v>
      </c>
      <c r="E6103" s="1" t="n">
        <v>7.2</v>
      </c>
      <c r="F6103" s="1" t="n">
        <v>4.5</v>
      </c>
      <c r="G6103" s="1" t="n">
        <v>0</v>
      </c>
      <c r="H6103" s="1" t="n">
        <v>3744</v>
      </c>
      <c r="J6103" t="n">
        <v>58101323</v>
      </c>
    </row>
    <row r="6104" ht="15.75" customHeight="1" s="201">
      <c r="A6104" s="1" t="inlineStr">
        <is>
          <t>Seaweed, agar, dried</t>
        </is>
      </c>
      <c r="C6104" s="1" t="n">
        <v>80.88</v>
      </c>
      <c r="D6104" s="1" t="n">
        <v>580</v>
      </c>
      <c r="E6104" s="1" t="n">
        <v>21.4</v>
      </c>
      <c r="F6104" s="1" t="n">
        <v>6.21</v>
      </c>
      <c r="G6104" s="1" t="n">
        <v>0.3</v>
      </c>
      <c r="H6104" s="1" t="n">
        <v>0</v>
      </c>
      <c r="I6104" s="1" t="n">
        <v>5.8</v>
      </c>
      <c r="J6104" t="n">
        <v>41301010</v>
      </c>
    </row>
    <row r="6105" ht="15.75" customHeight="1" s="201">
      <c r="A6105" s="1" t="inlineStr">
        <is>
          <t>Seaweed, agar, raw</t>
        </is>
      </c>
      <c r="C6105" s="1" t="n">
        <v>6.75</v>
      </c>
      <c r="D6105" s="1" t="n">
        <v>85</v>
      </c>
      <c r="E6105" s="1" t="n">
        <v>1.86</v>
      </c>
      <c r="F6105" s="1" t="n">
        <v>0.54</v>
      </c>
      <c r="G6105" s="1" t="n">
        <v>0.03</v>
      </c>
      <c r="H6105" s="1" t="n">
        <v>0</v>
      </c>
      <c r="I6105" s="1" t="n">
        <v>0.58</v>
      </c>
      <c r="J6105" t="n">
        <v>75127500</v>
      </c>
    </row>
    <row r="6106" ht="15.75" customHeight="1" s="201">
      <c r="A6106" s="1" t="inlineStr">
        <is>
          <t>Seaweed, Canadian Cultivated EMI-TSUNOMATA, dry</t>
        </is>
      </c>
      <c r="C6106" s="1" t="n">
        <v>46.24</v>
      </c>
      <c r="D6106" s="1" t="n">
        <v>188</v>
      </c>
      <c r="E6106" s="1" t="n">
        <v>66.38</v>
      </c>
      <c r="F6106" s="1" t="n">
        <v>15.34</v>
      </c>
      <c r="G6106" s="1" t="n">
        <v>1.39</v>
      </c>
      <c r="H6106" s="1" t="n">
        <v>8120</v>
      </c>
      <c r="I6106" s="1" t="n">
        <v>2.53</v>
      </c>
    </row>
    <row r="6107" ht="15.75" customHeight="1" s="201">
      <c r="A6107" s="1" t="inlineStr">
        <is>
          <t>Seaweed, Canadian Cultivated EMI-TSUNOMATA, rehydrated</t>
        </is>
      </c>
      <c r="C6107" s="1" t="n">
        <v>5.62</v>
      </c>
      <c r="D6107" s="1" t="n">
        <v>23</v>
      </c>
      <c r="E6107" s="1" t="n">
        <v>8.07</v>
      </c>
      <c r="F6107" s="1" t="n">
        <v>1.86</v>
      </c>
      <c r="G6107" s="1" t="n">
        <v>0.17</v>
      </c>
      <c r="H6107" s="1" t="n">
        <v>987</v>
      </c>
      <c r="I6107" s="1" t="n">
        <v>0.31</v>
      </c>
    </row>
    <row r="6108" ht="15.75" customHeight="1" s="201">
      <c r="A6108" s="1" t="inlineStr">
        <is>
          <t>Seaweed, irishmoss, raw</t>
        </is>
      </c>
      <c r="C6108" s="1" t="n">
        <v>12.29</v>
      </c>
      <c r="D6108" s="1" t="n">
        <v>182</v>
      </c>
      <c r="E6108" s="1" t="n">
        <v>8.9</v>
      </c>
      <c r="F6108" s="1" t="n">
        <v>1.51</v>
      </c>
      <c r="G6108" s="1" t="n">
        <v>0.16</v>
      </c>
      <c r="H6108" s="1" t="n">
        <v>118</v>
      </c>
      <c r="I6108" s="1" t="n">
        <v>1.95</v>
      </c>
      <c r="J6108" t="n">
        <v>75127500</v>
      </c>
    </row>
    <row r="6109" ht="15.75" customHeight="1" s="201">
      <c r="A6109" s="1" t="inlineStr">
        <is>
          <t>Seaweed, kelp, raw</t>
        </is>
      </c>
      <c r="C6109" s="1" t="n">
        <v>9.57</v>
      </c>
      <c r="D6109" s="1" t="n">
        <v>180</v>
      </c>
      <c r="E6109" s="1" t="n">
        <v>2.85</v>
      </c>
      <c r="F6109" s="1" t="n">
        <v>1.68</v>
      </c>
      <c r="G6109" s="1" t="n">
        <v>0.5600000000000001</v>
      </c>
      <c r="H6109" s="1" t="n">
        <v>116</v>
      </c>
      <c r="I6109" s="1" t="n">
        <v>1.23</v>
      </c>
      <c r="J6109" t="n">
        <v>75127500</v>
      </c>
    </row>
    <row r="6110" ht="15.75" customHeight="1" s="201">
      <c r="A6110" s="1" t="inlineStr">
        <is>
          <t>Seaweed, laver, raw</t>
        </is>
      </c>
      <c r="C6110" s="1" t="n">
        <v>5.11</v>
      </c>
      <c r="D6110" s="1" t="n">
        <v>146</v>
      </c>
      <c r="E6110" s="1" t="n">
        <v>1.8</v>
      </c>
      <c r="F6110" s="1" t="n">
        <v>5.81</v>
      </c>
      <c r="G6110" s="1" t="n">
        <v>0.28</v>
      </c>
      <c r="H6110" s="1" t="n">
        <v>5202</v>
      </c>
      <c r="I6110" s="1" t="n">
        <v>1.05</v>
      </c>
      <c r="J6110" t="n">
        <v>75127500</v>
      </c>
    </row>
    <row r="6111" ht="15.75" customHeight="1" s="201">
      <c r="A6111" s="1" t="inlineStr">
        <is>
          <t>Seaweed, spirulina, dried</t>
        </is>
      </c>
      <c r="C6111" s="1" t="n">
        <v>23.9</v>
      </c>
      <c r="D6111" s="1" t="n">
        <v>94</v>
      </c>
      <c r="E6111" s="1" t="n">
        <v>28.5</v>
      </c>
      <c r="F6111" s="1" t="n">
        <v>57.47</v>
      </c>
      <c r="G6111" s="1" t="n">
        <v>7.72</v>
      </c>
      <c r="H6111" s="1" t="n">
        <v>570</v>
      </c>
      <c r="I6111" s="1" t="n">
        <v>2</v>
      </c>
      <c r="J6111" t="n">
        <v>41301010</v>
      </c>
    </row>
    <row r="6112" ht="15.75" customHeight="1" s="201">
      <c r="A6112" s="1" t="inlineStr">
        <is>
          <t>Seaweed, spirulina, raw</t>
        </is>
      </c>
      <c r="C6112" s="1" t="n">
        <v>2.42</v>
      </c>
      <c r="D6112" s="1" t="n">
        <v>9</v>
      </c>
      <c r="E6112" s="1" t="n">
        <v>2.79</v>
      </c>
      <c r="F6112" s="1" t="n">
        <v>5.92</v>
      </c>
      <c r="G6112" s="1" t="n">
        <v>0.39</v>
      </c>
      <c r="H6112" s="1" t="n">
        <v>56</v>
      </c>
      <c r="I6112" s="1" t="n">
        <v>0.2</v>
      </c>
      <c r="J6112" t="n">
        <v>75127500</v>
      </c>
    </row>
    <row r="6113" ht="15.75" customHeight="1" s="201">
      <c r="A6113" s="1" t="inlineStr">
        <is>
          <t>Seaweed, wakame, raw</t>
        </is>
      </c>
      <c r="C6113" s="1" t="n">
        <v>9.140000000000001</v>
      </c>
      <c r="D6113" s="1" t="n">
        <v>196</v>
      </c>
      <c r="E6113" s="1" t="n">
        <v>2.18</v>
      </c>
      <c r="F6113" s="1" t="n">
        <v>3.03</v>
      </c>
      <c r="G6113" s="1" t="n">
        <v>0.64</v>
      </c>
      <c r="H6113" s="1" t="n">
        <v>360</v>
      </c>
      <c r="I6113" s="1" t="n">
        <v>0.38</v>
      </c>
      <c r="J6113" t="n">
        <v>75127500</v>
      </c>
    </row>
    <row r="6114" ht="15.75" customHeight="1" s="201">
      <c r="A6114" s="1" t="inlineStr">
        <is>
          <t>Seeds, breadfruit seeds, boiled</t>
        </is>
      </c>
      <c r="C6114" s="1" t="n">
        <v>32</v>
      </c>
      <c r="D6114" s="1" t="n">
        <v>49</v>
      </c>
      <c r="E6114" s="1" t="n">
        <v>0.6</v>
      </c>
      <c r="F6114" s="1" t="n">
        <v>5.3</v>
      </c>
      <c r="G6114" s="1" t="n">
        <v>2.3</v>
      </c>
      <c r="H6114" s="1" t="n">
        <v>238</v>
      </c>
      <c r="I6114" s="1" t="n">
        <v>0.83</v>
      </c>
      <c r="J6114" t="n">
        <v>43101100</v>
      </c>
    </row>
    <row r="6115" ht="15.75" customHeight="1" s="201">
      <c r="A6115" s="1" t="inlineStr">
        <is>
          <t>Seeds, breadfruit seeds, raw</t>
        </is>
      </c>
      <c r="C6115" s="1" t="n">
        <v>29.24</v>
      </c>
      <c r="D6115" s="1" t="n">
        <v>53</v>
      </c>
      <c r="E6115" s="1" t="n">
        <v>3.67</v>
      </c>
      <c r="F6115" s="1" t="n">
        <v>7.4</v>
      </c>
      <c r="G6115" s="1" t="n">
        <v>5.59</v>
      </c>
      <c r="H6115" s="1" t="n">
        <v>256</v>
      </c>
      <c r="I6115" s="1" t="n">
        <v>0.9</v>
      </c>
      <c r="J6115" t="n">
        <v>43101100</v>
      </c>
    </row>
    <row r="6116" ht="15.75" customHeight="1" s="201">
      <c r="A6116" s="1" t="inlineStr">
        <is>
          <t>Seeds, breadfruit seeds, roasted</t>
        </is>
      </c>
      <c r="C6116" s="1" t="n">
        <v>40.1</v>
      </c>
      <c r="D6116" s="1" t="n">
        <v>59</v>
      </c>
      <c r="E6116" s="1" t="n">
        <v>0.9</v>
      </c>
      <c r="F6116" s="1" t="n">
        <v>6.2</v>
      </c>
      <c r="G6116" s="1" t="n">
        <v>2.7</v>
      </c>
      <c r="H6116" s="1" t="n">
        <v>294</v>
      </c>
      <c r="I6116" s="1" t="n">
        <v>1.03</v>
      </c>
      <c r="J6116" t="n">
        <v>43101100</v>
      </c>
    </row>
    <row r="6117" ht="15.75" customHeight="1" s="201">
      <c r="A6117" s="1" t="inlineStr">
        <is>
          <t>Seeds, breadnut tree seeds, dried</t>
        </is>
      </c>
      <c r="C6117" s="1" t="n">
        <v>79.39</v>
      </c>
      <c r="D6117" s="1" t="n">
        <v>113</v>
      </c>
      <c r="E6117" s="1" t="n">
        <v>4.6</v>
      </c>
      <c r="F6117" s="1" t="n">
        <v>8.619999999999999</v>
      </c>
      <c r="G6117" s="1" t="n">
        <v>1.68</v>
      </c>
      <c r="H6117" s="1" t="n">
        <v>216</v>
      </c>
      <c r="I6117" s="1" t="n">
        <v>1.91</v>
      </c>
      <c r="J6117" t="n">
        <v>43101100</v>
      </c>
    </row>
    <row r="6118" ht="15.75" customHeight="1" s="201">
      <c r="A6118" s="1" t="inlineStr">
        <is>
          <t>Seeds, breadnut tree seeds, raw</t>
        </is>
      </c>
      <c r="C6118" s="1" t="n">
        <v>46.28</v>
      </c>
      <c r="D6118" s="1" t="n">
        <v>66</v>
      </c>
      <c r="E6118" s="1" t="n">
        <v>2.09</v>
      </c>
      <c r="F6118" s="1" t="n">
        <v>5.97</v>
      </c>
      <c r="G6118" s="1" t="n">
        <v>0.99</v>
      </c>
      <c r="H6118" s="1" t="n">
        <v>248</v>
      </c>
      <c r="I6118" s="1" t="n">
        <v>1.13</v>
      </c>
      <c r="J6118" t="n">
        <v>43101100</v>
      </c>
    </row>
    <row r="6119" ht="15.75" customHeight="1" s="201">
      <c r="A6119" s="1" t="inlineStr">
        <is>
          <t>Seeds, chia seeds, dried</t>
        </is>
      </c>
      <c r="C6119" s="1" t="n">
        <v>42.12</v>
      </c>
      <c r="D6119" s="1" t="n">
        <v>49</v>
      </c>
      <c r="E6119" s="1" t="n">
        <v>7.72</v>
      </c>
      <c r="F6119" s="1" t="n">
        <v>16.54</v>
      </c>
      <c r="G6119" s="1" t="n">
        <v>30.74</v>
      </c>
      <c r="H6119" s="1" t="n">
        <v>54</v>
      </c>
      <c r="I6119" s="1" t="n">
        <v>4.58</v>
      </c>
      <c r="J6119" t="n">
        <v>43101100</v>
      </c>
    </row>
    <row r="6120" ht="15.75" customHeight="1" s="201">
      <c r="A6120" s="1" t="inlineStr">
        <is>
          <t>Seeds, cottonseed flour, low fat (glandless)</t>
        </is>
      </c>
      <c r="C6120" s="1" t="n">
        <v>36.1</v>
      </c>
      <c r="D6120" s="1" t="n">
        <v>228</v>
      </c>
      <c r="E6120" s="1" t="n">
        <v>12.58</v>
      </c>
      <c r="F6120" s="1" t="n">
        <v>49.83</v>
      </c>
      <c r="G6120" s="1" t="n">
        <v>1.41</v>
      </c>
      <c r="H6120" s="1" t="n">
        <v>432</v>
      </c>
      <c r="I6120" s="1" t="n">
        <v>11.61</v>
      </c>
      <c r="J6120" t="n">
        <v>52215350</v>
      </c>
    </row>
    <row r="6121" ht="15.75" customHeight="1" s="201">
      <c r="A6121" s="1" t="inlineStr">
        <is>
          <t>Seeds, cottonseed flour, partially defatted (glandless)</t>
        </is>
      </c>
      <c r="C6121" s="1" t="n">
        <v>40.54</v>
      </c>
      <c r="D6121" s="1" t="n">
        <v>229</v>
      </c>
      <c r="E6121" s="1" t="n">
        <v>12.66</v>
      </c>
      <c r="F6121" s="1" t="n">
        <v>40.96</v>
      </c>
      <c r="G6121" s="1" t="n">
        <v>6.2</v>
      </c>
      <c r="H6121" s="1" t="n">
        <v>434</v>
      </c>
      <c r="I6121" s="1" t="n">
        <v>11.69</v>
      </c>
      <c r="J6121" t="n">
        <v>52215350</v>
      </c>
    </row>
    <row r="6122" ht="15.75" customHeight="1" s="201">
      <c r="A6122" s="1" t="inlineStr">
        <is>
          <t>Seeds, cottonseed kernels, roasted (glandless)</t>
        </is>
      </c>
      <c r="C6122" s="1" t="n">
        <v>21.9</v>
      </c>
      <c r="D6122" s="1" t="n">
        <v>233</v>
      </c>
      <c r="E6122" s="1" t="n">
        <v>5.4</v>
      </c>
      <c r="F6122" s="1" t="n">
        <v>32.59</v>
      </c>
      <c r="G6122" s="1" t="n">
        <v>36.29</v>
      </c>
      <c r="H6122" s="1" t="n">
        <v>442</v>
      </c>
      <c r="I6122" s="1" t="n">
        <v>6</v>
      </c>
    </row>
    <row r="6123" ht="15.75" customHeight="1" s="201">
      <c r="A6123" s="1" t="inlineStr">
        <is>
          <t>Seeds, cottonseed meal, partially defatted (glandless)</t>
        </is>
      </c>
      <c r="C6123" s="1" t="n">
        <v>38.43</v>
      </c>
      <c r="D6123" s="1" t="n">
        <v>242</v>
      </c>
      <c r="E6123" s="1" t="n">
        <v>13.35</v>
      </c>
      <c r="F6123" s="1" t="n">
        <v>49.1</v>
      </c>
      <c r="G6123" s="1" t="n">
        <v>4.77</v>
      </c>
      <c r="H6123" s="1" t="n">
        <v>458</v>
      </c>
      <c r="I6123" s="1" t="n">
        <v>12.32</v>
      </c>
      <c r="J6123" t="n">
        <v>28110510</v>
      </c>
    </row>
    <row r="6124" ht="15.75" customHeight="1" s="201">
      <c r="A6124" s="1" t="inlineStr">
        <is>
          <t>Seeds, flaxseed</t>
        </is>
      </c>
      <c r="C6124" s="1" t="n">
        <v>28.88</v>
      </c>
      <c r="D6124" s="1" t="n">
        <v>87</v>
      </c>
      <c r="E6124" s="1" t="n">
        <v>5.73</v>
      </c>
      <c r="F6124" s="1" t="n">
        <v>18.29</v>
      </c>
      <c r="G6124" s="1" t="n">
        <v>42.16</v>
      </c>
      <c r="H6124" s="1" t="n">
        <v>0</v>
      </c>
      <c r="I6124" s="1" t="n">
        <v>4.34</v>
      </c>
      <c r="J6124" t="n">
        <v>43101100</v>
      </c>
    </row>
    <row r="6125" ht="15.75" customHeight="1" s="201">
      <c r="A6125" s="1" t="inlineStr">
        <is>
          <t>Seeds, hemp seed, hulled</t>
        </is>
      </c>
      <c r="C6125" s="1" t="n">
        <v>8.67</v>
      </c>
      <c r="D6125" s="1" t="n">
        <v>110</v>
      </c>
      <c r="E6125" s="1" t="n">
        <v>7.95</v>
      </c>
      <c r="F6125" s="1" t="n">
        <v>31.56</v>
      </c>
      <c r="G6125" s="1" t="n">
        <v>48.75</v>
      </c>
      <c r="H6125" s="1" t="n">
        <v>11</v>
      </c>
      <c r="I6125" s="1" t="n">
        <v>9.9</v>
      </c>
      <c r="J6125" t="n">
        <v>43101100</v>
      </c>
    </row>
    <row r="6126" ht="15.75" customHeight="1" s="201">
      <c r="A6126" s="1" t="inlineStr">
        <is>
          <t>Seeds, lotus seeds, dried</t>
        </is>
      </c>
      <c r="C6126" s="1" t="n">
        <v>64.47</v>
      </c>
      <c r="D6126" s="1" t="n">
        <v>104</v>
      </c>
      <c r="E6126" s="1" t="n">
        <v>3.53</v>
      </c>
      <c r="F6126" s="1" t="n">
        <v>15.41</v>
      </c>
      <c r="G6126" s="1" t="n">
        <v>1.97</v>
      </c>
      <c r="H6126" s="1" t="n">
        <v>50</v>
      </c>
      <c r="I6126" s="1" t="n">
        <v>1.05</v>
      </c>
      <c r="J6126" t="n">
        <v>43101100</v>
      </c>
    </row>
    <row r="6127" ht="15.75" customHeight="1" s="201">
      <c r="A6127" s="1" t="inlineStr">
        <is>
          <t>Seeds, lotus seeds, raw</t>
        </is>
      </c>
      <c r="C6127" s="1" t="n">
        <v>17.28</v>
      </c>
      <c r="D6127" s="1" t="n">
        <v>28</v>
      </c>
      <c r="E6127" s="1" t="n">
        <v>0.95</v>
      </c>
      <c r="F6127" s="1" t="n">
        <v>4.13</v>
      </c>
      <c r="G6127" s="1" t="n">
        <v>0.53</v>
      </c>
      <c r="H6127" s="1" t="n">
        <v>13</v>
      </c>
      <c r="I6127" s="1" t="n">
        <v>0.28</v>
      </c>
      <c r="J6127" t="n">
        <v>43101100</v>
      </c>
    </row>
    <row r="6128" ht="15.75" customHeight="1" s="201">
      <c r="A6128" s="1" t="inlineStr">
        <is>
          <t>Seeds, pumpkin and squash seed kernels, dried</t>
        </is>
      </c>
      <c r="C6128" s="1" t="n">
        <v>10.71</v>
      </c>
      <c r="D6128" s="1" t="n">
        <v>58</v>
      </c>
      <c r="E6128" s="1" t="n">
        <v>8.82</v>
      </c>
      <c r="F6128" s="1" t="n">
        <v>30.23</v>
      </c>
      <c r="G6128" s="1" t="n">
        <v>49.05</v>
      </c>
      <c r="H6128" s="1" t="n">
        <v>16</v>
      </c>
      <c r="I6128" s="1" t="n">
        <v>7.81</v>
      </c>
      <c r="J6128" t="n">
        <v>76205010</v>
      </c>
    </row>
    <row r="6129" ht="15.75" customHeight="1" s="201">
      <c r="A6129" s="1" t="inlineStr">
        <is>
          <t>Seeds, pumpkin and squash seed kernels, roasted, with salt added</t>
        </is>
      </c>
      <c r="C6129" s="1" t="n">
        <v>14.71</v>
      </c>
      <c r="D6129" s="1" t="n">
        <v>57</v>
      </c>
      <c r="E6129" s="1" t="n">
        <v>8.07</v>
      </c>
      <c r="F6129" s="1" t="n">
        <v>29.84</v>
      </c>
      <c r="G6129" s="1" t="n">
        <v>49.05</v>
      </c>
      <c r="H6129" s="1" t="n">
        <v>8</v>
      </c>
      <c r="I6129" s="1" t="n">
        <v>7.64</v>
      </c>
      <c r="J6129" t="n">
        <v>75142550</v>
      </c>
    </row>
    <row r="6130" ht="15.75" customHeight="1" s="201">
      <c r="A6130" s="1" t="inlineStr">
        <is>
          <t>Seeds, pumpkin and squash seed kernels, roasted, without salt</t>
        </is>
      </c>
      <c r="C6130" s="1" t="n">
        <v>14.71</v>
      </c>
      <c r="D6130" s="1" t="n">
        <v>57</v>
      </c>
      <c r="E6130" s="1" t="n">
        <v>8.07</v>
      </c>
      <c r="F6130" s="1" t="n">
        <v>29.84</v>
      </c>
      <c r="G6130" s="1" t="n">
        <v>49.05</v>
      </c>
      <c r="H6130" s="1" t="n">
        <v>8</v>
      </c>
      <c r="I6130" s="1" t="n">
        <v>7.64</v>
      </c>
      <c r="J6130" t="n">
        <v>43101100</v>
      </c>
    </row>
    <row r="6131" ht="15.75" customHeight="1" s="201">
      <c r="A6131" s="1" t="inlineStr">
        <is>
          <t>Seeds, pumpkin and squash seeds, whole, roasted, with salt added</t>
        </is>
      </c>
      <c r="C6131" s="1" t="n">
        <v>53.75</v>
      </c>
      <c r="D6131" s="1" t="n">
        <v>9</v>
      </c>
      <c r="E6131" s="1" t="n">
        <v>3.31</v>
      </c>
      <c r="F6131" s="1" t="n">
        <v>18.55</v>
      </c>
      <c r="G6131" s="1" t="n">
        <v>19.4</v>
      </c>
      <c r="H6131" s="1" t="n">
        <v>62</v>
      </c>
      <c r="I6131" s="1" t="n">
        <v>10.3</v>
      </c>
      <c r="J6131" t="n">
        <v>75142550</v>
      </c>
    </row>
    <row r="6132" ht="15.75" customHeight="1" s="201">
      <c r="A6132" s="1" t="inlineStr">
        <is>
          <t>Seeds, pumpkin and squash seeds, whole, roasted, without salt</t>
        </is>
      </c>
      <c r="C6132" s="1" t="n">
        <v>53.75</v>
      </c>
      <c r="D6132" s="1" t="n">
        <v>9</v>
      </c>
      <c r="E6132" s="1" t="n">
        <v>3.31</v>
      </c>
      <c r="F6132" s="1" t="n">
        <v>18.55</v>
      </c>
      <c r="G6132" s="1" t="n">
        <v>19.4</v>
      </c>
      <c r="H6132" s="1" t="n">
        <v>62</v>
      </c>
      <c r="I6132" s="1" t="n">
        <v>10.3</v>
      </c>
      <c r="J6132" t="n">
        <v>43101100</v>
      </c>
    </row>
    <row r="6133" ht="15.75" customHeight="1" s="201">
      <c r="A6133" s="1" t="inlineStr">
        <is>
          <t>Seeds, safflower seed kernels, dried</t>
        </is>
      </c>
      <c r="C6133" s="1" t="n">
        <v>34.29</v>
      </c>
      <c r="D6133" s="1" t="n">
        <v>160</v>
      </c>
      <c r="E6133" s="1" t="n">
        <v>4.9</v>
      </c>
      <c r="F6133" s="1" t="n">
        <v>16.18</v>
      </c>
      <c r="G6133" s="1" t="n">
        <v>38.45</v>
      </c>
      <c r="H6133" s="1" t="n">
        <v>50</v>
      </c>
      <c r="I6133" s="1" t="n">
        <v>5.05</v>
      </c>
    </row>
    <row r="6134" ht="15.75" customHeight="1" s="201">
      <c r="A6134" s="1" t="inlineStr">
        <is>
          <t>Seeds, safflower seed meal, partially defatted</t>
        </is>
      </c>
      <c r="C6134" s="1" t="n">
        <v>48.73</v>
      </c>
      <c r="D6134" s="1" t="n">
        <v>159</v>
      </c>
      <c r="E6134" s="1" t="n">
        <v>4.86</v>
      </c>
      <c r="F6134" s="1" t="n">
        <v>35.62</v>
      </c>
      <c r="G6134" s="1" t="n">
        <v>2.39</v>
      </c>
      <c r="H6134" s="1" t="n">
        <v>49</v>
      </c>
      <c r="I6134" s="1" t="n">
        <v>5.01</v>
      </c>
      <c r="J6134" t="n">
        <v>28110510</v>
      </c>
    </row>
    <row r="6135" ht="15.75" customHeight="1" s="201">
      <c r="A6135" s="1" t="inlineStr">
        <is>
          <t>Seeds, sesame butter, paste</t>
        </is>
      </c>
      <c r="C6135" s="1" t="n">
        <v>24.05</v>
      </c>
      <c r="D6135" s="1" t="n">
        <v>100</v>
      </c>
      <c r="E6135" s="1" t="n">
        <v>19.2</v>
      </c>
      <c r="F6135" s="1" t="n">
        <v>18.08</v>
      </c>
      <c r="G6135" s="1" t="n">
        <v>50.87</v>
      </c>
      <c r="H6135" s="1" t="n">
        <v>50</v>
      </c>
      <c r="I6135" s="1" t="n">
        <v>7.29</v>
      </c>
      <c r="J6135" t="n">
        <v>54328100</v>
      </c>
    </row>
    <row r="6136" ht="15.75" customHeight="1" s="201">
      <c r="A6136" s="1" t="inlineStr">
        <is>
          <t>Seeds, sesame butter, tahini, from raw and stone ground kernels</t>
        </is>
      </c>
      <c r="C6136" s="1" t="n">
        <v>26.19</v>
      </c>
      <c r="D6136" s="1" t="n">
        <v>98</v>
      </c>
      <c r="E6136" s="1" t="n">
        <v>2.51</v>
      </c>
      <c r="F6136" s="1" t="n">
        <v>17.81</v>
      </c>
      <c r="G6136" s="1" t="n">
        <v>48</v>
      </c>
      <c r="H6136" s="1" t="n">
        <v>67</v>
      </c>
      <c r="I6136" s="1" t="n">
        <v>4.64</v>
      </c>
      <c r="J6136" t="n">
        <v>54328100</v>
      </c>
    </row>
    <row r="6137" ht="15.75" customHeight="1" s="201">
      <c r="A6137" s="1" t="inlineStr">
        <is>
          <t>Seeds, sesame butter, tahini, from roasted and toasted kernels (most common type)</t>
        </is>
      </c>
      <c r="C6137" s="1" t="n">
        <v>21.19</v>
      </c>
      <c r="D6137" s="1" t="n">
        <v>98</v>
      </c>
      <c r="E6137" s="1" t="n">
        <v>8.949999999999999</v>
      </c>
      <c r="F6137" s="1" t="n">
        <v>17</v>
      </c>
      <c r="G6137" s="1" t="n">
        <v>53.76</v>
      </c>
      <c r="H6137" s="1" t="n">
        <v>67</v>
      </c>
      <c r="I6137" s="1" t="n">
        <v>4.62</v>
      </c>
      <c r="J6137" t="n">
        <v>54328100</v>
      </c>
    </row>
    <row r="6138" ht="15.75" customHeight="1" s="201">
      <c r="A6138" s="1" t="inlineStr">
        <is>
          <t>Seeds, sesame butter, tahini, from unroasted kernels (non-chemically removed seed coat)</t>
        </is>
      </c>
      <c r="C6138" s="1" t="n">
        <v>17.89</v>
      </c>
      <c r="D6138" s="1" t="n">
        <v>98</v>
      </c>
      <c r="E6138" s="1" t="n">
        <v>6.35</v>
      </c>
      <c r="F6138" s="1" t="n">
        <v>17.95</v>
      </c>
      <c r="G6138" s="1" t="n">
        <v>56.44</v>
      </c>
      <c r="H6138" s="1" t="n">
        <v>67</v>
      </c>
      <c r="I6138" s="1" t="n">
        <v>10.45</v>
      </c>
      <c r="J6138" t="n">
        <v>54328100</v>
      </c>
    </row>
    <row r="6139" ht="15.75" customHeight="1" s="201">
      <c r="A6139" s="1" t="inlineStr">
        <is>
          <t>Seeds, sesame butter, tahini, type of kernels unspecified</t>
        </is>
      </c>
      <c r="C6139" s="1" t="n">
        <v>21.5</v>
      </c>
      <c r="D6139" s="1" t="n">
        <v>98</v>
      </c>
      <c r="E6139" s="1" t="n">
        <v>4.42</v>
      </c>
      <c r="F6139" s="1" t="n">
        <v>17.4</v>
      </c>
      <c r="G6139" s="1" t="n">
        <v>53.01</v>
      </c>
      <c r="H6139" s="1" t="n">
        <v>67</v>
      </c>
      <c r="I6139" s="1" t="n">
        <v>4.62</v>
      </c>
      <c r="J6139" t="n">
        <v>54328100</v>
      </c>
    </row>
    <row r="6140" ht="15.75" customHeight="1" s="201">
      <c r="A6140" s="1" t="inlineStr">
        <is>
          <t>Seeds, sesame flour, high-fat</t>
        </is>
      </c>
      <c r="C6140" s="1" t="n">
        <v>26.62</v>
      </c>
      <c r="D6140" s="1" t="n">
        <v>31</v>
      </c>
      <c r="E6140" s="1" t="n">
        <v>15.17</v>
      </c>
      <c r="F6140" s="1" t="n">
        <v>30.78</v>
      </c>
      <c r="G6140" s="1" t="n">
        <v>37.1</v>
      </c>
      <c r="H6140" s="1" t="n">
        <v>69</v>
      </c>
      <c r="I6140" s="1" t="n">
        <v>10.67</v>
      </c>
      <c r="J6140" t="n">
        <v>52215350</v>
      </c>
    </row>
    <row r="6141" ht="15.75" customHeight="1" s="201">
      <c r="A6141" s="1" t="inlineStr">
        <is>
          <t>Seeds, sesame flour, low-fat</t>
        </is>
      </c>
      <c r="C6141" s="1" t="n">
        <v>35.51</v>
      </c>
      <c r="D6141" s="1" t="n">
        <v>29</v>
      </c>
      <c r="E6141" s="1" t="n">
        <v>14.22</v>
      </c>
      <c r="F6141" s="1" t="n">
        <v>50.14</v>
      </c>
      <c r="G6141" s="1" t="n">
        <v>1.75</v>
      </c>
      <c r="H6141" s="1" t="n">
        <v>64</v>
      </c>
      <c r="I6141" s="1" t="n">
        <v>10</v>
      </c>
      <c r="J6141" t="n">
        <v>52215350</v>
      </c>
    </row>
    <row r="6142" ht="15.75" customHeight="1" s="201">
      <c r="A6142" s="1" t="inlineStr">
        <is>
          <t>Seeds, sesame flour, partially defatted</t>
        </is>
      </c>
      <c r="C6142" s="1" t="n">
        <v>35.14</v>
      </c>
      <c r="D6142" s="1" t="n">
        <v>29</v>
      </c>
      <c r="E6142" s="1" t="n">
        <v>14.3</v>
      </c>
      <c r="F6142" s="1" t="n">
        <v>40.32</v>
      </c>
      <c r="G6142" s="1" t="n">
        <v>11.89</v>
      </c>
      <c r="H6142" s="1" t="n">
        <v>69</v>
      </c>
      <c r="I6142" s="1" t="n">
        <v>10.7</v>
      </c>
      <c r="J6142" t="n">
        <v>52215350</v>
      </c>
    </row>
    <row r="6143" ht="15.75" customHeight="1" s="201">
      <c r="A6143" s="1" t="inlineStr">
        <is>
          <t>Seeds, sesame meal, partially defatted</t>
        </is>
      </c>
      <c r="C6143" s="1" t="n">
        <v>26.04</v>
      </c>
      <c r="D6143" s="1" t="n">
        <v>30</v>
      </c>
      <c r="E6143" s="1" t="n">
        <v>14.55</v>
      </c>
      <c r="F6143" s="1" t="n">
        <v>16.96</v>
      </c>
      <c r="G6143" s="1" t="n">
        <v>48</v>
      </c>
      <c r="H6143" s="1" t="n">
        <v>66</v>
      </c>
      <c r="I6143" s="1" t="n">
        <v>10.23</v>
      </c>
      <c r="J6143" t="n">
        <v>28110510</v>
      </c>
    </row>
    <row r="6144" ht="15.75" customHeight="1" s="201">
      <c r="A6144" s="1" t="inlineStr">
        <is>
          <t>Seeds, sesame seed kernels, dried (decorticated)</t>
        </is>
      </c>
      <c r="C6144" s="1" t="n">
        <v>11.73</v>
      </c>
      <c r="D6144" s="1" t="n">
        <v>115</v>
      </c>
      <c r="E6144" s="1" t="n">
        <v>6.36</v>
      </c>
      <c r="F6144" s="1" t="n">
        <v>20.45</v>
      </c>
      <c r="G6144" s="1" t="n">
        <v>61.21</v>
      </c>
      <c r="H6144" s="1" t="n">
        <v>66</v>
      </c>
      <c r="I6144" s="1" t="n">
        <v>6.73</v>
      </c>
      <c r="J6144" t="n">
        <v>43103300</v>
      </c>
    </row>
    <row r="6145" ht="15.75" customHeight="1" s="201">
      <c r="A6145" s="1" t="inlineStr">
        <is>
          <t>Seeds, sesame seed kernels, toasted, with salt added (decorticated)</t>
        </is>
      </c>
      <c r="C6145" s="1" t="n">
        <v>26.04</v>
      </c>
      <c r="D6145" s="1" t="n">
        <v>96</v>
      </c>
      <c r="E6145" s="1" t="n">
        <v>7.78</v>
      </c>
      <c r="F6145" s="1" t="n">
        <v>16.96</v>
      </c>
      <c r="G6145" s="1" t="n">
        <v>48</v>
      </c>
      <c r="H6145" s="1" t="n">
        <v>66</v>
      </c>
      <c r="I6145" s="1" t="n">
        <v>10.23</v>
      </c>
      <c r="J6145" t="n">
        <v>75142550</v>
      </c>
    </row>
    <row r="6146" ht="15.75" customHeight="1" s="201">
      <c r="A6146" s="1" t="inlineStr">
        <is>
          <t>Seeds, sesame seed kernels, toasted, without salt added (decorticated)</t>
        </is>
      </c>
      <c r="C6146" s="1" t="n">
        <v>26.04</v>
      </c>
      <c r="D6146" s="1" t="n">
        <v>96</v>
      </c>
      <c r="E6146" s="1" t="n">
        <v>7.78</v>
      </c>
      <c r="F6146" s="1" t="n">
        <v>16.96</v>
      </c>
      <c r="G6146" s="1" t="n">
        <v>48</v>
      </c>
      <c r="H6146" s="1" t="n">
        <v>66</v>
      </c>
      <c r="I6146" s="1" t="n">
        <v>10.23</v>
      </c>
    </row>
    <row r="6147" ht="15.75" customHeight="1" s="201">
      <c r="A6147" s="1" t="inlineStr">
        <is>
          <t>Seeds, sesame seeds, whole, dried</t>
        </is>
      </c>
      <c r="C6147" s="1" t="n">
        <v>23.45</v>
      </c>
      <c r="D6147" s="1" t="n">
        <v>97</v>
      </c>
      <c r="E6147" s="1" t="n">
        <v>14.55</v>
      </c>
      <c r="F6147" s="1" t="n">
        <v>17.73</v>
      </c>
      <c r="G6147" s="1" t="n">
        <v>49.67</v>
      </c>
      <c r="H6147" s="1" t="n">
        <v>9</v>
      </c>
      <c r="I6147" s="1" t="n">
        <v>7.75</v>
      </c>
      <c r="J6147" t="n">
        <v>43101100</v>
      </c>
    </row>
    <row r="6148" ht="15.75" customHeight="1" s="201">
      <c r="A6148" s="1" t="inlineStr">
        <is>
          <t>Seeds, sesame seeds, whole, roasted and toasted</t>
        </is>
      </c>
      <c r="C6148" s="1" t="n">
        <v>25.74</v>
      </c>
      <c r="D6148" s="1" t="n">
        <v>98</v>
      </c>
      <c r="E6148" s="1" t="n">
        <v>14.76</v>
      </c>
      <c r="F6148" s="1" t="n">
        <v>16.96</v>
      </c>
      <c r="G6148" s="1" t="n">
        <v>48</v>
      </c>
      <c r="H6148" s="1" t="n">
        <v>9</v>
      </c>
      <c r="I6148" s="1" t="n">
        <v>7.16</v>
      </c>
      <c r="J6148" t="n">
        <v>43101100</v>
      </c>
    </row>
    <row r="6149" ht="15.75" customHeight="1" s="201">
      <c r="A6149" s="1" t="inlineStr">
        <is>
          <t>Seeds, sisymbrium sp. seeds, whole, dried</t>
        </is>
      </c>
      <c r="C6149" s="1" t="n">
        <v>58.26</v>
      </c>
      <c r="D6149" s="1" t="n">
        <v>95</v>
      </c>
      <c r="E6149" s="1" t="n">
        <v>0.11</v>
      </c>
      <c r="F6149" s="1" t="n">
        <v>12.14</v>
      </c>
      <c r="G6149" s="1" t="n">
        <v>4.6</v>
      </c>
      <c r="H6149" s="1" t="n">
        <v>63</v>
      </c>
      <c r="I6149" s="1" t="n">
        <v>0.3</v>
      </c>
      <c r="J6149" t="n">
        <v>43101100</v>
      </c>
    </row>
    <row r="6150" ht="15.75" customHeight="1" s="201">
      <c r="A6150" s="1" t="inlineStr">
        <is>
          <t>Seeds, sunflower seed butter, with salt added (Includes foods for USDA's Food Distribution Program)</t>
        </is>
      </c>
      <c r="C6150" s="1" t="n">
        <v>23.32</v>
      </c>
      <c r="D6150" s="1" t="n">
        <v>237</v>
      </c>
      <c r="E6150" s="1" t="n">
        <v>4.12</v>
      </c>
      <c r="F6150" s="1" t="n">
        <v>17.28</v>
      </c>
      <c r="G6150" s="1" t="n">
        <v>55.2</v>
      </c>
      <c r="H6150" s="1" t="n">
        <v>52</v>
      </c>
      <c r="I6150" s="1" t="n">
        <v>4.89</v>
      </c>
      <c r="J6150" t="n">
        <v>75142550</v>
      </c>
    </row>
    <row r="6151" ht="15.75" customHeight="1" s="201">
      <c r="A6151" s="1" t="inlineStr">
        <is>
          <t>Seeds, sunflower seed butter, without salt</t>
        </is>
      </c>
      <c r="C6151" s="1" t="n">
        <v>23.32</v>
      </c>
      <c r="D6151" s="1" t="n">
        <v>237</v>
      </c>
      <c r="E6151" s="1" t="n">
        <v>4.12</v>
      </c>
      <c r="F6151" s="1" t="n">
        <v>17.28</v>
      </c>
      <c r="G6151" s="1" t="n">
        <v>55.2</v>
      </c>
      <c r="H6151" s="1" t="n">
        <v>52</v>
      </c>
      <c r="I6151" s="1" t="n">
        <v>4.89</v>
      </c>
      <c r="J6151" t="n">
        <v>54328100</v>
      </c>
    </row>
    <row r="6152" ht="15.75" customHeight="1" s="201">
      <c r="A6152" s="1" t="inlineStr">
        <is>
          <t>Seeds, sunflower seed flour, partially defatted</t>
        </is>
      </c>
      <c r="C6152" s="1" t="n">
        <v>35.83</v>
      </c>
      <c r="D6152" s="1" t="n">
        <v>222</v>
      </c>
      <c r="E6152" s="1" t="n">
        <v>6.62</v>
      </c>
      <c r="F6152" s="1" t="n">
        <v>48.06</v>
      </c>
      <c r="G6152" s="1" t="n">
        <v>1.61</v>
      </c>
      <c r="H6152" s="1" t="n">
        <v>49</v>
      </c>
      <c r="I6152" s="1" t="n">
        <v>4.95</v>
      </c>
      <c r="J6152" t="n">
        <v>52215350</v>
      </c>
    </row>
    <row r="6153" ht="15.75" customHeight="1" s="201">
      <c r="A6153" s="1" t="inlineStr">
        <is>
          <t>Seeds, sunflower seed kernels from shell, dry roasted, with salt added</t>
        </is>
      </c>
      <c r="C6153" s="1" t="n">
        <v>15.31</v>
      </c>
      <c r="D6153" s="1" t="n">
        <v>237</v>
      </c>
      <c r="E6153" s="1" t="n">
        <v>3.8</v>
      </c>
      <c r="F6153" s="1" t="n">
        <v>19.33</v>
      </c>
      <c r="G6153" s="1" t="n">
        <v>49.8</v>
      </c>
      <c r="H6153" s="1" t="n">
        <v>9</v>
      </c>
      <c r="I6153" s="1" t="n">
        <v>5.29</v>
      </c>
      <c r="J6153" t="n">
        <v>75142550</v>
      </c>
    </row>
    <row r="6154" ht="15.75" customHeight="1" s="201">
      <c r="A6154" s="1" t="inlineStr">
        <is>
          <t>Seeds, sunflower seed kernels, dried</t>
        </is>
      </c>
      <c r="C6154" s="1" t="n">
        <v>20</v>
      </c>
      <c r="D6154" s="1" t="n">
        <v>227</v>
      </c>
      <c r="E6154" s="1" t="n">
        <v>5.25</v>
      </c>
      <c r="F6154" s="1" t="n">
        <v>20.78</v>
      </c>
      <c r="G6154" s="1" t="n">
        <v>51.46</v>
      </c>
      <c r="H6154" s="1" t="n">
        <v>50</v>
      </c>
      <c r="I6154" s="1" t="n">
        <v>5</v>
      </c>
    </row>
    <row r="6155" ht="15.75" customHeight="1" s="201">
      <c r="A6155" s="1" t="inlineStr">
        <is>
          <t>Seeds, sunflower seed kernels, dry roasted, with salt added</t>
        </is>
      </c>
      <c r="C6155" s="1" t="n">
        <v>24.07</v>
      </c>
      <c r="D6155" s="1" t="n">
        <v>237</v>
      </c>
      <c r="E6155" s="1" t="n">
        <v>3.8</v>
      </c>
      <c r="F6155" s="1" t="n">
        <v>19.33</v>
      </c>
      <c r="G6155" s="1" t="n">
        <v>49.8</v>
      </c>
      <c r="H6155" s="1" t="n">
        <v>9</v>
      </c>
      <c r="I6155" s="1" t="n">
        <v>5.29</v>
      </c>
      <c r="J6155" t="n">
        <v>75142550</v>
      </c>
    </row>
    <row r="6156" ht="15.75" customHeight="1" s="201">
      <c r="A6156" s="1" t="inlineStr">
        <is>
          <t>Seeds, sunflower seed kernels, dry roasted, without salt</t>
        </is>
      </c>
      <c r="C6156" s="1" t="n">
        <v>24.07</v>
      </c>
      <c r="D6156" s="1" t="n">
        <v>237</v>
      </c>
      <c r="E6156" s="1" t="n">
        <v>3.8</v>
      </c>
      <c r="F6156" s="1" t="n">
        <v>19.33</v>
      </c>
      <c r="G6156" s="1" t="n">
        <v>49.8</v>
      </c>
      <c r="H6156" s="1" t="n">
        <v>9</v>
      </c>
      <c r="I6156" s="1" t="n">
        <v>5.29</v>
      </c>
      <c r="J6156" t="n">
        <v>54318500</v>
      </c>
    </row>
    <row r="6157" ht="15.75" customHeight="1" s="201">
      <c r="A6157" s="1" t="inlineStr">
        <is>
          <t>Seeds, sunflower seed kernels, oil roasted, with salt added</t>
        </is>
      </c>
      <c r="C6157" s="1" t="n">
        <v>22.89</v>
      </c>
      <c r="D6157" s="1" t="n">
        <v>234</v>
      </c>
      <c r="E6157" s="1" t="n">
        <v>4.28</v>
      </c>
      <c r="F6157" s="1" t="n">
        <v>20.06</v>
      </c>
      <c r="G6157" s="1" t="n">
        <v>51.3</v>
      </c>
      <c r="H6157" s="1" t="n">
        <v>9</v>
      </c>
      <c r="I6157" s="1" t="n">
        <v>5.21</v>
      </c>
      <c r="J6157" t="n">
        <v>75142550</v>
      </c>
    </row>
    <row r="6158" ht="15.75" customHeight="1" s="201">
      <c r="A6158" s="1" t="inlineStr">
        <is>
          <t>Seeds, sunflower seed kernels, oil roasted, without salt</t>
        </is>
      </c>
      <c r="C6158" s="1" t="n">
        <v>22.89</v>
      </c>
      <c r="D6158" s="1" t="n">
        <v>234</v>
      </c>
      <c r="E6158" s="1" t="n">
        <v>4.28</v>
      </c>
      <c r="F6158" s="1" t="n">
        <v>20.06</v>
      </c>
      <c r="G6158" s="1" t="n">
        <v>51.3</v>
      </c>
      <c r="H6158" s="1" t="n">
        <v>9</v>
      </c>
      <c r="I6158" s="1" t="n">
        <v>5.21</v>
      </c>
      <c r="J6158" t="n">
        <v>54318500</v>
      </c>
    </row>
    <row r="6159" ht="15.75" customHeight="1" s="201">
      <c r="A6159" s="1" t="inlineStr">
        <is>
          <t>Seeds, sunflower seed kernels, toasted, with salt added</t>
        </is>
      </c>
      <c r="C6159" s="1" t="n">
        <v>20.59</v>
      </c>
      <c r="D6159" s="1" t="n">
        <v>238</v>
      </c>
      <c r="E6159" s="1" t="n">
        <v>6.81</v>
      </c>
      <c r="F6159" s="1" t="n">
        <v>17.21</v>
      </c>
      <c r="G6159" s="1" t="n">
        <v>56.8</v>
      </c>
      <c r="H6159" s="1" t="n">
        <v>0</v>
      </c>
      <c r="I6159" s="1" t="n">
        <v>5.3</v>
      </c>
      <c r="J6159" t="n">
        <v>75142550</v>
      </c>
    </row>
    <row r="6160" ht="15.75" customHeight="1" s="201">
      <c r="A6160" s="1" t="inlineStr">
        <is>
          <t>Seeds, sunflower seed kernels, toasted, without salt</t>
        </is>
      </c>
      <c r="C6160" s="1" t="n">
        <v>20.59</v>
      </c>
      <c r="D6160" s="1" t="n">
        <v>238</v>
      </c>
      <c r="E6160" s="1" t="n">
        <v>6.81</v>
      </c>
      <c r="F6160" s="1" t="n">
        <v>17.21</v>
      </c>
      <c r="G6160" s="1" t="n">
        <v>56.8</v>
      </c>
      <c r="H6160" s="1" t="n">
        <v>0</v>
      </c>
      <c r="I6160" s="1" t="n">
        <v>5.3</v>
      </c>
      <c r="J6160" t="n">
        <v>54318500</v>
      </c>
    </row>
    <row r="6161" ht="15.75" customHeight="1" s="201">
      <c r="A6161" s="1" t="inlineStr">
        <is>
          <t>Seeds, watermelon seed kernels, dried</t>
        </is>
      </c>
      <c r="C6161" s="1" t="n">
        <v>15.31</v>
      </c>
      <c r="D6161" s="1" t="n">
        <v>58</v>
      </c>
      <c r="E6161" s="1" t="n">
        <v>7.28</v>
      </c>
      <c r="F6161" s="1" t="n">
        <v>28.33</v>
      </c>
      <c r="G6161" s="1" t="n">
        <v>47.37</v>
      </c>
      <c r="H6161" s="1" t="n">
        <v>0</v>
      </c>
      <c r="I6161" s="1" t="n">
        <v>10.24</v>
      </c>
    </row>
    <row r="6162" ht="15.75" customHeight="1" s="201">
      <c r="A6162" s="1" t="inlineStr">
        <is>
          <t>Semolina, enriched</t>
        </is>
      </c>
      <c r="C6162" s="1" t="n">
        <v>72.83</v>
      </c>
      <c r="D6162" s="1" t="n">
        <v>183</v>
      </c>
      <c r="E6162" s="1" t="n">
        <v>4.36</v>
      </c>
      <c r="F6162" s="1" t="n">
        <v>12.68</v>
      </c>
      <c r="G6162" s="1" t="n">
        <v>1.05</v>
      </c>
      <c r="H6162" s="1" t="n">
        <v>0</v>
      </c>
      <c r="I6162" s="1" t="n">
        <v>1.05</v>
      </c>
    </row>
    <row r="6163" ht="15.75" customHeight="1" s="201">
      <c r="A6163" s="1" t="inlineStr">
        <is>
          <t>Semolina, unenriched</t>
        </is>
      </c>
      <c r="C6163" s="1" t="n">
        <v>72.83</v>
      </c>
      <c r="D6163" s="1" t="n">
        <v>72</v>
      </c>
      <c r="E6163" s="1" t="n">
        <v>1.23</v>
      </c>
      <c r="F6163" s="1" t="n">
        <v>12.68</v>
      </c>
      <c r="G6163" s="1" t="n">
        <v>1.05</v>
      </c>
      <c r="H6163" s="1" t="n">
        <v>0</v>
      </c>
      <c r="I6163" s="1" t="n">
        <v>1.05</v>
      </c>
    </row>
    <row r="6164" ht="15.75" customHeight="1" s="201">
      <c r="A6164" s="1" t="inlineStr">
        <is>
          <t>Sesbania flower, cooked, steamed, with salt</t>
        </is>
      </c>
      <c r="C6164" s="1" t="n">
        <v>5.1</v>
      </c>
      <c r="D6164" s="1" t="n">
        <v>57</v>
      </c>
      <c r="E6164" s="1" t="n">
        <v>0.5600000000000001</v>
      </c>
      <c r="F6164" s="1" t="n">
        <v>1.14</v>
      </c>
      <c r="G6164" s="1" t="n">
        <v>0.05</v>
      </c>
      <c r="H6164" s="1" t="n">
        <v>0</v>
      </c>
      <c r="J6164" t="n">
        <v>75142550</v>
      </c>
    </row>
    <row r="6165" ht="15.75" customHeight="1" s="201">
      <c r="A6165" s="1" t="inlineStr">
        <is>
          <t>Sesbania flower, cooked, steamed, without salt</t>
        </is>
      </c>
      <c r="C6165" s="1" t="n">
        <v>5.23</v>
      </c>
      <c r="D6165" s="1" t="n">
        <v>57</v>
      </c>
      <c r="E6165" s="1" t="n">
        <v>0.5600000000000001</v>
      </c>
      <c r="F6165" s="1" t="n">
        <v>1.14</v>
      </c>
      <c r="G6165" s="1" t="n">
        <v>0.05</v>
      </c>
      <c r="H6165" s="1" t="n">
        <v>0</v>
      </c>
      <c r="J6165" t="n">
        <v>58112510</v>
      </c>
    </row>
    <row r="6166" ht="15.75" customHeight="1" s="201">
      <c r="A6166" s="1" t="inlineStr">
        <is>
          <t>Sesbania flower, raw</t>
        </is>
      </c>
      <c r="C6166" s="1" t="n">
        <v>6.73</v>
      </c>
      <c r="D6166" s="1" t="n">
        <v>102</v>
      </c>
      <c r="E6166" s="1" t="n">
        <v>0.84</v>
      </c>
      <c r="F6166" s="1" t="n">
        <v>1.28</v>
      </c>
      <c r="G6166" s="1" t="n">
        <v>0.04</v>
      </c>
      <c r="H6166" s="1" t="n">
        <v>0</v>
      </c>
    </row>
    <row r="6167" ht="15.75" customHeight="1" s="201">
      <c r="A6167" s="1" t="inlineStr">
        <is>
          <t>Shake, fast food, vanilla</t>
        </is>
      </c>
      <c r="C6167" s="1" t="n">
        <v>19.59</v>
      </c>
      <c r="D6167" s="1" t="n">
        <v>0</v>
      </c>
      <c r="E6167" s="1" t="n">
        <v>0.46</v>
      </c>
      <c r="F6167" s="1" t="n">
        <v>3.37</v>
      </c>
      <c r="G6167" s="1" t="n">
        <v>6.52</v>
      </c>
      <c r="H6167" s="1" t="n">
        <v>304</v>
      </c>
      <c r="I6167" s="1" t="n">
        <v>0.57</v>
      </c>
      <c r="J6167" t="n">
        <v>26319145</v>
      </c>
    </row>
    <row r="6168" ht="15.75" customHeight="1" s="201">
      <c r="A6168" s="1" t="inlineStr">
        <is>
          <t>Shallots, freeze-dried</t>
        </is>
      </c>
      <c r="C6168" s="1" t="n">
        <v>80.7</v>
      </c>
      <c r="D6168" s="1" t="n">
        <v>116</v>
      </c>
      <c r="E6168" s="1" t="n">
        <v>6</v>
      </c>
      <c r="F6168" s="1" t="n">
        <v>12.3</v>
      </c>
      <c r="G6168" s="1" t="n">
        <v>0.5</v>
      </c>
      <c r="H6168" s="1" t="n">
        <v>21</v>
      </c>
      <c r="I6168" s="1" t="n">
        <v>1.93</v>
      </c>
      <c r="J6168" t="n">
        <v>41301010</v>
      </c>
    </row>
    <row r="6169" ht="15.75" customHeight="1" s="201">
      <c r="A6169" s="1" t="inlineStr">
        <is>
          <t>Shallots, raw</t>
        </is>
      </c>
      <c r="C6169" s="1" t="n">
        <v>16.8</v>
      </c>
      <c r="D6169" s="1" t="n">
        <v>34</v>
      </c>
      <c r="E6169" s="1" t="n">
        <v>1.2</v>
      </c>
      <c r="F6169" s="1" t="n">
        <v>2.5</v>
      </c>
      <c r="G6169" s="1" t="n">
        <v>0.1</v>
      </c>
      <c r="H6169" s="1" t="n">
        <v>4</v>
      </c>
      <c r="I6169" s="1" t="n">
        <v>0.4</v>
      </c>
    </row>
    <row r="6170" ht="15.75" customHeight="1" s="201">
      <c r="A6170" s="1" t="inlineStr">
        <is>
          <t>Sherbet, orange</t>
        </is>
      </c>
      <c r="C6170" s="1" t="n">
        <v>30.4</v>
      </c>
      <c r="D6170" s="1" t="n">
        <v>4</v>
      </c>
      <c r="E6170" s="1" t="n">
        <v>0.14</v>
      </c>
      <c r="F6170" s="1" t="n">
        <v>1.1</v>
      </c>
      <c r="G6170" s="1" t="n">
        <v>2</v>
      </c>
      <c r="H6170" s="1" t="n">
        <v>46</v>
      </c>
      <c r="I6170" s="1" t="n">
        <v>0.48</v>
      </c>
      <c r="J6170" t="n">
        <v>92550350</v>
      </c>
    </row>
    <row r="6171" ht="15.75" customHeight="1" s="201">
      <c r="A6171" s="1" t="inlineStr">
        <is>
          <t>Shortening bread, soybean (hydrogenated) and cottonseed</t>
        </is>
      </c>
      <c r="C6171" s="1" t="n">
        <v>0</v>
      </c>
      <c r="D6171" s="1" t="n">
        <v>0</v>
      </c>
      <c r="E6171" s="1" t="n">
        <v>0</v>
      </c>
      <c r="F6171" s="1" t="n">
        <v>0</v>
      </c>
      <c r="G6171" s="1" t="n">
        <v>100</v>
      </c>
      <c r="H6171" s="1" t="n">
        <v>0</v>
      </c>
      <c r="I6171" s="1" t="n">
        <v>0</v>
      </c>
      <c r="J6171" t="n">
        <v>52405010</v>
      </c>
    </row>
    <row r="6172" ht="15.75" customHeight="1" s="201">
      <c r="A6172" s="1" t="inlineStr">
        <is>
          <t>Shortening cake mix, soybean (hydrogenated) and cottonseed (hydrogenated)</t>
        </is>
      </c>
      <c r="C6172" s="1" t="n">
        <v>0</v>
      </c>
      <c r="D6172" s="1" t="n">
        <v>0</v>
      </c>
      <c r="E6172" s="1" t="n">
        <v>0</v>
      </c>
      <c r="F6172" s="1" t="n">
        <v>0</v>
      </c>
      <c r="G6172" s="1" t="n">
        <v>100</v>
      </c>
      <c r="H6172" s="1" t="n">
        <v>0</v>
      </c>
      <c r="I6172" s="1" t="n">
        <v>0</v>
      </c>
      <c r="J6172" t="n">
        <v>53116000</v>
      </c>
    </row>
    <row r="6173" ht="15.75" customHeight="1" s="201">
      <c r="A6173" s="1" t="inlineStr">
        <is>
          <t>Shortening confectionery, coconut (hydrogenated) and or palm kernel (hydrogenated)</t>
        </is>
      </c>
      <c r="C6173" s="1" t="n">
        <v>0</v>
      </c>
      <c r="D6173" s="1" t="n">
        <v>0</v>
      </c>
      <c r="E6173" s="1" t="n">
        <v>0</v>
      </c>
      <c r="F6173" s="1" t="n">
        <v>0</v>
      </c>
      <c r="G6173" s="1" t="n">
        <v>100</v>
      </c>
      <c r="H6173" s="1" t="n">
        <v>0</v>
      </c>
      <c r="I6173" s="1" t="n">
        <v>0</v>
      </c>
      <c r="J6173" t="n">
        <v>42404010</v>
      </c>
    </row>
    <row r="6174" ht="15.75" customHeight="1" s="201">
      <c r="A6174" s="1" t="inlineStr">
        <is>
          <t>Shortening frying (heavy duty), beef tallow and cottonseed</t>
        </is>
      </c>
      <c r="C6174" s="1" t="n">
        <v>0</v>
      </c>
      <c r="D6174" s="1" t="n">
        <v>0</v>
      </c>
      <c r="E6174" s="1" t="n">
        <v>0</v>
      </c>
      <c r="F6174" s="1" t="n">
        <v>0</v>
      </c>
      <c r="G6174" s="1" t="n">
        <v>100</v>
      </c>
      <c r="H6174" s="1" t="n">
        <v>0</v>
      </c>
      <c r="I6174" s="1" t="n">
        <v>0</v>
      </c>
      <c r="J6174" t="n">
        <v>28110510</v>
      </c>
    </row>
    <row r="6175" ht="15.75" customHeight="1" s="201">
      <c r="A6175" s="1" t="inlineStr">
        <is>
          <t>Shortening frying (heavy duty), palm (hydrogenated)</t>
        </is>
      </c>
      <c r="C6175" s="1" t="n">
        <v>0</v>
      </c>
      <c r="D6175" s="1" t="n">
        <v>0</v>
      </c>
      <c r="E6175" s="1" t="n">
        <v>0</v>
      </c>
      <c r="F6175" s="1" t="n">
        <v>0</v>
      </c>
      <c r="G6175" s="1" t="n">
        <v>100</v>
      </c>
      <c r="H6175" s="1" t="n">
        <v>0</v>
      </c>
      <c r="I6175" s="1" t="n">
        <v>0</v>
      </c>
    </row>
    <row r="6176" ht="15.75" customHeight="1" s="201">
      <c r="A6176" s="1" t="inlineStr">
        <is>
          <t>Shortening frying (heavy duty), soybean (hydrogenated), linoleic (less than 1%)</t>
        </is>
      </c>
      <c r="C6176" s="1" t="n">
        <v>0</v>
      </c>
      <c r="D6176" s="1" t="n">
        <v>0</v>
      </c>
      <c r="E6176" s="1" t="n">
        <v>0</v>
      </c>
      <c r="F6176" s="1" t="n">
        <v>0</v>
      </c>
      <c r="G6176" s="1" t="n">
        <v>100</v>
      </c>
      <c r="H6176" s="1" t="n">
        <v>0</v>
      </c>
      <c r="I6176" s="1" t="n">
        <v>0</v>
      </c>
    </row>
    <row r="6177" ht="15.75" customHeight="1" s="201">
      <c r="A6177" s="1" t="inlineStr">
        <is>
          <t>Shortening household soybean (hydrogenated) and palm</t>
        </is>
      </c>
      <c r="C6177" s="1" t="n">
        <v>0</v>
      </c>
      <c r="D6177" s="1" t="n">
        <v>0</v>
      </c>
      <c r="E6177" s="1" t="n">
        <v>0</v>
      </c>
      <c r="F6177" s="1" t="n">
        <v>0</v>
      </c>
      <c r="G6177" s="1" t="n">
        <v>100</v>
      </c>
      <c r="H6177" s="1" t="n">
        <v>0</v>
      </c>
      <c r="I6177" s="1" t="n">
        <v>0</v>
      </c>
    </row>
    <row r="6178" ht="15.75" customHeight="1" s="201">
      <c r="A6178" s="1" t="inlineStr">
        <is>
          <t>Shortening industrial, lard and vegetable oil</t>
        </is>
      </c>
      <c r="C6178" s="1" t="n">
        <v>0</v>
      </c>
      <c r="D6178" s="1" t="n">
        <v>0</v>
      </c>
      <c r="E6178" s="1" t="n">
        <v>0</v>
      </c>
      <c r="F6178" s="1" t="n">
        <v>0</v>
      </c>
      <c r="G6178" s="1" t="n">
        <v>100</v>
      </c>
      <c r="H6178" s="1" t="n">
        <v>0</v>
      </c>
      <c r="I6178" s="1" t="n">
        <v>0</v>
      </c>
      <c r="J6178" t="n">
        <v>71220000</v>
      </c>
    </row>
    <row r="6179" ht="15.75" customHeight="1" s="201">
      <c r="A6179" s="1" t="inlineStr">
        <is>
          <t>Shortening industrial, soybean (hydrogenated) and cottonseed</t>
        </is>
      </c>
      <c r="C6179" s="1" t="n">
        <v>0</v>
      </c>
      <c r="D6179" s="1" t="n">
        <v>0</v>
      </c>
      <c r="E6179" s="1" t="n">
        <v>0</v>
      </c>
      <c r="F6179" s="1" t="n">
        <v>0</v>
      </c>
      <c r="G6179" s="1" t="n">
        <v>100</v>
      </c>
      <c r="H6179" s="1" t="n">
        <v>0</v>
      </c>
      <c r="I6179" s="1" t="n">
        <v>0</v>
      </c>
    </row>
    <row r="6180" ht="15.75" customHeight="1" s="201">
      <c r="A6180" s="1" t="inlineStr">
        <is>
          <t>Shortening, confectionery, fractionated palm</t>
        </is>
      </c>
      <c r="C6180" s="1" t="n">
        <v>0</v>
      </c>
      <c r="D6180" s="1" t="n">
        <v>0</v>
      </c>
      <c r="E6180" s="1" t="n">
        <v>0</v>
      </c>
      <c r="F6180" s="1" t="n">
        <v>0</v>
      </c>
      <c r="G6180" s="1" t="n">
        <v>100</v>
      </c>
      <c r="H6180" s="1" t="n">
        <v>0</v>
      </c>
      <c r="I6180" s="1" t="n">
        <v>0</v>
      </c>
    </row>
    <row r="6181" ht="15.75" customHeight="1" s="201">
      <c r="A6181" s="1" t="inlineStr">
        <is>
          <t>Shortening, household, lard and vegetable oil</t>
        </is>
      </c>
      <c r="C6181" s="1" t="n">
        <v>0</v>
      </c>
      <c r="D6181" s="1" t="n">
        <v>0</v>
      </c>
      <c r="E6181" s="1" t="n">
        <v>0</v>
      </c>
      <c r="F6181" s="1" t="n">
        <v>0</v>
      </c>
      <c r="G6181" s="1" t="n">
        <v>100</v>
      </c>
      <c r="H6181" s="1" t="n">
        <v>0</v>
      </c>
      <c r="I6181" s="1" t="n">
        <v>0</v>
      </c>
      <c r="J6181" t="n">
        <v>71220000</v>
      </c>
    </row>
    <row r="6182" ht="15.75" customHeight="1" s="201">
      <c r="A6182" s="1" t="inlineStr">
        <is>
          <t>Shortening, household, soybean (partially hydrogenated)-cottonseed (partially hydrogenated)</t>
        </is>
      </c>
      <c r="C6182" s="1" t="n">
        <v>0</v>
      </c>
      <c r="D6182" s="1" t="n">
        <v>0</v>
      </c>
      <c r="E6182" s="1" t="n">
        <v>0</v>
      </c>
      <c r="F6182" s="1" t="n">
        <v>0</v>
      </c>
      <c r="G6182" s="1" t="n">
        <v>100</v>
      </c>
      <c r="H6182" s="1" t="n">
        <v>0</v>
      </c>
      <c r="I6182" s="1" t="n">
        <v>0</v>
      </c>
    </row>
    <row r="6183" ht="15.75" customHeight="1" s="201">
      <c r="A6183" s="1" t="inlineStr">
        <is>
          <t>Shortening, industrial, soy (partially hydrogenated ) and corn for frying</t>
        </is>
      </c>
      <c r="C6183" s="1" t="n">
        <v>0</v>
      </c>
      <c r="D6183" s="1" t="n">
        <v>0</v>
      </c>
      <c r="E6183" s="1" t="n">
        <v>0</v>
      </c>
      <c r="F6183" s="1" t="n">
        <v>0</v>
      </c>
      <c r="G6183" s="1" t="n">
        <v>100</v>
      </c>
      <c r="H6183" s="1" t="n">
        <v>0</v>
      </c>
      <c r="I6183" s="1" t="n">
        <v>0</v>
      </c>
      <c r="J6183" t="n">
        <v>54401055</v>
      </c>
    </row>
    <row r="6184" ht="15.75" customHeight="1" s="201">
      <c r="A6184" s="1" t="inlineStr">
        <is>
          <t>Shortening, industrial, soy (partially hydrogenated ) for baking and confections</t>
        </is>
      </c>
      <c r="C6184" s="1" t="n">
        <v>0</v>
      </c>
      <c r="D6184" s="1" t="n">
        <v>0</v>
      </c>
      <c r="E6184" s="1" t="n">
        <v>0</v>
      </c>
      <c r="F6184" s="1" t="n">
        <v>0</v>
      </c>
      <c r="G6184" s="1" t="n">
        <v>100</v>
      </c>
      <c r="H6184" s="1" t="n">
        <v>0</v>
      </c>
      <c r="I6184" s="1" t="n">
        <v>0</v>
      </c>
    </row>
    <row r="6185" ht="15.75" customHeight="1" s="201">
      <c r="A6185" s="1" t="inlineStr">
        <is>
          <t>Shortening, industrial, soy (partially hydrogenated), pourable liquid fry shortening</t>
        </is>
      </c>
      <c r="C6185" s="1" t="n">
        <v>0</v>
      </c>
      <c r="D6185" s="1" t="n">
        <v>0</v>
      </c>
      <c r="E6185" s="1" t="n">
        <v>0</v>
      </c>
      <c r="F6185" s="1" t="n">
        <v>0</v>
      </c>
      <c r="G6185" s="1" t="n">
        <v>100</v>
      </c>
      <c r="H6185" s="1" t="n">
        <v>0</v>
      </c>
      <c r="I6185" s="1" t="n">
        <v>0</v>
      </c>
    </row>
    <row r="6186" ht="15.75" customHeight="1" s="201">
      <c r="A6186" s="1" t="inlineStr">
        <is>
          <t>Shortening, multipurpose, soybean (hydrogenated) and palm (hydrogenated)</t>
        </is>
      </c>
      <c r="C6186" s="1" t="n">
        <v>0</v>
      </c>
      <c r="D6186" s="1" t="n">
        <v>0</v>
      </c>
      <c r="E6186" s="1" t="n">
        <v>0</v>
      </c>
      <c r="F6186" s="1" t="n">
        <v>0</v>
      </c>
      <c r="G6186" s="1" t="n">
        <v>100</v>
      </c>
      <c r="H6186" s="1" t="n">
        <v>0</v>
      </c>
      <c r="I6186" s="1" t="n">
        <v>0</v>
      </c>
    </row>
    <row r="6187" ht="15.75" customHeight="1" s="201">
      <c r="A6187" s="1" t="inlineStr">
        <is>
          <t>Shortening, special purpose for baking, soybean (hydrogenated) palm and cottonseed</t>
        </is>
      </c>
      <c r="C6187" s="1" t="n">
        <v>0</v>
      </c>
      <c r="D6187" s="1" t="n">
        <v>0</v>
      </c>
      <c r="E6187" s="1" t="n">
        <v>0</v>
      </c>
      <c r="F6187" s="1" t="n">
        <v>0</v>
      </c>
      <c r="G6187" s="1" t="n">
        <v>100</v>
      </c>
      <c r="H6187" s="1" t="n">
        <v>0</v>
      </c>
      <c r="I6187" s="1" t="n">
        <v>0</v>
      </c>
    </row>
    <row r="6188" ht="15.75" customHeight="1" s="201">
      <c r="A6188" s="1" t="inlineStr">
        <is>
          <t>Shortening, special purpose for cakes and frostings, soybean (hydrogenated)</t>
        </is>
      </c>
      <c r="C6188" s="1" t="n">
        <v>0</v>
      </c>
      <c r="D6188" s="1" t="n">
        <v>0</v>
      </c>
      <c r="E6188" s="1" t="n">
        <v>0</v>
      </c>
      <c r="F6188" s="1" t="n">
        <v>0</v>
      </c>
      <c r="G6188" s="1" t="n">
        <v>100</v>
      </c>
      <c r="H6188" s="1" t="n">
        <v>0</v>
      </c>
      <c r="I6188" s="1" t="n">
        <v>0</v>
      </c>
      <c r="J6188" t="n">
        <v>53109200</v>
      </c>
    </row>
    <row r="6189" ht="15.75" customHeight="1" s="201">
      <c r="A6189" s="1" t="inlineStr">
        <is>
          <t>Shortening, vegetable, household, composite</t>
        </is>
      </c>
      <c r="C6189" s="1" t="n">
        <v>0</v>
      </c>
      <c r="D6189" s="1" t="n">
        <v>0</v>
      </c>
      <c r="E6189" s="1" t="n">
        <v>0.07000000000000001</v>
      </c>
      <c r="F6189" s="1" t="n">
        <v>0</v>
      </c>
      <c r="G6189" s="1" t="n">
        <v>99.97</v>
      </c>
      <c r="H6189" s="1" t="n">
        <v>0</v>
      </c>
      <c r="I6189" s="1" t="n">
        <v>0</v>
      </c>
      <c r="J6189" t="n">
        <v>71220000</v>
      </c>
    </row>
    <row r="6190" ht="15.75" customHeight="1" s="201">
      <c r="A6190" s="1" t="inlineStr">
        <is>
          <t>SILK Black Cherry soy yogurt</t>
        </is>
      </c>
      <c r="C6190" s="1" t="n">
        <v>17.06</v>
      </c>
      <c r="E6190" s="1" t="n">
        <v>0.64</v>
      </c>
      <c r="F6190" s="1" t="n">
        <v>2.35</v>
      </c>
      <c r="G6190" s="1" t="n">
        <v>1.18</v>
      </c>
      <c r="H6190" s="1" t="n">
        <v>0</v>
      </c>
      <c r="J6190" t="n">
        <v>92411510</v>
      </c>
    </row>
    <row r="6191" ht="15.75" customHeight="1" s="201">
      <c r="A6191" s="1" t="inlineStr">
        <is>
          <t>SILK Blueberry soy yogurt</t>
        </is>
      </c>
      <c r="C6191" s="1" t="n">
        <v>17.06</v>
      </c>
      <c r="E6191" s="1" t="n">
        <v>0.64</v>
      </c>
      <c r="F6191" s="1" t="n">
        <v>2.35</v>
      </c>
      <c r="G6191" s="1" t="n">
        <v>1.18</v>
      </c>
      <c r="H6191" s="1" t="n">
        <v>0</v>
      </c>
      <c r="J6191" t="n">
        <v>11432000</v>
      </c>
    </row>
    <row r="6192" ht="15.75" customHeight="1" s="201">
      <c r="A6192" s="1" t="inlineStr">
        <is>
          <t>SILK Chai, soymilk</t>
        </is>
      </c>
      <c r="C6192" s="1" t="n">
        <v>7.82</v>
      </c>
      <c r="D6192" s="1" t="n">
        <v>7</v>
      </c>
      <c r="E6192" s="1" t="n">
        <v>0.44</v>
      </c>
      <c r="F6192" s="1" t="n">
        <v>2.47</v>
      </c>
      <c r="G6192" s="1" t="n">
        <v>1.44</v>
      </c>
      <c r="H6192" s="1" t="n">
        <v>123</v>
      </c>
      <c r="I6192" s="1" t="n">
        <v>0.37</v>
      </c>
      <c r="J6192" t="n">
        <v>92306800</v>
      </c>
    </row>
    <row r="6193" ht="15.75" customHeight="1" s="201">
      <c r="A6193" s="1" t="inlineStr">
        <is>
          <t>SILK Chocolate, soymilk</t>
        </is>
      </c>
      <c r="C6193" s="1" t="n">
        <v>9.470000000000001</v>
      </c>
      <c r="D6193" s="1" t="n">
        <v>10</v>
      </c>
      <c r="E6193" s="1" t="n">
        <v>0.59</v>
      </c>
      <c r="F6193" s="1" t="n">
        <v>2.06</v>
      </c>
      <c r="G6193" s="1" t="n">
        <v>1.44</v>
      </c>
      <c r="H6193" s="1" t="n">
        <v>206</v>
      </c>
      <c r="I6193" s="1" t="n">
        <v>0.25</v>
      </c>
      <c r="J6193" t="n">
        <v>53108200</v>
      </c>
    </row>
    <row r="6194" ht="15.75" customHeight="1" s="201">
      <c r="A6194" s="1" t="inlineStr">
        <is>
          <t>SILK Hazelnut Creamer</t>
        </is>
      </c>
      <c r="C6194" s="1" t="n">
        <v>20</v>
      </c>
      <c r="E6194" s="1" t="n">
        <v>0</v>
      </c>
      <c r="F6194" s="1" t="n">
        <v>0</v>
      </c>
      <c r="G6194" s="1" t="n">
        <v>6.67</v>
      </c>
      <c r="H6194" s="1" t="n">
        <v>0</v>
      </c>
      <c r="J6194" t="n">
        <v>12210520</v>
      </c>
    </row>
    <row r="6195" ht="15.75" customHeight="1" s="201">
      <c r="A6195" s="1" t="inlineStr">
        <is>
          <t>SILK Light Chocolate, soymilk</t>
        </is>
      </c>
      <c r="C6195" s="1" t="n">
        <v>9.050000000000001</v>
      </c>
      <c r="D6195" s="1" t="n">
        <v>10</v>
      </c>
      <c r="E6195" s="1" t="n">
        <v>0.59</v>
      </c>
      <c r="F6195" s="1" t="n">
        <v>2.06</v>
      </c>
      <c r="G6195" s="1" t="n">
        <v>0.62</v>
      </c>
      <c r="H6195" s="1" t="n">
        <v>206</v>
      </c>
      <c r="I6195" s="1" t="n">
        <v>0.25</v>
      </c>
      <c r="J6195" t="n">
        <v>53108200</v>
      </c>
    </row>
    <row r="6196" ht="15.75" customHeight="1" s="201">
      <c r="A6196" s="1" t="inlineStr">
        <is>
          <t>SILK Light Plain, soymilk</t>
        </is>
      </c>
      <c r="C6196" s="1" t="n">
        <v>3.29</v>
      </c>
      <c r="D6196" s="1" t="n">
        <v>10</v>
      </c>
      <c r="E6196" s="1" t="n">
        <v>0.44</v>
      </c>
      <c r="F6196" s="1" t="n">
        <v>2.47</v>
      </c>
      <c r="G6196" s="1" t="n">
        <v>0.82</v>
      </c>
      <c r="H6196" s="1" t="n">
        <v>206</v>
      </c>
      <c r="I6196" s="1" t="n">
        <v>0.25</v>
      </c>
      <c r="J6196" t="n">
        <v>27446245</v>
      </c>
    </row>
    <row r="6197" ht="15.75" customHeight="1" s="201">
      <c r="A6197" s="1" t="inlineStr">
        <is>
          <t>SILK Light Vanilla, soymilk</t>
        </is>
      </c>
      <c r="C6197" s="1" t="n">
        <v>4.12</v>
      </c>
      <c r="D6197" s="1" t="n">
        <v>10</v>
      </c>
      <c r="E6197" s="1" t="n">
        <v>0.44</v>
      </c>
      <c r="F6197" s="1" t="n">
        <v>2.47</v>
      </c>
      <c r="G6197" s="1" t="n">
        <v>0.82</v>
      </c>
      <c r="H6197" s="1" t="n">
        <v>206</v>
      </c>
      <c r="I6197" s="1" t="n">
        <v>0.25</v>
      </c>
      <c r="J6197" t="n">
        <v>27446245</v>
      </c>
    </row>
    <row r="6198" ht="15.75" customHeight="1" s="201">
      <c r="A6198" s="1" t="inlineStr">
        <is>
          <t>SILK Mocha, soymilk</t>
        </is>
      </c>
      <c r="C6198" s="1" t="n">
        <v>9.050000000000001</v>
      </c>
      <c r="D6198" s="1" t="n">
        <v>7</v>
      </c>
      <c r="E6198" s="1" t="n">
        <v>0.44</v>
      </c>
      <c r="F6198" s="1" t="n">
        <v>2.06</v>
      </c>
      <c r="G6198" s="1" t="n">
        <v>1.44</v>
      </c>
      <c r="H6198" s="1" t="n">
        <v>123</v>
      </c>
      <c r="I6198" s="1" t="n">
        <v>0.37</v>
      </c>
      <c r="J6198" t="n">
        <v>92102000</v>
      </c>
    </row>
    <row r="6199" ht="15.75" customHeight="1" s="201">
      <c r="A6199" s="1" t="inlineStr">
        <is>
          <t>SILK Nog, soymilk</t>
        </is>
      </c>
      <c r="C6199" s="1" t="n">
        <v>12.3</v>
      </c>
      <c r="D6199" s="1" t="n">
        <v>0</v>
      </c>
      <c r="E6199" s="1" t="n">
        <v>0.3</v>
      </c>
      <c r="F6199" s="1" t="n">
        <v>2.46</v>
      </c>
      <c r="G6199" s="1" t="n">
        <v>1.64</v>
      </c>
      <c r="H6199" s="1" t="n">
        <v>0</v>
      </c>
      <c r="I6199" s="1" t="n">
        <v>0</v>
      </c>
      <c r="J6199" t="n">
        <v>11320000</v>
      </c>
    </row>
    <row r="6200" ht="15.75" customHeight="1" s="201">
      <c r="A6200" s="1" t="inlineStr">
        <is>
          <t>SILK Peach soy yogurt</t>
        </is>
      </c>
      <c r="C6200" s="1" t="n">
        <v>18.82</v>
      </c>
      <c r="E6200" s="1" t="n">
        <v>0.64</v>
      </c>
      <c r="F6200" s="1" t="n">
        <v>2.35</v>
      </c>
      <c r="G6200" s="1" t="n">
        <v>1.18</v>
      </c>
      <c r="H6200" s="1" t="n">
        <v>0</v>
      </c>
      <c r="J6200" t="n">
        <v>63135010</v>
      </c>
    </row>
    <row r="6201" ht="15.75" customHeight="1" s="201">
      <c r="A6201" s="1" t="inlineStr">
        <is>
          <t>SILK Raspberry soy yogurt</t>
        </is>
      </c>
      <c r="C6201" s="1" t="n">
        <v>17.65</v>
      </c>
      <c r="E6201" s="1" t="n">
        <v>0.64</v>
      </c>
      <c r="F6201" s="1" t="n">
        <v>2.35</v>
      </c>
      <c r="G6201" s="1" t="n">
        <v>1.18</v>
      </c>
      <c r="H6201" s="1" t="n">
        <v>0</v>
      </c>
      <c r="J6201" t="n">
        <v>53714300</v>
      </c>
    </row>
    <row r="6202" ht="15.75" customHeight="1" s="201">
      <c r="A6202" s="1" t="inlineStr">
        <is>
          <t>SILK Very Vanilla, soymilk</t>
        </is>
      </c>
      <c r="C6202" s="1" t="n">
        <v>7.82</v>
      </c>
      <c r="D6202" s="1" t="n">
        <v>10</v>
      </c>
      <c r="E6202" s="1" t="n">
        <v>0.44</v>
      </c>
      <c r="F6202" s="1" t="n">
        <v>2.47</v>
      </c>
      <c r="G6202" s="1" t="n">
        <v>1.65</v>
      </c>
      <c r="H6202" s="1" t="n">
        <v>412</v>
      </c>
      <c r="I6202" s="1" t="n">
        <v>0.62</v>
      </c>
      <c r="J6202" t="n">
        <v>11320000</v>
      </c>
    </row>
    <row r="6203" ht="15.75" customHeight="1" s="201">
      <c r="A6203" s="1" t="inlineStr">
        <is>
          <t>SMART SOUP, French Lentil</t>
        </is>
      </c>
      <c r="C6203" s="1" t="n">
        <v>9.5</v>
      </c>
      <c r="E6203" s="1" t="n">
        <v>1</v>
      </c>
      <c r="F6203" s="1" t="n">
        <v>2.9</v>
      </c>
      <c r="G6203" s="1" t="n">
        <v>1.06</v>
      </c>
      <c r="J6203" t="n">
        <v>58407030</v>
      </c>
    </row>
    <row r="6204" ht="15.75" customHeight="1" s="201">
      <c r="A6204" s="1" t="inlineStr">
        <is>
          <t>SMART SOUP, Greek Minestrone</t>
        </is>
      </c>
      <c r="C6204" s="1" t="n">
        <v>8.4</v>
      </c>
      <c r="E6204" s="1" t="n">
        <v>1</v>
      </c>
      <c r="F6204" s="1" t="n">
        <v>1.7</v>
      </c>
      <c r="G6204" s="1" t="n">
        <v>0.53</v>
      </c>
      <c r="J6204" t="n">
        <v>58407030</v>
      </c>
    </row>
    <row r="6205" ht="15.75" customHeight="1" s="201">
      <c r="A6205" s="1" t="inlineStr">
        <is>
          <t>SMART SOUP, Indian Bean Masala</t>
        </is>
      </c>
      <c r="C6205" s="1" t="n">
        <v>10.5</v>
      </c>
      <c r="E6205" s="1" t="n">
        <v>1</v>
      </c>
      <c r="F6205" s="1" t="n">
        <v>3.3</v>
      </c>
      <c r="G6205" s="1" t="n">
        <v>0.88</v>
      </c>
      <c r="J6205" t="n">
        <v>41601010</v>
      </c>
    </row>
    <row r="6206" ht="15.75" customHeight="1" s="201">
      <c r="A6206" s="1" t="inlineStr">
        <is>
          <t>SMART SOUP, Moroccan Chick Pea</t>
        </is>
      </c>
      <c r="C6206" s="1" t="n">
        <v>9.699999999999999</v>
      </c>
      <c r="E6206" s="1" t="n">
        <v>1</v>
      </c>
      <c r="F6206" s="1" t="n">
        <v>2</v>
      </c>
      <c r="G6206" s="1" t="n">
        <v>1.06</v>
      </c>
      <c r="J6206" t="n">
        <v>58407030</v>
      </c>
    </row>
    <row r="6207" ht="15.75" customHeight="1" s="201">
      <c r="A6207" s="1" t="inlineStr">
        <is>
          <t>SMART SOUP, Santa Fe Corn Chowder</t>
        </is>
      </c>
      <c r="C6207" s="1" t="n">
        <v>11.2</v>
      </c>
      <c r="E6207" s="1" t="n">
        <v>1</v>
      </c>
      <c r="F6207" s="1" t="n">
        <v>2</v>
      </c>
      <c r="G6207" s="1" t="n">
        <v>0.71</v>
      </c>
      <c r="J6207" t="n">
        <v>58407030</v>
      </c>
    </row>
    <row r="6208" ht="15.75" customHeight="1" s="201">
      <c r="A6208" s="1" t="inlineStr">
        <is>
          <t>SMART SOUP, Thai Coconut Curry</t>
        </is>
      </c>
      <c r="C6208" s="1" t="n">
        <v>6.5</v>
      </c>
      <c r="E6208" s="1" t="n">
        <v>0</v>
      </c>
      <c r="F6208" s="1" t="n">
        <v>0.8</v>
      </c>
      <c r="G6208" s="1" t="n">
        <v>1.06</v>
      </c>
      <c r="J6208" t="n">
        <v>58407030</v>
      </c>
    </row>
    <row r="6209" ht="15.75" customHeight="1" s="201">
      <c r="A6209" s="1" t="inlineStr">
        <is>
          <t>SMART SOUP, Vietnamese Carrot Lemongrass</t>
        </is>
      </c>
      <c r="C6209" s="1" t="n">
        <v>8.199999999999999</v>
      </c>
      <c r="E6209" s="1" t="n">
        <v>0</v>
      </c>
      <c r="F6209" s="1" t="n">
        <v>1.3</v>
      </c>
      <c r="G6209" s="1" t="n">
        <v>1.06</v>
      </c>
      <c r="J6209" t="n">
        <v>58407030</v>
      </c>
    </row>
    <row r="6210" ht="15.75" customHeight="1" s="201">
      <c r="A6210" s="1" t="inlineStr">
        <is>
          <t>Smelt, dried (Alaska Native)</t>
        </is>
      </c>
      <c r="C6210" s="1" t="n">
        <v>0</v>
      </c>
      <c r="E6210" s="1" t="n">
        <v>5.4</v>
      </c>
      <c r="F6210" s="1" t="n">
        <v>56.19</v>
      </c>
      <c r="G6210" s="1" t="n">
        <v>17.9</v>
      </c>
      <c r="H6210" s="1" t="n">
        <v>463</v>
      </c>
      <c r="I6210" s="1" t="n">
        <v>6.7</v>
      </c>
      <c r="J6210" t="n">
        <v>41301010</v>
      </c>
    </row>
    <row r="6211" ht="15.75" customHeight="1" s="201">
      <c r="A6211" s="1" t="inlineStr">
        <is>
          <t>Snack, BALANCE, original bar</t>
        </is>
      </c>
      <c r="C6211" s="1" t="n">
        <v>48.73</v>
      </c>
      <c r="D6211" s="1" t="n">
        <v>126</v>
      </c>
      <c r="E6211" s="1" t="n">
        <v>10.9</v>
      </c>
      <c r="F6211" s="1" t="n">
        <v>28</v>
      </c>
      <c r="G6211" s="1" t="n">
        <v>12</v>
      </c>
      <c r="H6211" s="1" t="n">
        <v>5000</v>
      </c>
      <c r="I6211" s="1" t="n">
        <v>3.52</v>
      </c>
      <c r="J6211" t="n">
        <v>54402200</v>
      </c>
    </row>
    <row r="6212" ht="15.75" customHeight="1" s="201">
      <c r="A6212" s="1" t="inlineStr">
        <is>
          <t>Snack, potato chips, made from dried potatoes, plain</t>
        </is>
      </c>
      <c r="C6212" s="1" t="n">
        <v>55.38</v>
      </c>
      <c r="D6212" s="1" t="n">
        <v>19</v>
      </c>
      <c r="E6212" s="1" t="n">
        <v>0.8</v>
      </c>
      <c r="F6212" s="1" t="n">
        <v>4.62</v>
      </c>
      <c r="G6212" s="1" t="n">
        <v>35.28</v>
      </c>
      <c r="H6212" s="1" t="n">
        <v>0</v>
      </c>
      <c r="I6212" s="1" t="n">
        <v>0.58</v>
      </c>
      <c r="J6212" t="n">
        <v>54440020</v>
      </c>
    </row>
    <row r="6213" ht="15.75" customHeight="1" s="201">
      <c r="A6213" s="1" t="inlineStr">
        <is>
          <t>Snack, Pretzel, hard chocolate coated</t>
        </is>
      </c>
      <c r="C6213" s="1" t="n">
        <v>70.06999999999999</v>
      </c>
      <c r="D6213" s="1" t="n">
        <v>74</v>
      </c>
      <c r="E6213" s="1" t="n">
        <v>2.54</v>
      </c>
      <c r="F6213" s="1" t="n">
        <v>7.05</v>
      </c>
      <c r="G6213" s="1" t="n">
        <v>17.64</v>
      </c>
      <c r="H6213" s="1" t="n">
        <v>83</v>
      </c>
      <c r="I6213" s="1" t="n">
        <v>1.33</v>
      </c>
      <c r="J6213" t="n">
        <v>53108200</v>
      </c>
    </row>
    <row r="6214" ht="15.75" customHeight="1" s="201">
      <c r="A6214" s="1" t="inlineStr">
        <is>
          <t>Snacks, bagel chips, plain</t>
        </is>
      </c>
      <c r="C6214" s="1" t="n">
        <v>66.36</v>
      </c>
      <c r="D6214" s="1" t="n">
        <v>142</v>
      </c>
      <c r="E6214" s="1" t="n">
        <v>5.05</v>
      </c>
      <c r="F6214" s="1" t="n">
        <v>12.34</v>
      </c>
      <c r="G6214" s="1" t="n">
        <v>15.14</v>
      </c>
      <c r="H6214" s="1" t="n">
        <v>0</v>
      </c>
      <c r="I6214" s="1" t="n">
        <v>1</v>
      </c>
      <c r="J6214" t="n">
        <v>54440020</v>
      </c>
    </row>
    <row r="6215" ht="15.75" customHeight="1" s="201">
      <c r="A6215" s="1" t="inlineStr">
        <is>
          <t>Snacks, banana chips</t>
        </is>
      </c>
      <c r="C6215" s="1" t="n">
        <v>58.4</v>
      </c>
      <c r="D6215" s="1" t="n">
        <v>14</v>
      </c>
      <c r="E6215" s="1" t="n">
        <v>1.25</v>
      </c>
      <c r="F6215" s="1" t="n">
        <v>2.3</v>
      </c>
      <c r="G6215" s="1" t="n">
        <v>33.6</v>
      </c>
      <c r="H6215" s="1" t="n">
        <v>83</v>
      </c>
      <c r="I6215" s="1" t="n">
        <v>0.75</v>
      </c>
      <c r="J6215" t="n">
        <v>54440020</v>
      </c>
    </row>
    <row r="6216" ht="15.75" customHeight="1" s="201">
      <c r="A6216" s="1" t="inlineStr">
        <is>
          <t>Snacks, beef jerky, chopped and formed</t>
        </is>
      </c>
      <c r="C6216" s="1" t="n">
        <v>11</v>
      </c>
      <c r="D6216" s="1" t="n">
        <v>134</v>
      </c>
      <c r="E6216" s="1" t="n">
        <v>5.42</v>
      </c>
      <c r="F6216" s="1" t="n">
        <v>33.2</v>
      </c>
      <c r="G6216" s="1" t="n">
        <v>25.6</v>
      </c>
      <c r="H6216" s="1" t="n">
        <v>0</v>
      </c>
      <c r="I6216" s="1" t="n">
        <v>8.109999999999999</v>
      </c>
      <c r="J6216" t="n">
        <v>28110510</v>
      </c>
    </row>
    <row r="6217" ht="15.75" customHeight="1" s="201">
      <c r="A6217" s="1" t="inlineStr">
        <is>
          <t>Snacks, beef sticks, smoked</t>
        </is>
      </c>
      <c r="C6217" s="1" t="n">
        <v>5.4</v>
      </c>
      <c r="D6217" s="1" t="n">
        <v>0</v>
      </c>
      <c r="E6217" s="1" t="n">
        <v>3.4</v>
      </c>
      <c r="F6217" s="1" t="n">
        <v>21.5</v>
      </c>
      <c r="G6217" s="1" t="n">
        <v>49.6</v>
      </c>
      <c r="H6217" s="1" t="n">
        <v>250</v>
      </c>
      <c r="I6217" s="1" t="n">
        <v>2.42</v>
      </c>
      <c r="J6217" t="n">
        <v>28110510</v>
      </c>
    </row>
    <row r="6218" ht="15.75" customHeight="1" s="201">
      <c r="A6218" s="1" t="inlineStr">
        <is>
          <t>Snacks, brown rice chips</t>
        </is>
      </c>
      <c r="C6218" s="1" t="n">
        <v>81.5</v>
      </c>
      <c r="D6218" s="1" t="n">
        <v>21</v>
      </c>
      <c r="E6218" s="1" t="n">
        <v>1.49</v>
      </c>
      <c r="F6218" s="1" t="n">
        <v>8.199999999999999</v>
      </c>
      <c r="G6218" s="1" t="n">
        <v>2.8</v>
      </c>
      <c r="H6218" s="1" t="n">
        <v>2</v>
      </c>
      <c r="I6218" s="1" t="n">
        <v>3</v>
      </c>
      <c r="J6218" t="n">
        <v>54440020</v>
      </c>
    </row>
    <row r="6219" ht="15.75" customHeight="1" s="201">
      <c r="A6219" s="1" t="inlineStr">
        <is>
          <t>Snacks, corn cakes</t>
        </is>
      </c>
      <c r="C6219" s="1" t="n">
        <v>83.40000000000001</v>
      </c>
      <c r="D6219" s="1" t="n">
        <v>19</v>
      </c>
      <c r="E6219" s="1" t="n">
        <v>1.4</v>
      </c>
      <c r="F6219" s="1" t="n">
        <v>8.1</v>
      </c>
      <c r="G6219" s="1" t="n">
        <v>2.4</v>
      </c>
      <c r="H6219" s="1" t="n">
        <v>242</v>
      </c>
      <c r="I6219" s="1" t="n">
        <v>2</v>
      </c>
      <c r="J6219" t="n">
        <v>53109200</v>
      </c>
    </row>
    <row r="6220" ht="15.75" customHeight="1" s="201">
      <c r="A6220" s="1" t="inlineStr">
        <is>
          <t>Snacks, corn cakes, very low sodium</t>
        </is>
      </c>
      <c r="C6220" s="1" t="n">
        <v>83.40000000000001</v>
      </c>
      <c r="D6220" s="1" t="n">
        <v>19</v>
      </c>
      <c r="E6220" s="1" t="n">
        <v>1.4</v>
      </c>
      <c r="F6220" s="1" t="n">
        <v>8.1</v>
      </c>
      <c r="G6220" s="1" t="n">
        <v>2.4</v>
      </c>
      <c r="H6220" s="1" t="n">
        <v>242</v>
      </c>
      <c r="I6220" s="1" t="n">
        <v>2</v>
      </c>
      <c r="J6220" t="n">
        <v>53109200</v>
      </c>
    </row>
    <row r="6221" ht="15.75" customHeight="1" s="201">
      <c r="A6221" s="1" t="inlineStr">
        <is>
          <t>Snacks, corn-based, extruded, chips, barbecue-flavor</t>
        </is>
      </c>
      <c r="C6221" s="1" t="n">
        <v>56.2</v>
      </c>
      <c r="D6221" s="1" t="n">
        <v>39</v>
      </c>
      <c r="E6221" s="1" t="n">
        <v>1.54</v>
      </c>
      <c r="F6221" s="1" t="n">
        <v>7</v>
      </c>
      <c r="G6221" s="1" t="n">
        <v>32.7</v>
      </c>
      <c r="H6221" s="1" t="n">
        <v>611</v>
      </c>
      <c r="I6221" s="1" t="n">
        <v>1.06</v>
      </c>
      <c r="J6221" t="n">
        <v>54440020</v>
      </c>
    </row>
    <row r="6222" ht="15.75" customHeight="1" s="201">
      <c r="A6222" s="1" t="inlineStr">
        <is>
          <t>Snacks, corn-based, extruded, chips, barbecue-flavor, made with enriched masa flour</t>
        </is>
      </c>
      <c r="C6222" s="1" t="n">
        <v>56.2</v>
      </c>
      <c r="D6222" s="1" t="n">
        <v>200</v>
      </c>
      <c r="E6222" s="1" t="n">
        <v>4.9</v>
      </c>
      <c r="F6222" s="1" t="n">
        <v>7</v>
      </c>
      <c r="G6222" s="1" t="n">
        <v>32.7</v>
      </c>
      <c r="H6222" s="1" t="n">
        <v>611</v>
      </c>
      <c r="I6222" s="1" t="n">
        <v>1.06</v>
      </c>
      <c r="J6222" t="n">
        <v>75142550</v>
      </c>
    </row>
    <row r="6223" ht="15.75" customHeight="1" s="201">
      <c r="A6223" s="1" t="inlineStr">
        <is>
          <t>Snacks, corn-based, extruded, chips, plain</t>
        </is>
      </c>
      <c r="C6223" s="1" t="n">
        <v>57.27</v>
      </c>
      <c r="D6223" s="1" t="n">
        <v>8</v>
      </c>
      <c r="E6223" s="1" t="n">
        <v>1.2</v>
      </c>
      <c r="F6223" s="1" t="n">
        <v>6.17</v>
      </c>
      <c r="G6223" s="1" t="n">
        <v>33.36</v>
      </c>
      <c r="H6223" s="1" t="n">
        <v>69</v>
      </c>
      <c r="I6223" s="1" t="n">
        <v>1.29</v>
      </c>
      <c r="J6223" t="n">
        <v>54440020</v>
      </c>
    </row>
    <row r="6224" ht="15.75" customHeight="1" s="201">
      <c r="A6224" s="1" t="inlineStr">
        <is>
          <t>Snacks, corn-based, extruded, chips, unsalted</t>
        </is>
      </c>
      <c r="C6224" s="1" t="n">
        <v>57.4</v>
      </c>
      <c r="D6224" s="1" t="n">
        <v>7</v>
      </c>
      <c r="E6224" s="1" t="n">
        <v>1.7</v>
      </c>
      <c r="F6224" s="1" t="n">
        <v>6.6</v>
      </c>
      <c r="G6224" s="1" t="n">
        <v>33.4</v>
      </c>
      <c r="H6224" s="1" t="n">
        <v>70</v>
      </c>
      <c r="I6224" s="1" t="n">
        <v>0.85</v>
      </c>
      <c r="J6224" t="n">
        <v>54440020</v>
      </c>
    </row>
    <row r="6225" ht="15.75" customHeight="1" s="201">
      <c r="A6225" s="1" t="inlineStr">
        <is>
          <t>Snacks, corn-based, extruded, cones, plain</t>
        </is>
      </c>
      <c r="C6225" s="1" t="n">
        <v>62.9</v>
      </c>
      <c r="D6225" s="1" t="n">
        <v>3</v>
      </c>
      <c r="E6225" s="1" t="n">
        <v>2.54</v>
      </c>
      <c r="F6225" s="1" t="n">
        <v>5.8</v>
      </c>
      <c r="G6225" s="1" t="n">
        <v>26.9</v>
      </c>
      <c r="H6225" s="1" t="n">
        <v>318</v>
      </c>
      <c r="I6225" s="1" t="n">
        <v>0.21</v>
      </c>
      <c r="J6225" t="n">
        <v>54401055</v>
      </c>
    </row>
    <row r="6226" ht="15.75" customHeight="1" s="201">
      <c r="A6226" s="1" t="inlineStr">
        <is>
          <t>Snacks, corn-based, extruded, onion-flavor</t>
        </is>
      </c>
      <c r="C6226" s="1" t="n">
        <v>65.09999999999999</v>
      </c>
      <c r="D6226" s="1" t="n">
        <v>110</v>
      </c>
      <c r="E6226" s="1" t="n">
        <v>3.72</v>
      </c>
      <c r="F6226" s="1" t="n">
        <v>7.7</v>
      </c>
      <c r="G6226" s="1" t="n">
        <v>22.6</v>
      </c>
      <c r="H6226" s="1" t="n">
        <v>120</v>
      </c>
      <c r="I6226" s="1" t="n">
        <v>0.33</v>
      </c>
      <c r="J6226" t="n">
        <v>11440030</v>
      </c>
    </row>
    <row r="6227" ht="15.75" customHeight="1" s="201">
      <c r="A6227" s="1" t="inlineStr">
        <is>
          <t>Snacks, corn-based, extruded, puffs or twists, cheese-flavor</t>
        </is>
      </c>
      <c r="C6227" s="1" t="n">
        <v>54.54</v>
      </c>
      <c r="D6227" s="1" t="n">
        <v>80</v>
      </c>
      <c r="E6227" s="1" t="n">
        <v>1.69</v>
      </c>
      <c r="F6227" s="1" t="n">
        <v>5.46</v>
      </c>
      <c r="G6227" s="1" t="n">
        <v>36.54</v>
      </c>
      <c r="H6227" s="1" t="n">
        <v>95</v>
      </c>
      <c r="I6227" s="1" t="n">
        <v>0.37</v>
      </c>
      <c r="J6227" t="n">
        <v>54401055</v>
      </c>
    </row>
    <row r="6228" ht="15.75" customHeight="1" s="201">
      <c r="A6228" s="1" t="inlineStr">
        <is>
          <t>Snacks, corn-based, extruded, puffs or twists, cheese-flavor, unenriched</t>
        </is>
      </c>
      <c r="C6228" s="1" t="n">
        <v>54.1</v>
      </c>
      <c r="D6228" s="1" t="n">
        <v>120</v>
      </c>
      <c r="E6228" s="1" t="n">
        <v>1.1</v>
      </c>
      <c r="F6228" s="1" t="n">
        <v>5.76</v>
      </c>
      <c r="G6228" s="1" t="n">
        <v>35.76</v>
      </c>
      <c r="H6228" s="1" t="n">
        <v>0</v>
      </c>
      <c r="I6228" s="1" t="n">
        <v>0.6</v>
      </c>
      <c r="J6228" t="n">
        <v>54401055</v>
      </c>
    </row>
    <row r="6229" ht="15.75" customHeight="1" s="201">
      <c r="A6229" s="1" t="inlineStr">
        <is>
          <t>Snacks, cornnuts, barbecue-flavor</t>
        </is>
      </c>
      <c r="C6229" s="1" t="n">
        <v>71.7</v>
      </c>
      <c r="D6229" s="1" t="n">
        <v>0</v>
      </c>
      <c r="E6229" s="1" t="n">
        <v>1.7</v>
      </c>
      <c r="F6229" s="1" t="n">
        <v>9</v>
      </c>
      <c r="G6229" s="1" t="n">
        <v>14.3</v>
      </c>
      <c r="H6229" s="1" t="n">
        <v>338</v>
      </c>
      <c r="I6229" s="1" t="n">
        <v>1.88</v>
      </c>
      <c r="J6229" t="n">
        <v>91708030</v>
      </c>
    </row>
    <row r="6230" ht="15.75" customHeight="1" s="201">
      <c r="A6230" s="1" t="inlineStr">
        <is>
          <t>Snacks, crisped rice bar, almond</t>
        </is>
      </c>
      <c r="C6230" s="1" t="n">
        <v>64.59999999999999</v>
      </c>
      <c r="D6230" s="1" t="n">
        <v>0</v>
      </c>
      <c r="E6230" s="1" t="n">
        <v>6.35</v>
      </c>
      <c r="F6230" s="1" t="n">
        <v>7</v>
      </c>
      <c r="G6230" s="1" t="n">
        <v>20.4</v>
      </c>
      <c r="H6230" s="1" t="n">
        <v>2645</v>
      </c>
      <c r="I6230" s="1" t="n">
        <v>5.29</v>
      </c>
      <c r="J6230" t="n">
        <v>54319000</v>
      </c>
    </row>
    <row r="6231" ht="15.75" customHeight="1" s="201">
      <c r="A6231" s="1" t="inlineStr">
        <is>
          <t>Snacks, crisped rice bar, chocolate chip</t>
        </is>
      </c>
      <c r="C6231" s="1" t="n">
        <v>73</v>
      </c>
      <c r="D6231" s="1" t="n">
        <v>140</v>
      </c>
      <c r="E6231" s="1" t="n">
        <v>6.3</v>
      </c>
      <c r="F6231" s="1" t="n">
        <v>5.1</v>
      </c>
      <c r="G6231" s="1" t="n">
        <v>13.5</v>
      </c>
      <c r="H6231" s="1" t="n">
        <v>1764</v>
      </c>
      <c r="I6231" s="1" t="n">
        <v>0.86</v>
      </c>
      <c r="J6231" t="n">
        <v>53108200</v>
      </c>
    </row>
    <row r="6232" ht="15.75" customHeight="1" s="201">
      <c r="A6232" s="1" t="inlineStr">
        <is>
          <t>Snacks, FARLEY CANDY, FARLEY Fruit Snacks, with vitamins A, C, and E</t>
        </is>
      </c>
      <c r="C6232" s="1" t="n">
        <v>80.90000000000001</v>
      </c>
      <c r="F6232" s="1" t="n">
        <v>4.4</v>
      </c>
      <c r="G6232" s="1" t="n">
        <v>0</v>
      </c>
      <c r="H6232" s="1" t="n">
        <v>5436</v>
      </c>
      <c r="J6232" t="n">
        <v>91708030</v>
      </c>
    </row>
    <row r="6233" ht="15.75" customHeight="1" s="201">
      <c r="A6233" s="1" t="inlineStr">
        <is>
          <t>Snacks, fruit leather, pieces</t>
        </is>
      </c>
      <c r="C6233" s="1" t="n">
        <v>82.81999999999999</v>
      </c>
      <c r="D6233" s="1" t="n">
        <v>4</v>
      </c>
      <c r="E6233" s="1" t="n">
        <v>0.75</v>
      </c>
      <c r="F6233" s="1" t="n">
        <v>1</v>
      </c>
      <c r="G6233" s="1" t="n">
        <v>2.68</v>
      </c>
      <c r="H6233" s="1" t="n">
        <v>58</v>
      </c>
      <c r="I6233" s="1" t="n">
        <v>0.19</v>
      </c>
      <c r="J6233" t="n">
        <v>91708030</v>
      </c>
    </row>
    <row r="6234" ht="15.75" customHeight="1" s="201">
      <c r="A6234" s="1" t="inlineStr">
        <is>
          <t>Snacks, fruit leather, pieces, with vitamin C</t>
        </is>
      </c>
      <c r="C6234" s="1" t="n">
        <v>85.2</v>
      </c>
      <c r="D6234" s="1" t="n">
        <v>14</v>
      </c>
      <c r="E6234" s="1" t="n">
        <v>0.75</v>
      </c>
      <c r="F6234" s="1" t="n">
        <v>0.1</v>
      </c>
      <c r="G6234" s="1" t="n">
        <v>3.5</v>
      </c>
      <c r="H6234" s="1" t="n">
        <v>116</v>
      </c>
      <c r="I6234" s="1" t="n">
        <v>0.19</v>
      </c>
      <c r="J6234" t="n">
        <v>91708030</v>
      </c>
    </row>
    <row r="6235" ht="15.75" customHeight="1" s="201">
      <c r="A6235" s="1" t="inlineStr">
        <is>
          <t>Snacks, fruit leather, rolls</t>
        </is>
      </c>
      <c r="C6235" s="1" t="n">
        <v>85.8</v>
      </c>
      <c r="D6235" s="1" t="n">
        <v>2</v>
      </c>
      <c r="E6235" s="1" t="n">
        <v>1.01</v>
      </c>
      <c r="F6235" s="1" t="n">
        <v>0.1</v>
      </c>
      <c r="G6235" s="1" t="n">
        <v>3</v>
      </c>
      <c r="H6235" s="1" t="n">
        <v>57</v>
      </c>
      <c r="I6235" s="1" t="n">
        <v>0.19</v>
      </c>
      <c r="J6235" t="n">
        <v>91708030</v>
      </c>
    </row>
    <row r="6236" ht="15.75" customHeight="1" s="201">
      <c r="A6236" s="1" t="inlineStr">
        <is>
          <t>Snacks, GENERAL MILLS, BETTY CROCKER Fruit Roll Ups, berry flavored, with vitamin C</t>
        </is>
      </c>
      <c r="C6236" s="1" t="n">
        <v>85.2</v>
      </c>
      <c r="F6236" s="1" t="n">
        <v>0.1</v>
      </c>
      <c r="G6236" s="1" t="n">
        <v>3.5</v>
      </c>
      <c r="J6236" t="n">
        <v>91708030</v>
      </c>
    </row>
    <row r="6237" ht="15.75" customHeight="1" s="201">
      <c r="A6237" s="1" t="inlineStr">
        <is>
          <t>Snacks, granola bar, chewy, reduced sugar, all flavors</t>
        </is>
      </c>
      <c r="C6237" s="1" t="n">
        <v>69.40000000000001</v>
      </c>
      <c r="D6237" s="1" t="n">
        <v>17</v>
      </c>
      <c r="E6237" s="1" t="n">
        <v>2.03</v>
      </c>
      <c r="F6237" s="1" t="n">
        <v>5.55</v>
      </c>
      <c r="G6237" s="1" t="n">
        <v>12.5</v>
      </c>
      <c r="H6237" s="1" t="n">
        <v>1</v>
      </c>
      <c r="I6237" s="1" t="n">
        <v>1.34</v>
      </c>
      <c r="J6237" t="n">
        <v>53711004</v>
      </c>
    </row>
    <row r="6238" ht="15.75" customHeight="1" s="201">
      <c r="A6238" s="1" t="inlineStr">
        <is>
          <t>Snacks, granola bar, fruit-filled, nonfat</t>
        </is>
      </c>
      <c r="C6238" s="1" t="n">
        <v>77.59999999999999</v>
      </c>
      <c r="D6238" s="1" t="n">
        <v>316</v>
      </c>
      <c r="E6238" s="1" t="n">
        <v>4</v>
      </c>
      <c r="F6238" s="1" t="n">
        <v>5.9</v>
      </c>
      <c r="G6238" s="1" t="n">
        <v>0.9</v>
      </c>
      <c r="H6238" s="1" t="n">
        <v>28</v>
      </c>
      <c r="I6238" s="1" t="n">
        <v>1.42</v>
      </c>
      <c r="J6238" t="n">
        <v>91708030</v>
      </c>
    </row>
    <row r="6239" ht="15.75" customHeight="1" s="201">
      <c r="A6239" s="1" t="inlineStr">
        <is>
          <t>Snacks, granola bar, GENERAL MILLS, NATURE VALLEY, CHEWY TRAIL MIX</t>
        </is>
      </c>
      <c r="C6239" s="1" t="n">
        <v>72.27</v>
      </c>
      <c r="D6239" s="1" t="n">
        <v>92</v>
      </c>
      <c r="E6239" s="1" t="n">
        <v>8.710000000000001</v>
      </c>
      <c r="F6239" s="1" t="n">
        <v>5.71</v>
      </c>
      <c r="G6239" s="1" t="n">
        <v>11.43</v>
      </c>
      <c r="H6239" s="1" t="n">
        <v>1007</v>
      </c>
      <c r="I6239" s="1" t="n">
        <v>1.35</v>
      </c>
      <c r="J6239" t="n">
        <v>53710906</v>
      </c>
    </row>
    <row r="6240" ht="15.75" customHeight="1" s="201">
      <c r="A6240" s="1" t="inlineStr">
        <is>
          <t>Snacks, granola bar, KASHI GOLEAN, crunchy, mixed flavors</t>
        </is>
      </c>
      <c r="C6240" s="1" t="n">
        <v>59.58</v>
      </c>
      <c r="D6240" s="1" t="n">
        <v>215</v>
      </c>
      <c r="E6240" s="1" t="n">
        <v>5.2</v>
      </c>
      <c r="F6240" s="1" t="n">
        <v>17.88</v>
      </c>
      <c r="G6240" s="1" t="n">
        <v>9.23</v>
      </c>
      <c r="H6240" s="1" t="n">
        <v>179</v>
      </c>
      <c r="I6240" s="1" t="n">
        <v>4.83</v>
      </c>
      <c r="J6240" t="n">
        <v>91708100</v>
      </c>
    </row>
    <row r="6241" ht="15.75" customHeight="1" s="201">
      <c r="A6241" s="1" t="inlineStr">
        <is>
          <t>Snacks, granola bar, QUAKER, DIPPS, all flavors</t>
        </is>
      </c>
      <c r="C6241" s="1" t="n">
        <v>64.95999999999999</v>
      </c>
      <c r="D6241" s="1" t="n">
        <v>12</v>
      </c>
      <c r="E6241" s="1" t="n">
        <v>1.16</v>
      </c>
      <c r="F6241" s="1" t="n">
        <v>7.52</v>
      </c>
      <c r="G6241" s="1" t="n">
        <v>20.42</v>
      </c>
      <c r="H6241" s="1" t="n">
        <v>15</v>
      </c>
      <c r="I6241" s="1" t="n">
        <v>1.2</v>
      </c>
      <c r="J6241" t="n">
        <v>53711002</v>
      </c>
    </row>
    <row r="6242" ht="15.75" customHeight="1" s="201">
      <c r="A6242" s="1" t="inlineStr">
        <is>
          <t>Snacks, granola bar, with coconut, chocolate coated</t>
        </is>
      </c>
      <c r="C6242" s="1" t="n">
        <v>55.2</v>
      </c>
      <c r="D6242" s="1" t="n">
        <v>9</v>
      </c>
      <c r="E6242" s="1" t="n">
        <v>1.75</v>
      </c>
      <c r="F6242" s="1" t="n">
        <v>5.2</v>
      </c>
      <c r="G6242" s="1" t="n">
        <v>32.2</v>
      </c>
      <c r="H6242" s="1" t="n">
        <v>0</v>
      </c>
      <c r="I6242" s="1" t="n">
        <v>1.17</v>
      </c>
      <c r="J6242" t="n">
        <v>53108200</v>
      </c>
    </row>
    <row r="6243" ht="15.75" customHeight="1" s="201">
      <c r="A6243" s="1" t="inlineStr">
        <is>
          <t>Snacks, granola bars, hard, almond</t>
        </is>
      </c>
      <c r="C6243" s="1" t="n">
        <v>62</v>
      </c>
      <c r="D6243" s="1" t="n">
        <v>12</v>
      </c>
      <c r="E6243" s="1" t="n">
        <v>2.5</v>
      </c>
      <c r="F6243" s="1" t="n">
        <v>7.7</v>
      </c>
      <c r="G6243" s="1" t="n">
        <v>25.5</v>
      </c>
      <c r="H6243" s="1" t="n">
        <v>37</v>
      </c>
      <c r="I6243" s="1" t="n">
        <v>1.58</v>
      </c>
      <c r="J6243" t="n">
        <v>91708030</v>
      </c>
    </row>
    <row r="6244" ht="15.75" customHeight="1" s="201">
      <c r="A6244" s="1" t="inlineStr">
        <is>
          <t>Snacks, granola bars, hard, chocolate chip</t>
        </is>
      </c>
      <c r="C6244" s="1" t="n">
        <v>72.09999999999999</v>
      </c>
      <c r="D6244" s="1" t="n">
        <v>13</v>
      </c>
      <c r="E6244" s="1" t="n">
        <v>3.05</v>
      </c>
      <c r="F6244" s="1" t="n">
        <v>7.3</v>
      </c>
      <c r="G6244" s="1" t="n">
        <v>16.3</v>
      </c>
      <c r="H6244" s="1" t="n">
        <v>42</v>
      </c>
      <c r="I6244" s="1" t="n">
        <v>1.93</v>
      </c>
      <c r="J6244" t="n">
        <v>53108200</v>
      </c>
    </row>
    <row r="6245" ht="15.75" customHeight="1" s="201">
      <c r="A6245" s="1" t="inlineStr">
        <is>
          <t>Snacks, granola bars, hard, peanut butter</t>
        </is>
      </c>
      <c r="C6245" s="1" t="n">
        <v>62.3</v>
      </c>
      <c r="D6245" s="1" t="n">
        <v>18</v>
      </c>
      <c r="E6245" s="1" t="n">
        <v>2.4</v>
      </c>
      <c r="F6245" s="1" t="n">
        <v>9.800000000000001</v>
      </c>
      <c r="G6245" s="1" t="n">
        <v>23.8</v>
      </c>
      <c r="H6245" s="1" t="n">
        <v>16</v>
      </c>
      <c r="I6245" s="1" t="n">
        <v>1.25</v>
      </c>
      <c r="J6245" t="n">
        <v>91734000</v>
      </c>
    </row>
    <row r="6246" ht="15.75" customHeight="1" s="201">
      <c r="A6246" s="1" t="inlineStr">
        <is>
          <t>Snacks, granola bars, hard, plain</t>
        </is>
      </c>
      <c r="C6246" s="1" t="n">
        <v>64.40000000000001</v>
      </c>
      <c r="D6246" s="1" t="n">
        <v>23</v>
      </c>
      <c r="E6246" s="1" t="n">
        <v>2.95</v>
      </c>
      <c r="F6246" s="1" t="n">
        <v>10.1</v>
      </c>
      <c r="G6246" s="1" t="n">
        <v>19.8</v>
      </c>
      <c r="H6246" s="1" t="n">
        <v>33</v>
      </c>
      <c r="I6246" s="1" t="n">
        <v>2.03</v>
      </c>
      <c r="J6246" t="n">
        <v>91708030</v>
      </c>
    </row>
    <row r="6247" ht="15.75" customHeight="1" s="201">
      <c r="A6247" s="1" t="inlineStr">
        <is>
          <t>Snacks, granola bars, soft, almond, confectioners coating</t>
        </is>
      </c>
      <c r="C6247" s="1" t="n">
        <v>60.13</v>
      </c>
      <c r="D6247" s="1" t="n">
        <v>18</v>
      </c>
      <c r="E6247" s="1" t="n">
        <v>1.49</v>
      </c>
      <c r="F6247" s="1" t="n">
        <v>8.6</v>
      </c>
      <c r="G6247" s="1" t="n">
        <v>20</v>
      </c>
      <c r="H6247" s="1" t="n">
        <v>19</v>
      </c>
      <c r="I6247" s="1" t="n">
        <v>1.41</v>
      </c>
      <c r="J6247" t="n">
        <v>91708030</v>
      </c>
    </row>
    <row r="6248" ht="15.75" customHeight="1" s="201">
      <c r="A6248" s="1" t="inlineStr">
        <is>
          <t>Snacks, granola bars, soft, coated, milk chocolate coating, chocolate chip</t>
        </is>
      </c>
      <c r="C6248" s="1" t="n">
        <v>63.8</v>
      </c>
      <c r="D6248" s="1" t="n">
        <v>26</v>
      </c>
      <c r="E6248" s="1" t="n">
        <v>2.33</v>
      </c>
      <c r="F6248" s="1" t="n">
        <v>5.8</v>
      </c>
      <c r="G6248" s="1" t="n">
        <v>24.9</v>
      </c>
      <c r="H6248" s="1" t="n">
        <v>39</v>
      </c>
      <c r="I6248" s="1" t="n">
        <v>1.3</v>
      </c>
      <c r="J6248" t="n">
        <v>53108200</v>
      </c>
    </row>
    <row r="6249" ht="15.75" customHeight="1" s="201">
      <c r="A6249" s="1" t="inlineStr">
        <is>
          <t>Snacks, granola bars, soft, coated, milk chocolate coating, peanut butter</t>
        </is>
      </c>
      <c r="C6249" s="1" t="n">
        <v>53.4</v>
      </c>
      <c r="D6249" s="1" t="n">
        <v>25</v>
      </c>
      <c r="E6249" s="1" t="n">
        <v>1.45</v>
      </c>
      <c r="F6249" s="1" t="n">
        <v>10.2</v>
      </c>
      <c r="G6249" s="1" t="n">
        <v>31.1</v>
      </c>
      <c r="H6249" s="1" t="n">
        <v>25</v>
      </c>
      <c r="I6249" s="1" t="n">
        <v>1.47</v>
      </c>
      <c r="J6249" t="n">
        <v>53108200</v>
      </c>
    </row>
    <row r="6250" ht="15.75" customHeight="1" s="201">
      <c r="A6250" s="1" t="inlineStr">
        <is>
          <t>Snacks, granola bars, soft, uncoated, chocolate chip</t>
        </is>
      </c>
      <c r="C6250" s="1" t="n">
        <v>70.2</v>
      </c>
      <c r="D6250" s="1" t="n">
        <v>16</v>
      </c>
      <c r="E6250" s="1" t="n">
        <v>2.19</v>
      </c>
      <c r="F6250" s="1" t="n">
        <v>5.65</v>
      </c>
      <c r="G6250" s="1" t="n">
        <v>16.57</v>
      </c>
      <c r="H6250" s="1" t="n">
        <v>0</v>
      </c>
      <c r="I6250" s="1" t="n">
        <v>1.3</v>
      </c>
      <c r="J6250" t="n">
        <v>53108200</v>
      </c>
    </row>
    <row r="6251" ht="15.75" customHeight="1" s="201">
      <c r="A6251" s="1" t="inlineStr">
        <is>
          <t>Snacks, granola bars, soft, uncoated, chocolate chip, graham and marshmallow</t>
        </is>
      </c>
      <c r="C6251" s="1" t="n">
        <v>70.8</v>
      </c>
      <c r="D6251" s="1" t="n">
        <v>21</v>
      </c>
      <c r="E6251" s="1" t="n">
        <v>2.57</v>
      </c>
      <c r="F6251" s="1" t="n">
        <v>6.1</v>
      </c>
      <c r="G6251" s="1" t="n">
        <v>15.5</v>
      </c>
      <c r="H6251" s="1" t="n">
        <v>47</v>
      </c>
      <c r="I6251" s="1" t="n">
        <v>1.3</v>
      </c>
      <c r="J6251" t="n">
        <v>53108200</v>
      </c>
    </row>
    <row r="6252" ht="15.75" customHeight="1" s="201">
      <c r="A6252" s="1" t="inlineStr">
        <is>
          <t>Snacks, granola bars, soft, uncoated, nut and raisin</t>
        </is>
      </c>
      <c r="C6252" s="1" t="n">
        <v>63.6</v>
      </c>
      <c r="D6252" s="1" t="n">
        <v>30</v>
      </c>
      <c r="E6252" s="1" t="n">
        <v>2.18</v>
      </c>
      <c r="F6252" s="1" t="n">
        <v>8</v>
      </c>
      <c r="G6252" s="1" t="n">
        <v>20.4</v>
      </c>
      <c r="H6252" s="1" t="n">
        <v>41</v>
      </c>
      <c r="I6252" s="1" t="n">
        <v>1.6</v>
      </c>
      <c r="J6252" t="n">
        <v>91708030</v>
      </c>
    </row>
    <row r="6253" ht="15.75" customHeight="1" s="201">
      <c r="A6253" s="1" t="inlineStr">
        <is>
          <t>Snacks, granola bars, soft, uncoated, peanut butter</t>
        </is>
      </c>
      <c r="C6253" s="1" t="n">
        <v>64.40000000000001</v>
      </c>
      <c r="D6253" s="1" t="n">
        <v>32</v>
      </c>
      <c r="E6253" s="1" t="n">
        <v>2.13</v>
      </c>
      <c r="F6253" s="1" t="n">
        <v>10.5</v>
      </c>
      <c r="G6253" s="1" t="n">
        <v>15.8</v>
      </c>
      <c r="H6253" s="1" t="n">
        <v>14</v>
      </c>
      <c r="I6253" s="1" t="n">
        <v>1.86</v>
      </c>
      <c r="J6253" t="n">
        <v>91734000</v>
      </c>
    </row>
    <row r="6254" ht="15.75" customHeight="1" s="201">
      <c r="A6254" s="1" t="inlineStr">
        <is>
          <t>Snacks, granola bars, soft, uncoated, peanut butter and chocolate chip</t>
        </is>
      </c>
      <c r="C6254" s="1" t="n">
        <v>62.2</v>
      </c>
      <c r="D6254" s="1" t="n">
        <v>33</v>
      </c>
      <c r="E6254" s="1" t="n">
        <v>1.94</v>
      </c>
      <c r="F6254" s="1" t="n">
        <v>9.800000000000001</v>
      </c>
      <c r="G6254" s="1" t="n">
        <v>20</v>
      </c>
      <c r="H6254" s="1" t="n">
        <v>12</v>
      </c>
      <c r="I6254" s="1" t="n">
        <v>1.7</v>
      </c>
      <c r="J6254" t="n">
        <v>53108200</v>
      </c>
    </row>
    <row r="6255" ht="15.75" customHeight="1" s="201">
      <c r="A6255" s="1" t="inlineStr">
        <is>
          <t>Snacks, granola bars, soft, uncoated, plain</t>
        </is>
      </c>
      <c r="C6255" s="1" t="n">
        <v>67.3</v>
      </c>
      <c r="D6255" s="1" t="n">
        <v>24</v>
      </c>
      <c r="E6255" s="1" t="n">
        <v>2.56</v>
      </c>
      <c r="F6255" s="1" t="n">
        <v>7.4</v>
      </c>
      <c r="G6255" s="1" t="n">
        <v>17.2</v>
      </c>
      <c r="H6255" s="1" t="n">
        <v>0</v>
      </c>
      <c r="I6255" s="1" t="n">
        <v>1.5</v>
      </c>
      <c r="J6255" t="n">
        <v>91708030</v>
      </c>
    </row>
    <row r="6256" ht="15.75" customHeight="1" s="201">
      <c r="A6256" s="1" t="inlineStr">
        <is>
          <t>Snacks, granola bars, soft, uncoated, raisin</t>
        </is>
      </c>
      <c r="C6256" s="1" t="n">
        <v>66.40000000000001</v>
      </c>
      <c r="D6256" s="1" t="n">
        <v>21</v>
      </c>
      <c r="E6256" s="1" t="n">
        <v>2.44</v>
      </c>
      <c r="F6256" s="1" t="n">
        <v>7.6</v>
      </c>
      <c r="G6256" s="1" t="n">
        <v>17.8</v>
      </c>
      <c r="H6256" s="1" t="n">
        <v>0</v>
      </c>
      <c r="I6256" s="1" t="n">
        <v>1.3</v>
      </c>
      <c r="J6256" t="n">
        <v>91708030</v>
      </c>
    </row>
    <row r="6257" ht="15.75" customHeight="1" s="201">
      <c r="A6257" s="1" t="inlineStr">
        <is>
          <t>Snacks, granola bites, mixed flavors</t>
        </is>
      </c>
      <c r="C6257" s="1" t="n">
        <v>66.27</v>
      </c>
      <c r="D6257" s="1" t="n">
        <v>33</v>
      </c>
      <c r="E6257" s="1" t="n">
        <v>1.56</v>
      </c>
      <c r="F6257" s="1" t="n">
        <v>7.17</v>
      </c>
      <c r="G6257" s="1" t="n">
        <v>17.5</v>
      </c>
      <c r="H6257" s="1" t="n">
        <v>10</v>
      </c>
      <c r="I6257" s="1" t="n">
        <v>1.92</v>
      </c>
      <c r="J6257" t="n">
        <v>91708100</v>
      </c>
    </row>
    <row r="6258" ht="15.75" customHeight="1" s="201">
      <c r="A6258" s="1" t="inlineStr">
        <is>
          <t>Snacks, KELLOGG, KELLOGG'S Low Fat Granola Bar, Crunchy Almond/Brown Sugar</t>
        </is>
      </c>
      <c r="C6258" s="1" t="n">
        <v>78</v>
      </c>
      <c r="D6258" s="1" t="n">
        <v>0</v>
      </c>
      <c r="E6258" s="1" t="n">
        <v>8.6</v>
      </c>
      <c r="F6258" s="1" t="n">
        <v>8</v>
      </c>
      <c r="G6258" s="1" t="n">
        <v>7.4</v>
      </c>
      <c r="H6258" s="1" t="n">
        <v>2381</v>
      </c>
      <c r="I6258" s="1" t="n">
        <v>2.2</v>
      </c>
      <c r="J6258" t="n">
        <v>91708100</v>
      </c>
    </row>
    <row r="6259" ht="15.75" customHeight="1" s="201">
      <c r="A6259" s="1" t="inlineStr">
        <is>
          <t>Snacks, KELLOGG, KELLOGG'S RICE KRISPIES TREATS Squares</t>
        </is>
      </c>
      <c r="C6259" s="1" t="n">
        <v>80.5</v>
      </c>
      <c r="D6259" s="1" t="n">
        <v>241</v>
      </c>
      <c r="E6259" s="1" t="n">
        <v>2.2</v>
      </c>
      <c r="F6259" s="1" t="n">
        <v>3.4</v>
      </c>
      <c r="G6259" s="1" t="n">
        <v>9</v>
      </c>
      <c r="H6259" s="1" t="n">
        <v>900</v>
      </c>
      <c r="I6259" s="1" t="n">
        <v>0.5</v>
      </c>
      <c r="J6259" t="n">
        <v>91708100</v>
      </c>
    </row>
    <row r="6260" ht="15.75" customHeight="1" s="201">
      <c r="A6260" s="1" t="inlineStr">
        <is>
          <t>Snacks, KELLOGG, KELLOGG'S, NUTRI-GRAIN Cereal Bars, fruit</t>
        </is>
      </c>
      <c r="C6260" s="1" t="n">
        <v>67.61</v>
      </c>
      <c r="D6260" s="1" t="n">
        <v>14</v>
      </c>
      <c r="E6260" s="1" t="n">
        <v>6.14</v>
      </c>
      <c r="F6260" s="1" t="n">
        <v>4.22</v>
      </c>
      <c r="G6260" s="1" t="n">
        <v>8.67</v>
      </c>
      <c r="H6260" s="1" t="n">
        <v>2028</v>
      </c>
      <c r="I6260" s="1" t="n">
        <v>5.24</v>
      </c>
      <c r="J6260" t="n">
        <v>91708030</v>
      </c>
    </row>
    <row r="6261" ht="15.75" customHeight="1" s="201">
      <c r="A6261" s="1" t="inlineStr">
        <is>
          <t>Snacks, KRAFT, CORNNUTS, plain</t>
        </is>
      </c>
      <c r="C6261" s="1" t="n">
        <v>71.86</v>
      </c>
      <c r="D6261" s="1" t="n">
        <v>0</v>
      </c>
      <c r="E6261" s="1" t="n">
        <v>1.67</v>
      </c>
      <c r="F6261" s="1" t="n">
        <v>8.5</v>
      </c>
      <c r="G6261" s="1" t="n">
        <v>15.64</v>
      </c>
      <c r="H6261" s="1" t="n">
        <v>0</v>
      </c>
      <c r="I6261" s="1" t="n">
        <v>1.78</v>
      </c>
      <c r="J6261" t="n">
        <v>91708030</v>
      </c>
    </row>
    <row r="6262" ht="15.75" customHeight="1" s="201">
      <c r="A6262" s="1" t="inlineStr">
        <is>
          <t>Snacks, M&amp;M MARS, COMBOS Snacks Cheddar Cheese Pretzel</t>
        </is>
      </c>
      <c r="C6262" s="1" t="n">
        <v>66.5</v>
      </c>
      <c r="D6262" s="1" t="n">
        <v>8</v>
      </c>
      <c r="E6262" s="1" t="n">
        <v>0.92</v>
      </c>
      <c r="F6262" s="1" t="n">
        <v>9.85</v>
      </c>
      <c r="G6262" s="1" t="n">
        <v>16.92</v>
      </c>
      <c r="H6262" s="1" t="n">
        <v>213</v>
      </c>
      <c r="I6262" s="1" t="n">
        <v>0.73</v>
      </c>
      <c r="J6262" t="n">
        <v>91708030</v>
      </c>
    </row>
    <row r="6263" ht="15.75" customHeight="1" s="201">
      <c r="A6263" s="1" t="inlineStr">
        <is>
          <t>Snacks, M&amp;M MARS, KUDOS Whole Grain Bar, chocolate chip</t>
        </is>
      </c>
      <c r="C6263" s="1" t="n">
        <v>72.31</v>
      </c>
      <c r="D6263" s="1" t="n">
        <v>13</v>
      </c>
      <c r="E6263" s="1" t="n">
        <v>1.4</v>
      </c>
      <c r="F6263" s="1" t="n">
        <v>4.47</v>
      </c>
      <c r="G6263" s="1" t="n">
        <v>13.02</v>
      </c>
      <c r="H6263" s="1" t="n">
        <v>57</v>
      </c>
      <c r="I6263" s="1" t="n">
        <v>1.41</v>
      </c>
      <c r="J6263" t="n">
        <v>53108200</v>
      </c>
    </row>
    <row r="6264" ht="15.75" customHeight="1" s="201">
      <c r="A6264" s="1" t="inlineStr">
        <is>
          <t>Snacks, M&amp;M MARS, KUDOS Whole Grain Bar, M&amp;M's milk chocolate</t>
        </is>
      </c>
      <c r="C6264" s="1" t="n">
        <v>73.01000000000001</v>
      </c>
      <c r="E6264" s="1" t="n">
        <v>0.85</v>
      </c>
      <c r="F6264" s="1" t="n">
        <v>3.78</v>
      </c>
      <c r="G6264" s="1" t="n">
        <v>11.95</v>
      </c>
      <c r="H6264" s="1" t="n">
        <v>51</v>
      </c>
      <c r="J6264" t="n">
        <v>53108200</v>
      </c>
    </row>
    <row r="6265" ht="15.75" customHeight="1" s="201">
      <c r="A6265" s="1" t="inlineStr">
        <is>
          <t>Snacks, M&amp;M MARS, KUDOS Whole Grain Bars, peanut butter</t>
        </is>
      </c>
      <c r="C6265" s="1" t="n">
        <v>64.69</v>
      </c>
      <c r="E6265" s="1" t="n">
        <v>0.89</v>
      </c>
      <c r="F6265" s="1" t="n">
        <v>5.88</v>
      </c>
      <c r="G6265" s="1" t="n">
        <v>20.78</v>
      </c>
      <c r="H6265" s="1" t="n">
        <v>71</v>
      </c>
      <c r="J6265" t="n">
        <v>91734000</v>
      </c>
    </row>
    <row r="6266" ht="15.75" customHeight="1" s="201">
      <c r="A6266" s="1" t="inlineStr">
        <is>
          <t>Snacks, NUTRI-GRAIN FRUIT AND NUT BAR</t>
        </is>
      </c>
      <c r="C6266" s="1" t="n">
        <v>66.72</v>
      </c>
      <c r="D6266" s="1" t="n">
        <v>127</v>
      </c>
      <c r="E6266" s="1" t="n">
        <v>5.65</v>
      </c>
      <c r="F6266" s="1" t="n">
        <v>9.380000000000001</v>
      </c>
      <c r="G6266" s="1" t="n">
        <v>10.93</v>
      </c>
      <c r="H6266" s="1" t="n">
        <v>896</v>
      </c>
      <c r="I6266" s="1" t="n">
        <v>3.28</v>
      </c>
      <c r="J6266" t="n">
        <v>91708030</v>
      </c>
    </row>
    <row r="6267" ht="15.75" customHeight="1" s="201">
      <c r="A6267" s="1" t="inlineStr">
        <is>
          <t>Snacks, oriental mix, rice-based</t>
        </is>
      </c>
      <c r="C6267" s="1" t="n">
        <v>51.62</v>
      </c>
      <c r="D6267" s="1" t="n">
        <v>38</v>
      </c>
      <c r="E6267" s="1" t="n">
        <v>2.44</v>
      </c>
      <c r="F6267" s="1" t="n">
        <v>17.31</v>
      </c>
      <c r="G6267" s="1" t="n">
        <v>25.58</v>
      </c>
      <c r="H6267" s="1" t="n">
        <v>0</v>
      </c>
      <c r="I6267" s="1" t="n">
        <v>2.66</v>
      </c>
      <c r="J6267" t="n">
        <v>58163410</v>
      </c>
    </row>
    <row r="6268" ht="15.75" customHeight="1" s="201">
      <c r="A6268" s="1" t="inlineStr">
        <is>
          <t>Snacks, peas, roasted, wasabi-flavored</t>
        </is>
      </c>
      <c r="C6268" s="1" t="n">
        <v>62.2</v>
      </c>
      <c r="D6268" s="1" t="n">
        <v>138</v>
      </c>
      <c r="E6268" s="1" t="n">
        <v>3.8</v>
      </c>
      <c r="F6268" s="1" t="n">
        <v>14.11</v>
      </c>
      <c r="G6268" s="1" t="n">
        <v>14.11</v>
      </c>
      <c r="H6268" s="1" t="n">
        <v>1537</v>
      </c>
      <c r="I6268" s="1" t="n">
        <v>3.31</v>
      </c>
      <c r="J6268" t="n">
        <v>91708030</v>
      </c>
    </row>
    <row r="6269" ht="15.75" customHeight="1" s="201">
      <c r="A6269" s="1" t="inlineStr">
        <is>
          <t>Snacks, pita chips, salted</t>
        </is>
      </c>
      <c r="C6269" s="1" t="n">
        <v>68.26000000000001</v>
      </c>
      <c r="D6269" s="1" t="n">
        <v>135</v>
      </c>
      <c r="E6269" s="1" t="n">
        <v>4.59</v>
      </c>
      <c r="F6269" s="1" t="n">
        <v>11.79</v>
      </c>
      <c r="G6269" s="1" t="n">
        <v>15.2</v>
      </c>
      <c r="H6269" s="1" t="n">
        <v>0</v>
      </c>
      <c r="I6269" s="1" t="n">
        <v>0.96</v>
      </c>
      <c r="J6269" t="n">
        <v>54440020</v>
      </c>
    </row>
    <row r="6270" ht="15.75" customHeight="1" s="201">
      <c r="A6270" s="1" t="inlineStr">
        <is>
          <t>Snacks, plantain chips, salted</t>
        </is>
      </c>
      <c r="C6270" s="1" t="n">
        <v>63.84</v>
      </c>
      <c r="D6270" s="1" t="n">
        <v>35</v>
      </c>
      <c r="E6270" s="1" t="n">
        <v>0.97</v>
      </c>
      <c r="F6270" s="1" t="n">
        <v>2.28</v>
      </c>
      <c r="G6270" s="1" t="n">
        <v>29.59</v>
      </c>
      <c r="H6270" s="1" t="n">
        <v>1386</v>
      </c>
      <c r="I6270" s="1" t="n">
        <v>0.37</v>
      </c>
      <c r="J6270" t="n">
        <v>54440020</v>
      </c>
    </row>
    <row r="6271" ht="15.75" customHeight="1" s="201">
      <c r="A6271" s="1" t="inlineStr">
        <is>
          <t>Snacks, popcorn, air-popped</t>
        </is>
      </c>
      <c r="C6271" s="1" t="n">
        <v>77.78</v>
      </c>
      <c r="D6271" s="1" t="n">
        <v>31</v>
      </c>
      <c r="E6271" s="1" t="n">
        <v>3.19</v>
      </c>
      <c r="F6271" s="1" t="n">
        <v>12.94</v>
      </c>
      <c r="G6271" s="1" t="n">
        <v>4.54</v>
      </c>
      <c r="H6271" s="1" t="n">
        <v>196</v>
      </c>
      <c r="I6271" s="1" t="n">
        <v>3.08</v>
      </c>
      <c r="J6271" t="n">
        <v>91708030</v>
      </c>
    </row>
    <row r="6272" ht="15.75" customHeight="1" s="201">
      <c r="A6272" s="1" t="inlineStr">
        <is>
          <t>Snacks, popcorn, air-popped (Unsalted)</t>
        </is>
      </c>
      <c r="C6272" s="1" t="n">
        <v>77.90000000000001</v>
      </c>
      <c r="D6272" s="1" t="n">
        <v>23</v>
      </c>
      <c r="E6272" s="1" t="n">
        <v>2.66</v>
      </c>
      <c r="F6272" s="1" t="n">
        <v>12</v>
      </c>
      <c r="G6272" s="1" t="n">
        <v>4.2</v>
      </c>
      <c r="H6272" s="1" t="n">
        <v>27</v>
      </c>
      <c r="I6272" s="1" t="n">
        <v>3.44</v>
      </c>
      <c r="J6272" t="n">
        <v>91708030</v>
      </c>
    </row>
    <row r="6273" ht="15.75" customHeight="1" s="201">
      <c r="A6273" s="1" t="inlineStr">
        <is>
          <t>Snacks, popcorn, cakes</t>
        </is>
      </c>
      <c r="C6273" s="1" t="n">
        <v>80.09999999999999</v>
      </c>
      <c r="D6273" s="1" t="n">
        <v>18</v>
      </c>
      <c r="E6273" s="1" t="n">
        <v>1.87</v>
      </c>
      <c r="F6273" s="1" t="n">
        <v>9.699999999999999</v>
      </c>
      <c r="G6273" s="1" t="n">
        <v>3.1</v>
      </c>
      <c r="H6273" s="1" t="n">
        <v>72</v>
      </c>
      <c r="I6273" s="1" t="n">
        <v>3.99</v>
      </c>
      <c r="J6273" t="n">
        <v>53109200</v>
      </c>
    </row>
    <row r="6274" ht="15.75" customHeight="1" s="201">
      <c r="A6274" s="1" t="inlineStr">
        <is>
          <t>Snacks, popcorn, caramel-coated, with peanuts</t>
        </is>
      </c>
      <c r="C6274" s="1" t="n">
        <v>80.7</v>
      </c>
      <c r="D6274" s="1" t="n">
        <v>16</v>
      </c>
      <c r="E6274" s="1" t="n">
        <v>3.91</v>
      </c>
      <c r="F6274" s="1" t="n">
        <v>6.4</v>
      </c>
      <c r="G6274" s="1" t="n">
        <v>7.8</v>
      </c>
      <c r="H6274" s="1" t="n">
        <v>78</v>
      </c>
      <c r="I6274" s="1" t="n">
        <v>1.24</v>
      </c>
      <c r="J6274" t="n">
        <v>75142550</v>
      </c>
    </row>
    <row r="6275" ht="15.75" customHeight="1" s="201">
      <c r="A6275" s="1" t="inlineStr">
        <is>
          <t>Snacks, popcorn, caramel-coated, without peanuts</t>
        </is>
      </c>
      <c r="C6275" s="1" t="n">
        <v>79.09999999999999</v>
      </c>
      <c r="D6275" s="1" t="n">
        <v>5</v>
      </c>
      <c r="E6275" s="1" t="n">
        <v>1.74</v>
      </c>
      <c r="F6275" s="1" t="n">
        <v>3.8</v>
      </c>
      <c r="G6275" s="1" t="n">
        <v>12.8</v>
      </c>
      <c r="H6275" s="1" t="n">
        <v>8</v>
      </c>
      <c r="I6275" s="1" t="n">
        <v>0.58</v>
      </c>
      <c r="J6275" t="n">
        <v>54403110</v>
      </c>
    </row>
    <row r="6276" ht="15.75" customHeight="1" s="201">
      <c r="A6276" s="1" t="inlineStr">
        <is>
          <t>Snacks, popcorn, cheese-flavor</t>
        </is>
      </c>
      <c r="C6276" s="1" t="n">
        <v>51.6</v>
      </c>
      <c r="D6276" s="1" t="n">
        <v>11</v>
      </c>
      <c r="E6276" s="1" t="n">
        <v>2.24</v>
      </c>
      <c r="F6276" s="1" t="n">
        <v>9.300000000000001</v>
      </c>
      <c r="G6276" s="1" t="n">
        <v>33.2</v>
      </c>
      <c r="H6276" s="1" t="n">
        <v>140</v>
      </c>
      <c r="I6276" s="1" t="n">
        <v>2.01</v>
      </c>
      <c r="J6276" t="n">
        <v>14420100</v>
      </c>
    </row>
    <row r="6277" ht="15.75" customHeight="1" s="201">
      <c r="A6277" s="1" t="inlineStr">
        <is>
          <t>Snacks, popcorn, home-prepared, oil-popped, unsalted</t>
        </is>
      </c>
      <c r="C6277" s="1" t="n">
        <v>58.1</v>
      </c>
      <c r="D6277" s="1" t="n">
        <v>17</v>
      </c>
      <c r="E6277" s="1" t="n">
        <v>2.78</v>
      </c>
      <c r="F6277" s="1" t="n">
        <v>9</v>
      </c>
      <c r="G6277" s="1" t="n">
        <v>28.1</v>
      </c>
      <c r="H6277" s="1" t="n">
        <v>155</v>
      </c>
      <c r="I6277" s="1" t="n">
        <v>2.64</v>
      </c>
      <c r="J6277" t="n">
        <v>91708030</v>
      </c>
    </row>
    <row r="6278" ht="15.75" customHeight="1" s="201">
      <c r="A6278" s="1" t="inlineStr">
        <is>
          <t>Snacks, popcorn, microwave, 94% fat free</t>
        </is>
      </c>
      <c r="C6278" s="1" t="n">
        <v>76.04000000000001</v>
      </c>
      <c r="D6278" s="1" t="n">
        <v>18</v>
      </c>
      <c r="E6278" s="1" t="n">
        <v>2.87</v>
      </c>
      <c r="F6278" s="1" t="n">
        <v>10.72</v>
      </c>
      <c r="G6278" s="1" t="n">
        <v>6.1</v>
      </c>
      <c r="H6278" s="1" t="n">
        <v>264</v>
      </c>
      <c r="I6278" s="1" t="n">
        <v>2.8</v>
      </c>
      <c r="J6278" t="n">
        <v>27446260</v>
      </c>
    </row>
    <row r="6279" ht="15.75" customHeight="1" s="201">
      <c r="A6279" s="1" t="inlineStr">
        <is>
          <t>Snacks, popcorn, oil-popped, microwave, regular flavor, no trans fat</t>
        </is>
      </c>
      <c r="C6279" s="1" t="n">
        <v>45.06</v>
      </c>
      <c r="D6279" s="1" t="n">
        <v>25</v>
      </c>
      <c r="E6279" s="1" t="n">
        <v>1.98</v>
      </c>
      <c r="F6279" s="1" t="n">
        <v>7.29</v>
      </c>
      <c r="G6279" s="1" t="n">
        <v>43.55</v>
      </c>
      <c r="H6279" s="1" t="n">
        <v>154</v>
      </c>
      <c r="I6279" s="1" t="n">
        <v>3.1</v>
      </c>
      <c r="J6279" t="n">
        <v>54403054</v>
      </c>
    </row>
    <row r="6280" ht="15.75" customHeight="1" s="201">
      <c r="A6280" s="1" t="inlineStr">
        <is>
          <t>Snacks, popcorn, oil-popped, white popcorn, salt added</t>
        </is>
      </c>
      <c r="C6280" s="1" t="n">
        <v>57.2</v>
      </c>
      <c r="D6280" s="1" t="n">
        <v>17</v>
      </c>
      <c r="E6280" s="1" t="n">
        <v>2.78</v>
      </c>
      <c r="F6280" s="1" t="n">
        <v>9</v>
      </c>
      <c r="G6280" s="1" t="n">
        <v>28.1</v>
      </c>
      <c r="H6280" s="1" t="n">
        <v>11</v>
      </c>
      <c r="I6280" s="1" t="n">
        <v>2.64</v>
      </c>
      <c r="J6280" t="n">
        <v>54403040</v>
      </c>
    </row>
    <row r="6281" ht="15.75" customHeight="1" s="201">
      <c r="A6281" s="1" t="inlineStr">
        <is>
          <t>Snacks, pork skins, barbecue-flavor</t>
        </is>
      </c>
      <c r="C6281" s="1" t="n">
        <v>1.6</v>
      </c>
      <c r="D6281" s="1" t="n">
        <v>31</v>
      </c>
      <c r="E6281" s="1" t="n">
        <v>1.04</v>
      </c>
      <c r="F6281" s="1" t="n">
        <v>57.9</v>
      </c>
      <c r="G6281" s="1" t="n">
        <v>31.8</v>
      </c>
      <c r="H6281" s="1" t="n">
        <v>667</v>
      </c>
      <c r="I6281" s="1" t="n">
        <v>0.71</v>
      </c>
      <c r="J6281" t="n">
        <v>27120030</v>
      </c>
    </row>
    <row r="6282" ht="15.75" customHeight="1" s="201">
      <c r="A6282" s="1" t="inlineStr">
        <is>
          <t>Snacks, pork skins, plain</t>
        </is>
      </c>
      <c r="C6282" s="1" t="n">
        <v>0</v>
      </c>
      <c r="D6282" s="1" t="n">
        <v>0</v>
      </c>
      <c r="E6282" s="1" t="n">
        <v>0.88</v>
      </c>
      <c r="F6282" s="1" t="n">
        <v>61.3</v>
      </c>
      <c r="G6282" s="1" t="n">
        <v>31.3</v>
      </c>
      <c r="H6282" s="1" t="n">
        <v>40</v>
      </c>
      <c r="I6282" s="1" t="n">
        <v>0.5600000000000001</v>
      </c>
      <c r="J6282" t="n">
        <v>91708030</v>
      </c>
    </row>
    <row r="6283" ht="15.75" customHeight="1" s="201">
      <c r="A6283" s="1" t="inlineStr">
        <is>
          <t>Snacks, potato chips, barbecue-flavor</t>
        </is>
      </c>
      <c r="C6283" s="1" t="n">
        <v>55.92</v>
      </c>
      <c r="D6283" s="1" t="n">
        <v>64</v>
      </c>
      <c r="E6283" s="1" t="n">
        <v>1.36</v>
      </c>
      <c r="F6283" s="1" t="n">
        <v>6.51</v>
      </c>
      <c r="G6283" s="1" t="n">
        <v>31.06</v>
      </c>
      <c r="H6283" s="1" t="n">
        <v>393</v>
      </c>
      <c r="I6283" s="1" t="n">
        <v>0.98</v>
      </c>
      <c r="J6283" t="n">
        <v>54440020</v>
      </c>
    </row>
    <row r="6284" ht="15.75" customHeight="1" s="201">
      <c r="A6284" s="1" t="inlineStr">
        <is>
          <t>Snacks, potato chips, cheese-flavor</t>
        </is>
      </c>
      <c r="C6284" s="1" t="n">
        <v>57.7</v>
      </c>
      <c r="D6284" s="1" t="n">
        <v>0</v>
      </c>
      <c r="E6284" s="1" t="n">
        <v>1.84</v>
      </c>
      <c r="F6284" s="1" t="n">
        <v>8.5</v>
      </c>
      <c r="G6284" s="1" t="n">
        <v>27.2</v>
      </c>
      <c r="H6284" s="1" t="n">
        <v>33</v>
      </c>
      <c r="I6284" s="1" t="n">
        <v>0.91</v>
      </c>
      <c r="J6284" t="n">
        <v>54440020</v>
      </c>
    </row>
    <row r="6285" ht="15.75" customHeight="1" s="201">
      <c r="A6285" s="1" t="inlineStr">
        <is>
          <t>Snacks, potato chips, fat free, salted</t>
        </is>
      </c>
      <c r="C6285" s="1" t="n">
        <v>83.76000000000001</v>
      </c>
      <c r="D6285" s="1" t="n">
        <v>45</v>
      </c>
      <c r="E6285" s="1" t="n">
        <v>3.57</v>
      </c>
      <c r="F6285" s="1" t="n">
        <v>9.640000000000001</v>
      </c>
      <c r="G6285" s="1" t="n">
        <v>0.6</v>
      </c>
      <c r="H6285" s="1" t="n">
        <v>11</v>
      </c>
      <c r="I6285" s="1" t="n">
        <v>0.74</v>
      </c>
      <c r="J6285" t="n">
        <v>71601050</v>
      </c>
    </row>
    <row r="6286" ht="15.75" customHeight="1" s="201">
      <c r="A6286" s="1" t="inlineStr">
        <is>
          <t>Snacks, potato chips, fat-free, made with olestra</t>
        </is>
      </c>
      <c r="C6286" s="1" t="n">
        <v>65</v>
      </c>
      <c r="D6286" s="1" t="n">
        <v>83</v>
      </c>
      <c r="E6286" s="1" t="n">
        <v>2.4</v>
      </c>
      <c r="F6286" s="1" t="n">
        <v>7.74</v>
      </c>
      <c r="G6286" s="1" t="n">
        <v>0.7</v>
      </c>
      <c r="H6286" s="1" t="n">
        <v>0</v>
      </c>
      <c r="I6286" s="1" t="n">
        <v>3.5</v>
      </c>
      <c r="J6286" t="n">
        <v>71601050</v>
      </c>
    </row>
    <row r="6287" ht="15.75" customHeight="1" s="201">
      <c r="A6287" s="1" t="inlineStr">
        <is>
          <t>Snacks, potato chips, made from dried potatoes, cheese-flavor</t>
        </is>
      </c>
      <c r="C6287" s="1" t="n">
        <v>50.6</v>
      </c>
      <c r="D6287" s="1" t="n">
        <v>18</v>
      </c>
      <c r="E6287" s="1" t="n">
        <v>1.6</v>
      </c>
      <c r="F6287" s="1" t="n">
        <v>7</v>
      </c>
      <c r="G6287" s="1" t="n">
        <v>37</v>
      </c>
      <c r="H6287" s="1" t="n">
        <v>3</v>
      </c>
      <c r="I6287" s="1" t="n">
        <v>0.64</v>
      </c>
      <c r="J6287" t="n">
        <v>51121065</v>
      </c>
    </row>
    <row r="6288" ht="15.75" customHeight="1" s="201">
      <c r="A6288" s="1" t="inlineStr">
        <is>
          <t>Snacks, potato chips, made from dried potatoes, fat-free, made with olestra</t>
        </is>
      </c>
      <c r="C6288" s="1" t="n">
        <v>56</v>
      </c>
      <c r="D6288" s="1" t="n">
        <v>67</v>
      </c>
      <c r="E6288" s="1" t="n">
        <v>1.14</v>
      </c>
      <c r="F6288" s="1" t="n">
        <v>5.06</v>
      </c>
      <c r="G6288" s="1" t="n">
        <v>0.93</v>
      </c>
      <c r="H6288" s="1" t="n">
        <v>0</v>
      </c>
      <c r="I6288" s="1" t="n">
        <v>0.78</v>
      </c>
      <c r="J6288" t="n">
        <v>58148118</v>
      </c>
    </row>
    <row r="6289" ht="15.75" customHeight="1" s="201">
      <c r="A6289" s="1" t="inlineStr">
        <is>
          <t>Snacks, potato chips, made from dried potatoes, reduced fat</t>
        </is>
      </c>
      <c r="C6289" s="1" t="n">
        <v>64.76000000000001</v>
      </c>
      <c r="D6289" s="1" t="n">
        <v>27</v>
      </c>
      <c r="E6289" s="1" t="n">
        <v>1.11</v>
      </c>
      <c r="F6289" s="1" t="n">
        <v>4.56</v>
      </c>
      <c r="G6289" s="1" t="n">
        <v>26.14</v>
      </c>
      <c r="H6289" s="1" t="n">
        <v>0</v>
      </c>
      <c r="I6289" s="1" t="n">
        <v>0.7</v>
      </c>
      <c r="J6289" t="n">
        <v>71201200</v>
      </c>
    </row>
    <row r="6290" ht="15.75" customHeight="1" s="201">
      <c r="A6290" s="1" t="inlineStr">
        <is>
          <t>Snacks, potato chips, made from dried potatoes, sour-cream and onion-flavor</t>
        </is>
      </c>
      <c r="C6290" s="1" t="n">
        <v>51.3</v>
      </c>
      <c r="D6290" s="1" t="n">
        <v>23</v>
      </c>
      <c r="E6290" s="1" t="n">
        <v>1.4</v>
      </c>
      <c r="F6290" s="1" t="n">
        <v>6.6</v>
      </c>
      <c r="G6290" s="1" t="n">
        <v>37</v>
      </c>
      <c r="H6290" s="1" t="n">
        <v>755</v>
      </c>
      <c r="I6290" s="1" t="n">
        <v>0.71</v>
      </c>
      <c r="J6290" t="n">
        <v>71601035</v>
      </c>
    </row>
    <row r="6291" ht="15.75" customHeight="1" s="201">
      <c r="A6291" s="1" t="inlineStr">
        <is>
          <t>Snacks, potato chips, plain, made with partially hydrogenated soybean oil, salted</t>
        </is>
      </c>
      <c r="C6291" s="1" t="n">
        <v>52.9</v>
      </c>
      <c r="D6291" s="1" t="n">
        <v>45</v>
      </c>
      <c r="E6291" s="1" t="n">
        <v>1.63</v>
      </c>
      <c r="F6291" s="1" t="n">
        <v>7</v>
      </c>
      <c r="G6291" s="1" t="n">
        <v>34.6</v>
      </c>
      <c r="H6291" s="1" t="n">
        <v>0</v>
      </c>
      <c r="I6291" s="1" t="n">
        <v>1.09</v>
      </c>
      <c r="J6291" t="n">
        <v>75142550</v>
      </c>
    </row>
    <row r="6292" ht="15.75" customHeight="1" s="201">
      <c r="A6292" s="1" t="inlineStr">
        <is>
          <t>Snacks, potato chips, plain, made with partially hydrogenated soybean oil, unsalted</t>
        </is>
      </c>
      <c r="C6292" s="1" t="n">
        <v>52.9</v>
      </c>
      <c r="D6292" s="1" t="n">
        <v>45</v>
      </c>
      <c r="E6292" s="1" t="n">
        <v>1.63</v>
      </c>
      <c r="F6292" s="1" t="n">
        <v>7</v>
      </c>
      <c r="G6292" s="1" t="n">
        <v>34.6</v>
      </c>
      <c r="H6292" s="1" t="n">
        <v>0</v>
      </c>
      <c r="I6292" s="1" t="n">
        <v>1.09</v>
      </c>
      <c r="J6292" t="n">
        <v>75142550</v>
      </c>
    </row>
    <row r="6293" ht="15.75" customHeight="1" s="201">
      <c r="A6293" s="1" t="inlineStr">
        <is>
          <t>Snacks, potato chips, plain, salted</t>
        </is>
      </c>
      <c r="C6293" s="1" t="n">
        <v>53.83</v>
      </c>
      <c r="D6293" s="1" t="n">
        <v>29</v>
      </c>
      <c r="E6293" s="1" t="n">
        <v>1.28</v>
      </c>
      <c r="F6293" s="1" t="n">
        <v>6.39</v>
      </c>
      <c r="G6293" s="1" t="n">
        <v>33.98</v>
      </c>
      <c r="H6293" s="1" t="n">
        <v>0</v>
      </c>
      <c r="I6293" s="1" t="n">
        <v>1.09</v>
      </c>
      <c r="J6293" t="n">
        <v>71200300</v>
      </c>
    </row>
    <row r="6294" ht="15.75" customHeight="1" s="201">
      <c r="A6294" s="1" t="inlineStr">
        <is>
          <t>Snacks, potato chips, plain, unsalted</t>
        </is>
      </c>
      <c r="C6294" s="1" t="n">
        <v>52.9</v>
      </c>
      <c r="D6294" s="1" t="n">
        <v>45</v>
      </c>
      <c r="E6294" s="1" t="n">
        <v>1.63</v>
      </c>
      <c r="F6294" s="1" t="n">
        <v>7</v>
      </c>
      <c r="G6294" s="1" t="n">
        <v>34.6</v>
      </c>
      <c r="H6294" s="1" t="n">
        <v>0</v>
      </c>
      <c r="I6294" s="1" t="n">
        <v>1.09</v>
      </c>
      <c r="J6294" t="n">
        <v>54440020</v>
      </c>
    </row>
    <row r="6295" ht="15.75" customHeight="1" s="201">
      <c r="A6295" s="1" t="inlineStr">
        <is>
          <t>Snacks, potato chips, reduced fat</t>
        </is>
      </c>
      <c r="C6295" s="1" t="n">
        <v>66.90000000000001</v>
      </c>
      <c r="D6295" s="1" t="n">
        <v>27</v>
      </c>
      <c r="E6295" s="1" t="n">
        <v>1.35</v>
      </c>
      <c r="F6295" s="1" t="n">
        <v>7.1</v>
      </c>
      <c r="G6295" s="1" t="n">
        <v>20.8</v>
      </c>
      <c r="H6295" s="1" t="n">
        <v>0</v>
      </c>
      <c r="I6295" s="1" t="n">
        <v>0.07000000000000001</v>
      </c>
      <c r="J6295" t="n">
        <v>71201200</v>
      </c>
    </row>
    <row r="6296" ht="15.75" customHeight="1" s="201">
      <c r="A6296" s="1" t="inlineStr">
        <is>
          <t>Snacks, potato chips, sour-cream-and-onion-flavor</t>
        </is>
      </c>
      <c r="C6296" s="1" t="n">
        <v>51.5</v>
      </c>
      <c r="D6296" s="1" t="n">
        <v>62</v>
      </c>
      <c r="E6296" s="1" t="n">
        <v>1.6</v>
      </c>
      <c r="F6296" s="1" t="n">
        <v>8.1</v>
      </c>
      <c r="G6296" s="1" t="n">
        <v>33.9</v>
      </c>
      <c r="H6296" s="1" t="n">
        <v>170</v>
      </c>
      <c r="I6296" s="1" t="n">
        <v>0.98</v>
      </c>
      <c r="J6296" t="n">
        <v>54440020</v>
      </c>
    </row>
    <row r="6297" ht="15.75" customHeight="1" s="201">
      <c r="A6297" s="1" t="inlineStr">
        <is>
          <t>Snacks, potato chips, white, restructured, baked</t>
        </is>
      </c>
      <c r="C6297" s="1" t="n">
        <v>71.40000000000001</v>
      </c>
      <c r="D6297" s="1" t="n">
        <v>0</v>
      </c>
      <c r="E6297" s="1" t="n">
        <v>0.8</v>
      </c>
      <c r="F6297" s="1" t="n">
        <v>5</v>
      </c>
      <c r="G6297" s="1" t="n">
        <v>18.2</v>
      </c>
      <c r="H6297" s="1" t="n">
        <v>0</v>
      </c>
      <c r="I6297" s="1" t="n">
        <v>0.45</v>
      </c>
      <c r="J6297" t="n">
        <v>54401121</v>
      </c>
    </row>
    <row r="6298" ht="15.75" customHeight="1" s="201">
      <c r="A6298" s="1" t="inlineStr">
        <is>
          <t>Snacks, potato sticks</t>
        </is>
      </c>
      <c r="C6298" s="1" t="n">
        <v>53.3</v>
      </c>
      <c r="D6298" s="1" t="n">
        <v>40</v>
      </c>
      <c r="E6298" s="1" t="n">
        <v>2.27</v>
      </c>
      <c r="F6298" s="1" t="n">
        <v>6.7</v>
      </c>
      <c r="G6298" s="1" t="n">
        <v>34.4</v>
      </c>
      <c r="H6298" s="1" t="n">
        <v>0</v>
      </c>
      <c r="I6298" s="1" t="n">
        <v>0.99</v>
      </c>
      <c r="J6298" t="n">
        <v>91708030</v>
      </c>
    </row>
    <row r="6299" ht="15.75" customHeight="1" s="201">
      <c r="A6299" s="1" t="inlineStr">
        <is>
          <t>Snacks, pretzels, hard, confectioner's coating, chocolate-flavor</t>
        </is>
      </c>
      <c r="C6299" s="1" t="n">
        <v>70.90000000000001</v>
      </c>
      <c r="D6299" s="1" t="n">
        <v>9</v>
      </c>
      <c r="E6299" s="1" t="n">
        <v>2</v>
      </c>
      <c r="F6299" s="1" t="n">
        <v>7.5</v>
      </c>
      <c r="G6299" s="1" t="n">
        <v>16.7</v>
      </c>
      <c r="H6299" s="1" t="n">
        <v>0</v>
      </c>
      <c r="I6299" s="1" t="n">
        <v>0.92</v>
      </c>
      <c r="J6299" t="n">
        <v>53108200</v>
      </c>
    </row>
    <row r="6300" ht="15.75" customHeight="1" s="201">
      <c r="A6300" s="1" t="inlineStr">
        <is>
          <t>Snacks, pretzels, hard, plain, made with enriched flour, unsalted</t>
        </is>
      </c>
      <c r="C6300" s="1" t="n">
        <v>79.2</v>
      </c>
      <c r="D6300" s="1" t="n">
        <v>171</v>
      </c>
      <c r="E6300" s="1" t="n">
        <v>4.32</v>
      </c>
      <c r="F6300" s="1" t="n">
        <v>9.1</v>
      </c>
      <c r="G6300" s="1" t="n">
        <v>3.5</v>
      </c>
      <c r="H6300" s="1" t="n">
        <v>0</v>
      </c>
      <c r="I6300" s="1" t="n">
        <v>0.85</v>
      </c>
      <c r="J6300" t="n">
        <v>75142550</v>
      </c>
    </row>
    <row r="6301" ht="15.75" customHeight="1" s="201">
      <c r="A6301" s="1" t="inlineStr">
        <is>
          <t>Snacks, pretzels, hard, plain, made with unenriched flour, salted</t>
        </is>
      </c>
      <c r="C6301" s="1" t="n">
        <v>79.2</v>
      </c>
      <c r="D6301" s="1" t="n">
        <v>83</v>
      </c>
      <c r="E6301" s="1" t="n">
        <v>1.67</v>
      </c>
      <c r="F6301" s="1" t="n">
        <v>9.1</v>
      </c>
      <c r="G6301" s="1" t="n">
        <v>3.5</v>
      </c>
      <c r="H6301" s="1" t="n">
        <v>0</v>
      </c>
      <c r="I6301" s="1" t="n">
        <v>0.85</v>
      </c>
      <c r="J6301" t="n">
        <v>75142550</v>
      </c>
    </row>
    <row r="6302" ht="15.75" customHeight="1" s="201">
      <c r="A6302" s="1" t="inlineStr">
        <is>
          <t>Snacks, pretzels, hard, plain, made with unenriched flour, unsalted</t>
        </is>
      </c>
      <c r="C6302" s="1" t="n">
        <v>79.2</v>
      </c>
      <c r="D6302" s="1" t="n">
        <v>83</v>
      </c>
      <c r="E6302" s="1" t="n">
        <v>1.67</v>
      </c>
      <c r="F6302" s="1" t="n">
        <v>9.1</v>
      </c>
      <c r="G6302" s="1" t="n">
        <v>3.5</v>
      </c>
      <c r="H6302" s="1" t="n">
        <v>0</v>
      </c>
      <c r="I6302" s="1" t="n">
        <v>0.85</v>
      </c>
      <c r="J6302" t="n">
        <v>75142550</v>
      </c>
    </row>
    <row r="6303" ht="15.75" customHeight="1" s="201">
      <c r="A6303" s="1" t="inlineStr">
        <is>
          <t>Snacks, pretzels, hard, plain, salted</t>
        </is>
      </c>
      <c r="C6303" s="1" t="n">
        <v>80.39</v>
      </c>
      <c r="D6303" s="1" t="n">
        <v>166</v>
      </c>
      <c r="E6303" s="1" t="n">
        <v>4.58</v>
      </c>
      <c r="F6303" s="1" t="n">
        <v>10.04</v>
      </c>
      <c r="G6303" s="1" t="n">
        <v>2.93</v>
      </c>
      <c r="H6303" s="1" t="n">
        <v>0</v>
      </c>
      <c r="I6303" s="1" t="n">
        <v>1.04</v>
      </c>
      <c r="J6303" t="n">
        <v>91708030</v>
      </c>
    </row>
    <row r="6304" ht="15.75" customHeight="1" s="201">
      <c r="A6304" s="1" t="inlineStr">
        <is>
          <t>Snacks, pretzels, hard, whole-wheat including both salted and unsalted</t>
        </is>
      </c>
      <c r="C6304" s="1" t="n">
        <v>81.3</v>
      </c>
      <c r="D6304" s="1" t="n">
        <v>54</v>
      </c>
      <c r="E6304" s="1" t="n">
        <v>2.69</v>
      </c>
      <c r="F6304" s="1" t="n">
        <v>11.1</v>
      </c>
      <c r="G6304" s="1" t="n">
        <v>2.6</v>
      </c>
      <c r="H6304" s="1" t="n">
        <v>0</v>
      </c>
      <c r="I6304" s="1" t="n">
        <v>0.62</v>
      </c>
      <c r="J6304" t="n">
        <v>54204030</v>
      </c>
    </row>
    <row r="6305" ht="15.75" customHeight="1" s="201">
      <c r="A6305" s="1" t="inlineStr">
        <is>
          <t>Snacks, rice cakes, brown rice, buckwheat</t>
        </is>
      </c>
      <c r="C6305" s="1" t="n">
        <v>80.09999999999999</v>
      </c>
      <c r="D6305" s="1" t="n">
        <v>21</v>
      </c>
      <c r="E6305" s="1" t="n">
        <v>1.14</v>
      </c>
      <c r="F6305" s="1" t="n">
        <v>9</v>
      </c>
      <c r="G6305" s="1" t="n">
        <v>3.5</v>
      </c>
      <c r="H6305" s="1" t="n">
        <v>0</v>
      </c>
      <c r="I6305" s="1" t="n">
        <v>2.5</v>
      </c>
      <c r="J6305" t="n">
        <v>54319000</v>
      </c>
    </row>
    <row r="6306" ht="15.75" customHeight="1" s="201">
      <c r="A6306" s="1" t="inlineStr">
        <is>
          <t>Snacks, rice cakes, brown rice, buckwheat, unsalted</t>
        </is>
      </c>
      <c r="C6306" s="1" t="n">
        <v>80.09999999999999</v>
      </c>
      <c r="D6306" s="1" t="n">
        <v>21</v>
      </c>
      <c r="E6306" s="1" t="n">
        <v>1.14</v>
      </c>
      <c r="F6306" s="1" t="n">
        <v>9</v>
      </c>
      <c r="G6306" s="1" t="n">
        <v>3.5</v>
      </c>
      <c r="H6306" s="1" t="n">
        <v>0</v>
      </c>
      <c r="I6306" s="1" t="n">
        <v>2.5</v>
      </c>
      <c r="J6306" t="n">
        <v>54319000</v>
      </c>
    </row>
    <row r="6307" ht="15.75" customHeight="1" s="201">
      <c r="A6307" s="1" t="inlineStr">
        <is>
          <t>Snacks, rice cakes, brown rice, corn</t>
        </is>
      </c>
      <c r="C6307" s="1" t="n">
        <v>81.2</v>
      </c>
      <c r="D6307" s="1" t="n">
        <v>19</v>
      </c>
      <c r="E6307" s="1" t="n">
        <v>1.17</v>
      </c>
      <c r="F6307" s="1" t="n">
        <v>8.4</v>
      </c>
      <c r="G6307" s="1" t="n">
        <v>3.2</v>
      </c>
      <c r="H6307" s="1" t="n">
        <v>0</v>
      </c>
      <c r="I6307" s="1" t="n">
        <v>2.22</v>
      </c>
      <c r="J6307" t="n">
        <v>54319000</v>
      </c>
    </row>
    <row r="6308" ht="15.75" customHeight="1" s="201">
      <c r="A6308" s="1" t="inlineStr">
        <is>
          <t>Snacks, rice cakes, brown rice, multigrain</t>
        </is>
      </c>
      <c r="C6308" s="1" t="n">
        <v>80.09999999999999</v>
      </c>
      <c r="D6308" s="1" t="n">
        <v>20</v>
      </c>
      <c r="E6308" s="1" t="n">
        <v>1.96</v>
      </c>
      <c r="F6308" s="1" t="n">
        <v>8.5</v>
      </c>
      <c r="G6308" s="1" t="n">
        <v>3.5</v>
      </c>
      <c r="H6308" s="1" t="n">
        <v>0</v>
      </c>
      <c r="I6308" s="1" t="n">
        <v>2.53</v>
      </c>
      <c r="J6308" t="n">
        <v>54319000</v>
      </c>
    </row>
    <row r="6309" ht="15.75" customHeight="1" s="201">
      <c r="A6309" s="1" t="inlineStr">
        <is>
          <t>Snacks, rice cakes, brown rice, multigrain, unsalted</t>
        </is>
      </c>
      <c r="C6309" s="1" t="n">
        <v>80.09999999999999</v>
      </c>
      <c r="D6309" s="1" t="n">
        <v>20</v>
      </c>
      <c r="E6309" s="1" t="n">
        <v>1.96</v>
      </c>
      <c r="F6309" s="1" t="n">
        <v>8.5</v>
      </c>
      <c r="G6309" s="1" t="n">
        <v>3.5</v>
      </c>
      <c r="H6309" s="1" t="n">
        <v>0</v>
      </c>
      <c r="I6309" s="1" t="n">
        <v>2.53</v>
      </c>
      <c r="J6309" t="n">
        <v>54319000</v>
      </c>
    </row>
    <row r="6310" ht="15.75" customHeight="1" s="201">
      <c r="A6310" s="1" t="inlineStr">
        <is>
          <t>Snacks, rice cakes, brown rice, plain, unsalted</t>
        </is>
      </c>
      <c r="C6310" s="1" t="n">
        <v>81.5</v>
      </c>
      <c r="D6310" s="1" t="n">
        <v>21</v>
      </c>
      <c r="E6310" s="1" t="n">
        <v>1.49</v>
      </c>
      <c r="F6310" s="1" t="n">
        <v>8.199999999999999</v>
      </c>
      <c r="G6310" s="1" t="n">
        <v>2.8</v>
      </c>
      <c r="H6310" s="1" t="n">
        <v>0</v>
      </c>
      <c r="I6310" s="1" t="n">
        <v>3</v>
      </c>
      <c r="J6310" t="n">
        <v>54319000</v>
      </c>
    </row>
    <row r="6311" ht="15.75" customHeight="1" s="201">
      <c r="A6311" s="1" t="inlineStr">
        <is>
          <t>Snacks, rice cakes, brown rice, rye</t>
        </is>
      </c>
      <c r="C6311" s="1" t="n">
        <v>79.90000000000001</v>
      </c>
      <c r="D6311" s="1" t="n">
        <v>5</v>
      </c>
      <c r="E6311" s="1" t="n">
        <v>1.8</v>
      </c>
      <c r="F6311" s="1" t="n">
        <v>8.1</v>
      </c>
      <c r="G6311" s="1" t="n">
        <v>3.8</v>
      </c>
      <c r="H6311" s="1" t="n">
        <v>3</v>
      </c>
      <c r="I6311" s="1" t="n">
        <v>3</v>
      </c>
      <c r="J6311" t="n">
        <v>54319000</v>
      </c>
    </row>
    <row r="6312" ht="15.75" customHeight="1" s="201">
      <c r="A6312" s="1" t="inlineStr">
        <is>
          <t>Snacks, rice cakes, brown rice, sesame seed</t>
        </is>
      </c>
      <c r="C6312" s="1" t="n">
        <v>81.5</v>
      </c>
      <c r="D6312" s="1" t="n">
        <v>18</v>
      </c>
      <c r="E6312" s="1" t="n">
        <v>1.58</v>
      </c>
      <c r="F6312" s="1" t="n">
        <v>7.6</v>
      </c>
      <c r="G6312" s="1" t="n">
        <v>3.8</v>
      </c>
      <c r="H6312" s="1" t="n">
        <v>0</v>
      </c>
      <c r="I6312" s="1" t="n">
        <v>3</v>
      </c>
      <c r="J6312" t="n">
        <v>54319000</v>
      </c>
    </row>
    <row r="6313" ht="15.75" customHeight="1" s="201">
      <c r="A6313" s="1" t="inlineStr">
        <is>
          <t>Snacks, rice cakes, brown rice, sesame seed, unsalted</t>
        </is>
      </c>
      <c r="C6313" s="1" t="n">
        <v>81.5</v>
      </c>
      <c r="D6313" s="1" t="n">
        <v>18</v>
      </c>
      <c r="E6313" s="1" t="n">
        <v>1.58</v>
      </c>
      <c r="F6313" s="1" t="n">
        <v>7.6</v>
      </c>
      <c r="G6313" s="1" t="n">
        <v>3.8</v>
      </c>
      <c r="H6313" s="1" t="n">
        <v>0</v>
      </c>
      <c r="I6313" s="1" t="n">
        <v>3</v>
      </c>
      <c r="J6313" t="n">
        <v>54319000</v>
      </c>
    </row>
    <row r="6314" ht="15.75" customHeight="1" s="201">
      <c r="A6314" s="1" t="inlineStr">
        <is>
          <t>Snacks, rice cracker brown rice, plain</t>
        </is>
      </c>
      <c r="C6314" s="1" t="n">
        <v>81.5</v>
      </c>
      <c r="D6314" s="1" t="n">
        <v>21</v>
      </c>
      <c r="E6314" s="1" t="n">
        <v>1.49</v>
      </c>
      <c r="F6314" s="1" t="n">
        <v>8.199999999999999</v>
      </c>
      <c r="G6314" s="1" t="n">
        <v>2.8</v>
      </c>
      <c r="H6314" s="1" t="n">
        <v>0</v>
      </c>
      <c r="I6314" s="1" t="n">
        <v>3</v>
      </c>
      <c r="J6314" t="n">
        <v>54319000</v>
      </c>
    </row>
    <row r="6315" ht="15.75" customHeight="1" s="201">
      <c r="A6315" s="1" t="inlineStr">
        <is>
          <t>Snacks, sesame sticks, wheat-based, salted</t>
        </is>
      </c>
      <c r="C6315" s="1" t="n">
        <v>46.5</v>
      </c>
      <c r="D6315" s="1" t="n">
        <v>22</v>
      </c>
      <c r="E6315" s="1" t="n">
        <v>0.74</v>
      </c>
      <c r="F6315" s="1" t="n">
        <v>10.9</v>
      </c>
      <c r="G6315" s="1" t="n">
        <v>36.7</v>
      </c>
      <c r="H6315" s="1" t="n">
        <v>5</v>
      </c>
      <c r="I6315" s="1" t="n">
        <v>1.17</v>
      </c>
      <c r="J6315" t="n">
        <v>54338000</v>
      </c>
    </row>
    <row r="6316" ht="15.75" customHeight="1" s="201">
      <c r="A6316" s="1" t="inlineStr">
        <is>
          <t>Snacks, sesame sticks, wheat-based, unsalted</t>
        </is>
      </c>
      <c r="C6316" s="1" t="n">
        <v>46.5</v>
      </c>
      <c r="D6316" s="1" t="n">
        <v>22</v>
      </c>
      <c r="E6316" s="1" t="n">
        <v>0.74</v>
      </c>
      <c r="F6316" s="1" t="n">
        <v>10.9</v>
      </c>
      <c r="G6316" s="1" t="n">
        <v>36.7</v>
      </c>
      <c r="H6316" s="1" t="n">
        <v>88</v>
      </c>
      <c r="I6316" s="1" t="n">
        <v>1.17</v>
      </c>
      <c r="J6316" t="n">
        <v>54338000</v>
      </c>
    </row>
    <row r="6317" ht="15.75" customHeight="1" s="201">
      <c r="A6317" s="1" t="inlineStr">
        <is>
          <t>Snacks, shrimp cracker</t>
        </is>
      </c>
      <c r="C6317" s="1" t="n">
        <v>59.09</v>
      </c>
      <c r="D6317" s="1" t="n">
        <v>23</v>
      </c>
      <c r="E6317" s="1" t="n">
        <v>1.91</v>
      </c>
      <c r="F6317" s="1" t="n">
        <v>7.14</v>
      </c>
      <c r="G6317" s="1" t="n">
        <v>17.86</v>
      </c>
      <c r="H6317" s="1" t="n">
        <v>0</v>
      </c>
      <c r="I6317" s="1" t="n">
        <v>1.38</v>
      </c>
      <c r="J6317" t="n">
        <v>26319145</v>
      </c>
    </row>
    <row r="6318" ht="15.75" customHeight="1" s="201">
      <c r="A6318" s="1" t="inlineStr">
        <is>
          <t>Snacks, soy chips or crisps, salted</t>
        </is>
      </c>
      <c r="C6318" s="1" t="n">
        <v>53.15</v>
      </c>
      <c r="D6318" s="1" t="n">
        <v>240</v>
      </c>
      <c r="E6318" s="1" t="n">
        <v>5.2</v>
      </c>
      <c r="F6318" s="1" t="n">
        <v>26.5</v>
      </c>
      <c r="G6318" s="1" t="n">
        <v>7.35</v>
      </c>
      <c r="H6318" s="1" t="n">
        <v>0</v>
      </c>
      <c r="I6318" s="1" t="n">
        <v>1.5</v>
      </c>
      <c r="J6318" t="n">
        <v>54440020</v>
      </c>
    </row>
    <row r="6319" ht="15.75" customHeight="1" s="201">
      <c r="A6319" s="1" t="inlineStr">
        <is>
          <t>Snacks, SUNKIST, SUNKIST Fruit Roll, strawberry, with vitamins A, C, and E</t>
        </is>
      </c>
      <c r="C6319" s="1" t="n">
        <v>82.7</v>
      </c>
      <c r="F6319" s="1" t="n">
        <v>0.6</v>
      </c>
      <c r="G6319" s="1" t="n">
        <v>1</v>
      </c>
      <c r="H6319" s="1" t="n">
        <v>835</v>
      </c>
      <c r="J6319" t="n">
        <v>91708030</v>
      </c>
    </row>
    <row r="6320" ht="15.75" customHeight="1" s="201">
      <c r="A6320" s="1" t="inlineStr">
        <is>
          <t>Snacks, taro chips</t>
        </is>
      </c>
      <c r="C6320" s="1" t="n">
        <v>68.09999999999999</v>
      </c>
      <c r="D6320" s="1" t="n">
        <v>20</v>
      </c>
      <c r="E6320" s="1" t="n">
        <v>1.2</v>
      </c>
      <c r="F6320" s="1" t="n">
        <v>2.3</v>
      </c>
      <c r="G6320" s="1" t="n">
        <v>24.9</v>
      </c>
      <c r="H6320" s="1" t="n">
        <v>142</v>
      </c>
      <c r="I6320" s="1" t="n">
        <v>0.38</v>
      </c>
      <c r="J6320" t="n">
        <v>54440020</v>
      </c>
    </row>
    <row r="6321" ht="15.75" customHeight="1" s="201">
      <c r="A6321" s="1" t="inlineStr">
        <is>
          <t>Snacks, tortilla chips, light (baked with less oil)</t>
        </is>
      </c>
      <c r="C6321" s="1" t="n">
        <v>73.40000000000001</v>
      </c>
      <c r="D6321" s="1" t="n">
        <v>16</v>
      </c>
      <c r="E6321" s="1" t="n">
        <v>1.63</v>
      </c>
      <c r="F6321" s="1" t="n">
        <v>8.699999999999999</v>
      </c>
      <c r="G6321" s="1" t="n">
        <v>15.2</v>
      </c>
      <c r="H6321" s="1" t="n">
        <v>81</v>
      </c>
      <c r="I6321" s="1" t="n">
        <v>1.15</v>
      </c>
      <c r="J6321" t="n">
        <v>58148117</v>
      </c>
    </row>
    <row r="6322" ht="15.75" customHeight="1" s="201">
      <c r="A6322" s="1" t="inlineStr">
        <is>
          <t>Snacks, tortilla chips, low fat, made with olestra, nacho cheese</t>
        </is>
      </c>
      <c r="C6322" s="1" t="n">
        <v>65.22</v>
      </c>
      <c r="D6322" s="1" t="n">
        <v>16</v>
      </c>
      <c r="E6322" s="1" t="n">
        <v>4.8</v>
      </c>
      <c r="F6322" s="1" t="n">
        <v>8.44</v>
      </c>
      <c r="G6322" s="1" t="n">
        <v>3.53</v>
      </c>
      <c r="H6322" s="1" t="n">
        <v>179</v>
      </c>
      <c r="I6322" s="1" t="n">
        <v>3.4</v>
      </c>
      <c r="J6322" t="n">
        <v>51121065</v>
      </c>
    </row>
    <row r="6323" ht="15.75" customHeight="1" s="201">
      <c r="A6323" s="1" t="inlineStr">
        <is>
          <t>Snacks, tortilla chips, low fat, unsalted</t>
        </is>
      </c>
      <c r="C6323" s="1" t="n">
        <v>80.09999999999999</v>
      </c>
      <c r="D6323" s="1" t="n">
        <v>16</v>
      </c>
      <c r="E6323" s="1" t="n">
        <v>1.6</v>
      </c>
      <c r="F6323" s="1" t="n">
        <v>11</v>
      </c>
      <c r="G6323" s="1" t="n">
        <v>5.7</v>
      </c>
      <c r="H6323" s="1" t="n">
        <v>82</v>
      </c>
      <c r="I6323" s="1" t="n">
        <v>1.15</v>
      </c>
      <c r="J6323" t="n">
        <v>54401085</v>
      </c>
    </row>
    <row r="6324" ht="15.75" customHeight="1" s="201">
      <c r="A6324" s="1" t="inlineStr">
        <is>
          <t>Snacks, tortilla chips, nacho cheese</t>
        </is>
      </c>
      <c r="C6324" s="1" t="n">
        <v>60.81</v>
      </c>
      <c r="D6324" s="1" t="n">
        <v>13</v>
      </c>
      <c r="E6324" s="1" t="n">
        <v>1.16</v>
      </c>
      <c r="F6324" s="1" t="n">
        <v>7.36</v>
      </c>
      <c r="G6324" s="1" t="n">
        <v>27.42</v>
      </c>
      <c r="H6324" s="1" t="n">
        <v>112</v>
      </c>
      <c r="I6324" s="1" t="n">
        <v>1.38</v>
      </c>
      <c r="J6324" t="n">
        <v>54401085</v>
      </c>
    </row>
    <row r="6325" ht="15.75" customHeight="1" s="201">
      <c r="A6325" s="1" t="inlineStr">
        <is>
          <t>Snacks, tortilla chips, nacho-flavor, made with enriched masa flour</t>
        </is>
      </c>
      <c r="C6325" s="1" t="n">
        <v>62.3</v>
      </c>
      <c r="D6325" s="1" t="n">
        <v>130</v>
      </c>
      <c r="E6325" s="1" t="n">
        <v>3.7</v>
      </c>
      <c r="F6325" s="1" t="n">
        <v>7.8</v>
      </c>
      <c r="G6325" s="1" t="n">
        <v>25.6</v>
      </c>
      <c r="H6325" s="1" t="n">
        <v>371</v>
      </c>
      <c r="I6325" s="1" t="n">
        <v>1.2</v>
      </c>
      <c r="J6325" t="n">
        <v>75142550</v>
      </c>
    </row>
    <row r="6326" ht="15.75" customHeight="1" s="201">
      <c r="A6326" s="1" t="inlineStr">
        <is>
          <t>Snacks, tortilla chips, nacho-flavor, reduced fat</t>
        </is>
      </c>
      <c r="C6326" s="1" t="n">
        <v>71.59999999999999</v>
      </c>
      <c r="D6326" s="1" t="n">
        <v>26</v>
      </c>
      <c r="E6326" s="1" t="n">
        <v>1.63</v>
      </c>
      <c r="F6326" s="1" t="n">
        <v>8.699999999999999</v>
      </c>
      <c r="G6326" s="1" t="n">
        <v>15.2</v>
      </c>
      <c r="H6326" s="1" t="n">
        <v>380</v>
      </c>
      <c r="J6326" t="n">
        <v>54401121</v>
      </c>
    </row>
    <row r="6327" ht="15.75" customHeight="1" s="201">
      <c r="A6327" s="1" t="inlineStr">
        <is>
          <t>Snacks, tortilla chips, plain, white corn, salted</t>
        </is>
      </c>
      <c r="C6327" s="1" t="n">
        <v>67.78</v>
      </c>
      <c r="D6327" s="1" t="n">
        <v>12</v>
      </c>
      <c r="E6327" s="1" t="n">
        <v>1.52</v>
      </c>
      <c r="F6327" s="1" t="n">
        <v>7.1</v>
      </c>
      <c r="G6327" s="1" t="n">
        <v>20.68</v>
      </c>
      <c r="H6327" s="1" t="n">
        <v>4</v>
      </c>
      <c r="I6327" s="1" t="n">
        <v>1.38</v>
      </c>
      <c r="J6327" t="n">
        <v>54401121</v>
      </c>
    </row>
    <row r="6328" ht="15.75" customHeight="1" s="201">
      <c r="A6328" s="1" t="inlineStr">
        <is>
          <t>Snacks, tortilla chips, ranch-flavor</t>
        </is>
      </c>
      <c r="C6328" s="1" t="n">
        <v>62.74</v>
      </c>
      <c r="E6328" s="1" t="n">
        <v>1.38</v>
      </c>
      <c r="F6328" s="1" t="n">
        <v>7.19</v>
      </c>
      <c r="G6328" s="1" t="n">
        <v>24.63</v>
      </c>
      <c r="I6328" s="1" t="n">
        <v>1.43</v>
      </c>
      <c r="J6328" t="n">
        <v>54401085</v>
      </c>
    </row>
    <row r="6329" ht="15.75" customHeight="1" s="201">
      <c r="A6329" s="1" t="inlineStr">
        <is>
          <t>Snacks, tortilla chips, taco-flavor</t>
        </is>
      </c>
      <c r="C6329" s="1" t="n">
        <v>63.1</v>
      </c>
      <c r="D6329" s="1" t="n">
        <v>21</v>
      </c>
      <c r="E6329" s="1" t="n">
        <v>2.02</v>
      </c>
      <c r="F6329" s="1" t="n">
        <v>7.9</v>
      </c>
      <c r="G6329" s="1" t="n">
        <v>24.2</v>
      </c>
      <c r="H6329" s="1" t="n">
        <v>905</v>
      </c>
      <c r="I6329" s="1" t="n">
        <v>1.27</v>
      </c>
      <c r="J6329" t="n">
        <v>54401085</v>
      </c>
    </row>
    <row r="6330" ht="15.75" customHeight="1" s="201">
      <c r="A6330" s="1" t="inlineStr">
        <is>
          <t>Snacks, tortilla chips, unsalted, white corn</t>
        </is>
      </c>
      <c r="C6330" s="1" t="n">
        <v>65.31999999999999</v>
      </c>
      <c r="D6330" s="1" t="n">
        <v>10</v>
      </c>
      <c r="E6330" s="1" t="n">
        <v>2.32</v>
      </c>
      <c r="F6330" s="1" t="n">
        <v>7.79</v>
      </c>
      <c r="G6330" s="1" t="n">
        <v>23.36</v>
      </c>
      <c r="H6330" s="1" t="n">
        <v>82</v>
      </c>
      <c r="I6330" s="1" t="n">
        <v>2.46</v>
      </c>
      <c r="J6330" t="n">
        <v>54401085</v>
      </c>
    </row>
    <row r="6331" ht="15.75" customHeight="1" s="201">
      <c r="A6331" s="1" t="inlineStr">
        <is>
          <t>Snacks, trail mix, regular</t>
        </is>
      </c>
      <c r="C6331" s="1" t="n">
        <v>44.9</v>
      </c>
      <c r="D6331" s="1" t="n">
        <v>71</v>
      </c>
      <c r="E6331" s="1" t="n">
        <v>3.05</v>
      </c>
      <c r="F6331" s="1" t="n">
        <v>13.8</v>
      </c>
      <c r="G6331" s="1" t="n">
        <v>29.4</v>
      </c>
      <c r="H6331" s="1" t="n">
        <v>18</v>
      </c>
      <c r="I6331" s="1" t="n">
        <v>3.22</v>
      </c>
      <c r="J6331" t="n">
        <v>91708030</v>
      </c>
    </row>
    <row r="6332" ht="15.75" customHeight="1" s="201">
      <c r="A6332" s="1" t="inlineStr">
        <is>
          <t>Snacks, trail mix, regular, unsalted</t>
        </is>
      </c>
      <c r="C6332" s="1" t="n">
        <v>44.9</v>
      </c>
      <c r="D6332" s="1" t="n">
        <v>71</v>
      </c>
      <c r="E6332" s="1" t="n">
        <v>3.05</v>
      </c>
      <c r="F6332" s="1" t="n">
        <v>13.8</v>
      </c>
      <c r="G6332" s="1" t="n">
        <v>29.4</v>
      </c>
      <c r="H6332" s="1" t="n">
        <v>18</v>
      </c>
      <c r="I6332" s="1" t="n">
        <v>3.22</v>
      </c>
      <c r="J6332" t="n">
        <v>91708030</v>
      </c>
    </row>
    <row r="6333" ht="15.75" customHeight="1" s="201">
      <c r="A6333" s="1" t="inlineStr">
        <is>
          <t>Snacks, trail mix, regular, with chocolate chips, salted nuts and seeds</t>
        </is>
      </c>
      <c r="C6333" s="1" t="n">
        <v>44.9</v>
      </c>
      <c r="D6333" s="1" t="n">
        <v>52</v>
      </c>
      <c r="E6333" s="1" t="n">
        <v>3.39</v>
      </c>
      <c r="F6333" s="1" t="n">
        <v>14.2</v>
      </c>
      <c r="G6333" s="1" t="n">
        <v>31.9</v>
      </c>
      <c r="H6333" s="1" t="n">
        <v>10</v>
      </c>
      <c r="I6333" s="1" t="n">
        <v>3.14</v>
      </c>
      <c r="J6333" t="n">
        <v>53108200</v>
      </c>
    </row>
    <row r="6334" ht="15.75" customHeight="1" s="201">
      <c r="A6334" s="1" t="inlineStr">
        <is>
          <t>Snacks, trail mix, regular, with chocolate chips, unsalted nuts and seeds</t>
        </is>
      </c>
      <c r="C6334" s="1" t="n">
        <v>44.9</v>
      </c>
      <c r="D6334" s="1" t="n">
        <v>65</v>
      </c>
      <c r="E6334" s="1" t="n">
        <v>3.39</v>
      </c>
      <c r="F6334" s="1" t="n">
        <v>14.2</v>
      </c>
      <c r="G6334" s="1" t="n">
        <v>31.9</v>
      </c>
      <c r="H6334" s="1" t="n">
        <v>44</v>
      </c>
      <c r="I6334" s="1" t="n">
        <v>3.14</v>
      </c>
      <c r="J6334" t="n">
        <v>53108200</v>
      </c>
    </row>
    <row r="6335" ht="15.75" customHeight="1" s="201">
      <c r="A6335" s="1" t="inlineStr">
        <is>
          <t>Snacks, trail mix, tropical</t>
        </is>
      </c>
      <c r="C6335" s="1" t="n">
        <v>65.59999999999999</v>
      </c>
      <c r="D6335" s="1" t="n">
        <v>42</v>
      </c>
      <c r="E6335" s="1" t="n">
        <v>2.64</v>
      </c>
      <c r="F6335" s="1" t="n">
        <v>6.3</v>
      </c>
      <c r="G6335" s="1" t="n">
        <v>17.1</v>
      </c>
      <c r="H6335" s="1" t="n">
        <v>49</v>
      </c>
      <c r="I6335" s="1" t="n">
        <v>1.17</v>
      </c>
      <c r="J6335" t="n">
        <v>91708030</v>
      </c>
    </row>
    <row r="6336" ht="15.75" customHeight="1" s="201">
      <c r="A6336" s="1" t="inlineStr">
        <is>
          <t>Snacks, yucca (cassava) chips, salted</t>
        </is>
      </c>
      <c r="C6336" s="1" t="n">
        <v>69.23</v>
      </c>
      <c r="E6336" s="1" t="n">
        <v>0.72</v>
      </c>
      <c r="F6336" s="1" t="n">
        <v>1.34</v>
      </c>
      <c r="G6336" s="1" t="n">
        <v>25.91</v>
      </c>
      <c r="I6336" s="1" t="n">
        <v>0.85</v>
      </c>
      <c r="J6336" t="n">
        <v>54440020</v>
      </c>
    </row>
    <row r="6337" ht="15.75" customHeight="1" s="201">
      <c r="A6337" s="1" t="inlineStr">
        <is>
          <t>Sorghum flour, refined, unenriched</t>
        </is>
      </c>
      <c r="C6337" s="1" t="n">
        <v>76.84999999999999</v>
      </c>
      <c r="E6337" s="1" t="n">
        <v>0.97</v>
      </c>
      <c r="F6337" s="1" t="n">
        <v>9.529999999999999</v>
      </c>
      <c r="G6337" s="1" t="n">
        <v>1.24</v>
      </c>
      <c r="I6337" s="1" t="n">
        <v>0.47</v>
      </c>
      <c r="J6337" t="n">
        <v>52215350</v>
      </c>
    </row>
    <row r="6338" ht="15.75" customHeight="1" s="201">
      <c r="A6338" s="1" t="inlineStr">
        <is>
          <t>Sorghum flour, whole-grain</t>
        </is>
      </c>
      <c r="C6338" s="1" t="n">
        <v>76.64</v>
      </c>
      <c r="D6338" s="1" t="n">
        <v>25</v>
      </c>
      <c r="E6338" s="1" t="n">
        <v>3.14</v>
      </c>
      <c r="F6338" s="1" t="n">
        <v>8.43</v>
      </c>
      <c r="G6338" s="1" t="n">
        <v>3.34</v>
      </c>
      <c r="H6338" s="1" t="n">
        <v>0</v>
      </c>
      <c r="I6338" s="1" t="n">
        <v>1.63</v>
      </c>
      <c r="J6338" t="n">
        <v>54204030</v>
      </c>
    </row>
    <row r="6339" ht="15.75" customHeight="1" s="201">
      <c r="A6339" s="1" t="inlineStr">
        <is>
          <t>Sorghum grain</t>
        </is>
      </c>
      <c r="C6339" s="1" t="n">
        <v>72.09</v>
      </c>
      <c r="D6339" s="1" t="n">
        <v>20</v>
      </c>
      <c r="E6339" s="1" t="n">
        <v>3.36</v>
      </c>
      <c r="F6339" s="1" t="n">
        <v>10.62</v>
      </c>
      <c r="G6339" s="1" t="n">
        <v>3.46</v>
      </c>
      <c r="H6339" s="1" t="n">
        <v>0</v>
      </c>
      <c r="I6339" s="1" t="n">
        <v>1.67</v>
      </c>
      <c r="J6339" t="n">
        <v>54204030</v>
      </c>
    </row>
    <row r="6340" ht="15.75" customHeight="1" s="201">
      <c r="A6340" s="1" t="inlineStr">
        <is>
          <t>Soup, bean &amp; ham, canned, reduced sodium, prepared with water or ready-to-serve</t>
        </is>
      </c>
      <c r="C6340" s="1" t="n">
        <v>13.66</v>
      </c>
      <c r="D6340" s="1" t="n">
        <v>29</v>
      </c>
      <c r="E6340" s="1" t="n">
        <v>1.02</v>
      </c>
      <c r="F6340" s="1" t="n">
        <v>4.19</v>
      </c>
      <c r="G6340" s="1" t="n">
        <v>1.03</v>
      </c>
      <c r="H6340" s="1" t="n">
        <v>702</v>
      </c>
      <c r="I6340" s="1" t="n">
        <v>0.53</v>
      </c>
      <c r="J6340" t="n">
        <v>75651010</v>
      </c>
    </row>
    <row r="6341" ht="15.75" customHeight="1" s="201">
      <c r="A6341" s="1" t="inlineStr">
        <is>
          <t>Soup, bean with bacon, condensed, single brand</t>
        </is>
      </c>
      <c r="C6341" s="1" t="n">
        <v>18</v>
      </c>
      <c r="E6341" s="1" t="n">
        <v>1.37</v>
      </c>
      <c r="F6341" s="1" t="n">
        <v>6.5</v>
      </c>
      <c r="G6341" s="1" t="n">
        <v>2.1</v>
      </c>
      <c r="H6341" s="1" t="n">
        <v>183</v>
      </c>
      <c r="J6341" t="n">
        <v>75142550</v>
      </c>
    </row>
    <row r="6342" ht="15.75" customHeight="1" s="201">
      <c r="A6342" s="1" t="inlineStr">
        <is>
          <t>Soup, bean with frankfurters, canned, condensed</t>
        </is>
      </c>
      <c r="C6342" s="1" t="n">
        <v>16.75</v>
      </c>
      <c r="D6342" s="1" t="n">
        <v>24</v>
      </c>
      <c r="E6342" s="1" t="n">
        <v>1.78</v>
      </c>
      <c r="F6342" s="1" t="n">
        <v>7.6</v>
      </c>
      <c r="G6342" s="1" t="n">
        <v>5.31</v>
      </c>
      <c r="H6342" s="1" t="n">
        <v>662</v>
      </c>
      <c r="I6342" s="1" t="n">
        <v>0.9</v>
      </c>
      <c r="J6342" t="n">
        <v>75142550</v>
      </c>
    </row>
    <row r="6343" ht="15.75" customHeight="1" s="201">
      <c r="A6343" s="1" t="inlineStr">
        <is>
          <t>Soup, bean with frankfurters, canned, prepared with equal volume water</t>
        </is>
      </c>
      <c r="C6343" s="1" t="n">
        <v>8.800000000000001</v>
      </c>
      <c r="D6343" s="1" t="n">
        <v>12</v>
      </c>
      <c r="E6343" s="1" t="n">
        <v>0.9399999999999999</v>
      </c>
      <c r="F6343" s="1" t="n">
        <v>3.99</v>
      </c>
      <c r="G6343" s="1" t="n">
        <v>2.79</v>
      </c>
      <c r="H6343" s="1" t="n">
        <v>348</v>
      </c>
      <c r="I6343" s="1" t="n">
        <v>0.47</v>
      </c>
      <c r="J6343" t="n">
        <v>75142550</v>
      </c>
    </row>
    <row r="6344" ht="15.75" customHeight="1" s="201">
      <c r="A6344" s="1" t="inlineStr">
        <is>
          <t>Soup, bean with ham, canned, chunky, ready-to-serve</t>
        </is>
      </c>
      <c r="C6344" s="1" t="n">
        <v>11.16</v>
      </c>
      <c r="D6344" s="1" t="n">
        <v>12</v>
      </c>
      <c r="E6344" s="1" t="n">
        <v>1.33</v>
      </c>
      <c r="F6344" s="1" t="n">
        <v>5.19</v>
      </c>
      <c r="G6344" s="1" t="n">
        <v>3.5</v>
      </c>
      <c r="H6344" s="1" t="n">
        <v>1626</v>
      </c>
      <c r="I6344" s="1" t="n">
        <v>0.44</v>
      </c>
      <c r="J6344" t="n">
        <v>75651010</v>
      </c>
    </row>
    <row r="6345" ht="15.75" customHeight="1" s="201">
      <c r="A6345" s="1" t="inlineStr">
        <is>
          <t>Soup, bean with pork, canned, condensed</t>
        </is>
      </c>
      <c r="C6345" s="1" t="n">
        <v>16.97</v>
      </c>
      <c r="D6345" s="1" t="n">
        <v>24</v>
      </c>
      <c r="E6345" s="1" t="n">
        <v>1.53</v>
      </c>
      <c r="F6345" s="1" t="n">
        <v>5.88</v>
      </c>
      <c r="G6345" s="1" t="n">
        <v>4.42</v>
      </c>
      <c r="H6345" s="1" t="n">
        <v>662</v>
      </c>
      <c r="I6345" s="1" t="n">
        <v>0.77</v>
      </c>
      <c r="J6345" t="n">
        <v>75142550</v>
      </c>
    </row>
    <row r="6346" ht="15.75" customHeight="1" s="201">
      <c r="A6346" s="1" t="inlineStr">
        <is>
          <t>Soup, bean with pork, canned, prepared with equal volume water</t>
        </is>
      </c>
      <c r="C6346" s="1" t="n">
        <v>8.31</v>
      </c>
      <c r="D6346" s="1" t="n">
        <v>12</v>
      </c>
      <c r="E6346" s="1" t="n">
        <v>0.75</v>
      </c>
      <c r="F6346" s="1" t="n">
        <v>2.88</v>
      </c>
      <c r="G6346" s="1" t="n">
        <v>2.16</v>
      </c>
      <c r="H6346" s="1" t="n">
        <v>324</v>
      </c>
      <c r="I6346" s="1" t="n">
        <v>0.38</v>
      </c>
      <c r="J6346" t="n">
        <v>75142550</v>
      </c>
    </row>
    <row r="6347" ht="15.75" customHeight="1" s="201">
      <c r="A6347" s="1" t="inlineStr">
        <is>
          <t>Soup, beef and mushroom, low sodium, chunk style</t>
        </is>
      </c>
      <c r="C6347" s="1" t="n">
        <v>9.58</v>
      </c>
      <c r="D6347" s="1" t="n">
        <v>5</v>
      </c>
      <c r="E6347" s="1" t="n">
        <v>0.97</v>
      </c>
      <c r="F6347" s="1" t="n">
        <v>4.3</v>
      </c>
      <c r="G6347" s="1" t="n">
        <v>2.3</v>
      </c>
      <c r="H6347" s="1" t="n">
        <v>1967</v>
      </c>
      <c r="I6347" s="1" t="n">
        <v>1.1</v>
      </c>
      <c r="J6347" t="n">
        <v>28110510</v>
      </c>
    </row>
    <row r="6348" ht="15.75" customHeight="1" s="201">
      <c r="A6348" s="1" t="inlineStr">
        <is>
          <t>Soup, beef and vegetables, canned, ready-to-serve</t>
        </is>
      </c>
      <c r="C6348" s="1" t="n">
        <v>6.16</v>
      </c>
      <c r="D6348" s="1" t="n">
        <v>9</v>
      </c>
      <c r="E6348" s="1" t="n">
        <v>0.51</v>
      </c>
      <c r="F6348" s="1" t="n">
        <v>3.18</v>
      </c>
      <c r="G6348" s="1" t="n">
        <v>1.16</v>
      </c>
      <c r="H6348" s="1" t="n">
        <v>2290</v>
      </c>
      <c r="I6348" s="1" t="n">
        <v>0.5600000000000001</v>
      </c>
      <c r="J6348" t="n">
        <v>75651010</v>
      </c>
    </row>
    <row r="6349" ht="15.75" customHeight="1" s="201">
      <c r="A6349" s="1" t="inlineStr">
        <is>
          <t>Soup, beef and vegetables, reduced sodium, canned, ready-to-serve</t>
        </is>
      </c>
      <c r="C6349" s="1" t="n">
        <v>4.99</v>
      </c>
      <c r="E6349" s="1" t="n">
        <v>0.45</v>
      </c>
      <c r="F6349" s="1" t="n">
        <v>3.26</v>
      </c>
      <c r="G6349" s="1" t="n">
        <v>0.95</v>
      </c>
      <c r="I6349" s="1" t="n">
        <v>0.41</v>
      </c>
      <c r="J6349" t="n">
        <v>54204030</v>
      </c>
    </row>
    <row r="6350" ht="15.75" customHeight="1" s="201">
      <c r="A6350" s="1" t="inlineStr">
        <is>
          <t>Soup, beef barley, ready to serve</t>
        </is>
      </c>
      <c r="C6350" s="1" t="n">
        <v>7.94</v>
      </c>
      <c r="D6350" s="1" t="n">
        <v>11</v>
      </c>
      <c r="E6350" s="1" t="n">
        <v>0.45</v>
      </c>
      <c r="F6350" s="1" t="n">
        <v>2.81</v>
      </c>
      <c r="G6350" s="1" t="n">
        <v>0.96</v>
      </c>
      <c r="H6350" s="1" t="n">
        <v>279</v>
      </c>
      <c r="I6350" s="1" t="n">
        <v>0.5</v>
      </c>
      <c r="J6350" t="n">
        <v>58401010</v>
      </c>
    </row>
    <row r="6351" ht="15.75" customHeight="1" s="201">
      <c r="A6351" s="1" t="inlineStr">
        <is>
          <t>Soup, beef broth bouillon and consomme, canned, condensed</t>
        </is>
      </c>
      <c r="C6351" s="1" t="n">
        <v>0.32</v>
      </c>
      <c r="D6351" s="1" t="n">
        <v>5</v>
      </c>
      <c r="E6351" s="1" t="n">
        <v>0.43</v>
      </c>
      <c r="F6351" s="1" t="n">
        <v>2.52</v>
      </c>
      <c r="G6351" s="1" t="n">
        <v>0</v>
      </c>
      <c r="H6351" s="1" t="n">
        <v>0</v>
      </c>
      <c r="I6351" s="1" t="n">
        <v>0.01</v>
      </c>
      <c r="J6351" t="n">
        <v>28110510</v>
      </c>
    </row>
    <row r="6352" ht="15.75" customHeight="1" s="201">
      <c r="A6352" s="1" t="inlineStr">
        <is>
          <t>Soup, beef broth or bouillon canned, ready-to-serve</t>
        </is>
      </c>
      <c r="C6352" s="1" t="n">
        <v>0.04</v>
      </c>
      <c r="D6352" s="1" t="n">
        <v>2</v>
      </c>
      <c r="E6352" s="1" t="n">
        <v>0.17</v>
      </c>
      <c r="F6352" s="1" t="n">
        <v>1.14</v>
      </c>
      <c r="G6352" s="1" t="n">
        <v>0.22</v>
      </c>
      <c r="H6352" s="1" t="n">
        <v>0</v>
      </c>
      <c r="I6352" s="1" t="n">
        <v>0</v>
      </c>
      <c r="J6352" t="n">
        <v>75651010</v>
      </c>
    </row>
    <row r="6353" ht="15.75" customHeight="1" s="201">
      <c r="A6353" s="1" t="inlineStr">
        <is>
          <t>Soup, beef broth or bouillon, powder, dry</t>
        </is>
      </c>
      <c r="C6353" s="1" t="n">
        <v>17.4</v>
      </c>
      <c r="D6353" s="1" t="n">
        <v>32</v>
      </c>
      <c r="E6353" s="1" t="n">
        <v>1</v>
      </c>
      <c r="F6353" s="1" t="n">
        <v>15.97</v>
      </c>
      <c r="G6353" s="1" t="n">
        <v>8.890000000000001</v>
      </c>
      <c r="H6353" s="1" t="n">
        <v>0</v>
      </c>
      <c r="I6353" s="1" t="n">
        <v>0</v>
      </c>
      <c r="J6353" t="n">
        <v>28110510</v>
      </c>
    </row>
    <row r="6354" ht="15.75" customHeight="1" s="201">
      <c r="A6354" s="1" t="inlineStr">
        <is>
          <t>Soup, beef broth or bouillon, powder, prepared with water</t>
        </is>
      </c>
      <c r="C6354" s="1" t="n">
        <v>0.25</v>
      </c>
      <c r="D6354" s="1" t="n">
        <v>0</v>
      </c>
      <c r="E6354" s="1" t="n">
        <v>0.02</v>
      </c>
      <c r="F6354" s="1" t="n">
        <v>0.21</v>
      </c>
      <c r="G6354" s="1" t="n">
        <v>0.08</v>
      </c>
      <c r="H6354" s="1" t="n">
        <v>0</v>
      </c>
      <c r="I6354" s="1" t="n">
        <v>0.01</v>
      </c>
      <c r="J6354" t="n">
        <v>11740313</v>
      </c>
    </row>
    <row r="6355" ht="15.75" customHeight="1" s="201">
      <c r="A6355" s="1" t="inlineStr">
        <is>
          <t>Soup, beef broth, bouillon, consomme, prepared with equal volume water</t>
        </is>
      </c>
      <c r="C6355" s="1" t="n">
        <v>0.73</v>
      </c>
      <c r="D6355" s="1" t="n">
        <v>1</v>
      </c>
      <c r="E6355" s="1" t="n">
        <v>0.22</v>
      </c>
      <c r="F6355" s="1" t="n">
        <v>2.22</v>
      </c>
      <c r="G6355" s="1" t="n">
        <v>0</v>
      </c>
      <c r="H6355" s="1" t="n">
        <v>0</v>
      </c>
      <c r="I6355" s="1" t="n">
        <v>0.15</v>
      </c>
      <c r="J6355" t="n">
        <v>11740312</v>
      </c>
    </row>
    <row r="6356" ht="15.75" customHeight="1" s="201">
      <c r="A6356" s="1" t="inlineStr">
        <is>
          <t>Soup, beef broth, cubed, dry</t>
        </is>
      </c>
      <c r="C6356" s="1" t="n">
        <v>16.1</v>
      </c>
      <c r="D6356" s="1" t="n">
        <v>32</v>
      </c>
      <c r="E6356" s="1" t="n">
        <v>2.23</v>
      </c>
      <c r="F6356" s="1" t="n">
        <v>17.3</v>
      </c>
      <c r="G6356" s="1" t="n">
        <v>4</v>
      </c>
      <c r="H6356" s="1" t="n">
        <v>1</v>
      </c>
      <c r="I6356" s="1" t="n">
        <v>0.21</v>
      </c>
      <c r="J6356" t="n">
        <v>28110510</v>
      </c>
    </row>
    <row r="6357" ht="15.75" customHeight="1" s="201">
      <c r="A6357" s="1" t="inlineStr">
        <is>
          <t>Soup, beef broth, cubed, prepared with water</t>
        </is>
      </c>
      <c r="C6357" s="1" t="n">
        <v>0.25</v>
      </c>
      <c r="D6357" s="1" t="n">
        <v>0</v>
      </c>
      <c r="E6357" s="1" t="n">
        <v>0.02</v>
      </c>
      <c r="F6357" s="1" t="n">
        <v>0.21</v>
      </c>
      <c r="G6357" s="1" t="n">
        <v>0.08</v>
      </c>
      <c r="H6357" s="1" t="n">
        <v>0</v>
      </c>
      <c r="I6357" s="1" t="n">
        <v>0.01</v>
      </c>
      <c r="J6357" t="n">
        <v>11740312</v>
      </c>
    </row>
    <row r="6358" ht="15.75" customHeight="1" s="201">
      <c r="A6358" s="1" t="inlineStr">
        <is>
          <t>Soup, beef broth, less/reduced sodium, ready to serve</t>
        </is>
      </c>
      <c r="C6358" s="1" t="n">
        <v>0.2</v>
      </c>
      <c r="D6358" s="1" t="n">
        <v>2</v>
      </c>
      <c r="E6358" s="1" t="n">
        <v>0.04</v>
      </c>
      <c r="F6358" s="1" t="n">
        <v>1.14</v>
      </c>
      <c r="G6358" s="1" t="n">
        <v>0.07000000000000001</v>
      </c>
      <c r="H6358" s="1" t="n">
        <v>0</v>
      </c>
      <c r="I6358" s="1" t="n">
        <v>0.24</v>
      </c>
      <c r="J6358" t="n">
        <v>54204030</v>
      </c>
    </row>
    <row r="6359" ht="15.75" customHeight="1" s="201">
      <c r="A6359" s="1" t="inlineStr">
        <is>
          <t>Soup, beef mushroom, canned, condensed</t>
        </is>
      </c>
      <c r="C6359" s="1" t="n">
        <v>5.2</v>
      </c>
      <c r="D6359" s="1" t="n">
        <v>7</v>
      </c>
      <c r="E6359" s="1" t="n">
        <v>0.7</v>
      </c>
      <c r="F6359" s="1" t="n">
        <v>4.6</v>
      </c>
      <c r="G6359" s="1" t="n">
        <v>2.4</v>
      </c>
      <c r="H6359" s="1" t="n">
        <v>0</v>
      </c>
      <c r="I6359" s="1" t="n">
        <v>1.1</v>
      </c>
      <c r="J6359" t="n">
        <v>28110510</v>
      </c>
    </row>
    <row r="6360" ht="15.75" customHeight="1" s="201">
      <c r="A6360" s="1" t="inlineStr">
        <is>
          <t>Soup, beef mushroom, canned, prepared with equal volume water</t>
        </is>
      </c>
      <c r="C6360" s="1" t="n">
        <v>2.6</v>
      </c>
      <c r="D6360" s="1" t="n">
        <v>4</v>
      </c>
      <c r="E6360" s="1" t="n">
        <v>0.36</v>
      </c>
      <c r="F6360" s="1" t="n">
        <v>2.37</v>
      </c>
      <c r="G6360" s="1" t="n">
        <v>1.23</v>
      </c>
      <c r="H6360" s="1" t="n">
        <v>0</v>
      </c>
      <c r="I6360" s="1" t="n">
        <v>0.6</v>
      </c>
      <c r="J6360" t="n">
        <v>75651010</v>
      </c>
    </row>
    <row r="6361" ht="15.75" customHeight="1" s="201">
      <c r="A6361" s="1" t="inlineStr">
        <is>
          <t>Soup, beef noodle, canned, condensed</t>
        </is>
      </c>
      <c r="C6361" s="1" t="n">
        <v>7.16</v>
      </c>
      <c r="D6361" s="1" t="n">
        <v>15</v>
      </c>
      <c r="E6361" s="1" t="n">
        <v>0.88</v>
      </c>
      <c r="F6361" s="1" t="n">
        <v>3.85</v>
      </c>
      <c r="G6361" s="1" t="n">
        <v>2.46</v>
      </c>
      <c r="H6361" s="1" t="n">
        <v>202</v>
      </c>
      <c r="I6361" s="1" t="n">
        <v>1.23</v>
      </c>
      <c r="J6361" t="n">
        <v>58407030</v>
      </c>
    </row>
    <row r="6362" ht="15.75" customHeight="1" s="201">
      <c r="A6362" s="1" t="inlineStr">
        <is>
          <t>Soup, beef noodle, canned, prepared with equal volume water</t>
        </is>
      </c>
      <c r="C6362" s="1" t="n">
        <v>3.58</v>
      </c>
      <c r="D6362" s="1" t="n">
        <v>8</v>
      </c>
      <c r="E6362" s="1" t="n">
        <v>0.44</v>
      </c>
      <c r="F6362" s="1" t="n">
        <v>1.93</v>
      </c>
      <c r="G6362" s="1" t="n">
        <v>1.23</v>
      </c>
      <c r="H6362" s="1" t="n">
        <v>101</v>
      </c>
      <c r="I6362" s="1" t="n">
        <v>0.62</v>
      </c>
      <c r="J6362" t="n">
        <v>74604600</v>
      </c>
    </row>
    <row r="6363" ht="15.75" customHeight="1" s="201">
      <c r="A6363" s="1" t="inlineStr">
        <is>
          <t>Soup, beef stroganoff, canned, chunky style, ready-to-serve</t>
        </is>
      </c>
      <c r="C6363" s="1" t="n">
        <v>9</v>
      </c>
      <c r="D6363" s="1" t="n">
        <v>67</v>
      </c>
      <c r="E6363" s="1" t="n">
        <v>0.88</v>
      </c>
      <c r="F6363" s="1" t="n">
        <v>5.1</v>
      </c>
      <c r="G6363" s="1" t="n">
        <v>4.6</v>
      </c>
      <c r="H6363" s="1" t="n">
        <v>820</v>
      </c>
      <c r="I6363" s="1" t="n">
        <v>1.1</v>
      </c>
      <c r="J6363" t="n">
        <v>28317010</v>
      </c>
    </row>
    <row r="6364" ht="15.75" customHeight="1" s="201">
      <c r="A6364" s="1" t="inlineStr">
        <is>
          <t>Soup, black bean, canned, condensed</t>
        </is>
      </c>
      <c r="C6364" s="1" t="n">
        <v>15.42</v>
      </c>
      <c r="D6364" s="1" t="n">
        <v>66</v>
      </c>
      <c r="E6364" s="1" t="n">
        <v>1.5</v>
      </c>
      <c r="F6364" s="1" t="n">
        <v>4.83</v>
      </c>
      <c r="G6364" s="1" t="n">
        <v>1.32</v>
      </c>
      <c r="H6364" s="1" t="n">
        <v>445</v>
      </c>
      <c r="I6364" s="1" t="n">
        <v>1.1</v>
      </c>
      <c r="J6364" t="n">
        <v>41601020</v>
      </c>
    </row>
    <row r="6365" ht="15.75" customHeight="1" s="201">
      <c r="A6365" s="1" t="inlineStr">
        <is>
          <t>Soup, black bean, canned, prepared with equal volume water</t>
        </is>
      </c>
      <c r="C6365" s="1" t="n">
        <v>7.71</v>
      </c>
      <c r="D6365" s="1" t="n">
        <v>33</v>
      </c>
      <c r="E6365" s="1" t="n">
        <v>0.75</v>
      </c>
      <c r="F6365" s="1" t="n">
        <v>2.42</v>
      </c>
      <c r="G6365" s="1" t="n">
        <v>0.66</v>
      </c>
      <c r="H6365" s="1" t="n">
        <v>222</v>
      </c>
      <c r="I6365" s="1" t="n">
        <v>0.55</v>
      </c>
      <c r="J6365" t="n">
        <v>75651010</v>
      </c>
    </row>
    <row r="6366" ht="15.75" customHeight="1" s="201">
      <c r="A6366" s="1" t="inlineStr">
        <is>
          <t>Soup, bouillon cubes and granules, low sodium, dry</t>
        </is>
      </c>
      <c r="C6366" s="1" t="n">
        <v>64.88</v>
      </c>
      <c r="D6366" s="1" t="n">
        <v>21</v>
      </c>
      <c r="E6366" s="1" t="n">
        <v>1.03</v>
      </c>
      <c r="F6366" s="1" t="n">
        <v>16.7</v>
      </c>
      <c r="G6366" s="1" t="n">
        <v>13.89</v>
      </c>
      <c r="H6366" s="1" t="n">
        <v>500</v>
      </c>
      <c r="I6366" s="1" t="n">
        <v>0.09</v>
      </c>
      <c r="J6366" t="n">
        <v>54204030</v>
      </c>
    </row>
    <row r="6367" ht="15.75" customHeight="1" s="201">
      <c r="A6367" s="1" t="inlineStr">
        <is>
          <t>Soup, broccoli cheese, canned, condensed, commercial</t>
        </is>
      </c>
      <c r="C6367" s="1" t="n">
        <v>7.7</v>
      </c>
      <c r="D6367" s="1" t="n">
        <v>40</v>
      </c>
      <c r="E6367" s="1" t="n">
        <v>0.3</v>
      </c>
      <c r="F6367" s="1" t="n">
        <v>2.1</v>
      </c>
      <c r="G6367" s="1" t="n">
        <v>5.3</v>
      </c>
      <c r="H6367" s="1" t="n">
        <v>825</v>
      </c>
      <c r="I6367" s="1" t="n">
        <v>0.26</v>
      </c>
      <c r="J6367" t="n">
        <v>28340690</v>
      </c>
    </row>
    <row r="6368" ht="15.75" customHeight="1" s="201">
      <c r="A6368" s="1" t="inlineStr">
        <is>
          <t>Soup, cheese, canned, condensed</t>
        </is>
      </c>
      <c r="C6368" s="1" t="n">
        <v>11.3</v>
      </c>
      <c r="D6368" s="1" t="n">
        <v>3</v>
      </c>
      <c r="E6368" s="1" t="n">
        <v>0.15</v>
      </c>
      <c r="F6368" s="1" t="n">
        <v>0.8</v>
      </c>
      <c r="G6368" s="1" t="n">
        <v>3.92</v>
      </c>
      <c r="H6368" s="1" t="n">
        <v>235</v>
      </c>
      <c r="I6368" s="1" t="n">
        <v>0.15</v>
      </c>
      <c r="J6368" t="n">
        <v>14420100</v>
      </c>
    </row>
    <row r="6369" ht="15.75" customHeight="1" s="201">
      <c r="A6369" s="1" t="inlineStr">
        <is>
          <t>Soup, cheese, canned, prepared with equal volume milk</t>
        </is>
      </c>
      <c r="C6369" s="1" t="n">
        <v>6.47</v>
      </c>
      <c r="D6369" s="1" t="n">
        <v>4</v>
      </c>
      <c r="E6369" s="1" t="n">
        <v>0.32</v>
      </c>
      <c r="F6369" s="1" t="n">
        <v>3.77</v>
      </c>
      <c r="G6369" s="1" t="n">
        <v>5.8</v>
      </c>
      <c r="H6369" s="1" t="n">
        <v>495</v>
      </c>
      <c r="I6369" s="1" t="n">
        <v>0.27</v>
      </c>
      <c r="J6369" t="n">
        <v>74604600</v>
      </c>
    </row>
    <row r="6370" ht="15.75" customHeight="1" s="201">
      <c r="A6370" s="1" t="inlineStr">
        <is>
          <t>Soup, cheese, canned, prepared with equal volume water</t>
        </is>
      </c>
      <c r="C6370" s="1" t="n">
        <v>4.26</v>
      </c>
      <c r="D6370" s="1" t="n">
        <v>2</v>
      </c>
      <c r="E6370" s="1" t="n">
        <v>0.3</v>
      </c>
      <c r="F6370" s="1" t="n">
        <v>2.19</v>
      </c>
      <c r="G6370" s="1" t="n">
        <v>4.24</v>
      </c>
      <c r="H6370" s="1" t="n">
        <v>440</v>
      </c>
      <c r="I6370" s="1" t="n">
        <v>0.26</v>
      </c>
      <c r="J6370" t="n">
        <v>75651010</v>
      </c>
    </row>
    <row r="6371" ht="15.75" customHeight="1" s="201">
      <c r="A6371" s="1" t="inlineStr">
        <is>
          <t>Soup, chicken and vegetable, canned, ready-to-serve</t>
        </is>
      </c>
      <c r="C6371" s="1" t="n">
        <v>4.68</v>
      </c>
      <c r="D6371" s="1" t="n">
        <v>13</v>
      </c>
      <c r="E6371" s="1" t="n">
        <v>0.25</v>
      </c>
      <c r="F6371" s="1" t="n">
        <v>1.97</v>
      </c>
      <c r="G6371" s="1" t="n">
        <v>0.73</v>
      </c>
      <c r="H6371" s="1" t="n">
        <v>1044</v>
      </c>
      <c r="I6371" s="1" t="n">
        <v>0.22</v>
      </c>
      <c r="J6371" t="n">
        <v>58403010</v>
      </c>
    </row>
    <row r="6372" ht="15.75" customHeight="1" s="201">
      <c r="A6372" s="1" t="inlineStr">
        <is>
          <t>Soup, chicken broth cubes, dry</t>
        </is>
      </c>
      <c r="C6372" s="1" t="n">
        <v>23.5</v>
      </c>
      <c r="D6372" s="1" t="n">
        <v>32</v>
      </c>
      <c r="E6372" s="1" t="n">
        <v>1.87</v>
      </c>
      <c r="F6372" s="1" t="n">
        <v>14.6</v>
      </c>
      <c r="G6372" s="1" t="n">
        <v>4.7</v>
      </c>
      <c r="H6372" s="1" t="n">
        <v>2</v>
      </c>
      <c r="I6372" s="1" t="n">
        <v>0.2</v>
      </c>
      <c r="J6372" t="n">
        <v>28340150</v>
      </c>
    </row>
    <row r="6373" ht="15.75" customHeight="1" s="201">
      <c r="A6373" s="1" t="inlineStr">
        <is>
          <t>Soup, chicken broth cubes, dry, prepared with water</t>
        </is>
      </c>
      <c r="C6373" s="1" t="n">
        <v>0.62</v>
      </c>
      <c r="D6373" s="1" t="n">
        <v>1</v>
      </c>
      <c r="E6373" s="1" t="n">
        <v>0.05</v>
      </c>
      <c r="F6373" s="1" t="n">
        <v>0.39</v>
      </c>
      <c r="G6373" s="1" t="n">
        <v>0.12</v>
      </c>
      <c r="H6373" s="1" t="n">
        <v>7</v>
      </c>
      <c r="I6373" s="1" t="n">
        <v>0.01</v>
      </c>
      <c r="J6373" t="n">
        <v>11740312</v>
      </c>
    </row>
    <row r="6374" ht="15.75" customHeight="1" s="201">
      <c r="A6374" s="1" t="inlineStr">
        <is>
          <t>Soup, chicken broth or bouillon, dry</t>
        </is>
      </c>
      <c r="C6374" s="1" t="n">
        <v>18.01</v>
      </c>
      <c r="D6374" s="1" t="n">
        <v>32</v>
      </c>
      <c r="E6374" s="1" t="n">
        <v>1.03</v>
      </c>
      <c r="F6374" s="1" t="n">
        <v>16.66</v>
      </c>
      <c r="G6374" s="1" t="n">
        <v>13.88</v>
      </c>
      <c r="H6374" s="1" t="n">
        <v>2</v>
      </c>
      <c r="I6374" s="1" t="n">
        <v>0.09</v>
      </c>
      <c r="J6374" t="n">
        <v>28340150</v>
      </c>
    </row>
    <row r="6375" ht="15.75" customHeight="1" s="201">
      <c r="A6375" s="1" t="inlineStr">
        <is>
          <t>Soup, chicken broth or bouillon, dry, prepared with water</t>
        </is>
      </c>
      <c r="C6375" s="1" t="n">
        <v>0.3</v>
      </c>
      <c r="D6375" s="1" t="n">
        <v>1</v>
      </c>
      <c r="E6375" s="1" t="n">
        <v>0.02</v>
      </c>
      <c r="F6375" s="1" t="n">
        <v>0.28</v>
      </c>
      <c r="G6375" s="1" t="n">
        <v>0.23</v>
      </c>
      <c r="H6375" s="1" t="n">
        <v>0</v>
      </c>
      <c r="I6375" s="1" t="n">
        <v>0.01</v>
      </c>
      <c r="J6375" t="n">
        <v>11740312</v>
      </c>
    </row>
    <row r="6376" ht="15.75" customHeight="1" s="201">
      <c r="A6376" s="1" t="inlineStr">
        <is>
          <t>Soup, chicken broth, canned, condensed</t>
        </is>
      </c>
      <c r="C6376" s="1" t="n">
        <v>0.75</v>
      </c>
      <c r="D6376" s="1" t="n">
        <v>4</v>
      </c>
      <c r="E6376" s="1" t="n">
        <v>0.41</v>
      </c>
      <c r="F6376" s="1" t="n">
        <v>4.42</v>
      </c>
      <c r="G6376" s="1" t="n">
        <v>1.04</v>
      </c>
      <c r="H6376" s="1" t="n">
        <v>0</v>
      </c>
      <c r="I6376" s="1" t="n">
        <v>0.2</v>
      </c>
      <c r="J6376" t="n">
        <v>58403010</v>
      </c>
    </row>
    <row r="6377" ht="15.75" customHeight="1" s="201">
      <c r="A6377" s="1" t="inlineStr">
        <is>
          <t>Soup, chicken broth, canned, prepared with equal volume water</t>
        </is>
      </c>
      <c r="C6377" s="1" t="n">
        <v>0.38</v>
      </c>
      <c r="D6377" s="1" t="n">
        <v>2</v>
      </c>
      <c r="E6377" s="1" t="n">
        <v>0.21</v>
      </c>
      <c r="F6377" s="1" t="n">
        <v>2.02</v>
      </c>
      <c r="G6377" s="1" t="n">
        <v>0.57</v>
      </c>
      <c r="H6377" s="1" t="n">
        <v>0</v>
      </c>
      <c r="I6377" s="1" t="n">
        <v>0.1</v>
      </c>
      <c r="J6377" t="n">
        <v>75651010</v>
      </c>
    </row>
    <row r="6378" ht="15.75" customHeight="1" s="201">
      <c r="A6378" s="1" t="inlineStr">
        <is>
          <t>Soup, chicken broth, less/reduced sodium, ready to serve</t>
        </is>
      </c>
      <c r="C6378" s="1" t="n">
        <v>0.38</v>
      </c>
      <c r="D6378" s="1" t="n">
        <v>3</v>
      </c>
      <c r="E6378" s="1" t="n">
        <v>0.26</v>
      </c>
      <c r="F6378" s="1" t="n">
        <v>1.36</v>
      </c>
      <c r="G6378" s="1" t="n">
        <v>0</v>
      </c>
      <c r="H6378" s="1" t="n">
        <v>0</v>
      </c>
      <c r="I6378" s="1" t="n">
        <v>0.08</v>
      </c>
      <c r="J6378" t="n">
        <v>58403060</v>
      </c>
    </row>
    <row r="6379" ht="15.75" customHeight="1" s="201">
      <c r="A6379" s="1" t="inlineStr">
        <is>
          <t>Soup, chicken broth, low sodium, canned</t>
        </is>
      </c>
      <c r="C6379" s="1" t="n">
        <v>1.2</v>
      </c>
      <c r="D6379" s="1" t="n">
        <v>0</v>
      </c>
      <c r="E6379" s="1" t="n">
        <v>0.21</v>
      </c>
      <c r="F6379" s="1" t="n">
        <v>2</v>
      </c>
      <c r="G6379" s="1" t="n">
        <v>0.6</v>
      </c>
      <c r="H6379" s="1" t="n">
        <v>0</v>
      </c>
      <c r="I6379" s="1" t="n">
        <v>0.1</v>
      </c>
      <c r="J6379" t="n">
        <v>58403010</v>
      </c>
    </row>
    <row r="6380" ht="15.75" customHeight="1" s="201">
      <c r="A6380" s="1" t="inlineStr">
        <is>
          <t>Soup, chicken broth, ready-to-serve</t>
        </is>
      </c>
      <c r="C6380" s="1" t="n">
        <v>0.44</v>
      </c>
      <c r="D6380" s="1" t="n">
        <v>0</v>
      </c>
      <c r="E6380" s="1" t="n">
        <v>0.07000000000000001</v>
      </c>
      <c r="F6380" s="1" t="n">
        <v>0.64</v>
      </c>
      <c r="G6380" s="1" t="n">
        <v>0.21</v>
      </c>
      <c r="H6380" s="1" t="n">
        <v>2</v>
      </c>
      <c r="I6380" s="1" t="n">
        <v>0.07000000000000001</v>
      </c>
      <c r="J6380" t="n">
        <v>58403010</v>
      </c>
    </row>
    <row r="6381" ht="15.75" customHeight="1" s="201">
      <c r="A6381" s="1" t="inlineStr">
        <is>
          <t>Soup, chicken corn chowder, chunky, ready-to-serve, single brand</t>
        </is>
      </c>
      <c r="C6381" s="1" t="n">
        <v>7.5</v>
      </c>
      <c r="F6381" s="1" t="n">
        <v>3.1</v>
      </c>
      <c r="G6381" s="1" t="n">
        <v>6.3</v>
      </c>
      <c r="H6381" s="1" t="n">
        <v>1150</v>
      </c>
      <c r="J6381" t="n">
        <v>28340690</v>
      </c>
    </row>
    <row r="6382" ht="15.75" customHeight="1" s="201">
      <c r="A6382" s="1" t="inlineStr">
        <is>
          <t>Soup, chicken gumbo, canned, condensed</t>
        </is>
      </c>
      <c r="C6382" s="1" t="n">
        <v>6.67</v>
      </c>
      <c r="D6382" s="1" t="n">
        <v>5</v>
      </c>
      <c r="E6382" s="1" t="n">
        <v>0.71</v>
      </c>
      <c r="F6382" s="1" t="n">
        <v>2.1</v>
      </c>
      <c r="G6382" s="1" t="n">
        <v>1.14</v>
      </c>
      <c r="H6382" s="1" t="n">
        <v>98</v>
      </c>
      <c r="I6382" s="1" t="n">
        <v>0.3</v>
      </c>
      <c r="J6382" t="n">
        <v>58403010</v>
      </c>
    </row>
    <row r="6383" ht="15.75" customHeight="1" s="201">
      <c r="A6383" s="1" t="inlineStr">
        <is>
          <t>Soup, chicken gumbo, canned, prepared with equal volume water</t>
        </is>
      </c>
      <c r="C6383" s="1" t="n">
        <v>3.43</v>
      </c>
      <c r="D6383" s="1" t="n">
        <v>2</v>
      </c>
      <c r="E6383" s="1" t="n">
        <v>0.37</v>
      </c>
      <c r="F6383" s="1" t="n">
        <v>1.08</v>
      </c>
      <c r="G6383" s="1" t="n">
        <v>0.59</v>
      </c>
      <c r="H6383" s="1" t="n">
        <v>55</v>
      </c>
      <c r="I6383" s="1" t="n">
        <v>0.15</v>
      </c>
      <c r="J6383" t="n">
        <v>75651010</v>
      </c>
    </row>
    <row r="6384" ht="15.75" customHeight="1" s="201">
      <c r="A6384" s="1" t="inlineStr">
        <is>
          <t>Soup, chicken mushroom, canned, condensed</t>
        </is>
      </c>
      <c r="C6384" s="1" t="n">
        <v>11.95</v>
      </c>
      <c r="D6384" s="1" t="n">
        <v>2</v>
      </c>
      <c r="E6384" s="1" t="n">
        <v>0.7</v>
      </c>
      <c r="F6384" s="1" t="n">
        <v>1.61</v>
      </c>
      <c r="G6384" s="1" t="n">
        <v>4.84</v>
      </c>
      <c r="H6384" s="1" t="n">
        <v>33</v>
      </c>
      <c r="I6384" s="1" t="n">
        <v>0.8</v>
      </c>
      <c r="J6384" t="n">
        <v>58403010</v>
      </c>
    </row>
    <row r="6385" ht="15.75" customHeight="1" s="201">
      <c r="A6385" s="1" t="inlineStr">
        <is>
          <t>Soup, chicken mushroom, canned, prepared with equal volume water</t>
        </is>
      </c>
      <c r="C6385" s="1" t="n">
        <v>3.8</v>
      </c>
      <c r="D6385" s="1" t="n">
        <v>0</v>
      </c>
      <c r="E6385" s="1" t="n">
        <v>0.36</v>
      </c>
      <c r="F6385" s="1" t="n">
        <v>1.8</v>
      </c>
      <c r="G6385" s="1" t="n">
        <v>3.75</v>
      </c>
      <c r="H6385" s="1" t="n">
        <v>465</v>
      </c>
      <c r="I6385" s="1" t="n">
        <v>0.4</v>
      </c>
      <c r="J6385" t="n">
        <v>75651010</v>
      </c>
    </row>
    <row r="6386" ht="15.75" customHeight="1" s="201">
      <c r="A6386" s="1" t="inlineStr">
        <is>
          <t>Soup, chicken noodle, canned, condensed</t>
        </is>
      </c>
      <c r="C6386" s="1" t="n">
        <v>6.07</v>
      </c>
      <c r="D6386" s="1" t="n">
        <v>14</v>
      </c>
      <c r="E6386" s="1" t="n">
        <v>0.67</v>
      </c>
      <c r="F6386" s="1" t="n">
        <v>2.37</v>
      </c>
      <c r="G6386" s="1" t="n">
        <v>1.55</v>
      </c>
      <c r="H6386" s="1" t="n">
        <v>410</v>
      </c>
      <c r="I6386" s="1" t="n">
        <v>0.28</v>
      </c>
      <c r="J6386" t="n">
        <v>58403010</v>
      </c>
    </row>
    <row r="6387" ht="15.75" customHeight="1" s="201">
      <c r="A6387" s="1" t="inlineStr">
        <is>
          <t>Soup, chicken noodle, canned, prepared with equal volume water</t>
        </is>
      </c>
      <c r="C6387" s="1" t="n">
        <v>2.97</v>
      </c>
      <c r="D6387" s="1" t="n">
        <v>7</v>
      </c>
      <c r="E6387" s="1" t="n">
        <v>0.33</v>
      </c>
      <c r="F6387" s="1" t="n">
        <v>1.16</v>
      </c>
      <c r="G6387" s="1" t="n">
        <v>0.76</v>
      </c>
      <c r="H6387" s="1" t="n">
        <v>201</v>
      </c>
      <c r="I6387" s="1" t="n">
        <v>0.14</v>
      </c>
      <c r="J6387" t="n">
        <v>74604600</v>
      </c>
    </row>
    <row r="6388" ht="15.75" customHeight="1" s="201">
      <c r="A6388" s="1" t="inlineStr">
        <is>
          <t>Soup, chicken noodle, dry, mix</t>
        </is>
      </c>
      <c r="C6388" s="1" t="n">
        <v>62.32</v>
      </c>
      <c r="D6388" s="1" t="n">
        <v>71</v>
      </c>
      <c r="E6388" s="1" t="n">
        <v>2.44</v>
      </c>
      <c r="F6388" s="1" t="n">
        <v>15.42</v>
      </c>
      <c r="G6388" s="1" t="n">
        <v>6.51</v>
      </c>
      <c r="H6388" s="1" t="n">
        <v>44</v>
      </c>
      <c r="I6388" s="1" t="n">
        <v>1.65</v>
      </c>
      <c r="J6388" t="n">
        <v>58403010</v>
      </c>
    </row>
    <row r="6389" ht="15.75" customHeight="1" s="201">
      <c r="A6389" s="1" t="inlineStr">
        <is>
          <t>Soup, chicken noodle, dry, mix, prepared with water</t>
        </is>
      </c>
      <c r="C6389" s="1" t="n">
        <v>3.67</v>
      </c>
      <c r="D6389" s="1" t="n">
        <v>7</v>
      </c>
      <c r="E6389" s="1" t="n">
        <v>0.2</v>
      </c>
      <c r="F6389" s="1" t="n">
        <v>0.84</v>
      </c>
      <c r="G6389" s="1" t="n">
        <v>0.55</v>
      </c>
      <c r="H6389" s="1" t="n">
        <v>11</v>
      </c>
      <c r="I6389" s="1" t="n">
        <v>0.08</v>
      </c>
      <c r="J6389" t="n">
        <v>74604600</v>
      </c>
    </row>
    <row r="6390" ht="15.75" customHeight="1" s="201">
      <c r="A6390" s="1" t="inlineStr">
        <is>
          <t>Soup, chicken noodle, low sodium, canned, prepared with equal volume water</t>
        </is>
      </c>
      <c r="C6390" s="1" t="n">
        <v>2.95</v>
      </c>
      <c r="D6390" s="1" t="n">
        <v>8</v>
      </c>
      <c r="E6390" s="1" t="n">
        <v>0.66</v>
      </c>
      <c r="F6390" s="1" t="n">
        <v>1.27</v>
      </c>
      <c r="G6390" s="1" t="n">
        <v>0.95</v>
      </c>
      <c r="H6390" s="1" t="n">
        <v>201</v>
      </c>
      <c r="I6390" s="1" t="n">
        <v>0.16</v>
      </c>
      <c r="J6390" t="n">
        <v>74604600</v>
      </c>
    </row>
    <row r="6391" ht="15.75" customHeight="1" s="201">
      <c r="A6391" s="1" t="inlineStr">
        <is>
          <t>Soup, chicken noodle, reduced sodium, canned, ready-to-serve</t>
        </is>
      </c>
      <c r="C6391" s="1" t="n">
        <v>3.84</v>
      </c>
      <c r="D6391" s="1" t="n">
        <v>8</v>
      </c>
      <c r="E6391" s="1" t="n">
        <v>0.33</v>
      </c>
      <c r="F6391" s="1" t="n">
        <v>3.29</v>
      </c>
      <c r="G6391" s="1" t="n">
        <v>1.34</v>
      </c>
      <c r="H6391" s="1" t="n">
        <v>964</v>
      </c>
      <c r="I6391" s="1" t="n">
        <v>0.18</v>
      </c>
      <c r="J6391" t="n">
        <v>58403060</v>
      </c>
    </row>
    <row r="6392" ht="15.75" customHeight="1" s="201">
      <c r="A6392" s="1" t="inlineStr">
        <is>
          <t>Soup, chicken rice, canned, chunky, ready-to-serve</t>
        </is>
      </c>
      <c r="C6392" s="1" t="n">
        <v>5.41</v>
      </c>
      <c r="D6392" s="1" t="n">
        <v>2</v>
      </c>
      <c r="E6392" s="1" t="n">
        <v>0.78</v>
      </c>
      <c r="F6392" s="1" t="n">
        <v>5.11</v>
      </c>
      <c r="G6392" s="1" t="n">
        <v>1.33</v>
      </c>
      <c r="H6392" s="1" t="n">
        <v>2418</v>
      </c>
      <c r="I6392" s="1" t="n">
        <v>0.4</v>
      </c>
      <c r="J6392" t="n">
        <v>28340630</v>
      </c>
    </row>
    <row r="6393" ht="15.75" customHeight="1" s="201">
      <c r="A6393" s="1" t="inlineStr">
        <is>
          <t>Soup, chicken vegetable with potato and cheese, chunky, ready-to-serve</t>
        </is>
      </c>
      <c r="C6393" s="1" t="n">
        <v>5.2</v>
      </c>
      <c r="D6393" s="1" t="n">
        <v>9</v>
      </c>
      <c r="E6393" s="1" t="n">
        <v>0.16</v>
      </c>
      <c r="F6393" s="1" t="n">
        <v>1.16</v>
      </c>
      <c r="G6393" s="1" t="n">
        <v>4.46</v>
      </c>
      <c r="H6393" s="1" t="n">
        <v>375</v>
      </c>
      <c r="I6393" s="1" t="n">
        <v>0.16</v>
      </c>
      <c r="J6393" t="n">
        <v>28340690</v>
      </c>
    </row>
    <row r="6394" ht="15.75" customHeight="1" s="201">
      <c r="A6394" s="1" t="inlineStr">
        <is>
          <t>Soup, chicken vegetable, canned, condensed</t>
        </is>
      </c>
      <c r="C6394" s="1" t="n">
        <v>7.01</v>
      </c>
      <c r="D6394" s="1" t="n">
        <v>4</v>
      </c>
      <c r="E6394" s="1" t="n">
        <v>0.71</v>
      </c>
      <c r="F6394" s="1" t="n">
        <v>2.94</v>
      </c>
      <c r="G6394" s="1" t="n">
        <v>2.32</v>
      </c>
      <c r="H6394" s="1" t="n">
        <v>2136</v>
      </c>
      <c r="I6394" s="1" t="n">
        <v>0.3</v>
      </c>
      <c r="J6394" t="n">
        <v>58403010</v>
      </c>
    </row>
    <row r="6395" ht="15.75" customHeight="1" s="201">
      <c r="A6395" s="1" t="inlineStr">
        <is>
          <t>Soup, chicken with rice, canned, condensed</t>
        </is>
      </c>
      <c r="C6395" s="1" t="n">
        <v>11.57</v>
      </c>
      <c r="D6395" s="1" t="n">
        <v>1</v>
      </c>
      <c r="E6395" s="1" t="n">
        <v>0.25</v>
      </c>
      <c r="F6395" s="1" t="n">
        <v>1.84</v>
      </c>
      <c r="G6395" s="1" t="n">
        <v>1.56</v>
      </c>
      <c r="H6395" s="1" t="n">
        <v>498</v>
      </c>
      <c r="I6395" s="1" t="n">
        <v>0.18</v>
      </c>
      <c r="J6395" t="n">
        <v>28340630</v>
      </c>
    </row>
    <row r="6396" ht="15.75" customHeight="1" s="201">
      <c r="A6396" s="1" t="inlineStr">
        <is>
          <t>Soup, chicken with rice, canned, prepared with equal volume water</t>
        </is>
      </c>
      <c r="C6396" s="1" t="n">
        <v>2.92</v>
      </c>
      <c r="D6396" s="1" t="n">
        <v>0</v>
      </c>
      <c r="E6396" s="1" t="n">
        <v>0.31</v>
      </c>
      <c r="F6396" s="1" t="n">
        <v>1.45</v>
      </c>
      <c r="G6396" s="1" t="n">
        <v>0.78</v>
      </c>
      <c r="H6396" s="1" t="n">
        <v>170</v>
      </c>
      <c r="I6396" s="1" t="n">
        <v>0.11</v>
      </c>
      <c r="J6396" t="n">
        <v>75142550</v>
      </c>
    </row>
    <row r="6397" ht="15.75" customHeight="1" s="201">
      <c r="A6397" s="1" t="inlineStr">
        <is>
          <t>Soup, chicken, canned, chunky, ready-to-serve</t>
        </is>
      </c>
      <c r="C6397" s="1" t="n">
        <v>6.88</v>
      </c>
      <c r="D6397" s="1" t="n">
        <v>2</v>
      </c>
      <c r="E6397" s="1" t="n">
        <v>0.6899999999999999</v>
      </c>
      <c r="F6397" s="1" t="n">
        <v>5.06</v>
      </c>
      <c r="G6397" s="1" t="n">
        <v>2.64</v>
      </c>
      <c r="H6397" s="1" t="n">
        <v>511</v>
      </c>
      <c r="I6397" s="1" t="n">
        <v>0.4</v>
      </c>
      <c r="J6397" t="n">
        <v>28340690</v>
      </c>
    </row>
    <row r="6398" ht="15.75" customHeight="1" s="201">
      <c r="A6398" s="1" t="inlineStr">
        <is>
          <t>Soup, chili beef, canned, condensed</t>
        </is>
      </c>
      <c r="C6398" s="1" t="n">
        <v>18.86</v>
      </c>
      <c r="D6398" s="1" t="n">
        <v>9</v>
      </c>
      <c r="E6398" s="1" t="n">
        <v>1.62</v>
      </c>
      <c r="F6398" s="1" t="n">
        <v>5.09</v>
      </c>
      <c r="G6398" s="1" t="n">
        <v>2.53</v>
      </c>
      <c r="H6398" s="1" t="n">
        <v>1149</v>
      </c>
      <c r="I6398" s="1" t="n">
        <v>1.56</v>
      </c>
      <c r="J6398" t="n">
        <v>28110510</v>
      </c>
    </row>
    <row r="6399" ht="15.75" customHeight="1" s="201">
      <c r="A6399" s="1" t="inlineStr">
        <is>
          <t>Soup, chili beef, canned, prepared with equal volume water</t>
        </is>
      </c>
      <c r="C6399" s="1" t="n">
        <v>9.23</v>
      </c>
      <c r="D6399" s="1" t="n">
        <v>4</v>
      </c>
      <c r="E6399" s="1" t="n">
        <v>0.79</v>
      </c>
      <c r="F6399" s="1" t="n">
        <v>2.49</v>
      </c>
      <c r="G6399" s="1" t="n">
        <v>1.24</v>
      </c>
      <c r="H6399" s="1" t="n">
        <v>563</v>
      </c>
      <c r="I6399" s="1" t="n">
        <v>0.77</v>
      </c>
      <c r="J6399" t="n">
        <v>75651010</v>
      </c>
    </row>
    <row r="6400" ht="15.75" customHeight="1" s="201">
      <c r="A6400" s="1" t="inlineStr">
        <is>
          <t>Soup, chunky beef, canned, ready-to-serve</t>
        </is>
      </c>
      <c r="C6400" s="1" t="n">
        <v>10.08</v>
      </c>
      <c r="D6400" s="1" t="n">
        <v>6</v>
      </c>
      <c r="E6400" s="1" t="n">
        <v>0.97</v>
      </c>
      <c r="F6400" s="1" t="n">
        <v>3.97</v>
      </c>
      <c r="G6400" s="1" t="n">
        <v>1.11</v>
      </c>
      <c r="H6400" s="1" t="n">
        <v>1088</v>
      </c>
      <c r="I6400" s="1" t="n">
        <v>1.1</v>
      </c>
      <c r="J6400" t="n">
        <v>28315050</v>
      </c>
    </row>
    <row r="6401" ht="15.75" customHeight="1" s="201">
      <c r="A6401" s="1" t="inlineStr">
        <is>
          <t>Soup, chunky chicken noodle, canned, ready-to-serve</t>
        </is>
      </c>
      <c r="C6401" s="1" t="n">
        <v>4.46</v>
      </c>
      <c r="D6401" s="1" t="n">
        <v>9</v>
      </c>
      <c r="E6401" s="1" t="n">
        <v>0.35</v>
      </c>
      <c r="F6401" s="1" t="n">
        <v>3.09</v>
      </c>
      <c r="G6401" s="1" t="n">
        <v>1.16</v>
      </c>
      <c r="H6401" s="1" t="n">
        <v>1224</v>
      </c>
      <c r="I6401" s="1" t="n">
        <v>0.17</v>
      </c>
      <c r="J6401" t="n">
        <v>58403010</v>
      </c>
    </row>
    <row r="6402" ht="15.75" customHeight="1" s="201">
      <c r="A6402" s="1" t="inlineStr">
        <is>
          <t>Soup, chunky vegetable, canned, ready-to-serve</t>
        </is>
      </c>
      <c r="C6402" s="1" t="n">
        <v>7.9</v>
      </c>
      <c r="D6402" s="1" t="n">
        <v>7</v>
      </c>
      <c r="E6402" s="1" t="n">
        <v>0.51</v>
      </c>
      <c r="F6402" s="1" t="n">
        <v>1.14</v>
      </c>
      <c r="G6402" s="1" t="n">
        <v>0.36</v>
      </c>
      <c r="H6402" s="1" t="n">
        <v>1049</v>
      </c>
      <c r="I6402" s="1" t="n">
        <v>0.23</v>
      </c>
      <c r="J6402" t="n">
        <v>75651010</v>
      </c>
    </row>
    <row r="6403" ht="15.75" customHeight="1" s="201">
      <c r="A6403" s="1" t="inlineStr">
        <is>
          <t>Soup, chunky vegetable, reduced sodium, canned, ready-to-serve</t>
        </is>
      </c>
      <c r="C6403" s="1" t="n">
        <v>10.28</v>
      </c>
      <c r="D6403" s="1" t="n">
        <v>10</v>
      </c>
      <c r="E6403" s="1" t="n">
        <v>0.4</v>
      </c>
      <c r="F6403" s="1" t="n">
        <v>1.16</v>
      </c>
      <c r="G6403" s="1" t="n">
        <v>0.51</v>
      </c>
      <c r="H6403" s="1" t="n">
        <v>1122</v>
      </c>
      <c r="I6403" s="1" t="n">
        <v>0.24</v>
      </c>
      <c r="J6403" t="n">
        <v>54204030</v>
      </c>
    </row>
    <row r="6404" ht="15.75" customHeight="1" s="201">
      <c r="A6404" s="1" t="inlineStr">
        <is>
          <t>Soup, clam chowder, manhattan style, canned, chunky, ready-to-serve</t>
        </is>
      </c>
      <c r="C6404" s="1" t="n">
        <v>7.84</v>
      </c>
      <c r="D6404" s="1" t="n">
        <v>4</v>
      </c>
      <c r="E6404" s="1" t="n">
        <v>1.1</v>
      </c>
      <c r="F6404" s="1" t="n">
        <v>3.02</v>
      </c>
      <c r="G6404" s="1" t="n">
        <v>1.41</v>
      </c>
      <c r="H6404" s="1" t="n">
        <v>1340</v>
      </c>
      <c r="I6404" s="1" t="n">
        <v>0.7</v>
      </c>
      <c r="J6404" t="n">
        <v>28340690</v>
      </c>
    </row>
    <row r="6405" ht="15.75" customHeight="1" s="201">
      <c r="A6405" s="1" t="inlineStr">
        <is>
          <t>Soup, clam chowder, manhattan, canned, condensed</t>
        </is>
      </c>
      <c r="C6405" s="1" t="n">
        <v>9.74</v>
      </c>
      <c r="D6405" s="1" t="n">
        <v>8</v>
      </c>
      <c r="E6405" s="1" t="n">
        <v>1.3</v>
      </c>
      <c r="F6405" s="1" t="n">
        <v>1.74</v>
      </c>
      <c r="G6405" s="1" t="n">
        <v>1.76</v>
      </c>
      <c r="H6405" s="1" t="n">
        <v>762</v>
      </c>
      <c r="I6405" s="1" t="n">
        <v>0.74</v>
      </c>
      <c r="J6405" t="n">
        <v>58403010</v>
      </c>
    </row>
    <row r="6406" ht="15.75" customHeight="1" s="201">
      <c r="A6406" s="1" t="inlineStr">
        <is>
          <t>Soup, clam chowder, manhattan, canned, prepared with equal volume water</t>
        </is>
      </c>
      <c r="C6406" s="1" t="n">
        <v>4.77</v>
      </c>
      <c r="D6406" s="1" t="n">
        <v>4</v>
      </c>
      <c r="E6406" s="1" t="n">
        <v>0.64</v>
      </c>
      <c r="F6406" s="1" t="n">
        <v>0.85</v>
      </c>
      <c r="G6406" s="1" t="n">
        <v>0.86</v>
      </c>
      <c r="H6406" s="1" t="n">
        <v>373</v>
      </c>
      <c r="I6406" s="1" t="n">
        <v>0.36</v>
      </c>
      <c r="J6406" t="n">
        <v>75651010</v>
      </c>
    </row>
    <row r="6407" ht="15.75" customHeight="1" s="201">
      <c r="A6407" s="1" t="inlineStr">
        <is>
          <t>Soup, clam chowder, new england, canned, condensed</t>
        </is>
      </c>
      <c r="C6407" s="1" t="n">
        <v>10.32</v>
      </c>
      <c r="D6407" s="1" t="n">
        <v>14</v>
      </c>
      <c r="E6407" s="1" t="n">
        <v>2.48</v>
      </c>
      <c r="F6407" s="1" t="n">
        <v>3.17</v>
      </c>
      <c r="G6407" s="1" t="n">
        <v>2.06</v>
      </c>
      <c r="H6407" s="1" t="n">
        <v>58</v>
      </c>
      <c r="I6407" s="1" t="n">
        <v>0.37</v>
      </c>
      <c r="J6407" t="n">
        <v>58403010</v>
      </c>
    </row>
    <row r="6408" ht="15.75" customHeight="1" s="201">
      <c r="A6408" s="1" t="inlineStr">
        <is>
          <t>Soup, clam chowder, new england, canned, prepared with equal volume low fat (2%) milk</t>
        </is>
      </c>
      <c r="C6408" s="1" t="n">
        <v>7.46</v>
      </c>
      <c r="D6408" s="1" t="n">
        <v>9</v>
      </c>
      <c r="E6408" s="1" t="n">
        <v>1.21</v>
      </c>
      <c r="F6408" s="1" t="n">
        <v>3.24</v>
      </c>
      <c r="G6408" s="1" t="n">
        <v>2.02</v>
      </c>
      <c r="H6408" s="1" t="n">
        <v>127</v>
      </c>
      <c r="I6408" s="1" t="n">
        <v>0.43</v>
      </c>
      <c r="J6408" t="n">
        <v>74604600</v>
      </c>
    </row>
    <row r="6409" ht="15.75" customHeight="1" s="201">
      <c r="A6409" s="1" t="inlineStr">
        <is>
          <t>Soup, clam chowder, new england, canned, prepared with equal volume water</t>
        </is>
      </c>
      <c r="C6409" s="1" t="n">
        <v>5.05</v>
      </c>
      <c r="D6409" s="1" t="n">
        <v>7</v>
      </c>
      <c r="E6409" s="1" t="n">
        <v>1.22</v>
      </c>
      <c r="F6409" s="1" t="n">
        <v>1.55</v>
      </c>
      <c r="G6409" s="1" t="n">
        <v>1.01</v>
      </c>
      <c r="H6409" s="1" t="n">
        <v>29</v>
      </c>
      <c r="I6409" s="1" t="n">
        <v>0.18</v>
      </c>
      <c r="J6409" t="n">
        <v>75651010</v>
      </c>
    </row>
    <row r="6410" ht="15.75" customHeight="1" s="201">
      <c r="A6410" s="1" t="inlineStr">
        <is>
          <t>Soup, clam chowder, new england, canned, ready-to-serve</t>
        </is>
      </c>
      <c r="C6410" s="1" t="n">
        <v>8.279999999999999</v>
      </c>
      <c r="E6410" s="1" t="n">
        <v>0.48</v>
      </c>
      <c r="F6410" s="1" t="n">
        <v>2.61</v>
      </c>
      <c r="G6410" s="1" t="n">
        <v>3.94</v>
      </c>
      <c r="H6410" s="1" t="n">
        <v>9</v>
      </c>
      <c r="I6410" s="1" t="n">
        <v>0.23</v>
      </c>
      <c r="J6410" t="n">
        <v>75651010</v>
      </c>
    </row>
    <row r="6411" ht="15.75" customHeight="1" s="201">
      <c r="A6411" s="1" t="inlineStr">
        <is>
          <t>Soup, clam chowder, new england, reduced sodium, canned, ready-to-serve</t>
        </is>
      </c>
      <c r="C6411" s="1" t="n">
        <v>5.68</v>
      </c>
      <c r="D6411" s="1" t="n">
        <v>6</v>
      </c>
      <c r="E6411" s="1" t="n">
        <v>0.5600000000000001</v>
      </c>
      <c r="F6411" s="1" t="n">
        <v>2.33</v>
      </c>
      <c r="G6411" s="1" t="n">
        <v>4.23</v>
      </c>
      <c r="H6411" s="1" t="n">
        <v>33</v>
      </c>
      <c r="I6411" s="1" t="n">
        <v>0.27</v>
      </c>
      <c r="J6411" t="n">
        <v>54204030</v>
      </c>
    </row>
    <row r="6412" ht="15.75" customHeight="1" s="201">
      <c r="A6412" s="1" t="inlineStr">
        <is>
          <t>Soup, cream of asparagus, canned, condensed</t>
        </is>
      </c>
      <c r="C6412" s="1" t="n">
        <v>8.52</v>
      </c>
      <c r="D6412" s="1" t="n">
        <v>19</v>
      </c>
      <c r="E6412" s="1" t="n">
        <v>0.64</v>
      </c>
      <c r="F6412" s="1" t="n">
        <v>1.82</v>
      </c>
      <c r="G6412" s="1" t="n">
        <v>3.26</v>
      </c>
      <c r="H6412" s="1" t="n">
        <v>441</v>
      </c>
      <c r="I6412" s="1" t="n">
        <v>0.7</v>
      </c>
      <c r="J6412" t="n">
        <v>74604600</v>
      </c>
    </row>
    <row r="6413" ht="15.75" customHeight="1" s="201">
      <c r="A6413" s="1" t="inlineStr">
        <is>
          <t>Soup, cream of asparagus, canned, prepared with equal volume milk</t>
        </is>
      </c>
      <c r="C6413" s="1" t="n">
        <v>6.61</v>
      </c>
      <c r="D6413" s="1" t="n">
        <v>12</v>
      </c>
      <c r="E6413" s="1" t="n">
        <v>0.35</v>
      </c>
      <c r="F6413" s="1" t="n">
        <v>2.55</v>
      </c>
      <c r="G6413" s="1" t="n">
        <v>3.3</v>
      </c>
      <c r="H6413" s="1" t="n">
        <v>242</v>
      </c>
      <c r="I6413" s="1" t="n">
        <v>0.37</v>
      </c>
      <c r="J6413" t="n">
        <v>74604600</v>
      </c>
    </row>
    <row r="6414" ht="15.75" customHeight="1" s="201">
      <c r="A6414" s="1" t="inlineStr">
        <is>
          <t>Soup, cream of asparagus, canned, prepared with equal volume water</t>
        </is>
      </c>
      <c r="C6414" s="1" t="n">
        <v>4.38</v>
      </c>
      <c r="D6414" s="1" t="n">
        <v>9</v>
      </c>
      <c r="E6414" s="1" t="n">
        <v>0.33</v>
      </c>
      <c r="F6414" s="1" t="n">
        <v>0.9399999999999999</v>
      </c>
      <c r="G6414" s="1" t="n">
        <v>1.68</v>
      </c>
      <c r="H6414" s="1" t="n">
        <v>182</v>
      </c>
      <c r="I6414" s="1" t="n">
        <v>0.36</v>
      </c>
      <c r="J6414" t="n">
        <v>75651010</v>
      </c>
    </row>
    <row r="6415" ht="15.75" customHeight="1" s="201">
      <c r="A6415" s="1" t="inlineStr">
        <is>
          <t>Soup, cream of celery, canned, condensed</t>
        </is>
      </c>
      <c r="C6415" s="1" t="n">
        <v>7.03</v>
      </c>
      <c r="D6415" s="1" t="n">
        <v>2</v>
      </c>
      <c r="E6415" s="1" t="n">
        <v>0.5</v>
      </c>
      <c r="F6415" s="1" t="n">
        <v>1.32</v>
      </c>
      <c r="G6415" s="1" t="n">
        <v>4.46</v>
      </c>
      <c r="H6415" s="1" t="n">
        <v>282</v>
      </c>
      <c r="I6415" s="1" t="n">
        <v>0.12</v>
      </c>
      <c r="J6415" t="n">
        <v>74604600</v>
      </c>
    </row>
    <row r="6416" ht="15.75" customHeight="1" s="201">
      <c r="A6416" s="1" t="inlineStr">
        <is>
          <t>Soup, cream of celery, canned, prepared with equal volume milk</t>
        </is>
      </c>
      <c r="C6416" s="1" t="n">
        <v>5.86</v>
      </c>
      <c r="D6416" s="1" t="n">
        <v>3</v>
      </c>
      <c r="E6416" s="1" t="n">
        <v>0.28</v>
      </c>
      <c r="F6416" s="1" t="n">
        <v>2.29</v>
      </c>
      <c r="G6416" s="1" t="n">
        <v>3.91</v>
      </c>
      <c r="H6416" s="1" t="n">
        <v>186</v>
      </c>
      <c r="I6416" s="1" t="n">
        <v>0.08</v>
      </c>
      <c r="J6416" t="n">
        <v>74604600</v>
      </c>
    </row>
    <row r="6417" ht="15.75" customHeight="1" s="201">
      <c r="A6417" s="1" t="inlineStr">
        <is>
          <t>Soup, cream of celery, canned, prepared with equal volume water</t>
        </is>
      </c>
      <c r="C6417" s="1" t="n">
        <v>3.62</v>
      </c>
      <c r="D6417" s="1" t="n">
        <v>1</v>
      </c>
      <c r="E6417" s="1" t="n">
        <v>0.26</v>
      </c>
      <c r="F6417" s="1" t="n">
        <v>0.68</v>
      </c>
      <c r="G6417" s="1" t="n">
        <v>2.29</v>
      </c>
      <c r="H6417" s="1" t="n">
        <v>126</v>
      </c>
      <c r="I6417" s="1" t="n">
        <v>0.06</v>
      </c>
      <c r="J6417" t="n">
        <v>75651010</v>
      </c>
    </row>
    <row r="6418" ht="15.75" customHeight="1" s="201">
      <c r="A6418" s="1" t="inlineStr">
        <is>
          <t>Soup, cream of chicken, canned, condensed</t>
        </is>
      </c>
      <c r="C6418" s="1" t="n">
        <v>7.16</v>
      </c>
      <c r="D6418" s="1" t="n">
        <v>2</v>
      </c>
      <c r="E6418" s="1" t="n">
        <v>1.06</v>
      </c>
      <c r="F6418" s="1" t="n">
        <v>2.38</v>
      </c>
      <c r="G6418" s="1" t="n">
        <v>5.77</v>
      </c>
      <c r="H6418" s="1" t="n">
        <v>182</v>
      </c>
      <c r="I6418" s="1" t="n">
        <v>0.29</v>
      </c>
      <c r="J6418" t="n">
        <v>58403010</v>
      </c>
    </row>
    <row r="6419" ht="15.75" customHeight="1" s="201">
      <c r="A6419" s="1" t="inlineStr">
        <is>
          <t>Soup, cream of chicken, canned, condensed, reduced sodium</t>
        </is>
      </c>
      <c r="C6419" s="1" t="n">
        <v>9.5</v>
      </c>
      <c r="D6419" s="1" t="n">
        <v>4</v>
      </c>
      <c r="E6419" s="1" t="n">
        <v>0.2</v>
      </c>
      <c r="F6419" s="1" t="n">
        <v>1.8</v>
      </c>
      <c r="G6419" s="1" t="n">
        <v>1.3</v>
      </c>
      <c r="H6419" s="1" t="n">
        <v>432</v>
      </c>
      <c r="I6419" s="1" t="n">
        <v>0.13</v>
      </c>
      <c r="J6419" t="n">
        <v>54204030</v>
      </c>
    </row>
    <row r="6420" ht="15.75" customHeight="1" s="201">
      <c r="A6420" s="1" t="inlineStr">
        <is>
          <t>Soup, cream of chicken, canned, prepared with equal volume milk</t>
        </is>
      </c>
      <c r="C6420" s="1" t="n">
        <v>6.04</v>
      </c>
      <c r="D6420" s="1" t="n">
        <v>3</v>
      </c>
      <c r="E6420" s="1" t="n">
        <v>0.27</v>
      </c>
      <c r="F6420" s="1" t="n">
        <v>3.01</v>
      </c>
      <c r="G6420" s="1" t="n">
        <v>4.62</v>
      </c>
      <c r="H6420" s="1" t="n">
        <v>288</v>
      </c>
      <c r="I6420" s="1" t="n">
        <v>0.27</v>
      </c>
      <c r="J6420" t="n">
        <v>74604600</v>
      </c>
    </row>
    <row r="6421" ht="15.75" customHeight="1" s="201">
      <c r="A6421" s="1" t="inlineStr">
        <is>
          <t>Soup, cream of chicken, canned, prepared with equal volume water</t>
        </is>
      </c>
      <c r="C6421" s="1" t="n">
        <v>3.8</v>
      </c>
      <c r="D6421" s="1" t="n">
        <v>1</v>
      </c>
      <c r="E6421" s="1" t="n">
        <v>0.25</v>
      </c>
      <c r="F6421" s="1" t="n">
        <v>1.41</v>
      </c>
      <c r="G6421" s="1" t="n">
        <v>3.02</v>
      </c>
      <c r="H6421" s="1" t="n">
        <v>230</v>
      </c>
      <c r="I6421" s="1" t="n">
        <v>0.26</v>
      </c>
      <c r="J6421" t="n">
        <v>75651010</v>
      </c>
    </row>
    <row r="6422" ht="15.75" customHeight="1" s="201">
      <c r="A6422" s="1" t="inlineStr">
        <is>
          <t>Soup, cream of chicken, dry, mix, prepared with water</t>
        </is>
      </c>
      <c r="C6422" s="1" t="n">
        <v>5.11</v>
      </c>
      <c r="D6422" s="1" t="n">
        <v>2</v>
      </c>
      <c r="E6422" s="1" t="n">
        <v>0.1</v>
      </c>
      <c r="F6422" s="1" t="n">
        <v>0.68</v>
      </c>
      <c r="G6422" s="1" t="n">
        <v>2.04</v>
      </c>
      <c r="H6422" s="1" t="n">
        <v>156</v>
      </c>
      <c r="I6422" s="1" t="n">
        <v>0.6</v>
      </c>
      <c r="J6422" t="n">
        <v>11740312</v>
      </c>
    </row>
    <row r="6423" ht="15.75" customHeight="1" s="201">
      <c r="A6423" s="1" t="inlineStr">
        <is>
          <t>Soup, cream of mushroom, canned, condensed</t>
        </is>
      </c>
      <c r="C6423" s="1" t="n">
        <v>6.8</v>
      </c>
      <c r="D6423" s="1" t="n">
        <v>2</v>
      </c>
      <c r="E6423" s="1" t="n">
        <v>0.18</v>
      </c>
      <c r="F6423" s="1" t="n">
        <v>1.35</v>
      </c>
      <c r="G6423" s="1" t="n">
        <v>5.3</v>
      </c>
      <c r="H6423" s="1" t="n">
        <v>8</v>
      </c>
      <c r="I6423" s="1" t="n">
        <v>0.11</v>
      </c>
      <c r="J6423" t="n">
        <v>74604600</v>
      </c>
    </row>
    <row r="6424" ht="15.75" customHeight="1" s="201">
      <c r="A6424" s="1" t="inlineStr">
        <is>
          <t>Soup, cream of mushroom, canned, condensed, reduced sodium</t>
        </is>
      </c>
      <c r="C6424" s="1" t="n">
        <v>8.1</v>
      </c>
      <c r="D6424" s="1" t="n">
        <v>10</v>
      </c>
      <c r="E6424" s="1" t="n">
        <v>0.48</v>
      </c>
      <c r="F6424" s="1" t="n">
        <v>1.21</v>
      </c>
      <c r="G6424" s="1" t="n">
        <v>1.69</v>
      </c>
      <c r="H6424" s="1" t="n">
        <v>8</v>
      </c>
      <c r="I6424" s="1" t="n">
        <v>0.36</v>
      </c>
      <c r="J6424" t="n">
        <v>54204030</v>
      </c>
    </row>
    <row r="6425" ht="15.75" customHeight="1" s="201">
      <c r="A6425" s="1" t="inlineStr">
        <is>
          <t>Soup, cream of mushroom, canned, prepared with equal volume low fat (2%) milk</t>
        </is>
      </c>
      <c r="C6425" s="1" t="n">
        <v>5.76</v>
      </c>
      <c r="D6425" s="1" t="n">
        <v>3</v>
      </c>
      <c r="E6425" s="1" t="n">
        <v>0.1</v>
      </c>
      <c r="F6425" s="1" t="n">
        <v>2.36</v>
      </c>
      <c r="G6425" s="1" t="n">
        <v>3.58</v>
      </c>
      <c r="H6425" s="1" t="n">
        <v>102</v>
      </c>
      <c r="I6425" s="1" t="n">
        <v>0.31</v>
      </c>
      <c r="J6425" t="n">
        <v>74604600</v>
      </c>
    </row>
    <row r="6426" ht="15.75" customHeight="1" s="201">
      <c r="A6426" s="1" t="inlineStr">
        <is>
          <t>Soup, cream of mushroom, canned, prepared with equal volume water</t>
        </is>
      </c>
      <c r="C6426" s="1" t="n">
        <v>3.33</v>
      </c>
      <c r="D6426" s="1" t="n">
        <v>1</v>
      </c>
      <c r="E6426" s="1" t="n">
        <v>0.09</v>
      </c>
      <c r="F6426" s="1" t="n">
        <v>0.66</v>
      </c>
      <c r="G6426" s="1" t="n">
        <v>2.59</v>
      </c>
      <c r="H6426" s="1" t="n">
        <v>4</v>
      </c>
      <c r="I6426" s="1" t="n">
        <v>0.06</v>
      </c>
      <c r="J6426" t="n">
        <v>75651010</v>
      </c>
    </row>
    <row r="6427" ht="15.75" customHeight="1" s="201">
      <c r="A6427" s="1" t="inlineStr">
        <is>
          <t>Soup, cream of mushroom, low sodium, ready-to-serve, canned</t>
        </is>
      </c>
      <c r="C6427" s="1" t="n">
        <v>4.53</v>
      </c>
      <c r="D6427" s="1" t="n">
        <v>8</v>
      </c>
      <c r="E6427" s="1" t="n">
        <v>0.21</v>
      </c>
      <c r="F6427" s="1" t="n">
        <v>1</v>
      </c>
      <c r="G6427" s="1" t="n">
        <v>3.7</v>
      </c>
      <c r="H6427" s="1" t="n">
        <v>24</v>
      </c>
      <c r="I6427" s="1" t="n">
        <v>0.24</v>
      </c>
      <c r="J6427" t="n">
        <v>75651010</v>
      </c>
    </row>
    <row r="6428" ht="15.75" customHeight="1" s="201">
      <c r="A6428" s="1" t="inlineStr">
        <is>
          <t>Soup, cream of onion, canned, condensed</t>
        </is>
      </c>
      <c r="C6428" s="1" t="n">
        <v>10.4</v>
      </c>
      <c r="D6428" s="1" t="n">
        <v>6</v>
      </c>
      <c r="E6428" s="1" t="n">
        <v>0.5</v>
      </c>
      <c r="F6428" s="1" t="n">
        <v>2.2</v>
      </c>
      <c r="G6428" s="1" t="n">
        <v>4.2</v>
      </c>
      <c r="H6428" s="1" t="n">
        <v>113</v>
      </c>
      <c r="I6428" s="1" t="n">
        <v>0.12</v>
      </c>
      <c r="J6428" t="n">
        <v>74604600</v>
      </c>
    </row>
    <row r="6429" ht="15.75" customHeight="1" s="201">
      <c r="A6429" s="1" t="inlineStr">
        <is>
          <t>Soup, cream of onion, canned, prepared with equal volume milk</t>
        </is>
      </c>
      <c r="C6429" s="1" t="n">
        <v>7.4</v>
      </c>
      <c r="D6429" s="1" t="n">
        <v>9</v>
      </c>
      <c r="E6429" s="1" t="n">
        <v>0.28</v>
      </c>
      <c r="F6429" s="1" t="n">
        <v>2.74</v>
      </c>
      <c r="G6429" s="1" t="n">
        <v>3.78</v>
      </c>
      <c r="H6429" s="1" t="n">
        <v>182</v>
      </c>
      <c r="I6429" s="1" t="n">
        <v>0.25</v>
      </c>
      <c r="J6429" t="n">
        <v>74604600</v>
      </c>
    </row>
    <row r="6430" ht="15.75" customHeight="1" s="201">
      <c r="A6430" s="1" t="inlineStr">
        <is>
          <t>Soup, cream of onion, canned, prepared with equal volume water</t>
        </is>
      </c>
      <c r="C6430" s="1" t="n">
        <v>5.2</v>
      </c>
      <c r="D6430" s="1" t="n">
        <v>3</v>
      </c>
      <c r="E6430" s="1" t="n">
        <v>0.26</v>
      </c>
      <c r="F6430" s="1" t="n">
        <v>1.13</v>
      </c>
      <c r="G6430" s="1" t="n">
        <v>2.16</v>
      </c>
      <c r="H6430" s="1" t="n">
        <v>121</v>
      </c>
      <c r="I6430" s="1" t="n">
        <v>0.06</v>
      </c>
      <c r="J6430" t="n">
        <v>75142550</v>
      </c>
    </row>
    <row r="6431" ht="15.75" customHeight="1" s="201">
      <c r="A6431" s="1" t="inlineStr">
        <is>
          <t>Soup, cream of potato, canned, condensed</t>
        </is>
      </c>
      <c r="C6431" s="1" t="n">
        <v>12.79</v>
      </c>
      <c r="D6431" s="1" t="n">
        <v>2</v>
      </c>
      <c r="E6431" s="1" t="n">
        <v>0.34</v>
      </c>
      <c r="F6431" s="1" t="n">
        <v>1.51</v>
      </c>
      <c r="G6431" s="1" t="n">
        <v>1.88</v>
      </c>
      <c r="H6431" s="1" t="n">
        <v>68</v>
      </c>
      <c r="I6431" s="1" t="n">
        <v>0.15</v>
      </c>
      <c r="J6431" t="n">
        <v>28340690</v>
      </c>
    </row>
    <row r="6432" ht="15.75" customHeight="1" s="201">
      <c r="A6432" s="1" t="inlineStr">
        <is>
          <t>Soup, cream of potato, canned, prepared with equal volume milk</t>
        </is>
      </c>
      <c r="C6432" s="1" t="n">
        <v>6.92</v>
      </c>
      <c r="D6432" s="1" t="n">
        <v>4</v>
      </c>
      <c r="E6432" s="1" t="n">
        <v>0.22</v>
      </c>
      <c r="F6432" s="1" t="n">
        <v>2.33</v>
      </c>
      <c r="G6432" s="1" t="n">
        <v>2.6</v>
      </c>
      <c r="H6432" s="1" t="n">
        <v>179</v>
      </c>
      <c r="I6432" s="1" t="n">
        <v>0.27</v>
      </c>
      <c r="J6432" t="n">
        <v>74604600</v>
      </c>
    </row>
    <row r="6433" ht="15.75" customHeight="1" s="201">
      <c r="A6433" s="1" t="inlineStr">
        <is>
          <t>Soup, cream of potato, canned, prepared with equal volume water</t>
        </is>
      </c>
      <c r="C6433" s="1" t="n">
        <v>4.7</v>
      </c>
      <c r="D6433" s="1" t="n">
        <v>1</v>
      </c>
      <c r="E6433" s="1" t="n">
        <v>0.2</v>
      </c>
      <c r="F6433" s="1" t="n">
        <v>0.72</v>
      </c>
      <c r="G6433" s="1" t="n">
        <v>0.97</v>
      </c>
      <c r="H6433" s="1" t="n">
        <v>118</v>
      </c>
      <c r="I6433" s="1" t="n">
        <v>0.26</v>
      </c>
      <c r="J6433" t="n">
        <v>75651010</v>
      </c>
    </row>
    <row r="6434" ht="15.75" customHeight="1" s="201">
      <c r="A6434" s="1" t="inlineStr">
        <is>
          <t>Soup, cream of shrimp, canned, condensed</t>
        </is>
      </c>
      <c r="C6434" s="1" t="n">
        <v>6.53</v>
      </c>
      <c r="D6434" s="1" t="n">
        <v>3</v>
      </c>
      <c r="E6434" s="1" t="n">
        <v>0.42</v>
      </c>
      <c r="F6434" s="1" t="n">
        <v>2.22</v>
      </c>
      <c r="G6434" s="1" t="n">
        <v>4.14</v>
      </c>
      <c r="H6434" s="1" t="n">
        <v>126</v>
      </c>
      <c r="I6434" s="1" t="n">
        <v>0.6</v>
      </c>
      <c r="J6434" t="n">
        <v>74604600</v>
      </c>
    </row>
    <row r="6435" ht="15.75" customHeight="1" s="201">
      <c r="A6435" s="1" t="inlineStr">
        <is>
          <t>Soup, cream of shrimp, canned, prepared with equal volume low fat (2%) milk</t>
        </is>
      </c>
      <c r="C6435" s="1" t="n">
        <v>5.64</v>
      </c>
      <c r="D6435" s="1" t="n">
        <v>4</v>
      </c>
      <c r="E6435" s="1" t="n">
        <v>0.22</v>
      </c>
      <c r="F6435" s="1" t="n">
        <v>2.78</v>
      </c>
      <c r="G6435" s="1" t="n">
        <v>3.23</v>
      </c>
      <c r="H6435" s="1" t="n">
        <v>147</v>
      </c>
      <c r="I6435" s="1" t="n">
        <v>0.54</v>
      </c>
      <c r="J6435" t="n">
        <v>74604600</v>
      </c>
    </row>
    <row r="6436" ht="15.75" customHeight="1" s="201">
      <c r="A6436" s="1" t="inlineStr">
        <is>
          <t>Soup, cream of shrimp, canned, prepared with equal volume water</t>
        </is>
      </c>
      <c r="C6436" s="1" t="n">
        <v>3.27</v>
      </c>
      <c r="D6436" s="1" t="n">
        <v>2</v>
      </c>
      <c r="E6436" s="1" t="n">
        <v>0.21</v>
      </c>
      <c r="F6436" s="1" t="n">
        <v>1.11</v>
      </c>
      <c r="G6436" s="1" t="n">
        <v>2.07</v>
      </c>
      <c r="H6436" s="1" t="n">
        <v>63</v>
      </c>
      <c r="I6436" s="1" t="n">
        <v>0.3</v>
      </c>
      <c r="J6436" t="n">
        <v>75651010</v>
      </c>
    </row>
    <row r="6437" ht="15.75" customHeight="1" s="201">
      <c r="A6437" s="1" t="inlineStr">
        <is>
          <t>Soup, cream of vegetable, dry, powder</t>
        </is>
      </c>
      <c r="C6437" s="1" t="n">
        <v>52.1</v>
      </c>
      <c r="D6437" s="1" t="n">
        <v>30</v>
      </c>
      <c r="E6437" s="1" t="n">
        <v>2.6</v>
      </c>
      <c r="F6437" s="1" t="n">
        <v>8</v>
      </c>
      <c r="G6437" s="1" t="n">
        <v>24.1</v>
      </c>
      <c r="H6437" s="1" t="n">
        <v>11996</v>
      </c>
      <c r="I6437" s="1" t="n">
        <v>1.6</v>
      </c>
      <c r="J6437" t="n">
        <v>28340630</v>
      </c>
    </row>
    <row r="6438" ht="15.75" customHeight="1" s="201">
      <c r="A6438" s="1" t="inlineStr">
        <is>
          <t>Soup, fish, homemade (Alaska Native)</t>
        </is>
      </c>
      <c r="C6438" s="1" t="n">
        <v>5.6</v>
      </c>
      <c r="D6438" s="1" t="n">
        <v>1</v>
      </c>
      <c r="E6438" s="1" t="n">
        <v>0.5</v>
      </c>
      <c r="F6438" s="1" t="n">
        <v>7.4</v>
      </c>
      <c r="G6438" s="1" t="n">
        <v>2.2</v>
      </c>
      <c r="H6438" s="1" t="n">
        <v>40</v>
      </c>
      <c r="J6438" t="n">
        <v>28351110</v>
      </c>
    </row>
    <row r="6439" ht="15.75" customHeight="1" s="201">
      <c r="A6439" s="1" t="inlineStr">
        <is>
          <t>Soup, HEALTHY CHOICE Chicken and Rice Soup, canned</t>
        </is>
      </c>
      <c r="C6439" s="1" t="n">
        <v>5.71</v>
      </c>
      <c r="E6439" s="1" t="n">
        <v>0.09</v>
      </c>
      <c r="F6439" s="1" t="n">
        <v>2.53</v>
      </c>
      <c r="G6439" s="1" t="n">
        <v>0.55</v>
      </c>
      <c r="H6439" s="1" t="n">
        <v>334</v>
      </c>
      <c r="J6439" t="n">
        <v>58403010</v>
      </c>
    </row>
    <row r="6440" ht="15.75" customHeight="1" s="201">
      <c r="A6440" s="1" t="inlineStr">
        <is>
          <t>Soup, HEALTHY CHOICE Chicken Noodle Soup, canned</t>
        </is>
      </c>
      <c r="C6440" s="1" t="n">
        <v>5.2</v>
      </c>
      <c r="E6440" s="1" t="n">
        <v>0</v>
      </c>
      <c r="F6440" s="1" t="n">
        <v>3.69</v>
      </c>
      <c r="G6440" s="1" t="n">
        <v>0.63</v>
      </c>
      <c r="H6440" s="1" t="n">
        <v>568</v>
      </c>
      <c r="J6440" t="n">
        <v>58403010</v>
      </c>
    </row>
    <row r="6441" ht="15.75" customHeight="1" s="201">
      <c r="A6441" s="1" t="inlineStr">
        <is>
          <t>Soup, HEALTHY CHOICE Garden Vegetable Soup, canned</t>
        </is>
      </c>
      <c r="C6441" s="1" t="n">
        <v>10.04</v>
      </c>
      <c r="E6441" s="1" t="n">
        <v>0</v>
      </c>
      <c r="F6441" s="1" t="n">
        <v>2.13</v>
      </c>
      <c r="G6441" s="1" t="n">
        <v>0.21</v>
      </c>
      <c r="H6441" s="1" t="n">
        <v>618</v>
      </c>
      <c r="J6441" t="n">
        <v>58407030</v>
      </c>
    </row>
    <row r="6442" ht="15.75" customHeight="1" s="201">
      <c r="A6442" s="1" t="inlineStr">
        <is>
          <t>Soup, lentil with ham, canned, ready-to-serve</t>
        </is>
      </c>
      <c r="C6442" s="1" t="n">
        <v>8.16</v>
      </c>
      <c r="D6442" s="1" t="n">
        <v>20</v>
      </c>
      <c r="E6442" s="1" t="n">
        <v>1.07</v>
      </c>
      <c r="F6442" s="1" t="n">
        <v>3.74</v>
      </c>
      <c r="G6442" s="1" t="n">
        <v>1.12</v>
      </c>
      <c r="H6442" s="1" t="n">
        <v>145</v>
      </c>
      <c r="I6442" s="1" t="n">
        <v>0.3</v>
      </c>
      <c r="J6442" t="n">
        <v>75651010</v>
      </c>
    </row>
    <row r="6443" ht="15.75" customHeight="1" s="201">
      <c r="A6443" s="1" t="inlineStr">
        <is>
          <t>Soup, minestrone, canned, chunky, ready-to-serve</t>
        </is>
      </c>
      <c r="C6443" s="1" t="n">
        <v>8.640000000000001</v>
      </c>
      <c r="D6443" s="1" t="n">
        <v>22</v>
      </c>
      <c r="E6443" s="1" t="n">
        <v>0.74</v>
      </c>
      <c r="F6443" s="1" t="n">
        <v>2.13</v>
      </c>
      <c r="G6443" s="1" t="n">
        <v>1.17</v>
      </c>
      <c r="H6443" s="1" t="n">
        <v>1783</v>
      </c>
      <c r="I6443" s="1" t="n">
        <v>0.6</v>
      </c>
      <c r="J6443" t="n">
        <v>75651010</v>
      </c>
    </row>
    <row r="6444" ht="15.75" customHeight="1" s="201">
      <c r="A6444" s="1" t="inlineStr">
        <is>
          <t>Soup, minestrone, canned, condensed</t>
        </is>
      </c>
      <c r="C6444" s="1" t="n">
        <v>9.17</v>
      </c>
      <c r="D6444" s="1" t="n">
        <v>29</v>
      </c>
      <c r="E6444" s="1" t="n">
        <v>0.75</v>
      </c>
      <c r="F6444" s="1" t="n">
        <v>3.48</v>
      </c>
      <c r="G6444" s="1" t="n">
        <v>2.05</v>
      </c>
      <c r="H6444" s="1" t="n">
        <v>1708</v>
      </c>
      <c r="I6444" s="1" t="n">
        <v>0.6</v>
      </c>
      <c r="J6444" t="n">
        <v>75651010</v>
      </c>
    </row>
    <row r="6445" ht="15.75" customHeight="1" s="201">
      <c r="A6445" s="1" t="inlineStr">
        <is>
          <t>Soup, minestrone, canned, prepared with equal volume water</t>
        </is>
      </c>
      <c r="C6445" s="1" t="n">
        <v>4.66</v>
      </c>
      <c r="D6445" s="1" t="n">
        <v>15</v>
      </c>
      <c r="E6445" s="1" t="n">
        <v>0.38</v>
      </c>
      <c r="F6445" s="1" t="n">
        <v>1.77</v>
      </c>
      <c r="G6445" s="1" t="n">
        <v>1.04</v>
      </c>
      <c r="H6445" s="1" t="n">
        <v>970</v>
      </c>
      <c r="I6445" s="1" t="n">
        <v>0.31</v>
      </c>
      <c r="J6445" t="n">
        <v>75651010</v>
      </c>
    </row>
    <row r="6446" ht="15.75" customHeight="1" s="201">
      <c r="A6446" s="1" t="inlineStr">
        <is>
          <t>Soup, minestrone, canned, reduced sodium, ready-to-serve</t>
        </is>
      </c>
      <c r="C6446" s="1" t="n">
        <v>9</v>
      </c>
      <c r="D6446" s="1" t="n">
        <v>16</v>
      </c>
      <c r="E6446" s="1" t="n">
        <v>0.72</v>
      </c>
      <c r="F6446" s="1" t="n">
        <v>2</v>
      </c>
      <c r="G6446" s="1" t="n">
        <v>0.8</v>
      </c>
      <c r="H6446" s="1" t="n">
        <v>665</v>
      </c>
      <c r="I6446" s="1" t="n">
        <v>0.32</v>
      </c>
      <c r="J6446" t="n">
        <v>75651010</v>
      </c>
    </row>
    <row r="6447" ht="15.75" customHeight="1" s="201">
      <c r="A6447" s="1" t="inlineStr">
        <is>
          <t>Soup, mushroom barley, canned, condensed</t>
        </is>
      </c>
      <c r="C6447" s="1" t="n">
        <v>9.6</v>
      </c>
      <c r="D6447" s="1" t="n">
        <v>5</v>
      </c>
      <c r="E6447" s="1" t="n">
        <v>0.4</v>
      </c>
      <c r="F6447" s="1" t="n">
        <v>1.5</v>
      </c>
      <c r="G6447" s="1" t="n">
        <v>1.8</v>
      </c>
      <c r="H6447" s="1" t="n">
        <v>158</v>
      </c>
      <c r="I6447" s="1" t="n">
        <v>0.4</v>
      </c>
      <c r="J6447" t="n">
        <v>58401010</v>
      </c>
    </row>
    <row r="6448" ht="15.75" customHeight="1" s="201">
      <c r="A6448" s="1" t="inlineStr">
        <is>
          <t>Soup, mushroom barley, canned, prepared with equal volume water</t>
        </is>
      </c>
      <c r="C6448" s="1" t="n">
        <v>4.8</v>
      </c>
      <c r="D6448" s="1" t="n">
        <v>2</v>
      </c>
      <c r="E6448" s="1" t="n">
        <v>0.21</v>
      </c>
      <c r="F6448" s="1" t="n">
        <v>0.77</v>
      </c>
      <c r="G6448" s="1" t="n">
        <v>0.93</v>
      </c>
      <c r="H6448" s="1" t="n">
        <v>81</v>
      </c>
      <c r="I6448" s="1" t="n">
        <v>0.2</v>
      </c>
      <c r="J6448" t="n">
        <v>75651010</v>
      </c>
    </row>
    <row r="6449" ht="15.75" customHeight="1" s="201">
      <c r="A6449" s="1" t="inlineStr">
        <is>
          <t>Soup, mushroom with beef stock, canned, condensed</t>
        </is>
      </c>
      <c r="C6449" s="1" t="n">
        <v>7.41</v>
      </c>
      <c r="D6449" s="1" t="n">
        <v>7</v>
      </c>
      <c r="E6449" s="1" t="n">
        <v>0.67</v>
      </c>
      <c r="F6449" s="1" t="n">
        <v>2.51</v>
      </c>
      <c r="G6449" s="1" t="n">
        <v>3.21</v>
      </c>
      <c r="H6449" s="1" t="n">
        <v>194</v>
      </c>
      <c r="I6449" s="1" t="n">
        <v>1.1</v>
      </c>
      <c r="J6449" t="n">
        <v>75142550</v>
      </c>
    </row>
    <row r="6450" ht="15.75" customHeight="1" s="201">
      <c r="A6450" s="1" t="inlineStr">
        <is>
          <t>Soup, mushroom with beef stock, canned, prepared with equal volume water</t>
        </is>
      </c>
      <c r="C6450" s="1" t="n">
        <v>3.81</v>
      </c>
      <c r="D6450" s="1" t="n">
        <v>4</v>
      </c>
      <c r="E6450" s="1" t="n">
        <v>0.34</v>
      </c>
      <c r="F6450" s="1" t="n">
        <v>1.29</v>
      </c>
      <c r="G6450" s="1" t="n">
        <v>1.65</v>
      </c>
      <c r="H6450" s="1" t="n">
        <v>514</v>
      </c>
      <c r="I6450" s="1" t="n">
        <v>0.57</v>
      </c>
      <c r="J6450" t="n">
        <v>75142550</v>
      </c>
    </row>
    <row r="6451" ht="15.75" customHeight="1" s="201">
      <c r="A6451" s="1" t="inlineStr">
        <is>
          <t>Soup, onion, canned, condensed</t>
        </is>
      </c>
      <c r="C6451" s="1" t="n">
        <v>6.68</v>
      </c>
      <c r="D6451" s="1" t="n">
        <v>12</v>
      </c>
      <c r="E6451" s="1" t="n">
        <v>0.55</v>
      </c>
      <c r="F6451" s="1" t="n">
        <v>3.06</v>
      </c>
      <c r="G6451" s="1" t="n">
        <v>1.42</v>
      </c>
      <c r="H6451" s="1" t="n">
        <v>11</v>
      </c>
      <c r="I6451" s="1" t="n">
        <v>0.5</v>
      </c>
      <c r="J6451" t="n">
        <v>58403010</v>
      </c>
    </row>
    <row r="6452" ht="15.75" customHeight="1" s="201">
      <c r="A6452" s="1" t="inlineStr">
        <is>
          <t>Soup, onion, dry, mix</t>
        </is>
      </c>
      <c r="C6452" s="1" t="n">
        <v>65.06999999999999</v>
      </c>
      <c r="D6452" s="1" t="n">
        <v>0</v>
      </c>
      <c r="E6452" s="1" t="n">
        <v>1.25</v>
      </c>
      <c r="F6452" s="1" t="n">
        <v>7.48</v>
      </c>
      <c r="G6452" s="1" t="n">
        <v>0.34</v>
      </c>
      <c r="H6452" s="1" t="n">
        <v>15</v>
      </c>
      <c r="I6452" s="1" t="n">
        <v>1.12</v>
      </c>
      <c r="J6452" t="n">
        <v>58407030</v>
      </c>
    </row>
    <row r="6453" ht="15.75" customHeight="1" s="201">
      <c r="A6453" s="1" t="inlineStr">
        <is>
          <t>Soup, onion, dry, mix, prepared with water</t>
        </is>
      </c>
      <c r="C6453" s="1" t="n">
        <v>2.77</v>
      </c>
      <c r="D6453" s="1" t="n">
        <v>0</v>
      </c>
      <c r="E6453" s="1" t="n">
        <v>0.05</v>
      </c>
      <c r="F6453" s="1" t="n">
        <v>0.32</v>
      </c>
      <c r="G6453" s="1" t="n">
        <v>0.01</v>
      </c>
      <c r="H6453" s="1" t="n">
        <v>1</v>
      </c>
      <c r="I6453" s="1" t="n">
        <v>0.05</v>
      </c>
      <c r="J6453" t="n">
        <v>75142550</v>
      </c>
    </row>
    <row r="6454" ht="15.75" customHeight="1" s="201">
      <c r="A6454" s="1" t="inlineStr">
        <is>
          <t>Soup, oyster stew, canned, condensed</t>
        </is>
      </c>
      <c r="C6454" s="1" t="n">
        <v>3.32</v>
      </c>
      <c r="D6454" s="1" t="n">
        <v>2</v>
      </c>
      <c r="E6454" s="1" t="n">
        <v>0.8</v>
      </c>
      <c r="F6454" s="1" t="n">
        <v>1.72</v>
      </c>
      <c r="G6454" s="1" t="n">
        <v>3.13</v>
      </c>
      <c r="H6454" s="1" t="n">
        <v>58</v>
      </c>
      <c r="I6454" s="1" t="n">
        <v>8.4</v>
      </c>
      <c r="J6454" t="n">
        <v>27311310</v>
      </c>
    </row>
    <row r="6455" ht="15.75" customHeight="1" s="201">
      <c r="A6455" s="1" t="inlineStr">
        <is>
          <t>Soup, oyster stew, canned, prepared with equal volume milk</t>
        </is>
      </c>
      <c r="C6455" s="1" t="n">
        <v>3.99</v>
      </c>
      <c r="D6455" s="1" t="n">
        <v>4</v>
      </c>
      <c r="E6455" s="1" t="n">
        <v>0.43</v>
      </c>
      <c r="F6455" s="1" t="n">
        <v>2.51</v>
      </c>
      <c r="G6455" s="1" t="n">
        <v>3.24</v>
      </c>
      <c r="H6455" s="1" t="n">
        <v>92</v>
      </c>
      <c r="I6455" s="1" t="n">
        <v>4.22</v>
      </c>
      <c r="J6455" t="n">
        <v>74604600</v>
      </c>
    </row>
    <row r="6456" ht="15.75" customHeight="1" s="201">
      <c r="A6456" s="1" t="inlineStr">
        <is>
          <t>Soup, oyster stew, canned, prepared with equal volume water</t>
        </is>
      </c>
      <c r="C6456" s="1" t="n">
        <v>1.69</v>
      </c>
      <c r="D6456" s="1" t="n">
        <v>1</v>
      </c>
      <c r="E6456" s="1" t="n">
        <v>0.41</v>
      </c>
      <c r="F6456" s="1" t="n">
        <v>0.87</v>
      </c>
      <c r="G6456" s="1" t="n">
        <v>1.59</v>
      </c>
      <c r="H6456" s="1" t="n">
        <v>29</v>
      </c>
      <c r="I6456" s="1" t="n">
        <v>4.27</v>
      </c>
      <c r="J6456" t="n">
        <v>75651010</v>
      </c>
    </row>
    <row r="6457" ht="15.75" customHeight="1" s="201">
      <c r="A6457" s="1" t="inlineStr">
        <is>
          <t>Soup, pea, green, canned, condensed</t>
        </is>
      </c>
      <c r="C6457" s="1" t="n">
        <v>20.18</v>
      </c>
      <c r="D6457" s="1" t="n">
        <v>1</v>
      </c>
      <c r="E6457" s="1" t="n">
        <v>1.48</v>
      </c>
      <c r="F6457" s="1" t="n">
        <v>6.54</v>
      </c>
      <c r="G6457" s="1" t="n">
        <v>2.23</v>
      </c>
      <c r="H6457" s="1" t="n">
        <v>25</v>
      </c>
      <c r="I6457" s="1" t="n">
        <v>1.3</v>
      </c>
      <c r="J6457" t="n">
        <v>58403010</v>
      </c>
    </row>
    <row r="6458" ht="15.75" customHeight="1" s="201">
      <c r="A6458" s="1" t="inlineStr">
        <is>
          <t>Soup, pea, green, canned, prepared with equal volume milk</t>
        </is>
      </c>
      <c r="C6458" s="1" t="n">
        <v>12.69</v>
      </c>
      <c r="D6458" s="1" t="n">
        <v>3</v>
      </c>
      <c r="E6458" s="1" t="n">
        <v>0.79</v>
      </c>
      <c r="F6458" s="1" t="n">
        <v>4.97</v>
      </c>
      <c r="G6458" s="1" t="n">
        <v>2.77</v>
      </c>
      <c r="H6458" s="1" t="n">
        <v>140</v>
      </c>
      <c r="I6458" s="1" t="n">
        <v>0.6899999999999999</v>
      </c>
      <c r="J6458" t="n">
        <v>74604600</v>
      </c>
    </row>
    <row r="6459" ht="15.75" customHeight="1" s="201">
      <c r="A6459" s="1" t="inlineStr">
        <is>
          <t>Soup, pea, green, canned, prepared with equal volume water</t>
        </is>
      </c>
      <c r="C6459" s="1" t="n">
        <v>9.880000000000001</v>
      </c>
      <c r="D6459" s="1" t="n">
        <v>1</v>
      </c>
      <c r="E6459" s="1" t="n">
        <v>0.73</v>
      </c>
      <c r="F6459" s="1" t="n">
        <v>3.2</v>
      </c>
      <c r="G6459" s="1" t="n">
        <v>1.09</v>
      </c>
      <c r="H6459" s="1" t="n">
        <v>12</v>
      </c>
      <c r="I6459" s="1" t="n">
        <v>0.64</v>
      </c>
      <c r="J6459" t="n">
        <v>75651010</v>
      </c>
    </row>
    <row r="6460" ht="15.75" customHeight="1" s="201">
      <c r="A6460" s="1" t="inlineStr">
        <is>
          <t>Soup, pea, low sodium, prepared with equal volume water</t>
        </is>
      </c>
      <c r="C6460" s="1" t="n">
        <v>9.880000000000001</v>
      </c>
      <c r="D6460" s="1" t="n">
        <v>1</v>
      </c>
      <c r="E6460" s="1" t="n">
        <v>0.73</v>
      </c>
      <c r="F6460" s="1" t="n">
        <v>3.2</v>
      </c>
      <c r="G6460" s="1" t="n">
        <v>1.09</v>
      </c>
      <c r="H6460" s="1" t="n">
        <v>12</v>
      </c>
      <c r="I6460" s="1" t="n">
        <v>0.64</v>
      </c>
      <c r="J6460" t="n">
        <v>11740312</v>
      </c>
    </row>
    <row r="6461" ht="15.75" customHeight="1" s="201">
      <c r="A6461" s="1" t="inlineStr">
        <is>
          <t>Soup, pea, split with ham, canned, chunky, ready-to-serve</t>
        </is>
      </c>
      <c r="C6461" s="1" t="n">
        <v>11.17</v>
      </c>
      <c r="D6461" s="1" t="n">
        <v>2</v>
      </c>
      <c r="E6461" s="1" t="n">
        <v>0.89</v>
      </c>
      <c r="F6461" s="1" t="n">
        <v>4.62</v>
      </c>
      <c r="G6461" s="1" t="n">
        <v>1.66</v>
      </c>
      <c r="H6461" s="1" t="n">
        <v>2030</v>
      </c>
      <c r="I6461" s="1" t="n">
        <v>1.3</v>
      </c>
      <c r="J6461" t="n">
        <v>75651010</v>
      </c>
    </row>
    <row r="6462" ht="15.75" customHeight="1" s="201">
      <c r="A6462" s="1" t="inlineStr">
        <is>
          <t>Soup, pea, split with ham, canned, condensed</t>
        </is>
      </c>
      <c r="C6462" s="1" t="n">
        <v>20.81</v>
      </c>
      <c r="D6462" s="1" t="n">
        <v>2</v>
      </c>
      <c r="E6462" s="1" t="n">
        <v>1.7</v>
      </c>
      <c r="F6462" s="1" t="n">
        <v>7.68</v>
      </c>
      <c r="G6462" s="1" t="n">
        <v>3.28</v>
      </c>
      <c r="H6462" s="1" t="n">
        <v>331</v>
      </c>
      <c r="I6462" s="1" t="n">
        <v>0.99</v>
      </c>
      <c r="J6462" t="n">
        <v>75142550</v>
      </c>
    </row>
    <row r="6463" ht="15.75" customHeight="1" s="201">
      <c r="A6463" s="1" t="inlineStr">
        <is>
          <t>Soup, pea, split with ham, canned, prepared with equal volume water</t>
        </is>
      </c>
      <c r="C6463" s="1" t="n">
        <v>11.05</v>
      </c>
      <c r="D6463" s="1" t="n">
        <v>1</v>
      </c>
      <c r="E6463" s="1" t="n">
        <v>0.9</v>
      </c>
      <c r="F6463" s="1" t="n">
        <v>4.08</v>
      </c>
      <c r="G6463" s="1" t="n">
        <v>1.74</v>
      </c>
      <c r="H6463" s="1" t="n">
        <v>176</v>
      </c>
      <c r="I6463" s="1" t="n">
        <v>0.52</v>
      </c>
      <c r="J6463" t="n">
        <v>75142550</v>
      </c>
    </row>
    <row r="6464" ht="15.75" customHeight="1" s="201">
      <c r="A6464" s="1" t="inlineStr">
        <is>
          <t>Soup, ramen noodle, any flavor, dry</t>
        </is>
      </c>
      <c r="C6464" s="1" t="n">
        <v>60.26</v>
      </c>
      <c r="D6464" s="1" t="n">
        <v>116</v>
      </c>
      <c r="E6464" s="1" t="n">
        <v>4.11</v>
      </c>
      <c r="F6464" s="1" t="n">
        <v>10.17</v>
      </c>
      <c r="G6464" s="1" t="n">
        <v>17.59</v>
      </c>
      <c r="H6464" s="1" t="n">
        <v>12</v>
      </c>
      <c r="I6464" s="1" t="n">
        <v>0.6</v>
      </c>
      <c r="J6464" t="n">
        <v>58407030</v>
      </c>
    </row>
    <row r="6465" ht="15.75" customHeight="1" s="201">
      <c r="A6465" s="1" t="inlineStr">
        <is>
          <t>Soup, ramen noodle, beef flavor, dry</t>
        </is>
      </c>
      <c r="C6465" s="1" t="n">
        <v>60.34</v>
      </c>
      <c r="D6465" s="1" t="n">
        <v>111</v>
      </c>
      <c r="E6465" s="1" t="n">
        <v>3.93</v>
      </c>
      <c r="F6465" s="1" t="n">
        <v>10.06</v>
      </c>
      <c r="G6465" s="1" t="n">
        <v>17.73</v>
      </c>
      <c r="I6465" s="1" t="n">
        <v>0.61</v>
      </c>
      <c r="J6465" t="n">
        <v>58407030</v>
      </c>
    </row>
    <row r="6466" ht="15.75" customHeight="1" s="201">
      <c r="A6466" s="1" t="inlineStr">
        <is>
          <t>Soup, ramen noodle, chicken flavor, dry</t>
        </is>
      </c>
      <c r="C6466" s="1" t="n">
        <v>60.23</v>
      </c>
      <c r="D6466" s="1" t="n">
        <v>118</v>
      </c>
      <c r="E6466" s="1" t="n">
        <v>4.21</v>
      </c>
      <c r="F6466" s="1" t="n">
        <v>10.22</v>
      </c>
      <c r="G6466" s="1" t="n">
        <v>17.52</v>
      </c>
      <c r="I6466" s="1" t="n">
        <v>0.59</v>
      </c>
      <c r="J6466" t="n">
        <v>58407030</v>
      </c>
    </row>
    <row r="6467" ht="15.75" customHeight="1" s="201">
      <c r="A6467" s="1" t="inlineStr">
        <is>
          <t>Soup, ramen noodle, dry, any flavor, reduced fat, reduced sodium</t>
        </is>
      </c>
      <c r="C6467" s="1" t="n">
        <v>70.95</v>
      </c>
      <c r="D6467" s="1" t="n">
        <v>122</v>
      </c>
      <c r="E6467" s="1" t="n">
        <v>4.52</v>
      </c>
      <c r="F6467" s="1" t="n">
        <v>10.89</v>
      </c>
      <c r="G6467" s="1" t="n">
        <v>2.5</v>
      </c>
      <c r="H6467" s="1" t="n">
        <v>2</v>
      </c>
      <c r="I6467" s="1" t="n">
        <v>0.74</v>
      </c>
      <c r="J6467" t="n">
        <v>54204030</v>
      </c>
    </row>
    <row r="6468" ht="15.75" customHeight="1" s="201">
      <c r="A6468" s="1" t="inlineStr">
        <is>
          <t>Soup, shark fin, restaurant-prepared</t>
        </is>
      </c>
      <c r="C6468" s="1" t="n">
        <v>3.8</v>
      </c>
      <c r="D6468" s="1" t="n">
        <v>9</v>
      </c>
      <c r="E6468" s="1" t="n">
        <v>0.9399999999999999</v>
      </c>
      <c r="F6468" s="1" t="n">
        <v>3.2</v>
      </c>
      <c r="G6468" s="1" t="n">
        <v>2</v>
      </c>
      <c r="H6468" s="1" t="n">
        <v>0</v>
      </c>
      <c r="I6468" s="1" t="n">
        <v>0.82</v>
      </c>
      <c r="J6468" t="n">
        <v>74604600</v>
      </c>
    </row>
    <row r="6469" ht="15.75" customHeight="1" s="201">
      <c r="A6469" s="1" t="inlineStr">
        <is>
          <t>Soup, stock, beef, home-prepared</t>
        </is>
      </c>
      <c r="C6469" s="1" t="n">
        <v>1.2</v>
      </c>
      <c r="D6469" s="1" t="n">
        <v>2</v>
      </c>
      <c r="E6469" s="1" t="n">
        <v>0.27</v>
      </c>
      <c r="F6469" s="1" t="n">
        <v>1.97</v>
      </c>
      <c r="G6469" s="1" t="n">
        <v>0.09</v>
      </c>
      <c r="H6469" s="1" t="n">
        <v>0</v>
      </c>
      <c r="I6469" s="1" t="n">
        <v>0.17</v>
      </c>
      <c r="J6469" t="n">
        <v>28110510</v>
      </c>
    </row>
    <row r="6470" ht="15.75" customHeight="1" s="201">
      <c r="A6470" s="1" t="inlineStr">
        <is>
          <t>Soup, stock, chicken, home-prepared</t>
        </is>
      </c>
      <c r="C6470" s="1" t="n">
        <v>3.53</v>
      </c>
      <c r="D6470" s="1" t="n">
        <v>5</v>
      </c>
      <c r="E6470" s="1" t="n">
        <v>0.21</v>
      </c>
      <c r="F6470" s="1" t="n">
        <v>2.52</v>
      </c>
      <c r="G6470" s="1" t="n">
        <v>1.2</v>
      </c>
      <c r="H6470" s="1" t="n">
        <v>3</v>
      </c>
      <c r="I6470" s="1" t="n">
        <v>0.14</v>
      </c>
      <c r="J6470" t="n">
        <v>28340150</v>
      </c>
    </row>
    <row r="6471" ht="15.75" customHeight="1" s="201">
      <c r="A6471" s="1" t="inlineStr">
        <is>
          <t>Soup, stock, fish, home-prepared</t>
        </is>
      </c>
      <c r="C6471" s="1" t="n">
        <v>0</v>
      </c>
      <c r="D6471" s="1" t="n">
        <v>2</v>
      </c>
      <c r="E6471" s="1" t="n">
        <v>0.01</v>
      </c>
      <c r="F6471" s="1" t="n">
        <v>2.26</v>
      </c>
      <c r="G6471" s="1" t="n">
        <v>0.8100000000000001</v>
      </c>
      <c r="H6471" s="1" t="n">
        <v>6</v>
      </c>
      <c r="I6471" s="1" t="n">
        <v>0.06</v>
      </c>
      <c r="J6471" t="n">
        <v>74604600</v>
      </c>
    </row>
    <row r="6472" ht="15.75" customHeight="1" s="201">
      <c r="A6472" s="1" t="inlineStr">
        <is>
          <t>Soup, SWANSON, beef broth, lower sodium</t>
        </is>
      </c>
      <c r="C6472" s="1" t="n">
        <v>0.21</v>
      </c>
      <c r="E6472" s="1" t="n">
        <v>0.04</v>
      </c>
      <c r="F6472" s="1" t="n">
        <v>1.2</v>
      </c>
      <c r="G6472" s="1" t="n">
        <v>0.08</v>
      </c>
      <c r="H6472" s="1" t="n">
        <v>0</v>
      </c>
      <c r="I6472" s="1" t="n">
        <v>0.32</v>
      </c>
      <c r="J6472" t="n">
        <v>28110510</v>
      </c>
    </row>
    <row r="6473" ht="15.75" customHeight="1" s="201">
      <c r="A6473" s="1" t="inlineStr">
        <is>
          <t>Soup, SWANSON, vegetable broth</t>
        </is>
      </c>
      <c r="C6473" s="1" t="n">
        <v>1.02</v>
      </c>
      <c r="D6473" s="1" t="n">
        <v>0</v>
      </c>
      <c r="E6473" s="1" t="n">
        <v>0.08</v>
      </c>
      <c r="F6473" s="1" t="n">
        <v>0.23</v>
      </c>
      <c r="G6473" s="1" t="n">
        <v>0.07000000000000001</v>
      </c>
      <c r="H6473" s="1" t="n">
        <v>289</v>
      </c>
      <c r="I6473" s="1" t="n">
        <v>0.03</v>
      </c>
      <c r="J6473" t="n">
        <v>28340630</v>
      </c>
    </row>
    <row r="6474" ht="15.75" customHeight="1" s="201">
      <c r="A6474" s="1" t="inlineStr">
        <is>
          <t>Soup, tomato beef with noodle, canned, condensed</t>
        </is>
      </c>
      <c r="C6474" s="1" t="n">
        <v>16.87</v>
      </c>
      <c r="D6474" s="1" t="n">
        <v>15</v>
      </c>
      <c r="E6474" s="1" t="n">
        <v>0.89</v>
      </c>
      <c r="F6474" s="1" t="n">
        <v>3.55</v>
      </c>
      <c r="G6474" s="1" t="n">
        <v>3.42</v>
      </c>
      <c r="H6474" s="1" t="n">
        <v>425</v>
      </c>
      <c r="I6474" s="1" t="n">
        <v>0.6</v>
      </c>
      <c r="J6474" t="n">
        <v>74604600</v>
      </c>
    </row>
    <row r="6475" ht="15.75" customHeight="1" s="201">
      <c r="A6475" s="1" t="inlineStr">
        <is>
          <t>Soup, tomato beef with noodle, canned, prepared with equal volume water</t>
        </is>
      </c>
      <c r="C6475" s="1" t="n">
        <v>8.44</v>
      </c>
      <c r="D6475" s="1" t="n">
        <v>8</v>
      </c>
      <c r="E6475" s="1" t="n">
        <v>0.45</v>
      </c>
      <c r="F6475" s="1" t="n">
        <v>1.78</v>
      </c>
      <c r="G6475" s="1" t="n">
        <v>1.71</v>
      </c>
      <c r="H6475" s="1" t="n">
        <v>219</v>
      </c>
      <c r="I6475" s="1" t="n">
        <v>0.3</v>
      </c>
      <c r="J6475" t="n">
        <v>75142550</v>
      </c>
    </row>
    <row r="6476" ht="15.75" customHeight="1" s="201">
      <c r="A6476" s="1" t="inlineStr">
        <is>
          <t>Soup, tomato bisque, canned, condensed</t>
        </is>
      </c>
      <c r="C6476" s="1" t="n">
        <v>18.47</v>
      </c>
      <c r="D6476" s="1" t="n">
        <v>12</v>
      </c>
      <c r="E6476" s="1" t="n">
        <v>0.64</v>
      </c>
      <c r="F6476" s="1" t="n">
        <v>1.76</v>
      </c>
      <c r="G6476" s="1" t="n">
        <v>1.95</v>
      </c>
      <c r="H6476" s="1" t="n">
        <v>562</v>
      </c>
      <c r="I6476" s="1" t="n">
        <v>0.46</v>
      </c>
      <c r="J6476" t="n">
        <v>74601010</v>
      </c>
    </row>
    <row r="6477" ht="15.75" customHeight="1" s="201">
      <c r="A6477" s="1" t="inlineStr">
        <is>
          <t>Soup, tomato bisque, canned, prepared with equal volume milk</t>
        </is>
      </c>
      <c r="C6477" s="1" t="n">
        <v>11.73</v>
      </c>
      <c r="D6477" s="1" t="n">
        <v>9</v>
      </c>
      <c r="E6477" s="1" t="n">
        <v>0.35</v>
      </c>
      <c r="F6477" s="1" t="n">
        <v>2.51</v>
      </c>
      <c r="G6477" s="1" t="n">
        <v>2.63</v>
      </c>
      <c r="H6477" s="1" t="n">
        <v>350</v>
      </c>
      <c r="I6477" s="1" t="n">
        <v>0.25</v>
      </c>
      <c r="J6477" t="n">
        <v>74601010</v>
      </c>
    </row>
    <row r="6478" ht="15.75" customHeight="1" s="201">
      <c r="A6478" s="1" t="inlineStr">
        <is>
          <t>Soup, tomato bisque, canned, prepared with equal volume water</t>
        </is>
      </c>
      <c r="C6478" s="1" t="n">
        <v>9.6</v>
      </c>
      <c r="D6478" s="1" t="n">
        <v>6</v>
      </c>
      <c r="E6478" s="1" t="n">
        <v>0.33</v>
      </c>
      <c r="F6478" s="1" t="n">
        <v>0.92</v>
      </c>
      <c r="G6478" s="1" t="n">
        <v>1.02</v>
      </c>
      <c r="H6478" s="1" t="n">
        <v>292</v>
      </c>
      <c r="I6478" s="1" t="n">
        <v>0.24</v>
      </c>
      <c r="J6478" t="n">
        <v>74601010</v>
      </c>
    </row>
    <row r="6479" ht="15.75" customHeight="1" s="201">
      <c r="A6479" s="1" t="inlineStr">
        <is>
          <t>Soup, tomato rice, canned, condensed</t>
        </is>
      </c>
      <c r="C6479" s="1" t="n">
        <v>17.08</v>
      </c>
      <c r="D6479" s="1" t="n">
        <v>11</v>
      </c>
      <c r="E6479" s="1" t="n">
        <v>0.62</v>
      </c>
      <c r="F6479" s="1" t="n">
        <v>1.64</v>
      </c>
      <c r="G6479" s="1" t="n">
        <v>2.12</v>
      </c>
      <c r="H6479" s="1" t="n">
        <v>421</v>
      </c>
      <c r="I6479" s="1" t="n">
        <v>0.4</v>
      </c>
      <c r="J6479" t="n">
        <v>74604600</v>
      </c>
    </row>
    <row r="6480" ht="15.75" customHeight="1" s="201">
      <c r="A6480" s="1" t="inlineStr">
        <is>
          <t>Soup, tomato rice, canned, prepared with equal volume water</t>
        </is>
      </c>
      <c r="C6480" s="1" t="n">
        <v>8.539999999999999</v>
      </c>
      <c r="D6480" s="1" t="n">
        <v>6</v>
      </c>
      <c r="E6480" s="1" t="n">
        <v>0.31</v>
      </c>
      <c r="F6480" s="1" t="n">
        <v>0.82</v>
      </c>
      <c r="G6480" s="1" t="n">
        <v>1.06</v>
      </c>
      <c r="H6480" s="1" t="n">
        <v>210</v>
      </c>
      <c r="I6480" s="1" t="n">
        <v>0.2</v>
      </c>
      <c r="J6480" t="n">
        <v>74604600</v>
      </c>
    </row>
    <row r="6481" ht="15.75" customHeight="1" s="201">
      <c r="A6481" s="1" t="inlineStr">
        <is>
          <t>Soup, tomato, canned, condensed</t>
        </is>
      </c>
      <c r="C6481" s="1" t="n">
        <v>15.22</v>
      </c>
      <c r="D6481" s="1" t="n">
        <v>0</v>
      </c>
      <c r="E6481" s="1" t="n">
        <v>0.59</v>
      </c>
      <c r="F6481" s="1" t="n">
        <v>1.46</v>
      </c>
      <c r="G6481" s="1" t="n">
        <v>0.44</v>
      </c>
      <c r="H6481" s="1" t="n">
        <v>392</v>
      </c>
      <c r="I6481" s="1" t="n">
        <v>0.18</v>
      </c>
      <c r="J6481" t="n">
        <v>74604600</v>
      </c>
    </row>
    <row r="6482" ht="15.75" customHeight="1" s="201">
      <c r="A6482" s="1" t="inlineStr">
        <is>
          <t>Soup, tomato, canned, condensed, reduced sodium</t>
        </is>
      </c>
      <c r="C6482" s="1" t="n">
        <v>13.41</v>
      </c>
      <c r="D6482" s="1" t="n">
        <v>0</v>
      </c>
      <c r="E6482" s="1" t="n">
        <v>1.11</v>
      </c>
      <c r="F6482" s="1" t="n">
        <v>1.61</v>
      </c>
      <c r="G6482" s="1" t="n">
        <v>0.5600000000000001</v>
      </c>
      <c r="H6482" s="1" t="n">
        <v>392</v>
      </c>
      <c r="I6482" s="1" t="n">
        <v>0.25</v>
      </c>
      <c r="J6482" t="n">
        <v>54204030</v>
      </c>
    </row>
    <row r="6483" ht="15.75" customHeight="1" s="201">
      <c r="A6483" s="1" t="inlineStr">
        <is>
          <t>Soup, tomato, canned, prepared with equal volume low fat (2%) milk</t>
        </is>
      </c>
      <c r="C6483" s="1" t="n">
        <v>9.82</v>
      </c>
      <c r="D6483" s="1" t="n">
        <v>2</v>
      </c>
      <c r="E6483" s="1" t="n">
        <v>0.3</v>
      </c>
      <c r="F6483" s="1" t="n">
        <v>2.42</v>
      </c>
      <c r="G6483" s="1" t="n">
        <v>1.24</v>
      </c>
      <c r="H6483" s="1" t="n">
        <v>287</v>
      </c>
      <c r="I6483" s="1" t="n">
        <v>0.34</v>
      </c>
      <c r="J6483" t="n">
        <v>74604600</v>
      </c>
    </row>
    <row r="6484" ht="15.75" customHeight="1" s="201">
      <c r="A6484" s="1" t="inlineStr">
        <is>
          <t>Soup, tomato, canned, prepared with equal volume water, commercial</t>
        </is>
      </c>
      <c r="C6484" s="1" t="n">
        <v>7.45</v>
      </c>
      <c r="D6484" s="1" t="n">
        <v>0</v>
      </c>
      <c r="E6484" s="1" t="n">
        <v>0.29</v>
      </c>
      <c r="F6484" s="1" t="n">
        <v>0.71</v>
      </c>
      <c r="G6484" s="1" t="n">
        <v>0.21</v>
      </c>
      <c r="H6484" s="1" t="n">
        <v>192</v>
      </c>
      <c r="I6484" s="1" t="n">
        <v>0.09</v>
      </c>
      <c r="J6484" t="n">
        <v>74604600</v>
      </c>
    </row>
    <row r="6485" ht="15.75" customHeight="1" s="201">
      <c r="A6485" s="1" t="inlineStr">
        <is>
          <t>Soup, tomato, dry, mix, prepared with water</t>
        </is>
      </c>
      <c r="C6485" s="1" t="n">
        <v>7.17</v>
      </c>
      <c r="D6485" s="1" t="n">
        <v>11</v>
      </c>
      <c r="E6485" s="1" t="n">
        <v>0.18</v>
      </c>
      <c r="F6485" s="1" t="n">
        <v>0.93</v>
      </c>
      <c r="G6485" s="1" t="n">
        <v>0.61</v>
      </c>
      <c r="H6485" s="1" t="n">
        <v>314</v>
      </c>
      <c r="I6485" s="1" t="n">
        <v>0.13</v>
      </c>
      <c r="J6485" t="n">
        <v>74604600</v>
      </c>
    </row>
    <row r="6486" ht="15.75" customHeight="1" s="201">
      <c r="A6486" s="1" t="inlineStr">
        <is>
          <t>Soup, tomato, low sodium, with water</t>
        </is>
      </c>
      <c r="C6486" s="1" t="n">
        <v>6.57</v>
      </c>
      <c r="D6486" s="1" t="n">
        <v>0</v>
      </c>
      <c r="E6486" s="1" t="n">
        <v>0.54</v>
      </c>
      <c r="F6486" s="1" t="n">
        <v>0.79</v>
      </c>
      <c r="G6486" s="1" t="n">
        <v>0.28</v>
      </c>
      <c r="H6486" s="1" t="n">
        <v>192</v>
      </c>
      <c r="I6486" s="1" t="n">
        <v>0.12</v>
      </c>
      <c r="J6486" t="n">
        <v>11740312</v>
      </c>
    </row>
    <row r="6487" ht="15.75" customHeight="1" s="201">
      <c r="A6487" s="1" t="inlineStr">
        <is>
          <t>Soup, turkey noodle, canned, prepared with equal volume water</t>
        </is>
      </c>
      <c r="C6487" s="1" t="n">
        <v>3.54</v>
      </c>
      <c r="D6487" s="1" t="n">
        <v>8</v>
      </c>
      <c r="E6487" s="1" t="n">
        <v>0.39</v>
      </c>
      <c r="F6487" s="1" t="n">
        <v>1.6</v>
      </c>
      <c r="G6487" s="1" t="n">
        <v>0.82</v>
      </c>
      <c r="H6487" s="1" t="n">
        <v>120</v>
      </c>
      <c r="I6487" s="1" t="n">
        <v>0.24</v>
      </c>
      <c r="J6487" t="n">
        <v>74604600</v>
      </c>
    </row>
    <row r="6488" ht="15.75" customHeight="1" s="201">
      <c r="A6488" s="1" t="inlineStr">
        <is>
          <t>Soup, turkey vegetable, canned, prepared with equal volume water</t>
        </is>
      </c>
      <c r="C6488" s="1" t="n">
        <v>3.58</v>
      </c>
      <c r="D6488" s="1" t="n">
        <v>2</v>
      </c>
      <c r="E6488" s="1" t="n">
        <v>0.32</v>
      </c>
      <c r="F6488" s="1" t="n">
        <v>1.28</v>
      </c>
      <c r="G6488" s="1" t="n">
        <v>1.26</v>
      </c>
      <c r="H6488" s="1" t="n">
        <v>1014</v>
      </c>
      <c r="I6488" s="1" t="n">
        <v>0.25</v>
      </c>
      <c r="J6488" t="n">
        <v>75651010</v>
      </c>
    </row>
    <row r="6489" ht="15.75" customHeight="1" s="201">
      <c r="A6489" s="1" t="inlineStr">
        <is>
          <t>Soup, turkey, chunky, canned, ready-to-serve</t>
        </is>
      </c>
      <c r="C6489" s="1" t="n">
        <v>5.96</v>
      </c>
      <c r="D6489" s="1" t="n">
        <v>5</v>
      </c>
      <c r="E6489" s="1" t="n">
        <v>0.8100000000000001</v>
      </c>
      <c r="F6489" s="1" t="n">
        <v>4.33</v>
      </c>
      <c r="G6489" s="1" t="n">
        <v>1.87</v>
      </c>
      <c r="H6489" s="1" t="n">
        <v>3032</v>
      </c>
      <c r="I6489" s="1" t="n">
        <v>0.9</v>
      </c>
      <c r="J6489" t="n">
        <v>28340690</v>
      </c>
    </row>
    <row r="6490" ht="15.75" customHeight="1" s="201">
      <c r="A6490" s="1" t="inlineStr">
        <is>
          <t>Soup, vegetable beef, canned, condensed</t>
        </is>
      </c>
      <c r="C6490" s="1" t="n">
        <v>8.109999999999999</v>
      </c>
      <c r="D6490" s="1" t="n">
        <v>8</v>
      </c>
      <c r="E6490" s="1" t="n">
        <v>0.89</v>
      </c>
      <c r="F6490" s="1" t="n">
        <v>4.45</v>
      </c>
      <c r="G6490" s="1" t="n">
        <v>1.51</v>
      </c>
      <c r="H6490" s="1" t="n">
        <v>3104</v>
      </c>
      <c r="I6490" s="1" t="n">
        <v>1.23</v>
      </c>
      <c r="J6490" t="n">
        <v>28110510</v>
      </c>
    </row>
    <row r="6491" ht="15.75" customHeight="1" s="201">
      <c r="A6491" s="1" t="inlineStr">
        <is>
          <t>Soup, vegetable beef, canned, prepared with equal volume water</t>
        </is>
      </c>
      <c r="C6491" s="1" t="n">
        <v>4.06</v>
      </c>
      <c r="D6491" s="1" t="n">
        <v>4</v>
      </c>
      <c r="E6491" s="1" t="n">
        <v>0.45</v>
      </c>
      <c r="F6491" s="1" t="n">
        <v>2.23</v>
      </c>
      <c r="G6491" s="1" t="n">
        <v>0.76</v>
      </c>
      <c r="H6491" s="1" t="n">
        <v>1552</v>
      </c>
      <c r="I6491" s="1" t="n">
        <v>0.62</v>
      </c>
      <c r="J6491" t="n">
        <v>75651010</v>
      </c>
    </row>
    <row r="6492" ht="15.75" customHeight="1" s="201">
      <c r="A6492" s="1" t="inlineStr">
        <is>
          <t>Soup, vegetable beef, microwavable, ready-to-serve, single brand</t>
        </is>
      </c>
      <c r="C6492" s="1" t="n">
        <v>3.3</v>
      </c>
      <c r="F6492" s="1" t="n">
        <v>6.2</v>
      </c>
      <c r="G6492" s="1" t="n">
        <v>0.7</v>
      </c>
      <c r="H6492" s="1" t="n">
        <v>650</v>
      </c>
      <c r="J6492" t="n">
        <v>28110510</v>
      </c>
    </row>
    <row r="6493" ht="15.75" customHeight="1" s="201">
      <c r="A6493" s="1" t="inlineStr">
        <is>
          <t>Soup, vegetable broth, ready to serve</t>
        </is>
      </c>
      <c r="C6493" s="1" t="n">
        <v>0.93</v>
      </c>
      <c r="D6493" s="1" t="n">
        <v>0</v>
      </c>
      <c r="E6493" s="1" t="n">
        <v>0.06</v>
      </c>
      <c r="F6493" s="1" t="n">
        <v>0.24</v>
      </c>
      <c r="G6493" s="1" t="n">
        <v>0.07000000000000001</v>
      </c>
      <c r="H6493" s="1" t="n">
        <v>238</v>
      </c>
      <c r="I6493" s="1" t="n">
        <v>0.03</v>
      </c>
      <c r="J6493" t="n">
        <v>75651010</v>
      </c>
    </row>
    <row r="6494" ht="15.75" customHeight="1" s="201">
      <c r="A6494" s="1" t="inlineStr">
        <is>
          <t>Soup, vegetable chicken, canned, prepared with water, low sodium</t>
        </is>
      </c>
      <c r="C6494" s="1" t="n">
        <v>8.76</v>
      </c>
      <c r="D6494" s="1" t="n">
        <v>18</v>
      </c>
      <c r="E6494" s="1" t="n">
        <v>0.61</v>
      </c>
      <c r="F6494" s="1" t="n">
        <v>5.1</v>
      </c>
      <c r="G6494" s="1" t="n">
        <v>2</v>
      </c>
      <c r="H6494" s="1" t="n">
        <v>2496</v>
      </c>
      <c r="I6494" s="1" t="n">
        <v>0.9</v>
      </c>
      <c r="J6494" t="n">
        <v>75651010</v>
      </c>
    </row>
    <row r="6495" ht="15.75" customHeight="1" s="201">
      <c r="A6495" s="1" t="inlineStr">
        <is>
          <t>Soup, vegetable soup, condensed, low sodium, prepared with equal volume water</t>
        </is>
      </c>
      <c r="C6495" s="1" t="n">
        <v>6.06</v>
      </c>
      <c r="D6495" s="1" t="n">
        <v>6</v>
      </c>
      <c r="E6495" s="1" t="n">
        <v>0.33</v>
      </c>
      <c r="F6495" s="1" t="n">
        <v>1.1</v>
      </c>
      <c r="G6495" s="1" t="n">
        <v>0.45</v>
      </c>
      <c r="H6495" s="1" t="n">
        <v>860</v>
      </c>
      <c r="I6495" s="1" t="n">
        <v>0.2</v>
      </c>
      <c r="J6495" t="n">
        <v>75651010</v>
      </c>
    </row>
    <row r="6496" ht="15.75" customHeight="1" s="201">
      <c r="A6496" s="1" t="inlineStr">
        <is>
          <t>Soup, vegetable with beef broth, canned, condensed</t>
        </is>
      </c>
      <c r="C6496" s="1" t="n">
        <v>10.7</v>
      </c>
      <c r="D6496" s="1" t="n">
        <v>9</v>
      </c>
      <c r="E6496" s="1" t="n">
        <v>0.79</v>
      </c>
      <c r="F6496" s="1" t="n">
        <v>2.42</v>
      </c>
      <c r="G6496" s="1" t="n">
        <v>1.56</v>
      </c>
      <c r="H6496" s="1" t="n">
        <v>1707</v>
      </c>
      <c r="I6496" s="1" t="n">
        <v>0.65</v>
      </c>
      <c r="J6496" t="n">
        <v>28110510</v>
      </c>
    </row>
    <row r="6497" ht="15.75" customHeight="1" s="201">
      <c r="A6497" s="1" t="inlineStr">
        <is>
          <t>Soup, vegetable with beef broth, canned, prepared with equal volume water</t>
        </is>
      </c>
      <c r="C6497" s="1" t="n">
        <v>5.35</v>
      </c>
      <c r="D6497" s="1" t="n">
        <v>4</v>
      </c>
      <c r="E6497" s="1" t="n">
        <v>0.4</v>
      </c>
      <c r="F6497" s="1" t="n">
        <v>1.21</v>
      </c>
      <c r="G6497" s="1" t="n">
        <v>0.78</v>
      </c>
      <c r="H6497" s="1" t="n">
        <v>853</v>
      </c>
      <c r="I6497" s="1" t="n">
        <v>0.33</v>
      </c>
      <c r="J6497" t="n">
        <v>75142550</v>
      </c>
    </row>
    <row r="6498" ht="15.75" customHeight="1" s="201">
      <c r="A6498" s="1" t="inlineStr">
        <is>
          <t>Soup, vegetable, canned, low sodium, condensed</t>
        </is>
      </c>
      <c r="C6498" s="1" t="n">
        <v>12.11</v>
      </c>
      <c r="D6498" s="1" t="n">
        <v>12</v>
      </c>
      <c r="E6498" s="1" t="n">
        <v>0.66</v>
      </c>
      <c r="F6498" s="1" t="n">
        <v>2.2</v>
      </c>
      <c r="G6498" s="1" t="n">
        <v>0.9</v>
      </c>
      <c r="H6498" s="1" t="n">
        <v>1721</v>
      </c>
      <c r="I6498" s="1" t="n">
        <v>0.4</v>
      </c>
      <c r="J6498" t="n">
        <v>54204030</v>
      </c>
    </row>
    <row r="6499" ht="15.75" customHeight="1" s="201">
      <c r="A6499" s="1" t="inlineStr">
        <is>
          <t>Soup, vegetarian vegetable, canned, condensed</t>
        </is>
      </c>
      <c r="C6499" s="1" t="n">
        <v>9.779999999999999</v>
      </c>
      <c r="D6499" s="1" t="n">
        <v>9</v>
      </c>
      <c r="E6499" s="1" t="n">
        <v>0.88</v>
      </c>
      <c r="F6499" s="1" t="n">
        <v>1.72</v>
      </c>
      <c r="G6499" s="1" t="n">
        <v>1.58</v>
      </c>
      <c r="H6499" s="1" t="n">
        <v>2842</v>
      </c>
      <c r="I6499" s="1" t="n">
        <v>0.38</v>
      </c>
      <c r="J6499" t="n">
        <v>75649010</v>
      </c>
    </row>
    <row r="6500" ht="15.75" customHeight="1" s="201">
      <c r="A6500" s="1" t="inlineStr">
        <is>
          <t>Soup, vegetarian vegetable, canned, prepared with equal volume water</t>
        </is>
      </c>
      <c r="C6500" s="1" t="n">
        <v>4.89</v>
      </c>
      <c r="D6500" s="1" t="n">
        <v>4</v>
      </c>
      <c r="E6500" s="1" t="n">
        <v>0.44</v>
      </c>
      <c r="F6500" s="1" t="n">
        <v>0.86</v>
      </c>
      <c r="G6500" s="1" t="n">
        <v>0.79</v>
      </c>
      <c r="H6500" s="1" t="n">
        <v>1421</v>
      </c>
      <c r="I6500" s="1" t="n">
        <v>0.19</v>
      </c>
      <c r="J6500" t="n">
        <v>75651010</v>
      </c>
    </row>
    <row r="6501" ht="15.75" customHeight="1" s="201">
      <c r="A6501" s="1" t="inlineStr">
        <is>
          <t>Soup, wonton, Chinese restaurant</t>
        </is>
      </c>
      <c r="C6501" s="1" t="n">
        <v>5.25</v>
      </c>
      <c r="D6501" s="1" t="n">
        <v>13</v>
      </c>
      <c r="E6501" s="1" t="n">
        <v>0.21</v>
      </c>
      <c r="F6501" s="1" t="n">
        <v>2.08</v>
      </c>
      <c r="G6501" s="1" t="n">
        <v>0.26</v>
      </c>
      <c r="H6501" s="1" t="n">
        <v>13</v>
      </c>
      <c r="I6501" s="1" t="n">
        <v>0.12</v>
      </c>
      <c r="J6501" t="n">
        <v>58407030</v>
      </c>
    </row>
    <row r="6502" ht="15.75" customHeight="1" s="201">
      <c r="A6502" s="1" t="inlineStr">
        <is>
          <t>Sour cream, fat free</t>
        </is>
      </c>
      <c r="C6502" s="1" t="n">
        <v>15.6</v>
      </c>
      <c r="D6502" s="1" t="n">
        <v>11</v>
      </c>
      <c r="E6502" s="1" t="n">
        <v>0</v>
      </c>
      <c r="F6502" s="1" t="n">
        <v>3.1</v>
      </c>
      <c r="G6502" s="1" t="n">
        <v>0</v>
      </c>
      <c r="H6502" s="1" t="n">
        <v>255</v>
      </c>
      <c r="I6502" s="1" t="n">
        <v>0.5</v>
      </c>
      <c r="J6502" t="n">
        <v>83300300</v>
      </c>
    </row>
    <row r="6503" ht="15.75" customHeight="1" s="201">
      <c r="A6503" s="1" t="inlineStr">
        <is>
          <t>Sour cream, imitation, cultured</t>
        </is>
      </c>
      <c r="C6503" s="1" t="n">
        <v>6.63</v>
      </c>
      <c r="D6503" s="1" t="n">
        <v>0</v>
      </c>
      <c r="E6503" s="1" t="n">
        <v>0.39</v>
      </c>
      <c r="F6503" s="1" t="n">
        <v>2.4</v>
      </c>
      <c r="G6503" s="1" t="n">
        <v>19.52</v>
      </c>
      <c r="H6503" s="1" t="n">
        <v>0</v>
      </c>
      <c r="I6503" s="1" t="n">
        <v>1.18</v>
      </c>
      <c r="J6503" t="n">
        <v>27446240</v>
      </c>
    </row>
    <row r="6504" ht="15.75" customHeight="1" s="201">
      <c r="A6504" s="1" t="inlineStr">
        <is>
          <t>Sour cream, light</t>
        </is>
      </c>
      <c r="C6504" s="1" t="n">
        <v>7.1</v>
      </c>
      <c r="D6504" s="1" t="n">
        <v>11</v>
      </c>
      <c r="E6504" s="1" t="n">
        <v>0.07000000000000001</v>
      </c>
      <c r="F6504" s="1" t="n">
        <v>3.5</v>
      </c>
      <c r="G6504" s="1" t="n">
        <v>10.6</v>
      </c>
      <c r="H6504" s="1" t="n">
        <v>328</v>
      </c>
      <c r="I6504" s="1" t="n">
        <v>0.5</v>
      </c>
      <c r="J6504" t="n">
        <v>27446245</v>
      </c>
    </row>
    <row r="6505" ht="15.75" customHeight="1" s="201">
      <c r="A6505" s="1" t="inlineStr">
        <is>
          <t>Sour cream, reduced fat</t>
        </is>
      </c>
      <c r="C6505" s="1" t="n">
        <v>7</v>
      </c>
      <c r="D6505" s="1" t="n">
        <v>11</v>
      </c>
      <c r="E6505" s="1" t="n">
        <v>0.06</v>
      </c>
      <c r="F6505" s="1" t="n">
        <v>7</v>
      </c>
      <c r="G6505" s="1" t="n">
        <v>14.1</v>
      </c>
      <c r="H6505" s="1" t="n">
        <v>436</v>
      </c>
      <c r="I6505" s="1" t="n">
        <v>0.27</v>
      </c>
      <c r="J6505" t="n">
        <v>27446245</v>
      </c>
    </row>
    <row r="6506" ht="15.75" customHeight="1" s="201">
      <c r="A6506" s="1" t="inlineStr">
        <is>
          <t>Sour dressing, non-butterfat, cultured, filled cream-type</t>
        </is>
      </c>
      <c r="C6506" s="1" t="n">
        <v>4.68</v>
      </c>
      <c r="D6506" s="1" t="n">
        <v>12</v>
      </c>
      <c r="E6506" s="1" t="n">
        <v>0.03</v>
      </c>
      <c r="F6506" s="1" t="n">
        <v>3.25</v>
      </c>
      <c r="G6506" s="1" t="n">
        <v>16.57</v>
      </c>
      <c r="H6506" s="1" t="n">
        <v>10</v>
      </c>
      <c r="I6506" s="1" t="n">
        <v>0.37</v>
      </c>
      <c r="J6506" t="n">
        <v>27446245</v>
      </c>
    </row>
    <row r="6507" ht="15.75" customHeight="1" s="201">
      <c r="A6507" s="1" t="inlineStr">
        <is>
          <t>Sourdock, young leaves (Alaska Native)</t>
        </is>
      </c>
      <c r="C6507" s="1" t="n">
        <v>6.5</v>
      </c>
      <c r="E6507" s="1" t="n">
        <v>0.8</v>
      </c>
      <c r="F6507" s="1" t="n">
        <v>2.3</v>
      </c>
      <c r="G6507" s="1" t="n">
        <v>0.7</v>
      </c>
      <c r="H6507" s="1" t="n">
        <v>11900</v>
      </c>
    </row>
    <row r="6508" ht="15.75" customHeight="1" s="201">
      <c r="A6508" s="1" t="inlineStr">
        <is>
          <t>Soursop, raw</t>
        </is>
      </c>
      <c r="C6508" s="1" t="n">
        <v>16.84</v>
      </c>
      <c r="D6508" s="1" t="n">
        <v>14</v>
      </c>
      <c r="E6508" s="1" t="n">
        <v>0.6</v>
      </c>
      <c r="F6508" s="1" t="n">
        <v>1</v>
      </c>
      <c r="G6508" s="1" t="n">
        <v>0.3</v>
      </c>
      <c r="H6508" s="1" t="n">
        <v>2</v>
      </c>
      <c r="I6508" s="1" t="n">
        <v>0.1</v>
      </c>
      <c r="J6508" t="n">
        <v>64221010</v>
      </c>
    </row>
    <row r="6509" ht="15.75" customHeight="1" s="201">
      <c r="A6509" s="1" t="inlineStr">
        <is>
          <t>Soy flour, defatted</t>
        </is>
      </c>
      <c r="C6509" s="1" t="n">
        <v>33.92</v>
      </c>
      <c r="D6509" s="1" t="n">
        <v>305</v>
      </c>
      <c r="E6509" s="1" t="n">
        <v>9.24</v>
      </c>
      <c r="F6509" s="1" t="n">
        <v>51.46</v>
      </c>
      <c r="G6509" s="1" t="n">
        <v>1.22</v>
      </c>
      <c r="H6509" s="1" t="n">
        <v>40</v>
      </c>
      <c r="I6509" s="1" t="n">
        <v>2.46</v>
      </c>
      <c r="J6509" t="n">
        <v>52215350</v>
      </c>
    </row>
    <row r="6510" ht="15.75" customHeight="1" s="201">
      <c r="A6510" s="1" t="inlineStr">
        <is>
          <t>Soy flour, full-fat, raw</t>
        </is>
      </c>
      <c r="C6510" s="1" t="n">
        <v>31.92</v>
      </c>
      <c r="D6510" s="1" t="n">
        <v>345</v>
      </c>
      <c r="E6510" s="1" t="n">
        <v>6.37</v>
      </c>
      <c r="F6510" s="1" t="n">
        <v>37.81</v>
      </c>
      <c r="G6510" s="1" t="n">
        <v>20.65</v>
      </c>
      <c r="H6510" s="1" t="n">
        <v>120</v>
      </c>
      <c r="I6510" s="1" t="n">
        <v>3.92</v>
      </c>
      <c r="J6510" t="n">
        <v>52215350</v>
      </c>
    </row>
    <row r="6511" ht="15.75" customHeight="1" s="201">
      <c r="A6511" s="1" t="inlineStr">
        <is>
          <t>Soy flour, full-fat, roasted</t>
        </is>
      </c>
      <c r="C6511" s="1" t="n">
        <v>30.38</v>
      </c>
      <c r="D6511" s="1" t="n">
        <v>227</v>
      </c>
      <c r="E6511" s="1" t="n">
        <v>5.82</v>
      </c>
      <c r="F6511" s="1" t="n">
        <v>38.09</v>
      </c>
      <c r="G6511" s="1" t="n">
        <v>21.86</v>
      </c>
      <c r="H6511" s="1" t="n">
        <v>122</v>
      </c>
      <c r="I6511" s="1" t="n">
        <v>3.58</v>
      </c>
      <c r="J6511" t="n">
        <v>52215350</v>
      </c>
    </row>
    <row r="6512" ht="15.75" customHeight="1" s="201">
      <c r="A6512" s="1" t="inlineStr">
        <is>
          <t>Soy flour, low-fat</t>
        </is>
      </c>
      <c r="C6512" s="1" t="n">
        <v>30.63</v>
      </c>
      <c r="D6512" s="1" t="n">
        <v>289</v>
      </c>
      <c r="E6512" s="1" t="n">
        <v>8.199999999999999</v>
      </c>
      <c r="F6512" s="1" t="n">
        <v>49.81</v>
      </c>
      <c r="G6512" s="1" t="n">
        <v>8.9</v>
      </c>
      <c r="H6512" s="1" t="n">
        <v>40</v>
      </c>
      <c r="I6512" s="1" t="n">
        <v>4.1</v>
      </c>
      <c r="J6512" t="n">
        <v>52215350</v>
      </c>
    </row>
    <row r="6513" ht="15.75" customHeight="1" s="201">
      <c r="A6513" s="1" t="inlineStr">
        <is>
          <t>Soy meal, defatted, raw</t>
        </is>
      </c>
      <c r="C6513" s="1" t="n">
        <v>35.89</v>
      </c>
      <c r="D6513" s="1" t="n">
        <v>303</v>
      </c>
      <c r="E6513" s="1" t="n">
        <v>13.7</v>
      </c>
      <c r="F6513" s="1" t="n">
        <v>49.2</v>
      </c>
      <c r="G6513" s="1" t="n">
        <v>2.39</v>
      </c>
      <c r="H6513" s="1" t="n">
        <v>40</v>
      </c>
      <c r="I6513" s="1" t="n">
        <v>5.06</v>
      </c>
      <c r="J6513" t="n">
        <v>28110510</v>
      </c>
    </row>
    <row r="6514" ht="15.75" customHeight="1" s="201">
      <c r="A6514" s="1" t="inlineStr">
        <is>
          <t>Soy protein concentrate, produced by acid wash</t>
        </is>
      </c>
      <c r="C6514" s="1" t="n">
        <v>25.41</v>
      </c>
      <c r="D6514" s="1" t="n">
        <v>340</v>
      </c>
      <c r="E6514" s="1" t="n">
        <v>10.78</v>
      </c>
      <c r="F6514" s="1" t="n">
        <v>63.63</v>
      </c>
      <c r="G6514" s="1" t="n">
        <v>0.46</v>
      </c>
      <c r="H6514" s="1" t="n">
        <v>0</v>
      </c>
      <c r="I6514" s="1" t="n">
        <v>4.4</v>
      </c>
    </row>
    <row r="6515" ht="15.75" customHeight="1" s="201">
      <c r="A6515" s="1" t="inlineStr">
        <is>
          <t>Soy protein concentrate, produced by alcohol extraction</t>
        </is>
      </c>
      <c r="C6515" s="1" t="n">
        <v>25.41</v>
      </c>
      <c r="D6515" s="1" t="n">
        <v>340</v>
      </c>
      <c r="E6515" s="1" t="n">
        <v>10.78</v>
      </c>
      <c r="F6515" s="1" t="n">
        <v>63.63</v>
      </c>
      <c r="G6515" s="1" t="n">
        <v>0.46</v>
      </c>
      <c r="H6515" s="1" t="n">
        <v>0</v>
      </c>
      <c r="I6515" s="1" t="n">
        <v>4.4</v>
      </c>
    </row>
    <row r="6516" ht="15.75" customHeight="1" s="201">
      <c r="A6516" s="1" t="inlineStr">
        <is>
          <t>Soy protein isolate</t>
        </is>
      </c>
      <c r="C6516" s="1" t="n">
        <v>0</v>
      </c>
      <c r="D6516" s="1" t="n">
        <v>176</v>
      </c>
      <c r="E6516" s="1" t="n">
        <v>14.5</v>
      </c>
      <c r="F6516" s="1" t="n">
        <v>88.31999999999999</v>
      </c>
      <c r="G6516" s="1" t="n">
        <v>3.39</v>
      </c>
      <c r="H6516" s="1" t="n">
        <v>0</v>
      </c>
      <c r="I6516" s="1" t="n">
        <v>4.03</v>
      </c>
      <c r="J6516" t="n">
        <v>95220010</v>
      </c>
    </row>
    <row r="6517" ht="15.75" customHeight="1" s="201">
      <c r="A6517" s="1" t="inlineStr">
        <is>
          <t>Soy protein isolate, potassium type</t>
        </is>
      </c>
      <c r="C6517" s="1" t="n">
        <v>2.59</v>
      </c>
      <c r="D6517" s="1" t="n">
        <v>176</v>
      </c>
      <c r="E6517" s="1" t="n">
        <v>14.5</v>
      </c>
      <c r="F6517" s="1" t="n">
        <v>88.31999999999999</v>
      </c>
      <c r="G6517" s="1" t="n">
        <v>0.53</v>
      </c>
      <c r="H6517" s="1" t="n">
        <v>0</v>
      </c>
      <c r="I6517" s="1" t="n">
        <v>4.03</v>
      </c>
      <c r="J6517" t="n">
        <v>42303100</v>
      </c>
    </row>
    <row r="6518" ht="15.75" customHeight="1" s="201">
      <c r="A6518" s="1" t="inlineStr">
        <is>
          <t>Soy sauce made from hydrolyzed vegetable protein</t>
        </is>
      </c>
      <c r="C6518" s="1" t="n">
        <v>7.84</v>
      </c>
      <c r="D6518" s="1" t="n">
        <v>13</v>
      </c>
      <c r="E6518" s="1" t="n">
        <v>0.33</v>
      </c>
      <c r="F6518" s="1" t="n">
        <v>7</v>
      </c>
      <c r="G6518" s="1" t="n">
        <v>0.51</v>
      </c>
      <c r="H6518" s="1" t="n">
        <v>0</v>
      </c>
      <c r="I6518" s="1" t="n">
        <v>0.23</v>
      </c>
      <c r="J6518" t="n">
        <v>24164000</v>
      </c>
    </row>
    <row r="6519" ht="15.75" customHeight="1" s="201">
      <c r="A6519" s="1" t="inlineStr">
        <is>
          <t>Soy sauce made from soy (tamari)</t>
        </is>
      </c>
      <c r="C6519" s="1" t="n">
        <v>5.57</v>
      </c>
      <c r="D6519" s="1" t="n">
        <v>18</v>
      </c>
      <c r="E6519" s="1" t="n">
        <v>2.38</v>
      </c>
      <c r="F6519" s="1" t="n">
        <v>10.51</v>
      </c>
      <c r="G6519" s="1" t="n">
        <v>0.1</v>
      </c>
      <c r="H6519" s="1" t="n">
        <v>0</v>
      </c>
      <c r="I6519" s="1" t="n">
        <v>0.43</v>
      </c>
      <c r="J6519" t="n">
        <v>24164000</v>
      </c>
    </row>
    <row r="6520" ht="15.75" customHeight="1" s="201">
      <c r="A6520" s="1" t="inlineStr">
        <is>
          <t>Soy sauce made from soy and wheat (shoyu)</t>
        </is>
      </c>
      <c r="C6520" s="1" t="n">
        <v>4.93</v>
      </c>
      <c r="D6520" s="1" t="n">
        <v>14</v>
      </c>
      <c r="E6520" s="1" t="n">
        <v>1.45</v>
      </c>
      <c r="F6520" s="1" t="n">
        <v>8.140000000000001</v>
      </c>
      <c r="G6520" s="1" t="n">
        <v>0.57</v>
      </c>
      <c r="H6520" s="1" t="n">
        <v>0</v>
      </c>
      <c r="I6520" s="1" t="n">
        <v>0.87</v>
      </c>
      <c r="J6520" t="n">
        <v>54338000</v>
      </c>
    </row>
    <row r="6521" ht="15.75" customHeight="1" s="201">
      <c r="A6521" s="1" t="inlineStr">
        <is>
          <t>Soy sauce made from soy and wheat (shoyu), low sodium</t>
        </is>
      </c>
      <c r="C6521" s="1" t="n">
        <v>5.59</v>
      </c>
      <c r="D6521" s="1" t="n">
        <v>44</v>
      </c>
      <c r="E6521" s="1" t="n">
        <v>1.35</v>
      </c>
      <c r="F6521" s="1" t="n">
        <v>9.050000000000001</v>
      </c>
      <c r="G6521" s="1" t="n">
        <v>0.3</v>
      </c>
      <c r="H6521" s="1" t="n">
        <v>0</v>
      </c>
      <c r="I6521" s="1" t="n">
        <v>0.79</v>
      </c>
      <c r="J6521" t="n">
        <v>54204030</v>
      </c>
    </row>
    <row r="6522" ht="15.75" customHeight="1" s="201">
      <c r="A6522" s="1" t="inlineStr">
        <is>
          <t>Soy sauce, reduced sodium, made from hydrolyzed vegetable protein</t>
        </is>
      </c>
      <c r="C6522" s="1" t="n">
        <v>14.44</v>
      </c>
      <c r="D6522" s="1" t="n">
        <v>4</v>
      </c>
      <c r="E6522" s="1" t="n">
        <v>0.43</v>
      </c>
      <c r="F6522" s="1" t="n">
        <v>8.19</v>
      </c>
      <c r="G6522" s="1" t="n">
        <v>0.31</v>
      </c>
      <c r="H6522" s="1" t="n">
        <v>0</v>
      </c>
      <c r="I6522" s="1" t="n">
        <v>0.25</v>
      </c>
      <c r="J6522" t="n">
        <v>54204030</v>
      </c>
    </row>
    <row r="6523" ht="15.75" customHeight="1" s="201">
      <c r="A6523" s="1" t="inlineStr">
        <is>
          <t>Soybean, curd cheese</t>
        </is>
      </c>
      <c r="C6523" s="1" t="n">
        <v>6.9</v>
      </c>
      <c r="D6523" s="1" t="n">
        <v>22</v>
      </c>
      <c r="E6523" s="1" t="n">
        <v>5.6</v>
      </c>
      <c r="F6523" s="1" t="n">
        <v>12.5</v>
      </c>
      <c r="G6523" s="1" t="n">
        <v>8.1</v>
      </c>
      <c r="H6523" s="1" t="n">
        <v>42</v>
      </c>
      <c r="I6523" s="1" t="n">
        <v>1.72</v>
      </c>
      <c r="J6523" t="n">
        <v>14420100</v>
      </c>
    </row>
    <row r="6524" ht="15.75" customHeight="1" s="201">
      <c r="A6524" s="1" t="inlineStr">
        <is>
          <t>Soybeans, green, cooked, boiled, drained, with salt</t>
        </is>
      </c>
      <c r="C6524" s="1" t="n">
        <v>11.05</v>
      </c>
      <c r="D6524" s="1" t="n">
        <v>111</v>
      </c>
      <c r="E6524" s="1" t="n">
        <v>2.5</v>
      </c>
      <c r="F6524" s="1" t="n">
        <v>12.35</v>
      </c>
      <c r="G6524" s="1" t="n">
        <v>6.4</v>
      </c>
      <c r="H6524" s="1" t="n">
        <v>156</v>
      </c>
      <c r="I6524" s="1" t="n">
        <v>0.91</v>
      </c>
      <c r="J6524" t="n">
        <v>75142550</v>
      </c>
    </row>
    <row r="6525" ht="15.75" customHeight="1" s="201">
      <c r="A6525" s="1" t="inlineStr">
        <is>
          <t>Soybeans, green, cooked, boiled, drained, without salt</t>
        </is>
      </c>
      <c r="C6525" s="1" t="n">
        <v>11.05</v>
      </c>
      <c r="D6525" s="1" t="n">
        <v>111</v>
      </c>
      <c r="E6525" s="1" t="n">
        <v>2.5</v>
      </c>
      <c r="F6525" s="1" t="n">
        <v>12.35</v>
      </c>
      <c r="G6525" s="1" t="n">
        <v>6.4</v>
      </c>
      <c r="H6525" s="1" t="n">
        <v>156</v>
      </c>
      <c r="I6525" s="1" t="n">
        <v>0.91</v>
      </c>
      <c r="J6525" t="n">
        <v>31103010</v>
      </c>
    </row>
    <row r="6526" ht="15.75" customHeight="1" s="201">
      <c r="A6526" s="1" t="inlineStr">
        <is>
          <t>Soybeans, green, raw</t>
        </is>
      </c>
      <c r="C6526" s="1" t="n">
        <v>11.05</v>
      </c>
      <c r="D6526" s="1" t="n">
        <v>165</v>
      </c>
      <c r="E6526" s="1" t="n">
        <v>3.55</v>
      </c>
      <c r="F6526" s="1" t="n">
        <v>12.95</v>
      </c>
      <c r="G6526" s="1" t="n">
        <v>6.8</v>
      </c>
      <c r="H6526" s="1" t="n">
        <v>180</v>
      </c>
      <c r="I6526" s="1" t="n">
        <v>0.99</v>
      </c>
      <c r="J6526" t="n">
        <v>92303010</v>
      </c>
    </row>
    <row r="6527" ht="15.75" customHeight="1" s="201">
      <c r="A6527" s="1" t="inlineStr">
        <is>
          <t>Soybeans, mature cooked, boiled, without salt</t>
        </is>
      </c>
      <c r="C6527" s="1" t="n">
        <v>8.359999999999999</v>
      </c>
      <c r="D6527" s="1" t="n">
        <v>54</v>
      </c>
      <c r="E6527" s="1" t="n">
        <v>5.14</v>
      </c>
      <c r="F6527" s="1" t="n">
        <v>18.21</v>
      </c>
      <c r="G6527" s="1" t="n">
        <v>8.970000000000001</v>
      </c>
      <c r="H6527" s="1" t="n">
        <v>9</v>
      </c>
      <c r="I6527" s="1" t="n">
        <v>1.15</v>
      </c>
      <c r="J6527" t="n">
        <v>31103010</v>
      </c>
    </row>
    <row r="6528" ht="15.75" customHeight="1" s="201">
      <c r="A6528" s="1" t="inlineStr">
        <is>
          <t>Soybeans, mature seeds, cooked, boiled, with salt</t>
        </is>
      </c>
      <c r="C6528" s="1" t="n">
        <v>8.359999999999999</v>
      </c>
      <c r="D6528" s="1" t="n">
        <v>54</v>
      </c>
      <c r="E6528" s="1" t="n">
        <v>5.14</v>
      </c>
      <c r="F6528" s="1" t="n">
        <v>18.21</v>
      </c>
      <c r="G6528" s="1" t="n">
        <v>8.970000000000001</v>
      </c>
      <c r="H6528" s="1" t="n">
        <v>9</v>
      </c>
      <c r="I6528" s="1" t="n">
        <v>1.15</v>
      </c>
      <c r="J6528" t="n">
        <v>75142550</v>
      </c>
    </row>
    <row r="6529" ht="15.75" customHeight="1" s="201">
      <c r="A6529" s="1" t="inlineStr">
        <is>
          <t>Soybeans, mature seeds, dry roasted</t>
        </is>
      </c>
      <c r="C6529" s="1" t="n">
        <v>28.98</v>
      </c>
      <c r="D6529" s="1" t="n">
        <v>205</v>
      </c>
      <c r="E6529" s="1" t="n">
        <v>3.95</v>
      </c>
      <c r="F6529" s="1" t="n">
        <v>43.32</v>
      </c>
      <c r="G6529" s="1" t="n">
        <v>21.62</v>
      </c>
      <c r="H6529" s="1" t="n">
        <v>0</v>
      </c>
      <c r="I6529" s="1" t="n">
        <v>4.77</v>
      </c>
      <c r="J6529" t="n">
        <v>43101100</v>
      </c>
    </row>
    <row r="6530" ht="15.75" customHeight="1" s="201">
      <c r="A6530" s="1" t="inlineStr">
        <is>
          <t>Soybeans, mature seeds, raw</t>
        </is>
      </c>
      <c r="C6530" s="1" t="n">
        <v>30.16</v>
      </c>
      <c r="D6530" s="1" t="n">
        <v>375</v>
      </c>
      <c r="E6530" s="1" t="n">
        <v>15.7</v>
      </c>
      <c r="F6530" s="1" t="n">
        <v>36.49</v>
      </c>
      <c r="G6530" s="1" t="n">
        <v>19.94</v>
      </c>
      <c r="H6530" s="1" t="n">
        <v>22</v>
      </c>
      <c r="I6530" s="1" t="n">
        <v>4.89</v>
      </c>
      <c r="J6530" t="n">
        <v>43101100</v>
      </c>
    </row>
    <row r="6531" ht="15.75" customHeight="1" s="201">
      <c r="A6531" s="1" t="inlineStr">
        <is>
          <t>Soybeans, mature seeds, roasted, no salt added</t>
        </is>
      </c>
      <c r="C6531" s="1" t="n">
        <v>30.22</v>
      </c>
      <c r="D6531" s="1" t="n">
        <v>211</v>
      </c>
      <c r="E6531" s="1" t="n">
        <v>3.9</v>
      </c>
      <c r="F6531" s="1" t="n">
        <v>38.55</v>
      </c>
      <c r="G6531" s="1" t="n">
        <v>25.4</v>
      </c>
      <c r="H6531" s="1" t="n">
        <v>0</v>
      </c>
      <c r="I6531" s="1" t="n">
        <v>3.14</v>
      </c>
      <c r="J6531" t="n">
        <v>54318500</v>
      </c>
    </row>
    <row r="6532" ht="15.75" customHeight="1" s="201">
      <c r="A6532" s="1" t="inlineStr">
        <is>
          <t>Soybeans, mature seeds, roasted, salted</t>
        </is>
      </c>
      <c r="C6532" s="1" t="n">
        <v>30.22</v>
      </c>
      <c r="D6532" s="1" t="n">
        <v>211</v>
      </c>
      <c r="E6532" s="1" t="n">
        <v>3.9</v>
      </c>
      <c r="F6532" s="1" t="n">
        <v>38.55</v>
      </c>
      <c r="G6532" s="1" t="n">
        <v>25.4</v>
      </c>
      <c r="H6532" s="1" t="n">
        <v>200</v>
      </c>
      <c r="I6532" s="1" t="n">
        <v>3.14</v>
      </c>
      <c r="J6532" t="n">
        <v>43101100</v>
      </c>
    </row>
    <row r="6533" ht="15.75" customHeight="1" s="201">
      <c r="A6533" s="1" t="inlineStr">
        <is>
          <t>Soybeans, mature seeds, sprouted, cooked, steamed</t>
        </is>
      </c>
      <c r="C6533" s="1" t="n">
        <v>6.53</v>
      </c>
      <c r="D6533" s="1" t="n">
        <v>80</v>
      </c>
      <c r="E6533" s="1" t="n">
        <v>1.31</v>
      </c>
      <c r="F6533" s="1" t="n">
        <v>8.470000000000001</v>
      </c>
      <c r="G6533" s="1" t="n">
        <v>4.45</v>
      </c>
      <c r="H6533" s="1" t="n">
        <v>40</v>
      </c>
      <c r="I6533" s="1" t="n">
        <v>1.04</v>
      </c>
      <c r="J6533" t="n">
        <v>58112510</v>
      </c>
    </row>
    <row r="6534" ht="15.75" customHeight="1" s="201">
      <c r="A6534" s="1" t="inlineStr">
        <is>
          <t>Soybeans, mature seeds, sprouted, cooked, steamed, with salt</t>
        </is>
      </c>
      <c r="C6534" s="1" t="n">
        <v>6.53</v>
      </c>
      <c r="D6534" s="1" t="n">
        <v>80</v>
      </c>
      <c r="E6534" s="1" t="n">
        <v>1.31</v>
      </c>
      <c r="F6534" s="1" t="n">
        <v>8.470000000000001</v>
      </c>
      <c r="G6534" s="1" t="n">
        <v>4.45</v>
      </c>
      <c r="H6534" s="1" t="n">
        <v>40</v>
      </c>
      <c r="I6534" s="1" t="n">
        <v>1.04</v>
      </c>
      <c r="J6534" t="n">
        <v>75142550</v>
      </c>
    </row>
    <row r="6535" ht="15.75" customHeight="1" s="201">
      <c r="A6535" s="1" t="inlineStr">
        <is>
          <t>Soybeans, mature seeds, sprouted, cooked, stir-fried</t>
        </is>
      </c>
      <c r="C6535" s="1" t="n">
        <v>9.4</v>
      </c>
      <c r="D6535" s="1" t="n">
        <v>127</v>
      </c>
      <c r="E6535" s="1" t="n">
        <v>0.4</v>
      </c>
      <c r="F6535" s="1" t="n">
        <v>13.1</v>
      </c>
      <c r="G6535" s="1" t="n">
        <v>7.1</v>
      </c>
      <c r="H6535" s="1" t="n">
        <v>17</v>
      </c>
      <c r="I6535" s="1" t="n">
        <v>2.1</v>
      </c>
    </row>
    <row r="6536" ht="15.75" customHeight="1" s="201">
      <c r="A6536" s="1" t="inlineStr">
        <is>
          <t>Soybeans, mature seeds, sprouted, cooked, stir-fried, with salt</t>
        </is>
      </c>
      <c r="C6536" s="1" t="n">
        <v>9.4</v>
      </c>
      <c r="D6536" s="1" t="n">
        <v>127</v>
      </c>
      <c r="E6536" s="1" t="n">
        <v>0.4</v>
      </c>
      <c r="F6536" s="1" t="n">
        <v>13.1</v>
      </c>
      <c r="G6536" s="1" t="n">
        <v>7.1</v>
      </c>
      <c r="H6536" s="1" t="n">
        <v>17</v>
      </c>
      <c r="I6536" s="1" t="n">
        <v>2.1</v>
      </c>
      <c r="J6536" t="n">
        <v>75142550</v>
      </c>
    </row>
    <row r="6537" ht="15.75" customHeight="1" s="201">
      <c r="A6537" s="1" t="inlineStr">
        <is>
          <t>Soybeans, mature seeds, sprouted, raw</t>
        </is>
      </c>
      <c r="C6537" s="1" t="n">
        <v>9.57</v>
      </c>
      <c r="D6537" s="1" t="n">
        <v>172</v>
      </c>
      <c r="E6537" s="1" t="n">
        <v>2.1</v>
      </c>
      <c r="F6537" s="1" t="n">
        <v>13.09</v>
      </c>
      <c r="G6537" s="1" t="n">
        <v>6.7</v>
      </c>
      <c r="H6537" s="1" t="n">
        <v>11</v>
      </c>
      <c r="I6537" s="1" t="n">
        <v>1.17</v>
      </c>
      <c r="J6537" t="n">
        <v>43101100</v>
      </c>
    </row>
    <row r="6538" ht="15.75" customHeight="1" s="201">
      <c r="A6538" s="1" t="inlineStr">
        <is>
          <t>Soymilk (All flavors), enhanced</t>
        </is>
      </c>
      <c r="C6538" s="1" t="n">
        <v>3.45</v>
      </c>
      <c r="D6538" s="1" t="n">
        <v>32</v>
      </c>
      <c r="E6538" s="1" t="n">
        <v>0.49</v>
      </c>
      <c r="F6538" s="1" t="n">
        <v>2.94</v>
      </c>
      <c r="G6538" s="1" t="n">
        <v>1.99</v>
      </c>
      <c r="H6538" s="1" t="n">
        <v>393</v>
      </c>
      <c r="I6538" s="1" t="n">
        <v>0.24</v>
      </c>
      <c r="J6538" t="n">
        <v>54401112</v>
      </c>
    </row>
    <row r="6539" ht="15.75" customHeight="1" s="201">
      <c r="A6539" s="1" t="inlineStr">
        <is>
          <t>Soymilk (All flavors), lowfat, with added calcium, vitamins A and D</t>
        </is>
      </c>
      <c r="C6539" s="1" t="n">
        <v>7.2</v>
      </c>
      <c r="E6539" s="1" t="n">
        <v>0.44</v>
      </c>
      <c r="F6539" s="1" t="n">
        <v>1.65</v>
      </c>
      <c r="G6539" s="1" t="n">
        <v>0.62</v>
      </c>
      <c r="H6539" s="1" t="n">
        <v>206</v>
      </c>
      <c r="J6539" t="n">
        <v>75142550</v>
      </c>
    </row>
    <row r="6540" ht="15.75" customHeight="1" s="201">
      <c r="A6540" s="1" t="inlineStr">
        <is>
          <t>Soymilk, chocolate and other flavors, light, with added calcium, vitamins A and D</t>
        </is>
      </c>
      <c r="C6540" s="1" t="n">
        <v>8.24</v>
      </c>
      <c r="D6540" s="1" t="n">
        <v>9</v>
      </c>
      <c r="E6540" s="1" t="n">
        <v>0.59</v>
      </c>
      <c r="F6540" s="1" t="n">
        <v>2.1</v>
      </c>
      <c r="G6540" s="1" t="n">
        <v>0.64</v>
      </c>
      <c r="H6540" s="1" t="n">
        <v>206</v>
      </c>
      <c r="I6540" s="1" t="n">
        <v>0.23</v>
      </c>
      <c r="J6540" t="n">
        <v>53108200</v>
      </c>
    </row>
    <row r="6541" ht="15.75" customHeight="1" s="201">
      <c r="A6541" s="1" t="inlineStr">
        <is>
          <t>Soymilk, chocolate, unfortified</t>
        </is>
      </c>
      <c r="C6541" s="1" t="n">
        <v>9.949999999999999</v>
      </c>
      <c r="D6541" s="1" t="n">
        <v>11</v>
      </c>
      <c r="E6541" s="1" t="n">
        <v>0.48</v>
      </c>
      <c r="F6541" s="1" t="n">
        <v>2.26</v>
      </c>
      <c r="G6541" s="1" t="n">
        <v>1.53</v>
      </c>
      <c r="H6541" s="1" t="n">
        <v>3</v>
      </c>
      <c r="I6541" s="1" t="n">
        <v>0.34</v>
      </c>
      <c r="J6541" t="n">
        <v>53108200</v>
      </c>
    </row>
    <row r="6542" ht="15.75" customHeight="1" s="201">
      <c r="A6542" s="1" t="inlineStr">
        <is>
          <t>Soymilk, chocolate, with added calcium, vitamins A and D</t>
        </is>
      </c>
      <c r="C6542" s="1" t="n">
        <v>9.949999999999999</v>
      </c>
      <c r="D6542" s="1" t="n">
        <v>11</v>
      </c>
      <c r="E6542" s="1" t="n">
        <v>0.48</v>
      </c>
      <c r="F6542" s="1" t="n">
        <v>2.26</v>
      </c>
      <c r="G6542" s="1" t="n">
        <v>1.53</v>
      </c>
      <c r="H6542" s="1" t="n">
        <v>235</v>
      </c>
      <c r="I6542" s="1" t="n">
        <v>0.34</v>
      </c>
      <c r="J6542" t="n">
        <v>53108200</v>
      </c>
    </row>
    <row r="6543" ht="15.75" customHeight="1" s="201">
      <c r="A6543" s="1" t="inlineStr">
        <is>
          <t>Soymilk, original and vanilla, light, unsweetened, with added calcium, vitamins A and D</t>
        </is>
      </c>
      <c r="C6543" s="1" t="n">
        <v>3.85</v>
      </c>
      <c r="D6543" s="1" t="n">
        <v>7</v>
      </c>
      <c r="E6543" s="1" t="n">
        <v>0.46</v>
      </c>
      <c r="F6543" s="1" t="n">
        <v>2.62</v>
      </c>
      <c r="G6543" s="1" t="n">
        <v>0.85</v>
      </c>
      <c r="H6543" s="1" t="n">
        <v>206</v>
      </c>
      <c r="I6543" s="1" t="n">
        <v>0.1</v>
      </c>
      <c r="J6543" t="n">
        <v>58148117</v>
      </c>
    </row>
    <row r="6544" ht="15.75" customHeight="1" s="201">
      <c r="A6544" s="1" t="inlineStr">
        <is>
          <t>Soymilk, original and vanilla, light, with added calcium, vitamins A and D</t>
        </is>
      </c>
      <c r="C6544" s="1" t="n">
        <v>3.51</v>
      </c>
      <c r="D6544" s="1" t="n">
        <v>9</v>
      </c>
      <c r="E6544" s="1" t="n">
        <v>0.43</v>
      </c>
      <c r="F6544" s="1" t="n">
        <v>2.38</v>
      </c>
      <c r="G6544" s="1" t="n">
        <v>0.77</v>
      </c>
      <c r="H6544" s="1" t="n">
        <v>204</v>
      </c>
      <c r="I6544" s="1" t="n">
        <v>0.23</v>
      </c>
      <c r="J6544" t="n">
        <v>58148117</v>
      </c>
    </row>
    <row r="6545" ht="15.75" customHeight="1" s="201">
      <c r="A6545" s="1" t="inlineStr">
        <is>
          <t>Soymilk, original and vanilla, unfortified</t>
        </is>
      </c>
      <c r="C6545" s="1" t="n">
        <v>6.28</v>
      </c>
      <c r="D6545" s="1" t="n">
        <v>18</v>
      </c>
      <c r="E6545" s="1" t="n">
        <v>0.64</v>
      </c>
      <c r="F6545" s="1" t="n">
        <v>3.27</v>
      </c>
      <c r="G6545" s="1" t="n">
        <v>1.75</v>
      </c>
      <c r="H6545" s="1" t="n">
        <v>3</v>
      </c>
      <c r="I6545" s="1" t="n">
        <v>0.12</v>
      </c>
      <c r="J6545" t="n">
        <v>11320000</v>
      </c>
    </row>
    <row r="6546" ht="15.75" customHeight="1" s="201">
      <c r="A6546" s="1" t="inlineStr">
        <is>
          <t>Soymilk, original and vanilla, with added calcium, vitamins A and D</t>
        </is>
      </c>
      <c r="C6546" s="1" t="n">
        <v>4.92</v>
      </c>
      <c r="D6546" s="1" t="n">
        <v>9</v>
      </c>
      <c r="E6546" s="1" t="n">
        <v>0.42</v>
      </c>
      <c r="F6546" s="1" t="n">
        <v>2.6</v>
      </c>
      <c r="G6546" s="1" t="n">
        <v>1.47</v>
      </c>
      <c r="H6546" s="1" t="n">
        <v>185</v>
      </c>
      <c r="I6546" s="1" t="n">
        <v>0.26</v>
      </c>
      <c r="J6546" t="n">
        <v>75142550</v>
      </c>
    </row>
    <row r="6547" ht="15.75" customHeight="1" s="201">
      <c r="A6547" s="1" t="inlineStr">
        <is>
          <t>Spaghetti with meat sauce, frozen entree</t>
        </is>
      </c>
      <c r="C6547" s="1" t="n">
        <v>15.24</v>
      </c>
      <c r="D6547" s="1" t="n">
        <v>46</v>
      </c>
      <c r="E6547" s="1" t="n">
        <v>1.25</v>
      </c>
      <c r="F6547" s="1" t="n">
        <v>5.05</v>
      </c>
      <c r="G6547" s="1" t="n">
        <v>1.01</v>
      </c>
      <c r="H6547" s="1" t="n">
        <v>174</v>
      </c>
      <c r="I6547" s="1" t="n">
        <v>0.51</v>
      </c>
      <c r="J6547" t="n">
        <v>58301050</v>
      </c>
    </row>
    <row r="6548" ht="15.75" customHeight="1" s="201">
      <c r="A6548" s="1" t="inlineStr">
        <is>
          <t>Spaghetti, protein-fortified, cooked, enriched (n x 6.25)</t>
        </is>
      </c>
      <c r="C6548" s="1" t="n">
        <v>30.88</v>
      </c>
      <c r="D6548" s="1" t="n">
        <v>82</v>
      </c>
      <c r="E6548" s="1" t="n">
        <v>0.72</v>
      </c>
      <c r="F6548" s="1" t="n">
        <v>8.859999999999999</v>
      </c>
      <c r="G6548" s="1" t="n">
        <v>0.21</v>
      </c>
      <c r="H6548" s="1" t="n">
        <v>0</v>
      </c>
      <c r="I6548" s="1" t="n">
        <v>0.5</v>
      </c>
    </row>
    <row r="6549" ht="15.75" customHeight="1" s="201">
      <c r="A6549" s="1" t="inlineStr">
        <is>
          <t>Spaghetti, protein-fortified, dry, enriched (n x 6.25)</t>
        </is>
      </c>
      <c r="C6549" s="1" t="n">
        <v>65.65000000000001</v>
      </c>
      <c r="D6549" s="1" t="n">
        <v>278</v>
      </c>
      <c r="E6549" s="1" t="n">
        <v>4.15</v>
      </c>
      <c r="F6549" s="1" t="n">
        <v>21.78</v>
      </c>
      <c r="G6549" s="1" t="n">
        <v>2.23</v>
      </c>
      <c r="H6549" s="1" t="n">
        <v>0</v>
      </c>
      <c r="I6549" s="1" t="n">
        <v>1.79</v>
      </c>
      <c r="J6549" t="n">
        <v>58304060</v>
      </c>
    </row>
    <row r="6550" ht="15.75" customHeight="1" s="201">
      <c r="A6550" s="1" t="inlineStr">
        <is>
          <t>Spaghetti, spinach, cooked</t>
        </is>
      </c>
      <c r="C6550" s="1" t="n">
        <v>26.15</v>
      </c>
      <c r="D6550" s="1" t="n">
        <v>12</v>
      </c>
      <c r="E6550" s="1" t="n">
        <v>1.04</v>
      </c>
      <c r="F6550" s="1" t="n">
        <v>4.58</v>
      </c>
      <c r="G6550" s="1" t="n">
        <v>0.63</v>
      </c>
      <c r="H6550" s="1" t="n">
        <v>152</v>
      </c>
      <c r="I6550" s="1" t="n">
        <v>1.08</v>
      </c>
      <c r="J6550" t="n">
        <v>56104000</v>
      </c>
    </row>
    <row r="6551" ht="15.75" customHeight="1" s="201">
      <c r="A6551" s="1" t="inlineStr">
        <is>
          <t>Spaghetti, spinach, dry</t>
        </is>
      </c>
      <c r="C6551" s="1" t="n">
        <v>74.81</v>
      </c>
      <c r="D6551" s="1" t="n">
        <v>48</v>
      </c>
      <c r="E6551" s="1" t="n">
        <v>2.13</v>
      </c>
      <c r="F6551" s="1" t="n">
        <v>13.35</v>
      </c>
      <c r="G6551" s="1" t="n">
        <v>1.57</v>
      </c>
      <c r="H6551" s="1" t="n">
        <v>461</v>
      </c>
      <c r="I6551" s="1" t="n">
        <v>2.76</v>
      </c>
      <c r="J6551" t="n">
        <v>56104000</v>
      </c>
    </row>
    <row r="6552" ht="15.75" customHeight="1" s="201">
      <c r="A6552" s="1" t="inlineStr">
        <is>
          <t>Spaghetti, with meatballs in tomato sauce, canned</t>
        </is>
      </c>
      <c r="C6552" s="1" t="n">
        <v>11.45</v>
      </c>
      <c r="D6552" s="1" t="n">
        <v>20</v>
      </c>
      <c r="E6552" s="1" t="n">
        <v>1.03</v>
      </c>
      <c r="F6552" s="1" t="n">
        <v>4.37</v>
      </c>
      <c r="G6552" s="1" t="n">
        <v>4.11</v>
      </c>
      <c r="H6552" s="1" t="n">
        <v>264</v>
      </c>
      <c r="I6552" s="1" t="n">
        <v>0.51</v>
      </c>
      <c r="J6552" t="n">
        <v>75142550</v>
      </c>
    </row>
    <row r="6553" ht="15.75" customHeight="1" s="201">
      <c r="A6553" s="1" t="inlineStr">
        <is>
          <t>Spanish rice mix, dry mix, prepared (with canola/vegetable oil blend or diced tomatoes and margarine)</t>
        </is>
      </c>
      <c r="C6553" s="1" t="n">
        <v>22.74</v>
      </c>
      <c r="D6553" s="1" t="n">
        <v>68</v>
      </c>
      <c r="E6553" s="1" t="n">
        <v>1.02</v>
      </c>
      <c r="F6553" s="1" t="n">
        <v>3.27</v>
      </c>
      <c r="G6553" s="1" t="n">
        <v>2.38</v>
      </c>
      <c r="H6553" s="1" t="n">
        <v>208</v>
      </c>
      <c r="I6553" s="1" t="n">
        <v>0.3</v>
      </c>
      <c r="J6553" t="n">
        <v>58163410</v>
      </c>
    </row>
    <row r="6554" ht="15.75" customHeight="1" s="201">
      <c r="A6554" s="1" t="inlineStr">
        <is>
          <t>Spanish rice mix, dry mix, unprepared</t>
        </is>
      </c>
      <c r="C6554" s="1" t="n">
        <v>76.45</v>
      </c>
      <c r="D6554" s="1" t="n">
        <v>162</v>
      </c>
      <c r="E6554" s="1" t="n">
        <v>3.32</v>
      </c>
      <c r="F6554" s="1" t="n">
        <v>10.62</v>
      </c>
      <c r="G6554" s="1" t="n">
        <v>1.62</v>
      </c>
      <c r="H6554" s="1" t="n">
        <v>469</v>
      </c>
      <c r="I6554" s="1" t="n">
        <v>1.03</v>
      </c>
      <c r="J6554" t="n">
        <v>58163410</v>
      </c>
    </row>
    <row r="6555" ht="15.75" customHeight="1" s="201">
      <c r="A6555" s="1" t="inlineStr">
        <is>
          <t>Spearmint, dried</t>
        </is>
      </c>
      <c r="C6555" s="1" t="n">
        <v>52.04</v>
      </c>
      <c r="D6555" s="1" t="n">
        <v>530</v>
      </c>
      <c r="E6555" s="1" t="n">
        <v>87.47</v>
      </c>
      <c r="F6555" s="1" t="n">
        <v>19.93</v>
      </c>
      <c r="G6555" s="1" t="n">
        <v>6.03</v>
      </c>
      <c r="H6555" s="1" t="n">
        <v>10579</v>
      </c>
      <c r="I6555" s="1" t="n">
        <v>2.41</v>
      </c>
      <c r="J6555" t="n">
        <v>41301010</v>
      </c>
    </row>
    <row r="6556" ht="15.75" customHeight="1" s="201">
      <c r="A6556" s="1" t="inlineStr">
        <is>
          <t>Spearmint, fresh</t>
        </is>
      </c>
      <c r="C6556" s="1" t="n">
        <v>8.41</v>
      </c>
      <c r="D6556" s="1" t="n">
        <v>105</v>
      </c>
      <c r="E6556" s="1" t="n">
        <v>11.87</v>
      </c>
      <c r="F6556" s="1" t="n">
        <v>3.29</v>
      </c>
      <c r="G6556" s="1" t="n">
        <v>0.73</v>
      </c>
      <c r="H6556" s="1" t="n">
        <v>4054</v>
      </c>
      <c r="I6556" s="1" t="n">
        <v>1.09</v>
      </c>
      <c r="J6556" t="n">
        <v>14108020</v>
      </c>
    </row>
    <row r="6557" ht="15.75" customHeight="1" s="201">
      <c r="A6557" s="1" t="inlineStr">
        <is>
          <t>Spelt, cooked</t>
        </is>
      </c>
      <c r="C6557" s="1" t="n">
        <v>26.44</v>
      </c>
      <c r="D6557" s="1" t="n">
        <v>13</v>
      </c>
      <c r="E6557" s="1" t="n">
        <v>1.67</v>
      </c>
      <c r="F6557" s="1" t="n">
        <v>5.5</v>
      </c>
      <c r="G6557" s="1" t="n">
        <v>0.85</v>
      </c>
      <c r="H6557" s="1" t="n">
        <v>4</v>
      </c>
      <c r="I6557" s="1" t="n">
        <v>1.25</v>
      </c>
      <c r="J6557" t="n">
        <v>51301010</v>
      </c>
    </row>
    <row r="6558" ht="15.75" customHeight="1" s="201">
      <c r="A6558" s="1" t="inlineStr">
        <is>
          <t>Spelt, uncooked</t>
        </is>
      </c>
      <c r="C6558" s="1" t="n">
        <v>70.19</v>
      </c>
      <c r="D6558" s="1" t="n">
        <v>45</v>
      </c>
      <c r="E6558" s="1" t="n">
        <v>4.44</v>
      </c>
      <c r="F6558" s="1" t="n">
        <v>14.57</v>
      </c>
      <c r="G6558" s="1" t="n">
        <v>2.43</v>
      </c>
      <c r="H6558" s="1" t="n">
        <v>10</v>
      </c>
      <c r="I6558" s="1" t="n">
        <v>3.28</v>
      </c>
      <c r="J6558" t="n">
        <v>51301010</v>
      </c>
    </row>
    <row r="6559" ht="15.75" customHeight="1" s="201">
      <c r="A6559" s="1" t="inlineStr">
        <is>
          <t>Spices, allspice, ground</t>
        </is>
      </c>
      <c r="C6559" s="1" t="n">
        <v>72.12</v>
      </c>
      <c r="D6559" s="1" t="n">
        <v>36</v>
      </c>
      <c r="E6559" s="1" t="n">
        <v>7.06</v>
      </c>
      <c r="F6559" s="1" t="n">
        <v>6.09</v>
      </c>
      <c r="G6559" s="1" t="n">
        <v>8.69</v>
      </c>
      <c r="H6559" s="1" t="n">
        <v>540</v>
      </c>
      <c r="I6559" s="1" t="n">
        <v>1.01</v>
      </c>
      <c r="J6559" t="n">
        <v>23132000</v>
      </c>
    </row>
    <row r="6560" ht="15.75" customHeight="1" s="201">
      <c r="A6560" s="1" t="inlineStr">
        <is>
          <t>Spices, anise seed</t>
        </is>
      </c>
      <c r="C6560" s="1" t="n">
        <v>50.02</v>
      </c>
      <c r="D6560" s="1" t="n">
        <v>10</v>
      </c>
      <c r="E6560" s="1" t="n">
        <v>36.96</v>
      </c>
      <c r="F6560" s="1" t="n">
        <v>17.6</v>
      </c>
      <c r="G6560" s="1" t="n">
        <v>15.9</v>
      </c>
      <c r="H6560" s="1" t="n">
        <v>311</v>
      </c>
      <c r="I6560" s="1" t="n">
        <v>5.3</v>
      </c>
      <c r="J6560" t="n">
        <v>43103300</v>
      </c>
    </row>
    <row r="6561" ht="15.75" customHeight="1" s="201">
      <c r="A6561" s="1" t="inlineStr">
        <is>
          <t>Spices, basil, dried</t>
        </is>
      </c>
      <c r="C6561" s="1" t="n">
        <v>47.75</v>
      </c>
      <c r="D6561" s="1" t="n">
        <v>310</v>
      </c>
      <c r="E6561" s="1" t="n">
        <v>89.8</v>
      </c>
      <c r="F6561" s="1" t="n">
        <v>22.98</v>
      </c>
      <c r="G6561" s="1" t="n">
        <v>4.07</v>
      </c>
      <c r="H6561" s="1" t="n">
        <v>744</v>
      </c>
      <c r="I6561" s="1" t="n">
        <v>7.1</v>
      </c>
      <c r="J6561" t="n">
        <v>41301010</v>
      </c>
    </row>
    <row r="6562" ht="15.75" customHeight="1" s="201">
      <c r="A6562" s="1" t="inlineStr">
        <is>
          <t>Spices, bay leaf</t>
        </is>
      </c>
      <c r="C6562" s="1" t="n">
        <v>74.97</v>
      </c>
      <c r="D6562" s="1" t="n">
        <v>180</v>
      </c>
      <c r="E6562" s="1" t="n">
        <v>43</v>
      </c>
      <c r="F6562" s="1" t="n">
        <v>7.61</v>
      </c>
      <c r="G6562" s="1" t="n">
        <v>8.359999999999999</v>
      </c>
      <c r="H6562" s="1" t="n">
        <v>6185</v>
      </c>
      <c r="I6562" s="1" t="n">
        <v>3.7</v>
      </c>
      <c r="J6562" t="n">
        <v>53430700</v>
      </c>
    </row>
    <row r="6563" ht="15.75" customHeight="1" s="201">
      <c r="A6563" s="1" t="inlineStr">
        <is>
          <t>Spices, caraway seed</t>
        </is>
      </c>
      <c r="C6563" s="1" t="n">
        <v>49.9</v>
      </c>
      <c r="D6563" s="1" t="n">
        <v>10</v>
      </c>
      <c r="E6563" s="1" t="n">
        <v>16.23</v>
      </c>
      <c r="F6563" s="1" t="n">
        <v>19.77</v>
      </c>
      <c r="G6563" s="1" t="n">
        <v>14.59</v>
      </c>
      <c r="H6563" s="1" t="n">
        <v>363</v>
      </c>
      <c r="I6563" s="1" t="n">
        <v>5.5</v>
      </c>
      <c r="J6563" t="n">
        <v>92306000</v>
      </c>
    </row>
    <row r="6564" ht="15.75" customHeight="1" s="201">
      <c r="A6564" s="1" t="inlineStr">
        <is>
          <t>Spices, cardamom</t>
        </is>
      </c>
      <c r="C6564" s="1" t="n">
        <v>68.47</v>
      </c>
      <c r="E6564" s="1" t="n">
        <v>13.97</v>
      </c>
      <c r="F6564" s="1" t="n">
        <v>10.76</v>
      </c>
      <c r="G6564" s="1" t="n">
        <v>6.7</v>
      </c>
      <c r="H6564" s="1" t="n">
        <v>0</v>
      </c>
      <c r="I6564" s="1" t="n">
        <v>7.47</v>
      </c>
      <c r="J6564" t="n">
        <v>53430700</v>
      </c>
    </row>
    <row r="6565" ht="15.75" customHeight="1" s="201">
      <c r="A6565" s="1" t="inlineStr">
        <is>
          <t>Spices, celery seed</t>
        </is>
      </c>
      <c r="C6565" s="1" t="n">
        <v>41.35</v>
      </c>
      <c r="D6565" s="1" t="n">
        <v>10</v>
      </c>
      <c r="E6565" s="1" t="n">
        <v>44.9</v>
      </c>
      <c r="F6565" s="1" t="n">
        <v>18.07</v>
      </c>
      <c r="G6565" s="1" t="n">
        <v>25.27</v>
      </c>
      <c r="H6565" s="1" t="n">
        <v>52</v>
      </c>
      <c r="I6565" s="1" t="n">
        <v>6.93</v>
      </c>
      <c r="J6565" t="n">
        <v>27450066</v>
      </c>
    </row>
    <row r="6566" ht="15.75" customHeight="1" s="201">
      <c r="A6566" s="1" t="inlineStr">
        <is>
          <t>Spices, chervil, dried</t>
        </is>
      </c>
      <c r="C6566" s="1" t="n">
        <v>49.1</v>
      </c>
      <c r="D6566" s="1" t="n">
        <v>274</v>
      </c>
      <c r="E6566" s="1" t="n">
        <v>31.95</v>
      </c>
      <c r="F6566" s="1" t="n">
        <v>23.2</v>
      </c>
      <c r="G6566" s="1" t="n">
        <v>3.9</v>
      </c>
      <c r="H6566" s="1" t="n">
        <v>5850</v>
      </c>
      <c r="I6566" s="1" t="n">
        <v>8.800000000000001</v>
      </c>
      <c r="J6566" t="n">
        <v>41301010</v>
      </c>
    </row>
    <row r="6567" ht="15.75" customHeight="1" s="201">
      <c r="A6567" s="1" t="inlineStr">
        <is>
          <t>Spices, chili powder</t>
        </is>
      </c>
      <c r="C6567" s="1" t="n">
        <v>49.7</v>
      </c>
      <c r="D6567" s="1" t="n">
        <v>28</v>
      </c>
      <c r="E6567" s="1" t="n">
        <v>17.3</v>
      </c>
      <c r="F6567" s="1" t="n">
        <v>13.46</v>
      </c>
      <c r="G6567" s="1" t="n">
        <v>14.28</v>
      </c>
      <c r="H6567" s="1" t="n">
        <v>29650</v>
      </c>
      <c r="I6567" s="1" t="n">
        <v>4.3</v>
      </c>
      <c r="J6567" t="n">
        <v>27564440</v>
      </c>
    </row>
    <row r="6568" ht="15.75" customHeight="1" s="201">
      <c r="A6568" s="1" t="inlineStr">
        <is>
          <t>Spices, cinnamon, ground</t>
        </is>
      </c>
      <c r="C6568" s="1" t="n">
        <v>80.59</v>
      </c>
      <c r="D6568" s="1" t="n">
        <v>6</v>
      </c>
      <c r="E6568" s="1" t="n">
        <v>8.32</v>
      </c>
      <c r="F6568" s="1" t="n">
        <v>3.99</v>
      </c>
      <c r="G6568" s="1" t="n">
        <v>1.24</v>
      </c>
      <c r="H6568" s="1" t="n">
        <v>295</v>
      </c>
      <c r="I6568" s="1" t="n">
        <v>1.83</v>
      </c>
      <c r="J6568" t="n">
        <v>51160110</v>
      </c>
    </row>
    <row r="6569" ht="15.75" customHeight="1" s="201">
      <c r="A6569" s="1" t="inlineStr">
        <is>
          <t>Spices, cloves, ground</t>
        </is>
      </c>
      <c r="C6569" s="1" t="n">
        <v>65.53</v>
      </c>
      <c r="D6569" s="1" t="n">
        <v>25</v>
      </c>
      <c r="E6569" s="1" t="n">
        <v>11.83</v>
      </c>
      <c r="F6569" s="1" t="n">
        <v>5.97</v>
      </c>
      <c r="G6569" s="1" t="n">
        <v>13</v>
      </c>
      <c r="H6569" s="1" t="n">
        <v>160</v>
      </c>
      <c r="I6569" s="1" t="n">
        <v>2.32</v>
      </c>
      <c r="J6569" t="n">
        <v>23132000</v>
      </c>
    </row>
    <row r="6570" ht="15.75" customHeight="1" s="201">
      <c r="A6570" s="1" t="inlineStr">
        <is>
          <t>Spices, coriander leaf, dried</t>
        </is>
      </c>
      <c r="C6570" s="1" t="n">
        <v>52.1</v>
      </c>
      <c r="D6570" s="1" t="n">
        <v>274</v>
      </c>
      <c r="E6570" s="1" t="n">
        <v>42.46</v>
      </c>
      <c r="F6570" s="1" t="n">
        <v>21.93</v>
      </c>
      <c r="G6570" s="1" t="n">
        <v>4.78</v>
      </c>
      <c r="H6570" s="1" t="n">
        <v>5850</v>
      </c>
      <c r="I6570" s="1" t="n">
        <v>4.72</v>
      </c>
      <c r="J6570" t="n">
        <v>41301010</v>
      </c>
    </row>
    <row r="6571" ht="15.75" customHeight="1" s="201">
      <c r="A6571" s="1" t="inlineStr">
        <is>
          <t>Spices, coriander seed</t>
        </is>
      </c>
      <c r="C6571" s="1" t="n">
        <v>54.99</v>
      </c>
      <c r="D6571" s="1" t="n">
        <v>0</v>
      </c>
      <c r="E6571" s="1" t="n">
        <v>16.32</v>
      </c>
      <c r="F6571" s="1" t="n">
        <v>12.37</v>
      </c>
      <c r="G6571" s="1" t="n">
        <v>17.77</v>
      </c>
      <c r="H6571" s="1" t="n">
        <v>0</v>
      </c>
      <c r="I6571" s="1" t="n">
        <v>4.7</v>
      </c>
      <c r="J6571" t="n">
        <v>43103300</v>
      </c>
    </row>
    <row r="6572" ht="15.75" customHeight="1" s="201">
      <c r="A6572" s="1" t="inlineStr">
        <is>
          <t>Spices, cumin seed</t>
        </is>
      </c>
      <c r="C6572" s="1" t="n">
        <v>44.24</v>
      </c>
      <c r="D6572" s="1" t="n">
        <v>10</v>
      </c>
      <c r="E6572" s="1" t="n">
        <v>66.36</v>
      </c>
      <c r="F6572" s="1" t="n">
        <v>17.81</v>
      </c>
      <c r="G6572" s="1" t="n">
        <v>22.27</v>
      </c>
      <c r="H6572" s="1" t="n">
        <v>1270</v>
      </c>
      <c r="I6572" s="1" t="n">
        <v>4.8</v>
      </c>
      <c r="J6572" t="n">
        <v>43103300</v>
      </c>
    </row>
    <row r="6573" ht="15.75" customHeight="1" s="201">
      <c r="A6573" s="1" t="inlineStr">
        <is>
          <t>Spices, curry powder</t>
        </is>
      </c>
      <c r="C6573" s="1" t="n">
        <v>55.83</v>
      </c>
      <c r="D6573" s="1" t="n">
        <v>56</v>
      </c>
      <c r="E6573" s="1" t="n">
        <v>19.1</v>
      </c>
      <c r="F6573" s="1" t="n">
        <v>14.29</v>
      </c>
      <c r="G6573" s="1" t="n">
        <v>14.01</v>
      </c>
      <c r="H6573" s="1" t="n">
        <v>19</v>
      </c>
      <c r="I6573" s="1" t="n">
        <v>4.7</v>
      </c>
      <c r="J6573" t="n">
        <v>12210420</v>
      </c>
    </row>
    <row r="6574" ht="15.75" customHeight="1" s="201">
      <c r="A6574" s="1" t="inlineStr">
        <is>
          <t>Spices, dill seed</t>
        </is>
      </c>
      <c r="C6574" s="1" t="n">
        <v>55.17</v>
      </c>
      <c r="D6574" s="1" t="n">
        <v>10</v>
      </c>
      <c r="E6574" s="1" t="n">
        <v>16.33</v>
      </c>
      <c r="F6574" s="1" t="n">
        <v>15.98</v>
      </c>
      <c r="G6574" s="1" t="n">
        <v>14.54</v>
      </c>
      <c r="H6574" s="1" t="n">
        <v>53</v>
      </c>
      <c r="I6574" s="1" t="n">
        <v>5.2</v>
      </c>
      <c r="J6574" t="n">
        <v>11440020</v>
      </c>
    </row>
    <row r="6575" ht="15.75" customHeight="1" s="201">
      <c r="A6575" s="1" t="inlineStr">
        <is>
          <t>Spices, dill weed, dried</t>
        </is>
      </c>
      <c r="C6575" s="1" t="n">
        <v>55.82</v>
      </c>
      <c r="E6575" s="1" t="n">
        <v>48.78</v>
      </c>
      <c r="F6575" s="1" t="n">
        <v>19.96</v>
      </c>
      <c r="G6575" s="1" t="n">
        <v>4.36</v>
      </c>
      <c r="H6575" s="1" t="n">
        <v>5850</v>
      </c>
      <c r="I6575" s="1" t="n">
        <v>3.3</v>
      </c>
      <c r="J6575" t="n">
        <v>11440020</v>
      </c>
    </row>
    <row r="6576" ht="15.75" customHeight="1" s="201">
      <c r="A6576" s="1" t="inlineStr">
        <is>
          <t>Spices, fennel seed</t>
        </is>
      </c>
      <c r="C6576" s="1" t="n">
        <v>52.29</v>
      </c>
      <c r="E6576" s="1" t="n">
        <v>18.54</v>
      </c>
      <c r="F6576" s="1" t="n">
        <v>15.8</v>
      </c>
      <c r="G6576" s="1" t="n">
        <v>14.87</v>
      </c>
      <c r="H6576" s="1" t="n">
        <v>135</v>
      </c>
      <c r="I6576" s="1" t="n">
        <v>3.7</v>
      </c>
      <c r="J6576" t="n">
        <v>43103300</v>
      </c>
    </row>
    <row r="6577" ht="15.75" customHeight="1" s="201">
      <c r="A6577" s="1" t="inlineStr">
        <is>
          <t>Spices, fenugreek seed</t>
        </is>
      </c>
      <c r="C6577" s="1" t="n">
        <v>58.35</v>
      </c>
      <c r="D6577" s="1" t="n">
        <v>57</v>
      </c>
      <c r="E6577" s="1" t="n">
        <v>33.53</v>
      </c>
      <c r="F6577" s="1" t="n">
        <v>23</v>
      </c>
      <c r="G6577" s="1" t="n">
        <v>6.41</v>
      </c>
      <c r="H6577" s="1" t="n">
        <v>60</v>
      </c>
      <c r="I6577" s="1" t="n">
        <v>2.5</v>
      </c>
      <c r="J6577" t="n">
        <v>43103300</v>
      </c>
    </row>
    <row r="6578" ht="15.75" customHeight="1" s="201">
      <c r="A6578" s="1" t="inlineStr">
        <is>
          <t>Spices, garlic powder</t>
        </is>
      </c>
      <c r="C6578" s="1" t="n">
        <v>72.73</v>
      </c>
      <c r="D6578" s="1" t="n">
        <v>47</v>
      </c>
      <c r="E6578" s="1" t="n">
        <v>5.65</v>
      </c>
      <c r="F6578" s="1" t="n">
        <v>16.55</v>
      </c>
      <c r="G6578" s="1" t="n">
        <v>0.73</v>
      </c>
      <c r="H6578" s="1" t="n">
        <v>0</v>
      </c>
      <c r="I6578" s="1" t="n">
        <v>2.99</v>
      </c>
      <c r="J6578" t="n">
        <v>51121025</v>
      </c>
    </row>
    <row r="6579" ht="15.75" customHeight="1" s="201">
      <c r="A6579" s="1" t="inlineStr">
        <is>
          <t>Spices, ginger, ground</t>
        </is>
      </c>
      <c r="C6579" s="1" t="n">
        <v>71.62</v>
      </c>
      <c r="D6579" s="1" t="n">
        <v>13</v>
      </c>
      <c r="E6579" s="1" t="n">
        <v>19.8</v>
      </c>
      <c r="F6579" s="1" t="n">
        <v>8.98</v>
      </c>
      <c r="G6579" s="1" t="n">
        <v>4.24</v>
      </c>
      <c r="H6579" s="1" t="n">
        <v>30</v>
      </c>
      <c r="I6579" s="1" t="n">
        <v>3.64</v>
      </c>
      <c r="J6579" t="n">
        <v>75503085</v>
      </c>
    </row>
    <row r="6580" ht="15.75" customHeight="1" s="201">
      <c r="A6580" s="1" t="inlineStr">
        <is>
          <t>Spices, mace, ground</t>
        </is>
      </c>
      <c r="C6580" s="1" t="n">
        <v>50.5</v>
      </c>
      <c r="D6580" s="1" t="n">
        <v>76</v>
      </c>
      <c r="E6580" s="1" t="n">
        <v>13.9</v>
      </c>
      <c r="F6580" s="1" t="n">
        <v>6.71</v>
      </c>
      <c r="G6580" s="1" t="n">
        <v>32.38</v>
      </c>
      <c r="H6580" s="1" t="n">
        <v>800</v>
      </c>
      <c r="I6580" s="1" t="n">
        <v>2.3</v>
      </c>
      <c r="J6580" t="n">
        <v>23132000</v>
      </c>
    </row>
    <row r="6581" ht="15.75" customHeight="1" s="201">
      <c r="A6581" s="1" t="inlineStr">
        <is>
          <t>Spices, marjoram, dried</t>
        </is>
      </c>
      <c r="C6581" s="1" t="n">
        <v>60.56</v>
      </c>
      <c r="D6581" s="1" t="n">
        <v>274</v>
      </c>
      <c r="E6581" s="1" t="n">
        <v>82.70999999999999</v>
      </c>
      <c r="F6581" s="1" t="n">
        <v>12.66</v>
      </c>
      <c r="G6581" s="1" t="n">
        <v>7.04</v>
      </c>
      <c r="H6581" s="1" t="n">
        <v>8068</v>
      </c>
      <c r="I6581" s="1" t="n">
        <v>3.6</v>
      </c>
      <c r="J6581" t="n">
        <v>41301010</v>
      </c>
    </row>
    <row r="6582" ht="15.75" customHeight="1" s="201">
      <c r="A6582" s="1" t="inlineStr">
        <is>
          <t>Spices, mustard seed, ground</t>
        </is>
      </c>
      <c r="C6582" s="1" t="n">
        <v>28.09</v>
      </c>
      <c r="D6582" s="1" t="n">
        <v>162</v>
      </c>
      <c r="E6582" s="1" t="n">
        <v>9.210000000000001</v>
      </c>
      <c r="F6582" s="1" t="n">
        <v>26.08</v>
      </c>
      <c r="G6582" s="1" t="n">
        <v>36.24</v>
      </c>
      <c r="H6582" s="1" t="n">
        <v>31</v>
      </c>
      <c r="I6582" s="1" t="n">
        <v>6.08</v>
      </c>
      <c r="J6582" t="n">
        <v>75506100</v>
      </c>
    </row>
    <row r="6583" ht="15.75" customHeight="1" s="201">
      <c r="A6583" s="1" t="inlineStr">
        <is>
          <t>Spices, nutmeg, ground</t>
        </is>
      </c>
      <c r="C6583" s="1" t="n">
        <v>49.29</v>
      </c>
      <c r="D6583" s="1" t="n">
        <v>76</v>
      </c>
      <c r="E6583" s="1" t="n">
        <v>3.04</v>
      </c>
      <c r="F6583" s="1" t="n">
        <v>5.84</v>
      </c>
      <c r="G6583" s="1" t="n">
        <v>36.31</v>
      </c>
      <c r="H6583" s="1" t="n">
        <v>102</v>
      </c>
      <c r="I6583" s="1" t="n">
        <v>2.15</v>
      </c>
      <c r="J6583" t="n">
        <v>23132000</v>
      </c>
    </row>
    <row r="6584" ht="15.75" customHeight="1" s="201">
      <c r="A6584" s="1" t="inlineStr">
        <is>
          <t>Spices, onion powder</t>
        </is>
      </c>
      <c r="C6584" s="1" t="n">
        <v>79.12</v>
      </c>
      <c r="D6584" s="1" t="n">
        <v>64</v>
      </c>
      <c r="E6584" s="1" t="n">
        <v>3.9</v>
      </c>
      <c r="F6584" s="1" t="n">
        <v>10.41</v>
      </c>
      <c r="G6584" s="1" t="n">
        <v>1.04</v>
      </c>
      <c r="H6584" s="1" t="n">
        <v>0</v>
      </c>
      <c r="I6584" s="1" t="n">
        <v>4.05</v>
      </c>
      <c r="J6584" t="n">
        <v>11440030</v>
      </c>
    </row>
    <row r="6585" ht="15.75" customHeight="1" s="201">
      <c r="A6585" s="1" t="inlineStr">
        <is>
          <t>Spices, oregano, dried</t>
        </is>
      </c>
      <c r="C6585" s="1" t="n">
        <v>68.92</v>
      </c>
      <c r="D6585" s="1" t="n">
        <v>237</v>
      </c>
      <c r="E6585" s="1" t="n">
        <v>36.8</v>
      </c>
      <c r="F6585" s="1" t="n">
        <v>9</v>
      </c>
      <c r="G6585" s="1" t="n">
        <v>4.28</v>
      </c>
      <c r="H6585" s="1" t="n">
        <v>1701</v>
      </c>
      <c r="I6585" s="1" t="n">
        <v>2.69</v>
      </c>
      <c r="J6585" t="n">
        <v>41301010</v>
      </c>
    </row>
    <row r="6586" ht="15.75" customHeight="1" s="201">
      <c r="A6586" s="1" t="inlineStr">
        <is>
          <t>Spices, paprika</t>
        </is>
      </c>
      <c r="C6586" s="1" t="n">
        <v>53.99</v>
      </c>
      <c r="D6586" s="1" t="n">
        <v>49</v>
      </c>
      <c r="E6586" s="1" t="n">
        <v>21.14</v>
      </c>
      <c r="F6586" s="1" t="n">
        <v>14.14</v>
      </c>
      <c r="G6586" s="1" t="n">
        <v>12.89</v>
      </c>
      <c r="H6586" s="1" t="n">
        <v>49254</v>
      </c>
      <c r="I6586" s="1" t="n">
        <v>4.33</v>
      </c>
      <c r="J6586" t="n">
        <v>53430700</v>
      </c>
    </row>
    <row r="6587" ht="15.75" customHeight="1" s="201">
      <c r="A6587" s="1" t="inlineStr">
        <is>
          <t>Spices, parsley, dried</t>
        </is>
      </c>
      <c r="C6587" s="1" t="n">
        <v>50.64</v>
      </c>
      <c r="D6587" s="1" t="n">
        <v>180</v>
      </c>
      <c r="E6587" s="1" t="n">
        <v>22.04</v>
      </c>
      <c r="F6587" s="1" t="n">
        <v>26.63</v>
      </c>
      <c r="G6587" s="1" t="n">
        <v>5.48</v>
      </c>
      <c r="H6587" s="1" t="n">
        <v>1939</v>
      </c>
      <c r="I6587" s="1" t="n">
        <v>5.44</v>
      </c>
      <c r="J6587" t="n">
        <v>41301010</v>
      </c>
    </row>
    <row r="6588" ht="15.75" customHeight="1" s="201">
      <c r="A6588" s="1" t="inlineStr">
        <is>
          <t>Spices, pepper, black</t>
        </is>
      </c>
      <c r="C6588" s="1" t="n">
        <v>63.95</v>
      </c>
      <c r="D6588" s="1" t="n">
        <v>17</v>
      </c>
      <c r="E6588" s="1" t="n">
        <v>9.710000000000001</v>
      </c>
      <c r="F6588" s="1" t="n">
        <v>10.39</v>
      </c>
      <c r="G6588" s="1" t="n">
        <v>3.26</v>
      </c>
      <c r="H6588" s="1" t="n">
        <v>547</v>
      </c>
      <c r="I6588" s="1" t="n">
        <v>1.19</v>
      </c>
      <c r="J6588" t="n">
        <v>75511040</v>
      </c>
    </row>
    <row r="6589" ht="15.75" customHeight="1" s="201">
      <c r="A6589" s="1" t="inlineStr">
        <is>
          <t>Spices, pepper, red or cayenne</t>
        </is>
      </c>
      <c r="C6589" s="1" t="n">
        <v>56.63</v>
      </c>
      <c r="D6589" s="1" t="n">
        <v>106</v>
      </c>
      <c r="E6589" s="1" t="n">
        <v>7.8</v>
      </c>
      <c r="F6589" s="1" t="n">
        <v>12.01</v>
      </c>
      <c r="G6589" s="1" t="n">
        <v>17.27</v>
      </c>
      <c r="H6589" s="1" t="n">
        <v>41610</v>
      </c>
      <c r="I6589" s="1" t="n">
        <v>2.48</v>
      </c>
      <c r="J6589" t="n">
        <v>75511040</v>
      </c>
    </row>
    <row r="6590" ht="15.75" customHeight="1" s="201">
      <c r="A6590" s="1" t="inlineStr">
        <is>
          <t>Spices, pepper, white</t>
        </is>
      </c>
      <c r="C6590" s="1" t="n">
        <v>68.61</v>
      </c>
      <c r="D6590" s="1" t="n">
        <v>10</v>
      </c>
      <c r="E6590" s="1" t="n">
        <v>14.31</v>
      </c>
      <c r="F6590" s="1" t="n">
        <v>10.4</v>
      </c>
      <c r="G6590" s="1" t="n">
        <v>2.12</v>
      </c>
      <c r="H6590" s="1" t="n">
        <v>0</v>
      </c>
      <c r="I6590" s="1" t="n">
        <v>1.13</v>
      </c>
      <c r="J6590" t="n">
        <v>75511040</v>
      </c>
    </row>
    <row r="6591" ht="15.75" customHeight="1" s="201">
      <c r="A6591" s="1" t="inlineStr">
        <is>
          <t>Spices, poppy seed</t>
        </is>
      </c>
      <c r="C6591" s="1" t="n">
        <v>28.13</v>
      </c>
      <c r="D6591" s="1" t="n">
        <v>82</v>
      </c>
      <c r="E6591" s="1" t="n">
        <v>9.76</v>
      </c>
      <c r="F6591" s="1" t="n">
        <v>17.99</v>
      </c>
      <c r="G6591" s="1" t="n">
        <v>41.56</v>
      </c>
      <c r="H6591" s="1" t="n">
        <v>0</v>
      </c>
      <c r="I6591" s="1" t="n">
        <v>7.9</v>
      </c>
      <c r="J6591" t="n">
        <v>43103300</v>
      </c>
    </row>
    <row r="6592" ht="15.75" customHeight="1" s="201">
      <c r="A6592" s="1" t="inlineStr">
        <is>
          <t>Spices, poultry seasoning</t>
        </is>
      </c>
      <c r="C6592" s="1" t="n">
        <v>65.59</v>
      </c>
      <c r="D6592" s="1" t="n">
        <v>138</v>
      </c>
      <c r="E6592" s="1" t="n">
        <v>35.3</v>
      </c>
      <c r="F6592" s="1" t="n">
        <v>9.59</v>
      </c>
      <c r="G6592" s="1" t="n">
        <v>7.53</v>
      </c>
      <c r="H6592" s="1" t="n">
        <v>2632</v>
      </c>
      <c r="I6592" s="1" t="n">
        <v>3.14</v>
      </c>
      <c r="J6592" t="n">
        <v>24168001</v>
      </c>
    </row>
    <row r="6593" ht="15.75" customHeight="1" s="201">
      <c r="A6593" s="1" t="inlineStr">
        <is>
          <t>Spices, pumpkin pie spice</t>
        </is>
      </c>
      <c r="C6593" s="1" t="n">
        <v>69.28</v>
      </c>
      <c r="D6593" s="1" t="n">
        <v>24</v>
      </c>
      <c r="E6593" s="1" t="n">
        <v>19.71</v>
      </c>
      <c r="F6593" s="1" t="n">
        <v>5.76</v>
      </c>
      <c r="G6593" s="1" t="n">
        <v>12.6</v>
      </c>
      <c r="H6593" s="1" t="n">
        <v>261</v>
      </c>
      <c r="I6593" s="1" t="n">
        <v>2.37</v>
      </c>
    </row>
    <row r="6594" ht="15.75" customHeight="1" s="201">
      <c r="A6594" s="1" t="inlineStr">
        <is>
          <t>Spices, rosemary, dried</t>
        </is>
      </c>
      <c r="C6594" s="1" t="n">
        <v>64.06</v>
      </c>
      <c r="D6594" s="1" t="n">
        <v>307</v>
      </c>
      <c r="E6594" s="1" t="n">
        <v>29.25</v>
      </c>
      <c r="F6594" s="1" t="n">
        <v>4.88</v>
      </c>
      <c r="G6594" s="1" t="n">
        <v>15.22</v>
      </c>
      <c r="H6594" s="1" t="n">
        <v>3128</v>
      </c>
      <c r="I6594" s="1" t="n">
        <v>3.23</v>
      </c>
      <c r="J6594" t="n">
        <v>41301010</v>
      </c>
    </row>
    <row r="6595" ht="15.75" customHeight="1" s="201">
      <c r="A6595" s="1" t="inlineStr">
        <is>
          <t>Spices, saffron</t>
        </is>
      </c>
      <c r="C6595" s="1" t="n">
        <v>65.37</v>
      </c>
      <c r="D6595" s="1" t="n">
        <v>93</v>
      </c>
      <c r="E6595" s="1" t="n">
        <v>11.1</v>
      </c>
      <c r="F6595" s="1" t="n">
        <v>11.43</v>
      </c>
      <c r="G6595" s="1" t="n">
        <v>5.85</v>
      </c>
      <c r="H6595" s="1" t="n">
        <v>530</v>
      </c>
      <c r="I6595" s="1" t="n">
        <v>1.09</v>
      </c>
      <c r="J6595" t="n">
        <v>53430700</v>
      </c>
    </row>
    <row r="6596" ht="15.75" customHeight="1" s="201">
      <c r="A6596" s="1" t="inlineStr">
        <is>
          <t>Spices, sage, ground</t>
        </is>
      </c>
      <c r="C6596" s="1" t="n">
        <v>60.73</v>
      </c>
      <c r="D6596" s="1" t="n">
        <v>274</v>
      </c>
      <c r="E6596" s="1" t="n">
        <v>28.12</v>
      </c>
      <c r="F6596" s="1" t="n">
        <v>10.63</v>
      </c>
      <c r="G6596" s="1" t="n">
        <v>12.75</v>
      </c>
      <c r="H6596" s="1" t="n">
        <v>5900</v>
      </c>
      <c r="I6596" s="1" t="n">
        <v>4.7</v>
      </c>
      <c r="J6596" t="n">
        <v>23132000</v>
      </c>
    </row>
    <row r="6597" ht="15.75" customHeight="1" s="201">
      <c r="A6597" s="1" t="inlineStr">
        <is>
          <t>Spices, savory, ground</t>
        </is>
      </c>
      <c r="C6597" s="1" t="n">
        <v>68.73</v>
      </c>
      <c r="E6597" s="1" t="n">
        <v>37.88</v>
      </c>
      <c r="F6597" s="1" t="n">
        <v>6.73</v>
      </c>
      <c r="G6597" s="1" t="n">
        <v>5.91</v>
      </c>
      <c r="H6597" s="1" t="n">
        <v>5130</v>
      </c>
      <c r="I6597" s="1" t="n">
        <v>4.3</v>
      </c>
      <c r="J6597" t="n">
        <v>23132000</v>
      </c>
    </row>
    <row r="6598" ht="15.75" customHeight="1" s="201">
      <c r="A6598" s="1" t="inlineStr">
        <is>
          <t>Spices, tarragon, dried</t>
        </is>
      </c>
      <c r="C6598" s="1" t="n">
        <v>50.22</v>
      </c>
      <c r="D6598" s="1" t="n">
        <v>274</v>
      </c>
      <c r="E6598" s="1" t="n">
        <v>32.3</v>
      </c>
      <c r="F6598" s="1" t="n">
        <v>22.77</v>
      </c>
      <c r="G6598" s="1" t="n">
        <v>7.24</v>
      </c>
      <c r="H6598" s="1" t="n">
        <v>4200</v>
      </c>
      <c r="I6598" s="1" t="n">
        <v>3.9</v>
      </c>
      <c r="J6598" t="n">
        <v>41301010</v>
      </c>
    </row>
    <row r="6599" ht="15.75" customHeight="1" s="201">
      <c r="A6599" s="1" t="inlineStr">
        <is>
          <t>Spices, thyme, dried</t>
        </is>
      </c>
      <c r="C6599" s="1" t="n">
        <v>63.94</v>
      </c>
      <c r="D6599" s="1" t="n">
        <v>274</v>
      </c>
      <c r="E6599" s="1" t="n">
        <v>123.6</v>
      </c>
      <c r="F6599" s="1" t="n">
        <v>9.109999999999999</v>
      </c>
      <c r="G6599" s="1" t="n">
        <v>7.43</v>
      </c>
      <c r="H6599" s="1" t="n">
        <v>3800</v>
      </c>
      <c r="I6599" s="1" t="n">
        <v>6.18</v>
      </c>
      <c r="J6599" t="n">
        <v>41301010</v>
      </c>
    </row>
    <row r="6600" ht="15.75" customHeight="1" s="201">
      <c r="A6600" s="1" t="inlineStr">
        <is>
          <t>Spices, turmeric, ground</t>
        </is>
      </c>
      <c r="C6600" s="1" t="n">
        <v>67.14</v>
      </c>
      <c r="D6600" s="1" t="n">
        <v>20</v>
      </c>
      <c r="E6600" s="1" t="n">
        <v>55</v>
      </c>
      <c r="F6600" s="1" t="n">
        <v>9.68</v>
      </c>
      <c r="G6600" s="1" t="n">
        <v>3.25</v>
      </c>
      <c r="H6600" s="1" t="n">
        <v>0</v>
      </c>
      <c r="I6600" s="1" t="n">
        <v>4.5</v>
      </c>
      <c r="J6600" t="n">
        <v>23132000</v>
      </c>
    </row>
    <row r="6601" ht="15.75" customHeight="1" s="201">
      <c r="A6601" s="1" t="inlineStr">
        <is>
          <t>Spinach souffle</t>
        </is>
      </c>
      <c r="C6601" s="1" t="n">
        <v>5.9</v>
      </c>
      <c r="D6601" s="1" t="n">
        <v>73</v>
      </c>
      <c r="E6601" s="1" t="n">
        <v>1.19</v>
      </c>
      <c r="F6601" s="1" t="n">
        <v>7.89</v>
      </c>
      <c r="G6601" s="1" t="n">
        <v>12.95</v>
      </c>
      <c r="H6601" s="1" t="n">
        <v>2891</v>
      </c>
      <c r="I6601" s="1" t="n">
        <v>0.85</v>
      </c>
      <c r="J6601" t="n">
        <v>72125240</v>
      </c>
    </row>
    <row r="6602" ht="15.75" customHeight="1" s="201">
      <c r="A6602" s="1" t="inlineStr">
        <is>
          <t>Spinach, canned, no salt added, solids and liquids</t>
        </is>
      </c>
      <c r="C6602" s="1" t="n">
        <v>2.92</v>
      </c>
      <c r="D6602" s="1" t="n">
        <v>58</v>
      </c>
      <c r="E6602" s="1" t="n">
        <v>1.58</v>
      </c>
      <c r="F6602" s="1" t="n">
        <v>2.11</v>
      </c>
      <c r="G6602" s="1" t="n">
        <v>0.37</v>
      </c>
      <c r="H6602" s="1" t="n">
        <v>8084</v>
      </c>
      <c r="I6602" s="1" t="n">
        <v>0.42</v>
      </c>
      <c r="J6602" t="n">
        <v>73103020</v>
      </c>
    </row>
    <row r="6603" ht="15.75" customHeight="1" s="201">
      <c r="A6603" s="1" t="inlineStr">
        <is>
          <t>Spinach, canned, regular pack, drained solids</t>
        </is>
      </c>
      <c r="C6603" s="1" t="n">
        <v>3.4</v>
      </c>
      <c r="D6603" s="1" t="n">
        <v>98</v>
      </c>
      <c r="E6603" s="1" t="n">
        <v>2.3</v>
      </c>
      <c r="F6603" s="1" t="n">
        <v>2.81</v>
      </c>
      <c r="G6603" s="1" t="n">
        <v>0.5</v>
      </c>
      <c r="H6603" s="1" t="n">
        <v>9801</v>
      </c>
      <c r="I6603" s="1" t="n">
        <v>0.46</v>
      </c>
      <c r="J6603" t="n">
        <v>53109200</v>
      </c>
    </row>
    <row r="6604" ht="15.75" customHeight="1" s="201">
      <c r="A6604" s="1" t="inlineStr">
        <is>
          <t>Spinach, canned, regular pack, solids and liquids</t>
        </is>
      </c>
      <c r="C6604" s="1" t="n">
        <v>2.92</v>
      </c>
      <c r="D6604" s="1" t="n">
        <v>58</v>
      </c>
      <c r="E6604" s="1" t="n">
        <v>1.58</v>
      </c>
      <c r="F6604" s="1" t="n">
        <v>2.11</v>
      </c>
      <c r="G6604" s="1" t="n">
        <v>0.37</v>
      </c>
      <c r="H6604" s="1" t="n">
        <v>8084</v>
      </c>
      <c r="I6604" s="1" t="n">
        <v>0.42</v>
      </c>
      <c r="J6604" t="n">
        <v>53109200</v>
      </c>
    </row>
    <row r="6605" ht="15.75" customHeight="1" s="201">
      <c r="A6605" s="1" t="inlineStr">
        <is>
          <t>Spinach, cooked, boiled, drained, with salt</t>
        </is>
      </c>
      <c r="C6605" s="1" t="n">
        <v>3.75</v>
      </c>
      <c r="D6605" s="1" t="n">
        <v>146</v>
      </c>
      <c r="E6605" s="1" t="n">
        <v>3.57</v>
      </c>
      <c r="F6605" s="1" t="n">
        <v>2.97</v>
      </c>
      <c r="G6605" s="1" t="n">
        <v>0.26</v>
      </c>
      <c r="H6605" s="1" t="n">
        <v>10481</v>
      </c>
      <c r="I6605" s="1" t="n">
        <v>0.76</v>
      </c>
      <c r="J6605" t="n">
        <v>75142550</v>
      </c>
    </row>
    <row r="6606" ht="15.75" customHeight="1" s="201">
      <c r="A6606" s="1" t="inlineStr">
        <is>
          <t>Spinach, cooked, boiled, drained, without salt</t>
        </is>
      </c>
      <c r="C6606" s="1" t="n">
        <v>3.75</v>
      </c>
      <c r="D6606" s="1" t="n">
        <v>146</v>
      </c>
      <c r="E6606" s="1" t="n">
        <v>3.57</v>
      </c>
      <c r="F6606" s="1" t="n">
        <v>2.97</v>
      </c>
      <c r="G6606" s="1" t="n">
        <v>0.26</v>
      </c>
      <c r="H6606" s="1" t="n">
        <v>10481</v>
      </c>
      <c r="I6606" s="1" t="n">
        <v>0.76</v>
      </c>
      <c r="J6606" t="n">
        <v>31103010</v>
      </c>
    </row>
    <row r="6607" ht="15.75" customHeight="1" s="201">
      <c r="A6607" s="1" t="inlineStr">
        <is>
          <t>Spinach, frozen, chopped or leaf, cooked, boiled, drained, with salt</t>
        </is>
      </c>
      <c r="C6607" s="1" t="n">
        <v>4.8</v>
      </c>
      <c r="D6607" s="1" t="n">
        <v>121</v>
      </c>
      <c r="E6607" s="1" t="n">
        <v>1.96</v>
      </c>
      <c r="F6607" s="1" t="n">
        <v>4.01</v>
      </c>
      <c r="G6607" s="1" t="n">
        <v>0.87</v>
      </c>
      <c r="H6607" s="1" t="n">
        <v>12061</v>
      </c>
      <c r="I6607" s="1" t="n">
        <v>0.49</v>
      </c>
      <c r="J6607" t="n">
        <v>75142550</v>
      </c>
    </row>
    <row r="6608" ht="15.75" customHeight="1" s="201">
      <c r="A6608" s="1" t="inlineStr">
        <is>
          <t>Spinach, frozen, chopped or leaf, cooked, boiled, drained, without salt</t>
        </is>
      </c>
      <c r="C6608" s="1" t="n">
        <v>4.8</v>
      </c>
      <c r="D6608" s="1" t="n">
        <v>121</v>
      </c>
      <c r="E6608" s="1" t="n">
        <v>1.96</v>
      </c>
      <c r="F6608" s="1" t="n">
        <v>4.01</v>
      </c>
      <c r="G6608" s="1" t="n">
        <v>0.87</v>
      </c>
      <c r="H6608" s="1" t="n">
        <v>12061</v>
      </c>
      <c r="I6608" s="1" t="n">
        <v>0.49</v>
      </c>
    </row>
    <row r="6609" ht="15.75" customHeight="1" s="201">
      <c r="A6609" s="1" t="inlineStr">
        <is>
          <t>Spinach, frozen, chopped or leaf, unprepared (Includes foods for USDA's Food Distribution Program)</t>
        </is>
      </c>
      <c r="C6609" s="1" t="n">
        <v>4.21</v>
      </c>
      <c r="D6609" s="1" t="n">
        <v>145</v>
      </c>
      <c r="E6609" s="1" t="n">
        <v>1.89</v>
      </c>
      <c r="F6609" s="1" t="n">
        <v>3.63</v>
      </c>
      <c r="G6609" s="1" t="n">
        <v>0.57</v>
      </c>
      <c r="H6609" s="1" t="n">
        <v>11726</v>
      </c>
      <c r="I6609" s="1" t="n">
        <v>0.5600000000000001</v>
      </c>
    </row>
    <row r="6610" ht="15.75" customHeight="1" s="201">
      <c r="A6610" s="1" t="inlineStr">
        <is>
          <t>Spinach, raw</t>
        </is>
      </c>
      <c r="C6610" s="1" t="n">
        <v>3.63</v>
      </c>
      <c r="D6610" s="1" t="n">
        <v>194</v>
      </c>
      <c r="E6610" s="1" t="n">
        <v>2.71</v>
      </c>
      <c r="F6610" s="1" t="n">
        <v>2.86</v>
      </c>
      <c r="G6610" s="1" t="n">
        <v>0.39</v>
      </c>
      <c r="H6610" s="1" t="n">
        <v>9377</v>
      </c>
      <c r="I6610" s="1" t="n">
        <v>0.53</v>
      </c>
      <c r="J6610" t="n">
        <v>72125100</v>
      </c>
    </row>
    <row r="6611" ht="15.75" customHeight="1" s="201">
      <c r="A6611" s="1" t="inlineStr">
        <is>
          <t>Split pea soup, canned, reduced sodium, prepared with water or ready-to serve</t>
        </is>
      </c>
      <c r="C6611" s="1" t="n">
        <v>11.83</v>
      </c>
      <c r="D6611" s="1" t="n">
        <v>20</v>
      </c>
      <c r="E6611" s="1" t="n">
        <v>0.77</v>
      </c>
      <c r="F6611" s="1" t="n">
        <v>3.85</v>
      </c>
      <c r="G6611" s="1" t="n">
        <v>0.92</v>
      </c>
      <c r="H6611" s="1" t="n">
        <v>552</v>
      </c>
      <c r="I6611" s="1" t="n">
        <v>0.4</v>
      </c>
      <c r="J6611" t="n">
        <v>75651010</v>
      </c>
    </row>
    <row r="6612" ht="15.75" customHeight="1" s="201">
      <c r="A6612" s="1" t="inlineStr">
        <is>
          <t>Split pea with ham soup, canned, reduced sodium, prepared with water or ready-to-serve</t>
        </is>
      </c>
      <c r="C6612" s="1" t="n">
        <v>11.4</v>
      </c>
      <c r="D6612" s="1" t="n">
        <v>29</v>
      </c>
      <c r="E6612" s="1" t="n">
        <v>0.7</v>
      </c>
      <c r="F6612" s="1" t="n">
        <v>4</v>
      </c>
      <c r="G6612" s="1" t="n">
        <v>0.7</v>
      </c>
      <c r="H6612" s="1" t="n">
        <v>415</v>
      </c>
      <c r="I6612" s="1" t="n">
        <v>0.49</v>
      </c>
      <c r="J6612" t="n">
        <v>75142550</v>
      </c>
    </row>
    <row r="6613" ht="15.75" customHeight="1" s="201">
      <c r="A6613" s="1" t="inlineStr">
        <is>
          <t>Squab, (pigeon), light meat without skin, raw</t>
        </is>
      </c>
      <c r="C6613" s="1" t="n">
        <v>0</v>
      </c>
      <c r="D6613" s="1" t="n">
        <v>4</v>
      </c>
      <c r="E6613" s="1" t="n">
        <v>2.31</v>
      </c>
      <c r="F6613" s="1" t="n">
        <v>21.76</v>
      </c>
      <c r="G6613" s="1" t="n">
        <v>4.52</v>
      </c>
      <c r="H6613" s="1" t="n">
        <v>57</v>
      </c>
      <c r="I6613" s="1" t="n">
        <v>2.7</v>
      </c>
      <c r="J6613" t="n">
        <v>27446245</v>
      </c>
    </row>
    <row r="6614" ht="15.75" customHeight="1" s="201">
      <c r="A6614" s="1" t="inlineStr">
        <is>
          <t>Squab, (pigeon), meat and skin, raw</t>
        </is>
      </c>
      <c r="C6614" s="1" t="n">
        <v>0</v>
      </c>
      <c r="D6614" s="1" t="n">
        <v>6</v>
      </c>
      <c r="E6614" s="1" t="n">
        <v>3.54</v>
      </c>
      <c r="F6614" s="1" t="n">
        <v>18.47</v>
      </c>
      <c r="G6614" s="1" t="n">
        <v>23.8</v>
      </c>
      <c r="H6614" s="1" t="n">
        <v>243</v>
      </c>
      <c r="I6614" s="1" t="n">
        <v>2.2</v>
      </c>
      <c r="J6614" t="n">
        <v>14620320</v>
      </c>
    </row>
    <row r="6615" ht="15.75" customHeight="1" s="201">
      <c r="A6615" s="1" t="inlineStr">
        <is>
          <t>Squab, (pigeon), meat only, raw</t>
        </is>
      </c>
      <c r="C6615" s="1" t="n">
        <v>0</v>
      </c>
      <c r="D6615" s="1" t="n">
        <v>7</v>
      </c>
      <c r="E6615" s="1" t="n">
        <v>4.51</v>
      </c>
      <c r="F6615" s="1" t="n">
        <v>17.5</v>
      </c>
      <c r="G6615" s="1" t="n">
        <v>7.5</v>
      </c>
      <c r="H6615" s="1" t="n">
        <v>94</v>
      </c>
      <c r="I6615" s="1" t="n">
        <v>2.7</v>
      </c>
      <c r="J6615" t="n">
        <v>14620320</v>
      </c>
    </row>
    <row r="6616" ht="15.75" customHeight="1" s="201">
      <c r="A6616" s="1" t="inlineStr">
        <is>
          <t>Squash, Indian, cooked, boiled (Navajo)</t>
        </is>
      </c>
      <c r="C6616" s="1" t="n">
        <v>3.22</v>
      </c>
      <c r="D6616" s="1" t="n">
        <v>7</v>
      </c>
      <c r="F6616" s="1" t="n">
        <v>0.31</v>
      </c>
      <c r="G6616" s="1" t="n">
        <v>0.15</v>
      </c>
      <c r="J6616" t="n">
        <v>76205010</v>
      </c>
    </row>
    <row r="6617" ht="15.75" customHeight="1" s="201">
      <c r="A6617" s="1" t="inlineStr">
        <is>
          <t>Squash, Indian, raw (Navajo)</t>
        </is>
      </c>
      <c r="C6617" s="1" t="n">
        <v>5.64</v>
      </c>
      <c r="D6617" s="1" t="n">
        <v>22</v>
      </c>
      <c r="E6617" s="1" t="n">
        <v>0.17</v>
      </c>
      <c r="F6617" s="1" t="n">
        <v>0.52</v>
      </c>
      <c r="G6617" s="1" t="n">
        <v>0.2</v>
      </c>
      <c r="I6617" s="1" t="n">
        <v>0.07000000000000001</v>
      </c>
      <c r="J6617" t="n">
        <v>76205010</v>
      </c>
    </row>
    <row r="6618" ht="15.75" customHeight="1" s="201">
      <c r="A6618" s="1" t="inlineStr">
        <is>
          <t>Squash, summer, all varieties, cooked, boiled, drained, with salt</t>
        </is>
      </c>
      <c r="C6618" s="1" t="n">
        <v>4.31</v>
      </c>
      <c r="D6618" s="1" t="n">
        <v>20</v>
      </c>
      <c r="E6618" s="1" t="n">
        <v>0.36</v>
      </c>
      <c r="F6618" s="1" t="n">
        <v>0.91</v>
      </c>
      <c r="G6618" s="1" t="n">
        <v>0.31</v>
      </c>
      <c r="H6618" s="1" t="n">
        <v>212</v>
      </c>
      <c r="I6618" s="1" t="n">
        <v>0.39</v>
      </c>
      <c r="J6618" t="n">
        <v>75142550</v>
      </c>
    </row>
    <row r="6619" ht="15.75" customHeight="1" s="201">
      <c r="A6619" s="1" t="inlineStr">
        <is>
          <t>Squash, summer, all varieties, cooked, boiled, drained, without salt</t>
        </is>
      </c>
      <c r="C6619" s="1" t="n">
        <v>4.31</v>
      </c>
      <c r="D6619" s="1" t="n">
        <v>20</v>
      </c>
      <c r="E6619" s="1" t="n">
        <v>0.36</v>
      </c>
      <c r="F6619" s="1" t="n">
        <v>0.91</v>
      </c>
      <c r="G6619" s="1" t="n">
        <v>0.31</v>
      </c>
      <c r="H6619" s="1" t="n">
        <v>212</v>
      </c>
      <c r="I6619" s="1" t="n">
        <v>0.39</v>
      </c>
      <c r="J6619" t="n">
        <v>75233020</v>
      </c>
    </row>
    <row r="6620" ht="15.75" customHeight="1" s="201">
      <c r="A6620" s="1" t="inlineStr">
        <is>
          <t>Squash, summer, all varieties, raw</t>
        </is>
      </c>
      <c r="C6620" s="1" t="n">
        <v>3.35</v>
      </c>
      <c r="D6620" s="1" t="n">
        <v>29</v>
      </c>
      <c r="E6620" s="1" t="n">
        <v>0.35</v>
      </c>
      <c r="F6620" s="1" t="n">
        <v>1.21</v>
      </c>
      <c r="G6620" s="1" t="n">
        <v>0.18</v>
      </c>
      <c r="H6620" s="1" t="n">
        <v>200</v>
      </c>
      <c r="I6620" s="1" t="n">
        <v>0.29</v>
      </c>
      <c r="J6620" t="n">
        <v>76205010</v>
      </c>
    </row>
    <row r="6621" ht="15.75" customHeight="1" s="201">
      <c r="A6621" s="1" t="inlineStr">
        <is>
          <t>Squash, summer, crookneck and straightneck, canned, drained, solid, without salt</t>
        </is>
      </c>
      <c r="C6621" s="1" t="n">
        <v>2.96</v>
      </c>
      <c r="D6621" s="1" t="n">
        <v>10</v>
      </c>
      <c r="E6621" s="1" t="n">
        <v>0.71</v>
      </c>
      <c r="F6621" s="1" t="n">
        <v>0.61</v>
      </c>
      <c r="G6621" s="1" t="n">
        <v>0.07000000000000001</v>
      </c>
      <c r="H6621" s="1" t="n">
        <v>102</v>
      </c>
      <c r="I6621" s="1" t="n">
        <v>0.29</v>
      </c>
      <c r="J6621" t="n">
        <v>75233013</v>
      </c>
    </row>
    <row r="6622" ht="15.75" customHeight="1" s="201">
      <c r="A6622" s="1" t="inlineStr">
        <is>
          <t>Squash, summer, crookneck and straightneck, cooked, boiled, drained, with salt</t>
        </is>
      </c>
      <c r="C6622" s="1" t="n">
        <v>3.79</v>
      </c>
      <c r="D6622" s="1" t="n">
        <v>23</v>
      </c>
      <c r="E6622" s="1" t="n">
        <v>0.37</v>
      </c>
      <c r="F6622" s="1" t="n">
        <v>1.04</v>
      </c>
      <c r="G6622" s="1" t="n">
        <v>0.39</v>
      </c>
      <c r="H6622" s="1" t="n">
        <v>1117</v>
      </c>
      <c r="I6622" s="1" t="n">
        <v>0.22</v>
      </c>
      <c r="J6622" t="n">
        <v>75142550</v>
      </c>
    </row>
    <row r="6623" ht="15.75" customHeight="1" s="201">
      <c r="A6623" s="1" t="inlineStr">
        <is>
          <t>Squash, summer, crookneck and straightneck, cooked, boiled, drained, without salt</t>
        </is>
      </c>
      <c r="C6623" s="1" t="n">
        <v>3.79</v>
      </c>
      <c r="D6623" s="1" t="n">
        <v>23</v>
      </c>
      <c r="E6623" s="1" t="n">
        <v>0.37</v>
      </c>
      <c r="F6623" s="1" t="n">
        <v>1.04</v>
      </c>
      <c r="G6623" s="1" t="n">
        <v>0.39</v>
      </c>
      <c r="H6623" s="1" t="n">
        <v>1117</v>
      </c>
      <c r="I6623" s="1" t="n">
        <v>0.22</v>
      </c>
      <c r="J6623" t="n">
        <v>75233020</v>
      </c>
    </row>
    <row r="6624" ht="15.75" customHeight="1" s="201">
      <c r="A6624" s="1" t="inlineStr">
        <is>
          <t>Squash, summer, crookneck and straightneck, frozen, cooked, boiled, drained, with salt</t>
        </is>
      </c>
      <c r="C6624" s="1" t="n">
        <v>5.54</v>
      </c>
      <c r="D6624" s="1" t="n">
        <v>13</v>
      </c>
      <c r="E6624" s="1" t="n">
        <v>0.52</v>
      </c>
      <c r="F6624" s="1" t="n">
        <v>1.28</v>
      </c>
      <c r="G6624" s="1" t="n">
        <v>0.2</v>
      </c>
      <c r="H6624" s="1" t="n">
        <v>201</v>
      </c>
      <c r="I6624" s="1" t="n">
        <v>0.34</v>
      </c>
      <c r="J6624" t="n">
        <v>75142550</v>
      </c>
    </row>
    <row r="6625" ht="15.75" customHeight="1" s="201">
      <c r="A6625" s="1" t="inlineStr">
        <is>
          <t>Squash, summer, crookneck and straightneck, frozen, cooked, boiled, drained, without salt</t>
        </is>
      </c>
      <c r="C6625" s="1" t="n">
        <v>5.54</v>
      </c>
      <c r="D6625" s="1" t="n">
        <v>13</v>
      </c>
      <c r="E6625" s="1" t="n">
        <v>0.52</v>
      </c>
      <c r="F6625" s="1" t="n">
        <v>1.28</v>
      </c>
      <c r="G6625" s="1" t="n">
        <v>0.2</v>
      </c>
      <c r="H6625" s="1" t="n">
        <v>201</v>
      </c>
      <c r="I6625" s="1" t="n">
        <v>0.34</v>
      </c>
      <c r="J6625" t="n">
        <v>75233020</v>
      </c>
    </row>
    <row r="6626" ht="15.75" customHeight="1" s="201">
      <c r="A6626" s="1" t="inlineStr">
        <is>
          <t>Squash, summer, crookneck and straightneck, frozen, unprepared</t>
        </is>
      </c>
      <c r="C6626" s="1" t="n">
        <v>4.8</v>
      </c>
      <c r="D6626" s="1" t="n">
        <v>12</v>
      </c>
      <c r="E6626" s="1" t="n">
        <v>0.48</v>
      </c>
      <c r="F6626" s="1" t="n">
        <v>0.83</v>
      </c>
      <c r="G6626" s="1" t="n">
        <v>0.14</v>
      </c>
      <c r="H6626" s="1" t="n">
        <v>279</v>
      </c>
      <c r="I6626" s="1" t="n">
        <v>0.37</v>
      </c>
      <c r="J6626" t="n">
        <v>75233030</v>
      </c>
    </row>
    <row r="6627" ht="15.75" customHeight="1" s="201">
      <c r="A6627" s="1" t="inlineStr">
        <is>
          <t>Squash, summer, crookneck and straightneck, raw</t>
        </is>
      </c>
      <c r="C6627" s="1" t="n">
        <v>3.88</v>
      </c>
      <c r="D6627" s="1" t="n">
        <v>19</v>
      </c>
      <c r="E6627" s="1" t="n">
        <v>0.44</v>
      </c>
      <c r="F6627" s="1" t="n">
        <v>1.01</v>
      </c>
      <c r="G6627" s="1" t="n">
        <v>0.27</v>
      </c>
      <c r="H6627" s="1" t="n">
        <v>150</v>
      </c>
      <c r="I6627" s="1" t="n">
        <v>0.29</v>
      </c>
      <c r="J6627" t="n">
        <v>76205010</v>
      </c>
    </row>
    <row r="6628" ht="15.75" customHeight="1" s="201">
      <c r="A6628" s="1" t="inlineStr">
        <is>
          <t>Squash, summer, scallop, cooked, boiled, drained, with salt</t>
        </is>
      </c>
      <c r="C6628" s="1" t="n">
        <v>3.3</v>
      </c>
      <c r="D6628" s="1" t="n">
        <v>21</v>
      </c>
      <c r="E6628" s="1" t="n">
        <v>0.33</v>
      </c>
      <c r="F6628" s="1" t="n">
        <v>1.03</v>
      </c>
      <c r="G6628" s="1" t="n">
        <v>0.17</v>
      </c>
      <c r="H6628" s="1" t="n">
        <v>85</v>
      </c>
      <c r="I6628" s="1" t="n">
        <v>0.24</v>
      </c>
      <c r="J6628" t="n">
        <v>75142550</v>
      </c>
    </row>
    <row r="6629" ht="15.75" customHeight="1" s="201">
      <c r="A6629" s="1" t="inlineStr">
        <is>
          <t>Squash, summer, scallop, cooked, boiled, drained, without salt</t>
        </is>
      </c>
      <c r="C6629" s="1" t="n">
        <v>3.3</v>
      </c>
      <c r="D6629" s="1" t="n">
        <v>21</v>
      </c>
      <c r="E6629" s="1" t="n">
        <v>0.33</v>
      </c>
      <c r="F6629" s="1" t="n">
        <v>1.03</v>
      </c>
      <c r="G6629" s="1" t="n">
        <v>0.17</v>
      </c>
      <c r="H6629" s="1" t="n">
        <v>85</v>
      </c>
      <c r="I6629" s="1" t="n">
        <v>0.24</v>
      </c>
      <c r="J6629" t="n">
        <v>75233020</v>
      </c>
    </row>
    <row r="6630" ht="15.75" customHeight="1" s="201">
      <c r="A6630" s="1" t="inlineStr">
        <is>
          <t>Squash, summer, scallop, raw</t>
        </is>
      </c>
      <c r="C6630" s="1" t="n">
        <v>3.84</v>
      </c>
      <c r="D6630" s="1" t="n">
        <v>30</v>
      </c>
      <c r="E6630" s="1" t="n">
        <v>0.4</v>
      </c>
      <c r="F6630" s="1" t="n">
        <v>1.2</v>
      </c>
      <c r="G6630" s="1" t="n">
        <v>0.2</v>
      </c>
      <c r="H6630" s="1" t="n">
        <v>217</v>
      </c>
      <c r="I6630" s="1" t="n">
        <v>0.29</v>
      </c>
      <c r="J6630" t="n">
        <v>76205010</v>
      </c>
    </row>
    <row r="6631" ht="15.75" customHeight="1" s="201">
      <c r="A6631" s="1" t="inlineStr">
        <is>
          <t>Squash, summer, zucchini, includes skin, cooked, boiled, drained, with salt</t>
        </is>
      </c>
      <c r="C6631" s="1" t="n">
        <v>2.69</v>
      </c>
      <c r="D6631" s="1" t="n">
        <v>28</v>
      </c>
      <c r="E6631" s="1" t="n">
        <v>0.37</v>
      </c>
      <c r="F6631" s="1" t="n">
        <v>1.14</v>
      </c>
      <c r="G6631" s="1" t="n">
        <v>0.36</v>
      </c>
      <c r="H6631" s="1" t="n">
        <v>1117</v>
      </c>
      <c r="I6631" s="1" t="n">
        <v>0.33</v>
      </c>
      <c r="J6631" t="n">
        <v>75142550</v>
      </c>
    </row>
    <row r="6632" ht="15.75" customHeight="1" s="201">
      <c r="A6632" s="1" t="inlineStr">
        <is>
          <t>Squash, summer, zucchini, includes skin, cooked, boiled, drained, without salt</t>
        </is>
      </c>
      <c r="C6632" s="1" t="n">
        <v>2.69</v>
      </c>
      <c r="D6632" s="1" t="n">
        <v>28</v>
      </c>
      <c r="E6632" s="1" t="n">
        <v>0.37</v>
      </c>
      <c r="F6632" s="1" t="n">
        <v>1.14</v>
      </c>
      <c r="G6632" s="1" t="n">
        <v>0.36</v>
      </c>
      <c r="H6632" s="1" t="n">
        <v>1117</v>
      </c>
      <c r="I6632" s="1" t="n">
        <v>0.33</v>
      </c>
      <c r="J6632" t="n">
        <v>75233020</v>
      </c>
    </row>
    <row r="6633" ht="15.75" customHeight="1" s="201">
      <c r="A6633" s="1" t="inlineStr">
        <is>
          <t>Squash, summer, zucchini, includes skin, frozen, cooked, boiled, drained, with salt</t>
        </is>
      </c>
      <c r="C6633" s="1" t="n">
        <v>2.97</v>
      </c>
      <c r="D6633" s="1" t="n">
        <v>8</v>
      </c>
      <c r="E6633" s="1" t="n">
        <v>0.48</v>
      </c>
      <c r="F6633" s="1" t="n">
        <v>1.15</v>
      </c>
      <c r="G6633" s="1" t="n">
        <v>0.13</v>
      </c>
      <c r="H6633" s="1" t="n">
        <v>177</v>
      </c>
      <c r="I6633" s="1" t="n">
        <v>0.2</v>
      </c>
      <c r="J6633" t="n">
        <v>75142550</v>
      </c>
    </row>
    <row r="6634" ht="15.75" customHeight="1" s="201">
      <c r="A6634" s="1" t="inlineStr">
        <is>
          <t>Squash, summer, zucchini, includes skin, frozen, cooked, boiled, drained, without salt</t>
        </is>
      </c>
      <c r="C6634" s="1" t="n">
        <v>3.56</v>
      </c>
      <c r="D6634" s="1" t="n">
        <v>8</v>
      </c>
      <c r="E6634" s="1" t="n">
        <v>0.48</v>
      </c>
      <c r="F6634" s="1" t="n">
        <v>1.15</v>
      </c>
      <c r="G6634" s="1" t="n">
        <v>0.13</v>
      </c>
      <c r="H6634" s="1" t="n">
        <v>177</v>
      </c>
      <c r="I6634" s="1" t="n">
        <v>0.2</v>
      </c>
      <c r="J6634" t="n">
        <v>75233020</v>
      </c>
    </row>
    <row r="6635" ht="15.75" customHeight="1" s="201">
      <c r="A6635" s="1" t="inlineStr">
        <is>
          <t>Squash, summer, zucchini, includes skin, frozen, unprepared</t>
        </is>
      </c>
      <c r="C6635" s="1" t="n">
        <v>3.58</v>
      </c>
      <c r="D6635" s="1" t="n">
        <v>10</v>
      </c>
      <c r="E6635" s="1" t="n">
        <v>0.51</v>
      </c>
      <c r="F6635" s="1" t="n">
        <v>1.16</v>
      </c>
      <c r="G6635" s="1" t="n">
        <v>0.13</v>
      </c>
      <c r="H6635" s="1" t="n">
        <v>198</v>
      </c>
      <c r="I6635" s="1" t="n">
        <v>0.21</v>
      </c>
      <c r="J6635" t="n">
        <v>75233030</v>
      </c>
    </row>
    <row r="6636" ht="15.75" customHeight="1" s="201">
      <c r="A6636" s="1" t="inlineStr">
        <is>
          <t>Squash, summer, zucchini, includes skin, raw</t>
        </is>
      </c>
      <c r="C6636" s="1" t="n">
        <v>3.11</v>
      </c>
      <c r="D6636" s="1" t="n">
        <v>24</v>
      </c>
      <c r="E6636" s="1" t="n">
        <v>0.37</v>
      </c>
      <c r="F6636" s="1" t="n">
        <v>1.21</v>
      </c>
      <c r="G6636" s="1" t="n">
        <v>0.32</v>
      </c>
      <c r="H6636" s="1" t="n">
        <v>200</v>
      </c>
      <c r="I6636" s="1" t="n">
        <v>0.32</v>
      </c>
      <c r="J6636" t="n">
        <v>75233011</v>
      </c>
    </row>
    <row r="6637" ht="15.75" customHeight="1" s="201">
      <c r="A6637" s="1" t="inlineStr">
        <is>
          <t>Squash, summer, zucchini, italian style, canned</t>
        </is>
      </c>
      <c r="C6637" s="1" t="n">
        <v>6.85</v>
      </c>
      <c r="D6637" s="1" t="n">
        <v>30</v>
      </c>
      <c r="E6637" s="1" t="n">
        <v>0.68</v>
      </c>
      <c r="F6637" s="1" t="n">
        <v>1.03</v>
      </c>
      <c r="G6637" s="1" t="n">
        <v>0.11</v>
      </c>
      <c r="H6637" s="1" t="n">
        <v>539</v>
      </c>
      <c r="I6637" s="1" t="n">
        <v>0.26</v>
      </c>
      <c r="J6637" t="n">
        <v>75233013</v>
      </c>
    </row>
    <row r="6638" ht="15.75" customHeight="1" s="201">
      <c r="A6638" s="1" t="inlineStr">
        <is>
          <t>Squash, winter, acorn, cooked, baked, with salt</t>
        </is>
      </c>
      <c r="C6638" s="1" t="n">
        <v>14.58</v>
      </c>
      <c r="D6638" s="1" t="n">
        <v>19</v>
      </c>
      <c r="E6638" s="1" t="n">
        <v>0.93</v>
      </c>
      <c r="F6638" s="1" t="n">
        <v>1.12</v>
      </c>
      <c r="G6638" s="1" t="n">
        <v>0.14</v>
      </c>
      <c r="H6638" s="1" t="n">
        <v>428</v>
      </c>
      <c r="I6638" s="1" t="n">
        <v>0.17</v>
      </c>
      <c r="J6638" t="n">
        <v>75142550</v>
      </c>
    </row>
    <row r="6639" ht="15.75" customHeight="1" s="201">
      <c r="A6639" s="1" t="inlineStr">
        <is>
          <t>Squash, winter, acorn, cooked, baked, without salt</t>
        </is>
      </c>
      <c r="C6639" s="1" t="n">
        <v>14.58</v>
      </c>
      <c r="D6639" s="1" t="n">
        <v>19</v>
      </c>
      <c r="E6639" s="1" t="n">
        <v>0.93</v>
      </c>
      <c r="F6639" s="1" t="n">
        <v>1.12</v>
      </c>
      <c r="G6639" s="1" t="n">
        <v>0.14</v>
      </c>
      <c r="H6639" s="1" t="n">
        <v>428</v>
      </c>
      <c r="I6639" s="1" t="n">
        <v>0.17</v>
      </c>
      <c r="J6639" t="n">
        <v>76205010</v>
      </c>
    </row>
    <row r="6640" ht="15.75" customHeight="1" s="201">
      <c r="A6640" s="1" t="inlineStr">
        <is>
          <t>Squash, winter, acorn, cooked, boiled, mashed, with salt</t>
        </is>
      </c>
      <c r="C6640" s="1" t="n">
        <v>8.789999999999999</v>
      </c>
      <c r="D6640" s="1" t="n">
        <v>11</v>
      </c>
      <c r="E6640" s="1" t="n">
        <v>0.5600000000000001</v>
      </c>
      <c r="F6640" s="1" t="n">
        <v>0.67</v>
      </c>
      <c r="G6640" s="1" t="n">
        <v>0.08</v>
      </c>
      <c r="H6640" s="1" t="n">
        <v>258</v>
      </c>
      <c r="I6640" s="1" t="n">
        <v>0.11</v>
      </c>
      <c r="J6640" t="n">
        <v>75142550</v>
      </c>
    </row>
    <row r="6641" ht="15.75" customHeight="1" s="201">
      <c r="A6641" s="1" t="inlineStr">
        <is>
          <t>Squash, winter, acorn, cooked, boiled, mashed, without salt</t>
        </is>
      </c>
      <c r="C6641" s="1" t="n">
        <v>8.789999999999999</v>
      </c>
      <c r="D6641" s="1" t="n">
        <v>11</v>
      </c>
      <c r="E6641" s="1" t="n">
        <v>0.5600000000000001</v>
      </c>
      <c r="F6641" s="1" t="n">
        <v>0.67</v>
      </c>
      <c r="G6641" s="1" t="n">
        <v>0.08</v>
      </c>
      <c r="H6641" s="1" t="n">
        <v>817</v>
      </c>
      <c r="I6641" s="1" t="n">
        <v>0.11</v>
      </c>
      <c r="J6641" t="n">
        <v>76205010</v>
      </c>
    </row>
    <row r="6642" ht="15.75" customHeight="1" s="201">
      <c r="A6642" s="1" t="inlineStr">
        <is>
          <t>Squash, winter, acorn, raw</t>
        </is>
      </c>
      <c r="C6642" s="1" t="n">
        <v>10.42</v>
      </c>
      <c r="D6642" s="1" t="n">
        <v>17</v>
      </c>
      <c r="E6642" s="1" t="n">
        <v>0.7</v>
      </c>
      <c r="F6642" s="1" t="n">
        <v>0.8</v>
      </c>
      <c r="G6642" s="1" t="n">
        <v>0.1</v>
      </c>
      <c r="H6642" s="1" t="n">
        <v>367</v>
      </c>
      <c r="I6642" s="1" t="n">
        <v>0.13</v>
      </c>
      <c r="J6642" t="n">
        <v>76205010</v>
      </c>
    </row>
    <row r="6643" ht="15.75" customHeight="1" s="201">
      <c r="A6643" s="1" t="inlineStr">
        <is>
          <t>Squash, winter, all varieties, cooked, baked, with salt</t>
        </is>
      </c>
      <c r="C6643" s="1" t="n">
        <v>8.85</v>
      </c>
      <c r="D6643" s="1" t="n">
        <v>20</v>
      </c>
      <c r="E6643" s="1" t="n">
        <v>0.44</v>
      </c>
      <c r="F6643" s="1" t="n">
        <v>0.89</v>
      </c>
      <c r="G6643" s="1" t="n">
        <v>0.35</v>
      </c>
      <c r="H6643" s="1" t="n">
        <v>5223</v>
      </c>
      <c r="I6643" s="1" t="n">
        <v>0.22</v>
      </c>
      <c r="J6643" t="n">
        <v>75142550</v>
      </c>
    </row>
    <row r="6644" ht="15.75" customHeight="1" s="201">
      <c r="A6644" s="1" t="inlineStr">
        <is>
          <t>Squash, winter, all varieties, cooked, baked, without salt</t>
        </is>
      </c>
      <c r="C6644" s="1" t="n">
        <v>8.85</v>
      </c>
      <c r="D6644" s="1" t="n">
        <v>20</v>
      </c>
      <c r="E6644" s="1" t="n">
        <v>0.44</v>
      </c>
      <c r="F6644" s="1" t="n">
        <v>0.89</v>
      </c>
      <c r="G6644" s="1" t="n">
        <v>0.35</v>
      </c>
      <c r="H6644" s="1" t="n">
        <v>5223</v>
      </c>
      <c r="I6644" s="1" t="n">
        <v>0.22</v>
      </c>
      <c r="J6644" t="n">
        <v>76205010</v>
      </c>
    </row>
    <row r="6645" ht="15.75" customHeight="1" s="201">
      <c r="A6645" s="1" t="inlineStr">
        <is>
          <t>Squash, winter, all varieties, raw</t>
        </is>
      </c>
      <c r="C6645" s="1" t="n">
        <v>8.59</v>
      </c>
      <c r="D6645" s="1" t="n">
        <v>24</v>
      </c>
      <c r="E6645" s="1" t="n">
        <v>0.58</v>
      </c>
      <c r="F6645" s="1" t="n">
        <v>0.95</v>
      </c>
      <c r="G6645" s="1" t="n">
        <v>0.13</v>
      </c>
      <c r="H6645" s="1" t="n">
        <v>1367</v>
      </c>
      <c r="I6645" s="1" t="n">
        <v>0.21</v>
      </c>
      <c r="J6645" t="n">
        <v>76205010</v>
      </c>
    </row>
    <row r="6646" ht="15.75" customHeight="1" s="201">
      <c r="A6646" s="1" t="inlineStr">
        <is>
          <t>Squash, winter, butternut, cooked, baked, with salt</t>
        </is>
      </c>
      <c r="C6646" s="1" t="n">
        <v>10.49</v>
      </c>
      <c r="D6646" s="1" t="n">
        <v>19</v>
      </c>
      <c r="E6646" s="1" t="n">
        <v>0.6</v>
      </c>
      <c r="F6646" s="1" t="n">
        <v>0.9</v>
      </c>
      <c r="G6646" s="1" t="n">
        <v>0.09</v>
      </c>
      <c r="H6646" s="1" t="n">
        <v>11155</v>
      </c>
      <c r="I6646" s="1" t="n">
        <v>0.13</v>
      </c>
      <c r="J6646" t="n">
        <v>76205010</v>
      </c>
    </row>
    <row r="6647" ht="15.75" customHeight="1" s="201">
      <c r="A6647" s="1" t="inlineStr">
        <is>
          <t>Squash, winter, butternut, cooked, baked, without salt</t>
        </is>
      </c>
      <c r="C6647" s="1" t="n">
        <v>10.49</v>
      </c>
      <c r="D6647" s="1" t="n">
        <v>19</v>
      </c>
      <c r="E6647" s="1" t="n">
        <v>0.6</v>
      </c>
      <c r="F6647" s="1" t="n">
        <v>0.9</v>
      </c>
      <c r="G6647" s="1" t="n">
        <v>0.09</v>
      </c>
      <c r="H6647" s="1" t="n">
        <v>11155</v>
      </c>
      <c r="I6647" s="1" t="n">
        <v>0.13</v>
      </c>
      <c r="J6647" t="n">
        <v>76205010</v>
      </c>
    </row>
    <row r="6648" ht="15.75" customHeight="1" s="201">
      <c r="A6648" s="1" t="inlineStr">
        <is>
          <t>Squash, winter, butternut, frozen, cooked, boiled, with salt</t>
        </is>
      </c>
      <c r="C6648" s="1" t="n">
        <v>10.04</v>
      </c>
      <c r="D6648" s="1" t="n">
        <v>16</v>
      </c>
      <c r="E6648" s="1" t="n">
        <v>0.58</v>
      </c>
      <c r="F6648" s="1" t="n">
        <v>1.23</v>
      </c>
      <c r="G6648" s="1" t="n">
        <v>0.07000000000000001</v>
      </c>
      <c r="H6648" s="1" t="n">
        <v>3339</v>
      </c>
      <c r="I6648" s="1" t="n">
        <v>0.12</v>
      </c>
      <c r="J6648" t="n">
        <v>76205010</v>
      </c>
    </row>
    <row r="6649" ht="15.75" customHeight="1" s="201">
      <c r="A6649" s="1" t="inlineStr">
        <is>
          <t>Squash, winter, butternut, frozen, cooked, boiled, without salt</t>
        </is>
      </c>
      <c r="C6649" s="1" t="n">
        <v>10.05</v>
      </c>
      <c r="D6649" s="1" t="n">
        <v>16</v>
      </c>
      <c r="E6649" s="1" t="n">
        <v>0.58</v>
      </c>
      <c r="F6649" s="1" t="n">
        <v>1.23</v>
      </c>
      <c r="G6649" s="1" t="n">
        <v>0.07000000000000001</v>
      </c>
      <c r="H6649" s="1" t="n">
        <v>3339</v>
      </c>
      <c r="I6649" s="1" t="n">
        <v>0.12</v>
      </c>
      <c r="J6649" t="n">
        <v>76205010</v>
      </c>
    </row>
    <row r="6650" ht="15.75" customHeight="1" s="201">
      <c r="A6650" s="1" t="inlineStr">
        <is>
          <t>Squash, winter, butternut, frozen, unprepared</t>
        </is>
      </c>
      <c r="C6650" s="1" t="n">
        <v>14.41</v>
      </c>
      <c r="D6650" s="1" t="n">
        <v>24</v>
      </c>
      <c r="E6650" s="1" t="n">
        <v>0.88</v>
      </c>
      <c r="F6650" s="1" t="n">
        <v>1.76</v>
      </c>
      <c r="G6650" s="1" t="n">
        <v>0.1</v>
      </c>
      <c r="H6650" s="1" t="n">
        <v>4790</v>
      </c>
      <c r="I6650" s="1" t="n">
        <v>0.17</v>
      </c>
      <c r="J6650" t="n">
        <v>76205010</v>
      </c>
    </row>
    <row r="6651" ht="15.75" customHeight="1" s="201">
      <c r="A6651" s="1" t="inlineStr">
        <is>
          <t>Squash, winter, butternut, raw</t>
        </is>
      </c>
      <c r="C6651" s="1" t="n">
        <v>11.69</v>
      </c>
      <c r="D6651" s="1" t="n">
        <v>27</v>
      </c>
      <c r="E6651" s="1" t="n">
        <v>0.7</v>
      </c>
      <c r="F6651" s="1" t="n">
        <v>1</v>
      </c>
      <c r="G6651" s="1" t="n">
        <v>0.1</v>
      </c>
      <c r="H6651" s="1" t="n">
        <v>10630</v>
      </c>
      <c r="I6651" s="1" t="n">
        <v>0.15</v>
      </c>
      <c r="J6651" t="n">
        <v>76205010</v>
      </c>
    </row>
    <row r="6652" ht="15.75" customHeight="1" s="201">
      <c r="A6652" s="1" t="inlineStr">
        <is>
          <t>Squash, winter, hubbard, baked, with salt</t>
        </is>
      </c>
      <c r="C6652" s="1" t="n">
        <v>10.81</v>
      </c>
      <c r="D6652" s="1" t="n">
        <v>16</v>
      </c>
      <c r="E6652" s="1" t="n">
        <v>0.47</v>
      </c>
      <c r="F6652" s="1" t="n">
        <v>2.48</v>
      </c>
      <c r="G6652" s="1" t="n">
        <v>0.62</v>
      </c>
      <c r="H6652" s="1" t="n">
        <v>6705</v>
      </c>
      <c r="I6652" s="1" t="n">
        <v>0.15</v>
      </c>
      <c r="J6652" t="n">
        <v>75142550</v>
      </c>
    </row>
    <row r="6653" ht="15.75" customHeight="1" s="201">
      <c r="A6653" s="1" t="inlineStr">
        <is>
          <t>Squash, winter, hubbard, baked, without salt</t>
        </is>
      </c>
      <c r="C6653" s="1" t="n">
        <v>10.81</v>
      </c>
      <c r="D6653" s="1" t="n">
        <v>16</v>
      </c>
      <c r="E6653" s="1" t="n">
        <v>0.47</v>
      </c>
      <c r="F6653" s="1" t="n">
        <v>2.48</v>
      </c>
      <c r="G6653" s="1" t="n">
        <v>0.62</v>
      </c>
      <c r="H6653" s="1" t="n">
        <v>6705</v>
      </c>
      <c r="I6653" s="1" t="n">
        <v>0.15</v>
      </c>
      <c r="J6653" t="n">
        <v>76205010</v>
      </c>
    </row>
    <row r="6654" ht="15.75" customHeight="1" s="201">
      <c r="A6654" s="1" t="inlineStr">
        <is>
          <t>Squash, winter, hubbard, cooked, boiled, mashed, with salt</t>
        </is>
      </c>
      <c r="C6654" s="1" t="n">
        <v>6.46</v>
      </c>
      <c r="D6654" s="1" t="n">
        <v>10</v>
      </c>
      <c r="E6654" s="1" t="n">
        <v>0.28</v>
      </c>
      <c r="F6654" s="1" t="n">
        <v>1.48</v>
      </c>
      <c r="G6654" s="1" t="n">
        <v>0.37</v>
      </c>
      <c r="H6654" s="1" t="n">
        <v>4005</v>
      </c>
      <c r="I6654" s="1" t="n">
        <v>0.1</v>
      </c>
      <c r="J6654" t="n">
        <v>75142550</v>
      </c>
    </row>
    <row r="6655" ht="15.75" customHeight="1" s="201">
      <c r="A6655" s="1" t="inlineStr">
        <is>
          <t>Squash, winter, hubbard, cooked, boiled, mashed, without salt</t>
        </is>
      </c>
      <c r="C6655" s="1" t="n">
        <v>6.46</v>
      </c>
      <c r="D6655" s="1" t="n">
        <v>10</v>
      </c>
      <c r="E6655" s="1" t="n">
        <v>0.28</v>
      </c>
      <c r="F6655" s="1" t="n">
        <v>1.48</v>
      </c>
      <c r="G6655" s="1" t="n">
        <v>0.37</v>
      </c>
      <c r="H6655" s="1" t="n">
        <v>4005</v>
      </c>
      <c r="I6655" s="1" t="n">
        <v>0.1</v>
      </c>
      <c r="J6655" t="n">
        <v>76205010</v>
      </c>
    </row>
    <row r="6656" ht="15.75" customHeight="1" s="201">
      <c r="A6656" s="1" t="inlineStr">
        <is>
          <t>Squash, winter, hubbard, raw</t>
        </is>
      </c>
      <c r="C6656" s="1" t="n">
        <v>8.699999999999999</v>
      </c>
      <c r="D6656" s="1" t="n">
        <v>16</v>
      </c>
      <c r="E6656" s="1" t="n">
        <v>0.4</v>
      </c>
      <c r="F6656" s="1" t="n">
        <v>2</v>
      </c>
      <c r="G6656" s="1" t="n">
        <v>0.5</v>
      </c>
      <c r="H6656" s="1" t="n">
        <v>1367</v>
      </c>
      <c r="I6656" s="1" t="n">
        <v>0.13</v>
      </c>
      <c r="J6656" t="n">
        <v>76205010</v>
      </c>
    </row>
    <row r="6657" ht="15.75" customHeight="1" s="201">
      <c r="A6657" s="1" t="inlineStr">
        <is>
          <t>Squash, winter, spaghetti, cooked, boiled, drained, or baked, with salt</t>
        </is>
      </c>
      <c r="C6657" s="1" t="n">
        <v>6.46</v>
      </c>
      <c r="D6657" s="1" t="n">
        <v>8</v>
      </c>
      <c r="E6657" s="1" t="n">
        <v>0.34</v>
      </c>
      <c r="F6657" s="1" t="n">
        <v>0.66</v>
      </c>
      <c r="G6657" s="1" t="n">
        <v>0.26</v>
      </c>
      <c r="H6657" s="1" t="n">
        <v>110</v>
      </c>
      <c r="I6657" s="1" t="n">
        <v>0.2</v>
      </c>
      <c r="J6657" t="n">
        <v>75142550</v>
      </c>
    </row>
    <row r="6658" ht="15.75" customHeight="1" s="201">
      <c r="A6658" s="1" t="inlineStr">
        <is>
          <t>Squash, winter, spaghetti, cooked, boiled, drained, or baked, without salt</t>
        </is>
      </c>
      <c r="C6658" s="1" t="n">
        <v>6.46</v>
      </c>
      <c r="D6658" s="1" t="n">
        <v>8</v>
      </c>
      <c r="E6658" s="1" t="n">
        <v>0.34</v>
      </c>
      <c r="F6658" s="1" t="n">
        <v>0.66</v>
      </c>
      <c r="G6658" s="1" t="n">
        <v>0.26</v>
      </c>
      <c r="H6658" s="1" t="n">
        <v>110</v>
      </c>
      <c r="I6658" s="1" t="n">
        <v>0.2</v>
      </c>
      <c r="J6658" t="n">
        <v>76205010</v>
      </c>
    </row>
    <row r="6659" ht="15.75" customHeight="1" s="201">
      <c r="A6659" s="1" t="inlineStr">
        <is>
          <t>Squash, winter, spaghetti, raw</t>
        </is>
      </c>
      <c r="C6659" s="1" t="n">
        <v>6.91</v>
      </c>
      <c r="D6659" s="1" t="n">
        <v>12</v>
      </c>
      <c r="E6659" s="1" t="n">
        <v>0.31</v>
      </c>
      <c r="F6659" s="1" t="n">
        <v>0.64</v>
      </c>
      <c r="G6659" s="1" t="n">
        <v>0.57</v>
      </c>
      <c r="H6659" s="1" t="n">
        <v>120</v>
      </c>
      <c r="I6659" s="1" t="n">
        <v>0.19</v>
      </c>
      <c r="J6659" t="n">
        <v>76205010</v>
      </c>
    </row>
    <row r="6660" ht="15.75" customHeight="1" s="201">
      <c r="A6660" s="1" t="inlineStr">
        <is>
          <t>Squash, zucchini, baby, raw</t>
        </is>
      </c>
      <c r="C6660" s="1" t="n">
        <v>3.11</v>
      </c>
      <c r="D6660" s="1" t="n">
        <v>20</v>
      </c>
      <c r="E6660" s="1" t="n">
        <v>0.79</v>
      </c>
      <c r="F6660" s="1" t="n">
        <v>2.71</v>
      </c>
      <c r="G6660" s="1" t="n">
        <v>0.4</v>
      </c>
      <c r="H6660" s="1" t="n">
        <v>490</v>
      </c>
      <c r="I6660" s="1" t="n">
        <v>0.83</v>
      </c>
      <c r="J6660" t="n">
        <v>76205010</v>
      </c>
    </row>
    <row r="6661" ht="15.75" customHeight="1" s="201">
      <c r="A6661" s="1" t="inlineStr">
        <is>
          <t>Squirrel, ground, meat (Alaska Native)</t>
        </is>
      </c>
      <c r="C6661" s="1" t="n">
        <v>0</v>
      </c>
      <c r="E6661" s="1" t="n">
        <v>4.7</v>
      </c>
      <c r="F6661" s="1" t="n">
        <v>19.3</v>
      </c>
      <c r="G6661" s="1" t="n">
        <v>3.8</v>
      </c>
      <c r="H6661" s="1" t="n">
        <v>220</v>
      </c>
      <c r="J6661" t="n">
        <v>14620320</v>
      </c>
    </row>
    <row r="6662" ht="15.75" customHeight="1" s="201">
      <c r="A6662" s="1" t="inlineStr">
        <is>
          <t>Steelhead trout, boiled, canned (Alaska Native)</t>
        </is>
      </c>
      <c r="C6662" s="1" t="n">
        <v>0</v>
      </c>
      <c r="E6662" s="1" t="n">
        <v>0.64</v>
      </c>
      <c r="F6662" s="1" t="n">
        <v>21.11</v>
      </c>
      <c r="G6662" s="1" t="n">
        <v>8.26</v>
      </c>
      <c r="H6662" s="1" t="n">
        <v>65</v>
      </c>
      <c r="I6662" s="1" t="n">
        <v>0.57</v>
      </c>
      <c r="J6662" t="n">
        <v>31103010</v>
      </c>
    </row>
    <row r="6663" ht="15.75" customHeight="1" s="201">
      <c r="A6663" s="1" t="inlineStr">
        <is>
          <t>Steelhead trout, dried, flesh (Shoshone Bannock)</t>
        </is>
      </c>
      <c r="C6663" s="1" t="n">
        <v>0</v>
      </c>
      <c r="E6663" s="1" t="n">
        <v>2.96</v>
      </c>
      <c r="F6663" s="1" t="n">
        <v>77.27</v>
      </c>
      <c r="G6663" s="1" t="n">
        <v>8.06</v>
      </c>
      <c r="H6663" s="1" t="n">
        <v>213</v>
      </c>
      <c r="I6663" s="1" t="n">
        <v>1.79</v>
      </c>
    </row>
    <row r="6664" ht="15.75" customHeight="1" s="201">
      <c r="A6664" s="1" t="inlineStr">
        <is>
          <t>Stew, dumpling with mutton (Navajo)</t>
        </is>
      </c>
      <c r="C6664" s="1" t="n">
        <v>8.029999999999999</v>
      </c>
      <c r="D6664" s="1" t="n">
        <v>41</v>
      </c>
      <c r="E6664" s="1" t="n">
        <v>1.79</v>
      </c>
      <c r="F6664" s="1" t="n">
        <v>8.710000000000001</v>
      </c>
      <c r="G6664" s="1" t="n">
        <v>3.78</v>
      </c>
      <c r="H6664" s="1" t="n">
        <v>0</v>
      </c>
      <c r="I6664" s="1" t="n">
        <v>1.85</v>
      </c>
      <c r="J6664" t="n">
        <v>75142550</v>
      </c>
    </row>
    <row r="6665" ht="15.75" customHeight="1" s="201">
      <c r="A6665" s="1" t="inlineStr">
        <is>
          <t>Stew, hominy with mutton (Navajo)</t>
        </is>
      </c>
      <c r="C6665" s="1" t="n">
        <v>9.380000000000001</v>
      </c>
      <c r="D6665" s="1" t="n">
        <v>0</v>
      </c>
      <c r="E6665" s="1" t="n">
        <v>0.8100000000000001</v>
      </c>
      <c r="F6665" s="1" t="n">
        <v>6.71</v>
      </c>
      <c r="G6665" s="1" t="n">
        <v>2.06</v>
      </c>
      <c r="H6665" s="1" t="n">
        <v>0</v>
      </c>
      <c r="I6665" s="1" t="n">
        <v>1.19</v>
      </c>
      <c r="J6665" t="n">
        <v>75142550</v>
      </c>
    </row>
    <row r="6666" ht="15.75" customHeight="1" s="201">
      <c r="A6666" s="1" t="inlineStr">
        <is>
          <t>Stew, moose (Alaska Native)</t>
        </is>
      </c>
      <c r="C6666" s="1" t="n">
        <v>6</v>
      </c>
      <c r="D6666" s="1" t="n">
        <v>5</v>
      </c>
      <c r="E6666" s="1" t="n">
        <v>1.52</v>
      </c>
      <c r="F6666" s="1" t="n">
        <v>6.6</v>
      </c>
      <c r="G6666" s="1" t="n">
        <v>0.5</v>
      </c>
      <c r="H6666" s="1" t="n">
        <v>1043</v>
      </c>
      <c r="I6666" s="1" t="n">
        <v>0.12</v>
      </c>
      <c r="J6666" t="n">
        <v>27311310</v>
      </c>
    </row>
    <row r="6667" ht="15.75" customHeight="1" s="201">
      <c r="A6667" s="1" t="inlineStr">
        <is>
          <t>Stew, mutton, corn, squash (Navajo)</t>
        </is>
      </c>
      <c r="C6667" s="1" t="n">
        <v>7.27</v>
      </c>
      <c r="D6667" s="1" t="n">
        <v>18</v>
      </c>
      <c r="E6667" s="1" t="n">
        <v>1.21</v>
      </c>
      <c r="F6667" s="1" t="n">
        <v>8.619999999999999</v>
      </c>
      <c r="G6667" s="1" t="n">
        <v>4.34</v>
      </c>
      <c r="H6667" s="1" t="n">
        <v>0</v>
      </c>
      <c r="I6667" s="1" t="n">
        <v>1.87</v>
      </c>
      <c r="J6667" t="n">
        <v>76205010</v>
      </c>
    </row>
    <row r="6668" ht="15.75" customHeight="1" s="201">
      <c r="A6668" s="1" t="inlineStr">
        <is>
          <t>Stew, pinto bean and hominy, badufsuki (Hopi)</t>
        </is>
      </c>
      <c r="C6668" s="1" t="n">
        <v>5.38</v>
      </c>
      <c r="E6668" s="1" t="n">
        <v>0.37</v>
      </c>
      <c r="F6668" s="1" t="n">
        <v>1.42</v>
      </c>
      <c r="G6668" s="1" t="n">
        <v>0.54</v>
      </c>
      <c r="H6668" s="1" t="n">
        <v>1</v>
      </c>
      <c r="I6668" s="1" t="n">
        <v>0.18</v>
      </c>
      <c r="J6668" t="n">
        <v>27311310</v>
      </c>
    </row>
    <row r="6669" ht="15.75" customHeight="1" s="201">
      <c r="A6669" s="1" t="inlineStr">
        <is>
          <t>Stew, steamed corn (Navajo)</t>
        </is>
      </c>
      <c r="C6669" s="1" t="n">
        <v>10.8</v>
      </c>
      <c r="D6669" s="1" t="n">
        <v>9</v>
      </c>
      <c r="E6669" s="1" t="n">
        <v>1.1</v>
      </c>
      <c r="F6669" s="1" t="n">
        <v>8.82</v>
      </c>
      <c r="G6669" s="1" t="n">
        <v>3.75</v>
      </c>
      <c r="I6669" s="1" t="n">
        <v>1.55</v>
      </c>
      <c r="J6669" t="n">
        <v>27311310</v>
      </c>
    </row>
    <row r="6670" ht="15.75" customHeight="1" s="201">
      <c r="A6670" s="1" t="inlineStr">
        <is>
          <t>Stew/soup, caribou (Alaska Native)</t>
        </is>
      </c>
      <c r="C6670" s="1" t="n">
        <v>4.8</v>
      </c>
      <c r="D6670" s="1" t="n">
        <v>3</v>
      </c>
      <c r="E6670" s="1" t="n">
        <v>0.2</v>
      </c>
      <c r="F6670" s="1" t="n">
        <v>3.8</v>
      </c>
      <c r="G6670" s="1" t="n">
        <v>0.7</v>
      </c>
      <c r="H6670" s="1" t="n">
        <v>1607</v>
      </c>
      <c r="I6670" s="1" t="n">
        <v>0.1</v>
      </c>
      <c r="J6670" t="n">
        <v>27311310</v>
      </c>
    </row>
    <row r="6671" ht="15.75" customHeight="1" s="201">
      <c r="A6671" s="1" t="inlineStr">
        <is>
          <t>Stinging Nettles, blanched (Northern Plains Indians)</t>
        </is>
      </c>
      <c r="C6671" s="1" t="n">
        <v>7.49</v>
      </c>
      <c r="D6671" s="1" t="n">
        <v>14</v>
      </c>
      <c r="E6671" s="1" t="n">
        <v>1.64</v>
      </c>
      <c r="F6671" s="1" t="n">
        <v>2.71</v>
      </c>
      <c r="G6671" s="1" t="n">
        <v>0.11</v>
      </c>
      <c r="H6671" s="1" t="n">
        <v>2011</v>
      </c>
      <c r="I6671" s="1" t="n">
        <v>0.34</v>
      </c>
    </row>
    <row r="6672" ht="15.75" customHeight="1" s="201">
      <c r="A6672" s="1" t="inlineStr">
        <is>
          <t>Strawberries, canned, heavy syrup pack, solids and liquids</t>
        </is>
      </c>
      <c r="C6672" s="1" t="n">
        <v>23.53</v>
      </c>
      <c r="D6672" s="1" t="n">
        <v>28</v>
      </c>
      <c r="E6672" s="1" t="n">
        <v>0.49</v>
      </c>
      <c r="F6672" s="1" t="n">
        <v>0.5600000000000001</v>
      </c>
      <c r="G6672" s="1" t="n">
        <v>0.26</v>
      </c>
      <c r="H6672" s="1" t="n">
        <v>26</v>
      </c>
      <c r="I6672" s="1" t="n">
        <v>0.09</v>
      </c>
      <c r="J6672" t="n">
        <v>53109200</v>
      </c>
    </row>
    <row r="6673" ht="15.75" customHeight="1" s="201">
      <c r="A6673" s="1" t="inlineStr">
        <is>
          <t>Strawberries, frozen, sweetened, sliced</t>
        </is>
      </c>
      <c r="C6673" s="1" t="n">
        <v>25.92</v>
      </c>
      <c r="D6673" s="1" t="n">
        <v>15</v>
      </c>
      <c r="E6673" s="1" t="n">
        <v>0.59</v>
      </c>
      <c r="F6673" s="1" t="n">
        <v>0.53</v>
      </c>
      <c r="G6673" s="1" t="n">
        <v>0.13</v>
      </c>
      <c r="H6673" s="1" t="n">
        <v>24</v>
      </c>
      <c r="I6673" s="1" t="n">
        <v>0.06</v>
      </c>
      <c r="J6673" t="n">
        <v>28145110</v>
      </c>
    </row>
    <row r="6674" ht="15.75" customHeight="1" s="201">
      <c r="A6674" s="1" t="inlineStr">
        <is>
          <t>Strawberries, frozen, unsweetened (Includes foods for USDA's Food Distribution Program)</t>
        </is>
      </c>
      <c r="C6674" s="1" t="n">
        <v>9.130000000000001</v>
      </c>
      <c r="D6674" s="1" t="n">
        <v>17</v>
      </c>
      <c r="E6674" s="1" t="n">
        <v>0.75</v>
      </c>
      <c r="F6674" s="1" t="n">
        <v>0.43</v>
      </c>
      <c r="G6674" s="1" t="n">
        <v>0.11</v>
      </c>
      <c r="H6674" s="1" t="n">
        <v>45</v>
      </c>
      <c r="I6674" s="1" t="n">
        <v>0.13</v>
      </c>
    </row>
    <row r="6675" ht="15.75" customHeight="1" s="201">
      <c r="A6675" s="1" t="inlineStr">
        <is>
          <t>Strawberries, raw</t>
        </is>
      </c>
      <c r="C6675" s="1" t="n">
        <v>7.68</v>
      </c>
      <c r="D6675" s="1" t="n">
        <v>24</v>
      </c>
      <c r="E6675" s="1" t="n">
        <v>0.41</v>
      </c>
      <c r="F6675" s="1" t="n">
        <v>0.67</v>
      </c>
      <c r="G6675" s="1" t="n">
        <v>0.3</v>
      </c>
      <c r="H6675" s="1" t="n">
        <v>12</v>
      </c>
      <c r="I6675" s="1" t="n">
        <v>0.14</v>
      </c>
      <c r="J6675" t="n">
        <v>63223020</v>
      </c>
    </row>
    <row r="6676" ht="15.75" customHeight="1" s="201">
      <c r="A6676" s="1" t="inlineStr">
        <is>
          <t>SUBWAY, B.L.T. sub on white bread with bacon, lettuce and tomato</t>
        </is>
      </c>
      <c r="C6676" s="1" t="n">
        <v>26.66</v>
      </c>
      <c r="D6676" s="1" t="n">
        <v>89</v>
      </c>
      <c r="E6676" s="1" t="n">
        <v>2.14</v>
      </c>
      <c r="F6676" s="1" t="n">
        <v>10.06</v>
      </c>
      <c r="G6676" s="1" t="n">
        <v>6.41</v>
      </c>
      <c r="H6676" s="1" t="n">
        <v>70</v>
      </c>
      <c r="I6676" s="1" t="n">
        <v>0.96</v>
      </c>
      <c r="J6676" t="n">
        <v>75142550</v>
      </c>
    </row>
    <row r="6677" ht="15.75" customHeight="1" s="201">
      <c r="A6677" s="1" t="inlineStr">
        <is>
          <t>SUBWAY, black forest ham sub on white bread with lettuce and tomato</t>
        </is>
      </c>
      <c r="C6677" s="1" t="n">
        <v>22.91</v>
      </c>
      <c r="D6677" s="1" t="n">
        <v>72</v>
      </c>
      <c r="E6677" s="1" t="n">
        <v>1.78</v>
      </c>
      <c r="F6677" s="1" t="n">
        <v>9.119999999999999</v>
      </c>
      <c r="G6677" s="1" t="n">
        <v>2.53</v>
      </c>
      <c r="H6677" s="1" t="n">
        <v>41</v>
      </c>
      <c r="I6677" s="1" t="n">
        <v>0.88</v>
      </c>
      <c r="J6677" t="n">
        <v>75142550</v>
      </c>
    </row>
    <row r="6678" ht="15.75" customHeight="1" s="201">
      <c r="A6678" s="1" t="inlineStr">
        <is>
          <t>SUBWAY, cold cut sub on white bread with lettuce and tomato</t>
        </is>
      </c>
      <c r="C6678" s="1" t="n">
        <v>20.43</v>
      </c>
      <c r="D6678" s="1" t="n">
        <v>66</v>
      </c>
      <c r="E6678" s="1" t="n">
        <v>1.81</v>
      </c>
      <c r="F6678" s="1" t="n">
        <v>10.52</v>
      </c>
      <c r="G6678" s="1" t="n">
        <v>10.04</v>
      </c>
      <c r="H6678" s="1" t="n">
        <v>170</v>
      </c>
      <c r="I6678" s="1" t="n">
        <v>1.05</v>
      </c>
      <c r="J6678" t="n">
        <v>27560910</v>
      </c>
    </row>
    <row r="6679" ht="15.75" customHeight="1" s="201">
      <c r="A6679" s="1" t="inlineStr">
        <is>
          <t>SUBWAY, meatball marinara sub on white bread (no toppings)</t>
        </is>
      </c>
      <c r="C6679" s="1" t="n">
        <v>26.01</v>
      </c>
      <c r="D6679" s="1" t="n">
        <v>79</v>
      </c>
      <c r="E6679" s="1" t="n">
        <v>2.32</v>
      </c>
      <c r="F6679" s="1" t="n">
        <v>9.77</v>
      </c>
      <c r="G6679" s="1" t="n">
        <v>8.449999999999999</v>
      </c>
      <c r="H6679" s="1" t="n">
        <v>292</v>
      </c>
      <c r="I6679" s="1" t="n">
        <v>1.19</v>
      </c>
      <c r="J6679" t="n">
        <v>52405010</v>
      </c>
    </row>
    <row r="6680" ht="15.75" customHeight="1" s="201">
      <c r="A6680" s="1" t="inlineStr">
        <is>
          <t>SUBWAY, oven roasted chicken sub on white bread with lettuce and tomato</t>
        </is>
      </c>
      <c r="C6680" s="1" t="n">
        <v>21.35</v>
      </c>
      <c r="D6680" s="1" t="n">
        <v>68</v>
      </c>
      <c r="E6680" s="1" t="n">
        <v>1.72</v>
      </c>
      <c r="F6680" s="1" t="n">
        <v>10.84</v>
      </c>
      <c r="G6680" s="1" t="n">
        <v>3.15</v>
      </c>
      <c r="H6680" s="1" t="n">
        <v>64</v>
      </c>
      <c r="I6680" s="1" t="n">
        <v>0.66</v>
      </c>
      <c r="J6680" t="n">
        <v>27540291</v>
      </c>
    </row>
    <row r="6681" ht="15.75" customHeight="1" s="201">
      <c r="A6681" s="1" t="inlineStr">
        <is>
          <t>SUBWAY, roast beef sub on white bread with lettuce and tomato</t>
        </is>
      </c>
      <c r="C6681" s="1" t="n">
        <v>20.34</v>
      </c>
      <c r="D6681" s="1" t="n">
        <v>67</v>
      </c>
      <c r="E6681" s="1" t="n">
        <v>2.09</v>
      </c>
      <c r="F6681" s="1" t="n">
        <v>12.17</v>
      </c>
      <c r="G6681" s="1" t="n">
        <v>2.73</v>
      </c>
      <c r="H6681" s="1" t="n">
        <v>77</v>
      </c>
      <c r="I6681" s="1" t="n">
        <v>1.5</v>
      </c>
      <c r="J6681" t="n">
        <v>28110510</v>
      </c>
    </row>
    <row r="6682" ht="15.75" customHeight="1" s="201">
      <c r="A6682" s="1" t="inlineStr">
        <is>
          <t>SUBWAY, steak &amp; cheese sub on white bread with American cheese, lettuce and tomato</t>
        </is>
      </c>
      <c r="C6682" s="1" t="n">
        <v>21.49</v>
      </c>
      <c r="D6682" s="1" t="n">
        <v>63</v>
      </c>
      <c r="E6682" s="1" t="n">
        <v>2.02</v>
      </c>
      <c r="F6682" s="1" t="n">
        <v>12.29</v>
      </c>
      <c r="G6682" s="1" t="n">
        <v>5.34</v>
      </c>
      <c r="H6682" s="1" t="n">
        <v>87</v>
      </c>
      <c r="I6682" s="1" t="n">
        <v>1.98</v>
      </c>
      <c r="J6682" t="n">
        <v>51121065</v>
      </c>
    </row>
    <row r="6683" ht="15.75" customHeight="1" s="201">
      <c r="A6683" s="1" t="inlineStr">
        <is>
          <t>SUBWAY, SUBWAY CLUB sub on white bread with lettuce and tomato</t>
        </is>
      </c>
      <c r="C6683" s="1" t="n">
        <v>20.36</v>
      </c>
      <c r="D6683" s="1" t="n">
        <v>65</v>
      </c>
      <c r="E6683" s="1" t="n">
        <v>1.93</v>
      </c>
      <c r="F6683" s="1" t="n">
        <v>10.66</v>
      </c>
      <c r="G6683" s="1" t="n">
        <v>2.42</v>
      </c>
      <c r="H6683" s="1" t="n">
        <v>49</v>
      </c>
      <c r="I6683" s="1" t="n">
        <v>1.18</v>
      </c>
      <c r="J6683" t="n">
        <v>27540291</v>
      </c>
    </row>
    <row r="6684" ht="15.75" customHeight="1" s="201">
      <c r="A6684" s="1" t="inlineStr">
        <is>
          <t>SUBWAY, sweet onion chicken teriyaki sub on white bread with lettuce, tomato and sweet onion sauce</t>
        </is>
      </c>
      <c r="C6684" s="1" t="n">
        <v>22.54</v>
      </c>
      <c r="D6684" s="1" t="n">
        <v>58</v>
      </c>
      <c r="E6684" s="1" t="n">
        <v>1.52</v>
      </c>
      <c r="F6684" s="1" t="n">
        <v>10.91</v>
      </c>
      <c r="G6684" s="1" t="n">
        <v>2.37</v>
      </c>
      <c r="H6684" s="1" t="n">
        <v>56</v>
      </c>
      <c r="I6684" s="1" t="n">
        <v>0.64</v>
      </c>
      <c r="J6684" t="n">
        <v>27540291</v>
      </c>
    </row>
    <row r="6685" ht="15.75" customHeight="1" s="201">
      <c r="A6685" s="1" t="inlineStr">
        <is>
          <t>SUBWAY, tuna sub on white bread with lettuce and tomato</t>
        </is>
      </c>
      <c r="C6685" s="1" t="n">
        <v>15.95</v>
      </c>
      <c r="D6685" s="1" t="n">
        <v>51</v>
      </c>
      <c r="E6685" s="1" t="n">
        <v>1.57</v>
      </c>
      <c r="F6685" s="1" t="n">
        <v>12.33</v>
      </c>
      <c r="G6685" s="1" t="n">
        <v>12.04</v>
      </c>
      <c r="H6685" s="1" t="n">
        <v>78</v>
      </c>
      <c r="I6685" s="1" t="n">
        <v>0.67</v>
      </c>
      <c r="J6685" t="n">
        <v>75142550</v>
      </c>
    </row>
    <row r="6686" ht="15.75" customHeight="1" s="201">
      <c r="A6686" s="1" t="inlineStr">
        <is>
          <t>SUBWAY, turkey breast sub on white bread with lettuce and tomato</t>
        </is>
      </c>
      <c r="C6686" s="1" t="n">
        <v>22.42</v>
      </c>
      <c r="D6686" s="1" t="n">
        <v>66</v>
      </c>
      <c r="E6686" s="1" t="n">
        <v>1.84</v>
      </c>
      <c r="F6686" s="1" t="n">
        <v>9.119999999999999</v>
      </c>
      <c r="G6686" s="1" t="n">
        <v>2.31</v>
      </c>
      <c r="H6686" s="1" t="n">
        <v>47</v>
      </c>
      <c r="I6686" s="1" t="n">
        <v>0.66</v>
      </c>
      <c r="J6686" t="n">
        <v>27540350</v>
      </c>
    </row>
    <row r="6687" ht="15.75" customHeight="1" s="201">
      <c r="A6687" s="1" t="inlineStr">
        <is>
          <t>Succotash, (corn and limas), canned, with cream style corn</t>
        </is>
      </c>
      <c r="C6687" s="1" t="n">
        <v>17.61</v>
      </c>
      <c r="D6687" s="1" t="n">
        <v>44</v>
      </c>
      <c r="E6687" s="1" t="n">
        <v>0.55</v>
      </c>
      <c r="F6687" s="1" t="n">
        <v>2.64</v>
      </c>
      <c r="G6687" s="1" t="n">
        <v>0.54</v>
      </c>
      <c r="H6687" s="1" t="n">
        <v>141</v>
      </c>
      <c r="I6687" s="1" t="n">
        <v>0.43</v>
      </c>
      <c r="J6687" t="n">
        <v>75142550</v>
      </c>
    </row>
    <row r="6688" ht="15.75" customHeight="1" s="201">
      <c r="A6688" s="1" t="inlineStr">
        <is>
          <t>Succotash, (corn and limas), canned, with whole kernel corn, solids and liquids</t>
        </is>
      </c>
      <c r="C6688" s="1" t="n">
        <v>13.98</v>
      </c>
      <c r="D6688" s="1" t="n">
        <v>32</v>
      </c>
      <c r="E6688" s="1" t="n">
        <v>0.53</v>
      </c>
      <c r="F6688" s="1" t="n">
        <v>2.6</v>
      </c>
      <c r="G6688" s="1" t="n">
        <v>0.49</v>
      </c>
      <c r="H6688" s="1" t="n">
        <v>146</v>
      </c>
      <c r="I6688" s="1" t="n">
        <v>0.5</v>
      </c>
      <c r="J6688" t="n">
        <v>75142550</v>
      </c>
    </row>
    <row r="6689" ht="15.75" customHeight="1" s="201">
      <c r="A6689" s="1" t="inlineStr">
        <is>
          <t>Succotash, (corn and limas), cooked, boiled, drained, with salt</t>
        </is>
      </c>
      <c r="C6689" s="1" t="n">
        <v>24.37</v>
      </c>
      <c r="D6689" s="1" t="n">
        <v>33</v>
      </c>
      <c r="E6689" s="1" t="n">
        <v>1.52</v>
      </c>
      <c r="F6689" s="1" t="n">
        <v>5.07</v>
      </c>
      <c r="G6689" s="1" t="n">
        <v>0.8</v>
      </c>
      <c r="H6689" s="1" t="n">
        <v>294</v>
      </c>
      <c r="I6689" s="1" t="n">
        <v>0.63</v>
      </c>
      <c r="J6689" t="n">
        <v>75142550</v>
      </c>
    </row>
    <row r="6690" ht="15.75" customHeight="1" s="201">
      <c r="A6690" s="1" t="inlineStr">
        <is>
          <t>Succotash, (corn and limas), cooked, boiled, drained, without salt</t>
        </is>
      </c>
      <c r="C6690" s="1" t="n">
        <v>24.38</v>
      </c>
      <c r="D6690" s="1" t="n">
        <v>33</v>
      </c>
      <c r="E6690" s="1" t="n">
        <v>1.52</v>
      </c>
      <c r="F6690" s="1" t="n">
        <v>5.07</v>
      </c>
      <c r="G6690" s="1" t="n">
        <v>0.8</v>
      </c>
      <c r="H6690" s="1" t="n">
        <v>294</v>
      </c>
      <c r="I6690" s="1" t="n">
        <v>0.63</v>
      </c>
      <c r="J6690" t="n">
        <v>54401055</v>
      </c>
    </row>
    <row r="6691" ht="15.75" customHeight="1" s="201">
      <c r="A6691" s="1" t="inlineStr">
        <is>
          <t>Succotash, (corn and limas), frozen, cooked, boiled, drained, with salt</t>
        </is>
      </c>
      <c r="C6691" s="1" t="n">
        <v>19.95</v>
      </c>
      <c r="D6691" s="1" t="n">
        <v>33</v>
      </c>
      <c r="E6691" s="1" t="n">
        <v>0.89</v>
      </c>
      <c r="F6691" s="1" t="n">
        <v>4.31</v>
      </c>
      <c r="G6691" s="1" t="n">
        <v>0.89</v>
      </c>
      <c r="H6691" s="1" t="n">
        <v>194</v>
      </c>
      <c r="I6691" s="1" t="n">
        <v>0.45</v>
      </c>
      <c r="J6691" t="n">
        <v>75142550</v>
      </c>
    </row>
    <row r="6692" ht="15.75" customHeight="1" s="201">
      <c r="A6692" s="1" t="inlineStr">
        <is>
          <t>Succotash, (corn and limas), frozen, cooked, boiled, drained, without salt</t>
        </is>
      </c>
      <c r="C6692" s="1" t="n">
        <v>19.95</v>
      </c>
      <c r="D6692" s="1" t="n">
        <v>33</v>
      </c>
      <c r="E6692" s="1" t="n">
        <v>0.89</v>
      </c>
      <c r="F6692" s="1" t="n">
        <v>4.31</v>
      </c>
      <c r="G6692" s="1" t="n">
        <v>0.89</v>
      </c>
      <c r="H6692" s="1" t="n">
        <v>194</v>
      </c>
      <c r="I6692" s="1" t="n">
        <v>0.45</v>
      </c>
    </row>
    <row r="6693" ht="15.75" customHeight="1" s="201">
      <c r="A6693" s="1" t="inlineStr">
        <is>
          <t>Succotash, (corn and limas), frozen, unprepared</t>
        </is>
      </c>
      <c r="C6693" s="1" t="n">
        <v>19.94</v>
      </c>
      <c r="D6693" s="1" t="n">
        <v>42</v>
      </c>
      <c r="E6693" s="1" t="n">
        <v>0.9399999999999999</v>
      </c>
      <c r="F6693" s="1" t="n">
        <v>4.31</v>
      </c>
      <c r="G6693" s="1" t="n">
        <v>0.89</v>
      </c>
      <c r="H6693" s="1" t="n">
        <v>257</v>
      </c>
      <c r="I6693" s="1" t="n">
        <v>0.47</v>
      </c>
      <c r="J6693" t="n">
        <v>54401055</v>
      </c>
    </row>
    <row r="6694" ht="15.75" customHeight="1" s="201">
      <c r="A6694" s="1" t="inlineStr">
        <is>
          <t>Succotash, (corn and limas), raw</t>
        </is>
      </c>
      <c r="C6694" s="1" t="n">
        <v>19.59</v>
      </c>
      <c r="D6694" s="1" t="n">
        <v>40</v>
      </c>
      <c r="E6694" s="1" t="n">
        <v>1.83</v>
      </c>
      <c r="F6694" s="1" t="n">
        <v>5.03</v>
      </c>
      <c r="G6694" s="1" t="n">
        <v>1.02</v>
      </c>
      <c r="H6694" s="1" t="n">
        <v>292</v>
      </c>
      <c r="I6694" s="1" t="n">
        <v>0.61</v>
      </c>
      <c r="J6694" t="n">
        <v>54401055</v>
      </c>
    </row>
    <row r="6695" ht="15.75" customHeight="1" s="201">
      <c r="A6695" s="1" t="inlineStr">
        <is>
          <t>Sugar, turbinado</t>
        </is>
      </c>
      <c r="C6695" s="1" t="n">
        <v>99.8</v>
      </c>
      <c r="E6695" s="1" t="n">
        <v>0.37</v>
      </c>
      <c r="F6695" s="1" t="n">
        <v>0</v>
      </c>
      <c r="G6695" s="1" t="n">
        <v>0</v>
      </c>
      <c r="I6695" s="1" t="n">
        <v>0.03</v>
      </c>
      <c r="J6695" t="n">
        <v>42202100</v>
      </c>
    </row>
    <row r="6696" ht="15.75" customHeight="1" s="201">
      <c r="A6696" s="1" t="inlineStr">
        <is>
          <t>Sugar-apples, (sweetsop), raw</t>
        </is>
      </c>
      <c r="C6696" s="1" t="n">
        <v>23.64</v>
      </c>
      <c r="D6696" s="1" t="n">
        <v>14</v>
      </c>
      <c r="E6696" s="1" t="n">
        <v>0.6</v>
      </c>
      <c r="F6696" s="1" t="n">
        <v>2.06</v>
      </c>
      <c r="G6696" s="1" t="n">
        <v>0.29</v>
      </c>
      <c r="H6696" s="1" t="n">
        <v>6</v>
      </c>
      <c r="I6696" s="1" t="n">
        <v>0.1</v>
      </c>
      <c r="J6696" t="n">
        <v>42202100</v>
      </c>
    </row>
    <row r="6697" ht="15.75" customHeight="1" s="201">
      <c r="A6697" s="1" t="inlineStr">
        <is>
          <t>Sugars, brown</t>
        </is>
      </c>
      <c r="C6697" s="1" t="n">
        <v>98.09</v>
      </c>
      <c r="D6697" s="1" t="n">
        <v>1</v>
      </c>
      <c r="E6697" s="1" t="n">
        <v>0.71</v>
      </c>
      <c r="F6697" s="1" t="n">
        <v>0.12</v>
      </c>
      <c r="G6697" s="1" t="n">
        <v>0</v>
      </c>
      <c r="H6697" s="1" t="n">
        <v>0</v>
      </c>
      <c r="I6697" s="1" t="n">
        <v>0.03</v>
      </c>
      <c r="J6697" t="n">
        <v>25221405</v>
      </c>
    </row>
    <row r="6698" ht="15.75" customHeight="1" s="201">
      <c r="A6698" s="1" t="inlineStr">
        <is>
          <t>Sugars, granulated</t>
        </is>
      </c>
      <c r="C6698" s="1" t="n">
        <v>99.98</v>
      </c>
      <c r="D6698" s="1" t="n">
        <v>0</v>
      </c>
      <c r="E6698" s="1" t="n">
        <v>0.05</v>
      </c>
      <c r="F6698" s="1" t="n">
        <v>0</v>
      </c>
      <c r="G6698" s="1" t="n">
        <v>0</v>
      </c>
      <c r="H6698" s="1" t="n">
        <v>0</v>
      </c>
      <c r="I6698" s="1" t="n">
        <v>0.01</v>
      </c>
      <c r="J6698" t="n">
        <v>91101010</v>
      </c>
    </row>
    <row r="6699" ht="15.75" customHeight="1" s="201">
      <c r="A6699" s="1" t="inlineStr">
        <is>
          <t>Sugars, maple</t>
        </is>
      </c>
      <c r="C6699" s="1" t="n">
        <v>90.90000000000001</v>
      </c>
      <c r="D6699" s="1" t="n">
        <v>0</v>
      </c>
      <c r="E6699" s="1" t="n">
        <v>1.61</v>
      </c>
      <c r="F6699" s="1" t="n">
        <v>0.1</v>
      </c>
      <c r="G6699" s="1" t="n">
        <v>0.2</v>
      </c>
      <c r="H6699" s="1" t="n">
        <v>0</v>
      </c>
      <c r="I6699" s="1" t="n">
        <v>6.06</v>
      </c>
      <c r="J6699" t="n">
        <v>91300100</v>
      </c>
    </row>
    <row r="6700" ht="15.75" customHeight="1" s="201">
      <c r="A6700" s="1" t="inlineStr">
        <is>
          <t>Sugars, powdered</t>
        </is>
      </c>
      <c r="C6700" s="1" t="n">
        <v>99.77</v>
      </c>
      <c r="D6700" s="1" t="n">
        <v>0</v>
      </c>
      <c r="E6700" s="1" t="n">
        <v>0.06</v>
      </c>
      <c r="F6700" s="1" t="n">
        <v>0</v>
      </c>
      <c r="G6700" s="1" t="n">
        <v>0</v>
      </c>
      <c r="H6700" s="1" t="n">
        <v>0</v>
      </c>
      <c r="I6700" s="1" t="n">
        <v>0.01</v>
      </c>
      <c r="J6700" t="n">
        <v>92541010</v>
      </c>
    </row>
    <row r="6701" ht="15.75" customHeight="1" s="201">
      <c r="A6701" s="1" t="inlineStr">
        <is>
          <t>Sweet potato leaves, cooked, steamed, with salt</t>
        </is>
      </c>
      <c r="C6701" s="1" t="n">
        <v>7.38</v>
      </c>
      <c r="D6701" s="1" t="n">
        <v>49</v>
      </c>
      <c r="E6701" s="1" t="n">
        <v>0.63</v>
      </c>
      <c r="F6701" s="1" t="n">
        <v>2.18</v>
      </c>
      <c r="G6701" s="1" t="n">
        <v>0.34</v>
      </c>
      <c r="H6701" s="1" t="n">
        <v>2939</v>
      </c>
      <c r="I6701" s="1" t="n">
        <v>0.26</v>
      </c>
      <c r="J6701" t="n">
        <v>75142550</v>
      </c>
    </row>
    <row r="6702" ht="15.75" customHeight="1" s="201">
      <c r="A6702" s="1" t="inlineStr">
        <is>
          <t>Sweet potato leaves, cooked, steamed, without salt</t>
        </is>
      </c>
      <c r="C6702" s="1" t="n">
        <v>7.38</v>
      </c>
      <c r="D6702" s="1" t="n">
        <v>49</v>
      </c>
      <c r="E6702" s="1" t="n">
        <v>0.63</v>
      </c>
      <c r="F6702" s="1" t="n">
        <v>2.18</v>
      </c>
      <c r="G6702" s="1" t="n">
        <v>0.34</v>
      </c>
      <c r="H6702" s="1" t="n">
        <v>2939</v>
      </c>
      <c r="I6702" s="1" t="n">
        <v>0.26</v>
      </c>
      <c r="J6702" t="n">
        <v>71102990</v>
      </c>
    </row>
    <row r="6703" ht="15.75" customHeight="1" s="201">
      <c r="A6703" s="1" t="inlineStr">
        <is>
          <t>Sweet potato leaves, raw</t>
        </is>
      </c>
      <c r="C6703" s="1" t="n">
        <v>8.82</v>
      </c>
      <c r="E6703" s="1" t="n">
        <v>0.97</v>
      </c>
      <c r="F6703" s="1" t="n">
        <v>2.49</v>
      </c>
      <c r="G6703" s="1" t="n">
        <v>0.51</v>
      </c>
      <c r="H6703" s="1" t="n">
        <v>3778</v>
      </c>
      <c r="J6703" t="n">
        <v>73409000</v>
      </c>
    </row>
    <row r="6704" ht="15.75" customHeight="1" s="201">
      <c r="A6704" s="1" t="inlineStr">
        <is>
          <t>Sweet Potato puffs, frozen, unprepared</t>
        </is>
      </c>
      <c r="C6704" s="1" t="n">
        <v>30.72</v>
      </c>
      <c r="E6704" s="1" t="n">
        <v>0.4</v>
      </c>
      <c r="F6704" s="1" t="n">
        <v>1.36</v>
      </c>
      <c r="G6704" s="1" t="n">
        <v>3.58</v>
      </c>
      <c r="H6704" s="1" t="n">
        <v>3000</v>
      </c>
      <c r="J6704" t="n">
        <v>73420000</v>
      </c>
    </row>
    <row r="6705" ht="15.75" customHeight="1" s="201">
      <c r="A6705" s="1" t="inlineStr">
        <is>
          <t>Sweet potato, canned, mashed</t>
        </is>
      </c>
      <c r="C6705" s="1" t="n">
        <v>23.19</v>
      </c>
      <c r="D6705" s="1" t="n">
        <v>11</v>
      </c>
      <c r="E6705" s="1" t="n">
        <v>1.33</v>
      </c>
      <c r="F6705" s="1" t="n">
        <v>1.98</v>
      </c>
      <c r="G6705" s="1" t="n">
        <v>0.2</v>
      </c>
      <c r="H6705" s="1" t="n">
        <v>8699</v>
      </c>
      <c r="I6705" s="1" t="n">
        <v>0.21</v>
      </c>
      <c r="J6705" t="n">
        <v>73409000</v>
      </c>
    </row>
    <row r="6706" ht="15.75" customHeight="1" s="201">
      <c r="A6706" s="1" t="inlineStr">
        <is>
          <t>Sweet potato, canned, syrup pack, drained solids</t>
        </is>
      </c>
      <c r="C6706" s="1" t="n">
        <v>25.36</v>
      </c>
      <c r="D6706" s="1" t="n">
        <v>8</v>
      </c>
      <c r="E6706" s="1" t="n">
        <v>0.95</v>
      </c>
      <c r="F6706" s="1" t="n">
        <v>1.28</v>
      </c>
      <c r="G6706" s="1" t="n">
        <v>0.32</v>
      </c>
      <c r="H6706" s="1" t="n">
        <v>9169</v>
      </c>
      <c r="I6706" s="1" t="n">
        <v>0.16</v>
      </c>
      <c r="J6706" t="n">
        <v>53109200</v>
      </c>
    </row>
    <row r="6707" ht="15.75" customHeight="1" s="201">
      <c r="A6707" s="1" t="inlineStr">
        <is>
          <t>Sweet potato, canned, syrup pack, solids and liquids</t>
        </is>
      </c>
      <c r="C6707" s="1" t="n">
        <v>20.93</v>
      </c>
      <c r="D6707" s="1" t="n">
        <v>7</v>
      </c>
      <c r="E6707" s="1" t="n">
        <v>0.8</v>
      </c>
      <c r="F6707" s="1" t="n">
        <v>0.98</v>
      </c>
      <c r="G6707" s="1" t="n">
        <v>0.2</v>
      </c>
      <c r="H6707" s="1" t="n">
        <v>7530</v>
      </c>
      <c r="I6707" s="1" t="n">
        <v>0.19</v>
      </c>
      <c r="J6707" t="n">
        <v>53109200</v>
      </c>
    </row>
    <row r="6708" ht="15.75" customHeight="1" s="201">
      <c r="A6708" s="1" t="inlineStr">
        <is>
          <t>Sweet potato, canned, vacuum pack</t>
        </is>
      </c>
      <c r="C6708" s="1" t="n">
        <v>21.12</v>
      </c>
      <c r="D6708" s="1" t="n">
        <v>17</v>
      </c>
      <c r="E6708" s="1" t="n">
        <v>0.89</v>
      </c>
      <c r="F6708" s="1" t="n">
        <v>1.65</v>
      </c>
      <c r="G6708" s="1" t="n">
        <v>0.2</v>
      </c>
      <c r="H6708" s="1" t="n">
        <v>7983</v>
      </c>
      <c r="I6708" s="1" t="n">
        <v>0.18</v>
      </c>
      <c r="J6708" t="n">
        <v>53109200</v>
      </c>
    </row>
    <row r="6709" ht="15.75" customHeight="1" s="201">
      <c r="A6709" s="1" t="inlineStr">
        <is>
          <t>Sweet potato, cooked, baked in skin, flesh, with salt</t>
        </is>
      </c>
      <c r="C6709" s="1" t="n">
        <v>20.71</v>
      </c>
      <c r="D6709" s="1" t="n">
        <v>6</v>
      </c>
      <c r="E6709" s="1" t="n">
        <v>0.6899999999999999</v>
      </c>
      <c r="F6709" s="1" t="n">
        <v>2.01</v>
      </c>
      <c r="G6709" s="1" t="n">
        <v>0.15</v>
      </c>
      <c r="I6709" s="1" t="n">
        <v>0.32</v>
      </c>
      <c r="J6709" t="n">
        <v>75142550</v>
      </c>
    </row>
    <row r="6710" ht="15.75" customHeight="1" s="201">
      <c r="A6710" s="1" t="inlineStr">
        <is>
          <t>Sweet potato, cooked, baked in skin, flesh, without salt</t>
        </is>
      </c>
      <c r="C6710" s="1" t="n">
        <v>20.71</v>
      </c>
      <c r="D6710" s="1" t="n">
        <v>6</v>
      </c>
      <c r="E6710" s="1" t="n">
        <v>0.6899999999999999</v>
      </c>
      <c r="F6710" s="1" t="n">
        <v>2.01</v>
      </c>
      <c r="G6710" s="1" t="n">
        <v>0.15</v>
      </c>
      <c r="H6710" s="1" t="n">
        <v>19218</v>
      </c>
      <c r="I6710" s="1" t="n">
        <v>0.32</v>
      </c>
      <c r="J6710" t="n">
        <v>51160000</v>
      </c>
    </row>
    <row r="6711" ht="15.75" customHeight="1" s="201">
      <c r="A6711" s="1" t="inlineStr">
        <is>
          <t>Sweet potato, cooked, boiled, without skin</t>
        </is>
      </c>
      <c r="C6711" s="1" t="n">
        <v>17.72</v>
      </c>
      <c r="D6711" s="1" t="n">
        <v>6</v>
      </c>
      <c r="E6711" s="1" t="n">
        <v>0.72</v>
      </c>
      <c r="F6711" s="1" t="n">
        <v>1.37</v>
      </c>
      <c r="G6711" s="1" t="n">
        <v>0.14</v>
      </c>
      <c r="H6711" s="1" t="n">
        <v>15740</v>
      </c>
      <c r="I6711" s="1" t="n">
        <v>0.2</v>
      </c>
      <c r="J6711" t="n">
        <v>71102990</v>
      </c>
    </row>
    <row r="6712" ht="15.75" customHeight="1" s="201">
      <c r="A6712" s="1" t="inlineStr">
        <is>
          <t>Sweet potato, cooked, boiled, without skin, with salt</t>
        </is>
      </c>
      <c r="C6712" s="1" t="n">
        <v>17.72</v>
      </c>
      <c r="D6712" s="1" t="n">
        <v>6</v>
      </c>
      <c r="E6712" s="1" t="n">
        <v>0.72</v>
      </c>
      <c r="F6712" s="1" t="n">
        <v>1.37</v>
      </c>
      <c r="G6712" s="1" t="n">
        <v>0.14</v>
      </c>
      <c r="H6712" s="1" t="n">
        <v>15740</v>
      </c>
      <c r="I6712" s="1" t="n">
        <v>0.2</v>
      </c>
      <c r="J6712" t="n">
        <v>75142550</v>
      </c>
    </row>
    <row r="6713" ht="15.75" customHeight="1" s="201">
      <c r="A6713" s="1" t="inlineStr">
        <is>
          <t>Sweet potato, cooked, candied, home-prepared</t>
        </is>
      </c>
      <c r="C6713" s="1" t="n">
        <v>32.12</v>
      </c>
      <c r="D6713" s="1" t="n">
        <v>6</v>
      </c>
      <c r="E6713" s="1" t="n">
        <v>0.79</v>
      </c>
      <c r="F6713" s="1" t="n">
        <v>0.89</v>
      </c>
      <c r="G6713" s="1" t="n">
        <v>3.54</v>
      </c>
      <c r="H6713" s="1" t="n">
        <v>6524</v>
      </c>
      <c r="I6713" s="1" t="n">
        <v>0.17</v>
      </c>
      <c r="J6713" t="n">
        <v>73409000</v>
      </c>
    </row>
    <row r="6714" ht="15.75" customHeight="1" s="201">
      <c r="A6714" s="1" t="inlineStr">
        <is>
          <t>Sweet potato, frozen, cooked, baked, with salt</t>
        </is>
      </c>
      <c r="C6714" s="1" t="n">
        <v>23.4</v>
      </c>
      <c r="D6714" s="1" t="n">
        <v>22</v>
      </c>
      <c r="E6714" s="1" t="n">
        <v>0.54</v>
      </c>
      <c r="F6714" s="1" t="n">
        <v>1.71</v>
      </c>
      <c r="G6714" s="1" t="n">
        <v>0.12</v>
      </c>
      <c r="H6714" s="1" t="n">
        <v>16410</v>
      </c>
      <c r="I6714" s="1" t="n">
        <v>0.3</v>
      </c>
      <c r="J6714" t="n">
        <v>75142550</v>
      </c>
    </row>
    <row r="6715" ht="15.75" customHeight="1" s="201">
      <c r="A6715" s="1" t="inlineStr">
        <is>
          <t>Sweet potato, frozen, cooked, baked, without salt</t>
        </is>
      </c>
      <c r="C6715" s="1" t="n">
        <v>23.4</v>
      </c>
      <c r="D6715" s="1" t="n">
        <v>22</v>
      </c>
      <c r="E6715" s="1" t="n">
        <v>0.54</v>
      </c>
      <c r="F6715" s="1" t="n">
        <v>1.71</v>
      </c>
      <c r="G6715" s="1" t="n">
        <v>0.12</v>
      </c>
      <c r="H6715" s="1" t="n">
        <v>20870</v>
      </c>
      <c r="I6715" s="1" t="n">
        <v>0.3</v>
      </c>
      <c r="J6715" t="n">
        <v>71102990</v>
      </c>
    </row>
    <row r="6716" ht="15.75" customHeight="1" s="201">
      <c r="A6716" s="1" t="inlineStr">
        <is>
          <t>Sweet potato, frozen, unprepared (Includes foods for USDA's Food Distribution Program)</t>
        </is>
      </c>
      <c r="C6716" s="1" t="n">
        <v>22.22</v>
      </c>
      <c r="D6716" s="1" t="n">
        <v>21</v>
      </c>
      <c r="E6716" s="1" t="n">
        <v>0.53</v>
      </c>
      <c r="F6716" s="1" t="n">
        <v>1.71</v>
      </c>
      <c r="G6716" s="1" t="n">
        <v>0.18</v>
      </c>
      <c r="H6716" s="1" t="n">
        <v>10367</v>
      </c>
      <c r="I6716" s="1" t="n">
        <v>0.31</v>
      </c>
      <c r="J6716" t="n">
        <v>76409010</v>
      </c>
    </row>
    <row r="6717" ht="15.75" customHeight="1" s="201">
      <c r="A6717" s="1" t="inlineStr">
        <is>
          <t>Sweet potato, raw, unprepared (Includes foods for USDA's Food Distribution Program)</t>
        </is>
      </c>
      <c r="C6717" s="1" t="n">
        <v>20.12</v>
      </c>
      <c r="D6717" s="1" t="n">
        <v>11</v>
      </c>
      <c r="E6717" s="1" t="n">
        <v>0.61</v>
      </c>
      <c r="F6717" s="1" t="n">
        <v>1.57</v>
      </c>
      <c r="G6717" s="1" t="n">
        <v>0.05</v>
      </c>
      <c r="H6717" s="1" t="n">
        <v>14187</v>
      </c>
      <c r="I6717" s="1" t="n">
        <v>0.3</v>
      </c>
      <c r="J6717" t="n">
        <v>76409010</v>
      </c>
    </row>
    <row r="6718" ht="15.75" customHeight="1" s="201">
      <c r="A6718" s="1" t="inlineStr">
        <is>
          <t>Sweet Potatoes, french fried, crosscut, frozen, unprepared</t>
        </is>
      </c>
      <c r="C6718" s="1" t="n">
        <v>25.52</v>
      </c>
      <c r="E6718" s="1" t="n">
        <v>0.44</v>
      </c>
      <c r="F6718" s="1" t="n">
        <v>1.7</v>
      </c>
      <c r="G6718" s="1" t="n">
        <v>11.1</v>
      </c>
      <c r="H6718" s="1" t="n">
        <v>3320</v>
      </c>
      <c r="J6718" t="n">
        <v>28141010</v>
      </c>
    </row>
    <row r="6719" ht="15.75" customHeight="1" s="201">
      <c r="A6719" s="1" t="inlineStr">
        <is>
          <t>Sweet Potatoes, french fried, frozen as packaged, salt added in processing</t>
        </is>
      </c>
      <c r="C6719" s="1" t="n">
        <v>35.58</v>
      </c>
      <c r="D6719" s="1" t="n">
        <v>32</v>
      </c>
      <c r="E6719" s="1" t="n">
        <v>0.77</v>
      </c>
      <c r="F6719" s="1" t="n">
        <v>2.16</v>
      </c>
      <c r="G6719" s="1" t="n">
        <v>8.92</v>
      </c>
      <c r="H6719" s="1" t="n">
        <v>8674</v>
      </c>
      <c r="I6719" s="1" t="n">
        <v>0.38</v>
      </c>
      <c r="J6719" t="n">
        <v>28141010</v>
      </c>
    </row>
    <row r="6720" ht="15.75" customHeight="1" s="201">
      <c r="A6720" s="1" t="inlineStr">
        <is>
          <t>Sweet rolls, cinnamon, refrigerated dough with frosting</t>
        </is>
      </c>
      <c r="C6720" s="1" t="n">
        <v>51.6</v>
      </c>
      <c r="D6720" s="1" t="n">
        <v>50</v>
      </c>
      <c r="E6720" s="1" t="n">
        <v>2.44</v>
      </c>
      <c r="F6720" s="1" t="n">
        <v>5</v>
      </c>
      <c r="G6720" s="1" t="n">
        <v>12.2</v>
      </c>
      <c r="H6720" s="1" t="n">
        <v>2</v>
      </c>
      <c r="I6720" s="1" t="n">
        <v>0.31</v>
      </c>
      <c r="J6720" t="n">
        <v>75142550</v>
      </c>
    </row>
    <row r="6721" ht="15.75" customHeight="1" s="201">
      <c r="A6721" s="1" t="inlineStr">
        <is>
          <t>Sweet rolls, cinnamon, refrigerated dough with frosting, baked</t>
        </is>
      </c>
      <c r="C6721" s="1" t="n">
        <v>56.1</v>
      </c>
      <c r="D6721" s="1" t="n">
        <v>55</v>
      </c>
      <c r="E6721" s="1" t="n">
        <v>2.65</v>
      </c>
      <c r="F6721" s="1" t="n">
        <v>5.4</v>
      </c>
      <c r="G6721" s="1" t="n">
        <v>13.2</v>
      </c>
      <c r="H6721" s="1" t="n">
        <v>2</v>
      </c>
      <c r="I6721" s="1" t="n">
        <v>0.34</v>
      </c>
      <c r="J6721" t="n">
        <v>75142550</v>
      </c>
    </row>
    <row r="6722" ht="15.75" customHeight="1" s="201">
      <c r="A6722" s="1" t="inlineStr">
        <is>
          <t>Sweetener, herbal extract powder from Stevia leaf</t>
        </is>
      </c>
      <c r="C6722" s="1" t="n">
        <v>100</v>
      </c>
      <c r="D6722" s="1" t="n">
        <v>0</v>
      </c>
      <c r="E6722" s="1" t="n">
        <v>0</v>
      </c>
      <c r="F6722" s="1" t="n">
        <v>0</v>
      </c>
      <c r="G6722" s="1" t="n">
        <v>0</v>
      </c>
      <c r="H6722" s="1" t="n">
        <v>0</v>
      </c>
      <c r="I6722" s="1" t="n">
        <v>0</v>
      </c>
      <c r="J6722" t="n">
        <v>92308500</v>
      </c>
    </row>
    <row r="6723" ht="15.75" customHeight="1" s="201">
      <c r="A6723" s="1" t="inlineStr">
        <is>
          <t>Sweetener, syrup, agave</t>
        </is>
      </c>
      <c r="C6723" s="1" t="n">
        <v>76.37</v>
      </c>
      <c r="D6723" s="1" t="n">
        <v>30</v>
      </c>
      <c r="E6723" s="1" t="n">
        <v>0.09</v>
      </c>
      <c r="F6723" s="1" t="n">
        <v>0.09</v>
      </c>
      <c r="G6723" s="1" t="n">
        <v>0.45</v>
      </c>
      <c r="H6723" s="1" t="n">
        <v>156</v>
      </c>
      <c r="I6723" s="1" t="n">
        <v>0.01</v>
      </c>
      <c r="J6723" t="n">
        <v>91302020</v>
      </c>
    </row>
    <row r="6724" ht="15.75" customHeight="1" s="201">
      <c r="A6724" s="1" t="inlineStr">
        <is>
          <t>Sweeteners, for baking, brown, contains sugar and sucralose</t>
        </is>
      </c>
      <c r="C6724" s="1" t="n">
        <v>97.11</v>
      </c>
      <c r="E6724" s="1" t="n">
        <v>1.64</v>
      </c>
      <c r="F6724" s="1" t="n">
        <v>0</v>
      </c>
      <c r="G6724" s="1" t="n">
        <v>0</v>
      </c>
      <c r="I6724" s="1" t="n">
        <v>0.08</v>
      </c>
      <c r="J6724" t="n">
        <v>42202100</v>
      </c>
    </row>
    <row r="6725" ht="15.75" customHeight="1" s="201">
      <c r="A6725" s="1" t="inlineStr">
        <is>
          <t>Sweeteners, for baking, contains sugar and sucralose</t>
        </is>
      </c>
      <c r="C6725" s="1" t="n">
        <v>99.53</v>
      </c>
      <c r="E6725" s="1" t="n">
        <v>0.06</v>
      </c>
      <c r="F6725" s="1" t="n">
        <v>0</v>
      </c>
      <c r="G6725" s="1" t="n">
        <v>0</v>
      </c>
      <c r="I6725" s="1" t="n">
        <v>0.01</v>
      </c>
      <c r="J6725" t="n">
        <v>42202100</v>
      </c>
    </row>
    <row r="6726" ht="15.75" customHeight="1" s="201">
      <c r="A6726" s="1" t="inlineStr">
        <is>
          <t>Sweeteners, sugar substitute, granulated, brown</t>
        </is>
      </c>
      <c r="C6726" s="1" t="n">
        <v>84.77</v>
      </c>
      <c r="E6726" s="1" t="n">
        <v>0.16</v>
      </c>
      <c r="F6726" s="1" t="n">
        <v>2.06</v>
      </c>
      <c r="G6726" s="1" t="n">
        <v>0</v>
      </c>
      <c r="I6726" s="1" t="n">
        <v>0.04</v>
      </c>
      <c r="J6726" t="n">
        <v>42202100</v>
      </c>
    </row>
    <row r="6727" ht="15.75" customHeight="1" s="201">
      <c r="A6727" s="1" t="inlineStr">
        <is>
          <t>Sweeteners, tabletop, aspartame, EQUAL, packets</t>
        </is>
      </c>
      <c r="C6727" s="1" t="n">
        <v>89.08</v>
      </c>
      <c r="D6727" s="1" t="n">
        <v>0</v>
      </c>
      <c r="E6727" s="1" t="n">
        <v>0.04</v>
      </c>
      <c r="F6727" s="1" t="n">
        <v>2.17</v>
      </c>
      <c r="G6727" s="1" t="n">
        <v>0</v>
      </c>
      <c r="H6727" s="1" t="n">
        <v>0</v>
      </c>
      <c r="I6727" s="1" t="n">
        <v>0.01</v>
      </c>
    </row>
    <row r="6728" ht="15.75" customHeight="1" s="201">
      <c r="A6728" s="1" t="inlineStr">
        <is>
          <t>Sweeteners, tabletop, fructose, dry, powder</t>
        </is>
      </c>
      <c r="C6728" s="1" t="n">
        <v>100</v>
      </c>
      <c r="D6728" s="1" t="n">
        <v>0</v>
      </c>
      <c r="E6728" s="1" t="n">
        <v>0.1</v>
      </c>
      <c r="F6728" s="1" t="n">
        <v>0</v>
      </c>
      <c r="G6728" s="1" t="n">
        <v>0</v>
      </c>
      <c r="H6728" s="1" t="n">
        <v>0</v>
      </c>
      <c r="I6728" s="1" t="n">
        <v>0</v>
      </c>
      <c r="J6728" t="n">
        <v>12210420</v>
      </c>
    </row>
    <row r="6729" ht="15.75" customHeight="1" s="201">
      <c r="A6729" s="1" t="inlineStr">
        <is>
          <t>Sweeteners, tabletop, fructose, liquid</t>
        </is>
      </c>
      <c r="C6729" s="1" t="n">
        <v>76.09999999999999</v>
      </c>
      <c r="D6729" s="1" t="n">
        <v>0</v>
      </c>
      <c r="E6729" s="1" t="n">
        <v>0.11</v>
      </c>
      <c r="F6729" s="1" t="n">
        <v>0</v>
      </c>
      <c r="G6729" s="1" t="n">
        <v>0</v>
      </c>
      <c r="H6729" s="1" t="n">
        <v>0</v>
      </c>
      <c r="I6729" s="1" t="n">
        <v>0.09</v>
      </c>
      <c r="J6729" t="n">
        <v>95120050</v>
      </c>
    </row>
    <row r="6730" ht="15.75" customHeight="1" s="201">
      <c r="A6730" s="1" t="inlineStr">
        <is>
          <t>Sweeteners, tabletop, saccharin (sodium saccharin)</t>
        </is>
      </c>
      <c r="C6730" s="1" t="n">
        <v>89.11</v>
      </c>
      <c r="D6730" s="1" t="n">
        <v>0</v>
      </c>
      <c r="E6730" s="1" t="n">
        <v>0.04</v>
      </c>
      <c r="F6730" s="1" t="n">
        <v>0.9399999999999999</v>
      </c>
      <c r="G6730" s="1" t="n">
        <v>0</v>
      </c>
      <c r="H6730" s="1" t="n">
        <v>0</v>
      </c>
      <c r="I6730" s="1" t="n">
        <v>0.01</v>
      </c>
      <c r="J6730" t="n">
        <v>54204030</v>
      </c>
    </row>
    <row r="6731" ht="15.75" customHeight="1" s="201">
      <c r="A6731" s="1" t="inlineStr">
        <is>
          <t>Sweeteners, tabletop, sucralose, SPLENDA packets</t>
        </is>
      </c>
      <c r="C6731" s="1" t="n">
        <v>91.17</v>
      </c>
      <c r="D6731" s="1" t="n">
        <v>0</v>
      </c>
      <c r="E6731" s="1" t="n">
        <v>0</v>
      </c>
      <c r="F6731" s="1" t="n">
        <v>0</v>
      </c>
      <c r="G6731" s="1" t="n">
        <v>0</v>
      </c>
      <c r="H6731" s="1" t="n">
        <v>0</v>
      </c>
      <c r="I6731" s="1" t="n">
        <v>0</v>
      </c>
    </row>
    <row r="6732" ht="15.75" customHeight="1" s="201">
      <c r="A6732" s="1" t="inlineStr">
        <is>
          <t>Swisswurst, pork and beef, with swiss cheese, smoked</t>
        </is>
      </c>
      <c r="C6732" s="1" t="n">
        <v>1.6</v>
      </c>
      <c r="D6732" s="1" t="n">
        <v>3</v>
      </c>
      <c r="E6732" s="1" t="n">
        <v>0.72</v>
      </c>
      <c r="F6732" s="1" t="n">
        <v>12.69</v>
      </c>
      <c r="G6732" s="1" t="n">
        <v>27.37</v>
      </c>
      <c r="H6732" s="1" t="n">
        <v>334</v>
      </c>
      <c r="I6732" s="1" t="n">
        <v>2.25</v>
      </c>
      <c r="J6732" t="n">
        <v>51121065</v>
      </c>
    </row>
    <row r="6733" ht="15.75" customHeight="1" s="201">
      <c r="A6733" s="1" t="inlineStr">
        <is>
          <t>Syrup, Cane</t>
        </is>
      </c>
      <c r="C6733" s="1" t="n">
        <v>73.14</v>
      </c>
      <c r="D6733" s="1" t="n">
        <v>0</v>
      </c>
      <c r="E6733" s="1" t="n">
        <v>3.6</v>
      </c>
      <c r="F6733" s="1" t="n">
        <v>0</v>
      </c>
      <c r="G6733" s="1" t="n">
        <v>0</v>
      </c>
      <c r="H6733" s="1" t="n">
        <v>0</v>
      </c>
      <c r="I6733" s="1" t="n">
        <v>0.19</v>
      </c>
      <c r="J6733" t="n">
        <v>91300100</v>
      </c>
    </row>
    <row r="6734" ht="15.75" customHeight="1" s="201">
      <c r="A6734" s="1" t="inlineStr">
        <is>
          <t>Syrup, fruit flavored</t>
        </is>
      </c>
      <c r="C6734" s="1" t="n">
        <v>65.09999999999999</v>
      </c>
      <c r="D6734" s="1" t="n">
        <v>0</v>
      </c>
      <c r="E6734" s="1" t="n">
        <v>0.03</v>
      </c>
      <c r="F6734" s="1" t="n">
        <v>0</v>
      </c>
      <c r="G6734" s="1" t="n">
        <v>0.02</v>
      </c>
      <c r="H6734" s="1" t="n">
        <v>0</v>
      </c>
      <c r="I6734" s="1" t="n">
        <v>0.06</v>
      </c>
      <c r="J6734" t="n">
        <v>91708030</v>
      </c>
    </row>
    <row r="6735" ht="15.75" customHeight="1" s="201">
      <c r="A6735" s="1" t="inlineStr">
        <is>
          <t>Syrup, maple, Canadian</t>
        </is>
      </c>
      <c r="C6735" s="1" t="n">
        <v>67.38</v>
      </c>
      <c r="E6735" s="1" t="n">
        <v>0.11</v>
      </c>
      <c r="F6735" s="1" t="n">
        <v>0</v>
      </c>
      <c r="G6735" s="1" t="n">
        <v>0</v>
      </c>
      <c r="H6735" s="1" t="n">
        <v>0</v>
      </c>
      <c r="I6735" s="1" t="n">
        <v>0.7</v>
      </c>
      <c r="J6735" t="n">
        <v>91300100</v>
      </c>
    </row>
    <row r="6736" ht="15.75" customHeight="1" s="201">
      <c r="A6736" s="1" t="inlineStr">
        <is>
          <t>Syrup, NESTLE, chocolate</t>
        </is>
      </c>
      <c r="C6736" s="1" t="n">
        <v>67.20999999999999</v>
      </c>
      <c r="D6736" s="1" t="n">
        <v>3</v>
      </c>
      <c r="E6736" s="1" t="n">
        <v>0</v>
      </c>
      <c r="F6736" s="1" t="n">
        <v>0</v>
      </c>
      <c r="G6736" s="1" t="n">
        <v>0</v>
      </c>
      <c r="H6736" s="1" t="n">
        <v>0</v>
      </c>
      <c r="I6736" s="1" t="n">
        <v>0.55</v>
      </c>
      <c r="J6736" t="n">
        <v>53108200</v>
      </c>
    </row>
    <row r="6737" ht="15.75" customHeight="1" s="201">
      <c r="A6737" s="1" t="inlineStr">
        <is>
          <t>Syrups, chocolate, fudge-type</t>
        </is>
      </c>
      <c r="C6737" s="1" t="n">
        <v>62.9</v>
      </c>
      <c r="D6737" s="1" t="n">
        <v>4</v>
      </c>
      <c r="E6737" s="1" t="n">
        <v>1.3</v>
      </c>
      <c r="F6737" s="1" t="n">
        <v>4.6</v>
      </c>
      <c r="G6737" s="1" t="n">
        <v>8.9</v>
      </c>
      <c r="H6737" s="1" t="n">
        <v>2</v>
      </c>
      <c r="I6737" s="1" t="n">
        <v>0.83</v>
      </c>
      <c r="J6737" t="n">
        <v>53108200</v>
      </c>
    </row>
    <row r="6738" ht="15.75" customHeight="1" s="201">
      <c r="A6738" s="1" t="inlineStr">
        <is>
          <t>Syrups, chocolate, HERSHEY'S Genuine Chocolate Flavored Lite Syrup</t>
        </is>
      </c>
      <c r="C6738" s="1" t="n">
        <v>34.56</v>
      </c>
      <c r="D6738" s="1" t="n">
        <v>2</v>
      </c>
      <c r="E6738" s="1" t="n">
        <v>0</v>
      </c>
      <c r="F6738" s="1" t="n">
        <v>1.4</v>
      </c>
      <c r="G6738" s="1" t="n">
        <v>0.97</v>
      </c>
      <c r="H6738" s="1" t="n">
        <v>0</v>
      </c>
      <c r="I6738" s="1" t="n">
        <v>0.48</v>
      </c>
      <c r="J6738" t="n">
        <v>53108200</v>
      </c>
    </row>
    <row r="6739" ht="15.75" customHeight="1" s="201">
      <c r="A6739" s="1" t="inlineStr">
        <is>
          <t>Syrups, chocolate, HERSHEY'S Sugar free, Genuine Chocolate Flavored, Lite Syrup</t>
        </is>
      </c>
      <c r="C6739" s="1" t="n">
        <v>14.2</v>
      </c>
      <c r="D6739" s="1" t="n">
        <v>5</v>
      </c>
      <c r="E6739" s="1" t="n">
        <v>2.06</v>
      </c>
      <c r="F6739" s="1" t="n">
        <v>2.87</v>
      </c>
      <c r="G6739" s="1" t="n">
        <v>2.03</v>
      </c>
      <c r="H6739" s="1" t="n">
        <v>0</v>
      </c>
      <c r="I6739" s="1" t="n">
        <v>0.99</v>
      </c>
      <c r="J6739" t="n">
        <v>53108200</v>
      </c>
    </row>
    <row r="6740" ht="15.75" customHeight="1" s="201">
      <c r="A6740" s="1" t="inlineStr">
        <is>
          <t>Syrups, corn, dark</t>
        </is>
      </c>
      <c r="C6740" s="1" t="n">
        <v>77.59</v>
      </c>
      <c r="D6740" s="1" t="n">
        <v>0</v>
      </c>
      <c r="E6740" s="1" t="n">
        <v>0.37</v>
      </c>
      <c r="F6740" s="1" t="n">
        <v>0</v>
      </c>
      <c r="G6740" s="1" t="n">
        <v>0</v>
      </c>
      <c r="H6740" s="1" t="n">
        <v>0</v>
      </c>
      <c r="I6740" s="1" t="n">
        <v>0.04</v>
      </c>
      <c r="J6740" t="n">
        <v>54401055</v>
      </c>
    </row>
    <row r="6741" ht="15.75" customHeight="1" s="201">
      <c r="A6741" s="1" t="inlineStr">
        <is>
          <t>Syrups, corn, high-fructose</t>
        </is>
      </c>
      <c r="C6741" s="1" t="n">
        <v>76</v>
      </c>
      <c r="D6741" s="1" t="n">
        <v>0</v>
      </c>
      <c r="E6741" s="1" t="n">
        <v>0.03</v>
      </c>
      <c r="F6741" s="1" t="n">
        <v>0</v>
      </c>
      <c r="G6741" s="1" t="n">
        <v>0</v>
      </c>
      <c r="H6741" s="1" t="n">
        <v>0</v>
      </c>
      <c r="I6741" s="1" t="n">
        <v>0.02</v>
      </c>
      <c r="J6741" t="n">
        <v>54401055</v>
      </c>
    </row>
    <row r="6742" ht="15.75" customHeight="1" s="201">
      <c r="A6742" s="1" t="inlineStr">
        <is>
          <t>Syrups, corn, light</t>
        </is>
      </c>
      <c r="C6742" s="1" t="n">
        <v>76.79000000000001</v>
      </c>
      <c r="D6742" s="1" t="n">
        <v>0</v>
      </c>
      <c r="E6742" s="1" t="n">
        <v>0</v>
      </c>
      <c r="F6742" s="1" t="n">
        <v>0</v>
      </c>
      <c r="G6742" s="1" t="n">
        <v>0.2</v>
      </c>
      <c r="H6742" s="1" t="n">
        <v>0</v>
      </c>
      <c r="I6742" s="1" t="n">
        <v>0.44</v>
      </c>
      <c r="J6742" t="n">
        <v>27446245</v>
      </c>
    </row>
    <row r="6743" ht="15.75" customHeight="1" s="201">
      <c r="A6743" s="1" t="inlineStr">
        <is>
          <t>Syrups, grenadine</t>
        </is>
      </c>
      <c r="C6743" s="1" t="n">
        <v>66.91</v>
      </c>
      <c r="D6743" s="1" t="n">
        <v>0</v>
      </c>
      <c r="E6743" s="1" t="n">
        <v>0.05</v>
      </c>
      <c r="F6743" s="1" t="n">
        <v>0</v>
      </c>
      <c r="G6743" s="1" t="n">
        <v>0</v>
      </c>
      <c r="H6743" s="1" t="n">
        <v>0</v>
      </c>
      <c r="I6743" s="1" t="n">
        <v>0.13</v>
      </c>
      <c r="J6743" t="n">
        <v>91301100</v>
      </c>
    </row>
    <row r="6744" ht="15.75" customHeight="1" s="201">
      <c r="A6744" s="1" t="inlineStr">
        <is>
          <t>Syrups, malt</t>
        </is>
      </c>
      <c r="C6744" s="1" t="n">
        <v>71.3</v>
      </c>
      <c r="D6744" s="1" t="n">
        <v>12</v>
      </c>
      <c r="E6744" s="1" t="n">
        <v>0.96</v>
      </c>
      <c r="F6744" s="1" t="n">
        <v>6.2</v>
      </c>
      <c r="G6744" s="1" t="n">
        <v>0</v>
      </c>
      <c r="H6744" s="1" t="n">
        <v>0</v>
      </c>
      <c r="I6744" s="1" t="n">
        <v>0.14</v>
      </c>
      <c r="J6744" t="n">
        <v>57305174</v>
      </c>
    </row>
    <row r="6745" ht="15.75" customHeight="1" s="201">
      <c r="A6745" s="1" t="inlineStr">
        <is>
          <t>Syrups, maple</t>
        </is>
      </c>
      <c r="C6745" s="1" t="n">
        <v>67.04000000000001</v>
      </c>
      <c r="D6745" s="1" t="n">
        <v>0</v>
      </c>
      <c r="E6745" s="1" t="n">
        <v>0.11</v>
      </c>
      <c r="F6745" s="1" t="n">
        <v>0.04</v>
      </c>
      <c r="G6745" s="1" t="n">
        <v>0.06</v>
      </c>
      <c r="H6745" s="1" t="n">
        <v>0</v>
      </c>
      <c r="I6745" s="1" t="n">
        <v>1.47</v>
      </c>
      <c r="J6745" t="n">
        <v>91300100</v>
      </c>
    </row>
    <row r="6746" ht="15.75" customHeight="1" s="201">
      <c r="A6746" s="1" t="inlineStr">
        <is>
          <t>Syrups, sorghum</t>
        </is>
      </c>
      <c r="C6746" s="1" t="n">
        <v>74.90000000000001</v>
      </c>
      <c r="D6746" s="1" t="n">
        <v>0</v>
      </c>
      <c r="E6746" s="1" t="n">
        <v>3.8</v>
      </c>
      <c r="F6746" s="1" t="n">
        <v>0</v>
      </c>
      <c r="G6746" s="1" t="n">
        <v>0</v>
      </c>
      <c r="H6746" s="1" t="n">
        <v>0</v>
      </c>
      <c r="I6746" s="1" t="n">
        <v>0.41</v>
      </c>
    </row>
    <row r="6747" ht="15.75" customHeight="1" s="201">
      <c r="A6747" s="1" t="inlineStr">
        <is>
          <t>Syrups, sugar free</t>
        </is>
      </c>
      <c r="C6747" s="1" t="n">
        <v>11.99</v>
      </c>
      <c r="D6747" s="1" t="n">
        <v>0</v>
      </c>
      <c r="E6747" s="1" t="n">
        <v>0</v>
      </c>
      <c r="F6747" s="1" t="n">
        <v>0.8</v>
      </c>
      <c r="G6747" s="1" t="n">
        <v>0</v>
      </c>
      <c r="H6747" s="1" t="n">
        <v>0</v>
      </c>
      <c r="I6747" s="1" t="n">
        <v>0</v>
      </c>
      <c r="J6747" t="n">
        <v>27446260</v>
      </c>
    </row>
    <row r="6748" ht="15.75" customHeight="1" s="201">
      <c r="A6748" s="1" t="inlineStr">
        <is>
          <t>Syrups, table blends, corn, refiner, and sugar</t>
        </is>
      </c>
      <c r="C6748" s="1" t="n">
        <v>83.90000000000001</v>
      </c>
      <c r="D6748" s="1" t="n">
        <v>3</v>
      </c>
      <c r="E6748" s="1" t="n">
        <v>0.74</v>
      </c>
      <c r="F6748" s="1" t="n">
        <v>0</v>
      </c>
      <c r="G6748" s="1" t="n">
        <v>0</v>
      </c>
      <c r="H6748" s="1" t="n">
        <v>0</v>
      </c>
      <c r="I6748" s="1" t="n">
        <v>0.03</v>
      </c>
      <c r="J6748" t="n">
        <v>64100110</v>
      </c>
    </row>
    <row r="6749" ht="15.75" customHeight="1" s="201">
      <c r="A6749" s="1" t="inlineStr">
        <is>
          <t>Syrups, table blends, pancake</t>
        </is>
      </c>
      <c r="C6749" s="1" t="n">
        <v>61.47</v>
      </c>
      <c r="D6749" s="1" t="n">
        <v>0</v>
      </c>
      <c r="E6749" s="1" t="n">
        <v>0.03</v>
      </c>
      <c r="F6749" s="1" t="n">
        <v>0</v>
      </c>
      <c r="G6749" s="1" t="n">
        <v>0</v>
      </c>
      <c r="H6749" s="1" t="n">
        <v>0</v>
      </c>
      <c r="I6749" s="1" t="n">
        <v>0.08</v>
      </c>
      <c r="J6749" t="n">
        <v>64100110</v>
      </c>
    </row>
    <row r="6750" ht="15.75" customHeight="1" s="201">
      <c r="A6750" s="1" t="inlineStr">
        <is>
          <t>Syrups, table blends, pancake, reduced-calorie</t>
        </is>
      </c>
      <c r="C6750" s="1" t="n">
        <v>44.55</v>
      </c>
      <c r="D6750" s="1" t="n">
        <v>0</v>
      </c>
      <c r="E6750" s="1" t="n">
        <v>0.03</v>
      </c>
      <c r="F6750" s="1" t="n">
        <v>0</v>
      </c>
      <c r="G6750" s="1" t="n">
        <v>0</v>
      </c>
      <c r="H6750" s="1" t="n">
        <v>0</v>
      </c>
      <c r="I6750" s="1" t="n">
        <v>0.2</v>
      </c>
      <c r="J6750" t="n">
        <v>53109200</v>
      </c>
    </row>
    <row r="6751" ht="15.75" customHeight="1" s="201">
      <c r="A6751" s="1" t="inlineStr">
        <is>
          <t>Syrups, table blends, pancake, with 2% maple</t>
        </is>
      </c>
      <c r="C6751" s="1" t="n">
        <v>69.59999999999999</v>
      </c>
      <c r="D6751" s="1" t="n">
        <v>0</v>
      </c>
      <c r="E6751" s="1" t="n">
        <v>0.07000000000000001</v>
      </c>
      <c r="F6751" s="1" t="n">
        <v>0</v>
      </c>
      <c r="G6751" s="1" t="n">
        <v>0.1</v>
      </c>
      <c r="H6751" s="1" t="n">
        <v>0</v>
      </c>
      <c r="I6751" s="1" t="n">
        <v>0.23</v>
      </c>
      <c r="J6751" t="n">
        <v>75142550</v>
      </c>
    </row>
    <row r="6752" ht="15.75" customHeight="1" s="201">
      <c r="A6752" s="1" t="inlineStr">
        <is>
          <t>Syrups, table blends, pancake, with 2% maple, with added potassium</t>
        </is>
      </c>
      <c r="C6752" s="1" t="n">
        <v>69.59999999999999</v>
      </c>
      <c r="D6752" s="1" t="n">
        <v>0</v>
      </c>
      <c r="E6752" s="1" t="n">
        <v>0.07000000000000001</v>
      </c>
      <c r="F6752" s="1" t="n">
        <v>0</v>
      </c>
      <c r="G6752" s="1" t="n">
        <v>0.1</v>
      </c>
      <c r="H6752" s="1" t="n">
        <v>0</v>
      </c>
      <c r="I6752" s="1" t="n">
        <v>0.23</v>
      </c>
      <c r="J6752" t="n">
        <v>75142550</v>
      </c>
    </row>
    <row r="6753" ht="15.75" customHeight="1" s="201">
      <c r="A6753" s="1" t="inlineStr">
        <is>
          <t>Syrups, table blends, pancake, with butter</t>
        </is>
      </c>
      <c r="C6753" s="1" t="n">
        <v>72.43000000000001</v>
      </c>
      <c r="D6753" s="1" t="n">
        <v>0</v>
      </c>
      <c r="E6753" s="1" t="n">
        <v>0.09</v>
      </c>
      <c r="F6753" s="1" t="n">
        <v>0</v>
      </c>
      <c r="G6753" s="1" t="n">
        <v>0.09</v>
      </c>
      <c r="H6753" s="1" t="n">
        <v>0</v>
      </c>
      <c r="I6753" s="1" t="n">
        <v>0.22</v>
      </c>
      <c r="J6753" t="n">
        <v>75142550</v>
      </c>
    </row>
    <row r="6754" ht="15.75" customHeight="1" s="201">
      <c r="A6754" s="1" t="inlineStr">
        <is>
          <t>T.G.I. FRIDAY'S, chicken fingers</t>
        </is>
      </c>
      <c r="C6754" s="1" t="n">
        <v>16.84</v>
      </c>
      <c r="E6754" s="1" t="n">
        <v>0.77</v>
      </c>
      <c r="F6754" s="1" t="n">
        <v>18.68</v>
      </c>
      <c r="G6754" s="1" t="n">
        <v>20.31</v>
      </c>
      <c r="H6754" s="1" t="n">
        <v>10</v>
      </c>
      <c r="I6754" s="1" t="n">
        <v>0.65</v>
      </c>
      <c r="J6754" t="n">
        <v>24198746</v>
      </c>
    </row>
    <row r="6755" ht="15.75" customHeight="1" s="201">
      <c r="A6755" s="1" t="inlineStr">
        <is>
          <t>T.G.I. FRIDAY'S, chicken fingers, from kids' menu</t>
        </is>
      </c>
      <c r="C6755" s="1" t="n">
        <v>17.72</v>
      </c>
      <c r="E6755" s="1" t="n">
        <v>0.79</v>
      </c>
      <c r="F6755" s="1" t="n">
        <v>18.11</v>
      </c>
      <c r="G6755" s="1" t="n">
        <v>20.78</v>
      </c>
      <c r="H6755" s="1" t="n">
        <v>10</v>
      </c>
      <c r="I6755" s="1" t="n">
        <v>0.62</v>
      </c>
      <c r="J6755" t="n">
        <v>24198746</v>
      </c>
    </row>
    <row r="6756" ht="15.75" customHeight="1" s="201">
      <c r="A6756" s="1" t="inlineStr">
        <is>
          <t>T.G.I. FRIDAY'S, classic sirloin steak (10 oz)</t>
        </is>
      </c>
      <c r="C6756" s="1" t="n">
        <v>0.47</v>
      </c>
      <c r="E6756" s="1" t="n">
        <v>2.87</v>
      </c>
      <c r="F6756" s="1" t="n">
        <v>31.02</v>
      </c>
      <c r="G6756" s="1" t="n">
        <v>7.83</v>
      </c>
      <c r="H6756" s="1" t="n">
        <v>37</v>
      </c>
      <c r="I6756" s="1" t="n">
        <v>5.54</v>
      </c>
      <c r="J6756" t="n">
        <v>27515080</v>
      </c>
    </row>
    <row r="6757" ht="15.75" customHeight="1" s="201">
      <c r="A6757" s="1" t="inlineStr">
        <is>
          <t>T.G.I. FRIDAY'S, french fries</t>
        </is>
      </c>
      <c r="C6757" s="1" t="n">
        <v>36.9</v>
      </c>
      <c r="E6757" s="1" t="n">
        <v>0.98</v>
      </c>
      <c r="F6757" s="1" t="n">
        <v>3.74</v>
      </c>
      <c r="G6757" s="1" t="n">
        <v>14.82</v>
      </c>
      <c r="H6757" s="1" t="n">
        <v>0</v>
      </c>
      <c r="I6757" s="1" t="n">
        <v>0.57</v>
      </c>
      <c r="J6757" t="n">
        <v>71205040</v>
      </c>
    </row>
    <row r="6758" ht="15.75" customHeight="1" s="201">
      <c r="A6758" s="1" t="inlineStr">
        <is>
          <t>T.G.I. FRIDAY'S, FRIDAY'S Shrimp, breaded</t>
        </is>
      </c>
      <c r="C6758" s="1" t="n">
        <v>20.87</v>
      </c>
      <c r="E6758" s="1" t="n">
        <v>0.53</v>
      </c>
      <c r="F6758" s="1" t="n">
        <v>11.87</v>
      </c>
      <c r="G6758" s="1" t="n">
        <v>19.02</v>
      </c>
      <c r="H6758" s="1" t="n">
        <v>25</v>
      </c>
      <c r="I6758" s="1" t="n">
        <v>0.73</v>
      </c>
      <c r="J6758" t="n">
        <v>26319145</v>
      </c>
    </row>
    <row r="6759" ht="15.75" customHeight="1" s="201">
      <c r="A6759" s="1" t="inlineStr">
        <is>
          <t>T.G.I. FRIDAY'S, fried mozzarella</t>
        </is>
      </c>
      <c r="C6759" s="1" t="n">
        <v>25.33</v>
      </c>
      <c r="E6759" s="1" t="n">
        <v>0.59</v>
      </c>
      <c r="F6759" s="1" t="n">
        <v>15.82</v>
      </c>
      <c r="G6759" s="1" t="n">
        <v>18.76</v>
      </c>
      <c r="H6759" s="1" t="n">
        <v>331</v>
      </c>
      <c r="I6759" s="1" t="n">
        <v>2.24</v>
      </c>
      <c r="J6759" t="n">
        <v>14660200</v>
      </c>
    </row>
    <row r="6760" ht="15.75" customHeight="1" s="201">
      <c r="A6760" s="1" t="inlineStr">
        <is>
          <t>T.G.I. FRIDAY'S, macaroni &amp; cheese, from kid's menu</t>
        </is>
      </c>
      <c r="C6760" s="1" t="n">
        <v>17.4</v>
      </c>
      <c r="E6760" s="1" t="n">
        <v>0.53</v>
      </c>
      <c r="F6760" s="1" t="n">
        <v>5.03</v>
      </c>
      <c r="G6760" s="1" t="n">
        <v>3.45</v>
      </c>
      <c r="H6760" s="1" t="n">
        <v>92</v>
      </c>
      <c r="I6760" s="1" t="n">
        <v>0.58</v>
      </c>
      <c r="J6760" t="n">
        <v>51121065</v>
      </c>
    </row>
    <row r="6761" ht="15.75" customHeight="1" s="201">
      <c r="A6761" s="1" t="inlineStr">
        <is>
          <t>TACO BELL, Bean Burrito</t>
        </is>
      </c>
      <c r="C6761" s="1" t="n">
        <v>31.23</v>
      </c>
      <c r="D6761" s="1" t="n">
        <v>50</v>
      </c>
      <c r="E6761" s="1" t="n">
        <v>2.37</v>
      </c>
      <c r="F6761" s="1" t="n">
        <v>7.35</v>
      </c>
      <c r="G6761" s="1" t="n">
        <v>6.05</v>
      </c>
      <c r="H6761" s="1" t="n">
        <v>67</v>
      </c>
      <c r="I6761" s="1" t="n">
        <v>0.86</v>
      </c>
      <c r="J6761" t="n">
        <v>58104340</v>
      </c>
    </row>
    <row r="6762" ht="15.75" customHeight="1" s="201">
      <c r="A6762" s="1" t="inlineStr">
        <is>
          <t>TACO BELL, BURRITO SUPREME with beef</t>
        </is>
      </c>
      <c r="C6762" s="1" t="n">
        <v>23.37</v>
      </c>
      <c r="D6762" s="1" t="n">
        <v>45</v>
      </c>
      <c r="E6762" s="1" t="n">
        <v>1.82</v>
      </c>
      <c r="F6762" s="1" t="n">
        <v>7.03</v>
      </c>
      <c r="G6762" s="1" t="n">
        <v>6.8</v>
      </c>
      <c r="H6762" s="1" t="n">
        <v>277</v>
      </c>
      <c r="I6762" s="1" t="n">
        <v>0.88</v>
      </c>
      <c r="J6762" t="n">
        <v>58101323</v>
      </c>
    </row>
    <row r="6763" ht="15.75" customHeight="1" s="201">
      <c r="A6763" s="1" t="inlineStr">
        <is>
          <t>TACO BELL, BURRITO SUPREME with chicken</t>
        </is>
      </c>
      <c r="C6763" s="1" t="n">
        <v>20.51</v>
      </c>
      <c r="D6763" s="1" t="n">
        <v>48</v>
      </c>
      <c r="E6763" s="1" t="n">
        <v>1.56</v>
      </c>
      <c r="F6763" s="1" t="n">
        <v>9.84</v>
      </c>
      <c r="G6763" s="1" t="n">
        <v>6.42</v>
      </c>
      <c r="H6763" s="1" t="n">
        <v>82</v>
      </c>
      <c r="I6763" s="1" t="n">
        <v>0.65</v>
      </c>
      <c r="J6763" t="n">
        <v>58104340</v>
      </c>
    </row>
    <row r="6764" ht="15.75" customHeight="1" s="201">
      <c r="A6764" s="1" t="inlineStr">
        <is>
          <t>TACO BELL, BURRITO SUPREME with steak</t>
        </is>
      </c>
      <c r="C6764" s="1" t="n">
        <v>20.32</v>
      </c>
      <c r="D6764" s="1" t="n">
        <v>39</v>
      </c>
      <c r="E6764" s="1" t="n">
        <v>2</v>
      </c>
      <c r="F6764" s="1" t="n">
        <v>9.130000000000001</v>
      </c>
      <c r="G6764" s="1" t="n">
        <v>7.27</v>
      </c>
      <c r="H6764" s="1" t="n">
        <v>72</v>
      </c>
      <c r="I6764" s="1" t="n">
        <v>1.38</v>
      </c>
      <c r="J6764" t="n">
        <v>58101323</v>
      </c>
    </row>
    <row r="6765" ht="15.75" customHeight="1" s="201">
      <c r="A6765" s="1" t="inlineStr">
        <is>
          <t>TACO BELL, Nachos</t>
        </is>
      </c>
      <c r="C6765" s="1" t="n">
        <v>34.91</v>
      </c>
      <c r="D6765" s="1" t="n">
        <v>10</v>
      </c>
      <c r="E6765" s="1" t="n">
        <v>0.75</v>
      </c>
      <c r="F6765" s="1" t="n">
        <v>4.32</v>
      </c>
      <c r="G6765" s="1" t="n">
        <v>21.5</v>
      </c>
      <c r="H6765" s="1" t="n">
        <v>21</v>
      </c>
      <c r="I6765" s="1" t="n">
        <v>0.86</v>
      </c>
      <c r="J6765" t="n">
        <v>58104340</v>
      </c>
    </row>
    <row r="6766" ht="15.75" customHeight="1" s="201">
      <c r="A6766" s="1" t="inlineStr">
        <is>
          <t>TACO BELL, Nachos Supreme</t>
        </is>
      </c>
      <c r="C6766" s="1" t="n">
        <v>21.39</v>
      </c>
      <c r="D6766" s="1" t="n">
        <v>14</v>
      </c>
      <c r="E6766" s="1" t="n">
        <v>1.01</v>
      </c>
      <c r="F6766" s="1" t="n">
        <v>6.21</v>
      </c>
      <c r="G6766" s="1" t="n">
        <v>12.48</v>
      </c>
      <c r="H6766" s="1" t="n">
        <v>242</v>
      </c>
      <c r="I6766" s="1" t="n">
        <v>1.05</v>
      </c>
      <c r="J6766" t="n">
        <v>58104340</v>
      </c>
    </row>
    <row r="6767" ht="15.75" customHeight="1" s="201">
      <c r="A6767" s="1" t="inlineStr">
        <is>
          <t>TACO BELL, Original Taco with beef, cheese and lettuce</t>
        </is>
      </c>
      <c r="C6767" s="1" t="n">
        <v>19.85</v>
      </c>
      <c r="D6767" s="1" t="n">
        <v>19</v>
      </c>
      <c r="E6767" s="1" t="n">
        <v>1.19</v>
      </c>
      <c r="F6767" s="1" t="n">
        <v>8.859999999999999</v>
      </c>
      <c r="G6767" s="1" t="n">
        <v>12.7</v>
      </c>
      <c r="H6767" s="1" t="n">
        <v>77</v>
      </c>
      <c r="I6767" s="1" t="n">
        <v>1.75</v>
      </c>
      <c r="J6767" t="n">
        <v>58101323</v>
      </c>
    </row>
    <row r="6768" ht="15.75" customHeight="1" s="201">
      <c r="A6768" s="1" t="inlineStr">
        <is>
          <t>TACO BELL, Soft Taco with beef, cheese and lettuce</t>
        </is>
      </c>
      <c r="C6768" s="1" t="n">
        <v>20.23</v>
      </c>
      <c r="D6768" s="1" t="n">
        <v>52</v>
      </c>
      <c r="E6768" s="1" t="n">
        <v>1.67</v>
      </c>
      <c r="F6768" s="1" t="n">
        <v>9.25</v>
      </c>
      <c r="G6768" s="1" t="n">
        <v>9.75</v>
      </c>
      <c r="H6768" s="1" t="n">
        <v>79</v>
      </c>
      <c r="I6768" s="1" t="n">
        <v>1.37</v>
      </c>
      <c r="J6768" t="n">
        <v>58101323</v>
      </c>
    </row>
    <row r="6769" ht="15.75" customHeight="1" s="201">
      <c r="A6769" s="1" t="inlineStr">
        <is>
          <t>TACO BELL, Soft Taco with chicken, cheese and lettuce</t>
        </is>
      </c>
      <c r="C6769" s="1" t="n">
        <v>19.69</v>
      </c>
      <c r="D6769" s="1" t="n">
        <v>48</v>
      </c>
      <c r="E6769" s="1" t="n">
        <v>1.59</v>
      </c>
      <c r="F6769" s="1" t="n">
        <v>13.3</v>
      </c>
      <c r="G6769" s="1" t="n">
        <v>6.35</v>
      </c>
      <c r="H6769" s="1" t="n">
        <v>25</v>
      </c>
      <c r="I6769" s="1" t="n">
        <v>0.76</v>
      </c>
      <c r="J6769" t="n">
        <v>58104340</v>
      </c>
    </row>
    <row r="6770" ht="15.75" customHeight="1" s="201">
      <c r="A6770" s="1" t="inlineStr">
        <is>
          <t>TACO BELL, Soft Taco with steak</t>
        </is>
      </c>
      <c r="C6770" s="1" t="n">
        <v>17.22</v>
      </c>
      <c r="D6770" s="1" t="n">
        <v>37</v>
      </c>
      <c r="E6770" s="1" t="n">
        <v>2.22</v>
      </c>
      <c r="F6770" s="1" t="n">
        <v>11.81</v>
      </c>
      <c r="G6770" s="1" t="n">
        <v>12.1</v>
      </c>
      <c r="H6770" s="1" t="n">
        <v>23</v>
      </c>
      <c r="I6770" s="1" t="n">
        <v>2.15</v>
      </c>
      <c r="J6770" t="n">
        <v>58101323</v>
      </c>
    </row>
    <row r="6771" ht="15.75" customHeight="1" s="201">
      <c r="A6771" s="1" t="inlineStr">
        <is>
          <t>TACO BELL, Taco Salad</t>
        </is>
      </c>
      <c r="C6771" s="1" t="n">
        <v>15.1</v>
      </c>
      <c r="D6771" s="1" t="n">
        <v>43</v>
      </c>
      <c r="E6771" s="1" t="n">
        <v>1.77</v>
      </c>
      <c r="F6771" s="1" t="n">
        <v>6.69</v>
      </c>
      <c r="G6771" s="1" t="n">
        <v>9.17</v>
      </c>
      <c r="H6771" s="1" t="n">
        <v>62</v>
      </c>
      <c r="I6771" s="1" t="n">
        <v>1.17</v>
      </c>
      <c r="J6771" t="n">
        <v>58101323</v>
      </c>
    </row>
    <row r="6772" ht="15.75" customHeight="1" s="201">
      <c r="A6772" s="1" t="inlineStr">
        <is>
          <t>Taco shells, baked</t>
        </is>
      </c>
      <c r="C6772" s="1" t="n">
        <v>63.49</v>
      </c>
      <c r="D6772" s="1" t="n">
        <v>69</v>
      </c>
      <c r="E6772" s="1" t="n">
        <v>1.64</v>
      </c>
      <c r="F6772" s="1" t="n">
        <v>6.41</v>
      </c>
      <c r="G6772" s="1" t="n">
        <v>21.79</v>
      </c>
      <c r="H6772" s="1" t="n">
        <v>17</v>
      </c>
      <c r="I6772" s="1" t="n">
        <v>1.61</v>
      </c>
      <c r="J6772" t="n">
        <v>58101323</v>
      </c>
    </row>
    <row r="6773" ht="15.75" customHeight="1" s="201">
      <c r="A6773" s="1" t="inlineStr">
        <is>
          <t>Tamales (Navajo)</t>
        </is>
      </c>
      <c r="C6773" s="1" t="n">
        <v>18.12</v>
      </c>
      <c r="D6773" s="1" t="n">
        <v>15</v>
      </c>
      <c r="E6773" s="1" t="n">
        <v>1.22</v>
      </c>
      <c r="F6773" s="1" t="n">
        <v>6.28</v>
      </c>
      <c r="G6773" s="1" t="n">
        <v>6.12</v>
      </c>
      <c r="H6773" s="1" t="n">
        <v>0</v>
      </c>
      <c r="I6773" s="1" t="n">
        <v>1.48</v>
      </c>
      <c r="J6773" t="n">
        <v>91745010</v>
      </c>
    </row>
    <row r="6774" ht="15.75" customHeight="1" s="201">
      <c r="A6774" s="1" t="inlineStr">
        <is>
          <t>Tamales, masa and pork filling (Hopi)</t>
        </is>
      </c>
      <c r="C6774" s="1" t="n">
        <v>18.28</v>
      </c>
      <c r="E6774" s="1" t="n">
        <v>0.66</v>
      </c>
      <c r="F6774" s="1" t="n">
        <v>13.19</v>
      </c>
      <c r="G6774" s="1" t="n">
        <v>4.7</v>
      </c>
      <c r="H6774" s="1" t="n">
        <v>1548</v>
      </c>
      <c r="I6774" s="1" t="n">
        <v>1.27</v>
      </c>
      <c r="J6774" t="n">
        <v>27120030</v>
      </c>
    </row>
    <row r="6775" ht="15.75" customHeight="1" s="201">
      <c r="A6775" s="1" t="inlineStr">
        <is>
          <t>Tamarind nectar, canned</t>
        </is>
      </c>
      <c r="C6775" s="1" t="n">
        <v>14.73</v>
      </c>
      <c r="D6775" s="1" t="n">
        <v>1</v>
      </c>
      <c r="E6775" s="1" t="n">
        <v>0.75</v>
      </c>
      <c r="F6775" s="1" t="n">
        <v>0.09</v>
      </c>
      <c r="G6775" s="1" t="n">
        <v>0.12</v>
      </c>
      <c r="H6775" s="1" t="n">
        <v>0</v>
      </c>
      <c r="I6775" s="1" t="n">
        <v>0.02</v>
      </c>
      <c r="J6775" t="n">
        <v>63311110</v>
      </c>
    </row>
    <row r="6776" ht="15.75" customHeight="1" s="201">
      <c r="A6776" s="1" t="inlineStr">
        <is>
          <t>Tamarinds, raw</t>
        </is>
      </c>
      <c r="C6776" s="1" t="n">
        <v>62.5</v>
      </c>
      <c r="D6776" s="1" t="n">
        <v>14</v>
      </c>
      <c r="E6776" s="1" t="n">
        <v>2.8</v>
      </c>
      <c r="F6776" s="1" t="n">
        <v>2.8</v>
      </c>
      <c r="G6776" s="1" t="n">
        <v>0.6</v>
      </c>
      <c r="H6776" s="1" t="n">
        <v>30</v>
      </c>
      <c r="I6776" s="1" t="n">
        <v>0.1</v>
      </c>
    </row>
    <row r="6777" ht="15.75" customHeight="1" s="201">
      <c r="A6777" s="1" t="inlineStr">
        <is>
          <t>Tangerine juice, raw</t>
        </is>
      </c>
      <c r="C6777" s="1" t="n">
        <v>10.1</v>
      </c>
      <c r="D6777" s="1" t="n">
        <v>5</v>
      </c>
      <c r="E6777" s="1" t="n">
        <v>0.2</v>
      </c>
      <c r="F6777" s="1" t="n">
        <v>0.5</v>
      </c>
      <c r="G6777" s="1" t="n">
        <v>0.2</v>
      </c>
      <c r="H6777" s="1" t="n">
        <v>253</v>
      </c>
      <c r="I6777" s="1" t="n">
        <v>0.03</v>
      </c>
      <c r="J6777" t="n">
        <v>64100110</v>
      </c>
    </row>
    <row r="6778" ht="15.75" customHeight="1" s="201">
      <c r="A6778" s="1" t="inlineStr">
        <is>
          <t>Tangerines, (mandarin oranges), canned, juice pack</t>
        </is>
      </c>
      <c r="C6778" s="1" t="n">
        <v>9.57</v>
      </c>
      <c r="D6778" s="1" t="n">
        <v>5</v>
      </c>
      <c r="E6778" s="1" t="n">
        <v>0.27</v>
      </c>
      <c r="F6778" s="1" t="n">
        <v>0.62</v>
      </c>
      <c r="G6778" s="1" t="n">
        <v>0.03</v>
      </c>
      <c r="H6778" s="1" t="n">
        <v>852</v>
      </c>
      <c r="I6778" s="1" t="n">
        <v>0.51</v>
      </c>
      <c r="J6778" t="n">
        <v>64100110</v>
      </c>
    </row>
    <row r="6779" ht="15.75" customHeight="1" s="201">
      <c r="A6779" s="1" t="inlineStr">
        <is>
          <t>Tangerines, (mandarin oranges), canned, juice pack, drained</t>
        </is>
      </c>
      <c r="C6779" s="1" t="n">
        <v>9.41</v>
      </c>
      <c r="D6779" s="1" t="n">
        <v>5</v>
      </c>
      <c r="E6779" s="1" t="n">
        <v>0.27</v>
      </c>
      <c r="F6779" s="1" t="n">
        <v>0.75</v>
      </c>
      <c r="G6779" s="1" t="n">
        <v>0.04</v>
      </c>
      <c r="H6779" s="1" t="n">
        <v>1312</v>
      </c>
      <c r="I6779" s="1" t="n">
        <v>0.53</v>
      </c>
      <c r="J6779" t="n">
        <v>64100110</v>
      </c>
    </row>
    <row r="6780" ht="15.75" customHeight="1" s="201">
      <c r="A6780" s="1" t="inlineStr">
        <is>
          <t>Tangerines, (mandarin oranges), canned, light syrup pack</t>
        </is>
      </c>
      <c r="C6780" s="1" t="n">
        <v>16.19</v>
      </c>
      <c r="D6780" s="1" t="n">
        <v>5</v>
      </c>
      <c r="E6780" s="1" t="n">
        <v>0.37</v>
      </c>
      <c r="F6780" s="1" t="n">
        <v>0.45</v>
      </c>
      <c r="G6780" s="1" t="n">
        <v>0.1</v>
      </c>
      <c r="H6780" s="1" t="n">
        <v>840</v>
      </c>
      <c r="I6780" s="1" t="n">
        <v>0.24</v>
      </c>
      <c r="J6780" t="n">
        <v>27446245</v>
      </c>
    </row>
    <row r="6781" ht="15.75" customHeight="1" s="201">
      <c r="A6781" s="1" t="inlineStr">
        <is>
          <t>Tangerines, (mandarin oranges), raw</t>
        </is>
      </c>
      <c r="C6781" s="1" t="n">
        <v>13.34</v>
      </c>
      <c r="D6781" s="1" t="n">
        <v>16</v>
      </c>
      <c r="E6781" s="1" t="n">
        <v>0.15</v>
      </c>
      <c r="F6781" s="1" t="n">
        <v>0.8100000000000001</v>
      </c>
      <c r="G6781" s="1" t="n">
        <v>0.31</v>
      </c>
      <c r="H6781" s="1" t="n">
        <v>681</v>
      </c>
      <c r="I6781" s="1" t="n">
        <v>0.07000000000000001</v>
      </c>
      <c r="J6781" t="n">
        <v>63311000</v>
      </c>
    </row>
    <row r="6782" ht="15.75" customHeight="1" s="201">
      <c r="A6782" s="1" t="inlineStr">
        <is>
          <t>Tapioca, pearl, dry</t>
        </is>
      </c>
      <c r="C6782" s="1" t="n">
        <v>88.69</v>
      </c>
      <c r="D6782" s="1" t="n">
        <v>4</v>
      </c>
      <c r="E6782" s="1" t="n">
        <v>1.58</v>
      </c>
      <c r="F6782" s="1" t="n">
        <v>0.19</v>
      </c>
      <c r="G6782" s="1" t="n">
        <v>0.02</v>
      </c>
      <c r="H6782" s="1" t="n">
        <v>0</v>
      </c>
      <c r="I6782" s="1" t="n">
        <v>0.12</v>
      </c>
      <c r="J6782" t="n">
        <v>13210520</v>
      </c>
    </row>
    <row r="6783" ht="15.75" customHeight="1" s="201">
      <c r="A6783" s="1" t="inlineStr">
        <is>
          <t>Taquitos, frozen, beef and cheese, oven-heated</t>
        </is>
      </c>
      <c r="C6783" s="1" t="n">
        <v>33.46</v>
      </c>
      <c r="D6783" s="1" t="n">
        <v>68</v>
      </c>
      <c r="E6783" s="1" t="n">
        <v>2.67</v>
      </c>
      <c r="F6783" s="1" t="n">
        <v>9.4</v>
      </c>
      <c r="G6783" s="1" t="n">
        <v>12.79</v>
      </c>
      <c r="H6783" s="1" t="n">
        <v>284</v>
      </c>
      <c r="I6783" s="1" t="n">
        <v>1.05</v>
      </c>
      <c r="J6783" t="n">
        <v>28110510</v>
      </c>
    </row>
    <row r="6784" ht="15.75" customHeight="1" s="201">
      <c r="A6784" s="1" t="inlineStr">
        <is>
          <t>Taquitos, frozen, chicken and cheese, oven-heated</t>
        </is>
      </c>
      <c r="C6784" s="1" t="n">
        <v>33.63</v>
      </c>
      <c r="D6784" s="1" t="n">
        <v>68</v>
      </c>
      <c r="E6784" s="1" t="n">
        <v>2.47</v>
      </c>
      <c r="F6784" s="1" t="n">
        <v>9.210000000000001</v>
      </c>
      <c r="G6784" s="1" t="n">
        <v>12.54</v>
      </c>
      <c r="H6784" s="1" t="n">
        <v>206</v>
      </c>
      <c r="I6784" s="1" t="n">
        <v>0.71</v>
      </c>
      <c r="J6784" t="n">
        <v>27540291</v>
      </c>
    </row>
    <row r="6785" ht="15.75" customHeight="1" s="201">
      <c r="A6785" s="1" t="inlineStr">
        <is>
          <t>Taro leaves, cooked, steamed, without salt</t>
        </is>
      </c>
      <c r="C6785" s="1" t="n">
        <v>4.02</v>
      </c>
      <c r="D6785" s="1" t="n">
        <v>48</v>
      </c>
      <c r="E6785" s="1" t="n">
        <v>1.18</v>
      </c>
      <c r="F6785" s="1" t="n">
        <v>2.72</v>
      </c>
      <c r="G6785" s="1" t="n">
        <v>0.41</v>
      </c>
      <c r="H6785" s="1" t="n">
        <v>4238</v>
      </c>
      <c r="I6785" s="1" t="n">
        <v>0.21</v>
      </c>
      <c r="J6785" t="n">
        <v>71962040</v>
      </c>
    </row>
    <row r="6786" ht="15.75" customHeight="1" s="201">
      <c r="A6786" s="1" t="inlineStr">
        <is>
          <t>Taro leaves, raw</t>
        </is>
      </c>
      <c r="C6786" s="1" t="n">
        <v>6.7</v>
      </c>
      <c r="D6786" s="1" t="n">
        <v>126</v>
      </c>
      <c r="E6786" s="1" t="n">
        <v>2.25</v>
      </c>
      <c r="F6786" s="1" t="n">
        <v>4.98</v>
      </c>
      <c r="G6786" s="1" t="n">
        <v>0.74</v>
      </c>
      <c r="H6786" s="1" t="n">
        <v>4825</v>
      </c>
      <c r="I6786" s="1" t="n">
        <v>0.41</v>
      </c>
      <c r="J6786" t="n">
        <v>71962040</v>
      </c>
    </row>
    <row r="6787" ht="15.75" customHeight="1" s="201">
      <c r="A6787" s="1" t="inlineStr">
        <is>
          <t>Taro shoots, cooked, without salt</t>
        </is>
      </c>
      <c r="C6787" s="1" t="n">
        <v>3.2</v>
      </c>
      <c r="D6787" s="1" t="n">
        <v>3</v>
      </c>
      <c r="E6787" s="1" t="n">
        <v>0.41</v>
      </c>
      <c r="F6787" s="1" t="n">
        <v>0.73</v>
      </c>
      <c r="G6787" s="1" t="n">
        <v>0.08</v>
      </c>
      <c r="H6787" s="1" t="n">
        <v>51</v>
      </c>
      <c r="I6787" s="1" t="n">
        <v>0.54</v>
      </c>
      <c r="J6787" t="n">
        <v>71962040</v>
      </c>
    </row>
    <row r="6788" ht="15.75" customHeight="1" s="201">
      <c r="A6788" s="1" t="inlineStr">
        <is>
          <t>Taro shoots, raw</t>
        </is>
      </c>
      <c r="C6788" s="1" t="n">
        <v>2.32</v>
      </c>
      <c r="D6788" s="1" t="n">
        <v>3</v>
      </c>
      <c r="E6788" s="1" t="n">
        <v>0.6</v>
      </c>
      <c r="F6788" s="1" t="n">
        <v>0.92</v>
      </c>
      <c r="G6788" s="1" t="n">
        <v>0.09</v>
      </c>
      <c r="H6788" s="1" t="n">
        <v>50</v>
      </c>
      <c r="I6788" s="1" t="n">
        <v>0.51</v>
      </c>
      <c r="J6788" t="n">
        <v>71962040</v>
      </c>
    </row>
    <row r="6789" ht="15.75" customHeight="1" s="201">
      <c r="A6789" s="1" t="inlineStr">
        <is>
          <t>Taro, cooked, with salt</t>
        </is>
      </c>
      <c r="C6789" s="1" t="n">
        <v>34.6</v>
      </c>
      <c r="D6789" s="1" t="n">
        <v>19</v>
      </c>
      <c r="E6789" s="1" t="n">
        <v>0.72</v>
      </c>
      <c r="F6789" s="1" t="n">
        <v>0.52</v>
      </c>
      <c r="G6789" s="1" t="n">
        <v>0.11</v>
      </c>
      <c r="H6789" s="1" t="n">
        <v>84</v>
      </c>
      <c r="I6789" s="1" t="n">
        <v>0.27</v>
      </c>
      <c r="J6789" t="n">
        <v>75142550</v>
      </c>
    </row>
    <row r="6790" ht="15.75" customHeight="1" s="201">
      <c r="A6790" s="1" t="inlineStr">
        <is>
          <t>Taro, cooked, without salt</t>
        </is>
      </c>
      <c r="C6790" s="1" t="n">
        <v>34.6</v>
      </c>
      <c r="D6790" s="1" t="n">
        <v>19</v>
      </c>
      <c r="E6790" s="1" t="n">
        <v>0.72</v>
      </c>
      <c r="F6790" s="1" t="n">
        <v>0.52</v>
      </c>
      <c r="G6790" s="1" t="n">
        <v>0.11</v>
      </c>
      <c r="H6790" s="1" t="n">
        <v>84</v>
      </c>
      <c r="I6790" s="1" t="n">
        <v>0.27</v>
      </c>
      <c r="J6790" t="n">
        <v>71962040</v>
      </c>
    </row>
    <row r="6791" ht="15.75" customHeight="1" s="201">
      <c r="A6791" s="1" t="inlineStr">
        <is>
          <t>Taro, leaves, cooked, steamed, with salt</t>
        </is>
      </c>
      <c r="C6791" s="1" t="n">
        <v>3.89</v>
      </c>
      <c r="D6791" s="1" t="n">
        <v>48</v>
      </c>
      <c r="E6791" s="1" t="n">
        <v>1.18</v>
      </c>
      <c r="F6791" s="1" t="n">
        <v>2.72</v>
      </c>
      <c r="G6791" s="1" t="n">
        <v>0.41</v>
      </c>
      <c r="H6791" s="1" t="n">
        <v>4238</v>
      </c>
      <c r="I6791" s="1" t="n">
        <v>0.21</v>
      </c>
      <c r="J6791" t="n">
        <v>75142550</v>
      </c>
    </row>
    <row r="6792" ht="15.75" customHeight="1" s="201">
      <c r="A6792" s="1" t="inlineStr">
        <is>
          <t>Taro, raw</t>
        </is>
      </c>
      <c r="C6792" s="1" t="n">
        <v>26.46</v>
      </c>
      <c r="D6792" s="1" t="n">
        <v>22</v>
      </c>
      <c r="E6792" s="1" t="n">
        <v>0.55</v>
      </c>
      <c r="F6792" s="1" t="n">
        <v>1.5</v>
      </c>
      <c r="G6792" s="1" t="n">
        <v>0.2</v>
      </c>
      <c r="H6792" s="1" t="n">
        <v>76</v>
      </c>
      <c r="I6792" s="1" t="n">
        <v>0.23</v>
      </c>
      <c r="J6792" t="n">
        <v>71962040</v>
      </c>
    </row>
    <row r="6793" ht="15.75" customHeight="1" s="201">
      <c r="A6793" s="1" t="inlineStr">
        <is>
          <t>Taro, shoots, cooked, with salt</t>
        </is>
      </c>
      <c r="C6793" s="1" t="n">
        <v>3.19</v>
      </c>
      <c r="D6793" s="1" t="n">
        <v>3</v>
      </c>
      <c r="E6793" s="1" t="n">
        <v>0.41</v>
      </c>
      <c r="F6793" s="1" t="n">
        <v>0.73</v>
      </c>
      <c r="G6793" s="1" t="n">
        <v>0.08</v>
      </c>
      <c r="H6793" s="1" t="n">
        <v>51</v>
      </c>
      <c r="I6793" s="1" t="n">
        <v>0.54</v>
      </c>
      <c r="J6793" t="n">
        <v>75142550</v>
      </c>
    </row>
    <row r="6794" ht="15.75" customHeight="1" s="201">
      <c r="A6794" s="1" t="inlineStr">
        <is>
          <t>Taro, tahitian, cooked, with salt</t>
        </is>
      </c>
      <c r="C6794" s="1" t="n">
        <v>6.85</v>
      </c>
      <c r="D6794" s="1" t="n">
        <v>7</v>
      </c>
      <c r="E6794" s="1" t="n">
        <v>1.56</v>
      </c>
      <c r="F6794" s="1" t="n">
        <v>4.16</v>
      </c>
      <c r="G6794" s="1" t="n">
        <v>0.68</v>
      </c>
      <c r="H6794" s="1" t="n">
        <v>1764</v>
      </c>
      <c r="I6794" s="1" t="n">
        <v>0.1</v>
      </c>
      <c r="J6794" t="n">
        <v>75142550</v>
      </c>
    </row>
    <row r="6795" ht="15.75" customHeight="1" s="201">
      <c r="A6795" s="1" t="inlineStr">
        <is>
          <t>Taro, tahitian, cooked, without salt</t>
        </is>
      </c>
      <c r="C6795" s="1" t="n">
        <v>6.85</v>
      </c>
      <c r="D6795" s="1" t="n">
        <v>7</v>
      </c>
      <c r="E6795" s="1" t="n">
        <v>1.56</v>
      </c>
      <c r="F6795" s="1" t="n">
        <v>4.16</v>
      </c>
      <c r="G6795" s="1" t="n">
        <v>0.68</v>
      </c>
      <c r="H6795" s="1" t="n">
        <v>1764</v>
      </c>
      <c r="I6795" s="1" t="n">
        <v>0.1</v>
      </c>
      <c r="J6795" t="n">
        <v>71962040</v>
      </c>
    </row>
    <row r="6796" ht="15.75" customHeight="1" s="201">
      <c r="A6796" s="1" t="inlineStr">
        <is>
          <t>Taro, tahitian, raw</t>
        </is>
      </c>
      <c r="C6796" s="1" t="n">
        <v>6.91</v>
      </c>
      <c r="D6796" s="1" t="n">
        <v>9</v>
      </c>
      <c r="E6796" s="1" t="n">
        <v>1.3</v>
      </c>
      <c r="F6796" s="1" t="n">
        <v>2.79</v>
      </c>
      <c r="G6796" s="1" t="n">
        <v>0.97</v>
      </c>
      <c r="H6796" s="1" t="n">
        <v>2045</v>
      </c>
      <c r="I6796" s="1" t="n">
        <v>0.09</v>
      </c>
      <c r="J6796" t="n">
        <v>71962040</v>
      </c>
    </row>
    <row r="6797" ht="15.75" customHeight="1" s="201">
      <c r="A6797" s="1" t="inlineStr">
        <is>
          <t>Tea, herbal, brewed, Hohoysi (Hopi)</t>
        </is>
      </c>
      <c r="C6797" s="1" t="n">
        <v>0</v>
      </c>
      <c r="E6797" s="1" t="n">
        <v>0.03</v>
      </c>
      <c r="F6797" s="1" t="n">
        <v>0.12</v>
      </c>
      <c r="G6797" s="1" t="n">
        <v>0.2</v>
      </c>
      <c r="I6797" s="1" t="n">
        <v>0.05</v>
      </c>
      <c r="J6797" t="n">
        <v>92306000</v>
      </c>
    </row>
    <row r="6798" ht="15.75" customHeight="1" s="201">
      <c r="A6798" s="1" t="inlineStr">
        <is>
          <t>Tea, tundra, herb and laborador combination (Alaska Native)</t>
        </is>
      </c>
      <c r="C6798" s="1" t="n">
        <v>0.2</v>
      </c>
      <c r="D6798" s="1" t="n">
        <v>1</v>
      </c>
      <c r="E6798" s="1" t="n">
        <v>0.08</v>
      </c>
      <c r="F6798" s="1" t="n">
        <v>0</v>
      </c>
      <c r="G6798" s="1" t="n">
        <v>0</v>
      </c>
      <c r="H6798" s="1" t="n">
        <v>0</v>
      </c>
      <c r="I6798" s="1" t="n">
        <v>0.04</v>
      </c>
    </row>
    <row r="6799" ht="15.75" customHeight="1" s="201">
      <c r="A6799" s="1" t="inlineStr">
        <is>
          <t>Teff, cooked</t>
        </is>
      </c>
      <c r="C6799" s="1" t="n">
        <v>19.86</v>
      </c>
      <c r="D6799" s="1" t="n">
        <v>18</v>
      </c>
      <c r="E6799" s="1" t="n">
        <v>2.05</v>
      </c>
      <c r="F6799" s="1" t="n">
        <v>3.87</v>
      </c>
      <c r="G6799" s="1" t="n">
        <v>0.65</v>
      </c>
      <c r="H6799" s="1" t="n">
        <v>2</v>
      </c>
      <c r="I6799" s="1" t="n">
        <v>1.11</v>
      </c>
      <c r="J6799" t="n">
        <v>21000100</v>
      </c>
    </row>
    <row r="6800" ht="15.75" customHeight="1" s="201">
      <c r="A6800" s="1" t="inlineStr">
        <is>
          <t>Teff, uncooked</t>
        </is>
      </c>
      <c r="C6800" s="1" t="n">
        <v>73.13</v>
      </c>
      <c r="E6800" s="1" t="n">
        <v>7.63</v>
      </c>
      <c r="F6800" s="1" t="n">
        <v>13.3</v>
      </c>
      <c r="G6800" s="1" t="n">
        <v>2.38</v>
      </c>
      <c r="H6800" s="1" t="n">
        <v>9</v>
      </c>
      <c r="I6800" s="1" t="n">
        <v>3.63</v>
      </c>
      <c r="J6800" t="n">
        <v>57602500</v>
      </c>
    </row>
    <row r="6801" ht="15.75" customHeight="1" s="201">
      <c r="A6801" s="1" t="inlineStr">
        <is>
          <t>Tempeh</t>
        </is>
      </c>
      <c r="C6801" s="1" t="n">
        <v>7.64</v>
      </c>
      <c r="D6801" s="1" t="n">
        <v>24</v>
      </c>
      <c r="E6801" s="1" t="n">
        <v>2.7</v>
      </c>
      <c r="F6801" s="1" t="n">
        <v>20.29</v>
      </c>
      <c r="G6801" s="1" t="n">
        <v>10.8</v>
      </c>
      <c r="H6801" s="1" t="n">
        <v>0</v>
      </c>
      <c r="I6801" s="1" t="n">
        <v>1.14</v>
      </c>
    </row>
    <row r="6802" ht="15.75" customHeight="1" s="201">
      <c r="A6802" s="1" t="inlineStr">
        <is>
          <t>Tempeh, cooked</t>
        </is>
      </c>
      <c r="C6802" s="1" t="n">
        <v>7.62</v>
      </c>
      <c r="D6802" s="1" t="n">
        <v>21</v>
      </c>
      <c r="E6802" s="1" t="n">
        <v>2.13</v>
      </c>
      <c r="F6802" s="1" t="n">
        <v>19.91</v>
      </c>
      <c r="G6802" s="1" t="n">
        <v>11.38</v>
      </c>
      <c r="I6802" s="1" t="n">
        <v>1.57</v>
      </c>
      <c r="J6802" t="n">
        <v>21000100</v>
      </c>
    </row>
    <row r="6803" ht="15.75" customHeight="1" s="201">
      <c r="A6803" s="1" t="inlineStr">
        <is>
          <t>Tennis Bread, plain (Apache)</t>
        </is>
      </c>
      <c r="C6803" s="1" t="n">
        <v>53.26</v>
      </c>
      <c r="D6803" s="1" t="n">
        <v>162</v>
      </c>
      <c r="E6803" s="1" t="n">
        <v>3.4</v>
      </c>
      <c r="F6803" s="1" t="n">
        <v>9</v>
      </c>
      <c r="G6803" s="1" t="n">
        <v>1.05</v>
      </c>
      <c r="I6803" s="1" t="n">
        <v>0.53</v>
      </c>
      <c r="J6803" t="n">
        <v>52405010</v>
      </c>
    </row>
    <row r="6804" ht="15.75" customHeight="1" s="201">
      <c r="A6804" s="1" t="inlineStr">
        <is>
          <t>Thuringer, cervelat, summer sausage, beef, pork</t>
        </is>
      </c>
      <c r="C6804" s="1" t="n">
        <v>3.33</v>
      </c>
      <c r="D6804" s="1" t="n">
        <v>2</v>
      </c>
      <c r="E6804" s="1" t="n">
        <v>2.04</v>
      </c>
      <c r="F6804" s="1" t="n">
        <v>17.45</v>
      </c>
      <c r="G6804" s="1" t="n">
        <v>30.43</v>
      </c>
      <c r="H6804" s="1" t="n">
        <v>0</v>
      </c>
      <c r="I6804" s="1" t="n">
        <v>2.56</v>
      </c>
      <c r="J6804" t="n">
        <v>28110510</v>
      </c>
    </row>
    <row r="6805" ht="15.75" customHeight="1" s="201">
      <c r="A6805" s="1" t="inlineStr">
        <is>
          <t>Thyme, fresh</t>
        </is>
      </c>
      <c r="C6805" s="1" t="n">
        <v>24.45</v>
      </c>
      <c r="D6805" s="1" t="n">
        <v>45</v>
      </c>
      <c r="E6805" s="1" t="n">
        <v>17.45</v>
      </c>
      <c r="F6805" s="1" t="n">
        <v>5.56</v>
      </c>
      <c r="G6805" s="1" t="n">
        <v>1.68</v>
      </c>
      <c r="H6805" s="1" t="n">
        <v>4751</v>
      </c>
      <c r="I6805" s="1" t="n">
        <v>1.81</v>
      </c>
      <c r="J6805" t="n">
        <v>14108020</v>
      </c>
    </row>
    <row r="6806" ht="15.75" customHeight="1" s="201">
      <c r="A6806" s="1" t="inlineStr">
        <is>
          <t>Toaster pastries, brown-sugar-cinnamon</t>
        </is>
      </c>
      <c r="C6806" s="1" t="n">
        <v>72.64</v>
      </c>
      <c r="D6806" s="1" t="n">
        <v>137</v>
      </c>
      <c r="E6806" s="1" t="n">
        <v>5.62</v>
      </c>
      <c r="F6806" s="1" t="n">
        <v>4.06</v>
      </c>
      <c r="G6806" s="1" t="n">
        <v>7.98</v>
      </c>
      <c r="I6806" s="1" t="n">
        <v>0.55</v>
      </c>
      <c r="J6806" t="n">
        <v>42202100</v>
      </c>
    </row>
    <row r="6807" ht="15.75" customHeight="1" s="201">
      <c r="A6807" s="1" t="inlineStr">
        <is>
          <t>Toaster Pastries, fruit, frosted (include apples, blueberry, cherry, strawberry)</t>
        </is>
      </c>
      <c r="C6807" s="1" t="n">
        <v>71.83</v>
      </c>
      <c r="D6807" s="1" t="n">
        <v>90</v>
      </c>
      <c r="E6807" s="1" t="n">
        <v>4.35</v>
      </c>
      <c r="F6807" s="1" t="n">
        <v>4.01</v>
      </c>
      <c r="G6807" s="1" t="n">
        <v>9.02</v>
      </c>
      <c r="H6807" s="1" t="n">
        <v>672</v>
      </c>
      <c r="I6807" s="1" t="n">
        <v>0.36</v>
      </c>
      <c r="J6807" t="n">
        <v>91708030</v>
      </c>
    </row>
    <row r="6808" ht="15.75" customHeight="1" s="201">
      <c r="A6808" s="1" t="inlineStr">
        <is>
          <t>Toaster pastries, fruit, toasted (include apple, blueberry, cherry, strawberry)</t>
        </is>
      </c>
      <c r="C6808" s="1" t="n">
        <v>72.7</v>
      </c>
      <c r="D6808" s="1" t="n">
        <v>48</v>
      </c>
      <c r="E6808" s="1" t="n">
        <v>3.92</v>
      </c>
      <c r="F6808" s="1" t="n">
        <v>4.7</v>
      </c>
      <c r="G6808" s="1" t="n">
        <v>11.03</v>
      </c>
      <c r="H6808" s="1" t="n">
        <v>1563</v>
      </c>
      <c r="I6808" s="1" t="n">
        <v>0.38</v>
      </c>
      <c r="J6808" t="n">
        <v>91708030</v>
      </c>
    </row>
    <row r="6809" ht="15.75" customHeight="1" s="201">
      <c r="A6809" s="1" t="inlineStr">
        <is>
          <t>Toddler drink, MEAD JOHNSON, PurAmino Toddler Powder, with ARA and DHA, not reconstituted</t>
        </is>
      </c>
      <c r="C6809" s="1" t="n">
        <v>55.68</v>
      </c>
      <c r="D6809" s="1" t="n">
        <v>80</v>
      </c>
      <c r="E6809" s="1" t="n">
        <v>9</v>
      </c>
      <c r="F6809" s="1" t="n">
        <v>13.9</v>
      </c>
      <c r="G6809" s="1" t="n">
        <v>26</v>
      </c>
      <c r="H6809" s="1" t="n">
        <v>1490</v>
      </c>
      <c r="I6809" s="1" t="n">
        <v>5</v>
      </c>
      <c r="J6809" t="n">
        <v>75142550</v>
      </c>
    </row>
    <row r="6810" ht="15.75" customHeight="1" s="201">
      <c r="A6810" s="1" t="inlineStr">
        <is>
          <t>Toddler formula, MEAD JOHNSON, ENFAGROW PREMIUM (formerly ENFAMIL, LIPIL, NEXT STEP), ready-to-feed</t>
        </is>
      </c>
      <c r="C6810" s="1" t="n">
        <v>7.18</v>
      </c>
      <c r="D6810" s="1" t="n">
        <v>11</v>
      </c>
      <c r="E6810" s="1" t="n">
        <v>1.37</v>
      </c>
      <c r="F6810" s="1" t="n">
        <v>1.78</v>
      </c>
      <c r="G6810" s="1" t="n">
        <v>3.63</v>
      </c>
      <c r="H6810" s="1" t="n">
        <v>193</v>
      </c>
      <c r="I6810" s="1" t="n">
        <v>0.68</v>
      </c>
      <c r="J6810" t="n">
        <v>11710687</v>
      </c>
    </row>
    <row r="6811" ht="15.75" customHeight="1" s="201">
      <c r="A6811" s="1" t="inlineStr">
        <is>
          <t>Toddler formula, MEAD JOHNSON, ENFAGROW, Toddler Transitions, with ARA and DHA, powder</t>
        </is>
      </c>
      <c r="C6811" s="1" t="n">
        <v>52.8</v>
      </c>
      <c r="D6811" s="1" t="n">
        <v>79</v>
      </c>
      <c r="E6811" s="1" t="n">
        <v>7.4</v>
      </c>
      <c r="F6811" s="1" t="n">
        <v>12.9</v>
      </c>
      <c r="G6811" s="1" t="n">
        <v>26.9</v>
      </c>
      <c r="H6811" s="1" t="n">
        <v>1500</v>
      </c>
      <c r="I6811" s="1" t="n">
        <v>5</v>
      </c>
      <c r="J6811" t="n">
        <v>11710687</v>
      </c>
    </row>
    <row r="6812" ht="15.75" customHeight="1" s="201">
      <c r="A6812" s="1" t="inlineStr">
        <is>
          <t>Toddler formula, MEAD JOHNSON, Nutramigen Toddler with LGG Powder, with ARA and DHA, not reconstituted</t>
        </is>
      </c>
      <c r="C6812" s="1" t="n">
        <v>61.97</v>
      </c>
      <c r="D6812" s="1" t="n">
        <v>77</v>
      </c>
      <c r="E6812" s="1" t="n">
        <v>7.7</v>
      </c>
      <c r="F6812" s="1" t="n">
        <v>12</v>
      </c>
      <c r="G6812" s="1" t="n">
        <v>21</v>
      </c>
      <c r="H6812" s="1" t="n">
        <v>1440</v>
      </c>
      <c r="I6812" s="1" t="n">
        <v>5.3</v>
      </c>
      <c r="J6812" t="n">
        <v>75142550</v>
      </c>
    </row>
    <row r="6813" ht="15.75" customHeight="1" s="201">
      <c r="A6813" s="1" t="inlineStr">
        <is>
          <t>Tofu yogurt</t>
        </is>
      </c>
      <c r="C6813" s="1" t="n">
        <v>15.96</v>
      </c>
      <c r="D6813" s="1" t="n">
        <v>6</v>
      </c>
      <c r="E6813" s="1" t="n">
        <v>1.06</v>
      </c>
      <c r="F6813" s="1" t="n">
        <v>3.5</v>
      </c>
      <c r="G6813" s="1" t="n">
        <v>1.8</v>
      </c>
      <c r="H6813" s="1" t="n">
        <v>33</v>
      </c>
      <c r="I6813" s="1" t="n">
        <v>0.31</v>
      </c>
      <c r="J6813" t="n">
        <v>11432000</v>
      </c>
    </row>
    <row r="6814" ht="15.75" customHeight="1" s="201">
      <c r="A6814" s="1" t="inlineStr">
        <is>
          <t>Tofu, dried-frozen (koyadofu)</t>
        </is>
      </c>
      <c r="C6814" s="1" t="n">
        <v>10.03</v>
      </c>
      <c r="D6814" s="1" t="n">
        <v>92</v>
      </c>
      <c r="E6814" s="1" t="n">
        <v>9.73</v>
      </c>
      <c r="F6814" s="1" t="n">
        <v>52.47</v>
      </c>
      <c r="G6814" s="1" t="n">
        <v>30.34</v>
      </c>
      <c r="H6814" s="1" t="n">
        <v>518</v>
      </c>
      <c r="I6814" s="1" t="n">
        <v>4.9</v>
      </c>
      <c r="J6814" t="n">
        <v>41480020</v>
      </c>
    </row>
    <row r="6815" ht="15.75" customHeight="1" s="201">
      <c r="A6815" s="1" t="inlineStr">
        <is>
          <t>Tofu, dried-frozen (koyadofu), prepared with calcium sulfate</t>
        </is>
      </c>
      <c r="C6815" s="1" t="n">
        <v>8.300000000000001</v>
      </c>
      <c r="D6815" s="1" t="n">
        <v>92</v>
      </c>
      <c r="E6815" s="1" t="n">
        <v>9.73</v>
      </c>
      <c r="F6815" s="1" t="n">
        <v>52.43</v>
      </c>
      <c r="G6815" s="1" t="n">
        <v>30.34</v>
      </c>
      <c r="H6815" s="1" t="n">
        <v>0</v>
      </c>
      <c r="I6815" s="1" t="n">
        <v>4.9</v>
      </c>
      <c r="J6815" t="n">
        <v>75142550</v>
      </c>
    </row>
    <row r="6816" ht="15.75" customHeight="1" s="201">
      <c r="A6816" s="1" t="inlineStr">
        <is>
          <t>Tofu, extra firm, prepared with nigari</t>
        </is>
      </c>
      <c r="C6816" s="1" t="n">
        <v>1.18</v>
      </c>
      <c r="D6816" s="1" t="n">
        <v>9</v>
      </c>
      <c r="E6816" s="1" t="n">
        <v>2.04</v>
      </c>
      <c r="F6816" s="1" t="n">
        <v>9.98</v>
      </c>
      <c r="G6816" s="1" t="n">
        <v>5.26</v>
      </c>
      <c r="H6816" s="1" t="n">
        <v>0</v>
      </c>
      <c r="I6816" s="1" t="n">
        <v>1.07</v>
      </c>
      <c r="J6816" t="n">
        <v>75142550</v>
      </c>
    </row>
    <row r="6817" ht="15.75" customHeight="1" s="201">
      <c r="A6817" s="1" t="inlineStr">
        <is>
          <t>Tofu, firm, prepared with calcium sulfate and magnesium chloride (nigari)</t>
        </is>
      </c>
      <c r="C6817" s="1" t="n">
        <v>2.85</v>
      </c>
      <c r="D6817" s="1" t="n">
        <v>19</v>
      </c>
      <c r="E6817" s="1" t="n">
        <v>1.61</v>
      </c>
      <c r="F6817" s="1" t="n">
        <v>9.039999999999999</v>
      </c>
      <c r="G6817" s="1" t="n">
        <v>4.17</v>
      </c>
      <c r="H6817" s="1" t="n">
        <v>0</v>
      </c>
      <c r="I6817" s="1" t="n">
        <v>0.83</v>
      </c>
      <c r="J6817" t="n">
        <v>75142550</v>
      </c>
    </row>
    <row r="6818" ht="15.75" customHeight="1" s="201">
      <c r="A6818" s="1" t="inlineStr">
        <is>
          <t>Tofu, fried</t>
        </is>
      </c>
      <c r="C6818" s="1" t="n">
        <v>8.859999999999999</v>
      </c>
      <c r="D6818" s="1" t="n">
        <v>27</v>
      </c>
      <c r="E6818" s="1" t="n">
        <v>4.87</v>
      </c>
      <c r="F6818" s="1" t="n">
        <v>18.82</v>
      </c>
      <c r="G6818" s="1" t="n">
        <v>20.18</v>
      </c>
      <c r="H6818" s="1" t="n">
        <v>27</v>
      </c>
      <c r="I6818" s="1" t="n">
        <v>1.99</v>
      </c>
      <c r="J6818" t="n">
        <v>14660200</v>
      </c>
    </row>
    <row r="6819" ht="15.75" customHeight="1" s="201">
      <c r="A6819" s="1" t="inlineStr">
        <is>
          <t>Tofu, fried, prepared with calcium sulfate</t>
        </is>
      </c>
      <c r="C6819" s="1" t="n">
        <v>8.859999999999999</v>
      </c>
      <c r="D6819" s="1" t="n">
        <v>27</v>
      </c>
      <c r="E6819" s="1" t="n">
        <v>4.87</v>
      </c>
      <c r="F6819" s="1" t="n">
        <v>18.82</v>
      </c>
      <c r="G6819" s="1" t="n">
        <v>20.18</v>
      </c>
      <c r="H6819" s="1" t="n">
        <v>0</v>
      </c>
      <c r="I6819" s="1" t="n">
        <v>1.99</v>
      </c>
      <c r="J6819" t="n">
        <v>75142550</v>
      </c>
    </row>
    <row r="6820" ht="15.75" customHeight="1" s="201">
      <c r="A6820" s="1" t="inlineStr">
        <is>
          <t>Tofu, hard, prepared with nigari</t>
        </is>
      </c>
      <c r="C6820" s="1" t="n">
        <v>4.39</v>
      </c>
      <c r="D6820" s="1" t="n">
        <v>22</v>
      </c>
      <c r="E6820" s="1" t="n">
        <v>2.75</v>
      </c>
      <c r="F6820" s="1" t="n">
        <v>12.68</v>
      </c>
      <c r="G6820" s="1" t="n">
        <v>9.99</v>
      </c>
      <c r="I6820" s="1" t="n">
        <v>1.66</v>
      </c>
      <c r="J6820" t="n">
        <v>75142550</v>
      </c>
    </row>
    <row r="6821" ht="15.75" customHeight="1" s="201">
      <c r="A6821" s="1" t="inlineStr">
        <is>
          <t>Tofu, raw, firm, prepared with calcium sulfate</t>
        </is>
      </c>
      <c r="C6821" s="1" t="n">
        <v>2.78</v>
      </c>
      <c r="D6821" s="1" t="n">
        <v>29</v>
      </c>
      <c r="E6821" s="1" t="n">
        <v>2.66</v>
      </c>
      <c r="F6821" s="1" t="n">
        <v>17.27</v>
      </c>
      <c r="G6821" s="1" t="n">
        <v>8.720000000000001</v>
      </c>
      <c r="H6821" s="1" t="n">
        <v>166</v>
      </c>
      <c r="I6821" s="1" t="n">
        <v>1.57</v>
      </c>
      <c r="J6821" t="n">
        <v>75142550</v>
      </c>
    </row>
    <row r="6822" ht="15.75" customHeight="1" s="201">
      <c r="A6822" s="1" t="inlineStr">
        <is>
          <t>Tofu, raw, regular, prepared with calcium sulfate</t>
        </is>
      </c>
      <c r="C6822" s="1" t="n">
        <v>1.87</v>
      </c>
      <c r="D6822" s="1" t="n">
        <v>15</v>
      </c>
      <c r="E6822" s="1" t="n">
        <v>5.36</v>
      </c>
      <c r="F6822" s="1" t="n">
        <v>8.08</v>
      </c>
      <c r="G6822" s="1" t="n">
        <v>4.78</v>
      </c>
      <c r="H6822" s="1" t="n">
        <v>85</v>
      </c>
      <c r="I6822" s="1" t="n">
        <v>0.8</v>
      </c>
      <c r="J6822" t="n">
        <v>75142550</v>
      </c>
    </row>
    <row r="6823" ht="15.75" customHeight="1" s="201">
      <c r="A6823" s="1" t="inlineStr">
        <is>
          <t>Tofu, salted and fermented (fuyu)</t>
        </is>
      </c>
      <c r="C6823" s="1" t="n">
        <v>4.38</v>
      </c>
      <c r="D6823" s="1" t="n">
        <v>29</v>
      </c>
      <c r="E6823" s="1" t="n">
        <v>1.98</v>
      </c>
      <c r="F6823" s="1" t="n">
        <v>8.92</v>
      </c>
      <c r="G6823" s="1" t="n">
        <v>8</v>
      </c>
      <c r="H6823" s="1" t="n">
        <v>0</v>
      </c>
      <c r="I6823" s="1" t="n">
        <v>1.56</v>
      </c>
      <c r="J6823" t="n">
        <v>42110150</v>
      </c>
    </row>
    <row r="6824" ht="15.75" customHeight="1" s="201">
      <c r="A6824" s="1" t="inlineStr">
        <is>
          <t>Tofu, salted and fermented (fuyu), prepared with calcium sulfate</t>
        </is>
      </c>
      <c r="C6824" s="1" t="n">
        <v>5.15</v>
      </c>
      <c r="D6824" s="1" t="n">
        <v>29</v>
      </c>
      <c r="E6824" s="1" t="n">
        <v>1.98</v>
      </c>
      <c r="F6824" s="1" t="n">
        <v>8.15</v>
      </c>
      <c r="G6824" s="1" t="n">
        <v>8</v>
      </c>
      <c r="H6824" s="1" t="n">
        <v>0</v>
      </c>
      <c r="I6824" s="1" t="n">
        <v>1.56</v>
      </c>
      <c r="J6824" t="n">
        <v>75142550</v>
      </c>
    </row>
    <row r="6825" ht="15.75" customHeight="1" s="201">
      <c r="A6825" s="1" t="inlineStr">
        <is>
          <t>Tofu, soft, prepared with calcium sulfate and magnesium chloride (nigari)</t>
        </is>
      </c>
      <c r="C6825" s="1" t="n">
        <v>1.18</v>
      </c>
      <c r="D6825" s="1" t="n">
        <v>44</v>
      </c>
      <c r="E6825" s="1" t="n">
        <v>1.11</v>
      </c>
      <c r="F6825" s="1" t="n">
        <v>7.17</v>
      </c>
      <c r="G6825" s="1" t="n">
        <v>3.69</v>
      </c>
      <c r="H6825" s="1" t="n">
        <v>7</v>
      </c>
      <c r="I6825" s="1" t="n">
        <v>0.64</v>
      </c>
      <c r="J6825" t="n">
        <v>75142550</v>
      </c>
    </row>
    <row r="6826" ht="15.75" customHeight="1" s="201">
      <c r="A6826" s="1" t="inlineStr">
        <is>
          <t>Tomatillos, raw</t>
        </is>
      </c>
      <c r="C6826" s="1" t="n">
        <v>5.84</v>
      </c>
      <c r="D6826" s="1" t="n">
        <v>7</v>
      </c>
      <c r="E6826" s="1" t="n">
        <v>0.62</v>
      </c>
      <c r="F6826" s="1" t="n">
        <v>0.96</v>
      </c>
      <c r="G6826" s="1" t="n">
        <v>1.02</v>
      </c>
      <c r="H6826" s="1" t="n">
        <v>114</v>
      </c>
      <c r="I6826" s="1" t="n">
        <v>0.22</v>
      </c>
    </row>
    <row r="6827" ht="15.75" customHeight="1" s="201">
      <c r="A6827" s="1" t="inlineStr">
        <is>
          <t>Tomato and vegetable juice, low sodium</t>
        </is>
      </c>
      <c r="C6827" s="1" t="n">
        <v>4.59</v>
      </c>
      <c r="D6827" s="1" t="n">
        <v>21</v>
      </c>
      <c r="E6827" s="1" t="n">
        <v>0.42</v>
      </c>
      <c r="F6827" s="1" t="n">
        <v>0.6</v>
      </c>
      <c r="G6827" s="1" t="n">
        <v>0.1</v>
      </c>
      <c r="H6827" s="1" t="n">
        <v>1558</v>
      </c>
      <c r="I6827" s="1" t="n">
        <v>0.2</v>
      </c>
      <c r="J6827" t="n">
        <v>54204030</v>
      </c>
    </row>
    <row r="6828" ht="15.75" customHeight="1" s="201">
      <c r="A6828" s="1" t="inlineStr">
        <is>
          <t>Tomato juice, canned, with salt added</t>
        </is>
      </c>
      <c r="C6828" s="1" t="n">
        <v>3.53</v>
      </c>
      <c r="D6828" s="1" t="n">
        <v>20</v>
      </c>
      <c r="E6828" s="1" t="n">
        <v>0.39</v>
      </c>
      <c r="F6828" s="1" t="n">
        <v>0.85</v>
      </c>
      <c r="G6828" s="1" t="n">
        <v>0.29</v>
      </c>
      <c r="H6828" s="1" t="n">
        <v>450</v>
      </c>
      <c r="I6828" s="1" t="n">
        <v>0.11</v>
      </c>
      <c r="J6828" t="n">
        <v>75142550</v>
      </c>
    </row>
    <row r="6829" ht="15.75" customHeight="1" s="201">
      <c r="A6829" s="1" t="inlineStr">
        <is>
          <t>Tomato juice, canned, without salt added</t>
        </is>
      </c>
      <c r="C6829" s="1" t="n">
        <v>3.53</v>
      </c>
      <c r="D6829" s="1" t="n">
        <v>20</v>
      </c>
      <c r="E6829" s="1" t="n">
        <v>0.39</v>
      </c>
      <c r="F6829" s="1" t="n">
        <v>0.85</v>
      </c>
      <c r="G6829" s="1" t="n">
        <v>0.29</v>
      </c>
      <c r="H6829" s="1" t="n">
        <v>450</v>
      </c>
      <c r="I6829" s="1" t="n">
        <v>0.11</v>
      </c>
      <c r="J6829" t="n">
        <v>64100110</v>
      </c>
    </row>
    <row r="6830" ht="15.75" customHeight="1" s="201">
      <c r="A6830" s="1" t="inlineStr">
        <is>
          <t>Tomato powder</t>
        </is>
      </c>
      <c r="C6830" s="1" t="n">
        <v>74.68000000000001</v>
      </c>
      <c r="D6830" s="1" t="n">
        <v>120</v>
      </c>
      <c r="E6830" s="1" t="n">
        <v>4.56</v>
      </c>
      <c r="F6830" s="1" t="n">
        <v>12.91</v>
      </c>
      <c r="G6830" s="1" t="n">
        <v>0.44</v>
      </c>
      <c r="H6830" s="1" t="n">
        <v>17247</v>
      </c>
      <c r="I6830" s="1" t="n">
        <v>1.71</v>
      </c>
      <c r="J6830" t="n">
        <v>74601010</v>
      </c>
    </row>
    <row r="6831" ht="15.75" customHeight="1" s="201">
      <c r="A6831" s="1" t="inlineStr">
        <is>
          <t>Tomato products, canned, paste, without salt added (Includes foods for USDA's Food Distribution Program)</t>
        </is>
      </c>
      <c r="C6831" s="1" t="n">
        <v>18.91</v>
      </c>
      <c r="D6831" s="1" t="n">
        <v>12</v>
      </c>
      <c r="E6831" s="1" t="n">
        <v>2.98</v>
      </c>
      <c r="F6831" s="1" t="n">
        <v>4.32</v>
      </c>
      <c r="G6831" s="1" t="n">
        <v>0.47</v>
      </c>
      <c r="H6831" s="1" t="n">
        <v>1525</v>
      </c>
      <c r="I6831" s="1" t="n">
        <v>0.63</v>
      </c>
    </row>
    <row r="6832" ht="15.75" customHeight="1" s="201">
      <c r="A6832" s="1" t="inlineStr">
        <is>
          <t>Tomato products, canned, puree, with salt added</t>
        </is>
      </c>
      <c r="C6832" s="1" t="n">
        <v>8.98</v>
      </c>
      <c r="D6832" s="1" t="n">
        <v>11</v>
      </c>
      <c r="E6832" s="1" t="n">
        <v>1.78</v>
      </c>
      <c r="F6832" s="1" t="n">
        <v>1.65</v>
      </c>
      <c r="G6832" s="1" t="n">
        <v>0.21</v>
      </c>
      <c r="H6832" s="1" t="n">
        <v>510</v>
      </c>
      <c r="I6832" s="1" t="n">
        <v>0.36</v>
      </c>
      <c r="J6832" t="n">
        <v>75142550</v>
      </c>
    </row>
    <row r="6833" ht="15.75" customHeight="1" s="201">
      <c r="A6833" s="1" t="inlineStr">
        <is>
          <t>Tomato products, canned, puree, without salt added</t>
        </is>
      </c>
      <c r="C6833" s="1" t="n">
        <v>8.98</v>
      </c>
      <c r="D6833" s="1" t="n">
        <v>11</v>
      </c>
      <c r="E6833" s="1" t="n">
        <v>1.78</v>
      </c>
      <c r="F6833" s="1" t="n">
        <v>1.65</v>
      </c>
      <c r="G6833" s="1" t="n">
        <v>0.21</v>
      </c>
      <c r="H6833" s="1" t="n">
        <v>510</v>
      </c>
      <c r="I6833" s="1" t="n">
        <v>0.36</v>
      </c>
      <c r="J6833" t="n">
        <v>73103020</v>
      </c>
    </row>
    <row r="6834" ht="15.75" customHeight="1" s="201">
      <c r="A6834" s="1" t="inlineStr">
        <is>
          <t>Tomato products, canned, sauce</t>
        </is>
      </c>
      <c r="C6834" s="1" t="n">
        <v>5.31</v>
      </c>
      <c r="D6834" s="1" t="n">
        <v>9</v>
      </c>
      <c r="E6834" s="1" t="n">
        <v>0.96</v>
      </c>
      <c r="F6834" s="1" t="n">
        <v>1.2</v>
      </c>
      <c r="G6834" s="1" t="n">
        <v>0.3</v>
      </c>
      <c r="H6834" s="1" t="n">
        <v>435</v>
      </c>
      <c r="I6834" s="1" t="n">
        <v>0.22</v>
      </c>
      <c r="J6834" t="n">
        <v>58131323</v>
      </c>
    </row>
    <row r="6835" ht="15.75" customHeight="1" s="201">
      <c r="A6835" s="1" t="inlineStr">
        <is>
          <t>Tomato products, canned, sauce, spanish style</t>
        </is>
      </c>
      <c r="C6835" s="1" t="n">
        <v>7.24</v>
      </c>
      <c r="D6835" s="1" t="n">
        <v>14</v>
      </c>
      <c r="E6835" s="1" t="n">
        <v>3.48</v>
      </c>
      <c r="F6835" s="1" t="n">
        <v>1.44</v>
      </c>
      <c r="G6835" s="1" t="n">
        <v>0.27</v>
      </c>
      <c r="H6835" s="1" t="n">
        <v>985</v>
      </c>
      <c r="I6835" s="1" t="n">
        <v>0.34</v>
      </c>
      <c r="J6835" t="n">
        <v>58131323</v>
      </c>
    </row>
    <row r="6836" ht="15.75" customHeight="1" s="201">
      <c r="A6836" s="1" t="inlineStr">
        <is>
          <t>Tomato products, canned, sauce, with herbs and cheese</t>
        </is>
      </c>
      <c r="C6836" s="1" t="n">
        <v>10.24</v>
      </c>
      <c r="D6836" s="1" t="n">
        <v>8</v>
      </c>
      <c r="E6836" s="1" t="n">
        <v>0.87</v>
      </c>
      <c r="F6836" s="1" t="n">
        <v>2.13</v>
      </c>
      <c r="G6836" s="1" t="n">
        <v>1.93</v>
      </c>
      <c r="H6836" s="1" t="n">
        <v>987</v>
      </c>
      <c r="I6836" s="1" t="n">
        <v>0.36</v>
      </c>
      <c r="J6836" t="n">
        <v>27540291</v>
      </c>
    </row>
    <row r="6837" ht="15.75" customHeight="1" s="201">
      <c r="A6837" s="1" t="inlineStr">
        <is>
          <t>Tomato products, canned, sauce, with mushrooms</t>
        </is>
      </c>
      <c r="C6837" s="1" t="n">
        <v>8.43</v>
      </c>
      <c r="D6837" s="1" t="n">
        <v>9</v>
      </c>
      <c r="E6837" s="1" t="n">
        <v>0.89</v>
      </c>
      <c r="F6837" s="1" t="n">
        <v>1.45</v>
      </c>
      <c r="G6837" s="1" t="n">
        <v>0.13</v>
      </c>
      <c r="H6837" s="1" t="n">
        <v>955</v>
      </c>
      <c r="I6837" s="1" t="n">
        <v>0.21</v>
      </c>
      <c r="J6837" t="n">
        <v>75142550</v>
      </c>
    </row>
    <row r="6838" ht="15.75" customHeight="1" s="201">
      <c r="A6838" s="1" t="inlineStr">
        <is>
          <t>Tomato products, canned, sauce, with onions</t>
        </is>
      </c>
      <c r="C6838" s="1" t="n">
        <v>9.94</v>
      </c>
      <c r="D6838" s="1" t="n">
        <v>22</v>
      </c>
      <c r="E6838" s="1" t="n">
        <v>0.93</v>
      </c>
      <c r="F6838" s="1" t="n">
        <v>1.56</v>
      </c>
      <c r="G6838" s="1" t="n">
        <v>0.19</v>
      </c>
      <c r="H6838" s="1" t="n">
        <v>850</v>
      </c>
      <c r="I6838" s="1" t="n">
        <v>0.23</v>
      </c>
      <c r="J6838" t="n">
        <v>75142550</v>
      </c>
    </row>
    <row r="6839" ht="15.75" customHeight="1" s="201">
      <c r="A6839" s="1" t="inlineStr">
        <is>
          <t>Tomato products, canned, sauce, with onions, green peppers, and celery</t>
        </is>
      </c>
      <c r="C6839" s="1" t="n">
        <v>8.77</v>
      </c>
      <c r="D6839" s="1" t="n">
        <v>14</v>
      </c>
      <c r="E6839" s="1" t="n">
        <v>0.76</v>
      </c>
      <c r="F6839" s="1" t="n">
        <v>0.9399999999999999</v>
      </c>
      <c r="G6839" s="1" t="n">
        <v>0.74</v>
      </c>
      <c r="H6839" s="1" t="n">
        <v>810</v>
      </c>
      <c r="I6839" s="1" t="n">
        <v>0.28</v>
      </c>
      <c r="J6839" t="n">
        <v>75142550</v>
      </c>
    </row>
    <row r="6840" ht="15.75" customHeight="1" s="201">
      <c r="A6840" s="1" t="inlineStr">
        <is>
          <t>Tomato products, canned, sauce, with tomato tidbits</t>
        </is>
      </c>
      <c r="C6840" s="1" t="n">
        <v>7.09</v>
      </c>
      <c r="D6840" s="1" t="n">
        <v>9</v>
      </c>
      <c r="E6840" s="1" t="n">
        <v>0.68</v>
      </c>
      <c r="F6840" s="1" t="n">
        <v>1.32</v>
      </c>
      <c r="G6840" s="1" t="n">
        <v>0.39</v>
      </c>
      <c r="H6840" s="1" t="n">
        <v>801</v>
      </c>
      <c r="I6840" s="1" t="n">
        <v>0.19</v>
      </c>
      <c r="J6840" t="n">
        <v>27246505</v>
      </c>
    </row>
    <row r="6841" ht="15.75" customHeight="1" s="201">
      <c r="A6841" s="1" t="inlineStr">
        <is>
          <t>Tomato sauce, canned, no salt added</t>
        </is>
      </c>
      <c r="C6841" s="1" t="n">
        <v>5.31</v>
      </c>
      <c r="D6841" s="1" t="n">
        <v>9</v>
      </c>
      <c r="E6841" s="1" t="n">
        <v>0.96</v>
      </c>
      <c r="F6841" s="1" t="n">
        <v>1.2</v>
      </c>
      <c r="G6841" s="1" t="n">
        <v>0.3</v>
      </c>
      <c r="H6841" s="1" t="n">
        <v>435</v>
      </c>
      <c r="I6841" s="1" t="n">
        <v>0.22</v>
      </c>
      <c r="J6841" t="n">
        <v>58146333</v>
      </c>
    </row>
    <row r="6842" ht="15.75" customHeight="1" s="201">
      <c r="A6842" s="1" t="inlineStr">
        <is>
          <t>Tomatoes, crushed, canned</t>
        </is>
      </c>
      <c r="C6842" s="1" t="n">
        <v>7.29</v>
      </c>
      <c r="D6842" s="1" t="n">
        <v>13</v>
      </c>
      <c r="E6842" s="1" t="n">
        <v>1.3</v>
      </c>
      <c r="F6842" s="1" t="n">
        <v>1.64</v>
      </c>
      <c r="G6842" s="1" t="n">
        <v>0.28</v>
      </c>
      <c r="H6842" s="1" t="n">
        <v>215</v>
      </c>
      <c r="I6842" s="1" t="n">
        <v>0.27</v>
      </c>
      <c r="J6842" t="n">
        <v>63311110</v>
      </c>
    </row>
    <row r="6843" ht="15.75" customHeight="1" s="201">
      <c r="A6843" s="1" t="inlineStr">
        <is>
          <t>Tomatoes, green, raw</t>
        </is>
      </c>
      <c r="C6843" s="1" t="n">
        <v>5.1</v>
      </c>
      <c r="D6843" s="1" t="n">
        <v>9</v>
      </c>
      <c r="E6843" s="1" t="n">
        <v>0.51</v>
      </c>
      <c r="F6843" s="1" t="n">
        <v>1.2</v>
      </c>
      <c r="G6843" s="1" t="n">
        <v>0.2</v>
      </c>
      <c r="H6843" s="1" t="n">
        <v>642</v>
      </c>
      <c r="I6843" s="1" t="n">
        <v>0.07000000000000001</v>
      </c>
      <c r="J6843" t="n">
        <v>74205010</v>
      </c>
    </row>
    <row r="6844" ht="15.75" customHeight="1" s="201">
      <c r="A6844" s="1" t="inlineStr">
        <is>
          <t>Tomatoes, orange, raw</t>
        </is>
      </c>
      <c r="C6844" s="1" t="n">
        <v>3.18</v>
      </c>
      <c r="D6844" s="1" t="n">
        <v>29</v>
      </c>
      <c r="E6844" s="1" t="n">
        <v>0.47</v>
      </c>
      <c r="F6844" s="1" t="n">
        <v>1.16</v>
      </c>
      <c r="G6844" s="1" t="n">
        <v>0.19</v>
      </c>
      <c r="H6844" s="1" t="n">
        <v>1496</v>
      </c>
      <c r="I6844" s="1" t="n">
        <v>0.14</v>
      </c>
      <c r="J6844" t="n">
        <v>92550350</v>
      </c>
    </row>
    <row r="6845" ht="15.75" customHeight="1" s="201">
      <c r="A6845" s="1" t="inlineStr">
        <is>
          <t>Tomatoes, red, ripe, canned, packed in tomato juice</t>
        </is>
      </c>
      <c r="C6845" s="1" t="n">
        <v>3.47</v>
      </c>
      <c r="D6845" s="1" t="n">
        <v>8</v>
      </c>
      <c r="E6845" s="1" t="n">
        <v>0.57</v>
      </c>
      <c r="F6845" s="1" t="n">
        <v>0.79</v>
      </c>
      <c r="G6845" s="1" t="n">
        <v>0.25</v>
      </c>
      <c r="H6845" s="1" t="n">
        <v>408</v>
      </c>
      <c r="I6845" s="1" t="n">
        <v>0.12</v>
      </c>
      <c r="J6845" t="n">
        <v>64100110</v>
      </c>
    </row>
    <row r="6846" ht="15.75" customHeight="1" s="201">
      <c r="A6846" s="1" t="inlineStr">
        <is>
          <t>Tomatoes, red, ripe, canned, packed in tomato juice, no salt added</t>
        </is>
      </c>
      <c r="C6846" s="1" t="n">
        <v>3.47</v>
      </c>
      <c r="D6846" s="1" t="n">
        <v>8</v>
      </c>
      <c r="E6846" s="1" t="n">
        <v>0.57</v>
      </c>
      <c r="F6846" s="1" t="n">
        <v>0.79</v>
      </c>
      <c r="G6846" s="1" t="n">
        <v>0.25</v>
      </c>
      <c r="H6846" s="1" t="n">
        <v>441</v>
      </c>
      <c r="I6846" s="1" t="n">
        <v>0.12</v>
      </c>
      <c r="J6846" t="n">
        <v>64100110</v>
      </c>
    </row>
    <row r="6847" ht="15.75" customHeight="1" s="201">
      <c r="A6847" s="1" t="inlineStr">
        <is>
          <t>Tomatoes, red, ripe, canned, stewed</t>
        </is>
      </c>
      <c r="C6847" s="1" t="n">
        <v>6.19</v>
      </c>
      <c r="D6847" s="1" t="n">
        <v>5</v>
      </c>
      <c r="E6847" s="1" t="n">
        <v>1.33</v>
      </c>
      <c r="F6847" s="1" t="n">
        <v>0.91</v>
      </c>
      <c r="G6847" s="1" t="n">
        <v>0.19</v>
      </c>
      <c r="H6847" s="1" t="n">
        <v>172</v>
      </c>
      <c r="I6847" s="1" t="n">
        <v>0.17</v>
      </c>
      <c r="J6847" t="n">
        <v>63311110</v>
      </c>
    </row>
    <row r="6848" ht="15.75" customHeight="1" s="201">
      <c r="A6848" s="1" t="inlineStr">
        <is>
          <t>Tomatoes, red, ripe, canned, with green chilies</t>
        </is>
      </c>
      <c r="C6848" s="1" t="n">
        <v>3.62</v>
      </c>
      <c r="D6848" s="1" t="n">
        <v>9</v>
      </c>
      <c r="E6848" s="1" t="n">
        <v>0.26</v>
      </c>
      <c r="F6848" s="1" t="n">
        <v>0.6899999999999999</v>
      </c>
      <c r="G6848" s="1" t="n">
        <v>0.08</v>
      </c>
      <c r="H6848" s="1" t="n">
        <v>390</v>
      </c>
      <c r="I6848" s="1" t="n">
        <v>0.13</v>
      </c>
      <c r="J6848" t="n">
        <v>75142550</v>
      </c>
    </row>
    <row r="6849" ht="15.75" customHeight="1" s="201">
      <c r="A6849" s="1" t="inlineStr">
        <is>
          <t>Tomatoes, red, ripe, cooked</t>
        </is>
      </c>
      <c r="C6849" s="1" t="n">
        <v>4.01</v>
      </c>
      <c r="D6849" s="1" t="n">
        <v>13</v>
      </c>
      <c r="E6849" s="1" t="n">
        <v>0.68</v>
      </c>
      <c r="F6849" s="1" t="n">
        <v>0.95</v>
      </c>
      <c r="G6849" s="1" t="n">
        <v>0.11</v>
      </c>
      <c r="H6849" s="1" t="n">
        <v>489</v>
      </c>
      <c r="I6849" s="1" t="n">
        <v>0.14</v>
      </c>
      <c r="J6849" t="n">
        <v>63409015</v>
      </c>
    </row>
    <row r="6850" ht="15.75" customHeight="1" s="201">
      <c r="A6850" s="1" t="inlineStr">
        <is>
          <t>Tomatoes, red, ripe, cooked, stewed</t>
        </is>
      </c>
      <c r="C6850" s="1" t="n">
        <v>13.05</v>
      </c>
      <c r="D6850" s="1" t="n">
        <v>11</v>
      </c>
      <c r="E6850" s="1" t="n">
        <v>1.06</v>
      </c>
      <c r="F6850" s="1" t="n">
        <v>1.96</v>
      </c>
      <c r="G6850" s="1" t="n">
        <v>2.68</v>
      </c>
      <c r="H6850" s="1" t="n">
        <v>666</v>
      </c>
      <c r="I6850" s="1" t="n">
        <v>0.18</v>
      </c>
      <c r="J6850" t="n">
        <v>24163110</v>
      </c>
    </row>
    <row r="6851" ht="15.75" customHeight="1" s="201">
      <c r="A6851" s="1" t="inlineStr">
        <is>
          <t>Tomatoes, red, ripe, cooked, with salt</t>
        </is>
      </c>
      <c r="C6851" s="1" t="n">
        <v>4.01</v>
      </c>
      <c r="D6851" s="1" t="n">
        <v>13</v>
      </c>
      <c r="E6851" s="1" t="n">
        <v>0.68</v>
      </c>
      <c r="F6851" s="1" t="n">
        <v>0.95</v>
      </c>
      <c r="G6851" s="1" t="n">
        <v>0.11</v>
      </c>
      <c r="H6851" s="1" t="n">
        <v>489</v>
      </c>
      <c r="I6851" s="1" t="n">
        <v>0.14</v>
      </c>
      <c r="J6851" t="n">
        <v>75142550</v>
      </c>
    </row>
    <row r="6852" ht="15.75" customHeight="1" s="201">
      <c r="A6852" s="1" t="inlineStr">
        <is>
          <t>Tomatoes, red, ripe, raw, year round average</t>
        </is>
      </c>
      <c r="C6852" s="1" t="n">
        <v>3.89</v>
      </c>
      <c r="D6852" s="1" t="n">
        <v>15</v>
      </c>
      <c r="E6852" s="1" t="n">
        <v>0.27</v>
      </c>
      <c r="F6852" s="1" t="n">
        <v>0.88</v>
      </c>
      <c r="G6852" s="1" t="n">
        <v>0.2</v>
      </c>
      <c r="H6852" s="1" t="n">
        <v>833</v>
      </c>
      <c r="I6852" s="1" t="n">
        <v>0.17</v>
      </c>
    </row>
    <row r="6853" ht="15.75" customHeight="1" s="201">
      <c r="A6853" s="1" t="inlineStr">
        <is>
          <t>Tomatoes, sun-dried</t>
        </is>
      </c>
      <c r="C6853" s="1" t="n">
        <v>55.76</v>
      </c>
      <c r="D6853" s="1" t="n">
        <v>68</v>
      </c>
      <c r="E6853" s="1" t="n">
        <v>9.09</v>
      </c>
      <c r="F6853" s="1" t="n">
        <v>14.11</v>
      </c>
      <c r="G6853" s="1" t="n">
        <v>2.97</v>
      </c>
      <c r="H6853" s="1" t="n">
        <v>874</v>
      </c>
      <c r="I6853" s="1" t="n">
        <v>1.99</v>
      </c>
      <c r="J6853" t="n">
        <v>74206000</v>
      </c>
    </row>
    <row r="6854" ht="15.75" customHeight="1" s="201">
      <c r="A6854" s="1" t="inlineStr">
        <is>
          <t>Tomatoes, sun-dried, packed in oil, drained</t>
        </is>
      </c>
      <c r="C6854" s="1" t="n">
        <v>23.33</v>
      </c>
      <c r="D6854" s="1" t="n">
        <v>23</v>
      </c>
      <c r="E6854" s="1" t="n">
        <v>2.68</v>
      </c>
      <c r="F6854" s="1" t="n">
        <v>5.06</v>
      </c>
      <c r="G6854" s="1" t="n">
        <v>14.08</v>
      </c>
      <c r="H6854" s="1" t="n">
        <v>1286</v>
      </c>
      <c r="I6854" s="1" t="n">
        <v>0.78</v>
      </c>
      <c r="J6854" t="n">
        <v>74206000</v>
      </c>
    </row>
    <row r="6855" ht="15.75" customHeight="1" s="201">
      <c r="A6855" s="1" t="inlineStr">
        <is>
          <t>Tomatoes, yellow, raw</t>
        </is>
      </c>
      <c r="C6855" s="1" t="n">
        <v>2.98</v>
      </c>
      <c r="D6855" s="1" t="n">
        <v>30</v>
      </c>
      <c r="E6855" s="1" t="n">
        <v>0.49</v>
      </c>
      <c r="F6855" s="1" t="n">
        <v>0.98</v>
      </c>
      <c r="G6855" s="1" t="n">
        <v>0.26</v>
      </c>
      <c r="H6855" s="1" t="n">
        <v>0</v>
      </c>
      <c r="I6855" s="1" t="n">
        <v>0.28</v>
      </c>
      <c r="J6855" t="n">
        <v>53109200</v>
      </c>
    </row>
    <row r="6856" ht="15.75" customHeight="1" s="201">
      <c r="A6856" s="1" t="inlineStr">
        <is>
          <t>Topping, SMUCKER'S MAGIC SHELL</t>
        </is>
      </c>
      <c r="C6856" s="1" t="n">
        <v>50.07</v>
      </c>
      <c r="D6856" s="1" t="n">
        <v>6</v>
      </c>
      <c r="E6856" s="1" t="n">
        <v>0</v>
      </c>
      <c r="F6856" s="1" t="n">
        <v>2.94</v>
      </c>
      <c r="G6856" s="1" t="n">
        <v>44.1</v>
      </c>
      <c r="H6856" s="1" t="n">
        <v>21</v>
      </c>
      <c r="I6856" s="1" t="n">
        <v>0.45</v>
      </c>
      <c r="J6856" t="n">
        <v>51161270</v>
      </c>
    </row>
    <row r="6857" ht="15.75" customHeight="1" s="201">
      <c r="A6857" s="1" t="inlineStr">
        <is>
          <t>Toppings, butterscotch or caramel</t>
        </is>
      </c>
      <c r="C6857" s="1" t="n">
        <v>57.01</v>
      </c>
      <c r="D6857" s="1" t="n">
        <v>2</v>
      </c>
      <c r="E6857" s="1" t="n">
        <v>0</v>
      </c>
      <c r="F6857" s="1" t="n">
        <v>1.21</v>
      </c>
      <c r="G6857" s="1" t="n">
        <v>0</v>
      </c>
      <c r="H6857" s="1" t="n">
        <v>62</v>
      </c>
      <c r="I6857" s="1" t="n">
        <v>0</v>
      </c>
      <c r="J6857" t="n">
        <v>58106736</v>
      </c>
    </row>
    <row r="6858" ht="15.75" customHeight="1" s="201">
      <c r="A6858" s="1" t="inlineStr">
        <is>
          <t>Toppings, marshmallow cream</t>
        </is>
      </c>
      <c r="C6858" s="1" t="n">
        <v>79</v>
      </c>
      <c r="D6858" s="1" t="n">
        <v>1</v>
      </c>
      <c r="E6858" s="1" t="n">
        <v>0.22</v>
      </c>
      <c r="F6858" s="1" t="n">
        <v>0.8</v>
      </c>
      <c r="G6858" s="1" t="n">
        <v>0.3</v>
      </c>
      <c r="H6858" s="1" t="n">
        <v>1</v>
      </c>
      <c r="I6858" s="1" t="n">
        <v>0.04</v>
      </c>
      <c r="J6858" t="n">
        <v>58106736</v>
      </c>
    </row>
    <row r="6859" ht="15.75" customHeight="1" s="201">
      <c r="A6859" s="1" t="inlineStr">
        <is>
          <t>Toppings, nuts in syrup</t>
        </is>
      </c>
      <c r="C6859" s="1" t="n">
        <v>58.08</v>
      </c>
      <c r="D6859" s="1" t="n">
        <v>26</v>
      </c>
      <c r="E6859" s="1" t="n">
        <v>1.05</v>
      </c>
      <c r="F6859" s="1" t="n">
        <v>4.5</v>
      </c>
      <c r="G6859" s="1" t="n">
        <v>22</v>
      </c>
      <c r="H6859" s="1" t="n">
        <v>7</v>
      </c>
      <c r="I6859" s="1" t="n">
        <v>1.05</v>
      </c>
      <c r="J6859" t="n">
        <v>58106736</v>
      </c>
    </row>
    <row r="6860" ht="15.75" customHeight="1" s="201">
      <c r="A6860" s="1" t="inlineStr">
        <is>
          <t>Toppings, pineapple</t>
        </is>
      </c>
      <c r="C6860" s="1" t="n">
        <v>66.40000000000001</v>
      </c>
      <c r="D6860" s="1" t="n">
        <v>2</v>
      </c>
      <c r="E6860" s="1" t="n">
        <v>0.12</v>
      </c>
      <c r="F6860" s="1" t="n">
        <v>0.1</v>
      </c>
      <c r="G6860" s="1" t="n">
        <v>0.1</v>
      </c>
      <c r="H6860" s="1" t="n">
        <v>17</v>
      </c>
      <c r="I6860" s="1" t="n">
        <v>0.05</v>
      </c>
      <c r="J6860" t="n">
        <v>58106736</v>
      </c>
    </row>
    <row r="6861" ht="15.75" customHeight="1" s="201">
      <c r="A6861" s="1" t="inlineStr">
        <is>
          <t>Toppings, strawberry</t>
        </is>
      </c>
      <c r="C6861" s="1" t="n">
        <v>66.3</v>
      </c>
      <c r="D6861" s="1" t="n">
        <v>6</v>
      </c>
      <c r="E6861" s="1" t="n">
        <v>0.28</v>
      </c>
      <c r="F6861" s="1" t="n">
        <v>0.2</v>
      </c>
      <c r="G6861" s="1" t="n">
        <v>0.1</v>
      </c>
      <c r="H6861" s="1" t="n">
        <v>18</v>
      </c>
      <c r="I6861" s="1" t="n">
        <v>0.06</v>
      </c>
      <c r="J6861" t="n">
        <v>58106736</v>
      </c>
    </row>
    <row r="6862" ht="15.75" customHeight="1" s="201">
      <c r="A6862" s="1" t="inlineStr">
        <is>
          <t>Tortellini, pasta with cheese filling, fresh-refrigerated, as purchased</t>
        </is>
      </c>
      <c r="C6862" s="1" t="n">
        <v>47</v>
      </c>
      <c r="D6862" s="1" t="n">
        <v>74</v>
      </c>
      <c r="E6862" s="1" t="n">
        <v>1.5</v>
      </c>
      <c r="F6862" s="1" t="n">
        <v>13.5</v>
      </c>
      <c r="G6862" s="1" t="n">
        <v>7.23</v>
      </c>
      <c r="H6862" s="1" t="n">
        <v>143</v>
      </c>
      <c r="I6862" s="1" t="n">
        <v>1.02</v>
      </c>
      <c r="J6862" t="n">
        <v>51121065</v>
      </c>
    </row>
    <row r="6863" ht="15.75" customHeight="1" s="201">
      <c r="A6863" s="1" t="inlineStr">
        <is>
          <t>Tortilla chips, low fat, baked without fat</t>
        </is>
      </c>
      <c r="C6863" s="1" t="n">
        <v>80.2</v>
      </c>
      <c r="D6863" s="1" t="n">
        <v>16</v>
      </c>
      <c r="E6863" s="1" t="n">
        <v>1.6</v>
      </c>
      <c r="F6863" s="1" t="n">
        <v>11</v>
      </c>
      <c r="G6863" s="1" t="n">
        <v>5.7</v>
      </c>
      <c r="H6863" s="1" t="n">
        <v>104</v>
      </c>
      <c r="I6863" s="1" t="n">
        <v>1.15</v>
      </c>
      <c r="J6863" t="n">
        <v>54401121</v>
      </c>
    </row>
    <row r="6864" ht="15.75" customHeight="1" s="201">
      <c r="A6864" s="1" t="inlineStr">
        <is>
          <t>Tortilla chips, yellow, plain, salted</t>
        </is>
      </c>
      <c r="C6864" s="1" t="n">
        <v>67.38</v>
      </c>
      <c r="D6864" s="1" t="n">
        <v>22</v>
      </c>
      <c r="E6864" s="1" t="n">
        <v>1.32</v>
      </c>
      <c r="F6864" s="1" t="n">
        <v>6.62</v>
      </c>
      <c r="G6864" s="1" t="n">
        <v>22.33</v>
      </c>
      <c r="H6864" s="1" t="n">
        <v>158</v>
      </c>
      <c r="I6864" s="1" t="n">
        <v>1.46</v>
      </c>
      <c r="J6864" t="n">
        <v>54401121</v>
      </c>
    </row>
    <row r="6865" ht="15.75" customHeight="1" s="201">
      <c r="A6865" s="1" t="inlineStr">
        <is>
          <t>Tortilla, blue corn, Sakwavikaviki (Hopi)</t>
        </is>
      </c>
      <c r="C6865" s="1" t="n">
        <v>58.12</v>
      </c>
      <c r="E6865" s="1" t="n">
        <v>2.89</v>
      </c>
      <c r="F6865" s="1" t="n">
        <v>7.83</v>
      </c>
      <c r="G6865" s="1" t="n">
        <v>1.4</v>
      </c>
      <c r="H6865" s="1" t="n">
        <v>2</v>
      </c>
      <c r="I6865" s="1" t="n">
        <v>0.68</v>
      </c>
      <c r="J6865" t="n">
        <v>52215300</v>
      </c>
    </row>
    <row r="6866" ht="15.75" customHeight="1" s="201">
      <c r="A6866" s="1" t="inlineStr">
        <is>
          <t>Tortilla, includes plain and from mutton sandwich (Navajo)</t>
        </is>
      </c>
      <c r="C6866" s="1" t="n">
        <v>49.94</v>
      </c>
      <c r="D6866" s="1" t="n">
        <v>98</v>
      </c>
      <c r="E6866" s="1" t="n">
        <v>3.81</v>
      </c>
      <c r="F6866" s="1" t="n">
        <v>7.28</v>
      </c>
      <c r="G6866" s="1" t="n">
        <v>0.95</v>
      </c>
      <c r="I6866" s="1" t="n">
        <v>0.32</v>
      </c>
      <c r="J6866" t="n">
        <v>27513010</v>
      </c>
    </row>
    <row r="6867" ht="15.75" customHeight="1" s="201">
      <c r="A6867" s="1" t="inlineStr">
        <is>
          <t>Tortillas, ready-to-bake or -fry, corn, without added salt</t>
        </is>
      </c>
      <c r="C6867" s="1" t="n">
        <v>46.6</v>
      </c>
      <c r="D6867" s="1" t="n">
        <v>114</v>
      </c>
      <c r="E6867" s="1" t="n">
        <v>1.4</v>
      </c>
      <c r="F6867" s="1" t="n">
        <v>5.7</v>
      </c>
      <c r="G6867" s="1" t="n">
        <v>2.5</v>
      </c>
      <c r="H6867" s="1" t="n">
        <v>0</v>
      </c>
      <c r="I6867" s="1" t="n">
        <v>0.9399999999999999</v>
      </c>
      <c r="J6867" t="n">
        <v>75216320</v>
      </c>
    </row>
    <row r="6868" ht="15.75" customHeight="1" s="201">
      <c r="A6868" s="1" t="inlineStr">
        <is>
          <t>Tortillas, ready-to-bake or -fry, flour, shelf stable</t>
        </is>
      </c>
      <c r="C6868" s="1" t="n">
        <v>49.27</v>
      </c>
      <c r="D6868" s="1" t="n">
        <v>118</v>
      </c>
      <c r="E6868" s="1" t="n">
        <v>3.32</v>
      </c>
      <c r="F6868" s="1" t="n">
        <v>8.01</v>
      </c>
      <c r="G6868" s="1" t="n">
        <v>7.58</v>
      </c>
      <c r="H6868" s="1" t="n">
        <v>0</v>
      </c>
      <c r="I6868" s="1" t="n">
        <v>0.57</v>
      </c>
      <c r="J6868" t="n">
        <v>52215350</v>
      </c>
    </row>
    <row r="6869" ht="15.75" customHeight="1" s="201">
      <c r="A6869" s="1" t="inlineStr">
        <is>
          <t>Tortillas, ready-to-bake or -fry, flour, without added calcium</t>
        </is>
      </c>
      <c r="C6869" s="1" t="n">
        <v>55.6</v>
      </c>
      <c r="D6869" s="1" t="n">
        <v>123</v>
      </c>
      <c r="E6869" s="1" t="n">
        <v>3.3</v>
      </c>
      <c r="F6869" s="1" t="n">
        <v>8.699999999999999</v>
      </c>
      <c r="G6869" s="1" t="n">
        <v>7.1</v>
      </c>
      <c r="H6869" s="1" t="n">
        <v>0</v>
      </c>
      <c r="I6869" s="1" t="n">
        <v>0.71</v>
      </c>
      <c r="J6869" t="n">
        <v>61210250</v>
      </c>
    </row>
    <row r="6870" ht="15.75" customHeight="1" s="201">
      <c r="A6870" s="1" t="inlineStr">
        <is>
          <t>Tortillas, ready-to-bake or -fry, whole wheat</t>
        </is>
      </c>
      <c r="C6870" s="1" t="n">
        <v>45.89</v>
      </c>
      <c r="D6870" s="1" t="n">
        <v>138</v>
      </c>
      <c r="E6870" s="1" t="n">
        <v>2.63</v>
      </c>
      <c r="F6870" s="1" t="n">
        <v>9.76</v>
      </c>
      <c r="G6870" s="1" t="n">
        <v>9.76</v>
      </c>
      <c r="H6870" s="1" t="n">
        <v>5</v>
      </c>
      <c r="I6870" s="1" t="n">
        <v>1.92</v>
      </c>
      <c r="J6870" t="n">
        <v>54204030</v>
      </c>
    </row>
    <row r="6871" ht="15.75" customHeight="1" s="201">
      <c r="A6871" s="1" t="inlineStr">
        <is>
          <t>Tostada shells, corn</t>
        </is>
      </c>
      <c r="C6871" s="1" t="n">
        <v>64.43000000000001</v>
      </c>
      <c r="E6871" s="1" t="n">
        <v>1.53</v>
      </c>
      <c r="F6871" s="1" t="n">
        <v>6.15</v>
      </c>
      <c r="G6871" s="1" t="n">
        <v>23.38</v>
      </c>
      <c r="I6871" s="1" t="n">
        <v>1.23</v>
      </c>
      <c r="J6871" t="n">
        <v>52215300</v>
      </c>
    </row>
    <row r="6872" ht="15.75" customHeight="1" s="201">
      <c r="A6872" s="1" t="inlineStr">
        <is>
          <t>Tree fern, cooked, with salt</t>
        </is>
      </c>
      <c r="C6872" s="1" t="n">
        <v>10.78</v>
      </c>
      <c r="D6872" s="1" t="n">
        <v>15</v>
      </c>
      <c r="E6872" s="1" t="n">
        <v>0.16</v>
      </c>
      <c r="F6872" s="1" t="n">
        <v>0.29</v>
      </c>
      <c r="G6872" s="1" t="n">
        <v>0.07000000000000001</v>
      </c>
      <c r="H6872" s="1" t="n">
        <v>200</v>
      </c>
      <c r="I6872" s="1" t="n">
        <v>0.31</v>
      </c>
      <c r="J6872" t="n">
        <v>75142550</v>
      </c>
    </row>
    <row r="6873" ht="15.75" customHeight="1" s="201">
      <c r="A6873" s="1" t="inlineStr">
        <is>
          <t>Tree fern, cooked, without salt</t>
        </is>
      </c>
      <c r="C6873" s="1" t="n">
        <v>10.98</v>
      </c>
      <c r="D6873" s="1" t="n">
        <v>15</v>
      </c>
      <c r="E6873" s="1" t="n">
        <v>0.16</v>
      </c>
      <c r="F6873" s="1" t="n">
        <v>0.29</v>
      </c>
      <c r="G6873" s="1" t="n">
        <v>0.07000000000000001</v>
      </c>
      <c r="H6873" s="1" t="n">
        <v>200</v>
      </c>
      <c r="I6873" s="1" t="n">
        <v>0.31</v>
      </c>
      <c r="J6873" t="n">
        <v>24164000</v>
      </c>
    </row>
    <row r="6874" ht="15.75" customHeight="1" s="201">
      <c r="A6874" s="1" t="inlineStr">
        <is>
          <t>Triticale</t>
        </is>
      </c>
      <c r="C6874" s="1" t="n">
        <v>72.13</v>
      </c>
      <c r="D6874" s="1" t="n">
        <v>73</v>
      </c>
      <c r="E6874" s="1" t="n">
        <v>2.57</v>
      </c>
      <c r="F6874" s="1" t="n">
        <v>13.05</v>
      </c>
      <c r="G6874" s="1" t="n">
        <v>2.09</v>
      </c>
      <c r="H6874" s="1" t="n">
        <v>0</v>
      </c>
      <c r="I6874" s="1" t="n">
        <v>3.45</v>
      </c>
    </row>
    <row r="6875" ht="15.75" customHeight="1" s="201">
      <c r="A6875" s="1" t="inlineStr">
        <is>
          <t>Triticale flour, whole-grain</t>
        </is>
      </c>
      <c r="C6875" s="1" t="n">
        <v>73.14</v>
      </c>
      <c r="D6875" s="1" t="n">
        <v>74</v>
      </c>
      <c r="E6875" s="1" t="n">
        <v>2.59</v>
      </c>
      <c r="F6875" s="1" t="n">
        <v>13.18</v>
      </c>
      <c r="G6875" s="1" t="n">
        <v>1.81</v>
      </c>
      <c r="H6875" s="1" t="n">
        <v>0</v>
      </c>
      <c r="I6875" s="1" t="n">
        <v>2.66</v>
      </c>
      <c r="J6875" t="n">
        <v>54204030</v>
      </c>
    </row>
    <row r="6876" ht="15.75" customHeight="1" s="201">
      <c r="A6876" s="1" t="inlineStr">
        <is>
          <t>Turkey and gravy, frozen</t>
        </is>
      </c>
      <c r="C6876" s="1" t="n">
        <v>4.61</v>
      </c>
      <c r="D6876" s="1" t="n">
        <v>4</v>
      </c>
      <c r="E6876" s="1" t="n">
        <v>0.93</v>
      </c>
      <c r="F6876" s="1" t="n">
        <v>5.88</v>
      </c>
      <c r="G6876" s="1" t="n">
        <v>2.63</v>
      </c>
      <c r="H6876" s="1" t="n">
        <v>42</v>
      </c>
      <c r="I6876" s="1" t="n">
        <v>0.7</v>
      </c>
      <c r="J6876" t="n">
        <v>28145110</v>
      </c>
    </row>
    <row r="6877" ht="15.75" customHeight="1" s="201">
      <c r="A6877" s="1" t="inlineStr">
        <is>
          <t>Turkey breast, low salt, prepackaged or deli, luncheon meat</t>
        </is>
      </c>
      <c r="C6877" s="1" t="n">
        <v>3.51</v>
      </c>
      <c r="D6877" s="1" t="n">
        <v>4</v>
      </c>
      <c r="E6877" s="1" t="n">
        <v>0.63</v>
      </c>
      <c r="F6877" s="1" t="n">
        <v>21.81</v>
      </c>
      <c r="G6877" s="1" t="n">
        <v>0.83</v>
      </c>
      <c r="H6877" s="1" t="n">
        <v>33</v>
      </c>
      <c r="I6877" s="1" t="n">
        <v>1.33</v>
      </c>
      <c r="J6877" t="n">
        <v>25230780</v>
      </c>
    </row>
    <row r="6878" ht="15.75" customHeight="1" s="201">
      <c r="A6878" s="1" t="inlineStr">
        <is>
          <t>Turkey breast, pre-basted, meat and skin, cooked, roasted</t>
        </is>
      </c>
      <c r="C6878" s="1" t="n">
        <v>0</v>
      </c>
      <c r="D6878" s="1" t="n">
        <v>5</v>
      </c>
      <c r="E6878" s="1" t="n">
        <v>0.66</v>
      </c>
      <c r="F6878" s="1" t="n">
        <v>22.16</v>
      </c>
      <c r="G6878" s="1" t="n">
        <v>3.46</v>
      </c>
      <c r="H6878" s="1" t="n">
        <v>0</v>
      </c>
      <c r="I6878" s="1" t="n">
        <v>1.53</v>
      </c>
      <c r="J6878" t="n">
        <v>27540350</v>
      </c>
    </row>
    <row r="6879" ht="15.75" customHeight="1" s="201">
      <c r="A6879" s="1" t="inlineStr">
        <is>
          <t>Turkey breast, sliced, prepackaged</t>
        </is>
      </c>
      <c r="C6879" s="1" t="n">
        <v>2.2</v>
      </c>
      <c r="D6879" s="1" t="n">
        <v>4</v>
      </c>
      <c r="E6879" s="1" t="n">
        <v>0.42</v>
      </c>
      <c r="F6879" s="1" t="n">
        <v>14.81</v>
      </c>
      <c r="G6879" s="1" t="n">
        <v>3.77</v>
      </c>
      <c r="H6879" s="1" t="n">
        <v>0</v>
      </c>
      <c r="I6879" s="1" t="n">
        <v>0.9399999999999999</v>
      </c>
      <c r="J6879" t="n">
        <v>28145110</v>
      </c>
    </row>
    <row r="6880" ht="15.75" customHeight="1" s="201">
      <c r="A6880" s="1" t="inlineStr">
        <is>
          <t>Turkey from whole, light meat, meat and skin, with added solution, cooked, roasted</t>
        </is>
      </c>
      <c r="C6880" s="1" t="n">
        <v>0</v>
      </c>
      <c r="D6880" s="1" t="n">
        <v>8</v>
      </c>
      <c r="E6880" s="1" t="n">
        <v>0.6</v>
      </c>
      <c r="F6880" s="1" t="n">
        <v>26.52</v>
      </c>
      <c r="G6880" s="1" t="n">
        <v>5.64</v>
      </c>
      <c r="H6880" s="1" t="n">
        <v>35</v>
      </c>
      <c r="I6880" s="1" t="n">
        <v>1.5</v>
      </c>
      <c r="J6880" t="n">
        <v>27446245</v>
      </c>
    </row>
    <row r="6881" ht="15.75" customHeight="1" s="201">
      <c r="A6881" s="1" t="inlineStr">
        <is>
          <t>Turkey from whole, light meat, meat and skin, with added solution, raw</t>
        </is>
      </c>
      <c r="C6881" s="1" t="n">
        <v>0.14</v>
      </c>
      <c r="D6881" s="1" t="n">
        <v>6</v>
      </c>
      <c r="E6881" s="1" t="n">
        <v>0.54</v>
      </c>
      <c r="F6881" s="1" t="n">
        <v>20.02</v>
      </c>
      <c r="G6881" s="1" t="n">
        <v>7.42</v>
      </c>
      <c r="H6881" s="1" t="n">
        <v>64</v>
      </c>
      <c r="I6881" s="1" t="n">
        <v>1.22</v>
      </c>
      <c r="J6881" t="n">
        <v>27446245</v>
      </c>
    </row>
    <row r="6882" ht="15.75" customHeight="1" s="201">
      <c r="A6882" s="1" t="inlineStr">
        <is>
          <t>Turkey from whole, light meat, meat only, with added solution, cooked, roasted</t>
        </is>
      </c>
      <c r="C6882" s="1" t="n">
        <v>0</v>
      </c>
      <c r="D6882" s="1" t="n">
        <v>9</v>
      </c>
      <c r="E6882" s="1" t="n">
        <v>0.55</v>
      </c>
      <c r="F6882" s="1" t="n">
        <v>26.97</v>
      </c>
      <c r="G6882" s="1" t="n">
        <v>2.08</v>
      </c>
      <c r="H6882" s="1" t="n">
        <v>11</v>
      </c>
      <c r="I6882" s="1" t="n">
        <v>1.49</v>
      </c>
      <c r="J6882" t="n">
        <v>27446245</v>
      </c>
    </row>
    <row r="6883" ht="15.75" customHeight="1" s="201">
      <c r="A6883" s="1" t="inlineStr">
        <is>
          <t>Turkey from whole, light meat, meat only, with added solution, raw</t>
        </is>
      </c>
      <c r="C6883" s="1" t="n">
        <v>0</v>
      </c>
      <c r="D6883" s="1" t="n">
        <v>7</v>
      </c>
      <c r="E6883" s="1" t="n">
        <v>0.54</v>
      </c>
      <c r="F6883" s="1" t="n">
        <v>21.54</v>
      </c>
      <c r="G6883" s="1" t="n">
        <v>1.66</v>
      </c>
      <c r="H6883" s="1" t="n">
        <v>20</v>
      </c>
      <c r="I6883" s="1" t="n">
        <v>1.3</v>
      </c>
      <c r="J6883" t="n">
        <v>27446245</v>
      </c>
    </row>
    <row r="6884" ht="15.75" customHeight="1" s="201">
      <c r="A6884" s="1" t="inlineStr">
        <is>
          <t>Turkey Pot Pie, frozen entree</t>
        </is>
      </c>
      <c r="C6884" s="1" t="n">
        <v>17.7</v>
      </c>
      <c r="E6884" s="1" t="n">
        <v>1</v>
      </c>
      <c r="F6884" s="1" t="n">
        <v>6.5</v>
      </c>
      <c r="G6884" s="1" t="n">
        <v>8.800000000000001</v>
      </c>
      <c r="H6884" s="1" t="n">
        <v>1767</v>
      </c>
      <c r="J6884" t="n">
        <v>27540350</v>
      </c>
    </row>
    <row r="6885" ht="15.75" customHeight="1" s="201">
      <c r="A6885" s="1" t="inlineStr">
        <is>
          <t>Turkey roast, boneless, frozen, seasoned, light and dark meat, raw</t>
        </is>
      </c>
      <c r="C6885" s="1" t="n">
        <v>6.4</v>
      </c>
      <c r="D6885" s="1" t="n">
        <v>7</v>
      </c>
      <c r="E6885" s="1" t="n">
        <v>2.1</v>
      </c>
      <c r="F6885" s="1" t="n">
        <v>17.6</v>
      </c>
      <c r="G6885" s="1" t="n">
        <v>2.2</v>
      </c>
      <c r="H6885" s="1" t="n">
        <v>0</v>
      </c>
      <c r="I6885" s="1" t="n">
        <v>1.91</v>
      </c>
      <c r="J6885" t="n">
        <v>27446245</v>
      </c>
    </row>
    <row r="6886" ht="15.75" customHeight="1" s="201">
      <c r="A6886" s="1" t="inlineStr">
        <is>
          <t>Turkey sticks, breaded, battered, fried</t>
        </is>
      </c>
      <c r="C6886" s="1" t="n">
        <v>17</v>
      </c>
      <c r="D6886" s="1" t="n">
        <v>29</v>
      </c>
      <c r="E6886" s="1" t="n">
        <v>2.2</v>
      </c>
      <c r="F6886" s="1" t="n">
        <v>14.2</v>
      </c>
      <c r="G6886" s="1" t="n">
        <v>16.9</v>
      </c>
      <c r="H6886" s="1" t="n">
        <v>40</v>
      </c>
      <c r="I6886" s="1" t="n">
        <v>1.46</v>
      </c>
      <c r="J6886" t="n">
        <v>14660200</v>
      </c>
    </row>
    <row r="6887" ht="15.75" customHeight="1" s="201">
      <c r="A6887" s="1" t="inlineStr">
        <is>
          <t>Turkey thigh, pre-basted, meat and skin, cooked, roasted</t>
        </is>
      </c>
      <c r="C6887" s="1" t="n">
        <v>0</v>
      </c>
      <c r="D6887" s="1" t="n">
        <v>6</v>
      </c>
      <c r="E6887" s="1" t="n">
        <v>1.51</v>
      </c>
      <c r="F6887" s="1" t="n">
        <v>18.8</v>
      </c>
      <c r="G6887" s="1" t="n">
        <v>8.539999999999999</v>
      </c>
      <c r="H6887" s="1" t="n">
        <v>0</v>
      </c>
      <c r="I6887" s="1" t="n">
        <v>4.12</v>
      </c>
      <c r="J6887" t="n">
        <v>24201020</v>
      </c>
    </row>
    <row r="6888" ht="15.75" customHeight="1" s="201">
      <c r="A6888" s="1" t="inlineStr">
        <is>
          <t>Turkey, all classes, back, meat and skin, cooked, roasted</t>
        </is>
      </c>
      <c r="C6888" s="1" t="n">
        <v>0.16</v>
      </c>
      <c r="D6888" s="1" t="n">
        <v>8</v>
      </c>
      <c r="E6888" s="1" t="n">
        <v>2.19</v>
      </c>
      <c r="F6888" s="1" t="n">
        <v>26.59</v>
      </c>
      <c r="G6888" s="1" t="n">
        <v>14.38</v>
      </c>
      <c r="H6888" s="1" t="n">
        <v>0</v>
      </c>
      <c r="I6888" s="1" t="n">
        <v>3.92</v>
      </c>
      <c r="J6888" t="n">
        <v>24201020</v>
      </c>
    </row>
    <row r="6889" ht="15.75" customHeight="1" s="201">
      <c r="A6889" s="1" t="inlineStr">
        <is>
          <t>Turkey, all classes, breast, meat and skin, cooked, roasted</t>
        </is>
      </c>
      <c r="C6889" s="1" t="n">
        <v>0</v>
      </c>
      <c r="D6889" s="1" t="n">
        <v>6</v>
      </c>
      <c r="E6889" s="1" t="n">
        <v>1.4</v>
      </c>
      <c r="F6889" s="1" t="n">
        <v>28.71</v>
      </c>
      <c r="G6889" s="1" t="n">
        <v>7.41</v>
      </c>
      <c r="H6889" s="1" t="n">
        <v>0</v>
      </c>
      <c r="I6889" s="1" t="n">
        <v>2.03</v>
      </c>
      <c r="J6889" t="n">
        <v>27540350</v>
      </c>
    </row>
    <row r="6890" ht="15.75" customHeight="1" s="201">
      <c r="A6890" s="1" t="inlineStr">
        <is>
          <t>Turkey, all classes, breast, meat and skin, raw</t>
        </is>
      </c>
      <c r="C6890" s="1" t="n">
        <v>0</v>
      </c>
      <c r="D6890" s="1" t="n">
        <v>7</v>
      </c>
      <c r="E6890" s="1" t="n">
        <v>1.2</v>
      </c>
      <c r="F6890" s="1" t="n">
        <v>21.89</v>
      </c>
      <c r="G6890" s="1" t="n">
        <v>7.02</v>
      </c>
      <c r="H6890" s="1" t="n">
        <v>6</v>
      </c>
      <c r="I6890" s="1" t="n">
        <v>1.57</v>
      </c>
      <c r="J6890" t="n">
        <v>27540350</v>
      </c>
    </row>
    <row r="6891" ht="15.75" customHeight="1" s="201">
      <c r="A6891" s="1" t="inlineStr">
        <is>
          <t>Turkey, all classes, gizzard, cooked, simmered</t>
        </is>
      </c>
      <c r="C6891" s="1" t="n">
        <v>0</v>
      </c>
      <c r="D6891" s="1" t="n">
        <v>13</v>
      </c>
      <c r="E6891" s="1" t="n">
        <v>3.68</v>
      </c>
      <c r="F6891" s="1" t="n">
        <v>26.45</v>
      </c>
      <c r="G6891" s="1" t="n">
        <v>4.64</v>
      </c>
      <c r="H6891" s="1" t="n">
        <v>37</v>
      </c>
      <c r="I6891" s="1" t="n">
        <v>3.92</v>
      </c>
      <c r="J6891" t="n">
        <v>27540350</v>
      </c>
    </row>
    <row r="6892" ht="15.75" customHeight="1" s="201">
      <c r="A6892" s="1" t="inlineStr">
        <is>
          <t>Turkey, all classes, heart, cooked, simmered</t>
        </is>
      </c>
      <c r="C6892" s="1" t="n">
        <v>0</v>
      </c>
      <c r="D6892" s="1" t="n">
        <v>8</v>
      </c>
      <c r="E6892" s="1" t="n">
        <v>6.96</v>
      </c>
      <c r="F6892" s="1" t="n">
        <v>24.88</v>
      </c>
      <c r="G6892" s="1" t="n">
        <v>7.52</v>
      </c>
      <c r="H6892" s="1" t="n">
        <v>54</v>
      </c>
      <c r="I6892" s="1" t="n">
        <v>4.6</v>
      </c>
      <c r="J6892" t="n">
        <v>27540350</v>
      </c>
    </row>
    <row r="6893" ht="15.75" customHeight="1" s="201">
      <c r="A6893" s="1" t="inlineStr">
        <is>
          <t>Turkey, all classes, heart, raw</t>
        </is>
      </c>
      <c r="C6893" s="1" t="n">
        <v>0.4</v>
      </c>
      <c r="E6893" s="1" t="n">
        <v>3.7</v>
      </c>
      <c r="F6893" s="1" t="n">
        <v>16.7</v>
      </c>
      <c r="G6893" s="1" t="n">
        <v>7.44</v>
      </c>
      <c r="H6893" s="1" t="n">
        <v>305</v>
      </c>
      <c r="I6893" s="1" t="n">
        <v>3.21</v>
      </c>
      <c r="J6893" t="n">
        <v>27540350</v>
      </c>
    </row>
    <row r="6894" ht="15.75" customHeight="1" s="201">
      <c r="A6894" s="1" t="inlineStr">
        <is>
          <t>Turkey, all classes, leg, meat and skin, cooked, roasted</t>
        </is>
      </c>
      <c r="C6894" s="1" t="n">
        <v>0</v>
      </c>
      <c r="D6894" s="1" t="n">
        <v>9</v>
      </c>
      <c r="E6894" s="1" t="n">
        <v>2.3</v>
      </c>
      <c r="F6894" s="1" t="n">
        <v>27.87</v>
      </c>
      <c r="G6894" s="1" t="n">
        <v>9.82</v>
      </c>
      <c r="H6894" s="1" t="n">
        <v>0</v>
      </c>
      <c r="I6894" s="1" t="n">
        <v>4.27</v>
      </c>
      <c r="J6894" t="n">
        <v>24201020</v>
      </c>
    </row>
    <row r="6895" ht="15.75" customHeight="1" s="201">
      <c r="A6895" s="1" t="inlineStr">
        <is>
          <t>Turkey, all classes, leg, meat and skin, raw</t>
        </is>
      </c>
      <c r="C6895" s="1" t="n">
        <v>0</v>
      </c>
      <c r="D6895" s="1" t="n">
        <v>10</v>
      </c>
      <c r="E6895" s="1" t="n">
        <v>1.72</v>
      </c>
      <c r="F6895" s="1" t="n">
        <v>19.54</v>
      </c>
      <c r="G6895" s="1" t="n">
        <v>6.72</v>
      </c>
      <c r="H6895" s="1" t="n">
        <v>3</v>
      </c>
      <c r="I6895" s="1" t="n">
        <v>3.09</v>
      </c>
      <c r="J6895" t="n">
        <v>24201020</v>
      </c>
    </row>
    <row r="6896" ht="15.75" customHeight="1" s="201">
      <c r="A6896" s="1" t="inlineStr">
        <is>
          <t>Turkey, all classes, light meat, cooked, roasted</t>
        </is>
      </c>
      <c r="C6896" s="1" t="n">
        <v>0</v>
      </c>
      <c r="D6896" s="1" t="n">
        <v>10</v>
      </c>
      <c r="E6896" s="1" t="n">
        <v>0.71</v>
      </c>
      <c r="F6896" s="1" t="n">
        <v>30.13</v>
      </c>
      <c r="G6896" s="1" t="n">
        <v>2.08</v>
      </c>
      <c r="H6896" s="1" t="n">
        <v>11</v>
      </c>
      <c r="I6896" s="1" t="n">
        <v>1.72</v>
      </c>
      <c r="J6896" t="n">
        <v>27446245</v>
      </c>
    </row>
    <row r="6897" ht="15.75" customHeight="1" s="201">
      <c r="A6897" s="1" t="inlineStr">
        <is>
          <t>Turkey, all classes, liver, cooked, simmered</t>
        </is>
      </c>
      <c r="C6897" s="1" t="n">
        <v>0</v>
      </c>
      <c r="D6897" s="1" t="n">
        <v>691</v>
      </c>
      <c r="E6897" s="1" t="n">
        <v>1.79</v>
      </c>
      <c r="F6897" s="1" t="n">
        <v>27</v>
      </c>
      <c r="G6897" s="1" t="n">
        <v>8.18</v>
      </c>
      <c r="H6897" s="1" t="n">
        <v>35836</v>
      </c>
      <c r="I6897" s="1" t="n">
        <v>4.53</v>
      </c>
      <c r="J6897" t="n">
        <v>25230560</v>
      </c>
    </row>
    <row r="6898" ht="15.75" customHeight="1" s="201">
      <c r="A6898" s="1" t="inlineStr">
        <is>
          <t>Turkey, all classes, liver, raw</t>
        </is>
      </c>
      <c r="C6898" s="1" t="n">
        <v>0</v>
      </c>
      <c r="D6898" s="1" t="n">
        <v>677</v>
      </c>
      <c r="E6898" s="1" t="n">
        <v>8.94</v>
      </c>
      <c r="F6898" s="1" t="n">
        <v>18.26</v>
      </c>
      <c r="G6898" s="1" t="n">
        <v>5.5</v>
      </c>
      <c r="H6898" s="1" t="n">
        <v>26901</v>
      </c>
      <c r="I6898" s="1" t="n">
        <v>3.37</v>
      </c>
      <c r="J6898" t="n">
        <v>25230560</v>
      </c>
    </row>
    <row r="6899" ht="15.75" customHeight="1" s="201">
      <c r="A6899" s="1" t="inlineStr">
        <is>
          <t>Turkey, all classes, wing, meat and skin, cooked, roasted</t>
        </is>
      </c>
      <c r="C6899" s="1" t="n">
        <v>0</v>
      </c>
      <c r="D6899" s="1" t="n">
        <v>6</v>
      </c>
      <c r="E6899" s="1" t="n">
        <v>1.46</v>
      </c>
      <c r="F6899" s="1" t="n">
        <v>27.38</v>
      </c>
      <c r="G6899" s="1" t="n">
        <v>12.43</v>
      </c>
      <c r="H6899" s="1" t="n">
        <v>0</v>
      </c>
      <c r="I6899" s="1" t="n">
        <v>2.1</v>
      </c>
      <c r="J6899" t="n">
        <v>24201020</v>
      </c>
    </row>
    <row r="6900" ht="15.75" customHeight="1" s="201">
      <c r="A6900" s="1" t="inlineStr">
        <is>
          <t>Turkey, all classes, wing, meat and skin, raw</t>
        </is>
      </c>
      <c r="C6900" s="1" t="n">
        <v>0</v>
      </c>
      <c r="D6900" s="1" t="n">
        <v>7</v>
      </c>
      <c r="E6900" s="1" t="n">
        <v>1.26</v>
      </c>
      <c r="F6900" s="1" t="n">
        <v>20.22</v>
      </c>
      <c r="G6900" s="1" t="n">
        <v>12.32</v>
      </c>
      <c r="H6900" s="1" t="n">
        <v>11</v>
      </c>
      <c r="I6900" s="1" t="n">
        <v>1.54</v>
      </c>
      <c r="J6900" t="n">
        <v>24201020</v>
      </c>
    </row>
    <row r="6901" ht="15.75" customHeight="1" s="201">
      <c r="A6901" s="1" t="inlineStr">
        <is>
          <t>Turkey, back, from whole bird, meat and skin, with added solution, raw</t>
        </is>
      </c>
      <c r="C6901" s="1" t="n">
        <v>0.15</v>
      </c>
      <c r="D6901" s="1" t="n">
        <v>5</v>
      </c>
      <c r="E6901" s="1" t="n">
        <v>0.78</v>
      </c>
      <c r="F6901" s="1" t="n">
        <v>16.86</v>
      </c>
      <c r="G6901" s="1" t="n">
        <v>15.41</v>
      </c>
      <c r="H6901" s="1" t="n">
        <v>126</v>
      </c>
      <c r="I6901" s="1" t="n">
        <v>2.04</v>
      </c>
      <c r="J6901" t="n">
        <v>75142550</v>
      </c>
    </row>
    <row r="6902" ht="15.75" customHeight="1" s="201">
      <c r="A6902" s="1" t="inlineStr">
        <is>
          <t>Turkey, back, from whole bird, meat and skin, with added solution, roasted</t>
        </is>
      </c>
      <c r="C6902" s="1" t="n">
        <v>0</v>
      </c>
      <c r="D6902" s="1" t="n">
        <v>6</v>
      </c>
      <c r="E6902" s="1" t="n">
        <v>0.68</v>
      </c>
      <c r="F6902" s="1" t="n">
        <v>25.8</v>
      </c>
      <c r="G6902" s="1" t="n">
        <v>11.36</v>
      </c>
      <c r="H6902" s="1" t="n">
        <v>72</v>
      </c>
      <c r="I6902" s="1" t="n">
        <v>1.52</v>
      </c>
      <c r="J6902" t="n">
        <v>75142550</v>
      </c>
    </row>
    <row r="6903" ht="15.75" customHeight="1" s="201">
      <c r="A6903" s="1" t="inlineStr">
        <is>
          <t>Turkey, back, from whole bird, meat only, with added solution, raw</t>
        </is>
      </c>
      <c r="C6903" s="1" t="n">
        <v>0.15</v>
      </c>
      <c r="D6903" s="1" t="n">
        <v>6</v>
      </c>
      <c r="E6903" s="1" t="n">
        <v>0.9</v>
      </c>
      <c r="F6903" s="1" t="n">
        <v>19.27</v>
      </c>
      <c r="G6903" s="1" t="n">
        <v>4.12</v>
      </c>
      <c r="H6903" s="1" t="n">
        <v>43</v>
      </c>
      <c r="I6903" s="1" t="n">
        <v>2.68</v>
      </c>
      <c r="J6903" t="n">
        <v>75142550</v>
      </c>
    </row>
    <row r="6904" ht="15.75" customHeight="1" s="201">
      <c r="A6904" s="1" t="inlineStr">
        <is>
          <t>Turkey, back, from whole bird, meat only, with added solution, roasted</t>
        </is>
      </c>
      <c r="C6904" s="1" t="n">
        <v>0</v>
      </c>
      <c r="D6904" s="1" t="n">
        <v>6</v>
      </c>
      <c r="E6904" s="1" t="n">
        <v>0.55</v>
      </c>
      <c r="F6904" s="1" t="n">
        <v>26.97</v>
      </c>
      <c r="G6904" s="1" t="n">
        <v>2.08</v>
      </c>
      <c r="H6904" s="1" t="n">
        <v>11</v>
      </c>
      <c r="I6904" s="1" t="n">
        <v>1.49</v>
      </c>
      <c r="J6904" t="n">
        <v>75142550</v>
      </c>
    </row>
    <row r="6905" ht="15.75" customHeight="1" s="201">
      <c r="A6905" s="1" t="inlineStr">
        <is>
          <t>Turkey, breast, from whole bird, meat only, with added solution, raw</t>
        </is>
      </c>
      <c r="C6905" s="1" t="n">
        <v>0.14</v>
      </c>
      <c r="D6905" s="1" t="n">
        <v>7</v>
      </c>
      <c r="E6905" s="1" t="n">
        <v>0.54</v>
      </c>
      <c r="F6905" s="1" t="n">
        <v>21.54</v>
      </c>
      <c r="G6905" s="1" t="n">
        <v>1.66</v>
      </c>
      <c r="H6905" s="1" t="n">
        <v>20</v>
      </c>
      <c r="I6905" s="1" t="n">
        <v>1.3</v>
      </c>
      <c r="J6905" t="n">
        <v>75142550</v>
      </c>
    </row>
    <row r="6906" ht="15.75" customHeight="1" s="201">
      <c r="A6906" s="1" t="inlineStr">
        <is>
          <t>Turkey, breast, from whole bird, meat only, with added solution, roasted</t>
        </is>
      </c>
      <c r="C6906" s="1" t="n">
        <v>0</v>
      </c>
      <c r="D6906" s="1" t="n">
        <v>7</v>
      </c>
      <c r="E6906" s="1" t="n">
        <v>0.55</v>
      </c>
      <c r="F6906" s="1" t="n">
        <v>26.97</v>
      </c>
      <c r="G6906" s="1" t="n">
        <v>2.08</v>
      </c>
      <c r="H6906" s="1" t="n">
        <v>11</v>
      </c>
      <c r="I6906" s="1" t="n">
        <v>1.49</v>
      </c>
      <c r="J6906" t="n">
        <v>75142550</v>
      </c>
    </row>
    <row r="6907" ht="15.75" customHeight="1" s="201">
      <c r="A6907" s="1" t="inlineStr">
        <is>
          <t>Turkey, breast, smoked, lemon pepper flavor, 97% fat-free</t>
        </is>
      </c>
      <c r="C6907" s="1" t="n">
        <v>1.31</v>
      </c>
      <c r="F6907" s="1" t="n">
        <v>20.9</v>
      </c>
      <c r="G6907" s="1" t="n">
        <v>0.6899999999999999</v>
      </c>
      <c r="H6907" s="1" t="n">
        <v>0</v>
      </c>
      <c r="J6907" t="n">
        <v>27446260</v>
      </c>
    </row>
    <row r="6908" ht="15.75" customHeight="1" s="201">
      <c r="A6908" s="1" t="inlineStr">
        <is>
          <t>Turkey, canned, meat only, with broth</t>
        </is>
      </c>
      <c r="C6908" s="1" t="n">
        <v>1.47</v>
      </c>
      <c r="D6908" s="1" t="n">
        <v>6</v>
      </c>
      <c r="E6908" s="1" t="n">
        <v>1.86</v>
      </c>
      <c r="F6908" s="1" t="n">
        <v>23.68</v>
      </c>
      <c r="G6908" s="1" t="n">
        <v>6.86</v>
      </c>
      <c r="H6908" s="1" t="n">
        <v>0</v>
      </c>
      <c r="I6908" s="1" t="n">
        <v>2.37</v>
      </c>
      <c r="J6908" t="n">
        <v>75142550</v>
      </c>
    </row>
    <row r="6909" ht="15.75" customHeight="1" s="201">
      <c r="A6909" s="1" t="inlineStr">
        <is>
          <t>Turkey, dark meat from whole, meat and skin, with added solution, cooked, roasted</t>
        </is>
      </c>
      <c r="C6909" s="1" t="n">
        <v>0</v>
      </c>
      <c r="D6909" s="1" t="n">
        <v>8</v>
      </c>
      <c r="E6909" s="1" t="n">
        <v>1.08</v>
      </c>
      <c r="F6909" s="1" t="n">
        <v>25.55</v>
      </c>
      <c r="G6909" s="1" t="n">
        <v>10.81</v>
      </c>
      <c r="H6909" s="1" t="n">
        <v>52</v>
      </c>
      <c r="I6909" s="1" t="n">
        <v>3.15</v>
      </c>
      <c r="J6909" t="n">
        <v>28160310</v>
      </c>
    </row>
    <row r="6910" ht="15.75" customHeight="1" s="201">
      <c r="A6910" s="1" t="inlineStr">
        <is>
          <t>Turkey, dark meat from whole, meat and skin, with added solution, raw</t>
        </is>
      </c>
      <c r="C6910" s="1" t="n">
        <v>0.15</v>
      </c>
      <c r="D6910" s="1" t="n">
        <v>6</v>
      </c>
      <c r="E6910" s="1" t="n">
        <v>0.83</v>
      </c>
      <c r="F6910" s="1" t="n">
        <v>17.84</v>
      </c>
      <c r="G6910" s="1" t="n">
        <v>10.83</v>
      </c>
      <c r="H6910" s="1" t="n">
        <v>93</v>
      </c>
      <c r="I6910" s="1" t="n">
        <v>2.3</v>
      </c>
      <c r="J6910" t="n">
        <v>28160310</v>
      </c>
    </row>
    <row r="6911" ht="15.75" customHeight="1" s="201">
      <c r="A6911" s="1" t="inlineStr">
        <is>
          <t>Turkey, dark meat from whole, meat only, with added solution, raw</t>
        </is>
      </c>
      <c r="C6911" s="1" t="n">
        <v>0.1</v>
      </c>
      <c r="D6911" s="1" t="n">
        <v>6</v>
      </c>
      <c r="E6911" s="1" t="n">
        <v>0.9</v>
      </c>
      <c r="F6911" s="1" t="n">
        <v>19.27</v>
      </c>
      <c r="G6911" s="1" t="n">
        <v>4.12</v>
      </c>
      <c r="H6911" s="1" t="n">
        <v>43</v>
      </c>
      <c r="I6911" s="1" t="n">
        <v>2.68</v>
      </c>
      <c r="J6911" t="n">
        <v>28160310</v>
      </c>
    </row>
    <row r="6912" ht="15.75" customHeight="1" s="201">
      <c r="A6912" s="1" t="inlineStr">
        <is>
          <t>Turkey, dark meat, meat and skin, raw</t>
        </is>
      </c>
      <c r="C6912" s="1" t="n">
        <v>0.15</v>
      </c>
      <c r="D6912" s="1" t="n">
        <v>6</v>
      </c>
      <c r="E6912" s="1" t="n">
        <v>1</v>
      </c>
      <c r="F6912" s="1" t="n">
        <v>19.81</v>
      </c>
      <c r="G6912" s="1" t="n">
        <v>8.970000000000001</v>
      </c>
      <c r="H6912" s="1" t="n">
        <v>86</v>
      </c>
      <c r="I6912" s="1" t="n">
        <v>2.32</v>
      </c>
      <c r="J6912" t="n">
        <v>32131110</v>
      </c>
    </row>
    <row r="6913" ht="15.75" customHeight="1" s="201">
      <c r="A6913" s="1" t="inlineStr">
        <is>
          <t>Turkey, dark meat, meat only, with added solution, cooked, roasted</t>
        </is>
      </c>
      <c r="C6913" s="1" t="n">
        <v>0</v>
      </c>
      <c r="D6913" s="1" t="n">
        <v>8</v>
      </c>
      <c r="E6913" s="1" t="n">
        <v>1.07</v>
      </c>
      <c r="F6913" s="1" t="n">
        <v>26.1</v>
      </c>
      <c r="G6913" s="1" t="n">
        <v>6</v>
      </c>
      <c r="H6913" s="1" t="n">
        <v>18</v>
      </c>
      <c r="I6913" s="1" t="n">
        <v>3.4</v>
      </c>
      <c r="J6913" t="n">
        <v>28160310</v>
      </c>
    </row>
    <row r="6914" ht="15.75" customHeight="1" s="201">
      <c r="A6914" s="1" t="inlineStr">
        <is>
          <t>Turkey, diced, light and dark meat, seasoned</t>
        </is>
      </c>
      <c r="C6914" s="1" t="n">
        <v>1</v>
      </c>
      <c r="D6914" s="1" t="n">
        <v>5</v>
      </c>
      <c r="E6914" s="1" t="n">
        <v>1.8</v>
      </c>
      <c r="F6914" s="1" t="n">
        <v>18.7</v>
      </c>
      <c r="G6914" s="1" t="n">
        <v>6</v>
      </c>
      <c r="H6914" s="1" t="n">
        <v>0</v>
      </c>
      <c r="I6914" s="1" t="n">
        <v>2.02</v>
      </c>
      <c r="J6914" t="n">
        <v>27446245</v>
      </c>
    </row>
    <row r="6915" ht="15.75" customHeight="1" s="201">
      <c r="A6915" s="1" t="inlineStr">
        <is>
          <t>Turkey, drumstick, from whole bird, meat only, raw</t>
        </is>
      </c>
      <c r="C6915" s="1" t="n">
        <v>0.14</v>
      </c>
      <c r="D6915" s="1" t="n">
        <v>7</v>
      </c>
      <c r="E6915" s="1" t="n">
        <v>0.73</v>
      </c>
      <c r="F6915" s="1" t="n">
        <v>23.66</v>
      </c>
      <c r="G6915" s="1" t="n">
        <v>1.48</v>
      </c>
      <c r="H6915" s="1" t="n">
        <v>20</v>
      </c>
      <c r="I6915" s="1" t="n">
        <v>1.28</v>
      </c>
      <c r="J6915" t="n">
        <v>14620320</v>
      </c>
    </row>
    <row r="6916" ht="15.75" customHeight="1" s="201">
      <c r="A6916" s="1" t="inlineStr">
        <is>
          <t>Turkey, drumstick, from whole bird, meat only, roasted</t>
        </is>
      </c>
      <c r="C6916" s="1" t="n">
        <v>0</v>
      </c>
      <c r="D6916" s="1" t="n">
        <v>10</v>
      </c>
      <c r="E6916" s="1" t="n">
        <v>0.71</v>
      </c>
      <c r="F6916" s="1" t="n">
        <v>30.13</v>
      </c>
      <c r="G6916" s="1" t="n">
        <v>2.08</v>
      </c>
      <c r="H6916" s="1" t="n">
        <v>11</v>
      </c>
      <c r="I6916" s="1" t="n">
        <v>1.72</v>
      </c>
      <c r="J6916" t="n">
        <v>14620320</v>
      </c>
    </row>
    <row r="6917" ht="15.75" customHeight="1" s="201">
      <c r="A6917" s="1" t="inlineStr">
        <is>
          <t>Turkey, drumstick, from whole bird, meat only, with added solution, raw</t>
        </is>
      </c>
      <c r="C6917" s="1" t="n">
        <v>0.15</v>
      </c>
      <c r="D6917" s="1" t="n">
        <v>6</v>
      </c>
      <c r="E6917" s="1" t="n">
        <v>0.9</v>
      </c>
      <c r="F6917" s="1" t="n">
        <v>19.27</v>
      </c>
      <c r="G6917" s="1" t="n">
        <v>4.12</v>
      </c>
      <c r="H6917" s="1" t="n">
        <v>43</v>
      </c>
      <c r="I6917" s="1" t="n">
        <v>2.68</v>
      </c>
      <c r="J6917" t="n">
        <v>75142550</v>
      </c>
    </row>
    <row r="6918" ht="15.75" customHeight="1" s="201">
      <c r="A6918" s="1" t="inlineStr">
        <is>
          <t>Turkey, drumstick, from whole bird, meat only, with added solution, roasted</t>
        </is>
      </c>
      <c r="C6918" s="1" t="n">
        <v>0</v>
      </c>
      <c r="D6918" s="1" t="n">
        <v>8</v>
      </c>
      <c r="E6918" s="1" t="n">
        <v>1.07</v>
      </c>
      <c r="F6918" s="1" t="n">
        <v>26.1</v>
      </c>
      <c r="G6918" s="1" t="n">
        <v>6</v>
      </c>
      <c r="H6918" s="1" t="n">
        <v>18</v>
      </c>
      <c r="I6918" s="1" t="n">
        <v>3.4</v>
      </c>
      <c r="J6918" t="n">
        <v>75142550</v>
      </c>
    </row>
    <row r="6919" ht="15.75" customHeight="1" s="201">
      <c r="A6919" s="1" t="inlineStr">
        <is>
          <t>Turkey, drumstick, smoked, cooked, with skin, bone removed</t>
        </is>
      </c>
      <c r="C6919" s="1" t="n">
        <v>0</v>
      </c>
      <c r="D6919" s="1" t="n">
        <v>9</v>
      </c>
      <c r="E6919" s="1" t="n">
        <v>2.3</v>
      </c>
      <c r="F6919" s="1" t="n">
        <v>27.9</v>
      </c>
      <c r="G6919" s="1" t="n">
        <v>9.800000000000001</v>
      </c>
      <c r="H6919" s="1" t="n">
        <v>0</v>
      </c>
      <c r="I6919" s="1" t="n">
        <v>4.27</v>
      </c>
      <c r="J6919" t="n">
        <v>75142550</v>
      </c>
    </row>
    <row r="6920" ht="15.75" customHeight="1" s="201">
      <c r="A6920" s="1" t="inlineStr">
        <is>
          <t>Turkey, fryer-roasters, meat and skin, cooked, roasted</t>
        </is>
      </c>
      <c r="C6920" s="1" t="n">
        <v>0</v>
      </c>
      <c r="D6920" s="1" t="n">
        <v>7</v>
      </c>
      <c r="E6920" s="1" t="n">
        <v>1.95</v>
      </c>
      <c r="F6920" s="1" t="n">
        <v>28.26</v>
      </c>
      <c r="G6920" s="1" t="n">
        <v>5.72</v>
      </c>
      <c r="H6920" s="1" t="n">
        <v>0</v>
      </c>
      <c r="I6920" s="1" t="n">
        <v>2.89</v>
      </c>
      <c r="J6920" t="n">
        <v>24201020</v>
      </c>
    </row>
    <row r="6921" ht="15.75" customHeight="1" s="201">
      <c r="A6921" s="1" t="inlineStr">
        <is>
          <t>Turkey, gizzard, all classes, raw</t>
        </is>
      </c>
      <c r="C6921" s="1" t="n">
        <v>0</v>
      </c>
      <c r="D6921" s="1" t="n">
        <v>6</v>
      </c>
      <c r="E6921" s="1" t="n">
        <v>2.78</v>
      </c>
      <c r="F6921" s="1" t="n">
        <v>18.8</v>
      </c>
      <c r="G6921" s="1" t="n">
        <v>3.37</v>
      </c>
      <c r="H6921" s="1" t="n">
        <v>154</v>
      </c>
      <c r="I6921" s="1" t="n">
        <v>3.03</v>
      </c>
      <c r="J6921" t="n">
        <v>27540350</v>
      </c>
    </row>
    <row r="6922" ht="15.75" customHeight="1" s="201">
      <c r="A6922" s="1" t="inlineStr">
        <is>
          <t>Turkey, ground, 85% lean, 15% fat, pan-broiled crumbles</t>
        </is>
      </c>
      <c r="C6922" s="1" t="n">
        <v>0</v>
      </c>
      <c r="D6922" s="1" t="n">
        <v>7</v>
      </c>
      <c r="E6922" s="1" t="n">
        <v>1.98</v>
      </c>
      <c r="F6922" s="1" t="n">
        <v>25.11</v>
      </c>
      <c r="G6922" s="1" t="n">
        <v>17.45</v>
      </c>
      <c r="H6922" s="1" t="n">
        <v>117</v>
      </c>
      <c r="I6922" s="1" t="n">
        <v>3.56</v>
      </c>
      <c r="J6922" t="n">
        <v>58126280</v>
      </c>
    </row>
    <row r="6923" ht="15.75" customHeight="1" s="201">
      <c r="A6923" s="1" t="inlineStr">
        <is>
          <t>Turkey, ground, 85% lean, 15% fat, patties, broiled</t>
        </is>
      </c>
      <c r="C6923" s="1" t="n">
        <v>0</v>
      </c>
      <c r="D6923" s="1" t="n">
        <v>7</v>
      </c>
      <c r="E6923" s="1" t="n">
        <v>2.04</v>
      </c>
      <c r="F6923" s="1" t="n">
        <v>25.88</v>
      </c>
      <c r="G6923" s="1" t="n">
        <v>16.2</v>
      </c>
      <c r="H6923" s="1" t="n">
        <v>97</v>
      </c>
      <c r="I6923" s="1" t="n">
        <v>3.25</v>
      </c>
      <c r="J6923" t="n">
        <v>58126280</v>
      </c>
    </row>
    <row r="6924" ht="15.75" customHeight="1" s="201">
      <c r="A6924" s="1" t="inlineStr">
        <is>
          <t>Turkey, ground, 85% lean, 15% fat, raw</t>
        </is>
      </c>
      <c r="C6924" s="1" t="n">
        <v>0</v>
      </c>
      <c r="D6924" s="1" t="n">
        <v>6</v>
      </c>
      <c r="E6924" s="1" t="n">
        <v>1.32</v>
      </c>
      <c r="F6924" s="1" t="n">
        <v>16.9</v>
      </c>
      <c r="G6924" s="1" t="n">
        <v>12.54</v>
      </c>
      <c r="H6924" s="1" t="n">
        <v>101</v>
      </c>
      <c r="I6924" s="1" t="n">
        <v>2.75</v>
      </c>
      <c r="J6924" t="n">
        <v>58126280</v>
      </c>
    </row>
    <row r="6925" ht="15.75" customHeight="1" s="201">
      <c r="A6925" s="1" t="inlineStr">
        <is>
          <t>Turkey, ground, 93% lean, 7% fat, pan-broiled crumbles</t>
        </is>
      </c>
      <c r="C6925" s="1" t="n">
        <v>0</v>
      </c>
      <c r="D6925" s="1" t="n">
        <v>7</v>
      </c>
      <c r="E6925" s="1" t="n">
        <v>1.56</v>
      </c>
      <c r="F6925" s="1" t="n">
        <v>27.1</v>
      </c>
      <c r="G6925" s="1" t="n">
        <v>11.6</v>
      </c>
      <c r="H6925" s="1" t="n">
        <v>101</v>
      </c>
      <c r="I6925" s="1" t="n">
        <v>3.77</v>
      </c>
      <c r="J6925" t="n">
        <v>58126280</v>
      </c>
    </row>
    <row r="6926" ht="15.75" customHeight="1" s="201">
      <c r="A6926" s="1" t="inlineStr">
        <is>
          <t>Turkey, ground, 93% lean, 7% fat, patties, broiled</t>
        </is>
      </c>
      <c r="C6926" s="1" t="n">
        <v>0</v>
      </c>
      <c r="D6926" s="1" t="n">
        <v>7</v>
      </c>
      <c r="E6926" s="1" t="n">
        <v>1.73</v>
      </c>
      <c r="F6926" s="1" t="n">
        <v>25.86</v>
      </c>
      <c r="G6926" s="1" t="n">
        <v>11.45</v>
      </c>
      <c r="H6926" s="1" t="n">
        <v>105</v>
      </c>
      <c r="I6926" s="1" t="n">
        <v>3.71</v>
      </c>
      <c r="J6926" t="n">
        <v>58126280</v>
      </c>
    </row>
    <row r="6927" ht="15.75" customHeight="1" s="201">
      <c r="A6927" s="1" t="inlineStr">
        <is>
          <t>Turkey, ground, 93% lean, 7% fat, raw</t>
        </is>
      </c>
      <c r="C6927" s="1" t="n">
        <v>0</v>
      </c>
      <c r="D6927" s="1" t="n">
        <v>7</v>
      </c>
      <c r="E6927" s="1" t="n">
        <v>1.17</v>
      </c>
      <c r="F6927" s="1" t="n">
        <v>18.73</v>
      </c>
      <c r="G6927" s="1" t="n">
        <v>8.34</v>
      </c>
      <c r="H6927" s="1" t="n">
        <v>73</v>
      </c>
      <c r="I6927" s="1" t="n">
        <v>2.53</v>
      </c>
      <c r="J6927" t="n">
        <v>58126280</v>
      </c>
    </row>
    <row r="6928" ht="15.75" customHeight="1" s="201">
      <c r="A6928" s="1" t="inlineStr">
        <is>
          <t>Turkey, Ground, cooked</t>
        </is>
      </c>
      <c r="C6928" s="1" t="n">
        <v>0</v>
      </c>
      <c r="D6928" s="1" t="n">
        <v>7</v>
      </c>
      <c r="E6928" s="1" t="n">
        <v>1.52</v>
      </c>
      <c r="F6928" s="1" t="n">
        <v>27.37</v>
      </c>
      <c r="G6928" s="1" t="n">
        <v>10.4</v>
      </c>
      <c r="H6928" s="1" t="n">
        <v>79</v>
      </c>
      <c r="I6928" s="1" t="n">
        <v>3.11</v>
      </c>
      <c r="J6928" t="n">
        <v>27540350</v>
      </c>
    </row>
    <row r="6929" ht="15.75" customHeight="1" s="201">
      <c r="A6929" s="1" t="inlineStr">
        <is>
          <t>Turkey, ground, fat free, pan-broiled crumbles</t>
        </is>
      </c>
      <c r="C6929" s="1" t="n">
        <v>0</v>
      </c>
      <c r="D6929" s="1" t="n">
        <v>8</v>
      </c>
      <c r="E6929" s="1" t="n">
        <v>1.02</v>
      </c>
      <c r="F6929" s="1" t="n">
        <v>31.69</v>
      </c>
      <c r="G6929" s="1" t="n">
        <v>2.71</v>
      </c>
      <c r="H6929" s="1" t="n">
        <v>30</v>
      </c>
      <c r="I6929" s="1" t="n">
        <v>2.2</v>
      </c>
      <c r="J6929" t="n">
        <v>27446260</v>
      </c>
    </row>
    <row r="6930" ht="15.75" customHeight="1" s="201">
      <c r="A6930" s="1" t="inlineStr">
        <is>
          <t>Turkey, ground, fat free, patties, broiled</t>
        </is>
      </c>
      <c r="C6930" s="1" t="n">
        <v>0</v>
      </c>
      <c r="D6930" s="1" t="n">
        <v>7</v>
      </c>
      <c r="E6930" s="1" t="n">
        <v>0.78</v>
      </c>
      <c r="F6930" s="1" t="n">
        <v>28.99</v>
      </c>
      <c r="G6930" s="1" t="n">
        <v>2.48</v>
      </c>
      <c r="H6930" s="1" t="n">
        <v>25</v>
      </c>
      <c r="I6930" s="1" t="n">
        <v>2.19</v>
      </c>
      <c r="J6930" t="n">
        <v>27446260</v>
      </c>
    </row>
    <row r="6931" ht="15.75" customHeight="1" s="201">
      <c r="A6931" s="1" t="inlineStr">
        <is>
          <t>Turkey, ground, fat free, raw</t>
        </is>
      </c>
      <c r="C6931" s="1" t="n">
        <v>0</v>
      </c>
      <c r="D6931" s="1" t="n">
        <v>8</v>
      </c>
      <c r="E6931" s="1" t="n">
        <v>0.77</v>
      </c>
      <c r="F6931" s="1" t="n">
        <v>23.57</v>
      </c>
      <c r="G6931" s="1" t="n">
        <v>1.95</v>
      </c>
      <c r="H6931" s="1" t="n">
        <v>25</v>
      </c>
      <c r="I6931" s="1" t="n">
        <v>1.76</v>
      </c>
      <c r="J6931" t="n">
        <v>27446260</v>
      </c>
    </row>
    <row r="6932" ht="15.75" customHeight="1" s="201">
      <c r="A6932" s="1" t="inlineStr">
        <is>
          <t>Turkey, Ground, raw</t>
        </is>
      </c>
      <c r="C6932" s="1" t="n">
        <v>0</v>
      </c>
      <c r="D6932" s="1" t="n">
        <v>7</v>
      </c>
      <c r="E6932" s="1" t="n">
        <v>1.09</v>
      </c>
      <c r="F6932" s="1" t="n">
        <v>19.66</v>
      </c>
      <c r="G6932" s="1" t="n">
        <v>7.66</v>
      </c>
      <c r="H6932" s="1" t="n">
        <v>66</v>
      </c>
      <c r="I6932" s="1" t="n">
        <v>2.35</v>
      </c>
      <c r="J6932" t="n">
        <v>27540350</v>
      </c>
    </row>
    <row r="6933" ht="15.75" customHeight="1" s="201">
      <c r="A6933" s="1" t="inlineStr">
        <is>
          <t>Turkey, light or dark meat, smoked, cooked, skin and bone removed</t>
        </is>
      </c>
      <c r="C6933" s="1" t="n">
        <v>0</v>
      </c>
      <c r="D6933" s="1" t="n">
        <v>7</v>
      </c>
      <c r="E6933" s="1" t="n">
        <v>1.78</v>
      </c>
      <c r="F6933" s="1" t="n">
        <v>29.3</v>
      </c>
      <c r="G6933" s="1" t="n">
        <v>5</v>
      </c>
      <c r="H6933" s="1" t="n">
        <v>0</v>
      </c>
      <c r="I6933" s="1" t="n">
        <v>3.1</v>
      </c>
      <c r="J6933" t="n">
        <v>27446245</v>
      </c>
    </row>
    <row r="6934" ht="15.75" customHeight="1" s="201">
      <c r="A6934" s="1" t="inlineStr">
        <is>
          <t>Turkey, light or dark meat, smoked, cooked, with skin, bone removed</t>
        </is>
      </c>
      <c r="C6934" s="1" t="n">
        <v>0</v>
      </c>
      <c r="D6934" s="1" t="n">
        <v>7</v>
      </c>
      <c r="E6934" s="1" t="n">
        <v>1.79</v>
      </c>
      <c r="F6934" s="1" t="n">
        <v>28.1</v>
      </c>
      <c r="G6934" s="1" t="n">
        <v>9.699999999999999</v>
      </c>
      <c r="H6934" s="1" t="n">
        <v>0</v>
      </c>
      <c r="I6934" s="1" t="n">
        <v>2.96</v>
      </c>
      <c r="J6934" t="n">
        <v>27446245</v>
      </c>
    </row>
    <row r="6935" ht="15.75" customHeight="1" s="201">
      <c r="A6935" s="1" t="inlineStr">
        <is>
          <t>Turkey, mechanically deboned, from turkey frames, raw</t>
        </is>
      </c>
      <c r="C6935" s="1" t="n">
        <v>0</v>
      </c>
      <c r="D6935" s="1" t="n">
        <v>7</v>
      </c>
      <c r="E6935" s="1" t="n">
        <v>1.61</v>
      </c>
      <c r="F6935" s="1" t="n">
        <v>13.29</v>
      </c>
      <c r="G6935" s="1" t="n">
        <v>15.96</v>
      </c>
      <c r="H6935" s="1" t="n">
        <v>0</v>
      </c>
      <c r="I6935" s="1" t="n">
        <v>2.9</v>
      </c>
      <c r="J6935" t="n">
        <v>27540350</v>
      </c>
    </row>
    <row r="6936" ht="15.75" customHeight="1" s="201">
      <c r="A6936" s="1" t="inlineStr">
        <is>
          <t>Turkey, retail parts, breast, meat and skin, cooked, roasted</t>
        </is>
      </c>
      <c r="C6936" s="1" t="n">
        <v>0.05</v>
      </c>
      <c r="D6936" s="1" t="n">
        <v>9</v>
      </c>
      <c r="E6936" s="1" t="n">
        <v>1.03</v>
      </c>
      <c r="F6936" s="1" t="n">
        <v>29.01</v>
      </c>
      <c r="G6936" s="1" t="n">
        <v>5.33</v>
      </c>
      <c r="H6936" s="1" t="n">
        <v>32</v>
      </c>
      <c r="I6936" s="1" t="n">
        <v>1.57</v>
      </c>
      <c r="J6936" t="n">
        <v>27540350</v>
      </c>
    </row>
    <row r="6937" ht="15.75" customHeight="1" s="201">
      <c r="A6937" s="1" t="inlineStr">
        <is>
          <t>Turkey, retail parts, breast, meat and skin, raw</t>
        </is>
      </c>
      <c r="C6937" s="1" t="n">
        <v>0</v>
      </c>
      <c r="D6937" s="1" t="n">
        <v>7</v>
      </c>
      <c r="E6937" s="1" t="n">
        <v>0.77</v>
      </c>
      <c r="F6937" s="1" t="n">
        <v>21.88</v>
      </c>
      <c r="G6937" s="1" t="n">
        <v>7.45</v>
      </c>
      <c r="H6937" s="1" t="n">
        <v>54</v>
      </c>
      <c r="I6937" s="1" t="n">
        <v>1.15</v>
      </c>
      <c r="J6937" t="n">
        <v>27540350</v>
      </c>
    </row>
    <row r="6938" ht="15.75" customHeight="1" s="201">
      <c r="A6938" s="1" t="inlineStr">
        <is>
          <t>Turkey, retail parts, breast, meat and skin, with added solution, raw</t>
        </is>
      </c>
      <c r="C6938" s="1" t="n">
        <v>0.03</v>
      </c>
      <c r="D6938" s="1" t="n">
        <v>7</v>
      </c>
      <c r="E6938" s="1" t="n">
        <v>0.43</v>
      </c>
      <c r="F6938" s="1" t="n">
        <v>20.79</v>
      </c>
      <c r="G6938" s="1" t="n">
        <v>6.75</v>
      </c>
      <c r="H6938" s="1" t="n">
        <v>50</v>
      </c>
      <c r="I6938" s="1" t="n">
        <v>1.07</v>
      </c>
      <c r="J6938" t="n">
        <v>75142550</v>
      </c>
    </row>
    <row r="6939" ht="15.75" customHeight="1" s="201">
      <c r="A6939" s="1" t="inlineStr">
        <is>
          <t>Turkey, retail parts, breast, meat only, cooked, roasted</t>
        </is>
      </c>
      <c r="C6939" s="1" t="n">
        <v>0</v>
      </c>
      <c r="D6939" s="1" t="n">
        <v>9</v>
      </c>
      <c r="E6939" s="1" t="n">
        <v>0.97</v>
      </c>
      <c r="F6939" s="1" t="n">
        <v>29.51</v>
      </c>
      <c r="G6939" s="1" t="n">
        <v>1.97</v>
      </c>
      <c r="H6939" s="1" t="n">
        <v>9</v>
      </c>
      <c r="I6939" s="1" t="n">
        <v>1.52</v>
      </c>
      <c r="J6939" t="n">
        <v>27540350</v>
      </c>
    </row>
    <row r="6940" ht="15.75" customHeight="1" s="201">
      <c r="A6940" s="1" t="inlineStr">
        <is>
          <t>Turkey, retail parts, breast, meat only, raw</t>
        </is>
      </c>
      <c r="C6940" s="1" t="n">
        <v>0</v>
      </c>
      <c r="D6940" s="1" t="n">
        <v>7</v>
      </c>
      <c r="E6940" s="1" t="n">
        <v>0.76</v>
      </c>
      <c r="F6940" s="1" t="n">
        <v>23.34</v>
      </c>
      <c r="G6940" s="1" t="n">
        <v>2.33</v>
      </c>
      <c r="H6940" s="1" t="n">
        <v>16</v>
      </c>
      <c r="I6940" s="1" t="n">
        <v>1.16</v>
      </c>
      <c r="J6940" t="n">
        <v>27540350</v>
      </c>
    </row>
    <row r="6941" ht="15.75" customHeight="1" s="201">
      <c r="A6941" s="1" t="inlineStr">
        <is>
          <t>Turkey, retail parts, breast, meat only, with added solution, cooked, roasted</t>
        </is>
      </c>
      <c r="C6941" s="1" t="n">
        <v>0</v>
      </c>
      <c r="D6941" s="1" t="n">
        <v>9</v>
      </c>
      <c r="E6941" s="1" t="n">
        <v>0.59</v>
      </c>
      <c r="F6941" s="1" t="n">
        <v>27.94</v>
      </c>
      <c r="G6941" s="1" t="n">
        <v>2.08</v>
      </c>
      <c r="H6941" s="1" t="n">
        <v>8</v>
      </c>
      <c r="I6941" s="1" t="n">
        <v>1.33</v>
      </c>
      <c r="J6941" t="n">
        <v>75142550</v>
      </c>
    </row>
    <row r="6942" ht="15.75" customHeight="1" s="201">
      <c r="A6942" s="1" t="inlineStr">
        <is>
          <t>Turkey, retail parts, breast, meat only, with added solution, raw</t>
        </is>
      </c>
      <c r="C6942" s="1" t="n">
        <v>0</v>
      </c>
      <c r="D6942" s="1" t="n">
        <v>7</v>
      </c>
      <c r="E6942" s="1" t="n">
        <v>0.41</v>
      </c>
      <c r="F6942" s="1" t="n">
        <v>21.99</v>
      </c>
      <c r="G6942" s="1" t="n">
        <v>2.53</v>
      </c>
      <c r="H6942" s="1" t="n">
        <v>17</v>
      </c>
      <c r="I6942" s="1" t="n">
        <v>1.1</v>
      </c>
      <c r="J6942" t="n">
        <v>75142550</v>
      </c>
    </row>
    <row r="6943" ht="15.75" customHeight="1" s="201">
      <c r="A6943" s="1" t="inlineStr">
        <is>
          <t>Turkey, retail parts, drumstick, meat and skin, cooked, roasted</t>
        </is>
      </c>
      <c r="C6943" s="1" t="n">
        <v>0</v>
      </c>
      <c r="D6943" s="1" t="n">
        <v>9</v>
      </c>
      <c r="E6943" s="1" t="n">
        <v>1.58</v>
      </c>
      <c r="F6943" s="1" t="n">
        <v>28.21</v>
      </c>
      <c r="G6943" s="1" t="n">
        <v>9.369999999999999</v>
      </c>
      <c r="H6943" s="1" t="n">
        <v>38</v>
      </c>
      <c r="I6943" s="1" t="n">
        <v>4.22</v>
      </c>
      <c r="J6943" t="n">
        <v>24201020</v>
      </c>
    </row>
    <row r="6944" ht="15.75" customHeight="1" s="201">
      <c r="A6944" s="1" t="inlineStr">
        <is>
          <t>Turkey, retail parts, drumstick, meat and skin, raw</t>
        </is>
      </c>
      <c r="C6944" s="1" t="n">
        <v>0</v>
      </c>
      <c r="D6944" s="1" t="n">
        <v>6</v>
      </c>
      <c r="E6944" s="1" t="n">
        <v>1.14</v>
      </c>
      <c r="F6944" s="1" t="n">
        <v>19.96</v>
      </c>
      <c r="G6944" s="1" t="n">
        <v>6.84</v>
      </c>
      <c r="H6944" s="1" t="n">
        <v>86</v>
      </c>
      <c r="I6944" s="1" t="n">
        <v>2.92</v>
      </c>
      <c r="J6944" t="n">
        <v>24201020</v>
      </c>
    </row>
    <row r="6945" ht="15.75" customHeight="1" s="201">
      <c r="A6945" s="1" t="inlineStr">
        <is>
          <t>Turkey, retail parts, drumstick, meat only, cooked, roasted</t>
        </is>
      </c>
      <c r="C6945" s="1" t="n">
        <v>0</v>
      </c>
      <c r="D6945" s="1" t="n">
        <v>9</v>
      </c>
      <c r="E6945" s="1" t="n">
        <v>1.57</v>
      </c>
      <c r="F6945" s="1" t="n">
        <v>28.61</v>
      </c>
      <c r="G6945" s="1" t="n">
        <v>6.52</v>
      </c>
      <c r="H6945" s="1" t="n">
        <v>20</v>
      </c>
      <c r="I6945" s="1" t="n">
        <v>4.5</v>
      </c>
      <c r="J6945" t="n">
        <v>25230780</v>
      </c>
    </row>
    <row r="6946" ht="15.75" customHeight="1" s="201">
      <c r="A6946" s="1" t="inlineStr">
        <is>
          <t>Turkey, retail parts, drumstick, meat only, raw</t>
        </is>
      </c>
      <c r="C6946" s="1" t="n">
        <v>0</v>
      </c>
      <c r="D6946" s="1" t="n">
        <v>6</v>
      </c>
      <c r="E6946" s="1" t="n">
        <v>1.18</v>
      </c>
      <c r="F6946" s="1" t="n">
        <v>20.52</v>
      </c>
      <c r="G6946" s="1" t="n">
        <v>3.97</v>
      </c>
      <c r="H6946" s="1" t="n">
        <v>68</v>
      </c>
      <c r="I6946" s="1" t="n">
        <v>3.12</v>
      </c>
      <c r="J6946" t="n">
        <v>25230780</v>
      </c>
    </row>
    <row r="6947" ht="15.75" customHeight="1" s="201">
      <c r="A6947" s="1" t="inlineStr">
        <is>
          <t>Turkey, retail parts, thigh, meat and skin, cooked, roasted</t>
        </is>
      </c>
      <c r="C6947" s="1" t="n">
        <v>0.41</v>
      </c>
      <c r="D6947" s="1" t="n">
        <v>8</v>
      </c>
      <c r="E6947" s="1" t="n">
        <v>1.5</v>
      </c>
      <c r="F6947" s="1" t="n">
        <v>23.95</v>
      </c>
      <c r="G6947" s="1" t="n">
        <v>9.5</v>
      </c>
      <c r="H6947" s="1" t="n">
        <v>46</v>
      </c>
      <c r="I6947" s="1" t="n">
        <v>3</v>
      </c>
      <c r="J6947" t="n">
        <v>24201020</v>
      </c>
    </row>
    <row r="6948" ht="15.75" customHeight="1" s="201">
      <c r="A6948" s="1" t="inlineStr">
        <is>
          <t>Turkey, retail parts, thigh, meat and skin, raw</t>
        </is>
      </c>
      <c r="C6948" s="1" t="n">
        <v>0</v>
      </c>
      <c r="D6948" s="1" t="n">
        <v>6</v>
      </c>
      <c r="E6948" s="1" t="n">
        <v>1.31</v>
      </c>
      <c r="F6948" s="1" t="n">
        <v>19.54</v>
      </c>
      <c r="G6948" s="1" t="n">
        <v>9.16</v>
      </c>
      <c r="H6948" s="1" t="n">
        <v>97</v>
      </c>
      <c r="I6948" s="1" t="n">
        <v>2.6</v>
      </c>
      <c r="J6948" t="n">
        <v>24201020</v>
      </c>
    </row>
    <row r="6949" ht="15.75" customHeight="1" s="201">
      <c r="A6949" s="1" t="inlineStr">
        <is>
          <t>Turkey, retail parts, thigh, meat only, cooked, roasted</t>
        </is>
      </c>
      <c r="C6949" s="1" t="n">
        <v>0.46</v>
      </c>
      <c r="D6949" s="1" t="n">
        <v>8</v>
      </c>
      <c r="E6949" s="1" t="n">
        <v>1.59</v>
      </c>
      <c r="F6949" s="1" t="n">
        <v>25.14</v>
      </c>
      <c r="G6949" s="1" t="n">
        <v>6.25</v>
      </c>
      <c r="H6949" s="1" t="n">
        <v>19</v>
      </c>
      <c r="I6949" s="1" t="n">
        <v>3.26</v>
      </c>
      <c r="J6949" t="n">
        <v>25230780</v>
      </c>
    </row>
    <row r="6950" ht="15.75" customHeight="1" s="201">
      <c r="A6950" s="1" t="inlineStr">
        <is>
          <t>Turkey, retail parts, thigh, meat only, raw</t>
        </is>
      </c>
      <c r="C6950" s="1" t="n">
        <v>0</v>
      </c>
      <c r="D6950" s="1" t="n">
        <v>7</v>
      </c>
      <c r="E6950" s="1" t="n">
        <v>1.42</v>
      </c>
      <c r="F6950" s="1" t="n">
        <v>20.6</v>
      </c>
      <c r="G6950" s="1" t="n">
        <v>3.69</v>
      </c>
      <c r="H6950" s="1" t="n">
        <v>63</v>
      </c>
      <c r="I6950" s="1" t="n">
        <v>2.95</v>
      </c>
      <c r="J6950" t="n">
        <v>25230780</v>
      </c>
    </row>
    <row r="6951" ht="15.75" customHeight="1" s="201">
      <c r="A6951" s="1" t="inlineStr">
        <is>
          <t>Turkey, retail parts, wing, meat and skin, cooked, roasted</t>
        </is>
      </c>
      <c r="C6951" s="1" t="n">
        <v>0.13</v>
      </c>
      <c r="D6951" s="1" t="n">
        <v>9</v>
      </c>
      <c r="E6951" s="1" t="n">
        <v>1</v>
      </c>
      <c r="F6951" s="1" t="n">
        <v>28.74</v>
      </c>
      <c r="G6951" s="1" t="n">
        <v>13.29</v>
      </c>
      <c r="H6951" s="1" t="n">
        <v>80</v>
      </c>
      <c r="I6951" s="1" t="n">
        <v>2.99</v>
      </c>
      <c r="J6951" t="n">
        <v>24201020</v>
      </c>
    </row>
    <row r="6952" ht="15.75" customHeight="1" s="201">
      <c r="A6952" s="1" t="inlineStr">
        <is>
          <t>Turkey, retail parts, wing, meat and skin, raw</t>
        </is>
      </c>
      <c r="C6952" s="1" t="n">
        <v>0.05</v>
      </c>
      <c r="D6952" s="1" t="n">
        <v>6</v>
      </c>
      <c r="E6952" s="1" t="n">
        <v>0.68</v>
      </c>
      <c r="F6952" s="1" t="n">
        <v>19.53</v>
      </c>
      <c r="G6952" s="1" t="n">
        <v>13.79</v>
      </c>
      <c r="H6952" s="1" t="n">
        <v>100</v>
      </c>
      <c r="I6952" s="1" t="n">
        <v>2.14</v>
      </c>
      <c r="J6952" t="n">
        <v>24201020</v>
      </c>
    </row>
    <row r="6953" ht="15.75" customHeight="1" s="201">
      <c r="A6953" s="1" t="inlineStr">
        <is>
          <t>Turkey, retail parts, wing, meat only, cooked, roasted</t>
        </is>
      </c>
      <c r="C6953" s="1" t="n">
        <v>0</v>
      </c>
      <c r="D6953" s="1" t="n">
        <v>10</v>
      </c>
      <c r="E6953" s="1" t="n">
        <v>0.82</v>
      </c>
      <c r="F6953" s="1" t="n">
        <v>30.17</v>
      </c>
      <c r="G6953" s="1" t="n">
        <v>5.51</v>
      </c>
      <c r="H6953" s="1" t="n">
        <v>25</v>
      </c>
      <c r="I6953" s="1" t="n">
        <v>3.24</v>
      </c>
      <c r="J6953" t="n">
        <v>25230780</v>
      </c>
    </row>
    <row r="6954" ht="15.75" customHeight="1" s="201">
      <c r="A6954" s="1" t="inlineStr">
        <is>
          <t>Turkey, retail parts, wing, meat only, raw</t>
        </is>
      </c>
      <c r="C6954" s="1" t="n">
        <v>0</v>
      </c>
      <c r="D6954" s="1" t="n">
        <v>7</v>
      </c>
      <c r="E6954" s="1" t="n">
        <v>0.6</v>
      </c>
      <c r="F6954" s="1" t="n">
        <v>22.48</v>
      </c>
      <c r="G6954" s="1" t="n">
        <v>2.49</v>
      </c>
      <c r="H6954" s="1" t="n">
        <v>17</v>
      </c>
      <c r="I6954" s="1" t="n">
        <v>2.61</v>
      </c>
      <c r="J6954" t="n">
        <v>25230780</v>
      </c>
    </row>
    <row r="6955" ht="15.75" customHeight="1" s="201">
      <c r="A6955" s="1" t="inlineStr">
        <is>
          <t>Turkey, skin from whole (light and dark), with added solution, raw</t>
        </is>
      </c>
      <c r="C6955" s="1" t="n">
        <v>0.21</v>
      </c>
      <c r="D6955" s="1" t="n">
        <v>4</v>
      </c>
      <c r="E6955" s="1" t="n">
        <v>0.57</v>
      </c>
      <c r="F6955" s="1" t="n">
        <v>12.29</v>
      </c>
      <c r="G6955" s="1" t="n">
        <v>36.8</v>
      </c>
      <c r="H6955" s="1" t="n">
        <v>284</v>
      </c>
      <c r="I6955" s="1" t="n">
        <v>0.82</v>
      </c>
      <c r="J6955" t="n">
        <v>27446245</v>
      </c>
    </row>
    <row r="6956" ht="15.75" customHeight="1" s="201">
      <c r="A6956" s="1" t="inlineStr">
        <is>
          <t>Turkey, skin from whole, (light and dark), with added solution, roasted</t>
        </is>
      </c>
      <c r="C6956" s="1" t="n">
        <v>0</v>
      </c>
      <c r="D6956" s="1" t="n">
        <v>7</v>
      </c>
      <c r="E6956" s="1" t="n">
        <v>1.08</v>
      </c>
      <c r="F6956" s="1" t="n">
        <v>22.15</v>
      </c>
      <c r="G6956" s="1" t="n">
        <v>40.31</v>
      </c>
      <c r="H6956" s="1" t="n">
        <v>262</v>
      </c>
      <c r="I6956" s="1" t="n">
        <v>1.61</v>
      </c>
      <c r="J6956" t="n">
        <v>27446245</v>
      </c>
    </row>
    <row r="6957" ht="15.75" customHeight="1" s="201">
      <c r="A6957" s="1" t="inlineStr">
        <is>
          <t>Turkey, skin, from retail parts, from dark meat, cooked, roasted</t>
        </is>
      </c>
      <c r="C6957" s="1" t="n">
        <v>0</v>
      </c>
      <c r="D6957" s="1" t="n">
        <v>8</v>
      </c>
      <c r="E6957" s="1" t="n">
        <v>1.65</v>
      </c>
      <c r="F6957" s="1" t="n">
        <v>24.58</v>
      </c>
      <c r="G6957" s="1" t="n">
        <v>35.03</v>
      </c>
      <c r="H6957" s="1" t="n">
        <v>198</v>
      </c>
      <c r="I6957" s="1" t="n">
        <v>1.65</v>
      </c>
      <c r="J6957" t="n">
        <v>24147310</v>
      </c>
    </row>
    <row r="6958" ht="15.75" customHeight="1" s="201">
      <c r="A6958" s="1" t="inlineStr">
        <is>
          <t>Turkey, skin, from retail parts, from dark meat, raw</t>
        </is>
      </c>
      <c r="C6958" s="1" t="n">
        <v>0</v>
      </c>
      <c r="D6958" s="1" t="n">
        <v>5</v>
      </c>
      <c r="E6958" s="1" t="n">
        <v>0.76</v>
      </c>
      <c r="F6958" s="1" t="n">
        <v>14.35</v>
      </c>
      <c r="G6958" s="1" t="n">
        <v>35.83</v>
      </c>
      <c r="H6958" s="1" t="n">
        <v>263</v>
      </c>
      <c r="I6958" s="1" t="n">
        <v>0.88</v>
      </c>
      <c r="J6958" t="n">
        <v>24147310</v>
      </c>
    </row>
    <row r="6959" ht="15.75" customHeight="1" s="201">
      <c r="A6959" s="1" t="inlineStr">
        <is>
          <t>Turkey, stuffing, mashed potatoes w/gravy, assorted vegetables, frozen, microwaved</t>
        </is>
      </c>
      <c r="C6959" s="1" t="n">
        <v>16.32</v>
      </c>
      <c r="D6959" s="1" t="n">
        <v>24</v>
      </c>
      <c r="E6959" s="1" t="n">
        <v>0.79</v>
      </c>
      <c r="F6959" s="1" t="n">
        <v>6.97</v>
      </c>
      <c r="G6959" s="1" t="n">
        <v>3.89</v>
      </c>
      <c r="H6959" s="1" t="n">
        <v>319</v>
      </c>
      <c r="I6959" s="1" t="n">
        <v>0.48</v>
      </c>
      <c r="J6959" t="n">
        <v>28145110</v>
      </c>
    </row>
    <row r="6960" ht="15.75" customHeight="1" s="201">
      <c r="A6960" s="1" t="inlineStr">
        <is>
          <t>Turkey, thigh, from whole bird, meat only, raw</t>
        </is>
      </c>
      <c r="C6960" s="1" t="n">
        <v>0.15</v>
      </c>
      <c r="E6960" s="1" t="n">
        <v>1.04</v>
      </c>
      <c r="F6960" s="1" t="n">
        <v>21.28</v>
      </c>
      <c r="G6960" s="1" t="n">
        <v>2.5</v>
      </c>
      <c r="H6960" s="1" t="n">
        <v>43</v>
      </c>
      <c r="I6960" s="1" t="n">
        <v>2.59</v>
      </c>
      <c r="J6960" t="n">
        <v>14620320</v>
      </c>
    </row>
    <row r="6961" ht="15.75" customHeight="1" s="201">
      <c r="A6961" s="1" t="inlineStr">
        <is>
          <t>Turkey, thigh, from whole bird, meat only, roasted</t>
        </is>
      </c>
      <c r="C6961" s="1" t="n">
        <v>0</v>
      </c>
      <c r="D6961" s="1" t="n">
        <v>9</v>
      </c>
      <c r="E6961" s="1" t="n">
        <v>1.43</v>
      </c>
      <c r="F6961" s="1" t="n">
        <v>27.71</v>
      </c>
      <c r="G6961" s="1" t="n">
        <v>6.04</v>
      </c>
      <c r="H6961" s="1" t="n">
        <v>18</v>
      </c>
      <c r="I6961" s="1" t="n">
        <v>3.51</v>
      </c>
      <c r="J6961" t="n">
        <v>14620320</v>
      </c>
    </row>
    <row r="6962" ht="15.75" customHeight="1" s="201">
      <c r="A6962" s="1" t="inlineStr">
        <is>
          <t>Turkey, thigh, from whole bird, meat only, with added solution, raw</t>
        </is>
      </c>
      <c r="C6962" s="1" t="n">
        <v>0.15</v>
      </c>
      <c r="D6962" s="1" t="n">
        <v>6</v>
      </c>
      <c r="E6962" s="1" t="n">
        <v>0.9</v>
      </c>
      <c r="F6962" s="1" t="n">
        <v>19.27</v>
      </c>
      <c r="G6962" s="1" t="n">
        <v>4.12</v>
      </c>
      <c r="H6962" s="1" t="n">
        <v>43</v>
      </c>
      <c r="I6962" s="1" t="n">
        <v>2.68</v>
      </c>
      <c r="J6962" t="n">
        <v>75142550</v>
      </c>
    </row>
    <row r="6963" ht="15.75" customHeight="1" s="201">
      <c r="A6963" s="1" t="inlineStr">
        <is>
          <t>Turkey, thigh, from whole bird, meat only, with added solution, roasted</t>
        </is>
      </c>
      <c r="C6963" s="1" t="n">
        <v>0</v>
      </c>
      <c r="D6963" s="1" t="n">
        <v>8</v>
      </c>
      <c r="E6963" s="1" t="n">
        <v>1.07</v>
      </c>
      <c r="F6963" s="1" t="n">
        <v>26.1</v>
      </c>
      <c r="G6963" s="1" t="n">
        <v>6</v>
      </c>
      <c r="H6963" s="1" t="n">
        <v>18</v>
      </c>
      <c r="I6963" s="1" t="n">
        <v>3.4</v>
      </c>
      <c r="J6963" t="n">
        <v>75142550</v>
      </c>
    </row>
    <row r="6964" ht="15.75" customHeight="1" s="201">
      <c r="A6964" s="1" t="inlineStr">
        <is>
          <t>Turkey, white, rotisserie, deli cut</t>
        </is>
      </c>
      <c r="C6964" s="1" t="n">
        <v>7.7</v>
      </c>
      <c r="D6964" s="1" t="n">
        <v>4</v>
      </c>
      <c r="E6964" s="1" t="n">
        <v>2.2</v>
      </c>
      <c r="F6964" s="1" t="n">
        <v>13.5</v>
      </c>
      <c r="G6964" s="1" t="n">
        <v>3</v>
      </c>
      <c r="H6964" s="1" t="n">
        <v>8</v>
      </c>
      <c r="I6964" s="1" t="n">
        <v>2.1</v>
      </c>
      <c r="J6964" t="n">
        <v>27540350</v>
      </c>
    </row>
    <row r="6965" ht="15.75" customHeight="1" s="201">
      <c r="A6965" s="1" t="inlineStr">
        <is>
          <t>Turkey, whole, back, meat only, cooked, roasted</t>
        </is>
      </c>
      <c r="C6965" s="1" t="n">
        <v>0</v>
      </c>
      <c r="D6965" s="1" t="n">
        <v>9</v>
      </c>
      <c r="E6965" s="1" t="n">
        <v>1.43</v>
      </c>
      <c r="F6965" s="1" t="n">
        <v>27.71</v>
      </c>
      <c r="G6965" s="1" t="n">
        <v>6.04</v>
      </c>
      <c r="H6965" s="1" t="n">
        <v>18</v>
      </c>
      <c r="I6965" s="1" t="n">
        <v>3.51</v>
      </c>
      <c r="J6965" t="n">
        <v>25230780</v>
      </c>
    </row>
    <row r="6966" ht="15.75" customHeight="1" s="201">
      <c r="A6966" s="1" t="inlineStr">
        <is>
          <t>Turkey, whole, back, meat only, raw</t>
        </is>
      </c>
      <c r="C6966" s="1" t="n">
        <v>0.15</v>
      </c>
      <c r="E6966" s="1" t="n">
        <v>1.04</v>
      </c>
      <c r="F6966" s="1" t="n">
        <v>21.28</v>
      </c>
      <c r="G6966" s="1" t="n">
        <v>2.5</v>
      </c>
      <c r="H6966" s="1" t="n">
        <v>43</v>
      </c>
      <c r="I6966" s="1" t="n">
        <v>2.59</v>
      </c>
      <c r="J6966" t="n">
        <v>25230780</v>
      </c>
    </row>
    <row r="6967" ht="15.75" customHeight="1" s="201">
      <c r="A6967" s="1" t="inlineStr">
        <is>
          <t>Turkey, whole, breast, meat only, cooked, roasted</t>
        </is>
      </c>
      <c r="C6967" s="1" t="n">
        <v>0</v>
      </c>
      <c r="D6967" s="1" t="n">
        <v>9</v>
      </c>
      <c r="E6967" s="1" t="n">
        <v>0.71</v>
      </c>
      <c r="F6967" s="1" t="n">
        <v>30.13</v>
      </c>
      <c r="G6967" s="1" t="n">
        <v>2.08</v>
      </c>
      <c r="H6967" s="1" t="n">
        <v>11</v>
      </c>
      <c r="I6967" s="1" t="n">
        <v>1.72</v>
      </c>
      <c r="J6967" t="n">
        <v>27540350</v>
      </c>
    </row>
    <row r="6968" ht="15.75" customHeight="1" s="201">
      <c r="A6968" s="1" t="inlineStr">
        <is>
          <t>Turkey, whole, breast, meat only, raw</t>
        </is>
      </c>
      <c r="C6968" s="1" t="n">
        <v>0.14</v>
      </c>
      <c r="D6968" s="1" t="n">
        <v>7</v>
      </c>
      <c r="E6968" s="1" t="n">
        <v>0.73</v>
      </c>
      <c r="F6968" s="1" t="n">
        <v>23.66</v>
      </c>
      <c r="G6968" s="1" t="n">
        <v>1.48</v>
      </c>
      <c r="H6968" s="1" t="n">
        <v>20</v>
      </c>
      <c r="I6968" s="1" t="n">
        <v>1.28</v>
      </c>
      <c r="J6968" t="n">
        <v>27540350</v>
      </c>
    </row>
    <row r="6969" ht="15.75" customHeight="1" s="201">
      <c r="A6969" s="1" t="inlineStr">
        <is>
          <t>Turkey, whole, dark meat, cooked, roasted</t>
        </is>
      </c>
      <c r="C6969" s="1" t="n">
        <v>0</v>
      </c>
      <c r="D6969" s="1" t="n">
        <v>9</v>
      </c>
      <c r="E6969" s="1" t="n">
        <v>1.43</v>
      </c>
      <c r="F6969" s="1" t="n">
        <v>27.71</v>
      </c>
      <c r="G6969" s="1" t="n">
        <v>6.04</v>
      </c>
      <c r="H6969" s="1" t="n">
        <v>18</v>
      </c>
      <c r="I6969" s="1" t="n">
        <v>3.51</v>
      </c>
      <c r="J6969" t="n">
        <v>24201220</v>
      </c>
    </row>
    <row r="6970" ht="15.75" customHeight="1" s="201">
      <c r="A6970" s="1" t="inlineStr">
        <is>
          <t>Turkey, whole, dark meat, meat and skin, cooked, roasted</t>
        </is>
      </c>
      <c r="C6970" s="1" t="n">
        <v>0.07000000000000001</v>
      </c>
      <c r="D6970" s="1" t="n">
        <v>9</v>
      </c>
      <c r="E6970" s="1" t="n">
        <v>1.45</v>
      </c>
      <c r="F6970" s="1" t="n">
        <v>27.27</v>
      </c>
      <c r="G6970" s="1" t="n">
        <v>9.949999999999999</v>
      </c>
      <c r="H6970" s="1" t="n">
        <v>47</v>
      </c>
      <c r="I6970" s="1" t="n">
        <v>3.35</v>
      </c>
      <c r="J6970" t="n">
        <v>24201330</v>
      </c>
    </row>
    <row r="6971" ht="15.75" customHeight="1" s="201">
      <c r="A6971" s="1" t="inlineStr">
        <is>
          <t>Turkey, whole, dark meat, meat only, raw</t>
        </is>
      </c>
      <c r="C6971" s="1" t="n">
        <v>0.15</v>
      </c>
      <c r="D6971" s="1" t="n">
        <v>7</v>
      </c>
      <c r="E6971" s="1" t="n">
        <v>1.04</v>
      </c>
      <c r="F6971" s="1" t="n">
        <v>21.28</v>
      </c>
      <c r="G6971" s="1" t="n">
        <v>2.5</v>
      </c>
      <c r="H6971" s="1" t="n">
        <v>43</v>
      </c>
      <c r="I6971" s="1" t="n">
        <v>2.59</v>
      </c>
      <c r="J6971" t="n">
        <v>32131110</v>
      </c>
    </row>
    <row r="6972" ht="15.75" customHeight="1" s="201">
      <c r="A6972" s="1" t="inlineStr">
        <is>
          <t>Turkey, whole, giblets, cooked, simmered</t>
        </is>
      </c>
      <c r="C6972" s="1" t="n">
        <v>0</v>
      </c>
      <c r="D6972" s="1" t="n">
        <v>303</v>
      </c>
      <c r="E6972" s="1" t="n">
        <v>3.39</v>
      </c>
      <c r="F6972" s="1" t="n">
        <v>26.44</v>
      </c>
      <c r="G6972" s="1" t="n">
        <v>6.61</v>
      </c>
      <c r="H6972" s="1" t="n">
        <v>15397</v>
      </c>
      <c r="I6972" s="1" t="n">
        <v>4.29</v>
      </c>
      <c r="J6972" t="n">
        <v>27540350</v>
      </c>
    </row>
    <row r="6973" ht="15.75" customHeight="1" s="201">
      <c r="A6973" s="1" t="inlineStr">
        <is>
          <t>Turkey, whole, giblets, raw</t>
        </is>
      </c>
      <c r="C6973" s="1" t="n">
        <v>0.07000000000000001</v>
      </c>
      <c r="D6973" s="1" t="n">
        <v>331</v>
      </c>
      <c r="E6973" s="1" t="n">
        <v>5.92</v>
      </c>
      <c r="F6973" s="1" t="n">
        <v>18.18</v>
      </c>
      <c r="G6973" s="1" t="n">
        <v>5.09</v>
      </c>
      <c r="H6973" s="1" t="n">
        <v>13129</v>
      </c>
      <c r="I6973" s="1" t="n">
        <v>3.23</v>
      </c>
      <c r="J6973" t="n">
        <v>27540350</v>
      </c>
    </row>
    <row r="6974" ht="15.75" customHeight="1" s="201">
      <c r="A6974" s="1" t="inlineStr">
        <is>
          <t>Turkey, whole, light meat, meat and skin, cooked, roasted</t>
        </is>
      </c>
      <c r="C6974" s="1" t="n">
        <v>0.05</v>
      </c>
      <c r="D6974" s="1" t="n">
        <v>9</v>
      </c>
      <c r="E6974" s="1" t="n">
        <v>0.8</v>
      </c>
      <c r="F6974" s="1" t="n">
        <v>29.55</v>
      </c>
      <c r="G6974" s="1" t="n">
        <v>5.57</v>
      </c>
      <c r="H6974" s="1" t="n">
        <v>35</v>
      </c>
      <c r="I6974" s="1" t="n">
        <v>1.76</v>
      </c>
      <c r="J6974" t="n">
        <v>27446245</v>
      </c>
    </row>
    <row r="6975" ht="15.75" customHeight="1" s="201">
      <c r="A6975" s="1" t="inlineStr">
        <is>
          <t>Turkey, whole, light meat, meat and skin, raw</t>
        </is>
      </c>
      <c r="C6975" s="1" t="n">
        <v>0.15</v>
      </c>
      <c r="D6975" s="1" t="n">
        <v>7</v>
      </c>
      <c r="E6975" s="1" t="n">
        <v>0.75</v>
      </c>
      <c r="F6975" s="1" t="n">
        <v>21.96</v>
      </c>
      <c r="G6975" s="1" t="n">
        <v>7.43</v>
      </c>
      <c r="H6975" s="1" t="n">
        <v>62</v>
      </c>
      <c r="I6975" s="1" t="n">
        <v>1.25</v>
      </c>
      <c r="J6975" t="n">
        <v>27446245</v>
      </c>
    </row>
    <row r="6976" ht="15.75" customHeight="1" s="201">
      <c r="A6976" s="1" t="inlineStr">
        <is>
          <t>Turkey, whole, light meat, raw</t>
        </is>
      </c>
      <c r="C6976" s="1" t="n">
        <v>0.14</v>
      </c>
      <c r="D6976" s="1" t="n">
        <v>7</v>
      </c>
      <c r="E6976" s="1" t="n">
        <v>0.73</v>
      </c>
      <c r="F6976" s="1" t="n">
        <v>23.66</v>
      </c>
      <c r="G6976" s="1" t="n">
        <v>1.48</v>
      </c>
      <c r="H6976" s="1" t="n">
        <v>20</v>
      </c>
      <c r="I6976" s="1" t="n">
        <v>1.28</v>
      </c>
      <c r="J6976" t="n">
        <v>27446245</v>
      </c>
    </row>
    <row r="6977" ht="15.75" customHeight="1" s="201">
      <c r="A6977" s="1" t="inlineStr">
        <is>
          <t>Turkey, whole, meat and skin, cooked, roasted</t>
        </is>
      </c>
      <c r="C6977" s="1" t="n">
        <v>0.06</v>
      </c>
      <c r="D6977" s="1" t="n">
        <v>9</v>
      </c>
      <c r="E6977" s="1" t="n">
        <v>1.09</v>
      </c>
      <c r="F6977" s="1" t="n">
        <v>28.55</v>
      </c>
      <c r="G6977" s="1" t="n">
        <v>7.39</v>
      </c>
      <c r="H6977" s="1" t="n">
        <v>39</v>
      </c>
      <c r="I6977" s="1" t="n">
        <v>2.48</v>
      </c>
      <c r="J6977" t="n">
        <v>24201020</v>
      </c>
    </row>
    <row r="6978" ht="15.75" customHeight="1" s="201">
      <c r="A6978" s="1" t="inlineStr">
        <is>
          <t>Turkey, whole, meat and skin, raw</t>
        </is>
      </c>
      <c r="C6978" s="1" t="n">
        <v>0.14</v>
      </c>
      <c r="D6978" s="1" t="n">
        <v>7</v>
      </c>
      <c r="E6978" s="1" t="n">
        <v>0.86</v>
      </c>
      <c r="F6978" s="1" t="n">
        <v>21.64</v>
      </c>
      <c r="G6978" s="1" t="n">
        <v>5.64</v>
      </c>
      <c r="H6978" s="1" t="n">
        <v>56</v>
      </c>
      <c r="I6978" s="1" t="n">
        <v>1.78</v>
      </c>
      <c r="J6978" t="n">
        <v>24201020</v>
      </c>
    </row>
    <row r="6979" ht="15.75" customHeight="1" s="201">
      <c r="A6979" s="1" t="inlineStr">
        <is>
          <t>Turkey, whole, meat and skin, with added solution, raw</t>
        </is>
      </c>
      <c r="C6979" s="1" t="n">
        <v>0.15</v>
      </c>
      <c r="D6979" s="1" t="n">
        <v>6</v>
      </c>
      <c r="E6979" s="1" t="n">
        <v>0.67</v>
      </c>
      <c r="F6979" s="1" t="n">
        <v>19.03</v>
      </c>
      <c r="G6979" s="1" t="n">
        <v>9.1</v>
      </c>
      <c r="H6979" s="1" t="n">
        <v>78</v>
      </c>
      <c r="I6979" s="1" t="n">
        <v>1.68</v>
      </c>
      <c r="J6979" t="n">
        <v>75142550</v>
      </c>
    </row>
    <row r="6980" ht="15.75" customHeight="1" s="201">
      <c r="A6980" s="1" t="inlineStr">
        <is>
          <t>Turkey, whole, meat and skin, with added solution, roasted</t>
        </is>
      </c>
      <c r="C6980" s="1" t="n">
        <v>0</v>
      </c>
      <c r="D6980" s="1" t="n">
        <v>8</v>
      </c>
      <c r="E6980" s="1" t="n">
        <v>0.8100000000000001</v>
      </c>
      <c r="F6980" s="1" t="n">
        <v>26.09</v>
      </c>
      <c r="G6980" s="1" t="n">
        <v>8.01</v>
      </c>
      <c r="H6980" s="1" t="n">
        <v>43</v>
      </c>
      <c r="I6980" s="1" t="n">
        <v>2.2</v>
      </c>
      <c r="J6980" t="n">
        <v>75142550</v>
      </c>
    </row>
    <row r="6981" ht="15.75" customHeight="1" s="201">
      <c r="A6981" s="1" t="inlineStr">
        <is>
          <t>Turkey, whole, meat only, cooked, roasted</t>
        </is>
      </c>
      <c r="C6981" s="1" t="n">
        <v>0</v>
      </c>
      <c r="D6981" s="1" t="n">
        <v>9</v>
      </c>
      <c r="E6981" s="1" t="n">
        <v>1.03</v>
      </c>
      <c r="F6981" s="1" t="n">
        <v>29.06</v>
      </c>
      <c r="G6981" s="1" t="n">
        <v>3.84</v>
      </c>
      <c r="H6981" s="1" t="n">
        <v>14</v>
      </c>
      <c r="I6981" s="1" t="n">
        <v>2.51</v>
      </c>
      <c r="J6981" t="n">
        <v>25230780</v>
      </c>
    </row>
    <row r="6982" ht="15.75" customHeight="1" s="201">
      <c r="A6982" s="1" t="inlineStr">
        <is>
          <t>Turkey, whole, meat only, raw</t>
        </is>
      </c>
      <c r="C6982" s="1" t="n">
        <v>0.14</v>
      </c>
      <c r="D6982" s="1" t="n">
        <v>7</v>
      </c>
      <c r="E6982" s="1" t="n">
        <v>0.86</v>
      </c>
      <c r="F6982" s="1" t="n">
        <v>22.64</v>
      </c>
      <c r="G6982" s="1" t="n">
        <v>1.93</v>
      </c>
      <c r="H6982" s="1" t="n">
        <v>30</v>
      </c>
      <c r="I6982" s="1" t="n">
        <v>1.84</v>
      </c>
      <c r="J6982" t="n">
        <v>25230780</v>
      </c>
    </row>
    <row r="6983" ht="15.75" customHeight="1" s="201">
      <c r="A6983" s="1" t="inlineStr">
        <is>
          <t>Turkey, whole, meat only, with added solution, raw</t>
        </is>
      </c>
      <c r="C6983" s="1" t="n">
        <v>0.14</v>
      </c>
      <c r="D6983" s="1" t="n">
        <v>7</v>
      </c>
      <c r="E6983" s="1" t="n">
        <v>0.64</v>
      </c>
      <c r="F6983" s="1" t="n">
        <v>20.87</v>
      </c>
      <c r="G6983" s="1" t="n">
        <v>2.39</v>
      </c>
      <c r="H6983" s="1" t="n">
        <v>27</v>
      </c>
      <c r="I6983" s="1" t="n">
        <v>1.7</v>
      </c>
      <c r="J6983" t="n">
        <v>75142550</v>
      </c>
    </row>
    <row r="6984" ht="15.75" customHeight="1" s="201">
      <c r="A6984" s="1" t="inlineStr">
        <is>
          <t>Turkey, whole, meat only, with added solution, roasted</t>
        </is>
      </c>
      <c r="C6984" s="1" t="n">
        <v>0</v>
      </c>
      <c r="D6984" s="1" t="n">
        <v>8</v>
      </c>
      <c r="E6984" s="1" t="n">
        <v>0.77</v>
      </c>
      <c r="F6984" s="1" t="n">
        <v>26.61</v>
      </c>
      <c r="G6984" s="1" t="n">
        <v>3.7</v>
      </c>
      <c r="H6984" s="1" t="n">
        <v>14</v>
      </c>
      <c r="I6984" s="1" t="n">
        <v>2.28</v>
      </c>
      <c r="J6984" t="n">
        <v>75142550</v>
      </c>
    </row>
    <row r="6985" ht="15.75" customHeight="1" s="201">
      <c r="A6985" s="1" t="inlineStr">
        <is>
          <t>Turkey, whole, neck, meat only, cooked, simmered</t>
        </is>
      </c>
      <c r="C6985" s="1" t="n">
        <v>0</v>
      </c>
      <c r="D6985" s="1" t="n">
        <v>7</v>
      </c>
      <c r="E6985" s="1" t="n">
        <v>1.18</v>
      </c>
      <c r="F6985" s="1" t="n">
        <v>22.48</v>
      </c>
      <c r="G6985" s="1" t="n">
        <v>7.36</v>
      </c>
      <c r="H6985" s="1" t="n">
        <v>0</v>
      </c>
      <c r="I6985" s="1" t="n">
        <v>4.03</v>
      </c>
      <c r="J6985" t="n">
        <v>25230780</v>
      </c>
    </row>
    <row r="6986" ht="15.75" customHeight="1" s="201">
      <c r="A6986" s="1" t="inlineStr">
        <is>
          <t>Turkey, whole, neck, meat only, raw</t>
        </is>
      </c>
      <c r="C6986" s="1" t="n">
        <v>0</v>
      </c>
      <c r="D6986" s="1" t="n">
        <v>5</v>
      </c>
      <c r="E6986" s="1" t="n">
        <v>1.01</v>
      </c>
      <c r="F6986" s="1" t="n">
        <v>16.51</v>
      </c>
      <c r="G6986" s="1" t="n">
        <v>6.04</v>
      </c>
      <c r="H6986" s="1" t="n">
        <v>43</v>
      </c>
      <c r="I6986" s="1" t="n">
        <v>3.39</v>
      </c>
      <c r="J6986" t="n">
        <v>25230780</v>
      </c>
    </row>
    <row r="6987" ht="15.75" customHeight="1" s="201">
      <c r="A6987" s="1" t="inlineStr">
        <is>
          <t>Turkey, whole, skin (light and dark), raw</t>
        </is>
      </c>
      <c r="C6987" s="1" t="n">
        <v>0.16</v>
      </c>
      <c r="D6987" s="1" t="n">
        <v>4</v>
      </c>
      <c r="E6987" s="1" t="n">
        <v>0.85</v>
      </c>
      <c r="F6987" s="1" t="n">
        <v>12.96</v>
      </c>
      <c r="G6987" s="1" t="n">
        <v>38.93</v>
      </c>
      <c r="H6987" s="1" t="n">
        <v>284</v>
      </c>
      <c r="I6987" s="1" t="n">
        <v>1.1</v>
      </c>
      <c r="J6987" t="n">
        <v>27446245</v>
      </c>
    </row>
    <row r="6988" ht="15.75" customHeight="1" s="201">
      <c r="A6988" s="1" t="inlineStr">
        <is>
          <t>Turkey, whole, skin (light and dark), roasted</t>
        </is>
      </c>
      <c r="C6988" s="1" t="n">
        <v>0.57</v>
      </c>
      <c r="D6988" s="1" t="n">
        <v>8</v>
      </c>
      <c r="E6988" s="1" t="n">
        <v>1.63</v>
      </c>
      <c r="F6988" s="1" t="n">
        <v>23.94</v>
      </c>
      <c r="G6988" s="1" t="n">
        <v>39.31</v>
      </c>
      <c r="H6988" s="1" t="n">
        <v>262</v>
      </c>
      <c r="I6988" s="1" t="n">
        <v>2.14</v>
      </c>
      <c r="J6988" t="n">
        <v>27446245</v>
      </c>
    </row>
    <row r="6989" ht="15.75" customHeight="1" s="201">
      <c r="A6989" s="1" t="inlineStr">
        <is>
          <t>Turkey, whole, wing, meat only, cooked, roasted</t>
        </is>
      </c>
      <c r="C6989" s="1" t="n">
        <v>0</v>
      </c>
      <c r="D6989" s="1" t="n">
        <v>10</v>
      </c>
      <c r="E6989" s="1" t="n">
        <v>0.71</v>
      </c>
      <c r="F6989" s="1" t="n">
        <v>30.13</v>
      </c>
      <c r="G6989" s="1" t="n">
        <v>2.08</v>
      </c>
      <c r="H6989" s="1" t="n">
        <v>11</v>
      </c>
      <c r="I6989" s="1" t="n">
        <v>1.72</v>
      </c>
      <c r="J6989" t="n">
        <v>25230780</v>
      </c>
    </row>
    <row r="6990" ht="15.75" customHeight="1" s="201">
      <c r="A6990" s="1" t="inlineStr">
        <is>
          <t>Turkey, whole, wing, meat only, raw</t>
        </is>
      </c>
      <c r="C6990" s="1" t="n">
        <v>0.14</v>
      </c>
      <c r="D6990" s="1" t="n">
        <v>7</v>
      </c>
      <c r="E6990" s="1" t="n">
        <v>0.73</v>
      </c>
      <c r="F6990" s="1" t="n">
        <v>23.66</v>
      </c>
      <c r="G6990" s="1" t="n">
        <v>1.48</v>
      </c>
      <c r="H6990" s="1" t="n">
        <v>20</v>
      </c>
      <c r="I6990" s="1" t="n">
        <v>1.28</v>
      </c>
      <c r="J6990" t="n">
        <v>25230780</v>
      </c>
    </row>
    <row r="6991" ht="15.75" customHeight="1" s="201">
      <c r="A6991" s="1" t="inlineStr">
        <is>
          <t>Turkey, wing, from whole bird, meat only, with added solution, raw</t>
        </is>
      </c>
      <c r="C6991" s="1" t="n">
        <v>0.14</v>
      </c>
      <c r="D6991" s="1" t="n">
        <v>7</v>
      </c>
      <c r="E6991" s="1" t="n">
        <v>0.54</v>
      </c>
      <c r="F6991" s="1" t="n">
        <v>21.54</v>
      </c>
      <c r="G6991" s="1" t="n">
        <v>1.66</v>
      </c>
      <c r="H6991" s="1" t="n">
        <v>20</v>
      </c>
      <c r="I6991" s="1" t="n">
        <v>1.3</v>
      </c>
      <c r="J6991" t="n">
        <v>75142550</v>
      </c>
    </row>
    <row r="6992" ht="15.75" customHeight="1" s="201">
      <c r="A6992" s="1" t="inlineStr">
        <is>
          <t>Turkey, wing, from whole bird, meat only, with added solution, roasted</t>
        </is>
      </c>
      <c r="C6992" s="1" t="n">
        <v>0</v>
      </c>
      <c r="D6992" s="1" t="n">
        <v>9</v>
      </c>
      <c r="E6992" s="1" t="n">
        <v>0.55</v>
      </c>
      <c r="F6992" s="1" t="n">
        <v>26.97</v>
      </c>
      <c r="G6992" s="1" t="n">
        <v>2.08</v>
      </c>
      <c r="H6992" s="1" t="n">
        <v>11</v>
      </c>
      <c r="I6992" s="1" t="n">
        <v>1.49</v>
      </c>
      <c r="J6992" t="n">
        <v>75142550</v>
      </c>
    </row>
    <row r="6993" ht="15.75" customHeight="1" s="201">
      <c r="A6993" s="1" t="inlineStr">
        <is>
          <t>Turkey, wing, smoked, cooked, with skin, bone removed</t>
        </is>
      </c>
      <c r="C6993" s="1" t="n">
        <v>0</v>
      </c>
      <c r="D6993" s="1" t="n">
        <v>6</v>
      </c>
      <c r="E6993" s="1" t="n">
        <v>1.46</v>
      </c>
      <c r="F6993" s="1" t="n">
        <v>27.4</v>
      </c>
      <c r="G6993" s="1" t="n">
        <v>12.41</v>
      </c>
      <c r="H6993" s="1" t="n">
        <v>0</v>
      </c>
      <c r="I6993" s="1" t="n">
        <v>2.1</v>
      </c>
      <c r="J6993" t="n">
        <v>75142550</v>
      </c>
    </row>
    <row r="6994" ht="15.75" customHeight="1" s="201">
      <c r="A6994" s="1" t="inlineStr">
        <is>
          <t>Turkey, young hen, skin only, cooked, roasted</t>
        </is>
      </c>
      <c r="C6994" s="1" t="n">
        <v>0</v>
      </c>
      <c r="D6994" s="1" t="n">
        <v>4</v>
      </c>
      <c r="E6994" s="1" t="n">
        <v>1.82</v>
      </c>
      <c r="F6994" s="1" t="n">
        <v>19.03</v>
      </c>
      <c r="G6994" s="1" t="n">
        <v>44.45</v>
      </c>
      <c r="H6994" s="1" t="n">
        <v>0</v>
      </c>
      <c r="I6994" s="1" t="n">
        <v>2.06</v>
      </c>
      <c r="J6994" t="n">
        <v>24201020</v>
      </c>
    </row>
    <row r="6995" ht="15.75" customHeight="1" s="201">
      <c r="A6995" s="1" t="inlineStr">
        <is>
          <t>Turnip greens and turnips, frozen, cooked, boiled, drained, with salt</t>
        </is>
      </c>
      <c r="C6995" s="1" t="n">
        <v>4.74</v>
      </c>
      <c r="D6995" s="1" t="n">
        <v>33</v>
      </c>
      <c r="E6995" s="1" t="n">
        <v>1.75</v>
      </c>
      <c r="F6995" s="1" t="n">
        <v>2.99</v>
      </c>
      <c r="G6995" s="1" t="n">
        <v>0.38</v>
      </c>
      <c r="H6995" s="1" t="n">
        <v>8612</v>
      </c>
      <c r="I6995" s="1" t="n">
        <v>0.37</v>
      </c>
      <c r="J6995" t="n">
        <v>75142550</v>
      </c>
    </row>
    <row r="6996" ht="15.75" customHeight="1" s="201">
      <c r="A6996" s="1" t="inlineStr">
        <is>
          <t>Turnip greens and turnips, frozen, cooked, boiled, drained, without salt</t>
        </is>
      </c>
      <c r="C6996" s="1" t="n">
        <v>4.85</v>
      </c>
      <c r="D6996" s="1" t="n">
        <v>33</v>
      </c>
      <c r="E6996" s="1" t="n">
        <v>1.75</v>
      </c>
      <c r="F6996" s="1" t="n">
        <v>2.99</v>
      </c>
      <c r="G6996" s="1" t="n">
        <v>0.38</v>
      </c>
      <c r="H6996" s="1" t="n">
        <v>8612</v>
      </c>
      <c r="I6996" s="1" t="n">
        <v>0.37</v>
      </c>
    </row>
    <row r="6997" ht="15.75" customHeight="1" s="201">
      <c r="A6997" s="1" t="inlineStr">
        <is>
          <t>Turnip greens and turnips, frozen, unprepared</t>
        </is>
      </c>
      <c r="C6997" s="1" t="n">
        <v>3.39</v>
      </c>
      <c r="D6997" s="1" t="n">
        <v>41</v>
      </c>
      <c r="E6997" s="1" t="n">
        <v>1.63</v>
      </c>
      <c r="F6997" s="1" t="n">
        <v>2.46</v>
      </c>
      <c r="G6997" s="1" t="n">
        <v>0.19</v>
      </c>
      <c r="H6997" s="1" t="n">
        <v>6108</v>
      </c>
      <c r="I6997" s="1" t="n">
        <v>0.16</v>
      </c>
    </row>
    <row r="6998" ht="15.75" customHeight="1" s="201">
      <c r="A6998" s="1" t="inlineStr">
        <is>
          <t>Turnip greens, canned, no salt added</t>
        </is>
      </c>
      <c r="C6998" s="1" t="n">
        <v>2.81</v>
      </c>
      <c r="D6998" s="1" t="n">
        <v>92</v>
      </c>
      <c r="E6998" s="1" t="n">
        <v>1.51</v>
      </c>
      <c r="F6998" s="1" t="n">
        <v>1.36</v>
      </c>
      <c r="G6998" s="1" t="n">
        <v>0.3</v>
      </c>
      <c r="H6998" s="1" t="n">
        <v>5954</v>
      </c>
      <c r="I6998" s="1" t="n">
        <v>0.23</v>
      </c>
      <c r="J6998" t="n">
        <v>72128223</v>
      </c>
    </row>
    <row r="6999" ht="15.75" customHeight="1" s="201">
      <c r="A6999" s="1" t="inlineStr">
        <is>
          <t>Turnip greens, canned, solids and liquids</t>
        </is>
      </c>
      <c r="C6999" s="1" t="n">
        <v>2.42</v>
      </c>
      <c r="D6999" s="1" t="n">
        <v>41</v>
      </c>
      <c r="E6999" s="1" t="n">
        <v>1.51</v>
      </c>
      <c r="F6999" s="1" t="n">
        <v>1.36</v>
      </c>
      <c r="G6999" s="1" t="n">
        <v>0.3</v>
      </c>
      <c r="H6999" s="1" t="n">
        <v>3586</v>
      </c>
      <c r="I6999" s="1" t="n">
        <v>0.23</v>
      </c>
      <c r="J6999" t="n">
        <v>72128213</v>
      </c>
    </row>
    <row r="7000" ht="15.75" customHeight="1" s="201">
      <c r="A7000" s="1" t="inlineStr">
        <is>
          <t>Turnip greens, cooked, boiled, drained, with salt</t>
        </is>
      </c>
      <c r="C7000" s="1" t="n">
        <v>4.36</v>
      </c>
      <c r="D7000" s="1" t="n">
        <v>118</v>
      </c>
      <c r="E7000" s="1" t="n">
        <v>0.8</v>
      </c>
      <c r="F7000" s="1" t="n">
        <v>1.14</v>
      </c>
      <c r="G7000" s="1" t="n">
        <v>0.23</v>
      </c>
      <c r="H7000" s="1" t="n">
        <v>7625</v>
      </c>
      <c r="I7000" s="1" t="n">
        <v>0.14</v>
      </c>
      <c r="J7000" t="n">
        <v>75142550</v>
      </c>
    </row>
    <row r="7001" ht="15.75" customHeight="1" s="201">
      <c r="A7001" s="1" t="inlineStr">
        <is>
          <t>Turnip greens, cooked, boiled, drained, without salt</t>
        </is>
      </c>
      <c r="C7001" s="1" t="n">
        <v>4.36</v>
      </c>
      <c r="D7001" s="1" t="n">
        <v>118</v>
      </c>
      <c r="E7001" s="1" t="n">
        <v>0.8</v>
      </c>
      <c r="F7001" s="1" t="n">
        <v>1.14</v>
      </c>
      <c r="G7001" s="1" t="n">
        <v>0.23</v>
      </c>
      <c r="H7001" s="1" t="n">
        <v>7625</v>
      </c>
      <c r="I7001" s="1" t="n">
        <v>0.14</v>
      </c>
      <c r="J7001" t="n">
        <v>31103010</v>
      </c>
    </row>
    <row r="7002" ht="15.75" customHeight="1" s="201">
      <c r="A7002" s="1" t="inlineStr">
        <is>
          <t>Turnip greens, frozen, cooked, boiled, drained, with salt</t>
        </is>
      </c>
      <c r="C7002" s="1" t="n">
        <v>4.98</v>
      </c>
      <c r="D7002" s="1" t="n">
        <v>39</v>
      </c>
      <c r="E7002" s="1" t="n">
        <v>1.94</v>
      </c>
      <c r="F7002" s="1" t="n">
        <v>3.35</v>
      </c>
      <c r="G7002" s="1" t="n">
        <v>0.42</v>
      </c>
      <c r="H7002" s="1" t="n">
        <v>10765</v>
      </c>
      <c r="I7002" s="1" t="n">
        <v>0.41</v>
      </c>
      <c r="J7002" t="n">
        <v>75142550</v>
      </c>
    </row>
    <row r="7003" ht="15.75" customHeight="1" s="201">
      <c r="A7003" s="1" t="inlineStr">
        <is>
          <t>Turnip greens, frozen, cooked, boiled, drained, without salt</t>
        </is>
      </c>
      <c r="C7003" s="1" t="n">
        <v>4.98</v>
      </c>
      <c r="D7003" s="1" t="n">
        <v>39</v>
      </c>
      <c r="E7003" s="1" t="n">
        <v>1.94</v>
      </c>
      <c r="F7003" s="1" t="n">
        <v>3.35</v>
      </c>
      <c r="G7003" s="1" t="n">
        <v>0.42</v>
      </c>
      <c r="H7003" s="1" t="n">
        <v>10765</v>
      </c>
      <c r="I7003" s="1" t="n">
        <v>0.41</v>
      </c>
      <c r="J7003" t="n">
        <v>71102990</v>
      </c>
    </row>
    <row r="7004" ht="15.75" customHeight="1" s="201">
      <c r="A7004" s="1" t="inlineStr">
        <is>
          <t>Turnip greens, frozen, unprepared</t>
        </is>
      </c>
      <c r="C7004" s="1" t="n">
        <v>3.67</v>
      </c>
      <c r="D7004" s="1" t="n">
        <v>74</v>
      </c>
      <c r="E7004" s="1" t="n">
        <v>1.51</v>
      </c>
      <c r="F7004" s="1" t="n">
        <v>2.47</v>
      </c>
      <c r="G7004" s="1" t="n">
        <v>0.31</v>
      </c>
      <c r="H7004" s="1" t="n">
        <v>6184</v>
      </c>
      <c r="I7004" s="1" t="n">
        <v>0.17</v>
      </c>
      <c r="J7004" t="n">
        <v>72128211</v>
      </c>
    </row>
    <row r="7005" ht="15.75" customHeight="1" s="201">
      <c r="A7005" s="1" t="inlineStr">
        <is>
          <t>Turnip greens, raw</t>
        </is>
      </c>
      <c r="C7005" s="1" t="n">
        <v>7.13</v>
      </c>
      <c r="D7005" s="1" t="n">
        <v>194</v>
      </c>
      <c r="E7005" s="1" t="n">
        <v>1.1</v>
      </c>
      <c r="F7005" s="1" t="n">
        <v>1.5</v>
      </c>
      <c r="G7005" s="1" t="n">
        <v>0.3</v>
      </c>
      <c r="H7005" s="1" t="n">
        <v>11587</v>
      </c>
      <c r="I7005" s="1" t="n">
        <v>0.19</v>
      </c>
      <c r="J7005" t="n">
        <v>72128211</v>
      </c>
    </row>
    <row r="7006" ht="15.75" customHeight="1" s="201">
      <c r="A7006" s="1" t="inlineStr">
        <is>
          <t>Turnips, cooked, boiled, drained, with salt</t>
        </is>
      </c>
      <c r="C7006" s="1" t="n">
        <v>5.06</v>
      </c>
      <c r="D7006" s="1" t="n">
        <v>9</v>
      </c>
      <c r="E7006" s="1" t="n">
        <v>0.22</v>
      </c>
      <c r="F7006" s="1" t="n">
        <v>0.71</v>
      </c>
      <c r="G7006" s="1" t="n">
        <v>0.08</v>
      </c>
      <c r="H7006" s="1" t="n">
        <v>0</v>
      </c>
      <c r="I7006" s="1" t="n">
        <v>0.2</v>
      </c>
      <c r="J7006" t="n">
        <v>75142550</v>
      </c>
    </row>
    <row r="7007" ht="15.75" customHeight="1" s="201">
      <c r="A7007" s="1" t="inlineStr">
        <is>
          <t>Turnips, cooked, boiled, drained, without salt</t>
        </is>
      </c>
      <c r="C7007" s="1" t="n">
        <v>5.06</v>
      </c>
      <c r="D7007" s="1" t="n">
        <v>9</v>
      </c>
      <c r="E7007" s="1" t="n">
        <v>0.18</v>
      </c>
      <c r="F7007" s="1" t="n">
        <v>0.71</v>
      </c>
      <c r="G7007" s="1" t="n">
        <v>0.08</v>
      </c>
      <c r="H7007" s="1" t="n">
        <v>0</v>
      </c>
      <c r="I7007" s="1" t="n">
        <v>0.12</v>
      </c>
      <c r="J7007" t="n">
        <v>31103010</v>
      </c>
    </row>
    <row r="7008" ht="15.75" customHeight="1" s="201">
      <c r="A7008" s="1" t="inlineStr">
        <is>
          <t>Turnips, frozen, cooked, boiled, drained, with salt</t>
        </is>
      </c>
      <c r="C7008" s="1" t="n">
        <v>3.73</v>
      </c>
      <c r="D7008" s="1" t="n">
        <v>8</v>
      </c>
      <c r="E7008" s="1" t="n">
        <v>0.98</v>
      </c>
      <c r="F7008" s="1" t="n">
        <v>1.53</v>
      </c>
      <c r="G7008" s="1" t="n">
        <v>0.24</v>
      </c>
      <c r="H7008" s="1" t="n">
        <v>0</v>
      </c>
      <c r="I7008" s="1" t="n">
        <v>0.2</v>
      </c>
      <c r="J7008" t="n">
        <v>75142550</v>
      </c>
    </row>
    <row r="7009" ht="15.75" customHeight="1" s="201">
      <c r="A7009" s="1" t="inlineStr">
        <is>
          <t>Turnips, frozen, cooked, boiled, drained, without salt</t>
        </is>
      </c>
      <c r="C7009" s="1" t="n">
        <v>4.35</v>
      </c>
      <c r="D7009" s="1" t="n">
        <v>8</v>
      </c>
      <c r="E7009" s="1" t="n">
        <v>0.98</v>
      </c>
      <c r="F7009" s="1" t="n">
        <v>1.53</v>
      </c>
      <c r="G7009" s="1" t="n">
        <v>0.24</v>
      </c>
      <c r="H7009" s="1" t="n">
        <v>0</v>
      </c>
      <c r="I7009" s="1" t="n">
        <v>0.2</v>
      </c>
      <c r="J7009" t="n">
        <v>71102990</v>
      </c>
    </row>
    <row r="7010" ht="15.75" customHeight="1" s="201">
      <c r="A7010" s="1" t="inlineStr">
        <is>
          <t>Turnips, frozen, unprepared</t>
        </is>
      </c>
      <c r="C7010" s="1" t="n">
        <v>2.94</v>
      </c>
      <c r="D7010" s="1" t="n">
        <v>8</v>
      </c>
      <c r="E7010" s="1" t="n">
        <v>0.7</v>
      </c>
      <c r="F7010" s="1" t="n">
        <v>1.04</v>
      </c>
      <c r="G7010" s="1" t="n">
        <v>0.16</v>
      </c>
      <c r="H7010" s="1" t="n">
        <v>26</v>
      </c>
      <c r="I7010" s="1" t="n">
        <v>0.14</v>
      </c>
      <c r="J7010" t="n">
        <v>11461200</v>
      </c>
    </row>
    <row r="7011" ht="15.75" customHeight="1" s="201">
      <c r="A7011" s="1" t="inlineStr">
        <is>
          <t>Turnips, raw</t>
        </is>
      </c>
      <c r="C7011" s="1" t="n">
        <v>6.43</v>
      </c>
      <c r="D7011" s="1" t="n">
        <v>15</v>
      </c>
      <c r="E7011" s="1" t="n">
        <v>0.3</v>
      </c>
      <c r="F7011" s="1" t="n">
        <v>0.9</v>
      </c>
      <c r="G7011" s="1" t="n">
        <v>0.1</v>
      </c>
      <c r="H7011" s="1" t="n">
        <v>0</v>
      </c>
      <c r="I7011" s="1" t="n">
        <v>0.27</v>
      </c>
    </row>
    <row r="7012" ht="15.75" customHeight="1" s="201">
      <c r="A7012" s="1" t="inlineStr">
        <is>
          <t>Turnover, cheese-filled, tomato-based sauce, frozen, unprepared</t>
        </is>
      </c>
      <c r="C7012" s="1" t="n">
        <v>27.29</v>
      </c>
      <c r="D7012" s="1" t="n">
        <v>63</v>
      </c>
      <c r="E7012" s="1" t="n">
        <v>1.85</v>
      </c>
      <c r="F7012" s="1" t="n">
        <v>10.24</v>
      </c>
      <c r="G7012" s="1" t="n">
        <v>9.449999999999999</v>
      </c>
      <c r="H7012" s="1" t="n">
        <v>311</v>
      </c>
      <c r="I7012" s="1" t="n">
        <v>1.26</v>
      </c>
      <c r="J7012" t="n">
        <v>58126160</v>
      </c>
    </row>
    <row r="7013" ht="15.75" customHeight="1" s="201">
      <c r="A7013" s="1" t="inlineStr">
        <is>
          <t>Turnover, chicken- or turkey-, and vegetable-filled, reduced fat, frozen</t>
        </is>
      </c>
      <c r="C7013" s="1" t="n">
        <v>21.74</v>
      </c>
      <c r="D7013" s="1" t="n">
        <v>48</v>
      </c>
      <c r="E7013" s="1" t="n">
        <v>2.13</v>
      </c>
      <c r="F7013" s="1" t="n">
        <v>7.87</v>
      </c>
      <c r="G7013" s="1" t="n">
        <v>5.51</v>
      </c>
      <c r="H7013" s="1" t="n">
        <v>222</v>
      </c>
      <c r="I7013" s="1" t="n">
        <v>1.04</v>
      </c>
      <c r="J7013" t="n">
        <v>58126280</v>
      </c>
    </row>
    <row r="7014" ht="15.75" customHeight="1" s="201">
      <c r="A7014" s="1" t="inlineStr">
        <is>
          <t>Turnover, filled with egg, meat and cheese, frozen</t>
        </is>
      </c>
      <c r="C7014" s="1" t="n">
        <v>20.67</v>
      </c>
      <c r="D7014" s="1" t="n">
        <v>46</v>
      </c>
      <c r="E7014" s="1" t="n">
        <v>2.13</v>
      </c>
      <c r="F7014" s="1" t="n">
        <v>7.87</v>
      </c>
      <c r="G7014" s="1" t="n">
        <v>12.6</v>
      </c>
      <c r="H7014" s="1" t="n">
        <v>157</v>
      </c>
      <c r="I7014" s="1" t="n">
        <v>0.99</v>
      </c>
      <c r="J7014" t="n">
        <v>51121065</v>
      </c>
    </row>
    <row r="7015" ht="15.75" customHeight="1" s="201">
      <c r="A7015" s="1" t="inlineStr">
        <is>
          <t>Turnover, meat- and cheese-filled, tomato-based sauce, reduced fat, frozen</t>
        </is>
      </c>
      <c r="C7015" s="1" t="n">
        <v>31.89</v>
      </c>
      <c r="D7015" s="1" t="n">
        <v>58</v>
      </c>
      <c r="E7015" s="1" t="n">
        <v>2.13</v>
      </c>
      <c r="F7015" s="1" t="n">
        <v>9.449999999999999</v>
      </c>
      <c r="G7015" s="1" t="n">
        <v>5.51</v>
      </c>
      <c r="H7015" s="1" t="n">
        <v>158</v>
      </c>
      <c r="I7015" s="1" t="n">
        <v>1.51</v>
      </c>
      <c r="J7015" t="n">
        <v>58301050</v>
      </c>
    </row>
    <row r="7016" ht="15.75" customHeight="1" s="201">
      <c r="A7016" s="1" t="inlineStr">
        <is>
          <t>Turtle, green, raw</t>
        </is>
      </c>
      <c r="C7016" s="1" t="n">
        <v>0</v>
      </c>
      <c r="D7016" s="1" t="n">
        <v>15</v>
      </c>
      <c r="E7016" s="1" t="n">
        <v>1.4</v>
      </c>
      <c r="F7016" s="1" t="n">
        <v>19.8</v>
      </c>
      <c r="G7016" s="1" t="n">
        <v>0.5</v>
      </c>
      <c r="H7016" s="1" t="n">
        <v>100</v>
      </c>
      <c r="I7016" s="1" t="n">
        <v>1</v>
      </c>
      <c r="J7016" t="n">
        <v>92303010</v>
      </c>
    </row>
    <row r="7017" ht="15.75" customHeight="1" s="201">
      <c r="A7017" s="1" t="inlineStr">
        <is>
          <t>Udi's, Gluten Free, Classic French Dinner Rolls</t>
        </is>
      </c>
      <c r="C7017" s="1" t="n">
        <v>55.1</v>
      </c>
      <c r="E7017" s="1" t="n">
        <v>0.78</v>
      </c>
      <c r="F7017" s="1" t="n">
        <v>7.99</v>
      </c>
      <c r="G7017" s="1" t="n">
        <v>6.4</v>
      </c>
      <c r="I7017" s="1" t="n">
        <v>0.7</v>
      </c>
      <c r="J7017" t="n">
        <v>27446260</v>
      </c>
    </row>
    <row r="7018" ht="15.75" customHeight="1" s="201">
      <c r="A7018" s="1" t="inlineStr">
        <is>
          <t>Udi's, Gluten Free, Soft &amp; Delicious White Sandwich Bread</t>
        </is>
      </c>
      <c r="C7018" s="1" t="n">
        <v>51.15</v>
      </c>
      <c r="D7018" s="1" t="n">
        <v>19</v>
      </c>
      <c r="E7018" s="1" t="n">
        <v>0.53</v>
      </c>
      <c r="F7018" s="1" t="n">
        <v>5.4</v>
      </c>
      <c r="G7018" s="1" t="n">
        <v>8.02</v>
      </c>
      <c r="I7018" s="1" t="n">
        <v>0.51</v>
      </c>
      <c r="J7018" t="n">
        <v>27446260</v>
      </c>
    </row>
    <row r="7019" ht="15.75" customHeight="1" s="201">
      <c r="A7019" s="1" t="inlineStr">
        <is>
          <t>Udi's, Gluten Free, Soft &amp; Hearty Whole Grain Bread</t>
        </is>
      </c>
      <c r="C7019" s="1" t="n">
        <v>49.09</v>
      </c>
      <c r="E7019" s="1" t="n">
        <v>0.76</v>
      </c>
      <c r="F7019" s="1" t="n">
        <v>7.25</v>
      </c>
      <c r="G7019" s="1" t="n">
        <v>9.34</v>
      </c>
      <c r="I7019" s="1" t="n">
        <v>0.58</v>
      </c>
      <c r="J7019" t="n">
        <v>54204030</v>
      </c>
    </row>
    <row r="7020" ht="15.75" customHeight="1" s="201">
      <c r="A7020" s="1" t="inlineStr">
        <is>
          <t>Udi's, Gluten Free, Whole Grain Dinner Rolls</t>
        </is>
      </c>
      <c r="C7020" s="1" t="n">
        <v>44.29</v>
      </c>
      <c r="E7020" s="1" t="n">
        <v>1.64</v>
      </c>
      <c r="F7020" s="1" t="n">
        <v>11.8</v>
      </c>
      <c r="G7020" s="1" t="n">
        <v>11.6</v>
      </c>
      <c r="I7020" s="1" t="n">
        <v>1.35</v>
      </c>
      <c r="J7020" t="n">
        <v>54204030</v>
      </c>
    </row>
    <row r="7021" ht="15.75" customHeight="1" s="201">
      <c r="A7021" s="1" t="inlineStr">
        <is>
          <t>Vanilla extract</t>
        </is>
      </c>
      <c r="C7021" s="1" t="n">
        <v>12.65</v>
      </c>
      <c r="D7021" s="1" t="n">
        <v>0</v>
      </c>
      <c r="E7021" s="1" t="n">
        <v>0.12</v>
      </c>
      <c r="F7021" s="1" t="n">
        <v>0.06</v>
      </c>
      <c r="G7021" s="1" t="n">
        <v>0.06</v>
      </c>
      <c r="H7021" s="1" t="n">
        <v>0</v>
      </c>
      <c r="I7021" s="1" t="n">
        <v>0.11</v>
      </c>
      <c r="J7021" t="n">
        <v>53247000</v>
      </c>
    </row>
    <row r="7022" ht="15.75" customHeight="1" s="201">
      <c r="A7022" s="1" t="inlineStr">
        <is>
          <t>Vanilla extract, imitation, alcohol</t>
        </is>
      </c>
      <c r="C7022" s="1" t="n">
        <v>2.41</v>
      </c>
      <c r="D7022" s="1" t="n">
        <v>0</v>
      </c>
      <c r="E7022" s="1" t="n">
        <v>0.13</v>
      </c>
      <c r="F7022" s="1" t="n">
        <v>0.05</v>
      </c>
      <c r="G7022" s="1" t="n">
        <v>0</v>
      </c>
      <c r="H7022" s="1" t="n">
        <v>0</v>
      </c>
      <c r="I7022" s="1" t="n">
        <v>0.06</v>
      </c>
      <c r="J7022" t="n">
        <v>53247000</v>
      </c>
    </row>
    <row r="7023" ht="15.75" customHeight="1" s="201">
      <c r="A7023" s="1" t="inlineStr">
        <is>
          <t>Vanilla extract, imitation, no alcohol</t>
        </is>
      </c>
      <c r="C7023" s="1" t="n">
        <v>14.4</v>
      </c>
      <c r="D7023" s="1" t="n">
        <v>0</v>
      </c>
      <c r="E7023" s="1" t="n">
        <v>0.05</v>
      </c>
      <c r="F7023" s="1" t="n">
        <v>0.03</v>
      </c>
      <c r="G7023" s="1" t="n">
        <v>0</v>
      </c>
      <c r="H7023" s="1" t="n">
        <v>0</v>
      </c>
      <c r="I7023" s="1" t="n">
        <v>0.01</v>
      </c>
      <c r="J7023" t="n">
        <v>53247000</v>
      </c>
    </row>
    <row r="7024" ht="15.75" customHeight="1" s="201">
      <c r="A7024" s="1" t="inlineStr">
        <is>
          <t>Van's, Gluten Free, Totally Original Pancakes</t>
        </is>
      </c>
      <c r="C7024" s="1" t="n">
        <v>40.32</v>
      </c>
      <c r="D7024" s="1" t="n">
        <v>9</v>
      </c>
      <c r="E7024" s="1" t="n">
        <v>0.7</v>
      </c>
      <c r="F7024" s="1" t="n">
        <v>3.31</v>
      </c>
      <c r="G7024" s="1" t="n">
        <v>4.55</v>
      </c>
      <c r="I7024" s="1" t="n">
        <v>0.55</v>
      </c>
      <c r="J7024" t="n">
        <v>27446260</v>
      </c>
    </row>
    <row r="7025" ht="15.75" customHeight="1" s="201">
      <c r="A7025" s="1" t="inlineStr">
        <is>
          <t>Van's, Gluten Free, Totally Original Waffles</t>
        </is>
      </c>
      <c r="C7025" s="1" t="n">
        <v>40.54</v>
      </c>
      <c r="D7025" s="1" t="n">
        <v>8</v>
      </c>
      <c r="E7025" s="1" t="n">
        <v>0.5600000000000001</v>
      </c>
      <c r="F7025" s="1" t="n">
        <v>2.99</v>
      </c>
      <c r="G7025" s="1" t="n">
        <v>8.220000000000001</v>
      </c>
      <c r="I7025" s="1" t="n">
        <v>0.54</v>
      </c>
      <c r="J7025" t="n">
        <v>27446260</v>
      </c>
    </row>
    <row r="7026" ht="15.75" customHeight="1" s="201">
      <c r="A7026" s="1" t="inlineStr">
        <is>
          <t>Van's, The Perfect 10, Crispy Six Whole Grain + Four Seed Baked Crackers, Gluten Free</t>
        </is>
      </c>
      <c r="C7026" s="1" t="n">
        <v>67.56999999999999</v>
      </c>
      <c r="E7026" s="1" t="n">
        <v>1.94</v>
      </c>
      <c r="F7026" s="1" t="n">
        <v>7.63</v>
      </c>
      <c r="G7026" s="1" t="n">
        <v>18.93</v>
      </c>
      <c r="I7026" s="1" t="n">
        <v>1.72</v>
      </c>
      <c r="J7026" t="n">
        <v>54204030</v>
      </c>
    </row>
    <row r="7027" ht="15.75" customHeight="1" s="201">
      <c r="A7027" s="1" t="inlineStr">
        <is>
          <t>Veal, Australian, rib, rib roast, separable lean and fat, raw</t>
        </is>
      </c>
      <c r="C7027" s="1" t="n">
        <v>1.15</v>
      </c>
      <c r="E7027" s="1" t="n">
        <v>1.46</v>
      </c>
      <c r="F7027" s="1" t="n">
        <v>19.6</v>
      </c>
      <c r="G7027" s="1" t="n">
        <v>13.1</v>
      </c>
      <c r="H7027" s="1" t="n">
        <v>25</v>
      </c>
      <c r="J7027" t="n">
        <v>21407110</v>
      </c>
    </row>
    <row r="7028" ht="15.75" customHeight="1" s="201">
      <c r="A7028" s="1" t="inlineStr">
        <is>
          <t>Veal, Australian, rib, rib roast, separable lean only, raw</t>
        </is>
      </c>
      <c r="C7028" s="1" t="n">
        <v>1.4</v>
      </c>
      <c r="E7028" s="1" t="n">
        <v>1.58</v>
      </c>
      <c r="F7028" s="1" t="n">
        <v>21.7</v>
      </c>
      <c r="G7028" s="1" t="n">
        <v>4.63</v>
      </c>
      <c r="H7028" s="1" t="n">
        <v>0</v>
      </c>
      <c r="J7028" t="n">
        <v>21407120</v>
      </c>
    </row>
    <row r="7029" ht="15.75" customHeight="1" s="201">
      <c r="A7029" s="1" t="inlineStr">
        <is>
          <t>Veal, Australian, separable fat, raw</t>
        </is>
      </c>
      <c r="C7029" s="1" t="n">
        <v>0</v>
      </c>
      <c r="E7029" s="1" t="n">
        <v>0.93</v>
      </c>
      <c r="F7029" s="1" t="n">
        <v>9.91</v>
      </c>
      <c r="G7029" s="1" t="n">
        <v>52.17</v>
      </c>
      <c r="H7029" s="1" t="n">
        <v>141</v>
      </c>
    </row>
    <row r="7030" ht="15.75" customHeight="1" s="201">
      <c r="A7030" s="1" t="inlineStr">
        <is>
          <t>Veal, Australian, shank, fore, bone-in, separable lean and fat, raw</t>
        </is>
      </c>
      <c r="C7030" s="1" t="n">
        <v>0</v>
      </c>
      <c r="E7030" s="1" t="n">
        <v>0.99</v>
      </c>
      <c r="F7030" s="1" t="n">
        <v>19.58</v>
      </c>
      <c r="G7030" s="1" t="n">
        <v>7.42</v>
      </c>
      <c r="H7030" s="1" t="n">
        <v>8</v>
      </c>
      <c r="J7030" t="n">
        <v>58126280</v>
      </c>
    </row>
    <row r="7031" ht="15.75" customHeight="1" s="201">
      <c r="A7031" s="1" t="inlineStr">
        <is>
          <t>Veal, Australian, shank, fore, bone-in, separable lean only, raw</t>
        </is>
      </c>
      <c r="C7031" s="1" t="n">
        <v>0</v>
      </c>
      <c r="E7031" s="1" t="n">
        <v>1</v>
      </c>
      <c r="F7031" s="1" t="n">
        <v>20.18</v>
      </c>
      <c r="G7031" s="1" t="n">
        <v>4.65</v>
      </c>
      <c r="H7031" s="1" t="n">
        <v>0</v>
      </c>
      <c r="J7031" t="n">
        <v>58126280</v>
      </c>
    </row>
    <row r="7032" ht="15.75" customHeight="1" s="201">
      <c r="A7032" s="1" t="inlineStr">
        <is>
          <t>Veal, Australian, shank, hind, bone-in, separable lean and fat, raw</t>
        </is>
      </c>
      <c r="C7032" s="1" t="n">
        <v>0</v>
      </c>
      <c r="E7032" s="1" t="n">
        <v>2.95</v>
      </c>
      <c r="F7032" s="1" t="n">
        <v>19.78</v>
      </c>
      <c r="G7032" s="1" t="n">
        <v>7.2</v>
      </c>
      <c r="H7032" s="1" t="n">
        <v>8</v>
      </c>
      <c r="J7032" t="n">
        <v>58126280</v>
      </c>
    </row>
    <row r="7033" ht="15.75" customHeight="1" s="201">
      <c r="A7033" s="1" t="inlineStr">
        <is>
          <t>Veal, Australian, shank, hind, bone-in, separable lean only, raw</t>
        </is>
      </c>
      <c r="C7033" s="1" t="n">
        <v>0</v>
      </c>
      <c r="E7033" s="1" t="n">
        <v>3.08</v>
      </c>
      <c r="F7033" s="1" t="n">
        <v>20.37</v>
      </c>
      <c r="G7033" s="1" t="n">
        <v>4.47</v>
      </c>
      <c r="H7033" s="1" t="n">
        <v>0</v>
      </c>
      <c r="J7033" t="n">
        <v>58126280</v>
      </c>
    </row>
    <row r="7034" ht="15.75" customHeight="1" s="201">
      <c r="A7034" s="1" t="inlineStr">
        <is>
          <t>Veal, breast, plate half, boneless, separable lean and fat, cooked, braised</t>
        </is>
      </c>
      <c r="C7034" s="1" t="n">
        <v>0</v>
      </c>
      <c r="D7034" s="1" t="n">
        <v>13</v>
      </c>
      <c r="E7034" s="1" t="n">
        <v>0.75</v>
      </c>
      <c r="F7034" s="1" t="n">
        <v>25.93</v>
      </c>
      <c r="G7034" s="1" t="n">
        <v>18.95</v>
      </c>
      <c r="I7034" s="1" t="n">
        <v>3.47</v>
      </c>
      <c r="J7034" t="n">
        <v>92307500</v>
      </c>
    </row>
    <row r="7035" ht="15.75" customHeight="1" s="201">
      <c r="A7035" s="1" t="inlineStr">
        <is>
          <t>Veal, breast, point half, boneless, separable lean and fat, cooked, braised</t>
        </is>
      </c>
      <c r="C7035" s="1" t="n">
        <v>0</v>
      </c>
      <c r="D7035" s="1" t="n">
        <v>14</v>
      </c>
      <c r="E7035" s="1" t="n">
        <v>0.79</v>
      </c>
      <c r="F7035" s="1" t="n">
        <v>28.23</v>
      </c>
      <c r="G7035" s="1" t="n">
        <v>14.16</v>
      </c>
      <c r="I7035" s="1" t="n">
        <v>3.85</v>
      </c>
      <c r="J7035" t="n">
        <v>92307500</v>
      </c>
    </row>
    <row r="7036" ht="15.75" customHeight="1" s="201">
      <c r="A7036" s="1" t="inlineStr">
        <is>
          <t>Veal, breast, separable fat, cooked</t>
        </is>
      </c>
      <c r="C7036" s="1" t="n">
        <v>0</v>
      </c>
      <c r="D7036" s="1" t="n">
        <v>5</v>
      </c>
      <c r="E7036" s="1" t="n">
        <v>0.45</v>
      </c>
      <c r="F7036" s="1" t="n">
        <v>9.4</v>
      </c>
      <c r="G7036" s="1" t="n">
        <v>53.35</v>
      </c>
      <c r="I7036" s="1" t="n">
        <v>0.76</v>
      </c>
      <c r="J7036" t="n">
        <v>23220030</v>
      </c>
    </row>
    <row r="7037" ht="15.75" customHeight="1" s="201">
      <c r="A7037" s="1" t="inlineStr">
        <is>
          <t>Veal, breast, whole, boneless, separable lean and fat, cooked, braised</t>
        </is>
      </c>
      <c r="C7037" s="1" t="n">
        <v>0</v>
      </c>
      <c r="D7037" s="1" t="n">
        <v>13</v>
      </c>
      <c r="E7037" s="1" t="n">
        <v>0.77</v>
      </c>
      <c r="F7037" s="1" t="n">
        <v>26.97</v>
      </c>
      <c r="G7037" s="1" t="n">
        <v>16.77</v>
      </c>
      <c r="I7037" s="1" t="n">
        <v>3.64</v>
      </c>
      <c r="J7037" t="n">
        <v>54204030</v>
      </c>
    </row>
    <row r="7038" ht="15.75" customHeight="1" s="201">
      <c r="A7038" s="1" t="inlineStr">
        <is>
          <t>Veal, breast, whole, boneless, separable lean and fat, raw</t>
        </is>
      </c>
      <c r="C7038" s="1" t="n">
        <v>0</v>
      </c>
      <c r="E7038" s="1" t="n">
        <v>0.53</v>
      </c>
      <c r="F7038" s="1" t="n">
        <v>17.47</v>
      </c>
      <c r="G7038" s="1" t="n">
        <v>14.75</v>
      </c>
      <c r="I7038" s="1" t="n">
        <v>2.33</v>
      </c>
      <c r="J7038" t="n">
        <v>54204030</v>
      </c>
    </row>
    <row r="7039" ht="15.75" customHeight="1" s="201">
      <c r="A7039" s="1" t="inlineStr">
        <is>
          <t>Veal, breast, whole, boneless, separable lean only, cooked, braised</t>
        </is>
      </c>
      <c r="C7039" s="1" t="n">
        <v>0</v>
      </c>
      <c r="D7039" s="1" t="n">
        <v>15</v>
      </c>
      <c r="E7039" s="1" t="n">
        <v>0.83</v>
      </c>
      <c r="F7039" s="1" t="n">
        <v>30.32</v>
      </c>
      <c r="G7039" s="1" t="n">
        <v>9.800000000000001</v>
      </c>
      <c r="I7039" s="1" t="n">
        <v>4.19</v>
      </c>
    </row>
    <row r="7040" ht="15.75" customHeight="1" s="201">
      <c r="A7040" s="1" t="inlineStr">
        <is>
          <t>Veal, composite of trimmed retail cuts, separable lean and fat, cooked</t>
        </is>
      </c>
      <c r="C7040" s="1" t="n">
        <v>0</v>
      </c>
      <c r="D7040" s="1" t="n">
        <v>15</v>
      </c>
      <c r="E7040" s="1" t="n">
        <v>1.15</v>
      </c>
      <c r="F7040" s="1" t="n">
        <v>30.1</v>
      </c>
      <c r="G7040" s="1" t="n">
        <v>11.39</v>
      </c>
      <c r="H7040" s="1" t="n">
        <v>0</v>
      </c>
      <c r="I7040" s="1" t="n">
        <v>4.76</v>
      </c>
      <c r="J7040" t="n">
        <v>58126280</v>
      </c>
    </row>
    <row r="7041" ht="15.75" customHeight="1" s="201">
      <c r="A7041" s="1" t="inlineStr">
        <is>
          <t>Veal, composite of trimmed retail cuts, separable lean and fat, raw</t>
        </is>
      </c>
      <c r="C7041" s="1" t="n">
        <v>0</v>
      </c>
      <c r="D7041" s="1" t="n">
        <v>13</v>
      </c>
      <c r="E7041" s="1" t="n">
        <v>0.83</v>
      </c>
      <c r="F7041" s="1" t="n">
        <v>19.35</v>
      </c>
      <c r="G7041" s="1" t="n">
        <v>6.77</v>
      </c>
      <c r="H7041" s="1" t="n">
        <v>0</v>
      </c>
      <c r="I7041" s="1" t="n">
        <v>3.06</v>
      </c>
      <c r="J7041" t="n">
        <v>58126280</v>
      </c>
    </row>
    <row r="7042" ht="15.75" customHeight="1" s="201">
      <c r="A7042" s="1" t="inlineStr">
        <is>
          <t>Veal, composite of trimmed retail cuts, separable lean only, raw</t>
        </is>
      </c>
      <c r="C7042" s="1" t="n">
        <v>0</v>
      </c>
      <c r="D7042" s="1" t="n">
        <v>13</v>
      </c>
      <c r="E7042" s="1" t="n">
        <v>0.85</v>
      </c>
      <c r="F7042" s="1" t="n">
        <v>20.2</v>
      </c>
      <c r="G7042" s="1" t="n">
        <v>2.87</v>
      </c>
      <c r="H7042" s="1" t="n">
        <v>0</v>
      </c>
      <c r="I7042" s="1" t="n">
        <v>3.23</v>
      </c>
      <c r="J7042" t="n">
        <v>58126280</v>
      </c>
    </row>
    <row r="7043" ht="15.75" customHeight="1" s="201">
      <c r="A7043" s="1" t="inlineStr">
        <is>
          <t>Veal, cubed for stew (leg and shoulder), separable lean only, raw</t>
        </is>
      </c>
      <c r="C7043" s="1" t="n">
        <v>0</v>
      </c>
      <c r="D7043" s="1" t="n">
        <v>13</v>
      </c>
      <c r="E7043" s="1" t="n">
        <v>0.88</v>
      </c>
      <c r="F7043" s="1" t="n">
        <v>20.27</v>
      </c>
      <c r="G7043" s="1" t="n">
        <v>2.5</v>
      </c>
      <c r="H7043" s="1" t="n">
        <v>0</v>
      </c>
      <c r="I7043" s="1" t="n">
        <v>3.48</v>
      </c>
      <c r="J7043" t="n">
        <v>27311310</v>
      </c>
    </row>
    <row r="7044" ht="15.75" customHeight="1" s="201">
      <c r="A7044" s="1" t="inlineStr">
        <is>
          <t>Veal, foreshank, osso buco, separable lean and fat, cooked, braised</t>
        </is>
      </c>
      <c r="C7044" s="1" t="n">
        <v>0.11</v>
      </c>
      <c r="D7044" s="1" t="n">
        <v>4</v>
      </c>
      <c r="E7044" s="1" t="n">
        <v>2</v>
      </c>
      <c r="F7044" s="1" t="n">
        <v>27.94</v>
      </c>
      <c r="G7044" s="1" t="n">
        <v>7.77</v>
      </c>
      <c r="H7044" s="1" t="n">
        <v>0</v>
      </c>
      <c r="I7044" s="1" t="n">
        <v>5.08</v>
      </c>
      <c r="J7044" t="n">
        <v>58126280</v>
      </c>
    </row>
    <row r="7045" ht="15.75" customHeight="1" s="201">
      <c r="A7045" s="1" t="inlineStr">
        <is>
          <t>Veal, foreshank, osso buco, separable lean only, cooked, braised</t>
        </is>
      </c>
      <c r="C7045" s="1" t="n">
        <v>0</v>
      </c>
      <c r="D7045" s="1" t="n">
        <v>5</v>
      </c>
      <c r="E7045" s="1" t="n">
        <v>2.06</v>
      </c>
      <c r="F7045" s="1" t="n">
        <v>29.12</v>
      </c>
      <c r="G7045" s="1" t="n">
        <v>4.51</v>
      </c>
      <c r="H7045" s="1" t="n">
        <v>0</v>
      </c>
      <c r="I7045" s="1" t="n">
        <v>5.32</v>
      </c>
    </row>
    <row r="7046" ht="15.75" customHeight="1" s="201">
      <c r="A7046" s="1" t="inlineStr">
        <is>
          <t>Veal, leg (top round), separable lean and fat, cooked, braised</t>
        </is>
      </c>
      <c r="C7046" s="1" t="n">
        <v>0</v>
      </c>
      <c r="D7046" s="1" t="n">
        <v>18</v>
      </c>
      <c r="E7046" s="1" t="n">
        <v>1.32</v>
      </c>
      <c r="F7046" s="1" t="n">
        <v>36.16</v>
      </c>
      <c r="G7046" s="1" t="n">
        <v>6.33</v>
      </c>
      <c r="H7046" s="1" t="n">
        <v>0</v>
      </c>
      <c r="I7046" s="1" t="n">
        <v>3.96</v>
      </c>
      <c r="J7046" t="n">
        <v>58126280</v>
      </c>
    </row>
    <row r="7047" ht="15.75" customHeight="1" s="201">
      <c r="A7047" s="1" t="inlineStr">
        <is>
          <t>Veal, leg (top round), separable lean and fat, cooked, pan-fried, breaded</t>
        </is>
      </c>
      <c r="C7047" s="1" t="n">
        <v>9.91</v>
      </c>
      <c r="D7047" s="1" t="n">
        <v>27</v>
      </c>
      <c r="E7047" s="1" t="n">
        <v>1.64</v>
      </c>
      <c r="F7047" s="1" t="n">
        <v>27.29</v>
      </c>
      <c r="G7047" s="1" t="n">
        <v>9.18</v>
      </c>
      <c r="H7047" s="1" t="n">
        <v>34</v>
      </c>
      <c r="I7047" s="1" t="n">
        <v>2.75</v>
      </c>
      <c r="J7047" t="n">
        <v>23203030</v>
      </c>
    </row>
    <row r="7048" ht="15.75" customHeight="1" s="201">
      <c r="A7048" s="1" t="inlineStr">
        <is>
          <t>Veal, leg (top round), separable lean and fat, cooked, pan-fried, not breaded</t>
        </is>
      </c>
      <c r="C7048" s="1" t="n">
        <v>0</v>
      </c>
      <c r="D7048" s="1" t="n">
        <v>15</v>
      </c>
      <c r="E7048" s="1" t="n">
        <v>0.88</v>
      </c>
      <c r="F7048" s="1" t="n">
        <v>31.75</v>
      </c>
      <c r="G7048" s="1" t="n">
        <v>8.35</v>
      </c>
      <c r="H7048" s="1" t="n">
        <v>0</v>
      </c>
      <c r="I7048" s="1" t="n">
        <v>3.23</v>
      </c>
      <c r="J7048" t="n">
        <v>23203030</v>
      </c>
    </row>
    <row r="7049" ht="15.75" customHeight="1" s="201">
      <c r="A7049" s="1" t="inlineStr">
        <is>
          <t>Veal, leg (top round), separable lean and fat, cooked, roasted</t>
        </is>
      </c>
      <c r="C7049" s="1" t="n">
        <v>0</v>
      </c>
      <c r="D7049" s="1" t="n">
        <v>16</v>
      </c>
      <c r="E7049" s="1" t="n">
        <v>0.91</v>
      </c>
      <c r="F7049" s="1" t="n">
        <v>27.7</v>
      </c>
      <c r="G7049" s="1" t="n">
        <v>4.65</v>
      </c>
      <c r="H7049" s="1" t="n">
        <v>0</v>
      </c>
      <c r="I7049" s="1" t="n">
        <v>3.04</v>
      </c>
      <c r="J7049" t="n">
        <v>58126280</v>
      </c>
    </row>
    <row r="7050" ht="15.75" customHeight="1" s="201">
      <c r="A7050" s="1" t="inlineStr">
        <is>
          <t>Veal, leg (top round), separable lean only, cooked, roasted</t>
        </is>
      </c>
      <c r="C7050" s="1" t="n">
        <v>0</v>
      </c>
      <c r="D7050" s="1" t="n">
        <v>16</v>
      </c>
      <c r="E7050" s="1" t="n">
        <v>0.9</v>
      </c>
      <c r="F7050" s="1" t="n">
        <v>28.07</v>
      </c>
      <c r="G7050" s="1" t="n">
        <v>3.39</v>
      </c>
      <c r="H7050" s="1" t="n">
        <v>0</v>
      </c>
      <c r="I7050" s="1" t="n">
        <v>3.08</v>
      </c>
      <c r="J7050" t="n">
        <v>58126280</v>
      </c>
    </row>
    <row r="7051" ht="15.75" customHeight="1" s="201">
      <c r="A7051" s="1" t="inlineStr">
        <is>
          <t>Veal, leg, top round, cap off, cutlet, boneless, raw</t>
        </is>
      </c>
      <c r="C7051" s="1" t="n">
        <v>0</v>
      </c>
      <c r="D7051" s="1" t="n">
        <v>4</v>
      </c>
      <c r="E7051" s="1" t="n">
        <v>0.8100000000000001</v>
      </c>
      <c r="F7051" s="1" t="n">
        <v>22.07</v>
      </c>
      <c r="G7051" s="1" t="n">
        <v>2.07</v>
      </c>
      <c r="H7051" s="1" t="n">
        <v>0</v>
      </c>
      <c r="I7051" s="1" t="n">
        <v>1.97</v>
      </c>
      <c r="J7051" t="n">
        <v>24168030</v>
      </c>
    </row>
    <row r="7052" ht="15.75" customHeight="1" s="201">
      <c r="A7052" s="1" t="inlineStr">
        <is>
          <t>Veal, loin, chop, separable lean and fat, cooked, grilled</t>
        </is>
      </c>
      <c r="C7052" s="1" t="n">
        <v>0.16</v>
      </c>
      <c r="D7052" s="1" t="n">
        <v>6</v>
      </c>
      <c r="E7052" s="1" t="n">
        <v>0.82</v>
      </c>
      <c r="F7052" s="1" t="n">
        <v>28.04</v>
      </c>
      <c r="G7052" s="1" t="n">
        <v>9.48</v>
      </c>
      <c r="H7052" s="1" t="n">
        <v>0</v>
      </c>
      <c r="I7052" s="1" t="n">
        <v>1.81</v>
      </c>
      <c r="J7052" t="n">
        <v>23104010</v>
      </c>
    </row>
    <row r="7053" ht="15.75" customHeight="1" s="201">
      <c r="A7053" s="1" t="inlineStr">
        <is>
          <t>Veal, loin, chop, separable lean only, cooked, grilled</t>
        </is>
      </c>
      <c r="C7053" s="1" t="n">
        <v>0.07000000000000001</v>
      </c>
      <c r="D7053" s="1" t="n">
        <v>7</v>
      </c>
      <c r="E7053" s="1" t="n">
        <v>0.79</v>
      </c>
      <c r="F7053" s="1" t="n">
        <v>29.75</v>
      </c>
      <c r="G7053" s="1" t="n">
        <v>4.44</v>
      </c>
      <c r="H7053" s="1" t="n">
        <v>0</v>
      </c>
      <c r="I7053" s="1" t="n">
        <v>1.83</v>
      </c>
      <c r="J7053" t="n">
        <v>23104020</v>
      </c>
    </row>
    <row r="7054" ht="15.75" customHeight="1" s="201">
      <c r="A7054" s="1" t="inlineStr">
        <is>
          <t>Veal, loin, separable lean and fat, cooked, braised</t>
        </is>
      </c>
      <c r="C7054" s="1" t="n">
        <v>0</v>
      </c>
      <c r="D7054" s="1" t="n">
        <v>14</v>
      </c>
      <c r="E7054" s="1" t="n">
        <v>1.09</v>
      </c>
      <c r="F7054" s="1" t="n">
        <v>30.19</v>
      </c>
      <c r="G7054" s="1" t="n">
        <v>17.21</v>
      </c>
      <c r="H7054" s="1" t="n">
        <v>0</v>
      </c>
      <c r="I7054" s="1" t="n">
        <v>3.63</v>
      </c>
      <c r="J7054" t="n">
        <v>23104010</v>
      </c>
    </row>
    <row r="7055" ht="15.75" customHeight="1" s="201">
      <c r="A7055" s="1" t="inlineStr">
        <is>
          <t>Veal, loin, separable lean and fat, cooked, roasted</t>
        </is>
      </c>
      <c r="C7055" s="1" t="n">
        <v>0</v>
      </c>
      <c r="D7055" s="1" t="n">
        <v>15</v>
      </c>
      <c r="E7055" s="1" t="n">
        <v>0.87</v>
      </c>
      <c r="F7055" s="1" t="n">
        <v>24.8</v>
      </c>
      <c r="G7055" s="1" t="n">
        <v>12.32</v>
      </c>
      <c r="H7055" s="1" t="n">
        <v>0</v>
      </c>
      <c r="I7055" s="1" t="n">
        <v>3.03</v>
      </c>
      <c r="J7055" t="n">
        <v>23104010</v>
      </c>
    </row>
    <row r="7056" ht="15.75" customHeight="1" s="201">
      <c r="A7056" s="1" t="inlineStr">
        <is>
          <t>Veal, loin, separable lean and fat, raw</t>
        </is>
      </c>
      <c r="C7056" s="1" t="n">
        <v>0.07000000000000001</v>
      </c>
      <c r="D7056" s="1" t="n">
        <v>3</v>
      </c>
      <c r="E7056" s="1" t="n">
        <v>0.84</v>
      </c>
      <c r="F7056" s="1" t="n">
        <v>20.07</v>
      </c>
      <c r="G7056" s="1" t="n">
        <v>10.07</v>
      </c>
      <c r="H7056" s="1" t="n">
        <v>0</v>
      </c>
      <c r="I7056" s="1" t="n">
        <v>2.01</v>
      </c>
      <c r="J7056" t="n">
        <v>58126280</v>
      </c>
    </row>
    <row r="7057" ht="15.75" customHeight="1" s="201">
      <c r="A7057" s="1" t="inlineStr">
        <is>
          <t>Veal, loin, separable lean only, raw</t>
        </is>
      </c>
      <c r="C7057" s="1" t="n">
        <v>0</v>
      </c>
      <c r="D7057" s="1" t="n">
        <v>3</v>
      </c>
      <c r="E7057" s="1" t="n">
        <v>0.85</v>
      </c>
      <c r="F7057" s="1" t="n">
        <v>21.85</v>
      </c>
      <c r="G7057" s="1" t="n">
        <v>2.9</v>
      </c>
      <c r="H7057" s="1" t="n">
        <v>0</v>
      </c>
      <c r="I7057" s="1" t="n">
        <v>2.15</v>
      </c>
      <c r="J7057" t="n">
        <v>23104020</v>
      </c>
    </row>
    <row r="7058" ht="15.75" customHeight="1" s="201">
      <c r="A7058" s="1" t="inlineStr">
        <is>
          <t>Veal, rib, separable lean and fat, cooked, roasted</t>
        </is>
      </c>
      <c r="C7058" s="1" t="n">
        <v>0</v>
      </c>
      <c r="D7058" s="1" t="n">
        <v>13</v>
      </c>
      <c r="E7058" s="1" t="n">
        <v>0.97</v>
      </c>
      <c r="F7058" s="1" t="n">
        <v>23.96</v>
      </c>
      <c r="G7058" s="1" t="n">
        <v>13.96</v>
      </c>
      <c r="H7058" s="1" t="n">
        <v>0</v>
      </c>
      <c r="I7058" s="1" t="n">
        <v>4.09</v>
      </c>
      <c r="J7058" t="n">
        <v>58126280</v>
      </c>
    </row>
    <row r="7059" ht="15.75" customHeight="1" s="201">
      <c r="A7059" s="1" t="inlineStr">
        <is>
          <t>Veal, rib, separable lean only, cooked, braised</t>
        </is>
      </c>
      <c r="C7059" s="1" t="n">
        <v>0</v>
      </c>
      <c r="D7059" s="1" t="n">
        <v>16</v>
      </c>
      <c r="E7059" s="1" t="n">
        <v>1.45</v>
      </c>
      <c r="F7059" s="1" t="n">
        <v>34.44</v>
      </c>
      <c r="G7059" s="1" t="n">
        <v>7.81</v>
      </c>
      <c r="H7059" s="1" t="n">
        <v>0</v>
      </c>
      <c r="I7059" s="1" t="n">
        <v>5.98</v>
      </c>
      <c r="J7059" t="n">
        <v>58126280</v>
      </c>
    </row>
    <row r="7060" ht="15.75" customHeight="1" s="201">
      <c r="A7060" s="1" t="inlineStr">
        <is>
          <t>Veal, rib, separable lean only, cooked, roasted</t>
        </is>
      </c>
      <c r="C7060" s="1" t="n">
        <v>0</v>
      </c>
      <c r="D7060" s="1" t="n">
        <v>14</v>
      </c>
      <c r="E7060" s="1" t="n">
        <v>0.96</v>
      </c>
      <c r="F7060" s="1" t="n">
        <v>25.76</v>
      </c>
      <c r="G7060" s="1" t="n">
        <v>7.44</v>
      </c>
      <c r="H7060" s="1" t="n">
        <v>0</v>
      </c>
      <c r="I7060" s="1" t="n">
        <v>4.49</v>
      </c>
      <c r="J7060" t="n">
        <v>58126280</v>
      </c>
    </row>
    <row r="7061" ht="15.75" customHeight="1" s="201">
      <c r="A7061" s="1" t="inlineStr">
        <is>
          <t>Veal, rib, separable lean only, raw</t>
        </is>
      </c>
      <c r="C7061" s="1" t="n">
        <v>0</v>
      </c>
      <c r="D7061" s="1" t="n">
        <v>13</v>
      </c>
      <c r="E7061" s="1" t="n">
        <v>0.88</v>
      </c>
      <c r="F7061" s="1" t="n">
        <v>19.97</v>
      </c>
      <c r="G7061" s="1" t="n">
        <v>3.89</v>
      </c>
      <c r="H7061" s="1" t="n">
        <v>0</v>
      </c>
      <c r="I7061" s="1" t="n">
        <v>3.47</v>
      </c>
      <c r="J7061" t="n">
        <v>58126280</v>
      </c>
    </row>
    <row r="7062" ht="15.75" customHeight="1" s="201">
      <c r="A7062" s="1" t="inlineStr">
        <is>
          <t>Veal, seam fat only, cooked</t>
        </is>
      </c>
      <c r="C7062" s="1" t="n">
        <v>2.11</v>
      </c>
      <c r="D7062" s="1" t="n">
        <v>0</v>
      </c>
      <c r="E7062" s="1" t="n">
        <v>1.15</v>
      </c>
      <c r="F7062" s="1" t="n">
        <v>11.16</v>
      </c>
      <c r="G7062" s="1" t="n">
        <v>50.17</v>
      </c>
      <c r="H7062" s="1" t="n">
        <v>0</v>
      </c>
      <c r="I7062" s="1" t="n">
        <v>2</v>
      </c>
      <c r="J7062" t="n">
        <v>23203030</v>
      </c>
    </row>
    <row r="7063" ht="15.75" customHeight="1" s="201">
      <c r="A7063" s="1" t="inlineStr">
        <is>
          <t>Veal, shank (fore and hind), separable lean and fat, cooked, braised</t>
        </is>
      </c>
      <c r="C7063" s="1" t="n">
        <v>0</v>
      </c>
      <c r="D7063" s="1" t="n">
        <v>17</v>
      </c>
      <c r="E7063" s="1" t="n">
        <v>1.25</v>
      </c>
      <c r="F7063" s="1" t="n">
        <v>31.54</v>
      </c>
      <c r="G7063" s="1" t="n">
        <v>6.2</v>
      </c>
      <c r="I7063" s="1" t="n">
        <v>6.63</v>
      </c>
      <c r="J7063" t="n">
        <v>58126280</v>
      </c>
    </row>
    <row r="7064" ht="15.75" customHeight="1" s="201">
      <c r="A7064" s="1" t="inlineStr">
        <is>
          <t>Veal, shank (fore and hind), separable lean and fat, raw</t>
        </is>
      </c>
      <c r="C7064" s="1" t="n">
        <v>0</v>
      </c>
      <c r="D7064" s="1" t="n">
        <v>15</v>
      </c>
      <c r="E7064" s="1" t="n">
        <v>0.76</v>
      </c>
      <c r="F7064" s="1" t="n">
        <v>19.15</v>
      </c>
      <c r="G7064" s="1" t="n">
        <v>3.48</v>
      </c>
      <c r="I7064" s="1" t="n">
        <v>3.99</v>
      </c>
      <c r="J7064" t="n">
        <v>58126280</v>
      </c>
    </row>
    <row r="7065" ht="15.75" customHeight="1" s="201">
      <c r="A7065" s="1" t="inlineStr">
        <is>
          <t>Veal, shank (fore and hind), separable lean only, cooked, braised</t>
        </is>
      </c>
      <c r="C7065" s="1" t="n">
        <v>0</v>
      </c>
      <c r="D7065" s="1" t="n">
        <v>17</v>
      </c>
      <c r="E7065" s="1" t="n">
        <v>1.26</v>
      </c>
      <c r="F7065" s="1" t="n">
        <v>32.22</v>
      </c>
      <c r="G7065" s="1" t="n">
        <v>4.33</v>
      </c>
      <c r="H7065" s="1" t="n">
        <v>0</v>
      </c>
      <c r="I7065" s="1" t="n">
        <v>6.81</v>
      </c>
    </row>
    <row r="7066" ht="15.75" customHeight="1" s="201">
      <c r="A7066" s="1" t="inlineStr">
        <is>
          <t>Veal, shank (fore and hind), separable lean only, raw</t>
        </is>
      </c>
      <c r="C7066" s="1" t="n">
        <v>0</v>
      </c>
      <c r="D7066" s="1" t="n">
        <v>15</v>
      </c>
      <c r="E7066" s="1" t="n">
        <v>0.76</v>
      </c>
      <c r="F7066" s="1" t="n">
        <v>19.28</v>
      </c>
      <c r="G7066" s="1" t="n">
        <v>2.83</v>
      </c>
      <c r="I7066" s="1" t="n">
        <v>4.02</v>
      </c>
      <c r="J7066" t="n">
        <v>58126280</v>
      </c>
    </row>
    <row r="7067" ht="15.75" customHeight="1" s="201">
      <c r="A7067" s="1" t="inlineStr">
        <is>
          <t>Veal, shank, separable lean and fat, raw</t>
        </is>
      </c>
      <c r="C7067" s="1" t="n">
        <v>0</v>
      </c>
      <c r="D7067" s="1" t="n">
        <v>3</v>
      </c>
      <c r="E7067" s="1" t="n">
        <v>1.17</v>
      </c>
      <c r="F7067" s="1" t="n">
        <v>19.28</v>
      </c>
      <c r="G7067" s="1" t="n">
        <v>3.3</v>
      </c>
      <c r="H7067" s="1" t="n">
        <v>0</v>
      </c>
      <c r="I7067" s="1" t="n">
        <v>3.32</v>
      </c>
      <c r="J7067" t="n">
        <v>58126280</v>
      </c>
    </row>
    <row r="7068" ht="15.75" customHeight="1" s="201">
      <c r="A7068" s="1" t="inlineStr">
        <is>
          <t>Veal, shank, separable lean only, raw</t>
        </is>
      </c>
      <c r="C7068" s="1" t="n">
        <v>0</v>
      </c>
      <c r="D7068" s="1" t="n">
        <v>3</v>
      </c>
      <c r="E7068" s="1" t="n">
        <v>1.19</v>
      </c>
      <c r="F7068" s="1" t="n">
        <v>19.77</v>
      </c>
      <c r="G7068" s="1" t="n">
        <v>1.64</v>
      </c>
      <c r="H7068" s="1" t="n">
        <v>0</v>
      </c>
      <c r="I7068" s="1" t="n">
        <v>3.42</v>
      </c>
      <c r="J7068" t="n">
        <v>58126280</v>
      </c>
    </row>
    <row r="7069" ht="15.75" customHeight="1" s="201">
      <c r="A7069" s="1" t="inlineStr">
        <is>
          <t>Veal, shoulder, arm, separable lean and fat, cooked, braised</t>
        </is>
      </c>
      <c r="C7069" s="1" t="n">
        <v>0</v>
      </c>
      <c r="D7069" s="1" t="n">
        <v>18</v>
      </c>
      <c r="E7069" s="1" t="n">
        <v>1.38</v>
      </c>
      <c r="F7069" s="1" t="n">
        <v>33.63</v>
      </c>
      <c r="G7069" s="1" t="n">
        <v>10.24</v>
      </c>
      <c r="H7069" s="1" t="n">
        <v>0</v>
      </c>
      <c r="I7069" s="1" t="n">
        <v>5.81</v>
      </c>
      <c r="J7069" t="n">
        <v>23107010</v>
      </c>
    </row>
    <row r="7070" ht="15.75" customHeight="1" s="201">
      <c r="A7070" s="1" t="inlineStr">
        <is>
          <t>Veal, shoulder, arm, separable lean and fat, raw</t>
        </is>
      </c>
      <c r="C7070" s="1" t="n">
        <v>0</v>
      </c>
      <c r="D7070" s="1" t="n">
        <v>15</v>
      </c>
      <c r="E7070" s="1" t="n">
        <v>1</v>
      </c>
      <c r="F7070" s="1" t="n">
        <v>19.34</v>
      </c>
      <c r="G7070" s="1" t="n">
        <v>5.44</v>
      </c>
      <c r="H7070" s="1" t="n">
        <v>0</v>
      </c>
      <c r="I7070" s="1" t="n">
        <v>3.2</v>
      </c>
      <c r="J7070" t="n">
        <v>58126280</v>
      </c>
    </row>
    <row r="7071" ht="15.75" customHeight="1" s="201">
      <c r="A7071" s="1" t="inlineStr">
        <is>
          <t>Veal, shoulder, blade chop, separable lean and fat, cooked, grilled</t>
        </is>
      </c>
      <c r="C7071" s="1" t="n">
        <v>0.15</v>
      </c>
      <c r="D7071" s="1" t="n">
        <v>6</v>
      </c>
      <c r="E7071" s="1" t="n">
        <v>1.59</v>
      </c>
      <c r="F7071" s="1" t="n">
        <v>25.72</v>
      </c>
      <c r="G7071" s="1" t="n">
        <v>10.57</v>
      </c>
      <c r="H7071" s="1" t="n">
        <v>0</v>
      </c>
      <c r="I7071" s="1" t="n">
        <v>4.71</v>
      </c>
      <c r="J7071" t="n">
        <v>23107010</v>
      </c>
    </row>
    <row r="7072" ht="15.75" customHeight="1" s="201">
      <c r="A7072" s="1" t="inlineStr">
        <is>
          <t>Veal, shoulder, blade chop, separable lean and fat, raw</t>
        </is>
      </c>
      <c r="C7072" s="1" t="n">
        <v>0.03</v>
      </c>
      <c r="D7072" s="1" t="n">
        <v>3</v>
      </c>
      <c r="E7072" s="1" t="n">
        <v>1.22</v>
      </c>
      <c r="F7072" s="1" t="n">
        <v>18.72</v>
      </c>
      <c r="G7072" s="1" t="n">
        <v>7.61</v>
      </c>
      <c r="H7072" s="1" t="n">
        <v>0</v>
      </c>
      <c r="I7072" s="1" t="n">
        <v>3.18</v>
      </c>
      <c r="J7072" t="n">
        <v>23107010</v>
      </c>
    </row>
    <row r="7073" ht="15.75" customHeight="1" s="201">
      <c r="A7073" s="1" t="inlineStr">
        <is>
          <t>Veal, shoulder, blade chop, separable lean only, raw</t>
        </is>
      </c>
      <c r="C7073" s="1" t="n">
        <v>0</v>
      </c>
      <c r="D7073" s="1" t="n">
        <v>3</v>
      </c>
      <c r="E7073" s="1" t="n">
        <v>1.26</v>
      </c>
      <c r="F7073" s="1" t="n">
        <v>19.6</v>
      </c>
      <c r="G7073" s="1" t="n">
        <v>2.88</v>
      </c>
      <c r="H7073" s="1" t="n">
        <v>0</v>
      </c>
      <c r="I7073" s="1" t="n">
        <v>3.38</v>
      </c>
      <c r="J7073" t="n">
        <v>23107020</v>
      </c>
    </row>
    <row r="7074" ht="15.75" customHeight="1" s="201">
      <c r="A7074" s="1" t="inlineStr">
        <is>
          <t>Veal, shoulder, blade, separable lean and fat, cooked, braised</t>
        </is>
      </c>
      <c r="C7074" s="1" t="n">
        <v>0</v>
      </c>
      <c r="D7074" s="1" t="n">
        <v>15</v>
      </c>
      <c r="E7074" s="1" t="n">
        <v>1.44</v>
      </c>
      <c r="F7074" s="1" t="n">
        <v>31.26</v>
      </c>
      <c r="G7074" s="1" t="n">
        <v>10.09</v>
      </c>
      <c r="H7074" s="1" t="n">
        <v>0</v>
      </c>
      <c r="I7074" s="1" t="n">
        <v>7</v>
      </c>
      <c r="J7074" t="n">
        <v>21407110</v>
      </c>
    </row>
    <row r="7075" ht="15.75" customHeight="1" s="201">
      <c r="A7075" s="1" t="inlineStr">
        <is>
          <t>Veal, shoulder, blade, separable lean and fat, cooked, roasted</t>
        </is>
      </c>
      <c r="C7075" s="1" t="n">
        <v>0</v>
      </c>
      <c r="D7075" s="1" t="n">
        <v>11</v>
      </c>
      <c r="E7075" s="1" t="n">
        <v>1</v>
      </c>
      <c r="F7075" s="1" t="n">
        <v>25.15</v>
      </c>
      <c r="G7075" s="1" t="n">
        <v>8.67</v>
      </c>
      <c r="H7075" s="1" t="n">
        <v>0</v>
      </c>
      <c r="I7075" s="1" t="n">
        <v>5.58</v>
      </c>
      <c r="J7075" t="n">
        <v>23107010</v>
      </c>
    </row>
    <row r="7076" ht="15.75" customHeight="1" s="201">
      <c r="A7076" s="1" t="inlineStr">
        <is>
          <t>Veal, shoulder, blade, separable lean only, cooked, braised</t>
        </is>
      </c>
      <c r="C7076" s="1" t="n">
        <v>0</v>
      </c>
      <c r="D7076" s="1" t="n">
        <v>15</v>
      </c>
      <c r="E7076" s="1" t="n">
        <v>1.47</v>
      </c>
      <c r="F7076" s="1" t="n">
        <v>32.66</v>
      </c>
      <c r="G7076" s="1" t="n">
        <v>6.48</v>
      </c>
      <c r="H7076" s="1" t="n">
        <v>0</v>
      </c>
      <c r="I7076" s="1" t="n">
        <v>7.39</v>
      </c>
      <c r="J7076" t="n">
        <v>21407120</v>
      </c>
    </row>
    <row r="7077" ht="15.75" customHeight="1" s="201">
      <c r="A7077" s="1" t="inlineStr">
        <is>
          <t>Veal, shoulder, whole (arm and blade), separable lean only, cooked, braised</t>
        </is>
      </c>
      <c r="C7077" s="1" t="n">
        <v>0</v>
      </c>
      <c r="D7077" s="1" t="n">
        <v>16</v>
      </c>
      <c r="E7077" s="1" t="n">
        <v>1.45</v>
      </c>
      <c r="F7077" s="1" t="n">
        <v>33.68</v>
      </c>
      <c r="G7077" s="1" t="n">
        <v>6.1</v>
      </c>
      <c r="H7077" s="1" t="n">
        <v>0</v>
      </c>
      <c r="I7077" s="1" t="n">
        <v>7</v>
      </c>
      <c r="J7077" t="n">
        <v>21407120</v>
      </c>
    </row>
    <row r="7078" ht="15.75" customHeight="1" s="201">
      <c r="A7078" s="1" t="inlineStr">
        <is>
          <t>Veal, shoulder, whole (arm and blade), separable lean only, cooked, roasted</t>
        </is>
      </c>
      <c r="C7078" s="1" t="n">
        <v>0</v>
      </c>
      <c r="D7078" s="1" t="n">
        <v>13</v>
      </c>
      <c r="E7078" s="1" t="n">
        <v>1.03</v>
      </c>
      <c r="F7078" s="1" t="n">
        <v>25.81</v>
      </c>
      <c r="G7078" s="1" t="n">
        <v>6.62</v>
      </c>
      <c r="H7078" s="1" t="n">
        <v>0</v>
      </c>
      <c r="I7078" s="1" t="n">
        <v>5.25</v>
      </c>
      <c r="J7078" t="n">
        <v>23107020</v>
      </c>
    </row>
    <row r="7079" ht="15.75" customHeight="1" s="201">
      <c r="A7079" s="1" t="inlineStr">
        <is>
          <t>Veal, sirloin, separable lean only, cooked, braised</t>
        </is>
      </c>
      <c r="C7079" s="1" t="n">
        <v>0</v>
      </c>
      <c r="D7079" s="1" t="n">
        <v>16</v>
      </c>
      <c r="E7079" s="1" t="n">
        <v>1.23</v>
      </c>
      <c r="F7079" s="1" t="n">
        <v>33.96</v>
      </c>
      <c r="G7079" s="1" t="n">
        <v>6.51</v>
      </c>
      <c r="H7079" s="1" t="n">
        <v>0</v>
      </c>
      <c r="I7079" s="1" t="n">
        <v>4.75</v>
      </c>
      <c r="J7079" t="n">
        <v>58126280</v>
      </c>
    </row>
    <row r="7080" ht="15.75" customHeight="1" s="201">
      <c r="A7080" s="1" t="inlineStr">
        <is>
          <t>Veal, sirloin, separable lean only, cooked, roasted</t>
        </is>
      </c>
      <c r="C7080" s="1" t="n">
        <v>0</v>
      </c>
      <c r="D7080" s="1" t="n">
        <v>16</v>
      </c>
      <c r="E7080" s="1" t="n">
        <v>0.91</v>
      </c>
      <c r="F7080" s="1" t="n">
        <v>26.32</v>
      </c>
      <c r="G7080" s="1" t="n">
        <v>6.22</v>
      </c>
      <c r="H7080" s="1" t="n">
        <v>0</v>
      </c>
      <c r="I7080" s="1" t="n">
        <v>3.54</v>
      </c>
      <c r="J7080" t="n">
        <v>58126280</v>
      </c>
    </row>
    <row r="7081" ht="15.75" customHeight="1" s="201">
      <c r="A7081" s="1" t="inlineStr">
        <is>
          <t>Veal, sirloin, separable lean only, raw</t>
        </is>
      </c>
      <c r="C7081" s="1" t="n">
        <v>0</v>
      </c>
      <c r="D7081" s="1" t="n">
        <v>14</v>
      </c>
      <c r="E7081" s="1" t="n">
        <v>0.8</v>
      </c>
      <c r="F7081" s="1" t="n">
        <v>20.2</v>
      </c>
      <c r="G7081" s="1" t="n">
        <v>2.59</v>
      </c>
      <c r="H7081" s="1" t="n">
        <v>0</v>
      </c>
      <c r="I7081" s="1" t="n">
        <v>2.73</v>
      </c>
      <c r="J7081" t="n">
        <v>58126280</v>
      </c>
    </row>
    <row r="7082" ht="15.75" customHeight="1" s="201">
      <c r="A7082" s="1" t="inlineStr">
        <is>
          <t>Veal, variety meats and by-products, brain, cooked, braised</t>
        </is>
      </c>
      <c r="C7082" s="1" t="n">
        <v>0</v>
      </c>
      <c r="D7082" s="1" t="n">
        <v>3</v>
      </c>
      <c r="E7082" s="1" t="n">
        <v>1.67</v>
      </c>
      <c r="F7082" s="1" t="n">
        <v>11.48</v>
      </c>
      <c r="G7082" s="1" t="n">
        <v>9.630000000000001</v>
      </c>
      <c r="H7082" s="1" t="n">
        <v>0</v>
      </c>
      <c r="I7082" s="1" t="n">
        <v>1.61</v>
      </c>
    </row>
    <row r="7083" ht="15.75" customHeight="1" s="201">
      <c r="A7083" s="1" t="inlineStr">
        <is>
          <t>Veal, variety meats and by-products, brain, cooked, pan-fried</t>
        </is>
      </c>
      <c r="C7083" s="1" t="n">
        <v>0</v>
      </c>
      <c r="D7083" s="1" t="n">
        <v>6</v>
      </c>
      <c r="E7083" s="1" t="n">
        <v>1.07</v>
      </c>
      <c r="F7083" s="1" t="n">
        <v>14.48</v>
      </c>
      <c r="G7083" s="1" t="n">
        <v>16.75</v>
      </c>
      <c r="H7083" s="1" t="n">
        <v>0</v>
      </c>
      <c r="I7083" s="1" t="n">
        <v>1.82</v>
      </c>
    </row>
    <row r="7084" ht="15.75" customHeight="1" s="201">
      <c r="A7084" s="1" t="inlineStr">
        <is>
          <t>Veal, variety meats and by-products, brain, raw</t>
        </is>
      </c>
      <c r="C7084" s="1" t="n">
        <v>0</v>
      </c>
      <c r="D7084" s="1" t="n">
        <v>3</v>
      </c>
      <c r="E7084" s="1" t="n">
        <v>2.13</v>
      </c>
      <c r="F7084" s="1" t="n">
        <v>10.32</v>
      </c>
      <c r="G7084" s="1" t="n">
        <v>8.210000000000001</v>
      </c>
      <c r="H7084" s="1" t="n">
        <v>0</v>
      </c>
      <c r="I7084" s="1" t="n">
        <v>1.11</v>
      </c>
    </row>
    <row r="7085" ht="15.75" customHeight="1" s="201">
      <c r="A7085" s="1" t="inlineStr">
        <is>
          <t>Veal, variety meats and by-products, heart, cooked, braised</t>
        </is>
      </c>
      <c r="C7085" s="1" t="n">
        <v>0.13</v>
      </c>
      <c r="D7085" s="1" t="n">
        <v>2</v>
      </c>
      <c r="E7085" s="1" t="n">
        <v>4.32</v>
      </c>
      <c r="F7085" s="1" t="n">
        <v>29.12</v>
      </c>
      <c r="G7085" s="1" t="n">
        <v>6.75</v>
      </c>
      <c r="H7085" s="1" t="n">
        <v>0</v>
      </c>
      <c r="I7085" s="1" t="n">
        <v>2.24</v>
      </c>
      <c r="J7085" t="n">
        <v>57301530</v>
      </c>
    </row>
    <row r="7086" ht="15.75" customHeight="1" s="201">
      <c r="A7086" s="1" t="inlineStr">
        <is>
          <t>Veal, variety meats and by-products, heart, raw</t>
        </is>
      </c>
      <c r="C7086" s="1" t="n">
        <v>0.08</v>
      </c>
      <c r="D7086" s="1" t="n">
        <v>2</v>
      </c>
      <c r="E7086" s="1" t="n">
        <v>4.24</v>
      </c>
      <c r="F7086" s="1" t="n">
        <v>17.18</v>
      </c>
      <c r="G7086" s="1" t="n">
        <v>3.98</v>
      </c>
      <c r="H7086" s="1" t="n">
        <v>0</v>
      </c>
      <c r="I7086" s="1" t="n">
        <v>1.47</v>
      </c>
      <c r="J7086" t="n">
        <v>57301530</v>
      </c>
    </row>
    <row r="7087" ht="15.75" customHeight="1" s="201">
      <c r="A7087" s="1" t="inlineStr">
        <is>
          <t>Veal, variety meats and by-products, kidneys, cooked, braised</t>
        </is>
      </c>
      <c r="C7087" s="1" t="n">
        <v>0</v>
      </c>
      <c r="D7087" s="1" t="n">
        <v>21</v>
      </c>
      <c r="E7087" s="1" t="n">
        <v>3.04</v>
      </c>
      <c r="F7087" s="1" t="n">
        <v>26.32</v>
      </c>
      <c r="G7087" s="1" t="n">
        <v>5.66</v>
      </c>
      <c r="H7087" s="1" t="n">
        <v>669</v>
      </c>
      <c r="I7087" s="1" t="n">
        <v>4.25</v>
      </c>
    </row>
    <row r="7088" ht="15.75" customHeight="1" s="201">
      <c r="A7088" s="1" t="inlineStr">
        <is>
          <t>Veal, variety meats and by-products, kidneys, raw</t>
        </is>
      </c>
      <c r="C7088" s="1" t="n">
        <v>0.85</v>
      </c>
      <c r="D7088" s="1" t="n">
        <v>21</v>
      </c>
      <c r="E7088" s="1" t="n">
        <v>3.36</v>
      </c>
      <c r="F7088" s="1" t="n">
        <v>15.76</v>
      </c>
      <c r="G7088" s="1" t="n">
        <v>3.12</v>
      </c>
      <c r="H7088" s="1" t="n">
        <v>308</v>
      </c>
      <c r="I7088" s="1" t="n">
        <v>1.97</v>
      </c>
    </row>
    <row r="7089" ht="15.75" customHeight="1" s="201">
      <c r="A7089" s="1" t="inlineStr">
        <is>
          <t>Veal, variety meats and by-products, liver, cooked, braised</t>
        </is>
      </c>
      <c r="C7089" s="1" t="n">
        <v>3.77</v>
      </c>
      <c r="D7089" s="1" t="n">
        <v>331</v>
      </c>
      <c r="E7089" s="1" t="n">
        <v>5.11</v>
      </c>
      <c r="F7089" s="1" t="n">
        <v>28.42</v>
      </c>
      <c r="G7089" s="1" t="n">
        <v>6.26</v>
      </c>
      <c r="H7089" s="1" t="n">
        <v>70564</v>
      </c>
      <c r="I7089" s="1" t="n">
        <v>11.23</v>
      </c>
      <c r="J7089" t="n">
        <v>25230560</v>
      </c>
    </row>
    <row r="7090" ht="15.75" customHeight="1" s="201">
      <c r="A7090" s="1" t="inlineStr">
        <is>
          <t>Veal, variety meats and by-products, liver, cooked, pan-fried</t>
        </is>
      </c>
      <c r="C7090" s="1" t="n">
        <v>4.47</v>
      </c>
      <c r="D7090" s="1" t="n">
        <v>350</v>
      </c>
      <c r="E7090" s="1" t="n">
        <v>5.98</v>
      </c>
      <c r="F7090" s="1" t="n">
        <v>27.37</v>
      </c>
      <c r="G7090" s="1" t="n">
        <v>6.51</v>
      </c>
      <c r="H7090" s="1" t="n">
        <v>66989</v>
      </c>
      <c r="I7090" s="1" t="n">
        <v>11.9</v>
      </c>
      <c r="J7090" t="n">
        <v>25230560</v>
      </c>
    </row>
    <row r="7091" ht="15.75" customHeight="1" s="201">
      <c r="A7091" s="1" t="inlineStr">
        <is>
          <t>Veal, variety meats and by-products, liver, raw</t>
        </is>
      </c>
      <c r="C7091" s="1" t="n">
        <v>2.91</v>
      </c>
      <c r="D7091" s="1" t="n">
        <v>125</v>
      </c>
      <c r="E7091" s="1" t="n">
        <v>6.4</v>
      </c>
      <c r="F7091" s="1" t="n">
        <v>19.93</v>
      </c>
      <c r="G7091" s="1" t="n">
        <v>4.85</v>
      </c>
      <c r="H7091" s="1" t="n">
        <v>39056</v>
      </c>
      <c r="I7091" s="1" t="n">
        <v>12.02</v>
      </c>
      <c r="J7091" t="n">
        <v>25230560</v>
      </c>
    </row>
    <row r="7092" ht="15.75" customHeight="1" s="201">
      <c r="A7092" s="1" t="inlineStr">
        <is>
          <t>Veal, variety meats and by-products, lungs, cooked, braised</t>
        </is>
      </c>
      <c r="C7092" s="1" t="n">
        <v>0</v>
      </c>
      <c r="D7092" s="1" t="n">
        <v>8</v>
      </c>
      <c r="E7092" s="1" t="n">
        <v>3.61</v>
      </c>
      <c r="F7092" s="1" t="n">
        <v>18.74</v>
      </c>
      <c r="G7092" s="1" t="n">
        <v>2.64</v>
      </c>
      <c r="H7092" s="1" t="n">
        <v>0</v>
      </c>
      <c r="I7092" s="1" t="n">
        <v>1.2</v>
      </c>
    </row>
    <row r="7093" ht="15.75" customHeight="1" s="201">
      <c r="A7093" s="1" t="inlineStr">
        <is>
          <t>Veal, variety meats and by-products, lungs, raw</t>
        </is>
      </c>
      <c r="C7093" s="1" t="n">
        <v>0</v>
      </c>
      <c r="D7093" s="1" t="n">
        <v>11</v>
      </c>
      <c r="E7093" s="1" t="n">
        <v>5.23</v>
      </c>
      <c r="F7093" s="1" t="n">
        <v>16.3</v>
      </c>
      <c r="G7093" s="1" t="n">
        <v>2.3</v>
      </c>
      <c r="H7093" s="1" t="n">
        <v>0</v>
      </c>
      <c r="I7093" s="1" t="n">
        <v>1.16</v>
      </c>
    </row>
    <row r="7094" ht="15.75" customHeight="1" s="201">
      <c r="A7094" s="1" t="inlineStr">
        <is>
          <t>Veal, variety meats and by-products, pancreas, cooked, braised</t>
        </is>
      </c>
      <c r="C7094" s="1" t="n">
        <v>0</v>
      </c>
      <c r="D7094" s="1" t="n">
        <v>3</v>
      </c>
      <c r="E7094" s="1" t="n">
        <v>2.38</v>
      </c>
      <c r="F7094" s="1" t="n">
        <v>29.1</v>
      </c>
      <c r="G7094" s="1" t="n">
        <v>14.6</v>
      </c>
      <c r="H7094" s="1" t="n">
        <v>0</v>
      </c>
      <c r="I7094" s="1" t="n">
        <v>5.2</v>
      </c>
    </row>
    <row r="7095" ht="15.75" customHeight="1" s="201">
      <c r="A7095" s="1" t="inlineStr">
        <is>
          <t>Veal, variety meats and by-products, pancreas, raw</t>
        </is>
      </c>
      <c r="C7095" s="1" t="n">
        <v>0</v>
      </c>
      <c r="D7095" s="1" t="n">
        <v>3</v>
      </c>
      <c r="E7095" s="1" t="n">
        <v>2.1</v>
      </c>
      <c r="F7095" s="1" t="n">
        <v>15</v>
      </c>
      <c r="G7095" s="1" t="n">
        <v>13.1</v>
      </c>
      <c r="H7095" s="1" t="n">
        <v>0</v>
      </c>
      <c r="I7095" s="1" t="n">
        <v>2.6</v>
      </c>
    </row>
    <row r="7096" ht="15.75" customHeight="1" s="201">
      <c r="A7096" s="1" t="inlineStr">
        <is>
          <t>Veal, variety meats and by-products, spleen, cooked, braised</t>
        </is>
      </c>
      <c r="C7096" s="1" t="n">
        <v>0</v>
      </c>
      <c r="D7096" s="1" t="n">
        <v>4</v>
      </c>
      <c r="E7096" s="1" t="n">
        <v>7.36</v>
      </c>
      <c r="F7096" s="1" t="n">
        <v>24.08</v>
      </c>
      <c r="G7096" s="1" t="n">
        <v>2.89</v>
      </c>
      <c r="H7096" s="1" t="n">
        <v>0</v>
      </c>
      <c r="I7096" s="1" t="n">
        <v>1.91</v>
      </c>
    </row>
    <row r="7097" ht="15.75" customHeight="1" s="201">
      <c r="A7097" s="1" t="inlineStr">
        <is>
          <t>Veal, variety meats and by-products, spleen, raw</t>
        </is>
      </c>
      <c r="C7097" s="1" t="n">
        <v>0</v>
      </c>
      <c r="D7097" s="1" t="n">
        <v>4</v>
      </c>
      <c r="E7097" s="1" t="n">
        <v>9.32</v>
      </c>
      <c r="F7097" s="1" t="n">
        <v>18.3</v>
      </c>
      <c r="G7097" s="1" t="n">
        <v>2.2</v>
      </c>
      <c r="H7097" s="1" t="n">
        <v>0</v>
      </c>
      <c r="I7097" s="1" t="n">
        <v>1.61</v>
      </c>
    </row>
    <row r="7098" ht="15.75" customHeight="1" s="201">
      <c r="A7098" s="1" t="inlineStr">
        <is>
          <t>Veal, variety meats and by-products, thymus, cooked, braised</t>
        </is>
      </c>
      <c r="C7098" s="1" t="n">
        <v>0</v>
      </c>
      <c r="D7098" s="1" t="n">
        <v>20</v>
      </c>
      <c r="E7098" s="1" t="n">
        <v>1.24</v>
      </c>
      <c r="F7098" s="1" t="n">
        <v>22.67</v>
      </c>
      <c r="G7098" s="1" t="n">
        <v>3.11</v>
      </c>
      <c r="H7098" s="1" t="n">
        <v>0</v>
      </c>
      <c r="I7098" s="1" t="n">
        <v>2.13</v>
      </c>
    </row>
    <row r="7099" ht="15.75" customHeight="1" s="201">
      <c r="A7099" s="1" t="inlineStr">
        <is>
          <t>Veal, variety meats and by-products, thymus, raw</t>
        </is>
      </c>
      <c r="C7099" s="1" t="n">
        <v>0</v>
      </c>
      <c r="D7099" s="1" t="n">
        <v>22</v>
      </c>
      <c r="E7099" s="1" t="n">
        <v>1.05</v>
      </c>
      <c r="F7099" s="1" t="n">
        <v>17.21</v>
      </c>
      <c r="G7099" s="1" t="n">
        <v>3.07</v>
      </c>
      <c r="H7099" s="1" t="n">
        <v>0</v>
      </c>
      <c r="I7099" s="1" t="n">
        <v>1.55</v>
      </c>
    </row>
    <row r="7100" ht="15.75" customHeight="1" s="201">
      <c r="A7100" s="1" t="inlineStr">
        <is>
          <t>Veal, variety meats and by-products, tongue, cooked, braised</t>
        </is>
      </c>
      <c r="C7100" s="1" t="n">
        <v>0</v>
      </c>
      <c r="D7100" s="1" t="n">
        <v>9</v>
      </c>
      <c r="E7100" s="1" t="n">
        <v>2.09</v>
      </c>
      <c r="F7100" s="1" t="n">
        <v>25.85</v>
      </c>
      <c r="G7100" s="1" t="n">
        <v>10.1</v>
      </c>
      <c r="H7100" s="1" t="n">
        <v>0</v>
      </c>
      <c r="I7100" s="1" t="n">
        <v>4.51</v>
      </c>
    </row>
    <row r="7101" ht="15.75" customHeight="1" s="201">
      <c r="A7101" s="1" t="inlineStr">
        <is>
          <t>Veal, variety meats and by-products, tongue, raw</t>
        </is>
      </c>
      <c r="C7101" s="1" t="n">
        <v>1.91</v>
      </c>
      <c r="D7101" s="1" t="n">
        <v>5</v>
      </c>
      <c r="E7101" s="1" t="n">
        <v>2.72</v>
      </c>
      <c r="F7101" s="1" t="n">
        <v>17.18</v>
      </c>
      <c r="G7101" s="1" t="n">
        <v>5.48</v>
      </c>
      <c r="H7101" s="1" t="n">
        <v>1</v>
      </c>
      <c r="I7101" s="1" t="n">
        <v>2.63</v>
      </c>
    </row>
    <row r="7102" ht="15.75" customHeight="1" s="201">
      <c r="A7102" s="1" t="inlineStr">
        <is>
          <t>Vegetable juice cocktail, canned</t>
        </is>
      </c>
      <c r="C7102" s="1" t="n">
        <v>3.87</v>
      </c>
      <c r="D7102" s="1" t="n">
        <v>21</v>
      </c>
      <c r="E7102" s="1" t="n">
        <v>0.28</v>
      </c>
      <c r="F7102" s="1" t="n">
        <v>0.93</v>
      </c>
      <c r="G7102" s="1" t="n">
        <v>0.31</v>
      </c>
      <c r="H7102" s="1" t="n">
        <v>706</v>
      </c>
      <c r="I7102" s="1" t="n">
        <v>0.12</v>
      </c>
      <c r="J7102" t="n">
        <v>92530610</v>
      </c>
    </row>
    <row r="7103" ht="15.75" customHeight="1" s="201">
      <c r="A7103" s="1" t="inlineStr">
        <is>
          <t>Vegetable juice cocktail, low sodium, canned</t>
        </is>
      </c>
      <c r="C7103" s="1" t="n">
        <v>3.83</v>
      </c>
      <c r="D7103" s="1" t="n">
        <v>21</v>
      </c>
      <c r="E7103" s="1" t="n">
        <v>0.29</v>
      </c>
      <c r="F7103" s="1" t="n">
        <v>0.91</v>
      </c>
      <c r="G7103" s="1" t="n">
        <v>0.32</v>
      </c>
      <c r="H7103" s="1" t="n">
        <v>706</v>
      </c>
      <c r="I7103" s="1" t="n">
        <v>0.12</v>
      </c>
      <c r="J7103" t="n">
        <v>92530610</v>
      </c>
    </row>
    <row r="7104" ht="15.75" customHeight="1" s="201">
      <c r="A7104" s="1" t="inlineStr">
        <is>
          <t>Vegetable juice, BOLTHOUSE FARMS, DAILY GREENS</t>
        </is>
      </c>
      <c r="C7104" s="1" t="n">
        <v>8.130000000000001</v>
      </c>
      <c r="D7104" s="1" t="n">
        <v>63</v>
      </c>
      <c r="E7104" s="1" t="n">
        <v>3.85</v>
      </c>
      <c r="F7104" s="1" t="n">
        <v>0.49</v>
      </c>
      <c r="G7104" s="1" t="n">
        <v>0.04</v>
      </c>
      <c r="H7104" s="1" t="n">
        <v>2048</v>
      </c>
      <c r="I7104" s="1" t="n">
        <v>3.47</v>
      </c>
      <c r="J7104" t="n">
        <v>64100110</v>
      </c>
    </row>
    <row r="7105" ht="15.75" customHeight="1" s="201">
      <c r="A7105" s="1" t="inlineStr">
        <is>
          <t>Vegetable oil, palm kernel</t>
        </is>
      </c>
      <c r="C7105" s="1" t="n">
        <v>0</v>
      </c>
      <c r="D7105" s="1" t="n">
        <v>0</v>
      </c>
      <c r="E7105" s="1" t="n">
        <v>0</v>
      </c>
      <c r="F7105" s="1" t="n">
        <v>0</v>
      </c>
      <c r="G7105" s="1" t="n">
        <v>100</v>
      </c>
      <c r="H7105" s="1" t="n">
        <v>0</v>
      </c>
      <c r="I7105" s="1" t="n">
        <v>0</v>
      </c>
      <c r="J7105" t="n">
        <v>71220000</v>
      </c>
    </row>
    <row r="7106" ht="15.75" customHeight="1" s="201">
      <c r="A7106" s="1" t="inlineStr">
        <is>
          <t>Vegetable oil-butter spread, reduced calorie</t>
        </is>
      </c>
      <c r="C7106" s="1" t="n">
        <v>0</v>
      </c>
      <c r="D7106" s="1" t="n">
        <v>1</v>
      </c>
      <c r="E7106" s="1" t="n">
        <v>0.04</v>
      </c>
      <c r="F7106" s="1" t="n">
        <v>0</v>
      </c>
      <c r="G7106" s="1" t="n">
        <v>53</v>
      </c>
      <c r="H7106" s="1" t="n">
        <v>3577</v>
      </c>
      <c r="I7106" s="1" t="n">
        <v>0.01</v>
      </c>
      <c r="J7106" t="n">
        <v>53109200</v>
      </c>
    </row>
    <row r="7107" ht="15.75" customHeight="1" s="201">
      <c r="A7107" s="1" t="inlineStr">
        <is>
          <t>Vegetables, mixed (corn, lima beans, peas, green beans, carrots) canned, no salt added</t>
        </is>
      </c>
      <c r="C7107" s="1" t="n">
        <v>7.31</v>
      </c>
      <c r="D7107" s="1" t="n">
        <v>18</v>
      </c>
      <c r="E7107" s="1" t="n">
        <v>0.65</v>
      </c>
      <c r="F7107" s="1" t="n">
        <v>1.4</v>
      </c>
      <c r="G7107" s="1" t="n">
        <v>0.2</v>
      </c>
      <c r="H7107" s="1" t="n">
        <v>11651</v>
      </c>
      <c r="I7107" s="1" t="n">
        <v>0.51</v>
      </c>
      <c r="J7107" t="n">
        <v>75311023</v>
      </c>
    </row>
    <row r="7108" ht="15.75" customHeight="1" s="201">
      <c r="A7108" s="1" t="inlineStr">
        <is>
          <t>Vegetables, mixed, canned, drained solids</t>
        </is>
      </c>
      <c r="C7108" s="1" t="n">
        <v>9.26</v>
      </c>
      <c r="D7108" s="1" t="n">
        <v>24</v>
      </c>
      <c r="E7108" s="1" t="n">
        <v>1.05</v>
      </c>
      <c r="F7108" s="1" t="n">
        <v>2.59</v>
      </c>
      <c r="G7108" s="1" t="n">
        <v>0.25</v>
      </c>
      <c r="H7108" s="1" t="n">
        <v>11651</v>
      </c>
      <c r="I7108" s="1" t="n">
        <v>0.41</v>
      </c>
      <c r="J7108" t="n">
        <v>76407010</v>
      </c>
    </row>
    <row r="7109" ht="15.75" customHeight="1" s="201">
      <c r="A7109" s="1" t="inlineStr">
        <is>
          <t>Vegetables, mixed, canned, solids and liquids</t>
        </is>
      </c>
      <c r="C7109" s="1" t="n">
        <v>7.13</v>
      </c>
      <c r="D7109" s="1" t="n">
        <v>18</v>
      </c>
      <c r="E7109" s="1" t="n">
        <v>0.65</v>
      </c>
      <c r="F7109" s="1" t="n">
        <v>1.42</v>
      </c>
      <c r="G7109" s="1" t="n">
        <v>0.25</v>
      </c>
      <c r="H7109" s="1" t="n">
        <v>5081</v>
      </c>
      <c r="I7109" s="1" t="n">
        <v>0.51</v>
      </c>
      <c r="J7109" t="n">
        <v>76407010</v>
      </c>
    </row>
    <row r="7110" ht="15.75" customHeight="1" s="201">
      <c r="A7110" s="1" t="inlineStr">
        <is>
          <t>Vegetables, mixed, frozen, cooked, boiled, drained, with salt</t>
        </is>
      </c>
      <c r="C7110" s="1" t="n">
        <v>13.09</v>
      </c>
      <c r="D7110" s="1" t="n">
        <v>19</v>
      </c>
      <c r="E7110" s="1" t="n">
        <v>0.82</v>
      </c>
      <c r="F7110" s="1" t="n">
        <v>2.86</v>
      </c>
      <c r="G7110" s="1" t="n">
        <v>0.15</v>
      </c>
      <c r="H7110" s="1" t="n">
        <v>4277</v>
      </c>
      <c r="I7110" s="1" t="n">
        <v>0.49</v>
      </c>
      <c r="J7110" t="n">
        <v>76407010</v>
      </c>
    </row>
    <row r="7111" ht="15.75" customHeight="1" s="201">
      <c r="A7111" s="1" t="inlineStr">
        <is>
          <t>Vegetables, mixed, frozen, cooked, boiled, drained, without salt</t>
        </is>
      </c>
      <c r="C7111" s="1" t="n">
        <v>13.09</v>
      </c>
      <c r="D7111" s="1" t="n">
        <v>19</v>
      </c>
      <c r="E7111" s="1" t="n">
        <v>0.82</v>
      </c>
      <c r="F7111" s="1" t="n">
        <v>2.86</v>
      </c>
      <c r="G7111" s="1" t="n">
        <v>0.15</v>
      </c>
      <c r="H7111" s="1" t="n">
        <v>4277</v>
      </c>
      <c r="I7111" s="1" t="n">
        <v>0.49</v>
      </c>
      <c r="J7111" t="n">
        <v>76407010</v>
      </c>
    </row>
    <row r="7112" ht="15.75" customHeight="1" s="201">
      <c r="A7112" s="1" t="inlineStr">
        <is>
          <t>Vegetables, mixed, frozen, unprepared</t>
        </is>
      </c>
      <c r="C7112" s="1" t="n">
        <v>13.47</v>
      </c>
      <c r="D7112" s="1" t="n">
        <v>29</v>
      </c>
      <c r="E7112" s="1" t="n">
        <v>0.95</v>
      </c>
      <c r="F7112" s="1" t="n">
        <v>3.33</v>
      </c>
      <c r="G7112" s="1" t="n">
        <v>0.52</v>
      </c>
      <c r="H7112" s="1" t="n">
        <v>5078</v>
      </c>
      <c r="I7112" s="1" t="n">
        <v>0.45</v>
      </c>
      <c r="J7112" t="n">
        <v>76407010</v>
      </c>
    </row>
    <row r="7113" ht="15.75" customHeight="1" s="201">
      <c r="A7113" s="1" t="inlineStr">
        <is>
          <t>Vegetarian fillets</t>
        </is>
      </c>
      <c r="C7113" s="1" t="n">
        <v>9</v>
      </c>
      <c r="D7113" s="1" t="n">
        <v>102</v>
      </c>
      <c r="E7113" s="1" t="n">
        <v>2</v>
      </c>
      <c r="F7113" s="1" t="n">
        <v>23</v>
      </c>
      <c r="G7113" s="1" t="n">
        <v>18</v>
      </c>
      <c r="H7113" s="1" t="n">
        <v>0</v>
      </c>
      <c r="I7113" s="1" t="n">
        <v>1.4</v>
      </c>
      <c r="J7113" t="n">
        <v>27564430</v>
      </c>
    </row>
    <row r="7114" ht="15.75" customHeight="1" s="201">
      <c r="A7114" s="1" t="inlineStr">
        <is>
          <t>Vegetarian meatloaf or patties</t>
        </is>
      </c>
      <c r="C7114" s="1" t="n">
        <v>8</v>
      </c>
      <c r="D7114" s="1" t="n">
        <v>78</v>
      </c>
      <c r="E7114" s="1" t="n">
        <v>2.1</v>
      </c>
      <c r="F7114" s="1" t="n">
        <v>21</v>
      </c>
      <c r="G7114" s="1" t="n">
        <v>9</v>
      </c>
      <c r="H7114" s="1" t="n">
        <v>0</v>
      </c>
      <c r="I7114" s="1" t="n">
        <v>1.8</v>
      </c>
      <c r="J7114" t="n">
        <v>28160310</v>
      </c>
    </row>
    <row r="7115" ht="15.75" customHeight="1" s="201">
      <c r="A7115" s="1" t="inlineStr">
        <is>
          <t>Veggie burgers or soyburgers, unprepared</t>
        </is>
      </c>
      <c r="C7115" s="1" t="n">
        <v>14.27</v>
      </c>
      <c r="D7115" s="1" t="n">
        <v>124</v>
      </c>
      <c r="E7115" s="1" t="n">
        <v>2.41</v>
      </c>
      <c r="F7115" s="1" t="n">
        <v>15.7</v>
      </c>
      <c r="G7115" s="1" t="n">
        <v>6.3</v>
      </c>
      <c r="H7115" s="1" t="n">
        <v>16</v>
      </c>
      <c r="I7115" s="1" t="n">
        <v>1.26</v>
      </c>
      <c r="J7115" t="n">
        <v>71220000</v>
      </c>
    </row>
    <row r="7116" ht="15.75" customHeight="1" s="201">
      <c r="A7116" s="1" t="inlineStr">
        <is>
          <t>Vermicelli, made from soy</t>
        </is>
      </c>
      <c r="C7116" s="1" t="n">
        <v>82.31999999999999</v>
      </c>
      <c r="D7116" s="1" t="n">
        <v>0</v>
      </c>
      <c r="E7116" s="1" t="n">
        <v>1.81</v>
      </c>
      <c r="F7116" s="1" t="n">
        <v>0.1</v>
      </c>
      <c r="G7116" s="1" t="n">
        <v>0.1</v>
      </c>
      <c r="H7116" s="1" t="n">
        <v>37</v>
      </c>
      <c r="I7116" s="1" t="n">
        <v>4.24</v>
      </c>
      <c r="J7116" t="n">
        <v>51121025</v>
      </c>
    </row>
    <row r="7117" ht="15.75" customHeight="1" s="201">
      <c r="A7117" s="1" t="inlineStr">
        <is>
          <t>Vinegar, balsamic</t>
        </is>
      </c>
      <c r="C7117" s="1" t="n">
        <v>17.03</v>
      </c>
      <c r="E7117" s="1" t="n">
        <v>0.72</v>
      </c>
      <c r="F7117" s="1" t="n">
        <v>0.49</v>
      </c>
      <c r="G7117" s="1" t="n">
        <v>0</v>
      </c>
      <c r="H7117" s="1" t="n">
        <v>0</v>
      </c>
      <c r="I7117" s="1" t="n">
        <v>0.08</v>
      </c>
      <c r="J7117" t="n">
        <v>83106000</v>
      </c>
    </row>
    <row r="7118" ht="15.75" customHeight="1" s="201">
      <c r="A7118" s="1" t="inlineStr">
        <is>
          <t>Vinegar, cider</t>
        </is>
      </c>
      <c r="C7118" s="1" t="n">
        <v>0.93</v>
      </c>
      <c r="D7118" s="1" t="n">
        <v>0</v>
      </c>
      <c r="E7118" s="1" t="n">
        <v>0.2</v>
      </c>
      <c r="F7118" s="1" t="n">
        <v>0</v>
      </c>
      <c r="G7118" s="1" t="n">
        <v>0</v>
      </c>
      <c r="H7118" s="1" t="n">
        <v>0</v>
      </c>
      <c r="I7118" s="1" t="n">
        <v>0.04</v>
      </c>
      <c r="J7118" t="n">
        <v>83106000</v>
      </c>
    </row>
    <row r="7119" ht="15.75" customHeight="1" s="201">
      <c r="A7119" s="1" t="inlineStr">
        <is>
          <t>Vinegar, distilled</t>
        </is>
      </c>
      <c r="C7119" s="1" t="n">
        <v>0.04</v>
      </c>
      <c r="D7119" s="1" t="n">
        <v>0</v>
      </c>
      <c r="E7119" s="1" t="n">
        <v>0.03</v>
      </c>
      <c r="F7119" s="1" t="n">
        <v>0</v>
      </c>
      <c r="G7119" s="1" t="n">
        <v>0</v>
      </c>
      <c r="H7119" s="1" t="n">
        <v>0</v>
      </c>
      <c r="I7119" s="1" t="n">
        <v>0.01</v>
      </c>
      <c r="J7119" t="n">
        <v>83106000</v>
      </c>
    </row>
    <row r="7120" ht="15.75" customHeight="1" s="201">
      <c r="A7120" s="1" t="inlineStr">
        <is>
          <t>Vinegar, red wine</t>
        </is>
      </c>
      <c r="C7120" s="1" t="n">
        <v>0.27</v>
      </c>
      <c r="E7120" s="1" t="n">
        <v>0.45</v>
      </c>
      <c r="F7120" s="1" t="n">
        <v>0.04</v>
      </c>
      <c r="G7120" s="1" t="n">
        <v>0</v>
      </c>
      <c r="H7120" s="1" t="n">
        <v>0</v>
      </c>
      <c r="I7120" s="1" t="n">
        <v>0.03</v>
      </c>
      <c r="J7120" t="n">
        <v>83106000</v>
      </c>
    </row>
    <row r="7121" ht="15.75" customHeight="1" s="201">
      <c r="A7121" s="1" t="inlineStr">
        <is>
          <t>Vinespinach, (basella), raw</t>
        </is>
      </c>
      <c r="C7121" s="1" t="n">
        <v>3.4</v>
      </c>
      <c r="D7121" s="1" t="n">
        <v>140</v>
      </c>
      <c r="E7121" s="1" t="n">
        <v>1.2</v>
      </c>
      <c r="F7121" s="1" t="n">
        <v>1.8</v>
      </c>
      <c r="G7121" s="1" t="n">
        <v>0.3</v>
      </c>
      <c r="H7121" s="1" t="n">
        <v>8000</v>
      </c>
      <c r="I7121" s="1" t="n">
        <v>0.43</v>
      </c>
    </row>
    <row r="7122" ht="15.75" customHeight="1" s="201">
      <c r="A7122" s="1" t="inlineStr">
        <is>
          <t>Vital wheat gluten</t>
        </is>
      </c>
      <c r="C7122" s="1" t="n">
        <v>13.79</v>
      </c>
      <c r="D7122" s="1" t="n">
        <v>0</v>
      </c>
      <c r="E7122" s="1" t="n">
        <v>5.2</v>
      </c>
      <c r="F7122" s="1" t="n">
        <v>75.16</v>
      </c>
      <c r="G7122" s="1" t="n">
        <v>1.85</v>
      </c>
      <c r="H7122" s="1" t="n">
        <v>0</v>
      </c>
      <c r="I7122" s="1" t="n">
        <v>0.85</v>
      </c>
      <c r="J7122" t="n">
        <v>54338000</v>
      </c>
    </row>
    <row r="7123" ht="15.75" customHeight="1" s="201">
      <c r="A7123" s="1" t="inlineStr">
        <is>
          <t>Vitasoy USA Azumaya, Silken Tofu</t>
        </is>
      </c>
      <c r="C7123" s="1" t="n">
        <v>0.58</v>
      </c>
      <c r="E7123" s="1" t="n">
        <v>0.8</v>
      </c>
      <c r="F7123" s="1" t="n">
        <v>4.82</v>
      </c>
      <c r="G7123" s="1" t="n">
        <v>2.4</v>
      </c>
    </row>
    <row r="7124" ht="15.75" customHeight="1" s="201">
      <c r="A7124" s="1" t="inlineStr">
        <is>
          <t>Vitasoy USA Nasoya, Lite Silken Tofu</t>
        </is>
      </c>
      <c r="C7124" s="1" t="n">
        <v>0</v>
      </c>
      <c r="E7124" s="1" t="n">
        <v>0.87</v>
      </c>
      <c r="F7124" s="1" t="n">
        <v>8.210000000000001</v>
      </c>
      <c r="G7124" s="1" t="n">
        <v>1.1</v>
      </c>
      <c r="H7124" s="1" t="n">
        <v>1913</v>
      </c>
    </row>
    <row r="7125" ht="15.75" customHeight="1" s="201">
      <c r="A7125" s="1" t="inlineStr">
        <is>
          <t>Vitasoy USA Organic Nasoya, Soft Tofu</t>
        </is>
      </c>
      <c r="C7125" s="1" t="n">
        <v>0.74</v>
      </c>
      <c r="E7125" s="1" t="n">
        <v>1.1</v>
      </c>
      <c r="F7125" s="1" t="n">
        <v>8.76</v>
      </c>
      <c r="G7125" s="1" t="n">
        <v>3.5</v>
      </c>
      <c r="J7125" t="n">
        <v>51150000</v>
      </c>
    </row>
    <row r="7126" ht="15.75" customHeight="1" s="201">
      <c r="A7126" s="1" t="inlineStr">
        <is>
          <t>Vitasoy USA Organic Nasoya, Tofu Plus Extra Firm</t>
        </is>
      </c>
      <c r="C7126" s="1" t="n">
        <v>1.82</v>
      </c>
      <c r="E7126" s="1" t="n">
        <v>1.6</v>
      </c>
      <c r="F7126" s="1" t="n">
        <v>10.18</v>
      </c>
      <c r="G7126" s="1" t="n">
        <v>4.9</v>
      </c>
    </row>
    <row r="7127" ht="15.75" customHeight="1" s="201">
      <c r="A7127" s="1" t="inlineStr">
        <is>
          <t>Vitasoy USA, Nasoya Lite Firm Tofu</t>
        </is>
      </c>
      <c r="C7127" s="1" t="n">
        <v>1.3</v>
      </c>
      <c r="E7127" s="1" t="n">
        <v>1.6</v>
      </c>
      <c r="F7127" s="1" t="n">
        <v>8.300000000000001</v>
      </c>
      <c r="G7127" s="1" t="n">
        <v>1.7</v>
      </c>
      <c r="H7127" s="1" t="n">
        <v>1902</v>
      </c>
    </row>
    <row r="7128" ht="15.75" customHeight="1" s="201">
      <c r="A7128" s="1" t="inlineStr">
        <is>
          <t>Vitasoy USA, Organic Nasoya Extra Firm Tofu</t>
        </is>
      </c>
      <c r="C7128" s="1" t="n">
        <v>2.6</v>
      </c>
      <c r="E7128" s="1" t="n">
        <v>1.6</v>
      </c>
      <c r="F7128" s="1" t="n">
        <v>10.1</v>
      </c>
      <c r="G7128" s="1" t="n">
        <v>5.2</v>
      </c>
      <c r="H7128" s="1" t="n">
        <v>37</v>
      </c>
    </row>
    <row r="7129" ht="15.75" customHeight="1" s="201">
      <c r="A7129" s="1" t="inlineStr">
        <is>
          <t>Vitasoy USA, Organic Nasoya Firm Tofu</t>
        </is>
      </c>
      <c r="C7129" s="1" t="n">
        <v>2.3</v>
      </c>
      <c r="E7129" s="1" t="n">
        <v>1.2</v>
      </c>
      <c r="F7129" s="1" t="n">
        <v>8.9</v>
      </c>
      <c r="G7129" s="1" t="n">
        <v>4.4</v>
      </c>
    </row>
    <row r="7130" ht="15.75" customHeight="1" s="201">
      <c r="A7130" s="1" t="inlineStr">
        <is>
          <t>Vitasoy USA, Organic Nasoya Silken Tofu</t>
        </is>
      </c>
      <c r="C7130" s="1" t="n">
        <v>1.4</v>
      </c>
      <c r="E7130" s="1" t="n">
        <v>0.9</v>
      </c>
      <c r="F7130" s="1" t="n">
        <v>4.8</v>
      </c>
      <c r="G7130" s="1" t="n">
        <v>2.5</v>
      </c>
    </row>
    <row r="7131" ht="15.75" customHeight="1" s="201">
      <c r="A7131" s="1" t="inlineStr">
        <is>
          <t>Vitasoy USA, Organic Nasoya Super Firm Cubed Tofu</t>
        </is>
      </c>
      <c r="C7131" s="1" t="n">
        <v>2.8</v>
      </c>
      <c r="E7131" s="1" t="n">
        <v>2</v>
      </c>
      <c r="F7131" s="1" t="n">
        <v>12.4</v>
      </c>
      <c r="G7131" s="1" t="n">
        <v>6.3</v>
      </c>
    </row>
    <row r="7132" ht="15.75" customHeight="1" s="201">
      <c r="A7132" s="1" t="inlineStr">
        <is>
          <t>Waffle, buttermilk, frozen, ready-to-heat, microwaved</t>
        </is>
      </c>
      <c r="C7132" s="1" t="n">
        <v>44.16</v>
      </c>
      <c r="D7132" s="1" t="n">
        <v>64</v>
      </c>
      <c r="E7132" s="1" t="n">
        <v>6.53</v>
      </c>
      <c r="F7132" s="1" t="n">
        <v>6.92</v>
      </c>
      <c r="G7132" s="1" t="n">
        <v>9.4</v>
      </c>
      <c r="H7132" s="1" t="n">
        <v>1430</v>
      </c>
      <c r="I7132" s="1" t="n">
        <v>0.58</v>
      </c>
      <c r="J7132" t="n">
        <v>55200020</v>
      </c>
    </row>
    <row r="7133" ht="15.75" customHeight="1" s="201">
      <c r="A7133" s="1" t="inlineStr">
        <is>
          <t>Waffle, buttermilk, frozen, ready-to-heat, toasted</t>
        </is>
      </c>
      <c r="C7133" s="1" t="n">
        <v>48.39</v>
      </c>
      <c r="D7133" s="1" t="n">
        <v>68</v>
      </c>
      <c r="E7133" s="1" t="n">
        <v>6.59</v>
      </c>
      <c r="F7133" s="1" t="n">
        <v>7.42</v>
      </c>
      <c r="G7133" s="1" t="n">
        <v>9.49</v>
      </c>
      <c r="H7133" s="1" t="n">
        <v>1463</v>
      </c>
      <c r="I7133" s="1" t="n">
        <v>0.48</v>
      </c>
      <c r="J7133" t="n">
        <v>55200020</v>
      </c>
    </row>
    <row r="7134" ht="15.75" customHeight="1" s="201">
      <c r="A7134" s="1" t="inlineStr">
        <is>
          <t>Waffle, plain, frozen, ready-to-heat, microwave</t>
        </is>
      </c>
      <c r="C7134" s="1" t="n">
        <v>45.41</v>
      </c>
      <c r="D7134" s="1" t="n">
        <v>67</v>
      </c>
      <c r="E7134" s="1" t="n">
        <v>5.81</v>
      </c>
      <c r="F7134" s="1" t="n">
        <v>6.71</v>
      </c>
      <c r="G7134" s="1" t="n">
        <v>9.91</v>
      </c>
      <c r="I7134" s="1" t="n">
        <v>0.45</v>
      </c>
      <c r="J7134" t="n">
        <v>55200020</v>
      </c>
    </row>
    <row r="7135" ht="15.75" customHeight="1" s="201">
      <c r="A7135" s="1" t="inlineStr">
        <is>
          <t>Waffles, buttermilk, frozen, ready-to-heat</t>
        </is>
      </c>
      <c r="C7135" s="1" t="n">
        <v>41.05</v>
      </c>
      <c r="D7135" s="1" t="n">
        <v>63</v>
      </c>
      <c r="E7135" s="1" t="n">
        <v>6.04</v>
      </c>
      <c r="F7135" s="1" t="n">
        <v>6.58</v>
      </c>
      <c r="G7135" s="1" t="n">
        <v>9.220000000000001</v>
      </c>
      <c r="H7135" s="1" t="n">
        <v>1340</v>
      </c>
      <c r="I7135" s="1" t="n">
        <v>0.48</v>
      </c>
      <c r="J7135" t="n">
        <v>55100010</v>
      </c>
    </row>
    <row r="7136" ht="15.75" customHeight="1" s="201">
      <c r="A7136" s="1" t="inlineStr">
        <is>
          <t>Waffles, chocolate chip, frozen, ready-to-heat</t>
        </is>
      </c>
      <c r="C7136" s="1" t="n">
        <v>45.68</v>
      </c>
      <c r="D7136" s="1" t="n">
        <v>75</v>
      </c>
      <c r="E7136" s="1" t="n">
        <v>6.4</v>
      </c>
      <c r="F7136" s="1" t="n">
        <v>5.8</v>
      </c>
      <c r="G7136" s="1" t="n">
        <v>10.1</v>
      </c>
      <c r="H7136" s="1" t="n">
        <v>1429</v>
      </c>
      <c r="I7136" s="1" t="n">
        <v>0.4</v>
      </c>
      <c r="J7136" t="n">
        <v>53108200</v>
      </c>
    </row>
    <row r="7137" ht="15.75" customHeight="1" s="201">
      <c r="A7137" s="1" t="inlineStr">
        <is>
          <t>Waffles, gluten-free, frozen, ready-to-heat</t>
        </is>
      </c>
      <c r="C7137" s="1" t="n">
        <v>43.05</v>
      </c>
      <c r="D7137" s="1" t="n">
        <v>8</v>
      </c>
      <c r="E7137" s="1" t="n">
        <v>0.63</v>
      </c>
      <c r="F7137" s="1" t="n">
        <v>2.72</v>
      </c>
      <c r="G7137" s="1" t="n">
        <v>8.84</v>
      </c>
      <c r="H7137" s="1" t="n">
        <v>3</v>
      </c>
      <c r="I7137" s="1" t="n">
        <v>0.5</v>
      </c>
      <c r="J7137" t="n">
        <v>27446260</v>
      </c>
    </row>
    <row r="7138" ht="15.75" customHeight="1" s="201">
      <c r="A7138" s="1" t="inlineStr">
        <is>
          <t>Waffles, whole wheat, lowfat, frozen, ready-to-heat</t>
        </is>
      </c>
      <c r="C7138" s="1" t="n">
        <v>49.16</v>
      </c>
      <c r="D7138" s="1" t="n">
        <v>57</v>
      </c>
      <c r="E7138" s="1" t="n">
        <v>6.43</v>
      </c>
      <c r="F7138" s="1" t="n">
        <v>7.14</v>
      </c>
      <c r="G7138" s="1" t="n">
        <v>3.57</v>
      </c>
      <c r="H7138" s="1" t="n">
        <v>519</v>
      </c>
      <c r="I7138" s="1" t="n">
        <v>1.17</v>
      </c>
      <c r="J7138" t="n">
        <v>54204030</v>
      </c>
    </row>
    <row r="7139" ht="15.75" customHeight="1" s="201">
      <c r="A7139" s="1" t="inlineStr">
        <is>
          <t>Walrus, liver, raw (Alaska Native)</t>
        </is>
      </c>
      <c r="C7139" s="1" t="n">
        <v>3.5</v>
      </c>
      <c r="E7139" s="1" t="n">
        <v>14.4</v>
      </c>
      <c r="F7139" s="1" t="n">
        <v>21</v>
      </c>
      <c r="G7139" s="1" t="n">
        <v>3</v>
      </c>
      <c r="H7139" s="1" t="n">
        <v>81200</v>
      </c>
      <c r="J7139" t="n">
        <v>25230560</v>
      </c>
    </row>
    <row r="7140" ht="15.75" customHeight="1" s="201">
      <c r="A7140" s="1" t="inlineStr">
        <is>
          <t>Walrus, meat and subcutaneous fat raw (Alaska Native)</t>
        </is>
      </c>
      <c r="C7140" s="1" t="n">
        <v>0</v>
      </c>
      <c r="E7140" s="1" t="n">
        <v>9.4</v>
      </c>
      <c r="F7140" s="1" t="n">
        <v>16.3</v>
      </c>
      <c r="G7140" s="1" t="n">
        <v>24.1</v>
      </c>
      <c r="H7140" s="1" t="n">
        <v>550</v>
      </c>
      <c r="J7140" t="n">
        <v>14620320</v>
      </c>
    </row>
    <row r="7141" ht="15.75" customHeight="1" s="201">
      <c r="A7141" s="1" t="inlineStr">
        <is>
          <t>Walrus, meat, dried (Alaska Native)</t>
        </is>
      </c>
      <c r="C7141" s="1" t="n">
        <v>0</v>
      </c>
      <c r="E7141" s="1" t="n">
        <v>43</v>
      </c>
      <c r="F7141" s="1" t="n">
        <v>57</v>
      </c>
      <c r="G7141" s="1" t="n">
        <v>2.6</v>
      </c>
      <c r="H7141" s="1" t="n">
        <v>410</v>
      </c>
      <c r="J7141" t="n">
        <v>14620320</v>
      </c>
    </row>
    <row r="7142" ht="15.75" customHeight="1" s="201">
      <c r="A7142" s="1" t="inlineStr">
        <is>
          <t>Walrus, meat, raw (Alaska Native)</t>
        </is>
      </c>
      <c r="C7142" s="1" t="n">
        <v>0</v>
      </c>
      <c r="E7142" s="1" t="n">
        <v>9.4</v>
      </c>
      <c r="F7142" s="1" t="n">
        <v>19.2</v>
      </c>
      <c r="G7142" s="1" t="n">
        <v>13.6</v>
      </c>
      <c r="H7142" s="1" t="n">
        <v>170</v>
      </c>
      <c r="J7142" t="n">
        <v>14620320</v>
      </c>
    </row>
    <row r="7143" ht="15.75" customHeight="1" s="201">
      <c r="A7143" s="1" t="inlineStr">
        <is>
          <t>Wasabi</t>
        </is>
      </c>
      <c r="C7143" s="1" t="n">
        <v>46.13</v>
      </c>
      <c r="D7143" s="1" t="n">
        <v>10</v>
      </c>
      <c r="E7143" s="1" t="n">
        <v>0.5</v>
      </c>
      <c r="F7143" s="1" t="n">
        <v>2.23</v>
      </c>
      <c r="G7143" s="1" t="n">
        <v>10.9</v>
      </c>
      <c r="H7143" s="1" t="n">
        <v>3</v>
      </c>
      <c r="I7143" s="1" t="n">
        <v>0.61</v>
      </c>
      <c r="J7143" t="n">
        <v>75534550</v>
      </c>
    </row>
    <row r="7144" ht="15.75" customHeight="1" s="201">
      <c r="A7144" s="1" t="inlineStr">
        <is>
          <t>Wasabi, root, raw</t>
        </is>
      </c>
      <c r="C7144" s="1" t="n">
        <v>23.54</v>
      </c>
      <c r="D7144" s="1" t="n">
        <v>18</v>
      </c>
      <c r="E7144" s="1" t="n">
        <v>1.03</v>
      </c>
      <c r="F7144" s="1" t="n">
        <v>4.8</v>
      </c>
      <c r="G7144" s="1" t="n">
        <v>0.63</v>
      </c>
      <c r="H7144" s="1" t="n">
        <v>35</v>
      </c>
      <c r="I7144" s="1" t="n">
        <v>1.62</v>
      </c>
      <c r="J7144" t="n">
        <v>75534550</v>
      </c>
    </row>
    <row r="7145" ht="15.75" customHeight="1" s="201">
      <c r="A7145" s="1" t="inlineStr">
        <is>
          <t>Water convolvulus, cooked, boiled, drained, with salt</t>
        </is>
      </c>
      <c r="C7145" s="1" t="n">
        <v>3.7</v>
      </c>
      <c r="D7145" s="1" t="n">
        <v>35</v>
      </c>
      <c r="E7145" s="1" t="n">
        <v>1.32</v>
      </c>
      <c r="F7145" s="1" t="n">
        <v>2.08</v>
      </c>
      <c r="G7145" s="1" t="n">
        <v>0.24</v>
      </c>
      <c r="H7145" s="1" t="n">
        <v>5200</v>
      </c>
      <c r="I7145" s="1" t="n">
        <v>0.16</v>
      </c>
      <c r="J7145" t="n">
        <v>11740312</v>
      </c>
    </row>
    <row r="7146" ht="15.75" customHeight="1" s="201">
      <c r="A7146" s="1" t="inlineStr">
        <is>
          <t>Water convolvulus, cooked, boiled, drained, without salt</t>
        </is>
      </c>
      <c r="C7146" s="1" t="n">
        <v>3.7</v>
      </c>
      <c r="D7146" s="1" t="n">
        <v>35</v>
      </c>
      <c r="E7146" s="1" t="n">
        <v>1.32</v>
      </c>
      <c r="F7146" s="1" t="n">
        <v>2.08</v>
      </c>
      <c r="G7146" s="1" t="n">
        <v>0.24</v>
      </c>
      <c r="H7146" s="1" t="n">
        <v>5200</v>
      </c>
      <c r="I7146" s="1" t="n">
        <v>0.16</v>
      </c>
      <c r="J7146" t="n">
        <v>11740312</v>
      </c>
    </row>
    <row r="7147" ht="15.75" customHeight="1" s="201">
      <c r="A7147" s="1" t="inlineStr">
        <is>
          <t>Water convolvulus,raw</t>
        </is>
      </c>
      <c r="C7147" s="1" t="n">
        <v>3.13</v>
      </c>
      <c r="D7147" s="1" t="n">
        <v>57</v>
      </c>
      <c r="E7147" s="1" t="n">
        <v>1.67</v>
      </c>
      <c r="F7147" s="1" t="n">
        <v>2.6</v>
      </c>
      <c r="G7147" s="1" t="n">
        <v>0.2</v>
      </c>
      <c r="H7147" s="1" t="n">
        <v>6300</v>
      </c>
      <c r="I7147" s="1" t="n">
        <v>0.18</v>
      </c>
      <c r="J7147" t="n">
        <v>11740312</v>
      </c>
    </row>
    <row r="7148" ht="15.75" customHeight="1" s="201">
      <c r="A7148" s="1" t="inlineStr">
        <is>
          <t>Water, bottled, generic</t>
        </is>
      </c>
      <c r="C7148" s="1" t="n">
        <v>0</v>
      </c>
      <c r="D7148" s="1" t="n">
        <v>0</v>
      </c>
      <c r="E7148" s="1" t="n">
        <v>0</v>
      </c>
      <c r="F7148" s="1" t="n">
        <v>0</v>
      </c>
      <c r="G7148" s="1" t="n">
        <v>0</v>
      </c>
      <c r="H7148" s="1" t="n">
        <v>0</v>
      </c>
      <c r="I7148" s="1" t="n">
        <v>0</v>
      </c>
      <c r="J7148" t="n">
        <v>11740312</v>
      </c>
    </row>
    <row r="7149" ht="15.75" customHeight="1" s="201">
      <c r="A7149" s="1" t="inlineStr">
        <is>
          <t>Water, bottled, non-carbonated, NAYA</t>
        </is>
      </c>
      <c r="C7149" s="1" t="n">
        <v>0</v>
      </c>
      <c r="F7149" s="1" t="n">
        <v>0</v>
      </c>
      <c r="G7149" s="1" t="n">
        <v>0</v>
      </c>
      <c r="J7149" t="n">
        <v>11740312</v>
      </c>
    </row>
    <row r="7150" ht="15.75" customHeight="1" s="201">
      <c r="A7150" s="1" t="inlineStr">
        <is>
          <t>Water, non-carbonated, bottles, natural fruit flavors, sweetened with low calorie sweetener</t>
        </is>
      </c>
      <c r="C7150" s="1" t="n">
        <v>0.13</v>
      </c>
      <c r="D7150" s="1" t="n">
        <v>0</v>
      </c>
      <c r="E7150" s="1" t="n">
        <v>0</v>
      </c>
      <c r="F7150" s="1" t="n">
        <v>0</v>
      </c>
      <c r="G7150" s="1" t="n">
        <v>0</v>
      </c>
      <c r="H7150" s="1" t="n">
        <v>0</v>
      </c>
      <c r="I7150" s="1" t="n">
        <v>0</v>
      </c>
      <c r="J7150" t="n">
        <v>92410250</v>
      </c>
    </row>
    <row r="7151" ht="15.75" customHeight="1" s="201">
      <c r="A7151" s="1" t="inlineStr">
        <is>
          <t>Water, with corn syrup and/or sugar and low calorie sweetener, fruit flavored</t>
        </is>
      </c>
      <c r="C7151" s="1" t="n">
        <v>4.5</v>
      </c>
      <c r="D7151" s="1" t="n">
        <v>8</v>
      </c>
      <c r="E7151" s="1" t="n">
        <v>0</v>
      </c>
      <c r="F7151" s="1" t="n">
        <v>0</v>
      </c>
      <c r="G7151" s="1" t="n">
        <v>0</v>
      </c>
      <c r="H7151" s="1" t="n">
        <v>106</v>
      </c>
      <c r="I7151" s="1" t="n">
        <v>0.32</v>
      </c>
      <c r="J7151" t="n">
        <v>94100200</v>
      </c>
    </row>
    <row r="7152" ht="15.75" customHeight="1" s="201">
      <c r="A7152" s="1" t="inlineStr">
        <is>
          <t>Waterchestnuts, chinese, (matai), raw</t>
        </is>
      </c>
      <c r="C7152" s="1" t="n">
        <v>23.94</v>
      </c>
      <c r="D7152" s="1" t="n">
        <v>16</v>
      </c>
      <c r="E7152" s="1" t="n">
        <v>0.06</v>
      </c>
      <c r="F7152" s="1" t="n">
        <v>1.4</v>
      </c>
      <c r="G7152" s="1" t="n">
        <v>0.1</v>
      </c>
      <c r="H7152" s="1" t="n">
        <v>0</v>
      </c>
      <c r="I7152" s="1" t="n">
        <v>0.5</v>
      </c>
    </row>
    <row r="7153" ht="15.75" customHeight="1" s="201">
      <c r="A7153" s="1" t="inlineStr">
        <is>
          <t>Waterchestnuts, chinese, canned, solids and liquids</t>
        </is>
      </c>
      <c r="C7153" s="1" t="n">
        <v>12.3</v>
      </c>
      <c r="D7153" s="1" t="n">
        <v>6</v>
      </c>
      <c r="E7153" s="1" t="n">
        <v>0.87</v>
      </c>
      <c r="F7153" s="1" t="n">
        <v>0.88</v>
      </c>
      <c r="G7153" s="1" t="n">
        <v>0.06</v>
      </c>
      <c r="H7153" s="1" t="n">
        <v>0</v>
      </c>
      <c r="I7153" s="1" t="n">
        <v>0.38</v>
      </c>
      <c r="J7153" t="n">
        <v>63311110</v>
      </c>
    </row>
    <row r="7154" ht="15.75" customHeight="1" s="201">
      <c r="A7154" s="1" t="inlineStr">
        <is>
          <t>Watercress, raw</t>
        </is>
      </c>
      <c r="C7154" s="1" t="n">
        <v>1.29</v>
      </c>
      <c r="D7154" s="1" t="n">
        <v>9</v>
      </c>
      <c r="E7154" s="1" t="n">
        <v>0.2</v>
      </c>
      <c r="F7154" s="1" t="n">
        <v>2.3</v>
      </c>
      <c r="G7154" s="1" t="n">
        <v>0.1</v>
      </c>
      <c r="H7154" s="1" t="n">
        <v>3191</v>
      </c>
      <c r="I7154" s="1" t="n">
        <v>0.11</v>
      </c>
    </row>
    <row r="7155" ht="15.75" customHeight="1" s="201">
      <c r="A7155" s="1" t="inlineStr">
        <is>
          <t>Watermelon, raw</t>
        </is>
      </c>
      <c r="C7155" s="1" t="n">
        <v>7.55</v>
      </c>
      <c r="D7155" s="1" t="n">
        <v>3</v>
      </c>
      <c r="E7155" s="1" t="n">
        <v>0.24</v>
      </c>
      <c r="F7155" s="1" t="n">
        <v>0.61</v>
      </c>
      <c r="G7155" s="1" t="n">
        <v>0.15</v>
      </c>
      <c r="H7155" s="1" t="n">
        <v>569</v>
      </c>
      <c r="I7155" s="1" t="n">
        <v>0.1</v>
      </c>
      <c r="J7155" t="n">
        <v>63149010</v>
      </c>
    </row>
    <row r="7156" ht="15.75" customHeight="1" s="201">
      <c r="A7156" s="1" t="inlineStr">
        <is>
          <t>Waxgourd, (chinese preserving melon), cooked, boiled, drained, with salt</t>
        </is>
      </c>
      <c r="C7156" s="1" t="n">
        <v>2.45</v>
      </c>
      <c r="D7156" s="1" t="n">
        <v>4</v>
      </c>
      <c r="E7156" s="1" t="n">
        <v>0.38</v>
      </c>
      <c r="F7156" s="1" t="n">
        <v>0.4</v>
      </c>
      <c r="G7156" s="1" t="n">
        <v>0.2</v>
      </c>
      <c r="H7156" s="1" t="n">
        <v>0</v>
      </c>
      <c r="I7156" s="1" t="n">
        <v>0.59</v>
      </c>
      <c r="J7156" t="n">
        <v>75142550</v>
      </c>
    </row>
    <row r="7157" ht="15.75" customHeight="1" s="201">
      <c r="A7157" s="1" t="inlineStr">
        <is>
          <t>Waxgourd, (chinese preserving melon), cooked, boiled, drained, without salt</t>
        </is>
      </c>
      <c r="C7157" s="1" t="n">
        <v>3.04</v>
      </c>
      <c r="D7157" s="1" t="n">
        <v>4</v>
      </c>
      <c r="E7157" s="1" t="n">
        <v>0.38</v>
      </c>
      <c r="F7157" s="1" t="n">
        <v>0.4</v>
      </c>
      <c r="G7157" s="1" t="n">
        <v>0.2</v>
      </c>
      <c r="H7157" s="1" t="n">
        <v>0</v>
      </c>
      <c r="I7157" s="1" t="n">
        <v>0.59</v>
      </c>
    </row>
    <row r="7158" ht="15.75" customHeight="1" s="201">
      <c r="A7158" s="1" t="inlineStr">
        <is>
          <t>Waxgourd, (chinese preserving melon), raw</t>
        </is>
      </c>
      <c r="C7158" s="1" t="n">
        <v>3</v>
      </c>
      <c r="D7158" s="1" t="n">
        <v>5</v>
      </c>
      <c r="E7158" s="1" t="n">
        <v>0.4</v>
      </c>
      <c r="F7158" s="1" t="n">
        <v>0.4</v>
      </c>
      <c r="G7158" s="1" t="n">
        <v>0.2</v>
      </c>
      <c r="H7158" s="1" t="n">
        <v>0</v>
      </c>
      <c r="I7158" s="1" t="n">
        <v>0.61</v>
      </c>
    </row>
    <row r="7159" ht="15.75" customHeight="1" s="201">
      <c r="A7159" s="1" t="inlineStr">
        <is>
          <t>WENDY'S, Chicken Nuggets</t>
        </is>
      </c>
      <c r="C7159" s="1" t="n">
        <v>14.31</v>
      </c>
      <c r="E7159" s="1" t="n">
        <v>0.62</v>
      </c>
      <c r="F7159" s="1" t="n">
        <v>16.46</v>
      </c>
      <c r="G7159" s="1" t="n">
        <v>22.55</v>
      </c>
      <c r="I7159" s="1" t="n">
        <v>0.61</v>
      </c>
      <c r="J7159" t="n">
        <v>27446315</v>
      </c>
    </row>
    <row r="7160" ht="15.75" customHeight="1" s="201">
      <c r="A7160" s="1" t="inlineStr">
        <is>
          <t>WENDY'S, CLASSIC DOUBLE, with cheese</t>
        </is>
      </c>
      <c r="C7160" s="1" t="n">
        <v>11.71</v>
      </c>
      <c r="E7160" s="1" t="n">
        <v>2.94</v>
      </c>
      <c r="F7160" s="1" t="n">
        <v>16.52</v>
      </c>
      <c r="G7160" s="1" t="n">
        <v>14.2</v>
      </c>
      <c r="I7160" s="1" t="n">
        <v>3.05</v>
      </c>
      <c r="J7160" t="n">
        <v>51121065</v>
      </c>
    </row>
    <row r="7161" ht="15.75" customHeight="1" s="201">
      <c r="A7161" s="1" t="inlineStr">
        <is>
          <t>WENDY'S, CLASSIC SINGLE Hamburger, no cheese</t>
        </is>
      </c>
      <c r="C7161" s="1" t="n">
        <v>16.82</v>
      </c>
      <c r="E7161" s="1" t="n">
        <v>2.73</v>
      </c>
      <c r="F7161" s="1" t="n">
        <v>12.63</v>
      </c>
      <c r="G7161" s="1" t="n">
        <v>10.6</v>
      </c>
      <c r="I7161" s="1" t="n">
        <v>2.47</v>
      </c>
      <c r="J7161" t="n">
        <v>14420100</v>
      </c>
    </row>
    <row r="7162" ht="15.75" customHeight="1" s="201">
      <c r="A7162" s="1" t="inlineStr">
        <is>
          <t>WENDY'S, CLASSIC SINGLE Hamburger, with cheese</t>
        </is>
      </c>
      <c r="C7162" s="1" t="n">
        <v>14.2</v>
      </c>
      <c r="E7162" s="1" t="n">
        <v>2.34</v>
      </c>
      <c r="F7162" s="1" t="n">
        <v>14.87</v>
      </c>
      <c r="G7162" s="1" t="n">
        <v>11.6</v>
      </c>
      <c r="I7162" s="1" t="n">
        <v>2.58</v>
      </c>
      <c r="J7162" t="n">
        <v>51121065</v>
      </c>
    </row>
    <row r="7163" ht="15.75" customHeight="1" s="201">
      <c r="A7163" s="1" t="inlineStr">
        <is>
          <t>WEND'YS, Crispy Chicken Sandwich</t>
        </is>
      </c>
      <c r="C7163" s="1" t="n">
        <v>26.36</v>
      </c>
      <c r="E7163" s="1" t="n">
        <v>1.49</v>
      </c>
      <c r="F7163" s="1" t="n">
        <v>11.72</v>
      </c>
      <c r="G7163" s="1" t="n">
        <v>13.93</v>
      </c>
      <c r="I7163" s="1" t="n">
        <v>0.59</v>
      </c>
      <c r="J7163" t="n">
        <v>27446320</v>
      </c>
    </row>
    <row r="7164" ht="15.75" customHeight="1" s="201">
      <c r="A7164" s="1" t="inlineStr">
        <is>
          <t>WENDY'S, DAVE'S Hot 'N Juicy 1/4 LB, single</t>
        </is>
      </c>
      <c r="C7164" s="1" t="n">
        <v>17.73</v>
      </c>
      <c r="E7164" s="1" t="n">
        <v>2.3</v>
      </c>
      <c r="F7164" s="1" t="n">
        <v>13.69</v>
      </c>
      <c r="G7164" s="1" t="n">
        <v>15.8</v>
      </c>
      <c r="H7164" s="1" t="n">
        <v>256</v>
      </c>
      <c r="I7164" s="1" t="n">
        <v>2.26</v>
      </c>
      <c r="J7164" t="n">
        <v>27446315</v>
      </c>
    </row>
    <row r="7165" ht="15.75" customHeight="1" s="201">
      <c r="A7165" s="1" t="inlineStr">
        <is>
          <t>WENDY'S, Double Stack, with cheese</t>
        </is>
      </c>
      <c r="C7165" s="1" t="n">
        <v>15.35</v>
      </c>
      <c r="E7165" s="1" t="n">
        <v>2.75</v>
      </c>
      <c r="F7165" s="1" t="n">
        <v>18.53</v>
      </c>
      <c r="G7165" s="1" t="n">
        <v>16.6</v>
      </c>
      <c r="I7165" s="1" t="n">
        <v>3.37</v>
      </c>
      <c r="J7165" t="n">
        <v>51121065</v>
      </c>
    </row>
    <row r="7166" ht="15.75" customHeight="1" s="201">
      <c r="A7166" s="1" t="inlineStr">
        <is>
          <t>WENDY'S, french fries</t>
        </is>
      </c>
      <c r="C7166" s="1" t="n">
        <v>39.73</v>
      </c>
      <c r="E7166" s="1" t="n">
        <v>0.93</v>
      </c>
      <c r="F7166" s="1" t="n">
        <v>3.73</v>
      </c>
      <c r="G7166" s="1" t="n">
        <v>14.1</v>
      </c>
      <c r="I7166" s="1" t="n">
        <v>0.54</v>
      </c>
      <c r="J7166" t="n">
        <v>71205040</v>
      </c>
    </row>
    <row r="7167" ht="15.75" customHeight="1" s="201">
      <c r="A7167" s="1" t="inlineStr">
        <is>
          <t>WENDY'S, Frosty Dairy Dessert</t>
        </is>
      </c>
      <c r="C7167" s="1" t="n">
        <v>23.62</v>
      </c>
      <c r="E7167" s="1" t="n">
        <v>1.04</v>
      </c>
      <c r="F7167" s="1" t="n">
        <v>3.49</v>
      </c>
      <c r="G7167" s="1" t="n">
        <v>2.6</v>
      </c>
      <c r="I7167" s="1" t="n">
        <v>0.44</v>
      </c>
      <c r="J7167" t="n">
        <v>11542100</v>
      </c>
    </row>
    <row r="7168" ht="15.75" customHeight="1" s="201">
      <c r="A7168" s="1" t="inlineStr">
        <is>
          <t>WENDY'S, Homestyle Chicken Fillet Sandwich</t>
        </is>
      </c>
      <c r="C7168" s="1" t="n">
        <v>21.55</v>
      </c>
      <c r="E7168" s="1" t="n">
        <v>1.5</v>
      </c>
      <c r="F7168" s="1" t="n">
        <v>13.78</v>
      </c>
      <c r="G7168" s="1" t="n">
        <v>8.1</v>
      </c>
      <c r="I7168" s="1" t="n">
        <v>0.61</v>
      </c>
      <c r="J7168" t="n">
        <v>27446315</v>
      </c>
    </row>
    <row r="7169" ht="15.75" customHeight="1" s="201">
      <c r="A7169" s="1" t="inlineStr">
        <is>
          <t>WENDY'S, Jr. Hamburger, with cheese</t>
        </is>
      </c>
      <c r="C7169" s="1" t="n">
        <v>24.97</v>
      </c>
      <c r="E7169" s="1" t="n">
        <v>2.78</v>
      </c>
      <c r="F7169" s="1" t="n">
        <v>13.06</v>
      </c>
      <c r="G7169" s="1" t="n">
        <v>11.5</v>
      </c>
      <c r="I7169" s="1" t="n">
        <v>2.18</v>
      </c>
      <c r="J7169" t="n">
        <v>51121065</v>
      </c>
    </row>
    <row r="7170" ht="15.75" customHeight="1" s="201">
      <c r="A7170" s="1" t="inlineStr">
        <is>
          <t>WENDY'S, Jr. Hamburger, without cheese</t>
        </is>
      </c>
      <c r="C7170" s="1" t="n">
        <v>28.45</v>
      </c>
      <c r="E7170" s="1" t="n">
        <v>3.35</v>
      </c>
      <c r="F7170" s="1" t="n">
        <v>12.62</v>
      </c>
      <c r="G7170" s="1" t="n">
        <v>8.75</v>
      </c>
      <c r="I7170" s="1" t="n">
        <v>2.1</v>
      </c>
      <c r="J7170" t="n">
        <v>14420100</v>
      </c>
    </row>
    <row r="7171" ht="15.75" customHeight="1" s="201">
      <c r="A7171" s="1" t="inlineStr">
        <is>
          <t>WENDY'S, Ultimate Chicken Grill Sandwich</t>
        </is>
      </c>
      <c r="C7171" s="1" t="n">
        <v>18.88</v>
      </c>
      <c r="E7171" s="1" t="n">
        <v>1.55</v>
      </c>
      <c r="F7171" s="1" t="n">
        <v>14.73</v>
      </c>
      <c r="G7171" s="1" t="n">
        <v>5</v>
      </c>
      <c r="I7171" s="1" t="n">
        <v>0.57</v>
      </c>
      <c r="J7171" t="n">
        <v>27446315</v>
      </c>
    </row>
    <row r="7172" ht="15.75" customHeight="1" s="201">
      <c r="A7172" s="1" t="inlineStr">
        <is>
          <t>Whale, beluga, eyes (Alaska Native)</t>
        </is>
      </c>
      <c r="C7172" s="1" t="n">
        <v>0</v>
      </c>
      <c r="F7172" s="1" t="n">
        <v>19.6</v>
      </c>
      <c r="G7172" s="1" t="n">
        <v>23.3</v>
      </c>
      <c r="H7172" s="1" t="n">
        <v>1870</v>
      </c>
    </row>
    <row r="7173" ht="15.75" customHeight="1" s="201">
      <c r="A7173" s="1" t="inlineStr">
        <is>
          <t>Whale, beluga, flipper, raw (Alaska Native)</t>
        </is>
      </c>
      <c r="C7173" s="1" t="n">
        <v>0</v>
      </c>
      <c r="E7173" s="1" t="n">
        <v>2.8</v>
      </c>
      <c r="F7173" s="1" t="n">
        <v>19</v>
      </c>
      <c r="G7173" s="1" t="n">
        <v>21.7</v>
      </c>
      <c r="H7173" s="1" t="n">
        <v>930</v>
      </c>
    </row>
    <row r="7174" ht="15.75" customHeight="1" s="201">
      <c r="A7174" s="1" t="inlineStr">
        <is>
          <t>Whale, beluga, liver, raw (Alaska Native)</t>
        </is>
      </c>
      <c r="C7174" s="1" t="n">
        <v>2</v>
      </c>
      <c r="F7174" s="1" t="n">
        <v>18.4</v>
      </c>
      <c r="G7174" s="1" t="n">
        <v>3.9</v>
      </c>
      <c r="H7174" s="1" t="n">
        <v>22100</v>
      </c>
      <c r="J7174" t="n">
        <v>25230560</v>
      </c>
    </row>
    <row r="7175" ht="15.75" customHeight="1" s="201">
      <c r="A7175" s="1" t="inlineStr">
        <is>
          <t>Whale, beluga, meat, dried (Alaska Native)</t>
        </is>
      </c>
      <c r="C7175" s="1" t="n">
        <v>0</v>
      </c>
      <c r="D7175" s="1" t="n">
        <v>10</v>
      </c>
      <c r="E7175" s="1" t="n">
        <v>72.34999999999999</v>
      </c>
      <c r="F7175" s="1" t="n">
        <v>69.86</v>
      </c>
      <c r="G7175" s="1" t="n">
        <v>5.34</v>
      </c>
      <c r="H7175" s="1" t="n">
        <v>0</v>
      </c>
      <c r="I7175" s="1" t="n">
        <v>7.8</v>
      </c>
      <c r="J7175" t="n">
        <v>14620320</v>
      </c>
    </row>
    <row r="7176" ht="15.75" customHeight="1" s="201">
      <c r="A7176" s="1" t="inlineStr">
        <is>
          <t>Whale, beluga, meat, raw (Alaska Native)</t>
        </is>
      </c>
      <c r="C7176" s="1" t="n">
        <v>0</v>
      </c>
      <c r="D7176" s="1" t="n">
        <v>4</v>
      </c>
      <c r="E7176" s="1" t="n">
        <v>25.9</v>
      </c>
      <c r="F7176" s="1" t="n">
        <v>26.5</v>
      </c>
      <c r="G7176" s="1" t="n">
        <v>0.5</v>
      </c>
      <c r="H7176" s="1" t="n">
        <v>340</v>
      </c>
      <c r="I7176" s="1" t="n">
        <v>2.76</v>
      </c>
      <c r="J7176" t="n">
        <v>14620320</v>
      </c>
    </row>
    <row r="7177" ht="15.75" customHeight="1" s="201">
      <c r="A7177" s="1" t="inlineStr">
        <is>
          <t>Whale, bowhead, skin and subcutaneous fat (muktuk) (Alaska Native)</t>
        </is>
      </c>
      <c r="C7177" s="1" t="n">
        <v>0</v>
      </c>
      <c r="F7177" s="1" t="n">
        <v>12.6</v>
      </c>
      <c r="G7177" s="1" t="n">
        <v>46.1</v>
      </c>
      <c r="H7177" s="1" t="n">
        <v>750</v>
      </c>
    </row>
    <row r="7178" ht="15.75" customHeight="1" s="201">
      <c r="A7178" s="1" t="inlineStr">
        <is>
          <t>Whale, bowhead, subcutaneous fat (blubber) (Alaska Native)</t>
        </is>
      </c>
      <c r="C7178" s="1" t="n">
        <v>0</v>
      </c>
      <c r="E7178" s="1" t="n">
        <v>0.5</v>
      </c>
      <c r="F7178" s="1" t="n">
        <v>0.4</v>
      </c>
      <c r="G7178" s="1" t="n">
        <v>96.5</v>
      </c>
    </row>
    <row r="7179" ht="15.75" customHeight="1" s="201">
      <c r="A7179" s="1" t="inlineStr">
        <is>
          <t>Wheat bran, crude</t>
        </is>
      </c>
      <c r="C7179" s="1" t="n">
        <v>64.51000000000001</v>
      </c>
      <c r="D7179" s="1" t="n">
        <v>79</v>
      </c>
      <c r="E7179" s="1" t="n">
        <v>10.57</v>
      </c>
      <c r="F7179" s="1" t="n">
        <v>15.55</v>
      </c>
      <c r="G7179" s="1" t="n">
        <v>4.25</v>
      </c>
      <c r="H7179" s="1" t="n">
        <v>9</v>
      </c>
      <c r="I7179" s="1" t="n">
        <v>7.27</v>
      </c>
      <c r="J7179" t="n">
        <v>51301010</v>
      </c>
    </row>
    <row r="7180" ht="15.75" customHeight="1" s="201">
      <c r="A7180" s="1" t="inlineStr">
        <is>
          <t>Wheat flour, white (industrial), 10% protein, bleached, enriched</t>
        </is>
      </c>
      <c r="C7180" s="1" t="n">
        <v>76.22</v>
      </c>
      <c r="D7180" s="1" t="n">
        <v>170</v>
      </c>
      <c r="E7180" s="1" t="n">
        <v>5.06</v>
      </c>
      <c r="F7180" s="1" t="n">
        <v>9.710000000000001</v>
      </c>
      <c r="G7180" s="1" t="n">
        <v>1.48</v>
      </c>
      <c r="H7180" s="1" t="n">
        <v>0</v>
      </c>
      <c r="I7180" s="1" t="n">
        <v>1.02</v>
      </c>
      <c r="J7180" t="n">
        <v>54338000</v>
      </c>
    </row>
    <row r="7181" ht="15.75" customHeight="1" s="201">
      <c r="A7181" s="1" t="inlineStr">
        <is>
          <t>Wheat flour, white (industrial), 10% protein, bleached, unenriched</t>
        </is>
      </c>
      <c r="C7181" s="1" t="n">
        <v>76.22</v>
      </c>
      <c r="D7181" s="1" t="n">
        <v>31</v>
      </c>
      <c r="E7181" s="1" t="n">
        <v>1.26</v>
      </c>
      <c r="F7181" s="1" t="n">
        <v>9.710000000000001</v>
      </c>
      <c r="G7181" s="1" t="n">
        <v>1.48</v>
      </c>
      <c r="H7181" s="1" t="n">
        <v>0</v>
      </c>
      <c r="I7181" s="1" t="n">
        <v>1.02</v>
      </c>
      <c r="J7181" t="n">
        <v>54338000</v>
      </c>
    </row>
    <row r="7182" ht="15.75" customHeight="1" s="201">
      <c r="A7182" s="1" t="inlineStr">
        <is>
          <t>Wheat flour, white (industrial), 10% protein, unbleached, enriched</t>
        </is>
      </c>
      <c r="C7182" s="1" t="n">
        <v>76.22</v>
      </c>
      <c r="D7182" s="1" t="n">
        <v>170</v>
      </c>
      <c r="E7182" s="1" t="n">
        <v>5.06</v>
      </c>
      <c r="F7182" s="1" t="n">
        <v>9.710000000000001</v>
      </c>
      <c r="G7182" s="1" t="n">
        <v>1.48</v>
      </c>
      <c r="H7182" s="1" t="n">
        <v>0</v>
      </c>
      <c r="I7182" s="1" t="n">
        <v>1.02</v>
      </c>
      <c r="J7182" t="n">
        <v>54338000</v>
      </c>
    </row>
    <row r="7183" ht="15.75" customHeight="1" s="201">
      <c r="A7183" s="1" t="inlineStr">
        <is>
          <t>Wheat flour, white (industrial), 11.5% protein, bleached, enriched</t>
        </is>
      </c>
      <c r="C7183" s="1" t="n">
        <v>73.81</v>
      </c>
      <c r="D7183" s="1" t="n">
        <v>170</v>
      </c>
      <c r="E7183" s="1" t="n">
        <v>5.06</v>
      </c>
      <c r="F7183" s="1" t="n">
        <v>11.5</v>
      </c>
      <c r="G7183" s="1" t="n">
        <v>1.45</v>
      </c>
      <c r="H7183" s="1" t="n">
        <v>0</v>
      </c>
      <c r="I7183" s="1" t="n">
        <v>0.84</v>
      </c>
      <c r="J7183" t="n">
        <v>54338000</v>
      </c>
    </row>
    <row r="7184" ht="15.75" customHeight="1" s="201">
      <c r="A7184" s="1" t="inlineStr">
        <is>
          <t>Wheat flour, white (industrial), 11.5% protein, bleached, unenriched</t>
        </is>
      </c>
      <c r="C7184" s="1" t="n">
        <v>73.81</v>
      </c>
      <c r="D7184" s="1" t="n">
        <v>31</v>
      </c>
      <c r="E7184" s="1" t="n">
        <v>1.26</v>
      </c>
      <c r="F7184" s="1" t="n">
        <v>11.5</v>
      </c>
      <c r="G7184" s="1" t="n">
        <v>1.45</v>
      </c>
      <c r="H7184" s="1" t="n">
        <v>0</v>
      </c>
      <c r="I7184" s="1" t="n">
        <v>0.84</v>
      </c>
      <c r="J7184" t="n">
        <v>54338000</v>
      </c>
    </row>
    <row r="7185" ht="15.75" customHeight="1" s="201">
      <c r="A7185" s="1" t="inlineStr">
        <is>
          <t>Wheat flour, white (industrial), 11.5% protein, unbleached, enriched</t>
        </is>
      </c>
      <c r="C7185" s="1" t="n">
        <v>73.81</v>
      </c>
      <c r="D7185" s="1" t="n">
        <v>170</v>
      </c>
      <c r="E7185" s="1" t="n">
        <v>5.06</v>
      </c>
      <c r="F7185" s="1" t="n">
        <v>11.5</v>
      </c>
      <c r="G7185" s="1" t="n">
        <v>1.45</v>
      </c>
      <c r="H7185" s="1" t="n">
        <v>0</v>
      </c>
      <c r="I7185" s="1" t="n">
        <v>0.84</v>
      </c>
      <c r="J7185" t="n">
        <v>54338000</v>
      </c>
    </row>
    <row r="7186" ht="15.75" customHeight="1" s="201">
      <c r="A7186" s="1" t="inlineStr">
        <is>
          <t>Wheat flour, white (industrial), 13% protein, bleached, enriched</t>
        </is>
      </c>
      <c r="C7186" s="1" t="n">
        <v>72.2</v>
      </c>
      <c r="D7186" s="1" t="n">
        <v>170</v>
      </c>
      <c r="E7186" s="1" t="n">
        <v>5.06</v>
      </c>
      <c r="F7186" s="1" t="n">
        <v>13.07</v>
      </c>
      <c r="G7186" s="1" t="n">
        <v>1.38</v>
      </c>
      <c r="H7186" s="1" t="n">
        <v>0</v>
      </c>
      <c r="I7186" s="1" t="n">
        <v>1.6</v>
      </c>
      <c r="J7186" t="n">
        <v>54338000</v>
      </c>
    </row>
    <row r="7187" ht="15.75" customHeight="1" s="201">
      <c r="A7187" s="1" t="inlineStr">
        <is>
          <t>Wheat flour, white (industrial), 13% protein, bleached, unenriched</t>
        </is>
      </c>
      <c r="C7187" s="1" t="n">
        <v>72.2</v>
      </c>
      <c r="D7187" s="1" t="n">
        <v>31</v>
      </c>
      <c r="E7187" s="1" t="n">
        <v>1.26</v>
      </c>
      <c r="F7187" s="1" t="n">
        <v>13.07</v>
      </c>
      <c r="G7187" s="1" t="n">
        <v>1.38</v>
      </c>
      <c r="H7187" s="1" t="n">
        <v>0</v>
      </c>
      <c r="I7187" s="1" t="n">
        <v>1.6</v>
      </c>
      <c r="J7187" t="n">
        <v>54338000</v>
      </c>
    </row>
    <row r="7188" ht="15.75" customHeight="1" s="201">
      <c r="A7188" s="1" t="inlineStr">
        <is>
          <t>Wheat flour, white (industrial), 15% protein, bleached, enriched</t>
        </is>
      </c>
      <c r="C7188" s="1" t="n">
        <v>69.88</v>
      </c>
      <c r="D7188" s="1" t="n">
        <v>170</v>
      </c>
      <c r="E7188" s="1" t="n">
        <v>5.06</v>
      </c>
      <c r="F7188" s="1" t="n">
        <v>15.33</v>
      </c>
      <c r="G7188" s="1" t="n">
        <v>1.41</v>
      </c>
      <c r="H7188" s="1" t="n">
        <v>0</v>
      </c>
      <c r="I7188" s="1" t="n">
        <v>1.16</v>
      </c>
      <c r="J7188" t="n">
        <v>54338000</v>
      </c>
    </row>
    <row r="7189" ht="15.75" customHeight="1" s="201">
      <c r="A7189" s="1" t="inlineStr">
        <is>
          <t>Wheat flour, white (industrial), 15% protein, bleached, unenriched</t>
        </is>
      </c>
      <c r="C7189" s="1" t="n">
        <v>69.88</v>
      </c>
      <c r="D7189" s="1" t="n">
        <v>31</v>
      </c>
      <c r="E7189" s="1" t="n">
        <v>1.26</v>
      </c>
      <c r="F7189" s="1" t="n">
        <v>15.33</v>
      </c>
      <c r="G7189" s="1" t="n">
        <v>1.41</v>
      </c>
      <c r="H7189" s="1" t="n">
        <v>0</v>
      </c>
      <c r="I7189" s="1" t="n">
        <v>1.16</v>
      </c>
      <c r="J7189" t="n">
        <v>54338000</v>
      </c>
    </row>
    <row r="7190" ht="15.75" customHeight="1" s="201">
      <c r="A7190" s="1" t="inlineStr">
        <is>
          <t>Wheat flour, white (industrial), 9% protein, bleached, enriched</t>
        </is>
      </c>
      <c r="C7190" s="1" t="n">
        <v>77.31999999999999</v>
      </c>
      <c r="D7190" s="1" t="n">
        <v>170</v>
      </c>
      <c r="E7190" s="1" t="n">
        <v>5.06</v>
      </c>
      <c r="F7190" s="1" t="n">
        <v>8.890000000000001</v>
      </c>
      <c r="G7190" s="1" t="n">
        <v>1.43</v>
      </c>
      <c r="H7190" s="1" t="n">
        <v>0</v>
      </c>
      <c r="I7190" s="1" t="n">
        <v>0.9399999999999999</v>
      </c>
      <c r="J7190" t="n">
        <v>54338000</v>
      </c>
    </row>
    <row r="7191" ht="15.75" customHeight="1" s="201">
      <c r="A7191" s="1" t="inlineStr">
        <is>
          <t>Wheat flour, white (industrial), 9% protein, bleached, unenriched</t>
        </is>
      </c>
      <c r="C7191" s="1" t="n">
        <v>77.31999999999999</v>
      </c>
      <c r="D7191" s="1" t="n">
        <v>31</v>
      </c>
      <c r="E7191" s="1" t="n">
        <v>1.26</v>
      </c>
      <c r="F7191" s="1" t="n">
        <v>8.890000000000001</v>
      </c>
      <c r="G7191" s="1" t="n">
        <v>1.43</v>
      </c>
      <c r="H7191" s="1" t="n">
        <v>0</v>
      </c>
      <c r="I7191" s="1" t="n">
        <v>0.9399999999999999</v>
      </c>
      <c r="J7191" t="n">
        <v>54338000</v>
      </c>
    </row>
    <row r="7192" ht="15.75" customHeight="1" s="201">
      <c r="A7192" s="1" t="inlineStr">
        <is>
          <t>Wheat flour, white, all-purpose, enriched, bleached</t>
        </is>
      </c>
      <c r="C7192" s="1" t="n">
        <v>76.31</v>
      </c>
      <c r="D7192" s="1" t="n">
        <v>183</v>
      </c>
      <c r="E7192" s="1" t="n">
        <v>4.64</v>
      </c>
      <c r="F7192" s="1" t="n">
        <v>10.33</v>
      </c>
      <c r="G7192" s="1" t="n">
        <v>0.98</v>
      </c>
      <c r="H7192" s="1" t="n">
        <v>0</v>
      </c>
      <c r="I7192" s="1" t="n">
        <v>0.7</v>
      </c>
      <c r="J7192" t="n">
        <v>54338000</v>
      </c>
    </row>
    <row r="7193" ht="15.75" customHeight="1" s="201">
      <c r="A7193" s="1" t="inlineStr">
        <is>
          <t>Wheat flour, white, all-purpose, enriched, calcium-fortified</t>
        </is>
      </c>
      <c r="C7193" s="1" t="n">
        <v>76.31</v>
      </c>
      <c r="D7193" s="1" t="n">
        <v>183</v>
      </c>
      <c r="E7193" s="1" t="n">
        <v>4.64</v>
      </c>
      <c r="F7193" s="1" t="n">
        <v>10.33</v>
      </c>
      <c r="G7193" s="1" t="n">
        <v>0.98</v>
      </c>
      <c r="H7193" s="1" t="n">
        <v>0</v>
      </c>
      <c r="I7193" s="1" t="n">
        <v>0.7</v>
      </c>
      <c r="J7193" t="n">
        <v>54338000</v>
      </c>
    </row>
    <row r="7194" ht="15.75" customHeight="1" s="201">
      <c r="A7194" s="1" t="inlineStr">
        <is>
          <t>Wheat flour, white, all-purpose, enriched, unbleached</t>
        </is>
      </c>
      <c r="C7194" s="1" t="n">
        <v>76.31</v>
      </c>
      <c r="D7194" s="1" t="n">
        <v>183</v>
      </c>
      <c r="E7194" s="1" t="n">
        <v>4.64</v>
      </c>
      <c r="F7194" s="1" t="n">
        <v>10.33</v>
      </c>
      <c r="G7194" s="1" t="n">
        <v>0.98</v>
      </c>
      <c r="H7194" s="1" t="n">
        <v>2</v>
      </c>
      <c r="I7194" s="1" t="n">
        <v>0.7</v>
      </c>
      <c r="J7194" t="n">
        <v>54338000</v>
      </c>
    </row>
    <row r="7195" ht="15.75" customHeight="1" s="201">
      <c r="A7195" s="1" t="inlineStr">
        <is>
          <t>Wheat flour, white, all-purpose, self-rising, enriched</t>
        </is>
      </c>
      <c r="C7195" s="1" t="n">
        <v>74.22</v>
      </c>
      <c r="D7195" s="1" t="n">
        <v>196</v>
      </c>
      <c r="E7195" s="1" t="n">
        <v>4.67</v>
      </c>
      <c r="F7195" s="1" t="n">
        <v>9.890000000000001</v>
      </c>
      <c r="G7195" s="1" t="n">
        <v>0.97</v>
      </c>
      <c r="H7195" s="1" t="n">
        <v>0</v>
      </c>
      <c r="I7195" s="1" t="n">
        <v>0.62</v>
      </c>
      <c r="J7195" t="n">
        <v>54338000</v>
      </c>
    </row>
    <row r="7196" ht="15.75" customHeight="1" s="201">
      <c r="A7196" s="1" t="inlineStr">
        <is>
          <t>Wheat flour, white, all-purpose, unenriched</t>
        </is>
      </c>
      <c r="C7196" s="1" t="n">
        <v>76.31</v>
      </c>
      <c r="D7196" s="1" t="n">
        <v>26</v>
      </c>
      <c r="E7196" s="1" t="n">
        <v>1.17</v>
      </c>
      <c r="F7196" s="1" t="n">
        <v>10.33</v>
      </c>
      <c r="G7196" s="1" t="n">
        <v>0.98</v>
      </c>
      <c r="H7196" s="1" t="n">
        <v>0</v>
      </c>
      <c r="I7196" s="1" t="n">
        <v>0.7</v>
      </c>
      <c r="J7196" t="n">
        <v>54338000</v>
      </c>
    </row>
    <row r="7197" ht="15.75" customHeight="1" s="201">
      <c r="A7197" s="1" t="inlineStr">
        <is>
          <t>Wheat flour, white, bread, enriched</t>
        </is>
      </c>
      <c r="C7197" s="1" t="n">
        <v>72.53</v>
      </c>
      <c r="D7197" s="1" t="n">
        <v>183</v>
      </c>
      <c r="E7197" s="1" t="n">
        <v>4.41</v>
      </c>
      <c r="F7197" s="1" t="n">
        <v>11.98</v>
      </c>
      <c r="G7197" s="1" t="n">
        <v>1.66</v>
      </c>
      <c r="H7197" s="1" t="n">
        <v>2</v>
      </c>
      <c r="I7197" s="1" t="n">
        <v>0.85</v>
      </c>
      <c r="J7197" t="n">
        <v>51301010</v>
      </c>
    </row>
    <row r="7198" ht="15.75" customHeight="1" s="201">
      <c r="A7198" s="1" t="inlineStr">
        <is>
          <t>Wheat flour, white, cake, enriched</t>
        </is>
      </c>
      <c r="C7198" s="1" t="n">
        <v>78.03</v>
      </c>
      <c r="D7198" s="1" t="n">
        <v>186</v>
      </c>
      <c r="E7198" s="1" t="n">
        <v>7.32</v>
      </c>
      <c r="F7198" s="1" t="n">
        <v>8.199999999999999</v>
      </c>
      <c r="G7198" s="1" t="n">
        <v>0.86</v>
      </c>
      <c r="H7198" s="1" t="n">
        <v>0</v>
      </c>
      <c r="I7198" s="1" t="n">
        <v>0.62</v>
      </c>
      <c r="J7198" t="n">
        <v>53109200</v>
      </c>
    </row>
    <row r="7199" ht="15.75" customHeight="1" s="201">
      <c r="A7199" s="1" t="inlineStr">
        <is>
          <t>Wheat flour, white, tortilla mix, enriched</t>
        </is>
      </c>
      <c r="C7199" s="1" t="n">
        <v>67.14</v>
      </c>
      <c r="D7199" s="1" t="n">
        <v>136</v>
      </c>
      <c r="E7199" s="1" t="n">
        <v>7.05</v>
      </c>
      <c r="F7199" s="1" t="n">
        <v>9.66</v>
      </c>
      <c r="G7199" s="1" t="n">
        <v>10.63</v>
      </c>
      <c r="H7199" s="1" t="n">
        <v>0</v>
      </c>
      <c r="I7199" s="1" t="n">
        <v>0.64</v>
      </c>
      <c r="J7199" t="n">
        <v>54338000</v>
      </c>
    </row>
    <row r="7200" ht="15.75" customHeight="1" s="201">
      <c r="A7200" s="1" t="inlineStr">
        <is>
          <t>Wheat flour, whole-grain (Includes foods for USDA's Food Distribution Program)</t>
        </is>
      </c>
      <c r="C7200" s="1" t="n">
        <v>71.97</v>
      </c>
      <c r="D7200" s="1" t="n">
        <v>44</v>
      </c>
      <c r="E7200" s="1" t="n">
        <v>3.6</v>
      </c>
      <c r="F7200" s="1" t="n">
        <v>13.21</v>
      </c>
      <c r="G7200" s="1" t="n">
        <v>2.5</v>
      </c>
      <c r="H7200" s="1" t="n">
        <v>9</v>
      </c>
      <c r="I7200" s="1" t="n">
        <v>2.6</v>
      </c>
      <c r="J7200" t="n">
        <v>54204030</v>
      </c>
    </row>
    <row r="7201" ht="15.75" customHeight="1" s="201">
      <c r="A7201" s="1" t="inlineStr">
        <is>
          <t>Wheat flour, whole-grain, soft wheat</t>
        </is>
      </c>
      <c r="C7201" s="1" t="n">
        <v>74.48</v>
      </c>
      <c r="D7201" s="1" t="n">
        <v>28</v>
      </c>
      <c r="E7201" s="1" t="n">
        <v>3.71</v>
      </c>
      <c r="F7201" s="1" t="n">
        <v>9.609999999999999</v>
      </c>
      <c r="G7201" s="1" t="n">
        <v>1.95</v>
      </c>
      <c r="H7201" s="1" t="n">
        <v>9</v>
      </c>
      <c r="I7201" s="1" t="n">
        <v>2.96</v>
      </c>
      <c r="J7201" t="n">
        <v>54204030</v>
      </c>
    </row>
    <row r="7202" ht="15.75" customHeight="1" s="201">
      <c r="A7202" s="1" t="inlineStr">
        <is>
          <t>Wheat flours, bread, unenriched</t>
        </is>
      </c>
      <c r="C7202" s="1" t="n">
        <v>72.53</v>
      </c>
      <c r="D7202" s="1" t="n">
        <v>33</v>
      </c>
      <c r="E7202" s="1" t="n">
        <v>0.9</v>
      </c>
      <c r="F7202" s="1" t="n">
        <v>11.98</v>
      </c>
      <c r="G7202" s="1" t="n">
        <v>1.66</v>
      </c>
      <c r="H7202" s="1" t="n">
        <v>2</v>
      </c>
      <c r="I7202" s="1" t="n">
        <v>0.85</v>
      </c>
      <c r="J7202" t="n">
        <v>51301010</v>
      </c>
    </row>
    <row r="7203" ht="15.75" customHeight="1" s="201">
      <c r="A7203" s="1" t="inlineStr">
        <is>
          <t>Wheat germ, crude</t>
        </is>
      </c>
      <c r="C7203" s="1" t="n">
        <v>51.8</v>
      </c>
      <c r="D7203" s="1" t="n">
        <v>281</v>
      </c>
      <c r="E7203" s="1" t="n">
        <v>6.26</v>
      </c>
      <c r="F7203" s="1" t="n">
        <v>23.15</v>
      </c>
      <c r="G7203" s="1" t="n">
        <v>9.720000000000001</v>
      </c>
      <c r="H7203" s="1" t="n">
        <v>0</v>
      </c>
      <c r="I7203" s="1" t="n">
        <v>12.29</v>
      </c>
      <c r="J7203" t="n">
        <v>54338000</v>
      </c>
    </row>
    <row r="7204" ht="15.75" customHeight="1" s="201">
      <c r="A7204" s="1" t="inlineStr">
        <is>
          <t>Wheat, durum</t>
        </is>
      </c>
      <c r="C7204" s="1" t="n">
        <v>71.13</v>
      </c>
      <c r="D7204" s="1" t="n">
        <v>43</v>
      </c>
      <c r="E7204" s="1" t="n">
        <v>3.52</v>
      </c>
      <c r="F7204" s="1" t="n">
        <v>13.68</v>
      </c>
      <c r="G7204" s="1" t="n">
        <v>2.47</v>
      </c>
      <c r="H7204" s="1" t="n">
        <v>0</v>
      </c>
      <c r="I7204" s="1" t="n">
        <v>4.16</v>
      </c>
      <c r="J7204" t="n">
        <v>54338000</v>
      </c>
    </row>
    <row r="7205" ht="15.75" customHeight="1" s="201">
      <c r="A7205" s="1" t="inlineStr">
        <is>
          <t>Wheat, hard red spring</t>
        </is>
      </c>
      <c r="C7205" s="1" t="n">
        <v>68.03</v>
      </c>
      <c r="D7205" s="1" t="n">
        <v>43</v>
      </c>
      <c r="E7205" s="1" t="n">
        <v>3.6</v>
      </c>
      <c r="F7205" s="1" t="n">
        <v>15.4</v>
      </c>
      <c r="G7205" s="1" t="n">
        <v>1.92</v>
      </c>
      <c r="H7205" s="1" t="n">
        <v>9</v>
      </c>
      <c r="I7205" s="1" t="n">
        <v>2.78</v>
      </c>
      <c r="J7205" t="n">
        <v>54338000</v>
      </c>
    </row>
    <row r="7206" ht="15.75" customHeight="1" s="201">
      <c r="A7206" s="1" t="inlineStr">
        <is>
          <t>Wheat, hard red winter</t>
        </is>
      </c>
      <c r="C7206" s="1" t="n">
        <v>71.18000000000001</v>
      </c>
      <c r="D7206" s="1" t="n">
        <v>38</v>
      </c>
      <c r="E7206" s="1" t="n">
        <v>3.19</v>
      </c>
      <c r="F7206" s="1" t="n">
        <v>12.61</v>
      </c>
      <c r="G7206" s="1" t="n">
        <v>1.54</v>
      </c>
      <c r="H7206" s="1" t="n">
        <v>9</v>
      </c>
      <c r="I7206" s="1" t="n">
        <v>2.65</v>
      </c>
      <c r="J7206" t="n">
        <v>54338000</v>
      </c>
    </row>
    <row r="7207" ht="15.75" customHeight="1" s="201">
      <c r="A7207" s="1" t="inlineStr">
        <is>
          <t>Wheat, hard white</t>
        </is>
      </c>
      <c r="C7207" s="1" t="n">
        <v>75.90000000000001</v>
      </c>
      <c r="D7207" s="1" t="n">
        <v>38</v>
      </c>
      <c r="E7207" s="1" t="n">
        <v>4.56</v>
      </c>
      <c r="F7207" s="1" t="n">
        <v>11.31</v>
      </c>
      <c r="G7207" s="1" t="n">
        <v>1.71</v>
      </c>
      <c r="H7207" s="1" t="n">
        <v>9</v>
      </c>
      <c r="I7207" s="1" t="n">
        <v>3.33</v>
      </c>
      <c r="J7207" t="n">
        <v>54338000</v>
      </c>
    </row>
    <row r="7208" ht="15.75" customHeight="1" s="201">
      <c r="A7208" s="1" t="inlineStr">
        <is>
          <t>Wheat, KAMUT khorasan, cooked</t>
        </is>
      </c>
      <c r="C7208" s="1" t="n">
        <v>27.6</v>
      </c>
      <c r="D7208" s="1" t="n">
        <v>11</v>
      </c>
      <c r="E7208" s="1" t="n">
        <v>1.76</v>
      </c>
      <c r="F7208" s="1" t="n">
        <v>5.71</v>
      </c>
      <c r="G7208" s="1" t="n">
        <v>0.83</v>
      </c>
      <c r="H7208" s="1" t="n">
        <v>4</v>
      </c>
      <c r="I7208" s="1" t="n">
        <v>1.84</v>
      </c>
      <c r="J7208" t="n">
        <v>54338000</v>
      </c>
    </row>
    <row r="7209" ht="15.75" customHeight="1" s="201">
      <c r="A7209" s="1" t="inlineStr">
        <is>
          <t>Wheat, KAMUT khorasan, uncooked</t>
        </is>
      </c>
      <c r="C7209" s="1" t="n">
        <v>70.58</v>
      </c>
      <c r="E7209" s="1" t="n">
        <v>3.77</v>
      </c>
      <c r="F7209" s="1" t="n">
        <v>14.54</v>
      </c>
      <c r="G7209" s="1" t="n">
        <v>2.13</v>
      </c>
      <c r="H7209" s="1" t="n">
        <v>10</v>
      </c>
      <c r="I7209" s="1" t="n">
        <v>3.68</v>
      </c>
      <c r="J7209" t="n">
        <v>54338000</v>
      </c>
    </row>
    <row r="7210" ht="15.75" customHeight="1" s="201">
      <c r="A7210" s="1" t="inlineStr">
        <is>
          <t>Wheat, soft red winter</t>
        </is>
      </c>
      <c r="C7210" s="1" t="n">
        <v>74.23999999999999</v>
      </c>
      <c r="D7210" s="1" t="n">
        <v>41</v>
      </c>
      <c r="E7210" s="1" t="n">
        <v>3.21</v>
      </c>
      <c r="F7210" s="1" t="n">
        <v>10.35</v>
      </c>
      <c r="G7210" s="1" t="n">
        <v>1.56</v>
      </c>
      <c r="H7210" s="1" t="n">
        <v>0</v>
      </c>
      <c r="I7210" s="1" t="n">
        <v>2.63</v>
      </c>
      <c r="J7210" t="n">
        <v>54338000</v>
      </c>
    </row>
    <row r="7211" ht="15.75" customHeight="1" s="201">
      <c r="A7211" s="1" t="inlineStr">
        <is>
          <t>Wheat, soft white</t>
        </is>
      </c>
      <c r="C7211" s="1" t="n">
        <v>75.36</v>
      </c>
      <c r="D7211" s="1" t="n">
        <v>41</v>
      </c>
      <c r="E7211" s="1" t="n">
        <v>5.37</v>
      </c>
      <c r="F7211" s="1" t="n">
        <v>10.69</v>
      </c>
      <c r="G7211" s="1" t="n">
        <v>1.99</v>
      </c>
      <c r="H7211" s="1" t="n">
        <v>9</v>
      </c>
      <c r="I7211" s="1" t="n">
        <v>3.46</v>
      </c>
      <c r="J7211" t="n">
        <v>54338000</v>
      </c>
    </row>
    <row r="7212" ht="15.75" customHeight="1" s="201">
      <c r="A7212" s="1" t="inlineStr">
        <is>
          <t>Wheat, sprouted</t>
        </is>
      </c>
      <c r="C7212" s="1" t="n">
        <v>42.53</v>
      </c>
      <c r="D7212" s="1" t="n">
        <v>38</v>
      </c>
      <c r="E7212" s="1" t="n">
        <v>2.14</v>
      </c>
      <c r="F7212" s="1" t="n">
        <v>7.49</v>
      </c>
      <c r="G7212" s="1" t="n">
        <v>1.27</v>
      </c>
      <c r="H7212" s="1" t="n">
        <v>0</v>
      </c>
      <c r="I7212" s="1" t="n">
        <v>1.65</v>
      </c>
      <c r="J7212" t="n">
        <v>54338000</v>
      </c>
    </row>
    <row r="7213" ht="15.75" customHeight="1" s="201">
      <c r="A7213" s="1" t="inlineStr">
        <is>
          <t>Whey, acid, dried</t>
        </is>
      </c>
      <c r="C7213" s="1" t="n">
        <v>73.45</v>
      </c>
      <c r="D7213" s="1" t="n">
        <v>33</v>
      </c>
      <c r="E7213" s="1" t="n">
        <v>1.24</v>
      </c>
      <c r="F7213" s="1" t="n">
        <v>11.73</v>
      </c>
      <c r="G7213" s="1" t="n">
        <v>0.54</v>
      </c>
      <c r="H7213" s="1" t="n">
        <v>59</v>
      </c>
      <c r="I7213" s="1" t="n">
        <v>6.31</v>
      </c>
      <c r="J7213" t="n">
        <v>41301010</v>
      </c>
    </row>
    <row r="7214" ht="15.75" customHeight="1" s="201">
      <c r="A7214" s="1" t="inlineStr">
        <is>
          <t>Whey, acid, fluid</t>
        </is>
      </c>
      <c r="C7214" s="1" t="n">
        <v>5.12</v>
      </c>
      <c r="D7214" s="1" t="n">
        <v>2</v>
      </c>
      <c r="E7214" s="1" t="n">
        <v>0.08</v>
      </c>
      <c r="F7214" s="1" t="n">
        <v>0.76</v>
      </c>
      <c r="G7214" s="1" t="n">
        <v>0.09</v>
      </c>
      <c r="H7214" s="1" t="n">
        <v>7</v>
      </c>
      <c r="I7214" s="1" t="n">
        <v>0.43</v>
      </c>
    </row>
    <row r="7215" ht="15.75" customHeight="1" s="201">
      <c r="A7215" s="1" t="inlineStr">
        <is>
          <t>Whey, sweet, dried</t>
        </is>
      </c>
      <c r="C7215" s="1" t="n">
        <v>74.45999999999999</v>
      </c>
      <c r="D7215" s="1" t="n">
        <v>12</v>
      </c>
      <c r="E7215" s="1" t="n">
        <v>0.88</v>
      </c>
      <c r="F7215" s="1" t="n">
        <v>12.93</v>
      </c>
      <c r="G7215" s="1" t="n">
        <v>1.07</v>
      </c>
      <c r="H7215" s="1" t="n">
        <v>30</v>
      </c>
      <c r="I7215" s="1" t="n">
        <v>1.97</v>
      </c>
      <c r="J7215" t="n">
        <v>51160000</v>
      </c>
    </row>
    <row r="7216" ht="15.75" customHeight="1" s="201">
      <c r="A7216" s="1" t="inlineStr">
        <is>
          <t>Whey, sweet, fluid</t>
        </is>
      </c>
      <c r="C7216" s="1" t="n">
        <v>5.14</v>
      </c>
      <c r="D7216" s="1" t="n">
        <v>1</v>
      </c>
      <c r="E7216" s="1" t="n">
        <v>0.06</v>
      </c>
      <c r="F7216" s="1" t="n">
        <v>0.85</v>
      </c>
      <c r="G7216" s="1" t="n">
        <v>0.36</v>
      </c>
      <c r="H7216" s="1" t="n">
        <v>12</v>
      </c>
      <c r="I7216" s="1" t="n">
        <v>0.13</v>
      </c>
      <c r="J7216" t="n">
        <v>51160000</v>
      </c>
    </row>
    <row r="7217" ht="15.75" customHeight="1" s="201">
      <c r="A7217" s="1" t="inlineStr">
        <is>
          <t>Whipped cream substitute, dietetic, made from powdered mix</t>
        </is>
      </c>
      <c r="C7217" s="1" t="n">
        <v>10.6</v>
      </c>
      <c r="D7217" s="1" t="n">
        <v>0</v>
      </c>
      <c r="E7217" s="1" t="n">
        <v>0.01</v>
      </c>
      <c r="F7217" s="1" t="n">
        <v>0.9</v>
      </c>
      <c r="G7217" s="1" t="n">
        <v>6</v>
      </c>
      <c r="H7217" s="1" t="n">
        <v>0</v>
      </c>
      <c r="I7217" s="1" t="n">
        <v>0.01</v>
      </c>
      <c r="J7217" t="n">
        <v>91770030</v>
      </c>
    </row>
    <row r="7218" ht="15.75" customHeight="1" s="201">
      <c r="A7218" s="1" t="inlineStr">
        <is>
          <t>Whipped topping, frozen, low fat</t>
        </is>
      </c>
      <c r="C7218" s="1" t="n">
        <v>23.6</v>
      </c>
      <c r="D7218" s="1" t="n">
        <v>3</v>
      </c>
      <c r="E7218" s="1" t="n">
        <v>0.1</v>
      </c>
      <c r="F7218" s="1" t="n">
        <v>3</v>
      </c>
      <c r="G7218" s="1" t="n">
        <v>13.1</v>
      </c>
      <c r="H7218" s="1" t="n">
        <v>74</v>
      </c>
      <c r="I7218" s="1" t="n">
        <v>0.1</v>
      </c>
      <c r="J7218" t="n">
        <v>12220200</v>
      </c>
    </row>
    <row r="7219" ht="15.75" customHeight="1" s="201">
      <c r="A7219" s="1" t="inlineStr">
        <is>
          <t>Whiskey sour mix, bottled, with added potassium and sodium</t>
        </is>
      </c>
      <c r="C7219" s="1" t="n">
        <v>21.4</v>
      </c>
      <c r="D7219" s="1" t="n">
        <v>0</v>
      </c>
      <c r="E7219" s="1" t="n">
        <v>0.11</v>
      </c>
      <c r="F7219" s="1" t="n">
        <v>0.1</v>
      </c>
      <c r="G7219" s="1" t="n">
        <v>0.1</v>
      </c>
      <c r="H7219" s="1" t="n">
        <v>21</v>
      </c>
      <c r="I7219" s="1" t="n">
        <v>0.07000000000000001</v>
      </c>
      <c r="J7219" t="n">
        <v>75142550</v>
      </c>
    </row>
    <row r="7220" ht="15.75" customHeight="1" s="201">
      <c r="A7220" s="1" t="inlineStr">
        <is>
          <t>Wild rice, cooked</t>
        </is>
      </c>
      <c r="C7220" s="1" t="n">
        <v>21.34</v>
      </c>
      <c r="D7220" s="1" t="n">
        <v>26</v>
      </c>
      <c r="E7220" s="1" t="n">
        <v>0.6</v>
      </c>
      <c r="F7220" s="1" t="n">
        <v>3.99</v>
      </c>
      <c r="G7220" s="1" t="n">
        <v>0.34</v>
      </c>
      <c r="H7220" s="1" t="n">
        <v>3</v>
      </c>
      <c r="I7220" s="1" t="n">
        <v>1.34</v>
      </c>
      <c r="J7220" t="n">
        <v>56205320</v>
      </c>
    </row>
    <row r="7221" ht="15.75" customHeight="1" s="201">
      <c r="A7221" s="1" t="inlineStr">
        <is>
          <t>Wild rice, raw</t>
        </is>
      </c>
      <c r="C7221" s="1" t="n">
        <v>74.90000000000001</v>
      </c>
      <c r="D7221" s="1" t="n">
        <v>95</v>
      </c>
      <c r="E7221" s="1" t="n">
        <v>1.96</v>
      </c>
      <c r="F7221" s="1" t="n">
        <v>14.73</v>
      </c>
      <c r="G7221" s="1" t="n">
        <v>1.08</v>
      </c>
      <c r="H7221" s="1" t="n">
        <v>19</v>
      </c>
      <c r="I7221" s="1" t="n">
        <v>5.96</v>
      </c>
      <c r="J7221" t="n">
        <v>56205320</v>
      </c>
    </row>
    <row r="7222" ht="15.75" customHeight="1" s="201">
      <c r="A7222" s="1" t="inlineStr">
        <is>
          <t>Willow, leaves in oil (Alaska Native)</t>
        </is>
      </c>
      <c r="C7222" s="1" t="n">
        <v>8.1</v>
      </c>
      <c r="E7222" s="1" t="n">
        <v>1.3</v>
      </c>
      <c r="F7222" s="1" t="n">
        <v>2.6</v>
      </c>
      <c r="G7222" s="1" t="n">
        <v>61</v>
      </c>
    </row>
    <row r="7223" ht="15.75" customHeight="1" s="201">
      <c r="A7223" s="1" t="inlineStr">
        <is>
          <t>Willow, young leaves, chopped (Alaska Native)</t>
        </is>
      </c>
      <c r="C7223" s="1" t="n">
        <v>20.7</v>
      </c>
      <c r="E7223" s="1" t="n">
        <v>2.6</v>
      </c>
      <c r="F7223" s="1" t="n">
        <v>6.1</v>
      </c>
      <c r="G7223" s="1" t="n">
        <v>1.6</v>
      </c>
      <c r="H7223" s="1" t="n">
        <v>18700</v>
      </c>
      <c r="J7223" t="n">
        <v>28110220</v>
      </c>
    </row>
    <row r="7224" ht="15.75" customHeight="1" s="201">
      <c r="A7224" s="1" t="inlineStr">
        <is>
          <t>Winged bean leaves, raw</t>
        </is>
      </c>
      <c r="C7224" s="1" t="n">
        <v>14.1</v>
      </c>
      <c r="D7224" s="1" t="n">
        <v>16</v>
      </c>
      <c r="E7224" s="1" t="n">
        <v>4</v>
      </c>
      <c r="F7224" s="1" t="n">
        <v>5.85</v>
      </c>
      <c r="G7224" s="1" t="n">
        <v>1.1</v>
      </c>
      <c r="H7224" s="1" t="n">
        <v>8090</v>
      </c>
      <c r="I7224" s="1" t="n">
        <v>1.28</v>
      </c>
      <c r="J7224" t="n">
        <v>41205050</v>
      </c>
    </row>
    <row r="7225" ht="15.75" customHeight="1" s="201">
      <c r="A7225" s="1" t="inlineStr">
        <is>
          <t>Winged bean tuber, raw</t>
        </is>
      </c>
      <c r="C7225" s="1" t="n">
        <v>28.1</v>
      </c>
      <c r="D7225" s="1" t="n">
        <v>19</v>
      </c>
      <c r="E7225" s="1" t="n">
        <v>2</v>
      </c>
      <c r="F7225" s="1" t="n">
        <v>11.6</v>
      </c>
      <c r="G7225" s="1" t="n">
        <v>0.9</v>
      </c>
      <c r="H7225" s="1" t="n">
        <v>0</v>
      </c>
      <c r="I7225" s="1" t="n">
        <v>1.39</v>
      </c>
      <c r="J7225" t="n">
        <v>41205050</v>
      </c>
    </row>
    <row r="7226" ht="15.75" customHeight="1" s="201">
      <c r="A7226" s="1" t="inlineStr">
        <is>
          <t>Winged bean, immature seeds, cooked, boiled, drained, with salt</t>
        </is>
      </c>
      <c r="C7226" s="1" t="n">
        <v>3.21</v>
      </c>
      <c r="D7226" s="1" t="n">
        <v>35</v>
      </c>
      <c r="E7226" s="1" t="n">
        <v>1.09</v>
      </c>
      <c r="F7226" s="1" t="n">
        <v>5.31</v>
      </c>
      <c r="G7226" s="1" t="n">
        <v>0.66</v>
      </c>
      <c r="H7226" s="1" t="n">
        <v>88</v>
      </c>
      <c r="I7226" s="1" t="n">
        <v>0.28</v>
      </c>
      <c r="J7226" t="n">
        <v>75142550</v>
      </c>
    </row>
    <row r="7227" ht="15.75" customHeight="1" s="201">
      <c r="A7227" s="1" t="inlineStr">
        <is>
          <t>Winged beans, immature seeds, cooked, boiled, drained, without salt</t>
        </is>
      </c>
      <c r="C7227" s="1" t="n">
        <v>3.21</v>
      </c>
      <c r="D7227" s="1" t="n">
        <v>35</v>
      </c>
      <c r="E7227" s="1" t="n">
        <v>1.09</v>
      </c>
      <c r="F7227" s="1" t="n">
        <v>5.31</v>
      </c>
      <c r="G7227" s="1" t="n">
        <v>0.66</v>
      </c>
      <c r="H7227" s="1" t="n">
        <v>88</v>
      </c>
      <c r="I7227" s="1" t="n">
        <v>0.28</v>
      </c>
    </row>
    <row r="7228" ht="15.75" customHeight="1" s="201">
      <c r="A7228" s="1" t="inlineStr">
        <is>
          <t>Winged beans, immature seeds, raw</t>
        </is>
      </c>
      <c r="C7228" s="1" t="n">
        <v>4.31</v>
      </c>
      <c r="D7228" s="1" t="n">
        <v>66</v>
      </c>
      <c r="E7228" s="1" t="n">
        <v>1.5</v>
      </c>
      <c r="F7228" s="1" t="n">
        <v>6.95</v>
      </c>
      <c r="G7228" s="1" t="n">
        <v>0.87</v>
      </c>
      <c r="H7228" s="1" t="n">
        <v>128</v>
      </c>
      <c r="I7228" s="1" t="n">
        <v>0.39</v>
      </c>
      <c r="J7228" t="n">
        <v>41202510</v>
      </c>
    </row>
    <row r="7229" ht="15.75" customHeight="1" s="201">
      <c r="A7229" s="1" t="inlineStr">
        <is>
          <t>Winged beans, mature seeds, cooked, boiled, with salt</t>
        </is>
      </c>
      <c r="C7229" s="1" t="n">
        <v>14.94</v>
      </c>
      <c r="D7229" s="1" t="n">
        <v>10</v>
      </c>
      <c r="E7229" s="1" t="n">
        <v>4.33</v>
      </c>
      <c r="F7229" s="1" t="n">
        <v>10.62</v>
      </c>
      <c r="G7229" s="1" t="n">
        <v>5.84</v>
      </c>
      <c r="H7229" s="1" t="n">
        <v>0</v>
      </c>
      <c r="I7229" s="1" t="n">
        <v>1.44</v>
      </c>
      <c r="J7229" t="n">
        <v>75142550</v>
      </c>
    </row>
    <row r="7230" ht="15.75" customHeight="1" s="201">
      <c r="A7230" s="1" t="inlineStr">
        <is>
          <t>Winged beans, mature seeds, cooked, boiled, without salt</t>
        </is>
      </c>
      <c r="C7230" s="1" t="n">
        <v>14.94</v>
      </c>
      <c r="D7230" s="1" t="n">
        <v>10</v>
      </c>
      <c r="E7230" s="1" t="n">
        <v>4.33</v>
      </c>
      <c r="F7230" s="1" t="n">
        <v>10.62</v>
      </c>
      <c r="G7230" s="1" t="n">
        <v>5.84</v>
      </c>
      <c r="H7230" s="1" t="n">
        <v>0</v>
      </c>
      <c r="I7230" s="1" t="n">
        <v>1.44</v>
      </c>
      <c r="J7230" t="n">
        <v>75205030</v>
      </c>
    </row>
    <row r="7231" ht="15.75" customHeight="1" s="201">
      <c r="A7231" s="1" t="inlineStr">
        <is>
          <t>Winged beans, mature seeds, raw</t>
        </is>
      </c>
      <c r="C7231" s="1" t="n">
        <v>41.71</v>
      </c>
      <c r="D7231" s="1" t="n">
        <v>45</v>
      </c>
      <c r="E7231" s="1" t="n">
        <v>13.44</v>
      </c>
      <c r="F7231" s="1" t="n">
        <v>29.65</v>
      </c>
      <c r="G7231" s="1" t="n">
        <v>16.32</v>
      </c>
      <c r="H7231" s="1" t="n">
        <v>0</v>
      </c>
      <c r="I7231" s="1" t="n">
        <v>4.48</v>
      </c>
      <c r="J7231" t="n">
        <v>41202510</v>
      </c>
    </row>
    <row r="7232" ht="15.75" customHeight="1" s="201">
      <c r="A7232" s="1" t="inlineStr">
        <is>
          <t>Wocas, dried seeds, Oregon, yellow pond lily (Klamath)</t>
        </is>
      </c>
      <c r="C7232" s="1" t="n">
        <v>80.02</v>
      </c>
      <c r="D7232" s="1" t="n">
        <v>5</v>
      </c>
      <c r="E7232" s="1" t="n">
        <v>1.47</v>
      </c>
      <c r="F7232" s="1" t="n">
        <v>7.9</v>
      </c>
      <c r="G7232" s="1" t="n">
        <v>1.07</v>
      </c>
      <c r="I7232" s="1" t="n">
        <v>6.33</v>
      </c>
      <c r="J7232" t="n">
        <v>53109200</v>
      </c>
    </row>
    <row r="7233" ht="15.75" customHeight="1" s="201">
      <c r="A7233" s="1" t="inlineStr">
        <is>
          <t>Wocas, tuber, cooked, Oregon, yellow pond lily (Klamath)</t>
        </is>
      </c>
      <c r="C7233" s="1" t="n">
        <v>7.06</v>
      </c>
      <c r="D7233" s="1" t="n">
        <v>5</v>
      </c>
      <c r="E7233" s="1" t="n">
        <v>1.21</v>
      </c>
      <c r="F7233" s="1" t="n">
        <v>0.6899999999999999</v>
      </c>
      <c r="G7233" s="1" t="n">
        <v>0.35</v>
      </c>
      <c r="I7233" s="1" t="n">
        <v>0.3</v>
      </c>
      <c r="J7233" t="n">
        <v>53109200</v>
      </c>
    </row>
    <row r="7234" ht="15.75" customHeight="1" s="201">
      <c r="A7234" s="1" t="inlineStr">
        <is>
          <t>Wonton wrappers (includes egg roll wrappers)</t>
        </is>
      </c>
      <c r="C7234" s="1" t="n">
        <v>57.9</v>
      </c>
      <c r="D7234" s="1" t="n">
        <v>86</v>
      </c>
      <c r="E7234" s="1" t="n">
        <v>3.36</v>
      </c>
      <c r="F7234" s="1" t="n">
        <v>9.800000000000001</v>
      </c>
      <c r="G7234" s="1" t="n">
        <v>1.5</v>
      </c>
      <c r="H7234" s="1" t="n">
        <v>14</v>
      </c>
      <c r="I7234" s="1" t="n">
        <v>0.71</v>
      </c>
      <c r="J7234" t="n">
        <v>51150000</v>
      </c>
    </row>
    <row r="7235" ht="15.75" customHeight="1" s="201">
      <c r="A7235" s="1" t="inlineStr">
        <is>
          <t>Yachtwurst, with pistachio nuts, cooked</t>
        </is>
      </c>
      <c r="C7235" s="1" t="n">
        <v>1.4</v>
      </c>
      <c r="E7235" s="1" t="n">
        <v>1</v>
      </c>
      <c r="F7235" s="1" t="n">
        <v>14.8</v>
      </c>
      <c r="G7235" s="1" t="n">
        <v>22.6</v>
      </c>
      <c r="H7235" s="1" t="n">
        <v>0</v>
      </c>
      <c r="J7235" t="n">
        <v>75142550</v>
      </c>
    </row>
    <row r="7236" ht="15.75" customHeight="1" s="201">
      <c r="A7236" s="1" t="inlineStr">
        <is>
          <t>Yam, cooked, boiled, drained, or baked, with salt</t>
        </is>
      </c>
      <c r="C7236" s="1" t="n">
        <v>26.99</v>
      </c>
      <c r="D7236" s="1" t="n">
        <v>16</v>
      </c>
      <c r="E7236" s="1" t="n">
        <v>0.52</v>
      </c>
      <c r="F7236" s="1" t="n">
        <v>1.49</v>
      </c>
      <c r="G7236" s="1" t="n">
        <v>0.14</v>
      </c>
      <c r="H7236" s="1" t="n">
        <v>122</v>
      </c>
      <c r="I7236" s="1" t="n">
        <v>0.2</v>
      </c>
      <c r="J7236" t="n">
        <v>75142550</v>
      </c>
    </row>
    <row r="7237" ht="15.75" customHeight="1" s="201">
      <c r="A7237" s="1" t="inlineStr">
        <is>
          <t>Yam, cooked, boiled, drained, or baked, without salt</t>
        </is>
      </c>
      <c r="C7237" s="1" t="n">
        <v>27.48</v>
      </c>
      <c r="D7237" s="1" t="n">
        <v>16</v>
      </c>
      <c r="E7237" s="1" t="n">
        <v>0.52</v>
      </c>
      <c r="F7237" s="1" t="n">
        <v>1.49</v>
      </c>
      <c r="G7237" s="1" t="n">
        <v>0.14</v>
      </c>
      <c r="H7237" s="1" t="n">
        <v>122</v>
      </c>
      <c r="I7237" s="1" t="n">
        <v>0.2</v>
      </c>
      <c r="J7237" t="n">
        <v>31103010</v>
      </c>
    </row>
    <row r="7238" ht="15.75" customHeight="1" s="201">
      <c r="A7238" s="1" t="inlineStr">
        <is>
          <t>Yam, raw</t>
        </is>
      </c>
      <c r="C7238" s="1" t="n">
        <v>27.88</v>
      </c>
      <c r="D7238" s="1" t="n">
        <v>23</v>
      </c>
      <c r="E7238" s="1" t="n">
        <v>0.54</v>
      </c>
      <c r="F7238" s="1" t="n">
        <v>1.53</v>
      </c>
      <c r="G7238" s="1" t="n">
        <v>0.17</v>
      </c>
      <c r="H7238" s="1" t="n">
        <v>138</v>
      </c>
      <c r="I7238" s="1" t="n">
        <v>0.24</v>
      </c>
    </row>
    <row r="7239" ht="15.75" customHeight="1" s="201">
      <c r="A7239" s="1" t="inlineStr">
        <is>
          <t>Yambean (jicama), cooked, boiled, drained, with salt</t>
        </is>
      </c>
      <c r="C7239" s="1" t="n">
        <v>8.23</v>
      </c>
      <c r="D7239" s="1" t="n">
        <v>8</v>
      </c>
      <c r="E7239" s="1" t="n">
        <v>0.57</v>
      </c>
      <c r="F7239" s="1" t="n">
        <v>0.72</v>
      </c>
      <c r="G7239" s="1" t="n">
        <v>0.09</v>
      </c>
      <c r="H7239" s="1" t="n">
        <v>19</v>
      </c>
      <c r="I7239" s="1" t="n">
        <v>0.15</v>
      </c>
      <c r="J7239" t="n">
        <v>75142550</v>
      </c>
    </row>
    <row r="7240" ht="15.75" customHeight="1" s="201">
      <c r="A7240" s="1" t="inlineStr">
        <is>
          <t>Yambean (jicama), cooked, boiled, drained, without salt</t>
        </is>
      </c>
      <c r="C7240" s="1" t="n">
        <v>8.82</v>
      </c>
      <c r="D7240" s="1" t="n">
        <v>8</v>
      </c>
      <c r="E7240" s="1" t="n">
        <v>0.57</v>
      </c>
      <c r="F7240" s="1" t="n">
        <v>0.72</v>
      </c>
      <c r="G7240" s="1" t="n">
        <v>0.09</v>
      </c>
      <c r="H7240" s="1" t="n">
        <v>19</v>
      </c>
      <c r="I7240" s="1" t="n">
        <v>0.15</v>
      </c>
      <c r="J7240" t="n">
        <v>31103010</v>
      </c>
    </row>
    <row r="7241" ht="15.75" customHeight="1" s="201">
      <c r="A7241" s="1" t="inlineStr">
        <is>
          <t>Yambean (jicama), raw</t>
        </is>
      </c>
      <c r="C7241" s="1" t="n">
        <v>8.82</v>
      </c>
      <c r="D7241" s="1" t="n">
        <v>12</v>
      </c>
      <c r="E7241" s="1" t="n">
        <v>0.6</v>
      </c>
      <c r="F7241" s="1" t="n">
        <v>0.72</v>
      </c>
      <c r="G7241" s="1" t="n">
        <v>0.09</v>
      </c>
      <c r="H7241" s="1" t="n">
        <v>21</v>
      </c>
      <c r="I7241" s="1" t="n">
        <v>0.16</v>
      </c>
      <c r="J7241" t="n">
        <v>75111800</v>
      </c>
    </row>
    <row r="7242" ht="15.75" customHeight="1" s="201">
      <c r="A7242" s="1" t="inlineStr">
        <is>
          <t>Yardlong bean, cooked, boiled, drained, with salt</t>
        </is>
      </c>
      <c r="C7242" s="1" t="n">
        <v>9.17</v>
      </c>
      <c r="D7242" s="1" t="n">
        <v>45</v>
      </c>
      <c r="E7242" s="1" t="n">
        <v>0.98</v>
      </c>
      <c r="F7242" s="1" t="n">
        <v>2.53</v>
      </c>
      <c r="G7242" s="1" t="n">
        <v>0.1</v>
      </c>
      <c r="H7242" s="1" t="n">
        <v>450</v>
      </c>
      <c r="I7242" s="1" t="n">
        <v>0.36</v>
      </c>
      <c r="J7242" t="n">
        <v>75142550</v>
      </c>
    </row>
    <row r="7243" ht="15.75" customHeight="1" s="201">
      <c r="A7243" s="1" t="inlineStr">
        <is>
          <t>Yardlong bean, cooked, boiled, drained, without salt</t>
        </is>
      </c>
      <c r="C7243" s="1" t="n">
        <v>9.18</v>
      </c>
      <c r="D7243" s="1" t="n">
        <v>45</v>
      </c>
      <c r="E7243" s="1" t="n">
        <v>0.98</v>
      </c>
      <c r="F7243" s="1" t="n">
        <v>2.53</v>
      </c>
      <c r="G7243" s="1" t="n">
        <v>0.1</v>
      </c>
      <c r="H7243" s="1" t="n">
        <v>450</v>
      </c>
      <c r="I7243" s="1" t="n">
        <v>0.36</v>
      </c>
      <c r="J7243" t="n">
        <v>31103010</v>
      </c>
    </row>
    <row r="7244" ht="15.75" customHeight="1" s="201">
      <c r="A7244" s="1" t="inlineStr">
        <is>
          <t>Yardlong bean, raw</t>
        </is>
      </c>
      <c r="C7244" s="1" t="n">
        <v>8.35</v>
      </c>
      <c r="D7244" s="1" t="n">
        <v>62</v>
      </c>
      <c r="E7244" s="1" t="n">
        <v>0.47</v>
      </c>
      <c r="F7244" s="1" t="n">
        <v>2.8</v>
      </c>
      <c r="G7244" s="1" t="n">
        <v>0.4</v>
      </c>
      <c r="H7244" s="1" t="n">
        <v>865</v>
      </c>
      <c r="I7244" s="1" t="n">
        <v>0.37</v>
      </c>
      <c r="J7244" t="n">
        <v>41205050</v>
      </c>
    </row>
    <row r="7245" ht="15.75" customHeight="1" s="201">
      <c r="A7245" s="1" t="inlineStr">
        <is>
          <t>Yardlong beans, mature seeds, cooked, boiled, with salt</t>
        </is>
      </c>
      <c r="C7245" s="1" t="n">
        <v>21.09</v>
      </c>
      <c r="D7245" s="1" t="n">
        <v>146</v>
      </c>
      <c r="E7245" s="1" t="n">
        <v>2.64</v>
      </c>
      <c r="F7245" s="1" t="n">
        <v>8.289999999999999</v>
      </c>
      <c r="G7245" s="1" t="n">
        <v>0.45</v>
      </c>
      <c r="H7245" s="1" t="n">
        <v>16</v>
      </c>
      <c r="I7245" s="1" t="n">
        <v>1.08</v>
      </c>
      <c r="J7245" t="n">
        <v>75142550</v>
      </c>
    </row>
    <row r="7246" ht="15.75" customHeight="1" s="201">
      <c r="A7246" s="1" t="inlineStr">
        <is>
          <t>Yardlong beans, mature seeds, cooked, boiled, without salt</t>
        </is>
      </c>
      <c r="C7246" s="1" t="n">
        <v>21.09</v>
      </c>
      <c r="D7246" s="1" t="n">
        <v>146</v>
      </c>
      <c r="E7246" s="1" t="n">
        <v>2.64</v>
      </c>
      <c r="F7246" s="1" t="n">
        <v>8.289999999999999</v>
      </c>
      <c r="G7246" s="1" t="n">
        <v>0.45</v>
      </c>
      <c r="H7246" s="1" t="n">
        <v>0</v>
      </c>
      <c r="I7246" s="1" t="n">
        <v>1.08</v>
      </c>
      <c r="J7246" t="n">
        <v>75205030</v>
      </c>
    </row>
    <row r="7247" ht="15.75" customHeight="1" s="201">
      <c r="A7247" s="1" t="inlineStr">
        <is>
          <t>Yardlong beans, mature seeds, raw</t>
        </is>
      </c>
      <c r="C7247" s="1" t="n">
        <v>61.91</v>
      </c>
      <c r="D7247" s="1" t="n">
        <v>658</v>
      </c>
      <c r="E7247" s="1" t="n">
        <v>8.609999999999999</v>
      </c>
      <c r="F7247" s="1" t="n">
        <v>24.33</v>
      </c>
      <c r="G7247" s="1" t="n">
        <v>1.31</v>
      </c>
      <c r="H7247" s="1" t="n">
        <v>52</v>
      </c>
      <c r="I7247" s="1" t="n">
        <v>3.5</v>
      </c>
      <c r="J7247" t="n">
        <v>41202510</v>
      </c>
    </row>
    <row r="7248" ht="15.75" customHeight="1" s="201">
      <c r="A7248" s="1" t="inlineStr">
        <is>
          <t>Yautia (tannier), raw</t>
        </is>
      </c>
      <c r="C7248" s="1" t="n">
        <v>23.63</v>
      </c>
      <c r="D7248" s="1" t="n">
        <v>17</v>
      </c>
      <c r="E7248" s="1" t="n">
        <v>0.98</v>
      </c>
      <c r="F7248" s="1" t="n">
        <v>1.46</v>
      </c>
      <c r="G7248" s="1" t="n">
        <v>0.4</v>
      </c>
      <c r="H7248" s="1" t="n">
        <v>8</v>
      </c>
      <c r="I7248" s="1" t="n">
        <v>0.5</v>
      </c>
    </row>
    <row r="7249" ht="15.75" customHeight="1" s="201">
      <c r="A7249" s="1" t="inlineStr">
        <is>
          <t>Yeast extract spread</t>
        </is>
      </c>
      <c r="C7249" s="1" t="n">
        <v>20.42</v>
      </c>
      <c r="D7249" s="1" t="n">
        <v>3786</v>
      </c>
      <c r="E7249" s="1" t="n">
        <v>4.04</v>
      </c>
      <c r="F7249" s="1" t="n">
        <v>23.88</v>
      </c>
      <c r="G7249" s="1" t="n">
        <v>0.9</v>
      </c>
      <c r="H7249" s="1" t="n">
        <v>0</v>
      </c>
      <c r="I7249" s="1" t="n">
        <v>4.19</v>
      </c>
      <c r="J7249" t="n">
        <v>75236500</v>
      </c>
    </row>
    <row r="7250" ht="15.75" customHeight="1" s="201">
      <c r="A7250" s="1" t="inlineStr">
        <is>
          <t>Yellow rice with seasoning, dry packet mix, unprepared</t>
        </is>
      </c>
      <c r="C7250" s="1" t="n">
        <v>74.68000000000001</v>
      </c>
      <c r="D7250" s="1" t="n">
        <v>140</v>
      </c>
      <c r="E7250" s="1" t="n">
        <v>2.53</v>
      </c>
      <c r="F7250" s="1" t="n">
        <v>7.02</v>
      </c>
      <c r="G7250" s="1" t="n">
        <v>1.75</v>
      </c>
      <c r="H7250" s="1" t="n">
        <v>175</v>
      </c>
      <c r="I7250" s="1" t="n">
        <v>1.21</v>
      </c>
      <c r="J7250" t="n">
        <v>75142550</v>
      </c>
    </row>
    <row r="7251" ht="15.75" customHeight="1" s="201">
      <c r="A7251" s="1" t="inlineStr">
        <is>
          <t>Yogurt parfait, lowfat, with fruit and granola</t>
        </is>
      </c>
      <c r="C7251" s="1" t="n">
        <v>15.86</v>
      </c>
      <c r="D7251" s="1" t="n">
        <v>51</v>
      </c>
      <c r="E7251" s="1" t="n">
        <v>0.49</v>
      </c>
      <c r="F7251" s="1" t="n">
        <v>3.36</v>
      </c>
      <c r="G7251" s="1" t="n">
        <v>1.01</v>
      </c>
      <c r="H7251" s="1" t="n">
        <v>115</v>
      </c>
      <c r="I7251" s="1" t="n">
        <v>0.89</v>
      </c>
      <c r="J7251" t="n">
        <v>91708030</v>
      </c>
    </row>
    <row r="7252" ht="15.75" customHeight="1" s="201">
      <c r="A7252" s="1" t="inlineStr">
        <is>
          <t>Yogurt, chocolate, nonfat milk</t>
        </is>
      </c>
      <c r="C7252" s="1" t="n">
        <v>23.53</v>
      </c>
      <c r="D7252" s="1" t="n">
        <v>12</v>
      </c>
      <c r="E7252" s="1" t="n">
        <v>0.42</v>
      </c>
      <c r="F7252" s="1" t="n">
        <v>3.53</v>
      </c>
      <c r="G7252" s="1" t="n">
        <v>0</v>
      </c>
      <c r="H7252" s="1" t="n">
        <v>0</v>
      </c>
      <c r="I7252" s="1" t="n">
        <v>1.13</v>
      </c>
      <c r="J7252" t="n">
        <v>53108200</v>
      </c>
    </row>
    <row r="7253" ht="15.75" customHeight="1" s="201">
      <c r="A7253" s="1" t="inlineStr">
        <is>
          <t>Yogurt, chocolate, nonfat milk, fortified with vitamin D</t>
        </is>
      </c>
      <c r="C7253" s="1" t="n">
        <v>23.53</v>
      </c>
      <c r="D7253" s="1" t="n">
        <v>12</v>
      </c>
      <c r="E7253" s="1" t="n">
        <v>0.42</v>
      </c>
      <c r="F7253" s="1" t="n">
        <v>3.53</v>
      </c>
      <c r="G7253" s="1" t="n">
        <v>0</v>
      </c>
      <c r="H7253" s="1" t="n">
        <v>0</v>
      </c>
      <c r="I7253" s="1" t="n">
        <v>1.13</v>
      </c>
      <c r="J7253" t="n">
        <v>53108200</v>
      </c>
    </row>
    <row r="7254" ht="15.75" customHeight="1" s="201">
      <c r="A7254" s="1" t="inlineStr">
        <is>
          <t>Yogurt, frozen, flavors not chocolate, nonfat milk, with low-calorie sweetener</t>
        </is>
      </c>
      <c r="C7254" s="1" t="n">
        <v>19.7</v>
      </c>
      <c r="D7254" s="1" t="n">
        <v>12</v>
      </c>
      <c r="E7254" s="1" t="n">
        <v>0.04</v>
      </c>
      <c r="F7254" s="1" t="n">
        <v>4.4</v>
      </c>
      <c r="G7254" s="1" t="n">
        <v>0.8</v>
      </c>
      <c r="H7254" s="1" t="n">
        <v>17</v>
      </c>
      <c r="I7254" s="1" t="n">
        <v>0.49</v>
      </c>
      <c r="J7254" t="n">
        <v>53108200</v>
      </c>
    </row>
    <row r="7255" ht="15.75" customHeight="1" s="201">
      <c r="A7255" s="1" t="inlineStr">
        <is>
          <t>Yogurt, frozen, flavors other than chocolate, lowfat</t>
        </is>
      </c>
      <c r="C7255" s="1" t="n">
        <v>21</v>
      </c>
      <c r="D7255" s="1" t="n">
        <v>3</v>
      </c>
      <c r="E7255" s="1" t="n">
        <v>0</v>
      </c>
      <c r="F7255" s="1" t="n">
        <v>8</v>
      </c>
      <c r="G7255" s="1" t="n">
        <v>2.5</v>
      </c>
      <c r="H7255" s="1" t="n">
        <v>122</v>
      </c>
      <c r="I7255" s="1" t="n">
        <v>0.19</v>
      </c>
      <c r="J7255" t="n">
        <v>53108200</v>
      </c>
    </row>
    <row r="7256" ht="15.75" customHeight="1" s="201">
      <c r="A7256" s="1" t="inlineStr">
        <is>
          <t>Yogurt, fruit variety, nonfat</t>
        </is>
      </c>
      <c r="C7256" s="1" t="n">
        <v>19</v>
      </c>
      <c r="D7256" s="1" t="n">
        <v>9</v>
      </c>
      <c r="E7256" s="1" t="n">
        <v>0.07000000000000001</v>
      </c>
      <c r="F7256" s="1" t="n">
        <v>4.4</v>
      </c>
      <c r="G7256" s="1" t="n">
        <v>0.2</v>
      </c>
      <c r="H7256" s="1" t="n">
        <v>12</v>
      </c>
      <c r="I7256" s="1" t="n">
        <v>0.74</v>
      </c>
      <c r="J7256" t="n">
        <v>91708030</v>
      </c>
    </row>
    <row r="7257" ht="15.75" customHeight="1" s="201">
      <c r="A7257" s="1" t="inlineStr">
        <is>
          <t>Yogurt, fruit variety, nonfat, fortified with vitamin D</t>
        </is>
      </c>
      <c r="C7257" s="1" t="n">
        <v>19</v>
      </c>
      <c r="D7257" s="1" t="n">
        <v>9</v>
      </c>
      <c r="E7257" s="1" t="n">
        <v>0.07000000000000001</v>
      </c>
      <c r="F7257" s="1" t="n">
        <v>4.4</v>
      </c>
      <c r="G7257" s="1" t="n">
        <v>0.2</v>
      </c>
      <c r="H7257" s="1" t="n">
        <v>12</v>
      </c>
      <c r="I7257" s="1" t="n">
        <v>0.74</v>
      </c>
      <c r="J7257" t="n">
        <v>91708030</v>
      </c>
    </row>
    <row r="7258" ht="15.75" customHeight="1" s="201">
      <c r="A7258" s="1" t="inlineStr">
        <is>
          <t>Yogurt, fruit, low fat, 10 grams protein per 8 ounce</t>
        </is>
      </c>
      <c r="C7258" s="1" t="n">
        <v>19.05</v>
      </c>
      <c r="D7258" s="1" t="n">
        <v>9</v>
      </c>
      <c r="E7258" s="1" t="n">
        <v>0.07000000000000001</v>
      </c>
      <c r="F7258" s="1" t="n">
        <v>4.37</v>
      </c>
      <c r="G7258" s="1" t="n">
        <v>1.08</v>
      </c>
      <c r="H7258" s="1" t="n">
        <v>36</v>
      </c>
      <c r="I7258" s="1" t="n">
        <v>0.74</v>
      </c>
      <c r="J7258" t="n">
        <v>91708030</v>
      </c>
    </row>
    <row r="7259" ht="15.75" customHeight="1" s="201">
      <c r="A7259" s="1" t="inlineStr">
        <is>
          <t>Yogurt, fruit, low fat, 10 grams protein per 8 ounce, fortified with vitamin D</t>
        </is>
      </c>
      <c r="C7259" s="1" t="n">
        <v>19.05</v>
      </c>
      <c r="D7259" s="1" t="n">
        <v>9</v>
      </c>
      <c r="E7259" s="1" t="n">
        <v>0.07000000000000001</v>
      </c>
      <c r="F7259" s="1" t="n">
        <v>4.37</v>
      </c>
      <c r="G7259" s="1" t="n">
        <v>1.08</v>
      </c>
      <c r="H7259" s="1" t="n">
        <v>36</v>
      </c>
      <c r="I7259" s="1" t="n">
        <v>0.74</v>
      </c>
      <c r="J7259" t="n">
        <v>91708030</v>
      </c>
    </row>
    <row r="7260" ht="15.75" customHeight="1" s="201">
      <c r="A7260" s="1" t="inlineStr">
        <is>
          <t>Yogurt, fruit, low fat, 11g protein/8 oz</t>
        </is>
      </c>
      <c r="C7260" s="1" t="n">
        <v>18.6</v>
      </c>
      <c r="D7260" s="1" t="n">
        <v>10</v>
      </c>
      <c r="E7260" s="1" t="n">
        <v>0.07000000000000001</v>
      </c>
      <c r="F7260" s="1" t="n">
        <v>4.86</v>
      </c>
      <c r="G7260" s="1" t="n">
        <v>1.41</v>
      </c>
      <c r="H7260" s="1" t="n">
        <v>60</v>
      </c>
      <c r="I7260" s="1" t="n">
        <v>0.82</v>
      </c>
      <c r="J7260" t="n">
        <v>91708030</v>
      </c>
    </row>
    <row r="7261" ht="15.75" customHeight="1" s="201">
      <c r="A7261" s="1" t="inlineStr">
        <is>
          <t>Yogurt, fruit, low fat, 9 grams protein per 8 ounce, fortified with vitamin D</t>
        </is>
      </c>
      <c r="C7261" s="1" t="n">
        <v>18.64</v>
      </c>
      <c r="D7261" s="1" t="n">
        <v>9</v>
      </c>
      <c r="E7261" s="1" t="n">
        <v>0.06</v>
      </c>
      <c r="F7261" s="1" t="n">
        <v>3.98</v>
      </c>
      <c r="G7261" s="1" t="n">
        <v>1.15</v>
      </c>
      <c r="H7261" s="1" t="n">
        <v>40</v>
      </c>
      <c r="I7261" s="1" t="n">
        <v>0.67</v>
      </c>
      <c r="J7261" t="n">
        <v>91708030</v>
      </c>
    </row>
    <row r="7262" ht="15.75" customHeight="1" s="201">
      <c r="A7262" s="1" t="inlineStr">
        <is>
          <t>Yogurt, fruit, low fat,9 g protein/8 oz</t>
        </is>
      </c>
      <c r="C7262" s="1" t="n">
        <v>18.64</v>
      </c>
      <c r="D7262" s="1" t="n">
        <v>9</v>
      </c>
      <c r="E7262" s="1" t="n">
        <v>0.06</v>
      </c>
      <c r="F7262" s="1" t="n">
        <v>3.98</v>
      </c>
      <c r="G7262" s="1" t="n">
        <v>1.15</v>
      </c>
      <c r="H7262" s="1" t="n">
        <v>40</v>
      </c>
      <c r="I7262" s="1" t="n">
        <v>0.67</v>
      </c>
      <c r="J7262" t="n">
        <v>91708030</v>
      </c>
    </row>
    <row r="7263" ht="15.75" customHeight="1" s="201">
      <c r="A7263" s="1" t="inlineStr">
        <is>
          <t>Yogurt, fruit, lowfat, with low calorie sweetener</t>
        </is>
      </c>
      <c r="C7263" s="1" t="n">
        <v>18.6</v>
      </c>
      <c r="D7263" s="1" t="n">
        <v>10</v>
      </c>
      <c r="E7263" s="1" t="n">
        <v>0.07000000000000001</v>
      </c>
      <c r="F7263" s="1" t="n">
        <v>4.86</v>
      </c>
      <c r="G7263" s="1" t="n">
        <v>1.41</v>
      </c>
      <c r="H7263" s="1" t="n">
        <v>443</v>
      </c>
      <c r="I7263" s="1" t="n">
        <v>0.82</v>
      </c>
      <c r="J7263" t="n">
        <v>91708030</v>
      </c>
    </row>
    <row r="7264" ht="15.75" customHeight="1" s="201">
      <c r="A7264" s="1" t="inlineStr">
        <is>
          <t>Yogurt, fruit, lowfat, with low calorie sweetener, fortified with vitamin D</t>
        </is>
      </c>
      <c r="C7264" s="1" t="n">
        <v>18.6</v>
      </c>
      <c r="D7264" s="1" t="n">
        <v>10</v>
      </c>
      <c r="E7264" s="1" t="n">
        <v>0.07000000000000001</v>
      </c>
      <c r="F7264" s="1" t="n">
        <v>4.86</v>
      </c>
      <c r="G7264" s="1" t="n">
        <v>1.41</v>
      </c>
      <c r="H7264" s="1" t="n">
        <v>443</v>
      </c>
      <c r="I7264" s="1" t="n">
        <v>0.82</v>
      </c>
      <c r="J7264" t="n">
        <v>75142550</v>
      </c>
    </row>
    <row r="7265" ht="15.75" customHeight="1" s="201">
      <c r="A7265" s="1" t="inlineStr">
        <is>
          <t>Yogurt, Greek, 2% fat, apricot, CHOBANI</t>
        </is>
      </c>
      <c r="C7265" s="1" t="n">
        <v>12.15</v>
      </c>
      <c r="E7265" s="1" t="n">
        <v>0.03</v>
      </c>
      <c r="F7265" s="1" t="n">
        <v>7.22</v>
      </c>
      <c r="G7265" s="1" t="n">
        <v>1.71</v>
      </c>
      <c r="H7265" s="1" t="n">
        <v>153</v>
      </c>
      <c r="J7265" t="n">
        <v>11434010</v>
      </c>
    </row>
    <row r="7266" ht="15.75" customHeight="1" s="201">
      <c r="A7266" s="1" t="inlineStr">
        <is>
          <t>Yogurt, Greek, 2% fat, key lime blend, CHOBANI</t>
        </is>
      </c>
      <c r="C7266" s="1" t="n">
        <v>11.91</v>
      </c>
      <c r="E7266" s="1" t="n">
        <v>0.03</v>
      </c>
      <c r="F7266" s="1" t="n">
        <v>7.75</v>
      </c>
      <c r="G7266" s="1" t="n">
        <v>1.47</v>
      </c>
      <c r="H7266" s="1" t="n">
        <v>49</v>
      </c>
      <c r="J7266" t="n">
        <v>11434010</v>
      </c>
    </row>
    <row r="7267" ht="15.75" customHeight="1" s="201">
      <c r="A7267" s="1" t="inlineStr">
        <is>
          <t>Yogurt, Greek, 2% fat, mango, CHOBANI</t>
        </is>
      </c>
      <c r="C7267" s="1" t="n">
        <v>11.84</v>
      </c>
      <c r="E7267" s="1" t="n">
        <v>0.03</v>
      </c>
      <c r="F7267" s="1" t="n">
        <v>7.64</v>
      </c>
      <c r="G7267" s="1" t="n">
        <v>1.69</v>
      </c>
      <c r="H7267" s="1" t="n">
        <v>199</v>
      </c>
      <c r="J7267" t="n">
        <v>11434010</v>
      </c>
    </row>
    <row r="7268" ht="15.75" customHeight="1" s="201">
      <c r="A7268" s="1" t="inlineStr">
        <is>
          <t>Yogurt, Greek, 2% fat, pineapple, CHOBANI</t>
        </is>
      </c>
      <c r="C7268" s="1" t="n">
        <v>12.27</v>
      </c>
      <c r="E7268" s="1" t="n">
        <v>0.03</v>
      </c>
      <c r="F7268" s="1" t="n">
        <v>7.05</v>
      </c>
      <c r="G7268" s="1" t="n">
        <v>1.82</v>
      </c>
      <c r="H7268" s="1" t="n">
        <v>70</v>
      </c>
      <c r="J7268" t="n">
        <v>11434010</v>
      </c>
    </row>
    <row r="7269" ht="15.75" customHeight="1" s="201">
      <c r="A7269" s="1" t="inlineStr">
        <is>
          <t>Yogurt, Greek, 2% fat, strawberry banana, CHOBANI</t>
        </is>
      </c>
      <c r="C7269" s="1" t="n">
        <v>10.24</v>
      </c>
      <c r="E7269" s="1" t="n">
        <v>0.2</v>
      </c>
      <c r="F7269" s="1" t="n">
        <v>8</v>
      </c>
      <c r="G7269" s="1" t="n">
        <v>1.71</v>
      </c>
      <c r="H7269" s="1" t="n">
        <v>51</v>
      </c>
      <c r="J7269" t="n">
        <v>11434010</v>
      </c>
    </row>
    <row r="7270" ht="15.75" customHeight="1" s="201">
      <c r="A7270" s="1" t="inlineStr">
        <is>
          <t>Yogurt, Greek, 2% fat,mixed berry blend, CHOBANI</t>
        </is>
      </c>
      <c r="C7270" s="1" t="n">
        <v>10.94</v>
      </c>
      <c r="E7270" s="1" t="n">
        <v>0.03</v>
      </c>
      <c r="F7270" s="1" t="n">
        <v>8.26</v>
      </c>
      <c r="G7270" s="1" t="n">
        <v>1.83</v>
      </c>
      <c r="H7270" s="1" t="n">
        <v>79</v>
      </c>
      <c r="J7270" t="n">
        <v>11434010</v>
      </c>
    </row>
    <row r="7271" ht="15.75" customHeight="1" s="201">
      <c r="A7271" s="1" t="inlineStr">
        <is>
          <t>Yogurt, Greek, 2%fat, coconut blend, CHOBANI</t>
        </is>
      </c>
      <c r="C7271" s="1" t="n">
        <v>11.04</v>
      </c>
      <c r="E7271" s="1" t="n">
        <v>0.03</v>
      </c>
      <c r="F7271" s="1" t="n">
        <v>8.109999999999999</v>
      </c>
      <c r="G7271" s="1" t="n">
        <v>1.71</v>
      </c>
      <c r="H7271" s="1" t="n">
        <v>62</v>
      </c>
      <c r="J7271" t="n">
        <v>11434010</v>
      </c>
    </row>
    <row r="7272" ht="15.75" customHeight="1" s="201">
      <c r="A7272" s="1" t="inlineStr">
        <is>
          <t>Yogurt, Greek, Blueberry, CHOBANI</t>
        </is>
      </c>
      <c r="C7272" s="1" t="n">
        <v>12.78</v>
      </c>
      <c r="E7272" s="1" t="n">
        <v>0.15</v>
      </c>
      <c r="F7272" s="1" t="n">
        <v>7.23</v>
      </c>
      <c r="G7272" s="1" t="n">
        <v>0.24</v>
      </c>
      <c r="H7272" s="1" t="n">
        <v>62</v>
      </c>
      <c r="J7272" t="n">
        <v>11434010</v>
      </c>
    </row>
    <row r="7273" ht="15.75" customHeight="1" s="201">
      <c r="A7273" s="1" t="inlineStr">
        <is>
          <t>Yogurt, Greek, fruit, whole milk</t>
        </is>
      </c>
      <c r="C7273" s="1" t="n">
        <v>12.29</v>
      </c>
      <c r="D7273" s="1" t="n">
        <v>5</v>
      </c>
      <c r="E7273" s="1" t="n">
        <v>0</v>
      </c>
      <c r="F7273" s="1" t="n">
        <v>7.33</v>
      </c>
      <c r="G7273" s="1" t="n">
        <v>3</v>
      </c>
      <c r="H7273" s="1" t="n">
        <v>162</v>
      </c>
      <c r="I7273" s="1" t="n">
        <v>0.41</v>
      </c>
      <c r="J7273" t="n">
        <v>91708030</v>
      </c>
    </row>
    <row r="7274" ht="15.75" customHeight="1" s="201">
      <c r="A7274" s="1" t="inlineStr">
        <is>
          <t>Yogurt, Greek, nonfat, Fruit on Bottom, Blackberry, CHOBANI</t>
        </is>
      </c>
      <c r="C7274" s="1" t="n">
        <v>15.43</v>
      </c>
      <c r="E7274" s="1" t="n">
        <v>0</v>
      </c>
      <c r="F7274" s="1" t="n">
        <v>7.54</v>
      </c>
      <c r="G7274" s="1" t="n">
        <v>0.37</v>
      </c>
      <c r="H7274" s="1" t="n">
        <v>62</v>
      </c>
      <c r="J7274" t="n">
        <v>91708030</v>
      </c>
    </row>
    <row r="7275" ht="15.75" customHeight="1" s="201">
      <c r="A7275" s="1" t="inlineStr">
        <is>
          <t>Yogurt, Greek, nonfat, Fruit on Bottom, Pomegranate, CHOBANI</t>
        </is>
      </c>
      <c r="C7275" s="1" t="n">
        <v>12.13</v>
      </c>
      <c r="E7275" s="1" t="n">
        <v>0.15</v>
      </c>
      <c r="F7275" s="1" t="n">
        <v>7.45</v>
      </c>
      <c r="G7275" s="1" t="n">
        <v>0.18</v>
      </c>
      <c r="H7275" s="1" t="n">
        <v>62</v>
      </c>
      <c r="J7275" t="n">
        <v>91708030</v>
      </c>
    </row>
    <row r="7276" ht="15.75" customHeight="1" s="201">
      <c r="A7276" s="1" t="inlineStr">
        <is>
          <t>Yogurt, Greek, nonfat, Fruit on Bottom, Strawberry, CHOBANI</t>
        </is>
      </c>
      <c r="C7276" s="1" t="n">
        <v>11.86</v>
      </c>
      <c r="E7276" s="1" t="n">
        <v>0.15</v>
      </c>
      <c r="F7276" s="1" t="n">
        <v>7.28</v>
      </c>
      <c r="G7276" s="1" t="n">
        <v>0.23</v>
      </c>
      <c r="H7276" s="1" t="n">
        <v>62</v>
      </c>
      <c r="I7276" s="1" t="n">
        <v>0.44</v>
      </c>
      <c r="J7276" t="n">
        <v>91708030</v>
      </c>
    </row>
    <row r="7277" ht="15.75" customHeight="1" s="201">
      <c r="A7277" s="1" t="inlineStr">
        <is>
          <t>Yogurt, Greek, nonfat, lemon blend, CHOBANI</t>
        </is>
      </c>
      <c r="C7277" s="1" t="n">
        <v>10.66</v>
      </c>
      <c r="E7277" s="1" t="n">
        <v>0.03</v>
      </c>
      <c r="F7277" s="1" t="n">
        <v>8.619999999999999</v>
      </c>
      <c r="G7277" s="1" t="n">
        <v>0.15</v>
      </c>
      <c r="H7277" s="1" t="n">
        <v>0</v>
      </c>
      <c r="J7277" t="n">
        <v>11434010</v>
      </c>
    </row>
    <row r="7278" ht="15.75" customHeight="1" s="201">
      <c r="A7278" s="1" t="inlineStr">
        <is>
          <t>Yogurt, Greek, nonfat, peach, CHOBANI</t>
        </is>
      </c>
      <c r="C7278" s="1" t="n">
        <v>11.9</v>
      </c>
      <c r="E7278" s="1" t="n">
        <v>0.03</v>
      </c>
      <c r="F7278" s="1" t="n">
        <v>7.76</v>
      </c>
      <c r="G7278" s="1" t="n">
        <v>0.11</v>
      </c>
      <c r="H7278" s="1" t="n">
        <v>206</v>
      </c>
      <c r="J7278" t="n">
        <v>11434010</v>
      </c>
    </row>
    <row r="7279" ht="15.75" customHeight="1" s="201">
      <c r="A7279" s="1" t="inlineStr">
        <is>
          <t>Yogurt, Greek, nonfat, plain, CHOBANI</t>
        </is>
      </c>
      <c r="C7279" s="1" t="n">
        <v>3.43</v>
      </c>
      <c r="E7279" s="1" t="n">
        <v>0.03</v>
      </c>
      <c r="F7279" s="1" t="n">
        <v>9.529999999999999</v>
      </c>
      <c r="G7279" s="1" t="n">
        <v>0.24</v>
      </c>
      <c r="H7279" s="1" t="n">
        <v>0</v>
      </c>
      <c r="J7279" t="n">
        <v>11434010</v>
      </c>
    </row>
    <row r="7280" ht="15.75" customHeight="1" s="201">
      <c r="A7280" s="1" t="inlineStr">
        <is>
          <t>Yogurt, Greek, nonfat, raspberry, CHOBANI</t>
        </is>
      </c>
      <c r="C7280" s="1" t="n">
        <v>11.98</v>
      </c>
      <c r="E7280" s="1" t="n">
        <v>0.03</v>
      </c>
      <c r="F7280" s="1" t="n">
        <v>7.65</v>
      </c>
      <c r="G7280" s="1" t="n">
        <v>0.22</v>
      </c>
      <c r="H7280" s="1" t="n">
        <v>0</v>
      </c>
      <c r="J7280" t="n">
        <v>11434010</v>
      </c>
    </row>
    <row r="7281" ht="15.75" customHeight="1" s="201">
      <c r="A7281" s="1" t="inlineStr">
        <is>
          <t>Yogurt, Greek, nonfat, strawberry, DANNON OIKOS</t>
        </is>
      </c>
      <c r="C7281" s="1" t="n">
        <v>12.53</v>
      </c>
      <c r="D7281" s="1" t="n">
        <v>20</v>
      </c>
      <c r="E7281" s="1" t="n">
        <v>0.06</v>
      </c>
      <c r="F7281" s="1" t="n">
        <v>8.029999999999999</v>
      </c>
      <c r="G7281" s="1" t="n">
        <v>0.22</v>
      </c>
      <c r="I7281" s="1" t="n">
        <v>0.45</v>
      </c>
      <c r="J7281" t="n">
        <v>11434010</v>
      </c>
    </row>
    <row r="7282" ht="15.75" customHeight="1" s="201">
      <c r="A7282" s="1" t="inlineStr">
        <is>
          <t>Yogurt, Greek, nonfat, vanilla, CHOBANI</t>
        </is>
      </c>
      <c r="C7282" s="1" t="n">
        <v>8.09</v>
      </c>
      <c r="E7282" s="1" t="n">
        <v>0.05</v>
      </c>
      <c r="F7282" s="1" t="n">
        <v>9.07</v>
      </c>
      <c r="G7282" s="1" t="n">
        <v>0.22</v>
      </c>
      <c r="I7282" s="1" t="n">
        <v>0.49</v>
      </c>
      <c r="J7282" t="n">
        <v>11434010</v>
      </c>
    </row>
    <row r="7283" ht="15.75" customHeight="1" s="201">
      <c r="A7283" s="1" t="inlineStr">
        <is>
          <t>Yogurt, Greek, nonfat, vanilla, DANNON OIKOS</t>
        </is>
      </c>
      <c r="C7283" s="1" t="n">
        <v>12.72</v>
      </c>
      <c r="E7283" s="1" t="n">
        <v>0.04</v>
      </c>
      <c r="F7283" s="1" t="n">
        <v>8.119999999999999</v>
      </c>
      <c r="G7283" s="1" t="n">
        <v>0.14</v>
      </c>
      <c r="I7283" s="1" t="n">
        <v>0.4</v>
      </c>
      <c r="J7283" t="n">
        <v>11434010</v>
      </c>
    </row>
    <row r="7284" ht="15.75" customHeight="1" s="201">
      <c r="A7284" s="1" t="inlineStr">
        <is>
          <t>Yogurt, Greek, plain, lowfat</t>
        </is>
      </c>
      <c r="C7284" s="1" t="n">
        <v>3.94</v>
      </c>
      <c r="D7284" s="1" t="n">
        <v>12</v>
      </c>
      <c r="E7284" s="1" t="n">
        <v>0.04</v>
      </c>
      <c r="F7284" s="1" t="n">
        <v>9.949999999999999</v>
      </c>
      <c r="G7284" s="1" t="n">
        <v>1.92</v>
      </c>
      <c r="H7284" s="1" t="n">
        <v>309</v>
      </c>
      <c r="I7284" s="1" t="n">
        <v>0.6</v>
      </c>
      <c r="J7284" t="n">
        <v>11434010</v>
      </c>
    </row>
    <row r="7285" ht="15.75" customHeight="1" s="201">
      <c r="A7285" s="1" t="inlineStr">
        <is>
          <t>Yogurt, Greek, plain, nonfat (Includes foods for USDA's Food Distribution Program)</t>
        </is>
      </c>
      <c r="C7285" s="1" t="n">
        <v>3.6</v>
      </c>
      <c r="D7285" s="1" t="n">
        <v>7</v>
      </c>
      <c r="E7285" s="1" t="n">
        <v>0.07000000000000001</v>
      </c>
      <c r="F7285" s="1" t="n">
        <v>10.19</v>
      </c>
      <c r="G7285" s="1" t="n">
        <v>0.39</v>
      </c>
      <c r="H7285" s="1" t="n">
        <v>4</v>
      </c>
      <c r="I7285" s="1" t="n">
        <v>0.52</v>
      </c>
      <c r="J7285" t="n">
        <v>11411420</v>
      </c>
    </row>
    <row r="7286" ht="15.75" customHeight="1" s="201">
      <c r="A7286" s="1" t="inlineStr">
        <is>
          <t>Yogurt, Greek, plain, whole milk</t>
        </is>
      </c>
      <c r="C7286" s="1" t="n">
        <v>3.98</v>
      </c>
      <c r="D7286" s="1" t="n">
        <v>5</v>
      </c>
      <c r="E7286" s="1" t="n">
        <v>0</v>
      </c>
      <c r="F7286" s="1" t="n">
        <v>9</v>
      </c>
      <c r="G7286" s="1" t="n">
        <v>5</v>
      </c>
      <c r="H7286" s="1" t="n">
        <v>15</v>
      </c>
      <c r="I7286" s="1" t="n">
        <v>0.52</v>
      </c>
      <c r="J7286" t="n">
        <v>11411400</v>
      </c>
    </row>
    <row r="7287" ht="15.75" customHeight="1" s="201">
      <c r="A7287" s="1" t="inlineStr">
        <is>
          <t>Yogurt, Greek, strawberry, DANNON OIKOS</t>
        </is>
      </c>
      <c r="C7287" s="1" t="n">
        <v>11.67</v>
      </c>
      <c r="E7287" s="1" t="n">
        <v>0.07000000000000001</v>
      </c>
      <c r="F7287" s="1" t="n">
        <v>8.25</v>
      </c>
      <c r="G7287" s="1" t="n">
        <v>2.92</v>
      </c>
      <c r="H7287" s="1" t="n">
        <v>13</v>
      </c>
      <c r="I7287" s="1" t="n">
        <v>0.39</v>
      </c>
      <c r="J7287" t="n">
        <v>11434010</v>
      </c>
    </row>
    <row r="7288" ht="15.75" customHeight="1" s="201">
      <c r="A7288" s="1" t="inlineStr">
        <is>
          <t>Yogurt, Greek, strawberry, lowfat</t>
        </is>
      </c>
      <c r="C7288" s="1" t="n">
        <v>12.29</v>
      </c>
      <c r="D7288" s="1" t="n">
        <v>9</v>
      </c>
      <c r="E7288" s="1" t="n">
        <v>0.07000000000000001</v>
      </c>
      <c r="F7288" s="1" t="n">
        <v>8.17</v>
      </c>
      <c r="G7288" s="1" t="n">
        <v>2.57</v>
      </c>
      <c r="H7288" s="1" t="n">
        <v>111</v>
      </c>
      <c r="I7288" s="1" t="n">
        <v>0.41</v>
      </c>
      <c r="J7288" t="n">
        <v>11434010</v>
      </c>
    </row>
    <row r="7289" ht="15.75" customHeight="1" s="201">
      <c r="A7289" s="1" t="inlineStr">
        <is>
          <t>Yogurt, Greek, strawberry, nonfat</t>
        </is>
      </c>
      <c r="C7289" s="1" t="n">
        <v>12.07</v>
      </c>
      <c r="D7289" s="1" t="n">
        <v>20</v>
      </c>
      <c r="E7289" s="1" t="n">
        <v>0.09</v>
      </c>
      <c r="F7289" s="1" t="n">
        <v>8.050000000000001</v>
      </c>
      <c r="G7289" s="1" t="n">
        <v>0.15</v>
      </c>
      <c r="H7289" s="1" t="n">
        <v>4</v>
      </c>
      <c r="I7289" s="1" t="n">
        <v>0.45</v>
      </c>
      <c r="J7289" t="n">
        <v>11434010</v>
      </c>
    </row>
    <row r="7290" ht="15.75" customHeight="1" s="201">
      <c r="A7290" s="1" t="inlineStr">
        <is>
          <t>Yogurt, Greek, vanilla, lowfat</t>
        </is>
      </c>
      <c r="C7290" s="1" t="n">
        <v>9.539999999999999</v>
      </c>
      <c r="D7290" s="1" t="n">
        <v>9</v>
      </c>
      <c r="E7290" s="1" t="n">
        <v>0.04</v>
      </c>
      <c r="F7290" s="1" t="n">
        <v>8.640000000000001</v>
      </c>
      <c r="G7290" s="1" t="n">
        <v>2.5</v>
      </c>
      <c r="H7290" s="1" t="n">
        <v>371</v>
      </c>
      <c r="I7290" s="1" t="n">
        <v>0.46</v>
      </c>
      <c r="J7290" t="n">
        <v>11434010</v>
      </c>
    </row>
    <row r="7291" ht="15.75" customHeight="1" s="201">
      <c r="A7291" s="1" t="inlineStr">
        <is>
          <t>Yogurt, Greek, vanilla, nonfat</t>
        </is>
      </c>
      <c r="C7291" s="1" t="n">
        <v>10.37</v>
      </c>
      <c r="D7291" s="1" t="n">
        <v>11</v>
      </c>
      <c r="E7291" s="1" t="n">
        <v>0.04</v>
      </c>
      <c r="F7291" s="1" t="n">
        <v>8.640000000000001</v>
      </c>
      <c r="G7291" s="1" t="n">
        <v>0.18</v>
      </c>
      <c r="H7291" s="1" t="n">
        <v>0</v>
      </c>
      <c r="I7291" s="1" t="n">
        <v>0.46</v>
      </c>
      <c r="J7291" t="n">
        <v>11434010</v>
      </c>
    </row>
    <row r="7292" ht="15.75" customHeight="1" s="201">
      <c r="A7292" s="1" t="inlineStr">
        <is>
          <t>Yogurt, Greek, whole, plain, CHOBANI</t>
        </is>
      </c>
      <c r="C7292" s="1" t="n">
        <v>3.24</v>
      </c>
      <c r="E7292" s="1" t="n">
        <v>0.03</v>
      </c>
      <c r="F7292" s="1" t="n">
        <v>8.24</v>
      </c>
      <c r="G7292" s="1" t="n">
        <v>4.01</v>
      </c>
      <c r="H7292" s="1" t="n">
        <v>194</v>
      </c>
      <c r="J7292" t="n">
        <v>11434010</v>
      </c>
    </row>
    <row r="7293" ht="15.75" customHeight="1" s="201">
      <c r="A7293" s="1" t="inlineStr">
        <is>
          <t>Yogurt, plain, low fat</t>
        </is>
      </c>
      <c r="C7293" s="1" t="n">
        <v>7.04</v>
      </c>
      <c r="D7293" s="1" t="n">
        <v>11</v>
      </c>
      <c r="E7293" s="1" t="n">
        <v>0.08</v>
      </c>
      <c r="F7293" s="1" t="n">
        <v>5.25</v>
      </c>
      <c r="G7293" s="1" t="n">
        <v>1.55</v>
      </c>
      <c r="H7293" s="1" t="n">
        <v>51</v>
      </c>
      <c r="I7293" s="1" t="n">
        <v>0.89</v>
      </c>
      <c r="J7293" t="n">
        <v>11411010</v>
      </c>
    </row>
    <row r="7294" ht="15.75" customHeight="1" s="201">
      <c r="A7294" s="1" t="inlineStr">
        <is>
          <t>Yogurt, plain, skim milk</t>
        </is>
      </c>
      <c r="C7294" s="1" t="n">
        <v>7.68</v>
      </c>
      <c r="D7294" s="1" t="n">
        <v>12</v>
      </c>
      <c r="E7294" s="1" t="n">
        <v>0.09</v>
      </c>
      <c r="F7294" s="1" t="n">
        <v>5.73</v>
      </c>
      <c r="G7294" s="1" t="n">
        <v>0.18</v>
      </c>
      <c r="H7294" s="1" t="n">
        <v>7</v>
      </c>
      <c r="I7294" s="1" t="n">
        <v>0.97</v>
      </c>
      <c r="J7294" t="n">
        <v>91705010</v>
      </c>
    </row>
    <row r="7295" ht="15.75" customHeight="1" s="201">
      <c r="A7295" s="1" t="inlineStr">
        <is>
          <t>Yogurt, plain, whole milk</t>
        </is>
      </c>
      <c r="C7295" s="1" t="n">
        <v>4.66</v>
      </c>
      <c r="D7295" s="1" t="n">
        <v>7</v>
      </c>
      <c r="E7295" s="1" t="n">
        <v>0.05</v>
      </c>
      <c r="F7295" s="1" t="n">
        <v>3.47</v>
      </c>
      <c r="G7295" s="1" t="n">
        <v>3.25</v>
      </c>
      <c r="H7295" s="1" t="n">
        <v>99</v>
      </c>
      <c r="I7295" s="1" t="n">
        <v>0.59</v>
      </c>
      <c r="J7295" t="n">
        <v>91705010</v>
      </c>
    </row>
    <row r="7296" ht="15.75" customHeight="1" s="201">
      <c r="A7296" s="1" t="inlineStr">
        <is>
          <t>Yogurt, vanilla flavor, lowfat milk, sweetened with low calorie sweetener</t>
        </is>
      </c>
      <c r="C7296" s="1" t="n">
        <v>13.8</v>
      </c>
      <c r="D7296" s="1" t="n">
        <v>11</v>
      </c>
      <c r="E7296" s="1" t="n">
        <v>0.07000000000000001</v>
      </c>
      <c r="F7296" s="1" t="n">
        <v>4.93</v>
      </c>
      <c r="G7296" s="1" t="n">
        <v>1.25</v>
      </c>
      <c r="H7296" s="1" t="n">
        <v>43</v>
      </c>
      <c r="I7296" s="1" t="n">
        <v>0.83</v>
      </c>
      <c r="J7296" t="n">
        <v>53109200</v>
      </c>
    </row>
    <row r="7297" ht="15.75" customHeight="1" s="201">
      <c r="A7297" s="1" t="inlineStr">
        <is>
          <t>Yogurt, vanilla or lemon flavor, nonfat milk, sweetened with low-calorie sweetener</t>
        </is>
      </c>
      <c r="C7297" s="1" t="n">
        <v>7.5</v>
      </c>
      <c r="D7297" s="1" t="n">
        <v>8</v>
      </c>
      <c r="E7297" s="1" t="n">
        <v>0.12</v>
      </c>
      <c r="F7297" s="1" t="n">
        <v>3.86</v>
      </c>
      <c r="G7297" s="1" t="n">
        <v>0.18</v>
      </c>
      <c r="H7297" s="1" t="n">
        <v>6</v>
      </c>
      <c r="I7297" s="1" t="n">
        <v>0.67</v>
      </c>
      <c r="J7297" t="n">
        <v>53109200</v>
      </c>
    </row>
    <row r="7298" ht="15.75" customHeight="1" s="201">
      <c r="A7298" s="1" t="inlineStr">
        <is>
          <t>Yogurt, vanilla or lemon flavor, nonfat milk, sweetened with low-calorie sweetener, fortified with vitamin D</t>
        </is>
      </c>
      <c r="C7298" s="1" t="n">
        <v>7.5</v>
      </c>
      <c r="D7298" s="1" t="n">
        <v>8</v>
      </c>
      <c r="E7298" s="1" t="n">
        <v>0.12</v>
      </c>
      <c r="F7298" s="1" t="n">
        <v>3.86</v>
      </c>
      <c r="G7298" s="1" t="n">
        <v>0.18</v>
      </c>
      <c r="H7298" s="1" t="n">
        <v>6</v>
      </c>
      <c r="I7298" s="1" t="n">
        <v>0.67</v>
      </c>
      <c r="J7298" t="n">
        <v>75142550</v>
      </c>
    </row>
    <row r="7299" ht="15.75" customHeight="1" s="201">
      <c r="A7299" s="1" t="inlineStr">
        <is>
          <t>Yogurt, vanilla, low fat, fortified with vitamin D</t>
        </is>
      </c>
      <c r="C7299" s="1" t="n">
        <v>13.8</v>
      </c>
      <c r="D7299" s="1" t="n">
        <v>11</v>
      </c>
      <c r="E7299" s="1" t="n">
        <v>0.07000000000000001</v>
      </c>
      <c r="F7299" s="1" t="n">
        <v>4.93</v>
      </c>
      <c r="G7299" s="1" t="n">
        <v>1.25</v>
      </c>
      <c r="H7299" s="1" t="n">
        <v>43</v>
      </c>
      <c r="I7299" s="1" t="n">
        <v>0.83</v>
      </c>
      <c r="J7299" t="n">
        <v>75142550</v>
      </c>
    </row>
    <row r="7300" ht="15.75" customHeight="1" s="201">
      <c r="A7300" s="1" t="inlineStr">
        <is>
          <t>Yogurt, vanilla, low fat.</t>
        </is>
      </c>
      <c r="C7300" s="1" t="n">
        <v>13.8</v>
      </c>
      <c r="D7300" s="1" t="n">
        <v>11</v>
      </c>
      <c r="E7300" s="1" t="n">
        <v>0.07000000000000001</v>
      </c>
      <c r="F7300" s="1" t="n">
        <v>4.93</v>
      </c>
      <c r="G7300" s="1" t="n">
        <v>1.25</v>
      </c>
      <c r="H7300" s="1" t="n">
        <v>43</v>
      </c>
      <c r="I7300" s="1" t="n">
        <v>0.83</v>
      </c>
      <c r="J7300" t="n">
        <v>11461210</v>
      </c>
    </row>
    <row r="7301" ht="15.75" customHeight="1" s="201">
      <c r="A7301" s="1" t="inlineStr">
        <is>
          <t>Yogurt, vanilla, non-fat</t>
        </is>
      </c>
      <c r="C7301" s="1" t="n">
        <v>17.04</v>
      </c>
      <c r="D7301" s="1" t="n">
        <v>11</v>
      </c>
      <c r="E7301" s="1" t="n">
        <v>0</v>
      </c>
      <c r="F7301" s="1" t="n">
        <v>2.94</v>
      </c>
      <c r="G7301" s="1" t="n">
        <v>0</v>
      </c>
      <c r="H7301" s="1" t="n">
        <v>204</v>
      </c>
      <c r="I7301" s="1" t="n">
        <v>0.83</v>
      </c>
      <c r="J7301" t="n">
        <v>11461210</v>
      </c>
    </row>
    <row r="7302" ht="15.75" customHeight="1" s="201">
      <c r="A7302" s="1" t="inlineStr">
        <is>
          <t>Yokan, prepared from adzuki beans and sugar</t>
        </is>
      </c>
      <c r="C7302" s="1" t="n">
        <v>60.72</v>
      </c>
      <c r="D7302" s="1" t="n">
        <v>8</v>
      </c>
      <c r="E7302" s="1" t="n">
        <v>1.16</v>
      </c>
      <c r="F7302" s="1" t="n">
        <v>3.29</v>
      </c>
      <c r="G7302" s="1" t="n">
        <v>0.12</v>
      </c>
      <c r="H7302" s="1" t="n">
        <v>1</v>
      </c>
      <c r="I7302" s="1" t="n">
        <v>0.07000000000000001</v>
      </c>
      <c r="J7302" t="n">
        <v>24127210</v>
      </c>
    </row>
    <row r="7303" ht="15.75" customHeight="1" s="201">
      <c r="A7303" s="1" t="inlineStr">
        <is>
          <t>Zwieback</t>
        </is>
      </c>
      <c r="C7303" s="1" t="n">
        <v>74.2</v>
      </c>
      <c r="D7303" s="1" t="n">
        <v>87</v>
      </c>
      <c r="E7303" s="1" t="n">
        <v>0.6</v>
      </c>
      <c r="F7303" s="1" t="n">
        <v>10.1</v>
      </c>
      <c r="G7303" s="1" t="n">
        <v>9.699999999999999</v>
      </c>
      <c r="H7303" s="1" t="n">
        <v>58</v>
      </c>
      <c r="I7303" s="1" t="n">
        <v>0.54</v>
      </c>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J325"/>
  <sheetViews>
    <sheetView workbookViewId="0">
      <selection activeCell="A1" sqref="A1"/>
    </sheetView>
  </sheetViews>
  <sheetFormatPr baseColWidth="8" defaultColWidth="12.63" defaultRowHeight="15" customHeight="1"/>
  <cols>
    <col width="18.5" customWidth="1" style="201" min="1" max="1"/>
    <col width="28.13" customWidth="1" style="201" min="2" max="2"/>
    <col width="31.5" customWidth="1" style="201" min="3" max="3"/>
    <col width="19.5" customWidth="1" style="201" min="4" max="4"/>
    <col width="21.38" customWidth="1" style="201" min="5" max="5"/>
    <col width="33.5" customWidth="1" style="201" min="6" max="6"/>
    <col width="34" customWidth="1" style="201" min="7" max="7"/>
    <col width="28.63" customWidth="1" style="201" min="8" max="8"/>
    <col width="36.5" customWidth="1" style="201" min="9" max="9"/>
    <col width="8.880000000000001" customWidth="1" style="201" min="10" max="26"/>
  </cols>
  <sheetData>
    <row r="1">
      <c r="A1" s="6" t="inlineStr">
        <is>
          <t>FOOD COMMODITY GROUP</t>
        </is>
      </c>
      <c r="B1" s="6" t="inlineStr">
        <is>
          <t>Food commodity ITEM</t>
        </is>
      </c>
      <c r="C1" s="7" t="inlineStr">
        <is>
          <t>Carbon Footprint kg CO2eq/kg or l of food ITEM</t>
        </is>
      </c>
      <c r="D1" s="6" t="inlineStr">
        <is>
          <t>Uncertainty    low (L) high (H)</t>
        </is>
      </c>
      <c r="E1" s="6" t="inlineStr">
        <is>
          <t>Suggested CF value</t>
        </is>
      </c>
      <c r="F1" s="6" t="inlineStr">
        <is>
          <t>Food commodity TYPOLOGY</t>
        </is>
      </c>
      <c r="G1" s="7" t="inlineStr">
        <is>
          <t>Carbon Footprint g CO2eq/g o cc of food TYPOLOGY</t>
        </is>
      </c>
      <c r="H1" s="6" t="inlineStr">
        <is>
          <t>Food commodity sub-TYPOLOGY</t>
        </is>
      </c>
      <c r="I1" s="8" t="inlineStr">
        <is>
          <t>Carbon Footprint g CO2eq/g o cc of food sub-TYPOLOGY</t>
        </is>
      </c>
      <c r="J1" t="inlineStr">
        <is>
          <t>food_code</t>
        </is>
      </c>
    </row>
    <row r="2">
      <c r="A2" s="9" t="inlineStr">
        <is>
          <t>AGRICULTURAL PROCESSED</t>
        </is>
      </c>
      <c r="B2" s="2" t="inlineStr">
        <is>
          <t>BEER IN CAN</t>
        </is>
      </c>
      <c r="C2" s="10" t="n">
        <v>0.6899999999999999</v>
      </c>
      <c r="D2" s="10" t="inlineStr">
        <is>
          <t>L</t>
        </is>
      </c>
      <c r="E2" s="10" t="inlineStr">
        <is>
          <t>OK item</t>
        </is>
      </c>
      <c r="F2" s="3" t="inlineStr">
        <is>
          <t>BEER</t>
        </is>
      </c>
      <c r="G2" s="11" t="n">
        <v>0.6899999999999999</v>
      </c>
      <c r="H2" s="12" t="inlineStr">
        <is>
          <t>-</t>
        </is>
      </c>
      <c r="I2" s="13" t="inlineStr">
        <is>
          <t>-</t>
        </is>
      </c>
      <c r="J2" t="n">
        <v>92803000</v>
      </c>
    </row>
    <row r="3">
      <c r="A3" s="14" t="inlineStr">
        <is>
          <t>AGRICULTURAL PROCESSED</t>
        </is>
      </c>
      <c r="B3" s="4" t="inlineStr">
        <is>
          <t>BEER IN GLASS</t>
        </is>
      </c>
      <c r="C3" s="15" t="n">
        <v>0.96</v>
      </c>
      <c r="D3" s="15" t="inlineStr">
        <is>
          <t>L</t>
        </is>
      </c>
      <c r="E3" s="15" t="inlineStr">
        <is>
          <t>OK item</t>
        </is>
      </c>
      <c r="F3" s="5" t="inlineStr">
        <is>
          <t>BEER</t>
        </is>
      </c>
      <c r="G3" s="16" t="n">
        <v>0.6899999999999999</v>
      </c>
      <c r="H3" s="17" t="inlineStr">
        <is>
          <t>-</t>
        </is>
      </c>
      <c r="I3" s="18" t="inlineStr">
        <is>
          <t>-</t>
        </is>
      </c>
      <c r="J3" t="n">
        <v>92803000</v>
      </c>
    </row>
    <row r="4">
      <c r="A4" s="14" t="inlineStr">
        <is>
          <t>AGRICULTURAL PROCESSED</t>
        </is>
      </c>
      <c r="B4" s="4" t="inlineStr">
        <is>
          <t>BEER MODULAR CAN</t>
        </is>
      </c>
      <c r="C4" s="15" t="n">
        <v>0.53</v>
      </c>
      <c r="D4" s="15" t="inlineStr">
        <is>
          <t>L</t>
        </is>
      </c>
      <c r="E4" s="15" t="inlineStr">
        <is>
          <t>OK item</t>
        </is>
      </c>
      <c r="F4" s="5" t="inlineStr">
        <is>
          <t>BEER</t>
        </is>
      </c>
      <c r="G4" s="16" t="n">
        <v>0.6899999999999999</v>
      </c>
      <c r="H4" s="17" t="inlineStr">
        <is>
          <t>-</t>
        </is>
      </c>
      <c r="I4" s="18" t="inlineStr">
        <is>
          <t>-</t>
        </is>
      </c>
      <c r="J4" t="n">
        <v>92803000</v>
      </c>
    </row>
    <row r="5">
      <c r="A5" s="14" t="inlineStr">
        <is>
          <t>AGRICULTURAL PROCESSED</t>
        </is>
      </c>
      <c r="B5" s="4" t="inlineStr">
        <is>
          <t>CHOCOLATE OR CREAM FILLED COOKIES**</t>
        </is>
      </c>
      <c r="C5" s="15" t="n">
        <v>1.53</v>
      </c>
      <c r="D5" s="15" t="inlineStr">
        <is>
          <t>L</t>
        </is>
      </c>
      <c r="E5" s="15" t="inlineStr">
        <is>
          <t>OK item</t>
        </is>
      </c>
      <c r="F5" s="5" t="inlineStr">
        <is>
          <t>BISCUITS</t>
        </is>
      </c>
      <c r="G5" s="16" t="n">
        <v>1.47</v>
      </c>
      <c r="H5" s="17" t="inlineStr">
        <is>
          <t>-</t>
        </is>
      </c>
      <c r="I5" s="18" t="inlineStr">
        <is>
          <t>-</t>
        </is>
      </c>
      <c r="J5" t="n">
        <v>53108200</v>
      </c>
    </row>
    <row r="6">
      <c r="A6" s="14" t="inlineStr">
        <is>
          <t>AGRICULTURAL PROCESSED</t>
        </is>
      </c>
      <c r="B6" s="4" t="inlineStr">
        <is>
          <t>SIMPLE COOKIES**</t>
        </is>
      </c>
      <c r="C6" s="15" t="n">
        <v>1.39</v>
      </c>
      <c r="D6" s="15" t="inlineStr">
        <is>
          <t>L</t>
        </is>
      </c>
      <c r="E6" s="15" t="inlineStr">
        <is>
          <t>OK item</t>
        </is>
      </c>
      <c r="F6" s="5" t="inlineStr">
        <is>
          <t>BISCUITS</t>
        </is>
      </c>
      <c r="G6" s="16" t="n">
        <v>1.47</v>
      </c>
      <c r="H6" s="17" t="inlineStr">
        <is>
          <t>-</t>
        </is>
      </c>
      <c r="I6" s="18" t="inlineStr">
        <is>
          <t>-</t>
        </is>
      </c>
      <c r="J6" t="n">
        <v>53241500</v>
      </c>
    </row>
    <row r="7">
      <c r="A7" s="14" t="inlineStr">
        <is>
          <t>AGRICULTURAL PROCESSED</t>
        </is>
      </c>
      <c r="B7" s="4" t="inlineStr">
        <is>
          <t>MINERAL WATER*</t>
        </is>
      </c>
      <c r="C7" s="15" t="n">
        <v>0.49</v>
      </c>
      <c r="D7" s="15" t="inlineStr">
        <is>
          <t>H</t>
        </is>
      </c>
      <c r="E7" s="5" t="inlineStr">
        <is>
          <t>Item matching typology</t>
        </is>
      </c>
      <c r="F7" s="5" t="inlineStr">
        <is>
          <t>BOTTLED WATER* (mineral water)</t>
        </is>
      </c>
      <c r="G7" s="16" t="n">
        <v>0.49</v>
      </c>
      <c r="H7" s="17" t="inlineStr">
        <is>
          <t>-</t>
        </is>
      </c>
      <c r="I7" s="18" t="inlineStr">
        <is>
          <t>-</t>
        </is>
      </c>
      <c r="J7" t="n">
        <v>11740312</v>
      </c>
    </row>
    <row r="8">
      <c r="A8" s="14" t="inlineStr">
        <is>
          <t>AGRICULTURAL PROCESSED</t>
        </is>
      </c>
      <c r="B8" s="4" t="inlineStr">
        <is>
          <t>BREAD MULTICEREAL**</t>
        </is>
      </c>
      <c r="C8" s="15" t="n">
        <v>0.7</v>
      </c>
      <c r="D8" s="15" t="inlineStr">
        <is>
          <t>H</t>
        </is>
      </c>
      <c r="E8" s="15" t="inlineStr">
        <is>
          <t>better typology</t>
        </is>
      </c>
      <c r="F8" s="5" t="inlineStr">
        <is>
          <t>BREAD</t>
        </is>
      </c>
      <c r="G8" s="16" t="n">
        <v>0.86</v>
      </c>
      <c r="H8" s="17" t="inlineStr">
        <is>
          <t>-</t>
        </is>
      </c>
      <c r="I8" s="18" t="inlineStr">
        <is>
          <t>-</t>
        </is>
      </c>
      <c r="J8" t="n">
        <v>52405010</v>
      </c>
    </row>
    <row r="9">
      <c r="A9" s="14" t="inlineStr">
        <is>
          <t>AGRICULTURAL PROCESSED</t>
        </is>
      </c>
      <c r="B9" s="4" t="inlineStr">
        <is>
          <t>BREAD PLAIN**</t>
        </is>
      </c>
      <c r="C9" s="15" t="n">
        <v>0.89</v>
      </c>
      <c r="D9" s="15" t="inlineStr">
        <is>
          <t>L</t>
        </is>
      </c>
      <c r="E9" s="15" t="inlineStr">
        <is>
          <t>OK item</t>
        </is>
      </c>
      <c r="F9" s="5" t="inlineStr">
        <is>
          <t>BREAD</t>
        </is>
      </c>
      <c r="G9" s="16" t="n">
        <v>0.86</v>
      </c>
      <c r="H9" s="17" t="inlineStr">
        <is>
          <t>-</t>
        </is>
      </c>
      <c r="I9" s="18" t="inlineStr">
        <is>
          <t>-</t>
        </is>
      </c>
      <c r="J9" t="n">
        <v>52405010</v>
      </c>
    </row>
    <row r="10">
      <c r="A10" s="14" t="inlineStr">
        <is>
          <t>AGRICULTURAL PROCESSED</t>
        </is>
      </c>
      <c r="B10" s="4" t="inlineStr">
        <is>
          <t>BREAD WHOLE**</t>
        </is>
      </c>
      <c r="C10" s="15" t="n">
        <v>0.77</v>
      </c>
      <c r="D10" s="15" t="inlineStr">
        <is>
          <t>L</t>
        </is>
      </c>
      <c r="E10" s="15" t="inlineStr">
        <is>
          <t>OK item</t>
        </is>
      </c>
      <c r="F10" s="5" t="inlineStr">
        <is>
          <t>BREAD</t>
        </is>
      </c>
      <c r="G10" s="16" t="n">
        <v>0.86</v>
      </c>
      <c r="H10" s="17" t="inlineStr">
        <is>
          <t>-</t>
        </is>
      </c>
      <c r="I10" s="18" t="inlineStr">
        <is>
          <t>-</t>
        </is>
      </c>
      <c r="J10" t="n">
        <v>14640006</v>
      </c>
    </row>
    <row r="11">
      <c r="A11" s="14" t="inlineStr">
        <is>
          <t>AGRICULTURAL PROCESSED</t>
        </is>
      </c>
      <c r="B11" s="4" t="inlineStr">
        <is>
          <t>BREAD FROZEN (F)*</t>
        </is>
      </c>
      <c r="C11" s="15" t="n">
        <v>1.31</v>
      </c>
      <c r="D11" s="15" t="inlineStr">
        <is>
          <t>H</t>
        </is>
      </c>
      <c r="E11" s="5" t="inlineStr">
        <is>
          <t>Item matching typology</t>
        </is>
      </c>
      <c r="F11" s="5" t="inlineStr">
        <is>
          <t>BREAD FROZEN* (rolls frozen)</t>
        </is>
      </c>
      <c r="G11" s="16" t="n">
        <v>1.31</v>
      </c>
      <c r="H11" s="17" t="inlineStr">
        <is>
          <t>-</t>
        </is>
      </c>
      <c r="I11" s="18" t="inlineStr">
        <is>
          <t>-</t>
        </is>
      </c>
      <c r="J11" t="n">
        <v>52405010</v>
      </c>
    </row>
    <row r="12">
      <c r="A12" s="14" t="inlineStr">
        <is>
          <t>AGRICULTURAL PROCESSED</t>
        </is>
      </c>
      <c r="B12" s="4" t="inlineStr">
        <is>
          <t>CORNFLAKES*</t>
        </is>
      </c>
      <c r="C12" s="15" t="n">
        <v>2.64</v>
      </c>
      <c r="D12" s="15" t="inlineStr">
        <is>
          <t>H</t>
        </is>
      </c>
      <c r="E12" s="5" t="inlineStr">
        <is>
          <t>Item matching typology</t>
        </is>
      </c>
      <c r="F12" s="5" t="inlineStr">
        <is>
          <t>BREAKFAST CEREALS* (cornflakes)</t>
        </is>
      </c>
      <c r="G12" s="16" t="n">
        <v>2.64</v>
      </c>
      <c r="H12" s="17" t="inlineStr">
        <is>
          <t>-</t>
        </is>
      </c>
      <c r="I12" s="18" t="inlineStr">
        <is>
          <t>-</t>
        </is>
      </c>
    </row>
    <row r="13">
      <c r="A13" s="14" t="inlineStr">
        <is>
          <t>AGRICULTURAL PROCESSED</t>
        </is>
      </c>
      <c r="B13" s="4" t="inlineStr">
        <is>
          <t>DARK CHOCOLATE</t>
        </is>
      </c>
      <c r="C13" s="15" t="n">
        <v>2.71</v>
      </c>
      <c r="D13" s="15" t="inlineStr">
        <is>
          <t>H</t>
        </is>
      </c>
      <c r="E13" s="15" t="inlineStr">
        <is>
          <t>better typology</t>
        </is>
      </c>
      <c r="F13" s="5" t="inlineStr">
        <is>
          <t>CHOCOLATE</t>
        </is>
      </c>
      <c r="G13" s="16" t="n">
        <v>3.16</v>
      </c>
      <c r="H13" s="17" t="inlineStr">
        <is>
          <t>-</t>
        </is>
      </c>
      <c r="I13" s="18" t="inlineStr">
        <is>
          <t>-</t>
        </is>
      </c>
      <c r="J13" t="n">
        <v>53108200</v>
      </c>
    </row>
    <row r="14">
      <c r="A14" s="14" t="inlineStr">
        <is>
          <t>AGRICULTURAL PROCESSED</t>
        </is>
      </c>
      <c r="B14" s="4" t="inlineStr">
        <is>
          <t>MILK CHOCOLATE</t>
        </is>
      </c>
      <c r="C14" s="15" t="n">
        <v>3.6</v>
      </c>
      <c r="D14" s="15" t="inlineStr">
        <is>
          <t>H</t>
        </is>
      </c>
      <c r="E14" s="15" t="inlineStr">
        <is>
          <t>better typology</t>
        </is>
      </c>
      <c r="F14" s="5" t="inlineStr">
        <is>
          <t>CHOCOLATE</t>
        </is>
      </c>
      <c r="G14" s="16" t="n">
        <v>3.16</v>
      </c>
      <c r="H14" s="17" t="inlineStr">
        <is>
          <t>-</t>
        </is>
      </c>
      <c r="I14" s="18" t="inlineStr">
        <is>
          <t>-</t>
        </is>
      </c>
      <c r="J14" t="n">
        <v>53108200</v>
      </c>
    </row>
    <row r="15">
      <c r="A15" s="14" t="inlineStr">
        <is>
          <t>AGRICULTURAL PROCESSED</t>
        </is>
      </c>
      <c r="B15" s="4" t="inlineStr">
        <is>
          <t>COFFEE GROUND</t>
        </is>
      </c>
      <c r="C15" s="15" t="n">
        <v>5.13</v>
      </c>
      <c r="D15" s="15" t="inlineStr">
        <is>
          <t>H</t>
        </is>
      </c>
      <c r="E15" s="15" t="inlineStr">
        <is>
          <t>better typology</t>
        </is>
      </c>
      <c r="F15" s="5" t="inlineStr">
        <is>
          <t>COFFEE GROUND &amp; PARCHMENT</t>
        </is>
      </c>
      <c r="G15" s="16" t="n">
        <v>6.71</v>
      </c>
      <c r="H15" s="17" t="inlineStr">
        <is>
          <t>-</t>
        </is>
      </c>
      <c r="I15" s="18" t="inlineStr">
        <is>
          <t>-</t>
        </is>
      </c>
      <c r="J15" t="n">
        <v>53610100</v>
      </c>
    </row>
    <row r="16">
      <c r="A16" s="14" t="inlineStr">
        <is>
          <t>AGRICULTURAL PROCESSED</t>
        </is>
      </c>
      <c r="B16" s="4" t="inlineStr">
        <is>
          <t>COFFEE PARCHMENT</t>
        </is>
      </c>
      <c r="C16" s="15" t="n">
        <v>8.289999999999999</v>
      </c>
      <c r="D16" s="15" t="inlineStr">
        <is>
          <t>L</t>
        </is>
      </c>
      <c r="E16" s="15" t="inlineStr">
        <is>
          <t>OK item</t>
        </is>
      </c>
      <c r="F16" s="5" t="inlineStr">
        <is>
          <t>COFFEE GROUND &amp; PARCHMENT</t>
        </is>
      </c>
      <c r="G16" s="16" t="n">
        <v>6.71</v>
      </c>
      <c r="H16" s="17" t="inlineStr">
        <is>
          <t>-</t>
        </is>
      </c>
      <c r="I16" s="18" t="inlineStr">
        <is>
          <t>-</t>
        </is>
      </c>
      <c r="J16" t="n">
        <v>53610100</v>
      </c>
    </row>
    <row r="17">
      <c r="A17" s="14" t="inlineStr">
        <is>
          <t>AGRICULTURAL PROCESSED</t>
        </is>
      </c>
      <c r="B17" s="4" t="inlineStr">
        <is>
          <t>COFFEE DRIP FILTERED (L)</t>
        </is>
      </c>
      <c r="C17" s="15" t="n">
        <v>0.6</v>
      </c>
      <c r="D17" s="15" t="inlineStr">
        <is>
          <t>H</t>
        </is>
      </c>
      <c r="E17" s="15" t="inlineStr">
        <is>
          <t>better typology</t>
        </is>
      </c>
      <c r="F17" s="5" t="inlineStr">
        <is>
          <t>COFFEE LIQUID</t>
        </is>
      </c>
      <c r="G17" s="16" t="n">
        <v>0.55</v>
      </c>
      <c r="H17" s="17" t="inlineStr">
        <is>
          <t>-</t>
        </is>
      </c>
      <c r="I17" s="18" t="inlineStr">
        <is>
          <t>-</t>
        </is>
      </c>
      <c r="J17" t="n">
        <v>53610100</v>
      </c>
    </row>
    <row r="18">
      <c r="A18" s="14" t="inlineStr">
        <is>
          <t>AGRICULTURAL PROCESSED</t>
        </is>
      </c>
      <c r="B18" s="4" t="inlineStr">
        <is>
          <t>COFFEE SOLUBLE POWDER (L)</t>
        </is>
      </c>
      <c r="C18" s="15" t="n">
        <v>0.33</v>
      </c>
      <c r="D18" s="15" t="inlineStr">
        <is>
          <t>H</t>
        </is>
      </c>
      <c r="E18" s="15" t="inlineStr">
        <is>
          <t>better typology</t>
        </is>
      </c>
      <c r="F18" s="5" t="inlineStr">
        <is>
          <t>COFFEE LIQUID</t>
        </is>
      </c>
      <c r="G18" s="16" t="n">
        <v>0.55</v>
      </c>
      <c r="H18" s="17" t="inlineStr">
        <is>
          <t>-</t>
        </is>
      </c>
      <c r="I18" s="18" t="inlineStr">
        <is>
          <t>-</t>
        </is>
      </c>
      <c r="J18" t="n">
        <v>12210420</v>
      </c>
    </row>
    <row r="19">
      <c r="A19" s="14" t="inlineStr">
        <is>
          <t>AGRICULTURAL PROCESSED</t>
        </is>
      </c>
      <c r="B19" s="4" t="inlineStr">
        <is>
          <t>ESPRESSO (L)</t>
        </is>
      </c>
      <c r="C19" s="15" t="n">
        <v>0.55</v>
      </c>
      <c r="D19" s="15" t="inlineStr">
        <is>
          <t>H</t>
        </is>
      </c>
      <c r="E19" s="15" t="inlineStr">
        <is>
          <t>better typology</t>
        </is>
      </c>
      <c r="F19" s="5" t="inlineStr">
        <is>
          <t>COFFEE LIQUID</t>
        </is>
      </c>
      <c r="G19" s="16" t="n">
        <v>0.55</v>
      </c>
      <c r="H19" s="17" t="inlineStr">
        <is>
          <t>-</t>
        </is>
      </c>
      <c r="I19" s="18" t="inlineStr">
        <is>
          <t>-</t>
        </is>
      </c>
      <c r="J19" t="n">
        <v>92101610</v>
      </c>
    </row>
    <row r="20">
      <c r="A20" s="14" t="inlineStr">
        <is>
          <t>AGRICULTURAL PROCESSED</t>
        </is>
      </c>
      <c r="B20" s="4" t="inlineStr">
        <is>
          <t>FLAVORED CRACKERS**</t>
        </is>
      </c>
      <c r="C20" s="15" t="n">
        <v>0.93</v>
      </c>
      <c r="D20" s="15" t="inlineStr">
        <is>
          <t>L</t>
        </is>
      </c>
      <c r="E20" s="15" t="inlineStr">
        <is>
          <t>OK item</t>
        </is>
      </c>
      <c r="F20" s="5" t="inlineStr">
        <is>
          <t>CRACKERS</t>
        </is>
      </c>
      <c r="G20" s="16" t="n">
        <v>0.98</v>
      </c>
      <c r="H20" s="17" t="inlineStr">
        <is>
          <t>-</t>
        </is>
      </c>
      <c r="I20" s="18" t="inlineStr">
        <is>
          <t>-</t>
        </is>
      </c>
      <c r="J20" t="n">
        <v>54326000</v>
      </c>
    </row>
    <row r="21" ht="15.75" customHeight="1" s="201">
      <c r="A21" s="14" t="inlineStr">
        <is>
          <t>AGRICULTURAL PROCESSED</t>
        </is>
      </c>
      <c r="B21" s="4" t="inlineStr">
        <is>
          <t>PLAIN CRACKERS**</t>
        </is>
      </c>
      <c r="C21" s="15" t="n">
        <v>1.35</v>
      </c>
      <c r="D21" s="15" t="inlineStr">
        <is>
          <t>L</t>
        </is>
      </c>
      <c r="E21" s="15" t="inlineStr">
        <is>
          <t>OK item</t>
        </is>
      </c>
      <c r="F21" s="5" t="inlineStr">
        <is>
          <t>CRACKERS</t>
        </is>
      </c>
      <c r="G21" s="16" t="n">
        <v>0.98</v>
      </c>
      <c r="H21" s="17" t="inlineStr">
        <is>
          <t>-</t>
        </is>
      </c>
      <c r="I21" s="18" t="inlineStr">
        <is>
          <t>-</t>
        </is>
      </c>
      <c r="J21" t="n">
        <v>54326000</v>
      </c>
    </row>
    <row r="22" ht="15.75" customHeight="1" s="201">
      <c r="A22" s="14" t="inlineStr">
        <is>
          <t>AGRICULTURAL PROCESSED</t>
        </is>
      </c>
      <c r="B22" s="4" t="inlineStr">
        <is>
          <t>WHOLEGRAIN CRACKERS**</t>
        </is>
      </c>
      <c r="C22" s="15" t="n">
        <v>0.97</v>
      </c>
      <c r="D22" s="15" t="inlineStr">
        <is>
          <t>L</t>
        </is>
      </c>
      <c r="E22" s="15" t="inlineStr">
        <is>
          <t>OK item</t>
        </is>
      </c>
      <c r="F22" s="5" t="inlineStr">
        <is>
          <t>CRACKERS</t>
        </is>
      </c>
      <c r="G22" s="16" t="n">
        <v>0.98</v>
      </c>
      <c r="H22" s="17" t="inlineStr">
        <is>
          <t>-</t>
        </is>
      </c>
      <c r="I22" s="18" t="inlineStr">
        <is>
          <t>-</t>
        </is>
      </c>
      <c r="J22" t="n">
        <v>54326000</v>
      </c>
    </row>
    <row r="23" ht="15.75" customHeight="1" s="201">
      <c r="A23" s="14" t="inlineStr">
        <is>
          <t>AGRICULTURAL PROCESSED</t>
        </is>
      </c>
      <c r="B23" s="4" t="inlineStr">
        <is>
          <t>CRISPBREAD**</t>
        </is>
      </c>
      <c r="C23" s="15" t="n">
        <v>1.35</v>
      </c>
      <c r="D23" s="15" t="inlineStr">
        <is>
          <t>L</t>
        </is>
      </c>
      <c r="E23" s="15" t="inlineStr">
        <is>
          <t>OK item</t>
        </is>
      </c>
      <c r="F23" s="5" t="inlineStr">
        <is>
          <t>CRISPBREAD**</t>
        </is>
      </c>
      <c r="G23" s="16" t="n">
        <v>1.35</v>
      </c>
      <c r="H23" s="17" t="inlineStr">
        <is>
          <t>-</t>
        </is>
      </c>
      <c r="I23" s="18" t="inlineStr">
        <is>
          <t>-</t>
        </is>
      </c>
    </row>
    <row r="24" ht="15.75" customHeight="1" s="201">
      <c r="A24" s="14" t="inlineStr">
        <is>
          <t>AGRICULTURAL PROCESSED</t>
        </is>
      </c>
      <c r="B24" s="4" t="inlineStr">
        <is>
          <t>KETCHUP</t>
        </is>
      </c>
      <c r="C24" s="15" t="n">
        <v>1.46</v>
      </c>
      <c r="D24" s="15" t="inlineStr">
        <is>
          <t>H</t>
        </is>
      </c>
      <c r="E24" s="15" t="inlineStr">
        <is>
          <t>better typology</t>
        </is>
      </c>
      <c r="F24" s="5" t="inlineStr">
        <is>
          <t>DRESSING</t>
        </is>
      </c>
      <c r="G24" s="16" t="n">
        <v>1.46</v>
      </c>
      <c r="H24" s="17" t="inlineStr">
        <is>
          <t>-</t>
        </is>
      </c>
      <c r="I24" s="18" t="inlineStr">
        <is>
          <t>-</t>
        </is>
      </c>
      <c r="J24" t="n">
        <v>74401010</v>
      </c>
    </row>
    <row r="25" ht="15.75" customHeight="1" s="201">
      <c r="A25" s="14" t="inlineStr">
        <is>
          <t>AGRICULTURAL PROCESSED</t>
        </is>
      </c>
      <c r="B25" s="4" t="inlineStr">
        <is>
          <t>MAYONNAISE</t>
        </is>
      </c>
      <c r="C25" s="5" t="n">
        <v>2.04</v>
      </c>
      <c r="D25" s="15" t="inlineStr">
        <is>
          <t>H</t>
        </is>
      </c>
      <c r="E25" s="15" t="inlineStr">
        <is>
          <t>better typology</t>
        </is>
      </c>
      <c r="F25" s="5" t="inlineStr">
        <is>
          <t>DRESSING</t>
        </is>
      </c>
      <c r="G25" s="16" t="n">
        <v>1.46</v>
      </c>
      <c r="H25" s="17" t="inlineStr">
        <is>
          <t>-</t>
        </is>
      </c>
      <c r="I25" s="18" t="inlineStr">
        <is>
          <t>-</t>
        </is>
      </c>
      <c r="J25" t="n">
        <v>75141000</v>
      </c>
    </row>
    <row r="26" ht="15.75" customHeight="1" s="201">
      <c r="A26" s="14" t="inlineStr">
        <is>
          <t>AGRICULTURAL PROCESSED</t>
        </is>
      </c>
      <c r="B26" s="4" t="inlineStr">
        <is>
          <t>TEMPE'</t>
        </is>
      </c>
      <c r="C26" s="15" t="n">
        <v>1.1</v>
      </c>
      <c r="D26" s="15" t="inlineStr">
        <is>
          <t>H</t>
        </is>
      </c>
      <c r="E26" s="15" t="inlineStr">
        <is>
          <t>better typology</t>
        </is>
      </c>
      <c r="F26" s="5" t="inlineStr">
        <is>
          <t>DRESSING</t>
        </is>
      </c>
      <c r="G26" s="16" t="n">
        <v>1.46</v>
      </c>
      <c r="H26" s="17" t="inlineStr">
        <is>
          <t>-</t>
        </is>
      </c>
      <c r="I26" s="18" t="inlineStr">
        <is>
          <t>-</t>
        </is>
      </c>
    </row>
    <row r="27" ht="15.75" customHeight="1" s="201">
      <c r="A27" s="14" t="inlineStr">
        <is>
          <t>AGRICULTURAL PROCESSED</t>
        </is>
      </c>
      <c r="B27" s="4" t="inlineStr">
        <is>
          <t>EGG PASTA*</t>
        </is>
      </c>
      <c r="C27" s="15" t="n">
        <v>3.15</v>
      </c>
      <c r="D27" s="15" t="inlineStr">
        <is>
          <t>L</t>
        </is>
      </c>
      <c r="E27" s="5" t="inlineStr">
        <is>
          <t>Item matching typology</t>
        </is>
      </c>
      <c r="F27" s="5" t="inlineStr">
        <is>
          <t>EGG PASTA*</t>
        </is>
      </c>
      <c r="G27" s="16" t="n">
        <v>3.15</v>
      </c>
      <c r="H27" s="17" t="inlineStr">
        <is>
          <t>-</t>
        </is>
      </c>
      <c r="I27" s="18" t="inlineStr">
        <is>
          <t>-</t>
        </is>
      </c>
      <c r="J27" t="n">
        <v>58147510</v>
      </c>
    </row>
    <row r="28" ht="15.75" customHeight="1" s="201">
      <c r="A28" s="14" t="inlineStr">
        <is>
          <t>AGRICULTURAL PROCESSED</t>
        </is>
      </c>
      <c r="B28" s="4" t="inlineStr">
        <is>
          <t>RASPBERRIES (F)*</t>
        </is>
      </c>
      <c r="C28" s="15" t="n">
        <v>1.18</v>
      </c>
      <c r="D28" s="15" t="inlineStr">
        <is>
          <t>H</t>
        </is>
      </c>
      <c r="E28" s="5" t="inlineStr">
        <is>
          <t>Item matching typology</t>
        </is>
      </c>
      <c r="F28" s="5" t="inlineStr">
        <is>
          <t>FRUIT FROZEN* (raspberry)</t>
        </is>
      </c>
      <c r="G28" s="16" t="n">
        <v>1.18</v>
      </c>
      <c r="H28" s="17" t="inlineStr">
        <is>
          <t>-</t>
        </is>
      </c>
      <c r="I28" s="18" t="inlineStr">
        <is>
          <t>-</t>
        </is>
      </c>
      <c r="J28" t="n">
        <v>63219000</v>
      </c>
    </row>
    <row r="29" ht="15.75" customHeight="1" s="201">
      <c r="A29" s="14" t="inlineStr">
        <is>
          <t>AGRICULTURAL PROCESSED</t>
        </is>
      </c>
      <c r="B29" s="4" t="inlineStr">
        <is>
          <t>APPLE JUICE (I)</t>
        </is>
      </c>
      <c r="C29" s="15" t="n">
        <v>2.84</v>
      </c>
      <c r="D29" s="15" t="inlineStr">
        <is>
          <t>H</t>
        </is>
      </c>
      <c r="E29" s="15" t="inlineStr">
        <is>
          <t>better typology</t>
        </is>
      </c>
      <c r="F29" s="5" t="inlineStr">
        <is>
          <t>FRUIT JUICE (imported ingredients)</t>
        </is>
      </c>
      <c r="G29" s="16" t="n">
        <v>2.86</v>
      </c>
      <c r="H29" s="17" t="inlineStr">
        <is>
          <t>-</t>
        </is>
      </c>
      <c r="I29" s="18" t="inlineStr">
        <is>
          <t>-</t>
        </is>
      </c>
      <c r="J29" t="n">
        <v>64100110</v>
      </c>
    </row>
    <row r="30" ht="15.75" customHeight="1" s="201">
      <c r="A30" s="14" t="inlineStr">
        <is>
          <t>AGRICULTURAL PROCESSED</t>
        </is>
      </c>
      <c r="B30" s="4" t="inlineStr">
        <is>
          <t>BLUEBERRY JUICE (I)</t>
        </is>
      </c>
      <c r="C30" s="15" t="n">
        <v>3</v>
      </c>
      <c r="D30" s="15" t="inlineStr">
        <is>
          <t>H</t>
        </is>
      </c>
      <c r="E30" s="15" t="inlineStr">
        <is>
          <t>better typology</t>
        </is>
      </c>
      <c r="F30" s="5" t="inlineStr">
        <is>
          <t>FRUIT JUICE (imported ingredients)</t>
        </is>
      </c>
      <c r="G30" s="16" t="n">
        <v>2.86</v>
      </c>
      <c r="H30" s="17" t="inlineStr">
        <is>
          <t>-</t>
        </is>
      </c>
      <c r="I30" s="18" t="inlineStr">
        <is>
          <t>-</t>
        </is>
      </c>
      <c r="J30" t="n">
        <v>64100110</v>
      </c>
    </row>
    <row r="31" ht="15.75" customHeight="1" s="201">
      <c r="A31" s="14" t="inlineStr">
        <is>
          <t>AGRICULTURAL PROCESSED</t>
        </is>
      </c>
      <c r="B31" s="4" t="inlineStr">
        <is>
          <t>CRANBERRY JUICE (I)</t>
        </is>
      </c>
      <c r="C31" s="15" t="n">
        <v>2.88</v>
      </c>
      <c r="D31" s="15" t="inlineStr">
        <is>
          <t>H</t>
        </is>
      </c>
      <c r="E31" s="15" t="inlineStr">
        <is>
          <t>better typology</t>
        </is>
      </c>
      <c r="F31" s="5" t="inlineStr">
        <is>
          <t>FRUIT JUICE (imported ingredients)</t>
        </is>
      </c>
      <c r="G31" s="16" t="n">
        <v>2.86</v>
      </c>
      <c r="H31" s="17" t="inlineStr">
        <is>
          <t>-</t>
        </is>
      </c>
      <c r="I31" s="18" t="inlineStr">
        <is>
          <t>-</t>
        </is>
      </c>
      <c r="J31" t="n">
        <v>64100220</v>
      </c>
    </row>
    <row r="32" ht="15.75" customHeight="1" s="201">
      <c r="A32" s="14" t="inlineStr">
        <is>
          <t>AGRICULTURAL PROCESSED</t>
        </is>
      </c>
      <c r="B32" s="4" t="inlineStr">
        <is>
          <t>FIG JUICE (I)</t>
        </is>
      </c>
      <c r="C32" s="15" t="n">
        <v>3.2</v>
      </c>
      <c r="D32" s="15" t="inlineStr">
        <is>
          <t>H</t>
        </is>
      </c>
      <c r="E32" s="15" t="inlineStr">
        <is>
          <t>better typology</t>
        </is>
      </c>
      <c r="F32" s="5" t="inlineStr">
        <is>
          <t>FRUIT JUICE (imported ingredients)</t>
        </is>
      </c>
      <c r="G32" s="16" t="n">
        <v>2.86</v>
      </c>
      <c r="H32" s="17" t="inlineStr">
        <is>
          <t>-</t>
        </is>
      </c>
      <c r="I32" s="18" t="inlineStr">
        <is>
          <t>-</t>
        </is>
      </c>
      <c r="J32" t="n">
        <v>64100110</v>
      </c>
    </row>
    <row r="33" ht="15.75" customHeight="1" s="201">
      <c r="A33" s="14" t="inlineStr">
        <is>
          <t>AGRICULTURAL PROCESSED</t>
        </is>
      </c>
      <c r="B33" s="4" t="inlineStr">
        <is>
          <t>KIWI JUICE (I)</t>
        </is>
      </c>
      <c r="C33" s="15" t="n">
        <v>2.84</v>
      </c>
      <c r="D33" s="15" t="inlineStr">
        <is>
          <t>H</t>
        </is>
      </c>
      <c r="E33" s="15" t="inlineStr">
        <is>
          <t>better typology</t>
        </is>
      </c>
      <c r="F33" s="5" t="inlineStr">
        <is>
          <t>FRUIT JUICE (imported ingredients)</t>
        </is>
      </c>
      <c r="G33" s="16" t="n">
        <v>2.86</v>
      </c>
      <c r="H33" s="17" t="inlineStr">
        <is>
          <t>-</t>
        </is>
      </c>
      <c r="I33" s="18" t="inlineStr">
        <is>
          <t>-</t>
        </is>
      </c>
      <c r="J33" t="n">
        <v>64100110</v>
      </c>
    </row>
    <row r="34" ht="15.75" customHeight="1" s="201">
      <c r="A34" s="14" t="inlineStr">
        <is>
          <t>AGRICULTURAL PROCESSED</t>
        </is>
      </c>
      <c r="B34" s="4" t="inlineStr">
        <is>
          <t>MANGO JUICE (I)</t>
        </is>
      </c>
      <c r="C34" s="15" t="n">
        <v>2.96</v>
      </c>
      <c r="D34" s="15" t="inlineStr">
        <is>
          <t>H</t>
        </is>
      </c>
      <c r="E34" s="15" t="inlineStr">
        <is>
          <t>better typology</t>
        </is>
      </c>
      <c r="F34" s="5" t="inlineStr">
        <is>
          <t>FRUIT JUICE (imported ingredients)</t>
        </is>
      </c>
      <c r="G34" s="16" t="n">
        <v>2.86</v>
      </c>
      <c r="H34" s="17" t="inlineStr">
        <is>
          <t>-</t>
        </is>
      </c>
      <c r="I34" s="18" t="inlineStr">
        <is>
          <t>-</t>
        </is>
      </c>
      <c r="J34" t="n">
        <v>64100110</v>
      </c>
    </row>
    <row r="35" ht="15.75" customHeight="1" s="201">
      <c r="A35" s="14" t="inlineStr">
        <is>
          <t>AGRICULTURAL PROCESSED</t>
        </is>
      </c>
      <c r="B35" s="4" t="inlineStr">
        <is>
          <t>PINEAPPLE JUICE (I)</t>
        </is>
      </c>
      <c r="C35" s="15" t="n">
        <v>2.78</v>
      </c>
      <c r="D35" s="15" t="inlineStr">
        <is>
          <t>H</t>
        </is>
      </c>
      <c r="E35" s="15" t="inlineStr">
        <is>
          <t>better typology</t>
        </is>
      </c>
      <c r="F35" s="5" t="inlineStr">
        <is>
          <t>FRUIT JUICE (imported ingredients)</t>
        </is>
      </c>
      <c r="G35" s="16" t="n">
        <v>2.86</v>
      </c>
      <c r="H35" s="17" t="inlineStr">
        <is>
          <t>-</t>
        </is>
      </c>
      <c r="I35" s="18" t="inlineStr">
        <is>
          <t>-</t>
        </is>
      </c>
      <c r="J35" t="n">
        <v>64100110</v>
      </c>
    </row>
    <row r="36" ht="15.75" customHeight="1" s="201">
      <c r="A36" s="14" t="inlineStr">
        <is>
          <t>AGRICULTURAL PROCESSED</t>
        </is>
      </c>
      <c r="B36" s="4" t="inlineStr">
        <is>
          <t>STRAWBERRY JUICE (I)</t>
        </is>
      </c>
      <c r="C36" s="15" t="n">
        <v>2.68</v>
      </c>
      <c r="D36" s="15" t="inlineStr">
        <is>
          <t>H</t>
        </is>
      </c>
      <c r="E36" s="15" t="inlineStr">
        <is>
          <t>better typology</t>
        </is>
      </c>
      <c r="F36" s="5" t="inlineStr">
        <is>
          <t>FRUIT JUICE (imported ingredients)</t>
        </is>
      </c>
      <c r="G36" s="16" t="n">
        <v>2.86</v>
      </c>
      <c r="H36" s="17" t="inlineStr">
        <is>
          <t>-</t>
        </is>
      </c>
      <c r="I36" s="18" t="inlineStr">
        <is>
          <t>-</t>
        </is>
      </c>
      <c r="J36" t="n">
        <v>64100110</v>
      </c>
    </row>
    <row r="37" ht="15.75" customHeight="1" s="201">
      <c r="A37" s="14" t="inlineStr">
        <is>
          <t>AGRICULTURAL PROCESSED</t>
        </is>
      </c>
      <c r="B37" s="4" t="inlineStr">
        <is>
          <t>ORANGE JUICE</t>
        </is>
      </c>
      <c r="C37" s="15" t="n">
        <v>0.46</v>
      </c>
      <c r="D37" s="15" t="inlineStr">
        <is>
          <t>L</t>
        </is>
      </c>
      <c r="E37" s="15" t="inlineStr">
        <is>
          <t>OK item</t>
        </is>
      </c>
      <c r="F37" s="5" t="inlineStr">
        <is>
          <t>FRUIT JUICE LOCAL</t>
        </is>
      </c>
      <c r="G37" s="16" t="n">
        <v>0.48</v>
      </c>
      <c r="H37" s="17" t="inlineStr">
        <is>
          <t>-</t>
        </is>
      </c>
      <c r="I37" s="18" t="inlineStr">
        <is>
          <t>-</t>
        </is>
      </c>
      <c r="J37" t="n">
        <v>92550350</v>
      </c>
    </row>
    <row r="38" ht="15.75" customHeight="1" s="201">
      <c r="A38" s="14" t="inlineStr">
        <is>
          <t>AGRICULTURAL PROCESSED</t>
        </is>
      </c>
      <c r="B38" s="4" t="inlineStr">
        <is>
          <t>PEAR JUICE</t>
        </is>
      </c>
      <c r="C38" s="15" t="n">
        <v>0.49</v>
      </c>
      <c r="D38" s="15" t="inlineStr">
        <is>
          <t>H</t>
        </is>
      </c>
      <c r="E38" s="15" t="inlineStr">
        <is>
          <t>better typology</t>
        </is>
      </c>
      <c r="F38" s="5" t="inlineStr">
        <is>
          <t>FRUIT JUICE LOCAL</t>
        </is>
      </c>
      <c r="G38" s="16" t="n">
        <v>0.48</v>
      </c>
      <c r="H38" s="17" t="inlineStr">
        <is>
          <t>-</t>
        </is>
      </c>
      <c r="I38" s="18" t="inlineStr">
        <is>
          <t>-</t>
        </is>
      </c>
      <c r="J38" t="n">
        <v>64100110</v>
      </c>
    </row>
    <row r="39" ht="15.75" customHeight="1" s="201">
      <c r="A39" s="14" t="inlineStr">
        <is>
          <t>AGRICULTURAL PROCESSED</t>
        </is>
      </c>
      <c r="B39" s="4" t="inlineStr">
        <is>
          <t>BUCKWHEAT FLOUR</t>
        </is>
      </c>
      <c r="C39" s="15" t="n">
        <v>1.96</v>
      </c>
      <c r="D39" s="15" t="inlineStr">
        <is>
          <t>H</t>
        </is>
      </c>
      <c r="E39" s="15" t="inlineStr">
        <is>
          <t>better typology</t>
        </is>
      </c>
      <c r="F39" s="5" t="inlineStr">
        <is>
          <t>GRAIN FLOUR</t>
        </is>
      </c>
      <c r="G39" s="16" t="n">
        <v>0.87</v>
      </c>
      <c r="H39" s="17" t="inlineStr">
        <is>
          <t>-</t>
        </is>
      </c>
      <c r="I39" s="18" t="inlineStr">
        <is>
          <t>-</t>
        </is>
      </c>
      <c r="J39" t="n">
        <v>52215350</v>
      </c>
    </row>
    <row r="40" ht="15.75" customHeight="1" s="201">
      <c r="A40" s="14" t="inlineStr">
        <is>
          <t>AGRICULTURAL PROCESSED</t>
        </is>
      </c>
      <c r="B40" s="4" t="inlineStr">
        <is>
          <t>DURUM WHEAT</t>
        </is>
      </c>
      <c r="C40" s="15" t="n">
        <v>0.47</v>
      </c>
      <c r="D40" s="15" t="inlineStr">
        <is>
          <t>L</t>
        </is>
      </c>
      <c r="E40" s="15" t="inlineStr">
        <is>
          <t>OK item</t>
        </is>
      </c>
      <c r="F40" s="5" t="inlineStr">
        <is>
          <t>GRAIN FLOUR</t>
        </is>
      </c>
      <c r="G40" s="16" t="n">
        <v>0.87</v>
      </c>
      <c r="H40" s="17" t="inlineStr">
        <is>
          <t>-</t>
        </is>
      </c>
      <c r="I40" s="18" t="inlineStr">
        <is>
          <t>-</t>
        </is>
      </c>
      <c r="J40" t="n">
        <v>54338000</v>
      </c>
    </row>
    <row r="41" ht="15.75" customHeight="1" s="201">
      <c r="A41" s="14" t="inlineStr">
        <is>
          <t>AGRICULTURAL PROCESSED</t>
        </is>
      </c>
      <c r="B41" s="4" t="inlineStr">
        <is>
          <t>GRAHAM FLOUR</t>
        </is>
      </c>
      <c r="C41" s="15" t="n">
        <v>0.47</v>
      </c>
      <c r="D41" s="15" t="inlineStr">
        <is>
          <t>H</t>
        </is>
      </c>
      <c r="E41" s="15" t="inlineStr">
        <is>
          <t>better typology</t>
        </is>
      </c>
      <c r="F41" s="5" t="inlineStr">
        <is>
          <t>GRAIN FLOUR</t>
        </is>
      </c>
      <c r="G41" s="16" t="n">
        <v>0.87</v>
      </c>
      <c r="H41" s="17" t="inlineStr">
        <is>
          <t>-</t>
        </is>
      </c>
      <c r="I41" s="18" t="inlineStr">
        <is>
          <t>-</t>
        </is>
      </c>
      <c r="J41" t="n">
        <v>52215350</v>
      </c>
    </row>
    <row r="42" ht="15.75" customHeight="1" s="201">
      <c r="A42" s="14" t="inlineStr">
        <is>
          <t>AGRICULTURAL PROCESSED</t>
        </is>
      </c>
      <c r="B42" s="4" t="inlineStr">
        <is>
          <t>MAIZE FLOUR</t>
        </is>
      </c>
      <c r="C42" s="15" t="n">
        <v>1.31</v>
      </c>
      <c r="D42" s="15" t="inlineStr">
        <is>
          <t>H</t>
        </is>
      </c>
      <c r="E42" s="15" t="inlineStr">
        <is>
          <t>better typology</t>
        </is>
      </c>
      <c r="F42" s="5" t="inlineStr">
        <is>
          <t>GRAIN FLOUR</t>
        </is>
      </c>
      <c r="G42" s="16" t="n">
        <v>0.87</v>
      </c>
      <c r="H42" s="17" t="inlineStr">
        <is>
          <t>-</t>
        </is>
      </c>
      <c r="I42" s="18" t="inlineStr">
        <is>
          <t>-</t>
        </is>
      </c>
      <c r="J42" t="n">
        <v>52215350</v>
      </c>
    </row>
    <row r="43" ht="15.75" customHeight="1" s="201">
      <c r="A43" s="14" t="inlineStr">
        <is>
          <t>AGRICULTURAL PROCESSED</t>
        </is>
      </c>
      <c r="B43" s="4" t="inlineStr">
        <is>
          <t>MILLET FLOUR</t>
        </is>
      </c>
      <c r="C43" s="15" t="n">
        <v>1.37</v>
      </c>
      <c r="D43" s="15" t="inlineStr">
        <is>
          <t>H</t>
        </is>
      </c>
      <c r="E43" s="15" t="inlineStr">
        <is>
          <t>better typology</t>
        </is>
      </c>
      <c r="F43" s="5" t="inlineStr">
        <is>
          <t>GRAIN FLOUR</t>
        </is>
      </c>
      <c r="G43" s="16" t="n">
        <v>0.87</v>
      </c>
      <c r="H43" s="17" t="inlineStr">
        <is>
          <t>-</t>
        </is>
      </c>
      <c r="I43" s="18" t="inlineStr">
        <is>
          <t>-</t>
        </is>
      </c>
      <c r="J43" t="n">
        <v>52215350</v>
      </c>
    </row>
    <row r="44" ht="15.75" customHeight="1" s="201">
      <c r="A44" s="14" t="inlineStr">
        <is>
          <t>AGRICULTURAL PROCESSED</t>
        </is>
      </c>
      <c r="B44" s="4" t="inlineStr">
        <is>
          <t>OAT MEAL</t>
        </is>
      </c>
      <c r="C44" s="15" t="n">
        <v>0.87</v>
      </c>
      <c r="D44" s="15" t="inlineStr">
        <is>
          <t>L</t>
        </is>
      </c>
      <c r="E44" s="15" t="inlineStr">
        <is>
          <t>OK item</t>
        </is>
      </c>
      <c r="F44" s="5" t="inlineStr">
        <is>
          <t>GRAIN FLOUR</t>
        </is>
      </c>
      <c r="G44" s="16" t="n">
        <v>0.87</v>
      </c>
      <c r="H44" s="17" t="inlineStr">
        <is>
          <t>-</t>
        </is>
      </c>
      <c r="I44" s="18" t="inlineStr">
        <is>
          <t>-</t>
        </is>
      </c>
      <c r="J44" t="n">
        <v>28110510</v>
      </c>
    </row>
    <row r="45" ht="15.75" customHeight="1" s="201">
      <c r="A45" s="14" t="inlineStr">
        <is>
          <t>AGRICULTURAL PROCESSED</t>
        </is>
      </c>
      <c r="B45" s="4" t="inlineStr">
        <is>
          <t>SORGHUM FLOUR</t>
        </is>
      </c>
      <c r="C45" s="15" t="n">
        <v>1.33</v>
      </c>
      <c r="D45" s="15" t="inlineStr">
        <is>
          <t>H</t>
        </is>
      </c>
      <c r="E45" s="15" t="inlineStr">
        <is>
          <t>better typology</t>
        </is>
      </c>
      <c r="F45" s="5" t="inlineStr">
        <is>
          <t>GRAIN FLOUR</t>
        </is>
      </c>
      <c r="G45" s="16" t="n">
        <v>0.87</v>
      </c>
      <c r="H45" s="17" t="inlineStr">
        <is>
          <t>-</t>
        </is>
      </c>
      <c r="I45" s="18" t="inlineStr">
        <is>
          <t>-</t>
        </is>
      </c>
      <c r="J45" t="n">
        <v>52215350</v>
      </c>
    </row>
    <row r="46" ht="15.75" customHeight="1" s="201">
      <c r="A46" s="14" t="inlineStr">
        <is>
          <t>AGRICULTURAL PROCESSED</t>
        </is>
      </c>
      <c r="B46" s="4" t="inlineStr">
        <is>
          <t>WHEAT PLAIN FLOUR</t>
        </is>
      </c>
      <c r="C46" s="15" t="n">
        <v>0.52</v>
      </c>
      <c r="D46" s="15" t="inlineStr">
        <is>
          <t>L</t>
        </is>
      </c>
      <c r="E46" s="15" t="inlineStr">
        <is>
          <t>OK item</t>
        </is>
      </c>
      <c r="F46" s="5" t="inlineStr">
        <is>
          <t>GRAIN FLOUR</t>
        </is>
      </c>
      <c r="G46" s="16" t="n">
        <v>0.87</v>
      </c>
      <c r="H46" s="17" t="inlineStr">
        <is>
          <t>-</t>
        </is>
      </c>
      <c r="I46" s="18" t="inlineStr">
        <is>
          <t>-</t>
        </is>
      </c>
      <c r="J46" t="n">
        <v>54338000</v>
      </c>
    </row>
    <row r="47" ht="15.75" customHeight="1" s="201">
      <c r="A47" s="14" t="inlineStr">
        <is>
          <t>AGRICULTURAL PROCESSED</t>
        </is>
      </c>
      <c r="B47" s="4" t="inlineStr">
        <is>
          <t>WHOLE WHEAT FLOUR</t>
        </is>
      </c>
      <c r="C47" s="15" t="n">
        <v>0.36</v>
      </c>
      <c r="D47" s="15" t="inlineStr">
        <is>
          <t>L</t>
        </is>
      </c>
      <c r="E47" s="15" t="inlineStr">
        <is>
          <t>OK item</t>
        </is>
      </c>
      <c r="F47" s="5" t="inlineStr">
        <is>
          <t>GRAIN FLOUR</t>
        </is>
      </c>
      <c r="G47" s="16" t="n">
        <v>0.87</v>
      </c>
      <c r="H47" s="17" t="inlineStr">
        <is>
          <t>-</t>
        </is>
      </c>
      <c r="I47" s="18" t="inlineStr">
        <is>
          <t>-</t>
        </is>
      </c>
      <c r="J47" t="n">
        <v>54204030</v>
      </c>
    </row>
    <row r="48" ht="15.75" customHeight="1" s="201">
      <c r="A48" s="14" t="inlineStr">
        <is>
          <t>AGRICULTURAL PROCESSED</t>
        </is>
      </c>
      <c r="B48" s="4" t="inlineStr">
        <is>
          <t>CHOCOLATE</t>
        </is>
      </c>
      <c r="C48" s="15" t="n">
        <v>6.6</v>
      </c>
      <c r="D48" s="15" t="inlineStr">
        <is>
          <t>H</t>
        </is>
      </c>
      <c r="E48" s="15" t="inlineStr">
        <is>
          <t>better typology</t>
        </is>
      </c>
      <c r="F48" s="5" t="inlineStr">
        <is>
          <t>ICE CREAM</t>
        </is>
      </c>
      <c r="G48" s="16" t="n">
        <v>4.3</v>
      </c>
      <c r="H48" s="17" t="inlineStr">
        <is>
          <t>-</t>
        </is>
      </c>
      <c r="I48" s="18" t="inlineStr">
        <is>
          <t>-</t>
        </is>
      </c>
      <c r="J48" t="n">
        <v>53108200</v>
      </c>
    </row>
    <row r="49" ht="15.75" customHeight="1" s="201">
      <c r="A49" s="14" t="inlineStr">
        <is>
          <t>AGRICULTURAL PROCESSED</t>
        </is>
      </c>
      <c r="B49" s="4" t="inlineStr">
        <is>
          <t>ICE CREAM</t>
        </is>
      </c>
      <c r="C49" s="15" t="n">
        <v>1.02</v>
      </c>
      <c r="D49" s="15" t="inlineStr">
        <is>
          <t>H</t>
        </is>
      </c>
      <c r="E49" s="15" t="inlineStr">
        <is>
          <t>better typology</t>
        </is>
      </c>
      <c r="F49" s="5" t="inlineStr">
        <is>
          <t>ICE CREAM</t>
        </is>
      </c>
      <c r="G49" s="16" t="n">
        <v>4.3</v>
      </c>
      <c r="H49" s="17" t="inlineStr">
        <is>
          <t>-</t>
        </is>
      </c>
      <c r="I49" s="18" t="inlineStr">
        <is>
          <t>-</t>
        </is>
      </c>
      <c r="J49" t="n">
        <v>12110100</v>
      </c>
    </row>
    <row r="50" ht="15.75" customHeight="1" s="201">
      <c r="A50" s="14" t="inlineStr">
        <is>
          <t>AGRICULTURAL PROCESSED</t>
        </is>
      </c>
      <c r="B50" s="4" t="inlineStr">
        <is>
          <t>VANILLA</t>
        </is>
      </c>
      <c r="C50" s="15" t="n">
        <v>4.3</v>
      </c>
      <c r="D50" s="15" t="inlineStr">
        <is>
          <t>H</t>
        </is>
      </c>
      <c r="E50" s="15" t="inlineStr">
        <is>
          <t>better typology</t>
        </is>
      </c>
      <c r="F50" s="5" t="inlineStr">
        <is>
          <t>ICE CREAM</t>
        </is>
      </c>
      <c r="G50" s="16" t="n">
        <v>4.3</v>
      </c>
      <c r="H50" s="17" t="inlineStr">
        <is>
          <t>-</t>
        </is>
      </c>
      <c r="I50" s="18" t="inlineStr">
        <is>
          <t>-</t>
        </is>
      </c>
      <c r="J50" t="n">
        <v>53247000</v>
      </c>
    </row>
    <row r="51" ht="15.75" customHeight="1" s="201">
      <c r="A51" s="14" t="inlineStr">
        <is>
          <t>AGRICULTURAL PROCESSED</t>
        </is>
      </c>
      <c r="B51" s="4" t="inlineStr">
        <is>
          <t>AZUKI BEAN FLOUR</t>
        </is>
      </c>
      <c r="C51" s="15" t="n">
        <v>1.32</v>
      </c>
      <c r="D51" s="15" t="inlineStr">
        <is>
          <t>H</t>
        </is>
      </c>
      <c r="E51" s="15" t="inlineStr">
        <is>
          <t>better typology</t>
        </is>
      </c>
      <c r="F51" s="5" t="inlineStr">
        <is>
          <t>LEGUME FLOUR</t>
        </is>
      </c>
      <c r="G51" s="16" t="n">
        <v>1.32</v>
      </c>
      <c r="H51" s="17" t="inlineStr">
        <is>
          <t>-</t>
        </is>
      </c>
      <c r="I51" s="18" t="inlineStr">
        <is>
          <t>-</t>
        </is>
      </c>
      <c r="J51" t="n">
        <v>91407150</v>
      </c>
    </row>
    <row r="52" ht="15.75" customHeight="1" s="201">
      <c r="A52" s="14" t="inlineStr">
        <is>
          <t>AGRICULTURAL PROCESSED</t>
        </is>
      </c>
      <c r="B52" s="4" t="inlineStr">
        <is>
          <t>MUNG BEAN FLOUR</t>
        </is>
      </c>
      <c r="C52" s="15" t="n">
        <v>1.49</v>
      </c>
      <c r="D52" s="15" t="inlineStr">
        <is>
          <t>H</t>
        </is>
      </c>
      <c r="E52" s="15" t="inlineStr">
        <is>
          <t>better typology</t>
        </is>
      </c>
      <c r="F52" s="5" t="inlineStr">
        <is>
          <t>LEGUME FLOUR</t>
        </is>
      </c>
      <c r="G52" s="16" t="n">
        <v>1.32</v>
      </c>
      <c r="H52" s="17" t="inlineStr">
        <is>
          <t>-</t>
        </is>
      </c>
      <c r="I52" s="18" t="inlineStr">
        <is>
          <t>-</t>
        </is>
      </c>
      <c r="J52" t="n">
        <v>41205050</v>
      </c>
    </row>
    <row r="53" ht="15.75" customHeight="1" s="201">
      <c r="A53" s="14" t="inlineStr">
        <is>
          <t>AGRICULTURAL PROCESSED</t>
        </is>
      </c>
      <c r="B53" s="4" t="inlineStr">
        <is>
          <t>SOY MEAL</t>
        </is>
      </c>
      <c r="C53" s="15" t="n">
        <v>0.62</v>
      </c>
      <c r="D53" s="15" t="inlineStr">
        <is>
          <t>H</t>
        </is>
      </c>
      <c r="E53" s="15" t="inlineStr">
        <is>
          <t>better typology</t>
        </is>
      </c>
      <c r="F53" s="5" t="inlineStr">
        <is>
          <t>LEGUME FLOUR</t>
        </is>
      </c>
      <c r="G53" s="16" t="n">
        <v>1.32</v>
      </c>
      <c r="H53" s="17" t="inlineStr">
        <is>
          <t>-</t>
        </is>
      </c>
      <c r="I53" s="18" t="inlineStr">
        <is>
          <t>-</t>
        </is>
      </c>
      <c r="J53" t="n">
        <v>28110510</v>
      </c>
    </row>
    <row r="54" ht="15.75" customHeight="1" s="201">
      <c r="A54" s="14" t="inlineStr">
        <is>
          <t>AGRICULTURAL PROCESSED</t>
        </is>
      </c>
      <c r="B54" s="4" t="inlineStr">
        <is>
          <t>BEANS IN CAN</t>
        </is>
      </c>
      <c r="C54" s="15" t="n">
        <v>0.11</v>
      </c>
      <c r="D54" s="15" t="inlineStr">
        <is>
          <t>H</t>
        </is>
      </c>
      <c r="E54" s="15" t="inlineStr">
        <is>
          <t>better typology</t>
        </is>
      </c>
      <c r="F54" s="5" t="inlineStr">
        <is>
          <t>LEGUMES CANNED</t>
        </is>
      </c>
      <c r="G54" s="16" t="n">
        <v>0.78</v>
      </c>
      <c r="H54" s="17" t="inlineStr">
        <is>
          <t>-</t>
        </is>
      </c>
      <c r="I54" s="18" t="inlineStr">
        <is>
          <t>-</t>
        </is>
      </c>
      <c r="J54" t="n">
        <v>41202510</v>
      </c>
    </row>
    <row r="55" ht="15.75" customHeight="1" s="201">
      <c r="A55" s="14" t="inlineStr">
        <is>
          <t>AGRICULTURAL PROCESSED</t>
        </is>
      </c>
      <c r="B55" s="4" t="inlineStr">
        <is>
          <t>GREEN BEANS IN CAN</t>
        </is>
      </c>
      <c r="C55" s="15" t="n">
        <v>1.45</v>
      </c>
      <c r="D55" s="15" t="inlineStr">
        <is>
          <t>H</t>
        </is>
      </c>
      <c r="E55" s="15" t="inlineStr">
        <is>
          <t>better typology</t>
        </is>
      </c>
      <c r="F55" s="5" t="inlineStr">
        <is>
          <t>LEGUMES CANNED</t>
        </is>
      </c>
      <c r="G55" s="16" t="n">
        <v>0.78</v>
      </c>
      <c r="H55" s="17" t="inlineStr">
        <is>
          <t>-</t>
        </is>
      </c>
      <c r="I55" s="18" t="inlineStr">
        <is>
          <t>-</t>
        </is>
      </c>
      <c r="J55" t="n">
        <v>75403200</v>
      </c>
    </row>
    <row r="56" ht="15.75" customHeight="1" s="201">
      <c r="A56" s="14" t="inlineStr">
        <is>
          <t>AGRICULTURAL PROCESSED</t>
        </is>
      </c>
      <c r="B56" s="4" t="inlineStr">
        <is>
          <t>BEANS (F)</t>
        </is>
      </c>
      <c r="C56" s="15" t="n">
        <v>1.77</v>
      </c>
      <c r="D56" s="15" t="inlineStr">
        <is>
          <t>H</t>
        </is>
      </c>
      <c r="E56" s="15" t="inlineStr">
        <is>
          <t>better typology</t>
        </is>
      </c>
      <c r="F56" s="5" t="inlineStr">
        <is>
          <t>LEGUMES FROZEN</t>
        </is>
      </c>
      <c r="G56" s="16" t="n">
        <v>2.26</v>
      </c>
      <c r="H56" s="17" t="inlineStr">
        <is>
          <t>-</t>
        </is>
      </c>
      <c r="I56" s="18" t="inlineStr">
        <is>
          <t>-</t>
        </is>
      </c>
      <c r="J56" t="n">
        <v>41202510</v>
      </c>
    </row>
    <row r="57" ht="15.75" customHeight="1" s="201">
      <c r="A57" s="14" t="inlineStr">
        <is>
          <t>AGRICULTURAL PROCESSED</t>
        </is>
      </c>
      <c r="B57" s="4" t="inlineStr">
        <is>
          <t>GREEN BEANS (F)</t>
        </is>
      </c>
      <c r="C57" s="15" t="n">
        <v>2.74</v>
      </c>
      <c r="D57" s="15" t="inlineStr">
        <is>
          <t>H</t>
        </is>
      </c>
      <c r="E57" s="15" t="inlineStr">
        <is>
          <t>better typology</t>
        </is>
      </c>
      <c r="F57" s="5" t="inlineStr">
        <is>
          <t>LEGUMES FROZEN</t>
        </is>
      </c>
      <c r="G57" s="16" t="n">
        <v>2.26</v>
      </c>
      <c r="H57" s="17" t="inlineStr">
        <is>
          <t>-</t>
        </is>
      </c>
      <c r="I57" s="18" t="inlineStr">
        <is>
          <t>-</t>
        </is>
      </c>
      <c r="J57" t="n">
        <v>75403200</v>
      </c>
    </row>
    <row r="58" ht="15.75" customHeight="1" s="201">
      <c r="A58" s="14" t="inlineStr">
        <is>
          <t>AGRICULTURAL PROCESSED</t>
        </is>
      </c>
      <c r="B58" s="4" t="inlineStr">
        <is>
          <t>MARGARINE*</t>
        </is>
      </c>
      <c r="C58" s="15" t="n">
        <v>1.39</v>
      </c>
      <c r="D58" s="15" t="inlineStr">
        <is>
          <t>L</t>
        </is>
      </c>
      <c r="E58" s="5" t="inlineStr">
        <is>
          <t>Item matching typology</t>
        </is>
      </c>
      <c r="F58" s="5" t="inlineStr">
        <is>
          <t>MARGARINE*</t>
        </is>
      </c>
      <c r="G58" s="16" t="n">
        <v>1.39</v>
      </c>
      <c r="H58" s="17" t="inlineStr">
        <is>
          <t>-</t>
        </is>
      </c>
      <c r="I58" s="18" t="inlineStr">
        <is>
          <t>-</t>
        </is>
      </c>
      <c r="J58" t="n">
        <v>81104010</v>
      </c>
    </row>
    <row r="59" ht="15.75" customHeight="1" s="201">
      <c r="A59" s="14" t="inlineStr">
        <is>
          <t>AGRICULTURAL PROCESSED</t>
        </is>
      </c>
      <c r="B59" s="4" t="inlineStr">
        <is>
          <t>ALMOND COVERED WITH CHOCOLATE</t>
        </is>
      </c>
      <c r="C59" s="15" t="n">
        <v>4.8</v>
      </c>
      <c r="D59" s="15" t="inlineStr">
        <is>
          <t>H</t>
        </is>
      </c>
      <c r="E59" s="15" t="inlineStr">
        <is>
          <t>better typology</t>
        </is>
      </c>
      <c r="F59" s="5" t="inlineStr">
        <is>
          <t>NUTS COVERED WITH CHOCOLATE</t>
        </is>
      </c>
      <c r="G59" s="16" t="n">
        <v>4.12</v>
      </c>
      <c r="H59" s="17" t="inlineStr">
        <is>
          <t>-</t>
        </is>
      </c>
      <c r="I59" s="18" t="inlineStr">
        <is>
          <t>-</t>
        </is>
      </c>
      <c r="J59" t="n">
        <v>53108200</v>
      </c>
    </row>
    <row r="60" ht="15.75" customHeight="1" s="201">
      <c r="A60" s="14" t="inlineStr">
        <is>
          <t>AGRICULTURAL PROCESSED</t>
        </is>
      </c>
      <c r="B60" s="4" t="inlineStr">
        <is>
          <t>HAZELNUT COVERED WITH CHOCOLATE</t>
        </is>
      </c>
      <c r="C60" s="15" t="n">
        <v>3.43</v>
      </c>
      <c r="D60" s="15" t="inlineStr">
        <is>
          <t>H</t>
        </is>
      </c>
      <c r="E60" s="15" t="inlineStr">
        <is>
          <t>better typology</t>
        </is>
      </c>
      <c r="F60" s="5" t="inlineStr">
        <is>
          <t>NUTS COVERED WITH CHOCOLATE</t>
        </is>
      </c>
      <c r="G60" s="16" t="n">
        <v>4.12</v>
      </c>
      <c r="H60" s="17" t="inlineStr">
        <is>
          <t>-</t>
        </is>
      </c>
      <c r="I60" s="18" t="inlineStr">
        <is>
          <t>-</t>
        </is>
      </c>
      <c r="J60" t="n">
        <v>53108200</v>
      </c>
    </row>
    <row r="61" ht="15.75" customHeight="1" s="201">
      <c r="A61" s="14" t="inlineStr">
        <is>
          <t>AGRICULTURAL PROCESSED</t>
        </is>
      </c>
      <c r="B61" s="4" t="inlineStr">
        <is>
          <t>ALMOND PASTE</t>
        </is>
      </c>
      <c r="C61" s="15" t="n">
        <v>2.98</v>
      </c>
      <c r="D61" s="15" t="inlineStr">
        <is>
          <t>H</t>
        </is>
      </c>
      <c r="E61" s="15" t="inlineStr">
        <is>
          <t>better typology</t>
        </is>
      </c>
      <c r="F61" s="5" t="inlineStr">
        <is>
          <t>NUTS PASTE</t>
        </is>
      </c>
      <c r="G61" s="16" t="n">
        <v>1.84</v>
      </c>
      <c r="H61" s="17" t="inlineStr">
        <is>
          <t>-</t>
        </is>
      </c>
      <c r="I61" s="18" t="inlineStr">
        <is>
          <t>-</t>
        </is>
      </c>
      <c r="J61" t="n">
        <v>11350030</v>
      </c>
    </row>
    <row r="62" ht="15.75" customHeight="1" s="201">
      <c r="A62" s="14" t="inlineStr">
        <is>
          <t>AGRICULTURAL PROCESSED</t>
        </is>
      </c>
      <c r="B62" s="4" t="inlineStr">
        <is>
          <t>HAZELNUT CREAM</t>
        </is>
      </c>
      <c r="C62" s="15" t="n">
        <v>2.71</v>
      </c>
      <c r="D62" s="15" t="inlineStr">
        <is>
          <t>H</t>
        </is>
      </c>
      <c r="E62" s="15" t="inlineStr">
        <is>
          <t>better typology</t>
        </is>
      </c>
      <c r="F62" s="5" t="inlineStr">
        <is>
          <t>NUTS PASTE</t>
        </is>
      </c>
      <c r="G62" s="16" t="n">
        <v>1.84</v>
      </c>
      <c r="H62" s="17" t="inlineStr">
        <is>
          <t>-</t>
        </is>
      </c>
      <c r="I62" s="18" t="inlineStr">
        <is>
          <t>-</t>
        </is>
      </c>
      <c r="J62" t="n">
        <v>12110100</v>
      </c>
    </row>
    <row r="63" ht="15.75" customHeight="1" s="201">
      <c r="A63" s="14" t="inlineStr">
        <is>
          <t>AGRICULTURAL PROCESSED</t>
        </is>
      </c>
      <c r="B63" s="4" t="inlineStr">
        <is>
          <t>HAZELNUT PASTE</t>
        </is>
      </c>
      <c r="C63" s="15" t="n">
        <v>1.69</v>
      </c>
      <c r="D63" s="15" t="inlineStr">
        <is>
          <t>H</t>
        </is>
      </c>
      <c r="E63" s="15" t="inlineStr">
        <is>
          <t>better typology</t>
        </is>
      </c>
      <c r="F63" s="5" t="inlineStr">
        <is>
          <t>NUTS PASTE</t>
        </is>
      </c>
      <c r="G63" s="16" t="n">
        <v>1.84</v>
      </c>
      <c r="H63" s="17" t="inlineStr">
        <is>
          <t>-</t>
        </is>
      </c>
      <c r="I63" s="18" t="inlineStr">
        <is>
          <t>-</t>
        </is>
      </c>
      <c r="J63" t="n">
        <v>91705040</v>
      </c>
    </row>
    <row r="64" ht="15.75" customHeight="1" s="201">
      <c r="A64" s="14" t="inlineStr">
        <is>
          <t>AGRICULTURAL PROCESSED</t>
        </is>
      </c>
      <c r="B64" s="4" t="inlineStr">
        <is>
          <t>PEANUT BUTTER</t>
        </is>
      </c>
      <c r="C64" s="15" t="n">
        <v>1.15</v>
      </c>
      <c r="D64" s="15" t="inlineStr">
        <is>
          <t>H</t>
        </is>
      </c>
      <c r="E64" s="15" t="inlineStr">
        <is>
          <t>better typology</t>
        </is>
      </c>
      <c r="F64" s="5" t="inlineStr">
        <is>
          <t>NUTS PASTE</t>
        </is>
      </c>
      <c r="G64" s="16" t="n">
        <v>1.84</v>
      </c>
      <c r="H64" s="17" t="inlineStr">
        <is>
          <t>-</t>
        </is>
      </c>
      <c r="I64" s="18" t="inlineStr">
        <is>
          <t>-</t>
        </is>
      </c>
      <c r="J64" t="n">
        <v>91734000</v>
      </c>
    </row>
    <row r="65" ht="15.75" customHeight="1" s="201">
      <c r="A65" s="14" t="inlineStr">
        <is>
          <t>AGRICULTURAL PROCESSED</t>
        </is>
      </c>
      <c r="B65" s="4" t="inlineStr">
        <is>
          <t>PEANUT PASTE</t>
        </is>
      </c>
      <c r="C65" s="15" t="n">
        <v>1.84</v>
      </c>
      <c r="D65" s="15" t="inlineStr">
        <is>
          <t>H</t>
        </is>
      </c>
      <c r="E65" s="15" t="inlineStr">
        <is>
          <t>better typology</t>
        </is>
      </c>
      <c r="F65" s="5" t="inlineStr">
        <is>
          <t>NUTS PASTE</t>
        </is>
      </c>
      <c r="G65" s="16" t="n">
        <v>1.84</v>
      </c>
      <c r="H65" s="17" t="inlineStr">
        <is>
          <t>-</t>
        </is>
      </c>
      <c r="I65" s="18" t="inlineStr">
        <is>
          <t>-</t>
        </is>
      </c>
      <c r="J65" t="n">
        <v>91734000</v>
      </c>
    </row>
    <row r="66" ht="15.75" customHeight="1" s="201">
      <c r="A66" s="14" t="inlineStr">
        <is>
          <t>AGRICULTURAL PROCESSED</t>
        </is>
      </c>
      <c r="B66" s="4" t="inlineStr">
        <is>
          <t>OLIVE OIL</t>
        </is>
      </c>
      <c r="C66" s="15" t="n">
        <v>3.27</v>
      </c>
      <c r="D66" s="15" t="inlineStr">
        <is>
          <t>L</t>
        </is>
      </c>
      <c r="E66" s="15" t="inlineStr">
        <is>
          <t>OK item</t>
        </is>
      </c>
      <c r="F66" s="5" t="inlineStr">
        <is>
          <t>OIL</t>
        </is>
      </c>
      <c r="G66" s="16" t="n">
        <v>2.11</v>
      </c>
      <c r="H66" s="17" t="inlineStr">
        <is>
          <t>-</t>
        </is>
      </c>
      <c r="I66" s="18" t="inlineStr">
        <is>
          <t>-</t>
        </is>
      </c>
      <c r="J66" t="n">
        <v>82104000</v>
      </c>
    </row>
    <row r="67" ht="15.75" customHeight="1" s="201">
      <c r="A67" s="14" t="inlineStr">
        <is>
          <t>AGRICULTURAL PROCESSED</t>
        </is>
      </c>
      <c r="B67" s="4" t="inlineStr">
        <is>
          <t>PALM OIL</t>
        </is>
      </c>
      <c r="C67" s="15" t="n">
        <v>2.43</v>
      </c>
      <c r="D67" s="15" t="inlineStr">
        <is>
          <t>L</t>
        </is>
      </c>
      <c r="E67" s="15" t="inlineStr">
        <is>
          <t>OK item</t>
        </is>
      </c>
      <c r="F67" s="5" t="inlineStr">
        <is>
          <t>OIL</t>
        </is>
      </c>
      <c r="G67" s="16" t="n">
        <v>2.11</v>
      </c>
      <c r="H67" s="17" t="inlineStr">
        <is>
          <t>-</t>
        </is>
      </c>
      <c r="I67" s="18" t="inlineStr">
        <is>
          <t>-</t>
        </is>
      </c>
      <c r="J67" t="n">
        <v>75221160</v>
      </c>
    </row>
    <row r="68" ht="15.75" customHeight="1" s="201">
      <c r="A68" s="14" t="inlineStr">
        <is>
          <t>AGRICULTURAL PROCESSED</t>
        </is>
      </c>
      <c r="B68" s="4" t="inlineStr">
        <is>
          <t>PEANUT OIL</t>
        </is>
      </c>
      <c r="C68" s="15" t="n">
        <v>2.9</v>
      </c>
      <c r="D68" s="15" t="inlineStr">
        <is>
          <t>H</t>
        </is>
      </c>
      <c r="E68" s="15" t="inlineStr">
        <is>
          <t>better typology</t>
        </is>
      </c>
      <c r="F68" s="5" t="inlineStr">
        <is>
          <t>OIL</t>
        </is>
      </c>
      <c r="G68" s="16" t="n">
        <v>2.11</v>
      </c>
      <c r="H68" s="17" t="inlineStr">
        <is>
          <t>-</t>
        </is>
      </c>
      <c r="I68" s="18" t="inlineStr">
        <is>
          <t>-</t>
        </is>
      </c>
      <c r="J68" t="n">
        <v>91734000</v>
      </c>
    </row>
    <row r="69" ht="15.75" customHeight="1" s="201">
      <c r="A69" s="14" t="inlineStr">
        <is>
          <t>AGRICULTURAL PROCESSED</t>
        </is>
      </c>
      <c r="B69" s="4" t="inlineStr">
        <is>
          <t>RAPESEED OIL</t>
        </is>
      </c>
      <c r="C69" s="15" t="n">
        <v>1.79</v>
      </c>
      <c r="D69" s="15" t="inlineStr">
        <is>
          <t>L</t>
        </is>
      </c>
      <c r="E69" s="15" t="inlineStr">
        <is>
          <t>OK item</t>
        </is>
      </c>
      <c r="F69" s="5" t="inlineStr">
        <is>
          <t>OIL</t>
        </is>
      </c>
      <c r="G69" s="16" t="n">
        <v>2.11</v>
      </c>
      <c r="H69" s="17" t="inlineStr">
        <is>
          <t>-</t>
        </is>
      </c>
      <c r="I69" s="18" t="inlineStr">
        <is>
          <t>-</t>
        </is>
      </c>
    </row>
    <row r="70" ht="15.75" customHeight="1" s="201">
      <c r="A70" s="14" t="inlineStr">
        <is>
          <t>AGRICULTURAL PROCESSED</t>
        </is>
      </c>
      <c r="B70" s="4" t="inlineStr">
        <is>
          <t>SOYBEAN OIL</t>
        </is>
      </c>
      <c r="C70" s="15" t="n">
        <v>1.79</v>
      </c>
      <c r="D70" s="15" t="inlineStr">
        <is>
          <t>L</t>
        </is>
      </c>
      <c r="E70" s="15" t="inlineStr">
        <is>
          <t>OK item</t>
        </is>
      </c>
      <c r="F70" s="5" t="inlineStr">
        <is>
          <t>OIL</t>
        </is>
      </c>
      <c r="G70" s="16" t="n">
        <v>2.11</v>
      </c>
      <c r="H70" s="17" t="inlineStr">
        <is>
          <t>-</t>
        </is>
      </c>
      <c r="I70" s="18" t="inlineStr">
        <is>
          <t>-</t>
        </is>
      </c>
      <c r="J70" t="n">
        <v>41420010</v>
      </c>
    </row>
    <row r="71" ht="15.75" customHeight="1" s="201">
      <c r="A71" s="14" t="inlineStr">
        <is>
          <t>AGRICULTURAL PROCESSED</t>
        </is>
      </c>
      <c r="B71" s="4" t="inlineStr">
        <is>
          <t>SUNFLOWER OIL</t>
        </is>
      </c>
      <c r="C71" s="15" t="n">
        <v>0.98</v>
      </c>
      <c r="D71" s="15" t="inlineStr">
        <is>
          <t>L</t>
        </is>
      </c>
      <c r="E71" s="15" t="inlineStr">
        <is>
          <t>OK item</t>
        </is>
      </c>
      <c r="F71" s="5" t="inlineStr">
        <is>
          <t>OIL</t>
        </is>
      </c>
      <c r="G71" s="16" t="n">
        <v>2.11</v>
      </c>
      <c r="H71" s="17" t="inlineStr">
        <is>
          <t>-</t>
        </is>
      </c>
      <c r="I71" s="18" t="inlineStr">
        <is>
          <t>-</t>
        </is>
      </c>
      <c r="J71" t="n">
        <v>43102000</v>
      </c>
    </row>
    <row r="72" ht="15.75" customHeight="1" s="201">
      <c r="A72" s="14" t="inlineStr">
        <is>
          <t>AGRICULTURAL PROCESSED</t>
        </is>
      </c>
      <c r="B72" s="4" t="inlineStr">
        <is>
          <t>PASTA*</t>
        </is>
      </c>
      <c r="C72" s="15" t="n">
        <v>1.21</v>
      </c>
      <c r="D72" s="15" t="inlineStr">
        <is>
          <t>L</t>
        </is>
      </c>
      <c r="E72" s="15" t="inlineStr">
        <is>
          <t>OK item</t>
        </is>
      </c>
      <c r="F72" s="5" t="inlineStr">
        <is>
          <t>PASTA*</t>
        </is>
      </c>
      <c r="G72" s="16" t="n">
        <v>1.21</v>
      </c>
      <c r="H72" s="17" t="inlineStr">
        <is>
          <t>-</t>
        </is>
      </c>
      <c r="I72" s="18" t="inlineStr">
        <is>
          <t>-</t>
        </is>
      </c>
      <c r="J72" t="n">
        <v>58147510</v>
      </c>
    </row>
    <row r="73" ht="15.75" customHeight="1" s="201">
      <c r="A73" s="14" t="inlineStr">
        <is>
          <t>AGRICULTURAL PROCESSED</t>
        </is>
      </c>
      <c r="B73" s="4" t="inlineStr">
        <is>
          <t>PESTO</t>
        </is>
      </c>
      <c r="C73" s="15" t="n">
        <v>2.71</v>
      </c>
      <c r="D73" s="15" t="inlineStr">
        <is>
          <t>H</t>
        </is>
      </c>
      <c r="E73" s="15" t="inlineStr">
        <is>
          <t>better typology</t>
        </is>
      </c>
      <c r="F73" s="5" t="inlineStr">
        <is>
          <t>PESTO</t>
        </is>
      </c>
      <c r="G73" s="16" t="n">
        <v>2.72</v>
      </c>
      <c r="H73" s="17" t="inlineStr">
        <is>
          <t>-</t>
        </is>
      </c>
      <c r="I73" s="18" t="inlineStr">
        <is>
          <t>-</t>
        </is>
      </c>
      <c r="J73" t="n">
        <v>58146381</v>
      </c>
    </row>
    <row r="74" ht="15.75" customHeight="1" s="201">
      <c r="A74" s="14" t="inlineStr">
        <is>
          <t>AGRICULTURAL PROCESSED</t>
        </is>
      </c>
      <c r="B74" s="4" t="inlineStr">
        <is>
          <t>PESTO WITHOUT GARLIC</t>
        </is>
      </c>
      <c r="C74" s="15" t="n">
        <v>2.72</v>
      </c>
      <c r="D74" s="15" t="inlineStr">
        <is>
          <t>H</t>
        </is>
      </c>
      <c r="E74" s="15" t="inlineStr">
        <is>
          <t>better typology</t>
        </is>
      </c>
      <c r="F74" s="5" t="inlineStr">
        <is>
          <t>PESTO</t>
        </is>
      </c>
      <c r="G74" s="16" t="n">
        <v>2.72</v>
      </c>
      <c r="H74" s="17" t="inlineStr">
        <is>
          <t>-</t>
        </is>
      </c>
      <c r="I74" s="18" t="inlineStr">
        <is>
          <t>-</t>
        </is>
      </c>
      <c r="J74" t="n">
        <v>24164000</v>
      </c>
    </row>
    <row r="75" ht="15.75" customHeight="1" s="201">
      <c r="A75" s="14" t="inlineStr">
        <is>
          <t>AGRICULTURAL PROCESSED</t>
        </is>
      </c>
      <c r="B75" s="4" t="inlineStr">
        <is>
          <t>BEET SUGAR</t>
        </is>
      </c>
      <c r="C75" s="15" t="n">
        <v>0.9399999999999999</v>
      </c>
      <c r="D75" s="15" t="inlineStr">
        <is>
          <t>L</t>
        </is>
      </c>
      <c r="E75" s="15" t="inlineStr">
        <is>
          <t>OK item</t>
        </is>
      </c>
      <c r="F75" s="5" t="inlineStr">
        <is>
          <t>SUGAR</t>
        </is>
      </c>
      <c r="G75" s="16" t="n">
        <v>0.78</v>
      </c>
      <c r="H75" s="17" t="inlineStr">
        <is>
          <t>-</t>
        </is>
      </c>
      <c r="I75" s="18" t="inlineStr">
        <is>
          <t>-</t>
        </is>
      </c>
      <c r="J75" t="n">
        <v>42202100</v>
      </c>
    </row>
    <row r="76" ht="15.75" customHeight="1" s="201">
      <c r="A76" s="14" t="inlineStr">
        <is>
          <t>AGRICULTURAL PROCESSED</t>
        </is>
      </c>
      <c r="B76" s="4" t="inlineStr">
        <is>
          <t>CANE SUGAR</t>
        </is>
      </c>
      <c r="C76" s="15" t="n">
        <v>0.62</v>
      </c>
      <c r="D76" s="15" t="inlineStr">
        <is>
          <t>L</t>
        </is>
      </c>
      <c r="E76" s="5" t="inlineStr">
        <is>
          <t>OK item</t>
        </is>
      </c>
      <c r="F76" s="5" t="inlineStr">
        <is>
          <t>SUGAR</t>
        </is>
      </c>
      <c r="G76" s="16" t="n">
        <v>0.78</v>
      </c>
      <c r="H76" s="17" t="inlineStr">
        <is>
          <t>-</t>
        </is>
      </c>
      <c r="I76" s="18" t="inlineStr">
        <is>
          <t>-</t>
        </is>
      </c>
      <c r="J76" t="n">
        <v>42202100</v>
      </c>
    </row>
    <row r="77" ht="15.75" customHeight="1" s="201">
      <c r="A77" s="14" t="inlineStr">
        <is>
          <t>AGRICULTURAL PROCESSED</t>
        </is>
      </c>
      <c r="B77" s="4" t="inlineStr">
        <is>
          <t>CAKES AND CROISSANT**</t>
        </is>
      </c>
      <c r="C77" s="15" t="n">
        <v>2.14</v>
      </c>
      <c r="D77" s="15" t="inlineStr">
        <is>
          <t>L</t>
        </is>
      </c>
      <c r="E77" s="15" t="inlineStr">
        <is>
          <t>OK item</t>
        </is>
      </c>
      <c r="F77" s="5" t="inlineStr">
        <is>
          <t>SWEETS</t>
        </is>
      </c>
      <c r="G77" s="16" t="n">
        <v>1.99</v>
      </c>
      <c r="H77" s="17" t="inlineStr">
        <is>
          <t>-</t>
        </is>
      </c>
      <c r="I77" s="18" t="inlineStr">
        <is>
          <t>-</t>
        </is>
      </c>
      <c r="J77" t="n">
        <v>53109200</v>
      </c>
    </row>
    <row r="78" ht="15.75" customHeight="1" s="201">
      <c r="A78" s="14" t="inlineStr">
        <is>
          <t>AGRICULTURAL PROCESSED</t>
        </is>
      </c>
      <c r="B78" s="4" t="inlineStr">
        <is>
          <t>COCOA CAKES AND CROISSANT**</t>
        </is>
      </c>
      <c r="C78" s="15" t="n">
        <v>1.94</v>
      </c>
      <c r="D78" s="15" t="inlineStr">
        <is>
          <t>L</t>
        </is>
      </c>
      <c r="E78" s="15" t="inlineStr">
        <is>
          <t>OK item</t>
        </is>
      </c>
      <c r="F78" s="5" t="inlineStr">
        <is>
          <t>SWEETS</t>
        </is>
      </c>
      <c r="G78" s="16" t="n">
        <v>1.99</v>
      </c>
      <c r="H78" s="17" t="inlineStr">
        <is>
          <t>-</t>
        </is>
      </c>
      <c r="I78" s="18" t="inlineStr">
        <is>
          <t>-</t>
        </is>
      </c>
      <c r="J78" t="n">
        <v>53109200</v>
      </c>
    </row>
    <row r="79" ht="15.75" customHeight="1" s="201">
      <c r="A79" s="14" t="inlineStr">
        <is>
          <t>AGRICULTURAL PROCESSED</t>
        </is>
      </c>
      <c r="B79" s="4" t="inlineStr">
        <is>
          <t>TOMATO CHOPPED</t>
        </is>
      </c>
      <c r="C79" s="15" t="n">
        <v>1.47</v>
      </c>
      <c r="D79" s="15" t="inlineStr">
        <is>
          <t>L</t>
        </is>
      </c>
      <c r="E79" s="15" t="inlineStr">
        <is>
          <t>OK item</t>
        </is>
      </c>
      <c r="F79" s="5" t="inlineStr">
        <is>
          <t>TOMATO PUREE,PEELED, CHOPPED</t>
        </is>
      </c>
      <c r="G79" s="16" t="n">
        <v>1.3</v>
      </c>
      <c r="H79" s="17" t="inlineStr">
        <is>
          <t>-</t>
        </is>
      </c>
      <c r="I79" s="18" t="inlineStr">
        <is>
          <t>-</t>
        </is>
      </c>
      <c r="J79" t="n">
        <v>74601010</v>
      </c>
    </row>
    <row r="80" ht="15.75" customHeight="1" s="201">
      <c r="A80" s="14" t="inlineStr">
        <is>
          <t>AGRICULTURAL PROCESSED</t>
        </is>
      </c>
      <c r="B80" s="4" t="inlineStr">
        <is>
          <t>TOMATO PEELED</t>
        </is>
      </c>
      <c r="C80" s="15" t="n">
        <v>1.3</v>
      </c>
      <c r="D80" s="15" t="inlineStr">
        <is>
          <t>H</t>
        </is>
      </c>
      <c r="E80" s="15" t="inlineStr">
        <is>
          <t>better typology</t>
        </is>
      </c>
      <c r="F80" s="5" t="inlineStr">
        <is>
          <t>TOMATO PUREE,PEELED, CHOPPED</t>
        </is>
      </c>
      <c r="G80" s="16" t="n">
        <v>1.3</v>
      </c>
      <c r="H80" s="17" t="inlineStr">
        <is>
          <t>-</t>
        </is>
      </c>
      <c r="I80" s="18" t="inlineStr">
        <is>
          <t>-</t>
        </is>
      </c>
      <c r="J80" t="n">
        <v>74601010</v>
      </c>
    </row>
    <row r="81" ht="15.75" customHeight="1" s="201">
      <c r="A81" s="14" t="inlineStr">
        <is>
          <t>AGRICULTURAL PROCESSED</t>
        </is>
      </c>
      <c r="B81" s="4" t="inlineStr">
        <is>
          <t>TOMATO PUREE</t>
        </is>
      </c>
      <c r="C81" s="15" t="n">
        <v>1.03</v>
      </c>
      <c r="D81" s="15" t="inlineStr">
        <is>
          <t>L</t>
        </is>
      </c>
      <c r="E81" s="15" t="inlineStr">
        <is>
          <t>OK item</t>
        </is>
      </c>
      <c r="F81" s="5" t="inlineStr">
        <is>
          <t>TOMATO PUREE,PEELED, CHOPPED</t>
        </is>
      </c>
      <c r="G81" s="16" t="n">
        <v>1.3</v>
      </c>
      <c r="H81" s="17" t="inlineStr">
        <is>
          <t>-</t>
        </is>
      </c>
      <c r="I81" s="18" t="inlineStr">
        <is>
          <t>-</t>
        </is>
      </c>
      <c r="J81" t="n">
        <v>74601010</v>
      </c>
    </row>
    <row r="82" ht="15.75" customHeight="1" s="201">
      <c r="A82" s="14" t="inlineStr">
        <is>
          <t>AGRICULTURAL PROCESSED</t>
        </is>
      </c>
      <c r="B82" s="4" t="inlineStr">
        <is>
          <t>TOMATO &amp; BASIL</t>
        </is>
      </c>
      <c r="C82" s="15" t="n">
        <v>1.14</v>
      </c>
      <c r="D82" s="15" t="inlineStr">
        <is>
          <t>L</t>
        </is>
      </c>
      <c r="E82" s="15" t="inlineStr">
        <is>
          <t>OK item</t>
        </is>
      </c>
      <c r="F82" s="5" t="inlineStr">
        <is>
          <t>TOMATO SAUCE</t>
        </is>
      </c>
      <c r="G82" s="16" t="n">
        <v>1.19</v>
      </c>
      <c r="H82" s="17" t="inlineStr">
        <is>
          <t>-</t>
        </is>
      </c>
      <c r="I82" s="18" t="inlineStr">
        <is>
          <t>-</t>
        </is>
      </c>
      <c r="J82" t="n">
        <v>74601010</v>
      </c>
    </row>
    <row r="83" ht="15.75" customHeight="1" s="201">
      <c r="A83" s="14" t="inlineStr">
        <is>
          <t>AGRICULTURAL PROCESSED</t>
        </is>
      </c>
      <c r="B83" s="4" t="inlineStr">
        <is>
          <t>TOMATO ARRABBIATA</t>
        </is>
      </c>
      <c r="C83" s="15" t="n">
        <v>1.24</v>
      </c>
      <c r="D83" s="15" t="inlineStr">
        <is>
          <t>L</t>
        </is>
      </c>
      <c r="E83" s="15" t="inlineStr">
        <is>
          <t>OK item</t>
        </is>
      </c>
      <c r="F83" s="5" t="inlineStr">
        <is>
          <t>TOMATO SAUCE</t>
        </is>
      </c>
      <c r="G83" s="16" t="n">
        <v>1.19</v>
      </c>
      <c r="H83" s="17" t="inlineStr">
        <is>
          <t>-</t>
        </is>
      </c>
      <c r="I83" s="18" t="inlineStr">
        <is>
          <t>-</t>
        </is>
      </c>
      <c r="J83" t="n">
        <v>74601010</v>
      </c>
    </row>
    <row r="84" ht="15.75" customHeight="1" s="201">
      <c r="A84" s="14" t="inlineStr">
        <is>
          <t>AGRICULTURAL PROCESSED</t>
        </is>
      </c>
      <c r="B84" s="4" t="inlineStr">
        <is>
          <t>CARROTS CANNED</t>
        </is>
      </c>
      <c r="C84" s="15" t="n">
        <v>1.6</v>
      </c>
      <c r="D84" s="15" t="inlineStr">
        <is>
          <t>H</t>
        </is>
      </c>
      <c r="E84" s="15" t="inlineStr">
        <is>
          <t>better typology</t>
        </is>
      </c>
      <c r="F84" s="5" t="inlineStr">
        <is>
          <t>VEGETABLES CANNED</t>
        </is>
      </c>
      <c r="G84" s="16" t="n">
        <v>1.48</v>
      </c>
      <c r="H84" s="17" t="inlineStr">
        <is>
          <t>-</t>
        </is>
      </c>
      <c r="I84" s="18" t="inlineStr">
        <is>
          <t>-</t>
        </is>
      </c>
      <c r="J84" t="n">
        <v>63311110</v>
      </c>
    </row>
    <row r="85" ht="15.75" customHeight="1" s="201">
      <c r="A85" s="14" t="inlineStr">
        <is>
          <t>AGRICULTURAL PROCESSED</t>
        </is>
      </c>
      <c r="B85" s="4" t="inlineStr">
        <is>
          <t>CORN CANNED</t>
        </is>
      </c>
      <c r="C85" s="15" t="n">
        <v>1.36</v>
      </c>
      <c r="D85" s="15" t="inlineStr">
        <is>
          <t>H</t>
        </is>
      </c>
      <c r="E85" s="15" t="inlineStr">
        <is>
          <t>better typology</t>
        </is>
      </c>
      <c r="F85" s="5" t="inlineStr">
        <is>
          <t>VEGETABLES CANNED</t>
        </is>
      </c>
      <c r="G85" s="16" t="n">
        <v>1.48</v>
      </c>
      <c r="H85" s="17" t="inlineStr">
        <is>
          <t>-</t>
        </is>
      </c>
      <c r="I85" s="18" t="inlineStr">
        <is>
          <t>-</t>
        </is>
      </c>
      <c r="J85" t="n">
        <v>54401055</v>
      </c>
    </row>
    <row r="86" ht="15.75" customHeight="1" s="201">
      <c r="A86" s="14" t="inlineStr">
        <is>
          <t>AGRICULTURAL PROCESSED</t>
        </is>
      </c>
      <c r="B86" s="4" t="inlineStr">
        <is>
          <t>CARROTS (F)</t>
        </is>
      </c>
      <c r="C86" s="15" t="n">
        <v>0.27</v>
      </c>
      <c r="D86" s="15" t="inlineStr">
        <is>
          <t>H</t>
        </is>
      </c>
      <c r="E86" s="15" t="inlineStr">
        <is>
          <t>better typology</t>
        </is>
      </c>
      <c r="F86" s="5" t="inlineStr">
        <is>
          <t>VEGETABLES FROZEN</t>
        </is>
      </c>
      <c r="G86" s="16" t="n">
        <v>0.8100000000000001</v>
      </c>
      <c r="H86" s="17" t="inlineStr">
        <is>
          <t>-</t>
        </is>
      </c>
      <c r="I86" s="18" t="inlineStr">
        <is>
          <t>-</t>
        </is>
      </c>
      <c r="J86" t="n">
        <v>27311120</v>
      </c>
    </row>
    <row r="87" ht="15.75" customHeight="1" s="201">
      <c r="A87" s="14" t="inlineStr">
        <is>
          <t>AGRICULTURAL PROCESSED</t>
        </is>
      </c>
      <c r="B87" s="4" t="inlineStr">
        <is>
          <t>ZUCCHINI (F)</t>
        </is>
      </c>
      <c r="C87" s="15" t="n">
        <v>1.35</v>
      </c>
      <c r="D87" s="15" t="inlineStr">
        <is>
          <t>H</t>
        </is>
      </c>
      <c r="E87" s="15" t="inlineStr">
        <is>
          <t>better typology</t>
        </is>
      </c>
      <c r="F87" s="5" t="inlineStr">
        <is>
          <t>VEGETABLES FROZEN</t>
        </is>
      </c>
      <c r="G87" s="16" t="n">
        <v>0.8100000000000001</v>
      </c>
      <c r="H87" s="17" t="inlineStr">
        <is>
          <t>-</t>
        </is>
      </c>
      <c r="I87" s="18" t="inlineStr">
        <is>
          <t>-</t>
        </is>
      </c>
      <c r="J87" t="n">
        <v>52407000</v>
      </c>
    </row>
    <row r="88" ht="15.75" customHeight="1" s="201">
      <c r="A88" s="14" t="inlineStr">
        <is>
          <t>AGRICULTURAL PROCESSED</t>
        </is>
      </c>
      <c r="B88" s="4" t="inlineStr">
        <is>
          <t>SOY CREAM*</t>
        </is>
      </c>
      <c r="C88" s="15" t="n">
        <v>1.62</v>
      </c>
      <c r="D88" s="15" t="inlineStr">
        <is>
          <t>H</t>
        </is>
      </c>
      <c r="E88" s="5" t="inlineStr">
        <is>
          <t>Item matching typology</t>
        </is>
      </c>
      <c r="F88" s="5" t="inlineStr">
        <is>
          <t>VEGETAL CREAM* (soy cream)</t>
        </is>
      </c>
      <c r="G88" s="16" t="n">
        <v>1.62</v>
      </c>
      <c r="H88" s="17" t="inlineStr">
        <is>
          <t>-</t>
        </is>
      </c>
      <c r="I88" s="18" t="inlineStr">
        <is>
          <t>-</t>
        </is>
      </c>
      <c r="J88" t="n">
        <v>12110100</v>
      </c>
    </row>
    <row r="89" ht="15.75" customHeight="1" s="201">
      <c r="A89" s="14" t="inlineStr">
        <is>
          <t>AGRICULTURAL PROCESSED</t>
        </is>
      </c>
      <c r="B89" s="4" t="inlineStr">
        <is>
          <t>ALMOND MILK</t>
        </is>
      </c>
      <c r="C89" s="15" t="n">
        <v>0.42</v>
      </c>
      <c r="D89" s="15" t="inlineStr">
        <is>
          <t>H</t>
        </is>
      </c>
      <c r="E89" s="15" t="inlineStr">
        <is>
          <t>better typology</t>
        </is>
      </c>
      <c r="F89" s="5" t="inlineStr">
        <is>
          <t>VEGETAL MILK</t>
        </is>
      </c>
      <c r="G89" s="16" t="n">
        <v>0.54</v>
      </c>
      <c r="H89" s="17" t="inlineStr">
        <is>
          <t>-</t>
        </is>
      </c>
      <c r="I89" s="18" t="inlineStr">
        <is>
          <t>-</t>
        </is>
      </c>
      <c r="J89" t="n">
        <v>11350030</v>
      </c>
    </row>
    <row r="90" ht="15.75" customHeight="1" s="201">
      <c r="A90" s="14" t="inlineStr">
        <is>
          <t>AGRICULTURAL PROCESSED</t>
        </is>
      </c>
      <c r="B90" s="4" t="inlineStr">
        <is>
          <t>COCONUT MILK</t>
        </is>
      </c>
      <c r="C90" s="15" t="n">
        <v>0.41</v>
      </c>
      <c r="D90" s="15" t="inlineStr">
        <is>
          <t>H</t>
        </is>
      </c>
      <c r="E90" s="15" t="inlineStr">
        <is>
          <t>better typology</t>
        </is>
      </c>
      <c r="F90" s="5" t="inlineStr">
        <is>
          <t>VEGETAL MILK</t>
        </is>
      </c>
      <c r="G90" s="16" t="n">
        <v>0.54</v>
      </c>
      <c r="H90" s="17" t="inlineStr">
        <is>
          <t>-</t>
        </is>
      </c>
      <c r="I90" s="18" t="inlineStr">
        <is>
          <t>-</t>
        </is>
      </c>
      <c r="J90" t="n">
        <v>11513310</v>
      </c>
    </row>
    <row r="91" ht="15.75" customHeight="1" s="201">
      <c r="A91" s="14" t="inlineStr">
        <is>
          <t>AGRICULTURAL PROCESSED</t>
        </is>
      </c>
      <c r="B91" s="4" t="inlineStr">
        <is>
          <t>RICE MILK</t>
        </is>
      </c>
      <c r="C91" s="15" t="n">
        <v>0.66</v>
      </c>
      <c r="D91" s="15" t="inlineStr">
        <is>
          <t>H</t>
        </is>
      </c>
      <c r="E91" s="15" t="inlineStr">
        <is>
          <t>better typology</t>
        </is>
      </c>
      <c r="F91" s="5" t="inlineStr">
        <is>
          <t>VEGETAL MILK</t>
        </is>
      </c>
      <c r="G91" s="16" t="n">
        <v>0.54</v>
      </c>
      <c r="H91" s="17" t="inlineStr">
        <is>
          <t>-</t>
        </is>
      </c>
      <c r="I91" s="18" t="inlineStr">
        <is>
          <t>-</t>
        </is>
      </c>
      <c r="J91" t="n">
        <v>54319000</v>
      </c>
    </row>
    <row r="92" ht="15.75" customHeight="1" s="201">
      <c r="A92" s="14" t="inlineStr">
        <is>
          <t>AGRICULTURAL PROCESSED</t>
        </is>
      </c>
      <c r="B92" s="4" t="inlineStr">
        <is>
          <t>SOY MILK</t>
        </is>
      </c>
      <c r="C92" s="15" t="n">
        <v>0.78</v>
      </c>
      <c r="D92" s="15" t="inlineStr">
        <is>
          <t>L</t>
        </is>
      </c>
      <c r="E92" s="15" t="inlineStr">
        <is>
          <t>OK item</t>
        </is>
      </c>
      <c r="F92" s="5" t="inlineStr">
        <is>
          <t>VEGETAL MILK</t>
        </is>
      </c>
      <c r="G92" s="16" t="n">
        <v>0.54</v>
      </c>
      <c r="H92" s="17" t="inlineStr">
        <is>
          <t>-</t>
        </is>
      </c>
      <c r="I92" s="18" t="inlineStr">
        <is>
          <t>-</t>
        </is>
      </c>
      <c r="J92" t="n">
        <v>11112110</v>
      </c>
    </row>
    <row r="93" ht="15.75" customHeight="1" s="201">
      <c r="A93" s="14" t="inlineStr">
        <is>
          <t>AGRICULTURAL PROCESSED</t>
        </is>
      </c>
      <c r="B93" s="4" t="inlineStr">
        <is>
          <t>QUORNE</t>
        </is>
      </c>
      <c r="C93" s="15" t="n">
        <v>2.5</v>
      </c>
      <c r="D93" s="15" t="inlineStr">
        <is>
          <t>H</t>
        </is>
      </c>
      <c r="E93" s="15" t="inlineStr">
        <is>
          <t>better typology</t>
        </is>
      </c>
      <c r="F93" s="5" t="inlineStr">
        <is>
          <t>VEGETAL PROTEINS</t>
        </is>
      </c>
      <c r="G93" s="16" t="n">
        <v>2.27</v>
      </c>
      <c r="H93" s="17" t="inlineStr">
        <is>
          <t>-</t>
        </is>
      </c>
      <c r="I93" s="18" t="inlineStr">
        <is>
          <t>-</t>
        </is>
      </c>
    </row>
    <row r="94" ht="15.75" customHeight="1" s="201">
      <c r="A94" s="14" t="inlineStr">
        <is>
          <t>AGRICULTURAL PROCESSED</t>
        </is>
      </c>
      <c r="B94" s="4" t="inlineStr">
        <is>
          <t>SOY BURGER</t>
        </is>
      </c>
      <c r="C94" s="15" t="n">
        <v>1.48</v>
      </c>
      <c r="D94" s="15" t="inlineStr">
        <is>
          <t>H</t>
        </is>
      </c>
      <c r="E94" s="15" t="inlineStr">
        <is>
          <t>better typology</t>
        </is>
      </c>
      <c r="F94" s="5" t="inlineStr">
        <is>
          <t>VEGETAL PROTEINS</t>
        </is>
      </c>
      <c r="G94" s="16" t="n">
        <v>2.27</v>
      </c>
      <c r="H94" s="17" t="inlineStr">
        <is>
          <t>-</t>
        </is>
      </c>
      <c r="I94" s="18" t="inlineStr">
        <is>
          <t>-</t>
        </is>
      </c>
      <c r="J94" t="n">
        <v>41811890</v>
      </c>
    </row>
    <row r="95" ht="15.75" customHeight="1" s="201">
      <c r="A95" s="14" t="inlineStr">
        <is>
          <t>AGRICULTURAL PROCESSED</t>
        </is>
      </c>
      <c r="B95" s="4" t="inlineStr">
        <is>
          <t>TOFU</t>
        </is>
      </c>
      <c r="C95" s="15" t="n">
        <v>2.27</v>
      </c>
      <c r="D95" s="15" t="inlineStr">
        <is>
          <t>L</t>
        </is>
      </c>
      <c r="E95" s="15" t="inlineStr">
        <is>
          <t>OK item</t>
        </is>
      </c>
      <c r="F95" s="5" t="inlineStr">
        <is>
          <t>VEGETAL PROTEINS</t>
        </is>
      </c>
      <c r="G95" s="16" t="n">
        <v>2.27</v>
      </c>
      <c r="H95" s="17" t="inlineStr">
        <is>
          <t>-</t>
        </is>
      </c>
      <c r="I95" s="18" t="inlineStr">
        <is>
          <t>-</t>
        </is>
      </c>
      <c r="J95" t="n">
        <v>27415120</v>
      </c>
    </row>
    <row r="96" ht="15.75" customHeight="1" s="201">
      <c r="A96" s="14" t="inlineStr">
        <is>
          <t>AGRICULTURAL PROCESSED</t>
        </is>
      </c>
      <c r="B96" s="4" t="inlineStr">
        <is>
          <t>SOY YOGURT*</t>
        </is>
      </c>
      <c r="C96" s="15" t="n">
        <v>1.36</v>
      </c>
      <c r="D96" s="15" t="inlineStr">
        <is>
          <t>H</t>
        </is>
      </c>
      <c r="E96" s="5" t="inlineStr">
        <is>
          <t>Item matching typology</t>
        </is>
      </c>
      <c r="F96" s="5" t="inlineStr">
        <is>
          <t>VEGETAL YOGURT (soy yogurt)</t>
        </is>
      </c>
      <c r="G96" s="16" t="n">
        <v>1.36</v>
      </c>
      <c r="H96" s="17" t="inlineStr">
        <is>
          <t>-</t>
        </is>
      </c>
      <c r="I96" s="18" t="inlineStr">
        <is>
          <t>-</t>
        </is>
      </c>
      <c r="J96" t="n">
        <v>11432000</v>
      </c>
    </row>
    <row r="97" ht="15.75" customHeight="1" s="201">
      <c r="A97" s="14" t="inlineStr">
        <is>
          <t>AGRICULTURAL PROCESSED</t>
        </is>
      </c>
      <c r="B97" s="4" t="inlineStr">
        <is>
          <t>WINE RED</t>
        </is>
      </c>
      <c r="C97" s="15" t="n">
        <v>0.87</v>
      </c>
      <c r="D97" s="15" t="inlineStr">
        <is>
          <t>L</t>
        </is>
      </c>
      <c r="E97" s="15" t="inlineStr">
        <is>
          <t>OK item</t>
        </is>
      </c>
      <c r="F97" s="5" t="inlineStr">
        <is>
          <t>WINE</t>
        </is>
      </c>
      <c r="G97" s="16" t="n">
        <v>0.66</v>
      </c>
      <c r="H97" s="17" t="inlineStr">
        <is>
          <t>-</t>
        </is>
      </c>
      <c r="I97" s="18" t="inlineStr">
        <is>
          <t>-</t>
        </is>
      </c>
      <c r="J97" t="n">
        <v>93401100</v>
      </c>
    </row>
    <row r="98" ht="15.75" customHeight="1" s="201">
      <c r="A98" s="14" t="inlineStr">
        <is>
          <t>AGRICULTURAL PROCESSED</t>
        </is>
      </c>
      <c r="B98" s="4" t="inlineStr">
        <is>
          <t>WINE WHITE</t>
        </is>
      </c>
      <c r="C98" s="15" t="n">
        <v>0.44</v>
      </c>
      <c r="D98" s="15" t="inlineStr">
        <is>
          <t>H</t>
        </is>
      </c>
      <c r="E98" s="15" t="inlineStr">
        <is>
          <t>better typology</t>
        </is>
      </c>
      <c r="F98" s="5" t="inlineStr">
        <is>
          <t>WINE</t>
        </is>
      </c>
      <c r="G98" s="16" t="n">
        <v>0.66</v>
      </c>
      <c r="H98" s="17" t="inlineStr">
        <is>
          <t>-</t>
        </is>
      </c>
      <c r="I98" s="18" t="inlineStr">
        <is>
          <t>-</t>
        </is>
      </c>
      <c r="J98" t="n">
        <v>93401020</v>
      </c>
    </row>
    <row r="99" ht="15.75" customHeight="1" s="201">
      <c r="A99" s="14" t="inlineStr">
        <is>
          <t>AGRICULTURAL PROCESSED</t>
        </is>
      </c>
      <c r="B99" s="4" t="inlineStr">
        <is>
          <t>YEAST COMPRESSED*</t>
        </is>
      </c>
      <c r="C99" s="15" t="n">
        <v>0.82</v>
      </c>
      <c r="D99" s="15" t="inlineStr">
        <is>
          <t>H</t>
        </is>
      </c>
      <c r="E99" s="5" t="inlineStr">
        <is>
          <t>Item matching typology</t>
        </is>
      </c>
      <c r="F99" s="5" t="inlineStr">
        <is>
          <t>YEAST COMPRESSED*</t>
        </is>
      </c>
      <c r="G99" s="16" t="n">
        <v>0.824</v>
      </c>
      <c r="H99" s="17" t="inlineStr">
        <is>
          <t>-</t>
        </is>
      </c>
      <c r="I99" s="18" t="inlineStr">
        <is>
          <t>-</t>
        </is>
      </c>
      <c r="J99" t="n">
        <v>75236000</v>
      </c>
    </row>
    <row r="100" ht="15.75" customHeight="1" s="201">
      <c r="A100" s="14" t="inlineStr">
        <is>
          <t>AGRICULTURAL PROCESSED</t>
        </is>
      </c>
      <c r="B100" s="4" t="inlineStr">
        <is>
          <t>YEAST DRIED*</t>
        </is>
      </c>
      <c r="C100" s="15" t="n">
        <v>3.29</v>
      </c>
      <c r="D100" s="15" t="inlineStr">
        <is>
          <t>H</t>
        </is>
      </c>
      <c r="E100" s="5" t="inlineStr">
        <is>
          <t>Item matching typology</t>
        </is>
      </c>
      <c r="F100" s="5" t="inlineStr">
        <is>
          <t>YEAST DRIED*</t>
        </is>
      </c>
      <c r="G100" s="16" t="n">
        <v>3.294</v>
      </c>
      <c r="H100" s="17" t="inlineStr">
        <is>
          <t>-</t>
        </is>
      </c>
      <c r="I100" s="18" t="inlineStr">
        <is>
          <t>-</t>
        </is>
      </c>
      <c r="J100" t="n">
        <v>75236000</v>
      </c>
    </row>
    <row r="101" ht="15.75" customHeight="1" s="201">
      <c r="A101" s="14" t="inlineStr">
        <is>
          <t>AGRICULTURAL PROCESSED</t>
        </is>
      </c>
      <c r="B101" s="4" t="inlineStr">
        <is>
          <t>YEAST LIQUID*</t>
        </is>
      </c>
      <c r="C101" s="15" t="n">
        <v>0.5</v>
      </c>
      <c r="D101" s="15" t="inlineStr">
        <is>
          <t>H</t>
        </is>
      </c>
      <c r="E101" s="5" t="inlineStr">
        <is>
          <t>Item matching typology</t>
        </is>
      </c>
      <c r="F101" s="5" t="inlineStr">
        <is>
          <t>YEAST LIQUID*</t>
        </is>
      </c>
      <c r="G101" s="16" t="n">
        <v>0.503</v>
      </c>
      <c r="H101" s="17" t="inlineStr">
        <is>
          <t>-</t>
        </is>
      </c>
      <c r="I101" s="18" t="inlineStr">
        <is>
          <t>-</t>
        </is>
      </c>
      <c r="J101" t="n">
        <v>95120050</v>
      </c>
    </row>
    <row r="102" ht="15.75" customHeight="1" s="201">
      <c r="A102" s="14" t="inlineStr">
        <is>
          <t>ANIMAL HUSBANDRY</t>
        </is>
      </c>
      <c r="B102" s="4" t="inlineStr">
        <is>
          <t>BEEF BONE FREE MEAT*</t>
        </is>
      </c>
      <c r="C102" s="15" t="n">
        <v>25.75</v>
      </c>
      <c r="D102" s="15" t="inlineStr">
        <is>
          <t>H</t>
        </is>
      </c>
      <c r="E102" s="5" t="inlineStr">
        <is>
          <t>Item matching typology</t>
        </is>
      </c>
      <c r="F102" s="5" t="inlineStr">
        <is>
          <t>BEEF BONE FREE MEAT*</t>
        </is>
      </c>
      <c r="G102" s="16" t="n">
        <v>25.75</v>
      </c>
      <c r="H102" s="19" t="inlineStr">
        <is>
          <t>
</t>
        </is>
      </c>
      <c r="I102" s="18" t="inlineStr">
        <is>
          <t>-</t>
        </is>
      </c>
      <c r="J102" t="n">
        <v>28110510</v>
      </c>
    </row>
    <row r="103" ht="15.75" customHeight="1" s="201">
      <c r="A103" s="14" t="inlineStr">
        <is>
          <t>ANIMAL HUSBANDRY</t>
        </is>
      </c>
      <c r="B103" s="4" t="inlineStr">
        <is>
          <t>BEEF MEAT WITH BONE*</t>
        </is>
      </c>
      <c r="C103" s="15" t="n">
        <v>17.96</v>
      </c>
      <c r="D103" s="15" t="inlineStr">
        <is>
          <t>L</t>
        </is>
      </c>
      <c r="E103" s="15" t="inlineStr">
        <is>
          <t>OK item</t>
        </is>
      </c>
      <c r="F103" s="5" t="inlineStr">
        <is>
          <t>BEEF MEAT WITH BONE*</t>
        </is>
      </c>
      <c r="G103" s="16" t="n">
        <v>17.96</v>
      </c>
      <c r="H103" s="17" t="inlineStr">
        <is>
          <t>-</t>
        </is>
      </c>
      <c r="I103" s="18" t="inlineStr">
        <is>
          <t>-</t>
        </is>
      </c>
      <c r="J103" t="n">
        <v>58128250</v>
      </c>
    </row>
    <row r="104" ht="15.75" customHeight="1" s="201">
      <c r="A104" s="14" t="inlineStr">
        <is>
          <t>ANIMAL HUSBANDRY</t>
        </is>
      </c>
      <c r="B104" s="4" t="inlineStr">
        <is>
          <t>BUFFALO BONE FREE MEAT*</t>
        </is>
      </c>
      <c r="C104" s="15" t="n">
        <v>78.8</v>
      </c>
      <c r="D104" s="15" t="inlineStr">
        <is>
          <t>H</t>
        </is>
      </c>
      <c r="E104" s="5" t="inlineStr">
        <is>
          <t>Item matching typology</t>
        </is>
      </c>
      <c r="F104" s="5" t="inlineStr">
        <is>
          <t>BUFFALO BONE FREE MEAT*</t>
        </is>
      </c>
      <c r="G104" s="16" t="n">
        <v>78.8</v>
      </c>
      <c r="H104" s="17" t="inlineStr">
        <is>
          <t>-</t>
        </is>
      </c>
      <c r="I104" s="18" t="inlineStr">
        <is>
          <t>-</t>
        </is>
      </c>
      <c r="J104" t="n">
        <v>27446260</v>
      </c>
    </row>
    <row r="105" ht="15.75" customHeight="1" s="201">
      <c r="A105" s="14" t="inlineStr">
        <is>
          <t>ANIMAL HUSBANDRY</t>
        </is>
      </c>
      <c r="B105" s="4" t="inlineStr">
        <is>
          <t>BUTTER*</t>
        </is>
      </c>
      <c r="C105" s="15" t="n">
        <v>8.48</v>
      </c>
      <c r="D105" s="15" t="inlineStr">
        <is>
          <t>L</t>
        </is>
      </c>
      <c r="E105" s="15" t="inlineStr">
        <is>
          <t>OK item</t>
        </is>
      </c>
      <c r="F105" s="5" t="inlineStr">
        <is>
          <t>BUTTER*</t>
        </is>
      </c>
      <c r="G105" s="16" t="n">
        <v>8.48</v>
      </c>
      <c r="H105" s="17" t="inlineStr">
        <is>
          <t>-</t>
        </is>
      </c>
      <c r="I105" s="18" t="inlineStr">
        <is>
          <t>-</t>
        </is>
      </c>
      <c r="J105" t="n">
        <v>54328100</v>
      </c>
    </row>
    <row r="106" ht="15.75" customHeight="1" s="201">
      <c r="A106" s="14" t="inlineStr">
        <is>
          <t>ANIMAL HUSBANDRY</t>
        </is>
      </c>
      <c r="B106" s="4" t="inlineStr">
        <is>
          <t>CREAM</t>
        </is>
      </c>
      <c r="C106" s="15" t="n">
        <v>5.45</v>
      </c>
      <c r="D106" s="15" t="inlineStr">
        <is>
          <t>L</t>
        </is>
      </c>
      <c r="E106" s="15" t="inlineStr">
        <is>
          <t>OK item</t>
        </is>
      </c>
      <c r="F106" s="5" t="inlineStr">
        <is>
          <t>CHEESE FRESH</t>
        </is>
      </c>
      <c r="G106" s="16" t="n">
        <v>5.45</v>
      </c>
      <c r="H106" s="17" t="inlineStr">
        <is>
          <t>-</t>
        </is>
      </c>
      <c r="I106" s="18" t="inlineStr">
        <is>
          <t>-</t>
        </is>
      </c>
      <c r="J106" t="n">
        <v>12110100</v>
      </c>
    </row>
    <row r="107" ht="15.75" customHeight="1" s="201">
      <c r="A107" s="14" t="inlineStr">
        <is>
          <t>ANIMAL HUSBANDRY</t>
        </is>
      </c>
      <c r="B107" s="4" t="inlineStr">
        <is>
          <t>MASCARPONE</t>
        </is>
      </c>
      <c r="C107" s="15" t="n">
        <v>5.7</v>
      </c>
      <c r="D107" s="15" t="inlineStr">
        <is>
          <t>H</t>
        </is>
      </c>
      <c r="E107" s="15" t="inlineStr">
        <is>
          <t>better typology</t>
        </is>
      </c>
      <c r="F107" s="5" t="inlineStr">
        <is>
          <t>CHEESE FRESH</t>
        </is>
      </c>
      <c r="G107" s="16" t="n">
        <v>5.45</v>
      </c>
      <c r="H107" s="17" t="inlineStr">
        <is>
          <t>-</t>
        </is>
      </c>
      <c r="I107" s="18" t="inlineStr">
        <is>
          <t>-</t>
        </is>
      </c>
    </row>
    <row r="108" ht="15.75" customHeight="1" s="201">
      <c r="A108" s="14" t="inlineStr">
        <is>
          <t>ANIMAL HUSBANDRY</t>
        </is>
      </c>
      <c r="B108" s="4" t="inlineStr">
        <is>
          <t>MOZZARELLA</t>
        </is>
      </c>
      <c r="C108" s="15" t="n">
        <v>8.199999999999999</v>
      </c>
      <c r="D108" s="15" t="inlineStr">
        <is>
          <t>L</t>
        </is>
      </c>
      <c r="E108" s="15" t="inlineStr">
        <is>
          <t>OK item</t>
        </is>
      </c>
      <c r="F108" s="5" t="inlineStr">
        <is>
          <t>CHEESE FRESH</t>
        </is>
      </c>
      <c r="G108" s="16" t="n">
        <v>5.45</v>
      </c>
      <c r="H108" s="17" t="inlineStr">
        <is>
          <t>-</t>
        </is>
      </c>
      <c r="I108" s="18" t="inlineStr">
        <is>
          <t>-</t>
        </is>
      </c>
      <c r="J108" t="n">
        <v>14660200</v>
      </c>
    </row>
    <row r="109" ht="15.75" customHeight="1" s="201">
      <c r="A109" s="14" t="inlineStr">
        <is>
          <t>ANIMAL HUSBANDRY</t>
        </is>
      </c>
      <c r="B109" s="4" t="inlineStr">
        <is>
          <t>RICOTTA</t>
        </is>
      </c>
      <c r="C109" s="15" t="n">
        <v>3.4</v>
      </c>
      <c r="D109" s="15" t="inlineStr">
        <is>
          <t>H</t>
        </is>
      </c>
      <c r="E109" s="15" t="inlineStr">
        <is>
          <t>better typology</t>
        </is>
      </c>
      <c r="F109" s="5" t="inlineStr">
        <is>
          <t>CHEESE FRESH</t>
        </is>
      </c>
      <c r="G109" s="16" t="n">
        <v>5.45</v>
      </c>
      <c r="H109" s="17" t="inlineStr">
        <is>
          <t>-</t>
        </is>
      </c>
      <c r="I109" s="18" t="inlineStr">
        <is>
          <t>-</t>
        </is>
      </c>
      <c r="J109" t="n">
        <v>13252500</v>
      </c>
    </row>
    <row r="110" ht="15.75" customHeight="1" s="201">
      <c r="A110" s="14" t="inlineStr">
        <is>
          <t>ANIMAL HUSBANDRY</t>
        </is>
      </c>
      <c r="B110" s="4" t="inlineStr">
        <is>
          <t>STRACCHINO</t>
        </is>
      </c>
      <c r="C110" s="15" t="n">
        <v>4.92</v>
      </c>
      <c r="D110" s="15" t="inlineStr">
        <is>
          <t>H</t>
        </is>
      </c>
      <c r="E110" s="15" t="inlineStr">
        <is>
          <t>better typology</t>
        </is>
      </c>
      <c r="F110" s="5" t="inlineStr">
        <is>
          <t>CHEESE FRESH</t>
        </is>
      </c>
      <c r="G110" s="16" t="n">
        <v>5.45</v>
      </c>
      <c r="H110" s="17" t="inlineStr">
        <is>
          <t>-</t>
        </is>
      </c>
      <c r="I110" s="18" t="inlineStr">
        <is>
          <t>-</t>
        </is>
      </c>
    </row>
    <row r="111" ht="15.75" customHeight="1" s="201">
      <c r="A111" s="14" t="inlineStr">
        <is>
          <t>ANIMAL HUSBANDRY</t>
        </is>
      </c>
      <c r="B111" s="4" t="inlineStr">
        <is>
          <t>ASIAGO</t>
        </is>
      </c>
      <c r="C111" s="15" t="n">
        <v>10.24</v>
      </c>
      <c r="D111" s="15" t="inlineStr">
        <is>
          <t>H</t>
        </is>
      </c>
      <c r="E111" s="15" t="inlineStr">
        <is>
          <t>better typology</t>
        </is>
      </c>
      <c r="F111" s="5" t="inlineStr">
        <is>
          <t>CHEESE HARD &amp; SEMI-HARD</t>
        </is>
      </c>
      <c r="G111" s="16" t="n">
        <v>9.59</v>
      </c>
      <c r="H111" s="17" t="inlineStr">
        <is>
          <t>-</t>
        </is>
      </c>
      <c r="I111" s="18" t="inlineStr">
        <is>
          <t>-</t>
        </is>
      </c>
      <c r="J111" t="n">
        <v>14108010</v>
      </c>
    </row>
    <row r="112" ht="15.75" customHeight="1" s="201">
      <c r="A112" s="14" t="inlineStr">
        <is>
          <t>ANIMAL HUSBANDRY</t>
        </is>
      </c>
      <c r="B112" s="4" t="inlineStr">
        <is>
          <t>CAMEMBERT</t>
        </is>
      </c>
      <c r="C112" s="15" t="n">
        <v>7.55</v>
      </c>
      <c r="D112" s="15" t="inlineStr">
        <is>
          <t>H</t>
        </is>
      </c>
      <c r="E112" s="15" t="inlineStr">
        <is>
          <t>better typology</t>
        </is>
      </c>
      <c r="F112" s="5" t="inlineStr">
        <is>
          <t>CHEESE HARD &amp; SEMI-HARD</t>
        </is>
      </c>
      <c r="G112" s="16" t="n">
        <v>9.59</v>
      </c>
      <c r="H112" s="17" t="inlineStr">
        <is>
          <t>-</t>
        </is>
      </c>
      <c r="I112" s="18" t="inlineStr">
        <is>
          <t>-</t>
        </is>
      </c>
    </row>
    <row r="113" ht="15.75" customHeight="1" s="201">
      <c r="A113" s="14" t="inlineStr">
        <is>
          <t>ANIMAL HUSBANDRY</t>
        </is>
      </c>
      <c r="B113" s="4" t="inlineStr">
        <is>
          <t>CEDDAR</t>
        </is>
      </c>
      <c r="C113" s="15" t="n">
        <v>11.21</v>
      </c>
      <c r="D113" s="15" t="inlineStr">
        <is>
          <t>L</t>
        </is>
      </c>
      <c r="E113" s="15" t="inlineStr">
        <is>
          <t>OK item</t>
        </is>
      </c>
      <c r="F113" s="5" t="inlineStr">
        <is>
          <t>CHEESE HARD &amp; SEMI-HARD</t>
        </is>
      </c>
      <c r="G113" s="16" t="n">
        <v>9.59</v>
      </c>
      <c r="H113" s="17" t="inlineStr">
        <is>
          <t>-</t>
        </is>
      </c>
      <c r="I113" s="18" t="inlineStr">
        <is>
          <t>-</t>
        </is>
      </c>
    </row>
    <row r="114" ht="15.75" customHeight="1" s="201">
      <c r="A114" s="14" t="inlineStr">
        <is>
          <t>ANIMAL HUSBANDRY</t>
        </is>
      </c>
      <c r="B114" s="4" t="inlineStr">
        <is>
          <t>CHEESE</t>
        </is>
      </c>
      <c r="C114" s="15" t="n">
        <v>8.93</v>
      </c>
      <c r="D114" s="15" t="inlineStr">
        <is>
          <t>L</t>
        </is>
      </c>
      <c r="E114" s="15" t="inlineStr">
        <is>
          <t>OK item</t>
        </is>
      </c>
      <c r="F114" s="5" t="inlineStr">
        <is>
          <t>CHEESE HARD &amp; SEMI-HARD</t>
        </is>
      </c>
      <c r="G114" s="16" t="n">
        <v>9.59</v>
      </c>
      <c r="H114" s="17" t="inlineStr">
        <is>
          <t>-</t>
        </is>
      </c>
      <c r="I114" s="18" t="inlineStr">
        <is>
          <t>-</t>
        </is>
      </c>
      <c r="J114" t="n">
        <v>14420100</v>
      </c>
    </row>
    <row r="115" ht="15.75" customHeight="1" s="201">
      <c r="A115" s="14" t="inlineStr">
        <is>
          <t>ANIMAL HUSBANDRY</t>
        </is>
      </c>
      <c r="B115" s="4" t="inlineStr">
        <is>
          <t>CHEESE SEMI-HARD</t>
        </is>
      </c>
      <c r="C115" s="15" t="n">
        <v>8.65</v>
      </c>
      <c r="D115" s="15" t="inlineStr">
        <is>
          <t>H</t>
        </is>
      </c>
      <c r="E115" s="15" t="inlineStr">
        <is>
          <t>better typology</t>
        </is>
      </c>
      <c r="F115" s="5" t="inlineStr">
        <is>
          <t>CHEESE HARD &amp; SEMI-HARD</t>
        </is>
      </c>
      <c r="G115" s="16" t="n">
        <v>9.59</v>
      </c>
      <c r="H115" s="17" t="inlineStr">
        <is>
          <t>-</t>
        </is>
      </c>
      <c r="I115" s="18" t="inlineStr">
        <is>
          <t>-</t>
        </is>
      </c>
      <c r="J115" t="n">
        <v>14420100</v>
      </c>
    </row>
    <row r="116" ht="15.75" customHeight="1" s="201">
      <c r="A116" s="14" t="inlineStr">
        <is>
          <t>ANIMAL HUSBANDRY</t>
        </is>
      </c>
      <c r="B116" s="4" t="inlineStr">
        <is>
          <t>EMMENTAL</t>
        </is>
      </c>
      <c r="C116" s="15" t="n">
        <v>8.199999999999999</v>
      </c>
      <c r="D116" s="15" t="inlineStr">
        <is>
          <t>H</t>
        </is>
      </c>
      <c r="E116" s="15" t="inlineStr">
        <is>
          <t>better typology</t>
        </is>
      </c>
      <c r="F116" s="5" t="inlineStr">
        <is>
          <t>CHEESE HARD &amp; SEMI-HARD</t>
        </is>
      </c>
      <c r="G116" s="16" t="n">
        <v>9.59</v>
      </c>
      <c r="H116" s="17" t="inlineStr">
        <is>
          <t>-</t>
        </is>
      </c>
      <c r="I116" s="18" t="inlineStr">
        <is>
          <t>-</t>
        </is>
      </c>
    </row>
    <row r="117" ht="15.75" customHeight="1" s="201">
      <c r="A117" s="14" t="inlineStr">
        <is>
          <t>ANIMAL HUSBANDRY</t>
        </is>
      </c>
      <c r="B117" s="4" t="inlineStr">
        <is>
          <t>GOAT CHEESE</t>
        </is>
      </c>
      <c r="C117" s="15" t="n">
        <v>8.35</v>
      </c>
      <c r="D117" s="15" t="inlineStr">
        <is>
          <t>H</t>
        </is>
      </c>
      <c r="E117" s="15" t="inlineStr">
        <is>
          <t>better typology</t>
        </is>
      </c>
      <c r="F117" s="5" t="inlineStr">
        <is>
          <t>CHEESE HARD &amp; SEMI-HARD</t>
        </is>
      </c>
      <c r="G117" s="16" t="n">
        <v>9.59</v>
      </c>
      <c r="H117" s="17" t="inlineStr">
        <is>
          <t>-</t>
        </is>
      </c>
      <c r="I117" s="18" t="inlineStr">
        <is>
          <t>-</t>
        </is>
      </c>
      <c r="J117" t="n">
        <v>14420100</v>
      </c>
    </row>
    <row r="118" ht="15.75" customHeight="1" s="201">
      <c r="A118" s="14" t="inlineStr">
        <is>
          <t>ANIMAL HUSBANDRY</t>
        </is>
      </c>
      <c r="B118" s="4" t="inlineStr">
        <is>
          <t>GRANA PADANO</t>
        </is>
      </c>
      <c r="C118" s="15" t="n">
        <v>15.34</v>
      </c>
      <c r="D118" s="15" t="inlineStr">
        <is>
          <t>H</t>
        </is>
      </c>
      <c r="E118" s="15" t="inlineStr">
        <is>
          <t>better typology</t>
        </is>
      </c>
      <c r="F118" s="5" t="inlineStr">
        <is>
          <t>CHEESE HARD &amp; SEMI-HARD</t>
        </is>
      </c>
      <c r="G118" s="16" t="n">
        <v>9.59</v>
      </c>
      <c r="H118" s="17" t="inlineStr">
        <is>
          <t>-</t>
        </is>
      </c>
      <c r="I118" s="18" t="inlineStr">
        <is>
          <t>-</t>
        </is>
      </c>
    </row>
    <row r="119" ht="15.75" customHeight="1" s="201">
      <c r="A119" s="14" t="inlineStr">
        <is>
          <t>ANIMAL HUSBANDRY</t>
        </is>
      </c>
      <c r="B119" s="4" t="inlineStr">
        <is>
          <t>PARMIGIANO REGGIANO</t>
        </is>
      </c>
      <c r="C119" s="15" t="n">
        <v>12.54</v>
      </c>
      <c r="D119" s="15" t="inlineStr">
        <is>
          <t>H</t>
        </is>
      </c>
      <c r="E119" s="15" t="inlineStr">
        <is>
          <t>better typology</t>
        </is>
      </c>
      <c r="F119" s="5" t="inlineStr">
        <is>
          <t>CHEESE HARD &amp; SEMI-HARD</t>
        </is>
      </c>
      <c r="G119" s="16" t="n">
        <v>9.59</v>
      </c>
      <c r="H119" s="17" t="inlineStr">
        <is>
          <t>-</t>
        </is>
      </c>
      <c r="I119" s="18" t="inlineStr">
        <is>
          <t>-</t>
        </is>
      </c>
    </row>
    <row r="120" ht="15.75" customHeight="1" s="201">
      <c r="A120" s="14" t="inlineStr">
        <is>
          <t>ANIMAL HUSBANDRY</t>
        </is>
      </c>
      <c r="B120" s="4" t="inlineStr">
        <is>
          <t>PECORINO</t>
        </is>
      </c>
      <c r="C120" s="15" t="n">
        <v>17.15</v>
      </c>
      <c r="D120" s="15" t="inlineStr">
        <is>
          <t>H</t>
        </is>
      </c>
      <c r="E120" s="15" t="inlineStr">
        <is>
          <t>better typology</t>
        </is>
      </c>
      <c r="F120" s="5" t="inlineStr">
        <is>
          <t>CHEESE HARD &amp; SEMI-HARD</t>
        </is>
      </c>
      <c r="G120" s="16" t="n">
        <v>9.59</v>
      </c>
      <c r="H120" s="17" t="inlineStr">
        <is>
          <t>-</t>
        </is>
      </c>
      <c r="I120" s="18" t="inlineStr">
        <is>
          <t>-</t>
        </is>
      </c>
    </row>
    <row r="121" ht="15.75" customHeight="1" s="201">
      <c r="A121" s="14" t="inlineStr">
        <is>
          <t>ANIMAL HUSBANDRY</t>
        </is>
      </c>
      <c r="B121" s="4" t="inlineStr">
        <is>
          <t>MEALWORMS*</t>
        </is>
      </c>
      <c r="C121" s="15" t="n">
        <v>2.84</v>
      </c>
      <c r="D121" s="15" t="inlineStr">
        <is>
          <t>H</t>
        </is>
      </c>
      <c r="E121" s="5" t="inlineStr">
        <is>
          <t>Item matching typology</t>
        </is>
      </c>
      <c r="F121" s="5" t="inlineStr">
        <is>
          <t>EDIBLE INSECTS* (mealworms)</t>
        </is>
      </c>
      <c r="G121" s="16" t="n">
        <v>2.84</v>
      </c>
      <c r="H121" s="17" t="inlineStr">
        <is>
          <t>-</t>
        </is>
      </c>
      <c r="I121" s="18" t="inlineStr">
        <is>
          <t>-</t>
        </is>
      </c>
    </row>
    <row r="122" ht="15.75" customHeight="1" s="201">
      <c r="A122" s="14" t="inlineStr">
        <is>
          <t>ANIMAL HUSBANDRY</t>
        </is>
      </c>
      <c r="B122" s="4" t="inlineStr">
        <is>
          <t>EGGS*</t>
        </is>
      </c>
      <c r="C122" s="15" t="n">
        <v>3.2</v>
      </c>
      <c r="D122" s="15" t="inlineStr">
        <is>
          <t>L</t>
        </is>
      </c>
      <c r="E122" s="15" t="inlineStr">
        <is>
          <t>OK item</t>
        </is>
      </c>
      <c r="F122" s="5" t="inlineStr">
        <is>
          <t>EGGS*</t>
        </is>
      </c>
      <c r="G122" s="16" t="n">
        <v>3.2</v>
      </c>
      <c r="H122" s="17" t="inlineStr">
        <is>
          <t>-</t>
        </is>
      </c>
      <c r="I122" s="18" t="inlineStr">
        <is>
          <t>-</t>
        </is>
      </c>
      <c r="J122" t="n">
        <v>91705020</v>
      </c>
    </row>
    <row r="123" ht="15.75" customHeight="1" s="201">
      <c r="A123" s="14" t="inlineStr">
        <is>
          <t>ANIMAL HUSBANDRY</t>
        </is>
      </c>
      <c r="B123" s="4" t="inlineStr">
        <is>
          <t>HONEY*</t>
        </is>
      </c>
      <c r="C123" s="15" t="n">
        <v>1.74</v>
      </c>
      <c r="D123" s="15" t="inlineStr">
        <is>
          <t>H</t>
        </is>
      </c>
      <c r="E123" s="5" t="inlineStr">
        <is>
          <t>Item matching typology</t>
        </is>
      </c>
      <c r="F123" s="5" t="inlineStr">
        <is>
          <t>HONEY*</t>
        </is>
      </c>
      <c r="G123" s="16" t="n">
        <v>1.74</v>
      </c>
      <c r="H123" s="17" t="inlineStr">
        <is>
          <t>-</t>
        </is>
      </c>
      <c r="I123" s="18" t="inlineStr">
        <is>
          <t>-</t>
        </is>
      </c>
      <c r="J123" t="n">
        <v>57237100</v>
      </c>
    </row>
    <row r="124" ht="15.75" customHeight="1" s="201">
      <c r="A124" s="14" t="inlineStr">
        <is>
          <t>ANIMAL HUSBANDRY</t>
        </is>
      </c>
      <c r="B124" s="4" t="inlineStr">
        <is>
          <t>KANGAROO MEAT*</t>
        </is>
      </c>
      <c r="C124" s="15" t="n">
        <v>4.1</v>
      </c>
      <c r="D124" s="15" t="inlineStr">
        <is>
          <t>H</t>
        </is>
      </c>
      <c r="E124" s="5" t="inlineStr">
        <is>
          <t>Item matching typology</t>
        </is>
      </c>
      <c r="F124" s="5" t="inlineStr">
        <is>
          <t>KANGAROO MEAT*</t>
        </is>
      </c>
      <c r="G124" s="16" t="n">
        <v>4.1</v>
      </c>
      <c r="H124" s="17" t="inlineStr">
        <is>
          <t>-</t>
        </is>
      </c>
      <c r="I124" s="18" t="inlineStr">
        <is>
          <t>-</t>
        </is>
      </c>
      <c r="J124" t="n">
        <v>14620320</v>
      </c>
    </row>
    <row r="125" ht="15.75" customHeight="1" s="201">
      <c r="A125" s="14" t="inlineStr">
        <is>
          <t>ANIMAL HUSBANDRY</t>
        </is>
      </c>
      <c r="B125" s="4" t="inlineStr">
        <is>
          <t>LAMB BONE FREE MEAT*</t>
        </is>
      </c>
      <c r="C125" s="15" t="n">
        <v>25.23</v>
      </c>
      <c r="D125" s="15" t="inlineStr">
        <is>
          <t>L</t>
        </is>
      </c>
      <c r="E125" s="15" t="inlineStr">
        <is>
          <t>OK item</t>
        </is>
      </c>
      <c r="F125" s="5" t="inlineStr">
        <is>
          <t>LAMB BONE FREE MEAT*</t>
        </is>
      </c>
      <c r="G125" s="16" t="n">
        <v>25.23</v>
      </c>
      <c r="H125" s="17" t="inlineStr">
        <is>
          <t>-</t>
        </is>
      </c>
      <c r="I125" s="18" t="inlineStr">
        <is>
          <t>-</t>
        </is>
      </c>
      <c r="J125" t="n">
        <v>27446260</v>
      </c>
    </row>
    <row r="126" ht="15.75" customHeight="1" s="201">
      <c r="A126" s="14" t="inlineStr">
        <is>
          <t>ANIMAL HUSBANDRY</t>
        </is>
      </c>
      <c r="B126" s="4" t="inlineStr">
        <is>
          <t>LAMB MEAT WITH BONE*</t>
        </is>
      </c>
      <c r="C126" s="15" t="n">
        <v>16.7</v>
      </c>
      <c r="D126" s="15" t="inlineStr">
        <is>
          <t>L</t>
        </is>
      </c>
      <c r="E126" s="15" t="inlineStr">
        <is>
          <t>OK item</t>
        </is>
      </c>
      <c r="F126" s="5" t="inlineStr">
        <is>
          <t>LAMB MEAT WITH BONE*</t>
        </is>
      </c>
      <c r="G126" s="16" t="n">
        <v>16.7</v>
      </c>
      <c r="H126" s="17" t="inlineStr">
        <is>
          <t>-</t>
        </is>
      </c>
      <c r="I126" s="18" t="inlineStr">
        <is>
          <t>-</t>
        </is>
      </c>
      <c r="J126" t="n">
        <v>75142550</v>
      </c>
    </row>
    <row r="127" ht="15.75" customHeight="1" s="201">
      <c r="A127" s="14" t="inlineStr">
        <is>
          <t>ANIMAL HUSBANDRY</t>
        </is>
      </c>
      <c r="B127" s="4" t="inlineStr">
        <is>
          <t>BUFFALO MILK</t>
        </is>
      </c>
      <c r="C127" s="15" t="n">
        <v>3.57</v>
      </c>
      <c r="D127" s="15" t="inlineStr">
        <is>
          <t>L</t>
        </is>
      </c>
      <c r="E127" s="15" t="inlineStr">
        <is>
          <t>OK item</t>
        </is>
      </c>
      <c r="F127" s="5" t="inlineStr">
        <is>
          <t>MILK</t>
        </is>
      </c>
      <c r="G127" s="16" t="n">
        <v>1.44</v>
      </c>
      <c r="H127" s="17" t="inlineStr">
        <is>
          <t>-</t>
        </is>
      </c>
      <c r="I127" s="18" t="inlineStr">
        <is>
          <t>-</t>
        </is>
      </c>
      <c r="J127" t="n">
        <v>11112110</v>
      </c>
    </row>
    <row r="128" ht="15.75" customHeight="1" s="201">
      <c r="A128" s="14" t="inlineStr">
        <is>
          <t>ANIMAL HUSBANDRY</t>
        </is>
      </c>
      <c r="B128" s="4" t="inlineStr">
        <is>
          <t>COW MILK</t>
        </is>
      </c>
      <c r="C128" s="15" t="n">
        <v>1.31</v>
      </c>
      <c r="D128" s="15" t="inlineStr">
        <is>
          <t>L</t>
        </is>
      </c>
      <c r="E128" s="15" t="inlineStr">
        <is>
          <t>OK item</t>
        </is>
      </c>
      <c r="F128" s="5" t="inlineStr">
        <is>
          <t>MILK</t>
        </is>
      </c>
      <c r="G128" s="16" t="n">
        <v>1.44</v>
      </c>
      <c r="H128" s="17" t="inlineStr">
        <is>
          <t>-</t>
        </is>
      </c>
      <c r="I128" s="18" t="inlineStr">
        <is>
          <t>-</t>
        </is>
      </c>
      <c r="J128" t="n">
        <v>11112110</v>
      </c>
    </row>
    <row r="129" ht="15.75" customHeight="1" s="201">
      <c r="A129" s="14" t="inlineStr">
        <is>
          <t>ANIMAL HUSBANDRY</t>
        </is>
      </c>
      <c r="B129" s="4" t="inlineStr">
        <is>
          <t>GOAT MILK</t>
        </is>
      </c>
      <c r="C129" s="15" t="n">
        <v>1.44</v>
      </c>
      <c r="D129" s="15" t="inlineStr">
        <is>
          <t>H</t>
        </is>
      </c>
      <c r="E129" s="15" t="inlineStr">
        <is>
          <t>better typology</t>
        </is>
      </c>
      <c r="F129" s="5" t="inlineStr">
        <is>
          <t>MILK</t>
        </is>
      </c>
      <c r="G129" s="16" t="n">
        <v>1.44</v>
      </c>
      <c r="H129" s="17" t="inlineStr">
        <is>
          <t>-</t>
        </is>
      </c>
      <c r="I129" s="18" t="inlineStr">
        <is>
          <t>-</t>
        </is>
      </c>
      <c r="J129" t="n">
        <v>11112110</v>
      </c>
    </row>
    <row r="130" ht="15.75" customHeight="1" s="201">
      <c r="A130" s="14" t="inlineStr">
        <is>
          <t>ANIMAL HUSBANDRY</t>
        </is>
      </c>
      <c r="B130" s="4" t="inlineStr">
        <is>
          <t>PORK BONE FREE MEAT*</t>
        </is>
      </c>
      <c r="C130" s="15" t="n">
        <v>5.72</v>
      </c>
      <c r="D130" s="15" t="inlineStr">
        <is>
          <t>L</t>
        </is>
      </c>
      <c r="E130" s="15" t="inlineStr">
        <is>
          <t>OK item</t>
        </is>
      </c>
      <c r="F130" s="5" t="inlineStr">
        <is>
          <t>PORK BONE FREE MEAT*</t>
        </is>
      </c>
      <c r="G130" s="16" t="n">
        <v>5.72</v>
      </c>
      <c r="H130" s="17" t="inlineStr">
        <is>
          <t>-</t>
        </is>
      </c>
      <c r="I130" s="18" t="inlineStr">
        <is>
          <t>-</t>
        </is>
      </c>
      <c r="J130" t="n">
        <v>27446260</v>
      </c>
    </row>
    <row r="131" ht="15.75" customHeight="1" s="201">
      <c r="A131" s="14" t="inlineStr">
        <is>
          <t>ANIMAL HUSBANDRY</t>
        </is>
      </c>
      <c r="B131" s="4" t="inlineStr">
        <is>
          <t>BACON</t>
        </is>
      </c>
      <c r="C131" s="15" t="n">
        <v>4.03</v>
      </c>
      <c r="D131" s="15" t="inlineStr">
        <is>
          <t>H</t>
        </is>
      </c>
      <c r="E131" s="15" t="inlineStr">
        <is>
          <t>better typology</t>
        </is>
      </c>
      <c r="F131" s="5" t="inlineStr">
        <is>
          <t>PORK CURED MEAT</t>
        </is>
      </c>
      <c r="G131" s="16" t="n">
        <v>5.99</v>
      </c>
      <c r="H131" s="17" t="inlineStr">
        <is>
          <t>-</t>
        </is>
      </c>
      <c r="I131" s="18" t="inlineStr">
        <is>
          <t>-</t>
        </is>
      </c>
      <c r="J131" t="n">
        <v>32202070</v>
      </c>
    </row>
    <row r="132" ht="15.75" customHeight="1" s="201">
      <c r="A132" s="14" t="inlineStr">
        <is>
          <t>ANIMAL HUSBANDRY</t>
        </is>
      </c>
      <c r="B132" s="4" t="inlineStr">
        <is>
          <t>NECK</t>
        </is>
      </c>
      <c r="C132" s="15" t="n">
        <v>4.03</v>
      </c>
      <c r="D132" s="15" t="inlineStr">
        <is>
          <t>H</t>
        </is>
      </c>
      <c r="E132" s="15" t="inlineStr">
        <is>
          <t>better typology</t>
        </is>
      </c>
      <c r="F132" s="5" t="inlineStr">
        <is>
          <t>PORK CURED MEAT</t>
        </is>
      </c>
      <c r="G132" s="16" t="n">
        <v>5.99</v>
      </c>
      <c r="H132" s="17" t="inlineStr">
        <is>
          <t>-</t>
        </is>
      </c>
      <c r="I132" s="18" t="inlineStr">
        <is>
          <t>-</t>
        </is>
      </c>
      <c r="J132" t="n">
        <v>22706010</v>
      </c>
    </row>
    <row r="133" ht="15.75" customHeight="1" s="201">
      <c r="A133" s="14" t="inlineStr">
        <is>
          <t>ANIMAL HUSBANDRY</t>
        </is>
      </c>
      <c r="B133" s="4" t="inlineStr">
        <is>
          <t>PORK HAM</t>
        </is>
      </c>
      <c r="C133" s="15" t="n">
        <v>7.95</v>
      </c>
      <c r="D133" s="15" t="inlineStr">
        <is>
          <t>L</t>
        </is>
      </c>
      <c r="E133" s="15" t="inlineStr">
        <is>
          <t>OK item</t>
        </is>
      </c>
      <c r="F133" s="5" t="inlineStr">
        <is>
          <t>PORK CURED MEAT</t>
        </is>
      </c>
      <c r="G133" s="16" t="n">
        <v>5.99</v>
      </c>
      <c r="H133" s="17" t="inlineStr">
        <is>
          <t>-</t>
        </is>
      </c>
      <c r="I133" s="18" t="inlineStr">
        <is>
          <t>-</t>
        </is>
      </c>
      <c r="J133" t="n">
        <v>27120030</v>
      </c>
    </row>
    <row r="134" ht="15.75" customHeight="1" s="201">
      <c r="A134" s="14" t="inlineStr">
        <is>
          <t>ANIMAL HUSBANDRY</t>
        </is>
      </c>
      <c r="B134" s="4" t="inlineStr">
        <is>
          <t>PORK SAUSAGES</t>
        </is>
      </c>
      <c r="C134" s="15" t="n">
        <v>17.94</v>
      </c>
      <c r="D134" s="15" t="inlineStr">
        <is>
          <t>H</t>
        </is>
      </c>
      <c r="E134" s="15" t="inlineStr">
        <is>
          <t>better typology</t>
        </is>
      </c>
      <c r="F134" s="5" t="inlineStr">
        <is>
          <t>PORK CURED MEAT</t>
        </is>
      </c>
      <c r="G134" s="16" t="n">
        <v>5.99</v>
      </c>
      <c r="H134" s="17" t="inlineStr">
        <is>
          <t>-</t>
        </is>
      </c>
      <c r="I134" s="18" t="inlineStr">
        <is>
          <t>-</t>
        </is>
      </c>
      <c r="J134" t="n">
        <v>27120030</v>
      </c>
    </row>
    <row r="135" ht="15.75" customHeight="1" s="201">
      <c r="A135" s="14" t="inlineStr">
        <is>
          <t>ANIMAL HUSBANDRY</t>
        </is>
      </c>
      <c r="B135" s="4" t="inlineStr">
        <is>
          <t>PORK MEAT WITH BONE*</t>
        </is>
      </c>
      <c r="C135" s="15" t="n">
        <v>3.44</v>
      </c>
      <c r="D135" s="15" t="inlineStr">
        <is>
          <t>L</t>
        </is>
      </c>
      <c r="E135" s="15" t="inlineStr">
        <is>
          <t>OK item</t>
        </is>
      </c>
      <c r="F135" s="5" t="inlineStr">
        <is>
          <t>PORK MEAT WITH BONE*</t>
        </is>
      </c>
      <c r="G135" s="16" t="n">
        <v>3.44</v>
      </c>
      <c r="H135" s="17" t="inlineStr">
        <is>
          <t>-</t>
        </is>
      </c>
      <c r="I135" s="18" t="inlineStr">
        <is>
          <t>-</t>
        </is>
      </c>
      <c r="J135" t="n">
        <v>75142550</v>
      </c>
    </row>
    <row r="136" ht="15.75" customHeight="1" s="201">
      <c r="A136" s="14" t="inlineStr">
        <is>
          <t>ANIMAL HUSBANDRY</t>
        </is>
      </c>
      <c r="B136" s="4" t="inlineStr">
        <is>
          <t>CHICKEN BONE FREE MEAT</t>
        </is>
      </c>
      <c r="C136" s="15" t="n">
        <v>3.68</v>
      </c>
      <c r="D136" s="15" t="inlineStr">
        <is>
          <t>L</t>
        </is>
      </c>
      <c r="E136" s="15" t="inlineStr">
        <is>
          <t>OK item</t>
        </is>
      </c>
      <c r="F136" s="5" t="inlineStr">
        <is>
          <t>POULTRY BONE FREE MEAT</t>
        </is>
      </c>
      <c r="G136" s="16" t="n">
        <v>3.88</v>
      </c>
      <c r="H136" s="17" t="inlineStr">
        <is>
          <t>-</t>
        </is>
      </c>
      <c r="I136" s="18" t="inlineStr">
        <is>
          <t>-</t>
        </is>
      </c>
      <c r="J136" t="n">
        <v>27446260</v>
      </c>
    </row>
    <row r="137" ht="15.75" customHeight="1" s="201">
      <c r="A137" s="14" t="inlineStr">
        <is>
          <t>ANIMAL HUSBANDRY</t>
        </is>
      </c>
      <c r="B137" s="4" t="inlineStr">
        <is>
          <t>EMU BONE FREE MEAT</t>
        </is>
      </c>
      <c r="C137" s="15" t="n">
        <v>1.5</v>
      </c>
      <c r="D137" s="15" t="inlineStr">
        <is>
          <t>H</t>
        </is>
      </c>
      <c r="E137" s="15" t="inlineStr">
        <is>
          <t>better typology</t>
        </is>
      </c>
      <c r="F137" s="5" t="inlineStr">
        <is>
          <t>POULTRY BONE FREE MEAT</t>
        </is>
      </c>
      <c r="G137" s="16" t="n">
        <v>3.88</v>
      </c>
      <c r="H137" s="17" t="inlineStr">
        <is>
          <t>-</t>
        </is>
      </c>
      <c r="I137" s="18" t="inlineStr">
        <is>
          <t>-</t>
        </is>
      </c>
      <c r="J137" t="n">
        <v>27446260</v>
      </c>
    </row>
    <row r="138" ht="15.75" customHeight="1" s="201">
      <c r="A138" s="14" t="inlineStr">
        <is>
          <t>ANIMAL HUSBANDRY</t>
        </is>
      </c>
      <c r="B138" s="4" t="inlineStr">
        <is>
          <t>DUCK MEAT BONE FREE*</t>
        </is>
      </c>
      <c r="C138" s="15" t="n">
        <v>4.1</v>
      </c>
      <c r="D138" s="15" t="inlineStr">
        <is>
          <t>H</t>
        </is>
      </c>
      <c r="E138" s="15" t="inlineStr">
        <is>
          <t>better typology</t>
        </is>
      </c>
      <c r="F138" s="5" t="inlineStr">
        <is>
          <t>POULTRY BONE FREE MEAT</t>
        </is>
      </c>
      <c r="G138" s="16" t="n">
        <v>3.88</v>
      </c>
      <c r="H138" s="17" t="inlineStr">
        <is>
          <t>-</t>
        </is>
      </c>
      <c r="I138" s="18" t="inlineStr">
        <is>
          <t>-</t>
        </is>
      </c>
      <c r="J138" t="n">
        <v>27446260</v>
      </c>
    </row>
    <row r="139" ht="15.75" customHeight="1" s="201">
      <c r="A139" s="14" t="inlineStr">
        <is>
          <t>ANIMAL HUSBANDRY</t>
        </is>
      </c>
      <c r="B139" s="4" t="inlineStr">
        <is>
          <t>TURKEY MEAT BONE FREE</t>
        </is>
      </c>
      <c r="C139" s="15" t="n">
        <v>4.08</v>
      </c>
      <c r="D139" s="15" t="inlineStr">
        <is>
          <t>L</t>
        </is>
      </c>
      <c r="E139" s="15" t="inlineStr">
        <is>
          <t>item or typology</t>
        </is>
      </c>
      <c r="F139" s="5" t="inlineStr">
        <is>
          <t>POULTRY BONE FREE MEAT</t>
        </is>
      </c>
      <c r="G139" s="16" t="n">
        <v>3.88</v>
      </c>
      <c r="H139" s="17" t="inlineStr">
        <is>
          <t>-</t>
        </is>
      </c>
      <c r="I139" s="18" t="inlineStr">
        <is>
          <t>-</t>
        </is>
      </c>
      <c r="J139" t="n">
        <v>27446260</v>
      </c>
    </row>
    <row r="140" ht="15.75" customHeight="1" s="201">
      <c r="A140" s="14" t="inlineStr">
        <is>
          <t>ANIMAL HUSBANDRY</t>
        </is>
      </c>
      <c r="B140" s="4" t="inlineStr">
        <is>
          <t>CHICKEN MEAT WITH BONE</t>
        </is>
      </c>
      <c r="C140" s="15" t="n">
        <v>2.82</v>
      </c>
      <c r="D140" s="15" t="inlineStr">
        <is>
          <t>L</t>
        </is>
      </c>
      <c r="E140" s="15" t="inlineStr">
        <is>
          <t>OK item</t>
        </is>
      </c>
      <c r="F140" s="5" t="inlineStr">
        <is>
          <t>POULTRY MEAT WITH BONE</t>
        </is>
      </c>
      <c r="G140" s="16" t="n">
        <v>2.13</v>
      </c>
      <c r="H140" s="17" t="inlineStr">
        <is>
          <t>-</t>
        </is>
      </c>
      <c r="I140" s="18" t="inlineStr">
        <is>
          <t>-</t>
        </is>
      </c>
      <c r="J140" t="n">
        <v>27446315</v>
      </c>
    </row>
    <row r="141" ht="15.75" customHeight="1" s="201">
      <c r="A141" s="14" t="inlineStr">
        <is>
          <t>ANIMAL HUSBANDRY</t>
        </is>
      </c>
      <c r="B141" s="4" t="inlineStr">
        <is>
          <t>DUCK MEAT WITH BONE*</t>
        </is>
      </c>
      <c r="C141" s="15" t="n">
        <v>2.07</v>
      </c>
      <c r="D141" s="15" t="inlineStr">
        <is>
          <t>H</t>
        </is>
      </c>
      <c r="E141" s="15" t="inlineStr">
        <is>
          <t>better typology</t>
        </is>
      </c>
      <c r="F141" s="5" t="inlineStr">
        <is>
          <t>POULTRY MEAT WITH BONE</t>
        </is>
      </c>
      <c r="G141" s="16" t="n">
        <v>2.13</v>
      </c>
      <c r="H141" s="17" t="inlineStr">
        <is>
          <t>-</t>
        </is>
      </c>
      <c r="I141" s="18" t="inlineStr">
        <is>
          <t>-</t>
        </is>
      </c>
      <c r="J141" t="n">
        <v>75142550</v>
      </c>
    </row>
    <row r="142" ht="15.75" customHeight="1" s="201">
      <c r="A142" s="14" t="inlineStr">
        <is>
          <t>ANIMAL HUSBANDRY</t>
        </is>
      </c>
      <c r="B142" s="4" t="inlineStr">
        <is>
          <t>TURKEY MEAT WITH BONE</t>
        </is>
      </c>
      <c r="C142" s="15" t="n">
        <v>2.13</v>
      </c>
      <c r="D142" s="15" t="inlineStr">
        <is>
          <t>L</t>
        </is>
      </c>
      <c r="E142" s="15" t="inlineStr">
        <is>
          <t>OK item</t>
        </is>
      </c>
      <c r="F142" s="5" t="inlineStr">
        <is>
          <t>POULTRY MEAT WITH BONE</t>
        </is>
      </c>
      <c r="G142" s="16" t="n">
        <v>2.13</v>
      </c>
      <c r="H142" s="17" t="inlineStr">
        <is>
          <t>-</t>
        </is>
      </c>
      <c r="I142" s="18" t="inlineStr">
        <is>
          <t>-</t>
        </is>
      </c>
      <c r="J142" t="n">
        <v>75142550</v>
      </c>
    </row>
    <row r="143" ht="15.75" customHeight="1" s="201">
      <c r="A143" s="14" t="inlineStr">
        <is>
          <t>ANIMAL HUSBANDRY</t>
        </is>
      </c>
      <c r="B143" s="4" t="inlineStr">
        <is>
          <t>RABBIT MEAT WITH BONE*</t>
        </is>
      </c>
      <c r="C143" s="15" t="n">
        <v>4.31</v>
      </c>
      <c r="D143" s="15" t="inlineStr">
        <is>
          <t>H</t>
        </is>
      </c>
      <c r="E143" s="5" t="inlineStr">
        <is>
          <t>Item matching typology</t>
        </is>
      </c>
      <c r="F143" s="5" t="inlineStr">
        <is>
          <t>RABBIT MEAT WITH BONE*</t>
        </is>
      </c>
      <c r="G143" s="16" t="n">
        <v>4.31</v>
      </c>
      <c r="H143" s="17" t="inlineStr">
        <is>
          <t>-</t>
        </is>
      </c>
      <c r="I143" s="18" t="inlineStr">
        <is>
          <t>-</t>
        </is>
      </c>
      <c r="J143" t="n">
        <v>75142550</v>
      </c>
    </row>
    <row r="144" ht="15.75" customHeight="1" s="201">
      <c r="A144" s="14" t="inlineStr">
        <is>
          <t>ANIMAL HUSBANDRY</t>
        </is>
      </c>
      <c r="B144" s="4" t="inlineStr">
        <is>
          <t>SNAILS*</t>
        </is>
      </c>
      <c r="C144" s="15" t="n">
        <v>0.73</v>
      </c>
      <c r="D144" s="15" t="inlineStr">
        <is>
          <t>H</t>
        </is>
      </c>
      <c r="E144" s="5" t="inlineStr">
        <is>
          <t>Item matching typology</t>
        </is>
      </c>
      <c r="F144" s="5" t="inlineStr">
        <is>
          <t>SNAILS*</t>
        </is>
      </c>
      <c r="G144" s="16" t="n">
        <v>0.73</v>
      </c>
      <c r="H144" s="17" t="inlineStr">
        <is>
          <t>-</t>
        </is>
      </c>
      <c r="I144" s="18" t="inlineStr">
        <is>
          <t>-</t>
        </is>
      </c>
      <c r="J144" t="n">
        <v>26321110</v>
      </c>
    </row>
    <row r="145" ht="15.75" customHeight="1" s="201">
      <c r="A145" s="14" t="inlineStr">
        <is>
          <t>ANIMAL HUSBANDRY</t>
        </is>
      </c>
      <c r="B145" s="4" t="inlineStr">
        <is>
          <t>YOGURT FLAVOURED**</t>
        </is>
      </c>
      <c r="C145" s="15" t="n">
        <v>2.85</v>
      </c>
      <c r="D145" s="15" t="inlineStr">
        <is>
          <t>L</t>
        </is>
      </c>
      <c r="E145" s="15" t="inlineStr">
        <is>
          <t>OK item</t>
        </is>
      </c>
      <c r="F145" s="5" t="inlineStr">
        <is>
          <t>YOGURT</t>
        </is>
      </c>
      <c r="G145" s="16" t="n">
        <v>2.55</v>
      </c>
      <c r="H145" s="17" t="inlineStr">
        <is>
          <t>-</t>
        </is>
      </c>
      <c r="I145" s="18" t="inlineStr">
        <is>
          <t>-</t>
        </is>
      </c>
      <c r="J145" t="n">
        <v>11432000</v>
      </c>
    </row>
    <row r="146" ht="15.75" customHeight="1" s="201">
      <c r="A146" s="14" t="inlineStr">
        <is>
          <t>ANIMAL HUSBANDRY</t>
        </is>
      </c>
      <c r="B146" s="4" t="inlineStr">
        <is>
          <t>YOGURT LACTOSE FREE</t>
        </is>
      </c>
      <c r="C146" s="15" t="n">
        <v>3.47</v>
      </c>
      <c r="D146" s="15" t="inlineStr">
        <is>
          <t>L</t>
        </is>
      </c>
      <c r="E146" s="15" t="inlineStr">
        <is>
          <t>item or typology</t>
        </is>
      </c>
      <c r="F146" s="5" t="inlineStr">
        <is>
          <t>YOGURT</t>
        </is>
      </c>
      <c r="G146" s="16" t="n">
        <v>2.55</v>
      </c>
      <c r="H146" s="17" t="inlineStr">
        <is>
          <t>-</t>
        </is>
      </c>
      <c r="I146" s="18" t="inlineStr">
        <is>
          <t>-</t>
        </is>
      </c>
      <c r="J146" t="n">
        <v>27446260</v>
      </c>
    </row>
    <row r="147" ht="15.75" customHeight="1" s="201">
      <c r="A147" s="14" t="inlineStr">
        <is>
          <t>ANIMAL HUSBANDRY</t>
        </is>
      </c>
      <c r="B147" s="4" t="inlineStr">
        <is>
          <t>YOGURT WHITE</t>
        </is>
      </c>
      <c r="C147" s="15" t="n">
        <v>1.69</v>
      </c>
      <c r="D147" s="15" t="inlineStr">
        <is>
          <t>L</t>
        </is>
      </c>
      <c r="E147" s="15" t="inlineStr">
        <is>
          <t>OK item</t>
        </is>
      </c>
      <c r="F147" s="5" t="inlineStr">
        <is>
          <t>YOGURT</t>
        </is>
      </c>
      <c r="G147" s="16" t="n">
        <v>2.55</v>
      </c>
      <c r="H147" s="17" t="inlineStr">
        <is>
          <t>-</t>
        </is>
      </c>
      <c r="I147" s="18" t="inlineStr">
        <is>
          <t>-</t>
        </is>
      </c>
      <c r="J147" t="n">
        <v>53109200</v>
      </c>
    </row>
    <row r="148" ht="15.75" customHeight="1" s="201">
      <c r="A148" s="14" t="inlineStr">
        <is>
          <t>CROPS</t>
        </is>
      </c>
      <c r="B148" s="4" t="inlineStr">
        <is>
          <t>COFFEE GREEN*</t>
        </is>
      </c>
      <c r="C148" s="15" t="n">
        <v>0.49</v>
      </c>
      <c r="D148" s="15" t="inlineStr">
        <is>
          <t>L</t>
        </is>
      </c>
      <c r="E148" s="15" t="inlineStr">
        <is>
          <t>OK item</t>
        </is>
      </c>
      <c r="F148" s="5" t="inlineStr">
        <is>
          <t>COFFEE GREEN*</t>
        </is>
      </c>
      <c r="G148" s="16" t="n">
        <v>0.49</v>
      </c>
      <c r="H148" s="17" t="inlineStr">
        <is>
          <t>-</t>
        </is>
      </c>
      <c r="I148" s="18" t="inlineStr">
        <is>
          <t>-</t>
        </is>
      </c>
      <c r="J148" t="n">
        <v>53610100</v>
      </c>
    </row>
    <row r="149" ht="15.75" customHeight="1" s="201">
      <c r="A149" s="14" t="inlineStr">
        <is>
          <t>CROPS</t>
        </is>
      </c>
      <c r="B149" s="4" t="inlineStr">
        <is>
          <t>DATE</t>
        </is>
      </c>
      <c r="C149" s="15" t="n">
        <v>0.6</v>
      </c>
      <c r="D149" s="15" t="inlineStr">
        <is>
          <t>H</t>
        </is>
      </c>
      <c r="E149" s="15" t="inlineStr">
        <is>
          <t>better typology</t>
        </is>
      </c>
      <c r="F149" s="5" t="inlineStr">
        <is>
          <t>DRIED FRUIT</t>
        </is>
      </c>
      <c r="G149" s="16" t="n">
        <v>0.8100000000000001</v>
      </c>
      <c r="H149" s="17" t="inlineStr">
        <is>
          <t>-</t>
        </is>
      </c>
      <c r="I149" s="18" t="inlineStr">
        <is>
          <t>-</t>
        </is>
      </c>
      <c r="J149" t="n">
        <v>62110100</v>
      </c>
    </row>
    <row r="150" ht="15.75" customHeight="1" s="201">
      <c r="A150" s="14" t="inlineStr">
        <is>
          <t>CROPS</t>
        </is>
      </c>
      <c r="B150" s="4" t="inlineStr">
        <is>
          <t>RAISIN</t>
        </is>
      </c>
      <c r="C150" s="15" t="n">
        <v>0.8100000000000001</v>
      </c>
      <c r="D150" s="15" t="inlineStr">
        <is>
          <t>L</t>
        </is>
      </c>
      <c r="E150" s="15" t="inlineStr">
        <is>
          <t>OK item</t>
        </is>
      </c>
      <c r="F150" s="5" t="inlineStr">
        <is>
          <t>DRIED FRUIT</t>
        </is>
      </c>
      <c r="G150" s="16" t="n">
        <v>0.8100000000000001</v>
      </c>
      <c r="H150" s="17" t="inlineStr">
        <is>
          <t>-</t>
        </is>
      </c>
      <c r="I150" s="18" t="inlineStr">
        <is>
          <t>-</t>
        </is>
      </c>
      <c r="J150" t="n">
        <v>51129010</v>
      </c>
    </row>
    <row r="151" ht="15.75" customHeight="1" s="201">
      <c r="A151" s="14" t="inlineStr">
        <is>
          <t>CROPS</t>
        </is>
      </c>
      <c r="B151" s="4" t="inlineStr">
        <is>
          <t>EXOTIC FRUIT (G)</t>
        </is>
      </c>
      <c r="C151" s="15" t="n">
        <v>2.43</v>
      </c>
      <c r="D151" s="15" t="inlineStr">
        <is>
          <t>H</t>
        </is>
      </c>
      <c r="E151" s="15" t="inlineStr">
        <is>
          <t>better typology</t>
        </is>
      </c>
      <c r="F151" s="5" t="inlineStr">
        <is>
          <t>FRUIT HEATED GREENHOUSE</t>
        </is>
      </c>
      <c r="G151" s="16" t="n">
        <v>2.88</v>
      </c>
      <c r="H151" s="17" t="inlineStr">
        <is>
          <t>-</t>
        </is>
      </c>
      <c r="I151" s="18" t="inlineStr">
        <is>
          <t>-</t>
        </is>
      </c>
      <c r="J151" t="n">
        <v>91708030</v>
      </c>
    </row>
    <row r="152" ht="15.75" customHeight="1" s="201">
      <c r="A152" s="14" t="inlineStr">
        <is>
          <t>CROPS</t>
        </is>
      </c>
      <c r="B152" s="4" t="inlineStr">
        <is>
          <t>RASPBERRY (G)</t>
        </is>
      </c>
      <c r="C152" s="15" t="n">
        <v>7.35</v>
      </c>
      <c r="D152" s="15" t="inlineStr">
        <is>
          <t>H</t>
        </is>
      </c>
      <c r="E152" s="15" t="inlineStr">
        <is>
          <t>better typology</t>
        </is>
      </c>
      <c r="F152" s="5" t="inlineStr">
        <is>
          <t>FRUIT HEATED GREENHOUSE</t>
        </is>
      </c>
      <c r="G152" s="16" t="n">
        <v>2.88</v>
      </c>
      <c r="H152" s="17" t="inlineStr">
        <is>
          <t>-</t>
        </is>
      </c>
      <c r="I152" s="18" t="inlineStr">
        <is>
          <t>-</t>
        </is>
      </c>
      <c r="J152" t="n">
        <v>27450066</v>
      </c>
    </row>
    <row r="153" ht="15.75" customHeight="1" s="201">
      <c r="A153" s="14" t="inlineStr">
        <is>
          <t>CROPS</t>
        </is>
      </c>
      <c r="B153" s="4" t="inlineStr">
        <is>
          <t>STRAWBERRY (G)</t>
        </is>
      </c>
      <c r="C153" s="15" t="n">
        <v>2.88</v>
      </c>
      <c r="D153" s="15" t="inlineStr">
        <is>
          <t>L</t>
        </is>
      </c>
      <c r="E153" s="15" t="inlineStr">
        <is>
          <t>OK item</t>
        </is>
      </c>
      <c r="F153" s="5" t="inlineStr">
        <is>
          <t>FRUIT HEATED GREENHOUSE</t>
        </is>
      </c>
      <c r="G153" s="16" t="n">
        <v>2.88</v>
      </c>
      <c r="H153" s="17" t="inlineStr">
        <is>
          <t>-</t>
        </is>
      </c>
      <c r="I153" s="18" t="inlineStr">
        <is>
          <t>-</t>
        </is>
      </c>
      <c r="J153" t="n">
        <v>53109200</v>
      </c>
    </row>
    <row r="154" ht="15.75" customHeight="1" s="201">
      <c r="A154" s="14" t="inlineStr">
        <is>
          <t>CROPS</t>
        </is>
      </c>
      <c r="B154" s="4" t="inlineStr">
        <is>
          <t>AVOCADO (I)</t>
        </is>
      </c>
      <c r="C154" s="15" t="n">
        <v>1.09</v>
      </c>
      <c r="D154" s="15" t="inlineStr">
        <is>
          <t>L</t>
        </is>
      </c>
      <c r="E154" s="15" t="inlineStr">
        <is>
          <t>OK item</t>
        </is>
      </c>
      <c r="F154" s="5" t="inlineStr">
        <is>
          <t>FRUIT IMPORTED</t>
        </is>
      </c>
      <c r="G154" s="16" t="n">
        <v>1.07</v>
      </c>
      <c r="H154" s="17" t="inlineStr">
        <is>
          <t>-</t>
        </is>
      </c>
      <c r="I154" s="18" t="inlineStr">
        <is>
          <t>-</t>
        </is>
      </c>
      <c r="J154" t="n">
        <v>27540361</v>
      </c>
    </row>
    <row r="155" ht="15.75" customHeight="1" s="201">
      <c r="A155" s="14" t="inlineStr">
        <is>
          <t>CROPS</t>
        </is>
      </c>
      <c r="B155" s="4" t="inlineStr">
        <is>
          <t>BANANA (I)</t>
        </is>
      </c>
      <c r="C155" s="15" t="n">
        <v>0.82</v>
      </c>
      <c r="D155" s="15" t="inlineStr">
        <is>
          <t>L</t>
        </is>
      </c>
      <c r="E155" s="15" t="inlineStr">
        <is>
          <t>OK item</t>
        </is>
      </c>
      <c r="F155" s="5" t="inlineStr">
        <is>
          <t>FRUIT IMPORTED</t>
        </is>
      </c>
      <c r="G155" s="16" t="n">
        <v>1.07</v>
      </c>
      <c r="H155" s="17" t="inlineStr">
        <is>
          <t>-</t>
        </is>
      </c>
      <c r="I155" s="18" t="inlineStr">
        <is>
          <t>-</t>
        </is>
      </c>
      <c r="J155" t="n">
        <v>52302010</v>
      </c>
    </row>
    <row r="156" ht="15.75" customHeight="1" s="201">
      <c r="A156" s="14" t="inlineStr">
        <is>
          <t>CROPS</t>
        </is>
      </c>
      <c r="B156" s="4" t="inlineStr">
        <is>
          <t>COCONUT (I)</t>
        </is>
      </c>
      <c r="C156" s="15" t="n">
        <v>1.78</v>
      </c>
      <c r="D156" s="15" t="inlineStr">
        <is>
          <t>H</t>
        </is>
      </c>
      <c r="E156" s="15" t="inlineStr">
        <is>
          <t>better typology</t>
        </is>
      </c>
      <c r="F156" s="5" t="inlineStr">
        <is>
          <t>FRUIT IMPORTED</t>
        </is>
      </c>
      <c r="G156" s="16" t="n">
        <v>1.07</v>
      </c>
      <c r="H156" s="17" t="inlineStr">
        <is>
          <t>-</t>
        </is>
      </c>
      <c r="I156" s="18" t="inlineStr">
        <is>
          <t>-</t>
        </is>
      </c>
      <c r="J156" t="n">
        <v>42404010</v>
      </c>
    </row>
    <row r="157" ht="15.75" customHeight="1" s="201">
      <c r="A157" s="14" t="inlineStr">
        <is>
          <t>CROPS</t>
        </is>
      </c>
      <c r="B157" s="4" t="inlineStr">
        <is>
          <t>EXOTIC FRUIT (I)</t>
        </is>
      </c>
      <c r="C157" s="15" t="n">
        <v>2.43</v>
      </c>
      <c r="D157" s="15" t="inlineStr">
        <is>
          <t>H</t>
        </is>
      </c>
      <c r="E157" s="15" t="inlineStr">
        <is>
          <t>better typology</t>
        </is>
      </c>
      <c r="F157" s="5" t="inlineStr">
        <is>
          <t>FRUIT IMPORTED</t>
        </is>
      </c>
      <c r="G157" s="16" t="n">
        <v>1.07</v>
      </c>
      <c r="H157" s="17" t="inlineStr">
        <is>
          <t>-</t>
        </is>
      </c>
      <c r="I157" s="18" t="inlineStr">
        <is>
          <t>-</t>
        </is>
      </c>
      <c r="J157" t="n">
        <v>91708030</v>
      </c>
    </row>
    <row r="158" ht="15.75" customHeight="1" s="201">
      <c r="A158" s="14" t="inlineStr">
        <is>
          <t>CROPS</t>
        </is>
      </c>
      <c r="B158" s="4" t="inlineStr">
        <is>
          <t>PINEAPPLE (I)</t>
        </is>
      </c>
      <c r="C158" s="15" t="n">
        <v>0.55</v>
      </c>
      <c r="D158" s="15" t="inlineStr">
        <is>
          <t>L</t>
        </is>
      </c>
      <c r="E158" s="15" t="inlineStr">
        <is>
          <t>OK item</t>
        </is>
      </c>
      <c r="F158" s="5" t="inlineStr">
        <is>
          <t>FRUIT IMPORTED</t>
        </is>
      </c>
      <c r="G158" s="16" t="n">
        <v>1.07</v>
      </c>
      <c r="H158" s="17" t="inlineStr">
        <is>
          <t>-</t>
        </is>
      </c>
      <c r="I158" s="18" t="inlineStr">
        <is>
          <t>-</t>
        </is>
      </c>
      <c r="J158" t="n">
        <v>63141010</v>
      </c>
    </row>
    <row r="159" ht="15.75" customHeight="1" s="201">
      <c r="A159" s="14" t="inlineStr">
        <is>
          <t>CROPS</t>
        </is>
      </c>
      <c r="B159" s="4" t="inlineStr">
        <is>
          <t>POMEGRANATE (I)</t>
        </is>
      </c>
      <c r="C159" s="15" t="n">
        <v>1.17</v>
      </c>
      <c r="D159" s="15" t="inlineStr">
        <is>
          <t>H</t>
        </is>
      </c>
      <c r="E159" s="15" t="inlineStr">
        <is>
          <t>better typology</t>
        </is>
      </c>
      <c r="F159" s="5" t="inlineStr">
        <is>
          <t>FRUIT IMPORTED</t>
        </is>
      </c>
      <c r="G159" s="16" t="n">
        <v>1.07</v>
      </c>
      <c r="H159" s="17" t="inlineStr">
        <is>
          <t>-</t>
        </is>
      </c>
      <c r="I159" s="18" t="inlineStr">
        <is>
          <t>-</t>
        </is>
      </c>
      <c r="J159" t="n">
        <v>63145010</v>
      </c>
    </row>
    <row r="160" ht="15.75" customHeight="1" s="201">
      <c r="A160" s="14" t="inlineStr">
        <is>
          <t>CROPS</t>
        </is>
      </c>
      <c r="B160" s="4" t="inlineStr">
        <is>
          <t>STRAWBERRY (I)</t>
        </is>
      </c>
      <c r="C160" s="15" t="n">
        <v>0.84</v>
      </c>
      <c r="D160" s="15" t="inlineStr">
        <is>
          <t>H</t>
        </is>
      </c>
      <c r="E160" s="15" t="inlineStr">
        <is>
          <t>better typology</t>
        </is>
      </c>
      <c r="F160" s="5" t="inlineStr">
        <is>
          <t>FRUIT IMPORTED</t>
        </is>
      </c>
      <c r="G160" s="16" t="n">
        <v>1.07</v>
      </c>
      <c r="H160" s="17" t="inlineStr">
        <is>
          <t>-</t>
        </is>
      </c>
      <c r="I160" s="18" t="inlineStr">
        <is>
          <t>-</t>
        </is>
      </c>
      <c r="J160" t="n">
        <v>53109200</v>
      </c>
    </row>
    <row r="161" ht="15.75" customHeight="1" s="201">
      <c r="A161" s="14" t="inlineStr">
        <is>
          <t>CROPS</t>
        </is>
      </c>
      <c r="B161" s="4" t="inlineStr">
        <is>
          <t>MELON (g)*</t>
        </is>
      </c>
      <c r="C161" s="15" t="n">
        <v>1.43</v>
      </c>
      <c r="D161" s="15" t="inlineStr">
        <is>
          <t>L</t>
        </is>
      </c>
      <c r="E161" s="15" t="inlineStr">
        <is>
          <t>OK item</t>
        </is>
      </c>
      <c r="F161" s="5" t="inlineStr">
        <is>
          <t>FRUIT NOT HEATED GREENHOUSE* (melon)</t>
        </is>
      </c>
      <c r="G161" s="16" t="n">
        <v>1.43</v>
      </c>
      <c r="H161" s="17" t="inlineStr">
        <is>
          <t>-</t>
        </is>
      </c>
      <c r="I161" s="18" t="inlineStr">
        <is>
          <t>-</t>
        </is>
      </c>
      <c r="J161" t="n">
        <v>63109010</v>
      </c>
    </row>
    <row r="162" ht="15.75" customHeight="1" s="201">
      <c r="A162" s="14" t="inlineStr">
        <is>
          <t>CROPS</t>
        </is>
      </c>
      <c r="B162" s="4" t="inlineStr">
        <is>
          <t>CLEMENTINE</t>
        </is>
      </c>
      <c r="C162" s="15" t="n">
        <v>0.41</v>
      </c>
      <c r="D162" s="15" t="inlineStr">
        <is>
          <t>H</t>
        </is>
      </c>
      <c r="E162" s="15" t="inlineStr">
        <is>
          <t>better typol. or subtypol.</t>
        </is>
      </c>
      <c r="F162" s="5" t="inlineStr">
        <is>
          <t>FRUIT OPENFIELD</t>
        </is>
      </c>
      <c r="G162" s="16" t="n">
        <v>0.4</v>
      </c>
      <c r="H162" s="20" t="inlineStr">
        <is>
          <t xml:space="preserve">CITRUS FRUIT </t>
        </is>
      </c>
      <c r="I162" s="21" t="n">
        <v>0.34</v>
      </c>
      <c r="J162" t="n">
        <v>61100600</v>
      </c>
    </row>
    <row r="163" ht="15.75" customHeight="1" s="201">
      <c r="A163" s="14" t="inlineStr">
        <is>
          <t>CROPS</t>
        </is>
      </c>
      <c r="B163" s="4" t="inlineStr">
        <is>
          <t>LEMON</t>
        </is>
      </c>
      <c r="C163" s="15" t="n">
        <v>0.22</v>
      </c>
      <c r="D163" s="15" t="inlineStr">
        <is>
          <t>H</t>
        </is>
      </c>
      <c r="E163" s="15" t="inlineStr">
        <is>
          <t>better typol. or subtypol.</t>
        </is>
      </c>
      <c r="F163" s="5" t="inlineStr">
        <is>
          <t>FRUIT OPENFIELD</t>
        </is>
      </c>
      <c r="G163" s="16" t="n">
        <v>0.4</v>
      </c>
      <c r="H163" s="20" t="inlineStr">
        <is>
          <t xml:space="preserve">CITRUS FRUIT </t>
        </is>
      </c>
      <c r="I163" s="22" t="n">
        <v>0.34</v>
      </c>
      <c r="J163" t="n">
        <v>53109200</v>
      </c>
    </row>
    <row r="164" ht="15.75" customHeight="1" s="201">
      <c r="A164" s="14" t="inlineStr">
        <is>
          <t>CROPS</t>
        </is>
      </c>
      <c r="B164" s="4" t="inlineStr">
        <is>
          <t>LIME</t>
        </is>
      </c>
      <c r="C164" s="15" t="n">
        <v>0.22</v>
      </c>
      <c r="D164" s="15" t="inlineStr">
        <is>
          <t>H</t>
        </is>
      </c>
      <c r="E164" s="15" t="inlineStr">
        <is>
          <t>better typol. or subtypol.</t>
        </is>
      </c>
      <c r="F164" s="5" t="inlineStr">
        <is>
          <t>FRUIT OPENFIELD</t>
        </is>
      </c>
      <c r="G164" s="16" t="n">
        <v>0.4</v>
      </c>
      <c r="H164" s="20" t="inlineStr">
        <is>
          <t xml:space="preserve">CITRUS FRUIT </t>
        </is>
      </c>
      <c r="I164" s="22" t="n">
        <v>0.34</v>
      </c>
      <c r="J164" t="n">
        <v>61207200</v>
      </c>
    </row>
    <row r="165" ht="15.75" customHeight="1" s="201">
      <c r="A165" s="14" t="inlineStr">
        <is>
          <t>CROPS</t>
        </is>
      </c>
      <c r="B165" s="4" t="inlineStr">
        <is>
          <t>MANDARIN</t>
        </is>
      </c>
      <c r="C165" s="15" t="n">
        <v>0.45</v>
      </c>
      <c r="D165" s="15" t="inlineStr">
        <is>
          <t>L</t>
        </is>
      </c>
      <c r="E165" s="15" t="inlineStr">
        <is>
          <t>OK item</t>
        </is>
      </c>
      <c r="F165" s="5" t="inlineStr">
        <is>
          <t>FRUIT OPENFIELD</t>
        </is>
      </c>
      <c r="G165" s="16" t="n">
        <v>0.4</v>
      </c>
      <c r="H165" s="20" t="inlineStr">
        <is>
          <t xml:space="preserve">CITRUS FRUIT </t>
        </is>
      </c>
      <c r="I165" s="22" t="n">
        <v>0.34</v>
      </c>
      <c r="J165" t="n">
        <v>61122300</v>
      </c>
    </row>
    <row r="166" ht="15.75" customHeight="1" s="201">
      <c r="A166" s="14" t="inlineStr">
        <is>
          <t>CROPS</t>
        </is>
      </c>
      <c r="B166" s="4" t="inlineStr">
        <is>
          <t>ORANGE</t>
        </is>
      </c>
      <c r="C166" s="15" t="n">
        <v>0.3</v>
      </c>
      <c r="D166" s="15" t="inlineStr">
        <is>
          <t>L</t>
        </is>
      </c>
      <c r="E166" s="15" t="inlineStr">
        <is>
          <t>OK item</t>
        </is>
      </c>
      <c r="F166" s="5" t="inlineStr">
        <is>
          <t>FRUIT OPENFIELD</t>
        </is>
      </c>
      <c r="G166" s="16" t="n">
        <v>0.4</v>
      </c>
      <c r="H166" s="20" t="inlineStr">
        <is>
          <t xml:space="preserve">CITRUS FRUIT </t>
        </is>
      </c>
      <c r="I166" s="22" t="n">
        <v>0.34</v>
      </c>
      <c r="J166" t="n">
        <v>92550350</v>
      </c>
    </row>
    <row r="167" ht="15.75" customHeight="1" s="201">
      <c r="A167" s="14" t="inlineStr">
        <is>
          <t>CROPS</t>
        </is>
      </c>
      <c r="B167" s="4" t="inlineStr">
        <is>
          <t>POMELO</t>
        </is>
      </c>
      <c r="C167" s="15" t="n">
        <v>0.51</v>
      </c>
      <c r="D167" s="15" t="inlineStr">
        <is>
          <t>H</t>
        </is>
      </c>
      <c r="E167" s="15" t="inlineStr">
        <is>
          <t>better typol. or subtypol.</t>
        </is>
      </c>
      <c r="F167" s="5" t="inlineStr">
        <is>
          <t>FRUIT OPENFIELD</t>
        </is>
      </c>
      <c r="G167" s="16" t="n">
        <v>0.4</v>
      </c>
      <c r="H167" s="20" t="inlineStr">
        <is>
          <t xml:space="preserve">CITRUS FRUIT </t>
        </is>
      </c>
      <c r="I167" s="22" t="n">
        <v>0.34</v>
      </c>
    </row>
    <row r="168" ht="15.75" customHeight="1" s="201">
      <c r="A168" s="14" t="inlineStr">
        <is>
          <t>CROPS</t>
        </is>
      </c>
      <c r="B168" s="4" t="inlineStr">
        <is>
          <t>TANGERIN</t>
        </is>
      </c>
      <c r="C168" s="15" t="n">
        <v>0.38</v>
      </c>
      <c r="D168" s="15" t="inlineStr">
        <is>
          <t>H</t>
        </is>
      </c>
      <c r="E168" s="15" t="inlineStr">
        <is>
          <t>better typol. or subtypol.</t>
        </is>
      </c>
      <c r="F168" s="5" t="inlineStr">
        <is>
          <t>FRUIT OPENFIELD</t>
        </is>
      </c>
      <c r="G168" s="16" t="n">
        <v>0.4</v>
      </c>
      <c r="H168" s="20" t="inlineStr">
        <is>
          <t xml:space="preserve">CITRUS FRUIT </t>
        </is>
      </c>
      <c r="I168" s="22" t="n">
        <v>0.34</v>
      </c>
    </row>
    <row r="169" ht="15.75" customHeight="1" s="201">
      <c r="A169" s="14" t="inlineStr">
        <is>
          <t>CROPS</t>
        </is>
      </c>
      <c r="B169" s="4" t="inlineStr">
        <is>
          <t>APPLE</t>
        </is>
      </c>
      <c r="C169" s="15" t="n">
        <v>0.25</v>
      </c>
      <c r="D169" s="15" t="inlineStr">
        <is>
          <t>L</t>
        </is>
      </c>
      <c r="E169" s="15" t="inlineStr">
        <is>
          <t>OK item</t>
        </is>
      </c>
      <c r="F169" s="5" t="inlineStr">
        <is>
          <t>FRUIT OPENFIELD</t>
        </is>
      </c>
      <c r="G169" s="16" t="n">
        <v>0.4</v>
      </c>
      <c r="H169" s="20" t="inlineStr">
        <is>
          <t xml:space="preserve">FRUIT OTHER </t>
        </is>
      </c>
      <c r="I169" s="22" t="n">
        <v>0.32</v>
      </c>
      <c r="J169" t="n">
        <v>53301000</v>
      </c>
    </row>
    <row r="170" ht="15.75" customHeight="1" s="201">
      <c r="A170" s="14" t="inlineStr">
        <is>
          <t>CROPS</t>
        </is>
      </c>
      <c r="B170" s="4" t="inlineStr">
        <is>
          <t>APRICOT</t>
        </is>
      </c>
      <c r="C170" s="15" t="n">
        <v>0.3</v>
      </c>
      <c r="D170" s="15" t="inlineStr">
        <is>
          <t>L</t>
        </is>
      </c>
      <c r="E170" s="15" t="inlineStr">
        <is>
          <t>OK item</t>
        </is>
      </c>
      <c r="F170" s="5" t="inlineStr">
        <is>
          <t>FRUIT OPENFIELD</t>
        </is>
      </c>
      <c r="G170" s="16" t="n">
        <v>0.4</v>
      </c>
      <c r="H170" s="20" t="inlineStr">
        <is>
          <t xml:space="preserve">FRUIT OTHER </t>
        </is>
      </c>
      <c r="I170" s="22" t="n">
        <v>0.32</v>
      </c>
      <c r="J170" t="n">
        <v>63103010</v>
      </c>
    </row>
    <row r="171" ht="15.75" customHeight="1" s="201">
      <c r="A171" s="14" t="inlineStr">
        <is>
          <t>CROPS</t>
        </is>
      </c>
      <c r="B171" s="4" t="inlineStr">
        <is>
          <t>AVOCADO</t>
        </is>
      </c>
      <c r="C171" s="15" t="n">
        <v>0.54</v>
      </c>
      <c r="D171" s="15" t="inlineStr">
        <is>
          <t>L</t>
        </is>
      </c>
      <c r="E171" s="15" t="inlineStr">
        <is>
          <t>OK item</t>
        </is>
      </c>
      <c r="F171" s="5" t="inlineStr">
        <is>
          <t>FRUIT OPENFIELD</t>
        </is>
      </c>
      <c r="G171" s="16" t="n">
        <v>0.4</v>
      </c>
      <c r="H171" s="20" t="inlineStr">
        <is>
          <t xml:space="preserve">FRUIT OTHER </t>
        </is>
      </c>
      <c r="I171" s="22" t="n">
        <v>0.32</v>
      </c>
      <c r="J171" t="n">
        <v>27540361</v>
      </c>
    </row>
    <row r="172" ht="15.75" customHeight="1" s="201">
      <c r="A172" s="14" t="inlineStr">
        <is>
          <t>CROPS</t>
        </is>
      </c>
      <c r="B172" s="4" t="inlineStr">
        <is>
          <t>BANANA</t>
        </is>
      </c>
      <c r="C172" s="15" t="n">
        <v>0.34</v>
      </c>
      <c r="D172" s="15" t="inlineStr">
        <is>
          <t>L</t>
        </is>
      </c>
      <c r="E172" s="15" t="inlineStr">
        <is>
          <t>OK item</t>
        </is>
      </c>
      <c r="F172" s="5" t="inlineStr">
        <is>
          <t>FRUIT OPENFIELD</t>
        </is>
      </c>
      <c r="G172" s="16" t="n">
        <v>0.4</v>
      </c>
      <c r="H172" s="20" t="inlineStr">
        <is>
          <t xml:space="preserve">FRUIT OTHER </t>
        </is>
      </c>
      <c r="I172" s="22" t="n">
        <v>0.32</v>
      </c>
      <c r="J172" t="n">
        <v>52302010</v>
      </c>
    </row>
    <row r="173" ht="15.75" customHeight="1" s="201">
      <c r="A173" s="14" t="inlineStr">
        <is>
          <t>CROPS</t>
        </is>
      </c>
      <c r="B173" s="4" t="inlineStr">
        <is>
          <t>CARROB</t>
        </is>
      </c>
      <c r="C173" s="15" t="n">
        <v>1.1</v>
      </c>
      <c r="D173" s="15" t="inlineStr">
        <is>
          <t>H</t>
        </is>
      </c>
      <c r="E173" s="15" t="inlineStr">
        <is>
          <t>better typol. or subtypol.</t>
        </is>
      </c>
      <c r="F173" s="5" t="inlineStr">
        <is>
          <t>FRUIT OPENFIELD</t>
        </is>
      </c>
      <c r="G173" s="16" t="n">
        <v>0.4</v>
      </c>
      <c r="H173" s="20" t="inlineStr">
        <is>
          <t xml:space="preserve">FRUIT OTHER </t>
        </is>
      </c>
      <c r="I173" s="22" t="n">
        <v>0.32</v>
      </c>
    </row>
    <row r="174" ht="15.75" customHeight="1" s="201">
      <c r="A174" s="14" t="inlineStr">
        <is>
          <t>CROPS</t>
        </is>
      </c>
      <c r="B174" s="4" t="inlineStr">
        <is>
          <t>CHERRY</t>
        </is>
      </c>
      <c r="C174" s="15" t="n">
        <v>0.46</v>
      </c>
      <c r="D174" s="15" t="inlineStr">
        <is>
          <t>L</t>
        </is>
      </c>
      <c r="E174" s="15" t="inlineStr">
        <is>
          <t>OK item</t>
        </is>
      </c>
      <c r="F174" s="5" t="inlineStr">
        <is>
          <t>FRUIT OPENFIELD</t>
        </is>
      </c>
      <c r="G174" s="16" t="n">
        <v>0.4</v>
      </c>
      <c r="H174" s="20" t="inlineStr">
        <is>
          <t xml:space="preserve">FRUIT OTHER </t>
        </is>
      </c>
      <c r="I174" s="22" t="n">
        <v>0.32</v>
      </c>
      <c r="J174" t="n">
        <v>92411510</v>
      </c>
    </row>
    <row r="175" ht="15.75" customHeight="1" s="201">
      <c r="A175" s="14" t="inlineStr">
        <is>
          <t>CROPS</t>
        </is>
      </c>
      <c r="B175" s="4" t="inlineStr">
        <is>
          <t>FIG</t>
        </is>
      </c>
      <c r="C175" s="15" t="n">
        <v>0.26</v>
      </c>
      <c r="D175" s="15" t="inlineStr">
        <is>
          <t>H</t>
        </is>
      </c>
      <c r="E175" s="15" t="inlineStr">
        <is>
          <t>better typol. or subtypol.</t>
        </is>
      </c>
      <c r="F175" s="5" t="inlineStr">
        <is>
          <t>FRUIT OPENFIELD</t>
        </is>
      </c>
      <c r="G175" s="16" t="n">
        <v>0.4</v>
      </c>
      <c r="H175" s="20" t="inlineStr">
        <is>
          <t xml:space="preserve">FRUIT OTHER </t>
        </is>
      </c>
      <c r="I175" s="22" t="n">
        <v>0.32</v>
      </c>
    </row>
    <row r="176" ht="15.75" customHeight="1" s="201">
      <c r="A176" s="14" t="inlineStr">
        <is>
          <t>CROPS</t>
        </is>
      </c>
      <c r="B176" s="4" t="inlineStr">
        <is>
          <t>GRAPES</t>
        </is>
      </c>
      <c r="C176" s="15" t="n">
        <v>0.31</v>
      </c>
      <c r="D176" s="15" t="inlineStr">
        <is>
          <t>L</t>
        </is>
      </c>
      <c r="E176" s="15" t="inlineStr">
        <is>
          <t>OK item</t>
        </is>
      </c>
      <c r="F176" s="5" t="inlineStr">
        <is>
          <t>FRUIT OPENFIELD</t>
        </is>
      </c>
      <c r="G176" s="16" t="n">
        <v>0.4</v>
      </c>
      <c r="H176" s="20" t="inlineStr">
        <is>
          <t xml:space="preserve">FRUIT OTHER </t>
        </is>
      </c>
      <c r="I176" s="22" t="n">
        <v>0.32</v>
      </c>
      <c r="J176" t="n">
        <v>63123000</v>
      </c>
    </row>
    <row r="177" ht="15.75" customHeight="1" s="201">
      <c r="A177" s="14" t="inlineStr">
        <is>
          <t>CROPS</t>
        </is>
      </c>
      <c r="B177" s="4" t="inlineStr">
        <is>
          <t>GUAVA</t>
        </is>
      </c>
      <c r="C177" s="15" t="n">
        <v>0.28</v>
      </c>
      <c r="D177" s="15" t="inlineStr">
        <is>
          <t>H</t>
        </is>
      </c>
      <c r="E177" s="15" t="inlineStr">
        <is>
          <t>better typol. or subtypol.</t>
        </is>
      </c>
      <c r="F177" s="5" t="inlineStr">
        <is>
          <t>FRUIT OPENFIELD</t>
        </is>
      </c>
      <c r="G177" s="16" t="n">
        <v>0.4</v>
      </c>
      <c r="H177" s="20" t="inlineStr">
        <is>
          <t xml:space="preserve">FRUIT OTHER </t>
        </is>
      </c>
      <c r="I177" s="22" t="n">
        <v>0.32</v>
      </c>
      <c r="J177" t="n">
        <v>53451500</v>
      </c>
    </row>
    <row r="178" ht="15.75" customHeight="1" s="201">
      <c r="A178" s="14" t="inlineStr">
        <is>
          <t>CROPS</t>
        </is>
      </c>
      <c r="B178" s="4" t="inlineStr">
        <is>
          <t>KIWI</t>
        </is>
      </c>
      <c r="C178" s="15" t="n">
        <v>0.49</v>
      </c>
      <c r="D178" s="15" t="inlineStr">
        <is>
          <t>L</t>
        </is>
      </c>
      <c r="E178" s="15" t="inlineStr">
        <is>
          <t>OK item</t>
        </is>
      </c>
      <c r="F178" s="5" t="inlineStr">
        <is>
          <t>FRUIT OPENFIELD</t>
        </is>
      </c>
      <c r="G178" s="16" t="n">
        <v>0.4</v>
      </c>
      <c r="H178" s="20" t="inlineStr">
        <is>
          <t xml:space="preserve">FRUIT OTHER </t>
        </is>
      </c>
      <c r="I178" s="22" t="n">
        <v>0.32</v>
      </c>
      <c r="J178" t="n">
        <v>63126500</v>
      </c>
    </row>
    <row r="179" ht="15.75" customHeight="1" s="201">
      <c r="A179" s="14" t="inlineStr">
        <is>
          <t>CROPS</t>
        </is>
      </c>
      <c r="B179" s="4" t="inlineStr">
        <is>
          <t>MANGO</t>
        </is>
      </c>
      <c r="C179" s="15" t="n">
        <v>0.31</v>
      </c>
      <c r="D179" s="15" t="inlineStr">
        <is>
          <t>L</t>
        </is>
      </c>
      <c r="E179" s="15" t="inlineStr">
        <is>
          <t>OK item</t>
        </is>
      </c>
      <c r="F179" s="5" t="inlineStr">
        <is>
          <t>FRUIT OPENFIELD</t>
        </is>
      </c>
      <c r="G179" s="16" t="n">
        <v>0.4</v>
      </c>
      <c r="H179" s="20" t="inlineStr">
        <is>
          <t xml:space="preserve">FRUIT OTHER </t>
        </is>
      </c>
      <c r="I179" s="22" t="n">
        <v>0.32</v>
      </c>
      <c r="J179" t="n">
        <v>63129010</v>
      </c>
    </row>
    <row r="180" ht="15.75" customHeight="1" s="201">
      <c r="A180" s="14" t="inlineStr">
        <is>
          <t>CROPS</t>
        </is>
      </c>
      <c r="B180" s="4" t="inlineStr">
        <is>
          <t>MELON</t>
        </is>
      </c>
      <c r="C180" s="15" t="n">
        <v>0.61</v>
      </c>
      <c r="D180" s="15" t="inlineStr">
        <is>
          <t>L</t>
        </is>
      </c>
      <c r="E180" s="15" t="inlineStr">
        <is>
          <t>OK item</t>
        </is>
      </c>
      <c r="F180" s="5" t="inlineStr">
        <is>
          <t>FRUIT OPENFIELD</t>
        </is>
      </c>
      <c r="G180" s="16" t="n">
        <v>0.4</v>
      </c>
      <c r="H180" s="20" t="inlineStr">
        <is>
          <t xml:space="preserve">FRUIT OTHER </t>
        </is>
      </c>
      <c r="I180" s="22" t="n">
        <v>0.32</v>
      </c>
      <c r="J180" t="n">
        <v>63109010</v>
      </c>
    </row>
    <row r="181" ht="15.75" customHeight="1" s="201">
      <c r="A181" s="14" t="inlineStr">
        <is>
          <t>CROPS</t>
        </is>
      </c>
      <c r="B181" s="4" t="inlineStr">
        <is>
          <t>PEACH</t>
        </is>
      </c>
      <c r="C181" s="15" t="n">
        <v>0.39</v>
      </c>
      <c r="D181" s="15" t="inlineStr">
        <is>
          <t>L</t>
        </is>
      </c>
      <c r="E181" s="15" t="inlineStr">
        <is>
          <t>OK item</t>
        </is>
      </c>
      <c r="F181" s="5" t="inlineStr">
        <is>
          <t>FRUIT OPENFIELD</t>
        </is>
      </c>
      <c r="G181" s="16" t="n">
        <v>0.4</v>
      </c>
      <c r="H181" s="20" t="inlineStr">
        <is>
          <t xml:space="preserve">FRUIT OTHER </t>
        </is>
      </c>
      <c r="I181" s="22" t="n">
        <v>0.32</v>
      </c>
      <c r="J181" t="n">
        <v>63135010</v>
      </c>
    </row>
    <row r="182" ht="15.75" customHeight="1" s="201">
      <c r="A182" s="14" t="inlineStr">
        <is>
          <t>CROPS</t>
        </is>
      </c>
      <c r="B182" s="4" t="inlineStr">
        <is>
          <t>PEAR</t>
        </is>
      </c>
      <c r="C182" s="15" t="n">
        <v>0.27</v>
      </c>
      <c r="D182" s="15" t="inlineStr">
        <is>
          <t>L</t>
        </is>
      </c>
      <c r="E182" s="15" t="inlineStr">
        <is>
          <t>OK item</t>
        </is>
      </c>
      <c r="F182" s="5" t="inlineStr">
        <is>
          <t>FRUIT OPENFIELD</t>
        </is>
      </c>
      <c r="G182" s="16" t="n">
        <v>0.4</v>
      </c>
      <c r="H182" s="20" t="inlineStr">
        <is>
          <t xml:space="preserve">FRUIT OTHER </t>
        </is>
      </c>
      <c r="I182" s="22" t="n">
        <v>0.32</v>
      </c>
      <c r="J182" t="n">
        <v>63137010</v>
      </c>
    </row>
    <row r="183" ht="15.75" customHeight="1" s="201">
      <c r="A183" s="14" t="inlineStr">
        <is>
          <t>CROPS</t>
        </is>
      </c>
      <c r="B183" s="4" t="inlineStr">
        <is>
          <t>PINEAPPLE</t>
        </is>
      </c>
      <c r="C183" s="15" t="n">
        <v>0.28</v>
      </c>
      <c r="D183" s="15" t="inlineStr">
        <is>
          <t>L</t>
        </is>
      </c>
      <c r="E183" s="5" t="inlineStr">
        <is>
          <t>item or typology or subtypology</t>
        </is>
      </c>
      <c r="F183" s="5" t="inlineStr">
        <is>
          <t>FRUIT OPENFIELD</t>
        </is>
      </c>
      <c r="G183" s="16" t="n">
        <v>0.4</v>
      </c>
      <c r="H183" s="20" t="inlineStr">
        <is>
          <t xml:space="preserve">FRUIT OTHER </t>
        </is>
      </c>
      <c r="I183" s="22" t="n">
        <v>0.32</v>
      </c>
      <c r="J183" t="n">
        <v>63141010</v>
      </c>
    </row>
    <row r="184" ht="15.75" customHeight="1" s="201">
      <c r="A184" s="14" t="inlineStr">
        <is>
          <t>CROPS</t>
        </is>
      </c>
      <c r="B184" s="4" t="inlineStr">
        <is>
          <t>PLUM</t>
        </is>
      </c>
      <c r="C184" s="15" t="n">
        <v>0.26</v>
      </c>
      <c r="D184" s="15" t="inlineStr">
        <is>
          <t>H</t>
        </is>
      </c>
      <c r="E184" s="15" t="inlineStr">
        <is>
          <t>better typol. or subtypol.</t>
        </is>
      </c>
      <c r="F184" s="5" t="inlineStr">
        <is>
          <t>FRUIT OPENFIELD</t>
        </is>
      </c>
      <c r="G184" s="16" t="n">
        <v>0.4</v>
      </c>
      <c r="H184" s="20" t="inlineStr">
        <is>
          <t xml:space="preserve">FRUIT OTHER </t>
        </is>
      </c>
      <c r="I184" s="22" t="n">
        <v>0.32</v>
      </c>
      <c r="J184" t="n">
        <v>63143010</v>
      </c>
    </row>
    <row r="185" ht="15.75" customHeight="1" s="201">
      <c r="A185" s="14" t="inlineStr">
        <is>
          <t>CROPS</t>
        </is>
      </c>
      <c r="B185" s="4" t="inlineStr">
        <is>
          <t>POMEGRANATE</t>
        </is>
      </c>
      <c r="C185" s="15" t="n">
        <v>0.32</v>
      </c>
      <c r="D185" s="15" t="inlineStr">
        <is>
          <t>H</t>
        </is>
      </c>
      <c r="E185" s="15" t="inlineStr">
        <is>
          <t>better typol. or subtypol.</t>
        </is>
      </c>
      <c r="F185" s="5" t="inlineStr">
        <is>
          <t>FRUIT OPENFIELD</t>
        </is>
      </c>
      <c r="G185" s="16" t="n">
        <v>0.4</v>
      </c>
      <c r="H185" s="20" t="inlineStr">
        <is>
          <t xml:space="preserve">FRUIT OTHER </t>
        </is>
      </c>
      <c r="I185" s="22" t="n">
        <v>0.32</v>
      </c>
      <c r="J185" t="n">
        <v>63145010</v>
      </c>
    </row>
    <row r="186" ht="15.75" customHeight="1" s="201">
      <c r="A186" s="14" t="inlineStr">
        <is>
          <t>CROPS</t>
        </is>
      </c>
      <c r="B186" s="4" t="inlineStr">
        <is>
          <t>ROCKMELON</t>
        </is>
      </c>
      <c r="C186" s="15" t="n">
        <v>0.39</v>
      </c>
      <c r="D186" s="15" t="inlineStr">
        <is>
          <t>H</t>
        </is>
      </c>
      <c r="E186" s="15" t="inlineStr">
        <is>
          <t>better typol. or subtypol.</t>
        </is>
      </c>
      <c r="F186" s="5" t="inlineStr">
        <is>
          <t>FRUIT OPENFIELD</t>
        </is>
      </c>
      <c r="G186" s="16" t="n">
        <v>0.4</v>
      </c>
      <c r="H186" s="20" t="inlineStr">
        <is>
          <t xml:space="preserve">FRUIT OTHER </t>
        </is>
      </c>
      <c r="I186" s="22" t="n">
        <v>0.32</v>
      </c>
    </row>
    <row r="187" ht="15.75" customHeight="1" s="201">
      <c r="A187" s="14" t="inlineStr">
        <is>
          <t>CROPS</t>
        </is>
      </c>
      <c r="B187" s="4" t="inlineStr">
        <is>
          <t>WATERMELON</t>
        </is>
      </c>
      <c r="C187" s="15" t="n">
        <v>0.52</v>
      </c>
      <c r="D187" s="15" t="inlineStr">
        <is>
          <t>H</t>
        </is>
      </c>
      <c r="E187" s="15" t="inlineStr">
        <is>
          <t>better typol. or subtypol.</t>
        </is>
      </c>
      <c r="F187" s="5" t="inlineStr">
        <is>
          <t>FRUIT OPENFIELD</t>
        </is>
      </c>
      <c r="G187" s="16" t="n">
        <v>0.4</v>
      </c>
      <c r="H187" s="20" t="inlineStr">
        <is>
          <t xml:space="preserve">FRUIT OTHER </t>
        </is>
      </c>
      <c r="I187" s="22" t="n">
        <v>0.32</v>
      </c>
      <c r="J187" t="n">
        <v>63149010</v>
      </c>
    </row>
    <row r="188" ht="15.75" customHeight="1" s="201">
      <c r="A188" s="14" t="inlineStr">
        <is>
          <t>CROPS</t>
        </is>
      </c>
      <c r="B188" s="4" t="inlineStr">
        <is>
          <t>OLIVES</t>
        </is>
      </c>
      <c r="C188" s="15" t="n">
        <v>0.64</v>
      </c>
      <c r="D188" s="15" t="inlineStr">
        <is>
          <t>L</t>
        </is>
      </c>
      <c r="E188" s="15" t="inlineStr">
        <is>
          <t>OK item</t>
        </is>
      </c>
      <c r="F188" s="5" t="inlineStr">
        <is>
          <t>FRUIT OPENFIELD</t>
        </is>
      </c>
      <c r="G188" s="16" t="n">
        <v>0.4</v>
      </c>
      <c r="H188" s="20" t="inlineStr">
        <is>
          <t xml:space="preserve">OLIVES* </t>
        </is>
      </c>
      <c r="I188" s="22" t="n">
        <v>0.64</v>
      </c>
      <c r="J188" t="n">
        <v>51135000</v>
      </c>
    </row>
    <row r="189" ht="15.75" customHeight="1" s="201">
      <c r="A189" s="14" t="inlineStr">
        <is>
          <t>CROPS</t>
        </is>
      </c>
      <c r="B189" s="4" t="inlineStr">
        <is>
          <t>BLACKBERRY</t>
        </is>
      </c>
      <c r="C189" s="15" t="n">
        <v>0.42</v>
      </c>
      <c r="D189" s="15" t="inlineStr">
        <is>
          <t>H</t>
        </is>
      </c>
      <c r="E189" s="15" t="inlineStr">
        <is>
          <t>better subtypology</t>
        </is>
      </c>
      <c r="F189" s="5" t="inlineStr">
        <is>
          <t>FRUIT OPENFIELD</t>
        </is>
      </c>
      <c r="G189" s="16" t="n">
        <v>0.4</v>
      </c>
      <c r="H189" s="20" t="inlineStr">
        <is>
          <t xml:space="preserve">WILD BERRIES </t>
        </is>
      </c>
      <c r="I189" s="22" t="n">
        <v>0.64</v>
      </c>
      <c r="J189" t="n">
        <v>53102100</v>
      </c>
    </row>
    <row r="190" ht="15.75" customHeight="1" s="201">
      <c r="A190" s="14" t="inlineStr">
        <is>
          <t>CROPS</t>
        </is>
      </c>
      <c r="B190" s="4" t="inlineStr">
        <is>
          <t>BLUEBERRY</t>
        </is>
      </c>
      <c r="C190" s="15" t="n">
        <v>0.78</v>
      </c>
      <c r="D190" s="15" t="inlineStr">
        <is>
          <t>L</t>
        </is>
      </c>
      <c r="E190" s="15" t="inlineStr">
        <is>
          <t>OK item</t>
        </is>
      </c>
      <c r="F190" s="5" t="inlineStr">
        <is>
          <t>FRUIT OPENFIELD</t>
        </is>
      </c>
      <c r="G190" s="16" t="n">
        <v>0.4</v>
      </c>
      <c r="H190" s="20" t="inlineStr">
        <is>
          <t xml:space="preserve">WILD BERRIES </t>
        </is>
      </c>
      <c r="I190" s="22" t="n">
        <v>0.64</v>
      </c>
      <c r="J190" t="n">
        <v>51180080</v>
      </c>
    </row>
    <row r="191" ht="15.75" customHeight="1" s="201">
      <c r="A191" s="14" t="inlineStr">
        <is>
          <t>CROPS</t>
        </is>
      </c>
      <c r="B191" s="4" t="inlineStr">
        <is>
          <t>CRANBERRY</t>
        </is>
      </c>
      <c r="C191" s="15" t="n">
        <v>0.87</v>
      </c>
      <c r="D191" s="15" t="inlineStr">
        <is>
          <t>H</t>
        </is>
      </c>
      <c r="E191" s="15" t="inlineStr">
        <is>
          <t>better subtypology</t>
        </is>
      </c>
      <c r="F191" s="5" t="inlineStr">
        <is>
          <t>FRUIT OPENFIELD</t>
        </is>
      </c>
      <c r="G191" s="16" t="n">
        <v>0.4</v>
      </c>
      <c r="H191" s="20" t="inlineStr">
        <is>
          <t xml:space="preserve">WILD BERRIES </t>
        </is>
      </c>
      <c r="I191" s="22" t="n">
        <v>0.64</v>
      </c>
      <c r="J191" t="n">
        <v>92530510</v>
      </c>
    </row>
    <row r="192" ht="15.75" customHeight="1" s="201">
      <c r="A192" s="14" t="inlineStr">
        <is>
          <t>CROPS</t>
        </is>
      </c>
      <c r="B192" s="4" t="inlineStr">
        <is>
          <t>CURRANT</t>
        </is>
      </c>
      <c r="C192" s="15" t="n">
        <v>0.64</v>
      </c>
      <c r="D192" s="15" t="inlineStr">
        <is>
          <t>H</t>
        </is>
      </c>
      <c r="E192" s="15" t="inlineStr">
        <is>
          <t>better subtypology</t>
        </is>
      </c>
      <c r="F192" s="5" t="inlineStr">
        <is>
          <t>FRUIT OPENFIELD</t>
        </is>
      </c>
      <c r="G192" s="16" t="n">
        <v>0.4</v>
      </c>
      <c r="H192" s="20" t="inlineStr">
        <is>
          <t xml:space="preserve">WILD BERRIES </t>
        </is>
      </c>
      <c r="I192" s="22" t="n">
        <v>0.64</v>
      </c>
    </row>
    <row r="193" ht="15.75" customHeight="1" s="201">
      <c r="A193" s="14" t="inlineStr">
        <is>
          <t>CROPS</t>
        </is>
      </c>
      <c r="B193" s="4" t="inlineStr">
        <is>
          <t>GOOSEBERRY</t>
        </is>
      </c>
      <c r="C193" s="15" t="n">
        <v>0.84</v>
      </c>
      <c r="D193" s="15" t="inlineStr">
        <is>
          <t>H</t>
        </is>
      </c>
      <c r="E193" s="15" t="inlineStr">
        <is>
          <t>better subtypology</t>
        </is>
      </c>
      <c r="F193" s="5" t="inlineStr">
        <is>
          <t>FRUIT OPENFIELD</t>
        </is>
      </c>
      <c r="G193" s="16" t="n">
        <v>0.4</v>
      </c>
      <c r="H193" s="20" t="inlineStr">
        <is>
          <t xml:space="preserve">WILD BERRIES </t>
        </is>
      </c>
      <c r="I193" s="22" t="n">
        <v>0.64</v>
      </c>
      <c r="J193" t="n">
        <v>53303500</v>
      </c>
    </row>
    <row r="194" ht="15.75" customHeight="1" s="201">
      <c r="A194" s="14" t="inlineStr">
        <is>
          <t>CROPS</t>
        </is>
      </c>
      <c r="B194" s="4" t="inlineStr">
        <is>
          <t>RASPBERRY</t>
        </is>
      </c>
      <c r="C194" s="15" t="n">
        <v>0.63</v>
      </c>
      <c r="D194" s="15" t="inlineStr">
        <is>
          <t>H</t>
        </is>
      </c>
      <c r="E194" s="15" t="inlineStr">
        <is>
          <t>better subtypology</t>
        </is>
      </c>
      <c r="F194" s="5" t="inlineStr">
        <is>
          <t>FRUIT OPENFIELD</t>
        </is>
      </c>
      <c r="G194" s="16" t="n">
        <v>0.4</v>
      </c>
      <c r="H194" s="20" t="inlineStr">
        <is>
          <t xml:space="preserve">WILD BERRIES </t>
        </is>
      </c>
      <c r="I194" s="22" t="n">
        <v>0.64</v>
      </c>
      <c r="J194" t="n">
        <v>27450066</v>
      </c>
    </row>
    <row r="195" ht="15.75" customHeight="1" s="201">
      <c r="A195" s="14" t="inlineStr">
        <is>
          <t>CROPS</t>
        </is>
      </c>
      <c r="B195" s="4" t="inlineStr">
        <is>
          <t>STRAWBERRY</t>
        </is>
      </c>
      <c r="C195" s="15" t="n">
        <v>0.61</v>
      </c>
      <c r="D195" s="15" t="inlineStr">
        <is>
          <t>L</t>
        </is>
      </c>
      <c r="E195" s="15" t="inlineStr">
        <is>
          <t>OK item</t>
        </is>
      </c>
      <c r="F195" s="5" t="inlineStr">
        <is>
          <t>FRUIT OPENFIELD</t>
        </is>
      </c>
      <c r="G195" s="16" t="n">
        <v>0.4</v>
      </c>
      <c r="H195" s="20" t="inlineStr">
        <is>
          <t xml:space="preserve">WILD BERRIES </t>
        </is>
      </c>
      <c r="I195" s="23" t="n">
        <v>0.64</v>
      </c>
      <c r="J195" t="n">
        <v>53109200</v>
      </c>
    </row>
    <row r="196" ht="15.75" customHeight="1" s="201">
      <c r="A196" s="14" t="inlineStr">
        <is>
          <t>CROPS</t>
        </is>
      </c>
      <c r="B196" s="4" t="inlineStr">
        <is>
          <t>BARLEY</t>
        </is>
      </c>
      <c r="C196" s="15" t="n">
        <v>0.48</v>
      </c>
      <c r="D196" s="15" t="inlineStr">
        <is>
          <t>L</t>
        </is>
      </c>
      <c r="E196" s="15" t="inlineStr">
        <is>
          <t>OK item</t>
        </is>
      </c>
      <c r="F196" s="5" t="inlineStr">
        <is>
          <t>GRAINS</t>
        </is>
      </c>
      <c r="G196" s="16" t="n">
        <v>0.57</v>
      </c>
      <c r="H196" s="17" t="inlineStr">
        <is>
          <t>-</t>
        </is>
      </c>
      <c r="I196" s="18" t="inlineStr">
        <is>
          <t>-</t>
        </is>
      </c>
      <c r="J196" t="n">
        <v>58401010</v>
      </c>
    </row>
    <row r="197" ht="15.75" customHeight="1" s="201">
      <c r="A197" s="14" t="inlineStr">
        <is>
          <t>CROPS</t>
        </is>
      </c>
      <c r="B197" s="4" t="inlineStr">
        <is>
          <t>MAIZE</t>
        </is>
      </c>
      <c r="C197" s="15" t="n">
        <v>0.48</v>
      </c>
      <c r="D197" s="15" t="inlineStr">
        <is>
          <t>L</t>
        </is>
      </c>
      <c r="E197" s="15" t="inlineStr">
        <is>
          <t>item or typology</t>
        </is>
      </c>
      <c r="F197" s="5" t="inlineStr">
        <is>
          <t>GRAINS</t>
        </is>
      </c>
      <c r="G197" s="16" t="n">
        <v>0.57</v>
      </c>
      <c r="H197" s="17" t="inlineStr">
        <is>
          <t>-</t>
        </is>
      </c>
      <c r="I197" s="18" t="inlineStr">
        <is>
          <t>-</t>
        </is>
      </c>
      <c r="J197" t="n">
        <v>56201600</v>
      </c>
    </row>
    <row r="198" ht="15.75" customHeight="1" s="201">
      <c r="A198" s="14" t="inlineStr">
        <is>
          <t>CROPS</t>
        </is>
      </c>
      <c r="B198" s="4" t="inlineStr">
        <is>
          <t>MILLET</t>
        </is>
      </c>
      <c r="C198" s="15" t="n">
        <v>0.86</v>
      </c>
      <c r="D198" s="15" t="inlineStr">
        <is>
          <t>H</t>
        </is>
      </c>
      <c r="E198" s="15" t="inlineStr">
        <is>
          <t>better typology</t>
        </is>
      </c>
      <c r="F198" s="5" t="inlineStr">
        <is>
          <t>GRAINS</t>
        </is>
      </c>
      <c r="G198" s="16" t="n">
        <v>0.57</v>
      </c>
      <c r="H198" s="17" t="inlineStr">
        <is>
          <t>-</t>
        </is>
      </c>
      <c r="I198" s="18" t="inlineStr">
        <is>
          <t>-</t>
        </is>
      </c>
      <c r="J198" t="n">
        <v>56202000</v>
      </c>
    </row>
    <row r="199" ht="15.75" customHeight="1" s="201">
      <c r="A199" s="14" t="inlineStr">
        <is>
          <t>CROPS</t>
        </is>
      </c>
      <c r="B199" s="4" t="inlineStr">
        <is>
          <t>OAT</t>
        </is>
      </c>
      <c r="C199" s="15" t="n">
        <v>0.67</v>
      </c>
      <c r="D199" s="15" t="inlineStr">
        <is>
          <t>L</t>
        </is>
      </c>
      <c r="E199" s="15" t="inlineStr">
        <is>
          <t>OK item</t>
        </is>
      </c>
      <c r="F199" s="5" t="inlineStr">
        <is>
          <t>GRAINS</t>
        </is>
      </c>
      <c r="G199" s="16" t="n">
        <v>0.57</v>
      </c>
      <c r="H199" s="17" t="inlineStr">
        <is>
          <t>-</t>
        </is>
      </c>
      <c r="I199" s="18" t="inlineStr">
        <is>
          <t>-</t>
        </is>
      </c>
    </row>
    <row r="200" ht="15.75" customHeight="1" s="201">
      <c r="A200" s="14" t="inlineStr">
        <is>
          <t>CROPS</t>
        </is>
      </c>
      <c r="B200" s="4" t="inlineStr">
        <is>
          <t>QUINOA</t>
        </is>
      </c>
      <c r="C200" s="15" t="n">
        <v>0.97</v>
      </c>
      <c r="D200" s="15" t="inlineStr">
        <is>
          <t>L</t>
        </is>
      </c>
      <c r="E200" s="15" t="inlineStr">
        <is>
          <t>OK item</t>
        </is>
      </c>
      <c r="F200" s="5" t="inlineStr">
        <is>
          <t>GRAINS</t>
        </is>
      </c>
      <c r="G200" s="16" t="n">
        <v>0.57</v>
      </c>
      <c r="H200" s="17" t="inlineStr">
        <is>
          <t>-</t>
        </is>
      </c>
      <c r="I200" s="18" t="inlineStr">
        <is>
          <t>-</t>
        </is>
      </c>
      <c r="J200" t="n">
        <v>56204000</v>
      </c>
    </row>
    <row r="201" ht="15.75" customHeight="1" s="201">
      <c r="A201" s="14" t="inlineStr">
        <is>
          <t>CROPS</t>
        </is>
      </c>
      <c r="B201" s="4" t="inlineStr">
        <is>
          <t>RYE</t>
        </is>
      </c>
      <c r="C201" s="15" t="n">
        <v>0.38</v>
      </c>
      <c r="D201" s="15" t="inlineStr">
        <is>
          <t>H</t>
        </is>
      </c>
      <c r="E201" s="15" t="inlineStr">
        <is>
          <t>better typology</t>
        </is>
      </c>
      <c r="F201" s="5" t="inlineStr">
        <is>
          <t>GRAINS</t>
        </is>
      </c>
      <c r="G201" s="16" t="n">
        <v>0.57</v>
      </c>
      <c r="H201" s="17" t="inlineStr">
        <is>
          <t>-</t>
        </is>
      </c>
      <c r="I201" s="18" t="inlineStr">
        <is>
          <t>-</t>
        </is>
      </c>
    </row>
    <row r="202" ht="15.75" customHeight="1" s="201">
      <c r="A202" s="14" t="inlineStr">
        <is>
          <t>CROPS</t>
        </is>
      </c>
      <c r="B202" s="4" t="inlineStr">
        <is>
          <t>SORGHUM</t>
        </is>
      </c>
      <c r="C202" s="15" t="n">
        <v>0.88</v>
      </c>
      <c r="D202" s="15" t="inlineStr">
        <is>
          <t>H</t>
        </is>
      </c>
      <c r="E202" s="15" t="inlineStr">
        <is>
          <t>better typology</t>
        </is>
      </c>
      <c r="F202" s="5" t="inlineStr">
        <is>
          <t>GRAINS</t>
        </is>
      </c>
      <c r="G202" s="16" t="n">
        <v>0.57</v>
      </c>
      <c r="H202" s="17" t="inlineStr">
        <is>
          <t>-</t>
        </is>
      </c>
      <c r="I202" s="18" t="inlineStr">
        <is>
          <t>-</t>
        </is>
      </c>
    </row>
    <row r="203" ht="15.75" customHeight="1" s="201">
      <c r="A203" s="14" t="inlineStr">
        <is>
          <t>CROPS</t>
        </is>
      </c>
      <c r="B203" s="4" t="inlineStr">
        <is>
          <t>WHEAT</t>
        </is>
      </c>
      <c r="C203" s="15" t="n">
        <v>0.57</v>
      </c>
      <c r="D203" s="15" t="inlineStr">
        <is>
          <t>L</t>
        </is>
      </c>
      <c r="E203" s="15" t="inlineStr">
        <is>
          <t>OK item</t>
        </is>
      </c>
      <c r="F203" s="5" t="inlineStr">
        <is>
          <t>GRAINS</t>
        </is>
      </c>
      <c r="G203" s="16" t="n">
        <v>0.57</v>
      </c>
      <c r="H203" s="17" t="inlineStr">
        <is>
          <t>-</t>
        </is>
      </c>
      <c r="I203" s="18" t="inlineStr">
        <is>
          <t>-</t>
        </is>
      </c>
      <c r="J203" t="n">
        <v>54338000</v>
      </c>
    </row>
    <row r="204" ht="15.75" customHeight="1" s="201">
      <c r="A204" s="14" t="inlineStr">
        <is>
          <t>CROPS</t>
        </is>
      </c>
      <c r="B204" s="4" t="inlineStr">
        <is>
          <t>BEAN</t>
        </is>
      </c>
      <c r="C204" s="15" t="n">
        <v>0.43</v>
      </c>
      <c r="D204" s="15" t="inlineStr">
        <is>
          <t>L</t>
        </is>
      </c>
      <c r="E204" s="15" t="inlineStr">
        <is>
          <t>OK item</t>
        </is>
      </c>
      <c r="F204" s="5" t="inlineStr">
        <is>
          <t>LEGUMES</t>
        </is>
      </c>
      <c r="G204" s="16" t="n">
        <v>0.52</v>
      </c>
      <c r="H204" s="17" t="inlineStr">
        <is>
          <t>-</t>
        </is>
      </c>
      <c r="I204" s="18" t="inlineStr">
        <is>
          <t>-</t>
        </is>
      </c>
      <c r="J204" t="n">
        <v>41205050</v>
      </c>
    </row>
    <row r="205" ht="15.75" customHeight="1" s="201">
      <c r="A205" s="14" t="inlineStr">
        <is>
          <t>CROPS</t>
        </is>
      </c>
      <c r="B205" s="4" t="inlineStr">
        <is>
          <t>CHICKPEA</t>
        </is>
      </c>
      <c r="C205" s="15" t="n">
        <v>0.77</v>
      </c>
      <c r="D205" s="15" t="inlineStr">
        <is>
          <t>H</t>
        </is>
      </c>
      <c r="E205" s="15" t="inlineStr">
        <is>
          <t>better typology</t>
        </is>
      </c>
      <c r="F205" s="5" t="inlineStr">
        <is>
          <t>LEGUMES</t>
        </is>
      </c>
      <c r="G205" s="16" t="n">
        <v>0.52</v>
      </c>
      <c r="H205" s="17" t="inlineStr">
        <is>
          <t>-</t>
        </is>
      </c>
      <c r="I205" s="18" t="inlineStr">
        <is>
          <t>-</t>
        </is>
      </c>
      <c r="J205" t="n">
        <v>41205070</v>
      </c>
    </row>
    <row r="206" ht="15.75" customHeight="1" s="201">
      <c r="A206" s="14" t="inlineStr">
        <is>
          <t>CROPS</t>
        </is>
      </c>
      <c r="B206" s="4" t="inlineStr">
        <is>
          <t>COWPEA</t>
        </is>
      </c>
      <c r="C206" s="15" t="n">
        <v>0.49</v>
      </c>
      <c r="D206" s="15" t="inlineStr">
        <is>
          <t>L</t>
        </is>
      </c>
      <c r="E206" s="15" t="inlineStr">
        <is>
          <t>OK item</t>
        </is>
      </c>
      <c r="F206" s="5" t="inlineStr">
        <is>
          <t>LEGUMES</t>
        </is>
      </c>
      <c r="G206" s="16" t="n">
        <v>0.52</v>
      </c>
      <c r="H206" s="17" t="inlineStr">
        <is>
          <t>-</t>
        </is>
      </c>
      <c r="I206" s="18" t="inlineStr">
        <is>
          <t>-</t>
        </is>
      </c>
    </row>
    <row r="207" ht="15.75" customHeight="1" s="201">
      <c r="A207" s="14" t="inlineStr">
        <is>
          <t>CROPS</t>
        </is>
      </c>
      <c r="B207" s="4" t="inlineStr">
        <is>
          <t>GREEN BEAN (fresh)</t>
        </is>
      </c>
      <c r="C207" s="15" t="n">
        <v>0.52</v>
      </c>
      <c r="D207" s="15" t="inlineStr">
        <is>
          <t>L</t>
        </is>
      </c>
      <c r="E207" s="15" t="inlineStr">
        <is>
          <t>OK item</t>
        </is>
      </c>
      <c r="F207" s="5" t="inlineStr">
        <is>
          <t>LEGUMES</t>
        </is>
      </c>
      <c r="G207" s="16" t="n">
        <v>0.52</v>
      </c>
      <c r="H207" s="17" t="inlineStr">
        <is>
          <t>-</t>
        </is>
      </c>
      <c r="I207" s="18" t="inlineStr">
        <is>
          <t>-</t>
        </is>
      </c>
      <c r="J207" t="n">
        <v>75302080</v>
      </c>
    </row>
    <row r="208" ht="15.75" customHeight="1" s="201">
      <c r="A208" s="14" t="inlineStr">
        <is>
          <t>CROPS</t>
        </is>
      </c>
      <c r="B208" s="4" t="inlineStr">
        <is>
          <t>LENTIL</t>
        </is>
      </c>
      <c r="C208" s="15" t="n">
        <v>1.03</v>
      </c>
      <c r="D208" s="15" t="inlineStr">
        <is>
          <t>H</t>
        </is>
      </c>
      <c r="E208" s="15" t="inlineStr">
        <is>
          <t>better typology</t>
        </is>
      </c>
      <c r="F208" s="5" t="inlineStr">
        <is>
          <t>LEGUMES</t>
        </is>
      </c>
      <c r="G208" s="16" t="n">
        <v>0.52</v>
      </c>
      <c r="H208" s="17" t="inlineStr">
        <is>
          <t>-</t>
        </is>
      </c>
      <c r="I208" s="18" t="inlineStr">
        <is>
          <t>-</t>
        </is>
      </c>
      <c r="J208" t="n">
        <v>41311030</v>
      </c>
    </row>
    <row r="209" ht="15.75" customHeight="1" s="201">
      <c r="A209" s="14" t="inlineStr">
        <is>
          <t>CROPS</t>
        </is>
      </c>
      <c r="B209" s="4" t="inlineStr">
        <is>
          <t>PEA</t>
        </is>
      </c>
      <c r="C209" s="15" t="n">
        <v>0.45</v>
      </c>
      <c r="D209" s="15" t="inlineStr">
        <is>
          <t>L</t>
        </is>
      </c>
      <c r="E209" s="15" t="inlineStr">
        <is>
          <t>OK item</t>
        </is>
      </c>
      <c r="F209" s="5" t="inlineStr">
        <is>
          <t>LEGUMES</t>
        </is>
      </c>
      <c r="G209" s="16" t="n">
        <v>0.52</v>
      </c>
      <c r="H209" s="17" t="inlineStr">
        <is>
          <t>-</t>
        </is>
      </c>
      <c r="I209" s="18" t="inlineStr">
        <is>
          <t>-</t>
        </is>
      </c>
    </row>
    <row r="210" ht="15.75" customHeight="1" s="201">
      <c r="A210" s="14" t="inlineStr">
        <is>
          <t>CROPS</t>
        </is>
      </c>
      <c r="B210" s="4" t="inlineStr">
        <is>
          <t>SOYBEAN</t>
        </is>
      </c>
      <c r="C210" s="15" t="n">
        <v>0.5600000000000001</v>
      </c>
      <c r="D210" s="15" t="inlineStr">
        <is>
          <t>L</t>
        </is>
      </c>
      <c r="E210" s="15" t="inlineStr">
        <is>
          <t>OK item</t>
        </is>
      </c>
      <c r="F210" s="5" t="inlineStr">
        <is>
          <t>LEGUMES</t>
        </is>
      </c>
      <c r="G210" s="16" t="n">
        <v>0.52</v>
      </c>
      <c r="H210" s="17" t="inlineStr">
        <is>
          <t>-</t>
        </is>
      </c>
      <c r="I210" s="18" t="inlineStr">
        <is>
          <t>-</t>
        </is>
      </c>
      <c r="J210" t="n">
        <v>41420010</v>
      </c>
    </row>
    <row r="211" ht="15.75" customHeight="1" s="201">
      <c r="A211" s="14" t="inlineStr">
        <is>
          <t>CROPS</t>
        </is>
      </c>
      <c r="B211" s="4" t="inlineStr">
        <is>
          <t>GREEN BEAN (fresh) (g)*</t>
        </is>
      </c>
      <c r="C211" s="15" t="n">
        <v>0.28</v>
      </c>
      <c r="D211" s="15" t="inlineStr">
        <is>
          <t>L</t>
        </is>
      </c>
      <c r="E211" s="15" t="inlineStr">
        <is>
          <t>OK item</t>
        </is>
      </c>
      <c r="F211" s="5" t="inlineStr">
        <is>
          <t>LEGUMES NOT HEATED GREENHOUSE (green bean)</t>
        </is>
      </c>
      <c r="G211" s="16" t="n">
        <v>0.28</v>
      </c>
      <c r="H211" s="17" t="inlineStr">
        <is>
          <t>-</t>
        </is>
      </c>
      <c r="I211" s="18" t="inlineStr">
        <is>
          <t>-</t>
        </is>
      </c>
      <c r="J211" t="n">
        <v>75302080</v>
      </c>
    </row>
    <row r="212" ht="15.75" customHeight="1" s="201">
      <c r="A212" s="14" t="inlineStr">
        <is>
          <t>CROPS</t>
        </is>
      </c>
      <c r="B212" s="4" t="inlineStr">
        <is>
          <t>MUSHROOM*</t>
        </is>
      </c>
      <c r="C212" s="15" t="n">
        <v>2.06</v>
      </c>
      <c r="D212" s="15" t="inlineStr">
        <is>
          <t>L</t>
        </is>
      </c>
      <c r="E212" s="15" t="inlineStr">
        <is>
          <t>OK item</t>
        </is>
      </c>
      <c r="F212" s="5" t="inlineStr">
        <is>
          <t>MUSHROOM*</t>
        </is>
      </c>
      <c r="G212" s="16" t="n">
        <v>2.06</v>
      </c>
      <c r="H212" s="17" t="inlineStr">
        <is>
          <t>-</t>
        </is>
      </c>
      <c r="I212" s="18" t="inlineStr">
        <is>
          <t>-</t>
        </is>
      </c>
      <c r="J212" t="n">
        <v>75607040</v>
      </c>
    </row>
    <row r="213" ht="15.75" customHeight="1" s="201">
      <c r="A213" s="14" t="inlineStr">
        <is>
          <t>CROPS</t>
        </is>
      </c>
      <c r="B213" s="4" t="inlineStr">
        <is>
          <t>ALMOND</t>
        </is>
      </c>
      <c r="C213" s="15" t="n">
        <v>1.88</v>
      </c>
      <c r="D213" s="15" t="inlineStr">
        <is>
          <t>L</t>
        </is>
      </c>
      <c r="E213" s="15" t="inlineStr">
        <is>
          <t>OK item</t>
        </is>
      </c>
      <c r="F213" s="5" t="inlineStr">
        <is>
          <t>NUTS</t>
        </is>
      </c>
      <c r="G213" s="16" t="n">
        <v>1.11</v>
      </c>
      <c r="H213" s="17" t="inlineStr">
        <is>
          <t>-</t>
        </is>
      </c>
      <c r="I213" s="18" t="inlineStr">
        <is>
          <t>-</t>
        </is>
      </c>
      <c r="J213" t="n">
        <v>11350030</v>
      </c>
    </row>
    <row r="214" ht="15.75" customHeight="1" s="201">
      <c r="A214" s="14" t="inlineStr">
        <is>
          <t>CROPS</t>
        </is>
      </c>
      <c r="B214" s="4" t="inlineStr">
        <is>
          <t>CASHEW NUT</t>
        </is>
      </c>
      <c r="C214" s="15" t="n">
        <v>1.38</v>
      </c>
      <c r="D214" s="15" t="inlineStr">
        <is>
          <t>L</t>
        </is>
      </c>
      <c r="E214" s="15" t="inlineStr">
        <is>
          <t>OK item</t>
        </is>
      </c>
      <c r="F214" s="5" t="inlineStr">
        <is>
          <t>NUTS</t>
        </is>
      </c>
      <c r="G214" s="16" t="n">
        <v>1.11</v>
      </c>
      <c r="H214" s="17" t="inlineStr">
        <is>
          <t>-</t>
        </is>
      </c>
      <c r="I214" s="18" t="inlineStr">
        <is>
          <t>-</t>
        </is>
      </c>
      <c r="J214" t="n">
        <v>11350000</v>
      </c>
    </row>
    <row r="215" ht="15.75" customHeight="1" s="201">
      <c r="A215" s="14" t="inlineStr">
        <is>
          <t>CROPS</t>
        </is>
      </c>
      <c r="B215" s="4" t="inlineStr">
        <is>
          <t>CHESTNUT</t>
        </is>
      </c>
      <c r="C215" s="15" t="n">
        <v>0.44</v>
      </c>
      <c r="D215" s="15" t="inlineStr">
        <is>
          <t>H</t>
        </is>
      </c>
      <c r="E215" s="15" t="inlineStr">
        <is>
          <t>better typology</t>
        </is>
      </c>
      <c r="F215" s="5" t="inlineStr">
        <is>
          <t>NUTS</t>
        </is>
      </c>
      <c r="G215" s="16" t="n">
        <v>1.11</v>
      </c>
      <c r="H215" s="17" t="inlineStr">
        <is>
          <t>-</t>
        </is>
      </c>
      <c r="I215" s="18" t="inlineStr">
        <is>
          <t>-</t>
        </is>
      </c>
    </row>
    <row r="216" ht="15.75" customHeight="1" s="201">
      <c r="A216" s="14" t="inlineStr">
        <is>
          <t>CROPS</t>
        </is>
      </c>
      <c r="B216" s="4" t="inlineStr">
        <is>
          <t>HAZELNUT</t>
        </is>
      </c>
      <c r="C216" s="15" t="n">
        <v>1.11</v>
      </c>
      <c r="D216" s="15" t="inlineStr">
        <is>
          <t>L</t>
        </is>
      </c>
      <c r="E216" s="15" t="inlineStr">
        <is>
          <t>OK item</t>
        </is>
      </c>
      <c r="F216" s="5" t="inlineStr">
        <is>
          <t>NUTS</t>
        </is>
      </c>
      <c r="G216" s="16" t="n">
        <v>1.11</v>
      </c>
      <c r="H216" s="17" t="inlineStr">
        <is>
          <t>-</t>
        </is>
      </c>
      <c r="I216" s="18" t="inlineStr">
        <is>
          <t>-</t>
        </is>
      </c>
      <c r="J216" t="n">
        <v>91705040</v>
      </c>
    </row>
    <row r="217" ht="15.75" customHeight="1" s="201">
      <c r="A217" s="14" t="inlineStr">
        <is>
          <t>CROPS</t>
        </is>
      </c>
      <c r="B217" s="4" t="inlineStr">
        <is>
          <t>MIXED NUTS</t>
        </is>
      </c>
      <c r="C217" s="15" t="n">
        <v>0.47</v>
      </c>
      <c r="D217" s="15" t="inlineStr">
        <is>
          <t>H</t>
        </is>
      </c>
      <c r="E217" s="15" t="inlineStr">
        <is>
          <t>better typology</t>
        </is>
      </c>
      <c r="F217" s="5" t="inlineStr">
        <is>
          <t>NUTS</t>
        </is>
      </c>
      <c r="G217" s="16" t="n">
        <v>1.11</v>
      </c>
      <c r="H217" s="17" t="inlineStr">
        <is>
          <t>-</t>
        </is>
      </c>
      <c r="I217" s="18" t="inlineStr">
        <is>
          <t>-</t>
        </is>
      </c>
      <c r="J217" t="n">
        <v>76407010</v>
      </c>
    </row>
    <row r="218" ht="15.75" customHeight="1" s="201">
      <c r="A218" s="14" t="inlineStr">
        <is>
          <t>CROPS</t>
        </is>
      </c>
      <c r="B218" s="4" t="inlineStr">
        <is>
          <t>PALM NUT</t>
        </is>
      </c>
      <c r="C218" s="15" t="n">
        <v>0.8</v>
      </c>
      <c r="D218" s="15" t="inlineStr">
        <is>
          <t>H</t>
        </is>
      </c>
      <c r="E218" s="15" t="inlineStr">
        <is>
          <t>better typology</t>
        </is>
      </c>
      <c r="F218" s="5" t="inlineStr">
        <is>
          <t>NUTS</t>
        </is>
      </c>
      <c r="G218" s="16" t="n">
        <v>1.11</v>
      </c>
      <c r="H218" s="17" t="inlineStr">
        <is>
          <t>-</t>
        </is>
      </c>
      <c r="I218" s="18" t="inlineStr">
        <is>
          <t>-</t>
        </is>
      </c>
      <c r="J218" t="n">
        <v>75221160</v>
      </c>
    </row>
    <row r="219" ht="15.75" customHeight="1" s="201">
      <c r="A219" s="14" t="inlineStr">
        <is>
          <t>CROPS</t>
        </is>
      </c>
      <c r="B219" s="4" t="inlineStr">
        <is>
          <t>PEANUT</t>
        </is>
      </c>
      <c r="C219" s="15" t="n">
        <v>0.83</v>
      </c>
      <c r="D219" s="15" t="inlineStr">
        <is>
          <t>L</t>
        </is>
      </c>
      <c r="E219" s="15" t="inlineStr">
        <is>
          <t>OK item</t>
        </is>
      </c>
      <c r="F219" s="5" t="inlineStr">
        <is>
          <t>NUTS</t>
        </is>
      </c>
      <c r="G219" s="16" t="n">
        <v>1.11</v>
      </c>
      <c r="H219" s="17" t="inlineStr">
        <is>
          <t>-</t>
        </is>
      </c>
      <c r="I219" s="18" t="inlineStr">
        <is>
          <t>-</t>
        </is>
      </c>
      <c r="J219" t="n">
        <v>91734000</v>
      </c>
    </row>
    <row r="220" ht="15.75" customHeight="1" s="201">
      <c r="A220" s="14" t="inlineStr">
        <is>
          <t>CROPS</t>
        </is>
      </c>
      <c r="B220" s="4" t="inlineStr">
        <is>
          <t>PISTACHIO</t>
        </is>
      </c>
      <c r="C220" s="15" t="n">
        <v>1.6</v>
      </c>
      <c r="D220" s="15" t="inlineStr">
        <is>
          <t>L</t>
        </is>
      </c>
      <c r="E220" s="15" t="inlineStr">
        <is>
          <t>OK item</t>
        </is>
      </c>
      <c r="F220" s="5" t="inlineStr">
        <is>
          <t>NUTS</t>
        </is>
      </c>
      <c r="G220" s="16" t="n">
        <v>1.11</v>
      </c>
      <c r="H220" s="17" t="inlineStr">
        <is>
          <t>-</t>
        </is>
      </c>
      <c r="I220" s="18" t="inlineStr">
        <is>
          <t>-</t>
        </is>
      </c>
      <c r="J220" t="n">
        <v>42114130</v>
      </c>
    </row>
    <row r="221" ht="15.75" customHeight="1" s="201">
      <c r="A221" s="14" t="inlineStr">
        <is>
          <t>CROPS</t>
        </is>
      </c>
      <c r="B221" s="4" t="inlineStr">
        <is>
          <t>WALNUT</t>
        </is>
      </c>
      <c r="C221" s="15" t="n">
        <v>2.06</v>
      </c>
      <c r="D221" s="15" t="inlineStr">
        <is>
          <t>L</t>
        </is>
      </c>
      <c r="E221" s="15" t="inlineStr">
        <is>
          <t>OK item</t>
        </is>
      </c>
      <c r="F221" s="5" t="inlineStr">
        <is>
          <t>NUTS</t>
        </is>
      </c>
      <c r="G221" s="16" t="n">
        <v>1.11</v>
      </c>
      <c r="H221" s="17" t="inlineStr">
        <is>
          <t>-</t>
        </is>
      </c>
      <c r="I221" s="18" t="inlineStr">
        <is>
          <t>-</t>
        </is>
      </c>
      <c r="J221" t="n">
        <v>52302010</v>
      </c>
    </row>
    <row r="222" ht="15.75" customHeight="1" s="201">
      <c r="A222" s="14" t="inlineStr">
        <is>
          <t>CROPS</t>
        </is>
      </c>
      <c r="B222" s="4" t="inlineStr">
        <is>
          <t>RICE*</t>
        </is>
      </c>
      <c r="C222" s="15" t="n">
        <v>2.19</v>
      </c>
      <c r="D222" s="15" t="inlineStr">
        <is>
          <t>L</t>
        </is>
      </c>
      <c r="E222" s="15" t="inlineStr">
        <is>
          <t>OK item</t>
        </is>
      </c>
      <c r="F222" s="5" t="inlineStr">
        <is>
          <t>RICE*</t>
        </is>
      </c>
      <c r="G222" s="16" t="n">
        <v>2.19</v>
      </c>
      <c r="H222" s="17" t="inlineStr">
        <is>
          <t>-</t>
        </is>
      </c>
      <c r="I222" s="18" t="inlineStr">
        <is>
          <t>-</t>
        </is>
      </c>
      <c r="J222" t="n">
        <v>54319000</v>
      </c>
    </row>
    <row r="223" ht="15.75" customHeight="1" s="201">
      <c r="A223" s="14" t="inlineStr">
        <is>
          <t>CROPS</t>
        </is>
      </c>
      <c r="B223" s="4" t="inlineStr">
        <is>
          <t>RAPE SEED</t>
        </is>
      </c>
      <c r="C223" s="15" t="n">
        <v>0.78</v>
      </c>
      <c r="D223" s="15" t="inlineStr">
        <is>
          <t>H</t>
        </is>
      </c>
      <c r="E223" s="15" t="inlineStr">
        <is>
          <t>better typology</t>
        </is>
      </c>
      <c r="F223" s="5" t="inlineStr">
        <is>
          <t>SEEDS</t>
        </is>
      </c>
      <c r="G223" s="16" t="n">
        <v>0.88</v>
      </c>
      <c r="H223" s="17" t="inlineStr">
        <is>
          <t>-</t>
        </is>
      </c>
      <c r="I223" s="18" t="inlineStr">
        <is>
          <t>-</t>
        </is>
      </c>
      <c r="J223" t="n">
        <v>43103300</v>
      </c>
    </row>
    <row r="224" ht="15.75" customHeight="1" s="201">
      <c r="A224" s="14" t="inlineStr">
        <is>
          <t>CROPS</t>
        </is>
      </c>
      <c r="B224" s="4" t="inlineStr">
        <is>
          <t>SESAM SEED</t>
        </is>
      </c>
      <c r="C224" s="15" t="n">
        <v>0.88</v>
      </c>
      <c r="D224" s="15" t="inlineStr">
        <is>
          <t>H</t>
        </is>
      </c>
      <c r="E224" s="15" t="inlineStr">
        <is>
          <t>better typology</t>
        </is>
      </c>
      <c r="F224" s="5" t="inlineStr">
        <is>
          <t>SEEDS</t>
        </is>
      </c>
      <c r="G224" s="16" t="n">
        <v>0.88</v>
      </c>
      <c r="H224" s="17" t="inlineStr">
        <is>
          <t>-</t>
        </is>
      </c>
      <c r="I224" s="18" t="inlineStr">
        <is>
          <t>-</t>
        </is>
      </c>
      <c r="J224" t="n">
        <v>43103300</v>
      </c>
    </row>
    <row r="225" ht="15.75" customHeight="1" s="201">
      <c r="A225" s="14" t="inlineStr">
        <is>
          <t>CROPS</t>
        </is>
      </c>
      <c r="B225" s="4" t="inlineStr">
        <is>
          <t>SUNFLOWER SEED</t>
        </is>
      </c>
      <c r="C225" s="15" t="n">
        <v>1.16</v>
      </c>
      <c r="D225" s="15" t="inlineStr">
        <is>
          <t>H</t>
        </is>
      </c>
      <c r="E225" s="15" t="inlineStr">
        <is>
          <t>better typology</t>
        </is>
      </c>
      <c r="F225" s="5" t="inlineStr">
        <is>
          <t>SEEDS</t>
        </is>
      </c>
      <c r="G225" s="16" t="n">
        <v>0.88</v>
      </c>
      <c r="H225" s="17" t="inlineStr">
        <is>
          <t>-</t>
        </is>
      </c>
      <c r="I225" s="18" t="inlineStr">
        <is>
          <t>-</t>
        </is>
      </c>
      <c r="J225" t="n">
        <v>43103300</v>
      </c>
    </row>
    <row r="226" ht="15.75" customHeight="1" s="201">
      <c r="A226" s="14" t="inlineStr">
        <is>
          <t>CROPS</t>
        </is>
      </c>
      <c r="B226" s="4" t="inlineStr">
        <is>
          <t>CHILLY</t>
        </is>
      </c>
      <c r="C226" s="15" t="n">
        <v>0.8</v>
      </c>
      <c r="D226" s="15" t="inlineStr">
        <is>
          <t>H</t>
        </is>
      </c>
      <c r="E226" s="15" t="inlineStr">
        <is>
          <t>better typology</t>
        </is>
      </c>
      <c r="F226" s="5" t="inlineStr">
        <is>
          <t>SPICIES</t>
        </is>
      </c>
      <c r="G226" s="16" t="n">
        <v>0.84</v>
      </c>
      <c r="H226" s="17" t="inlineStr">
        <is>
          <t>-</t>
        </is>
      </c>
      <c r="I226" s="18" t="inlineStr">
        <is>
          <t>-</t>
        </is>
      </c>
    </row>
    <row r="227" ht="15.75" customHeight="1" s="201">
      <c r="A227" s="14" t="inlineStr">
        <is>
          <t>CROPS</t>
        </is>
      </c>
      <c r="B227" s="4" t="inlineStr">
        <is>
          <t>GINGER</t>
        </is>
      </c>
      <c r="C227" s="15" t="n">
        <v>0.88</v>
      </c>
      <c r="D227" s="15" t="inlineStr">
        <is>
          <t>H</t>
        </is>
      </c>
      <c r="E227" s="15" t="inlineStr">
        <is>
          <t>better typology</t>
        </is>
      </c>
      <c r="F227" s="5" t="inlineStr">
        <is>
          <t>SPICIES</t>
        </is>
      </c>
      <c r="G227" s="16" t="n">
        <v>0.84</v>
      </c>
      <c r="H227" s="17" t="inlineStr">
        <is>
          <t>-</t>
        </is>
      </c>
      <c r="I227" s="18" t="inlineStr">
        <is>
          <t>-</t>
        </is>
      </c>
      <c r="J227" t="n">
        <v>75503085</v>
      </c>
    </row>
    <row r="228" ht="15.75" customHeight="1" s="201">
      <c r="A228" s="14" t="inlineStr">
        <is>
          <t>CROPS</t>
        </is>
      </c>
      <c r="B228" s="4" t="inlineStr">
        <is>
          <t>POTATO</t>
        </is>
      </c>
      <c r="C228" s="15" t="n">
        <v>0.24</v>
      </c>
      <c r="D228" s="15" t="inlineStr">
        <is>
          <t>L</t>
        </is>
      </c>
      <c r="E228" s="15" t="inlineStr">
        <is>
          <t>OK item</t>
        </is>
      </c>
      <c r="F228" s="5" t="inlineStr">
        <is>
          <t>STARCHY TUBERS</t>
        </is>
      </c>
      <c r="G228" s="16" t="n">
        <v>0.27</v>
      </c>
      <c r="H228" s="17" t="inlineStr">
        <is>
          <t>-</t>
        </is>
      </c>
      <c r="I228" s="18" t="inlineStr">
        <is>
          <t>-</t>
        </is>
      </c>
      <c r="J228" t="n">
        <v>71200300</v>
      </c>
    </row>
    <row r="229" ht="15.75" customHeight="1" s="201">
      <c r="A229" s="14" t="inlineStr">
        <is>
          <t>CROPS</t>
        </is>
      </c>
      <c r="B229" s="4" t="inlineStr">
        <is>
          <t>STARCHY ROOTS</t>
        </is>
      </c>
      <c r="C229" s="15" t="n">
        <v>0.29</v>
      </c>
      <c r="D229" s="15" t="inlineStr">
        <is>
          <t>H</t>
        </is>
      </c>
      <c r="E229" s="15" t="inlineStr">
        <is>
          <t>better typology</t>
        </is>
      </c>
      <c r="F229" s="5" t="inlineStr">
        <is>
          <t>STARCHY TUBERS</t>
        </is>
      </c>
      <c r="G229" s="16" t="n">
        <v>0.27</v>
      </c>
      <c r="H229" s="17" t="inlineStr">
        <is>
          <t>-</t>
        </is>
      </c>
      <c r="I229" s="18" t="inlineStr">
        <is>
          <t>-</t>
        </is>
      </c>
      <c r="J229" t="n">
        <v>27351010</v>
      </c>
    </row>
    <row r="230" ht="15.75" customHeight="1" s="201">
      <c r="A230" s="14" t="inlineStr">
        <is>
          <t>CROPS</t>
        </is>
      </c>
      <c r="B230" s="4" t="inlineStr">
        <is>
          <t>SWEET POTATO</t>
        </is>
      </c>
      <c r="C230" s="15" t="n">
        <v>0.27</v>
      </c>
      <c r="D230" s="15" t="inlineStr">
        <is>
          <t>H</t>
        </is>
      </c>
      <c r="E230" s="15" t="inlineStr">
        <is>
          <t>better typology</t>
        </is>
      </c>
      <c r="F230" s="5" t="inlineStr">
        <is>
          <t>STARCHY TUBERS</t>
        </is>
      </c>
      <c r="G230" s="16" t="n">
        <v>0.27</v>
      </c>
      <c r="H230" s="17" t="inlineStr">
        <is>
          <t>-</t>
        </is>
      </c>
      <c r="I230" s="18" t="inlineStr">
        <is>
          <t>-</t>
        </is>
      </c>
      <c r="J230" t="n">
        <v>73409000</v>
      </c>
    </row>
    <row r="231" ht="15.75" customHeight="1" s="201">
      <c r="A231" s="14" t="inlineStr">
        <is>
          <t>CROPS</t>
        </is>
      </c>
      <c r="B231" s="4" t="inlineStr">
        <is>
          <t>CUCUMBER (G)</t>
        </is>
      </c>
      <c r="C231" s="15" t="n">
        <v>2.55</v>
      </c>
      <c r="D231" s="15" t="inlineStr">
        <is>
          <t>L</t>
        </is>
      </c>
      <c r="E231" s="15" t="inlineStr">
        <is>
          <t>OK item</t>
        </is>
      </c>
      <c r="F231" s="5" t="inlineStr">
        <is>
          <t>VEGETABLES HEATED GREENHOUSE</t>
        </is>
      </c>
      <c r="G231" s="16" t="n">
        <v>2.55</v>
      </c>
      <c r="H231" s="17" t="inlineStr">
        <is>
          <t>-</t>
        </is>
      </c>
      <c r="I231" s="18" t="inlineStr">
        <is>
          <t>-</t>
        </is>
      </c>
      <c r="J231" t="n">
        <v>74506000</v>
      </c>
    </row>
    <row r="232" ht="15.75" customHeight="1" s="201">
      <c r="A232" s="14" t="inlineStr">
        <is>
          <t>CROPS</t>
        </is>
      </c>
      <c r="B232" s="4" t="inlineStr">
        <is>
          <t>GERKIN (G)</t>
        </is>
      </c>
      <c r="C232" s="15" t="n">
        <v>2.12</v>
      </c>
      <c r="D232" s="15" t="inlineStr">
        <is>
          <t>L</t>
        </is>
      </c>
      <c r="E232" s="15" t="inlineStr">
        <is>
          <t>item or typology</t>
        </is>
      </c>
      <c r="F232" s="5" t="inlineStr">
        <is>
          <t>VEGETABLES HEATED GREENHOUSE</t>
        </is>
      </c>
      <c r="G232" s="16" t="n">
        <v>2.55</v>
      </c>
      <c r="H232" s="17" t="inlineStr">
        <is>
          <t>-</t>
        </is>
      </c>
      <c r="I232" s="18" t="inlineStr">
        <is>
          <t>-</t>
        </is>
      </c>
    </row>
    <row r="233" ht="15.75" customHeight="1" s="201">
      <c r="A233" s="14" t="inlineStr">
        <is>
          <t>CROPS</t>
        </is>
      </c>
      <c r="B233" s="4" t="inlineStr">
        <is>
          <t>LETTUCE (G)</t>
        </is>
      </c>
      <c r="C233" s="15" t="n">
        <v>2.67</v>
      </c>
      <c r="D233" s="15" t="inlineStr">
        <is>
          <t>L</t>
        </is>
      </c>
      <c r="E233" s="15" t="inlineStr">
        <is>
          <t>OK item</t>
        </is>
      </c>
      <c r="F233" s="5" t="inlineStr">
        <is>
          <t>VEGETABLES HEATED GREENHOUSE</t>
        </is>
      </c>
      <c r="G233" s="16" t="n">
        <v>2.55</v>
      </c>
      <c r="H233" s="17" t="inlineStr">
        <is>
          <t>-</t>
        </is>
      </c>
      <c r="I233" s="18" t="inlineStr">
        <is>
          <t>-</t>
        </is>
      </c>
      <c r="J233" t="n">
        <v>75113060</v>
      </c>
    </row>
    <row r="234" ht="15.75" customHeight="1" s="201">
      <c r="A234" s="14" t="inlineStr">
        <is>
          <t>CROPS</t>
        </is>
      </c>
      <c r="B234" s="4" t="inlineStr">
        <is>
          <t>PEPPER (G)</t>
        </is>
      </c>
      <c r="C234" s="15" t="n">
        <v>3.73</v>
      </c>
      <c r="D234" s="15" t="inlineStr">
        <is>
          <t>L</t>
        </is>
      </c>
      <c r="E234" s="15" t="inlineStr">
        <is>
          <t>OK item</t>
        </is>
      </c>
      <c r="F234" s="5" t="inlineStr">
        <is>
          <t>VEGETABLES HEATED GREENHOUSE</t>
        </is>
      </c>
      <c r="G234" s="16" t="n">
        <v>2.55</v>
      </c>
      <c r="H234" s="17" t="inlineStr">
        <is>
          <t>-</t>
        </is>
      </c>
      <c r="I234" s="18" t="inlineStr">
        <is>
          <t>-</t>
        </is>
      </c>
      <c r="J234" t="n">
        <v>75511040</v>
      </c>
    </row>
    <row r="235" ht="15.75" customHeight="1" s="201">
      <c r="A235" s="14" t="inlineStr">
        <is>
          <t>CROPS</t>
        </is>
      </c>
      <c r="B235" s="4" t="inlineStr">
        <is>
          <t>TOMATO (G)</t>
        </is>
      </c>
      <c r="C235" s="15" t="n">
        <v>2.43</v>
      </c>
      <c r="D235" s="15" t="inlineStr">
        <is>
          <t>L</t>
        </is>
      </c>
      <c r="E235" s="15" t="inlineStr">
        <is>
          <t>OK item</t>
        </is>
      </c>
      <c r="F235" s="5" t="inlineStr">
        <is>
          <t>VEGETABLES HEATED GREENHOUSE</t>
        </is>
      </c>
      <c r="G235" s="16" t="n">
        <v>2.55</v>
      </c>
      <c r="H235" s="17" t="inlineStr">
        <is>
          <t>-</t>
        </is>
      </c>
      <c r="I235" s="18" t="inlineStr">
        <is>
          <t>-</t>
        </is>
      </c>
      <c r="J235" t="n">
        <v>74601010</v>
      </c>
    </row>
    <row r="236" ht="15.75" customHeight="1" s="201">
      <c r="A236" s="14" t="inlineStr">
        <is>
          <t>CROPS</t>
        </is>
      </c>
      <c r="B236" s="4" t="inlineStr">
        <is>
          <t>CUCUMBER (g)</t>
        </is>
      </c>
      <c r="C236" s="15" t="n">
        <v>0.32</v>
      </c>
      <c r="D236" s="15" t="inlineStr">
        <is>
          <t>H</t>
        </is>
      </c>
      <c r="E236" s="15" t="inlineStr">
        <is>
          <t>better typology</t>
        </is>
      </c>
      <c r="F236" s="5" t="inlineStr">
        <is>
          <t>VEGETABLES NOT HEATED GREENHOUSE</t>
        </is>
      </c>
      <c r="G236" s="16" t="n">
        <v>1.18</v>
      </c>
      <c r="H236" s="17" t="inlineStr">
        <is>
          <t>-</t>
        </is>
      </c>
      <c r="I236" s="18" t="inlineStr">
        <is>
          <t>-</t>
        </is>
      </c>
      <c r="J236" t="n">
        <v>74506000</v>
      </c>
    </row>
    <row r="237" ht="15.75" customHeight="1" s="201">
      <c r="A237" s="14" t="inlineStr">
        <is>
          <t>CROPS</t>
        </is>
      </c>
      <c r="B237" s="4" t="inlineStr">
        <is>
          <t>EGGPLANT (g)</t>
        </is>
      </c>
      <c r="C237" s="15" t="n">
        <v>2.9</v>
      </c>
      <c r="D237" s="15" t="inlineStr">
        <is>
          <t>H</t>
        </is>
      </c>
      <c r="E237" s="15" t="inlineStr">
        <is>
          <t>better typology</t>
        </is>
      </c>
      <c r="F237" s="5" t="inlineStr">
        <is>
          <t>VEGETABLES NOT HEATED GREENHOUSE</t>
        </is>
      </c>
      <c r="G237" s="16" t="n">
        <v>1.18</v>
      </c>
      <c r="H237" s="17" t="inlineStr">
        <is>
          <t>-</t>
        </is>
      </c>
      <c r="I237" s="18" t="inlineStr">
        <is>
          <t>-</t>
        </is>
      </c>
      <c r="J237" t="n">
        <v>75412070</v>
      </c>
    </row>
    <row r="238" ht="15.75" customHeight="1" s="201">
      <c r="A238" s="14" t="inlineStr">
        <is>
          <t>CROPS</t>
        </is>
      </c>
      <c r="B238" s="4" t="inlineStr">
        <is>
          <t>PEPPER (g)</t>
        </is>
      </c>
      <c r="C238" s="15" t="n">
        <v>1.18</v>
      </c>
      <c r="D238" s="15" t="inlineStr">
        <is>
          <t>H</t>
        </is>
      </c>
      <c r="E238" s="15" t="inlineStr">
        <is>
          <t>better typology</t>
        </is>
      </c>
      <c r="F238" s="5" t="inlineStr">
        <is>
          <t>VEGETABLES NOT HEATED GREENHOUSE</t>
        </is>
      </c>
      <c r="G238" s="16" t="n">
        <v>1.18</v>
      </c>
      <c r="H238" s="17" t="inlineStr">
        <is>
          <t>-</t>
        </is>
      </c>
      <c r="I238" s="18" t="inlineStr">
        <is>
          <t>-</t>
        </is>
      </c>
      <c r="J238" t="n">
        <v>75511040</v>
      </c>
    </row>
    <row r="239" ht="15.75" customHeight="1" s="201">
      <c r="A239" s="14" t="inlineStr">
        <is>
          <t>CROPS</t>
        </is>
      </c>
      <c r="B239" s="4" t="inlineStr">
        <is>
          <t>TOMATO (g)</t>
        </is>
      </c>
      <c r="C239" s="15" t="n">
        <v>0.91</v>
      </c>
      <c r="D239" s="15" t="inlineStr">
        <is>
          <t>L</t>
        </is>
      </c>
      <c r="E239" s="15" t="inlineStr">
        <is>
          <t>OK item</t>
        </is>
      </c>
      <c r="F239" s="5" t="inlineStr">
        <is>
          <t>VEGETABLES NOT HEATED GREENHOUSE</t>
        </is>
      </c>
      <c r="G239" s="16" t="n">
        <v>1.18</v>
      </c>
      <c r="H239" s="17" t="inlineStr">
        <is>
          <t>-</t>
        </is>
      </c>
      <c r="I239" s="18" t="inlineStr">
        <is>
          <t>-</t>
        </is>
      </c>
      <c r="J239" t="n">
        <v>74601010</v>
      </c>
    </row>
    <row r="240" ht="15.75" customHeight="1" s="201">
      <c r="A240" s="14" t="inlineStr">
        <is>
          <t>CROPS</t>
        </is>
      </c>
      <c r="B240" s="4" t="inlineStr">
        <is>
          <t>ZUCCHINI (g)</t>
        </is>
      </c>
      <c r="C240" s="15" t="n">
        <v>1.77</v>
      </c>
      <c r="D240" s="15" t="inlineStr">
        <is>
          <t>H</t>
        </is>
      </c>
      <c r="E240" s="15" t="inlineStr">
        <is>
          <t>better typology</t>
        </is>
      </c>
      <c r="F240" s="5" t="inlineStr">
        <is>
          <t>VEGETABLES NOT HEATED GREENHOUSE</t>
        </is>
      </c>
      <c r="G240" s="16" t="n">
        <v>1.18</v>
      </c>
      <c r="H240" s="17" t="inlineStr">
        <is>
          <t>-</t>
        </is>
      </c>
      <c r="I240" s="18" t="inlineStr">
        <is>
          <t>-</t>
        </is>
      </c>
      <c r="J240" t="n">
        <v>52407000</v>
      </c>
    </row>
    <row r="241" ht="15.75" customHeight="1" s="201">
      <c r="A241" s="14" t="inlineStr">
        <is>
          <t>CROPS</t>
        </is>
      </c>
      <c r="B241" s="4" t="inlineStr">
        <is>
          <t>ASPARAGUS</t>
        </is>
      </c>
      <c r="C241" s="15" t="n">
        <v>0.83</v>
      </c>
      <c r="D241" s="15" t="inlineStr">
        <is>
          <t>L</t>
        </is>
      </c>
      <c r="E241" s="15" t="inlineStr">
        <is>
          <t>OK item</t>
        </is>
      </c>
      <c r="F241" s="5" t="inlineStr">
        <is>
          <t>VEGETABLES OPENFIELD</t>
        </is>
      </c>
      <c r="G241" s="16" t="n">
        <v>0.33</v>
      </c>
      <c r="H241" s="20" t="inlineStr">
        <is>
          <t>ASPARAGUS* (SUB-TYP)</t>
        </is>
      </c>
      <c r="I241" s="21" t="n">
        <v>0.83</v>
      </c>
      <c r="J241" t="n">
        <v>75100800</v>
      </c>
    </row>
    <row r="242" ht="15.75" customHeight="1" s="201">
      <c r="A242" s="14" t="inlineStr">
        <is>
          <t>CROPS</t>
        </is>
      </c>
      <c r="B242" s="4" t="inlineStr">
        <is>
          <t>CABAGGE</t>
        </is>
      </c>
      <c r="C242" s="15" t="n">
        <v>0.23</v>
      </c>
      <c r="D242" s="15" t="inlineStr">
        <is>
          <t>L</t>
        </is>
      </c>
      <c r="E242" s="15" t="inlineStr">
        <is>
          <t>OK item</t>
        </is>
      </c>
      <c r="F242" s="5" t="inlineStr">
        <is>
          <t>VEGETABLES OPENFIELD</t>
        </is>
      </c>
      <c r="G242" s="16" t="n">
        <v>0.33</v>
      </c>
      <c r="H242" s="20" t="inlineStr">
        <is>
          <t xml:space="preserve">GREEN LEAFY VEGETABLES </t>
        </is>
      </c>
      <c r="I242" s="22" t="n">
        <v>0.34</v>
      </c>
    </row>
    <row r="243" ht="15.75" customHeight="1" s="201">
      <c r="A243" s="14" t="inlineStr">
        <is>
          <t>CROPS</t>
        </is>
      </c>
      <c r="B243" s="4" t="inlineStr">
        <is>
          <t>LETTUCE</t>
        </is>
      </c>
      <c r="C243" s="15" t="n">
        <v>0.41</v>
      </c>
      <c r="D243" s="15" t="inlineStr">
        <is>
          <t>L</t>
        </is>
      </c>
      <c r="E243" s="15" t="inlineStr">
        <is>
          <t>OK item</t>
        </is>
      </c>
      <c r="F243" s="5" t="inlineStr">
        <is>
          <t>VEGETABLES OPENFIELD</t>
        </is>
      </c>
      <c r="G243" s="16" t="n">
        <v>0.33</v>
      </c>
      <c r="H243" s="20" t="inlineStr">
        <is>
          <t xml:space="preserve">GREEN LEAFY VEGETABLES </t>
        </is>
      </c>
      <c r="I243" s="22" t="n">
        <v>0.34</v>
      </c>
      <c r="J243" t="n">
        <v>75113060</v>
      </c>
    </row>
    <row r="244" ht="15.75" customHeight="1" s="201">
      <c r="A244" s="14" t="inlineStr">
        <is>
          <t>CROPS</t>
        </is>
      </c>
      <c r="B244" s="4" t="inlineStr">
        <is>
          <t>SPINACH</t>
        </is>
      </c>
      <c r="C244" s="15" t="n">
        <v>0.34</v>
      </c>
      <c r="D244" s="15" t="inlineStr">
        <is>
          <t>L</t>
        </is>
      </c>
      <c r="E244" s="15" t="inlineStr">
        <is>
          <t>OK item</t>
        </is>
      </c>
      <c r="F244" s="5" t="inlineStr">
        <is>
          <t>VEGETABLES OPENFIELD</t>
        </is>
      </c>
      <c r="G244" s="16" t="n">
        <v>0.33</v>
      </c>
      <c r="H244" s="20" t="inlineStr">
        <is>
          <t xml:space="preserve">GREEN LEAFY VEGETABLES </t>
        </is>
      </c>
      <c r="I244" s="22" t="n">
        <v>0.34</v>
      </c>
      <c r="J244" t="n">
        <v>72125260</v>
      </c>
    </row>
    <row r="245" ht="15.75" customHeight="1" s="201">
      <c r="A245" s="14" t="inlineStr">
        <is>
          <t>CROPS</t>
        </is>
      </c>
      <c r="B245" s="4" t="inlineStr">
        <is>
          <t>BEETROOT</t>
        </is>
      </c>
      <c r="C245" s="15" t="n">
        <v>0.25</v>
      </c>
      <c r="D245" s="15" t="inlineStr">
        <is>
          <t>H</t>
        </is>
      </c>
      <c r="E245" s="15" t="inlineStr">
        <is>
          <t>better subtypology</t>
        </is>
      </c>
      <c r="F245" s="5" t="inlineStr">
        <is>
          <t>VEGETABLES OPENFIELD</t>
        </is>
      </c>
      <c r="G245" s="16" t="n">
        <v>0.33</v>
      </c>
      <c r="H245" s="20" t="inlineStr">
        <is>
          <t xml:space="preserve">ROOTS &amp; BULBS </t>
        </is>
      </c>
      <c r="I245" s="22" t="n">
        <v>0.25</v>
      </c>
    </row>
    <row r="246" ht="15.75" customHeight="1" s="201">
      <c r="A246" s="14" t="inlineStr">
        <is>
          <t>CROPS</t>
        </is>
      </c>
      <c r="B246" s="4" t="inlineStr">
        <is>
          <t>CARROT</t>
        </is>
      </c>
      <c r="C246" s="15" t="n">
        <v>0.24</v>
      </c>
      <c r="D246" s="15" t="inlineStr">
        <is>
          <t>L</t>
        </is>
      </c>
      <c r="E246" s="15" t="inlineStr">
        <is>
          <t>OK item</t>
        </is>
      </c>
      <c r="F246" s="5" t="inlineStr">
        <is>
          <t>VEGETABLES OPENFIELD</t>
        </is>
      </c>
      <c r="G246" s="16" t="n">
        <v>0.33</v>
      </c>
      <c r="H246" s="20" t="inlineStr">
        <is>
          <t xml:space="preserve">ROOTS &amp; BULBS </t>
        </is>
      </c>
      <c r="I246" s="22" t="n">
        <v>0.25</v>
      </c>
      <c r="J246" t="n">
        <v>53109200</v>
      </c>
    </row>
    <row r="247" ht="15.75" customHeight="1" s="201">
      <c r="A247" s="14" t="inlineStr">
        <is>
          <t>CROPS</t>
        </is>
      </c>
      <c r="B247" s="4" t="inlineStr">
        <is>
          <t>GARLIC</t>
        </is>
      </c>
      <c r="C247" s="15" t="n">
        <v>0.71</v>
      </c>
      <c r="D247" s="15" t="inlineStr">
        <is>
          <t>H</t>
        </is>
      </c>
      <c r="E247" s="15" t="inlineStr">
        <is>
          <t>better subtypology</t>
        </is>
      </c>
      <c r="F247" s="5" t="inlineStr">
        <is>
          <t>VEGETABLES OPENFIELD</t>
        </is>
      </c>
      <c r="G247" s="16" t="n">
        <v>0.33</v>
      </c>
      <c r="H247" s="20" t="inlineStr">
        <is>
          <t xml:space="preserve">ROOTS &amp; BULBS </t>
        </is>
      </c>
      <c r="I247" s="22" t="n">
        <v>0.25</v>
      </c>
      <c r="J247" t="n">
        <v>51121025</v>
      </c>
    </row>
    <row r="248" ht="15.75" customHeight="1" s="201">
      <c r="A248" s="14" t="inlineStr">
        <is>
          <t>CROPS</t>
        </is>
      </c>
      <c r="B248" s="4" t="inlineStr">
        <is>
          <t>ONION</t>
        </is>
      </c>
      <c r="C248" s="15" t="n">
        <v>0.22</v>
      </c>
      <c r="D248" s="15" t="inlineStr">
        <is>
          <t>L</t>
        </is>
      </c>
      <c r="E248" s="15" t="inlineStr">
        <is>
          <t>OK item</t>
        </is>
      </c>
      <c r="F248" s="5" t="inlineStr">
        <is>
          <t>VEGETABLES OPENFIELD</t>
        </is>
      </c>
      <c r="G248" s="16" t="n">
        <v>0.33</v>
      </c>
      <c r="H248" s="20" t="inlineStr">
        <is>
          <t xml:space="preserve">ROOTS &amp; BULBS </t>
        </is>
      </c>
      <c r="I248" s="22" t="n">
        <v>0.25</v>
      </c>
      <c r="J248" t="n">
        <v>11440030</v>
      </c>
    </row>
    <row r="249" ht="15.75" customHeight="1" s="201">
      <c r="A249" s="14" t="inlineStr">
        <is>
          <t>CROPS</t>
        </is>
      </c>
      <c r="B249" s="4" t="inlineStr">
        <is>
          <t>RADISH</t>
        </is>
      </c>
      <c r="C249" s="15" t="n">
        <v>0.15</v>
      </c>
      <c r="D249" s="15" t="inlineStr">
        <is>
          <t>H</t>
        </is>
      </c>
      <c r="E249" s="15" t="inlineStr">
        <is>
          <t>better subtypology</t>
        </is>
      </c>
      <c r="F249" s="5" t="inlineStr">
        <is>
          <t>VEGETABLES OPENFIELD</t>
        </is>
      </c>
      <c r="G249" s="16" t="n">
        <v>0.33</v>
      </c>
      <c r="H249" s="20" t="inlineStr">
        <is>
          <t xml:space="preserve">ROOTS &amp; BULBS </t>
        </is>
      </c>
      <c r="I249" s="22" t="n">
        <v>0.25</v>
      </c>
      <c r="J249" t="n">
        <v>75125000</v>
      </c>
    </row>
    <row r="250" ht="15.75" customHeight="1" s="201">
      <c r="A250" s="14" t="inlineStr">
        <is>
          <t>CROPS</t>
        </is>
      </c>
      <c r="B250" s="4" t="inlineStr">
        <is>
          <t>SWEDE</t>
        </is>
      </c>
      <c r="C250" s="15" t="n">
        <v>0.29</v>
      </c>
      <c r="D250" s="15" t="inlineStr">
        <is>
          <t>H</t>
        </is>
      </c>
      <c r="E250" s="15" t="inlineStr">
        <is>
          <t>better subtypology</t>
        </is>
      </c>
      <c r="F250" s="5" t="inlineStr">
        <is>
          <t>VEGETABLES OPENFIELD</t>
        </is>
      </c>
      <c r="G250" s="16" t="n">
        <v>0.33</v>
      </c>
      <c r="H250" s="20" t="inlineStr">
        <is>
          <t xml:space="preserve">ROOTS &amp; BULBS </t>
        </is>
      </c>
      <c r="I250" s="22" t="n">
        <v>0.25</v>
      </c>
    </row>
    <row r="251" ht="15.75" customHeight="1" s="201">
      <c r="A251" s="14" t="inlineStr">
        <is>
          <t>CROPS</t>
        </is>
      </c>
      <c r="B251" s="4" t="inlineStr">
        <is>
          <t>TURNIP</t>
        </is>
      </c>
      <c r="C251" s="15" t="n">
        <v>0.35</v>
      </c>
      <c r="D251" s="15" t="inlineStr">
        <is>
          <t>H</t>
        </is>
      </c>
      <c r="E251" s="15" t="inlineStr">
        <is>
          <t>better subtypology</t>
        </is>
      </c>
      <c r="F251" s="5" t="inlineStr">
        <is>
          <t>VEGETABLES OPENFIELD</t>
        </is>
      </c>
      <c r="G251" s="16" t="n">
        <v>0.33</v>
      </c>
      <c r="H251" s="20" t="inlineStr">
        <is>
          <t xml:space="preserve">ROOTS &amp; BULBS </t>
        </is>
      </c>
      <c r="I251" s="22" t="n">
        <v>0.25</v>
      </c>
      <c r="J251" t="n">
        <v>72128211</v>
      </c>
    </row>
    <row r="252" ht="15.75" customHeight="1" s="201">
      <c r="A252" s="14" t="inlineStr">
        <is>
          <t>CROPS</t>
        </is>
      </c>
      <c r="B252" s="4" t="inlineStr">
        <is>
          <t>ARTICHOKE</t>
        </is>
      </c>
      <c r="C252" s="15" t="n">
        <v>0.33</v>
      </c>
      <c r="D252" s="15" t="inlineStr">
        <is>
          <t>H</t>
        </is>
      </c>
      <c r="E252" s="15" t="inlineStr">
        <is>
          <t>better typol. or subtypol.</t>
        </is>
      </c>
      <c r="F252" s="5" t="inlineStr">
        <is>
          <t>VEGETABLES OPENFIELD</t>
        </is>
      </c>
      <c r="G252" s="16" t="n">
        <v>0.33</v>
      </c>
      <c r="H252" s="20" t="inlineStr">
        <is>
          <t>VEGETABLES (fruits, steems, flowers)</t>
        </is>
      </c>
      <c r="I252" s="22" t="n">
        <v>0.33</v>
      </c>
      <c r="J252" t="n">
        <v>14620110</v>
      </c>
    </row>
    <row r="253" ht="15.75" customHeight="1" s="201">
      <c r="A253" s="14" t="inlineStr">
        <is>
          <t>CROPS</t>
        </is>
      </c>
      <c r="B253" s="4" t="inlineStr">
        <is>
          <t>BROCCOLI</t>
        </is>
      </c>
      <c r="C253" s="15" t="n">
        <v>0.57</v>
      </c>
      <c r="D253" s="15" t="inlineStr">
        <is>
          <t>L</t>
        </is>
      </c>
      <c r="E253" s="15" t="inlineStr">
        <is>
          <t>OK item</t>
        </is>
      </c>
      <c r="F253" s="5" t="inlineStr">
        <is>
          <t>VEGETABLES OPENFIELD</t>
        </is>
      </c>
      <c r="G253" s="16" t="n">
        <v>0.33</v>
      </c>
      <c r="H253" s="20" t="inlineStr">
        <is>
          <t>VEGETABLES (fruits, steems, flowers)</t>
        </is>
      </c>
      <c r="I253" s="22" t="n">
        <v>0.33</v>
      </c>
      <c r="J253" t="n">
        <v>72103030</v>
      </c>
    </row>
    <row r="254" ht="15.75" customHeight="1" s="201">
      <c r="A254" s="14" t="inlineStr">
        <is>
          <t>CROPS</t>
        </is>
      </c>
      <c r="B254" s="4" t="inlineStr">
        <is>
          <t>CAULIFLOWER</t>
        </is>
      </c>
      <c r="C254" s="15" t="n">
        <v>0.31</v>
      </c>
      <c r="D254" s="15" t="inlineStr">
        <is>
          <t>L</t>
        </is>
      </c>
      <c r="E254" s="15" t="inlineStr">
        <is>
          <t>OK item</t>
        </is>
      </c>
      <c r="F254" s="5" t="inlineStr">
        <is>
          <t>VEGETABLES OPENFIELD</t>
        </is>
      </c>
      <c r="G254" s="16" t="n">
        <v>0.33</v>
      </c>
      <c r="H254" s="20" t="inlineStr">
        <is>
          <t>VEGETABLES (fruits, steems, flowers)</t>
        </is>
      </c>
      <c r="I254" s="22" t="n">
        <v>0.33</v>
      </c>
      <c r="J254" t="n">
        <v>75409020</v>
      </c>
    </row>
    <row r="255" ht="15.75" customHeight="1" s="201">
      <c r="A255" s="14" t="inlineStr">
        <is>
          <t>CROPS</t>
        </is>
      </c>
      <c r="B255" s="4" t="inlineStr">
        <is>
          <t>CELERY</t>
        </is>
      </c>
      <c r="C255" s="15" t="n">
        <v>0.32</v>
      </c>
      <c r="D255" s="15" t="inlineStr">
        <is>
          <t>H</t>
        </is>
      </c>
      <c r="E255" s="15" t="inlineStr">
        <is>
          <t>better typol. or subtypol.</t>
        </is>
      </c>
      <c r="F255" s="5" t="inlineStr">
        <is>
          <t>VEGETABLES OPENFIELD</t>
        </is>
      </c>
      <c r="G255" s="16" t="n">
        <v>0.33</v>
      </c>
      <c r="H255" s="20" t="inlineStr">
        <is>
          <t>VEGETABLES (fruits, steems, flowers)</t>
        </is>
      </c>
      <c r="I255" s="22" t="n">
        <v>0.33</v>
      </c>
      <c r="J255" t="n">
        <v>75109000</v>
      </c>
    </row>
    <row r="256" ht="15.75" customHeight="1" s="201">
      <c r="A256" s="14" t="inlineStr">
        <is>
          <t>CROPS</t>
        </is>
      </c>
      <c r="B256" s="4" t="inlineStr">
        <is>
          <t>CUCUMBER</t>
        </is>
      </c>
      <c r="C256" s="15" t="n">
        <v>0.27</v>
      </c>
      <c r="D256" s="15" t="inlineStr">
        <is>
          <t>L</t>
        </is>
      </c>
      <c r="E256" s="15" t="inlineStr">
        <is>
          <t>OK item</t>
        </is>
      </c>
      <c r="F256" s="5" t="inlineStr">
        <is>
          <t>VEGETABLES OPENFIELD</t>
        </is>
      </c>
      <c r="G256" s="16" t="n">
        <v>0.33</v>
      </c>
      <c r="H256" s="20" t="inlineStr">
        <is>
          <t>VEGETABLES (fruits, steems, flowers)</t>
        </is>
      </c>
      <c r="I256" s="22" t="n">
        <v>0.33</v>
      </c>
      <c r="J256" t="n">
        <v>74506000</v>
      </c>
    </row>
    <row r="257" ht="15.75" customHeight="1" s="201">
      <c r="A257" s="14" t="inlineStr">
        <is>
          <t>CROPS</t>
        </is>
      </c>
      <c r="B257" s="4" t="inlineStr">
        <is>
          <t>EGGPLANT</t>
        </is>
      </c>
      <c r="C257" s="15" t="n">
        <v>0.19</v>
      </c>
      <c r="D257" s="15" t="inlineStr">
        <is>
          <t>L</t>
        </is>
      </c>
      <c r="E257" s="15" t="inlineStr">
        <is>
          <t>OK item</t>
        </is>
      </c>
      <c r="F257" s="5" t="inlineStr">
        <is>
          <t>VEGETABLES OPENFIELD</t>
        </is>
      </c>
      <c r="G257" s="16" t="n">
        <v>0.33</v>
      </c>
      <c r="H257" s="20" t="inlineStr">
        <is>
          <t>VEGETABLES (fruits, steems, flowers)</t>
        </is>
      </c>
      <c r="I257" s="22" t="n">
        <v>0.33</v>
      </c>
      <c r="J257" t="n">
        <v>75412070</v>
      </c>
    </row>
    <row r="258" ht="15.75" customHeight="1" s="201">
      <c r="A258" s="14" t="inlineStr">
        <is>
          <t>CROPS</t>
        </is>
      </c>
      <c r="B258" s="4" t="inlineStr">
        <is>
          <t>FENNEL</t>
        </is>
      </c>
      <c r="C258" s="15" t="n">
        <v>0.48</v>
      </c>
      <c r="D258" s="15" t="inlineStr">
        <is>
          <t>H</t>
        </is>
      </c>
      <c r="E258" s="15" t="inlineStr">
        <is>
          <t>better typol. or subtypol.</t>
        </is>
      </c>
      <c r="F258" s="5" t="inlineStr">
        <is>
          <t>VEGETABLES OPENFIELD</t>
        </is>
      </c>
      <c r="G258" s="16" t="n">
        <v>0.33</v>
      </c>
      <c r="H258" s="20" t="inlineStr">
        <is>
          <t>VEGETABLES (fruits, steems, flowers)</t>
        </is>
      </c>
      <c r="I258" s="22" t="n">
        <v>0.33</v>
      </c>
      <c r="J258" t="n">
        <v>75109010</v>
      </c>
    </row>
    <row r="259" ht="15.75" customHeight="1" s="201">
      <c r="A259" s="14" t="inlineStr">
        <is>
          <t>CROPS</t>
        </is>
      </c>
      <c r="B259" s="4" t="inlineStr">
        <is>
          <t>GERKIN</t>
        </is>
      </c>
      <c r="C259" s="15" t="n">
        <v>0.21</v>
      </c>
      <c r="D259" s="15" t="inlineStr">
        <is>
          <t>L</t>
        </is>
      </c>
      <c r="E259" s="15" t="inlineStr">
        <is>
          <t>OK item</t>
        </is>
      </c>
      <c r="F259" s="5" t="inlineStr">
        <is>
          <t>VEGETABLES OPENFIELD</t>
        </is>
      </c>
      <c r="G259" s="16" t="n">
        <v>0.33</v>
      </c>
      <c r="H259" s="20" t="inlineStr">
        <is>
          <t>VEGETABLES (fruits, steems, flowers)</t>
        </is>
      </c>
      <c r="I259" s="22" t="n">
        <v>0.33</v>
      </c>
    </row>
    <row r="260" ht="15.75" customHeight="1" s="201">
      <c r="A260" s="14" t="inlineStr">
        <is>
          <t>CROPS</t>
        </is>
      </c>
      <c r="B260" s="4" t="inlineStr">
        <is>
          <t>PEPPER</t>
        </is>
      </c>
      <c r="C260" s="15" t="n">
        <v>0.65</v>
      </c>
      <c r="D260" s="15" t="inlineStr">
        <is>
          <t>L</t>
        </is>
      </c>
      <c r="E260" s="15" t="inlineStr">
        <is>
          <t>OK item</t>
        </is>
      </c>
      <c r="F260" s="5" t="inlineStr">
        <is>
          <t>VEGETABLES OPENFIELD</t>
        </is>
      </c>
      <c r="G260" s="16" t="n">
        <v>0.33</v>
      </c>
      <c r="H260" s="20" t="inlineStr">
        <is>
          <t>VEGETABLES (fruits, steems, flowers)</t>
        </is>
      </c>
      <c r="I260" s="22" t="n">
        <v>0.33</v>
      </c>
      <c r="J260" t="n">
        <v>75511040</v>
      </c>
    </row>
    <row r="261" ht="15.75" customHeight="1" s="201">
      <c r="A261" s="14" t="inlineStr">
        <is>
          <t>CROPS</t>
        </is>
      </c>
      <c r="B261" s="4" t="inlineStr">
        <is>
          <t>PUMPKIN</t>
        </is>
      </c>
      <c r="C261" s="15" t="n">
        <v>0.24</v>
      </c>
      <c r="D261" s="15" t="inlineStr">
        <is>
          <t>L</t>
        </is>
      </c>
      <c r="E261" s="15" t="inlineStr">
        <is>
          <t>OK item</t>
        </is>
      </c>
      <c r="F261" s="5" t="inlineStr">
        <is>
          <t>VEGETABLES OPENFIELD</t>
        </is>
      </c>
      <c r="G261" s="16" t="n">
        <v>0.33</v>
      </c>
      <c r="H261" s="20" t="inlineStr">
        <is>
          <t>VEGETABLES (fruits, steems, flowers)</t>
        </is>
      </c>
      <c r="I261" s="22" t="n">
        <v>0.33</v>
      </c>
      <c r="J261" t="n">
        <v>43101050</v>
      </c>
    </row>
    <row r="262" ht="15.75" customHeight="1" s="201">
      <c r="A262" s="14" t="inlineStr">
        <is>
          <t>CROPS</t>
        </is>
      </c>
      <c r="B262" s="4" t="inlineStr">
        <is>
          <t>TOMATO</t>
        </is>
      </c>
      <c r="C262" s="15" t="n">
        <v>0.45</v>
      </c>
      <c r="D262" s="15" t="inlineStr">
        <is>
          <t>L</t>
        </is>
      </c>
      <c r="E262" s="15" t="inlineStr">
        <is>
          <t>OK item</t>
        </is>
      </c>
      <c r="F262" s="5" t="inlineStr">
        <is>
          <t>VEGETABLES OPENFIELD</t>
        </is>
      </c>
      <c r="G262" s="16" t="n">
        <v>0.33</v>
      </c>
      <c r="H262" s="20" t="inlineStr">
        <is>
          <t>VEGETABLES (fruits, steems, flowers)</t>
        </is>
      </c>
      <c r="I262" s="22" t="n">
        <v>0.33</v>
      </c>
      <c r="J262" t="n">
        <v>74601010</v>
      </c>
    </row>
    <row r="263" ht="15.75" customHeight="1" s="201">
      <c r="A263" s="14" t="inlineStr">
        <is>
          <t>CROPS</t>
        </is>
      </c>
      <c r="B263" s="4" t="inlineStr">
        <is>
          <t>VEGETABLES</t>
        </is>
      </c>
      <c r="C263" s="15" t="n">
        <v>0.54</v>
      </c>
      <c r="D263" s="15" t="inlineStr">
        <is>
          <t>L</t>
        </is>
      </c>
      <c r="E263" s="15" t="inlineStr">
        <is>
          <t>OK item</t>
        </is>
      </c>
      <c r="F263" s="5" t="inlineStr">
        <is>
          <t>VEGETABLES OPENFIELD</t>
        </is>
      </c>
      <c r="G263" s="16" t="n">
        <v>0.33</v>
      </c>
      <c r="H263" s="20" t="inlineStr">
        <is>
          <t>VEGETABLES (fruits, steems, flowers)</t>
        </is>
      </c>
      <c r="I263" s="22" t="n">
        <v>0.33</v>
      </c>
      <c r="J263" t="n">
        <v>76407010</v>
      </c>
    </row>
    <row r="264" ht="15.75" customHeight="1" s="201">
      <c r="A264" s="14" t="inlineStr">
        <is>
          <t>CROPS</t>
        </is>
      </c>
      <c r="B264" s="4" t="inlineStr">
        <is>
          <t>ZUCCHINI</t>
        </is>
      </c>
      <c r="C264" s="15" t="n">
        <v>0.7</v>
      </c>
      <c r="D264" s="15" t="inlineStr">
        <is>
          <t>L</t>
        </is>
      </c>
      <c r="E264" s="15" t="inlineStr">
        <is>
          <t>OK item</t>
        </is>
      </c>
      <c r="F264" s="5" t="inlineStr">
        <is>
          <t>VEGETABLES OPENFIELD</t>
        </is>
      </c>
      <c r="G264" s="16" t="n">
        <v>0.33</v>
      </c>
      <c r="H264" s="20" t="inlineStr">
        <is>
          <t>VEGETABLES (fruits, steems, flowers)</t>
        </is>
      </c>
      <c r="I264" s="23" t="n">
        <v>0.33</v>
      </c>
      <c r="J264" t="n">
        <v>52407000</v>
      </c>
    </row>
    <row r="265" ht="15.75" customHeight="1" s="201">
      <c r="A265" s="14" t="inlineStr">
        <is>
          <t>FISHING</t>
        </is>
      </c>
      <c r="B265" s="4" t="inlineStr">
        <is>
          <t>ALFONSINO</t>
        </is>
      </c>
      <c r="C265" s="15" t="n">
        <v>3.49</v>
      </c>
      <c r="D265" s="15" t="inlineStr">
        <is>
          <t>H</t>
        </is>
      </c>
      <c r="E265" s="15" t="inlineStr">
        <is>
          <t>better typology</t>
        </is>
      </c>
      <c r="F265" s="5" t="inlineStr">
        <is>
          <t>FISH</t>
        </is>
      </c>
      <c r="G265" s="16" t="n">
        <v>5.19</v>
      </c>
      <c r="H265" s="17" t="inlineStr">
        <is>
          <t>-</t>
        </is>
      </c>
      <c r="I265" s="18" t="inlineStr">
        <is>
          <t>-</t>
        </is>
      </c>
    </row>
    <row r="266" ht="15.75" customHeight="1" s="201">
      <c r="A266" s="14" t="inlineStr">
        <is>
          <t>FISHING</t>
        </is>
      </c>
      <c r="B266" s="4" t="inlineStr">
        <is>
          <t>ANCHOVY</t>
        </is>
      </c>
      <c r="C266" s="15" t="n">
        <v>0.82</v>
      </c>
      <c r="D266" s="15" t="inlineStr">
        <is>
          <t>L</t>
        </is>
      </c>
      <c r="E266" s="15" t="inlineStr">
        <is>
          <t>OK item</t>
        </is>
      </c>
      <c r="F266" s="5" t="inlineStr">
        <is>
          <t>FISH</t>
        </is>
      </c>
      <c r="G266" s="16" t="n">
        <v>5.19</v>
      </c>
      <c r="H266" s="17" t="inlineStr">
        <is>
          <t>-</t>
        </is>
      </c>
      <c r="I266" s="18" t="inlineStr">
        <is>
          <t>-</t>
        </is>
      </c>
      <c r="J266" t="n">
        <v>26101110</v>
      </c>
    </row>
    <row r="267" ht="15.75" customHeight="1" s="201">
      <c r="A267" s="14" t="inlineStr">
        <is>
          <t>FISHING</t>
        </is>
      </c>
      <c r="B267" s="4" t="inlineStr">
        <is>
          <t>ANGLERFISH</t>
        </is>
      </c>
      <c r="C267" s="15" t="n">
        <v>12.29</v>
      </c>
      <c r="D267" s="15" t="inlineStr">
        <is>
          <t>H</t>
        </is>
      </c>
      <c r="E267" s="15" t="inlineStr">
        <is>
          <t>better typology</t>
        </is>
      </c>
      <c r="F267" s="5" t="inlineStr">
        <is>
          <t>FISH</t>
        </is>
      </c>
      <c r="G267" s="16" t="n">
        <v>5.19</v>
      </c>
      <c r="H267" s="17" t="inlineStr">
        <is>
          <t>-</t>
        </is>
      </c>
      <c r="I267" s="18" t="inlineStr">
        <is>
          <t>-</t>
        </is>
      </c>
    </row>
    <row r="268" ht="15.75" customHeight="1" s="201">
      <c r="A268" s="14" t="inlineStr">
        <is>
          <t>FISHING</t>
        </is>
      </c>
      <c r="B268" s="4" t="inlineStr">
        <is>
          <t>CARP</t>
        </is>
      </c>
      <c r="C268" s="15" t="n">
        <v>1.76</v>
      </c>
      <c r="D268" s="15" t="inlineStr">
        <is>
          <t>H</t>
        </is>
      </c>
      <c r="E268" s="15" t="inlineStr">
        <is>
          <t>better typology</t>
        </is>
      </c>
      <c r="F268" s="5" t="inlineStr">
        <is>
          <t>FISH</t>
        </is>
      </c>
      <c r="G268" s="16" t="n">
        <v>5.19</v>
      </c>
      <c r="H268" s="17" t="inlineStr">
        <is>
          <t>-</t>
        </is>
      </c>
      <c r="I268" s="18" t="inlineStr">
        <is>
          <t>-</t>
        </is>
      </c>
      <c r="J268" t="n">
        <v>26105120</v>
      </c>
    </row>
    <row r="269" ht="15.75" customHeight="1" s="201">
      <c r="A269" s="14" t="inlineStr">
        <is>
          <t>FISHING</t>
        </is>
      </c>
      <c r="B269" s="4" t="inlineStr">
        <is>
          <t>CATFISH</t>
        </is>
      </c>
      <c r="C269" s="15" t="n">
        <v>8.93</v>
      </c>
      <c r="D269" s="15" t="inlineStr">
        <is>
          <t>H</t>
        </is>
      </c>
      <c r="E269" s="15" t="inlineStr">
        <is>
          <t>better typology</t>
        </is>
      </c>
      <c r="F269" s="5" t="inlineStr">
        <is>
          <t>FISH</t>
        </is>
      </c>
      <c r="G269" s="16" t="n">
        <v>5.19</v>
      </c>
      <c r="H269" s="17" t="inlineStr">
        <is>
          <t>-</t>
        </is>
      </c>
      <c r="I269" s="18" t="inlineStr">
        <is>
          <t>-</t>
        </is>
      </c>
      <c r="J269" t="n">
        <v>26107110</v>
      </c>
    </row>
    <row r="270" ht="15.75" customHeight="1" s="201">
      <c r="A270" s="14" t="inlineStr">
        <is>
          <t>FISHING</t>
        </is>
      </c>
      <c r="B270" s="4" t="inlineStr">
        <is>
          <t>COD</t>
        </is>
      </c>
      <c r="C270" s="15" t="n">
        <v>3.08</v>
      </c>
      <c r="D270" s="15" t="inlineStr">
        <is>
          <t>L</t>
        </is>
      </c>
      <c r="E270" s="15" t="inlineStr">
        <is>
          <t>OK item</t>
        </is>
      </c>
      <c r="F270" s="5" t="inlineStr">
        <is>
          <t>FISH</t>
        </is>
      </c>
      <c r="G270" s="16" t="n">
        <v>5.19</v>
      </c>
      <c r="H270" s="17" t="inlineStr">
        <is>
          <t>-</t>
        </is>
      </c>
      <c r="I270" s="18" t="inlineStr">
        <is>
          <t>-</t>
        </is>
      </c>
    </row>
    <row r="271" ht="15.75" customHeight="1" s="201">
      <c r="A271" s="14" t="inlineStr">
        <is>
          <t>FISHING</t>
        </is>
      </c>
      <c r="B271" s="4" t="inlineStr">
        <is>
          <t>DIAMOND FISH</t>
        </is>
      </c>
      <c r="C271" s="15" t="n">
        <v>6.02</v>
      </c>
      <c r="D271" s="15" t="inlineStr">
        <is>
          <t>H</t>
        </is>
      </c>
      <c r="E271" s="15" t="inlineStr">
        <is>
          <t>better typology</t>
        </is>
      </c>
      <c r="F271" s="5" t="inlineStr">
        <is>
          <t>FISH</t>
        </is>
      </c>
      <c r="G271" s="16" t="n">
        <v>5.19</v>
      </c>
      <c r="H271" s="17" t="inlineStr">
        <is>
          <t>-</t>
        </is>
      </c>
      <c r="I271" s="18" t="inlineStr">
        <is>
          <t>-</t>
        </is>
      </c>
      <c r="J271" t="n">
        <v>27150310</v>
      </c>
    </row>
    <row r="272" ht="15.75" customHeight="1" s="201">
      <c r="A272" s="14" t="inlineStr">
        <is>
          <t>FISHING</t>
        </is>
      </c>
      <c r="B272" s="4" t="inlineStr">
        <is>
          <t>EEL</t>
        </is>
      </c>
      <c r="C272" s="15" t="n">
        <v>3.88</v>
      </c>
      <c r="D272" s="15" t="inlineStr">
        <is>
          <t>H</t>
        </is>
      </c>
      <c r="E272" s="15" t="inlineStr">
        <is>
          <t>better typology</t>
        </is>
      </c>
      <c r="F272" s="5" t="inlineStr">
        <is>
          <t>FISH</t>
        </is>
      </c>
      <c r="G272" s="16" t="n">
        <v>5.19</v>
      </c>
      <c r="H272" s="17" t="inlineStr">
        <is>
          <t>-</t>
        </is>
      </c>
      <c r="I272" s="18" t="inlineStr">
        <is>
          <t>-</t>
        </is>
      </c>
    </row>
    <row r="273" ht="15.75" customHeight="1" s="201">
      <c r="A273" s="14" t="inlineStr">
        <is>
          <t>FISHING</t>
        </is>
      </c>
      <c r="B273" s="4" t="inlineStr">
        <is>
          <t>FISH MIXED</t>
        </is>
      </c>
      <c r="C273" s="15" t="n">
        <v>4.99</v>
      </c>
      <c r="D273" s="15" t="inlineStr">
        <is>
          <t>L</t>
        </is>
      </c>
      <c r="E273" s="15" t="inlineStr">
        <is>
          <t>OK item</t>
        </is>
      </c>
      <c r="F273" s="5" t="inlineStr">
        <is>
          <t>FISH</t>
        </is>
      </c>
      <c r="G273" s="16" t="n">
        <v>5.19</v>
      </c>
      <c r="H273" s="17" t="inlineStr">
        <is>
          <t>-</t>
        </is>
      </c>
      <c r="I273" s="18" t="inlineStr">
        <is>
          <t>-</t>
        </is>
      </c>
      <c r="J273" t="n">
        <v>76407010</v>
      </c>
    </row>
    <row r="274" ht="15.75" customHeight="1" s="201">
      <c r="A274" s="14" t="inlineStr">
        <is>
          <t>FISHING</t>
        </is>
      </c>
      <c r="B274" s="4" t="inlineStr">
        <is>
          <t>FLATFISH</t>
        </is>
      </c>
      <c r="C274" s="15" t="n">
        <v>6.41</v>
      </c>
      <c r="D274" s="15" t="inlineStr">
        <is>
          <t>H</t>
        </is>
      </c>
      <c r="E274" s="15" t="inlineStr">
        <is>
          <t>better typology</t>
        </is>
      </c>
      <c r="F274" s="5" t="inlineStr">
        <is>
          <t>FISH</t>
        </is>
      </c>
      <c r="G274" s="16" t="n">
        <v>5.19</v>
      </c>
      <c r="H274" s="17" t="inlineStr">
        <is>
          <t>-</t>
        </is>
      </c>
      <c r="I274" s="18" t="inlineStr">
        <is>
          <t>-</t>
        </is>
      </c>
    </row>
    <row r="275" ht="15.75" customHeight="1" s="201">
      <c r="A275" s="14" t="inlineStr">
        <is>
          <t>FISHING</t>
        </is>
      </c>
      <c r="B275" s="4" t="inlineStr">
        <is>
          <t>FLATHEAD</t>
        </is>
      </c>
      <c r="C275" s="15" t="n">
        <v>2.56</v>
      </c>
      <c r="D275" s="15" t="inlineStr">
        <is>
          <t>H</t>
        </is>
      </c>
      <c r="E275" s="15" t="inlineStr">
        <is>
          <t>better typology</t>
        </is>
      </c>
      <c r="F275" s="5" t="inlineStr">
        <is>
          <t>FISH</t>
        </is>
      </c>
      <c r="G275" s="16" t="n">
        <v>5.19</v>
      </c>
      <c r="H275" s="17" t="inlineStr">
        <is>
          <t>-</t>
        </is>
      </c>
      <c r="I275" s="18" t="inlineStr">
        <is>
          <t>-</t>
        </is>
      </c>
    </row>
    <row r="276" ht="15.75" customHeight="1" s="201">
      <c r="A276" s="14" t="inlineStr">
        <is>
          <t>FISHING</t>
        </is>
      </c>
      <c r="B276" s="4" t="inlineStr">
        <is>
          <t>FORK BEARD</t>
        </is>
      </c>
      <c r="C276" s="15" t="n">
        <v>8.01</v>
      </c>
      <c r="D276" s="15" t="inlineStr">
        <is>
          <t>H</t>
        </is>
      </c>
      <c r="E276" s="15" t="inlineStr">
        <is>
          <t>better typology</t>
        </is>
      </c>
      <c r="F276" s="5" t="inlineStr">
        <is>
          <t>FISH</t>
        </is>
      </c>
      <c r="G276" s="16" t="n">
        <v>5.19</v>
      </c>
      <c r="H276" s="17" t="inlineStr">
        <is>
          <t>-</t>
        </is>
      </c>
      <c r="I276" s="18" t="inlineStr">
        <is>
          <t>-</t>
        </is>
      </c>
    </row>
    <row r="277" ht="15.75" customHeight="1" s="201">
      <c r="A277" s="14" t="inlineStr">
        <is>
          <t>FISHING</t>
        </is>
      </c>
      <c r="B277" s="4" t="inlineStr">
        <is>
          <t>HADDOCK</t>
        </is>
      </c>
      <c r="C277" s="15" t="n">
        <v>3.1</v>
      </c>
      <c r="D277" s="15" t="inlineStr">
        <is>
          <t>H</t>
        </is>
      </c>
      <c r="E277" s="15" t="inlineStr">
        <is>
          <t>better typology</t>
        </is>
      </c>
      <c r="F277" s="5" t="inlineStr">
        <is>
          <t>FISH</t>
        </is>
      </c>
      <c r="G277" s="16" t="n">
        <v>5.19</v>
      </c>
      <c r="H277" s="17" t="inlineStr">
        <is>
          <t>-</t>
        </is>
      </c>
      <c r="I277" s="18" t="inlineStr">
        <is>
          <t>-</t>
        </is>
      </c>
      <c r="J277" t="n">
        <v>26117120</v>
      </c>
    </row>
    <row r="278" ht="15.75" customHeight="1" s="201">
      <c r="A278" s="14" t="inlineStr">
        <is>
          <t>FISHING</t>
        </is>
      </c>
      <c r="B278" s="4" t="inlineStr">
        <is>
          <t>HAKE</t>
        </is>
      </c>
      <c r="C278" s="15" t="n">
        <v>10.4</v>
      </c>
      <c r="D278" s="15" t="inlineStr">
        <is>
          <t>L</t>
        </is>
      </c>
      <c r="E278" s="15" t="inlineStr">
        <is>
          <t>OK item</t>
        </is>
      </c>
      <c r="F278" s="5" t="inlineStr">
        <is>
          <t>FISH</t>
        </is>
      </c>
      <c r="G278" s="16" t="n">
        <v>5.19</v>
      </c>
      <c r="H278" s="17" t="inlineStr">
        <is>
          <t>-</t>
        </is>
      </c>
      <c r="I278" s="18" t="inlineStr">
        <is>
          <t>-</t>
        </is>
      </c>
      <c r="J278" t="n">
        <v>26117120</v>
      </c>
    </row>
    <row r="279" ht="15.75" customHeight="1" s="201">
      <c r="A279" s="14" t="inlineStr">
        <is>
          <t>FISHING</t>
        </is>
      </c>
      <c r="B279" s="4" t="inlineStr">
        <is>
          <t>HERRING</t>
        </is>
      </c>
      <c r="C279" s="15" t="n">
        <v>1.24</v>
      </c>
      <c r="D279" s="15" t="inlineStr">
        <is>
          <t>L</t>
        </is>
      </c>
      <c r="E279" s="15" t="inlineStr">
        <is>
          <t>OK item</t>
        </is>
      </c>
      <c r="F279" s="5" t="inlineStr">
        <is>
          <t>FISH</t>
        </is>
      </c>
      <c r="G279" s="16" t="n">
        <v>5.19</v>
      </c>
      <c r="H279" s="17" t="inlineStr">
        <is>
          <t>-</t>
        </is>
      </c>
      <c r="I279" s="18" t="inlineStr">
        <is>
          <t>-</t>
        </is>
      </c>
      <c r="J279" t="n">
        <v>26119110</v>
      </c>
    </row>
    <row r="280" ht="15.75" customHeight="1" s="201">
      <c r="A280" s="14" t="inlineStr">
        <is>
          <t>FISHING</t>
        </is>
      </c>
      <c r="B280" s="4" t="inlineStr">
        <is>
          <t>LING</t>
        </is>
      </c>
      <c r="C280" s="15" t="n">
        <v>6.45</v>
      </c>
      <c r="D280" s="15" t="inlineStr">
        <is>
          <t>H</t>
        </is>
      </c>
      <c r="E280" s="15" t="inlineStr">
        <is>
          <t>better typology</t>
        </is>
      </c>
      <c r="F280" s="5" t="inlineStr">
        <is>
          <t>FISH</t>
        </is>
      </c>
      <c r="G280" s="16" t="n">
        <v>5.19</v>
      </c>
      <c r="H280" s="17" t="inlineStr">
        <is>
          <t>-</t>
        </is>
      </c>
      <c r="I280" s="18" t="inlineStr">
        <is>
          <t>-</t>
        </is>
      </c>
      <c r="J280" t="n">
        <v>26117120</v>
      </c>
    </row>
    <row r="281" ht="15.75" customHeight="1" s="201">
      <c r="A281" s="14" t="inlineStr">
        <is>
          <t>FISHING</t>
        </is>
      </c>
      <c r="B281" s="4" t="inlineStr">
        <is>
          <t>MACKEREL</t>
        </is>
      </c>
      <c r="C281" s="15" t="n">
        <v>1.8</v>
      </c>
      <c r="D281" s="15" t="inlineStr">
        <is>
          <t>L</t>
        </is>
      </c>
      <c r="E281" s="15" t="inlineStr">
        <is>
          <t>OK item</t>
        </is>
      </c>
      <c r="F281" s="5" t="inlineStr">
        <is>
          <t>FISH</t>
        </is>
      </c>
      <c r="G281" s="16" t="n">
        <v>5.19</v>
      </c>
      <c r="H281" s="17" t="inlineStr">
        <is>
          <t>-</t>
        </is>
      </c>
      <c r="I281" s="18" t="inlineStr">
        <is>
          <t>-</t>
        </is>
      </c>
      <c r="J281" t="n">
        <v>26121110</v>
      </c>
    </row>
    <row r="282" ht="15.75" customHeight="1" s="201">
      <c r="A282" s="14" t="inlineStr">
        <is>
          <t>FISHING</t>
        </is>
      </c>
      <c r="B282" s="4" t="inlineStr">
        <is>
          <t>MEGRIM</t>
        </is>
      </c>
      <c r="C282" s="15" t="n">
        <v>14.15</v>
      </c>
      <c r="D282" s="15" t="inlineStr">
        <is>
          <t>H</t>
        </is>
      </c>
      <c r="E282" s="15" t="inlineStr">
        <is>
          <t>better typology</t>
        </is>
      </c>
      <c r="F282" s="5" t="inlineStr">
        <is>
          <t>FISH</t>
        </is>
      </c>
      <c r="G282" s="16" t="n">
        <v>5.19</v>
      </c>
      <c r="H282" s="17" t="inlineStr">
        <is>
          <t>-</t>
        </is>
      </c>
      <c r="I282" s="18" t="inlineStr">
        <is>
          <t>-</t>
        </is>
      </c>
    </row>
    <row r="283" ht="15.75" customHeight="1" s="201">
      <c r="A283" s="14" t="inlineStr">
        <is>
          <t>FISHING</t>
        </is>
      </c>
      <c r="B283" s="4" t="inlineStr">
        <is>
          <t>PILCHARD</t>
        </is>
      </c>
      <c r="C283" s="15" t="n">
        <v>1.1</v>
      </c>
      <c r="D283" s="15" t="inlineStr">
        <is>
          <t>H</t>
        </is>
      </c>
      <c r="E283" s="15" t="inlineStr">
        <is>
          <t>better typology</t>
        </is>
      </c>
      <c r="F283" s="5" t="inlineStr">
        <is>
          <t>FISH</t>
        </is>
      </c>
      <c r="G283" s="16" t="n">
        <v>5.19</v>
      </c>
      <c r="H283" s="17" t="inlineStr">
        <is>
          <t>-</t>
        </is>
      </c>
      <c r="I283" s="18" t="inlineStr">
        <is>
          <t>-</t>
        </is>
      </c>
    </row>
    <row r="284" ht="15.75" customHeight="1" s="201">
      <c r="A284" s="14" t="inlineStr">
        <is>
          <t>FISHING</t>
        </is>
      </c>
      <c r="B284" s="4" t="inlineStr">
        <is>
          <t>PLAICE</t>
        </is>
      </c>
      <c r="C284" s="15" t="n">
        <v>6.13</v>
      </c>
      <c r="D284" s="15" t="inlineStr">
        <is>
          <t>H</t>
        </is>
      </c>
      <c r="E284" s="15" t="inlineStr">
        <is>
          <t>better typology</t>
        </is>
      </c>
      <c r="F284" s="5" t="inlineStr">
        <is>
          <t>FISH</t>
        </is>
      </c>
      <c r="G284" s="16" t="n">
        <v>5.19</v>
      </c>
      <c r="H284" s="17" t="inlineStr">
        <is>
          <t>-</t>
        </is>
      </c>
      <c r="I284" s="18" t="inlineStr">
        <is>
          <t>-</t>
        </is>
      </c>
    </row>
    <row r="285" ht="15.75" customHeight="1" s="201">
      <c r="A285" s="14" t="inlineStr">
        <is>
          <t>FISHING</t>
        </is>
      </c>
      <c r="B285" s="4" t="inlineStr">
        <is>
          <t>POLLOCK</t>
        </is>
      </c>
      <c r="C285" s="15" t="n">
        <v>1.4</v>
      </c>
      <c r="D285" s="15" t="inlineStr">
        <is>
          <t>H</t>
        </is>
      </c>
      <c r="E285" s="15" t="inlineStr">
        <is>
          <t>better typology</t>
        </is>
      </c>
      <c r="F285" s="5" t="inlineStr">
        <is>
          <t>FISH</t>
        </is>
      </c>
      <c r="G285" s="16" t="n">
        <v>5.19</v>
      </c>
      <c r="H285" s="17" t="inlineStr">
        <is>
          <t>-</t>
        </is>
      </c>
      <c r="I285" s="18" t="inlineStr">
        <is>
          <t>-</t>
        </is>
      </c>
      <c r="J285" t="n">
        <v>26117120</v>
      </c>
    </row>
    <row r="286" ht="15.75" customHeight="1" s="201">
      <c r="A286" s="14" t="inlineStr">
        <is>
          <t>FISHING</t>
        </is>
      </c>
      <c r="B286" s="4" t="inlineStr">
        <is>
          <t>POMFRET</t>
        </is>
      </c>
      <c r="C286" s="15" t="n">
        <v>6.63</v>
      </c>
      <c r="D286" s="15" t="inlineStr">
        <is>
          <t>H</t>
        </is>
      </c>
      <c r="E286" s="15" t="inlineStr">
        <is>
          <t>better typology</t>
        </is>
      </c>
      <c r="F286" s="5" t="inlineStr">
        <is>
          <t>FISH</t>
        </is>
      </c>
      <c r="G286" s="16" t="n">
        <v>5.19</v>
      </c>
      <c r="H286" s="17" t="inlineStr">
        <is>
          <t>-</t>
        </is>
      </c>
      <c r="I286" s="18" t="inlineStr">
        <is>
          <t>-</t>
        </is>
      </c>
    </row>
    <row r="287" ht="15.75" customHeight="1" s="201">
      <c r="A287" s="14" t="inlineStr">
        <is>
          <t>FISHING</t>
        </is>
      </c>
      <c r="B287" s="4" t="inlineStr">
        <is>
          <t>PORBEAGLE</t>
        </is>
      </c>
      <c r="C287" s="15" t="n">
        <v>11.44</v>
      </c>
      <c r="D287" s="15" t="inlineStr">
        <is>
          <t>H</t>
        </is>
      </c>
      <c r="E287" s="15" t="inlineStr">
        <is>
          <t>better typology</t>
        </is>
      </c>
      <c r="F287" s="5" t="inlineStr">
        <is>
          <t>FISH</t>
        </is>
      </c>
      <c r="G287" s="16" t="n">
        <v>5.19</v>
      </c>
      <c r="H287" s="17" t="inlineStr">
        <is>
          <t>-</t>
        </is>
      </c>
      <c r="I287" s="18" t="inlineStr">
        <is>
          <t>-</t>
        </is>
      </c>
    </row>
    <row r="288" ht="15.75" customHeight="1" s="201">
      <c r="A288" s="14" t="inlineStr">
        <is>
          <t>FISHING</t>
        </is>
      </c>
      <c r="B288" s="4" t="inlineStr">
        <is>
          <t>RHOMBUS</t>
        </is>
      </c>
      <c r="C288" s="15" t="n">
        <v>8.41</v>
      </c>
      <c r="D288" s="15" t="inlineStr">
        <is>
          <t>H</t>
        </is>
      </c>
      <c r="E288" s="15" t="inlineStr">
        <is>
          <t>better typology</t>
        </is>
      </c>
      <c r="F288" s="5" t="inlineStr">
        <is>
          <t>FISH</t>
        </is>
      </c>
      <c r="G288" s="16" t="n">
        <v>5.19</v>
      </c>
      <c r="H288" s="17" t="inlineStr">
        <is>
          <t>-</t>
        </is>
      </c>
      <c r="I288" s="18" t="inlineStr">
        <is>
          <t>-</t>
        </is>
      </c>
    </row>
    <row r="289" ht="15.75" customHeight="1" s="201">
      <c r="A289" s="14" t="inlineStr">
        <is>
          <t>FISHING</t>
        </is>
      </c>
      <c r="B289" s="4" t="inlineStr">
        <is>
          <t>ROCK FISH</t>
        </is>
      </c>
      <c r="C289" s="15" t="n">
        <v>6.94</v>
      </c>
      <c r="D289" s="15" t="inlineStr">
        <is>
          <t>H</t>
        </is>
      </c>
      <c r="E289" s="15" t="inlineStr">
        <is>
          <t>better typology</t>
        </is>
      </c>
      <c r="F289" s="5" t="inlineStr">
        <is>
          <t>FISH</t>
        </is>
      </c>
      <c r="G289" s="16" t="n">
        <v>5.19</v>
      </c>
      <c r="H289" s="17" t="inlineStr">
        <is>
          <t>-</t>
        </is>
      </c>
      <c r="I289" s="18" t="inlineStr">
        <is>
          <t>-</t>
        </is>
      </c>
      <c r="J289" t="n">
        <v>27150310</v>
      </c>
    </row>
    <row r="290" ht="15.75" customHeight="1" s="201">
      <c r="A290" s="14" t="inlineStr">
        <is>
          <t>FISHING</t>
        </is>
      </c>
      <c r="B290" s="4" t="inlineStr">
        <is>
          <t>SALMON</t>
        </is>
      </c>
      <c r="C290" s="15" t="n">
        <v>3.37</v>
      </c>
      <c r="D290" s="15" t="inlineStr">
        <is>
          <t>L</t>
        </is>
      </c>
      <c r="E290" s="15" t="inlineStr">
        <is>
          <t>OK item</t>
        </is>
      </c>
      <c r="F290" s="5" t="inlineStr">
        <is>
          <t>FISH</t>
        </is>
      </c>
      <c r="G290" s="16" t="n">
        <v>5.19</v>
      </c>
      <c r="H290" s="17" t="inlineStr">
        <is>
          <t>-</t>
        </is>
      </c>
      <c r="I290" s="18" t="inlineStr">
        <is>
          <t>-</t>
        </is>
      </c>
      <c r="J290" t="n">
        <v>27250070</v>
      </c>
    </row>
    <row r="291" ht="15.75" customHeight="1" s="201">
      <c r="A291" s="14" t="inlineStr">
        <is>
          <t>FISHING</t>
        </is>
      </c>
      <c r="B291" s="4" t="inlineStr">
        <is>
          <t>SARDINE</t>
        </is>
      </c>
      <c r="C291" s="15" t="n">
        <v>0.9</v>
      </c>
      <c r="D291" s="15" t="inlineStr">
        <is>
          <t>L</t>
        </is>
      </c>
      <c r="E291" s="15" t="inlineStr">
        <is>
          <t>OK item</t>
        </is>
      </c>
      <c r="F291" s="5" t="inlineStr">
        <is>
          <t>FISH</t>
        </is>
      </c>
      <c r="G291" s="16" t="n">
        <v>5.19</v>
      </c>
      <c r="H291" s="17" t="inlineStr">
        <is>
          <t>-</t>
        </is>
      </c>
      <c r="I291" s="18" t="inlineStr">
        <is>
          <t>-</t>
        </is>
      </c>
    </row>
    <row r="292" ht="15.75" customHeight="1" s="201">
      <c r="A292" s="14" t="inlineStr">
        <is>
          <t>FISHING</t>
        </is>
      </c>
      <c r="B292" s="4" t="inlineStr">
        <is>
          <t>SEA-BASS</t>
        </is>
      </c>
      <c r="C292" s="15" t="n">
        <v>3.6</v>
      </c>
      <c r="D292" s="15" t="inlineStr">
        <is>
          <t>L</t>
        </is>
      </c>
      <c r="E292" s="15" t="inlineStr">
        <is>
          <t>OK item</t>
        </is>
      </c>
      <c r="F292" s="5" t="inlineStr">
        <is>
          <t>FISH</t>
        </is>
      </c>
      <c r="G292" s="16" t="n">
        <v>5.19</v>
      </c>
      <c r="H292" s="17" t="inlineStr">
        <is>
          <t>-</t>
        </is>
      </c>
      <c r="I292" s="18" t="inlineStr">
        <is>
          <t>-</t>
        </is>
      </c>
      <c r="J292" t="n">
        <v>26141120</v>
      </c>
    </row>
    <row r="293" ht="15.75" customHeight="1" s="201">
      <c r="A293" s="14" t="inlineStr">
        <is>
          <t>FISHING</t>
        </is>
      </c>
      <c r="B293" s="4" t="inlineStr">
        <is>
          <t>SHARK</t>
        </is>
      </c>
      <c r="C293" s="15" t="n">
        <v>11.44</v>
      </c>
      <c r="D293" s="15" t="inlineStr">
        <is>
          <t>H</t>
        </is>
      </c>
      <c r="E293" s="15" t="inlineStr">
        <is>
          <t>better typology</t>
        </is>
      </c>
      <c r="F293" s="5" t="inlineStr">
        <is>
          <t>FISH</t>
        </is>
      </c>
      <c r="G293" s="16" t="n">
        <v>5.19</v>
      </c>
      <c r="H293" s="17" t="inlineStr">
        <is>
          <t>-</t>
        </is>
      </c>
      <c r="I293" s="18" t="inlineStr">
        <is>
          <t>-</t>
        </is>
      </c>
      <c r="J293" t="n">
        <v>26143120</v>
      </c>
    </row>
    <row r="294" ht="15.75" customHeight="1" s="201">
      <c r="A294" s="14" t="inlineStr">
        <is>
          <t>FISHING</t>
        </is>
      </c>
      <c r="B294" s="4" t="inlineStr">
        <is>
          <t>SOLE</t>
        </is>
      </c>
      <c r="C294" s="15" t="n">
        <v>5.4</v>
      </c>
      <c r="D294" s="15" t="inlineStr">
        <is>
          <t>H</t>
        </is>
      </c>
      <c r="E294" s="15" t="inlineStr">
        <is>
          <t>better typology</t>
        </is>
      </c>
      <c r="F294" s="5" t="inlineStr">
        <is>
          <t>FISH</t>
        </is>
      </c>
      <c r="G294" s="16" t="n">
        <v>5.19</v>
      </c>
      <c r="H294" s="17" t="inlineStr">
        <is>
          <t>-</t>
        </is>
      </c>
      <c r="I294" s="18" t="inlineStr">
        <is>
          <t>-</t>
        </is>
      </c>
      <c r="J294" t="n">
        <v>26115120</v>
      </c>
    </row>
    <row r="295" ht="15.75" customHeight="1" s="201">
      <c r="A295" s="14" t="inlineStr">
        <is>
          <t>FISHING</t>
        </is>
      </c>
      <c r="B295" s="4" t="inlineStr">
        <is>
          <t>SWARDFISH</t>
        </is>
      </c>
      <c r="C295" s="15" t="n">
        <v>12.84</v>
      </c>
      <c r="D295" s="15" t="inlineStr">
        <is>
          <t>H</t>
        </is>
      </c>
      <c r="E295" s="15" t="inlineStr">
        <is>
          <t>better typology</t>
        </is>
      </c>
      <c r="F295" s="5" t="inlineStr">
        <is>
          <t>FISH</t>
        </is>
      </c>
      <c r="G295" s="16" t="n">
        <v>5.19</v>
      </c>
      <c r="H295" s="17" t="inlineStr">
        <is>
          <t>-</t>
        </is>
      </c>
      <c r="I295" s="18" t="inlineStr">
        <is>
          <t>-</t>
        </is>
      </c>
    </row>
    <row r="296" ht="15.75" customHeight="1" s="201">
      <c r="A296" s="14" t="inlineStr">
        <is>
          <t>FISHING</t>
        </is>
      </c>
      <c r="B296" s="4" t="inlineStr">
        <is>
          <t>TROUT</t>
        </is>
      </c>
      <c r="C296" s="15" t="n">
        <v>4.2</v>
      </c>
      <c r="D296" s="15" t="inlineStr">
        <is>
          <t>L</t>
        </is>
      </c>
      <c r="E296" s="15" t="inlineStr">
        <is>
          <t>OK item</t>
        </is>
      </c>
      <c r="F296" s="5" t="inlineStr">
        <is>
          <t>FISH</t>
        </is>
      </c>
      <c r="G296" s="16" t="n">
        <v>5.19</v>
      </c>
      <c r="H296" s="17" t="inlineStr">
        <is>
          <t>-</t>
        </is>
      </c>
      <c r="I296" s="18" t="inlineStr">
        <is>
          <t>-</t>
        </is>
      </c>
      <c r="J296" t="n">
        <v>26111120</v>
      </c>
    </row>
    <row r="297" ht="15.75" customHeight="1" s="201">
      <c r="A297" s="14" t="inlineStr">
        <is>
          <t>FISHING</t>
        </is>
      </c>
      <c r="B297" s="4" t="inlineStr">
        <is>
          <t>TUNA</t>
        </is>
      </c>
      <c r="C297" s="15" t="n">
        <v>3.68</v>
      </c>
      <c r="D297" s="15" t="inlineStr">
        <is>
          <t>L</t>
        </is>
      </c>
      <c r="E297" s="15" t="inlineStr">
        <is>
          <t>OK item</t>
        </is>
      </c>
      <c r="F297" s="5" t="inlineStr">
        <is>
          <t>FISH</t>
        </is>
      </c>
      <c r="G297" s="16" t="n">
        <v>5.19</v>
      </c>
      <c r="H297" s="17" t="inlineStr">
        <is>
          <t>-</t>
        </is>
      </c>
      <c r="I297" s="18" t="inlineStr">
        <is>
          <t>-</t>
        </is>
      </c>
      <c r="J297" t="n">
        <v>27550730</v>
      </c>
    </row>
    <row r="298" ht="15.75" customHeight="1" s="201">
      <c r="A298" s="14" t="inlineStr">
        <is>
          <t>FISHING</t>
        </is>
      </c>
      <c r="B298" s="4" t="inlineStr">
        <is>
          <t>TURBOT</t>
        </is>
      </c>
      <c r="C298" s="15" t="n">
        <v>14.51</v>
      </c>
      <c r="D298" s="15" t="inlineStr">
        <is>
          <t>H</t>
        </is>
      </c>
      <c r="E298" s="15" t="inlineStr">
        <is>
          <t>better typology</t>
        </is>
      </c>
      <c r="F298" s="5" t="inlineStr">
        <is>
          <t>FISH</t>
        </is>
      </c>
      <c r="G298" s="16" t="n">
        <v>5.19</v>
      </c>
      <c r="H298" s="17" t="inlineStr">
        <is>
          <t>-</t>
        </is>
      </c>
      <c r="I298" s="18" t="inlineStr">
        <is>
          <t>-</t>
        </is>
      </c>
      <c r="J298" t="n">
        <v>26115120</v>
      </c>
    </row>
    <row r="299" ht="15.75" customHeight="1" s="201">
      <c r="A299" s="14" t="inlineStr">
        <is>
          <t>FISHING</t>
        </is>
      </c>
      <c r="B299" s="4" t="inlineStr">
        <is>
          <t>WHITING</t>
        </is>
      </c>
      <c r="C299" s="15" t="n">
        <v>2.66</v>
      </c>
      <c r="D299" s="15" t="inlineStr">
        <is>
          <t>H</t>
        </is>
      </c>
      <c r="E299" s="15" t="inlineStr">
        <is>
          <t>better typology</t>
        </is>
      </c>
      <c r="F299" s="5" t="inlineStr">
        <is>
          <t>FISH</t>
        </is>
      </c>
      <c r="G299" s="16" t="n">
        <v>5.19</v>
      </c>
      <c r="H299" s="17" t="inlineStr">
        <is>
          <t>-</t>
        </is>
      </c>
      <c r="I299" s="18" t="inlineStr">
        <is>
          <t>-</t>
        </is>
      </c>
      <c r="J299" t="n">
        <v>26157110</v>
      </c>
    </row>
    <row r="300" ht="15.75" customHeight="1" s="201">
      <c r="A300" s="14" t="inlineStr">
        <is>
          <t>FISHING</t>
        </is>
      </c>
      <c r="B300" s="4" t="inlineStr">
        <is>
          <t>COD (F)</t>
        </is>
      </c>
      <c r="C300" s="15" t="n">
        <v>3.03</v>
      </c>
      <c r="D300" s="15" t="inlineStr">
        <is>
          <t>L</t>
        </is>
      </c>
      <c r="E300" s="15" t="inlineStr">
        <is>
          <t>OK item</t>
        </is>
      </c>
      <c r="F300" s="5" t="inlineStr">
        <is>
          <t>FISH FROZEN</t>
        </is>
      </c>
      <c r="G300" s="16" t="n">
        <v>2.2</v>
      </c>
      <c r="H300" s="17" t="inlineStr">
        <is>
          <t>-</t>
        </is>
      </c>
      <c r="I300" s="18" t="inlineStr">
        <is>
          <t>-</t>
        </is>
      </c>
    </row>
    <row r="301" ht="15.75" customHeight="1" s="201">
      <c r="A301" s="14" t="inlineStr">
        <is>
          <t>FISHING</t>
        </is>
      </c>
      <c r="B301" s="4" t="inlineStr">
        <is>
          <t>FISH STICK (F)</t>
        </is>
      </c>
      <c r="C301" s="15" t="n">
        <v>2.26</v>
      </c>
      <c r="D301" s="15" t="inlineStr">
        <is>
          <t>H</t>
        </is>
      </c>
      <c r="E301" s="15" t="inlineStr">
        <is>
          <t>better typology</t>
        </is>
      </c>
      <c r="F301" s="5" t="inlineStr">
        <is>
          <t>FISH FROZEN</t>
        </is>
      </c>
      <c r="G301" s="16" t="n">
        <v>2.2</v>
      </c>
      <c r="H301" s="17" t="inlineStr">
        <is>
          <t>-</t>
        </is>
      </c>
      <c r="I301" s="18" t="inlineStr">
        <is>
          <t>-</t>
        </is>
      </c>
      <c r="J301" t="n">
        <v>26100260</v>
      </c>
    </row>
    <row r="302" ht="15.75" customHeight="1" s="201">
      <c r="A302" s="14" t="inlineStr">
        <is>
          <t>FISHING</t>
        </is>
      </c>
      <c r="B302" s="4" t="inlineStr">
        <is>
          <t>HADDOCK (F)</t>
        </is>
      </c>
      <c r="C302" s="15" t="n">
        <v>3.72</v>
      </c>
      <c r="D302" s="15" t="inlineStr">
        <is>
          <t>H</t>
        </is>
      </c>
      <c r="E302" s="15" t="inlineStr">
        <is>
          <t>better typology</t>
        </is>
      </c>
      <c r="F302" s="5" t="inlineStr">
        <is>
          <t>FISH FROZEN</t>
        </is>
      </c>
      <c r="G302" s="16" t="n">
        <v>2.2</v>
      </c>
      <c r="H302" s="17" t="inlineStr">
        <is>
          <t>-</t>
        </is>
      </c>
      <c r="I302" s="18" t="inlineStr">
        <is>
          <t>-</t>
        </is>
      </c>
      <c r="J302" t="n">
        <v>26117120</v>
      </c>
    </row>
    <row r="303" ht="15.75" customHeight="1" s="201">
      <c r="A303" s="14" t="inlineStr">
        <is>
          <t>FISHING</t>
        </is>
      </c>
      <c r="B303" s="4" t="inlineStr">
        <is>
          <t>HERRING (F)</t>
        </is>
      </c>
      <c r="C303" s="15" t="n">
        <v>1.3</v>
      </c>
      <c r="D303" s="15" t="inlineStr">
        <is>
          <t>L</t>
        </is>
      </c>
      <c r="E303" s="15" t="inlineStr">
        <is>
          <t>OK item</t>
        </is>
      </c>
      <c r="F303" s="5" t="inlineStr">
        <is>
          <t>FISH FROZEN</t>
        </is>
      </c>
      <c r="G303" s="16" t="n">
        <v>2.2</v>
      </c>
      <c r="H303" s="17" t="inlineStr">
        <is>
          <t>-</t>
        </is>
      </c>
      <c r="I303" s="18" t="inlineStr">
        <is>
          <t>-</t>
        </is>
      </c>
      <c r="J303" t="n">
        <v>26119110</v>
      </c>
    </row>
    <row r="304" ht="15.75" customHeight="1" s="201">
      <c r="A304" s="14" t="inlineStr">
        <is>
          <t>FISHING</t>
        </is>
      </c>
      <c r="B304" s="4" t="inlineStr">
        <is>
          <t>MACKEREL (F)</t>
        </is>
      </c>
      <c r="C304" s="15" t="n">
        <v>0.99</v>
      </c>
      <c r="D304" s="15" t="inlineStr">
        <is>
          <t>H</t>
        </is>
      </c>
      <c r="E304" s="15" t="inlineStr">
        <is>
          <t>better typology</t>
        </is>
      </c>
      <c r="F304" s="5" t="inlineStr">
        <is>
          <t>FISH FROZEN</t>
        </is>
      </c>
      <c r="G304" s="16" t="n">
        <v>2.2</v>
      </c>
      <c r="H304" s="17" t="inlineStr">
        <is>
          <t>-</t>
        </is>
      </c>
      <c r="I304" s="18" t="inlineStr">
        <is>
          <t>-</t>
        </is>
      </c>
      <c r="J304" t="n">
        <v>26121110</v>
      </c>
    </row>
    <row r="305" ht="15.75" customHeight="1" s="201">
      <c r="A305" s="14" t="inlineStr">
        <is>
          <t>FISHING</t>
        </is>
      </c>
      <c r="B305" s="4" t="inlineStr">
        <is>
          <t>MIXED FISH (F)</t>
        </is>
      </c>
      <c r="C305" s="15" t="n">
        <v>1.04</v>
      </c>
      <c r="D305" s="15" t="inlineStr">
        <is>
          <t>H</t>
        </is>
      </c>
      <c r="E305" s="15" t="inlineStr">
        <is>
          <t>better typology</t>
        </is>
      </c>
      <c r="F305" s="5" t="inlineStr">
        <is>
          <t>FISH FROZEN</t>
        </is>
      </c>
      <c r="G305" s="16" t="n">
        <v>2.2</v>
      </c>
      <c r="H305" s="17" t="inlineStr">
        <is>
          <t>-</t>
        </is>
      </c>
      <c r="I305" s="18" t="inlineStr">
        <is>
          <t>-</t>
        </is>
      </c>
      <c r="J305" t="n">
        <v>76407010</v>
      </c>
    </row>
    <row r="306" ht="15.75" customHeight="1" s="201">
      <c r="A306" s="14" t="inlineStr">
        <is>
          <t>FISHING</t>
        </is>
      </c>
      <c r="B306" s="4" t="inlineStr">
        <is>
          <t>POLLOCK (F)</t>
        </is>
      </c>
      <c r="C306" s="15" t="n">
        <v>0.9</v>
      </c>
      <c r="D306" s="15" t="inlineStr">
        <is>
          <t>H</t>
        </is>
      </c>
      <c r="E306" s="15" t="inlineStr">
        <is>
          <t>better typology</t>
        </is>
      </c>
      <c r="F306" s="5" t="inlineStr">
        <is>
          <t>FISH FROZEN</t>
        </is>
      </c>
      <c r="G306" s="16" t="n">
        <v>2.2</v>
      </c>
      <c r="H306" s="17" t="inlineStr">
        <is>
          <t>-</t>
        </is>
      </c>
      <c r="I306" s="18" t="inlineStr">
        <is>
          <t>-</t>
        </is>
      </c>
      <c r="J306" t="n">
        <v>26117120</v>
      </c>
    </row>
    <row r="307" ht="15.75" customHeight="1" s="201">
      <c r="A307" s="14" t="inlineStr">
        <is>
          <t>FISHING</t>
        </is>
      </c>
      <c r="B307" s="4" t="inlineStr">
        <is>
          <t>POLLOCK STICK (F)</t>
        </is>
      </c>
      <c r="C307" s="15" t="n">
        <v>2.14</v>
      </c>
      <c r="D307" s="15" t="inlineStr">
        <is>
          <t>H</t>
        </is>
      </c>
      <c r="E307" s="15" t="inlineStr">
        <is>
          <t>better typology</t>
        </is>
      </c>
      <c r="F307" s="5" t="inlineStr">
        <is>
          <t>FISH FROZEN</t>
        </is>
      </c>
      <c r="G307" s="16" t="n">
        <v>2.2</v>
      </c>
      <c r="H307" s="17" t="inlineStr">
        <is>
          <t>-</t>
        </is>
      </c>
      <c r="I307" s="18" t="inlineStr">
        <is>
          <t>-</t>
        </is>
      </c>
      <c r="J307" t="n">
        <v>26117120</v>
      </c>
    </row>
    <row r="308" ht="15.75" customHeight="1" s="201">
      <c r="A308" s="14" t="inlineStr">
        <is>
          <t>FISHING</t>
        </is>
      </c>
      <c r="B308" s="4" t="inlineStr">
        <is>
          <t>SALMON (F)</t>
        </is>
      </c>
      <c r="C308" s="15" t="n">
        <v>1.61</v>
      </c>
      <c r="D308" s="15" t="inlineStr">
        <is>
          <t>L</t>
        </is>
      </c>
      <c r="E308" s="15" t="inlineStr">
        <is>
          <t>OK item</t>
        </is>
      </c>
      <c r="F308" s="5" t="inlineStr">
        <is>
          <t>FISH FROZEN</t>
        </is>
      </c>
      <c r="G308" s="16" t="n">
        <v>2.2</v>
      </c>
      <c r="H308" s="17" t="inlineStr">
        <is>
          <t>-</t>
        </is>
      </c>
      <c r="I308" s="18" t="inlineStr">
        <is>
          <t>-</t>
        </is>
      </c>
      <c r="J308" t="n">
        <v>27250070</v>
      </c>
    </row>
    <row r="309" ht="15.75" customHeight="1" s="201">
      <c r="A309" s="14" t="inlineStr">
        <is>
          <t>FISHING</t>
        </is>
      </c>
      <c r="B309" s="4" t="inlineStr">
        <is>
          <t>SOLE (F)</t>
        </is>
      </c>
      <c r="C309" s="15" t="n">
        <v>14.28</v>
      </c>
      <c r="D309" s="15" t="inlineStr">
        <is>
          <t>H</t>
        </is>
      </c>
      <c r="E309" s="15" t="inlineStr">
        <is>
          <t>better typology</t>
        </is>
      </c>
      <c r="F309" s="5" t="inlineStr">
        <is>
          <t>FISH FROZEN</t>
        </is>
      </c>
      <c r="G309" s="16" t="n">
        <v>2.2</v>
      </c>
      <c r="H309" s="17" t="inlineStr">
        <is>
          <t>-</t>
        </is>
      </c>
      <c r="I309" s="18" t="inlineStr">
        <is>
          <t>-</t>
        </is>
      </c>
      <c r="J309" t="n">
        <v>26115120</v>
      </c>
    </row>
    <row r="310" ht="15.75" customHeight="1" s="201">
      <c r="A310" s="14" t="inlineStr">
        <is>
          <t>FISHING</t>
        </is>
      </c>
      <c r="B310" s="4" t="inlineStr">
        <is>
          <t>TROUT (F)</t>
        </is>
      </c>
      <c r="C310" s="15" t="n">
        <v>4.38</v>
      </c>
      <c r="D310" s="15" t="inlineStr">
        <is>
          <t>H</t>
        </is>
      </c>
      <c r="E310" s="15" t="inlineStr">
        <is>
          <t>better typology</t>
        </is>
      </c>
      <c r="F310" s="5" t="inlineStr">
        <is>
          <t>FISH FROZEN</t>
        </is>
      </c>
      <c r="G310" s="16" t="n">
        <v>2.2</v>
      </c>
      <c r="H310" s="17" t="inlineStr">
        <is>
          <t>-</t>
        </is>
      </c>
      <c r="I310" s="18" t="inlineStr">
        <is>
          <t>-</t>
        </is>
      </c>
      <c r="J310" t="n">
        <v>26111120</v>
      </c>
    </row>
    <row r="311" ht="15.75" customHeight="1" s="201">
      <c r="A311" s="14" t="inlineStr">
        <is>
          <t>FISHING</t>
        </is>
      </c>
      <c r="B311" s="4" t="inlineStr">
        <is>
          <t>TUNA (F)</t>
        </is>
      </c>
      <c r="C311" s="15" t="n">
        <v>2.64</v>
      </c>
      <c r="D311" s="15" t="inlineStr">
        <is>
          <t>L</t>
        </is>
      </c>
      <c r="E311" s="15" t="inlineStr">
        <is>
          <t>OK item</t>
        </is>
      </c>
      <c r="F311" s="5" t="inlineStr">
        <is>
          <t>FISH FROZEN</t>
        </is>
      </c>
      <c r="G311" s="16" t="n">
        <v>2.2</v>
      </c>
      <c r="H311" s="17" t="inlineStr">
        <is>
          <t>-</t>
        </is>
      </c>
      <c r="I311" s="18" t="inlineStr">
        <is>
          <t>-</t>
        </is>
      </c>
      <c r="J311" t="n">
        <v>27550730</v>
      </c>
    </row>
    <row r="312" ht="15.75" customHeight="1" s="201">
      <c r="A312" s="14" t="inlineStr">
        <is>
          <t>FISHING</t>
        </is>
      </c>
      <c r="B312" s="4" t="inlineStr">
        <is>
          <t>COD FISH STICK</t>
        </is>
      </c>
      <c r="C312" s="15" t="n">
        <v>2.14</v>
      </c>
      <c r="D312" s="15" t="inlineStr">
        <is>
          <t>H</t>
        </is>
      </c>
      <c r="E312" s="15" t="inlineStr">
        <is>
          <t>better typology</t>
        </is>
      </c>
      <c r="F312" s="5" t="inlineStr">
        <is>
          <t>FISH PROCESSED</t>
        </is>
      </c>
      <c r="G312" s="16" t="n">
        <v>2.12</v>
      </c>
      <c r="H312" s="17" t="inlineStr">
        <is>
          <t>-</t>
        </is>
      </c>
      <c r="I312" s="18" t="inlineStr">
        <is>
          <t>-</t>
        </is>
      </c>
      <c r="J312" t="n">
        <v>26100260</v>
      </c>
    </row>
    <row r="313" ht="15.75" customHeight="1" s="201">
      <c r="A313" s="14" t="inlineStr">
        <is>
          <t>FISHING</t>
        </is>
      </c>
      <c r="B313" s="4" t="inlineStr">
        <is>
          <t>HAKE FISH STICK</t>
        </is>
      </c>
      <c r="C313" s="15" t="n">
        <v>2.14</v>
      </c>
      <c r="D313" s="15" t="inlineStr">
        <is>
          <t>H</t>
        </is>
      </c>
      <c r="E313" s="15" t="inlineStr">
        <is>
          <t>better typology</t>
        </is>
      </c>
      <c r="F313" s="5" t="inlineStr">
        <is>
          <t>FISH PROCESSED</t>
        </is>
      </c>
      <c r="G313" s="16" t="n">
        <v>2.12</v>
      </c>
      <c r="H313" s="17" t="inlineStr">
        <is>
          <t>-</t>
        </is>
      </c>
      <c r="I313" s="18" t="inlineStr">
        <is>
          <t>-</t>
        </is>
      </c>
      <c r="J313" t="n">
        <v>26100260</v>
      </c>
    </row>
    <row r="314" ht="15.75" customHeight="1" s="201">
      <c r="A314" s="14" t="inlineStr">
        <is>
          <t>FISHING</t>
        </is>
      </c>
      <c r="B314" s="4" t="inlineStr">
        <is>
          <t>MAKEREL FISH STICK</t>
        </is>
      </c>
      <c r="C314" s="15" t="n">
        <v>1.02</v>
      </c>
      <c r="D314" s="15" t="inlineStr">
        <is>
          <t>H</t>
        </is>
      </c>
      <c r="E314" s="15" t="inlineStr">
        <is>
          <t>better typology</t>
        </is>
      </c>
      <c r="F314" s="5" t="inlineStr">
        <is>
          <t>FISH PROCESSED</t>
        </is>
      </c>
      <c r="G314" s="16" t="n">
        <v>2.12</v>
      </c>
      <c r="H314" s="17" t="inlineStr">
        <is>
          <t>-</t>
        </is>
      </c>
      <c r="I314" s="18" t="inlineStr">
        <is>
          <t>-</t>
        </is>
      </c>
      <c r="J314" t="n">
        <v>26100260</v>
      </c>
    </row>
    <row r="315" ht="15.75" customHeight="1" s="201">
      <c r="A315" s="14" t="inlineStr">
        <is>
          <t>FISHING</t>
        </is>
      </c>
      <c r="B315" s="4" t="inlineStr">
        <is>
          <t>TUNA IN CAN</t>
        </is>
      </c>
      <c r="C315" s="15" t="n">
        <v>2.1</v>
      </c>
      <c r="D315" s="15" t="inlineStr">
        <is>
          <t>L</t>
        </is>
      </c>
      <c r="E315" s="15" t="inlineStr">
        <is>
          <t>OK item</t>
        </is>
      </c>
      <c r="F315" s="5" t="inlineStr">
        <is>
          <t>FISH PROCESSED</t>
        </is>
      </c>
      <c r="G315" s="16" t="n">
        <v>2.12</v>
      </c>
      <c r="H315" s="17" t="inlineStr">
        <is>
          <t>-</t>
        </is>
      </c>
      <c r="I315" s="18" t="inlineStr">
        <is>
          <t>-</t>
        </is>
      </c>
      <c r="J315" t="n">
        <v>27550730</v>
      </c>
    </row>
    <row r="316" ht="15.75" customHeight="1" s="201">
      <c r="A316" s="14" t="inlineStr">
        <is>
          <t>FISHING</t>
        </is>
      </c>
      <c r="B316" s="4" t="inlineStr">
        <is>
          <t>BARNACLE</t>
        </is>
      </c>
      <c r="C316" s="15" t="n">
        <v>2.3</v>
      </c>
      <c r="D316" s="15" t="inlineStr">
        <is>
          <t>L</t>
        </is>
      </c>
      <c r="E316" s="15" t="inlineStr">
        <is>
          <t>OK item</t>
        </is>
      </c>
      <c r="F316" s="5" t="inlineStr">
        <is>
          <t>SHELLFISH</t>
        </is>
      </c>
      <c r="G316" s="16" t="n">
        <v>5.67</v>
      </c>
      <c r="H316" s="17" t="inlineStr">
        <is>
          <t>-</t>
        </is>
      </c>
      <c r="I316" s="18" t="inlineStr">
        <is>
          <t>-</t>
        </is>
      </c>
    </row>
    <row r="317" ht="15.75" customHeight="1" s="201">
      <c r="A317" s="14" t="inlineStr">
        <is>
          <t>FISHING</t>
        </is>
      </c>
      <c r="B317" s="4" t="inlineStr">
        <is>
          <t>KRILL</t>
        </is>
      </c>
      <c r="C317" s="15" t="n">
        <v>5.54</v>
      </c>
      <c r="D317" s="15" t="inlineStr">
        <is>
          <t>H</t>
        </is>
      </c>
      <c r="E317" s="15" t="inlineStr">
        <is>
          <t>better typology</t>
        </is>
      </c>
      <c r="F317" s="5" t="inlineStr">
        <is>
          <t>SHELLFISH</t>
        </is>
      </c>
      <c r="G317" s="16" t="n">
        <v>5.67</v>
      </c>
      <c r="H317" s="17" t="inlineStr">
        <is>
          <t>-</t>
        </is>
      </c>
      <c r="I317" s="18" t="inlineStr">
        <is>
          <t>-</t>
        </is>
      </c>
    </row>
    <row r="318" ht="15.75" customHeight="1" s="201">
      <c r="A318" s="14" t="inlineStr">
        <is>
          <t>FISHING</t>
        </is>
      </c>
      <c r="B318" s="4" t="inlineStr">
        <is>
          <t>LOBSTER</t>
        </is>
      </c>
      <c r="C318" s="15" t="n">
        <v>20.25</v>
      </c>
      <c r="D318" s="15" t="inlineStr">
        <is>
          <t>L</t>
        </is>
      </c>
      <c r="E318" s="15" t="inlineStr">
        <is>
          <t>OK item</t>
        </is>
      </c>
      <c r="F318" s="5" t="inlineStr">
        <is>
          <t>SHELLFISH</t>
        </is>
      </c>
      <c r="G318" s="16" t="n">
        <v>5.67</v>
      </c>
      <c r="H318" s="17" t="inlineStr">
        <is>
          <t>-</t>
        </is>
      </c>
      <c r="I318" s="18" t="inlineStr">
        <is>
          <t>-</t>
        </is>
      </c>
      <c r="J318" t="n">
        <v>26311110</v>
      </c>
    </row>
    <row r="319" ht="15.75" customHeight="1" s="201">
      <c r="A319" s="14" t="inlineStr">
        <is>
          <t>FISHING</t>
        </is>
      </c>
      <c r="B319" s="4" t="inlineStr">
        <is>
          <t>MUSSELS</t>
        </is>
      </c>
      <c r="C319" s="15" t="n">
        <v>0.46</v>
      </c>
      <c r="D319" s="15" t="inlineStr">
        <is>
          <t>L</t>
        </is>
      </c>
      <c r="E319" s="15" t="inlineStr">
        <is>
          <t>OK item</t>
        </is>
      </c>
      <c r="F319" s="5" t="inlineStr">
        <is>
          <t>SHELLFISH</t>
        </is>
      </c>
      <c r="G319" s="16" t="n">
        <v>5.67</v>
      </c>
      <c r="H319" s="20" t="inlineStr">
        <is>
          <t>BIVALVES* (SUB-TYP) (Mussels)</t>
        </is>
      </c>
      <c r="I319" s="21" t="n">
        <v>0.46</v>
      </c>
      <c r="J319" t="n">
        <v>26313100</v>
      </c>
    </row>
    <row r="320" ht="15.75" customHeight="1" s="201">
      <c r="A320" s="14" t="inlineStr">
        <is>
          <t>FISHING</t>
        </is>
      </c>
      <c r="B320" s="4" t="inlineStr">
        <is>
          <t>CUTTLEFISH</t>
        </is>
      </c>
      <c r="C320" s="15" t="n">
        <v>5.05</v>
      </c>
      <c r="D320" s="15" t="inlineStr">
        <is>
          <t>H</t>
        </is>
      </c>
      <c r="E320" s="15" t="inlineStr">
        <is>
          <t>better typol. or subtypol.</t>
        </is>
      </c>
      <c r="F320" s="5" t="inlineStr">
        <is>
          <t>SHELLFISH</t>
        </is>
      </c>
      <c r="G320" s="16" t="n">
        <v>5.67</v>
      </c>
      <c r="H320" s="20" t="inlineStr">
        <is>
          <t>CEPHALOPOD (SUB-TYP)</t>
        </is>
      </c>
      <c r="I320" s="22" t="n">
        <v>5.8</v>
      </c>
      <c r="J320" t="n">
        <v>26213120</v>
      </c>
    </row>
    <row r="321" ht="15.75" customHeight="1" s="201">
      <c r="A321" s="14" t="inlineStr">
        <is>
          <t>FISHING</t>
        </is>
      </c>
      <c r="B321" s="4" t="inlineStr">
        <is>
          <t>OCTOPUS</t>
        </is>
      </c>
      <c r="C321" s="15" t="n">
        <v>5.8</v>
      </c>
      <c r="D321" s="15" t="inlineStr">
        <is>
          <t>H</t>
        </is>
      </c>
      <c r="E321" s="15" t="inlineStr">
        <is>
          <t>better typol. or subtypol.</t>
        </is>
      </c>
      <c r="F321" s="5" t="inlineStr">
        <is>
          <t>SHELLFISH</t>
        </is>
      </c>
      <c r="G321" s="16" t="n">
        <v>5.67</v>
      </c>
      <c r="H321" s="20" t="inlineStr">
        <is>
          <t>CEPHALOPOD (SUB-TYP)</t>
        </is>
      </c>
      <c r="I321" s="22" t="n">
        <v>5.8</v>
      </c>
      <c r="J321" t="n">
        <v>26205110</v>
      </c>
    </row>
    <row r="322" ht="15.75" customHeight="1" s="201">
      <c r="A322" s="14" t="inlineStr">
        <is>
          <t>FISHING</t>
        </is>
      </c>
      <c r="B322" s="4" t="inlineStr">
        <is>
          <t>SQUID</t>
        </is>
      </c>
      <c r="C322" s="15" t="n">
        <v>6.91</v>
      </c>
      <c r="D322" s="15" t="inlineStr">
        <is>
          <t>H</t>
        </is>
      </c>
      <c r="E322" s="15" t="inlineStr">
        <is>
          <t>better typol. or subtypol.</t>
        </is>
      </c>
      <c r="F322" s="5" t="inlineStr">
        <is>
          <t>SHELLFISH</t>
        </is>
      </c>
      <c r="G322" s="16" t="n">
        <v>5.67</v>
      </c>
      <c r="H322" s="20" t="inlineStr">
        <is>
          <t>CEPHALOPOD (SUB-TYP)</t>
        </is>
      </c>
      <c r="I322" s="22" t="n">
        <v>5.8</v>
      </c>
      <c r="J322" t="n">
        <v>26213190</v>
      </c>
    </row>
    <row r="323" ht="15.75" customHeight="1" s="201">
      <c r="A323" s="14" t="inlineStr">
        <is>
          <t>FISHING</t>
        </is>
      </c>
      <c r="B323" s="4" t="inlineStr">
        <is>
          <t>PRAWNS/SHRIMPS</t>
        </is>
      </c>
      <c r="C323" s="15" t="n">
        <v>7.04</v>
      </c>
      <c r="D323" s="15" t="inlineStr">
        <is>
          <t>L</t>
        </is>
      </c>
      <c r="E323" s="15" t="inlineStr">
        <is>
          <t>OK item</t>
        </is>
      </c>
      <c r="F323" s="5" t="inlineStr">
        <is>
          <t>SHELLFISH</t>
        </is>
      </c>
      <c r="G323" s="16" t="n">
        <v>5.67</v>
      </c>
      <c r="H323" s="20" t="inlineStr">
        <is>
          <t>CRUSTACEAN* (SUB-TYP) (Prawns/Shrimps)</t>
        </is>
      </c>
      <c r="I323" s="23" t="n">
        <v>7.04</v>
      </c>
    </row>
    <row r="324" ht="15.75" customHeight="1" s="201">
      <c r="A324" s="14" t="inlineStr">
        <is>
          <t>FISHING</t>
        </is>
      </c>
      <c r="B324" s="4" t="inlineStr">
        <is>
          <t>OCTOPUS (F)</t>
        </is>
      </c>
      <c r="C324" s="15" t="n">
        <v>7.88</v>
      </c>
      <c r="D324" s="15" t="inlineStr">
        <is>
          <t>H</t>
        </is>
      </c>
      <c r="E324" s="15" t="inlineStr">
        <is>
          <t>better typology</t>
        </is>
      </c>
      <c r="F324" s="5" t="inlineStr">
        <is>
          <t>SHELLFISH FROZEN</t>
        </is>
      </c>
      <c r="G324" s="16" t="n">
        <v>11.47</v>
      </c>
      <c r="H324" s="17" t="inlineStr">
        <is>
          <t>-</t>
        </is>
      </c>
      <c r="I324" s="18" t="inlineStr">
        <is>
          <t>-</t>
        </is>
      </c>
      <c r="J324" t="n">
        <v>26205110</v>
      </c>
    </row>
    <row r="325" ht="15.75" customHeight="1" s="201">
      <c r="A325" s="14" t="inlineStr">
        <is>
          <t>FISHING</t>
        </is>
      </c>
      <c r="B325" s="4" t="inlineStr">
        <is>
          <t>PRAWNS/SHRIMPS (F)</t>
        </is>
      </c>
      <c r="C325" s="15" t="n">
        <v>15.07</v>
      </c>
      <c r="D325" s="15" t="inlineStr">
        <is>
          <t>L</t>
        </is>
      </c>
      <c r="E325" s="15" t="inlineStr">
        <is>
          <t>OK item</t>
        </is>
      </c>
      <c r="F325" s="5" t="inlineStr">
        <is>
          <t>SHELLFISH FROZEN</t>
        </is>
      </c>
      <c r="G325" s="16" t="n">
        <v>11.47</v>
      </c>
      <c r="H325" s="17" t="inlineStr">
        <is>
          <t>-</t>
        </is>
      </c>
      <c r="I325" s="18" t="inlineStr">
        <is>
          <t>-</t>
        </is>
      </c>
    </row>
    <row r="326" ht="15.75" customHeight="1" s="201"/>
    <row r="327" ht="15.75" customHeight="1" s="201"/>
    <row r="328" ht="15.75" customHeight="1" s="201"/>
    <row r="329" ht="15.75" customHeight="1" s="201"/>
    <row r="330" ht="15.75" customHeight="1" s="201"/>
    <row r="331" ht="15.75" customHeight="1" s="201"/>
    <row r="332" ht="15.75" customHeight="1" s="201"/>
    <row r="333" ht="15.75" customHeight="1" s="201"/>
    <row r="334" ht="15.75" customHeight="1" s="201"/>
    <row r="335" ht="15.75" customHeight="1" s="201"/>
    <row r="336" ht="15.75" customHeight="1" s="201"/>
    <row r="337" ht="15.75" customHeight="1" s="201"/>
    <row r="338" ht="15.75" customHeight="1" s="201"/>
    <row r="339" ht="15.75" customHeight="1" s="201"/>
    <row r="340" ht="15.75" customHeight="1" s="201"/>
    <row r="341" ht="15.75" customHeight="1" s="201"/>
    <row r="342" ht="15.75" customHeight="1" s="201"/>
    <row r="343" ht="15.75" customHeight="1" s="201"/>
    <row r="344" ht="15.75" customHeight="1" s="201"/>
    <row r="345" ht="15.75" customHeight="1" s="201"/>
    <row r="346" ht="15.75" customHeight="1" s="201"/>
    <row r="347" ht="15.75" customHeight="1" s="201"/>
    <row r="348" ht="15.75" customHeight="1" s="201"/>
    <row r="349" ht="15.75" customHeight="1" s="201"/>
    <row r="350" ht="15.75" customHeight="1" s="201"/>
    <row r="351" ht="15.75" customHeight="1" s="201"/>
    <row r="352" ht="15.75" customHeight="1" s="201"/>
    <row r="353" ht="15.75" customHeight="1" s="201"/>
    <row r="354" ht="15.75" customHeight="1" s="201"/>
    <row r="355" ht="15.75" customHeight="1" s="201"/>
    <row r="356" ht="15.75" customHeight="1" s="201"/>
    <row r="357" ht="15.75" customHeight="1" s="201"/>
    <row r="358" ht="15.75" customHeight="1" s="201"/>
    <row r="359" ht="15.75" customHeight="1" s="201"/>
    <row r="360" ht="15.75" customHeight="1" s="201"/>
    <row r="361" ht="15.75" customHeight="1" s="201"/>
    <row r="362" ht="15.75" customHeight="1" s="201"/>
    <row r="363" ht="15.75" customHeight="1" s="201"/>
    <row r="364" ht="15.75" customHeight="1" s="201"/>
    <row r="365" ht="15.75" customHeight="1" s="201"/>
    <row r="366" ht="15.75" customHeight="1" s="201"/>
    <row r="367" ht="15.75" customHeight="1" s="201"/>
    <row r="368" ht="15.75" customHeight="1" s="201"/>
    <row r="369" ht="15.75" customHeight="1" s="201"/>
    <row r="370" ht="15.75" customHeight="1" s="201"/>
    <row r="371" ht="15.75" customHeight="1" s="201"/>
    <row r="372" ht="15.75" customHeight="1" s="201"/>
    <row r="373" ht="15.75" customHeight="1" s="201"/>
    <row r="374" ht="15.75" customHeight="1" s="201"/>
    <row r="375" ht="15.75" customHeight="1" s="201"/>
    <row r="376" ht="15.75" customHeight="1" s="201"/>
    <row r="377" ht="15.75" customHeight="1" s="201"/>
    <row r="378" ht="15.75" customHeight="1" s="201"/>
    <row r="379" ht="15.75" customHeight="1" s="201"/>
    <row r="380" ht="15.75" customHeight="1" s="201"/>
    <row r="381" ht="15.75" customHeight="1" s="201"/>
    <row r="382" ht="15.75" customHeight="1" s="201"/>
    <row r="383" ht="15.75" customHeight="1" s="201"/>
    <row r="384" ht="15.75" customHeight="1" s="201"/>
    <row r="385" ht="15.75" customHeight="1" s="201"/>
    <row r="386" ht="15.75" customHeight="1" s="201"/>
    <row r="387" ht="15.75" customHeight="1" s="201"/>
    <row r="388" ht="15.75" customHeight="1" s="201"/>
    <row r="389" ht="15.75" customHeight="1" s="201"/>
    <row r="390" ht="15.75" customHeight="1" s="201"/>
    <row r="391" ht="15.75" customHeight="1" s="201"/>
    <row r="392" ht="15.75" customHeight="1" s="201"/>
    <row r="393" ht="15.75" customHeight="1" s="201"/>
    <row r="394" ht="15.75" customHeight="1" s="201"/>
    <row r="395" ht="15.75" customHeight="1" s="201"/>
    <row r="396" ht="15.75" customHeight="1" s="201"/>
    <row r="397" ht="15.75" customHeight="1" s="201"/>
    <row r="398" ht="15.75" customHeight="1" s="201"/>
    <row r="399" ht="15.75" customHeight="1" s="201"/>
    <row r="400" ht="15.75" customHeight="1" s="201"/>
    <row r="401" ht="15.75" customHeight="1" s="201"/>
    <row r="402" ht="15.75" customHeight="1" s="201"/>
    <row r="403" ht="15.75" customHeight="1" s="201"/>
    <row r="404" ht="15.75" customHeight="1" s="201"/>
    <row r="405" ht="15.75" customHeight="1" s="201"/>
    <row r="406" ht="15.75" customHeight="1" s="201"/>
    <row r="407" ht="15.75" customHeight="1" s="201"/>
    <row r="408" ht="15.75" customHeight="1" s="201"/>
    <row r="409" ht="15.75" customHeight="1" s="201"/>
    <row r="410" ht="15.75" customHeight="1" s="201"/>
    <row r="411" ht="15.75" customHeight="1" s="201"/>
    <row r="412" ht="15.75" customHeight="1" s="201"/>
    <row r="413" ht="15.75" customHeight="1" s="201"/>
    <row r="414" ht="15.75" customHeight="1" s="201"/>
    <row r="415" ht="15.75" customHeight="1" s="201"/>
    <row r="416" ht="15.75" customHeight="1" s="201"/>
    <row r="417" ht="15.75" customHeight="1" s="201"/>
    <row r="418" ht="15.75" customHeight="1" s="201"/>
    <row r="419" ht="15.75" customHeight="1" s="201"/>
    <row r="420" ht="15.75" customHeight="1" s="201"/>
    <row r="421" ht="15.75" customHeight="1" s="201"/>
    <row r="422" ht="15.75" customHeight="1" s="201"/>
    <row r="423" ht="15.75" customHeight="1" s="201"/>
    <row r="424" ht="15.75" customHeight="1" s="201"/>
    <row r="425" ht="15.75" customHeight="1" s="201"/>
    <row r="426" ht="15.75" customHeight="1" s="201"/>
    <row r="427" ht="15.75" customHeight="1" s="201"/>
    <row r="428" ht="15.75" customHeight="1" s="201"/>
    <row r="429" ht="15.75" customHeight="1" s="201"/>
    <row r="430" ht="15.75" customHeight="1" s="201"/>
    <row r="431" ht="15.75" customHeight="1" s="201"/>
    <row r="432" ht="15.75" customHeight="1" s="201"/>
    <row r="433" ht="15.75" customHeight="1" s="201"/>
    <row r="434" ht="15.75" customHeight="1" s="201"/>
    <row r="435" ht="15.75" customHeight="1" s="201"/>
    <row r="436" ht="15.75" customHeight="1" s="201"/>
    <row r="437" ht="15.75" customHeight="1" s="201"/>
    <row r="438" ht="15.75" customHeight="1" s="201"/>
    <row r="439" ht="15.75" customHeight="1" s="201"/>
    <row r="440" ht="15.75" customHeight="1" s="201"/>
    <row r="441" ht="15.75" customHeight="1" s="201"/>
    <row r="442" ht="15.75" customHeight="1" s="201"/>
    <row r="443" ht="15.75" customHeight="1" s="201"/>
    <row r="444" ht="15.75" customHeight="1" s="201"/>
    <row r="445" ht="15.75" customHeight="1" s="201"/>
    <row r="446" ht="15.75" customHeight="1" s="201"/>
    <row r="447" ht="15.75" customHeight="1" s="201"/>
    <row r="448" ht="15.75" customHeight="1" s="201"/>
    <row r="449" ht="15.75" customHeight="1" s="201"/>
    <row r="450" ht="15.75" customHeight="1" s="201"/>
    <row r="451" ht="15.75" customHeight="1" s="201"/>
    <row r="452" ht="15.75" customHeight="1" s="201"/>
    <row r="453" ht="15.75" customHeight="1" s="201"/>
    <row r="454" ht="15.75" customHeight="1" s="201"/>
    <row r="455" ht="15.75" customHeight="1" s="201"/>
    <row r="456" ht="15.75" customHeight="1" s="201"/>
    <row r="457" ht="15.75" customHeight="1" s="201"/>
    <row r="458" ht="15.75" customHeight="1" s="201"/>
    <row r="459" ht="15.75" customHeight="1" s="201"/>
    <row r="460" ht="15.75" customHeight="1" s="201"/>
    <row r="461" ht="15.75" customHeight="1" s="201"/>
    <row r="462" ht="15.75" customHeight="1" s="201"/>
    <row r="463" ht="15.75" customHeight="1" s="201"/>
    <row r="464" ht="15.75" customHeight="1" s="201"/>
    <row r="465" ht="15.75" customHeight="1" s="201"/>
    <row r="466" ht="15.75" customHeight="1" s="201"/>
    <row r="467" ht="15.75" customHeight="1" s="201"/>
    <row r="468" ht="15.75" customHeight="1" s="201"/>
    <row r="469" ht="15.75" customHeight="1" s="201"/>
    <row r="470" ht="15.75" customHeight="1" s="201"/>
    <row r="471" ht="15.75" customHeight="1" s="201"/>
    <row r="472" ht="15.75" customHeight="1" s="201"/>
    <row r="473" ht="15.75" customHeight="1" s="201"/>
    <row r="474" ht="15.75" customHeight="1" s="201"/>
    <row r="475" ht="15.75" customHeight="1" s="201"/>
    <row r="476" ht="15.75" customHeight="1" s="201"/>
    <row r="477" ht="15.75" customHeight="1" s="201"/>
    <row r="478" ht="15.75" customHeight="1" s="201"/>
    <row r="479" ht="15.75" customHeight="1" s="201"/>
    <row r="480" ht="15.75" customHeight="1" s="201"/>
    <row r="481" ht="15.75" customHeight="1" s="201"/>
    <row r="482" ht="15.75" customHeight="1" s="201"/>
    <row r="483" ht="15.75" customHeight="1" s="201"/>
    <row r="484" ht="15.75" customHeight="1" s="201"/>
    <row r="485" ht="15.75" customHeight="1" s="201"/>
    <row r="486" ht="15.75" customHeight="1" s="201"/>
    <row r="487" ht="15.75" customHeight="1" s="201"/>
    <row r="488" ht="15.75" customHeight="1" s="201"/>
    <row r="489" ht="15.75" customHeight="1" s="201"/>
    <row r="490" ht="15.75" customHeight="1" s="201"/>
    <row r="491" ht="15.75" customHeight="1" s="201"/>
    <row r="492" ht="15.75" customHeight="1" s="201"/>
    <row r="493" ht="15.75" customHeight="1" s="201"/>
    <row r="494" ht="15.75" customHeight="1" s="201"/>
    <row r="495" ht="15.75" customHeight="1" s="201"/>
    <row r="496" ht="15.75" customHeight="1" s="201"/>
    <row r="497" ht="15.75" customHeight="1" s="201"/>
    <row r="498" ht="15.75" customHeight="1" s="201"/>
    <row r="499" ht="15.75" customHeight="1" s="201"/>
    <row r="500" ht="15.75" customHeight="1" s="201"/>
    <row r="501" ht="15.75" customHeight="1" s="201"/>
    <row r="502" ht="15.75" customHeight="1" s="201"/>
    <row r="503" ht="15.75" customHeight="1" s="201"/>
    <row r="504" ht="15.75" customHeight="1" s="201"/>
    <row r="505" ht="15.75" customHeight="1" s="201"/>
    <row r="506" ht="15.75" customHeight="1" s="201"/>
    <row r="507" ht="15.75" customHeight="1" s="201"/>
    <row r="508" ht="15.75" customHeight="1" s="201"/>
    <row r="509" ht="15.75" customHeight="1" s="201"/>
    <row r="510" ht="15.75" customHeight="1" s="201"/>
    <row r="511" ht="15.75" customHeight="1" s="201"/>
    <row r="512" ht="15.75" customHeight="1" s="201"/>
    <row r="513" ht="15.75" customHeight="1" s="201"/>
    <row r="514" ht="15.75" customHeight="1" s="201"/>
    <row r="515" ht="15.75" customHeight="1" s="201"/>
    <row r="516" ht="15.75" customHeight="1" s="201"/>
    <row r="517" ht="15.75" customHeight="1" s="201"/>
    <row r="518" ht="15.75" customHeight="1" s="201"/>
    <row r="519" ht="15.75" customHeight="1" s="201"/>
    <row r="520" ht="15.75" customHeight="1" s="201"/>
    <row r="521" ht="15.75" customHeight="1" s="201"/>
    <row r="522" ht="15.75" customHeight="1" s="201"/>
    <row r="523" ht="15.75" customHeight="1" s="201"/>
    <row r="524" ht="15.75" customHeight="1" s="201"/>
    <row r="525" ht="15.75" customHeight="1" s="201"/>
    <row r="526" ht="15.75" customHeight="1" s="201"/>
    <row r="527" ht="15.75" customHeight="1" s="201"/>
    <row r="528" ht="15.75" customHeight="1" s="201"/>
    <row r="529" ht="15.75" customHeight="1" s="201"/>
    <row r="530" ht="15.75" customHeight="1" s="201"/>
    <row r="531" ht="15.75" customHeight="1" s="201"/>
    <row r="532" ht="15.75" customHeight="1" s="201"/>
    <row r="533" ht="15.75" customHeight="1" s="201"/>
    <row r="534" ht="15.75" customHeight="1" s="201"/>
    <row r="535" ht="15.75" customHeight="1" s="201"/>
    <row r="536" ht="15.75" customHeight="1" s="201"/>
    <row r="537" ht="15.75" customHeight="1" s="201"/>
    <row r="538" ht="15.75" customHeight="1" s="201"/>
    <row r="539" ht="15.75" customHeight="1" s="201"/>
    <row r="540" ht="15.75" customHeight="1" s="201"/>
    <row r="541" ht="15.75" customHeight="1" s="201"/>
    <row r="542" ht="15.75" customHeight="1" s="201"/>
    <row r="543" ht="15.75" customHeight="1" s="201"/>
    <row r="544" ht="15.75" customHeight="1" s="201"/>
    <row r="545" ht="15.75" customHeight="1" s="201"/>
    <row r="546" ht="15.75" customHeight="1" s="201"/>
    <row r="547" ht="15.75" customHeight="1" s="201"/>
    <row r="548" ht="15.75" customHeight="1" s="201"/>
    <row r="549" ht="15.75" customHeight="1" s="201"/>
    <row r="550" ht="15.75" customHeight="1" s="201"/>
    <row r="551" ht="15.75" customHeight="1" s="201"/>
    <row r="552" ht="15.75" customHeight="1" s="201"/>
    <row r="553" ht="15.75" customHeight="1" s="201"/>
    <row r="554" ht="15.75" customHeight="1" s="201"/>
    <row r="555" ht="15.75" customHeight="1" s="201"/>
    <row r="556" ht="15.75" customHeight="1" s="201"/>
    <row r="557" ht="15.75" customHeight="1" s="201"/>
    <row r="558" ht="15.75" customHeight="1" s="201"/>
    <row r="559" ht="15.75" customHeight="1" s="201"/>
    <row r="560" ht="15.75" customHeight="1" s="201"/>
    <row r="561" ht="15.75" customHeight="1" s="201"/>
    <row r="562" ht="15.75" customHeight="1" s="201"/>
    <row r="563" ht="15.75" customHeight="1" s="201"/>
    <row r="564" ht="15.75" customHeight="1" s="201"/>
    <row r="565" ht="15.75" customHeight="1" s="201"/>
    <row r="566" ht="15.75" customHeight="1" s="201"/>
    <row r="567" ht="15.75" customHeight="1" s="201"/>
    <row r="568" ht="15.75" customHeight="1" s="201"/>
    <row r="569" ht="15.75" customHeight="1" s="201"/>
    <row r="570" ht="15.75" customHeight="1" s="201"/>
    <row r="571" ht="15.75" customHeight="1" s="201"/>
    <row r="572" ht="15.75" customHeight="1" s="201"/>
    <row r="573" ht="15.75" customHeight="1" s="201"/>
    <row r="574" ht="15.75" customHeight="1" s="201"/>
    <row r="575" ht="15.75" customHeight="1" s="201"/>
    <row r="576" ht="15.75" customHeight="1" s="201"/>
    <row r="577" ht="15.75" customHeight="1" s="201"/>
    <row r="578" ht="15.75" customHeight="1" s="201"/>
    <row r="579" ht="15.75" customHeight="1" s="201"/>
    <row r="580" ht="15.75" customHeight="1" s="201"/>
    <row r="581" ht="15.75" customHeight="1" s="201"/>
    <row r="582" ht="15.75" customHeight="1" s="201"/>
    <row r="583" ht="15.75" customHeight="1" s="201"/>
    <row r="584" ht="15.75" customHeight="1" s="201"/>
    <row r="585" ht="15.75" customHeight="1" s="201"/>
    <row r="586" ht="15.75" customHeight="1" s="201"/>
    <row r="587" ht="15.75" customHeight="1" s="201"/>
    <row r="588" ht="15.75" customHeight="1" s="201"/>
    <row r="589" ht="15.75" customHeight="1" s="201"/>
    <row r="590" ht="15.75" customHeight="1" s="201"/>
    <row r="591" ht="15.75" customHeight="1" s="201"/>
    <row r="592" ht="15.75" customHeight="1" s="201"/>
    <row r="593" ht="15.75" customHeight="1" s="201"/>
    <row r="594" ht="15.75" customHeight="1" s="201"/>
    <row r="595" ht="15.75" customHeight="1" s="201"/>
    <row r="596" ht="15.75" customHeight="1" s="201"/>
    <row r="597" ht="15.75" customHeight="1" s="201"/>
    <row r="598" ht="15.75" customHeight="1" s="201"/>
    <row r="599" ht="15.75" customHeight="1" s="201"/>
    <row r="600" ht="15.75" customHeight="1" s="201"/>
    <row r="601" ht="15.75" customHeight="1" s="201"/>
    <row r="602" ht="15.75" customHeight="1" s="201"/>
    <row r="603" ht="15.75" customHeight="1" s="201"/>
    <row r="604" ht="15.75" customHeight="1" s="201"/>
    <row r="605" ht="15.75" customHeight="1" s="201"/>
    <row r="606" ht="15.75" customHeight="1" s="201"/>
    <row r="607" ht="15.75" customHeight="1" s="201"/>
    <row r="608" ht="15.75" customHeight="1" s="201"/>
    <row r="609" ht="15.75" customHeight="1" s="201"/>
    <row r="610" ht="15.75" customHeight="1" s="201"/>
    <row r="611" ht="15.75" customHeight="1" s="201"/>
    <row r="612" ht="15.75" customHeight="1" s="201"/>
    <row r="613" ht="15.75" customHeight="1" s="201"/>
    <row r="614" ht="15.75" customHeight="1" s="201"/>
    <row r="615" ht="15.75" customHeight="1" s="201"/>
    <row r="616" ht="15.75" customHeight="1" s="201"/>
    <row r="617" ht="15.75" customHeight="1" s="201"/>
    <row r="618" ht="15.75" customHeight="1" s="201"/>
    <row r="619" ht="15.75" customHeight="1" s="201"/>
    <row r="620" ht="15.75" customHeight="1" s="201"/>
    <row r="621" ht="15.75" customHeight="1" s="201"/>
    <row r="622" ht="15.75" customHeight="1" s="201"/>
    <row r="623" ht="15.75" customHeight="1" s="201"/>
    <row r="624" ht="15.75" customHeight="1" s="201"/>
    <row r="625" ht="15.75" customHeight="1" s="201"/>
    <row r="626" ht="15.75" customHeight="1" s="201"/>
    <row r="627" ht="15.75" customHeight="1" s="201"/>
    <row r="628" ht="15.75" customHeight="1" s="201"/>
    <row r="629" ht="15.75" customHeight="1" s="201"/>
    <row r="630" ht="15.75" customHeight="1" s="201"/>
    <row r="631" ht="15.75" customHeight="1" s="201"/>
    <row r="632" ht="15.75" customHeight="1" s="201"/>
    <row r="633" ht="15.75" customHeight="1" s="201"/>
    <row r="634" ht="15.75" customHeight="1" s="201"/>
    <row r="635" ht="15.75" customHeight="1" s="201"/>
    <row r="636" ht="15.75" customHeight="1" s="201"/>
    <row r="637" ht="15.75" customHeight="1" s="201"/>
    <row r="638" ht="15.75" customHeight="1" s="201"/>
    <row r="639" ht="15.75" customHeight="1" s="201"/>
    <row r="640" ht="15.75" customHeight="1" s="201"/>
    <row r="641" ht="15.75" customHeight="1" s="201"/>
    <row r="642" ht="15.75" customHeight="1" s="201"/>
    <row r="643" ht="15.75" customHeight="1" s="201"/>
    <row r="644" ht="15.75" customHeight="1" s="201"/>
    <row r="645" ht="15.75" customHeight="1" s="201"/>
    <row r="646" ht="15.75" customHeight="1" s="201"/>
    <row r="647" ht="15.75" customHeight="1" s="201"/>
    <row r="648" ht="15.75" customHeight="1" s="201"/>
    <row r="649" ht="15.75" customHeight="1" s="201"/>
    <row r="650" ht="15.75" customHeight="1" s="201"/>
    <row r="651" ht="15.75" customHeight="1" s="201"/>
    <row r="652" ht="15.75" customHeight="1" s="201"/>
    <row r="653" ht="15.75" customHeight="1" s="201"/>
    <row r="654" ht="15.75" customHeight="1" s="201"/>
    <row r="655" ht="15.75" customHeight="1" s="201"/>
    <row r="656" ht="15.75" customHeight="1" s="201"/>
    <row r="657" ht="15.75" customHeight="1" s="201"/>
    <row r="658" ht="15.75" customHeight="1" s="201"/>
    <row r="659" ht="15.75" customHeight="1" s="201"/>
    <row r="660" ht="15.75" customHeight="1" s="201"/>
    <row r="661" ht="15.75" customHeight="1" s="201"/>
    <row r="662" ht="15.75" customHeight="1" s="201"/>
    <row r="663" ht="15.75" customHeight="1" s="201"/>
    <row r="664" ht="15.75" customHeight="1" s="201"/>
    <row r="665" ht="15.75" customHeight="1" s="201"/>
    <row r="666" ht="15.75" customHeight="1" s="201"/>
    <row r="667" ht="15.75" customHeight="1" s="201"/>
    <row r="668" ht="15.75" customHeight="1" s="201"/>
    <row r="669" ht="15.75" customHeight="1" s="201"/>
    <row r="670" ht="15.75" customHeight="1" s="201"/>
    <row r="671" ht="15.75" customHeight="1" s="201"/>
    <row r="672" ht="15.75" customHeight="1" s="201"/>
    <row r="673" ht="15.75" customHeight="1" s="201"/>
    <row r="674" ht="15.75" customHeight="1" s="201"/>
    <row r="675" ht="15.75" customHeight="1" s="201"/>
    <row r="676" ht="15.75" customHeight="1" s="201"/>
    <row r="677" ht="15.75" customHeight="1" s="201"/>
    <row r="678" ht="15.75" customHeight="1" s="201"/>
    <row r="679" ht="15.75" customHeight="1" s="201"/>
    <row r="680" ht="15.75" customHeight="1" s="201"/>
    <row r="681" ht="15.75" customHeight="1" s="201"/>
    <row r="682" ht="15.75" customHeight="1" s="201"/>
    <row r="683" ht="15.75" customHeight="1" s="201"/>
    <row r="684" ht="15.75" customHeight="1" s="201"/>
    <row r="685" ht="15.75" customHeight="1" s="201"/>
    <row r="686" ht="15.75" customHeight="1" s="201"/>
    <row r="687" ht="15.75" customHeight="1" s="201"/>
    <row r="688" ht="15.75" customHeight="1" s="201"/>
    <row r="689" ht="15.75" customHeight="1" s="201"/>
    <row r="690" ht="15.75" customHeight="1" s="201"/>
    <row r="691" ht="15.75" customHeight="1" s="201"/>
    <row r="692" ht="15.75" customHeight="1" s="201"/>
    <row r="693" ht="15.75" customHeight="1" s="201"/>
    <row r="694" ht="15.75" customHeight="1" s="201"/>
    <row r="695" ht="15.75" customHeight="1" s="201"/>
    <row r="696" ht="15.75" customHeight="1" s="201"/>
    <row r="697" ht="15.75" customHeight="1" s="201"/>
    <row r="698" ht="15.75" customHeight="1" s="201"/>
    <row r="699" ht="15.75" customHeight="1" s="201"/>
    <row r="700" ht="15.75" customHeight="1" s="201"/>
    <row r="701" ht="15.75" customHeight="1" s="201"/>
    <row r="702" ht="15.75" customHeight="1" s="201"/>
    <row r="703" ht="15.75" customHeight="1" s="201"/>
    <row r="704" ht="15.75" customHeight="1" s="201"/>
    <row r="705" ht="15.75" customHeight="1" s="201"/>
    <row r="706" ht="15.75" customHeight="1" s="201"/>
    <row r="707" ht="15.75" customHeight="1" s="201"/>
    <row r="708" ht="15.75" customHeight="1" s="201"/>
    <row r="709" ht="15.75" customHeight="1" s="201"/>
    <row r="710" ht="15.75" customHeight="1" s="201"/>
    <row r="711" ht="15.75" customHeight="1" s="201"/>
    <row r="712" ht="15.75" customHeight="1" s="201"/>
    <row r="713" ht="15.75" customHeight="1" s="201"/>
    <row r="714" ht="15.75" customHeight="1" s="201"/>
    <row r="715" ht="15.75" customHeight="1" s="201"/>
    <row r="716" ht="15.75" customHeight="1" s="201"/>
    <row r="717" ht="15.75" customHeight="1" s="201"/>
    <row r="718" ht="15.75" customHeight="1" s="201"/>
    <row r="719" ht="15.75" customHeight="1" s="201"/>
    <row r="720" ht="15.75" customHeight="1" s="201"/>
    <row r="721" ht="15.75" customHeight="1" s="201"/>
    <row r="722" ht="15.75" customHeight="1" s="201"/>
    <row r="723" ht="15.75" customHeight="1" s="201"/>
    <row r="724" ht="15.75" customHeight="1" s="201"/>
    <row r="725" ht="15.75" customHeight="1" s="201"/>
    <row r="726" ht="15.75" customHeight="1" s="201"/>
    <row r="727" ht="15.75" customHeight="1" s="201"/>
    <row r="728" ht="15.75" customHeight="1" s="201"/>
    <row r="729" ht="15.75" customHeight="1" s="201"/>
    <row r="730" ht="15.75" customHeight="1" s="201"/>
    <row r="731" ht="15.75" customHeight="1" s="201"/>
    <row r="732" ht="15.75" customHeight="1" s="201"/>
    <row r="733" ht="15.75" customHeight="1" s="201"/>
    <row r="734" ht="15.75" customHeight="1" s="201"/>
    <row r="735" ht="15.75" customHeight="1" s="201"/>
    <row r="736" ht="15.75" customHeight="1" s="201"/>
    <row r="737" ht="15.75" customHeight="1" s="201"/>
    <row r="738" ht="15.75" customHeight="1" s="201"/>
    <row r="739" ht="15.75" customHeight="1" s="201"/>
    <row r="740" ht="15.75" customHeight="1" s="201"/>
    <row r="741" ht="15.75" customHeight="1" s="201"/>
    <row r="742" ht="15.75" customHeight="1" s="201"/>
    <row r="743" ht="15.75" customHeight="1" s="201"/>
    <row r="744" ht="15.75" customHeight="1" s="201"/>
    <row r="745" ht="15.75" customHeight="1" s="201"/>
    <row r="746" ht="15.75" customHeight="1" s="201"/>
    <row r="747" ht="15.75" customHeight="1" s="201"/>
    <row r="748" ht="15.75" customHeight="1" s="201"/>
    <row r="749" ht="15.75" customHeight="1" s="201"/>
    <row r="750" ht="15.75" customHeight="1" s="201"/>
    <row r="751" ht="15.75" customHeight="1" s="201"/>
    <row r="752" ht="15.75" customHeight="1" s="201"/>
    <row r="753" ht="15.75" customHeight="1" s="201"/>
    <row r="754" ht="15.75" customHeight="1" s="201"/>
    <row r="755" ht="15.75" customHeight="1" s="201"/>
    <row r="756" ht="15.75" customHeight="1" s="201"/>
    <row r="757" ht="15.75" customHeight="1" s="201"/>
    <row r="758" ht="15.75" customHeight="1" s="201"/>
    <row r="759" ht="15.75" customHeight="1" s="201"/>
    <row r="760" ht="15.75" customHeight="1" s="201"/>
    <row r="761" ht="15.75" customHeight="1" s="201"/>
    <row r="762" ht="15.75" customHeight="1" s="201"/>
    <row r="763" ht="15.75" customHeight="1" s="201"/>
    <row r="764" ht="15.75" customHeight="1" s="201"/>
    <row r="765" ht="15.75" customHeight="1" s="201"/>
    <row r="766" ht="15.75" customHeight="1" s="201"/>
    <row r="767" ht="15.75" customHeight="1" s="201"/>
    <row r="768" ht="15.75" customHeight="1" s="201"/>
    <row r="769" ht="15.75" customHeight="1" s="201"/>
    <row r="770" ht="15.75" customHeight="1" s="201"/>
    <row r="771" ht="15.75" customHeight="1" s="201"/>
    <row r="772" ht="15.75" customHeight="1" s="201"/>
    <row r="773" ht="15.75" customHeight="1" s="201"/>
    <row r="774" ht="15.75" customHeight="1" s="201"/>
    <row r="775" ht="15.75" customHeight="1" s="201"/>
    <row r="776" ht="15.75" customHeight="1" s="201"/>
    <row r="777" ht="15.75" customHeight="1" s="201"/>
    <row r="778" ht="15.75" customHeight="1" s="201"/>
    <row r="779" ht="15.75" customHeight="1" s="201"/>
    <row r="780" ht="15.75" customHeight="1" s="201"/>
    <row r="781" ht="15.75" customHeight="1" s="201"/>
    <row r="782" ht="15.75" customHeight="1" s="201"/>
    <row r="783" ht="15.75" customHeight="1" s="201"/>
    <row r="784" ht="15.75" customHeight="1" s="201"/>
    <row r="785" ht="15.75" customHeight="1" s="201"/>
    <row r="786" ht="15.75" customHeight="1" s="201"/>
    <row r="787" ht="15.75" customHeight="1" s="201"/>
    <row r="788" ht="15.75" customHeight="1" s="201"/>
    <row r="789" ht="15.75" customHeight="1" s="201"/>
    <row r="790" ht="15.75" customHeight="1" s="201"/>
    <row r="791" ht="15.75" customHeight="1" s="201"/>
    <row r="792" ht="15.75" customHeight="1" s="201"/>
    <row r="793" ht="15.75" customHeight="1" s="201"/>
    <row r="794" ht="15.75" customHeight="1" s="201"/>
    <row r="795" ht="15.75" customHeight="1" s="201"/>
    <row r="796" ht="15.75" customHeight="1" s="201"/>
    <row r="797" ht="15.75" customHeight="1" s="201"/>
    <row r="798" ht="15.75" customHeight="1" s="201"/>
    <row r="799" ht="15.75" customHeight="1" s="201"/>
    <row r="800" ht="15.75" customHeight="1" s="201"/>
    <row r="801" ht="15.75" customHeight="1" s="201"/>
    <row r="802" ht="15.75" customHeight="1" s="201"/>
    <row r="803" ht="15.75" customHeight="1" s="201"/>
    <row r="804" ht="15.75" customHeight="1" s="201"/>
    <row r="805" ht="15.75" customHeight="1" s="201"/>
    <row r="806" ht="15.75" customHeight="1" s="201"/>
    <row r="807" ht="15.75" customHeight="1" s="201"/>
    <row r="808" ht="15.75" customHeight="1" s="201"/>
    <row r="809" ht="15.75" customHeight="1" s="201"/>
    <row r="810" ht="15.75" customHeight="1" s="201"/>
    <row r="811" ht="15.75" customHeight="1" s="201"/>
    <row r="812" ht="15.75" customHeight="1" s="201"/>
    <row r="813" ht="15.75" customHeight="1" s="201"/>
    <row r="814" ht="15.75" customHeight="1" s="201"/>
    <row r="815" ht="15.75" customHeight="1" s="201"/>
    <row r="816" ht="15.75" customHeight="1" s="201"/>
    <row r="817" ht="15.75" customHeight="1" s="201"/>
    <row r="818" ht="15.75" customHeight="1" s="201"/>
    <row r="819" ht="15.75" customHeight="1" s="201"/>
    <row r="820" ht="15.75" customHeight="1" s="201"/>
    <row r="821" ht="15.75" customHeight="1" s="201"/>
    <row r="822" ht="15.75" customHeight="1" s="201"/>
    <row r="823" ht="15.75" customHeight="1" s="201"/>
    <row r="824" ht="15.75" customHeight="1" s="201"/>
    <row r="825" ht="15.75" customHeight="1" s="201"/>
    <row r="826" ht="15.75" customHeight="1" s="201"/>
    <row r="827" ht="15.75" customHeight="1" s="201"/>
    <row r="828" ht="15.75" customHeight="1" s="201"/>
    <row r="829" ht="15.75" customHeight="1" s="201"/>
    <row r="830" ht="15.75" customHeight="1" s="201"/>
    <row r="831" ht="15.75" customHeight="1" s="201"/>
    <row r="832" ht="15.75" customHeight="1" s="201"/>
    <row r="833" ht="15.75" customHeight="1" s="201"/>
    <row r="834" ht="15.75" customHeight="1" s="201"/>
    <row r="835" ht="15.75" customHeight="1" s="201"/>
    <row r="836" ht="15.75" customHeight="1" s="201"/>
    <row r="837" ht="15.75" customHeight="1" s="201"/>
    <row r="838" ht="15.75" customHeight="1" s="201"/>
    <row r="839" ht="15.75" customHeight="1" s="201"/>
    <row r="840" ht="15.75" customHeight="1" s="201"/>
    <row r="841" ht="15.75" customHeight="1" s="201"/>
    <row r="842" ht="15.75" customHeight="1" s="201"/>
    <row r="843" ht="15.75" customHeight="1" s="201"/>
    <row r="844" ht="15.75" customHeight="1" s="201"/>
    <row r="845" ht="15.75" customHeight="1" s="201"/>
    <row r="846" ht="15.75" customHeight="1" s="201"/>
    <row r="847" ht="15.75" customHeight="1" s="201"/>
    <row r="848" ht="15.75" customHeight="1" s="201"/>
    <row r="849" ht="15.75" customHeight="1" s="201"/>
    <row r="850" ht="15.75" customHeight="1" s="201"/>
    <row r="851" ht="15.75" customHeight="1" s="201"/>
    <row r="852" ht="15.75" customHeight="1" s="201"/>
    <row r="853" ht="15.75" customHeight="1" s="201"/>
    <row r="854" ht="15.75" customHeight="1" s="201"/>
    <row r="855" ht="15.75" customHeight="1" s="201"/>
    <row r="856" ht="15.75" customHeight="1" s="201"/>
    <row r="857" ht="15.75" customHeight="1" s="201"/>
    <row r="858" ht="15.75" customHeight="1" s="201"/>
    <row r="859" ht="15.75" customHeight="1" s="201"/>
    <row r="860" ht="15.75" customHeight="1" s="201"/>
    <row r="861" ht="15.75" customHeight="1" s="201"/>
    <row r="862" ht="15.75" customHeight="1" s="201"/>
    <row r="863" ht="15.75" customHeight="1" s="201"/>
    <row r="864" ht="15.75" customHeight="1" s="201"/>
    <row r="865" ht="15.75" customHeight="1" s="201"/>
    <row r="866" ht="15.75" customHeight="1" s="201"/>
    <row r="867" ht="15.75" customHeight="1" s="201"/>
    <row r="868" ht="15.75" customHeight="1" s="201"/>
    <row r="869" ht="15.75" customHeight="1" s="201"/>
    <row r="870" ht="15.75" customHeight="1" s="201"/>
    <row r="871" ht="15.75" customHeight="1" s="201"/>
    <row r="872" ht="15.75" customHeight="1" s="201"/>
    <row r="873" ht="15.75" customHeight="1" s="201"/>
    <row r="874" ht="15.75" customHeight="1" s="201"/>
    <row r="875" ht="15.75" customHeight="1" s="201"/>
    <row r="876" ht="15.75" customHeight="1" s="201"/>
    <row r="877" ht="15.75" customHeight="1" s="201"/>
    <row r="878" ht="15.75" customHeight="1" s="201"/>
    <row r="879" ht="15.75" customHeight="1" s="201"/>
    <row r="880" ht="15.75" customHeight="1" s="201"/>
    <row r="881" ht="15.75" customHeight="1" s="201"/>
    <row r="882" ht="15.75" customHeight="1" s="201"/>
    <row r="883" ht="15.75" customHeight="1" s="201"/>
    <row r="884" ht="15.75" customHeight="1" s="201"/>
    <row r="885" ht="15.75" customHeight="1" s="201"/>
    <row r="886" ht="15.75" customHeight="1" s="201"/>
    <row r="887" ht="15.75" customHeight="1" s="201"/>
    <row r="888" ht="15.75" customHeight="1" s="201"/>
    <row r="889" ht="15.75" customHeight="1" s="201"/>
    <row r="890" ht="15.75" customHeight="1" s="201"/>
    <row r="891" ht="15.75" customHeight="1" s="201"/>
    <row r="892" ht="15.75" customHeight="1" s="201"/>
    <row r="893" ht="15.75" customHeight="1" s="201"/>
    <row r="894" ht="15.75" customHeight="1" s="201"/>
    <row r="895" ht="15.75" customHeight="1" s="201"/>
    <row r="896" ht="15.75" customHeight="1" s="201"/>
    <row r="897" ht="15.75" customHeight="1" s="201"/>
    <row r="898" ht="15.75" customHeight="1" s="201"/>
    <row r="899" ht="15.75" customHeight="1" s="201"/>
    <row r="900" ht="15.75" customHeight="1" s="201"/>
    <row r="901" ht="15.75" customHeight="1" s="201"/>
    <row r="902" ht="15.75" customHeight="1" s="201"/>
    <row r="903" ht="15.75" customHeight="1" s="201"/>
    <row r="904" ht="15.75" customHeight="1" s="201"/>
    <row r="905" ht="15.75" customHeight="1" s="201"/>
    <row r="906" ht="15.75" customHeight="1" s="201"/>
    <row r="907" ht="15.75" customHeight="1" s="201"/>
    <row r="908" ht="15.75" customHeight="1" s="201"/>
    <row r="909" ht="15.75" customHeight="1" s="201"/>
    <row r="910" ht="15.75" customHeight="1" s="201"/>
    <row r="911" ht="15.75" customHeight="1" s="201"/>
    <row r="912" ht="15.75" customHeight="1" s="201"/>
    <row r="913" ht="15.75" customHeight="1" s="201"/>
    <row r="914" ht="15.75" customHeight="1" s="201"/>
    <row r="915" ht="15.75" customHeight="1" s="201"/>
    <row r="916" ht="15.75" customHeight="1" s="201"/>
    <row r="917" ht="15.75" customHeight="1" s="201"/>
    <row r="918" ht="15.75" customHeight="1" s="201"/>
    <row r="919" ht="15.75" customHeight="1" s="201"/>
    <row r="920" ht="15.75" customHeight="1" s="201"/>
    <row r="921" ht="15.75" customHeight="1" s="201"/>
    <row r="922" ht="15.75" customHeight="1" s="201"/>
    <row r="923" ht="15.75" customHeight="1" s="201"/>
    <row r="924" ht="15.75" customHeight="1" s="201"/>
    <row r="925" ht="15.75" customHeight="1" s="201"/>
    <row r="926" ht="15.75" customHeight="1" s="201"/>
    <row r="927" ht="15.75" customHeight="1" s="201"/>
    <row r="928" ht="15.75" customHeight="1" s="201"/>
    <row r="929" ht="15.75" customHeight="1" s="201"/>
    <row r="930" ht="15.75" customHeight="1" s="201"/>
    <row r="931" ht="15.75" customHeight="1" s="201"/>
    <row r="932" ht="15.75" customHeight="1" s="201"/>
    <row r="933" ht="15.75" customHeight="1" s="201"/>
    <row r="934" ht="15.75" customHeight="1" s="201"/>
    <row r="935" ht="15.75" customHeight="1" s="201"/>
    <row r="936" ht="15.75" customHeight="1" s="201"/>
    <row r="937" ht="15.75" customHeight="1" s="201"/>
    <row r="938" ht="15.75" customHeight="1" s="201"/>
    <row r="939" ht="15.75" customHeight="1" s="201"/>
    <row r="940" ht="15.75" customHeight="1" s="201"/>
    <row r="941" ht="15.75" customHeight="1" s="201"/>
    <row r="942" ht="15.75" customHeight="1" s="201"/>
    <row r="943" ht="15.75" customHeight="1" s="201"/>
    <row r="944" ht="15.75" customHeight="1" s="201"/>
    <row r="945" ht="15.75" customHeight="1" s="201"/>
    <row r="946" ht="15.75" customHeight="1" s="201"/>
    <row r="947" ht="15.75" customHeight="1" s="201"/>
    <row r="948" ht="15.75" customHeight="1" s="201"/>
    <row r="949" ht="15.75" customHeight="1" s="201"/>
    <row r="950" ht="15.75" customHeight="1" s="201"/>
    <row r="951" ht="15.75" customHeight="1" s="201"/>
    <row r="952" ht="15.75" customHeight="1" s="201"/>
    <row r="953" ht="15.75" customHeight="1" s="201"/>
    <row r="954" ht="15.75" customHeight="1" s="201"/>
    <row r="955" ht="15.75" customHeight="1" s="201"/>
    <row r="956" ht="15.75" customHeight="1" s="201"/>
    <row r="957" ht="15.75" customHeight="1" s="201"/>
    <row r="958" ht="15.75" customHeight="1" s="201"/>
    <row r="959" ht="15.75" customHeight="1" s="201"/>
    <row r="960" ht="15.75" customHeight="1" s="201"/>
    <row r="961" ht="15.75" customHeight="1" s="201"/>
    <row r="962" ht="15.75" customHeight="1" s="201"/>
    <row r="963" ht="15.75" customHeight="1" s="201"/>
    <row r="964" ht="15.75" customHeight="1" s="201"/>
    <row r="965" ht="15.75" customHeight="1" s="201"/>
    <row r="966" ht="15.75" customHeight="1" s="201"/>
    <row r="967" ht="15.75" customHeight="1" s="201"/>
    <row r="968" ht="15.75" customHeight="1" s="201"/>
    <row r="969" ht="15.75" customHeight="1" s="201"/>
    <row r="970" ht="15.75" customHeight="1" s="201"/>
    <row r="971" ht="15.75" customHeight="1" s="201"/>
    <row r="972" ht="15.75" customHeight="1" s="201"/>
    <row r="973" ht="15.75" customHeight="1" s="201"/>
    <row r="974" ht="15.75" customHeight="1" s="201"/>
    <row r="975" ht="15.75" customHeight="1" s="201"/>
    <row r="976" ht="15.75" customHeight="1" s="201"/>
    <row r="977" ht="15.75" customHeight="1" s="201"/>
    <row r="978" ht="15.75" customHeight="1" s="201"/>
    <row r="979" ht="15.75" customHeight="1" s="201"/>
    <row r="980" ht="15.75" customHeight="1" s="201"/>
    <row r="981" ht="15.75" customHeight="1" s="201"/>
    <row r="982" ht="15.75" customHeight="1" s="201"/>
    <row r="983" ht="15.75" customHeight="1" s="201"/>
    <row r="984" ht="15.75" customHeight="1" s="201"/>
    <row r="985" ht="15.75" customHeight="1" s="201"/>
    <row r="986" ht="15.75" customHeight="1" s="201"/>
    <row r="987" ht="15.75" customHeight="1" s="201"/>
    <row r="988" ht="15.75" customHeight="1" s="201"/>
    <row r="989" ht="15.75" customHeight="1" s="201"/>
    <row r="990" ht="15.75" customHeight="1" s="201"/>
    <row r="991" ht="15.75" customHeight="1" s="201"/>
    <row r="992" ht="15.75" customHeight="1" s="201"/>
    <row r="993" ht="15.75" customHeight="1" s="201"/>
    <row r="994" ht="15.75" customHeight="1" s="201"/>
    <row r="995" ht="15.75" customHeight="1" s="201"/>
    <row r="996" ht="15.75" customHeight="1" s="201"/>
    <row r="997" ht="15.75" customHeight="1" s="201"/>
    <row r="998" ht="15.75" customHeight="1" s="201"/>
    <row r="999" ht="15.75" customHeight="1" s="201"/>
    <row r="1000" ht="15.75" customHeight="1" s="201"/>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F1000"/>
  <sheetViews>
    <sheetView workbookViewId="0">
      <selection activeCell="A1" sqref="A1"/>
    </sheetView>
  </sheetViews>
  <sheetFormatPr baseColWidth="8" defaultColWidth="12.63" defaultRowHeight="15" customHeight="1"/>
  <cols>
    <col width="11.88" customWidth="1" style="201" min="1" max="1"/>
    <col width="31.38" customWidth="1" style="201" min="2" max="2"/>
    <col width="15.5" customWidth="1" style="201" min="3" max="3"/>
    <col hidden="1" width="17" customWidth="1" style="201" min="4" max="4"/>
    <col hidden="1" width="8.880000000000001" customWidth="1" style="201" min="5" max="5"/>
    <col width="14.13" customWidth="1" style="201" min="6" max="6"/>
    <col width="14.88" customWidth="1" style="201" min="7" max="7"/>
    <col width="10.13" customWidth="1" style="201" min="8" max="9"/>
    <col width="8.630000000000001" customWidth="1" style="201" min="10" max="10"/>
    <col width="13.63" customWidth="1" style="201" min="11" max="11"/>
    <col width="11.13" customWidth="1" style="201" min="12" max="12"/>
    <col width="10.88" customWidth="1" style="201" min="13" max="13"/>
    <col width="10.5" customWidth="1" style="201" min="14" max="15"/>
    <col width="11.13" customWidth="1" style="201" min="16" max="16"/>
    <col width="10.88" customWidth="1" style="201" min="17" max="17"/>
    <col width="10.5" customWidth="1" style="201" min="18" max="19"/>
    <col hidden="1" width="12.63" customWidth="1" style="201" min="20" max="20"/>
    <col hidden="1" width="16.63" customWidth="1" style="201" min="21" max="21"/>
    <col width="8.880000000000001" customWidth="1" style="201" min="22" max="22"/>
    <col width="10.5" customWidth="1" style="201" min="23" max="23"/>
    <col width="8.880000000000001" customWidth="1" style="201" min="24" max="25"/>
    <col width="11.38" customWidth="1" style="201" min="26" max="26"/>
    <col width="12.88" customWidth="1" style="201" min="27" max="27"/>
    <col width="8.880000000000001" customWidth="1" style="201" min="28" max="30"/>
    <col width="10.5" customWidth="1" style="201" min="31" max="31"/>
    <col width="12.5" customWidth="1" style="201" min="32" max="32"/>
  </cols>
  <sheetData>
    <row r="1">
      <c r="A1" s="24" t="n"/>
      <c r="B1" s="24" t="n"/>
      <c r="C1" s="24" t="n"/>
      <c r="D1" s="24" t="n"/>
      <c r="E1" s="24" t="n"/>
      <c r="F1" s="202" t="inlineStr">
        <is>
          <t>UTILIZED IMPACT FACTORS</t>
        </is>
      </c>
      <c r="G1" s="203" t="n"/>
      <c r="H1" s="27" t="n"/>
      <c r="I1" s="28" t="n"/>
      <c r="J1" s="29" t="inlineStr">
        <is>
          <t>farm gate (=1)</t>
        </is>
      </c>
      <c r="K1" s="204" t="inlineStr">
        <is>
          <t>PROXY DEFINITION</t>
        </is>
      </c>
      <c r="L1" s="205" t="inlineStr">
        <is>
          <t>ENERGY USE MJ/kg</t>
        </is>
      </c>
      <c r="O1" s="206" t="n"/>
      <c r="P1" s="207" t="inlineStr">
        <is>
          <t>GHG Emissions (kg CO2eq/kg)</t>
        </is>
      </c>
      <c r="S1" s="206" t="n"/>
      <c r="T1" s="35" t="inlineStr">
        <is>
          <t>additional processing inputs for select foods</t>
        </is>
      </c>
      <c r="U1" s="36" t="n"/>
      <c r="V1" s="37" t="n"/>
      <c r="W1" s="208" t="inlineStr">
        <is>
          <t>VARIANCE CALCULATIONS</t>
        </is>
      </c>
      <c r="X1" s="209" t="n"/>
      <c r="Y1" s="209" t="n"/>
      <c r="Z1" s="209" t="n"/>
      <c r="AA1" s="209" t="n"/>
      <c r="AB1" s="209" t="n"/>
      <c r="AC1" s="209" t="n"/>
      <c r="AD1" s="209" t="n"/>
      <c r="AE1" s="209" t="n"/>
      <c r="AF1" s="210" t="n"/>
    </row>
    <row r="2">
      <c r="A2" s="41" t="n"/>
      <c r="B2" s="41" t="n"/>
      <c r="C2" s="41" t="n"/>
      <c r="D2" s="41" t="n"/>
      <c r="E2" s="41" t="inlineStr">
        <is>
          <t>number of times specific commodity appears in FCID recipe files</t>
        </is>
      </c>
      <c r="F2" s="42" t="inlineStr">
        <is>
          <t xml:space="preserve">CED </t>
        </is>
      </c>
      <c r="G2" s="43" t="inlineStr">
        <is>
          <t xml:space="preserve">GHG </t>
        </is>
      </c>
      <c r="H2" s="44" t="n"/>
      <c r="I2" s="45" t="n"/>
      <c r="J2" s="211" t="n"/>
      <c r="K2" s="211" t="n"/>
      <c r="L2" s="48" t="inlineStr">
        <is>
          <t>PROXY?</t>
        </is>
      </c>
      <c r="M2" s="212" t="n"/>
      <c r="N2" s="213" t="n"/>
      <c r="O2" s="214" t="n"/>
      <c r="P2" s="48" t="inlineStr">
        <is>
          <t>PROXY?</t>
        </is>
      </c>
      <c r="Q2" s="215" t="n"/>
      <c r="R2" s="213" t="n"/>
      <c r="S2" s="214" t="n"/>
      <c r="T2" s="53" t="inlineStr">
        <is>
          <t>Energy (MJ)</t>
        </is>
      </c>
      <c r="U2" s="53" t="inlineStr">
        <is>
          <t>GHG (kgCO2eq)</t>
        </is>
      </c>
      <c r="V2" s="54" t="n"/>
      <c r="W2" s="216" t="inlineStr">
        <is>
          <t>Energy Use (MJ/kg)</t>
        </is>
      </c>
      <c r="X2" s="209" t="n"/>
      <c r="Y2" s="209" t="n"/>
      <c r="Z2" s="209" t="n"/>
      <c r="AA2" s="210" t="n"/>
      <c r="AB2" s="217" t="inlineStr">
        <is>
          <t>GHGE</t>
        </is>
      </c>
      <c r="AC2" s="209" t="n"/>
      <c r="AD2" s="209" t="n"/>
      <c r="AE2" s="209" t="n"/>
      <c r="AF2" s="210" t="n"/>
    </row>
    <row r="3">
      <c r="A3" s="57" t="inlineStr">
        <is>
          <t>FCID_Code</t>
        </is>
      </c>
      <c r="B3" s="58" t="inlineStr">
        <is>
          <t>FCID_Desc</t>
        </is>
      </c>
      <c r="C3" s="59" t="inlineStr">
        <is>
          <t>Weight_Basis_ as defined by FCID</t>
        </is>
      </c>
      <c r="D3" s="59" t="inlineStr">
        <is>
          <t>Comments (from FCID)</t>
        </is>
      </c>
      <c r="E3" s="58" t="inlineStr">
        <is>
          <t>N_Cases</t>
        </is>
      </c>
      <c r="F3" s="60" t="inlineStr">
        <is>
          <t>MJ / kg</t>
        </is>
      </c>
      <c r="G3" s="61" t="inlineStr">
        <is>
          <t>CO2 eq / kg</t>
        </is>
      </c>
      <c r="H3" s="62" t="inlineStr">
        <is>
          <t>weight Conversion Factor</t>
        </is>
      </c>
      <c r="I3" s="45" t="inlineStr">
        <is>
          <t>conversion factor source</t>
        </is>
      </c>
      <c r="J3" s="63" t="inlineStr">
        <is>
          <t xml:space="preserve"> or processor gate (=2)?</t>
        </is>
      </c>
      <c r="K3" s="64" t="n"/>
      <c r="L3" s="65" t="n"/>
      <c r="M3" s="66" t="inlineStr">
        <is>
          <t># of datapoints</t>
        </is>
      </c>
      <c r="N3" s="67" t="inlineStr">
        <is>
          <t>N-average</t>
        </is>
      </c>
      <c r="O3" s="68" t="inlineStr">
        <is>
          <t>Std. Dev</t>
        </is>
      </c>
      <c r="P3" s="65" t="n"/>
      <c r="Q3" s="69" t="inlineStr">
        <is>
          <t># of datapoints</t>
        </is>
      </c>
      <c r="R3" s="70" t="inlineStr">
        <is>
          <t>N-average</t>
        </is>
      </c>
      <c r="S3" s="71" t="inlineStr">
        <is>
          <t>Std. Dev</t>
        </is>
      </c>
      <c r="T3" s="72" t="n"/>
      <c r="U3" s="73" t="n"/>
      <c r="V3" s="74" t="n"/>
      <c r="W3" s="75" t="inlineStr">
        <is>
          <t>basis</t>
        </is>
      </c>
      <c r="X3" s="75" t="inlineStr">
        <is>
          <t>n</t>
        </is>
      </c>
      <c r="Y3" s="76" t="inlineStr">
        <is>
          <t>proxy group mean</t>
        </is>
      </c>
      <c r="Z3" s="77" t="inlineStr">
        <is>
          <t>SD (group or indiv food)</t>
        </is>
      </c>
      <c r="AA3" s="76" t="inlineStr">
        <is>
          <t>scaled SD (group SD*food mean/group mean)</t>
        </is>
      </c>
      <c r="AB3" s="78" t="inlineStr">
        <is>
          <t>basis</t>
        </is>
      </c>
      <c r="AC3" s="78" t="inlineStr">
        <is>
          <t>n</t>
        </is>
      </c>
      <c r="AD3" s="79" t="inlineStr">
        <is>
          <t>proxy group mean</t>
        </is>
      </c>
      <c r="AE3" s="80" t="inlineStr">
        <is>
          <t>SD (group or indiv food)</t>
        </is>
      </c>
      <c r="AF3" s="79" t="inlineStr">
        <is>
          <t>scaled SD (group SD*food mean/group mean)</t>
        </is>
      </c>
    </row>
    <row r="4">
      <c r="A4" s="81" t="n">
        <v>101050000</v>
      </c>
      <c r="B4" s="82" t="inlineStr">
        <is>
          <t>Beet, garden, roots</t>
        </is>
      </c>
      <c r="C4" s="82" t="inlineStr">
        <is>
          <t>weight of roots; juice</t>
        </is>
      </c>
      <c r="D4" s="83" t="n"/>
      <c r="E4" s="82" t="n">
        <v>659</v>
      </c>
      <c r="F4" s="84">
        <f>N4*H4+T4</f>
        <v/>
      </c>
      <c r="G4" s="85">
        <f>R4*H4+U4</f>
        <v/>
      </c>
      <c r="H4" s="86" t="n">
        <v>1.11</v>
      </c>
      <c r="I4" s="87" t="inlineStr">
        <is>
          <t>AgHB</t>
        </is>
      </c>
      <c r="J4" s="88" t="n">
        <v>1</v>
      </c>
      <c r="K4" s="89" t="n"/>
      <c r="L4" s="90">
        <f>IF(ISERROR(GETPIVOTDATA(IF($J4=1,"Count of ACTIVE     CED, FARM GATE (MJ/kg)","Count of CED, processor gate (MJ/kg)"),'[1]Pivot Table_CED'!$A$3,"SUB TYPE",$B4)),"PROXY",IF(GETPIVOTDATA(IF($J4=1,"Count of ACTIVE     CED, FARM GATE (MJ/kg)","Count of CED, processor gate (MJ/kg)"),'[1]Pivot Table_CED'!$A$3,"SUB TYPE",$B4)=0,"PROXY","DB value"))</f>
        <v/>
      </c>
      <c r="M4" s="91">
        <f>IF($L4="PROXY",DCOUNT('[1]literature entries'!$D:$AI,IF($J4=1,"ACTIVE     CED, FARM GATE (MJ/kg)","CED, processor gate (MJ/kg)"),INDIRECT($K4)),GETPIVOTDATA(IF($J4=1,"Count of ACTIVE     CED, FARM GATE (MJ/kg)","Count of CED, processor gate (MJ/kg)"),'[1]Pivot Table_CED'!$A$3,"SUB TYPE",$B4))</f>
        <v/>
      </c>
      <c r="N4" s="92">
        <f>IF($L4="PROXY",DAVERAGE('[1]literature entries'!$D:$AI,IF($J4=1,"ACTIVE     CED, FARM GATE (MJ/kg)","CED, processor gate (MJ/kg)"),INDIRECT($K4)),GETPIVOTDATA(IF($J4=1,"Average of ACTIVE     CED, FARM GATE (MJ/kg)","Average of CED, processor gate (MJ/kg)"),'[1]Pivot Table_CED'!$A$3,"SUB TYPE",$B4))</f>
        <v/>
      </c>
      <c r="O4" s="92">
        <f t="array" ref="O4">IF($L4="PROXY",DSTDEV('[1]literature entries'!D:AF,IF($J4=1,"ACTIVE     CED, FARM GATE (MJ/kg)","CED, processor gate (MJ/kg)"),INDIRECT($K4)),GETPIVOTDATA(IF($J4=1,"StdDev of ACTIVE     CED, FARM GATE (MJ/kg)","StdDev of CED, processor gate (MJ/kg)"),'[1]Pivot Table_CED'!$A$3,"SUB TYPE",$B4))</f>
        <v/>
      </c>
      <c r="P4" s="90">
        <f>IF(ISERROR(GETPIVOTDATA(IF($J4=1,"Count of ACTIVE     GHGE, FARM GATE (kg CO2e/kg)","Count of GHGE, processor gate (kg CO2e/kg)"),'[1]Pivot Table_GHG'!$A$3,"SUB TYPE",$B4)),"PROXY",IF(GETPIVOTDATA(IF($J4=1,"Count of ACTIVE     GHGE, FARM GATE (kg CO2e/kg)","Count of GHGE, processor gate (kg CO2e/kg)"),'[1]Pivot Table_GHG'!$A$3,"SUB TYPE",$B4)=0,"PROXY","DB value"))</f>
        <v/>
      </c>
      <c r="Q4" s="93">
        <f>IF($P4="PROXY",DCOUNT('[1]literature entries'!$D:$AI,IF($J4=1,"ACTIVE     GHGE, FARM GATE (kg CO2e/kg)","GHGE, processor gate (kg CO2e/kg)"),INDIRECT($K4)),GETPIVOTDATA(IF($J4=1,"ACTIVE     GHGE, FARM GATE (kg CO2e/kg)","Count of GHGE, processor gate (kg CO2e/kg)"),'[1]Pivot Table_GHG'!$A$3,"SUB TYPE",$B4))</f>
        <v/>
      </c>
      <c r="R4" s="94">
        <f>IF($P4="PROXY",DAVERAGE('[1]literature entries'!$D:$AI,IF($J4=1,"ACTIVE     GHGE, FARM GATE (kg CO2e/kg)","GHGE, processor gate (kg CO2e/kg)"),INDIRECT($K4)),GETPIVOTDATA(IF($J4=1,"Average of ACTIVE     GHGE, FARM GATE (kg CO2e/kg)","Average of GHGE, processor gate (kg CO2e/kg)"),'[1]Pivot Table_GHG'!$A$3,"SUB TYPE",$B4))</f>
        <v/>
      </c>
      <c r="S4" s="94">
        <f>IF($P4="PROXY",DSTDEV('[1]literature entries'!$D:$AI,IF($J4=1,"ACTIVE     GHGE, FARM GATE (kg CO2e/kg)","GHGE, processor gate (kg CO2e/kg)"),INDIRECT($K4)),GETPIVOTDATA(IF($J4=1,"StdDev of ACTIVE     GHGE, FARM GATE (kg CO2e/kg)","StdDev of GHGE, processor gate (kg CO2e/kg)"),'[1]Pivot Table_GHG'!$A$3,"SUB TYPE",$B4))</f>
        <v/>
      </c>
      <c r="T4" s="95" t="n"/>
      <c r="U4" s="96" t="n"/>
      <c r="V4" s="97" t="n"/>
      <c r="W4" s="98" t="inlineStr">
        <is>
          <t>roots</t>
        </is>
      </c>
      <c r="X4" s="98">
        <f>IF($W4="DIRECT",M4,DCOUNT('[1]literature entries'!$D:$AI,IF($J4=1,"ACTIVE     CED, FARM GATE (MJ/kg)","CED, processor gate (MJ/kg)"),INDIRECT($W4)))</f>
        <v/>
      </c>
      <c r="Y4" s="98">
        <f>IF($W4="DIRECT","",DAVERAGE('[1]literature entries'!$D:$AI,IF($J4=1,"ACTIVE     CED, FARM GATE (MJ/kg)","CED, processor gate (MJ/kg)"),INDIRECT($W4)))</f>
        <v/>
      </c>
      <c r="Z4" s="98">
        <f>IF($W4="DIRECT",$O4,DSTDEV('[1]literature entries'!$D:$AI,IF($J4=1,"ACTIVE     CED, FARM GATE (MJ/kg)","CED, processor gate (MJ/kg)"),INDIRECT($W4)))</f>
        <v/>
      </c>
      <c r="AA4" s="98">
        <f>IF($W4="DIRECT",$O4,$Z4/$Y4*$N4)</f>
        <v/>
      </c>
      <c r="AB4" s="99" t="inlineStr">
        <is>
          <t>roots</t>
        </is>
      </c>
      <c r="AC4" s="99">
        <f>IF($AB4="DIRECT",Q4,DCOUNT('[1]literature entries'!$D:$AI,IF($J4=1,"ACTIVE     GHGE, FARM GATE (kg CO2e/kg)","GHGE, processor gate (kg CO2e/kg)"),INDIRECT($AB4)))</f>
        <v/>
      </c>
      <c r="AD4" s="99">
        <f>IF($AB4="DIRECT","",DAVERAGE('[1]literature entries'!$D:$AI,IF($J4=1,"ACTIVE     GHGE, FARM GATE (kg CO2e/kg)","GHGE, processor gate (kg CO2e/kg)"),INDIRECT($AB4)))</f>
        <v/>
      </c>
      <c r="AE4" s="99">
        <f>IF($AB4="DIRECT",$S4,DSTDEV('[1]literature entries'!$D:$AI,IF($J4=1,"ACTIVE     GHGE, FARM GATE (kg CO2e/kg)","GHGE, processor gate (kg CO2e/kg)"),INDIRECT($AB4)))</f>
        <v/>
      </c>
      <c r="AF4" s="99">
        <f>IF($AB4="DIRECT",$S4,$AE4/$AD4*$R4)</f>
        <v/>
      </c>
    </row>
    <row r="5">
      <c r="A5" s="100" t="n">
        <v>101052000</v>
      </c>
      <c r="B5" s="101" t="inlineStr">
        <is>
          <t>Beet, sugar</t>
        </is>
      </c>
      <c r="C5" s="101" t="inlineStr">
        <is>
          <t>dry weight of sugar (sucrose)</t>
        </is>
      </c>
      <c r="D5" s="101" t="inlineStr">
        <is>
          <t>Sucrose is a disaccharide obtained from sugar cane and sugar beet.</t>
        </is>
      </c>
      <c r="E5" s="101" t="n">
        <v>49979</v>
      </c>
      <c r="F5" s="84">
        <f>N5*H5+T5</f>
        <v/>
      </c>
      <c r="G5" s="85">
        <f>R5*H5+U5</f>
        <v/>
      </c>
      <c r="H5" s="102" t="n">
        <v>1</v>
      </c>
      <c r="I5" s="103" t="inlineStr">
        <is>
          <t>FICRCD</t>
        </is>
      </c>
      <c r="J5" s="104" t="n">
        <v>2</v>
      </c>
      <c r="K5" s="89" t="n"/>
      <c r="L5" s="90">
        <f>IF(ISERROR(GETPIVOTDATA(IF($J5=1,"Count of ACTIVE     CED, FARM GATE (MJ/kg)","Count of CED, processor gate (MJ/kg)"),'[1]Pivot Table_CED'!$A$3,"SUB TYPE",$B5)),"PROXY",IF(GETPIVOTDATA(IF($J5=1,"Count of ACTIVE     CED, FARM GATE (MJ/kg)","Count of CED, processor gate (MJ/kg)"),'[1]Pivot Table_CED'!$A$3,"SUB TYPE",$B5)=0,"PROXY","DB value"))</f>
        <v/>
      </c>
      <c r="M5" s="91">
        <f>IF($L5="PROXY",DCOUNT('[1]literature entries'!$D:$AI,IF($J5=1,"ACTIVE     CED, FARM GATE (MJ/kg)","CED, processor gate (MJ/kg)"),INDIRECT($K5)),GETPIVOTDATA(IF($J5=1,"Count of ACTIVE     CED, FARM GATE (MJ/kg)","Count of CED, processor gate (MJ/kg)"),'[1]Pivot Table_CED'!$A$3,"SUB TYPE",$B5))</f>
        <v/>
      </c>
      <c r="N5" s="92">
        <f>IF($L5="PROXY",DAVERAGE('[1]literature entries'!$D:$AI,IF($J5=1,"ACTIVE     CED, FARM GATE (MJ/kg)","CED, processor gate (MJ/kg)"),INDIRECT($K5)),GETPIVOTDATA(IF($J5=1,"Average of ACTIVE     CED, FARM GATE (MJ/kg)","Average of CED, processor gate (MJ/kg)"),'[1]Pivot Table_CED'!$A$3,"SUB TYPE",$B5))</f>
        <v/>
      </c>
      <c r="O5" s="92">
        <f>IF($L5="PROXY",DSTDEV('[1]literature entries'!D:AI,IF($J5=1,"ACTIVE     CED, FARM GATE (MJ/kg)","CED, processor gate (MJ/kg)"),INDIRECT($K5)),GETPIVOTDATA(IF($J5=1,"StdDev of ACTIVE     CED, FARM GATE (MJ/kg)","StdDev of CED, processor gate (MJ/kg)"),'[1]Pivot Table_CED'!$A$3,"SUB TYPE",$B5))</f>
        <v/>
      </c>
      <c r="P5" s="90">
        <f>IF(ISERROR(GETPIVOTDATA(IF($J5=1,"Count of ACTIVE     GHGE, FARM GATE (kg CO2e/kg)","Count of GHGE, processor gate (kg CO2e/kg)"),'[1]Pivot Table_GHG'!$A$3,"SUB TYPE",$B5)),"PROXY",IF(GETPIVOTDATA(IF($J5=1,"Count of ACTIVE     GHGE, FARM GATE (kg CO2e/kg)","Count of GHGE, processor gate (kg CO2e/kg)"),'[1]Pivot Table_GHG'!$A$3,"SUB TYPE",$B5)=0,"PROXY","DB value"))</f>
        <v/>
      </c>
      <c r="Q5" s="93">
        <f>IF($P5="PROXY",DCOUNT('[1]literature entries'!$D:$AI,IF($J5=1,"ACTIVE     GHGE, FARM GATE (kg CO2e/kg)","GHGE, processor gate (kg CO2e/kg)"),INDIRECT($K5)),GETPIVOTDATA(IF($J5=1,"ACTIVE     GHGE, FARM GATE (kg CO2e/kg)","Count of GHGE, processor gate (kg CO2e/kg)"),'[1]Pivot Table_GHG'!$A$3,"SUB TYPE",$B5))</f>
        <v/>
      </c>
      <c r="R5" s="94">
        <f>IF($P5="PROXY",DAVERAGE('[1]literature entries'!$D:$AI,IF($J5=1,"ACTIVE     GHGE, FARM GATE (kg CO2e/kg)","GHGE, processor gate (kg CO2e/kg)"),INDIRECT($K5)),GETPIVOTDATA(IF($J5=1,"Average of ACTIVE     GHGE, FARM GATE (kg CO2e/kg)","Average of GHGE, processor gate (kg CO2e/kg)"),'[1]Pivot Table_GHG'!$A$3,"SUB TYPE",$B5))</f>
        <v/>
      </c>
      <c r="S5" s="94">
        <f>IF($P5="PROXY",DSTDEV('[1]literature entries'!$D:$AI,IF($J5=1,"ACTIVE     GHGE, FARM GATE (kg CO2e/kg)","GHGE, processor gate (kg CO2e/kg)"),INDIRECT($K5)),GETPIVOTDATA(IF($J5=1,"StdDev of ACTIVE     GHGE, FARM GATE (kg CO2e/kg)","StdDev of GHGE, processor gate (kg CO2e/kg)"),'[1]Pivot Table_GHG'!$A$3,"SUB TYPE",$B5))</f>
        <v/>
      </c>
      <c r="T5" s="105" t="n"/>
      <c r="U5" s="106" t="n"/>
      <c r="V5" s="97" t="n"/>
      <c r="W5" s="98" t="inlineStr">
        <is>
          <t>sweeteners</t>
        </is>
      </c>
      <c r="X5" s="98">
        <f>IF($W5="DIRECT",M5,DCOUNT('[1]literature entries'!$D:$AI,IF($J5=1,"ACTIVE     CED, FARM GATE (MJ/kg)","CED, processor gate (MJ/kg)"),INDIRECT($W5)))</f>
        <v/>
      </c>
      <c r="Y5" s="98">
        <f>IF($W5="DIRECT","",DAVERAGE('[1]literature entries'!$D:$AI,IF($J5=1,"ACTIVE     CED, FARM GATE (MJ/kg)","CED, processor gate (MJ/kg)"),INDIRECT($W5)))</f>
        <v/>
      </c>
      <c r="Z5" s="98">
        <f>IF($W5="DIRECT",$O5,DSTDEV('[1]literature entries'!$D:$AI,IF($J5=1,"ACTIVE     CED, FARM GATE (MJ/kg)","CED, processor gate (MJ/kg)"),INDIRECT($W5)))</f>
        <v/>
      </c>
      <c r="AA5" s="98">
        <f>IF($W5="DIRECT",$O5,$Z5/$Y5*$N5)</f>
        <v/>
      </c>
      <c r="AB5" s="99" t="inlineStr">
        <is>
          <t>sweeteners</t>
        </is>
      </c>
      <c r="AC5" s="99">
        <f>IF($AB5="DIRECT",Q5,DCOUNT('[1]literature entries'!$D:$AI,IF($J5=1,"ACTIVE     GHGE, FARM GATE (kg CO2e/kg)","GHGE, processor gate (kg CO2e/kg)"),INDIRECT($AB5)))</f>
        <v/>
      </c>
      <c r="AD5" s="99">
        <f>IF($AB5="DIRECT","",DAVERAGE('[1]literature entries'!$D:$AI,IF($J5=1,"ACTIVE     GHGE, FARM GATE (kg CO2e/kg)","GHGE, processor gate (kg CO2e/kg)"),INDIRECT($AB5)))</f>
        <v/>
      </c>
      <c r="AE5" s="99">
        <f>IF($AB5="DIRECT",$S5,DSTDEV('[1]literature entries'!$D:$AI,IF($J5=1,"ACTIVE     GHGE, FARM GATE (kg CO2e/kg)","GHGE, processor gate (kg CO2e/kg)"),INDIRECT($AB5)))</f>
        <v/>
      </c>
      <c r="AF5" s="99">
        <f>IF($AB5="DIRECT",$S5,$AE5/$AD5*$R5)</f>
        <v/>
      </c>
    </row>
    <row r="6">
      <c r="A6" s="100" t="n">
        <v>101053000</v>
      </c>
      <c r="B6" s="101" t="inlineStr">
        <is>
          <t>Beet, sugar, molasses</t>
        </is>
      </c>
      <c r="C6" s="101" t="inlineStr">
        <is>
          <t>weight of molasses</t>
        </is>
      </c>
      <c r="D6" s="101" t="n"/>
      <c r="E6" s="101" t="n">
        <v>7656</v>
      </c>
      <c r="F6" s="84">
        <f>N6*H6+T6</f>
        <v/>
      </c>
      <c r="G6" s="85">
        <f>R6*H6+U6</f>
        <v/>
      </c>
      <c r="H6" s="102" t="n">
        <v>1</v>
      </c>
      <c r="I6" s="103" t="inlineStr">
        <is>
          <t>FICRCD</t>
        </is>
      </c>
      <c r="J6" s="104" t="n">
        <v>2</v>
      </c>
      <c r="K6" s="89" t="n"/>
      <c r="L6" s="90">
        <f>IF(ISERROR(GETPIVOTDATA(IF($J6=1,"Count of ACTIVE     CED, FARM GATE (MJ/kg)","Count of CED, processor gate (MJ/kg)"),'[1]Pivot Table_CED'!$A$3,"SUB TYPE",$B6)),"PROXY",IF(GETPIVOTDATA(IF($J6=1,"Count of ACTIVE     CED, FARM GATE (MJ/kg)","Count of CED, processor gate (MJ/kg)"),'[1]Pivot Table_CED'!$A$3,"SUB TYPE",$B6)=0,"PROXY","DB value"))</f>
        <v/>
      </c>
      <c r="M6" s="91">
        <f>IF($L6="PROXY",DCOUNT('[1]literature entries'!$D:$AI,IF($J6=1,"ACTIVE     CED, FARM GATE (MJ/kg)","CED, processor gate (MJ/kg)"),INDIRECT($K6)),GETPIVOTDATA(IF($J6=1,"Count of ACTIVE     CED, FARM GATE (MJ/kg)","Count of CED, processor gate (MJ/kg)"),'[1]Pivot Table_CED'!$A$3,"SUB TYPE",$B6))</f>
        <v/>
      </c>
      <c r="N6" s="92">
        <f>IF($L6="PROXY",DAVERAGE('[1]literature entries'!$D:$AI,IF($J6=1,"ACTIVE     CED, FARM GATE (MJ/kg)","CED, processor gate (MJ/kg)"),INDIRECT($K6)),GETPIVOTDATA(IF($J6=1,"Average of ACTIVE     CED, FARM GATE (MJ/kg)","Average of CED, processor gate (MJ/kg)"),'[1]Pivot Table_CED'!$A$3,"SUB TYPE",$B6))</f>
        <v/>
      </c>
      <c r="O6" s="92">
        <f>IF($L6="PROXY",DSTDEV('[1]literature entries'!D:AI,IF($J6=1,"ACTIVE     CED, FARM GATE (MJ/kg)","CED, processor gate (MJ/kg)"),INDIRECT($K6)),GETPIVOTDATA(IF($J6=1,"StdDev of ACTIVE     CED, FARM GATE (MJ/kg)","StdDev of CED, processor gate (MJ/kg)"),'[1]Pivot Table_CED'!$A$3,"SUB TYPE",$B6))</f>
        <v/>
      </c>
      <c r="P6" s="90">
        <f>IF(ISERROR(GETPIVOTDATA(IF($J6=1,"Count of ACTIVE     GHGE, FARM GATE (kg CO2e/kg)","Count of GHGE, processor gate (kg CO2e/kg)"),'[1]Pivot Table_GHG'!$A$3,"SUB TYPE",$B6)),"PROXY",IF(GETPIVOTDATA(IF($J6=1,"Count of ACTIVE     GHGE, FARM GATE (kg CO2e/kg)","Count of GHGE, processor gate (kg CO2e/kg)"),'[1]Pivot Table_GHG'!$A$3,"SUB TYPE",$B6)=0,"PROXY","DB value"))</f>
        <v/>
      </c>
      <c r="Q6" s="93">
        <f>IF($P6="PROXY",DCOUNT('[1]literature entries'!$D:$AI,IF($J6=1,"ACTIVE     GHGE, FARM GATE (kg CO2e/kg)","GHGE, processor gate (kg CO2e/kg)"),INDIRECT($K6)),GETPIVOTDATA(IF($J6=1,"ACTIVE     GHGE, FARM GATE (kg CO2e/kg)","Count of GHGE, processor gate (kg CO2e/kg)"),'[1]Pivot Table_GHG'!$A$3,"SUB TYPE",$B6))</f>
        <v/>
      </c>
      <c r="R6" s="94">
        <f>IF($P6="PROXY",DAVERAGE('[1]literature entries'!$D:$AI,IF($J6=1,"ACTIVE     GHGE, FARM GATE (kg CO2e/kg)","GHGE, processor gate (kg CO2e/kg)"),INDIRECT($K6)),GETPIVOTDATA(IF($J6=1,"Average of ACTIVE     GHGE, FARM GATE (kg CO2e/kg)","Average of GHGE, processor gate (kg CO2e/kg)"),'[1]Pivot Table_GHG'!$A$3,"SUB TYPE",$B6))</f>
        <v/>
      </c>
      <c r="S6" s="94">
        <f>IF($P6="PROXY",DSTDEV('[1]literature entries'!$D:$AI,IF($J6=1,"ACTIVE     GHGE, FARM GATE (kg CO2e/kg)","GHGE, processor gate (kg CO2e/kg)"),INDIRECT($K6)),GETPIVOTDATA(IF($J6=1,"StdDev of ACTIVE     GHGE, FARM GATE (kg CO2e/kg)","StdDev of GHGE, processor gate (kg CO2e/kg)"),'[1]Pivot Table_GHG'!$A$3,"SUB TYPE",$B6))</f>
        <v/>
      </c>
      <c r="T6" s="105" t="n"/>
      <c r="U6" s="106" t="n"/>
      <c r="V6" s="97" t="n"/>
      <c r="W6" s="98" t="inlineStr">
        <is>
          <t>sweeteners</t>
        </is>
      </c>
      <c r="X6" s="98">
        <f>IF($W6="DIRECT",M6,DCOUNT('[1]literature entries'!$D:$AI,IF($J6=1,"ACTIVE     CED, FARM GATE (MJ/kg)","CED, processor gate (MJ/kg)"),INDIRECT($W6)))</f>
        <v/>
      </c>
      <c r="Y6" s="98">
        <f>IF($W6="DIRECT","",DAVERAGE('[1]literature entries'!$D:$AI,IF($J6=1,"ACTIVE     CED, FARM GATE (MJ/kg)","CED, processor gate (MJ/kg)"),INDIRECT($W6)))</f>
        <v/>
      </c>
      <c r="Z6" s="98">
        <f>IF($W6="DIRECT",$O6,DSTDEV('[1]literature entries'!$D:$AI,IF($J6=1,"ACTIVE     CED, FARM GATE (MJ/kg)","CED, processor gate (MJ/kg)"),INDIRECT($W6)))</f>
        <v/>
      </c>
      <c r="AA6" s="98">
        <f>IF($W6="DIRECT",$O6,$Z6/$Y6*$N6)</f>
        <v/>
      </c>
      <c r="AB6" s="99" t="inlineStr">
        <is>
          <t>sweeteners</t>
        </is>
      </c>
      <c r="AC6" s="99">
        <f>IF($AB6="DIRECT",Q6,DCOUNT('[1]literature entries'!$D:$AI,IF($J6=1,"ACTIVE     GHGE, FARM GATE (kg CO2e/kg)","GHGE, processor gate (kg CO2e/kg)"),INDIRECT($AB6)))</f>
        <v/>
      </c>
      <c r="AD6" s="99">
        <f>IF($AB6="DIRECT","",DAVERAGE('[1]literature entries'!$D:$AI,IF($J6=1,"ACTIVE     GHGE, FARM GATE (kg CO2e/kg)","GHGE, processor gate (kg CO2e/kg)"),INDIRECT($AB6)))</f>
        <v/>
      </c>
      <c r="AE6" s="99">
        <f>IF($AB6="DIRECT",$S6,DSTDEV('[1]literature entries'!$D:$AI,IF($J6=1,"ACTIVE     GHGE, FARM GATE (kg CO2e/kg)","GHGE, processor gate (kg CO2e/kg)"),INDIRECT($AB6)))</f>
        <v/>
      </c>
      <c r="AF6" s="99">
        <f>IF($AB6="DIRECT",$S6,$AE6/$AD6*$R6)</f>
        <v/>
      </c>
    </row>
    <row r="7">
      <c r="A7" s="100" t="n">
        <v>101067000</v>
      </c>
      <c r="B7" s="101" t="inlineStr">
        <is>
          <t>Burdock</t>
        </is>
      </c>
      <c r="C7" s="101" t="inlineStr">
        <is>
          <t>weight of roots</t>
        </is>
      </c>
      <c r="D7" s="101" t="n"/>
      <c r="E7" s="101" t="n">
        <v>2</v>
      </c>
      <c r="F7" s="84">
        <f>N7*H7+T7</f>
        <v/>
      </c>
      <c r="G7" s="85">
        <f>R7*H7+U7</f>
        <v/>
      </c>
      <c r="H7" s="102" t="n">
        <v>1.33</v>
      </c>
      <c r="I7" s="103" t="inlineStr">
        <is>
          <t>NNDSR28</t>
        </is>
      </c>
      <c r="J7" s="104" t="n">
        <v>1</v>
      </c>
      <c r="K7" s="89" t="inlineStr">
        <is>
          <t>roots</t>
        </is>
      </c>
      <c r="L7" s="90">
        <f>IF(ISERROR(GETPIVOTDATA(IF($J7=1,"Count of ACTIVE     CED, FARM GATE (MJ/kg)","Count of CED, processor gate (MJ/kg)"),'[1]Pivot Table_CED'!$A$3,"SUB TYPE",$B7)),"PROXY",IF(GETPIVOTDATA(IF($J7=1,"Count of ACTIVE     CED, FARM GATE (MJ/kg)","Count of CED, processor gate (MJ/kg)"),'[1]Pivot Table_CED'!$A$3,"SUB TYPE",$B7)=0,"PROXY","DB value"))</f>
        <v/>
      </c>
      <c r="M7" s="91">
        <f>IF($L7="PROXY",DCOUNT('[1]literature entries'!$D:$AI,IF($J7=1,"ACTIVE     CED, FARM GATE (MJ/kg)","CED, processor gate (MJ/kg)"),INDIRECT($K7)),GETPIVOTDATA(IF($J7=1,"Count of ACTIVE     CED, FARM GATE (MJ/kg)","Count of CED, processor gate (MJ/kg)"),'[1]Pivot Table_CED'!$A$3,"SUB TYPE",$B7))</f>
        <v/>
      </c>
      <c r="N7" s="92">
        <f>IF($L7="PROXY",DAVERAGE('[1]literature entries'!$D:$AI,IF($J7=1,"ACTIVE     CED, FARM GATE (MJ/kg)","CED, processor gate (MJ/kg)"),INDIRECT($K7)),GETPIVOTDATA(IF($J7=1,"Average of ACTIVE     CED, FARM GATE (MJ/kg)","Average of CED, processor gate (MJ/kg)"),'[1]Pivot Table_CED'!$A$3,"SUB TYPE",$B7))</f>
        <v/>
      </c>
      <c r="O7" s="92">
        <f>IF($L7="PROXY",DSTDEV('[1]literature entries'!D:AI,IF($J7=1,"ACTIVE     CED, FARM GATE (MJ/kg)","CED, processor gate (MJ/kg)"),INDIRECT($K7)),GETPIVOTDATA(IF($J7=1,"StdDev of ACTIVE     CED, FARM GATE (MJ/kg)","StdDev of CED, processor gate (MJ/kg)"),'[1]Pivot Table_CED'!$A$3,"SUB TYPE",$B7))</f>
        <v/>
      </c>
      <c r="P7" s="90">
        <f>IF(ISERROR(GETPIVOTDATA(IF($J7=1,"Count of ACTIVE     GHGE, FARM GATE (kg CO2e/kg)","Count of GHGE, processor gate (kg CO2e/kg)"),'[1]Pivot Table_GHG'!$A$3,"SUB TYPE",$B7)),"PROXY",IF(GETPIVOTDATA(IF($J7=1,"Count of ACTIVE     GHGE, FARM GATE (kg CO2e/kg)","Count of GHGE, processor gate (kg CO2e/kg)"),'[1]Pivot Table_GHG'!$A$3,"SUB TYPE",$B7)=0,"PROXY","DB value"))</f>
        <v/>
      </c>
      <c r="Q7" s="93">
        <f>IF($P7="PROXY",DCOUNT('[1]literature entries'!$D:$AI,IF($J7=1,"ACTIVE     GHGE, FARM GATE (kg CO2e/kg)","GHGE, processor gate (kg CO2e/kg)"),INDIRECT($K7)),GETPIVOTDATA(IF($J7=1,"ACTIVE     GHGE, FARM GATE (kg CO2e/kg)","Count of GHGE, processor gate (kg CO2e/kg)"),'[1]Pivot Table_GHG'!$A$3,"SUB TYPE",$B7))</f>
        <v/>
      </c>
      <c r="R7" s="94">
        <f>IF($P7="PROXY",DAVERAGE('[1]literature entries'!$D:$AI,IF($J7=1,"ACTIVE     GHGE, FARM GATE (kg CO2e/kg)","GHGE, processor gate (kg CO2e/kg)"),INDIRECT($K7)),GETPIVOTDATA(IF($J7=1,"Average of ACTIVE     GHGE, FARM GATE (kg CO2e/kg)","Average of GHGE, processor gate (kg CO2e/kg)"),'[1]Pivot Table_GHG'!$A$3,"SUB TYPE",$B7))</f>
        <v/>
      </c>
      <c r="S7" s="94">
        <f>IF($P7="PROXY",DSTDEV('[1]literature entries'!$D:$AI,IF($J7=1,"ACTIVE     GHGE, FARM GATE (kg CO2e/kg)","GHGE, processor gate (kg CO2e/kg)"),INDIRECT($K7)),GETPIVOTDATA(IF($J7=1,"StdDev of ACTIVE     GHGE, FARM GATE (kg CO2e/kg)","StdDev of GHGE, processor gate (kg CO2e/kg)"),'[1]Pivot Table_GHG'!$A$3,"SUB TYPE",$B7))</f>
        <v/>
      </c>
      <c r="T7" s="105" t="n"/>
      <c r="U7" s="106" t="n"/>
      <c r="V7" s="97" t="n"/>
      <c r="W7" s="98">
        <f>IF(L7="PROXY",IF(M7&gt;=5,K7,"need group"),IF(M7&gt;=5,"DIRECT","need group"))</f>
        <v/>
      </c>
      <c r="X7" s="98">
        <f>IF($W7="DIRECT",M7,DCOUNT('[1]literature entries'!$D:$AI,IF($J7=1,"ACTIVE     CED, FARM GATE (MJ/kg)","CED, processor gate (MJ/kg)"),INDIRECT($W7)))</f>
        <v/>
      </c>
      <c r="Y7" s="98">
        <f>IF($W7="DIRECT","",DAVERAGE('[1]literature entries'!$D:$AI,IF($J7=1,"ACTIVE     CED, FARM GATE (MJ/kg)","CED, processor gate (MJ/kg)"),INDIRECT($W7)))</f>
        <v/>
      </c>
      <c r="Z7" s="98">
        <f>IF($W7="DIRECT",$O7,DSTDEV('[1]literature entries'!$D:$AI,IF($J7=1,"ACTIVE     CED, FARM GATE (MJ/kg)","CED, processor gate (MJ/kg)"),INDIRECT($W7)))</f>
        <v/>
      </c>
      <c r="AA7" s="98">
        <f>IF($W7="DIRECT",$O7,$Z7/$Y7*$N7)</f>
        <v/>
      </c>
      <c r="AB7" s="99">
        <f>IF(P7="PROXY",IF(Q7&gt;=5,K7,"need group"),IF(Q7&gt;=5,"DIRECT","need group"))</f>
        <v/>
      </c>
      <c r="AC7" s="99">
        <f>IF($AB7="DIRECT",Q7,DCOUNT('[1]literature entries'!$D:$AI,IF($J7=1,"ACTIVE     GHGE, FARM GATE (kg CO2e/kg)","GHGE, processor gate (kg CO2e/kg)"),INDIRECT($AB7)))</f>
        <v/>
      </c>
      <c r="AD7" s="99">
        <f>IF($AB7="DIRECT","",DAVERAGE('[1]literature entries'!$D:$AI,IF($J7=1,"ACTIVE     GHGE, FARM GATE (kg CO2e/kg)","GHGE, processor gate (kg CO2e/kg)"),INDIRECT($AB7)))</f>
        <v/>
      </c>
      <c r="AE7" s="99">
        <f>IF($AB7="DIRECT",$S7,DSTDEV('[1]literature entries'!$D:$AI,IF($J7=1,"ACTIVE     GHGE, FARM GATE (kg CO2e/kg)","GHGE, processor gate (kg CO2e/kg)"),INDIRECT($AB7)))</f>
        <v/>
      </c>
      <c r="AF7" s="99">
        <f>IF($AB7="DIRECT",$S7,$AE7/$AD7*$R7)</f>
        <v/>
      </c>
    </row>
    <row r="8">
      <c r="A8" s="100" t="n">
        <v>101078000</v>
      </c>
      <c r="B8" s="101" t="inlineStr">
        <is>
          <t>Carrot</t>
        </is>
      </c>
      <c r="C8" s="101" t="inlineStr">
        <is>
          <t>weight of roots, with or without peel, excluding tops</t>
        </is>
      </c>
      <c r="D8" s="101" t="n"/>
      <c r="E8" s="101" t="n">
        <v>14222</v>
      </c>
      <c r="F8" s="84">
        <f>N8*H8+T8</f>
        <v/>
      </c>
      <c r="G8" s="85">
        <f>R8*H8+U8</f>
        <v/>
      </c>
      <c r="H8" s="102" t="n">
        <v>1.12</v>
      </c>
      <c r="I8" s="102" t="inlineStr">
        <is>
          <t>FICRCD</t>
        </is>
      </c>
      <c r="J8" s="104" t="n">
        <v>1</v>
      </c>
      <c r="K8" s="89" t="n"/>
      <c r="L8" s="90">
        <f>IF(ISERROR(GETPIVOTDATA(IF($J8=1,"Count of ACTIVE     CED, FARM GATE (MJ/kg)","Count of CED, processor gate (MJ/kg)"),'[1]Pivot Table_CED'!$A$3,"SUB TYPE",$B8)),"PROXY",IF(GETPIVOTDATA(IF($J8=1,"Count of ACTIVE     CED, FARM GATE (MJ/kg)","Count of CED, processor gate (MJ/kg)"),'[1]Pivot Table_CED'!$A$3,"SUB TYPE",$B8)=0,"PROXY","DB value"))</f>
        <v/>
      </c>
      <c r="M8" s="91">
        <f>IF($L8="PROXY",DCOUNT('[1]literature entries'!$D:$AI,IF($J8=1,"ACTIVE     CED, FARM GATE (MJ/kg)","CED, processor gate (MJ/kg)"),INDIRECT($K8)),GETPIVOTDATA(IF($J8=1,"Count of ACTIVE     CED, FARM GATE (MJ/kg)","Count of CED, processor gate (MJ/kg)"),'[1]Pivot Table_CED'!$A$3,"SUB TYPE",$B8))</f>
        <v/>
      </c>
      <c r="N8" s="92">
        <f>IF($L8="PROXY",DAVERAGE('[1]literature entries'!$D:$AI,IF($J8=1,"ACTIVE     CED, FARM GATE (MJ/kg)","CED, processor gate (MJ/kg)"),INDIRECT($K8)),GETPIVOTDATA(IF($J8=1,"Average of ACTIVE     CED, FARM GATE (MJ/kg)","Average of CED, processor gate (MJ/kg)"),'[1]Pivot Table_CED'!$A$3,"SUB TYPE",$B8))</f>
        <v/>
      </c>
      <c r="O8" s="92">
        <f>IF($L8="PROXY",DSTDEV('[1]literature entries'!D:AI,IF($J8=1,"ACTIVE     CED, FARM GATE (MJ/kg)","CED, processor gate (MJ/kg)"),INDIRECT($K8)),GETPIVOTDATA(IF($J8=1,"StdDev of ACTIVE     CED, FARM GATE (MJ/kg)","StdDev of CED, processor gate (MJ/kg)"),'[1]Pivot Table_CED'!$A$3,"SUB TYPE",$B8))</f>
        <v/>
      </c>
      <c r="P8" s="90">
        <f>IF(ISERROR(GETPIVOTDATA(IF($J8=1,"Count of ACTIVE     GHGE, FARM GATE (kg CO2e/kg)","Count of GHGE, processor gate (kg CO2e/kg)"),'[1]Pivot Table_GHG'!$A$3,"SUB TYPE",$B8)),"PROXY",IF(GETPIVOTDATA(IF($J8=1,"Count of ACTIVE     GHGE, FARM GATE (kg CO2e/kg)","Count of GHGE, processor gate (kg CO2e/kg)"),'[1]Pivot Table_GHG'!$A$3,"SUB TYPE",$B8)=0,"PROXY","DB value"))</f>
        <v/>
      </c>
      <c r="Q8" s="93">
        <f>IF($P8="PROXY",DCOUNT('[1]literature entries'!$D:$AI,IF($J8=1,"ACTIVE     GHGE, FARM GATE (kg CO2e/kg)","GHGE, processor gate (kg CO2e/kg)"),INDIRECT($K8)),GETPIVOTDATA(IF($J8=1,"ACTIVE     GHGE, FARM GATE (kg CO2e/kg)","Count of GHGE, processor gate (kg CO2e/kg)"),'[1]Pivot Table_GHG'!$A$3,"SUB TYPE",$B8))</f>
        <v/>
      </c>
      <c r="R8" s="94">
        <f>IF($P8="PROXY",DAVERAGE('[1]literature entries'!$D:$AI,IF($J8=1,"ACTIVE     GHGE, FARM GATE (kg CO2e/kg)","GHGE, processor gate (kg CO2e/kg)"),INDIRECT($K8)),GETPIVOTDATA(IF($J8=1,"Average of ACTIVE     GHGE, FARM GATE (kg CO2e/kg)","Average of GHGE, processor gate (kg CO2e/kg)"),'[1]Pivot Table_GHG'!$A$3,"SUB TYPE",$B8))</f>
        <v/>
      </c>
      <c r="S8" s="94">
        <f>IF($P8="PROXY",DSTDEV('[1]literature entries'!$D:$AI,IF($J8=1,"ACTIVE     GHGE, FARM GATE (kg CO2e/kg)","GHGE, processor gate (kg CO2e/kg)"),INDIRECT($K8)),GETPIVOTDATA(IF($J8=1,"StdDev of ACTIVE     GHGE, FARM GATE (kg CO2e/kg)","StdDev of GHGE, processor gate (kg CO2e/kg)"),'[1]Pivot Table_GHG'!$A$3,"SUB TYPE",$B8))</f>
        <v/>
      </c>
      <c r="T8" s="105" t="n"/>
      <c r="U8" s="106" t="n"/>
      <c r="V8" s="97" t="n"/>
      <c r="W8" s="98">
        <f>IF(L8="PROXY",IF(M8&gt;=5,K8,"need group"),IF(M8&gt;=5,"DIRECT","need group"))</f>
        <v/>
      </c>
      <c r="X8" s="98">
        <f>IF($W8="DIRECT",M8,DCOUNT('[1]literature entries'!$D:$AI,IF($J8=1,"ACTIVE     CED, FARM GATE (MJ/kg)","CED, processor gate (MJ/kg)"),INDIRECT($W8)))</f>
        <v/>
      </c>
      <c r="Y8" s="98">
        <f>IF($W8="DIRECT","",DAVERAGE('[1]literature entries'!$D:$AI,IF($J8=1,"ACTIVE     CED, FARM GATE (MJ/kg)","CED, processor gate (MJ/kg)"),INDIRECT($W8)))</f>
        <v/>
      </c>
      <c r="Z8" s="98">
        <f>IF($W8="DIRECT",$O8,DSTDEV('[1]literature entries'!$D:$AI,IF($J8=1,"ACTIVE     CED, FARM GATE (MJ/kg)","CED, processor gate (MJ/kg)"),INDIRECT($W8)))</f>
        <v/>
      </c>
      <c r="AA8" s="98">
        <f>IF($W8="DIRECT",$O8,$Z8/$Y8*$N8)</f>
        <v/>
      </c>
      <c r="AB8" s="99">
        <f>IF(P8="PROXY",IF(Q8&gt;=5,K8,"need group"),IF(Q8&gt;=5,"DIRECT","need group"))</f>
        <v/>
      </c>
      <c r="AC8" s="99">
        <f>IF($AB8="DIRECT",Q8,DCOUNT('[1]literature entries'!$D:$AI,IF($J8=1,"ACTIVE     GHGE, FARM GATE (kg CO2e/kg)","GHGE, processor gate (kg CO2e/kg)"),INDIRECT($AB8)))</f>
        <v/>
      </c>
      <c r="AD8" s="99">
        <f>IF($AB8="DIRECT","",DAVERAGE('[1]literature entries'!$D:$AI,IF($J8=1,"ACTIVE     GHGE, FARM GATE (kg CO2e/kg)","GHGE, processor gate (kg CO2e/kg)"),INDIRECT($AB8)))</f>
        <v/>
      </c>
      <c r="AE8" s="99">
        <f>IF($AB8="DIRECT",$S8,DSTDEV('[1]literature entries'!$D:$AI,IF($J8=1,"ACTIVE     GHGE, FARM GATE (kg CO2e/kg)","GHGE, processor gate (kg CO2e/kg)"),INDIRECT($AB8)))</f>
        <v/>
      </c>
      <c r="AF8" s="99">
        <f>IF($AB8="DIRECT",$S8,$AE8/$AD8*$R8)</f>
        <v/>
      </c>
    </row>
    <row r="9">
      <c r="A9" s="100" t="n">
        <v>101079000</v>
      </c>
      <c r="B9" s="101" t="inlineStr">
        <is>
          <t>Carrot, juice</t>
        </is>
      </c>
      <c r="C9" s="101" t="inlineStr">
        <is>
          <t>weight of juice at single strength (or standard dilution)</t>
        </is>
      </c>
      <c r="D9" s="101" t="n"/>
      <c r="E9" s="101" t="n">
        <v>630</v>
      </c>
      <c r="F9" s="84">
        <f>N9*H9+T9</f>
        <v/>
      </c>
      <c r="G9" s="85">
        <f>R9*H9+U9</f>
        <v/>
      </c>
      <c r="H9" s="102" t="n">
        <v>1.12</v>
      </c>
      <c r="I9" s="103" t="inlineStr">
        <is>
          <t>FICRCD</t>
        </is>
      </c>
      <c r="J9" s="104" t="n">
        <v>1</v>
      </c>
      <c r="K9" s="89" t="inlineStr">
        <is>
          <t>carrot</t>
        </is>
      </c>
      <c r="L9" s="90">
        <f>IF(ISERROR(GETPIVOTDATA(IF($J9=1,"Count of ACTIVE     CED, FARM GATE (MJ/kg)","Count of CED, processor gate (MJ/kg)"),'[1]Pivot Table_CED'!$A$3,"SUB TYPE",$B9)),"PROXY",IF(GETPIVOTDATA(IF($J9=1,"Count of ACTIVE     CED, FARM GATE (MJ/kg)","Count of CED, processor gate (MJ/kg)"),'[1]Pivot Table_CED'!$A$3,"SUB TYPE",$B9)=0,"PROXY","DB value"))</f>
        <v/>
      </c>
      <c r="M9" s="91">
        <f>IF($L9="PROXY",DCOUNT('[1]literature entries'!$D:$AI,IF($J9=1,"ACTIVE     CED, FARM GATE (MJ/kg)","CED, processor gate (MJ/kg)"),INDIRECT($K9)),GETPIVOTDATA(IF($J9=1,"Count of ACTIVE     CED, FARM GATE (MJ/kg)","Count of CED, processor gate (MJ/kg)"),'[1]Pivot Table_CED'!$A$3,"SUB TYPE",$B9))</f>
        <v/>
      </c>
      <c r="N9" s="92">
        <f>IF($L9="PROXY",DAVERAGE('[1]literature entries'!$D:$AI,IF($J9=1,"ACTIVE     CED, FARM GATE (MJ/kg)","CED, processor gate (MJ/kg)"),INDIRECT($K9)),GETPIVOTDATA(IF($J9=1,"Average of ACTIVE     CED, FARM GATE (MJ/kg)","Average of CED, processor gate (MJ/kg)"),'[1]Pivot Table_CED'!$A$3,"SUB TYPE",$B9))</f>
        <v/>
      </c>
      <c r="O9" s="92">
        <f>IF($L9="PROXY",DSTDEV('[1]literature entries'!D:AI,IF($J9=1,"ACTIVE     CED, FARM GATE (MJ/kg)","CED, processor gate (MJ/kg)"),INDIRECT($K9)),GETPIVOTDATA(IF($J9=1,"StdDev of ACTIVE     CED, FARM GATE (MJ/kg)","StdDev of CED, processor gate (MJ/kg)"),'[1]Pivot Table_CED'!$A$3,"SUB TYPE",$B9))</f>
        <v/>
      </c>
      <c r="P9" s="90">
        <f>IF(ISERROR(GETPIVOTDATA(IF($J9=1,"Count of ACTIVE     GHGE, FARM GATE (kg CO2e/kg)","Count of GHGE, processor gate (kg CO2e/kg)"),'[1]Pivot Table_GHG'!$A$3,"SUB TYPE",$B9)),"PROXY",IF(GETPIVOTDATA(IF($J9=1,"Count of ACTIVE     GHGE, FARM GATE (kg CO2e/kg)","Count of GHGE, processor gate (kg CO2e/kg)"),'[1]Pivot Table_GHG'!$A$3,"SUB TYPE",$B9)=0,"PROXY","DB value"))</f>
        <v/>
      </c>
      <c r="Q9" s="93">
        <f>IF($P9="PROXY",DCOUNT('[1]literature entries'!$D:$AI,IF($J9=1,"ACTIVE     GHGE, FARM GATE (kg CO2e/kg)","GHGE, processor gate (kg CO2e/kg)"),INDIRECT($K9)),GETPIVOTDATA(IF($J9=1,"ACTIVE     GHGE, FARM GATE (kg CO2e/kg)","Count of GHGE, processor gate (kg CO2e/kg)"),'[1]Pivot Table_GHG'!$A$3,"SUB TYPE",$B9))</f>
        <v/>
      </c>
      <c r="R9" s="94">
        <f>IF($P9="PROXY",DAVERAGE('[1]literature entries'!$D:$AI,IF($J9=1,"ACTIVE     GHGE, FARM GATE (kg CO2e/kg)","GHGE, processor gate (kg CO2e/kg)"),INDIRECT($K9)),GETPIVOTDATA(IF($J9=1,"Average of ACTIVE     GHGE, FARM GATE (kg CO2e/kg)","Average of GHGE, processor gate (kg CO2e/kg)"),'[1]Pivot Table_GHG'!$A$3,"SUB TYPE",$B9))</f>
        <v/>
      </c>
      <c r="S9" s="94">
        <f>IF($P9="PROXY",DSTDEV('[1]literature entries'!$D:$AI,IF($J9=1,"ACTIVE     GHGE, FARM GATE (kg CO2e/kg)","GHGE, processor gate (kg CO2e/kg)"),INDIRECT($K9)),GETPIVOTDATA(IF($J9=1,"StdDev of ACTIVE     GHGE, FARM GATE (kg CO2e/kg)","StdDev of GHGE, processor gate (kg CO2e/kg)"),'[1]Pivot Table_GHG'!$A$3,"SUB TYPE",$B9))</f>
        <v/>
      </c>
      <c r="T9" s="107" t="n">
        <v>5.282</v>
      </c>
      <c r="U9" s="108" t="n">
        <v>0.9790791260799999</v>
      </c>
      <c r="V9" s="97" t="n"/>
      <c r="W9" s="98" t="inlineStr">
        <is>
          <t>roots</t>
        </is>
      </c>
      <c r="X9" s="98">
        <f>IF($W9="DIRECT",M9,DCOUNT('[1]literature entries'!$D:$AI,IF($J9=1,"ACTIVE     CED, FARM GATE (MJ/kg)","CED, processor gate (MJ/kg)"),INDIRECT($W9)))</f>
        <v/>
      </c>
      <c r="Y9" s="98">
        <f>IF($W9="DIRECT","",DAVERAGE('[1]literature entries'!$D:$AI,IF($J9=1,"ACTIVE     CED, FARM GATE (MJ/kg)","CED, processor gate (MJ/kg)"),INDIRECT($W9)))</f>
        <v/>
      </c>
      <c r="Z9" s="98">
        <f>IF($W9="DIRECT",$O9,DSTDEV('[1]literature entries'!$D:$AI,IF($J9=1,"ACTIVE     CED, FARM GATE (MJ/kg)","CED, processor gate (MJ/kg)"),INDIRECT($W9)))</f>
        <v/>
      </c>
      <c r="AA9" s="98">
        <f>IF($W9="DIRECT",$O9,$Z9/$Y9*$N9)</f>
        <v/>
      </c>
      <c r="AB9" s="99" t="inlineStr">
        <is>
          <t>roots</t>
        </is>
      </c>
      <c r="AC9" s="99">
        <f>IF($AB9="DIRECT",Q9,DCOUNT('[1]literature entries'!$D:$AI,IF($J9=1,"ACTIVE     GHGE, FARM GATE (kg CO2e/kg)","GHGE, processor gate (kg CO2e/kg)"),INDIRECT($AB9)))</f>
        <v/>
      </c>
      <c r="AD9" s="99">
        <f>IF($AB9="DIRECT","",DAVERAGE('[1]literature entries'!$D:$AI,IF($J9=1,"ACTIVE     GHGE, FARM GATE (kg CO2e/kg)","GHGE, processor gate (kg CO2e/kg)"),INDIRECT($AB9)))</f>
        <v/>
      </c>
      <c r="AE9" s="99">
        <f>IF($AB9="DIRECT",$S9,DSTDEV('[1]literature entries'!$D:$AI,IF($J9=1,"ACTIVE     GHGE, FARM GATE (kg CO2e/kg)","GHGE, processor gate (kg CO2e/kg)"),INDIRECT($AB9)))</f>
        <v/>
      </c>
      <c r="AF9" s="99">
        <f>IF($AB9="DIRECT",$S9,$AE9/$AD9*$R9)</f>
        <v/>
      </c>
    </row>
    <row r="10">
      <c r="A10" s="100" t="n">
        <v>101100000</v>
      </c>
      <c r="B10" s="101" t="inlineStr">
        <is>
          <t>Chicory, roots</t>
        </is>
      </c>
      <c r="C10" s="101" t="inlineStr">
        <is>
          <t>weight of roots</t>
        </is>
      </c>
      <c r="D10" s="101" t="n"/>
      <c r="E10" s="101" t="n">
        <v>75</v>
      </c>
      <c r="F10" s="84">
        <f>N10*H10+T10</f>
        <v/>
      </c>
      <c r="G10" s="85">
        <f>R10*H10+U10</f>
        <v/>
      </c>
      <c r="H10" s="103" t="n">
        <v>1</v>
      </c>
      <c r="I10" s="103" t="inlineStr">
        <is>
          <t>None</t>
        </is>
      </c>
      <c r="J10" s="104" t="n">
        <v>1</v>
      </c>
      <c r="K10" s="89" t="n"/>
      <c r="L10" s="90">
        <f>IF(ISERROR(GETPIVOTDATA(IF($J10=1,"Count of ACTIVE     CED, FARM GATE (MJ/kg)","Count of CED, processor gate (MJ/kg)"),'[1]Pivot Table_CED'!$A$3,"SUB TYPE",$B10)),"PROXY",IF(GETPIVOTDATA(IF($J10=1,"Count of ACTIVE     CED, FARM GATE (MJ/kg)","Count of CED, processor gate (MJ/kg)"),'[1]Pivot Table_CED'!$A$3,"SUB TYPE",$B10)=0,"PROXY","DB value"))</f>
        <v/>
      </c>
      <c r="M10" s="91">
        <f>IF($L10="PROXY",DCOUNT('[1]literature entries'!$D:$AI,IF($J10=1,"ACTIVE     CED, FARM GATE (MJ/kg)","CED, processor gate (MJ/kg)"),INDIRECT($K10)),GETPIVOTDATA(IF($J10=1,"Count of ACTIVE     CED, FARM GATE (MJ/kg)","Count of CED, processor gate (MJ/kg)"),'[1]Pivot Table_CED'!$A$3,"SUB TYPE",$B10))</f>
        <v/>
      </c>
      <c r="N10" s="92">
        <f>IF($L10="PROXY",DAVERAGE('[1]literature entries'!$D:$AI,IF($J10=1,"ACTIVE     CED, FARM GATE (MJ/kg)","CED, processor gate (MJ/kg)"),INDIRECT($K10)),GETPIVOTDATA(IF($J10=1,"Average of ACTIVE     CED, FARM GATE (MJ/kg)","Average of CED, processor gate (MJ/kg)"),'[1]Pivot Table_CED'!$A$3,"SUB TYPE",$B10))</f>
        <v/>
      </c>
      <c r="O10" s="92">
        <f>IF($L10="PROXY",DSTDEV('[1]literature entries'!D:AI,IF($J10=1,"ACTIVE     CED, FARM GATE (MJ/kg)","CED, processor gate (MJ/kg)"),INDIRECT($K10)),GETPIVOTDATA(IF($J10=1,"StdDev of ACTIVE     CED, FARM GATE (MJ/kg)","StdDev of CED, processor gate (MJ/kg)"),'[1]Pivot Table_CED'!$A$3,"SUB TYPE",$B10))</f>
        <v/>
      </c>
      <c r="P10" s="90">
        <f>IF(ISERROR(GETPIVOTDATA(IF($J10=1,"Count of ACTIVE     GHGE, FARM GATE (kg CO2e/kg)","Count of GHGE, processor gate (kg CO2e/kg)"),'[1]Pivot Table_GHG'!$A$3,"SUB TYPE",$B10)),"PROXY",IF(GETPIVOTDATA(IF($J10=1,"Count of ACTIVE     GHGE, FARM GATE (kg CO2e/kg)","Count of GHGE, processor gate (kg CO2e/kg)"),'[1]Pivot Table_GHG'!$A$3,"SUB TYPE",$B10)=0,"PROXY","DB value"))</f>
        <v/>
      </c>
      <c r="Q10" s="93">
        <f>IF($P10="PROXY",DCOUNT('[1]literature entries'!$D:$AI,IF($J10=1,"ACTIVE     GHGE, FARM GATE (kg CO2e/kg)","GHGE, processor gate (kg CO2e/kg)"),INDIRECT($K10)),GETPIVOTDATA(IF($J10=1,"ACTIVE     GHGE, FARM GATE (kg CO2e/kg)","Count of GHGE, processor gate (kg CO2e/kg)"),'[1]Pivot Table_GHG'!$A$3,"SUB TYPE",$B10))</f>
        <v/>
      </c>
      <c r="R10" s="94">
        <f>IF($P10="PROXY",DAVERAGE('[1]literature entries'!$D:$AI,IF($J10=1,"ACTIVE     GHGE, FARM GATE (kg CO2e/kg)","GHGE, processor gate (kg CO2e/kg)"),INDIRECT($K10)),GETPIVOTDATA(IF($J10=1,"Average of ACTIVE     GHGE, FARM GATE (kg CO2e/kg)","Average of GHGE, processor gate (kg CO2e/kg)"),'[1]Pivot Table_GHG'!$A$3,"SUB TYPE",$B10))</f>
        <v/>
      </c>
      <c r="S10" s="94">
        <f>IF($P10="PROXY",DSTDEV('[1]literature entries'!$D:$AI,IF($J10=1,"ACTIVE     GHGE, FARM GATE (kg CO2e/kg)","GHGE, processor gate (kg CO2e/kg)"),INDIRECT($K10)),GETPIVOTDATA(IF($J10=1,"StdDev of ACTIVE     GHGE, FARM GATE (kg CO2e/kg)","StdDev of GHGE, processor gate (kg CO2e/kg)"),'[1]Pivot Table_GHG'!$A$3,"SUB TYPE",$B10))</f>
        <v/>
      </c>
      <c r="T10" s="105" t="n"/>
      <c r="U10" s="106" t="n"/>
      <c r="V10" s="97" t="n"/>
      <c r="W10" s="98" t="inlineStr">
        <is>
          <t>roots</t>
        </is>
      </c>
      <c r="X10" s="98">
        <f>IF($W10="DIRECT",M10,DCOUNT('[1]literature entries'!$D:$AI,IF($J10=1,"ACTIVE     CED, FARM GATE (MJ/kg)","CED, processor gate (MJ/kg)"),INDIRECT($W10)))</f>
        <v/>
      </c>
      <c r="Y10" s="98">
        <f>IF($W10="DIRECT","",DAVERAGE('[1]literature entries'!$D:$AI,IF($J10=1,"ACTIVE     CED, FARM GATE (MJ/kg)","CED, processor gate (MJ/kg)"),INDIRECT($W10)))</f>
        <v/>
      </c>
      <c r="Z10" s="98">
        <f>IF($W10="DIRECT",$O10,DSTDEV('[1]literature entries'!$D:$AI,IF($J10=1,"ACTIVE     CED, FARM GATE (MJ/kg)","CED, processor gate (MJ/kg)"),INDIRECT($W10)))</f>
        <v/>
      </c>
      <c r="AA10" s="98">
        <f>IF($W10="DIRECT",$O10,$Z10/$Y10*$N10)</f>
        <v/>
      </c>
      <c r="AB10" s="99" t="inlineStr">
        <is>
          <t>roots</t>
        </is>
      </c>
      <c r="AC10" s="99">
        <f>IF($AB10="DIRECT",Q10,DCOUNT('[1]literature entries'!$D:$AI,IF($J10=1,"ACTIVE     GHGE, FARM GATE (kg CO2e/kg)","GHGE, processor gate (kg CO2e/kg)"),INDIRECT($AB10)))</f>
        <v/>
      </c>
      <c r="AD10" s="99">
        <f>IF($AB10="DIRECT","",DAVERAGE('[1]literature entries'!$D:$AI,IF($J10=1,"ACTIVE     GHGE, FARM GATE (kg CO2e/kg)","GHGE, processor gate (kg CO2e/kg)"),INDIRECT($AB10)))</f>
        <v/>
      </c>
      <c r="AE10" s="99">
        <f>IF($AB10="DIRECT",$S10,DSTDEV('[1]literature entries'!$D:$AI,IF($J10=1,"ACTIVE     GHGE, FARM GATE (kg CO2e/kg)","GHGE, processor gate (kg CO2e/kg)"),INDIRECT($AB10)))</f>
        <v/>
      </c>
      <c r="AF10" s="99">
        <f>IF($AB10="DIRECT",$S10,$AE10/$AD10*$R10)</f>
        <v/>
      </c>
    </row>
    <row r="11">
      <c r="A11" s="100" t="n">
        <v>101168000</v>
      </c>
      <c r="B11" s="101" t="inlineStr">
        <is>
          <t>Ginseng, dried</t>
        </is>
      </c>
      <c r="C11" s="101" t="inlineStr">
        <is>
          <t>dry weight of roots</t>
        </is>
      </c>
      <c r="D11" s="101" t="n"/>
      <c r="E11" s="101" t="n">
        <v>1</v>
      </c>
      <c r="F11" s="84">
        <f>N11*H11+T11</f>
        <v/>
      </c>
      <c r="G11" s="85">
        <f>R11*H11+U11</f>
        <v/>
      </c>
      <c r="H11" s="102" t="n">
        <v>1</v>
      </c>
      <c r="I11" s="103" t="inlineStr">
        <is>
          <t>None</t>
        </is>
      </c>
      <c r="J11" s="104" t="n">
        <v>1</v>
      </c>
      <c r="K11" s="89" t="inlineStr">
        <is>
          <t>spices</t>
        </is>
      </c>
      <c r="L11" s="90">
        <f>IF(ISERROR(GETPIVOTDATA(IF($J11=1,"Count of ACTIVE     CED, FARM GATE (MJ/kg)","Count of CED, processor gate (MJ/kg)"),'[1]Pivot Table_CED'!$A$3,"SUB TYPE",$B11)),"PROXY",IF(GETPIVOTDATA(IF($J11=1,"Count of ACTIVE     CED, FARM GATE (MJ/kg)","Count of CED, processor gate (MJ/kg)"),'[1]Pivot Table_CED'!$A$3,"SUB TYPE",$B11)=0,"PROXY","DB value"))</f>
        <v/>
      </c>
      <c r="M11" s="91">
        <f>IF($L11="PROXY",DCOUNT('[1]literature entries'!$D:$AI,IF($J11=1,"ACTIVE     CED, FARM GATE (MJ/kg)","CED, processor gate (MJ/kg)"),INDIRECT($K11)),GETPIVOTDATA(IF($J11=1,"Count of ACTIVE     CED, FARM GATE (MJ/kg)","Count of CED, processor gate (MJ/kg)"),'[1]Pivot Table_CED'!$A$3,"SUB TYPE",$B11))</f>
        <v/>
      </c>
      <c r="N11" s="92">
        <f>IF($L11="PROXY",DAVERAGE('[1]literature entries'!$D:$AI,IF($J11=1,"ACTIVE     CED, FARM GATE (MJ/kg)","CED, processor gate (MJ/kg)"),INDIRECT($K11)),GETPIVOTDATA(IF($J11=1,"Average of ACTIVE     CED, FARM GATE (MJ/kg)","Average of CED, processor gate (MJ/kg)"),'[1]Pivot Table_CED'!$A$3,"SUB TYPE",$B11))</f>
        <v/>
      </c>
      <c r="O11" s="92">
        <f>IF($L11="PROXY",DSTDEV('[1]literature entries'!D:AI,IF($J11=1,"ACTIVE     CED, FARM GATE (MJ/kg)","CED, processor gate (MJ/kg)"),INDIRECT($K11)),GETPIVOTDATA(IF($J11=1,"StdDev of ACTIVE     CED, FARM GATE (MJ/kg)","StdDev of CED, processor gate (MJ/kg)"),'[1]Pivot Table_CED'!$A$3,"SUB TYPE",$B11))</f>
        <v/>
      </c>
      <c r="P11" s="90">
        <f>IF(ISERROR(GETPIVOTDATA(IF($J11=1,"Count of ACTIVE     GHGE, FARM GATE (kg CO2e/kg)","Count of GHGE, processor gate (kg CO2e/kg)"),'[1]Pivot Table_GHG'!$A$3,"SUB TYPE",$B11)),"PROXY",IF(GETPIVOTDATA(IF($J11=1,"Count of ACTIVE     GHGE, FARM GATE (kg CO2e/kg)","Count of GHGE, processor gate (kg CO2e/kg)"),'[1]Pivot Table_GHG'!$A$3,"SUB TYPE",$B11)=0,"PROXY","DB value"))</f>
        <v/>
      </c>
      <c r="Q11" s="93">
        <f>IF($P11="PROXY",DCOUNT('[1]literature entries'!$D:$AI,IF($J11=1,"ACTIVE     GHGE, FARM GATE (kg CO2e/kg)","GHGE, processor gate (kg CO2e/kg)"),INDIRECT($K11)),GETPIVOTDATA(IF($J11=1,"ACTIVE     GHGE, FARM GATE (kg CO2e/kg)","Count of GHGE, processor gate (kg CO2e/kg)"),'[1]Pivot Table_GHG'!$A$3,"SUB TYPE",$B11))</f>
        <v/>
      </c>
      <c r="R11" s="94">
        <f>IF($P11="PROXY",DAVERAGE('[1]literature entries'!$D:$AI,IF($J11=1,"ACTIVE     GHGE, FARM GATE (kg CO2e/kg)","GHGE, processor gate (kg CO2e/kg)"),INDIRECT($K11)),GETPIVOTDATA(IF($J11=1,"Average of ACTIVE     GHGE, FARM GATE (kg CO2e/kg)","Average of GHGE, processor gate (kg CO2e/kg)"),'[1]Pivot Table_GHG'!$A$3,"SUB TYPE",$B11))</f>
        <v/>
      </c>
      <c r="S11" s="94">
        <f>IF($P11="PROXY",DSTDEV('[1]literature entries'!$D:$AI,IF($J11=1,"ACTIVE     GHGE, FARM GATE (kg CO2e/kg)","GHGE, processor gate (kg CO2e/kg)"),INDIRECT($K11)),GETPIVOTDATA(IF($J11=1,"StdDev of ACTIVE     GHGE, FARM GATE (kg CO2e/kg)","StdDev of GHGE, processor gate (kg CO2e/kg)"),'[1]Pivot Table_GHG'!$A$3,"SUB TYPE",$B11))</f>
        <v/>
      </c>
      <c r="T11" s="105" t="n"/>
      <c r="U11" s="106" t="n"/>
      <c r="V11" s="97" t="n"/>
      <c r="W11" s="109" t="inlineStr">
        <is>
          <t>no var</t>
        </is>
      </c>
      <c r="X11" s="98" t="n"/>
      <c r="Y11" s="98" t="n"/>
      <c r="Z11" s="98" t="n">
        <v>0</v>
      </c>
      <c r="AA11" s="98" t="n">
        <v>0</v>
      </c>
      <c r="AB11" s="99" t="inlineStr">
        <is>
          <t>no var</t>
        </is>
      </c>
      <c r="AC11" s="99" t="n"/>
      <c r="AD11" s="99" t="n"/>
      <c r="AE11" s="99" t="n">
        <v>0</v>
      </c>
      <c r="AF11" s="99" t="n">
        <v>0</v>
      </c>
    </row>
    <row r="12">
      <c r="A12" s="100" t="n">
        <v>101190000</v>
      </c>
      <c r="B12" s="101" t="inlineStr">
        <is>
          <t>Horseradish</t>
        </is>
      </c>
      <c r="C12" s="101" t="inlineStr">
        <is>
          <t>weight of root, ground</t>
        </is>
      </c>
      <c r="D12" s="101" t="n"/>
      <c r="E12" s="101" t="n">
        <v>364</v>
      </c>
      <c r="F12" s="84">
        <f>N12*H12+T12</f>
        <v/>
      </c>
      <c r="G12" s="85">
        <f>R12*H12+U12</f>
        <v/>
      </c>
      <c r="H12" s="102" t="n">
        <v>1</v>
      </c>
      <c r="I12" s="103" t="inlineStr">
        <is>
          <t>None</t>
        </is>
      </c>
      <c r="J12" s="104" t="n">
        <v>1</v>
      </c>
      <c r="K12" s="89" t="inlineStr">
        <is>
          <t>roots</t>
        </is>
      </c>
      <c r="L12" s="90">
        <f>IF(ISERROR(GETPIVOTDATA(IF($J12=1,"Count of ACTIVE     CED, FARM GATE (MJ/kg)","Count of CED, processor gate (MJ/kg)"),'[1]Pivot Table_CED'!$A$3,"SUB TYPE",$B12)),"PROXY",IF(GETPIVOTDATA(IF($J12=1,"Count of ACTIVE     CED, FARM GATE (MJ/kg)","Count of CED, processor gate (MJ/kg)"),'[1]Pivot Table_CED'!$A$3,"SUB TYPE",$B12)=0,"PROXY","DB value"))</f>
        <v/>
      </c>
      <c r="M12" s="91">
        <f>IF($L12="PROXY",DCOUNT('[1]literature entries'!$D:$AI,IF($J12=1,"ACTIVE     CED, FARM GATE (MJ/kg)","CED, processor gate (MJ/kg)"),INDIRECT($K12)),GETPIVOTDATA(IF($J12=1,"Count of ACTIVE     CED, FARM GATE (MJ/kg)","Count of CED, processor gate (MJ/kg)"),'[1]Pivot Table_CED'!$A$3,"SUB TYPE",$B12))</f>
        <v/>
      </c>
      <c r="N12" s="92">
        <f>IF($L12="PROXY",DAVERAGE('[1]literature entries'!$D:$AI,IF($J12=1,"ACTIVE     CED, FARM GATE (MJ/kg)","CED, processor gate (MJ/kg)"),INDIRECT($K12)),GETPIVOTDATA(IF($J12=1,"Average of ACTIVE     CED, FARM GATE (MJ/kg)","Average of CED, processor gate (MJ/kg)"),'[1]Pivot Table_CED'!$A$3,"SUB TYPE",$B12))</f>
        <v/>
      </c>
      <c r="O12" s="92">
        <f>IF($L12="PROXY",DSTDEV('[1]literature entries'!D:AI,IF($J12=1,"ACTIVE     CED, FARM GATE (MJ/kg)","CED, processor gate (MJ/kg)"),INDIRECT($K12)),GETPIVOTDATA(IF($J12=1,"StdDev of ACTIVE     CED, FARM GATE (MJ/kg)","StdDev of CED, processor gate (MJ/kg)"),'[1]Pivot Table_CED'!$A$3,"SUB TYPE",$B12))</f>
        <v/>
      </c>
      <c r="P12" s="90">
        <f>IF(ISERROR(GETPIVOTDATA(IF($J12=1,"Count of ACTIVE     GHGE, FARM GATE (kg CO2e/kg)","Count of GHGE, processor gate (kg CO2e/kg)"),'[1]Pivot Table_GHG'!$A$3,"SUB TYPE",$B12)),"PROXY",IF(GETPIVOTDATA(IF($J12=1,"Count of ACTIVE     GHGE, FARM GATE (kg CO2e/kg)","Count of GHGE, processor gate (kg CO2e/kg)"),'[1]Pivot Table_GHG'!$A$3,"SUB TYPE",$B12)=0,"PROXY","DB value"))</f>
        <v/>
      </c>
      <c r="Q12" s="93">
        <f>IF($P12="PROXY",DCOUNT('[1]literature entries'!$D:$AI,IF($J12=1,"ACTIVE     GHGE, FARM GATE (kg CO2e/kg)","GHGE, processor gate (kg CO2e/kg)"),INDIRECT($K12)),GETPIVOTDATA(IF($J12=1,"ACTIVE     GHGE, FARM GATE (kg CO2e/kg)","Count of GHGE, processor gate (kg CO2e/kg)"),'[1]Pivot Table_GHG'!$A$3,"SUB TYPE",$B12))</f>
        <v/>
      </c>
      <c r="R12" s="94">
        <f>IF($P12="PROXY",DAVERAGE('[1]literature entries'!$D:$AI,IF($J12=1,"ACTIVE     GHGE, FARM GATE (kg CO2e/kg)","GHGE, processor gate (kg CO2e/kg)"),INDIRECT($K12)),GETPIVOTDATA(IF($J12=1,"Average of ACTIVE     GHGE, FARM GATE (kg CO2e/kg)","Average of GHGE, processor gate (kg CO2e/kg)"),'[1]Pivot Table_GHG'!$A$3,"SUB TYPE",$B12))</f>
        <v/>
      </c>
      <c r="S12" s="94">
        <f>IF($P12="PROXY",DSTDEV('[1]literature entries'!$D:$AI,IF($J12=1,"ACTIVE     GHGE, FARM GATE (kg CO2e/kg)","GHGE, processor gate (kg CO2e/kg)"),INDIRECT($K12)),GETPIVOTDATA(IF($J12=1,"StdDev of ACTIVE     GHGE, FARM GATE (kg CO2e/kg)","StdDev of GHGE, processor gate (kg CO2e/kg)"),'[1]Pivot Table_GHG'!$A$3,"SUB TYPE",$B12))</f>
        <v/>
      </c>
      <c r="T12" s="105" t="n"/>
      <c r="U12" s="106" t="n"/>
      <c r="V12" s="97" t="n"/>
      <c r="W12" s="98">
        <f>IF(L12="PROXY",IF(M12&gt;=5,K12,"need group"),IF(M12&gt;=5,"DIRECT","need group"))</f>
        <v/>
      </c>
      <c r="X12" s="98">
        <f>IF($W12="DIRECT",M12,DCOUNT('[1]literature entries'!$D:$AI,IF($J12=1,"ACTIVE     CED, FARM GATE (MJ/kg)","CED, processor gate (MJ/kg)"),INDIRECT($W12)))</f>
        <v/>
      </c>
      <c r="Y12" s="98">
        <f>IF($W12="DIRECT","",DAVERAGE('[1]literature entries'!$D:$AI,IF($J12=1,"ACTIVE     CED, FARM GATE (MJ/kg)","CED, processor gate (MJ/kg)"),INDIRECT($W12)))</f>
        <v/>
      </c>
      <c r="Z12" s="98">
        <f>IF($W12="DIRECT",$O12,DSTDEV('[1]literature entries'!$D:$AI,IF($J12=1,"ACTIVE     CED, FARM GATE (MJ/kg)","CED, processor gate (MJ/kg)"),INDIRECT($W12)))</f>
        <v/>
      </c>
      <c r="AA12" s="98">
        <f>IF($W12="DIRECT",$O12,$Z12/$Y12*$N12)</f>
        <v/>
      </c>
      <c r="AB12" s="99">
        <f>IF(P12="PROXY",IF(Q12&gt;=5,K12,"need group"),IF(Q12&gt;=5,"DIRECT","need group"))</f>
        <v/>
      </c>
      <c r="AC12" s="99">
        <f>IF($AB12="DIRECT",Q12,DCOUNT('[1]literature entries'!$D:$AI,IF($J12=1,"ACTIVE     GHGE, FARM GATE (kg CO2e/kg)","GHGE, processor gate (kg CO2e/kg)"),INDIRECT($AB12)))</f>
        <v/>
      </c>
      <c r="AD12" s="99">
        <f>IF($AB12="DIRECT","",DAVERAGE('[1]literature entries'!$D:$AI,IF($J12=1,"ACTIVE     GHGE, FARM GATE (kg CO2e/kg)","GHGE, processor gate (kg CO2e/kg)"),INDIRECT($AB12)))</f>
        <v/>
      </c>
      <c r="AE12" s="99">
        <f>IF($AB12="DIRECT",$S12,DSTDEV('[1]literature entries'!$D:$AI,IF($J12=1,"ACTIVE     GHGE, FARM GATE (kg CO2e/kg)","GHGE, processor gate (kg CO2e/kg)"),INDIRECT($AB12)))</f>
        <v/>
      </c>
      <c r="AF12" s="99">
        <f>IF($AB12="DIRECT",$S12,$AE12/$AD12*$R12)</f>
        <v/>
      </c>
    </row>
    <row r="13">
      <c r="A13" s="100" t="n">
        <v>101251000</v>
      </c>
      <c r="B13" s="101" t="inlineStr">
        <is>
          <t>Parsnip</t>
        </is>
      </c>
      <c r="C13" s="101" t="inlineStr">
        <is>
          <t>weight of roots with or without peel</t>
        </is>
      </c>
      <c r="D13" s="101" t="n"/>
      <c r="E13" s="101" t="n">
        <v>54</v>
      </c>
      <c r="F13" s="84">
        <f>N13*H13+T13</f>
        <v/>
      </c>
      <c r="G13" s="85">
        <f>R13*H13+U13</f>
        <v/>
      </c>
      <c r="H13" s="102" t="n">
        <v>1.14</v>
      </c>
      <c r="I13" s="103" t="inlineStr">
        <is>
          <t>FICRCD</t>
        </is>
      </c>
      <c r="J13" s="104" t="n">
        <v>1</v>
      </c>
      <c r="K13" s="89" t="inlineStr">
        <is>
          <t>roots</t>
        </is>
      </c>
      <c r="L13" s="90">
        <f>IF(ISERROR(GETPIVOTDATA(IF($J13=1,"Count of ACTIVE     CED, FARM GATE (MJ/kg)","Count of CED, processor gate (MJ/kg)"),'[1]Pivot Table_CED'!$A$3,"SUB TYPE",$B13)),"PROXY",IF(GETPIVOTDATA(IF($J13=1,"Count of ACTIVE     CED, FARM GATE (MJ/kg)","Count of CED, processor gate (MJ/kg)"),'[1]Pivot Table_CED'!$A$3,"SUB TYPE",$B13)=0,"PROXY","DB value"))</f>
        <v/>
      </c>
      <c r="M13" s="91">
        <f>IF($L13="PROXY",DCOUNT('[1]literature entries'!$D:$AI,IF($J13=1,"ACTIVE     CED, FARM GATE (MJ/kg)","CED, processor gate (MJ/kg)"),INDIRECT($K13)),GETPIVOTDATA(IF($J13=1,"Count of ACTIVE     CED, FARM GATE (MJ/kg)","Count of CED, processor gate (MJ/kg)"),'[1]Pivot Table_CED'!$A$3,"SUB TYPE",$B13))</f>
        <v/>
      </c>
      <c r="N13" s="92">
        <f>IF($L13="PROXY",DAVERAGE('[1]literature entries'!$D:$AI,IF($J13=1,"ACTIVE     CED, FARM GATE (MJ/kg)","CED, processor gate (MJ/kg)"),INDIRECT($K13)),GETPIVOTDATA(IF($J13=1,"Average of ACTIVE     CED, FARM GATE (MJ/kg)","Average of CED, processor gate (MJ/kg)"),'[1]Pivot Table_CED'!$A$3,"SUB TYPE",$B13))</f>
        <v/>
      </c>
      <c r="O13" s="92">
        <f>IF($L13="PROXY",DSTDEV('[1]literature entries'!D:AI,IF($J13=1,"ACTIVE     CED, FARM GATE (MJ/kg)","CED, processor gate (MJ/kg)"),INDIRECT($K13)),GETPIVOTDATA(IF($J13=1,"StdDev of ACTIVE     CED, FARM GATE (MJ/kg)","StdDev of CED, processor gate (MJ/kg)"),'[1]Pivot Table_CED'!$A$3,"SUB TYPE",$B13))</f>
        <v/>
      </c>
      <c r="P13" s="90">
        <f>IF(ISERROR(GETPIVOTDATA(IF($J13=1,"Count of ACTIVE     GHGE, FARM GATE (kg CO2e/kg)","Count of GHGE, processor gate (kg CO2e/kg)"),'[1]Pivot Table_GHG'!$A$3,"SUB TYPE",$B13)),"PROXY",IF(GETPIVOTDATA(IF($J13=1,"Count of ACTIVE     GHGE, FARM GATE (kg CO2e/kg)","Count of GHGE, processor gate (kg CO2e/kg)"),'[1]Pivot Table_GHG'!$A$3,"SUB TYPE",$B13)=0,"PROXY","DB value"))</f>
        <v/>
      </c>
      <c r="Q13" s="93">
        <f>IF($P13="PROXY",DCOUNT('[1]literature entries'!$D:$AI,IF($J13=1,"ACTIVE     GHGE, FARM GATE (kg CO2e/kg)","GHGE, processor gate (kg CO2e/kg)"),INDIRECT($K13)),GETPIVOTDATA(IF($J13=1,"ACTIVE     GHGE, FARM GATE (kg CO2e/kg)","Count of GHGE, processor gate (kg CO2e/kg)"),'[1]Pivot Table_GHG'!$A$3,"SUB TYPE",$B13))</f>
        <v/>
      </c>
      <c r="R13" s="94">
        <f>IF($P13="PROXY",DAVERAGE('[1]literature entries'!$D:$AI,IF($J13=1,"ACTIVE     GHGE, FARM GATE (kg CO2e/kg)","GHGE, processor gate (kg CO2e/kg)"),INDIRECT($K13)),GETPIVOTDATA(IF($J13=1,"Average of ACTIVE     GHGE, FARM GATE (kg CO2e/kg)","Average of GHGE, processor gate (kg CO2e/kg)"),'[1]Pivot Table_GHG'!$A$3,"SUB TYPE",$B13))</f>
        <v/>
      </c>
      <c r="S13" s="94">
        <f>IF($P13="PROXY",DSTDEV('[1]literature entries'!$D:$AI,IF($J13=1,"ACTIVE     GHGE, FARM GATE (kg CO2e/kg)","GHGE, processor gate (kg CO2e/kg)"),INDIRECT($K13)),GETPIVOTDATA(IF($J13=1,"StdDev of ACTIVE     GHGE, FARM GATE (kg CO2e/kg)","StdDev of GHGE, processor gate (kg CO2e/kg)"),'[1]Pivot Table_GHG'!$A$3,"SUB TYPE",$B13))</f>
        <v/>
      </c>
      <c r="T13" s="105" t="n"/>
      <c r="U13" s="106" t="n"/>
      <c r="V13" s="97" t="n"/>
      <c r="W13" s="98">
        <f>IF(L13="PROXY",IF(M13&gt;=5,K13,"need group"),IF(M13&gt;=5,"DIRECT","need group"))</f>
        <v/>
      </c>
      <c r="X13" s="98">
        <f>IF($W13="DIRECT",M13,DCOUNT('[1]literature entries'!$D:$AI,IF($J13=1,"ACTIVE     CED, FARM GATE (MJ/kg)","CED, processor gate (MJ/kg)"),INDIRECT($W13)))</f>
        <v/>
      </c>
      <c r="Y13" s="98">
        <f>IF($W13="DIRECT","",DAVERAGE('[1]literature entries'!$D:$AI,IF($J13=1,"ACTIVE     CED, FARM GATE (MJ/kg)","CED, processor gate (MJ/kg)"),INDIRECT($W13)))</f>
        <v/>
      </c>
      <c r="Z13" s="98">
        <f>IF($W13="DIRECT",$O13,DSTDEV('[1]literature entries'!$D:$AI,IF($J13=1,"ACTIVE     CED, FARM GATE (MJ/kg)","CED, processor gate (MJ/kg)"),INDIRECT($W13)))</f>
        <v/>
      </c>
      <c r="AA13" s="98">
        <f>IF($W13="DIRECT",$O13,$Z13/$Y13*$N13)</f>
        <v/>
      </c>
      <c r="AB13" s="99">
        <f>IF(P13="PROXY",IF(Q13&gt;=5,K13,"need group"),IF(Q13&gt;=5,"DIRECT","need group"))</f>
        <v/>
      </c>
      <c r="AC13" s="99">
        <f>IF($AB13="DIRECT",Q13,DCOUNT('[1]literature entries'!$D:$AI,IF($J13=1,"ACTIVE     GHGE, FARM GATE (kg CO2e/kg)","GHGE, processor gate (kg CO2e/kg)"),INDIRECT($AB13)))</f>
        <v/>
      </c>
      <c r="AD13" s="99">
        <f>IF($AB13="DIRECT","",DAVERAGE('[1]literature entries'!$D:$AI,IF($J13=1,"ACTIVE     GHGE, FARM GATE (kg CO2e/kg)","GHGE, processor gate (kg CO2e/kg)"),INDIRECT($AB13)))</f>
        <v/>
      </c>
      <c r="AE13" s="99">
        <f>IF($AB13="DIRECT",$S13,DSTDEV('[1]literature entries'!$D:$AI,IF($J13=1,"ACTIVE     GHGE, FARM GATE (kg CO2e/kg)","GHGE, processor gate (kg CO2e/kg)"),INDIRECT($AB13)))</f>
        <v/>
      </c>
      <c r="AF13" s="99">
        <f>IF($AB13="DIRECT",$S13,$AE13/$AD13*$R13)</f>
        <v/>
      </c>
    </row>
    <row r="14">
      <c r="A14" s="100" t="n">
        <v>101314000</v>
      </c>
      <c r="B14" s="101" t="inlineStr">
        <is>
          <t>Radish, roots</t>
        </is>
      </c>
      <c r="C14" s="101" t="inlineStr">
        <is>
          <t>weight of roots</t>
        </is>
      </c>
      <c r="D14" s="101" t="n"/>
      <c r="E14" s="101" t="n">
        <v>503</v>
      </c>
      <c r="F14" s="84">
        <f>N14*H14+T14</f>
        <v/>
      </c>
      <c r="G14" s="85">
        <f>R14*H14+U14</f>
        <v/>
      </c>
      <c r="H14" s="102" t="n">
        <v>1.11</v>
      </c>
      <c r="I14" s="102" t="inlineStr">
        <is>
          <t>FICRCD</t>
        </is>
      </c>
      <c r="J14" s="104" t="n">
        <v>1</v>
      </c>
      <c r="K14" s="89" t="inlineStr">
        <is>
          <t>roots</t>
        </is>
      </c>
      <c r="L14" s="90">
        <f>IF(ISERROR(GETPIVOTDATA(IF($J14=1,"Count of ACTIVE     CED, FARM GATE (MJ/kg)","Count of CED, processor gate (MJ/kg)"),'[1]Pivot Table_CED'!$A$3,"SUB TYPE",$B14)),"PROXY",IF(GETPIVOTDATA(IF($J14=1,"Count of ACTIVE     CED, FARM GATE (MJ/kg)","Count of CED, processor gate (MJ/kg)"),'[1]Pivot Table_CED'!$A$3,"SUB TYPE",$B14)=0,"PROXY","DB value"))</f>
        <v/>
      </c>
      <c r="M14" s="91">
        <f>IF($L14="PROXY",DCOUNT('[1]literature entries'!$D:$AI,IF($J14=1,"ACTIVE     CED, FARM GATE (MJ/kg)","CED, processor gate (MJ/kg)"),INDIRECT($K14)),GETPIVOTDATA(IF($J14=1,"Count of ACTIVE     CED, FARM GATE (MJ/kg)","Count of CED, processor gate (MJ/kg)"),'[1]Pivot Table_CED'!$A$3,"SUB TYPE",$B14))</f>
        <v/>
      </c>
      <c r="N14" s="92">
        <f>IF($L14="PROXY",DAVERAGE('[1]literature entries'!$D:$AI,IF($J14=1,"ACTIVE     CED, FARM GATE (MJ/kg)","CED, processor gate (MJ/kg)"),INDIRECT($K14)),GETPIVOTDATA(IF($J14=1,"Average of ACTIVE     CED, FARM GATE (MJ/kg)","Average of CED, processor gate (MJ/kg)"),'[1]Pivot Table_CED'!$A$3,"SUB TYPE",$B14))</f>
        <v/>
      </c>
      <c r="O14" s="92">
        <f>IF($L14="PROXY",DSTDEV('[1]literature entries'!D:AI,IF($J14=1,"ACTIVE     CED, FARM GATE (MJ/kg)","CED, processor gate (MJ/kg)"),INDIRECT($K14)),GETPIVOTDATA(IF($J14=1,"StdDev of ACTIVE     CED, FARM GATE (MJ/kg)","StdDev of CED, processor gate (MJ/kg)"),'[1]Pivot Table_CED'!$A$3,"SUB TYPE",$B14))</f>
        <v/>
      </c>
      <c r="P14" s="90">
        <f>IF(ISERROR(GETPIVOTDATA(IF($J14=1,"Count of ACTIVE     GHGE, FARM GATE (kg CO2e/kg)","Count of GHGE, processor gate (kg CO2e/kg)"),'[1]Pivot Table_GHG'!$A$3,"SUB TYPE",$B14)),"PROXY",IF(GETPIVOTDATA(IF($J14=1,"Count of ACTIVE     GHGE, FARM GATE (kg CO2e/kg)","Count of GHGE, processor gate (kg CO2e/kg)"),'[1]Pivot Table_GHG'!$A$3,"SUB TYPE",$B14)=0,"PROXY","DB value"))</f>
        <v/>
      </c>
      <c r="Q14" s="93">
        <f>IF($P14="PROXY",DCOUNT('[1]literature entries'!$D:$AI,IF($J14=1,"ACTIVE     GHGE, FARM GATE (kg CO2e/kg)","GHGE, processor gate (kg CO2e/kg)"),INDIRECT($K14)),GETPIVOTDATA(IF($J14=1,"ACTIVE     GHGE, FARM GATE (kg CO2e/kg)","Count of GHGE, processor gate (kg CO2e/kg)"),'[1]Pivot Table_GHG'!$A$3,"SUB TYPE",$B14))</f>
        <v/>
      </c>
      <c r="R14" s="94">
        <f>IF($P14="PROXY",DAVERAGE('[1]literature entries'!$D:$AI,IF($J14=1,"ACTIVE     GHGE, FARM GATE (kg CO2e/kg)","GHGE, processor gate (kg CO2e/kg)"),INDIRECT($K14)),GETPIVOTDATA(IF($J14=1,"Average of ACTIVE     GHGE, FARM GATE (kg CO2e/kg)","Average of GHGE, processor gate (kg CO2e/kg)"),'[1]Pivot Table_GHG'!$A$3,"SUB TYPE",$B14))</f>
        <v/>
      </c>
      <c r="S14" s="94">
        <f>IF($P14="PROXY",DSTDEV('[1]literature entries'!$D:$AI,IF($J14=1,"ACTIVE     GHGE, FARM GATE (kg CO2e/kg)","GHGE, processor gate (kg CO2e/kg)"),INDIRECT($K14)),GETPIVOTDATA(IF($J14=1,"StdDev of ACTIVE     GHGE, FARM GATE (kg CO2e/kg)","StdDev of GHGE, processor gate (kg CO2e/kg)"),'[1]Pivot Table_GHG'!$A$3,"SUB TYPE",$B14))</f>
        <v/>
      </c>
      <c r="T14" s="105" t="n"/>
      <c r="U14" s="106" t="n"/>
      <c r="V14" s="97" t="n"/>
      <c r="W14" s="98">
        <f>IF(L14="PROXY",IF(M14&gt;=5,K14,"need group"),IF(M14&gt;=5,"DIRECT","need group"))</f>
        <v/>
      </c>
      <c r="X14" s="98">
        <f>IF($W14="DIRECT",M14,DCOUNT('[1]literature entries'!$D:$AI,IF($J14=1,"ACTIVE     CED, FARM GATE (MJ/kg)","CED, processor gate (MJ/kg)"),INDIRECT($W14)))</f>
        <v/>
      </c>
      <c r="Y14" s="98">
        <f>IF($W14="DIRECT","",DAVERAGE('[1]literature entries'!$D:$AI,IF($J14=1,"ACTIVE     CED, FARM GATE (MJ/kg)","CED, processor gate (MJ/kg)"),INDIRECT($W14)))</f>
        <v/>
      </c>
      <c r="Z14" s="98">
        <f>IF($W14="DIRECT",$O14,DSTDEV('[1]literature entries'!$D:$AI,IF($J14=1,"ACTIVE     CED, FARM GATE (MJ/kg)","CED, processor gate (MJ/kg)"),INDIRECT($W14)))</f>
        <v/>
      </c>
      <c r="AA14" s="98">
        <f>IF($W14="DIRECT",$O14,$Z14/$Y14*$N14)</f>
        <v/>
      </c>
      <c r="AB14" s="99">
        <f>IF(P14="PROXY",IF(Q14&gt;=5,K14,"need group"),IF(Q14&gt;=5,"DIRECT","need group"))</f>
        <v/>
      </c>
      <c r="AC14" s="99">
        <f>IF($AB14="DIRECT",Q14,DCOUNT('[1]literature entries'!$D:$AI,IF($J14=1,"ACTIVE     GHGE, FARM GATE (kg CO2e/kg)","GHGE, processor gate (kg CO2e/kg)"),INDIRECT($AB14)))</f>
        <v/>
      </c>
      <c r="AD14" s="99">
        <f>IF($AB14="DIRECT","",DAVERAGE('[1]literature entries'!$D:$AI,IF($J14=1,"ACTIVE     GHGE, FARM GATE (kg CO2e/kg)","GHGE, processor gate (kg CO2e/kg)"),INDIRECT($AB14)))</f>
        <v/>
      </c>
      <c r="AE14" s="99">
        <f>IF($AB14="DIRECT",$S14,DSTDEV('[1]literature entries'!$D:$AI,IF($J14=1,"ACTIVE     GHGE, FARM GATE (kg CO2e/kg)","GHGE, processor gate (kg CO2e/kg)"),INDIRECT($AB14)))</f>
        <v/>
      </c>
      <c r="AF14" s="99">
        <f>IF($AB14="DIRECT",$S14,$AE14/$AD14*$R14)</f>
        <v/>
      </c>
    </row>
    <row r="15">
      <c r="A15" s="100" t="n">
        <v>101316000</v>
      </c>
      <c r="B15" s="101" t="inlineStr">
        <is>
          <t>Radish, Oriental, roots</t>
        </is>
      </c>
      <c r="C15" s="101" t="inlineStr">
        <is>
          <t>weight of roots</t>
        </is>
      </c>
      <c r="D15" s="101" t="n"/>
      <c r="E15" s="101" t="n">
        <v>7</v>
      </c>
      <c r="F15" s="84">
        <f>N15*H15+T15</f>
        <v/>
      </c>
      <c r="G15" s="85">
        <f>R15*H15+U15</f>
        <v/>
      </c>
      <c r="H15" s="102" t="n">
        <v>1.27</v>
      </c>
      <c r="I15" s="103" t="inlineStr">
        <is>
          <t>FICRCD</t>
        </is>
      </c>
      <c r="J15" s="104" t="n">
        <v>1</v>
      </c>
      <c r="K15" s="89" t="inlineStr">
        <is>
          <t>roots</t>
        </is>
      </c>
      <c r="L15" s="90">
        <f>IF(ISERROR(GETPIVOTDATA(IF($J15=1,"Count of ACTIVE     CED, FARM GATE (MJ/kg)","Count of CED, processor gate (MJ/kg)"),'[1]Pivot Table_CED'!$A$3,"SUB TYPE",$B15)),"PROXY",IF(GETPIVOTDATA(IF($J15=1,"Count of ACTIVE     CED, FARM GATE (MJ/kg)","Count of CED, processor gate (MJ/kg)"),'[1]Pivot Table_CED'!$A$3,"SUB TYPE",$B15)=0,"PROXY","DB value"))</f>
        <v/>
      </c>
      <c r="M15" s="91">
        <f>IF($L15="PROXY",DCOUNT('[1]literature entries'!$D:$AI,IF($J15=1,"ACTIVE     CED, FARM GATE (MJ/kg)","CED, processor gate (MJ/kg)"),INDIRECT($K15)),GETPIVOTDATA(IF($J15=1,"Count of ACTIVE     CED, FARM GATE (MJ/kg)","Count of CED, processor gate (MJ/kg)"),'[1]Pivot Table_CED'!$A$3,"SUB TYPE",$B15))</f>
        <v/>
      </c>
      <c r="N15" s="92">
        <f>IF($L15="PROXY",DAVERAGE('[1]literature entries'!$D:$AI,IF($J15=1,"ACTIVE     CED, FARM GATE (MJ/kg)","CED, processor gate (MJ/kg)"),INDIRECT($K15)),GETPIVOTDATA(IF($J15=1,"Average of ACTIVE     CED, FARM GATE (MJ/kg)","Average of CED, processor gate (MJ/kg)"),'[1]Pivot Table_CED'!$A$3,"SUB TYPE",$B15))</f>
        <v/>
      </c>
      <c r="O15" s="92">
        <f>IF($L15="PROXY",DSTDEV('[1]literature entries'!D:AI,IF($J15=1,"ACTIVE     CED, FARM GATE (MJ/kg)","CED, processor gate (MJ/kg)"),INDIRECT($K15)),GETPIVOTDATA(IF($J15=1,"StdDev of ACTIVE     CED, FARM GATE (MJ/kg)","StdDev of CED, processor gate (MJ/kg)"),'[1]Pivot Table_CED'!$A$3,"SUB TYPE",$B15))</f>
        <v/>
      </c>
      <c r="P15" s="90">
        <f>IF(ISERROR(GETPIVOTDATA(IF($J15=1,"Count of ACTIVE     GHGE, FARM GATE (kg CO2e/kg)","Count of GHGE, processor gate (kg CO2e/kg)"),'[1]Pivot Table_GHG'!$A$3,"SUB TYPE",$B15)),"PROXY",IF(GETPIVOTDATA(IF($J15=1,"Count of ACTIVE     GHGE, FARM GATE (kg CO2e/kg)","Count of GHGE, processor gate (kg CO2e/kg)"),'[1]Pivot Table_GHG'!$A$3,"SUB TYPE",$B15)=0,"PROXY","DB value"))</f>
        <v/>
      </c>
      <c r="Q15" s="93">
        <f>IF($P15="PROXY",DCOUNT('[1]literature entries'!$D:$AI,IF($J15=1,"ACTIVE     GHGE, FARM GATE (kg CO2e/kg)","GHGE, processor gate (kg CO2e/kg)"),INDIRECT($K15)),GETPIVOTDATA(IF($J15=1,"ACTIVE     GHGE, FARM GATE (kg CO2e/kg)","Count of GHGE, processor gate (kg CO2e/kg)"),'[1]Pivot Table_GHG'!$A$3,"SUB TYPE",$B15))</f>
        <v/>
      </c>
      <c r="R15" s="94">
        <f>IF($P15="PROXY",DAVERAGE('[1]literature entries'!$D:$AI,IF($J15=1,"ACTIVE     GHGE, FARM GATE (kg CO2e/kg)","GHGE, processor gate (kg CO2e/kg)"),INDIRECT($K15)),GETPIVOTDATA(IF($J15=1,"Average of ACTIVE     GHGE, FARM GATE (kg CO2e/kg)","Average of GHGE, processor gate (kg CO2e/kg)"),'[1]Pivot Table_GHG'!$A$3,"SUB TYPE",$B15))</f>
        <v/>
      </c>
      <c r="S15" s="94">
        <f>IF($P15="PROXY",DSTDEV('[1]literature entries'!$D:$AI,IF($J15=1,"ACTIVE     GHGE, FARM GATE (kg CO2e/kg)","GHGE, processor gate (kg CO2e/kg)"),INDIRECT($K15)),GETPIVOTDATA(IF($J15=1,"StdDev of ACTIVE     GHGE, FARM GATE (kg CO2e/kg)","StdDev of GHGE, processor gate (kg CO2e/kg)"),'[1]Pivot Table_GHG'!$A$3,"SUB TYPE",$B15))</f>
        <v/>
      </c>
      <c r="T15" s="105" t="n"/>
      <c r="U15" s="106" t="n"/>
      <c r="V15" s="97" t="n"/>
      <c r="W15" s="98">
        <f>IF(L15="PROXY",IF(M15&gt;=5,K15,"need group"),IF(M15&gt;=5,"DIRECT","need group"))</f>
        <v/>
      </c>
      <c r="X15" s="98">
        <f>IF($W15="DIRECT",M15,DCOUNT('[1]literature entries'!$D:$AI,IF($J15=1,"ACTIVE     CED, FARM GATE (MJ/kg)","CED, processor gate (MJ/kg)"),INDIRECT($W15)))</f>
        <v/>
      </c>
      <c r="Y15" s="98">
        <f>IF($W15="DIRECT","",DAVERAGE('[1]literature entries'!$D:$AI,IF($J15=1,"ACTIVE     CED, FARM GATE (MJ/kg)","CED, processor gate (MJ/kg)"),INDIRECT($W15)))</f>
        <v/>
      </c>
      <c r="Z15" s="98">
        <f>IF($W15="DIRECT",$O15,DSTDEV('[1]literature entries'!$D:$AI,IF($J15=1,"ACTIVE     CED, FARM GATE (MJ/kg)","CED, processor gate (MJ/kg)"),INDIRECT($W15)))</f>
        <v/>
      </c>
      <c r="AA15" s="98">
        <f>IF($W15="DIRECT",$O15,$Z15/$Y15*$N15)</f>
        <v/>
      </c>
      <c r="AB15" s="99">
        <f>IF(P15="PROXY",IF(Q15&gt;=5,K15,"need group"),IF(Q15&gt;=5,"DIRECT","need group"))</f>
        <v/>
      </c>
      <c r="AC15" s="99">
        <f>IF($AB15="DIRECT",Q15,DCOUNT('[1]literature entries'!$D:$AI,IF($J15=1,"ACTIVE     GHGE, FARM GATE (kg CO2e/kg)","GHGE, processor gate (kg CO2e/kg)"),INDIRECT($AB15)))</f>
        <v/>
      </c>
      <c r="AD15" s="99">
        <f>IF($AB15="DIRECT","",DAVERAGE('[1]literature entries'!$D:$AI,IF($J15=1,"ACTIVE     GHGE, FARM GATE (kg CO2e/kg)","GHGE, processor gate (kg CO2e/kg)"),INDIRECT($AB15)))</f>
        <v/>
      </c>
      <c r="AE15" s="99">
        <f>IF($AB15="DIRECT",$S15,DSTDEV('[1]literature entries'!$D:$AI,IF($J15=1,"ACTIVE     GHGE, FARM GATE (kg CO2e/kg)","GHGE, processor gate (kg CO2e/kg)"),INDIRECT($AB15)))</f>
        <v/>
      </c>
      <c r="AF15" s="99">
        <f>IF($AB15="DIRECT",$S15,$AE15/$AD15*$R15)</f>
        <v/>
      </c>
    </row>
    <row r="16">
      <c r="A16" s="100" t="n">
        <v>101327000</v>
      </c>
      <c r="B16" s="101" t="inlineStr">
        <is>
          <t>Rutabaga</t>
        </is>
      </c>
      <c r="C16" s="101" t="inlineStr">
        <is>
          <t>weight of roots; excluding tops</t>
        </is>
      </c>
      <c r="D16" s="101" t="n"/>
      <c r="E16" s="101" t="n">
        <v>265</v>
      </c>
      <c r="F16" s="84">
        <f>N16*H16+T16</f>
        <v/>
      </c>
      <c r="G16" s="85">
        <f>R16*H16+U16</f>
        <v/>
      </c>
      <c r="H16" s="102" t="n">
        <v>1.18</v>
      </c>
      <c r="I16" s="103" t="inlineStr">
        <is>
          <t>FICRCD</t>
        </is>
      </c>
      <c r="J16" s="104" t="n">
        <v>1</v>
      </c>
      <c r="K16" s="89" t="inlineStr">
        <is>
          <t>roots</t>
        </is>
      </c>
      <c r="L16" s="90">
        <f>IF(ISERROR(GETPIVOTDATA(IF($J16=1,"Count of ACTIVE     CED, FARM GATE (MJ/kg)","Count of CED, processor gate (MJ/kg)"),'[1]Pivot Table_CED'!$A$3,"SUB TYPE",$B16)),"PROXY",IF(GETPIVOTDATA(IF($J16=1,"Count of ACTIVE     CED, FARM GATE (MJ/kg)","Count of CED, processor gate (MJ/kg)"),'[1]Pivot Table_CED'!$A$3,"SUB TYPE",$B16)=0,"PROXY","DB value"))</f>
        <v/>
      </c>
      <c r="M16" s="91">
        <f>IF($L16="PROXY",DCOUNT('[1]literature entries'!$D:$AI,IF($J16=1,"ACTIVE     CED, FARM GATE (MJ/kg)","CED, processor gate (MJ/kg)"),INDIRECT($K16)),GETPIVOTDATA(IF($J16=1,"Count of ACTIVE     CED, FARM GATE (MJ/kg)","Count of CED, processor gate (MJ/kg)"),'[1]Pivot Table_CED'!$A$3,"SUB TYPE",$B16))</f>
        <v/>
      </c>
      <c r="N16" s="92">
        <f>IF($L16="PROXY",DAVERAGE('[1]literature entries'!$D:$AI,IF($J16=1,"ACTIVE     CED, FARM GATE (MJ/kg)","CED, processor gate (MJ/kg)"),INDIRECT($K16)),GETPIVOTDATA(IF($J16=1,"Average of ACTIVE     CED, FARM GATE (MJ/kg)","Average of CED, processor gate (MJ/kg)"),'[1]Pivot Table_CED'!$A$3,"SUB TYPE",$B16))</f>
        <v/>
      </c>
      <c r="O16" s="92">
        <f>IF($L16="PROXY",DSTDEV('[1]literature entries'!D:AI,IF($J16=1,"ACTIVE     CED, FARM GATE (MJ/kg)","CED, processor gate (MJ/kg)"),INDIRECT($K16)),GETPIVOTDATA(IF($J16=1,"StdDev of ACTIVE     CED, FARM GATE (MJ/kg)","StdDev of CED, processor gate (MJ/kg)"),'[1]Pivot Table_CED'!$A$3,"SUB TYPE",$B16))</f>
        <v/>
      </c>
      <c r="P16" s="90">
        <f>IF(ISERROR(GETPIVOTDATA(IF($J16=1,"Count of ACTIVE     GHGE, FARM GATE (kg CO2e/kg)","Count of GHGE, processor gate (kg CO2e/kg)"),'[1]Pivot Table_GHG'!$A$3,"SUB TYPE",$B16)),"PROXY",IF(GETPIVOTDATA(IF($J16=1,"Count of ACTIVE     GHGE, FARM GATE (kg CO2e/kg)","Count of GHGE, processor gate (kg CO2e/kg)"),'[1]Pivot Table_GHG'!$A$3,"SUB TYPE",$B16)=0,"PROXY","DB value"))</f>
        <v/>
      </c>
      <c r="Q16" s="93">
        <f>IF($P16="PROXY",DCOUNT('[1]literature entries'!$D:$AI,IF($J16=1,"ACTIVE     GHGE, FARM GATE (kg CO2e/kg)","GHGE, processor gate (kg CO2e/kg)"),INDIRECT($K16)),GETPIVOTDATA(IF($J16=1,"ACTIVE     GHGE, FARM GATE (kg CO2e/kg)","Count of GHGE, processor gate (kg CO2e/kg)"),'[1]Pivot Table_GHG'!$A$3,"SUB TYPE",$B16))</f>
        <v/>
      </c>
      <c r="R16" s="94">
        <f>IF($P16="PROXY",DAVERAGE('[1]literature entries'!$D:$AI,IF($J16=1,"ACTIVE     GHGE, FARM GATE (kg CO2e/kg)","GHGE, processor gate (kg CO2e/kg)"),INDIRECT($K16)),GETPIVOTDATA(IF($J16=1,"Average of ACTIVE     GHGE, FARM GATE (kg CO2e/kg)","Average of GHGE, processor gate (kg CO2e/kg)"),'[1]Pivot Table_GHG'!$A$3,"SUB TYPE",$B16))</f>
        <v/>
      </c>
      <c r="S16" s="94">
        <f>IF($P16="PROXY",DSTDEV('[1]literature entries'!$D:$AI,IF($J16=1,"ACTIVE     GHGE, FARM GATE (kg CO2e/kg)","GHGE, processor gate (kg CO2e/kg)"),INDIRECT($K16)),GETPIVOTDATA(IF($J16=1,"StdDev of ACTIVE     GHGE, FARM GATE (kg CO2e/kg)","StdDev of GHGE, processor gate (kg CO2e/kg)"),'[1]Pivot Table_GHG'!$A$3,"SUB TYPE",$B16))</f>
        <v/>
      </c>
      <c r="T16" s="105" t="n"/>
      <c r="U16" s="106" t="n"/>
      <c r="V16" s="97" t="n"/>
      <c r="W16" s="98">
        <f>IF(L16="PROXY",IF(M16&gt;=5,K16,"need group"),IF(M16&gt;=5,"DIRECT","need group"))</f>
        <v/>
      </c>
      <c r="X16" s="98">
        <f>IF($W16="DIRECT",M16,DCOUNT('[1]literature entries'!$D:$AI,IF($J16=1,"ACTIVE     CED, FARM GATE (MJ/kg)","CED, processor gate (MJ/kg)"),INDIRECT($W16)))</f>
        <v/>
      </c>
      <c r="Y16" s="98">
        <f>IF($W16="DIRECT","",DAVERAGE('[1]literature entries'!$D:$AI,IF($J16=1,"ACTIVE     CED, FARM GATE (MJ/kg)","CED, processor gate (MJ/kg)"),INDIRECT($W16)))</f>
        <v/>
      </c>
      <c r="Z16" s="98">
        <f>IF($W16="DIRECT",$O16,DSTDEV('[1]literature entries'!$D:$AI,IF($J16=1,"ACTIVE     CED, FARM GATE (MJ/kg)","CED, processor gate (MJ/kg)"),INDIRECT($W16)))</f>
        <v/>
      </c>
      <c r="AA16" s="98">
        <f>IF($W16="DIRECT",$O16,$Z16/$Y16*$N16)</f>
        <v/>
      </c>
      <c r="AB16" s="99">
        <f>IF(P16="PROXY",IF(Q16&gt;=5,K16,"need group"),IF(Q16&gt;=5,"DIRECT","need group"))</f>
        <v/>
      </c>
      <c r="AC16" s="99">
        <f>IF($AB16="DIRECT",Q16,DCOUNT('[1]literature entries'!$D:$AI,IF($J16=1,"ACTIVE     GHGE, FARM GATE (kg CO2e/kg)","GHGE, processor gate (kg CO2e/kg)"),INDIRECT($AB16)))</f>
        <v/>
      </c>
      <c r="AD16" s="99">
        <f>IF($AB16="DIRECT","",DAVERAGE('[1]literature entries'!$D:$AI,IF($J16=1,"ACTIVE     GHGE, FARM GATE (kg CO2e/kg)","GHGE, processor gate (kg CO2e/kg)"),INDIRECT($AB16)))</f>
        <v/>
      </c>
      <c r="AE16" s="99">
        <f>IF($AB16="DIRECT",$S16,DSTDEV('[1]literature entries'!$D:$AI,IF($J16=1,"ACTIVE     GHGE, FARM GATE (kg CO2e/kg)","GHGE, processor gate (kg CO2e/kg)"),INDIRECT($AB16)))</f>
        <v/>
      </c>
      <c r="AF16" s="99">
        <f>IF($AB16="DIRECT",$S16,$AE16/$AD16*$R16)</f>
        <v/>
      </c>
    </row>
    <row r="17">
      <c r="A17" s="100" t="n">
        <v>101388000</v>
      </c>
      <c r="B17" s="101" t="inlineStr">
        <is>
          <t>Turnip, roots</t>
        </is>
      </c>
      <c r="C17" s="101" t="inlineStr">
        <is>
          <t>weight of roots</t>
        </is>
      </c>
      <c r="D17" s="101" t="n"/>
      <c r="E17" s="101" t="n">
        <v>59</v>
      </c>
      <c r="F17" s="84">
        <f>N17*H17+T17</f>
        <v/>
      </c>
      <c r="G17" s="85">
        <f>R17*H17+U17</f>
        <v/>
      </c>
      <c r="H17" s="102" t="n">
        <v>1.23</v>
      </c>
      <c r="I17" s="103" t="inlineStr">
        <is>
          <t>FICRCD</t>
        </is>
      </c>
      <c r="J17" s="104" t="n">
        <v>1</v>
      </c>
      <c r="K17" s="89" t="inlineStr">
        <is>
          <t>roots</t>
        </is>
      </c>
      <c r="L17" s="90">
        <f>IF(ISERROR(GETPIVOTDATA(IF($J17=1,"Count of ACTIVE     CED, FARM GATE (MJ/kg)","Count of CED, processor gate (MJ/kg)"),'[1]Pivot Table_CED'!$A$3,"SUB TYPE",$B17)),"PROXY",IF(GETPIVOTDATA(IF($J17=1,"Count of ACTIVE     CED, FARM GATE (MJ/kg)","Count of CED, processor gate (MJ/kg)"),'[1]Pivot Table_CED'!$A$3,"SUB TYPE",$B17)=0,"PROXY","DB value"))</f>
        <v/>
      </c>
      <c r="M17" s="91">
        <f>IF($L17="PROXY",DCOUNT('[1]literature entries'!$D:$AI,IF($J17=1,"ACTIVE     CED, FARM GATE (MJ/kg)","CED, processor gate (MJ/kg)"),INDIRECT($K17)),GETPIVOTDATA(IF($J17=1,"Count of ACTIVE     CED, FARM GATE (MJ/kg)","Count of CED, processor gate (MJ/kg)"),'[1]Pivot Table_CED'!$A$3,"SUB TYPE",$B17))</f>
        <v/>
      </c>
      <c r="N17" s="92">
        <f>IF($L17="PROXY",DAVERAGE('[1]literature entries'!$D:$AI,IF($J17=1,"ACTIVE     CED, FARM GATE (MJ/kg)","CED, processor gate (MJ/kg)"),INDIRECT($K17)),GETPIVOTDATA(IF($J17=1,"Average of ACTIVE     CED, FARM GATE (MJ/kg)","Average of CED, processor gate (MJ/kg)"),'[1]Pivot Table_CED'!$A$3,"SUB TYPE",$B17))</f>
        <v/>
      </c>
      <c r="O17" s="92">
        <f>IF($L17="PROXY",DSTDEV('[1]literature entries'!D:AI,IF($J17=1,"ACTIVE     CED, FARM GATE (MJ/kg)","CED, processor gate (MJ/kg)"),INDIRECT($K17)),GETPIVOTDATA(IF($J17=1,"StdDev of ACTIVE     CED, FARM GATE (MJ/kg)","StdDev of CED, processor gate (MJ/kg)"),'[1]Pivot Table_CED'!$A$3,"SUB TYPE",$B17))</f>
        <v/>
      </c>
      <c r="P17" s="90">
        <f>IF(ISERROR(GETPIVOTDATA(IF($J17=1,"Count of ACTIVE     GHGE, FARM GATE (kg CO2e/kg)","Count of GHGE, processor gate (kg CO2e/kg)"),'[1]Pivot Table_GHG'!$A$3,"SUB TYPE",$B17)),"PROXY",IF(GETPIVOTDATA(IF($J17=1,"Count of ACTIVE     GHGE, FARM GATE (kg CO2e/kg)","Count of GHGE, processor gate (kg CO2e/kg)"),'[1]Pivot Table_GHG'!$A$3,"SUB TYPE",$B17)=0,"PROXY","DB value"))</f>
        <v/>
      </c>
      <c r="Q17" s="93">
        <f>IF($P17="PROXY",DCOUNT('[1]literature entries'!$D:$AI,IF($J17=1,"ACTIVE     GHGE, FARM GATE (kg CO2e/kg)","GHGE, processor gate (kg CO2e/kg)"),INDIRECT($K17)),GETPIVOTDATA(IF($J17=1,"ACTIVE     GHGE, FARM GATE (kg CO2e/kg)","Count of GHGE, processor gate (kg CO2e/kg)"),'[1]Pivot Table_GHG'!$A$3,"SUB TYPE",$B17))</f>
        <v/>
      </c>
      <c r="R17" s="94">
        <f>IF($P17="PROXY",DAVERAGE('[1]literature entries'!$D:$AI,IF($J17=1,"ACTIVE     GHGE, FARM GATE (kg CO2e/kg)","GHGE, processor gate (kg CO2e/kg)"),INDIRECT($K17)),GETPIVOTDATA(IF($J17=1,"Average of ACTIVE     GHGE, FARM GATE (kg CO2e/kg)","Average of GHGE, processor gate (kg CO2e/kg)"),'[1]Pivot Table_GHG'!$A$3,"SUB TYPE",$B17))</f>
        <v/>
      </c>
      <c r="S17" s="94">
        <f>IF($P17="PROXY",DSTDEV('[1]literature entries'!$D:$AI,IF($J17=1,"ACTIVE     GHGE, FARM GATE (kg CO2e/kg)","GHGE, processor gate (kg CO2e/kg)"),INDIRECT($K17)),GETPIVOTDATA(IF($J17=1,"StdDev of ACTIVE     GHGE, FARM GATE (kg CO2e/kg)","StdDev of GHGE, processor gate (kg CO2e/kg)"),'[1]Pivot Table_GHG'!$A$3,"SUB TYPE",$B17))</f>
        <v/>
      </c>
      <c r="T17" s="105" t="n"/>
      <c r="U17" s="106" t="n"/>
      <c r="V17" s="97" t="n"/>
      <c r="W17" s="98">
        <f>IF(L17="PROXY",IF(M17&gt;=5,K17,"need group"),IF(M17&gt;=5,"DIRECT","need group"))</f>
        <v/>
      </c>
      <c r="X17" s="98">
        <f>IF($W17="DIRECT",M17,DCOUNT('[1]literature entries'!$D:$AI,IF($J17=1,"ACTIVE     CED, FARM GATE (MJ/kg)","CED, processor gate (MJ/kg)"),INDIRECT($W17)))</f>
        <v/>
      </c>
      <c r="Y17" s="98">
        <f>IF($W17="DIRECT","",DAVERAGE('[1]literature entries'!$D:$AI,IF($J17=1,"ACTIVE     CED, FARM GATE (MJ/kg)","CED, processor gate (MJ/kg)"),INDIRECT($W17)))</f>
        <v/>
      </c>
      <c r="Z17" s="98">
        <f>IF($W17="DIRECT",$O17,DSTDEV('[1]literature entries'!$D:$AI,IF($J17=1,"ACTIVE     CED, FARM GATE (MJ/kg)","CED, processor gate (MJ/kg)"),INDIRECT($W17)))</f>
        <v/>
      </c>
      <c r="AA17" s="98">
        <f>IF($W17="DIRECT",$O17,$Z17/$Y17*$N17)</f>
        <v/>
      </c>
      <c r="AB17" s="99" t="inlineStr">
        <is>
          <t>roots</t>
        </is>
      </c>
      <c r="AC17" s="99">
        <f>IF($AB17="DIRECT",Q17,DCOUNT('[1]literature entries'!$D:$AI,IF($J17=1,"ACTIVE     GHGE, FARM GATE (kg CO2e/kg)","GHGE, processor gate (kg CO2e/kg)"),INDIRECT($AB17)))</f>
        <v/>
      </c>
      <c r="AD17" s="99">
        <f>IF($AB17="DIRECT","",DAVERAGE('[1]literature entries'!$D:$AI,IF($J17=1,"ACTIVE     GHGE, FARM GATE (kg CO2e/kg)","GHGE, processor gate (kg CO2e/kg)"),INDIRECT($AB17)))</f>
        <v/>
      </c>
      <c r="AE17" s="99">
        <f>IF($AB17="DIRECT",$S17,DSTDEV('[1]literature entries'!$D:$AI,IF($J17=1,"ACTIVE     GHGE, FARM GATE (kg CO2e/kg)","GHGE, processor gate (kg CO2e/kg)"),INDIRECT($AB17)))</f>
        <v/>
      </c>
      <c r="AF17" s="99">
        <f>IF($AB17="DIRECT",$S17,$AE17/$AD17*$R17)</f>
        <v/>
      </c>
    </row>
    <row r="18">
      <c r="A18" s="100" t="n">
        <v>103015000</v>
      </c>
      <c r="B18" s="101" t="inlineStr">
        <is>
          <t>Arrowroot, flour</t>
        </is>
      </c>
      <c r="C18" s="101" t="inlineStr">
        <is>
          <t>dry weight of flour</t>
        </is>
      </c>
      <c r="D18" s="101" t="n"/>
      <c r="E18" s="101" t="n">
        <v>987</v>
      </c>
      <c r="F18" s="84">
        <f>N18*H18+T18</f>
        <v/>
      </c>
      <c r="G18" s="85">
        <f>R18*H18+U18</f>
        <v/>
      </c>
      <c r="H18" s="103" t="n">
        <v>1</v>
      </c>
      <c r="I18" s="103" t="inlineStr">
        <is>
          <t>None</t>
        </is>
      </c>
      <c r="J18" s="104" t="n">
        <v>1</v>
      </c>
      <c r="K18" s="89" t="inlineStr">
        <is>
          <t>cassava</t>
        </is>
      </c>
      <c r="L18" s="90">
        <f>IF(ISERROR(GETPIVOTDATA(IF($J18=1,"Count of ACTIVE     CED, FARM GATE (MJ/kg)","Count of CED, processor gate (MJ/kg)"),'[1]Pivot Table_CED'!$A$3,"SUB TYPE",$B18)),"PROXY",IF(GETPIVOTDATA(IF($J18=1,"Count of ACTIVE     CED, FARM GATE (MJ/kg)","Count of CED, processor gate (MJ/kg)"),'[1]Pivot Table_CED'!$A$3,"SUB TYPE",$B18)=0,"PROXY","DB value"))</f>
        <v/>
      </c>
      <c r="M18" s="91">
        <f>IF($L18="PROXY",DCOUNT('[1]literature entries'!$D:$AI,IF($J18=1,"ACTIVE     CED, FARM GATE (MJ/kg)","CED, processor gate (MJ/kg)"),INDIRECT($K18)),GETPIVOTDATA(IF($J18=1,"Count of ACTIVE     CED, FARM GATE (MJ/kg)","Count of CED, processor gate (MJ/kg)"),'[1]Pivot Table_CED'!$A$3,"SUB TYPE",$B18))</f>
        <v/>
      </c>
      <c r="N18" s="92">
        <f>IF($L18="PROXY",DAVERAGE('[1]literature entries'!$D:$AI,IF($J18=1,"ACTIVE     CED, FARM GATE (MJ/kg)","CED, processor gate (MJ/kg)"),INDIRECT($K18)),GETPIVOTDATA(IF($J18=1,"Average of ACTIVE     CED, FARM GATE (MJ/kg)","Average of CED, processor gate (MJ/kg)"),'[1]Pivot Table_CED'!$A$3,"SUB TYPE",$B18))</f>
        <v/>
      </c>
      <c r="O18" s="92">
        <f>IF($L18="PROXY",DSTDEV('[1]literature entries'!D:AI,IF($J18=1,"ACTIVE     CED, FARM GATE (MJ/kg)","CED, processor gate (MJ/kg)"),INDIRECT($K18)),GETPIVOTDATA(IF($J18=1,"StdDev of ACTIVE     CED, FARM GATE (MJ/kg)","StdDev of CED, processor gate (MJ/kg)"),'[1]Pivot Table_CED'!$A$3,"SUB TYPE",$B18))</f>
        <v/>
      </c>
      <c r="P18" s="90">
        <f>IF(ISERROR(GETPIVOTDATA(IF($J18=1,"Count of ACTIVE     GHGE, FARM GATE (kg CO2e/kg)","Count of GHGE, processor gate (kg CO2e/kg)"),'[1]Pivot Table_GHG'!$A$3,"SUB TYPE",$B18)),"PROXY",IF(GETPIVOTDATA(IF($J18=1,"Count of ACTIVE     GHGE, FARM GATE (kg CO2e/kg)","Count of GHGE, processor gate (kg CO2e/kg)"),'[1]Pivot Table_GHG'!$A$3,"SUB TYPE",$B18)=0,"PROXY","DB value"))</f>
        <v/>
      </c>
      <c r="Q18" s="93">
        <f>IF($P18="PROXY",DCOUNT('[1]literature entries'!$D:$AI,IF($J18=1,"ACTIVE     GHGE, FARM GATE (kg CO2e/kg)","GHGE, processor gate (kg CO2e/kg)"),INDIRECT($K18)),GETPIVOTDATA(IF($J18=1,"ACTIVE     GHGE, FARM GATE (kg CO2e/kg)","Count of GHGE, processor gate (kg CO2e/kg)"),'[1]Pivot Table_GHG'!$A$3,"SUB TYPE",$B18))</f>
        <v/>
      </c>
      <c r="R18" s="94">
        <f>IF($P18="PROXY",DAVERAGE('[1]literature entries'!$D:$AI,IF($J18=1,"ACTIVE     GHGE, FARM GATE (kg CO2e/kg)","GHGE, processor gate (kg CO2e/kg)"),INDIRECT($K18)),GETPIVOTDATA(IF($J18=1,"Average of ACTIVE     GHGE, FARM GATE (kg CO2e/kg)","Average of GHGE, processor gate (kg CO2e/kg)"),'[1]Pivot Table_GHG'!$A$3,"SUB TYPE",$B18))</f>
        <v/>
      </c>
      <c r="S18" s="94">
        <f>IF($P18="PROXY",DSTDEV('[1]literature entries'!$D:$AI,IF($J18=1,"ACTIVE     GHGE, FARM GATE (kg CO2e/kg)","GHGE, processor gate (kg CO2e/kg)"),INDIRECT($K18)),GETPIVOTDATA(IF($J18=1,"StdDev of ACTIVE     GHGE, FARM GATE (kg CO2e/kg)","StdDev of GHGE, processor gate (kg CO2e/kg)"),'[1]Pivot Table_GHG'!$A$3,"SUB TYPE",$B18))</f>
        <v/>
      </c>
      <c r="T18" s="105" t="n"/>
      <c r="U18" s="106" t="n"/>
      <c r="V18" s="97" t="n"/>
      <c r="W18" s="110" t="inlineStr">
        <is>
          <t>flours</t>
        </is>
      </c>
      <c r="X18" s="98">
        <f t="array" ref="X18">IF($W18="DIRECT",M18,DCOUNT('[1]literature entries'!$D:$AI,"CED, processor gate (MJ/kg)",INDIRECT($W18)))</f>
        <v/>
      </c>
      <c r="Y18" s="98">
        <f t="array" ref="Y18">IF($W18="DIRECT","",DAVERAGE('[1]literature entries'!$D:$AI,"CED, processor gate (MJ/kg)",INDIRECT($W18)))</f>
        <v/>
      </c>
      <c r="Z18" s="98">
        <f t="array" ref="Z18">IF($W18="DIRECT",$O18,DSTDEV('[1]literature entries'!$D:$AI,"CED, processor gate (MJ/kg)",INDIRECT($W18)))</f>
        <v/>
      </c>
      <c r="AA18" s="98">
        <f>IF($W18="DIRECT",$O18,$Z18/$Y18*$N18)</f>
        <v/>
      </c>
      <c r="AB18" s="110" t="inlineStr">
        <is>
          <t>flours</t>
        </is>
      </c>
      <c r="AC18" s="99">
        <f t="array" ref="AC18">IF($AB18="DIRECT",Q18,DCOUNT('[1]literature entries'!$D:$AI,"GHGE, processor gate (kg CO2e/kg)",INDIRECT($AB18)))</f>
        <v/>
      </c>
      <c r="AD18" s="99">
        <f t="array" ref="AD18">IF($AB18="DIRECT","",DAVERAGE('[1]literature entries'!$D:$AI,"GHGE, processor gate (kg CO2e/kg)",INDIRECT($AB18)))</f>
        <v/>
      </c>
      <c r="AE18" s="99">
        <f t="array" ref="AE18">IF($AB18="DIRECT",$S18,DSTDEV('[1]literature entries'!$D:$AI,"GHGE, processor gate (kg CO2e/kg)",INDIRECT($AB18)))</f>
        <v/>
      </c>
      <c r="AF18" s="99">
        <f>IF($AB18="DIRECT",$S18,$AE18/$AD18*$R18)</f>
        <v/>
      </c>
    </row>
    <row r="19">
      <c r="A19" s="100" t="n">
        <v>103017000</v>
      </c>
      <c r="B19" s="101" t="inlineStr">
        <is>
          <t>Artichoke, Jerusalem</t>
        </is>
      </c>
      <c r="C19" s="101" t="inlineStr">
        <is>
          <t>edible portion of tuber</t>
        </is>
      </c>
      <c r="D19" s="101" t="n"/>
      <c r="E19" s="101" t="n">
        <v>1</v>
      </c>
      <c r="F19" s="84">
        <f>N19*H19+T19</f>
        <v/>
      </c>
      <c r="G19" s="85">
        <f>R19*H19+U19</f>
        <v/>
      </c>
      <c r="H19" s="102" t="n">
        <v>2.5</v>
      </c>
      <c r="I19" s="102" t="inlineStr">
        <is>
          <t>FICRCD</t>
        </is>
      </c>
      <c r="J19" s="104" t="n">
        <v>1</v>
      </c>
      <c r="K19" s="89" t="inlineStr">
        <is>
          <t>potato</t>
        </is>
      </c>
      <c r="L19" s="90">
        <f>IF(ISERROR(GETPIVOTDATA(IF($J19=1,"Count of ACTIVE     CED, FARM GATE (MJ/kg)","Count of CED, processor gate (MJ/kg)"),'[1]Pivot Table_CED'!$A$3,"SUB TYPE",$B19)),"PROXY",IF(GETPIVOTDATA(IF($J19=1,"Count of ACTIVE     CED, FARM GATE (MJ/kg)","Count of CED, processor gate (MJ/kg)"),'[1]Pivot Table_CED'!$A$3,"SUB TYPE",$B19)=0,"PROXY","DB value"))</f>
        <v/>
      </c>
      <c r="M19" s="91">
        <f>IF($L19="PROXY",DCOUNT('[1]literature entries'!$D:$AI,IF($J19=1,"ACTIVE     CED, FARM GATE (MJ/kg)","CED, processor gate (MJ/kg)"),INDIRECT($K19)),GETPIVOTDATA(IF($J19=1,"Count of ACTIVE     CED, FARM GATE (MJ/kg)","Count of CED, processor gate (MJ/kg)"),'[1]Pivot Table_CED'!$A$3,"SUB TYPE",$B19))</f>
        <v/>
      </c>
      <c r="N19" s="92">
        <f>IF($L19="PROXY",DAVERAGE('[1]literature entries'!$D:$AI,IF($J19=1,"ACTIVE     CED, FARM GATE (MJ/kg)","CED, processor gate (MJ/kg)"),INDIRECT($K19)),GETPIVOTDATA(IF($J19=1,"Average of ACTIVE     CED, FARM GATE (MJ/kg)","Average of CED, processor gate (MJ/kg)"),'[1]Pivot Table_CED'!$A$3,"SUB TYPE",$B19))</f>
        <v/>
      </c>
      <c r="O19" s="92">
        <f>IF($L19="PROXY",DSTDEV('[1]literature entries'!D:AI,IF($J19=1,"ACTIVE     CED, FARM GATE (MJ/kg)","CED, processor gate (MJ/kg)"),INDIRECT($K19)),GETPIVOTDATA(IF($J19=1,"StdDev of ACTIVE     CED, FARM GATE (MJ/kg)","StdDev of CED, processor gate (MJ/kg)"),'[1]Pivot Table_CED'!$A$3,"SUB TYPE",$B19))</f>
        <v/>
      </c>
      <c r="P19" s="90">
        <f>IF(ISERROR(GETPIVOTDATA(IF($J19=1,"Count of ACTIVE     GHGE, FARM GATE (kg CO2e/kg)","Count of GHGE, processor gate (kg CO2e/kg)"),'[1]Pivot Table_GHG'!$A$3,"SUB TYPE",$B19)),"PROXY",IF(GETPIVOTDATA(IF($J19=1,"Count of ACTIVE     GHGE, FARM GATE (kg CO2e/kg)","Count of GHGE, processor gate (kg CO2e/kg)"),'[1]Pivot Table_GHG'!$A$3,"SUB TYPE",$B19)=0,"PROXY","DB value"))</f>
        <v/>
      </c>
      <c r="Q19" s="93">
        <f>IF($P19="PROXY",DCOUNT('[1]literature entries'!$D:$AI,IF($J19=1,"ACTIVE     GHGE, FARM GATE (kg CO2e/kg)","GHGE, processor gate (kg CO2e/kg)"),INDIRECT($K19)),GETPIVOTDATA(IF($J19=1,"ACTIVE     GHGE, FARM GATE (kg CO2e/kg)","Count of GHGE, processor gate (kg CO2e/kg)"),'[1]Pivot Table_GHG'!$A$3,"SUB TYPE",$B19))</f>
        <v/>
      </c>
      <c r="R19" s="94">
        <f>IF($P19="PROXY",DAVERAGE('[1]literature entries'!$D:$AI,IF($J19=1,"ACTIVE     GHGE, FARM GATE (kg CO2e/kg)","GHGE, processor gate (kg CO2e/kg)"),INDIRECT($K19)),GETPIVOTDATA(IF($J19=1,"Average of ACTIVE     GHGE, FARM GATE (kg CO2e/kg)","Average of GHGE, processor gate (kg CO2e/kg)"),'[1]Pivot Table_GHG'!$A$3,"SUB TYPE",$B19))</f>
        <v/>
      </c>
      <c r="S19" s="94">
        <f>IF($P19="PROXY",DSTDEV('[1]literature entries'!$D:$AI,IF($J19=1,"ACTIVE     GHGE, FARM GATE (kg CO2e/kg)","GHGE, processor gate (kg CO2e/kg)"),INDIRECT($K19)),GETPIVOTDATA(IF($J19=1,"StdDev of ACTIVE     GHGE, FARM GATE (kg CO2e/kg)","StdDev of GHGE, processor gate (kg CO2e/kg)"),'[1]Pivot Table_GHG'!$A$3,"SUB TYPE",$B19))</f>
        <v/>
      </c>
      <c r="T19" s="105" t="n"/>
      <c r="U19" s="106" t="n"/>
      <c r="V19" s="97" t="n"/>
      <c r="W19" s="98" t="inlineStr">
        <is>
          <t>roots</t>
        </is>
      </c>
      <c r="X19" s="98">
        <f>IF($W19="DIRECT",M19,DCOUNT('[1]literature entries'!$D:$AI,IF($J19=1,"ACTIVE     CED, FARM GATE (MJ/kg)","CED, processor gate (MJ/kg)"),INDIRECT($W19)))</f>
        <v/>
      </c>
      <c r="Y19" s="98">
        <f>IF($W19="DIRECT","",DAVERAGE('[1]literature entries'!$D:$AI,IF($J19=1,"ACTIVE     CED, FARM GATE (MJ/kg)","CED, processor gate (MJ/kg)"),INDIRECT($W19)))</f>
        <v/>
      </c>
      <c r="Z19" s="98">
        <f>IF($W19="DIRECT",$O19,DSTDEV('[1]literature entries'!$D:$AI,IF($J19=1,"ACTIVE     CED, FARM GATE (MJ/kg)","CED, processor gate (MJ/kg)"),INDIRECT($W19)))</f>
        <v/>
      </c>
      <c r="AA19" s="98">
        <f>IF($W19="DIRECT",$O19,$Z19/$Y19*$N19)</f>
        <v/>
      </c>
      <c r="AB19" s="99" t="inlineStr">
        <is>
          <t>roots</t>
        </is>
      </c>
      <c r="AC19" s="99">
        <f>IF($AB19="DIRECT",Q19,DCOUNT('[1]literature entries'!$D:$AI,IF($J19=1,"ACTIVE     GHGE, FARM GATE (kg CO2e/kg)","GHGE, processor gate (kg CO2e/kg)"),INDIRECT($AB19)))</f>
        <v/>
      </c>
      <c r="AD19" s="99">
        <f>IF($AB19="DIRECT","",DAVERAGE('[1]literature entries'!$D:$AI,IF($J19=1,"ACTIVE     GHGE, FARM GATE (kg CO2e/kg)","GHGE, processor gate (kg CO2e/kg)"),INDIRECT($AB19)))</f>
        <v/>
      </c>
      <c r="AE19" s="99">
        <f>IF($AB19="DIRECT",$S19,DSTDEV('[1]literature entries'!$D:$AI,IF($J19=1,"ACTIVE     GHGE, FARM GATE (kg CO2e/kg)","GHGE, processor gate (kg CO2e/kg)"),INDIRECT($AB19)))</f>
        <v/>
      </c>
      <c r="AF19" s="99">
        <f>IF($AB19="DIRECT",$S19,$AE19/$AD19*$R19)</f>
        <v/>
      </c>
    </row>
    <row r="20">
      <c r="A20" s="111" t="n">
        <v>103082000</v>
      </c>
      <c r="B20" s="101" t="inlineStr">
        <is>
          <t>Cassava</t>
        </is>
      </c>
      <c r="C20" s="112" t="inlineStr">
        <is>
          <t>weight of root; dry tapioca</t>
        </is>
      </c>
      <c r="D20" s="101" t="inlineStr">
        <is>
          <t>Includes tapioca.</t>
        </is>
      </c>
      <c r="E20" s="101" t="n">
        <v>26995</v>
      </c>
      <c r="F20" s="84">
        <f>N20*H20+T20</f>
        <v/>
      </c>
      <c r="G20" s="85">
        <f>R20*H20+U20</f>
        <v/>
      </c>
      <c r="H20" s="102" t="n">
        <v>1</v>
      </c>
      <c r="I20" s="103" t="inlineStr">
        <is>
          <t>None</t>
        </is>
      </c>
      <c r="J20" s="104" t="n">
        <v>1</v>
      </c>
      <c r="K20" s="89" t="n"/>
      <c r="L20" s="90">
        <f>IF(ISERROR(GETPIVOTDATA(IF($J20=1,"Count of ACTIVE     CED, FARM GATE (MJ/kg)","Count of CED, processor gate (MJ/kg)"),'[1]Pivot Table_CED'!$A$3,"SUB TYPE",$B20)),"PROXY",IF(GETPIVOTDATA(IF($J20=1,"Count of ACTIVE     CED, FARM GATE (MJ/kg)","Count of CED, processor gate (MJ/kg)"),'[1]Pivot Table_CED'!$A$3,"SUB TYPE",$B20)=0,"PROXY","DB value"))</f>
        <v/>
      </c>
      <c r="M20" s="91">
        <f>IF($L20="PROXY",DCOUNT('[1]literature entries'!$D:$AI,IF($J20=1,"ACTIVE     CED, FARM GATE (MJ/kg)","CED, processor gate (MJ/kg)"),INDIRECT($K20)),GETPIVOTDATA(IF($J20=1,"Count of ACTIVE     CED, FARM GATE (MJ/kg)","Count of CED, processor gate (MJ/kg)"),'[1]Pivot Table_CED'!$A$3,"SUB TYPE",$B20))</f>
        <v/>
      </c>
      <c r="N20" s="92">
        <f>IF($L20="PROXY",DAVERAGE('[1]literature entries'!$D:$AI,IF($J20=1,"ACTIVE     CED, FARM GATE (MJ/kg)","CED, processor gate (MJ/kg)"),INDIRECT($K20)),GETPIVOTDATA(IF($J20=1,"Average of ACTIVE     CED, FARM GATE (MJ/kg)","Average of CED, processor gate (MJ/kg)"),'[1]Pivot Table_CED'!$A$3,"SUB TYPE",$B20))</f>
        <v/>
      </c>
      <c r="O20" s="92">
        <f>IF($L20="PROXY",DSTDEV('[1]literature entries'!D:AI,IF($J20=1,"ACTIVE     CED, FARM GATE (MJ/kg)","CED, processor gate (MJ/kg)"),INDIRECT($K20)),GETPIVOTDATA(IF($J20=1,"StdDev of ACTIVE     CED, FARM GATE (MJ/kg)","StdDev of CED, processor gate (MJ/kg)"),'[1]Pivot Table_CED'!$A$3,"SUB TYPE",$B20))</f>
        <v/>
      </c>
      <c r="P20" s="90">
        <f>IF(ISERROR(GETPIVOTDATA(IF($J20=1,"Count of ACTIVE     GHGE, FARM GATE (kg CO2e/kg)","Count of GHGE, processor gate (kg CO2e/kg)"),'[1]Pivot Table_GHG'!$A$3,"SUB TYPE",$B20)),"PROXY",IF(GETPIVOTDATA(IF($J20=1,"Count of ACTIVE     GHGE, FARM GATE (kg CO2e/kg)","Count of GHGE, processor gate (kg CO2e/kg)"),'[1]Pivot Table_GHG'!$A$3,"SUB TYPE",$B20)=0,"PROXY","DB value"))</f>
        <v/>
      </c>
      <c r="Q20" s="93">
        <f>IF($P20="PROXY",DCOUNT('[1]literature entries'!$D:$AI,IF($J20=1,"ACTIVE     GHGE, FARM GATE (kg CO2e/kg)","GHGE, processor gate (kg CO2e/kg)"),INDIRECT($K20)),GETPIVOTDATA(IF($J20=1,"ACTIVE     GHGE, FARM GATE (kg CO2e/kg)","Count of GHGE, processor gate (kg CO2e/kg)"),'[1]Pivot Table_GHG'!$A$3,"SUB TYPE",$B20))</f>
        <v/>
      </c>
      <c r="R20" s="94">
        <f>IF($P20="PROXY",DAVERAGE('[1]literature entries'!$D:$AI,IF($J20=1,"ACTIVE     GHGE, FARM GATE (kg CO2e/kg)","GHGE, processor gate (kg CO2e/kg)"),INDIRECT($K20)),GETPIVOTDATA(IF($J20=1,"Average of ACTIVE     GHGE, FARM GATE (kg CO2e/kg)","Average of GHGE, processor gate (kg CO2e/kg)"),'[1]Pivot Table_GHG'!$A$3,"SUB TYPE",$B20))</f>
        <v/>
      </c>
      <c r="S20" s="94">
        <f>IF($P20="PROXY",DSTDEV('[1]literature entries'!$D:$AI,IF($J20=1,"ACTIVE     GHGE, FARM GATE (kg CO2e/kg)","GHGE, processor gate (kg CO2e/kg)"),INDIRECT($K20)),GETPIVOTDATA(IF($J20=1,"StdDev of ACTIVE     GHGE, FARM GATE (kg CO2e/kg)","StdDev of GHGE, processor gate (kg CO2e/kg)"),'[1]Pivot Table_GHG'!$A$3,"SUB TYPE",$B20))</f>
        <v/>
      </c>
      <c r="T20" s="105" t="n"/>
      <c r="U20" s="106" t="n"/>
      <c r="V20" s="97" t="n"/>
      <c r="W20" s="98" t="inlineStr">
        <is>
          <t>roots</t>
        </is>
      </c>
      <c r="X20" s="98">
        <f>IF($W20="DIRECT",M20,DCOUNT('[1]literature entries'!$D:$AI,IF($J20=1,"ACTIVE     CED, FARM GATE (MJ/kg)","CED, processor gate (MJ/kg)"),INDIRECT($W20)))</f>
        <v/>
      </c>
      <c r="Y20" s="98">
        <f>IF($W20="DIRECT","",DAVERAGE('[1]literature entries'!$D:$AI,IF($J20=1,"ACTIVE     CED, FARM GATE (MJ/kg)","CED, processor gate (MJ/kg)"),INDIRECT($W20)))</f>
        <v/>
      </c>
      <c r="Z20" s="98">
        <f>IF($W20="DIRECT",$O20,DSTDEV('[1]literature entries'!$D:$AI,IF($J20=1,"ACTIVE     CED, FARM GATE (MJ/kg)","CED, processor gate (MJ/kg)"),INDIRECT($W20)))</f>
        <v/>
      </c>
      <c r="AA20" s="98">
        <f>IF($W20="DIRECT",$O20,$Z20/$Y20*$N20)</f>
        <v/>
      </c>
      <c r="AB20" s="99" t="inlineStr">
        <is>
          <t>roots</t>
        </is>
      </c>
      <c r="AC20" s="99">
        <f>IF($AB20="DIRECT",Q20,DCOUNT('[1]literature entries'!$D:$AI,IF($J20=1,"ACTIVE     GHGE, FARM GATE (kg CO2e/kg)","GHGE, processor gate (kg CO2e/kg)"),INDIRECT($AB20)))</f>
        <v/>
      </c>
      <c r="AD20" s="99">
        <f>IF($AB20="DIRECT","",DAVERAGE('[1]literature entries'!$D:$AI,IF($J20=1,"ACTIVE     GHGE, FARM GATE (kg CO2e/kg)","GHGE, processor gate (kg CO2e/kg)"),INDIRECT($AB20)))</f>
        <v/>
      </c>
      <c r="AE20" s="99">
        <f>IF($AB20="DIRECT",$S20,DSTDEV('[1]literature entries'!$D:$AI,IF($J20=1,"ACTIVE     GHGE, FARM GATE (kg CO2e/kg)","GHGE, processor gate (kg CO2e/kg)"),INDIRECT($AB20)))</f>
        <v/>
      </c>
      <c r="AF20" s="99">
        <f>IF($AB20="DIRECT",$S20,$AE20/$AD20*$R20)</f>
        <v/>
      </c>
    </row>
    <row r="21" ht="15.75" customHeight="1" s="201">
      <c r="A21" s="100" t="n">
        <v>103139000</v>
      </c>
      <c r="B21" s="101" t="inlineStr">
        <is>
          <t>Dasheen, corm</t>
        </is>
      </c>
      <c r="C21" s="101" t="inlineStr">
        <is>
          <t>weight of the corm</t>
        </is>
      </c>
      <c r="D21" s="101" t="inlineStr">
        <is>
          <t>Includes taro.</t>
        </is>
      </c>
      <c r="E21" s="101" t="n">
        <v>68</v>
      </c>
      <c r="F21" s="84">
        <f>N21*H21+T21</f>
        <v/>
      </c>
      <c r="G21" s="85">
        <f>R21*H21+U21</f>
        <v/>
      </c>
      <c r="H21" s="102" t="n">
        <v>1</v>
      </c>
      <c r="I21" s="103" t="inlineStr">
        <is>
          <t>None</t>
        </is>
      </c>
      <c r="J21" s="104" t="n">
        <v>1</v>
      </c>
      <c r="K21" s="89" t="inlineStr">
        <is>
          <t>roots</t>
        </is>
      </c>
      <c r="L21" s="90">
        <f>IF(ISERROR(GETPIVOTDATA(IF($J21=1,"Count of ACTIVE     CED, FARM GATE (MJ/kg)","Count of CED, processor gate (MJ/kg)"),'[1]Pivot Table_CED'!$A$3,"SUB TYPE",$B21)),"PROXY",IF(GETPIVOTDATA(IF($J21=1,"Count of ACTIVE     CED, FARM GATE (MJ/kg)","Count of CED, processor gate (MJ/kg)"),'[1]Pivot Table_CED'!$A$3,"SUB TYPE",$B21)=0,"PROXY","DB value"))</f>
        <v/>
      </c>
      <c r="M21" s="91">
        <f>IF($L21="PROXY",DCOUNT('[1]literature entries'!$D:$AI,IF($J21=1,"ACTIVE     CED, FARM GATE (MJ/kg)","CED, processor gate (MJ/kg)"),INDIRECT($K21)),GETPIVOTDATA(IF($J21=1,"Count of ACTIVE     CED, FARM GATE (MJ/kg)","Count of CED, processor gate (MJ/kg)"),'[1]Pivot Table_CED'!$A$3,"SUB TYPE",$B21))</f>
        <v/>
      </c>
      <c r="N21" s="92">
        <f>IF($L21="PROXY",DAVERAGE('[1]literature entries'!$D:$AI,IF($J21=1,"ACTIVE     CED, FARM GATE (MJ/kg)","CED, processor gate (MJ/kg)"),INDIRECT($K21)),GETPIVOTDATA(IF($J21=1,"Average of ACTIVE     CED, FARM GATE (MJ/kg)","Average of CED, processor gate (MJ/kg)"),'[1]Pivot Table_CED'!$A$3,"SUB TYPE",$B21))</f>
        <v/>
      </c>
      <c r="O21" s="92">
        <f>IF($L21="PROXY",DSTDEV('[1]literature entries'!D:AI,IF($J21=1,"ACTIVE     CED, FARM GATE (MJ/kg)","CED, processor gate (MJ/kg)"),INDIRECT($K21)),GETPIVOTDATA(IF($J21=1,"StdDev of ACTIVE     CED, FARM GATE (MJ/kg)","StdDev of CED, processor gate (MJ/kg)"),'[1]Pivot Table_CED'!$A$3,"SUB TYPE",$B21))</f>
        <v/>
      </c>
      <c r="P21" s="90">
        <f>IF(ISERROR(GETPIVOTDATA(IF($J21=1,"Count of ACTIVE     GHGE, FARM GATE (kg CO2e/kg)","Count of GHGE, processor gate (kg CO2e/kg)"),'[1]Pivot Table_GHG'!$A$3,"SUB TYPE",$B21)),"PROXY",IF(GETPIVOTDATA(IF($J21=1,"Count of ACTIVE     GHGE, FARM GATE (kg CO2e/kg)","Count of GHGE, processor gate (kg CO2e/kg)"),'[1]Pivot Table_GHG'!$A$3,"SUB TYPE",$B21)=0,"PROXY","DB value"))</f>
        <v/>
      </c>
      <c r="Q21" s="93">
        <f>IF($P21="PROXY",DCOUNT('[1]literature entries'!$D:$AI,IF($J21=1,"ACTIVE     GHGE, FARM GATE (kg CO2e/kg)","GHGE, processor gate (kg CO2e/kg)"),INDIRECT($K21)),GETPIVOTDATA(IF($J21=1,"ACTIVE     GHGE, FARM GATE (kg CO2e/kg)","Count of GHGE, processor gate (kg CO2e/kg)"),'[1]Pivot Table_GHG'!$A$3,"SUB TYPE",$B21))</f>
        <v/>
      </c>
      <c r="R21" s="94">
        <f>IF($P21="PROXY",DAVERAGE('[1]literature entries'!$D:$AI,IF($J21=1,"ACTIVE     GHGE, FARM GATE (kg CO2e/kg)","GHGE, processor gate (kg CO2e/kg)"),INDIRECT($K21)),GETPIVOTDATA(IF($J21=1,"Average of ACTIVE     GHGE, FARM GATE (kg CO2e/kg)","Average of GHGE, processor gate (kg CO2e/kg)"),'[1]Pivot Table_GHG'!$A$3,"SUB TYPE",$B21))</f>
        <v/>
      </c>
      <c r="S21" s="94">
        <f>IF($P21="PROXY",DSTDEV('[1]literature entries'!$D:$AI,IF($J21=1,"ACTIVE     GHGE, FARM GATE (kg CO2e/kg)","GHGE, processor gate (kg CO2e/kg)"),INDIRECT($K21)),GETPIVOTDATA(IF($J21=1,"StdDev of ACTIVE     GHGE, FARM GATE (kg CO2e/kg)","StdDev of GHGE, processor gate (kg CO2e/kg)"),'[1]Pivot Table_GHG'!$A$3,"SUB TYPE",$B21))</f>
        <v/>
      </c>
      <c r="T21" s="105" t="n"/>
      <c r="U21" s="106" t="n"/>
      <c r="V21" s="97" t="n"/>
      <c r="W21" s="98">
        <f>IF(L21="PROXY",IF(M21&gt;=5,K21,"need group"),IF(M21&gt;=5,"DIRECT","need group"))</f>
        <v/>
      </c>
      <c r="X21" s="98">
        <f>IF($W21="DIRECT",M21,DCOUNT('[1]literature entries'!$D:$AI,IF($J21=1,"ACTIVE     CED, FARM GATE (MJ/kg)","CED, processor gate (MJ/kg)"),INDIRECT($W21)))</f>
        <v/>
      </c>
      <c r="Y21" s="98">
        <f>IF($W21="DIRECT","",DAVERAGE('[1]literature entries'!$D:$AI,IF($J21=1,"ACTIVE     CED, FARM GATE (MJ/kg)","CED, processor gate (MJ/kg)"),INDIRECT($W21)))</f>
        <v/>
      </c>
      <c r="Z21" s="98">
        <f>IF($W21="DIRECT",$O21,DSTDEV('[1]literature entries'!$D:$AI,IF($J21=1,"ACTIVE     CED, FARM GATE (MJ/kg)","CED, processor gate (MJ/kg)"),INDIRECT($W21)))</f>
        <v/>
      </c>
      <c r="AA21" s="98">
        <f>IF($W21="DIRECT",$O21,$Z21/$Y21*$N21)</f>
        <v/>
      </c>
      <c r="AB21" s="99">
        <f>IF(P21="PROXY",IF(Q21&gt;=5,K21,"need group"),IF(Q21&gt;=5,"DIRECT","need group"))</f>
        <v/>
      </c>
      <c r="AC21" s="99">
        <f>IF($AB21="DIRECT",Q21,DCOUNT('[1]literature entries'!$D:$AI,IF($J21=1,"ACTIVE     GHGE, FARM GATE (kg CO2e/kg)","GHGE, processor gate (kg CO2e/kg)"),INDIRECT($AB21)))</f>
        <v/>
      </c>
      <c r="AD21" s="99">
        <f>IF($AB21="DIRECT","",DAVERAGE('[1]literature entries'!$D:$AI,IF($J21=1,"ACTIVE     GHGE, FARM GATE (kg CO2e/kg)","GHGE, processor gate (kg CO2e/kg)"),INDIRECT($AB21)))</f>
        <v/>
      </c>
      <c r="AE21" s="99">
        <f>IF($AB21="DIRECT",$S21,DSTDEV('[1]literature entries'!$D:$AI,IF($J21=1,"ACTIVE     GHGE, FARM GATE (kg CO2e/kg)","GHGE, processor gate (kg CO2e/kg)"),INDIRECT($AB21)))</f>
        <v/>
      </c>
      <c r="AF21" s="99">
        <f>IF($AB21="DIRECT",$S21,$AE21/$AD21*$R21)</f>
        <v/>
      </c>
    </row>
    <row r="22" ht="15.75" customHeight="1" s="201">
      <c r="A22" s="100" t="n">
        <v>103166000</v>
      </c>
      <c r="B22" s="101" t="inlineStr">
        <is>
          <t>Ginger</t>
        </is>
      </c>
      <c r="C22" s="101" t="inlineStr">
        <is>
          <t>weight of roots; excluding peel</t>
        </is>
      </c>
      <c r="D22" s="101" t="n"/>
      <c r="E22" s="101" t="n">
        <v>4399</v>
      </c>
      <c r="F22" s="84">
        <f>N22*H22+T22</f>
        <v/>
      </c>
      <c r="G22" s="85">
        <f>R22*H22+U22</f>
        <v/>
      </c>
      <c r="H22" s="102" t="n">
        <v>1.08</v>
      </c>
      <c r="I22" s="103" t="inlineStr">
        <is>
          <t>NNDSR28</t>
        </is>
      </c>
      <c r="J22" s="104" t="n">
        <v>1</v>
      </c>
      <c r="K22" s="89" t="inlineStr">
        <is>
          <t>roots</t>
        </is>
      </c>
      <c r="L22" s="90">
        <f>IF(ISERROR(GETPIVOTDATA(IF($J22=1,"Count of ACTIVE     CED, FARM GATE (MJ/kg)","Count of CED, processor gate (MJ/kg)"),'[1]Pivot Table_CED'!$A$3,"SUB TYPE",$B22)),"PROXY",IF(GETPIVOTDATA(IF($J22=1,"Count of ACTIVE     CED, FARM GATE (MJ/kg)","Count of CED, processor gate (MJ/kg)"),'[1]Pivot Table_CED'!$A$3,"SUB TYPE",$B22)=0,"PROXY","DB value"))</f>
        <v/>
      </c>
      <c r="M22" s="91">
        <f>IF($L22="PROXY",DCOUNT('[1]literature entries'!$D:$AI,IF($J22=1,"ACTIVE     CED, FARM GATE (MJ/kg)","CED, processor gate (MJ/kg)"),INDIRECT($K22)),GETPIVOTDATA(IF($J22=1,"Count of ACTIVE     CED, FARM GATE (MJ/kg)","Count of CED, processor gate (MJ/kg)"),'[1]Pivot Table_CED'!$A$3,"SUB TYPE",$B22))</f>
        <v/>
      </c>
      <c r="N22" s="92">
        <f>IF($L22="PROXY",DAVERAGE('[1]literature entries'!$D:$AI,IF($J22=1,"ACTIVE     CED, FARM GATE (MJ/kg)","CED, processor gate (MJ/kg)"),INDIRECT($K22)),GETPIVOTDATA(IF($J22=1,"Average of ACTIVE     CED, FARM GATE (MJ/kg)","Average of CED, processor gate (MJ/kg)"),'[1]Pivot Table_CED'!$A$3,"SUB TYPE",$B22))</f>
        <v/>
      </c>
      <c r="O22" s="92">
        <f>IF($L22="PROXY",DSTDEV('[1]literature entries'!D:AI,IF($J22=1,"ACTIVE     CED, FARM GATE (MJ/kg)","CED, processor gate (MJ/kg)"),INDIRECT($K22)),GETPIVOTDATA(IF($J22=1,"StdDev of ACTIVE     CED, FARM GATE (MJ/kg)","StdDev of CED, processor gate (MJ/kg)"),'[1]Pivot Table_CED'!$A$3,"SUB TYPE",$B22))</f>
        <v/>
      </c>
      <c r="P22" s="90">
        <f>IF(ISERROR(GETPIVOTDATA(IF($J22=1,"Count of ACTIVE     GHGE, FARM GATE (kg CO2e/kg)","Count of GHGE, processor gate (kg CO2e/kg)"),'[1]Pivot Table_GHG'!$A$3,"SUB TYPE",$B22)),"PROXY",IF(GETPIVOTDATA(IF($J22=1,"Count of ACTIVE     GHGE, FARM GATE (kg CO2e/kg)","Count of GHGE, processor gate (kg CO2e/kg)"),'[1]Pivot Table_GHG'!$A$3,"SUB TYPE",$B22)=0,"PROXY","DB value"))</f>
        <v/>
      </c>
      <c r="Q22" s="93">
        <f>IF($P22="PROXY",DCOUNT('[1]literature entries'!$D:$AI,IF($J22=1,"ACTIVE     GHGE, FARM GATE (kg CO2e/kg)","GHGE, processor gate (kg CO2e/kg)"),INDIRECT($K22)),GETPIVOTDATA(IF($J22=1,"ACTIVE     GHGE, FARM GATE (kg CO2e/kg)","Count of GHGE, processor gate (kg CO2e/kg)"),'[1]Pivot Table_GHG'!$A$3,"SUB TYPE",$B22))</f>
        <v/>
      </c>
      <c r="R22" s="94">
        <f>IF($P22="PROXY",DAVERAGE('[1]literature entries'!$D:$AI,IF($J22=1,"ACTIVE     GHGE, FARM GATE (kg CO2e/kg)","GHGE, processor gate (kg CO2e/kg)"),INDIRECT($K22)),GETPIVOTDATA(IF($J22=1,"Average of ACTIVE     GHGE, FARM GATE (kg CO2e/kg)","Average of GHGE, processor gate (kg CO2e/kg)"),'[1]Pivot Table_GHG'!$A$3,"SUB TYPE",$B22))</f>
        <v/>
      </c>
      <c r="S22" s="94">
        <f>IF($P22="PROXY",DSTDEV('[1]literature entries'!$D:$AI,IF($J22=1,"ACTIVE     GHGE, FARM GATE (kg CO2e/kg)","GHGE, processor gate (kg CO2e/kg)"),INDIRECT($K22)),GETPIVOTDATA(IF($J22=1,"StdDev of ACTIVE     GHGE, FARM GATE (kg CO2e/kg)","StdDev of GHGE, processor gate (kg CO2e/kg)"),'[1]Pivot Table_GHG'!$A$3,"SUB TYPE",$B22))</f>
        <v/>
      </c>
      <c r="T22" s="105" t="n"/>
      <c r="U22" s="106" t="n"/>
      <c r="V22" s="97" t="n"/>
      <c r="W22" s="98">
        <f>IF(L22="PROXY",IF(M22&gt;=5,K22,"need group"),IF(M22&gt;=5,"DIRECT","need group"))</f>
        <v/>
      </c>
      <c r="X22" s="98">
        <f>IF($W22="DIRECT",M22,DCOUNT('[1]literature entries'!$D:$AI,IF($J22=1,"ACTIVE     CED, FARM GATE (MJ/kg)","CED, processor gate (MJ/kg)"),INDIRECT($W22)))</f>
        <v/>
      </c>
      <c r="Y22" s="98">
        <f>IF($W22="DIRECT","",DAVERAGE('[1]literature entries'!$D:$AI,IF($J22=1,"ACTIVE     CED, FARM GATE (MJ/kg)","CED, processor gate (MJ/kg)"),INDIRECT($W22)))</f>
        <v/>
      </c>
      <c r="Z22" s="98">
        <f>IF($W22="DIRECT",$O22,DSTDEV('[1]literature entries'!$D:$AI,IF($J22=1,"ACTIVE     CED, FARM GATE (MJ/kg)","CED, processor gate (MJ/kg)"),INDIRECT($W22)))</f>
        <v/>
      </c>
      <c r="AA22" s="98">
        <f>IF($W22="DIRECT",$O22,$Z22/$Y22*$N22)</f>
        <v/>
      </c>
      <c r="AB22" s="99" t="inlineStr">
        <is>
          <t>roots</t>
        </is>
      </c>
      <c r="AC22" s="99">
        <f>IF($AB22="DIRECT",Q22,DCOUNT('[1]literature entries'!$D:$AI,IF($J22=1,"ACTIVE     GHGE, FARM GATE (kg CO2e/kg)","GHGE, processor gate (kg CO2e/kg)"),INDIRECT($AB22)))</f>
        <v/>
      </c>
      <c r="AD22" s="99">
        <f>IF($AB22="DIRECT","",DAVERAGE('[1]literature entries'!$D:$AI,IF($J22=1,"ACTIVE     GHGE, FARM GATE (kg CO2e/kg)","GHGE, processor gate (kg CO2e/kg)"),INDIRECT($AB22)))</f>
        <v/>
      </c>
      <c r="AE22" s="99">
        <f>IF($AB22="DIRECT",$S22,DSTDEV('[1]literature entries'!$D:$AI,IF($J22=1,"ACTIVE     GHGE, FARM GATE (kg CO2e/kg)","GHGE, processor gate (kg CO2e/kg)"),INDIRECT($AB22)))</f>
        <v/>
      </c>
      <c r="AF22" s="99">
        <f>IF($AB22="DIRECT",$S22,$AE22/$AD22*$R22)</f>
        <v/>
      </c>
    </row>
    <row r="23" ht="15.75" customHeight="1" s="201">
      <c r="A23" s="100" t="n">
        <v>103167000</v>
      </c>
      <c r="B23" s="101" t="inlineStr">
        <is>
          <t>Ginger, dried</t>
        </is>
      </c>
      <c r="C23" s="101" t="inlineStr">
        <is>
          <t>dry weight of roots; excluding peel</t>
        </is>
      </c>
      <c r="D23" s="101" t="n"/>
      <c r="E23" s="101" t="n">
        <v>19546</v>
      </c>
      <c r="F23" s="84">
        <f>N23*H23+T23</f>
        <v/>
      </c>
      <c r="G23" s="85">
        <f>R23*H23+U23</f>
        <v/>
      </c>
      <c r="H23" s="102" t="n">
        <v>4.58</v>
      </c>
      <c r="I23" s="103" t="inlineStr">
        <is>
          <t>NNDSR28</t>
        </is>
      </c>
      <c r="J23" s="113" t="n">
        <v>1</v>
      </c>
      <c r="K23" s="89" t="inlineStr">
        <is>
          <t>roots</t>
        </is>
      </c>
      <c r="L23" s="90">
        <f>IF(ISERROR(GETPIVOTDATA(IF($J23=1,"Count of ACTIVE     CED, FARM GATE (MJ/kg)","Count of CED, processor gate (MJ/kg)"),'[1]Pivot Table_CED'!$A$3,"SUB TYPE",$B23)),"PROXY",IF(GETPIVOTDATA(IF($J23=1,"Count of ACTIVE     CED, FARM GATE (MJ/kg)","Count of CED, processor gate (MJ/kg)"),'[1]Pivot Table_CED'!$A$3,"SUB TYPE",$B23)=0,"PROXY","DB value"))</f>
        <v/>
      </c>
      <c r="M23" s="91">
        <f>IF($L23="PROXY",DCOUNT('[1]literature entries'!$D:$AI,IF($J23=1,"ACTIVE     CED, FARM GATE (MJ/kg)","CED, processor gate (MJ/kg)"),INDIRECT($K23)),GETPIVOTDATA(IF($J23=1,"Count of ACTIVE     CED, FARM GATE (MJ/kg)","Count of CED, processor gate (MJ/kg)"),'[1]Pivot Table_CED'!$A$3,"SUB TYPE",$B23))</f>
        <v/>
      </c>
      <c r="N23" s="92">
        <f>IF($L23="PROXY",DAVERAGE('[1]literature entries'!$D:$AI,IF($J23=1,"ACTIVE     CED, FARM GATE (MJ/kg)","CED, processor gate (MJ/kg)"),INDIRECT($K23)),GETPIVOTDATA(IF($J23=1,"Average of ACTIVE     CED, FARM GATE (MJ/kg)","Average of CED, processor gate (MJ/kg)"),'[1]Pivot Table_CED'!$A$3,"SUB TYPE",$B23))</f>
        <v/>
      </c>
      <c r="O23" s="92">
        <f>IF($L23="PROXY",DSTDEV('[1]literature entries'!D:AI,IF($J23=1,"ACTIVE     CED, FARM GATE (MJ/kg)","CED, processor gate (MJ/kg)"),INDIRECT($K23)),GETPIVOTDATA(IF($J23=1,"StdDev of ACTIVE     CED, FARM GATE (MJ/kg)","StdDev of CED, processor gate (MJ/kg)"),'[1]Pivot Table_CED'!$A$3,"SUB TYPE",$B23))</f>
        <v/>
      </c>
      <c r="P23" s="90">
        <f>IF(ISERROR(GETPIVOTDATA(IF($J23=1,"Count of ACTIVE     GHGE, FARM GATE (kg CO2e/kg)","Count of GHGE, processor gate (kg CO2e/kg)"),'[1]Pivot Table_GHG'!$A$3,"SUB TYPE",$B23)),"PROXY",IF(GETPIVOTDATA(IF($J23=1,"Count of ACTIVE     GHGE, FARM GATE (kg CO2e/kg)","Count of GHGE, processor gate (kg CO2e/kg)"),'[1]Pivot Table_GHG'!$A$3,"SUB TYPE",$B23)=0,"PROXY","DB value"))</f>
        <v/>
      </c>
      <c r="Q23" s="93">
        <f>IF($P23="PROXY",DCOUNT('[1]literature entries'!$D:$AI,IF($J23=1,"ACTIVE     GHGE, FARM GATE (kg CO2e/kg)","GHGE, processor gate (kg CO2e/kg)"),INDIRECT($K23)),GETPIVOTDATA(IF($J23=1,"ACTIVE     GHGE, FARM GATE (kg CO2e/kg)","Count of GHGE, processor gate (kg CO2e/kg)"),'[1]Pivot Table_GHG'!$A$3,"SUB TYPE",$B23))</f>
        <v/>
      </c>
      <c r="R23" s="94">
        <f>IF($P23="PROXY",DAVERAGE('[1]literature entries'!$D:$AI,IF($J23=1,"ACTIVE     GHGE, FARM GATE (kg CO2e/kg)","GHGE, processor gate (kg CO2e/kg)"),INDIRECT($K23)),GETPIVOTDATA(IF($J23=1,"Average of ACTIVE     GHGE, FARM GATE (kg CO2e/kg)","Average of GHGE, processor gate (kg CO2e/kg)"),'[1]Pivot Table_GHG'!$A$3,"SUB TYPE",$B23))</f>
        <v/>
      </c>
      <c r="S23" s="94">
        <f>IF($P23="PROXY",DSTDEV('[1]literature entries'!$D:$AI,IF($J23=1,"ACTIVE     GHGE, FARM GATE (kg CO2e/kg)","GHGE, processor gate (kg CO2e/kg)"),INDIRECT($K23)),GETPIVOTDATA(IF($J23=1,"StdDev of ACTIVE     GHGE, FARM GATE (kg CO2e/kg)","StdDev of GHGE, processor gate (kg CO2e/kg)"),'[1]Pivot Table_GHG'!$A$3,"SUB TYPE",$B23))</f>
        <v/>
      </c>
      <c r="T23" s="105" t="n"/>
      <c r="U23" s="106" t="n"/>
      <c r="V23" s="97" t="n"/>
      <c r="W23" s="98">
        <f>IF(L23="PROXY",IF(M23&gt;=5,K23,"need group"),IF(M23&gt;=5,"DIRECT","need group"))</f>
        <v/>
      </c>
      <c r="X23" s="98">
        <f>IF($W23="DIRECT",M23,DCOUNT('[1]literature entries'!$D:$AI,IF($J23=1,"ACTIVE     CED, FARM GATE (MJ/kg)","CED, processor gate (MJ/kg)"),INDIRECT($W23)))</f>
        <v/>
      </c>
      <c r="Y23" s="98">
        <f>IF($W23="DIRECT","",DAVERAGE('[1]literature entries'!$D:$AI,IF($J23=1,"ACTIVE     CED, FARM GATE (MJ/kg)","CED, processor gate (MJ/kg)"),INDIRECT($W23)))</f>
        <v/>
      </c>
      <c r="Z23" s="98">
        <f>IF($W23="DIRECT",$O23,DSTDEV('[1]literature entries'!$D:$AI,IF($J23=1,"ACTIVE     CED, FARM GATE (MJ/kg)","CED, processor gate (MJ/kg)"),INDIRECT($W23)))</f>
        <v/>
      </c>
      <c r="AA23" s="98">
        <f>IF($W23="DIRECT",$O23,$Z23/$Y23*$N23)</f>
        <v/>
      </c>
      <c r="AB23" s="99">
        <f>IF(P23="PROXY",IF(Q23&gt;=5,K23,"need group"),IF(Q23&gt;=5,"DIRECT","need group"))</f>
        <v/>
      </c>
      <c r="AC23" s="99">
        <f>IF($AB23="DIRECT",Q23,DCOUNT('[1]literature entries'!$D:$AI,IF($J23=1,"ACTIVE     GHGE, FARM GATE (kg CO2e/kg)","GHGE, processor gate (kg CO2e/kg)"),INDIRECT($AB23)))</f>
        <v/>
      </c>
      <c r="AD23" s="99">
        <f>IF($AB23="DIRECT","",DAVERAGE('[1]literature entries'!$D:$AI,IF($J23=1,"ACTIVE     GHGE, FARM GATE (kg CO2e/kg)","GHGE, processor gate (kg CO2e/kg)"),INDIRECT($AB23)))</f>
        <v/>
      </c>
      <c r="AE23" s="99">
        <f>IF($AB23="DIRECT",$S23,DSTDEV('[1]literature entries'!$D:$AI,IF($J23=1,"ACTIVE     GHGE, FARM GATE (kg CO2e/kg)","GHGE, processor gate (kg CO2e/kg)"),INDIRECT($AB23)))</f>
        <v/>
      </c>
      <c r="AF23" s="99">
        <f>IF($AB23="DIRECT",$S23,$AE23/$AD23*$R23)</f>
        <v/>
      </c>
    </row>
    <row r="24" ht="15.75" customHeight="1" s="201">
      <c r="A24" s="100" t="n">
        <v>103296000</v>
      </c>
      <c r="B24" s="101" t="inlineStr">
        <is>
          <t>Potato, chips</t>
        </is>
      </c>
      <c r="C24" s="114" t="inlineStr">
        <is>
          <t>weight of potato from chip or stick, with or without peel</t>
        </is>
      </c>
      <c r="D24" s="101" t="n"/>
      <c r="E24" s="101" t="n">
        <v>5284</v>
      </c>
      <c r="F24" s="84">
        <f>N24*H24+T24</f>
        <v/>
      </c>
      <c r="G24" s="85">
        <f>R24*H24+U24</f>
        <v/>
      </c>
      <c r="H24" s="102" t="n">
        <v>1</v>
      </c>
      <c r="I24" s="103" t="inlineStr">
        <is>
          <t>none</t>
        </is>
      </c>
      <c r="J24" s="104" t="n">
        <v>2</v>
      </c>
      <c r="K24" s="89" t="n"/>
      <c r="L24" s="90">
        <f>IF(ISERROR(GETPIVOTDATA(IF($J24=1,"Count of ACTIVE     CED, FARM GATE (MJ/kg)","Count of CED, processor gate (MJ/kg)"),'[1]Pivot Table_CED'!$A$3,"SUB TYPE",$B24)),"PROXY",IF(GETPIVOTDATA(IF($J24=1,"Count of ACTIVE     CED, FARM GATE (MJ/kg)","Count of CED, processor gate (MJ/kg)"),'[1]Pivot Table_CED'!$A$3,"SUB TYPE",$B24)=0,"PROXY","DB value"))</f>
        <v/>
      </c>
      <c r="M24" s="91">
        <f>IF($L24="PROXY",DCOUNT('[1]literature entries'!$D:$AI,IF($J24=1,"ACTIVE     CED, FARM GATE (MJ/kg)","CED, processor gate (MJ/kg)"),INDIRECT($K24)),GETPIVOTDATA(IF($J24=1,"Count of ACTIVE     CED, FARM GATE (MJ/kg)","Count of CED, processor gate (MJ/kg)"),'[1]Pivot Table_CED'!$A$3,"SUB TYPE",$B24))</f>
        <v/>
      </c>
      <c r="N24" s="92">
        <f>IF($L24="PROXY",DAVERAGE('[1]literature entries'!$D:$AI,IF($J24=1,"ACTIVE     CED, FARM GATE (MJ/kg)","CED, processor gate (MJ/kg)"),INDIRECT($K24)),GETPIVOTDATA(IF($J24=1,"Average of ACTIVE     CED, FARM GATE (MJ/kg)","Average of CED, processor gate (MJ/kg)"),'[1]Pivot Table_CED'!$A$3,"SUB TYPE",$B24))</f>
        <v/>
      </c>
      <c r="O24" s="92">
        <f>IF($L24="PROXY",DSTDEV('[1]literature entries'!D:AI,IF($J24=1,"ACTIVE     CED, FARM GATE (MJ/kg)","CED, processor gate (MJ/kg)"),INDIRECT($K24)),GETPIVOTDATA(IF($J24=1,"StdDev of ACTIVE     CED, FARM GATE (MJ/kg)","StdDev of CED, processor gate (MJ/kg)"),'[1]Pivot Table_CED'!$A$3,"SUB TYPE",$B24))</f>
        <v/>
      </c>
      <c r="P24" s="90">
        <f>IF(ISERROR(GETPIVOTDATA(IF($J24=1,"Count of ACTIVE     GHGE, FARM GATE (kg CO2e/kg)","Count of GHGE, processor gate (kg CO2e/kg)"),'[1]Pivot Table_GHG'!$A$3,"SUB TYPE",$B24)),"PROXY",IF(GETPIVOTDATA(IF($J24=1,"Count of ACTIVE     GHGE, FARM GATE (kg CO2e/kg)","Count of GHGE, processor gate (kg CO2e/kg)"),'[1]Pivot Table_GHG'!$A$3,"SUB TYPE",$B24)=0,"PROXY","DB value"))</f>
        <v/>
      </c>
      <c r="Q24" s="93">
        <f>IF($P24="PROXY",DCOUNT('[1]literature entries'!$D:$AI,IF($J24=1,"ACTIVE     GHGE, FARM GATE (kg CO2e/kg)","GHGE, processor gate (kg CO2e/kg)"),INDIRECT($K24)),GETPIVOTDATA(IF($J24=1,"ACTIVE     GHGE, FARM GATE (kg CO2e/kg)","Count of GHGE, processor gate (kg CO2e/kg)"),'[1]Pivot Table_GHG'!$A$3,"SUB TYPE",$B24))</f>
        <v/>
      </c>
      <c r="R24" s="94">
        <f>IF($P24="PROXY",DAVERAGE('[1]literature entries'!$D:$AI,IF($J24=1,"ACTIVE     GHGE, FARM GATE (kg CO2e/kg)","GHGE, processor gate (kg CO2e/kg)"),INDIRECT($K24)),GETPIVOTDATA(IF($J24=1,"Average of ACTIVE     GHGE, FARM GATE (kg CO2e/kg)","Average of GHGE, processor gate (kg CO2e/kg)"),'[1]Pivot Table_GHG'!$A$3,"SUB TYPE",$B24))</f>
        <v/>
      </c>
      <c r="S24" s="94">
        <f>IF($P24="PROXY",DSTDEV('[1]literature entries'!$D:$AI,IF($J24=1,"ACTIVE     GHGE, FARM GATE (kg CO2e/kg)","GHGE, processor gate (kg CO2e/kg)"),INDIRECT($K24)),GETPIVOTDATA(IF($J24=1,"StdDev of ACTIVE     GHGE, FARM GATE (kg CO2e/kg)","StdDev of GHGE, processor gate (kg CO2e/kg)"),'[1]Pivot Table_GHG'!$A$3,"SUB TYPE",$B24))</f>
        <v/>
      </c>
      <c r="T24" s="105" t="n"/>
      <c r="U24" s="106" t="n"/>
      <c r="V24" s="97" t="n"/>
      <c r="W24" s="110" t="inlineStr">
        <is>
          <t>roots</t>
        </is>
      </c>
      <c r="X24" s="98">
        <f t="array" ref="X24">IF($W24="DIRECT",M24,DCOUNT('[1]literature entries'!$D:$AI,"ACTIVE     CED, FARM GATE (MJ/kg)",INDIRECT($W24)))</f>
        <v/>
      </c>
      <c r="Y24" s="98">
        <f t="array" ref="Y24">IF($W24="DIRECT","",DAVERAGE('[1]literature entries'!$D:$AI,"ACTIVE     CED, FARM GATE (MJ/kg)",INDIRECT($W24)))</f>
        <v/>
      </c>
      <c r="Z24" s="98">
        <f t="array" ref="Z24">IF($W24="DIRECT",$O24,DSTDEV('[1]literature entries'!$D:$AI,"ACTIVE     CED, FARM GATE (MJ/kg)",INDIRECT($W24)))</f>
        <v/>
      </c>
      <c r="AA24" s="98">
        <f>IF($W24="DIRECT",$O24,$Z24/$Y24*$N24)</f>
        <v/>
      </c>
      <c r="AB24" s="110" t="inlineStr">
        <is>
          <t>potato</t>
        </is>
      </c>
      <c r="AC24" s="99">
        <f t="array" ref="AC24">IF($AB24="DIRECT",Q24,DCOUNT('[1]literature entries'!$D:$AI,"ACTIVE     GHGE, FARM GATE (kg CO2e/kg)",INDIRECT($AB24)))</f>
        <v/>
      </c>
      <c r="AD24" s="99">
        <f t="array" ref="AD24">IF($AB24="DIRECT","",DAVERAGE('[1]literature entries'!$D:$AI,"ACTIVE     GHGE, FARM GATE (kg CO2e/kg)",INDIRECT($AB24)))</f>
        <v/>
      </c>
      <c r="AE24" s="99">
        <f t="array" ref="AE24">IF($AB24="DIRECT",$S24,DSTDEV('[1]literature entries'!$D:$AI,"ACTIVE     GHGE, FARM GATE (kg CO2e/kg)",INDIRECT($AB24)))</f>
        <v/>
      </c>
      <c r="AF24" s="99">
        <f>IF($AB24="DIRECT",$S24,$AE24/$AD24*$R24)</f>
        <v/>
      </c>
    </row>
    <row r="25" ht="15.75" customHeight="1" s="201">
      <c r="A25" s="100" t="n">
        <v>103297000</v>
      </c>
      <c r="B25" s="101" t="inlineStr">
        <is>
          <t>Potato, dry (granules/ flakes)</t>
        </is>
      </c>
      <c r="C25" s="101" t="inlineStr">
        <is>
          <t>dry weight of granules or flakes</t>
        </is>
      </c>
      <c r="D25" s="101" t="n"/>
      <c r="E25" s="101" t="n">
        <v>2131</v>
      </c>
      <c r="F25" s="84">
        <f>N25*H25+T25</f>
        <v/>
      </c>
      <c r="G25" s="85">
        <f>R25*H25+U25</f>
        <v/>
      </c>
      <c r="H25" s="102" t="n">
        <v>6.02</v>
      </c>
      <c r="I25" s="103" t="inlineStr">
        <is>
          <t>FICRCD</t>
        </is>
      </c>
      <c r="J25" s="104" t="n">
        <v>1</v>
      </c>
      <c r="K25" s="89" t="inlineStr">
        <is>
          <t>potato</t>
        </is>
      </c>
      <c r="L25" s="90">
        <f>IF(ISERROR(GETPIVOTDATA(IF($J25=1,"Count of ACTIVE     CED, FARM GATE (MJ/kg)","Count of CED, processor gate (MJ/kg)"),'[1]Pivot Table_CED'!$A$3,"SUB TYPE",$B25)),"PROXY",IF(GETPIVOTDATA(IF($J25=1,"Count of ACTIVE     CED, FARM GATE (MJ/kg)","Count of CED, processor gate (MJ/kg)"),'[1]Pivot Table_CED'!$A$3,"SUB TYPE",$B25)=0,"PROXY","DB value"))</f>
        <v/>
      </c>
      <c r="M25" s="91">
        <f>IF($L25="PROXY",DCOUNT('[1]literature entries'!$D:$AI,IF($J25=1,"ACTIVE     CED, FARM GATE (MJ/kg)","CED, processor gate (MJ/kg)"),INDIRECT($K25)),GETPIVOTDATA(IF($J25=1,"Count of ACTIVE     CED, FARM GATE (MJ/kg)","Count of CED, processor gate (MJ/kg)"),'[1]Pivot Table_CED'!$A$3,"SUB TYPE",$B25))</f>
        <v/>
      </c>
      <c r="N25" s="92">
        <f>IF($L25="PROXY",DAVERAGE('[1]literature entries'!$D:$AI,IF($J25=1,"ACTIVE     CED, FARM GATE (MJ/kg)","CED, processor gate (MJ/kg)"),INDIRECT($K25)),GETPIVOTDATA(IF($J25=1,"Average of ACTIVE     CED, FARM GATE (MJ/kg)","Average of CED, processor gate (MJ/kg)"),'[1]Pivot Table_CED'!$A$3,"SUB TYPE",$B25))</f>
        <v/>
      </c>
      <c r="O25" s="92">
        <f>IF($L25="PROXY",DSTDEV('[1]literature entries'!D:AI,IF($J25=1,"ACTIVE     CED, FARM GATE (MJ/kg)","CED, processor gate (MJ/kg)"),INDIRECT($K25)),GETPIVOTDATA(IF($J25=1,"StdDev of ACTIVE     CED, FARM GATE (MJ/kg)","StdDev of CED, processor gate (MJ/kg)"),'[1]Pivot Table_CED'!$A$3,"SUB TYPE",$B25))</f>
        <v/>
      </c>
      <c r="P25" s="90">
        <f>IF(ISERROR(GETPIVOTDATA(IF($J25=1,"Count of ACTIVE     GHGE, FARM GATE (kg CO2e/kg)","Count of GHGE, processor gate (kg CO2e/kg)"),'[1]Pivot Table_GHG'!$A$3,"SUB TYPE",$B25)),"PROXY",IF(GETPIVOTDATA(IF($J25=1,"Count of ACTIVE     GHGE, FARM GATE (kg CO2e/kg)","Count of GHGE, processor gate (kg CO2e/kg)"),'[1]Pivot Table_GHG'!$A$3,"SUB TYPE",$B25)=0,"PROXY","DB value"))</f>
        <v/>
      </c>
      <c r="Q25" s="93">
        <f>IF($P25="PROXY",DCOUNT('[1]literature entries'!$D:$AI,IF($J25=1,"ACTIVE     GHGE, FARM GATE (kg CO2e/kg)","GHGE, processor gate (kg CO2e/kg)"),INDIRECT($K25)),GETPIVOTDATA(IF($J25=1,"ACTIVE     GHGE, FARM GATE (kg CO2e/kg)","Count of GHGE, processor gate (kg CO2e/kg)"),'[1]Pivot Table_GHG'!$A$3,"SUB TYPE",$B25))</f>
        <v/>
      </c>
      <c r="R25" s="94">
        <f>IF($P25="PROXY",DAVERAGE('[1]literature entries'!$D:$AI,IF($J25=1,"ACTIVE     GHGE, FARM GATE (kg CO2e/kg)","GHGE, processor gate (kg CO2e/kg)"),INDIRECT($K25)),GETPIVOTDATA(IF($J25=1,"Average of ACTIVE     GHGE, FARM GATE (kg CO2e/kg)","Average of GHGE, processor gate (kg CO2e/kg)"),'[1]Pivot Table_GHG'!$A$3,"SUB TYPE",$B25))</f>
        <v/>
      </c>
      <c r="S25" s="94">
        <f>IF($P25="PROXY",DSTDEV('[1]literature entries'!$D:$AI,IF($J25=1,"ACTIVE     GHGE, FARM GATE (kg CO2e/kg)","GHGE, processor gate (kg CO2e/kg)"),INDIRECT($K25)),GETPIVOTDATA(IF($J25=1,"StdDev of ACTIVE     GHGE, FARM GATE (kg CO2e/kg)","StdDev of GHGE, processor gate (kg CO2e/kg)"),'[1]Pivot Table_GHG'!$A$3,"SUB TYPE",$B25))</f>
        <v/>
      </c>
      <c r="T25" s="105" t="n"/>
      <c r="U25" s="106" t="n"/>
      <c r="V25" s="97" t="n"/>
      <c r="W25" s="98" t="inlineStr">
        <is>
          <t>roots</t>
        </is>
      </c>
      <c r="X25" s="98">
        <f t="array" ref="X25">IF($W25="DIRECT",M25,DCOUNT('[1]literature entries'!$D:$AI,IF($J25=1,"ACTIVE     CED, FARM GATE (MJ/kg)","CED, processor gate (MJ/kg)"),INDIRECT($W25)))</f>
        <v/>
      </c>
      <c r="Y25" s="98">
        <f t="array" ref="Y25">IF($W25="DIRECT","",DAVERAGE('[1]literature entries'!$D:$AI,IF($J25=1,"ACTIVE     CED, FARM GATE (MJ/kg)","CED, processor gate (MJ/kg)"),INDIRECT($W25)))</f>
        <v/>
      </c>
      <c r="Z25" s="98">
        <f t="array" ref="Z25">IF($W25="DIRECT",$O25,DSTDEV('[1]literature entries'!$D:$AI,IF($J25=1,"ACTIVE     CED, FARM GATE (MJ/kg)","CED, processor gate (MJ/kg)"),INDIRECT($W25)))</f>
        <v/>
      </c>
      <c r="AA25" s="98">
        <f>IF($W25="DIRECT",$O25,$Z25/$Y25*$N25)</f>
        <v/>
      </c>
      <c r="AB25" s="99">
        <f>IF(P25="PROXY",IF(Q25&gt;=5,K25,"need group"),IF(Q25&gt;=5,"DIRECT","need group"))</f>
        <v/>
      </c>
      <c r="AC25" s="99">
        <f t="array" ref="AC25">IF($AB25="DIRECT",Q25,DCOUNT('[1]literature entries'!$D:$AI,IF($J25=1,"ACTIVE     GHGE, FARM GATE (kg CO2e/kg)","GHGE, processor gate (kg CO2e/kg)"),INDIRECT($AB25)))</f>
        <v/>
      </c>
      <c r="AD25" s="99">
        <f t="array" ref="AD25">IF($AB25="DIRECT","",DAVERAGE('[1]literature entries'!$D:$AI,IF($J25=1,"ACTIVE     GHGE, FARM GATE (kg CO2e/kg)","GHGE, processor gate (kg CO2e/kg)"),INDIRECT($AB25)))</f>
        <v/>
      </c>
      <c r="AE25" s="99">
        <f t="array" ref="AE25">IF($AB25="DIRECT",$S25,DSTDEV('[1]literature entries'!$D:$AI,IF($J25=1,"ACTIVE     GHGE, FARM GATE (kg CO2e/kg)","GHGE, processor gate (kg CO2e/kg)"),INDIRECT($AB25)))</f>
        <v/>
      </c>
      <c r="AF25" s="99">
        <f>IF($AB25="DIRECT",$S25,$AE25/$AD25*$R25)</f>
        <v/>
      </c>
    </row>
    <row r="26" ht="15.75" customHeight="1" s="201">
      <c r="A26" s="100" t="n">
        <v>103298000</v>
      </c>
      <c r="B26" s="101" t="inlineStr">
        <is>
          <t>Potato, flour</t>
        </is>
      </c>
      <c r="C26" s="101" t="inlineStr">
        <is>
          <t>dry weight of flour or potato starch</t>
        </is>
      </c>
      <c r="D26" s="101" t="n"/>
      <c r="E26" s="101" t="n">
        <v>27032</v>
      </c>
      <c r="F26" s="84">
        <f>N26*H26+T26</f>
        <v/>
      </c>
      <c r="G26" s="85">
        <f>R26*H26+U26</f>
        <v/>
      </c>
      <c r="H26" s="102" t="n">
        <v>1</v>
      </c>
      <c r="I26" s="103" t="inlineStr">
        <is>
          <t>none</t>
        </is>
      </c>
      <c r="J26" s="104" t="n">
        <v>2</v>
      </c>
      <c r="K26" s="89" t="n"/>
      <c r="L26" s="90">
        <f>IF(ISERROR(GETPIVOTDATA(IF($J26=1,"Count of ACTIVE     CED, FARM GATE (MJ/kg)","Count of CED, processor gate (MJ/kg)"),'[1]Pivot Table_CED'!$A$3,"SUB TYPE",$B26)),"PROXY",IF(GETPIVOTDATA(IF($J26=1,"Count of ACTIVE     CED, FARM GATE (MJ/kg)","Count of CED, processor gate (MJ/kg)"),'[1]Pivot Table_CED'!$A$3,"SUB TYPE",$B26)=0,"PROXY","DB value"))</f>
        <v/>
      </c>
      <c r="M26" s="91">
        <f>IF($L26="PROXY",DCOUNT('[1]literature entries'!$D:$AI,IF($J26=1,"ACTIVE     CED, FARM GATE (MJ/kg)","CED, processor gate (MJ/kg)"),INDIRECT($K26)),GETPIVOTDATA(IF($J26=1,"Count of ACTIVE     CED, FARM GATE (MJ/kg)","Count of CED, processor gate (MJ/kg)"),'[1]Pivot Table_CED'!$A$3,"SUB TYPE",$B26))</f>
        <v/>
      </c>
      <c r="N26" s="92">
        <f>IF($L26="PROXY",DAVERAGE('[1]literature entries'!$D:$AI,IF($J26=1,"ACTIVE     CED, FARM GATE (MJ/kg)","CED, processor gate (MJ/kg)"),INDIRECT($K26)),GETPIVOTDATA(IF($J26=1,"Average of ACTIVE     CED, FARM GATE (MJ/kg)","Average of CED, processor gate (MJ/kg)"),'[1]Pivot Table_CED'!$A$3,"SUB TYPE",$B26))</f>
        <v/>
      </c>
      <c r="O26" s="92">
        <f>IF($L26="PROXY",DSTDEV('[1]literature entries'!D:AI,IF($J26=1,"ACTIVE     CED, FARM GATE (MJ/kg)","CED, processor gate (MJ/kg)"),INDIRECT($K26)),GETPIVOTDATA(IF($J26=1,"StdDev of ACTIVE     CED, FARM GATE (MJ/kg)","StdDev of CED, processor gate (MJ/kg)"),'[1]Pivot Table_CED'!$A$3,"SUB TYPE",$B26))</f>
        <v/>
      </c>
      <c r="P26" s="90">
        <f>IF(ISERROR(GETPIVOTDATA(IF($J26=1,"Count of ACTIVE     GHGE, FARM GATE (kg CO2e/kg)","Count of GHGE, processor gate (kg CO2e/kg)"),'[1]Pivot Table_GHG'!$A$3,"SUB TYPE",$B26)),"PROXY",IF(GETPIVOTDATA(IF($J26=1,"Count of ACTIVE     GHGE, FARM GATE (kg CO2e/kg)","Count of GHGE, processor gate (kg CO2e/kg)"),'[1]Pivot Table_GHG'!$A$3,"SUB TYPE",$B26)=0,"PROXY","DB value"))</f>
        <v/>
      </c>
      <c r="Q26" s="93">
        <f>IF($P26="PROXY",DCOUNT('[1]literature entries'!$D:$AI,IF($J26=1,"ACTIVE     GHGE, FARM GATE (kg CO2e/kg)","GHGE, processor gate (kg CO2e/kg)"),INDIRECT($K26)),GETPIVOTDATA(IF($J26=1,"ACTIVE     GHGE, FARM GATE (kg CO2e/kg)","Count of GHGE, processor gate (kg CO2e/kg)"),'[1]Pivot Table_GHG'!$A$3,"SUB TYPE",$B26))</f>
        <v/>
      </c>
      <c r="R26" s="94">
        <f>IF($P26="PROXY",DAVERAGE('[1]literature entries'!$D:$AI,IF($J26=1,"ACTIVE     GHGE, FARM GATE (kg CO2e/kg)","GHGE, processor gate (kg CO2e/kg)"),INDIRECT($K26)),GETPIVOTDATA(IF($J26=1,"Average of ACTIVE     GHGE, FARM GATE (kg CO2e/kg)","Average of GHGE, processor gate (kg CO2e/kg)"),'[1]Pivot Table_GHG'!$A$3,"SUB TYPE",$B26))</f>
        <v/>
      </c>
      <c r="S26" s="94">
        <f>IF($P26="PROXY",DSTDEV('[1]literature entries'!$D:$AI,IF($J26=1,"ACTIVE     GHGE, FARM GATE (kg CO2e/kg)","GHGE, processor gate (kg CO2e/kg)"),INDIRECT($K26)),GETPIVOTDATA(IF($J26=1,"StdDev of ACTIVE     GHGE, FARM GATE (kg CO2e/kg)","StdDev of GHGE, processor gate (kg CO2e/kg)"),'[1]Pivot Table_GHG'!$A$3,"SUB TYPE",$B26))</f>
        <v/>
      </c>
      <c r="T26" s="105" t="n"/>
      <c r="U26" s="106" t="n"/>
      <c r="V26" s="97" t="n"/>
      <c r="W26" s="110" t="inlineStr">
        <is>
          <t>roots</t>
        </is>
      </c>
      <c r="X26" s="98">
        <f t="array" ref="X26">IF($W26="DIRECT",M26,DCOUNT('[1]literature entries'!$D:$AI,"ACTIVE     CED, FARM GATE (MJ/kg)",INDIRECT($W26)))</f>
        <v/>
      </c>
      <c r="Y26" s="98">
        <f t="array" ref="Y26">IF($W26="DIRECT","",DAVERAGE('[1]literature entries'!$D:$AI,"ACTIVE     CED, FARM GATE (MJ/kg)",INDIRECT($W26)))</f>
        <v/>
      </c>
      <c r="Z26" s="98">
        <f t="array" ref="Z26">IF($W26="DIRECT",$O26,DSTDEV('[1]literature entries'!$D:$AI,"ACTIVE     CED, FARM GATE (MJ/kg)",INDIRECT($W26)))</f>
        <v/>
      </c>
      <c r="AA26" s="98">
        <f>IF($W26="DIRECT",$O26,$Z26/$Y26*$N26)</f>
        <v/>
      </c>
      <c r="AB26" s="110" t="inlineStr">
        <is>
          <t>potato</t>
        </is>
      </c>
      <c r="AC26" s="99">
        <f t="array" ref="AC26">IF($AB26="DIRECT",Q26,DCOUNT('[1]literature entries'!$D:$AI,"ACTIVE     GHGE, FARM GATE (kg CO2e/kg)",INDIRECT($AB26)))</f>
        <v/>
      </c>
      <c r="AD26" s="99">
        <f t="array" ref="AD26">IF($AB26="DIRECT","",DAVERAGE('[1]literature entries'!$D:$AI,"ACTIVE     GHGE, FARM GATE (kg CO2e/kg)",INDIRECT($AB26)))</f>
        <v/>
      </c>
      <c r="AE26" s="99">
        <f t="array" ref="AE26">IF($AB26="DIRECT",$S26,DSTDEV('[1]literature entries'!$D:$AI,"ACTIVE     GHGE, FARM GATE (kg CO2e/kg)",INDIRECT($AB26)))</f>
        <v/>
      </c>
      <c r="AF26" s="99">
        <f>IF($AB26="DIRECT",$S26,$AE26/$AD26*$R26)</f>
        <v/>
      </c>
    </row>
    <row r="27" ht="15.75" customHeight="1" s="201">
      <c r="A27" s="100" t="n">
        <v>103299000</v>
      </c>
      <c r="B27" s="101" t="inlineStr">
        <is>
          <t>Potato, tuber, w/peel</t>
        </is>
      </c>
      <c r="C27" s="101" t="inlineStr">
        <is>
          <t>weight of tuber;  including peel</t>
        </is>
      </c>
      <c r="D27" s="101" t="n"/>
      <c r="E27" s="101" t="n">
        <v>2630</v>
      </c>
      <c r="F27" s="84">
        <f>N27*H27+T27</f>
        <v/>
      </c>
      <c r="G27" s="85">
        <f>R27*H27+U27</f>
        <v/>
      </c>
      <c r="H27" s="102" t="n">
        <v>1</v>
      </c>
      <c r="I27" s="103" t="inlineStr">
        <is>
          <t>none</t>
        </is>
      </c>
      <c r="J27" s="104" t="n">
        <v>1</v>
      </c>
      <c r="K27" s="89" t="n"/>
      <c r="L27" s="90">
        <f>IF(ISERROR(GETPIVOTDATA(IF($J27=1,"Count of ACTIVE     CED, FARM GATE (MJ/kg)","Count of CED, processor gate (MJ/kg)"),'[1]Pivot Table_CED'!$A$3,"SUB TYPE",$B27)),"PROXY",IF(GETPIVOTDATA(IF($J27=1,"Count of ACTIVE     CED, FARM GATE (MJ/kg)","Count of CED, processor gate (MJ/kg)"),'[1]Pivot Table_CED'!$A$3,"SUB TYPE",$B27)=0,"PROXY","DB value"))</f>
        <v/>
      </c>
      <c r="M27" s="91">
        <f>IF($L27="PROXY",DCOUNT('[1]literature entries'!$D:$AI,IF($J27=1,"ACTIVE     CED, FARM GATE (MJ/kg)","CED, processor gate (MJ/kg)"),INDIRECT($K27)),GETPIVOTDATA(IF($J27=1,"Count of ACTIVE     CED, FARM GATE (MJ/kg)","Count of CED, processor gate (MJ/kg)"),'[1]Pivot Table_CED'!$A$3,"SUB TYPE",$B27))</f>
        <v/>
      </c>
      <c r="N27" s="92">
        <f>IF($L27="PROXY",DAVERAGE('[1]literature entries'!$D:$AI,IF($J27=1,"ACTIVE     CED, FARM GATE (MJ/kg)","CED, processor gate (MJ/kg)"),INDIRECT($K27)),GETPIVOTDATA(IF($J27=1,"Average of ACTIVE     CED, FARM GATE (MJ/kg)","Average of CED, processor gate (MJ/kg)"),'[1]Pivot Table_CED'!$A$3,"SUB TYPE",$B27))</f>
        <v/>
      </c>
      <c r="O27" s="92">
        <f>IF($L27="PROXY",DSTDEV('[1]literature entries'!D:AI,IF($J27=1,"ACTIVE     CED, FARM GATE (MJ/kg)","CED, processor gate (MJ/kg)"),INDIRECT($K27)),GETPIVOTDATA(IF($J27=1,"StdDev of ACTIVE     CED, FARM GATE (MJ/kg)","StdDev of CED, processor gate (MJ/kg)"),'[1]Pivot Table_CED'!$A$3,"SUB TYPE",$B27))</f>
        <v/>
      </c>
      <c r="P27" s="90">
        <f>IF(ISERROR(GETPIVOTDATA(IF($J27=1,"Count of ACTIVE     GHGE, FARM GATE (kg CO2e/kg)","Count of GHGE, processor gate (kg CO2e/kg)"),'[1]Pivot Table_GHG'!$A$3,"SUB TYPE",$B27)),"PROXY",IF(GETPIVOTDATA(IF($J27=1,"Count of ACTIVE     GHGE, FARM GATE (kg CO2e/kg)","Count of GHGE, processor gate (kg CO2e/kg)"),'[1]Pivot Table_GHG'!$A$3,"SUB TYPE",$B27)=0,"PROXY","DB value"))</f>
        <v/>
      </c>
      <c r="Q27" s="93">
        <f>IF($P27="PROXY",DCOUNT('[1]literature entries'!$D:$AI,IF($J27=1,"ACTIVE     GHGE, FARM GATE (kg CO2e/kg)","GHGE, processor gate (kg CO2e/kg)"),INDIRECT($K27)),GETPIVOTDATA(IF($J27=1,"ACTIVE     GHGE, FARM GATE (kg CO2e/kg)","Count of GHGE, processor gate (kg CO2e/kg)"),'[1]Pivot Table_GHG'!$A$3,"SUB TYPE",$B27))</f>
        <v/>
      </c>
      <c r="R27" s="94">
        <f>IF($P27="PROXY",DAVERAGE('[1]literature entries'!$D:$AI,IF($J27=1,"ACTIVE     GHGE, FARM GATE (kg CO2e/kg)","GHGE, processor gate (kg CO2e/kg)"),INDIRECT($K27)),GETPIVOTDATA(IF($J27=1,"Average of ACTIVE     GHGE, FARM GATE (kg CO2e/kg)","Average of GHGE, processor gate (kg CO2e/kg)"),'[1]Pivot Table_GHG'!$A$3,"SUB TYPE",$B27))</f>
        <v/>
      </c>
      <c r="S27" s="94">
        <f>IF($P27="PROXY",DSTDEV('[1]literature entries'!$D:$AI,IF($J27=1,"ACTIVE     GHGE, FARM GATE (kg CO2e/kg)","GHGE, processor gate (kg CO2e/kg)"),INDIRECT($K27)),GETPIVOTDATA(IF($J27=1,"StdDev of ACTIVE     GHGE, FARM GATE (kg CO2e/kg)","StdDev of GHGE, processor gate (kg CO2e/kg)"),'[1]Pivot Table_GHG'!$A$3,"SUB TYPE",$B27))</f>
        <v/>
      </c>
      <c r="T27" s="105" t="n"/>
      <c r="U27" s="106" t="n"/>
      <c r="V27" s="97" t="n"/>
      <c r="W27" s="98">
        <f>IF(L27="PROXY",IF(M27&gt;=5,K27,"need group"),IF(M27&gt;=5,"DIRECT","need group"))</f>
        <v/>
      </c>
      <c r="X27" s="98">
        <f>IF($W27="DIRECT",M27,DCOUNT('[1]literature entries'!$D:$AI,IF($J27=1,"ACTIVE     CED, FARM GATE (MJ/kg)","CED, processor gate (MJ/kg)"),INDIRECT($W27)))</f>
        <v/>
      </c>
      <c r="Y27" s="98">
        <f>IF($W27="DIRECT","",DAVERAGE('[1]literature entries'!$D:$AI,IF($J27=1,"ACTIVE     CED, FARM GATE (MJ/kg)","CED, processor gate (MJ/kg)"),INDIRECT($W27)))</f>
        <v/>
      </c>
      <c r="Z27" s="98">
        <f>IF($W27="DIRECT",$O27,DSTDEV('[1]literature entries'!$D:$AI,IF($J27=1,"ACTIVE     CED, FARM GATE (MJ/kg)","CED, processor gate (MJ/kg)"),INDIRECT($W27)))</f>
        <v/>
      </c>
      <c r="AA27" s="98">
        <f>IF($W27="DIRECT",$O27,$Z27/$Y27*$N27)</f>
        <v/>
      </c>
      <c r="AB27" s="99">
        <f>IF(P27="PROXY",IF(Q27&gt;=5,K27,"need group"),IF(Q27&gt;=5,"DIRECT","need group"))</f>
        <v/>
      </c>
      <c r="AC27" s="99">
        <f>IF($AB27="DIRECT",Q27,DCOUNT('[1]literature entries'!$D:$AI,IF($J27=1,"ACTIVE     GHGE, FARM GATE (kg CO2e/kg)","GHGE, processor gate (kg CO2e/kg)"),INDIRECT($AB27)))</f>
        <v/>
      </c>
      <c r="AD27" s="99">
        <f>IF($AB27="DIRECT","",DAVERAGE('[1]literature entries'!$D:$AI,IF($J27=1,"ACTIVE     GHGE, FARM GATE (kg CO2e/kg)","GHGE, processor gate (kg CO2e/kg)"),INDIRECT($AB27)))</f>
        <v/>
      </c>
      <c r="AE27" s="99">
        <f>IF($AB27="DIRECT",$S27,DSTDEV('[1]literature entries'!$D:$AI,IF($J27=1,"ACTIVE     GHGE, FARM GATE (kg CO2e/kg)","GHGE, processor gate (kg CO2e/kg)"),INDIRECT($AB27)))</f>
        <v/>
      </c>
      <c r="AF27" s="99">
        <f>IF($AB27="DIRECT",$S27,$AE27/$AD27*$R27)</f>
        <v/>
      </c>
    </row>
    <row r="28" ht="15.75" customHeight="1" s="201">
      <c r="A28" s="100" t="n">
        <v>103300000</v>
      </c>
      <c r="B28" s="101" t="inlineStr">
        <is>
          <t>Potato, tuber, w/o peel</t>
        </is>
      </c>
      <c r="C28" s="101" t="inlineStr">
        <is>
          <t>weight of tuber;  excluding peel</t>
        </is>
      </c>
      <c r="D28" s="101" t="n"/>
      <c r="E28" s="101" t="n">
        <v>15758</v>
      </c>
      <c r="F28" s="84">
        <f>N28*H28+T28</f>
        <v/>
      </c>
      <c r="G28" s="85">
        <f>R28*H28+U28</f>
        <v/>
      </c>
      <c r="H28" s="102" t="n">
        <v>1.33</v>
      </c>
      <c r="I28" s="103" t="inlineStr">
        <is>
          <t>FICRCD</t>
        </is>
      </c>
      <c r="J28" s="104" t="n">
        <v>1</v>
      </c>
      <c r="K28" s="89" t="inlineStr">
        <is>
          <t>potato</t>
        </is>
      </c>
      <c r="L28" s="90">
        <f>IF(ISERROR(GETPIVOTDATA(IF($J28=1,"Count of ACTIVE     CED, FARM GATE (MJ/kg)","Count of CED, processor gate (MJ/kg)"),'[1]Pivot Table_CED'!$A$3,"SUB TYPE",$B28)),"PROXY",IF(GETPIVOTDATA(IF($J28=1,"Count of ACTIVE     CED, FARM GATE (MJ/kg)","Count of CED, processor gate (MJ/kg)"),'[1]Pivot Table_CED'!$A$3,"SUB TYPE",$B28)=0,"PROXY","DB value"))</f>
        <v/>
      </c>
      <c r="M28" s="91">
        <f>IF($L28="PROXY",DCOUNT('[1]literature entries'!$D:$AI,IF($J28=1,"ACTIVE     CED, FARM GATE (MJ/kg)","CED, processor gate (MJ/kg)"),INDIRECT($K28)),GETPIVOTDATA(IF($J28=1,"Count of ACTIVE     CED, FARM GATE (MJ/kg)","Count of CED, processor gate (MJ/kg)"),'[1]Pivot Table_CED'!$A$3,"SUB TYPE",$B28))</f>
        <v/>
      </c>
      <c r="N28" s="92">
        <f>IF($L28="PROXY",DAVERAGE('[1]literature entries'!$D:$AI,IF($J28=1,"ACTIVE     CED, FARM GATE (MJ/kg)","CED, processor gate (MJ/kg)"),INDIRECT($K28)),GETPIVOTDATA(IF($J28=1,"Average of ACTIVE     CED, FARM GATE (MJ/kg)","Average of CED, processor gate (MJ/kg)"),'[1]Pivot Table_CED'!$A$3,"SUB TYPE",$B28))</f>
        <v/>
      </c>
      <c r="O28" s="92">
        <f>IF($L28="PROXY",DSTDEV('[1]literature entries'!D:AI,IF($J28=1,"ACTIVE     CED, FARM GATE (MJ/kg)","CED, processor gate (MJ/kg)"),INDIRECT($K28)),GETPIVOTDATA(IF($J28=1,"StdDev of ACTIVE     CED, FARM GATE (MJ/kg)","StdDev of CED, processor gate (MJ/kg)"),'[1]Pivot Table_CED'!$A$3,"SUB TYPE",$B28))</f>
        <v/>
      </c>
      <c r="P28" s="90">
        <f>IF(ISERROR(GETPIVOTDATA(IF($J28=1,"Count of ACTIVE     GHGE, FARM GATE (kg CO2e/kg)","Count of GHGE, processor gate (kg CO2e/kg)"),'[1]Pivot Table_GHG'!$A$3,"SUB TYPE",$B28)),"PROXY",IF(GETPIVOTDATA(IF($J28=1,"Count of ACTIVE     GHGE, FARM GATE (kg CO2e/kg)","Count of GHGE, processor gate (kg CO2e/kg)"),'[1]Pivot Table_GHG'!$A$3,"SUB TYPE",$B28)=0,"PROXY","DB value"))</f>
        <v/>
      </c>
      <c r="Q28" s="93">
        <f>IF($P28="PROXY",DCOUNT('[1]literature entries'!$D:$AI,IF($J28=1,"ACTIVE     GHGE, FARM GATE (kg CO2e/kg)","GHGE, processor gate (kg CO2e/kg)"),INDIRECT($K28)),GETPIVOTDATA(IF($J28=1,"ACTIVE     GHGE, FARM GATE (kg CO2e/kg)","Count of GHGE, processor gate (kg CO2e/kg)"),'[1]Pivot Table_GHG'!$A$3,"SUB TYPE",$B28))</f>
        <v/>
      </c>
      <c r="R28" s="94">
        <f>IF($P28="PROXY",DAVERAGE('[1]literature entries'!$D:$AI,IF($J28=1,"ACTIVE     GHGE, FARM GATE (kg CO2e/kg)","GHGE, processor gate (kg CO2e/kg)"),INDIRECT($K28)),GETPIVOTDATA(IF($J28=1,"Average of ACTIVE     GHGE, FARM GATE (kg CO2e/kg)","Average of GHGE, processor gate (kg CO2e/kg)"),'[1]Pivot Table_GHG'!$A$3,"SUB TYPE",$B28))</f>
        <v/>
      </c>
      <c r="S28" s="94">
        <f>IF($P28="PROXY",DSTDEV('[1]literature entries'!$D:$AI,IF($J28=1,"ACTIVE     GHGE, FARM GATE (kg CO2e/kg)","GHGE, processor gate (kg CO2e/kg)"),INDIRECT($K28)),GETPIVOTDATA(IF($J28=1,"StdDev of ACTIVE     GHGE, FARM GATE (kg CO2e/kg)","StdDev of GHGE, processor gate (kg CO2e/kg)"),'[1]Pivot Table_GHG'!$A$3,"SUB TYPE",$B28))</f>
        <v/>
      </c>
      <c r="T28" s="105" t="n"/>
      <c r="U28" s="106" t="n"/>
      <c r="V28" s="97" t="n"/>
      <c r="W28" s="98">
        <f>IF(L28="PROXY",IF(M28&gt;=5,K28,"need group"),IF(M28&gt;=5,"DIRECT","need group"))</f>
        <v/>
      </c>
      <c r="X28" s="98">
        <f>IF($W28="DIRECT",M28,DCOUNT('[1]literature entries'!$D:$AI,IF($J28=1,"ACTIVE     CED, FARM GATE (MJ/kg)","CED, processor gate (MJ/kg)"),INDIRECT($W28)))</f>
        <v/>
      </c>
      <c r="Y28" s="98">
        <f>IF($W28="DIRECT","",DAVERAGE('[1]literature entries'!$D:$AI,IF($J28=1,"ACTIVE     CED, FARM GATE (MJ/kg)","CED, processor gate (MJ/kg)"),INDIRECT($W28)))</f>
        <v/>
      </c>
      <c r="Z28" s="98">
        <f>IF($W28="DIRECT",$O28,DSTDEV('[1]literature entries'!$D:$AI,IF($J28=1,"ACTIVE     CED, FARM GATE (MJ/kg)","CED, processor gate (MJ/kg)"),INDIRECT($W28)))</f>
        <v/>
      </c>
      <c r="AA28" s="98">
        <f>IF($W28="DIRECT",$O28,$Z28/$Y28*$N28)</f>
        <v/>
      </c>
      <c r="AB28" s="99" t="inlineStr">
        <is>
          <t>potato</t>
        </is>
      </c>
      <c r="AC28" s="99">
        <f>IF($AB28="DIRECT",Q28,DCOUNT('[1]literature entries'!$D:$AI,IF($J28=1,"ACTIVE     GHGE, FARM GATE (kg CO2e/kg)","GHGE, processor gate (kg CO2e/kg)"),INDIRECT($AB28)))</f>
        <v/>
      </c>
      <c r="AD28" s="99">
        <f>IF($AB28="DIRECT","",DAVERAGE('[1]literature entries'!$D:$AI,IF($J28=1,"ACTIVE     GHGE, FARM GATE (kg CO2e/kg)","GHGE, processor gate (kg CO2e/kg)"),INDIRECT($AB28)))</f>
        <v/>
      </c>
      <c r="AE28" s="99">
        <f>IF($AB28="DIRECT",$S28,DSTDEV('[1]literature entries'!$D:$AI,IF($J28=1,"ACTIVE     GHGE, FARM GATE (kg CO2e/kg)","GHGE, processor gate (kg CO2e/kg)"),INDIRECT($AB28)))</f>
        <v/>
      </c>
      <c r="AF28" s="99">
        <f>IF($AB28="DIRECT",$S28,$AE28/$AD28*$R28)</f>
        <v/>
      </c>
    </row>
    <row r="29" ht="15.75" customHeight="1" s="201">
      <c r="A29" s="100" t="n">
        <v>103366000</v>
      </c>
      <c r="B29" s="101" t="inlineStr">
        <is>
          <t>Sweet potato</t>
        </is>
      </c>
      <c r="C29" s="101" t="inlineStr">
        <is>
          <t>weight of roots, with or without peel; juice</t>
        </is>
      </c>
      <c r="D29" s="101" t="n"/>
      <c r="E29" s="101" t="n">
        <v>825</v>
      </c>
      <c r="F29" s="84">
        <f>N29*H29+T29</f>
        <v/>
      </c>
      <c r="G29" s="85">
        <f>R29*H29+U29</f>
        <v/>
      </c>
      <c r="H29" s="102" t="n">
        <v>1.39</v>
      </c>
      <c r="I29" s="102" t="inlineStr">
        <is>
          <t>FICRCD</t>
        </is>
      </c>
      <c r="J29" s="104" t="n">
        <v>1</v>
      </c>
      <c r="K29" s="89" t="inlineStr">
        <is>
          <t>potato</t>
        </is>
      </c>
      <c r="L29" s="90">
        <f>IF(ISERROR(GETPIVOTDATA(IF($J29=1,"Count of ACTIVE     CED, FARM GATE (MJ/kg)","Count of CED, processor gate (MJ/kg)"),'[1]Pivot Table_CED'!$A$3,"SUB TYPE",$B29)),"PROXY",IF(GETPIVOTDATA(IF($J29=1,"Count of ACTIVE     CED, FARM GATE (MJ/kg)","Count of CED, processor gate (MJ/kg)"),'[1]Pivot Table_CED'!$A$3,"SUB TYPE",$B29)=0,"PROXY","DB value"))</f>
        <v/>
      </c>
      <c r="M29" s="91">
        <f>IF($L29="PROXY",DCOUNT('[1]literature entries'!$D:$AI,IF($J29=1,"ACTIVE     CED, FARM GATE (MJ/kg)","CED, processor gate (MJ/kg)"),INDIRECT($K29)),GETPIVOTDATA(IF($J29=1,"Count of ACTIVE     CED, FARM GATE (MJ/kg)","Count of CED, processor gate (MJ/kg)"),'[1]Pivot Table_CED'!$A$3,"SUB TYPE",$B29))</f>
        <v/>
      </c>
      <c r="N29" s="92">
        <f>IF($L29="PROXY",DAVERAGE('[1]literature entries'!$D:$AI,IF($J29=1,"ACTIVE     CED, FARM GATE (MJ/kg)","CED, processor gate (MJ/kg)"),INDIRECT($K29)),GETPIVOTDATA(IF($J29=1,"Average of ACTIVE     CED, FARM GATE (MJ/kg)","Average of CED, processor gate (MJ/kg)"),'[1]Pivot Table_CED'!$A$3,"SUB TYPE",$B29))</f>
        <v/>
      </c>
      <c r="O29" s="92">
        <f>IF($L29="PROXY",DSTDEV('[1]literature entries'!D:AI,IF($J29=1,"ACTIVE     CED, FARM GATE (MJ/kg)","CED, processor gate (MJ/kg)"),INDIRECT($K29)),GETPIVOTDATA(IF($J29=1,"StdDev of ACTIVE     CED, FARM GATE (MJ/kg)","StdDev of CED, processor gate (MJ/kg)"),'[1]Pivot Table_CED'!$A$3,"SUB TYPE",$B29))</f>
        <v/>
      </c>
      <c r="P29" s="90">
        <f>IF(ISERROR(GETPIVOTDATA(IF($J29=1,"Count of ACTIVE     GHGE, FARM GATE (kg CO2e/kg)","Count of GHGE, processor gate (kg CO2e/kg)"),'[1]Pivot Table_GHG'!$A$3,"SUB TYPE",$B29)),"PROXY",IF(GETPIVOTDATA(IF($J29=1,"Count of ACTIVE     GHGE, FARM GATE (kg CO2e/kg)","Count of GHGE, processor gate (kg CO2e/kg)"),'[1]Pivot Table_GHG'!$A$3,"SUB TYPE",$B29)=0,"PROXY","DB value"))</f>
        <v/>
      </c>
      <c r="Q29" s="93">
        <f>IF($P29="PROXY",DCOUNT('[1]literature entries'!$D:$AI,IF($J29=1,"ACTIVE     GHGE, FARM GATE (kg CO2e/kg)","GHGE, processor gate (kg CO2e/kg)"),INDIRECT($K29)),GETPIVOTDATA(IF($J29=1,"ACTIVE     GHGE, FARM GATE (kg CO2e/kg)","Count of GHGE, processor gate (kg CO2e/kg)"),'[1]Pivot Table_GHG'!$A$3,"SUB TYPE",$B29))</f>
        <v/>
      </c>
      <c r="R29" s="94">
        <f>IF($P29="PROXY",DAVERAGE('[1]literature entries'!$D:$AI,IF($J29=1,"ACTIVE     GHGE, FARM GATE (kg CO2e/kg)","GHGE, processor gate (kg CO2e/kg)"),INDIRECT($K29)),GETPIVOTDATA(IF($J29=1,"Average of ACTIVE     GHGE, FARM GATE (kg CO2e/kg)","Average of GHGE, processor gate (kg CO2e/kg)"),'[1]Pivot Table_GHG'!$A$3,"SUB TYPE",$B29))</f>
        <v/>
      </c>
      <c r="S29" s="94">
        <f>IF($P29="PROXY",DSTDEV('[1]literature entries'!$D:$AI,IF($J29=1,"ACTIVE     GHGE, FARM GATE (kg CO2e/kg)","GHGE, processor gate (kg CO2e/kg)"),INDIRECT($K29)),GETPIVOTDATA(IF($J29=1,"StdDev of ACTIVE     GHGE, FARM GATE (kg CO2e/kg)","StdDev of GHGE, processor gate (kg CO2e/kg)"),'[1]Pivot Table_GHG'!$A$3,"SUB TYPE",$B29))</f>
        <v/>
      </c>
      <c r="T29" s="105" t="n"/>
      <c r="U29" s="106" t="n"/>
      <c r="V29" s="97" t="n"/>
      <c r="W29" s="98">
        <f>IF(L29="PROXY",IF(M29&gt;=5,K29,"need group"),IF(M29&gt;=5,"DIRECT","need group"))</f>
        <v/>
      </c>
      <c r="X29" s="98">
        <f>IF($W29="DIRECT",M29,DCOUNT('[1]literature entries'!$D:$AI,IF($J29=1,"ACTIVE     CED, FARM GATE (MJ/kg)","CED, processor gate (MJ/kg)"),INDIRECT($W29)))</f>
        <v/>
      </c>
      <c r="Y29" s="98">
        <f>IF($W29="DIRECT","",DAVERAGE('[1]literature entries'!$D:$AI,IF($J29=1,"ACTIVE     CED, FARM GATE (MJ/kg)","CED, processor gate (MJ/kg)"),INDIRECT($W29)))</f>
        <v/>
      </c>
      <c r="Z29" s="98">
        <f>IF($W29="DIRECT",$O29,DSTDEV('[1]literature entries'!$D:$AI,IF($J29=1,"ACTIVE     CED, FARM GATE (MJ/kg)","CED, processor gate (MJ/kg)"),INDIRECT($W29)))</f>
        <v/>
      </c>
      <c r="AA29" s="98">
        <f>IF($W29="DIRECT",$O29,$Z29/$Y29*$N29)</f>
        <v/>
      </c>
      <c r="AB29" s="99">
        <f>IF(P29="PROXY",IF(Q29&gt;=5,K29,"need group"),IF(Q29&gt;=5,"DIRECT","need group"))</f>
        <v/>
      </c>
      <c r="AC29" s="99">
        <f>IF($AB29="DIRECT",Q29,DCOUNT('[1]literature entries'!$D:$AI,IF($J29=1,"ACTIVE     GHGE, FARM GATE (kg CO2e/kg)","GHGE, processor gate (kg CO2e/kg)"),INDIRECT($AB29)))</f>
        <v/>
      </c>
      <c r="AD29" s="99">
        <f>IF($AB29="DIRECT","",DAVERAGE('[1]literature entries'!$D:$AI,IF($J29=1,"ACTIVE     GHGE, FARM GATE (kg CO2e/kg)","GHGE, processor gate (kg CO2e/kg)"),INDIRECT($AB29)))</f>
        <v/>
      </c>
      <c r="AE29" s="99">
        <f>IF($AB29="DIRECT",$S29,DSTDEV('[1]literature entries'!$D:$AI,IF($J29=1,"ACTIVE     GHGE, FARM GATE (kg CO2e/kg)","GHGE, processor gate (kg CO2e/kg)"),INDIRECT($AB29)))</f>
        <v/>
      </c>
      <c r="AF29" s="99">
        <f>IF($AB29="DIRECT",$S29,$AE29/$AD29*$R29)</f>
        <v/>
      </c>
    </row>
    <row r="30" ht="15.75" customHeight="1" s="201">
      <c r="A30" s="100" t="n">
        <v>103371000</v>
      </c>
      <c r="B30" s="101" t="inlineStr">
        <is>
          <t>Tanier, corm</t>
        </is>
      </c>
      <c r="C30" s="101" t="inlineStr">
        <is>
          <t>weight of corm</t>
        </is>
      </c>
      <c r="D30" s="101" t="inlineStr">
        <is>
          <t>Also called Cocoyam.</t>
        </is>
      </c>
      <c r="E30" s="101" t="n">
        <v>8</v>
      </c>
      <c r="F30" s="84">
        <f>N30*H30+T30</f>
        <v/>
      </c>
      <c r="G30" s="85">
        <f>R30*H30+U30</f>
        <v/>
      </c>
      <c r="H30" s="102" t="n">
        <v>1</v>
      </c>
      <c r="I30" s="103" t="inlineStr">
        <is>
          <t>None</t>
        </is>
      </c>
      <c r="J30" s="104" t="n">
        <v>1</v>
      </c>
      <c r="K30" s="89" t="inlineStr">
        <is>
          <t>roots</t>
        </is>
      </c>
      <c r="L30" s="90">
        <f>IF(ISERROR(GETPIVOTDATA(IF($J30=1,"Count of ACTIVE     CED, FARM GATE (MJ/kg)","Count of CED, processor gate (MJ/kg)"),'[1]Pivot Table_CED'!$A$3,"SUB TYPE",$B30)),"PROXY",IF(GETPIVOTDATA(IF($J30=1,"Count of ACTIVE     CED, FARM GATE (MJ/kg)","Count of CED, processor gate (MJ/kg)"),'[1]Pivot Table_CED'!$A$3,"SUB TYPE",$B30)=0,"PROXY","DB value"))</f>
        <v/>
      </c>
      <c r="M30" s="91">
        <f>IF($L30="PROXY",DCOUNT('[1]literature entries'!$D:$AI,IF($J30=1,"ACTIVE     CED, FARM GATE (MJ/kg)","CED, processor gate (MJ/kg)"),INDIRECT($K30)),GETPIVOTDATA(IF($J30=1,"Count of ACTIVE     CED, FARM GATE (MJ/kg)","Count of CED, processor gate (MJ/kg)"),'[1]Pivot Table_CED'!$A$3,"SUB TYPE",$B30))</f>
        <v/>
      </c>
      <c r="N30" s="92">
        <f>IF($L30="PROXY",DAVERAGE('[1]literature entries'!$D:$AI,IF($J30=1,"ACTIVE     CED, FARM GATE (MJ/kg)","CED, processor gate (MJ/kg)"),INDIRECT($K30)),GETPIVOTDATA(IF($J30=1,"Average of ACTIVE     CED, FARM GATE (MJ/kg)","Average of CED, processor gate (MJ/kg)"),'[1]Pivot Table_CED'!$A$3,"SUB TYPE",$B30))</f>
        <v/>
      </c>
      <c r="O30" s="92">
        <f>IF($L30="PROXY",DSTDEV('[1]literature entries'!D:AI,IF($J30=1,"ACTIVE     CED, FARM GATE (MJ/kg)","CED, processor gate (MJ/kg)"),INDIRECT($K30)),GETPIVOTDATA(IF($J30=1,"StdDev of ACTIVE     CED, FARM GATE (MJ/kg)","StdDev of CED, processor gate (MJ/kg)"),'[1]Pivot Table_CED'!$A$3,"SUB TYPE",$B30))</f>
        <v/>
      </c>
      <c r="P30" s="90">
        <f>IF(ISERROR(GETPIVOTDATA(IF($J30=1,"Count of ACTIVE     GHGE, FARM GATE (kg CO2e/kg)","Count of GHGE, processor gate (kg CO2e/kg)"),'[1]Pivot Table_GHG'!$A$3,"SUB TYPE",$B30)),"PROXY",IF(GETPIVOTDATA(IF($J30=1,"Count of ACTIVE     GHGE, FARM GATE (kg CO2e/kg)","Count of GHGE, processor gate (kg CO2e/kg)"),'[1]Pivot Table_GHG'!$A$3,"SUB TYPE",$B30)=0,"PROXY","DB value"))</f>
        <v/>
      </c>
      <c r="Q30" s="93">
        <f>IF($P30="PROXY",DCOUNT('[1]literature entries'!$D:$AI,IF($J30=1,"ACTIVE     GHGE, FARM GATE (kg CO2e/kg)","GHGE, processor gate (kg CO2e/kg)"),INDIRECT($K30)),GETPIVOTDATA(IF($J30=1,"ACTIVE     GHGE, FARM GATE (kg CO2e/kg)","Count of GHGE, processor gate (kg CO2e/kg)"),'[1]Pivot Table_GHG'!$A$3,"SUB TYPE",$B30))</f>
        <v/>
      </c>
      <c r="R30" s="94">
        <f>IF($P30="PROXY",DAVERAGE('[1]literature entries'!$D:$AI,IF($J30=1,"ACTIVE     GHGE, FARM GATE (kg CO2e/kg)","GHGE, processor gate (kg CO2e/kg)"),INDIRECT($K30)),GETPIVOTDATA(IF($J30=1,"Average of ACTIVE     GHGE, FARM GATE (kg CO2e/kg)","Average of GHGE, processor gate (kg CO2e/kg)"),'[1]Pivot Table_GHG'!$A$3,"SUB TYPE",$B30))</f>
        <v/>
      </c>
      <c r="S30" s="94">
        <f>IF($P30="PROXY",DSTDEV('[1]literature entries'!$D:$AI,IF($J30=1,"ACTIVE     GHGE, FARM GATE (kg CO2e/kg)","GHGE, processor gate (kg CO2e/kg)"),INDIRECT($K30)),GETPIVOTDATA(IF($J30=1,"StdDev of ACTIVE     GHGE, FARM GATE (kg CO2e/kg)","StdDev of GHGE, processor gate (kg CO2e/kg)"),'[1]Pivot Table_GHG'!$A$3,"SUB TYPE",$B30))</f>
        <v/>
      </c>
      <c r="T30" s="105" t="n"/>
      <c r="U30" s="106" t="n"/>
      <c r="V30" s="97" t="n"/>
      <c r="W30" s="98">
        <f>IF(L30="PROXY",IF(M30&gt;=5,K30,"need group"),IF(M30&gt;=5,"DIRECT","need group"))</f>
        <v/>
      </c>
      <c r="X30" s="98">
        <f>IF($W30="DIRECT",M30,DCOUNT('[1]literature entries'!$D:$AI,IF($J30=1,"ACTIVE     CED, FARM GATE (MJ/kg)","CED, processor gate (MJ/kg)"),INDIRECT($W30)))</f>
        <v/>
      </c>
      <c r="Y30" s="98">
        <f>IF($W30="DIRECT","",DAVERAGE('[1]literature entries'!$D:$AI,IF($J30=1,"ACTIVE     CED, FARM GATE (MJ/kg)","CED, processor gate (MJ/kg)"),INDIRECT($W30)))</f>
        <v/>
      </c>
      <c r="Z30" s="98">
        <f>IF($W30="DIRECT",$O30,DSTDEV('[1]literature entries'!$D:$AI,IF($J30=1,"ACTIVE     CED, FARM GATE (MJ/kg)","CED, processor gate (MJ/kg)"),INDIRECT($W30)))</f>
        <v/>
      </c>
      <c r="AA30" s="98">
        <f>IF($W30="DIRECT",$O30,$Z30/$Y30*$N30)</f>
        <v/>
      </c>
      <c r="AB30" s="99">
        <f>IF(P30="PROXY",IF(Q30&gt;=5,K30,"need group"),IF(Q30&gt;=5,"DIRECT","need group"))</f>
        <v/>
      </c>
      <c r="AC30" s="99">
        <f>IF($AB30="DIRECT",Q30,DCOUNT('[1]literature entries'!$D:$AI,IF($J30=1,"ACTIVE     GHGE, FARM GATE (kg CO2e/kg)","GHGE, processor gate (kg CO2e/kg)"),INDIRECT($AB30)))</f>
        <v/>
      </c>
      <c r="AD30" s="99">
        <f>IF($AB30="DIRECT","",DAVERAGE('[1]literature entries'!$D:$AI,IF($J30=1,"ACTIVE     GHGE, FARM GATE (kg CO2e/kg)","GHGE, processor gate (kg CO2e/kg)"),INDIRECT($AB30)))</f>
        <v/>
      </c>
      <c r="AE30" s="99">
        <f>IF($AB30="DIRECT",$S30,DSTDEV('[1]literature entries'!$D:$AI,IF($J30=1,"ACTIVE     GHGE, FARM GATE (kg CO2e/kg)","GHGE, processor gate (kg CO2e/kg)"),INDIRECT($AB30)))</f>
        <v/>
      </c>
      <c r="AF30" s="99">
        <f>IF($AB30="DIRECT",$S30,$AE30/$AD30*$R30)</f>
        <v/>
      </c>
    </row>
    <row r="31" ht="15.75" customHeight="1" s="201">
      <c r="A31" s="100" t="n">
        <v>103387000</v>
      </c>
      <c r="B31" s="101" t="inlineStr">
        <is>
          <t>Turmeric</t>
        </is>
      </c>
      <c r="C31" s="101" t="inlineStr">
        <is>
          <t>weight of roots</t>
        </is>
      </c>
      <c r="D31" s="101" t="n"/>
      <c r="E31" s="101" t="n">
        <v>7304</v>
      </c>
      <c r="F31" s="84">
        <f>N31*H31+T31</f>
        <v/>
      </c>
      <c r="G31" s="85">
        <f>R31*H31+U31</f>
        <v/>
      </c>
      <c r="H31" s="102" t="n">
        <v>1</v>
      </c>
      <c r="I31" s="103" t="inlineStr">
        <is>
          <t>None</t>
        </is>
      </c>
      <c r="J31" s="104" t="n">
        <v>1</v>
      </c>
      <c r="K31" s="89" t="inlineStr">
        <is>
          <t>roots</t>
        </is>
      </c>
      <c r="L31" s="90">
        <f>IF(ISERROR(GETPIVOTDATA(IF($J31=1,"Count of ACTIVE     CED, FARM GATE (MJ/kg)","Count of CED, processor gate (MJ/kg)"),'[1]Pivot Table_CED'!$A$3,"SUB TYPE",$B31)),"PROXY",IF(GETPIVOTDATA(IF($J31=1,"Count of ACTIVE     CED, FARM GATE (MJ/kg)","Count of CED, processor gate (MJ/kg)"),'[1]Pivot Table_CED'!$A$3,"SUB TYPE",$B31)=0,"PROXY","DB value"))</f>
        <v/>
      </c>
      <c r="M31" s="91">
        <f>IF($L31="PROXY",DCOUNT('[1]literature entries'!$D:$AI,IF($J31=1,"ACTIVE     CED, FARM GATE (MJ/kg)","CED, processor gate (MJ/kg)"),INDIRECT($K31)),GETPIVOTDATA(IF($J31=1,"Count of ACTIVE     CED, FARM GATE (MJ/kg)","Count of CED, processor gate (MJ/kg)"),'[1]Pivot Table_CED'!$A$3,"SUB TYPE",$B31))</f>
        <v/>
      </c>
      <c r="N31" s="92">
        <f>IF($L31="PROXY",DAVERAGE('[1]literature entries'!$D:$AI,IF($J31=1,"ACTIVE     CED, FARM GATE (MJ/kg)","CED, processor gate (MJ/kg)"),INDIRECT($K31)),GETPIVOTDATA(IF($J31=1,"Average of ACTIVE     CED, FARM GATE (MJ/kg)","Average of CED, processor gate (MJ/kg)"),'[1]Pivot Table_CED'!$A$3,"SUB TYPE",$B31))</f>
        <v/>
      </c>
      <c r="O31" s="92">
        <f>IF($L31="PROXY",DSTDEV('[1]literature entries'!D:AI,IF($J31=1,"ACTIVE     CED, FARM GATE (MJ/kg)","CED, processor gate (MJ/kg)"),INDIRECT($K31)),GETPIVOTDATA(IF($J31=1,"StdDev of ACTIVE     CED, FARM GATE (MJ/kg)","StdDev of CED, processor gate (MJ/kg)"),'[1]Pivot Table_CED'!$A$3,"SUB TYPE",$B31))</f>
        <v/>
      </c>
      <c r="P31" s="90">
        <f>IF(ISERROR(GETPIVOTDATA(IF($J31=1,"Count of ACTIVE     GHGE, FARM GATE (kg CO2e/kg)","Count of GHGE, processor gate (kg CO2e/kg)"),'[1]Pivot Table_GHG'!$A$3,"SUB TYPE",$B31)),"PROXY",IF(GETPIVOTDATA(IF($J31=1,"Count of ACTIVE     GHGE, FARM GATE (kg CO2e/kg)","Count of GHGE, processor gate (kg CO2e/kg)"),'[1]Pivot Table_GHG'!$A$3,"SUB TYPE",$B31)=0,"PROXY","DB value"))</f>
        <v/>
      </c>
      <c r="Q31" s="93">
        <f>IF($P31="PROXY",DCOUNT('[1]literature entries'!$D:$AI,IF($J31=1,"ACTIVE     GHGE, FARM GATE (kg CO2e/kg)","GHGE, processor gate (kg CO2e/kg)"),INDIRECT($K31)),GETPIVOTDATA(IF($J31=1,"ACTIVE     GHGE, FARM GATE (kg CO2e/kg)","Count of GHGE, processor gate (kg CO2e/kg)"),'[1]Pivot Table_GHG'!$A$3,"SUB TYPE",$B31))</f>
        <v/>
      </c>
      <c r="R31" s="94">
        <f>IF($P31="PROXY",DAVERAGE('[1]literature entries'!$D:$AI,IF($J31=1,"ACTIVE     GHGE, FARM GATE (kg CO2e/kg)","GHGE, processor gate (kg CO2e/kg)"),INDIRECT($K31)),GETPIVOTDATA(IF($J31=1,"Average of ACTIVE     GHGE, FARM GATE (kg CO2e/kg)","Average of GHGE, processor gate (kg CO2e/kg)"),'[1]Pivot Table_GHG'!$A$3,"SUB TYPE",$B31))</f>
        <v/>
      </c>
      <c r="S31" s="94">
        <f>IF($P31="PROXY",DSTDEV('[1]literature entries'!$D:$AI,IF($J31=1,"ACTIVE     GHGE, FARM GATE (kg CO2e/kg)","GHGE, processor gate (kg CO2e/kg)"),INDIRECT($K31)),GETPIVOTDATA(IF($J31=1,"StdDev of ACTIVE     GHGE, FARM GATE (kg CO2e/kg)","StdDev of GHGE, processor gate (kg CO2e/kg)"),'[1]Pivot Table_GHG'!$A$3,"SUB TYPE",$B31))</f>
        <v/>
      </c>
      <c r="T31" s="105" t="n"/>
      <c r="U31" s="106" t="n"/>
      <c r="V31" s="97" t="n"/>
      <c r="W31" s="98">
        <f>IF(L31="PROXY",IF(M31&gt;=5,K31,"need group"),IF(M31&gt;=5,"DIRECT","need group"))</f>
        <v/>
      </c>
      <c r="X31" s="98">
        <f>IF($W31="DIRECT",M31,DCOUNT('[1]literature entries'!$D:$AI,IF($J31=1,"ACTIVE     CED, FARM GATE (MJ/kg)","CED, processor gate (MJ/kg)"),INDIRECT($W31)))</f>
        <v/>
      </c>
      <c r="Y31" s="98">
        <f>IF($W31="DIRECT","",DAVERAGE('[1]literature entries'!$D:$AI,IF($J31=1,"ACTIVE     CED, FARM GATE (MJ/kg)","CED, processor gate (MJ/kg)"),INDIRECT($W31)))</f>
        <v/>
      </c>
      <c r="Z31" s="98">
        <f>IF($W31="DIRECT",$O31,DSTDEV('[1]literature entries'!$D:$AI,IF($J31=1,"ACTIVE     CED, FARM GATE (MJ/kg)","CED, processor gate (MJ/kg)"),INDIRECT($W31)))</f>
        <v/>
      </c>
      <c r="AA31" s="98">
        <f>IF($W31="DIRECT",$O31,$Z31/$Y31*$N31)</f>
        <v/>
      </c>
      <c r="AB31" s="99">
        <f>IF(P31="PROXY",IF(Q31&gt;=5,K31,"need group"),IF(Q31&gt;=5,"DIRECT","need group"))</f>
        <v/>
      </c>
      <c r="AC31" s="99">
        <f>IF($AB31="DIRECT",Q31,DCOUNT('[1]literature entries'!$D:$AI,IF($J31=1,"ACTIVE     GHGE, FARM GATE (kg CO2e/kg)","GHGE, processor gate (kg CO2e/kg)"),INDIRECT($AB31)))</f>
        <v/>
      </c>
      <c r="AD31" s="99">
        <f>IF($AB31="DIRECT","",DAVERAGE('[1]literature entries'!$D:$AI,IF($J31=1,"ACTIVE     GHGE, FARM GATE (kg CO2e/kg)","GHGE, processor gate (kg CO2e/kg)"),INDIRECT($AB31)))</f>
        <v/>
      </c>
      <c r="AE31" s="99">
        <f>IF($AB31="DIRECT",$S31,DSTDEV('[1]literature entries'!$D:$AI,IF($J31=1,"ACTIVE     GHGE, FARM GATE (kg CO2e/kg)","GHGE, processor gate (kg CO2e/kg)"),INDIRECT($AB31)))</f>
        <v/>
      </c>
      <c r="AF31" s="99">
        <f>IF($AB31="DIRECT",$S31,$AE31/$AD31*$R31)</f>
        <v/>
      </c>
    </row>
    <row r="32" ht="15.75" customHeight="1" s="201">
      <c r="A32" s="100" t="n">
        <v>103406000</v>
      </c>
      <c r="B32" s="101" t="inlineStr">
        <is>
          <t>Yam, true</t>
        </is>
      </c>
      <c r="C32" s="101" t="inlineStr">
        <is>
          <t>weight of roots</t>
        </is>
      </c>
      <c r="D32" s="101" t="n"/>
      <c r="E32" s="101" t="n">
        <v>24</v>
      </c>
      <c r="F32" s="84">
        <f>N32*H32+T32</f>
        <v/>
      </c>
      <c r="G32" s="85">
        <f>R32*H32+U32</f>
        <v/>
      </c>
      <c r="H32" s="102" t="n">
        <v>1.16</v>
      </c>
      <c r="I32" s="103" t="inlineStr">
        <is>
          <t>FICRCD</t>
        </is>
      </c>
      <c r="J32" s="104" t="n">
        <v>1</v>
      </c>
      <c r="K32" s="89" t="inlineStr">
        <is>
          <t>potato</t>
        </is>
      </c>
      <c r="L32" s="90">
        <f>IF(ISERROR(GETPIVOTDATA(IF($J32=1,"Count of ACTIVE     CED, FARM GATE (MJ/kg)","Count of CED, processor gate (MJ/kg)"),'[1]Pivot Table_CED'!$A$3,"SUB TYPE",$B32)),"PROXY",IF(GETPIVOTDATA(IF($J32=1,"Count of ACTIVE     CED, FARM GATE (MJ/kg)","Count of CED, processor gate (MJ/kg)"),'[1]Pivot Table_CED'!$A$3,"SUB TYPE",$B32)=0,"PROXY","DB value"))</f>
        <v/>
      </c>
      <c r="M32" s="91">
        <f>IF($L32="PROXY",DCOUNT('[1]literature entries'!$D:$AI,IF($J32=1,"ACTIVE     CED, FARM GATE (MJ/kg)","CED, processor gate (MJ/kg)"),INDIRECT($K32)),GETPIVOTDATA(IF($J32=1,"Count of ACTIVE     CED, FARM GATE (MJ/kg)","Count of CED, processor gate (MJ/kg)"),'[1]Pivot Table_CED'!$A$3,"SUB TYPE",$B32))</f>
        <v/>
      </c>
      <c r="N32" s="92">
        <f>IF($L32="PROXY",DAVERAGE('[1]literature entries'!$D:$AI,IF($J32=1,"ACTIVE     CED, FARM GATE (MJ/kg)","CED, processor gate (MJ/kg)"),INDIRECT($K32)),GETPIVOTDATA(IF($J32=1,"Average of ACTIVE     CED, FARM GATE (MJ/kg)","Average of CED, processor gate (MJ/kg)"),'[1]Pivot Table_CED'!$A$3,"SUB TYPE",$B32))</f>
        <v/>
      </c>
      <c r="O32" s="92">
        <f>IF($L32="PROXY",DSTDEV('[1]literature entries'!D:AI,IF($J32=1,"ACTIVE     CED, FARM GATE (MJ/kg)","CED, processor gate (MJ/kg)"),INDIRECT($K32)),GETPIVOTDATA(IF($J32=1,"StdDev of ACTIVE     CED, FARM GATE (MJ/kg)","StdDev of CED, processor gate (MJ/kg)"),'[1]Pivot Table_CED'!$A$3,"SUB TYPE",$B32))</f>
        <v/>
      </c>
      <c r="P32" s="90">
        <f>IF(ISERROR(GETPIVOTDATA(IF($J32=1,"Count of ACTIVE     GHGE, FARM GATE (kg CO2e/kg)","Count of GHGE, processor gate (kg CO2e/kg)"),'[1]Pivot Table_GHG'!$A$3,"SUB TYPE",$B32)),"PROXY",IF(GETPIVOTDATA(IF($J32=1,"Count of ACTIVE     GHGE, FARM GATE (kg CO2e/kg)","Count of GHGE, processor gate (kg CO2e/kg)"),'[1]Pivot Table_GHG'!$A$3,"SUB TYPE",$B32)=0,"PROXY","DB value"))</f>
        <v/>
      </c>
      <c r="Q32" s="93">
        <f>IF($P32="PROXY",DCOUNT('[1]literature entries'!$D:$AI,IF($J32=1,"ACTIVE     GHGE, FARM GATE (kg CO2e/kg)","GHGE, processor gate (kg CO2e/kg)"),INDIRECT($K32)),GETPIVOTDATA(IF($J32=1,"ACTIVE     GHGE, FARM GATE (kg CO2e/kg)","Count of GHGE, processor gate (kg CO2e/kg)"),'[1]Pivot Table_GHG'!$A$3,"SUB TYPE",$B32))</f>
        <v/>
      </c>
      <c r="R32" s="94">
        <f>IF($P32="PROXY",DAVERAGE('[1]literature entries'!$D:$AI,IF($J32=1,"ACTIVE     GHGE, FARM GATE (kg CO2e/kg)","GHGE, processor gate (kg CO2e/kg)"),INDIRECT($K32)),GETPIVOTDATA(IF($J32=1,"Average of ACTIVE     GHGE, FARM GATE (kg CO2e/kg)","Average of GHGE, processor gate (kg CO2e/kg)"),'[1]Pivot Table_GHG'!$A$3,"SUB TYPE",$B32))</f>
        <v/>
      </c>
      <c r="S32" s="94">
        <f>IF($P32="PROXY",DSTDEV('[1]literature entries'!$D:$AI,IF($J32=1,"ACTIVE     GHGE, FARM GATE (kg CO2e/kg)","GHGE, processor gate (kg CO2e/kg)"),INDIRECT($K32)),GETPIVOTDATA(IF($J32=1,"StdDev of ACTIVE     GHGE, FARM GATE (kg CO2e/kg)","StdDev of GHGE, processor gate (kg CO2e/kg)"),'[1]Pivot Table_GHG'!$A$3,"SUB TYPE",$B32))</f>
        <v/>
      </c>
      <c r="T32" s="105" t="n"/>
      <c r="U32" s="106" t="n"/>
      <c r="V32" s="97" t="n"/>
      <c r="W32" s="98" t="inlineStr">
        <is>
          <t>roots</t>
        </is>
      </c>
      <c r="X32" s="98">
        <f>IF($W32="DIRECT",M32,DCOUNT('[1]literature entries'!$D:$AI,IF($J32=1,"ACTIVE     CED, FARM GATE (MJ/kg)","CED, processor gate (MJ/kg)"),INDIRECT($W32)))</f>
        <v/>
      </c>
      <c r="Y32" s="98">
        <f>IF($W32="DIRECT","",DAVERAGE('[1]literature entries'!$D:$AI,IF($J32=1,"ACTIVE     CED, FARM GATE (MJ/kg)","CED, processor gate (MJ/kg)"),INDIRECT($W32)))</f>
        <v/>
      </c>
      <c r="Z32" s="98">
        <f>IF($W32="DIRECT",$O32,DSTDEV('[1]literature entries'!$D:$AI,IF($J32=1,"ACTIVE     CED, FARM GATE (MJ/kg)","CED, processor gate (MJ/kg)"),INDIRECT($W32)))</f>
        <v/>
      </c>
      <c r="AA32" s="98">
        <f>IF($W32="DIRECT",$O32,$Z32/$Y32*$N32)</f>
        <v/>
      </c>
      <c r="AB32" s="99" t="inlineStr">
        <is>
          <t>roots</t>
        </is>
      </c>
      <c r="AC32" s="99">
        <f>IF($AB32="DIRECT",Q32,DCOUNT('[1]literature entries'!$D:$AI,IF($J32=1,"ACTIVE     GHGE, FARM GATE (kg CO2e/kg)","GHGE, processor gate (kg CO2e/kg)"),INDIRECT($AB32)))</f>
        <v/>
      </c>
      <c r="AD32" s="99">
        <f>IF($AB32="DIRECT","",DAVERAGE('[1]literature entries'!$D:$AI,IF($J32=1,"ACTIVE     GHGE, FARM GATE (kg CO2e/kg)","GHGE, processor gate (kg CO2e/kg)"),INDIRECT($AB32)))</f>
        <v/>
      </c>
      <c r="AE32" s="99">
        <f>IF($AB32="DIRECT",$S32,DSTDEV('[1]literature entries'!$D:$AI,IF($J32=1,"ACTIVE     GHGE, FARM GATE (kg CO2e/kg)","GHGE, processor gate (kg CO2e/kg)"),INDIRECT($AB32)))</f>
        <v/>
      </c>
      <c r="AF32" s="99">
        <f>IF($AB32="DIRECT",$S32,$AE32/$AD32*$R32)</f>
        <v/>
      </c>
    </row>
    <row r="33" ht="15.75" customHeight="1" s="201">
      <c r="A33" s="100" t="n">
        <v>103407000</v>
      </c>
      <c r="B33" s="101" t="inlineStr">
        <is>
          <t>Yam bean</t>
        </is>
      </c>
      <c r="C33" s="101" t="inlineStr">
        <is>
          <t>weight of roots</t>
        </is>
      </c>
      <c r="D33" s="101" t="inlineStr">
        <is>
          <t>Also called jicama.</t>
        </is>
      </c>
      <c r="E33" s="101" t="n">
        <v>62</v>
      </c>
      <c r="F33" s="84">
        <f>N33*H33+T33</f>
        <v/>
      </c>
      <c r="G33" s="85">
        <f>R33*H33+U33</f>
        <v/>
      </c>
      <c r="H33" s="102" t="n">
        <v>1.09</v>
      </c>
      <c r="I33" s="103" t="inlineStr">
        <is>
          <t>FICRCD</t>
        </is>
      </c>
      <c r="J33" s="104" t="n">
        <v>1</v>
      </c>
      <c r="K33" s="89" t="inlineStr">
        <is>
          <t>potato</t>
        </is>
      </c>
      <c r="L33" s="90">
        <f>IF(ISERROR(GETPIVOTDATA(IF($J33=1,"Count of ACTIVE     CED, FARM GATE (MJ/kg)","Count of CED, processor gate (MJ/kg)"),'[1]Pivot Table_CED'!$A$3,"SUB TYPE",$B33)),"PROXY",IF(GETPIVOTDATA(IF($J33=1,"Count of ACTIVE     CED, FARM GATE (MJ/kg)","Count of CED, processor gate (MJ/kg)"),'[1]Pivot Table_CED'!$A$3,"SUB TYPE",$B33)=0,"PROXY","DB value"))</f>
        <v/>
      </c>
      <c r="M33" s="91">
        <f>IF($L33="PROXY",DCOUNT('[1]literature entries'!$D:$AI,IF($J33=1,"ACTIVE     CED, FARM GATE (MJ/kg)","CED, processor gate (MJ/kg)"),INDIRECT($K33)),GETPIVOTDATA(IF($J33=1,"Count of ACTIVE     CED, FARM GATE (MJ/kg)","Count of CED, processor gate (MJ/kg)"),'[1]Pivot Table_CED'!$A$3,"SUB TYPE",$B33))</f>
        <v/>
      </c>
      <c r="N33" s="92">
        <f>IF($L33="PROXY",DAVERAGE('[1]literature entries'!$D:$AI,IF($J33=1,"ACTIVE     CED, FARM GATE (MJ/kg)","CED, processor gate (MJ/kg)"),INDIRECT($K33)),GETPIVOTDATA(IF($J33=1,"Average of ACTIVE     CED, FARM GATE (MJ/kg)","Average of CED, processor gate (MJ/kg)"),'[1]Pivot Table_CED'!$A$3,"SUB TYPE",$B33))</f>
        <v/>
      </c>
      <c r="O33" s="92">
        <f>IF($L33="PROXY",DSTDEV('[1]literature entries'!D:AI,IF($J33=1,"ACTIVE     CED, FARM GATE (MJ/kg)","CED, processor gate (MJ/kg)"),INDIRECT($K33)),GETPIVOTDATA(IF($J33=1,"StdDev of ACTIVE     CED, FARM GATE (MJ/kg)","StdDev of CED, processor gate (MJ/kg)"),'[1]Pivot Table_CED'!$A$3,"SUB TYPE",$B33))</f>
        <v/>
      </c>
      <c r="P33" s="90">
        <f>IF(ISERROR(GETPIVOTDATA(IF($J33=1,"Count of ACTIVE     GHGE, FARM GATE (kg CO2e/kg)","Count of GHGE, processor gate (kg CO2e/kg)"),'[1]Pivot Table_GHG'!$A$3,"SUB TYPE",$B33)),"PROXY",IF(GETPIVOTDATA(IF($J33=1,"Count of ACTIVE     GHGE, FARM GATE (kg CO2e/kg)","Count of GHGE, processor gate (kg CO2e/kg)"),'[1]Pivot Table_GHG'!$A$3,"SUB TYPE",$B33)=0,"PROXY","DB value"))</f>
        <v/>
      </c>
      <c r="Q33" s="93">
        <f>IF($P33="PROXY",DCOUNT('[1]literature entries'!$D:$AI,IF($J33=1,"ACTIVE     GHGE, FARM GATE (kg CO2e/kg)","GHGE, processor gate (kg CO2e/kg)"),INDIRECT($K33)),GETPIVOTDATA(IF($J33=1,"ACTIVE     GHGE, FARM GATE (kg CO2e/kg)","Count of GHGE, processor gate (kg CO2e/kg)"),'[1]Pivot Table_GHG'!$A$3,"SUB TYPE",$B33))</f>
        <v/>
      </c>
      <c r="R33" s="94">
        <f>IF($P33="PROXY",DAVERAGE('[1]literature entries'!$D:$AI,IF($J33=1,"ACTIVE     GHGE, FARM GATE (kg CO2e/kg)","GHGE, processor gate (kg CO2e/kg)"),INDIRECT($K33)),GETPIVOTDATA(IF($J33=1,"Average of ACTIVE     GHGE, FARM GATE (kg CO2e/kg)","Average of GHGE, processor gate (kg CO2e/kg)"),'[1]Pivot Table_GHG'!$A$3,"SUB TYPE",$B33))</f>
        <v/>
      </c>
      <c r="S33" s="94">
        <f>IF($P33="PROXY",DSTDEV('[1]literature entries'!$D:$AI,IF($J33=1,"ACTIVE     GHGE, FARM GATE (kg CO2e/kg)","GHGE, processor gate (kg CO2e/kg)"),INDIRECT($K33)),GETPIVOTDATA(IF($J33=1,"StdDev of ACTIVE     GHGE, FARM GATE (kg CO2e/kg)","StdDev of GHGE, processor gate (kg CO2e/kg)"),'[1]Pivot Table_GHG'!$A$3,"SUB TYPE",$B33))</f>
        <v/>
      </c>
      <c r="T33" s="105" t="n"/>
      <c r="U33" s="106" t="n"/>
      <c r="V33" s="97" t="n"/>
      <c r="W33" s="98" t="inlineStr">
        <is>
          <t>roots</t>
        </is>
      </c>
      <c r="X33" s="98">
        <f>IF($W33="DIRECT",M33,DCOUNT('[1]literature entries'!$D:$AI,IF($J33=1,"ACTIVE     CED, FARM GATE (MJ/kg)","CED, processor gate (MJ/kg)"),INDIRECT($W33)))</f>
        <v/>
      </c>
      <c r="Y33" s="98">
        <f>IF($W33="DIRECT","",DAVERAGE('[1]literature entries'!$D:$AI,IF($J33=1,"ACTIVE     CED, FARM GATE (MJ/kg)","CED, processor gate (MJ/kg)"),INDIRECT($W33)))</f>
        <v/>
      </c>
      <c r="Z33" s="98">
        <f>IF($W33="DIRECT",$O33,DSTDEV('[1]literature entries'!$D:$AI,IF($J33=1,"ACTIVE     CED, FARM GATE (MJ/kg)","CED, processor gate (MJ/kg)"),INDIRECT($W33)))</f>
        <v/>
      </c>
      <c r="AA33" s="98">
        <f>IF($W33="DIRECT",$O33,$Z33/$Y33*$N33)</f>
        <v/>
      </c>
      <c r="AB33" s="99">
        <f>IF(P33="PROXY",IF(Q33&gt;=5,K33,"need group"),IF(Q33&gt;=5,"DIRECT","need group"))</f>
        <v/>
      </c>
      <c r="AC33" s="99">
        <f>IF($AB33="DIRECT",Q33,DCOUNT('[1]literature entries'!$D:$AI,IF($J33=1,"ACTIVE     GHGE, FARM GATE (kg CO2e/kg)","GHGE, processor gate (kg CO2e/kg)"),INDIRECT($AB33)))</f>
        <v/>
      </c>
      <c r="AD33" s="99">
        <f>IF($AB33="DIRECT","",DAVERAGE('[1]literature entries'!$D:$AI,IF($J33=1,"ACTIVE     GHGE, FARM GATE (kg CO2e/kg)","GHGE, processor gate (kg CO2e/kg)"),INDIRECT($AB33)))</f>
        <v/>
      </c>
      <c r="AE33" s="99">
        <f>IF($AB33="DIRECT",$S33,DSTDEV('[1]literature entries'!$D:$AI,IF($J33=1,"ACTIVE     GHGE, FARM GATE (kg CO2e/kg)","GHGE, processor gate (kg CO2e/kg)"),INDIRECT($AB33)))</f>
        <v/>
      </c>
      <c r="AF33" s="99">
        <f>IF($AB33="DIRECT",$S33,$AE33/$AD33*$R33)</f>
        <v/>
      </c>
    </row>
    <row r="34" ht="15.75" customHeight="1" s="201">
      <c r="A34" s="100" t="n">
        <v>200051000</v>
      </c>
      <c r="B34" s="101" t="inlineStr">
        <is>
          <t>Beet, garden, tops</t>
        </is>
      </c>
      <c r="C34" s="101" t="inlineStr">
        <is>
          <t>weight of leaves</t>
        </is>
      </c>
      <c r="D34" s="114" t="inlineStr">
        <is>
          <t>Include pumpkin leaves.</t>
        </is>
      </c>
      <c r="E34" s="101" t="n">
        <v>15</v>
      </c>
      <c r="F34" s="84">
        <f>N34*H34+T34</f>
        <v/>
      </c>
      <c r="G34" s="85">
        <f>R34*H34+U34</f>
        <v/>
      </c>
      <c r="H34" s="102" t="n">
        <v>1.79</v>
      </c>
      <c r="I34" s="103" t="inlineStr">
        <is>
          <t>FICRCD</t>
        </is>
      </c>
      <c r="J34" s="104" t="n">
        <v>1</v>
      </c>
      <c r="K34" s="89" t="inlineStr">
        <is>
          <t>greens</t>
        </is>
      </c>
      <c r="L34" s="90">
        <f>IF(ISERROR(GETPIVOTDATA(IF($J34=1,"Count of ACTIVE     CED, FARM GATE (MJ/kg)","Count of CED, processor gate (MJ/kg)"),'[1]Pivot Table_CED'!$A$3,"SUB TYPE",$B34)),"PROXY",IF(GETPIVOTDATA(IF($J34=1,"Count of ACTIVE     CED, FARM GATE (MJ/kg)","Count of CED, processor gate (MJ/kg)"),'[1]Pivot Table_CED'!$A$3,"SUB TYPE",$B34)=0,"PROXY","DB value"))</f>
        <v/>
      </c>
      <c r="M34" s="91">
        <f>IF($L34="PROXY",DCOUNT('[1]literature entries'!$D:$AI,IF($J34=1,"ACTIVE     CED, FARM GATE (MJ/kg)","CED, processor gate (MJ/kg)"),INDIRECT($K34)),GETPIVOTDATA(IF($J34=1,"Count of ACTIVE     CED, FARM GATE (MJ/kg)","Count of CED, processor gate (MJ/kg)"),'[1]Pivot Table_CED'!$A$3,"SUB TYPE",$B34))</f>
        <v/>
      </c>
      <c r="N34" s="92">
        <f>IF($L34="PROXY",DAVERAGE('[1]literature entries'!$D:$AI,IF($J34=1,"ACTIVE     CED, FARM GATE (MJ/kg)","CED, processor gate (MJ/kg)"),INDIRECT($K34)),GETPIVOTDATA(IF($J34=1,"Average of ACTIVE     CED, FARM GATE (MJ/kg)","Average of CED, processor gate (MJ/kg)"),'[1]Pivot Table_CED'!$A$3,"SUB TYPE",$B34))</f>
        <v/>
      </c>
      <c r="O34" s="92">
        <f>IF($L34="PROXY",DSTDEV('[1]literature entries'!D:AI,IF($J34=1,"ACTIVE     CED, FARM GATE (MJ/kg)","CED, processor gate (MJ/kg)"),INDIRECT($K34)),GETPIVOTDATA(IF($J34=1,"StdDev of ACTIVE     CED, FARM GATE (MJ/kg)","StdDev of CED, processor gate (MJ/kg)"),'[1]Pivot Table_CED'!$A$3,"SUB TYPE",$B34))</f>
        <v/>
      </c>
      <c r="P34" s="90">
        <f>IF(ISERROR(GETPIVOTDATA(IF($J34=1,"Count of ACTIVE     GHGE, FARM GATE (kg CO2e/kg)","Count of GHGE, processor gate (kg CO2e/kg)"),'[1]Pivot Table_GHG'!$A$3,"SUB TYPE",$B34)),"PROXY",IF(GETPIVOTDATA(IF($J34=1,"Count of ACTIVE     GHGE, FARM GATE (kg CO2e/kg)","Count of GHGE, processor gate (kg CO2e/kg)"),'[1]Pivot Table_GHG'!$A$3,"SUB TYPE",$B34)=0,"PROXY","DB value"))</f>
        <v/>
      </c>
      <c r="Q34" s="93">
        <f>IF($P34="PROXY",DCOUNT('[1]literature entries'!$D:$AI,IF($J34=1,"ACTIVE     GHGE, FARM GATE (kg CO2e/kg)","GHGE, processor gate (kg CO2e/kg)"),INDIRECT($K34)),GETPIVOTDATA(IF($J34=1,"ACTIVE     GHGE, FARM GATE (kg CO2e/kg)","Count of GHGE, processor gate (kg CO2e/kg)"),'[1]Pivot Table_GHG'!$A$3,"SUB TYPE",$B34))</f>
        <v/>
      </c>
      <c r="R34" s="94">
        <f>IF($P34="PROXY",DAVERAGE('[1]literature entries'!$D:$AI,IF($J34=1,"ACTIVE     GHGE, FARM GATE (kg CO2e/kg)","GHGE, processor gate (kg CO2e/kg)"),INDIRECT($K34)),GETPIVOTDATA(IF($J34=1,"Average of ACTIVE     GHGE, FARM GATE (kg CO2e/kg)","Average of GHGE, processor gate (kg CO2e/kg)"),'[1]Pivot Table_GHG'!$A$3,"SUB TYPE",$B34))</f>
        <v/>
      </c>
      <c r="S34" s="94">
        <f>IF($P34="PROXY",DSTDEV('[1]literature entries'!$D:$AI,IF($J34=1,"ACTIVE     GHGE, FARM GATE (kg CO2e/kg)","GHGE, processor gate (kg CO2e/kg)"),INDIRECT($K34)),GETPIVOTDATA(IF($J34=1,"StdDev of ACTIVE     GHGE, FARM GATE (kg CO2e/kg)","StdDev of GHGE, processor gate (kg CO2e/kg)"),'[1]Pivot Table_GHG'!$A$3,"SUB TYPE",$B34))</f>
        <v/>
      </c>
      <c r="T34" s="105" t="n"/>
      <c r="U34" s="106" t="n"/>
      <c r="V34" s="97" t="n"/>
      <c r="W34" s="98">
        <f>IF(L34="PROXY",IF(M34&gt;=5,K34,"need group"),IF(M34&gt;=5,"DIRECT","need group"))</f>
        <v/>
      </c>
      <c r="X34" s="98">
        <f>IF($W34="DIRECT",M34,DCOUNT('[1]literature entries'!$D:$AI,IF($J34=1,"ACTIVE     CED, FARM GATE (MJ/kg)","CED, processor gate (MJ/kg)"),INDIRECT($W34)))</f>
        <v/>
      </c>
      <c r="Y34" s="98">
        <f>IF($W34="DIRECT","",DAVERAGE('[1]literature entries'!$D:$AI,IF($J34=1,"ACTIVE     CED, FARM GATE (MJ/kg)","CED, processor gate (MJ/kg)"),INDIRECT($W34)))</f>
        <v/>
      </c>
      <c r="Z34" s="98">
        <f>IF($W34="DIRECT",$O34,DSTDEV('[1]literature entries'!$D:$AI,IF($J34=1,"ACTIVE     CED, FARM GATE (MJ/kg)","CED, processor gate (MJ/kg)"),INDIRECT($W34)))</f>
        <v/>
      </c>
      <c r="AA34" s="98">
        <f>IF($W34="DIRECT",$O34,$Z34/$Y34*$N34)</f>
        <v/>
      </c>
      <c r="AB34" s="99">
        <f>IF(P34="PROXY",IF(Q34&gt;=5,K34,"need group"),IF(Q34&gt;=5,"DIRECT","need group"))</f>
        <v/>
      </c>
      <c r="AC34" s="99">
        <f>IF($AB34="DIRECT",Q34,DCOUNT('[1]literature entries'!$D:$AI,IF($J34=1,"ACTIVE     GHGE, FARM GATE (kg CO2e/kg)","GHGE, processor gate (kg CO2e/kg)"),INDIRECT($AB34)))</f>
        <v/>
      </c>
      <c r="AD34" s="99">
        <f>IF($AB34="DIRECT","",DAVERAGE('[1]literature entries'!$D:$AI,IF($J34=1,"ACTIVE     GHGE, FARM GATE (kg CO2e/kg)","GHGE, processor gate (kg CO2e/kg)"),INDIRECT($AB34)))</f>
        <v/>
      </c>
      <c r="AE34" s="99">
        <f>IF($AB34="DIRECT",$S34,DSTDEV('[1]literature entries'!$D:$AI,IF($J34=1,"ACTIVE     GHGE, FARM GATE (kg CO2e/kg)","GHGE, processor gate (kg CO2e/kg)"),INDIRECT($AB34)))</f>
        <v/>
      </c>
      <c r="AF34" s="99">
        <f>IF($AB34="DIRECT",$S34,$AE34/$AD34*$R34)</f>
        <v/>
      </c>
    </row>
    <row r="35" ht="15.75" customHeight="1" s="201">
      <c r="A35" s="100" t="n">
        <v>200101000</v>
      </c>
      <c r="B35" s="101" t="inlineStr">
        <is>
          <t>Chicory, tops</t>
        </is>
      </c>
      <c r="C35" s="101" t="inlineStr">
        <is>
          <t>weight of leaves</t>
        </is>
      </c>
      <c r="D35" s="101" t="n"/>
      <c r="E35" s="101" t="n">
        <v>1557</v>
      </c>
      <c r="F35" s="84">
        <f>N35*H35+T35</f>
        <v/>
      </c>
      <c r="G35" s="85">
        <f>R35*H35+U35</f>
        <v/>
      </c>
      <c r="H35" s="102" t="n">
        <v>1.146</v>
      </c>
      <c r="I35" s="103" t="inlineStr">
        <is>
          <t>FICRCD</t>
        </is>
      </c>
      <c r="J35" s="104" t="n">
        <v>1</v>
      </c>
      <c r="K35" s="89" t="inlineStr">
        <is>
          <t>Escarole</t>
        </is>
      </c>
      <c r="L35" s="90">
        <f>IF(ISERROR(GETPIVOTDATA(IF($J35=1,"Count of ACTIVE     CED, FARM GATE (MJ/kg)","Count of CED, processor gate (MJ/kg)"),'[1]Pivot Table_CED'!$A$3,"SUB TYPE",$B35)),"PROXY",IF(GETPIVOTDATA(IF($J35=1,"Count of ACTIVE     CED, FARM GATE (MJ/kg)","Count of CED, processor gate (MJ/kg)"),'[1]Pivot Table_CED'!$A$3,"SUB TYPE",$B35)=0,"PROXY","DB value"))</f>
        <v/>
      </c>
      <c r="M35" s="91">
        <f>IF($L35="PROXY",DCOUNT('[1]literature entries'!$D:$AI,IF($J35=1,"ACTIVE     CED, FARM GATE (MJ/kg)","CED, processor gate (MJ/kg)"),INDIRECT($K35)),GETPIVOTDATA(IF($J35=1,"Count of ACTIVE     CED, FARM GATE (MJ/kg)","Count of CED, processor gate (MJ/kg)"),'[1]Pivot Table_CED'!$A$3,"SUB TYPE",$B35))</f>
        <v/>
      </c>
      <c r="N35" s="92">
        <f>IF($L35="PROXY",DAVERAGE('[1]literature entries'!$D:$AI,IF($J35=1,"ACTIVE     CED, FARM GATE (MJ/kg)","CED, processor gate (MJ/kg)"),INDIRECT($K35)),GETPIVOTDATA(IF($J35=1,"Average of ACTIVE     CED, FARM GATE (MJ/kg)","Average of CED, processor gate (MJ/kg)"),'[1]Pivot Table_CED'!$A$3,"SUB TYPE",$B35))</f>
        <v/>
      </c>
      <c r="O35" s="92">
        <f>IF($L35="PROXY",DSTDEV('[1]literature entries'!D:AI,IF($J35=1,"ACTIVE     CED, FARM GATE (MJ/kg)","CED, processor gate (MJ/kg)"),INDIRECT($K35)),GETPIVOTDATA(IF($J35=1,"StdDev of ACTIVE     CED, FARM GATE (MJ/kg)","StdDev of CED, processor gate (MJ/kg)"),'[1]Pivot Table_CED'!$A$3,"SUB TYPE",$B35))</f>
        <v/>
      </c>
      <c r="P35" s="90">
        <f>IF(ISERROR(GETPIVOTDATA(IF($J35=1,"Count of ACTIVE     GHGE, FARM GATE (kg CO2e/kg)","Count of GHGE, processor gate (kg CO2e/kg)"),'[1]Pivot Table_GHG'!$A$3,"SUB TYPE",$B35)),"PROXY",IF(GETPIVOTDATA(IF($J35=1,"Count of ACTIVE     GHGE, FARM GATE (kg CO2e/kg)","Count of GHGE, processor gate (kg CO2e/kg)"),'[1]Pivot Table_GHG'!$A$3,"SUB TYPE",$B35)=0,"PROXY","DB value"))</f>
        <v/>
      </c>
      <c r="Q35" s="93">
        <f>IF($P35="PROXY",DCOUNT('[1]literature entries'!$D:$AI,IF($J35=1,"ACTIVE     GHGE, FARM GATE (kg CO2e/kg)","GHGE, processor gate (kg CO2e/kg)"),INDIRECT($K35)),GETPIVOTDATA(IF($J35=1,"ACTIVE     GHGE, FARM GATE (kg CO2e/kg)","Count of GHGE, processor gate (kg CO2e/kg)"),'[1]Pivot Table_GHG'!$A$3,"SUB TYPE",$B35))</f>
        <v/>
      </c>
      <c r="R35" s="94">
        <f>IF($P35="PROXY",DAVERAGE('[1]literature entries'!$D:$AI,IF($J35=1,"ACTIVE     GHGE, FARM GATE (kg CO2e/kg)","GHGE, processor gate (kg CO2e/kg)"),INDIRECT($K35)),GETPIVOTDATA(IF($J35=1,"Average of ACTIVE     GHGE, FARM GATE (kg CO2e/kg)","Average of GHGE, processor gate (kg CO2e/kg)"),'[1]Pivot Table_GHG'!$A$3,"SUB TYPE",$B35))</f>
        <v/>
      </c>
      <c r="S35" s="94">
        <f>IF($P35="PROXY",DSTDEV('[1]literature entries'!$D:$AI,IF($J35=1,"ACTIVE     GHGE, FARM GATE (kg CO2e/kg)","GHGE, processor gate (kg CO2e/kg)"),INDIRECT($K35)),GETPIVOTDATA(IF($J35=1,"StdDev of ACTIVE     GHGE, FARM GATE (kg CO2e/kg)","StdDev of GHGE, processor gate (kg CO2e/kg)"),'[1]Pivot Table_GHG'!$A$3,"SUB TYPE",$B35))</f>
        <v/>
      </c>
      <c r="T35" s="105" t="n"/>
      <c r="U35" s="106" t="n"/>
      <c r="V35" s="97" t="n"/>
      <c r="W35" s="98" t="inlineStr">
        <is>
          <t>greens</t>
        </is>
      </c>
      <c r="X35" s="98">
        <f>IF($W35="DIRECT",M35,DCOUNT('[1]literature entries'!$D:$AI,IF($J35=1,"ACTIVE     CED, FARM GATE (MJ/kg)","CED, processor gate (MJ/kg)"),INDIRECT($W35)))</f>
        <v/>
      </c>
      <c r="Y35" s="98">
        <f>IF($W35="DIRECT","",DAVERAGE('[1]literature entries'!$D:$AI,IF($J35=1,"ACTIVE     CED, FARM GATE (MJ/kg)","CED, processor gate (MJ/kg)"),INDIRECT($W35)))</f>
        <v/>
      </c>
      <c r="Z35" s="98">
        <f>IF($W35="DIRECT",$O35,DSTDEV('[1]literature entries'!$D:$AI,IF($J35=1,"ACTIVE     CED, FARM GATE (MJ/kg)","CED, processor gate (MJ/kg)"),INDIRECT($W35)))</f>
        <v/>
      </c>
      <c r="AA35" s="98">
        <f>IF($W35="DIRECT",$O35,$Z35/$Y35*$N35)</f>
        <v/>
      </c>
      <c r="AB35" s="99" t="inlineStr">
        <is>
          <t>greens</t>
        </is>
      </c>
      <c r="AC35" s="99">
        <f>IF($AB35="DIRECT",Q35,DCOUNT('[1]literature entries'!$D:$AI,IF($J35=1,"ACTIVE     GHGE, FARM GATE (kg CO2e/kg)","GHGE, processor gate (kg CO2e/kg)"),INDIRECT($AB35)))</f>
        <v/>
      </c>
      <c r="AD35" s="99">
        <f>IF($AB35="DIRECT","",DAVERAGE('[1]literature entries'!$D:$AI,IF($J35=1,"ACTIVE     GHGE, FARM GATE (kg CO2e/kg)","GHGE, processor gate (kg CO2e/kg)"),INDIRECT($AB35)))</f>
        <v/>
      </c>
      <c r="AE35" s="99">
        <f>IF($AB35="DIRECT",$S35,DSTDEV('[1]literature entries'!$D:$AI,IF($J35=1,"ACTIVE     GHGE, FARM GATE (kg CO2e/kg)","GHGE, processor gate (kg CO2e/kg)"),INDIRECT($AB35)))</f>
        <v/>
      </c>
      <c r="AF35" s="99">
        <f>IF($AB35="DIRECT",$S35,$AE35/$AD35*$R35)</f>
        <v/>
      </c>
    </row>
    <row r="36" ht="15.75" customHeight="1" s="201">
      <c r="A36" s="100" t="n">
        <v>200140000</v>
      </c>
      <c r="B36" s="101" t="inlineStr">
        <is>
          <t>Dasheen, leaves</t>
        </is>
      </c>
      <c r="C36" s="101" t="inlineStr">
        <is>
          <t>weight of the leaves</t>
        </is>
      </c>
      <c r="D36" s="101" t="inlineStr">
        <is>
          <t>Includes taro.</t>
        </is>
      </c>
      <c r="E36" s="101" t="n">
        <v>3</v>
      </c>
      <c r="F36" s="84">
        <f>N36*H36+T36</f>
        <v/>
      </c>
      <c r="G36" s="85">
        <f>R36*H36+U36</f>
        <v/>
      </c>
      <c r="H36" s="102" t="n">
        <v>1</v>
      </c>
      <c r="I36" s="103" t="inlineStr">
        <is>
          <t>None</t>
        </is>
      </c>
      <c r="J36" s="104" t="n">
        <v>1</v>
      </c>
      <c r="K36" s="89" t="inlineStr">
        <is>
          <t>greens</t>
        </is>
      </c>
      <c r="L36" s="90">
        <f>IF(ISERROR(GETPIVOTDATA(IF($J36=1,"Count of ACTIVE     CED, FARM GATE (MJ/kg)","Count of CED, processor gate (MJ/kg)"),'[1]Pivot Table_CED'!$A$3,"SUB TYPE",$B36)),"PROXY",IF(GETPIVOTDATA(IF($J36=1,"Count of ACTIVE     CED, FARM GATE (MJ/kg)","Count of CED, processor gate (MJ/kg)"),'[1]Pivot Table_CED'!$A$3,"SUB TYPE",$B36)=0,"PROXY","DB value"))</f>
        <v/>
      </c>
      <c r="M36" s="91">
        <f>IF($L36="PROXY",DCOUNT('[1]literature entries'!$D:$AI,IF($J36=1,"ACTIVE     CED, FARM GATE (MJ/kg)","CED, processor gate (MJ/kg)"),INDIRECT($K36)),GETPIVOTDATA(IF($J36=1,"Count of ACTIVE     CED, FARM GATE (MJ/kg)","Count of CED, processor gate (MJ/kg)"),'[1]Pivot Table_CED'!$A$3,"SUB TYPE",$B36))</f>
        <v/>
      </c>
      <c r="N36" s="92">
        <f>IF($L36="PROXY",DAVERAGE('[1]literature entries'!$D:$AI,IF($J36=1,"ACTIVE     CED, FARM GATE (MJ/kg)","CED, processor gate (MJ/kg)"),INDIRECT($K36)),GETPIVOTDATA(IF($J36=1,"Average of ACTIVE     CED, FARM GATE (MJ/kg)","Average of CED, processor gate (MJ/kg)"),'[1]Pivot Table_CED'!$A$3,"SUB TYPE",$B36))</f>
        <v/>
      </c>
      <c r="O36" s="92">
        <f>IF($L36="PROXY",DSTDEV('[1]literature entries'!D:AI,IF($J36=1,"ACTIVE     CED, FARM GATE (MJ/kg)","CED, processor gate (MJ/kg)"),INDIRECT($K36)),GETPIVOTDATA(IF($J36=1,"StdDev of ACTIVE     CED, FARM GATE (MJ/kg)","StdDev of CED, processor gate (MJ/kg)"),'[1]Pivot Table_CED'!$A$3,"SUB TYPE",$B36))</f>
        <v/>
      </c>
      <c r="P36" s="90">
        <f>IF(ISERROR(GETPIVOTDATA(IF($J36=1,"Count of ACTIVE     GHGE, FARM GATE (kg CO2e/kg)","Count of GHGE, processor gate (kg CO2e/kg)"),'[1]Pivot Table_GHG'!$A$3,"SUB TYPE",$B36)),"PROXY",IF(GETPIVOTDATA(IF($J36=1,"Count of ACTIVE     GHGE, FARM GATE (kg CO2e/kg)","Count of GHGE, processor gate (kg CO2e/kg)"),'[1]Pivot Table_GHG'!$A$3,"SUB TYPE",$B36)=0,"PROXY","DB value"))</f>
        <v/>
      </c>
      <c r="Q36" s="93">
        <f>IF($P36="PROXY",DCOUNT('[1]literature entries'!$D:$AI,IF($J36=1,"ACTIVE     GHGE, FARM GATE (kg CO2e/kg)","GHGE, processor gate (kg CO2e/kg)"),INDIRECT($K36)),GETPIVOTDATA(IF($J36=1,"ACTIVE     GHGE, FARM GATE (kg CO2e/kg)","Count of GHGE, processor gate (kg CO2e/kg)"),'[1]Pivot Table_GHG'!$A$3,"SUB TYPE",$B36))</f>
        <v/>
      </c>
      <c r="R36" s="94">
        <f>IF($P36="PROXY",DAVERAGE('[1]literature entries'!$D:$AI,IF($J36=1,"ACTIVE     GHGE, FARM GATE (kg CO2e/kg)","GHGE, processor gate (kg CO2e/kg)"),INDIRECT($K36)),GETPIVOTDATA(IF($J36=1,"Average of ACTIVE     GHGE, FARM GATE (kg CO2e/kg)","Average of GHGE, processor gate (kg CO2e/kg)"),'[1]Pivot Table_GHG'!$A$3,"SUB TYPE",$B36))</f>
        <v/>
      </c>
      <c r="S36" s="94">
        <f>IF($P36="PROXY",DSTDEV('[1]literature entries'!$D:$AI,IF($J36=1,"ACTIVE     GHGE, FARM GATE (kg CO2e/kg)","GHGE, processor gate (kg CO2e/kg)"),INDIRECT($K36)),GETPIVOTDATA(IF($J36=1,"StdDev of ACTIVE     GHGE, FARM GATE (kg CO2e/kg)","StdDev of GHGE, processor gate (kg CO2e/kg)"),'[1]Pivot Table_GHG'!$A$3,"SUB TYPE",$B36))</f>
        <v/>
      </c>
      <c r="T36" s="105" t="n"/>
      <c r="U36" s="106" t="n"/>
      <c r="V36" s="97" t="n"/>
      <c r="W36" s="98">
        <f>IF(L36="PROXY",IF(M36&gt;=5,K36,"need group"),IF(M36&gt;=5,"DIRECT","need group"))</f>
        <v/>
      </c>
      <c r="X36" s="98">
        <f>IF($W36="DIRECT",M36,DCOUNT('[1]literature entries'!$D:$AI,IF($J36=1,"ACTIVE     CED, FARM GATE (MJ/kg)","CED, processor gate (MJ/kg)"),INDIRECT($W36)))</f>
        <v/>
      </c>
      <c r="Y36" s="98">
        <f>IF($W36="DIRECT","",DAVERAGE('[1]literature entries'!$D:$AI,IF($J36=1,"ACTIVE     CED, FARM GATE (MJ/kg)","CED, processor gate (MJ/kg)"),INDIRECT($W36)))</f>
        <v/>
      </c>
      <c r="Z36" s="98">
        <f>IF($W36="DIRECT",$O36,DSTDEV('[1]literature entries'!$D:$AI,IF($J36=1,"ACTIVE     CED, FARM GATE (MJ/kg)","CED, processor gate (MJ/kg)"),INDIRECT($W36)))</f>
        <v/>
      </c>
      <c r="AA36" s="98">
        <f>IF($W36="DIRECT",$O36,$Z36/$Y36*$N36)</f>
        <v/>
      </c>
      <c r="AB36" s="99">
        <f>IF(P36="PROXY",IF(Q36&gt;=5,K36,"need group"),IF(Q36&gt;=5,"DIRECT","need group"))</f>
        <v/>
      </c>
      <c r="AC36" s="99">
        <f>IF($AB36="DIRECT",Q36,DCOUNT('[1]literature entries'!$D:$AI,IF($J36=1,"ACTIVE     GHGE, FARM GATE (kg CO2e/kg)","GHGE, processor gate (kg CO2e/kg)"),INDIRECT($AB36)))</f>
        <v/>
      </c>
      <c r="AD36" s="99">
        <f>IF($AB36="DIRECT","",DAVERAGE('[1]literature entries'!$D:$AI,IF($J36=1,"ACTIVE     GHGE, FARM GATE (kg CO2e/kg)","GHGE, processor gate (kg CO2e/kg)"),INDIRECT($AB36)))</f>
        <v/>
      </c>
      <c r="AE36" s="99">
        <f>IF($AB36="DIRECT",$S36,DSTDEV('[1]literature entries'!$D:$AI,IF($J36=1,"ACTIVE     GHGE, FARM GATE (kg CO2e/kg)","GHGE, processor gate (kg CO2e/kg)"),INDIRECT($AB36)))</f>
        <v/>
      </c>
      <c r="AF36" s="99">
        <f>IF($AB36="DIRECT",$S36,$AE36/$AD36*$R36)</f>
        <v/>
      </c>
    </row>
    <row r="37" ht="15.75" customHeight="1" s="201">
      <c r="A37" s="100" t="n">
        <v>301165000</v>
      </c>
      <c r="B37" s="101" t="inlineStr">
        <is>
          <t>Garlic, bulb</t>
        </is>
      </c>
      <c r="C37" s="101" t="inlineStr">
        <is>
          <t>dry weight of bulb; excluding skin (outer scales)</t>
        </is>
      </c>
      <c r="D37" s="101" t="inlineStr">
        <is>
          <t>same as Garlic, bulb includes great headed garlic, serpent garlic, and elephant garlic.</t>
        </is>
      </c>
      <c r="E37" s="101" t="n">
        <v>33951</v>
      </c>
      <c r="F37" s="84">
        <f>N37*H37+T37</f>
        <v/>
      </c>
      <c r="G37" s="85">
        <f>R37*H37+U37</f>
        <v/>
      </c>
      <c r="H37" s="102" t="n">
        <v>1.15</v>
      </c>
      <c r="I37" s="102" t="inlineStr">
        <is>
          <t>FICRCD</t>
        </is>
      </c>
      <c r="J37" s="104" t="n">
        <v>1</v>
      </c>
      <c r="K37" s="89" t="inlineStr">
        <is>
          <t>onion_bulb</t>
        </is>
      </c>
      <c r="L37" s="90">
        <f>IF(ISERROR(GETPIVOTDATA(IF($J37=1,"Count of ACTIVE     CED, FARM GATE (MJ/kg)","Count of CED, processor gate (MJ/kg)"),'[1]Pivot Table_CED'!$A$3,"SUB TYPE",$B37)),"PROXY",IF(GETPIVOTDATA(IF($J37=1,"Count of ACTIVE     CED, FARM GATE (MJ/kg)","Count of CED, processor gate (MJ/kg)"),'[1]Pivot Table_CED'!$A$3,"SUB TYPE",$B37)=0,"PROXY","DB value"))</f>
        <v/>
      </c>
      <c r="M37" s="91">
        <f>IF($L37="PROXY",DCOUNT('[1]literature entries'!$D:$AI,IF($J37=1,"ACTIVE     CED, FARM GATE (MJ/kg)","CED, processor gate (MJ/kg)"),INDIRECT($K37)),GETPIVOTDATA(IF($J37=1,"Count of ACTIVE     CED, FARM GATE (MJ/kg)","Count of CED, processor gate (MJ/kg)"),'[1]Pivot Table_CED'!$A$3,"SUB TYPE",$B37))</f>
        <v/>
      </c>
      <c r="N37" s="92">
        <f>IF($L37="PROXY",DAVERAGE('[1]literature entries'!$D:$AI,IF($J37=1,"ACTIVE     CED, FARM GATE (MJ/kg)","CED, processor gate (MJ/kg)"),INDIRECT($K37)),GETPIVOTDATA(IF($J37=1,"Average of ACTIVE     CED, FARM GATE (MJ/kg)","Average of CED, processor gate (MJ/kg)"),'[1]Pivot Table_CED'!$A$3,"SUB TYPE",$B37))</f>
        <v/>
      </c>
      <c r="O37" s="92">
        <f>IF($L37="PROXY",DSTDEV('[1]literature entries'!D:AI,IF($J37=1,"ACTIVE     CED, FARM GATE (MJ/kg)","CED, processor gate (MJ/kg)"),INDIRECT($K37)),GETPIVOTDATA(IF($J37=1,"StdDev of ACTIVE     CED, FARM GATE (MJ/kg)","StdDev of CED, processor gate (MJ/kg)"),'[1]Pivot Table_CED'!$A$3,"SUB TYPE",$B37))</f>
        <v/>
      </c>
      <c r="P37" s="90">
        <f>IF(ISERROR(GETPIVOTDATA(IF($J37=1,"Count of ACTIVE     GHGE, FARM GATE (kg CO2e/kg)","Count of GHGE, processor gate (kg CO2e/kg)"),'[1]Pivot Table_GHG'!$A$3,"SUB TYPE",$B37)),"PROXY",IF(GETPIVOTDATA(IF($J37=1,"Count of ACTIVE     GHGE, FARM GATE (kg CO2e/kg)","Count of GHGE, processor gate (kg CO2e/kg)"),'[1]Pivot Table_GHG'!$A$3,"SUB TYPE",$B37)=0,"PROXY","DB value"))</f>
        <v/>
      </c>
      <c r="Q37" s="93">
        <f>IF($P37="PROXY",DCOUNT('[1]literature entries'!$D:$AI,IF($J37=1,"ACTIVE     GHGE, FARM GATE (kg CO2e/kg)","GHGE, processor gate (kg CO2e/kg)"),INDIRECT($K37)),GETPIVOTDATA(IF($J37=1,"ACTIVE     GHGE, FARM GATE (kg CO2e/kg)","Count of GHGE, processor gate (kg CO2e/kg)"),'[1]Pivot Table_GHG'!$A$3,"SUB TYPE",$B37))</f>
        <v/>
      </c>
      <c r="R37" s="94">
        <f>IF($P37="PROXY",DAVERAGE('[1]literature entries'!$D:$AI,IF($J37=1,"ACTIVE     GHGE, FARM GATE (kg CO2e/kg)","GHGE, processor gate (kg CO2e/kg)"),INDIRECT($K37)),GETPIVOTDATA(IF($J37=1,"Average of ACTIVE     GHGE, FARM GATE (kg CO2e/kg)","Average of GHGE, processor gate (kg CO2e/kg)"),'[1]Pivot Table_GHG'!$A$3,"SUB TYPE",$B37))</f>
        <v/>
      </c>
      <c r="S37" s="94">
        <f>IF($P37="PROXY",DSTDEV('[1]literature entries'!$D:$AI,IF($J37=1,"ACTIVE     GHGE, FARM GATE (kg CO2e/kg)","GHGE, processor gate (kg CO2e/kg)"),INDIRECT($K37)),GETPIVOTDATA(IF($J37=1,"StdDev of ACTIVE     GHGE, FARM GATE (kg CO2e/kg)","StdDev of GHGE, processor gate (kg CO2e/kg)"),'[1]Pivot Table_GHG'!$A$3,"SUB TYPE",$B37))</f>
        <v/>
      </c>
      <c r="T37" s="105" t="n"/>
      <c r="U37" s="106" t="n"/>
      <c r="V37" s="97" t="n"/>
      <c r="W37" s="98">
        <f>IF(L37="PROXY",IF(M37&gt;=5,K37,"need group"),IF(M37&gt;=5,"DIRECT","need group"))</f>
        <v/>
      </c>
      <c r="X37" s="98">
        <f>IF($W37="DIRECT",M37,DCOUNT('[1]literature entries'!$D:$AI,IF($J37=1,"ACTIVE     CED, FARM GATE (MJ/kg)","CED, processor gate (MJ/kg)"),INDIRECT($W37)))</f>
        <v/>
      </c>
      <c r="Y37" s="98">
        <f>IF($W37="DIRECT","",DAVERAGE('[1]literature entries'!$D:$AI,IF($J37=1,"ACTIVE     CED, FARM GATE (MJ/kg)","CED, processor gate (MJ/kg)"),INDIRECT($W37)))</f>
        <v/>
      </c>
      <c r="Z37" s="98">
        <f>IF($W37="DIRECT",$O37,DSTDEV('[1]literature entries'!$D:$AI,IF($J37=1,"ACTIVE     CED, FARM GATE (MJ/kg)","CED, processor gate (MJ/kg)"),INDIRECT($W37)))</f>
        <v/>
      </c>
      <c r="AA37" s="98">
        <f>IF($W37="DIRECT",$O37,$Z37/$Y37*$N37)</f>
        <v/>
      </c>
      <c r="AB37" s="99" t="inlineStr">
        <is>
          <t>onion_bulb</t>
        </is>
      </c>
      <c r="AC37" s="99">
        <f>IF($AB37="DIRECT",Q37,DCOUNT('[1]literature entries'!$D:$AI,IF($J37=1,"ACTIVE     GHGE, FARM GATE (kg CO2e/kg)","GHGE, processor gate (kg CO2e/kg)"),INDIRECT($AB37)))</f>
        <v/>
      </c>
      <c r="AD37" s="99">
        <f>IF($AB37="DIRECT","",DAVERAGE('[1]literature entries'!$D:$AI,IF($J37=1,"ACTIVE     GHGE, FARM GATE (kg CO2e/kg)","GHGE, processor gate (kg CO2e/kg)"),INDIRECT($AB37)))</f>
        <v/>
      </c>
      <c r="AE37" s="99">
        <f>IF($AB37="DIRECT",$S37,DSTDEV('[1]literature entries'!$D:$AI,IF($J37=1,"ACTIVE     GHGE, FARM GATE (kg CO2e/kg)","GHGE, processor gate (kg CO2e/kg)"),INDIRECT($AB37)))</f>
        <v/>
      </c>
      <c r="AF37" s="99">
        <f>IF($AB37="DIRECT",$S37,$AE37/$AD37*$R37)</f>
        <v/>
      </c>
    </row>
    <row r="38" ht="15.75" customHeight="1" s="201">
      <c r="A38" s="100" t="n">
        <v>301237000</v>
      </c>
      <c r="B38" s="101" t="inlineStr">
        <is>
          <t>Onion, bulb</t>
        </is>
      </c>
      <c r="C38" s="101" t="inlineStr">
        <is>
          <t>weight of bulb; excluding outer skin</t>
        </is>
      </c>
      <c r="D38" s="101" t="inlineStr">
        <is>
          <t>Includes Daylily; Fritillaria, bulb; Lily; Chinese onion, bulb.</t>
        </is>
      </c>
      <c r="E38" s="101" t="n">
        <v>33634</v>
      </c>
      <c r="F38" s="84">
        <f>N38*H38+T38</f>
        <v/>
      </c>
      <c r="G38" s="85">
        <f>R38*H38+U38</f>
        <v/>
      </c>
      <c r="H38" s="102" t="n">
        <v>1.11</v>
      </c>
      <c r="I38" s="102" t="inlineStr">
        <is>
          <t>FICRCD</t>
        </is>
      </c>
      <c r="J38" s="104" t="n">
        <v>1</v>
      </c>
      <c r="K38" s="89" t="n"/>
      <c r="L38" s="90">
        <f>IF(ISERROR(GETPIVOTDATA(IF($J38=1,"Count of ACTIVE     CED, FARM GATE (MJ/kg)","Count of CED, processor gate (MJ/kg)"),'[1]Pivot Table_CED'!$A$3,"SUB TYPE",$B38)),"PROXY",IF(GETPIVOTDATA(IF($J38=1,"Count of ACTIVE     CED, FARM GATE (MJ/kg)","Count of CED, processor gate (MJ/kg)"),'[1]Pivot Table_CED'!$A$3,"SUB TYPE",$B38)=0,"PROXY","DB value"))</f>
        <v/>
      </c>
      <c r="M38" s="91">
        <f>IF($L38="PROXY",DCOUNT('[1]literature entries'!$D:$AI,IF($J38=1,"ACTIVE     CED, FARM GATE (MJ/kg)","CED, processor gate (MJ/kg)"),INDIRECT($K38)),GETPIVOTDATA(IF($J38=1,"Count of ACTIVE     CED, FARM GATE (MJ/kg)","Count of CED, processor gate (MJ/kg)"),'[1]Pivot Table_CED'!$A$3,"SUB TYPE",$B38))</f>
        <v/>
      </c>
      <c r="N38" s="92">
        <f>IF($L38="PROXY",DAVERAGE('[1]literature entries'!$D:$AI,IF($J38=1,"ACTIVE     CED, FARM GATE (MJ/kg)","CED, processor gate (MJ/kg)"),INDIRECT($K38)),GETPIVOTDATA(IF($J38=1,"Average of ACTIVE     CED, FARM GATE (MJ/kg)","Average of CED, processor gate (MJ/kg)"),'[1]Pivot Table_CED'!$A$3,"SUB TYPE",$B38))</f>
        <v/>
      </c>
      <c r="O38" s="92">
        <f>IF($L38="PROXY",DSTDEV('[1]literature entries'!D:AI,IF($J38=1,"ACTIVE     CED, FARM GATE (MJ/kg)","CED, processor gate (MJ/kg)"),INDIRECT($K38)),GETPIVOTDATA(IF($J38=1,"StdDev of ACTIVE     CED, FARM GATE (MJ/kg)","StdDev of CED, processor gate (MJ/kg)"),'[1]Pivot Table_CED'!$A$3,"SUB TYPE",$B38))</f>
        <v/>
      </c>
      <c r="P38" s="90">
        <f>IF(ISERROR(GETPIVOTDATA(IF($J38=1,"Count of ACTIVE     GHGE, FARM GATE (kg CO2e/kg)","Count of GHGE, processor gate (kg CO2e/kg)"),'[1]Pivot Table_GHG'!$A$3,"SUB TYPE",$B38)),"PROXY",IF(GETPIVOTDATA(IF($J38=1,"Count of ACTIVE     GHGE, FARM GATE (kg CO2e/kg)","Count of GHGE, processor gate (kg CO2e/kg)"),'[1]Pivot Table_GHG'!$A$3,"SUB TYPE",$B38)=0,"PROXY","DB value"))</f>
        <v/>
      </c>
      <c r="Q38" s="93">
        <f>IF($P38="PROXY",DCOUNT('[1]literature entries'!$D:$AI,IF($J38=1,"ACTIVE     GHGE, FARM GATE (kg CO2e/kg)","GHGE, processor gate (kg CO2e/kg)"),INDIRECT($K38)),GETPIVOTDATA(IF($J38=1,"ACTIVE     GHGE, FARM GATE (kg CO2e/kg)","Count of GHGE, processor gate (kg CO2e/kg)"),'[1]Pivot Table_GHG'!$A$3,"SUB TYPE",$B38))</f>
        <v/>
      </c>
      <c r="R38" s="94">
        <f>IF($P38="PROXY",DAVERAGE('[1]literature entries'!$D:$AI,IF($J38=1,"ACTIVE     GHGE, FARM GATE (kg CO2e/kg)","GHGE, processor gate (kg CO2e/kg)"),INDIRECT($K38)),GETPIVOTDATA(IF($J38=1,"Average of ACTIVE     GHGE, FARM GATE (kg CO2e/kg)","Average of GHGE, processor gate (kg CO2e/kg)"),'[1]Pivot Table_GHG'!$A$3,"SUB TYPE",$B38))</f>
        <v/>
      </c>
      <c r="S38" s="94">
        <f>IF($P38="PROXY",DSTDEV('[1]literature entries'!$D:$AI,IF($J38=1,"ACTIVE     GHGE, FARM GATE (kg CO2e/kg)","GHGE, processor gate (kg CO2e/kg)"),INDIRECT($K38)),GETPIVOTDATA(IF($J38=1,"StdDev of ACTIVE     GHGE, FARM GATE (kg CO2e/kg)","StdDev of GHGE, processor gate (kg CO2e/kg)"),'[1]Pivot Table_GHG'!$A$3,"SUB TYPE",$B38))</f>
        <v/>
      </c>
      <c r="T38" s="105" t="n"/>
      <c r="U38" s="106" t="n"/>
      <c r="V38" s="97" t="n"/>
      <c r="W38" s="98">
        <f>IF(L38="PROXY",IF(M38&gt;=5,K38,"need group"),IF(M38&gt;=5,"DIRECT","need group"))</f>
        <v/>
      </c>
      <c r="X38" s="98">
        <f>IF($W38="DIRECT",M38,DCOUNT('[1]literature entries'!$D:$AI,IF($J38=1,"ACTIVE     CED, FARM GATE (MJ/kg)","CED, processor gate (MJ/kg)"),INDIRECT($W38)))</f>
        <v/>
      </c>
      <c r="Y38" s="98">
        <f>IF($W38="DIRECT","",DAVERAGE('[1]literature entries'!$D:$AI,IF($J38=1,"ACTIVE     CED, FARM GATE (MJ/kg)","CED, processor gate (MJ/kg)"),INDIRECT($W38)))</f>
        <v/>
      </c>
      <c r="Z38" s="98">
        <f>IF($W38="DIRECT",$O38,DSTDEV('[1]literature entries'!$D:$AI,IF($J38=1,"ACTIVE     CED, FARM GATE (MJ/kg)","CED, processor gate (MJ/kg)"),INDIRECT($W38)))</f>
        <v/>
      </c>
      <c r="AA38" s="98">
        <f>IF($W38="DIRECT",$O38,$Z38/$Y38*$N38)</f>
        <v/>
      </c>
      <c r="AB38" s="99">
        <f>IF(P38="PROXY",IF(Q38&gt;=5,K38,"need group"),IF(Q38&gt;=5,"DIRECT","need group"))</f>
        <v/>
      </c>
      <c r="AC38" s="99">
        <f>IF($AB38="DIRECT",Q38,DCOUNT('[1]literature entries'!$D:$AI,IF($J38=1,"ACTIVE     GHGE, FARM GATE (kg CO2e/kg)","GHGE, processor gate (kg CO2e/kg)"),INDIRECT($AB38)))</f>
        <v/>
      </c>
      <c r="AD38" s="99">
        <f>IF($AB38="DIRECT","",DAVERAGE('[1]literature entries'!$D:$AI,IF($J38=1,"ACTIVE     GHGE, FARM GATE (kg CO2e/kg)","GHGE, processor gate (kg CO2e/kg)"),INDIRECT($AB38)))</f>
        <v/>
      </c>
      <c r="AE38" s="99">
        <f>IF($AB38="DIRECT",$S38,DSTDEV('[1]literature entries'!$D:$AI,IF($J38=1,"ACTIVE     GHGE, FARM GATE (kg CO2e/kg)","GHGE, processor gate (kg CO2e/kg)"),INDIRECT($AB38)))</f>
        <v/>
      </c>
      <c r="AF38" s="99">
        <f>IF($AB38="DIRECT",$S38,$AE38/$AD38*$R38)</f>
        <v/>
      </c>
    </row>
    <row r="39" ht="15.75" customHeight="1" s="201">
      <c r="A39" s="100" t="n">
        <v>301238000</v>
      </c>
      <c r="B39" s="101" t="inlineStr">
        <is>
          <t>Onion, bulb, dried</t>
        </is>
      </c>
      <c r="C39" s="101" t="inlineStr">
        <is>
          <t>dry weight of bulb; excluding outer skin</t>
        </is>
      </c>
      <c r="D39" s="101" t="inlineStr">
        <is>
          <t>Includes Daylily; Fritillaria, bulb; Lily; Chinese onion, bulb.</t>
        </is>
      </c>
      <c r="E39" s="101" t="n">
        <v>30475</v>
      </c>
      <c r="F39" s="84">
        <f>N39*H39+T39</f>
        <v/>
      </c>
      <c r="G39" s="85">
        <f>R39*H39+U39</f>
        <v/>
      </c>
      <c r="H39" s="112" t="n">
        <v>8.688000000000001</v>
      </c>
      <c r="I39" s="103" t="inlineStr">
        <is>
          <t>NNDSR28</t>
        </is>
      </c>
      <c r="J39" s="113" t="n">
        <v>1</v>
      </c>
      <c r="K39" s="89" t="inlineStr">
        <is>
          <t>onion_bulb</t>
        </is>
      </c>
      <c r="L39" s="90">
        <f>IF(ISERROR(GETPIVOTDATA(IF($J39=1,"Count of ACTIVE     CED, FARM GATE (MJ/kg)","Count of CED, processor gate (MJ/kg)"),'[1]Pivot Table_CED'!$A$3,"SUB TYPE",$B39)),"PROXY",IF(GETPIVOTDATA(IF($J39=1,"Count of ACTIVE     CED, FARM GATE (MJ/kg)","Count of CED, processor gate (MJ/kg)"),'[1]Pivot Table_CED'!$A$3,"SUB TYPE",$B39)=0,"PROXY","DB value"))</f>
        <v/>
      </c>
      <c r="M39" s="91">
        <f>IF($L39="PROXY",DCOUNT('[1]literature entries'!$D:$AI,IF($J39=1,"ACTIVE     CED, FARM GATE (MJ/kg)","CED, processor gate (MJ/kg)"),INDIRECT($K39)),GETPIVOTDATA(IF($J39=1,"Count of ACTIVE     CED, FARM GATE (MJ/kg)","Count of CED, processor gate (MJ/kg)"),'[1]Pivot Table_CED'!$A$3,"SUB TYPE",$B39))</f>
        <v/>
      </c>
      <c r="N39" s="92">
        <f>IF($L39="PROXY",DAVERAGE('[1]literature entries'!$D:$AI,IF($J39=1,"ACTIVE     CED, FARM GATE (MJ/kg)","CED, processor gate (MJ/kg)"),INDIRECT($K39)),GETPIVOTDATA(IF($J39=1,"Average of ACTIVE     CED, FARM GATE (MJ/kg)","Average of CED, processor gate (MJ/kg)"),'[1]Pivot Table_CED'!$A$3,"SUB TYPE",$B39))</f>
        <v/>
      </c>
      <c r="O39" s="92">
        <f>IF($L39="PROXY",DSTDEV('[1]literature entries'!D:AI,IF($J39=1,"ACTIVE     CED, FARM GATE (MJ/kg)","CED, processor gate (MJ/kg)"),INDIRECT($K39)),GETPIVOTDATA(IF($J39=1,"StdDev of ACTIVE     CED, FARM GATE (MJ/kg)","StdDev of CED, processor gate (MJ/kg)"),'[1]Pivot Table_CED'!$A$3,"SUB TYPE",$B39))</f>
        <v/>
      </c>
      <c r="P39" s="90">
        <f>IF(ISERROR(GETPIVOTDATA(IF($J39=1,"Count of ACTIVE     GHGE, FARM GATE (kg CO2e/kg)","Count of GHGE, processor gate (kg CO2e/kg)"),'[1]Pivot Table_GHG'!$A$3,"SUB TYPE",$B39)),"PROXY",IF(GETPIVOTDATA(IF($J39=1,"Count of ACTIVE     GHGE, FARM GATE (kg CO2e/kg)","Count of GHGE, processor gate (kg CO2e/kg)"),'[1]Pivot Table_GHG'!$A$3,"SUB TYPE",$B39)=0,"PROXY","DB value"))</f>
        <v/>
      </c>
      <c r="Q39" s="93">
        <f>IF($P39="PROXY",DCOUNT('[1]literature entries'!$D:$AI,IF($J39=1,"ACTIVE     GHGE, FARM GATE (kg CO2e/kg)","GHGE, processor gate (kg CO2e/kg)"),INDIRECT($K39)),GETPIVOTDATA(IF($J39=1,"ACTIVE     GHGE, FARM GATE (kg CO2e/kg)","Count of GHGE, processor gate (kg CO2e/kg)"),'[1]Pivot Table_GHG'!$A$3,"SUB TYPE",$B39))</f>
        <v/>
      </c>
      <c r="R39" s="94">
        <f>IF($P39="PROXY",DAVERAGE('[1]literature entries'!$D:$AI,IF($J39=1,"ACTIVE     GHGE, FARM GATE (kg CO2e/kg)","GHGE, processor gate (kg CO2e/kg)"),INDIRECT($K39)),GETPIVOTDATA(IF($J39=1,"Average of ACTIVE     GHGE, FARM GATE (kg CO2e/kg)","Average of GHGE, processor gate (kg CO2e/kg)"),'[1]Pivot Table_GHG'!$A$3,"SUB TYPE",$B39))</f>
        <v/>
      </c>
      <c r="S39" s="94">
        <f>IF($P39="PROXY",DSTDEV('[1]literature entries'!$D:$AI,IF($J39=1,"ACTIVE     GHGE, FARM GATE (kg CO2e/kg)","GHGE, processor gate (kg CO2e/kg)"),INDIRECT($K39)),GETPIVOTDATA(IF($J39=1,"StdDev of ACTIVE     GHGE, FARM GATE (kg CO2e/kg)","StdDev of GHGE, processor gate (kg CO2e/kg)"),'[1]Pivot Table_GHG'!$A$3,"SUB TYPE",$B39))</f>
        <v/>
      </c>
      <c r="T39" s="105" t="n"/>
      <c r="U39" s="106" t="n"/>
      <c r="V39" s="97" t="n"/>
      <c r="W39" s="98">
        <f>IF(L39="PROXY",IF(M39&gt;=5,K39,"need group"),IF(M39&gt;=5,"DIRECT","need group"))</f>
        <v/>
      </c>
      <c r="X39" s="98">
        <f>IF($W39="DIRECT",M39,DCOUNT('[1]literature entries'!$D:$AI,IF($J39=1,"ACTIVE     CED, FARM GATE (MJ/kg)","CED, processor gate (MJ/kg)"),INDIRECT($W39)))</f>
        <v/>
      </c>
      <c r="Y39" s="98">
        <f>IF($W39="DIRECT","",DAVERAGE('[1]literature entries'!$D:$AI,IF($J39=1,"ACTIVE     CED, FARM GATE (MJ/kg)","CED, processor gate (MJ/kg)"),INDIRECT($W39)))</f>
        <v/>
      </c>
      <c r="Z39" s="98">
        <f>IF($W39="DIRECT",$O39,DSTDEV('[1]literature entries'!$D:$AI,IF($J39=1,"ACTIVE     CED, FARM GATE (MJ/kg)","CED, processor gate (MJ/kg)"),INDIRECT($W39)))</f>
        <v/>
      </c>
      <c r="AA39" s="98">
        <f>IF($W39="DIRECT",$O39,$Z39/$Y39*$N39)</f>
        <v/>
      </c>
      <c r="AB39" s="99">
        <f>IF(P39="PROXY",IF(Q39&gt;=5,K39,"need group"),IF(Q39&gt;=5,"DIRECT","need group"))</f>
        <v/>
      </c>
      <c r="AC39" s="99">
        <f>IF($AB39="DIRECT",Q39,DCOUNT('[1]literature entries'!$D:$AI,IF($J39=1,"ACTIVE     GHGE, FARM GATE (kg CO2e/kg)","GHGE, processor gate (kg CO2e/kg)"),INDIRECT($AB39)))</f>
        <v/>
      </c>
      <c r="AD39" s="99">
        <f>IF($AB39="DIRECT","",DAVERAGE('[1]literature entries'!$D:$AI,IF($J39=1,"ACTIVE     GHGE, FARM GATE (kg CO2e/kg)","GHGE, processor gate (kg CO2e/kg)"),INDIRECT($AB39)))</f>
        <v/>
      </c>
      <c r="AE39" s="99">
        <f>IF($AB39="DIRECT",$S39,DSTDEV('[1]literature entries'!$D:$AI,IF($J39=1,"ACTIVE     GHGE, FARM GATE (kg CO2e/kg)","GHGE, processor gate (kg CO2e/kg)"),INDIRECT($AB39)))</f>
        <v/>
      </c>
      <c r="AF39" s="99">
        <f>IF($AB39="DIRECT",$S39,$AE39/$AD39*$R39)</f>
        <v/>
      </c>
    </row>
    <row r="40" ht="15.75" customHeight="1" s="201">
      <c r="A40" s="100" t="n">
        <v>301338000</v>
      </c>
      <c r="B40" s="101" t="inlineStr">
        <is>
          <t>Shallot, bulb</t>
        </is>
      </c>
      <c r="C40" s="101" t="inlineStr">
        <is>
          <t>weight of bulb; excluding skin</t>
        </is>
      </c>
      <c r="D40" s="101" t="n"/>
      <c r="E40" s="101" t="n">
        <v>6</v>
      </c>
      <c r="F40" s="84">
        <f>N40*H40+T40</f>
        <v/>
      </c>
      <c r="G40" s="85">
        <f>R40*H40+U40</f>
        <v/>
      </c>
      <c r="H40" s="102" t="n">
        <v>1.136</v>
      </c>
      <c r="I40" s="103" t="inlineStr">
        <is>
          <t>NNDSR28</t>
        </is>
      </c>
      <c r="J40" s="104" t="n">
        <v>1</v>
      </c>
      <c r="K40" s="89" t="inlineStr">
        <is>
          <t>onion_bulb</t>
        </is>
      </c>
      <c r="L40" s="90">
        <f>IF(ISERROR(GETPIVOTDATA(IF($J40=1,"Count of ACTIVE     CED, FARM GATE (MJ/kg)","Count of CED, processor gate (MJ/kg)"),'[1]Pivot Table_CED'!$A$3,"SUB TYPE",$B40)),"PROXY",IF(GETPIVOTDATA(IF($J40=1,"Count of ACTIVE     CED, FARM GATE (MJ/kg)","Count of CED, processor gate (MJ/kg)"),'[1]Pivot Table_CED'!$A$3,"SUB TYPE",$B40)=0,"PROXY","DB value"))</f>
        <v/>
      </c>
      <c r="M40" s="91">
        <f>IF($L40="PROXY",DCOUNT('[1]literature entries'!$D:$AI,IF($J40=1,"ACTIVE     CED, FARM GATE (MJ/kg)","CED, processor gate (MJ/kg)"),INDIRECT($K40)),GETPIVOTDATA(IF($J40=1,"Count of ACTIVE     CED, FARM GATE (MJ/kg)","Count of CED, processor gate (MJ/kg)"),'[1]Pivot Table_CED'!$A$3,"SUB TYPE",$B40))</f>
        <v/>
      </c>
      <c r="N40" s="92">
        <f>IF($L40="PROXY",DAVERAGE('[1]literature entries'!$D:$AI,IF($J40=1,"ACTIVE     CED, FARM GATE (MJ/kg)","CED, processor gate (MJ/kg)"),INDIRECT($K40)),GETPIVOTDATA(IF($J40=1,"Average of ACTIVE     CED, FARM GATE (MJ/kg)","Average of CED, processor gate (MJ/kg)"),'[1]Pivot Table_CED'!$A$3,"SUB TYPE",$B40))</f>
        <v/>
      </c>
      <c r="O40" s="92">
        <f>IF($L40="PROXY",DSTDEV('[1]literature entries'!D:AI,IF($J40=1,"ACTIVE     CED, FARM GATE (MJ/kg)","CED, processor gate (MJ/kg)"),INDIRECT($K40)),GETPIVOTDATA(IF($J40=1,"StdDev of ACTIVE     CED, FARM GATE (MJ/kg)","StdDev of CED, processor gate (MJ/kg)"),'[1]Pivot Table_CED'!$A$3,"SUB TYPE",$B40))</f>
        <v/>
      </c>
      <c r="P40" s="90">
        <f>IF(ISERROR(GETPIVOTDATA(IF($J40=1,"Count of ACTIVE     GHGE, FARM GATE (kg CO2e/kg)","Count of GHGE, processor gate (kg CO2e/kg)"),'[1]Pivot Table_GHG'!$A$3,"SUB TYPE",$B40)),"PROXY",IF(GETPIVOTDATA(IF($J40=1,"Count of ACTIVE     GHGE, FARM GATE (kg CO2e/kg)","Count of GHGE, processor gate (kg CO2e/kg)"),'[1]Pivot Table_GHG'!$A$3,"SUB TYPE",$B40)=0,"PROXY","DB value"))</f>
        <v/>
      </c>
      <c r="Q40" s="93">
        <f>IF($P40="PROXY",DCOUNT('[1]literature entries'!$D:$AI,IF($J40=1,"ACTIVE     GHGE, FARM GATE (kg CO2e/kg)","GHGE, processor gate (kg CO2e/kg)"),INDIRECT($K40)),GETPIVOTDATA(IF($J40=1,"ACTIVE     GHGE, FARM GATE (kg CO2e/kg)","Count of GHGE, processor gate (kg CO2e/kg)"),'[1]Pivot Table_GHG'!$A$3,"SUB TYPE",$B40))</f>
        <v/>
      </c>
      <c r="R40" s="94">
        <f>IF($P40="PROXY",DAVERAGE('[1]literature entries'!$D:$AI,IF($J40=1,"ACTIVE     GHGE, FARM GATE (kg CO2e/kg)","GHGE, processor gate (kg CO2e/kg)"),INDIRECT($K40)),GETPIVOTDATA(IF($J40=1,"Average of ACTIVE     GHGE, FARM GATE (kg CO2e/kg)","Average of GHGE, processor gate (kg CO2e/kg)"),'[1]Pivot Table_GHG'!$A$3,"SUB TYPE",$B40))</f>
        <v/>
      </c>
      <c r="S40" s="94">
        <f>IF($P40="PROXY",DSTDEV('[1]literature entries'!$D:$AI,IF($J40=1,"ACTIVE     GHGE, FARM GATE (kg CO2e/kg)","GHGE, processor gate (kg CO2e/kg)"),INDIRECT($K40)),GETPIVOTDATA(IF($J40=1,"StdDev of ACTIVE     GHGE, FARM GATE (kg CO2e/kg)","StdDev of GHGE, processor gate (kg CO2e/kg)"),'[1]Pivot Table_GHG'!$A$3,"SUB TYPE",$B40))</f>
        <v/>
      </c>
      <c r="T40" s="105" t="n"/>
      <c r="U40" s="106" t="n"/>
      <c r="V40" s="97" t="n"/>
      <c r="W40" s="98">
        <f>IF(L40="PROXY",IF(M40&gt;=5,K40,"need group"),IF(M40&gt;=5,"DIRECT","need group"))</f>
        <v/>
      </c>
      <c r="X40" s="98">
        <f>IF($W40="DIRECT",M40,DCOUNT('[1]literature entries'!$D:$AI,IF($J40=1,"ACTIVE     CED, FARM GATE (MJ/kg)","CED, processor gate (MJ/kg)"),INDIRECT($W40)))</f>
        <v/>
      </c>
      <c r="Y40" s="98">
        <f>IF($W40="DIRECT","",DAVERAGE('[1]literature entries'!$D:$AI,IF($J40=1,"ACTIVE     CED, FARM GATE (MJ/kg)","CED, processor gate (MJ/kg)"),INDIRECT($W40)))</f>
        <v/>
      </c>
      <c r="Z40" s="98">
        <f>IF($W40="DIRECT",$O40,DSTDEV('[1]literature entries'!$D:$AI,IF($J40=1,"ACTIVE     CED, FARM GATE (MJ/kg)","CED, processor gate (MJ/kg)"),INDIRECT($W40)))</f>
        <v/>
      </c>
      <c r="AA40" s="98">
        <f>IF($W40="DIRECT",$O40,$Z40/$Y40*$N40)</f>
        <v/>
      </c>
      <c r="AB40" s="99">
        <f>IF(P40="PROXY",IF(Q40&gt;=5,K40,"need group"),IF(Q40&gt;=5,"DIRECT","need group"))</f>
        <v/>
      </c>
      <c r="AC40" s="99">
        <f>IF($AB40="DIRECT",Q40,DCOUNT('[1]literature entries'!$D:$AI,IF($J40=1,"ACTIVE     GHGE, FARM GATE (kg CO2e/kg)","GHGE, processor gate (kg CO2e/kg)"),INDIRECT($AB40)))</f>
        <v/>
      </c>
      <c r="AD40" s="99">
        <f>IF($AB40="DIRECT","",DAVERAGE('[1]literature entries'!$D:$AI,IF($J40=1,"ACTIVE     GHGE, FARM GATE (kg CO2e/kg)","GHGE, processor gate (kg CO2e/kg)"),INDIRECT($AB40)))</f>
        <v/>
      </c>
      <c r="AE40" s="99">
        <f>IF($AB40="DIRECT",$S40,DSTDEV('[1]literature entries'!$D:$AI,IF($J40=1,"ACTIVE     GHGE, FARM GATE (kg CO2e/kg)","GHGE, processor gate (kg CO2e/kg)"),INDIRECT($AB40)))</f>
        <v/>
      </c>
      <c r="AF40" s="99">
        <f>IF($AB40="DIRECT",$S40,$AE40/$AD40*$R40)</f>
        <v/>
      </c>
    </row>
    <row r="41" ht="15.75" customHeight="1" s="201">
      <c r="A41" s="100" t="n">
        <v>302103000</v>
      </c>
      <c r="B41" s="101" t="inlineStr">
        <is>
          <t>Chive, fresh leaves</t>
        </is>
      </c>
      <c r="C41" s="101" t="inlineStr">
        <is>
          <t>weight of fresh leaves</t>
        </is>
      </c>
      <c r="D41" s="101" t="inlineStr">
        <is>
          <t>Includes Chinese chives.</t>
        </is>
      </c>
      <c r="E41" s="101" t="n">
        <v>1638</v>
      </c>
      <c r="F41" s="84">
        <f>N41*H41+T41</f>
        <v/>
      </c>
      <c r="G41" s="85">
        <f>R41*H41+U41</f>
        <v/>
      </c>
      <c r="H41" s="102" t="n">
        <v>1</v>
      </c>
      <c r="I41" s="102" t="inlineStr">
        <is>
          <t>FICRCD</t>
        </is>
      </c>
      <c r="J41" s="104" t="n">
        <v>1</v>
      </c>
      <c r="K41" s="89" t="inlineStr">
        <is>
          <t>spinach</t>
        </is>
      </c>
      <c r="L41" s="90">
        <f>IF(ISERROR(GETPIVOTDATA(IF($J41=1,"Count of ACTIVE     CED, FARM GATE (MJ/kg)","Count of CED, processor gate (MJ/kg)"),'[1]Pivot Table_CED'!$A$3,"SUB TYPE",$B41)),"PROXY",IF(GETPIVOTDATA(IF($J41=1,"Count of ACTIVE     CED, FARM GATE (MJ/kg)","Count of CED, processor gate (MJ/kg)"),'[1]Pivot Table_CED'!$A$3,"SUB TYPE",$B41)=0,"PROXY","DB value"))</f>
        <v/>
      </c>
      <c r="M41" s="91">
        <f>IF($L41="PROXY",DCOUNT('[1]literature entries'!$D:$AI,IF($J41=1,"ACTIVE     CED, FARM GATE (MJ/kg)","CED, processor gate (MJ/kg)"),INDIRECT($K41)),GETPIVOTDATA(IF($J41=1,"Count of ACTIVE     CED, FARM GATE (MJ/kg)","Count of CED, processor gate (MJ/kg)"),'[1]Pivot Table_CED'!$A$3,"SUB TYPE",$B41))</f>
        <v/>
      </c>
      <c r="N41" s="92">
        <f>IF($L41="PROXY",DAVERAGE('[1]literature entries'!$D:$AI,IF($J41=1,"ACTIVE     CED, FARM GATE (MJ/kg)","CED, processor gate (MJ/kg)"),INDIRECT($K41)),GETPIVOTDATA(IF($J41=1,"Average of ACTIVE     CED, FARM GATE (MJ/kg)","Average of CED, processor gate (MJ/kg)"),'[1]Pivot Table_CED'!$A$3,"SUB TYPE",$B41))</f>
        <v/>
      </c>
      <c r="O41" s="92">
        <f>IF($L41="PROXY",DSTDEV('[1]literature entries'!D:AI,IF($J41=1,"ACTIVE     CED, FARM GATE (MJ/kg)","CED, processor gate (MJ/kg)"),INDIRECT($K41)),GETPIVOTDATA(IF($J41=1,"StdDev of ACTIVE     CED, FARM GATE (MJ/kg)","StdDev of CED, processor gate (MJ/kg)"),'[1]Pivot Table_CED'!$A$3,"SUB TYPE",$B41))</f>
        <v/>
      </c>
      <c r="P41" s="90">
        <f>IF(ISERROR(GETPIVOTDATA(IF($J41=1,"Count of ACTIVE     GHGE, FARM GATE (kg CO2e/kg)","Count of GHGE, processor gate (kg CO2e/kg)"),'[1]Pivot Table_GHG'!$A$3,"SUB TYPE",$B41)),"PROXY",IF(GETPIVOTDATA(IF($J41=1,"Count of ACTIVE     GHGE, FARM GATE (kg CO2e/kg)","Count of GHGE, processor gate (kg CO2e/kg)"),'[1]Pivot Table_GHG'!$A$3,"SUB TYPE",$B41)=0,"PROXY","DB value"))</f>
        <v/>
      </c>
      <c r="Q41" s="93">
        <f>IF($P41="PROXY",DCOUNT('[1]literature entries'!$D:$AI,IF($J41=1,"ACTIVE     GHGE, FARM GATE (kg CO2e/kg)","GHGE, processor gate (kg CO2e/kg)"),INDIRECT($K41)),GETPIVOTDATA(IF($J41=1,"ACTIVE     GHGE, FARM GATE (kg CO2e/kg)","Count of GHGE, processor gate (kg CO2e/kg)"),'[1]Pivot Table_GHG'!$A$3,"SUB TYPE",$B41))</f>
        <v/>
      </c>
      <c r="R41" s="94">
        <f>IF($P41="PROXY",DAVERAGE('[1]literature entries'!$D:$AI,IF($J41=1,"ACTIVE     GHGE, FARM GATE (kg CO2e/kg)","GHGE, processor gate (kg CO2e/kg)"),INDIRECT($K41)),GETPIVOTDATA(IF($J41=1,"Average of ACTIVE     GHGE, FARM GATE (kg CO2e/kg)","Average of GHGE, processor gate (kg CO2e/kg)"),'[1]Pivot Table_GHG'!$A$3,"SUB TYPE",$B41))</f>
        <v/>
      </c>
      <c r="S41" s="94">
        <f>IF($P41="PROXY",DSTDEV('[1]literature entries'!$D:$AI,IF($J41=1,"ACTIVE     GHGE, FARM GATE (kg CO2e/kg)","GHGE, processor gate (kg CO2e/kg)"),INDIRECT($K41)),GETPIVOTDATA(IF($J41=1,"StdDev of ACTIVE     GHGE, FARM GATE (kg CO2e/kg)","StdDev of GHGE, processor gate (kg CO2e/kg)"),'[1]Pivot Table_GHG'!$A$3,"SUB TYPE",$B41))</f>
        <v/>
      </c>
      <c r="T41" s="105" t="n"/>
      <c r="U41" s="106" t="n"/>
      <c r="V41" s="97" t="n"/>
      <c r="W41" s="98" t="inlineStr">
        <is>
          <t>greens</t>
        </is>
      </c>
      <c r="X41" s="98">
        <f>IF($W41="DIRECT",M41,DCOUNT('[1]literature entries'!$D:$AI,IF($J41=1,"ACTIVE     CED, FARM GATE (MJ/kg)","CED, processor gate (MJ/kg)"),INDIRECT($W41)))</f>
        <v/>
      </c>
      <c r="Y41" s="98">
        <f>IF($W41="DIRECT","",DAVERAGE('[1]literature entries'!$D:$AI,IF($J41=1,"ACTIVE     CED, FARM GATE (MJ/kg)","CED, processor gate (MJ/kg)"),INDIRECT($W41)))</f>
        <v/>
      </c>
      <c r="Z41" s="98">
        <f>IF($W41="DIRECT",$O41,DSTDEV('[1]literature entries'!$D:$AI,IF($J41=1,"ACTIVE     CED, FARM GATE (MJ/kg)","CED, processor gate (MJ/kg)"),INDIRECT($W41)))</f>
        <v/>
      </c>
      <c r="AA41" s="98">
        <f>IF($W41="DIRECT",$O41,$Z41/$Y41*$N41)</f>
        <v/>
      </c>
      <c r="AB41" s="99" t="inlineStr">
        <is>
          <t>greens</t>
        </is>
      </c>
      <c r="AC41" s="99">
        <f>IF($AB41="DIRECT",Q41,DCOUNT('[1]literature entries'!$D:$AI,IF($J41=1,"ACTIVE     GHGE, FARM GATE (kg CO2e/kg)","GHGE, processor gate (kg CO2e/kg)"),INDIRECT($AB41)))</f>
        <v/>
      </c>
      <c r="AD41" s="99">
        <f>IF($AB41="DIRECT","",DAVERAGE('[1]literature entries'!$D:$AI,IF($J41=1,"ACTIVE     GHGE, FARM GATE (kg CO2e/kg)","GHGE, processor gate (kg CO2e/kg)"),INDIRECT($AB41)))</f>
        <v/>
      </c>
      <c r="AE41" s="99">
        <f>IF($AB41="DIRECT",$S41,DSTDEV('[1]literature entries'!$D:$AI,IF($J41=1,"ACTIVE     GHGE, FARM GATE (kg CO2e/kg)","GHGE, processor gate (kg CO2e/kg)"),INDIRECT($AB41)))</f>
        <v/>
      </c>
      <c r="AF41" s="99">
        <f>IF($AB41="DIRECT",$S41,$AE41/$AD41*$R41)</f>
        <v/>
      </c>
    </row>
    <row r="42" ht="15.75" customHeight="1" s="201">
      <c r="A42" s="100" t="n">
        <v>302198000</v>
      </c>
      <c r="B42" s="101" t="inlineStr">
        <is>
          <t>Leek</t>
        </is>
      </c>
      <c r="C42" s="101" t="inlineStr">
        <is>
          <t>weight of whole plant; including leaves and bulb</t>
        </is>
      </c>
      <c r="D42" s="101" t="inlineStr">
        <is>
          <t>Includes lady leek and wild leek</t>
        </is>
      </c>
      <c r="E42" s="101" t="n">
        <v>67</v>
      </c>
      <c r="F42" s="84">
        <f>N42*H42+T42</f>
        <v/>
      </c>
      <c r="G42" s="85">
        <f>R42*H42+U42</f>
        <v/>
      </c>
      <c r="H42" s="102" t="n">
        <v>1</v>
      </c>
      <c r="I42" s="102" t="inlineStr">
        <is>
          <t>none</t>
        </is>
      </c>
      <c r="J42" s="104" t="n">
        <v>1</v>
      </c>
      <c r="K42" s="89" t="inlineStr">
        <is>
          <t>onion_bulb</t>
        </is>
      </c>
      <c r="L42" s="90">
        <f>IF(ISERROR(GETPIVOTDATA(IF($J42=1,"Count of ACTIVE     CED, FARM GATE (MJ/kg)","Count of CED, processor gate (MJ/kg)"),'[1]Pivot Table_CED'!$A$3,"SUB TYPE",$B42)),"PROXY",IF(GETPIVOTDATA(IF($J42=1,"Count of ACTIVE     CED, FARM GATE (MJ/kg)","Count of CED, processor gate (MJ/kg)"),'[1]Pivot Table_CED'!$A$3,"SUB TYPE",$B42)=0,"PROXY","DB value"))</f>
        <v/>
      </c>
      <c r="M42" s="91">
        <f>IF($L42="PROXY",DCOUNT('[1]literature entries'!$D:$AI,IF($J42=1,"ACTIVE     CED, FARM GATE (MJ/kg)","CED, processor gate (MJ/kg)"),INDIRECT($K42)),GETPIVOTDATA(IF($J42=1,"Count of ACTIVE     CED, FARM GATE (MJ/kg)","Count of CED, processor gate (MJ/kg)"),'[1]Pivot Table_CED'!$A$3,"SUB TYPE",$B42))</f>
        <v/>
      </c>
      <c r="N42" s="92">
        <f>IF($L42="PROXY",DAVERAGE('[1]literature entries'!$D:$AI,IF($J42=1,"ACTIVE     CED, FARM GATE (MJ/kg)","CED, processor gate (MJ/kg)"),INDIRECT($K42)),GETPIVOTDATA(IF($J42=1,"Average of ACTIVE     CED, FARM GATE (MJ/kg)","Average of CED, processor gate (MJ/kg)"),'[1]Pivot Table_CED'!$A$3,"SUB TYPE",$B42))</f>
        <v/>
      </c>
      <c r="O42" s="92">
        <f>IF($L42="PROXY",DSTDEV('[1]literature entries'!D:AI,IF($J42=1,"ACTIVE     CED, FARM GATE (MJ/kg)","CED, processor gate (MJ/kg)"),INDIRECT($K42)),GETPIVOTDATA(IF($J42=1,"StdDev of ACTIVE     CED, FARM GATE (MJ/kg)","StdDev of CED, processor gate (MJ/kg)"),'[1]Pivot Table_CED'!$A$3,"SUB TYPE",$B42))</f>
        <v/>
      </c>
      <c r="P42" s="90">
        <f>IF(ISERROR(GETPIVOTDATA(IF($J42=1,"Count of ACTIVE     GHGE, FARM GATE (kg CO2e/kg)","Count of GHGE, processor gate (kg CO2e/kg)"),'[1]Pivot Table_GHG'!$A$3,"SUB TYPE",$B42)),"PROXY",IF(GETPIVOTDATA(IF($J42=1,"Count of ACTIVE     GHGE, FARM GATE (kg CO2e/kg)","Count of GHGE, processor gate (kg CO2e/kg)"),'[1]Pivot Table_GHG'!$A$3,"SUB TYPE",$B42)=0,"PROXY","DB value"))</f>
        <v/>
      </c>
      <c r="Q42" s="93">
        <f>IF($P42="PROXY",DCOUNT('[1]literature entries'!$D:$AI,IF($J42=1,"ACTIVE     GHGE, FARM GATE (kg CO2e/kg)","GHGE, processor gate (kg CO2e/kg)"),INDIRECT($K42)),GETPIVOTDATA(IF($J42=1,"ACTIVE     GHGE, FARM GATE (kg CO2e/kg)","Count of GHGE, processor gate (kg CO2e/kg)"),'[1]Pivot Table_GHG'!$A$3,"SUB TYPE",$B42))</f>
        <v/>
      </c>
      <c r="R42" s="94">
        <f>IF($P42="PROXY",DAVERAGE('[1]literature entries'!$D:$AI,IF($J42=1,"ACTIVE     GHGE, FARM GATE (kg CO2e/kg)","GHGE, processor gate (kg CO2e/kg)"),INDIRECT($K42)),GETPIVOTDATA(IF($J42=1,"Average of ACTIVE     GHGE, FARM GATE (kg CO2e/kg)","Average of GHGE, processor gate (kg CO2e/kg)"),'[1]Pivot Table_GHG'!$A$3,"SUB TYPE",$B42))</f>
        <v/>
      </c>
      <c r="S42" s="94">
        <f>IF($P42="PROXY",DSTDEV('[1]literature entries'!$D:$AI,IF($J42=1,"ACTIVE     GHGE, FARM GATE (kg CO2e/kg)","GHGE, processor gate (kg CO2e/kg)"),INDIRECT($K42)),GETPIVOTDATA(IF($J42=1,"StdDev of ACTIVE     GHGE, FARM GATE (kg CO2e/kg)","StdDev of GHGE, processor gate (kg CO2e/kg)"),'[1]Pivot Table_GHG'!$A$3,"SUB TYPE",$B42))</f>
        <v/>
      </c>
      <c r="T42" s="105" t="n"/>
      <c r="U42" s="106" t="n"/>
      <c r="V42" s="97" t="n"/>
      <c r="W42" s="98">
        <f>IF(L42="PROXY",IF(M42&gt;=5,K42,"need group"),IF(M42&gt;=5,"DIRECT","need group"))</f>
        <v/>
      </c>
      <c r="X42" s="98">
        <f>IF($W42="DIRECT",M42,DCOUNT('[1]literature entries'!$D:$AI,IF($J42=1,"ACTIVE     CED, FARM GATE (MJ/kg)","CED, processor gate (MJ/kg)"),INDIRECT($W42)))</f>
        <v/>
      </c>
      <c r="Y42" s="98">
        <f>IF($W42="DIRECT","",DAVERAGE('[1]literature entries'!$D:$AI,IF($J42=1,"ACTIVE     CED, FARM GATE (MJ/kg)","CED, processor gate (MJ/kg)"),INDIRECT($W42)))</f>
        <v/>
      </c>
      <c r="Z42" s="98">
        <f>IF($W42="DIRECT",$O42,DSTDEV('[1]literature entries'!$D:$AI,IF($J42=1,"ACTIVE     CED, FARM GATE (MJ/kg)","CED, processor gate (MJ/kg)"),INDIRECT($W42)))</f>
        <v/>
      </c>
      <c r="AA42" s="98">
        <f>IF($W42="DIRECT",$O42,$Z42/$Y42*$N42)</f>
        <v/>
      </c>
      <c r="AB42" s="99" t="inlineStr">
        <is>
          <t>onion_bulb</t>
        </is>
      </c>
      <c r="AC42" s="99">
        <f>IF($AB42="DIRECT",Q42,DCOUNT('[1]literature entries'!$D:$AI,IF($J42=1,"ACTIVE     GHGE, FARM GATE (kg CO2e/kg)","GHGE, processor gate (kg CO2e/kg)"),INDIRECT($AB42)))</f>
        <v/>
      </c>
      <c r="AD42" s="99">
        <f>IF($AB42="DIRECT","",DAVERAGE('[1]literature entries'!$D:$AI,IF($J42=1,"ACTIVE     GHGE, FARM GATE (kg CO2e/kg)","GHGE, processor gate (kg CO2e/kg)"),INDIRECT($AB42)))</f>
        <v/>
      </c>
      <c r="AE42" s="99">
        <f>IF($AB42="DIRECT",$S42,DSTDEV('[1]literature entries'!$D:$AI,IF($J42=1,"ACTIVE     GHGE, FARM GATE (kg CO2e/kg)","GHGE, processor gate (kg CO2e/kg)"),INDIRECT($AB42)))</f>
        <v/>
      </c>
      <c r="AF42" s="99">
        <f>IF($AB42="DIRECT",$S42,$AE42/$AD42*$R42)</f>
        <v/>
      </c>
    </row>
    <row r="43" ht="15.75" customHeight="1" s="201">
      <c r="A43" s="100" t="n">
        <v>302239000</v>
      </c>
      <c r="B43" s="101" t="inlineStr">
        <is>
          <t>Onion, green</t>
        </is>
      </c>
      <c r="C43" s="101" t="inlineStr">
        <is>
          <t>weight of bulb or bulb and leaves</t>
        </is>
      </c>
      <c r="D43" s="101" t="inlineStr">
        <is>
          <t>Includes Elegans hosta; Fritillaria, leaves, Kurrat; Beltsville bunching onion; Macrostem onion, pearl onion, potato onion, tree onion, and, Welsh onion</t>
        </is>
      </c>
      <c r="E43" s="101" t="n">
        <v>2507</v>
      </c>
      <c r="F43" s="84">
        <f>N43*H43+T43</f>
        <v/>
      </c>
      <c r="G43" s="85">
        <f>R43*H43+U43</f>
        <v/>
      </c>
      <c r="H43" s="102" t="n">
        <v>1.04</v>
      </c>
      <c r="I43" s="102" t="inlineStr">
        <is>
          <t>FICRCD</t>
        </is>
      </c>
      <c r="J43" s="104" t="n">
        <v>1</v>
      </c>
      <c r="K43" s="89" t="inlineStr">
        <is>
          <t>carrot</t>
        </is>
      </c>
      <c r="L43" s="90">
        <f>IF(ISERROR(GETPIVOTDATA(IF($J43=1,"Count of ACTIVE     CED, FARM GATE (MJ/kg)","Count of CED, processor gate (MJ/kg)"),'[1]Pivot Table_CED'!$A$3,"SUB TYPE",$B43)),"PROXY",IF(GETPIVOTDATA(IF($J43=1,"Count of ACTIVE     CED, FARM GATE (MJ/kg)","Count of CED, processor gate (MJ/kg)"),'[1]Pivot Table_CED'!$A$3,"SUB TYPE",$B43)=0,"PROXY","DB value"))</f>
        <v/>
      </c>
      <c r="M43" s="91">
        <f>IF($L43="PROXY",DCOUNT('[1]literature entries'!$D:$AI,IF($J43=1,"ACTIVE     CED, FARM GATE (MJ/kg)","CED, processor gate (MJ/kg)"),INDIRECT($K43)),GETPIVOTDATA(IF($J43=1,"Count of ACTIVE     CED, FARM GATE (MJ/kg)","Count of CED, processor gate (MJ/kg)"),'[1]Pivot Table_CED'!$A$3,"SUB TYPE",$B43))</f>
        <v/>
      </c>
      <c r="N43" s="92">
        <f>IF($L43="PROXY",DAVERAGE('[1]literature entries'!$D:$AI,IF($J43=1,"ACTIVE     CED, FARM GATE (MJ/kg)","CED, processor gate (MJ/kg)"),INDIRECT($K43)),GETPIVOTDATA(IF($J43=1,"Average of ACTIVE     CED, FARM GATE (MJ/kg)","Average of CED, processor gate (MJ/kg)"),'[1]Pivot Table_CED'!$A$3,"SUB TYPE",$B43))</f>
        <v/>
      </c>
      <c r="O43" s="92">
        <f>IF($L43="PROXY",DSTDEV('[1]literature entries'!D:AI,IF($J43=1,"ACTIVE     CED, FARM GATE (MJ/kg)","CED, processor gate (MJ/kg)"),INDIRECT($K43)),GETPIVOTDATA(IF($J43=1,"StdDev of ACTIVE     CED, FARM GATE (MJ/kg)","StdDev of CED, processor gate (MJ/kg)"),'[1]Pivot Table_CED'!$A$3,"SUB TYPE",$B43))</f>
        <v/>
      </c>
      <c r="P43" s="90">
        <f>IF(ISERROR(GETPIVOTDATA(IF($J43=1,"Count of ACTIVE     GHGE, FARM GATE (kg CO2e/kg)","Count of GHGE, processor gate (kg CO2e/kg)"),'[1]Pivot Table_GHG'!$A$3,"SUB TYPE",$B43)),"PROXY",IF(GETPIVOTDATA(IF($J43=1,"Count of ACTIVE     GHGE, FARM GATE (kg CO2e/kg)","Count of GHGE, processor gate (kg CO2e/kg)"),'[1]Pivot Table_GHG'!$A$3,"SUB TYPE",$B43)=0,"PROXY","DB value"))</f>
        <v/>
      </c>
      <c r="Q43" s="93">
        <f>IF($P43="PROXY",DCOUNT('[1]literature entries'!$D:$AI,IF($J43=1,"ACTIVE     GHGE, FARM GATE (kg CO2e/kg)","GHGE, processor gate (kg CO2e/kg)"),INDIRECT($K43)),GETPIVOTDATA(IF($J43=1,"ACTIVE     GHGE, FARM GATE (kg CO2e/kg)","Count of GHGE, processor gate (kg CO2e/kg)"),'[1]Pivot Table_GHG'!$A$3,"SUB TYPE",$B43))</f>
        <v/>
      </c>
      <c r="R43" s="94">
        <f>IF($P43="PROXY",DAVERAGE('[1]literature entries'!$D:$AI,IF($J43=1,"ACTIVE     GHGE, FARM GATE (kg CO2e/kg)","GHGE, processor gate (kg CO2e/kg)"),INDIRECT($K43)),GETPIVOTDATA(IF($J43=1,"Average of ACTIVE     GHGE, FARM GATE (kg CO2e/kg)","Average of GHGE, processor gate (kg CO2e/kg)"),'[1]Pivot Table_GHG'!$A$3,"SUB TYPE",$B43))</f>
        <v/>
      </c>
      <c r="S43" s="94">
        <f>IF($P43="PROXY",DSTDEV('[1]literature entries'!$D:$AI,IF($J43=1,"ACTIVE     GHGE, FARM GATE (kg CO2e/kg)","GHGE, processor gate (kg CO2e/kg)"),INDIRECT($K43)),GETPIVOTDATA(IF($J43=1,"StdDev of ACTIVE     GHGE, FARM GATE (kg CO2e/kg)","StdDev of GHGE, processor gate (kg CO2e/kg)"),'[1]Pivot Table_GHG'!$A$3,"SUB TYPE",$B43))</f>
        <v/>
      </c>
      <c r="T43" s="105" t="n"/>
      <c r="U43" s="106" t="n"/>
      <c r="V43" s="97" t="n"/>
      <c r="W43" s="98" t="inlineStr">
        <is>
          <t>roots</t>
        </is>
      </c>
      <c r="X43" s="98">
        <f>IF($W43="DIRECT",M43,DCOUNT('[1]literature entries'!$D:$AI,IF($J43=1,"ACTIVE     CED, FARM GATE (MJ/kg)","CED, processor gate (MJ/kg)"),INDIRECT($W43)))</f>
        <v/>
      </c>
      <c r="Y43" s="98">
        <f>IF($W43="DIRECT","",DAVERAGE('[1]literature entries'!$D:$AI,IF($J43=1,"ACTIVE     CED, FARM GATE (MJ/kg)","CED, processor gate (MJ/kg)"),INDIRECT($W43)))</f>
        <v/>
      </c>
      <c r="Z43" s="98">
        <f>IF($W43="DIRECT",$O43,DSTDEV('[1]literature entries'!$D:$AI,IF($J43=1,"ACTIVE     CED, FARM GATE (MJ/kg)","CED, processor gate (MJ/kg)"),INDIRECT($W43)))</f>
        <v/>
      </c>
      <c r="AA43" s="98">
        <f>IF($W43="DIRECT",$O43,$Z43/$Y43*$N43)</f>
        <v/>
      </c>
      <c r="AB43" s="99" t="inlineStr">
        <is>
          <t>roots</t>
        </is>
      </c>
      <c r="AC43" s="99">
        <f>IF($AB43="DIRECT",Q43,DCOUNT('[1]literature entries'!$D:$AI,IF($J43=1,"ACTIVE     GHGE, FARM GATE (kg CO2e/kg)","GHGE, processor gate (kg CO2e/kg)"),INDIRECT($AB43)))</f>
        <v/>
      </c>
      <c r="AD43" s="99">
        <f>IF($AB43="DIRECT","",DAVERAGE('[1]literature entries'!$D:$AI,IF($J43=1,"ACTIVE     GHGE, FARM GATE (kg CO2e/kg)","GHGE, processor gate (kg CO2e/kg)"),INDIRECT($AB43)))</f>
        <v/>
      </c>
      <c r="AE43" s="99">
        <f>IF($AB43="DIRECT",$S43,DSTDEV('[1]literature entries'!$D:$AI,IF($J43=1,"ACTIVE     GHGE, FARM GATE (kg CO2e/kg)","GHGE, processor gate (kg CO2e/kg)"),INDIRECT($AB43)))</f>
        <v/>
      </c>
      <c r="AF43" s="99">
        <f>IF($AB43="DIRECT",$S43,$AE43/$AD43*$R43)</f>
        <v/>
      </c>
    </row>
    <row r="44" ht="15.75" customHeight="1" s="201">
      <c r="A44" s="100" t="n">
        <v>401005000</v>
      </c>
      <c r="B44" s="101" t="inlineStr">
        <is>
          <t>Amaranth, leafy</t>
        </is>
      </c>
      <c r="C44" s="101" t="inlineStr">
        <is>
          <t>weight of leaf</t>
        </is>
      </c>
      <c r="D44" s="101" t="inlineStr">
        <is>
          <t>Includes Tampala, Chinese spinach, lambsquarter, and pokeweed (pokeberry).</t>
        </is>
      </c>
      <c r="E44" s="101" t="n">
        <v>12</v>
      </c>
      <c r="F44" s="84">
        <f>N44*H44+T44</f>
        <v/>
      </c>
      <c r="G44" s="85">
        <f>R44*H44+U44</f>
        <v/>
      </c>
      <c r="H44" s="103" t="n">
        <v>1</v>
      </c>
      <c r="I44" s="103" t="inlineStr">
        <is>
          <t>None</t>
        </is>
      </c>
      <c r="J44" s="104" t="n">
        <v>1</v>
      </c>
      <c r="K44" s="89" t="inlineStr">
        <is>
          <t>greens</t>
        </is>
      </c>
      <c r="L44" s="90">
        <f>IF(ISERROR(GETPIVOTDATA(IF($J44=1,"Count of ACTIVE     CED, FARM GATE (MJ/kg)","Count of CED, processor gate (MJ/kg)"),'[1]Pivot Table_CED'!$A$3,"SUB TYPE",$B44)),"PROXY",IF(GETPIVOTDATA(IF($J44=1,"Count of ACTIVE     CED, FARM GATE (MJ/kg)","Count of CED, processor gate (MJ/kg)"),'[1]Pivot Table_CED'!$A$3,"SUB TYPE",$B44)=0,"PROXY","DB value"))</f>
        <v/>
      </c>
      <c r="M44" s="91">
        <f>IF($L44="PROXY",DCOUNT('[1]literature entries'!$D:$AI,IF($J44=1,"ACTIVE     CED, FARM GATE (MJ/kg)","CED, processor gate (MJ/kg)"),INDIRECT($K44)),GETPIVOTDATA(IF($J44=1,"Count of ACTIVE     CED, FARM GATE (MJ/kg)","Count of CED, processor gate (MJ/kg)"),'[1]Pivot Table_CED'!$A$3,"SUB TYPE",$B44))</f>
        <v/>
      </c>
      <c r="N44" s="92">
        <f>IF($L44="PROXY",DAVERAGE('[1]literature entries'!$D:$AI,IF($J44=1,"ACTIVE     CED, FARM GATE (MJ/kg)","CED, processor gate (MJ/kg)"),INDIRECT($K44)),GETPIVOTDATA(IF($J44=1,"Average of ACTIVE     CED, FARM GATE (MJ/kg)","Average of CED, processor gate (MJ/kg)"),'[1]Pivot Table_CED'!$A$3,"SUB TYPE",$B44))</f>
        <v/>
      </c>
      <c r="O44" s="92">
        <f>IF($L44="PROXY",DSTDEV('[1]literature entries'!D:AI,IF($J44=1,"ACTIVE     CED, FARM GATE (MJ/kg)","CED, processor gate (MJ/kg)"),INDIRECT($K44)),GETPIVOTDATA(IF($J44=1,"StdDev of ACTIVE     CED, FARM GATE (MJ/kg)","StdDev of CED, processor gate (MJ/kg)"),'[1]Pivot Table_CED'!$A$3,"SUB TYPE",$B44))</f>
        <v/>
      </c>
      <c r="P44" s="90">
        <f>IF(ISERROR(GETPIVOTDATA(IF($J44=1,"Count of ACTIVE     GHGE, FARM GATE (kg CO2e/kg)","Count of GHGE, processor gate (kg CO2e/kg)"),'[1]Pivot Table_GHG'!$A$3,"SUB TYPE",$B44)),"PROXY",IF(GETPIVOTDATA(IF($J44=1,"Count of ACTIVE     GHGE, FARM GATE (kg CO2e/kg)","Count of GHGE, processor gate (kg CO2e/kg)"),'[1]Pivot Table_GHG'!$A$3,"SUB TYPE",$B44)=0,"PROXY","DB value"))</f>
        <v/>
      </c>
      <c r="Q44" s="93">
        <f>IF($P44="PROXY",DCOUNT('[1]literature entries'!$D:$AI,IF($J44=1,"ACTIVE     GHGE, FARM GATE (kg CO2e/kg)","GHGE, processor gate (kg CO2e/kg)"),INDIRECT($K44)),GETPIVOTDATA(IF($J44=1,"ACTIVE     GHGE, FARM GATE (kg CO2e/kg)","Count of GHGE, processor gate (kg CO2e/kg)"),'[1]Pivot Table_GHG'!$A$3,"SUB TYPE",$B44))</f>
        <v/>
      </c>
      <c r="R44" s="94">
        <f>IF($P44="PROXY",DAVERAGE('[1]literature entries'!$D:$AI,IF($J44=1,"ACTIVE     GHGE, FARM GATE (kg CO2e/kg)","GHGE, processor gate (kg CO2e/kg)"),INDIRECT($K44)),GETPIVOTDATA(IF($J44=1,"Average of ACTIVE     GHGE, FARM GATE (kg CO2e/kg)","Average of GHGE, processor gate (kg CO2e/kg)"),'[1]Pivot Table_GHG'!$A$3,"SUB TYPE",$B44))</f>
        <v/>
      </c>
      <c r="S44" s="94">
        <f>IF($P44="PROXY",DSTDEV('[1]literature entries'!$D:$AI,IF($J44=1,"ACTIVE     GHGE, FARM GATE (kg CO2e/kg)","GHGE, processor gate (kg CO2e/kg)"),INDIRECT($K44)),GETPIVOTDATA(IF($J44=1,"StdDev of ACTIVE     GHGE, FARM GATE (kg CO2e/kg)","StdDev of GHGE, processor gate (kg CO2e/kg)"),'[1]Pivot Table_GHG'!$A$3,"SUB TYPE",$B44))</f>
        <v/>
      </c>
      <c r="T44" s="105" t="n"/>
      <c r="U44" s="106" t="n"/>
      <c r="V44" s="97" t="n"/>
      <c r="W44" s="98">
        <f>IF(L44="PROXY",IF(M44&gt;=5,K44,"need group"),IF(M44&gt;=5,"DIRECT","need group"))</f>
        <v/>
      </c>
      <c r="X44" s="98">
        <f>IF($W44="DIRECT",M44,DCOUNT('[1]literature entries'!$D:$AI,IF($J44=1,"ACTIVE     CED, FARM GATE (MJ/kg)","CED, processor gate (MJ/kg)"),INDIRECT($W44)))</f>
        <v/>
      </c>
      <c r="Y44" s="98">
        <f>IF($W44="DIRECT","",DAVERAGE('[1]literature entries'!$D:$AI,IF($J44=1,"ACTIVE     CED, FARM GATE (MJ/kg)","CED, processor gate (MJ/kg)"),INDIRECT($W44)))</f>
        <v/>
      </c>
      <c r="Z44" s="98">
        <f>IF($W44="DIRECT",$O44,DSTDEV('[1]literature entries'!$D:$AI,IF($J44=1,"ACTIVE     CED, FARM GATE (MJ/kg)","CED, processor gate (MJ/kg)"),INDIRECT($W44)))</f>
        <v/>
      </c>
      <c r="AA44" s="98">
        <f>IF($W44="DIRECT",$O44,$Z44/$Y44*$N44)</f>
        <v/>
      </c>
      <c r="AB44" s="99">
        <f>IF(P44="PROXY",IF(Q44&gt;=5,K44,"need group"),IF(Q44&gt;=5,"DIRECT","need group"))</f>
        <v/>
      </c>
      <c r="AC44" s="99">
        <f>IF($AB44="DIRECT",Q44,DCOUNT('[1]literature entries'!$D:$AI,IF($J44=1,"ACTIVE     GHGE, FARM GATE (kg CO2e/kg)","GHGE, processor gate (kg CO2e/kg)"),INDIRECT($AB44)))</f>
        <v/>
      </c>
      <c r="AD44" s="99">
        <f>IF($AB44="DIRECT","",DAVERAGE('[1]literature entries'!$D:$AI,IF($J44=1,"ACTIVE     GHGE, FARM GATE (kg CO2e/kg)","GHGE, processor gate (kg CO2e/kg)"),INDIRECT($AB44)))</f>
        <v/>
      </c>
      <c r="AE44" s="99">
        <f>IF($AB44="DIRECT",$S44,DSTDEV('[1]literature entries'!$D:$AI,IF($J44=1,"ACTIVE     GHGE, FARM GATE (kg CO2e/kg)","GHGE, processor gate (kg CO2e/kg)"),INDIRECT($AB44)))</f>
        <v/>
      </c>
      <c r="AF44" s="99">
        <f>IF($AB44="DIRECT",$S44,$AE44/$AD44*$R44)</f>
        <v/>
      </c>
    </row>
    <row r="45" ht="15.75" customHeight="1" s="201">
      <c r="A45" s="100" t="n">
        <v>401118000</v>
      </c>
      <c r="B45" s="101" t="inlineStr">
        <is>
          <t>Cilantro, leaves</t>
        </is>
      </c>
      <c r="C45" s="101" t="inlineStr">
        <is>
          <t>weight of leaves</t>
        </is>
      </c>
      <c r="D45" s="101" t="inlineStr">
        <is>
          <t>Includes Chinese parsley and coriander leaves.</t>
        </is>
      </c>
      <c r="E45" s="101" t="n">
        <v>21992</v>
      </c>
      <c r="F45" s="84">
        <f>N45*H45+T45</f>
        <v/>
      </c>
      <c r="G45" s="85">
        <f>R45*H45+U45</f>
        <v/>
      </c>
      <c r="H45" s="102" t="n">
        <v>1.18</v>
      </c>
      <c r="I45" s="102" t="inlineStr">
        <is>
          <t>FICRCD</t>
        </is>
      </c>
      <c r="J45" s="104" t="n">
        <v>1</v>
      </c>
      <c r="K45" s="89" t="inlineStr">
        <is>
          <t>spinach</t>
        </is>
      </c>
      <c r="L45" s="90">
        <f>IF(ISERROR(GETPIVOTDATA(IF($J45=1,"Count of ACTIVE     CED, FARM GATE (MJ/kg)","Count of CED, processor gate (MJ/kg)"),'[1]Pivot Table_CED'!$A$3,"SUB TYPE",$B45)),"PROXY",IF(GETPIVOTDATA(IF($J45=1,"Count of ACTIVE     CED, FARM GATE (MJ/kg)","Count of CED, processor gate (MJ/kg)"),'[1]Pivot Table_CED'!$A$3,"SUB TYPE",$B45)=0,"PROXY","DB value"))</f>
        <v/>
      </c>
      <c r="M45" s="91">
        <f>IF($L45="PROXY",DCOUNT('[1]literature entries'!$D:$AI,IF($J45=1,"ACTIVE     CED, FARM GATE (MJ/kg)","CED, processor gate (MJ/kg)"),INDIRECT($K45)),GETPIVOTDATA(IF($J45=1,"Count of ACTIVE     CED, FARM GATE (MJ/kg)","Count of CED, processor gate (MJ/kg)"),'[1]Pivot Table_CED'!$A$3,"SUB TYPE",$B45))</f>
        <v/>
      </c>
      <c r="N45" s="92">
        <f>IF($L45="PROXY",DAVERAGE('[1]literature entries'!$D:$AI,IF($J45=1,"ACTIVE     CED, FARM GATE (MJ/kg)","CED, processor gate (MJ/kg)"),INDIRECT($K45)),GETPIVOTDATA(IF($J45=1,"Average of ACTIVE     CED, FARM GATE (MJ/kg)","Average of CED, processor gate (MJ/kg)"),'[1]Pivot Table_CED'!$A$3,"SUB TYPE",$B45))</f>
        <v/>
      </c>
      <c r="O45" s="92">
        <f>IF($L45="PROXY",DSTDEV('[1]literature entries'!D:AI,IF($J45=1,"ACTIVE     CED, FARM GATE (MJ/kg)","CED, processor gate (MJ/kg)"),INDIRECT($K45)),GETPIVOTDATA(IF($J45=1,"StdDev of ACTIVE     CED, FARM GATE (MJ/kg)","StdDev of CED, processor gate (MJ/kg)"),'[1]Pivot Table_CED'!$A$3,"SUB TYPE",$B45))</f>
        <v/>
      </c>
      <c r="P45" s="90">
        <f>IF(ISERROR(GETPIVOTDATA(IF($J45=1,"Count of ACTIVE     GHGE, FARM GATE (kg CO2e/kg)","Count of GHGE, processor gate (kg CO2e/kg)"),'[1]Pivot Table_GHG'!$A$3,"SUB TYPE",$B45)),"PROXY",IF(GETPIVOTDATA(IF($J45=1,"Count of ACTIVE     GHGE, FARM GATE (kg CO2e/kg)","Count of GHGE, processor gate (kg CO2e/kg)"),'[1]Pivot Table_GHG'!$A$3,"SUB TYPE",$B45)=0,"PROXY","DB value"))</f>
        <v/>
      </c>
      <c r="Q45" s="93">
        <f>IF($P45="PROXY",DCOUNT('[1]literature entries'!$D:$AI,IF($J45=1,"ACTIVE     GHGE, FARM GATE (kg CO2e/kg)","GHGE, processor gate (kg CO2e/kg)"),INDIRECT($K45)),GETPIVOTDATA(IF($J45=1,"ACTIVE     GHGE, FARM GATE (kg CO2e/kg)","Count of GHGE, processor gate (kg CO2e/kg)"),'[1]Pivot Table_GHG'!$A$3,"SUB TYPE",$B45))</f>
        <v/>
      </c>
      <c r="R45" s="94">
        <f>IF($P45="PROXY",DAVERAGE('[1]literature entries'!$D:$AI,IF($J45=1,"ACTIVE     GHGE, FARM GATE (kg CO2e/kg)","GHGE, processor gate (kg CO2e/kg)"),INDIRECT($K45)),GETPIVOTDATA(IF($J45=1,"Average of ACTIVE     GHGE, FARM GATE (kg CO2e/kg)","Average of GHGE, processor gate (kg CO2e/kg)"),'[1]Pivot Table_GHG'!$A$3,"SUB TYPE",$B45))</f>
        <v/>
      </c>
      <c r="S45" s="94">
        <f>IF($P45="PROXY",DSTDEV('[1]literature entries'!$D:$AI,IF($J45=1,"ACTIVE     GHGE, FARM GATE (kg CO2e/kg)","GHGE, processor gate (kg CO2e/kg)"),INDIRECT($K45)),GETPIVOTDATA(IF($J45=1,"StdDev of ACTIVE     GHGE, FARM GATE (kg CO2e/kg)","StdDev of GHGE, processor gate (kg CO2e/kg)"),'[1]Pivot Table_GHG'!$A$3,"SUB TYPE",$B45))</f>
        <v/>
      </c>
      <c r="T45" s="105" t="n"/>
      <c r="U45" s="106" t="n"/>
      <c r="V45" s="97" t="n"/>
      <c r="W45" s="98" t="inlineStr">
        <is>
          <t>greens</t>
        </is>
      </c>
      <c r="X45" s="98">
        <f>IF($W45="DIRECT",M45,DCOUNT('[1]literature entries'!$D:$AI,IF($J45=1,"ACTIVE     CED, FARM GATE (MJ/kg)","CED, processor gate (MJ/kg)"),INDIRECT($W45)))</f>
        <v/>
      </c>
      <c r="Y45" s="98">
        <f>IF($W45="DIRECT","",DAVERAGE('[1]literature entries'!$D:$AI,IF($J45=1,"ACTIVE     CED, FARM GATE (MJ/kg)","CED, processor gate (MJ/kg)"),INDIRECT($W45)))</f>
        <v/>
      </c>
      <c r="Z45" s="98">
        <f>IF($W45="DIRECT",$O45,DSTDEV('[1]literature entries'!$D:$AI,IF($J45=1,"ACTIVE     CED, FARM GATE (MJ/kg)","CED, processor gate (MJ/kg)"),INDIRECT($W45)))</f>
        <v/>
      </c>
      <c r="AA45" s="98">
        <f>IF($W45="DIRECT",$O45,$Z45/$Y45*$N45)</f>
        <v/>
      </c>
      <c r="AB45" s="99" t="inlineStr">
        <is>
          <t>greens</t>
        </is>
      </c>
      <c r="AC45" s="99">
        <f>IF($AB45="DIRECT",Q45,DCOUNT('[1]literature entries'!$D:$AI,IF($J45=1,"ACTIVE     GHGE, FARM GATE (kg CO2e/kg)","GHGE, processor gate (kg CO2e/kg)"),INDIRECT($AB45)))</f>
        <v/>
      </c>
      <c r="AD45" s="99">
        <f>IF($AB45="DIRECT","",DAVERAGE('[1]literature entries'!$D:$AI,IF($J45=1,"ACTIVE     GHGE, FARM GATE (kg CO2e/kg)","GHGE, processor gate (kg CO2e/kg)"),INDIRECT($AB45)))</f>
        <v/>
      </c>
      <c r="AE45" s="99">
        <f>IF($AB45="DIRECT",$S45,DSTDEV('[1]literature entries'!$D:$AI,IF($J45=1,"ACTIVE     GHGE, FARM GATE (kg CO2e/kg)","GHGE, processor gate (kg CO2e/kg)"),INDIRECT($AB45)))</f>
        <v/>
      </c>
      <c r="AF45" s="99">
        <f>IF($AB45="DIRECT",$S45,$AE45/$AD45*$R45)</f>
        <v/>
      </c>
    </row>
    <row r="46" ht="15.75" customHeight="1" s="201">
      <c r="A46" s="100" t="n">
        <v>401138000</v>
      </c>
      <c r="B46" s="101" t="inlineStr">
        <is>
          <t>Dandelion, leaves</t>
        </is>
      </c>
      <c r="C46" s="101" t="inlineStr">
        <is>
          <t>weight of leaves</t>
        </is>
      </c>
      <c r="D46" s="101" t="n"/>
      <c r="E46" s="101" t="n">
        <v>5</v>
      </c>
      <c r="F46" s="84">
        <f>N46*H46+T46</f>
        <v/>
      </c>
      <c r="G46" s="85">
        <f>R46*H46+U46</f>
        <v/>
      </c>
      <c r="H46" s="103" t="n">
        <v>1</v>
      </c>
      <c r="I46" s="103" t="inlineStr">
        <is>
          <t>None</t>
        </is>
      </c>
      <c r="J46" s="104" t="n">
        <v>1</v>
      </c>
      <c r="K46" s="89" t="inlineStr">
        <is>
          <t>Escarole</t>
        </is>
      </c>
      <c r="L46" s="90">
        <f>IF(ISERROR(GETPIVOTDATA(IF($J46=1,"Count of ACTIVE     CED, FARM GATE (MJ/kg)","Count of CED, processor gate (MJ/kg)"),'[1]Pivot Table_CED'!$A$3,"SUB TYPE",$B46)),"PROXY",IF(GETPIVOTDATA(IF($J46=1,"Count of ACTIVE     CED, FARM GATE (MJ/kg)","Count of CED, processor gate (MJ/kg)"),'[1]Pivot Table_CED'!$A$3,"SUB TYPE",$B46)=0,"PROXY","DB value"))</f>
        <v/>
      </c>
      <c r="M46" s="91">
        <f>IF($L46="PROXY",DCOUNT('[1]literature entries'!$D:$AI,IF($J46=1,"ACTIVE     CED, FARM GATE (MJ/kg)","CED, processor gate (MJ/kg)"),INDIRECT($K46)),GETPIVOTDATA(IF($J46=1,"Count of ACTIVE     CED, FARM GATE (MJ/kg)","Count of CED, processor gate (MJ/kg)"),'[1]Pivot Table_CED'!$A$3,"SUB TYPE",$B46))</f>
        <v/>
      </c>
      <c r="N46" s="92">
        <f>IF($L46="PROXY",DAVERAGE('[1]literature entries'!$D:$AI,IF($J46=1,"ACTIVE     CED, FARM GATE (MJ/kg)","CED, processor gate (MJ/kg)"),INDIRECT($K46)),GETPIVOTDATA(IF($J46=1,"Average of ACTIVE     CED, FARM GATE (MJ/kg)","Average of CED, processor gate (MJ/kg)"),'[1]Pivot Table_CED'!$A$3,"SUB TYPE",$B46))</f>
        <v/>
      </c>
      <c r="O46" s="92">
        <f>IF($L46="PROXY",DSTDEV('[1]literature entries'!D:AI,IF($J46=1,"ACTIVE     CED, FARM GATE (MJ/kg)","CED, processor gate (MJ/kg)"),INDIRECT($K46)),GETPIVOTDATA(IF($J46=1,"StdDev of ACTIVE     CED, FARM GATE (MJ/kg)","StdDev of CED, processor gate (MJ/kg)"),'[1]Pivot Table_CED'!$A$3,"SUB TYPE",$B46))</f>
        <v/>
      </c>
      <c r="P46" s="90">
        <f>IF(ISERROR(GETPIVOTDATA(IF($J46=1,"Count of ACTIVE     GHGE, FARM GATE (kg CO2e/kg)","Count of GHGE, processor gate (kg CO2e/kg)"),'[1]Pivot Table_GHG'!$A$3,"SUB TYPE",$B46)),"PROXY",IF(GETPIVOTDATA(IF($J46=1,"Count of ACTIVE     GHGE, FARM GATE (kg CO2e/kg)","Count of GHGE, processor gate (kg CO2e/kg)"),'[1]Pivot Table_GHG'!$A$3,"SUB TYPE",$B46)=0,"PROXY","DB value"))</f>
        <v/>
      </c>
      <c r="Q46" s="93">
        <f>IF($P46="PROXY",DCOUNT('[1]literature entries'!$D:$AI,IF($J46=1,"ACTIVE     GHGE, FARM GATE (kg CO2e/kg)","GHGE, processor gate (kg CO2e/kg)"),INDIRECT($K46)),GETPIVOTDATA(IF($J46=1,"ACTIVE     GHGE, FARM GATE (kg CO2e/kg)","Count of GHGE, processor gate (kg CO2e/kg)"),'[1]Pivot Table_GHG'!$A$3,"SUB TYPE",$B46))</f>
        <v/>
      </c>
      <c r="R46" s="94">
        <f>IF($P46="PROXY",DAVERAGE('[1]literature entries'!$D:$AI,IF($J46=1,"ACTIVE     GHGE, FARM GATE (kg CO2e/kg)","GHGE, processor gate (kg CO2e/kg)"),INDIRECT($K46)),GETPIVOTDATA(IF($J46=1,"Average of ACTIVE     GHGE, FARM GATE (kg CO2e/kg)","Average of GHGE, processor gate (kg CO2e/kg)"),'[1]Pivot Table_GHG'!$A$3,"SUB TYPE",$B46))</f>
        <v/>
      </c>
      <c r="S46" s="94">
        <f>IF($P46="PROXY",DSTDEV('[1]literature entries'!$D:$AI,IF($J46=1,"ACTIVE     GHGE, FARM GATE (kg CO2e/kg)","GHGE, processor gate (kg CO2e/kg)"),INDIRECT($K46)),GETPIVOTDATA(IF($J46=1,"StdDev of ACTIVE     GHGE, FARM GATE (kg CO2e/kg)","StdDev of GHGE, processor gate (kg CO2e/kg)"),'[1]Pivot Table_GHG'!$A$3,"SUB TYPE",$B46))</f>
        <v/>
      </c>
      <c r="T46" s="105" t="n"/>
      <c r="U46" s="106" t="n"/>
      <c r="V46" s="97" t="n"/>
      <c r="W46" s="98" t="inlineStr">
        <is>
          <t>greens</t>
        </is>
      </c>
      <c r="X46" s="98">
        <f>IF($W46="DIRECT",M46,DCOUNT('[1]literature entries'!$D:$AI,IF($J46=1,"ACTIVE     CED, FARM GATE (MJ/kg)","CED, processor gate (MJ/kg)"),INDIRECT($W46)))</f>
        <v/>
      </c>
      <c r="Y46" s="98">
        <f>IF($W46="DIRECT","",DAVERAGE('[1]literature entries'!$D:$AI,IF($J46=1,"ACTIVE     CED, FARM GATE (MJ/kg)","CED, processor gate (MJ/kg)"),INDIRECT($W46)))</f>
        <v/>
      </c>
      <c r="Z46" s="98">
        <f>IF($W46="DIRECT",$O46,DSTDEV('[1]literature entries'!$D:$AI,IF($J46=1,"ACTIVE     CED, FARM GATE (MJ/kg)","CED, processor gate (MJ/kg)"),INDIRECT($W46)))</f>
        <v/>
      </c>
      <c r="AA46" s="98">
        <f>IF($W46="DIRECT",$O46,$Z46/$Y46*$N46)</f>
        <v/>
      </c>
      <c r="AB46" s="99" t="inlineStr">
        <is>
          <t>greens</t>
        </is>
      </c>
      <c r="AC46" s="99">
        <f>IF($AB46="DIRECT",Q46,DCOUNT('[1]literature entries'!$D:$AI,IF($J46=1,"ACTIVE     GHGE, FARM GATE (kg CO2e/kg)","GHGE, processor gate (kg CO2e/kg)"),INDIRECT($AB46)))</f>
        <v/>
      </c>
      <c r="AD46" s="99">
        <f>IF($AB46="DIRECT","",DAVERAGE('[1]literature entries'!$D:$AI,IF($J46=1,"ACTIVE     GHGE, FARM GATE (kg CO2e/kg)","GHGE, processor gate (kg CO2e/kg)"),INDIRECT($AB46)))</f>
        <v/>
      </c>
      <c r="AE46" s="99">
        <f>IF($AB46="DIRECT",$S46,DSTDEV('[1]literature entries'!$D:$AI,IF($J46=1,"ACTIVE     GHGE, FARM GATE (kg CO2e/kg)","GHGE, processor gate (kg CO2e/kg)"),INDIRECT($AB46)))</f>
        <v/>
      </c>
      <c r="AF46" s="99">
        <f>IF($AB46="DIRECT",$S46,$AE46/$AD46*$R46)</f>
        <v/>
      </c>
    </row>
    <row r="47" ht="15.75" customHeight="1" s="201">
      <c r="A47" s="100" t="n">
        <v>401144000</v>
      </c>
      <c r="B47" s="101" t="inlineStr">
        <is>
          <t>Dillweed</t>
        </is>
      </c>
      <c r="C47" s="101" t="inlineStr">
        <is>
          <t>weight of leaves</t>
        </is>
      </c>
      <c r="D47" s="101" t="n"/>
      <c r="E47" s="101" t="n">
        <v>4937</v>
      </c>
      <c r="F47" s="84">
        <f>N47*H47+T47</f>
        <v/>
      </c>
      <c r="G47" s="85">
        <f>R47*H47+U47</f>
        <v/>
      </c>
      <c r="H47" s="102" t="n">
        <v>1</v>
      </c>
      <c r="I47" s="103" t="inlineStr">
        <is>
          <t>None</t>
        </is>
      </c>
      <c r="J47" s="104" t="n">
        <v>1</v>
      </c>
      <c r="K47" s="89" t="inlineStr">
        <is>
          <t>spinach</t>
        </is>
      </c>
      <c r="L47" s="90">
        <f>IF(ISERROR(GETPIVOTDATA(IF($J47=1,"Count of ACTIVE     CED, FARM GATE (MJ/kg)","Count of CED, processor gate (MJ/kg)"),'[1]Pivot Table_CED'!$A$3,"SUB TYPE",$B47)),"PROXY",IF(GETPIVOTDATA(IF($J47=1,"Count of ACTIVE     CED, FARM GATE (MJ/kg)","Count of CED, processor gate (MJ/kg)"),'[1]Pivot Table_CED'!$A$3,"SUB TYPE",$B47)=0,"PROXY","DB value"))</f>
        <v/>
      </c>
      <c r="M47" s="91">
        <f>IF($L47="PROXY",DCOUNT('[1]literature entries'!$D:$AI,IF($J47=1,"ACTIVE     CED, FARM GATE (MJ/kg)","CED, processor gate (MJ/kg)"),INDIRECT($K47)),GETPIVOTDATA(IF($J47=1,"Count of ACTIVE     CED, FARM GATE (MJ/kg)","Count of CED, processor gate (MJ/kg)"),'[1]Pivot Table_CED'!$A$3,"SUB TYPE",$B47))</f>
        <v/>
      </c>
      <c r="N47" s="92">
        <f>IF($L47="PROXY",DAVERAGE('[1]literature entries'!$D:$AI,IF($J47=1,"ACTIVE     CED, FARM GATE (MJ/kg)","CED, processor gate (MJ/kg)"),INDIRECT($K47)),GETPIVOTDATA(IF($J47=1,"Average of ACTIVE     CED, FARM GATE (MJ/kg)","Average of CED, processor gate (MJ/kg)"),'[1]Pivot Table_CED'!$A$3,"SUB TYPE",$B47))</f>
        <v/>
      </c>
      <c r="O47" s="92">
        <f>IF($L47="PROXY",DSTDEV('[1]literature entries'!D:AI,IF($J47=1,"ACTIVE     CED, FARM GATE (MJ/kg)","CED, processor gate (MJ/kg)"),INDIRECT($K47)),GETPIVOTDATA(IF($J47=1,"StdDev of ACTIVE     CED, FARM GATE (MJ/kg)","StdDev of CED, processor gate (MJ/kg)"),'[1]Pivot Table_CED'!$A$3,"SUB TYPE",$B47))</f>
        <v/>
      </c>
      <c r="P47" s="90">
        <f>IF(ISERROR(GETPIVOTDATA(IF($J47=1,"Count of ACTIVE     GHGE, FARM GATE (kg CO2e/kg)","Count of GHGE, processor gate (kg CO2e/kg)"),'[1]Pivot Table_GHG'!$A$3,"SUB TYPE",$B47)),"PROXY",IF(GETPIVOTDATA(IF($J47=1,"Count of ACTIVE     GHGE, FARM GATE (kg CO2e/kg)","Count of GHGE, processor gate (kg CO2e/kg)"),'[1]Pivot Table_GHG'!$A$3,"SUB TYPE",$B47)=0,"PROXY","DB value"))</f>
        <v/>
      </c>
      <c r="Q47" s="93">
        <f>IF($P47="PROXY",DCOUNT('[1]literature entries'!$D:$AI,IF($J47=1,"ACTIVE     GHGE, FARM GATE (kg CO2e/kg)","GHGE, processor gate (kg CO2e/kg)"),INDIRECT($K47)),GETPIVOTDATA(IF($J47=1,"ACTIVE     GHGE, FARM GATE (kg CO2e/kg)","Count of GHGE, processor gate (kg CO2e/kg)"),'[1]Pivot Table_GHG'!$A$3,"SUB TYPE",$B47))</f>
        <v/>
      </c>
      <c r="R47" s="94">
        <f>IF($P47="PROXY",DAVERAGE('[1]literature entries'!$D:$AI,IF($J47=1,"ACTIVE     GHGE, FARM GATE (kg CO2e/kg)","GHGE, processor gate (kg CO2e/kg)"),INDIRECT($K47)),GETPIVOTDATA(IF($J47=1,"Average of ACTIVE     GHGE, FARM GATE (kg CO2e/kg)","Average of GHGE, processor gate (kg CO2e/kg)"),'[1]Pivot Table_GHG'!$A$3,"SUB TYPE",$B47))</f>
        <v/>
      </c>
      <c r="S47" s="94">
        <f>IF($P47="PROXY",DSTDEV('[1]literature entries'!$D:$AI,IF($J47=1,"ACTIVE     GHGE, FARM GATE (kg CO2e/kg)","GHGE, processor gate (kg CO2e/kg)"),INDIRECT($K47)),GETPIVOTDATA(IF($J47=1,"StdDev of ACTIVE     GHGE, FARM GATE (kg CO2e/kg)","StdDev of GHGE, processor gate (kg CO2e/kg)"),'[1]Pivot Table_GHG'!$A$3,"SUB TYPE",$B47))</f>
        <v/>
      </c>
      <c r="T47" s="105" t="n"/>
      <c r="U47" s="106" t="n"/>
      <c r="V47" s="97" t="n"/>
      <c r="W47" s="98" t="inlineStr">
        <is>
          <t>greens</t>
        </is>
      </c>
      <c r="X47" s="98">
        <f>IF($W47="DIRECT",M47,DCOUNT('[1]literature entries'!$D:$AI,IF($J47=1,"ACTIVE     CED, FARM GATE (MJ/kg)","CED, processor gate (MJ/kg)"),INDIRECT($W47)))</f>
        <v/>
      </c>
      <c r="Y47" s="98">
        <f>IF($W47="DIRECT","",DAVERAGE('[1]literature entries'!$D:$AI,IF($J47=1,"ACTIVE     CED, FARM GATE (MJ/kg)","CED, processor gate (MJ/kg)"),INDIRECT($W47)))</f>
        <v/>
      </c>
      <c r="Z47" s="98">
        <f>IF($W47="DIRECT",$O47,DSTDEV('[1]literature entries'!$D:$AI,IF($J47=1,"ACTIVE     CED, FARM GATE (MJ/kg)","CED, processor gate (MJ/kg)"),INDIRECT($W47)))</f>
        <v/>
      </c>
      <c r="AA47" s="98">
        <f>IF($W47="DIRECT",$O47,$Z47/$Y47*$N47)</f>
        <v/>
      </c>
      <c r="AB47" s="99" t="inlineStr">
        <is>
          <t>greens</t>
        </is>
      </c>
      <c r="AC47" s="99">
        <f>IF($AB47="DIRECT",Q47,DCOUNT('[1]literature entries'!$D:$AI,IF($J47=1,"ACTIVE     GHGE, FARM GATE (kg CO2e/kg)","GHGE, processor gate (kg CO2e/kg)"),INDIRECT($AB47)))</f>
        <v/>
      </c>
      <c r="AD47" s="99">
        <f>IF($AB47="DIRECT","",DAVERAGE('[1]literature entries'!$D:$AI,IF($J47=1,"ACTIVE     GHGE, FARM GATE (kg CO2e/kg)","GHGE, processor gate (kg CO2e/kg)"),INDIRECT($AB47)))</f>
        <v/>
      </c>
      <c r="AE47" s="99">
        <f>IF($AB47="DIRECT",$S47,DSTDEV('[1]literature entries'!$D:$AI,IF($J47=1,"ACTIVE     GHGE, FARM GATE (kg CO2e/kg)","GHGE, processor gate (kg CO2e/kg)"),INDIRECT($AB47)))</f>
        <v/>
      </c>
      <c r="AF47" s="99">
        <f>IF($AB47="DIRECT",$S47,$AE47/$AD47*$R47)</f>
        <v/>
      </c>
    </row>
    <row r="48" ht="15.75" customHeight="1" s="201">
      <c r="A48" s="100" t="n">
        <v>401150000</v>
      </c>
      <c r="B48" s="101" t="inlineStr">
        <is>
          <t>Endive</t>
        </is>
      </c>
      <c r="C48" s="101" t="inlineStr">
        <is>
          <t>weight of leaves</t>
        </is>
      </c>
      <c r="D48" s="101" t="inlineStr">
        <is>
          <t>Includes escarole.</t>
        </is>
      </c>
      <c r="E48" s="101" t="n">
        <v>1566</v>
      </c>
      <c r="F48" s="84">
        <f>N48*H48+T48</f>
        <v/>
      </c>
      <c r="G48" s="85">
        <f>R48*H48+U48</f>
        <v/>
      </c>
      <c r="H48" s="102" t="n">
        <v>1.16</v>
      </c>
      <c r="I48" s="102" t="inlineStr">
        <is>
          <t>FICRCD</t>
        </is>
      </c>
      <c r="J48" s="104" t="n">
        <v>1</v>
      </c>
      <c r="K48" s="89" t="inlineStr">
        <is>
          <t>Escarole</t>
        </is>
      </c>
      <c r="L48" s="90">
        <f>IF(ISERROR(GETPIVOTDATA(IF($J48=1,"Count of ACTIVE     CED, FARM GATE (MJ/kg)","Count of CED, processor gate (MJ/kg)"),'[1]Pivot Table_CED'!$A$3,"SUB TYPE",$B48)),"PROXY",IF(GETPIVOTDATA(IF($J48=1,"Count of ACTIVE     CED, FARM GATE (MJ/kg)","Count of CED, processor gate (MJ/kg)"),'[1]Pivot Table_CED'!$A$3,"SUB TYPE",$B48)=0,"PROXY","DB value"))</f>
        <v/>
      </c>
      <c r="M48" s="91">
        <f>IF($L48="PROXY",DCOUNT('[1]literature entries'!$D:$AI,IF($J48=1,"ACTIVE     CED, FARM GATE (MJ/kg)","CED, processor gate (MJ/kg)"),INDIRECT($K48)),GETPIVOTDATA(IF($J48=1,"Count of ACTIVE     CED, FARM GATE (MJ/kg)","Count of CED, processor gate (MJ/kg)"),'[1]Pivot Table_CED'!$A$3,"SUB TYPE",$B48))</f>
        <v/>
      </c>
      <c r="N48" s="92">
        <f>IF($L48="PROXY",DAVERAGE('[1]literature entries'!$D:$AI,IF($J48=1,"ACTIVE     CED, FARM GATE (MJ/kg)","CED, processor gate (MJ/kg)"),INDIRECT($K48)),GETPIVOTDATA(IF($J48=1,"Average of ACTIVE     CED, FARM GATE (MJ/kg)","Average of CED, processor gate (MJ/kg)"),'[1]Pivot Table_CED'!$A$3,"SUB TYPE",$B48))</f>
        <v/>
      </c>
      <c r="O48" s="92">
        <f>IF($L48="PROXY",DSTDEV('[1]literature entries'!D:AI,IF($J48=1,"ACTIVE     CED, FARM GATE (MJ/kg)","CED, processor gate (MJ/kg)"),INDIRECT($K48)),GETPIVOTDATA(IF($J48=1,"StdDev of ACTIVE     CED, FARM GATE (MJ/kg)","StdDev of CED, processor gate (MJ/kg)"),'[1]Pivot Table_CED'!$A$3,"SUB TYPE",$B48))</f>
        <v/>
      </c>
      <c r="P48" s="90">
        <f>IF(ISERROR(GETPIVOTDATA(IF($J48=1,"Count of ACTIVE     GHGE, FARM GATE (kg CO2e/kg)","Count of GHGE, processor gate (kg CO2e/kg)"),'[1]Pivot Table_GHG'!$A$3,"SUB TYPE",$B48)),"PROXY",IF(GETPIVOTDATA(IF($J48=1,"Count of ACTIVE     GHGE, FARM GATE (kg CO2e/kg)","Count of GHGE, processor gate (kg CO2e/kg)"),'[1]Pivot Table_GHG'!$A$3,"SUB TYPE",$B48)=0,"PROXY","DB value"))</f>
        <v/>
      </c>
      <c r="Q48" s="93">
        <f>IF($P48="PROXY",DCOUNT('[1]literature entries'!$D:$AI,IF($J48=1,"ACTIVE     GHGE, FARM GATE (kg CO2e/kg)","GHGE, processor gate (kg CO2e/kg)"),INDIRECT($K48)),GETPIVOTDATA(IF($J48=1,"ACTIVE     GHGE, FARM GATE (kg CO2e/kg)","Count of GHGE, processor gate (kg CO2e/kg)"),'[1]Pivot Table_GHG'!$A$3,"SUB TYPE",$B48))</f>
        <v/>
      </c>
      <c r="R48" s="94">
        <f>IF($P48="PROXY",DAVERAGE('[1]literature entries'!$D:$AI,IF($J48=1,"ACTIVE     GHGE, FARM GATE (kg CO2e/kg)","GHGE, processor gate (kg CO2e/kg)"),INDIRECT($K48)),GETPIVOTDATA(IF($J48=1,"Average of ACTIVE     GHGE, FARM GATE (kg CO2e/kg)","Average of GHGE, processor gate (kg CO2e/kg)"),'[1]Pivot Table_GHG'!$A$3,"SUB TYPE",$B48))</f>
        <v/>
      </c>
      <c r="S48" s="94">
        <f>IF($P48="PROXY",DSTDEV('[1]literature entries'!$D:$AI,IF($J48=1,"ACTIVE     GHGE, FARM GATE (kg CO2e/kg)","GHGE, processor gate (kg CO2e/kg)"),INDIRECT($K48)),GETPIVOTDATA(IF($J48=1,"StdDev of ACTIVE     GHGE, FARM GATE (kg CO2e/kg)","StdDev of GHGE, processor gate (kg CO2e/kg)"),'[1]Pivot Table_GHG'!$A$3,"SUB TYPE",$B48))</f>
        <v/>
      </c>
      <c r="T48" s="115" t="n"/>
      <c r="U48" s="116" t="n"/>
      <c r="V48" s="97" t="n"/>
      <c r="W48" s="98" t="inlineStr">
        <is>
          <t>greens</t>
        </is>
      </c>
      <c r="X48" s="98">
        <f>IF($W48="DIRECT",M48,DCOUNT('[1]literature entries'!$D:$AI,IF($J48=1,"ACTIVE     CED, FARM GATE (MJ/kg)","CED, processor gate (MJ/kg)"),INDIRECT($W48)))</f>
        <v/>
      </c>
      <c r="Y48" s="98">
        <f>IF($W48="DIRECT","",DAVERAGE('[1]literature entries'!$D:$AI,IF($J48=1,"ACTIVE     CED, FARM GATE (MJ/kg)","CED, processor gate (MJ/kg)"),INDIRECT($W48)))</f>
        <v/>
      </c>
      <c r="Z48" s="98">
        <f>IF($W48="DIRECT",$O48,DSTDEV('[1]literature entries'!$D:$AI,IF($J48=1,"ACTIVE     CED, FARM GATE (MJ/kg)","CED, processor gate (MJ/kg)"),INDIRECT($W48)))</f>
        <v/>
      </c>
      <c r="AA48" s="98">
        <f>IF($W48="DIRECT",$O48,$Z48/$Y48*$N48)</f>
        <v/>
      </c>
      <c r="AB48" s="99" t="inlineStr">
        <is>
          <t>greens</t>
        </is>
      </c>
      <c r="AC48" s="99">
        <f>IF($AB48="DIRECT",Q48,DCOUNT('[1]literature entries'!$D:$AI,IF($J48=1,"ACTIVE     GHGE, FARM GATE (kg CO2e/kg)","GHGE, processor gate (kg CO2e/kg)"),INDIRECT($AB48)))</f>
        <v/>
      </c>
      <c r="AD48" s="99">
        <f>IF($AB48="DIRECT","",DAVERAGE('[1]literature entries'!$D:$AI,IF($J48=1,"ACTIVE     GHGE, FARM GATE (kg CO2e/kg)","GHGE, processor gate (kg CO2e/kg)"),INDIRECT($AB48)))</f>
        <v/>
      </c>
      <c r="AE48" s="99">
        <f>IF($AB48="DIRECT",$S48,DSTDEV('[1]literature entries'!$D:$AI,IF($J48=1,"ACTIVE     GHGE, FARM GATE (kg CO2e/kg)","GHGE, processor gate (kg CO2e/kg)"),INDIRECT($AB48)))</f>
        <v/>
      </c>
      <c r="AF48" s="99">
        <f>IF($AB48="DIRECT",$S48,$AE48/$AD48*$R48)</f>
        <v/>
      </c>
    </row>
    <row r="49" ht="15.75" customHeight="1" s="201">
      <c r="A49" s="100" t="n">
        <v>401204000</v>
      </c>
      <c r="B49" s="101" t="inlineStr">
        <is>
          <t>Lettuce, head</t>
        </is>
      </c>
      <c r="C49" s="101" t="inlineStr">
        <is>
          <t>weight of leaves; juice</t>
        </is>
      </c>
      <c r="D49" s="101" t="n"/>
      <c r="E49" s="101" t="n">
        <v>15121</v>
      </c>
      <c r="F49" s="84">
        <f>N49*H49+T49</f>
        <v/>
      </c>
      <c r="G49" s="85">
        <f>R49*H49+U49</f>
        <v/>
      </c>
      <c r="H49" s="102" t="n">
        <v>1.05</v>
      </c>
      <c r="I49" s="103" t="inlineStr">
        <is>
          <t>FICRCD</t>
        </is>
      </c>
      <c r="J49" s="104" t="n">
        <v>1</v>
      </c>
      <c r="K49" s="89" t="n"/>
      <c r="L49" s="90">
        <f>IF(ISERROR(GETPIVOTDATA(IF($J49=1,"Count of ACTIVE     CED, FARM GATE (MJ/kg)","Count of CED, processor gate (MJ/kg)"),'[1]Pivot Table_CED'!$A$3,"SUB TYPE",$B49)),"PROXY",IF(GETPIVOTDATA(IF($J49=1,"Count of ACTIVE     CED, FARM GATE (MJ/kg)","Count of CED, processor gate (MJ/kg)"),'[1]Pivot Table_CED'!$A$3,"SUB TYPE",$B49)=0,"PROXY","DB value"))</f>
        <v/>
      </c>
      <c r="M49" s="91">
        <f>IF($L49="PROXY",DCOUNT('[1]literature entries'!$D:$AI,IF($J49=1,"ACTIVE     CED, FARM GATE (MJ/kg)","CED, processor gate (MJ/kg)"),INDIRECT($K49)),GETPIVOTDATA(IF($J49=1,"Count of ACTIVE     CED, FARM GATE (MJ/kg)","Count of CED, processor gate (MJ/kg)"),'[1]Pivot Table_CED'!$A$3,"SUB TYPE",$B49))</f>
        <v/>
      </c>
      <c r="N49" s="92">
        <f>IF($L49="PROXY",DAVERAGE('[1]literature entries'!$D:$AI,IF($J49=1,"ACTIVE     CED, FARM GATE (MJ/kg)","CED, processor gate (MJ/kg)"),INDIRECT($K49)),GETPIVOTDATA(IF($J49=1,"Average of ACTIVE     CED, FARM GATE (MJ/kg)","Average of CED, processor gate (MJ/kg)"),'[1]Pivot Table_CED'!$A$3,"SUB TYPE",$B49))</f>
        <v/>
      </c>
      <c r="O49" s="92">
        <f>IF($L49="PROXY",DSTDEV('[1]literature entries'!D:AI,IF($J49=1,"ACTIVE     CED, FARM GATE (MJ/kg)","CED, processor gate (MJ/kg)"),INDIRECT($K49)),GETPIVOTDATA(IF($J49=1,"StdDev of ACTIVE     CED, FARM GATE (MJ/kg)","StdDev of CED, processor gate (MJ/kg)"),'[1]Pivot Table_CED'!$A$3,"SUB TYPE",$B49))</f>
        <v/>
      </c>
      <c r="P49" s="90">
        <f>IF(ISERROR(GETPIVOTDATA(IF($J49=1,"Count of ACTIVE     GHGE, FARM GATE (kg CO2e/kg)","Count of GHGE, processor gate (kg CO2e/kg)"),'[1]Pivot Table_GHG'!$A$3,"SUB TYPE",$B49)),"PROXY",IF(GETPIVOTDATA(IF($J49=1,"Count of ACTIVE     GHGE, FARM GATE (kg CO2e/kg)","Count of GHGE, processor gate (kg CO2e/kg)"),'[1]Pivot Table_GHG'!$A$3,"SUB TYPE",$B49)=0,"PROXY","DB value"))</f>
        <v/>
      </c>
      <c r="Q49" s="93">
        <f>IF($P49="PROXY",DCOUNT('[1]literature entries'!$D:$AI,IF($J49=1,"ACTIVE     GHGE, FARM GATE (kg CO2e/kg)","GHGE, processor gate (kg CO2e/kg)"),INDIRECT($K49)),GETPIVOTDATA(IF($J49=1,"ACTIVE     GHGE, FARM GATE (kg CO2e/kg)","Count of GHGE, processor gate (kg CO2e/kg)"),'[1]Pivot Table_GHG'!$A$3,"SUB TYPE",$B49))</f>
        <v/>
      </c>
      <c r="R49" s="94">
        <f>IF($P49="PROXY",DAVERAGE('[1]literature entries'!$D:$AI,IF($J49=1,"ACTIVE     GHGE, FARM GATE (kg CO2e/kg)","GHGE, processor gate (kg CO2e/kg)"),INDIRECT($K49)),GETPIVOTDATA(IF($J49=1,"Average of ACTIVE     GHGE, FARM GATE (kg CO2e/kg)","Average of GHGE, processor gate (kg CO2e/kg)"),'[1]Pivot Table_GHG'!$A$3,"SUB TYPE",$B49))</f>
        <v/>
      </c>
      <c r="S49" s="94">
        <f>IF($P49="PROXY",DSTDEV('[1]literature entries'!$D:$AI,IF($J49=1,"ACTIVE     GHGE, FARM GATE (kg CO2e/kg)","GHGE, processor gate (kg CO2e/kg)"),INDIRECT($K49)),GETPIVOTDATA(IF($J49=1,"StdDev of ACTIVE     GHGE, FARM GATE (kg CO2e/kg)","StdDev of GHGE, processor gate (kg CO2e/kg)"),'[1]Pivot Table_GHG'!$A$3,"SUB TYPE",$B49))</f>
        <v/>
      </c>
      <c r="T49" s="105" t="n"/>
      <c r="U49" s="106" t="n"/>
      <c r="V49" s="97" t="n"/>
      <c r="W49" s="98" t="inlineStr">
        <is>
          <t>greens</t>
        </is>
      </c>
      <c r="X49" s="98">
        <f>IF($W49="DIRECT",M49,DCOUNT('[1]literature entries'!$D:$AI,IF($J49=1,"ACTIVE     CED, FARM GATE (MJ/kg)","CED, processor gate (MJ/kg)"),INDIRECT($W49)))</f>
        <v/>
      </c>
      <c r="Y49" s="98">
        <f>IF($W49="DIRECT","",DAVERAGE('[1]literature entries'!$D:$AI,IF($J49=1,"ACTIVE     CED, FARM GATE (MJ/kg)","CED, processor gate (MJ/kg)"),INDIRECT($W49)))</f>
        <v/>
      </c>
      <c r="Z49" s="98">
        <f>IF($W49="DIRECT",$O49,DSTDEV('[1]literature entries'!$D:$AI,IF($J49=1,"ACTIVE     CED, FARM GATE (MJ/kg)","CED, processor gate (MJ/kg)"),INDIRECT($W49)))</f>
        <v/>
      </c>
      <c r="AA49" s="98">
        <f>IF($W49="DIRECT",$O49,$Z49/$Y49*$N49)</f>
        <v/>
      </c>
      <c r="AB49" s="99" t="inlineStr">
        <is>
          <t>greens</t>
        </is>
      </c>
      <c r="AC49" s="99">
        <f>IF($AB49="DIRECT",Q49,DCOUNT('[1]literature entries'!$D:$AI,IF($J49=1,"ACTIVE     GHGE, FARM GATE (kg CO2e/kg)","GHGE, processor gate (kg CO2e/kg)"),INDIRECT($AB49)))</f>
        <v/>
      </c>
      <c r="AD49" s="99">
        <f>IF($AB49="DIRECT","",DAVERAGE('[1]literature entries'!$D:$AI,IF($J49=1,"ACTIVE     GHGE, FARM GATE (kg CO2e/kg)","GHGE, processor gate (kg CO2e/kg)"),INDIRECT($AB49)))</f>
        <v/>
      </c>
      <c r="AE49" s="99">
        <f>IF($AB49="DIRECT",$S49,DSTDEV('[1]literature entries'!$D:$AI,IF($J49=1,"ACTIVE     GHGE, FARM GATE (kg CO2e/kg)","GHGE, processor gate (kg CO2e/kg)"),INDIRECT($AB49)))</f>
        <v/>
      </c>
      <c r="AF49" s="99">
        <f>IF($AB49="DIRECT",$S49,$AE49/$AD49*$R49)</f>
        <v/>
      </c>
    </row>
    <row r="50" ht="15.75" customHeight="1" s="201">
      <c r="A50" s="100" t="n">
        <v>401205000</v>
      </c>
      <c r="B50" s="101" t="inlineStr">
        <is>
          <t>Lettuce, leaf</t>
        </is>
      </c>
      <c r="C50" s="101" t="inlineStr">
        <is>
          <t>weight of leaves</t>
        </is>
      </c>
      <c r="D50" s="101" t="inlineStr">
        <is>
          <t>Includes romaine.</t>
        </is>
      </c>
      <c r="E50" s="101" t="n">
        <v>1626</v>
      </c>
      <c r="F50" s="84">
        <f>N50*H50+T50</f>
        <v/>
      </c>
      <c r="G50" s="85">
        <f>R50*H50+U50</f>
        <v/>
      </c>
      <c r="H50" s="102" t="n">
        <v>1.26</v>
      </c>
      <c r="I50" s="103" t="inlineStr">
        <is>
          <t>NNDSR28</t>
        </is>
      </c>
      <c r="J50" s="104" t="n">
        <v>1</v>
      </c>
      <c r="K50" s="89" t="n"/>
      <c r="L50" s="90">
        <f>IF(ISERROR(GETPIVOTDATA(IF($J50=1,"Count of ACTIVE     CED, FARM GATE (MJ/kg)","Count of CED, processor gate (MJ/kg)"),'[1]Pivot Table_CED'!$A$3,"SUB TYPE",$B50)),"PROXY",IF(GETPIVOTDATA(IF($J50=1,"Count of ACTIVE     CED, FARM GATE (MJ/kg)","Count of CED, processor gate (MJ/kg)"),'[1]Pivot Table_CED'!$A$3,"SUB TYPE",$B50)=0,"PROXY","DB value"))</f>
        <v/>
      </c>
      <c r="M50" s="91">
        <f>IF($L50="PROXY",DCOUNT('[1]literature entries'!$D:$AI,IF($J50=1,"ACTIVE     CED, FARM GATE (MJ/kg)","CED, processor gate (MJ/kg)"),INDIRECT($K50)),GETPIVOTDATA(IF($J50=1,"Count of ACTIVE     CED, FARM GATE (MJ/kg)","Count of CED, processor gate (MJ/kg)"),'[1]Pivot Table_CED'!$A$3,"SUB TYPE",$B50))</f>
        <v/>
      </c>
      <c r="N50" s="92">
        <f>IF($L50="PROXY",DAVERAGE('[1]literature entries'!$D:$AI,IF($J50=1,"ACTIVE     CED, FARM GATE (MJ/kg)","CED, processor gate (MJ/kg)"),INDIRECT($K50)),GETPIVOTDATA(IF($J50=1,"Average of ACTIVE     CED, FARM GATE (MJ/kg)","Average of CED, processor gate (MJ/kg)"),'[1]Pivot Table_CED'!$A$3,"SUB TYPE",$B50))</f>
        <v/>
      </c>
      <c r="O50" s="92">
        <f>IF($L50="PROXY",DSTDEV('[1]literature entries'!D:AI,IF($J50=1,"ACTIVE     CED, FARM GATE (MJ/kg)","CED, processor gate (MJ/kg)"),INDIRECT($K50)),GETPIVOTDATA(IF($J50=1,"StdDev of ACTIVE     CED, FARM GATE (MJ/kg)","StdDev of CED, processor gate (MJ/kg)"),'[1]Pivot Table_CED'!$A$3,"SUB TYPE",$B50))</f>
        <v/>
      </c>
      <c r="P50" s="90">
        <f>IF(ISERROR(GETPIVOTDATA(IF($J50=1,"Count of ACTIVE     GHGE, FARM GATE (kg CO2e/kg)","Count of GHGE, processor gate (kg CO2e/kg)"),'[1]Pivot Table_GHG'!$A$3,"SUB TYPE",$B50)),"PROXY",IF(GETPIVOTDATA(IF($J50=1,"Count of ACTIVE     GHGE, FARM GATE (kg CO2e/kg)","Count of GHGE, processor gate (kg CO2e/kg)"),'[1]Pivot Table_GHG'!$A$3,"SUB TYPE",$B50)=0,"PROXY","DB value"))</f>
        <v/>
      </c>
      <c r="Q50" s="93">
        <f>IF($P50="PROXY",DCOUNT('[1]literature entries'!$D:$AI,IF($J50=1,"ACTIVE     GHGE, FARM GATE (kg CO2e/kg)","GHGE, processor gate (kg CO2e/kg)"),INDIRECT($K50)),GETPIVOTDATA(IF($J50=1,"ACTIVE     GHGE, FARM GATE (kg CO2e/kg)","Count of GHGE, processor gate (kg CO2e/kg)"),'[1]Pivot Table_GHG'!$A$3,"SUB TYPE",$B50))</f>
        <v/>
      </c>
      <c r="R50" s="94">
        <f>IF($P50="PROXY",DAVERAGE('[1]literature entries'!$D:$AI,IF($J50=1,"ACTIVE     GHGE, FARM GATE (kg CO2e/kg)","GHGE, processor gate (kg CO2e/kg)"),INDIRECT($K50)),GETPIVOTDATA(IF($J50=1,"Average of ACTIVE     GHGE, FARM GATE (kg CO2e/kg)","Average of GHGE, processor gate (kg CO2e/kg)"),'[1]Pivot Table_GHG'!$A$3,"SUB TYPE",$B50))</f>
        <v/>
      </c>
      <c r="S50" s="94">
        <f>IF($P50="PROXY",DSTDEV('[1]literature entries'!$D:$AI,IF($J50=1,"ACTIVE     GHGE, FARM GATE (kg CO2e/kg)","GHGE, processor gate (kg CO2e/kg)"),INDIRECT($K50)),GETPIVOTDATA(IF($J50=1,"StdDev of ACTIVE     GHGE, FARM GATE (kg CO2e/kg)","StdDev of GHGE, processor gate (kg CO2e/kg)"),'[1]Pivot Table_GHG'!$A$3,"SUB TYPE",$B50))</f>
        <v/>
      </c>
      <c r="T50" s="105" t="n"/>
      <c r="U50" s="106" t="n"/>
      <c r="V50" s="97" t="n"/>
      <c r="W50" s="98">
        <f>IF(L50="PROXY",IF(M50&gt;=5,K50,"need group"),IF(M50&gt;=5,"DIRECT","need group"))</f>
        <v/>
      </c>
      <c r="X50" s="98">
        <f>IF($W50="DIRECT",M50,DCOUNT('[1]literature entries'!$D:$AI,IF($J50=1,"ACTIVE     CED, FARM GATE (MJ/kg)","CED, processor gate (MJ/kg)"),INDIRECT($W50)))</f>
        <v/>
      </c>
      <c r="Y50" s="98">
        <f>IF($W50="DIRECT","",DAVERAGE('[1]literature entries'!$D:$AI,IF($J50=1,"ACTIVE     CED, FARM GATE (MJ/kg)","CED, processor gate (MJ/kg)"),INDIRECT($W50)))</f>
        <v/>
      </c>
      <c r="Z50" s="98">
        <f>IF($W50="DIRECT",$O50,DSTDEV('[1]literature entries'!$D:$AI,IF($J50=1,"ACTIVE     CED, FARM GATE (MJ/kg)","CED, processor gate (MJ/kg)"),INDIRECT($W50)))</f>
        <v/>
      </c>
      <c r="AA50" s="98">
        <f>IF($W50="DIRECT",$O50,$Z50/$Y50*$N50)</f>
        <v/>
      </c>
      <c r="AB50" s="99">
        <f>IF(P50="PROXY",IF(Q50&gt;=5,K50,"need group"),IF(Q50&gt;=5,"DIRECT","need group"))</f>
        <v/>
      </c>
      <c r="AC50" s="99">
        <f>IF($AB50="DIRECT",Q50,DCOUNT('[1]literature entries'!$D:$AI,IF($J50=1,"ACTIVE     GHGE, FARM GATE (kg CO2e/kg)","GHGE, processor gate (kg CO2e/kg)"),INDIRECT($AB50)))</f>
        <v/>
      </c>
      <c r="AD50" s="99">
        <f>IF($AB50="DIRECT","",DAVERAGE('[1]literature entries'!$D:$AI,IF($J50=1,"ACTIVE     GHGE, FARM GATE (kg CO2e/kg)","GHGE, processor gate (kg CO2e/kg)"),INDIRECT($AB50)))</f>
        <v/>
      </c>
      <c r="AE50" s="99">
        <f>IF($AB50="DIRECT",$S50,DSTDEV('[1]literature entries'!$D:$AI,IF($J50=1,"ACTIVE     GHGE, FARM GATE (kg CO2e/kg)","GHGE, processor gate (kg CO2e/kg)"),INDIRECT($AB50)))</f>
        <v/>
      </c>
      <c r="AF50" s="99">
        <f>IF($AB50="DIRECT",$S50,$AE50/$AD50*$R50)</f>
        <v/>
      </c>
    </row>
    <row r="51" ht="15.75" customHeight="1" s="201">
      <c r="A51" s="100" t="n">
        <v>401248000</v>
      </c>
      <c r="B51" s="101" t="inlineStr">
        <is>
          <t>Parsley, leaves</t>
        </is>
      </c>
      <c r="C51" s="101" t="inlineStr">
        <is>
          <t>weight of leaves and stems</t>
        </is>
      </c>
      <c r="D51" s="101" t="n"/>
      <c r="E51" s="101" t="n">
        <v>2940</v>
      </c>
      <c r="F51" s="84">
        <f>N51*H51+T51</f>
        <v/>
      </c>
      <c r="G51" s="85">
        <f>R51*H51+U51</f>
        <v/>
      </c>
      <c r="H51" s="102" t="n">
        <v>1.05</v>
      </c>
      <c r="I51" s="103" t="inlineStr">
        <is>
          <t>FICRCD</t>
        </is>
      </c>
      <c r="J51" s="104" t="n">
        <v>1</v>
      </c>
      <c r="K51" s="89" t="inlineStr">
        <is>
          <t>spinach</t>
        </is>
      </c>
      <c r="L51" s="90">
        <f>IF(ISERROR(GETPIVOTDATA(IF($J51=1,"Count of ACTIVE     CED, FARM GATE (MJ/kg)","Count of CED, processor gate (MJ/kg)"),'[1]Pivot Table_CED'!$A$3,"SUB TYPE",$B51)),"PROXY",IF(GETPIVOTDATA(IF($J51=1,"Count of ACTIVE     CED, FARM GATE (MJ/kg)","Count of CED, processor gate (MJ/kg)"),'[1]Pivot Table_CED'!$A$3,"SUB TYPE",$B51)=0,"PROXY","DB value"))</f>
        <v/>
      </c>
      <c r="M51" s="91">
        <f>IF($L51="PROXY",DCOUNT('[1]literature entries'!$D:$AI,IF($J51=1,"ACTIVE     CED, FARM GATE (MJ/kg)","CED, processor gate (MJ/kg)"),INDIRECT($K51)),GETPIVOTDATA(IF($J51=1,"Count of ACTIVE     CED, FARM GATE (MJ/kg)","Count of CED, processor gate (MJ/kg)"),'[1]Pivot Table_CED'!$A$3,"SUB TYPE",$B51))</f>
        <v/>
      </c>
      <c r="N51" s="92">
        <f>IF($L51="PROXY",DAVERAGE('[1]literature entries'!$D:$AI,IF($J51=1,"ACTIVE     CED, FARM GATE (MJ/kg)","CED, processor gate (MJ/kg)"),INDIRECT($K51)),GETPIVOTDATA(IF($J51=1,"Average of ACTIVE     CED, FARM GATE (MJ/kg)","Average of CED, processor gate (MJ/kg)"),'[1]Pivot Table_CED'!$A$3,"SUB TYPE",$B51))</f>
        <v/>
      </c>
      <c r="O51" s="92">
        <f>IF($L51="PROXY",DSTDEV('[1]literature entries'!D:AI,IF($J51=1,"ACTIVE     CED, FARM GATE (MJ/kg)","CED, processor gate (MJ/kg)"),INDIRECT($K51)),GETPIVOTDATA(IF($J51=1,"StdDev of ACTIVE     CED, FARM GATE (MJ/kg)","StdDev of CED, processor gate (MJ/kg)"),'[1]Pivot Table_CED'!$A$3,"SUB TYPE",$B51))</f>
        <v/>
      </c>
      <c r="P51" s="90">
        <f>IF(ISERROR(GETPIVOTDATA(IF($J51=1,"Count of ACTIVE     GHGE, FARM GATE (kg CO2e/kg)","Count of GHGE, processor gate (kg CO2e/kg)"),'[1]Pivot Table_GHG'!$A$3,"SUB TYPE",$B51)),"PROXY",IF(GETPIVOTDATA(IF($J51=1,"Count of ACTIVE     GHGE, FARM GATE (kg CO2e/kg)","Count of GHGE, processor gate (kg CO2e/kg)"),'[1]Pivot Table_GHG'!$A$3,"SUB TYPE",$B51)=0,"PROXY","DB value"))</f>
        <v/>
      </c>
      <c r="Q51" s="93">
        <f>IF($P51="PROXY",DCOUNT('[1]literature entries'!$D:$AI,IF($J51=1,"ACTIVE     GHGE, FARM GATE (kg CO2e/kg)","GHGE, processor gate (kg CO2e/kg)"),INDIRECT($K51)),GETPIVOTDATA(IF($J51=1,"ACTIVE     GHGE, FARM GATE (kg CO2e/kg)","Count of GHGE, processor gate (kg CO2e/kg)"),'[1]Pivot Table_GHG'!$A$3,"SUB TYPE",$B51))</f>
        <v/>
      </c>
      <c r="R51" s="94">
        <f>IF($P51="PROXY",DAVERAGE('[1]literature entries'!$D:$AI,IF($J51=1,"ACTIVE     GHGE, FARM GATE (kg CO2e/kg)","GHGE, processor gate (kg CO2e/kg)"),INDIRECT($K51)),GETPIVOTDATA(IF($J51=1,"Average of ACTIVE     GHGE, FARM GATE (kg CO2e/kg)","Average of GHGE, processor gate (kg CO2e/kg)"),'[1]Pivot Table_GHG'!$A$3,"SUB TYPE",$B51))</f>
        <v/>
      </c>
      <c r="S51" s="94">
        <f>IF($P51="PROXY",DSTDEV('[1]literature entries'!$D:$AI,IF($J51=1,"ACTIVE     GHGE, FARM GATE (kg CO2e/kg)","GHGE, processor gate (kg CO2e/kg)"),INDIRECT($K51)),GETPIVOTDATA(IF($J51=1,"StdDev of ACTIVE     GHGE, FARM GATE (kg CO2e/kg)","StdDev of GHGE, processor gate (kg CO2e/kg)"),'[1]Pivot Table_GHG'!$A$3,"SUB TYPE",$B51))</f>
        <v/>
      </c>
      <c r="T51" s="105" t="n"/>
      <c r="U51" s="106" t="n"/>
      <c r="V51" s="97" t="n"/>
      <c r="W51" s="98" t="inlineStr">
        <is>
          <t>greens</t>
        </is>
      </c>
      <c r="X51" s="98">
        <f>IF($W51="DIRECT",M51,DCOUNT('[1]literature entries'!$D:$AI,IF($J51=1,"ACTIVE     CED, FARM GATE (MJ/kg)","CED, processor gate (MJ/kg)"),INDIRECT($W51)))</f>
        <v/>
      </c>
      <c r="Y51" s="98">
        <f>IF($W51="DIRECT","",DAVERAGE('[1]literature entries'!$D:$AI,IF($J51=1,"ACTIVE     CED, FARM GATE (MJ/kg)","CED, processor gate (MJ/kg)"),INDIRECT($W51)))</f>
        <v/>
      </c>
      <c r="Z51" s="98">
        <f>IF($W51="DIRECT",$O51,DSTDEV('[1]literature entries'!$D:$AI,IF($J51=1,"ACTIVE     CED, FARM GATE (MJ/kg)","CED, processor gate (MJ/kg)"),INDIRECT($W51)))</f>
        <v/>
      </c>
      <c r="AA51" s="98">
        <f>IF($W51="DIRECT",$O51,$Z51/$Y51*$N51)</f>
        <v/>
      </c>
      <c r="AB51" s="99" t="inlineStr">
        <is>
          <t>greens</t>
        </is>
      </c>
      <c r="AC51" s="99">
        <f>IF($AB51="DIRECT",Q51,DCOUNT('[1]literature entries'!$D:$AI,IF($J51=1,"ACTIVE     GHGE, FARM GATE (kg CO2e/kg)","GHGE, processor gate (kg CO2e/kg)"),INDIRECT($AB51)))</f>
        <v/>
      </c>
      <c r="AD51" s="99">
        <f>IF($AB51="DIRECT","",DAVERAGE('[1]literature entries'!$D:$AI,IF($J51=1,"ACTIVE     GHGE, FARM GATE (kg CO2e/kg)","GHGE, processor gate (kg CO2e/kg)"),INDIRECT($AB51)))</f>
        <v/>
      </c>
      <c r="AE51" s="99">
        <f>IF($AB51="DIRECT",$S51,DSTDEV('[1]literature entries'!$D:$AI,IF($J51=1,"ACTIVE     GHGE, FARM GATE (kg CO2e/kg)","GHGE, processor gate (kg CO2e/kg)"),INDIRECT($AB51)))</f>
        <v/>
      </c>
      <c r="AF51" s="99">
        <f>IF($AB51="DIRECT",$S51,$AE51/$AD51*$R51)</f>
        <v/>
      </c>
    </row>
    <row r="52" ht="15.75" customHeight="1" s="201">
      <c r="A52" s="100" t="n">
        <v>401313000</v>
      </c>
      <c r="B52" s="101" t="inlineStr">
        <is>
          <t>Radicchio</t>
        </is>
      </c>
      <c r="C52" s="101" t="inlineStr">
        <is>
          <t>weight of leaves</t>
        </is>
      </c>
      <c r="D52" s="101" t="n"/>
      <c r="E52" s="101" t="n">
        <v>1562</v>
      </c>
      <c r="F52" s="84">
        <f>N52*H52+T52</f>
        <v/>
      </c>
      <c r="G52" s="85">
        <f>R52*H52+U52</f>
        <v/>
      </c>
      <c r="H52" s="102" t="n">
        <v>1.1</v>
      </c>
      <c r="I52" s="103" t="inlineStr">
        <is>
          <t>FICRCD</t>
        </is>
      </c>
      <c r="J52" s="104" t="n">
        <v>1</v>
      </c>
      <c r="K52" s="89" t="inlineStr">
        <is>
          <t>Escarole</t>
        </is>
      </c>
      <c r="L52" s="90">
        <f>IF(ISERROR(GETPIVOTDATA(IF($J52=1,"Count of ACTIVE     CED, FARM GATE (MJ/kg)","Count of CED, processor gate (MJ/kg)"),'[1]Pivot Table_CED'!$A$3,"SUB TYPE",$B52)),"PROXY",IF(GETPIVOTDATA(IF($J52=1,"Count of ACTIVE     CED, FARM GATE (MJ/kg)","Count of CED, processor gate (MJ/kg)"),'[1]Pivot Table_CED'!$A$3,"SUB TYPE",$B52)=0,"PROXY","DB value"))</f>
        <v/>
      </c>
      <c r="M52" s="91">
        <f>IF($L52="PROXY",DCOUNT('[1]literature entries'!$D:$AI,IF($J52=1,"ACTIVE     CED, FARM GATE (MJ/kg)","CED, processor gate (MJ/kg)"),INDIRECT($K52)),GETPIVOTDATA(IF($J52=1,"Count of ACTIVE     CED, FARM GATE (MJ/kg)","Count of CED, processor gate (MJ/kg)"),'[1]Pivot Table_CED'!$A$3,"SUB TYPE",$B52))</f>
        <v/>
      </c>
      <c r="N52" s="92">
        <f>IF($L52="PROXY",DAVERAGE('[1]literature entries'!$D:$AI,IF($J52=1,"ACTIVE     CED, FARM GATE (MJ/kg)","CED, processor gate (MJ/kg)"),INDIRECT($K52)),GETPIVOTDATA(IF($J52=1,"Average of ACTIVE     CED, FARM GATE (MJ/kg)","Average of CED, processor gate (MJ/kg)"),'[1]Pivot Table_CED'!$A$3,"SUB TYPE",$B52))</f>
        <v/>
      </c>
      <c r="O52" s="92">
        <f>IF($L52="PROXY",DSTDEV('[1]literature entries'!D:AI,IF($J52=1,"ACTIVE     CED, FARM GATE (MJ/kg)","CED, processor gate (MJ/kg)"),INDIRECT($K52)),GETPIVOTDATA(IF($J52=1,"StdDev of ACTIVE     CED, FARM GATE (MJ/kg)","StdDev of CED, processor gate (MJ/kg)"),'[1]Pivot Table_CED'!$A$3,"SUB TYPE",$B52))</f>
        <v/>
      </c>
      <c r="P52" s="90">
        <f>IF(ISERROR(GETPIVOTDATA(IF($J52=1,"Count of ACTIVE     GHGE, FARM GATE (kg CO2e/kg)","Count of GHGE, processor gate (kg CO2e/kg)"),'[1]Pivot Table_GHG'!$A$3,"SUB TYPE",$B52)),"PROXY",IF(GETPIVOTDATA(IF($J52=1,"Count of ACTIVE     GHGE, FARM GATE (kg CO2e/kg)","Count of GHGE, processor gate (kg CO2e/kg)"),'[1]Pivot Table_GHG'!$A$3,"SUB TYPE",$B52)=0,"PROXY","DB value"))</f>
        <v/>
      </c>
      <c r="Q52" s="93">
        <f>IF($P52="PROXY",DCOUNT('[1]literature entries'!$D:$AI,IF($J52=1,"ACTIVE     GHGE, FARM GATE (kg CO2e/kg)","GHGE, processor gate (kg CO2e/kg)"),INDIRECT($K52)),GETPIVOTDATA(IF($J52=1,"ACTIVE     GHGE, FARM GATE (kg CO2e/kg)","Count of GHGE, processor gate (kg CO2e/kg)"),'[1]Pivot Table_GHG'!$A$3,"SUB TYPE",$B52))</f>
        <v/>
      </c>
      <c r="R52" s="94">
        <f>IF($P52="PROXY",DAVERAGE('[1]literature entries'!$D:$AI,IF($J52=1,"ACTIVE     GHGE, FARM GATE (kg CO2e/kg)","GHGE, processor gate (kg CO2e/kg)"),INDIRECT($K52)),GETPIVOTDATA(IF($J52=1,"Average of ACTIVE     GHGE, FARM GATE (kg CO2e/kg)","Average of GHGE, processor gate (kg CO2e/kg)"),'[1]Pivot Table_GHG'!$A$3,"SUB TYPE",$B52))</f>
        <v/>
      </c>
      <c r="S52" s="94">
        <f>IF($P52="PROXY",DSTDEV('[1]literature entries'!$D:$AI,IF($J52=1,"ACTIVE     GHGE, FARM GATE (kg CO2e/kg)","GHGE, processor gate (kg CO2e/kg)"),INDIRECT($K52)),GETPIVOTDATA(IF($J52=1,"StdDev of ACTIVE     GHGE, FARM GATE (kg CO2e/kg)","StdDev of GHGE, processor gate (kg CO2e/kg)"),'[1]Pivot Table_GHG'!$A$3,"SUB TYPE",$B52))</f>
        <v/>
      </c>
      <c r="T52" s="105" t="n"/>
      <c r="U52" s="106" t="n"/>
      <c r="V52" s="97" t="n"/>
      <c r="W52" s="98" t="inlineStr">
        <is>
          <t>greens</t>
        </is>
      </c>
      <c r="X52" s="98">
        <f>IF($W52="DIRECT",M52,DCOUNT('[1]literature entries'!$D:$AI,IF($J52=1,"ACTIVE     CED, FARM GATE (MJ/kg)","CED, processor gate (MJ/kg)"),INDIRECT($W52)))</f>
        <v/>
      </c>
      <c r="Y52" s="98">
        <f>IF($W52="DIRECT","",DAVERAGE('[1]literature entries'!$D:$AI,IF($J52=1,"ACTIVE     CED, FARM GATE (MJ/kg)","CED, processor gate (MJ/kg)"),INDIRECT($W52)))</f>
        <v/>
      </c>
      <c r="Z52" s="98">
        <f>IF($W52="DIRECT",$O52,DSTDEV('[1]literature entries'!$D:$AI,IF($J52=1,"ACTIVE     CED, FARM GATE (MJ/kg)","CED, processor gate (MJ/kg)"),INDIRECT($W52)))</f>
        <v/>
      </c>
      <c r="AA52" s="98">
        <f>IF($W52="DIRECT",$O52,$Z52/$Y52*$N52)</f>
        <v/>
      </c>
      <c r="AB52" s="99" t="inlineStr">
        <is>
          <t>greens</t>
        </is>
      </c>
      <c r="AC52" s="99">
        <f>IF($AB52="DIRECT",Q52,DCOUNT('[1]literature entries'!$D:$AI,IF($J52=1,"ACTIVE     GHGE, FARM GATE (kg CO2e/kg)","GHGE, processor gate (kg CO2e/kg)"),INDIRECT($AB52)))</f>
        <v/>
      </c>
      <c r="AD52" s="99">
        <f>IF($AB52="DIRECT","",DAVERAGE('[1]literature entries'!$D:$AI,IF($J52=1,"ACTIVE     GHGE, FARM GATE (kg CO2e/kg)","GHGE, processor gate (kg CO2e/kg)"),INDIRECT($AB52)))</f>
        <v/>
      </c>
      <c r="AE52" s="99">
        <f>IF($AB52="DIRECT",$S52,DSTDEV('[1]literature entries'!$D:$AI,IF($J52=1,"ACTIVE     GHGE, FARM GATE (kg CO2e/kg)","GHGE, processor gate (kg CO2e/kg)"),INDIRECT($AB52)))</f>
        <v/>
      </c>
      <c r="AF52" s="99">
        <f>IF($AB52="DIRECT",$S52,$AE52/$AD52*$R52)</f>
        <v/>
      </c>
    </row>
    <row r="53" ht="15.75" customHeight="1" s="201">
      <c r="A53" s="100" t="n">
        <v>401355000</v>
      </c>
      <c r="B53" s="101" t="inlineStr">
        <is>
          <t>Spinach</t>
        </is>
      </c>
      <c r="C53" s="101" t="inlineStr">
        <is>
          <t>weight of leaves; juice</t>
        </is>
      </c>
      <c r="D53" s="101" t="n"/>
      <c r="E53" s="101" t="n">
        <v>2857</v>
      </c>
      <c r="F53" s="84">
        <f>N53*H53+T53</f>
        <v/>
      </c>
      <c r="G53" s="85">
        <f>R53*H53+U53</f>
        <v/>
      </c>
      <c r="H53" s="102" t="n">
        <v>1.39</v>
      </c>
      <c r="I53" s="102" t="inlineStr">
        <is>
          <t>FICRCD</t>
        </is>
      </c>
      <c r="J53" s="104" t="n">
        <v>1</v>
      </c>
      <c r="K53" s="89" t="n"/>
      <c r="L53" s="90">
        <f>IF(ISERROR(GETPIVOTDATA(IF($J53=1,"Count of ACTIVE     CED, FARM GATE (MJ/kg)","Count of CED, processor gate (MJ/kg)"),'[1]Pivot Table_CED'!$A$3,"SUB TYPE",$B53)),"PROXY",IF(GETPIVOTDATA(IF($J53=1,"Count of ACTIVE     CED, FARM GATE (MJ/kg)","Count of CED, processor gate (MJ/kg)"),'[1]Pivot Table_CED'!$A$3,"SUB TYPE",$B53)=0,"PROXY","DB value"))</f>
        <v/>
      </c>
      <c r="M53" s="91">
        <f>IF($L53="PROXY",DCOUNT('[1]literature entries'!$D:$AI,IF($J53=1,"ACTIVE     CED, FARM GATE (MJ/kg)","CED, processor gate (MJ/kg)"),INDIRECT($K53)),GETPIVOTDATA(IF($J53=1,"Count of ACTIVE     CED, FARM GATE (MJ/kg)","Count of CED, processor gate (MJ/kg)"),'[1]Pivot Table_CED'!$A$3,"SUB TYPE",$B53))</f>
        <v/>
      </c>
      <c r="N53" s="92">
        <f>IF($L53="PROXY",DAVERAGE('[1]literature entries'!$D:$AI,IF($J53=1,"ACTIVE     CED, FARM GATE (MJ/kg)","CED, processor gate (MJ/kg)"),INDIRECT($K53)),GETPIVOTDATA(IF($J53=1,"Average of ACTIVE     CED, FARM GATE (MJ/kg)","Average of CED, processor gate (MJ/kg)"),'[1]Pivot Table_CED'!$A$3,"SUB TYPE",$B53))</f>
        <v/>
      </c>
      <c r="O53" s="92">
        <f>IF($L53="PROXY",DSTDEV('[1]literature entries'!D:AI,IF($J53=1,"ACTIVE     CED, FARM GATE (MJ/kg)","CED, processor gate (MJ/kg)"),INDIRECT($K53)),GETPIVOTDATA(IF($J53=1,"StdDev of ACTIVE     CED, FARM GATE (MJ/kg)","StdDev of CED, processor gate (MJ/kg)"),'[1]Pivot Table_CED'!$A$3,"SUB TYPE",$B53))</f>
        <v/>
      </c>
      <c r="P53" s="90">
        <f>IF(ISERROR(GETPIVOTDATA(IF($J53=1,"Count of ACTIVE     GHGE, FARM GATE (kg CO2e/kg)","Count of GHGE, processor gate (kg CO2e/kg)"),'[1]Pivot Table_GHG'!$A$3,"SUB TYPE",$B53)),"PROXY",IF(GETPIVOTDATA(IF($J53=1,"Count of ACTIVE     GHGE, FARM GATE (kg CO2e/kg)","Count of GHGE, processor gate (kg CO2e/kg)"),'[1]Pivot Table_GHG'!$A$3,"SUB TYPE",$B53)=0,"PROXY","DB value"))</f>
        <v/>
      </c>
      <c r="Q53" s="93">
        <f>IF($P53="PROXY",DCOUNT('[1]literature entries'!$D:$AI,IF($J53=1,"ACTIVE     GHGE, FARM GATE (kg CO2e/kg)","GHGE, processor gate (kg CO2e/kg)"),INDIRECT($K53)),GETPIVOTDATA(IF($J53=1,"ACTIVE     GHGE, FARM GATE (kg CO2e/kg)","Count of GHGE, processor gate (kg CO2e/kg)"),'[1]Pivot Table_GHG'!$A$3,"SUB TYPE",$B53))</f>
        <v/>
      </c>
      <c r="R53" s="94">
        <f>IF($P53="PROXY",DAVERAGE('[1]literature entries'!$D:$AI,IF($J53=1,"ACTIVE     GHGE, FARM GATE (kg CO2e/kg)","GHGE, processor gate (kg CO2e/kg)"),INDIRECT($K53)),GETPIVOTDATA(IF($J53=1,"Average of ACTIVE     GHGE, FARM GATE (kg CO2e/kg)","Average of GHGE, processor gate (kg CO2e/kg)"),'[1]Pivot Table_GHG'!$A$3,"SUB TYPE",$B53))</f>
        <v/>
      </c>
      <c r="S53" s="94">
        <f>IF($P53="PROXY",DSTDEV('[1]literature entries'!$D:$AI,IF($J53=1,"ACTIVE     GHGE, FARM GATE (kg CO2e/kg)","GHGE, processor gate (kg CO2e/kg)"),INDIRECT($K53)),GETPIVOTDATA(IF($J53=1,"StdDev of ACTIVE     GHGE, FARM GATE (kg CO2e/kg)","StdDev of GHGE, processor gate (kg CO2e/kg)"),'[1]Pivot Table_GHG'!$A$3,"SUB TYPE",$B53))</f>
        <v/>
      </c>
      <c r="T53" s="105" t="n"/>
      <c r="U53" s="106" t="n"/>
      <c r="V53" s="97" t="n"/>
      <c r="W53" s="98" t="inlineStr">
        <is>
          <t>greens</t>
        </is>
      </c>
      <c r="X53" s="98">
        <f>IF($W53="DIRECT",M53,DCOUNT('[1]literature entries'!$D:$AI,IF($J53=1,"ACTIVE     CED, FARM GATE (MJ/kg)","CED, processor gate (MJ/kg)"),INDIRECT($W53)))</f>
        <v/>
      </c>
      <c r="Y53" s="98">
        <f>IF($W53="DIRECT","",DAVERAGE('[1]literature entries'!$D:$AI,IF($J53=1,"ACTIVE     CED, FARM GATE (MJ/kg)","CED, processor gate (MJ/kg)"),INDIRECT($W53)))</f>
        <v/>
      </c>
      <c r="Z53" s="98">
        <f>IF($W53="DIRECT",$O53,DSTDEV('[1]literature entries'!$D:$AI,IF($J53=1,"ACTIVE     CED, FARM GATE (MJ/kg)","CED, processor gate (MJ/kg)"),INDIRECT($W53)))</f>
        <v/>
      </c>
      <c r="AA53" s="98">
        <f>IF($W53="DIRECT",$O53,$Z53/$Y53*$N53)</f>
        <v/>
      </c>
      <c r="AB53" s="99" t="inlineStr">
        <is>
          <t>greens</t>
        </is>
      </c>
      <c r="AC53" s="99">
        <f>IF($AB53="DIRECT",Q53,DCOUNT('[1]literature entries'!$D:$AI,IF($J53=1,"ACTIVE     GHGE, FARM GATE (kg CO2e/kg)","GHGE, processor gate (kg CO2e/kg)"),INDIRECT($AB53)))</f>
        <v/>
      </c>
      <c r="AD53" s="99">
        <f>IF($AB53="DIRECT","",DAVERAGE('[1]literature entries'!$D:$AI,IF($J53=1,"ACTIVE     GHGE, FARM GATE (kg CO2e/kg)","GHGE, processor gate (kg CO2e/kg)"),INDIRECT($AB53)))</f>
        <v/>
      </c>
      <c r="AE53" s="99">
        <f>IF($AB53="DIRECT",$S53,DSTDEV('[1]literature entries'!$D:$AI,IF($J53=1,"ACTIVE     GHGE, FARM GATE (kg CO2e/kg)","GHGE, processor gate (kg CO2e/kg)"),INDIRECT($AB53)))</f>
        <v/>
      </c>
      <c r="AF53" s="99">
        <f>IF($AB53="DIRECT",$S53,$AE53/$AD53*$R53)</f>
        <v/>
      </c>
    </row>
    <row r="54" ht="15.75" customHeight="1" s="201">
      <c r="A54" s="100" t="n">
        <v>401367000</v>
      </c>
      <c r="B54" s="101" t="inlineStr">
        <is>
          <t>Swiss chard</t>
        </is>
      </c>
      <c r="C54" s="101" t="inlineStr">
        <is>
          <t>weight of leaves and stalks</t>
        </is>
      </c>
      <c r="D54" s="101" t="n"/>
      <c r="E54" s="101" t="n">
        <v>11</v>
      </c>
      <c r="F54" s="84">
        <f>N54*H54+T54</f>
        <v/>
      </c>
      <c r="G54" s="85">
        <f>R54*H54+U54</f>
        <v/>
      </c>
      <c r="H54" s="102" t="n">
        <v>1.09</v>
      </c>
      <c r="I54" s="103" t="inlineStr">
        <is>
          <t>FICRCD</t>
        </is>
      </c>
      <c r="J54" s="104" t="n">
        <v>1</v>
      </c>
      <c r="K54" s="89" t="inlineStr">
        <is>
          <t>greens</t>
        </is>
      </c>
      <c r="L54" s="90">
        <f>IF(ISERROR(GETPIVOTDATA(IF($J54=1,"Count of ACTIVE     CED, FARM GATE (MJ/kg)","Count of CED, processor gate (MJ/kg)"),'[1]Pivot Table_CED'!$A$3,"SUB TYPE",$B54)),"PROXY",IF(GETPIVOTDATA(IF($J54=1,"Count of ACTIVE     CED, FARM GATE (MJ/kg)","Count of CED, processor gate (MJ/kg)"),'[1]Pivot Table_CED'!$A$3,"SUB TYPE",$B54)=0,"PROXY","DB value"))</f>
        <v/>
      </c>
      <c r="M54" s="91">
        <f>IF($L54="PROXY",DCOUNT('[1]literature entries'!$D:$AI,IF($J54=1,"ACTIVE     CED, FARM GATE (MJ/kg)","CED, processor gate (MJ/kg)"),INDIRECT($K54)),GETPIVOTDATA(IF($J54=1,"Count of ACTIVE     CED, FARM GATE (MJ/kg)","Count of CED, processor gate (MJ/kg)"),'[1]Pivot Table_CED'!$A$3,"SUB TYPE",$B54))</f>
        <v/>
      </c>
      <c r="N54" s="92">
        <f>IF($L54="PROXY",DAVERAGE('[1]literature entries'!$D:$AI,IF($J54=1,"ACTIVE     CED, FARM GATE (MJ/kg)","CED, processor gate (MJ/kg)"),INDIRECT($K54)),GETPIVOTDATA(IF($J54=1,"Average of ACTIVE     CED, FARM GATE (MJ/kg)","Average of CED, processor gate (MJ/kg)"),'[1]Pivot Table_CED'!$A$3,"SUB TYPE",$B54))</f>
        <v/>
      </c>
      <c r="O54" s="92">
        <f>IF($L54="PROXY",DSTDEV('[1]literature entries'!D:AI,IF($J54=1,"ACTIVE     CED, FARM GATE (MJ/kg)","CED, processor gate (MJ/kg)"),INDIRECT($K54)),GETPIVOTDATA(IF($J54=1,"StdDev of ACTIVE     CED, FARM GATE (MJ/kg)","StdDev of CED, processor gate (MJ/kg)"),'[1]Pivot Table_CED'!$A$3,"SUB TYPE",$B54))</f>
        <v/>
      </c>
      <c r="P54" s="90">
        <f>IF(ISERROR(GETPIVOTDATA(IF($J54=1,"Count of ACTIVE     GHGE, FARM GATE (kg CO2e/kg)","Count of GHGE, processor gate (kg CO2e/kg)"),'[1]Pivot Table_GHG'!$A$3,"SUB TYPE",$B54)),"PROXY",IF(GETPIVOTDATA(IF($J54=1,"Count of ACTIVE     GHGE, FARM GATE (kg CO2e/kg)","Count of GHGE, processor gate (kg CO2e/kg)"),'[1]Pivot Table_GHG'!$A$3,"SUB TYPE",$B54)=0,"PROXY","DB value"))</f>
        <v/>
      </c>
      <c r="Q54" s="93">
        <f>IF($P54="PROXY",DCOUNT('[1]literature entries'!$D:$AI,IF($J54=1,"ACTIVE     GHGE, FARM GATE (kg CO2e/kg)","GHGE, processor gate (kg CO2e/kg)"),INDIRECT($K54)),GETPIVOTDATA(IF($J54=1,"ACTIVE     GHGE, FARM GATE (kg CO2e/kg)","Count of GHGE, processor gate (kg CO2e/kg)"),'[1]Pivot Table_GHG'!$A$3,"SUB TYPE",$B54))</f>
        <v/>
      </c>
      <c r="R54" s="94">
        <f>IF($P54="PROXY",DAVERAGE('[1]literature entries'!$D:$AI,IF($J54=1,"ACTIVE     GHGE, FARM GATE (kg CO2e/kg)","GHGE, processor gate (kg CO2e/kg)"),INDIRECT($K54)),GETPIVOTDATA(IF($J54=1,"Average of ACTIVE     GHGE, FARM GATE (kg CO2e/kg)","Average of GHGE, processor gate (kg CO2e/kg)"),'[1]Pivot Table_GHG'!$A$3,"SUB TYPE",$B54))</f>
        <v/>
      </c>
      <c r="S54" s="94">
        <f>IF($P54="PROXY",DSTDEV('[1]literature entries'!$D:$AI,IF($J54=1,"ACTIVE     GHGE, FARM GATE (kg CO2e/kg)","GHGE, processor gate (kg CO2e/kg)"),INDIRECT($K54)),GETPIVOTDATA(IF($J54=1,"StdDev of ACTIVE     GHGE, FARM GATE (kg CO2e/kg)","StdDev of GHGE, processor gate (kg CO2e/kg)"),'[1]Pivot Table_GHG'!$A$3,"SUB TYPE",$B54))</f>
        <v/>
      </c>
      <c r="T54" s="105" t="n"/>
      <c r="U54" s="106" t="n"/>
      <c r="V54" s="97" t="n"/>
      <c r="W54" s="98">
        <f>IF(L54="PROXY",IF(M54&gt;=5,K54,"need group"),IF(M54&gt;=5,"DIRECT","need group"))</f>
        <v/>
      </c>
      <c r="X54" s="98">
        <f>IF($W54="DIRECT",M54,DCOUNT('[1]literature entries'!$D:$AI,IF($J54=1,"ACTIVE     CED, FARM GATE (MJ/kg)","CED, processor gate (MJ/kg)"),INDIRECT($W54)))</f>
        <v/>
      </c>
      <c r="Y54" s="98">
        <f>IF($W54="DIRECT","",DAVERAGE('[1]literature entries'!$D:$AI,IF($J54=1,"ACTIVE     CED, FARM GATE (MJ/kg)","CED, processor gate (MJ/kg)"),INDIRECT($W54)))</f>
        <v/>
      </c>
      <c r="Z54" s="98">
        <f>IF($W54="DIRECT",$O54,DSTDEV('[1]literature entries'!$D:$AI,IF($J54=1,"ACTIVE     CED, FARM GATE (MJ/kg)","CED, processor gate (MJ/kg)"),INDIRECT($W54)))</f>
        <v/>
      </c>
      <c r="AA54" s="98">
        <f>IF($W54="DIRECT",$O54,$Z54/$Y54*$N54)</f>
        <v/>
      </c>
      <c r="AB54" s="99">
        <f>IF(P54="PROXY",IF(Q54&gt;=5,K54,"need group"),IF(Q54&gt;=5,"DIRECT","need group"))</f>
        <v/>
      </c>
      <c r="AC54" s="99">
        <f>IF($AB54="DIRECT",Q54,DCOUNT('[1]literature entries'!$D:$AI,IF($J54=1,"ACTIVE     GHGE, FARM GATE (kg CO2e/kg)","GHGE, processor gate (kg CO2e/kg)"),INDIRECT($AB54)))</f>
        <v/>
      </c>
      <c r="AD54" s="99">
        <f>IF($AB54="DIRECT","",DAVERAGE('[1]literature entries'!$D:$AI,IF($J54=1,"ACTIVE     GHGE, FARM GATE (kg CO2e/kg)","GHGE, processor gate (kg CO2e/kg)"),INDIRECT($AB54)))</f>
        <v/>
      </c>
      <c r="AE54" s="99">
        <f>IF($AB54="DIRECT",$S54,DSTDEV('[1]literature entries'!$D:$AI,IF($J54=1,"ACTIVE     GHGE, FARM GATE (kg CO2e/kg)","GHGE, processor gate (kg CO2e/kg)"),INDIRECT($AB54)))</f>
        <v/>
      </c>
      <c r="AF54" s="99">
        <f>IF($AB54="DIRECT",$S54,$AE54/$AD54*$R54)</f>
        <v/>
      </c>
    </row>
    <row r="55" ht="15.75" customHeight="1" s="201">
      <c r="A55" s="100" t="n">
        <v>402018000</v>
      </c>
      <c r="B55" s="101" t="inlineStr">
        <is>
          <t>Arugula</t>
        </is>
      </c>
      <c r="C55" s="101" t="inlineStr">
        <is>
          <t>weight of leaves</t>
        </is>
      </c>
      <c r="D55" s="101" t="n"/>
      <c r="E55" s="101" t="n">
        <v>26</v>
      </c>
      <c r="F55" s="84">
        <f>N55*H55+T55</f>
        <v/>
      </c>
      <c r="G55" s="85">
        <f>R55*H55+U55</f>
        <v/>
      </c>
      <c r="H55" s="102" t="n">
        <v>1.67</v>
      </c>
      <c r="I55" s="102" t="inlineStr">
        <is>
          <t>FICRCD</t>
        </is>
      </c>
      <c r="J55" s="104" t="n">
        <v>1</v>
      </c>
      <c r="K55" s="89" t="inlineStr">
        <is>
          <t>greens</t>
        </is>
      </c>
      <c r="L55" s="90">
        <f>IF(ISERROR(GETPIVOTDATA(IF($J55=1,"Count of ACTIVE     CED, FARM GATE (MJ/kg)","Count of CED, processor gate (MJ/kg)"),'[1]Pivot Table_CED'!$A$3,"SUB TYPE",$B55)),"PROXY",IF(GETPIVOTDATA(IF($J55=1,"Count of ACTIVE     CED, FARM GATE (MJ/kg)","Count of CED, processor gate (MJ/kg)"),'[1]Pivot Table_CED'!$A$3,"SUB TYPE",$B55)=0,"PROXY","DB value"))</f>
        <v/>
      </c>
      <c r="M55" s="91">
        <f>IF($L55="PROXY",DCOUNT('[1]literature entries'!$D:$AI,IF($J55=1,"ACTIVE     CED, FARM GATE (MJ/kg)","CED, processor gate (MJ/kg)"),INDIRECT($K55)),GETPIVOTDATA(IF($J55=1,"Count of ACTIVE     CED, FARM GATE (MJ/kg)","Count of CED, processor gate (MJ/kg)"),'[1]Pivot Table_CED'!$A$3,"SUB TYPE",$B55))</f>
        <v/>
      </c>
      <c r="N55" s="92">
        <f>IF($L55="PROXY",DAVERAGE('[1]literature entries'!$D:$AI,IF($J55=1,"ACTIVE     CED, FARM GATE (MJ/kg)","CED, processor gate (MJ/kg)"),INDIRECT($K55)),GETPIVOTDATA(IF($J55=1,"Average of ACTIVE     CED, FARM GATE (MJ/kg)","Average of CED, processor gate (MJ/kg)"),'[1]Pivot Table_CED'!$A$3,"SUB TYPE",$B55))</f>
        <v/>
      </c>
      <c r="O55" s="92">
        <f>IF($L55="PROXY",DSTDEV('[1]literature entries'!D:AI,IF($J55=1,"ACTIVE     CED, FARM GATE (MJ/kg)","CED, processor gate (MJ/kg)"),INDIRECT($K55)),GETPIVOTDATA(IF($J55=1,"StdDev of ACTIVE     CED, FARM GATE (MJ/kg)","StdDev of CED, processor gate (MJ/kg)"),'[1]Pivot Table_CED'!$A$3,"SUB TYPE",$B55))</f>
        <v/>
      </c>
      <c r="P55" s="90">
        <f>IF(ISERROR(GETPIVOTDATA(IF($J55=1,"Count of ACTIVE     GHGE, FARM GATE (kg CO2e/kg)","Count of GHGE, processor gate (kg CO2e/kg)"),'[1]Pivot Table_GHG'!$A$3,"SUB TYPE",$B55)),"PROXY",IF(GETPIVOTDATA(IF($J55=1,"Count of ACTIVE     GHGE, FARM GATE (kg CO2e/kg)","Count of GHGE, processor gate (kg CO2e/kg)"),'[1]Pivot Table_GHG'!$A$3,"SUB TYPE",$B55)=0,"PROXY","DB value"))</f>
        <v/>
      </c>
      <c r="Q55" s="93">
        <f>IF($P55="PROXY",DCOUNT('[1]literature entries'!$D:$AI,IF($J55=1,"ACTIVE     GHGE, FARM GATE (kg CO2e/kg)","GHGE, processor gate (kg CO2e/kg)"),INDIRECT($K55)),GETPIVOTDATA(IF($J55=1,"ACTIVE     GHGE, FARM GATE (kg CO2e/kg)","Count of GHGE, processor gate (kg CO2e/kg)"),'[1]Pivot Table_GHG'!$A$3,"SUB TYPE",$B55))</f>
        <v/>
      </c>
      <c r="R55" s="94">
        <f>IF($P55="PROXY",DAVERAGE('[1]literature entries'!$D:$AI,IF($J55=1,"ACTIVE     GHGE, FARM GATE (kg CO2e/kg)","GHGE, processor gate (kg CO2e/kg)"),INDIRECT($K55)),GETPIVOTDATA(IF($J55=1,"Average of ACTIVE     GHGE, FARM GATE (kg CO2e/kg)","Average of GHGE, processor gate (kg CO2e/kg)"),'[1]Pivot Table_GHG'!$A$3,"SUB TYPE",$B55))</f>
        <v/>
      </c>
      <c r="S55" s="94">
        <f>IF($P55="PROXY",DSTDEV('[1]literature entries'!$D:$AI,IF($J55=1,"ACTIVE     GHGE, FARM GATE (kg CO2e/kg)","GHGE, processor gate (kg CO2e/kg)"),INDIRECT($K55)),GETPIVOTDATA(IF($J55=1,"StdDev of ACTIVE     GHGE, FARM GATE (kg CO2e/kg)","StdDev of GHGE, processor gate (kg CO2e/kg)"),'[1]Pivot Table_GHG'!$A$3,"SUB TYPE",$B55))</f>
        <v/>
      </c>
      <c r="T55" s="105" t="n"/>
      <c r="U55" s="106" t="n"/>
      <c r="V55" s="97" t="n"/>
      <c r="W55" s="98">
        <f>IF(L55="PROXY",IF(M55&gt;=5,K55,"need group"),IF(M55&gt;=5,"DIRECT","need group"))</f>
        <v/>
      </c>
      <c r="X55" s="98">
        <f>IF($W55="DIRECT",M55,DCOUNT('[1]literature entries'!$D:$AI,IF($J55=1,"ACTIVE     CED, FARM GATE (MJ/kg)","CED, processor gate (MJ/kg)"),INDIRECT($W55)))</f>
        <v/>
      </c>
      <c r="Y55" s="98">
        <f>IF($W55="DIRECT","",DAVERAGE('[1]literature entries'!$D:$AI,IF($J55=1,"ACTIVE     CED, FARM GATE (MJ/kg)","CED, processor gate (MJ/kg)"),INDIRECT($W55)))</f>
        <v/>
      </c>
      <c r="Z55" s="98">
        <f>IF($W55="DIRECT",$O55,DSTDEV('[1]literature entries'!$D:$AI,IF($J55=1,"ACTIVE     CED, FARM GATE (MJ/kg)","CED, processor gate (MJ/kg)"),INDIRECT($W55)))</f>
        <v/>
      </c>
      <c r="AA55" s="98">
        <f>IF($W55="DIRECT",$O55,$Z55/$Y55*$N55)</f>
        <v/>
      </c>
      <c r="AB55" s="99">
        <f>IF(P55="PROXY",IF(Q55&gt;=5,K55,"need group"),IF(Q55&gt;=5,"DIRECT","need group"))</f>
        <v/>
      </c>
      <c r="AC55" s="99">
        <f>IF($AB55="DIRECT",Q55,DCOUNT('[1]literature entries'!$D:$AI,IF($J55=1,"ACTIVE     GHGE, FARM GATE (kg CO2e/kg)","GHGE, processor gate (kg CO2e/kg)"),INDIRECT($AB55)))</f>
        <v/>
      </c>
      <c r="AD55" s="99">
        <f>IF($AB55="DIRECT","",DAVERAGE('[1]literature entries'!$D:$AI,IF($J55=1,"ACTIVE     GHGE, FARM GATE (kg CO2e/kg)","GHGE, processor gate (kg CO2e/kg)"),INDIRECT($AB55)))</f>
        <v/>
      </c>
      <c r="AE55" s="99">
        <f>IF($AB55="DIRECT",$S55,DSTDEV('[1]literature entries'!$D:$AI,IF($J55=1,"ACTIVE     GHGE, FARM GATE (kg CO2e/kg)","GHGE, processor gate (kg CO2e/kg)"),INDIRECT($AB55)))</f>
        <v/>
      </c>
      <c r="AF55" s="99">
        <f>IF($AB55="DIRECT",$S55,$AE55/$AD55*$R55)</f>
        <v/>
      </c>
    </row>
    <row r="56" ht="15.75" customHeight="1" s="201">
      <c r="A56" s="100" t="n">
        <v>402062000</v>
      </c>
      <c r="B56" s="101" t="inlineStr">
        <is>
          <t>Broccoli, Chinese</t>
        </is>
      </c>
      <c r="C56" s="101" t="inlineStr">
        <is>
          <t>weight of flower buds, adjoining stems and leaves</t>
        </is>
      </c>
      <c r="D56" s="101" t="n"/>
      <c r="E56" s="101" t="n">
        <v>15</v>
      </c>
      <c r="F56" s="84">
        <f>N56*H56+T56</f>
        <v/>
      </c>
      <c r="G56" s="85">
        <f>R56*H56+U56</f>
        <v/>
      </c>
      <c r="H56" s="102" t="n">
        <v>1</v>
      </c>
      <c r="I56" s="103" t="inlineStr">
        <is>
          <t>None</t>
        </is>
      </c>
      <c r="J56" s="104" t="n">
        <v>1</v>
      </c>
      <c r="K56" s="89" t="inlineStr">
        <is>
          <t>broccoli</t>
        </is>
      </c>
      <c r="L56" s="90">
        <f>IF(ISERROR(GETPIVOTDATA(IF($J56=1,"Count of ACTIVE     CED, FARM GATE (MJ/kg)","Count of CED, processor gate (MJ/kg)"),'[1]Pivot Table_CED'!$A$3,"SUB TYPE",$B56)),"PROXY",IF(GETPIVOTDATA(IF($J56=1,"Count of ACTIVE     CED, FARM GATE (MJ/kg)","Count of CED, processor gate (MJ/kg)"),'[1]Pivot Table_CED'!$A$3,"SUB TYPE",$B56)=0,"PROXY","DB value"))</f>
        <v/>
      </c>
      <c r="M56" s="91">
        <f>IF($L56="PROXY",DCOUNT('[1]literature entries'!$D:$AI,IF($J56=1,"ACTIVE     CED, FARM GATE (MJ/kg)","CED, processor gate (MJ/kg)"),INDIRECT($K56)),GETPIVOTDATA(IF($J56=1,"Count of ACTIVE     CED, FARM GATE (MJ/kg)","Count of CED, processor gate (MJ/kg)"),'[1]Pivot Table_CED'!$A$3,"SUB TYPE",$B56))</f>
        <v/>
      </c>
      <c r="N56" s="92">
        <f>IF($L56="PROXY",DAVERAGE('[1]literature entries'!$D:$AI,IF($J56=1,"ACTIVE     CED, FARM GATE (MJ/kg)","CED, processor gate (MJ/kg)"),INDIRECT($K56)),GETPIVOTDATA(IF($J56=1,"Average of ACTIVE     CED, FARM GATE (MJ/kg)","Average of CED, processor gate (MJ/kg)"),'[1]Pivot Table_CED'!$A$3,"SUB TYPE",$B56))</f>
        <v/>
      </c>
      <c r="O56" s="92">
        <f>IF($L56="PROXY",DSTDEV('[1]literature entries'!D:AI,IF($J56=1,"ACTIVE     CED, FARM GATE (MJ/kg)","CED, processor gate (MJ/kg)"),INDIRECT($K56)),GETPIVOTDATA(IF($J56=1,"StdDev of ACTIVE     CED, FARM GATE (MJ/kg)","StdDev of CED, processor gate (MJ/kg)"),'[1]Pivot Table_CED'!$A$3,"SUB TYPE",$B56))</f>
        <v/>
      </c>
      <c r="P56" s="90">
        <f>IF(ISERROR(GETPIVOTDATA(IF($J56=1,"Count of ACTIVE     GHGE, FARM GATE (kg CO2e/kg)","Count of GHGE, processor gate (kg CO2e/kg)"),'[1]Pivot Table_GHG'!$A$3,"SUB TYPE",$B56)),"PROXY",IF(GETPIVOTDATA(IF($J56=1,"Count of ACTIVE     GHGE, FARM GATE (kg CO2e/kg)","Count of GHGE, processor gate (kg CO2e/kg)"),'[1]Pivot Table_GHG'!$A$3,"SUB TYPE",$B56)=0,"PROXY","DB value"))</f>
        <v/>
      </c>
      <c r="Q56" s="93">
        <f>IF($P56="PROXY",DCOUNT('[1]literature entries'!$D:$AI,IF($J56=1,"ACTIVE     GHGE, FARM GATE (kg CO2e/kg)","GHGE, processor gate (kg CO2e/kg)"),INDIRECT($K56)),GETPIVOTDATA(IF($J56=1,"ACTIVE     GHGE, FARM GATE (kg CO2e/kg)","Count of GHGE, processor gate (kg CO2e/kg)"),'[1]Pivot Table_GHG'!$A$3,"SUB TYPE",$B56))</f>
        <v/>
      </c>
      <c r="R56" s="94">
        <f>IF($P56="PROXY",DAVERAGE('[1]literature entries'!$D:$AI,IF($J56=1,"ACTIVE     GHGE, FARM GATE (kg CO2e/kg)","GHGE, processor gate (kg CO2e/kg)"),INDIRECT($K56)),GETPIVOTDATA(IF($J56=1,"Average of ACTIVE     GHGE, FARM GATE (kg CO2e/kg)","Average of GHGE, processor gate (kg CO2e/kg)"),'[1]Pivot Table_GHG'!$A$3,"SUB TYPE",$B56))</f>
        <v/>
      </c>
      <c r="S56" s="94">
        <f>IF($P56="PROXY",DSTDEV('[1]literature entries'!$D:$AI,IF($J56=1,"ACTIVE     GHGE, FARM GATE (kg CO2e/kg)","GHGE, processor gate (kg CO2e/kg)"),INDIRECT($K56)),GETPIVOTDATA(IF($J56=1,"StdDev of ACTIVE     GHGE, FARM GATE (kg CO2e/kg)","StdDev of GHGE, processor gate (kg CO2e/kg)"),'[1]Pivot Table_GHG'!$A$3,"SUB TYPE",$B56))</f>
        <v/>
      </c>
      <c r="T56" s="105" t="n"/>
      <c r="U56" s="106" t="n"/>
      <c r="V56" s="97" t="n"/>
      <c r="W56" s="98">
        <f>IF(L56="PROXY",IF(M56&gt;=5,K56,"need group"),IF(M56&gt;=5,"DIRECT","need group"))</f>
        <v/>
      </c>
      <c r="X56" s="98">
        <f>IF($W56="DIRECT",M56,DCOUNT('[1]literature entries'!$D:$AI,IF($J56=1,"ACTIVE     CED, FARM GATE (MJ/kg)","CED, processor gate (MJ/kg)"),INDIRECT($W56)))</f>
        <v/>
      </c>
      <c r="Y56" s="98">
        <f>IF($W56="DIRECT","",DAVERAGE('[1]literature entries'!$D:$AI,IF($J56=1,"ACTIVE     CED, FARM GATE (MJ/kg)","CED, processor gate (MJ/kg)"),INDIRECT($W56)))</f>
        <v/>
      </c>
      <c r="Z56" s="98">
        <f>IF($W56="DIRECT",$O56,DSTDEV('[1]literature entries'!$D:$AI,IF($J56=1,"ACTIVE     CED, FARM GATE (MJ/kg)","CED, processor gate (MJ/kg)"),INDIRECT($W56)))</f>
        <v/>
      </c>
      <c r="AA56" s="98">
        <f>IF($W56="DIRECT",$O56,$Z56/$Y56*$N56)</f>
        <v/>
      </c>
      <c r="AB56" s="99">
        <f>IF(P56="PROXY",IF(Q56&gt;=5,K56,"need group"),IF(Q56&gt;=5,"DIRECT","need group"))</f>
        <v/>
      </c>
      <c r="AC56" s="99">
        <f>IF($AB56="DIRECT",Q56,DCOUNT('[1]literature entries'!$D:$AI,IF($J56=1,"ACTIVE     GHGE, FARM GATE (kg CO2e/kg)","GHGE, processor gate (kg CO2e/kg)"),INDIRECT($AB56)))</f>
        <v/>
      </c>
      <c r="AD56" s="99">
        <f>IF($AB56="DIRECT","",DAVERAGE('[1]literature entries'!$D:$AI,IF($J56=1,"ACTIVE     GHGE, FARM GATE (kg CO2e/kg)","GHGE, processor gate (kg CO2e/kg)"),INDIRECT($AB56)))</f>
        <v/>
      </c>
      <c r="AE56" s="99">
        <f>IF($AB56="DIRECT",$S56,DSTDEV('[1]literature entries'!$D:$AI,IF($J56=1,"ACTIVE     GHGE, FARM GATE (kg CO2e/kg)","GHGE, processor gate (kg CO2e/kg)"),INDIRECT($AB56)))</f>
        <v/>
      </c>
      <c r="AF56" s="99">
        <f>IF($AB56="DIRECT",$S56,$AE56/$AD56*$R56)</f>
        <v/>
      </c>
    </row>
    <row r="57" ht="15.75" customHeight="1" s="201">
      <c r="A57" s="100" t="n">
        <v>402070000</v>
      </c>
      <c r="B57" s="101" t="inlineStr">
        <is>
          <t>Cabbage, Chinese, bok choy</t>
        </is>
      </c>
      <c r="C57" s="101" t="inlineStr">
        <is>
          <t>weight of leaves and stems</t>
        </is>
      </c>
      <c r="D57" s="101" t="n"/>
      <c r="E57" s="101" t="n">
        <v>240</v>
      </c>
      <c r="F57" s="84">
        <f>N57*H57+T57</f>
        <v/>
      </c>
      <c r="G57" s="85">
        <f>R57*H57+U57</f>
        <v/>
      </c>
      <c r="H57" s="102" t="n">
        <v>1.14</v>
      </c>
      <c r="I57" s="103" t="inlineStr">
        <is>
          <t>FICRCD</t>
        </is>
      </c>
      <c r="J57" s="104" t="n">
        <v>1</v>
      </c>
      <c r="K57" s="89" t="inlineStr">
        <is>
          <t>brassica_greens</t>
        </is>
      </c>
      <c r="L57" s="90">
        <f>IF(ISERROR(GETPIVOTDATA(IF($J57=1,"Count of ACTIVE     CED, FARM GATE (MJ/kg)","Count of CED, processor gate (MJ/kg)"),'[1]Pivot Table_CED'!$A$3,"SUB TYPE",$B57)),"PROXY",IF(GETPIVOTDATA(IF($J57=1,"Count of ACTIVE     CED, FARM GATE (MJ/kg)","Count of CED, processor gate (MJ/kg)"),'[1]Pivot Table_CED'!$A$3,"SUB TYPE",$B57)=0,"PROXY","DB value"))</f>
        <v/>
      </c>
      <c r="M57" s="91">
        <f>IF($L57="PROXY",DCOUNT('[1]literature entries'!$D:$AI,IF($J57=1,"ACTIVE     CED, FARM GATE (MJ/kg)","CED, processor gate (MJ/kg)"),INDIRECT($K57)),GETPIVOTDATA(IF($J57=1,"Count of ACTIVE     CED, FARM GATE (MJ/kg)","Count of CED, processor gate (MJ/kg)"),'[1]Pivot Table_CED'!$A$3,"SUB TYPE",$B57))</f>
        <v/>
      </c>
      <c r="N57" s="92">
        <f>IF($L57="PROXY",DAVERAGE('[1]literature entries'!$D:$AI,IF($J57=1,"ACTIVE     CED, FARM GATE (MJ/kg)","CED, processor gate (MJ/kg)"),INDIRECT($K57)),GETPIVOTDATA(IF($J57=1,"Average of ACTIVE     CED, FARM GATE (MJ/kg)","Average of CED, processor gate (MJ/kg)"),'[1]Pivot Table_CED'!$A$3,"SUB TYPE",$B57))</f>
        <v/>
      </c>
      <c r="O57" s="92">
        <f>IF($L57="PROXY",DSTDEV('[1]literature entries'!D:AI,IF($J57=1,"ACTIVE     CED, FARM GATE (MJ/kg)","CED, processor gate (MJ/kg)"),INDIRECT($K57)),GETPIVOTDATA(IF($J57=1,"StdDev of ACTIVE     CED, FARM GATE (MJ/kg)","StdDev of CED, processor gate (MJ/kg)"),'[1]Pivot Table_CED'!$A$3,"SUB TYPE",$B57))</f>
        <v/>
      </c>
      <c r="P57" s="90">
        <f>IF(ISERROR(GETPIVOTDATA(IF($J57=1,"Count of ACTIVE     GHGE, FARM GATE (kg CO2e/kg)","Count of GHGE, processor gate (kg CO2e/kg)"),'[1]Pivot Table_GHG'!$A$3,"SUB TYPE",$B57)),"PROXY",IF(GETPIVOTDATA(IF($J57=1,"Count of ACTIVE     GHGE, FARM GATE (kg CO2e/kg)","Count of GHGE, processor gate (kg CO2e/kg)"),'[1]Pivot Table_GHG'!$A$3,"SUB TYPE",$B57)=0,"PROXY","DB value"))</f>
        <v/>
      </c>
      <c r="Q57" s="93">
        <f>IF($P57="PROXY",DCOUNT('[1]literature entries'!$D:$AI,IF($J57=1,"ACTIVE     GHGE, FARM GATE (kg CO2e/kg)","GHGE, processor gate (kg CO2e/kg)"),INDIRECT($K57)),GETPIVOTDATA(IF($J57=1,"ACTIVE     GHGE, FARM GATE (kg CO2e/kg)","Count of GHGE, processor gate (kg CO2e/kg)"),'[1]Pivot Table_GHG'!$A$3,"SUB TYPE",$B57))</f>
        <v/>
      </c>
      <c r="R57" s="94">
        <f>IF($P57="PROXY",DAVERAGE('[1]literature entries'!$D:$AI,IF($J57=1,"ACTIVE     GHGE, FARM GATE (kg CO2e/kg)","GHGE, processor gate (kg CO2e/kg)"),INDIRECT($K57)),GETPIVOTDATA(IF($J57=1,"Average of ACTIVE     GHGE, FARM GATE (kg CO2e/kg)","Average of GHGE, processor gate (kg CO2e/kg)"),'[1]Pivot Table_GHG'!$A$3,"SUB TYPE",$B57))</f>
        <v/>
      </c>
      <c r="S57" s="94">
        <f>IF($P57="PROXY",DSTDEV('[1]literature entries'!$D:$AI,IF($J57=1,"ACTIVE     GHGE, FARM GATE (kg CO2e/kg)","GHGE, processor gate (kg CO2e/kg)"),INDIRECT($K57)),GETPIVOTDATA(IF($J57=1,"StdDev of ACTIVE     GHGE, FARM GATE (kg CO2e/kg)","StdDev of GHGE, processor gate (kg CO2e/kg)"),'[1]Pivot Table_GHG'!$A$3,"SUB TYPE",$B57))</f>
        <v/>
      </c>
      <c r="T57" s="105" t="n"/>
      <c r="U57" s="106" t="n"/>
      <c r="V57" s="97" t="n"/>
      <c r="W57" s="98" t="inlineStr">
        <is>
          <t>all_brassica</t>
        </is>
      </c>
      <c r="X57" s="98">
        <f>IF($W57="DIRECT",M57,DCOUNT('[1]literature entries'!$D:$AI,IF($J57=1,"ACTIVE     CED, FARM GATE (MJ/kg)","CED, processor gate (MJ/kg)"),INDIRECT($W57)))</f>
        <v/>
      </c>
      <c r="Y57" s="98">
        <f>IF($W57="DIRECT","",DAVERAGE('[1]literature entries'!$D:$AI,IF($J57=1,"ACTIVE     CED, FARM GATE (MJ/kg)","CED, processor gate (MJ/kg)"),INDIRECT($W57)))</f>
        <v/>
      </c>
      <c r="Z57" s="98">
        <f>IF($W57="DIRECT",$O57,DSTDEV('[1]literature entries'!$D:$AI,IF($J57=1,"ACTIVE     CED, FARM GATE (MJ/kg)","CED, processor gate (MJ/kg)"),INDIRECT($W57)))</f>
        <v/>
      </c>
      <c r="AA57" s="98">
        <f>IF($W57="DIRECT",$O57,$Z57/$Y57*$N57)</f>
        <v/>
      </c>
      <c r="AB57" s="99" t="inlineStr">
        <is>
          <t>all_brassica</t>
        </is>
      </c>
      <c r="AC57" s="99">
        <f>IF($AB57="DIRECT",Q57,DCOUNT('[1]literature entries'!$D:$AI,IF($J57=1,"ACTIVE     GHGE, FARM GATE (kg CO2e/kg)","GHGE, processor gate (kg CO2e/kg)"),INDIRECT($AB57)))</f>
        <v/>
      </c>
      <c r="AD57" s="99">
        <f>IF($AB57="DIRECT","",DAVERAGE('[1]literature entries'!$D:$AI,IF($J57=1,"ACTIVE     GHGE, FARM GATE (kg CO2e/kg)","GHGE, processor gate (kg CO2e/kg)"),INDIRECT($AB57)))</f>
        <v/>
      </c>
      <c r="AE57" s="99">
        <f>IF($AB57="DIRECT",$S57,DSTDEV('[1]literature entries'!$D:$AI,IF($J57=1,"ACTIVE     GHGE, FARM GATE (kg CO2e/kg)","GHGE, processor gate (kg CO2e/kg)"),INDIRECT($AB57)))</f>
        <v/>
      </c>
      <c r="AF57" s="99">
        <f>IF($AB57="DIRECT",$S57,$AE57/$AD57*$R57)</f>
        <v/>
      </c>
    </row>
    <row r="58" ht="15.75" customHeight="1" s="201">
      <c r="A58" s="100" t="n">
        <v>402117000</v>
      </c>
      <c r="B58" s="101" t="inlineStr">
        <is>
          <t>Collards</t>
        </is>
      </c>
      <c r="C58" s="101" t="inlineStr">
        <is>
          <t>weight of leaves</t>
        </is>
      </c>
      <c r="D58" s="101" t="n"/>
      <c r="E58" s="101" t="n">
        <v>454</v>
      </c>
      <c r="F58" s="84">
        <f>N58*H58+T58</f>
        <v/>
      </c>
      <c r="G58" s="85">
        <f>R58*H58+U58</f>
        <v/>
      </c>
      <c r="H58" s="102" t="n">
        <v>1.75</v>
      </c>
      <c r="I58" s="102" t="inlineStr">
        <is>
          <t>FICRCD</t>
        </is>
      </c>
      <c r="J58" s="104" t="n">
        <v>1</v>
      </c>
      <c r="K58" s="89" t="inlineStr">
        <is>
          <t>brassica_greens</t>
        </is>
      </c>
      <c r="L58" s="90">
        <f>IF(ISERROR(GETPIVOTDATA(IF($J58=1,"Count of ACTIVE     CED, FARM GATE (MJ/kg)","Count of CED, processor gate (MJ/kg)"),'[1]Pivot Table_CED'!$A$3,"SUB TYPE",$B58)),"PROXY",IF(GETPIVOTDATA(IF($J58=1,"Count of ACTIVE     CED, FARM GATE (MJ/kg)","Count of CED, processor gate (MJ/kg)"),'[1]Pivot Table_CED'!$A$3,"SUB TYPE",$B58)=0,"PROXY","DB value"))</f>
        <v/>
      </c>
      <c r="M58" s="91">
        <f>IF($L58="PROXY",DCOUNT('[1]literature entries'!$D:$AI,IF($J58=1,"ACTIVE     CED, FARM GATE (MJ/kg)","CED, processor gate (MJ/kg)"),INDIRECT($K58)),GETPIVOTDATA(IF($J58=1,"Count of ACTIVE     CED, FARM GATE (MJ/kg)","Count of CED, processor gate (MJ/kg)"),'[1]Pivot Table_CED'!$A$3,"SUB TYPE",$B58))</f>
        <v/>
      </c>
      <c r="N58" s="92">
        <f>IF($L58="PROXY",DAVERAGE('[1]literature entries'!$D:$AI,IF($J58=1,"ACTIVE     CED, FARM GATE (MJ/kg)","CED, processor gate (MJ/kg)"),INDIRECT($K58)),GETPIVOTDATA(IF($J58=1,"Average of ACTIVE     CED, FARM GATE (MJ/kg)","Average of CED, processor gate (MJ/kg)"),'[1]Pivot Table_CED'!$A$3,"SUB TYPE",$B58))</f>
        <v/>
      </c>
      <c r="O58" s="92">
        <f>IF($L58="PROXY",DSTDEV('[1]literature entries'!D:AI,IF($J58=1,"ACTIVE     CED, FARM GATE (MJ/kg)","CED, processor gate (MJ/kg)"),INDIRECT($K58)),GETPIVOTDATA(IF($J58=1,"StdDev of ACTIVE     CED, FARM GATE (MJ/kg)","StdDev of CED, processor gate (MJ/kg)"),'[1]Pivot Table_CED'!$A$3,"SUB TYPE",$B58))</f>
        <v/>
      </c>
      <c r="P58" s="90">
        <f>IF(ISERROR(GETPIVOTDATA(IF($J58=1,"Count of ACTIVE     GHGE, FARM GATE (kg CO2e/kg)","Count of GHGE, processor gate (kg CO2e/kg)"),'[1]Pivot Table_GHG'!$A$3,"SUB TYPE",$B58)),"PROXY",IF(GETPIVOTDATA(IF($J58=1,"Count of ACTIVE     GHGE, FARM GATE (kg CO2e/kg)","Count of GHGE, processor gate (kg CO2e/kg)"),'[1]Pivot Table_GHG'!$A$3,"SUB TYPE",$B58)=0,"PROXY","DB value"))</f>
        <v/>
      </c>
      <c r="Q58" s="93">
        <f>IF($P58="PROXY",DCOUNT('[1]literature entries'!$D:$AI,IF($J58=1,"ACTIVE     GHGE, FARM GATE (kg CO2e/kg)","GHGE, processor gate (kg CO2e/kg)"),INDIRECT($K58)),GETPIVOTDATA(IF($J58=1,"ACTIVE     GHGE, FARM GATE (kg CO2e/kg)","Count of GHGE, processor gate (kg CO2e/kg)"),'[1]Pivot Table_GHG'!$A$3,"SUB TYPE",$B58))</f>
        <v/>
      </c>
      <c r="R58" s="94">
        <f>IF($P58="PROXY",DAVERAGE('[1]literature entries'!$D:$AI,IF($J58=1,"ACTIVE     GHGE, FARM GATE (kg CO2e/kg)","GHGE, processor gate (kg CO2e/kg)"),INDIRECT($K58)),GETPIVOTDATA(IF($J58=1,"Average of ACTIVE     GHGE, FARM GATE (kg CO2e/kg)","Average of GHGE, processor gate (kg CO2e/kg)"),'[1]Pivot Table_GHG'!$A$3,"SUB TYPE",$B58))</f>
        <v/>
      </c>
      <c r="S58" s="94">
        <f>IF($P58="PROXY",DSTDEV('[1]literature entries'!$D:$AI,IF($J58=1,"ACTIVE     GHGE, FARM GATE (kg CO2e/kg)","GHGE, processor gate (kg CO2e/kg)"),INDIRECT($K58)),GETPIVOTDATA(IF($J58=1,"StdDev of ACTIVE     GHGE, FARM GATE (kg CO2e/kg)","StdDev of GHGE, processor gate (kg CO2e/kg)"),'[1]Pivot Table_GHG'!$A$3,"SUB TYPE",$B58))</f>
        <v/>
      </c>
      <c r="T58" s="105" t="n"/>
      <c r="U58" s="106" t="n"/>
      <c r="V58" s="97" t="n"/>
      <c r="W58" s="98" t="inlineStr">
        <is>
          <t>all_brassica</t>
        </is>
      </c>
      <c r="X58" s="98">
        <f>IF($W58="DIRECT",M58,DCOUNT('[1]literature entries'!$D:$AI,IF($J58=1,"ACTIVE     CED, FARM GATE (MJ/kg)","CED, processor gate (MJ/kg)"),INDIRECT($W58)))</f>
        <v/>
      </c>
      <c r="Y58" s="98">
        <f>IF($W58="DIRECT","",DAVERAGE('[1]literature entries'!$D:$AI,IF($J58=1,"ACTIVE     CED, FARM GATE (MJ/kg)","CED, processor gate (MJ/kg)"),INDIRECT($W58)))</f>
        <v/>
      </c>
      <c r="Z58" s="98">
        <f>IF($W58="DIRECT",$O58,DSTDEV('[1]literature entries'!$D:$AI,IF($J58=1,"ACTIVE     CED, FARM GATE (MJ/kg)","CED, processor gate (MJ/kg)"),INDIRECT($W58)))</f>
        <v/>
      </c>
      <c r="AA58" s="98">
        <f>IF($W58="DIRECT",$O58,$Z58/$Y58*$N58)</f>
        <v/>
      </c>
      <c r="AB58" s="99" t="inlineStr">
        <is>
          <t>all_brassica</t>
        </is>
      </c>
      <c r="AC58" s="99">
        <f>IF($AB58="DIRECT",Q58,DCOUNT('[1]literature entries'!$D:$AI,IF($J58=1,"ACTIVE     GHGE, FARM GATE (kg CO2e/kg)","GHGE, processor gate (kg CO2e/kg)"),INDIRECT($AB58)))</f>
        <v/>
      </c>
      <c r="AD58" s="99">
        <f>IF($AB58="DIRECT","",DAVERAGE('[1]literature entries'!$D:$AI,IF($J58=1,"ACTIVE     GHGE, FARM GATE (kg CO2e/kg)","GHGE, processor gate (kg CO2e/kg)"),INDIRECT($AB58)))</f>
        <v/>
      </c>
      <c r="AE58" s="99">
        <f>IF($AB58="DIRECT",$S58,DSTDEV('[1]literature entries'!$D:$AI,IF($J58=1,"ACTIVE     GHGE, FARM GATE (kg CO2e/kg)","GHGE, processor gate (kg CO2e/kg)"),INDIRECT($AB58)))</f>
        <v/>
      </c>
      <c r="AF58" s="99">
        <f>IF($AB58="DIRECT",$S58,$AE58/$AD58*$R58)</f>
        <v/>
      </c>
    </row>
    <row r="59" ht="15.75" customHeight="1" s="201">
      <c r="A59" s="100" t="n">
        <v>402133000</v>
      </c>
      <c r="B59" s="101" t="inlineStr">
        <is>
          <t>Cress, garden</t>
        </is>
      </c>
      <c r="C59" s="101" t="inlineStr">
        <is>
          <t>weight of leaves</t>
        </is>
      </c>
      <c r="D59" s="101" t="n"/>
      <c r="E59" s="101" t="n">
        <v>1</v>
      </c>
      <c r="F59" s="84">
        <f>N59*H59+T59</f>
        <v/>
      </c>
      <c r="G59" s="85">
        <f>R59*H59+U59</f>
        <v/>
      </c>
      <c r="H59" s="102" t="n">
        <v>1.41</v>
      </c>
      <c r="I59" s="102" t="inlineStr">
        <is>
          <t>FICRCD</t>
        </is>
      </c>
      <c r="J59" s="104" t="n">
        <v>1</v>
      </c>
      <c r="K59" s="89" t="inlineStr">
        <is>
          <t>greens</t>
        </is>
      </c>
      <c r="L59" s="90">
        <f>IF(ISERROR(GETPIVOTDATA(IF($J59=1,"Count of ACTIVE     CED, FARM GATE (MJ/kg)","Count of CED, processor gate (MJ/kg)"),'[1]Pivot Table_CED'!$A$3,"SUB TYPE",$B59)),"PROXY",IF(GETPIVOTDATA(IF($J59=1,"Count of ACTIVE     CED, FARM GATE (MJ/kg)","Count of CED, processor gate (MJ/kg)"),'[1]Pivot Table_CED'!$A$3,"SUB TYPE",$B59)=0,"PROXY","DB value"))</f>
        <v/>
      </c>
      <c r="M59" s="91">
        <f>IF($L59="PROXY",DCOUNT('[1]literature entries'!$D:$AI,IF($J59=1,"ACTIVE     CED, FARM GATE (MJ/kg)","CED, processor gate (MJ/kg)"),INDIRECT($K59)),GETPIVOTDATA(IF($J59=1,"Count of ACTIVE     CED, FARM GATE (MJ/kg)","Count of CED, processor gate (MJ/kg)"),'[1]Pivot Table_CED'!$A$3,"SUB TYPE",$B59))</f>
        <v/>
      </c>
      <c r="N59" s="92">
        <f>IF($L59="PROXY",DAVERAGE('[1]literature entries'!$D:$AI,IF($J59=1,"ACTIVE     CED, FARM GATE (MJ/kg)","CED, processor gate (MJ/kg)"),INDIRECT($K59)),GETPIVOTDATA(IF($J59=1,"Average of ACTIVE     CED, FARM GATE (MJ/kg)","Average of CED, processor gate (MJ/kg)"),'[1]Pivot Table_CED'!$A$3,"SUB TYPE",$B59))</f>
        <v/>
      </c>
      <c r="O59" s="92">
        <f>IF($L59="PROXY",DSTDEV('[1]literature entries'!D:AI,IF($J59=1,"ACTIVE     CED, FARM GATE (MJ/kg)","CED, processor gate (MJ/kg)"),INDIRECT($K59)),GETPIVOTDATA(IF($J59=1,"StdDev of ACTIVE     CED, FARM GATE (MJ/kg)","StdDev of CED, processor gate (MJ/kg)"),'[1]Pivot Table_CED'!$A$3,"SUB TYPE",$B59))</f>
        <v/>
      </c>
      <c r="P59" s="90">
        <f>IF(ISERROR(GETPIVOTDATA(IF($J59=1,"Count of ACTIVE     GHGE, FARM GATE (kg CO2e/kg)","Count of GHGE, processor gate (kg CO2e/kg)"),'[1]Pivot Table_GHG'!$A$3,"SUB TYPE",$B59)),"PROXY",IF(GETPIVOTDATA(IF($J59=1,"Count of ACTIVE     GHGE, FARM GATE (kg CO2e/kg)","Count of GHGE, processor gate (kg CO2e/kg)"),'[1]Pivot Table_GHG'!$A$3,"SUB TYPE",$B59)=0,"PROXY","DB value"))</f>
        <v/>
      </c>
      <c r="Q59" s="93">
        <f>IF($P59="PROXY",DCOUNT('[1]literature entries'!$D:$AI,IF($J59=1,"ACTIVE     GHGE, FARM GATE (kg CO2e/kg)","GHGE, processor gate (kg CO2e/kg)"),INDIRECT($K59)),GETPIVOTDATA(IF($J59=1,"ACTIVE     GHGE, FARM GATE (kg CO2e/kg)","Count of GHGE, processor gate (kg CO2e/kg)"),'[1]Pivot Table_GHG'!$A$3,"SUB TYPE",$B59))</f>
        <v/>
      </c>
      <c r="R59" s="94">
        <f>IF($P59="PROXY",DAVERAGE('[1]literature entries'!$D:$AI,IF($J59=1,"ACTIVE     GHGE, FARM GATE (kg CO2e/kg)","GHGE, processor gate (kg CO2e/kg)"),INDIRECT($K59)),GETPIVOTDATA(IF($J59=1,"Average of ACTIVE     GHGE, FARM GATE (kg CO2e/kg)","Average of GHGE, processor gate (kg CO2e/kg)"),'[1]Pivot Table_GHG'!$A$3,"SUB TYPE",$B59))</f>
        <v/>
      </c>
      <c r="S59" s="94">
        <f>IF($P59="PROXY",DSTDEV('[1]literature entries'!$D:$AI,IF($J59=1,"ACTIVE     GHGE, FARM GATE (kg CO2e/kg)","GHGE, processor gate (kg CO2e/kg)"),INDIRECT($K59)),GETPIVOTDATA(IF($J59=1,"StdDev of ACTIVE     GHGE, FARM GATE (kg CO2e/kg)","StdDev of GHGE, processor gate (kg CO2e/kg)"),'[1]Pivot Table_GHG'!$A$3,"SUB TYPE",$B59))</f>
        <v/>
      </c>
      <c r="T59" s="105" t="n"/>
      <c r="U59" s="106" t="n"/>
      <c r="V59" s="97" t="n"/>
      <c r="W59" s="98">
        <f>IF(L59="PROXY",IF(M59&gt;=5,K59,"need group"),IF(M59&gt;=5,"DIRECT","need group"))</f>
        <v/>
      </c>
      <c r="X59" s="98">
        <f>IF($W59="DIRECT",M59,DCOUNT('[1]literature entries'!$D:$AI,IF($J59=1,"ACTIVE     CED, FARM GATE (MJ/kg)","CED, processor gate (MJ/kg)"),INDIRECT($W59)))</f>
        <v/>
      </c>
      <c r="Y59" s="98">
        <f>IF($W59="DIRECT","",DAVERAGE('[1]literature entries'!$D:$AI,IF($J59=1,"ACTIVE     CED, FARM GATE (MJ/kg)","CED, processor gate (MJ/kg)"),INDIRECT($W59)))</f>
        <v/>
      </c>
      <c r="Z59" s="98">
        <f>IF($W59="DIRECT",$O59,DSTDEV('[1]literature entries'!$D:$AI,IF($J59=1,"ACTIVE     CED, FARM GATE (MJ/kg)","CED, processor gate (MJ/kg)"),INDIRECT($W59)))</f>
        <v/>
      </c>
      <c r="AA59" s="98">
        <f>IF($W59="DIRECT",$O59,$Z59/$Y59*$N59)</f>
        <v/>
      </c>
      <c r="AB59" s="99">
        <f>IF(P59="PROXY",IF(Q59&gt;=5,K59,"need group"),IF(Q59&gt;=5,"DIRECT","need group"))</f>
        <v/>
      </c>
      <c r="AC59" s="99">
        <f>IF($AB59="DIRECT",Q59,DCOUNT('[1]literature entries'!$D:$AI,IF($J59=1,"ACTIVE     GHGE, FARM GATE (kg CO2e/kg)","GHGE, processor gate (kg CO2e/kg)"),INDIRECT($AB59)))</f>
        <v/>
      </c>
      <c r="AD59" s="99">
        <f>IF($AB59="DIRECT","",DAVERAGE('[1]literature entries'!$D:$AI,IF($J59=1,"ACTIVE     GHGE, FARM GATE (kg CO2e/kg)","GHGE, processor gate (kg CO2e/kg)"),INDIRECT($AB59)))</f>
        <v/>
      </c>
      <c r="AE59" s="99">
        <f>IF($AB59="DIRECT",$S59,DSTDEV('[1]literature entries'!$D:$AI,IF($J59=1,"ACTIVE     GHGE, FARM GATE (kg CO2e/kg)","GHGE, processor gate (kg CO2e/kg)"),INDIRECT($AB59)))</f>
        <v/>
      </c>
      <c r="AF59" s="99">
        <f>IF($AB59="DIRECT",$S59,$AE59/$AD59*$R59)</f>
        <v/>
      </c>
    </row>
    <row r="60" ht="15.75" customHeight="1" s="201">
      <c r="A60" s="100" t="n">
        <v>402194000</v>
      </c>
      <c r="B60" s="101" t="inlineStr">
        <is>
          <t>Kale</t>
        </is>
      </c>
      <c r="C60" s="101" t="inlineStr">
        <is>
          <t>weight of leaves</t>
        </is>
      </c>
      <c r="D60" s="101" t="inlineStr">
        <is>
          <t>Includes mizuna.</t>
        </is>
      </c>
      <c r="E60" s="101" t="n">
        <v>87</v>
      </c>
      <c r="F60" s="84">
        <f>N60*H60+T60</f>
        <v/>
      </c>
      <c r="G60" s="85">
        <f>R60*H60+U60</f>
        <v/>
      </c>
      <c r="H60" s="102" t="n">
        <v>1.639344262295082</v>
      </c>
      <c r="I60" s="103" t="inlineStr">
        <is>
          <t>LAFA</t>
        </is>
      </c>
      <c r="J60" s="104" t="n">
        <v>1</v>
      </c>
      <c r="K60" s="89" t="n"/>
      <c r="L60" s="90">
        <f>IF(ISERROR(GETPIVOTDATA(IF($J60=1,"Count of ACTIVE     CED, FARM GATE (MJ/kg)","Count of CED, processor gate (MJ/kg)"),'[1]Pivot Table_CED'!$A$3,"SUB TYPE",$B60)),"PROXY",IF(GETPIVOTDATA(IF($J60=1,"Count of ACTIVE     CED, FARM GATE (MJ/kg)","Count of CED, processor gate (MJ/kg)"),'[1]Pivot Table_CED'!$A$3,"SUB TYPE",$B60)=0,"PROXY","DB value"))</f>
        <v/>
      </c>
      <c r="M60" s="91">
        <f>IF($L60="PROXY",DCOUNT('[1]literature entries'!$D:$AI,IF($J60=1,"ACTIVE     CED, FARM GATE (MJ/kg)","CED, processor gate (MJ/kg)"),INDIRECT($K60)),GETPIVOTDATA(IF($J60=1,"Count of ACTIVE     CED, FARM GATE (MJ/kg)","Count of CED, processor gate (MJ/kg)"),'[1]Pivot Table_CED'!$A$3,"SUB TYPE",$B60))</f>
        <v/>
      </c>
      <c r="N60" s="92">
        <f>IF($L60="PROXY",DAVERAGE('[1]literature entries'!$D:$AI,IF($J60=1,"ACTIVE     CED, FARM GATE (MJ/kg)","CED, processor gate (MJ/kg)"),INDIRECT($K60)),GETPIVOTDATA(IF($J60=1,"Average of ACTIVE     CED, FARM GATE (MJ/kg)","Average of CED, processor gate (MJ/kg)"),'[1]Pivot Table_CED'!$A$3,"SUB TYPE",$B60))</f>
        <v/>
      </c>
      <c r="O60" s="92">
        <f>IF($L60="PROXY",DSTDEV('[1]literature entries'!D:AI,IF($J60=1,"ACTIVE     CED, FARM GATE (MJ/kg)","CED, processor gate (MJ/kg)"),INDIRECT($K60)),GETPIVOTDATA(IF($J60=1,"StdDev of ACTIVE     CED, FARM GATE (MJ/kg)","StdDev of CED, processor gate (MJ/kg)"),'[1]Pivot Table_CED'!$A$3,"SUB TYPE",$B60))</f>
        <v/>
      </c>
      <c r="P60" s="90">
        <f>IF(ISERROR(GETPIVOTDATA(IF($J60=1,"Count of ACTIVE     GHGE, FARM GATE (kg CO2e/kg)","Count of GHGE, processor gate (kg CO2e/kg)"),'[1]Pivot Table_GHG'!$A$3,"SUB TYPE",$B60)),"PROXY",IF(GETPIVOTDATA(IF($J60=1,"Count of ACTIVE     GHGE, FARM GATE (kg CO2e/kg)","Count of GHGE, processor gate (kg CO2e/kg)"),'[1]Pivot Table_GHG'!$A$3,"SUB TYPE",$B60)=0,"PROXY","DB value"))</f>
        <v/>
      </c>
      <c r="Q60" s="93">
        <f>IF($P60="PROXY",DCOUNT('[1]literature entries'!$D:$AI,IF($J60=1,"ACTIVE     GHGE, FARM GATE (kg CO2e/kg)","GHGE, processor gate (kg CO2e/kg)"),INDIRECT($K60)),GETPIVOTDATA(IF($J60=1,"ACTIVE     GHGE, FARM GATE (kg CO2e/kg)","Count of GHGE, processor gate (kg CO2e/kg)"),'[1]Pivot Table_GHG'!$A$3,"SUB TYPE",$B60))</f>
        <v/>
      </c>
      <c r="R60" s="94">
        <f>IF($P60="PROXY",DAVERAGE('[1]literature entries'!$D:$AI,IF($J60=1,"ACTIVE     GHGE, FARM GATE (kg CO2e/kg)","GHGE, processor gate (kg CO2e/kg)"),INDIRECT($K60)),GETPIVOTDATA(IF($J60=1,"Average of ACTIVE     GHGE, FARM GATE (kg CO2e/kg)","Average of GHGE, processor gate (kg CO2e/kg)"),'[1]Pivot Table_GHG'!$A$3,"SUB TYPE",$B60))</f>
        <v/>
      </c>
      <c r="S60" s="94">
        <f>IF($P60="PROXY",DSTDEV('[1]literature entries'!$D:$AI,IF($J60=1,"ACTIVE     GHGE, FARM GATE (kg CO2e/kg)","GHGE, processor gate (kg CO2e/kg)"),INDIRECT($K60)),GETPIVOTDATA(IF($J60=1,"StdDev of ACTIVE     GHGE, FARM GATE (kg CO2e/kg)","StdDev of GHGE, processor gate (kg CO2e/kg)"),'[1]Pivot Table_GHG'!$A$3,"SUB TYPE",$B60))</f>
        <v/>
      </c>
      <c r="T60" s="105" t="n"/>
      <c r="U60" s="106" t="n"/>
      <c r="V60" s="97" t="n"/>
      <c r="W60" s="98" t="inlineStr">
        <is>
          <t>all_brassica</t>
        </is>
      </c>
      <c r="X60" s="98">
        <f>IF($W60="DIRECT",M60,DCOUNT('[1]literature entries'!$D:$AI,IF($J60=1,"ACTIVE     CED, FARM GATE (MJ/kg)","CED, processor gate (MJ/kg)"),INDIRECT($W60)))</f>
        <v/>
      </c>
      <c r="Y60" s="98">
        <f>IF($W60="DIRECT","",DAVERAGE('[1]literature entries'!$D:$AI,IF($J60=1,"ACTIVE     CED, FARM GATE (MJ/kg)","CED, processor gate (MJ/kg)"),INDIRECT($W60)))</f>
        <v/>
      </c>
      <c r="Z60" s="98">
        <f>IF($W60="DIRECT",$O60,DSTDEV('[1]literature entries'!$D:$AI,IF($J60=1,"ACTIVE     CED, FARM GATE (MJ/kg)","CED, processor gate (MJ/kg)"),INDIRECT($W60)))</f>
        <v/>
      </c>
      <c r="AA60" s="98">
        <f>IF($W60="DIRECT",$O60,$Z60/$Y60*$N60)</f>
        <v/>
      </c>
      <c r="AB60" s="99" t="inlineStr">
        <is>
          <t>all_brassica</t>
        </is>
      </c>
      <c r="AC60" s="99">
        <f>IF($AB60="DIRECT",Q60,DCOUNT('[1]literature entries'!$D:$AI,IF($J60=1,"ACTIVE     GHGE, FARM GATE (kg CO2e/kg)","GHGE, processor gate (kg CO2e/kg)"),INDIRECT($AB60)))</f>
        <v/>
      </c>
      <c r="AD60" s="99">
        <f>IF($AB60="DIRECT","",DAVERAGE('[1]literature entries'!$D:$AI,IF($J60=1,"ACTIVE     GHGE, FARM GATE (kg CO2e/kg)","GHGE, processor gate (kg CO2e/kg)"),INDIRECT($AB60)))</f>
        <v/>
      </c>
      <c r="AE60" s="99">
        <f>IF($AB60="DIRECT",$S60,DSTDEV('[1]literature entries'!$D:$AI,IF($J60=1,"ACTIVE     GHGE, FARM GATE (kg CO2e/kg)","GHGE, processor gate (kg CO2e/kg)"),INDIRECT($AB60)))</f>
        <v/>
      </c>
      <c r="AF60" s="99">
        <f>IF($AB60="DIRECT",$S60,$AE60/$AD60*$R60)</f>
        <v/>
      </c>
    </row>
    <row r="61" ht="15.75" customHeight="1" s="201">
      <c r="A61" s="100" t="n">
        <v>402229000</v>
      </c>
      <c r="B61" s="101" t="inlineStr">
        <is>
          <t>Mustard greens</t>
        </is>
      </c>
      <c r="C61" s="101" t="inlineStr">
        <is>
          <t>weight of leaves and stems</t>
        </is>
      </c>
      <c r="D61" s="101" t="n"/>
      <c r="E61" s="101" t="n">
        <v>105</v>
      </c>
      <c r="F61" s="84">
        <f>N61*H61+T61</f>
        <v/>
      </c>
      <c r="G61" s="85">
        <f>R61*H61+U61</f>
        <v/>
      </c>
      <c r="H61" s="102" t="n">
        <v>1.08</v>
      </c>
      <c r="I61" s="102" t="inlineStr">
        <is>
          <t>FICRCD</t>
        </is>
      </c>
      <c r="J61" s="104" t="n">
        <v>1</v>
      </c>
      <c r="K61" s="89" t="inlineStr">
        <is>
          <t>brassica_greens</t>
        </is>
      </c>
      <c r="L61" s="90">
        <f>IF(ISERROR(GETPIVOTDATA(IF($J61=1,"Count of ACTIVE     CED, FARM GATE (MJ/kg)","Count of CED, processor gate (MJ/kg)"),'[1]Pivot Table_CED'!$A$3,"SUB TYPE",$B61)),"PROXY",IF(GETPIVOTDATA(IF($J61=1,"Count of ACTIVE     CED, FARM GATE (MJ/kg)","Count of CED, processor gate (MJ/kg)"),'[1]Pivot Table_CED'!$A$3,"SUB TYPE",$B61)=0,"PROXY","DB value"))</f>
        <v/>
      </c>
      <c r="M61" s="91">
        <f>IF($L61="PROXY",DCOUNT('[1]literature entries'!$D:$AI,IF($J61=1,"ACTIVE     CED, FARM GATE (MJ/kg)","CED, processor gate (MJ/kg)"),INDIRECT($K61)),GETPIVOTDATA(IF($J61=1,"Count of ACTIVE     CED, FARM GATE (MJ/kg)","Count of CED, processor gate (MJ/kg)"),'[1]Pivot Table_CED'!$A$3,"SUB TYPE",$B61))</f>
        <v/>
      </c>
      <c r="N61" s="92">
        <f>IF($L61="PROXY",DAVERAGE('[1]literature entries'!$D:$AI,IF($J61=1,"ACTIVE     CED, FARM GATE (MJ/kg)","CED, processor gate (MJ/kg)"),INDIRECT($K61)),GETPIVOTDATA(IF($J61=1,"Average of ACTIVE     CED, FARM GATE (MJ/kg)","Average of CED, processor gate (MJ/kg)"),'[1]Pivot Table_CED'!$A$3,"SUB TYPE",$B61))</f>
        <v/>
      </c>
      <c r="O61" s="92">
        <f>IF($L61="PROXY",DSTDEV('[1]literature entries'!D:AI,IF($J61=1,"ACTIVE     CED, FARM GATE (MJ/kg)","CED, processor gate (MJ/kg)"),INDIRECT($K61)),GETPIVOTDATA(IF($J61=1,"StdDev of ACTIVE     CED, FARM GATE (MJ/kg)","StdDev of CED, processor gate (MJ/kg)"),'[1]Pivot Table_CED'!$A$3,"SUB TYPE",$B61))</f>
        <v/>
      </c>
      <c r="P61" s="90">
        <f>IF(ISERROR(GETPIVOTDATA(IF($J61=1,"Count of ACTIVE     GHGE, FARM GATE (kg CO2e/kg)","Count of GHGE, processor gate (kg CO2e/kg)"),'[1]Pivot Table_GHG'!$A$3,"SUB TYPE",$B61)),"PROXY",IF(GETPIVOTDATA(IF($J61=1,"Count of ACTIVE     GHGE, FARM GATE (kg CO2e/kg)","Count of GHGE, processor gate (kg CO2e/kg)"),'[1]Pivot Table_GHG'!$A$3,"SUB TYPE",$B61)=0,"PROXY","DB value"))</f>
        <v/>
      </c>
      <c r="Q61" s="93">
        <f>IF($P61="PROXY",DCOUNT('[1]literature entries'!$D:$AI,IF($J61=1,"ACTIVE     GHGE, FARM GATE (kg CO2e/kg)","GHGE, processor gate (kg CO2e/kg)"),INDIRECT($K61)),GETPIVOTDATA(IF($J61=1,"ACTIVE     GHGE, FARM GATE (kg CO2e/kg)","Count of GHGE, processor gate (kg CO2e/kg)"),'[1]Pivot Table_GHG'!$A$3,"SUB TYPE",$B61))</f>
        <v/>
      </c>
      <c r="R61" s="94">
        <f>IF($P61="PROXY",DAVERAGE('[1]literature entries'!$D:$AI,IF($J61=1,"ACTIVE     GHGE, FARM GATE (kg CO2e/kg)","GHGE, processor gate (kg CO2e/kg)"),INDIRECT($K61)),GETPIVOTDATA(IF($J61=1,"Average of ACTIVE     GHGE, FARM GATE (kg CO2e/kg)","Average of GHGE, processor gate (kg CO2e/kg)"),'[1]Pivot Table_GHG'!$A$3,"SUB TYPE",$B61))</f>
        <v/>
      </c>
      <c r="S61" s="94">
        <f>IF($P61="PROXY",DSTDEV('[1]literature entries'!$D:$AI,IF($J61=1,"ACTIVE     GHGE, FARM GATE (kg CO2e/kg)","GHGE, processor gate (kg CO2e/kg)"),INDIRECT($K61)),GETPIVOTDATA(IF($J61=1,"StdDev of ACTIVE     GHGE, FARM GATE (kg CO2e/kg)","StdDev of GHGE, processor gate (kg CO2e/kg)"),'[1]Pivot Table_GHG'!$A$3,"SUB TYPE",$B61))</f>
        <v/>
      </c>
      <c r="T61" s="105" t="n"/>
      <c r="U61" s="106" t="n"/>
      <c r="V61" s="97" t="n"/>
      <c r="W61" s="98" t="inlineStr">
        <is>
          <t>all_brassica</t>
        </is>
      </c>
      <c r="X61" s="98">
        <f>IF($W61="DIRECT",M61,DCOUNT('[1]literature entries'!$D:$AI,IF($J61=1,"ACTIVE     CED, FARM GATE (MJ/kg)","CED, processor gate (MJ/kg)"),INDIRECT($W61)))</f>
        <v/>
      </c>
      <c r="Y61" s="98">
        <f>IF($W61="DIRECT","",DAVERAGE('[1]literature entries'!$D:$AI,IF($J61=1,"ACTIVE     CED, FARM GATE (MJ/kg)","CED, processor gate (MJ/kg)"),INDIRECT($W61)))</f>
        <v/>
      </c>
      <c r="Z61" s="98">
        <f>IF($W61="DIRECT",$O61,DSTDEV('[1]literature entries'!$D:$AI,IF($J61=1,"ACTIVE     CED, FARM GATE (MJ/kg)","CED, processor gate (MJ/kg)"),INDIRECT($W61)))</f>
        <v/>
      </c>
      <c r="AA61" s="98">
        <f>IF($W61="DIRECT",$O61,$Z61/$Y61*$N61)</f>
        <v/>
      </c>
      <c r="AB61" s="99" t="inlineStr">
        <is>
          <t>all_brassica</t>
        </is>
      </c>
      <c r="AC61" s="99">
        <f>IF($AB61="DIRECT",Q61,DCOUNT('[1]literature entries'!$D:$AI,IF($J61=1,"ACTIVE     GHGE, FARM GATE (kg CO2e/kg)","GHGE, processor gate (kg CO2e/kg)"),INDIRECT($AB61)))</f>
        <v/>
      </c>
      <c r="AD61" s="99">
        <f>IF($AB61="DIRECT","",DAVERAGE('[1]literature entries'!$D:$AI,IF($J61=1,"ACTIVE     GHGE, FARM GATE (kg CO2e/kg)","GHGE, processor gate (kg CO2e/kg)"),INDIRECT($AB61)))</f>
        <v/>
      </c>
      <c r="AE61" s="99">
        <f>IF($AB61="DIRECT",$S61,DSTDEV('[1]literature entries'!$D:$AI,IF($J61=1,"ACTIVE     GHGE, FARM GATE (kg CO2e/kg)","GHGE, processor gate (kg CO2e/kg)"),INDIRECT($AB61)))</f>
        <v/>
      </c>
      <c r="AF61" s="99">
        <f>IF($AB61="DIRECT",$S61,$AE61/$AD61*$R61)</f>
        <v/>
      </c>
    </row>
    <row r="62" ht="15.75" customHeight="1" s="201">
      <c r="A62" s="100" t="n">
        <v>402389000</v>
      </c>
      <c r="B62" s="101" t="inlineStr">
        <is>
          <t>Turnip, greens</t>
        </is>
      </c>
      <c r="C62" s="101" t="inlineStr">
        <is>
          <t>weight of leaves</t>
        </is>
      </c>
      <c r="D62" s="101" t="n"/>
      <c r="E62" s="101" t="n">
        <v>183</v>
      </c>
      <c r="F62" s="84">
        <f>N62*H62+T62</f>
        <v/>
      </c>
      <c r="G62" s="85">
        <f>R62*H62+U62</f>
        <v/>
      </c>
      <c r="H62" s="102" t="n">
        <v>1.428571428571429</v>
      </c>
      <c r="I62" s="103" t="inlineStr">
        <is>
          <t>LAFA</t>
        </is>
      </c>
      <c r="J62" s="104" t="n">
        <v>1</v>
      </c>
      <c r="K62" s="89" t="inlineStr">
        <is>
          <t>brassica_greens</t>
        </is>
      </c>
      <c r="L62" s="90">
        <f>IF(ISERROR(GETPIVOTDATA(IF($J62=1,"Count of ACTIVE     CED, FARM GATE (MJ/kg)","Count of CED, processor gate (MJ/kg)"),'[1]Pivot Table_CED'!$A$3,"SUB TYPE",$B62)),"PROXY",IF(GETPIVOTDATA(IF($J62=1,"Count of ACTIVE     CED, FARM GATE (MJ/kg)","Count of CED, processor gate (MJ/kg)"),'[1]Pivot Table_CED'!$A$3,"SUB TYPE",$B62)=0,"PROXY","DB value"))</f>
        <v/>
      </c>
      <c r="M62" s="91">
        <f>IF($L62="PROXY",DCOUNT('[1]literature entries'!$D:$AI,IF($J62=1,"ACTIVE     CED, FARM GATE (MJ/kg)","CED, processor gate (MJ/kg)"),INDIRECT($K62)),GETPIVOTDATA(IF($J62=1,"Count of ACTIVE     CED, FARM GATE (MJ/kg)","Count of CED, processor gate (MJ/kg)"),'[1]Pivot Table_CED'!$A$3,"SUB TYPE",$B62))</f>
        <v/>
      </c>
      <c r="N62" s="92">
        <f>IF($L62="PROXY",DAVERAGE('[1]literature entries'!$D:$AI,IF($J62=1,"ACTIVE     CED, FARM GATE (MJ/kg)","CED, processor gate (MJ/kg)"),INDIRECT($K62)),GETPIVOTDATA(IF($J62=1,"Average of ACTIVE     CED, FARM GATE (MJ/kg)","Average of CED, processor gate (MJ/kg)"),'[1]Pivot Table_CED'!$A$3,"SUB TYPE",$B62))</f>
        <v/>
      </c>
      <c r="O62" s="92">
        <f>IF($L62="PROXY",DSTDEV('[1]literature entries'!D:AI,IF($J62=1,"ACTIVE     CED, FARM GATE (MJ/kg)","CED, processor gate (MJ/kg)"),INDIRECT($K62)),GETPIVOTDATA(IF($J62=1,"StdDev of ACTIVE     CED, FARM GATE (MJ/kg)","StdDev of CED, processor gate (MJ/kg)"),'[1]Pivot Table_CED'!$A$3,"SUB TYPE",$B62))</f>
        <v/>
      </c>
      <c r="P62" s="90">
        <f>IF(ISERROR(GETPIVOTDATA(IF($J62=1,"Count of ACTIVE     GHGE, FARM GATE (kg CO2e/kg)","Count of GHGE, processor gate (kg CO2e/kg)"),'[1]Pivot Table_GHG'!$A$3,"SUB TYPE",$B62)),"PROXY",IF(GETPIVOTDATA(IF($J62=1,"Count of ACTIVE     GHGE, FARM GATE (kg CO2e/kg)","Count of GHGE, processor gate (kg CO2e/kg)"),'[1]Pivot Table_GHG'!$A$3,"SUB TYPE",$B62)=0,"PROXY","DB value"))</f>
        <v/>
      </c>
      <c r="Q62" s="93">
        <f>IF($P62="PROXY",DCOUNT('[1]literature entries'!$D:$AI,IF($J62=1,"ACTIVE     GHGE, FARM GATE (kg CO2e/kg)","GHGE, processor gate (kg CO2e/kg)"),INDIRECT($K62)),GETPIVOTDATA(IF($J62=1,"ACTIVE     GHGE, FARM GATE (kg CO2e/kg)","Count of GHGE, processor gate (kg CO2e/kg)"),'[1]Pivot Table_GHG'!$A$3,"SUB TYPE",$B62))</f>
        <v/>
      </c>
      <c r="R62" s="94">
        <f>IF($P62="PROXY",DAVERAGE('[1]literature entries'!$D:$AI,IF($J62=1,"ACTIVE     GHGE, FARM GATE (kg CO2e/kg)","GHGE, processor gate (kg CO2e/kg)"),INDIRECT($K62)),GETPIVOTDATA(IF($J62=1,"Average of ACTIVE     GHGE, FARM GATE (kg CO2e/kg)","Average of GHGE, processor gate (kg CO2e/kg)"),'[1]Pivot Table_GHG'!$A$3,"SUB TYPE",$B62))</f>
        <v/>
      </c>
      <c r="S62" s="94">
        <f>IF($P62="PROXY",DSTDEV('[1]literature entries'!$D:$AI,IF($J62=1,"ACTIVE     GHGE, FARM GATE (kg CO2e/kg)","GHGE, processor gate (kg CO2e/kg)"),INDIRECT($K62)),GETPIVOTDATA(IF($J62=1,"StdDev of ACTIVE     GHGE, FARM GATE (kg CO2e/kg)","StdDev of GHGE, processor gate (kg CO2e/kg)"),'[1]Pivot Table_GHG'!$A$3,"SUB TYPE",$B62))</f>
        <v/>
      </c>
      <c r="T62" s="105" t="n"/>
      <c r="U62" s="106" t="n"/>
      <c r="V62" s="97" t="n"/>
      <c r="W62" s="98" t="inlineStr">
        <is>
          <t>all_brassica</t>
        </is>
      </c>
      <c r="X62" s="98">
        <f>IF($W62="DIRECT",M62,DCOUNT('[1]literature entries'!$D:$AI,IF($J62=1,"ACTIVE     CED, FARM GATE (MJ/kg)","CED, processor gate (MJ/kg)"),INDIRECT($W62)))</f>
        <v/>
      </c>
      <c r="Y62" s="98">
        <f>IF($W62="DIRECT","",DAVERAGE('[1]literature entries'!$D:$AI,IF($J62=1,"ACTIVE     CED, FARM GATE (MJ/kg)","CED, processor gate (MJ/kg)"),INDIRECT($W62)))</f>
        <v/>
      </c>
      <c r="Z62" s="98">
        <f>IF($W62="DIRECT",$O62,DSTDEV('[1]literature entries'!$D:$AI,IF($J62=1,"ACTIVE     CED, FARM GATE (MJ/kg)","CED, processor gate (MJ/kg)"),INDIRECT($W62)))</f>
        <v/>
      </c>
      <c r="AA62" s="98">
        <f>IF($W62="DIRECT",$O62,$Z62/$Y62*$N62)</f>
        <v/>
      </c>
      <c r="AB62" s="99" t="inlineStr">
        <is>
          <t>all_brassica</t>
        </is>
      </c>
      <c r="AC62" s="99">
        <f>IF($AB62="DIRECT",Q62,DCOUNT('[1]literature entries'!$D:$AI,IF($J62=1,"ACTIVE     GHGE, FARM GATE (kg CO2e/kg)","GHGE, processor gate (kg CO2e/kg)"),INDIRECT($AB62)))</f>
        <v/>
      </c>
      <c r="AD62" s="99">
        <f>IF($AB62="DIRECT","",DAVERAGE('[1]literature entries'!$D:$AI,IF($J62=1,"ACTIVE     GHGE, FARM GATE (kg CO2e/kg)","GHGE, processor gate (kg CO2e/kg)"),INDIRECT($AB62)))</f>
        <v/>
      </c>
      <c r="AE62" s="99">
        <f>IF($AB62="DIRECT",$S62,DSTDEV('[1]literature entries'!$D:$AI,IF($J62=1,"ACTIVE     GHGE, FARM GATE (kg CO2e/kg)","GHGE, processor gate (kg CO2e/kg)"),INDIRECT($AB62)))</f>
        <v/>
      </c>
      <c r="AF62" s="99">
        <f>IF($AB62="DIRECT",$S62,$AE62/$AD62*$R62)</f>
        <v/>
      </c>
    </row>
    <row r="63" ht="15.75" customHeight="1" s="201">
      <c r="A63" s="100" t="n">
        <v>402398000</v>
      </c>
      <c r="B63" s="101" t="inlineStr">
        <is>
          <t>Watercress</t>
        </is>
      </c>
      <c r="C63" s="101" t="inlineStr">
        <is>
          <t>weight of leaves and stems; juice</t>
        </is>
      </c>
      <c r="D63" s="101" t="n"/>
      <c r="E63" s="101" t="n">
        <v>440</v>
      </c>
      <c r="F63" s="84">
        <f>N63*H63+T63</f>
        <v/>
      </c>
      <c r="G63" s="85">
        <f>R63*H63+U63</f>
        <v/>
      </c>
      <c r="H63" s="102" t="n">
        <v>1.09</v>
      </c>
      <c r="I63" s="103" t="inlineStr">
        <is>
          <t>FICRCD</t>
        </is>
      </c>
      <c r="J63" s="104" t="n">
        <v>1</v>
      </c>
      <c r="K63" s="89" t="inlineStr">
        <is>
          <t>greens</t>
        </is>
      </c>
      <c r="L63" s="90">
        <f>IF(ISERROR(GETPIVOTDATA(IF($J63=1,"Count of ACTIVE     CED, FARM GATE (MJ/kg)","Count of CED, processor gate (MJ/kg)"),'[1]Pivot Table_CED'!$A$3,"SUB TYPE",$B63)),"PROXY",IF(GETPIVOTDATA(IF($J63=1,"Count of ACTIVE     CED, FARM GATE (MJ/kg)","Count of CED, processor gate (MJ/kg)"),'[1]Pivot Table_CED'!$A$3,"SUB TYPE",$B63)=0,"PROXY","DB value"))</f>
        <v/>
      </c>
      <c r="M63" s="91">
        <f>IF($L63="PROXY",DCOUNT('[1]literature entries'!$D:$AI,IF($J63=1,"ACTIVE     CED, FARM GATE (MJ/kg)","CED, processor gate (MJ/kg)"),INDIRECT($K63)),GETPIVOTDATA(IF($J63=1,"Count of ACTIVE     CED, FARM GATE (MJ/kg)","Count of CED, processor gate (MJ/kg)"),'[1]Pivot Table_CED'!$A$3,"SUB TYPE",$B63))</f>
        <v/>
      </c>
      <c r="N63" s="92">
        <f>IF($L63="PROXY",DAVERAGE('[1]literature entries'!$D:$AI,IF($J63=1,"ACTIVE     CED, FARM GATE (MJ/kg)","CED, processor gate (MJ/kg)"),INDIRECT($K63)),GETPIVOTDATA(IF($J63=1,"Average of ACTIVE     CED, FARM GATE (MJ/kg)","Average of CED, processor gate (MJ/kg)"),'[1]Pivot Table_CED'!$A$3,"SUB TYPE",$B63))</f>
        <v/>
      </c>
      <c r="O63" s="92">
        <f>IF($L63="PROXY",DSTDEV('[1]literature entries'!D:AI,IF($J63=1,"ACTIVE     CED, FARM GATE (MJ/kg)","CED, processor gate (MJ/kg)"),INDIRECT($K63)),GETPIVOTDATA(IF($J63=1,"StdDev of ACTIVE     CED, FARM GATE (MJ/kg)","StdDev of CED, processor gate (MJ/kg)"),'[1]Pivot Table_CED'!$A$3,"SUB TYPE",$B63))</f>
        <v/>
      </c>
      <c r="P63" s="90">
        <f>IF(ISERROR(GETPIVOTDATA(IF($J63=1,"Count of ACTIVE     GHGE, FARM GATE (kg CO2e/kg)","Count of GHGE, processor gate (kg CO2e/kg)"),'[1]Pivot Table_GHG'!$A$3,"SUB TYPE",$B63)),"PROXY",IF(GETPIVOTDATA(IF($J63=1,"Count of ACTIVE     GHGE, FARM GATE (kg CO2e/kg)","Count of GHGE, processor gate (kg CO2e/kg)"),'[1]Pivot Table_GHG'!$A$3,"SUB TYPE",$B63)=0,"PROXY","DB value"))</f>
        <v/>
      </c>
      <c r="Q63" s="93">
        <f>IF($P63="PROXY",DCOUNT('[1]literature entries'!$D:$AI,IF($J63=1,"ACTIVE     GHGE, FARM GATE (kg CO2e/kg)","GHGE, processor gate (kg CO2e/kg)"),INDIRECT($K63)),GETPIVOTDATA(IF($J63=1,"ACTIVE     GHGE, FARM GATE (kg CO2e/kg)","Count of GHGE, processor gate (kg CO2e/kg)"),'[1]Pivot Table_GHG'!$A$3,"SUB TYPE",$B63))</f>
        <v/>
      </c>
      <c r="R63" s="94">
        <f>IF($P63="PROXY",DAVERAGE('[1]literature entries'!$D:$AI,IF($J63=1,"ACTIVE     GHGE, FARM GATE (kg CO2e/kg)","GHGE, processor gate (kg CO2e/kg)"),INDIRECT($K63)),GETPIVOTDATA(IF($J63=1,"Average of ACTIVE     GHGE, FARM GATE (kg CO2e/kg)","Average of GHGE, processor gate (kg CO2e/kg)"),'[1]Pivot Table_GHG'!$A$3,"SUB TYPE",$B63))</f>
        <v/>
      </c>
      <c r="S63" s="94">
        <f>IF($P63="PROXY",DSTDEV('[1]literature entries'!$D:$AI,IF($J63=1,"ACTIVE     GHGE, FARM GATE (kg CO2e/kg)","GHGE, processor gate (kg CO2e/kg)"),INDIRECT($K63)),GETPIVOTDATA(IF($J63=1,"StdDev of ACTIVE     GHGE, FARM GATE (kg CO2e/kg)","StdDev of GHGE, processor gate (kg CO2e/kg)"),'[1]Pivot Table_GHG'!$A$3,"SUB TYPE",$B63))</f>
        <v/>
      </c>
      <c r="T63" s="105" t="n"/>
      <c r="U63" s="106" t="n"/>
      <c r="V63" s="97" t="n"/>
      <c r="W63" s="98">
        <f>IF(L63="PROXY",IF(M63&gt;=5,K63,"need group"),IF(M63&gt;=5,"DIRECT","need group"))</f>
        <v/>
      </c>
      <c r="X63" s="98">
        <f>IF($W63="DIRECT",M63,DCOUNT('[1]literature entries'!$D:$AI,IF($J63=1,"ACTIVE     CED, FARM GATE (MJ/kg)","CED, processor gate (MJ/kg)"),INDIRECT($W63)))</f>
        <v/>
      </c>
      <c r="Y63" s="98">
        <f>IF($W63="DIRECT","",DAVERAGE('[1]literature entries'!$D:$AI,IF($J63=1,"ACTIVE     CED, FARM GATE (MJ/kg)","CED, processor gate (MJ/kg)"),INDIRECT($W63)))</f>
        <v/>
      </c>
      <c r="Z63" s="98">
        <f>IF($W63="DIRECT",$O63,DSTDEV('[1]literature entries'!$D:$AI,IF($J63=1,"ACTIVE     CED, FARM GATE (MJ/kg)","CED, processor gate (MJ/kg)"),INDIRECT($W63)))</f>
        <v/>
      </c>
      <c r="AA63" s="98">
        <f>IF($W63="DIRECT",$O63,$Z63/$Y63*$N63)</f>
        <v/>
      </c>
      <c r="AB63" s="99">
        <f>IF(P63="PROXY",IF(Q63&gt;=5,K63,"need group"),IF(Q63&gt;=5,"DIRECT","need group"))</f>
        <v/>
      </c>
      <c r="AC63" s="99">
        <f>IF($AB63="DIRECT",Q63,DCOUNT('[1]literature entries'!$D:$AI,IF($J63=1,"ACTIVE     GHGE, FARM GATE (kg CO2e/kg)","GHGE, processor gate (kg CO2e/kg)"),INDIRECT($AB63)))</f>
        <v/>
      </c>
      <c r="AD63" s="99">
        <f>IF($AB63="DIRECT","",DAVERAGE('[1]literature entries'!$D:$AI,IF($J63=1,"ACTIVE     GHGE, FARM GATE (kg CO2e/kg)","GHGE, processor gate (kg CO2e/kg)"),INDIRECT($AB63)))</f>
        <v/>
      </c>
      <c r="AE63" s="99">
        <f>IF($AB63="DIRECT",$S63,DSTDEV('[1]literature entries'!$D:$AI,IF($J63=1,"ACTIVE     GHGE, FARM GATE (kg CO2e/kg)","GHGE, processor gate (kg CO2e/kg)"),INDIRECT($AB63)))</f>
        <v/>
      </c>
      <c r="AF63" s="99">
        <f>IF($AB63="DIRECT",$S63,$AE63/$AD63*$R63)</f>
        <v/>
      </c>
    </row>
    <row r="64" ht="15.75" customHeight="1" s="201">
      <c r="A64" s="100" t="n">
        <v>500061000</v>
      </c>
      <c r="B64" s="101" t="inlineStr">
        <is>
          <t>Broccoli</t>
        </is>
      </c>
      <c r="C64" s="101" t="inlineStr">
        <is>
          <t>weight of flower heads and adjoining stems</t>
        </is>
      </c>
      <c r="D64" s="101" t="n"/>
      <c r="E64" s="101" t="n">
        <v>3819</v>
      </c>
      <c r="F64" s="84">
        <f>N64*H64+T64</f>
        <v/>
      </c>
      <c r="G64" s="85">
        <f>R64*H64+U64</f>
        <v/>
      </c>
      <c r="H64" s="102" t="n">
        <v>1.64</v>
      </c>
      <c r="I64" s="102" t="inlineStr">
        <is>
          <t>FICRCD</t>
        </is>
      </c>
      <c r="J64" s="104" t="n">
        <v>1</v>
      </c>
      <c r="K64" s="89" t="n"/>
      <c r="L64" s="90">
        <f>IF(ISERROR(GETPIVOTDATA(IF($J64=1,"Count of ACTIVE     CED, FARM GATE (MJ/kg)","Count of CED, processor gate (MJ/kg)"),'[1]Pivot Table_CED'!$A$3,"SUB TYPE",$B64)),"PROXY",IF(GETPIVOTDATA(IF($J64=1,"Count of ACTIVE     CED, FARM GATE (MJ/kg)","Count of CED, processor gate (MJ/kg)"),'[1]Pivot Table_CED'!$A$3,"SUB TYPE",$B64)=0,"PROXY","DB value"))</f>
        <v/>
      </c>
      <c r="M64" s="91">
        <f>IF($L64="PROXY",DCOUNT('[1]literature entries'!$D:$AI,IF($J64=1,"ACTIVE     CED, FARM GATE (MJ/kg)","CED, processor gate (MJ/kg)"),INDIRECT($K64)),GETPIVOTDATA(IF($J64=1,"Count of ACTIVE     CED, FARM GATE (MJ/kg)","Count of CED, processor gate (MJ/kg)"),'[1]Pivot Table_CED'!$A$3,"SUB TYPE",$B64))</f>
        <v/>
      </c>
      <c r="N64" s="92">
        <f>IF($L64="PROXY",DAVERAGE('[1]literature entries'!$D:$AI,IF($J64=1,"ACTIVE     CED, FARM GATE (MJ/kg)","CED, processor gate (MJ/kg)"),INDIRECT($K64)),GETPIVOTDATA(IF($J64=1,"Average of ACTIVE     CED, FARM GATE (MJ/kg)","Average of CED, processor gate (MJ/kg)"),'[1]Pivot Table_CED'!$A$3,"SUB TYPE",$B64))</f>
        <v/>
      </c>
      <c r="O64" s="92">
        <f>IF($L64="PROXY",DSTDEV('[1]literature entries'!D:AI,IF($J64=1,"ACTIVE     CED, FARM GATE (MJ/kg)","CED, processor gate (MJ/kg)"),INDIRECT($K64)),GETPIVOTDATA(IF($J64=1,"StdDev of ACTIVE     CED, FARM GATE (MJ/kg)","StdDev of CED, processor gate (MJ/kg)"),'[1]Pivot Table_CED'!$A$3,"SUB TYPE",$B64))</f>
        <v/>
      </c>
      <c r="P64" s="90">
        <f>IF(ISERROR(GETPIVOTDATA(IF($J64=1,"Count of ACTIVE     GHGE, FARM GATE (kg CO2e/kg)","Count of GHGE, processor gate (kg CO2e/kg)"),'[1]Pivot Table_GHG'!$A$3,"SUB TYPE",$B64)),"PROXY",IF(GETPIVOTDATA(IF($J64=1,"Count of ACTIVE     GHGE, FARM GATE (kg CO2e/kg)","Count of GHGE, processor gate (kg CO2e/kg)"),'[1]Pivot Table_GHG'!$A$3,"SUB TYPE",$B64)=0,"PROXY","DB value"))</f>
        <v/>
      </c>
      <c r="Q64" s="93">
        <f>IF($P64="PROXY",DCOUNT('[1]literature entries'!$D:$AI,IF($J64=1,"ACTIVE     GHGE, FARM GATE (kg CO2e/kg)","GHGE, processor gate (kg CO2e/kg)"),INDIRECT($K64)),GETPIVOTDATA(IF($J64=1,"ACTIVE     GHGE, FARM GATE (kg CO2e/kg)","Count of GHGE, processor gate (kg CO2e/kg)"),'[1]Pivot Table_GHG'!$A$3,"SUB TYPE",$B64))</f>
        <v/>
      </c>
      <c r="R64" s="94">
        <f>IF($P64="PROXY",DAVERAGE('[1]literature entries'!$D:$AI,IF($J64=1,"ACTIVE     GHGE, FARM GATE (kg CO2e/kg)","GHGE, processor gate (kg CO2e/kg)"),INDIRECT($K64)),GETPIVOTDATA(IF($J64=1,"Average of ACTIVE     GHGE, FARM GATE (kg CO2e/kg)","Average of GHGE, processor gate (kg CO2e/kg)"),'[1]Pivot Table_GHG'!$A$3,"SUB TYPE",$B64))</f>
        <v/>
      </c>
      <c r="S64" s="94">
        <f>IF($P64="PROXY",DSTDEV('[1]literature entries'!$D:$AI,IF($J64=1,"ACTIVE     GHGE, FARM GATE (kg CO2e/kg)","GHGE, processor gate (kg CO2e/kg)"),INDIRECT($K64)),GETPIVOTDATA(IF($J64=1,"StdDev of ACTIVE     GHGE, FARM GATE (kg CO2e/kg)","StdDev of GHGE, processor gate (kg CO2e/kg)"),'[1]Pivot Table_GHG'!$A$3,"SUB TYPE",$B64))</f>
        <v/>
      </c>
      <c r="T64" s="105" t="n"/>
      <c r="U64" s="106" t="n"/>
      <c r="V64" s="97" t="n"/>
      <c r="W64" s="98">
        <f>IF(L64="PROXY",IF(M64&gt;=5,K64,"need group"),IF(M64&gt;=5,"DIRECT","need group"))</f>
        <v/>
      </c>
      <c r="X64" s="98">
        <f>IF($W64="DIRECT",M64,DCOUNT('[1]literature entries'!$D:$AI,IF($J64=1,"ACTIVE     CED, FARM GATE (MJ/kg)","CED, processor gate (MJ/kg)"),INDIRECT($W64)))</f>
        <v/>
      </c>
      <c r="Y64" s="98">
        <f>IF($W64="DIRECT","",DAVERAGE('[1]literature entries'!$D:$AI,IF($J64=1,"ACTIVE     CED, FARM GATE (MJ/kg)","CED, processor gate (MJ/kg)"),INDIRECT($W64)))</f>
        <v/>
      </c>
      <c r="Z64" s="98">
        <f>IF($W64="DIRECT",$O64,DSTDEV('[1]literature entries'!$D:$AI,IF($J64=1,"ACTIVE     CED, FARM GATE (MJ/kg)","CED, processor gate (MJ/kg)"),INDIRECT($W64)))</f>
        <v/>
      </c>
      <c r="AA64" s="98">
        <f>IF($W64="DIRECT",$O64,$Z64/$Y64*$N64)</f>
        <v/>
      </c>
      <c r="AB64" s="99">
        <f>IF(P64="PROXY",IF(Q64&gt;=5,K64,"need group"),IF(Q64&gt;=5,"DIRECT","need group"))</f>
        <v/>
      </c>
      <c r="AC64" s="99">
        <f>IF($AB64="DIRECT",Q64,DCOUNT('[1]literature entries'!$D:$AI,IF($J64=1,"ACTIVE     GHGE, FARM GATE (kg CO2e/kg)","GHGE, processor gate (kg CO2e/kg)"),INDIRECT($AB64)))</f>
        <v/>
      </c>
      <c r="AD64" s="99">
        <f>IF($AB64="DIRECT","",DAVERAGE('[1]literature entries'!$D:$AI,IF($J64=1,"ACTIVE     GHGE, FARM GATE (kg CO2e/kg)","GHGE, processor gate (kg CO2e/kg)"),INDIRECT($AB64)))</f>
        <v/>
      </c>
      <c r="AE64" s="99">
        <f>IF($AB64="DIRECT",$S64,DSTDEV('[1]literature entries'!$D:$AI,IF($J64=1,"ACTIVE     GHGE, FARM GATE (kg CO2e/kg)","GHGE, processor gate (kg CO2e/kg)"),INDIRECT($AB64)))</f>
        <v/>
      </c>
      <c r="AF64" s="99">
        <f>IF($AB64="DIRECT",$S64,$AE64/$AD64*$R64)</f>
        <v/>
      </c>
    </row>
    <row r="65" ht="15.75" customHeight="1" s="201">
      <c r="A65" s="100" t="n">
        <v>500064000</v>
      </c>
      <c r="B65" s="101" t="inlineStr">
        <is>
          <t>Brussels sprouts</t>
        </is>
      </c>
      <c r="C65" s="101" t="inlineStr">
        <is>
          <t>weight of leaf sprouts</t>
        </is>
      </c>
      <c r="D65" s="101" t="n"/>
      <c r="E65" s="101" t="n">
        <v>91</v>
      </c>
      <c r="F65" s="84">
        <f>N65*H65+T65</f>
        <v/>
      </c>
      <c r="G65" s="85">
        <f>R65*H65+U65</f>
        <v/>
      </c>
      <c r="H65" s="102" t="n">
        <v>1.11</v>
      </c>
      <c r="I65" s="102" t="inlineStr">
        <is>
          <t>FICRCD</t>
        </is>
      </c>
      <c r="J65" s="104" t="n">
        <v>1</v>
      </c>
      <c r="K65" s="89" t="inlineStr">
        <is>
          <t>brassica</t>
        </is>
      </c>
      <c r="L65" s="90">
        <f>IF(ISERROR(GETPIVOTDATA(IF($J65=1,"Count of ACTIVE     CED, FARM GATE (MJ/kg)","Count of CED, processor gate (MJ/kg)"),'[1]Pivot Table_CED'!$A$3,"SUB TYPE",$B65)),"PROXY",IF(GETPIVOTDATA(IF($J65=1,"Count of ACTIVE     CED, FARM GATE (MJ/kg)","Count of CED, processor gate (MJ/kg)"),'[1]Pivot Table_CED'!$A$3,"SUB TYPE",$B65)=0,"PROXY","DB value"))</f>
        <v/>
      </c>
      <c r="M65" s="91">
        <f>IF($L65="PROXY",DCOUNT('[1]literature entries'!$D:$AI,IF($J65=1,"ACTIVE     CED, FARM GATE (MJ/kg)","CED, processor gate (MJ/kg)"),INDIRECT($K65)),GETPIVOTDATA(IF($J65=1,"Count of ACTIVE     CED, FARM GATE (MJ/kg)","Count of CED, processor gate (MJ/kg)"),'[1]Pivot Table_CED'!$A$3,"SUB TYPE",$B65))</f>
        <v/>
      </c>
      <c r="N65" s="92">
        <f>IF($L65="PROXY",DAVERAGE('[1]literature entries'!$D:$AI,IF($J65=1,"ACTIVE     CED, FARM GATE (MJ/kg)","CED, processor gate (MJ/kg)"),INDIRECT($K65)),GETPIVOTDATA(IF($J65=1,"Average of ACTIVE     CED, FARM GATE (MJ/kg)","Average of CED, processor gate (MJ/kg)"),'[1]Pivot Table_CED'!$A$3,"SUB TYPE",$B65))</f>
        <v/>
      </c>
      <c r="O65" s="92">
        <f>IF($L65="PROXY",DSTDEV('[1]literature entries'!D:AI,IF($J65=1,"ACTIVE     CED, FARM GATE (MJ/kg)","CED, processor gate (MJ/kg)"),INDIRECT($K65)),GETPIVOTDATA(IF($J65=1,"StdDev of ACTIVE     CED, FARM GATE (MJ/kg)","StdDev of CED, processor gate (MJ/kg)"),'[1]Pivot Table_CED'!$A$3,"SUB TYPE",$B65))</f>
        <v/>
      </c>
      <c r="P65" s="90">
        <f>IF(ISERROR(GETPIVOTDATA(IF($J65=1,"Count of ACTIVE     GHGE, FARM GATE (kg CO2e/kg)","Count of GHGE, processor gate (kg CO2e/kg)"),'[1]Pivot Table_GHG'!$A$3,"SUB TYPE",$B65)),"PROXY",IF(GETPIVOTDATA(IF($J65=1,"Count of ACTIVE     GHGE, FARM GATE (kg CO2e/kg)","Count of GHGE, processor gate (kg CO2e/kg)"),'[1]Pivot Table_GHG'!$A$3,"SUB TYPE",$B65)=0,"PROXY","DB value"))</f>
        <v/>
      </c>
      <c r="Q65" s="93">
        <f>IF($P65="PROXY",DCOUNT('[1]literature entries'!$D:$AI,IF($J65=1,"ACTIVE     GHGE, FARM GATE (kg CO2e/kg)","GHGE, processor gate (kg CO2e/kg)"),INDIRECT($K65)),GETPIVOTDATA(IF($J65=1,"ACTIVE     GHGE, FARM GATE (kg CO2e/kg)","Count of GHGE, processor gate (kg CO2e/kg)"),'[1]Pivot Table_GHG'!$A$3,"SUB TYPE",$B65))</f>
        <v/>
      </c>
      <c r="R65" s="94">
        <f>IF($P65="PROXY",DAVERAGE('[1]literature entries'!$D:$AI,IF($J65=1,"ACTIVE     GHGE, FARM GATE (kg CO2e/kg)","GHGE, processor gate (kg CO2e/kg)"),INDIRECT($K65)),GETPIVOTDATA(IF($J65=1,"Average of ACTIVE     GHGE, FARM GATE (kg CO2e/kg)","Average of GHGE, processor gate (kg CO2e/kg)"),'[1]Pivot Table_GHG'!$A$3,"SUB TYPE",$B65))</f>
        <v/>
      </c>
      <c r="S65" s="94">
        <f>IF($P65="PROXY",DSTDEV('[1]literature entries'!$D:$AI,IF($J65=1,"ACTIVE     GHGE, FARM GATE (kg CO2e/kg)","GHGE, processor gate (kg CO2e/kg)"),INDIRECT($K65)),GETPIVOTDATA(IF($J65=1,"StdDev of ACTIVE     GHGE, FARM GATE (kg CO2e/kg)","StdDev of GHGE, processor gate (kg CO2e/kg)"),'[1]Pivot Table_GHG'!$A$3,"SUB TYPE",$B65))</f>
        <v/>
      </c>
      <c r="T65" s="105" t="n"/>
      <c r="U65" s="106" t="n"/>
      <c r="V65" s="97" t="n"/>
      <c r="W65" s="98">
        <f>IF(L65="PROXY",IF(M65&gt;=5,K65,"need group"),IF(M65&gt;=5,"DIRECT","need group"))</f>
        <v/>
      </c>
      <c r="X65" s="98">
        <f>IF($W65="DIRECT",M65,DCOUNT('[1]literature entries'!$D:$AI,IF($J65=1,"ACTIVE     CED, FARM GATE (MJ/kg)","CED, processor gate (MJ/kg)"),INDIRECT($W65)))</f>
        <v/>
      </c>
      <c r="Y65" s="98">
        <f>IF($W65="DIRECT","",DAVERAGE('[1]literature entries'!$D:$AI,IF($J65=1,"ACTIVE     CED, FARM GATE (MJ/kg)","CED, processor gate (MJ/kg)"),INDIRECT($W65)))</f>
        <v/>
      </c>
      <c r="Z65" s="98">
        <f>IF($W65="DIRECT",$O65,DSTDEV('[1]literature entries'!$D:$AI,IF($J65=1,"ACTIVE     CED, FARM GATE (MJ/kg)","CED, processor gate (MJ/kg)"),INDIRECT($W65)))</f>
        <v/>
      </c>
      <c r="AA65" s="98">
        <f>IF($W65="DIRECT",$O65,$Z65/$Y65*$N65)</f>
        <v/>
      </c>
      <c r="AB65" s="99">
        <f>IF(P65="PROXY",IF(Q65&gt;=5,K65,"need group"),IF(Q65&gt;=5,"DIRECT","need group"))</f>
        <v/>
      </c>
      <c r="AC65" s="99">
        <f>IF($AB65="DIRECT",Q65,DCOUNT('[1]literature entries'!$D:$AI,IF($J65=1,"ACTIVE     GHGE, FARM GATE (kg CO2e/kg)","GHGE, processor gate (kg CO2e/kg)"),INDIRECT($AB65)))</f>
        <v/>
      </c>
      <c r="AD65" s="99">
        <f>IF($AB65="DIRECT","",DAVERAGE('[1]literature entries'!$D:$AI,IF($J65=1,"ACTIVE     GHGE, FARM GATE (kg CO2e/kg)","GHGE, processor gate (kg CO2e/kg)"),INDIRECT($AB65)))</f>
        <v/>
      </c>
      <c r="AE65" s="99">
        <f>IF($AB65="DIRECT",$S65,DSTDEV('[1]literature entries'!$D:$AI,IF($J65=1,"ACTIVE     GHGE, FARM GATE (kg CO2e/kg)","GHGE, processor gate (kg CO2e/kg)"),INDIRECT($AB65)))</f>
        <v/>
      </c>
      <c r="AF65" s="99">
        <f>IF($AB65="DIRECT",$S65,$AE65/$AD65*$R65)</f>
        <v/>
      </c>
    </row>
    <row r="66" ht="15.75" customHeight="1" s="201">
      <c r="A66" s="100" t="n">
        <v>500069000</v>
      </c>
      <c r="B66" s="101" t="inlineStr">
        <is>
          <t>Cabbage</t>
        </is>
      </c>
      <c r="C66" s="101" t="inlineStr">
        <is>
          <t>weight of leaves</t>
        </is>
      </c>
      <c r="D66" s="101" t="n"/>
      <c r="E66" s="101" t="n">
        <v>3033</v>
      </c>
      <c r="F66" s="84">
        <f>N66*H66+T66</f>
        <v/>
      </c>
      <c r="G66" s="85">
        <f>R66*H66+U66</f>
        <v/>
      </c>
      <c r="H66" s="102" t="n">
        <v>1.25</v>
      </c>
      <c r="I66" s="102" t="inlineStr">
        <is>
          <t>FICRCD</t>
        </is>
      </c>
      <c r="J66" s="104" t="n">
        <v>1</v>
      </c>
      <c r="K66" s="89" t="n"/>
      <c r="L66" s="90">
        <f>IF(ISERROR(GETPIVOTDATA(IF($J66=1,"Count of ACTIVE     CED, FARM GATE (MJ/kg)","Count of CED, processor gate (MJ/kg)"),'[1]Pivot Table_CED'!$A$3,"SUB TYPE",$B66)),"PROXY",IF(GETPIVOTDATA(IF($J66=1,"Count of ACTIVE     CED, FARM GATE (MJ/kg)","Count of CED, processor gate (MJ/kg)"),'[1]Pivot Table_CED'!$A$3,"SUB TYPE",$B66)=0,"PROXY","DB value"))</f>
        <v/>
      </c>
      <c r="M66" s="91">
        <f>IF($L66="PROXY",DCOUNT('[1]literature entries'!$D:$AI,IF($J66=1,"ACTIVE     CED, FARM GATE (MJ/kg)","CED, processor gate (MJ/kg)"),INDIRECT($K66)),GETPIVOTDATA(IF($J66=1,"Count of ACTIVE     CED, FARM GATE (MJ/kg)","Count of CED, processor gate (MJ/kg)"),'[1]Pivot Table_CED'!$A$3,"SUB TYPE",$B66))</f>
        <v/>
      </c>
      <c r="N66" s="92">
        <f>IF($L66="PROXY",DAVERAGE('[1]literature entries'!$D:$AI,IF($J66=1,"ACTIVE     CED, FARM GATE (MJ/kg)","CED, processor gate (MJ/kg)"),INDIRECT($K66)),GETPIVOTDATA(IF($J66=1,"Average of ACTIVE     CED, FARM GATE (MJ/kg)","Average of CED, processor gate (MJ/kg)"),'[1]Pivot Table_CED'!$A$3,"SUB TYPE",$B66))</f>
        <v/>
      </c>
      <c r="O66" s="92">
        <f>IF($L66="PROXY",DSTDEV('[1]literature entries'!D:AI,IF($J66=1,"ACTIVE     CED, FARM GATE (MJ/kg)","CED, processor gate (MJ/kg)"),INDIRECT($K66)),GETPIVOTDATA(IF($J66=1,"StdDev of ACTIVE     CED, FARM GATE (MJ/kg)","StdDev of CED, processor gate (MJ/kg)"),'[1]Pivot Table_CED'!$A$3,"SUB TYPE",$B66))</f>
        <v/>
      </c>
      <c r="P66" s="90">
        <f>IF(ISERROR(GETPIVOTDATA(IF($J66=1,"Count of ACTIVE     GHGE, FARM GATE (kg CO2e/kg)","Count of GHGE, processor gate (kg CO2e/kg)"),'[1]Pivot Table_GHG'!$A$3,"SUB TYPE",$B66)),"PROXY",IF(GETPIVOTDATA(IF($J66=1,"Count of ACTIVE     GHGE, FARM GATE (kg CO2e/kg)","Count of GHGE, processor gate (kg CO2e/kg)"),'[1]Pivot Table_GHG'!$A$3,"SUB TYPE",$B66)=0,"PROXY","DB value"))</f>
        <v/>
      </c>
      <c r="Q66" s="93">
        <f>IF($P66="PROXY",DCOUNT('[1]literature entries'!$D:$AI,IF($J66=1,"ACTIVE     GHGE, FARM GATE (kg CO2e/kg)","GHGE, processor gate (kg CO2e/kg)"),INDIRECT($K66)),GETPIVOTDATA(IF($J66=1,"ACTIVE     GHGE, FARM GATE (kg CO2e/kg)","Count of GHGE, processor gate (kg CO2e/kg)"),'[1]Pivot Table_GHG'!$A$3,"SUB TYPE",$B66))</f>
        <v/>
      </c>
      <c r="R66" s="94">
        <f>IF($P66="PROXY",DAVERAGE('[1]literature entries'!$D:$AI,IF($J66=1,"ACTIVE     GHGE, FARM GATE (kg CO2e/kg)","GHGE, processor gate (kg CO2e/kg)"),INDIRECT($K66)),GETPIVOTDATA(IF($J66=1,"Average of ACTIVE     GHGE, FARM GATE (kg CO2e/kg)","Average of GHGE, processor gate (kg CO2e/kg)"),'[1]Pivot Table_GHG'!$A$3,"SUB TYPE",$B66))</f>
        <v/>
      </c>
      <c r="S66" s="94">
        <f>IF($P66="PROXY",DSTDEV('[1]literature entries'!$D:$AI,IF($J66=1,"ACTIVE     GHGE, FARM GATE (kg CO2e/kg)","GHGE, processor gate (kg CO2e/kg)"),INDIRECT($K66)),GETPIVOTDATA(IF($J66=1,"StdDev of ACTIVE     GHGE, FARM GATE (kg CO2e/kg)","StdDev of GHGE, processor gate (kg CO2e/kg)"),'[1]Pivot Table_GHG'!$A$3,"SUB TYPE",$B66))</f>
        <v/>
      </c>
      <c r="T66" s="105" t="n"/>
      <c r="U66" s="106" t="n"/>
      <c r="V66" s="97" t="n"/>
      <c r="W66" s="98" t="inlineStr">
        <is>
          <t>brassica</t>
        </is>
      </c>
      <c r="X66" s="98">
        <f>IF($W66="DIRECT",M66,DCOUNT('[1]literature entries'!$D:$AI,IF($J66=1,"ACTIVE     CED, FARM GATE (MJ/kg)","CED, processor gate (MJ/kg)"),INDIRECT($W66)))</f>
        <v/>
      </c>
      <c r="Y66" s="98">
        <f>IF($W66="DIRECT","",DAVERAGE('[1]literature entries'!$D:$AI,IF($J66=1,"ACTIVE     CED, FARM GATE (MJ/kg)","CED, processor gate (MJ/kg)"),INDIRECT($W66)))</f>
        <v/>
      </c>
      <c r="Z66" s="98">
        <f>IF($W66="DIRECT",$O66,DSTDEV('[1]literature entries'!$D:$AI,IF($J66=1,"ACTIVE     CED, FARM GATE (MJ/kg)","CED, processor gate (MJ/kg)"),INDIRECT($W66)))</f>
        <v/>
      </c>
      <c r="AA66" s="98">
        <f>IF($W66="DIRECT",$O66,$Z66/$Y66*$N66)</f>
        <v/>
      </c>
      <c r="AB66" s="99" t="inlineStr">
        <is>
          <t>brassica</t>
        </is>
      </c>
      <c r="AC66" s="99">
        <f>IF($AB66="DIRECT",Q66,DCOUNT('[1]literature entries'!$D:$AI,IF($J66=1,"ACTIVE     GHGE, FARM GATE (kg CO2e/kg)","GHGE, processor gate (kg CO2e/kg)"),INDIRECT($AB66)))</f>
        <v/>
      </c>
      <c r="AD66" s="99">
        <f>IF($AB66="DIRECT","",DAVERAGE('[1]literature entries'!$D:$AI,IF($J66=1,"ACTIVE     GHGE, FARM GATE (kg CO2e/kg)","GHGE, processor gate (kg CO2e/kg)"),INDIRECT($AB66)))</f>
        <v/>
      </c>
      <c r="AE66" s="99">
        <f>IF($AB66="DIRECT",$S66,DSTDEV('[1]literature entries'!$D:$AI,IF($J66=1,"ACTIVE     GHGE, FARM GATE (kg CO2e/kg)","GHGE, processor gate (kg CO2e/kg)"),INDIRECT($AB66)))</f>
        <v/>
      </c>
      <c r="AF66" s="99">
        <f>IF($AB66="DIRECT",$S66,$AE66/$AD66*$R66)</f>
        <v/>
      </c>
    </row>
    <row r="67" ht="15.75" customHeight="1" s="201">
      <c r="A67" s="100" t="n">
        <v>500071000</v>
      </c>
      <c r="B67" s="101" t="inlineStr">
        <is>
          <t>Cabbage, Chinese, napa</t>
        </is>
      </c>
      <c r="C67" s="101" t="inlineStr">
        <is>
          <t>weight of leaves</t>
        </is>
      </c>
      <c r="D67" s="101" t="n"/>
      <c r="E67" s="101" t="n">
        <v>240</v>
      </c>
      <c r="F67" s="84">
        <f>N67*H67+T67</f>
        <v/>
      </c>
      <c r="G67" s="85">
        <f>R67*H67+U67</f>
        <v/>
      </c>
      <c r="H67" s="102" t="n">
        <v>1.14</v>
      </c>
      <c r="I67" s="103" t="inlineStr">
        <is>
          <t>FICRCD</t>
        </is>
      </c>
      <c r="J67" s="104" t="n">
        <v>1</v>
      </c>
      <c r="K67" s="89" t="inlineStr">
        <is>
          <t>brassica_greens</t>
        </is>
      </c>
      <c r="L67" s="90">
        <f>IF(ISERROR(GETPIVOTDATA(IF($J67=1,"Count of ACTIVE     CED, FARM GATE (MJ/kg)","Count of CED, processor gate (MJ/kg)"),'[1]Pivot Table_CED'!$A$3,"SUB TYPE",$B67)),"PROXY",IF(GETPIVOTDATA(IF($J67=1,"Count of ACTIVE     CED, FARM GATE (MJ/kg)","Count of CED, processor gate (MJ/kg)"),'[1]Pivot Table_CED'!$A$3,"SUB TYPE",$B67)=0,"PROXY","DB value"))</f>
        <v/>
      </c>
      <c r="M67" s="91">
        <f>IF($L67="PROXY",DCOUNT('[1]literature entries'!$D:$AI,IF($J67=1,"ACTIVE     CED, FARM GATE (MJ/kg)","CED, processor gate (MJ/kg)"),INDIRECT($K67)),GETPIVOTDATA(IF($J67=1,"Count of ACTIVE     CED, FARM GATE (MJ/kg)","Count of CED, processor gate (MJ/kg)"),'[1]Pivot Table_CED'!$A$3,"SUB TYPE",$B67))</f>
        <v/>
      </c>
      <c r="N67" s="92">
        <f>IF($L67="PROXY",DAVERAGE('[1]literature entries'!$D:$AI,IF($J67=1,"ACTIVE     CED, FARM GATE (MJ/kg)","CED, processor gate (MJ/kg)"),INDIRECT($K67)),GETPIVOTDATA(IF($J67=1,"Average of ACTIVE     CED, FARM GATE (MJ/kg)","Average of CED, processor gate (MJ/kg)"),'[1]Pivot Table_CED'!$A$3,"SUB TYPE",$B67))</f>
        <v/>
      </c>
      <c r="O67" s="92">
        <f>IF($L67="PROXY",DSTDEV('[1]literature entries'!D:AI,IF($J67=1,"ACTIVE     CED, FARM GATE (MJ/kg)","CED, processor gate (MJ/kg)"),INDIRECT($K67)),GETPIVOTDATA(IF($J67=1,"StdDev of ACTIVE     CED, FARM GATE (MJ/kg)","StdDev of CED, processor gate (MJ/kg)"),'[1]Pivot Table_CED'!$A$3,"SUB TYPE",$B67))</f>
        <v/>
      </c>
      <c r="P67" s="90">
        <f>IF(ISERROR(GETPIVOTDATA(IF($J67=1,"Count of ACTIVE     GHGE, FARM GATE (kg CO2e/kg)","Count of GHGE, processor gate (kg CO2e/kg)"),'[1]Pivot Table_GHG'!$A$3,"SUB TYPE",$B67)),"PROXY",IF(GETPIVOTDATA(IF($J67=1,"Count of ACTIVE     GHGE, FARM GATE (kg CO2e/kg)","Count of GHGE, processor gate (kg CO2e/kg)"),'[1]Pivot Table_GHG'!$A$3,"SUB TYPE",$B67)=0,"PROXY","DB value"))</f>
        <v/>
      </c>
      <c r="Q67" s="93">
        <f>IF($P67="PROXY",DCOUNT('[1]literature entries'!$D:$AI,IF($J67=1,"ACTIVE     GHGE, FARM GATE (kg CO2e/kg)","GHGE, processor gate (kg CO2e/kg)"),INDIRECT($K67)),GETPIVOTDATA(IF($J67=1,"ACTIVE     GHGE, FARM GATE (kg CO2e/kg)","Count of GHGE, processor gate (kg CO2e/kg)"),'[1]Pivot Table_GHG'!$A$3,"SUB TYPE",$B67))</f>
        <v/>
      </c>
      <c r="R67" s="94">
        <f>IF($P67="PROXY",DAVERAGE('[1]literature entries'!$D:$AI,IF($J67=1,"ACTIVE     GHGE, FARM GATE (kg CO2e/kg)","GHGE, processor gate (kg CO2e/kg)"),INDIRECT($K67)),GETPIVOTDATA(IF($J67=1,"Average of ACTIVE     GHGE, FARM GATE (kg CO2e/kg)","Average of GHGE, processor gate (kg CO2e/kg)"),'[1]Pivot Table_GHG'!$A$3,"SUB TYPE",$B67))</f>
        <v/>
      </c>
      <c r="S67" s="94">
        <f>IF($P67="PROXY",DSTDEV('[1]literature entries'!$D:$AI,IF($J67=1,"ACTIVE     GHGE, FARM GATE (kg CO2e/kg)","GHGE, processor gate (kg CO2e/kg)"),INDIRECT($K67)),GETPIVOTDATA(IF($J67=1,"StdDev of ACTIVE     GHGE, FARM GATE (kg CO2e/kg)","StdDev of GHGE, processor gate (kg CO2e/kg)"),'[1]Pivot Table_GHG'!$A$3,"SUB TYPE",$B67))</f>
        <v/>
      </c>
      <c r="T67" s="105" t="n"/>
      <c r="U67" s="106" t="n"/>
      <c r="V67" s="97" t="n"/>
      <c r="W67" s="98" t="inlineStr">
        <is>
          <t>all_brassica</t>
        </is>
      </c>
      <c r="X67" s="98">
        <f>IF($W67="DIRECT",M67,DCOUNT('[1]literature entries'!$D:$AI,IF($J67=1,"ACTIVE     CED, FARM GATE (MJ/kg)","CED, processor gate (MJ/kg)"),INDIRECT($W67)))</f>
        <v/>
      </c>
      <c r="Y67" s="98">
        <f>IF($W67="DIRECT","",DAVERAGE('[1]literature entries'!$D:$AI,IF($J67=1,"ACTIVE     CED, FARM GATE (MJ/kg)","CED, processor gate (MJ/kg)"),INDIRECT($W67)))</f>
        <v/>
      </c>
      <c r="Z67" s="98">
        <f>IF($W67="DIRECT",$O67,DSTDEV('[1]literature entries'!$D:$AI,IF($J67=1,"ACTIVE     CED, FARM GATE (MJ/kg)","CED, processor gate (MJ/kg)"),INDIRECT($W67)))</f>
        <v/>
      </c>
      <c r="AA67" s="98">
        <f>IF($W67="DIRECT",$O67,$Z67/$Y67*$N67)</f>
        <v/>
      </c>
      <c r="AB67" s="99" t="inlineStr">
        <is>
          <t>all_brassica</t>
        </is>
      </c>
      <c r="AC67" s="99">
        <f>IF($AB67="DIRECT",Q67,DCOUNT('[1]literature entries'!$D:$AI,IF($J67=1,"ACTIVE     GHGE, FARM GATE (kg CO2e/kg)","GHGE, processor gate (kg CO2e/kg)"),INDIRECT($AB67)))</f>
        <v/>
      </c>
      <c r="AD67" s="99">
        <f>IF($AB67="DIRECT","",DAVERAGE('[1]literature entries'!$D:$AI,IF($J67=1,"ACTIVE     GHGE, FARM GATE (kg CO2e/kg)","GHGE, processor gate (kg CO2e/kg)"),INDIRECT($AB67)))</f>
        <v/>
      </c>
      <c r="AE67" s="99">
        <f>IF($AB67="DIRECT",$S67,DSTDEV('[1]literature entries'!$D:$AI,IF($J67=1,"ACTIVE     GHGE, FARM GATE (kg CO2e/kg)","GHGE, processor gate (kg CO2e/kg)"),INDIRECT($AB67)))</f>
        <v/>
      </c>
      <c r="AF67" s="99">
        <f>IF($AB67="DIRECT",$S67,$AE67/$AD67*$R67)</f>
        <v/>
      </c>
    </row>
    <row r="68" ht="15.75" customHeight="1" s="201">
      <c r="A68" s="100" t="n">
        <v>500072000</v>
      </c>
      <c r="B68" s="101" t="inlineStr">
        <is>
          <t>Cabbage, Chinese, mustard</t>
        </is>
      </c>
      <c r="C68" s="101" t="inlineStr">
        <is>
          <t>weight of leaves</t>
        </is>
      </c>
      <c r="D68" s="101" t="n"/>
      <c r="E68" s="101" t="n">
        <v>240</v>
      </c>
      <c r="F68" s="84">
        <f>N68*H68+T68</f>
        <v/>
      </c>
      <c r="G68" s="85">
        <f>R68*H68+U68</f>
        <v/>
      </c>
      <c r="H68" s="102" t="n">
        <v>1.08</v>
      </c>
      <c r="I68" s="103" t="inlineStr">
        <is>
          <t>FICRCD</t>
        </is>
      </c>
      <c r="J68" s="104" t="n">
        <v>1</v>
      </c>
      <c r="K68" s="89" t="inlineStr">
        <is>
          <t>brassica_greens</t>
        </is>
      </c>
      <c r="L68" s="90">
        <f>IF(ISERROR(GETPIVOTDATA(IF($J68=1,"Count of ACTIVE     CED, FARM GATE (MJ/kg)","Count of CED, processor gate (MJ/kg)"),'[1]Pivot Table_CED'!$A$3,"SUB TYPE",$B68)),"PROXY",IF(GETPIVOTDATA(IF($J68=1,"Count of ACTIVE     CED, FARM GATE (MJ/kg)","Count of CED, processor gate (MJ/kg)"),'[1]Pivot Table_CED'!$A$3,"SUB TYPE",$B68)=0,"PROXY","DB value"))</f>
        <v/>
      </c>
      <c r="M68" s="91">
        <f>IF($L68="PROXY",DCOUNT('[1]literature entries'!$D:$AI,IF($J68=1,"ACTIVE     CED, FARM GATE (MJ/kg)","CED, processor gate (MJ/kg)"),INDIRECT($K68)),GETPIVOTDATA(IF($J68=1,"Count of ACTIVE     CED, FARM GATE (MJ/kg)","Count of CED, processor gate (MJ/kg)"),'[1]Pivot Table_CED'!$A$3,"SUB TYPE",$B68))</f>
        <v/>
      </c>
      <c r="N68" s="92">
        <f>IF($L68="PROXY",DAVERAGE('[1]literature entries'!$D:$AI,IF($J68=1,"ACTIVE     CED, FARM GATE (MJ/kg)","CED, processor gate (MJ/kg)"),INDIRECT($K68)),GETPIVOTDATA(IF($J68=1,"Average of ACTIVE     CED, FARM GATE (MJ/kg)","Average of CED, processor gate (MJ/kg)"),'[1]Pivot Table_CED'!$A$3,"SUB TYPE",$B68))</f>
        <v/>
      </c>
      <c r="O68" s="92">
        <f>IF($L68="PROXY",DSTDEV('[1]literature entries'!D:AI,IF($J68=1,"ACTIVE     CED, FARM GATE (MJ/kg)","CED, processor gate (MJ/kg)"),INDIRECT($K68)),GETPIVOTDATA(IF($J68=1,"StdDev of ACTIVE     CED, FARM GATE (MJ/kg)","StdDev of CED, processor gate (MJ/kg)"),'[1]Pivot Table_CED'!$A$3,"SUB TYPE",$B68))</f>
        <v/>
      </c>
      <c r="P68" s="90">
        <f>IF(ISERROR(GETPIVOTDATA(IF($J68=1,"Count of ACTIVE     GHGE, FARM GATE (kg CO2e/kg)","Count of GHGE, processor gate (kg CO2e/kg)"),'[1]Pivot Table_GHG'!$A$3,"SUB TYPE",$B68)),"PROXY",IF(GETPIVOTDATA(IF($J68=1,"Count of ACTIVE     GHGE, FARM GATE (kg CO2e/kg)","Count of GHGE, processor gate (kg CO2e/kg)"),'[1]Pivot Table_GHG'!$A$3,"SUB TYPE",$B68)=0,"PROXY","DB value"))</f>
        <v/>
      </c>
      <c r="Q68" s="93">
        <f>IF($P68="PROXY",DCOUNT('[1]literature entries'!$D:$AI,IF($J68=1,"ACTIVE     GHGE, FARM GATE (kg CO2e/kg)","GHGE, processor gate (kg CO2e/kg)"),INDIRECT($K68)),GETPIVOTDATA(IF($J68=1,"ACTIVE     GHGE, FARM GATE (kg CO2e/kg)","Count of GHGE, processor gate (kg CO2e/kg)"),'[1]Pivot Table_GHG'!$A$3,"SUB TYPE",$B68))</f>
        <v/>
      </c>
      <c r="R68" s="94">
        <f>IF($P68="PROXY",DAVERAGE('[1]literature entries'!$D:$AI,IF($J68=1,"ACTIVE     GHGE, FARM GATE (kg CO2e/kg)","GHGE, processor gate (kg CO2e/kg)"),INDIRECT($K68)),GETPIVOTDATA(IF($J68=1,"Average of ACTIVE     GHGE, FARM GATE (kg CO2e/kg)","Average of GHGE, processor gate (kg CO2e/kg)"),'[1]Pivot Table_GHG'!$A$3,"SUB TYPE",$B68))</f>
        <v/>
      </c>
      <c r="S68" s="94">
        <f>IF($P68="PROXY",DSTDEV('[1]literature entries'!$D:$AI,IF($J68=1,"ACTIVE     GHGE, FARM GATE (kg CO2e/kg)","GHGE, processor gate (kg CO2e/kg)"),INDIRECT($K68)),GETPIVOTDATA(IF($J68=1,"StdDev of ACTIVE     GHGE, FARM GATE (kg CO2e/kg)","StdDev of GHGE, processor gate (kg CO2e/kg)"),'[1]Pivot Table_GHG'!$A$3,"SUB TYPE",$B68))</f>
        <v/>
      </c>
      <c r="T68" s="105" t="n"/>
      <c r="U68" s="106" t="n"/>
      <c r="V68" s="97" t="n"/>
      <c r="W68" s="98" t="inlineStr">
        <is>
          <t>all_brassica</t>
        </is>
      </c>
      <c r="X68" s="98">
        <f>IF($W68="DIRECT",M68,DCOUNT('[1]literature entries'!$D:$AI,IF($J68=1,"ACTIVE     CED, FARM GATE (MJ/kg)","CED, processor gate (MJ/kg)"),INDIRECT($W68)))</f>
        <v/>
      </c>
      <c r="Y68" s="98">
        <f>IF($W68="DIRECT","",DAVERAGE('[1]literature entries'!$D:$AI,IF($J68=1,"ACTIVE     CED, FARM GATE (MJ/kg)","CED, processor gate (MJ/kg)"),INDIRECT($W68)))</f>
        <v/>
      </c>
      <c r="Z68" s="98">
        <f>IF($W68="DIRECT",$O68,DSTDEV('[1]literature entries'!$D:$AI,IF($J68=1,"ACTIVE     CED, FARM GATE (MJ/kg)","CED, processor gate (MJ/kg)"),INDIRECT($W68)))</f>
        <v/>
      </c>
      <c r="AA68" s="98">
        <f>IF($W68="DIRECT",$O68,$Z68/$Y68*$N68)</f>
        <v/>
      </c>
      <c r="AB68" s="99" t="inlineStr">
        <is>
          <t>all_brassica</t>
        </is>
      </c>
      <c r="AC68" s="99">
        <f>IF($AB68="DIRECT",Q68,DCOUNT('[1]literature entries'!$D:$AI,IF($J68=1,"ACTIVE     GHGE, FARM GATE (kg CO2e/kg)","GHGE, processor gate (kg CO2e/kg)"),INDIRECT($AB68)))</f>
        <v/>
      </c>
      <c r="AD68" s="99">
        <f>IF($AB68="DIRECT","",DAVERAGE('[1]literature entries'!$D:$AI,IF($J68=1,"ACTIVE     GHGE, FARM GATE (kg CO2e/kg)","GHGE, processor gate (kg CO2e/kg)"),INDIRECT($AB68)))</f>
        <v/>
      </c>
      <c r="AE68" s="99">
        <f>IF($AB68="DIRECT",$S68,DSTDEV('[1]literature entries'!$D:$AI,IF($J68=1,"ACTIVE     GHGE, FARM GATE (kg CO2e/kg)","GHGE, processor gate (kg CO2e/kg)"),INDIRECT($AB68)))</f>
        <v/>
      </c>
      <c r="AF68" s="99">
        <f>IF($AB68="DIRECT",$S68,$AE68/$AD68*$R68)</f>
        <v/>
      </c>
    </row>
    <row r="69" ht="15.75" customHeight="1" s="201">
      <c r="A69" s="100" t="n">
        <v>500083000</v>
      </c>
      <c r="B69" s="101" t="inlineStr">
        <is>
          <t>Cauliflower</t>
        </is>
      </c>
      <c r="C69" s="101" t="inlineStr">
        <is>
          <t>weight of flower heads and adjoining stems</t>
        </is>
      </c>
      <c r="D69" s="101" t="inlineStr">
        <is>
          <t>Includes Broccoflower and green cauliflower.</t>
        </is>
      </c>
      <c r="E69" s="101" t="n">
        <v>1217</v>
      </c>
      <c r="F69" s="84">
        <f>N69*H69+T69</f>
        <v/>
      </c>
      <c r="G69" s="85">
        <f>R69*H69+U69</f>
        <v/>
      </c>
      <c r="H69" s="102" t="n">
        <v>2.56</v>
      </c>
      <c r="I69" s="102" t="inlineStr">
        <is>
          <t>FICRCD</t>
        </is>
      </c>
      <c r="J69" s="104" t="n">
        <v>1</v>
      </c>
      <c r="K69" s="89" t="n"/>
      <c r="L69" s="90">
        <f>IF(ISERROR(GETPIVOTDATA(IF($J69=1,"Count of ACTIVE     CED, FARM GATE (MJ/kg)","Count of CED, processor gate (MJ/kg)"),'[1]Pivot Table_CED'!$A$3,"SUB TYPE",$B69)),"PROXY",IF(GETPIVOTDATA(IF($J69=1,"Count of ACTIVE     CED, FARM GATE (MJ/kg)","Count of CED, processor gate (MJ/kg)"),'[1]Pivot Table_CED'!$A$3,"SUB TYPE",$B69)=0,"PROXY","DB value"))</f>
        <v/>
      </c>
      <c r="M69" s="91">
        <f>IF($L69="PROXY",DCOUNT('[1]literature entries'!$D:$AI,IF($J69=1,"ACTIVE     CED, FARM GATE (MJ/kg)","CED, processor gate (MJ/kg)"),INDIRECT($K69)),GETPIVOTDATA(IF($J69=1,"Count of ACTIVE     CED, FARM GATE (MJ/kg)","Count of CED, processor gate (MJ/kg)"),'[1]Pivot Table_CED'!$A$3,"SUB TYPE",$B69))</f>
        <v/>
      </c>
      <c r="N69" s="92">
        <f>IF($L69="PROXY",DAVERAGE('[1]literature entries'!$D:$AI,IF($J69=1,"ACTIVE     CED, FARM GATE (MJ/kg)","CED, processor gate (MJ/kg)"),INDIRECT($K69)),GETPIVOTDATA(IF($J69=1,"Average of ACTIVE     CED, FARM GATE (MJ/kg)","Average of CED, processor gate (MJ/kg)"),'[1]Pivot Table_CED'!$A$3,"SUB TYPE",$B69))</f>
        <v/>
      </c>
      <c r="O69" s="92">
        <f>IF($L69="PROXY",DSTDEV('[1]literature entries'!D:AI,IF($J69=1,"ACTIVE     CED, FARM GATE (MJ/kg)","CED, processor gate (MJ/kg)"),INDIRECT($K69)),GETPIVOTDATA(IF($J69=1,"StdDev of ACTIVE     CED, FARM GATE (MJ/kg)","StdDev of CED, processor gate (MJ/kg)"),'[1]Pivot Table_CED'!$A$3,"SUB TYPE",$B69))</f>
        <v/>
      </c>
      <c r="P69" s="90">
        <f>IF(ISERROR(GETPIVOTDATA(IF($J69=1,"Count of ACTIVE     GHGE, FARM GATE (kg CO2e/kg)","Count of GHGE, processor gate (kg CO2e/kg)"),'[1]Pivot Table_GHG'!$A$3,"SUB TYPE",$B69)),"PROXY",IF(GETPIVOTDATA(IF($J69=1,"Count of ACTIVE     GHGE, FARM GATE (kg CO2e/kg)","Count of GHGE, processor gate (kg CO2e/kg)"),'[1]Pivot Table_GHG'!$A$3,"SUB TYPE",$B69)=0,"PROXY","DB value"))</f>
        <v/>
      </c>
      <c r="Q69" s="93">
        <f>IF($P69="PROXY",DCOUNT('[1]literature entries'!$D:$AI,IF($J69=1,"ACTIVE     GHGE, FARM GATE (kg CO2e/kg)","GHGE, processor gate (kg CO2e/kg)"),INDIRECT($K69)),GETPIVOTDATA(IF($J69=1,"ACTIVE     GHGE, FARM GATE (kg CO2e/kg)","Count of GHGE, processor gate (kg CO2e/kg)"),'[1]Pivot Table_GHG'!$A$3,"SUB TYPE",$B69))</f>
        <v/>
      </c>
      <c r="R69" s="94">
        <f>IF($P69="PROXY",DAVERAGE('[1]literature entries'!$D:$AI,IF($J69=1,"ACTIVE     GHGE, FARM GATE (kg CO2e/kg)","GHGE, processor gate (kg CO2e/kg)"),INDIRECT($K69)),GETPIVOTDATA(IF($J69=1,"Average of ACTIVE     GHGE, FARM GATE (kg CO2e/kg)","Average of GHGE, processor gate (kg CO2e/kg)"),'[1]Pivot Table_GHG'!$A$3,"SUB TYPE",$B69))</f>
        <v/>
      </c>
      <c r="S69" s="94">
        <f>IF($P69="PROXY",DSTDEV('[1]literature entries'!$D:$AI,IF($J69=1,"ACTIVE     GHGE, FARM GATE (kg CO2e/kg)","GHGE, processor gate (kg CO2e/kg)"),INDIRECT($K69)),GETPIVOTDATA(IF($J69=1,"StdDev of ACTIVE     GHGE, FARM GATE (kg CO2e/kg)","StdDev of GHGE, processor gate (kg CO2e/kg)"),'[1]Pivot Table_GHG'!$A$3,"SUB TYPE",$B69))</f>
        <v/>
      </c>
      <c r="T69" s="105" t="n"/>
      <c r="U69" s="106" t="n"/>
      <c r="V69" s="97" t="n"/>
      <c r="W69" s="98" t="inlineStr">
        <is>
          <t>brassica</t>
        </is>
      </c>
      <c r="X69" s="98">
        <f>IF($W69="DIRECT",M69,DCOUNT('[1]literature entries'!$D:$AI,IF($J69=1,"ACTIVE     CED, FARM GATE (MJ/kg)","CED, processor gate (MJ/kg)"),INDIRECT($W69)))</f>
        <v/>
      </c>
      <c r="Y69" s="98">
        <f>IF($W69="DIRECT","",DAVERAGE('[1]literature entries'!$D:$AI,IF($J69=1,"ACTIVE     CED, FARM GATE (MJ/kg)","CED, processor gate (MJ/kg)"),INDIRECT($W69)))</f>
        <v/>
      </c>
      <c r="Z69" s="98">
        <f>IF($W69="DIRECT",$O69,DSTDEV('[1]literature entries'!$D:$AI,IF($J69=1,"ACTIVE     CED, FARM GATE (MJ/kg)","CED, processor gate (MJ/kg)"),INDIRECT($W69)))</f>
        <v/>
      </c>
      <c r="AA69" s="98">
        <f>IF($W69="DIRECT",$O69,$Z69/$Y69*$N69)</f>
        <v/>
      </c>
      <c r="AB69" s="99" t="inlineStr">
        <is>
          <t>brassica</t>
        </is>
      </c>
      <c r="AC69" s="99">
        <f>IF($AB69="DIRECT",Q69,DCOUNT('[1]literature entries'!$D:$AI,IF($J69=1,"ACTIVE     GHGE, FARM GATE (kg CO2e/kg)","GHGE, processor gate (kg CO2e/kg)"),INDIRECT($AB69)))</f>
        <v/>
      </c>
      <c r="AD69" s="99">
        <f>IF($AB69="DIRECT","",DAVERAGE('[1]literature entries'!$D:$AI,IF($J69=1,"ACTIVE     GHGE, FARM GATE (kg CO2e/kg)","GHGE, processor gate (kg CO2e/kg)"),INDIRECT($AB69)))</f>
        <v/>
      </c>
      <c r="AE69" s="99">
        <f>IF($AB69="DIRECT",$S69,DSTDEV('[1]literature entries'!$D:$AI,IF($J69=1,"ACTIVE     GHGE, FARM GATE (kg CO2e/kg)","GHGE, processor gate (kg CO2e/kg)"),INDIRECT($AB69)))</f>
        <v/>
      </c>
      <c r="AF69" s="99">
        <f>IF($AB69="DIRECT",$S69,$AE69/$AD69*$R69)</f>
        <v/>
      </c>
    </row>
    <row r="70" ht="15.75" customHeight="1" s="201">
      <c r="A70" s="100" t="n">
        <v>600347000</v>
      </c>
      <c r="B70" s="101" t="inlineStr">
        <is>
          <t>Soybean, seed</t>
        </is>
      </c>
      <c r="C70" s="101" t="inlineStr">
        <is>
          <t>dry weight of seed or bean</t>
        </is>
      </c>
      <c r="D70" s="101" t="n"/>
      <c r="E70" s="101" t="n">
        <v>6346</v>
      </c>
      <c r="F70" s="84">
        <f>N70*H70+T70</f>
        <v/>
      </c>
      <c r="G70" s="85">
        <f>R70*H70+U70</f>
        <v/>
      </c>
      <c r="H70" s="102" t="n">
        <v>1</v>
      </c>
      <c r="I70" s="103" t="inlineStr">
        <is>
          <t>None</t>
        </is>
      </c>
      <c r="J70" s="104" t="n">
        <v>1</v>
      </c>
      <c r="K70" s="89" t="n"/>
      <c r="L70" s="90">
        <f>IF(ISERROR(GETPIVOTDATA(IF($J70=1,"Count of ACTIVE     CED, FARM GATE (MJ/kg)","Count of CED, processor gate (MJ/kg)"),'[1]Pivot Table_CED'!$A$3,"SUB TYPE",$B70)),"PROXY",IF(GETPIVOTDATA(IF($J70=1,"Count of ACTIVE     CED, FARM GATE (MJ/kg)","Count of CED, processor gate (MJ/kg)"),'[1]Pivot Table_CED'!$A$3,"SUB TYPE",$B70)=0,"PROXY","DB value"))</f>
        <v/>
      </c>
      <c r="M70" s="91">
        <f>IF($L70="PROXY",DCOUNT('[1]literature entries'!$D:$AI,IF($J70=1,"ACTIVE     CED, FARM GATE (MJ/kg)","CED, processor gate (MJ/kg)"),INDIRECT($K70)),GETPIVOTDATA(IF($J70=1,"Count of ACTIVE     CED, FARM GATE (MJ/kg)","Count of CED, processor gate (MJ/kg)"),'[1]Pivot Table_CED'!$A$3,"SUB TYPE",$B70))</f>
        <v/>
      </c>
      <c r="N70" s="92">
        <f>IF($L70="PROXY",DAVERAGE('[1]literature entries'!$D:$AI,IF($J70=1,"ACTIVE     CED, FARM GATE (MJ/kg)","CED, processor gate (MJ/kg)"),INDIRECT($K70)),GETPIVOTDATA(IF($J70=1,"Average of ACTIVE     CED, FARM GATE (MJ/kg)","Average of CED, processor gate (MJ/kg)"),'[1]Pivot Table_CED'!$A$3,"SUB TYPE",$B70))</f>
        <v/>
      </c>
      <c r="O70" s="92">
        <f>IF($L70="PROXY",DSTDEV('[1]literature entries'!D:AI,IF($J70=1,"ACTIVE     CED, FARM GATE (MJ/kg)","CED, processor gate (MJ/kg)"),INDIRECT($K70)),GETPIVOTDATA(IF($J70=1,"StdDev of ACTIVE     CED, FARM GATE (MJ/kg)","StdDev of CED, processor gate (MJ/kg)"),'[1]Pivot Table_CED'!$A$3,"SUB TYPE",$B70))</f>
        <v/>
      </c>
      <c r="P70" s="90">
        <f>IF(ISERROR(GETPIVOTDATA(IF($J70=1,"Count of ACTIVE     GHGE, FARM GATE (kg CO2e/kg)","Count of GHGE, processor gate (kg CO2e/kg)"),'[1]Pivot Table_GHG'!$A$3,"SUB TYPE",$B70)),"PROXY",IF(GETPIVOTDATA(IF($J70=1,"Count of ACTIVE     GHGE, FARM GATE (kg CO2e/kg)","Count of GHGE, processor gate (kg CO2e/kg)"),'[1]Pivot Table_GHG'!$A$3,"SUB TYPE",$B70)=0,"PROXY","DB value"))</f>
        <v/>
      </c>
      <c r="Q70" s="93">
        <f>IF($P70="PROXY",DCOUNT('[1]literature entries'!$D:$AI,IF($J70=1,"ACTIVE     GHGE, FARM GATE (kg CO2e/kg)","GHGE, processor gate (kg CO2e/kg)"),INDIRECT($K70)),GETPIVOTDATA(IF($J70=1,"ACTIVE     GHGE, FARM GATE (kg CO2e/kg)","Count of GHGE, processor gate (kg CO2e/kg)"),'[1]Pivot Table_GHG'!$A$3,"SUB TYPE",$B70))</f>
        <v/>
      </c>
      <c r="R70" s="94">
        <f>IF($P70="PROXY",DAVERAGE('[1]literature entries'!$D:$AI,IF($J70=1,"ACTIVE     GHGE, FARM GATE (kg CO2e/kg)","GHGE, processor gate (kg CO2e/kg)"),INDIRECT($K70)),GETPIVOTDATA(IF($J70=1,"Average of ACTIVE     GHGE, FARM GATE (kg CO2e/kg)","Average of GHGE, processor gate (kg CO2e/kg)"),'[1]Pivot Table_GHG'!$A$3,"SUB TYPE",$B70))</f>
        <v/>
      </c>
      <c r="S70" s="94">
        <f>IF($P70="PROXY",DSTDEV('[1]literature entries'!$D:$AI,IF($J70=1,"ACTIVE     GHGE, FARM GATE (kg CO2e/kg)","GHGE, processor gate (kg CO2e/kg)"),INDIRECT($K70)),GETPIVOTDATA(IF($J70=1,"StdDev of ACTIVE     GHGE, FARM GATE (kg CO2e/kg)","StdDev of GHGE, processor gate (kg CO2e/kg)"),'[1]Pivot Table_GHG'!$A$3,"SUB TYPE",$B70))</f>
        <v/>
      </c>
      <c r="T70" s="105" t="n"/>
      <c r="U70" s="106" t="n"/>
      <c r="V70" s="97" t="n"/>
      <c r="W70" s="98" t="inlineStr">
        <is>
          <t>legume_seed</t>
        </is>
      </c>
      <c r="X70" s="98">
        <f>IF($W70="DIRECT",M70,DCOUNT('[1]literature entries'!$D:$AI,IF($J70=1,"ACTIVE     CED, FARM GATE (MJ/kg)","CED, processor gate (MJ/kg)"),INDIRECT($W70)))</f>
        <v/>
      </c>
      <c r="Y70" s="98">
        <f>IF($W70="DIRECT","",DAVERAGE('[1]literature entries'!$D:$AI,IF($J70=1,"ACTIVE     CED, FARM GATE (MJ/kg)","CED, processor gate (MJ/kg)"),INDIRECT($W70)))</f>
        <v/>
      </c>
      <c r="Z70" s="98">
        <f>IF($W70="DIRECT",$O70,DSTDEV('[1]literature entries'!$D:$AI,IF($J70=1,"ACTIVE     CED, FARM GATE (MJ/kg)","CED, processor gate (MJ/kg)"),INDIRECT($W70)))</f>
        <v/>
      </c>
      <c r="AA70" s="98">
        <f>IF($W70="DIRECT",$O70,$Z70/$Y70*$N70)</f>
        <v/>
      </c>
      <c r="AB70" s="99" t="inlineStr">
        <is>
          <t>legume_seed</t>
        </is>
      </c>
      <c r="AC70" s="99">
        <f>IF($AB70="DIRECT",Q70,DCOUNT('[1]literature entries'!$D:$AI,IF($J70=1,"ACTIVE     GHGE, FARM GATE (kg CO2e/kg)","GHGE, processor gate (kg CO2e/kg)"),INDIRECT($AB70)))</f>
        <v/>
      </c>
      <c r="AD70" s="99">
        <f>IF($AB70="DIRECT","",DAVERAGE('[1]literature entries'!$D:$AI,IF($J70=1,"ACTIVE     GHGE, FARM GATE (kg CO2e/kg)","GHGE, processor gate (kg CO2e/kg)"),INDIRECT($AB70)))</f>
        <v/>
      </c>
      <c r="AE70" s="99">
        <f>IF($AB70="DIRECT",$S70,DSTDEV('[1]literature entries'!$D:$AI,IF($J70=1,"ACTIVE     GHGE, FARM GATE (kg CO2e/kg)","GHGE, processor gate (kg CO2e/kg)"),INDIRECT($AB70)))</f>
        <v/>
      </c>
      <c r="AF70" s="99">
        <f>IF($AB70="DIRECT",$S70,$AE70/$AD70*$R70)</f>
        <v/>
      </c>
    </row>
    <row r="71" ht="15.75" customHeight="1" s="201">
      <c r="A71" s="100" t="n">
        <v>600348000</v>
      </c>
      <c r="B71" s="101" t="inlineStr">
        <is>
          <t>Soybean, flour</t>
        </is>
      </c>
      <c r="C71" s="112" t="inlineStr">
        <is>
          <t>dry weight of flour, soy meal, soy protein concentrate and isolate</t>
        </is>
      </c>
      <c r="D71" s="101" t="n"/>
      <c r="E71" s="101" t="n">
        <v>29542</v>
      </c>
      <c r="F71" s="84">
        <f>N71*H71+T71</f>
        <v/>
      </c>
      <c r="G71" s="85">
        <f>R71*H71+U71</f>
        <v/>
      </c>
      <c r="H71" s="103" t="n">
        <v>1</v>
      </c>
      <c r="I71" s="103" t="inlineStr">
        <is>
          <t>FICRCD</t>
        </is>
      </c>
      <c r="J71" s="104" t="n">
        <v>2</v>
      </c>
      <c r="K71" s="89" t="inlineStr">
        <is>
          <t>soybean_meal</t>
        </is>
      </c>
      <c r="L71" s="90">
        <f>IF(ISERROR(GETPIVOTDATA(IF($J71=1,"Count of ACTIVE     CED, FARM GATE (MJ/kg)","Count of CED, processor gate (MJ/kg)"),'[1]Pivot Table_CED'!$A$3,"SUB TYPE",$B71)),"PROXY",IF(GETPIVOTDATA(IF($J71=1,"Count of ACTIVE     CED, FARM GATE (MJ/kg)","Count of CED, processor gate (MJ/kg)"),'[1]Pivot Table_CED'!$A$3,"SUB TYPE",$B71)=0,"PROXY","DB value"))</f>
        <v/>
      </c>
      <c r="M71" s="91">
        <f>IF($L71="PROXY",DCOUNT('[1]literature entries'!$D:$AI,IF($J71=1,"ACTIVE     CED, FARM GATE (MJ/kg)","CED, processor gate (MJ/kg)"),INDIRECT($K71)),GETPIVOTDATA(IF($J71=1,"Count of ACTIVE     CED, FARM GATE (MJ/kg)","Count of CED, processor gate (MJ/kg)"),'[1]Pivot Table_CED'!$A$3,"SUB TYPE",$B71))</f>
        <v/>
      </c>
      <c r="N71" s="92">
        <f>IF($L71="PROXY",DAVERAGE('[1]literature entries'!$D:$AI,IF($J71=1,"ACTIVE     CED, FARM GATE (MJ/kg)","CED, processor gate (MJ/kg)"),INDIRECT($K71)),GETPIVOTDATA(IF($J71=1,"Average of ACTIVE     CED, FARM GATE (MJ/kg)","Average of CED, processor gate (MJ/kg)"),'[1]Pivot Table_CED'!$A$3,"SUB TYPE",$B71))</f>
        <v/>
      </c>
      <c r="O71" s="92">
        <f>IF($L71="PROXY",DSTDEV('[1]literature entries'!D:AI,IF($J71=1,"ACTIVE     CED, FARM GATE (MJ/kg)","CED, processor gate (MJ/kg)"),INDIRECT($K71)),GETPIVOTDATA(IF($J71=1,"StdDev of ACTIVE     CED, FARM GATE (MJ/kg)","StdDev of CED, processor gate (MJ/kg)"),'[1]Pivot Table_CED'!$A$3,"SUB TYPE",$B71))</f>
        <v/>
      </c>
      <c r="P71" s="90">
        <f>IF(ISERROR(GETPIVOTDATA(IF($J71=1,"Count of ACTIVE     GHGE, FARM GATE (kg CO2e/kg)","Count of GHGE, processor gate (kg CO2e/kg)"),'[1]Pivot Table_GHG'!$A$3,"SUB TYPE",$B71)),"PROXY",IF(GETPIVOTDATA(IF($J71=1,"Count of ACTIVE     GHGE, FARM GATE (kg CO2e/kg)","Count of GHGE, processor gate (kg CO2e/kg)"),'[1]Pivot Table_GHG'!$A$3,"SUB TYPE",$B71)=0,"PROXY","DB value"))</f>
        <v/>
      </c>
      <c r="Q71" s="93">
        <f>IF($P71="PROXY",DCOUNT('[1]literature entries'!$D:$AI,IF($J71=1,"ACTIVE     GHGE, FARM GATE (kg CO2e/kg)","GHGE, processor gate (kg CO2e/kg)"),INDIRECT($K71)),GETPIVOTDATA(IF($J71=1,"ACTIVE     GHGE, FARM GATE (kg CO2e/kg)","Count of GHGE, processor gate (kg CO2e/kg)"),'[1]Pivot Table_GHG'!$A$3,"SUB TYPE",$B71))</f>
        <v/>
      </c>
      <c r="R71" s="94">
        <f>IF($P71="PROXY",DAVERAGE('[1]literature entries'!$D:$AI,IF($J71=1,"ACTIVE     GHGE, FARM GATE (kg CO2e/kg)","GHGE, processor gate (kg CO2e/kg)"),INDIRECT($K71)),GETPIVOTDATA(IF($J71=1,"Average of ACTIVE     GHGE, FARM GATE (kg CO2e/kg)","Average of GHGE, processor gate (kg CO2e/kg)"),'[1]Pivot Table_GHG'!$A$3,"SUB TYPE",$B71))</f>
        <v/>
      </c>
      <c r="S71" s="94">
        <f>IF($P71="PROXY",DSTDEV('[1]literature entries'!$D:$AI,IF($J71=1,"ACTIVE     GHGE, FARM GATE (kg CO2e/kg)","GHGE, processor gate (kg CO2e/kg)"),INDIRECT($K71)),GETPIVOTDATA(IF($J71=1,"StdDev of ACTIVE     GHGE, FARM GATE (kg CO2e/kg)","StdDev of GHGE, processor gate (kg CO2e/kg)"),'[1]Pivot Table_GHG'!$A$3,"SUB TYPE",$B71))</f>
        <v/>
      </c>
      <c r="T71" s="105" t="n"/>
      <c r="U71" s="106" t="n"/>
      <c r="V71" s="97" t="n"/>
      <c r="W71" s="98" t="inlineStr">
        <is>
          <t>flours</t>
        </is>
      </c>
      <c r="X71" s="98">
        <f>IF($W71="DIRECT",M71,DCOUNT('[1]literature entries'!$D:$AI,IF($J71=1,"ACTIVE     CED, FARM GATE (MJ/kg)","CED, processor gate (MJ/kg)"),INDIRECT($W71)))</f>
        <v/>
      </c>
      <c r="Y71" s="98">
        <f>IF($W71="DIRECT","",DAVERAGE('[1]literature entries'!$D:$AI,IF($J71=1,"ACTIVE     CED, FARM GATE (MJ/kg)","CED, processor gate (MJ/kg)"),INDIRECT($W71)))</f>
        <v/>
      </c>
      <c r="Z71" s="98">
        <f>IF($W71="DIRECT",$O71,DSTDEV('[1]literature entries'!$D:$AI,IF($J71=1,"ACTIVE     CED, FARM GATE (MJ/kg)","CED, processor gate (MJ/kg)"),INDIRECT($W71)))</f>
        <v/>
      </c>
      <c r="AA71" s="98">
        <f>IF($W71="DIRECT",$O71,$Z71/$Y71*$N71)</f>
        <v/>
      </c>
      <c r="AB71" s="99" t="inlineStr">
        <is>
          <t>flours</t>
        </is>
      </c>
      <c r="AC71" s="99">
        <f>IF($AB71="DIRECT",Q71,DCOUNT('[1]literature entries'!$D:$AI,IF($J71=1,"ACTIVE     GHGE, FARM GATE (kg CO2e/kg)","GHGE, processor gate (kg CO2e/kg)"),INDIRECT($AB71)))</f>
        <v/>
      </c>
      <c r="AD71" s="99">
        <f>IF($AB71="DIRECT","",DAVERAGE('[1]literature entries'!$D:$AI,IF($J71=1,"ACTIVE     GHGE, FARM GATE (kg CO2e/kg)","GHGE, processor gate (kg CO2e/kg)"),INDIRECT($AB71)))</f>
        <v/>
      </c>
      <c r="AE71" s="99">
        <f>IF($AB71="DIRECT",$S71,DSTDEV('[1]literature entries'!$D:$AI,IF($J71=1,"ACTIVE     GHGE, FARM GATE (kg CO2e/kg)","GHGE, processor gate (kg CO2e/kg)"),INDIRECT($AB71)))</f>
        <v/>
      </c>
      <c r="AF71" s="99">
        <f>IF($AB71="DIRECT",$S71,$AE71/$AD71*$R71)</f>
        <v/>
      </c>
    </row>
    <row r="72" ht="15.75" customHeight="1" s="201">
      <c r="A72" s="100" t="n">
        <v>600349000</v>
      </c>
      <c r="B72" s="101" t="inlineStr">
        <is>
          <t>Soybean, soy milk</t>
        </is>
      </c>
      <c r="C72" s="101" t="inlineStr">
        <is>
          <t>total weight of milk</t>
        </is>
      </c>
      <c r="D72" s="101" t="n"/>
      <c r="E72" s="101" t="n">
        <v>1094</v>
      </c>
      <c r="F72" s="84">
        <f>N72*H72+T72</f>
        <v/>
      </c>
      <c r="G72" s="85">
        <f>R72*H72+U72</f>
        <v/>
      </c>
      <c r="H72" s="102" t="n">
        <v>1</v>
      </c>
      <c r="I72" s="103" t="inlineStr">
        <is>
          <t>None</t>
        </is>
      </c>
      <c r="J72" s="104" t="n">
        <v>2</v>
      </c>
      <c r="K72" s="89" t="n"/>
      <c r="L72" s="90">
        <f>IF(ISERROR(GETPIVOTDATA(IF($J72=1,"Count of ACTIVE     CED, FARM GATE (MJ/kg)","Count of CED, processor gate (MJ/kg)"),'[1]Pivot Table_CED'!$A$3,"SUB TYPE",$B72)),"PROXY",IF(GETPIVOTDATA(IF($J72=1,"Count of ACTIVE     CED, FARM GATE (MJ/kg)","Count of CED, processor gate (MJ/kg)"),'[1]Pivot Table_CED'!$A$3,"SUB TYPE",$B72)=0,"PROXY","DB value"))</f>
        <v/>
      </c>
      <c r="M72" s="91">
        <f>IF($L72="PROXY",DCOUNT('[1]literature entries'!$D:$AI,IF($J72=1,"ACTIVE     CED, FARM GATE (MJ/kg)","CED, processor gate (MJ/kg)"),INDIRECT($K72)),GETPIVOTDATA(IF($J72=1,"Count of ACTIVE     CED, FARM GATE (MJ/kg)","Count of CED, processor gate (MJ/kg)"),'[1]Pivot Table_CED'!$A$3,"SUB TYPE",$B72))</f>
        <v/>
      </c>
      <c r="N72" s="92">
        <f>IF($L72="PROXY",DAVERAGE('[1]literature entries'!$D:$AI,IF($J72=1,"ACTIVE     CED, FARM GATE (MJ/kg)","CED, processor gate (MJ/kg)"),INDIRECT($K72)),GETPIVOTDATA(IF($J72=1,"Average of ACTIVE     CED, FARM GATE (MJ/kg)","Average of CED, processor gate (MJ/kg)"),'[1]Pivot Table_CED'!$A$3,"SUB TYPE",$B72))</f>
        <v/>
      </c>
      <c r="O72" s="92">
        <f>IF($L72="PROXY",DSTDEV('[1]literature entries'!D:AI,IF($J72=1,"ACTIVE     CED, FARM GATE (MJ/kg)","CED, processor gate (MJ/kg)"),INDIRECT($K72)),GETPIVOTDATA(IF($J72=1,"StdDev of ACTIVE     CED, FARM GATE (MJ/kg)","StdDev of CED, processor gate (MJ/kg)"),'[1]Pivot Table_CED'!$A$3,"SUB TYPE",$B72))</f>
        <v/>
      </c>
      <c r="P72" s="90">
        <f>IF(ISERROR(GETPIVOTDATA(IF($J72=1,"Count of ACTIVE     GHGE, FARM GATE (kg CO2e/kg)","Count of GHGE, processor gate (kg CO2e/kg)"),'[1]Pivot Table_GHG'!$A$3,"SUB TYPE",$B72)),"PROXY",IF(GETPIVOTDATA(IF($J72=1,"Count of ACTIVE     GHGE, FARM GATE (kg CO2e/kg)","Count of GHGE, processor gate (kg CO2e/kg)"),'[1]Pivot Table_GHG'!$A$3,"SUB TYPE",$B72)=0,"PROXY","DB value"))</f>
        <v/>
      </c>
      <c r="Q72" s="93">
        <f>IF($P72="PROXY",DCOUNT('[1]literature entries'!$D:$AI,IF($J72=1,"ACTIVE     GHGE, FARM GATE (kg CO2e/kg)","GHGE, processor gate (kg CO2e/kg)"),INDIRECT($K72)),GETPIVOTDATA(IF($J72=1,"ACTIVE     GHGE, FARM GATE (kg CO2e/kg)","Count of GHGE, processor gate (kg CO2e/kg)"),'[1]Pivot Table_GHG'!$A$3,"SUB TYPE",$B72))</f>
        <v/>
      </c>
      <c r="R72" s="94">
        <f>IF($P72="PROXY",DAVERAGE('[1]literature entries'!$D:$AI,IF($J72=1,"ACTIVE     GHGE, FARM GATE (kg CO2e/kg)","GHGE, processor gate (kg CO2e/kg)"),INDIRECT($K72)),GETPIVOTDATA(IF($J72=1,"Average of ACTIVE     GHGE, FARM GATE (kg CO2e/kg)","Average of GHGE, processor gate (kg CO2e/kg)"),'[1]Pivot Table_GHG'!$A$3,"SUB TYPE",$B72))</f>
        <v/>
      </c>
      <c r="S72" s="94">
        <f>IF($P72="PROXY",DSTDEV('[1]literature entries'!$D:$AI,IF($J72=1,"ACTIVE     GHGE, FARM GATE (kg CO2e/kg)","GHGE, processor gate (kg CO2e/kg)"),INDIRECT($K72)),GETPIVOTDATA(IF($J72=1,"StdDev of ACTIVE     GHGE, FARM GATE (kg CO2e/kg)","StdDev of GHGE, processor gate (kg CO2e/kg)"),'[1]Pivot Table_GHG'!$A$3,"SUB TYPE",$B72))</f>
        <v/>
      </c>
      <c r="T72" s="105" t="n"/>
      <c r="U72" s="106" t="n"/>
      <c r="V72" s="97" t="n"/>
      <c r="W72" s="109" t="inlineStr">
        <is>
          <t>no var</t>
        </is>
      </c>
      <c r="X72" s="98" t="n"/>
      <c r="Y72" s="98" t="n"/>
      <c r="Z72" s="98" t="n">
        <v>0</v>
      </c>
      <c r="AA72" s="98" t="n">
        <v>0</v>
      </c>
      <c r="AB72" s="109" t="inlineStr">
        <is>
          <t>no var</t>
        </is>
      </c>
      <c r="AC72" s="99" t="n"/>
      <c r="AD72" s="99" t="n"/>
      <c r="AE72" s="99" t="n">
        <v>0</v>
      </c>
      <c r="AF72" s="99" t="n">
        <v>0</v>
      </c>
    </row>
    <row r="73" ht="15.75" customHeight="1" s="201">
      <c r="A73" s="100" t="n">
        <v>600350000</v>
      </c>
      <c r="B73" s="101" t="inlineStr">
        <is>
          <t>Soybean, oil</t>
        </is>
      </c>
      <c r="C73" s="101" t="inlineStr">
        <is>
          <t>weight of oil</t>
        </is>
      </c>
      <c r="D73" s="101" t="inlineStr">
        <is>
          <t>Includes lecithin.</t>
        </is>
      </c>
      <c r="E73" s="101" t="n">
        <v>50809</v>
      </c>
      <c r="F73" s="84">
        <f>N73*H73+T73</f>
        <v/>
      </c>
      <c r="G73" s="85">
        <f>R73*H73+U73</f>
        <v/>
      </c>
      <c r="H73" s="112" t="n">
        <v>1</v>
      </c>
      <c r="I73" s="103" t="inlineStr">
        <is>
          <t>none</t>
        </is>
      </c>
      <c r="J73" s="104" t="n">
        <v>2</v>
      </c>
      <c r="K73" s="89" t="n"/>
      <c r="L73" s="90">
        <f>IF(ISERROR(GETPIVOTDATA(IF($J73=1,"Count of ACTIVE     CED, FARM GATE (MJ/kg)","Count of CED, processor gate (MJ/kg)"),'[1]Pivot Table_CED'!$A$3,"SUB TYPE",$B73)),"PROXY",IF(GETPIVOTDATA(IF($J73=1,"Count of ACTIVE     CED, FARM GATE (MJ/kg)","Count of CED, processor gate (MJ/kg)"),'[1]Pivot Table_CED'!$A$3,"SUB TYPE",$B73)=0,"PROXY","DB value"))</f>
        <v/>
      </c>
      <c r="M73" s="91">
        <f>IF($L73="PROXY",DCOUNT('[1]literature entries'!$D:$AI,IF($J73=1,"ACTIVE     CED, FARM GATE (MJ/kg)","CED, processor gate (MJ/kg)"),INDIRECT($K73)),GETPIVOTDATA(IF($J73=1,"Count of ACTIVE     CED, FARM GATE (MJ/kg)","Count of CED, processor gate (MJ/kg)"),'[1]Pivot Table_CED'!$A$3,"SUB TYPE",$B73))</f>
        <v/>
      </c>
      <c r="N73" s="92">
        <f>IF($L73="PROXY",DAVERAGE('[1]literature entries'!$D:$AI,IF($J73=1,"ACTIVE     CED, FARM GATE (MJ/kg)","CED, processor gate (MJ/kg)"),INDIRECT($K73)),GETPIVOTDATA(IF($J73=1,"Average of ACTIVE     CED, FARM GATE (MJ/kg)","Average of CED, processor gate (MJ/kg)"),'[1]Pivot Table_CED'!$A$3,"SUB TYPE",$B73))</f>
        <v/>
      </c>
      <c r="O73" s="92">
        <f>IF($L73="PROXY",DSTDEV('[1]literature entries'!D:AI,IF($J73=1,"ACTIVE     CED, FARM GATE (MJ/kg)","CED, processor gate (MJ/kg)"),INDIRECT($K73)),GETPIVOTDATA(IF($J73=1,"StdDev of ACTIVE     CED, FARM GATE (MJ/kg)","StdDev of CED, processor gate (MJ/kg)"),'[1]Pivot Table_CED'!$A$3,"SUB TYPE",$B73))</f>
        <v/>
      </c>
      <c r="P73" s="90">
        <f>IF(ISERROR(GETPIVOTDATA(IF($J73=1,"Count of ACTIVE     GHGE, FARM GATE (kg CO2e/kg)","Count of GHGE, processor gate (kg CO2e/kg)"),'[1]Pivot Table_GHG'!$A$3,"SUB TYPE",$B73)),"PROXY",IF(GETPIVOTDATA(IF($J73=1,"Count of ACTIVE     GHGE, FARM GATE (kg CO2e/kg)","Count of GHGE, processor gate (kg CO2e/kg)"),'[1]Pivot Table_GHG'!$A$3,"SUB TYPE",$B73)=0,"PROXY","DB value"))</f>
        <v/>
      </c>
      <c r="Q73" s="93">
        <f>IF($P73="PROXY",DCOUNT('[1]literature entries'!$D:$AI,IF($J73=1,"ACTIVE     GHGE, FARM GATE (kg CO2e/kg)","GHGE, processor gate (kg CO2e/kg)"),INDIRECT($K73)),GETPIVOTDATA(IF($J73=1,"ACTIVE     GHGE, FARM GATE (kg CO2e/kg)","Count of GHGE, processor gate (kg CO2e/kg)"),'[1]Pivot Table_GHG'!$A$3,"SUB TYPE",$B73))</f>
        <v/>
      </c>
      <c r="R73" s="94">
        <f>IF($P73="PROXY",DAVERAGE('[1]literature entries'!$D:$AI,IF($J73=1,"ACTIVE     GHGE, FARM GATE (kg CO2e/kg)","GHGE, processor gate (kg CO2e/kg)"),INDIRECT($K73)),GETPIVOTDATA(IF($J73=1,"Average of ACTIVE     GHGE, FARM GATE (kg CO2e/kg)","Average of GHGE, processor gate (kg CO2e/kg)"),'[1]Pivot Table_GHG'!$A$3,"SUB TYPE",$B73))</f>
        <v/>
      </c>
      <c r="S73" s="94">
        <f>IF($P73="PROXY",DSTDEV('[1]literature entries'!$D:$AI,IF($J73=1,"ACTIVE     GHGE, FARM GATE (kg CO2e/kg)","GHGE, processor gate (kg CO2e/kg)"),INDIRECT($K73)),GETPIVOTDATA(IF($J73=1,"StdDev of ACTIVE     GHGE, FARM GATE (kg CO2e/kg)","StdDev of GHGE, processor gate (kg CO2e/kg)"),'[1]Pivot Table_GHG'!$A$3,"SUB TYPE",$B73))</f>
        <v/>
      </c>
      <c r="T73" s="105" t="n"/>
      <c r="U73" s="106" t="n"/>
      <c r="V73" s="97" t="n"/>
      <c r="W73" s="98" t="inlineStr">
        <is>
          <t>oils</t>
        </is>
      </c>
      <c r="X73" s="98">
        <f>IF($W73="DIRECT",M73,DCOUNT('[1]literature entries'!$D:$AI,IF($J73=1,"ACTIVE     CED, FARM GATE (MJ/kg)","CED, processor gate (MJ/kg)"),INDIRECT($W73)))</f>
        <v/>
      </c>
      <c r="Y73" s="98">
        <f>IF($W73="DIRECT","",DAVERAGE('[1]literature entries'!$D:$AI,IF($J73=1,"ACTIVE     CED, FARM GATE (MJ/kg)","CED, processor gate (MJ/kg)"),INDIRECT($W73)))</f>
        <v/>
      </c>
      <c r="Z73" s="98">
        <f>IF($W73="DIRECT",$O73,DSTDEV('[1]literature entries'!$D:$AI,IF($J73=1,"ACTIVE     CED, FARM GATE (MJ/kg)","CED, processor gate (MJ/kg)"),INDIRECT($W73)))</f>
        <v/>
      </c>
      <c r="AA73" s="98">
        <f>IF($W73="DIRECT",$O73,$Z73/$Y73*$N73)</f>
        <v/>
      </c>
      <c r="AB73" s="99" t="inlineStr">
        <is>
          <t>oils</t>
        </is>
      </c>
      <c r="AC73" s="99">
        <f>IF($AB73="DIRECT",Q73,DCOUNT('[1]literature entries'!$D:$AI,IF($J73=1,"ACTIVE     GHGE, FARM GATE (kg CO2e/kg)","GHGE, processor gate (kg CO2e/kg)"),INDIRECT($AB73)))</f>
        <v/>
      </c>
      <c r="AD73" s="99">
        <f>IF($AB73="DIRECT","",DAVERAGE('[1]literature entries'!$D:$AI,IF($J73=1,"ACTIVE     GHGE, FARM GATE (kg CO2e/kg)","GHGE, processor gate (kg CO2e/kg)"),INDIRECT($AB73)))</f>
        <v/>
      </c>
      <c r="AE73" s="99">
        <f>IF($AB73="DIRECT",$S73,DSTDEV('[1]literature entries'!$D:$AI,IF($J73=1,"ACTIVE     GHGE, FARM GATE (kg CO2e/kg)","GHGE, processor gate (kg CO2e/kg)"),INDIRECT($AB73)))</f>
        <v/>
      </c>
      <c r="AF73" s="99">
        <f>IF($AB73="DIRECT",$S73,$AE73/$AD73*$R73)</f>
        <v/>
      </c>
    </row>
    <row r="74" ht="15.75" customHeight="1" s="201">
      <c r="A74" s="100" t="n">
        <v>601043000</v>
      </c>
      <c r="B74" s="101" t="inlineStr">
        <is>
          <t>Bean, snap, succulent</t>
        </is>
      </c>
      <c r="C74" s="101" t="inlineStr">
        <is>
          <t>weight of bean and pod</t>
        </is>
      </c>
      <c r="D74" s="101" t="inlineStr">
        <is>
          <t>Includes green bean, string bean, runner bean, and wax bean.</t>
        </is>
      </c>
      <c r="E74" s="101" t="n">
        <v>5924</v>
      </c>
      <c r="F74" s="84">
        <f>N74*H74+T74</f>
        <v/>
      </c>
      <c r="G74" s="85">
        <f>R74*H74+U74</f>
        <v/>
      </c>
      <c r="H74" s="102" t="n">
        <v>1.14</v>
      </c>
      <c r="I74" s="102" t="inlineStr">
        <is>
          <t>FICRCD</t>
        </is>
      </c>
      <c r="J74" s="104" t="n">
        <v>1</v>
      </c>
      <c r="K74" s="89" t="n"/>
      <c r="L74" s="90">
        <f>IF(ISERROR(GETPIVOTDATA(IF($J74=1,"Count of ACTIVE     CED, FARM GATE (MJ/kg)","Count of CED, processor gate (MJ/kg)"),'[1]Pivot Table_CED'!$A$3,"SUB TYPE",$B74)),"PROXY",IF(GETPIVOTDATA(IF($J74=1,"Count of ACTIVE     CED, FARM GATE (MJ/kg)","Count of CED, processor gate (MJ/kg)"),'[1]Pivot Table_CED'!$A$3,"SUB TYPE",$B74)=0,"PROXY","DB value"))</f>
        <v/>
      </c>
      <c r="M74" s="91">
        <f>IF($L74="PROXY",DCOUNT('[1]literature entries'!$D:$AI,IF($J74=1,"ACTIVE     CED, FARM GATE (MJ/kg)","CED, processor gate (MJ/kg)"),INDIRECT($K74)),GETPIVOTDATA(IF($J74=1,"Count of ACTIVE     CED, FARM GATE (MJ/kg)","Count of CED, processor gate (MJ/kg)"),'[1]Pivot Table_CED'!$A$3,"SUB TYPE",$B74))</f>
        <v/>
      </c>
      <c r="N74" s="92">
        <f>IF($L74="PROXY",DAVERAGE('[1]literature entries'!$D:$AI,IF($J74=1,"ACTIVE     CED, FARM GATE (MJ/kg)","CED, processor gate (MJ/kg)"),INDIRECT($K74)),GETPIVOTDATA(IF($J74=1,"Average of ACTIVE     CED, FARM GATE (MJ/kg)","Average of CED, processor gate (MJ/kg)"),'[1]Pivot Table_CED'!$A$3,"SUB TYPE",$B74))</f>
        <v/>
      </c>
      <c r="O74" s="92">
        <f>IF($L74="PROXY",DSTDEV('[1]literature entries'!D:AI,IF($J74=1,"ACTIVE     CED, FARM GATE (MJ/kg)","CED, processor gate (MJ/kg)"),INDIRECT($K74)),GETPIVOTDATA(IF($J74=1,"StdDev of ACTIVE     CED, FARM GATE (MJ/kg)","StdDev of CED, processor gate (MJ/kg)"),'[1]Pivot Table_CED'!$A$3,"SUB TYPE",$B74))</f>
        <v/>
      </c>
      <c r="P74" s="90">
        <f>IF(ISERROR(GETPIVOTDATA(IF($J74=1,"Count of ACTIVE     GHGE, FARM GATE (kg CO2e/kg)","Count of GHGE, processor gate (kg CO2e/kg)"),'[1]Pivot Table_GHG'!$A$3,"SUB TYPE",$B74)),"PROXY",IF(GETPIVOTDATA(IF($J74=1,"Count of ACTIVE     GHGE, FARM GATE (kg CO2e/kg)","Count of GHGE, processor gate (kg CO2e/kg)"),'[1]Pivot Table_GHG'!$A$3,"SUB TYPE",$B74)=0,"PROXY","DB value"))</f>
        <v/>
      </c>
      <c r="Q74" s="93">
        <f>IF($P74="PROXY",DCOUNT('[1]literature entries'!$D:$AI,IF($J74=1,"ACTIVE     GHGE, FARM GATE (kg CO2e/kg)","GHGE, processor gate (kg CO2e/kg)"),INDIRECT($K74)),GETPIVOTDATA(IF($J74=1,"ACTIVE     GHGE, FARM GATE (kg CO2e/kg)","Count of GHGE, processor gate (kg CO2e/kg)"),'[1]Pivot Table_GHG'!$A$3,"SUB TYPE",$B74))</f>
        <v/>
      </c>
      <c r="R74" s="94">
        <f>IF($P74="PROXY",DAVERAGE('[1]literature entries'!$D:$AI,IF($J74=1,"ACTIVE     GHGE, FARM GATE (kg CO2e/kg)","GHGE, processor gate (kg CO2e/kg)"),INDIRECT($K74)),GETPIVOTDATA(IF($J74=1,"Average of ACTIVE     GHGE, FARM GATE (kg CO2e/kg)","Average of GHGE, processor gate (kg CO2e/kg)"),'[1]Pivot Table_GHG'!$A$3,"SUB TYPE",$B74))</f>
        <v/>
      </c>
      <c r="S74" s="94">
        <f>IF($P74="PROXY",DSTDEV('[1]literature entries'!$D:$AI,IF($J74=1,"ACTIVE     GHGE, FARM GATE (kg CO2e/kg)","GHGE, processor gate (kg CO2e/kg)"),INDIRECT($K74)),GETPIVOTDATA(IF($J74=1,"StdDev of ACTIVE     GHGE, FARM GATE (kg CO2e/kg)","StdDev of GHGE, processor gate (kg CO2e/kg)"),'[1]Pivot Table_GHG'!$A$3,"SUB TYPE",$B74))</f>
        <v/>
      </c>
      <c r="T74" s="105" t="n"/>
      <c r="U74" s="106" t="n"/>
      <c r="V74" s="97" t="n"/>
      <c r="W74" s="98" t="inlineStr">
        <is>
          <t>vegetables</t>
        </is>
      </c>
      <c r="X74" s="98">
        <f>IF($W74="DIRECT",M74,DCOUNT('[1]literature entries'!$D:$AI,IF($J74=1,"ACTIVE     CED, FARM GATE (MJ/kg)","CED, processor gate (MJ/kg)"),INDIRECT($W74)))</f>
        <v/>
      </c>
      <c r="Y74" s="98">
        <f>IF($W74="DIRECT","",DAVERAGE('[1]literature entries'!$D:$AI,IF($J74=1,"ACTIVE     CED, FARM GATE (MJ/kg)","CED, processor gate (MJ/kg)"),INDIRECT($W74)))</f>
        <v/>
      </c>
      <c r="Z74" s="98">
        <f>IF($W74="DIRECT",$O74,DSTDEV('[1]literature entries'!$D:$AI,IF($J74=1,"ACTIVE     CED, FARM GATE (MJ/kg)","CED, processor gate (MJ/kg)"),INDIRECT($W74)))</f>
        <v/>
      </c>
      <c r="AA74" s="98">
        <f>IF($W74="DIRECT",$O74,$Z74/$Y74*$N74)</f>
        <v/>
      </c>
      <c r="AB74" s="99">
        <f>IF(P74="PROXY",IF(Q74&gt;=5,K74,"need group"),IF(Q74&gt;=5,"DIRECT","need group"))</f>
        <v/>
      </c>
      <c r="AC74" s="99">
        <f>IF($AB74="DIRECT",Q74,DCOUNT('[1]literature entries'!$D:$AI,IF($J74=1,"ACTIVE     GHGE, FARM GATE (kg CO2e/kg)","GHGE, processor gate (kg CO2e/kg)"),INDIRECT($AB74)))</f>
        <v/>
      </c>
      <c r="AD74" s="99">
        <f>IF($AB74="DIRECT","",DAVERAGE('[1]literature entries'!$D:$AI,IF($J74=1,"ACTIVE     GHGE, FARM GATE (kg CO2e/kg)","GHGE, processor gate (kg CO2e/kg)"),INDIRECT($AB74)))</f>
        <v/>
      </c>
      <c r="AE74" s="99">
        <f>IF($AB74="DIRECT",$S74,DSTDEV('[1]literature entries'!$D:$AI,IF($J74=1,"ACTIVE     GHGE, FARM GATE (kg CO2e/kg)","GHGE, processor gate (kg CO2e/kg)"),INDIRECT($AB74)))</f>
        <v/>
      </c>
      <c r="AF74" s="99">
        <f>IF($AB74="DIRECT",$S74,$AE74/$AD74*$R74)</f>
        <v/>
      </c>
    </row>
    <row r="75" ht="15.75" customHeight="1" s="201">
      <c r="A75" s="100" t="n">
        <v>601257000</v>
      </c>
      <c r="B75" s="101" t="inlineStr">
        <is>
          <t>Pea, edible podded, succulent</t>
        </is>
      </c>
      <c r="C75" s="101" t="inlineStr">
        <is>
          <t>weight of pea and pod</t>
        </is>
      </c>
      <c r="D75" s="101" t="n"/>
      <c r="E75" s="101" t="n">
        <v>385</v>
      </c>
      <c r="F75" s="84">
        <f>N75*H75+T75</f>
        <v/>
      </c>
      <c r="G75" s="85">
        <f>R75*H75+U75</f>
        <v/>
      </c>
      <c r="H75" s="102" t="n">
        <v>1.06</v>
      </c>
      <c r="I75" s="103" t="inlineStr">
        <is>
          <t>FICRCD</t>
        </is>
      </c>
      <c r="J75" s="104" t="n">
        <v>1</v>
      </c>
      <c r="K75" s="89" t="inlineStr">
        <is>
          <t>Bean_snap_succulent</t>
        </is>
      </c>
      <c r="L75" s="90">
        <f>IF(ISERROR(GETPIVOTDATA(IF($J75=1,"Count of ACTIVE     CED, FARM GATE (MJ/kg)","Count of CED, processor gate (MJ/kg)"),'[1]Pivot Table_CED'!$A$3,"SUB TYPE",$B75)),"PROXY",IF(GETPIVOTDATA(IF($J75=1,"Count of ACTIVE     CED, FARM GATE (MJ/kg)","Count of CED, processor gate (MJ/kg)"),'[1]Pivot Table_CED'!$A$3,"SUB TYPE",$B75)=0,"PROXY","DB value"))</f>
        <v/>
      </c>
      <c r="M75" s="91">
        <f>IF($L75="PROXY",DCOUNT('[1]literature entries'!$D:$AI,IF($J75=1,"ACTIVE     CED, FARM GATE (MJ/kg)","CED, processor gate (MJ/kg)"),INDIRECT($K75)),GETPIVOTDATA(IF($J75=1,"Count of ACTIVE     CED, FARM GATE (MJ/kg)","Count of CED, processor gate (MJ/kg)"),'[1]Pivot Table_CED'!$A$3,"SUB TYPE",$B75))</f>
        <v/>
      </c>
      <c r="N75" s="92">
        <f>IF($L75="PROXY",DAVERAGE('[1]literature entries'!$D:$AI,IF($J75=1,"ACTIVE     CED, FARM GATE (MJ/kg)","CED, processor gate (MJ/kg)"),INDIRECT($K75)),GETPIVOTDATA(IF($J75=1,"Average of ACTIVE     CED, FARM GATE (MJ/kg)","Average of CED, processor gate (MJ/kg)"),'[1]Pivot Table_CED'!$A$3,"SUB TYPE",$B75))</f>
        <v/>
      </c>
      <c r="O75" s="92">
        <f>IF($L75="PROXY",DSTDEV('[1]literature entries'!D:AI,IF($J75=1,"ACTIVE     CED, FARM GATE (MJ/kg)","CED, processor gate (MJ/kg)"),INDIRECT($K75)),GETPIVOTDATA(IF($J75=1,"StdDev of ACTIVE     CED, FARM GATE (MJ/kg)","StdDev of CED, processor gate (MJ/kg)"),'[1]Pivot Table_CED'!$A$3,"SUB TYPE",$B75))</f>
        <v/>
      </c>
      <c r="P75" s="90">
        <f>IF(ISERROR(GETPIVOTDATA(IF($J75=1,"Count of ACTIVE     GHGE, FARM GATE (kg CO2e/kg)","Count of GHGE, processor gate (kg CO2e/kg)"),'[1]Pivot Table_GHG'!$A$3,"SUB TYPE",$B75)),"PROXY",IF(GETPIVOTDATA(IF($J75=1,"Count of ACTIVE     GHGE, FARM GATE (kg CO2e/kg)","Count of GHGE, processor gate (kg CO2e/kg)"),'[1]Pivot Table_GHG'!$A$3,"SUB TYPE",$B75)=0,"PROXY","DB value"))</f>
        <v/>
      </c>
      <c r="Q75" s="93">
        <f>IF($P75="PROXY",DCOUNT('[1]literature entries'!$D:$AI,IF($J75=1,"ACTIVE     GHGE, FARM GATE (kg CO2e/kg)","GHGE, processor gate (kg CO2e/kg)"),INDIRECT($K75)),GETPIVOTDATA(IF($J75=1,"ACTIVE     GHGE, FARM GATE (kg CO2e/kg)","Count of GHGE, processor gate (kg CO2e/kg)"),'[1]Pivot Table_GHG'!$A$3,"SUB TYPE",$B75))</f>
        <v/>
      </c>
      <c r="R75" s="94">
        <f>IF($P75="PROXY",DAVERAGE('[1]literature entries'!$D:$AI,IF($J75=1,"ACTIVE     GHGE, FARM GATE (kg CO2e/kg)","GHGE, processor gate (kg CO2e/kg)"),INDIRECT($K75)),GETPIVOTDATA(IF($J75=1,"Average of ACTIVE     GHGE, FARM GATE (kg CO2e/kg)","Average of GHGE, processor gate (kg CO2e/kg)"),'[1]Pivot Table_GHG'!$A$3,"SUB TYPE",$B75))</f>
        <v/>
      </c>
      <c r="S75" s="94">
        <f>IF($P75="PROXY",DSTDEV('[1]literature entries'!$D:$AI,IF($J75=1,"ACTIVE     GHGE, FARM GATE (kg CO2e/kg)","GHGE, processor gate (kg CO2e/kg)"),INDIRECT($K75)),GETPIVOTDATA(IF($J75=1,"StdDev of ACTIVE     GHGE, FARM GATE (kg CO2e/kg)","StdDev of GHGE, processor gate (kg CO2e/kg)"),'[1]Pivot Table_GHG'!$A$3,"SUB TYPE",$B75))</f>
        <v/>
      </c>
      <c r="T75" s="105" t="n"/>
      <c r="U75" s="106" t="n"/>
      <c r="V75" s="97" t="n"/>
      <c r="W75" s="98" t="inlineStr">
        <is>
          <t>vegetables</t>
        </is>
      </c>
      <c r="X75" s="98">
        <f>IF($W75="DIRECT",M75,DCOUNT('[1]literature entries'!$D:$AI,IF($J75=1,"ACTIVE     CED, FARM GATE (MJ/kg)","CED, processor gate (MJ/kg)"),INDIRECT($W75)))</f>
        <v/>
      </c>
      <c r="Y75" s="98">
        <f>IF($W75="DIRECT","",DAVERAGE('[1]literature entries'!$D:$AI,IF($J75=1,"ACTIVE     CED, FARM GATE (MJ/kg)","CED, processor gate (MJ/kg)"),INDIRECT($W75)))</f>
        <v/>
      </c>
      <c r="Z75" s="98">
        <f>IF($W75="DIRECT",$O75,DSTDEV('[1]literature entries'!$D:$AI,IF($J75=1,"ACTIVE     CED, FARM GATE (MJ/kg)","CED, processor gate (MJ/kg)"),INDIRECT($W75)))</f>
        <v/>
      </c>
      <c r="AA75" s="98">
        <f>IF($W75="DIRECT",$O75,$Z75/$Y75*$N75)</f>
        <v/>
      </c>
      <c r="AB75" s="99" t="inlineStr">
        <is>
          <t>vegetables</t>
        </is>
      </c>
      <c r="AC75" s="99">
        <f>IF($AB75="DIRECT",Q75,DCOUNT('[1]literature entries'!$D:$AI,IF($J75=1,"ACTIVE     GHGE, FARM GATE (kg CO2e/kg)","GHGE, processor gate (kg CO2e/kg)"),INDIRECT($AB75)))</f>
        <v/>
      </c>
      <c r="AD75" s="99">
        <f>IF($AB75="DIRECT","",DAVERAGE('[1]literature entries'!$D:$AI,IF($J75=1,"ACTIVE     GHGE, FARM GATE (kg CO2e/kg)","GHGE, processor gate (kg CO2e/kg)"),INDIRECT($AB75)))</f>
        <v/>
      </c>
      <c r="AE75" s="99">
        <f>IF($AB75="DIRECT",$S75,DSTDEV('[1]literature entries'!$D:$AI,IF($J75=1,"ACTIVE     GHGE, FARM GATE (kg CO2e/kg)","GHGE, processor gate (kg CO2e/kg)"),INDIRECT($AB75)))</f>
        <v/>
      </c>
      <c r="AF75" s="99">
        <f>IF($AB75="DIRECT",$S75,$AE75/$AD75*$R75)</f>
        <v/>
      </c>
    </row>
    <row r="76" ht="15.75" customHeight="1" s="201">
      <c r="A76" s="100" t="n">
        <v>602031000</v>
      </c>
      <c r="B76" s="101" t="inlineStr">
        <is>
          <t>Bean, broad, succulent</t>
        </is>
      </c>
      <c r="C76" s="101" t="inlineStr">
        <is>
          <t>weight of bean and pod</t>
        </is>
      </c>
      <c r="D76" s="101" t="inlineStr">
        <is>
          <t>Also called fava bean.</t>
        </is>
      </c>
      <c r="E76" s="101" t="n">
        <v>6</v>
      </c>
      <c r="F76" s="84">
        <f>N76*H76+T76</f>
        <v/>
      </c>
      <c r="G76" s="85">
        <f>R76*H76+U76</f>
        <v/>
      </c>
      <c r="H76" s="117" t="n">
        <v>1</v>
      </c>
      <c r="I76" s="118" t="inlineStr">
        <is>
          <t>None</t>
        </is>
      </c>
      <c r="J76" s="113" t="n">
        <v>1</v>
      </c>
      <c r="K76" s="89" t="inlineStr">
        <is>
          <t>Bean_snap_succulent</t>
        </is>
      </c>
      <c r="L76" s="90">
        <f>IF(ISERROR(GETPIVOTDATA(IF($J76=1,"Count of ACTIVE     CED, FARM GATE (MJ/kg)","Count of CED, processor gate (MJ/kg)"),'[1]Pivot Table_CED'!$A$3,"SUB TYPE",$B76)),"PROXY",IF(GETPIVOTDATA(IF($J76=1,"Count of ACTIVE     CED, FARM GATE (MJ/kg)","Count of CED, processor gate (MJ/kg)"),'[1]Pivot Table_CED'!$A$3,"SUB TYPE",$B76)=0,"PROXY","DB value"))</f>
        <v/>
      </c>
      <c r="M76" s="91">
        <f>IF($L76="PROXY",DCOUNT('[1]literature entries'!$D:$AI,IF($J76=1,"ACTIVE     CED, FARM GATE (MJ/kg)","CED, processor gate (MJ/kg)"),INDIRECT($K76)),GETPIVOTDATA(IF($J76=1,"Count of ACTIVE     CED, FARM GATE (MJ/kg)","Count of CED, processor gate (MJ/kg)"),'[1]Pivot Table_CED'!$A$3,"SUB TYPE",$B76))</f>
        <v/>
      </c>
      <c r="N76" s="92">
        <f>IF($L76="PROXY",DAVERAGE('[1]literature entries'!$D:$AI,IF($J76=1,"ACTIVE     CED, FARM GATE (MJ/kg)","CED, processor gate (MJ/kg)"),INDIRECT($K76)),GETPIVOTDATA(IF($J76=1,"Average of ACTIVE     CED, FARM GATE (MJ/kg)","Average of CED, processor gate (MJ/kg)"),'[1]Pivot Table_CED'!$A$3,"SUB TYPE",$B76))</f>
        <v/>
      </c>
      <c r="O76" s="92">
        <f>IF($L76="PROXY",DSTDEV('[1]literature entries'!D:AI,IF($J76=1,"ACTIVE     CED, FARM GATE (MJ/kg)","CED, processor gate (MJ/kg)"),INDIRECT($K76)),GETPIVOTDATA(IF($J76=1,"StdDev of ACTIVE     CED, FARM GATE (MJ/kg)","StdDev of CED, processor gate (MJ/kg)"),'[1]Pivot Table_CED'!$A$3,"SUB TYPE",$B76))</f>
        <v/>
      </c>
      <c r="P76" s="90">
        <f>IF(ISERROR(GETPIVOTDATA(IF($J76=1,"Count of ACTIVE     GHGE, FARM GATE (kg CO2e/kg)","Count of GHGE, processor gate (kg CO2e/kg)"),'[1]Pivot Table_GHG'!$A$3,"SUB TYPE",$B76)),"PROXY",IF(GETPIVOTDATA(IF($J76=1,"Count of ACTIVE     GHGE, FARM GATE (kg CO2e/kg)","Count of GHGE, processor gate (kg CO2e/kg)"),'[1]Pivot Table_GHG'!$A$3,"SUB TYPE",$B76)=0,"PROXY","DB value"))</f>
        <v/>
      </c>
      <c r="Q76" s="93">
        <f>IF($P76="PROXY",DCOUNT('[1]literature entries'!$D:$AI,IF($J76=1,"ACTIVE     GHGE, FARM GATE (kg CO2e/kg)","GHGE, processor gate (kg CO2e/kg)"),INDIRECT($K76)),GETPIVOTDATA(IF($J76=1,"ACTIVE     GHGE, FARM GATE (kg CO2e/kg)","Count of GHGE, processor gate (kg CO2e/kg)"),'[1]Pivot Table_GHG'!$A$3,"SUB TYPE",$B76))</f>
        <v/>
      </c>
      <c r="R76" s="94">
        <f>IF($P76="PROXY",DAVERAGE('[1]literature entries'!$D:$AI,IF($J76=1,"ACTIVE     GHGE, FARM GATE (kg CO2e/kg)","GHGE, processor gate (kg CO2e/kg)"),INDIRECT($K76)),GETPIVOTDATA(IF($J76=1,"Average of ACTIVE     GHGE, FARM GATE (kg CO2e/kg)","Average of GHGE, processor gate (kg CO2e/kg)"),'[1]Pivot Table_GHG'!$A$3,"SUB TYPE",$B76))</f>
        <v/>
      </c>
      <c r="S76" s="94">
        <f>IF($P76="PROXY",DSTDEV('[1]literature entries'!$D:$AI,IF($J76=1,"ACTIVE     GHGE, FARM GATE (kg CO2e/kg)","GHGE, processor gate (kg CO2e/kg)"),INDIRECT($K76)),GETPIVOTDATA(IF($J76=1,"StdDev of ACTIVE     GHGE, FARM GATE (kg CO2e/kg)","StdDev of GHGE, processor gate (kg CO2e/kg)"),'[1]Pivot Table_GHG'!$A$3,"SUB TYPE",$B76))</f>
        <v/>
      </c>
      <c r="T76" s="105" t="n"/>
      <c r="U76" s="106" t="n"/>
      <c r="V76" s="97" t="n"/>
      <c r="W76" s="98" t="inlineStr">
        <is>
          <t>vegetables</t>
        </is>
      </c>
      <c r="X76" s="98">
        <f>IF($W76="DIRECT",M76,DCOUNT('[1]literature entries'!$D:$AI,IF($J76=1,"ACTIVE     CED, FARM GATE (MJ/kg)","CED, processor gate (MJ/kg)"),INDIRECT($W76)))</f>
        <v/>
      </c>
      <c r="Y76" s="98">
        <f>IF($W76="DIRECT","",DAVERAGE('[1]literature entries'!$D:$AI,IF($J76=1,"ACTIVE     CED, FARM GATE (MJ/kg)","CED, processor gate (MJ/kg)"),INDIRECT($W76)))</f>
        <v/>
      </c>
      <c r="Z76" s="98">
        <f>IF($W76="DIRECT",$O76,DSTDEV('[1]literature entries'!$D:$AI,IF($J76=1,"ACTIVE     CED, FARM GATE (MJ/kg)","CED, processor gate (MJ/kg)"),INDIRECT($W76)))</f>
        <v/>
      </c>
      <c r="AA76" s="98">
        <f>IF($W76="DIRECT",$O76,$Z76/$Y76*$N76)</f>
        <v/>
      </c>
      <c r="AB76" s="99" t="inlineStr">
        <is>
          <t>vegetables</t>
        </is>
      </c>
      <c r="AC76" s="99">
        <f>IF($AB76="DIRECT",Q76,DCOUNT('[1]literature entries'!$D:$AI,IF($J76=1,"ACTIVE     GHGE, FARM GATE (kg CO2e/kg)","GHGE, processor gate (kg CO2e/kg)"),INDIRECT($AB76)))</f>
        <v/>
      </c>
      <c r="AD76" s="99">
        <f>IF($AB76="DIRECT","",DAVERAGE('[1]literature entries'!$D:$AI,IF($J76=1,"ACTIVE     GHGE, FARM GATE (kg CO2e/kg)","GHGE, processor gate (kg CO2e/kg)"),INDIRECT($AB76)))</f>
        <v/>
      </c>
      <c r="AE76" s="99">
        <f>IF($AB76="DIRECT",$S76,DSTDEV('[1]literature entries'!$D:$AI,IF($J76=1,"ACTIVE     GHGE, FARM GATE (kg CO2e/kg)","GHGE, processor gate (kg CO2e/kg)"),INDIRECT($AB76)))</f>
        <v/>
      </c>
      <c r="AF76" s="99">
        <f>IF($AB76="DIRECT",$S76,$AE76/$AD76*$R76)</f>
        <v/>
      </c>
    </row>
    <row r="77" ht="15.75" customHeight="1" s="201">
      <c r="A77" s="100" t="n">
        <v>602033000</v>
      </c>
      <c r="B77" s="101" t="inlineStr">
        <is>
          <t>Bean, cowpea, succulent</t>
        </is>
      </c>
      <c r="C77" s="101" t="inlineStr">
        <is>
          <t>weight of bean; excluding pod</t>
        </is>
      </c>
      <c r="D77" s="101" t="inlineStr">
        <is>
          <t>Includes cowpea, crowder pea, blackeye pea, and southern pea.</t>
        </is>
      </c>
      <c r="E77" s="101" t="n">
        <v>96</v>
      </c>
      <c r="F77" s="84">
        <f>N77*H77+T77</f>
        <v/>
      </c>
      <c r="G77" s="85">
        <f>R77*H77+U77</f>
        <v/>
      </c>
      <c r="H77" s="102" t="n">
        <v>1</v>
      </c>
      <c r="I77" s="103" t="inlineStr">
        <is>
          <t>None</t>
        </is>
      </c>
      <c r="J77" s="104" t="n">
        <v>1</v>
      </c>
      <c r="K77" s="89" t="inlineStr">
        <is>
          <t>Bean_snap_succulent</t>
        </is>
      </c>
      <c r="L77" s="90">
        <f>IF(ISERROR(GETPIVOTDATA(IF($J77=1,"Count of ACTIVE     CED, FARM GATE (MJ/kg)","Count of CED, processor gate (MJ/kg)"),'[1]Pivot Table_CED'!$A$3,"SUB TYPE",$B77)),"PROXY",IF(GETPIVOTDATA(IF($J77=1,"Count of ACTIVE     CED, FARM GATE (MJ/kg)","Count of CED, processor gate (MJ/kg)"),'[1]Pivot Table_CED'!$A$3,"SUB TYPE",$B77)=0,"PROXY","DB value"))</f>
        <v/>
      </c>
      <c r="M77" s="91">
        <f>IF($L77="PROXY",DCOUNT('[1]literature entries'!$D:$AI,IF($J77=1,"ACTIVE     CED, FARM GATE (MJ/kg)","CED, processor gate (MJ/kg)"),INDIRECT($K77)),GETPIVOTDATA(IF($J77=1,"Count of ACTIVE     CED, FARM GATE (MJ/kg)","Count of CED, processor gate (MJ/kg)"),'[1]Pivot Table_CED'!$A$3,"SUB TYPE",$B77))</f>
        <v/>
      </c>
      <c r="N77" s="92">
        <f>IF($L77="PROXY",DAVERAGE('[1]literature entries'!$D:$AI,IF($J77=1,"ACTIVE     CED, FARM GATE (MJ/kg)","CED, processor gate (MJ/kg)"),INDIRECT($K77)),GETPIVOTDATA(IF($J77=1,"Average of ACTIVE     CED, FARM GATE (MJ/kg)","Average of CED, processor gate (MJ/kg)"),'[1]Pivot Table_CED'!$A$3,"SUB TYPE",$B77))</f>
        <v/>
      </c>
      <c r="O77" s="92">
        <f>IF($L77="PROXY",DSTDEV('[1]literature entries'!D:AI,IF($J77=1,"ACTIVE     CED, FARM GATE (MJ/kg)","CED, processor gate (MJ/kg)"),INDIRECT($K77)),GETPIVOTDATA(IF($J77=1,"StdDev of ACTIVE     CED, FARM GATE (MJ/kg)","StdDev of CED, processor gate (MJ/kg)"),'[1]Pivot Table_CED'!$A$3,"SUB TYPE",$B77))</f>
        <v/>
      </c>
      <c r="P77" s="90">
        <f>IF(ISERROR(GETPIVOTDATA(IF($J77=1,"Count of ACTIVE     GHGE, FARM GATE (kg CO2e/kg)","Count of GHGE, processor gate (kg CO2e/kg)"),'[1]Pivot Table_GHG'!$A$3,"SUB TYPE",$B77)),"PROXY",IF(GETPIVOTDATA(IF($J77=1,"Count of ACTIVE     GHGE, FARM GATE (kg CO2e/kg)","Count of GHGE, processor gate (kg CO2e/kg)"),'[1]Pivot Table_GHG'!$A$3,"SUB TYPE",$B77)=0,"PROXY","DB value"))</f>
        <v/>
      </c>
      <c r="Q77" s="93">
        <f>IF($P77="PROXY",DCOUNT('[1]literature entries'!$D:$AI,IF($J77=1,"ACTIVE     GHGE, FARM GATE (kg CO2e/kg)","GHGE, processor gate (kg CO2e/kg)"),INDIRECT($K77)),GETPIVOTDATA(IF($J77=1,"ACTIVE     GHGE, FARM GATE (kg CO2e/kg)","Count of GHGE, processor gate (kg CO2e/kg)"),'[1]Pivot Table_GHG'!$A$3,"SUB TYPE",$B77))</f>
        <v/>
      </c>
      <c r="R77" s="94">
        <f>IF($P77="PROXY",DAVERAGE('[1]literature entries'!$D:$AI,IF($J77=1,"ACTIVE     GHGE, FARM GATE (kg CO2e/kg)","GHGE, processor gate (kg CO2e/kg)"),INDIRECT($K77)),GETPIVOTDATA(IF($J77=1,"Average of ACTIVE     GHGE, FARM GATE (kg CO2e/kg)","Average of GHGE, processor gate (kg CO2e/kg)"),'[1]Pivot Table_GHG'!$A$3,"SUB TYPE",$B77))</f>
        <v/>
      </c>
      <c r="S77" s="94">
        <f>IF($P77="PROXY",DSTDEV('[1]literature entries'!$D:$AI,IF($J77=1,"ACTIVE     GHGE, FARM GATE (kg CO2e/kg)","GHGE, processor gate (kg CO2e/kg)"),INDIRECT($K77)),GETPIVOTDATA(IF($J77=1,"StdDev of ACTIVE     GHGE, FARM GATE (kg CO2e/kg)","StdDev of GHGE, processor gate (kg CO2e/kg)"),'[1]Pivot Table_GHG'!$A$3,"SUB TYPE",$B77))</f>
        <v/>
      </c>
      <c r="T77" s="105" t="n"/>
      <c r="U77" s="106" t="n"/>
      <c r="V77" s="97" t="n"/>
      <c r="W77" s="98" t="inlineStr">
        <is>
          <t>vegetables</t>
        </is>
      </c>
      <c r="X77" s="98">
        <f>IF($W77="DIRECT",M77,DCOUNT('[1]literature entries'!$D:$AI,IF($J77=1,"ACTIVE     CED, FARM GATE (MJ/kg)","CED, processor gate (MJ/kg)"),INDIRECT($W77)))</f>
        <v/>
      </c>
      <c r="Y77" s="98">
        <f>IF($W77="DIRECT","",DAVERAGE('[1]literature entries'!$D:$AI,IF($J77=1,"ACTIVE     CED, FARM GATE (MJ/kg)","CED, processor gate (MJ/kg)"),INDIRECT($W77)))</f>
        <v/>
      </c>
      <c r="Z77" s="98">
        <f>IF($W77="DIRECT",$O77,DSTDEV('[1]literature entries'!$D:$AI,IF($J77=1,"ACTIVE     CED, FARM GATE (MJ/kg)","CED, processor gate (MJ/kg)"),INDIRECT($W77)))</f>
        <v/>
      </c>
      <c r="AA77" s="98">
        <f>IF($W77="DIRECT",$O77,$Z77/$Y77*$N77)</f>
        <v/>
      </c>
      <c r="AB77" s="99" t="inlineStr">
        <is>
          <t>vegetables</t>
        </is>
      </c>
      <c r="AC77" s="99">
        <f>IF($AB77="DIRECT",Q77,DCOUNT('[1]literature entries'!$D:$AI,IF($J77=1,"ACTIVE     GHGE, FARM GATE (kg CO2e/kg)","GHGE, processor gate (kg CO2e/kg)"),INDIRECT($AB77)))</f>
        <v/>
      </c>
      <c r="AD77" s="99">
        <f>IF($AB77="DIRECT","",DAVERAGE('[1]literature entries'!$D:$AI,IF($J77=1,"ACTIVE     GHGE, FARM GATE (kg CO2e/kg)","GHGE, processor gate (kg CO2e/kg)"),INDIRECT($AB77)))</f>
        <v/>
      </c>
      <c r="AE77" s="99">
        <f>IF($AB77="DIRECT",$S77,DSTDEV('[1]literature entries'!$D:$AI,IF($J77=1,"ACTIVE     GHGE, FARM GATE (kg CO2e/kg)","GHGE, processor gate (kg CO2e/kg)"),INDIRECT($AB77)))</f>
        <v/>
      </c>
      <c r="AF77" s="99">
        <f>IF($AB77="DIRECT",$S77,$AE77/$AD77*$R77)</f>
        <v/>
      </c>
    </row>
    <row r="78" ht="15.75" customHeight="1" s="201">
      <c r="A78" s="100" t="n">
        <v>602037000</v>
      </c>
      <c r="B78" s="101" t="inlineStr">
        <is>
          <t>Bean, lima, succulent</t>
        </is>
      </c>
      <c r="C78" s="101" t="inlineStr">
        <is>
          <t>weight of bean; excluding pod</t>
        </is>
      </c>
      <c r="D78" s="101" t="n"/>
      <c r="E78" s="101" t="n">
        <v>1465</v>
      </c>
      <c r="F78" s="84">
        <f>N78*H78+T78</f>
        <v/>
      </c>
      <c r="G78" s="85">
        <f>R78*H78+U78</f>
        <v/>
      </c>
      <c r="H78" s="102" t="n">
        <v>1</v>
      </c>
      <c r="I78" s="103" t="inlineStr">
        <is>
          <t>None</t>
        </is>
      </c>
      <c r="J78" s="104" t="n">
        <v>1</v>
      </c>
      <c r="K78" s="89" t="inlineStr">
        <is>
          <t>Bean_snap_succulent</t>
        </is>
      </c>
      <c r="L78" s="90">
        <f>IF(ISERROR(GETPIVOTDATA(IF($J78=1,"Count of ACTIVE     CED, FARM GATE (MJ/kg)","Count of CED, processor gate (MJ/kg)"),'[1]Pivot Table_CED'!$A$3,"SUB TYPE",$B78)),"PROXY",IF(GETPIVOTDATA(IF($J78=1,"Count of ACTIVE     CED, FARM GATE (MJ/kg)","Count of CED, processor gate (MJ/kg)"),'[1]Pivot Table_CED'!$A$3,"SUB TYPE",$B78)=0,"PROXY","DB value"))</f>
        <v/>
      </c>
      <c r="M78" s="91">
        <f>IF($L78="PROXY",DCOUNT('[1]literature entries'!$D:$AI,IF($J78=1,"ACTIVE     CED, FARM GATE (MJ/kg)","CED, processor gate (MJ/kg)"),INDIRECT($K78)),GETPIVOTDATA(IF($J78=1,"Count of ACTIVE     CED, FARM GATE (MJ/kg)","Count of CED, processor gate (MJ/kg)"),'[1]Pivot Table_CED'!$A$3,"SUB TYPE",$B78))</f>
        <v/>
      </c>
      <c r="N78" s="92">
        <f>IF($L78="PROXY",DAVERAGE('[1]literature entries'!$D:$AI,IF($J78=1,"ACTIVE     CED, FARM GATE (MJ/kg)","CED, processor gate (MJ/kg)"),INDIRECT($K78)),GETPIVOTDATA(IF($J78=1,"Average of ACTIVE     CED, FARM GATE (MJ/kg)","Average of CED, processor gate (MJ/kg)"),'[1]Pivot Table_CED'!$A$3,"SUB TYPE",$B78))</f>
        <v/>
      </c>
      <c r="O78" s="92">
        <f>IF($L78="PROXY",DSTDEV('[1]literature entries'!D:AI,IF($J78=1,"ACTIVE     CED, FARM GATE (MJ/kg)","CED, processor gate (MJ/kg)"),INDIRECT($K78)),GETPIVOTDATA(IF($J78=1,"StdDev of ACTIVE     CED, FARM GATE (MJ/kg)","StdDev of CED, processor gate (MJ/kg)"),'[1]Pivot Table_CED'!$A$3,"SUB TYPE",$B78))</f>
        <v/>
      </c>
      <c r="P78" s="90">
        <f>IF(ISERROR(GETPIVOTDATA(IF($J78=1,"Count of ACTIVE     GHGE, FARM GATE (kg CO2e/kg)","Count of GHGE, processor gate (kg CO2e/kg)"),'[1]Pivot Table_GHG'!$A$3,"SUB TYPE",$B78)),"PROXY",IF(GETPIVOTDATA(IF($J78=1,"Count of ACTIVE     GHGE, FARM GATE (kg CO2e/kg)","Count of GHGE, processor gate (kg CO2e/kg)"),'[1]Pivot Table_GHG'!$A$3,"SUB TYPE",$B78)=0,"PROXY","DB value"))</f>
        <v/>
      </c>
      <c r="Q78" s="93">
        <f>IF($P78="PROXY",DCOUNT('[1]literature entries'!$D:$AI,IF($J78=1,"ACTIVE     GHGE, FARM GATE (kg CO2e/kg)","GHGE, processor gate (kg CO2e/kg)"),INDIRECT($K78)),GETPIVOTDATA(IF($J78=1,"ACTIVE     GHGE, FARM GATE (kg CO2e/kg)","Count of GHGE, processor gate (kg CO2e/kg)"),'[1]Pivot Table_GHG'!$A$3,"SUB TYPE",$B78))</f>
        <v/>
      </c>
      <c r="R78" s="94">
        <f>IF($P78="PROXY",DAVERAGE('[1]literature entries'!$D:$AI,IF($J78=1,"ACTIVE     GHGE, FARM GATE (kg CO2e/kg)","GHGE, processor gate (kg CO2e/kg)"),INDIRECT($K78)),GETPIVOTDATA(IF($J78=1,"Average of ACTIVE     GHGE, FARM GATE (kg CO2e/kg)","Average of GHGE, processor gate (kg CO2e/kg)"),'[1]Pivot Table_GHG'!$A$3,"SUB TYPE",$B78))</f>
        <v/>
      </c>
      <c r="S78" s="94">
        <f>IF($P78="PROXY",DSTDEV('[1]literature entries'!$D:$AI,IF($J78=1,"ACTIVE     GHGE, FARM GATE (kg CO2e/kg)","GHGE, processor gate (kg CO2e/kg)"),INDIRECT($K78)),GETPIVOTDATA(IF($J78=1,"StdDev of ACTIVE     GHGE, FARM GATE (kg CO2e/kg)","StdDev of GHGE, processor gate (kg CO2e/kg)"),'[1]Pivot Table_GHG'!$A$3,"SUB TYPE",$B78))</f>
        <v/>
      </c>
      <c r="T78" s="105" t="n"/>
      <c r="U78" s="106" t="n"/>
      <c r="V78" s="97" t="n"/>
      <c r="W78" s="98" t="inlineStr">
        <is>
          <t>vegetables</t>
        </is>
      </c>
      <c r="X78" s="98">
        <f>IF($W78="DIRECT",M78,DCOUNT('[1]literature entries'!$D:$AI,IF($J78=1,"ACTIVE     CED, FARM GATE (MJ/kg)","CED, processor gate (MJ/kg)"),INDIRECT($W78)))</f>
        <v/>
      </c>
      <c r="Y78" s="98">
        <f>IF($W78="DIRECT","",DAVERAGE('[1]literature entries'!$D:$AI,IF($J78=1,"ACTIVE     CED, FARM GATE (MJ/kg)","CED, processor gate (MJ/kg)"),INDIRECT($W78)))</f>
        <v/>
      </c>
      <c r="Z78" s="98">
        <f>IF($W78="DIRECT",$O78,DSTDEV('[1]literature entries'!$D:$AI,IF($J78=1,"ACTIVE     CED, FARM GATE (MJ/kg)","CED, processor gate (MJ/kg)"),INDIRECT($W78)))</f>
        <v/>
      </c>
      <c r="AA78" s="98">
        <f>IF($W78="DIRECT",$O78,$Z78/$Y78*$N78)</f>
        <v/>
      </c>
      <c r="AB78" s="99" t="inlineStr">
        <is>
          <t>vegetables</t>
        </is>
      </c>
      <c r="AC78" s="99">
        <f>IF($AB78="DIRECT",Q78,DCOUNT('[1]literature entries'!$D:$AI,IF($J78=1,"ACTIVE     GHGE, FARM GATE (kg CO2e/kg)","GHGE, processor gate (kg CO2e/kg)"),INDIRECT($AB78)))</f>
        <v/>
      </c>
      <c r="AD78" s="99">
        <f>IF($AB78="DIRECT","",DAVERAGE('[1]literature entries'!$D:$AI,IF($J78=1,"ACTIVE     GHGE, FARM GATE (kg CO2e/kg)","GHGE, processor gate (kg CO2e/kg)"),INDIRECT($AB78)))</f>
        <v/>
      </c>
      <c r="AE78" s="99">
        <f>IF($AB78="DIRECT",$S78,DSTDEV('[1]literature entries'!$D:$AI,IF($J78=1,"ACTIVE     GHGE, FARM GATE (kg CO2e/kg)","GHGE, processor gate (kg CO2e/kg)"),INDIRECT($AB78)))</f>
        <v/>
      </c>
      <c r="AF78" s="99">
        <f>IF($AB78="DIRECT",$S78,$AE78/$AD78*$R78)</f>
        <v/>
      </c>
    </row>
    <row r="79" ht="15.75" customHeight="1" s="201">
      <c r="A79" s="100" t="n">
        <v>602255000</v>
      </c>
      <c r="B79" s="101" t="inlineStr">
        <is>
          <t>Pea, succulent</t>
        </is>
      </c>
      <c r="C79" s="101" t="inlineStr">
        <is>
          <t>weight of peas</t>
        </is>
      </c>
      <c r="D79" s="101" t="n"/>
      <c r="E79" s="101" t="n">
        <v>4944</v>
      </c>
      <c r="F79" s="84">
        <f>N79*H79+T79</f>
        <v/>
      </c>
      <c r="G79" s="85">
        <f>R79*H79+U79</f>
        <v/>
      </c>
      <c r="H79" s="102" t="n">
        <v>1</v>
      </c>
      <c r="I79" s="103" t="inlineStr">
        <is>
          <t>none</t>
        </is>
      </c>
      <c r="J79" s="104" t="n">
        <v>1</v>
      </c>
      <c r="K79" s="89" t="n"/>
      <c r="L79" s="90">
        <f>IF(ISERROR(GETPIVOTDATA(IF($J79=1,"Count of ACTIVE     CED, FARM GATE (MJ/kg)","Count of CED, processor gate (MJ/kg)"),'[1]Pivot Table_CED'!$A$3,"SUB TYPE",$B79)),"PROXY",IF(GETPIVOTDATA(IF($J79=1,"Count of ACTIVE     CED, FARM GATE (MJ/kg)","Count of CED, processor gate (MJ/kg)"),'[1]Pivot Table_CED'!$A$3,"SUB TYPE",$B79)=0,"PROXY","DB value"))</f>
        <v/>
      </c>
      <c r="M79" s="91">
        <f>IF($L79="PROXY",DCOUNT('[1]literature entries'!$D:$AI,IF($J79=1,"ACTIVE     CED, FARM GATE (MJ/kg)","CED, processor gate (MJ/kg)"),INDIRECT($K79)),GETPIVOTDATA(IF($J79=1,"Count of ACTIVE     CED, FARM GATE (MJ/kg)","Count of CED, processor gate (MJ/kg)"),'[1]Pivot Table_CED'!$A$3,"SUB TYPE",$B79))</f>
        <v/>
      </c>
      <c r="N79" s="92">
        <f>IF($L79="PROXY",DAVERAGE('[1]literature entries'!$D:$AI,IF($J79=1,"ACTIVE     CED, FARM GATE (MJ/kg)","CED, processor gate (MJ/kg)"),INDIRECT($K79)),GETPIVOTDATA(IF($J79=1,"Average of ACTIVE     CED, FARM GATE (MJ/kg)","Average of CED, processor gate (MJ/kg)"),'[1]Pivot Table_CED'!$A$3,"SUB TYPE",$B79))</f>
        <v/>
      </c>
      <c r="O79" s="92">
        <f>IF($L79="PROXY",DSTDEV('[1]literature entries'!D:AI,IF($J79=1,"ACTIVE     CED, FARM GATE (MJ/kg)","CED, processor gate (MJ/kg)"),INDIRECT($K79)),GETPIVOTDATA(IF($J79=1,"StdDev of ACTIVE     CED, FARM GATE (MJ/kg)","StdDev of CED, processor gate (MJ/kg)"),'[1]Pivot Table_CED'!$A$3,"SUB TYPE",$B79))</f>
        <v/>
      </c>
      <c r="P79" s="90">
        <f>IF(ISERROR(GETPIVOTDATA(IF($J79=1,"Count of ACTIVE     GHGE, FARM GATE (kg CO2e/kg)","Count of GHGE, processor gate (kg CO2e/kg)"),'[1]Pivot Table_GHG'!$A$3,"SUB TYPE",$B79)),"PROXY",IF(GETPIVOTDATA(IF($J79=1,"Count of ACTIVE     GHGE, FARM GATE (kg CO2e/kg)","Count of GHGE, processor gate (kg CO2e/kg)"),'[1]Pivot Table_GHG'!$A$3,"SUB TYPE",$B79)=0,"PROXY","DB value"))</f>
        <v/>
      </c>
      <c r="Q79" s="93">
        <f>IF($P79="PROXY",DCOUNT('[1]literature entries'!$D:$AI,IF($J79=1,"ACTIVE     GHGE, FARM GATE (kg CO2e/kg)","GHGE, processor gate (kg CO2e/kg)"),INDIRECT($K79)),GETPIVOTDATA(IF($J79=1,"ACTIVE     GHGE, FARM GATE (kg CO2e/kg)","Count of GHGE, processor gate (kg CO2e/kg)"),'[1]Pivot Table_GHG'!$A$3,"SUB TYPE",$B79))</f>
        <v/>
      </c>
      <c r="R79" s="94">
        <f>IF($P79="PROXY",DAVERAGE('[1]literature entries'!$D:$AI,IF($J79=1,"ACTIVE     GHGE, FARM GATE (kg CO2e/kg)","GHGE, processor gate (kg CO2e/kg)"),INDIRECT($K79)),GETPIVOTDATA(IF($J79=1,"Average of ACTIVE     GHGE, FARM GATE (kg CO2e/kg)","Average of GHGE, processor gate (kg CO2e/kg)"),'[1]Pivot Table_GHG'!$A$3,"SUB TYPE",$B79))</f>
        <v/>
      </c>
      <c r="S79" s="94">
        <f>IF($P79="PROXY",DSTDEV('[1]literature entries'!$D:$AI,IF($J79=1,"ACTIVE     GHGE, FARM GATE (kg CO2e/kg)","GHGE, processor gate (kg CO2e/kg)"),INDIRECT($K79)),GETPIVOTDATA(IF($J79=1,"StdDev of ACTIVE     GHGE, FARM GATE (kg CO2e/kg)","StdDev of GHGE, processor gate (kg CO2e/kg)"),'[1]Pivot Table_GHG'!$A$3,"SUB TYPE",$B79))</f>
        <v/>
      </c>
      <c r="T79" s="105" t="n"/>
      <c r="U79" s="106" t="n"/>
      <c r="V79" s="97" t="n"/>
      <c r="W79" s="98" t="inlineStr">
        <is>
          <t>vegetables</t>
        </is>
      </c>
      <c r="X79" s="98">
        <f>IF($W79="DIRECT",M79,DCOUNT('[1]literature entries'!$D:$AI,IF($J79=1,"ACTIVE     CED, FARM GATE (MJ/kg)","CED, processor gate (MJ/kg)"),INDIRECT($W79)))</f>
        <v/>
      </c>
      <c r="Y79" s="98">
        <f>IF($W79="DIRECT","",DAVERAGE('[1]literature entries'!$D:$AI,IF($J79=1,"ACTIVE     CED, FARM GATE (MJ/kg)","CED, processor gate (MJ/kg)"),INDIRECT($W79)))</f>
        <v/>
      </c>
      <c r="Z79" s="98">
        <f>IF($W79="DIRECT",$O79,DSTDEV('[1]literature entries'!$D:$AI,IF($J79=1,"ACTIVE     CED, FARM GATE (MJ/kg)","CED, processor gate (MJ/kg)"),INDIRECT($W79)))</f>
        <v/>
      </c>
      <c r="AA79" s="98">
        <f>IF($W79="DIRECT",$O79,$Z79/$Y79*$N79)</f>
        <v/>
      </c>
      <c r="AB79" s="99">
        <f>IF(P79="PROXY",IF(Q79&gt;=5,K79,"need group"),IF(Q79&gt;=5,"DIRECT","need group"))</f>
        <v/>
      </c>
      <c r="AC79" s="99">
        <f>IF($AB79="DIRECT",Q79,DCOUNT('[1]literature entries'!$D:$AI,IF($J79=1,"ACTIVE     GHGE, FARM GATE (kg CO2e/kg)","GHGE, processor gate (kg CO2e/kg)"),INDIRECT($AB79)))</f>
        <v/>
      </c>
      <c r="AD79" s="99">
        <f>IF($AB79="DIRECT","",DAVERAGE('[1]literature entries'!$D:$AI,IF($J79=1,"ACTIVE     GHGE, FARM GATE (kg CO2e/kg)","GHGE, processor gate (kg CO2e/kg)"),INDIRECT($AB79)))</f>
        <v/>
      </c>
      <c r="AE79" s="99">
        <f>IF($AB79="DIRECT",$S79,DSTDEV('[1]literature entries'!$D:$AI,IF($J79=1,"ACTIVE     GHGE, FARM GATE (kg CO2e/kg)","GHGE, processor gate (kg CO2e/kg)"),INDIRECT($AB79)))</f>
        <v/>
      </c>
      <c r="AF79" s="99">
        <f>IF($AB79="DIRECT",$S79,$AE79/$AD79*$R79)</f>
        <v/>
      </c>
    </row>
    <row r="80" ht="15.75" customHeight="1" s="201">
      <c r="A80" s="100" t="n">
        <v>602259000</v>
      </c>
      <c r="B80" s="101" t="inlineStr">
        <is>
          <t>Pea, pigeon, succulent</t>
        </is>
      </c>
      <c r="C80" s="101" t="inlineStr">
        <is>
          <t>weight of pea</t>
        </is>
      </c>
      <c r="D80" s="101" t="inlineStr">
        <is>
          <t>In U.S. presently, usually found as canned pigeon peas.</t>
        </is>
      </c>
      <c r="E80" s="101" t="n">
        <v>7</v>
      </c>
      <c r="F80" s="84">
        <f>N80*H80+T80</f>
        <v/>
      </c>
      <c r="G80" s="85">
        <f>R80*H80+U80</f>
        <v/>
      </c>
      <c r="H80" s="102" t="n">
        <v>1</v>
      </c>
      <c r="I80" s="103" t="inlineStr">
        <is>
          <t>None</t>
        </is>
      </c>
      <c r="J80" s="104" t="n">
        <v>1</v>
      </c>
      <c r="K80" s="119" t="inlineStr">
        <is>
          <t>Pea_pigeon_seed</t>
        </is>
      </c>
      <c r="L80" s="90">
        <f>IF(ISERROR(GETPIVOTDATA(IF($J80=1,"Count of ACTIVE     CED, FARM GATE (MJ/kg)","Count of CED, processor gate (MJ/kg)"),'[1]Pivot Table_CED'!$A$3,"SUB TYPE",$B80)),"PROXY",IF(GETPIVOTDATA(IF($J80=1,"Count of ACTIVE     CED, FARM GATE (MJ/kg)","Count of CED, processor gate (MJ/kg)"),'[1]Pivot Table_CED'!$A$3,"SUB TYPE",$B80)=0,"PROXY","DB value"))</f>
        <v/>
      </c>
      <c r="M80" s="91">
        <f>IF($L80="PROXY",DCOUNT('[1]literature entries'!$D:$AI,IF($J80=1,"ACTIVE     CED, FARM GATE (MJ/kg)","CED, processor gate (MJ/kg)"),INDIRECT($K80)),GETPIVOTDATA(IF($J80=1,"Count of ACTIVE     CED, FARM GATE (MJ/kg)","Count of CED, processor gate (MJ/kg)"),'[1]Pivot Table_CED'!$A$3,"SUB TYPE",$B80))</f>
        <v/>
      </c>
      <c r="N80" s="92">
        <f>IF($L80="PROXY",DAVERAGE('[1]literature entries'!$D:$AI,IF($J80=1,"ACTIVE     CED, FARM GATE (MJ/kg)","CED, processor gate (MJ/kg)"),INDIRECT($K80)),GETPIVOTDATA(IF($J80=1,"Average of ACTIVE     CED, FARM GATE (MJ/kg)","Average of CED, processor gate (MJ/kg)"),'[1]Pivot Table_CED'!$A$3,"SUB TYPE",$B80))</f>
        <v/>
      </c>
      <c r="O80" s="92">
        <f>IF($L80="PROXY",DSTDEV('[1]literature entries'!D:AI,IF($J80=1,"ACTIVE     CED, FARM GATE (MJ/kg)","CED, processor gate (MJ/kg)"),INDIRECT($K80)),GETPIVOTDATA(IF($J80=1,"StdDev of ACTIVE     CED, FARM GATE (MJ/kg)","StdDev of CED, processor gate (MJ/kg)"),'[1]Pivot Table_CED'!$A$3,"SUB TYPE",$B80))</f>
        <v/>
      </c>
      <c r="P80" s="90">
        <f>IF(ISERROR(GETPIVOTDATA(IF($J80=1,"Count of ACTIVE     GHGE, FARM GATE (kg CO2e/kg)","Count of GHGE, processor gate (kg CO2e/kg)"),'[1]Pivot Table_GHG'!$A$3,"SUB TYPE",$B80)),"PROXY",IF(GETPIVOTDATA(IF($J80=1,"Count of ACTIVE     GHGE, FARM GATE (kg CO2e/kg)","Count of GHGE, processor gate (kg CO2e/kg)"),'[1]Pivot Table_GHG'!$A$3,"SUB TYPE",$B80)=0,"PROXY","DB value"))</f>
        <v/>
      </c>
      <c r="Q80" s="93">
        <f>IF($P80="PROXY",DCOUNT('[1]literature entries'!$D:$AI,IF($J80=1,"ACTIVE     GHGE, FARM GATE (kg CO2e/kg)","GHGE, processor gate (kg CO2e/kg)"),INDIRECT($K80)),GETPIVOTDATA(IF($J80=1,"ACTIVE     GHGE, FARM GATE (kg CO2e/kg)","Count of GHGE, processor gate (kg CO2e/kg)"),'[1]Pivot Table_GHG'!$A$3,"SUB TYPE",$B80))</f>
        <v/>
      </c>
      <c r="R80" s="94">
        <f>IF($P80="PROXY",DAVERAGE('[1]literature entries'!$D:$AI,IF($J80=1,"ACTIVE     GHGE, FARM GATE (kg CO2e/kg)","GHGE, processor gate (kg CO2e/kg)"),INDIRECT($K80)),GETPIVOTDATA(IF($J80=1,"Average of ACTIVE     GHGE, FARM GATE (kg CO2e/kg)","Average of GHGE, processor gate (kg CO2e/kg)"),'[1]Pivot Table_GHG'!$A$3,"SUB TYPE",$B80))</f>
        <v/>
      </c>
      <c r="S80" s="94">
        <f>IF($P80="PROXY",DSTDEV('[1]literature entries'!$D:$AI,IF($J80=1,"ACTIVE     GHGE, FARM GATE (kg CO2e/kg)","GHGE, processor gate (kg CO2e/kg)"),INDIRECT($K80)),GETPIVOTDATA(IF($J80=1,"StdDev of ACTIVE     GHGE, FARM GATE (kg CO2e/kg)","StdDev of GHGE, processor gate (kg CO2e/kg)"),'[1]Pivot Table_GHG'!$A$3,"SUB TYPE",$B80))</f>
        <v/>
      </c>
      <c r="T80" s="105" t="n"/>
      <c r="U80" s="106" t="n"/>
      <c r="V80" s="97" t="n"/>
      <c r="W80" s="98" t="inlineStr">
        <is>
          <t>vegetables</t>
        </is>
      </c>
      <c r="X80" s="98">
        <f>IF($W80="DIRECT",M80,DCOUNT('[1]literature entries'!$D:$AI,IF($J80=1,"ACTIVE     CED, FARM GATE (MJ/kg)","CED, processor gate (MJ/kg)"),INDIRECT($W80)))</f>
        <v/>
      </c>
      <c r="Y80" s="98">
        <f>IF($W80="DIRECT","",DAVERAGE('[1]literature entries'!$D:$AI,IF($J80=1,"ACTIVE     CED, FARM GATE (MJ/kg)","CED, processor gate (MJ/kg)"),INDIRECT($W80)))</f>
        <v/>
      </c>
      <c r="Z80" s="98">
        <f>IF($W80="DIRECT",$O80,DSTDEV('[1]literature entries'!$D:$AI,IF($J80=1,"ACTIVE     CED, FARM GATE (MJ/kg)","CED, processor gate (MJ/kg)"),INDIRECT($W80)))</f>
        <v/>
      </c>
      <c r="AA80" s="98">
        <f>IF($W80="DIRECT",$O80,$Z80/$Y80*$N80)</f>
        <v/>
      </c>
      <c r="AB80" s="99" t="inlineStr">
        <is>
          <t>vegetables</t>
        </is>
      </c>
      <c r="AC80" s="99">
        <f>IF($AB80="DIRECT",Q80,DCOUNT('[1]literature entries'!$D:$AI,IF($J80=1,"ACTIVE     GHGE, FARM GATE (kg CO2e/kg)","GHGE, processor gate (kg CO2e/kg)"),INDIRECT($AB80)))</f>
        <v/>
      </c>
      <c r="AD80" s="99">
        <f>IF($AB80="DIRECT","",DAVERAGE('[1]literature entries'!$D:$AI,IF($J80=1,"ACTIVE     GHGE, FARM GATE (kg CO2e/kg)","GHGE, processor gate (kg CO2e/kg)"),INDIRECT($AB80)))</f>
        <v/>
      </c>
      <c r="AE80" s="99">
        <f>IF($AB80="DIRECT",$S80,DSTDEV('[1]literature entries'!$D:$AI,IF($J80=1,"ACTIVE     GHGE, FARM GATE (kg CO2e/kg)","GHGE, processor gate (kg CO2e/kg)"),INDIRECT($AB80)))</f>
        <v/>
      </c>
      <c r="AF80" s="99">
        <f>IF($AB80="DIRECT",$S80,$AE80/$AD80*$R80)</f>
        <v/>
      </c>
    </row>
    <row r="81" ht="15.75" customHeight="1" s="201">
      <c r="A81" s="100" t="n">
        <v>603030000</v>
      </c>
      <c r="B81" s="101" t="inlineStr">
        <is>
          <t>Bean, black, seed</t>
        </is>
      </c>
      <c r="C81" s="101" t="inlineStr">
        <is>
          <t>dry weight of bean</t>
        </is>
      </c>
      <c r="D81" s="101" t="inlineStr">
        <is>
          <t>Includes black turtle bean, Bayo, and brown bean.</t>
        </is>
      </c>
      <c r="E81" s="101" t="n">
        <v>770</v>
      </c>
      <c r="F81" s="84">
        <f>N81*H81+T81</f>
        <v/>
      </c>
      <c r="G81" s="85">
        <f>R81*H81+U81</f>
        <v/>
      </c>
      <c r="H81" s="102" t="n">
        <v>1</v>
      </c>
      <c r="I81" s="103" t="inlineStr">
        <is>
          <t>None</t>
        </is>
      </c>
      <c r="J81" s="113" t="n">
        <v>1</v>
      </c>
      <c r="K81" s="89" t="inlineStr">
        <is>
          <t>bean_dry</t>
        </is>
      </c>
      <c r="L81" s="90">
        <f>IF(ISERROR(GETPIVOTDATA(IF($J81=1,"Count of ACTIVE     CED, FARM GATE (MJ/kg)","Count of CED, processor gate (MJ/kg)"),'[1]Pivot Table_CED'!$A$3,"SUB TYPE",$B81)),"PROXY",IF(GETPIVOTDATA(IF($J81=1,"Count of ACTIVE     CED, FARM GATE (MJ/kg)","Count of CED, processor gate (MJ/kg)"),'[1]Pivot Table_CED'!$A$3,"SUB TYPE",$B81)=0,"PROXY","DB value"))</f>
        <v/>
      </c>
      <c r="M81" s="91">
        <f>IF($L81="PROXY",DCOUNT('[1]literature entries'!$D:$AI,IF($J81=1,"ACTIVE     CED, FARM GATE (MJ/kg)","CED, processor gate (MJ/kg)"),INDIRECT($K81)),GETPIVOTDATA(IF($J81=1,"Count of ACTIVE     CED, FARM GATE (MJ/kg)","Count of CED, processor gate (MJ/kg)"),'[1]Pivot Table_CED'!$A$3,"SUB TYPE",$B81))</f>
        <v/>
      </c>
      <c r="N81" s="92">
        <f>IF($L81="PROXY",DAVERAGE('[1]literature entries'!$D:$AI,IF($J81=1,"ACTIVE     CED, FARM GATE (MJ/kg)","CED, processor gate (MJ/kg)"),INDIRECT($K81)),GETPIVOTDATA(IF($J81=1,"Average of ACTIVE     CED, FARM GATE (MJ/kg)","Average of CED, processor gate (MJ/kg)"),'[1]Pivot Table_CED'!$A$3,"SUB TYPE",$B81))</f>
        <v/>
      </c>
      <c r="O81" s="92">
        <f>IF($L81="PROXY",DSTDEV('[1]literature entries'!D:AI,IF($J81=1,"ACTIVE     CED, FARM GATE (MJ/kg)","CED, processor gate (MJ/kg)"),INDIRECT($K81)),GETPIVOTDATA(IF($J81=1,"StdDev of ACTIVE     CED, FARM GATE (MJ/kg)","StdDev of CED, processor gate (MJ/kg)"),'[1]Pivot Table_CED'!$A$3,"SUB TYPE",$B81))</f>
        <v/>
      </c>
      <c r="P81" s="90">
        <f>IF(ISERROR(GETPIVOTDATA(IF($J81=1,"Count of ACTIVE     GHGE, FARM GATE (kg CO2e/kg)","Count of GHGE, processor gate (kg CO2e/kg)"),'[1]Pivot Table_GHG'!$A$3,"SUB TYPE",$B81)),"PROXY",IF(GETPIVOTDATA(IF($J81=1,"Count of ACTIVE     GHGE, FARM GATE (kg CO2e/kg)","Count of GHGE, processor gate (kg CO2e/kg)"),'[1]Pivot Table_GHG'!$A$3,"SUB TYPE",$B81)=0,"PROXY","DB value"))</f>
        <v/>
      </c>
      <c r="Q81" s="93">
        <f>IF($P81="PROXY",DCOUNT('[1]literature entries'!$D:$AI,IF($J81=1,"ACTIVE     GHGE, FARM GATE (kg CO2e/kg)","GHGE, processor gate (kg CO2e/kg)"),INDIRECT($K81)),GETPIVOTDATA(IF($J81=1,"ACTIVE     GHGE, FARM GATE (kg CO2e/kg)","Count of GHGE, processor gate (kg CO2e/kg)"),'[1]Pivot Table_GHG'!$A$3,"SUB TYPE",$B81))</f>
        <v/>
      </c>
      <c r="R81" s="94">
        <f>IF($P81="PROXY",DAVERAGE('[1]literature entries'!$D:$AI,IF($J81=1,"ACTIVE     GHGE, FARM GATE (kg CO2e/kg)","GHGE, processor gate (kg CO2e/kg)"),INDIRECT($K81)),GETPIVOTDATA(IF($J81=1,"Average of ACTIVE     GHGE, FARM GATE (kg CO2e/kg)","Average of GHGE, processor gate (kg CO2e/kg)"),'[1]Pivot Table_GHG'!$A$3,"SUB TYPE",$B81))</f>
        <v/>
      </c>
      <c r="S81" s="94">
        <f>IF($P81="PROXY",DSTDEV('[1]literature entries'!$D:$AI,IF($J81=1,"ACTIVE     GHGE, FARM GATE (kg CO2e/kg)","GHGE, processor gate (kg CO2e/kg)"),INDIRECT($K81)),GETPIVOTDATA(IF($J81=1,"StdDev of ACTIVE     GHGE, FARM GATE (kg CO2e/kg)","StdDev of GHGE, processor gate (kg CO2e/kg)"),'[1]Pivot Table_GHG'!$A$3,"SUB TYPE",$B81))</f>
        <v/>
      </c>
      <c r="T81" s="105" t="n"/>
      <c r="U81" s="106" t="n"/>
      <c r="V81" s="97" t="n"/>
      <c r="W81" s="120" t="inlineStr">
        <is>
          <t>legume_seed</t>
        </is>
      </c>
      <c r="X81" s="98">
        <f>IF($W81="DIRECT",M81,DCOUNT('[1]literature entries'!$D:$AI,IF($J81=1,"ACTIVE     CED, FARM GATE (MJ/kg)","CED, processor gate (MJ/kg)"),INDIRECT($W81)))</f>
        <v/>
      </c>
      <c r="Y81" s="98">
        <f>IF($W81="DIRECT","",DAVERAGE('[1]literature entries'!$D:$AI,IF($J81=1,"ACTIVE     CED, FARM GATE (MJ/kg)","CED, processor gate (MJ/kg)"),INDIRECT($W81)))</f>
        <v/>
      </c>
      <c r="Z81" s="98">
        <f>IF($W81="DIRECT",$O81,DSTDEV('[1]literature entries'!$D:$AI,IF($J81=1,"ACTIVE     CED, FARM GATE (MJ/kg)","CED, processor gate (MJ/kg)"),INDIRECT($W81)))</f>
        <v/>
      </c>
      <c r="AA81" s="98">
        <f>IF($W81="DIRECT",$O81,$Z81/$Y81*$N81)</f>
        <v/>
      </c>
      <c r="AB81" s="121" t="inlineStr">
        <is>
          <t>legume_seed</t>
        </is>
      </c>
      <c r="AC81" s="99">
        <f>IF($AB81="DIRECT",Q81,DCOUNT('[1]literature entries'!$D:$AI,IF($J81=1,"ACTIVE     GHGE, FARM GATE (kg CO2e/kg)","GHGE, processor gate (kg CO2e/kg)"),INDIRECT($AB81)))</f>
        <v/>
      </c>
      <c r="AD81" s="99">
        <f>IF($AB81="DIRECT","",DAVERAGE('[1]literature entries'!$D:$AI,IF($J81=1,"ACTIVE     GHGE, FARM GATE (kg CO2e/kg)","GHGE, processor gate (kg CO2e/kg)"),INDIRECT($AB81)))</f>
        <v/>
      </c>
      <c r="AE81" s="99">
        <f>IF($AB81="DIRECT",$S81,DSTDEV('[1]literature entries'!$D:$AI,IF($J81=1,"ACTIVE     GHGE, FARM GATE (kg CO2e/kg)","GHGE, processor gate (kg CO2e/kg)"),INDIRECT($AB81)))</f>
        <v/>
      </c>
      <c r="AF81" s="99">
        <f>IF($AB81="DIRECT",$S81,$AE81/$AD81*$R81)</f>
        <v/>
      </c>
    </row>
    <row r="82" ht="15.75" customHeight="1" s="201">
      <c r="A82" s="100" t="n">
        <v>603032000</v>
      </c>
      <c r="B82" s="101" t="inlineStr">
        <is>
          <t>Bean, broad, seed</t>
        </is>
      </c>
      <c r="C82" s="101" t="inlineStr">
        <is>
          <t>dry weight of bean</t>
        </is>
      </c>
      <c r="D82" s="101" t="inlineStr">
        <is>
          <t>Also called fava bean.</t>
        </is>
      </c>
      <c r="E82" s="101" t="n">
        <v>13</v>
      </c>
      <c r="F82" s="84">
        <f>N82*H82+T82</f>
        <v/>
      </c>
      <c r="G82" s="85">
        <f>R82*H82+U82</f>
        <v/>
      </c>
      <c r="H82" s="102" t="n">
        <v>1</v>
      </c>
      <c r="I82" s="103" t="inlineStr">
        <is>
          <t>None</t>
        </is>
      </c>
      <c r="J82" s="113" t="n">
        <v>1</v>
      </c>
      <c r="K82" s="89" t="inlineStr">
        <is>
          <t>bean_dry</t>
        </is>
      </c>
      <c r="L82" s="90">
        <f>IF(ISERROR(GETPIVOTDATA(IF($J82=1,"Count of ACTIVE     CED, FARM GATE (MJ/kg)","Count of CED, processor gate (MJ/kg)"),'[1]Pivot Table_CED'!$A$3,"SUB TYPE",$B82)),"PROXY",IF(GETPIVOTDATA(IF($J82=1,"Count of ACTIVE     CED, FARM GATE (MJ/kg)","Count of CED, processor gate (MJ/kg)"),'[1]Pivot Table_CED'!$A$3,"SUB TYPE",$B82)=0,"PROXY","DB value"))</f>
        <v/>
      </c>
      <c r="M82" s="91">
        <f>IF($L82="PROXY",DCOUNT('[1]literature entries'!$D:$AI,IF($J82=1,"ACTIVE     CED, FARM GATE (MJ/kg)","CED, processor gate (MJ/kg)"),INDIRECT($K82)),GETPIVOTDATA(IF($J82=1,"Count of ACTIVE     CED, FARM GATE (MJ/kg)","Count of CED, processor gate (MJ/kg)"),'[1]Pivot Table_CED'!$A$3,"SUB TYPE",$B82))</f>
        <v/>
      </c>
      <c r="N82" s="92">
        <f>IF($L82="PROXY",DAVERAGE('[1]literature entries'!$D:$AI,IF($J82=1,"ACTIVE     CED, FARM GATE (MJ/kg)","CED, processor gate (MJ/kg)"),INDIRECT($K82)),GETPIVOTDATA(IF($J82=1,"Average of ACTIVE     CED, FARM GATE (MJ/kg)","Average of CED, processor gate (MJ/kg)"),'[1]Pivot Table_CED'!$A$3,"SUB TYPE",$B82))</f>
        <v/>
      </c>
      <c r="O82" s="92">
        <f>IF($L82="PROXY",DSTDEV('[1]literature entries'!D:AI,IF($J82=1,"ACTIVE     CED, FARM GATE (MJ/kg)","CED, processor gate (MJ/kg)"),INDIRECT($K82)),GETPIVOTDATA(IF($J82=1,"StdDev of ACTIVE     CED, FARM GATE (MJ/kg)","StdDev of CED, processor gate (MJ/kg)"),'[1]Pivot Table_CED'!$A$3,"SUB TYPE",$B82))</f>
        <v/>
      </c>
      <c r="P82" s="90">
        <f>IF(ISERROR(GETPIVOTDATA(IF($J82=1,"Count of ACTIVE     GHGE, FARM GATE (kg CO2e/kg)","Count of GHGE, processor gate (kg CO2e/kg)"),'[1]Pivot Table_GHG'!$A$3,"SUB TYPE",$B82)),"PROXY",IF(GETPIVOTDATA(IF($J82=1,"Count of ACTIVE     GHGE, FARM GATE (kg CO2e/kg)","Count of GHGE, processor gate (kg CO2e/kg)"),'[1]Pivot Table_GHG'!$A$3,"SUB TYPE",$B82)=0,"PROXY","DB value"))</f>
        <v/>
      </c>
      <c r="Q82" s="93">
        <f>IF($P82="PROXY",DCOUNT('[1]literature entries'!$D:$AI,IF($J82=1,"ACTIVE     GHGE, FARM GATE (kg CO2e/kg)","GHGE, processor gate (kg CO2e/kg)"),INDIRECT($K82)),GETPIVOTDATA(IF($J82=1,"ACTIVE     GHGE, FARM GATE (kg CO2e/kg)","Count of GHGE, processor gate (kg CO2e/kg)"),'[1]Pivot Table_GHG'!$A$3,"SUB TYPE",$B82))</f>
        <v/>
      </c>
      <c r="R82" s="94">
        <f>IF($P82="PROXY",DAVERAGE('[1]literature entries'!$D:$AI,IF($J82=1,"ACTIVE     GHGE, FARM GATE (kg CO2e/kg)","GHGE, processor gate (kg CO2e/kg)"),INDIRECT($K82)),GETPIVOTDATA(IF($J82=1,"Average of ACTIVE     GHGE, FARM GATE (kg CO2e/kg)","Average of GHGE, processor gate (kg CO2e/kg)"),'[1]Pivot Table_GHG'!$A$3,"SUB TYPE",$B82))</f>
        <v/>
      </c>
      <c r="S82" s="94">
        <f>IF($P82="PROXY",DSTDEV('[1]literature entries'!$D:$AI,IF($J82=1,"ACTIVE     GHGE, FARM GATE (kg CO2e/kg)","GHGE, processor gate (kg CO2e/kg)"),INDIRECT($K82)),GETPIVOTDATA(IF($J82=1,"StdDev of ACTIVE     GHGE, FARM GATE (kg CO2e/kg)","StdDev of GHGE, processor gate (kg CO2e/kg)"),'[1]Pivot Table_GHG'!$A$3,"SUB TYPE",$B82))</f>
        <v/>
      </c>
      <c r="T82" s="105" t="n"/>
      <c r="U82" s="106" t="n"/>
      <c r="V82" s="97" t="n"/>
      <c r="W82" s="120" t="inlineStr">
        <is>
          <t>legume_seed</t>
        </is>
      </c>
      <c r="X82" s="98">
        <f>IF($W82="DIRECT",M82,DCOUNT('[1]literature entries'!$D:$AI,IF($J82=1,"ACTIVE     CED, FARM GATE (MJ/kg)","CED, processor gate (MJ/kg)"),INDIRECT($W82)))</f>
        <v/>
      </c>
      <c r="Y82" s="98">
        <f>IF($W82="DIRECT","",DAVERAGE('[1]literature entries'!$D:$AI,IF($J82=1,"ACTIVE     CED, FARM GATE (MJ/kg)","CED, processor gate (MJ/kg)"),INDIRECT($W82)))</f>
        <v/>
      </c>
      <c r="Z82" s="98">
        <f>IF($W82="DIRECT",$O82,DSTDEV('[1]literature entries'!$D:$AI,IF($J82=1,"ACTIVE     CED, FARM GATE (MJ/kg)","CED, processor gate (MJ/kg)"),INDIRECT($W82)))</f>
        <v/>
      </c>
      <c r="AA82" s="98">
        <f>IF($W82="DIRECT",$O82,$Z82/$Y82*$N82)</f>
        <v/>
      </c>
      <c r="AB82" s="121" t="inlineStr">
        <is>
          <t>legume_seed</t>
        </is>
      </c>
      <c r="AC82" s="99">
        <f>IF($AB82="DIRECT",Q82,DCOUNT('[1]literature entries'!$D:$AI,IF($J82=1,"ACTIVE     GHGE, FARM GATE (kg CO2e/kg)","GHGE, processor gate (kg CO2e/kg)"),INDIRECT($AB82)))</f>
        <v/>
      </c>
      <c r="AD82" s="99">
        <f>IF($AB82="DIRECT","",DAVERAGE('[1]literature entries'!$D:$AI,IF($J82=1,"ACTIVE     GHGE, FARM GATE (kg CO2e/kg)","GHGE, processor gate (kg CO2e/kg)"),INDIRECT($AB82)))</f>
        <v/>
      </c>
      <c r="AE82" s="99">
        <f>IF($AB82="DIRECT",$S82,DSTDEV('[1]literature entries'!$D:$AI,IF($J82=1,"ACTIVE     GHGE, FARM GATE (kg CO2e/kg)","GHGE, processor gate (kg CO2e/kg)"),INDIRECT($AB82)))</f>
        <v/>
      </c>
      <c r="AF82" s="99">
        <f>IF($AB82="DIRECT",$S82,$AE82/$AD82*$R82)</f>
        <v/>
      </c>
    </row>
    <row r="83" ht="15.75" customHeight="1" s="201">
      <c r="A83" s="100" t="n">
        <v>603034000</v>
      </c>
      <c r="B83" s="101" t="inlineStr">
        <is>
          <t>Bean, cowpea, seed</t>
        </is>
      </c>
      <c r="C83" s="101" t="inlineStr">
        <is>
          <t>dry weight of bean</t>
        </is>
      </c>
      <c r="D83" s="101" t="inlineStr">
        <is>
          <t>Includes cowpea, crowder pea, blackeye pea, and southern pea.</t>
        </is>
      </c>
      <c r="E83" s="101" t="n">
        <v>54</v>
      </c>
      <c r="F83" s="84">
        <f>N83*H83+T83</f>
        <v/>
      </c>
      <c r="G83" s="85">
        <f>R83*H83+U83</f>
        <v/>
      </c>
      <c r="H83" s="102" t="n">
        <v>1</v>
      </c>
      <c r="I83" s="103" t="inlineStr">
        <is>
          <t>None</t>
        </is>
      </c>
      <c r="J83" s="104" t="n">
        <v>1</v>
      </c>
      <c r="K83" s="89" t="inlineStr">
        <is>
          <t>bean_dry</t>
        </is>
      </c>
      <c r="L83" s="90">
        <f>IF(ISERROR(GETPIVOTDATA(IF($J83=1,"Count of ACTIVE     CED, FARM GATE (MJ/kg)","Count of CED, processor gate (MJ/kg)"),'[1]Pivot Table_CED'!$A$3,"SUB TYPE",$B83)),"PROXY",IF(GETPIVOTDATA(IF($J83=1,"Count of ACTIVE     CED, FARM GATE (MJ/kg)","Count of CED, processor gate (MJ/kg)"),'[1]Pivot Table_CED'!$A$3,"SUB TYPE",$B83)=0,"PROXY","DB value"))</f>
        <v/>
      </c>
      <c r="M83" s="91">
        <f>IF($L83="PROXY",DCOUNT('[1]literature entries'!$D:$AI,IF($J83=1,"ACTIVE     CED, FARM GATE (MJ/kg)","CED, processor gate (MJ/kg)"),INDIRECT($K83)),GETPIVOTDATA(IF($J83=1,"Count of ACTIVE     CED, FARM GATE (MJ/kg)","Count of CED, processor gate (MJ/kg)"),'[1]Pivot Table_CED'!$A$3,"SUB TYPE",$B83))</f>
        <v/>
      </c>
      <c r="N83" s="92">
        <f>IF($L83="PROXY",DAVERAGE('[1]literature entries'!$D:$AI,IF($J83=1,"ACTIVE     CED, FARM GATE (MJ/kg)","CED, processor gate (MJ/kg)"),INDIRECT($K83)),GETPIVOTDATA(IF($J83=1,"Average of ACTIVE     CED, FARM GATE (MJ/kg)","Average of CED, processor gate (MJ/kg)"),'[1]Pivot Table_CED'!$A$3,"SUB TYPE",$B83))</f>
        <v/>
      </c>
      <c r="O83" s="92">
        <f>IF($L83="PROXY",DSTDEV('[1]literature entries'!D:AI,IF($J83=1,"ACTIVE     CED, FARM GATE (MJ/kg)","CED, processor gate (MJ/kg)"),INDIRECT($K83)),GETPIVOTDATA(IF($J83=1,"StdDev of ACTIVE     CED, FARM GATE (MJ/kg)","StdDev of CED, processor gate (MJ/kg)"),'[1]Pivot Table_CED'!$A$3,"SUB TYPE",$B83))</f>
        <v/>
      </c>
      <c r="P83" s="90">
        <f>IF(ISERROR(GETPIVOTDATA(IF($J83=1,"Count of ACTIVE     GHGE, FARM GATE (kg CO2e/kg)","Count of GHGE, processor gate (kg CO2e/kg)"),'[1]Pivot Table_GHG'!$A$3,"SUB TYPE",$B83)),"PROXY",IF(GETPIVOTDATA(IF($J83=1,"Count of ACTIVE     GHGE, FARM GATE (kg CO2e/kg)","Count of GHGE, processor gate (kg CO2e/kg)"),'[1]Pivot Table_GHG'!$A$3,"SUB TYPE",$B83)=0,"PROXY","DB value"))</f>
        <v/>
      </c>
      <c r="Q83" s="93">
        <f>IF($P83="PROXY",DCOUNT('[1]literature entries'!$D:$AI,IF($J83=1,"ACTIVE     GHGE, FARM GATE (kg CO2e/kg)","GHGE, processor gate (kg CO2e/kg)"),INDIRECT($K83)),GETPIVOTDATA(IF($J83=1,"ACTIVE     GHGE, FARM GATE (kg CO2e/kg)","Count of GHGE, processor gate (kg CO2e/kg)"),'[1]Pivot Table_GHG'!$A$3,"SUB TYPE",$B83))</f>
        <v/>
      </c>
      <c r="R83" s="94">
        <f>IF($P83="PROXY",DAVERAGE('[1]literature entries'!$D:$AI,IF($J83=1,"ACTIVE     GHGE, FARM GATE (kg CO2e/kg)","GHGE, processor gate (kg CO2e/kg)"),INDIRECT($K83)),GETPIVOTDATA(IF($J83=1,"Average of ACTIVE     GHGE, FARM GATE (kg CO2e/kg)","Average of GHGE, processor gate (kg CO2e/kg)"),'[1]Pivot Table_GHG'!$A$3,"SUB TYPE",$B83))</f>
        <v/>
      </c>
      <c r="S83" s="94">
        <f>IF($P83="PROXY",DSTDEV('[1]literature entries'!$D:$AI,IF($J83=1,"ACTIVE     GHGE, FARM GATE (kg CO2e/kg)","GHGE, processor gate (kg CO2e/kg)"),INDIRECT($K83)),GETPIVOTDATA(IF($J83=1,"StdDev of ACTIVE     GHGE, FARM GATE (kg CO2e/kg)","StdDev of GHGE, processor gate (kg CO2e/kg)"),'[1]Pivot Table_GHG'!$A$3,"SUB TYPE",$B83))</f>
        <v/>
      </c>
      <c r="T83" s="105" t="n"/>
      <c r="U83" s="106" t="n"/>
      <c r="V83" s="97" t="n"/>
      <c r="W83" s="120" t="inlineStr">
        <is>
          <t>legume_seed</t>
        </is>
      </c>
      <c r="X83" s="98">
        <f>IF($W83="DIRECT",M83,DCOUNT('[1]literature entries'!$D:$AI,IF($J83=1,"ACTIVE     CED, FARM GATE (MJ/kg)","CED, processor gate (MJ/kg)"),INDIRECT($W83)))</f>
        <v/>
      </c>
      <c r="Y83" s="98">
        <f>IF($W83="DIRECT","",DAVERAGE('[1]literature entries'!$D:$AI,IF($J83=1,"ACTIVE     CED, FARM GATE (MJ/kg)","CED, processor gate (MJ/kg)"),INDIRECT($W83)))</f>
        <v/>
      </c>
      <c r="Z83" s="98">
        <f>IF($W83="DIRECT",$O83,DSTDEV('[1]literature entries'!$D:$AI,IF($J83=1,"ACTIVE     CED, FARM GATE (MJ/kg)","CED, processor gate (MJ/kg)"),INDIRECT($W83)))</f>
        <v/>
      </c>
      <c r="AA83" s="98">
        <f>IF($W83="DIRECT",$O83,$Z83/$Y83*$N83)</f>
        <v/>
      </c>
      <c r="AB83" s="121" t="inlineStr">
        <is>
          <t>legume_seed</t>
        </is>
      </c>
      <c r="AC83" s="99">
        <f>IF($AB83="DIRECT",Q83,DCOUNT('[1]literature entries'!$D:$AI,IF($J83=1,"ACTIVE     GHGE, FARM GATE (kg CO2e/kg)","GHGE, processor gate (kg CO2e/kg)"),INDIRECT($AB83)))</f>
        <v/>
      </c>
      <c r="AD83" s="99">
        <f>IF($AB83="DIRECT","",DAVERAGE('[1]literature entries'!$D:$AI,IF($J83=1,"ACTIVE     GHGE, FARM GATE (kg CO2e/kg)","GHGE, processor gate (kg CO2e/kg)"),INDIRECT($AB83)))</f>
        <v/>
      </c>
      <c r="AE83" s="99">
        <f>IF($AB83="DIRECT",$S83,DSTDEV('[1]literature entries'!$D:$AI,IF($J83=1,"ACTIVE     GHGE, FARM GATE (kg CO2e/kg)","GHGE, processor gate (kg CO2e/kg)"),INDIRECT($AB83)))</f>
        <v/>
      </c>
      <c r="AF83" s="99">
        <f>IF($AB83="DIRECT",$S83,$AE83/$AD83*$R83)</f>
        <v/>
      </c>
    </row>
    <row r="84" ht="15.75" customHeight="1" s="201">
      <c r="A84" s="100" t="n">
        <v>603035000</v>
      </c>
      <c r="B84" s="101" t="inlineStr">
        <is>
          <t>Bean,  great northern, seed</t>
        </is>
      </c>
      <c r="C84" s="101" t="inlineStr">
        <is>
          <t>dry weight of bean</t>
        </is>
      </c>
      <c r="D84" s="101" t="n"/>
      <c r="E84" s="101" t="n">
        <v>1934</v>
      </c>
      <c r="F84" s="84">
        <f>N84*H84+T84</f>
        <v/>
      </c>
      <c r="G84" s="85">
        <f>R84*H84+U84</f>
        <v/>
      </c>
      <c r="H84" s="102" t="n">
        <v>1</v>
      </c>
      <c r="I84" s="103" t="inlineStr">
        <is>
          <t>None</t>
        </is>
      </c>
      <c r="J84" s="104" t="n">
        <v>1</v>
      </c>
      <c r="K84" s="89" t="inlineStr">
        <is>
          <t>bean_dry</t>
        </is>
      </c>
      <c r="L84" s="90">
        <f>IF(ISERROR(GETPIVOTDATA(IF($J84=1,"Count of ACTIVE     CED, FARM GATE (MJ/kg)","Count of CED, processor gate (MJ/kg)"),'[1]Pivot Table_CED'!$A$3,"SUB TYPE",$B84)),"PROXY",IF(GETPIVOTDATA(IF($J84=1,"Count of ACTIVE     CED, FARM GATE (MJ/kg)","Count of CED, processor gate (MJ/kg)"),'[1]Pivot Table_CED'!$A$3,"SUB TYPE",$B84)=0,"PROXY","DB value"))</f>
        <v/>
      </c>
      <c r="M84" s="91">
        <f>IF($L84="PROXY",DCOUNT('[1]literature entries'!$D:$AI,IF($J84=1,"ACTIVE     CED, FARM GATE (MJ/kg)","CED, processor gate (MJ/kg)"),INDIRECT($K84)),GETPIVOTDATA(IF($J84=1,"Count of ACTIVE     CED, FARM GATE (MJ/kg)","Count of CED, processor gate (MJ/kg)"),'[1]Pivot Table_CED'!$A$3,"SUB TYPE",$B84))</f>
        <v/>
      </c>
      <c r="N84" s="92">
        <f>IF($L84="PROXY",DAVERAGE('[1]literature entries'!$D:$AI,IF($J84=1,"ACTIVE     CED, FARM GATE (MJ/kg)","CED, processor gate (MJ/kg)"),INDIRECT($K84)),GETPIVOTDATA(IF($J84=1,"Average of ACTIVE     CED, FARM GATE (MJ/kg)","Average of CED, processor gate (MJ/kg)"),'[1]Pivot Table_CED'!$A$3,"SUB TYPE",$B84))</f>
        <v/>
      </c>
      <c r="O84" s="92">
        <f>IF($L84="PROXY",DSTDEV('[1]literature entries'!D:AI,IF($J84=1,"ACTIVE     CED, FARM GATE (MJ/kg)","CED, processor gate (MJ/kg)"),INDIRECT($K84)),GETPIVOTDATA(IF($J84=1,"StdDev of ACTIVE     CED, FARM GATE (MJ/kg)","StdDev of CED, processor gate (MJ/kg)"),'[1]Pivot Table_CED'!$A$3,"SUB TYPE",$B84))</f>
        <v/>
      </c>
      <c r="P84" s="90">
        <f>IF(ISERROR(GETPIVOTDATA(IF($J84=1,"Count of ACTIVE     GHGE, FARM GATE (kg CO2e/kg)","Count of GHGE, processor gate (kg CO2e/kg)"),'[1]Pivot Table_GHG'!$A$3,"SUB TYPE",$B84)),"PROXY",IF(GETPIVOTDATA(IF($J84=1,"Count of ACTIVE     GHGE, FARM GATE (kg CO2e/kg)","Count of GHGE, processor gate (kg CO2e/kg)"),'[1]Pivot Table_GHG'!$A$3,"SUB TYPE",$B84)=0,"PROXY","DB value"))</f>
        <v/>
      </c>
      <c r="Q84" s="93">
        <f>IF($P84="PROXY",DCOUNT('[1]literature entries'!$D:$AI,IF($J84=1,"ACTIVE     GHGE, FARM GATE (kg CO2e/kg)","GHGE, processor gate (kg CO2e/kg)"),INDIRECT($K84)),GETPIVOTDATA(IF($J84=1,"ACTIVE     GHGE, FARM GATE (kg CO2e/kg)","Count of GHGE, processor gate (kg CO2e/kg)"),'[1]Pivot Table_GHG'!$A$3,"SUB TYPE",$B84))</f>
        <v/>
      </c>
      <c r="R84" s="94">
        <f>IF($P84="PROXY",DAVERAGE('[1]literature entries'!$D:$AI,IF($J84=1,"ACTIVE     GHGE, FARM GATE (kg CO2e/kg)","GHGE, processor gate (kg CO2e/kg)"),INDIRECT($K84)),GETPIVOTDATA(IF($J84=1,"Average of ACTIVE     GHGE, FARM GATE (kg CO2e/kg)","Average of GHGE, processor gate (kg CO2e/kg)"),'[1]Pivot Table_GHG'!$A$3,"SUB TYPE",$B84))</f>
        <v/>
      </c>
      <c r="S84" s="94">
        <f>IF($P84="PROXY",DSTDEV('[1]literature entries'!$D:$AI,IF($J84=1,"ACTIVE     GHGE, FARM GATE (kg CO2e/kg)","GHGE, processor gate (kg CO2e/kg)"),INDIRECT($K84)),GETPIVOTDATA(IF($J84=1,"StdDev of ACTIVE     GHGE, FARM GATE (kg CO2e/kg)","StdDev of GHGE, processor gate (kg CO2e/kg)"),'[1]Pivot Table_GHG'!$A$3,"SUB TYPE",$B84))</f>
        <v/>
      </c>
      <c r="T84" s="105" t="n"/>
      <c r="U84" s="106" t="n"/>
      <c r="V84" s="97" t="n"/>
      <c r="W84" s="120" t="inlineStr">
        <is>
          <t>legume_seed</t>
        </is>
      </c>
      <c r="X84" s="98">
        <f>IF($W84="DIRECT",M84,DCOUNT('[1]literature entries'!$D:$AI,IF($J84=1,"ACTIVE     CED, FARM GATE (MJ/kg)","CED, processor gate (MJ/kg)"),INDIRECT($W84)))</f>
        <v/>
      </c>
      <c r="Y84" s="98">
        <f>IF($W84="DIRECT","",DAVERAGE('[1]literature entries'!$D:$AI,IF($J84=1,"ACTIVE     CED, FARM GATE (MJ/kg)","CED, processor gate (MJ/kg)"),INDIRECT($W84)))</f>
        <v/>
      </c>
      <c r="Z84" s="98">
        <f>IF($W84="DIRECT",$O84,DSTDEV('[1]literature entries'!$D:$AI,IF($J84=1,"ACTIVE     CED, FARM GATE (MJ/kg)","CED, processor gate (MJ/kg)"),INDIRECT($W84)))</f>
        <v/>
      </c>
      <c r="AA84" s="98">
        <f>IF($W84="DIRECT",$O84,$Z84/$Y84*$N84)</f>
        <v/>
      </c>
      <c r="AB84" s="121" t="inlineStr">
        <is>
          <t>legume_seed</t>
        </is>
      </c>
      <c r="AC84" s="99">
        <f>IF($AB84="DIRECT",Q84,DCOUNT('[1]literature entries'!$D:$AI,IF($J84=1,"ACTIVE     GHGE, FARM GATE (kg CO2e/kg)","GHGE, processor gate (kg CO2e/kg)"),INDIRECT($AB84)))</f>
        <v/>
      </c>
      <c r="AD84" s="99">
        <f>IF($AB84="DIRECT","",DAVERAGE('[1]literature entries'!$D:$AI,IF($J84=1,"ACTIVE     GHGE, FARM GATE (kg CO2e/kg)","GHGE, processor gate (kg CO2e/kg)"),INDIRECT($AB84)))</f>
        <v/>
      </c>
      <c r="AE84" s="99">
        <f>IF($AB84="DIRECT",$S84,DSTDEV('[1]literature entries'!$D:$AI,IF($J84=1,"ACTIVE     GHGE, FARM GATE (kg CO2e/kg)","GHGE, processor gate (kg CO2e/kg)"),INDIRECT($AB84)))</f>
        <v/>
      </c>
      <c r="AF84" s="99">
        <f>IF($AB84="DIRECT",$S84,$AE84/$AD84*$R84)</f>
        <v/>
      </c>
    </row>
    <row r="85" ht="15.75" customHeight="1" s="201">
      <c r="A85" s="100" t="n">
        <v>603036000</v>
      </c>
      <c r="B85" s="101" t="inlineStr">
        <is>
          <t>Bean, kidney, seed</t>
        </is>
      </c>
      <c r="C85" s="101" t="inlineStr">
        <is>
          <t>dry weight of bean</t>
        </is>
      </c>
      <c r="D85" s="101" t="n"/>
      <c r="E85" s="101" t="n">
        <v>1457</v>
      </c>
      <c r="F85" s="84">
        <f>N85*H85+T85</f>
        <v/>
      </c>
      <c r="G85" s="85">
        <f>R85*H85+U85</f>
        <v/>
      </c>
      <c r="H85" s="102" t="n">
        <v>1</v>
      </c>
      <c r="I85" s="103" t="inlineStr">
        <is>
          <t>None</t>
        </is>
      </c>
      <c r="J85" s="104" t="n">
        <v>1</v>
      </c>
      <c r="K85" s="89" t="inlineStr">
        <is>
          <t>bean_dry</t>
        </is>
      </c>
      <c r="L85" s="90">
        <f>IF(ISERROR(GETPIVOTDATA(IF($J85=1,"Count of ACTIVE     CED, FARM GATE (MJ/kg)","Count of CED, processor gate (MJ/kg)"),'[1]Pivot Table_CED'!$A$3,"SUB TYPE",$B85)),"PROXY",IF(GETPIVOTDATA(IF($J85=1,"Count of ACTIVE     CED, FARM GATE (MJ/kg)","Count of CED, processor gate (MJ/kg)"),'[1]Pivot Table_CED'!$A$3,"SUB TYPE",$B85)=0,"PROXY","DB value"))</f>
        <v/>
      </c>
      <c r="M85" s="91">
        <f>IF($L85="PROXY",DCOUNT('[1]literature entries'!$D:$AI,IF($J85=1,"ACTIVE     CED, FARM GATE (MJ/kg)","CED, processor gate (MJ/kg)"),INDIRECT($K85)),GETPIVOTDATA(IF($J85=1,"Count of ACTIVE     CED, FARM GATE (MJ/kg)","Count of CED, processor gate (MJ/kg)"),'[1]Pivot Table_CED'!$A$3,"SUB TYPE",$B85))</f>
        <v/>
      </c>
      <c r="N85" s="92">
        <f>IF($L85="PROXY",DAVERAGE('[1]literature entries'!$D:$AI,IF($J85=1,"ACTIVE     CED, FARM GATE (MJ/kg)","CED, processor gate (MJ/kg)"),INDIRECT($K85)),GETPIVOTDATA(IF($J85=1,"Average of ACTIVE     CED, FARM GATE (MJ/kg)","Average of CED, processor gate (MJ/kg)"),'[1]Pivot Table_CED'!$A$3,"SUB TYPE",$B85))</f>
        <v/>
      </c>
      <c r="O85" s="92">
        <f>IF($L85="PROXY",DSTDEV('[1]literature entries'!D:AI,IF($J85=1,"ACTIVE     CED, FARM GATE (MJ/kg)","CED, processor gate (MJ/kg)"),INDIRECT($K85)),GETPIVOTDATA(IF($J85=1,"StdDev of ACTIVE     CED, FARM GATE (MJ/kg)","StdDev of CED, processor gate (MJ/kg)"),'[1]Pivot Table_CED'!$A$3,"SUB TYPE",$B85))</f>
        <v/>
      </c>
      <c r="P85" s="90">
        <f>IF(ISERROR(GETPIVOTDATA(IF($J85=1,"Count of ACTIVE     GHGE, FARM GATE (kg CO2e/kg)","Count of GHGE, processor gate (kg CO2e/kg)"),'[1]Pivot Table_GHG'!$A$3,"SUB TYPE",$B85)),"PROXY",IF(GETPIVOTDATA(IF($J85=1,"Count of ACTIVE     GHGE, FARM GATE (kg CO2e/kg)","Count of GHGE, processor gate (kg CO2e/kg)"),'[1]Pivot Table_GHG'!$A$3,"SUB TYPE",$B85)=0,"PROXY","DB value"))</f>
        <v/>
      </c>
      <c r="Q85" s="93">
        <f>IF($P85="PROXY",DCOUNT('[1]literature entries'!$D:$AI,IF($J85=1,"ACTIVE     GHGE, FARM GATE (kg CO2e/kg)","GHGE, processor gate (kg CO2e/kg)"),INDIRECT($K85)),GETPIVOTDATA(IF($J85=1,"ACTIVE     GHGE, FARM GATE (kg CO2e/kg)","Count of GHGE, processor gate (kg CO2e/kg)"),'[1]Pivot Table_GHG'!$A$3,"SUB TYPE",$B85))</f>
        <v/>
      </c>
      <c r="R85" s="94">
        <f>IF($P85="PROXY",DAVERAGE('[1]literature entries'!$D:$AI,IF($J85=1,"ACTIVE     GHGE, FARM GATE (kg CO2e/kg)","GHGE, processor gate (kg CO2e/kg)"),INDIRECT($K85)),GETPIVOTDATA(IF($J85=1,"Average of ACTIVE     GHGE, FARM GATE (kg CO2e/kg)","Average of GHGE, processor gate (kg CO2e/kg)"),'[1]Pivot Table_GHG'!$A$3,"SUB TYPE",$B85))</f>
        <v/>
      </c>
      <c r="S85" s="94">
        <f>IF($P85="PROXY",DSTDEV('[1]literature entries'!$D:$AI,IF($J85=1,"ACTIVE     GHGE, FARM GATE (kg CO2e/kg)","GHGE, processor gate (kg CO2e/kg)"),INDIRECT($K85)),GETPIVOTDATA(IF($J85=1,"StdDev of ACTIVE     GHGE, FARM GATE (kg CO2e/kg)","StdDev of GHGE, processor gate (kg CO2e/kg)"),'[1]Pivot Table_GHG'!$A$3,"SUB TYPE",$B85))</f>
        <v/>
      </c>
      <c r="T85" s="105" t="n"/>
      <c r="U85" s="106" t="n"/>
      <c r="V85" s="97" t="n"/>
      <c r="W85" s="120" t="inlineStr">
        <is>
          <t>legume_seed</t>
        </is>
      </c>
      <c r="X85" s="98">
        <f>IF($W85="DIRECT",M85,DCOUNT('[1]literature entries'!$D:$AI,IF($J85=1,"ACTIVE     CED, FARM GATE (MJ/kg)","CED, processor gate (MJ/kg)"),INDIRECT($W85)))</f>
        <v/>
      </c>
      <c r="Y85" s="98">
        <f>IF($W85="DIRECT","",DAVERAGE('[1]literature entries'!$D:$AI,IF($J85=1,"ACTIVE     CED, FARM GATE (MJ/kg)","CED, processor gate (MJ/kg)"),INDIRECT($W85)))</f>
        <v/>
      </c>
      <c r="Z85" s="98">
        <f>IF($W85="DIRECT",$O85,DSTDEV('[1]literature entries'!$D:$AI,IF($J85=1,"ACTIVE     CED, FARM GATE (MJ/kg)","CED, processor gate (MJ/kg)"),INDIRECT($W85)))</f>
        <v/>
      </c>
      <c r="AA85" s="98">
        <f>IF($W85="DIRECT",$O85,$Z85/$Y85*$N85)</f>
        <v/>
      </c>
      <c r="AB85" s="121" t="inlineStr">
        <is>
          <t>legume_seed</t>
        </is>
      </c>
      <c r="AC85" s="99">
        <f>IF($AB85="DIRECT",Q85,DCOUNT('[1]literature entries'!$D:$AI,IF($J85=1,"ACTIVE     GHGE, FARM GATE (kg CO2e/kg)","GHGE, processor gate (kg CO2e/kg)"),INDIRECT($AB85)))</f>
        <v/>
      </c>
      <c r="AD85" s="99">
        <f>IF($AB85="DIRECT","",DAVERAGE('[1]literature entries'!$D:$AI,IF($J85=1,"ACTIVE     GHGE, FARM GATE (kg CO2e/kg)","GHGE, processor gate (kg CO2e/kg)"),INDIRECT($AB85)))</f>
        <v/>
      </c>
      <c r="AE85" s="99">
        <f>IF($AB85="DIRECT",$S85,DSTDEV('[1]literature entries'!$D:$AI,IF($J85=1,"ACTIVE     GHGE, FARM GATE (kg CO2e/kg)","GHGE, processor gate (kg CO2e/kg)"),INDIRECT($AB85)))</f>
        <v/>
      </c>
      <c r="AF85" s="99">
        <f>IF($AB85="DIRECT",$S85,$AE85/$AD85*$R85)</f>
        <v/>
      </c>
    </row>
    <row r="86" ht="15.75" customHeight="1" s="201">
      <c r="A86" s="100" t="n">
        <v>603038000</v>
      </c>
      <c r="B86" s="101" t="inlineStr">
        <is>
          <t>Bean, lima, seed</t>
        </is>
      </c>
      <c r="C86" s="101" t="inlineStr">
        <is>
          <t>dry weight of bean</t>
        </is>
      </c>
      <c r="D86" s="101" t="n"/>
      <c r="E86" s="101" t="n">
        <v>278</v>
      </c>
      <c r="F86" s="84">
        <f>N86*H86+T86</f>
        <v/>
      </c>
      <c r="G86" s="85">
        <f>R86*H86+U86</f>
        <v/>
      </c>
      <c r="H86" s="102" t="n">
        <v>1</v>
      </c>
      <c r="I86" s="103" t="inlineStr">
        <is>
          <t>None</t>
        </is>
      </c>
      <c r="J86" s="104" t="n">
        <v>1</v>
      </c>
      <c r="K86" s="89" t="inlineStr">
        <is>
          <t>bean_dry</t>
        </is>
      </c>
      <c r="L86" s="90">
        <f>IF(ISERROR(GETPIVOTDATA(IF($J86=1,"Count of ACTIVE     CED, FARM GATE (MJ/kg)","Count of CED, processor gate (MJ/kg)"),'[1]Pivot Table_CED'!$A$3,"SUB TYPE",$B86)),"PROXY",IF(GETPIVOTDATA(IF($J86=1,"Count of ACTIVE     CED, FARM GATE (MJ/kg)","Count of CED, processor gate (MJ/kg)"),'[1]Pivot Table_CED'!$A$3,"SUB TYPE",$B86)=0,"PROXY","DB value"))</f>
        <v/>
      </c>
      <c r="M86" s="91">
        <f>IF($L86="PROXY",DCOUNT('[1]literature entries'!$D:$AI,IF($J86=1,"ACTIVE     CED, FARM GATE (MJ/kg)","CED, processor gate (MJ/kg)"),INDIRECT($K86)),GETPIVOTDATA(IF($J86=1,"Count of ACTIVE     CED, FARM GATE (MJ/kg)","Count of CED, processor gate (MJ/kg)"),'[1]Pivot Table_CED'!$A$3,"SUB TYPE",$B86))</f>
        <v/>
      </c>
      <c r="N86" s="92">
        <f>IF($L86="PROXY",DAVERAGE('[1]literature entries'!$D:$AI,IF($J86=1,"ACTIVE     CED, FARM GATE (MJ/kg)","CED, processor gate (MJ/kg)"),INDIRECT($K86)),GETPIVOTDATA(IF($J86=1,"Average of ACTIVE     CED, FARM GATE (MJ/kg)","Average of CED, processor gate (MJ/kg)"),'[1]Pivot Table_CED'!$A$3,"SUB TYPE",$B86))</f>
        <v/>
      </c>
      <c r="O86" s="92">
        <f>IF($L86="PROXY",DSTDEV('[1]literature entries'!D:AI,IF($J86=1,"ACTIVE     CED, FARM GATE (MJ/kg)","CED, processor gate (MJ/kg)"),INDIRECT($K86)),GETPIVOTDATA(IF($J86=1,"StdDev of ACTIVE     CED, FARM GATE (MJ/kg)","StdDev of CED, processor gate (MJ/kg)"),'[1]Pivot Table_CED'!$A$3,"SUB TYPE",$B86))</f>
        <v/>
      </c>
      <c r="P86" s="90">
        <f>IF(ISERROR(GETPIVOTDATA(IF($J86=1,"Count of ACTIVE     GHGE, FARM GATE (kg CO2e/kg)","Count of GHGE, processor gate (kg CO2e/kg)"),'[1]Pivot Table_GHG'!$A$3,"SUB TYPE",$B86)),"PROXY",IF(GETPIVOTDATA(IF($J86=1,"Count of ACTIVE     GHGE, FARM GATE (kg CO2e/kg)","Count of GHGE, processor gate (kg CO2e/kg)"),'[1]Pivot Table_GHG'!$A$3,"SUB TYPE",$B86)=0,"PROXY","DB value"))</f>
        <v/>
      </c>
      <c r="Q86" s="93">
        <f>IF($P86="PROXY",DCOUNT('[1]literature entries'!$D:$AI,IF($J86=1,"ACTIVE     GHGE, FARM GATE (kg CO2e/kg)","GHGE, processor gate (kg CO2e/kg)"),INDIRECT($K86)),GETPIVOTDATA(IF($J86=1,"ACTIVE     GHGE, FARM GATE (kg CO2e/kg)","Count of GHGE, processor gate (kg CO2e/kg)"),'[1]Pivot Table_GHG'!$A$3,"SUB TYPE",$B86))</f>
        <v/>
      </c>
      <c r="R86" s="94">
        <f>IF($P86="PROXY",DAVERAGE('[1]literature entries'!$D:$AI,IF($J86=1,"ACTIVE     GHGE, FARM GATE (kg CO2e/kg)","GHGE, processor gate (kg CO2e/kg)"),INDIRECT($K86)),GETPIVOTDATA(IF($J86=1,"Average of ACTIVE     GHGE, FARM GATE (kg CO2e/kg)","Average of GHGE, processor gate (kg CO2e/kg)"),'[1]Pivot Table_GHG'!$A$3,"SUB TYPE",$B86))</f>
        <v/>
      </c>
      <c r="S86" s="94">
        <f>IF($P86="PROXY",DSTDEV('[1]literature entries'!$D:$AI,IF($J86=1,"ACTIVE     GHGE, FARM GATE (kg CO2e/kg)","GHGE, processor gate (kg CO2e/kg)"),INDIRECT($K86)),GETPIVOTDATA(IF($J86=1,"StdDev of ACTIVE     GHGE, FARM GATE (kg CO2e/kg)","StdDev of GHGE, processor gate (kg CO2e/kg)"),'[1]Pivot Table_GHG'!$A$3,"SUB TYPE",$B86))</f>
        <v/>
      </c>
      <c r="T86" s="105" t="n"/>
      <c r="U86" s="106" t="n"/>
      <c r="V86" s="97" t="n"/>
      <c r="W86" s="120" t="inlineStr">
        <is>
          <t>legume_seed</t>
        </is>
      </c>
      <c r="X86" s="98">
        <f>IF($W86="DIRECT",M86,DCOUNT('[1]literature entries'!$D:$AI,IF($J86=1,"ACTIVE     CED, FARM GATE (MJ/kg)","CED, processor gate (MJ/kg)"),INDIRECT($W86)))</f>
        <v/>
      </c>
      <c r="Y86" s="98">
        <f>IF($W86="DIRECT","",DAVERAGE('[1]literature entries'!$D:$AI,IF($J86=1,"ACTIVE     CED, FARM GATE (MJ/kg)","CED, processor gate (MJ/kg)"),INDIRECT($W86)))</f>
        <v/>
      </c>
      <c r="Z86" s="98">
        <f>IF($W86="DIRECT",$O86,DSTDEV('[1]literature entries'!$D:$AI,IF($J86=1,"ACTIVE     CED, FARM GATE (MJ/kg)","CED, processor gate (MJ/kg)"),INDIRECT($W86)))</f>
        <v/>
      </c>
      <c r="AA86" s="98">
        <f>IF($W86="DIRECT",$O86,$Z86/$Y86*$N86)</f>
        <v/>
      </c>
      <c r="AB86" s="121" t="inlineStr">
        <is>
          <t>legume_seed</t>
        </is>
      </c>
      <c r="AC86" s="99">
        <f>IF($AB86="DIRECT",Q86,DCOUNT('[1]literature entries'!$D:$AI,IF($J86=1,"ACTIVE     GHGE, FARM GATE (kg CO2e/kg)","GHGE, processor gate (kg CO2e/kg)"),INDIRECT($AB86)))</f>
        <v/>
      </c>
      <c r="AD86" s="99">
        <f>IF($AB86="DIRECT","",DAVERAGE('[1]literature entries'!$D:$AI,IF($J86=1,"ACTIVE     GHGE, FARM GATE (kg CO2e/kg)","GHGE, processor gate (kg CO2e/kg)"),INDIRECT($AB86)))</f>
        <v/>
      </c>
      <c r="AE86" s="99">
        <f>IF($AB86="DIRECT",$S86,DSTDEV('[1]literature entries'!$D:$AI,IF($J86=1,"ACTIVE     GHGE, FARM GATE (kg CO2e/kg)","GHGE, processor gate (kg CO2e/kg)"),INDIRECT($AB86)))</f>
        <v/>
      </c>
      <c r="AF86" s="99">
        <f>IF($AB86="DIRECT",$S86,$AE86/$AD86*$R86)</f>
        <v/>
      </c>
    </row>
    <row r="87" ht="15.75" customHeight="1" s="201">
      <c r="A87" s="100" t="n">
        <v>603039000</v>
      </c>
      <c r="B87" s="101" t="inlineStr">
        <is>
          <t>Bean, mung, seed</t>
        </is>
      </c>
      <c r="C87" s="101" t="inlineStr">
        <is>
          <t>dry weight of bean</t>
        </is>
      </c>
      <c r="D87" s="101" t="inlineStr">
        <is>
          <t>Bean sprouts are the human food item.</t>
        </is>
      </c>
      <c r="E87" s="101" t="n">
        <v>1452</v>
      </c>
      <c r="F87" s="84">
        <f>N87*H87+T87</f>
        <v/>
      </c>
      <c r="G87" s="85">
        <f>R87*H87+U87</f>
        <v/>
      </c>
      <c r="H87" s="102" t="n">
        <v>1</v>
      </c>
      <c r="I87" s="103" t="inlineStr">
        <is>
          <t>None</t>
        </is>
      </c>
      <c r="J87" s="104" t="n">
        <v>1</v>
      </c>
      <c r="K87" s="89" t="inlineStr">
        <is>
          <t>lentil_seed</t>
        </is>
      </c>
      <c r="L87" s="90">
        <f>IF(ISERROR(GETPIVOTDATA(IF($J87=1,"Count of ACTIVE     CED, FARM GATE (MJ/kg)","Count of CED, processor gate (MJ/kg)"),'[1]Pivot Table_CED'!$A$3,"SUB TYPE",$B87)),"PROXY",IF(GETPIVOTDATA(IF($J87=1,"Count of ACTIVE     CED, FARM GATE (MJ/kg)","Count of CED, processor gate (MJ/kg)"),'[1]Pivot Table_CED'!$A$3,"SUB TYPE",$B87)=0,"PROXY","DB value"))</f>
        <v/>
      </c>
      <c r="M87" s="91">
        <f>IF($L87="PROXY",DCOUNT('[1]literature entries'!$D:$AI,IF($J87=1,"ACTIVE     CED, FARM GATE (MJ/kg)","CED, processor gate (MJ/kg)"),INDIRECT($K87)),GETPIVOTDATA(IF($J87=1,"Count of ACTIVE     CED, FARM GATE (MJ/kg)","Count of CED, processor gate (MJ/kg)"),'[1]Pivot Table_CED'!$A$3,"SUB TYPE",$B87))</f>
        <v/>
      </c>
      <c r="N87" s="92">
        <f>IF($L87="PROXY",DAVERAGE('[1]literature entries'!$D:$AI,IF($J87=1,"ACTIVE     CED, FARM GATE (MJ/kg)","CED, processor gate (MJ/kg)"),INDIRECT($K87)),GETPIVOTDATA(IF($J87=1,"Average of ACTIVE     CED, FARM GATE (MJ/kg)","Average of CED, processor gate (MJ/kg)"),'[1]Pivot Table_CED'!$A$3,"SUB TYPE",$B87))</f>
        <v/>
      </c>
      <c r="O87" s="92">
        <f>IF($L87="PROXY",DSTDEV('[1]literature entries'!D:AI,IF($J87=1,"ACTIVE     CED, FARM GATE (MJ/kg)","CED, processor gate (MJ/kg)"),INDIRECT($K87)),GETPIVOTDATA(IF($J87=1,"StdDev of ACTIVE     CED, FARM GATE (MJ/kg)","StdDev of CED, processor gate (MJ/kg)"),'[1]Pivot Table_CED'!$A$3,"SUB TYPE",$B87))</f>
        <v/>
      </c>
      <c r="P87" s="90">
        <f>IF(ISERROR(GETPIVOTDATA(IF($J87=1,"Count of ACTIVE     GHGE, FARM GATE (kg CO2e/kg)","Count of GHGE, processor gate (kg CO2e/kg)"),'[1]Pivot Table_GHG'!$A$3,"SUB TYPE",$B87)),"PROXY",IF(GETPIVOTDATA(IF($J87=1,"Count of ACTIVE     GHGE, FARM GATE (kg CO2e/kg)","Count of GHGE, processor gate (kg CO2e/kg)"),'[1]Pivot Table_GHG'!$A$3,"SUB TYPE",$B87)=0,"PROXY","DB value"))</f>
        <v/>
      </c>
      <c r="Q87" s="93">
        <f>IF($P87="PROXY",DCOUNT('[1]literature entries'!$D:$AI,IF($J87=1,"ACTIVE     GHGE, FARM GATE (kg CO2e/kg)","GHGE, processor gate (kg CO2e/kg)"),INDIRECT($K87)),GETPIVOTDATA(IF($J87=1,"ACTIVE     GHGE, FARM GATE (kg CO2e/kg)","Count of GHGE, processor gate (kg CO2e/kg)"),'[1]Pivot Table_GHG'!$A$3,"SUB TYPE",$B87))</f>
        <v/>
      </c>
      <c r="R87" s="94">
        <f>IF($P87="PROXY",DAVERAGE('[1]literature entries'!$D:$AI,IF($J87=1,"ACTIVE     GHGE, FARM GATE (kg CO2e/kg)","GHGE, processor gate (kg CO2e/kg)"),INDIRECT($K87)),GETPIVOTDATA(IF($J87=1,"Average of ACTIVE     GHGE, FARM GATE (kg CO2e/kg)","Average of GHGE, processor gate (kg CO2e/kg)"),'[1]Pivot Table_GHG'!$A$3,"SUB TYPE",$B87))</f>
        <v/>
      </c>
      <c r="S87" s="94">
        <f>IF($P87="PROXY",DSTDEV('[1]literature entries'!$D:$AI,IF($J87=1,"ACTIVE     GHGE, FARM GATE (kg CO2e/kg)","GHGE, processor gate (kg CO2e/kg)"),INDIRECT($K87)),GETPIVOTDATA(IF($J87=1,"StdDev of ACTIVE     GHGE, FARM GATE (kg CO2e/kg)","StdDev of GHGE, processor gate (kg CO2e/kg)"),'[1]Pivot Table_GHG'!$A$3,"SUB TYPE",$B87))</f>
        <v/>
      </c>
      <c r="T87" s="105" t="n"/>
      <c r="U87" s="106" t="n"/>
      <c r="V87" s="97" t="n"/>
      <c r="W87" s="120" t="inlineStr">
        <is>
          <t>legume_seed</t>
        </is>
      </c>
      <c r="X87" s="98">
        <f>IF($W87="DIRECT",M87,DCOUNT('[1]literature entries'!$D:$AI,IF($J87=1,"ACTIVE     CED, FARM GATE (MJ/kg)","CED, processor gate (MJ/kg)"),INDIRECT($W87)))</f>
        <v/>
      </c>
      <c r="Y87" s="98">
        <f>IF($W87="DIRECT","",DAVERAGE('[1]literature entries'!$D:$AI,IF($J87=1,"ACTIVE     CED, FARM GATE (MJ/kg)","CED, processor gate (MJ/kg)"),INDIRECT($W87)))</f>
        <v/>
      </c>
      <c r="Z87" s="98">
        <f>IF($W87="DIRECT",$O87,DSTDEV('[1]literature entries'!$D:$AI,IF($J87=1,"ACTIVE     CED, FARM GATE (MJ/kg)","CED, processor gate (MJ/kg)"),INDIRECT($W87)))</f>
        <v/>
      </c>
      <c r="AA87" s="98">
        <f>IF($W87="DIRECT",$O87,$Z87/$Y87*$N87)</f>
        <v/>
      </c>
      <c r="AB87" s="121" t="inlineStr">
        <is>
          <t>legume_seed</t>
        </is>
      </c>
      <c r="AC87" s="99">
        <f>IF($AB87="DIRECT",Q87,DCOUNT('[1]literature entries'!$D:$AI,IF($J87=1,"ACTIVE     GHGE, FARM GATE (kg CO2e/kg)","GHGE, processor gate (kg CO2e/kg)"),INDIRECT($AB87)))</f>
        <v/>
      </c>
      <c r="AD87" s="99">
        <f>IF($AB87="DIRECT","",DAVERAGE('[1]literature entries'!$D:$AI,IF($J87=1,"ACTIVE     GHGE, FARM GATE (kg CO2e/kg)","GHGE, processor gate (kg CO2e/kg)"),INDIRECT($AB87)))</f>
        <v/>
      </c>
      <c r="AE87" s="99">
        <f>IF($AB87="DIRECT",$S87,DSTDEV('[1]literature entries'!$D:$AI,IF($J87=1,"ACTIVE     GHGE, FARM GATE (kg CO2e/kg)","GHGE, processor gate (kg CO2e/kg)"),INDIRECT($AB87)))</f>
        <v/>
      </c>
      <c r="AF87" s="99">
        <f>IF($AB87="DIRECT",$S87,$AE87/$AD87*$R87)</f>
        <v/>
      </c>
    </row>
    <row r="88" ht="15.75" customHeight="1" s="201">
      <c r="A88" s="100" t="n">
        <v>603040000</v>
      </c>
      <c r="B88" s="101" t="inlineStr">
        <is>
          <t>Bean, navy, seed</t>
        </is>
      </c>
      <c r="C88" s="101" t="inlineStr">
        <is>
          <t>dry weight of bean</t>
        </is>
      </c>
      <c r="D88" s="101" t="inlineStr">
        <is>
          <t>Includes pea bean.</t>
        </is>
      </c>
      <c r="E88" s="101" t="n">
        <v>1997</v>
      </c>
      <c r="F88" s="84">
        <f>N88*H88+T88</f>
        <v/>
      </c>
      <c r="G88" s="85">
        <f>R88*H88+U88</f>
        <v/>
      </c>
      <c r="H88" s="102" t="n">
        <v>1</v>
      </c>
      <c r="I88" s="103" t="inlineStr">
        <is>
          <t>None</t>
        </is>
      </c>
      <c r="J88" s="104" t="n">
        <v>1</v>
      </c>
      <c r="K88" s="89" t="inlineStr">
        <is>
          <t>bean_dry</t>
        </is>
      </c>
      <c r="L88" s="90">
        <f>IF(ISERROR(GETPIVOTDATA(IF($J88=1,"Count of ACTIVE     CED, FARM GATE (MJ/kg)","Count of CED, processor gate (MJ/kg)"),'[1]Pivot Table_CED'!$A$3,"SUB TYPE",$B88)),"PROXY",IF(GETPIVOTDATA(IF($J88=1,"Count of ACTIVE     CED, FARM GATE (MJ/kg)","Count of CED, processor gate (MJ/kg)"),'[1]Pivot Table_CED'!$A$3,"SUB TYPE",$B88)=0,"PROXY","DB value"))</f>
        <v/>
      </c>
      <c r="M88" s="91">
        <f>IF($L88="PROXY",DCOUNT('[1]literature entries'!$D:$AI,IF($J88=1,"ACTIVE     CED, FARM GATE (MJ/kg)","CED, processor gate (MJ/kg)"),INDIRECT($K88)),GETPIVOTDATA(IF($J88=1,"Count of ACTIVE     CED, FARM GATE (MJ/kg)","Count of CED, processor gate (MJ/kg)"),'[1]Pivot Table_CED'!$A$3,"SUB TYPE",$B88))</f>
        <v/>
      </c>
      <c r="N88" s="92">
        <f>IF($L88="PROXY",DAVERAGE('[1]literature entries'!$D:$AI,IF($J88=1,"ACTIVE     CED, FARM GATE (MJ/kg)","CED, processor gate (MJ/kg)"),INDIRECT($K88)),GETPIVOTDATA(IF($J88=1,"Average of ACTIVE     CED, FARM GATE (MJ/kg)","Average of CED, processor gate (MJ/kg)"),'[1]Pivot Table_CED'!$A$3,"SUB TYPE",$B88))</f>
        <v/>
      </c>
      <c r="O88" s="92">
        <f>IF($L88="PROXY",DSTDEV('[1]literature entries'!D:AI,IF($J88=1,"ACTIVE     CED, FARM GATE (MJ/kg)","CED, processor gate (MJ/kg)"),INDIRECT($K88)),GETPIVOTDATA(IF($J88=1,"StdDev of ACTIVE     CED, FARM GATE (MJ/kg)","StdDev of CED, processor gate (MJ/kg)"),'[1]Pivot Table_CED'!$A$3,"SUB TYPE",$B88))</f>
        <v/>
      </c>
      <c r="P88" s="90">
        <f>IF(ISERROR(GETPIVOTDATA(IF($J88=1,"Count of ACTIVE     GHGE, FARM GATE (kg CO2e/kg)","Count of GHGE, processor gate (kg CO2e/kg)"),'[1]Pivot Table_GHG'!$A$3,"SUB TYPE",$B88)),"PROXY",IF(GETPIVOTDATA(IF($J88=1,"Count of ACTIVE     GHGE, FARM GATE (kg CO2e/kg)","Count of GHGE, processor gate (kg CO2e/kg)"),'[1]Pivot Table_GHG'!$A$3,"SUB TYPE",$B88)=0,"PROXY","DB value"))</f>
        <v/>
      </c>
      <c r="Q88" s="93">
        <f>IF($P88="PROXY",DCOUNT('[1]literature entries'!$D:$AI,IF($J88=1,"ACTIVE     GHGE, FARM GATE (kg CO2e/kg)","GHGE, processor gate (kg CO2e/kg)"),INDIRECT($K88)),GETPIVOTDATA(IF($J88=1,"ACTIVE     GHGE, FARM GATE (kg CO2e/kg)","Count of GHGE, processor gate (kg CO2e/kg)"),'[1]Pivot Table_GHG'!$A$3,"SUB TYPE",$B88))</f>
        <v/>
      </c>
      <c r="R88" s="94">
        <f>IF($P88="PROXY",DAVERAGE('[1]literature entries'!$D:$AI,IF($J88=1,"ACTIVE     GHGE, FARM GATE (kg CO2e/kg)","GHGE, processor gate (kg CO2e/kg)"),INDIRECT($K88)),GETPIVOTDATA(IF($J88=1,"Average of ACTIVE     GHGE, FARM GATE (kg CO2e/kg)","Average of GHGE, processor gate (kg CO2e/kg)"),'[1]Pivot Table_GHG'!$A$3,"SUB TYPE",$B88))</f>
        <v/>
      </c>
      <c r="S88" s="94">
        <f>IF($P88="PROXY",DSTDEV('[1]literature entries'!$D:$AI,IF($J88=1,"ACTIVE     GHGE, FARM GATE (kg CO2e/kg)","GHGE, processor gate (kg CO2e/kg)"),INDIRECT($K88)),GETPIVOTDATA(IF($J88=1,"StdDev of ACTIVE     GHGE, FARM GATE (kg CO2e/kg)","StdDev of GHGE, processor gate (kg CO2e/kg)"),'[1]Pivot Table_GHG'!$A$3,"SUB TYPE",$B88))</f>
        <v/>
      </c>
      <c r="T88" s="105" t="n"/>
      <c r="U88" s="106" t="n"/>
      <c r="V88" s="97" t="n"/>
      <c r="W88" s="120" t="inlineStr">
        <is>
          <t>legume_seed</t>
        </is>
      </c>
      <c r="X88" s="98">
        <f>IF($W88="DIRECT",M88,DCOUNT('[1]literature entries'!$D:$AI,IF($J88=1,"ACTIVE     CED, FARM GATE (MJ/kg)","CED, processor gate (MJ/kg)"),INDIRECT($W88)))</f>
        <v/>
      </c>
      <c r="Y88" s="98">
        <f>IF($W88="DIRECT","",DAVERAGE('[1]literature entries'!$D:$AI,IF($J88=1,"ACTIVE     CED, FARM GATE (MJ/kg)","CED, processor gate (MJ/kg)"),INDIRECT($W88)))</f>
        <v/>
      </c>
      <c r="Z88" s="98">
        <f>IF($W88="DIRECT",$O88,DSTDEV('[1]literature entries'!$D:$AI,IF($J88=1,"ACTIVE     CED, FARM GATE (MJ/kg)","CED, processor gate (MJ/kg)"),INDIRECT($W88)))</f>
        <v/>
      </c>
      <c r="AA88" s="98">
        <f>IF($W88="DIRECT",$O88,$Z88/$Y88*$N88)</f>
        <v/>
      </c>
      <c r="AB88" s="121" t="inlineStr">
        <is>
          <t>legume_seed</t>
        </is>
      </c>
      <c r="AC88" s="99">
        <f>IF($AB88="DIRECT",Q88,DCOUNT('[1]literature entries'!$D:$AI,IF($J88=1,"ACTIVE     GHGE, FARM GATE (kg CO2e/kg)","GHGE, processor gate (kg CO2e/kg)"),INDIRECT($AB88)))</f>
        <v/>
      </c>
      <c r="AD88" s="99">
        <f>IF($AB88="DIRECT","",DAVERAGE('[1]literature entries'!$D:$AI,IF($J88=1,"ACTIVE     GHGE, FARM GATE (kg CO2e/kg)","GHGE, processor gate (kg CO2e/kg)"),INDIRECT($AB88)))</f>
        <v/>
      </c>
      <c r="AE88" s="99">
        <f>IF($AB88="DIRECT",$S88,DSTDEV('[1]literature entries'!$D:$AI,IF($J88=1,"ACTIVE     GHGE, FARM GATE (kg CO2e/kg)","GHGE, processor gate (kg CO2e/kg)"),INDIRECT($AB88)))</f>
        <v/>
      </c>
      <c r="AF88" s="99">
        <f>IF($AB88="DIRECT",$S88,$AE88/$AD88*$R88)</f>
        <v/>
      </c>
    </row>
    <row r="89" ht="15.75" customHeight="1" s="201">
      <c r="A89" s="100" t="n">
        <v>603041000</v>
      </c>
      <c r="B89" s="101" t="inlineStr">
        <is>
          <t>Bean, pink, seed</t>
        </is>
      </c>
      <c r="C89" s="101" t="inlineStr">
        <is>
          <t>dry weight of bean</t>
        </is>
      </c>
      <c r="D89" s="101" t="n"/>
      <c r="E89" s="101" t="n">
        <v>45</v>
      </c>
      <c r="F89" s="84">
        <f>N89*H89+T89</f>
        <v/>
      </c>
      <c r="G89" s="85">
        <f>R89*H89+U89</f>
        <v/>
      </c>
      <c r="H89" s="102" t="n">
        <v>1</v>
      </c>
      <c r="I89" s="103" t="inlineStr">
        <is>
          <t>None</t>
        </is>
      </c>
      <c r="J89" s="104" t="n">
        <v>1</v>
      </c>
      <c r="K89" s="89" t="inlineStr">
        <is>
          <t>bean_dry</t>
        </is>
      </c>
      <c r="L89" s="90">
        <f>IF(ISERROR(GETPIVOTDATA(IF($J89=1,"Count of ACTIVE     CED, FARM GATE (MJ/kg)","Count of CED, processor gate (MJ/kg)"),'[1]Pivot Table_CED'!$A$3,"SUB TYPE",$B89)),"PROXY",IF(GETPIVOTDATA(IF($J89=1,"Count of ACTIVE     CED, FARM GATE (MJ/kg)","Count of CED, processor gate (MJ/kg)"),'[1]Pivot Table_CED'!$A$3,"SUB TYPE",$B89)=0,"PROXY","DB value"))</f>
        <v/>
      </c>
      <c r="M89" s="91">
        <f>IF($L89="PROXY",DCOUNT('[1]literature entries'!$D:$AI,IF($J89=1,"ACTIVE     CED, FARM GATE (MJ/kg)","CED, processor gate (MJ/kg)"),INDIRECT($K89)),GETPIVOTDATA(IF($J89=1,"Count of ACTIVE     CED, FARM GATE (MJ/kg)","Count of CED, processor gate (MJ/kg)"),'[1]Pivot Table_CED'!$A$3,"SUB TYPE",$B89))</f>
        <v/>
      </c>
      <c r="N89" s="92">
        <f>IF($L89="PROXY",DAVERAGE('[1]literature entries'!$D:$AI,IF($J89=1,"ACTIVE     CED, FARM GATE (MJ/kg)","CED, processor gate (MJ/kg)"),INDIRECT($K89)),GETPIVOTDATA(IF($J89=1,"Average of ACTIVE     CED, FARM GATE (MJ/kg)","Average of CED, processor gate (MJ/kg)"),'[1]Pivot Table_CED'!$A$3,"SUB TYPE",$B89))</f>
        <v/>
      </c>
      <c r="O89" s="92">
        <f>IF($L89="PROXY",DSTDEV('[1]literature entries'!D:AI,IF($J89=1,"ACTIVE     CED, FARM GATE (MJ/kg)","CED, processor gate (MJ/kg)"),INDIRECT($K89)),GETPIVOTDATA(IF($J89=1,"StdDev of ACTIVE     CED, FARM GATE (MJ/kg)","StdDev of CED, processor gate (MJ/kg)"),'[1]Pivot Table_CED'!$A$3,"SUB TYPE",$B89))</f>
        <v/>
      </c>
      <c r="P89" s="90">
        <f>IF(ISERROR(GETPIVOTDATA(IF($J89=1,"Count of ACTIVE     GHGE, FARM GATE (kg CO2e/kg)","Count of GHGE, processor gate (kg CO2e/kg)"),'[1]Pivot Table_GHG'!$A$3,"SUB TYPE",$B89)),"PROXY",IF(GETPIVOTDATA(IF($J89=1,"Count of ACTIVE     GHGE, FARM GATE (kg CO2e/kg)","Count of GHGE, processor gate (kg CO2e/kg)"),'[1]Pivot Table_GHG'!$A$3,"SUB TYPE",$B89)=0,"PROXY","DB value"))</f>
        <v/>
      </c>
      <c r="Q89" s="93">
        <f>IF($P89="PROXY",DCOUNT('[1]literature entries'!$D:$AI,IF($J89=1,"ACTIVE     GHGE, FARM GATE (kg CO2e/kg)","GHGE, processor gate (kg CO2e/kg)"),INDIRECT($K89)),GETPIVOTDATA(IF($J89=1,"ACTIVE     GHGE, FARM GATE (kg CO2e/kg)","Count of GHGE, processor gate (kg CO2e/kg)"),'[1]Pivot Table_GHG'!$A$3,"SUB TYPE",$B89))</f>
        <v/>
      </c>
      <c r="R89" s="94">
        <f>IF($P89="PROXY",DAVERAGE('[1]literature entries'!$D:$AI,IF($J89=1,"ACTIVE     GHGE, FARM GATE (kg CO2e/kg)","GHGE, processor gate (kg CO2e/kg)"),INDIRECT($K89)),GETPIVOTDATA(IF($J89=1,"Average of ACTIVE     GHGE, FARM GATE (kg CO2e/kg)","Average of GHGE, processor gate (kg CO2e/kg)"),'[1]Pivot Table_GHG'!$A$3,"SUB TYPE",$B89))</f>
        <v/>
      </c>
      <c r="S89" s="94">
        <f>IF($P89="PROXY",DSTDEV('[1]literature entries'!$D:$AI,IF($J89=1,"ACTIVE     GHGE, FARM GATE (kg CO2e/kg)","GHGE, processor gate (kg CO2e/kg)"),INDIRECT($K89)),GETPIVOTDATA(IF($J89=1,"StdDev of ACTIVE     GHGE, FARM GATE (kg CO2e/kg)","StdDev of GHGE, processor gate (kg CO2e/kg)"),'[1]Pivot Table_GHG'!$A$3,"SUB TYPE",$B89))</f>
        <v/>
      </c>
      <c r="T89" s="105" t="n"/>
      <c r="U89" s="106" t="n"/>
      <c r="V89" s="97" t="n"/>
      <c r="W89" s="120" t="inlineStr">
        <is>
          <t>legume_seed</t>
        </is>
      </c>
      <c r="X89" s="98">
        <f>IF($W89="DIRECT",M89,DCOUNT('[1]literature entries'!$D:$AI,IF($J89=1,"ACTIVE     CED, FARM GATE (MJ/kg)","CED, processor gate (MJ/kg)"),INDIRECT($W89)))</f>
        <v/>
      </c>
      <c r="Y89" s="98">
        <f>IF($W89="DIRECT","",DAVERAGE('[1]literature entries'!$D:$AI,IF($J89=1,"ACTIVE     CED, FARM GATE (MJ/kg)","CED, processor gate (MJ/kg)"),INDIRECT($W89)))</f>
        <v/>
      </c>
      <c r="Z89" s="98">
        <f>IF($W89="DIRECT",$O89,DSTDEV('[1]literature entries'!$D:$AI,IF($J89=1,"ACTIVE     CED, FARM GATE (MJ/kg)","CED, processor gate (MJ/kg)"),INDIRECT($W89)))</f>
        <v/>
      </c>
      <c r="AA89" s="98">
        <f>IF($W89="DIRECT",$O89,$Z89/$Y89*$N89)</f>
        <v/>
      </c>
      <c r="AB89" s="121" t="inlineStr">
        <is>
          <t>legume_seed</t>
        </is>
      </c>
      <c r="AC89" s="99">
        <f>IF($AB89="DIRECT",Q89,DCOUNT('[1]literature entries'!$D:$AI,IF($J89=1,"ACTIVE     GHGE, FARM GATE (kg CO2e/kg)","GHGE, processor gate (kg CO2e/kg)"),INDIRECT($AB89)))</f>
        <v/>
      </c>
      <c r="AD89" s="99">
        <f>IF($AB89="DIRECT","",DAVERAGE('[1]literature entries'!$D:$AI,IF($J89=1,"ACTIVE     GHGE, FARM GATE (kg CO2e/kg)","GHGE, processor gate (kg CO2e/kg)"),INDIRECT($AB89)))</f>
        <v/>
      </c>
      <c r="AE89" s="99">
        <f>IF($AB89="DIRECT",$S89,DSTDEV('[1]literature entries'!$D:$AI,IF($J89=1,"ACTIVE     GHGE, FARM GATE (kg CO2e/kg)","GHGE, processor gate (kg CO2e/kg)"),INDIRECT($AB89)))</f>
        <v/>
      </c>
      <c r="AF89" s="99">
        <f>IF($AB89="DIRECT",$S89,$AE89/$AD89*$R89)</f>
        <v/>
      </c>
    </row>
    <row r="90" ht="15.75" customHeight="1" s="201">
      <c r="A90" s="100" t="n">
        <v>603042000</v>
      </c>
      <c r="B90" s="101" t="inlineStr">
        <is>
          <t>Bean, pinto, seed</t>
        </is>
      </c>
      <c r="C90" s="101" t="inlineStr">
        <is>
          <t>dry weight of bean</t>
        </is>
      </c>
      <c r="D90" s="101" t="inlineStr">
        <is>
          <t>Include calico and red Mexican bean.</t>
        </is>
      </c>
      <c r="E90" s="101" t="n">
        <v>4336</v>
      </c>
      <c r="F90" s="84">
        <f>N90*H90+T90</f>
        <v/>
      </c>
      <c r="G90" s="85">
        <f>R90*H90+U90</f>
        <v/>
      </c>
      <c r="H90" s="102" t="n">
        <v>1</v>
      </c>
      <c r="I90" s="103" t="inlineStr">
        <is>
          <t>None</t>
        </is>
      </c>
      <c r="J90" s="104" t="n">
        <v>1</v>
      </c>
      <c r="K90" s="89" t="inlineStr">
        <is>
          <t>bean_dry</t>
        </is>
      </c>
      <c r="L90" s="90">
        <f>IF(ISERROR(GETPIVOTDATA(IF($J90=1,"Count of ACTIVE     CED, FARM GATE (MJ/kg)","Count of CED, processor gate (MJ/kg)"),'[1]Pivot Table_CED'!$A$3,"SUB TYPE",$B90)),"PROXY",IF(GETPIVOTDATA(IF($J90=1,"Count of ACTIVE     CED, FARM GATE (MJ/kg)","Count of CED, processor gate (MJ/kg)"),'[1]Pivot Table_CED'!$A$3,"SUB TYPE",$B90)=0,"PROXY","DB value"))</f>
        <v/>
      </c>
      <c r="M90" s="91">
        <f>IF($L90="PROXY",DCOUNT('[1]literature entries'!$D:$AI,IF($J90=1,"ACTIVE     CED, FARM GATE (MJ/kg)","CED, processor gate (MJ/kg)"),INDIRECT($K90)),GETPIVOTDATA(IF($J90=1,"Count of ACTIVE     CED, FARM GATE (MJ/kg)","Count of CED, processor gate (MJ/kg)"),'[1]Pivot Table_CED'!$A$3,"SUB TYPE",$B90))</f>
        <v/>
      </c>
      <c r="N90" s="92">
        <f>IF($L90="PROXY",DAVERAGE('[1]literature entries'!$D:$AI,IF($J90=1,"ACTIVE     CED, FARM GATE (MJ/kg)","CED, processor gate (MJ/kg)"),INDIRECT($K90)),GETPIVOTDATA(IF($J90=1,"Average of ACTIVE     CED, FARM GATE (MJ/kg)","Average of CED, processor gate (MJ/kg)"),'[1]Pivot Table_CED'!$A$3,"SUB TYPE",$B90))</f>
        <v/>
      </c>
      <c r="O90" s="92">
        <f>IF($L90="PROXY",DSTDEV('[1]literature entries'!D:AI,IF($J90=1,"ACTIVE     CED, FARM GATE (MJ/kg)","CED, processor gate (MJ/kg)"),INDIRECT($K90)),GETPIVOTDATA(IF($J90=1,"StdDev of ACTIVE     CED, FARM GATE (MJ/kg)","StdDev of CED, processor gate (MJ/kg)"),'[1]Pivot Table_CED'!$A$3,"SUB TYPE",$B90))</f>
        <v/>
      </c>
      <c r="P90" s="90">
        <f>IF(ISERROR(GETPIVOTDATA(IF($J90=1,"Count of ACTIVE     GHGE, FARM GATE (kg CO2e/kg)","Count of GHGE, processor gate (kg CO2e/kg)"),'[1]Pivot Table_GHG'!$A$3,"SUB TYPE",$B90)),"PROXY",IF(GETPIVOTDATA(IF($J90=1,"Count of ACTIVE     GHGE, FARM GATE (kg CO2e/kg)","Count of GHGE, processor gate (kg CO2e/kg)"),'[1]Pivot Table_GHG'!$A$3,"SUB TYPE",$B90)=0,"PROXY","DB value"))</f>
        <v/>
      </c>
      <c r="Q90" s="93">
        <f>IF($P90="PROXY",DCOUNT('[1]literature entries'!$D:$AI,IF($J90=1,"ACTIVE     GHGE, FARM GATE (kg CO2e/kg)","GHGE, processor gate (kg CO2e/kg)"),INDIRECT($K90)),GETPIVOTDATA(IF($J90=1,"ACTIVE     GHGE, FARM GATE (kg CO2e/kg)","Count of GHGE, processor gate (kg CO2e/kg)"),'[1]Pivot Table_GHG'!$A$3,"SUB TYPE",$B90))</f>
        <v/>
      </c>
      <c r="R90" s="94">
        <f>IF($P90="PROXY",DAVERAGE('[1]literature entries'!$D:$AI,IF($J90=1,"ACTIVE     GHGE, FARM GATE (kg CO2e/kg)","GHGE, processor gate (kg CO2e/kg)"),INDIRECT($K90)),GETPIVOTDATA(IF($J90=1,"Average of ACTIVE     GHGE, FARM GATE (kg CO2e/kg)","Average of GHGE, processor gate (kg CO2e/kg)"),'[1]Pivot Table_GHG'!$A$3,"SUB TYPE",$B90))</f>
        <v/>
      </c>
      <c r="S90" s="94">
        <f>IF($P90="PROXY",DSTDEV('[1]literature entries'!$D:$AI,IF($J90=1,"ACTIVE     GHGE, FARM GATE (kg CO2e/kg)","GHGE, processor gate (kg CO2e/kg)"),INDIRECT($K90)),GETPIVOTDATA(IF($J90=1,"StdDev of ACTIVE     GHGE, FARM GATE (kg CO2e/kg)","StdDev of GHGE, processor gate (kg CO2e/kg)"),'[1]Pivot Table_GHG'!$A$3,"SUB TYPE",$B90))</f>
        <v/>
      </c>
      <c r="T90" s="105" t="n"/>
      <c r="U90" s="106" t="n"/>
      <c r="V90" s="97" t="n"/>
      <c r="W90" s="120" t="inlineStr">
        <is>
          <t>legume_seed</t>
        </is>
      </c>
      <c r="X90" s="98">
        <f>IF($W90="DIRECT",M90,DCOUNT('[1]literature entries'!$D:$AI,IF($J90=1,"ACTIVE     CED, FARM GATE (MJ/kg)","CED, processor gate (MJ/kg)"),INDIRECT($W90)))</f>
        <v/>
      </c>
      <c r="Y90" s="98">
        <f>IF($W90="DIRECT","",DAVERAGE('[1]literature entries'!$D:$AI,IF($J90=1,"ACTIVE     CED, FARM GATE (MJ/kg)","CED, processor gate (MJ/kg)"),INDIRECT($W90)))</f>
        <v/>
      </c>
      <c r="Z90" s="98">
        <f>IF($W90="DIRECT",$O90,DSTDEV('[1]literature entries'!$D:$AI,IF($J90=1,"ACTIVE     CED, FARM GATE (MJ/kg)","CED, processor gate (MJ/kg)"),INDIRECT($W90)))</f>
        <v/>
      </c>
      <c r="AA90" s="98">
        <f>IF($W90="DIRECT",$O90,$Z90/$Y90*$N90)</f>
        <v/>
      </c>
      <c r="AB90" s="121" t="inlineStr">
        <is>
          <t>legume_seed</t>
        </is>
      </c>
      <c r="AC90" s="99">
        <f>IF($AB90="DIRECT",Q90,DCOUNT('[1]literature entries'!$D:$AI,IF($J90=1,"ACTIVE     GHGE, FARM GATE (kg CO2e/kg)","GHGE, processor gate (kg CO2e/kg)"),INDIRECT($AB90)))</f>
        <v/>
      </c>
      <c r="AD90" s="99">
        <f>IF($AB90="DIRECT","",DAVERAGE('[1]literature entries'!$D:$AI,IF($J90=1,"ACTIVE     GHGE, FARM GATE (kg CO2e/kg)","GHGE, processor gate (kg CO2e/kg)"),INDIRECT($AB90)))</f>
        <v/>
      </c>
      <c r="AE90" s="99">
        <f>IF($AB90="DIRECT",$S90,DSTDEV('[1]literature entries'!$D:$AI,IF($J90=1,"ACTIVE     GHGE, FARM GATE (kg CO2e/kg)","GHGE, processor gate (kg CO2e/kg)"),INDIRECT($AB90)))</f>
        <v/>
      </c>
      <c r="AF90" s="99">
        <f>IF($AB90="DIRECT",$S90,$AE90/$AD90*$R90)</f>
        <v/>
      </c>
    </row>
    <row r="91" ht="15.75" customHeight="1" s="201">
      <c r="A91" s="100" t="n">
        <v>603098000</v>
      </c>
      <c r="B91" s="101" t="inlineStr">
        <is>
          <t>Chickpea, seed</t>
        </is>
      </c>
      <c r="C91" s="101" t="inlineStr">
        <is>
          <t>dry weight of bean</t>
        </is>
      </c>
      <c r="D91" s="101" t="inlineStr">
        <is>
          <t>Also called garbanzo bean.</t>
        </is>
      </c>
      <c r="E91" s="101" t="n">
        <v>358</v>
      </c>
      <c r="F91" s="84">
        <f>N91*H91+T91</f>
        <v/>
      </c>
      <c r="G91" s="85">
        <f>R91*H91+U91</f>
        <v/>
      </c>
      <c r="H91" s="102" t="n">
        <v>1</v>
      </c>
      <c r="I91" s="103" t="inlineStr">
        <is>
          <t>None</t>
        </is>
      </c>
      <c r="J91" s="104" t="n">
        <v>1</v>
      </c>
      <c r="K91" s="89" t="n"/>
      <c r="L91" s="90">
        <f>IF(ISERROR(GETPIVOTDATA(IF($J91=1,"Count of ACTIVE     CED, FARM GATE (MJ/kg)","Count of CED, processor gate (MJ/kg)"),'[1]Pivot Table_CED'!$A$3,"SUB TYPE",$B91)),"PROXY",IF(GETPIVOTDATA(IF($J91=1,"Count of ACTIVE     CED, FARM GATE (MJ/kg)","Count of CED, processor gate (MJ/kg)"),'[1]Pivot Table_CED'!$A$3,"SUB TYPE",$B91)=0,"PROXY","DB value"))</f>
        <v/>
      </c>
      <c r="M91" s="91">
        <f>IF($L91="PROXY",DCOUNT('[1]literature entries'!$D:$AI,IF($J91=1,"ACTIVE     CED, FARM GATE (MJ/kg)","CED, processor gate (MJ/kg)"),INDIRECT($K91)),GETPIVOTDATA(IF($J91=1,"Count of ACTIVE     CED, FARM GATE (MJ/kg)","Count of CED, processor gate (MJ/kg)"),'[1]Pivot Table_CED'!$A$3,"SUB TYPE",$B91))</f>
        <v/>
      </c>
      <c r="N91" s="92">
        <f>IF($L91="PROXY",DAVERAGE('[1]literature entries'!$D:$AI,IF($J91=1,"ACTIVE     CED, FARM GATE (MJ/kg)","CED, processor gate (MJ/kg)"),INDIRECT($K91)),GETPIVOTDATA(IF($J91=1,"Average of ACTIVE     CED, FARM GATE (MJ/kg)","Average of CED, processor gate (MJ/kg)"),'[1]Pivot Table_CED'!$A$3,"SUB TYPE",$B91))</f>
        <v/>
      </c>
      <c r="O91" s="92">
        <f>IF($L91="PROXY",DSTDEV('[1]literature entries'!D:AI,IF($J91=1,"ACTIVE     CED, FARM GATE (MJ/kg)","CED, processor gate (MJ/kg)"),INDIRECT($K91)),GETPIVOTDATA(IF($J91=1,"StdDev of ACTIVE     CED, FARM GATE (MJ/kg)","StdDev of CED, processor gate (MJ/kg)"),'[1]Pivot Table_CED'!$A$3,"SUB TYPE",$B91))</f>
        <v/>
      </c>
      <c r="P91" s="90">
        <f>IF(ISERROR(GETPIVOTDATA(IF($J91=1,"Count of ACTIVE     GHGE, FARM GATE (kg CO2e/kg)","Count of GHGE, processor gate (kg CO2e/kg)"),'[1]Pivot Table_GHG'!$A$3,"SUB TYPE",$B91)),"PROXY",IF(GETPIVOTDATA(IF($J91=1,"Count of ACTIVE     GHGE, FARM GATE (kg CO2e/kg)","Count of GHGE, processor gate (kg CO2e/kg)"),'[1]Pivot Table_GHG'!$A$3,"SUB TYPE",$B91)=0,"PROXY","DB value"))</f>
        <v/>
      </c>
      <c r="Q91" s="93">
        <f>IF($P91="PROXY",DCOUNT('[1]literature entries'!$D:$AI,IF($J91=1,"ACTIVE     GHGE, FARM GATE (kg CO2e/kg)","GHGE, processor gate (kg CO2e/kg)"),INDIRECT($K91)),GETPIVOTDATA(IF($J91=1,"ACTIVE     GHGE, FARM GATE (kg CO2e/kg)","Count of GHGE, processor gate (kg CO2e/kg)"),'[1]Pivot Table_GHG'!$A$3,"SUB TYPE",$B91))</f>
        <v/>
      </c>
      <c r="R91" s="94">
        <f>IF($P91="PROXY",DAVERAGE('[1]literature entries'!$D:$AI,IF($J91=1,"ACTIVE     GHGE, FARM GATE (kg CO2e/kg)","GHGE, processor gate (kg CO2e/kg)"),INDIRECT($K91)),GETPIVOTDATA(IF($J91=1,"Average of ACTIVE     GHGE, FARM GATE (kg CO2e/kg)","Average of GHGE, processor gate (kg CO2e/kg)"),'[1]Pivot Table_GHG'!$A$3,"SUB TYPE",$B91))</f>
        <v/>
      </c>
      <c r="S91" s="94">
        <f>IF($P91="PROXY",DSTDEV('[1]literature entries'!$D:$AI,IF($J91=1,"ACTIVE     GHGE, FARM GATE (kg CO2e/kg)","GHGE, processor gate (kg CO2e/kg)"),INDIRECT($K91)),GETPIVOTDATA(IF($J91=1,"StdDev of ACTIVE     GHGE, FARM GATE (kg CO2e/kg)","StdDev of GHGE, processor gate (kg CO2e/kg)"),'[1]Pivot Table_GHG'!$A$3,"SUB TYPE",$B91))</f>
        <v/>
      </c>
      <c r="T91" s="105" t="n"/>
      <c r="U91" s="106" t="n"/>
      <c r="V91" s="97" t="n"/>
      <c r="W91" s="120" t="inlineStr">
        <is>
          <t>legume_seed</t>
        </is>
      </c>
      <c r="X91" s="98">
        <f>IF($W91="DIRECT",M91,DCOUNT('[1]literature entries'!$D:$AI,IF($J91=1,"ACTIVE     CED, FARM GATE (MJ/kg)","CED, processor gate (MJ/kg)"),INDIRECT($W91)))</f>
        <v/>
      </c>
      <c r="Y91" s="98">
        <f>IF($W91="DIRECT","",DAVERAGE('[1]literature entries'!$D:$AI,IF($J91=1,"ACTIVE     CED, FARM GATE (MJ/kg)","CED, processor gate (MJ/kg)"),INDIRECT($W91)))</f>
        <v/>
      </c>
      <c r="Z91" s="98">
        <f>IF($W91="DIRECT",$O91,DSTDEV('[1]literature entries'!$D:$AI,IF($J91=1,"ACTIVE     CED, FARM GATE (MJ/kg)","CED, processor gate (MJ/kg)"),INDIRECT($W91)))</f>
        <v/>
      </c>
      <c r="AA91" s="98">
        <f>IF($W91="DIRECT",$O91,$Z91/$Y91*$N91)</f>
        <v/>
      </c>
      <c r="AB91" s="121" t="inlineStr">
        <is>
          <t>legume_seed</t>
        </is>
      </c>
      <c r="AC91" s="99">
        <f>IF($AB91="DIRECT",Q91,DCOUNT('[1]literature entries'!$D:$AI,IF($J91=1,"ACTIVE     GHGE, FARM GATE (kg CO2e/kg)","GHGE, processor gate (kg CO2e/kg)"),INDIRECT($AB91)))</f>
        <v/>
      </c>
      <c r="AD91" s="99">
        <f>IF($AB91="DIRECT","",DAVERAGE('[1]literature entries'!$D:$AI,IF($J91=1,"ACTIVE     GHGE, FARM GATE (kg CO2e/kg)","GHGE, processor gate (kg CO2e/kg)"),INDIRECT($AB91)))</f>
        <v/>
      </c>
      <c r="AE91" s="99">
        <f>IF($AB91="DIRECT",$S91,DSTDEV('[1]literature entries'!$D:$AI,IF($J91=1,"ACTIVE     GHGE, FARM GATE (kg CO2e/kg)","GHGE, processor gate (kg CO2e/kg)"),INDIRECT($AB91)))</f>
        <v/>
      </c>
      <c r="AF91" s="99">
        <f>IF($AB91="DIRECT",$S91,$AE91/$AD91*$R91)</f>
        <v/>
      </c>
    </row>
    <row r="92" ht="15.75" customHeight="1" s="201">
      <c r="A92" s="100" t="n">
        <v>603182000</v>
      </c>
      <c r="B92" s="101" t="inlineStr">
        <is>
          <t>Guar, seed</t>
        </is>
      </c>
      <c r="C92" s="101" t="inlineStr">
        <is>
          <t>weight of bean</t>
        </is>
      </c>
      <c r="D92" s="101" t="n"/>
      <c r="E92" s="101" t="n">
        <v>18678</v>
      </c>
      <c r="F92" s="84">
        <f>N92*H92+T92</f>
        <v/>
      </c>
      <c r="G92" s="85">
        <f>R92*H92+U92</f>
        <v/>
      </c>
      <c r="H92" s="102" t="n">
        <v>1</v>
      </c>
      <c r="I92" s="103" t="inlineStr">
        <is>
          <t>None</t>
        </is>
      </c>
      <c r="J92" s="104" t="n">
        <v>1</v>
      </c>
      <c r="K92" s="89" t="inlineStr">
        <is>
          <t>lentil_seed</t>
        </is>
      </c>
      <c r="L92" s="90">
        <f>IF(ISERROR(GETPIVOTDATA(IF($J92=1,"Count of ACTIVE     CED, FARM GATE (MJ/kg)","Count of CED, processor gate (MJ/kg)"),'[1]Pivot Table_CED'!$A$3,"SUB TYPE",$B92)),"PROXY",IF(GETPIVOTDATA(IF($J92=1,"Count of ACTIVE     CED, FARM GATE (MJ/kg)","Count of CED, processor gate (MJ/kg)"),'[1]Pivot Table_CED'!$A$3,"SUB TYPE",$B92)=0,"PROXY","DB value"))</f>
        <v/>
      </c>
      <c r="M92" s="91">
        <f>IF($L92="PROXY",DCOUNT('[1]literature entries'!$D:$AI,IF($J92=1,"ACTIVE     CED, FARM GATE (MJ/kg)","CED, processor gate (MJ/kg)"),INDIRECT($K92)),GETPIVOTDATA(IF($J92=1,"Count of ACTIVE     CED, FARM GATE (MJ/kg)","Count of CED, processor gate (MJ/kg)"),'[1]Pivot Table_CED'!$A$3,"SUB TYPE",$B92))</f>
        <v/>
      </c>
      <c r="N92" s="92">
        <f>IF($L92="PROXY",DAVERAGE('[1]literature entries'!$D:$AI,IF($J92=1,"ACTIVE     CED, FARM GATE (MJ/kg)","CED, processor gate (MJ/kg)"),INDIRECT($K92)),GETPIVOTDATA(IF($J92=1,"Average of ACTIVE     CED, FARM GATE (MJ/kg)","Average of CED, processor gate (MJ/kg)"),'[1]Pivot Table_CED'!$A$3,"SUB TYPE",$B92))</f>
        <v/>
      </c>
      <c r="O92" s="92">
        <f>IF($L92="PROXY",DSTDEV('[1]literature entries'!D:AI,IF($J92=1,"ACTIVE     CED, FARM GATE (MJ/kg)","CED, processor gate (MJ/kg)"),INDIRECT($K92)),GETPIVOTDATA(IF($J92=1,"StdDev of ACTIVE     CED, FARM GATE (MJ/kg)","StdDev of CED, processor gate (MJ/kg)"),'[1]Pivot Table_CED'!$A$3,"SUB TYPE",$B92))</f>
        <v/>
      </c>
      <c r="P92" s="90">
        <f>IF(ISERROR(GETPIVOTDATA(IF($J92=1,"Count of ACTIVE     GHGE, FARM GATE (kg CO2e/kg)","Count of GHGE, processor gate (kg CO2e/kg)"),'[1]Pivot Table_GHG'!$A$3,"SUB TYPE",$B92)),"PROXY",IF(GETPIVOTDATA(IF($J92=1,"Count of ACTIVE     GHGE, FARM GATE (kg CO2e/kg)","Count of GHGE, processor gate (kg CO2e/kg)"),'[1]Pivot Table_GHG'!$A$3,"SUB TYPE",$B92)=0,"PROXY","DB value"))</f>
        <v/>
      </c>
      <c r="Q92" s="93">
        <f>IF($P92="PROXY",DCOUNT('[1]literature entries'!$D:$AI,IF($J92=1,"ACTIVE     GHGE, FARM GATE (kg CO2e/kg)","GHGE, processor gate (kg CO2e/kg)"),INDIRECT($K92)),GETPIVOTDATA(IF($J92=1,"ACTIVE     GHGE, FARM GATE (kg CO2e/kg)","Count of GHGE, processor gate (kg CO2e/kg)"),'[1]Pivot Table_GHG'!$A$3,"SUB TYPE",$B92))</f>
        <v/>
      </c>
      <c r="R92" s="94">
        <f>IF($P92="PROXY",DAVERAGE('[1]literature entries'!$D:$AI,IF($J92=1,"ACTIVE     GHGE, FARM GATE (kg CO2e/kg)","GHGE, processor gate (kg CO2e/kg)"),INDIRECT($K92)),GETPIVOTDATA(IF($J92=1,"Average of ACTIVE     GHGE, FARM GATE (kg CO2e/kg)","Average of GHGE, processor gate (kg CO2e/kg)"),'[1]Pivot Table_GHG'!$A$3,"SUB TYPE",$B92))</f>
        <v/>
      </c>
      <c r="S92" s="94">
        <f>IF($P92="PROXY",DSTDEV('[1]literature entries'!$D:$AI,IF($J92=1,"ACTIVE     GHGE, FARM GATE (kg CO2e/kg)","GHGE, processor gate (kg CO2e/kg)"),INDIRECT($K92)),GETPIVOTDATA(IF($J92=1,"StdDev of ACTIVE     GHGE, FARM GATE (kg CO2e/kg)","StdDev of GHGE, processor gate (kg CO2e/kg)"),'[1]Pivot Table_GHG'!$A$3,"SUB TYPE",$B92))</f>
        <v/>
      </c>
      <c r="T92" s="105" t="n"/>
      <c r="U92" s="106" t="n"/>
      <c r="V92" s="97" t="n"/>
      <c r="W92" s="120" t="inlineStr">
        <is>
          <t>legume_seed</t>
        </is>
      </c>
      <c r="X92" s="98">
        <f>IF($W92="DIRECT",M92,DCOUNT('[1]literature entries'!$D:$AI,IF($J92=1,"ACTIVE     CED, FARM GATE (MJ/kg)","CED, processor gate (MJ/kg)"),INDIRECT($W92)))</f>
        <v/>
      </c>
      <c r="Y92" s="98">
        <f>IF($W92="DIRECT","",DAVERAGE('[1]literature entries'!$D:$AI,IF($J92=1,"ACTIVE     CED, FARM GATE (MJ/kg)","CED, processor gate (MJ/kg)"),INDIRECT($W92)))</f>
        <v/>
      </c>
      <c r="Z92" s="98">
        <f>IF($W92="DIRECT",$O92,DSTDEV('[1]literature entries'!$D:$AI,IF($J92=1,"ACTIVE     CED, FARM GATE (MJ/kg)","CED, processor gate (MJ/kg)"),INDIRECT($W92)))</f>
        <v/>
      </c>
      <c r="AA92" s="98">
        <f>IF($W92="DIRECT",$O92,$Z92/$Y92*$N92)</f>
        <v/>
      </c>
      <c r="AB92" s="121" t="inlineStr">
        <is>
          <t>legume_seed</t>
        </is>
      </c>
      <c r="AC92" s="99">
        <f>IF($AB92="DIRECT",Q92,DCOUNT('[1]literature entries'!$D:$AI,IF($J92=1,"ACTIVE     GHGE, FARM GATE (kg CO2e/kg)","GHGE, processor gate (kg CO2e/kg)"),INDIRECT($AB92)))</f>
        <v/>
      </c>
      <c r="AD92" s="99">
        <f>IF($AB92="DIRECT","",DAVERAGE('[1]literature entries'!$D:$AI,IF($J92=1,"ACTIVE     GHGE, FARM GATE (kg CO2e/kg)","GHGE, processor gate (kg CO2e/kg)"),INDIRECT($AB92)))</f>
        <v/>
      </c>
      <c r="AE92" s="99">
        <f>IF($AB92="DIRECT",$S92,DSTDEV('[1]literature entries'!$D:$AI,IF($J92=1,"ACTIVE     GHGE, FARM GATE (kg CO2e/kg)","GHGE, processor gate (kg CO2e/kg)"),INDIRECT($AB92)))</f>
        <v/>
      </c>
      <c r="AF92" s="99">
        <f>IF($AB92="DIRECT",$S92,$AE92/$AD92*$R92)</f>
        <v/>
      </c>
    </row>
    <row r="93" ht="15.75" customHeight="1" s="201">
      <c r="A93" s="100" t="n">
        <v>603203000</v>
      </c>
      <c r="B93" s="101" t="inlineStr">
        <is>
          <t>Lentil, seed</t>
        </is>
      </c>
      <c r="C93" s="101" t="inlineStr">
        <is>
          <t>dry weight of edible seed</t>
        </is>
      </c>
      <c r="D93" s="101" t="n"/>
      <c r="E93" s="101" t="n">
        <v>256</v>
      </c>
      <c r="F93" s="84">
        <f>N93*H93+T93</f>
        <v/>
      </c>
      <c r="G93" s="85">
        <f>R93*H93+U93</f>
        <v/>
      </c>
      <c r="H93" s="102" t="n">
        <v>1</v>
      </c>
      <c r="I93" s="103" t="inlineStr">
        <is>
          <t>None</t>
        </is>
      </c>
      <c r="J93" s="104" t="n">
        <v>1</v>
      </c>
      <c r="K93" s="89" t="n"/>
      <c r="L93" s="90">
        <f>IF(ISERROR(GETPIVOTDATA(IF($J93=1,"Count of ACTIVE     CED, FARM GATE (MJ/kg)","Count of CED, processor gate (MJ/kg)"),'[1]Pivot Table_CED'!$A$3,"SUB TYPE",$B93)),"PROXY",IF(GETPIVOTDATA(IF($J93=1,"Count of ACTIVE     CED, FARM GATE (MJ/kg)","Count of CED, processor gate (MJ/kg)"),'[1]Pivot Table_CED'!$A$3,"SUB TYPE",$B93)=0,"PROXY","DB value"))</f>
        <v/>
      </c>
      <c r="M93" s="91">
        <f>IF($L93="PROXY",DCOUNT('[1]literature entries'!$D:$AI,IF($J93=1,"ACTIVE     CED, FARM GATE (MJ/kg)","CED, processor gate (MJ/kg)"),INDIRECT($K93)),GETPIVOTDATA(IF($J93=1,"Count of ACTIVE     CED, FARM GATE (MJ/kg)","Count of CED, processor gate (MJ/kg)"),'[1]Pivot Table_CED'!$A$3,"SUB TYPE",$B93))</f>
        <v/>
      </c>
      <c r="N93" s="92">
        <f>IF($L93="PROXY",DAVERAGE('[1]literature entries'!$D:$AI,IF($J93=1,"ACTIVE     CED, FARM GATE (MJ/kg)","CED, processor gate (MJ/kg)"),INDIRECT($K93)),GETPIVOTDATA(IF($J93=1,"Average of ACTIVE     CED, FARM GATE (MJ/kg)","Average of CED, processor gate (MJ/kg)"),'[1]Pivot Table_CED'!$A$3,"SUB TYPE",$B93))</f>
        <v/>
      </c>
      <c r="O93" s="92">
        <f>IF($L93="PROXY",DSTDEV('[1]literature entries'!D:AI,IF($J93=1,"ACTIVE     CED, FARM GATE (MJ/kg)","CED, processor gate (MJ/kg)"),INDIRECT($K93)),GETPIVOTDATA(IF($J93=1,"StdDev of ACTIVE     CED, FARM GATE (MJ/kg)","StdDev of CED, processor gate (MJ/kg)"),'[1]Pivot Table_CED'!$A$3,"SUB TYPE",$B93))</f>
        <v/>
      </c>
      <c r="P93" s="90">
        <f>IF(ISERROR(GETPIVOTDATA(IF($J93=1,"Count of ACTIVE     GHGE, FARM GATE (kg CO2e/kg)","Count of GHGE, processor gate (kg CO2e/kg)"),'[1]Pivot Table_GHG'!$A$3,"SUB TYPE",$B93)),"PROXY",IF(GETPIVOTDATA(IF($J93=1,"Count of ACTIVE     GHGE, FARM GATE (kg CO2e/kg)","Count of GHGE, processor gate (kg CO2e/kg)"),'[1]Pivot Table_GHG'!$A$3,"SUB TYPE",$B93)=0,"PROXY","DB value"))</f>
        <v/>
      </c>
      <c r="Q93" s="93">
        <f>IF($P93="PROXY",DCOUNT('[1]literature entries'!$D:$AI,IF($J93=1,"ACTIVE     GHGE, FARM GATE (kg CO2e/kg)","GHGE, processor gate (kg CO2e/kg)"),INDIRECT($K93)),GETPIVOTDATA(IF($J93=1,"ACTIVE     GHGE, FARM GATE (kg CO2e/kg)","Count of GHGE, processor gate (kg CO2e/kg)"),'[1]Pivot Table_GHG'!$A$3,"SUB TYPE",$B93))</f>
        <v/>
      </c>
      <c r="R93" s="94">
        <f>IF($P93="PROXY",DAVERAGE('[1]literature entries'!$D:$AI,IF($J93=1,"ACTIVE     GHGE, FARM GATE (kg CO2e/kg)","GHGE, processor gate (kg CO2e/kg)"),INDIRECT($K93)),GETPIVOTDATA(IF($J93=1,"Average of ACTIVE     GHGE, FARM GATE (kg CO2e/kg)","Average of GHGE, processor gate (kg CO2e/kg)"),'[1]Pivot Table_GHG'!$A$3,"SUB TYPE",$B93))</f>
        <v/>
      </c>
      <c r="S93" s="94">
        <f>IF($P93="PROXY",DSTDEV('[1]literature entries'!$D:$AI,IF($J93=1,"ACTIVE     GHGE, FARM GATE (kg CO2e/kg)","GHGE, processor gate (kg CO2e/kg)"),INDIRECT($K93)),GETPIVOTDATA(IF($J93=1,"StdDev of ACTIVE     GHGE, FARM GATE (kg CO2e/kg)","StdDev of GHGE, processor gate (kg CO2e/kg)"),'[1]Pivot Table_GHG'!$A$3,"SUB TYPE",$B93))</f>
        <v/>
      </c>
      <c r="T93" s="122" t="n"/>
      <c r="U93" s="123" t="n"/>
      <c r="V93" s="97" t="n"/>
      <c r="W93" s="120" t="inlineStr">
        <is>
          <t>legume_seed</t>
        </is>
      </c>
      <c r="X93" s="98">
        <f>IF($W93="DIRECT",M93,DCOUNT('[1]literature entries'!$D:$AI,IF($J93=1,"ACTIVE     CED, FARM GATE (MJ/kg)","CED, processor gate (MJ/kg)"),INDIRECT($W93)))</f>
        <v/>
      </c>
      <c r="Y93" s="98">
        <f>IF($W93="DIRECT","",DAVERAGE('[1]literature entries'!$D:$AI,IF($J93=1,"ACTIVE     CED, FARM GATE (MJ/kg)","CED, processor gate (MJ/kg)"),INDIRECT($W93)))</f>
        <v/>
      </c>
      <c r="Z93" s="98">
        <f>IF($W93="DIRECT",$O93,DSTDEV('[1]literature entries'!$D:$AI,IF($J93=1,"ACTIVE     CED, FARM GATE (MJ/kg)","CED, processor gate (MJ/kg)"),INDIRECT($W93)))</f>
        <v/>
      </c>
      <c r="AA93" s="98">
        <f>IF($W93="DIRECT",$O93,$Z93/$Y93*$N93)</f>
        <v/>
      </c>
      <c r="AB93" s="121" t="inlineStr">
        <is>
          <t>legume_seed</t>
        </is>
      </c>
      <c r="AC93" s="99">
        <f>IF($AB93="DIRECT",Q93,DCOUNT('[1]literature entries'!$D:$AI,IF($J93=1,"ACTIVE     GHGE, FARM GATE (kg CO2e/kg)","GHGE, processor gate (kg CO2e/kg)"),INDIRECT($AB93)))</f>
        <v/>
      </c>
      <c r="AD93" s="99">
        <f>IF($AB93="DIRECT","",DAVERAGE('[1]literature entries'!$D:$AI,IF($J93=1,"ACTIVE     GHGE, FARM GATE (kg CO2e/kg)","GHGE, processor gate (kg CO2e/kg)"),INDIRECT($AB93)))</f>
        <v/>
      </c>
      <c r="AE93" s="99">
        <f>IF($AB93="DIRECT",$S93,DSTDEV('[1]literature entries'!$D:$AI,IF($J93=1,"ACTIVE     GHGE, FARM GATE (kg CO2e/kg)","GHGE, processor gate (kg CO2e/kg)"),INDIRECT($AB93)))</f>
        <v/>
      </c>
      <c r="AF93" s="99">
        <f>IF($AB93="DIRECT",$S93,$AE93/$AD93*$R93)</f>
        <v/>
      </c>
    </row>
    <row r="94" ht="15.75" customHeight="1" s="201">
      <c r="A94" s="100" t="n">
        <v>603256000</v>
      </c>
      <c r="B94" s="101" t="inlineStr">
        <is>
          <t>Pea, dry</t>
        </is>
      </c>
      <c r="C94" s="101" t="inlineStr">
        <is>
          <t>dry weight of pea</t>
        </is>
      </c>
      <c r="D94" s="101" t="n"/>
      <c r="E94" s="101" t="n">
        <v>135</v>
      </c>
      <c r="F94" s="84">
        <f>N94*H94+T94</f>
        <v/>
      </c>
      <c r="G94" s="85">
        <f>R94*H94+U94</f>
        <v/>
      </c>
      <c r="H94" s="102" t="n">
        <v>1</v>
      </c>
      <c r="I94" s="103" t="inlineStr">
        <is>
          <t>None</t>
        </is>
      </c>
      <c r="J94" s="104" t="n">
        <v>1</v>
      </c>
      <c r="K94" s="89" t="n"/>
      <c r="L94" s="90">
        <f>IF(ISERROR(GETPIVOTDATA(IF($J94=1,"Count of ACTIVE     CED, FARM GATE (MJ/kg)","Count of CED, processor gate (MJ/kg)"),'[1]Pivot Table_CED'!$A$3,"SUB TYPE",$B94)),"PROXY",IF(GETPIVOTDATA(IF($J94=1,"Count of ACTIVE     CED, FARM GATE (MJ/kg)","Count of CED, processor gate (MJ/kg)"),'[1]Pivot Table_CED'!$A$3,"SUB TYPE",$B94)=0,"PROXY","DB value"))</f>
        <v/>
      </c>
      <c r="M94" s="91">
        <f>IF($L94="PROXY",DCOUNT('[1]literature entries'!$D:$AI,IF($J94=1,"ACTIVE     CED, FARM GATE (MJ/kg)","CED, processor gate (MJ/kg)"),INDIRECT($K94)),GETPIVOTDATA(IF($J94=1,"Count of ACTIVE     CED, FARM GATE (MJ/kg)","Count of CED, processor gate (MJ/kg)"),'[1]Pivot Table_CED'!$A$3,"SUB TYPE",$B94))</f>
        <v/>
      </c>
      <c r="N94" s="92">
        <f>IF($L94="PROXY",DAVERAGE('[1]literature entries'!$D:$AI,IF($J94=1,"ACTIVE     CED, FARM GATE (MJ/kg)","CED, processor gate (MJ/kg)"),INDIRECT($K94)),GETPIVOTDATA(IF($J94=1,"Average of ACTIVE     CED, FARM GATE (MJ/kg)","Average of CED, processor gate (MJ/kg)"),'[1]Pivot Table_CED'!$A$3,"SUB TYPE",$B94))</f>
        <v/>
      </c>
      <c r="O94" s="92">
        <f>IF($L94="PROXY",DSTDEV('[1]literature entries'!D:AI,IF($J94=1,"ACTIVE     CED, FARM GATE (MJ/kg)","CED, processor gate (MJ/kg)"),INDIRECT($K94)),GETPIVOTDATA(IF($J94=1,"StdDev of ACTIVE     CED, FARM GATE (MJ/kg)","StdDev of CED, processor gate (MJ/kg)"),'[1]Pivot Table_CED'!$A$3,"SUB TYPE",$B94))</f>
        <v/>
      </c>
      <c r="P94" s="90">
        <f>IF(ISERROR(GETPIVOTDATA(IF($J94=1,"Count of ACTIVE     GHGE, FARM GATE (kg CO2e/kg)","Count of GHGE, processor gate (kg CO2e/kg)"),'[1]Pivot Table_GHG'!$A$3,"SUB TYPE",$B94)),"PROXY",IF(GETPIVOTDATA(IF($J94=1,"Count of ACTIVE     GHGE, FARM GATE (kg CO2e/kg)","Count of GHGE, processor gate (kg CO2e/kg)"),'[1]Pivot Table_GHG'!$A$3,"SUB TYPE",$B94)=0,"PROXY","DB value"))</f>
        <v/>
      </c>
      <c r="Q94" s="93">
        <f>IF($P94="PROXY",DCOUNT('[1]literature entries'!$D:$AI,IF($J94=1,"ACTIVE     GHGE, FARM GATE (kg CO2e/kg)","GHGE, processor gate (kg CO2e/kg)"),INDIRECT($K94)),GETPIVOTDATA(IF($J94=1,"ACTIVE     GHGE, FARM GATE (kg CO2e/kg)","Count of GHGE, processor gate (kg CO2e/kg)"),'[1]Pivot Table_GHG'!$A$3,"SUB TYPE",$B94))</f>
        <v/>
      </c>
      <c r="R94" s="94">
        <f>IF($P94="PROXY",DAVERAGE('[1]literature entries'!$D:$AI,IF($J94=1,"ACTIVE     GHGE, FARM GATE (kg CO2e/kg)","GHGE, processor gate (kg CO2e/kg)"),INDIRECT($K94)),GETPIVOTDATA(IF($J94=1,"Average of ACTIVE     GHGE, FARM GATE (kg CO2e/kg)","Average of GHGE, processor gate (kg CO2e/kg)"),'[1]Pivot Table_GHG'!$A$3,"SUB TYPE",$B94))</f>
        <v/>
      </c>
      <c r="S94" s="94">
        <f>IF($P94="PROXY",DSTDEV('[1]literature entries'!$D:$AI,IF($J94=1,"ACTIVE     GHGE, FARM GATE (kg CO2e/kg)","GHGE, processor gate (kg CO2e/kg)"),INDIRECT($K94)),GETPIVOTDATA(IF($J94=1,"StdDev of ACTIVE     GHGE, FARM GATE (kg CO2e/kg)","StdDev of GHGE, processor gate (kg CO2e/kg)"),'[1]Pivot Table_GHG'!$A$3,"SUB TYPE",$B94))</f>
        <v/>
      </c>
      <c r="T94" s="105" t="n"/>
      <c r="U94" s="106" t="n"/>
      <c r="V94" s="97" t="n"/>
      <c r="W94" s="98">
        <f>IF(L94="PROXY",IF(M94&gt;=5,K94,"need group"),IF(M94&gt;=5,"DIRECT","need group"))</f>
        <v/>
      </c>
      <c r="X94" s="98">
        <f>IF($W94="DIRECT",M94,DCOUNT('[1]literature entries'!$D:$AI,IF($J94=1,"ACTIVE     CED, FARM GATE (MJ/kg)","CED, processor gate (MJ/kg)"),INDIRECT($W94)))</f>
        <v/>
      </c>
      <c r="Y94" s="98">
        <f>IF($W94="DIRECT","",DAVERAGE('[1]literature entries'!$D:$AI,IF($J94=1,"ACTIVE     CED, FARM GATE (MJ/kg)","CED, processor gate (MJ/kg)"),INDIRECT($W94)))</f>
        <v/>
      </c>
      <c r="Z94" s="98">
        <f>IF($W94="DIRECT",$O94,DSTDEV('[1]literature entries'!$D:$AI,IF($J94=1,"ACTIVE     CED, FARM GATE (MJ/kg)","CED, processor gate (MJ/kg)"),INDIRECT($W94)))</f>
        <v/>
      </c>
      <c r="AA94" s="98">
        <f>IF($W94="DIRECT",$O94,$Z94/$Y94*$N94)</f>
        <v/>
      </c>
      <c r="AB94" s="99">
        <f>IF(P94="PROXY",IF(Q94&gt;=5,K94,"need group"),IF(Q94&gt;=5,"DIRECT","need group"))</f>
        <v/>
      </c>
      <c r="AC94" s="99">
        <f>IF($AB94="DIRECT",Q94,DCOUNT('[1]literature entries'!$D:$AI,IF($J94=1,"ACTIVE     GHGE, FARM GATE (kg CO2e/kg)","GHGE, processor gate (kg CO2e/kg)"),INDIRECT($AB94)))</f>
        <v/>
      </c>
      <c r="AD94" s="99">
        <f>IF($AB94="DIRECT","",DAVERAGE('[1]literature entries'!$D:$AI,IF($J94=1,"ACTIVE     GHGE, FARM GATE (kg CO2e/kg)","GHGE, processor gate (kg CO2e/kg)"),INDIRECT($AB94)))</f>
        <v/>
      </c>
      <c r="AE94" s="99">
        <f>IF($AB94="DIRECT",$S94,DSTDEV('[1]literature entries'!$D:$AI,IF($J94=1,"ACTIVE     GHGE, FARM GATE (kg CO2e/kg)","GHGE, processor gate (kg CO2e/kg)"),INDIRECT($AB94)))</f>
        <v/>
      </c>
      <c r="AF94" s="99">
        <f>IF($AB94="DIRECT",$S94,$AE94/$AD94*$R94)</f>
        <v/>
      </c>
    </row>
    <row r="95" ht="15.75" customHeight="1" s="201">
      <c r="A95" s="100" t="n">
        <v>603258000</v>
      </c>
      <c r="B95" s="101" t="inlineStr">
        <is>
          <t>Pea, pigeon, seed</t>
        </is>
      </c>
      <c r="C95" s="101" t="inlineStr">
        <is>
          <t>dry weight of pea</t>
        </is>
      </c>
      <c r="D95" s="101" t="n"/>
      <c r="E95" s="101" t="n">
        <v>22</v>
      </c>
      <c r="F95" s="84">
        <f>N95*H95+T95</f>
        <v/>
      </c>
      <c r="G95" s="85">
        <f>R95*H95+U95</f>
        <v/>
      </c>
      <c r="H95" s="102" t="n">
        <v>1</v>
      </c>
      <c r="I95" s="103" t="inlineStr">
        <is>
          <t>None</t>
        </is>
      </c>
      <c r="J95" s="104" t="n">
        <v>1</v>
      </c>
      <c r="K95" s="89" t="n"/>
      <c r="L95" s="90">
        <f>IF(ISERROR(GETPIVOTDATA(IF($J95=1,"Count of ACTIVE     CED, FARM GATE (MJ/kg)","Count of CED, processor gate (MJ/kg)"),'[1]Pivot Table_CED'!$A$3,"SUB TYPE",$B95)),"PROXY",IF(GETPIVOTDATA(IF($J95=1,"Count of ACTIVE     CED, FARM GATE (MJ/kg)","Count of CED, processor gate (MJ/kg)"),'[1]Pivot Table_CED'!$A$3,"SUB TYPE",$B95)=0,"PROXY","DB value"))</f>
        <v/>
      </c>
      <c r="M95" s="91">
        <f>IF($L95="PROXY",DCOUNT('[1]literature entries'!$D:$AI,IF($J95=1,"ACTIVE     CED, FARM GATE (MJ/kg)","CED, processor gate (MJ/kg)"),INDIRECT($K95)),GETPIVOTDATA(IF($J95=1,"Count of ACTIVE     CED, FARM GATE (MJ/kg)","Count of CED, processor gate (MJ/kg)"),'[1]Pivot Table_CED'!$A$3,"SUB TYPE",$B95))</f>
        <v/>
      </c>
      <c r="N95" s="92">
        <f>IF($L95="PROXY",DAVERAGE('[1]literature entries'!$D:$AI,IF($J95=1,"ACTIVE     CED, FARM GATE (MJ/kg)","CED, processor gate (MJ/kg)"),INDIRECT($K95)),GETPIVOTDATA(IF($J95=1,"Average of ACTIVE     CED, FARM GATE (MJ/kg)","Average of CED, processor gate (MJ/kg)"),'[1]Pivot Table_CED'!$A$3,"SUB TYPE",$B95))</f>
        <v/>
      </c>
      <c r="O95" s="92">
        <f>IF($L95="PROXY",DSTDEV('[1]literature entries'!D:AI,IF($J95=1,"ACTIVE     CED, FARM GATE (MJ/kg)","CED, processor gate (MJ/kg)"),INDIRECT($K95)),GETPIVOTDATA(IF($J95=1,"StdDev of ACTIVE     CED, FARM GATE (MJ/kg)","StdDev of CED, processor gate (MJ/kg)"),'[1]Pivot Table_CED'!$A$3,"SUB TYPE",$B95))</f>
        <v/>
      </c>
      <c r="P95" s="90">
        <f>IF(ISERROR(GETPIVOTDATA(IF($J95=1,"Count of ACTIVE     GHGE, FARM GATE (kg CO2e/kg)","Count of GHGE, processor gate (kg CO2e/kg)"),'[1]Pivot Table_GHG'!$A$3,"SUB TYPE",$B95)),"PROXY",IF(GETPIVOTDATA(IF($J95=1,"Count of ACTIVE     GHGE, FARM GATE (kg CO2e/kg)","Count of GHGE, processor gate (kg CO2e/kg)"),'[1]Pivot Table_GHG'!$A$3,"SUB TYPE",$B95)=0,"PROXY","DB value"))</f>
        <v/>
      </c>
      <c r="Q95" s="93">
        <f>IF($P95="PROXY",DCOUNT('[1]literature entries'!$D:$AI,IF($J95=1,"ACTIVE     GHGE, FARM GATE (kg CO2e/kg)","GHGE, processor gate (kg CO2e/kg)"),INDIRECT($K95)),GETPIVOTDATA(IF($J95=1,"ACTIVE     GHGE, FARM GATE (kg CO2e/kg)","Count of GHGE, processor gate (kg CO2e/kg)"),'[1]Pivot Table_GHG'!$A$3,"SUB TYPE",$B95))</f>
        <v/>
      </c>
      <c r="R95" s="94">
        <f>IF($P95="PROXY",DAVERAGE('[1]literature entries'!$D:$AI,IF($J95=1,"ACTIVE     GHGE, FARM GATE (kg CO2e/kg)","GHGE, processor gate (kg CO2e/kg)"),INDIRECT($K95)),GETPIVOTDATA(IF($J95=1,"Average of ACTIVE     GHGE, FARM GATE (kg CO2e/kg)","Average of GHGE, processor gate (kg CO2e/kg)"),'[1]Pivot Table_GHG'!$A$3,"SUB TYPE",$B95))</f>
        <v/>
      </c>
      <c r="S95" s="94">
        <f>IF($P95="PROXY",DSTDEV('[1]literature entries'!$D:$AI,IF($J95=1,"ACTIVE     GHGE, FARM GATE (kg CO2e/kg)","GHGE, processor gate (kg CO2e/kg)"),INDIRECT($K95)),GETPIVOTDATA(IF($J95=1,"StdDev of ACTIVE     GHGE, FARM GATE (kg CO2e/kg)","StdDev of GHGE, processor gate (kg CO2e/kg)"),'[1]Pivot Table_GHG'!$A$3,"SUB TYPE",$B95))</f>
        <v/>
      </c>
      <c r="T95" s="105" t="n"/>
      <c r="U95" s="106" t="n"/>
      <c r="V95" s="97" t="n"/>
      <c r="W95" s="120" t="inlineStr">
        <is>
          <t>legume_seed</t>
        </is>
      </c>
      <c r="X95" s="98">
        <f>IF($W95="DIRECT",M95,DCOUNT('[1]literature entries'!$D:$AI,IF($J95=1,"ACTIVE     CED, FARM GATE (MJ/kg)","CED, processor gate (MJ/kg)"),INDIRECT($W95)))</f>
        <v/>
      </c>
      <c r="Y95" s="98">
        <f>IF($W95="DIRECT","",DAVERAGE('[1]literature entries'!$D:$AI,IF($J95=1,"ACTIVE     CED, FARM GATE (MJ/kg)","CED, processor gate (MJ/kg)"),INDIRECT($W95)))</f>
        <v/>
      </c>
      <c r="Z95" s="98">
        <f>IF($W95="DIRECT",$O95,DSTDEV('[1]literature entries'!$D:$AI,IF($J95=1,"ACTIVE     CED, FARM GATE (MJ/kg)","CED, processor gate (MJ/kg)"),INDIRECT($W95)))</f>
        <v/>
      </c>
      <c r="AA95" s="98">
        <f>IF($W95="DIRECT",$O95,$Z95/$Y95*$N95)</f>
        <v/>
      </c>
      <c r="AB95" s="121" t="inlineStr">
        <is>
          <t>legume_seed</t>
        </is>
      </c>
      <c r="AC95" s="99">
        <f>IF($AB95="DIRECT",Q95,DCOUNT('[1]literature entries'!$D:$AI,IF($J95=1,"ACTIVE     GHGE, FARM GATE (kg CO2e/kg)","GHGE, processor gate (kg CO2e/kg)"),INDIRECT($AB95)))</f>
        <v/>
      </c>
      <c r="AD95" s="99">
        <f>IF($AB95="DIRECT","",DAVERAGE('[1]literature entries'!$D:$AI,IF($J95=1,"ACTIVE     GHGE, FARM GATE (kg CO2e/kg)","GHGE, processor gate (kg CO2e/kg)"),INDIRECT($AB95)))</f>
        <v/>
      </c>
      <c r="AE95" s="99">
        <f>IF($AB95="DIRECT",$S95,DSTDEV('[1]literature entries'!$D:$AI,IF($J95=1,"ACTIVE     GHGE, FARM GATE (kg CO2e/kg)","GHGE, processor gate (kg CO2e/kg)"),INDIRECT($AB95)))</f>
        <v/>
      </c>
      <c r="AF95" s="99">
        <f>IF($AB95="DIRECT",$S95,$AE95/$AD95*$R95)</f>
        <v/>
      </c>
    </row>
    <row r="96" ht="15.75" customHeight="1" s="201">
      <c r="A96" s="100" t="n">
        <v>801374000</v>
      </c>
      <c r="B96" s="101" t="inlineStr">
        <is>
          <t>Tomatillo</t>
        </is>
      </c>
      <c r="C96" s="101" t="inlineStr">
        <is>
          <t>weight of fruit; excluding outer husks</t>
        </is>
      </c>
      <c r="D96" s="124" t="n"/>
      <c r="E96" s="101" t="n">
        <v>644</v>
      </c>
      <c r="F96" s="84">
        <f>N96*H96+T96</f>
        <v/>
      </c>
      <c r="G96" s="85">
        <f>R96*H96+U96</f>
        <v/>
      </c>
      <c r="H96" s="102" t="n">
        <v>1.1</v>
      </c>
      <c r="I96" s="125" t="inlineStr">
        <is>
          <t>tomato</t>
        </is>
      </c>
      <c r="J96" s="104" t="n">
        <v>1</v>
      </c>
      <c r="K96" s="89" t="inlineStr">
        <is>
          <t>tomato</t>
        </is>
      </c>
      <c r="L96" s="90">
        <f>IF(ISERROR(GETPIVOTDATA(IF($J96=1,"Count of ACTIVE     CED, FARM GATE (MJ/kg)","Count of CED, processor gate (MJ/kg)"),'[1]Pivot Table_CED'!$A$3,"SUB TYPE",$B96)),"PROXY",IF(GETPIVOTDATA(IF($J96=1,"Count of ACTIVE     CED, FARM GATE (MJ/kg)","Count of CED, processor gate (MJ/kg)"),'[1]Pivot Table_CED'!$A$3,"SUB TYPE",$B96)=0,"PROXY","DB value"))</f>
        <v/>
      </c>
      <c r="M96" s="91">
        <f>IF($L96="PROXY",DCOUNT('[1]literature entries'!$D:$AI,IF($J96=1,"ACTIVE     CED, FARM GATE (MJ/kg)","CED, processor gate (MJ/kg)"),INDIRECT($K96)),GETPIVOTDATA(IF($J96=1,"Count of ACTIVE     CED, FARM GATE (MJ/kg)","Count of CED, processor gate (MJ/kg)"),'[1]Pivot Table_CED'!$A$3,"SUB TYPE",$B96))</f>
        <v/>
      </c>
      <c r="N96" s="92">
        <f>IF($L96="PROXY",DAVERAGE('[1]literature entries'!$D:$AI,IF($J96=1,"ACTIVE     CED, FARM GATE (MJ/kg)","CED, processor gate (MJ/kg)"),INDIRECT($K96)),GETPIVOTDATA(IF($J96=1,"Average of ACTIVE     CED, FARM GATE (MJ/kg)","Average of CED, processor gate (MJ/kg)"),'[1]Pivot Table_CED'!$A$3,"SUB TYPE",$B96))</f>
        <v/>
      </c>
      <c r="O96" s="92">
        <f>IF($L96="PROXY",DSTDEV('[1]literature entries'!D:AI,IF($J96=1,"ACTIVE     CED, FARM GATE (MJ/kg)","CED, processor gate (MJ/kg)"),INDIRECT($K96)),GETPIVOTDATA(IF($J96=1,"StdDev of ACTIVE     CED, FARM GATE (MJ/kg)","StdDev of CED, processor gate (MJ/kg)"),'[1]Pivot Table_CED'!$A$3,"SUB TYPE",$B96))</f>
        <v/>
      </c>
      <c r="P96" s="90">
        <f>IF(ISERROR(GETPIVOTDATA(IF($J96=1,"Count of ACTIVE     GHGE, FARM GATE (kg CO2e/kg)","Count of GHGE, processor gate (kg CO2e/kg)"),'[1]Pivot Table_GHG'!$A$3,"SUB TYPE",$B96)),"PROXY",IF(GETPIVOTDATA(IF($J96=1,"Count of ACTIVE     GHGE, FARM GATE (kg CO2e/kg)","Count of GHGE, processor gate (kg CO2e/kg)"),'[1]Pivot Table_GHG'!$A$3,"SUB TYPE",$B96)=0,"PROXY","DB value"))</f>
        <v/>
      </c>
      <c r="Q96" s="93">
        <f>IF($P96="PROXY",DCOUNT('[1]literature entries'!$D:$AI,IF($J96=1,"ACTIVE     GHGE, FARM GATE (kg CO2e/kg)","GHGE, processor gate (kg CO2e/kg)"),INDIRECT($K96)),GETPIVOTDATA(IF($J96=1,"ACTIVE     GHGE, FARM GATE (kg CO2e/kg)","Count of GHGE, processor gate (kg CO2e/kg)"),'[1]Pivot Table_GHG'!$A$3,"SUB TYPE",$B96))</f>
        <v/>
      </c>
      <c r="R96" s="94">
        <f>IF($P96="PROXY",DAVERAGE('[1]literature entries'!$D:$AI,IF($J96=1,"ACTIVE     GHGE, FARM GATE (kg CO2e/kg)","GHGE, processor gate (kg CO2e/kg)"),INDIRECT($K96)),GETPIVOTDATA(IF($J96=1,"Average of ACTIVE     GHGE, FARM GATE (kg CO2e/kg)","Average of GHGE, processor gate (kg CO2e/kg)"),'[1]Pivot Table_GHG'!$A$3,"SUB TYPE",$B96))</f>
        <v/>
      </c>
      <c r="S96" s="94">
        <f>IF($P96="PROXY",DSTDEV('[1]literature entries'!$D:$AI,IF($J96=1,"ACTIVE     GHGE, FARM GATE (kg CO2e/kg)","GHGE, processor gate (kg CO2e/kg)"),INDIRECT($K96)),GETPIVOTDATA(IF($J96=1,"StdDev of ACTIVE     GHGE, FARM GATE (kg CO2e/kg)","StdDev of GHGE, processor gate (kg CO2e/kg)"),'[1]Pivot Table_GHG'!$A$3,"SUB TYPE",$B96))</f>
        <v/>
      </c>
      <c r="T96" s="105" t="n"/>
      <c r="U96" s="106" t="n"/>
      <c r="V96" s="97" t="n"/>
      <c r="W96" s="98">
        <f>IF(L96="PROXY",IF(M96&gt;=5,K96,"need group"),IF(M96&gt;=5,"DIRECT","need group"))</f>
        <v/>
      </c>
      <c r="X96" s="98">
        <f>IF($W96="DIRECT",M96,DCOUNT('[1]literature entries'!$D:$AI,IF($J96=1,"ACTIVE     CED, FARM GATE (MJ/kg)","CED, processor gate (MJ/kg)"),INDIRECT($W96)))</f>
        <v/>
      </c>
      <c r="Y96" s="98">
        <f>IF($W96="DIRECT","",DAVERAGE('[1]literature entries'!$D:$AI,IF($J96=1,"ACTIVE     CED, FARM GATE (MJ/kg)","CED, processor gate (MJ/kg)"),INDIRECT($W96)))</f>
        <v/>
      </c>
      <c r="Z96" s="98">
        <f>IF($W96="DIRECT",$O96,DSTDEV('[1]literature entries'!$D:$AI,IF($J96=1,"ACTIVE     CED, FARM GATE (MJ/kg)","CED, processor gate (MJ/kg)"),INDIRECT($W96)))</f>
        <v/>
      </c>
      <c r="AA96" s="98">
        <f>IF($W96="DIRECT",$O96,$Z96/$Y96*$N96)</f>
        <v/>
      </c>
      <c r="AB96" s="99">
        <f>IF(P96="PROXY",IF(Q96&gt;=5,K96,"need group"),IF(Q96&gt;=5,"DIRECT","need group"))</f>
        <v/>
      </c>
      <c r="AC96" s="99">
        <f>IF($AB96="DIRECT",Q96,DCOUNT('[1]literature entries'!$D:$AI,IF($J96=1,"ACTIVE     GHGE, FARM GATE (kg CO2e/kg)","GHGE, processor gate (kg CO2e/kg)"),INDIRECT($AB96)))</f>
        <v/>
      </c>
      <c r="AD96" s="99">
        <f>IF($AB96="DIRECT","",DAVERAGE('[1]literature entries'!$D:$AI,IF($J96=1,"ACTIVE     GHGE, FARM GATE (kg CO2e/kg)","GHGE, processor gate (kg CO2e/kg)"),INDIRECT($AB96)))</f>
        <v/>
      </c>
      <c r="AE96" s="99">
        <f>IF($AB96="DIRECT",$S96,DSTDEV('[1]literature entries'!$D:$AI,IF($J96=1,"ACTIVE     GHGE, FARM GATE (kg CO2e/kg)","GHGE, processor gate (kg CO2e/kg)"),INDIRECT($AB96)))</f>
        <v/>
      </c>
      <c r="AF96" s="99">
        <f>IF($AB96="DIRECT",$S96,$AE96/$AD96*$R96)</f>
        <v/>
      </c>
    </row>
    <row r="97" ht="15.75" customHeight="1" s="201">
      <c r="A97" s="100" t="n">
        <v>801375000</v>
      </c>
      <c r="B97" s="101" t="inlineStr">
        <is>
          <t>Tomato</t>
        </is>
      </c>
      <c r="C97" s="101" t="inlineStr">
        <is>
          <t>weight of pulp, seeds and skin; tomatoes without skin but with seed (example canned whole tomatoes)</t>
        </is>
      </c>
      <c r="D97" s="124" t="n"/>
      <c r="E97" s="101" t="n">
        <v>23505</v>
      </c>
      <c r="F97" s="84">
        <f>N97*H97+T97</f>
        <v/>
      </c>
      <c r="G97" s="85">
        <f>R97*H97+U97</f>
        <v/>
      </c>
      <c r="H97" s="102" t="n">
        <v>1.1</v>
      </c>
      <c r="I97" s="102" t="inlineStr">
        <is>
          <t>FICRCD</t>
        </is>
      </c>
      <c r="J97" s="104" t="n">
        <v>1</v>
      </c>
      <c r="K97" s="89" t="n"/>
      <c r="L97" s="90">
        <f>IF(ISERROR(GETPIVOTDATA(IF($J97=1,"Count of ACTIVE     CED, FARM GATE (MJ/kg)","Count of CED, processor gate (MJ/kg)"),'[1]Pivot Table_CED'!$A$3,"SUB TYPE",$B97)),"PROXY",IF(GETPIVOTDATA(IF($J97=1,"Count of ACTIVE     CED, FARM GATE (MJ/kg)","Count of CED, processor gate (MJ/kg)"),'[1]Pivot Table_CED'!$A$3,"SUB TYPE",$B97)=0,"PROXY","DB value"))</f>
        <v/>
      </c>
      <c r="M97" s="91">
        <f>IF($L97="PROXY",DCOUNT('[1]literature entries'!$D:$AI,IF($J97=1,"ACTIVE     CED, FARM GATE (MJ/kg)","CED, processor gate (MJ/kg)"),INDIRECT($K97)),GETPIVOTDATA(IF($J97=1,"Count of ACTIVE     CED, FARM GATE (MJ/kg)","Count of CED, processor gate (MJ/kg)"),'[1]Pivot Table_CED'!$A$3,"SUB TYPE",$B97))</f>
        <v/>
      </c>
      <c r="N97" s="92">
        <f>IF($L97="PROXY",DAVERAGE('[1]literature entries'!$D:$AI,IF($J97=1,"ACTIVE     CED, FARM GATE (MJ/kg)","CED, processor gate (MJ/kg)"),INDIRECT($K97)),GETPIVOTDATA(IF($J97=1,"Average of ACTIVE     CED, FARM GATE (MJ/kg)","Average of CED, processor gate (MJ/kg)"),'[1]Pivot Table_CED'!$A$3,"SUB TYPE",$B97))</f>
        <v/>
      </c>
      <c r="O97" s="92">
        <f>IF($L97="PROXY",DSTDEV('[1]literature entries'!D:AI,IF($J97=1,"ACTIVE     CED, FARM GATE (MJ/kg)","CED, processor gate (MJ/kg)"),INDIRECT($K97)),GETPIVOTDATA(IF($J97=1,"StdDev of ACTIVE     CED, FARM GATE (MJ/kg)","StdDev of CED, processor gate (MJ/kg)"),'[1]Pivot Table_CED'!$A$3,"SUB TYPE",$B97))</f>
        <v/>
      </c>
      <c r="P97" s="90">
        <f>IF(ISERROR(GETPIVOTDATA(IF($J97=1,"Count of ACTIVE     GHGE, FARM GATE (kg CO2e/kg)","Count of GHGE, processor gate (kg CO2e/kg)"),'[1]Pivot Table_GHG'!$A$3,"SUB TYPE",$B97)),"PROXY",IF(GETPIVOTDATA(IF($J97=1,"Count of ACTIVE     GHGE, FARM GATE (kg CO2e/kg)","Count of GHGE, processor gate (kg CO2e/kg)"),'[1]Pivot Table_GHG'!$A$3,"SUB TYPE",$B97)=0,"PROXY","DB value"))</f>
        <v/>
      </c>
      <c r="Q97" s="93">
        <f>IF($P97="PROXY",DCOUNT('[1]literature entries'!$D:$AI,IF($J97=1,"ACTIVE     GHGE, FARM GATE (kg CO2e/kg)","GHGE, processor gate (kg CO2e/kg)"),INDIRECT($K97)),GETPIVOTDATA(IF($J97=1,"ACTIVE     GHGE, FARM GATE (kg CO2e/kg)","Count of GHGE, processor gate (kg CO2e/kg)"),'[1]Pivot Table_GHG'!$A$3,"SUB TYPE",$B97))</f>
        <v/>
      </c>
      <c r="R97" s="94">
        <f>IF($P97="PROXY",DAVERAGE('[1]literature entries'!$D:$AI,IF($J97=1,"ACTIVE     GHGE, FARM GATE (kg CO2e/kg)","GHGE, processor gate (kg CO2e/kg)"),INDIRECT($K97)),GETPIVOTDATA(IF($J97=1,"Average of ACTIVE     GHGE, FARM GATE (kg CO2e/kg)","Average of GHGE, processor gate (kg CO2e/kg)"),'[1]Pivot Table_GHG'!$A$3,"SUB TYPE",$B97))</f>
        <v/>
      </c>
      <c r="S97" s="94">
        <f>IF($P97="PROXY",DSTDEV('[1]literature entries'!$D:$AI,IF($J97=1,"ACTIVE     GHGE, FARM GATE (kg CO2e/kg)","GHGE, processor gate (kg CO2e/kg)"),INDIRECT($K97)),GETPIVOTDATA(IF($J97=1,"StdDev of ACTIVE     GHGE, FARM GATE (kg CO2e/kg)","StdDev of GHGE, processor gate (kg CO2e/kg)"),'[1]Pivot Table_GHG'!$A$3,"SUB TYPE",$B97))</f>
        <v/>
      </c>
      <c r="T97" s="105" t="n"/>
      <c r="U97" s="106" t="n"/>
      <c r="V97" s="97" t="n"/>
      <c r="W97" s="98">
        <f>IF(L97="PROXY",IF(M97&gt;=5,K97,"need group"),IF(M97&gt;=5,"DIRECT","need group"))</f>
        <v/>
      </c>
      <c r="X97" s="98">
        <f>IF($W97="DIRECT",M97,DCOUNT('[1]literature entries'!$D:$AI,IF($J97=1,"ACTIVE     CED, FARM GATE (MJ/kg)","CED, processor gate (MJ/kg)"),INDIRECT($W97)))</f>
        <v/>
      </c>
      <c r="Y97" s="98">
        <f>IF($W97="DIRECT","",DAVERAGE('[1]literature entries'!$D:$AI,IF($J97=1,"ACTIVE     CED, FARM GATE (MJ/kg)","CED, processor gate (MJ/kg)"),INDIRECT($W97)))</f>
        <v/>
      </c>
      <c r="Z97" s="98">
        <f>IF($W97="DIRECT",$O97,DSTDEV('[1]literature entries'!$D:$AI,IF($J97=1,"ACTIVE     CED, FARM GATE (MJ/kg)","CED, processor gate (MJ/kg)"),INDIRECT($W97)))</f>
        <v/>
      </c>
      <c r="AA97" s="98">
        <f>IF($W97="DIRECT",$O97,$Z97/$Y97*$N97)</f>
        <v/>
      </c>
      <c r="AB97" s="99">
        <f>IF(P97="PROXY",IF(Q97&gt;=5,K97,"need group"),IF(Q97&gt;=5,"DIRECT","need group"))</f>
        <v/>
      </c>
      <c r="AC97" s="99">
        <f>IF($AB97="DIRECT",Q97,DCOUNT('[1]literature entries'!$D:$AI,IF($J97=1,"ACTIVE     GHGE, FARM GATE (kg CO2e/kg)","GHGE, processor gate (kg CO2e/kg)"),INDIRECT($AB97)))</f>
        <v/>
      </c>
      <c r="AD97" s="99">
        <f>IF($AB97="DIRECT","",DAVERAGE('[1]literature entries'!$D:$AI,IF($J97=1,"ACTIVE     GHGE, FARM GATE (kg CO2e/kg)","GHGE, processor gate (kg CO2e/kg)"),INDIRECT($AB97)))</f>
        <v/>
      </c>
      <c r="AE97" s="99">
        <f>IF($AB97="DIRECT",$S97,DSTDEV('[1]literature entries'!$D:$AI,IF($J97=1,"ACTIVE     GHGE, FARM GATE (kg CO2e/kg)","GHGE, processor gate (kg CO2e/kg)"),INDIRECT($AB97)))</f>
        <v/>
      </c>
      <c r="AF97" s="99">
        <f>IF($AB97="DIRECT",$S97,$AE97/$AD97*$R97)</f>
        <v/>
      </c>
    </row>
    <row r="98" ht="15.75" customHeight="1" s="201">
      <c r="A98" s="100" t="n">
        <v>801376000</v>
      </c>
      <c r="B98" s="101" t="inlineStr">
        <is>
          <t>Tomato, paste</t>
        </is>
      </c>
      <c r="C98" s="101" t="inlineStr">
        <is>
          <t>weight of concentrated tomato pulp from food described as paste; excluding seeds and skin</t>
        </is>
      </c>
      <c r="D98" s="124" t="n"/>
      <c r="E98" s="101" t="n">
        <v>7988</v>
      </c>
      <c r="F98" s="84">
        <f>N98*H98+T98</f>
        <v/>
      </c>
      <c r="G98" s="85">
        <f>R98*H98+U98</f>
        <v/>
      </c>
      <c r="H98" s="102" t="n">
        <v>1</v>
      </c>
      <c r="I98" s="125" t="inlineStr">
        <is>
          <t>none</t>
        </is>
      </c>
      <c r="J98" s="104" t="n">
        <v>2</v>
      </c>
      <c r="K98" s="89" t="n"/>
      <c r="L98" s="90">
        <f>IF(ISERROR(GETPIVOTDATA(IF($J98=1,"Count of ACTIVE     CED, FARM GATE (MJ/kg)","Count of CED, processor gate (MJ/kg)"),'[1]Pivot Table_CED'!$A$3,"SUB TYPE",$B98)),"PROXY",IF(GETPIVOTDATA(IF($J98=1,"Count of ACTIVE     CED, FARM GATE (MJ/kg)","Count of CED, processor gate (MJ/kg)"),'[1]Pivot Table_CED'!$A$3,"SUB TYPE",$B98)=0,"PROXY","DB value"))</f>
        <v/>
      </c>
      <c r="M98" s="91">
        <f>IF($L98="PROXY",DCOUNT('[1]literature entries'!$D:$AI,IF($J98=1,"ACTIVE     CED, FARM GATE (MJ/kg)","CED, processor gate (MJ/kg)"),INDIRECT($K98)),GETPIVOTDATA(IF($J98=1,"Count of ACTIVE     CED, FARM GATE (MJ/kg)","Count of CED, processor gate (MJ/kg)"),'[1]Pivot Table_CED'!$A$3,"SUB TYPE",$B98))</f>
        <v/>
      </c>
      <c r="N98" s="92">
        <f>IF($L98="PROXY",DAVERAGE('[1]literature entries'!$D:$AI,IF($J98=1,"ACTIVE     CED, FARM GATE (MJ/kg)","CED, processor gate (MJ/kg)"),INDIRECT($K98)),GETPIVOTDATA(IF($J98=1,"Average of ACTIVE     CED, FARM GATE (MJ/kg)","Average of CED, processor gate (MJ/kg)"),'[1]Pivot Table_CED'!$A$3,"SUB TYPE",$B98))</f>
        <v/>
      </c>
      <c r="O98" s="92">
        <f>IF($L98="PROXY",DSTDEV('[1]literature entries'!D:AI,IF($J98=1,"ACTIVE     CED, FARM GATE (MJ/kg)","CED, processor gate (MJ/kg)"),INDIRECT($K98)),GETPIVOTDATA(IF($J98=1,"StdDev of ACTIVE     CED, FARM GATE (MJ/kg)","StdDev of CED, processor gate (MJ/kg)"),'[1]Pivot Table_CED'!$A$3,"SUB TYPE",$B98))</f>
        <v/>
      </c>
      <c r="P98" s="90">
        <f>IF(ISERROR(GETPIVOTDATA(IF($J98=1,"Count of ACTIVE     GHGE, FARM GATE (kg CO2e/kg)","Count of GHGE, processor gate (kg CO2e/kg)"),'[1]Pivot Table_GHG'!$A$3,"SUB TYPE",$B98)),"PROXY",IF(GETPIVOTDATA(IF($J98=1,"Count of ACTIVE     GHGE, FARM GATE (kg CO2e/kg)","Count of GHGE, processor gate (kg CO2e/kg)"),'[1]Pivot Table_GHG'!$A$3,"SUB TYPE",$B98)=0,"PROXY","DB value"))</f>
        <v/>
      </c>
      <c r="Q98" s="93">
        <f>IF($P98="PROXY",DCOUNT('[1]literature entries'!$D:$AI,IF($J98=1,"ACTIVE     GHGE, FARM GATE (kg CO2e/kg)","GHGE, processor gate (kg CO2e/kg)"),INDIRECT($K98)),GETPIVOTDATA(IF($J98=1,"ACTIVE     GHGE, FARM GATE (kg CO2e/kg)","Count of GHGE, processor gate (kg CO2e/kg)"),'[1]Pivot Table_GHG'!$A$3,"SUB TYPE",$B98))</f>
        <v/>
      </c>
      <c r="R98" s="94">
        <f>IF($P98="PROXY",DAVERAGE('[1]literature entries'!$D:$AI,IF($J98=1,"ACTIVE     GHGE, FARM GATE (kg CO2e/kg)","GHGE, processor gate (kg CO2e/kg)"),INDIRECT($K98)),GETPIVOTDATA(IF($J98=1,"Average of ACTIVE     GHGE, FARM GATE (kg CO2e/kg)","Average of GHGE, processor gate (kg CO2e/kg)"),'[1]Pivot Table_GHG'!$A$3,"SUB TYPE",$B98))</f>
        <v/>
      </c>
      <c r="S98" s="94">
        <f>IF($P98="PROXY",DSTDEV('[1]literature entries'!$D:$AI,IF($J98=1,"ACTIVE     GHGE, FARM GATE (kg CO2e/kg)","GHGE, processor gate (kg CO2e/kg)"),INDIRECT($K98)),GETPIVOTDATA(IF($J98=1,"StdDev of ACTIVE     GHGE, FARM GATE (kg CO2e/kg)","StdDev of GHGE, processor gate (kg CO2e/kg)"),'[1]Pivot Table_GHG'!$A$3,"SUB TYPE",$B98))</f>
        <v/>
      </c>
      <c r="T98" s="105" t="n"/>
      <c r="U98" s="106" t="n"/>
      <c r="V98" s="97" t="n"/>
      <c r="W98" s="98" t="inlineStr">
        <is>
          <t>processed_tomato</t>
        </is>
      </c>
      <c r="X98" s="98">
        <f>IF($W98="DIRECT",M98,DCOUNT('[1]literature entries'!$D:$AI,IF($J98=1,"ACTIVE     CED, FARM GATE (MJ/kg)","CED, processor gate (MJ/kg)"),INDIRECT($W98)))</f>
        <v/>
      </c>
      <c r="Y98" s="98">
        <f>IF($W98="DIRECT","",DAVERAGE('[1]literature entries'!$D:$AI,IF($J98=1,"ACTIVE     CED, FARM GATE (MJ/kg)","CED, processor gate (MJ/kg)"),INDIRECT($W98)))</f>
        <v/>
      </c>
      <c r="Z98" s="98">
        <f>IF($W98="DIRECT",$O98,DSTDEV('[1]literature entries'!$D:$AI,IF($J98=1,"ACTIVE     CED, FARM GATE (MJ/kg)","CED, processor gate (MJ/kg)"),INDIRECT($W98)))</f>
        <v/>
      </c>
      <c r="AA98" s="98">
        <f>IF($W98="DIRECT",$O98,$Z98/$Y98*$N98)</f>
        <v/>
      </c>
      <c r="AB98" s="99" t="inlineStr">
        <is>
          <t>processed_tomato</t>
        </is>
      </c>
      <c r="AC98" s="99">
        <f>IF($AB98="DIRECT",Q98,DCOUNT('[1]literature entries'!$D:$AI,IF($J98=1,"ACTIVE     GHGE, FARM GATE (kg CO2e/kg)","GHGE, processor gate (kg CO2e/kg)"),INDIRECT($AB98)))</f>
        <v/>
      </c>
      <c r="AD98" s="99">
        <f>IF($AB98="DIRECT","",DAVERAGE('[1]literature entries'!$D:$AI,IF($J98=1,"ACTIVE     GHGE, FARM GATE (kg CO2e/kg)","GHGE, processor gate (kg CO2e/kg)"),INDIRECT($AB98)))</f>
        <v/>
      </c>
      <c r="AE98" s="99">
        <f>IF($AB98="DIRECT",$S98,DSTDEV('[1]literature entries'!$D:$AI,IF($J98=1,"ACTIVE     GHGE, FARM GATE (kg CO2e/kg)","GHGE, processor gate (kg CO2e/kg)"),INDIRECT($AB98)))</f>
        <v/>
      </c>
      <c r="AF98" s="99">
        <f>IF($AB98="DIRECT",$S98,$AE98/$AD98*$R98)</f>
        <v/>
      </c>
    </row>
    <row r="99" ht="15.75" customHeight="1" s="201">
      <c r="A99" s="100" t="n">
        <v>801377000</v>
      </c>
      <c r="B99" s="101" t="inlineStr">
        <is>
          <t>Tomato, puree</t>
        </is>
      </c>
      <c r="C99" s="101" t="inlineStr">
        <is>
          <t>weight of concentrated tomato pulp (from food described as puree or sauce); excluding seeds and skin</t>
        </is>
      </c>
      <c r="D99" s="124" t="n"/>
      <c r="E99" s="101" t="n">
        <v>19602</v>
      </c>
      <c r="F99" s="84">
        <f>N99*H99+T99</f>
        <v/>
      </c>
      <c r="G99" s="85">
        <f>R99*H99+U99</f>
        <v/>
      </c>
      <c r="H99" s="102" t="n">
        <v>1</v>
      </c>
      <c r="I99" s="125" t="inlineStr">
        <is>
          <t>none</t>
        </is>
      </c>
      <c r="J99" s="104" t="n">
        <v>2</v>
      </c>
      <c r="K99" s="89" t="n"/>
      <c r="L99" s="90">
        <f>IF(ISERROR(GETPIVOTDATA(IF($J99=1,"Count of ACTIVE     CED, FARM GATE (MJ/kg)","Count of CED, processor gate (MJ/kg)"),'[1]Pivot Table_CED'!$A$3,"SUB TYPE",$B99)),"PROXY",IF(GETPIVOTDATA(IF($J99=1,"Count of ACTIVE     CED, FARM GATE (MJ/kg)","Count of CED, processor gate (MJ/kg)"),'[1]Pivot Table_CED'!$A$3,"SUB TYPE",$B99)=0,"PROXY","DB value"))</f>
        <v/>
      </c>
      <c r="M99" s="91">
        <f>IF($L99="PROXY",DCOUNT('[1]literature entries'!$D:$AI,IF($J99=1,"ACTIVE     CED, FARM GATE (MJ/kg)","CED, processor gate (MJ/kg)"),INDIRECT($K99)),GETPIVOTDATA(IF($J99=1,"Count of ACTIVE     CED, FARM GATE (MJ/kg)","Count of CED, processor gate (MJ/kg)"),'[1]Pivot Table_CED'!$A$3,"SUB TYPE",$B99))</f>
        <v/>
      </c>
      <c r="N99" s="92">
        <f>IF($L99="PROXY",DAVERAGE('[1]literature entries'!$D:$AI,IF($J99=1,"ACTIVE     CED, FARM GATE (MJ/kg)","CED, processor gate (MJ/kg)"),INDIRECT($K99)),GETPIVOTDATA(IF($J99=1,"Average of ACTIVE     CED, FARM GATE (MJ/kg)","Average of CED, processor gate (MJ/kg)"),'[1]Pivot Table_CED'!$A$3,"SUB TYPE",$B99))</f>
        <v/>
      </c>
      <c r="O99" s="92">
        <f>IF($L99="PROXY",DSTDEV('[1]literature entries'!D:AI,IF($J99=1,"ACTIVE     CED, FARM GATE (MJ/kg)","CED, processor gate (MJ/kg)"),INDIRECT($K99)),GETPIVOTDATA(IF($J99=1,"StdDev of ACTIVE     CED, FARM GATE (MJ/kg)","StdDev of CED, processor gate (MJ/kg)"),'[1]Pivot Table_CED'!$A$3,"SUB TYPE",$B99))</f>
        <v/>
      </c>
      <c r="P99" s="90">
        <f>IF(ISERROR(GETPIVOTDATA(IF($J99=1,"Count of ACTIVE     GHGE, FARM GATE (kg CO2e/kg)","Count of GHGE, processor gate (kg CO2e/kg)"),'[1]Pivot Table_GHG'!$A$3,"SUB TYPE",$B99)),"PROXY",IF(GETPIVOTDATA(IF($J99=1,"Count of ACTIVE     GHGE, FARM GATE (kg CO2e/kg)","Count of GHGE, processor gate (kg CO2e/kg)"),'[1]Pivot Table_GHG'!$A$3,"SUB TYPE",$B99)=0,"PROXY","DB value"))</f>
        <v/>
      </c>
      <c r="Q99" s="93">
        <f>IF($P99="PROXY",DCOUNT('[1]literature entries'!$D:$AI,IF($J99=1,"ACTIVE     GHGE, FARM GATE (kg CO2e/kg)","GHGE, processor gate (kg CO2e/kg)"),INDIRECT($K99)),GETPIVOTDATA(IF($J99=1,"ACTIVE     GHGE, FARM GATE (kg CO2e/kg)","Count of GHGE, processor gate (kg CO2e/kg)"),'[1]Pivot Table_GHG'!$A$3,"SUB TYPE",$B99))</f>
        <v/>
      </c>
      <c r="R99" s="94">
        <f>IF($P99="PROXY",DAVERAGE('[1]literature entries'!$D:$AI,IF($J99=1,"ACTIVE     GHGE, FARM GATE (kg CO2e/kg)","GHGE, processor gate (kg CO2e/kg)"),INDIRECT($K99)),GETPIVOTDATA(IF($J99=1,"Average of ACTIVE     GHGE, FARM GATE (kg CO2e/kg)","Average of GHGE, processor gate (kg CO2e/kg)"),'[1]Pivot Table_GHG'!$A$3,"SUB TYPE",$B99))</f>
        <v/>
      </c>
      <c r="S99" s="94">
        <f>IF($P99="PROXY",DSTDEV('[1]literature entries'!$D:$AI,IF($J99=1,"ACTIVE     GHGE, FARM GATE (kg CO2e/kg)","GHGE, processor gate (kg CO2e/kg)"),INDIRECT($K99)),GETPIVOTDATA(IF($J99=1,"StdDev of ACTIVE     GHGE, FARM GATE (kg CO2e/kg)","StdDev of GHGE, processor gate (kg CO2e/kg)"),'[1]Pivot Table_GHG'!$A$3,"SUB TYPE",$B99))</f>
        <v/>
      </c>
      <c r="T99" s="105" t="n"/>
      <c r="U99" s="106" t="n"/>
      <c r="V99" s="97" t="n"/>
      <c r="W99" s="98">
        <f>IF(L99="PROXY",IF(M99&gt;=5,K99,"need group"),IF(M99&gt;=5,"DIRECT","need group"))</f>
        <v/>
      </c>
      <c r="X99" s="98">
        <f>IF($W99="DIRECT",M99,DCOUNT('[1]literature entries'!$D:$AI,IF($J99=1,"ACTIVE     CED, FARM GATE (MJ/kg)","CED, processor gate (MJ/kg)"),INDIRECT($W99)))</f>
        <v/>
      </c>
      <c r="Y99" s="98">
        <f>IF($W99="DIRECT","",DAVERAGE('[1]literature entries'!$D:$AI,IF($J99=1,"ACTIVE     CED, FARM GATE (MJ/kg)","CED, processor gate (MJ/kg)"),INDIRECT($W99)))</f>
        <v/>
      </c>
      <c r="Z99" s="98">
        <f>IF($W99="DIRECT",$O99,DSTDEV('[1]literature entries'!$D:$AI,IF($J99=1,"ACTIVE     CED, FARM GATE (MJ/kg)","CED, processor gate (MJ/kg)"),INDIRECT($W99)))</f>
        <v/>
      </c>
      <c r="AA99" s="98">
        <f>IF($W99="DIRECT",$O99,$Z99/$Y99*$N99)</f>
        <v/>
      </c>
      <c r="AB99" s="99">
        <f>IF(P99="PROXY",IF(Q99&gt;=5,K99,"need group"),IF(Q99&gt;=5,"DIRECT","need group"))</f>
        <v/>
      </c>
      <c r="AC99" s="99">
        <f>IF($AB99="DIRECT",Q99,DCOUNT('[1]literature entries'!$D:$AI,IF($J99=1,"ACTIVE     GHGE, FARM GATE (kg CO2e/kg)","GHGE, processor gate (kg CO2e/kg)"),INDIRECT($AB99)))</f>
        <v/>
      </c>
      <c r="AD99" s="99">
        <f>IF($AB99="DIRECT","",DAVERAGE('[1]literature entries'!$D:$AI,IF($J99=1,"ACTIVE     GHGE, FARM GATE (kg CO2e/kg)","GHGE, processor gate (kg CO2e/kg)"),INDIRECT($AB99)))</f>
        <v/>
      </c>
      <c r="AE99" s="99">
        <f>IF($AB99="DIRECT",$S99,DSTDEV('[1]literature entries'!$D:$AI,IF($J99=1,"ACTIVE     GHGE, FARM GATE (kg CO2e/kg)","GHGE, processor gate (kg CO2e/kg)"),INDIRECT($AB99)))</f>
        <v/>
      </c>
      <c r="AF99" s="99">
        <f>IF($AB99="DIRECT",$S99,$AE99/$AD99*$R99)</f>
        <v/>
      </c>
    </row>
    <row r="100" ht="15.75" customHeight="1" s="201">
      <c r="A100" s="100" t="n">
        <v>801378000</v>
      </c>
      <c r="B100" s="101" t="inlineStr">
        <is>
          <t>Tomato, dried</t>
        </is>
      </c>
      <c r="C100" s="101" t="inlineStr">
        <is>
          <t>weight of dried tomato (may include skin and/or seeds)</t>
        </is>
      </c>
      <c r="D100" s="124" t="n"/>
      <c r="E100" s="101" t="n">
        <v>1281</v>
      </c>
      <c r="F100" s="84">
        <f>N100*H100+T100</f>
        <v/>
      </c>
      <c r="G100" s="85">
        <f>R100*H100+U100</f>
        <v/>
      </c>
      <c r="H100" s="102" t="n">
        <v>17.08</v>
      </c>
      <c r="I100" s="125" t="inlineStr">
        <is>
          <t>FICRCD</t>
        </is>
      </c>
      <c r="J100" s="104" t="n">
        <v>1</v>
      </c>
      <c r="K100" s="89" t="inlineStr">
        <is>
          <t>tomato</t>
        </is>
      </c>
      <c r="L100" s="90">
        <f>IF(ISERROR(GETPIVOTDATA(IF($J100=1,"Count of ACTIVE     CED, FARM GATE (MJ/kg)","Count of CED, processor gate (MJ/kg)"),'[1]Pivot Table_CED'!$A$3,"SUB TYPE",$B100)),"PROXY",IF(GETPIVOTDATA(IF($J100=1,"Count of ACTIVE     CED, FARM GATE (MJ/kg)","Count of CED, processor gate (MJ/kg)"),'[1]Pivot Table_CED'!$A$3,"SUB TYPE",$B100)=0,"PROXY","DB value"))</f>
        <v/>
      </c>
      <c r="M100" s="91">
        <f>IF($L100="PROXY",DCOUNT('[1]literature entries'!$D:$AI,IF($J100=1,"ACTIVE     CED, FARM GATE (MJ/kg)","CED, processor gate (MJ/kg)"),INDIRECT($K100)),GETPIVOTDATA(IF($J100=1,"Count of ACTIVE     CED, FARM GATE (MJ/kg)","Count of CED, processor gate (MJ/kg)"),'[1]Pivot Table_CED'!$A$3,"SUB TYPE",$B100))</f>
        <v/>
      </c>
      <c r="N100" s="92">
        <f>IF($L100="PROXY",DAVERAGE('[1]literature entries'!$D:$AI,IF($J100=1,"ACTIVE     CED, FARM GATE (MJ/kg)","CED, processor gate (MJ/kg)"),INDIRECT($K100)),GETPIVOTDATA(IF($J100=1,"Average of ACTIVE     CED, FARM GATE (MJ/kg)","Average of CED, processor gate (MJ/kg)"),'[1]Pivot Table_CED'!$A$3,"SUB TYPE",$B100))</f>
        <v/>
      </c>
      <c r="O100" s="92">
        <f>IF($L100="PROXY",DSTDEV('[1]literature entries'!D:AI,IF($J100=1,"ACTIVE     CED, FARM GATE (MJ/kg)","CED, processor gate (MJ/kg)"),INDIRECT($K100)),GETPIVOTDATA(IF($J100=1,"StdDev of ACTIVE     CED, FARM GATE (MJ/kg)","StdDev of CED, processor gate (MJ/kg)"),'[1]Pivot Table_CED'!$A$3,"SUB TYPE",$B100))</f>
        <v/>
      </c>
      <c r="P100" s="90">
        <f>IF(ISERROR(GETPIVOTDATA(IF($J100=1,"Count of ACTIVE     GHGE, FARM GATE (kg CO2e/kg)","Count of GHGE, processor gate (kg CO2e/kg)"),'[1]Pivot Table_GHG'!$A$3,"SUB TYPE",$B100)),"PROXY",IF(GETPIVOTDATA(IF($J100=1,"Count of ACTIVE     GHGE, FARM GATE (kg CO2e/kg)","Count of GHGE, processor gate (kg CO2e/kg)"),'[1]Pivot Table_GHG'!$A$3,"SUB TYPE",$B100)=0,"PROXY","DB value"))</f>
        <v/>
      </c>
      <c r="Q100" s="93">
        <f>IF($P100="PROXY",DCOUNT('[1]literature entries'!$D:$AI,IF($J100=1,"ACTIVE     GHGE, FARM GATE (kg CO2e/kg)","GHGE, processor gate (kg CO2e/kg)"),INDIRECT($K100)),GETPIVOTDATA(IF($J100=1,"ACTIVE     GHGE, FARM GATE (kg CO2e/kg)","Count of GHGE, processor gate (kg CO2e/kg)"),'[1]Pivot Table_GHG'!$A$3,"SUB TYPE",$B100))</f>
        <v/>
      </c>
      <c r="R100" s="94">
        <f>IF($P100="PROXY",DAVERAGE('[1]literature entries'!$D:$AI,IF($J100=1,"ACTIVE     GHGE, FARM GATE (kg CO2e/kg)","GHGE, processor gate (kg CO2e/kg)"),INDIRECT($K100)),GETPIVOTDATA(IF($J100=1,"Average of ACTIVE     GHGE, FARM GATE (kg CO2e/kg)","Average of GHGE, processor gate (kg CO2e/kg)"),'[1]Pivot Table_GHG'!$A$3,"SUB TYPE",$B100))</f>
        <v/>
      </c>
      <c r="S100" s="94">
        <f>IF($P100="PROXY",DSTDEV('[1]literature entries'!$D:$AI,IF($J100=1,"ACTIVE     GHGE, FARM GATE (kg CO2e/kg)","GHGE, processor gate (kg CO2e/kg)"),INDIRECT($K100)),GETPIVOTDATA(IF($J100=1,"StdDev of ACTIVE     GHGE, FARM GATE (kg CO2e/kg)","StdDev of GHGE, processor gate (kg CO2e/kg)"),'[1]Pivot Table_GHG'!$A$3,"SUB TYPE",$B100))</f>
        <v/>
      </c>
      <c r="T100" s="105" t="n"/>
      <c r="U100" s="106" t="n"/>
      <c r="V100" s="97" t="n"/>
      <c r="W100" s="98">
        <f>IF(L100="PROXY",IF(M100&gt;=5,K100,"need group"),IF(M100&gt;=5,"DIRECT","need group"))</f>
        <v/>
      </c>
      <c r="X100" s="98">
        <f>IF($W100="DIRECT",M100,DCOUNT('[1]literature entries'!$D:$AI,IF($J100=1,"ACTIVE     CED, FARM GATE (MJ/kg)","CED, processor gate (MJ/kg)"),INDIRECT($W100)))</f>
        <v/>
      </c>
      <c r="Y100" s="98">
        <f>IF($W100="DIRECT","",DAVERAGE('[1]literature entries'!$D:$AI,IF($J100=1,"ACTIVE     CED, FARM GATE (MJ/kg)","CED, processor gate (MJ/kg)"),INDIRECT($W100)))</f>
        <v/>
      </c>
      <c r="Z100" s="98">
        <f>IF($W100="DIRECT",$O100,DSTDEV('[1]literature entries'!$D:$AI,IF($J100=1,"ACTIVE     CED, FARM GATE (MJ/kg)","CED, processor gate (MJ/kg)"),INDIRECT($W100)))</f>
        <v/>
      </c>
      <c r="AA100" s="98">
        <f>IF($W100="DIRECT",$O100,$Z100/$Y100*$N100)</f>
        <v/>
      </c>
      <c r="AB100" s="99">
        <f>IF(P100="PROXY",IF(Q100&gt;=5,K100,"need group"),IF(Q100&gt;=5,"DIRECT","need group"))</f>
        <v/>
      </c>
      <c r="AC100" s="99">
        <f>IF($AB100="DIRECT",Q100,DCOUNT('[1]literature entries'!$D:$AI,IF($J100=1,"ACTIVE     GHGE, FARM GATE (kg CO2e/kg)","GHGE, processor gate (kg CO2e/kg)"),INDIRECT($AB100)))</f>
        <v/>
      </c>
      <c r="AD100" s="99">
        <f>IF($AB100="DIRECT","",DAVERAGE('[1]literature entries'!$D:$AI,IF($J100=1,"ACTIVE     GHGE, FARM GATE (kg CO2e/kg)","GHGE, processor gate (kg CO2e/kg)"),INDIRECT($AB100)))</f>
        <v/>
      </c>
      <c r="AE100" s="99">
        <f>IF($AB100="DIRECT",$S100,DSTDEV('[1]literature entries'!$D:$AI,IF($J100=1,"ACTIVE     GHGE, FARM GATE (kg CO2e/kg)","GHGE, processor gate (kg CO2e/kg)"),INDIRECT($AB100)))</f>
        <v/>
      </c>
      <c r="AF100" s="99">
        <f>IF($AB100="DIRECT",$S100,$AE100/$AD100*$R100)</f>
        <v/>
      </c>
    </row>
    <row r="101" ht="15.75" customHeight="1" s="201">
      <c r="A101" s="100" t="n">
        <v>801379000</v>
      </c>
      <c r="B101" s="101" t="inlineStr">
        <is>
          <t>Tomato, juice</t>
        </is>
      </c>
      <c r="C101" s="101" t="inlineStr">
        <is>
          <t>weight of juice at single strength (or standard dilution)</t>
        </is>
      </c>
      <c r="D101" s="124" t="n"/>
      <c r="E101" s="101" t="n">
        <v>1025</v>
      </c>
      <c r="F101" s="84">
        <f>N101*H101+T101</f>
        <v/>
      </c>
      <c r="G101" s="85">
        <f>R101*H101+U101</f>
        <v/>
      </c>
      <c r="H101" s="102" t="n">
        <v>1.53</v>
      </c>
      <c r="I101" s="125" t="inlineStr">
        <is>
          <t>FICRCD</t>
        </is>
      </c>
      <c r="J101" s="104" t="n">
        <v>2</v>
      </c>
      <c r="K101" s="89" t="n"/>
      <c r="L101" s="90">
        <f>IF(ISERROR(GETPIVOTDATA(IF($J101=1,"Count of ACTIVE     CED, FARM GATE (MJ/kg)","Count of CED, processor gate (MJ/kg)"),'[1]Pivot Table_CED'!$A$3,"SUB TYPE",$B101)),"PROXY",IF(GETPIVOTDATA(IF($J101=1,"Count of ACTIVE     CED, FARM GATE (MJ/kg)","Count of CED, processor gate (MJ/kg)"),'[1]Pivot Table_CED'!$A$3,"SUB TYPE",$B101)=0,"PROXY","DB value"))</f>
        <v/>
      </c>
      <c r="M101" s="91">
        <f>IF($L101="PROXY",DCOUNT('[1]literature entries'!$D:$AI,IF($J101=1,"ACTIVE     CED, FARM GATE (MJ/kg)","CED, processor gate (MJ/kg)"),INDIRECT($K101)),GETPIVOTDATA(IF($J101=1,"Count of ACTIVE     CED, FARM GATE (MJ/kg)","Count of CED, processor gate (MJ/kg)"),'[1]Pivot Table_CED'!$A$3,"SUB TYPE",$B101))</f>
        <v/>
      </c>
      <c r="N101" s="92">
        <f>IF($L101="PROXY",DAVERAGE('[1]literature entries'!$D:$AI,IF($J101=1,"ACTIVE     CED, FARM GATE (MJ/kg)","CED, processor gate (MJ/kg)"),INDIRECT($K101)),GETPIVOTDATA(IF($J101=1,"Average of ACTIVE     CED, FARM GATE (MJ/kg)","Average of CED, processor gate (MJ/kg)"),'[1]Pivot Table_CED'!$A$3,"SUB TYPE",$B101))</f>
        <v/>
      </c>
      <c r="O101" s="92">
        <f>IF($L101="PROXY",DSTDEV('[1]literature entries'!D:AI,IF($J101=1,"ACTIVE     CED, FARM GATE (MJ/kg)","CED, processor gate (MJ/kg)"),INDIRECT($K101)),GETPIVOTDATA(IF($J101=1,"StdDev of ACTIVE     CED, FARM GATE (MJ/kg)","StdDev of CED, processor gate (MJ/kg)"),'[1]Pivot Table_CED'!$A$3,"SUB TYPE",$B101))</f>
        <v/>
      </c>
      <c r="P101" s="90">
        <f>IF(ISERROR(GETPIVOTDATA(IF($J101=1,"Count of ACTIVE     GHGE, FARM GATE (kg CO2e/kg)","Count of GHGE, processor gate (kg CO2e/kg)"),'[1]Pivot Table_GHG'!$A$3,"SUB TYPE",$B101)),"PROXY",IF(GETPIVOTDATA(IF($J101=1,"Count of ACTIVE     GHGE, FARM GATE (kg CO2e/kg)","Count of GHGE, processor gate (kg CO2e/kg)"),'[1]Pivot Table_GHG'!$A$3,"SUB TYPE",$B101)=0,"PROXY","DB value"))</f>
        <v/>
      </c>
      <c r="Q101" s="93">
        <f>IF($P101="PROXY",DCOUNT('[1]literature entries'!$D:$AI,IF($J101=1,"ACTIVE     GHGE, FARM GATE (kg CO2e/kg)","GHGE, processor gate (kg CO2e/kg)"),INDIRECT($K101)),GETPIVOTDATA(IF($J101=1,"ACTIVE     GHGE, FARM GATE (kg CO2e/kg)","Count of GHGE, processor gate (kg CO2e/kg)"),'[1]Pivot Table_GHG'!$A$3,"SUB TYPE",$B101))</f>
        <v/>
      </c>
      <c r="R101" s="94">
        <f>IF($P101="PROXY",DAVERAGE('[1]literature entries'!$D:$AI,IF($J101=1,"ACTIVE     GHGE, FARM GATE (kg CO2e/kg)","GHGE, processor gate (kg CO2e/kg)"),INDIRECT($K101)),GETPIVOTDATA(IF($J101=1,"Average of ACTIVE     GHGE, FARM GATE (kg CO2e/kg)","Average of GHGE, processor gate (kg CO2e/kg)"),'[1]Pivot Table_GHG'!$A$3,"SUB TYPE",$B101))</f>
        <v/>
      </c>
      <c r="S101" s="94">
        <f>IF($P101="PROXY",DSTDEV('[1]literature entries'!$D:$AI,IF($J101=1,"ACTIVE     GHGE, FARM GATE (kg CO2e/kg)","GHGE, processor gate (kg CO2e/kg)"),INDIRECT($K101)),GETPIVOTDATA(IF($J101=1,"StdDev of ACTIVE     GHGE, FARM GATE (kg CO2e/kg)","StdDev of GHGE, processor gate (kg CO2e/kg)"),'[1]Pivot Table_GHG'!$A$3,"SUB TYPE",$B101))</f>
        <v/>
      </c>
      <c r="T101" s="105" t="n"/>
      <c r="U101" s="106" t="n"/>
      <c r="V101" s="97" t="n"/>
      <c r="W101" s="98" t="inlineStr">
        <is>
          <t>processed_tomato</t>
        </is>
      </c>
      <c r="X101" s="98">
        <f>IF($W101="DIRECT",M101,DCOUNT('[1]literature entries'!$D:$AI,IF($J101=1,"ACTIVE     CED, FARM GATE (MJ/kg)","CED, processor gate (MJ/kg)"),INDIRECT($W101)))</f>
        <v/>
      </c>
      <c r="Y101" s="98">
        <f>IF($W101="DIRECT","",DAVERAGE('[1]literature entries'!$D:$AI,IF($J101=1,"ACTIVE     CED, FARM GATE (MJ/kg)","CED, processor gate (MJ/kg)"),INDIRECT($W101)))</f>
        <v/>
      </c>
      <c r="Z101" s="98">
        <f>IF($W101="DIRECT",$O101,DSTDEV('[1]literature entries'!$D:$AI,IF($J101=1,"ACTIVE     CED, FARM GATE (MJ/kg)","CED, processor gate (MJ/kg)"),INDIRECT($W101)))</f>
        <v/>
      </c>
      <c r="AA101" s="98">
        <f>IF($W101="DIRECT",$O101,$Z101/$Y101*$N101)</f>
        <v/>
      </c>
      <c r="AB101" s="99" t="inlineStr">
        <is>
          <t>processed_tomato</t>
        </is>
      </c>
      <c r="AC101" s="99">
        <f>IF($AB101="DIRECT",Q101,DCOUNT('[1]literature entries'!$D:$AI,IF($J101=1,"ACTIVE     GHGE, FARM GATE (kg CO2e/kg)","GHGE, processor gate (kg CO2e/kg)"),INDIRECT($AB101)))</f>
        <v/>
      </c>
      <c r="AD101" s="99">
        <f>IF($AB101="DIRECT","",DAVERAGE('[1]literature entries'!$D:$AI,IF($J101=1,"ACTIVE     GHGE, FARM GATE (kg CO2e/kg)","GHGE, processor gate (kg CO2e/kg)"),INDIRECT($AB101)))</f>
        <v/>
      </c>
      <c r="AE101" s="99">
        <f>IF($AB101="DIRECT",$S101,DSTDEV('[1]literature entries'!$D:$AI,IF($J101=1,"ACTIVE     GHGE, FARM GATE (kg CO2e/kg)","GHGE, processor gate (kg CO2e/kg)"),INDIRECT($AB101)))</f>
        <v/>
      </c>
      <c r="AF101" s="99">
        <f>IF($AB101="DIRECT",$S101,$AE101/$AD101*$R101)</f>
        <v/>
      </c>
    </row>
    <row r="102" ht="15.75" customHeight="1" s="201">
      <c r="A102" s="100" t="n">
        <v>802148000</v>
      </c>
      <c r="B102" s="101" t="inlineStr">
        <is>
          <t>Eggplant</t>
        </is>
      </c>
      <c r="C102" s="101" t="inlineStr">
        <is>
          <t>weight of whole vegetable; including seeds, with or without peel</t>
        </is>
      </c>
      <c r="D102" s="101" t="n"/>
      <c r="E102" s="101" t="n">
        <v>180</v>
      </c>
      <c r="F102" s="84">
        <f>N102*H102+T102</f>
        <v/>
      </c>
      <c r="G102" s="85">
        <f>R102*H102+U102</f>
        <v/>
      </c>
      <c r="H102" s="102" t="n">
        <v>1.23</v>
      </c>
      <c r="I102" s="102" t="inlineStr">
        <is>
          <t>FICRCD</t>
        </is>
      </c>
      <c r="J102" s="113" t="n">
        <v>1</v>
      </c>
      <c r="K102" s="89" t="inlineStr">
        <is>
          <t>nightshades</t>
        </is>
      </c>
      <c r="L102" s="90">
        <f>IF(ISERROR(GETPIVOTDATA(IF($J102=1,"Count of ACTIVE     CED, FARM GATE (MJ/kg)","Count of CED, processor gate (MJ/kg)"),'[1]Pivot Table_CED'!$A$3,"SUB TYPE",$B102)),"PROXY",IF(GETPIVOTDATA(IF($J102=1,"Count of ACTIVE     CED, FARM GATE (MJ/kg)","Count of CED, processor gate (MJ/kg)"),'[1]Pivot Table_CED'!$A$3,"SUB TYPE",$B102)=0,"PROXY","DB value"))</f>
        <v/>
      </c>
      <c r="M102" s="91">
        <f>IF($L102="PROXY",DCOUNT('[1]literature entries'!$D:$AI,IF($J102=1,"ACTIVE     CED, FARM GATE (MJ/kg)","CED, processor gate (MJ/kg)"),INDIRECT($K102)),GETPIVOTDATA(IF($J102=1,"Count of ACTIVE     CED, FARM GATE (MJ/kg)","Count of CED, processor gate (MJ/kg)"),'[1]Pivot Table_CED'!$A$3,"SUB TYPE",$B102))</f>
        <v/>
      </c>
      <c r="N102" s="92">
        <f>IF($L102="PROXY",DAVERAGE('[1]literature entries'!$D:$AI,IF($J102=1,"ACTIVE     CED, FARM GATE (MJ/kg)","CED, processor gate (MJ/kg)"),INDIRECT($K102)),GETPIVOTDATA(IF($J102=1,"Average of ACTIVE     CED, FARM GATE (MJ/kg)","Average of CED, processor gate (MJ/kg)"),'[1]Pivot Table_CED'!$A$3,"SUB TYPE",$B102))</f>
        <v/>
      </c>
      <c r="O102" s="92">
        <f>IF($L102="PROXY",DSTDEV('[1]literature entries'!D:AI,IF($J102=1,"ACTIVE     CED, FARM GATE (MJ/kg)","CED, processor gate (MJ/kg)"),INDIRECT($K102)),GETPIVOTDATA(IF($J102=1,"StdDev of ACTIVE     CED, FARM GATE (MJ/kg)","StdDev of CED, processor gate (MJ/kg)"),'[1]Pivot Table_CED'!$A$3,"SUB TYPE",$B102))</f>
        <v/>
      </c>
      <c r="P102" s="90">
        <f>IF(ISERROR(GETPIVOTDATA(IF($J102=1,"Count of ACTIVE     GHGE, FARM GATE (kg CO2e/kg)","Count of GHGE, processor gate (kg CO2e/kg)"),'[1]Pivot Table_GHG'!$A$3,"SUB TYPE",$B102)),"PROXY",IF(GETPIVOTDATA(IF($J102=1,"Count of ACTIVE     GHGE, FARM GATE (kg CO2e/kg)","Count of GHGE, processor gate (kg CO2e/kg)"),'[1]Pivot Table_GHG'!$A$3,"SUB TYPE",$B102)=0,"PROXY","DB value"))</f>
        <v/>
      </c>
      <c r="Q102" s="93">
        <f>IF($P102="PROXY",DCOUNT('[1]literature entries'!$D:$AI,IF($J102=1,"ACTIVE     GHGE, FARM GATE (kg CO2e/kg)","GHGE, processor gate (kg CO2e/kg)"),INDIRECT($K102)),GETPIVOTDATA(IF($J102=1,"ACTIVE     GHGE, FARM GATE (kg CO2e/kg)","Count of GHGE, processor gate (kg CO2e/kg)"),'[1]Pivot Table_GHG'!$A$3,"SUB TYPE",$B102))</f>
        <v/>
      </c>
      <c r="R102" s="94">
        <f>IF($P102="PROXY",DAVERAGE('[1]literature entries'!$D:$AI,IF($J102=1,"ACTIVE     GHGE, FARM GATE (kg CO2e/kg)","GHGE, processor gate (kg CO2e/kg)"),INDIRECT($K102)),GETPIVOTDATA(IF($J102=1,"Average of ACTIVE     GHGE, FARM GATE (kg CO2e/kg)","Average of GHGE, processor gate (kg CO2e/kg)"),'[1]Pivot Table_GHG'!$A$3,"SUB TYPE",$B102))</f>
        <v/>
      </c>
      <c r="S102" s="94">
        <f>IF($P102="PROXY",DSTDEV('[1]literature entries'!$D:$AI,IF($J102=1,"ACTIVE     GHGE, FARM GATE (kg CO2e/kg)","GHGE, processor gate (kg CO2e/kg)"),INDIRECT($K102)),GETPIVOTDATA(IF($J102=1,"StdDev of ACTIVE     GHGE, FARM GATE (kg CO2e/kg)","StdDev of GHGE, processor gate (kg CO2e/kg)"),'[1]Pivot Table_GHG'!$A$3,"SUB TYPE",$B102))</f>
        <v/>
      </c>
      <c r="T102" s="105" t="n"/>
      <c r="U102" s="106" t="n"/>
      <c r="V102" s="97" t="n"/>
      <c r="W102" s="98">
        <f>IF(L102="PROXY",IF(M102&gt;=5,K102,"need group"),IF(M102&gt;=5,"DIRECT","need group"))</f>
        <v/>
      </c>
      <c r="X102" s="98">
        <f>IF($W102="DIRECT",M102,DCOUNT('[1]literature entries'!$D:$AI,IF($J102=1,"ACTIVE     CED, FARM GATE (MJ/kg)","CED, processor gate (MJ/kg)"),INDIRECT($W102)))</f>
        <v/>
      </c>
      <c r="Y102" s="98">
        <f>IF($W102="DIRECT","",DAVERAGE('[1]literature entries'!$D:$AI,IF($J102=1,"ACTIVE     CED, FARM GATE (MJ/kg)","CED, processor gate (MJ/kg)"),INDIRECT($W102)))</f>
        <v/>
      </c>
      <c r="Z102" s="98">
        <f>IF($W102="DIRECT",$O102,DSTDEV('[1]literature entries'!$D:$AI,IF($J102=1,"ACTIVE     CED, FARM GATE (MJ/kg)","CED, processor gate (MJ/kg)"),INDIRECT($W102)))</f>
        <v/>
      </c>
      <c r="AA102" s="98">
        <f>IF($W102="DIRECT",$O102,$Z102/$Y102*$N102)</f>
        <v/>
      </c>
      <c r="AB102" s="99">
        <f>IF(P102="PROXY",IF(Q102&gt;=5,K102,"need group"),IF(Q102&gt;=5,"DIRECT","need group"))</f>
        <v/>
      </c>
      <c r="AC102" s="99">
        <f>IF($AB102="DIRECT",Q102,DCOUNT('[1]literature entries'!$D:$AI,IF($J102=1,"ACTIVE     GHGE, FARM GATE (kg CO2e/kg)","GHGE, processor gate (kg CO2e/kg)"),INDIRECT($AB102)))</f>
        <v/>
      </c>
      <c r="AD102" s="99">
        <f>IF($AB102="DIRECT","",DAVERAGE('[1]literature entries'!$D:$AI,IF($J102=1,"ACTIVE     GHGE, FARM GATE (kg CO2e/kg)","GHGE, processor gate (kg CO2e/kg)"),INDIRECT($AB102)))</f>
        <v/>
      </c>
      <c r="AE102" s="99">
        <f>IF($AB102="DIRECT",$S102,DSTDEV('[1]literature entries'!$D:$AI,IF($J102=1,"ACTIVE     GHGE, FARM GATE (kg CO2e/kg)","GHGE, processor gate (kg CO2e/kg)"),INDIRECT($AB102)))</f>
        <v/>
      </c>
      <c r="AF102" s="99">
        <f>IF($AB102="DIRECT",$S102,$AE102/$AD102*$R102)</f>
        <v/>
      </c>
    </row>
    <row r="103" ht="15.75" customHeight="1" s="201">
      <c r="A103" s="100" t="n">
        <v>802234000</v>
      </c>
      <c r="B103" s="101" t="inlineStr">
        <is>
          <t>Okra</t>
        </is>
      </c>
      <c r="C103" s="101" t="inlineStr">
        <is>
          <t>weight of pods; including seeds</t>
        </is>
      </c>
      <c r="D103" s="101" t="n"/>
      <c r="E103" s="101" t="n">
        <v>271</v>
      </c>
      <c r="F103" s="84">
        <f>N103*H103+T103</f>
        <v/>
      </c>
      <c r="G103" s="85">
        <f>R103*H103+U103</f>
        <v/>
      </c>
      <c r="H103" s="102" t="n">
        <v>1.16</v>
      </c>
      <c r="I103" s="102" t="inlineStr">
        <is>
          <t>FICRCD</t>
        </is>
      </c>
      <c r="J103" s="104" t="n">
        <v>1</v>
      </c>
      <c r="K103" s="89" t="inlineStr">
        <is>
          <t>nightshades</t>
        </is>
      </c>
      <c r="L103" s="90">
        <f>IF(ISERROR(GETPIVOTDATA(IF($J103=1,"Count of ACTIVE     CED, FARM GATE (MJ/kg)","Count of CED, processor gate (MJ/kg)"),'[1]Pivot Table_CED'!$A$3,"SUB TYPE",$B103)),"PROXY",IF(GETPIVOTDATA(IF($J103=1,"Count of ACTIVE     CED, FARM GATE (MJ/kg)","Count of CED, processor gate (MJ/kg)"),'[1]Pivot Table_CED'!$A$3,"SUB TYPE",$B103)=0,"PROXY","DB value"))</f>
        <v/>
      </c>
      <c r="M103" s="91">
        <f>IF($L103="PROXY",DCOUNT('[1]literature entries'!$D:$AI,IF($J103=1,"ACTIVE     CED, FARM GATE (MJ/kg)","CED, processor gate (MJ/kg)"),INDIRECT($K103)),GETPIVOTDATA(IF($J103=1,"Count of ACTIVE     CED, FARM GATE (MJ/kg)","Count of CED, processor gate (MJ/kg)"),'[1]Pivot Table_CED'!$A$3,"SUB TYPE",$B103))</f>
        <v/>
      </c>
      <c r="N103" s="92">
        <f>IF($L103="PROXY",DAVERAGE('[1]literature entries'!$D:$AI,IF($J103=1,"ACTIVE     CED, FARM GATE (MJ/kg)","CED, processor gate (MJ/kg)"),INDIRECT($K103)),GETPIVOTDATA(IF($J103=1,"Average of ACTIVE     CED, FARM GATE (MJ/kg)","Average of CED, processor gate (MJ/kg)"),'[1]Pivot Table_CED'!$A$3,"SUB TYPE",$B103))</f>
        <v/>
      </c>
      <c r="O103" s="92">
        <f>IF($L103="PROXY",DSTDEV('[1]literature entries'!D:AI,IF($J103=1,"ACTIVE     CED, FARM GATE (MJ/kg)","CED, processor gate (MJ/kg)"),INDIRECT($K103)),GETPIVOTDATA(IF($J103=1,"StdDev of ACTIVE     CED, FARM GATE (MJ/kg)","StdDev of CED, processor gate (MJ/kg)"),'[1]Pivot Table_CED'!$A$3,"SUB TYPE",$B103))</f>
        <v/>
      </c>
      <c r="P103" s="90">
        <f>IF(ISERROR(GETPIVOTDATA(IF($J103=1,"Count of ACTIVE     GHGE, FARM GATE (kg CO2e/kg)","Count of GHGE, processor gate (kg CO2e/kg)"),'[1]Pivot Table_GHG'!$A$3,"SUB TYPE",$B103)),"PROXY",IF(GETPIVOTDATA(IF($J103=1,"Count of ACTIVE     GHGE, FARM GATE (kg CO2e/kg)","Count of GHGE, processor gate (kg CO2e/kg)"),'[1]Pivot Table_GHG'!$A$3,"SUB TYPE",$B103)=0,"PROXY","DB value"))</f>
        <v/>
      </c>
      <c r="Q103" s="93">
        <f>IF($P103="PROXY",DCOUNT('[1]literature entries'!$D:$AI,IF($J103=1,"ACTIVE     GHGE, FARM GATE (kg CO2e/kg)","GHGE, processor gate (kg CO2e/kg)"),INDIRECT($K103)),GETPIVOTDATA(IF($J103=1,"ACTIVE     GHGE, FARM GATE (kg CO2e/kg)","Count of GHGE, processor gate (kg CO2e/kg)"),'[1]Pivot Table_GHG'!$A$3,"SUB TYPE",$B103))</f>
        <v/>
      </c>
      <c r="R103" s="94">
        <f>IF($P103="PROXY",DAVERAGE('[1]literature entries'!$D:$AI,IF($J103=1,"ACTIVE     GHGE, FARM GATE (kg CO2e/kg)","GHGE, processor gate (kg CO2e/kg)"),INDIRECT($K103)),GETPIVOTDATA(IF($J103=1,"Average of ACTIVE     GHGE, FARM GATE (kg CO2e/kg)","Average of GHGE, processor gate (kg CO2e/kg)"),'[1]Pivot Table_GHG'!$A$3,"SUB TYPE",$B103))</f>
        <v/>
      </c>
      <c r="S103" s="94">
        <f>IF($P103="PROXY",DSTDEV('[1]literature entries'!$D:$AI,IF($J103=1,"ACTIVE     GHGE, FARM GATE (kg CO2e/kg)","GHGE, processor gate (kg CO2e/kg)"),INDIRECT($K103)),GETPIVOTDATA(IF($J103=1,"StdDev of ACTIVE     GHGE, FARM GATE (kg CO2e/kg)","StdDev of GHGE, processor gate (kg CO2e/kg)"),'[1]Pivot Table_GHG'!$A$3,"SUB TYPE",$B103))</f>
        <v/>
      </c>
      <c r="T103" s="105" t="n"/>
      <c r="U103" s="106" t="n"/>
      <c r="V103" s="97" t="n"/>
      <c r="W103" s="98">
        <f>IF(L103="PROXY",IF(M103&gt;=5,K103,"need group"),IF(M103&gt;=5,"DIRECT","need group"))</f>
        <v/>
      </c>
      <c r="X103" s="98">
        <f>IF($W103="DIRECT",M103,DCOUNT('[1]literature entries'!$D:$AI,IF($J103=1,"ACTIVE     CED, FARM GATE (MJ/kg)","CED, processor gate (MJ/kg)"),INDIRECT($W103)))</f>
        <v/>
      </c>
      <c r="Y103" s="98">
        <f>IF($W103="DIRECT","",DAVERAGE('[1]literature entries'!$D:$AI,IF($J103=1,"ACTIVE     CED, FARM GATE (MJ/kg)","CED, processor gate (MJ/kg)"),INDIRECT($W103)))</f>
        <v/>
      </c>
      <c r="Z103" s="98">
        <f>IF($W103="DIRECT",$O103,DSTDEV('[1]literature entries'!$D:$AI,IF($J103=1,"ACTIVE     CED, FARM GATE (MJ/kg)","CED, processor gate (MJ/kg)"),INDIRECT($W103)))</f>
        <v/>
      </c>
      <c r="AA103" s="98">
        <f>IF($W103="DIRECT",$O103,$Z103/$Y103*$N103)</f>
        <v/>
      </c>
      <c r="AB103" s="99">
        <f>IF(P103="PROXY",IF(Q103&gt;=5,K103,"need group"),IF(Q103&gt;=5,"DIRECT","need group"))</f>
        <v/>
      </c>
      <c r="AC103" s="99">
        <f>IF($AB103="DIRECT",Q103,DCOUNT('[1]literature entries'!$D:$AI,IF($J103=1,"ACTIVE     GHGE, FARM GATE (kg CO2e/kg)","GHGE, processor gate (kg CO2e/kg)"),INDIRECT($AB103)))</f>
        <v/>
      </c>
      <c r="AD103" s="99">
        <f>IF($AB103="DIRECT","",DAVERAGE('[1]literature entries'!$D:$AI,IF($J103=1,"ACTIVE     GHGE, FARM GATE (kg CO2e/kg)","GHGE, processor gate (kg CO2e/kg)"),INDIRECT($AB103)))</f>
        <v/>
      </c>
      <c r="AE103" s="99">
        <f>IF($AB103="DIRECT",$S103,DSTDEV('[1]literature entries'!$D:$AI,IF($J103=1,"ACTIVE     GHGE, FARM GATE (kg CO2e/kg)","GHGE, processor gate (kg CO2e/kg)"),INDIRECT($AB103)))</f>
        <v/>
      </c>
      <c r="AF103" s="99">
        <f>IF($AB103="DIRECT",$S103,$AE103/$AD103*$R103)</f>
        <v/>
      </c>
    </row>
    <row r="104" ht="15.75" customHeight="1" s="201">
      <c r="A104" s="100" t="n">
        <v>802270000</v>
      </c>
      <c r="B104" s="101" t="inlineStr">
        <is>
          <t>Pepper, bell</t>
        </is>
      </c>
      <c r="C104" s="101" t="inlineStr">
        <is>
          <t>weight of flesh; excluding seeds and stem</t>
        </is>
      </c>
      <c r="D104" s="101" t="inlineStr">
        <is>
          <t>Includes sweet pepper, cooking pepper, pimento, and banana pepper.</t>
        </is>
      </c>
      <c r="E104" s="101" t="n">
        <v>8602</v>
      </c>
      <c r="F104" s="84">
        <f>N104*H104+T104</f>
        <v/>
      </c>
      <c r="G104" s="85">
        <f>R104*H104+U104</f>
        <v/>
      </c>
      <c r="H104" s="102" t="n">
        <v>1.22</v>
      </c>
      <c r="I104" s="102" t="inlineStr">
        <is>
          <t>FICRCD</t>
        </is>
      </c>
      <c r="J104" s="104" t="n">
        <v>1</v>
      </c>
      <c r="K104" s="89" t="n"/>
      <c r="L104" s="90">
        <f>IF(ISERROR(GETPIVOTDATA(IF($J104=1,"Count of ACTIVE     CED, FARM GATE (MJ/kg)","Count of CED, processor gate (MJ/kg)"),'[1]Pivot Table_CED'!$A$3,"SUB TYPE",$B104)),"PROXY",IF(GETPIVOTDATA(IF($J104=1,"Count of ACTIVE     CED, FARM GATE (MJ/kg)","Count of CED, processor gate (MJ/kg)"),'[1]Pivot Table_CED'!$A$3,"SUB TYPE",$B104)=0,"PROXY","DB value"))</f>
        <v/>
      </c>
      <c r="M104" s="91">
        <f>IF($L104="PROXY",DCOUNT('[1]literature entries'!$D:$AI,IF($J104=1,"ACTIVE     CED, FARM GATE (MJ/kg)","CED, processor gate (MJ/kg)"),INDIRECT($K104)),GETPIVOTDATA(IF($J104=1,"Count of ACTIVE     CED, FARM GATE (MJ/kg)","Count of CED, processor gate (MJ/kg)"),'[1]Pivot Table_CED'!$A$3,"SUB TYPE",$B104))</f>
        <v/>
      </c>
      <c r="N104" s="92">
        <f>IF($L104="PROXY",DAVERAGE('[1]literature entries'!$D:$AI,IF($J104=1,"ACTIVE     CED, FARM GATE (MJ/kg)","CED, processor gate (MJ/kg)"),INDIRECT($K104)),GETPIVOTDATA(IF($J104=1,"Average of ACTIVE     CED, FARM GATE (MJ/kg)","Average of CED, processor gate (MJ/kg)"),'[1]Pivot Table_CED'!$A$3,"SUB TYPE",$B104))</f>
        <v/>
      </c>
      <c r="O104" s="92">
        <f>IF($L104="PROXY",DSTDEV('[1]literature entries'!D:AI,IF($J104=1,"ACTIVE     CED, FARM GATE (MJ/kg)","CED, processor gate (MJ/kg)"),INDIRECT($K104)),GETPIVOTDATA(IF($J104=1,"StdDev of ACTIVE     CED, FARM GATE (MJ/kg)","StdDev of CED, processor gate (MJ/kg)"),'[1]Pivot Table_CED'!$A$3,"SUB TYPE",$B104))</f>
        <v/>
      </c>
      <c r="P104" s="90">
        <f>IF(ISERROR(GETPIVOTDATA(IF($J104=1,"Count of ACTIVE     GHGE, FARM GATE (kg CO2e/kg)","Count of GHGE, processor gate (kg CO2e/kg)"),'[1]Pivot Table_GHG'!$A$3,"SUB TYPE",$B104)),"PROXY",IF(GETPIVOTDATA(IF($J104=1,"Count of ACTIVE     GHGE, FARM GATE (kg CO2e/kg)","Count of GHGE, processor gate (kg CO2e/kg)"),'[1]Pivot Table_GHG'!$A$3,"SUB TYPE",$B104)=0,"PROXY","DB value"))</f>
        <v/>
      </c>
      <c r="Q104" s="93">
        <f>IF($P104="PROXY",DCOUNT('[1]literature entries'!$D:$AI,IF($J104=1,"ACTIVE     GHGE, FARM GATE (kg CO2e/kg)","GHGE, processor gate (kg CO2e/kg)"),INDIRECT($K104)),GETPIVOTDATA(IF($J104=1,"ACTIVE     GHGE, FARM GATE (kg CO2e/kg)","Count of GHGE, processor gate (kg CO2e/kg)"),'[1]Pivot Table_GHG'!$A$3,"SUB TYPE",$B104))</f>
        <v/>
      </c>
      <c r="R104" s="94">
        <f>IF($P104="PROXY",DAVERAGE('[1]literature entries'!$D:$AI,IF($J104=1,"ACTIVE     GHGE, FARM GATE (kg CO2e/kg)","GHGE, processor gate (kg CO2e/kg)"),INDIRECT($K104)),GETPIVOTDATA(IF($J104=1,"Average of ACTIVE     GHGE, FARM GATE (kg CO2e/kg)","Average of GHGE, processor gate (kg CO2e/kg)"),'[1]Pivot Table_GHG'!$A$3,"SUB TYPE",$B104))</f>
        <v/>
      </c>
      <c r="S104" s="94">
        <f>IF($P104="PROXY",DSTDEV('[1]literature entries'!$D:$AI,IF($J104=1,"ACTIVE     GHGE, FARM GATE (kg CO2e/kg)","GHGE, processor gate (kg CO2e/kg)"),INDIRECT($K104)),GETPIVOTDATA(IF($J104=1,"StdDev of ACTIVE     GHGE, FARM GATE (kg CO2e/kg)","StdDev of GHGE, processor gate (kg CO2e/kg)"),'[1]Pivot Table_GHG'!$A$3,"SUB TYPE",$B104))</f>
        <v/>
      </c>
      <c r="T104" s="105" t="n"/>
      <c r="U104" s="106" t="n"/>
      <c r="V104" s="97" t="n"/>
      <c r="W104" s="98" t="inlineStr">
        <is>
          <t>nightshades</t>
        </is>
      </c>
      <c r="X104" s="98">
        <f>IF($W104="DIRECT",M104,DCOUNT('[1]literature entries'!$D:$AI,IF($J104=1,"ACTIVE     CED, FARM GATE (MJ/kg)","CED, processor gate (MJ/kg)"),INDIRECT($W104)))</f>
        <v/>
      </c>
      <c r="Y104" s="98">
        <f>IF($W104="DIRECT","",DAVERAGE('[1]literature entries'!$D:$AI,IF($J104=1,"ACTIVE     CED, FARM GATE (MJ/kg)","CED, processor gate (MJ/kg)"),INDIRECT($W104)))</f>
        <v/>
      </c>
      <c r="Z104" s="98">
        <f>IF($W104="DIRECT",$O104,DSTDEV('[1]literature entries'!$D:$AI,IF($J104=1,"ACTIVE     CED, FARM GATE (MJ/kg)","CED, processor gate (MJ/kg)"),INDIRECT($W104)))</f>
        <v/>
      </c>
      <c r="AA104" s="98">
        <f>IF($W104="DIRECT",$O104,$Z104/$Y104*$N104)</f>
        <v/>
      </c>
      <c r="AB104" s="99" t="inlineStr">
        <is>
          <t>nightshades</t>
        </is>
      </c>
      <c r="AC104" s="99">
        <f>IF($AB104="DIRECT",Q104,DCOUNT('[1]literature entries'!$D:$AI,IF($J104=1,"ACTIVE     GHGE, FARM GATE (kg CO2e/kg)","GHGE, processor gate (kg CO2e/kg)"),INDIRECT($AB104)))</f>
        <v/>
      </c>
      <c r="AD104" s="99">
        <f>IF($AB104="DIRECT","",DAVERAGE('[1]literature entries'!$D:$AI,IF($J104=1,"ACTIVE     GHGE, FARM GATE (kg CO2e/kg)","GHGE, processor gate (kg CO2e/kg)"),INDIRECT($AB104)))</f>
        <v/>
      </c>
      <c r="AE104" s="99">
        <f>IF($AB104="DIRECT",$S104,DSTDEV('[1]literature entries'!$D:$AI,IF($J104=1,"ACTIVE     GHGE, FARM GATE (kg CO2e/kg)","GHGE, processor gate (kg CO2e/kg)"),INDIRECT($AB104)))</f>
        <v/>
      </c>
      <c r="AF104" s="99">
        <f>IF($AB104="DIRECT",$S104,$AE104/$AD104*$R104)</f>
        <v/>
      </c>
    </row>
    <row r="105" ht="15.75" customHeight="1" s="201">
      <c r="A105" s="100" t="n">
        <v>802271000</v>
      </c>
      <c r="B105" s="101" t="inlineStr">
        <is>
          <t>Pepper, bell, dried</t>
        </is>
      </c>
      <c r="C105" s="101" t="inlineStr">
        <is>
          <t>dry weight of flesh only</t>
        </is>
      </c>
      <c r="D105" s="101" t="inlineStr">
        <is>
          <t>Includes sweet pepper, cooking pepper, pimento, and banana pepper.</t>
        </is>
      </c>
      <c r="E105" s="101" t="n">
        <v>5298</v>
      </c>
      <c r="F105" s="84">
        <f>N105*H105+T105</f>
        <v/>
      </c>
      <c r="G105" s="85">
        <f>R105*H105+U105</f>
        <v/>
      </c>
      <c r="H105" s="112" t="n">
        <v>12.198</v>
      </c>
      <c r="I105" s="103" t="inlineStr">
        <is>
          <t>NNDSR28</t>
        </is>
      </c>
      <c r="J105" s="104" t="n">
        <v>1</v>
      </c>
      <c r="K105" s="89" t="inlineStr">
        <is>
          <t>pepper_bell</t>
        </is>
      </c>
      <c r="L105" s="90">
        <f>IF(ISERROR(GETPIVOTDATA(IF($J105=1,"Count of ACTIVE     CED, FARM GATE (MJ/kg)","Count of CED, processor gate (MJ/kg)"),'[1]Pivot Table_CED'!$A$3,"SUB TYPE",$B105)),"PROXY",IF(GETPIVOTDATA(IF($J105=1,"Count of ACTIVE     CED, FARM GATE (MJ/kg)","Count of CED, processor gate (MJ/kg)"),'[1]Pivot Table_CED'!$A$3,"SUB TYPE",$B105)=0,"PROXY","DB value"))</f>
        <v/>
      </c>
      <c r="M105" s="91">
        <f>IF($L105="PROXY",DCOUNT('[1]literature entries'!$D:$AI,IF($J105=1,"ACTIVE     CED, FARM GATE (MJ/kg)","CED, processor gate (MJ/kg)"),INDIRECT($K105)),GETPIVOTDATA(IF($J105=1,"Count of ACTIVE     CED, FARM GATE (MJ/kg)","Count of CED, processor gate (MJ/kg)"),'[1]Pivot Table_CED'!$A$3,"SUB TYPE",$B105))</f>
        <v/>
      </c>
      <c r="N105" s="92">
        <f>IF($L105="PROXY",DAVERAGE('[1]literature entries'!$D:$AI,IF($J105=1,"ACTIVE     CED, FARM GATE (MJ/kg)","CED, processor gate (MJ/kg)"),INDIRECT($K105)),GETPIVOTDATA(IF($J105=1,"Average of ACTIVE     CED, FARM GATE (MJ/kg)","Average of CED, processor gate (MJ/kg)"),'[1]Pivot Table_CED'!$A$3,"SUB TYPE",$B105))</f>
        <v/>
      </c>
      <c r="O105" s="92">
        <f>IF($L105="PROXY",DSTDEV('[1]literature entries'!D:AI,IF($J105=1,"ACTIVE     CED, FARM GATE (MJ/kg)","CED, processor gate (MJ/kg)"),INDIRECT($K105)),GETPIVOTDATA(IF($J105=1,"StdDev of ACTIVE     CED, FARM GATE (MJ/kg)","StdDev of CED, processor gate (MJ/kg)"),'[1]Pivot Table_CED'!$A$3,"SUB TYPE",$B105))</f>
        <v/>
      </c>
      <c r="P105" s="90">
        <f>IF(ISERROR(GETPIVOTDATA(IF($J105=1,"Count of ACTIVE     GHGE, FARM GATE (kg CO2e/kg)","Count of GHGE, processor gate (kg CO2e/kg)"),'[1]Pivot Table_GHG'!$A$3,"SUB TYPE",$B105)),"PROXY",IF(GETPIVOTDATA(IF($J105=1,"Count of ACTIVE     GHGE, FARM GATE (kg CO2e/kg)","Count of GHGE, processor gate (kg CO2e/kg)"),'[1]Pivot Table_GHG'!$A$3,"SUB TYPE",$B105)=0,"PROXY","DB value"))</f>
        <v/>
      </c>
      <c r="Q105" s="93">
        <f>IF($P105="PROXY",DCOUNT('[1]literature entries'!$D:$AI,IF($J105=1,"ACTIVE     GHGE, FARM GATE (kg CO2e/kg)","GHGE, processor gate (kg CO2e/kg)"),INDIRECT($K105)),GETPIVOTDATA(IF($J105=1,"ACTIVE     GHGE, FARM GATE (kg CO2e/kg)","Count of GHGE, processor gate (kg CO2e/kg)"),'[1]Pivot Table_GHG'!$A$3,"SUB TYPE",$B105))</f>
        <v/>
      </c>
      <c r="R105" s="94">
        <f>IF($P105="PROXY",DAVERAGE('[1]literature entries'!$D:$AI,IF($J105=1,"ACTIVE     GHGE, FARM GATE (kg CO2e/kg)","GHGE, processor gate (kg CO2e/kg)"),INDIRECT($K105)),GETPIVOTDATA(IF($J105=1,"Average of ACTIVE     GHGE, FARM GATE (kg CO2e/kg)","Average of GHGE, processor gate (kg CO2e/kg)"),'[1]Pivot Table_GHG'!$A$3,"SUB TYPE",$B105))</f>
        <v/>
      </c>
      <c r="S105" s="94">
        <f>IF($P105="PROXY",DSTDEV('[1]literature entries'!$D:$AI,IF($J105=1,"ACTIVE     GHGE, FARM GATE (kg CO2e/kg)","GHGE, processor gate (kg CO2e/kg)"),INDIRECT($K105)),GETPIVOTDATA(IF($J105=1,"StdDev of ACTIVE     GHGE, FARM GATE (kg CO2e/kg)","StdDev of GHGE, processor gate (kg CO2e/kg)"),'[1]Pivot Table_GHG'!$A$3,"SUB TYPE",$B105))</f>
        <v/>
      </c>
      <c r="T105" s="105" t="n"/>
      <c r="U105" s="106" t="n"/>
      <c r="V105" s="97" t="n"/>
      <c r="W105" s="98" t="inlineStr">
        <is>
          <t>nightshades</t>
        </is>
      </c>
      <c r="X105" s="98">
        <f>IF($W105="DIRECT",M105,DCOUNT('[1]literature entries'!$D:$AI,IF($J105=1,"ACTIVE     CED, FARM GATE (MJ/kg)","CED, processor gate (MJ/kg)"),INDIRECT($W105)))</f>
        <v/>
      </c>
      <c r="Y105" s="98">
        <f>IF($W105="DIRECT","",DAVERAGE('[1]literature entries'!$D:$AI,IF($J105=1,"ACTIVE     CED, FARM GATE (MJ/kg)","CED, processor gate (MJ/kg)"),INDIRECT($W105)))</f>
        <v/>
      </c>
      <c r="Z105" s="98">
        <f>IF($W105="DIRECT",$O105,DSTDEV('[1]literature entries'!$D:$AI,IF($J105=1,"ACTIVE     CED, FARM GATE (MJ/kg)","CED, processor gate (MJ/kg)"),INDIRECT($W105)))</f>
        <v/>
      </c>
      <c r="AA105" s="98">
        <f>IF($W105="DIRECT",$O105,$Z105/$Y105*$N105)</f>
        <v/>
      </c>
      <c r="AB105" s="99" t="inlineStr">
        <is>
          <t>nightshades</t>
        </is>
      </c>
      <c r="AC105" s="99">
        <f>IF($AB105="DIRECT",Q105,DCOUNT('[1]literature entries'!$D:$AI,IF($J105=1,"ACTIVE     GHGE, FARM GATE (kg CO2e/kg)","GHGE, processor gate (kg CO2e/kg)"),INDIRECT($AB105)))</f>
        <v/>
      </c>
      <c r="AD105" s="99">
        <f>IF($AB105="DIRECT","",DAVERAGE('[1]literature entries'!$D:$AI,IF($J105=1,"ACTIVE     GHGE, FARM GATE (kg CO2e/kg)","GHGE, processor gate (kg CO2e/kg)"),INDIRECT($AB105)))</f>
        <v/>
      </c>
      <c r="AE105" s="99">
        <f>IF($AB105="DIRECT",$S105,DSTDEV('[1]literature entries'!$D:$AI,IF($J105=1,"ACTIVE     GHGE, FARM GATE (kg CO2e/kg)","GHGE, processor gate (kg CO2e/kg)"),INDIRECT($AB105)))</f>
        <v/>
      </c>
      <c r="AF105" s="99">
        <f>IF($AB105="DIRECT",$S105,$AE105/$AD105*$R105)</f>
        <v/>
      </c>
    </row>
    <row r="106" ht="15.75" customHeight="1" s="201">
      <c r="A106" s="100" t="n">
        <v>802272000</v>
      </c>
      <c r="B106" s="101" t="inlineStr">
        <is>
          <t>Pepper, nonbell</t>
        </is>
      </c>
      <c r="C106" s="101" t="inlineStr">
        <is>
          <t>weight of flesh, with or without seeds; excluding stem</t>
        </is>
      </c>
      <c r="D106" s="101" t="n"/>
      <c r="E106" s="101" t="n">
        <v>26399</v>
      </c>
      <c r="F106" s="84">
        <f>N106*H106+T106</f>
        <v/>
      </c>
      <c r="G106" s="85">
        <f>R106*H106+U106</f>
        <v/>
      </c>
      <c r="H106" s="102" t="n">
        <v>1.21</v>
      </c>
      <c r="I106" s="103" t="inlineStr">
        <is>
          <t>FICRCD</t>
        </is>
      </c>
      <c r="J106" s="104" t="n">
        <v>1</v>
      </c>
      <c r="K106" s="89" t="inlineStr">
        <is>
          <t>pepper_bell</t>
        </is>
      </c>
      <c r="L106" s="90">
        <f>IF(ISERROR(GETPIVOTDATA(IF($J106=1,"Count of ACTIVE     CED, FARM GATE (MJ/kg)","Count of CED, processor gate (MJ/kg)"),'[1]Pivot Table_CED'!$A$3,"SUB TYPE",$B106)),"PROXY",IF(GETPIVOTDATA(IF($J106=1,"Count of ACTIVE     CED, FARM GATE (MJ/kg)","Count of CED, processor gate (MJ/kg)"),'[1]Pivot Table_CED'!$A$3,"SUB TYPE",$B106)=0,"PROXY","DB value"))</f>
        <v/>
      </c>
      <c r="M106" s="91">
        <f>IF($L106="PROXY",DCOUNT('[1]literature entries'!$D:$AI,IF($J106=1,"ACTIVE     CED, FARM GATE (MJ/kg)","CED, processor gate (MJ/kg)"),INDIRECT($K106)),GETPIVOTDATA(IF($J106=1,"Count of ACTIVE     CED, FARM GATE (MJ/kg)","Count of CED, processor gate (MJ/kg)"),'[1]Pivot Table_CED'!$A$3,"SUB TYPE",$B106))</f>
        <v/>
      </c>
      <c r="N106" s="92">
        <f>IF($L106="PROXY",DAVERAGE('[1]literature entries'!$D:$AI,IF($J106=1,"ACTIVE     CED, FARM GATE (MJ/kg)","CED, processor gate (MJ/kg)"),INDIRECT($K106)),GETPIVOTDATA(IF($J106=1,"Average of ACTIVE     CED, FARM GATE (MJ/kg)","Average of CED, processor gate (MJ/kg)"),'[1]Pivot Table_CED'!$A$3,"SUB TYPE",$B106))</f>
        <v/>
      </c>
      <c r="O106" s="92">
        <f>IF($L106="PROXY",DSTDEV('[1]literature entries'!D:AI,IF($J106=1,"ACTIVE     CED, FARM GATE (MJ/kg)","CED, processor gate (MJ/kg)"),INDIRECT($K106)),GETPIVOTDATA(IF($J106=1,"StdDev of ACTIVE     CED, FARM GATE (MJ/kg)","StdDev of CED, processor gate (MJ/kg)"),'[1]Pivot Table_CED'!$A$3,"SUB TYPE",$B106))</f>
        <v/>
      </c>
      <c r="P106" s="90">
        <f>IF(ISERROR(GETPIVOTDATA(IF($J106=1,"Count of ACTIVE     GHGE, FARM GATE (kg CO2e/kg)","Count of GHGE, processor gate (kg CO2e/kg)"),'[1]Pivot Table_GHG'!$A$3,"SUB TYPE",$B106)),"PROXY",IF(GETPIVOTDATA(IF($J106=1,"Count of ACTIVE     GHGE, FARM GATE (kg CO2e/kg)","Count of GHGE, processor gate (kg CO2e/kg)"),'[1]Pivot Table_GHG'!$A$3,"SUB TYPE",$B106)=0,"PROXY","DB value"))</f>
        <v/>
      </c>
      <c r="Q106" s="93">
        <f>IF($P106="PROXY",DCOUNT('[1]literature entries'!$D:$AI,IF($J106=1,"ACTIVE     GHGE, FARM GATE (kg CO2e/kg)","GHGE, processor gate (kg CO2e/kg)"),INDIRECT($K106)),GETPIVOTDATA(IF($J106=1,"ACTIVE     GHGE, FARM GATE (kg CO2e/kg)","Count of GHGE, processor gate (kg CO2e/kg)"),'[1]Pivot Table_GHG'!$A$3,"SUB TYPE",$B106))</f>
        <v/>
      </c>
      <c r="R106" s="94">
        <f>IF($P106="PROXY",DAVERAGE('[1]literature entries'!$D:$AI,IF($J106=1,"ACTIVE     GHGE, FARM GATE (kg CO2e/kg)","GHGE, processor gate (kg CO2e/kg)"),INDIRECT($K106)),GETPIVOTDATA(IF($J106=1,"Average of ACTIVE     GHGE, FARM GATE (kg CO2e/kg)","Average of GHGE, processor gate (kg CO2e/kg)"),'[1]Pivot Table_GHG'!$A$3,"SUB TYPE",$B106))</f>
        <v/>
      </c>
      <c r="S106" s="94">
        <f>IF($P106="PROXY",DSTDEV('[1]literature entries'!$D:$AI,IF($J106=1,"ACTIVE     GHGE, FARM GATE (kg CO2e/kg)","GHGE, processor gate (kg CO2e/kg)"),INDIRECT($K106)),GETPIVOTDATA(IF($J106=1,"StdDev of ACTIVE     GHGE, FARM GATE (kg CO2e/kg)","StdDev of GHGE, processor gate (kg CO2e/kg)"),'[1]Pivot Table_GHG'!$A$3,"SUB TYPE",$B106))</f>
        <v/>
      </c>
      <c r="T106" s="105" t="n"/>
      <c r="U106" s="106" t="n"/>
      <c r="V106" s="97" t="n"/>
      <c r="W106" s="98" t="inlineStr">
        <is>
          <t>nightshades</t>
        </is>
      </c>
      <c r="X106" s="98">
        <f>IF($W106="DIRECT",M106,DCOUNT('[1]literature entries'!$D:$AI,IF($J106=1,"ACTIVE     CED, FARM GATE (MJ/kg)","CED, processor gate (MJ/kg)"),INDIRECT($W106)))</f>
        <v/>
      </c>
      <c r="Y106" s="98">
        <f>IF($W106="DIRECT","",DAVERAGE('[1]literature entries'!$D:$AI,IF($J106=1,"ACTIVE     CED, FARM GATE (MJ/kg)","CED, processor gate (MJ/kg)"),INDIRECT($W106)))</f>
        <v/>
      </c>
      <c r="Z106" s="98">
        <f>IF($W106="DIRECT",$O106,DSTDEV('[1]literature entries'!$D:$AI,IF($J106=1,"ACTIVE     CED, FARM GATE (MJ/kg)","CED, processor gate (MJ/kg)"),INDIRECT($W106)))</f>
        <v/>
      </c>
      <c r="AA106" s="98">
        <f>IF($W106="DIRECT",$O106,$Z106/$Y106*$N106)</f>
        <v/>
      </c>
      <c r="AB106" s="99" t="inlineStr">
        <is>
          <t>nightshades</t>
        </is>
      </c>
      <c r="AC106" s="99">
        <f>IF($AB106="DIRECT",Q106,DCOUNT('[1]literature entries'!$D:$AI,IF($J106=1,"ACTIVE     GHGE, FARM GATE (kg CO2e/kg)","GHGE, processor gate (kg CO2e/kg)"),INDIRECT($AB106)))</f>
        <v/>
      </c>
      <c r="AD106" s="99">
        <f>IF($AB106="DIRECT","",DAVERAGE('[1]literature entries'!$D:$AI,IF($J106=1,"ACTIVE     GHGE, FARM GATE (kg CO2e/kg)","GHGE, processor gate (kg CO2e/kg)"),INDIRECT($AB106)))</f>
        <v/>
      </c>
      <c r="AE106" s="99">
        <f>IF($AB106="DIRECT",$S106,DSTDEV('[1]literature entries'!$D:$AI,IF($J106=1,"ACTIVE     GHGE, FARM GATE (kg CO2e/kg)","GHGE, processor gate (kg CO2e/kg)"),INDIRECT($AB106)))</f>
        <v/>
      </c>
      <c r="AF106" s="99">
        <f>IF($AB106="DIRECT",$S106,$AE106/$AD106*$R106)</f>
        <v/>
      </c>
    </row>
    <row r="107" ht="15.75" customHeight="1" s="201">
      <c r="A107" s="100" t="n">
        <v>802273000</v>
      </c>
      <c r="B107" s="101" t="inlineStr">
        <is>
          <t>Pepper, nonbell, dried</t>
        </is>
      </c>
      <c r="C107" s="101" t="inlineStr">
        <is>
          <t>dry weight of flesh or flesh and seeds</t>
        </is>
      </c>
      <c r="D107" s="101" t="n"/>
      <c r="E107" s="101" t="n">
        <v>12647</v>
      </c>
      <c r="F107" s="84">
        <f>N107*H107+T107</f>
        <v/>
      </c>
      <c r="G107" s="85">
        <f>R107*H107+U107</f>
        <v/>
      </c>
      <c r="H107" s="102" t="n">
        <v>10.145</v>
      </c>
      <c r="I107" s="103" t="inlineStr">
        <is>
          <t>NNDSR28</t>
        </is>
      </c>
      <c r="J107" s="113" t="n">
        <v>1</v>
      </c>
      <c r="K107" s="89" t="inlineStr">
        <is>
          <t>pepper_bell</t>
        </is>
      </c>
      <c r="L107" s="90">
        <f>IF(ISERROR(GETPIVOTDATA(IF($J107=1,"Count of ACTIVE     CED, FARM GATE (MJ/kg)","Count of CED, processor gate (MJ/kg)"),'[1]Pivot Table_CED'!$A$3,"SUB TYPE",$B107)),"PROXY",IF(GETPIVOTDATA(IF($J107=1,"Count of ACTIVE     CED, FARM GATE (MJ/kg)","Count of CED, processor gate (MJ/kg)"),'[1]Pivot Table_CED'!$A$3,"SUB TYPE",$B107)=0,"PROXY","DB value"))</f>
        <v/>
      </c>
      <c r="M107" s="91">
        <f>IF($L107="PROXY",DCOUNT('[1]literature entries'!$D:$AI,IF($J107=1,"ACTIVE     CED, FARM GATE (MJ/kg)","CED, processor gate (MJ/kg)"),INDIRECT($K107)),GETPIVOTDATA(IF($J107=1,"Count of ACTIVE     CED, FARM GATE (MJ/kg)","Count of CED, processor gate (MJ/kg)"),'[1]Pivot Table_CED'!$A$3,"SUB TYPE",$B107))</f>
        <v/>
      </c>
      <c r="N107" s="92">
        <f>IF($L107="PROXY",DAVERAGE('[1]literature entries'!$D:$AI,IF($J107=1,"ACTIVE     CED, FARM GATE (MJ/kg)","CED, processor gate (MJ/kg)"),INDIRECT($K107)),GETPIVOTDATA(IF($J107=1,"Average of ACTIVE     CED, FARM GATE (MJ/kg)","Average of CED, processor gate (MJ/kg)"),'[1]Pivot Table_CED'!$A$3,"SUB TYPE",$B107))</f>
        <v/>
      </c>
      <c r="O107" s="92">
        <f>IF($L107="PROXY",DSTDEV('[1]literature entries'!D:AI,IF($J107=1,"ACTIVE     CED, FARM GATE (MJ/kg)","CED, processor gate (MJ/kg)"),INDIRECT($K107)),GETPIVOTDATA(IF($J107=1,"StdDev of ACTIVE     CED, FARM GATE (MJ/kg)","StdDev of CED, processor gate (MJ/kg)"),'[1]Pivot Table_CED'!$A$3,"SUB TYPE",$B107))</f>
        <v/>
      </c>
      <c r="P107" s="90">
        <f>IF(ISERROR(GETPIVOTDATA(IF($J107=1,"Count of ACTIVE     GHGE, FARM GATE (kg CO2e/kg)","Count of GHGE, processor gate (kg CO2e/kg)"),'[1]Pivot Table_GHG'!$A$3,"SUB TYPE",$B107)),"PROXY",IF(GETPIVOTDATA(IF($J107=1,"Count of ACTIVE     GHGE, FARM GATE (kg CO2e/kg)","Count of GHGE, processor gate (kg CO2e/kg)"),'[1]Pivot Table_GHG'!$A$3,"SUB TYPE",$B107)=0,"PROXY","DB value"))</f>
        <v/>
      </c>
      <c r="Q107" s="93">
        <f>IF($P107="PROXY",DCOUNT('[1]literature entries'!$D:$AI,IF($J107=1,"ACTIVE     GHGE, FARM GATE (kg CO2e/kg)","GHGE, processor gate (kg CO2e/kg)"),INDIRECT($K107)),GETPIVOTDATA(IF($J107=1,"ACTIVE     GHGE, FARM GATE (kg CO2e/kg)","Count of GHGE, processor gate (kg CO2e/kg)"),'[1]Pivot Table_GHG'!$A$3,"SUB TYPE",$B107))</f>
        <v/>
      </c>
      <c r="R107" s="94">
        <f>IF($P107="PROXY",DAVERAGE('[1]literature entries'!$D:$AI,IF($J107=1,"ACTIVE     GHGE, FARM GATE (kg CO2e/kg)","GHGE, processor gate (kg CO2e/kg)"),INDIRECT($K107)),GETPIVOTDATA(IF($J107=1,"Average of ACTIVE     GHGE, FARM GATE (kg CO2e/kg)","Average of GHGE, processor gate (kg CO2e/kg)"),'[1]Pivot Table_GHG'!$A$3,"SUB TYPE",$B107))</f>
        <v/>
      </c>
      <c r="S107" s="94">
        <f>IF($P107="PROXY",DSTDEV('[1]literature entries'!$D:$AI,IF($J107=1,"ACTIVE     GHGE, FARM GATE (kg CO2e/kg)","GHGE, processor gate (kg CO2e/kg)"),INDIRECT($K107)),GETPIVOTDATA(IF($J107=1,"StdDev of ACTIVE     GHGE, FARM GATE (kg CO2e/kg)","StdDev of GHGE, processor gate (kg CO2e/kg)"),'[1]Pivot Table_GHG'!$A$3,"SUB TYPE",$B107))</f>
        <v/>
      </c>
      <c r="T107" s="105" t="n"/>
      <c r="U107" s="106" t="n"/>
      <c r="V107" s="97" t="n"/>
      <c r="W107" s="98" t="inlineStr">
        <is>
          <t>nightshades</t>
        </is>
      </c>
      <c r="X107" s="98">
        <f>IF($W107="DIRECT",M107,DCOUNT('[1]literature entries'!$D:$AI,IF($J107=1,"ACTIVE     CED, FARM GATE (MJ/kg)","CED, processor gate (MJ/kg)"),INDIRECT($W107)))</f>
        <v/>
      </c>
      <c r="Y107" s="98">
        <f>IF($W107="DIRECT","",DAVERAGE('[1]literature entries'!$D:$AI,IF($J107=1,"ACTIVE     CED, FARM GATE (MJ/kg)","CED, processor gate (MJ/kg)"),INDIRECT($W107)))</f>
        <v/>
      </c>
      <c r="Z107" s="98">
        <f>IF($W107="DIRECT",$O107,DSTDEV('[1]literature entries'!$D:$AI,IF($J107=1,"ACTIVE     CED, FARM GATE (MJ/kg)","CED, processor gate (MJ/kg)"),INDIRECT($W107)))</f>
        <v/>
      </c>
      <c r="AA107" s="98">
        <f>IF($W107="DIRECT",$O107,$Z107/$Y107*$N107)</f>
        <v/>
      </c>
      <c r="AB107" s="99" t="inlineStr">
        <is>
          <t>nightshades</t>
        </is>
      </c>
      <c r="AC107" s="99">
        <f>IF($AB107="DIRECT",Q107,DCOUNT('[1]literature entries'!$D:$AI,IF($J107=1,"ACTIVE     GHGE, FARM GATE (kg CO2e/kg)","GHGE, processor gate (kg CO2e/kg)"),INDIRECT($AB107)))</f>
        <v/>
      </c>
      <c r="AD107" s="99">
        <f>IF($AB107="DIRECT","",DAVERAGE('[1]literature entries'!$D:$AI,IF($J107=1,"ACTIVE     GHGE, FARM GATE (kg CO2e/kg)","GHGE, processor gate (kg CO2e/kg)"),INDIRECT($AB107)))</f>
        <v/>
      </c>
      <c r="AE107" s="99">
        <f>IF($AB107="DIRECT",$S107,DSTDEV('[1]literature entries'!$D:$AI,IF($J107=1,"ACTIVE     GHGE, FARM GATE (kg CO2e/kg)","GHGE, processor gate (kg CO2e/kg)"),INDIRECT($AB107)))</f>
        <v/>
      </c>
      <c r="AF107" s="99">
        <f>IF($AB107="DIRECT",$S107,$AE107/$AD107*$R107)</f>
        <v/>
      </c>
    </row>
    <row r="108" ht="15.75" customHeight="1" s="201">
      <c r="A108" s="100" t="n">
        <v>901075000</v>
      </c>
      <c r="B108" s="101" t="inlineStr">
        <is>
          <t>Cantaloupe</t>
        </is>
      </c>
      <c r="C108" s="101" t="inlineStr">
        <is>
          <t>weight of pulp; excluding seeds and outer rind</t>
        </is>
      </c>
      <c r="D108" s="101" t="inlineStr">
        <is>
          <t>Includes casaba, muskmelon, and wintermelon.</t>
        </is>
      </c>
      <c r="E108" s="101" t="n">
        <v>1292</v>
      </c>
      <c r="F108" s="84">
        <f>N108*H108+T108</f>
        <v/>
      </c>
      <c r="G108" s="85">
        <f>R108*H108+U108</f>
        <v/>
      </c>
      <c r="H108" s="102" t="n">
        <v>1.96</v>
      </c>
      <c r="I108" s="102" t="inlineStr">
        <is>
          <t>FICRCD</t>
        </is>
      </c>
      <c r="J108" s="113" t="n">
        <v>1</v>
      </c>
      <c r="K108" s="89" t="inlineStr">
        <is>
          <t>melon</t>
        </is>
      </c>
      <c r="L108" s="90">
        <f>IF(ISERROR(GETPIVOTDATA(IF($J108=1,"Count of ACTIVE     CED, FARM GATE (MJ/kg)","Count of CED, processor gate (MJ/kg)"),'[1]Pivot Table_CED'!$A$3,"SUB TYPE",$B108)),"PROXY",IF(GETPIVOTDATA(IF($J108=1,"Count of ACTIVE     CED, FARM GATE (MJ/kg)","Count of CED, processor gate (MJ/kg)"),'[1]Pivot Table_CED'!$A$3,"SUB TYPE",$B108)=0,"PROXY","DB value"))</f>
        <v/>
      </c>
      <c r="M108" s="91">
        <f>IF($L108="PROXY",DCOUNT('[1]literature entries'!$D:$AI,IF($J108=1,"ACTIVE     CED, FARM GATE (MJ/kg)","CED, processor gate (MJ/kg)"),INDIRECT($K108)),GETPIVOTDATA(IF($J108=1,"Count of ACTIVE     CED, FARM GATE (MJ/kg)","Count of CED, processor gate (MJ/kg)"),'[1]Pivot Table_CED'!$A$3,"SUB TYPE",$B108))</f>
        <v/>
      </c>
      <c r="N108" s="92">
        <f>IF($L108="PROXY",DAVERAGE('[1]literature entries'!$D:$AI,IF($J108=1,"ACTIVE     CED, FARM GATE (MJ/kg)","CED, processor gate (MJ/kg)"),INDIRECT($K108)),GETPIVOTDATA(IF($J108=1,"Average of ACTIVE     CED, FARM GATE (MJ/kg)","Average of CED, processor gate (MJ/kg)"),'[1]Pivot Table_CED'!$A$3,"SUB TYPE",$B108))</f>
        <v/>
      </c>
      <c r="O108" s="92">
        <f>IF($L108="PROXY",DSTDEV('[1]literature entries'!D:AI,IF($J108=1,"ACTIVE     CED, FARM GATE (MJ/kg)","CED, processor gate (MJ/kg)"),INDIRECT($K108)),GETPIVOTDATA(IF($J108=1,"StdDev of ACTIVE     CED, FARM GATE (MJ/kg)","StdDev of CED, processor gate (MJ/kg)"),'[1]Pivot Table_CED'!$A$3,"SUB TYPE",$B108))</f>
        <v/>
      </c>
      <c r="P108" s="90">
        <f>IF(ISERROR(GETPIVOTDATA(IF($J108=1,"Count of ACTIVE     GHGE, FARM GATE (kg CO2e/kg)","Count of GHGE, processor gate (kg CO2e/kg)"),'[1]Pivot Table_GHG'!$A$3,"SUB TYPE",$B108)),"PROXY",IF(GETPIVOTDATA(IF($J108=1,"Count of ACTIVE     GHGE, FARM GATE (kg CO2e/kg)","Count of GHGE, processor gate (kg CO2e/kg)"),'[1]Pivot Table_GHG'!$A$3,"SUB TYPE",$B108)=0,"PROXY","DB value"))</f>
        <v/>
      </c>
      <c r="Q108" s="93">
        <f>IF($P108="PROXY",DCOUNT('[1]literature entries'!$D:$AI,IF($J108=1,"ACTIVE     GHGE, FARM GATE (kg CO2e/kg)","GHGE, processor gate (kg CO2e/kg)"),INDIRECT($K108)),GETPIVOTDATA(IF($J108=1,"ACTIVE     GHGE, FARM GATE (kg CO2e/kg)","Count of GHGE, processor gate (kg CO2e/kg)"),'[1]Pivot Table_GHG'!$A$3,"SUB TYPE",$B108))</f>
        <v/>
      </c>
      <c r="R108" s="94">
        <f>IF($P108="PROXY",DAVERAGE('[1]literature entries'!$D:$AI,IF($J108=1,"ACTIVE     GHGE, FARM GATE (kg CO2e/kg)","GHGE, processor gate (kg CO2e/kg)"),INDIRECT($K108)),GETPIVOTDATA(IF($J108=1,"Average of ACTIVE     GHGE, FARM GATE (kg CO2e/kg)","Average of GHGE, processor gate (kg CO2e/kg)"),'[1]Pivot Table_GHG'!$A$3,"SUB TYPE",$B108))</f>
        <v/>
      </c>
      <c r="S108" s="94">
        <f>IF($P108="PROXY",DSTDEV('[1]literature entries'!$D:$AI,IF($J108=1,"ACTIVE     GHGE, FARM GATE (kg CO2e/kg)","GHGE, processor gate (kg CO2e/kg)"),INDIRECT($K108)),GETPIVOTDATA(IF($J108=1,"StdDev of ACTIVE     GHGE, FARM GATE (kg CO2e/kg)","StdDev of GHGE, processor gate (kg CO2e/kg)"),'[1]Pivot Table_GHG'!$A$3,"SUB TYPE",$B108))</f>
        <v/>
      </c>
      <c r="T108" s="105" t="n"/>
      <c r="U108" s="106" t="n"/>
      <c r="V108" s="97" t="n"/>
      <c r="W108" s="98" t="inlineStr">
        <is>
          <t>cucurbits</t>
        </is>
      </c>
      <c r="X108" s="98">
        <f>IF($W108="DIRECT",M108,DCOUNT('[1]literature entries'!$D:$AI,IF($J108=1,"ACTIVE     CED, FARM GATE (MJ/kg)","CED, processor gate (MJ/kg)"),INDIRECT($W108)))</f>
        <v/>
      </c>
      <c r="Y108" s="98">
        <f>IF($W108="DIRECT","",DAVERAGE('[1]literature entries'!$D:$AI,IF($J108=1,"ACTIVE     CED, FARM GATE (MJ/kg)","CED, processor gate (MJ/kg)"),INDIRECT($W108)))</f>
        <v/>
      </c>
      <c r="Z108" s="98">
        <f>IF($W108="DIRECT",$O108,DSTDEV('[1]literature entries'!$D:$AI,IF($J108=1,"ACTIVE     CED, FARM GATE (MJ/kg)","CED, processor gate (MJ/kg)"),INDIRECT($W108)))</f>
        <v/>
      </c>
      <c r="AA108" s="98">
        <f>IF($W108="DIRECT",$O108,$Z108/$Y108*$N108)</f>
        <v/>
      </c>
      <c r="AB108" s="99" t="inlineStr">
        <is>
          <t>cucurbits</t>
        </is>
      </c>
      <c r="AC108" s="99">
        <f>IF($AB108="DIRECT",Q108,DCOUNT('[1]literature entries'!$D:$AI,IF($J108=1,"ACTIVE     GHGE, FARM GATE (kg CO2e/kg)","GHGE, processor gate (kg CO2e/kg)"),INDIRECT($AB108)))</f>
        <v/>
      </c>
      <c r="AD108" s="99">
        <f>IF($AB108="DIRECT","",DAVERAGE('[1]literature entries'!$D:$AI,IF($J108=1,"ACTIVE     GHGE, FARM GATE (kg CO2e/kg)","GHGE, processor gate (kg CO2e/kg)"),INDIRECT($AB108)))</f>
        <v/>
      </c>
      <c r="AE108" s="99">
        <f>IF($AB108="DIRECT",$S108,DSTDEV('[1]literature entries'!$D:$AI,IF($J108=1,"ACTIVE     GHGE, FARM GATE (kg CO2e/kg)","GHGE, processor gate (kg CO2e/kg)"),INDIRECT($AB108)))</f>
        <v/>
      </c>
      <c r="AF108" s="99">
        <f>IF($AB108="DIRECT",$S108,$AE108/$AD108*$R108)</f>
        <v/>
      </c>
    </row>
    <row r="109" ht="15.75" customHeight="1" s="201">
      <c r="A109" s="100" t="n">
        <v>901187000</v>
      </c>
      <c r="B109" s="101" t="inlineStr">
        <is>
          <t>Honeydew melon</t>
        </is>
      </c>
      <c r="C109" s="101" t="inlineStr">
        <is>
          <t>weight of pulp; excluding seeds and rind</t>
        </is>
      </c>
      <c r="D109" s="101" t="n"/>
      <c r="E109" s="101" t="n">
        <v>171</v>
      </c>
      <c r="F109" s="84">
        <f>N109*H109+T109</f>
        <v/>
      </c>
      <c r="G109" s="85">
        <f>R109*H109+U109</f>
        <v/>
      </c>
      <c r="H109" s="102" t="n">
        <v>2.17</v>
      </c>
      <c r="I109" s="102" t="inlineStr">
        <is>
          <t>FICRCD</t>
        </is>
      </c>
      <c r="J109" s="113" t="n">
        <v>1</v>
      </c>
      <c r="K109" s="89" t="n"/>
      <c r="L109" s="90">
        <f>IF(ISERROR(GETPIVOTDATA(IF($J109=1,"Count of ACTIVE     CED, FARM GATE (MJ/kg)","Count of CED, processor gate (MJ/kg)"),'[1]Pivot Table_CED'!$A$3,"SUB TYPE",$B109)),"PROXY",IF(GETPIVOTDATA(IF($J109=1,"Count of ACTIVE     CED, FARM GATE (MJ/kg)","Count of CED, processor gate (MJ/kg)"),'[1]Pivot Table_CED'!$A$3,"SUB TYPE",$B109)=0,"PROXY","DB value"))</f>
        <v/>
      </c>
      <c r="M109" s="91">
        <f>IF($L109="PROXY",DCOUNT('[1]literature entries'!$D:$AI,IF($J109=1,"ACTIVE     CED, FARM GATE (MJ/kg)","CED, processor gate (MJ/kg)"),INDIRECT($K109)),GETPIVOTDATA(IF($J109=1,"Count of ACTIVE     CED, FARM GATE (MJ/kg)","Count of CED, processor gate (MJ/kg)"),'[1]Pivot Table_CED'!$A$3,"SUB TYPE",$B109))</f>
        <v/>
      </c>
      <c r="N109" s="92">
        <f>IF($L109="PROXY",DAVERAGE('[1]literature entries'!$D:$AI,IF($J109=1,"ACTIVE     CED, FARM GATE (MJ/kg)","CED, processor gate (MJ/kg)"),INDIRECT($K109)),GETPIVOTDATA(IF($J109=1,"Average of ACTIVE     CED, FARM GATE (MJ/kg)","Average of CED, processor gate (MJ/kg)"),'[1]Pivot Table_CED'!$A$3,"SUB TYPE",$B109))</f>
        <v/>
      </c>
      <c r="O109" s="92">
        <f>IF($L109="PROXY",DSTDEV('[1]literature entries'!D:AI,IF($J109=1,"ACTIVE     CED, FARM GATE (MJ/kg)","CED, processor gate (MJ/kg)"),INDIRECT($K109)),GETPIVOTDATA(IF($J109=1,"StdDev of ACTIVE     CED, FARM GATE (MJ/kg)","StdDev of CED, processor gate (MJ/kg)"),'[1]Pivot Table_CED'!$A$3,"SUB TYPE",$B109))</f>
        <v/>
      </c>
      <c r="P109" s="90">
        <f>IF(ISERROR(GETPIVOTDATA(IF($J109=1,"Count of ACTIVE     GHGE, FARM GATE (kg CO2e/kg)","Count of GHGE, processor gate (kg CO2e/kg)"),'[1]Pivot Table_GHG'!$A$3,"SUB TYPE",$B109)),"PROXY",IF(GETPIVOTDATA(IF($J109=1,"Count of ACTIVE     GHGE, FARM GATE (kg CO2e/kg)","Count of GHGE, processor gate (kg CO2e/kg)"),'[1]Pivot Table_GHG'!$A$3,"SUB TYPE",$B109)=0,"PROXY","DB value"))</f>
        <v/>
      </c>
      <c r="Q109" s="93">
        <f>IF($P109="PROXY",DCOUNT('[1]literature entries'!$D:$AI,IF($J109=1,"ACTIVE     GHGE, FARM GATE (kg CO2e/kg)","GHGE, processor gate (kg CO2e/kg)"),INDIRECT($K109)),GETPIVOTDATA(IF($J109=1,"ACTIVE     GHGE, FARM GATE (kg CO2e/kg)","Count of GHGE, processor gate (kg CO2e/kg)"),'[1]Pivot Table_GHG'!$A$3,"SUB TYPE",$B109))</f>
        <v/>
      </c>
      <c r="R109" s="94">
        <f>IF($P109="PROXY",DAVERAGE('[1]literature entries'!$D:$AI,IF($J109=1,"ACTIVE     GHGE, FARM GATE (kg CO2e/kg)","GHGE, processor gate (kg CO2e/kg)"),INDIRECT($K109)),GETPIVOTDATA(IF($J109=1,"Average of ACTIVE     GHGE, FARM GATE (kg CO2e/kg)","Average of GHGE, processor gate (kg CO2e/kg)"),'[1]Pivot Table_GHG'!$A$3,"SUB TYPE",$B109))</f>
        <v/>
      </c>
      <c r="S109" s="94">
        <f>IF($P109="PROXY",DSTDEV('[1]literature entries'!$D:$AI,IF($J109=1,"ACTIVE     GHGE, FARM GATE (kg CO2e/kg)","GHGE, processor gate (kg CO2e/kg)"),INDIRECT($K109)),GETPIVOTDATA(IF($J109=1,"StdDev of ACTIVE     GHGE, FARM GATE (kg CO2e/kg)","StdDev of GHGE, processor gate (kg CO2e/kg)"),'[1]Pivot Table_GHG'!$A$3,"SUB TYPE",$B109))</f>
        <v/>
      </c>
      <c r="T109" s="105" t="n"/>
      <c r="U109" s="106" t="n"/>
      <c r="V109" s="97" t="n"/>
      <c r="W109" s="98" t="inlineStr">
        <is>
          <t>cucurbits</t>
        </is>
      </c>
      <c r="X109" s="98">
        <f>IF($W109="DIRECT",M109,DCOUNT('[1]literature entries'!$D:$AI,IF($J109=1,"ACTIVE     CED, FARM GATE (MJ/kg)","CED, processor gate (MJ/kg)"),INDIRECT($W109)))</f>
        <v/>
      </c>
      <c r="Y109" s="98">
        <f>IF($W109="DIRECT","",DAVERAGE('[1]literature entries'!$D:$AI,IF($J109=1,"ACTIVE     CED, FARM GATE (MJ/kg)","CED, processor gate (MJ/kg)"),INDIRECT($W109)))</f>
        <v/>
      </c>
      <c r="Z109" s="98">
        <f>IF($W109="DIRECT",$O109,DSTDEV('[1]literature entries'!$D:$AI,IF($J109=1,"ACTIVE     CED, FARM GATE (MJ/kg)","CED, processor gate (MJ/kg)"),INDIRECT($W109)))</f>
        <v/>
      </c>
      <c r="AA109" s="98">
        <f>IF($W109="DIRECT",$O109,$Z109/$Y109*$N109)</f>
        <v/>
      </c>
      <c r="AB109" s="99" t="inlineStr">
        <is>
          <t>cucurbits</t>
        </is>
      </c>
      <c r="AC109" s="99">
        <f>IF($AB109="DIRECT",Q109,DCOUNT('[1]literature entries'!$D:$AI,IF($J109=1,"ACTIVE     GHGE, FARM GATE (kg CO2e/kg)","GHGE, processor gate (kg CO2e/kg)"),INDIRECT($AB109)))</f>
        <v/>
      </c>
      <c r="AD109" s="99">
        <f>IF($AB109="DIRECT","",DAVERAGE('[1]literature entries'!$D:$AI,IF($J109=1,"ACTIVE     GHGE, FARM GATE (kg CO2e/kg)","GHGE, processor gate (kg CO2e/kg)"),INDIRECT($AB109)))</f>
        <v/>
      </c>
      <c r="AE109" s="99">
        <f>IF($AB109="DIRECT",$S109,DSTDEV('[1]literature entries'!$D:$AI,IF($J109=1,"ACTIVE     GHGE, FARM GATE (kg CO2e/kg)","GHGE, processor gate (kg CO2e/kg)"),INDIRECT($AB109)))</f>
        <v/>
      </c>
      <c r="AF109" s="99">
        <f>IF($AB109="DIRECT",$S109,$AE109/$AD109*$R109)</f>
        <v/>
      </c>
    </row>
    <row r="110" ht="15.75" customHeight="1" s="201">
      <c r="A110" s="100" t="n">
        <v>901399000</v>
      </c>
      <c r="B110" s="101" t="inlineStr">
        <is>
          <t>Watermelon</t>
        </is>
      </c>
      <c r="C110" s="101" t="inlineStr">
        <is>
          <t>weight of pulp and rind; excluding seeds</t>
        </is>
      </c>
      <c r="D110" s="101" t="inlineStr">
        <is>
          <t>To include weight of pickled watermelon rind.</t>
        </is>
      </c>
      <c r="E110" s="101" t="n">
        <v>1250</v>
      </c>
      <c r="F110" s="84">
        <f>N110*H110+T110</f>
        <v/>
      </c>
      <c r="G110" s="85">
        <f>R110*H110+U110</f>
        <v/>
      </c>
      <c r="H110" s="102" t="n">
        <v>1.92</v>
      </c>
      <c r="I110" s="102" t="inlineStr">
        <is>
          <t>FICRCD</t>
        </is>
      </c>
      <c r="J110" s="104" t="n">
        <v>1</v>
      </c>
      <c r="K110" s="89" t="inlineStr">
        <is>
          <t>melon</t>
        </is>
      </c>
      <c r="L110" s="90">
        <f>IF(ISERROR(GETPIVOTDATA(IF($J110=1,"Count of ACTIVE     CED, FARM GATE (MJ/kg)","Count of CED, processor gate (MJ/kg)"),'[1]Pivot Table_CED'!$A$3,"SUB TYPE",$B110)),"PROXY",IF(GETPIVOTDATA(IF($J110=1,"Count of ACTIVE     CED, FARM GATE (MJ/kg)","Count of CED, processor gate (MJ/kg)"),'[1]Pivot Table_CED'!$A$3,"SUB TYPE",$B110)=0,"PROXY","DB value"))</f>
        <v/>
      </c>
      <c r="M110" s="91">
        <f>IF($L110="PROXY",DCOUNT('[1]literature entries'!$D:$AI,IF($J110=1,"ACTIVE     CED, FARM GATE (MJ/kg)","CED, processor gate (MJ/kg)"),INDIRECT($K110)),GETPIVOTDATA(IF($J110=1,"Count of ACTIVE     CED, FARM GATE (MJ/kg)","Count of CED, processor gate (MJ/kg)"),'[1]Pivot Table_CED'!$A$3,"SUB TYPE",$B110))</f>
        <v/>
      </c>
      <c r="N110" s="92">
        <f>IF($L110="PROXY",DAVERAGE('[1]literature entries'!$D:$AI,IF($J110=1,"ACTIVE     CED, FARM GATE (MJ/kg)","CED, processor gate (MJ/kg)"),INDIRECT($K110)),GETPIVOTDATA(IF($J110=1,"Average of ACTIVE     CED, FARM GATE (MJ/kg)","Average of CED, processor gate (MJ/kg)"),'[1]Pivot Table_CED'!$A$3,"SUB TYPE",$B110))</f>
        <v/>
      </c>
      <c r="O110" s="92">
        <f>IF($L110="PROXY",DSTDEV('[1]literature entries'!D:AI,IF($J110=1,"ACTIVE     CED, FARM GATE (MJ/kg)","CED, processor gate (MJ/kg)"),INDIRECT($K110)),GETPIVOTDATA(IF($J110=1,"StdDev of ACTIVE     CED, FARM GATE (MJ/kg)","StdDev of CED, processor gate (MJ/kg)"),'[1]Pivot Table_CED'!$A$3,"SUB TYPE",$B110))</f>
        <v/>
      </c>
      <c r="P110" s="90">
        <f>IF(ISERROR(GETPIVOTDATA(IF($J110=1,"Count of ACTIVE     GHGE, FARM GATE (kg CO2e/kg)","Count of GHGE, processor gate (kg CO2e/kg)"),'[1]Pivot Table_GHG'!$A$3,"SUB TYPE",$B110)),"PROXY",IF(GETPIVOTDATA(IF($J110=1,"Count of ACTIVE     GHGE, FARM GATE (kg CO2e/kg)","Count of GHGE, processor gate (kg CO2e/kg)"),'[1]Pivot Table_GHG'!$A$3,"SUB TYPE",$B110)=0,"PROXY","DB value"))</f>
        <v/>
      </c>
      <c r="Q110" s="93">
        <f>IF($P110="PROXY",DCOUNT('[1]literature entries'!$D:$AI,IF($J110=1,"ACTIVE     GHGE, FARM GATE (kg CO2e/kg)","GHGE, processor gate (kg CO2e/kg)"),INDIRECT($K110)),GETPIVOTDATA(IF($J110=1,"ACTIVE     GHGE, FARM GATE (kg CO2e/kg)","Count of GHGE, processor gate (kg CO2e/kg)"),'[1]Pivot Table_GHG'!$A$3,"SUB TYPE",$B110))</f>
        <v/>
      </c>
      <c r="R110" s="94">
        <f>IF($P110="PROXY",DAVERAGE('[1]literature entries'!$D:$AI,IF($J110=1,"ACTIVE     GHGE, FARM GATE (kg CO2e/kg)","GHGE, processor gate (kg CO2e/kg)"),INDIRECT($K110)),GETPIVOTDATA(IF($J110=1,"Average of ACTIVE     GHGE, FARM GATE (kg CO2e/kg)","Average of GHGE, processor gate (kg CO2e/kg)"),'[1]Pivot Table_GHG'!$A$3,"SUB TYPE",$B110))</f>
        <v/>
      </c>
      <c r="S110" s="94">
        <f>IF($P110="PROXY",DSTDEV('[1]literature entries'!$D:$AI,IF($J110=1,"ACTIVE     GHGE, FARM GATE (kg CO2e/kg)","GHGE, processor gate (kg CO2e/kg)"),INDIRECT($K110)),GETPIVOTDATA(IF($J110=1,"StdDev of ACTIVE     GHGE, FARM GATE (kg CO2e/kg)","StdDev of GHGE, processor gate (kg CO2e/kg)"),'[1]Pivot Table_GHG'!$A$3,"SUB TYPE",$B110))</f>
        <v/>
      </c>
      <c r="T110" s="105" t="n"/>
      <c r="U110" s="106" t="n"/>
      <c r="V110" s="97" t="n"/>
      <c r="W110" s="98" t="inlineStr">
        <is>
          <t>cucurbits</t>
        </is>
      </c>
      <c r="X110" s="98">
        <f>IF($W110="DIRECT",M110,DCOUNT('[1]literature entries'!$D:$AI,IF($J110=1,"ACTIVE     CED, FARM GATE (MJ/kg)","CED, processor gate (MJ/kg)"),INDIRECT($W110)))</f>
        <v/>
      </c>
      <c r="Y110" s="98">
        <f>IF($W110="DIRECT","",DAVERAGE('[1]literature entries'!$D:$AI,IF($J110=1,"ACTIVE     CED, FARM GATE (MJ/kg)","CED, processor gate (MJ/kg)"),INDIRECT($W110)))</f>
        <v/>
      </c>
      <c r="Z110" s="98">
        <f>IF($W110="DIRECT",$O110,DSTDEV('[1]literature entries'!$D:$AI,IF($J110=1,"ACTIVE     CED, FARM GATE (MJ/kg)","CED, processor gate (MJ/kg)"),INDIRECT($W110)))</f>
        <v/>
      </c>
      <c r="AA110" s="98">
        <f>IF($W110="DIRECT",$O110,$Z110/$Y110*$N110)</f>
        <v/>
      </c>
      <c r="AB110" s="99" t="inlineStr">
        <is>
          <t>cucurbits</t>
        </is>
      </c>
      <c r="AC110" s="99">
        <f>IF($AB110="DIRECT",Q110,DCOUNT('[1]literature entries'!$D:$AI,IF($J110=1,"ACTIVE     GHGE, FARM GATE (kg CO2e/kg)","GHGE, processor gate (kg CO2e/kg)"),INDIRECT($AB110)))</f>
        <v/>
      </c>
      <c r="AD110" s="99">
        <f>IF($AB110="DIRECT","",DAVERAGE('[1]literature entries'!$D:$AI,IF($J110=1,"ACTIVE     GHGE, FARM GATE (kg CO2e/kg)","GHGE, processor gate (kg CO2e/kg)"),INDIRECT($AB110)))</f>
        <v/>
      </c>
      <c r="AE110" s="99">
        <f>IF($AB110="DIRECT",$S110,DSTDEV('[1]literature entries'!$D:$AI,IF($J110=1,"ACTIVE     GHGE, FARM GATE (kg CO2e/kg)","GHGE, processor gate (kg CO2e/kg)"),INDIRECT($AB110)))</f>
        <v/>
      </c>
      <c r="AF110" s="99">
        <f>IF($AB110="DIRECT",$S110,$AE110/$AD110*$R110)</f>
        <v/>
      </c>
    </row>
    <row r="111" ht="15.75" customHeight="1" s="201">
      <c r="A111" s="100" t="n">
        <v>901400000</v>
      </c>
      <c r="B111" s="101" t="inlineStr">
        <is>
          <t>Watermelon, juice</t>
        </is>
      </c>
      <c r="C111" s="101" t="inlineStr">
        <is>
          <t>weight of juice at single strength (or standard dilution)</t>
        </is>
      </c>
      <c r="D111" s="101" t="n"/>
      <c r="E111" s="101" t="n">
        <v>19</v>
      </c>
      <c r="F111" s="84">
        <f>N111*H111+T111</f>
        <v/>
      </c>
      <c r="G111" s="85">
        <f>R111*H111+U111</f>
        <v/>
      </c>
      <c r="H111" s="102" t="n">
        <v>1.92</v>
      </c>
      <c r="I111" s="103" t="inlineStr">
        <is>
          <t>FICRCD</t>
        </is>
      </c>
      <c r="J111" s="104" t="n">
        <v>1</v>
      </c>
      <c r="K111" s="89" t="inlineStr">
        <is>
          <t>melon</t>
        </is>
      </c>
      <c r="L111" s="90">
        <f>IF(ISERROR(GETPIVOTDATA(IF($J111=1,"Count of ACTIVE     CED, FARM GATE (MJ/kg)","Count of CED, processor gate (MJ/kg)"),'[1]Pivot Table_CED'!$A$3,"SUB TYPE",$B111)),"PROXY",IF(GETPIVOTDATA(IF($J111=1,"Count of ACTIVE     CED, FARM GATE (MJ/kg)","Count of CED, processor gate (MJ/kg)"),'[1]Pivot Table_CED'!$A$3,"SUB TYPE",$B111)=0,"PROXY","DB value"))</f>
        <v/>
      </c>
      <c r="M111" s="91">
        <f>IF($L111="PROXY",DCOUNT('[1]literature entries'!$D:$AI,IF($J111=1,"ACTIVE     CED, FARM GATE (MJ/kg)","CED, processor gate (MJ/kg)"),INDIRECT($K111)),GETPIVOTDATA(IF($J111=1,"Count of ACTIVE     CED, FARM GATE (MJ/kg)","Count of CED, processor gate (MJ/kg)"),'[1]Pivot Table_CED'!$A$3,"SUB TYPE",$B111))</f>
        <v/>
      </c>
      <c r="N111" s="92">
        <f>IF($L111="PROXY",DAVERAGE('[1]literature entries'!$D:$AI,IF($J111=1,"ACTIVE     CED, FARM GATE (MJ/kg)","CED, processor gate (MJ/kg)"),INDIRECT($K111)),GETPIVOTDATA(IF($J111=1,"Average of ACTIVE     CED, FARM GATE (MJ/kg)","Average of CED, processor gate (MJ/kg)"),'[1]Pivot Table_CED'!$A$3,"SUB TYPE",$B111))</f>
        <v/>
      </c>
      <c r="O111" s="92">
        <f>IF($L111="PROXY",DSTDEV('[1]literature entries'!D:AI,IF($J111=1,"ACTIVE     CED, FARM GATE (MJ/kg)","CED, processor gate (MJ/kg)"),INDIRECT($K111)),GETPIVOTDATA(IF($J111=1,"StdDev of ACTIVE     CED, FARM GATE (MJ/kg)","StdDev of CED, processor gate (MJ/kg)"),'[1]Pivot Table_CED'!$A$3,"SUB TYPE",$B111))</f>
        <v/>
      </c>
      <c r="P111" s="90">
        <f>IF(ISERROR(GETPIVOTDATA(IF($J111=1,"Count of ACTIVE     GHGE, FARM GATE (kg CO2e/kg)","Count of GHGE, processor gate (kg CO2e/kg)"),'[1]Pivot Table_GHG'!$A$3,"SUB TYPE",$B111)),"PROXY",IF(GETPIVOTDATA(IF($J111=1,"Count of ACTIVE     GHGE, FARM GATE (kg CO2e/kg)","Count of GHGE, processor gate (kg CO2e/kg)"),'[1]Pivot Table_GHG'!$A$3,"SUB TYPE",$B111)=0,"PROXY","DB value"))</f>
        <v/>
      </c>
      <c r="Q111" s="93">
        <f>IF($P111="PROXY",DCOUNT('[1]literature entries'!$D:$AI,IF($J111=1,"ACTIVE     GHGE, FARM GATE (kg CO2e/kg)","GHGE, processor gate (kg CO2e/kg)"),INDIRECT($K111)),GETPIVOTDATA(IF($J111=1,"ACTIVE     GHGE, FARM GATE (kg CO2e/kg)","Count of GHGE, processor gate (kg CO2e/kg)"),'[1]Pivot Table_GHG'!$A$3,"SUB TYPE",$B111))</f>
        <v/>
      </c>
      <c r="R111" s="94">
        <f>IF($P111="PROXY",DAVERAGE('[1]literature entries'!$D:$AI,IF($J111=1,"ACTIVE     GHGE, FARM GATE (kg CO2e/kg)","GHGE, processor gate (kg CO2e/kg)"),INDIRECT($K111)),GETPIVOTDATA(IF($J111=1,"Average of ACTIVE     GHGE, FARM GATE (kg CO2e/kg)","Average of GHGE, processor gate (kg CO2e/kg)"),'[1]Pivot Table_GHG'!$A$3,"SUB TYPE",$B111))</f>
        <v/>
      </c>
      <c r="S111" s="94">
        <f>IF($P111="PROXY",DSTDEV('[1]literature entries'!$D:$AI,IF($J111=1,"ACTIVE     GHGE, FARM GATE (kg CO2e/kg)","GHGE, processor gate (kg CO2e/kg)"),INDIRECT($K111)),GETPIVOTDATA(IF($J111=1,"StdDev of ACTIVE     GHGE, FARM GATE (kg CO2e/kg)","StdDev of GHGE, processor gate (kg CO2e/kg)"),'[1]Pivot Table_GHG'!$A$3,"SUB TYPE",$B111))</f>
        <v/>
      </c>
      <c r="T111" s="107" t="n">
        <v>5.282</v>
      </c>
      <c r="U111" s="108" t="n">
        <v>0.9790791260799999</v>
      </c>
      <c r="V111" s="97" t="n"/>
      <c r="W111" s="98" t="inlineStr">
        <is>
          <t>cucurbits</t>
        </is>
      </c>
      <c r="X111" s="98">
        <f>IF($W111="DIRECT",M111,DCOUNT('[1]literature entries'!$D:$AI,IF($J111=1,"ACTIVE     CED, FARM GATE (MJ/kg)","CED, processor gate (MJ/kg)"),INDIRECT($W111)))</f>
        <v/>
      </c>
      <c r="Y111" s="98">
        <f>IF($W111="DIRECT","",DAVERAGE('[1]literature entries'!$D:$AI,IF($J111=1,"ACTIVE     CED, FARM GATE (MJ/kg)","CED, processor gate (MJ/kg)"),INDIRECT($W111)))</f>
        <v/>
      </c>
      <c r="Z111" s="98">
        <f>IF($W111="DIRECT",$O111,DSTDEV('[1]literature entries'!$D:$AI,IF($J111=1,"ACTIVE     CED, FARM GATE (MJ/kg)","CED, processor gate (MJ/kg)"),INDIRECT($W111)))</f>
        <v/>
      </c>
      <c r="AA111" s="98">
        <f>IF($W111="DIRECT",$O111,$Z111/$Y111*$N111)</f>
        <v/>
      </c>
      <c r="AB111" s="99" t="inlineStr">
        <is>
          <t>cucurbits</t>
        </is>
      </c>
      <c r="AC111" s="99">
        <f>IF($AB111="DIRECT",Q111,DCOUNT('[1]literature entries'!$D:$AI,IF($J111=1,"ACTIVE     GHGE, FARM GATE (kg CO2e/kg)","GHGE, processor gate (kg CO2e/kg)"),INDIRECT($AB111)))</f>
        <v/>
      </c>
      <c r="AD111" s="99">
        <f>IF($AB111="DIRECT","",DAVERAGE('[1]literature entries'!$D:$AI,IF($J111=1,"ACTIVE     GHGE, FARM GATE (kg CO2e/kg)","GHGE, processor gate (kg CO2e/kg)"),INDIRECT($AB111)))</f>
        <v/>
      </c>
      <c r="AE111" s="99">
        <f>IF($AB111="DIRECT",$S111,DSTDEV('[1]literature entries'!$D:$AI,IF($J111=1,"ACTIVE     GHGE, FARM GATE (kg CO2e/kg)","GHGE, processor gate (kg CO2e/kg)"),INDIRECT($AB111)))</f>
        <v/>
      </c>
      <c r="AF111" s="99">
        <f>IF($AB111="DIRECT",$S111,$AE111/$AD111*$R111)</f>
        <v/>
      </c>
    </row>
    <row r="112" ht="15.75" customHeight="1" s="201">
      <c r="A112" s="100" t="n">
        <v>902021000</v>
      </c>
      <c r="B112" s="101" t="inlineStr">
        <is>
          <t>Balsam pear</t>
        </is>
      </c>
      <c r="C112" s="101" t="inlineStr">
        <is>
          <t>weight of whole fruit</t>
        </is>
      </c>
      <c r="D112" s="101" t="inlineStr">
        <is>
          <t>Includes Balsam apple, Chinese cucumber, and Bittermelon.</t>
        </is>
      </c>
      <c r="E112" s="101" t="n">
        <v>3</v>
      </c>
      <c r="F112" s="84">
        <f>N112*H112+T112</f>
        <v/>
      </c>
      <c r="G112" s="85">
        <f>R112*H112+U112</f>
        <v/>
      </c>
      <c r="H112" s="103" t="n">
        <v>1</v>
      </c>
      <c r="I112" s="103" t="inlineStr">
        <is>
          <t>None</t>
        </is>
      </c>
      <c r="J112" s="104" t="n">
        <v>1</v>
      </c>
      <c r="K112" s="89" t="inlineStr">
        <is>
          <t>cucumber</t>
        </is>
      </c>
      <c r="L112" s="90">
        <f>IF(ISERROR(GETPIVOTDATA(IF($J112=1,"Count of ACTIVE     CED, FARM GATE (MJ/kg)","Count of CED, processor gate (MJ/kg)"),'[1]Pivot Table_CED'!$A$3,"SUB TYPE",$B112)),"PROXY",IF(GETPIVOTDATA(IF($J112=1,"Count of ACTIVE     CED, FARM GATE (MJ/kg)","Count of CED, processor gate (MJ/kg)"),'[1]Pivot Table_CED'!$A$3,"SUB TYPE",$B112)=0,"PROXY","DB value"))</f>
        <v/>
      </c>
      <c r="M112" s="91">
        <f>IF($L112="PROXY",DCOUNT('[1]literature entries'!$D:$AI,IF($J112=1,"ACTIVE     CED, FARM GATE (MJ/kg)","CED, processor gate (MJ/kg)"),INDIRECT($K112)),GETPIVOTDATA(IF($J112=1,"Count of ACTIVE     CED, FARM GATE (MJ/kg)","Count of CED, processor gate (MJ/kg)"),'[1]Pivot Table_CED'!$A$3,"SUB TYPE",$B112))</f>
        <v/>
      </c>
      <c r="N112" s="92">
        <f>IF($L112="PROXY",DAVERAGE('[1]literature entries'!$D:$AI,IF($J112=1,"ACTIVE     CED, FARM GATE (MJ/kg)","CED, processor gate (MJ/kg)"),INDIRECT($K112)),GETPIVOTDATA(IF($J112=1,"Average of ACTIVE     CED, FARM GATE (MJ/kg)","Average of CED, processor gate (MJ/kg)"),'[1]Pivot Table_CED'!$A$3,"SUB TYPE",$B112))</f>
        <v/>
      </c>
      <c r="O112" s="92">
        <f>IF($L112="PROXY",DSTDEV('[1]literature entries'!D:AI,IF($J112=1,"ACTIVE     CED, FARM GATE (MJ/kg)","CED, processor gate (MJ/kg)"),INDIRECT($K112)),GETPIVOTDATA(IF($J112=1,"StdDev of ACTIVE     CED, FARM GATE (MJ/kg)","StdDev of CED, processor gate (MJ/kg)"),'[1]Pivot Table_CED'!$A$3,"SUB TYPE",$B112))</f>
        <v/>
      </c>
      <c r="P112" s="90">
        <f>IF(ISERROR(GETPIVOTDATA(IF($J112=1,"Count of ACTIVE     GHGE, FARM GATE (kg CO2e/kg)","Count of GHGE, processor gate (kg CO2e/kg)"),'[1]Pivot Table_GHG'!$A$3,"SUB TYPE",$B112)),"PROXY",IF(GETPIVOTDATA(IF($J112=1,"Count of ACTIVE     GHGE, FARM GATE (kg CO2e/kg)","Count of GHGE, processor gate (kg CO2e/kg)"),'[1]Pivot Table_GHG'!$A$3,"SUB TYPE",$B112)=0,"PROXY","DB value"))</f>
        <v/>
      </c>
      <c r="Q112" s="93">
        <f>IF($P112="PROXY",DCOUNT('[1]literature entries'!$D:$AI,IF($J112=1,"ACTIVE     GHGE, FARM GATE (kg CO2e/kg)","GHGE, processor gate (kg CO2e/kg)"),INDIRECT($K112)),GETPIVOTDATA(IF($J112=1,"ACTIVE     GHGE, FARM GATE (kg CO2e/kg)","Count of GHGE, processor gate (kg CO2e/kg)"),'[1]Pivot Table_GHG'!$A$3,"SUB TYPE",$B112))</f>
        <v/>
      </c>
      <c r="R112" s="94">
        <f>IF($P112="PROXY",DAVERAGE('[1]literature entries'!$D:$AI,IF($J112=1,"ACTIVE     GHGE, FARM GATE (kg CO2e/kg)","GHGE, processor gate (kg CO2e/kg)"),INDIRECT($K112)),GETPIVOTDATA(IF($J112=1,"Average of ACTIVE     GHGE, FARM GATE (kg CO2e/kg)","Average of GHGE, processor gate (kg CO2e/kg)"),'[1]Pivot Table_GHG'!$A$3,"SUB TYPE",$B112))</f>
        <v/>
      </c>
      <c r="S112" s="94">
        <f>IF($P112="PROXY",DSTDEV('[1]literature entries'!$D:$AI,IF($J112=1,"ACTIVE     GHGE, FARM GATE (kg CO2e/kg)","GHGE, processor gate (kg CO2e/kg)"),INDIRECT($K112)),GETPIVOTDATA(IF($J112=1,"StdDev of ACTIVE     GHGE, FARM GATE (kg CO2e/kg)","StdDev of GHGE, processor gate (kg CO2e/kg)"),'[1]Pivot Table_GHG'!$A$3,"SUB TYPE",$B112))</f>
        <v/>
      </c>
      <c r="T112" s="105" t="n"/>
      <c r="U112" s="106" t="n"/>
      <c r="V112" s="97" t="n"/>
      <c r="W112" s="98" t="inlineStr">
        <is>
          <t>cucurbits</t>
        </is>
      </c>
      <c r="X112" s="98">
        <f>IF($W112="DIRECT",M112,DCOUNT('[1]literature entries'!$D:$AI,IF($J112=1,"ACTIVE     CED, FARM GATE (MJ/kg)","CED, processor gate (MJ/kg)"),INDIRECT($W112)))</f>
        <v/>
      </c>
      <c r="Y112" s="98">
        <f>IF($W112="DIRECT","",DAVERAGE('[1]literature entries'!$D:$AI,IF($J112=1,"ACTIVE     CED, FARM GATE (MJ/kg)","CED, processor gate (MJ/kg)"),INDIRECT($W112)))</f>
        <v/>
      </c>
      <c r="Z112" s="98">
        <f>IF($W112="DIRECT",$O112,DSTDEV('[1]literature entries'!$D:$AI,IF($J112=1,"ACTIVE     CED, FARM GATE (MJ/kg)","CED, processor gate (MJ/kg)"),INDIRECT($W112)))</f>
        <v/>
      </c>
      <c r="AA112" s="98">
        <f>IF($W112="DIRECT",$O112,$Z112/$Y112*$N112)</f>
        <v/>
      </c>
      <c r="AB112" s="99" t="inlineStr">
        <is>
          <t>cucurbits</t>
        </is>
      </c>
      <c r="AC112" s="99">
        <f>IF($AB112="DIRECT",Q112,DCOUNT('[1]literature entries'!$D:$AI,IF($J112=1,"ACTIVE     GHGE, FARM GATE (kg CO2e/kg)","GHGE, processor gate (kg CO2e/kg)"),INDIRECT($AB112)))</f>
        <v/>
      </c>
      <c r="AD112" s="99">
        <f>IF($AB112="DIRECT","",DAVERAGE('[1]literature entries'!$D:$AI,IF($J112=1,"ACTIVE     GHGE, FARM GATE (kg CO2e/kg)","GHGE, processor gate (kg CO2e/kg)"),INDIRECT($AB112)))</f>
        <v/>
      </c>
      <c r="AE112" s="99">
        <f>IF($AB112="DIRECT",$S112,DSTDEV('[1]literature entries'!$D:$AI,IF($J112=1,"ACTIVE     GHGE, FARM GATE (kg CO2e/kg)","GHGE, processor gate (kg CO2e/kg)"),INDIRECT($AB112)))</f>
        <v/>
      </c>
      <c r="AF112" s="99">
        <f>IF($AB112="DIRECT",$S112,$AE112/$AD112*$R112)</f>
        <v/>
      </c>
    </row>
    <row r="113" ht="15.75" customHeight="1" s="201">
      <c r="A113" s="100" t="n">
        <v>902088000</v>
      </c>
      <c r="B113" s="101" t="inlineStr">
        <is>
          <t>Chayote, fruit</t>
        </is>
      </c>
      <c r="C113" s="101" t="inlineStr">
        <is>
          <t>weight of fruit</t>
        </is>
      </c>
      <c r="D113" s="101" t="inlineStr">
        <is>
          <t>Also called Christophine, and Mirliton.</t>
        </is>
      </c>
      <c r="E113" s="101" t="n">
        <v>38</v>
      </c>
      <c r="F113" s="84">
        <f>N113*H113+T113</f>
        <v/>
      </c>
      <c r="G113" s="85">
        <f>R113*H113+U113</f>
        <v/>
      </c>
      <c r="H113" s="102" t="n">
        <v>1</v>
      </c>
      <c r="I113" s="103" t="inlineStr">
        <is>
          <t>None</t>
        </is>
      </c>
      <c r="J113" s="104" t="n">
        <v>1</v>
      </c>
      <c r="K113" s="89" t="inlineStr">
        <is>
          <t>cucumber</t>
        </is>
      </c>
      <c r="L113" s="90">
        <f>IF(ISERROR(GETPIVOTDATA(IF($J113=1,"Count of ACTIVE     CED, FARM GATE (MJ/kg)","Count of CED, processor gate (MJ/kg)"),'[1]Pivot Table_CED'!$A$3,"SUB TYPE",$B113)),"PROXY",IF(GETPIVOTDATA(IF($J113=1,"Count of ACTIVE     CED, FARM GATE (MJ/kg)","Count of CED, processor gate (MJ/kg)"),'[1]Pivot Table_CED'!$A$3,"SUB TYPE",$B113)=0,"PROXY","DB value"))</f>
        <v/>
      </c>
      <c r="M113" s="91">
        <f>IF($L113="PROXY",DCOUNT('[1]literature entries'!$D:$AI,IF($J113=1,"ACTIVE     CED, FARM GATE (MJ/kg)","CED, processor gate (MJ/kg)"),INDIRECT($K113)),GETPIVOTDATA(IF($J113=1,"Count of ACTIVE     CED, FARM GATE (MJ/kg)","Count of CED, processor gate (MJ/kg)"),'[1]Pivot Table_CED'!$A$3,"SUB TYPE",$B113))</f>
        <v/>
      </c>
      <c r="N113" s="92">
        <f>IF($L113="PROXY",DAVERAGE('[1]literature entries'!$D:$AI,IF($J113=1,"ACTIVE     CED, FARM GATE (MJ/kg)","CED, processor gate (MJ/kg)"),INDIRECT($K113)),GETPIVOTDATA(IF($J113=1,"Average of ACTIVE     CED, FARM GATE (MJ/kg)","Average of CED, processor gate (MJ/kg)"),'[1]Pivot Table_CED'!$A$3,"SUB TYPE",$B113))</f>
        <v/>
      </c>
      <c r="O113" s="92">
        <f>IF($L113="PROXY",DSTDEV('[1]literature entries'!D:AI,IF($J113=1,"ACTIVE     CED, FARM GATE (MJ/kg)","CED, processor gate (MJ/kg)"),INDIRECT($K113)),GETPIVOTDATA(IF($J113=1,"StdDev of ACTIVE     CED, FARM GATE (MJ/kg)","StdDev of CED, processor gate (MJ/kg)"),'[1]Pivot Table_CED'!$A$3,"SUB TYPE",$B113))</f>
        <v/>
      </c>
      <c r="P113" s="90">
        <f>IF(ISERROR(GETPIVOTDATA(IF($J113=1,"Count of ACTIVE     GHGE, FARM GATE (kg CO2e/kg)","Count of GHGE, processor gate (kg CO2e/kg)"),'[1]Pivot Table_GHG'!$A$3,"SUB TYPE",$B113)),"PROXY",IF(GETPIVOTDATA(IF($J113=1,"Count of ACTIVE     GHGE, FARM GATE (kg CO2e/kg)","Count of GHGE, processor gate (kg CO2e/kg)"),'[1]Pivot Table_GHG'!$A$3,"SUB TYPE",$B113)=0,"PROXY","DB value"))</f>
        <v/>
      </c>
      <c r="Q113" s="93">
        <f>IF($P113="PROXY",DCOUNT('[1]literature entries'!$D:$AI,IF($J113=1,"ACTIVE     GHGE, FARM GATE (kg CO2e/kg)","GHGE, processor gate (kg CO2e/kg)"),INDIRECT($K113)),GETPIVOTDATA(IF($J113=1,"ACTIVE     GHGE, FARM GATE (kg CO2e/kg)","Count of GHGE, processor gate (kg CO2e/kg)"),'[1]Pivot Table_GHG'!$A$3,"SUB TYPE",$B113))</f>
        <v/>
      </c>
      <c r="R113" s="94">
        <f>IF($P113="PROXY",DAVERAGE('[1]literature entries'!$D:$AI,IF($J113=1,"ACTIVE     GHGE, FARM GATE (kg CO2e/kg)","GHGE, processor gate (kg CO2e/kg)"),INDIRECT($K113)),GETPIVOTDATA(IF($J113=1,"Average of ACTIVE     GHGE, FARM GATE (kg CO2e/kg)","Average of GHGE, processor gate (kg CO2e/kg)"),'[1]Pivot Table_GHG'!$A$3,"SUB TYPE",$B113))</f>
        <v/>
      </c>
      <c r="S113" s="94">
        <f>IF($P113="PROXY",DSTDEV('[1]literature entries'!$D:$AI,IF($J113=1,"ACTIVE     GHGE, FARM GATE (kg CO2e/kg)","GHGE, processor gate (kg CO2e/kg)"),INDIRECT($K113)),GETPIVOTDATA(IF($J113=1,"StdDev of ACTIVE     GHGE, FARM GATE (kg CO2e/kg)","StdDev of GHGE, processor gate (kg CO2e/kg)"),'[1]Pivot Table_GHG'!$A$3,"SUB TYPE",$B113))</f>
        <v/>
      </c>
      <c r="T113" s="105" t="n"/>
      <c r="U113" s="106" t="n"/>
      <c r="V113" s="97" t="n"/>
      <c r="W113" s="98" t="inlineStr">
        <is>
          <t>cucurbits</t>
        </is>
      </c>
      <c r="X113" s="98">
        <f>IF($W113="DIRECT",M113,DCOUNT('[1]literature entries'!$D:$AI,IF($J113=1,"ACTIVE     CED, FARM GATE (MJ/kg)","CED, processor gate (MJ/kg)"),INDIRECT($W113)))</f>
        <v/>
      </c>
      <c r="Y113" s="98">
        <f>IF($W113="DIRECT","",DAVERAGE('[1]literature entries'!$D:$AI,IF($J113=1,"ACTIVE     CED, FARM GATE (MJ/kg)","CED, processor gate (MJ/kg)"),INDIRECT($W113)))</f>
        <v/>
      </c>
      <c r="Z113" s="98">
        <f>IF($W113="DIRECT",$O113,DSTDEV('[1]literature entries'!$D:$AI,IF($J113=1,"ACTIVE     CED, FARM GATE (MJ/kg)","CED, processor gate (MJ/kg)"),INDIRECT($W113)))</f>
        <v/>
      </c>
      <c r="AA113" s="98">
        <f>IF($W113="DIRECT",$O113,$Z113/$Y113*$N113)</f>
        <v/>
      </c>
      <c r="AB113" s="99" t="inlineStr">
        <is>
          <t>cucurbits</t>
        </is>
      </c>
      <c r="AC113" s="99">
        <f>IF($AB113="DIRECT",Q113,DCOUNT('[1]literature entries'!$D:$AI,IF($J113=1,"ACTIVE     GHGE, FARM GATE (kg CO2e/kg)","GHGE, processor gate (kg CO2e/kg)"),INDIRECT($AB113)))</f>
        <v/>
      </c>
      <c r="AD113" s="99">
        <f>IF($AB113="DIRECT","",DAVERAGE('[1]literature entries'!$D:$AI,IF($J113=1,"ACTIVE     GHGE, FARM GATE (kg CO2e/kg)","GHGE, processor gate (kg CO2e/kg)"),INDIRECT($AB113)))</f>
        <v/>
      </c>
      <c r="AE113" s="99">
        <f>IF($AB113="DIRECT",$S113,DSTDEV('[1]literature entries'!$D:$AI,IF($J113=1,"ACTIVE     GHGE, FARM GATE (kg CO2e/kg)","GHGE, processor gate (kg CO2e/kg)"),INDIRECT($AB113)))</f>
        <v/>
      </c>
      <c r="AF113" s="99">
        <f>IF($AB113="DIRECT",$S113,$AE113/$AD113*$R113)</f>
        <v/>
      </c>
    </row>
    <row r="114" ht="15.75" customHeight="1" s="201">
      <c r="A114" s="100" t="n">
        <v>902102000</v>
      </c>
      <c r="B114" s="101" t="inlineStr">
        <is>
          <t>Chinese waxgourd</t>
        </is>
      </c>
      <c r="C114" s="101" t="inlineStr">
        <is>
          <t>weight of flesh; including or excluding peel</t>
        </is>
      </c>
      <c r="D114" s="101" t="inlineStr">
        <is>
          <t>Includes Togan and wintermelon.</t>
        </is>
      </c>
      <c r="E114" s="101" t="n">
        <v>2</v>
      </c>
      <c r="F114" s="84">
        <f>N114*H114+T114</f>
        <v/>
      </c>
      <c r="G114" s="85">
        <f>R114*H114+U114</f>
        <v/>
      </c>
      <c r="H114" s="102" t="n">
        <v>1.42</v>
      </c>
      <c r="I114" s="102" t="inlineStr">
        <is>
          <t>FICRCD</t>
        </is>
      </c>
      <c r="J114" s="104" t="n">
        <v>1</v>
      </c>
      <c r="K114" s="89" t="inlineStr">
        <is>
          <t>squash</t>
        </is>
      </c>
      <c r="L114" s="90">
        <f>IF(ISERROR(GETPIVOTDATA(IF($J114=1,"Count of ACTIVE     CED, FARM GATE (MJ/kg)","Count of CED, processor gate (MJ/kg)"),'[1]Pivot Table_CED'!$A$3,"SUB TYPE",$B114)),"PROXY",IF(GETPIVOTDATA(IF($J114=1,"Count of ACTIVE     CED, FARM GATE (MJ/kg)","Count of CED, processor gate (MJ/kg)"),'[1]Pivot Table_CED'!$A$3,"SUB TYPE",$B114)=0,"PROXY","DB value"))</f>
        <v/>
      </c>
      <c r="M114" s="91">
        <f>IF($L114="PROXY",DCOUNT('[1]literature entries'!$D:$AI,IF($J114=1,"ACTIVE     CED, FARM GATE (MJ/kg)","CED, processor gate (MJ/kg)"),INDIRECT($K114)),GETPIVOTDATA(IF($J114=1,"Count of ACTIVE     CED, FARM GATE (MJ/kg)","Count of CED, processor gate (MJ/kg)"),'[1]Pivot Table_CED'!$A$3,"SUB TYPE",$B114))</f>
        <v/>
      </c>
      <c r="N114" s="92">
        <f>IF($L114="PROXY",DAVERAGE('[1]literature entries'!$D:$AI,IF($J114=1,"ACTIVE     CED, FARM GATE (MJ/kg)","CED, processor gate (MJ/kg)"),INDIRECT($K114)),GETPIVOTDATA(IF($J114=1,"Average of ACTIVE     CED, FARM GATE (MJ/kg)","Average of CED, processor gate (MJ/kg)"),'[1]Pivot Table_CED'!$A$3,"SUB TYPE",$B114))</f>
        <v/>
      </c>
      <c r="O114" s="92">
        <f>IF($L114="PROXY",DSTDEV('[1]literature entries'!D:AI,IF($J114=1,"ACTIVE     CED, FARM GATE (MJ/kg)","CED, processor gate (MJ/kg)"),INDIRECT($K114)),GETPIVOTDATA(IF($J114=1,"StdDev of ACTIVE     CED, FARM GATE (MJ/kg)","StdDev of CED, processor gate (MJ/kg)"),'[1]Pivot Table_CED'!$A$3,"SUB TYPE",$B114))</f>
        <v/>
      </c>
      <c r="P114" s="90">
        <f>IF(ISERROR(GETPIVOTDATA(IF($J114=1,"Count of ACTIVE     GHGE, FARM GATE (kg CO2e/kg)","Count of GHGE, processor gate (kg CO2e/kg)"),'[1]Pivot Table_GHG'!$A$3,"SUB TYPE",$B114)),"PROXY",IF(GETPIVOTDATA(IF($J114=1,"Count of ACTIVE     GHGE, FARM GATE (kg CO2e/kg)","Count of GHGE, processor gate (kg CO2e/kg)"),'[1]Pivot Table_GHG'!$A$3,"SUB TYPE",$B114)=0,"PROXY","DB value"))</f>
        <v/>
      </c>
      <c r="Q114" s="93">
        <f>IF($P114="PROXY",DCOUNT('[1]literature entries'!$D:$AI,IF($J114=1,"ACTIVE     GHGE, FARM GATE (kg CO2e/kg)","GHGE, processor gate (kg CO2e/kg)"),INDIRECT($K114)),GETPIVOTDATA(IF($J114=1,"ACTIVE     GHGE, FARM GATE (kg CO2e/kg)","Count of GHGE, processor gate (kg CO2e/kg)"),'[1]Pivot Table_GHG'!$A$3,"SUB TYPE",$B114))</f>
        <v/>
      </c>
      <c r="R114" s="94">
        <f>IF($P114="PROXY",DAVERAGE('[1]literature entries'!$D:$AI,IF($J114=1,"ACTIVE     GHGE, FARM GATE (kg CO2e/kg)","GHGE, processor gate (kg CO2e/kg)"),INDIRECT($K114)),GETPIVOTDATA(IF($J114=1,"Average of ACTIVE     GHGE, FARM GATE (kg CO2e/kg)","Average of GHGE, processor gate (kg CO2e/kg)"),'[1]Pivot Table_GHG'!$A$3,"SUB TYPE",$B114))</f>
        <v/>
      </c>
      <c r="S114" s="94">
        <f>IF($P114="PROXY",DSTDEV('[1]literature entries'!$D:$AI,IF($J114=1,"ACTIVE     GHGE, FARM GATE (kg CO2e/kg)","GHGE, processor gate (kg CO2e/kg)"),INDIRECT($K114)),GETPIVOTDATA(IF($J114=1,"StdDev of ACTIVE     GHGE, FARM GATE (kg CO2e/kg)","StdDev of GHGE, processor gate (kg CO2e/kg)"),'[1]Pivot Table_GHG'!$A$3,"SUB TYPE",$B114))</f>
        <v/>
      </c>
      <c r="T114" s="105" t="n"/>
      <c r="U114" s="106" t="n"/>
      <c r="V114" s="97" t="n"/>
      <c r="W114" s="98" t="inlineStr">
        <is>
          <t>cucurbits</t>
        </is>
      </c>
      <c r="X114" s="98">
        <f>IF($W114="DIRECT",M114,DCOUNT('[1]literature entries'!$D:$AI,IF($J114=1,"ACTIVE     CED, FARM GATE (MJ/kg)","CED, processor gate (MJ/kg)"),INDIRECT($W114)))</f>
        <v/>
      </c>
      <c r="Y114" s="98">
        <f>IF($W114="DIRECT","",DAVERAGE('[1]literature entries'!$D:$AI,IF($J114=1,"ACTIVE     CED, FARM GATE (MJ/kg)","CED, processor gate (MJ/kg)"),INDIRECT($W114)))</f>
        <v/>
      </c>
      <c r="Z114" s="98">
        <f>IF($W114="DIRECT",$O114,DSTDEV('[1]literature entries'!$D:$AI,IF($J114=1,"ACTIVE     CED, FARM GATE (MJ/kg)","CED, processor gate (MJ/kg)"),INDIRECT($W114)))</f>
        <v/>
      </c>
      <c r="AA114" s="98">
        <f>IF($W114="DIRECT",$O114,$Z114/$Y114*$N114)</f>
        <v/>
      </c>
      <c r="AB114" s="99" t="inlineStr">
        <is>
          <t>cucurbits</t>
        </is>
      </c>
      <c r="AC114" s="99">
        <f>IF($AB114="DIRECT",Q114,DCOUNT('[1]literature entries'!$D:$AI,IF($J114=1,"ACTIVE     GHGE, FARM GATE (kg CO2e/kg)","GHGE, processor gate (kg CO2e/kg)"),INDIRECT($AB114)))</f>
        <v/>
      </c>
      <c r="AD114" s="99">
        <f>IF($AB114="DIRECT","",DAVERAGE('[1]literature entries'!$D:$AI,IF($J114=1,"ACTIVE     GHGE, FARM GATE (kg CO2e/kg)","GHGE, processor gate (kg CO2e/kg)"),INDIRECT($AB114)))</f>
        <v/>
      </c>
      <c r="AE114" s="99">
        <f>IF($AB114="DIRECT",$S114,DSTDEV('[1]literature entries'!$D:$AI,IF($J114=1,"ACTIVE     GHGE, FARM GATE (kg CO2e/kg)","GHGE, processor gate (kg CO2e/kg)"),INDIRECT($AB114)))</f>
        <v/>
      </c>
      <c r="AF114" s="99">
        <f>IF($AB114="DIRECT",$S114,$AE114/$AD114*$R114)</f>
        <v/>
      </c>
    </row>
    <row r="115" ht="15.75" customHeight="1" s="201">
      <c r="A115" s="100" t="n">
        <v>902135000</v>
      </c>
      <c r="B115" s="101" t="inlineStr">
        <is>
          <t>Cucumber</t>
        </is>
      </c>
      <c r="C115" s="101" t="inlineStr">
        <is>
          <t>weight of flesh and seeds; including or excluding peel</t>
        </is>
      </c>
      <c r="D115" s="101" t="n"/>
      <c r="E115" s="101" t="n">
        <v>9894</v>
      </c>
      <c r="F115" s="84">
        <f>N115*H115+T115</f>
        <v/>
      </c>
      <c r="G115" s="85">
        <f>R115*H115+U115</f>
        <v/>
      </c>
      <c r="H115" s="102" t="n">
        <v>1.03</v>
      </c>
      <c r="I115" s="102" t="inlineStr">
        <is>
          <t>FICRCD</t>
        </is>
      </c>
      <c r="J115" s="104" t="n">
        <v>1</v>
      </c>
      <c r="K115" s="89" t="n"/>
      <c r="L115" s="90">
        <f>IF(ISERROR(GETPIVOTDATA(IF($J115=1,"Count of ACTIVE     CED, FARM GATE (MJ/kg)","Count of CED, processor gate (MJ/kg)"),'[1]Pivot Table_CED'!$A$3,"SUB TYPE",$B115)),"PROXY",IF(GETPIVOTDATA(IF($J115=1,"Count of ACTIVE     CED, FARM GATE (MJ/kg)","Count of CED, processor gate (MJ/kg)"),'[1]Pivot Table_CED'!$A$3,"SUB TYPE",$B115)=0,"PROXY","DB value"))</f>
        <v/>
      </c>
      <c r="M115" s="91">
        <f>IF($L115="PROXY",DCOUNT('[1]literature entries'!$D:$AI,IF($J115=1,"ACTIVE     CED, FARM GATE (MJ/kg)","CED, processor gate (MJ/kg)"),INDIRECT($K115)),GETPIVOTDATA(IF($J115=1,"Count of ACTIVE     CED, FARM GATE (MJ/kg)","Count of CED, processor gate (MJ/kg)"),'[1]Pivot Table_CED'!$A$3,"SUB TYPE",$B115))</f>
        <v/>
      </c>
      <c r="N115" s="92">
        <f>IF($L115="PROXY",DAVERAGE('[1]literature entries'!$D:$AI,IF($J115=1,"ACTIVE     CED, FARM GATE (MJ/kg)","CED, processor gate (MJ/kg)"),INDIRECT($K115)),GETPIVOTDATA(IF($J115=1,"Average of ACTIVE     CED, FARM GATE (MJ/kg)","Average of CED, processor gate (MJ/kg)"),'[1]Pivot Table_CED'!$A$3,"SUB TYPE",$B115))</f>
        <v/>
      </c>
      <c r="O115" s="92">
        <f>IF($L115="PROXY",DSTDEV('[1]literature entries'!D:AI,IF($J115=1,"ACTIVE     CED, FARM GATE (MJ/kg)","CED, processor gate (MJ/kg)"),INDIRECT($K115)),GETPIVOTDATA(IF($J115=1,"StdDev of ACTIVE     CED, FARM GATE (MJ/kg)","StdDev of CED, processor gate (MJ/kg)"),'[1]Pivot Table_CED'!$A$3,"SUB TYPE",$B115))</f>
        <v/>
      </c>
      <c r="P115" s="90">
        <f>IF(ISERROR(GETPIVOTDATA(IF($J115=1,"Count of ACTIVE     GHGE, FARM GATE (kg CO2e/kg)","Count of GHGE, processor gate (kg CO2e/kg)"),'[1]Pivot Table_GHG'!$A$3,"SUB TYPE",$B115)),"PROXY",IF(GETPIVOTDATA(IF($J115=1,"Count of ACTIVE     GHGE, FARM GATE (kg CO2e/kg)","Count of GHGE, processor gate (kg CO2e/kg)"),'[1]Pivot Table_GHG'!$A$3,"SUB TYPE",$B115)=0,"PROXY","DB value"))</f>
        <v/>
      </c>
      <c r="Q115" s="93">
        <f>IF($P115="PROXY",DCOUNT('[1]literature entries'!$D:$AI,IF($J115=1,"ACTIVE     GHGE, FARM GATE (kg CO2e/kg)","GHGE, processor gate (kg CO2e/kg)"),INDIRECT($K115)),GETPIVOTDATA(IF($J115=1,"ACTIVE     GHGE, FARM GATE (kg CO2e/kg)","Count of GHGE, processor gate (kg CO2e/kg)"),'[1]Pivot Table_GHG'!$A$3,"SUB TYPE",$B115))</f>
        <v/>
      </c>
      <c r="R115" s="94">
        <f>IF($P115="PROXY",DAVERAGE('[1]literature entries'!$D:$AI,IF($J115=1,"ACTIVE     GHGE, FARM GATE (kg CO2e/kg)","GHGE, processor gate (kg CO2e/kg)"),INDIRECT($K115)),GETPIVOTDATA(IF($J115=1,"Average of ACTIVE     GHGE, FARM GATE (kg CO2e/kg)","Average of GHGE, processor gate (kg CO2e/kg)"),'[1]Pivot Table_GHG'!$A$3,"SUB TYPE",$B115))</f>
        <v/>
      </c>
      <c r="S115" s="94">
        <f>IF($P115="PROXY",DSTDEV('[1]literature entries'!$D:$AI,IF($J115=1,"ACTIVE     GHGE, FARM GATE (kg CO2e/kg)","GHGE, processor gate (kg CO2e/kg)"),INDIRECT($K115)),GETPIVOTDATA(IF($J115=1,"StdDev of ACTIVE     GHGE, FARM GATE (kg CO2e/kg)","StdDev of GHGE, processor gate (kg CO2e/kg)"),'[1]Pivot Table_GHG'!$A$3,"SUB TYPE",$B115))</f>
        <v/>
      </c>
      <c r="T115" s="105" t="n"/>
      <c r="U115" s="106" t="n"/>
      <c r="V115" s="97" t="n"/>
      <c r="W115" s="98" t="inlineStr">
        <is>
          <t>cucurbits</t>
        </is>
      </c>
      <c r="X115" s="98">
        <f>IF($W115="DIRECT",M115,DCOUNT('[1]literature entries'!$D:$AI,IF($J115=1,"ACTIVE     CED, FARM GATE (MJ/kg)","CED, processor gate (MJ/kg)"),INDIRECT($W115)))</f>
        <v/>
      </c>
      <c r="Y115" s="98">
        <f>IF($W115="DIRECT","",DAVERAGE('[1]literature entries'!$D:$AI,IF($J115=1,"ACTIVE     CED, FARM GATE (MJ/kg)","CED, processor gate (MJ/kg)"),INDIRECT($W115)))</f>
        <v/>
      </c>
      <c r="Z115" s="98">
        <f>IF($W115="DIRECT",$O115,DSTDEV('[1]literature entries'!$D:$AI,IF($J115=1,"ACTIVE     CED, FARM GATE (MJ/kg)","CED, processor gate (MJ/kg)"),INDIRECT($W115)))</f>
        <v/>
      </c>
      <c r="AA115" s="98">
        <f>IF($W115="DIRECT",$O115,$Z115/$Y115*$N115)</f>
        <v/>
      </c>
      <c r="AB115" s="99" t="inlineStr">
        <is>
          <t>cucurbits</t>
        </is>
      </c>
      <c r="AC115" s="99">
        <f>IF($AB115="DIRECT",Q115,DCOUNT('[1]literature entries'!$D:$AI,IF($J115=1,"ACTIVE     GHGE, FARM GATE (kg CO2e/kg)","GHGE, processor gate (kg CO2e/kg)"),INDIRECT($AB115)))</f>
        <v/>
      </c>
      <c r="AD115" s="99">
        <f>IF($AB115="DIRECT","",DAVERAGE('[1]literature entries'!$D:$AI,IF($J115=1,"ACTIVE     GHGE, FARM GATE (kg CO2e/kg)","GHGE, processor gate (kg CO2e/kg)"),INDIRECT($AB115)))</f>
        <v/>
      </c>
      <c r="AE115" s="99">
        <f>IF($AB115="DIRECT",$S115,DSTDEV('[1]literature entries'!$D:$AI,IF($J115=1,"ACTIVE     GHGE, FARM GATE (kg CO2e/kg)","GHGE, processor gate (kg CO2e/kg)"),INDIRECT($AB115)))</f>
        <v/>
      </c>
      <c r="AF115" s="99">
        <f>IF($AB115="DIRECT",$S115,$AE115/$AD115*$R115)</f>
        <v/>
      </c>
    </row>
    <row r="116" ht="15.75" customHeight="1" s="201">
      <c r="A116" s="100" t="n">
        <v>902308000</v>
      </c>
      <c r="B116" s="101" t="inlineStr">
        <is>
          <t>Pumpkin</t>
        </is>
      </c>
      <c r="C116" s="101" t="inlineStr">
        <is>
          <t>weight of pulp; excluding seeds and rind</t>
        </is>
      </c>
      <c r="D116" s="101" t="n"/>
      <c r="E116" s="101" t="n">
        <v>367</v>
      </c>
      <c r="F116" s="84">
        <f>N116*H116+T116</f>
        <v/>
      </c>
      <c r="G116" s="85">
        <f>R116*H116+U116</f>
        <v/>
      </c>
      <c r="H116" s="102" t="n">
        <v>1.43</v>
      </c>
      <c r="I116" s="102" t="inlineStr">
        <is>
          <t>FICRCD</t>
        </is>
      </c>
      <c r="J116" s="104" t="n">
        <v>1</v>
      </c>
      <c r="K116" s="89" t="n"/>
      <c r="L116" s="90">
        <f>IF(ISERROR(GETPIVOTDATA(IF($J116=1,"Count of ACTIVE     CED, FARM GATE (MJ/kg)","Count of CED, processor gate (MJ/kg)"),'[1]Pivot Table_CED'!$A$3,"SUB TYPE",$B116)),"PROXY",IF(GETPIVOTDATA(IF($J116=1,"Count of ACTIVE     CED, FARM GATE (MJ/kg)","Count of CED, processor gate (MJ/kg)"),'[1]Pivot Table_CED'!$A$3,"SUB TYPE",$B116)=0,"PROXY","DB value"))</f>
        <v/>
      </c>
      <c r="M116" s="91">
        <f>IF($L116="PROXY",DCOUNT('[1]literature entries'!$D:$AI,IF($J116=1,"ACTIVE     CED, FARM GATE (MJ/kg)","CED, processor gate (MJ/kg)"),INDIRECT($K116)),GETPIVOTDATA(IF($J116=1,"Count of ACTIVE     CED, FARM GATE (MJ/kg)","Count of CED, processor gate (MJ/kg)"),'[1]Pivot Table_CED'!$A$3,"SUB TYPE",$B116))</f>
        <v/>
      </c>
      <c r="N116" s="92">
        <f>IF($L116="PROXY",DAVERAGE('[1]literature entries'!$D:$AI,IF($J116=1,"ACTIVE     CED, FARM GATE (MJ/kg)","CED, processor gate (MJ/kg)"),INDIRECT($K116)),GETPIVOTDATA(IF($J116=1,"Average of ACTIVE     CED, FARM GATE (MJ/kg)","Average of CED, processor gate (MJ/kg)"),'[1]Pivot Table_CED'!$A$3,"SUB TYPE",$B116))</f>
        <v/>
      </c>
      <c r="O116" s="92">
        <f>IF($L116="PROXY",DSTDEV('[1]literature entries'!D:AI,IF($J116=1,"ACTIVE     CED, FARM GATE (MJ/kg)","CED, processor gate (MJ/kg)"),INDIRECT($K116)),GETPIVOTDATA(IF($J116=1,"StdDev of ACTIVE     CED, FARM GATE (MJ/kg)","StdDev of CED, processor gate (MJ/kg)"),'[1]Pivot Table_CED'!$A$3,"SUB TYPE",$B116))</f>
        <v/>
      </c>
      <c r="P116" s="90">
        <f>IF(ISERROR(GETPIVOTDATA(IF($J116=1,"Count of ACTIVE     GHGE, FARM GATE (kg CO2e/kg)","Count of GHGE, processor gate (kg CO2e/kg)"),'[1]Pivot Table_GHG'!$A$3,"SUB TYPE",$B116)),"PROXY",IF(GETPIVOTDATA(IF($J116=1,"Count of ACTIVE     GHGE, FARM GATE (kg CO2e/kg)","Count of GHGE, processor gate (kg CO2e/kg)"),'[1]Pivot Table_GHG'!$A$3,"SUB TYPE",$B116)=0,"PROXY","DB value"))</f>
        <v/>
      </c>
      <c r="Q116" s="93">
        <f>IF($P116="PROXY",DCOUNT('[1]literature entries'!$D:$AI,IF($J116=1,"ACTIVE     GHGE, FARM GATE (kg CO2e/kg)","GHGE, processor gate (kg CO2e/kg)"),INDIRECT($K116)),GETPIVOTDATA(IF($J116=1,"ACTIVE     GHGE, FARM GATE (kg CO2e/kg)","Count of GHGE, processor gate (kg CO2e/kg)"),'[1]Pivot Table_GHG'!$A$3,"SUB TYPE",$B116))</f>
        <v/>
      </c>
      <c r="R116" s="94">
        <f>IF($P116="PROXY",DAVERAGE('[1]literature entries'!$D:$AI,IF($J116=1,"ACTIVE     GHGE, FARM GATE (kg CO2e/kg)","GHGE, processor gate (kg CO2e/kg)"),INDIRECT($K116)),GETPIVOTDATA(IF($J116=1,"Average of ACTIVE     GHGE, FARM GATE (kg CO2e/kg)","Average of GHGE, processor gate (kg CO2e/kg)"),'[1]Pivot Table_GHG'!$A$3,"SUB TYPE",$B116))</f>
        <v/>
      </c>
      <c r="S116" s="94">
        <f>IF($P116="PROXY",DSTDEV('[1]literature entries'!$D:$AI,IF($J116=1,"ACTIVE     GHGE, FARM GATE (kg CO2e/kg)","GHGE, processor gate (kg CO2e/kg)"),INDIRECT($K116)),GETPIVOTDATA(IF($J116=1,"StdDev of ACTIVE     GHGE, FARM GATE (kg CO2e/kg)","StdDev of GHGE, processor gate (kg CO2e/kg)"),'[1]Pivot Table_GHG'!$A$3,"SUB TYPE",$B116))</f>
        <v/>
      </c>
      <c r="T116" s="105" t="n"/>
      <c r="U116" s="106" t="n"/>
      <c r="V116" s="97" t="n"/>
      <c r="W116" s="98" t="inlineStr">
        <is>
          <t>cucurbits</t>
        </is>
      </c>
      <c r="X116" s="98">
        <f>IF($W116="DIRECT",M116,DCOUNT('[1]literature entries'!$D:$AI,IF($J116=1,"ACTIVE     CED, FARM GATE (MJ/kg)","CED, processor gate (MJ/kg)"),INDIRECT($W116)))</f>
        <v/>
      </c>
      <c r="Y116" s="98">
        <f>IF($W116="DIRECT","",DAVERAGE('[1]literature entries'!$D:$AI,IF($J116=1,"ACTIVE     CED, FARM GATE (MJ/kg)","CED, processor gate (MJ/kg)"),INDIRECT($W116)))</f>
        <v/>
      </c>
      <c r="Z116" s="98">
        <f>IF($W116="DIRECT",$O116,DSTDEV('[1]literature entries'!$D:$AI,IF($J116=1,"ACTIVE     CED, FARM GATE (MJ/kg)","CED, processor gate (MJ/kg)"),INDIRECT($W116)))</f>
        <v/>
      </c>
      <c r="AA116" s="98">
        <f>IF($W116="DIRECT",$O116,$Z116/$Y116*$N116)</f>
        <v/>
      </c>
      <c r="AB116" s="99">
        <f>IF(P116="PROXY",IF(Q116&gt;=5,K116,"need group"),IF(Q116&gt;=5,"DIRECT","need group"))</f>
        <v/>
      </c>
      <c r="AC116" s="99">
        <f>IF($AB116="DIRECT",Q116,DCOUNT('[1]literature entries'!$D:$AI,IF($J116=1,"ACTIVE     GHGE, FARM GATE (kg CO2e/kg)","GHGE, processor gate (kg CO2e/kg)"),INDIRECT($AB116)))</f>
        <v/>
      </c>
      <c r="AD116" s="99">
        <f>IF($AB116="DIRECT","",DAVERAGE('[1]literature entries'!$D:$AI,IF($J116=1,"ACTIVE     GHGE, FARM GATE (kg CO2e/kg)","GHGE, processor gate (kg CO2e/kg)"),INDIRECT($AB116)))</f>
        <v/>
      </c>
      <c r="AE116" s="99">
        <f>IF($AB116="DIRECT",$S116,DSTDEV('[1]literature entries'!$D:$AI,IF($J116=1,"ACTIVE     GHGE, FARM GATE (kg CO2e/kg)","GHGE, processor gate (kg CO2e/kg)"),INDIRECT($AB116)))</f>
        <v/>
      </c>
      <c r="AF116" s="99">
        <f>IF($AB116="DIRECT",$S116,$AE116/$AD116*$R116)</f>
        <v/>
      </c>
    </row>
    <row r="117" ht="15.75" customHeight="1" s="201">
      <c r="A117" s="100" t="n">
        <v>902309000</v>
      </c>
      <c r="B117" s="101" t="inlineStr">
        <is>
          <t>Pumpkin, seed</t>
        </is>
      </c>
      <c r="C117" s="101" t="inlineStr">
        <is>
          <t>weight of dried seed only</t>
        </is>
      </c>
      <c r="D117" s="101" t="n"/>
      <c r="E117" s="101" t="n">
        <v>231</v>
      </c>
      <c r="F117" s="84">
        <f>N117*H117+T117</f>
        <v/>
      </c>
      <c r="G117" s="85">
        <f>R117*H117+U117</f>
        <v/>
      </c>
      <c r="H117" s="102" t="n">
        <v>1</v>
      </c>
      <c r="I117" s="103" t="inlineStr">
        <is>
          <t>None</t>
        </is>
      </c>
      <c r="J117" s="104" t="n">
        <v>1</v>
      </c>
      <c r="K117" s="89" t="inlineStr">
        <is>
          <t>squash</t>
        </is>
      </c>
      <c r="L117" s="90">
        <f>IF(ISERROR(GETPIVOTDATA(IF($J117=1,"Count of ACTIVE     CED, FARM GATE (MJ/kg)","Count of CED, processor gate (MJ/kg)"),'[1]Pivot Table_CED'!$A$3,"SUB TYPE",$B117)),"PROXY",IF(GETPIVOTDATA(IF($J117=1,"Count of ACTIVE     CED, FARM GATE (MJ/kg)","Count of CED, processor gate (MJ/kg)"),'[1]Pivot Table_CED'!$A$3,"SUB TYPE",$B117)=0,"PROXY","DB value"))</f>
        <v/>
      </c>
      <c r="M117" s="91">
        <f>IF($L117="PROXY",DCOUNT('[1]literature entries'!$D:$AI,IF($J117=1,"ACTIVE     CED, FARM GATE (MJ/kg)","CED, processor gate (MJ/kg)"),INDIRECT($K117)),GETPIVOTDATA(IF($J117=1,"Count of ACTIVE     CED, FARM GATE (MJ/kg)","Count of CED, processor gate (MJ/kg)"),'[1]Pivot Table_CED'!$A$3,"SUB TYPE",$B117))</f>
        <v/>
      </c>
      <c r="N117" s="92">
        <f>IF($L117="PROXY",DAVERAGE('[1]literature entries'!$D:$AI,IF($J117=1,"ACTIVE     CED, FARM GATE (MJ/kg)","CED, processor gate (MJ/kg)"),INDIRECT($K117)),GETPIVOTDATA(IF($J117=1,"Average of ACTIVE     CED, FARM GATE (MJ/kg)","Average of CED, processor gate (MJ/kg)"),'[1]Pivot Table_CED'!$A$3,"SUB TYPE",$B117))</f>
        <v/>
      </c>
      <c r="O117" s="92">
        <f>IF($L117="PROXY",DSTDEV('[1]literature entries'!D:AI,IF($J117=1,"ACTIVE     CED, FARM GATE (MJ/kg)","CED, processor gate (MJ/kg)"),INDIRECT($K117)),GETPIVOTDATA(IF($J117=1,"StdDev of ACTIVE     CED, FARM GATE (MJ/kg)","StdDev of CED, processor gate (MJ/kg)"),'[1]Pivot Table_CED'!$A$3,"SUB TYPE",$B117))</f>
        <v/>
      </c>
      <c r="P117" s="90">
        <f>IF(ISERROR(GETPIVOTDATA(IF($J117=1,"Count of ACTIVE     GHGE, FARM GATE (kg CO2e/kg)","Count of GHGE, processor gate (kg CO2e/kg)"),'[1]Pivot Table_GHG'!$A$3,"SUB TYPE",$B117)),"PROXY",IF(GETPIVOTDATA(IF($J117=1,"Count of ACTIVE     GHGE, FARM GATE (kg CO2e/kg)","Count of GHGE, processor gate (kg CO2e/kg)"),'[1]Pivot Table_GHG'!$A$3,"SUB TYPE",$B117)=0,"PROXY","DB value"))</f>
        <v/>
      </c>
      <c r="Q117" s="93">
        <f>IF($P117="PROXY",DCOUNT('[1]literature entries'!$D:$AI,IF($J117=1,"ACTIVE     GHGE, FARM GATE (kg CO2e/kg)","GHGE, processor gate (kg CO2e/kg)"),INDIRECT($K117)),GETPIVOTDATA(IF($J117=1,"ACTIVE     GHGE, FARM GATE (kg CO2e/kg)","Count of GHGE, processor gate (kg CO2e/kg)"),'[1]Pivot Table_GHG'!$A$3,"SUB TYPE",$B117))</f>
        <v/>
      </c>
      <c r="R117" s="94">
        <f>IF($P117="PROXY",DAVERAGE('[1]literature entries'!$D:$AI,IF($J117=1,"ACTIVE     GHGE, FARM GATE (kg CO2e/kg)","GHGE, processor gate (kg CO2e/kg)"),INDIRECT($K117)),GETPIVOTDATA(IF($J117=1,"Average of ACTIVE     GHGE, FARM GATE (kg CO2e/kg)","Average of GHGE, processor gate (kg CO2e/kg)"),'[1]Pivot Table_GHG'!$A$3,"SUB TYPE",$B117))</f>
        <v/>
      </c>
      <c r="S117" s="94">
        <f>IF($P117="PROXY",DSTDEV('[1]literature entries'!$D:$AI,IF($J117=1,"ACTIVE     GHGE, FARM GATE (kg CO2e/kg)","GHGE, processor gate (kg CO2e/kg)"),INDIRECT($K117)),GETPIVOTDATA(IF($J117=1,"StdDev of ACTIVE     GHGE, FARM GATE (kg CO2e/kg)","StdDev of GHGE, processor gate (kg CO2e/kg)"),'[1]Pivot Table_GHG'!$A$3,"SUB TYPE",$B117))</f>
        <v/>
      </c>
      <c r="T117" s="105" t="n"/>
      <c r="U117" s="106" t="n"/>
      <c r="V117" s="97" t="n"/>
      <c r="W117" s="98" t="inlineStr">
        <is>
          <t>cucurbits</t>
        </is>
      </c>
      <c r="X117" s="98">
        <f>IF($W117="DIRECT",M117,DCOUNT('[1]literature entries'!$D:$AI,IF($J117=1,"ACTIVE     CED, FARM GATE (MJ/kg)","CED, processor gate (MJ/kg)"),INDIRECT($W117)))</f>
        <v/>
      </c>
      <c r="Y117" s="98">
        <f>IF($W117="DIRECT","",DAVERAGE('[1]literature entries'!$D:$AI,IF($J117=1,"ACTIVE     CED, FARM GATE (MJ/kg)","CED, processor gate (MJ/kg)"),INDIRECT($W117)))</f>
        <v/>
      </c>
      <c r="Z117" s="98">
        <f>IF($W117="DIRECT",$O117,DSTDEV('[1]literature entries'!$D:$AI,IF($J117=1,"ACTIVE     CED, FARM GATE (MJ/kg)","CED, processor gate (MJ/kg)"),INDIRECT($W117)))</f>
        <v/>
      </c>
      <c r="AA117" s="98">
        <f>IF($W117="DIRECT",$O117,$Z117/$Y117*$N117)</f>
        <v/>
      </c>
      <c r="AB117" s="99" t="inlineStr">
        <is>
          <t>cucurbits</t>
        </is>
      </c>
      <c r="AC117" s="99">
        <f>IF($AB117="DIRECT",Q117,DCOUNT('[1]literature entries'!$D:$AI,IF($J117=1,"ACTIVE     GHGE, FARM GATE (kg CO2e/kg)","GHGE, processor gate (kg CO2e/kg)"),INDIRECT($AB117)))</f>
        <v/>
      </c>
      <c r="AD117" s="99">
        <f>IF($AB117="DIRECT","",DAVERAGE('[1]literature entries'!$D:$AI,IF($J117=1,"ACTIVE     GHGE, FARM GATE (kg CO2e/kg)","GHGE, processor gate (kg CO2e/kg)"),INDIRECT($AB117)))</f>
        <v/>
      </c>
      <c r="AE117" s="99">
        <f>IF($AB117="DIRECT",$S117,DSTDEV('[1]literature entries'!$D:$AI,IF($J117=1,"ACTIVE     GHGE, FARM GATE (kg CO2e/kg)","GHGE, processor gate (kg CO2e/kg)"),INDIRECT($AB117)))</f>
        <v/>
      </c>
      <c r="AF117" s="99">
        <f>IF($AB117="DIRECT",$S117,$AE117/$AD117*$R117)</f>
        <v/>
      </c>
    </row>
    <row r="118" ht="15.75" customHeight="1" s="201">
      <c r="A118" s="100" t="n">
        <v>902356000</v>
      </c>
      <c r="B118" s="101" t="inlineStr">
        <is>
          <t>Squash, summer</t>
        </is>
      </c>
      <c r="C118" s="101" t="inlineStr">
        <is>
          <t>weight of flesh, seeds and peel</t>
        </is>
      </c>
      <c r="D118" s="101" t="inlineStr">
        <is>
          <t>Includes crookneck squash, kampyo,  scallop squash, straightneck squash, vegetable marrow, and zucchini.</t>
        </is>
      </c>
      <c r="E118" s="101" t="n">
        <v>1642</v>
      </c>
      <c r="F118" s="84">
        <f>N118*H118+T118</f>
        <v/>
      </c>
      <c r="G118" s="85">
        <f>R118*H118+U118</f>
        <v/>
      </c>
      <c r="H118" s="102" t="n">
        <v>1.05</v>
      </c>
      <c r="I118" s="103" t="inlineStr">
        <is>
          <t>FICRCD</t>
        </is>
      </c>
      <c r="J118" s="104" t="n">
        <v>1</v>
      </c>
      <c r="K118" s="89" t="inlineStr">
        <is>
          <t>zucchini</t>
        </is>
      </c>
      <c r="L118" s="90">
        <f>IF(ISERROR(GETPIVOTDATA(IF($J118=1,"Count of ACTIVE     CED, FARM GATE (MJ/kg)","Count of CED, processor gate (MJ/kg)"),'[1]Pivot Table_CED'!$A$3,"SUB TYPE",$B118)),"PROXY",IF(GETPIVOTDATA(IF($J118=1,"Count of ACTIVE     CED, FARM GATE (MJ/kg)","Count of CED, processor gate (MJ/kg)"),'[1]Pivot Table_CED'!$A$3,"SUB TYPE",$B118)=0,"PROXY","DB value"))</f>
        <v/>
      </c>
      <c r="M118" s="91">
        <f>IF($L118="PROXY",DCOUNT('[1]literature entries'!$D:$AI,IF($J118=1,"ACTIVE     CED, FARM GATE (MJ/kg)","CED, processor gate (MJ/kg)"),INDIRECT($K118)),GETPIVOTDATA(IF($J118=1,"Count of ACTIVE     CED, FARM GATE (MJ/kg)","Count of CED, processor gate (MJ/kg)"),'[1]Pivot Table_CED'!$A$3,"SUB TYPE",$B118))</f>
        <v/>
      </c>
      <c r="N118" s="92">
        <f>IF($L118="PROXY",DAVERAGE('[1]literature entries'!$D:$AI,IF($J118=1,"ACTIVE     CED, FARM GATE (MJ/kg)","CED, processor gate (MJ/kg)"),INDIRECT($K118)),GETPIVOTDATA(IF($J118=1,"Average of ACTIVE     CED, FARM GATE (MJ/kg)","Average of CED, processor gate (MJ/kg)"),'[1]Pivot Table_CED'!$A$3,"SUB TYPE",$B118))</f>
        <v/>
      </c>
      <c r="O118" s="92">
        <f>IF($L118="PROXY",DSTDEV('[1]literature entries'!D:AI,IF($J118=1,"ACTIVE     CED, FARM GATE (MJ/kg)","CED, processor gate (MJ/kg)"),INDIRECT($K118)),GETPIVOTDATA(IF($J118=1,"StdDev of ACTIVE     CED, FARM GATE (MJ/kg)","StdDev of CED, processor gate (MJ/kg)"),'[1]Pivot Table_CED'!$A$3,"SUB TYPE",$B118))</f>
        <v/>
      </c>
      <c r="P118" s="90">
        <f>IF(ISERROR(GETPIVOTDATA(IF($J118=1,"Count of ACTIVE     GHGE, FARM GATE (kg CO2e/kg)","Count of GHGE, processor gate (kg CO2e/kg)"),'[1]Pivot Table_GHG'!$A$3,"SUB TYPE",$B118)),"PROXY",IF(GETPIVOTDATA(IF($J118=1,"Count of ACTIVE     GHGE, FARM GATE (kg CO2e/kg)","Count of GHGE, processor gate (kg CO2e/kg)"),'[1]Pivot Table_GHG'!$A$3,"SUB TYPE",$B118)=0,"PROXY","DB value"))</f>
        <v/>
      </c>
      <c r="Q118" s="93">
        <f>IF($P118="PROXY",DCOUNT('[1]literature entries'!$D:$AI,IF($J118=1,"ACTIVE     GHGE, FARM GATE (kg CO2e/kg)","GHGE, processor gate (kg CO2e/kg)"),INDIRECT($K118)),GETPIVOTDATA(IF($J118=1,"ACTIVE     GHGE, FARM GATE (kg CO2e/kg)","Count of GHGE, processor gate (kg CO2e/kg)"),'[1]Pivot Table_GHG'!$A$3,"SUB TYPE",$B118))</f>
        <v/>
      </c>
      <c r="R118" s="94">
        <f>IF($P118="PROXY",DAVERAGE('[1]literature entries'!$D:$AI,IF($J118=1,"ACTIVE     GHGE, FARM GATE (kg CO2e/kg)","GHGE, processor gate (kg CO2e/kg)"),INDIRECT($K118)),GETPIVOTDATA(IF($J118=1,"Average of ACTIVE     GHGE, FARM GATE (kg CO2e/kg)","Average of GHGE, processor gate (kg CO2e/kg)"),'[1]Pivot Table_GHG'!$A$3,"SUB TYPE",$B118))</f>
        <v/>
      </c>
      <c r="S118" s="94">
        <f>IF($P118="PROXY",DSTDEV('[1]literature entries'!$D:$AI,IF($J118=1,"ACTIVE     GHGE, FARM GATE (kg CO2e/kg)","GHGE, processor gate (kg CO2e/kg)"),INDIRECT($K118)),GETPIVOTDATA(IF($J118=1,"StdDev of ACTIVE     GHGE, FARM GATE (kg CO2e/kg)","StdDev of GHGE, processor gate (kg CO2e/kg)"),'[1]Pivot Table_GHG'!$A$3,"SUB TYPE",$B118))</f>
        <v/>
      </c>
      <c r="T118" s="105" t="n"/>
      <c r="U118" s="106" t="n"/>
      <c r="V118" s="97" t="n"/>
      <c r="W118" s="98" t="inlineStr">
        <is>
          <t>cucurbits</t>
        </is>
      </c>
      <c r="X118" s="98">
        <f>IF($W118="DIRECT",M118,DCOUNT('[1]literature entries'!$D:$AI,IF($J118=1,"ACTIVE     CED, FARM GATE (MJ/kg)","CED, processor gate (MJ/kg)"),INDIRECT($W118)))</f>
        <v/>
      </c>
      <c r="Y118" s="98">
        <f>IF($W118="DIRECT","",DAVERAGE('[1]literature entries'!$D:$AI,IF($J118=1,"ACTIVE     CED, FARM GATE (MJ/kg)","CED, processor gate (MJ/kg)"),INDIRECT($W118)))</f>
        <v/>
      </c>
      <c r="Z118" s="98">
        <f>IF($W118="DIRECT",$O118,DSTDEV('[1]literature entries'!$D:$AI,IF($J118=1,"ACTIVE     CED, FARM GATE (MJ/kg)","CED, processor gate (MJ/kg)"),INDIRECT($W118)))</f>
        <v/>
      </c>
      <c r="AA118" s="98">
        <f>IF($W118="DIRECT",$O118,$Z118/$Y118*$N118)</f>
        <v/>
      </c>
      <c r="AB118" s="99" t="inlineStr">
        <is>
          <t>cucurbits</t>
        </is>
      </c>
      <c r="AC118" s="99">
        <f>IF($AB118="DIRECT",Q118,DCOUNT('[1]literature entries'!$D:$AI,IF($J118=1,"ACTIVE     GHGE, FARM GATE (kg CO2e/kg)","GHGE, processor gate (kg CO2e/kg)"),INDIRECT($AB118)))</f>
        <v/>
      </c>
      <c r="AD118" s="99">
        <f>IF($AB118="DIRECT","",DAVERAGE('[1]literature entries'!$D:$AI,IF($J118=1,"ACTIVE     GHGE, FARM GATE (kg CO2e/kg)","GHGE, processor gate (kg CO2e/kg)"),INDIRECT($AB118)))</f>
        <v/>
      </c>
      <c r="AE118" s="99">
        <f>IF($AB118="DIRECT",$S118,DSTDEV('[1]literature entries'!$D:$AI,IF($J118=1,"ACTIVE     GHGE, FARM GATE (kg CO2e/kg)","GHGE, processor gate (kg CO2e/kg)"),INDIRECT($AB118)))</f>
        <v/>
      </c>
      <c r="AF118" s="99">
        <f>IF($AB118="DIRECT",$S118,$AE118/$AD118*$R118)</f>
        <v/>
      </c>
    </row>
    <row r="119" ht="15.75" customHeight="1" s="201">
      <c r="A119" s="100" t="n">
        <v>902357000</v>
      </c>
      <c r="B119" s="101" t="inlineStr">
        <is>
          <t>Squash, winter</t>
        </is>
      </c>
      <c r="C119" s="101" t="inlineStr">
        <is>
          <t>weight of flesh; excluding seeds and peel</t>
        </is>
      </c>
      <c r="D119" s="101" t="inlineStr">
        <is>
          <t>Includes butternut squash, hubbard squash, calabaza, acorn squash, and spaghetti squash.</t>
        </is>
      </c>
      <c r="E119" s="101" t="n">
        <v>392</v>
      </c>
      <c r="F119" s="84">
        <f>N119*H119+T119</f>
        <v/>
      </c>
      <c r="G119" s="85">
        <f>R119*H119+U119</f>
        <v/>
      </c>
      <c r="H119" s="102" t="n">
        <v>1.41</v>
      </c>
      <c r="I119" s="103" t="inlineStr">
        <is>
          <t>FICRCD</t>
        </is>
      </c>
      <c r="J119" s="104" t="n">
        <v>1</v>
      </c>
      <c r="K119" s="89" t="n"/>
      <c r="L119" s="90">
        <f>IF(ISERROR(GETPIVOTDATA(IF($J119=1,"Count of ACTIVE     CED, FARM GATE (MJ/kg)","Count of CED, processor gate (MJ/kg)"),'[1]Pivot Table_CED'!$A$3,"SUB TYPE",$B119)),"PROXY",IF(GETPIVOTDATA(IF($J119=1,"Count of ACTIVE     CED, FARM GATE (MJ/kg)","Count of CED, processor gate (MJ/kg)"),'[1]Pivot Table_CED'!$A$3,"SUB TYPE",$B119)=0,"PROXY","DB value"))</f>
        <v/>
      </c>
      <c r="M119" s="91">
        <f>IF($L119="PROXY",DCOUNT('[1]literature entries'!$D:$AI,IF($J119=1,"ACTIVE     CED, FARM GATE (MJ/kg)","CED, processor gate (MJ/kg)"),INDIRECT($K119)),GETPIVOTDATA(IF($J119=1,"Count of ACTIVE     CED, FARM GATE (MJ/kg)","Count of CED, processor gate (MJ/kg)"),'[1]Pivot Table_CED'!$A$3,"SUB TYPE",$B119))</f>
        <v/>
      </c>
      <c r="N119" s="92">
        <f>IF($L119="PROXY",DAVERAGE('[1]literature entries'!$D:$AI,IF($J119=1,"ACTIVE     CED, FARM GATE (MJ/kg)","CED, processor gate (MJ/kg)"),INDIRECT($K119)),GETPIVOTDATA(IF($J119=1,"Average of ACTIVE     CED, FARM GATE (MJ/kg)","Average of CED, processor gate (MJ/kg)"),'[1]Pivot Table_CED'!$A$3,"SUB TYPE",$B119))</f>
        <v/>
      </c>
      <c r="O119" s="92">
        <f>IF($L119="PROXY",DSTDEV('[1]literature entries'!D:AI,IF($J119=1,"ACTIVE     CED, FARM GATE (MJ/kg)","CED, processor gate (MJ/kg)"),INDIRECT($K119)),GETPIVOTDATA(IF($J119=1,"StdDev of ACTIVE     CED, FARM GATE (MJ/kg)","StdDev of CED, processor gate (MJ/kg)"),'[1]Pivot Table_CED'!$A$3,"SUB TYPE",$B119))</f>
        <v/>
      </c>
      <c r="P119" s="90">
        <f>IF(ISERROR(GETPIVOTDATA(IF($J119=1,"Count of ACTIVE     GHGE, FARM GATE (kg CO2e/kg)","Count of GHGE, processor gate (kg CO2e/kg)"),'[1]Pivot Table_GHG'!$A$3,"SUB TYPE",$B119)),"PROXY",IF(GETPIVOTDATA(IF($J119=1,"Count of ACTIVE     GHGE, FARM GATE (kg CO2e/kg)","Count of GHGE, processor gate (kg CO2e/kg)"),'[1]Pivot Table_GHG'!$A$3,"SUB TYPE",$B119)=0,"PROXY","DB value"))</f>
        <v/>
      </c>
      <c r="Q119" s="93">
        <f>IF($P119="PROXY",DCOUNT('[1]literature entries'!$D:$AI,IF($J119=1,"ACTIVE     GHGE, FARM GATE (kg CO2e/kg)","GHGE, processor gate (kg CO2e/kg)"),INDIRECT($K119)),GETPIVOTDATA(IF($J119=1,"ACTIVE     GHGE, FARM GATE (kg CO2e/kg)","Count of GHGE, processor gate (kg CO2e/kg)"),'[1]Pivot Table_GHG'!$A$3,"SUB TYPE",$B119))</f>
        <v/>
      </c>
      <c r="R119" s="94">
        <f>IF($P119="PROXY",DAVERAGE('[1]literature entries'!$D:$AI,IF($J119=1,"ACTIVE     GHGE, FARM GATE (kg CO2e/kg)","GHGE, processor gate (kg CO2e/kg)"),INDIRECT($K119)),GETPIVOTDATA(IF($J119=1,"Average of ACTIVE     GHGE, FARM GATE (kg CO2e/kg)","Average of GHGE, processor gate (kg CO2e/kg)"),'[1]Pivot Table_GHG'!$A$3,"SUB TYPE",$B119))</f>
        <v/>
      </c>
      <c r="S119" s="94">
        <f>IF($P119="PROXY",DSTDEV('[1]literature entries'!$D:$AI,IF($J119=1,"ACTIVE     GHGE, FARM GATE (kg CO2e/kg)","GHGE, processor gate (kg CO2e/kg)"),INDIRECT($K119)),GETPIVOTDATA(IF($J119=1,"StdDev of ACTIVE     GHGE, FARM GATE (kg CO2e/kg)","StdDev of GHGE, processor gate (kg CO2e/kg)"),'[1]Pivot Table_GHG'!$A$3,"SUB TYPE",$B119))</f>
        <v/>
      </c>
      <c r="T119" s="105" t="n"/>
      <c r="U119" s="106" t="n"/>
      <c r="V119" s="97" t="n"/>
      <c r="W119" s="98" t="inlineStr">
        <is>
          <t>cucurbits</t>
        </is>
      </c>
      <c r="X119" s="98">
        <f>IF($W119="DIRECT",M119,DCOUNT('[1]literature entries'!$D:$AI,IF($J119=1,"ACTIVE     CED, FARM GATE (MJ/kg)","CED, processor gate (MJ/kg)"),INDIRECT($W119)))</f>
        <v/>
      </c>
      <c r="Y119" s="98">
        <f>IF($W119="DIRECT","",DAVERAGE('[1]literature entries'!$D:$AI,IF($J119=1,"ACTIVE     CED, FARM GATE (MJ/kg)","CED, processor gate (MJ/kg)"),INDIRECT($W119)))</f>
        <v/>
      </c>
      <c r="Z119" s="98">
        <f>IF($W119="DIRECT",$O119,DSTDEV('[1]literature entries'!$D:$AI,IF($J119=1,"ACTIVE     CED, FARM GATE (MJ/kg)","CED, processor gate (MJ/kg)"),INDIRECT($W119)))</f>
        <v/>
      </c>
      <c r="AA119" s="98">
        <f>IF($W119="DIRECT",$O119,$Z119/$Y119*$N119)</f>
        <v/>
      </c>
      <c r="AB119" s="99">
        <f>IF(P119="PROXY",IF(Q119&gt;=5,K119,"need group"),IF(Q119&gt;=5,"DIRECT","need group"))</f>
        <v/>
      </c>
      <c r="AC119" s="99">
        <f>IF($AB119="DIRECT",Q119,DCOUNT('[1]literature entries'!$D:$AI,IF($J119=1,"ACTIVE     GHGE, FARM GATE (kg CO2e/kg)","GHGE, processor gate (kg CO2e/kg)"),INDIRECT($AB119)))</f>
        <v/>
      </c>
      <c r="AD119" s="99">
        <f>IF($AB119="DIRECT","",DAVERAGE('[1]literature entries'!$D:$AI,IF($J119=1,"ACTIVE     GHGE, FARM GATE (kg CO2e/kg)","GHGE, processor gate (kg CO2e/kg)"),INDIRECT($AB119)))</f>
        <v/>
      </c>
      <c r="AE119" s="99">
        <f>IF($AB119="DIRECT",$S119,DSTDEV('[1]literature entries'!$D:$AI,IF($J119=1,"ACTIVE     GHGE, FARM GATE (kg CO2e/kg)","GHGE, processor gate (kg CO2e/kg)"),INDIRECT($AB119)))</f>
        <v/>
      </c>
      <c r="AF119" s="99">
        <f>IF($AB119="DIRECT",$S119,$AE119/$AD119*$R119)</f>
        <v/>
      </c>
    </row>
    <row r="120" ht="15.75" customHeight="1" s="201">
      <c r="A120" s="100" t="n">
        <v>1001106000</v>
      </c>
      <c r="B120" s="101" t="inlineStr">
        <is>
          <t>Citron</t>
        </is>
      </c>
      <c r="C120" s="101" t="inlineStr">
        <is>
          <t>weight of pulp; excluding peel</t>
        </is>
      </c>
      <c r="D120" s="101" t="n"/>
      <c r="E120" s="101" t="n">
        <v>37</v>
      </c>
      <c r="F120" s="84">
        <f>N120*H120+T120</f>
        <v/>
      </c>
      <c r="G120" s="85">
        <f>R120*H120+U120</f>
        <v/>
      </c>
      <c r="H120" s="102" t="n">
        <v>2</v>
      </c>
      <c r="I120" s="103" t="inlineStr">
        <is>
          <t>grapefruit</t>
        </is>
      </c>
      <c r="J120" s="104" t="n">
        <v>1</v>
      </c>
      <c r="K120" s="89" t="inlineStr">
        <is>
          <t>citrus</t>
        </is>
      </c>
      <c r="L120" s="90">
        <f>IF(ISERROR(GETPIVOTDATA(IF($J120=1,"Count of ACTIVE     CED, FARM GATE (MJ/kg)","Count of CED, processor gate (MJ/kg)"),'[1]Pivot Table_CED'!$A$3,"SUB TYPE",$B120)),"PROXY",IF(GETPIVOTDATA(IF($J120=1,"Count of ACTIVE     CED, FARM GATE (MJ/kg)","Count of CED, processor gate (MJ/kg)"),'[1]Pivot Table_CED'!$A$3,"SUB TYPE",$B120)=0,"PROXY","DB value"))</f>
        <v/>
      </c>
      <c r="M120" s="91">
        <f>IF($L120="PROXY",DCOUNT('[1]literature entries'!$D:$AI,IF($J120=1,"ACTIVE     CED, FARM GATE (MJ/kg)","CED, processor gate (MJ/kg)"),INDIRECT($K120)),GETPIVOTDATA(IF($J120=1,"Count of ACTIVE     CED, FARM GATE (MJ/kg)","Count of CED, processor gate (MJ/kg)"),'[1]Pivot Table_CED'!$A$3,"SUB TYPE",$B120))</f>
        <v/>
      </c>
      <c r="N120" s="92">
        <f>IF($L120="PROXY",DAVERAGE('[1]literature entries'!$D:$AI,IF($J120=1,"ACTIVE     CED, FARM GATE (MJ/kg)","CED, processor gate (MJ/kg)"),INDIRECT($K120)),GETPIVOTDATA(IF($J120=1,"Average of ACTIVE     CED, FARM GATE (MJ/kg)","Average of CED, processor gate (MJ/kg)"),'[1]Pivot Table_CED'!$A$3,"SUB TYPE",$B120))</f>
        <v/>
      </c>
      <c r="O120" s="92">
        <f>IF($L120="PROXY",DSTDEV('[1]literature entries'!D:AI,IF($J120=1,"ACTIVE     CED, FARM GATE (MJ/kg)","CED, processor gate (MJ/kg)"),INDIRECT($K120)),GETPIVOTDATA(IF($J120=1,"StdDev of ACTIVE     CED, FARM GATE (MJ/kg)","StdDev of CED, processor gate (MJ/kg)"),'[1]Pivot Table_CED'!$A$3,"SUB TYPE",$B120))</f>
        <v/>
      </c>
      <c r="P120" s="90">
        <f>IF(ISERROR(GETPIVOTDATA(IF($J120=1,"Count of ACTIVE     GHGE, FARM GATE (kg CO2e/kg)","Count of GHGE, processor gate (kg CO2e/kg)"),'[1]Pivot Table_GHG'!$A$3,"SUB TYPE",$B120)),"PROXY",IF(GETPIVOTDATA(IF($J120=1,"Count of ACTIVE     GHGE, FARM GATE (kg CO2e/kg)","Count of GHGE, processor gate (kg CO2e/kg)"),'[1]Pivot Table_GHG'!$A$3,"SUB TYPE",$B120)=0,"PROXY","DB value"))</f>
        <v/>
      </c>
      <c r="Q120" s="93">
        <f>IF($P120="PROXY",DCOUNT('[1]literature entries'!$D:$AI,IF($J120=1,"ACTIVE     GHGE, FARM GATE (kg CO2e/kg)","GHGE, processor gate (kg CO2e/kg)"),INDIRECT($K120)),GETPIVOTDATA(IF($J120=1,"ACTIVE     GHGE, FARM GATE (kg CO2e/kg)","Count of GHGE, processor gate (kg CO2e/kg)"),'[1]Pivot Table_GHG'!$A$3,"SUB TYPE",$B120))</f>
        <v/>
      </c>
      <c r="R120" s="94">
        <f>IF($P120="PROXY",DAVERAGE('[1]literature entries'!$D:$AI,IF($J120=1,"ACTIVE     GHGE, FARM GATE (kg CO2e/kg)","GHGE, processor gate (kg CO2e/kg)"),INDIRECT($K120)),GETPIVOTDATA(IF($J120=1,"Average of ACTIVE     GHGE, FARM GATE (kg CO2e/kg)","Average of GHGE, processor gate (kg CO2e/kg)"),'[1]Pivot Table_GHG'!$A$3,"SUB TYPE",$B120))</f>
        <v/>
      </c>
      <c r="S120" s="94">
        <f>IF($P120="PROXY",DSTDEV('[1]literature entries'!$D:$AI,IF($J120=1,"ACTIVE     GHGE, FARM GATE (kg CO2e/kg)","GHGE, processor gate (kg CO2e/kg)"),INDIRECT($K120)),GETPIVOTDATA(IF($J120=1,"StdDev of ACTIVE     GHGE, FARM GATE (kg CO2e/kg)","StdDev of GHGE, processor gate (kg CO2e/kg)"),'[1]Pivot Table_GHG'!$A$3,"SUB TYPE",$B120))</f>
        <v/>
      </c>
      <c r="T120" s="105" t="n"/>
      <c r="U120" s="106" t="n"/>
      <c r="V120" s="97" t="n"/>
      <c r="W120" s="98">
        <f>IF(L120="PROXY",IF(M120&gt;=5,K120,"need group"),IF(M120&gt;=5,"DIRECT","need group"))</f>
        <v/>
      </c>
      <c r="X120" s="98">
        <f>IF($W120="DIRECT",M120,DCOUNT('[1]literature entries'!$D:$AI,IF($J120=1,"ACTIVE     CED, FARM GATE (MJ/kg)","CED, processor gate (MJ/kg)"),INDIRECT($W120)))</f>
        <v/>
      </c>
      <c r="Y120" s="98">
        <f>IF($W120="DIRECT","",DAVERAGE('[1]literature entries'!$D:$AI,IF($J120=1,"ACTIVE     CED, FARM GATE (MJ/kg)","CED, processor gate (MJ/kg)"),INDIRECT($W120)))</f>
        <v/>
      </c>
      <c r="Z120" s="98">
        <f>IF($W120="DIRECT",$O120,DSTDEV('[1]literature entries'!$D:$AI,IF($J120=1,"ACTIVE     CED, FARM GATE (MJ/kg)","CED, processor gate (MJ/kg)"),INDIRECT($W120)))</f>
        <v/>
      </c>
      <c r="AA120" s="98">
        <f>IF($W120="DIRECT",$O120,$Z120/$Y120*$N120)</f>
        <v/>
      </c>
      <c r="AB120" s="99">
        <f>IF(P120="PROXY",IF(Q120&gt;=5,K120,"need group"),IF(Q120&gt;=5,"DIRECT","need group"))</f>
        <v/>
      </c>
      <c r="AC120" s="99">
        <f>IF($AB120="DIRECT",Q120,DCOUNT('[1]literature entries'!$D:$AI,IF($J120=1,"ACTIVE     GHGE, FARM GATE (kg CO2e/kg)","GHGE, processor gate (kg CO2e/kg)"),INDIRECT($AB120)))</f>
        <v/>
      </c>
      <c r="AD120" s="99">
        <f>IF($AB120="DIRECT","",DAVERAGE('[1]literature entries'!$D:$AI,IF($J120=1,"ACTIVE     GHGE, FARM GATE (kg CO2e/kg)","GHGE, processor gate (kg CO2e/kg)"),INDIRECT($AB120)))</f>
        <v/>
      </c>
      <c r="AE120" s="99">
        <f>IF($AB120="DIRECT",$S120,DSTDEV('[1]literature entries'!$D:$AI,IF($J120=1,"ACTIVE     GHGE, FARM GATE (kg CO2e/kg)","GHGE, processor gate (kg CO2e/kg)"),INDIRECT($AB120)))</f>
        <v/>
      </c>
      <c r="AF120" s="99">
        <f>IF($AB120="DIRECT",$S120,$AE120/$AD120*$R120)</f>
        <v/>
      </c>
    </row>
    <row r="121" ht="15.75" customHeight="1" s="201">
      <c r="A121" s="100" t="n">
        <v>1001107000</v>
      </c>
      <c r="B121" s="101" t="inlineStr">
        <is>
          <t>Citrus hybrids</t>
        </is>
      </c>
      <c r="C121" s="101" t="inlineStr">
        <is>
          <t>weight of pulp; excluding seeds and peel</t>
        </is>
      </c>
      <c r="D121" s="101" t="inlineStr">
        <is>
          <t>Includes tangelo, Tangor, Chironja, and Calamondin.</t>
        </is>
      </c>
      <c r="E121" s="101" t="n">
        <v>20</v>
      </c>
      <c r="F121" s="84">
        <f>N121*H121+T121</f>
        <v/>
      </c>
      <c r="G121" s="85">
        <f>R121*H121+U121</f>
        <v/>
      </c>
      <c r="H121" s="102" t="n">
        <v>1.35</v>
      </c>
      <c r="I121" s="103" t="inlineStr">
        <is>
          <t>tangelo</t>
        </is>
      </c>
      <c r="J121" s="104" t="n">
        <v>1</v>
      </c>
      <c r="K121" s="89" t="inlineStr">
        <is>
          <t>citrus</t>
        </is>
      </c>
      <c r="L121" s="90">
        <f>IF(ISERROR(GETPIVOTDATA(IF($J121=1,"Count of ACTIVE     CED, FARM GATE (MJ/kg)","Count of CED, processor gate (MJ/kg)"),'[1]Pivot Table_CED'!$A$3,"SUB TYPE",$B121)),"PROXY",IF(GETPIVOTDATA(IF($J121=1,"Count of ACTIVE     CED, FARM GATE (MJ/kg)","Count of CED, processor gate (MJ/kg)"),'[1]Pivot Table_CED'!$A$3,"SUB TYPE",$B121)=0,"PROXY","DB value"))</f>
        <v/>
      </c>
      <c r="M121" s="91">
        <f>IF($L121="PROXY",DCOUNT('[1]literature entries'!$D:$AI,IF($J121=1,"ACTIVE     CED, FARM GATE (MJ/kg)","CED, processor gate (MJ/kg)"),INDIRECT($K121)),GETPIVOTDATA(IF($J121=1,"Count of ACTIVE     CED, FARM GATE (MJ/kg)","Count of CED, processor gate (MJ/kg)"),'[1]Pivot Table_CED'!$A$3,"SUB TYPE",$B121))</f>
        <v/>
      </c>
      <c r="N121" s="92">
        <f>IF($L121="PROXY",DAVERAGE('[1]literature entries'!$D:$AI,IF($J121=1,"ACTIVE     CED, FARM GATE (MJ/kg)","CED, processor gate (MJ/kg)"),INDIRECT($K121)),GETPIVOTDATA(IF($J121=1,"Average of ACTIVE     CED, FARM GATE (MJ/kg)","Average of CED, processor gate (MJ/kg)"),'[1]Pivot Table_CED'!$A$3,"SUB TYPE",$B121))</f>
        <v/>
      </c>
      <c r="O121" s="92">
        <f>IF($L121="PROXY",DSTDEV('[1]literature entries'!D:AI,IF($J121=1,"ACTIVE     CED, FARM GATE (MJ/kg)","CED, processor gate (MJ/kg)"),INDIRECT($K121)),GETPIVOTDATA(IF($J121=1,"StdDev of ACTIVE     CED, FARM GATE (MJ/kg)","StdDev of CED, processor gate (MJ/kg)"),'[1]Pivot Table_CED'!$A$3,"SUB TYPE",$B121))</f>
        <v/>
      </c>
      <c r="P121" s="90">
        <f>IF(ISERROR(GETPIVOTDATA(IF($J121=1,"Count of ACTIVE     GHGE, FARM GATE (kg CO2e/kg)","Count of GHGE, processor gate (kg CO2e/kg)"),'[1]Pivot Table_GHG'!$A$3,"SUB TYPE",$B121)),"PROXY",IF(GETPIVOTDATA(IF($J121=1,"Count of ACTIVE     GHGE, FARM GATE (kg CO2e/kg)","Count of GHGE, processor gate (kg CO2e/kg)"),'[1]Pivot Table_GHG'!$A$3,"SUB TYPE",$B121)=0,"PROXY","DB value"))</f>
        <v/>
      </c>
      <c r="Q121" s="93">
        <f>IF($P121="PROXY",DCOUNT('[1]literature entries'!$D:$AI,IF($J121=1,"ACTIVE     GHGE, FARM GATE (kg CO2e/kg)","GHGE, processor gate (kg CO2e/kg)"),INDIRECT($K121)),GETPIVOTDATA(IF($J121=1,"ACTIVE     GHGE, FARM GATE (kg CO2e/kg)","Count of GHGE, processor gate (kg CO2e/kg)"),'[1]Pivot Table_GHG'!$A$3,"SUB TYPE",$B121))</f>
        <v/>
      </c>
      <c r="R121" s="94">
        <f>IF($P121="PROXY",DAVERAGE('[1]literature entries'!$D:$AI,IF($J121=1,"ACTIVE     GHGE, FARM GATE (kg CO2e/kg)","GHGE, processor gate (kg CO2e/kg)"),INDIRECT($K121)),GETPIVOTDATA(IF($J121=1,"Average of ACTIVE     GHGE, FARM GATE (kg CO2e/kg)","Average of GHGE, processor gate (kg CO2e/kg)"),'[1]Pivot Table_GHG'!$A$3,"SUB TYPE",$B121))</f>
        <v/>
      </c>
      <c r="S121" s="94">
        <f>IF($P121="PROXY",DSTDEV('[1]literature entries'!$D:$AI,IF($J121=1,"ACTIVE     GHGE, FARM GATE (kg CO2e/kg)","GHGE, processor gate (kg CO2e/kg)"),INDIRECT($K121)),GETPIVOTDATA(IF($J121=1,"StdDev of ACTIVE     GHGE, FARM GATE (kg CO2e/kg)","StdDev of GHGE, processor gate (kg CO2e/kg)"),'[1]Pivot Table_GHG'!$A$3,"SUB TYPE",$B121))</f>
        <v/>
      </c>
      <c r="T121" s="105" t="n"/>
      <c r="U121" s="106" t="n"/>
      <c r="V121" s="97" t="n"/>
      <c r="W121" s="98">
        <f>IF(L121="PROXY",IF(M121&gt;=5,K121,"need group"),IF(M121&gt;=5,"DIRECT","need group"))</f>
        <v/>
      </c>
      <c r="X121" s="98">
        <f>IF($W121="DIRECT",M121,DCOUNT('[1]literature entries'!$D:$AI,IF($J121=1,"ACTIVE     CED, FARM GATE (MJ/kg)","CED, processor gate (MJ/kg)"),INDIRECT($W121)))</f>
        <v/>
      </c>
      <c r="Y121" s="98">
        <f>IF($W121="DIRECT","",DAVERAGE('[1]literature entries'!$D:$AI,IF($J121=1,"ACTIVE     CED, FARM GATE (MJ/kg)","CED, processor gate (MJ/kg)"),INDIRECT($W121)))</f>
        <v/>
      </c>
      <c r="Z121" s="98">
        <f>IF($W121="DIRECT",$O121,DSTDEV('[1]literature entries'!$D:$AI,IF($J121=1,"ACTIVE     CED, FARM GATE (MJ/kg)","CED, processor gate (MJ/kg)"),INDIRECT($W121)))</f>
        <v/>
      </c>
      <c r="AA121" s="98">
        <f>IF($W121="DIRECT",$O121,$Z121/$Y121*$N121)</f>
        <v/>
      </c>
      <c r="AB121" s="99">
        <f>IF(P121="PROXY",IF(Q121&gt;=5,K121,"need group"),IF(Q121&gt;=5,"DIRECT","need group"))</f>
        <v/>
      </c>
      <c r="AC121" s="99">
        <f>IF($AB121="DIRECT",Q121,DCOUNT('[1]literature entries'!$D:$AI,IF($J121=1,"ACTIVE     GHGE, FARM GATE (kg CO2e/kg)","GHGE, processor gate (kg CO2e/kg)"),INDIRECT($AB121)))</f>
        <v/>
      </c>
      <c r="AD121" s="99">
        <f>IF($AB121="DIRECT","",DAVERAGE('[1]literature entries'!$D:$AI,IF($J121=1,"ACTIVE     GHGE, FARM GATE (kg CO2e/kg)","GHGE, processor gate (kg CO2e/kg)"),INDIRECT($AB121)))</f>
        <v/>
      </c>
      <c r="AE121" s="99">
        <f>IF($AB121="DIRECT",$S121,DSTDEV('[1]literature entries'!$D:$AI,IF($J121=1,"ACTIVE     GHGE, FARM GATE (kg CO2e/kg)","GHGE, processor gate (kg CO2e/kg)"),INDIRECT($AB121)))</f>
        <v/>
      </c>
      <c r="AF121" s="99">
        <f>IF($AB121="DIRECT",$S121,$AE121/$AD121*$R121)</f>
        <v/>
      </c>
    </row>
    <row r="122" ht="15.75" customHeight="1" s="201">
      <c r="A122" s="100" t="n">
        <v>1001240000</v>
      </c>
      <c r="B122" s="101" t="inlineStr">
        <is>
          <t>Orange</t>
        </is>
      </c>
      <c r="C122" s="101" t="inlineStr">
        <is>
          <t>weight of pulp; excluding seeds and peel</t>
        </is>
      </c>
      <c r="D122" s="101" t="n"/>
      <c r="E122" s="101" t="n">
        <v>3262</v>
      </c>
      <c r="F122" s="84">
        <f>N122*H122+T122</f>
        <v/>
      </c>
      <c r="G122" s="85">
        <f>R122*H122+U122</f>
        <v/>
      </c>
      <c r="H122" s="102" t="n">
        <v>1.37</v>
      </c>
      <c r="I122" s="102" t="inlineStr">
        <is>
          <t>FICRCD</t>
        </is>
      </c>
      <c r="J122" s="104" t="n">
        <v>1</v>
      </c>
      <c r="K122" s="89" t="n"/>
      <c r="L122" s="90">
        <f>IF(ISERROR(GETPIVOTDATA(IF($J122=1,"Count of ACTIVE     CED, FARM GATE (MJ/kg)","Count of CED, processor gate (MJ/kg)"),'[1]Pivot Table_CED'!$A$3,"SUB TYPE",$B122)),"PROXY",IF(GETPIVOTDATA(IF($J122=1,"Count of ACTIVE     CED, FARM GATE (MJ/kg)","Count of CED, processor gate (MJ/kg)"),'[1]Pivot Table_CED'!$A$3,"SUB TYPE",$B122)=0,"PROXY","DB value"))</f>
        <v/>
      </c>
      <c r="M122" s="91">
        <f>IF($L122="PROXY",DCOUNT('[1]literature entries'!$D:$AI,IF($J122=1,"ACTIVE     CED, FARM GATE (MJ/kg)","CED, processor gate (MJ/kg)"),INDIRECT($K122)),GETPIVOTDATA(IF($J122=1,"Count of ACTIVE     CED, FARM GATE (MJ/kg)","Count of CED, processor gate (MJ/kg)"),'[1]Pivot Table_CED'!$A$3,"SUB TYPE",$B122))</f>
        <v/>
      </c>
      <c r="N122" s="92">
        <f>IF($L122="PROXY",DAVERAGE('[1]literature entries'!$D:$AI,IF($J122=1,"ACTIVE     CED, FARM GATE (MJ/kg)","CED, processor gate (MJ/kg)"),INDIRECT($K122)),GETPIVOTDATA(IF($J122=1,"Average of ACTIVE     CED, FARM GATE (MJ/kg)","Average of CED, processor gate (MJ/kg)"),'[1]Pivot Table_CED'!$A$3,"SUB TYPE",$B122))</f>
        <v/>
      </c>
      <c r="O122" s="92">
        <f>IF($L122="PROXY",DSTDEV('[1]literature entries'!D:AI,IF($J122=1,"ACTIVE     CED, FARM GATE (MJ/kg)","CED, processor gate (MJ/kg)"),INDIRECT($K122)),GETPIVOTDATA(IF($J122=1,"StdDev of ACTIVE     CED, FARM GATE (MJ/kg)","StdDev of CED, processor gate (MJ/kg)"),'[1]Pivot Table_CED'!$A$3,"SUB TYPE",$B122))</f>
        <v/>
      </c>
      <c r="P122" s="90">
        <f>IF(ISERROR(GETPIVOTDATA(IF($J122=1,"Count of ACTIVE     GHGE, FARM GATE (kg CO2e/kg)","Count of GHGE, processor gate (kg CO2e/kg)"),'[1]Pivot Table_GHG'!$A$3,"SUB TYPE",$B122)),"PROXY",IF(GETPIVOTDATA(IF($J122=1,"Count of ACTIVE     GHGE, FARM GATE (kg CO2e/kg)","Count of GHGE, processor gate (kg CO2e/kg)"),'[1]Pivot Table_GHG'!$A$3,"SUB TYPE",$B122)=0,"PROXY","DB value"))</f>
        <v/>
      </c>
      <c r="Q122" s="93">
        <f>IF($P122="PROXY",DCOUNT('[1]literature entries'!$D:$AI,IF($J122=1,"ACTIVE     GHGE, FARM GATE (kg CO2e/kg)","GHGE, processor gate (kg CO2e/kg)"),INDIRECT($K122)),GETPIVOTDATA(IF($J122=1,"ACTIVE     GHGE, FARM GATE (kg CO2e/kg)","Count of GHGE, processor gate (kg CO2e/kg)"),'[1]Pivot Table_GHG'!$A$3,"SUB TYPE",$B122))</f>
        <v/>
      </c>
      <c r="R122" s="94">
        <f>IF($P122="PROXY",DAVERAGE('[1]literature entries'!$D:$AI,IF($J122=1,"ACTIVE     GHGE, FARM GATE (kg CO2e/kg)","GHGE, processor gate (kg CO2e/kg)"),INDIRECT($K122)),GETPIVOTDATA(IF($J122=1,"Average of ACTIVE     GHGE, FARM GATE (kg CO2e/kg)","Average of GHGE, processor gate (kg CO2e/kg)"),'[1]Pivot Table_GHG'!$A$3,"SUB TYPE",$B122))</f>
        <v/>
      </c>
      <c r="S122" s="94">
        <f>IF($P122="PROXY",DSTDEV('[1]literature entries'!$D:$AI,IF($J122=1,"ACTIVE     GHGE, FARM GATE (kg CO2e/kg)","GHGE, processor gate (kg CO2e/kg)"),INDIRECT($K122)),GETPIVOTDATA(IF($J122=1,"StdDev of ACTIVE     GHGE, FARM GATE (kg CO2e/kg)","StdDev of GHGE, processor gate (kg CO2e/kg)"),'[1]Pivot Table_GHG'!$A$3,"SUB TYPE",$B122))</f>
        <v/>
      </c>
      <c r="T122" s="105" t="n"/>
      <c r="U122" s="106" t="n"/>
      <c r="V122" s="97" t="n"/>
      <c r="W122" s="98" t="inlineStr">
        <is>
          <t>citrus</t>
        </is>
      </c>
      <c r="X122" s="98">
        <f>IF($W122="DIRECT",M122,DCOUNT('[1]literature entries'!$D:$AI,IF($J122=1,"ACTIVE     CED, FARM GATE (MJ/kg)","CED, processor gate (MJ/kg)"),INDIRECT($W122)))</f>
        <v/>
      </c>
      <c r="Y122" s="98">
        <f>IF($W122="DIRECT","",DAVERAGE('[1]literature entries'!$D:$AI,IF($J122=1,"ACTIVE     CED, FARM GATE (MJ/kg)","CED, processor gate (MJ/kg)"),INDIRECT($W122)))</f>
        <v/>
      </c>
      <c r="Z122" s="98">
        <f>IF($W122="DIRECT",$O122,DSTDEV('[1]literature entries'!$D:$AI,IF($J122=1,"ACTIVE     CED, FARM GATE (MJ/kg)","CED, processor gate (MJ/kg)"),INDIRECT($W122)))</f>
        <v/>
      </c>
      <c r="AA122" s="98">
        <f>IF($W122="DIRECT",$O122,$Z122/$Y122*$N122)</f>
        <v/>
      </c>
      <c r="AB122" s="99">
        <f>IF(P122="PROXY",IF(Q122&gt;=5,K122,"need group"),IF(Q122&gt;=5,"DIRECT","need group"))</f>
        <v/>
      </c>
      <c r="AC122" s="99">
        <f>IF($AB122="DIRECT",Q122,DCOUNT('[1]literature entries'!$D:$AI,IF($J122=1,"ACTIVE     GHGE, FARM GATE (kg CO2e/kg)","GHGE, processor gate (kg CO2e/kg)"),INDIRECT($AB122)))</f>
        <v/>
      </c>
      <c r="AD122" s="99">
        <f>IF($AB122="DIRECT","",DAVERAGE('[1]literature entries'!$D:$AI,IF($J122=1,"ACTIVE     GHGE, FARM GATE (kg CO2e/kg)","GHGE, processor gate (kg CO2e/kg)"),INDIRECT($AB122)))</f>
        <v/>
      </c>
      <c r="AE122" s="99">
        <f>IF($AB122="DIRECT",$S122,DSTDEV('[1]literature entries'!$D:$AI,IF($J122=1,"ACTIVE     GHGE, FARM GATE (kg CO2e/kg)","GHGE, processor gate (kg CO2e/kg)"),INDIRECT($AB122)))</f>
        <v/>
      </c>
      <c r="AF122" s="99">
        <f>IF($AB122="DIRECT",$S122,$AE122/$AD122*$R122)</f>
        <v/>
      </c>
    </row>
    <row r="123" ht="15.75" customHeight="1" s="201">
      <c r="A123" s="100" t="n">
        <v>1001241000</v>
      </c>
      <c r="B123" s="101" t="inlineStr">
        <is>
          <t>Orange, juice</t>
        </is>
      </c>
      <c r="C123" s="112" t="inlineStr">
        <is>
          <t>weight of juice at single strength (or standard dilution)</t>
        </is>
      </c>
      <c r="D123" s="101" t="n"/>
      <c r="E123" s="101" t="n">
        <v>18007</v>
      </c>
      <c r="F123" s="84">
        <f>N123*H123+T123</f>
        <v/>
      </c>
      <c r="G123" s="85">
        <f>R123*H123+U123</f>
        <v/>
      </c>
      <c r="H123" s="102" t="n">
        <v>1</v>
      </c>
      <c r="I123" s="103" t="inlineStr">
        <is>
          <t>none</t>
        </is>
      </c>
      <c r="J123" s="104" t="n">
        <v>2</v>
      </c>
      <c r="K123" s="126" t="n"/>
      <c r="L123" s="90">
        <f>IF(ISERROR(GETPIVOTDATA(IF($J123=1,"Count of ACTIVE     CED, FARM GATE (MJ/kg)","Count of CED, processor gate (MJ/kg)"),'[1]Pivot Table_CED'!$A$3,"SUB TYPE",$B123)),"PROXY",IF(GETPIVOTDATA(IF($J123=1,"Count of ACTIVE     CED, FARM GATE (MJ/kg)","Count of CED, processor gate (MJ/kg)"),'[1]Pivot Table_CED'!$A$3,"SUB TYPE",$B123)=0,"PROXY","DB value"))</f>
        <v/>
      </c>
      <c r="M123" s="91">
        <f>IF($L123="PROXY",DCOUNT('[1]literature entries'!$D:$AI,IF($J123=1,"ACTIVE     CED, FARM GATE (MJ/kg)","CED, processor gate (MJ/kg)"),INDIRECT($K123)),GETPIVOTDATA(IF($J123=1,"Count of ACTIVE     CED, FARM GATE (MJ/kg)","Count of CED, processor gate (MJ/kg)"),'[1]Pivot Table_CED'!$A$3,"SUB TYPE",$B123))</f>
        <v/>
      </c>
      <c r="N123" s="92">
        <f>IF($L123="PROXY",DAVERAGE('[1]literature entries'!$D:$AI,IF($J123=1,"ACTIVE     CED, FARM GATE (MJ/kg)","CED, processor gate (MJ/kg)"),INDIRECT($K123)),GETPIVOTDATA(IF($J123=1,"Average of ACTIVE     CED, FARM GATE (MJ/kg)","Average of CED, processor gate (MJ/kg)"),'[1]Pivot Table_CED'!$A$3,"SUB TYPE",$B123))</f>
        <v/>
      </c>
      <c r="O123" s="92">
        <f>IF($L123="PROXY",DSTDEV('[1]literature entries'!D:AI,IF($J123=1,"ACTIVE     CED, FARM GATE (MJ/kg)","CED, processor gate (MJ/kg)"),INDIRECT($K123)),GETPIVOTDATA(IF($J123=1,"StdDev of ACTIVE     CED, FARM GATE (MJ/kg)","StdDev of CED, processor gate (MJ/kg)"),'[1]Pivot Table_CED'!$A$3,"SUB TYPE",$B123))</f>
        <v/>
      </c>
      <c r="P123" s="90">
        <f>IF(ISERROR(GETPIVOTDATA(IF($J123=1,"Count of ACTIVE     GHGE, FARM GATE (kg CO2e/kg)","Count of GHGE, processor gate (kg CO2e/kg)"),'[1]Pivot Table_GHG'!$A$3,"SUB TYPE",$B123)),"PROXY",IF(GETPIVOTDATA(IF($J123=1,"Count of ACTIVE     GHGE, FARM GATE (kg CO2e/kg)","Count of GHGE, processor gate (kg CO2e/kg)"),'[1]Pivot Table_GHG'!$A$3,"SUB TYPE",$B123)=0,"PROXY","DB value"))</f>
        <v/>
      </c>
      <c r="Q123" s="93">
        <f>IF($P123="PROXY",DCOUNT('[1]literature entries'!$D:$AI,IF($J123=1,"ACTIVE     GHGE, FARM GATE (kg CO2e/kg)","GHGE, processor gate (kg CO2e/kg)"),INDIRECT($K123)),GETPIVOTDATA(IF($J123=1,"ACTIVE     GHGE, FARM GATE (kg CO2e/kg)","Count of GHGE, processor gate (kg CO2e/kg)"),'[1]Pivot Table_GHG'!$A$3,"SUB TYPE",$B123))</f>
        <v/>
      </c>
      <c r="R123" s="94">
        <f>IF($P123="PROXY",DAVERAGE('[1]literature entries'!$D:$AI,IF($J123=1,"ACTIVE     GHGE, FARM GATE (kg CO2e/kg)","GHGE, processor gate (kg CO2e/kg)"),INDIRECT($K123)),GETPIVOTDATA(IF($J123=1,"Average of ACTIVE     GHGE, FARM GATE (kg CO2e/kg)","Average of GHGE, processor gate (kg CO2e/kg)"),'[1]Pivot Table_GHG'!$A$3,"SUB TYPE",$B123))</f>
        <v/>
      </c>
      <c r="S123" s="94">
        <f>IF($P123="PROXY",DSTDEV('[1]literature entries'!$D:$AI,IF($J123=1,"ACTIVE     GHGE, FARM GATE (kg CO2e/kg)","GHGE, processor gate (kg CO2e/kg)"),INDIRECT($K123)),GETPIVOTDATA(IF($J123=1,"StdDev of ACTIVE     GHGE, FARM GATE (kg CO2e/kg)","StdDev of GHGE, processor gate (kg CO2e/kg)"),'[1]Pivot Table_GHG'!$A$3,"SUB TYPE",$B123))</f>
        <v/>
      </c>
      <c r="T123" s="105" t="n"/>
      <c r="U123" s="106" t="n"/>
      <c r="V123" s="97" t="n"/>
      <c r="W123" s="110" t="inlineStr">
        <is>
          <t>citrus</t>
        </is>
      </c>
      <c r="X123" s="98">
        <f t="array" ref="X123">IF($W123="DIRECT",M123,DCOUNT('[1]literature entries'!$D:$AI,"ACTIVE     CED, FARM GATE (MJ/kg)",INDIRECT($W123)))</f>
        <v/>
      </c>
      <c r="Y123" s="98">
        <f t="array" ref="Y123">IF($W123="DIRECT","",DAVERAGE('[1]literature entries'!$D:$AI,"ACTIVE     CED, FARM GATE (MJ/kg)",INDIRECT($W123)))</f>
        <v/>
      </c>
      <c r="Z123" s="98">
        <f t="array" ref="Z123">IF($W123="DIRECT",$O123,DSTDEV('[1]literature entries'!$D:$AI,"ACTIVE     CED, FARM GATE (MJ/kg)",INDIRECT($W123)))</f>
        <v/>
      </c>
      <c r="AA123" s="98">
        <f>IF($W123="DIRECT",$O123,$Z123/$Y123*$N123)</f>
        <v/>
      </c>
      <c r="AB123" s="99">
        <f>IF(P123="PROXY",IF(Q123&gt;=5,K123,"need group"),IF(Q123&gt;=5,"DIRECT","need group"))</f>
        <v/>
      </c>
      <c r="AC123" s="99">
        <f>IF($AB123="DIRECT",Q123,DCOUNT('[1]literature entries'!$D:$AI,IF($J123=1,"ACTIVE     GHGE, FARM GATE (kg CO2e/kg)","GHGE, processor gate (kg CO2e/kg)"),INDIRECT($AB123)))</f>
        <v/>
      </c>
      <c r="AD123" s="99">
        <f>IF($AB123="DIRECT","",DAVERAGE('[1]literature entries'!$D:$AI,IF($J123=1,"ACTIVE     GHGE, FARM GATE (kg CO2e/kg)","GHGE, processor gate (kg CO2e/kg)"),INDIRECT($AB123)))</f>
        <v/>
      </c>
      <c r="AE123" s="99">
        <f>IF($AB123="DIRECT",$S123,DSTDEV('[1]literature entries'!$D:$AI,IF($J123=1,"ACTIVE     GHGE, FARM GATE (kg CO2e/kg)","GHGE, processor gate (kg CO2e/kg)"),INDIRECT($AB123)))</f>
        <v/>
      </c>
      <c r="AF123" s="99">
        <f>IF($AB123="DIRECT",$S123,$AE123/$AD123*$R123)</f>
        <v/>
      </c>
    </row>
    <row r="124" ht="15.75" customHeight="1" s="201">
      <c r="A124" s="100" t="n">
        <v>1001242000</v>
      </c>
      <c r="B124" s="101" t="inlineStr">
        <is>
          <t>Orange, peel</t>
        </is>
      </c>
      <c r="C124" s="101" t="inlineStr">
        <is>
          <t>weight of peel only</t>
        </is>
      </c>
      <c r="D124" s="101" t="n"/>
      <c r="E124" s="101" t="n">
        <v>202</v>
      </c>
      <c r="F124" s="84">
        <f>N124*H124+T124</f>
        <v/>
      </c>
      <c r="G124" s="85">
        <f>R124*H124+U124</f>
        <v/>
      </c>
      <c r="H124" s="102" t="n">
        <v>1</v>
      </c>
      <c r="I124" s="103" t="inlineStr">
        <is>
          <t>None</t>
        </is>
      </c>
      <c r="J124" s="104" t="n">
        <v>1</v>
      </c>
      <c r="K124" s="89" t="inlineStr">
        <is>
          <t>orange</t>
        </is>
      </c>
      <c r="L124" s="90">
        <f>IF(ISERROR(GETPIVOTDATA(IF($J124=1,"Count of ACTIVE     CED, FARM GATE (MJ/kg)","Count of CED, processor gate (MJ/kg)"),'[1]Pivot Table_CED'!$A$3,"SUB TYPE",$B124)),"PROXY",IF(GETPIVOTDATA(IF($J124=1,"Count of ACTIVE     CED, FARM GATE (MJ/kg)","Count of CED, processor gate (MJ/kg)"),'[1]Pivot Table_CED'!$A$3,"SUB TYPE",$B124)=0,"PROXY","DB value"))</f>
        <v/>
      </c>
      <c r="M124" s="91">
        <f>IF($L124="PROXY",DCOUNT('[1]literature entries'!$D:$AI,IF($J124=1,"ACTIVE     CED, FARM GATE (MJ/kg)","CED, processor gate (MJ/kg)"),INDIRECT($K124)),GETPIVOTDATA(IF($J124=1,"Count of ACTIVE     CED, FARM GATE (MJ/kg)","Count of CED, processor gate (MJ/kg)"),'[1]Pivot Table_CED'!$A$3,"SUB TYPE",$B124))</f>
        <v/>
      </c>
      <c r="N124" s="92">
        <f>IF($L124="PROXY",DAVERAGE('[1]literature entries'!$D:$AI,IF($J124=1,"ACTIVE     CED, FARM GATE (MJ/kg)","CED, processor gate (MJ/kg)"),INDIRECT($K124)),GETPIVOTDATA(IF($J124=1,"Average of ACTIVE     CED, FARM GATE (MJ/kg)","Average of CED, processor gate (MJ/kg)"),'[1]Pivot Table_CED'!$A$3,"SUB TYPE",$B124))</f>
        <v/>
      </c>
      <c r="O124" s="92">
        <f>IF($L124="PROXY",DSTDEV('[1]literature entries'!D:AI,IF($J124=1,"ACTIVE     CED, FARM GATE (MJ/kg)","CED, processor gate (MJ/kg)"),INDIRECT($K124)),GETPIVOTDATA(IF($J124=1,"StdDev of ACTIVE     CED, FARM GATE (MJ/kg)","StdDev of CED, processor gate (MJ/kg)"),'[1]Pivot Table_CED'!$A$3,"SUB TYPE",$B124))</f>
        <v/>
      </c>
      <c r="P124" s="90">
        <f>IF(ISERROR(GETPIVOTDATA(IF($J124=1,"Count of ACTIVE     GHGE, FARM GATE (kg CO2e/kg)","Count of GHGE, processor gate (kg CO2e/kg)"),'[1]Pivot Table_GHG'!$A$3,"SUB TYPE",$B124)),"PROXY",IF(GETPIVOTDATA(IF($J124=1,"Count of ACTIVE     GHGE, FARM GATE (kg CO2e/kg)","Count of GHGE, processor gate (kg CO2e/kg)"),'[1]Pivot Table_GHG'!$A$3,"SUB TYPE",$B124)=0,"PROXY","DB value"))</f>
        <v/>
      </c>
      <c r="Q124" s="93">
        <f>IF($P124="PROXY",DCOUNT('[1]literature entries'!$D:$AI,IF($J124=1,"ACTIVE     GHGE, FARM GATE (kg CO2e/kg)","GHGE, processor gate (kg CO2e/kg)"),INDIRECT($K124)),GETPIVOTDATA(IF($J124=1,"ACTIVE     GHGE, FARM GATE (kg CO2e/kg)","Count of GHGE, processor gate (kg CO2e/kg)"),'[1]Pivot Table_GHG'!$A$3,"SUB TYPE",$B124))</f>
        <v/>
      </c>
      <c r="R124" s="94">
        <f>IF($P124="PROXY",DAVERAGE('[1]literature entries'!$D:$AI,IF($J124=1,"ACTIVE     GHGE, FARM GATE (kg CO2e/kg)","GHGE, processor gate (kg CO2e/kg)"),INDIRECT($K124)),GETPIVOTDATA(IF($J124=1,"Average of ACTIVE     GHGE, FARM GATE (kg CO2e/kg)","Average of GHGE, processor gate (kg CO2e/kg)"),'[1]Pivot Table_GHG'!$A$3,"SUB TYPE",$B124))</f>
        <v/>
      </c>
      <c r="S124" s="94">
        <f>IF($P124="PROXY",DSTDEV('[1]literature entries'!$D:$AI,IF($J124=1,"ACTIVE     GHGE, FARM GATE (kg CO2e/kg)","GHGE, processor gate (kg CO2e/kg)"),INDIRECT($K124)),GETPIVOTDATA(IF($J124=1,"StdDev of ACTIVE     GHGE, FARM GATE (kg CO2e/kg)","StdDev of GHGE, processor gate (kg CO2e/kg)"),'[1]Pivot Table_GHG'!$A$3,"SUB TYPE",$B124))</f>
        <v/>
      </c>
      <c r="T124" s="105" t="n"/>
      <c r="U124" s="106" t="n"/>
      <c r="V124" s="97" t="n"/>
      <c r="W124" s="98" t="inlineStr">
        <is>
          <t>citrus</t>
        </is>
      </c>
      <c r="X124" s="98">
        <f>IF($W124="DIRECT",M124,DCOUNT('[1]literature entries'!$D:$AI,IF($J124=1,"ACTIVE     CED, FARM GATE (MJ/kg)","CED, processor gate (MJ/kg)"),INDIRECT($W124)))</f>
        <v/>
      </c>
      <c r="Y124" s="98">
        <f>IF($W124="DIRECT","",DAVERAGE('[1]literature entries'!$D:$AI,IF($J124=1,"ACTIVE     CED, FARM GATE (MJ/kg)","CED, processor gate (MJ/kg)"),INDIRECT($W124)))</f>
        <v/>
      </c>
      <c r="Z124" s="98">
        <f>IF($W124="DIRECT",$O124,DSTDEV('[1]literature entries'!$D:$AI,IF($J124=1,"ACTIVE     CED, FARM GATE (MJ/kg)","CED, processor gate (MJ/kg)"),INDIRECT($W124)))</f>
        <v/>
      </c>
      <c r="AA124" s="98">
        <f>IF($W124="DIRECT",$O124,$Z124/$Y124*$N124)</f>
        <v/>
      </c>
      <c r="AB124" s="99">
        <f>IF(P124="PROXY",IF(Q124&gt;=5,K124,"need group"),IF(Q124&gt;=5,"DIRECT","need group"))</f>
        <v/>
      </c>
      <c r="AC124" s="99">
        <f>IF($AB124="DIRECT",Q124,DCOUNT('[1]literature entries'!$D:$AI,IF($J124=1,"ACTIVE     GHGE, FARM GATE (kg CO2e/kg)","GHGE, processor gate (kg CO2e/kg)"),INDIRECT($AB124)))</f>
        <v/>
      </c>
      <c r="AD124" s="99">
        <f>IF($AB124="DIRECT","",DAVERAGE('[1]literature entries'!$D:$AI,IF($J124=1,"ACTIVE     GHGE, FARM GATE (kg CO2e/kg)","GHGE, processor gate (kg CO2e/kg)"),INDIRECT($AB124)))</f>
        <v/>
      </c>
      <c r="AE124" s="99">
        <f>IF($AB124="DIRECT",$S124,DSTDEV('[1]literature entries'!$D:$AI,IF($J124=1,"ACTIVE     GHGE, FARM GATE (kg CO2e/kg)","GHGE, processor gate (kg CO2e/kg)"),INDIRECT($AB124)))</f>
        <v/>
      </c>
      <c r="AF124" s="99">
        <f>IF($AB124="DIRECT",$S124,$AE124/$AD124*$R124)</f>
        <v/>
      </c>
    </row>
    <row r="125" ht="15.75" customHeight="1" s="201">
      <c r="A125" s="100" t="n">
        <v>1001369000</v>
      </c>
      <c r="B125" s="101" t="inlineStr">
        <is>
          <t>Tangerine</t>
        </is>
      </c>
      <c r="C125" s="101" t="inlineStr">
        <is>
          <t>weight of pulp; excluding seeds and peel</t>
        </is>
      </c>
      <c r="D125" s="101" t="inlineStr">
        <is>
          <t>Include clementine and mandarin.</t>
        </is>
      </c>
      <c r="E125" s="101" t="n">
        <v>720</v>
      </c>
      <c r="F125" s="84">
        <f>N125*H125+T125</f>
        <v/>
      </c>
      <c r="G125" s="85">
        <f>R125*H125+U125</f>
        <v/>
      </c>
      <c r="H125" s="102" t="n">
        <v>1.35</v>
      </c>
      <c r="I125" s="102" t="inlineStr">
        <is>
          <t>FICRCD</t>
        </is>
      </c>
      <c r="J125" s="104" t="n">
        <v>1</v>
      </c>
      <c r="K125" s="89" t="inlineStr">
        <is>
          <t>citrus</t>
        </is>
      </c>
      <c r="L125" s="90">
        <f>IF(ISERROR(GETPIVOTDATA(IF($J125=1,"Count of ACTIVE     CED, FARM GATE (MJ/kg)","Count of CED, processor gate (MJ/kg)"),'[1]Pivot Table_CED'!$A$3,"SUB TYPE",$B125)),"PROXY",IF(GETPIVOTDATA(IF($J125=1,"Count of ACTIVE     CED, FARM GATE (MJ/kg)","Count of CED, processor gate (MJ/kg)"),'[1]Pivot Table_CED'!$A$3,"SUB TYPE",$B125)=0,"PROXY","DB value"))</f>
        <v/>
      </c>
      <c r="M125" s="91">
        <f>IF($L125="PROXY",DCOUNT('[1]literature entries'!$D:$AI,IF($J125=1,"ACTIVE     CED, FARM GATE (MJ/kg)","CED, processor gate (MJ/kg)"),INDIRECT($K125)),GETPIVOTDATA(IF($J125=1,"Count of ACTIVE     CED, FARM GATE (MJ/kg)","Count of CED, processor gate (MJ/kg)"),'[1]Pivot Table_CED'!$A$3,"SUB TYPE",$B125))</f>
        <v/>
      </c>
      <c r="N125" s="92">
        <f>IF($L125="PROXY",DAVERAGE('[1]literature entries'!$D:$AI,IF($J125=1,"ACTIVE     CED, FARM GATE (MJ/kg)","CED, processor gate (MJ/kg)"),INDIRECT($K125)),GETPIVOTDATA(IF($J125=1,"Average of ACTIVE     CED, FARM GATE (MJ/kg)","Average of CED, processor gate (MJ/kg)"),'[1]Pivot Table_CED'!$A$3,"SUB TYPE",$B125))</f>
        <v/>
      </c>
      <c r="O125" s="92">
        <f>IF($L125="PROXY",DSTDEV('[1]literature entries'!D:AI,IF($J125=1,"ACTIVE     CED, FARM GATE (MJ/kg)","CED, processor gate (MJ/kg)"),INDIRECT($K125)),GETPIVOTDATA(IF($J125=1,"StdDev of ACTIVE     CED, FARM GATE (MJ/kg)","StdDev of CED, processor gate (MJ/kg)"),'[1]Pivot Table_CED'!$A$3,"SUB TYPE",$B125))</f>
        <v/>
      </c>
      <c r="P125" s="90">
        <f>IF(ISERROR(GETPIVOTDATA(IF($J125=1,"Count of ACTIVE     GHGE, FARM GATE (kg CO2e/kg)","Count of GHGE, processor gate (kg CO2e/kg)"),'[1]Pivot Table_GHG'!$A$3,"SUB TYPE",$B125)),"PROXY",IF(GETPIVOTDATA(IF($J125=1,"Count of ACTIVE     GHGE, FARM GATE (kg CO2e/kg)","Count of GHGE, processor gate (kg CO2e/kg)"),'[1]Pivot Table_GHG'!$A$3,"SUB TYPE",$B125)=0,"PROXY","DB value"))</f>
        <v/>
      </c>
      <c r="Q125" s="93">
        <f>IF($P125="PROXY",DCOUNT('[1]literature entries'!$D:$AI,IF($J125=1,"ACTIVE     GHGE, FARM GATE (kg CO2e/kg)","GHGE, processor gate (kg CO2e/kg)"),INDIRECT($K125)),GETPIVOTDATA(IF($J125=1,"ACTIVE     GHGE, FARM GATE (kg CO2e/kg)","Count of GHGE, processor gate (kg CO2e/kg)"),'[1]Pivot Table_GHG'!$A$3,"SUB TYPE",$B125))</f>
        <v/>
      </c>
      <c r="R125" s="94">
        <f>IF($P125="PROXY",DAVERAGE('[1]literature entries'!$D:$AI,IF($J125=1,"ACTIVE     GHGE, FARM GATE (kg CO2e/kg)","GHGE, processor gate (kg CO2e/kg)"),INDIRECT($K125)),GETPIVOTDATA(IF($J125=1,"Average of ACTIVE     GHGE, FARM GATE (kg CO2e/kg)","Average of GHGE, processor gate (kg CO2e/kg)"),'[1]Pivot Table_GHG'!$A$3,"SUB TYPE",$B125))</f>
        <v/>
      </c>
      <c r="S125" s="94">
        <f>IF($P125="PROXY",DSTDEV('[1]literature entries'!$D:$AI,IF($J125=1,"ACTIVE     GHGE, FARM GATE (kg CO2e/kg)","GHGE, processor gate (kg CO2e/kg)"),INDIRECT($K125)),GETPIVOTDATA(IF($J125=1,"StdDev of ACTIVE     GHGE, FARM GATE (kg CO2e/kg)","StdDev of GHGE, processor gate (kg CO2e/kg)"),'[1]Pivot Table_GHG'!$A$3,"SUB TYPE",$B125))</f>
        <v/>
      </c>
      <c r="T125" s="105" t="n"/>
      <c r="U125" s="106" t="n"/>
      <c r="V125" s="97" t="n"/>
      <c r="W125" s="98">
        <f>IF(L125="PROXY",IF(M125&gt;=5,K125,"need group"),IF(M125&gt;=5,"DIRECT","need group"))</f>
        <v/>
      </c>
      <c r="X125" s="98">
        <f>IF($W125="DIRECT",M125,DCOUNT('[1]literature entries'!$D:$AI,IF($J125=1,"ACTIVE     CED, FARM GATE (MJ/kg)","CED, processor gate (MJ/kg)"),INDIRECT($W125)))</f>
        <v/>
      </c>
      <c r="Y125" s="98">
        <f>IF($W125="DIRECT","",DAVERAGE('[1]literature entries'!$D:$AI,IF($J125=1,"ACTIVE     CED, FARM GATE (MJ/kg)","CED, processor gate (MJ/kg)"),INDIRECT($W125)))</f>
        <v/>
      </c>
      <c r="Z125" s="98">
        <f>IF($W125="DIRECT",$O125,DSTDEV('[1]literature entries'!$D:$AI,IF($J125=1,"ACTIVE     CED, FARM GATE (MJ/kg)","CED, processor gate (MJ/kg)"),INDIRECT($W125)))</f>
        <v/>
      </c>
      <c r="AA125" s="98">
        <f>IF($W125="DIRECT",$O125,$Z125/$Y125*$N125)</f>
        <v/>
      </c>
      <c r="AB125" s="99">
        <f>IF(P125="PROXY",IF(Q125&gt;=5,K125,"need group"),IF(Q125&gt;=5,"DIRECT","need group"))</f>
        <v/>
      </c>
      <c r="AC125" s="99">
        <f>IF($AB125="DIRECT",Q125,DCOUNT('[1]literature entries'!$D:$AI,IF($J125=1,"ACTIVE     GHGE, FARM GATE (kg CO2e/kg)","GHGE, processor gate (kg CO2e/kg)"),INDIRECT($AB125)))</f>
        <v/>
      </c>
      <c r="AD125" s="99">
        <f>IF($AB125="DIRECT","",DAVERAGE('[1]literature entries'!$D:$AI,IF($J125=1,"ACTIVE     GHGE, FARM GATE (kg CO2e/kg)","GHGE, processor gate (kg CO2e/kg)"),INDIRECT($AB125)))</f>
        <v/>
      </c>
      <c r="AE125" s="99">
        <f>IF($AB125="DIRECT",$S125,DSTDEV('[1]literature entries'!$D:$AI,IF($J125=1,"ACTIVE     GHGE, FARM GATE (kg CO2e/kg)","GHGE, processor gate (kg CO2e/kg)"),INDIRECT($AB125)))</f>
        <v/>
      </c>
      <c r="AF125" s="99">
        <f>IF($AB125="DIRECT",$S125,$AE125/$AD125*$R125)</f>
        <v/>
      </c>
    </row>
    <row r="126" ht="15.75" customHeight="1" s="201">
      <c r="A126" s="100" t="n">
        <v>1001370000</v>
      </c>
      <c r="B126" s="101" t="inlineStr">
        <is>
          <t>Tangerine, juice</t>
        </is>
      </c>
      <c r="C126" s="101" t="inlineStr">
        <is>
          <t>weight of juice at single strength (or standard dilution)</t>
        </is>
      </c>
      <c r="D126" s="101" t="inlineStr">
        <is>
          <t>Include+G148 clementine and mandarin.</t>
        </is>
      </c>
      <c r="E126" s="101" t="n">
        <v>6891</v>
      </c>
      <c r="F126" s="84">
        <f>N126*H126+T126</f>
        <v/>
      </c>
      <c r="G126" s="85">
        <f>R126*H126+U126</f>
        <v/>
      </c>
      <c r="H126" s="102" t="n">
        <v>2</v>
      </c>
      <c r="I126" s="103" t="inlineStr">
        <is>
          <t>FICRCD</t>
        </is>
      </c>
      <c r="J126" s="104" t="n">
        <v>1</v>
      </c>
      <c r="K126" s="89" t="inlineStr">
        <is>
          <t>citrus</t>
        </is>
      </c>
      <c r="L126" s="90">
        <f>IF(ISERROR(GETPIVOTDATA(IF($J126=1,"Count of ACTIVE     CED, FARM GATE (MJ/kg)","Count of CED, processor gate (MJ/kg)"),'[1]Pivot Table_CED'!$A$3,"SUB TYPE",$B126)),"PROXY",IF(GETPIVOTDATA(IF($J126=1,"Count of ACTIVE     CED, FARM GATE (MJ/kg)","Count of CED, processor gate (MJ/kg)"),'[1]Pivot Table_CED'!$A$3,"SUB TYPE",$B126)=0,"PROXY","DB value"))</f>
        <v/>
      </c>
      <c r="M126" s="91">
        <f>IF($L126="PROXY",DCOUNT('[1]literature entries'!$D:$AI,IF($J126=1,"ACTIVE     CED, FARM GATE (MJ/kg)","CED, processor gate (MJ/kg)"),INDIRECT($K126)),GETPIVOTDATA(IF($J126=1,"Count of ACTIVE     CED, FARM GATE (MJ/kg)","Count of CED, processor gate (MJ/kg)"),'[1]Pivot Table_CED'!$A$3,"SUB TYPE",$B126))</f>
        <v/>
      </c>
      <c r="N126" s="92">
        <f>IF($L126="PROXY",DAVERAGE('[1]literature entries'!$D:$AI,IF($J126=1,"ACTIVE     CED, FARM GATE (MJ/kg)","CED, processor gate (MJ/kg)"),INDIRECT($K126)),GETPIVOTDATA(IF($J126=1,"Average of ACTIVE     CED, FARM GATE (MJ/kg)","Average of CED, processor gate (MJ/kg)"),'[1]Pivot Table_CED'!$A$3,"SUB TYPE",$B126))</f>
        <v/>
      </c>
      <c r="O126" s="92">
        <f>IF($L126="PROXY",DSTDEV('[1]literature entries'!D:AI,IF($J126=1,"ACTIVE     CED, FARM GATE (MJ/kg)","CED, processor gate (MJ/kg)"),INDIRECT($K126)),GETPIVOTDATA(IF($J126=1,"StdDev of ACTIVE     CED, FARM GATE (MJ/kg)","StdDev of CED, processor gate (MJ/kg)"),'[1]Pivot Table_CED'!$A$3,"SUB TYPE",$B126))</f>
        <v/>
      </c>
      <c r="P126" s="90">
        <f>IF(ISERROR(GETPIVOTDATA(IF($J126=1,"Count of ACTIVE     GHGE, FARM GATE (kg CO2e/kg)","Count of GHGE, processor gate (kg CO2e/kg)"),'[1]Pivot Table_GHG'!$A$3,"SUB TYPE",$B126)),"PROXY",IF(GETPIVOTDATA(IF($J126=1,"Count of ACTIVE     GHGE, FARM GATE (kg CO2e/kg)","Count of GHGE, processor gate (kg CO2e/kg)"),'[1]Pivot Table_GHG'!$A$3,"SUB TYPE",$B126)=0,"PROXY","DB value"))</f>
        <v/>
      </c>
      <c r="Q126" s="93">
        <f>IF($P126="PROXY",DCOUNT('[1]literature entries'!$D:$AI,IF($J126=1,"ACTIVE     GHGE, FARM GATE (kg CO2e/kg)","GHGE, processor gate (kg CO2e/kg)"),INDIRECT($K126)),GETPIVOTDATA(IF($J126=1,"ACTIVE     GHGE, FARM GATE (kg CO2e/kg)","Count of GHGE, processor gate (kg CO2e/kg)"),'[1]Pivot Table_GHG'!$A$3,"SUB TYPE",$B126))</f>
        <v/>
      </c>
      <c r="R126" s="94">
        <f>IF($P126="PROXY",DAVERAGE('[1]literature entries'!$D:$AI,IF($J126=1,"ACTIVE     GHGE, FARM GATE (kg CO2e/kg)","GHGE, processor gate (kg CO2e/kg)"),INDIRECT($K126)),GETPIVOTDATA(IF($J126=1,"Average of ACTIVE     GHGE, FARM GATE (kg CO2e/kg)","Average of GHGE, processor gate (kg CO2e/kg)"),'[1]Pivot Table_GHG'!$A$3,"SUB TYPE",$B126))</f>
        <v/>
      </c>
      <c r="S126" s="94">
        <f>IF($P126="PROXY",DSTDEV('[1]literature entries'!$D:$AI,IF($J126=1,"ACTIVE     GHGE, FARM GATE (kg CO2e/kg)","GHGE, processor gate (kg CO2e/kg)"),INDIRECT($K126)),GETPIVOTDATA(IF($J126=1,"StdDev of ACTIVE     GHGE, FARM GATE (kg CO2e/kg)","StdDev of GHGE, processor gate (kg CO2e/kg)"),'[1]Pivot Table_GHG'!$A$3,"SUB TYPE",$B126))</f>
        <v/>
      </c>
      <c r="T126" s="107" t="n">
        <v>5.282</v>
      </c>
      <c r="U126" s="108" t="n">
        <v>0.9790791260799999</v>
      </c>
      <c r="V126" s="97" t="n"/>
      <c r="W126" s="98">
        <f>IF(L126="PROXY",IF(M126&gt;=5,K126,"need group"),IF(M126&gt;=5,"DIRECT","need group"))</f>
        <v/>
      </c>
      <c r="X126" s="98">
        <f>IF($W126="DIRECT",M126,DCOUNT('[1]literature entries'!$D:$AI,IF($J126=1,"ACTIVE     CED, FARM GATE (MJ/kg)","CED, processor gate (MJ/kg)"),INDIRECT($W126)))</f>
        <v/>
      </c>
      <c r="Y126" s="98">
        <f>IF($W126="DIRECT","",DAVERAGE('[1]literature entries'!$D:$AI,IF($J126=1,"ACTIVE     CED, FARM GATE (MJ/kg)","CED, processor gate (MJ/kg)"),INDIRECT($W126)))</f>
        <v/>
      </c>
      <c r="Z126" s="98">
        <f>IF($W126="DIRECT",$O126,DSTDEV('[1]literature entries'!$D:$AI,IF($J126=1,"ACTIVE     CED, FARM GATE (MJ/kg)","CED, processor gate (MJ/kg)"),INDIRECT($W126)))</f>
        <v/>
      </c>
      <c r="AA126" s="98">
        <f>IF($W126="DIRECT",$O126,$Z126/$Y126*$N126)</f>
        <v/>
      </c>
      <c r="AB126" s="99">
        <f>IF(P126="PROXY",IF(Q126&gt;=5,K126,"need group"),IF(Q126&gt;=5,"DIRECT","need group"))</f>
        <v/>
      </c>
      <c r="AC126" s="99">
        <f>IF($AB126="DIRECT",Q126,DCOUNT('[1]literature entries'!$D:$AI,IF($J126=1,"ACTIVE     GHGE, FARM GATE (kg CO2e/kg)","GHGE, processor gate (kg CO2e/kg)"),INDIRECT($AB126)))</f>
        <v/>
      </c>
      <c r="AD126" s="99">
        <f>IF($AB126="DIRECT","",DAVERAGE('[1]literature entries'!$D:$AI,IF($J126=1,"ACTIVE     GHGE, FARM GATE (kg CO2e/kg)","GHGE, processor gate (kg CO2e/kg)"),INDIRECT($AB126)))</f>
        <v/>
      </c>
      <c r="AE126" s="99">
        <f>IF($AB126="DIRECT",$S126,DSTDEV('[1]literature entries'!$D:$AI,IF($J126=1,"ACTIVE     GHGE, FARM GATE (kg CO2e/kg)","GHGE, processor gate (kg CO2e/kg)"),INDIRECT($AB126)))</f>
        <v/>
      </c>
      <c r="AF126" s="99">
        <f>IF($AB126="DIRECT",$S126,$AE126/$AD126*$R126)</f>
        <v/>
      </c>
    </row>
    <row r="127" ht="15.75" customHeight="1" s="201">
      <c r="A127" s="100" t="n">
        <v>1002197000</v>
      </c>
      <c r="B127" s="101" t="inlineStr">
        <is>
          <t>Kumquat</t>
        </is>
      </c>
      <c r="C127" s="101" t="inlineStr">
        <is>
          <t>weight of fruit; including peel; excluding seeds</t>
        </is>
      </c>
      <c r="D127" s="101" t="n"/>
      <c r="E127" s="101" t="n">
        <v>1</v>
      </c>
      <c r="F127" s="84">
        <f>N127*H127+T127</f>
        <v/>
      </c>
      <c r="G127" s="85">
        <f>R127*H127+U127</f>
        <v/>
      </c>
      <c r="H127" s="102" t="n">
        <v>1.08</v>
      </c>
      <c r="I127" s="102" t="inlineStr">
        <is>
          <t>FICRCD</t>
        </is>
      </c>
      <c r="J127" s="104" t="n">
        <v>1</v>
      </c>
      <c r="K127" s="89" t="inlineStr">
        <is>
          <t>citrus</t>
        </is>
      </c>
      <c r="L127" s="90">
        <f>IF(ISERROR(GETPIVOTDATA(IF($J127=1,"Count of ACTIVE     CED, FARM GATE (MJ/kg)","Count of CED, processor gate (MJ/kg)"),'[1]Pivot Table_CED'!$A$3,"SUB TYPE",$B127)),"PROXY",IF(GETPIVOTDATA(IF($J127=1,"Count of ACTIVE     CED, FARM GATE (MJ/kg)","Count of CED, processor gate (MJ/kg)"),'[1]Pivot Table_CED'!$A$3,"SUB TYPE",$B127)=0,"PROXY","DB value"))</f>
        <v/>
      </c>
      <c r="M127" s="91">
        <f>IF($L127="PROXY",DCOUNT('[1]literature entries'!$D:$AI,IF($J127=1,"ACTIVE     CED, FARM GATE (MJ/kg)","CED, processor gate (MJ/kg)"),INDIRECT($K127)),GETPIVOTDATA(IF($J127=1,"Count of ACTIVE     CED, FARM GATE (MJ/kg)","Count of CED, processor gate (MJ/kg)"),'[1]Pivot Table_CED'!$A$3,"SUB TYPE",$B127))</f>
        <v/>
      </c>
      <c r="N127" s="92">
        <f>IF($L127="PROXY",DAVERAGE('[1]literature entries'!$D:$AI,IF($J127=1,"ACTIVE     CED, FARM GATE (MJ/kg)","CED, processor gate (MJ/kg)"),INDIRECT($K127)),GETPIVOTDATA(IF($J127=1,"Average of ACTIVE     CED, FARM GATE (MJ/kg)","Average of CED, processor gate (MJ/kg)"),'[1]Pivot Table_CED'!$A$3,"SUB TYPE",$B127))</f>
        <v/>
      </c>
      <c r="O127" s="92">
        <f>IF($L127="PROXY",DSTDEV('[1]literature entries'!D:AI,IF($J127=1,"ACTIVE     CED, FARM GATE (MJ/kg)","CED, processor gate (MJ/kg)"),INDIRECT($K127)),GETPIVOTDATA(IF($J127=1,"StdDev of ACTIVE     CED, FARM GATE (MJ/kg)","StdDev of CED, processor gate (MJ/kg)"),'[1]Pivot Table_CED'!$A$3,"SUB TYPE",$B127))</f>
        <v/>
      </c>
      <c r="P127" s="90">
        <f>IF(ISERROR(GETPIVOTDATA(IF($J127=1,"Count of ACTIVE     GHGE, FARM GATE (kg CO2e/kg)","Count of GHGE, processor gate (kg CO2e/kg)"),'[1]Pivot Table_GHG'!$A$3,"SUB TYPE",$B127)),"PROXY",IF(GETPIVOTDATA(IF($J127=1,"Count of ACTIVE     GHGE, FARM GATE (kg CO2e/kg)","Count of GHGE, processor gate (kg CO2e/kg)"),'[1]Pivot Table_GHG'!$A$3,"SUB TYPE",$B127)=0,"PROXY","DB value"))</f>
        <v/>
      </c>
      <c r="Q127" s="93">
        <f>IF($P127="PROXY",DCOUNT('[1]literature entries'!$D:$AI,IF($J127=1,"ACTIVE     GHGE, FARM GATE (kg CO2e/kg)","GHGE, processor gate (kg CO2e/kg)"),INDIRECT($K127)),GETPIVOTDATA(IF($J127=1,"ACTIVE     GHGE, FARM GATE (kg CO2e/kg)","Count of GHGE, processor gate (kg CO2e/kg)"),'[1]Pivot Table_GHG'!$A$3,"SUB TYPE",$B127))</f>
        <v/>
      </c>
      <c r="R127" s="94">
        <f>IF($P127="PROXY",DAVERAGE('[1]literature entries'!$D:$AI,IF($J127=1,"ACTIVE     GHGE, FARM GATE (kg CO2e/kg)","GHGE, processor gate (kg CO2e/kg)"),INDIRECT($K127)),GETPIVOTDATA(IF($J127=1,"Average of ACTIVE     GHGE, FARM GATE (kg CO2e/kg)","Average of GHGE, processor gate (kg CO2e/kg)"),'[1]Pivot Table_GHG'!$A$3,"SUB TYPE",$B127))</f>
        <v/>
      </c>
      <c r="S127" s="94">
        <f>IF($P127="PROXY",DSTDEV('[1]literature entries'!$D:$AI,IF($J127=1,"ACTIVE     GHGE, FARM GATE (kg CO2e/kg)","GHGE, processor gate (kg CO2e/kg)"),INDIRECT($K127)),GETPIVOTDATA(IF($J127=1,"StdDev of ACTIVE     GHGE, FARM GATE (kg CO2e/kg)","StdDev of GHGE, processor gate (kg CO2e/kg)"),'[1]Pivot Table_GHG'!$A$3,"SUB TYPE",$B127))</f>
        <v/>
      </c>
      <c r="T127" s="105" t="n"/>
      <c r="U127" s="106" t="n"/>
      <c r="V127" s="97" t="n"/>
      <c r="W127" s="98">
        <f>IF(L127="PROXY",IF(M127&gt;=5,K127,"need group"),IF(M127&gt;=5,"DIRECT","need group"))</f>
        <v/>
      </c>
      <c r="X127" s="98">
        <f>IF($W127="DIRECT",M127,DCOUNT('[1]literature entries'!$D:$AI,IF($J127=1,"ACTIVE     CED, FARM GATE (MJ/kg)","CED, processor gate (MJ/kg)"),INDIRECT($W127)))</f>
        <v/>
      </c>
      <c r="Y127" s="98">
        <f>IF($W127="DIRECT","",DAVERAGE('[1]literature entries'!$D:$AI,IF($J127=1,"ACTIVE     CED, FARM GATE (MJ/kg)","CED, processor gate (MJ/kg)"),INDIRECT($W127)))</f>
        <v/>
      </c>
      <c r="Z127" s="98">
        <f>IF($W127="DIRECT",$O127,DSTDEV('[1]literature entries'!$D:$AI,IF($J127=1,"ACTIVE     CED, FARM GATE (MJ/kg)","CED, processor gate (MJ/kg)"),INDIRECT($W127)))</f>
        <v/>
      </c>
      <c r="AA127" s="98">
        <f>IF($W127="DIRECT",$O127,$Z127/$Y127*$N127)</f>
        <v/>
      </c>
      <c r="AB127" s="99">
        <f>IF(P127="PROXY",IF(Q127&gt;=5,K127,"need group"),IF(Q127&gt;=5,"DIRECT","need group"))</f>
        <v/>
      </c>
      <c r="AC127" s="99">
        <f>IF($AB127="DIRECT",Q127,DCOUNT('[1]literature entries'!$D:$AI,IF($J127=1,"ACTIVE     GHGE, FARM GATE (kg CO2e/kg)","GHGE, processor gate (kg CO2e/kg)"),INDIRECT($AB127)))</f>
        <v/>
      </c>
      <c r="AD127" s="99">
        <f>IF($AB127="DIRECT","",DAVERAGE('[1]literature entries'!$D:$AI,IF($J127=1,"ACTIVE     GHGE, FARM GATE (kg CO2e/kg)","GHGE, processor gate (kg CO2e/kg)"),INDIRECT($AB127)))</f>
        <v/>
      </c>
      <c r="AE127" s="99">
        <f>IF($AB127="DIRECT",$S127,DSTDEV('[1]literature entries'!$D:$AI,IF($J127=1,"ACTIVE     GHGE, FARM GATE (kg CO2e/kg)","GHGE, processor gate (kg CO2e/kg)"),INDIRECT($AB127)))</f>
        <v/>
      </c>
      <c r="AF127" s="99">
        <f>IF($AB127="DIRECT",$S127,$AE127/$AD127*$R127)</f>
        <v/>
      </c>
    </row>
    <row r="128" ht="15.75" customHeight="1" s="201">
      <c r="A128" s="100" t="n">
        <v>1002199000</v>
      </c>
      <c r="B128" s="101" t="inlineStr">
        <is>
          <t>Lemon</t>
        </is>
      </c>
      <c r="C128" s="101" t="inlineStr">
        <is>
          <t>weight of pulp; excluding seeds and peel</t>
        </is>
      </c>
      <c r="D128" s="101" t="n"/>
      <c r="E128" s="101" t="n">
        <v>2076</v>
      </c>
      <c r="F128" s="84">
        <f>N128*H128+T128</f>
        <v/>
      </c>
      <c r="G128" s="85">
        <f>R128*H128+U128</f>
        <v/>
      </c>
      <c r="H128" s="102" t="n">
        <v>1.89</v>
      </c>
      <c r="I128" s="102" t="inlineStr">
        <is>
          <t>FICRCD</t>
        </is>
      </c>
      <c r="J128" s="104" t="n">
        <v>1</v>
      </c>
      <c r="K128" s="89" t="n"/>
      <c r="L128" s="90">
        <f>IF(ISERROR(GETPIVOTDATA(IF($J128=1,"Count of ACTIVE     CED, FARM GATE (MJ/kg)","Count of CED, processor gate (MJ/kg)"),'[1]Pivot Table_CED'!$A$3,"SUB TYPE",$B128)),"PROXY",IF(GETPIVOTDATA(IF($J128=1,"Count of ACTIVE     CED, FARM GATE (MJ/kg)","Count of CED, processor gate (MJ/kg)"),'[1]Pivot Table_CED'!$A$3,"SUB TYPE",$B128)=0,"PROXY","DB value"))</f>
        <v/>
      </c>
      <c r="M128" s="91">
        <f>IF($L128="PROXY",DCOUNT('[1]literature entries'!$D:$AI,IF($J128=1,"ACTIVE     CED, FARM GATE (MJ/kg)","CED, processor gate (MJ/kg)"),INDIRECT($K128)),GETPIVOTDATA(IF($J128=1,"Count of ACTIVE     CED, FARM GATE (MJ/kg)","Count of CED, processor gate (MJ/kg)"),'[1]Pivot Table_CED'!$A$3,"SUB TYPE",$B128))</f>
        <v/>
      </c>
      <c r="N128" s="92">
        <f>IF($L128="PROXY",DAVERAGE('[1]literature entries'!$D:$AI,IF($J128=1,"ACTIVE     CED, FARM GATE (MJ/kg)","CED, processor gate (MJ/kg)"),INDIRECT($K128)),GETPIVOTDATA(IF($J128=1,"Average of ACTIVE     CED, FARM GATE (MJ/kg)","Average of CED, processor gate (MJ/kg)"),'[1]Pivot Table_CED'!$A$3,"SUB TYPE",$B128))</f>
        <v/>
      </c>
      <c r="O128" s="92">
        <f>IF($L128="PROXY",DSTDEV('[1]literature entries'!D:AI,IF($J128=1,"ACTIVE     CED, FARM GATE (MJ/kg)","CED, processor gate (MJ/kg)"),INDIRECT($K128)),GETPIVOTDATA(IF($J128=1,"StdDev of ACTIVE     CED, FARM GATE (MJ/kg)","StdDev of CED, processor gate (MJ/kg)"),'[1]Pivot Table_CED'!$A$3,"SUB TYPE",$B128))</f>
        <v/>
      </c>
      <c r="P128" s="90">
        <f>IF(ISERROR(GETPIVOTDATA(IF($J128=1,"Count of ACTIVE     GHGE, FARM GATE (kg CO2e/kg)","Count of GHGE, processor gate (kg CO2e/kg)"),'[1]Pivot Table_GHG'!$A$3,"SUB TYPE",$B128)),"PROXY",IF(GETPIVOTDATA(IF($J128=1,"Count of ACTIVE     GHGE, FARM GATE (kg CO2e/kg)","Count of GHGE, processor gate (kg CO2e/kg)"),'[1]Pivot Table_GHG'!$A$3,"SUB TYPE",$B128)=0,"PROXY","DB value"))</f>
        <v/>
      </c>
      <c r="Q128" s="93">
        <f>IF($P128="PROXY",DCOUNT('[1]literature entries'!$D:$AI,IF($J128=1,"ACTIVE     GHGE, FARM GATE (kg CO2e/kg)","GHGE, processor gate (kg CO2e/kg)"),INDIRECT($K128)),GETPIVOTDATA(IF($J128=1,"ACTIVE     GHGE, FARM GATE (kg CO2e/kg)","Count of GHGE, processor gate (kg CO2e/kg)"),'[1]Pivot Table_GHG'!$A$3,"SUB TYPE",$B128))</f>
        <v/>
      </c>
      <c r="R128" s="94">
        <f>IF($P128="PROXY",DAVERAGE('[1]literature entries'!$D:$AI,IF($J128=1,"ACTIVE     GHGE, FARM GATE (kg CO2e/kg)","GHGE, processor gate (kg CO2e/kg)"),INDIRECT($K128)),GETPIVOTDATA(IF($J128=1,"Average of ACTIVE     GHGE, FARM GATE (kg CO2e/kg)","Average of GHGE, processor gate (kg CO2e/kg)"),'[1]Pivot Table_GHG'!$A$3,"SUB TYPE",$B128))</f>
        <v/>
      </c>
      <c r="S128" s="94">
        <f>IF($P128="PROXY",DSTDEV('[1]literature entries'!$D:$AI,IF($J128=1,"ACTIVE     GHGE, FARM GATE (kg CO2e/kg)","GHGE, processor gate (kg CO2e/kg)"),INDIRECT($K128)),GETPIVOTDATA(IF($J128=1,"StdDev of ACTIVE     GHGE, FARM GATE (kg CO2e/kg)","StdDev of GHGE, processor gate (kg CO2e/kg)"),'[1]Pivot Table_GHG'!$A$3,"SUB TYPE",$B128))</f>
        <v/>
      </c>
      <c r="T128" s="105" t="n"/>
      <c r="U128" s="106" t="n"/>
      <c r="V128" s="97" t="n"/>
      <c r="W128" s="98" t="inlineStr">
        <is>
          <t>citrus</t>
        </is>
      </c>
      <c r="X128" s="98">
        <f>IF($W128="DIRECT",M128,DCOUNT('[1]literature entries'!$D:$AI,IF($J128=1,"ACTIVE     CED, FARM GATE (MJ/kg)","CED, processor gate (MJ/kg)"),INDIRECT($W128)))</f>
        <v/>
      </c>
      <c r="Y128" s="98">
        <f>IF($W128="DIRECT","",DAVERAGE('[1]literature entries'!$D:$AI,IF($J128=1,"ACTIVE     CED, FARM GATE (MJ/kg)","CED, processor gate (MJ/kg)"),INDIRECT($W128)))</f>
        <v/>
      </c>
      <c r="Z128" s="98">
        <f>IF($W128="DIRECT",$O128,DSTDEV('[1]literature entries'!$D:$AI,IF($J128=1,"ACTIVE     CED, FARM GATE (MJ/kg)","CED, processor gate (MJ/kg)"),INDIRECT($W128)))</f>
        <v/>
      </c>
      <c r="AA128" s="98">
        <f>IF($W128="DIRECT",$O128,$Z128/$Y128*$N128)</f>
        <v/>
      </c>
      <c r="AB128" s="99" t="inlineStr">
        <is>
          <t>citrus</t>
        </is>
      </c>
      <c r="AC128" s="99">
        <f>IF($AB128="DIRECT",Q128,DCOUNT('[1]literature entries'!$D:$AI,IF($J128=1,"ACTIVE     GHGE, FARM GATE (kg CO2e/kg)","GHGE, processor gate (kg CO2e/kg)"),INDIRECT($AB128)))</f>
        <v/>
      </c>
      <c r="AD128" s="99">
        <f>IF($AB128="DIRECT","",DAVERAGE('[1]literature entries'!$D:$AI,IF($J128=1,"ACTIVE     GHGE, FARM GATE (kg CO2e/kg)","GHGE, processor gate (kg CO2e/kg)"),INDIRECT($AB128)))</f>
        <v/>
      </c>
      <c r="AE128" s="99">
        <f>IF($AB128="DIRECT",$S128,DSTDEV('[1]literature entries'!$D:$AI,IF($J128=1,"ACTIVE     GHGE, FARM GATE (kg CO2e/kg)","GHGE, processor gate (kg CO2e/kg)"),INDIRECT($AB128)))</f>
        <v/>
      </c>
      <c r="AF128" s="99">
        <f>IF($AB128="DIRECT",$S128,$AE128/$AD128*$R128)</f>
        <v/>
      </c>
    </row>
    <row r="129" ht="15.75" customHeight="1" s="201">
      <c r="A129" s="100" t="n">
        <v>1002200000</v>
      </c>
      <c r="B129" s="101" t="inlineStr">
        <is>
          <t>Lemon, juice</t>
        </is>
      </c>
      <c r="C129" s="112" t="inlineStr">
        <is>
          <t>weight of juice at single strength (or standard dilution)</t>
        </is>
      </c>
      <c r="D129" s="101" t="n"/>
      <c r="E129" s="101" t="n">
        <v>21356</v>
      </c>
      <c r="F129" s="84">
        <f>N129*H129+T129</f>
        <v/>
      </c>
      <c r="G129" s="85">
        <f>R129*H129+U129</f>
        <v/>
      </c>
      <c r="H129" s="102" t="n">
        <v>1</v>
      </c>
      <c r="I129" s="103" t="inlineStr">
        <is>
          <t>none</t>
        </is>
      </c>
      <c r="J129" s="104" t="n">
        <v>2</v>
      </c>
      <c r="K129" s="126" t="n"/>
      <c r="L129" s="90">
        <f>IF(ISERROR(GETPIVOTDATA(IF($J129=1,"Count of ACTIVE     CED, FARM GATE (MJ/kg)","Count of CED, processor gate (MJ/kg)"),'[1]Pivot Table_CED'!$A$3,"SUB TYPE",$B129)),"PROXY",IF(GETPIVOTDATA(IF($J129=1,"Count of ACTIVE     CED, FARM GATE (MJ/kg)","Count of CED, processor gate (MJ/kg)"),'[1]Pivot Table_CED'!$A$3,"SUB TYPE",$B129)=0,"PROXY","DB value"))</f>
        <v/>
      </c>
      <c r="M129" s="91">
        <f>IF($L129="PROXY",DCOUNT('[1]literature entries'!$D:$AI,IF($J129=1,"ACTIVE     CED, FARM GATE (MJ/kg)","CED, processor gate (MJ/kg)"),INDIRECT($K129)),GETPIVOTDATA(IF($J129=1,"Count of ACTIVE     CED, FARM GATE (MJ/kg)","Count of CED, processor gate (MJ/kg)"),'[1]Pivot Table_CED'!$A$3,"SUB TYPE",$B129))</f>
        <v/>
      </c>
      <c r="N129" s="92">
        <f>IF($L129="PROXY",DAVERAGE('[1]literature entries'!$D:$AI,IF($J129=1,"ACTIVE     CED, FARM GATE (MJ/kg)","CED, processor gate (MJ/kg)"),INDIRECT($K129)),GETPIVOTDATA(IF($J129=1,"Average of ACTIVE     CED, FARM GATE (MJ/kg)","Average of CED, processor gate (MJ/kg)"),'[1]Pivot Table_CED'!$A$3,"SUB TYPE",$B129))</f>
        <v/>
      </c>
      <c r="O129" s="92">
        <f>IF($L129="PROXY",DSTDEV('[1]literature entries'!D:AI,IF($J129=1,"ACTIVE     CED, FARM GATE (MJ/kg)","CED, processor gate (MJ/kg)"),INDIRECT($K129)),GETPIVOTDATA(IF($J129=1,"StdDev of ACTIVE     CED, FARM GATE (MJ/kg)","StdDev of CED, processor gate (MJ/kg)"),'[1]Pivot Table_CED'!$A$3,"SUB TYPE",$B129))</f>
        <v/>
      </c>
      <c r="P129" s="90">
        <f>IF(ISERROR(GETPIVOTDATA(IF($J129=1,"Count of ACTIVE     GHGE, FARM GATE (kg CO2e/kg)","Count of GHGE, processor gate (kg CO2e/kg)"),'[1]Pivot Table_GHG'!$A$3,"SUB TYPE",$B129)),"PROXY",IF(GETPIVOTDATA(IF($J129=1,"Count of ACTIVE     GHGE, FARM GATE (kg CO2e/kg)","Count of GHGE, processor gate (kg CO2e/kg)"),'[1]Pivot Table_GHG'!$A$3,"SUB TYPE",$B129)=0,"PROXY","DB value"))</f>
        <v/>
      </c>
      <c r="Q129" s="93">
        <f>IF($P129="PROXY",DCOUNT('[1]literature entries'!$D:$AI,IF($J129=1,"ACTIVE     GHGE, FARM GATE (kg CO2e/kg)","GHGE, processor gate (kg CO2e/kg)"),INDIRECT($K129)),GETPIVOTDATA(IF($J129=1,"ACTIVE     GHGE, FARM GATE (kg CO2e/kg)","Count of GHGE, processor gate (kg CO2e/kg)"),'[1]Pivot Table_GHG'!$A$3,"SUB TYPE",$B129))</f>
        <v/>
      </c>
      <c r="R129" s="94">
        <f>IF($P129="PROXY",DAVERAGE('[1]literature entries'!$D:$AI,IF($J129=1,"ACTIVE     GHGE, FARM GATE (kg CO2e/kg)","GHGE, processor gate (kg CO2e/kg)"),INDIRECT($K129)),GETPIVOTDATA(IF($J129=1,"Average of ACTIVE     GHGE, FARM GATE (kg CO2e/kg)","Average of GHGE, processor gate (kg CO2e/kg)"),'[1]Pivot Table_GHG'!$A$3,"SUB TYPE",$B129))</f>
        <v/>
      </c>
      <c r="S129" s="94">
        <f>IF($P129="PROXY",DSTDEV('[1]literature entries'!$D:$AI,IF($J129=1,"ACTIVE     GHGE, FARM GATE (kg CO2e/kg)","GHGE, processor gate (kg CO2e/kg)"),INDIRECT($K129)),GETPIVOTDATA(IF($J129=1,"StdDev of ACTIVE     GHGE, FARM GATE (kg CO2e/kg)","StdDev of GHGE, processor gate (kg CO2e/kg)"),'[1]Pivot Table_GHG'!$A$3,"SUB TYPE",$B129))</f>
        <v/>
      </c>
      <c r="T129" s="105" t="n"/>
      <c r="U129" s="106" t="n"/>
      <c r="V129" s="97" t="n"/>
      <c r="W129" s="110" t="inlineStr">
        <is>
          <t>citrus</t>
        </is>
      </c>
      <c r="X129" s="98">
        <f t="array" ref="X129">IF($W129="DIRECT",M129,DCOUNT('[1]literature entries'!$D:$AI,"ACTIVE     CED, FARM GATE (MJ/kg)",INDIRECT($W129)))</f>
        <v/>
      </c>
      <c r="Y129" s="98">
        <f t="array" ref="Y129">IF($W129="DIRECT","",DAVERAGE('[1]literature entries'!$D:$AI,"ACTIVE     CED, FARM GATE (MJ/kg)",INDIRECT($W129)))</f>
        <v/>
      </c>
      <c r="Z129" s="98">
        <f t="array" ref="Z129">IF($W129="DIRECT",$O129,DSTDEV('[1]literature entries'!$D:$AI,"ACTIVE     CED, FARM GATE (MJ/kg)",INDIRECT($W129)))</f>
        <v/>
      </c>
      <c r="AA129" s="98">
        <f>IF($W129="DIRECT",$O129,$Z129/$Y129*$N129)</f>
        <v/>
      </c>
      <c r="AB129" s="110" t="inlineStr">
        <is>
          <t>citrus</t>
        </is>
      </c>
      <c r="AC129" s="99">
        <f t="array" ref="AC129">IF($AB129="DIRECT",Q129,DCOUNT('[1]literature entries'!$D:$AI,"ACTIVE     GHGE, FARM GATE (kg CO2e/kg)",INDIRECT($AB129)))</f>
        <v/>
      </c>
      <c r="AD129" s="99">
        <f t="array" ref="AD129">IF($AB129="DIRECT","",DAVERAGE('[1]literature entries'!$D:$AI,"ACTIVE     GHGE, FARM GATE (kg CO2e/kg)",INDIRECT($AB129)))</f>
        <v/>
      </c>
      <c r="AE129" s="99">
        <f t="array" ref="AE129">IF($AB129="DIRECT",$S129,DSTDEV('[1]literature entries'!$D:$AI,"ACTIVE     GHGE, FARM GATE (kg CO2e/kg)",INDIRECT($AB129)))</f>
        <v/>
      </c>
      <c r="AF129" s="99">
        <f>IF($AB129="DIRECT",$S129,$AE129/$AD129*$R129)</f>
        <v/>
      </c>
    </row>
    <row r="130" ht="15.75" customHeight="1" s="201">
      <c r="A130" s="100" t="n">
        <v>1002201000</v>
      </c>
      <c r="B130" s="101" t="inlineStr">
        <is>
          <t>Lemon, peel</t>
        </is>
      </c>
      <c r="C130" s="101" t="inlineStr">
        <is>
          <t>weight of peel only</t>
        </is>
      </c>
      <c r="D130" s="101" t="n"/>
      <c r="E130" s="101" t="n">
        <v>770</v>
      </c>
      <c r="F130" s="84">
        <f>N130*H130+T130</f>
        <v/>
      </c>
      <c r="G130" s="85">
        <f>R130*H130+U130</f>
        <v/>
      </c>
      <c r="H130" s="102" t="n">
        <v>1</v>
      </c>
      <c r="I130" s="103" t="inlineStr">
        <is>
          <t>None</t>
        </is>
      </c>
      <c r="J130" s="104" t="n">
        <v>1</v>
      </c>
      <c r="K130" s="89" t="inlineStr">
        <is>
          <t>citrus</t>
        </is>
      </c>
      <c r="L130" s="90">
        <f>IF(ISERROR(GETPIVOTDATA(IF($J130=1,"Count of ACTIVE     CED, FARM GATE (MJ/kg)","Count of CED, processor gate (MJ/kg)"),'[1]Pivot Table_CED'!$A$3,"SUB TYPE",$B130)),"PROXY",IF(GETPIVOTDATA(IF($J130=1,"Count of ACTIVE     CED, FARM GATE (MJ/kg)","Count of CED, processor gate (MJ/kg)"),'[1]Pivot Table_CED'!$A$3,"SUB TYPE",$B130)=0,"PROXY","DB value"))</f>
        <v/>
      </c>
      <c r="M130" s="91">
        <f>IF($L130="PROXY",DCOUNT('[1]literature entries'!$D:$AI,IF($J130=1,"ACTIVE     CED, FARM GATE (MJ/kg)","CED, processor gate (MJ/kg)"),INDIRECT($K130)),GETPIVOTDATA(IF($J130=1,"Count of ACTIVE     CED, FARM GATE (MJ/kg)","Count of CED, processor gate (MJ/kg)"),'[1]Pivot Table_CED'!$A$3,"SUB TYPE",$B130))</f>
        <v/>
      </c>
      <c r="N130" s="92">
        <f>IF($L130="PROXY",DAVERAGE('[1]literature entries'!$D:$AI,IF($J130=1,"ACTIVE     CED, FARM GATE (MJ/kg)","CED, processor gate (MJ/kg)"),INDIRECT($K130)),GETPIVOTDATA(IF($J130=1,"Average of ACTIVE     CED, FARM GATE (MJ/kg)","Average of CED, processor gate (MJ/kg)"),'[1]Pivot Table_CED'!$A$3,"SUB TYPE",$B130))</f>
        <v/>
      </c>
      <c r="O130" s="92">
        <f>IF($L130="PROXY",DSTDEV('[1]literature entries'!D:AI,IF($J130=1,"ACTIVE     CED, FARM GATE (MJ/kg)","CED, processor gate (MJ/kg)"),INDIRECT($K130)),GETPIVOTDATA(IF($J130=1,"StdDev of ACTIVE     CED, FARM GATE (MJ/kg)","StdDev of CED, processor gate (MJ/kg)"),'[1]Pivot Table_CED'!$A$3,"SUB TYPE",$B130))</f>
        <v/>
      </c>
      <c r="P130" s="90">
        <f>IF(ISERROR(GETPIVOTDATA(IF($J130=1,"Count of ACTIVE     GHGE, FARM GATE (kg CO2e/kg)","Count of GHGE, processor gate (kg CO2e/kg)"),'[1]Pivot Table_GHG'!$A$3,"SUB TYPE",$B130)),"PROXY",IF(GETPIVOTDATA(IF($J130=1,"Count of ACTIVE     GHGE, FARM GATE (kg CO2e/kg)","Count of GHGE, processor gate (kg CO2e/kg)"),'[1]Pivot Table_GHG'!$A$3,"SUB TYPE",$B130)=0,"PROXY","DB value"))</f>
        <v/>
      </c>
      <c r="Q130" s="93">
        <f>IF($P130="PROXY",DCOUNT('[1]literature entries'!$D:$AI,IF($J130=1,"ACTIVE     GHGE, FARM GATE (kg CO2e/kg)","GHGE, processor gate (kg CO2e/kg)"),INDIRECT($K130)),GETPIVOTDATA(IF($J130=1,"ACTIVE     GHGE, FARM GATE (kg CO2e/kg)","Count of GHGE, processor gate (kg CO2e/kg)"),'[1]Pivot Table_GHG'!$A$3,"SUB TYPE",$B130))</f>
        <v/>
      </c>
      <c r="R130" s="94">
        <f>IF($P130="PROXY",DAVERAGE('[1]literature entries'!$D:$AI,IF($J130=1,"ACTIVE     GHGE, FARM GATE (kg CO2e/kg)","GHGE, processor gate (kg CO2e/kg)"),INDIRECT($K130)),GETPIVOTDATA(IF($J130=1,"Average of ACTIVE     GHGE, FARM GATE (kg CO2e/kg)","Average of GHGE, processor gate (kg CO2e/kg)"),'[1]Pivot Table_GHG'!$A$3,"SUB TYPE",$B130))</f>
        <v/>
      </c>
      <c r="S130" s="94">
        <f>IF($P130="PROXY",DSTDEV('[1]literature entries'!$D:$AI,IF($J130=1,"ACTIVE     GHGE, FARM GATE (kg CO2e/kg)","GHGE, processor gate (kg CO2e/kg)"),INDIRECT($K130)),GETPIVOTDATA(IF($J130=1,"StdDev of ACTIVE     GHGE, FARM GATE (kg CO2e/kg)","StdDev of GHGE, processor gate (kg CO2e/kg)"),'[1]Pivot Table_GHG'!$A$3,"SUB TYPE",$B130))</f>
        <v/>
      </c>
      <c r="T130" s="105" t="n"/>
      <c r="U130" s="106" t="n"/>
      <c r="V130" s="97" t="n"/>
      <c r="W130" s="98" t="inlineStr">
        <is>
          <t>citrus</t>
        </is>
      </c>
      <c r="X130" s="98">
        <f>IF($W130="DIRECT",M130,DCOUNT('[1]literature entries'!$D:$AI,IF($J130=1,"ACTIVE     CED, FARM GATE (MJ/kg)","CED, processor gate (MJ/kg)"),INDIRECT($W130)))</f>
        <v/>
      </c>
      <c r="Y130" s="98">
        <f>IF($W130="DIRECT","",DAVERAGE('[1]literature entries'!$D:$AI,IF($J130=1,"ACTIVE     CED, FARM GATE (MJ/kg)","CED, processor gate (MJ/kg)"),INDIRECT($W130)))</f>
        <v/>
      </c>
      <c r="Z130" s="98">
        <f>IF($W130="DIRECT",$O130,DSTDEV('[1]literature entries'!$D:$AI,IF($J130=1,"ACTIVE     CED, FARM GATE (MJ/kg)","CED, processor gate (MJ/kg)"),INDIRECT($W130)))</f>
        <v/>
      </c>
      <c r="AA130" s="98">
        <f>IF($W130="DIRECT",$O130,$Z130/$Y130*$N130)</f>
        <v/>
      </c>
      <c r="AB130" s="99">
        <f>IF(P130="PROXY",IF(Q130&gt;=5,K130,"need group"),IF(Q130&gt;=5,"DIRECT","need group"))</f>
        <v/>
      </c>
      <c r="AC130" s="99">
        <f>IF($AB130="DIRECT",Q130,DCOUNT('[1]literature entries'!$D:$AI,IF($J130=1,"ACTIVE     GHGE, FARM GATE (kg CO2e/kg)","GHGE, processor gate (kg CO2e/kg)"),INDIRECT($AB130)))</f>
        <v/>
      </c>
      <c r="AD130" s="99">
        <f>IF($AB130="DIRECT","",DAVERAGE('[1]literature entries'!$D:$AI,IF($J130=1,"ACTIVE     GHGE, FARM GATE (kg CO2e/kg)","GHGE, processor gate (kg CO2e/kg)"),INDIRECT($AB130)))</f>
        <v/>
      </c>
      <c r="AE130" s="99">
        <f>IF($AB130="DIRECT",$S130,DSTDEV('[1]literature entries'!$D:$AI,IF($J130=1,"ACTIVE     GHGE, FARM GATE (kg CO2e/kg)","GHGE, processor gate (kg CO2e/kg)"),INDIRECT($AB130)))</f>
        <v/>
      </c>
      <c r="AF130" s="99">
        <f>IF($AB130="DIRECT",$S130,$AE130/$AD130*$R130)</f>
        <v/>
      </c>
    </row>
    <row r="131" ht="15.75" customHeight="1" s="201">
      <c r="A131" s="100" t="n">
        <v>1002206000</v>
      </c>
      <c r="B131" s="101" t="inlineStr">
        <is>
          <t>Lime</t>
        </is>
      </c>
      <c r="C131" s="101" t="inlineStr">
        <is>
          <t>weight of pulp; excluding seeds and peel</t>
        </is>
      </c>
      <c r="D131" s="101" t="inlineStr">
        <is>
          <t>Australian desert lime, Australian finger lime, Australian round lime, Brown River finger lime, Mount White lime, New Guinea wild lime, Russell River lime, Sweet lime, Tahiti Lime.</t>
        </is>
      </c>
      <c r="E131" s="101" t="n">
        <v>34</v>
      </c>
      <c r="F131" s="84">
        <f>N131*H131+T131</f>
        <v/>
      </c>
      <c r="G131" s="85">
        <f>R131*H131+U131</f>
        <v/>
      </c>
      <c r="H131" s="102" t="n">
        <v>1.2</v>
      </c>
      <c r="I131" s="102" t="inlineStr">
        <is>
          <t>FICRCD</t>
        </is>
      </c>
      <c r="J131" s="104" t="n">
        <v>1</v>
      </c>
      <c r="K131" s="89" t="inlineStr">
        <is>
          <t>citrus</t>
        </is>
      </c>
      <c r="L131" s="90">
        <f>IF(ISERROR(GETPIVOTDATA(IF($J131=1,"Count of ACTIVE     CED, FARM GATE (MJ/kg)","Count of CED, processor gate (MJ/kg)"),'[1]Pivot Table_CED'!$A$3,"SUB TYPE",$B131)),"PROXY",IF(GETPIVOTDATA(IF($J131=1,"Count of ACTIVE     CED, FARM GATE (MJ/kg)","Count of CED, processor gate (MJ/kg)"),'[1]Pivot Table_CED'!$A$3,"SUB TYPE",$B131)=0,"PROXY","DB value"))</f>
        <v/>
      </c>
      <c r="M131" s="91">
        <f>IF($L131="PROXY",DCOUNT('[1]literature entries'!$D:$AI,IF($J131=1,"ACTIVE     CED, FARM GATE (MJ/kg)","CED, processor gate (MJ/kg)"),INDIRECT($K131)),GETPIVOTDATA(IF($J131=1,"Count of ACTIVE     CED, FARM GATE (MJ/kg)","Count of CED, processor gate (MJ/kg)"),'[1]Pivot Table_CED'!$A$3,"SUB TYPE",$B131))</f>
        <v/>
      </c>
      <c r="N131" s="92">
        <f>IF($L131="PROXY",DAVERAGE('[1]literature entries'!$D:$AI,IF($J131=1,"ACTIVE     CED, FARM GATE (MJ/kg)","CED, processor gate (MJ/kg)"),INDIRECT($K131)),GETPIVOTDATA(IF($J131=1,"Average of ACTIVE     CED, FARM GATE (MJ/kg)","Average of CED, processor gate (MJ/kg)"),'[1]Pivot Table_CED'!$A$3,"SUB TYPE",$B131))</f>
        <v/>
      </c>
      <c r="O131" s="92">
        <f>IF($L131="PROXY",DSTDEV('[1]literature entries'!D:AI,IF($J131=1,"ACTIVE     CED, FARM GATE (MJ/kg)","CED, processor gate (MJ/kg)"),INDIRECT($K131)),GETPIVOTDATA(IF($J131=1,"StdDev of ACTIVE     CED, FARM GATE (MJ/kg)","StdDev of CED, processor gate (MJ/kg)"),'[1]Pivot Table_CED'!$A$3,"SUB TYPE",$B131))</f>
        <v/>
      </c>
      <c r="P131" s="90">
        <f>IF(ISERROR(GETPIVOTDATA(IF($J131=1,"Count of ACTIVE     GHGE, FARM GATE (kg CO2e/kg)","Count of GHGE, processor gate (kg CO2e/kg)"),'[1]Pivot Table_GHG'!$A$3,"SUB TYPE",$B131)),"PROXY",IF(GETPIVOTDATA(IF($J131=1,"Count of ACTIVE     GHGE, FARM GATE (kg CO2e/kg)","Count of GHGE, processor gate (kg CO2e/kg)"),'[1]Pivot Table_GHG'!$A$3,"SUB TYPE",$B131)=0,"PROXY","DB value"))</f>
        <v/>
      </c>
      <c r="Q131" s="93">
        <f>IF($P131="PROXY",DCOUNT('[1]literature entries'!$D:$AI,IF($J131=1,"ACTIVE     GHGE, FARM GATE (kg CO2e/kg)","GHGE, processor gate (kg CO2e/kg)"),INDIRECT($K131)),GETPIVOTDATA(IF($J131=1,"ACTIVE     GHGE, FARM GATE (kg CO2e/kg)","Count of GHGE, processor gate (kg CO2e/kg)"),'[1]Pivot Table_GHG'!$A$3,"SUB TYPE",$B131))</f>
        <v/>
      </c>
      <c r="R131" s="94">
        <f>IF($P131="PROXY",DAVERAGE('[1]literature entries'!$D:$AI,IF($J131=1,"ACTIVE     GHGE, FARM GATE (kg CO2e/kg)","GHGE, processor gate (kg CO2e/kg)"),INDIRECT($K131)),GETPIVOTDATA(IF($J131=1,"Average of ACTIVE     GHGE, FARM GATE (kg CO2e/kg)","Average of GHGE, processor gate (kg CO2e/kg)"),'[1]Pivot Table_GHG'!$A$3,"SUB TYPE",$B131))</f>
        <v/>
      </c>
      <c r="S131" s="94">
        <f>IF($P131="PROXY",DSTDEV('[1]literature entries'!$D:$AI,IF($J131=1,"ACTIVE     GHGE, FARM GATE (kg CO2e/kg)","GHGE, processor gate (kg CO2e/kg)"),INDIRECT($K131)),GETPIVOTDATA(IF($J131=1,"StdDev of ACTIVE     GHGE, FARM GATE (kg CO2e/kg)","StdDev of GHGE, processor gate (kg CO2e/kg)"),'[1]Pivot Table_GHG'!$A$3,"SUB TYPE",$B131))</f>
        <v/>
      </c>
      <c r="T131" s="105" t="n"/>
      <c r="U131" s="106" t="n"/>
      <c r="V131" s="97" t="n"/>
      <c r="W131" s="98" t="inlineStr">
        <is>
          <t>citrus</t>
        </is>
      </c>
      <c r="X131" s="98">
        <f>IF($W131="DIRECT",M131,DCOUNT('[1]literature entries'!$D:$AI,IF($J131=1,"ACTIVE     CED, FARM GATE (MJ/kg)","CED, processor gate (MJ/kg)"),INDIRECT($W131)))</f>
        <v/>
      </c>
      <c r="Y131" s="98">
        <f>IF($W131="DIRECT","",DAVERAGE('[1]literature entries'!$D:$AI,IF($J131=1,"ACTIVE     CED, FARM GATE (MJ/kg)","CED, processor gate (MJ/kg)"),INDIRECT($W131)))</f>
        <v/>
      </c>
      <c r="Z131" s="98">
        <f>IF($W131="DIRECT",$O131,DSTDEV('[1]literature entries'!$D:$AI,IF($J131=1,"ACTIVE     CED, FARM GATE (MJ/kg)","CED, processor gate (MJ/kg)"),INDIRECT($W131)))</f>
        <v/>
      </c>
      <c r="AA131" s="98">
        <f>IF($W131="DIRECT",$O131,$Z131/$Y131*$N131)</f>
        <v/>
      </c>
      <c r="AB131" s="99" t="inlineStr">
        <is>
          <t>citrus</t>
        </is>
      </c>
      <c r="AC131" s="99">
        <f>IF($AB131="DIRECT",Q131,DCOUNT('[1]literature entries'!$D:$AI,IF($J131=1,"ACTIVE     GHGE, FARM GATE (kg CO2e/kg)","GHGE, processor gate (kg CO2e/kg)"),INDIRECT($AB131)))</f>
        <v/>
      </c>
      <c r="AD131" s="99">
        <f>IF($AB131="DIRECT","",DAVERAGE('[1]literature entries'!$D:$AI,IF($J131=1,"ACTIVE     GHGE, FARM GATE (kg CO2e/kg)","GHGE, processor gate (kg CO2e/kg)"),INDIRECT($AB131)))</f>
        <v/>
      </c>
      <c r="AE131" s="99">
        <f>IF($AB131="DIRECT",$S131,DSTDEV('[1]literature entries'!$D:$AI,IF($J131=1,"ACTIVE     GHGE, FARM GATE (kg CO2e/kg)","GHGE, processor gate (kg CO2e/kg)"),INDIRECT($AB131)))</f>
        <v/>
      </c>
      <c r="AF131" s="99">
        <f>IF($AB131="DIRECT",$S131,$AE131/$AD131*$R131)</f>
        <v/>
      </c>
    </row>
    <row r="132" ht="15.75" customHeight="1" s="201">
      <c r="A132" s="100" t="n">
        <v>1002207000</v>
      </c>
      <c r="B132" s="101" t="inlineStr">
        <is>
          <t>Lime, juice</t>
        </is>
      </c>
      <c r="C132" s="101" t="inlineStr">
        <is>
          <t>weight of juice at single strength (or standard dilution)</t>
        </is>
      </c>
      <c r="D132" s="101" t="inlineStr">
        <is>
          <t>Australian desert lime, Australian finger lime, Australian round lime, Brown River finger lime, Kumquat, Lemon, Lime, Mount White lime, New Guinea wild lime, Russell River lime, Sweet lime, Tahiti Lime</t>
        </is>
      </c>
      <c r="E132" s="101" t="n">
        <v>7724</v>
      </c>
      <c r="F132" s="84">
        <f>N132*H132+T132</f>
        <v/>
      </c>
      <c r="G132" s="85">
        <f>R132*H132+U132</f>
        <v/>
      </c>
      <c r="H132" s="102" t="n">
        <v>3.25</v>
      </c>
      <c r="I132" s="102" t="inlineStr">
        <is>
          <t>FICRCD</t>
        </is>
      </c>
      <c r="J132" s="104" t="n">
        <v>1</v>
      </c>
      <c r="K132" s="89" t="inlineStr">
        <is>
          <t>citrus</t>
        </is>
      </c>
      <c r="L132" s="90">
        <f>IF(ISERROR(GETPIVOTDATA(IF($J132=1,"Count of ACTIVE     CED, FARM GATE (MJ/kg)","Count of CED, processor gate (MJ/kg)"),'[1]Pivot Table_CED'!$A$3,"SUB TYPE",$B132)),"PROXY",IF(GETPIVOTDATA(IF($J132=1,"Count of ACTIVE     CED, FARM GATE (MJ/kg)","Count of CED, processor gate (MJ/kg)"),'[1]Pivot Table_CED'!$A$3,"SUB TYPE",$B132)=0,"PROXY","DB value"))</f>
        <v/>
      </c>
      <c r="M132" s="91">
        <f>IF($L132="PROXY",DCOUNT('[1]literature entries'!$D:$AI,IF($J132=1,"ACTIVE     CED, FARM GATE (MJ/kg)","CED, processor gate (MJ/kg)"),INDIRECT($K132)),GETPIVOTDATA(IF($J132=1,"Count of ACTIVE     CED, FARM GATE (MJ/kg)","Count of CED, processor gate (MJ/kg)"),'[1]Pivot Table_CED'!$A$3,"SUB TYPE",$B132))</f>
        <v/>
      </c>
      <c r="N132" s="92">
        <f>IF($L132="PROXY",DAVERAGE('[1]literature entries'!$D:$AI,IF($J132=1,"ACTIVE     CED, FARM GATE (MJ/kg)","CED, processor gate (MJ/kg)"),INDIRECT($K132)),GETPIVOTDATA(IF($J132=1,"Average of ACTIVE     CED, FARM GATE (MJ/kg)","Average of CED, processor gate (MJ/kg)"),'[1]Pivot Table_CED'!$A$3,"SUB TYPE",$B132))</f>
        <v/>
      </c>
      <c r="O132" s="92">
        <f>IF($L132="PROXY",DSTDEV('[1]literature entries'!D:AI,IF($J132=1,"ACTIVE     CED, FARM GATE (MJ/kg)","CED, processor gate (MJ/kg)"),INDIRECT($K132)),GETPIVOTDATA(IF($J132=1,"StdDev of ACTIVE     CED, FARM GATE (MJ/kg)","StdDev of CED, processor gate (MJ/kg)"),'[1]Pivot Table_CED'!$A$3,"SUB TYPE",$B132))</f>
        <v/>
      </c>
      <c r="P132" s="90">
        <f>IF(ISERROR(GETPIVOTDATA(IF($J132=1,"Count of ACTIVE     GHGE, FARM GATE (kg CO2e/kg)","Count of GHGE, processor gate (kg CO2e/kg)"),'[1]Pivot Table_GHG'!$A$3,"SUB TYPE",$B132)),"PROXY",IF(GETPIVOTDATA(IF($J132=1,"Count of ACTIVE     GHGE, FARM GATE (kg CO2e/kg)","Count of GHGE, processor gate (kg CO2e/kg)"),'[1]Pivot Table_GHG'!$A$3,"SUB TYPE",$B132)=0,"PROXY","DB value"))</f>
        <v/>
      </c>
      <c r="Q132" s="93">
        <f>IF($P132="PROXY",DCOUNT('[1]literature entries'!$D:$AI,IF($J132=1,"ACTIVE     GHGE, FARM GATE (kg CO2e/kg)","GHGE, processor gate (kg CO2e/kg)"),INDIRECT($K132)),GETPIVOTDATA(IF($J132=1,"ACTIVE     GHGE, FARM GATE (kg CO2e/kg)","Count of GHGE, processor gate (kg CO2e/kg)"),'[1]Pivot Table_GHG'!$A$3,"SUB TYPE",$B132))</f>
        <v/>
      </c>
      <c r="R132" s="94">
        <f>IF($P132="PROXY",DAVERAGE('[1]literature entries'!$D:$AI,IF($J132=1,"ACTIVE     GHGE, FARM GATE (kg CO2e/kg)","GHGE, processor gate (kg CO2e/kg)"),INDIRECT($K132)),GETPIVOTDATA(IF($J132=1,"Average of ACTIVE     GHGE, FARM GATE (kg CO2e/kg)","Average of GHGE, processor gate (kg CO2e/kg)"),'[1]Pivot Table_GHG'!$A$3,"SUB TYPE",$B132))</f>
        <v/>
      </c>
      <c r="S132" s="94">
        <f>IF($P132="PROXY",DSTDEV('[1]literature entries'!$D:$AI,IF($J132=1,"ACTIVE     GHGE, FARM GATE (kg CO2e/kg)","GHGE, processor gate (kg CO2e/kg)"),INDIRECT($K132)),GETPIVOTDATA(IF($J132=1,"StdDev of ACTIVE     GHGE, FARM GATE (kg CO2e/kg)","StdDev of GHGE, processor gate (kg CO2e/kg)"),'[1]Pivot Table_GHG'!$A$3,"SUB TYPE",$B132))</f>
        <v/>
      </c>
      <c r="T132" s="107" t="n">
        <v>5.282</v>
      </c>
      <c r="U132" s="108" t="n">
        <v>0.9790791260799999</v>
      </c>
      <c r="V132" s="97" t="n"/>
      <c r="W132" s="98" t="inlineStr">
        <is>
          <t>citrus</t>
        </is>
      </c>
      <c r="X132" s="98">
        <f>IF($W132="DIRECT",M132,DCOUNT('[1]literature entries'!$D:$AI,IF($J132=1,"ACTIVE     CED, FARM GATE (MJ/kg)","CED, processor gate (MJ/kg)"),INDIRECT($W132)))</f>
        <v/>
      </c>
      <c r="Y132" s="98">
        <f>IF($W132="DIRECT","",DAVERAGE('[1]literature entries'!$D:$AI,IF($J132=1,"ACTIVE     CED, FARM GATE (MJ/kg)","CED, processor gate (MJ/kg)"),INDIRECT($W132)))</f>
        <v/>
      </c>
      <c r="Z132" s="98">
        <f>IF($W132="DIRECT",$O132,DSTDEV('[1]literature entries'!$D:$AI,IF($J132=1,"ACTIVE     CED, FARM GATE (MJ/kg)","CED, processor gate (MJ/kg)"),INDIRECT($W132)))</f>
        <v/>
      </c>
      <c r="AA132" s="98">
        <f>IF($W132="DIRECT",$O132,$Z132/$Y132*$N132)</f>
        <v/>
      </c>
      <c r="AB132" s="99">
        <f>IF(P132="PROXY",IF(Q132&gt;=5,K132,"need group"),IF(Q132&gt;=5,"DIRECT","need group"))</f>
        <v/>
      </c>
      <c r="AC132" s="99">
        <f>IF($AB132="DIRECT",Q132,DCOUNT('[1]literature entries'!$D:$AI,IF($J132=1,"ACTIVE     GHGE, FARM GATE (kg CO2e/kg)","GHGE, processor gate (kg CO2e/kg)"),INDIRECT($AB132)))</f>
        <v/>
      </c>
      <c r="AD132" s="99">
        <f>IF($AB132="DIRECT","",DAVERAGE('[1]literature entries'!$D:$AI,IF($J132=1,"ACTIVE     GHGE, FARM GATE (kg CO2e/kg)","GHGE, processor gate (kg CO2e/kg)"),INDIRECT($AB132)))</f>
        <v/>
      </c>
      <c r="AE132" s="99">
        <f>IF($AB132="DIRECT",$S132,DSTDEV('[1]literature entries'!$D:$AI,IF($J132=1,"ACTIVE     GHGE, FARM GATE (kg CO2e/kg)","GHGE, processor gate (kg CO2e/kg)"),INDIRECT($AB132)))</f>
        <v/>
      </c>
      <c r="AF132" s="99">
        <f>IF($AB132="DIRECT",$S132,$AE132/$AD132*$R132)</f>
        <v/>
      </c>
    </row>
    <row r="133" ht="15.75" customHeight="1" s="201">
      <c r="A133" s="100" t="n">
        <v>1003180000</v>
      </c>
      <c r="B133" s="101" t="inlineStr">
        <is>
          <t>Grapefruit</t>
        </is>
      </c>
      <c r="C133" s="101" t="inlineStr">
        <is>
          <t>weight of pulp; excluding seeds and rind</t>
        </is>
      </c>
      <c r="D133" s="101" t="inlineStr">
        <is>
          <t>Includes Uniq fruit</t>
        </is>
      </c>
      <c r="E133" s="101" t="n">
        <v>618</v>
      </c>
      <c r="F133" s="84">
        <f>N133*H133+T133</f>
        <v/>
      </c>
      <c r="G133" s="85">
        <f>R133*H133+U133</f>
        <v/>
      </c>
      <c r="H133" s="102" t="n">
        <v>2</v>
      </c>
      <c r="I133" s="102" t="inlineStr">
        <is>
          <t>FICRCD</t>
        </is>
      </c>
      <c r="J133" s="104" t="n">
        <v>1</v>
      </c>
      <c r="K133" s="89" t="inlineStr">
        <is>
          <t>citrus</t>
        </is>
      </c>
      <c r="L133" s="90">
        <f>IF(ISERROR(GETPIVOTDATA(IF($J133=1,"Count of ACTIVE     CED, FARM GATE (MJ/kg)","Count of CED, processor gate (MJ/kg)"),'[1]Pivot Table_CED'!$A$3,"SUB TYPE",$B133)),"PROXY",IF(GETPIVOTDATA(IF($J133=1,"Count of ACTIVE     CED, FARM GATE (MJ/kg)","Count of CED, processor gate (MJ/kg)"),'[1]Pivot Table_CED'!$A$3,"SUB TYPE",$B133)=0,"PROXY","DB value"))</f>
        <v/>
      </c>
      <c r="M133" s="91">
        <f>IF($L133="PROXY",DCOUNT('[1]literature entries'!$D:$AI,IF($J133=1,"ACTIVE     CED, FARM GATE (MJ/kg)","CED, processor gate (MJ/kg)"),INDIRECT($K133)),GETPIVOTDATA(IF($J133=1,"Count of ACTIVE     CED, FARM GATE (MJ/kg)","Count of CED, processor gate (MJ/kg)"),'[1]Pivot Table_CED'!$A$3,"SUB TYPE",$B133))</f>
        <v/>
      </c>
      <c r="N133" s="92">
        <f>IF($L133="PROXY",DAVERAGE('[1]literature entries'!$D:$AI,IF($J133=1,"ACTIVE     CED, FARM GATE (MJ/kg)","CED, processor gate (MJ/kg)"),INDIRECT($K133)),GETPIVOTDATA(IF($J133=1,"Average of ACTIVE     CED, FARM GATE (MJ/kg)","Average of CED, processor gate (MJ/kg)"),'[1]Pivot Table_CED'!$A$3,"SUB TYPE",$B133))</f>
        <v/>
      </c>
      <c r="O133" s="92">
        <f>IF($L133="PROXY",DSTDEV('[1]literature entries'!D:AI,IF($J133=1,"ACTIVE     CED, FARM GATE (MJ/kg)","CED, processor gate (MJ/kg)"),INDIRECT($K133)),GETPIVOTDATA(IF($J133=1,"StdDev of ACTIVE     CED, FARM GATE (MJ/kg)","StdDev of CED, processor gate (MJ/kg)"),'[1]Pivot Table_CED'!$A$3,"SUB TYPE",$B133))</f>
        <v/>
      </c>
      <c r="P133" s="90">
        <f>IF(ISERROR(GETPIVOTDATA(IF($J133=1,"Count of ACTIVE     GHGE, FARM GATE (kg CO2e/kg)","Count of GHGE, processor gate (kg CO2e/kg)"),'[1]Pivot Table_GHG'!$A$3,"SUB TYPE",$B133)),"PROXY",IF(GETPIVOTDATA(IF($J133=1,"Count of ACTIVE     GHGE, FARM GATE (kg CO2e/kg)","Count of GHGE, processor gate (kg CO2e/kg)"),'[1]Pivot Table_GHG'!$A$3,"SUB TYPE",$B133)=0,"PROXY","DB value"))</f>
        <v/>
      </c>
      <c r="Q133" s="93">
        <f>IF($P133="PROXY",DCOUNT('[1]literature entries'!$D:$AI,IF($J133=1,"ACTIVE     GHGE, FARM GATE (kg CO2e/kg)","GHGE, processor gate (kg CO2e/kg)"),INDIRECT($K133)),GETPIVOTDATA(IF($J133=1,"ACTIVE     GHGE, FARM GATE (kg CO2e/kg)","Count of GHGE, processor gate (kg CO2e/kg)"),'[1]Pivot Table_GHG'!$A$3,"SUB TYPE",$B133))</f>
        <v/>
      </c>
      <c r="R133" s="94">
        <f>IF($P133="PROXY",DAVERAGE('[1]literature entries'!$D:$AI,IF($J133=1,"ACTIVE     GHGE, FARM GATE (kg CO2e/kg)","GHGE, processor gate (kg CO2e/kg)"),INDIRECT($K133)),GETPIVOTDATA(IF($J133=1,"Average of ACTIVE     GHGE, FARM GATE (kg CO2e/kg)","Average of GHGE, processor gate (kg CO2e/kg)"),'[1]Pivot Table_GHG'!$A$3,"SUB TYPE",$B133))</f>
        <v/>
      </c>
      <c r="S133" s="94">
        <f>IF($P133="PROXY",DSTDEV('[1]literature entries'!$D:$AI,IF($J133=1,"ACTIVE     GHGE, FARM GATE (kg CO2e/kg)","GHGE, processor gate (kg CO2e/kg)"),INDIRECT($K133)),GETPIVOTDATA(IF($J133=1,"StdDev of ACTIVE     GHGE, FARM GATE (kg CO2e/kg)","StdDev of GHGE, processor gate (kg CO2e/kg)"),'[1]Pivot Table_GHG'!$A$3,"SUB TYPE",$B133))</f>
        <v/>
      </c>
      <c r="T133" s="105" t="n"/>
      <c r="U133" s="106" t="n"/>
      <c r="V133" s="97" t="n"/>
      <c r="W133" s="98" t="inlineStr">
        <is>
          <t>citrus</t>
        </is>
      </c>
      <c r="X133" s="98">
        <f>IF($W133="DIRECT",M133,DCOUNT('[1]literature entries'!$D:$AI,IF($J133=1,"ACTIVE     CED, FARM GATE (MJ/kg)","CED, processor gate (MJ/kg)"),INDIRECT($W133)))</f>
        <v/>
      </c>
      <c r="Y133" s="98">
        <f>IF($W133="DIRECT","",DAVERAGE('[1]literature entries'!$D:$AI,IF($J133=1,"ACTIVE     CED, FARM GATE (MJ/kg)","CED, processor gate (MJ/kg)"),INDIRECT($W133)))</f>
        <v/>
      </c>
      <c r="Z133" s="98">
        <f>IF($W133="DIRECT",$O133,DSTDEV('[1]literature entries'!$D:$AI,IF($J133=1,"ACTIVE     CED, FARM GATE (MJ/kg)","CED, processor gate (MJ/kg)"),INDIRECT($W133)))</f>
        <v/>
      </c>
      <c r="AA133" s="98">
        <f>IF($W133="DIRECT",$O133,$Z133/$Y133*$N133)</f>
        <v/>
      </c>
      <c r="AB133" s="99" t="inlineStr">
        <is>
          <t>citrus</t>
        </is>
      </c>
      <c r="AC133" s="99">
        <f>IF($AB133="DIRECT",Q133,DCOUNT('[1]literature entries'!$D:$AI,IF($J133=1,"ACTIVE     GHGE, FARM GATE (kg CO2e/kg)","GHGE, processor gate (kg CO2e/kg)"),INDIRECT($AB133)))</f>
        <v/>
      </c>
      <c r="AD133" s="99">
        <f>IF($AB133="DIRECT","",DAVERAGE('[1]literature entries'!$D:$AI,IF($J133=1,"ACTIVE     GHGE, FARM GATE (kg CO2e/kg)","GHGE, processor gate (kg CO2e/kg)"),INDIRECT($AB133)))</f>
        <v/>
      </c>
      <c r="AE133" s="99">
        <f>IF($AB133="DIRECT",$S133,DSTDEV('[1]literature entries'!$D:$AI,IF($J133=1,"ACTIVE     GHGE, FARM GATE (kg CO2e/kg)","GHGE, processor gate (kg CO2e/kg)"),INDIRECT($AB133)))</f>
        <v/>
      </c>
      <c r="AF133" s="99">
        <f>IF($AB133="DIRECT",$S133,$AE133/$AD133*$R133)</f>
        <v/>
      </c>
    </row>
    <row r="134" ht="15.75" customHeight="1" s="201">
      <c r="A134" s="100" t="n">
        <v>1003181000</v>
      </c>
      <c r="B134" s="101" t="inlineStr">
        <is>
          <t>Grapefruit, juice</t>
        </is>
      </c>
      <c r="C134" s="101" t="inlineStr">
        <is>
          <t>weight of juice at single strength (or standard dilution)</t>
        </is>
      </c>
      <c r="D134" s="101" t="n"/>
      <c r="E134" s="101" t="n">
        <v>7511</v>
      </c>
      <c r="F134" s="84">
        <f>N134*H134+T134</f>
        <v/>
      </c>
      <c r="G134" s="85">
        <f>R134*H134+U134</f>
        <v/>
      </c>
      <c r="H134" s="102" t="n">
        <v>2.25</v>
      </c>
      <c r="I134" s="103" t="inlineStr">
        <is>
          <t>FICRCD</t>
        </is>
      </c>
      <c r="J134" s="104" t="n">
        <v>1</v>
      </c>
      <c r="K134" s="89" t="inlineStr">
        <is>
          <t>citrus</t>
        </is>
      </c>
      <c r="L134" s="90">
        <f>IF(ISERROR(GETPIVOTDATA(IF($J134=1,"Count of ACTIVE     CED, FARM GATE (MJ/kg)","Count of CED, processor gate (MJ/kg)"),'[1]Pivot Table_CED'!$A$3,"SUB TYPE",$B134)),"PROXY",IF(GETPIVOTDATA(IF($J134=1,"Count of ACTIVE     CED, FARM GATE (MJ/kg)","Count of CED, processor gate (MJ/kg)"),'[1]Pivot Table_CED'!$A$3,"SUB TYPE",$B134)=0,"PROXY","DB value"))</f>
        <v/>
      </c>
      <c r="M134" s="91">
        <f>IF($L134="PROXY",DCOUNT('[1]literature entries'!$D:$AI,IF($J134=1,"ACTIVE     CED, FARM GATE (MJ/kg)","CED, processor gate (MJ/kg)"),INDIRECT($K134)),GETPIVOTDATA(IF($J134=1,"Count of ACTIVE     CED, FARM GATE (MJ/kg)","Count of CED, processor gate (MJ/kg)"),'[1]Pivot Table_CED'!$A$3,"SUB TYPE",$B134))</f>
        <v/>
      </c>
      <c r="N134" s="92">
        <f>IF($L134="PROXY",DAVERAGE('[1]literature entries'!$D:$AI,IF($J134=1,"ACTIVE     CED, FARM GATE (MJ/kg)","CED, processor gate (MJ/kg)"),INDIRECT($K134)),GETPIVOTDATA(IF($J134=1,"Average of ACTIVE     CED, FARM GATE (MJ/kg)","Average of CED, processor gate (MJ/kg)"),'[1]Pivot Table_CED'!$A$3,"SUB TYPE",$B134))</f>
        <v/>
      </c>
      <c r="O134" s="92">
        <f>IF($L134="PROXY",DSTDEV('[1]literature entries'!D:AI,IF($J134=1,"ACTIVE     CED, FARM GATE (MJ/kg)","CED, processor gate (MJ/kg)"),INDIRECT($K134)),GETPIVOTDATA(IF($J134=1,"StdDev of ACTIVE     CED, FARM GATE (MJ/kg)","StdDev of CED, processor gate (MJ/kg)"),'[1]Pivot Table_CED'!$A$3,"SUB TYPE",$B134))</f>
        <v/>
      </c>
      <c r="P134" s="90">
        <f>IF(ISERROR(GETPIVOTDATA(IF($J134=1,"Count of ACTIVE     GHGE, FARM GATE (kg CO2e/kg)","Count of GHGE, processor gate (kg CO2e/kg)"),'[1]Pivot Table_GHG'!$A$3,"SUB TYPE",$B134)),"PROXY",IF(GETPIVOTDATA(IF($J134=1,"Count of ACTIVE     GHGE, FARM GATE (kg CO2e/kg)","Count of GHGE, processor gate (kg CO2e/kg)"),'[1]Pivot Table_GHG'!$A$3,"SUB TYPE",$B134)=0,"PROXY","DB value"))</f>
        <v/>
      </c>
      <c r="Q134" s="93">
        <f>IF($P134="PROXY",DCOUNT('[1]literature entries'!$D:$AI,IF($J134=1,"ACTIVE     GHGE, FARM GATE (kg CO2e/kg)","GHGE, processor gate (kg CO2e/kg)"),INDIRECT($K134)),GETPIVOTDATA(IF($J134=1,"ACTIVE     GHGE, FARM GATE (kg CO2e/kg)","Count of GHGE, processor gate (kg CO2e/kg)"),'[1]Pivot Table_GHG'!$A$3,"SUB TYPE",$B134))</f>
        <v/>
      </c>
      <c r="R134" s="94">
        <f>IF($P134="PROXY",DAVERAGE('[1]literature entries'!$D:$AI,IF($J134=1,"ACTIVE     GHGE, FARM GATE (kg CO2e/kg)","GHGE, processor gate (kg CO2e/kg)"),INDIRECT($K134)),GETPIVOTDATA(IF($J134=1,"Average of ACTIVE     GHGE, FARM GATE (kg CO2e/kg)","Average of GHGE, processor gate (kg CO2e/kg)"),'[1]Pivot Table_GHG'!$A$3,"SUB TYPE",$B134))</f>
        <v/>
      </c>
      <c r="S134" s="94">
        <f>IF($P134="PROXY",DSTDEV('[1]literature entries'!$D:$AI,IF($J134=1,"ACTIVE     GHGE, FARM GATE (kg CO2e/kg)","GHGE, processor gate (kg CO2e/kg)"),INDIRECT($K134)),GETPIVOTDATA(IF($J134=1,"StdDev of ACTIVE     GHGE, FARM GATE (kg CO2e/kg)","StdDev of GHGE, processor gate (kg CO2e/kg)"),'[1]Pivot Table_GHG'!$A$3,"SUB TYPE",$B134))</f>
        <v/>
      </c>
      <c r="T134" s="107" t="n">
        <v>5.282</v>
      </c>
      <c r="U134" s="108" t="n">
        <v>0.9790791260799999</v>
      </c>
      <c r="V134" s="97" t="n"/>
      <c r="W134" s="98" t="inlineStr">
        <is>
          <t>citrus</t>
        </is>
      </c>
      <c r="X134" s="98">
        <f>IF($W134="DIRECT",M134,DCOUNT('[1]literature entries'!$D:$AI,IF($J134=1,"ACTIVE     CED, FARM GATE (MJ/kg)","CED, processor gate (MJ/kg)"),INDIRECT($W134)))</f>
        <v/>
      </c>
      <c r="Y134" s="98">
        <f>IF($W134="DIRECT","",DAVERAGE('[1]literature entries'!$D:$AI,IF($J134=1,"ACTIVE     CED, FARM GATE (MJ/kg)","CED, processor gate (MJ/kg)"),INDIRECT($W134)))</f>
        <v/>
      </c>
      <c r="Z134" s="98">
        <f>IF($W134="DIRECT",$O134,DSTDEV('[1]literature entries'!$D:$AI,IF($J134=1,"ACTIVE     CED, FARM GATE (MJ/kg)","CED, processor gate (MJ/kg)"),INDIRECT($W134)))</f>
        <v/>
      </c>
      <c r="AA134" s="98">
        <f>IF($W134="DIRECT",$O134,$Z134/$Y134*$N134)</f>
        <v/>
      </c>
      <c r="AB134" s="99">
        <f>IF(P134="PROXY",IF(Q134&gt;=5,K134,"need group"),IF(Q134&gt;=5,"DIRECT","need group"))</f>
        <v/>
      </c>
      <c r="AC134" s="99">
        <f>IF($AB134="DIRECT",Q134,DCOUNT('[1]literature entries'!$D:$AI,IF($J134=1,"ACTIVE     GHGE, FARM GATE (kg CO2e/kg)","GHGE, processor gate (kg CO2e/kg)"),INDIRECT($AB134)))</f>
        <v/>
      </c>
      <c r="AD134" s="99">
        <f>IF($AB134="DIRECT","",DAVERAGE('[1]literature entries'!$D:$AI,IF($J134=1,"ACTIVE     GHGE, FARM GATE (kg CO2e/kg)","GHGE, processor gate (kg CO2e/kg)"),INDIRECT($AB134)))</f>
        <v/>
      </c>
      <c r="AE134" s="99">
        <f>IF($AB134="DIRECT",$S134,DSTDEV('[1]literature entries'!$D:$AI,IF($J134=1,"ACTIVE     GHGE, FARM GATE (kg CO2e/kg)","GHGE, processor gate (kg CO2e/kg)"),INDIRECT($AB134)))</f>
        <v/>
      </c>
      <c r="AF134" s="99">
        <f>IF($AB134="DIRECT",$S134,$AE134/$AD134*$R134)</f>
        <v/>
      </c>
    </row>
    <row r="135" ht="15.75" customHeight="1" s="201">
      <c r="A135" s="100" t="n">
        <v>1100007000</v>
      </c>
      <c r="B135" s="101" t="inlineStr">
        <is>
          <t>Apple, fruit with peel</t>
        </is>
      </c>
      <c r="C135" s="101" t="inlineStr">
        <is>
          <t>weight of apple; including peel, excluding core and stem</t>
        </is>
      </c>
      <c r="D135" s="101" t="n"/>
      <c r="E135" s="101" t="n">
        <v>6912</v>
      </c>
      <c r="F135" s="84">
        <f>N135*H135+T135</f>
        <v/>
      </c>
      <c r="G135" s="85">
        <f>R135*H135+U135</f>
        <v/>
      </c>
      <c r="H135" s="102" t="n">
        <v>1.11</v>
      </c>
      <c r="I135" s="103" t="inlineStr">
        <is>
          <t>LAFA</t>
        </is>
      </c>
      <c r="J135" s="104" t="n">
        <v>1</v>
      </c>
      <c r="K135" s="89" t="n"/>
      <c r="L135" s="90">
        <f>IF(ISERROR(GETPIVOTDATA(IF($J135=1,"Count of ACTIVE     CED, FARM GATE (MJ/kg)","Count of CED, processor gate (MJ/kg)"),'[1]Pivot Table_CED'!$A$3,"SUB TYPE",$B135)),"PROXY",IF(GETPIVOTDATA(IF($J135=1,"Count of ACTIVE     CED, FARM GATE (MJ/kg)","Count of CED, processor gate (MJ/kg)"),'[1]Pivot Table_CED'!$A$3,"SUB TYPE",$B135)=0,"PROXY","DB value"))</f>
        <v/>
      </c>
      <c r="M135" s="91">
        <f>IF($L135="PROXY",DCOUNT('[1]literature entries'!$D:$AI,IF($J135=1,"ACTIVE     CED, FARM GATE (MJ/kg)","CED, processor gate (MJ/kg)"),INDIRECT($K135)),GETPIVOTDATA(IF($J135=1,"Count of ACTIVE     CED, FARM GATE (MJ/kg)","Count of CED, processor gate (MJ/kg)"),'[1]Pivot Table_CED'!$A$3,"SUB TYPE",$B135))</f>
        <v/>
      </c>
      <c r="N135" s="92">
        <f>IF($L135="PROXY",DAVERAGE('[1]literature entries'!$D:$AI,IF($J135=1,"ACTIVE     CED, FARM GATE (MJ/kg)","CED, processor gate (MJ/kg)"),INDIRECT($K135)),GETPIVOTDATA(IF($J135=1,"Average of ACTIVE     CED, FARM GATE (MJ/kg)","Average of CED, processor gate (MJ/kg)"),'[1]Pivot Table_CED'!$A$3,"SUB TYPE",$B135))</f>
        <v/>
      </c>
      <c r="O135" s="92">
        <f>IF($L135="PROXY",DSTDEV('[1]literature entries'!D:AI,IF($J135=1,"ACTIVE     CED, FARM GATE (MJ/kg)","CED, processor gate (MJ/kg)"),INDIRECT($K135)),GETPIVOTDATA(IF($J135=1,"StdDev of ACTIVE     CED, FARM GATE (MJ/kg)","StdDev of CED, processor gate (MJ/kg)"),'[1]Pivot Table_CED'!$A$3,"SUB TYPE",$B135))</f>
        <v/>
      </c>
      <c r="P135" s="90">
        <f>IF(ISERROR(GETPIVOTDATA(IF($J135=1,"Count of ACTIVE     GHGE, FARM GATE (kg CO2e/kg)","Count of GHGE, processor gate (kg CO2e/kg)"),'[1]Pivot Table_GHG'!$A$3,"SUB TYPE",$B135)),"PROXY",IF(GETPIVOTDATA(IF($J135=1,"Count of ACTIVE     GHGE, FARM GATE (kg CO2e/kg)","Count of GHGE, processor gate (kg CO2e/kg)"),'[1]Pivot Table_GHG'!$A$3,"SUB TYPE",$B135)=0,"PROXY","DB value"))</f>
        <v/>
      </c>
      <c r="Q135" s="93">
        <f>IF($P135="PROXY",DCOUNT('[1]literature entries'!$D:$AI,IF($J135=1,"ACTIVE     GHGE, FARM GATE (kg CO2e/kg)","GHGE, processor gate (kg CO2e/kg)"),INDIRECT($K135)),GETPIVOTDATA(IF($J135=1,"ACTIVE     GHGE, FARM GATE (kg CO2e/kg)","Count of GHGE, processor gate (kg CO2e/kg)"),'[1]Pivot Table_GHG'!$A$3,"SUB TYPE",$B135))</f>
        <v/>
      </c>
      <c r="R135" s="94">
        <f>IF($P135="PROXY",DAVERAGE('[1]literature entries'!$D:$AI,IF($J135=1,"ACTIVE     GHGE, FARM GATE (kg CO2e/kg)","GHGE, processor gate (kg CO2e/kg)"),INDIRECT($K135)),GETPIVOTDATA(IF($J135=1,"Average of ACTIVE     GHGE, FARM GATE (kg CO2e/kg)","Average of GHGE, processor gate (kg CO2e/kg)"),'[1]Pivot Table_GHG'!$A$3,"SUB TYPE",$B135))</f>
        <v/>
      </c>
      <c r="S135" s="94">
        <f>IF($P135="PROXY",DSTDEV('[1]literature entries'!$D:$AI,IF($J135=1,"ACTIVE     GHGE, FARM GATE (kg CO2e/kg)","GHGE, processor gate (kg CO2e/kg)"),INDIRECT($K135)),GETPIVOTDATA(IF($J135=1,"StdDev of ACTIVE     GHGE, FARM GATE (kg CO2e/kg)","StdDev of GHGE, processor gate (kg CO2e/kg)"),'[1]Pivot Table_GHG'!$A$3,"SUB TYPE",$B135))</f>
        <v/>
      </c>
      <c r="T135" s="105" t="n"/>
      <c r="U135" s="106" t="n"/>
      <c r="V135" s="97" t="n"/>
      <c r="W135" s="98">
        <f>IF(L135="PROXY",IF(M135&gt;=5,K135,"need group"),IF(M135&gt;=5,"DIRECT","need group"))</f>
        <v/>
      </c>
      <c r="X135" s="98">
        <f>IF($W135="DIRECT",M135,DCOUNT('[1]literature entries'!$D:$AI,IF($J135=1,"ACTIVE     CED, FARM GATE (MJ/kg)","CED, processor gate (MJ/kg)"),INDIRECT($W135)))</f>
        <v/>
      </c>
      <c r="Y135" s="98">
        <f>IF($W135="DIRECT","",DAVERAGE('[1]literature entries'!$D:$AI,IF($J135=1,"ACTIVE     CED, FARM GATE (MJ/kg)","CED, processor gate (MJ/kg)"),INDIRECT($W135)))</f>
        <v/>
      </c>
      <c r="Z135" s="98">
        <f>IF($W135="DIRECT",$O135,DSTDEV('[1]literature entries'!$D:$AI,IF($J135=1,"ACTIVE     CED, FARM GATE (MJ/kg)","CED, processor gate (MJ/kg)"),INDIRECT($W135)))</f>
        <v/>
      </c>
      <c r="AA135" s="98">
        <f>IF($W135="DIRECT",$O135,$Z135/$Y135*$N135)</f>
        <v/>
      </c>
      <c r="AB135" s="99">
        <f>IF(P135="PROXY",IF(Q135&gt;=5,K135,"need group"),IF(Q135&gt;=5,"DIRECT","need group"))</f>
        <v/>
      </c>
      <c r="AC135" s="99">
        <f>IF($AB135="DIRECT",Q135,DCOUNT('[1]literature entries'!$D:$AI,IF($J135=1,"ACTIVE     GHGE, FARM GATE (kg CO2e/kg)","GHGE, processor gate (kg CO2e/kg)"),INDIRECT($AB135)))</f>
        <v/>
      </c>
      <c r="AD135" s="99">
        <f>IF($AB135="DIRECT","",DAVERAGE('[1]literature entries'!$D:$AI,IF($J135=1,"ACTIVE     GHGE, FARM GATE (kg CO2e/kg)","GHGE, processor gate (kg CO2e/kg)"),INDIRECT($AB135)))</f>
        <v/>
      </c>
      <c r="AE135" s="99">
        <f>IF($AB135="DIRECT",$S135,DSTDEV('[1]literature entries'!$D:$AI,IF($J135=1,"ACTIVE     GHGE, FARM GATE (kg CO2e/kg)","GHGE, processor gate (kg CO2e/kg)"),INDIRECT($AB135)))</f>
        <v/>
      </c>
      <c r="AF135" s="99">
        <f>IF($AB135="DIRECT",$S135,$AE135/$AD135*$R135)</f>
        <v/>
      </c>
    </row>
    <row r="136" ht="15.75" customHeight="1" s="201">
      <c r="A136" s="100" t="n">
        <v>1100008000</v>
      </c>
      <c r="B136" s="101" t="inlineStr">
        <is>
          <t>Apple, peeled fruit</t>
        </is>
      </c>
      <c r="C136" s="101" t="inlineStr">
        <is>
          <t>weight of apple; excluding peel, core and stem</t>
        </is>
      </c>
      <c r="D136" s="101" t="n"/>
      <c r="E136" s="101" t="n">
        <v>1123</v>
      </c>
      <c r="F136" s="84">
        <f>N136*H136+T136</f>
        <v/>
      </c>
      <c r="G136" s="85">
        <f>R136*H136+U136</f>
        <v/>
      </c>
      <c r="H136" s="112" t="n">
        <v>1.3</v>
      </c>
      <c r="I136" s="103" t="inlineStr">
        <is>
          <t>NNDSR28</t>
        </is>
      </c>
      <c r="J136" s="104" t="n">
        <v>1</v>
      </c>
      <c r="K136" s="89" t="inlineStr">
        <is>
          <t>apple</t>
        </is>
      </c>
      <c r="L136" s="90">
        <f>IF(ISERROR(GETPIVOTDATA(IF($J136=1,"Count of ACTIVE     CED, FARM GATE (MJ/kg)","Count of CED, processor gate (MJ/kg)"),'[1]Pivot Table_CED'!$A$3,"SUB TYPE",$B136)),"PROXY",IF(GETPIVOTDATA(IF($J136=1,"Count of ACTIVE     CED, FARM GATE (MJ/kg)","Count of CED, processor gate (MJ/kg)"),'[1]Pivot Table_CED'!$A$3,"SUB TYPE",$B136)=0,"PROXY","DB value"))</f>
        <v/>
      </c>
      <c r="M136" s="91">
        <f>IF($L136="PROXY",DCOUNT('[1]literature entries'!$D:$AI,IF($J136=1,"ACTIVE     CED, FARM GATE (MJ/kg)","CED, processor gate (MJ/kg)"),INDIRECT($K136)),GETPIVOTDATA(IF($J136=1,"Count of ACTIVE     CED, FARM GATE (MJ/kg)","Count of CED, processor gate (MJ/kg)"),'[1]Pivot Table_CED'!$A$3,"SUB TYPE",$B136))</f>
        <v/>
      </c>
      <c r="N136" s="92">
        <f>IF($L136="PROXY",DAVERAGE('[1]literature entries'!$D:$AI,IF($J136=1,"ACTIVE     CED, FARM GATE (MJ/kg)","CED, processor gate (MJ/kg)"),INDIRECT($K136)),GETPIVOTDATA(IF($J136=1,"Average of ACTIVE     CED, FARM GATE (MJ/kg)","Average of CED, processor gate (MJ/kg)"),'[1]Pivot Table_CED'!$A$3,"SUB TYPE",$B136))</f>
        <v/>
      </c>
      <c r="O136" s="92">
        <f>IF($L136="PROXY",DSTDEV('[1]literature entries'!D:AI,IF($J136=1,"ACTIVE     CED, FARM GATE (MJ/kg)","CED, processor gate (MJ/kg)"),INDIRECT($K136)),GETPIVOTDATA(IF($J136=1,"StdDev of ACTIVE     CED, FARM GATE (MJ/kg)","StdDev of CED, processor gate (MJ/kg)"),'[1]Pivot Table_CED'!$A$3,"SUB TYPE",$B136))</f>
        <v/>
      </c>
      <c r="P136" s="90">
        <f>IF(ISERROR(GETPIVOTDATA(IF($J136=1,"Count of ACTIVE     GHGE, FARM GATE (kg CO2e/kg)","Count of GHGE, processor gate (kg CO2e/kg)"),'[1]Pivot Table_GHG'!$A$3,"SUB TYPE",$B136)),"PROXY",IF(GETPIVOTDATA(IF($J136=1,"Count of ACTIVE     GHGE, FARM GATE (kg CO2e/kg)","Count of GHGE, processor gate (kg CO2e/kg)"),'[1]Pivot Table_GHG'!$A$3,"SUB TYPE",$B136)=0,"PROXY","DB value"))</f>
        <v/>
      </c>
      <c r="Q136" s="93">
        <f>IF($P136="PROXY",DCOUNT('[1]literature entries'!$D:$AI,IF($J136=1,"ACTIVE     GHGE, FARM GATE (kg CO2e/kg)","GHGE, processor gate (kg CO2e/kg)"),INDIRECT($K136)),GETPIVOTDATA(IF($J136=1,"ACTIVE     GHGE, FARM GATE (kg CO2e/kg)","Count of GHGE, processor gate (kg CO2e/kg)"),'[1]Pivot Table_GHG'!$A$3,"SUB TYPE",$B136))</f>
        <v/>
      </c>
      <c r="R136" s="94">
        <f>IF($P136="PROXY",DAVERAGE('[1]literature entries'!$D:$AI,IF($J136=1,"ACTIVE     GHGE, FARM GATE (kg CO2e/kg)","GHGE, processor gate (kg CO2e/kg)"),INDIRECT($K136)),GETPIVOTDATA(IF($J136=1,"Average of ACTIVE     GHGE, FARM GATE (kg CO2e/kg)","Average of GHGE, processor gate (kg CO2e/kg)"),'[1]Pivot Table_GHG'!$A$3,"SUB TYPE",$B136))</f>
        <v/>
      </c>
      <c r="S136" s="94">
        <f>IF($P136="PROXY",DSTDEV('[1]literature entries'!$D:$AI,IF($J136=1,"ACTIVE     GHGE, FARM GATE (kg CO2e/kg)","GHGE, processor gate (kg CO2e/kg)"),INDIRECT($K136)),GETPIVOTDATA(IF($J136=1,"StdDev of ACTIVE     GHGE, FARM GATE (kg CO2e/kg)","StdDev of GHGE, processor gate (kg CO2e/kg)"),'[1]Pivot Table_GHG'!$A$3,"SUB TYPE",$B136))</f>
        <v/>
      </c>
      <c r="T136" s="105" t="n"/>
      <c r="U136" s="106" t="n"/>
      <c r="V136" s="97" t="n"/>
      <c r="W136" s="98">
        <f>IF(L136="PROXY",IF(M136&gt;=5,K136,"need group"),IF(M136&gt;=5,"DIRECT","need group"))</f>
        <v/>
      </c>
      <c r="X136" s="98">
        <f>IF($W136="DIRECT",M136,DCOUNT('[1]literature entries'!$D:$AI,IF($J136=1,"ACTIVE     CED, FARM GATE (MJ/kg)","CED, processor gate (MJ/kg)"),INDIRECT($W136)))</f>
        <v/>
      </c>
      <c r="Y136" s="98">
        <f>IF($W136="DIRECT","",DAVERAGE('[1]literature entries'!$D:$AI,IF($J136=1,"ACTIVE     CED, FARM GATE (MJ/kg)","CED, processor gate (MJ/kg)"),INDIRECT($W136)))</f>
        <v/>
      </c>
      <c r="Z136" s="98">
        <f>IF($W136="DIRECT",$O136,DSTDEV('[1]literature entries'!$D:$AI,IF($J136=1,"ACTIVE     CED, FARM GATE (MJ/kg)","CED, processor gate (MJ/kg)"),INDIRECT($W136)))</f>
        <v/>
      </c>
      <c r="AA136" s="98">
        <f>IF($W136="DIRECT",$O136,$Z136/$Y136*$N136)</f>
        <v/>
      </c>
      <c r="AB136" s="99">
        <f>IF(P136="PROXY",IF(Q136&gt;=5,K136,"need group"),IF(Q136&gt;=5,"DIRECT","need group"))</f>
        <v/>
      </c>
      <c r="AC136" s="99">
        <f>IF($AB136="DIRECT",Q136,DCOUNT('[1]literature entries'!$D:$AI,IF($J136=1,"ACTIVE     GHGE, FARM GATE (kg CO2e/kg)","GHGE, processor gate (kg CO2e/kg)"),INDIRECT($AB136)))</f>
        <v/>
      </c>
      <c r="AD136" s="99">
        <f>IF($AB136="DIRECT","",DAVERAGE('[1]literature entries'!$D:$AI,IF($J136=1,"ACTIVE     GHGE, FARM GATE (kg CO2e/kg)","GHGE, processor gate (kg CO2e/kg)"),INDIRECT($AB136)))</f>
        <v/>
      </c>
      <c r="AE136" s="99">
        <f>IF($AB136="DIRECT",$S136,DSTDEV('[1]literature entries'!$D:$AI,IF($J136=1,"ACTIVE     GHGE, FARM GATE (kg CO2e/kg)","GHGE, processor gate (kg CO2e/kg)"),INDIRECT($AB136)))</f>
        <v/>
      </c>
      <c r="AF136" s="99">
        <f>IF($AB136="DIRECT",$S136,$AE136/$AD136*$R136)</f>
        <v/>
      </c>
    </row>
    <row r="137" ht="15.75" customHeight="1" s="201">
      <c r="A137" s="100" t="n">
        <v>1100009000</v>
      </c>
      <c r="B137" s="101" t="inlineStr">
        <is>
          <t>Apple, dried</t>
        </is>
      </c>
      <c r="C137" s="101" t="inlineStr">
        <is>
          <t>dry weight; excluding peel, core, stem</t>
        </is>
      </c>
      <c r="D137" s="101" t="n"/>
      <c r="E137" s="101" t="n">
        <v>2932</v>
      </c>
      <c r="F137" s="84">
        <f>N137*H137+T137</f>
        <v/>
      </c>
      <c r="G137" s="85">
        <f>R137*H137+U137</f>
        <v/>
      </c>
      <c r="H137" s="102" t="n">
        <v>6.15</v>
      </c>
      <c r="I137" s="102" t="inlineStr">
        <is>
          <t>FICRCD</t>
        </is>
      </c>
      <c r="J137" s="104" t="n">
        <v>1</v>
      </c>
      <c r="K137" s="89" t="inlineStr">
        <is>
          <t>apple</t>
        </is>
      </c>
      <c r="L137" s="90">
        <f>IF(ISERROR(GETPIVOTDATA(IF($J137=1,"Count of ACTIVE     CED, FARM GATE (MJ/kg)","Count of CED, processor gate (MJ/kg)"),'[1]Pivot Table_CED'!$A$3,"SUB TYPE",$B137)),"PROXY",IF(GETPIVOTDATA(IF($J137=1,"Count of ACTIVE     CED, FARM GATE (MJ/kg)","Count of CED, processor gate (MJ/kg)"),'[1]Pivot Table_CED'!$A$3,"SUB TYPE",$B137)=0,"PROXY","DB value"))</f>
        <v/>
      </c>
      <c r="M137" s="91">
        <f>IF($L137="PROXY",DCOUNT('[1]literature entries'!$D:$AI,IF($J137=1,"ACTIVE     CED, FARM GATE (MJ/kg)","CED, processor gate (MJ/kg)"),INDIRECT($K137)),GETPIVOTDATA(IF($J137=1,"Count of ACTIVE     CED, FARM GATE (MJ/kg)","Count of CED, processor gate (MJ/kg)"),'[1]Pivot Table_CED'!$A$3,"SUB TYPE",$B137))</f>
        <v/>
      </c>
      <c r="N137" s="92">
        <f>IF($L137="PROXY",DAVERAGE('[1]literature entries'!$D:$AI,IF($J137=1,"ACTIVE     CED, FARM GATE (MJ/kg)","CED, processor gate (MJ/kg)"),INDIRECT($K137)),GETPIVOTDATA(IF($J137=1,"Average of ACTIVE     CED, FARM GATE (MJ/kg)","Average of CED, processor gate (MJ/kg)"),'[1]Pivot Table_CED'!$A$3,"SUB TYPE",$B137))</f>
        <v/>
      </c>
      <c r="O137" s="92">
        <f>IF($L137="PROXY",DSTDEV('[1]literature entries'!D:AI,IF($J137=1,"ACTIVE     CED, FARM GATE (MJ/kg)","CED, processor gate (MJ/kg)"),INDIRECT($K137)),GETPIVOTDATA(IF($J137=1,"StdDev of ACTIVE     CED, FARM GATE (MJ/kg)","StdDev of CED, processor gate (MJ/kg)"),'[1]Pivot Table_CED'!$A$3,"SUB TYPE",$B137))</f>
        <v/>
      </c>
      <c r="P137" s="90">
        <f>IF(ISERROR(GETPIVOTDATA(IF($J137=1,"Count of ACTIVE     GHGE, FARM GATE (kg CO2e/kg)","Count of GHGE, processor gate (kg CO2e/kg)"),'[1]Pivot Table_GHG'!$A$3,"SUB TYPE",$B137)),"PROXY",IF(GETPIVOTDATA(IF($J137=1,"Count of ACTIVE     GHGE, FARM GATE (kg CO2e/kg)","Count of GHGE, processor gate (kg CO2e/kg)"),'[1]Pivot Table_GHG'!$A$3,"SUB TYPE",$B137)=0,"PROXY","DB value"))</f>
        <v/>
      </c>
      <c r="Q137" s="93">
        <f>IF($P137="PROXY",DCOUNT('[1]literature entries'!$D:$AI,IF($J137=1,"ACTIVE     GHGE, FARM GATE (kg CO2e/kg)","GHGE, processor gate (kg CO2e/kg)"),INDIRECT($K137)),GETPIVOTDATA(IF($J137=1,"ACTIVE     GHGE, FARM GATE (kg CO2e/kg)","Count of GHGE, processor gate (kg CO2e/kg)"),'[1]Pivot Table_GHG'!$A$3,"SUB TYPE",$B137))</f>
        <v/>
      </c>
      <c r="R137" s="94">
        <f>IF($P137="PROXY",DAVERAGE('[1]literature entries'!$D:$AI,IF($J137=1,"ACTIVE     GHGE, FARM GATE (kg CO2e/kg)","GHGE, processor gate (kg CO2e/kg)"),INDIRECT($K137)),GETPIVOTDATA(IF($J137=1,"Average of ACTIVE     GHGE, FARM GATE (kg CO2e/kg)","Average of GHGE, processor gate (kg CO2e/kg)"),'[1]Pivot Table_GHG'!$A$3,"SUB TYPE",$B137))</f>
        <v/>
      </c>
      <c r="S137" s="94">
        <f>IF($P137="PROXY",DSTDEV('[1]literature entries'!$D:$AI,IF($J137=1,"ACTIVE     GHGE, FARM GATE (kg CO2e/kg)","GHGE, processor gate (kg CO2e/kg)"),INDIRECT($K137)),GETPIVOTDATA(IF($J137=1,"StdDev of ACTIVE     GHGE, FARM GATE (kg CO2e/kg)","StdDev of GHGE, processor gate (kg CO2e/kg)"),'[1]Pivot Table_GHG'!$A$3,"SUB TYPE",$B137))</f>
        <v/>
      </c>
      <c r="T137" s="115" t="n"/>
      <c r="U137" s="116" t="n"/>
      <c r="V137" s="97" t="n"/>
      <c r="W137" s="98">
        <f>IF(L137="PROXY",IF(M137&gt;=5,K137,"need group"),IF(M137&gt;=5,"DIRECT","need group"))</f>
        <v/>
      </c>
      <c r="X137" s="98">
        <f>IF($W137="DIRECT",M137,DCOUNT('[1]literature entries'!$D:$AI,IF($J137=1,"ACTIVE     CED, FARM GATE (MJ/kg)","CED, processor gate (MJ/kg)"),INDIRECT($W137)))</f>
        <v/>
      </c>
      <c r="Y137" s="98">
        <f>IF($W137="DIRECT","",DAVERAGE('[1]literature entries'!$D:$AI,IF($J137=1,"ACTIVE     CED, FARM GATE (MJ/kg)","CED, processor gate (MJ/kg)"),INDIRECT($W137)))</f>
        <v/>
      </c>
      <c r="Z137" s="98">
        <f>IF($W137="DIRECT",$O137,DSTDEV('[1]literature entries'!$D:$AI,IF($J137=1,"ACTIVE     CED, FARM GATE (MJ/kg)","CED, processor gate (MJ/kg)"),INDIRECT($W137)))</f>
        <v/>
      </c>
      <c r="AA137" s="98">
        <f>IF($W137="DIRECT",$O137,$Z137/$Y137*$N137)</f>
        <v/>
      </c>
      <c r="AB137" s="99">
        <f>IF(P137="PROXY",IF(Q137&gt;=5,K137,"need group"),IF(Q137&gt;=5,"DIRECT","need group"))</f>
        <v/>
      </c>
      <c r="AC137" s="99">
        <f>IF($AB137="DIRECT",Q137,DCOUNT('[1]literature entries'!$D:$AI,IF($J137=1,"ACTIVE     GHGE, FARM GATE (kg CO2e/kg)","GHGE, processor gate (kg CO2e/kg)"),INDIRECT($AB137)))</f>
        <v/>
      </c>
      <c r="AD137" s="99">
        <f>IF($AB137="DIRECT","",DAVERAGE('[1]literature entries'!$D:$AI,IF($J137=1,"ACTIVE     GHGE, FARM GATE (kg CO2e/kg)","GHGE, processor gate (kg CO2e/kg)"),INDIRECT($AB137)))</f>
        <v/>
      </c>
      <c r="AE137" s="99">
        <f>IF($AB137="DIRECT",$S137,DSTDEV('[1]literature entries'!$D:$AI,IF($J137=1,"ACTIVE     GHGE, FARM GATE (kg CO2e/kg)","GHGE, processor gate (kg CO2e/kg)"),INDIRECT($AB137)))</f>
        <v/>
      </c>
      <c r="AF137" s="99">
        <f>IF($AB137="DIRECT",$S137,$AE137/$AD137*$R137)</f>
        <v/>
      </c>
    </row>
    <row r="138" ht="15.75" customHeight="1" s="201">
      <c r="A138" s="100" t="n">
        <v>1100010000</v>
      </c>
      <c r="B138" s="101" t="inlineStr">
        <is>
          <t>Apple, juice</t>
        </is>
      </c>
      <c r="C138" s="101" t="inlineStr">
        <is>
          <t>weight of juice at single strength (or standard dilution)</t>
        </is>
      </c>
      <c r="D138" s="101" t="n"/>
      <c r="E138" s="101" t="n">
        <v>14568</v>
      </c>
      <c r="F138" s="84">
        <f>N138*H138+T138</f>
        <v/>
      </c>
      <c r="G138" s="85">
        <f>R138*H138+U138</f>
        <v/>
      </c>
      <c r="H138" s="102" t="n">
        <v>1.5</v>
      </c>
      <c r="I138" s="102" t="inlineStr">
        <is>
          <t>FICRCD</t>
        </is>
      </c>
      <c r="J138" s="104" t="n">
        <v>1</v>
      </c>
      <c r="K138" s="89" t="inlineStr">
        <is>
          <t>apple</t>
        </is>
      </c>
      <c r="L138" s="90">
        <f>IF(ISERROR(GETPIVOTDATA(IF($J138=1,"Count of ACTIVE     CED, FARM GATE (MJ/kg)","Count of CED, processor gate (MJ/kg)"),'[1]Pivot Table_CED'!$A$3,"SUB TYPE",$B138)),"PROXY",IF(GETPIVOTDATA(IF($J138=1,"Count of ACTIVE     CED, FARM GATE (MJ/kg)","Count of CED, processor gate (MJ/kg)"),'[1]Pivot Table_CED'!$A$3,"SUB TYPE",$B138)=0,"PROXY","DB value"))</f>
        <v/>
      </c>
      <c r="M138" s="91">
        <f>IF($L138="PROXY",DCOUNT('[1]literature entries'!$D:$AI,IF($J138=1,"ACTIVE     CED, FARM GATE (MJ/kg)","CED, processor gate (MJ/kg)"),INDIRECT($K138)),GETPIVOTDATA(IF($J138=1,"Count of ACTIVE     CED, FARM GATE (MJ/kg)","Count of CED, processor gate (MJ/kg)"),'[1]Pivot Table_CED'!$A$3,"SUB TYPE",$B138))</f>
        <v/>
      </c>
      <c r="N138" s="92">
        <f>IF($L138="PROXY",DAVERAGE('[1]literature entries'!$D:$AI,IF($J138=1,"ACTIVE     CED, FARM GATE (MJ/kg)","CED, processor gate (MJ/kg)"),INDIRECT($K138)),GETPIVOTDATA(IF($J138=1,"Average of ACTIVE     CED, FARM GATE (MJ/kg)","Average of CED, processor gate (MJ/kg)"),'[1]Pivot Table_CED'!$A$3,"SUB TYPE",$B138))</f>
        <v/>
      </c>
      <c r="O138" s="92">
        <f>IF($L138="PROXY",DSTDEV('[1]literature entries'!D:AI,IF($J138=1,"ACTIVE     CED, FARM GATE (MJ/kg)","CED, processor gate (MJ/kg)"),INDIRECT($K138)),GETPIVOTDATA(IF($J138=1,"StdDev of ACTIVE     CED, FARM GATE (MJ/kg)","StdDev of CED, processor gate (MJ/kg)"),'[1]Pivot Table_CED'!$A$3,"SUB TYPE",$B138))</f>
        <v/>
      </c>
      <c r="P138" s="90">
        <f>IF(ISERROR(GETPIVOTDATA(IF($J138=1,"Count of ACTIVE     GHGE, FARM GATE (kg CO2e/kg)","Count of GHGE, processor gate (kg CO2e/kg)"),'[1]Pivot Table_GHG'!$A$3,"SUB TYPE",$B138)),"PROXY",IF(GETPIVOTDATA(IF($J138=1,"Count of ACTIVE     GHGE, FARM GATE (kg CO2e/kg)","Count of GHGE, processor gate (kg CO2e/kg)"),'[1]Pivot Table_GHG'!$A$3,"SUB TYPE",$B138)=0,"PROXY","DB value"))</f>
        <v/>
      </c>
      <c r="Q138" s="93">
        <f>IF($P138="PROXY",DCOUNT('[1]literature entries'!$D:$AI,IF($J138=1,"ACTIVE     GHGE, FARM GATE (kg CO2e/kg)","GHGE, processor gate (kg CO2e/kg)"),INDIRECT($K138)),GETPIVOTDATA(IF($J138=1,"ACTIVE     GHGE, FARM GATE (kg CO2e/kg)","Count of GHGE, processor gate (kg CO2e/kg)"),'[1]Pivot Table_GHG'!$A$3,"SUB TYPE",$B138))</f>
        <v/>
      </c>
      <c r="R138" s="94">
        <f>IF($P138="PROXY",DAVERAGE('[1]literature entries'!$D:$AI,IF($J138=1,"ACTIVE     GHGE, FARM GATE (kg CO2e/kg)","GHGE, processor gate (kg CO2e/kg)"),INDIRECT($K138)),GETPIVOTDATA(IF($J138=1,"Average of ACTIVE     GHGE, FARM GATE (kg CO2e/kg)","Average of GHGE, processor gate (kg CO2e/kg)"),'[1]Pivot Table_GHG'!$A$3,"SUB TYPE",$B138))</f>
        <v/>
      </c>
      <c r="S138" s="94">
        <f>IF($P138="PROXY",DSTDEV('[1]literature entries'!$D:$AI,IF($J138=1,"ACTIVE     GHGE, FARM GATE (kg CO2e/kg)","GHGE, processor gate (kg CO2e/kg)"),INDIRECT($K138)),GETPIVOTDATA(IF($J138=1,"StdDev of ACTIVE     GHGE, FARM GATE (kg CO2e/kg)","StdDev of GHGE, processor gate (kg CO2e/kg)"),'[1]Pivot Table_GHG'!$A$3,"SUB TYPE",$B138))</f>
        <v/>
      </c>
      <c r="T138" s="107" t="n">
        <v>5.282</v>
      </c>
      <c r="U138" s="108" t="n">
        <v>0.9790791260799999</v>
      </c>
      <c r="V138" s="97" t="n"/>
      <c r="W138" s="98">
        <f>IF(L138="PROXY",IF(M138&gt;=5,K138,"need group"),IF(M138&gt;=5,"DIRECT","need group"))</f>
        <v/>
      </c>
      <c r="X138" s="98">
        <f>IF($W138="DIRECT",M138,DCOUNT('[1]literature entries'!$D:$AI,IF($J138=1,"ACTIVE     CED, FARM GATE (MJ/kg)","CED, processor gate (MJ/kg)"),INDIRECT($W138)))</f>
        <v/>
      </c>
      <c r="Y138" s="98">
        <f>IF($W138="DIRECT","",DAVERAGE('[1]literature entries'!$D:$AI,IF($J138=1,"ACTIVE     CED, FARM GATE (MJ/kg)","CED, processor gate (MJ/kg)"),INDIRECT($W138)))</f>
        <v/>
      </c>
      <c r="Z138" s="98">
        <f>IF($W138="DIRECT",$O138,DSTDEV('[1]literature entries'!$D:$AI,IF($J138=1,"ACTIVE     CED, FARM GATE (MJ/kg)","CED, processor gate (MJ/kg)"),INDIRECT($W138)))</f>
        <v/>
      </c>
      <c r="AA138" s="98">
        <f>IF($W138="DIRECT",$O138,$Z138/$Y138*$N138)</f>
        <v/>
      </c>
      <c r="AB138" s="99">
        <f>IF(P138="PROXY",IF(Q138&gt;=5,K138,"need group"),IF(Q138&gt;=5,"DIRECT","need group"))</f>
        <v/>
      </c>
      <c r="AC138" s="99">
        <f>IF($AB138="DIRECT",Q138,DCOUNT('[1]literature entries'!$D:$AI,IF($J138=1,"ACTIVE     GHGE, FARM GATE (kg CO2e/kg)","GHGE, processor gate (kg CO2e/kg)"),INDIRECT($AB138)))</f>
        <v/>
      </c>
      <c r="AD138" s="99">
        <f>IF($AB138="DIRECT","",DAVERAGE('[1]literature entries'!$D:$AI,IF($J138=1,"ACTIVE     GHGE, FARM GATE (kg CO2e/kg)","GHGE, processor gate (kg CO2e/kg)"),INDIRECT($AB138)))</f>
        <v/>
      </c>
      <c r="AE138" s="99">
        <f>IF($AB138="DIRECT",$S138,DSTDEV('[1]literature entries'!$D:$AI,IF($J138=1,"ACTIVE     GHGE, FARM GATE (kg CO2e/kg)","GHGE, processor gate (kg CO2e/kg)"),INDIRECT($AB138)))</f>
        <v/>
      </c>
      <c r="AF138" s="99">
        <f>IF($AB138="DIRECT",$S138,$AE138/$AD138*$R138)</f>
        <v/>
      </c>
    </row>
    <row r="139" ht="15.75" customHeight="1" s="201">
      <c r="A139" s="100" t="n">
        <v>1100011000</v>
      </c>
      <c r="B139" s="101" t="inlineStr">
        <is>
          <t>Apple, sauce</t>
        </is>
      </c>
      <c r="C139" s="101" t="inlineStr">
        <is>
          <t>weight of applesauce</t>
        </is>
      </c>
      <c r="D139" s="101" t="n"/>
      <c r="E139" s="101" t="n">
        <v>1353</v>
      </c>
      <c r="F139" s="84">
        <f>N139*H139+T139</f>
        <v/>
      </c>
      <c r="G139" s="85">
        <f>R139*H139+U139</f>
        <v/>
      </c>
      <c r="H139" s="102" t="n">
        <v>1.4</v>
      </c>
      <c r="I139" s="102" t="inlineStr">
        <is>
          <t>FICRCD</t>
        </is>
      </c>
      <c r="J139" s="104" t="n">
        <v>1</v>
      </c>
      <c r="K139" s="89" t="inlineStr">
        <is>
          <t>apple</t>
        </is>
      </c>
      <c r="L139" s="90">
        <f>IF(ISERROR(GETPIVOTDATA(IF($J139=1,"Count of ACTIVE     CED, FARM GATE (MJ/kg)","Count of CED, processor gate (MJ/kg)"),'[1]Pivot Table_CED'!$A$3,"SUB TYPE",$B139)),"PROXY",IF(GETPIVOTDATA(IF($J139=1,"Count of ACTIVE     CED, FARM GATE (MJ/kg)","Count of CED, processor gate (MJ/kg)"),'[1]Pivot Table_CED'!$A$3,"SUB TYPE",$B139)=0,"PROXY","DB value"))</f>
        <v/>
      </c>
      <c r="M139" s="91">
        <f>IF($L139="PROXY",DCOUNT('[1]literature entries'!$D:$AI,IF($J139=1,"ACTIVE     CED, FARM GATE (MJ/kg)","CED, processor gate (MJ/kg)"),INDIRECT($K139)),GETPIVOTDATA(IF($J139=1,"Count of ACTIVE     CED, FARM GATE (MJ/kg)","Count of CED, processor gate (MJ/kg)"),'[1]Pivot Table_CED'!$A$3,"SUB TYPE",$B139))</f>
        <v/>
      </c>
      <c r="N139" s="92">
        <f>IF($L139="PROXY",DAVERAGE('[1]literature entries'!$D:$AI,IF($J139=1,"ACTIVE     CED, FARM GATE (MJ/kg)","CED, processor gate (MJ/kg)"),INDIRECT($K139)),GETPIVOTDATA(IF($J139=1,"Average of ACTIVE     CED, FARM GATE (MJ/kg)","Average of CED, processor gate (MJ/kg)"),'[1]Pivot Table_CED'!$A$3,"SUB TYPE",$B139))</f>
        <v/>
      </c>
      <c r="O139" s="92">
        <f>IF($L139="PROXY",DSTDEV('[1]literature entries'!D:AI,IF($J139=1,"ACTIVE     CED, FARM GATE (MJ/kg)","CED, processor gate (MJ/kg)"),INDIRECT($K139)),GETPIVOTDATA(IF($J139=1,"StdDev of ACTIVE     CED, FARM GATE (MJ/kg)","StdDev of CED, processor gate (MJ/kg)"),'[1]Pivot Table_CED'!$A$3,"SUB TYPE",$B139))</f>
        <v/>
      </c>
      <c r="P139" s="90">
        <f>IF(ISERROR(GETPIVOTDATA(IF($J139=1,"Count of ACTIVE     GHGE, FARM GATE (kg CO2e/kg)","Count of GHGE, processor gate (kg CO2e/kg)"),'[1]Pivot Table_GHG'!$A$3,"SUB TYPE",$B139)),"PROXY",IF(GETPIVOTDATA(IF($J139=1,"Count of ACTIVE     GHGE, FARM GATE (kg CO2e/kg)","Count of GHGE, processor gate (kg CO2e/kg)"),'[1]Pivot Table_GHG'!$A$3,"SUB TYPE",$B139)=0,"PROXY","DB value"))</f>
        <v/>
      </c>
      <c r="Q139" s="93">
        <f>IF($P139="PROXY",DCOUNT('[1]literature entries'!$D:$AI,IF($J139=1,"ACTIVE     GHGE, FARM GATE (kg CO2e/kg)","GHGE, processor gate (kg CO2e/kg)"),INDIRECT($K139)),GETPIVOTDATA(IF($J139=1,"ACTIVE     GHGE, FARM GATE (kg CO2e/kg)","Count of GHGE, processor gate (kg CO2e/kg)"),'[1]Pivot Table_GHG'!$A$3,"SUB TYPE",$B139))</f>
        <v/>
      </c>
      <c r="R139" s="94">
        <f>IF($P139="PROXY",DAVERAGE('[1]literature entries'!$D:$AI,IF($J139=1,"ACTIVE     GHGE, FARM GATE (kg CO2e/kg)","GHGE, processor gate (kg CO2e/kg)"),INDIRECT($K139)),GETPIVOTDATA(IF($J139=1,"Average of ACTIVE     GHGE, FARM GATE (kg CO2e/kg)","Average of GHGE, processor gate (kg CO2e/kg)"),'[1]Pivot Table_GHG'!$A$3,"SUB TYPE",$B139))</f>
        <v/>
      </c>
      <c r="S139" s="94">
        <f>IF($P139="PROXY",DSTDEV('[1]literature entries'!$D:$AI,IF($J139=1,"ACTIVE     GHGE, FARM GATE (kg CO2e/kg)","GHGE, processor gate (kg CO2e/kg)"),INDIRECT($K139)),GETPIVOTDATA(IF($J139=1,"StdDev of ACTIVE     GHGE, FARM GATE (kg CO2e/kg)","StdDev of GHGE, processor gate (kg CO2e/kg)"),'[1]Pivot Table_GHG'!$A$3,"SUB TYPE",$B139))</f>
        <v/>
      </c>
      <c r="T139" s="105" t="n"/>
      <c r="U139" s="106" t="n"/>
      <c r="V139" s="97" t="n"/>
      <c r="W139" s="98">
        <f>IF(L139="PROXY",IF(M139&gt;=5,K139,"need group"),IF(M139&gt;=5,"DIRECT","need group"))</f>
        <v/>
      </c>
      <c r="X139" s="98">
        <f>IF($W139="DIRECT",M139,DCOUNT('[1]literature entries'!$D:$AI,IF($J139=1,"ACTIVE     CED, FARM GATE (MJ/kg)","CED, processor gate (MJ/kg)"),INDIRECT($W139)))</f>
        <v/>
      </c>
      <c r="Y139" s="98">
        <f>IF($W139="DIRECT","",DAVERAGE('[1]literature entries'!$D:$AI,IF($J139=1,"ACTIVE     CED, FARM GATE (MJ/kg)","CED, processor gate (MJ/kg)"),INDIRECT($W139)))</f>
        <v/>
      </c>
      <c r="Z139" s="98">
        <f>IF($W139="DIRECT",$O139,DSTDEV('[1]literature entries'!$D:$AI,IF($J139=1,"ACTIVE     CED, FARM GATE (MJ/kg)","CED, processor gate (MJ/kg)"),INDIRECT($W139)))</f>
        <v/>
      </c>
      <c r="AA139" s="98">
        <f>IF($W139="DIRECT",$O139,$Z139/$Y139*$N139)</f>
        <v/>
      </c>
      <c r="AB139" s="99">
        <f>IF(P139="PROXY",IF(Q139&gt;=5,K139,"need group"),IF(Q139&gt;=5,"DIRECT","need group"))</f>
        <v/>
      </c>
      <c r="AC139" s="99">
        <f>IF($AB139="DIRECT",Q139,DCOUNT('[1]literature entries'!$D:$AI,IF($J139=1,"ACTIVE     GHGE, FARM GATE (kg CO2e/kg)","GHGE, processor gate (kg CO2e/kg)"),INDIRECT($AB139)))</f>
        <v/>
      </c>
      <c r="AD139" s="99">
        <f>IF($AB139="DIRECT","",DAVERAGE('[1]literature entries'!$D:$AI,IF($J139=1,"ACTIVE     GHGE, FARM GATE (kg CO2e/kg)","GHGE, processor gate (kg CO2e/kg)"),INDIRECT($AB139)))</f>
        <v/>
      </c>
      <c r="AE139" s="99">
        <f>IF($AB139="DIRECT",$S139,DSTDEV('[1]literature entries'!$D:$AI,IF($J139=1,"ACTIVE     GHGE, FARM GATE (kg CO2e/kg)","GHGE, processor gate (kg CO2e/kg)"),INDIRECT($AB139)))</f>
        <v/>
      </c>
      <c r="AF139" s="99">
        <f>IF($AB139="DIRECT",$S139,$AE139/$AD139*$R139)</f>
        <v/>
      </c>
    </row>
    <row r="140" ht="15.75" customHeight="1" s="201">
      <c r="A140" s="100" t="n">
        <v>1100266000</v>
      </c>
      <c r="B140" s="101" t="inlineStr">
        <is>
          <t>Pear</t>
        </is>
      </c>
      <c r="C140" s="101" t="inlineStr">
        <is>
          <t>weight of pulp, with or without peel; excluding core and stem</t>
        </is>
      </c>
      <c r="D140" s="101" t="inlineStr">
        <is>
          <t>Include Asian (Oriental) pear.</t>
        </is>
      </c>
      <c r="E140" s="101" t="n">
        <v>3209</v>
      </c>
      <c r="F140" s="84">
        <f>N140*H140+T140</f>
        <v/>
      </c>
      <c r="G140" s="85">
        <f>R140*H140+U140</f>
        <v/>
      </c>
      <c r="H140" s="102" t="n">
        <v>1.11</v>
      </c>
      <c r="I140" s="102" t="inlineStr">
        <is>
          <t>FICRCD</t>
        </is>
      </c>
      <c r="J140" s="104" t="n">
        <v>1</v>
      </c>
      <c r="K140" s="89" t="n"/>
      <c r="L140" s="90">
        <f>IF(ISERROR(GETPIVOTDATA(IF($J140=1,"Count of ACTIVE     CED, FARM GATE (MJ/kg)","Count of CED, processor gate (MJ/kg)"),'[1]Pivot Table_CED'!$A$3,"SUB TYPE",$B140)),"PROXY",IF(GETPIVOTDATA(IF($J140=1,"Count of ACTIVE     CED, FARM GATE (MJ/kg)","Count of CED, processor gate (MJ/kg)"),'[1]Pivot Table_CED'!$A$3,"SUB TYPE",$B140)=0,"PROXY","DB value"))</f>
        <v/>
      </c>
      <c r="M140" s="91">
        <f>IF($L140="PROXY",DCOUNT('[1]literature entries'!$D:$AI,IF($J140=1,"ACTIVE     CED, FARM GATE (MJ/kg)","CED, processor gate (MJ/kg)"),INDIRECT($K140)),GETPIVOTDATA(IF($J140=1,"Count of ACTIVE     CED, FARM GATE (MJ/kg)","Count of CED, processor gate (MJ/kg)"),'[1]Pivot Table_CED'!$A$3,"SUB TYPE",$B140))</f>
        <v/>
      </c>
      <c r="N140" s="92">
        <f>IF($L140="PROXY",DAVERAGE('[1]literature entries'!$D:$AI,IF($J140=1,"ACTIVE     CED, FARM GATE (MJ/kg)","CED, processor gate (MJ/kg)"),INDIRECT($K140)),GETPIVOTDATA(IF($J140=1,"Average of ACTIVE     CED, FARM GATE (MJ/kg)","Average of CED, processor gate (MJ/kg)"),'[1]Pivot Table_CED'!$A$3,"SUB TYPE",$B140))</f>
        <v/>
      </c>
      <c r="O140" s="92">
        <f>IF($L140="PROXY",DSTDEV('[1]literature entries'!D:AI,IF($J140=1,"ACTIVE     CED, FARM GATE (MJ/kg)","CED, processor gate (MJ/kg)"),INDIRECT($K140)),GETPIVOTDATA(IF($J140=1,"StdDev of ACTIVE     CED, FARM GATE (MJ/kg)","StdDev of CED, processor gate (MJ/kg)"),'[1]Pivot Table_CED'!$A$3,"SUB TYPE",$B140))</f>
        <v/>
      </c>
      <c r="P140" s="90">
        <f>IF(ISERROR(GETPIVOTDATA(IF($J140=1,"Count of ACTIVE     GHGE, FARM GATE (kg CO2e/kg)","Count of GHGE, processor gate (kg CO2e/kg)"),'[1]Pivot Table_GHG'!$A$3,"SUB TYPE",$B140)),"PROXY",IF(GETPIVOTDATA(IF($J140=1,"Count of ACTIVE     GHGE, FARM GATE (kg CO2e/kg)","Count of GHGE, processor gate (kg CO2e/kg)"),'[1]Pivot Table_GHG'!$A$3,"SUB TYPE",$B140)=0,"PROXY","DB value"))</f>
        <v/>
      </c>
      <c r="Q140" s="93">
        <f>IF($P140="PROXY",DCOUNT('[1]literature entries'!$D:$AI,IF($J140=1,"ACTIVE     GHGE, FARM GATE (kg CO2e/kg)","GHGE, processor gate (kg CO2e/kg)"),INDIRECT($K140)),GETPIVOTDATA(IF($J140=1,"ACTIVE     GHGE, FARM GATE (kg CO2e/kg)","Count of GHGE, processor gate (kg CO2e/kg)"),'[1]Pivot Table_GHG'!$A$3,"SUB TYPE",$B140))</f>
        <v/>
      </c>
      <c r="R140" s="94">
        <f>IF($P140="PROXY",DAVERAGE('[1]literature entries'!$D:$AI,IF($J140=1,"ACTIVE     GHGE, FARM GATE (kg CO2e/kg)","GHGE, processor gate (kg CO2e/kg)"),INDIRECT($K140)),GETPIVOTDATA(IF($J140=1,"Average of ACTIVE     GHGE, FARM GATE (kg CO2e/kg)","Average of GHGE, processor gate (kg CO2e/kg)"),'[1]Pivot Table_GHG'!$A$3,"SUB TYPE",$B140))</f>
        <v/>
      </c>
      <c r="S140" s="94">
        <f>IF($P140="PROXY",DSTDEV('[1]literature entries'!$D:$AI,IF($J140=1,"ACTIVE     GHGE, FARM GATE (kg CO2e/kg)","GHGE, processor gate (kg CO2e/kg)"),INDIRECT($K140)),GETPIVOTDATA(IF($J140=1,"StdDev of ACTIVE     GHGE, FARM GATE (kg CO2e/kg)","StdDev of GHGE, processor gate (kg CO2e/kg)"),'[1]Pivot Table_GHG'!$A$3,"SUB TYPE",$B140))</f>
        <v/>
      </c>
      <c r="T140" s="105" t="n"/>
      <c r="U140" s="106" t="n"/>
      <c r="V140" s="97" t="n"/>
      <c r="W140" s="98">
        <f>IF(L140="PROXY",IF(M140&gt;=5,K140,"need group"),IF(M140&gt;=5,"DIRECT","need group"))</f>
        <v/>
      </c>
      <c r="X140" s="98">
        <f>IF($W140="DIRECT",M140,DCOUNT('[1]literature entries'!$D:$AI,IF($J140=1,"ACTIVE     CED, FARM GATE (MJ/kg)","CED, processor gate (MJ/kg)"),INDIRECT($W140)))</f>
        <v/>
      </c>
      <c r="Y140" s="98">
        <f>IF($W140="DIRECT","",DAVERAGE('[1]literature entries'!$D:$AI,IF($J140=1,"ACTIVE     CED, FARM GATE (MJ/kg)","CED, processor gate (MJ/kg)"),INDIRECT($W140)))</f>
        <v/>
      </c>
      <c r="Z140" s="98">
        <f>IF($W140="DIRECT",$O140,DSTDEV('[1]literature entries'!$D:$AI,IF($J140=1,"ACTIVE     CED, FARM GATE (MJ/kg)","CED, processor gate (MJ/kg)"),INDIRECT($W140)))</f>
        <v/>
      </c>
      <c r="AA140" s="98">
        <f>IF($W140="DIRECT",$O140,$Z140/$Y140*$N140)</f>
        <v/>
      </c>
      <c r="AB140" s="99">
        <f>IF(P140="PROXY",IF(Q140&gt;=5,K140,"need group"),IF(Q140&gt;=5,"DIRECT","need group"))</f>
        <v/>
      </c>
      <c r="AC140" s="99">
        <f>IF($AB140="DIRECT",Q140,DCOUNT('[1]literature entries'!$D:$AI,IF($J140=1,"ACTIVE     GHGE, FARM GATE (kg CO2e/kg)","GHGE, processor gate (kg CO2e/kg)"),INDIRECT($AB140)))</f>
        <v/>
      </c>
      <c r="AD140" s="99">
        <f>IF($AB140="DIRECT","",DAVERAGE('[1]literature entries'!$D:$AI,IF($J140=1,"ACTIVE     GHGE, FARM GATE (kg CO2e/kg)","GHGE, processor gate (kg CO2e/kg)"),INDIRECT($AB140)))</f>
        <v/>
      </c>
      <c r="AE140" s="99">
        <f>IF($AB140="DIRECT",$S140,DSTDEV('[1]literature entries'!$D:$AI,IF($J140=1,"ACTIVE     GHGE, FARM GATE (kg CO2e/kg)","GHGE, processor gate (kg CO2e/kg)"),INDIRECT($AB140)))</f>
        <v/>
      </c>
      <c r="AF140" s="99">
        <f>IF($AB140="DIRECT",$S140,$AE140/$AD140*$R140)</f>
        <v/>
      </c>
    </row>
    <row r="141" ht="15.75" customHeight="1" s="201">
      <c r="A141" s="100" t="n">
        <v>1100267000</v>
      </c>
      <c r="B141" s="101" t="inlineStr">
        <is>
          <t>Pear, dried</t>
        </is>
      </c>
      <c r="C141" s="101" t="inlineStr">
        <is>
          <t>weight of dried pulp, with or without peel</t>
        </is>
      </c>
      <c r="D141" s="101" t="inlineStr">
        <is>
          <t>Include Asian (Oriental) pear.</t>
        </is>
      </c>
      <c r="E141" s="101" t="n">
        <v>142</v>
      </c>
      <c r="F141" s="84">
        <f>N141*H141+T141</f>
        <v/>
      </c>
      <c r="G141" s="85">
        <f>R141*H141+U141</f>
        <v/>
      </c>
      <c r="H141" s="102" t="n">
        <v>5</v>
      </c>
      <c r="I141" s="103" t="inlineStr">
        <is>
          <t>FICRCD</t>
        </is>
      </c>
      <c r="J141" s="104" t="n">
        <v>1</v>
      </c>
      <c r="K141" s="101" t="inlineStr">
        <is>
          <t>pear</t>
        </is>
      </c>
      <c r="L141" s="90">
        <f>IF(ISERROR(GETPIVOTDATA(IF($J141=1,"Count of ACTIVE     CED, FARM GATE (MJ/kg)","Count of CED, processor gate (MJ/kg)"),'[1]Pivot Table_CED'!$A$3,"SUB TYPE",$B141)),"PROXY",IF(GETPIVOTDATA(IF($J141=1,"Count of ACTIVE     CED, FARM GATE (MJ/kg)","Count of CED, processor gate (MJ/kg)"),'[1]Pivot Table_CED'!$A$3,"SUB TYPE",$B141)=0,"PROXY","DB value"))</f>
        <v/>
      </c>
      <c r="M141" s="91">
        <f>IF($L141="PROXY",DCOUNT('[1]literature entries'!$D:$AI,IF($J141=1,"ACTIVE     CED, FARM GATE (MJ/kg)","CED, processor gate (MJ/kg)"),INDIRECT($K141)),GETPIVOTDATA(IF($J141=1,"Count of ACTIVE     CED, FARM GATE (MJ/kg)","Count of CED, processor gate (MJ/kg)"),'[1]Pivot Table_CED'!$A$3,"SUB TYPE",$B141))</f>
        <v/>
      </c>
      <c r="N141" s="92">
        <f>IF($L141="PROXY",DAVERAGE('[1]literature entries'!$D:$AI,IF($J141=1,"ACTIVE     CED, FARM GATE (MJ/kg)","CED, processor gate (MJ/kg)"),INDIRECT($K141)),GETPIVOTDATA(IF($J141=1,"Average of ACTIVE     CED, FARM GATE (MJ/kg)","Average of CED, processor gate (MJ/kg)"),'[1]Pivot Table_CED'!$A$3,"SUB TYPE",$B141))</f>
        <v/>
      </c>
      <c r="O141" s="92">
        <f>IF($L141="PROXY",DSTDEV('[1]literature entries'!D:AI,IF($J141=1,"ACTIVE     CED, FARM GATE (MJ/kg)","CED, processor gate (MJ/kg)"),INDIRECT($K141)),GETPIVOTDATA(IF($J141=1,"StdDev of ACTIVE     CED, FARM GATE (MJ/kg)","StdDev of CED, processor gate (MJ/kg)"),'[1]Pivot Table_CED'!$A$3,"SUB TYPE",$B141))</f>
        <v/>
      </c>
      <c r="P141" s="90">
        <f>IF(ISERROR(GETPIVOTDATA(IF($J141=1,"Count of ACTIVE     GHGE, FARM GATE (kg CO2e/kg)","Count of GHGE, processor gate (kg CO2e/kg)"),'[1]Pivot Table_GHG'!$A$3,"SUB TYPE",$B141)),"PROXY",IF(GETPIVOTDATA(IF($J141=1,"Count of ACTIVE     GHGE, FARM GATE (kg CO2e/kg)","Count of GHGE, processor gate (kg CO2e/kg)"),'[1]Pivot Table_GHG'!$A$3,"SUB TYPE",$B141)=0,"PROXY","DB value"))</f>
        <v/>
      </c>
      <c r="Q141" s="93">
        <f>IF($P141="PROXY",DCOUNT('[1]literature entries'!$D:$AI,IF($J141=1,"ACTIVE     GHGE, FARM GATE (kg CO2e/kg)","GHGE, processor gate (kg CO2e/kg)"),INDIRECT($K141)),GETPIVOTDATA(IF($J141=1,"ACTIVE     GHGE, FARM GATE (kg CO2e/kg)","Count of GHGE, processor gate (kg CO2e/kg)"),'[1]Pivot Table_GHG'!$A$3,"SUB TYPE",$B141))</f>
        <v/>
      </c>
      <c r="R141" s="94">
        <f>IF($P141="PROXY",DAVERAGE('[1]literature entries'!$D:$AI,IF($J141=1,"ACTIVE     GHGE, FARM GATE (kg CO2e/kg)","GHGE, processor gate (kg CO2e/kg)"),INDIRECT($K141)),GETPIVOTDATA(IF($J141=1,"Average of ACTIVE     GHGE, FARM GATE (kg CO2e/kg)","Average of GHGE, processor gate (kg CO2e/kg)"),'[1]Pivot Table_GHG'!$A$3,"SUB TYPE",$B141))</f>
        <v/>
      </c>
      <c r="S141" s="94">
        <f>IF($P141="PROXY",DSTDEV('[1]literature entries'!$D:$AI,IF($J141=1,"ACTIVE     GHGE, FARM GATE (kg CO2e/kg)","GHGE, processor gate (kg CO2e/kg)"),INDIRECT($K141)),GETPIVOTDATA(IF($J141=1,"StdDev of ACTIVE     GHGE, FARM GATE (kg CO2e/kg)","StdDev of GHGE, processor gate (kg CO2e/kg)"),'[1]Pivot Table_GHG'!$A$3,"SUB TYPE",$B141))</f>
        <v/>
      </c>
      <c r="T141" s="105" t="n"/>
      <c r="U141" s="106" t="n"/>
      <c r="V141" s="97" t="n"/>
      <c r="W141" s="98">
        <f>IF(L141="PROXY",IF(M141&gt;=5,K141,"need group"),IF(M141&gt;=5,"DIRECT","need group"))</f>
        <v/>
      </c>
      <c r="X141" s="98">
        <f>IF($W141="DIRECT",M141,DCOUNT('[1]literature entries'!$D:$AI,IF($J141=1,"ACTIVE     CED, FARM GATE (MJ/kg)","CED, processor gate (MJ/kg)"),INDIRECT($W141)))</f>
        <v/>
      </c>
      <c r="Y141" s="98">
        <f>IF($W141="DIRECT","",DAVERAGE('[1]literature entries'!$D:$AI,IF($J141=1,"ACTIVE     CED, FARM GATE (MJ/kg)","CED, processor gate (MJ/kg)"),INDIRECT($W141)))</f>
        <v/>
      </c>
      <c r="Z141" s="98">
        <f>IF($W141="DIRECT",$O141,DSTDEV('[1]literature entries'!$D:$AI,IF($J141=1,"ACTIVE     CED, FARM GATE (MJ/kg)","CED, processor gate (MJ/kg)"),INDIRECT($W141)))</f>
        <v/>
      </c>
      <c r="AA141" s="98">
        <f>IF($W141="DIRECT",$O141,$Z141/$Y141*$N141)</f>
        <v/>
      </c>
      <c r="AB141" s="99">
        <f>IF(P141="PROXY",IF(Q141&gt;=5,K141,"need group"),IF(Q141&gt;=5,"DIRECT","need group"))</f>
        <v/>
      </c>
      <c r="AC141" s="99">
        <f>IF($AB141="DIRECT",Q141,DCOUNT('[1]literature entries'!$D:$AI,IF($J141=1,"ACTIVE     GHGE, FARM GATE (kg CO2e/kg)","GHGE, processor gate (kg CO2e/kg)"),INDIRECT($AB141)))</f>
        <v/>
      </c>
      <c r="AD141" s="99">
        <f>IF($AB141="DIRECT","",DAVERAGE('[1]literature entries'!$D:$AI,IF($J141=1,"ACTIVE     GHGE, FARM GATE (kg CO2e/kg)","GHGE, processor gate (kg CO2e/kg)"),INDIRECT($AB141)))</f>
        <v/>
      </c>
      <c r="AE141" s="99">
        <f>IF($AB141="DIRECT",$S141,DSTDEV('[1]literature entries'!$D:$AI,IF($J141=1,"ACTIVE     GHGE, FARM GATE (kg CO2e/kg)","GHGE, processor gate (kg CO2e/kg)"),INDIRECT($AB141)))</f>
        <v/>
      </c>
      <c r="AF141" s="99">
        <f>IF($AB141="DIRECT",$S141,$AE141/$AD141*$R141)</f>
        <v/>
      </c>
    </row>
    <row r="142" ht="15.75" customHeight="1" s="201">
      <c r="A142" s="100" t="n">
        <v>1100268000</v>
      </c>
      <c r="B142" s="101" t="inlineStr">
        <is>
          <t>Pear, juice</t>
        </is>
      </c>
      <c r="C142" s="101" t="inlineStr">
        <is>
          <t>weight of juice at single strength (or standard dilution)</t>
        </is>
      </c>
      <c r="D142" s="101" t="inlineStr">
        <is>
          <t>Include Asian (Oriental) pear.</t>
        </is>
      </c>
      <c r="E142" s="101" t="n">
        <v>6975</v>
      </c>
      <c r="F142" s="84">
        <f>N142*H142+T142</f>
        <v/>
      </c>
      <c r="G142" s="85">
        <f>R142*H142+U142</f>
        <v/>
      </c>
      <c r="H142" s="102" t="n">
        <v>1.5</v>
      </c>
      <c r="I142" s="103" t="inlineStr">
        <is>
          <t>apple, juice</t>
        </is>
      </c>
      <c r="J142" s="104" t="n">
        <v>1</v>
      </c>
      <c r="K142" s="101" t="inlineStr">
        <is>
          <t>pear</t>
        </is>
      </c>
      <c r="L142" s="90">
        <f>IF(ISERROR(GETPIVOTDATA(IF($J142=1,"Count of ACTIVE     CED, FARM GATE (MJ/kg)","Count of CED, processor gate (MJ/kg)"),'[1]Pivot Table_CED'!$A$3,"SUB TYPE",$B142)),"PROXY",IF(GETPIVOTDATA(IF($J142=1,"Count of ACTIVE     CED, FARM GATE (MJ/kg)","Count of CED, processor gate (MJ/kg)"),'[1]Pivot Table_CED'!$A$3,"SUB TYPE",$B142)=0,"PROXY","DB value"))</f>
        <v/>
      </c>
      <c r="M142" s="91">
        <f>IF($L142="PROXY",DCOUNT('[1]literature entries'!$D:$AI,IF($J142=1,"ACTIVE     CED, FARM GATE (MJ/kg)","CED, processor gate (MJ/kg)"),INDIRECT($K142)),GETPIVOTDATA(IF($J142=1,"Count of ACTIVE     CED, FARM GATE (MJ/kg)","Count of CED, processor gate (MJ/kg)"),'[1]Pivot Table_CED'!$A$3,"SUB TYPE",$B142))</f>
        <v/>
      </c>
      <c r="N142" s="92">
        <f>IF($L142="PROXY",DAVERAGE('[1]literature entries'!$D:$AI,IF($J142=1,"ACTIVE     CED, FARM GATE (MJ/kg)","CED, processor gate (MJ/kg)"),INDIRECT($K142)),GETPIVOTDATA(IF($J142=1,"Average of ACTIVE     CED, FARM GATE (MJ/kg)","Average of CED, processor gate (MJ/kg)"),'[1]Pivot Table_CED'!$A$3,"SUB TYPE",$B142))</f>
        <v/>
      </c>
      <c r="O142" s="92">
        <f>IF($L142="PROXY",DSTDEV('[1]literature entries'!D:AI,IF($J142=1,"ACTIVE     CED, FARM GATE (MJ/kg)","CED, processor gate (MJ/kg)"),INDIRECT($K142)),GETPIVOTDATA(IF($J142=1,"StdDev of ACTIVE     CED, FARM GATE (MJ/kg)","StdDev of CED, processor gate (MJ/kg)"),'[1]Pivot Table_CED'!$A$3,"SUB TYPE",$B142))</f>
        <v/>
      </c>
      <c r="P142" s="90">
        <f>IF(ISERROR(GETPIVOTDATA(IF($J142=1,"Count of ACTIVE     GHGE, FARM GATE (kg CO2e/kg)","Count of GHGE, processor gate (kg CO2e/kg)"),'[1]Pivot Table_GHG'!$A$3,"SUB TYPE",$B142)),"PROXY",IF(GETPIVOTDATA(IF($J142=1,"Count of ACTIVE     GHGE, FARM GATE (kg CO2e/kg)","Count of GHGE, processor gate (kg CO2e/kg)"),'[1]Pivot Table_GHG'!$A$3,"SUB TYPE",$B142)=0,"PROXY","DB value"))</f>
        <v/>
      </c>
      <c r="Q142" s="93">
        <f>IF($P142="PROXY",DCOUNT('[1]literature entries'!$D:$AI,IF($J142=1,"ACTIVE     GHGE, FARM GATE (kg CO2e/kg)","GHGE, processor gate (kg CO2e/kg)"),INDIRECT($K142)),GETPIVOTDATA(IF($J142=1,"ACTIVE     GHGE, FARM GATE (kg CO2e/kg)","Count of GHGE, processor gate (kg CO2e/kg)"),'[1]Pivot Table_GHG'!$A$3,"SUB TYPE",$B142))</f>
        <v/>
      </c>
      <c r="R142" s="94">
        <f>IF($P142="PROXY",DAVERAGE('[1]literature entries'!$D:$AI,IF($J142=1,"ACTIVE     GHGE, FARM GATE (kg CO2e/kg)","GHGE, processor gate (kg CO2e/kg)"),INDIRECT($K142)),GETPIVOTDATA(IF($J142=1,"Average of ACTIVE     GHGE, FARM GATE (kg CO2e/kg)","Average of GHGE, processor gate (kg CO2e/kg)"),'[1]Pivot Table_GHG'!$A$3,"SUB TYPE",$B142))</f>
        <v/>
      </c>
      <c r="S142" s="94">
        <f>IF($P142="PROXY",DSTDEV('[1]literature entries'!$D:$AI,IF($J142=1,"ACTIVE     GHGE, FARM GATE (kg CO2e/kg)","GHGE, processor gate (kg CO2e/kg)"),INDIRECT($K142)),GETPIVOTDATA(IF($J142=1,"StdDev of ACTIVE     GHGE, FARM GATE (kg CO2e/kg)","StdDev of GHGE, processor gate (kg CO2e/kg)"),'[1]Pivot Table_GHG'!$A$3,"SUB TYPE",$B142))</f>
        <v/>
      </c>
      <c r="T142" s="107" t="n">
        <v>5.282</v>
      </c>
      <c r="U142" s="108" t="n">
        <v>0.9790791260799999</v>
      </c>
      <c r="V142" s="97" t="n"/>
      <c r="W142" s="98">
        <f>IF(L142="PROXY",IF(M142&gt;=5,K142,"need group"),IF(M142&gt;=5,"DIRECT","need group"))</f>
        <v/>
      </c>
      <c r="X142" s="98">
        <f>IF($W142="DIRECT",M142,DCOUNT('[1]literature entries'!$D:$AI,IF($J142=1,"ACTIVE     CED, FARM GATE (MJ/kg)","CED, processor gate (MJ/kg)"),INDIRECT($W142)))</f>
        <v/>
      </c>
      <c r="Y142" s="98">
        <f>IF($W142="DIRECT","",DAVERAGE('[1]literature entries'!$D:$AI,IF($J142=1,"ACTIVE     CED, FARM GATE (MJ/kg)","CED, processor gate (MJ/kg)"),INDIRECT($W142)))</f>
        <v/>
      </c>
      <c r="Z142" s="98">
        <f>IF($W142="DIRECT",$O142,DSTDEV('[1]literature entries'!$D:$AI,IF($J142=1,"ACTIVE     CED, FARM GATE (MJ/kg)","CED, processor gate (MJ/kg)"),INDIRECT($W142)))</f>
        <v/>
      </c>
      <c r="AA142" s="98">
        <f>IF($W142="DIRECT",$O142,$Z142/$Y142*$N142)</f>
        <v/>
      </c>
      <c r="AB142" s="99">
        <f>IF(P142="PROXY",IF(Q142&gt;=5,K142,"need group"),IF(Q142&gt;=5,"DIRECT","need group"))</f>
        <v/>
      </c>
      <c r="AC142" s="99">
        <f>IF($AB142="DIRECT",Q142,DCOUNT('[1]literature entries'!$D:$AI,IF($J142=1,"ACTIVE     GHGE, FARM GATE (kg CO2e/kg)","GHGE, processor gate (kg CO2e/kg)"),INDIRECT($AB142)))</f>
        <v/>
      </c>
      <c r="AD142" s="99">
        <f>IF($AB142="DIRECT","",DAVERAGE('[1]literature entries'!$D:$AI,IF($J142=1,"ACTIVE     GHGE, FARM GATE (kg CO2e/kg)","GHGE, processor gate (kg CO2e/kg)"),INDIRECT($AB142)))</f>
        <v/>
      </c>
      <c r="AE142" s="99">
        <f>IF($AB142="DIRECT",$S142,DSTDEV('[1]literature entries'!$D:$AI,IF($J142=1,"ACTIVE     GHGE, FARM GATE (kg CO2e/kg)","GHGE, processor gate (kg CO2e/kg)"),INDIRECT($AB142)))</f>
        <v/>
      </c>
      <c r="AF142" s="99">
        <f>IF($AB142="DIRECT",$S142,$AE142/$AD142*$R142)</f>
        <v/>
      </c>
    </row>
    <row r="143" ht="15.75" customHeight="1" s="201">
      <c r="A143" s="100" t="n">
        <v>1201090000</v>
      </c>
      <c r="B143" s="101" t="inlineStr">
        <is>
          <t>Cherry</t>
        </is>
      </c>
      <c r="C143" s="101" t="inlineStr">
        <is>
          <t>weight of fruit; including skin; excluding pit and stem</t>
        </is>
      </c>
      <c r="D143" s="101" t="inlineStr">
        <is>
          <t>Includes sweet cherry and sour or tart cherry.</t>
        </is>
      </c>
      <c r="E143" s="101" t="n">
        <v>11075</v>
      </c>
      <c r="F143" s="84">
        <f>N143*H143+T143</f>
        <v/>
      </c>
      <c r="G143" s="85">
        <f>R143*H143+U143</f>
        <v/>
      </c>
      <c r="H143" s="102" t="n">
        <v>1.09</v>
      </c>
      <c r="I143" s="102" t="inlineStr">
        <is>
          <t>FICRCD</t>
        </is>
      </c>
      <c r="J143" s="104" t="n">
        <v>1</v>
      </c>
      <c r="K143" s="101" t="inlineStr">
        <is>
          <t>tree_fruit</t>
        </is>
      </c>
      <c r="L143" s="90">
        <f>IF(ISERROR(GETPIVOTDATA(IF($J143=1,"Count of ACTIVE     CED, FARM GATE (MJ/kg)","Count of CED, processor gate (MJ/kg)"),'[1]Pivot Table_CED'!$A$3,"SUB TYPE",$B143)),"PROXY",IF(GETPIVOTDATA(IF($J143=1,"Count of ACTIVE     CED, FARM GATE (MJ/kg)","Count of CED, processor gate (MJ/kg)"),'[1]Pivot Table_CED'!$A$3,"SUB TYPE",$B143)=0,"PROXY","DB value"))</f>
        <v/>
      </c>
      <c r="M143" s="91">
        <f>IF($L143="PROXY",DCOUNT('[1]literature entries'!$D:$AI,IF($J143=1,"ACTIVE     CED, FARM GATE (MJ/kg)","CED, processor gate (MJ/kg)"),INDIRECT($K143)),GETPIVOTDATA(IF($J143=1,"Count of ACTIVE     CED, FARM GATE (MJ/kg)","Count of CED, processor gate (MJ/kg)"),'[1]Pivot Table_CED'!$A$3,"SUB TYPE",$B143))</f>
        <v/>
      </c>
      <c r="N143" s="92">
        <f>IF($L143="PROXY",DAVERAGE('[1]literature entries'!$D:$AI,IF($J143=1,"ACTIVE     CED, FARM GATE (MJ/kg)","CED, processor gate (MJ/kg)"),INDIRECT($K143)),GETPIVOTDATA(IF($J143=1,"Average of ACTIVE     CED, FARM GATE (MJ/kg)","Average of CED, processor gate (MJ/kg)"),'[1]Pivot Table_CED'!$A$3,"SUB TYPE",$B143))</f>
        <v/>
      </c>
      <c r="O143" s="92">
        <f>IF($L143="PROXY",DSTDEV('[1]literature entries'!D:AI,IF($J143=1,"ACTIVE     CED, FARM GATE (MJ/kg)","CED, processor gate (MJ/kg)"),INDIRECT($K143)),GETPIVOTDATA(IF($J143=1,"StdDev of ACTIVE     CED, FARM GATE (MJ/kg)","StdDev of CED, processor gate (MJ/kg)"),'[1]Pivot Table_CED'!$A$3,"SUB TYPE",$B143))</f>
        <v/>
      </c>
      <c r="P143" s="90">
        <f>IF(ISERROR(GETPIVOTDATA(IF($J143=1,"Count of ACTIVE     GHGE, FARM GATE (kg CO2e/kg)","Count of GHGE, processor gate (kg CO2e/kg)"),'[1]Pivot Table_GHG'!$A$3,"SUB TYPE",$B143)),"PROXY",IF(GETPIVOTDATA(IF($J143=1,"Count of ACTIVE     GHGE, FARM GATE (kg CO2e/kg)","Count of GHGE, processor gate (kg CO2e/kg)"),'[1]Pivot Table_GHG'!$A$3,"SUB TYPE",$B143)=0,"PROXY","DB value"))</f>
        <v/>
      </c>
      <c r="Q143" s="93">
        <f>IF($P143="PROXY",DCOUNT('[1]literature entries'!$D:$AI,IF($J143=1,"ACTIVE     GHGE, FARM GATE (kg CO2e/kg)","GHGE, processor gate (kg CO2e/kg)"),INDIRECT($K143)),GETPIVOTDATA(IF($J143=1,"ACTIVE     GHGE, FARM GATE (kg CO2e/kg)","Count of GHGE, processor gate (kg CO2e/kg)"),'[1]Pivot Table_GHG'!$A$3,"SUB TYPE",$B143))</f>
        <v/>
      </c>
      <c r="R143" s="94">
        <f>IF($P143="PROXY",DAVERAGE('[1]literature entries'!$D:$AI,IF($J143=1,"ACTIVE     GHGE, FARM GATE (kg CO2e/kg)","GHGE, processor gate (kg CO2e/kg)"),INDIRECT($K143)),GETPIVOTDATA(IF($J143=1,"Average of ACTIVE     GHGE, FARM GATE (kg CO2e/kg)","Average of GHGE, processor gate (kg CO2e/kg)"),'[1]Pivot Table_GHG'!$A$3,"SUB TYPE",$B143))</f>
        <v/>
      </c>
      <c r="S143" s="94">
        <f>IF($P143="PROXY",DSTDEV('[1]literature entries'!$D:$AI,IF($J143=1,"ACTIVE     GHGE, FARM GATE (kg CO2e/kg)","GHGE, processor gate (kg CO2e/kg)"),INDIRECT($K143)),GETPIVOTDATA(IF($J143=1,"StdDev of ACTIVE     GHGE, FARM GATE (kg CO2e/kg)","StdDev of GHGE, processor gate (kg CO2e/kg)"),'[1]Pivot Table_GHG'!$A$3,"SUB TYPE",$B143))</f>
        <v/>
      </c>
      <c r="T143" s="105" t="n"/>
      <c r="U143" s="106" t="n"/>
      <c r="V143" s="97" t="n"/>
      <c r="W143" s="98" t="inlineStr">
        <is>
          <t>tree_fruit</t>
        </is>
      </c>
      <c r="X143" s="98">
        <f>IF($W143="DIRECT",M143,DCOUNT('[1]literature entries'!$D:$AI,IF($J143=1,"ACTIVE     CED, FARM GATE (MJ/kg)","CED, processor gate (MJ/kg)"),INDIRECT($W143)))</f>
        <v/>
      </c>
      <c r="Y143" s="98">
        <f>IF($W143="DIRECT","",DAVERAGE('[1]literature entries'!$D:$AI,IF($J143=1,"ACTIVE     CED, FARM GATE (MJ/kg)","CED, processor gate (MJ/kg)"),INDIRECT($W143)))</f>
        <v/>
      </c>
      <c r="Z143" s="98">
        <f>IF($W143="DIRECT",$O143,DSTDEV('[1]literature entries'!$D:$AI,IF($J143=1,"ACTIVE     CED, FARM GATE (MJ/kg)","CED, processor gate (MJ/kg)"),INDIRECT($W143)))</f>
        <v/>
      </c>
      <c r="AA143" s="98">
        <f>IF($W143="DIRECT",$O143,$Z143/$Y143*$N143)</f>
        <v/>
      </c>
      <c r="AB143" s="99">
        <f>IF(P143="PROXY",IF(Q143&gt;=5,K143,"need group"),IF(Q143&gt;=5,"DIRECT","need group"))</f>
        <v/>
      </c>
      <c r="AC143" s="99">
        <f>IF($AB143="DIRECT",Q143,DCOUNT('[1]literature entries'!$D:$AI,IF($J143=1,"ACTIVE     GHGE, FARM GATE (kg CO2e/kg)","GHGE, processor gate (kg CO2e/kg)"),INDIRECT($AB143)))</f>
        <v/>
      </c>
      <c r="AD143" s="99">
        <f>IF($AB143="DIRECT","",DAVERAGE('[1]literature entries'!$D:$AI,IF($J143=1,"ACTIVE     GHGE, FARM GATE (kg CO2e/kg)","GHGE, processor gate (kg CO2e/kg)"),INDIRECT($AB143)))</f>
        <v/>
      </c>
      <c r="AE143" s="99">
        <f>IF($AB143="DIRECT",$S143,DSTDEV('[1]literature entries'!$D:$AI,IF($J143=1,"ACTIVE     GHGE, FARM GATE (kg CO2e/kg)","GHGE, processor gate (kg CO2e/kg)"),INDIRECT($AB143)))</f>
        <v/>
      </c>
      <c r="AF143" s="99">
        <f>IF($AB143="DIRECT",$S143,$AE143/$AD143*$R143)</f>
        <v/>
      </c>
    </row>
    <row r="144" ht="15.75" customHeight="1" s="201">
      <c r="A144" s="100" t="n">
        <v>1201091000</v>
      </c>
      <c r="B144" s="101" t="inlineStr">
        <is>
          <t>Cherry, juice</t>
        </is>
      </c>
      <c r="C144" s="101" t="inlineStr">
        <is>
          <t>weight of juice at single strength (or standard dilution)</t>
        </is>
      </c>
      <c r="D144" s="101" t="inlineStr">
        <is>
          <t>Includes sweet cherry and sour or tart cherry.</t>
        </is>
      </c>
      <c r="E144" s="101" t="n">
        <v>6943</v>
      </c>
      <c r="F144" s="84">
        <f>N144*H144+T144</f>
        <v/>
      </c>
      <c r="G144" s="85">
        <f>R144*H144+U144</f>
        <v/>
      </c>
      <c r="H144" s="102" t="n">
        <v>1.3</v>
      </c>
      <c r="I144" s="112" t="inlineStr">
        <is>
          <t>blackberry, juice</t>
        </is>
      </c>
      <c r="J144" s="104" t="n">
        <v>1</v>
      </c>
      <c r="K144" s="101" t="inlineStr">
        <is>
          <t>cherry</t>
        </is>
      </c>
      <c r="L144" s="90">
        <f>IF(ISERROR(GETPIVOTDATA(IF($J144=1,"Count of ACTIVE     CED, FARM GATE (MJ/kg)","Count of CED, processor gate (MJ/kg)"),'[1]Pivot Table_CED'!$A$3,"SUB TYPE",$B144)),"PROXY",IF(GETPIVOTDATA(IF($J144=1,"Count of ACTIVE     CED, FARM GATE (MJ/kg)","Count of CED, processor gate (MJ/kg)"),'[1]Pivot Table_CED'!$A$3,"SUB TYPE",$B144)=0,"PROXY","DB value"))</f>
        <v/>
      </c>
      <c r="M144" s="91">
        <f>IF($L144="PROXY",DCOUNT('[1]literature entries'!$D:$AI,IF($J144=1,"ACTIVE     CED, FARM GATE (MJ/kg)","CED, processor gate (MJ/kg)"),INDIRECT($K144)),GETPIVOTDATA(IF($J144=1,"Count of ACTIVE     CED, FARM GATE (MJ/kg)","Count of CED, processor gate (MJ/kg)"),'[1]Pivot Table_CED'!$A$3,"SUB TYPE",$B144))</f>
        <v/>
      </c>
      <c r="N144" s="92">
        <f>IF($L144="PROXY",DAVERAGE('[1]literature entries'!$D:$AI,IF($J144=1,"ACTIVE     CED, FARM GATE (MJ/kg)","CED, processor gate (MJ/kg)"),INDIRECT($K144)),GETPIVOTDATA(IF($J144=1,"Average of ACTIVE     CED, FARM GATE (MJ/kg)","Average of CED, processor gate (MJ/kg)"),'[1]Pivot Table_CED'!$A$3,"SUB TYPE",$B144))</f>
        <v/>
      </c>
      <c r="O144" s="92">
        <f>IF($L144="PROXY",DSTDEV('[1]literature entries'!D:AI,IF($J144=1,"ACTIVE     CED, FARM GATE (MJ/kg)","CED, processor gate (MJ/kg)"),INDIRECT($K144)),GETPIVOTDATA(IF($J144=1,"StdDev of ACTIVE     CED, FARM GATE (MJ/kg)","StdDev of CED, processor gate (MJ/kg)"),'[1]Pivot Table_CED'!$A$3,"SUB TYPE",$B144))</f>
        <v/>
      </c>
      <c r="P144" s="90">
        <f>IF(ISERROR(GETPIVOTDATA(IF($J144=1,"Count of ACTIVE     GHGE, FARM GATE (kg CO2e/kg)","Count of GHGE, processor gate (kg CO2e/kg)"),'[1]Pivot Table_GHG'!$A$3,"SUB TYPE",$B144)),"PROXY",IF(GETPIVOTDATA(IF($J144=1,"Count of ACTIVE     GHGE, FARM GATE (kg CO2e/kg)","Count of GHGE, processor gate (kg CO2e/kg)"),'[1]Pivot Table_GHG'!$A$3,"SUB TYPE",$B144)=0,"PROXY","DB value"))</f>
        <v/>
      </c>
      <c r="Q144" s="93">
        <f>IF($P144="PROXY",DCOUNT('[1]literature entries'!$D:$AI,IF($J144=1,"ACTIVE     GHGE, FARM GATE (kg CO2e/kg)","GHGE, processor gate (kg CO2e/kg)"),INDIRECT($K144)),GETPIVOTDATA(IF($J144=1,"ACTIVE     GHGE, FARM GATE (kg CO2e/kg)","Count of GHGE, processor gate (kg CO2e/kg)"),'[1]Pivot Table_GHG'!$A$3,"SUB TYPE",$B144))</f>
        <v/>
      </c>
      <c r="R144" s="94">
        <f>IF($P144="PROXY",DAVERAGE('[1]literature entries'!$D:$AI,IF($J144=1,"ACTIVE     GHGE, FARM GATE (kg CO2e/kg)","GHGE, processor gate (kg CO2e/kg)"),INDIRECT($K144)),GETPIVOTDATA(IF($J144=1,"Average of ACTIVE     GHGE, FARM GATE (kg CO2e/kg)","Average of GHGE, processor gate (kg CO2e/kg)"),'[1]Pivot Table_GHG'!$A$3,"SUB TYPE",$B144))</f>
        <v/>
      </c>
      <c r="S144" s="94">
        <f>IF($P144="PROXY",DSTDEV('[1]literature entries'!$D:$AI,IF($J144=1,"ACTIVE     GHGE, FARM GATE (kg CO2e/kg)","GHGE, processor gate (kg CO2e/kg)"),INDIRECT($K144)),GETPIVOTDATA(IF($J144=1,"StdDev of ACTIVE     GHGE, FARM GATE (kg CO2e/kg)","StdDev of GHGE, processor gate (kg CO2e/kg)"),'[1]Pivot Table_GHG'!$A$3,"SUB TYPE",$B144))</f>
        <v/>
      </c>
      <c r="T144" s="107" t="n">
        <v>5.282</v>
      </c>
      <c r="U144" s="108" t="n">
        <v>0.9790791260799999</v>
      </c>
      <c r="V144" s="97" t="n"/>
      <c r="W144" s="98" t="inlineStr">
        <is>
          <t>tree_fruit</t>
        </is>
      </c>
      <c r="X144" s="98">
        <f>IF($W144="DIRECT",M144,DCOUNT('[1]literature entries'!$D:$AI,IF($J144=1,"ACTIVE     CED, FARM GATE (MJ/kg)","CED, processor gate (MJ/kg)"),INDIRECT($W144)))</f>
        <v/>
      </c>
      <c r="Y144" s="98">
        <f>IF($W144="DIRECT","",DAVERAGE('[1]literature entries'!$D:$AI,IF($J144=1,"ACTIVE     CED, FARM GATE (MJ/kg)","CED, processor gate (MJ/kg)"),INDIRECT($W144)))</f>
        <v/>
      </c>
      <c r="Z144" s="98">
        <f>IF($W144="DIRECT",$O144,DSTDEV('[1]literature entries'!$D:$AI,IF($J144=1,"ACTIVE     CED, FARM GATE (MJ/kg)","CED, processor gate (MJ/kg)"),INDIRECT($W144)))</f>
        <v/>
      </c>
      <c r="AA144" s="98">
        <f>IF($W144="DIRECT",$O144,$Z144/$Y144*$N144)</f>
        <v/>
      </c>
      <c r="AB144" s="99">
        <f>IF(P144="PROXY",IF(Q144&gt;=5,K144,"need group"),IF(Q144&gt;=5,"DIRECT","need group"))</f>
        <v/>
      </c>
      <c r="AC144" s="99">
        <f>IF($AB144="DIRECT",Q144,DCOUNT('[1]literature entries'!$D:$AI,IF($J144=1,"ACTIVE     GHGE, FARM GATE (kg CO2e/kg)","GHGE, processor gate (kg CO2e/kg)"),INDIRECT($AB144)))</f>
        <v/>
      </c>
      <c r="AD144" s="99">
        <f>IF($AB144="DIRECT","",DAVERAGE('[1]literature entries'!$D:$AI,IF($J144=1,"ACTIVE     GHGE, FARM GATE (kg CO2e/kg)","GHGE, processor gate (kg CO2e/kg)"),INDIRECT($AB144)))</f>
        <v/>
      </c>
      <c r="AE144" s="99">
        <f>IF($AB144="DIRECT",$S144,DSTDEV('[1]literature entries'!$D:$AI,IF($J144=1,"ACTIVE     GHGE, FARM GATE (kg CO2e/kg)","GHGE, processor gate (kg CO2e/kg)"),INDIRECT($AB144)))</f>
        <v/>
      </c>
      <c r="AF144" s="99">
        <f>IF($AB144="DIRECT",$S144,$AE144/$AD144*$R144)</f>
        <v/>
      </c>
    </row>
    <row r="145" ht="15.75" customHeight="1" s="201">
      <c r="A145" s="100" t="n">
        <v>1202012000</v>
      </c>
      <c r="B145" s="101" t="inlineStr">
        <is>
          <t>Apricot</t>
        </is>
      </c>
      <c r="C145" s="101" t="inlineStr">
        <is>
          <t>weight of pulp, with or without peel; excluding pit</t>
        </is>
      </c>
      <c r="D145" s="101" t="inlineStr">
        <is>
          <t>Includes Japanese apricot.</t>
        </is>
      </c>
      <c r="E145" s="101" t="n">
        <v>1271</v>
      </c>
      <c r="F145" s="84">
        <f>N145*H145+T145</f>
        <v/>
      </c>
      <c r="G145" s="85">
        <f>R145*H145+U145</f>
        <v/>
      </c>
      <c r="H145" s="102" t="n">
        <v>1.08</v>
      </c>
      <c r="I145" s="102" t="inlineStr">
        <is>
          <t>FICRCD</t>
        </is>
      </c>
      <c r="J145" s="104" t="n">
        <v>1</v>
      </c>
      <c r="K145" s="101" t="inlineStr">
        <is>
          <t>tree_fruit</t>
        </is>
      </c>
      <c r="L145" s="90">
        <f>IF(ISERROR(GETPIVOTDATA(IF($J145=1,"Count of ACTIVE     CED, FARM GATE (MJ/kg)","Count of CED, processor gate (MJ/kg)"),'[1]Pivot Table_CED'!$A$3,"SUB TYPE",$B145)),"PROXY",IF(GETPIVOTDATA(IF($J145=1,"Count of ACTIVE     CED, FARM GATE (MJ/kg)","Count of CED, processor gate (MJ/kg)"),'[1]Pivot Table_CED'!$A$3,"SUB TYPE",$B145)=0,"PROXY","DB value"))</f>
        <v/>
      </c>
      <c r="M145" s="91">
        <f>IF($L145="PROXY",DCOUNT('[1]literature entries'!$D:$AI,IF($J145=1,"ACTIVE     CED, FARM GATE (MJ/kg)","CED, processor gate (MJ/kg)"),INDIRECT($K145)),GETPIVOTDATA(IF($J145=1,"Count of ACTIVE     CED, FARM GATE (MJ/kg)","Count of CED, processor gate (MJ/kg)"),'[1]Pivot Table_CED'!$A$3,"SUB TYPE",$B145))</f>
        <v/>
      </c>
      <c r="N145" s="92">
        <f>IF($L145="PROXY",DAVERAGE('[1]literature entries'!$D:$AI,IF($J145=1,"ACTIVE     CED, FARM GATE (MJ/kg)","CED, processor gate (MJ/kg)"),INDIRECT($K145)),GETPIVOTDATA(IF($J145=1,"Average of ACTIVE     CED, FARM GATE (MJ/kg)","Average of CED, processor gate (MJ/kg)"),'[1]Pivot Table_CED'!$A$3,"SUB TYPE",$B145))</f>
        <v/>
      </c>
      <c r="O145" s="92">
        <f>IF($L145="PROXY",DSTDEV('[1]literature entries'!D:AI,IF($J145=1,"ACTIVE     CED, FARM GATE (MJ/kg)","CED, processor gate (MJ/kg)"),INDIRECT($K145)),GETPIVOTDATA(IF($J145=1,"StdDev of ACTIVE     CED, FARM GATE (MJ/kg)","StdDev of CED, processor gate (MJ/kg)"),'[1]Pivot Table_CED'!$A$3,"SUB TYPE",$B145))</f>
        <v/>
      </c>
      <c r="P145" s="90">
        <f>IF(ISERROR(GETPIVOTDATA(IF($J145=1,"Count of ACTIVE     GHGE, FARM GATE (kg CO2e/kg)","Count of GHGE, processor gate (kg CO2e/kg)"),'[1]Pivot Table_GHG'!$A$3,"SUB TYPE",$B145)),"PROXY",IF(GETPIVOTDATA(IF($J145=1,"Count of ACTIVE     GHGE, FARM GATE (kg CO2e/kg)","Count of GHGE, processor gate (kg CO2e/kg)"),'[1]Pivot Table_GHG'!$A$3,"SUB TYPE",$B145)=0,"PROXY","DB value"))</f>
        <v/>
      </c>
      <c r="Q145" s="93">
        <f>IF($P145="PROXY",DCOUNT('[1]literature entries'!$D:$AI,IF($J145=1,"ACTIVE     GHGE, FARM GATE (kg CO2e/kg)","GHGE, processor gate (kg CO2e/kg)"),INDIRECT($K145)),GETPIVOTDATA(IF($J145=1,"ACTIVE     GHGE, FARM GATE (kg CO2e/kg)","Count of GHGE, processor gate (kg CO2e/kg)"),'[1]Pivot Table_GHG'!$A$3,"SUB TYPE",$B145))</f>
        <v/>
      </c>
      <c r="R145" s="94">
        <f>IF($P145="PROXY",DAVERAGE('[1]literature entries'!$D:$AI,IF($J145=1,"ACTIVE     GHGE, FARM GATE (kg CO2e/kg)","GHGE, processor gate (kg CO2e/kg)"),INDIRECT($K145)),GETPIVOTDATA(IF($J145=1,"Average of ACTIVE     GHGE, FARM GATE (kg CO2e/kg)","Average of GHGE, processor gate (kg CO2e/kg)"),'[1]Pivot Table_GHG'!$A$3,"SUB TYPE",$B145))</f>
        <v/>
      </c>
      <c r="S145" s="94">
        <f>IF($P145="PROXY",DSTDEV('[1]literature entries'!$D:$AI,IF($J145=1,"ACTIVE     GHGE, FARM GATE (kg CO2e/kg)","GHGE, processor gate (kg CO2e/kg)"),INDIRECT($K145)),GETPIVOTDATA(IF($J145=1,"StdDev of ACTIVE     GHGE, FARM GATE (kg CO2e/kg)","StdDev of GHGE, processor gate (kg CO2e/kg)"),'[1]Pivot Table_GHG'!$A$3,"SUB TYPE",$B145))</f>
        <v/>
      </c>
      <c r="T145" s="105" t="n"/>
      <c r="U145" s="106" t="n"/>
      <c r="V145" s="97" t="n"/>
      <c r="W145" s="98">
        <f>IF(L145="PROXY",IF(M145&gt;=5,K145,"need group"),IF(M145&gt;=5,"DIRECT","need group"))</f>
        <v/>
      </c>
      <c r="X145" s="98">
        <f>IF($W145="DIRECT",M145,DCOUNT('[1]literature entries'!$D:$AI,IF($J145=1,"ACTIVE     CED, FARM GATE (MJ/kg)","CED, processor gate (MJ/kg)"),INDIRECT($W145)))</f>
        <v/>
      </c>
      <c r="Y145" s="98">
        <f>IF($W145="DIRECT","",DAVERAGE('[1]literature entries'!$D:$AI,IF($J145=1,"ACTIVE     CED, FARM GATE (MJ/kg)","CED, processor gate (MJ/kg)"),INDIRECT($W145)))</f>
        <v/>
      </c>
      <c r="Z145" s="98">
        <f>IF($W145="DIRECT",$O145,DSTDEV('[1]literature entries'!$D:$AI,IF($J145=1,"ACTIVE     CED, FARM GATE (MJ/kg)","CED, processor gate (MJ/kg)"),INDIRECT($W145)))</f>
        <v/>
      </c>
      <c r="AA145" s="98">
        <f>IF($W145="DIRECT",$O145,$Z145/$Y145*$N145)</f>
        <v/>
      </c>
      <c r="AB145" s="99" t="inlineStr">
        <is>
          <t>tree_fruit</t>
        </is>
      </c>
      <c r="AC145" s="99">
        <f>IF($AB145="DIRECT",Q145,DCOUNT('[1]literature entries'!$D:$AI,IF($J145=1,"ACTIVE     GHGE, FARM GATE (kg CO2e/kg)","GHGE, processor gate (kg CO2e/kg)"),INDIRECT($AB145)))</f>
        <v/>
      </c>
      <c r="AD145" s="99">
        <f>IF($AB145="DIRECT","",DAVERAGE('[1]literature entries'!$D:$AI,IF($J145=1,"ACTIVE     GHGE, FARM GATE (kg CO2e/kg)","GHGE, processor gate (kg CO2e/kg)"),INDIRECT($AB145)))</f>
        <v/>
      </c>
      <c r="AE145" s="99">
        <f>IF($AB145="DIRECT",$S145,DSTDEV('[1]literature entries'!$D:$AI,IF($J145=1,"ACTIVE     GHGE, FARM GATE (kg CO2e/kg)","GHGE, processor gate (kg CO2e/kg)"),INDIRECT($AB145)))</f>
        <v/>
      </c>
      <c r="AF145" s="99">
        <f>IF($AB145="DIRECT",$S145,$AE145/$AD145*$R145)</f>
        <v/>
      </c>
    </row>
    <row r="146" ht="15.75" customHeight="1" s="201">
      <c r="A146" s="100" t="n">
        <v>1202013000</v>
      </c>
      <c r="B146" s="101" t="inlineStr">
        <is>
          <t>Apricot, dried</t>
        </is>
      </c>
      <c r="C146" s="101" t="inlineStr">
        <is>
          <t>dry weight of pulp, with or without peel; excluding pit</t>
        </is>
      </c>
      <c r="D146" s="101" t="inlineStr">
        <is>
          <t>Includes Japanese apricot.</t>
        </is>
      </c>
      <c r="E146" s="101" t="n">
        <v>178</v>
      </c>
      <c r="F146" s="84">
        <f>N146*H146+T146</f>
        <v/>
      </c>
      <c r="G146" s="85">
        <f>R146*H146+U146</f>
        <v/>
      </c>
      <c r="H146" s="102" t="n">
        <v>5.46</v>
      </c>
      <c r="I146" s="102" t="inlineStr">
        <is>
          <t>FICRCD</t>
        </is>
      </c>
      <c r="J146" s="104" t="n">
        <v>1</v>
      </c>
      <c r="K146" s="127" t="inlineStr">
        <is>
          <t>tree_fruit</t>
        </is>
      </c>
      <c r="L146" s="90">
        <f>IF(ISERROR(GETPIVOTDATA(IF($J146=1,"Count of ACTIVE     CED, FARM GATE (MJ/kg)","Count of CED, processor gate (MJ/kg)"),'[1]Pivot Table_CED'!$A$3,"SUB TYPE",$B146)),"PROXY",IF(GETPIVOTDATA(IF($J146=1,"Count of ACTIVE     CED, FARM GATE (MJ/kg)","Count of CED, processor gate (MJ/kg)"),'[1]Pivot Table_CED'!$A$3,"SUB TYPE",$B146)=0,"PROXY","DB value"))</f>
        <v/>
      </c>
      <c r="M146" s="91">
        <f>IF($L146="PROXY",DCOUNT('[1]literature entries'!$D:$AI,IF($J146=1,"ACTIVE     CED, FARM GATE (MJ/kg)","CED, processor gate (MJ/kg)"),INDIRECT($K146)),GETPIVOTDATA(IF($J146=1,"Count of ACTIVE     CED, FARM GATE (MJ/kg)","Count of CED, processor gate (MJ/kg)"),'[1]Pivot Table_CED'!$A$3,"SUB TYPE",$B146))</f>
        <v/>
      </c>
      <c r="N146" s="92">
        <f>IF($L146="PROXY",DAVERAGE('[1]literature entries'!$D:$AI,IF($J146=1,"ACTIVE     CED, FARM GATE (MJ/kg)","CED, processor gate (MJ/kg)"),INDIRECT($K146)),GETPIVOTDATA(IF($J146=1,"Average of ACTIVE     CED, FARM GATE (MJ/kg)","Average of CED, processor gate (MJ/kg)"),'[1]Pivot Table_CED'!$A$3,"SUB TYPE",$B146))</f>
        <v/>
      </c>
      <c r="O146" s="92">
        <f>IF($L146="PROXY",DSTDEV('[1]literature entries'!D:AI,IF($J146=1,"ACTIVE     CED, FARM GATE (MJ/kg)","CED, processor gate (MJ/kg)"),INDIRECT($K146)),GETPIVOTDATA(IF($J146=1,"StdDev of ACTIVE     CED, FARM GATE (MJ/kg)","StdDev of CED, processor gate (MJ/kg)"),'[1]Pivot Table_CED'!$A$3,"SUB TYPE",$B146))</f>
        <v/>
      </c>
      <c r="P146" s="90">
        <f>IF(ISERROR(GETPIVOTDATA(IF($J146=1,"Count of ACTIVE     GHGE, FARM GATE (kg CO2e/kg)","Count of GHGE, processor gate (kg CO2e/kg)"),'[1]Pivot Table_GHG'!$A$3,"SUB TYPE",$B146)),"PROXY",IF(GETPIVOTDATA(IF($J146=1,"Count of ACTIVE     GHGE, FARM GATE (kg CO2e/kg)","Count of GHGE, processor gate (kg CO2e/kg)"),'[1]Pivot Table_GHG'!$A$3,"SUB TYPE",$B146)=0,"PROXY","DB value"))</f>
        <v/>
      </c>
      <c r="Q146" s="93">
        <f>IF($P146="PROXY",DCOUNT('[1]literature entries'!$D:$AI,IF($J146=1,"ACTIVE     GHGE, FARM GATE (kg CO2e/kg)","GHGE, processor gate (kg CO2e/kg)"),INDIRECT($K146)),GETPIVOTDATA(IF($J146=1,"ACTIVE     GHGE, FARM GATE (kg CO2e/kg)","Count of GHGE, processor gate (kg CO2e/kg)"),'[1]Pivot Table_GHG'!$A$3,"SUB TYPE",$B146))</f>
        <v/>
      </c>
      <c r="R146" s="94">
        <f>IF($P146="PROXY",DAVERAGE('[1]literature entries'!$D:$AI,IF($J146=1,"ACTIVE     GHGE, FARM GATE (kg CO2e/kg)","GHGE, processor gate (kg CO2e/kg)"),INDIRECT($K146)),GETPIVOTDATA(IF($J146=1,"Average of ACTIVE     GHGE, FARM GATE (kg CO2e/kg)","Average of GHGE, processor gate (kg CO2e/kg)"),'[1]Pivot Table_GHG'!$A$3,"SUB TYPE",$B146))</f>
        <v/>
      </c>
      <c r="S146" s="94">
        <f>IF($P146="PROXY",DSTDEV('[1]literature entries'!$D:$AI,IF($J146=1,"ACTIVE     GHGE, FARM GATE (kg CO2e/kg)","GHGE, processor gate (kg CO2e/kg)"),INDIRECT($K146)),GETPIVOTDATA(IF($J146=1,"StdDev of ACTIVE     GHGE, FARM GATE (kg CO2e/kg)","StdDev of GHGE, processor gate (kg CO2e/kg)"),'[1]Pivot Table_GHG'!$A$3,"SUB TYPE",$B146))</f>
        <v/>
      </c>
      <c r="T146" s="105" t="n"/>
      <c r="U146" s="106" t="n"/>
      <c r="V146" s="97" t="n"/>
      <c r="W146" s="98">
        <f>IF(L146="PROXY",IF(M146&gt;=5,K146,"need group"),IF(M146&gt;=5,"DIRECT","need group"))</f>
        <v/>
      </c>
      <c r="X146" s="98">
        <f>IF($W146="DIRECT",M146,DCOUNT('[1]literature entries'!$D:$AI,IF($J146=1,"ACTIVE     CED, FARM GATE (MJ/kg)","CED, processor gate (MJ/kg)"),INDIRECT($W146)))</f>
        <v/>
      </c>
      <c r="Y146" s="98">
        <f>IF($W146="DIRECT","",DAVERAGE('[1]literature entries'!$D:$AI,IF($J146=1,"ACTIVE     CED, FARM GATE (MJ/kg)","CED, processor gate (MJ/kg)"),INDIRECT($W146)))</f>
        <v/>
      </c>
      <c r="Z146" s="98">
        <f>IF($W146="DIRECT",$O146,DSTDEV('[1]literature entries'!$D:$AI,IF($J146=1,"ACTIVE     CED, FARM GATE (MJ/kg)","CED, processor gate (MJ/kg)"),INDIRECT($W146)))</f>
        <v/>
      </c>
      <c r="AA146" s="98">
        <f>IF($W146="DIRECT",$O146,$Z146/$Y146*$N146)</f>
        <v/>
      </c>
      <c r="AB146" s="99">
        <f>IF(P146="PROXY",IF(Q146&gt;=5,K146,"need group"),IF(Q146&gt;=5,"DIRECT","need group"))</f>
        <v/>
      </c>
      <c r="AC146" s="99">
        <f>IF($AB146="DIRECT",Q146,DCOUNT('[1]literature entries'!$D:$AI,IF($J146=1,"ACTIVE     GHGE, FARM GATE (kg CO2e/kg)","GHGE, processor gate (kg CO2e/kg)"),INDIRECT($AB146)))</f>
        <v/>
      </c>
      <c r="AD146" s="99">
        <f>IF($AB146="DIRECT","",DAVERAGE('[1]literature entries'!$D:$AI,IF($J146=1,"ACTIVE     GHGE, FARM GATE (kg CO2e/kg)","GHGE, processor gate (kg CO2e/kg)"),INDIRECT($AB146)))</f>
        <v/>
      </c>
      <c r="AE146" s="99">
        <f>IF($AB146="DIRECT",$S146,DSTDEV('[1]literature entries'!$D:$AI,IF($J146=1,"ACTIVE     GHGE, FARM GATE (kg CO2e/kg)","GHGE, processor gate (kg CO2e/kg)"),INDIRECT($AB146)))</f>
        <v/>
      </c>
      <c r="AF146" s="99">
        <f>IF($AB146="DIRECT",$S146,$AE146/$AD146*$R146)</f>
        <v/>
      </c>
    </row>
    <row r="147" ht="15.75" customHeight="1" s="201">
      <c r="A147" s="100" t="n">
        <v>1202014000</v>
      </c>
      <c r="B147" s="101" t="inlineStr">
        <is>
          <t>Apricot, juice</t>
        </is>
      </c>
      <c r="C147" s="101" t="inlineStr">
        <is>
          <t>weight of juice at single strength (or standard dilution)</t>
        </is>
      </c>
      <c r="D147" s="101" t="inlineStr">
        <is>
          <t>Includes Japanese apricot.</t>
        </is>
      </c>
      <c r="E147" s="101" t="n">
        <v>6127</v>
      </c>
      <c r="F147" s="84">
        <f>N147*H147+T147</f>
        <v/>
      </c>
      <c r="G147" s="85">
        <f>R147*H147+U147</f>
        <v/>
      </c>
      <c r="H147" s="102" t="n">
        <v>1.63</v>
      </c>
      <c r="I147" s="103" t="inlineStr">
        <is>
          <t>plum, juice</t>
        </is>
      </c>
      <c r="J147" s="104" t="n">
        <v>1</v>
      </c>
      <c r="K147" s="89" t="inlineStr">
        <is>
          <t>tree_fruit</t>
        </is>
      </c>
      <c r="L147" s="90">
        <f>IF(ISERROR(GETPIVOTDATA(IF($J147=1,"Count of ACTIVE     CED, FARM GATE (MJ/kg)","Count of CED, processor gate (MJ/kg)"),'[1]Pivot Table_CED'!$A$3,"SUB TYPE",$B147)),"PROXY",IF(GETPIVOTDATA(IF($J147=1,"Count of ACTIVE     CED, FARM GATE (MJ/kg)","Count of CED, processor gate (MJ/kg)"),'[1]Pivot Table_CED'!$A$3,"SUB TYPE",$B147)=0,"PROXY","DB value"))</f>
        <v/>
      </c>
      <c r="M147" s="91">
        <f>IF($L147="PROXY",DCOUNT('[1]literature entries'!$D:$AI,IF($J147=1,"ACTIVE     CED, FARM GATE (MJ/kg)","CED, processor gate (MJ/kg)"),INDIRECT($K147)),GETPIVOTDATA(IF($J147=1,"Count of ACTIVE     CED, FARM GATE (MJ/kg)","Count of CED, processor gate (MJ/kg)"),'[1]Pivot Table_CED'!$A$3,"SUB TYPE",$B147))</f>
        <v/>
      </c>
      <c r="N147" s="92">
        <f>IF($L147="PROXY",DAVERAGE('[1]literature entries'!$D:$AI,IF($J147=1,"ACTIVE     CED, FARM GATE (MJ/kg)","CED, processor gate (MJ/kg)"),INDIRECT($K147)),GETPIVOTDATA(IF($J147=1,"Average of ACTIVE     CED, FARM GATE (MJ/kg)","Average of CED, processor gate (MJ/kg)"),'[1]Pivot Table_CED'!$A$3,"SUB TYPE",$B147))</f>
        <v/>
      </c>
      <c r="O147" s="92">
        <f>IF($L147="PROXY",DSTDEV('[1]literature entries'!D:AI,IF($J147=1,"ACTIVE     CED, FARM GATE (MJ/kg)","CED, processor gate (MJ/kg)"),INDIRECT($K147)),GETPIVOTDATA(IF($J147=1,"StdDev of ACTIVE     CED, FARM GATE (MJ/kg)","StdDev of CED, processor gate (MJ/kg)"),'[1]Pivot Table_CED'!$A$3,"SUB TYPE",$B147))</f>
        <v/>
      </c>
      <c r="P147" s="90">
        <f>IF(ISERROR(GETPIVOTDATA(IF($J147=1,"Count of ACTIVE     GHGE, FARM GATE (kg CO2e/kg)","Count of GHGE, processor gate (kg CO2e/kg)"),'[1]Pivot Table_GHG'!$A$3,"SUB TYPE",$B147)),"PROXY",IF(GETPIVOTDATA(IF($J147=1,"Count of ACTIVE     GHGE, FARM GATE (kg CO2e/kg)","Count of GHGE, processor gate (kg CO2e/kg)"),'[1]Pivot Table_GHG'!$A$3,"SUB TYPE",$B147)=0,"PROXY","DB value"))</f>
        <v/>
      </c>
      <c r="Q147" s="93">
        <f>IF($P147="PROXY",DCOUNT('[1]literature entries'!$D:$AI,IF($J147=1,"ACTIVE     GHGE, FARM GATE (kg CO2e/kg)","GHGE, processor gate (kg CO2e/kg)"),INDIRECT($K147)),GETPIVOTDATA(IF($J147=1,"ACTIVE     GHGE, FARM GATE (kg CO2e/kg)","Count of GHGE, processor gate (kg CO2e/kg)"),'[1]Pivot Table_GHG'!$A$3,"SUB TYPE",$B147))</f>
        <v/>
      </c>
      <c r="R147" s="94">
        <f>IF($P147="PROXY",DAVERAGE('[1]literature entries'!$D:$AI,IF($J147=1,"ACTIVE     GHGE, FARM GATE (kg CO2e/kg)","GHGE, processor gate (kg CO2e/kg)"),INDIRECT($K147)),GETPIVOTDATA(IF($J147=1,"Average of ACTIVE     GHGE, FARM GATE (kg CO2e/kg)","Average of GHGE, processor gate (kg CO2e/kg)"),'[1]Pivot Table_GHG'!$A$3,"SUB TYPE",$B147))</f>
        <v/>
      </c>
      <c r="S147" s="94">
        <f>IF($P147="PROXY",DSTDEV('[1]literature entries'!$D:$AI,IF($J147=1,"ACTIVE     GHGE, FARM GATE (kg CO2e/kg)","GHGE, processor gate (kg CO2e/kg)"),INDIRECT($K147)),GETPIVOTDATA(IF($J147=1,"StdDev of ACTIVE     GHGE, FARM GATE (kg CO2e/kg)","StdDev of GHGE, processor gate (kg CO2e/kg)"),'[1]Pivot Table_GHG'!$A$3,"SUB TYPE",$B147))</f>
        <v/>
      </c>
      <c r="T147" s="107" t="n">
        <v>5.282</v>
      </c>
      <c r="U147" s="108" t="n">
        <v>0.9790791260799999</v>
      </c>
      <c r="V147" s="97" t="n"/>
      <c r="W147" s="98">
        <f>IF(L147="PROXY",IF(M147&gt;=5,K147,"need group"),IF(M147&gt;=5,"DIRECT","need group"))</f>
        <v/>
      </c>
      <c r="X147" s="98">
        <f>IF($W147="DIRECT",M147,DCOUNT('[1]literature entries'!$D:$AI,IF($J147=1,"ACTIVE     CED, FARM GATE (MJ/kg)","CED, processor gate (MJ/kg)"),INDIRECT($W147)))</f>
        <v/>
      </c>
      <c r="Y147" s="98">
        <f>IF($W147="DIRECT","",DAVERAGE('[1]literature entries'!$D:$AI,IF($J147=1,"ACTIVE     CED, FARM GATE (MJ/kg)","CED, processor gate (MJ/kg)"),INDIRECT($W147)))</f>
        <v/>
      </c>
      <c r="Z147" s="98">
        <f>IF($W147="DIRECT",$O147,DSTDEV('[1]literature entries'!$D:$AI,IF($J147=1,"ACTIVE     CED, FARM GATE (MJ/kg)","CED, processor gate (MJ/kg)"),INDIRECT($W147)))</f>
        <v/>
      </c>
      <c r="AA147" s="98">
        <f>IF($W147="DIRECT",$O147,$Z147/$Y147*$N147)</f>
        <v/>
      </c>
      <c r="AB147" s="99">
        <f>IF(P147="PROXY",IF(Q147&gt;=5,K147,"need group"),IF(Q147&gt;=5,"DIRECT","need group"))</f>
        <v/>
      </c>
      <c r="AC147" s="99">
        <f>IF($AB147="DIRECT",Q147,DCOUNT('[1]literature entries'!$D:$AI,IF($J147=1,"ACTIVE     GHGE, FARM GATE (kg CO2e/kg)","GHGE, processor gate (kg CO2e/kg)"),INDIRECT($AB147)))</f>
        <v/>
      </c>
      <c r="AD147" s="99">
        <f>IF($AB147="DIRECT","",DAVERAGE('[1]literature entries'!$D:$AI,IF($J147=1,"ACTIVE     GHGE, FARM GATE (kg CO2e/kg)","GHGE, processor gate (kg CO2e/kg)"),INDIRECT($AB147)))</f>
        <v/>
      </c>
      <c r="AE147" s="99">
        <f>IF($AB147="DIRECT",$S147,DSTDEV('[1]literature entries'!$D:$AI,IF($J147=1,"ACTIVE     GHGE, FARM GATE (kg CO2e/kg)","GHGE, processor gate (kg CO2e/kg)"),INDIRECT($AB147)))</f>
        <v/>
      </c>
      <c r="AF147" s="99">
        <f>IF($AB147="DIRECT",$S147,$AE147/$AD147*$R147)</f>
        <v/>
      </c>
    </row>
    <row r="148" ht="15.75" customHeight="1" s="201">
      <c r="A148" s="100" t="n">
        <v>1202230000</v>
      </c>
      <c r="B148" s="101" t="inlineStr">
        <is>
          <t>Nectarine</t>
        </is>
      </c>
      <c r="C148" s="101" t="inlineStr">
        <is>
          <t>weight of pulp; including peel; excluding pit and stem</t>
        </is>
      </c>
      <c r="D148" s="101" t="n"/>
      <c r="E148" s="101" t="n">
        <v>233</v>
      </c>
      <c r="F148" s="84">
        <f>N148*H148+T148</f>
        <v/>
      </c>
      <c r="G148" s="85">
        <f>R148*H148+U148</f>
        <v/>
      </c>
      <c r="H148" s="102" t="n">
        <v>1.1</v>
      </c>
      <c r="I148" s="102" t="inlineStr">
        <is>
          <t>FICRCD</t>
        </is>
      </c>
      <c r="J148" s="104" t="n">
        <v>1</v>
      </c>
      <c r="K148" s="89" t="inlineStr">
        <is>
          <t>tree_fruit</t>
        </is>
      </c>
      <c r="L148" s="90">
        <f>IF(ISERROR(GETPIVOTDATA(IF($J148=1,"Count of ACTIVE     CED, FARM GATE (MJ/kg)","Count of CED, processor gate (MJ/kg)"),'[1]Pivot Table_CED'!$A$3,"SUB TYPE",$B148)),"PROXY",IF(GETPIVOTDATA(IF($J148=1,"Count of ACTIVE     CED, FARM GATE (MJ/kg)","Count of CED, processor gate (MJ/kg)"),'[1]Pivot Table_CED'!$A$3,"SUB TYPE",$B148)=0,"PROXY","DB value"))</f>
        <v/>
      </c>
      <c r="M148" s="91">
        <f>IF($L148="PROXY",DCOUNT('[1]literature entries'!$D:$AI,IF($J148=1,"ACTIVE     CED, FARM GATE (MJ/kg)","CED, processor gate (MJ/kg)"),INDIRECT($K148)),GETPIVOTDATA(IF($J148=1,"Count of ACTIVE     CED, FARM GATE (MJ/kg)","Count of CED, processor gate (MJ/kg)"),'[1]Pivot Table_CED'!$A$3,"SUB TYPE",$B148))</f>
        <v/>
      </c>
      <c r="N148" s="92">
        <f>IF($L148="PROXY",DAVERAGE('[1]literature entries'!$D:$AI,IF($J148=1,"ACTIVE     CED, FARM GATE (MJ/kg)","CED, processor gate (MJ/kg)"),INDIRECT($K148)),GETPIVOTDATA(IF($J148=1,"Average of ACTIVE     CED, FARM GATE (MJ/kg)","Average of CED, processor gate (MJ/kg)"),'[1]Pivot Table_CED'!$A$3,"SUB TYPE",$B148))</f>
        <v/>
      </c>
      <c r="O148" s="92">
        <f>IF($L148="PROXY",DSTDEV('[1]literature entries'!D:AI,IF($J148=1,"ACTIVE     CED, FARM GATE (MJ/kg)","CED, processor gate (MJ/kg)"),INDIRECT($K148)),GETPIVOTDATA(IF($J148=1,"StdDev of ACTIVE     CED, FARM GATE (MJ/kg)","StdDev of CED, processor gate (MJ/kg)"),'[1]Pivot Table_CED'!$A$3,"SUB TYPE",$B148))</f>
        <v/>
      </c>
      <c r="P148" s="90">
        <f>IF(ISERROR(GETPIVOTDATA(IF($J148=1,"Count of ACTIVE     GHGE, FARM GATE (kg CO2e/kg)","Count of GHGE, processor gate (kg CO2e/kg)"),'[1]Pivot Table_GHG'!$A$3,"SUB TYPE",$B148)),"PROXY",IF(GETPIVOTDATA(IF($J148=1,"Count of ACTIVE     GHGE, FARM GATE (kg CO2e/kg)","Count of GHGE, processor gate (kg CO2e/kg)"),'[1]Pivot Table_GHG'!$A$3,"SUB TYPE",$B148)=0,"PROXY","DB value"))</f>
        <v/>
      </c>
      <c r="Q148" s="93">
        <f>IF($P148="PROXY",DCOUNT('[1]literature entries'!$D:$AI,IF($J148=1,"ACTIVE     GHGE, FARM GATE (kg CO2e/kg)","GHGE, processor gate (kg CO2e/kg)"),INDIRECT($K148)),GETPIVOTDATA(IF($J148=1,"ACTIVE     GHGE, FARM GATE (kg CO2e/kg)","Count of GHGE, processor gate (kg CO2e/kg)"),'[1]Pivot Table_GHG'!$A$3,"SUB TYPE",$B148))</f>
        <v/>
      </c>
      <c r="R148" s="94">
        <f>IF($P148="PROXY",DAVERAGE('[1]literature entries'!$D:$AI,IF($J148=1,"ACTIVE     GHGE, FARM GATE (kg CO2e/kg)","GHGE, processor gate (kg CO2e/kg)"),INDIRECT($K148)),GETPIVOTDATA(IF($J148=1,"Average of ACTIVE     GHGE, FARM GATE (kg CO2e/kg)","Average of GHGE, processor gate (kg CO2e/kg)"),'[1]Pivot Table_GHG'!$A$3,"SUB TYPE",$B148))</f>
        <v/>
      </c>
      <c r="S148" s="94">
        <f>IF($P148="PROXY",DSTDEV('[1]literature entries'!$D:$AI,IF($J148=1,"ACTIVE     GHGE, FARM GATE (kg CO2e/kg)","GHGE, processor gate (kg CO2e/kg)"),INDIRECT($K148)),GETPIVOTDATA(IF($J148=1,"StdDev of ACTIVE     GHGE, FARM GATE (kg CO2e/kg)","StdDev of GHGE, processor gate (kg CO2e/kg)"),'[1]Pivot Table_GHG'!$A$3,"SUB TYPE",$B148))</f>
        <v/>
      </c>
      <c r="T148" s="105" t="n"/>
      <c r="U148" s="106" t="n"/>
      <c r="V148" s="97" t="n"/>
      <c r="W148" s="98">
        <f>IF(L148="PROXY",IF(M148&gt;=5,K148,"need group"),IF(M148&gt;=5,"DIRECT","need group"))</f>
        <v/>
      </c>
      <c r="X148" s="98">
        <f>IF($W148="DIRECT",M148,DCOUNT('[1]literature entries'!$D:$AI,IF($J148=1,"ACTIVE     CED, FARM GATE (MJ/kg)","CED, processor gate (MJ/kg)"),INDIRECT($W148)))</f>
        <v/>
      </c>
      <c r="Y148" s="98">
        <f>IF($W148="DIRECT","",DAVERAGE('[1]literature entries'!$D:$AI,IF($J148=1,"ACTIVE     CED, FARM GATE (MJ/kg)","CED, processor gate (MJ/kg)"),INDIRECT($W148)))</f>
        <v/>
      </c>
      <c r="Z148" s="98">
        <f>IF($W148="DIRECT",$O148,DSTDEV('[1]literature entries'!$D:$AI,IF($J148=1,"ACTIVE     CED, FARM GATE (MJ/kg)","CED, processor gate (MJ/kg)"),INDIRECT($W148)))</f>
        <v/>
      </c>
      <c r="AA148" s="98">
        <f>IF($W148="DIRECT",$O148,$Z148/$Y148*$N148)</f>
        <v/>
      </c>
      <c r="AB148" s="99">
        <f>IF(P148="PROXY",IF(Q148&gt;=5,K148,"need group"),IF(Q148&gt;=5,"DIRECT","need group"))</f>
        <v/>
      </c>
      <c r="AC148" s="99">
        <f>IF($AB148="DIRECT",Q148,DCOUNT('[1]literature entries'!$D:$AI,IF($J148=1,"ACTIVE     GHGE, FARM GATE (kg CO2e/kg)","GHGE, processor gate (kg CO2e/kg)"),INDIRECT($AB148)))</f>
        <v/>
      </c>
      <c r="AD148" s="99">
        <f>IF($AB148="DIRECT","",DAVERAGE('[1]literature entries'!$D:$AI,IF($J148=1,"ACTIVE     GHGE, FARM GATE (kg CO2e/kg)","GHGE, processor gate (kg CO2e/kg)"),INDIRECT($AB148)))</f>
        <v/>
      </c>
      <c r="AE148" s="99">
        <f>IF($AB148="DIRECT",$S148,DSTDEV('[1]literature entries'!$D:$AI,IF($J148=1,"ACTIVE     GHGE, FARM GATE (kg CO2e/kg)","GHGE, processor gate (kg CO2e/kg)"),INDIRECT($AB148)))</f>
        <v/>
      </c>
      <c r="AF148" s="99">
        <f>IF($AB148="DIRECT",$S148,$AE148/$AD148*$R148)</f>
        <v/>
      </c>
    </row>
    <row r="149" ht="15.75" customHeight="1" s="201">
      <c r="A149" s="100" t="n">
        <v>1202260000</v>
      </c>
      <c r="B149" s="101" t="inlineStr">
        <is>
          <t>Peach</t>
        </is>
      </c>
      <c r="C149" s="101" t="inlineStr">
        <is>
          <t>weight of pulp, with or without peel; excluding pit</t>
        </is>
      </c>
      <c r="D149" s="101" t="n"/>
      <c r="E149" s="101" t="n">
        <v>16920</v>
      </c>
      <c r="F149" s="84">
        <f>N149*H149+T149</f>
        <v/>
      </c>
      <c r="G149" s="85">
        <f>R149*H149+U149</f>
        <v/>
      </c>
      <c r="H149" s="102" t="n">
        <v>1.04</v>
      </c>
      <c r="I149" s="103" t="inlineStr">
        <is>
          <t>FICRCD</t>
        </is>
      </c>
      <c r="J149" s="104" t="n">
        <v>1</v>
      </c>
      <c r="K149" s="89" t="n"/>
      <c r="L149" s="90">
        <f>IF(ISERROR(GETPIVOTDATA(IF($J149=1,"Count of ACTIVE     CED, FARM GATE (MJ/kg)","Count of CED, processor gate (MJ/kg)"),'[1]Pivot Table_CED'!$A$3,"SUB TYPE",$B149)),"PROXY",IF(GETPIVOTDATA(IF($J149=1,"Count of ACTIVE     CED, FARM GATE (MJ/kg)","Count of CED, processor gate (MJ/kg)"),'[1]Pivot Table_CED'!$A$3,"SUB TYPE",$B149)=0,"PROXY","DB value"))</f>
        <v/>
      </c>
      <c r="M149" s="91">
        <f>IF($L149="PROXY",DCOUNT('[1]literature entries'!$D:$AI,IF($J149=1,"ACTIVE     CED, FARM GATE (MJ/kg)","CED, processor gate (MJ/kg)"),INDIRECT($K149)),GETPIVOTDATA(IF($J149=1,"Count of ACTIVE     CED, FARM GATE (MJ/kg)","Count of CED, processor gate (MJ/kg)"),'[1]Pivot Table_CED'!$A$3,"SUB TYPE",$B149))</f>
        <v/>
      </c>
      <c r="N149" s="92">
        <f>IF($L149="PROXY",DAVERAGE('[1]literature entries'!$D:$AI,IF($J149=1,"ACTIVE     CED, FARM GATE (MJ/kg)","CED, processor gate (MJ/kg)"),INDIRECT($K149)),GETPIVOTDATA(IF($J149=1,"Average of ACTIVE     CED, FARM GATE (MJ/kg)","Average of CED, processor gate (MJ/kg)"),'[1]Pivot Table_CED'!$A$3,"SUB TYPE",$B149))</f>
        <v/>
      </c>
      <c r="O149" s="92">
        <f>IF($L149="PROXY",DSTDEV('[1]literature entries'!D:AI,IF($J149=1,"ACTIVE     CED, FARM GATE (MJ/kg)","CED, processor gate (MJ/kg)"),INDIRECT($K149)),GETPIVOTDATA(IF($J149=1,"StdDev of ACTIVE     CED, FARM GATE (MJ/kg)","StdDev of CED, processor gate (MJ/kg)"),'[1]Pivot Table_CED'!$A$3,"SUB TYPE",$B149))</f>
        <v/>
      </c>
      <c r="P149" s="90">
        <f>IF(ISERROR(GETPIVOTDATA(IF($J149=1,"Count of ACTIVE     GHGE, FARM GATE (kg CO2e/kg)","Count of GHGE, processor gate (kg CO2e/kg)"),'[1]Pivot Table_GHG'!$A$3,"SUB TYPE",$B149)),"PROXY",IF(GETPIVOTDATA(IF($J149=1,"Count of ACTIVE     GHGE, FARM GATE (kg CO2e/kg)","Count of GHGE, processor gate (kg CO2e/kg)"),'[1]Pivot Table_GHG'!$A$3,"SUB TYPE",$B149)=0,"PROXY","DB value"))</f>
        <v/>
      </c>
      <c r="Q149" s="93">
        <f>IF($P149="PROXY",DCOUNT('[1]literature entries'!$D:$AI,IF($J149=1,"ACTIVE     GHGE, FARM GATE (kg CO2e/kg)","GHGE, processor gate (kg CO2e/kg)"),INDIRECT($K149)),GETPIVOTDATA(IF($J149=1,"ACTIVE     GHGE, FARM GATE (kg CO2e/kg)","Count of GHGE, processor gate (kg CO2e/kg)"),'[1]Pivot Table_GHG'!$A$3,"SUB TYPE",$B149))</f>
        <v/>
      </c>
      <c r="R149" s="94">
        <f>IF($P149="PROXY",DAVERAGE('[1]literature entries'!$D:$AI,IF($J149=1,"ACTIVE     GHGE, FARM GATE (kg CO2e/kg)","GHGE, processor gate (kg CO2e/kg)"),INDIRECT($K149)),GETPIVOTDATA(IF($J149=1,"Average of ACTIVE     GHGE, FARM GATE (kg CO2e/kg)","Average of GHGE, processor gate (kg CO2e/kg)"),'[1]Pivot Table_GHG'!$A$3,"SUB TYPE",$B149))</f>
        <v/>
      </c>
      <c r="S149" s="94">
        <f>IF($P149="PROXY",DSTDEV('[1]literature entries'!$D:$AI,IF($J149=1,"ACTIVE     GHGE, FARM GATE (kg CO2e/kg)","GHGE, processor gate (kg CO2e/kg)"),INDIRECT($K149)),GETPIVOTDATA(IF($J149=1,"StdDev of ACTIVE     GHGE, FARM GATE (kg CO2e/kg)","StdDev of GHGE, processor gate (kg CO2e/kg)"),'[1]Pivot Table_GHG'!$A$3,"SUB TYPE",$B149))</f>
        <v/>
      </c>
      <c r="T149" s="105" t="n"/>
      <c r="U149" s="106" t="n"/>
      <c r="V149" s="97" t="n"/>
      <c r="W149" s="98">
        <f>IF(L149="PROXY",IF(M149&gt;=5,K149,"need group"),IF(M149&gt;=5,"DIRECT","need group"))</f>
        <v/>
      </c>
      <c r="X149" s="98">
        <f>IF($W149="DIRECT",M149,DCOUNT('[1]literature entries'!$D:$AI,IF($J149=1,"ACTIVE     CED, FARM GATE (MJ/kg)","CED, processor gate (MJ/kg)"),INDIRECT($W149)))</f>
        <v/>
      </c>
      <c r="Y149" s="98">
        <f>IF($W149="DIRECT","",DAVERAGE('[1]literature entries'!$D:$AI,IF($J149=1,"ACTIVE     CED, FARM GATE (MJ/kg)","CED, processor gate (MJ/kg)"),INDIRECT($W149)))</f>
        <v/>
      </c>
      <c r="Z149" s="98">
        <f>IF($W149="DIRECT",$O149,DSTDEV('[1]literature entries'!$D:$AI,IF($J149=1,"ACTIVE     CED, FARM GATE (MJ/kg)","CED, processor gate (MJ/kg)"),INDIRECT($W149)))</f>
        <v/>
      </c>
      <c r="AA149" s="98">
        <f>IF($W149="DIRECT",$O149,$Z149/$Y149*$N149)</f>
        <v/>
      </c>
      <c r="AB149" s="99">
        <f>IF(P149="PROXY",IF(Q149&gt;=5,K149,"need group"),IF(Q149&gt;=5,"DIRECT","need group"))</f>
        <v/>
      </c>
      <c r="AC149" s="99">
        <f>IF($AB149="DIRECT",Q149,DCOUNT('[1]literature entries'!$D:$AI,IF($J149=1,"ACTIVE     GHGE, FARM GATE (kg CO2e/kg)","GHGE, processor gate (kg CO2e/kg)"),INDIRECT($AB149)))</f>
        <v/>
      </c>
      <c r="AD149" s="99">
        <f>IF($AB149="DIRECT","",DAVERAGE('[1]literature entries'!$D:$AI,IF($J149=1,"ACTIVE     GHGE, FARM GATE (kg CO2e/kg)","GHGE, processor gate (kg CO2e/kg)"),INDIRECT($AB149)))</f>
        <v/>
      </c>
      <c r="AE149" s="99">
        <f>IF($AB149="DIRECT",$S149,DSTDEV('[1]literature entries'!$D:$AI,IF($J149=1,"ACTIVE     GHGE, FARM GATE (kg CO2e/kg)","GHGE, processor gate (kg CO2e/kg)"),INDIRECT($AB149)))</f>
        <v/>
      </c>
      <c r="AF149" s="99">
        <f>IF($AB149="DIRECT",$S149,$AE149/$AD149*$R149)</f>
        <v/>
      </c>
    </row>
    <row r="150" ht="15.75" customHeight="1" s="201">
      <c r="A150" s="100" t="n">
        <v>1202261000</v>
      </c>
      <c r="B150" s="101" t="inlineStr">
        <is>
          <t>Peach, dried</t>
        </is>
      </c>
      <c r="C150" s="101" t="inlineStr">
        <is>
          <t>weight of dried pulp, with or without peel; excluding pit</t>
        </is>
      </c>
      <c r="D150" s="101" t="n"/>
      <c r="E150" s="101" t="n">
        <v>1722</v>
      </c>
      <c r="F150" s="84">
        <f>N150*H150+T150</f>
        <v/>
      </c>
      <c r="G150" s="85">
        <f>R150*H150+U150</f>
        <v/>
      </c>
      <c r="H150" s="102" t="n">
        <v>6.38</v>
      </c>
      <c r="I150" s="103" t="inlineStr">
        <is>
          <t>FICRCD</t>
        </is>
      </c>
      <c r="J150" s="104" t="n">
        <v>1</v>
      </c>
      <c r="K150" s="89" t="inlineStr">
        <is>
          <t>peach</t>
        </is>
      </c>
      <c r="L150" s="90">
        <f>IF(ISERROR(GETPIVOTDATA(IF($J150=1,"Count of ACTIVE     CED, FARM GATE (MJ/kg)","Count of CED, processor gate (MJ/kg)"),'[1]Pivot Table_CED'!$A$3,"SUB TYPE",$B150)),"PROXY",IF(GETPIVOTDATA(IF($J150=1,"Count of ACTIVE     CED, FARM GATE (MJ/kg)","Count of CED, processor gate (MJ/kg)"),'[1]Pivot Table_CED'!$A$3,"SUB TYPE",$B150)=0,"PROXY","DB value"))</f>
        <v/>
      </c>
      <c r="M150" s="91">
        <f>IF($L150="PROXY",DCOUNT('[1]literature entries'!$D:$AI,IF($J150=1,"ACTIVE     CED, FARM GATE (MJ/kg)","CED, processor gate (MJ/kg)"),INDIRECT($K150)),GETPIVOTDATA(IF($J150=1,"Count of ACTIVE     CED, FARM GATE (MJ/kg)","Count of CED, processor gate (MJ/kg)"),'[1]Pivot Table_CED'!$A$3,"SUB TYPE",$B150))</f>
        <v/>
      </c>
      <c r="N150" s="92">
        <f>IF($L150="PROXY",DAVERAGE('[1]literature entries'!$D:$AI,IF($J150=1,"ACTIVE     CED, FARM GATE (MJ/kg)","CED, processor gate (MJ/kg)"),INDIRECT($K150)),GETPIVOTDATA(IF($J150=1,"Average of ACTIVE     CED, FARM GATE (MJ/kg)","Average of CED, processor gate (MJ/kg)"),'[1]Pivot Table_CED'!$A$3,"SUB TYPE",$B150))</f>
        <v/>
      </c>
      <c r="O150" s="92">
        <f>IF($L150="PROXY",DSTDEV('[1]literature entries'!D:AI,IF($J150=1,"ACTIVE     CED, FARM GATE (MJ/kg)","CED, processor gate (MJ/kg)"),INDIRECT($K150)),GETPIVOTDATA(IF($J150=1,"StdDev of ACTIVE     CED, FARM GATE (MJ/kg)","StdDev of CED, processor gate (MJ/kg)"),'[1]Pivot Table_CED'!$A$3,"SUB TYPE",$B150))</f>
        <v/>
      </c>
      <c r="P150" s="90">
        <f>IF(ISERROR(GETPIVOTDATA(IF($J150=1,"Count of ACTIVE     GHGE, FARM GATE (kg CO2e/kg)","Count of GHGE, processor gate (kg CO2e/kg)"),'[1]Pivot Table_GHG'!$A$3,"SUB TYPE",$B150)),"PROXY",IF(GETPIVOTDATA(IF($J150=1,"Count of ACTIVE     GHGE, FARM GATE (kg CO2e/kg)","Count of GHGE, processor gate (kg CO2e/kg)"),'[1]Pivot Table_GHG'!$A$3,"SUB TYPE",$B150)=0,"PROXY","DB value"))</f>
        <v/>
      </c>
      <c r="Q150" s="93">
        <f>IF($P150="PROXY",DCOUNT('[1]literature entries'!$D:$AI,IF($J150=1,"ACTIVE     GHGE, FARM GATE (kg CO2e/kg)","GHGE, processor gate (kg CO2e/kg)"),INDIRECT($K150)),GETPIVOTDATA(IF($J150=1,"ACTIVE     GHGE, FARM GATE (kg CO2e/kg)","Count of GHGE, processor gate (kg CO2e/kg)"),'[1]Pivot Table_GHG'!$A$3,"SUB TYPE",$B150))</f>
        <v/>
      </c>
      <c r="R150" s="94">
        <f>IF($P150="PROXY",DAVERAGE('[1]literature entries'!$D:$AI,IF($J150=1,"ACTIVE     GHGE, FARM GATE (kg CO2e/kg)","GHGE, processor gate (kg CO2e/kg)"),INDIRECT($K150)),GETPIVOTDATA(IF($J150=1,"Average of ACTIVE     GHGE, FARM GATE (kg CO2e/kg)","Average of GHGE, processor gate (kg CO2e/kg)"),'[1]Pivot Table_GHG'!$A$3,"SUB TYPE",$B150))</f>
        <v/>
      </c>
      <c r="S150" s="94">
        <f>IF($P150="PROXY",DSTDEV('[1]literature entries'!$D:$AI,IF($J150=1,"ACTIVE     GHGE, FARM GATE (kg CO2e/kg)","GHGE, processor gate (kg CO2e/kg)"),INDIRECT($K150)),GETPIVOTDATA(IF($J150=1,"StdDev of ACTIVE     GHGE, FARM GATE (kg CO2e/kg)","StdDev of GHGE, processor gate (kg CO2e/kg)"),'[1]Pivot Table_GHG'!$A$3,"SUB TYPE",$B150))</f>
        <v/>
      </c>
      <c r="T150" s="105" t="n"/>
      <c r="U150" s="106" t="n"/>
      <c r="V150" s="97" t="n"/>
      <c r="W150" s="98">
        <f>IF(L150="PROXY",IF(M150&gt;=5,K150,"need group"),IF(M150&gt;=5,"DIRECT","need group"))</f>
        <v/>
      </c>
      <c r="X150" s="98">
        <f>IF($W150="DIRECT",M150,DCOUNT('[1]literature entries'!$D:$AI,IF($J150=1,"ACTIVE     CED, FARM GATE (MJ/kg)","CED, processor gate (MJ/kg)"),INDIRECT($W150)))</f>
        <v/>
      </c>
      <c r="Y150" s="98">
        <f>IF($W150="DIRECT","",DAVERAGE('[1]literature entries'!$D:$AI,IF($J150=1,"ACTIVE     CED, FARM GATE (MJ/kg)","CED, processor gate (MJ/kg)"),INDIRECT($W150)))</f>
        <v/>
      </c>
      <c r="Z150" s="98">
        <f>IF($W150="DIRECT",$O150,DSTDEV('[1]literature entries'!$D:$AI,IF($J150=1,"ACTIVE     CED, FARM GATE (MJ/kg)","CED, processor gate (MJ/kg)"),INDIRECT($W150)))</f>
        <v/>
      </c>
      <c r="AA150" s="98">
        <f>IF($W150="DIRECT",$O150,$Z150/$Y150*$N150)</f>
        <v/>
      </c>
      <c r="AB150" s="99">
        <f>IF(P150="PROXY",IF(Q150&gt;=5,K150,"need group"),IF(Q150&gt;=5,"DIRECT","need group"))</f>
        <v/>
      </c>
      <c r="AC150" s="99">
        <f>IF($AB150="DIRECT",Q150,DCOUNT('[1]literature entries'!$D:$AI,IF($J150=1,"ACTIVE     GHGE, FARM GATE (kg CO2e/kg)","GHGE, processor gate (kg CO2e/kg)"),INDIRECT($AB150)))</f>
        <v/>
      </c>
      <c r="AD150" s="99">
        <f>IF($AB150="DIRECT","",DAVERAGE('[1]literature entries'!$D:$AI,IF($J150=1,"ACTIVE     GHGE, FARM GATE (kg CO2e/kg)","GHGE, processor gate (kg CO2e/kg)"),INDIRECT($AB150)))</f>
        <v/>
      </c>
      <c r="AE150" s="99">
        <f>IF($AB150="DIRECT",$S150,DSTDEV('[1]literature entries'!$D:$AI,IF($J150=1,"ACTIVE     GHGE, FARM GATE (kg CO2e/kg)","GHGE, processor gate (kg CO2e/kg)"),INDIRECT($AB150)))</f>
        <v/>
      </c>
      <c r="AF150" s="99">
        <f>IF($AB150="DIRECT",$S150,$AE150/$AD150*$R150)</f>
        <v/>
      </c>
    </row>
    <row r="151" ht="15.75" customHeight="1" s="201">
      <c r="A151" s="100" t="n">
        <v>1202262000</v>
      </c>
      <c r="B151" s="101" t="inlineStr">
        <is>
          <t>Peach, juice</t>
        </is>
      </c>
      <c r="C151" s="101" t="inlineStr">
        <is>
          <t>weight of juice at single strength (or standard dilution)</t>
        </is>
      </c>
      <c r="D151" s="101" t="n"/>
      <c r="E151" s="101" t="n">
        <v>78</v>
      </c>
      <c r="F151" s="84">
        <f>N151*H151+T151</f>
        <v/>
      </c>
      <c r="G151" s="85">
        <f>R151*H151+U151</f>
        <v/>
      </c>
      <c r="H151" s="102" t="n">
        <v>1.63</v>
      </c>
      <c r="I151" s="103" t="inlineStr">
        <is>
          <t>plum, juice</t>
        </is>
      </c>
      <c r="J151" s="104" t="n">
        <v>1</v>
      </c>
      <c r="K151" s="89" t="inlineStr">
        <is>
          <t>peach</t>
        </is>
      </c>
      <c r="L151" s="90">
        <f>IF(ISERROR(GETPIVOTDATA(IF($J151=1,"Count of ACTIVE     CED, FARM GATE (MJ/kg)","Count of CED, processor gate (MJ/kg)"),'[1]Pivot Table_CED'!$A$3,"SUB TYPE",$B151)),"PROXY",IF(GETPIVOTDATA(IF($J151=1,"Count of ACTIVE     CED, FARM GATE (MJ/kg)","Count of CED, processor gate (MJ/kg)"),'[1]Pivot Table_CED'!$A$3,"SUB TYPE",$B151)=0,"PROXY","DB value"))</f>
        <v/>
      </c>
      <c r="M151" s="91">
        <f>IF($L151="PROXY",DCOUNT('[1]literature entries'!$D:$AI,IF($J151=1,"ACTIVE     CED, FARM GATE (MJ/kg)","CED, processor gate (MJ/kg)"),INDIRECT($K151)),GETPIVOTDATA(IF($J151=1,"Count of ACTIVE     CED, FARM GATE (MJ/kg)","Count of CED, processor gate (MJ/kg)"),'[1]Pivot Table_CED'!$A$3,"SUB TYPE",$B151))</f>
        <v/>
      </c>
      <c r="N151" s="92">
        <f>IF($L151="PROXY",DAVERAGE('[1]literature entries'!$D:$AI,IF($J151=1,"ACTIVE     CED, FARM GATE (MJ/kg)","CED, processor gate (MJ/kg)"),INDIRECT($K151)),GETPIVOTDATA(IF($J151=1,"Average of ACTIVE     CED, FARM GATE (MJ/kg)","Average of CED, processor gate (MJ/kg)"),'[1]Pivot Table_CED'!$A$3,"SUB TYPE",$B151))</f>
        <v/>
      </c>
      <c r="O151" s="92">
        <f>IF($L151="PROXY",DSTDEV('[1]literature entries'!D:AI,IF($J151=1,"ACTIVE     CED, FARM GATE (MJ/kg)","CED, processor gate (MJ/kg)"),INDIRECT($K151)),GETPIVOTDATA(IF($J151=1,"StdDev of ACTIVE     CED, FARM GATE (MJ/kg)","StdDev of CED, processor gate (MJ/kg)"),'[1]Pivot Table_CED'!$A$3,"SUB TYPE",$B151))</f>
        <v/>
      </c>
      <c r="P151" s="90">
        <f>IF(ISERROR(GETPIVOTDATA(IF($J151=1,"Count of ACTIVE     GHGE, FARM GATE (kg CO2e/kg)","Count of GHGE, processor gate (kg CO2e/kg)"),'[1]Pivot Table_GHG'!$A$3,"SUB TYPE",$B151)),"PROXY",IF(GETPIVOTDATA(IF($J151=1,"Count of ACTIVE     GHGE, FARM GATE (kg CO2e/kg)","Count of GHGE, processor gate (kg CO2e/kg)"),'[1]Pivot Table_GHG'!$A$3,"SUB TYPE",$B151)=0,"PROXY","DB value"))</f>
        <v/>
      </c>
      <c r="Q151" s="93">
        <f>IF($P151="PROXY",DCOUNT('[1]literature entries'!$D:$AI,IF($J151=1,"ACTIVE     GHGE, FARM GATE (kg CO2e/kg)","GHGE, processor gate (kg CO2e/kg)"),INDIRECT($K151)),GETPIVOTDATA(IF($J151=1,"ACTIVE     GHGE, FARM GATE (kg CO2e/kg)","Count of GHGE, processor gate (kg CO2e/kg)"),'[1]Pivot Table_GHG'!$A$3,"SUB TYPE",$B151))</f>
        <v/>
      </c>
      <c r="R151" s="94">
        <f>IF($P151="PROXY",DAVERAGE('[1]literature entries'!$D:$AI,IF($J151=1,"ACTIVE     GHGE, FARM GATE (kg CO2e/kg)","GHGE, processor gate (kg CO2e/kg)"),INDIRECT($K151)),GETPIVOTDATA(IF($J151=1,"Average of ACTIVE     GHGE, FARM GATE (kg CO2e/kg)","Average of GHGE, processor gate (kg CO2e/kg)"),'[1]Pivot Table_GHG'!$A$3,"SUB TYPE",$B151))</f>
        <v/>
      </c>
      <c r="S151" s="94">
        <f>IF($P151="PROXY",DSTDEV('[1]literature entries'!$D:$AI,IF($J151=1,"ACTIVE     GHGE, FARM GATE (kg CO2e/kg)","GHGE, processor gate (kg CO2e/kg)"),INDIRECT($K151)),GETPIVOTDATA(IF($J151=1,"StdDev of ACTIVE     GHGE, FARM GATE (kg CO2e/kg)","StdDev of GHGE, processor gate (kg CO2e/kg)"),'[1]Pivot Table_GHG'!$A$3,"SUB TYPE",$B151))</f>
        <v/>
      </c>
      <c r="T151" s="107" t="n">
        <v>5.282</v>
      </c>
      <c r="U151" s="108" t="n">
        <v>0.9790791260799999</v>
      </c>
      <c r="V151" s="97" t="n"/>
      <c r="W151" s="98">
        <f>IF(L151="PROXY",IF(M151&gt;=5,K151,"need group"),IF(M151&gt;=5,"DIRECT","need group"))</f>
        <v/>
      </c>
      <c r="X151" s="98">
        <f>IF($W151="DIRECT",M151,DCOUNT('[1]literature entries'!$D:$AI,IF($J151=1,"ACTIVE     CED, FARM GATE (MJ/kg)","CED, processor gate (MJ/kg)"),INDIRECT($W151)))</f>
        <v/>
      </c>
      <c r="Y151" s="98">
        <f>IF($W151="DIRECT","",DAVERAGE('[1]literature entries'!$D:$AI,IF($J151=1,"ACTIVE     CED, FARM GATE (MJ/kg)","CED, processor gate (MJ/kg)"),INDIRECT($W151)))</f>
        <v/>
      </c>
      <c r="Z151" s="98">
        <f>IF($W151="DIRECT",$O151,DSTDEV('[1]literature entries'!$D:$AI,IF($J151=1,"ACTIVE     CED, FARM GATE (MJ/kg)","CED, processor gate (MJ/kg)"),INDIRECT($W151)))</f>
        <v/>
      </c>
      <c r="AA151" s="98">
        <f>IF($W151="DIRECT",$O151,$Z151/$Y151*$N151)</f>
        <v/>
      </c>
      <c r="AB151" s="99">
        <f>IF(P151="PROXY",IF(Q151&gt;=5,K151,"need group"),IF(Q151&gt;=5,"DIRECT","need group"))</f>
        <v/>
      </c>
      <c r="AC151" s="99">
        <f>IF($AB151="DIRECT",Q151,DCOUNT('[1]literature entries'!$D:$AI,IF($J151=1,"ACTIVE     GHGE, FARM GATE (kg CO2e/kg)","GHGE, processor gate (kg CO2e/kg)"),INDIRECT($AB151)))</f>
        <v/>
      </c>
      <c r="AD151" s="99">
        <f>IF($AB151="DIRECT","",DAVERAGE('[1]literature entries'!$D:$AI,IF($J151=1,"ACTIVE     GHGE, FARM GATE (kg CO2e/kg)","GHGE, processor gate (kg CO2e/kg)"),INDIRECT($AB151)))</f>
        <v/>
      </c>
      <c r="AE151" s="99">
        <f>IF($AB151="DIRECT",$S151,DSTDEV('[1]literature entries'!$D:$AI,IF($J151=1,"ACTIVE     GHGE, FARM GATE (kg CO2e/kg)","GHGE, processor gate (kg CO2e/kg)"),INDIRECT($AB151)))</f>
        <v/>
      </c>
      <c r="AF151" s="99">
        <f>IF($AB151="DIRECT",$S151,$AE151/$AD151*$R151)</f>
        <v/>
      </c>
    </row>
    <row r="152" ht="15.75" customHeight="1" s="201">
      <c r="A152" s="100" t="n">
        <v>1203285000</v>
      </c>
      <c r="B152" s="101" t="inlineStr">
        <is>
          <t>Plum</t>
        </is>
      </c>
      <c r="C152" s="101" t="inlineStr">
        <is>
          <t>weight of pulp with peel; excluding pit</t>
        </is>
      </c>
      <c r="D152" s="101" t="inlineStr">
        <is>
          <t>Includes American plum; Klamath plum; Beach plum; Canada plum; Cherry plum; Chickasaw plum; Damson plum; Japanese plum; Plumcot; and Sloe.</t>
        </is>
      </c>
      <c r="E152" s="101" t="n">
        <v>417</v>
      </c>
      <c r="F152" s="84">
        <f>N152*H152+T152</f>
        <v/>
      </c>
      <c r="G152" s="85">
        <f>R152*H152+U152</f>
        <v/>
      </c>
      <c r="H152" s="102" t="n">
        <v>1.06</v>
      </c>
      <c r="I152" s="102" t="inlineStr">
        <is>
          <t>FICRCD</t>
        </is>
      </c>
      <c r="J152" s="104" t="n">
        <v>1</v>
      </c>
      <c r="K152" s="89" t="inlineStr">
        <is>
          <t>tree_fruit</t>
        </is>
      </c>
      <c r="L152" s="90">
        <f>IF(ISERROR(GETPIVOTDATA(IF($J152=1,"Count of ACTIVE     CED, FARM GATE (MJ/kg)","Count of CED, processor gate (MJ/kg)"),'[1]Pivot Table_CED'!$A$3,"SUB TYPE",$B152)),"PROXY",IF(GETPIVOTDATA(IF($J152=1,"Count of ACTIVE     CED, FARM GATE (MJ/kg)","Count of CED, processor gate (MJ/kg)"),'[1]Pivot Table_CED'!$A$3,"SUB TYPE",$B152)=0,"PROXY","DB value"))</f>
        <v/>
      </c>
      <c r="M152" s="91">
        <f>IF($L152="PROXY",DCOUNT('[1]literature entries'!$D:$AI,IF($J152=1,"ACTIVE     CED, FARM GATE (MJ/kg)","CED, processor gate (MJ/kg)"),INDIRECT($K152)),GETPIVOTDATA(IF($J152=1,"Count of ACTIVE     CED, FARM GATE (MJ/kg)","Count of CED, processor gate (MJ/kg)"),'[1]Pivot Table_CED'!$A$3,"SUB TYPE",$B152))</f>
        <v/>
      </c>
      <c r="N152" s="92">
        <f>IF($L152="PROXY",DAVERAGE('[1]literature entries'!$D:$AI,IF($J152=1,"ACTIVE     CED, FARM GATE (MJ/kg)","CED, processor gate (MJ/kg)"),INDIRECT($K152)),GETPIVOTDATA(IF($J152=1,"Average of ACTIVE     CED, FARM GATE (MJ/kg)","Average of CED, processor gate (MJ/kg)"),'[1]Pivot Table_CED'!$A$3,"SUB TYPE",$B152))</f>
        <v/>
      </c>
      <c r="O152" s="92">
        <f>IF($L152="PROXY",DSTDEV('[1]literature entries'!D:AI,IF($J152=1,"ACTIVE     CED, FARM GATE (MJ/kg)","CED, processor gate (MJ/kg)"),INDIRECT($K152)),GETPIVOTDATA(IF($J152=1,"StdDev of ACTIVE     CED, FARM GATE (MJ/kg)","StdDev of CED, processor gate (MJ/kg)"),'[1]Pivot Table_CED'!$A$3,"SUB TYPE",$B152))</f>
        <v/>
      </c>
      <c r="P152" s="90">
        <f>IF(ISERROR(GETPIVOTDATA(IF($J152=1,"Count of ACTIVE     GHGE, FARM GATE (kg CO2e/kg)","Count of GHGE, processor gate (kg CO2e/kg)"),'[1]Pivot Table_GHG'!$A$3,"SUB TYPE",$B152)),"PROXY",IF(GETPIVOTDATA(IF($J152=1,"Count of ACTIVE     GHGE, FARM GATE (kg CO2e/kg)","Count of GHGE, processor gate (kg CO2e/kg)"),'[1]Pivot Table_GHG'!$A$3,"SUB TYPE",$B152)=0,"PROXY","DB value"))</f>
        <v/>
      </c>
      <c r="Q152" s="93">
        <f>IF($P152="PROXY",DCOUNT('[1]literature entries'!$D:$AI,IF($J152=1,"ACTIVE     GHGE, FARM GATE (kg CO2e/kg)","GHGE, processor gate (kg CO2e/kg)"),INDIRECT($K152)),GETPIVOTDATA(IF($J152=1,"ACTIVE     GHGE, FARM GATE (kg CO2e/kg)","Count of GHGE, processor gate (kg CO2e/kg)"),'[1]Pivot Table_GHG'!$A$3,"SUB TYPE",$B152))</f>
        <v/>
      </c>
      <c r="R152" s="94">
        <f>IF($P152="PROXY",DAVERAGE('[1]literature entries'!$D:$AI,IF($J152=1,"ACTIVE     GHGE, FARM GATE (kg CO2e/kg)","GHGE, processor gate (kg CO2e/kg)"),INDIRECT($K152)),GETPIVOTDATA(IF($J152=1,"Average of ACTIVE     GHGE, FARM GATE (kg CO2e/kg)","Average of GHGE, processor gate (kg CO2e/kg)"),'[1]Pivot Table_GHG'!$A$3,"SUB TYPE",$B152))</f>
        <v/>
      </c>
      <c r="S152" s="94">
        <f>IF($P152="PROXY",DSTDEV('[1]literature entries'!$D:$AI,IF($J152=1,"ACTIVE     GHGE, FARM GATE (kg CO2e/kg)","GHGE, processor gate (kg CO2e/kg)"),INDIRECT($K152)),GETPIVOTDATA(IF($J152=1,"StdDev of ACTIVE     GHGE, FARM GATE (kg CO2e/kg)","StdDev of GHGE, processor gate (kg CO2e/kg)"),'[1]Pivot Table_GHG'!$A$3,"SUB TYPE",$B152))</f>
        <v/>
      </c>
      <c r="T152" s="105" t="n"/>
      <c r="U152" s="106" t="n"/>
      <c r="V152" s="97" t="n"/>
      <c r="W152" s="98">
        <f>IF(L152="PROXY",IF(M152&gt;=5,K152,"need group"),IF(M152&gt;=5,"DIRECT","need group"))</f>
        <v/>
      </c>
      <c r="X152" s="98">
        <f>IF($W152="DIRECT",M152,DCOUNT('[1]literature entries'!$D:$AI,IF($J152=1,"ACTIVE     CED, FARM GATE (MJ/kg)","CED, processor gate (MJ/kg)"),INDIRECT($W152)))</f>
        <v/>
      </c>
      <c r="Y152" s="98">
        <f>IF($W152="DIRECT","",DAVERAGE('[1]literature entries'!$D:$AI,IF($J152=1,"ACTIVE     CED, FARM GATE (MJ/kg)","CED, processor gate (MJ/kg)"),INDIRECT($W152)))</f>
        <v/>
      </c>
      <c r="Z152" s="98">
        <f>IF($W152="DIRECT",$O152,DSTDEV('[1]literature entries'!$D:$AI,IF($J152=1,"ACTIVE     CED, FARM GATE (MJ/kg)","CED, processor gate (MJ/kg)"),INDIRECT($W152)))</f>
        <v/>
      </c>
      <c r="AA152" s="98">
        <f>IF($W152="DIRECT",$O152,$Z152/$Y152*$N152)</f>
        <v/>
      </c>
      <c r="AB152" s="99" t="inlineStr">
        <is>
          <t>tree_fruit</t>
        </is>
      </c>
      <c r="AC152" s="99">
        <f>IF($AB152="DIRECT",Q152,DCOUNT('[1]literature entries'!$D:$AI,IF($J152=1,"ACTIVE     GHGE, FARM GATE (kg CO2e/kg)","GHGE, processor gate (kg CO2e/kg)"),INDIRECT($AB152)))</f>
        <v/>
      </c>
      <c r="AD152" s="99">
        <f>IF($AB152="DIRECT","",DAVERAGE('[1]literature entries'!$D:$AI,IF($J152=1,"ACTIVE     GHGE, FARM GATE (kg CO2e/kg)","GHGE, processor gate (kg CO2e/kg)"),INDIRECT($AB152)))</f>
        <v/>
      </c>
      <c r="AE152" s="99">
        <f>IF($AB152="DIRECT",$S152,DSTDEV('[1]literature entries'!$D:$AI,IF($J152=1,"ACTIVE     GHGE, FARM GATE (kg CO2e/kg)","GHGE, processor gate (kg CO2e/kg)"),INDIRECT($AB152)))</f>
        <v/>
      </c>
      <c r="AF152" s="99">
        <f>IF($AB152="DIRECT",$S152,$AE152/$AD152*$R152)</f>
        <v/>
      </c>
    </row>
    <row r="153" ht="15.75" customHeight="1" s="201">
      <c r="A153" s="100" t="n">
        <v>1203286000</v>
      </c>
      <c r="B153" s="101" t="inlineStr">
        <is>
          <t>Plum, prune, fresh</t>
        </is>
      </c>
      <c r="C153" s="101" t="inlineStr">
        <is>
          <t>weight of plum, with peel; excluding pit</t>
        </is>
      </c>
      <c r="D153" s="101" t="n"/>
      <c r="E153" s="101" t="n">
        <v>50</v>
      </c>
      <c r="F153" s="84">
        <f>N153*H153+T153</f>
        <v/>
      </c>
      <c r="G153" s="85">
        <f>R153*H153+U153</f>
        <v/>
      </c>
      <c r="H153" s="102" t="n">
        <v>1.06</v>
      </c>
      <c r="I153" s="102" t="inlineStr">
        <is>
          <t>FICRCD</t>
        </is>
      </c>
      <c r="J153" s="104" t="n">
        <v>1</v>
      </c>
      <c r="K153" s="89" t="inlineStr">
        <is>
          <t>tree_fruit</t>
        </is>
      </c>
      <c r="L153" s="90">
        <f>IF(ISERROR(GETPIVOTDATA(IF($J153=1,"Count of ACTIVE     CED, FARM GATE (MJ/kg)","Count of CED, processor gate (MJ/kg)"),'[1]Pivot Table_CED'!$A$3,"SUB TYPE",$B153)),"PROXY",IF(GETPIVOTDATA(IF($J153=1,"Count of ACTIVE     CED, FARM GATE (MJ/kg)","Count of CED, processor gate (MJ/kg)"),'[1]Pivot Table_CED'!$A$3,"SUB TYPE",$B153)=0,"PROXY","DB value"))</f>
        <v/>
      </c>
      <c r="M153" s="91">
        <f>IF($L153="PROXY",DCOUNT('[1]literature entries'!$D:$AI,IF($J153=1,"ACTIVE     CED, FARM GATE (MJ/kg)","CED, processor gate (MJ/kg)"),INDIRECT($K153)),GETPIVOTDATA(IF($J153=1,"Count of ACTIVE     CED, FARM GATE (MJ/kg)","Count of CED, processor gate (MJ/kg)"),'[1]Pivot Table_CED'!$A$3,"SUB TYPE",$B153))</f>
        <v/>
      </c>
      <c r="N153" s="92">
        <f>IF($L153="PROXY",DAVERAGE('[1]literature entries'!$D:$AI,IF($J153=1,"ACTIVE     CED, FARM GATE (MJ/kg)","CED, processor gate (MJ/kg)"),INDIRECT($K153)),GETPIVOTDATA(IF($J153=1,"Average of ACTIVE     CED, FARM GATE (MJ/kg)","Average of CED, processor gate (MJ/kg)"),'[1]Pivot Table_CED'!$A$3,"SUB TYPE",$B153))</f>
        <v/>
      </c>
      <c r="O153" s="92">
        <f>IF($L153="PROXY",DSTDEV('[1]literature entries'!D:AI,IF($J153=1,"ACTIVE     CED, FARM GATE (MJ/kg)","CED, processor gate (MJ/kg)"),INDIRECT($K153)),GETPIVOTDATA(IF($J153=1,"StdDev of ACTIVE     CED, FARM GATE (MJ/kg)","StdDev of CED, processor gate (MJ/kg)"),'[1]Pivot Table_CED'!$A$3,"SUB TYPE",$B153))</f>
        <v/>
      </c>
      <c r="P153" s="90">
        <f>IF(ISERROR(GETPIVOTDATA(IF($J153=1,"Count of ACTIVE     GHGE, FARM GATE (kg CO2e/kg)","Count of GHGE, processor gate (kg CO2e/kg)"),'[1]Pivot Table_GHG'!$A$3,"SUB TYPE",$B153)),"PROXY",IF(GETPIVOTDATA(IF($J153=1,"Count of ACTIVE     GHGE, FARM GATE (kg CO2e/kg)","Count of GHGE, processor gate (kg CO2e/kg)"),'[1]Pivot Table_GHG'!$A$3,"SUB TYPE",$B153)=0,"PROXY","DB value"))</f>
        <v/>
      </c>
      <c r="Q153" s="93">
        <f>IF($P153="PROXY",DCOUNT('[1]literature entries'!$D:$AI,IF($J153=1,"ACTIVE     GHGE, FARM GATE (kg CO2e/kg)","GHGE, processor gate (kg CO2e/kg)"),INDIRECT($K153)),GETPIVOTDATA(IF($J153=1,"ACTIVE     GHGE, FARM GATE (kg CO2e/kg)","Count of GHGE, processor gate (kg CO2e/kg)"),'[1]Pivot Table_GHG'!$A$3,"SUB TYPE",$B153))</f>
        <v/>
      </c>
      <c r="R153" s="94">
        <f>IF($P153="PROXY",DAVERAGE('[1]literature entries'!$D:$AI,IF($J153=1,"ACTIVE     GHGE, FARM GATE (kg CO2e/kg)","GHGE, processor gate (kg CO2e/kg)"),INDIRECT($K153)),GETPIVOTDATA(IF($J153=1,"Average of ACTIVE     GHGE, FARM GATE (kg CO2e/kg)","Average of GHGE, processor gate (kg CO2e/kg)"),'[1]Pivot Table_GHG'!$A$3,"SUB TYPE",$B153))</f>
        <v/>
      </c>
      <c r="S153" s="94">
        <f>IF($P153="PROXY",DSTDEV('[1]literature entries'!$D:$AI,IF($J153=1,"ACTIVE     GHGE, FARM GATE (kg CO2e/kg)","GHGE, processor gate (kg CO2e/kg)"),INDIRECT($K153)),GETPIVOTDATA(IF($J153=1,"StdDev of ACTIVE     GHGE, FARM GATE (kg CO2e/kg)","StdDev of GHGE, processor gate (kg CO2e/kg)"),'[1]Pivot Table_GHG'!$A$3,"SUB TYPE",$B153))</f>
        <v/>
      </c>
      <c r="T153" s="105" t="n"/>
      <c r="U153" s="106" t="n"/>
      <c r="V153" s="97" t="n"/>
      <c r="W153" s="98">
        <f>IF(L153="PROXY",IF(M153&gt;=5,K153,"need group"),IF(M153&gt;=5,"DIRECT","need group"))</f>
        <v/>
      </c>
      <c r="X153" s="98">
        <f>IF($W153="DIRECT",M153,DCOUNT('[1]literature entries'!$D:$AI,IF($J153=1,"ACTIVE     CED, FARM GATE (MJ/kg)","CED, processor gate (MJ/kg)"),INDIRECT($W153)))</f>
        <v/>
      </c>
      <c r="Y153" s="98">
        <f>IF($W153="DIRECT","",DAVERAGE('[1]literature entries'!$D:$AI,IF($J153=1,"ACTIVE     CED, FARM GATE (MJ/kg)","CED, processor gate (MJ/kg)"),INDIRECT($W153)))</f>
        <v/>
      </c>
      <c r="Z153" s="98">
        <f>IF($W153="DIRECT",$O153,DSTDEV('[1]literature entries'!$D:$AI,IF($J153=1,"ACTIVE     CED, FARM GATE (MJ/kg)","CED, processor gate (MJ/kg)"),INDIRECT($W153)))</f>
        <v/>
      </c>
      <c r="AA153" s="98">
        <f>IF($W153="DIRECT",$O153,$Z153/$Y153*$N153)</f>
        <v/>
      </c>
      <c r="AB153" s="99">
        <f>IF(P153="PROXY",IF(Q153&gt;=5,K153,"need group"),IF(Q153&gt;=5,"DIRECT","need group"))</f>
        <v/>
      </c>
      <c r="AC153" s="99">
        <f>IF($AB153="DIRECT",Q153,DCOUNT('[1]literature entries'!$D:$AI,IF($J153=1,"ACTIVE     GHGE, FARM GATE (kg CO2e/kg)","GHGE, processor gate (kg CO2e/kg)"),INDIRECT($AB153)))</f>
        <v/>
      </c>
      <c r="AD153" s="99">
        <f>IF($AB153="DIRECT","",DAVERAGE('[1]literature entries'!$D:$AI,IF($J153=1,"ACTIVE     GHGE, FARM GATE (kg CO2e/kg)","GHGE, processor gate (kg CO2e/kg)"),INDIRECT($AB153)))</f>
        <v/>
      </c>
      <c r="AE153" s="99">
        <f>IF($AB153="DIRECT",$S153,DSTDEV('[1]literature entries'!$D:$AI,IF($J153=1,"ACTIVE     GHGE, FARM GATE (kg CO2e/kg)","GHGE, processor gate (kg CO2e/kg)"),INDIRECT($AB153)))</f>
        <v/>
      </c>
      <c r="AF153" s="99">
        <f>IF($AB153="DIRECT",$S153,$AE153/$AD153*$R153)</f>
        <v/>
      </c>
    </row>
    <row r="154" ht="15.75" customHeight="1" s="201">
      <c r="A154" s="100" t="n">
        <v>1203287000</v>
      </c>
      <c r="B154" s="101" t="inlineStr">
        <is>
          <t>Plum, prune, dried</t>
        </is>
      </c>
      <c r="C154" s="101" t="inlineStr">
        <is>
          <t>weight of dried flesh, with or without peel; excluding pit</t>
        </is>
      </c>
      <c r="D154" s="101" t="n"/>
      <c r="E154" s="101" t="n">
        <v>260</v>
      </c>
      <c r="F154" s="84">
        <f>N154*H154+T154</f>
        <v/>
      </c>
      <c r="G154" s="85">
        <f>R154*H154+U154</f>
        <v/>
      </c>
      <c r="H154" s="102" t="n">
        <v>5.73</v>
      </c>
      <c r="I154" s="103" t="inlineStr">
        <is>
          <t>FICRCD</t>
        </is>
      </c>
      <c r="J154" s="104" t="n">
        <v>1</v>
      </c>
      <c r="K154" s="89" t="inlineStr">
        <is>
          <t>tree_fruit</t>
        </is>
      </c>
      <c r="L154" s="90">
        <f>IF(ISERROR(GETPIVOTDATA(IF($J154=1,"Count of ACTIVE     CED, FARM GATE (MJ/kg)","Count of CED, processor gate (MJ/kg)"),'[1]Pivot Table_CED'!$A$3,"SUB TYPE",$B154)),"PROXY",IF(GETPIVOTDATA(IF($J154=1,"Count of ACTIVE     CED, FARM GATE (MJ/kg)","Count of CED, processor gate (MJ/kg)"),'[1]Pivot Table_CED'!$A$3,"SUB TYPE",$B154)=0,"PROXY","DB value"))</f>
        <v/>
      </c>
      <c r="M154" s="91">
        <f>IF($L154="PROXY",DCOUNT('[1]literature entries'!$D:$AI,IF($J154=1,"ACTIVE     CED, FARM GATE (MJ/kg)","CED, processor gate (MJ/kg)"),INDIRECT($K154)),GETPIVOTDATA(IF($J154=1,"Count of ACTIVE     CED, FARM GATE (MJ/kg)","Count of CED, processor gate (MJ/kg)"),'[1]Pivot Table_CED'!$A$3,"SUB TYPE",$B154))</f>
        <v/>
      </c>
      <c r="N154" s="92">
        <f>IF($L154="PROXY",DAVERAGE('[1]literature entries'!$D:$AI,IF($J154=1,"ACTIVE     CED, FARM GATE (MJ/kg)","CED, processor gate (MJ/kg)"),INDIRECT($K154)),GETPIVOTDATA(IF($J154=1,"Average of ACTIVE     CED, FARM GATE (MJ/kg)","Average of CED, processor gate (MJ/kg)"),'[1]Pivot Table_CED'!$A$3,"SUB TYPE",$B154))</f>
        <v/>
      </c>
      <c r="O154" s="92">
        <f>IF($L154="PROXY",DSTDEV('[1]literature entries'!D:AI,IF($J154=1,"ACTIVE     CED, FARM GATE (MJ/kg)","CED, processor gate (MJ/kg)"),INDIRECT($K154)),GETPIVOTDATA(IF($J154=1,"StdDev of ACTIVE     CED, FARM GATE (MJ/kg)","StdDev of CED, processor gate (MJ/kg)"),'[1]Pivot Table_CED'!$A$3,"SUB TYPE",$B154))</f>
        <v/>
      </c>
      <c r="P154" s="90">
        <f>IF(ISERROR(GETPIVOTDATA(IF($J154=1,"Count of ACTIVE     GHGE, FARM GATE (kg CO2e/kg)","Count of GHGE, processor gate (kg CO2e/kg)"),'[1]Pivot Table_GHG'!$A$3,"SUB TYPE",$B154)),"PROXY",IF(GETPIVOTDATA(IF($J154=1,"Count of ACTIVE     GHGE, FARM GATE (kg CO2e/kg)","Count of GHGE, processor gate (kg CO2e/kg)"),'[1]Pivot Table_GHG'!$A$3,"SUB TYPE",$B154)=0,"PROXY","DB value"))</f>
        <v/>
      </c>
      <c r="Q154" s="93">
        <f>IF($P154="PROXY",DCOUNT('[1]literature entries'!$D:$AI,IF($J154=1,"ACTIVE     GHGE, FARM GATE (kg CO2e/kg)","GHGE, processor gate (kg CO2e/kg)"),INDIRECT($K154)),GETPIVOTDATA(IF($J154=1,"ACTIVE     GHGE, FARM GATE (kg CO2e/kg)","Count of GHGE, processor gate (kg CO2e/kg)"),'[1]Pivot Table_GHG'!$A$3,"SUB TYPE",$B154))</f>
        <v/>
      </c>
      <c r="R154" s="94">
        <f>IF($P154="PROXY",DAVERAGE('[1]literature entries'!$D:$AI,IF($J154=1,"ACTIVE     GHGE, FARM GATE (kg CO2e/kg)","GHGE, processor gate (kg CO2e/kg)"),INDIRECT($K154)),GETPIVOTDATA(IF($J154=1,"Average of ACTIVE     GHGE, FARM GATE (kg CO2e/kg)","Average of GHGE, processor gate (kg CO2e/kg)"),'[1]Pivot Table_GHG'!$A$3,"SUB TYPE",$B154))</f>
        <v/>
      </c>
      <c r="S154" s="94">
        <f>IF($P154="PROXY",DSTDEV('[1]literature entries'!$D:$AI,IF($J154=1,"ACTIVE     GHGE, FARM GATE (kg CO2e/kg)","GHGE, processor gate (kg CO2e/kg)"),INDIRECT($K154)),GETPIVOTDATA(IF($J154=1,"StdDev of ACTIVE     GHGE, FARM GATE (kg CO2e/kg)","StdDev of GHGE, processor gate (kg CO2e/kg)"),'[1]Pivot Table_GHG'!$A$3,"SUB TYPE",$B154))</f>
        <v/>
      </c>
      <c r="T154" s="105" t="n"/>
      <c r="U154" s="106" t="n"/>
      <c r="V154" s="97" t="n"/>
      <c r="W154" s="98">
        <f>IF(L154="PROXY",IF(M154&gt;=5,K154,"need group"),IF(M154&gt;=5,"DIRECT","need group"))</f>
        <v/>
      </c>
      <c r="X154" s="98">
        <f>IF($W154="DIRECT",M154,DCOUNT('[1]literature entries'!$D:$AI,IF($J154=1,"ACTIVE     CED, FARM GATE (MJ/kg)","CED, processor gate (MJ/kg)"),INDIRECT($W154)))</f>
        <v/>
      </c>
      <c r="Y154" s="98">
        <f>IF($W154="DIRECT","",DAVERAGE('[1]literature entries'!$D:$AI,IF($J154=1,"ACTIVE     CED, FARM GATE (MJ/kg)","CED, processor gate (MJ/kg)"),INDIRECT($W154)))</f>
        <v/>
      </c>
      <c r="Z154" s="98">
        <f>IF($W154="DIRECT",$O154,DSTDEV('[1]literature entries'!$D:$AI,IF($J154=1,"ACTIVE     CED, FARM GATE (MJ/kg)","CED, processor gate (MJ/kg)"),INDIRECT($W154)))</f>
        <v/>
      </c>
      <c r="AA154" s="98">
        <f>IF($W154="DIRECT",$O154,$Z154/$Y154*$N154)</f>
        <v/>
      </c>
      <c r="AB154" s="99">
        <f>IF(P154="PROXY",IF(Q154&gt;=5,K154,"need group"),IF(Q154&gt;=5,"DIRECT","need group"))</f>
        <v/>
      </c>
      <c r="AC154" s="99">
        <f>IF($AB154="DIRECT",Q154,DCOUNT('[1]literature entries'!$D:$AI,IF($J154=1,"ACTIVE     GHGE, FARM GATE (kg CO2e/kg)","GHGE, processor gate (kg CO2e/kg)"),INDIRECT($AB154)))</f>
        <v/>
      </c>
      <c r="AD154" s="99">
        <f>IF($AB154="DIRECT","",DAVERAGE('[1]literature entries'!$D:$AI,IF($J154=1,"ACTIVE     GHGE, FARM GATE (kg CO2e/kg)","GHGE, processor gate (kg CO2e/kg)"),INDIRECT($AB154)))</f>
        <v/>
      </c>
      <c r="AE154" s="99">
        <f>IF($AB154="DIRECT",$S154,DSTDEV('[1]literature entries'!$D:$AI,IF($J154=1,"ACTIVE     GHGE, FARM GATE (kg CO2e/kg)","GHGE, processor gate (kg CO2e/kg)"),INDIRECT($AB154)))</f>
        <v/>
      </c>
      <c r="AF154" s="99">
        <f>IF($AB154="DIRECT",$S154,$AE154/$AD154*$R154)</f>
        <v/>
      </c>
    </row>
    <row r="155" ht="15.75" customHeight="1" s="201">
      <c r="A155" s="100" t="n">
        <v>1203288000</v>
      </c>
      <c r="B155" s="101" t="inlineStr">
        <is>
          <t>Plum, prune, juice</t>
        </is>
      </c>
      <c r="C155" s="101" t="inlineStr">
        <is>
          <t>weight of juice at single strength (or standard dilution)</t>
        </is>
      </c>
      <c r="D155" s="101" t="n"/>
      <c r="E155" s="101" t="n">
        <v>125</v>
      </c>
      <c r="F155" s="84">
        <f>N155*H155+T155</f>
        <v/>
      </c>
      <c r="G155" s="85">
        <f>R155*H155+U155</f>
        <v/>
      </c>
      <c r="H155" s="102" t="n">
        <v>1.63</v>
      </c>
      <c r="I155" s="103" t="inlineStr">
        <is>
          <t>FICRCD</t>
        </is>
      </c>
      <c r="J155" s="104" t="n">
        <v>1</v>
      </c>
      <c r="K155" s="89" t="inlineStr">
        <is>
          <t>tree_fruit</t>
        </is>
      </c>
      <c r="L155" s="90">
        <f>IF(ISERROR(GETPIVOTDATA(IF($J155=1,"Count of ACTIVE     CED, FARM GATE (MJ/kg)","Count of CED, processor gate (MJ/kg)"),'[1]Pivot Table_CED'!$A$3,"SUB TYPE",$B155)),"PROXY",IF(GETPIVOTDATA(IF($J155=1,"Count of ACTIVE     CED, FARM GATE (MJ/kg)","Count of CED, processor gate (MJ/kg)"),'[1]Pivot Table_CED'!$A$3,"SUB TYPE",$B155)=0,"PROXY","DB value"))</f>
        <v/>
      </c>
      <c r="M155" s="91">
        <f>IF($L155="PROXY",DCOUNT('[1]literature entries'!$D:$AI,IF($J155=1,"ACTIVE     CED, FARM GATE (MJ/kg)","CED, processor gate (MJ/kg)"),INDIRECT($K155)),GETPIVOTDATA(IF($J155=1,"Count of ACTIVE     CED, FARM GATE (MJ/kg)","Count of CED, processor gate (MJ/kg)"),'[1]Pivot Table_CED'!$A$3,"SUB TYPE",$B155))</f>
        <v/>
      </c>
      <c r="N155" s="92">
        <f>IF($L155="PROXY",DAVERAGE('[1]literature entries'!$D:$AI,IF($J155=1,"ACTIVE     CED, FARM GATE (MJ/kg)","CED, processor gate (MJ/kg)"),INDIRECT($K155)),GETPIVOTDATA(IF($J155=1,"Average of ACTIVE     CED, FARM GATE (MJ/kg)","Average of CED, processor gate (MJ/kg)"),'[1]Pivot Table_CED'!$A$3,"SUB TYPE",$B155))</f>
        <v/>
      </c>
      <c r="O155" s="92">
        <f>IF($L155="PROXY",DSTDEV('[1]literature entries'!D:AI,IF($J155=1,"ACTIVE     CED, FARM GATE (MJ/kg)","CED, processor gate (MJ/kg)"),INDIRECT($K155)),GETPIVOTDATA(IF($J155=1,"StdDev of ACTIVE     CED, FARM GATE (MJ/kg)","StdDev of CED, processor gate (MJ/kg)"),'[1]Pivot Table_CED'!$A$3,"SUB TYPE",$B155))</f>
        <v/>
      </c>
      <c r="P155" s="90">
        <f>IF(ISERROR(GETPIVOTDATA(IF($J155=1,"Count of ACTIVE     GHGE, FARM GATE (kg CO2e/kg)","Count of GHGE, processor gate (kg CO2e/kg)"),'[1]Pivot Table_GHG'!$A$3,"SUB TYPE",$B155)),"PROXY",IF(GETPIVOTDATA(IF($J155=1,"Count of ACTIVE     GHGE, FARM GATE (kg CO2e/kg)","Count of GHGE, processor gate (kg CO2e/kg)"),'[1]Pivot Table_GHG'!$A$3,"SUB TYPE",$B155)=0,"PROXY","DB value"))</f>
        <v/>
      </c>
      <c r="Q155" s="93">
        <f>IF($P155="PROXY",DCOUNT('[1]literature entries'!$D:$AI,IF($J155=1,"ACTIVE     GHGE, FARM GATE (kg CO2e/kg)","GHGE, processor gate (kg CO2e/kg)"),INDIRECT($K155)),GETPIVOTDATA(IF($J155=1,"ACTIVE     GHGE, FARM GATE (kg CO2e/kg)","Count of GHGE, processor gate (kg CO2e/kg)"),'[1]Pivot Table_GHG'!$A$3,"SUB TYPE",$B155))</f>
        <v/>
      </c>
      <c r="R155" s="94">
        <f>IF($P155="PROXY",DAVERAGE('[1]literature entries'!$D:$AI,IF($J155=1,"ACTIVE     GHGE, FARM GATE (kg CO2e/kg)","GHGE, processor gate (kg CO2e/kg)"),INDIRECT($K155)),GETPIVOTDATA(IF($J155=1,"Average of ACTIVE     GHGE, FARM GATE (kg CO2e/kg)","Average of GHGE, processor gate (kg CO2e/kg)"),'[1]Pivot Table_GHG'!$A$3,"SUB TYPE",$B155))</f>
        <v/>
      </c>
      <c r="S155" s="94">
        <f>IF($P155="PROXY",DSTDEV('[1]literature entries'!$D:$AI,IF($J155=1,"ACTIVE     GHGE, FARM GATE (kg CO2e/kg)","GHGE, processor gate (kg CO2e/kg)"),INDIRECT($K155)),GETPIVOTDATA(IF($J155=1,"StdDev of ACTIVE     GHGE, FARM GATE (kg CO2e/kg)","StdDev of GHGE, processor gate (kg CO2e/kg)"),'[1]Pivot Table_GHG'!$A$3,"SUB TYPE",$B155))</f>
        <v/>
      </c>
      <c r="T155" s="107" t="n">
        <v>5.282</v>
      </c>
      <c r="U155" s="108" t="n">
        <v>0.9790791260799999</v>
      </c>
      <c r="V155" s="97" t="n"/>
      <c r="W155" s="98">
        <f>IF(L155="PROXY",IF(M155&gt;=5,K155,"need group"),IF(M155&gt;=5,"DIRECT","need group"))</f>
        <v/>
      </c>
      <c r="X155" s="98">
        <f>IF($W155="DIRECT",M155,DCOUNT('[1]literature entries'!$D:$AI,IF($J155=1,"ACTIVE     CED, FARM GATE (MJ/kg)","CED, processor gate (MJ/kg)"),INDIRECT($W155)))</f>
        <v/>
      </c>
      <c r="Y155" s="98">
        <f>IF($W155="DIRECT","",DAVERAGE('[1]literature entries'!$D:$AI,IF($J155=1,"ACTIVE     CED, FARM GATE (MJ/kg)","CED, processor gate (MJ/kg)"),INDIRECT($W155)))</f>
        <v/>
      </c>
      <c r="Z155" s="98">
        <f>IF($W155="DIRECT",$O155,DSTDEV('[1]literature entries'!$D:$AI,IF($J155=1,"ACTIVE     CED, FARM GATE (MJ/kg)","CED, processor gate (MJ/kg)"),INDIRECT($W155)))</f>
        <v/>
      </c>
      <c r="AA155" s="98">
        <f>IF($W155="DIRECT",$O155,$Z155/$Y155*$N155)</f>
        <v/>
      </c>
      <c r="AB155" s="99">
        <f>IF(P155="PROXY",IF(Q155&gt;=5,K155,"need group"),IF(Q155&gt;=5,"DIRECT","need group"))</f>
        <v/>
      </c>
      <c r="AC155" s="99">
        <f>IF($AB155="DIRECT",Q155,DCOUNT('[1]literature entries'!$D:$AI,IF($J155=1,"ACTIVE     GHGE, FARM GATE (kg CO2e/kg)","GHGE, processor gate (kg CO2e/kg)"),INDIRECT($AB155)))</f>
        <v/>
      </c>
      <c r="AD155" s="99">
        <f>IF($AB155="DIRECT","",DAVERAGE('[1]literature entries'!$D:$AI,IF($J155=1,"ACTIVE     GHGE, FARM GATE (kg CO2e/kg)","GHGE, processor gate (kg CO2e/kg)"),INDIRECT($AB155)))</f>
        <v/>
      </c>
      <c r="AE155" s="99">
        <f>IF($AB155="DIRECT",$S155,DSTDEV('[1]literature entries'!$D:$AI,IF($J155=1,"ACTIVE     GHGE, FARM GATE (kg CO2e/kg)","GHGE, processor gate (kg CO2e/kg)"),INDIRECT($AB155)))</f>
        <v/>
      </c>
      <c r="AF155" s="99">
        <f>IF($AB155="DIRECT",$S155,$AE155/$AD155*$R155)</f>
        <v/>
      </c>
    </row>
    <row r="156" ht="15.75" customHeight="1" s="201">
      <c r="A156" s="100" t="n">
        <v>1301055000</v>
      </c>
      <c r="B156" s="101" t="inlineStr">
        <is>
          <t>Blackberry</t>
        </is>
      </c>
      <c r="C156" s="101" t="inlineStr">
        <is>
          <t>weight of berry</t>
        </is>
      </c>
      <c r="D156" s="101" t="inlineStr">
        <is>
          <t>Includes Andean blackberry, Arctic blackberry, bingleberry, black satin berry, boysenberry, brombeere, California blackberry, Cherokee blackberry, chesterberry, Cheyenne blackberry, common blackberry, coryberry, darrowberry, dewberry, dirksen thornless be</t>
        </is>
      </c>
      <c r="E156" s="101" t="n">
        <v>7185</v>
      </c>
      <c r="F156" s="84">
        <f>N156*H156+T156</f>
        <v/>
      </c>
      <c r="G156" s="85">
        <f>R156*H156+U156</f>
        <v/>
      </c>
      <c r="H156" s="102" t="n">
        <v>1.04</v>
      </c>
      <c r="I156" s="102" t="inlineStr">
        <is>
          <t>FICRCD</t>
        </is>
      </c>
      <c r="J156" s="104" t="n">
        <v>1</v>
      </c>
      <c r="K156" s="89" t="inlineStr">
        <is>
          <t>berry</t>
        </is>
      </c>
      <c r="L156" s="90">
        <f>IF(ISERROR(GETPIVOTDATA(IF($J156=1,"Count of ACTIVE     CED, FARM GATE (MJ/kg)","Count of CED, processor gate (MJ/kg)"),'[1]Pivot Table_CED'!$A$3,"SUB TYPE",$B156)),"PROXY",IF(GETPIVOTDATA(IF($J156=1,"Count of ACTIVE     CED, FARM GATE (MJ/kg)","Count of CED, processor gate (MJ/kg)"),'[1]Pivot Table_CED'!$A$3,"SUB TYPE",$B156)=0,"PROXY","DB value"))</f>
        <v/>
      </c>
      <c r="M156" s="91">
        <f>IF($L156="PROXY",DCOUNT('[1]literature entries'!$D:$AI,IF($J156=1,"ACTIVE     CED, FARM GATE (MJ/kg)","CED, processor gate (MJ/kg)"),INDIRECT($K156)),GETPIVOTDATA(IF($J156=1,"Count of ACTIVE     CED, FARM GATE (MJ/kg)","Count of CED, processor gate (MJ/kg)"),'[1]Pivot Table_CED'!$A$3,"SUB TYPE",$B156))</f>
        <v/>
      </c>
      <c r="N156" s="92">
        <f>IF($L156="PROXY",DAVERAGE('[1]literature entries'!$D:$AI,IF($J156=1,"ACTIVE     CED, FARM GATE (MJ/kg)","CED, processor gate (MJ/kg)"),INDIRECT($K156)),GETPIVOTDATA(IF($J156=1,"Average of ACTIVE     CED, FARM GATE (MJ/kg)","Average of CED, processor gate (MJ/kg)"),'[1]Pivot Table_CED'!$A$3,"SUB TYPE",$B156))</f>
        <v/>
      </c>
      <c r="O156" s="92">
        <f>IF($L156="PROXY",DSTDEV('[1]literature entries'!D:AI,IF($J156=1,"ACTIVE     CED, FARM GATE (MJ/kg)","CED, processor gate (MJ/kg)"),INDIRECT($K156)),GETPIVOTDATA(IF($J156=1,"StdDev of ACTIVE     CED, FARM GATE (MJ/kg)","StdDev of CED, processor gate (MJ/kg)"),'[1]Pivot Table_CED'!$A$3,"SUB TYPE",$B156))</f>
        <v/>
      </c>
      <c r="P156" s="90">
        <f>IF(ISERROR(GETPIVOTDATA(IF($J156=1,"Count of ACTIVE     GHGE, FARM GATE (kg CO2e/kg)","Count of GHGE, processor gate (kg CO2e/kg)"),'[1]Pivot Table_GHG'!$A$3,"SUB TYPE",$B156)),"PROXY",IF(GETPIVOTDATA(IF($J156=1,"Count of ACTIVE     GHGE, FARM GATE (kg CO2e/kg)","Count of GHGE, processor gate (kg CO2e/kg)"),'[1]Pivot Table_GHG'!$A$3,"SUB TYPE",$B156)=0,"PROXY","DB value"))</f>
        <v/>
      </c>
      <c r="Q156" s="93">
        <f>IF($P156="PROXY",DCOUNT('[1]literature entries'!$D:$AI,IF($J156=1,"ACTIVE     GHGE, FARM GATE (kg CO2e/kg)","GHGE, processor gate (kg CO2e/kg)"),INDIRECT($K156)),GETPIVOTDATA(IF($J156=1,"ACTIVE     GHGE, FARM GATE (kg CO2e/kg)","Count of GHGE, processor gate (kg CO2e/kg)"),'[1]Pivot Table_GHG'!$A$3,"SUB TYPE",$B156))</f>
        <v/>
      </c>
      <c r="R156" s="94">
        <f>IF($P156="PROXY",DAVERAGE('[1]literature entries'!$D:$AI,IF($J156=1,"ACTIVE     GHGE, FARM GATE (kg CO2e/kg)","GHGE, processor gate (kg CO2e/kg)"),INDIRECT($K156)),GETPIVOTDATA(IF($J156=1,"Average of ACTIVE     GHGE, FARM GATE (kg CO2e/kg)","Average of GHGE, processor gate (kg CO2e/kg)"),'[1]Pivot Table_GHG'!$A$3,"SUB TYPE",$B156))</f>
        <v/>
      </c>
      <c r="S156" s="94">
        <f>IF($P156="PROXY",DSTDEV('[1]literature entries'!$D:$AI,IF($J156=1,"ACTIVE     GHGE, FARM GATE (kg CO2e/kg)","GHGE, processor gate (kg CO2e/kg)"),INDIRECT($K156)),GETPIVOTDATA(IF($J156=1,"StdDev of ACTIVE     GHGE, FARM GATE (kg CO2e/kg)","StdDev of GHGE, processor gate (kg CO2e/kg)"),'[1]Pivot Table_GHG'!$A$3,"SUB TYPE",$B156))</f>
        <v/>
      </c>
      <c r="T156" s="105" t="n"/>
      <c r="U156" s="106" t="n"/>
      <c r="V156" s="97" t="n"/>
      <c r="W156" s="98">
        <f>IF(L156="PROXY",IF(M156&gt;=5,K156,"need group"),IF(M156&gt;=5,"DIRECT","need group"))</f>
        <v/>
      </c>
      <c r="X156" s="98">
        <f>IF($W156="DIRECT",M156,DCOUNT('[1]literature entries'!$D:$AI,IF($J156=1,"ACTIVE     CED, FARM GATE (MJ/kg)","CED, processor gate (MJ/kg)"),INDIRECT($W156)))</f>
        <v/>
      </c>
      <c r="Y156" s="98">
        <f>IF($W156="DIRECT","",DAVERAGE('[1]literature entries'!$D:$AI,IF($J156=1,"ACTIVE     CED, FARM GATE (MJ/kg)","CED, processor gate (MJ/kg)"),INDIRECT($W156)))</f>
        <v/>
      </c>
      <c r="Z156" s="98">
        <f>IF($W156="DIRECT",$O156,DSTDEV('[1]literature entries'!$D:$AI,IF($J156=1,"ACTIVE     CED, FARM GATE (MJ/kg)","CED, processor gate (MJ/kg)"),INDIRECT($W156)))</f>
        <v/>
      </c>
      <c r="AA156" s="98">
        <f>IF($W156="DIRECT",$O156,$Z156/$Y156*$N156)</f>
        <v/>
      </c>
      <c r="AB156" s="99">
        <f>IF(P156="PROXY",IF(Q156&gt;=5,K156,"need group"),IF(Q156&gt;=5,"DIRECT","need group"))</f>
        <v/>
      </c>
      <c r="AC156" s="99">
        <f>IF($AB156="DIRECT",Q156,DCOUNT('[1]literature entries'!$D:$AI,IF($J156=1,"ACTIVE     GHGE, FARM GATE (kg CO2e/kg)","GHGE, processor gate (kg CO2e/kg)"),INDIRECT($AB156)))</f>
        <v/>
      </c>
      <c r="AD156" s="99">
        <f>IF($AB156="DIRECT","",DAVERAGE('[1]literature entries'!$D:$AI,IF($J156=1,"ACTIVE     GHGE, FARM GATE (kg CO2e/kg)","GHGE, processor gate (kg CO2e/kg)"),INDIRECT($AB156)))</f>
        <v/>
      </c>
      <c r="AE156" s="99">
        <f>IF($AB156="DIRECT",$S156,DSTDEV('[1]literature entries'!$D:$AI,IF($J156=1,"ACTIVE     GHGE, FARM GATE (kg CO2e/kg)","GHGE, processor gate (kg CO2e/kg)"),INDIRECT($AB156)))</f>
        <v/>
      </c>
      <c r="AF156" s="99">
        <f>IF($AB156="DIRECT",$S156,$AE156/$AD156*$R156)</f>
        <v/>
      </c>
    </row>
    <row r="157" ht="15.75" customHeight="1" s="201">
      <c r="A157" s="100" t="n">
        <v>1301056000</v>
      </c>
      <c r="B157" s="101" t="inlineStr">
        <is>
          <t>Blackberry, juice</t>
        </is>
      </c>
      <c r="C157" s="101" t="inlineStr">
        <is>
          <t>weight of juice at single strength (or standard dilution)</t>
        </is>
      </c>
      <c r="D157" s="101" t="inlineStr">
        <is>
          <t>Includes Andean blackberry, Arctic blackberry, bingleberry, black satin berry, boysenberry, brombeere, California blackberry, Cherokee blackberry, chesterberry, Cheyenne blackberry, common blackberry, coryberry, darrowberry, dewberry, dirksen thornless be</t>
        </is>
      </c>
      <c r="E157" s="101" t="n">
        <v>10</v>
      </c>
      <c r="F157" s="84">
        <f>N157*H157+T157</f>
        <v/>
      </c>
      <c r="G157" s="85">
        <f>R157*H157+U157</f>
        <v/>
      </c>
      <c r="H157" s="102" t="n">
        <v>1.3</v>
      </c>
      <c r="I157" s="102" t="inlineStr">
        <is>
          <t>FICRCD</t>
        </is>
      </c>
      <c r="J157" s="104" t="n">
        <v>1</v>
      </c>
      <c r="K157" s="89" t="inlineStr">
        <is>
          <t>berry</t>
        </is>
      </c>
      <c r="L157" s="90">
        <f>IF(ISERROR(GETPIVOTDATA(IF($J157=1,"Count of ACTIVE     CED, FARM GATE (MJ/kg)","Count of CED, processor gate (MJ/kg)"),'[1]Pivot Table_CED'!$A$3,"SUB TYPE",$B157)),"PROXY",IF(GETPIVOTDATA(IF($J157=1,"Count of ACTIVE     CED, FARM GATE (MJ/kg)","Count of CED, processor gate (MJ/kg)"),'[1]Pivot Table_CED'!$A$3,"SUB TYPE",$B157)=0,"PROXY","DB value"))</f>
        <v/>
      </c>
      <c r="M157" s="91">
        <f>IF($L157="PROXY",DCOUNT('[1]literature entries'!$D:$AI,IF($J157=1,"ACTIVE     CED, FARM GATE (MJ/kg)","CED, processor gate (MJ/kg)"),INDIRECT($K157)),GETPIVOTDATA(IF($J157=1,"Count of ACTIVE     CED, FARM GATE (MJ/kg)","Count of CED, processor gate (MJ/kg)"),'[1]Pivot Table_CED'!$A$3,"SUB TYPE",$B157))</f>
        <v/>
      </c>
      <c r="N157" s="92">
        <f>IF($L157="PROXY",DAVERAGE('[1]literature entries'!$D:$AI,IF($J157=1,"ACTIVE     CED, FARM GATE (MJ/kg)","CED, processor gate (MJ/kg)"),INDIRECT($K157)),GETPIVOTDATA(IF($J157=1,"Average of ACTIVE     CED, FARM GATE (MJ/kg)","Average of CED, processor gate (MJ/kg)"),'[1]Pivot Table_CED'!$A$3,"SUB TYPE",$B157))</f>
        <v/>
      </c>
      <c r="O157" s="92">
        <f>IF($L157="PROXY",DSTDEV('[1]literature entries'!D:AI,IF($J157=1,"ACTIVE     CED, FARM GATE (MJ/kg)","CED, processor gate (MJ/kg)"),INDIRECT($K157)),GETPIVOTDATA(IF($J157=1,"StdDev of ACTIVE     CED, FARM GATE (MJ/kg)","StdDev of CED, processor gate (MJ/kg)"),'[1]Pivot Table_CED'!$A$3,"SUB TYPE",$B157))</f>
        <v/>
      </c>
      <c r="P157" s="90">
        <f>IF(ISERROR(GETPIVOTDATA(IF($J157=1,"Count of ACTIVE     GHGE, FARM GATE (kg CO2e/kg)","Count of GHGE, processor gate (kg CO2e/kg)"),'[1]Pivot Table_GHG'!$A$3,"SUB TYPE",$B157)),"PROXY",IF(GETPIVOTDATA(IF($J157=1,"Count of ACTIVE     GHGE, FARM GATE (kg CO2e/kg)","Count of GHGE, processor gate (kg CO2e/kg)"),'[1]Pivot Table_GHG'!$A$3,"SUB TYPE",$B157)=0,"PROXY","DB value"))</f>
        <v/>
      </c>
      <c r="Q157" s="93">
        <f>IF($P157="PROXY",DCOUNT('[1]literature entries'!$D:$AI,IF($J157=1,"ACTIVE     GHGE, FARM GATE (kg CO2e/kg)","GHGE, processor gate (kg CO2e/kg)"),INDIRECT($K157)),GETPIVOTDATA(IF($J157=1,"ACTIVE     GHGE, FARM GATE (kg CO2e/kg)","Count of GHGE, processor gate (kg CO2e/kg)"),'[1]Pivot Table_GHG'!$A$3,"SUB TYPE",$B157))</f>
        <v/>
      </c>
      <c r="R157" s="94">
        <f>IF($P157="PROXY",DAVERAGE('[1]literature entries'!$D:$AI,IF($J157=1,"ACTIVE     GHGE, FARM GATE (kg CO2e/kg)","GHGE, processor gate (kg CO2e/kg)"),INDIRECT($K157)),GETPIVOTDATA(IF($J157=1,"Average of ACTIVE     GHGE, FARM GATE (kg CO2e/kg)","Average of GHGE, processor gate (kg CO2e/kg)"),'[1]Pivot Table_GHG'!$A$3,"SUB TYPE",$B157))</f>
        <v/>
      </c>
      <c r="S157" s="94">
        <f>IF($P157="PROXY",DSTDEV('[1]literature entries'!$D:$AI,IF($J157=1,"ACTIVE     GHGE, FARM GATE (kg CO2e/kg)","GHGE, processor gate (kg CO2e/kg)"),INDIRECT($K157)),GETPIVOTDATA(IF($J157=1,"StdDev of ACTIVE     GHGE, FARM GATE (kg CO2e/kg)","StdDev of GHGE, processor gate (kg CO2e/kg)"),'[1]Pivot Table_GHG'!$A$3,"SUB TYPE",$B157))</f>
        <v/>
      </c>
      <c r="T157" s="107" t="n">
        <v>5.282</v>
      </c>
      <c r="U157" s="108" t="n">
        <v>0.9790791260799999</v>
      </c>
      <c r="V157" s="97" t="n"/>
      <c r="W157" s="98">
        <f>IF(L157="PROXY",IF(M157&gt;=5,K157,"need group"),IF(M157&gt;=5,"DIRECT","need group"))</f>
        <v/>
      </c>
      <c r="X157" s="98">
        <f>IF($W157="DIRECT",M157,DCOUNT('[1]literature entries'!$D:$AI,IF($J157=1,"ACTIVE     CED, FARM GATE (MJ/kg)","CED, processor gate (MJ/kg)"),INDIRECT($W157)))</f>
        <v/>
      </c>
      <c r="Y157" s="98">
        <f>IF($W157="DIRECT","",DAVERAGE('[1]literature entries'!$D:$AI,IF($J157=1,"ACTIVE     CED, FARM GATE (MJ/kg)","CED, processor gate (MJ/kg)"),INDIRECT($W157)))</f>
        <v/>
      </c>
      <c r="Z157" s="98">
        <f>IF($W157="DIRECT",$O157,DSTDEV('[1]literature entries'!$D:$AI,IF($J157=1,"ACTIVE     CED, FARM GATE (MJ/kg)","CED, processor gate (MJ/kg)"),INDIRECT($W157)))</f>
        <v/>
      </c>
      <c r="AA157" s="98">
        <f>IF($W157="DIRECT",$O157,$Z157/$Y157*$N157)</f>
        <v/>
      </c>
      <c r="AB157" s="99">
        <f>IF(P157="PROXY",IF(Q157&gt;=5,K157,"need group"),IF(Q157&gt;=5,"DIRECT","need group"))</f>
        <v/>
      </c>
      <c r="AC157" s="99">
        <f>IF($AB157="DIRECT",Q157,DCOUNT('[1]literature entries'!$D:$AI,IF($J157=1,"ACTIVE     GHGE, FARM GATE (kg CO2e/kg)","GHGE, processor gate (kg CO2e/kg)"),INDIRECT($AB157)))</f>
        <v/>
      </c>
      <c r="AD157" s="99">
        <f>IF($AB157="DIRECT","",DAVERAGE('[1]literature entries'!$D:$AI,IF($J157=1,"ACTIVE     GHGE, FARM GATE (kg CO2e/kg)","GHGE, processor gate (kg CO2e/kg)"),INDIRECT($AB157)))</f>
        <v/>
      </c>
      <c r="AE157" s="99">
        <f>IF($AB157="DIRECT",$S157,DSTDEV('[1]literature entries'!$D:$AI,IF($J157=1,"ACTIVE     GHGE, FARM GATE (kg CO2e/kg)","GHGE, processor gate (kg CO2e/kg)"),INDIRECT($AB157)))</f>
        <v/>
      </c>
      <c r="AF157" s="99">
        <f>IF($AB157="DIRECT",$S157,$AE157/$AD157*$R157)</f>
        <v/>
      </c>
    </row>
    <row r="158" ht="15.75" customHeight="1" s="201">
      <c r="A158" s="100" t="n">
        <v>1301058000</v>
      </c>
      <c r="B158" s="101" t="inlineStr">
        <is>
          <t>Boysenberry</t>
        </is>
      </c>
      <c r="C158" s="101" t="inlineStr">
        <is>
          <t>weight of berry</t>
        </is>
      </c>
      <c r="D158" s="101" t="n"/>
      <c r="E158" s="101" t="n">
        <v>6145</v>
      </c>
      <c r="F158" s="84">
        <f>N158*H158+T158</f>
        <v/>
      </c>
      <c r="G158" s="85">
        <f>R158*H158+U158</f>
        <v/>
      </c>
      <c r="H158" s="102" t="n">
        <v>1.04</v>
      </c>
      <c r="I158" s="102" t="inlineStr">
        <is>
          <t>FICRCD</t>
        </is>
      </c>
      <c r="J158" s="104" t="n">
        <v>1</v>
      </c>
      <c r="K158" s="89" t="inlineStr">
        <is>
          <t>berry</t>
        </is>
      </c>
      <c r="L158" s="90">
        <f>IF(ISERROR(GETPIVOTDATA(IF($J158=1,"Count of ACTIVE     CED, FARM GATE (MJ/kg)","Count of CED, processor gate (MJ/kg)"),'[1]Pivot Table_CED'!$A$3,"SUB TYPE",$B158)),"PROXY",IF(GETPIVOTDATA(IF($J158=1,"Count of ACTIVE     CED, FARM GATE (MJ/kg)","Count of CED, processor gate (MJ/kg)"),'[1]Pivot Table_CED'!$A$3,"SUB TYPE",$B158)=0,"PROXY","DB value"))</f>
        <v/>
      </c>
      <c r="M158" s="91">
        <f>IF($L158="PROXY",DCOUNT('[1]literature entries'!$D:$AI,IF($J158=1,"ACTIVE     CED, FARM GATE (MJ/kg)","CED, processor gate (MJ/kg)"),INDIRECT($K158)),GETPIVOTDATA(IF($J158=1,"Count of ACTIVE     CED, FARM GATE (MJ/kg)","Count of CED, processor gate (MJ/kg)"),'[1]Pivot Table_CED'!$A$3,"SUB TYPE",$B158))</f>
        <v/>
      </c>
      <c r="N158" s="92">
        <f>IF($L158="PROXY",DAVERAGE('[1]literature entries'!$D:$AI,IF($J158=1,"ACTIVE     CED, FARM GATE (MJ/kg)","CED, processor gate (MJ/kg)"),INDIRECT($K158)),GETPIVOTDATA(IF($J158=1,"Average of ACTIVE     CED, FARM GATE (MJ/kg)","Average of CED, processor gate (MJ/kg)"),'[1]Pivot Table_CED'!$A$3,"SUB TYPE",$B158))</f>
        <v/>
      </c>
      <c r="O158" s="92">
        <f>IF($L158="PROXY",DSTDEV('[1]literature entries'!D:AI,IF($J158=1,"ACTIVE     CED, FARM GATE (MJ/kg)","CED, processor gate (MJ/kg)"),INDIRECT($K158)),GETPIVOTDATA(IF($J158=1,"StdDev of ACTIVE     CED, FARM GATE (MJ/kg)","StdDev of CED, processor gate (MJ/kg)"),'[1]Pivot Table_CED'!$A$3,"SUB TYPE",$B158))</f>
        <v/>
      </c>
      <c r="P158" s="90">
        <f>IF(ISERROR(GETPIVOTDATA(IF($J158=1,"Count of ACTIVE     GHGE, FARM GATE (kg CO2e/kg)","Count of GHGE, processor gate (kg CO2e/kg)"),'[1]Pivot Table_GHG'!$A$3,"SUB TYPE",$B158)),"PROXY",IF(GETPIVOTDATA(IF($J158=1,"Count of ACTIVE     GHGE, FARM GATE (kg CO2e/kg)","Count of GHGE, processor gate (kg CO2e/kg)"),'[1]Pivot Table_GHG'!$A$3,"SUB TYPE",$B158)=0,"PROXY","DB value"))</f>
        <v/>
      </c>
      <c r="Q158" s="93">
        <f>IF($P158="PROXY",DCOUNT('[1]literature entries'!$D:$AI,IF($J158=1,"ACTIVE     GHGE, FARM GATE (kg CO2e/kg)","GHGE, processor gate (kg CO2e/kg)"),INDIRECT($K158)),GETPIVOTDATA(IF($J158=1,"ACTIVE     GHGE, FARM GATE (kg CO2e/kg)","Count of GHGE, processor gate (kg CO2e/kg)"),'[1]Pivot Table_GHG'!$A$3,"SUB TYPE",$B158))</f>
        <v/>
      </c>
      <c r="R158" s="94">
        <f>IF($P158="PROXY",DAVERAGE('[1]literature entries'!$D:$AI,IF($J158=1,"ACTIVE     GHGE, FARM GATE (kg CO2e/kg)","GHGE, processor gate (kg CO2e/kg)"),INDIRECT($K158)),GETPIVOTDATA(IF($J158=1,"Average of ACTIVE     GHGE, FARM GATE (kg CO2e/kg)","Average of GHGE, processor gate (kg CO2e/kg)"),'[1]Pivot Table_GHG'!$A$3,"SUB TYPE",$B158))</f>
        <v/>
      </c>
      <c r="S158" s="94">
        <f>IF($P158="PROXY",DSTDEV('[1]literature entries'!$D:$AI,IF($J158=1,"ACTIVE     GHGE, FARM GATE (kg CO2e/kg)","GHGE, processor gate (kg CO2e/kg)"),INDIRECT($K158)),GETPIVOTDATA(IF($J158=1,"StdDev of ACTIVE     GHGE, FARM GATE (kg CO2e/kg)","StdDev of GHGE, processor gate (kg CO2e/kg)"),'[1]Pivot Table_GHG'!$A$3,"SUB TYPE",$B158))</f>
        <v/>
      </c>
      <c r="T158" s="105" t="n"/>
      <c r="U158" s="106" t="n"/>
      <c r="V158" s="97" t="n"/>
      <c r="W158" s="98">
        <f>IF(L158="PROXY",IF(M158&gt;=5,K158,"need group"),IF(M158&gt;=5,"DIRECT","need group"))</f>
        <v/>
      </c>
      <c r="X158" s="98">
        <f>IF($W158="DIRECT",M158,DCOUNT('[1]literature entries'!$D:$AI,IF($J158=1,"ACTIVE     CED, FARM GATE (MJ/kg)","CED, processor gate (MJ/kg)"),INDIRECT($W158)))</f>
        <v/>
      </c>
      <c r="Y158" s="98">
        <f>IF($W158="DIRECT","",DAVERAGE('[1]literature entries'!$D:$AI,IF($J158=1,"ACTIVE     CED, FARM GATE (MJ/kg)","CED, processor gate (MJ/kg)"),INDIRECT($W158)))</f>
        <v/>
      </c>
      <c r="Z158" s="98">
        <f>IF($W158="DIRECT",$O158,DSTDEV('[1]literature entries'!$D:$AI,IF($J158=1,"ACTIVE     CED, FARM GATE (MJ/kg)","CED, processor gate (MJ/kg)"),INDIRECT($W158)))</f>
        <v/>
      </c>
      <c r="AA158" s="98">
        <f>IF($W158="DIRECT",$O158,$Z158/$Y158*$N158)</f>
        <v/>
      </c>
      <c r="AB158" s="99">
        <f>IF(P158="PROXY",IF(Q158&gt;=5,K158,"need group"),IF(Q158&gt;=5,"DIRECT","need group"))</f>
        <v/>
      </c>
      <c r="AC158" s="99">
        <f>IF($AB158="DIRECT",Q158,DCOUNT('[1]literature entries'!$D:$AI,IF($J158=1,"ACTIVE     GHGE, FARM GATE (kg CO2e/kg)","GHGE, processor gate (kg CO2e/kg)"),INDIRECT($AB158)))</f>
        <v/>
      </c>
      <c r="AD158" s="99">
        <f>IF($AB158="DIRECT","",DAVERAGE('[1]literature entries'!$D:$AI,IF($J158=1,"ACTIVE     GHGE, FARM GATE (kg CO2e/kg)","GHGE, processor gate (kg CO2e/kg)"),INDIRECT($AB158)))</f>
        <v/>
      </c>
      <c r="AE158" s="99">
        <f>IF($AB158="DIRECT",$S158,DSTDEV('[1]literature entries'!$D:$AI,IF($J158=1,"ACTIVE     GHGE, FARM GATE (kg CO2e/kg)","GHGE, processor gate (kg CO2e/kg)"),INDIRECT($AB158)))</f>
        <v/>
      </c>
      <c r="AF158" s="99">
        <f>IF($AB158="DIRECT",$S158,$AE158/$AD158*$R158)</f>
        <v/>
      </c>
    </row>
    <row r="159" ht="15.75" customHeight="1" s="201">
      <c r="A159" s="100" t="n">
        <v>1301320000</v>
      </c>
      <c r="B159" s="101" t="inlineStr">
        <is>
          <t>Raspberry</t>
        </is>
      </c>
      <c r="C159" s="101" t="inlineStr">
        <is>
          <t>weight of berry</t>
        </is>
      </c>
      <c r="D159" s="101" t="inlineStr">
        <is>
          <t>Includes black raspberry, red raspberry, bababerry, blackcap, framboise, frambueso, himbeere, keriberry, mayberry, thimbleberry, tulameen, yellow raspberry.</t>
        </is>
      </c>
      <c r="E159" s="101" t="n">
        <v>11006</v>
      </c>
      <c r="F159" s="84">
        <f>N159*H159+T159</f>
        <v/>
      </c>
      <c r="G159" s="85">
        <f>R159*H159+U159</f>
        <v/>
      </c>
      <c r="H159" s="102" t="n">
        <v>1.04</v>
      </c>
      <c r="I159" s="102" t="inlineStr">
        <is>
          <t>FICRCD</t>
        </is>
      </c>
      <c r="J159" s="104" t="n">
        <v>1</v>
      </c>
      <c r="K159" s="89" t="n"/>
      <c r="L159" s="90">
        <f>IF(ISERROR(GETPIVOTDATA(IF($J159=1,"Count of ACTIVE     CED, FARM GATE (MJ/kg)","Count of CED, processor gate (MJ/kg)"),'[1]Pivot Table_CED'!$A$3,"SUB TYPE",$B159)),"PROXY",IF(GETPIVOTDATA(IF($J159=1,"Count of ACTIVE     CED, FARM GATE (MJ/kg)","Count of CED, processor gate (MJ/kg)"),'[1]Pivot Table_CED'!$A$3,"SUB TYPE",$B159)=0,"PROXY","DB value"))</f>
        <v/>
      </c>
      <c r="M159" s="91">
        <f>IF($L159="PROXY",DCOUNT('[1]literature entries'!$D:$AI,IF($J159=1,"ACTIVE     CED, FARM GATE (MJ/kg)","CED, processor gate (MJ/kg)"),INDIRECT($K159)),GETPIVOTDATA(IF($J159=1,"Count of ACTIVE     CED, FARM GATE (MJ/kg)","Count of CED, processor gate (MJ/kg)"),'[1]Pivot Table_CED'!$A$3,"SUB TYPE",$B159))</f>
        <v/>
      </c>
      <c r="N159" s="92">
        <f>IF($L159="PROXY",DAVERAGE('[1]literature entries'!$D:$AI,IF($J159=1,"ACTIVE     CED, FARM GATE (MJ/kg)","CED, processor gate (MJ/kg)"),INDIRECT($K159)),GETPIVOTDATA(IF($J159=1,"Average of ACTIVE     CED, FARM GATE (MJ/kg)","Average of CED, processor gate (MJ/kg)"),'[1]Pivot Table_CED'!$A$3,"SUB TYPE",$B159))</f>
        <v/>
      </c>
      <c r="O159" s="92">
        <f>IF($L159="PROXY",DSTDEV('[1]literature entries'!D:AI,IF($J159=1,"ACTIVE     CED, FARM GATE (MJ/kg)","CED, processor gate (MJ/kg)"),INDIRECT($K159)),GETPIVOTDATA(IF($J159=1,"StdDev of ACTIVE     CED, FARM GATE (MJ/kg)","StdDev of CED, processor gate (MJ/kg)"),'[1]Pivot Table_CED'!$A$3,"SUB TYPE",$B159))</f>
        <v/>
      </c>
      <c r="P159" s="90">
        <f>IF(ISERROR(GETPIVOTDATA(IF($J159=1,"Count of ACTIVE     GHGE, FARM GATE (kg CO2e/kg)","Count of GHGE, processor gate (kg CO2e/kg)"),'[1]Pivot Table_GHG'!$A$3,"SUB TYPE",$B159)),"PROXY",IF(GETPIVOTDATA(IF($J159=1,"Count of ACTIVE     GHGE, FARM GATE (kg CO2e/kg)","Count of GHGE, processor gate (kg CO2e/kg)"),'[1]Pivot Table_GHG'!$A$3,"SUB TYPE",$B159)=0,"PROXY","DB value"))</f>
        <v/>
      </c>
      <c r="Q159" s="93">
        <f>IF($P159="PROXY",DCOUNT('[1]literature entries'!$D:$AI,IF($J159=1,"ACTIVE     GHGE, FARM GATE (kg CO2e/kg)","GHGE, processor gate (kg CO2e/kg)"),INDIRECT($K159)),GETPIVOTDATA(IF($J159=1,"ACTIVE     GHGE, FARM GATE (kg CO2e/kg)","Count of GHGE, processor gate (kg CO2e/kg)"),'[1]Pivot Table_GHG'!$A$3,"SUB TYPE",$B159))</f>
        <v/>
      </c>
      <c r="R159" s="94">
        <f>IF($P159="PROXY",DAVERAGE('[1]literature entries'!$D:$AI,IF($J159=1,"ACTIVE     GHGE, FARM GATE (kg CO2e/kg)","GHGE, processor gate (kg CO2e/kg)"),INDIRECT($K159)),GETPIVOTDATA(IF($J159=1,"Average of ACTIVE     GHGE, FARM GATE (kg CO2e/kg)","Average of GHGE, processor gate (kg CO2e/kg)"),'[1]Pivot Table_GHG'!$A$3,"SUB TYPE",$B159))</f>
        <v/>
      </c>
      <c r="S159" s="94">
        <f>IF($P159="PROXY",DSTDEV('[1]literature entries'!$D:$AI,IF($J159=1,"ACTIVE     GHGE, FARM GATE (kg CO2e/kg)","GHGE, processor gate (kg CO2e/kg)"),INDIRECT($K159)),GETPIVOTDATA(IF($J159=1,"StdDev of ACTIVE     GHGE, FARM GATE (kg CO2e/kg)","StdDev of GHGE, processor gate (kg CO2e/kg)"),'[1]Pivot Table_GHG'!$A$3,"SUB TYPE",$B159))</f>
        <v/>
      </c>
      <c r="T159" s="105" t="n"/>
      <c r="U159" s="106" t="n"/>
      <c r="V159" s="97" t="n"/>
      <c r="W159" s="98" t="inlineStr">
        <is>
          <t>berry</t>
        </is>
      </c>
      <c r="X159" s="98">
        <f>IF($W159="DIRECT",M159,DCOUNT('[1]literature entries'!$D:$AI,IF($J159=1,"ACTIVE     CED, FARM GATE (MJ/kg)","CED, processor gate (MJ/kg)"),INDIRECT($W159)))</f>
        <v/>
      </c>
      <c r="Y159" s="98">
        <f>IF($W159="DIRECT","",DAVERAGE('[1]literature entries'!$D:$AI,IF($J159=1,"ACTIVE     CED, FARM GATE (MJ/kg)","CED, processor gate (MJ/kg)"),INDIRECT($W159)))</f>
        <v/>
      </c>
      <c r="Z159" s="98">
        <f>IF($W159="DIRECT",$O159,DSTDEV('[1]literature entries'!$D:$AI,IF($J159=1,"ACTIVE     CED, FARM GATE (MJ/kg)","CED, processor gate (MJ/kg)"),INDIRECT($W159)))</f>
        <v/>
      </c>
      <c r="AA159" s="98">
        <f>IF($W159="DIRECT",$O159,$Z159/$Y159*$N159)</f>
        <v/>
      </c>
      <c r="AB159" s="99" t="inlineStr">
        <is>
          <t>berry</t>
        </is>
      </c>
      <c r="AC159" s="99">
        <f>IF($AB159="DIRECT",Q159,DCOUNT('[1]literature entries'!$D:$AI,IF($J159=1,"ACTIVE     GHGE, FARM GATE (kg CO2e/kg)","GHGE, processor gate (kg CO2e/kg)"),INDIRECT($AB159)))</f>
        <v/>
      </c>
      <c r="AD159" s="99">
        <f>IF($AB159="DIRECT","",DAVERAGE('[1]literature entries'!$D:$AI,IF($J159=1,"ACTIVE     GHGE, FARM GATE (kg CO2e/kg)","GHGE, processor gate (kg CO2e/kg)"),INDIRECT($AB159)))</f>
        <v/>
      </c>
      <c r="AE159" s="99">
        <f>IF($AB159="DIRECT",$S159,DSTDEV('[1]literature entries'!$D:$AI,IF($J159=1,"ACTIVE     GHGE, FARM GATE (kg CO2e/kg)","GHGE, processor gate (kg CO2e/kg)"),INDIRECT($AB159)))</f>
        <v/>
      </c>
      <c r="AF159" s="99">
        <f>IF($AB159="DIRECT",$S159,$AE159/$AD159*$R159)</f>
        <v/>
      </c>
    </row>
    <row r="160" ht="15.75" customHeight="1" s="201">
      <c r="A160" s="100" t="n">
        <v>1301321000</v>
      </c>
      <c r="B160" s="101" t="inlineStr">
        <is>
          <t>Raspberry, juice</t>
        </is>
      </c>
      <c r="C160" s="101" t="inlineStr">
        <is>
          <t>weight of juice at single strength (or standard dilution)</t>
        </is>
      </c>
      <c r="D160" s="101" t="inlineStr">
        <is>
          <t>Includes black raspberry, red raspberry, bababerry, blackcap, framboise, frambueso, himbeere, keriberry, mayberry, thimbleberry, tulameen, yellow raspberry.</t>
        </is>
      </c>
      <c r="E160" s="101" t="n">
        <v>6120</v>
      </c>
      <c r="F160" s="84">
        <f>N160*H160+T160</f>
        <v/>
      </c>
      <c r="G160" s="85">
        <f>R160*H160+U160</f>
        <v/>
      </c>
      <c r="H160" s="102" t="n">
        <v>1</v>
      </c>
      <c r="I160" s="103" t="inlineStr">
        <is>
          <t>None</t>
        </is>
      </c>
      <c r="J160" s="104" t="n">
        <v>1</v>
      </c>
      <c r="K160" s="89" t="inlineStr">
        <is>
          <t>berry</t>
        </is>
      </c>
      <c r="L160" s="90">
        <f>IF(ISERROR(GETPIVOTDATA(IF($J160=1,"Count of ACTIVE     CED, FARM GATE (MJ/kg)","Count of CED, processor gate (MJ/kg)"),'[1]Pivot Table_CED'!$A$3,"SUB TYPE",$B160)),"PROXY",IF(GETPIVOTDATA(IF($J160=1,"Count of ACTIVE     CED, FARM GATE (MJ/kg)","Count of CED, processor gate (MJ/kg)"),'[1]Pivot Table_CED'!$A$3,"SUB TYPE",$B160)=0,"PROXY","DB value"))</f>
        <v/>
      </c>
      <c r="M160" s="91">
        <f>IF($L160="PROXY",DCOUNT('[1]literature entries'!$D:$AI,IF($J160=1,"ACTIVE     CED, FARM GATE (MJ/kg)","CED, processor gate (MJ/kg)"),INDIRECT($K160)),GETPIVOTDATA(IF($J160=1,"Count of ACTIVE     CED, FARM GATE (MJ/kg)","Count of CED, processor gate (MJ/kg)"),'[1]Pivot Table_CED'!$A$3,"SUB TYPE",$B160))</f>
        <v/>
      </c>
      <c r="N160" s="92">
        <f>IF($L160="PROXY",DAVERAGE('[1]literature entries'!$D:$AI,IF($J160=1,"ACTIVE     CED, FARM GATE (MJ/kg)","CED, processor gate (MJ/kg)"),INDIRECT($K160)),GETPIVOTDATA(IF($J160=1,"Average of ACTIVE     CED, FARM GATE (MJ/kg)","Average of CED, processor gate (MJ/kg)"),'[1]Pivot Table_CED'!$A$3,"SUB TYPE",$B160))</f>
        <v/>
      </c>
      <c r="O160" s="92">
        <f>IF($L160="PROXY",DSTDEV('[1]literature entries'!D:AI,IF($J160=1,"ACTIVE     CED, FARM GATE (MJ/kg)","CED, processor gate (MJ/kg)"),INDIRECT($K160)),GETPIVOTDATA(IF($J160=1,"StdDev of ACTIVE     CED, FARM GATE (MJ/kg)","StdDev of CED, processor gate (MJ/kg)"),'[1]Pivot Table_CED'!$A$3,"SUB TYPE",$B160))</f>
        <v/>
      </c>
      <c r="P160" s="90">
        <f>IF(ISERROR(GETPIVOTDATA(IF($J160=1,"Count of ACTIVE     GHGE, FARM GATE (kg CO2e/kg)","Count of GHGE, processor gate (kg CO2e/kg)"),'[1]Pivot Table_GHG'!$A$3,"SUB TYPE",$B160)),"PROXY",IF(GETPIVOTDATA(IF($J160=1,"Count of ACTIVE     GHGE, FARM GATE (kg CO2e/kg)","Count of GHGE, processor gate (kg CO2e/kg)"),'[1]Pivot Table_GHG'!$A$3,"SUB TYPE",$B160)=0,"PROXY","DB value"))</f>
        <v/>
      </c>
      <c r="Q160" s="93">
        <f>IF($P160="PROXY",DCOUNT('[1]literature entries'!$D:$AI,IF($J160=1,"ACTIVE     GHGE, FARM GATE (kg CO2e/kg)","GHGE, processor gate (kg CO2e/kg)"),INDIRECT($K160)),GETPIVOTDATA(IF($J160=1,"ACTIVE     GHGE, FARM GATE (kg CO2e/kg)","Count of GHGE, processor gate (kg CO2e/kg)"),'[1]Pivot Table_GHG'!$A$3,"SUB TYPE",$B160))</f>
        <v/>
      </c>
      <c r="R160" s="94">
        <f>IF($P160="PROXY",DAVERAGE('[1]literature entries'!$D:$AI,IF($J160=1,"ACTIVE     GHGE, FARM GATE (kg CO2e/kg)","GHGE, processor gate (kg CO2e/kg)"),INDIRECT($K160)),GETPIVOTDATA(IF($J160=1,"Average of ACTIVE     GHGE, FARM GATE (kg CO2e/kg)","Average of GHGE, processor gate (kg CO2e/kg)"),'[1]Pivot Table_GHG'!$A$3,"SUB TYPE",$B160))</f>
        <v/>
      </c>
      <c r="S160" s="94">
        <f>IF($P160="PROXY",DSTDEV('[1]literature entries'!$D:$AI,IF($J160=1,"ACTIVE     GHGE, FARM GATE (kg CO2e/kg)","GHGE, processor gate (kg CO2e/kg)"),INDIRECT($K160)),GETPIVOTDATA(IF($J160=1,"StdDev of ACTIVE     GHGE, FARM GATE (kg CO2e/kg)","StdDev of GHGE, processor gate (kg CO2e/kg)"),'[1]Pivot Table_GHG'!$A$3,"SUB TYPE",$B160))</f>
        <v/>
      </c>
      <c r="T160" s="107" t="n">
        <v>5.282</v>
      </c>
      <c r="U160" s="108" t="n">
        <v>0.9790791260799999</v>
      </c>
      <c r="V160" s="97" t="n"/>
      <c r="W160" s="98">
        <f>IF(L160="PROXY",IF(M160&gt;=5,K160,"need group"),IF(M160&gt;=5,"DIRECT","need group"))</f>
        <v/>
      </c>
      <c r="X160" s="98">
        <f>IF($W160="DIRECT",M160,DCOUNT('[1]literature entries'!$D:$AI,IF($J160=1,"ACTIVE     CED, FARM GATE (MJ/kg)","CED, processor gate (MJ/kg)"),INDIRECT($W160)))</f>
        <v/>
      </c>
      <c r="Y160" s="98">
        <f>IF($W160="DIRECT","",DAVERAGE('[1]literature entries'!$D:$AI,IF($J160=1,"ACTIVE     CED, FARM GATE (MJ/kg)","CED, processor gate (MJ/kg)"),INDIRECT($W160)))</f>
        <v/>
      </c>
      <c r="Z160" s="98">
        <f>IF($W160="DIRECT",$O160,DSTDEV('[1]literature entries'!$D:$AI,IF($J160=1,"ACTIVE     CED, FARM GATE (MJ/kg)","CED, processor gate (MJ/kg)"),INDIRECT($W160)))</f>
        <v/>
      </c>
      <c r="AA160" s="98">
        <f>IF($W160="DIRECT",$O160,$Z160/$Y160*$N160)</f>
        <v/>
      </c>
      <c r="AB160" s="99">
        <f>IF(P160="PROXY",IF(Q160&gt;=5,K160,"need group"),IF(Q160&gt;=5,"DIRECT","need group"))</f>
        <v/>
      </c>
      <c r="AC160" s="99">
        <f>IF($AB160="DIRECT",Q160,DCOUNT('[1]literature entries'!$D:$AI,IF($J160=1,"ACTIVE     GHGE, FARM GATE (kg CO2e/kg)","GHGE, processor gate (kg CO2e/kg)"),INDIRECT($AB160)))</f>
        <v/>
      </c>
      <c r="AD160" s="99">
        <f>IF($AB160="DIRECT","",DAVERAGE('[1]literature entries'!$D:$AI,IF($J160=1,"ACTIVE     GHGE, FARM GATE (kg CO2e/kg)","GHGE, processor gate (kg CO2e/kg)"),INDIRECT($AB160)))</f>
        <v/>
      </c>
      <c r="AE160" s="99">
        <f>IF($AB160="DIRECT",$S160,DSTDEV('[1]literature entries'!$D:$AI,IF($J160=1,"ACTIVE     GHGE, FARM GATE (kg CO2e/kg)","GHGE, processor gate (kg CO2e/kg)"),INDIRECT($AB160)))</f>
        <v/>
      </c>
      <c r="AF160" s="99">
        <f>IF($AB160="DIRECT",$S160,$AE160/$AD160*$R160)</f>
        <v/>
      </c>
    </row>
    <row r="161" ht="15.75" customHeight="1" s="201">
      <c r="A161" s="100" t="n">
        <v>1302057000</v>
      </c>
      <c r="B161" s="101" t="inlineStr">
        <is>
          <t>Blueberry</t>
        </is>
      </c>
      <c r="C161" s="101" t="inlineStr">
        <is>
          <t>weight of berry</t>
        </is>
      </c>
      <c r="D161" s="101" t="inlineStr">
        <is>
          <t>Includes highbush blueberry and lowbush blueberry.</t>
        </is>
      </c>
      <c r="E161" s="101" t="n">
        <v>16469</v>
      </c>
      <c r="F161" s="84">
        <f>N161*H161+T161</f>
        <v/>
      </c>
      <c r="G161" s="85">
        <f>R161*H161+U161</f>
        <v/>
      </c>
      <c r="H161" s="102" t="n">
        <v>1.05</v>
      </c>
      <c r="I161" s="102" t="inlineStr">
        <is>
          <t>FICRCD</t>
        </is>
      </c>
      <c r="J161" s="104" t="n">
        <v>1</v>
      </c>
      <c r="K161" s="89" t="n"/>
      <c r="L161" s="90">
        <f>IF(ISERROR(GETPIVOTDATA(IF($J161=1,"Count of ACTIVE     CED, FARM GATE (MJ/kg)","Count of CED, processor gate (MJ/kg)"),'[1]Pivot Table_CED'!$A$3,"SUB TYPE",$B161)),"PROXY",IF(GETPIVOTDATA(IF($J161=1,"Count of ACTIVE     CED, FARM GATE (MJ/kg)","Count of CED, processor gate (MJ/kg)"),'[1]Pivot Table_CED'!$A$3,"SUB TYPE",$B161)=0,"PROXY","DB value"))</f>
        <v/>
      </c>
      <c r="M161" s="91">
        <f>IF($L161="PROXY",DCOUNT('[1]literature entries'!$D:$AI,IF($J161=1,"ACTIVE     CED, FARM GATE (MJ/kg)","CED, processor gate (MJ/kg)"),INDIRECT($K161)),GETPIVOTDATA(IF($J161=1,"Count of ACTIVE     CED, FARM GATE (MJ/kg)","Count of CED, processor gate (MJ/kg)"),'[1]Pivot Table_CED'!$A$3,"SUB TYPE",$B161))</f>
        <v/>
      </c>
      <c r="N161" s="92">
        <f>IF($L161="PROXY",DAVERAGE('[1]literature entries'!$D:$AI,IF($J161=1,"ACTIVE     CED, FARM GATE (MJ/kg)","CED, processor gate (MJ/kg)"),INDIRECT($K161)),GETPIVOTDATA(IF($J161=1,"Average of ACTIVE     CED, FARM GATE (MJ/kg)","Average of CED, processor gate (MJ/kg)"),'[1]Pivot Table_CED'!$A$3,"SUB TYPE",$B161))</f>
        <v/>
      </c>
      <c r="O161" s="92">
        <f>IF($L161="PROXY",DSTDEV('[1]literature entries'!D:AI,IF($J161=1,"ACTIVE     CED, FARM GATE (MJ/kg)","CED, processor gate (MJ/kg)"),INDIRECT($K161)),GETPIVOTDATA(IF($J161=1,"StdDev of ACTIVE     CED, FARM GATE (MJ/kg)","StdDev of CED, processor gate (MJ/kg)"),'[1]Pivot Table_CED'!$A$3,"SUB TYPE",$B161))</f>
        <v/>
      </c>
      <c r="P161" s="90">
        <f>IF(ISERROR(GETPIVOTDATA(IF($J161=1,"Count of ACTIVE     GHGE, FARM GATE (kg CO2e/kg)","Count of GHGE, processor gate (kg CO2e/kg)"),'[1]Pivot Table_GHG'!$A$3,"SUB TYPE",$B161)),"PROXY",IF(GETPIVOTDATA(IF($J161=1,"Count of ACTIVE     GHGE, FARM GATE (kg CO2e/kg)","Count of GHGE, processor gate (kg CO2e/kg)"),'[1]Pivot Table_GHG'!$A$3,"SUB TYPE",$B161)=0,"PROXY","DB value"))</f>
        <v/>
      </c>
      <c r="Q161" s="93">
        <f>IF($P161="PROXY",DCOUNT('[1]literature entries'!$D:$AI,IF($J161=1,"ACTIVE     GHGE, FARM GATE (kg CO2e/kg)","GHGE, processor gate (kg CO2e/kg)"),INDIRECT($K161)),GETPIVOTDATA(IF($J161=1,"ACTIVE     GHGE, FARM GATE (kg CO2e/kg)","Count of GHGE, processor gate (kg CO2e/kg)"),'[1]Pivot Table_GHG'!$A$3,"SUB TYPE",$B161))</f>
        <v/>
      </c>
      <c r="R161" s="94">
        <f>IF($P161="PROXY",DAVERAGE('[1]literature entries'!$D:$AI,IF($J161=1,"ACTIVE     GHGE, FARM GATE (kg CO2e/kg)","GHGE, processor gate (kg CO2e/kg)"),INDIRECT($K161)),GETPIVOTDATA(IF($J161=1,"Average of ACTIVE     GHGE, FARM GATE (kg CO2e/kg)","Average of GHGE, processor gate (kg CO2e/kg)"),'[1]Pivot Table_GHG'!$A$3,"SUB TYPE",$B161))</f>
        <v/>
      </c>
      <c r="S161" s="94">
        <f>IF($P161="PROXY",DSTDEV('[1]literature entries'!$D:$AI,IF($J161=1,"ACTIVE     GHGE, FARM GATE (kg CO2e/kg)","GHGE, processor gate (kg CO2e/kg)"),INDIRECT($K161)),GETPIVOTDATA(IF($J161=1,"StdDev of ACTIVE     GHGE, FARM GATE (kg CO2e/kg)","StdDev of GHGE, processor gate (kg CO2e/kg)"),'[1]Pivot Table_GHG'!$A$3,"SUB TYPE",$B161))</f>
        <v/>
      </c>
      <c r="T161" s="105" t="n"/>
      <c r="U161" s="106" t="n"/>
      <c r="V161" s="97" t="n"/>
      <c r="W161" s="98" t="inlineStr">
        <is>
          <t>berry</t>
        </is>
      </c>
      <c r="X161" s="98">
        <f>IF($W161="DIRECT",M161,DCOUNT('[1]literature entries'!$D:$AI,IF($J161=1,"ACTIVE     CED, FARM GATE (MJ/kg)","CED, processor gate (MJ/kg)"),INDIRECT($W161)))</f>
        <v/>
      </c>
      <c r="Y161" s="98">
        <f>IF($W161="DIRECT","",DAVERAGE('[1]literature entries'!$D:$AI,IF($J161=1,"ACTIVE     CED, FARM GATE (MJ/kg)","CED, processor gate (MJ/kg)"),INDIRECT($W161)))</f>
        <v/>
      </c>
      <c r="Z161" s="98">
        <f>IF($W161="DIRECT",$O161,DSTDEV('[1]literature entries'!$D:$AI,IF($J161=1,"ACTIVE     CED, FARM GATE (MJ/kg)","CED, processor gate (MJ/kg)"),INDIRECT($W161)))</f>
        <v/>
      </c>
      <c r="AA161" s="98">
        <f>IF($W161="DIRECT",$O161,$Z161/$Y161*$N161)</f>
        <v/>
      </c>
      <c r="AB161" s="99" t="inlineStr">
        <is>
          <t>berry</t>
        </is>
      </c>
      <c r="AC161" s="99">
        <f>IF($AB161="DIRECT",Q161,DCOUNT('[1]literature entries'!$D:$AI,IF($J161=1,"ACTIVE     GHGE, FARM GATE (kg CO2e/kg)","GHGE, processor gate (kg CO2e/kg)"),INDIRECT($AB161)))</f>
        <v/>
      </c>
      <c r="AD161" s="99">
        <f>IF($AB161="DIRECT","",DAVERAGE('[1]literature entries'!$D:$AI,IF($J161=1,"ACTIVE     GHGE, FARM GATE (kg CO2e/kg)","GHGE, processor gate (kg CO2e/kg)"),INDIRECT($AB161)))</f>
        <v/>
      </c>
      <c r="AE161" s="99">
        <f>IF($AB161="DIRECT",$S161,DSTDEV('[1]literature entries'!$D:$AI,IF($J161=1,"ACTIVE     GHGE, FARM GATE (kg CO2e/kg)","GHGE, processor gate (kg CO2e/kg)"),INDIRECT($AB161)))</f>
        <v/>
      </c>
      <c r="AF161" s="99">
        <f>IF($AB161="DIRECT",$S161,$AE161/$AD161*$R161)</f>
        <v/>
      </c>
    </row>
    <row r="162" ht="15.75" customHeight="1" s="201">
      <c r="A162" s="100" t="n">
        <v>1302137000</v>
      </c>
      <c r="B162" s="101" t="inlineStr">
        <is>
          <t>Currant, dried</t>
        </is>
      </c>
      <c r="C162" s="101" t="inlineStr">
        <is>
          <t>dry weight of berry</t>
        </is>
      </c>
      <c r="D162" s="101" t="inlineStr">
        <is>
          <t>Includes red and black currants.</t>
        </is>
      </c>
      <c r="E162" s="101" t="n">
        <v>17</v>
      </c>
      <c r="F162" s="84">
        <f>N162*H162+T162</f>
        <v/>
      </c>
      <c r="G162" s="85">
        <f>R162*H162+U162</f>
        <v/>
      </c>
      <c r="H162" s="102" t="n">
        <v>1</v>
      </c>
      <c r="I162" s="102" t="inlineStr">
        <is>
          <t>none</t>
        </is>
      </c>
      <c r="J162" s="104" t="n">
        <v>1</v>
      </c>
      <c r="K162" s="89" t="inlineStr">
        <is>
          <t>grape_raisin</t>
        </is>
      </c>
      <c r="L162" s="90">
        <f>IF(ISERROR(GETPIVOTDATA(IF($J162=1,"Count of ACTIVE     CED, FARM GATE (MJ/kg)","Count of CED, processor gate (MJ/kg)"),'[1]Pivot Table_CED'!$A$3,"SUB TYPE",$B162)),"PROXY",IF(GETPIVOTDATA(IF($J162=1,"Count of ACTIVE     CED, FARM GATE (MJ/kg)","Count of CED, processor gate (MJ/kg)"),'[1]Pivot Table_CED'!$A$3,"SUB TYPE",$B162)=0,"PROXY","DB value"))</f>
        <v/>
      </c>
      <c r="M162" s="91">
        <f>IF($L162="PROXY",DCOUNT('[1]literature entries'!$D:$AI,IF($J162=1,"ACTIVE     CED, FARM GATE (MJ/kg)","CED, processor gate (MJ/kg)"),INDIRECT($K162)),GETPIVOTDATA(IF($J162=1,"Count of ACTIVE     CED, FARM GATE (MJ/kg)","Count of CED, processor gate (MJ/kg)"),'[1]Pivot Table_CED'!$A$3,"SUB TYPE",$B162))</f>
        <v/>
      </c>
      <c r="N162" s="92">
        <f>IF($L162="PROXY",DAVERAGE('[1]literature entries'!$D:$AI,IF($J162=1,"ACTIVE     CED, FARM GATE (MJ/kg)","CED, processor gate (MJ/kg)"),INDIRECT($K162)),GETPIVOTDATA(IF($J162=1,"Average of ACTIVE     CED, FARM GATE (MJ/kg)","Average of CED, processor gate (MJ/kg)"),'[1]Pivot Table_CED'!$A$3,"SUB TYPE",$B162))</f>
        <v/>
      </c>
      <c r="O162" s="92">
        <f>IF($L162="PROXY",DSTDEV('[1]literature entries'!D:AI,IF($J162=1,"ACTIVE     CED, FARM GATE (MJ/kg)","CED, processor gate (MJ/kg)"),INDIRECT($K162)),GETPIVOTDATA(IF($J162=1,"StdDev of ACTIVE     CED, FARM GATE (MJ/kg)","StdDev of CED, processor gate (MJ/kg)"),'[1]Pivot Table_CED'!$A$3,"SUB TYPE",$B162))</f>
        <v/>
      </c>
      <c r="P162" s="90">
        <f>IF(ISERROR(GETPIVOTDATA(IF($J162=1,"Count of ACTIVE     GHGE, FARM GATE (kg CO2e/kg)","Count of GHGE, processor gate (kg CO2e/kg)"),'[1]Pivot Table_GHG'!$A$3,"SUB TYPE",$B162)),"PROXY",IF(GETPIVOTDATA(IF($J162=1,"Count of ACTIVE     GHGE, FARM GATE (kg CO2e/kg)","Count of GHGE, processor gate (kg CO2e/kg)"),'[1]Pivot Table_GHG'!$A$3,"SUB TYPE",$B162)=0,"PROXY","DB value"))</f>
        <v/>
      </c>
      <c r="Q162" s="93">
        <f>IF($P162="PROXY",DCOUNT('[1]literature entries'!$D:$AI,IF($J162=1,"ACTIVE     GHGE, FARM GATE (kg CO2e/kg)","GHGE, processor gate (kg CO2e/kg)"),INDIRECT($K162)),GETPIVOTDATA(IF($J162=1,"ACTIVE     GHGE, FARM GATE (kg CO2e/kg)","Count of GHGE, processor gate (kg CO2e/kg)"),'[1]Pivot Table_GHG'!$A$3,"SUB TYPE",$B162))</f>
        <v/>
      </c>
      <c r="R162" s="94">
        <f>IF($P162="PROXY",DAVERAGE('[1]literature entries'!$D:$AI,IF($J162=1,"ACTIVE     GHGE, FARM GATE (kg CO2e/kg)","GHGE, processor gate (kg CO2e/kg)"),INDIRECT($K162)),GETPIVOTDATA(IF($J162=1,"Average of ACTIVE     GHGE, FARM GATE (kg CO2e/kg)","Average of GHGE, processor gate (kg CO2e/kg)"),'[1]Pivot Table_GHG'!$A$3,"SUB TYPE",$B162))</f>
        <v/>
      </c>
      <c r="S162" s="94">
        <f>IF($P162="PROXY",DSTDEV('[1]literature entries'!$D:$AI,IF($J162=1,"ACTIVE     GHGE, FARM GATE (kg CO2e/kg)","GHGE, processor gate (kg CO2e/kg)"),INDIRECT($K162)),GETPIVOTDATA(IF($J162=1,"StdDev of ACTIVE     GHGE, FARM GATE (kg CO2e/kg)","StdDev of GHGE, processor gate (kg CO2e/kg)"),'[1]Pivot Table_GHG'!$A$3,"SUB TYPE",$B162))</f>
        <v/>
      </c>
      <c r="T162" s="105" t="n"/>
      <c r="U162" s="106" t="n"/>
      <c r="V162" s="97" t="n"/>
      <c r="W162" s="98" t="inlineStr">
        <is>
          <t>berry</t>
        </is>
      </c>
      <c r="X162" s="98">
        <f>IF($W162="DIRECT",M162,DCOUNT('[1]literature entries'!$D:$AI,IF($J162=1,"ACTIVE     CED, FARM GATE (MJ/kg)","CED, processor gate (MJ/kg)"),INDIRECT($W162)))</f>
        <v/>
      </c>
      <c r="Y162" s="98">
        <f>IF($W162="DIRECT","",DAVERAGE('[1]literature entries'!$D:$AI,IF($J162=1,"ACTIVE     CED, FARM GATE (MJ/kg)","CED, processor gate (MJ/kg)"),INDIRECT($W162)))</f>
        <v/>
      </c>
      <c r="Z162" s="98">
        <f>IF($W162="DIRECT",$O162,DSTDEV('[1]literature entries'!$D:$AI,IF($J162=1,"ACTIVE     CED, FARM GATE (MJ/kg)","CED, processor gate (MJ/kg)"),INDIRECT($W162)))</f>
        <v/>
      </c>
      <c r="AA162" s="98">
        <f>IF($W162="DIRECT",$O162,$Z162/$Y162*$N162)</f>
        <v/>
      </c>
      <c r="AB162" s="99" t="inlineStr">
        <is>
          <t>berry</t>
        </is>
      </c>
      <c r="AC162" s="99">
        <f>IF($AB162="DIRECT",Q162,DCOUNT('[1]literature entries'!$D:$AI,IF($J162=1,"ACTIVE     GHGE, FARM GATE (kg CO2e/kg)","GHGE, processor gate (kg CO2e/kg)"),INDIRECT($AB162)))</f>
        <v/>
      </c>
      <c r="AD162" s="99">
        <f>IF($AB162="DIRECT","",DAVERAGE('[1]literature entries'!$D:$AI,IF($J162=1,"ACTIVE     GHGE, FARM GATE (kg CO2e/kg)","GHGE, processor gate (kg CO2e/kg)"),INDIRECT($AB162)))</f>
        <v/>
      </c>
      <c r="AE162" s="99">
        <f>IF($AB162="DIRECT",$S162,DSTDEV('[1]literature entries'!$D:$AI,IF($J162=1,"ACTIVE     GHGE, FARM GATE (kg CO2e/kg)","GHGE, processor gate (kg CO2e/kg)"),INDIRECT($AB162)))</f>
        <v/>
      </c>
      <c r="AF162" s="99">
        <f>IF($AB162="DIRECT",$S162,$AE162/$AD162*$R162)</f>
        <v/>
      </c>
    </row>
    <row r="163" ht="15.75" customHeight="1" s="201">
      <c r="A163" s="100" t="n">
        <v>1302174000</v>
      </c>
      <c r="B163" s="101" t="inlineStr">
        <is>
          <t>Gooseberry</t>
        </is>
      </c>
      <c r="C163" s="101" t="inlineStr">
        <is>
          <t>weight of berry</t>
        </is>
      </c>
      <c r="D163" s="101" t="n"/>
      <c r="E163" s="101" t="n">
        <v>15</v>
      </c>
      <c r="F163" s="84">
        <f>N163*H163+T163</f>
        <v/>
      </c>
      <c r="G163" s="85">
        <f>R163*H163+U163</f>
        <v/>
      </c>
      <c r="H163" s="102" t="n">
        <v>1</v>
      </c>
      <c r="I163" s="103" t="inlineStr">
        <is>
          <t>None</t>
        </is>
      </c>
      <c r="J163" s="104" t="n">
        <v>1</v>
      </c>
      <c r="K163" s="89" t="inlineStr">
        <is>
          <t>berry</t>
        </is>
      </c>
      <c r="L163" s="90">
        <f>IF(ISERROR(GETPIVOTDATA(IF($J163=1,"Count of ACTIVE     CED, FARM GATE (MJ/kg)","Count of CED, processor gate (MJ/kg)"),'[1]Pivot Table_CED'!$A$3,"SUB TYPE",$B163)),"PROXY",IF(GETPIVOTDATA(IF($J163=1,"Count of ACTIVE     CED, FARM GATE (MJ/kg)","Count of CED, processor gate (MJ/kg)"),'[1]Pivot Table_CED'!$A$3,"SUB TYPE",$B163)=0,"PROXY","DB value"))</f>
        <v/>
      </c>
      <c r="M163" s="91">
        <f>IF($L163="PROXY",DCOUNT('[1]literature entries'!$D:$AI,IF($J163=1,"ACTIVE     CED, FARM GATE (MJ/kg)","CED, processor gate (MJ/kg)"),INDIRECT($K163)),GETPIVOTDATA(IF($J163=1,"Count of ACTIVE     CED, FARM GATE (MJ/kg)","Count of CED, processor gate (MJ/kg)"),'[1]Pivot Table_CED'!$A$3,"SUB TYPE",$B163))</f>
        <v/>
      </c>
      <c r="N163" s="92">
        <f>IF($L163="PROXY",DAVERAGE('[1]literature entries'!$D:$AI,IF($J163=1,"ACTIVE     CED, FARM GATE (MJ/kg)","CED, processor gate (MJ/kg)"),INDIRECT($K163)),GETPIVOTDATA(IF($J163=1,"Average of ACTIVE     CED, FARM GATE (MJ/kg)","Average of CED, processor gate (MJ/kg)"),'[1]Pivot Table_CED'!$A$3,"SUB TYPE",$B163))</f>
        <v/>
      </c>
      <c r="O163" s="92">
        <f>IF($L163="PROXY",DSTDEV('[1]literature entries'!D:AI,IF($J163=1,"ACTIVE     CED, FARM GATE (MJ/kg)","CED, processor gate (MJ/kg)"),INDIRECT($K163)),GETPIVOTDATA(IF($J163=1,"StdDev of ACTIVE     CED, FARM GATE (MJ/kg)","StdDev of CED, processor gate (MJ/kg)"),'[1]Pivot Table_CED'!$A$3,"SUB TYPE",$B163))</f>
        <v/>
      </c>
      <c r="P163" s="90">
        <f>IF(ISERROR(GETPIVOTDATA(IF($J163=1,"Count of ACTIVE     GHGE, FARM GATE (kg CO2e/kg)","Count of GHGE, processor gate (kg CO2e/kg)"),'[1]Pivot Table_GHG'!$A$3,"SUB TYPE",$B163)),"PROXY",IF(GETPIVOTDATA(IF($J163=1,"Count of ACTIVE     GHGE, FARM GATE (kg CO2e/kg)","Count of GHGE, processor gate (kg CO2e/kg)"),'[1]Pivot Table_GHG'!$A$3,"SUB TYPE",$B163)=0,"PROXY","DB value"))</f>
        <v/>
      </c>
      <c r="Q163" s="93">
        <f>IF($P163="PROXY",DCOUNT('[1]literature entries'!$D:$AI,IF($J163=1,"ACTIVE     GHGE, FARM GATE (kg CO2e/kg)","GHGE, processor gate (kg CO2e/kg)"),INDIRECT($K163)),GETPIVOTDATA(IF($J163=1,"ACTIVE     GHGE, FARM GATE (kg CO2e/kg)","Count of GHGE, processor gate (kg CO2e/kg)"),'[1]Pivot Table_GHG'!$A$3,"SUB TYPE",$B163))</f>
        <v/>
      </c>
      <c r="R163" s="94">
        <f>IF($P163="PROXY",DAVERAGE('[1]literature entries'!$D:$AI,IF($J163=1,"ACTIVE     GHGE, FARM GATE (kg CO2e/kg)","GHGE, processor gate (kg CO2e/kg)"),INDIRECT($K163)),GETPIVOTDATA(IF($J163=1,"Average of ACTIVE     GHGE, FARM GATE (kg CO2e/kg)","Average of GHGE, processor gate (kg CO2e/kg)"),'[1]Pivot Table_GHG'!$A$3,"SUB TYPE",$B163))</f>
        <v/>
      </c>
      <c r="S163" s="94">
        <f>IF($P163="PROXY",DSTDEV('[1]literature entries'!$D:$AI,IF($J163=1,"ACTIVE     GHGE, FARM GATE (kg CO2e/kg)","GHGE, processor gate (kg CO2e/kg)"),INDIRECT($K163)),GETPIVOTDATA(IF($J163=1,"StdDev of ACTIVE     GHGE, FARM GATE (kg CO2e/kg)","StdDev of GHGE, processor gate (kg CO2e/kg)"),'[1]Pivot Table_GHG'!$A$3,"SUB TYPE",$B163))</f>
        <v/>
      </c>
      <c r="T163" s="105" t="n"/>
      <c r="U163" s="106" t="n"/>
      <c r="V163" s="97" t="n"/>
      <c r="W163" s="98">
        <f>IF(L163="PROXY",IF(M163&gt;=5,K163,"need group"),IF(M163&gt;=5,"DIRECT","need group"))</f>
        <v/>
      </c>
      <c r="X163" s="98">
        <f>IF($W163="DIRECT",M163,DCOUNT('[1]literature entries'!$D:$AI,IF($J163=1,"ACTIVE     CED, FARM GATE (MJ/kg)","CED, processor gate (MJ/kg)"),INDIRECT($W163)))</f>
        <v/>
      </c>
      <c r="Y163" s="98">
        <f>IF($W163="DIRECT","",DAVERAGE('[1]literature entries'!$D:$AI,IF($J163=1,"ACTIVE     CED, FARM GATE (MJ/kg)","CED, processor gate (MJ/kg)"),INDIRECT($W163)))</f>
        <v/>
      </c>
      <c r="Z163" s="98">
        <f>IF($W163="DIRECT",$O163,DSTDEV('[1]literature entries'!$D:$AI,IF($J163=1,"ACTIVE     CED, FARM GATE (MJ/kg)","CED, processor gate (MJ/kg)"),INDIRECT($W163)))</f>
        <v/>
      </c>
      <c r="AA163" s="98">
        <f>IF($W163="DIRECT",$O163,$Z163/$Y163*$N163)</f>
        <v/>
      </c>
      <c r="AB163" s="99" t="inlineStr">
        <is>
          <t>berry</t>
        </is>
      </c>
      <c r="AC163" s="99">
        <f>IF($AB163="DIRECT",Q163,DCOUNT('[1]literature entries'!$D:$AI,IF($J163=1,"ACTIVE     GHGE, FARM GATE (kg CO2e/kg)","GHGE, processor gate (kg CO2e/kg)"),INDIRECT($AB163)))</f>
        <v/>
      </c>
      <c r="AD163" s="99">
        <f>IF($AB163="DIRECT","",DAVERAGE('[1]literature entries'!$D:$AI,IF($J163=1,"ACTIVE     GHGE, FARM GATE (kg CO2e/kg)","GHGE, processor gate (kg CO2e/kg)"),INDIRECT($AB163)))</f>
        <v/>
      </c>
      <c r="AE163" s="99">
        <f>IF($AB163="DIRECT",$S163,DSTDEV('[1]literature entries'!$D:$AI,IF($J163=1,"ACTIVE     GHGE, FARM GATE (kg CO2e/kg)","GHGE, processor gate (kg CO2e/kg)"),INDIRECT($AB163)))</f>
        <v/>
      </c>
      <c r="AF163" s="99">
        <f>IF($AB163="DIRECT",$S163,$AE163/$AD163*$R163)</f>
        <v/>
      </c>
    </row>
    <row r="164" ht="15.75" customHeight="1" s="201">
      <c r="A164" s="100" t="n">
        <v>1302191000</v>
      </c>
      <c r="B164" s="101" t="inlineStr">
        <is>
          <t>Huckleberry</t>
        </is>
      </c>
      <c r="C164" s="101" t="inlineStr">
        <is>
          <t>weight of berry</t>
        </is>
      </c>
      <c r="D164" s="101" t="n"/>
      <c r="E164" s="101" t="n">
        <v>36</v>
      </c>
      <c r="F164" s="84">
        <f>N164*H164+T164</f>
        <v/>
      </c>
      <c r="G164" s="85">
        <f>R164*H164+U164</f>
        <v/>
      </c>
      <c r="H164" s="102" t="n">
        <v>1.05</v>
      </c>
      <c r="I164" s="102" t="inlineStr">
        <is>
          <t>FICRCD</t>
        </is>
      </c>
      <c r="J164" s="104" t="n">
        <v>1</v>
      </c>
      <c r="K164" s="89" t="inlineStr">
        <is>
          <t>berry</t>
        </is>
      </c>
      <c r="L164" s="90">
        <f>IF(ISERROR(GETPIVOTDATA(IF($J164=1,"Count of ACTIVE     CED, FARM GATE (MJ/kg)","Count of CED, processor gate (MJ/kg)"),'[1]Pivot Table_CED'!$A$3,"SUB TYPE",$B164)),"PROXY",IF(GETPIVOTDATA(IF($J164=1,"Count of ACTIVE     CED, FARM GATE (MJ/kg)","Count of CED, processor gate (MJ/kg)"),'[1]Pivot Table_CED'!$A$3,"SUB TYPE",$B164)=0,"PROXY","DB value"))</f>
        <v/>
      </c>
      <c r="M164" s="91">
        <f>IF($L164="PROXY",DCOUNT('[1]literature entries'!$D:$AI,IF($J164=1,"ACTIVE     CED, FARM GATE (MJ/kg)","CED, processor gate (MJ/kg)"),INDIRECT($K164)),GETPIVOTDATA(IF($J164=1,"Count of ACTIVE     CED, FARM GATE (MJ/kg)","Count of CED, processor gate (MJ/kg)"),'[1]Pivot Table_CED'!$A$3,"SUB TYPE",$B164))</f>
        <v/>
      </c>
      <c r="N164" s="92">
        <f>IF($L164="PROXY",DAVERAGE('[1]literature entries'!$D:$AI,IF($J164=1,"ACTIVE     CED, FARM GATE (MJ/kg)","CED, processor gate (MJ/kg)"),INDIRECT($K164)),GETPIVOTDATA(IF($J164=1,"Average of ACTIVE     CED, FARM GATE (MJ/kg)","Average of CED, processor gate (MJ/kg)"),'[1]Pivot Table_CED'!$A$3,"SUB TYPE",$B164))</f>
        <v/>
      </c>
      <c r="O164" s="92">
        <f>IF($L164="PROXY",DSTDEV('[1]literature entries'!D:AI,IF($J164=1,"ACTIVE     CED, FARM GATE (MJ/kg)","CED, processor gate (MJ/kg)"),INDIRECT($K164)),GETPIVOTDATA(IF($J164=1,"StdDev of ACTIVE     CED, FARM GATE (MJ/kg)","StdDev of CED, processor gate (MJ/kg)"),'[1]Pivot Table_CED'!$A$3,"SUB TYPE",$B164))</f>
        <v/>
      </c>
      <c r="P164" s="90">
        <f>IF(ISERROR(GETPIVOTDATA(IF($J164=1,"Count of ACTIVE     GHGE, FARM GATE (kg CO2e/kg)","Count of GHGE, processor gate (kg CO2e/kg)"),'[1]Pivot Table_GHG'!$A$3,"SUB TYPE",$B164)),"PROXY",IF(GETPIVOTDATA(IF($J164=1,"Count of ACTIVE     GHGE, FARM GATE (kg CO2e/kg)","Count of GHGE, processor gate (kg CO2e/kg)"),'[1]Pivot Table_GHG'!$A$3,"SUB TYPE",$B164)=0,"PROXY","DB value"))</f>
        <v/>
      </c>
      <c r="Q164" s="93">
        <f>IF($P164="PROXY",DCOUNT('[1]literature entries'!$D:$AI,IF($J164=1,"ACTIVE     GHGE, FARM GATE (kg CO2e/kg)","GHGE, processor gate (kg CO2e/kg)"),INDIRECT($K164)),GETPIVOTDATA(IF($J164=1,"ACTIVE     GHGE, FARM GATE (kg CO2e/kg)","Count of GHGE, processor gate (kg CO2e/kg)"),'[1]Pivot Table_GHG'!$A$3,"SUB TYPE",$B164))</f>
        <v/>
      </c>
      <c r="R164" s="94">
        <f>IF($P164="PROXY",DAVERAGE('[1]literature entries'!$D:$AI,IF($J164=1,"ACTIVE     GHGE, FARM GATE (kg CO2e/kg)","GHGE, processor gate (kg CO2e/kg)"),INDIRECT($K164)),GETPIVOTDATA(IF($J164=1,"Average of ACTIVE     GHGE, FARM GATE (kg CO2e/kg)","Average of GHGE, processor gate (kg CO2e/kg)"),'[1]Pivot Table_GHG'!$A$3,"SUB TYPE",$B164))</f>
        <v/>
      </c>
      <c r="S164" s="94">
        <f>IF($P164="PROXY",DSTDEV('[1]literature entries'!$D:$AI,IF($J164=1,"ACTIVE     GHGE, FARM GATE (kg CO2e/kg)","GHGE, processor gate (kg CO2e/kg)"),INDIRECT($K164)),GETPIVOTDATA(IF($J164=1,"StdDev of ACTIVE     GHGE, FARM GATE (kg CO2e/kg)","StdDev of GHGE, processor gate (kg CO2e/kg)"),'[1]Pivot Table_GHG'!$A$3,"SUB TYPE",$B164))</f>
        <v/>
      </c>
      <c r="T164" s="105" t="n"/>
      <c r="U164" s="106" t="n"/>
      <c r="V164" s="97" t="n"/>
      <c r="W164" s="98">
        <f>IF(L164="PROXY",IF(M164&gt;=5,K164,"need group"),IF(M164&gt;=5,"DIRECT","need group"))</f>
        <v/>
      </c>
      <c r="X164" s="98">
        <f>IF($W164="DIRECT",M164,DCOUNT('[1]literature entries'!$D:$AI,IF($J164=1,"ACTIVE     CED, FARM GATE (MJ/kg)","CED, processor gate (MJ/kg)"),INDIRECT($W164)))</f>
        <v/>
      </c>
      <c r="Y164" s="98">
        <f>IF($W164="DIRECT","",DAVERAGE('[1]literature entries'!$D:$AI,IF($J164=1,"ACTIVE     CED, FARM GATE (MJ/kg)","CED, processor gate (MJ/kg)"),INDIRECT($W164)))</f>
        <v/>
      </c>
      <c r="Z164" s="98">
        <f>IF($W164="DIRECT",$O164,DSTDEV('[1]literature entries'!$D:$AI,IF($J164=1,"ACTIVE     CED, FARM GATE (MJ/kg)","CED, processor gate (MJ/kg)"),INDIRECT($W164)))</f>
        <v/>
      </c>
      <c r="AA164" s="98">
        <f>IF($W164="DIRECT",$O164,$Z164/$Y164*$N164)</f>
        <v/>
      </c>
      <c r="AB164" s="99">
        <f>IF(P164="PROXY",IF(Q164&gt;=5,K164,"need group"),IF(Q164&gt;=5,"DIRECT","need group"))</f>
        <v/>
      </c>
      <c r="AC164" s="99">
        <f>IF($AB164="DIRECT",Q164,DCOUNT('[1]literature entries'!$D:$AI,IF($J164=1,"ACTIVE     GHGE, FARM GATE (kg CO2e/kg)","GHGE, processor gate (kg CO2e/kg)"),INDIRECT($AB164)))</f>
        <v/>
      </c>
      <c r="AD164" s="99">
        <f>IF($AB164="DIRECT","",DAVERAGE('[1]literature entries'!$D:$AI,IF($J164=1,"ACTIVE     GHGE, FARM GATE (kg CO2e/kg)","GHGE, processor gate (kg CO2e/kg)"),INDIRECT($AB164)))</f>
        <v/>
      </c>
      <c r="AE164" s="99">
        <f>IF($AB164="DIRECT",$S164,DSTDEV('[1]literature entries'!$D:$AI,IF($J164=1,"ACTIVE     GHGE, FARM GATE (kg CO2e/kg)","GHGE, processor gate (kg CO2e/kg)"),INDIRECT($AB164)))</f>
        <v/>
      </c>
      <c r="AF164" s="99">
        <f>IF($AB164="DIRECT",$S164,$AE164/$AD164*$R164)</f>
        <v/>
      </c>
    </row>
    <row r="165" ht="15.75" customHeight="1" s="201">
      <c r="A165" s="100" t="n">
        <v>1303227000</v>
      </c>
      <c r="B165" s="101" t="inlineStr">
        <is>
          <t>Mulberry</t>
        </is>
      </c>
      <c r="C165" s="101" t="inlineStr">
        <is>
          <t>weight of fruit</t>
        </is>
      </c>
      <c r="D165" s="101" t="inlineStr">
        <is>
          <t>Includes Juneberry.</t>
        </is>
      </c>
      <c r="E165" s="101" t="n">
        <v>1</v>
      </c>
      <c r="F165" s="84">
        <f>N165*H165+T165</f>
        <v/>
      </c>
      <c r="G165" s="85">
        <f>R165*H165+U165</f>
        <v/>
      </c>
      <c r="H165" s="102" t="n">
        <v>1.04</v>
      </c>
      <c r="I165" s="102" t="inlineStr">
        <is>
          <t>FICRCD</t>
        </is>
      </c>
      <c r="J165" s="104" t="n">
        <v>1</v>
      </c>
      <c r="K165" s="89" t="inlineStr">
        <is>
          <t>berry</t>
        </is>
      </c>
      <c r="L165" s="90">
        <f>IF(ISERROR(GETPIVOTDATA(IF($J165=1,"Count of ACTIVE     CED, FARM GATE (MJ/kg)","Count of CED, processor gate (MJ/kg)"),'[1]Pivot Table_CED'!$A$3,"SUB TYPE",$B165)),"PROXY",IF(GETPIVOTDATA(IF($J165=1,"Count of ACTIVE     CED, FARM GATE (MJ/kg)","Count of CED, processor gate (MJ/kg)"),'[1]Pivot Table_CED'!$A$3,"SUB TYPE",$B165)=0,"PROXY","DB value"))</f>
        <v/>
      </c>
      <c r="M165" s="91">
        <f>IF($L165="PROXY",DCOUNT('[1]literature entries'!$D:$AI,IF($J165=1,"ACTIVE     CED, FARM GATE (MJ/kg)","CED, processor gate (MJ/kg)"),INDIRECT($K165)),GETPIVOTDATA(IF($J165=1,"Count of ACTIVE     CED, FARM GATE (MJ/kg)","Count of CED, processor gate (MJ/kg)"),'[1]Pivot Table_CED'!$A$3,"SUB TYPE",$B165))</f>
        <v/>
      </c>
      <c r="N165" s="92">
        <f>IF($L165="PROXY",DAVERAGE('[1]literature entries'!$D:$AI,IF($J165=1,"ACTIVE     CED, FARM GATE (MJ/kg)","CED, processor gate (MJ/kg)"),INDIRECT($K165)),GETPIVOTDATA(IF($J165=1,"Average of ACTIVE     CED, FARM GATE (MJ/kg)","Average of CED, processor gate (MJ/kg)"),'[1]Pivot Table_CED'!$A$3,"SUB TYPE",$B165))</f>
        <v/>
      </c>
      <c r="O165" s="92">
        <f>IF($L165="PROXY",DSTDEV('[1]literature entries'!D:AI,IF($J165=1,"ACTIVE     CED, FARM GATE (MJ/kg)","CED, processor gate (MJ/kg)"),INDIRECT($K165)),GETPIVOTDATA(IF($J165=1,"StdDev of ACTIVE     CED, FARM GATE (MJ/kg)","StdDev of CED, processor gate (MJ/kg)"),'[1]Pivot Table_CED'!$A$3,"SUB TYPE",$B165))</f>
        <v/>
      </c>
      <c r="P165" s="90">
        <f>IF(ISERROR(GETPIVOTDATA(IF($J165=1,"Count of ACTIVE     GHGE, FARM GATE (kg CO2e/kg)","Count of GHGE, processor gate (kg CO2e/kg)"),'[1]Pivot Table_GHG'!$A$3,"SUB TYPE",$B165)),"PROXY",IF(GETPIVOTDATA(IF($J165=1,"Count of ACTIVE     GHGE, FARM GATE (kg CO2e/kg)","Count of GHGE, processor gate (kg CO2e/kg)"),'[1]Pivot Table_GHG'!$A$3,"SUB TYPE",$B165)=0,"PROXY","DB value"))</f>
        <v/>
      </c>
      <c r="Q165" s="93">
        <f>IF($P165="PROXY",DCOUNT('[1]literature entries'!$D:$AI,IF($J165=1,"ACTIVE     GHGE, FARM GATE (kg CO2e/kg)","GHGE, processor gate (kg CO2e/kg)"),INDIRECT($K165)),GETPIVOTDATA(IF($J165=1,"ACTIVE     GHGE, FARM GATE (kg CO2e/kg)","Count of GHGE, processor gate (kg CO2e/kg)"),'[1]Pivot Table_GHG'!$A$3,"SUB TYPE",$B165))</f>
        <v/>
      </c>
      <c r="R165" s="94">
        <f>IF($P165="PROXY",DAVERAGE('[1]literature entries'!$D:$AI,IF($J165=1,"ACTIVE     GHGE, FARM GATE (kg CO2e/kg)","GHGE, processor gate (kg CO2e/kg)"),INDIRECT($K165)),GETPIVOTDATA(IF($J165=1,"Average of ACTIVE     GHGE, FARM GATE (kg CO2e/kg)","Average of GHGE, processor gate (kg CO2e/kg)"),'[1]Pivot Table_GHG'!$A$3,"SUB TYPE",$B165))</f>
        <v/>
      </c>
      <c r="S165" s="94">
        <f>IF($P165="PROXY",DSTDEV('[1]literature entries'!$D:$AI,IF($J165=1,"ACTIVE     GHGE, FARM GATE (kg CO2e/kg)","GHGE, processor gate (kg CO2e/kg)"),INDIRECT($K165)),GETPIVOTDATA(IF($J165=1,"StdDev of ACTIVE     GHGE, FARM GATE (kg CO2e/kg)","StdDev of GHGE, processor gate (kg CO2e/kg)"),'[1]Pivot Table_GHG'!$A$3,"SUB TYPE",$B165))</f>
        <v/>
      </c>
      <c r="T165" s="105" t="n"/>
      <c r="U165" s="106" t="n"/>
      <c r="V165" s="97" t="n"/>
      <c r="W165" s="98">
        <f>IF(L165="PROXY",IF(M165&gt;=5,K165,"need group"),IF(M165&gt;=5,"DIRECT","need group"))</f>
        <v/>
      </c>
      <c r="X165" s="98">
        <f>IF($W165="DIRECT",M165,DCOUNT('[1]literature entries'!$D:$AI,IF($J165=1,"ACTIVE     CED, FARM GATE (MJ/kg)","CED, processor gate (MJ/kg)"),INDIRECT($W165)))</f>
        <v/>
      </c>
      <c r="Y165" s="98">
        <f>IF($W165="DIRECT","",DAVERAGE('[1]literature entries'!$D:$AI,IF($J165=1,"ACTIVE     CED, FARM GATE (MJ/kg)","CED, processor gate (MJ/kg)"),INDIRECT($W165)))</f>
        <v/>
      </c>
      <c r="Z165" s="98">
        <f>IF($W165="DIRECT",$O165,DSTDEV('[1]literature entries'!$D:$AI,IF($J165=1,"ACTIVE     CED, FARM GATE (MJ/kg)","CED, processor gate (MJ/kg)"),INDIRECT($W165)))</f>
        <v/>
      </c>
      <c r="AA165" s="98">
        <f>IF($W165="DIRECT",$O165,$Z165/$Y165*$N165)</f>
        <v/>
      </c>
      <c r="AB165" s="99">
        <f>IF(P165="PROXY",IF(Q165&gt;=5,K165,"need group"),IF(Q165&gt;=5,"DIRECT","need group"))</f>
        <v/>
      </c>
      <c r="AC165" s="99">
        <f>IF($AB165="DIRECT",Q165,DCOUNT('[1]literature entries'!$D:$AI,IF($J165=1,"ACTIVE     GHGE, FARM GATE (kg CO2e/kg)","GHGE, processor gate (kg CO2e/kg)"),INDIRECT($AB165)))</f>
        <v/>
      </c>
      <c r="AD165" s="99">
        <f>IF($AB165="DIRECT","",DAVERAGE('[1]literature entries'!$D:$AI,IF($J165=1,"ACTIVE     GHGE, FARM GATE (kg CO2e/kg)","GHGE, processor gate (kg CO2e/kg)"),INDIRECT($AB165)))</f>
        <v/>
      </c>
      <c r="AE165" s="99">
        <f>IF($AB165="DIRECT",$S165,DSTDEV('[1]literature entries'!$D:$AI,IF($J165=1,"ACTIVE     GHGE, FARM GATE (kg CO2e/kg)","GHGE, processor gate (kg CO2e/kg)"),INDIRECT($AB165)))</f>
        <v/>
      </c>
      <c r="AF165" s="99">
        <f>IF($AB165="DIRECT",$S165,$AE165/$AD165*$R165)</f>
        <v/>
      </c>
    </row>
    <row r="166" ht="15.75" customHeight="1" s="201">
      <c r="A166" s="100" t="n">
        <v>1304175000</v>
      </c>
      <c r="B166" s="101" t="inlineStr">
        <is>
          <t>Grape</t>
        </is>
      </c>
      <c r="C166" s="101" t="inlineStr">
        <is>
          <t>weight of grape, with skin, and with or without seeds</t>
        </is>
      </c>
      <c r="D166" s="101" t="inlineStr">
        <is>
          <t>Includes Muscadine.</t>
        </is>
      </c>
      <c r="E166" s="101" t="n">
        <v>5959</v>
      </c>
      <c r="F166" s="84">
        <f>N166*H166+T166</f>
        <v/>
      </c>
      <c r="G166" s="85">
        <f>R166*H166+U166</f>
        <v/>
      </c>
      <c r="H166" s="102" t="n">
        <v>1.04</v>
      </c>
      <c r="I166" s="102" t="inlineStr">
        <is>
          <t>FICRCD</t>
        </is>
      </c>
      <c r="J166" s="104" t="n">
        <v>1</v>
      </c>
      <c r="K166" s="89" t="n"/>
      <c r="L166" s="90">
        <f>IF(ISERROR(GETPIVOTDATA(IF($J166=1,"Count of ACTIVE     CED, FARM GATE (MJ/kg)","Count of CED, processor gate (MJ/kg)"),'[1]Pivot Table_CED'!$A$3,"SUB TYPE",$B166)),"PROXY",IF(GETPIVOTDATA(IF($J166=1,"Count of ACTIVE     CED, FARM GATE (MJ/kg)","Count of CED, processor gate (MJ/kg)"),'[1]Pivot Table_CED'!$A$3,"SUB TYPE",$B166)=0,"PROXY","DB value"))</f>
        <v/>
      </c>
      <c r="M166" s="91">
        <f>IF($L166="PROXY",DCOUNT('[1]literature entries'!$D:$AI,IF($J166=1,"ACTIVE     CED, FARM GATE (MJ/kg)","CED, processor gate (MJ/kg)"),INDIRECT($K166)),GETPIVOTDATA(IF($J166=1,"Count of ACTIVE     CED, FARM GATE (MJ/kg)","Count of CED, processor gate (MJ/kg)"),'[1]Pivot Table_CED'!$A$3,"SUB TYPE",$B166))</f>
        <v/>
      </c>
      <c r="N166" s="92">
        <f>IF($L166="PROXY",DAVERAGE('[1]literature entries'!$D:$AI,IF($J166=1,"ACTIVE     CED, FARM GATE (MJ/kg)","CED, processor gate (MJ/kg)"),INDIRECT($K166)),GETPIVOTDATA(IF($J166=1,"Average of ACTIVE     CED, FARM GATE (MJ/kg)","Average of CED, processor gate (MJ/kg)"),'[1]Pivot Table_CED'!$A$3,"SUB TYPE",$B166))</f>
        <v/>
      </c>
      <c r="O166" s="92">
        <f>IF($L166="PROXY",DSTDEV('[1]literature entries'!D:AI,IF($J166=1,"ACTIVE     CED, FARM GATE (MJ/kg)","CED, processor gate (MJ/kg)"),INDIRECT($K166)),GETPIVOTDATA(IF($J166=1,"StdDev of ACTIVE     CED, FARM GATE (MJ/kg)","StdDev of CED, processor gate (MJ/kg)"),'[1]Pivot Table_CED'!$A$3,"SUB TYPE",$B166))</f>
        <v/>
      </c>
      <c r="P166" s="90">
        <f>IF(ISERROR(GETPIVOTDATA(IF($J166=1,"Count of ACTIVE     GHGE, FARM GATE (kg CO2e/kg)","Count of GHGE, processor gate (kg CO2e/kg)"),'[1]Pivot Table_GHG'!$A$3,"SUB TYPE",$B166)),"PROXY",IF(GETPIVOTDATA(IF($J166=1,"Count of ACTIVE     GHGE, FARM GATE (kg CO2e/kg)","Count of GHGE, processor gate (kg CO2e/kg)"),'[1]Pivot Table_GHG'!$A$3,"SUB TYPE",$B166)=0,"PROXY","DB value"))</f>
        <v/>
      </c>
      <c r="Q166" s="93">
        <f>IF($P166="PROXY",DCOUNT('[1]literature entries'!$D:$AI,IF($J166=1,"ACTIVE     GHGE, FARM GATE (kg CO2e/kg)","GHGE, processor gate (kg CO2e/kg)"),INDIRECT($K166)),GETPIVOTDATA(IF($J166=1,"ACTIVE     GHGE, FARM GATE (kg CO2e/kg)","Count of GHGE, processor gate (kg CO2e/kg)"),'[1]Pivot Table_GHG'!$A$3,"SUB TYPE",$B166))</f>
        <v/>
      </c>
      <c r="R166" s="94">
        <f>IF($P166="PROXY",DAVERAGE('[1]literature entries'!$D:$AI,IF($J166=1,"ACTIVE     GHGE, FARM GATE (kg CO2e/kg)","GHGE, processor gate (kg CO2e/kg)"),INDIRECT($K166)),GETPIVOTDATA(IF($J166=1,"Average of ACTIVE     GHGE, FARM GATE (kg CO2e/kg)","Average of GHGE, processor gate (kg CO2e/kg)"),'[1]Pivot Table_GHG'!$A$3,"SUB TYPE",$B166))</f>
        <v/>
      </c>
      <c r="S166" s="94">
        <f>IF($P166="PROXY",DSTDEV('[1]literature entries'!$D:$AI,IF($J166=1,"ACTIVE     GHGE, FARM GATE (kg CO2e/kg)","GHGE, processor gate (kg CO2e/kg)"),INDIRECT($K166)),GETPIVOTDATA(IF($J166=1,"StdDev of ACTIVE     GHGE, FARM GATE (kg CO2e/kg)","StdDev of GHGE, processor gate (kg CO2e/kg)"),'[1]Pivot Table_GHG'!$A$3,"SUB TYPE",$B166))</f>
        <v/>
      </c>
      <c r="T166" s="105" t="n"/>
      <c r="U166" s="106" t="n"/>
      <c r="V166" s="97" t="n"/>
      <c r="W166" s="98" t="inlineStr">
        <is>
          <t>berry</t>
        </is>
      </c>
      <c r="X166" s="98">
        <f>IF($W166="DIRECT",M166,DCOUNT('[1]literature entries'!$D:$AI,IF($J166=1,"ACTIVE     CED, FARM GATE (MJ/kg)","CED, processor gate (MJ/kg)"),INDIRECT($W166)))</f>
        <v/>
      </c>
      <c r="Y166" s="98">
        <f>IF($W166="DIRECT","",DAVERAGE('[1]literature entries'!$D:$AI,IF($J166=1,"ACTIVE     CED, FARM GATE (MJ/kg)","CED, processor gate (MJ/kg)"),INDIRECT($W166)))</f>
        <v/>
      </c>
      <c r="Z166" s="98">
        <f>IF($W166="DIRECT",$O166,DSTDEV('[1]literature entries'!$D:$AI,IF($J166=1,"ACTIVE     CED, FARM GATE (MJ/kg)","CED, processor gate (MJ/kg)"),INDIRECT($W166)))</f>
        <v/>
      </c>
      <c r="AA166" s="98">
        <f>IF($W166="DIRECT",$O166,$Z166/$Y166*$N166)</f>
        <v/>
      </c>
      <c r="AB166" s="99" t="inlineStr">
        <is>
          <t>berry</t>
        </is>
      </c>
      <c r="AC166" s="99">
        <f>IF($AB166="DIRECT",Q166,DCOUNT('[1]literature entries'!$D:$AI,IF($J166=1,"ACTIVE     GHGE, FARM GATE (kg CO2e/kg)","GHGE, processor gate (kg CO2e/kg)"),INDIRECT($AB166)))</f>
        <v/>
      </c>
      <c r="AD166" s="99">
        <f>IF($AB166="DIRECT","",DAVERAGE('[1]literature entries'!$D:$AI,IF($J166=1,"ACTIVE     GHGE, FARM GATE (kg CO2e/kg)","GHGE, processor gate (kg CO2e/kg)"),INDIRECT($AB166)))</f>
        <v/>
      </c>
      <c r="AE166" s="99">
        <f>IF($AB166="DIRECT",$S166,DSTDEV('[1]literature entries'!$D:$AI,IF($J166=1,"ACTIVE     GHGE, FARM GATE (kg CO2e/kg)","GHGE, processor gate (kg CO2e/kg)"),INDIRECT($AB166)))</f>
        <v/>
      </c>
      <c r="AF166" s="99">
        <f>IF($AB166="DIRECT",$S166,$AE166/$AD166*$R166)</f>
        <v/>
      </c>
    </row>
    <row r="167" ht="15.75" customHeight="1" s="201">
      <c r="A167" s="100" t="n">
        <v>1304176000</v>
      </c>
      <c r="B167" s="101" t="inlineStr">
        <is>
          <t>Grape, juice</t>
        </is>
      </c>
      <c r="C167" s="101" t="inlineStr">
        <is>
          <t>weight of juice at single strength (or standard dilution)</t>
        </is>
      </c>
      <c r="D167" s="101" t="inlineStr">
        <is>
          <t>Includes hardy kiwifruit</t>
        </is>
      </c>
      <c r="E167" s="101" t="n">
        <v>12486</v>
      </c>
      <c r="F167" s="84">
        <f>N167*H167+T167</f>
        <v/>
      </c>
      <c r="G167" s="85">
        <f>R167*H167+U167</f>
        <v/>
      </c>
      <c r="H167" s="102" t="n">
        <v>1.3</v>
      </c>
      <c r="I167" s="102" t="inlineStr">
        <is>
          <t>FICRCD</t>
        </is>
      </c>
      <c r="J167" s="104" t="n">
        <v>1</v>
      </c>
      <c r="K167" s="89" t="inlineStr">
        <is>
          <t>Grape</t>
        </is>
      </c>
      <c r="L167" s="90">
        <f>IF(ISERROR(GETPIVOTDATA(IF($J167=1,"Count of ACTIVE     CED, FARM GATE (MJ/kg)","Count of CED, processor gate (MJ/kg)"),'[1]Pivot Table_CED'!$A$3,"SUB TYPE",$B167)),"PROXY",IF(GETPIVOTDATA(IF($J167=1,"Count of ACTIVE     CED, FARM GATE (MJ/kg)","Count of CED, processor gate (MJ/kg)"),'[1]Pivot Table_CED'!$A$3,"SUB TYPE",$B167)=0,"PROXY","DB value"))</f>
        <v/>
      </c>
      <c r="M167" s="91">
        <f>IF($L167="PROXY",DCOUNT('[1]literature entries'!$D:$AI,IF($J167=1,"ACTIVE     CED, FARM GATE (MJ/kg)","CED, processor gate (MJ/kg)"),INDIRECT($K167)),GETPIVOTDATA(IF($J167=1,"Count of ACTIVE     CED, FARM GATE (MJ/kg)","Count of CED, processor gate (MJ/kg)"),'[1]Pivot Table_CED'!$A$3,"SUB TYPE",$B167))</f>
        <v/>
      </c>
      <c r="N167" s="92">
        <f>IF($L167="PROXY",DAVERAGE('[1]literature entries'!$D:$AI,IF($J167=1,"ACTIVE     CED, FARM GATE (MJ/kg)","CED, processor gate (MJ/kg)"),INDIRECT($K167)),GETPIVOTDATA(IF($J167=1,"Average of ACTIVE     CED, FARM GATE (MJ/kg)","Average of CED, processor gate (MJ/kg)"),'[1]Pivot Table_CED'!$A$3,"SUB TYPE",$B167))</f>
        <v/>
      </c>
      <c r="O167" s="92">
        <f>IF($L167="PROXY",DSTDEV('[1]literature entries'!D:AI,IF($J167=1,"ACTIVE     CED, FARM GATE (MJ/kg)","CED, processor gate (MJ/kg)"),INDIRECT($K167)),GETPIVOTDATA(IF($J167=1,"StdDev of ACTIVE     CED, FARM GATE (MJ/kg)","StdDev of CED, processor gate (MJ/kg)"),'[1]Pivot Table_CED'!$A$3,"SUB TYPE",$B167))</f>
        <v/>
      </c>
      <c r="P167" s="90">
        <f>IF(ISERROR(GETPIVOTDATA(IF($J167=1,"Count of ACTIVE     GHGE, FARM GATE (kg CO2e/kg)","Count of GHGE, processor gate (kg CO2e/kg)"),'[1]Pivot Table_GHG'!$A$3,"SUB TYPE",$B167)),"PROXY",IF(GETPIVOTDATA(IF($J167=1,"Count of ACTIVE     GHGE, FARM GATE (kg CO2e/kg)","Count of GHGE, processor gate (kg CO2e/kg)"),'[1]Pivot Table_GHG'!$A$3,"SUB TYPE",$B167)=0,"PROXY","DB value"))</f>
        <v/>
      </c>
      <c r="Q167" s="93">
        <f>IF($P167="PROXY",DCOUNT('[1]literature entries'!$D:$AI,IF($J167=1,"ACTIVE     GHGE, FARM GATE (kg CO2e/kg)","GHGE, processor gate (kg CO2e/kg)"),INDIRECT($K167)),GETPIVOTDATA(IF($J167=1,"ACTIVE     GHGE, FARM GATE (kg CO2e/kg)","Count of GHGE, processor gate (kg CO2e/kg)"),'[1]Pivot Table_GHG'!$A$3,"SUB TYPE",$B167))</f>
        <v/>
      </c>
      <c r="R167" s="94">
        <f>IF($P167="PROXY",DAVERAGE('[1]literature entries'!$D:$AI,IF($J167=1,"ACTIVE     GHGE, FARM GATE (kg CO2e/kg)","GHGE, processor gate (kg CO2e/kg)"),INDIRECT($K167)),GETPIVOTDATA(IF($J167=1,"Average of ACTIVE     GHGE, FARM GATE (kg CO2e/kg)","Average of GHGE, processor gate (kg CO2e/kg)"),'[1]Pivot Table_GHG'!$A$3,"SUB TYPE",$B167))</f>
        <v/>
      </c>
      <c r="S167" s="94">
        <f>IF($P167="PROXY",DSTDEV('[1]literature entries'!$D:$AI,IF($J167=1,"ACTIVE     GHGE, FARM GATE (kg CO2e/kg)","GHGE, processor gate (kg CO2e/kg)"),INDIRECT($K167)),GETPIVOTDATA(IF($J167=1,"StdDev of ACTIVE     GHGE, FARM GATE (kg CO2e/kg)","StdDev of GHGE, processor gate (kg CO2e/kg)"),'[1]Pivot Table_GHG'!$A$3,"SUB TYPE",$B167))</f>
        <v/>
      </c>
      <c r="T167" s="107" t="n">
        <v>5.282</v>
      </c>
      <c r="U167" s="108" t="n">
        <v>0.9790791260799999</v>
      </c>
      <c r="V167" s="97" t="n"/>
      <c r="W167" s="98" t="inlineStr">
        <is>
          <t>berry</t>
        </is>
      </c>
      <c r="X167" s="98">
        <f>IF($W167="DIRECT",M167,DCOUNT('[1]literature entries'!$D:$AI,IF($J167=1,"ACTIVE     CED, FARM GATE (MJ/kg)","CED, processor gate (MJ/kg)"),INDIRECT($W167)))</f>
        <v/>
      </c>
      <c r="Y167" s="98">
        <f>IF($W167="DIRECT","",DAVERAGE('[1]literature entries'!$D:$AI,IF($J167=1,"ACTIVE     CED, FARM GATE (MJ/kg)","CED, processor gate (MJ/kg)"),INDIRECT($W167)))</f>
        <v/>
      </c>
      <c r="Z167" s="98">
        <f>IF($W167="DIRECT",$O167,DSTDEV('[1]literature entries'!$D:$AI,IF($J167=1,"ACTIVE     CED, FARM GATE (MJ/kg)","CED, processor gate (MJ/kg)"),INDIRECT($W167)))</f>
        <v/>
      </c>
      <c r="AA167" s="98">
        <f>IF($W167="DIRECT",$O167,$Z167/$Y167*$N167)</f>
        <v/>
      </c>
      <c r="AB167" s="99" t="inlineStr">
        <is>
          <t>berry</t>
        </is>
      </c>
      <c r="AC167" s="99">
        <f>IF($AB167="DIRECT",Q167,DCOUNT('[1]literature entries'!$D:$AI,IF($J167=1,"ACTIVE     GHGE, FARM GATE (kg CO2e/kg)","GHGE, processor gate (kg CO2e/kg)"),INDIRECT($AB167)))</f>
        <v/>
      </c>
      <c r="AD167" s="99">
        <f>IF($AB167="DIRECT","",DAVERAGE('[1]literature entries'!$D:$AI,IF($J167=1,"ACTIVE     GHGE, FARM GATE (kg CO2e/kg)","GHGE, processor gate (kg CO2e/kg)"),INDIRECT($AB167)))</f>
        <v/>
      </c>
      <c r="AE167" s="99">
        <f>IF($AB167="DIRECT",$S167,DSTDEV('[1]literature entries'!$D:$AI,IF($J167=1,"ACTIVE     GHGE, FARM GATE (kg CO2e/kg)","GHGE, processor gate (kg CO2e/kg)"),INDIRECT($AB167)))</f>
        <v/>
      </c>
      <c r="AF167" s="99">
        <f>IF($AB167="DIRECT",$S167,$AE167/$AD167*$R167)</f>
        <v/>
      </c>
    </row>
    <row r="168" ht="15.75" customHeight="1" s="201">
      <c r="A168" s="100" t="n">
        <v>1304178000</v>
      </c>
      <c r="B168" s="101" t="inlineStr">
        <is>
          <t>Grape, raisin</t>
        </is>
      </c>
      <c r="C168" s="101" t="inlineStr">
        <is>
          <t>dry weight of raisin</t>
        </is>
      </c>
      <c r="D168" s="101" t="inlineStr">
        <is>
          <t>Includes Zante currant.</t>
        </is>
      </c>
      <c r="E168" s="101" t="n">
        <v>8179</v>
      </c>
      <c r="F168" s="84">
        <f>N168*H168+T168</f>
        <v/>
      </c>
      <c r="G168" s="85">
        <f>R168*H168+U168</f>
        <v/>
      </c>
      <c r="H168" s="102" t="n">
        <v>1</v>
      </c>
      <c r="I168" s="103" t="inlineStr">
        <is>
          <t>none</t>
        </is>
      </c>
      <c r="J168" s="104" t="n">
        <v>1</v>
      </c>
      <c r="K168" s="89" t="n"/>
      <c r="L168" s="90">
        <f>IF(ISERROR(GETPIVOTDATA(IF($J168=1,"Count of ACTIVE     CED, FARM GATE (MJ/kg)","Count of CED, processor gate (MJ/kg)"),'[1]Pivot Table_CED'!$A$3,"SUB TYPE",$B168)),"PROXY",IF(GETPIVOTDATA(IF($J168=1,"Count of ACTIVE     CED, FARM GATE (MJ/kg)","Count of CED, processor gate (MJ/kg)"),'[1]Pivot Table_CED'!$A$3,"SUB TYPE",$B168)=0,"PROXY","DB value"))</f>
        <v/>
      </c>
      <c r="M168" s="91">
        <f>IF($L168="PROXY",DCOUNT('[1]literature entries'!$D:$AI,IF($J168=1,"ACTIVE     CED, FARM GATE (MJ/kg)","CED, processor gate (MJ/kg)"),INDIRECT($K168)),GETPIVOTDATA(IF($J168=1,"Count of ACTIVE     CED, FARM GATE (MJ/kg)","Count of CED, processor gate (MJ/kg)"),'[1]Pivot Table_CED'!$A$3,"SUB TYPE",$B168))</f>
        <v/>
      </c>
      <c r="N168" s="92">
        <f>IF($L168="PROXY",DAVERAGE('[1]literature entries'!$D:$AI,IF($J168=1,"ACTIVE     CED, FARM GATE (MJ/kg)","CED, processor gate (MJ/kg)"),INDIRECT($K168)),GETPIVOTDATA(IF($J168=1,"Average of ACTIVE     CED, FARM GATE (MJ/kg)","Average of CED, processor gate (MJ/kg)"),'[1]Pivot Table_CED'!$A$3,"SUB TYPE",$B168))</f>
        <v/>
      </c>
      <c r="O168" s="92">
        <f>IF($L168="PROXY",DSTDEV('[1]literature entries'!D:AI,IF($J168=1,"ACTIVE     CED, FARM GATE (MJ/kg)","CED, processor gate (MJ/kg)"),INDIRECT($K168)),GETPIVOTDATA(IF($J168=1,"StdDev of ACTIVE     CED, FARM GATE (MJ/kg)","StdDev of CED, processor gate (MJ/kg)"),'[1]Pivot Table_CED'!$A$3,"SUB TYPE",$B168))</f>
        <v/>
      </c>
      <c r="P168" s="90">
        <f>IF(ISERROR(GETPIVOTDATA(IF($J168=1,"Count of ACTIVE     GHGE, FARM GATE (kg CO2e/kg)","Count of GHGE, processor gate (kg CO2e/kg)"),'[1]Pivot Table_GHG'!$A$3,"SUB TYPE",$B168)),"PROXY",IF(GETPIVOTDATA(IF($J168=1,"Count of ACTIVE     GHGE, FARM GATE (kg CO2e/kg)","Count of GHGE, processor gate (kg CO2e/kg)"),'[1]Pivot Table_GHG'!$A$3,"SUB TYPE",$B168)=0,"PROXY","DB value"))</f>
        <v/>
      </c>
      <c r="Q168" s="93">
        <f>IF($P168="PROXY",DCOUNT('[1]literature entries'!$D:$AI,IF($J168=1,"ACTIVE     GHGE, FARM GATE (kg CO2e/kg)","GHGE, processor gate (kg CO2e/kg)"),INDIRECT($K168)),GETPIVOTDATA(IF($J168=1,"ACTIVE     GHGE, FARM GATE (kg CO2e/kg)","Count of GHGE, processor gate (kg CO2e/kg)"),'[1]Pivot Table_GHG'!$A$3,"SUB TYPE",$B168))</f>
        <v/>
      </c>
      <c r="R168" s="94">
        <f>IF($P168="PROXY",DAVERAGE('[1]literature entries'!$D:$AI,IF($J168=1,"ACTIVE     GHGE, FARM GATE (kg CO2e/kg)","GHGE, processor gate (kg CO2e/kg)"),INDIRECT($K168)),GETPIVOTDATA(IF($J168=1,"Average of ACTIVE     GHGE, FARM GATE (kg CO2e/kg)","Average of GHGE, processor gate (kg CO2e/kg)"),'[1]Pivot Table_GHG'!$A$3,"SUB TYPE",$B168))</f>
        <v/>
      </c>
      <c r="S168" s="94">
        <f>IF($P168="PROXY",DSTDEV('[1]literature entries'!$D:$AI,IF($J168=1,"ACTIVE     GHGE, FARM GATE (kg CO2e/kg)","GHGE, processor gate (kg CO2e/kg)"),INDIRECT($K168)),GETPIVOTDATA(IF($J168=1,"StdDev of ACTIVE     GHGE, FARM GATE (kg CO2e/kg)","StdDev of GHGE, processor gate (kg CO2e/kg)"),'[1]Pivot Table_GHG'!$A$3,"SUB TYPE",$B168))</f>
        <v/>
      </c>
      <c r="T168" s="105" t="n"/>
      <c r="U168" s="106" t="n"/>
      <c r="V168" s="97" t="n"/>
      <c r="W168" s="98" t="inlineStr">
        <is>
          <t>berry</t>
        </is>
      </c>
      <c r="X168" s="98">
        <f>IF($W168="DIRECT",M168,DCOUNT('[1]literature entries'!$D:$AI,IF($J168=1,"ACTIVE     CED, FARM GATE (MJ/kg)","CED, processor gate (MJ/kg)"),INDIRECT($W168)))</f>
        <v/>
      </c>
      <c r="Y168" s="98">
        <f>IF($W168="DIRECT","",DAVERAGE('[1]literature entries'!$D:$AI,IF($J168=1,"ACTIVE     CED, FARM GATE (MJ/kg)","CED, processor gate (MJ/kg)"),INDIRECT($W168)))</f>
        <v/>
      </c>
      <c r="Z168" s="98">
        <f>IF($W168="DIRECT",$O168,DSTDEV('[1]literature entries'!$D:$AI,IF($J168=1,"ACTIVE     CED, FARM GATE (MJ/kg)","CED, processor gate (MJ/kg)"),INDIRECT($W168)))</f>
        <v/>
      </c>
      <c r="AA168" s="98">
        <f>IF($W168="DIRECT",$O168,$Z168/$Y168*$N168)</f>
        <v/>
      </c>
      <c r="AB168" s="99" t="inlineStr">
        <is>
          <t>berry</t>
        </is>
      </c>
      <c r="AC168" s="99">
        <f>IF($AB168="DIRECT",Q168,DCOUNT('[1]literature entries'!$D:$AI,IF($J168=1,"ACTIVE     GHGE, FARM GATE (kg CO2e/kg)","GHGE, processor gate (kg CO2e/kg)"),INDIRECT($AB168)))</f>
        <v/>
      </c>
      <c r="AD168" s="99">
        <f>IF($AB168="DIRECT","",DAVERAGE('[1]literature entries'!$D:$AI,IF($J168=1,"ACTIVE     GHGE, FARM GATE (kg CO2e/kg)","GHGE, processor gate (kg CO2e/kg)"),INDIRECT($AB168)))</f>
        <v/>
      </c>
      <c r="AE168" s="99">
        <f>IF($AB168="DIRECT",$S168,DSTDEV('[1]literature entries'!$D:$AI,IF($J168=1,"ACTIVE     GHGE, FARM GATE (kg CO2e/kg)","GHGE, processor gate (kg CO2e/kg)"),INDIRECT($AB168)))</f>
        <v/>
      </c>
      <c r="AF168" s="99">
        <f>IF($AB168="DIRECT",$S168,$AE168/$AD168*$R168)</f>
        <v/>
      </c>
    </row>
    <row r="169" ht="15.75" customHeight="1" s="201">
      <c r="A169" s="100" t="n">
        <v>1304179000</v>
      </c>
      <c r="B169" s="101" t="inlineStr">
        <is>
          <t>Grape, wine and sherry</t>
        </is>
      </c>
      <c r="C169" s="101" t="inlineStr">
        <is>
          <t>weight of wine or sherry</t>
        </is>
      </c>
      <c r="D169" s="101" t="n"/>
      <c r="E169" s="101" t="n">
        <v>6014</v>
      </c>
      <c r="F169" s="84">
        <f>N169*H169+T169</f>
        <v/>
      </c>
      <c r="G169" s="85">
        <f>R169*H169+U169</f>
        <v/>
      </c>
      <c r="H169" s="102" t="n">
        <v>1</v>
      </c>
      <c r="I169" s="103" t="inlineStr">
        <is>
          <t>None</t>
        </is>
      </c>
      <c r="J169" s="113" t="n">
        <v>2</v>
      </c>
      <c r="K169" s="89" t="inlineStr">
        <is>
          <t>beer</t>
        </is>
      </c>
      <c r="L169" s="90">
        <f>IF(ISERROR(GETPIVOTDATA(IF($J169=1,"Count of ACTIVE     CED, FARM GATE (MJ/kg)","Count of CED, processor gate (MJ/kg)"),'[1]Pivot Table_CED'!$A$3,"SUB TYPE",$B169)),"PROXY",IF(GETPIVOTDATA(IF($J169=1,"Count of ACTIVE     CED, FARM GATE (MJ/kg)","Count of CED, processor gate (MJ/kg)"),'[1]Pivot Table_CED'!$A$3,"SUB TYPE",$B169)=0,"PROXY","DB value"))</f>
        <v/>
      </c>
      <c r="M169" s="91">
        <f>IF($L169="PROXY",DCOUNT('[1]literature entries'!$D:$AI,IF($J169=1,"ACTIVE     CED, FARM GATE (MJ/kg)","CED, processor gate (MJ/kg)"),INDIRECT($K169)),GETPIVOTDATA(IF($J169=1,"Count of ACTIVE     CED, FARM GATE (MJ/kg)","Count of CED, processor gate (MJ/kg)"),'[1]Pivot Table_CED'!$A$3,"SUB TYPE",$B169))</f>
        <v/>
      </c>
      <c r="N169" s="92">
        <f>IF($L169="PROXY",DAVERAGE('[1]literature entries'!$D:$AI,IF($J169=1,"ACTIVE     CED, FARM GATE (MJ/kg)","CED, processor gate (MJ/kg)"),INDIRECT($K169)),GETPIVOTDATA(IF($J169=1,"Average of ACTIVE     CED, FARM GATE (MJ/kg)","Average of CED, processor gate (MJ/kg)"),'[1]Pivot Table_CED'!$A$3,"SUB TYPE",$B169))</f>
        <v/>
      </c>
      <c r="O169" s="92">
        <f>IF($L169="PROXY",DSTDEV('[1]literature entries'!D:AI,IF($J169=1,"ACTIVE     CED, FARM GATE (MJ/kg)","CED, processor gate (MJ/kg)"),INDIRECT($K169)),GETPIVOTDATA(IF($J169=1,"StdDev of ACTIVE     CED, FARM GATE (MJ/kg)","StdDev of CED, processor gate (MJ/kg)"),'[1]Pivot Table_CED'!$A$3,"SUB TYPE",$B169))</f>
        <v/>
      </c>
      <c r="P169" s="90">
        <f>IF(ISERROR(GETPIVOTDATA(IF($J169=1,"Count of ACTIVE     GHGE, FARM GATE (kg CO2e/kg)","Count of GHGE, processor gate (kg CO2e/kg)"),'[1]Pivot Table_GHG'!$A$3,"SUB TYPE",$B169)),"PROXY",IF(GETPIVOTDATA(IF($J169=1,"Count of ACTIVE     GHGE, FARM GATE (kg CO2e/kg)","Count of GHGE, processor gate (kg CO2e/kg)"),'[1]Pivot Table_GHG'!$A$3,"SUB TYPE",$B169)=0,"PROXY","DB value"))</f>
        <v/>
      </c>
      <c r="Q169" s="93">
        <f>IF($P169="PROXY",DCOUNT('[1]literature entries'!$D:$AI,IF($J169=1,"ACTIVE     GHGE, FARM GATE (kg CO2e/kg)","GHGE, processor gate (kg CO2e/kg)"),INDIRECT($K169)),GETPIVOTDATA(IF($J169=1,"ACTIVE     GHGE, FARM GATE (kg CO2e/kg)","Count of GHGE, processor gate (kg CO2e/kg)"),'[1]Pivot Table_GHG'!$A$3,"SUB TYPE",$B169))</f>
        <v/>
      </c>
      <c r="R169" s="94">
        <f>IF($P169="PROXY",DAVERAGE('[1]literature entries'!$D:$AI,IF($J169=1,"ACTIVE     GHGE, FARM GATE (kg CO2e/kg)","GHGE, processor gate (kg CO2e/kg)"),INDIRECT($K169)),GETPIVOTDATA(IF($J169=1,"Average of ACTIVE     GHGE, FARM GATE (kg CO2e/kg)","Average of GHGE, processor gate (kg CO2e/kg)"),'[1]Pivot Table_GHG'!$A$3,"SUB TYPE",$B169))</f>
        <v/>
      </c>
      <c r="S169" s="94">
        <f>IF($P169="PROXY",DSTDEV('[1]literature entries'!$D:$AI,IF($J169=1,"ACTIVE     GHGE, FARM GATE (kg CO2e/kg)","GHGE, processor gate (kg CO2e/kg)"),INDIRECT($K169)),GETPIVOTDATA(IF($J169=1,"StdDev of ACTIVE     GHGE, FARM GATE (kg CO2e/kg)","StdDev of GHGE, processor gate (kg CO2e/kg)"),'[1]Pivot Table_GHG'!$A$3,"SUB TYPE",$B169))</f>
        <v/>
      </c>
      <c r="T169" s="105" t="n"/>
      <c r="U169" s="106" t="n"/>
      <c r="V169" s="97" t="n"/>
      <c r="W169" s="109" t="inlineStr">
        <is>
          <t>no var</t>
        </is>
      </c>
      <c r="X169" s="98" t="n"/>
      <c r="Y169" s="98" t="n"/>
      <c r="Z169" s="98" t="n">
        <v>0</v>
      </c>
      <c r="AA169" s="98" t="n">
        <v>0</v>
      </c>
      <c r="AB169" s="99">
        <f>IF(P169="PROXY",IF(Q169&gt;=5,K169,"need group"),IF(Q169&gt;=5,"DIRECT","need group"))</f>
        <v/>
      </c>
      <c r="AC169" s="99">
        <f>IF($AB169="DIRECT",Q169,DCOUNT('[1]literature entries'!$D:$AI,IF($J169=1,"ACTIVE     GHGE, FARM GATE (kg CO2e/kg)","GHGE, processor gate (kg CO2e/kg)"),INDIRECT($AB169)))</f>
        <v/>
      </c>
      <c r="AD169" s="99">
        <f>IF($AB169="DIRECT","",DAVERAGE('[1]literature entries'!$D:$AI,IF($J169=1,"ACTIVE     GHGE, FARM GATE (kg CO2e/kg)","GHGE, processor gate (kg CO2e/kg)"),INDIRECT($AB169)))</f>
        <v/>
      </c>
      <c r="AE169" s="99">
        <f>IF($AB169="DIRECT",$S169,DSTDEV('[1]literature entries'!$D:$AI,IF($J169=1,"ACTIVE     GHGE, FARM GATE (kg CO2e/kg)","GHGE, processor gate (kg CO2e/kg)"),INDIRECT($AB169)))</f>
        <v/>
      </c>
      <c r="AF169" s="99">
        <f>IF($AB169="DIRECT",$S169,$AE169/$AD169*$R169)</f>
        <v/>
      </c>
    </row>
    <row r="170" ht="15.75" customHeight="1" s="201">
      <c r="A170" s="100" t="n">
        <v>1304195000</v>
      </c>
      <c r="B170" s="101" t="inlineStr">
        <is>
          <t>Kiwifruit, fuzzy</t>
        </is>
      </c>
      <c r="C170" s="101" t="inlineStr">
        <is>
          <t>weight of pulp and peel.</t>
        </is>
      </c>
      <c r="D170" s="101" t="n"/>
      <c r="E170" s="101" t="n">
        <v>169</v>
      </c>
      <c r="F170" s="84">
        <f>N170*H170+T170</f>
        <v/>
      </c>
      <c r="G170" s="85">
        <f>R170*H170+U170</f>
        <v/>
      </c>
      <c r="H170" s="102" t="n">
        <v>1.16</v>
      </c>
      <c r="I170" s="102" t="inlineStr">
        <is>
          <t>FICRCD</t>
        </is>
      </c>
      <c r="J170" s="104" t="n">
        <v>1</v>
      </c>
      <c r="K170" s="89" t="n"/>
      <c r="L170" s="90">
        <f>IF(ISERROR(GETPIVOTDATA(IF($J170=1,"Count of ACTIVE     CED, FARM GATE (MJ/kg)","Count of CED, processor gate (MJ/kg)"),'[1]Pivot Table_CED'!$A$3,"SUB TYPE",$B170)),"PROXY",IF(GETPIVOTDATA(IF($J170=1,"Count of ACTIVE     CED, FARM GATE (MJ/kg)","Count of CED, processor gate (MJ/kg)"),'[1]Pivot Table_CED'!$A$3,"SUB TYPE",$B170)=0,"PROXY","DB value"))</f>
        <v/>
      </c>
      <c r="M170" s="91">
        <f>IF($L170="PROXY",DCOUNT('[1]literature entries'!$D:$AI,IF($J170=1,"ACTIVE     CED, FARM GATE (MJ/kg)","CED, processor gate (MJ/kg)"),INDIRECT($K170)),GETPIVOTDATA(IF($J170=1,"Count of ACTIVE     CED, FARM GATE (MJ/kg)","Count of CED, processor gate (MJ/kg)"),'[1]Pivot Table_CED'!$A$3,"SUB TYPE",$B170))</f>
        <v/>
      </c>
      <c r="N170" s="92">
        <f>IF($L170="PROXY",DAVERAGE('[1]literature entries'!$D:$AI,IF($J170=1,"ACTIVE     CED, FARM GATE (MJ/kg)","CED, processor gate (MJ/kg)"),INDIRECT($K170)),GETPIVOTDATA(IF($J170=1,"Average of ACTIVE     CED, FARM GATE (MJ/kg)","Average of CED, processor gate (MJ/kg)"),'[1]Pivot Table_CED'!$A$3,"SUB TYPE",$B170))</f>
        <v/>
      </c>
      <c r="O170" s="92">
        <f>IF($L170="PROXY",DSTDEV('[1]literature entries'!D:AI,IF($J170=1,"ACTIVE     CED, FARM GATE (MJ/kg)","CED, processor gate (MJ/kg)"),INDIRECT($K170)),GETPIVOTDATA(IF($J170=1,"StdDev of ACTIVE     CED, FARM GATE (MJ/kg)","StdDev of CED, processor gate (MJ/kg)"),'[1]Pivot Table_CED'!$A$3,"SUB TYPE",$B170))</f>
        <v/>
      </c>
      <c r="P170" s="90">
        <f>IF(ISERROR(GETPIVOTDATA(IF($J170=1,"Count of ACTIVE     GHGE, FARM GATE (kg CO2e/kg)","Count of GHGE, processor gate (kg CO2e/kg)"),'[1]Pivot Table_GHG'!$A$3,"SUB TYPE",$B170)),"PROXY",IF(GETPIVOTDATA(IF($J170=1,"Count of ACTIVE     GHGE, FARM GATE (kg CO2e/kg)","Count of GHGE, processor gate (kg CO2e/kg)"),'[1]Pivot Table_GHG'!$A$3,"SUB TYPE",$B170)=0,"PROXY","DB value"))</f>
        <v/>
      </c>
      <c r="Q170" s="93">
        <f>IF($P170="PROXY",DCOUNT('[1]literature entries'!$D:$AI,IF($J170=1,"ACTIVE     GHGE, FARM GATE (kg CO2e/kg)","GHGE, processor gate (kg CO2e/kg)"),INDIRECT($K170)),GETPIVOTDATA(IF($J170=1,"ACTIVE     GHGE, FARM GATE (kg CO2e/kg)","Count of GHGE, processor gate (kg CO2e/kg)"),'[1]Pivot Table_GHG'!$A$3,"SUB TYPE",$B170))</f>
        <v/>
      </c>
      <c r="R170" s="94">
        <f>IF($P170="PROXY",DAVERAGE('[1]literature entries'!$D:$AI,IF($J170=1,"ACTIVE     GHGE, FARM GATE (kg CO2e/kg)","GHGE, processor gate (kg CO2e/kg)"),INDIRECT($K170)),GETPIVOTDATA(IF($J170=1,"Average of ACTIVE     GHGE, FARM GATE (kg CO2e/kg)","Average of GHGE, processor gate (kg CO2e/kg)"),'[1]Pivot Table_GHG'!$A$3,"SUB TYPE",$B170))</f>
        <v/>
      </c>
      <c r="S170" s="94">
        <f>IF($P170="PROXY",DSTDEV('[1]literature entries'!$D:$AI,IF($J170=1,"ACTIVE     GHGE, FARM GATE (kg CO2e/kg)","GHGE, processor gate (kg CO2e/kg)"),INDIRECT($K170)),GETPIVOTDATA(IF($J170=1,"StdDev of ACTIVE     GHGE, FARM GATE (kg CO2e/kg)","StdDev of GHGE, processor gate (kg CO2e/kg)"),'[1]Pivot Table_GHG'!$A$3,"SUB TYPE",$B170))</f>
        <v/>
      </c>
      <c r="T170" s="105" t="n"/>
      <c r="U170" s="106" t="n"/>
      <c r="V170" s="97" t="n"/>
      <c r="W170" s="98" t="inlineStr">
        <is>
          <t>berry</t>
        </is>
      </c>
      <c r="X170" s="98">
        <f>IF($W170="DIRECT",M170,DCOUNT('[1]literature entries'!$D:$AI,IF($J170=1,"ACTIVE     CED, FARM GATE (MJ/kg)","CED, processor gate (MJ/kg)"),INDIRECT($W170)))</f>
        <v/>
      </c>
      <c r="Y170" s="98">
        <f>IF($W170="DIRECT","",DAVERAGE('[1]literature entries'!$D:$AI,IF($J170=1,"ACTIVE     CED, FARM GATE (MJ/kg)","CED, processor gate (MJ/kg)"),INDIRECT($W170)))</f>
        <v/>
      </c>
      <c r="Z170" s="98">
        <f>IF($W170="DIRECT",$O170,DSTDEV('[1]literature entries'!$D:$AI,IF($J170=1,"ACTIVE     CED, FARM GATE (MJ/kg)","CED, processor gate (MJ/kg)"),INDIRECT($W170)))</f>
        <v/>
      </c>
      <c r="AA170" s="98">
        <f>IF($W170="DIRECT",$O170,$Z170/$Y170*$N170)</f>
        <v/>
      </c>
      <c r="AB170" s="99">
        <f>IF(P170="PROXY",IF(Q170&gt;=5,K170,"need group"),IF(Q170&gt;=5,"DIRECT","need group"))</f>
        <v/>
      </c>
      <c r="AC170" s="99">
        <f>IF($AB170="DIRECT",Q170,DCOUNT('[1]literature entries'!$D:$AI,IF($J170=1,"ACTIVE     GHGE, FARM GATE (kg CO2e/kg)","GHGE, processor gate (kg CO2e/kg)"),INDIRECT($AB170)))</f>
        <v/>
      </c>
      <c r="AD170" s="99">
        <f>IF($AB170="DIRECT","",DAVERAGE('[1]literature entries'!$D:$AI,IF($J170=1,"ACTIVE     GHGE, FARM GATE (kg CO2e/kg)","GHGE, processor gate (kg CO2e/kg)"),INDIRECT($AB170)))</f>
        <v/>
      </c>
      <c r="AE170" s="99">
        <f>IF($AB170="DIRECT",$S170,DSTDEV('[1]literature entries'!$D:$AI,IF($J170=1,"ACTIVE     GHGE, FARM GATE (kg CO2e/kg)","GHGE, processor gate (kg CO2e/kg)"),INDIRECT($AB170)))</f>
        <v/>
      </c>
      <c r="AF170" s="99">
        <f>IF($AB170="DIRECT",$S170,$AE170/$AD170*$R170)</f>
        <v/>
      </c>
    </row>
    <row r="171" ht="15.75" customHeight="1" s="201">
      <c r="A171" s="100" t="n">
        <v>1307130000</v>
      </c>
      <c r="B171" s="101" t="inlineStr">
        <is>
          <t>Cranberry</t>
        </is>
      </c>
      <c r="C171" s="101" t="inlineStr">
        <is>
          <t>weight of berry</t>
        </is>
      </c>
      <c r="D171" s="101" t="n"/>
      <c r="E171" s="101" t="n">
        <v>174</v>
      </c>
      <c r="F171" s="84">
        <f>N171*H171+T171</f>
        <v/>
      </c>
      <c r="G171" s="85">
        <f>R171*H171+U171</f>
        <v/>
      </c>
      <c r="H171" s="102" t="n">
        <v>1.02</v>
      </c>
      <c r="I171" s="102" t="inlineStr">
        <is>
          <t>FICRCD</t>
        </is>
      </c>
      <c r="J171" s="104" t="n">
        <v>1</v>
      </c>
      <c r="K171" s="89" t="inlineStr">
        <is>
          <t>berry</t>
        </is>
      </c>
      <c r="L171" s="90">
        <f>IF(ISERROR(GETPIVOTDATA(IF($J171=1,"Count of ACTIVE     CED, FARM GATE (MJ/kg)","Count of CED, processor gate (MJ/kg)"),'[1]Pivot Table_CED'!$A$3,"SUB TYPE",$B171)),"PROXY",IF(GETPIVOTDATA(IF($J171=1,"Count of ACTIVE     CED, FARM GATE (MJ/kg)","Count of CED, processor gate (MJ/kg)"),'[1]Pivot Table_CED'!$A$3,"SUB TYPE",$B171)=0,"PROXY","DB value"))</f>
        <v/>
      </c>
      <c r="M171" s="91">
        <f>IF($L171="PROXY",DCOUNT('[1]literature entries'!$D:$AI,IF($J171=1,"ACTIVE     CED, FARM GATE (MJ/kg)","CED, processor gate (MJ/kg)"),INDIRECT($K171)),GETPIVOTDATA(IF($J171=1,"Count of ACTIVE     CED, FARM GATE (MJ/kg)","Count of CED, processor gate (MJ/kg)"),'[1]Pivot Table_CED'!$A$3,"SUB TYPE",$B171))</f>
        <v/>
      </c>
      <c r="N171" s="92">
        <f>IF($L171="PROXY",DAVERAGE('[1]literature entries'!$D:$AI,IF($J171=1,"ACTIVE     CED, FARM GATE (MJ/kg)","CED, processor gate (MJ/kg)"),INDIRECT($K171)),GETPIVOTDATA(IF($J171=1,"Average of ACTIVE     CED, FARM GATE (MJ/kg)","Average of CED, processor gate (MJ/kg)"),'[1]Pivot Table_CED'!$A$3,"SUB TYPE",$B171))</f>
        <v/>
      </c>
      <c r="O171" s="92">
        <f>IF($L171="PROXY",DSTDEV('[1]literature entries'!D:AI,IF($J171=1,"ACTIVE     CED, FARM GATE (MJ/kg)","CED, processor gate (MJ/kg)"),INDIRECT($K171)),GETPIVOTDATA(IF($J171=1,"StdDev of ACTIVE     CED, FARM GATE (MJ/kg)","StdDev of CED, processor gate (MJ/kg)"),'[1]Pivot Table_CED'!$A$3,"SUB TYPE",$B171))</f>
        <v/>
      </c>
      <c r="P171" s="90">
        <f>IF(ISERROR(GETPIVOTDATA(IF($J171=1,"Count of ACTIVE     GHGE, FARM GATE (kg CO2e/kg)","Count of GHGE, processor gate (kg CO2e/kg)"),'[1]Pivot Table_GHG'!$A$3,"SUB TYPE",$B171)),"PROXY",IF(GETPIVOTDATA(IF($J171=1,"Count of ACTIVE     GHGE, FARM GATE (kg CO2e/kg)","Count of GHGE, processor gate (kg CO2e/kg)"),'[1]Pivot Table_GHG'!$A$3,"SUB TYPE",$B171)=0,"PROXY","DB value"))</f>
        <v/>
      </c>
      <c r="Q171" s="93">
        <f>IF($P171="PROXY",DCOUNT('[1]literature entries'!$D:$AI,IF($J171=1,"ACTIVE     GHGE, FARM GATE (kg CO2e/kg)","GHGE, processor gate (kg CO2e/kg)"),INDIRECT($K171)),GETPIVOTDATA(IF($J171=1,"ACTIVE     GHGE, FARM GATE (kg CO2e/kg)","Count of GHGE, processor gate (kg CO2e/kg)"),'[1]Pivot Table_GHG'!$A$3,"SUB TYPE",$B171))</f>
        <v/>
      </c>
      <c r="R171" s="94">
        <f>IF($P171="PROXY",DAVERAGE('[1]literature entries'!$D:$AI,IF($J171=1,"ACTIVE     GHGE, FARM GATE (kg CO2e/kg)","GHGE, processor gate (kg CO2e/kg)"),INDIRECT($K171)),GETPIVOTDATA(IF($J171=1,"Average of ACTIVE     GHGE, FARM GATE (kg CO2e/kg)","Average of GHGE, processor gate (kg CO2e/kg)"),'[1]Pivot Table_GHG'!$A$3,"SUB TYPE",$B171))</f>
        <v/>
      </c>
      <c r="S171" s="94">
        <f>IF($P171="PROXY",DSTDEV('[1]literature entries'!$D:$AI,IF($J171=1,"ACTIVE     GHGE, FARM GATE (kg CO2e/kg)","GHGE, processor gate (kg CO2e/kg)"),INDIRECT($K171)),GETPIVOTDATA(IF($J171=1,"StdDev of ACTIVE     GHGE, FARM GATE (kg CO2e/kg)","StdDev of GHGE, processor gate (kg CO2e/kg)"),'[1]Pivot Table_GHG'!$A$3,"SUB TYPE",$B171))</f>
        <v/>
      </c>
      <c r="T171" s="128" t="n"/>
      <c r="U171" s="128" t="n"/>
      <c r="V171" s="97" t="n"/>
      <c r="W171" s="98">
        <f>IF(L171="PROXY",IF(M171&gt;=5,K171,"need group"),IF(M171&gt;=5,"DIRECT","need group"))</f>
        <v/>
      </c>
      <c r="X171" s="98">
        <f>IF($W171="DIRECT",M171,DCOUNT('[1]literature entries'!$D:$AI,IF($J171=1,"ACTIVE     CED, FARM GATE (MJ/kg)","CED, processor gate (MJ/kg)"),INDIRECT($W171)))</f>
        <v/>
      </c>
      <c r="Y171" s="98">
        <f>IF($W171="DIRECT","",DAVERAGE('[1]literature entries'!$D:$AI,IF($J171=1,"ACTIVE     CED, FARM GATE (MJ/kg)","CED, processor gate (MJ/kg)"),INDIRECT($W171)))</f>
        <v/>
      </c>
      <c r="Z171" s="98">
        <f>IF($W171="DIRECT",$O171,DSTDEV('[1]literature entries'!$D:$AI,IF($J171=1,"ACTIVE     CED, FARM GATE (MJ/kg)","CED, processor gate (MJ/kg)"),INDIRECT($W171)))</f>
        <v/>
      </c>
      <c r="AA171" s="98">
        <f>IF($W171="DIRECT",$O171,$Z171/$Y171*$N171)</f>
        <v/>
      </c>
      <c r="AB171" s="99" t="inlineStr">
        <is>
          <t>berry</t>
        </is>
      </c>
      <c r="AC171" s="99">
        <f>IF($AB171="DIRECT",Q171,DCOUNT('[1]literature entries'!$D:$AI,IF($J171=1,"ACTIVE     GHGE, FARM GATE (kg CO2e/kg)","GHGE, processor gate (kg CO2e/kg)"),INDIRECT($AB171)))</f>
        <v/>
      </c>
      <c r="AD171" s="99">
        <f>IF($AB171="DIRECT","",DAVERAGE('[1]literature entries'!$D:$AI,IF($J171=1,"ACTIVE     GHGE, FARM GATE (kg CO2e/kg)","GHGE, processor gate (kg CO2e/kg)"),INDIRECT($AB171)))</f>
        <v/>
      </c>
      <c r="AE171" s="99">
        <f>IF($AB171="DIRECT",$S171,DSTDEV('[1]literature entries'!$D:$AI,IF($J171=1,"ACTIVE     GHGE, FARM GATE (kg CO2e/kg)","GHGE, processor gate (kg CO2e/kg)"),INDIRECT($AB171)))</f>
        <v/>
      </c>
      <c r="AF171" s="99">
        <f>IF($AB171="DIRECT",$S171,$AE171/$AD171*$R171)</f>
        <v/>
      </c>
    </row>
    <row r="172" ht="15.75" customHeight="1" s="201">
      <c r="A172" s="100" t="n">
        <v>1307131000</v>
      </c>
      <c r="B172" s="101" t="inlineStr">
        <is>
          <t>Cranberry, dried</t>
        </is>
      </c>
      <c r="C172" s="101" t="inlineStr">
        <is>
          <t>dry weight of berry</t>
        </is>
      </c>
      <c r="D172" s="101" t="n"/>
      <c r="E172" s="101" t="n">
        <v>813</v>
      </c>
      <c r="F172" s="84">
        <f>N172*H172+T172</f>
        <v/>
      </c>
      <c r="G172" s="85">
        <f>R172*H172+U172</f>
        <v/>
      </c>
      <c r="H172" s="112" t="n">
        <v>6.64116719242902</v>
      </c>
      <c r="I172" s="103" t="inlineStr">
        <is>
          <t>NNDSR28</t>
        </is>
      </c>
      <c r="J172" s="104" t="n">
        <v>1</v>
      </c>
      <c r="K172" s="89" t="inlineStr">
        <is>
          <t>berry</t>
        </is>
      </c>
      <c r="L172" s="90">
        <f>IF(ISERROR(GETPIVOTDATA(IF($J172=1,"Count of ACTIVE     CED, FARM GATE (MJ/kg)","Count of CED, processor gate (MJ/kg)"),'[1]Pivot Table_CED'!$A$3,"SUB TYPE",$B172)),"PROXY",IF(GETPIVOTDATA(IF($J172=1,"Count of ACTIVE     CED, FARM GATE (MJ/kg)","Count of CED, processor gate (MJ/kg)"),'[1]Pivot Table_CED'!$A$3,"SUB TYPE",$B172)=0,"PROXY","DB value"))</f>
        <v/>
      </c>
      <c r="M172" s="91">
        <f>IF($L172="PROXY",DCOUNT('[1]literature entries'!$D:$AI,IF($J172=1,"ACTIVE     CED, FARM GATE (MJ/kg)","CED, processor gate (MJ/kg)"),INDIRECT($K172)),GETPIVOTDATA(IF($J172=1,"Count of ACTIVE     CED, FARM GATE (MJ/kg)","Count of CED, processor gate (MJ/kg)"),'[1]Pivot Table_CED'!$A$3,"SUB TYPE",$B172))</f>
        <v/>
      </c>
      <c r="N172" s="92">
        <f>IF($L172="PROXY",DAVERAGE('[1]literature entries'!$D:$AI,IF($J172=1,"ACTIVE     CED, FARM GATE (MJ/kg)","CED, processor gate (MJ/kg)"),INDIRECT($K172)),GETPIVOTDATA(IF($J172=1,"Average of ACTIVE     CED, FARM GATE (MJ/kg)","Average of CED, processor gate (MJ/kg)"),'[1]Pivot Table_CED'!$A$3,"SUB TYPE",$B172))</f>
        <v/>
      </c>
      <c r="O172" s="92">
        <f>IF($L172="PROXY",DSTDEV('[1]literature entries'!D:AI,IF($J172=1,"ACTIVE     CED, FARM GATE (MJ/kg)","CED, processor gate (MJ/kg)"),INDIRECT($K172)),GETPIVOTDATA(IF($J172=1,"StdDev of ACTIVE     CED, FARM GATE (MJ/kg)","StdDev of CED, processor gate (MJ/kg)"),'[1]Pivot Table_CED'!$A$3,"SUB TYPE",$B172))</f>
        <v/>
      </c>
      <c r="P172" s="90">
        <f>IF(ISERROR(GETPIVOTDATA(IF($J172=1,"Count of ACTIVE     GHGE, FARM GATE (kg CO2e/kg)","Count of GHGE, processor gate (kg CO2e/kg)"),'[1]Pivot Table_GHG'!$A$3,"SUB TYPE",$B172)),"PROXY",IF(GETPIVOTDATA(IF($J172=1,"Count of ACTIVE     GHGE, FARM GATE (kg CO2e/kg)","Count of GHGE, processor gate (kg CO2e/kg)"),'[1]Pivot Table_GHG'!$A$3,"SUB TYPE",$B172)=0,"PROXY","DB value"))</f>
        <v/>
      </c>
      <c r="Q172" s="93">
        <f>IF($P172="PROXY",DCOUNT('[1]literature entries'!$D:$AI,IF($J172=1,"ACTIVE     GHGE, FARM GATE (kg CO2e/kg)","GHGE, processor gate (kg CO2e/kg)"),INDIRECT($K172)),GETPIVOTDATA(IF($J172=1,"ACTIVE     GHGE, FARM GATE (kg CO2e/kg)","Count of GHGE, processor gate (kg CO2e/kg)"),'[1]Pivot Table_GHG'!$A$3,"SUB TYPE",$B172))</f>
        <v/>
      </c>
      <c r="R172" s="94">
        <f>IF($P172="PROXY",DAVERAGE('[1]literature entries'!$D:$AI,IF($J172=1,"ACTIVE     GHGE, FARM GATE (kg CO2e/kg)","GHGE, processor gate (kg CO2e/kg)"),INDIRECT($K172)),GETPIVOTDATA(IF($J172=1,"Average of ACTIVE     GHGE, FARM GATE (kg CO2e/kg)","Average of GHGE, processor gate (kg CO2e/kg)"),'[1]Pivot Table_GHG'!$A$3,"SUB TYPE",$B172))</f>
        <v/>
      </c>
      <c r="S172" s="94">
        <f>IF($P172="PROXY",DSTDEV('[1]literature entries'!$D:$AI,IF($J172=1,"ACTIVE     GHGE, FARM GATE (kg CO2e/kg)","GHGE, processor gate (kg CO2e/kg)"),INDIRECT($K172)),GETPIVOTDATA(IF($J172=1,"StdDev of ACTIVE     GHGE, FARM GATE (kg CO2e/kg)","StdDev of GHGE, processor gate (kg CO2e/kg)"),'[1]Pivot Table_GHG'!$A$3,"SUB TYPE",$B172))</f>
        <v/>
      </c>
      <c r="T172" s="105" t="n"/>
      <c r="U172" s="106" t="n"/>
      <c r="V172" s="97" t="n"/>
      <c r="W172" s="98">
        <f>IF(L172="PROXY",IF(M172&gt;=5,K172,"need group"),IF(M172&gt;=5,"DIRECT","need group"))</f>
        <v/>
      </c>
      <c r="X172" s="98">
        <f>IF($W172="DIRECT",M172,DCOUNT('[1]literature entries'!$D:$AI,IF($J172=1,"ACTIVE     CED, FARM GATE (MJ/kg)","CED, processor gate (MJ/kg)"),INDIRECT($W172)))</f>
        <v/>
      </c>
      <c r="Y172" s="98">
        <f>IF($W172="DIRECT","",DAVERAGE('[1]literature entries'!$D:$AI,IF($J172=1,"ACTIVE     CED, FARM GATE (MJ/kg)","CED, processor gate (MJ/kg)"),INDIRECT($W172)))</f>
        <v/>
      </c>
      <c r="Z172" s="98">
        <f>IF($W172="DIRECT",$O172,DSTDEV('[1]literature entries'!$D:$AI,IF($J172=1,"ACTIVE     CED, FARM GATE (MJ/kg)","CED, processor gate (MJ/kg)"),INDIRECT($W172)))</f>
        <v/>
      </c>
      <c r="AA172" s="98">
        <f>IF($W172="DIRECT",$O172,$Z172/$Y172*$N172)</f>
        <v/>
      </c>
      <c r="AB172" s="99">
        <f>IF(P172="PROXY",IF(Q172&gt;=5,K172,"need group"),IF(Q172&gt;=5,"DIRECT","need group"))</f>
        <v/>
      </c>
      <c r="AC172" s="99">
        <f>IF($AB172="DIRECT",Q172,DCOUNT('[1]literature entries'!$D:$AI,IF($J172=1,"ACTIVE     GHGE, FARM GATE (kg CO2e/kg)","GHGE, processor gate (kg CO2e/kg)"),INDIRECT($AB172)))</f>
        <v/>
      </c>
      <c r="AD172" s="99">
        <f>IF($AB172="DIRECT","",DAVERAGE('[1]literature entries'!$D:$AI,IF($J172=1,"ACTIVE     GHGE, FARM GATE (kg CO2e/kg)","GHGE, processor gate (kg CO2e/kg)"),INDIRECT($AB172)))</f>
        <v/>
      </c>
      <c r="AE172" s="99">
        <f>IF($AB172="DIRECT",$S172,DSTDEV('[1]literature entries'!$D:$AI,IF($J172=1,"ACTIVE     GHGE, FARM GATE (kg CO2e/kg)","GHGE, processor gate (kg CO2e/kg)"),INDIRECT($AB172)))</f>
        <v/>
      </c>
      <c r="AF172" s="99">
        <f>IF($AB172="DIRECT",$S172,$AE172/$AD172*$R172)</f>
        <v/>
      </c>
    </row>
    <row r="173" ht="15.75" customHeight="1" s="201">
      <c r="A173" s="100" t="n">
        <v>1307132000</v>
      </c>
      <c r="B173" s="101" t="inlineStr">
        <is>
          <t>Cranberry, juice</t>
        </is>
      </c>
      <c r="C173" s="101" t="inlineStr">
        <is>
          <t>weight of juice at single strength (or standard dilution)</t>
        </is>
      </c>
      <c r="D173" s="101" t="n"/>
      <c r="E173" s="101" t="n">
        <v>7477</v>
      </c>
      <c r="F173" s="84">
        <f>N173*H173+T173</f>
        <v/>
      </c>
      <c r="G173" s="85">
        <f>R173*H173+U173</f>
        <v/>
      </c>
      <c r="H173" s="102" t="n">
        <v>1.3</v>
      </c>
      <c r="I173" s="102" t="inlineStr">
        <is>
          <t>FICRCD</t>
        </is>
      </c>
      <c r="J173" s="104" t="n">
        <v>1</v>
      </c>
      <c r="K173" s="89" t="inlineStr">
        <is>
          <t>berry</t>
        </is>
      </c>
      <c r="L173" s="90">
        <f>IF(ISERROR(GETPIVOTDATA(IF($J173=1,"Count of ACTIVE     CED, FARM GATE (MJ/kg)","Count of CED, processor gate (MJ/kg)"),'[1]Pivot Table_CED'!$A$3,"SUB TYPE",$B173)),"PROXY",IF(GETPIVOTDATA(IF($J173=1,"Count of ACTIVE     CED, FARM GATE (MJ/kg)","Count of CED, processor gate (MJ/kg)"),'[1]Pivot Table_CED'!$A$3,"SUB TYPE",$B173)=0,"PROXY","DB value"))</f>
        <v/>
      </c>
      <c r="M173" s="91">
        <f>IF($L173="PROXY",DCOUNT('[1]literature entries'!$D:$AI,IF($J173=1,"ACTIVE     CED, FARM GATE (MJ/kg)","CED, processor gate (MJ/kg)"),INDIRECT($K173)),GETPIVOTDATA(IF($J173=1,"Count of ACTIVE     CED, FARM GATE (MJ/kg)","Count of CED, processor gate (MJ/kg)"),'[1]Pivot Table_CED'!$A$3,"SUB TYPE",$B173))</f>
        <v/>
      </c>
      <c r="N173" s="92">
        <f>IF($L173="PROXY",DAVERAGE('[1]literature entries'!$D:$AI,IF($J173=1,"ACTIVE     CED, FARM GATE (MJ/kg)","CED, processor gate (MJ/kg)"),INDIRECT($K173)),GETPIVOTDATA(IF($J173=1,"Average of ACTIVE     CED, FARM GATE (MJ/kg)","Average of CED, processor gate (MJ/kg)"),'[1]Pivot Table_CED'!$A$3,"SUB TYPE",$B173))</f>
        <v/>
      </c>
      <c r="O173" s="92">
        <f>IF($L173="PROXY",DSTDEV('[1]literature entries'!D:AI,IF($J173=1,"ACTIVE     CED, FARM GATE (MJ/kg)","CED, processor gate (MJ/kg)"),INDIRECT($K173)),GETPIVOTDATA(IF($J173=1,"StdDev of ACTIVE     CED, FARM GATE (MJ/kg)","StdDev of CED, processor gate (MJ/kg)"),'[1]Pivot Table_CED'!$A$3,"SUB TYPE",$B173))</f>
        <v/>
      </c>
      <c r="P173" s="90">
        <f>IF(ISERROR(GETPIVOTDATA(IF($J173=1,"Count of ACTIVE     GHGE, FARM GATE (kg CO2e/kg)","Count of GHGE, processor gate (kg CO2e/kg)"),'[1]Pivot Table_GHG'!$A$3,"SUB TYPE",$B173)),"PROXY",IF(GETPIVOTDATA(IF($J173=1,"Count of ACTIVE     GHGE, FARM GATE (kg CO2e/kg)","Count of GHGE, processor gate (kg CO2e/kg)"),'[1]Pivot Table_GHG'!$A$3,"SUB TYPE",$B173)=0,"PROXY","DB value"))</f>
        <v/>
      </c>
      <c r="Q173" s="93">
        <f>IF($P173="PROXY",DCOUNT('[1]literature entries'!$D:$AI,IF($J173=1,"ACTIVE     GHGE, FARM GATE (kg CO2e/kg)","GHGE, processor gate (kg CO2e/kg)"),INDIRECT($K173)),GETPIVOTDATA(IF($J173=1,"ACTIVE     GHGE, FARM GATE (kg CO2e/kg)","Count of GHGE, processor gate (kg CO2e/kg)"),'[1]Pivot Table_GHG'!$A$3,"SUB TYPE",$B173))</f>
        <v/>
      </c>
      <c r="R173" s="94">
        <f>IF($P173="PROXY",DAVERAGE('[1]literature entries'!$D:$AI,IF($J173=1,"ACTIVE     GHGE, FARM GATE (kg CO2e/kg)","GHGE, processor gate (kg CO2e/kg)"),INDIRECT($K173)),GETPIVOTDATA(IF($J173=1,"Average of ACTIVE     GHGE, FARM GATE (kg CO2e/kg)","Average of GHGE, processor gate (kg CO2e/kg)"),'[1]Pivot Table_GHG'!$A$3,"SUB TYPE",$B173))</f>
        <v/>
      </c>
      <c r="S173" s="94">
        <f>IF($P173="PROXY",DSTDEV('[1]literature entries'!$D:$AI,IF($J173=1,"ACTIVE     GHGE, FARM GATE (kg CO2e/kg)","GHGE, processor gate (kg CO2e/kg)"),INDIRECT($K173)),GETPIVOTDATA(IF($J173=1,"StdDev of ACTIVE     GHGE, FARM GATE (kg CO2e/kg)","StdDev of GHGE, processor gate (kg CO2e/kg)"),'[1]Pivot Table_GHG'!$A$3,"SUB TYPE",$B173))</f>
        <v/>
      </c>
      <c r="T173" s="107" t="n">
        <v>5.282</v>
      </c>
      <c r="U173" s="108" t="n">
        <v>0.9790791260799999</v>
      </c>
      <c r="V173" s="97" t="n"/>
      <c r="W173" s="98">
        <f>IF(L173="PROXY",IF(M173&gt;=5,K173,"need group"),IF(M173&gt;=5,"DIRECT","need group"))</f>
        <v/>
      </c>
      <c r="X173" s="98">
        <f>IF($W173="DIRECT",M173,DCOUNT('[1]literature entries'!$D:$AI,IF($J173=1,"ACTIVE     CED, FARM GATE (MJ/kg)","CED, processor gate (MJ/kg)"),INDIRECT($W173)))</f>
        <v/>
      </c>
      <c r="Y173" s="98">
        <f>IF($W173="DIRECT","",DAVERAGE('[1]literature entries'!$D:$AI,IF($J173=1,"ACTIVE     CED, FARM GATE (MJ/kg)","CED, processor gate (MJ/kg)"),INDIRECT($W173)))</f>
        <v/>
      </c>
      <c r="Z173" s="98">
        <f>IF($W173="DIRECT",$O173,DSTDEV('[1]literature entries'!$D:$AI,IF($J173=1,"ACTIVE     CED, FARM GATE (MJ/kg)","CED, processor gate (MJ/kg)"),INDIRECT($W173)))</f>
        <v/>
      </c>
      <c r="AA173" s="98">
        <f>IF($W173="DIRECT",$O173,$Z173/$Y173*$N173)</f>
        <v/>
      </c>
      <c r="AB173" s="99">
        <f>IF(P173="PROXY",IF(Q173&gt;=5,K173,"need group"),IF(Q173&gt;=5,"DIRECT","need group"))</f>
        <v/>
      </c>
      <c r="AC173" s="99">
        <f>IF($AB173="DIRECT",Q173,DCOUNT('[1]literature entries'!$D:$AI,IF($J173=1,"ACTIVE     GHGE, FARM GATE (kg CO2e/kg)","GHGE, processor gate (kg CO2e/kg)"),INDIRECT($AB173)))</f>
        <v/>
      </c>
      <c r="AD173" s="99">
        <f>IF($AB173="DIRECT","",DAVERAGE('[1]literature entries'!$D:$AI,IF($J173=1,"ACTIVE     GHGE, FARM GATE (kg CO2e/kg)","GHGE, processor gate (kg CO2e/kg)"),INDIRECT($AB173)))</f>
        <v/>
      </c>
      <c r="AE173" s="99">
        <f>IF($AB173="DIRECT",$S173,DSTDEV('[1]literature entries'!$D:$AI,IF($J173=1,"ACTIVE     GHGE, FARM GATE (kg CO2e/kg)","GHGE, processor gate (kg CO2e/kg)"),INDIRECT($AB173)))</f>
        <v/>
      </c>
      <c r="AF173" s="99">
        <f>IF($AB173="DIRECT",$S173,$AE173/$AD173*$R173)</f>
        <v/>
      </c>
    </row>
    <row r="174" ht="15.75" customHeight="1" s="201">
      <c r="A174" s="100" t="n">
        <v>1307359000</v>
      </c>
      <c r="B174" s="101" t="inlineStr">
        <is>
          <t>Strawberry</t>
        </is>
      </c>
      <c r="C174" s="101" t="inlineStr">
        <is>
          <t>weight of berry; excluding leaf cap</t>
        </is>
      </c>
      <c r="D174" s="101" t="n"/>
      <c r="E174" s="101" t="n">
        <v>12636</v>
      </c>
      <c r="F174" s="84">
        <f>N174*H174+T174</f>
        <v/>
      </c>
      <c r="G174" s="85">
        <f>R174*H174+U174</f>
        <v/>
      </c>
      <c r="H174" s="102" t="n">
        <v>1.06</v>
      </c>
      <c r="I174" s="102" t="inlineStr">
        <is>
          <t>FICRCD</t>
        </is>
      </c>
      <c r="J174" s="104" t="n">
        <v>1</v>
      </c>
      <c r="K174" s="89" t="n"/>
      <c r="L174" s="90">
        <f>IF(ISERROR(GETPIVOTDATA(IF($J174=1,"Count of ACTIVE     CED, FARM GATE (MJ/kg)","Count of CED, processor gate (MJ/kg)"),'[1]Pivot Table_CED'!$A$3,"SUB TYPE",$B174)),"PROXY",IF(GETPIVOTDATA(IF($J174=1,"Count of ACTIVE     CED, FARM GATE (MJ/kg)","Count of CED, processor gate (MJ/kg)"),'[1]Pivot Table_CED'!$A$3,"SUB TYPE",$B174)=0,"PROXY","DB value"))</f>
        <v/>
      </c>
      <c r="M174" s="91">
        <f>IF($L174="PROXY",DCOUNT('[1]literature entries'!$D:$AI,IF($J174=1,"ACTIVE     CED, FARM GATE (MJ/kg)","CED, processor gate (MJ/kg)"),INDIRECT($K174)),GETPIVOTDATA(IF($J174=1,"Count of ACTIVE     CED, FARM GATE (MJ/kg)","Count of CED, processor gate (MJ/kg)"),'[1]Pivot Table_CED'!$A$3,"SUB TYPE",$B174))</f>
        <v/>
      </c>
      <c r="N174" s="92">
        <f>IF($L174="PROXY",DAVERAGE('[1]literature entries'!$D:$AI,IF($J174=1,"ACTIVE     CED, FARM GATE (MJ/kg)","CED, processor gate (MJ/kg)"),INDIRECT($K174)),GETPIVOTDATA(IF($J174=1,"Average of ACTIVE     CED, FARM GATE (MJ/kg)","Average of CED, processor gate (MJ/kg)"),'[1]Pivot Table_CED'!$A$3,"SUB TYPE",$B174))</f>
        <v/>
      </c>
      <c r="O174" s="92">
        <f>IF($L174="PROXY",DSTDEV('[1]literature entries'!D:AI,IF($J174=1,"ACTIVE     CED, FARM GATE (MJ/kg)","CED, processor gate (MJ/kg)"),INDIRECT($K174)),GETPIVOTDATA(IF($J174=1,"StdDev of ACTIVE     CED, FARM GATE (MJ/kg)","StdDev of CED, processor gate (MJ/kg)"),'[1]Pivot Table_CED'!$A$3,"SUB TYPE",$B174))</f>
        <v/>
      </c>
      <c r="P174" s="90">
        <f>IF(ISERROR(GETPIVOTDATA(IF($J174=1,"Count of ACTIVE     GHGE, FARM GATE (kg CO2e/kg)","Count of GHGE, processor gate (kg CO2e/kg)"),'[1]Pivot Table_GHG'!$A$3,"SUB TYPE",$B174)),"PROXY",IF(GETPIVOTDATA(IF($J174=1,"Count of ACTIVE     GHGE, FARM GATE (kg CO2e/kg)","Count of GHGE, processor gate (kg CO2e/kg)"),'[1]Pivot Table_GHG'!$A$3,"SUB TYPE",$B174)=0,"PROXY","DB value"))</f>
        <v/>
      </c>
      <c r="Q174" s="93">
        <f>IF($P174="PROXY",DCOUNT('[1]literature entries'!$D:$AI,IF($J174=1,"ACTIVE     GHGE, FARM GATE (kg CO2e/kg)","GHGE, processor gate (kg CO2e/kg)"),INDIRECT($K174)),GETPIVOTDATA(IF($J174=1,"ACTIVE     GHGE, FARM GATE (kg CO2e/kg)","Count of GHGE, processor gate (kg CO2e/kg)"),'[1]Pivot Table_GHG'!$A$3,"SUB TYPE",$B174))</f>
        <v/>
      </c>
      <c r="R174" s="94">
        <f>IF($P174="PROXY",DAVERAGE('[1]literature entries'!$D:$AI,IF($J174=1,"ACTIVE     GHGE, FARM GATE (kg CO2e/kg)","GHGE, processor gate (kg CO2e/kg)"),INDIRECT($K174)),GETPIVOTDATA(IF($J174=1,"Average of ACTIVE     GHGE, FARM GATE (kg CO2e/kg)","Average of GHGE, processor gate (kg CO2e/kg)"),'[1]Pivot Table_GHG'!$A$3,"SUB TYPE",$B174))</f>
        <v/>
      </c>
      <c r="S174" s="94">
        <f>IF($P174="PROXY",DSTDEV('[1]literature entries'!$D:$AI,IF($J174=1,"ACTIVE     GHGE, FARM GATE (kg CO2e/kg)","GHGE, processor gate (kg CO2e/kg)"),INDIRECT($K174)),GETPIVOTDATA(IF($J174=1,"StdDev of ACTIVE     GHGE, FARM GATE (kg CO2e/kg)","StdDev of GHGE, processor gate (kg CO2e/kg)"),'[1]Pivot Table_GHG'!$A$3,"SUB TYPE",$B174))</f>
        <v/>
      </c>
      <c r="T174" s="105" t="n"/>
      <c r="U174" s="106" t="n"/>
      <c r="V174" s="97" t="n"/>
      <c r="W174" s="98" t="inlineStr">
        <is>
          <t>berry</t>
        </is>
      </c>
      <c r="X174" s="98">
        <f>IF($W174="DIRECT",M174,DCOUNT('[1]literature entries'!$D:$AI,IF($J174=1,"ACTIVE     CED, FARM GATE (MJ/kg)","CED, processor gate (MJ/kg)"),INDIRECT($W174)))</f>
        <v/>
      </c>
      <c r="Y174" s="98">
        <f>IF($W174="DIRECT","",DAVERAGE('[1]literature entries'!$D:$AI,IF($J174=1,"ACTIVE     CED, FARM GATE (MJ/kg)","CED, processor gate (MJ/kg)"),INDIRECT($W174)))</f>
        <v/>
      </c>
      <c r="Z174" s="98">
        <f>IF($W174="DIRECT",$O174,DSTDEV('[1]literature entries'!$D:$AI,IF($J174=1,"ACTIVE     CED, FARM GATE (MJ/kg)","CED, processor gate (MJ/kg)"),INDIRECT($W174)))</f>
        <v/>
      </c>
      <c r="AA174" s="98">
        <f>IF($W174="DIRECT",$O174,$Z174/$Y174*$N174)</f>
        <v/>
      </c>
      <c r="AB174" s="99">
        <f>IF(P174="PROXY",IF(Q174&gt;=5,K174,"need group"),IF(Q174&gt;=5,"DIRECT","need group"))</f>
        <v/>
      </c>
      <c r="AC174" s="99">
        <f>IF($AB174="DIRECT",Q174,DCOUNT('[1]literature entries'!$D:$AI,IF($J174=1,"ACTIVE     GHGE, FARM GATE (kg CO2e/kg)","GHGE, processor gate (kg CO2e/kg)"),INDIRECT($AB174)))</f>
        <v/>
      </c>
      <c r="AD174" s="99">
        <f>IF($AB174="DIRECT","",DAVERAGE('[1]literature entries'!$D:$AI,IF($J174=1,"ACTIVE     GHGE, FARM GATE (kg CO2e/kg)","GHGE, processor gate (kg CO2e/kg)"),INDIRECT($AB174)))</f>
        <v/>
      </c>
      <c r="AE174" s="99">
        <f>IF($AB174="DIRECT",$S174,DSTDEV('[1]literature entries'!$D:$AI,IF($J174=1,"ACTIVE     GHGE, FARM GATE (kg CO2e/kg)","GHGE, processor gate (kg CO2e/kg)"),INDIRECT($AB174)))</f>
        <v/>
      </c>
      <c r="AF174" s="99">
        <f>IF($AB174="DIRECT",$S174,$AE174/$AD174*$R174)</f>
        <v/>
      </c>
    </row>
    <row r="175" ht="15.75" customHeight="1" s="201">
      <c r="A175" s="100" t="n">
        <v>1307360000</v>
      </c>
      <c r="B175" s="101" t="inlineStr">
        <is>
          <t>Strawberry, juice</t>
        </is>
      </c>
      <c r="C175" s="101" t="inlineStr">
        <is>
          <t>weight of juice at single strength (or standard dilution)</t>
        </is>
      </c>
      <c r="D175" s="101" t="n"/>
      <c r="E175" s="101" t="n">
        <v>9565</v>
      </c>
      <c r="F175" s="84">
        <f>N175*H175+T175</f>
        <v/>
      </c>
      <c r="G175" s="85">
        <f>R175*H175+U175</f>
        <v/>
      </c>
      <c r="H175" s="102" t="n">
        <v>1.3</v>
      </c>
      <c r="I175" s="103" t="inlineStr">
        <is>
          <t>FICRCD</t>
        </is>
      </c>
      <c r="J175" s="104" t="n">
        <v>1</v>
      </c>
      <c r="K175" s="89" t="inlineStr">
        <is>
          <t>strawberry</t>
        </is>
      </c>
      <c r="L175" s="90">
        <f>IF(ISERROR(GETPIVOTDATA(IF($J175=1,"Count of ACTIVE     CED, FARM GATE (MJ/kg)","Count of CED, processor gate (MJ/kg)"),'[1]Pivot Table_CED'!$A$3,"SUB TYPE",$B175)),"PROXY",IF(GETPIVOTDATA(IF($J175=1,"Count of ACTIVE     CED, FARM GATE (MJ/kg)","Count of CED, processor gate (MJ/kg)"),'[1]Pivot Table_CED'!$A$3,"SUB TYPE",$B175)=0,"PROXY","DB value"))</f>
        <v/>
      </c>
      <c r="M175" s="91">
        <f>IF($L175="PROXY",DCOUNT('[1]literature entries'!$D:$AI,IF($J175=1,"ACTIVE     CED, FARM GATE (MJ/kg)","CED, processor gate (MJ/kg)"),INDIRECT($K175)),GETPIVOTDATA(IF($J175=1,"Count of ACTIVE     CED, FARM GATE (MJ/kg)","Count of CED, processor gate (MJ/kg)"),'[1]Pivot Table_CED'!$A$3,"SUB TYPE",$B175))</f>
        <v/>
      </c>
      <c r="N175" s="92">
        <f>IF($L175="PROXY",DAVERAGE('[1]literature entries'!$D:$AI,IF($J175=1,"ACTIVE     CED, FARM GATE (MJ/kg)","CED, processor gate (MJ/kg)"),INDIRECT($K175)),GETPIVOTDATA(IF($J175=1,"Average of ACTIVE     CED, FARM GATE (MJ/kg)","Average of CED, processor gate (MJ/kg)"),'[1]Pivot Table_CED'!$A$3,"SUB TYPE",$B175))</f>
        <v/>
      </c>
      <c r="O175" s="92">
        <f>IF($L175="PROXY",DSTDEV('[1]literature entries'!D:AI,IF($J175=1,"ACTIVE     CED, FARM GATE (MJ/kg)","CED, processor gate (MJ/kg)"),INDIRECT($K175)),GETPIVOTDATA(IF($J175=1,"StdDev of ACTIVE     CED, FARM GATE (MJ/kg)","StdDev of CED, processor gate (MJ/kg)"),'[1]Pivot Table_CED'!$A$3,"SUB TYPE",$B175))</f>
        <v/>
      </c>
      <c r="P175" s="90">
        <f>IF(ISERROR(GETPIVOTDATA(IF($J175=1,"Count of ACTIVE     GHGE, FARM GATE (kg CO2e/kg)","Count of GHGE, processor gate (kg CO2e/kg)"),'[1]Pivot Table_GHG'!$A$3,"SUB TYPE",$B175)),"PROXY",IF(GETPIVOTDATA(IF($J175=1,"Count of ACTIVE     GHGE, FARM GATE (kg CO2e/kg)","Count of GHGE, processor gate (kg CO2e/kg)"),'[1]Pivot Table_GHG'!$A$3,"SUB TYPE",$B175)=0,"PROXY","DB value"))</f>
        <v/>
      </c>
      <c r="Q175" s="93">
        <f>IF($P175="PROXY",DCOUNT('[1]literature entries'!$D:$AI,IF($J175=1,"ACTIVE     GHGE, FARM GATE (kg CO2e/kg)","GHGE, processor gate (kg CO2e/kg)"),INDIRECT($K175)),GETPIVOTDATA(IF($J175=1,"ACTIVE     GHGE, FARM GATE (kg CO2e/kg)","Count of GHGE, processor gate (kg CO2e/kg)"),'[1]Pivot Table_GHG'!$A$3,"SUB TYPE",$B175))</f>
        <v/>
      </c>
      <c r="R175" s="94">
        <f>IF($P175="PROXY",DAVERAGE('[1]literature entries'!$D:$AI,IF($J175=1,"ACTIVE     GHGE, FARM GATE (kg CO2e/kg)","GHGE, processor gate (kg CO2e/kg)"),INDIRECT($K175)),GETPIVOTDATA(IF($J175=1,"Average of ACTIVE     GHGE, FARM GATE (kg CO2e/kg)","Average of GHGE, processor gate (kg CO2e/kg)"),'[1]Pivot Table_GHG'!$A$3,"SUB TYPE",$B175))</f>
        <v/>
      </c>
      <c r="S175" s="94">
        <f>IF($P175="PROXY",DSTDEV('[1]literature entries'!$D:$AI,IF($J175=1,"ACTIVE     GHGE, FARM GATE (kg CO2e/kg)","GHGE, processor gate (kg CO2e/kg)"),INDIRECT($K175)),GETPIVOTDATA(IF($J175=1,"StdDev of ACTIVE     GHGE, FARM GATE (kg CO2e/kg)","StdDev of GHGE, processor gate (kg CO2e/kg)"),'[1]Pivot Table_GHG'!$A$3,"SUB TYPE",$B175))</f>
        <v/>
      </c>
      <c r="T175" s="107" t="n">
        <v>5.282</v>
      </c>
      <c r="U175" s="108" t="n">
        <v>0.9790791260799999</v>
      </c>
      <c r="V175" s="97" t="n"/>
      <c r="W175" s="98" t="inlineStr">
        <is>
          <t>berry</t>
        </is>
      </c>
      <c r="X175" s="98">
        <f>IF($W175="DIRECT",M175,DCOUNT('[1]literature entries'!$D:$AI,IF($J175=1,"ACTIVE     CED, FARM GATE (MJ/kg)","CED, processor gate (MJ/kg)"),INDIRECT($W175)))</f>
        <v/>
      </c>
      <c r="Y175" s="98">
        <f>IF($W175="DIRECT","",DAVERAGE('[1]literature entries'!$D:$AI,IF($J175=1,"ACTIVE     CED, FARM GATE (MJ/kg)","CED, processor gate (MJ/kg)"),INDIRECT($W175)))</f>
        <v/>
      </c>
      <c r="Z175" s="98">
        <f>IF($W175="DIRECT",$O175,DSTDEV('[1]literature entries'!$D:$AI,IF($J175=1,"ACTIVE     CED, FARM GATE (MJ/kg)","CED, processor gate (MJ/kg)"),INDIRECT($W175)))</f>
        <v/>
      </c>
      <c r="AA175" s="98">
        <f>IF($W175="DIRECT",$O175,$Z175/$Y175*$N175)</f>
        <v/>
      </c>
      <c r="AB175" s="99">
        <f>IF(P175="PROXY",IF(Q175&gt;=5,K175,"need group"),IF(Q175&gt;=5,"DIRECT","need group"))</f>
        <v/>
      </c>
      <c r="AC175" s="99">
        <f>IF($AB175="DIRECT",Q175,DCOUNT('[1]literature entries'!$D:$AI,IF($J175=1,"ACTIVE     GHGE, FARM GATE (kg CO2e/kg)","GHGE, processor gate (kg CO2e/kg)"),INDIRECT($AB175)))</f>
        <v/>
      </c>
      <c r="AD175" s="99">
        <f>IF($AB175="DIRECT","",DAVERAGE('[1]literature entries'!$D:$AI,IF($J175=1,"ACTIVE     GHGE, FARM GATE (kg CO2e/kg)","GHGE, processor gate (kg CO2e/kg)"),INDIRECT($AB175)))</f>
        <v/>
      </c>
      <c r="AE175" s="99">
        <f>IF($AB175="DIRECT",$S175,DSTDEV('[1]literature entries'!$D:$AI,IF($J175=1,"ACTIVE     GHGE, FARM GATE (kg CO2e/kg)","GHGE, processor gate (kg CO2e/kg)"),INDIRECT($AB175)))</f>
        <v/>
      </c>
      <c r="AF175" s="99">
        <f>IF($AB175="DIRECT",$S175,$AE175/$AD175*$R175)</f>
        <v/>
      </c>
    </row>
    <row r="176" ht="15.75" customHeight="1" s="201">
      <c r="A176" s="100" t="n">
        <v>1400003000</v>
      </c>
      <c r="B176" s="101" t="inlineStr">
        <is>
          <t>Almond</t>
        </is>
      </c>
      <c r="C176" s="101" t="inlineStr">
        <is>
          <t>weight of nutmeat</t>
        </is>
      </c>
      <c r="D176" s="101" t="n"/>
      <c r="E176" s="101" t="n">
        <v>6948</v>
      </c>
      <c r="F176" s="84">
        <f>N176*H176+T176</f>
        <v/>
      </c>
      <c r="G176" s="85">
        <f>R176*H176+U176</f>
        <v/>
      </c>
      <c r="H176" s="103" t="n">
        <v>1</v>
      </c>
      <c r="I176" s="102" t="inlineStr">
        <is>
          <t>FICRCD</t>
        </is>
      </c>
      <c r="J176" s="104" t="n">
        <v>1</v>
      </c>
      <c r="K176" s="89" t="n"/>
      <c r="L176" s="90">
        <f>IF(ISERROR(GETPIVOTDATA(IF($J176=1,"Count of ACTIVE     CED, FARM GATE (MJ/kg)","Count of CED, processor gate (MJ/kg)"),'[1]Pivot Table_CED'!$A$3,"SUB TYPE",$B176)),"PROXY",IF(GETPIVOTDATA(IF($J176=1,"Count of ACTIVE     CED, FARM GATE (MJ/kg)","Count of CED, processor gate (MJ/kg)"),'[1]Pivot Table_CED'!$A$3,"SUB TYPE",$B176)=0,"PROXY","DB value"))</f>
        <v/>
      </c>
      <c r="M176" s="91">
        <f>IF($L176="PROXY",DCOUNT('[1]literature entries'!$D:$AI,IF($J176=1,"ACTIVE     CED, FARM GATE (MJ/kg)","CED, processor gate (MJ/kg)"),INDIRECT($K176)),GETPIVOTDATA(IF($J176=1,"Count of ACTIVE     CED, FARM GATE (MJ/kg)","Count of CED, processor gate (MJ/kg)"),'[1]Pivot Table_CED'!$A$3,"SUB TYPE",$B176))</f>
        <v/>
      </c>
      <c r="N176" s="92">
        <f>IF($L176="PROXY",DAVERAGE('[1]literature entries'!$D:$AI,IF($J176=1,"ACTIVE     CED, FARM GATE (MJ/kg)","CED, processor gate (MJ/kg)"),INDIRECT($K176)),GETPIVOTDATA(IF($J176=1,"Average of ACTIVE     CED, FARM GATE (MJ/kg)","Average of CED, processor gate (MJ/kg)"),'[1]Pivot Table_CED'!$A$3,"SUB TYPE",$B176))</f>
        <v/>
      </c>
      <c r="O176" s="92">
        <f>IF($L176="PROXY",DSTDEV('[1]literature entries'!D:AI,IF($J176=1,"ACTIVE     CED, FARM GATE (MJ/kg)","CED, processor gate (MJ/kg)"),INDIRECT($K176)),GETPIVOTDATA(IF($J176=1,"StdDev of ACTIVE     CED, FARM GATE (MJ/kg)","StdDev of CED, processor gate (MJ/kg)"),'[1]Pivot Table_CED'!$A$3,"SUB TYPE",$B176))</f>
        <v/>
      </c>
      <c r="P176" s="90">
        <f>IF(ISERROR(GETPIVOTDATA(IF($J176=1,"Count of ACTIVE     GHGE, FARM GATE (kg CO2e/kg)","Count of GHGE, processor gate (kg CO2e/kg)"),'[1]Pivot Table_GHG'!$A$3,"SUB TYPE",$B176)),"PROXY",IF(GETPIVOTDATA(IF($J176=1,"Count of ACTIVE     GHGE, FARM GATE (kg CO2e/kg)","Count of GHGE, processor gate (kg CO2e/kg)"),'[1]Pivot Table_GHG'!$A$3,"SUB TYPE",$B176)=0,"PROXY","DB value"))</f>
        <v/>
      </c>
      <c r="Q176" s="93">
        <f>IF($P176="PROXY",DCOUNT('[1]literature entries'!$D:$AI,IF($J176=1,"ACTIVE     GHGE, FARM GATE (kg CO2e/kg)","GHGE, processor gate (kg CO2e/kg)"),INDIRECT($K176)),GETPIVOTDATA(IF($J176=1,"ACTIVE     GHGE, FARM GATE (kg CO2e/kg)","Count of GHGE, processor gate (kg CO2e/kg)"),'[1]Pivot Table_GHG'!$A$3,"SUB TYPE",$B176))</f>
        <v/>
      </c>
      <c r="R176" s="94">
        <f>IF($P176="PROXY",DAVERAGE('[1]literature entries'!$D:$AI,IF($J176=1,"ACTIVE     GHGE, FARM GATE (kg CO2e/kg)","GHGE, processor gate (kg CO2e/kg)"),INDIRECT($K176)),GETPIVOTDATA(IF($J176=1,"Average of ACTIVE     GHGE, FARM GATE (kg CO2e/kg)","Average of GHGE, processor gate (kg CO2e/kg)"),'[1]Pivot Table_GHG'!$A$3,"SUB TYPE",$B176))</f>
        <v/>
      </c>
      <c r="S176" s="94">
        <f>IF($P176="PROXY",DSTDEV('[1]literature entries'!$D:$AI,IF($J176=1,"ACTIVE     GHGE, FARM GATE (kg CO2e/kg)","GHGE, processor gate (kg CO2e/kg)"),INDIRECT($K176)),GETPIVOTDATA(IF($J176=1,"StdDev of ACTIVE     GHGE, FARM GATE (kg CO2e/kg)","StdDev of GHGE, processor gate (kg CO2e/kg)"),'[1]Pivot Table_GHG'!$A$3,"SUB TYPE",$B176))</f>
        <v/>
      </c>
      <c r="T176" s="129" t="n"/>
      <c r="U176" s="130" t="n"/>
      <c r="V176" s="97" t="n"/>
      <c r="W176" s="98" t="inlineStr">
        <is>
          <t>nut</t>
        </is>
      </c>
      <c r="X176" s="98">
        <f>IF($W176="DIRECT",M176,DCOUNT('[1]literature entries'!$D:$AI,IF($J176=1,"ACTIVE     CED, FARM GATE (MJ/kg)","CED, processor gate (MJ/kg)"),INDIRECT($W176)))</f>
        <v/>
      </c>
      <c r="Y176" s="98">
        <f>IF($W176="DIRECT","",DAVERAGE('[1]literature entries'!$D:$AI,IF($J176=1,"ACTIVE     CED, FARM GATE (MJ/kg)","CED, processor gate (MJ/kg)"),INDIRECT($W176)))</f>
        <v/>
      </c>
      <c r="Z176" s="98">
        <f>IF($W176="DIRECT",$O176,DSTDEV('[1]literature entries'!$D:$AI,IF($J176=1,"ACTIVE     CED, FARM GATE (MJ/kg)","CED, processor gate (MJ/kg)"),INDIRECT($W176)))</f>
        <v/>
      </c>
      <c r="AA176" s="98">
        <f>IF($W176="DIRECT",$O176,$Z176/$Y176*$N176)</f>
        <v/>
      </c>
      <c r="AB176" s="99">
        <f>IF(P176="PROXY",IF(Q176&gt;=5,K176,"need group"),IF(Q176&gt;=5,"DIRECT","need group"))</f>
        <v/>
      </c>
      <c r="AC176" s="99">
        <f>IF($AB176="DIRECT",Q176,DCOUNT('[1]literature entries'!$D:$AI,IF($J176=1,"ACTIVE     GHGE, FARM GATE (kg CO2e/kg)","GHGE, processor gate (kg CO2e/kg)"),INDIRECT($AB176)))</f>
        <v/>
      </c>
      <c r="AD176" s="99">
        <f>IF($AB176="DIRECT","",DAVERAGE('[1]literature entries'!$D:$AI,IF($J176=1,"ACTIVE     GHGE, FARM GATE (kg CO2e/kg)","GHGE, processor gate (kg CO2e/kg)"),INDIRECT($AB176)))</f>
        <v/>
      </c>
      <c r="AE176" s="99">
        <f>IF($AB176="DIRECT",$S176,DSTDEV('[1]literature entries'!$D:$AI,IF($J176=1,"ACTIVE     GHGE, FARM GATE (kg CO2e/kg)","GHGE, processor gate (kg CO2e/kg)"),INDIRECT($AB176)))</f>
        <v/>
      </c>
      <c r="AF176" s="99">
        <f>IF($AB176="DIRECT",$S176,$AE176/$AD176*$R176)</f>
        <v/>
      </c>
    </row>
    <row r="177" ht="15.75" customHeight="1" s="201">
      <c r="A177" s="100" t="n">
        <v>1400004000</v>
      </c>
      <c r="B177" s="101" t="inlineStr">
        <is>
          <t>Almond, oil</t>
        </is>
      </c>
      <c r="C177" s="101" t="inlineStr">
        <is>
          <t>weight of oil</t>
        </is>
      </c>
      <c r="D177" s="101" t="n"/>
      <c r="E177" s="101" t="n">
        <v>51</v>
      </c>
      <c r="F177" s="84">
        <f>N177*H177+T177</f>
        <v/>
      </c>
      <c r="G177" s="85">
        <f>R177*H177+U177</f>
        <v/>
      </c>
      <c r="H177" s="102" t="n">
        <v>1</v>
      </c>
      <c r="I177" s="102" t="inlineStr">
        <is>
          <t>FICRCD</t>
        </is>
      </c>
      <c r="J177" s="104" t="n">
        <v>1</v>
      </c>
      <c r="K177" s="89" t="inlineStr">
        <is>
          <t>almond</t>
        </is>
      </c>
      <c r="L177" s="90">
        <f>IF(ISERROR(GETPIVOTDATA(IF($J177=1,"Count of ACTIVE     CED, FARM GATE (MJ/kg)","Count of CED, processor gate (MJ/kg)"),'[1]Pivot Table_CED'!$A$3,"SUB TYPE",$B177)),"PROXY",IF(GETPIVOTDATA(IF($J177=1,"Count of ACTIVE     CED, FARM GATE (MJ/kg)","Count of CED, processor gate (MJ/kg)"),'[1]Pivot Table_CED'!$A$3,"SUB TYPE",$B177)=0,"PROXY","DB value"))</f>
        <v/>
      </c>
      <c r="M177" s="91">
        <f>IF($L177="PROXY",DCOUNT('[1]literature entries'!$D:$AI,IF($J177=1,"ACTIVE     CED, FARM GATE (MJ/kg)","CED, processor gate (MJ/kg)"),INDIRECT($K177)),GETPIVOTDATA(IF($J177=1,"Count of ACTIVE     CED, FARM GATE (MJ/kg)","Count of CED, processor gate (MJ/kg)"),'[1]Pivot Table_CED'!$A$3,"SUB TYPE",$B177))</f>
        <v/>
      </c>
      <c r="N177" s="92">
        <f>IF($L177="PROXY",DAVERAGE('[1]literature entries'!$D:$AI,IF($J177=1,"ACTIVE     CED, FARM GATE (MJ/kg)","CED, processor gate (MJ/kg)"),INDIRECT($K177)),GETPIVOTDATA(IF($J177=1,"Average of ACTIVE     CED, FARM GATE (MJ/kg)","Average of CED, processor gate (MJ/kg)"),'[1]Pivot Table_CED'!$A$3,"SUB TYPE",$B177))</f>
        <v/>
      </c>
      <c r="O177" s="92">
        <f>IF($L177="PROXY",DSTDEV('[1]literature entries'!D:AI,IF($J177=1,"ACTIVE     CED, FARM GATE (MJ/kg)","CED, processor gate (MJ/kg)"),INDIRECT($K177)),GETPIVOTDATA(IF($J177=1,"StdDev of ACTIVE     CED, FARM GATE (MJ/kg)","StdDev of CED, processor gate (MJ/kg)"),'[1]Pivot Table_CED'!$A$3,"SUB TYPE",$B177))</f>
        <v/>
      </c>
      <c r="P177" s="90">
        <f>IF(ISERROR(GETPIVOTDATA(IF($J177=1,"Count of ACTIVE     GHGE, FARM GATE (kg CO2e/kg)","Count of GHGE, processor gate (kg CO2e/kg)"),'[1]Pivot Table_GHG'!$A$3,"SUB TYPE",$B177)),"PROXY",IF(GETPIVOTDATA(IF($J177=1,"Count of ACTIVE     GHGE, FARM GATE (kg CO2e/kg)","Count of GHGE, processor gate (kg CO2e/kg)"),'[1]Pivot Table_GHG'!$A$3,"SUB TYPE",$B177)=0,"PROXY","DB value"))</f>
        <v/>
      </c>
      <c r="Q177" s="93">
        <f>IF($P177="PROXY",DCOUNT('[1]literature entries'!$D:$AI,IF($J177=1,"ACTIVE     GHGE, FARM GATE (kg CO2e/kg)","GHGE, processor gate (kg CO2e/kg)"),INDIRECT($K177)),GETPIVOTDATA(IF($J177=1,"ACTIVE     GHGE, FARM GATE (kg CO2e/kg)","Count of GHGE, processor gate (kg CO2e/kg)"),'[1]Pivot Table_GHG'!$A$3,"SUB TYPE",$B177))</f>
        <v/>
      </c>
      <c r="R177" s="94">
        <f>IF($P177="PROXY",DAVERAGE('[1]literature entries'!$D:$AI,IF($J177=1,"ACTIVE     GHGE, FARM GATE (kg CO2e/kg)","GHGE, processor gate (kg CO2e/kg)"),INDIRECT($K177)),GETPIVOTDATA(IF($J177=1,"Average of ACTIVE     GHGE, FARM GATE (kg CO2e/kg)","Average of GHGE, processor gate (kg CO2e/kg)"),'[1]Pivot Table_GHG'!$A$3,"SUB TYPE",$B177))</f>
        <v/>
      </c>
      <c r="S177" s="94">
        <f>IF($P177="PROXY",DSTDEV('[1]literature entries'!$D:$AI,IF($J177=1,"ACTIVE     GHGE, FARM GATE (kg CO2e/kg)","GHGE, processor gate (kg CO2e/kg)"),INDIRECT($K177)),GETPIVOTDATA(IF($J177=1,"StdDev of ACTIVE     GHGE, FARM GATE (kg CO2e/kg)","StdDev of GHGE, processor gate (kg CO2e/kg)"),'[1]Pivot Table_GHG'!$A$3,"SUB TYPE",$B177))</f>
        <v/>
      </c>
      <c r="T177" s="129" t="n"/>
      <c r="U177" s="130" t="n"/>
      <c r="V177" s="97" t="n"/>
      <c r="W177" s="98" t="inlineStr">
        <is>
          <t>nut</t>
        </is>
      </c>
      <c r="X177" s="98">
        <f>IF($W177="DIRECT",M177,DCOUNT('[1]literature entries'!$D:$AI,IF($J177=1,"ACTIVE     CED, FARM GATE (MJ/kg)","CED, processor gate (MJ/kg)"),INDIRECT($W177)))</f>
        <v/>
      </c>
      <c r="Y177" s="98">
        <f>IF($W177="DIRECT","",DAVERAGE('[1]literature entries'!$D:$AI,IF($J177=1,"ACTIVE     CED, FARM GATE (MJ/kg)","CED, processor gate (MJ/kg)"),INDIRECT($W177)))</f>
        <v/>
      </c>
      <c r="Z177" s="98">
        <f>IF($W177="DIRECT",$O177,DSTDEV('[1]literature entries'!$D:$AI,IF($J177=1,"ACTIVE     CED, FARM GATE (MJ/kg)","CED, processor gate (MJ/kg)"),INDIRECT($W177)))</f>
        <v/>
      </c>
      <c r="AA177" s="98">
        <f>IF($W177="DIRECT",$O177,$Z177/$Y177*$N177)</f>
        <v/>
      </c>
      <c r="AB177" s="99">
        <f>IF(P177="PROXY",IF(Q177&gt;=5,K177,"need group"),IF(Q177&gt;=5,"DIRECT","need group"))</f>
        <v/>
      </c>
      <c r="AC177" s="99">
        <f>IF($AB177="DIRECT",Q177,DCOUNT('[1]literature entries'!$D:$AI,IF($J177=1,"ACTIVE     GHGE, FARM GATE (kg CO2e/kg)","GHGE, processor gate (kg CO2e/kg)"),INDIRECT($AB177)))</f>
        <v/>
      </c>
      <c r="AD177" s="99">
        <f>IF($AB177="DIRECT","",DAVERAGE('[1]literature entries'!$D:$AI,IF($J177=1,"ACTIVE     GHGE, FARM GATE (kg CO2e/kg)","GHGE, processor gate (kg CO2e/kg)"),INDIRECT($AB177)))</f>
        <v/>
      </c>
      <c r="AE177" s="99">
        <f>IF($AB177="DIRECT",$S177,DSTDEV('[1]literature entries'!$D:$AI,IF($J177=1,"ACTIVE     GHGE, FARM GATE (kg CO2e/kg)","GHGE, processor gate (kg CO2e/kg)"),INDIRECT($AB177)))</f>
        <v/>
      </c>
      <c r="AF177" s="99">
        <f>IF($AB177="DIRECT",$S177,$AE177/$AD177*$R177)</f>
        <v/>
      </c>
    </row>
    <row r="178" ht="15.75" customHeight="1" s="201">
      <c r="A178" s="100" t="n">
        <v>1400059000</v>
      </c>
      <c r="B178" s="101" t="inlineStr">
        <is>
          <t>Brazil nut</t>
        </is>
      </c>
      <c r="C178" s="101" t="inlineStr">
        <is>
          <t>weight of nutmeat</t>
        </is>
      </c>
      <c r="D178" s="101" t="n"/>
      <c r="E178" s="101" t="n">
        <v>64</v>
      </c>
      <c r="F178" s="84">
        <f>N178*H178+T178</f>
        <v/>
      </c>
      <c r="G178" s="85">
        <f>R178*H178+U178</f>
        <v/>
      </c>
      <c r="H178" s="102" t="n">
        <v>1</v>
      </c>
      <c r="I178" s="103" t="inlineStr">
        <is>
          <t>FICRCD</t>
        </is>
      </c>
      <c r="J178" s="104" t="n">
        <v>1</v>
      </c>
      <c r="K178" s="89" t="inlineStr">
        <is>
          <t>nut</t>
        </is>
      </c>
      <c r="L178" s="90">
        <f>IF(ISERROR(GETPIVOTDATA(IF($J178=1,"Count of ACTIVE     CED, FARM GATE (MJ/kg)","Count of CED, processor gate (MJ/kg)"),'[1]Pivot Table_CED'!$A$3,"SUB TYPE",$B178)),"PROXY",IF(GETPIVOTDATA(IF($J178=1,"Count of ACTIVE     CED, FARM GATE (MJ/kg)","Count of CED, processor gate (MJ/kg)"),'[1]Pivot Table_CED'!$A$3,"SUB TYPE",$B178)=0,"PROXY","DB value"))</f>
        <v/>
      </c>
      <c r="M178" s="91">
        <f>IF($L178="PROXY",DCOUNT('[1]literature entries'!$D:$AI,IF($J178=1,"ACTIVE     CED, FARM GATE (MJ/kg)","CED, processor gate (MJ/kg)"),INDIRECT($K178)),GETPIVOTDATA(IF($J178=1,"Count of ACTIVE     CED, FARM GATE (MJ/kg)","Count of CED, processor gate (MJ/kg)"),'[1]Pivot Table_CED'!$A$3,"SUB TYPE",$B178))</f>
        <v/>
      </c>
      <c r="N178" s="92">
        <f>IF($L178="PROXY",DAVERAGE('[1]literature entries'!$D:$AI,IF($J178=1,"ACTIVE     CED, FARM GATE (MJ/kg)","CED, processor gate (MJ/kg)"),INDIRECT($K178)),GETPIVOTDATA(IF($J178=1,"Average of ACTIVE     CED, FARM GATE (MJ/kg)","Average of CED, processor gate (MJ/kg)"),'[1]Pivot Table_CED'!$A$3,"SUB TYPE",$B178))</f>
        <v/>
      </c>
      <c r="O178" s="92">
        <f>IF($L178="PROXY",DSTDEV('[1]literature entries'!D:AI,IF($J178=1,"ACTIVE     CED, FARM GATE (MJ/kg)","CED, processor gate (MJ/kg)"),INDIRECT($K178)),GETPIVOTDATA(IF($J178=1,"StdDev of ACTIVE     CED, FARM GATE (MJ/kg)","StdDev of CED, processor gate (MJ/kg)"),'[1]Pivot Table_CED'!$A$3,"SUB TYPE",$B178))</f>
        <v/>
      </c>
      <c r="P178" s="90">
        <f>IF(ISERROR(GETPIVOTDATA(IF($J178=1,"Count of ACTIVE     GHGE, FARM GATE (kg CO2e/kg)","Count of GHGE, processor gate (kg CO2e/kg)"),'[1]Pivot Table_GHG'!$A$3,"SUB TYPE",$B178)),"PROXY",IF(GETPIVOTDATA(IF($J178=1,"Count of ACTIVE     GHGE, FARM GATE (kg CO2e/kg)","Count of GHGE, processor gate (kg CO2e/kg)"),'[1]Pivot Table_GHG'!$A$3,"SUB TYPE",$B178)=0,"PROXY","DB value"))</f>
        <v/>
      </c>
      <c r="Q178" s="93">
        <f>IF($P178="PROXY",DCOUNT('[1]literature entries'!$D:$AI,IF($J178=1,"ACTIVE     GHGE, FARM GATE (kg CO2e/kg)","GHGE, processor gate (kg CO2e/kg)"),INDIRECT($K178)),GETPIVOTDATA(IF($J178=1,"ACTIVE     GHGE, FARM GATE (kg CO2e/kg)","Count of GHGE, processor gate (kg CO2e/kg)"),'[1]Pivot Table_GHG'!$A$3,"SUB TYPE",$B178))</f>
        <v/>
      </c>
      <c r="R178" s="94">
        <f>IF($P178="PROXY",DAVERAGE('[1]literature entries'!$D:$AI,IF($J178=1,"ACTIVE     GHGE, FARM GATE (kg CO2e/kg)","GHGE, processor gate (kg CO2e/kg)"),INDIRECT($K178)),GETPIVOTDATA(IF($J178=1,"Average of ACTIVE     GHGE, FARM GATE (kg CO2e/kg)","Average of GHGE, processor gate (kg CO2e/kg)"),'[1]Pivot Table_GHG'!$A$3,"SUB TYPE",$B178))</f>
        <v/>
      </c>
      <c r="S178" s="94">
        <f>IF($P178="PROXY",DSTDEV('[1]literature entries'!$D:$AI,IF($J178=1,"ACTIVE     GHGE, FARM GATE (kg CO2e/kg)","GHGE, processor gate (kg CO2e/kg)"),INDIRECT($K178)),GETPIVOTDATA(IF($J178=1,"StdDev of ACTIVE     GHGE, FARM GATE (kg CO2e/kg)","StdDev of GHGE, processor gate (kg CO2e/kg)"),'[1]Pivot Table_GHG'!$A$3,"SUB TYPE",$B178))</f>
        <v/>
      </c>
      <c r="T178" s="105" t="n"/>
      <c r="U178" s="106" t="n"/>
      <c r="V178" s="97" t="n"/>
      <c r="W178" s="98" t="inlineStr">
        <is>
          <t>nut</t>
        </is>
      </c>
      <c r="X178" s="98">
        <f>IF($W178="DIRECT",M178,DCOUNT('[1]literature entries'!$D:$AI,IF($J178=1,"ACTIVE     CED, FARM GATE (MJ/kg)","CED, processor gate (MJ/kg)"),INDIRECT($W178)))</f>
        <v/>
      </c>
      <c r="Y178" s="98">
        <f>IF($W178="DIRECT","",DAVERAGE('[1]literature entries'!$D:$AI,IF($J178=1,"ACTIVE     CED, FARM GATE (MJ/kg)","CED, processor gate (MJ/kg)"),INDIRECT($W178)))</f>
        <v/>
      </c>
      <c r="Z178" s="98">
        <f>IF($W178="DIRECT",$O178,DSTDEV('[1]literature entries'!$D:$AI,IF($J178=1,"ACTIVE     CED, FARM GATE (MJ/kg)","CED, processor gate (MJ/kg)"),INDIRECT($W178)))</f>
        <v/>
      </c>
      <c r="AA178" s="98">
        <f>IF($W178="DIRECT",$O178,$Z178/$Y178*$N178)</f>
        <v/>
      </c>
      <c r="AB178" s="99">
        <f>IF(P178="PROXY",IF(Q178&gt;=5,K178,"need group"),IF(Q178&gt;=5,"DIRECT","need group"))</f>
        <v/>
      </c>
      <c r="AC178" s="99">
        <f>IF($AB178="DIRECT",Q178,DCOUNT('[1]literature entries'!$D:$AI,IF($J178=1,"ACTIVE     GHGE, FARM GATE (kg CO2e/kg)","GHGE, processor gate (kg CO2e/kg)"),INDIRECT($AB178)))</f>
        <v/>
      </c>
      <c r="AD178" s="99">
        <f>IF($AB178="DIRECT","",DAVERAGE('[1]literature entries'!$D:$AI,IF($J178=1,"ACTIVE     GHGE, FARM GATE (kg CO2e/kg)","GHGE, processor gate (kg CO2e/kg)"),INDIRECT($AB178)))</f>
        <v/>
      </c>
      <c r="AE178" s="99">
        <f>IF($AB178="DIRECT",$S178,DSTDEV('[1]literature entries'!$D:$AI,IF($J178=1,"ACTIVE     GHGE, FARM GATE (kg CO2e/kg)","GHGE, processor gate (kg CO2e/kg)"),INDIRECT($AB178)))</f>
        <v/>
      </c>
      <c r="AF178" s="99">
        <f>IF($AB178="DIRECT",$S178,$AE178/$AD178*$R178)</f>
        <v/>
      </c>
    </row>
    <row r="179" ht="15.75" customHeight="1" s="201">
      <c r="A179" s="100" t="n">
        <v>1400068000</v>
      </c>
      <c r="B179" s="101" t="inlineStr">
        <is>
          <t>Butternut</t>
        </is>
      </c>
      <c r="C179" s="101" t="inlineStr">
        <is>
          <t>weight of nutmeat</t>
        </is>
      </c>
      <c r="D179" s="101" t="n"/>
      <c r="E179" s="101" t="n">
        <v>9</v>
      </c>
      <c r="F179" s="84">
        <f>N179*H179+T179</f>
        <v/>
      </c>
      <c r="G179" s="85">
        <f>R179*H179+U179</f>
        <v/>
      </c>
      <c r="H179" s="102" t="n">
        <v>1</v>
      </c>
      <c r="I179" s="103" t="inlineStr">
        <is>
          <t>None</t>
        </is>
      </c>
      <c r="J179" s="104" t="n">
        <v>1</v>
      </c>
      <c r="K179" s="89" t="inlineStr">
        <is>
          <t>nut</t>
        </is>
      </c>
      <c r="L179" s="90">
        <f>IF(ISERROR(GETPIVOTDATA(IF($J179=1,"Count of ACTIVE     CED, FARM GATE (MJ/kg)","Count of CED, processor gate (MJ/kg)"),'[1]Pivot Table_CED'!$A$3,"SUB TYPE",$B179)),"PROXY",IF(GETPIVOTDATA(IF($J179=1,"Count of ACTIVE     CED, FARM GATE (MJ/kg)","Count of CED, processor gate (MJ/kg)"),'[1]Pivot Table_CED'!$A$3,"SUB TYPE",$B179)=0,"PROXY","DB value"))</f>
        <v/>
      </c>
      <c r="M179" s="91">
        <f>IF($L179="PROXY",DCOUNT('[1]literature entries'!$D:$AI,IF($J179=1,"ACTIVE     CED, FARM GATE (MJ/kg)","CED, processor gate (MJ/kg)"),INDIRECT($K179)),GETPIVOTDATA(IF($J179=1,"Count of ACTIVE     CED, FARM GATE (MJ/kg)","Count of CED, processor gate (MJ/kg)"),'[1]Pivot Table_CED'!$A$3,"SUB TYPE",$B179))</f>
        <v/>
      </c>
      <c r="N179" s="92">
        <f>IF($L179="PROXY",DAVERAGE('[1]literature entries'!$D:$AI,IF($J179=1,"ACTIVE     CED, FARM GATE (MJ/kg)","CED, processor gate (MJ/kg)"),INDIRECT($K179)),GETPIVOTDATA(IF($J179=1,"Average of ACTIVE     CED, FARM GATE (MJ/kg)","Average of CED, processor gate (MJ/kg)"),'[1]Pivot Table_CED'!$A$3,"SUB TYPE",$B179))</f>
        <v/>
      </c>
      <c r="O179" s="92">
        <f>IF($L179="PROXY",DSTDEV('[1]literature entries'!D:AI,IF($J179=1,"ACTIVE     CED, FARM GATE (MJ/kg)","CED, processor gate (MJ/kg)"),INDIRECT($K179)),GETPIVOTDATA(IF($J179=1,"StdDev of ACTIVE     CED, FARM GATE (MJ/kg)","StdDev of CED, processor gate (MJ/kg)"),'[1]Pivot Table_CED'!$A$3,"SUB TYPE",$B179))</f>
        <v/>
      </c>
      <c r="P179" s="90">
        <f>IF(ISERROR(GETPIVOTDATA(IF($J179=1,"Count of ACTIVE     GHGE, FARM GATE (kg CO2e/kg)","Count of GHGE, processor gate (kg CO2e/kg)"),'[1]Pivot Table_GHG'!$A$3,"SUB TYPE",$B179)),"PROXY",IF(GETPIVOTDATA(IF($J179=1,"Count of ACTIVE     GHGE, FARM GATE (kg CO2e/kg)","Count of GHGE, processor gate (kg CO2e/kg)"),'[1]Pivot Table_GHG'!$A$3,"SUB TYPE",$B179)=0,"PROXY","DB value"))</f>
        <v/>
      </c>
      <c r="Q179" s="93">
        <f>IF($P179="PROXY",DCOUNT('[1]literature entries'!$D:$AI,IF($J179=1,"ACTIVE     GHGE, FARM GATE (kg CO2e/kg)","GHGE, processor gate (kg CO2e/kg)"),INDIRECT($K179)),GETPIVOTDATA(IF($J179=1,"ACTIVE     GHGE, FARM GATE (kg CO2e/kg)","Count of GHGE, processor gate (kg CO2e/kg)"),'[1]Pivot Table_GHG'!$A$3,"SUB TYPE",$B179))</f>
        <v/>
      </c>
      <c r="R179" s="94">
        <f>IF($P179="PROXY",DAVERAGE('[1]literature entries'!$D:$AI,IF($J179=1,"ACTIVE     GHGE, FARM GATE (kg CO2e/kg)","GHGE, processor gate (kg CO2e/kg)"),INDIRECT($K179)),GETPIVOTDATA(IF($J179=1,"Average of ACTIVE     GHGE, FARM GATE (kg CO2e/kg)","Average of GHGE, processor gate (kg CO2e/kg)"),'[1]Pivot Table_GHG'!$A$3,"SUB TYPE",$B179))</f>
        <v/>
      </c>
      <c r="S179" s="94">
        <f>IF($P179="PROXY",DSTDEV('[1]literature entries'!$D:$AI,IF($J179=1,"ACTIVE     GHGE, FARM GATE (kg CO2e/kg)","GHGE, processor gate (kg CO2e/kg)"),INDIRECT($K179)),GETPIVOTDATA(IF($J179=1,"StdDev of ACTIVE     GHGE, FARM GATE (kg CO2e/kg)","StdDev of GHGE, processor gate (kg CO2e/kg)"),'[1]Pivot Table_GHG'!$A$3,"SUB TYPE",$B179))</f>
        <v/>
      </c>
      <c r="T179" s="105" t="n"/>
      <c r="U179" s="106" t="n"/>
      <c r="V179" s="97" t="n"/>
      <c r="W179" s="98" t="inlineStr">
        <is>
          <t>nut</t>
        </is>
      </c>
      <c r="X179" s="98">
        <f>IF($W179="DIRECT",M179,DCOUNT('[1]literature entries'!$D:$AI,IF($J179=1,"ACTIVE     CED, FARM GATE (MJ/kg)","CED, processor gate (MJ/kg)"),INDIRECT($W179)))</f>
        <v/>
      </c>
      <c r="Y179" s="98">
        <f>IF($W179="DIRECT","",DAVERAGE('[1]literature entries'!$D:$AI,IF($J179=1,"ACTIVE     CED, FARM GATE (MJ/kg)","CED, processor gate (MJ/kg)"),INDIRECT($W179)))</f>
        <v/>
      </c>
      <c r="Z179" s="98">
        <f>IF($W179="DIRECT",$O179,DSTDEV('[1]literature entries'!$D:$AI,IF($J179=1,"ACTIVE     CED, FARM GATE (MJ/kg)","CED, processor gate (MJ/kg)"),INDIRECT($W179)))</f>
        <v/>
      </c>
      <c r="AA179" s="98">
        <f>IF($W179="DIRECT",$O179,$Z179/$Y179*$N179)</f>
        <v/>
      </c>
      <c r="AB179" s="99">
        <f>IF(P179="PROXY",IF(Q179&gt;=5,K179,"need group"),IF(Q179&gt;=5,"DIRECT","need group"))</f>
        <v/>
      </c>
      <c r="AC179" s="99">
        <f>IF($AB179="DIRECT",Q179,DCOUNT('[1]literature entries'!$D:$AI,IF($J179=1,"ACTIVE     GHGE, FARM GATE (kg CO2e/kg)","GHGE, processor gate (kg CO2e/kg)"),INDIRECT($AB179)))</f>
        <v/>
      </c>
      <c r="AD179" s="99">
        <f>IF($AB179="DIRECT","",DAVERAGE('[1]literature entries'!$D:$AI,IF($J179=1,"ACTIVE     GHGE, FARM GATE (kg CO2e/kg)","GHGE, processor gate (kg CO2e/kg)"),INDIRECT($AB179)))</f>
        <v/>
      </c>
      <c r="AE179" s="99">
        <f>IF($AB179="DIRECT",$S179,DSTDEV('[1]literature entries'!$D:$AI,IF($J179=1,"ACTIVE     GHGE, FARM GATE (kg CO2e/kg)","GHGE, processor gate (kg CO2e/kg)"),INDIRECT($AB179)))</f>
        <v/>
      </c>
      <c r="AF179" s="99">
        <f>IF($AB179="DIRECT",$S179,$AE179/$AD179*$R179)</f>
        <v/>
      </c>
    </row>
    <row r="180" ht="15.75" customHeight="1" s="201">
      <c r="A180" s="100" t="n">
        <v>1400081000</v>
      </c>
      <c r="B180" s="101" t="inlineStr">
        <is>
          <t>Cashew</t>
        </is>
      </c>
      <c r="C180" s="101" t="inlineStr">
        <is>
          <t>weight of nutmeat</t>
        </is>
      </c>
      <c r="D180" s="101" t="n"/>
      <c r="E180" s="101" t="n">
        <v>2217</v>
      </c>
      <c r="F180" s="84">
        <f>N180*H180+T180</f>
        <v/>
      </c>
      <c r="G180" s="85">
        <f>R180*H180+U180</f>
        <v/>
      </c>
      <c r="H180" s="102" t="n">
        <v>1</v>
      </c>
      <c r="I180" s="103" t="inlineStr">
        <is>
          <t>none</t>
        </is>
      </c>
      <c r="J180" s="104" t="n">
        <v>1</v>
      </c>
      <c r="K180" s="89" t="inlineStr">
        <is>
          <t>nut</t>
        </is>
      </c>
      <c r="L180" s="90">
        <f>IF(ISERROR(GETPIVOTDATA(IF($J180=1,"Count of ACTIVE     CED, FARM GATE (MJ/kg)","Count of CED, processor gate (MJ/kg)"),'[1]Pivot Table_CED'!$A$3,"SUB TYPE",$B180)),"PROXY",IF(GETPIVOTDATA(IF($J180=1,"Count of ACTIVE     CED, FARM GATE (MJ/kg)","Count of CED, processor gate (MJ/kg)"),'[1]Pivot Table_CED'!$A$3,"SUB TYPE",$B180)=0,"PROXY","DB value"))</f>
        <v/>
      </c>
      <c r="M180" s="91">
        <f>IF($L180="PROXY",DCOUNT('[1]literature entries'!$D:$AI,IF($J180=1,"ACTIVE     CED, FARM GATE (MJ/kg)","CED, processor gate (MJ/kg)"),INDIRECT($K180)),GETPIVOTDATA(IF($J180=1,"Count of ACTIVE     CED, FARM GATE (MJ/kg)","Count of CED, processor gate (MJ/kg)"),'[1]Pivot Table_CED'!$A$3,"SUB TYPE",$B180))</f>
        <v/>
      </c>
      <c r="N180" s="92">
        <f>IF($L180="PROXY",DAVERAGE('[1]literature entries'!$D:$AI,IF($J180=1,"ACTIVE     CED, FARM GATE (MJ/kg)","CED, processor gate (MJ/kg)"),INDIRECT($K180)),GETPIVOTDATA(IF($J180=1,"Average of ACTIVE     CED, FARM GATE (MJ/kg)","Average of CED, processor gate (MJ/kg)"),'[1]Pivot Table_CED'!$A$3,"SUB TYPE",$B180))</f>
        <v/>
      </c>
      <c r="O180" s="92">
        <f>IF($L180="PROXY",DSTDEV('[1]literature entries'!D:AI,IF($J180=1,"ACTIVE     CED, FARM GATE (MJ/kg)","CED, processor gate (MJ/kg)"),INDIRECT($K180)),GETPIVOTDATA(IF($J180=1,"StdDev of ACTIVE     CED, FARM GATE (MJ/kg)","StdDev of CED, processor gate (MJ/kg)"),'[1]Pivot Table_CED'!$A$3,"SUB TYPE",$B180))</f>
        <v/>
      </c>
      <c r="P180" s="90">
        <f>IF(ISERROR(GETPIVOTDATA(IF($J180=1,"Count of ACTIVE     GHGE, FARM GATE (kg CO2e/kg)","Count of GHGE, processor gate (kg CO2e/kg)"),'[1]Pivot Table_GHG'!$A$3,"SUB TYPE",$B180)),"PROXY",IF(GETPIVOTDATA(IF($J180=1,"Count of ACTIVE     GHGE, FARM GATE (kg CO2e/kg)","Count of GHGE, processor gate (kg CO2e/kg)"),'[1]Pivot Table_GHG'!$A$3,"SUB TYPE",$B180)=0,"PROXY","DB value"))</f>
        <v/>
      </c>
      <c r="Q180" s="93">
        <f>IF($P180="PROXY",DCOUNT('[1]literature entries'!$D:$AI,IF($J180=1,"ACTIVE     GHGE, FARM GATE (kg CO2e/kg)","GHGE, processor gate (kg CO2e/kg)"),INDIRECT($K180)),GETPIVOTDATA(IF($J180=1,"ACTIVE     GHGE, FARM GATE (kg CO2e/kg)","Count of GHGE, processor gate (kg CO2e/kg)"),'[1]Pivot Table_GHG'!$A$3,"SUB TYPE",$B180))</f>
        <v/>
      </c>
      <c r="R180" s="94">
        <f>IF($P180="PROXY",DAVERAGE('[1]literature entries'!$D:$AI,IF($J180=1,"ACTIVE     GHGE, FARM GATE (kg CO2e/kg)","GHGE, processor gate (kg CO2e/kg)"),INDIRECT($K180)),GETPIVOTDATA(IF($J180=1,"Average of ACTIVE     GHGE, FARM GATE (kg CO2e/kg)","Average of GHGE, processor gate (kg CO2e/kg)"),'[1]Pivot Table_GHG'!$A$3,"SUB TYPE",$B180))</f>
        <v/>
      </c>
      <c r="S180" s="94">
        <f>IF($P180="PROXY",DSTDEV('[1]literature entries'!$D:$AI,IF($J180=1,"ACTIVE     GHGE, FARM GATE (kg CO2e/kg)","GHGE, processor gate (kg CO2e/kg)"),INDIRECT($K180)),GETPIVOTDATA(IF($J180=1,"StdDev of ACTIVE     GHGE, FARM GATE (kg CO2e/kg)","StdDev of GHGE, processor gate (kg CO2e/kg)"),'[1]Pivot Table_GHG'!$A$3,"SUB TYPE",$B180))</f>
        <v/>
      </c>
      <c r="T180" s="105" t="n"/>
      <c r="U180" s="106" t="n"/>
      <c r="V180" s="97" t="n"/>
      <c r="W180" s="98" t="inlineStr">
        <is>
          <t>nut</t>
        </is>
      </c>
      <c r="X180" s="98">
        <f>IF($W180="DIRECT",M180,DCOUNT('[1]literature entries'!$D:$AI,IF($J180=1,"ACTIVE     CED, FARM GATE (MJ/kg)","CED, processor gate (MJ/kg)"),INDIRECT($W180)))</f>
        <v/>
      </c>
      <c r="Y180" s="98">
        <f>IF($W180="DIRECT","",DAVERAGE('[1]literature entries'!$D:$AI,IF($J180=1,"ACTIVE     CED, FARM GATE (MJ/kg)","CED, processor gate (MJ/kg)"),INDIRECT($W180)))</f>
        <v/>
      </c>
      <c r="Z180" s="98">
        <f>IF($W180="DIRECT",$O180,DSTDEV('[1]literature entries'!$D:$AI,IF($J180=1,"ACTIVE     CED, FARM GATE (MJ/kg)","CED, processor gate (MJ/kg)"),INDIRECT($W180)))</f>
        <v/>
      </c>
      <c r="AA180" s="98">
        <f>IF($W180="DIRECT",$O180,$Z180/$Y180*$N180)</f>
        <v/>
      </c>
      <c r="AB180" s="99" t="inlineStr">
        <is>
          <t>nut</t>
        </is>
      </c>
      <c r="AC180" s="99">
        <f>IF($AB180="DIRECT",Q180,DCOUNT('[1]literature entries'!$D:$AI,IF($J180=1,"ACTIVE     GHGE, FARM GATE (kg CO2e/kg)","GHGE, processor gate (kg CO2e/kg)"),INDIRECT($AB180)))</f>
        <v/>
      </c>
      <c r="AD180" s="99">
        <f>IF($AB180="DIRECT","",DAVERAGE('[1]literature entries'!$D:$AI,IF($J180=1,"ACTIVE     GHGE, FARM GATE (kg CO2e/kg)","GHGE, processor gate (kg CO2e/kg)"),INDIRECT($AB180)))</f>
        <v/>
      </c>
      <c r="AE180" s="99">
        <f>IF($AB180="DIRECT",$S180,DSTDEV('[1]literature entries'!$D:$AI,IF($J180=1,"ACTIVE     GHGE, FARM GATE (kg CO2e/kg)","GHGE, processor gate (kg CO2e/kg)"),INDIRECT($AB180)))</f>
        <v/>
      </c>
      <c r="AF180" s="99">
        <f>IF($AB180="DIRECT",$S180,$AE180/$AD180*$R180)</f>
        <v/>
      </c>
    </row>
    <row r="181" ht="15.75" customHeight="1" s="201">
      <c r="A181" s="100" t="n">
        <v>1400092000</v>
      </c>
      <c r="B181" s="101" t="inlineStr">
        <is>
          <t>Chestnut</t>
        </is>
      </c>
      <c r="C181" s="101" t="inlineStr">
        <is>
          <t>weight of  nutmeat</t>
        </is>
      </c>
      <c r="D181" s="101" t="n"/>
      <c r="E181" s="101" t="n">
        <v>10</v>
      </c>
      <c r="F181" s="84">
        <f>N181*H181+T181</f>
        <v/>
      </c>
      <c r="G181" s="85">
        <f>R181*H181+U181</f>
        <v/>
      </c>
      <c r="H181" s="102" t="n">
        <v>1.24</v>
      </c>
      <c r="I181" s="103" t="inlineStr">
        <is>
          <t>FICRCD</t>
        </is>
      </c>
      <c r="J181" s="104" t="n">
        <v>1</v>
      </c>
      <c r="K181" s="89" t="inlineStr">
        <is>
          <t>nut</t>
        </is>
      </c>
      <c r="L181" s="90">
        <f>IF(ISERROR(GETPIVOTDATA(IF($J181=1,"Count of ACTIVE     CED, FARM GATE (MJ/kg)","Count of CED, processor gate (MJ/kg)"),'[1]Pivot Table_CED'!$A$3,"SUB TYPE",$B181)),"PROXY",IF(GETPIVOTDATA(IF($J181=1,"Count of ACTIVE     CED, FARM GATE (MJ/kg)","Count of CED, processor gate (MJ/kg)"),'[1]Pivot Table_CED'!$A$3,"SUB TYPE",$B181)=0,"PROXY","DB value"))</f>
        <v/>
      </c>
      <c r="M181" s="91">
        <f>IF($L181="PROXY",DCOUNT('[1]literature entries'!$D:$AI,IF($J181=1,"ACTIVE     CED, FARM GATE (MJ/kg)","CED, processor gate (MJ/kg)"),INDIRECT($K181)),GETPIVOTDATA(IF($J181=1,"Count of ACTIVE     CED, FARM GATE (MJ/kg)","Count of CED, processor gate (MJ/kg)"),'[1]Pivot Table_CED'!$A$3,"SUB TYPE",$B181))</f>
        <v/>
      </c>
      <c r="N181" s="92">
        <f>IF($L181="PROXY",DAVERAGE('[1]literature entries'!$D:$AI,IF($J181=1,"ACTIVE     CED, FARM GATE (MJ/kg)","CED, processor gate (MJ/kg)"),INDIRECT($K181)),GETPIVOTDATA(IF($J181=1,"Average of ACTIVE     CED, FARM GATE (MJ/kg)","Average of CED, processor gate (MJ/kg)"),'[1]Pivot Table_CED'!$A$3,"SUB TYPE",$B181))</f>
        <v/>
      </c>
      <c r="O181" s="92">
        <f>IF($L181="PROXY",DSTDEV('[1]literature entries'!D:AI,IF($J181=1,"ACTIVE     CED, FARM GATE (MJ/kg)","CED, processor gate (MJ/kg)"),INDIRECT($K181)),GETPIVOTDATA(IF($J181=1,"StdDev of ACTIVE     CED, FARM GATE (MJ/kg)","StdDev of CED, processor gate (MJ/kg)"),'[1]Pivot Table_CED'!$A$3,"SUB TYPE",$B181))</f>
        <v/>
      </c>
      <c r="P181" s="90">
        <f>IF(ISERROR(GETPIVOTDATA(IF($J181=1,"Count of ACTIVE     GHGE, FARM GATE (kg CO2e/kg)","Count of GHGE, processor gate (kg CO2e/kg)"),'[1]Pivot Table_GHG'!$A$3,"SUB TYPE",$B181)),"PROXY",IF(GETPIVOTDATA(IF($J181=1,"Count of ACTIVE     GHGE, FARM GATE (kg CO2e/kg)","Count of GHGE, processor gate (kg CO2e/kg)"),'[1]Pivot Table_GHG'!$A$3,"SUB TYPE",$B181)=0,"PROXY","DB value"))</f>
        <v/>
      </c>
      <c r="Q181" s="93">
        <f>IF($P181="PROXY",DCOUNT('[1]literature entries'!$D:$AI,IF($J181=1,"ACTIVE     GHGE, FARM GATE (kg CO2e/kg)","GHGE, processor gate (kg CO2e/kg)"),INDIRECT($K181)),GETPIVOTDATA(IF($J181=1,"ACTIVE     GHGE, FARM GATE (kg CO2e/kg)","Count of GHGE, processor gate (kg CO2e/kg)"),'[1]Pivot Table_GHG'!$A$3,"SUB TYPE",$B181))</f>
        <v/>
      </c>
      <c r="R181" s="94">
        <f>IF($P181="PROXY",DAVERAGE('[1]literature entries'!$D:$AI,IF($J181=1,"ACTIVE     GHGE, FARM GATE (kg CO2e/kg)","GHGE, processor gate (kg CO2e/kg)"),INDIRECT($K181)),GETPIVOTDATA(IF($J181=1,"Average of ACTIVE     GHGE, FARM GATE (kg CO2e/kg)","Average of GHGE, processor gate (kg CO2e/kg)"),'[1]Pivot Table_GHG'!$A$3,"SUB TYPE",$B181))</f>
        <v/>
      </c>
      <c r="S181" s="94">
        <f>IF($P181="PROXY",DSTDEV('[1]literature entries'!$D:$AI,IF($J181=1,"ACTIVE     GHGE, FARM GATE (kg CO2e/kg)","GHGE, processor gate (kg CO2e/kg)"),INDIRECT($K181)),GETPIVOTDATA(IF($J181=1,"StdDev of ACTIVE     GHGE, FARM GATE (kg CO2e/kg)","StdDev of GHGE, processor gate (kg CO2e/kg)"),'[1]Pivot Table_GHG'!$A$3,"SUB TYPE",$B181))</f>
        <v/>
      </c>
      <c r="T181" s="105" t="n"/>
      <c r="U181" s="106" t="n"/>
      <c r="V181" s="97" t="n"/>
      <c r="W181" s="98" t="inlineStr">
        <is>
          <t>nut</t>
        </is>
      </c>
      <c r="X181" s="98">
        <f>IF($W181="DIRECT",M181,DCOUNT('[1]literature entries'!$D:$AI,IF($J181=1,"ACTIVE     CED, FARM GATE (MJ/kg)","CED, processor gate (MJ/kg)"),INDIRECT($W181)))</f>
        <v/>
      </c>
      <c r="Y181" s="98">
        <f>IF($W181="DIRECT","",DAVERAGE('[1]literature entries'!$D:$AI,IF($J181=1,"ACTIVE     CED, FARM GATE (MJ/kg)","CED, processor gate (MJ/kg)"),INDIRECT($W181)))</f>
        <v/>
      </c>
      <c r="Z181" s="98">
        <f>IF($W181="DIRECT",$O181,DSTDEV('[1]literature entries'!$D:$AI,IF($J181=1,"ACTIVE     CED, FARM GATE (MJ/kg)","CED, processor gate (MJ/kg)"),INDIRECT($W181)))</f>
        <v/>
      </c>
      <c r="AA181" s="98">
        <f>IF($W181="DIRECT",$O181,$Z181/$Y181*$N181)</f>
        <v/>
      </c>
      <c r="AB181" s="99" t="inlineStr">
        <is>
          <t>nut</t>
        </is>
      </c>
      <c r="AC181" s="99">
        <f>IF($AB181="DIRECT",Q181,DCOUNT('[1]literature entries'!$D:$AI,IF($J181=1,"ACTIVE     GHGE, FARM GATE (kg CO2e/kg)","GHGE, processor gate (kg CO2e/kg)"),INDIRECT($AB181)))</f>
        <v/>
      </c>
      <c r="AD181" s="99">
        <f>IF($AB181="DIRECT","",DAVERAGE('[1]literature entries'!$D:$AI,IF($J181=1,"ACTIVE     GHGE, FARM GATE (kg CO2e/kg)","GHGE, processor gate (kg CO2e/kg)"),INDIRECT($AB181)))</f>
        <v/>
      </c>
      <c r="AE181" s="99">
        <f>IF($AB181="DIRECT",$S181,DSTDEV('[1]literature entries'!$D:$AI,IF($J181=1,"ACTIVE     GHGE, FARM GATE (kg CO2e/kg)","GHGE, processor gate (kg CO2e/kg)"),INDIRECT($AB181)))</f>
        <v/>
      </c>
      <c r="AF181" s="99">
        <f>IF($AB181="DIRECT",$S181,$AE181/$AD181*$R181)</f>
        <v/>
      </c>
    </row>
    <row r="182" ht="15.75" customHeight="1" s="201">
      <c r="A182" s="100" t="n">
        <v>1400111000</v>
      </c>
      <c r="B182" s="101" t="inlineStr">
        <is>
          <t>Coconut, meat</t>
        </is>
      </c>
      <c r="C182" s="101" t="inlineStr">
        <is>
          <t>weight of meat; excluding milk and shell</t>
        </is>
      </c>
      <c r="D182" s="101" t="inlineStr">
        <is>
          <t>includes coconut, water</t>
        </is>
      </c>
      <c r="E182" s="101" t="n">
        <v>98</v>
      </c>
      <c r="F182" s="84">
        <f>N182*H182+T182</f>
        <v/>
      </c>
      <c r="G182" s="85">
        <f>R182*H182+U182</f>
        <v/>
      </c>
      <c r="H182" s="102" t="n">
        <v>1.92</v>
      </c>
      <c r="I182" s="103" t="inlineStr">
        <is>
          <t>NNDSR28</t>
        </is>
      </c>
      <c r="J182" s="104" t="n">
        <v>1</v>
      </c>
      <c r="K182" s="89" t="n"/>
      <c r="L182" s="90">
        <f>IF(ISERROR(GETPIVOTDATA(IF($J182=1,"Count of ACTIVE     CED, FARM GATE (MJ/kg)","Count of CED, processor gate (MJ/kg)"),'[1]Pivot Table_CED'!$A$3,"SUB TYPE",$B182)),"PROXY",IF(GETPIVOTDATA(IF($J182=1,"Count of ACTIVE     CED, FARM GATE (MJ/kg)","Count of CED, processor gate (MJ/kg)"),'[1]Pivot Table_CED'!$A$3,"SUB TYPE",$B182)=0,"PROXY","DB value"))</f>
        <v/>
      </c>
      <c r="M182" s="91">
        <f>IF($L182="PROXY",DCOUNT('[1]literature entries'!$D:$AI,IF($J182=1,"ACTIVE     CED, FARM GATE (MJ/kg)","CED, processor gate (MJ/kg)"),INDIRECT($K182)),GETPIVOTDATA(IF($J182=1,"Count of ACTIVE     CED, FARM GATE (MJ/kg)","Count of CED, processor gate (MJ/kg)"),'[1]Pivot Table_CED'!$A$3,"SUB TYPE",$B182))</f>
        <v/>
      </c>
      <c r="N182" s="92">
        <f>IF($L182="PROXY",DAVERAGE('[1]literature entries'!$D:$AI,IF($J182=1,"ACTIVE     CED, FARM GATE (MJ/kg)","CED, processor gate (MJ/kg)"),INDIRECT($K182)),GETPIVOTDATA(IF($J182=1,"Average of ACTIVE     CED, FARM GATE (MJ/kg)","Average of CED, processor gate (MJ/kg)"),'[1]Pivot Table_CED'!$A$3,"SUB TYPE",$B182))</f>
        <v/>
      </c>
      <c r="O182" s="92">
        <f>IF($L182="PROXY",DSTDEV('[1]literature entries'!D:AI,IF($J182=1,"ACTIVE     CED, FARM GATE (MJ/kg)","CED, processor gate (MJ/kg)"),INDIRECT($K182)),GETPIVOTDATA(IF($J182=1,"StdDev of ACTIVE     CED, FARM GATE (MJ/kg)","StdDev of CED, processor gate (MJ/kg)"),'[1]Pivot Table_CED'!$A$3,"SUB TYPE",$B182))</f>
        <v/>
      </c>
      <c r="P182" s="90">
        <f>IF(ISERROR(GETPIVOTDATA(IF($J182=1,"Count of ACTIVE     GHGE, FARM GATE (kg CO2e/kg)","Count of GHGE, processor gate (kg CO2e/kg)"),'[1]Pivot Table_GHG'!$A$3,"SUB TYPE",$B182)),"PROXY",IF(GETPIVOTDATA(IF($J182=1,"Count of ACTIVE     GHGE, FARM GATE (kg CO2e/kg)","Count of GHGE, processor gate (kg CO2e/kg)"),'[1]Pivot Table_GHG'!$A$3,"SUB TYPE",$B182)=0,"PROXY","DB value"))</f>
        <v/>
      </c>
      <c r="Q182" s="93">
        <f>IF($P182="PROXY",DCOUNT('[1]literature entries'!$D:$AI,IF($J182=1,"ACTIVE     GHGE, FARM GATE (kg CO2e/kg)","GHGE, processor gate (kg CO2e/kg)"),INDIRECT($K182)),GETPIVOTDATA(IF($J182=1,"ACTIVE     GHGE, FARM GATE (kg CO2e/kg)","Count of GHGE, processor gate (kg CO2e/kg)"),'[1]Pivot Table_GHG'!$A$3,"SUB TYPE",$B182))</f>
        <v/>
      </c>
      <c r="R182" s="94">
        <f>IF($P182="PROXY",DAVERAGE('[1]literature entries'!$D:$AI,IF($J182=1,"ACTIVE     GHGE, FARM GATE (kg CO2e/kg)","GHGE, processor gate (kg CO2e/kg)"),INDIRECT($K182)),GETPIVOTDATA(IF($J182=1,"Average of ACTIVE     GHGE, FARM GATE (kg CO2e/kg)","Average of GHGE, processor gate (kg CO2e/kg)"),'[1]Pivot Table_GHG'!$A$3,"SUB TYPE",$B182))</f>
        <v/>
      </c>
      <c r="S182" s="94">
        <f>IF($P182="PROXY",DSTDEV('[1]literature entries'!$D:$AI,IF($J182=1,"ACTIVE     GHGE, FARM GATE (kg CO2e/kg)","GHGE, processor gate (kg CO2e/kg)"),INDIRECT($K182)),GETPIVOTDATA(IF($J182=1,"StdDev of ACTIVE     GHGE, FARM GATE (kg CO2e/kg)","StdDev of GHGE, processor gate (kg CO2e/kg)"),'[1]Pivot Table_GHG'!$A$3,"SUB TYPE",$B182))</f>
        <v/>
      </c>
      <c r="T182" s="105" t="n"/>
      <c r="U182" s="106" t="n"/>
      <c r="V182" s="97" t="n"/>
      <c r="W182" s="98" t="inlineStr">
        <is>
          <t>nut</t>
        </is>
      </c>
      <c r="X182" s="98">
        <f>IF($W182="DIRECT",M182,DCOUNT('[1]literature entries'!$D:$AI,IF($J182=1,"ACTIVE     CED, FARM GATE (MJ/kg)","CED, processor gate (MJ/kg)"),INDIRECT($W182)))</f>
        <v/>
      </c>
      <c r="Y182" s="98">
        <f>IF($W182="DIRECT","",DAVERAGE('[1]literature entries'!$D:$AI,IF($J182=1,"ACTIVE     CED, FARM GATE (MJ/kg)","CED, processor gate (MJ/kg)"),INDIRECT($W182)))</f>
        <v/>
      </c>
      <c r="Z182" s="98">
        <f>IF($W182="DIRECT",$O182,DSTDEV('[1]literature entries'!$D:$AI,IF($J182=1,"ACTIVE     CED, FARM GATE (MJ/kg)","CED, processor gate (MJ/kg)"),INDIRECT($W182)))</f>
        <v/>
      </c>
      <c r="AA182" s="98">
        <f>IF($W182="DIRECT",$O182,$Z182/$Y182*$N182)</f>
        <v/>
      </c>
      <c r="AB182" s="99" t="inlineStr">
        <is>
          <t>nut</t>
        </is>
      </c>
      <c r="AC182" s="99">
        <f>IF($AB182="DIRECT",Q182,DCOUNT('[1]literature entries'!$D:$AI,IF($J182=1,"ACTIVE     GHGE, FARM GATE (kg CO2e/kg)","GHGE, processor gate (kg CO2e/kg)"),INDIRECT($AB182)))</f>
        <v/>
      </c>
      <c r="AD182" s="99">
        <f>IF($AB182="DIRECT","",DAVERAGE('[1]literature entries'!$D:$AI,IF($J182=1,"ACTIVE     GHGE, FARM GATE (kg CO2e/kg)","GHGE, processor gate (kg CO2e/kg)"),INDIRECT($AB182)))</f>
        <v/>
      </c>
      <c r="AE182" s="99">
        <f>IF($AB182="DIRECT",$S182,DSTDEV('[1]literature entries'!$D:$AI,IF($J182=1,"ACTIVE     GHGE, FARM GATE (kg CO2e/kg)","GHGE, processor gate (kg CO2e/kg)"),INDIRECT($AB182)))</f>
        <v/>
      </c>
      <c r="AF182" s="99">
        <f>IF($AB182="DIRECT",$S182,$AE182/$AD182*$R182)</f>
        <v/>
      </c>
    </row>
    <row r="183" ht="15.75" customHeight="1" s="201">
      <c r="A183" s="100" t="n">
        <v>1400112000</v>
      </c>
      <c r="B183" s="101" t="inlineStr">
        <is>
          <t>Coconut, dried</t>
        </is>
      </c>
      <c r="C183" s="101" t="inlineStr">
        <is>
          <t>dry weight of meat; excluding milk and shell</t>
        </is>
      </c>
      <c r="D183" s="101" t="n"/>
      <c r="E183" s="101" t="n">
        <v>2027</v>
      </c>
      <c r="F183" s="84">
        <f>N183*H183+T183</f>
        <v/>
      </c>
      <c r="G183" s="85">
        <f>R183*H183+U183</f>
        <v/>
      </c>
      <c r="H183" s="112" t="n">
        <v>1.829843425768723</v>
      </c>
      <c r="I183" s="103" t="inlineStr">
        <is>
          <t>NNDSR28</t>
        </is>
      </c>
      <c r="J183" s="104" t="n">
        <v>1</v>
      </c>
      <c r="K183" s="89" t="inlineStr">
        <is>
          <t>coconut_meat</t>
        </is>
      </c>
      <c r="L183" s="90">
        <f>IF(ISERROR(GETPIVOTDATA(IF($J183=1,"Count of ACTIVE     CED, FARM GATE (MJ/kg)","Count of CED, processor gate (MJ/kg)"),'[1]Pivot Table_CED'!$A$3,"SUB TYPE",$B183)),"PROXY",IF(GETPIVOTDATA(IF($J183=1,"Count of ACTIVE     CED, FARM GATE (MJ/kg)","Count of CED, processor gate (MJ/kg)"),'[1]Pivot Table_CED'!$A$3,"SUB TYPE",$B183)=0,"PROXY","DB value"))</f>
        <v/>
      </c>
      <c r="M183" s="91">
        <f>IF($L183="PROXY",DCOUNT('[1]literature entries'!$D:$AI,IF($J183=1,"ACTIVE     CED, FARM GATE (MJ/kg)","CED, processor gate (MJ/kg)"),INDIRECT($K183)),GETPIVOTDATA(IF($J183=1,"Count of ACTIVE     CED, FARM GATE (MJ/kg)","Count of CED, processor gate (MJ/kg)"),'[1]Pivot Table_CED'!$A$3,"SUB TYPE",$B183))</f>
        <v/>
      </c>
      <c r="N183" s="92">
        <f>IF($L183="PROXY",DAVERAGE('[1]literature entries'!$D:$AI,IF($J183=1,"ACTIVE     CED, FARM GATE (MJ/kg)","CED, processor gate (MJ/kg)"),INDIRECT($K183)),GETPIVOTDATA(IF($J183=1,"Average of ACTIVE     CED, FARM GATE (MJ/kg)","Average of CED, processor gate (MJ/kg)"),'[1]Pivot Table_CED'!$A$3,"SUB TYPE",$B183))</f>
        <v/>
      </c>
      <c r="O183" s="92">
        <f>IF($L183="PROXY",DSTDEV('[1]literature entries'!D:AI,IF($J183=1,"ACTIVE     CED, FARM GATE (MJ/kg)","CED, processor gate (MJ/kg)"),INDIRECT($K183)),GETPIVOTDATA(IF($J183=1,"StdDev of ACTIVE     CED, FARM GATE (MJ/kg)","StdDev of CED, processor gate (MJ/kg)"),'[1]Pivot Table_CED'!$A$3,"SUB TYPE",$B183))</f>
        <v/>
      </c>
      <c r="P183" s="90">
        <f>IF(ISERROR(GETPIVOTDATA(IF($J183=1,"Count of ACTIVE     GHGE, FARM GATE (kg CO2e/kg)","Count of GHGE, processor gate (kg CO2e/kg)"),'[1]Pivot Table_GHG'!$A$3,"SUB TYPE",$B183)),"PROXY",IF(GETPIVOTDATA(IF($J183=1,"Count of ACTIVE     GHGE, FARM GATE (kg CO2e/kg)","Count of GHGE, processor gate (kg CO2e/kg)"),'[1]Pivot Table_GHG'!$A$3,"SUB TYPE",$B183)=0,"PROXY","DB value"))</f>
        <v/>
      </c>
      <c r="Q183" s="93">
        <f>IF($P183="PROXY",DCOUNT('[1]literature entries'!$D:$AI,IF($J183=1,"ACTIVE     GHGE, FARM GATE (kg CO2e/kg)","GHGE, processor gate (kg CO2e/kg)"),INDIRECT($K183)),GETPIVOTDATA(IF($J183=1,"ACTIVE     GHGE, FARM GATE (kg CO2e/kg)","Count of GHGE, processor gate (kg CO2e/kg)"),'[1]Pivot Table_GHG'!$A$3,"SUB TYPE",$B183))</f>
        <v/>
      </c>
      <c r="R183" s="94">
        <f>IF($P183="PROXY",DAVERAGE('[1]literature entries'!$D:$AI,IF($J183=1,"ACTIVE     GHGE, FARM GATE (kg CO2e/kg)","GHGE, processor gate (kg CO2e/kg)"),INDIRECT($K183)),GETPIVOTDATA(IF($J183=1,"Average of ACTIVE     GHGE, FARM GATE (kg CO2e/kg)","Average of GHGE, processor gate (kg CO2e/kg)"),'[1]Pivot Table_GHG'!$A$3,"SUB TYPE",$B183))</f>
        <v/>
      </c>
      <c r="S183" s="94">
        <f>IF($P183="PROXY",DSTDEV('[1]literature entries'!$D:$AI,IF($J183=1,"ACTIVE     GHGE, FARM GATE (kg CO2e/kg)","GHGE, processor gate (kg CO2e/kg)"),INDIRECT($K183)),GETPIVOTDATA(IF($J183=1,"StdDev of ACTIVE     GHGE, FARM GATE (kg CO2e/kg)","StdDev of GHGE, processor gate (kg CO2e/kg)"),'[1]Pivot Table_GHG'!$A$3,"SUB TYPE",$B183))</f>
        <v/>
      </c>
      <c r="T183" s="105" t="n"/>
      <c r="U183" s="106" t="n"/>
      <c r="V183" s="97" t="n"/>
      <c r="W183" s="98" t="inlineStr">
        <is>
          <t>nut</t>
        </is>
      </c>
      <c r="X183" s="98">
        <f>IF($W183="DIRECT",M183,DCOUNT('[1]literature entries'!$D:$AI,IF($J183=1,"ACTIVE     CED, FARM GATE (MJ/kg)","CED, processor gate (MJ/kg)"),INDIRECT($W183)))</f>
        <v/>
      </c>
      <c r="Y183" s="98">
        <f>IF($W183="DIRECT","",DAVERAGE('[1]literature entries'!$D:$AI,IF($J183=1,"ACTIVE     CED, FARM GATE (MJ/kg)","CED, processor gate (MJ/kg)"),INDIRECT($W183)))</f>
        <v/>
      </c>
      <c r="Z183" s="98">
        <f>IF($W183="DIRECT",$O183,DSTDEV('[1]literature entries'!$D:$AI,IF($J183=1,"ACTIVE     CED, FARM GATE (MJ/kg)","CED, processor gate (MJ/kg)"),INDIRECT($W183)))</f>
        <v/>
      </c>
      <c r="AA183" s="98">
        <f>IF($W183="DIRECT",$O183,$Z183/$Y183*$N183)</f>
        <v/>
      </c>
      <c r="AB183" s="99" t="inlineStr">
        <is>
          <t>nut</t>
        </is>
      </c>
      <c r="AC183" s="99">
        <f>IF($AB183="DIRECT",Q183,DCOUNT('[1]literature entries'!$D:$AI,IF($J183=1,"ACTIVE     GHGE, FARM GATE (kg CO2e/kg)","GHGE, processor gate (kg CO2e/kg)"),INDIRECT($AB183)))</f>
        <v/>
      </c>
      <c r="AD183" s="99">
        <f>IF($AB183="DIRECT","",DAVERAGE('[1]literature entries'!$D:$AI,IF($J183=1,"ACTIVE     GHGE, FARM GATE (kg CO2e/kg)","GHGE, processor gate (kg CO2e/kg)"),INDIRECT($AB183)))</f>
        <v/>
      </c>
      <c r="AE183" s="99">
        <f>IF($AB183="DIRECT",$S183,DSTDEV('[1]literature entries'!$D:$AI,IF($J183=1,"ACTIVE     GHGE, FARM GATE (kg CO2e/kg)","GHGE, processor gate (kg CO2e/kg)"),INDIRECT($AB183)))</f>
        <v/>
      </c>
      <c r="AF183" s="99">
        <f>IF($AB183="DIRECT",$S183,$AE183/$AD183*$R183)</f>
        <v/>
      </c>
    </row>
    <row r="184" ht="15.75" customHeight="1" s="201">
      <c r="A184" s="100" t="n">
        <v>1400113000</v>
      </c>
      <c r="B184" s="101" t="inlineStr">
        <is>
          <t>Coconut, milk</t>
        </is>
      </c>
      <c r="C184" s="101" t="inlineStr">
        <is>
          <t>weight of milk only; excluding meat and shell</t>
        </is>
      </c>
      <c r="D184" s="101" t="n"/>
      <c r="E184" s="101" t="n">
        <v>119</v>
      </c>
      <c r="F184" s="84">
        <f>N184*H184+T184</f>
        <v/>
      </c>
      <c r="G184" s="85">
        <f>R184*H184+U184</f>
        <v/>
      </c>
      <c r="H184" s="102" t="n">
        <v>1</v>
      </c>
      <c r="I184" s="103" t="inlineStr">
        <is>
          <t>None</t>
        </is>
      </c>
      <c r="J184" s="104" t="n">
        <v>1</v>
      </c>
      <c r="K184" s="131" t="inlineStr">
        <is>
          <t>coconut_meat</t>
        </is>
      </c>
      <c r="L184" s="90">
        <f>IF(ISERROR(GETPIVOTDATA(IF($J184=1,"Count of ACTIVE     CED, FARM GATE (MJ/kg)","Count of CED, processor gate (MJ/kg)"),'[1]Pivot Table_CED'!$A$3,"SUB TYPE",$B184)),"PROXY",IF(GETPIVOTDATA(IF($J184=1,"Count of ACTIVE     CED, FARM GATE (MJ/kg)","Count of CED, processor gate (MJ/kg)"),'[1]Pivot Table_CED'!$A$3,"SUB TYPE",$B184)=0,"PROXY","DB value"))</f>
        <v/>
      </c>
      <c r="M184" s="91">
        <f>IF($L184="PROXY",DCOUNT('[1]literature entries'!$D:$AI,IF($J184=1,"ACTIVE     CED, FARM GATE (MJ/kg)","CED, processor gate (MJ/kg)"),INDIRECT($K184)),GETPIVOTDATA(IF($J184=1,"Count of ACTIVE     CED, FARM GATE (MJ/kg)","Count of CED, processor gate (MJ/kg)"),'[1]Pivot Table_CED'!$A$3,"SUB TYPE",$B184))</f>
        <v/>
      </c>
      <c r="N184" s="92">
        <f>IF($L184="PROXY",DAVERAGE('[1]literature entries'!$D:$AI,IF($J184=1,"ACTIVE     CED, FARM GATE (MJ/kg)","CED, processor gate (MJ/kg)"),INDIRECT($K184)),GETPIVOTDATA(IF($J184=1,"Average of ACTIVE     CED, FARM GATE (MJ/kg)","Average of CED, processor gate (MJ/kg)"),'[1]Pivot Table_CED'!$A$3,"SUB TYPE",$B184))</f>
        <v/>
      </c>
      <c r="O184" s="92">
        <f>IF($L184="PROXY",DSTDEV('[1]literature entries'!D:AI,IF($J184=1,"ACTIVE     CED, FARM GATE (MJ/kg)","CED, processor gate (MJ/kg)"),INDIRECT($K184)),GETPIVOTDATA(IF($J184=1,"StdDev of ACTIVE     CED, FARM GATE (MJ/kg)","StdDev of CED, processor gate (MJ/kg)"),'[1]Pivot Table_CED'!$A$3,"SUB TYPE",$B184))</f>
        <v/>
      </c>
      <c r="P184" s="90">
        <f>IF(ISERROR(GETPIVOTDATA(IF($J184=1,"Count of ACTIVE     GHGE, FARM GATE (kg CO2e/kg)","Count of GHGE, processor gate (kg CO2e/kg)"),'[1]Pivot Table_GHG'!$A$3,"SUB TYPE",$B184)),"PROXY",IF(GETPIVOTDATA(IF($J184=1,"Count of ACTIVE     GHGE, FARM GATE (kg CO2e/kg)","Count of GHGE, processor gate (kg CO2e/kg)"),'[1]Pivot Table_GHG'!$A$3,"SUB TYPE",$B184)=0,"PROXY","DB value"))</f>
        <v/>
      </c>
      <c r="Q184" s="93">
        <f>IF($P184="PROXY",DCOUNT('[1]literature entries'!$D:$AI,IF($J184=1,"ACTIVE     GHGE, FARM GATE (kg CO2e/kg)","GHGE, processor gate (kg CO2e/kg)"),INDIRECT($K184)),GETPIVOTDATA(IF($J184=1,"ACTIVE     GHGE, FARM GATE (kg CO2e/kg)","Count of GHGE, processor gate (kg CO2e/kg)"),'[1]Pivot Table_GHG'!$A$3,"SUB TYPE",$B184))</f>
        <v/>
      </c>
      <c r="R184" s="94">
        <f>IF($P184="PROXY",DAVERAGE('[1]literature entries'!$D:$AI,IF($J184=1,"ACTIVE     GHGE, FARM GATE (kg CO2e/kg)","GHGE, processor gate (kg CO2e/kg)"),INDIRECT($K184)),GETPIVOTDATA(IF($J184=1,"Average of ACTIVE     GHGE, FARM GATE (kg CO2e/kg)","Average of GHGE, processor gate (kg CO2e/kg)"),'[1]Pivot Table_GHG'!$A$3,"SUB TYPE",$B184))</f>
        <v/>
      </c>
      <c r="S184" s="94">
        <f>IF($P184="PROXY",DSTDEV('[1]literature entries'!$D:$AI,IF($J184=1,"ACTIVE     GHGE, FARM GATE (kg CO2e/kg)","GHGE, processor gate (kg CO2e/kg)"),INDIRECT($K184)),GETPIVOTDATA(IF($J184=1,"StdDev of ACTIVE     GHGE, FARM GATE (kg CO2e/kg)","StdDev of GHGE, processor gate (kg CO2e/kg)"),'[1]Pivot Table_GHG'!$A$3,"SUB TYPE",$B184))</f>
        <v/>
      </c>
      <c r="T184" s="105" t="n"/>
      <c r="U184" s="106" t="n"/>
      <c r="V184" s="97" t="n"/>
      <c r="W184" s="98" t="inlineStr">
        <is>
          <t>nut</t>
        </is>
      </c>
      <c r="X184" s="98">
        <f>IF($W184="DIRECT",M184,DCOUNT('[1]literature entries'!$D:$AI,IF($J184=1,"ACTIVE     CED, FARM GATE (MJ/kg)","CED, processor gate (MJ/kg)"),INDIRECT($W184)))</f>
        <v/>
      </c>
      <c r="Y184" s="98">
        <f>IF($W184="DIRECT","",DAVERAGE('[1]literature entries'!$D:$AI,IF($J184=1,"ACTIVE     CED, FARM GATE (MJ/kg)","CED, processor gate (MJ/kg)"),INDIRECT($W184)))</f>
        <v/>
      </c>
      <c r="Z184" s="98">
        <f>IF($W184="DIRECT",$O184,DSTDEV('[1]literature entries'!$D:$AI,IF($J184=1,"ACTIVE     CED, FARM GATE (MJ/kg)","CED, processor gate (MJ/kg)"),INDIRECT($W184)))</f>
        <v/>
      </c>
      <c r="AA184" s="98">
        <f>IF($W184="DIRECT",$O184,$Z184/$Y184*$N184)</f>
        <v/>
      </c>
      <c r="AB184" s="99" t="inlineStr">
        <is>
          <t>nut</t>
        </is>
      </c>
      <c r="AC184" s="99">
        <f>IF($AB184="DIRECT",Q184,DCOUNT('[1]literature entries'!$D:$AI,IF($J184=1,"ACTIVE     GHGE, FARM GATE (kg CO2e/kg)","GHGE, processor gate (kg CO2e/kg)"),INDIRECT($AB184)))</f>
        <v/>
      </c>
      <c r="AD184" s="99">
        <f>IF($AB184="DIRECT","",DAVERAGE('[1]literature entries'!$D:$AI,IF($J184=1,"ACTIVE     GHGE, FARM GATE (kg CO2e/kg)","GHGE, processor gate (kg CO2e/kg)"),INDIRECT($AB184)))</f>
        <v/>
      </c>
      <c r="AE184" s="99">
        <f>IF($AB184="DIRECT",$S184,DSTDEV('[1]literature entries'!$D:$AI,IF($J184=1,"ACTIVE     GHGE, FARM GATE (kg CO2e/kg)","GHGE, processor gate (kg CO2e/kg)"),INDIRECT($AB184)))</f>
        <v/>
      </c>
      <c r="AF184" s="99">
        <f>IF($AB184="DIRECT",$S184,$AE184/$AD184*$R184)</f>
        <v/>
      </c>
    </row>
    <row r="185" ht="15.75" customHeight="1" s="201">
      <c r="A185" s="100" t="n">
        <v>1400114000</v>
      </c>
      <c r="B185" s="101" t="inlineStr">
        <is>
          <t>Coconut, oil</t>
        </is>
      </c>
      <c r="C185" s="101" t="inlineStr">
        <is>
          <t>weight of oil</t>
        </is>
      </c>
      <c r="D185" s="101" t="n"/>
      <c r="E185" s="101" t="n">
        <v>11877</v>
      </c>
      <c r="F185" s="84">
        <f>N185*H185+T185</f>
        <v/>
      </c>
      <c r="G185" s="85">
        <f>R185*H185+U185</f>
        <v/>
      </c>
      <c r="H185" s="102" t="n">
        <v>1</v>
      </c>
      <c r="I185" s="103" t="inlineStr">
        <is>
          <t>FICRCD</t>
        </is>
      </c>
      <c r="J185" s="104" t="n">
        <v>2</v>
      </c>
      <c r="K185" s="89" t="n"/>
      <c r="L185" s="90">
        <f>IF(ISERROR(GETPIVOTDATA(IF($J185=1,"Count of ACTIVE     CED, FARM GATE (MJ/kg)","Count of CED, processor gate (MJ/kg)"),'[1]Pivot Table_CED'!$A$3,"SUB TYPE",$B185)),"PROXY",IF(GETPIVOTDATA(IF($J185=1,"Count of ACTIVE     CED, FARM GATE (MJ/kg)","Count of CED, processor gate (MJ/kg)"),'[1]Pivot Table_CED'!$A$3,"SUB TYPE",$B185)=0,"PROXY","DB value"))</f>
        <v/>
      </c>
      <c r="M185" s="91">
        <f>IF($L185="PROXY",DCOUNT('[1]literature entries'!$D:$AI,IF($J185=1,"ACTIVE     CED, FARM GATE (MJ/kg)","CED, processor gate (MJ/kg)"),INDIRECT($K185)),GETPIVOTDATA(IF($J185=1,"Count of ACTIVE     CED, FARM GATE (MJ/kg)","Count of CED, processor gate (MJ/kg)"),'[1]Pivot Table_CED'!$A$3,"SUB TYPE",$B185))</f>
        <v/>
      </c>
      <c r="N185" s="92">
        <f>IF($L185="PROXY",DAVERAGE('[1]literature entries'!$D:$AI,IF($J185=1,"ACTIVE     CED, FARM GATE (MJ/kg)","CED, processor gate (MJ/kg)"),INDIRECT($K185)),GETPIVOTDATA(IF($J185=1,"Average of ACTIVE     CED, FARM GATE (MJ/kg)","Average of CED, processor gate (MJ/kg)"),'[1]Pivot Table_CED'!$A$3,"SUB TYPE",$B185))</f>
        <v/>
      </c>
      <c r="O185" s="92">
        <f>IF($L185="PROXY",DSTDEV('[1]literature entries'!D:AI,IF($J185=1,"ACTIVE     CED, FARM GATE (MJ/kg)","CED, processor gate (MJ/kg)"),INDIRECT($K185)),GETPIVOTDATA(IF($J185=1,"StdDev of ACTIVE     CED, FARM GATE (MJ/kg)","StdDev of CED, processor gate (MJ/kg)"),'[1]Pivot Table_CED'!$A$3,"SUB TYPE",$B185))</f>
        <v/>
      </c>
      <c r="P185" s="90">
        <f>IF(ISERROR(GETPIVOTDATA(IF($J185=1,"Count of ACTIVE     GHGE, FARM GATE (kg CO2e/kg)","Count of GHGE, processor gate (kg CO2e/kg)"),'[1]Pivot Table_GHG'!$A$3,"SUB TYPE",$B185)),"PROXY",IF(GETPIVOTDATA(IF($J185=1,"Count of ACTIVE     GHGE, FARM GATE (kg CO2e/kg)","Count of GHGE, processor gate (kg CO2e/kg)"),'[1]Pivot Table_GHG'!$A$3,"SUB TYPE",$B185)=0,"PROXY","DB value"))</f>
        <v/>
      </c>
      <c r="Q185" s="93">
        <f>IF($P185="PROXY",DCOUNT('[1]literature entries'!$D:$AI,IF($J185=1,"ACTIVE     GHGE, FARM GATE (kg CO2e/kg)","GHGE, processor gate (kg CO2e/kg)"),INDIRECT($K185)),GETPIVOTDATA(IF($J185=1,"ACTIVE     GHGE, FARM GATE (kg CO2e/kg)","Count of GHGE, processor gate (kg CO2e/kg)"),'[1]Pivot Table_GHG'!$A$3,"SUB TYPE",$B185))</f>
        <v/>
      </c>
      <c r="R185" s="94">
        <f>IF($P185="PROXY",DAVERAGE('[1]literature entries'!$D:$AI,IF($J185=1,"ACTIVE     GHGE, FARM GATE (kg CO2e/kg)","GHGE, processor gate (kg CO2e/kg)"),INDIRECT($K185)),GETPIVOTDATA(IF($J185=1,"Average of ACTIVE     GHGE, FARM GATE (kg CO2e/kg)","Average of GHGE, processor gate (kg CO2e/kg)"),'[1]Pivot Table_GHG'!$A$3,"SUB TYPE",$B185))</f>
        <v/>
      </c>
      <c r="S185" s="94">
        <f>IF($P185="PROXY",DSTDEV('[1]literature entries'!$D:$AI,IF($J185=1,"ACTIVE     GHGE, FARM GATE (kg CO2e/kg)","GHGE, processor gate (kg CO2e/kg)"),INDIRECT($K185)),GETPIVOTDATA(IF($J185=1,"StdDev of ACTIVE     GHGE, FARM GATE (kg CO2e/kg)","StdDev of GHGE, processor gate (kg CO2e/kg)"),'[1]Pivot Table_GHG'!$A$3,"SUB TYPE",$B185))</f>
        <v/>
      </c>
      <c r="T185" s="105" t="n"/>
      <c r="U185" s="106" t="n"/>
      <c r="V185" s="97" t="n"/>
      <c r="W185" s="110" t="inlineStr">
        <is>
          <t>nut</t>
        </is>
      </c>
      <c r="X185" s="98">
        <f t="array" ref="X185">IF($W185="DIRECT",M185,DCOUNT('[1]literature entries'!$D:$AI,"ACTIVE     CED, FARM GATE (MJ/kg)",INDIRECT($W185)))</f>
        <v/>
      </c>
      <c r="Y185" s="98">
        <f t="array" ref="Y185">IF($W185="DIRECT","",DAVERAGE('[1]literature entries'!$D:$AI,"ACTIVE     CED, FARM GATE (MJ/kg)",INDIRECT($W185)))</f>
        <v/>
      </c>
      <c r="Z185" s="98">
        <f t="array" ref="Z185">IF($W185="DIRECT",$O185,DSTDEV('[1]literature entries'!$D:$AI,"ACTIVE     CED, FARM GATE (MJ/kg)",INDIRECT($W185)))</f>
        <v/>
      </c>
      <c r="AA185" s="98">
        <f>IF($W185="DIRECT",$O185,$Z185/$Y185*$N185)</f>
        <v/>
      </c>
      <c r="AB185" s="99" t="inlineStr">
        <is>
          <t>nut</t>
        </is>
      </c>
      <c r="AC185" s="99">
        <f>IF($AB185="DIRECT",Q185,DCOUNT('[1]literature entries'!$D:$AI,IF($J185=1,"ACTIVE     GHGE, FARM GATE (kg CO2e/kg)","GHGE, processor gate (kg CO2e/kg)"),INDIRECT($AB185)))</f>
        <v/>
      </c>
      <c r="AD185" s="99">
        <f>IF($AB185="DIRECT","",DAVERAGE('[1]literature entries'!$D:$AI,IF($J185=1,"ACTIVE     GHGE, FARM GATE (kg CO2e/kg)","GHGE, processor gate (kg CO2e/kg)"),INDIRECT($AB185)))</f>
        <v/>
      </c>
      <c r="AE185" s="99">
        <f>IF($AB185="DIRECT",$S185,DSTDEV('[1]literature entries'!$D:$AI,IF($J185=1,"ACTIVE     GHGE, FARM GATE (kg CO2e/kg)","GHGE, processor gate (kg CO2e/kg)"),INDIRECT($AB185)))</f>
        <v/>
      </c>
      <c r="AF185" s="99">
        <f>IF($AB185="DIRECT",$S185,$AE185/$AD185*$R185)</f>
        <v/>
      </c>
    </row>
    <row r="186" ht="15.75" customHeight="1" s="201">
      <c r="A186" s="100" t="n">
        <v>1400155000</v>
      </c>
      <c r="B186" s="101" t="inlineStr">
        <is>
          <t>Hazelnut</t>
        </is>
      </c>
      <c r="C186" s="101" t="inlineStr">
        <is>
          <t>weight of nutmeat</t>
        </is>
      </c>
      <c r="D186" s="101" t="inlineStr">
        <is>
          <t>Also called filbert.</t>
        </is>
      </c>
      <c r="E186" s="101" t="n">
        <v>1707</v>
      </c>
      <c r="F186" s="84">
        <f>N186*H186+T186</f>
        <v/>
      </c>
      <c r="G186" s="85">
        <f>R186*H186+U186</f>
        <v/>
      </c>
      <c r="H186" s="102" t="n">
        <v>1</v>
      </c>
      <c r="I186" s="103" t="inlineStr">
        <is>
          <t>none</t>
        </is>
      </c>
      <c r="J186" s="104" t="n">
        <v>1</v>
      </c>
      <c r="K186" s="89" t="n"/>
      <c r="L186" s="90">
        <f>IF(ISERROR(GETPIVOTDATA(IF($J186=1,"Count of ACTIVE     CED, FARM GATE (MJ/kg)","Count of CED, processor gate (MJ/kg)"),'[1]Pivot Table_CED'!$A$3,"SUB TYPE",$B186)),"PROXY",IF(GETPIVOTDATA(IF($J186=1,"Count of ACTIVE     CED, FARM GATE (MJ/kg)","Count of CED, processor gate (MJ/kg)"),'[1]Pivot Table_CED'!$A$3,"SUB TYPE",$B186)=0,"PROXY","DB value"))</f>
        <v/>
      </c>
      <c r="M186" s="91">
        <f>IF($L186="PROXY",DCOUNT('[1]literature entries'!$D:$AI,IF($J186=1,"ACTIVE     CED, FARM GATE (MJ/kg)","CED, processor gate (MJ/kg)"),INDIRECT($K186)),GETPIVOTDATA(IF($J186=1,"Count of ACTIVE     CED, FARM GATE (MJ/kg)","Count of CED, processor gate (MJ/kg)"),'[1]Pivot Table_CED'!$A$3,"SUB TYPE",$B186))</f>
        <v/>
      </c>
      <c r="N186" s="92">
        <f>IF($L186="PROXY",DAVERAGE('[1]literature entries'!$D:$AI,IF($J186=1,"ACTIVE     CED, FARM GATE (MJ/kg)","CED, processor gate (MJ/kg)"),INDIRECT($K186)),GETPIVOTDATA(IF($J186=1,"Average of ACTIVE     CED, FARM GATE (MJ/kg)","Average of CED, processor gate (MJ/kg)"),'[1]Pivot Table_CED'!$A$3,"SUB TYPE",$B186))</f>
        <v/>
      </c>
      <c r="O186" s="92">
        <f>IF($L186="PROXY",DSTDEV('[1]literature entries'!D:AI,IF($J186=1,"ACTIVE     CED, FARM GATE (MJ/kg)","CED, processor gate (MJ/kg)"),INDIRECT($K186)),GETPIVOTDATA(IF($J186=1,"StdDev of ACTIVE     CED, FARM GATE (MJ/kg)","StdDev of CED, processor gate (MJ/kg)"),'[1]Pivot Table_CED'!$A$3,"SUB TYPE",$B186))</f>
        <v/>
      </c>
      <c r="P186" s="90">
        <f>IF(ISERROR(GETPIVOTDATA(IF($J186=1,"Count of ACTIVE     GHGE, FARM GATE (kg CO2e/kg)","Count of GHGE, processor gate (kg CO2e/kg)"),'[1]Pivot Table_GHG'!$A$3,"SUB TYPE",$B186)),"PROXY",IF(GETPIVOTDATA(IF($J186=1,"Count of ACTIVE     GHGE, FARM GATE (kg CO2e/kg)","Count of GHGE, processor gate (kg CO2e/kg)"),'[1]Pivot Table_GHG'!$A$3,"SUB TYPE",$B186)=0,"PROXY","DB value"))</f>
        <v/>
      </c>
      <c r="Q186" s="93">
        <f>IF($P186="PROXY",DCOUNT('[1]literature entries'!$D:$AI,IF($J186=1,"ACTIVE     GHGE, FARM GATE (kg CO2e/kg)","GHGE, processor gate (kg CO2e/kg)"),INDIRECT($K186)),GETPIVOTDATA(IF($J186=1,"ACTIVE     GHGE, FARM GATE (kg CO2e/kg)","Count of GHGE, processor gate (kg CO2e/kg)"),'[1]Pivot Table_GHG'!$A$3,"SUB TYPE",$B186))</f>
        <v/>
      </c>
      <c r="R186" s="94">
        <f>IF($P186="PROXY",DAVERAGE('[1]literature entries'!$D:$AI,IF($J186=1,"ACTIVE     GHGE, FARM GATE (kg CO2e/kg)","GHGE, processor gate (kg CO2e/kg)"),INDIRECT($K186)),GETPIVOTDATA(IF($J186=1,"Average of ACTIVE     GHGE, FARM GATE (kg CO2e/kg)","Average of GHGE, processor gate (kg CO2e/kg)"),'[1]Pivot Table_GHG'!$A$3,"SUB TYPE",$B186))</f>
        <v/>
      </c>
      <c r="S186" s="94">
        <f>IF($P186="PROXY",DSTDEV('[1]literature entries'!$D:$AI,IF($J186=1,"ACTIVE     GHGE, FARM GATE (kg CO2e/kg)","GHGE, processor gate (kg CO2e/kg)"),INDIRECT($K186)),GETPIVOTDATA(IF($J186=1,"StdDev of ACTIVE     GHGE, FARM GATE (kg CO2e/kg)","StdDev of GHGE, processor gate (kg CO2e/kg)"),'[1]Pivot Table_GHG'!$A$3,"SUB TYPE",$B186))</f>
        <v/>
      </c>
      <c r="T186" s="105" t="n"/>
      <c r="U186" s="106" t="n"/>
      <c r="V186" s="97" t="n"/>
      <c r="W186" s="98" t="inlineStr">
        <is>
          <t>nut</t>
        </is>
      </c>
      <c r="X186" s="98">
        <f>IF($W186="DIRECT",M186,DCOUNT('[1]literature entries'!$D:$AI,IF($J186=1,"ACTIVE     CED, FARM GATE (MJ/kg)","CED, processor gate (MJ/kg)"),INDIRECT($W186)))</f>
        <v/>
      </c>
      <c r="Y186" s="98">
        <f>IF($W186="DIRECT","",DAVERAGE('[1]literature entries'!$D:$AI,IF($J186=1,"ACTIVE     CED, FARM GATE (MJ/kg)","CED, processor gate (MJ/kg)"),INDIRECT($W186)))</f>
        <v/>
      </c>
      <c r="Z186" s="98">
        <f>IF($W186="DIRECT",$O186,DSTDEV('[1]literature entries'!$D:$AI,IF($J186=1,"ACTIVE     CED, FARM GATE (MJ/kg)","CED, processor gate (MJ/kg)"),INDIRECT($W186)))</f>
        <v/>
      </c>
      <c r="AA186" s="98">
        <f>IF($W186="DIRECT",$O186,$Z186/$Y186*$N186)</f>
        <v/>
      </c>
      <c r="AB186" s="99" t="inlineStr">
        <is>
          <t>nut</t>
        </is>
      </c>
      <c r="AC186" s="99">
        <f>IF($AB186="DIRECT",Q186,DCOUNT('[1]literature entries'!$D:$AI,IF($J186=1,"ACTIVE     GHGE, FARM GATE (kg CO2e/kg)","GHGE, processor gate (kg CO2e/kg)"),INDIRECT($AB186)))</f>
        <v/>
      </c>
      <c r="AD186" s="99">
        <f>IF($AB186="DIRECT","",DAVERAGE('[1]literature entries'!$D:$AI,IF($J186=1,"ACTIVE     GHGE, FARM GATE (kg CO2e/kg)","GHGE, processor gate (kg CO2e/kg)"),INDIRECT($AB186)))</f>
        <v/>
      </c>
      <c r="AE186" s="99">
        <f>IF($AB186="DIRECT",$S186,DSTDEV('[1]literature entries'!$D:$AI,IF($J186=1,"ACTIVE     GHGE, FARM GATE (kg CO2e/kg)","GHGE, processor gate (kg CO2e/kg)"),INDIRECT($AB186)))</f>
        <v/>
      </c>
      <c r="AF186" s="99">
        <f>IF($AB186="DIRECT",$S186,$AE186/$AD186*$R186)</f>
        <v/>
      </c>
    </row>
    <row r="187" ht="15.75" customHeight="1" s="201">
      <c r="A187" s="100" t="n">
        <v>1400213000</v>
      </c>
      <c r="B187" s="101" t="inlineStr">
        <is>
          <t>Macadamia nut</t>
        </is>
      </c>
      <c r="C187" s="101" t="inlineStr">
        <is>
          <t>weight of nutmeat</t>
        </is>
      </c>
      <c r="D187" s="101" t="n"/>
      <c r="E187" s="101" t="n">
        <v>11</v>
      </c>
      <c r="F187" s="84">
        <f>N187*H187+T187</f>
        <v/>
      </c>
      <c r="G187" s="85">
        <f>R187*H187+U187</f>
        <v/>
      </c>
      <c r="H187" s="102" t="n">
        <v>1</v>
      </c>
      <c r="I187" s="103" t="inlineStr">
        <is>
          <t>FICRCD</t>
        </is>
      </c>
      <c r="J187" s="104" t="n">
        <v>1</v>
      </c>
      <c r="K187" s="89" t="inlineStr">
        <is>
          <t>nut</t>
        </is>
      </c>
      <c r="L187" s="90">
        <f>IF(ISERROR(GETPIVOTDATA(IF($J187=1,"Count of ACTIVE     CED, FARM GATE (MJ/kg)","Count of CED, processor gate (MJ/kg)"),'[1]Pivot Table_CED'!$A$3,"SUB TYPE",$B187)),"PROXY",IF(GETPIVOTDATA(IF($J187=1,"Count of ACTIVE     CED, FARM GATE (MJ/kg)","Count of CED, processor gate (MJ/kg)"),'[1]Pivot Table_CED'!$A$3,"SUB TYPE",$B187)=0,"PROXY","DB value"))</f>
        <v/>
      </c>
      <c r="M187" s="91">
        <f>IF($L187="PROXY",DCOUNT('[1]literature entries'!$D:$AI,IF($J187=1,"ACTIVE     CED, FARM GATE (MJ/kg)","CED, processor gate (MJ/kg)"),INDIRECT($K187)),GETPIVOTDATA(IF($J187=1,"Count of ACTIVE     CED, FARM GATE (MJ/kg)","Count of CED, processor gate (MJ/kg)"),'[1]Pivot Table_CED'!$A$3,"SUB TYPE",$B187))</f>
        <v/>
      </c>
      <c r="N187" s="92">
        <f>IF($L187="PROXY",DAVERAGE('[1]literature entries'!$D:$AI,IF($J187=1,"ACTIVE     CED, FARM GATE (MJ/kg)","CED, processor gate (MJ/kg)"),INDIRECT($K187)),GETPIVOTDATA(IF($J187=1,"Average of ACTIVE     CED, FARM GATE (MJ/kg)","Average of CED, processor gate (MJ/kg)"),'[1]Pivot Table_CED'!$A$3,"SUB TYPE",$B187))</f>
        <v/>
      </c>
      <c r="O187" s="92">
        <f>IF($L187="PROXY",DSTDEV('[1]literature entries'!D:AI,IF($J187=1,"ACTIVE     CED, FARM GATE (MJ/kg)","CED, processor gate (MJ/kg)"),INDIRECT($K187)),GETPIVOTDATA(IF($J187=1,"StdDev of ACTIVE     CED, FARM GATE (MJ/kg)","StdDev of CED, processor gate (MJ/kg)"),'[1]Pivot Table_CED'!$A$3,"SUB TYPE",$B187))</f>
        <v/>
      </c>
      <c r="P187" s="90">
        <f>IF(ISERROR(GETPIVOTDATA(IF($J187=1,"Count of ACTIVE     GHGE, FARM GATE (kg CO2e/kg)","Count of GHGE, processor gate (kg CO2e/kg)"),'[1]Pivot Table_GHG'!$A$3,"SUB TYPE",$B187)),"PROXY",IF(GETPIVOTDATA(IF($J187=1,"Count of ACTIVE     GHGE, FARM GATE (kg CO2e/kg)","Count of GHGE, processor gate (kg CO2e/kg)"),'[1]Pivot Table_GHG'!$A$3,"SUB TYPE",$B187)=0,"PROXY","DB value"))</f>
        <v/>
      </c>
      <c r="Q187" s="93">
        <f>IF($P187="PROXY",DCOUNT('[1]literature entries'!$D:$AI,IF($J187=1,"ACTIVE     GHGE, FARM GATE (kg CO2e/kg)","GHGE, processor gate (kg CO2e/kg)"),INDIRECT($K187)),GETPIVOTDATA(IF($J187=1,"ACTIVE     GHGE, FARM GATE (kg CO2e/kg)","Count of GHGE, processor gate (kg CO2e/kg)"),'[1]Pivot Table_GHG'!$A$3,"SUB TYPE",$B187))</f>
        <v/>
      </c>
      <c r="R187" s="94">
        <f>IF($P187="PROXY",DAVERAGE('[1]literature entries'!$D:$AI,IF($J187=1,"ACTIVE     GHGE, FARM GATE (kg CO2e/kg)","GHGE, processor gate (kg CO2e/kg)"),INDIRECT($K187)),GETPIVOTDATA(IF($J187=1,"Average of ACTIVE     GHGE, FARM GATE (kg CO2e/kg)","Average of GHGE, processor gate (kg CO2e/kg)"),'[1]Pivot Table_GHG'!$A$3,"SUB TYPE",$B187))</f>
        <v/>
      </c>
      <c r="S187" s="94">
        <f>IF($P187="PROXY",DSTDEV('[1]literature entries'!$D:$AI,IF($J187=1,"ACTIVE     GHGE, FARM GATE (kg CO2e/kg)","GHGE, processor gate (kg CO2e/kg)"),INDIRECT($K187)),GETPIVOTDATA(IF($J187=1,"StdDev of ACTIVE     GHGE, FARM GATE (kg CO2e/kg)","StdDev of GHGE, processor gate (kg CO2e/kg)"),'[1]Pivot Table_GHG'!$A$3,"SUB TYPE",$B187))</f>
        <v/>
      </c>
      <c r="T187" s="105" t="n"/>
      <c r="U187" s="106" t="n"/>
      <c r="V187" s="97" t="n"/>
      <c r="W187" s="98" t="inlineStr">
        <is>
          <t>nut</t>
        </is>
      </c>
      <c r="X187" s="98">
        <f>IF($W187="DIRECT",M187,DCOUNT('[1]literature entries'!$D:$AI,IF($J187=1,"ACTIVE     CED, FARM GATE (MJ/kg)","CED, processor gate (MJ/kg)"),INDIRECT($W187)))</f>
        <v/>
      </c>
      <c r="Y187" s="98">
        <f>IF($W187="DIRECT","",DAVERAGE('[1]literature entries'!$D:$AI,IF($J187=1,"ACTIVE     CED, FARM GATE (MJ/kg)","CED, processor gate (MJ/kg)"),INDIRECT($W187)))</f>
        <v/>
      </c>
      <c r="Z187" s="98">
        <f>IF($W187="DIRECT",$O187,DSTDEV('[1]literature entries'!$D:$AI,IF($J187=1,"ACTIVE     CED, FARM GATE (MJ/kg)","CED, processor gate (MJ/kg)"),INDIRECT($W187)))</f>
        <v/>
      </c>
      <c r="AA187" s="98">
        <f>IF($W187="DIRECT",$O187,$Z187/$Y187*$N187)</f>
        <v/>
      </c>
      <c r="AB187" s="99">
        <f>IF(P187="PROXY",IF(Q187&gt;=5,K187,"need group"),IF(Q187&gt;=5,"DIRECT","need group"))</f>
        <v/>
      </c>
      <c r="AC187" s="99">
        <f>IF($AB187="DIRECT",Q187,DCOUNT('[1]literature entries'!$D:$AI,IF($J187=1,"ACTIVE     GHGE, FARM GATE (kg CO2e/kg)","GHGE, processor gate (kg CO2e/kg)"),INDIRECT($AB187)))</f>
        <v/>
      </c>
      <c r="AD187" s="99">
        <f>IF($AB187="DIRECT","",DAVERAGE('[1]literature entries'!$D:$AI,IF($J187=1,"ACTIVE     GHGE, FARM GATE (kg CO2e/kg)","GHGE, processor gate (kg CO2e/kg)"),INDIRECT($AB187)))</f>
        <v/>
      </c>
      <c r="AE187" s="99">
        <f>IF($AB187="DIRECT",$S187,DSTDEV('[1]literature entries'!$D:$AI,IF($J187=1,"ACTIVE     GHGE, FARM GATE (kg CO2e/kg)","GHGE, processor gate (kg CO2e/kg)"),INDIRECT($AB187)))</f>
        <v/>
      </c>
      <c r="AF187" s="99">
        <f>IF($AB187="DIRECT",$S187,$AE187/$AD187*$R187)</f>
        <v/>
      </c>
    </row>
    <row r="188" ht="15.75" customHeight="1" s="201">
      <c r="A188" s="100" t="n">
        <v>1400269000</v>
      </c>
      <c r="B188" s="101" t="inlineStr">
        <is>
          <t>Pecan</t>
        </is>
      </c>
      <c r="C188" s="101" t="inlineStr">
        <is>
          <t>weight of nutmeat</t>
        </is>
      </c>
      <c r="D188" s="101" t="n"/>
      <c r="E188" s="101" t="n">
        <v>2361</v>
      </c>
      <c r="F188" s="84">
        <f>N188*H188+T188</f>
        <v/>
      </c>
      <c r="G188" s="85">
        <f>R188*H188+U188</f>
        <v/>
      </c>
      <c r="H188" s="102" t="n">
        <v>1</v>
      </c>
      <c r="I188" s="103" t="inlineStr">
        <is>
          <t>FICRCD</t>
        </is>
      </c>
      <c r="J188" s="104" t="n">
        <v>1</v>
      </c>
      <c r="K188" s="89" t="inlineStr">
        <is>
          <t>nut</t>
        </is>
      </c>
      <c r="L188" s="90">
        <f>IF(ISERROR(GETPIVOTDATA(IF($J188=1,"Count of ACTIVE     CED, FARM GATE (MJ/kg)","Count of CED, processor gate (MJ/kg)"),'[1]Pivot Table_CED'!$A$3,"SUB TYPE",$B188)),"PROXY",IF(GETPIVOTDATA(IF($J188=1,"Count of ACTIVE     CED, FARM GATE (MJ/kg)","Count of CED, processor gate (MJ/kg)"),'[1]Pivot Table_CED'!$A$3,"SUB TYPE",$B188)=0,"PROXY","DB value"))</f>
        <v/>
      </c>
      <c r="M188" s="91">
        <f>IF($L188="PROXY",DCOUNT('[1]literature entries'!$D:$AI,IF($J188=1,"ACTIVE     CED, FARM GATE (MJ/kg)","CED, processor gate (MJ/kg)"),INDIRECT($K188)),GETPIVOTDATA(IF($J188=1,"Count of ACTIVE     CED, FARM GATE (MJ/kg)","Count of CED, processor gate (MJ/kg)"),'[1]Pivot Table_CED'!$A$3,"SUB TYPE",$B188))</f>
        <v/>
      </c>
      <c r="N188" s="92">
        <f>IF($L188="PROXY",DAVERAGE('[1]literature entries'!$D:$AI,IF($J188=1,"ACTIVE     CED, FARM GATE (MJ/kg)","CED, processor gate (MJ/kg)"),INDIRECT($K188)),GETPIVOTDATA(IF($J188=1,"Average of ACTIVE     CED, FARM GATE (MJ/kg)","Average of CED, processor gate (MJ/kg)"),'[1]Pivot Table_CED'!$A$3,"SUB TYPE",$B188))</f>
        <v/>
      </c>
      <c r="O188" s="92">
        <f>IF($L188="PROXY",DSTDEV('[1]literature entries'!D:AI,IF($J188=1,"ACTIVE     CED, FARM GATE (MJ/kg)","CED, processor gate (MJ/kg)"),INDIRECT($K188)),GETPIVOTDATA(IF($J188=1,"StdDev of ACTIVE     CED, FARM GATE (MJ/kg)","StdDev of CED, processor gate (MJ/kg)"),'[1]Pivot Table_CED'!$A$3,"SUB TYPE",$B188))</f>
        <v/>
      </c>
      <c r="P188" s="90">
        <f>IF(ISERROR(GETPIVOTDATA(IF($J188=1,"Count of ACTIVE     GHGE, FARM GATE (kg CO2e/kg)","Count of GHGE, processor gate (kg CO2e/kg)"),'[1]Pivot Table_GHG'!$A$3,"SUB TYPE",$B188)),"PROXY",IF(GETPIVOTDATA(IF($J188=1,"Count of ACTIVE     GHGE, FARM GATE (kg CO2e/kg)","Count of GHGE, processor gate (kg CO2e/kg)"),'[1]Pivot Table_GHG'!$A$3,"SUB TYPE",$B188)=0,"PROXY","DB value"))</f>
        <v/>
      </c>
      <c r="Q188" s="93">
        <f>IF($P188="PROXY",DCOUNT('[1]literature entries'!$D:$AI,IF($J188=1,"ACTIVE     GHGE, FARM GATE (kg CO2e/kg)","GHGE, processor gate (kg CO2e/kg)"),INDIRECT($K188)),GETPIVOTDATA(IF($J188=1,"ACTIVE     GHGE, FARM GATE (kg CO2e/kg)","Count of GHGE, processor gate (kg CO2e/kg)"),'[1]Pivot Table_GHG'!$A$3,"SUB TYPE",$B188))</f>
        <v/>
      </c>
      <c r="R188" s="94">
        <f>IF($P188="PROXY",DAVERAGE('[1]literature entries'!$D:$AI,IF($J188=1,"ACTIVE     GHGE, FARM GATE (kg CO2e/kg)","GHGE, processor gate (kg CO2e/kg)"),INDIRECT($K188)),GETPIVOTDATA(IF($J188=1,"Average of ACTIVE     GHGE, FARM GATE (kg CO2e/kg)","Average of GHGE, processor gate (kg CO2e/kg)"),'[1]Pivot Table_GHG'!$A$3,"SUB TYPE",$B188))</f>
        <v/>
      </c>
      <c r="S188" s="94">
        <f>IF($P188="PROXY",DSTDEV('[1]literature entries'!$D:$AI,IF($J188=1,"ACTIVE     GHGE, FARM GATE (kg CO2e/kg)","GHGE, processor gate (kg CO2e/kg)"),INDIRECT($K188)),GETPIVOTDATA(IF($J188=1,"StdDev of ACTIVE     GHGE, FARM GATE (kg CO2e/kg)","StdDev of GHGE, processor gate (kg CO2e/kg)"),'[1]Pivot Table_GHG'!$A$3,"SUB TYPE",$B188))</f>
        <v/>
      </c>
      <c r="T188" s="105" t="n"/>
      <c r="U188" s="106" t="n"/>
      <c r="V188" s="97" t="n"/>
      <c r="W188" s="98" t="inlineStr">
        <is>
          <t>nut</t>
        </is>
      </c>
      <c r="X188" s="98">
        <f>IF($W188="DIRECT",M188,DCOUNT('[1]literature entries'!$D:$AI,IF($J188=1,"ACTIVE     CED, FARM GATE (MJ/kg)","CED, processor gate (MJ/kg)"),INDIRECT($W188)))</f>
        <v/>
      </c>
      <c r="Y188" s="98">
        <f>IF($W188="DIRECT","",DAVERAGE('[1]literature entries'!$D:$AI,IF($J188=1,"ACTIVE     CED, FARM GATE (MJ/kg)","CED, processor gate (MJ/kg)"),INDIRECT($W188)))</f>
        <v/>
      </c>
      <c r="Z188" s="98">
        <f>IF($W188="DIRECT",$O188,DSTDEV('[1]literature entries'!$D:$AI,IF($J188=1,"ACTIVE     CED, FARM GATE (MJ/kg)","CED, processor gate (MJ/kg)"),INDIRECT($W188)))</f>
        <v/>
      </c>
      <c r="AA188" s="98">
        <f>IF($W188="DIRECT",$O188,$Z188/$Y188*$N188)</f>
        <v/>
      </c>
      <c r="AB188" s="99">
        <f>IF(P188="PROXY",IF(Q188&gt;=5,K188,"need group"),IF(Q188&gt;=5,"DIRECT","need group"))</f>
        <v/>
      </c>
      <c r="AC188" s="99">
        <f>IF($AB188="DIRECT",Q188,DCOUNT('[1]literature entries'!$D:$AI,IF($J188=1,"ACTIVE     GHGE, FARM GATE (kg CO2e/kg)","GHGE, processor gate (kg CO2e/kg)"),INDIRECT($AB188)))</f>
        <v/>
      </c>
      <c r="AD188" s="99">
        <f>IF($AB188="DIRECT","",DAVERAGE('[1]literature entries'!$D:$AI,IF($J188=1,"ACTIVE     GHGE, FARM GATE (kg CO2e/kg)","GHGE, processor gate (kg CO2e/kg)"),INDIRECT($AB188)))</f>
        <v/>
      </c>
      <c r="AE188" s="99">
        <f>IF($AB188="DIRECT",$S188,DSTDEV('[1]literature entries'!$D:$AI,IF($J188=1,"ACTIVE     GHGE, FARM GATE (kg CO2e/kg)","GHGE, processor gate (kg CO2e/kg)"),INDIRECT($AB188)))</f>
        <v/>
      </c>
      <c r="AF188" s="99">
        <f>IF($AB188="DIRECT",$S188,$AE188/$AD188*$R188)</f>
        <v/>
      </c>
    </row>
    <row r="189" ht="15.75" customHeight="1" s="201">
      <c r="A189" s="100" t="n">
        <v>1400278000</v>
      </c>
      <c r="B189" s="101" t="inlineStr">
        <is>
          <t>Pine nut</t>
        </is>
      </c>
      <c r="C189" s="101" t="inlineStr">
        <is>
          <t>weight of nutmeat</t>
        </is>
      </c>
      <c r="D189" s="101" t="inlineStr">
        <is>
          <t>Also called pignolia.</t>
        </is>
      </c>
      <c r="E189" s="101" t="n">
        <v>65</v>
      </c>
      <c r="F189" s="84">
        <f>N189*H189+T189</f>
        <v/>
      </c>
      <c r="G189" s="85">
        <f>R189*H189+U189</f>
        <v/>
      </c>
      <c r="H189" s="102" t="n">
        <v>1</v>
      </c>
      <c r="I189" s="103" t="inlineStr">
        <is>
          <t>FICRCD</t>
        </is>
      </c>
      <c r="J189" s="104" t="n">
        <v>1</v>
      </c>
      <c r="K189" s="89" t="inlineStr">
        <is>
          <t>nut</t>
        </is>
      </c>
      <c r="L189" s="90">
        <f>IF(ISERROR(GETPIVOTDATA(IF($J189=1,"Count of ACTIVE     CED, FARM GATE (MJ/kg)","Count of CED, processor gate (MJ/kg)"),'[1]Pivot Table_CED'!$A$3,"SUB TYPE",$B189)),"PROXY",IF(GETPIVOTDATA(IF($J189=1,"Count of ACTIVE     CED, FARM GATE (MJ/kg)","Count of CED, processor gate (MJ/kg)"),'[1]Pivot Table_CED'!$A$3,"SUB TYPE",$B189)=0,"PROXY","DB value"))</f>
        <v/>
      </c>
      <c r="M189" s="91">
        <f>IF($L189="PROXY",DCOUNT('[1]literature entries'!$D:$AI,IF($J189=1,"ACTIVE     CED, FARM GATE (MJ/kg)","CED, processor gate (MJ/kg)"),INDIRECT($K189)),GETPIVOTDATA(IF($J189=1,"Count of ACTIVE     CED, FARM GATE (MJ/kg)","Count of CED, processor gate (MJ/kg)"),'[1]Pivot Table_CED'!$A$3,"SUB TYPE",$B189))</f>
        <v/>
      </c>
      <c r="N189" s="92">
        <f>IF($L189="PROXY",DAVERAGE('[1]literature entries'!$D:$AI,IF($J189=1,"ACTIVE     CED, FARM GATE (MJ/kg)","CED, processor gate (MJ/kg)"),INDIRECT($K189)),GETPIVOTDATA(IF($J189=1,"Average of ACTIVE     CED, FARM GATE (MJ/kg)","Average of CED, processor gate (MJ/kg)"),'[1]Pivot Table_CED'!$A$3,"SUB TYPE",$B189))</f>
        <v/>
      </c>
      <c r="O189" s="92">
        <f>IF($L189="PROXY",DSTDEV('[1]literature entries'!D:AI,IF($J189=1,"ACTIVE     CED, FARM GATE (MJ/kg)","CED, processor gate (MJ/kg)"),INDIRECT($K189)),GETPIVOTDATA(IF($J189=1,"StdDev of ACTIVE     CED, FARM GATE (MJ/kg)","StdDev of CED, processor gate (MJ/kg)"),'[1]Pivot Table_CED'!$A$3,"SUB TYPE",$B189))</f>
        <v/>
      </c>
      <c r="P189" s="90">
        <f>IF(ISERROR(GETPIVOTDATA(IF($J189=1,"Count of ACTIVE     GHGE, FARM GATE (kg CO2e/kg)","Count of GHGE, processor gate (kg CO2e/kg)"),'[1]Pivot Table_GHG'!$A$3,"SUB TYPE",$B189)),"PROXY",IF(GETPIVOTDATA(IF($J189=1,"Count of ACTIVE     GHGE, FARM GATE (kg CO2e/kg)","Count of GHGE, processor gate (kg CO2e/kg)"),'[1]Pivot Table_GHG'!$A$3,"SUB TYPE",$B189)=0,"PROXY","DB value"))</f>
        <v/>
      </c>
      <c r="Q189" s="93">
        <f>IF($P189="PROXY",DCOUNT('[1]literature entries'!$D:$AI,IF($J189=1,"ACTIVE     GHGE, FARM GATE (kg CO2e/kg)","GHGE, processor gate (kg CO2e/kg)"),INDIRECT($K189)),GETPIVOTDATA(IF($J189=1,"ACTIVE     GHGE, FARM GATE (kg CO2e/kg)","Count of GHGE, processor gate (kg CO2e/kg)"),'[1]Pivot Table_GHG'!$A$3,"SUB TYPE",$B189))</f>
        <v/>
      </c>
      <c r="R189" s="94">
        <f>IF($P189="PROXY",DAVERAGE('[1]literature entries'!$D:$AI,IF($J189=1,"ACTIVE     GHGE, FARM GATE (kg CO2e/kg)","GHGE, processor gate (kg CO2e/kg)"),INDIRECT($K189)),GETPIVOTDATA(IF($J189=1,"Average of ACTIVE     GHGE, FARM GATE (kg CO2e/kg)","Average of GHGE, processor gate (kg CO2e/kg)"),'[1]Pivot Table_GHG'!$A$3,"SUB TYPE",$B189))</f>
        <v/>
      </c>
      <c r="S189" s="94">
        <f>IF($P189="PROXY",DSTDEV('[1]literature entries'!$D:$AI,IF($J189=1,"ACTIVE     GHGE, FARM GATE (kg CO2e/kg)","GHGE, processor gate (kg CO2e/kg)"),INDIRECT($K189)),GETPIVOTDATA(IF($J189=1,"StdDev of ACTIVE     GHGE, FARM GATE (kg CO2e/kg)","StdDev of GHGE, processor gate (kg CO2e/kg)"),'[1]Pivot Table_GHG'!$A$3,"SUB TYPE",$B189))</f>
        <v/>
      </c>
      <c r="T189" s="105" t="n"/>
      <c r="U189" s="106" t="n"/>
      <c r="V189" s="97" t="n"/>
      <c r="W189" s="98" t="inlineStr">
        <is>
          <t>nut</t>
        </is>
      </c>
      <c r="X189" s="98">
        <f>IF($W189="DIRECT",M189,DCOUNT('[1]literature entries'!$D:$AI,IF($J189=1,"ACTIVE     CED, FARM GATE (MJ/kg)","CED, processor gate (MJ/kg)"),INDIRECT($W189)))</f>
        <v/>
      </c>
      <c r="Y189" s="98">
        <f>IF($W189="DIRECT","",DAVERAGE('[1]literature entries'!$D:$AI,IF($J189=1,"ACTIVE     CED, FARM GATE (MJ/kg)","CED, processor gate (MJ/kg)"),INDIRECT($W189)))</f>
        <v/>
      </c>
      <c r="Z189" s="98">
        <f>IF($W189="DIRECT",$O189,DSTDEV('[1]literature entries'!$D:$AI,IF($J189=1,"ACTIVE     CED, FARM GATE (MJ/kg)","CED, processor gate (MJ/kg)"),INDIRECT($W189)))</f>
        <v/>
      </c>
      <c r="AA189" s="98">
        <f>IF($W189="DIRECT",$O189,$Z189/$Y189*$N189)</f>
        <v/>
      </c>
      <c r="AB189" s="99">
        <f>IF(P189="PROXY",IF(Q189&gt;=5,K189,"need group"),IF(Q189&gt;=5,"DIRECT","need group"))</f>
        <v/>
      </c>
      <c r="AC189" s="99">
        <f>IF($AB189="DIRECT",Q189,DCOUNT('[1]literature entries'!$D:$AI,IF($J189=1,"ACTIVE     GHGE, FARM GATE (kg CO2e/kg)","GHGE, processor gate (kg CO2e/kg)"),INDIRECT($AB189)))</f>
        <v/>
      </c>
      <c r="AD189" s="99">
        <f>IF($AB189="DIRECT","",DAVERAGE('[1]literature entries'!$D:$AI,IF($J189=1,"ACTIVE     GHGE, FARM GATE (kg CO2e/kg)","GHGE, processor gate (kg CO2e/kg)"),INDIRECT($AB189)))</f>
        <v/>
      </c>
      <c r="AE189" s="99">
        <f>IF($AB189="DIRECT",$S189,DSTDEV('[1]literature entries'!$D:$AI,IF($J189=1,"ACTIVE     GHGE, FARM GATE (kg CO2e/kg)","GHGE, processor gate (kg CO2e/kg)"),INDIRECT($AB189)))</f>
        <v/>
      </c>
      <c r="AF189" s="99">
        <f>IF($AB189="DIRECT",$S189,$AE189/$AD189*$R189)</f>
        <v/>
      </c>
    </row>
    <row r="190" ht="15.75" customHeight="1" s="201">
      <c r="A190" s="100" t="n">
        <v>1400282000</v>
      </c>
      <c r="B190" s="101" t="inlineStr">
        <is>
          <t>Pistachio</t>
        </is>
      </c>
      <c r="C190" s="101" t="inlineStr">
        <is>
          <t>weight of nutmeat</t>
        </is>
      </c>
      <c r="D190" s="101" t="n"/>
      <c r="E190" s="101" t="n">
        <v>155</v>
      </c>
      <c r="F190" s="84">
        <f>N190*H190+T190</f>
        <v/>
      </c>
      <c r="G190" s="85">
        <f>R190*H190+U190</f>
        <v/>
      </c>
      <c r="H190" s="102" t="n">
        <v>1.03</v>
      </c>
      <c r="I190" s="103" t="inlineStr">
        <is>
          <t>FICRCD</t>
        </is>
      </c>
      <c r="J190" s="104" t="n">
        <v>1</v>
      </c>
      <c r="K190" s="89" t="inlineStr">
        <is>
          <t>nut</t>
        </is>
      </c>
      <c r="L190" s="90">
        <f>IF(ISERROR(GETPIVOTDATA(IF($J190=1,"Count of ACTIVE     CED, FARM GATE (MJ/kg)","Count of CED, processor gate (MJ/kg)"),'[1]Pivot Table_CED'!$A$3,"SUB TYPE",$B190)),"PROXY",IF(GETPIVOTDATA(IF($J190=1,"Count of ACTIVE     CED, FARM GATE (MJ/kg)","Count of CED, processor gate (MJ/kg)"),'[1]Pivot Table_CED'!$A$3,"SUB TYPE",$B190)=0,"PROXY","DB value"))</f>
        <v/>
      </c>
      <c r="M190" s="91">
        <f>IF($L190="PROXY",DCOUNT('[1]literature entries'!$D:$AI,IF($J190=1,"ACTIVE     CED, FARM GATE (MJ/kg)","CED, processor gate (MJ/kg)"),INDIRECT($K190)),GETPIVOTDATA(IF($J190=1,"Count of ACTIVE     CED, FARM GATE (MJ/kg)","Count of CED, processor gate (MJ/kg)"),'[1]Pivot Table_CED'!$A$3,"SUB TYPE",$B190))</f>
        <v/>
      </c>
      <c r="N190" s="92">
        <f>IF($L190="PROXY",DAVERAGE('[1]literature entries'!$D:$AI,IF($J190=1,"ACTIVE     CED, FARM GATE (MJ/kg)","CED, processor gate (MJ/kg)"),INDIRECT($K190)),GETPIVOTDATA(IF($J190=1,"Average of ACTIVE     CED, FARM GATE (MJ/kg)","Average of CED, processor gate (MJ/kg)"),'[1]Pivot Table_CED'!$A$3,"SUB TYPE",$B190))</f>
        <v/>
      </c>
      <c r="O190" s="92">
        <f>IF($L190="PROXY",DSTDEV('[1]literature entries'!D:AI,IF($J190=1,"ACTIVE     CED, FARM GATE (MJ/kg)","CED, processor gate (MJ/kg)"),INDIRECT($K190)),GETPIVOTDATA(IF($J190=1,"StdDev of ACTIVE     CED, FARM GATE (MJ/kg)","StdDev of CED, processor gate (MJ/kg)"),'[1]Pivot Table_CED'!$A$3,"SUB TYPE",$B190))</f>
        <v/>
      </c>
      <c r="P190" s="90">
        <f>IF(ISERROR(GETPIVOTDATA(IF($J190=1,"Count of ACTIVE     GHGE, FARM GATE (kg CO2e/kg)","Count of GHGE, processor gate (kg CO2e/kg)"),'[1]Pivot Table_GHG'!$A$3,"SUB TYPE",$B190)),"PROXY",IF(GETPIVOTDATA(IF($J190=1,"Count of ACTIVE     GHGE, FARM GATE (kg CO2e/kg)","Count of GHGE, processor gate (kg CO2e/kg)"),'[1]Pivot Table_GHG'!$A$3,"SUB TYPE",$B190)=0,"PROXY","DB value"))</f>
        <v/>
      </c>
      <c r="Q190" s="93">
        <f>IF($P190="PROXY",DCOUNT('[1]literature entries'!$D:$AI,IF($J190=1,"ACTIVE     GHGE, FARM GATE (kg CO2e/kg)","GHGE, processor gate (kg CO2e/kg)"),INDIRECT($K190)),GETPIVOTDATA(IF($J190=1,"ACTIVE     GHGE, FARM GATE (kg CO2e/kg)","Count of GHGE, processor gate (kg CO2e/kg)"),'[1]Pivot Table_GHG'!$A$3,"SUB TYPE",$B190))</f>
        <v/>
      </c>
      <c r="R190" s="94">
        <f>IF($P190="PROXY",DAVERAGE('[1]literature entries'!$D:$AI,IF($J190=1,"ACTIVE     GHGE, FARM GATE (kg CO2e/kg)","GHGE, processor gate (kg CO2e/kg)"),INDIRECT($K190)),GETPIVOTDATA(IF($J190=1,"Average of ACTIVE     GHGE, FARM GATE (kg CO2e/kg)","Average of GHGE, processor gate (kg CO2e/kg)"),'[1]Pivot Table_GHG'!$A$3,"SUB TYPE",$B190))</f>
        <v/>
      </c>
      <c r="S190" s="94">
        <f>IF($P190="PROXY",DSTDEV('[1]literature entries'!$D:$AI,IF($J190=1,"ACTIVE     GHGE, FARM GATE (kg CO2e/kg)","GHGE, processor gate (kg CO2e/kg)"),INDIRECT($K190)),GETPIVOTDATA(IF($J190=1,"StdDev of ACTIVE     GHGE, FARM GATE (kg CO2e/kg)","StdDev of GHGE, processor gate (kg CO2e/kg)"),'[1]Pivot Table_GHG'!$A$3,"SUB TYPE",$B190))</f>
        <v/>
      </c>
      <c r="T190" s="105" t="n"/>
      <c r="U190" s="106" t="n"/>
      <c r="V190" s="97" t="n"/>
      <c r="W190" s="98">
        <f>IF(L190="PROXY",IF(M190&gt;=5,K190,"need group"),IF(M190&gt;=5,"DIRECT","need group"))</f>
        <v/>
      </c>
      <c r="X190" s="98">
        <f>IF($W190="DIRECT",M190,DCOUNT('[1]literature entries'!$D:$AI,IF($J190=1,"ACTIVE     CED, FARM GATE (MJ/kg)","CED, processor gate (MJ/kg)"),INDIRECT($W190)))</f>
        <v/>
      </c>
      <c r="Y190" s="98">
        <f>IF($W190="DIRECT","",DAVERAGE('[1]literature entries'!$D:$AI,IF($J190=1,"ACTIVE     CED, FARM GATE (MJ/kg)","CED, processor gate (MJ/kg)"),INDIRECT($W190)))</f>
        <v/>
      </c>
      <c r="Z190" s="98">
        <f>IF($W190="DIRECT",$O190,DSTDEV('[1]literature entries'!$D:$AI,IF($J190=1,"ACTIVE     CED, FARM GATE (MJ/kg)","CED, processor gate (MJ/kg)"),INDIRECT($W190)))</f>
        <v/>
      </c>
      <c r="AA190" s="98">
        <f>IF($W190="DIRECT",$O190,$Z190/$Y190*$N190)</f>
        <v/>
      </c>
      <c r="AB190" s="99" t="inlineStr">
        <is>
          <t>nut</t>
        </is>
      </c>
      <c r="AC190" s="99">
        <f>IF($AB190="DIRECT",Q190,DCOUNT('[1]literature entries'!$D:$AI,IF($J190=1,"ACTIVE     GHGE, FARM GATE (kg CO2e/kg)","GHGE, processor gate (kg CO2e/kg)"),INDIRECT($AB190)))</f>
        <v/>
      </c>
      <c r="AD190" s="99">
        <f>IF($AB190="DIRECT","",DAVERAGE('[1]literature entries'!$D:$AI,IF($J190=1,"ACTIVE     GHGE, FARM GATE (kg CO2e/kg)","GHGE, processor gate (kg CO2e/kg)"),INDIRECT($AB190)))</f>
        <v/>
      </c>
      <c r="AE190" s="99">
        <f>IF($AB190="DIRECT",$S190,DSTDEV('[1]literature entries'!$D:$AI,IF($J190=1,"ACTIVE     GHGE, FARM GATE (kg CO2e/kg)","GHGE, processor gate (kg CO2e/kg)"),INDIRECT($AB190)))</f>
        <v/>
      </c>
      <c r="AF190" s="99">
        <f>IF($AB190="DIRECT",$S190,$AE190/$AD190*$R190)</f>
        <v/>
      </c>
    </row>
    <row r="191" ht="15.75" customHeight="1" s="201">
      <c r="A191" s="100" t="n">
        <v>1400391000</v>
      </c>
      <c r="B191" s="101" t="inlineStr">
        <is>
          <t>Walnut</t>
        </is>
      </c>
      <c r="C191" s="101" t="inlineStr">
        <is>
          <t>weight of nutmeat</t>
        </is>
      </c>
      <c r="D191" s="101" t="n"/>
      <c r="E191" s="101" t="n">
        <v>3274</v>
      </c>
      <c r="F191" s="84">
        <f>N191*H191+T191</f>
        <v/>
      </c>
      <c r="G191" s="85">
        <f>R191*H191+U191</f>
        <v/>
      </c>
      <c r="H191" s="102" t="n">
        <v>1</v>
      </c>
      <c r="I191" s="103" t="inlineStr">
        <is>
          <t>FICRCD</t>
        </is>
      </c>
      <c r="J191" s="104" t="n">
        <v>1</v>
      </c>
      <c r="K191" s="89" t="inlineStr">
        <is>
          <t>nut</t>
        </is>
      </c>
      <c r="L191" s="90">
        <f>IF(ISERROR(GETPIVOTDATA(IF($J191=1,"Count of ACTIVE     CED, FARM GATE (MJ/kg)","Count of CED, processor gate (MJ/kg)"),'[1]Pivot Table_CED'!$A$3,"SUB TYPE",$B191)),"PROXY",IF(GETPIVOTDATA(IF($J191=1,"Count of ACTIVE     CED, FARM GATE (MJ/kg)","Count of CED, processor gate (MJ/kg)"),'[1]Pivot Table_CED'!$A$3,"SUB TYPE",$B191)=0,"PROXY","DB value"))</f>
        <v/>
      </c>
      <c r="M191" s="91">
        <f>IF($L191="PROXY",DCOUNT('[1]literature entries'!$D:$AI,IF($J191=1,"ACTIVE     CED, FARM GATE (MJ/kg)","CED, processor gate (MJ/kg)"),INDIRECT($K191)),GETPIVOTDATA(IF($J191=1,"Count of ACTIVE     CED, FARM GATE (MJ/kg)","Count of CED, processor gate (MJ/kg)"),'[1]Pivot Table_CED'!$A$3,"SUB TYPE",$B191))</f>
        <v/>
      </c>
      <c r="N191" s="92">
        <f>IF($L191="PROXY",DAVERAGE('[1]literature entries'!$D:$AI,IF($J191=1,"ACTIVE     CED, FARM GATE (MJ/kg)","CED, processor gate (MJ/kg)"),INDIRECT($K191)),GETPIVOTDATA(IF($J191=1,"Average of ACTIVE     CED, FARM GATE (MJ/kg)","Average of CED, processor gate (MJ/kg)"),'[1]Pivot Table_CED'!$A$3,"SUB TYPE",$B191))</f>
        <v/>
      </c>
      <c r="O191" s="92">
        <f>IF($L191="PROXY",DSTDEV('[1]literature entries'!D:AI,IF($J191=1,"ACTIVE     CED, FARM GATE (MJ/kg)","CED, processor gate (MJ/kg)"),INDIRECT($K191)),GETPIVOTDATA(IF($J191=1,"StdDev of ACTIVE     CED, FARM GATE (MJ/kg)","StdDev of CED, processor gate (MJ/kg)"),'[1]Pivot Table_CED'!$A$3,"SUB TYPE",$B191))</f>
        <v/>
      </c>
      <c r="P191" s="90">
        <f>IF(ISERROR(GETPIVOTDATA(IF($J191=1,"Count of ACTIVE     GHGE, FARM GATE (kg CO2e/kg)","Count of GHGE, processor gate (kg CO2e/kg)"),'[1]Pivot Table_GHG'!$A$3,"SUB TYPE",$B191)),"PROXY",IF(GETPIVOTDATA(IF($J191=1,"Count of ACTIVE     GHGE, FARM GATE (kg CO2e/kg)","Count of GHGE, processor gate (kg CO2e/kg)"),'[1]Pivot Table_GHG'!$A$3,"SUB TYPE",$B191)=0,"PROXY","DB value"))</f>
        <v/>
      </c>
      <c r="Q191" s="93">
        <f>IF($P191="PROXY",DCOUNT('[1]literature entries'!$D:$AI,IF($J191=1,"ACTIVE     GHGE, FARM GATE (kg CO2e/kg)","GHGE, processor gate (kg CO2e/kg)"),INDIRECT($K191)),GETPIVOTDATA(IF($J191=1,"ACTIVE     GHGE, FARM GATE (kg CO2e/kg)","Count of GHGE, processor gate (kg CO2e/kg)"),'[1]Pivot Table_GHG'!$A$3,"SUB TYPE",$B191))</f>
        <v/>
      </c>
      <c r="R191" s="94">
        <f>IF($P191="PROXY",DAVERAGE('[1]literature entries'!$D:$AI,IF($J191=1,"ACTIVE     GHGE, FARM GATE (kg CO2e/kg)","GHGE, processor gate (kg CO2e/kg)"),INDIRECT($K191)),GETPIVOTDATA(IF($J191=1,"Average of ACTIVE     GHGE, FARM GATE (kg CO2e/kg)","Average of GHGE, processor gate (kg CO2e/kg)"),'[1]Pivot Table_GHG'!$A$3,"SUB TYPE",$B191))</f>
        <v/>
      </c>
      <c r="S191" s="94">
        <f>IF($P191="PROXY",DSTDEV('[1]literature entries'!$D:$AI,IF($J191=1,"ACTIVE     GHGE, FARM GATE (kg CO2e/kg)","GHGE, processor gate (kg CO2e/kg)"),INDIRECT($K191)),GETPIVOTDATA(IF($J191=1,"StdDev of ACTIVE     GHGE, FARM GATE (kg CO2e/kg)","StdDev of GHGE, processor gate (kg CO2e/kg)"),'[1]Pivot Table_GHG'!$A$3,"SUB TYPE",$B191))</f>
        <v/>
      </c>
      <c r="T191" s="105" t="n"/>
      <c r="U191" s="106" t="n"/>
      <c r="V191" s="97" t="n"/>
      <c r="W191" s="98">
        <f>IF(L191="PROXY",IF(M191&gt;=5,K191,"need group"),IF(M191&gt;=5,"DIRECT","need group"))</f>
        <v/>
      </c>
      <c r="X191" s="98">
        <f>IF($W191="DIRECT",M191,DCOUNT('[1]literature entries'!$D:$AI,IF($J191=1,"ACTIVE     CED, FARM GATE (MJ/kg)","CED, processor gate (MJ/kg)"),INDIRECT($W191)))</f>
        <v/>
      </c>
      <c r="Y191" s="98">
        <f>IF($W191="DIRECT","",DAVERAGE('[1]literature entries'!$D:$AI,IF($J191=1,"ACTIVE     CED, FARM GATE (MJ/kg)","CED, processor gate (MJ/kg)"),INDIRECT($W191)))</f>
        <v/>
      </c>
      <c r="Z191" s="98">
        <f>IF($W191="DIRECT",$O191,DSTDEV('[1]literature entries'!$D:$AI,IF($J191=1,"ACTIVE     CED, FARM GATE (MJ/kg)","CED, processor gate (MJ/kg)"),INDIRECT($W191)))</f>
        <v/>
      </c>
      <c r="AA191" s="98">
        <f>IF($W191="DIRECT",$O191,$Z191/$Y191*$N191)</f>
        <v/>
      </c>
      <c r="AB191" s="99" t="inlineStr">
        <is>
          <t>nut</t>
        </is>
      </c>
      <c r="AC191" s="99">
        <f>IF($AB191="DIRECT",Q191,DCOUNT('[1]literature entries'!$D:$AI,IF($J191=1,"ACTIVE     GHGE, FARM GATE (kg CO2e/kg)","GHGE, processor gate (kg CO2e/kg)"),INDIRECT($AB191)))</f>
        <v/>
      </c>
      <c r="AD191" s="99">
        <f>IF($AB191="DIRECT","",DAVERAGE('[1]literature entries'!$D:$AI,IF($J191=1,"ACTIVE     GHGE, FARM GATE (kg CO2e/kg)","GHGE, processor gate (kg CO2e/kg)"),INDIRECT($AB191)))</f>
        <v/>
      </c>
      <c r="AE191" s="99">
        <f>IF($AB191="DIRECT",$S191,DSTDEV('[1]literature entries'!$D:$AI,IF($J191=1,"ACTIVE     GHGE, FARM GATE (kg CO2e/kg)","GHGE, processor gate (kg CO2e/kg)"),INDIRECT($AB191)))</f>
        <v/>
      </c>
      <c r="AF191" s="99">
        <f>IF($AB191="DIRECT",$S191,$AE191/$AD191*$R191)</f>
        <v/>
      </c>
    </row>
    <row r="192" ht="15.75" customHeight="1" s="201">
      <c r="A192" s="100" t="n">
        <v>1500025000</v>
      </c>
      <c r="B192" s="101" t="inlineStr">
        <is>
          <t>Barley, pearled barley</t>
        </is>
      </c>
      <c r="C192" s="101" t="inlineStr">
        <is>
          <t>dry weight of barley</t>
        </is>
      </c>
      <c r="D192" s="101" t="n"/>
      <c r="E192" s="101" t="n">
        <v>729</v>
      </c>
      <c r="F192" s="84">
        <f>N192*H192+T192</f>
        <v/>
      </c>
      <c r="G192" s="85">
        <f>R192*H192+U192</f>
        <v/>
      </c>
      <c r="H192" s="112" t="n">
        <v>1</v>
      </c>
      <c r="I192" s="103" t="inlineStr">
        <is>
          <t>none</t>
        </is>
      </c>
      <c r="J192" s="104" t="n">
        <v>1</v>
      </c>
      <c r="K192" s="89" t="inlineStr">
        <is>
          <t>grains</t>
        </is>
      </c>
      <c r="L192" s="90">
        <f>IF(ISERROR(GETPIVOTDATA(IF($J192=1,"Count of ACTIVE     CED, FARM GATE (MJ/kg)","Count of CED, processor gate (MJ/kg)"),'[1]Pivot Table_CED'!$A$3,"SUB TYPE",$B192)),"PROXY",IF(GETPIVOTDATA(IF($J192=1,"Count of ACTIVE     CED, FARM GATE (MJ/kg)","Count of CED, processor gate (MJ/kg)"),'[1]Pivot Table_CED'!$A$3,"SUB TYPE",$B192)=0,"PROXY","DB value"))</f>
        <v/>
      </c>
      <c r="M192" s="91">
        <f>IF($L192="PROXY",DCOUNT('[1]literature entries'!$D:$AI,IF($J192=1,"ACTIVE     CED, FARM GATE (MJ/kg)","CED, processor gate (MJ/kg)"),INDIRECT($K192)),GETPIVOTDATA(IF($J192=1,"Count of ACTIVE     CED, FARM GATE (MJ/kg)","Count of CED, processor gate (MJ/kg)"),'[1]Pivot Table_CED'!$A$3,"SUB TYPE",$B192))</f>
        <v/>
      </c>
      <c r="N192" s="92">
        <f>IF($L192="PROXY",DAVERAGE('[1]literature entries'!$D:$AI,IF($J192=1,"ACTIVE     CED, FARM GATE (MJ/kg)","CED, processor gate (MJ/kg)"),INDIRECT($K192)),GETPIVOTDATA(IF($J192=1,"Average of ACTIVE     CED, FARM GATE (MJ/kg)","Average of CED, processor gate (MJ/kg)"),'[1]Pivot Table_CED'!$A$3,"SUB TYPE",$B192))</f>
        <v/>
      </c>
      <c r="O192" s="92">
        <f>IF($L192="PROXY",DSTDEV('[1]literature entries'!D:AI,IF($J192=1,"ACTIVE     CED, FARM GATE (MJ/kg)","CED, processor gate (MJ/kg)"),INDIRECT($K192)),GETPIVOTDATA(IF($J192=1,"StdDev of ACTIVE     CED, FARM GATE (MJ/kg)","StdDev of CED, processor gate (MJ/kg)"),'[1]Pivot Table_CED'!$A$3,"SUB TYPE",$B192))</f>
        <v/>
      </c>
      <c r="P192" s="90">
        <f>IF(ISERROR(GETPIVOTDATA(IF($J192=1,"Count of ACTIVE     GHGE, FARM GATE (kg CO2e/kg)","Count of GHGE, processor gate (kg CO2e/kg)"),'[1]Pivot Table_GHG'!$A$3,"SUB TYPE",$B192)),"PROXY",IF(GETPIVOTDATA(IF($J192=1,"Count of ACTIVE     GHGE, FARM GATE (kg CO2e/kg)","Count of GHGE, processor gate (kg CO2e/kg)"),'[1]Pivot Table_GHG'!$A$3,"SUB TYPE",$B192)=0,"PROXY","DB value"))</f>
        <v/>
      </c>
      <c r="Q192" s="93">
        <f>IF($P192="PROXY",DCOUNT('[1]literature entries'!$D:$AI,IF($J192=1,"ACTIVE     GHGE, FARM GATE (kg CO2e/kg)","GHGE, processor gate (kg CO2e/kg)"),INDIRECT($K192)),GETPIVOTDATA(IF($J192=1,"ACTIVE     GHGE, FARM GATE (kg CO2e/kg)","Count of GHGE, processor gate (kg CO2e/kg)"),'[1]Pivot Table_GHG'!$A$3,"SUB TYPE",$B192))</f>
        <v/>
      </c>
      <c r="R192" s="94">
        <f>IF($P192="PROXY",DAVERAGE('[1]literature entries'!$D:$AI,IF($J192=1,"ACTIVE     GHGE, FARM GATE (kg CO2e/kg)","GHGE, processor gate (kg CO2e/kg)"),INDIRECT($K192)),GETPIVOTDATA(IF($J192=1,"Average of ACTIVE     GHGE, FARM GATE (kg CO2e/kg)","Average of GHGE, processor gate (kg CO2e/kg)"),'[1]Pivot Table_GHG'!$A$3,"SUB TYPE",$B192))</f>
        <v/>
      </c>
      <c r="S192" s="94">
        <f>IF($P192="PROXY",DSTDEV('[1]literature entries'!$D:$AI,IF($J192=1,"ACTIVE     GHGE, FARM GATE (kg CO2e/kg)","GHGE, processor gate (kg CO2e/kg)"),INDIRECT($K192)),GETPIVOTDATA(IF($J192=1,"StdDev of ACTIVE     GHGE, FARM GATE (kg CO2e/kg)","StdDev of GHGE, processor gate (kg CO2e/kg)"),'[1]Pivot Table_GHG'!$A$3,"SUB TYPE",$B192))</f>
        <v/>
      </c>
      <c r="T192" s="105" t="n"/>
      <c r="U192" s="106" t="n"/>
      <c r="V192" s="97" t="n"/>
      <c r="W192" s="98">
        <f>IF(L192="PROXY",IF(M192&gt;=5,K192,"need group"),IF(M192&gt;=5,"DIRECT","need group"))</f>
        <v/>
      </c>
      <c r="X192" s="98">
        <f>IF($W192="DIRECT",M192,DCOUNT('[1]literature entries'!$D:$AI,IF($J192=1,"ACTIVE     CED, FARM GATE (MJ/kg)","CED, processor gate (MJ/kg)"),INDIRECT($W192)))</f>
        <v/>
      </c>
      <c r="Y192" s="98">
        <f>IF($W192="DIRECT","",DAVERAGE('[1]literature entries'!$D:$AI,IF($J192=1,"ACTIVE     CED, FARM GATE (MJ/kg)","CED, processor gate (MJ/kg)"),INDIRECT($W192)))</f>
        <v/>
      </c>
      <c r="Z192" s="98">
        <f>IF($W192="DIRECT",$O192,DSTDEV('[1]literature entries'!$D:$AI,IF($J192=1,"ACTIVE     CED, FARM GATE (MJ/kg)","CED, processor gate (MJ/kg)"),INDIRECT($W192)))</f>
        <v/>
      </c>
      <c r="AA192" s="98">
        <f>IF($W192="DIRECT",$O192,$Z192/$Y192*$N192)</f>
        <v/>
      </c>
      <c r="AB192" s="99">
        <f>IF(P192="PROXY",IF(Q192&gt;=5,K192,"need group"),IF(Q192&gt;=5,"DIRECT","need group"))</f>
        <v/>
      </c>
      <c r="AC192" s="99">
        <f>IF($AB192="DIRECT",Q192,DCOUNT('[1]literature entries'!$D:$AI,IF($J192=1,"ACTIVE     GHGE, FARM GATE (kg CO2e/kg)","GHGE, processor gate (kg CO2e/kg)"),INDIRECT($AB192)))</f>
        <v/>
      </c>
      <c r="AD192" s="99">
        <f>IF($AB192="DIRECT","",DAVERAGE('[1]literature entries'!$D:$AI,IF($J192=1,"ACTIVE     GHGE, FARM GATE (kg CO2e/kg)","GHGE, processor gate (kg CO2e/kg)"),INDIRECT($AB192)))</f>
        <v/>
      </c>
      <c r="AE192" s="99">
        <f>IF($AB192="DIRECT",$S192,DSTDEV('[1]literature entries'!$D:$AI,IF($J192=1,"ACTIVE     GHGE, FARM GATE (kg CO2e/kg)","GHGE, processor gate (kg CO2e/kg)"),INDIRECT($AB192)))</f>
        <v/>
      </c>
      <c r="AF192" s="99">
        <f>IF($AB192="DIRECT",$S192,$AE192/$AD192*$R192)</f>
        <v/>
      </c>
    </row>
    <row r="193" ht="15.75" customHeight="1" s="201">
      <c r="A193" s="100" t="n">
        <v>1500026000</v>
      </c>
      <c r="B193" s="101" t="inlineStr">
        <is>
          <t>Barley, flour</t>
        </is>
      </c>
      <c r="C193" s="101" t="inlineStr">
        <is>
          <t>dry weight of flour</t>
        </is>
      </c>
      <c r="D193" s="101" t="inlineStr">
        <is>
          <t>Includes malt and whole barley.</t>
        </is>
      </c>
      <c r="E193" s="101" t="n">
        <v>19689</v>
      </c>
      <c r="F193" s="84">
        <f>N193*H193+T193</f>
        <v/>
      </c>
      <c r="G193" s="85">
        <f>R193*H193+U193</f>
        <v/>
      </c>
      <c r="H193" s="112" t="n">
        <v>1</v>
      </c>
      <c r="I193" s="103" t="inlineStr">
        <is>
          <t>none</t>
        </is>
      </c>
      <c r="J193" s="104" t="n">
        <v>2</v>
      </c>
      <c r="K193" s="89" t="inlineStr">
        <is>
          <t>wheat_flour</t>
        </is>
      </c>
      <c r="L193" s="90">
        <f>IF(ISERROR(GETPIVOTDATA(IF($J193=1,"Count of ACTIVE     CED, FARM GATE (MJ/kg)","Count of CED, processor gate (MJ/kg)"),'[1]Pivot Table_CED'!$A$3,"SUB TYPE",$B193)),"PROXY",IF(GETPIVOTDATA(IF($J193=1,"Count of ACTIVE     CED, FARM GATE (MJ/kg)","Count of CED, processor gate (MJ/kg)"),'[1]Pivot Table_CED'!$A$3,"SUB TYPE",$B193)=0,"PROXY","DB value"))</f>
        <v/>
      </c>
      <c r="M193" s="91">
        <f>IF($L193="PROXY",DCOUNT('[1]literature entries'!$D:$AI,IF($J193=1,"ACTIVE     CED, FARM GATE (MJ/kg)","CED, processor gate (MJ/kg)"),INDIRECT($K193)),GETPIVOTDATA(IF($J193=1,"Count of ACTIVE     CED, FARM GATE (MJ/kg)","Count of CED, processor gate (MJ/kg)"),'[1]Pivot Table_CED'!$A$3,"SUB TYPE",$B193))</f>
        <v/>
      </c>
      <c r="N193" s="92">
        <f>IF($L193="PROXY",DAVERAGE('[1]literature entries'!$D:$AI,IF($J193=1,"ACTIVE     CED, FARM GATE (MJ/kg)","CED, processor gate (MJ/kg)"),INDIRECT($K193)),GETPIVOTDATA(IF($J193=1,"Average of ACTIVE     CED, FARM GATE (MJ/kg)","Average of CED, processor gate (MJ/kg)"),'[1]Pivot Table_CED'!$A$3,"SUB TYPE",$B193))</f>
        <v/>
      </c>
      <c r="O193" s="92">
        <f>IF($L193="PROXY",DSTDEV('[1]literature entries'!D:AI,IF($J193=1,"ACTIVE     CED, FARM GATE (MJ/kg)","CED, processor gate (MJ/kg)"),INDIRECT($K193)),GETPIVOTDATA(IF($J193=1,"StdDev of ACTIVE     CED, FARM GATE (MJ/kg)","StdDev of CED, processor gate (MJ/kg)"),'[1]Pivot Table_CED'!$A$3,"SUB TYPE",$B193))</f>
        <v/>
      </c>
      <c r="P193" s="90">
        <f>IF(ISERROR(GETPIVOTDATA(IF($J193=1,"Count of ACTIVE     GHGE, FARM GATE (kg CO2e/kg)","Count of GHGE, processor gate (kg CO2e/kg)"),'[1]Pivot Table_GHG'!$A$3,"SUB TYPE",$B193)),"PROXY",IF(GETPIVOTDATA(IF($J193=1,"Count of ACTIVE     GHGE, FARM GATE (kg CO2e/kg)","Count of GHGE, processor gate (kg CO2e/kg)"),'[1]Pivot Table_GHG'!$A$3,"SUB TYPE",$B193)=0,"PROXY","DB value"))</f>
        <v/>
      </c>
      <c r="Q193" s="93">
        <f>IF($P193="PROXY",DCOUNT('[1]literature entries'!$D:$AI,IF($J193=1,"ACTIVE     GHGE, FARM GATE (kg CO2e/kg)","GHGE, processor gate (kg CO2e/kg)"),INDIRECT($K193)),GETPIVOTDATA(IF($J193=1,"ACTIVE     GHGE, FARM GATE (kg CO2e/kg)","Count of GHGE, processor gate (kg CO2e/kg)"),'[1]Pivot Table_GHG'!$A$3,"SUB TYPE",$B193))</f>
        <v/>
      </c>
      <c r="R193" s="94">
        <f>IF($P193="PROXY",DAVERAGE('[1]literature entries'!$D:$AI,IF($J193=1,"ACTIVE     GHGE, FARM GATE (kg CO2e/kg)","GHGE, processor gate (kg CO2e/kg)"),INDIRECT($K193)),GETPIVOTDATA(IF($J193=1,"Average of ACTIVE     GHGE, FARM GATE (kg CO2e/kg)","Average of GHGE, processor gate (kg CO2e/kg)"),'[1]Pivot Table_GHG'!$A$3,"SUB TYPE",$B193))</f>
        <v/>
      </c>
      <c r="S193" s="94">
        <f>IF($P193="PROXY",DSTDEV('[1]literature entries'!$D:$AI,IF($J193=1,"ACTIVE     GHGE, FARM GATE (kg CO2e/kg)","GHGE, processor gate (kg CO2e/kg)"),INDIRECT($K193)),GETPIVOTDATA(IF($J193=1,"StdDev of ACTIVE     GHGE, FARM GATE (kg CO2e/kg)","StdDev of GHGE, processor gate (kg CO2e/kg)"),'[1]Pivot Table_GHG'!$A$3,"SUB TYPE",$B193))</f>
        <v/>
      </c>
      <c r="T193" s="105" t="n"/>
      <c r="U193" s="106" t="n"/>
      <c r="V193" s="97" t="n"/>
      <c r="W193" s="98" t="inlineStr">
        <is>
          <t>flours</t>
        </is>
      </c>
      <c r="X193" s="98">
        <f>IF($W193="DIRECT",M193,DCOUNT('[1]literature entries'!$D:$AI,IF($J193=1,"ACTIVE     CED, FARM GATE (MJ/kg)","CED, processor gate (MJ/kg)"),INDIRECT($W193)))</f>
        <v/>
      </c>
      <c r="Y193" s="98">
        <f>IF($W193="DIRECT","",DAVERAGE('[1]literature entries'!$D:$AI,IF($J193=1,"ACTIVE     CED, FARM GATE (MJ/kg)","CED, processor gate (MJ/kg)"),INDIRECT($W193)))</f>
        <v/>
      </c>
      <c r="Z193" s="98">
        <f>IF($W193="DIRECT",$O193,DSTDEV('[1]literature entries'!$D:$AI,IF($J193=1,"ACTIVE     CED, FARM GATE (MJ/kg)","CED, processor gate (MJ/kg)"),INDIRECT($W193)))</f>
        <v/>
      </c>
      <c r="AA193" s="98">
        <f>IF($W193="DIRECT",$O193,$Z193/$Y193*$N193)</f>
        <v/>
      </c>
      <c r="AB193" s="99" t="inlineStr">
        <is>
          <t>flours</t>
        </is>
      </c>
      <c r="AC193" s="99">
        <f>IF($AB193="DIRECT",Q193,DCOUNT('[1]literature entries'!$D:$AI,IF($J193=1,"ACTIVE     GHGE, FARM GATE (kg CO2e/kg)","GHGE, processor gate (kg CO2e/kg)"),INDIRECT($AB193)))</f>
        <v/>
      </c>
      <c r="AD193" s="99">
        <f>IF($AB193="DIRECT","",DAVERAGE('[1]literature entries'!$D:$AI,IF($J193=1,"ACTIVE     GHGE, FARM GATE (kg CO2e/kg)","GHGE, processor gate (kg CO2e/kg)"),INDIRECT($AB193)))</f>
        <v/>
      </c>
      <c r="AE193" s="99">
        <f>IF($AB193="DIRECT",$S193,DSTDEV('[1]literature entries'!$D:$AI,IF($J193=1,"ACTIVE     GHGE, FARM GATE (kg CO2e/kg)","GHGE, processor gate (kg CO2e/kg)"),INDIRECT($AB193)))</f>
        <v/>
      </c>
      <c r="AF193" s="99">
        <f>IF($AB193="DIRECT",$S193,$AE193/$AD193*$R193)</f>
        <v/>
      </c>
    </row>
    <row r="194" ht="15.75" customHeight="1" s="201">
      <c r="A194" s="100" t="n">
        <v>1500027000</v>
      </c>
      <c r="B194" s="101" t="inlineStr">
        <is>
          <t>Barley, bran</t>
        </is>
      </c>
      <c r="C194" s="101" t="inlineStr">
        <is>
          <t>dry weight of bran</t>
        </is>
      </c>
      <c r="D194" s="101" t="n"/>
      <c r="E194" s="101" t="n">
        <v>84</v>
      </c>
      <c r="F194" s="84">
        <f>N194*H194+T194</f>
        <v/>
      </c>
      <c r="G194" s="85">
        <f>R194*H194+U194</f>
        <v/>
      </c>
      <c r="H194" s="103" t="n">
        <v>1</v>
      </c>
      <c r="I194" s="103" t="inlineStr">
        <is>
          <t>None</t>
        </is>
      </c>
      <c r="J194" s="104" t="n">
        <v>1</v>
      </c>
      <c r="K194" s="89" t="inlineStr">
        <is>
          <t>grains</t>
        </is>
      </c>
      <c r="L194" s="90">
        <f>IF(ISERROR(GETPIVOTDATA(IF($J194=1,"Count of ACTIVE     CED, FARM GATE (MJ/kg)","Count of CED, processor gate (MJ/kg)"),'[1]Pivot Table_CED'!$A$3,"SUB TYPE",$B194)),"PROXY",IF(GETPIVOTDATA(IF($J194=1,"Count of ACTIVE     CED, FARM GATE (MJ/kg)","Count of CED, processor gate (MJ/kg)"),'[1]Pivot Table_CED'!$A$3,"SUB TYPE",$B194)=0,"PROXY","DB value"))</f>
        <v/>
      </c>
      <c r="M194" s="91">
        <f>IF($L194="PROXY",DCOUNT('[1]literature entries'!$D:$AI,IF($J194=1,"ACTIVE     CED, FARM GATE (MJ/kg)","CED, processor gate (MJ/kg)"),INDIRECT($K194)),GETPIVOTDATA(IF($J194=1,"Count of ACTIVE     CED, FARM GATE (MJ/kg)","Count of CED, processor gate (MJ/kg)"),'[1]Pivot Table_CED'!$A$3,"SUB TYPE",$B194))</f>
        <v/>
      </c>
      <c r="N194" s="92">
        <f>IF($L194="PROXY",DAVERAGE('[1]literature entries'!$D:$AI,IF($J194=1,"ACTIVE     CED, FARM GATE (MJ/kg)","CED, processor gate (MJ/kg)"),INDIRECT($K194)),GETPIVOTDATA(IF($J194=1,"Average of ACTIVE     CED, FARM GATE (MJ/kg)","Average of CED, processor gate (MJ/kg)"),'[1]Pivot Table_CED'!$A$3,"SUB TYPE",$B194))</f>
        <v/>
      </c>
      <c r="O194" s="92">
        <f>IF($L194="PROXY",DSTDEV('[1]literature entries'!D:AI,IF($J194=1,"ACTIVE     CED, FARM GATE (MJ/kg)","CED, processor gate (MJ/kg)"),INDIRECT($K194)),GETPIVOTDATA(IF($J194=1,"StdDev of ACTIVE     CED, FARM GATE (MJ/kg)","StdDev of CED, processor gate (MJ/kg)"),'[1]Pivot Table_CED'!$A$3,"SUB TYPE",$B194))</f>
        <v/>
      </c>
      <c r="P194" s="90">
        <f>IF(ISERROR(GETPIVOTDATA(IF($J194=1,"Count of ACTIVE     GHGE, FARM GATE (kg CO2e/kg)","Count of GHGE, processor gate (kg CO2e/kg)"),'[1]Pivot Table_GHG'!$A$3,"SUB TYPE",$B194)),"PROXY",IF(GETPIVOTDATA(IF($J194=1,"Count of ACTIVE     GHGE, FARM GATE (kg CO2e/kg)","Count of GHGE, processor gate (kg CO2e/kg)"),'[1]Pivot Table_GHG'!$A$3,"SUB TYPE",$B194)=0,"PROXY","DB value"))</f>
        <v/>
      </c>
      <c r="Q194" s="93">
        <f>IF($P194="PROXY",DCOUNT('[1]literature entries'!$D:$AI,IF($J194=1,"ACTIVE     GHGE, FARM GATE (kg CO2e/kg)","GHGE, processor gate (kg CO2e/kg)"),INDIRECT($K194)),GETPIVOTDATA(IF($J194=1,"ACTIVE     GHGE, FARM GATE (kg CO2e/kg)","Count of GHGE, processor gate (kg CO2e/kg)"),'[1]Pivot Table_GHG'!$A$3,"SUB TYPE",$B194))</f>
        <v/>
      </c>
      <c r="R194" s="94">
        <f>IF($P194="PROXY",DAVERAGE('[1]literature entries'!$D:$AI,IF($J194=1,"ACTIVE     GHGE, FARM GATE (kg CO2e/kg)","GHGE, processor gate (kg CO2e/kg)"),INDIRECT($K194)),GETPIVOTDATA(IF($J194=1,"Average of ACTIVE     GHGE, FARM GATE (kg CO2e/kg)","Average of GHGE, processor gate (kg CO2e/kg)"),'[1]Pivot Table_GHG'!$A$3,"SUB TYPE",$B194))</f>
        <v/>
      </c>
      <c r="S194" s="94">
        <f>IF($P194="PROXY",DSTDEV('[1]literature entries'!$D:$AI,IF($J194=1,"ACTIVE     GHGE, FARM GATE (kg CO2e/kg)","GHGE, processor gate (kg CO2e/kg)"),INDIRECT($K194)),GETPIVOTDATA(IF($J194=1,"StdDev of ACTIVE     GHGE, FARM GATE (kg CO2e/kg)","StdDev of GHGE, processor gate (kg CO2e/kg)"),'[1]Pivot Table_GHG'!$A$3,"SUB TYPE",$B194))</f>
        <v/>
      </c>
      <c r="T194" s="105" t="n"/>
      <c r="U194" s="106" t="n"/>
      <c r="V194" s="97" t="n"/>
      <c r="W194" s="98">
        <f>IF(L194="PROXY",IF(M194&gt;=5,K194,"need group"),IF(M194&gt;=5,"DIRECT","need group"))</f>
        <v/>
      </c>
      <c r="X194" s="98">
        <f>IF($W194="DIRECT",M194,DCOUNT('[1]literature entries'!$D:$AI,IF($J194=1,"ACTIVE     CED, FARM GATE (MJ/kg)","CED, processor gate (MJ/kg)"),INDIRECT($W194)))</f>
        <v/>
      </c>
      <c r="Y194" s="98">
        <f>IF($W194="DIRECT","",DAVERAGE('[1]literature entries'!$D:$AI,IF($J194=1,"ACTIVE     CED, FARM GATE (MJ/kg)","CED, processor gate (MJ/kg)"),INDIRECT($W194)))</f>
        <v/>
      </c>
      <c r="Z194" s="98">
        <f>IF($W194="DIRECT",$O194,DSTDEV('[1]literature entries'!$D:$AI,IF($J194=1,"ACTIVE     CED, FARM GATE (MJ/kg)","CED, processor gate (MJ/kg)"),INDIRECT($W194)))</f>
        <v/>
      </c>
      <c r="AA194" s="98">
        <f>IF($W194="DIRECT",$O194,$Z194/$Y194*$N194)</f>
        <v/>
      </c>
      <c r="AB194" s="99">
        <f>IF(P194="PROXY",IF(Q194&gt;=5,K194,"need group"),IF(Q194&gt;=5,"DIRECT","need group"))</f>
        <v/>
      </c>
      <c r="AC194" s="99">
        <f>IF($AB194="DIRECT",Q194,DCOUNT('[1]literature entries'!$D:$AI,IF($J194=1,"ACTIVE     GHGE, FARM GATE (kg CO2e/kg)","GHGE, processor gate (kg CO2e/kg)"),INDIRECT($AB194)))</f>
        <v/>
      </c>
      <c r="AD194" s="99">
        <f>IF($AB194="DIRECT","",DAVERAGE('[1]literature entries'!$D:$AI,IF($J194=1,"ACTIVE     GHGE, FARM GATE (kg CO2e/kg)","GHGE, processor gate (kg CO2e/kg)"),INDIRECT($AB194)))</f>
        <v/>
      </c>
      <c r="AE194" s="99">
        <f>IF($AB194="DIRECT",$S194,DSTDEV('[1]literature entries'!$D:$AI,IF($J194=1,"ACTIVE     GHGE, FARM GATE (kg CO2e/kg)","GHGE, processor gate (kg CO2e/kg)"),INDIRECT($AB194)))</f>
        <v/>
      </c>
      <c r="AF194" s="99">
        <f>IF($AB194="DIRECT",$S194,$AE194/$AD194*$R194)</f>
        <v/>
      </c>
    </row>
    <row r="195" ht="15.75" customHeight="1" s="201">
      <c r="A195" s="100" t="n">
        <v>1500065000</v>
      </c>
      <c r="B195" s="101" t="inlineStr">
        <is>
          <t>Buckwheat</t>
        </is>
      </c>
      <c r="C195" s="101" t="inlineStr">
        <is>
          <t>dry weight of groats; whole groat flour</t>
        </is>
      </c>
      <c r="D195" s="101" t="n"/>
      <c r="E195" s="101" t="n">
        <v>277</v>
      </c>
      <c r="F195" s="84">
        <f>N195*H195+T195</f>
        <v/>
      </c>
      <c r="G195" s="85">
        <f>R195*H195+U195</f>
        <v/>
      </c>
      <c r="H195" s="102" t="n">
        <v>1</v>
      </c>
      <c r="I195" s="103" t="inlineStr">
        <is>
          <t>None</t>
        </is>
      </c>
      <c r="J195" s="104" t="n">
        <v>1</v>
      </c>
      <c r="K195" s="89" t="inlineStr">
        <is>
          <t>grains</t>
        </is>
      </c>
      <c r="L195" s="90">
        <f>IF(ISERROR(GETPIVOTDATA(IF($J195=1,"Count of ACTIVE     CED, FARM GATE (MJ/kg)","Count of CED, processor gate (MJ/kg)"),'[1]Pivot Table_CED'!$A$3,"SUB TYPE",$B195)),"PROXY",IF(GETPIVOTDATA(IF($J195=1,"Count of ACTIVE     CED, FARM GATE (MJ/kg)","Count of CED, processor gate (MJ/kg)"),'[1]Pivot Table_CED'!$A$3,"SUB TYPE",$B195)=0,"PROXY","DB value"))</f>
        <v/>
      </c>
      <c r="M195" s="91">
        <f>IF($L195="PROXY",DCOUNT('[1]literature entries'!$D:$AI,IF($J195=1,"ACTIVE     CED, FARM GATE (MJ/kg)","CED, processor gate (MJ/kg)"),INDIRECT($K195)),GETPIVOTDATA(IF($J195=1,"Count of ACTIVE     CED, FARM GATE (MJ/kg)","Count of CED, processor gate (MJ/kg)"),'[1]Pivot Table_CED'!$A$3,"SUB TYPE",$B195))</f>
        <v/>
      </c>
      <c r="N195" s="92">
        <f>IF($L195="PROXY",DAVERAGE('[1]literature entries'!$D:$AI,IF($J195=1,"ACTIVE     CED, FARM GATE (MJ/kg)","CED, processor gate (MJ/kg)"),INDIRECT($K195)),GETPIVOTDATA(IF($J195=1,"Average of ACTIVE     CED, FARM GATE (MJ/kg)","Average of CED, processor gate (MJ/kg)"),'[1]Pivot Table_CED'!$A$3,"SUB TYPE",$B195))</f>
        <v/>
      </c>
      <c r="O195" s="92">
        <f>IF($L195="PROXY",DSTDEV('[1]literature entries'!D:AI,IF($J195=1,"ACTIVE     CED, FARM GATE (MJ/kg)","CED, processor gate (MJ/kg)"),INDIRECT($K195)),GETPIVOTDATA(IF($J195=1,"StdDev of ACTIVE     CED, FARM GATE (MJ/kg)","StdDev of CED, processor gate (MJ/kg)"),'[1]Pivot Table_CED'!$A$3,"SUB TYPE",$B195))</f>
        <v/>
      </c>
      <c r="P195" s="90">
        <f>IF(ISERROR(GETPIVOTDATA(IF($J195=1,"Count of ACTIVE     GHGE, FARM GATE (kg CO2e/kg)","Count of GHGE, processor gate (kg CO2e/kg)"),'[1]Pivot Table_GHG'!$A$3,"SUB TYPE",$B195)),"PROXY",IF(GETPIVOTDATA(IF($J195=1,"Count of ACTIVE     GHGE, FARM GATE (kg CO2e/kg)","Count of GHGE, processor gate (kg CO2e/kg)"),'[1]Pivot Table_GHG'!$A$3,"SUB TYPE",$B195)=0,"PROXY","DB value"))</f>
        <v/>
      </c>
      <c r="Q195" s="93">
        <f>IF($P195="PROXY",DCOUNT('[1]literature entries'!$D:$AI,IF($J195=1,"ACTIVE     GHGE, FARM GATE (kg CO2e/kg)","GHGE, processor gate (kg CO2e/kg)"),INDIRECT($K195)),GETPIVOTDATA(IF($J195=1,"ACTIVE     GHGE, FARM GATE (kg CO2e/kg)","Count of GHGE, processor gate (kg CO2e/kg)"),'[1]Pivot Table_GHG'!$A$3,"SUB TYPE",$B195))</f>
        <v/>
      </c>
      <c r="R195" s="94">
        <f>IF($P195="PROXY",DAVERAGE('[1]literature entries'!$D:$AI,IF($J195=1,"ACTIVE     GHGE, FARM GATE (kg CO2e/kg)","GHGE, processor gate (kg CO2e/kg)"),INDIRECT($K195)),GETPIVOTDATA(IF($J195=1,"Average of ACTIVE     GHGE, FARM GATE (kg CO2e/kg)","Average of GHGE, processor gate (kg CO2e/kg)"),'[1]Pivot Table_GHG'!$A$3,"SUB TYPE",$B195))</f>
        <v/>
      </c>
      <c r="S195" s="94">
        <f>IF($P195="PROXY",DSTDEV('[1]literature entries'!$D:$AI,IF($J195=1,"ACTIVE     GHGE, FARM GATE (kg CO2e/kg)","GHGE, processor gate (kg CO2e/kg)"),INDIRECT($K195)),GETPIVOTDATA(IF($J195=1,"StdDev of ACTIVE     GHGE, FARM GATE (kg CO2e/kg)","StdDev of GHGE, processor gate (kg CO2e/kg)"),'[1]Pivot Table_GHG'!$A$3,"SUB TYPE",$B195))</f>
        <v/>
      </c>
      <c r="T195" s="105" t="n"/>
      <c r="U195" s="106" t="n"/>
      <c r="V195" s="97" t="n"/>
      <c r="W195" s="98">
        <f>IF(L195="PROXY",IF(M195&gt;=5,K195,"need group"),IF(M195&gt;=5,"DIRECT","need group"))</f>
        <v/>
      </c>
      <c r="X195" s="98">
        <f>IF($W195="DIRECT",M195,DCOUNT('[1]literature entries'!$D:$AI,IF($J195=1,"ACTIVE     CED, FARM GATE (MJ/kg)","CED, processor gate (MJ/kg)"),INDIRECT($W195)))</f>
        <v/>
      </c>
      <c r="Y195" s="98">
        <f>IF($W195="DIRECT","",DAVERAGE('[1]literature entries'!$D:$AI,IF($J195=1,"ACTIVE     CED, FARM GATE (MJ/kg)","CED, processor gate (MJ/kg)"),INDIRECT($W195)))</f>
        <v/>
      </c>
      <c r="Z195" s="98">
        <f>IF($W195="DIRECT",$O195,DSTDEV('[1]literature entries'!$D:$AI,IF($J195=1,"ACTIVE     CED, FARM GATE (MJ/kg)","CED, processor gate (MJ/kg)"),INDIRECT($W195)))</f>
        <v/>
      </c>
      <c r="AA195" s="98">
        <f>IF($W195="DIRECT",$O195,$Z195/$Y195*$N195)</f>
        <v/>
      </c>
      <c r="AB195" s="99">
        <f>IF(P195="PROXY",IF(Q195&gt;=5,K195,"need group"),IF(Q195&gt;=5,"DIRECT","need group"))</f>
        <v/>
      </c>
      <c r="AC195" s="99">
        <f>IF($AB195="DIRECT",Q195,DCOUNT('[1]literature entries'!$D:$AI,IF($J195=1,"ACTIVE     GHGE, FARM GATE (kg CO2e/kg)","GHGE, processor gate (kg CO2e/kg)"),INDIRECT($AB195)))</f>
        <v/>
      </c>
      <c r="AD195" s="99">
        <f>IF($AB195="DIRECT","",DAVERAGE('[1]literature entries'!$D:$AI,IF($J195=1,"ACTIVE     GHGE, FARM GATE (kg CO2e/kg)","GHGE, processor gate (kg CO2e/kg)"),INDIRECT($AB195)))</f>
        <v/>
      </c>
      <c r="AE195" s="99">
        <f>IF($AB195="DIRECT",$S195,DSTDEV('[1]literature entries'!$D:$AI,IF($J195=1,"ACTIVE     GHGE, FARM GATE (kg CO2e/kg)","GHGE, processor gate (kg CO2e/kg)"),INDIRECT($AB195)))</f>
        <v/>
      </c>
      <c r="AF195" s="99">
        <f>IF($AB195="DIRECT",$S195,$AE195/$AD195*$R195)</f>
        <v/>
      </c>
    </row>
    <row r="196" ht="15.75" customHeight="1" s="201">
      <c r="A196" s="100" t="n">
        <v>1500120000</v>
      </c>
      <c r="B196" s="101" t="inlineStr">
        <is>
          <t>Corn, field, flour</t>
        </is>
      </c>
      <c r="C196" s="101" t="inlineStr">
        <is>
          <t>dry weight of whole grain flour; masa harina</t>
        </is>
      </c>
      <c r="D196" s="101" t="n"/>
      <c r="E196" s="101" t="n">
        <v>16081</v>
      </c>
      <c r="F196" s="84">
        <f>N196*H196+T196</f>
        <v/>
      </c>
      <c r="G196" s="85">
        <f>R196*H196+U196</f>
        <v/>
      </c>
      <c r="H196" s="112" t="n">
        <v>1</v>
      </c>
      <c r="I196" s="103" t="inlineStr">
        <is>
          <t>none</t>
        </is>
      </c>
      <c r="J196" s="104" t="n">
        <v>2</v>
      </c>
      <c r="K196" s="89" t="n"/>
      <c r="L196" s="90">
        <f>IF(ISERROR(GETPIVOTDATA(IF($J196=1,"Count of ACTIVE     CED, FARM GATE (MJ/kg)","Count of CED, processor gate (MJ/kg)"),'[1]Pivot Table_CED'!$A$3,"SUB TYPE",$B196)),"PROXY",IF(GETPIVOTDATA(IF($J196=1,"Count of ACTIVE     CED, FARM GATE (MJ/kg)","Count of CED, processor gate (MJ/kg)"),'[1]Pivot Table_CED'!$A$3,"SUB TYPE",$B196)=0,"PROXY","DB value"))</f>
        <v/>
      </c>
      <c r="M196" s="91">
        <f>IF($L196="PROXY",DCOUNT('[1]literature entries'!$D:$AI,IF($J196=1,"ACTIVE     CED, FARM GATE (MJ/kg)","CED, processor gate (MJ/kg)"),INDIRECT($K196)),GETPIVOTDATA(IF($J196=1,"Count of ACTIVE     CED, FARM GATE (MJ/kg)","Count of CED, processor gate (MJ/kg)"),'[1]Pivot Table_CED'!$A$3,"SUB TYPE",$B196))</f>
        <v/>
      </c>
      <c r="N196" s="92">
        <f>IF($L196="PROXY",DAVERAGE('[1]literature entries'!$D:$AI,IF($J196=1,"ACTIVE     CED, FARM GATE (MJ/kg)","CED, processor gate (MJ/kg)"),INDIRECT($K196)),GETPIVOTDATA(IF($J196=1,"Average of ACTIVE     CED, FARM GATE (MJ/kg)","Average of CED, processor gate (MJ/kg)"),'[1]Pivot Table_CED'!$A$3,"SUB TYPE",$B196))</f>
        <v/>
      </c>
      <c r="O196" s="92">
        <f>IF($L196="PROXY",DSTDEV('[1]literature entries'!D:AI,IF($J196=1,"ACTIVE     CED, FARM GATE (MJ/kg)","CED, processor gate (MJ/kg)"),INDIRECT($K196)),GETPIVOTDATA(IF($J196=1,"StdDev of ACTIVE     CED, FARM GATE (MJ/kg)","StdDev of CED, processor gate (MJ/kg)"),'[1]Pivot Table_CED'!$A$3,"SUB TYPE",$B196))</f>
        <v/>
      </c>
      <c r="P196" s="90">
        <f>IF(ISERROR(GETPIVOTDATA(IF($J196=1,"Count of ACTIVE     GHGE, FARM GATE (kg CO2e/kg)","Count of GHGE, processor gate (kg CO2e/kg)"),'[1]Pivot Table_GHG'!$A$3,"SUB TYPE",$B196)),"PROXY",IF(GETPIVOTDATA(IF($J196=1,"Count of ACTIVE     GHGE, FARM GATE (kg CO2e/kg)","Count of GHGE, processor gate (kg CO2e/kg)"),'[1]Pivot Table_GHG'!$A$3,"SUB TYPE",$B196)=0,"PROXY","DB value"))</f>
        <v/>
      </c>
      <c r="Q196" s="93">
        <f>IF($P196="PROXY",DCOUNT('[1]literature entries'!$D:$AI,IF($J196=1,"ACTIVE     GHGE, FARM GATE (kg CO2e/kg)","GHGE, processor gate (kg CO2e/kg)"),INDIRECT($K196)),GETPIVOTDATA(IF($J196=1,"ACTIVE     GHGE, FARM GATE (kg CO2e/kg)","Count of GHGE, processor gate (kg CO2e/kg)"),'[1]Pivot Table_GHG'!$A$3,"SUB TYPE",$B196))</f>
        <v/>
      </c>
      <c r="R196" s="94">
        <f>IF($P196="PROXY",DAVERAGE('[1]literature entries'!$D:$AI,IF($J196=1,"ACTIVE     GHGE, FARM GATE (kg CO2e/kg)","GHGE, processor gate (kg CO2e/kg)"),INDIRECT($K196)),GETPIVOTDATA(IF($J196=1,"Average of ACTIVE     GHGE, FARM GATE (kg CO2e/kg)","Average of GHGE, processor gate (kg CO2e/kg)"),'[1]Pivot Table_GHG'!$A$3,"SUB TYPE",$B196))</f>
        <v/>
      </c>
      <c r="S196" s="94">
        <f>IF($P196="PROXY",DSTDEV('[1]literature entries'!$D:$AI,IF($J196=1,"ACTIVE     GHGE, FARM GATE (kg CO2e/kg)","GHGE, processor gate (kg CO2e/kg)"),INDIRECT($K196)),GETPIVOTDATA(IF($J196=1,"StdDev of ACTIVE     GHGE, FARM GATE (kg CO2e/kg)","StdDev of GHGE, processor gate (kg CO2e/kg)"),'[1]Pivot Table_GHG'!$A$3,"SUB TYPE",$B196))</f>
        <v/>
      </c>
      <c r="T196" s="105" t="n"/>
      <c r="U196" s="106" t="n"/>
      <c r="V196" s="97" t="n"/>
      <c r="W196" s="98" t="inlineStr">
        <is>
          <t>flours</t>
        </is>
      </c>
      <c r="X196" s="98">
        <f>IF($W196="DIRECT",M196,DCOUNT('[1]literature entries'!$D:$AI,IF($J196=1,"ACTIVE     CED, FARM GATE (MJ/kg)","CED, processor gate (MJ/kg)"),INDIRECT($W196)))</f>
        <v/>
      </c>
      <c r="Y196" s="98">
        <f>IF($W196="DIRECT","",DAVERAGE('[1]literature entries'!$D:$AI,IF($J196=1,"ACTIVE     CED, FARM GATE (MJ/kg)","CED, processor gate (MJ/kg)"),INDIRECT($W196)))</f>
        <v/>
      </c>
      <c r="Z196" s="98">
        <f>IF($W196="DIRECT",$O196,DSTDEV('[1]literature entries'!$D:$AI,IF($J196=1,"ACTIVE     CED, FARM GATE (MJ/kg)","CED, processor gate (MJ/kg)"),INDIRECT($W196)))</f>
        <v/>
      </c>
      <c r="AA196" s="98">
        <f>IF($W196="DIRECT",$O196,$Z196/$Y196*$N196)</f>
        <v/>
      </c>
      <c r="AB196" s="99" t="inlineStr">
        <is>
          <t>flours</t>
        </is>
      </c>
      <c r="AC196" s="99">
        <f>IF($AB196="DIRECT",Q196,DCOUNT('[1]literature entries'!$D:$AI,IF($J196=1,"ACTIVE     GHGE, FARM GATE (kg CO2e/kg)","GHGE, processor gate (kg CO2e/kg)"),INDIRECT($AB196)))</f>
        <v/>
      </c>
      <c r="AD196" s="99">
        <f>IF($AB196="DIRECT","",DAVERAGE('[1]literature entries'!$D:$AI,IF($J196=1,"ACTIVE     GHGE, FARM GATE (kg CO2e/kg)","GHGE, processor gate (kg CO2e/kg)"),INDIRECT($AB196)))</f>
        <v/>
      </c>
      <c r="AE196" s="99">
        <f>IF($AB196="DIRECT",$S196,DSTDEV('[1]literature entries'!$D:$AI,IF($J196=1,"ACTIVE     GHGE, FARM GATE (kg CO2e/kg)","GHGE, processor gate (kg CO2e/kg)"),INDIRECT($AB196)))</f>
        <v/>
      </c>
      <c r="AF196" s="99">
        <f>IF($AB196="DIRECT",$S196,$AE196/$AD196*$R196)</f>
        <v/>
      </c>
    </row>
    <row r="197" ht="15.75" customHeight="1" s="201">
      <c r="A197" s="100" t="n">
        <v>1500121000</v>
      </c>
      <c r="B197" s="101" t="inlineStr">
        <is>
          <t>Corn, field, meal</t>
        </is>
      </c>
      <c r="C197" s="101" t="inlineStr">
        <is>
          <t>dry weight of whole grain or degermed meal; dry weight of corn ingredient from corn or cornmeal based chips or snacks; dry weight of hominy</t>
        </is>
      </c>
      <c r="D197" s="101" t="inlineStr">
        <is>
          <t>Includes hominy.</t>
        </is>
      </c>
      <c r="E197" s="101" t="n">
        <v>12427</v>
      </c>
      <c r="F197" s="84">
        <f>N197*H197+T197</f>
        <v/>
      </c>
      <c r="G197" s="85">
        <f>R197*H197+U197</f>
        <v/>
      </c>
      <c r="H197" s="112" t="n">
        <v>1</v>
      </c>
      <c r="I197" s="103" t="inlineStr">
        <is>
          <t>none</t>
        </is>
      </c>
      <c r="J197" s="104" t="n">
        <v>2</v>
      </c>
      <c r="K197" s="89" t="inlineStr">
        <is>
          <t>corn_flour</t>
        </is>
      </c>
      <c r="L197" s="90">
        <f>IF(ISERROR(GETPIVOTDATA(IF($J197=1,"Count of ACTIVE     CED, FARM GATE (MJ/kg)","Count of CED, processor gate (MJ/kg)"),'[1]Pivot Table_CED'!$A$3,"SUB TYPE",$B197)),"PROXY",IF(GETPIVOTDATA(IF($J197=1,"Count of ACTIVE     CED, FARM GATE (MJ/kg)","Count of CED, processor gate (MJ/kg)"),'[1]Pivot Table_CED'!$A$3,"SUB TYPE",$B197)=0,"PROXY","DB value"))</f>
        <v/>
      </c>
      <c r="M197" s="91">
        <f>IF($L197="PROXY",DCOUNT('[1]literature entries'!$D:$AI,IF($J197=1,"ACTIVE     CED, FARM GATE (MJ/kg)","CED, processor gate (MJ/kg)"),INDIRECT($K197)),GETPIVOTDATA(IF($J197=1,"Count of ACTIVE     CED, FARM GATE (MJ/kg)","Count of CED, processor gate (MJ/kg)"),'[1]Pivot Table_CED'!$A$3,"SUB TYPE",$B197))</f>
        <v/>
      </c>
      <c r="N197" s="92">
        <f>IF($L197="PROXY",DAVERAGE('[1]literature entries'!$D:$AI,IF($J197=1,"ACTIVE     CED, FARM GATE (MJ/kg)","CED, processor gate (MJ/kg)"),INDIRECT($K197)),GETPIVOTDATA(IF($J197=1,"Average of ACTIVE     CED, FARM GATE (MJ/kg)","Average of CED, processor gate (MJ/kg)"),'[1]Pivot Table_CED'!$A$3,"SUB TYPE",$B197))</f>
        <v/>
      </c>
      <c r="O197" s="92">
        <f>IF($L197="PROXY",DSTDEV('[1]literature entries'!D:AI,IF($J197=1,"ACTIVE     CED, FARM GATE (MJ/kg)","CED, processor gate (MJ/kg)"),INDIRECT($K197)),GETPIVOTDATA(IF($J197=1,"StdDev of ACTIVE     CED, FARM GATE (MJ/kg)","StdDev of CED, processor gate (MJ/kg)"),'[1]Pivot Table_CED'!$A$3,"SUB TYPE",$B197))</f>
        <v/>
      </c>
      <c r="P197" s="90">
        <f>IF(ISERROR(GETPIVOTDATA(IF($J197=1,"Count of ACTIVE     GHGE, FARM GATE (kg CO2e/kg)","Count of GHGE, processor gate (kg CO2e/kg)"),'[1]Pivot Table_GHG'!$A$3,"SUB TYPE",$B197)),"PROXY",IF(GETPIVOTDATA(IF($J197=1,"Count of ACTIVE     GHGE, FARM GATE (kg CO2e/kg)","Count of GHGE, processor gate (kg CO2e/kg)"),'[1]Pivot Table_GHG'!$A$3,"SUB TYPE",$B197)=0,"PROXY","DB value"))</f>
        <v/>
      </c>
      <c r="Q197" s="93">
        <f>IF($P197="PROXY",DCOUNT('[1]literature entries'!$D:$AI,IF($J197=1,"ACTIVE     GHGE, FARM GATE (kg CO2e/kg)","GHGE, processor gate (kg CO2e/kg)"),INDIRECT($K197)),GETPIVOTDATA(IF($J197=1,"ACTIVE     GHGE, FARM GATE (kg CO2e/kg)","Count of GHGE, processor gate (kg CO2e/kg)"),'[1]Pivot Table_GHG'!$A$3,"SUB TYPE",$B197))</f>
        <v/>
      </c>
      <c r="R197" s="94">
        <f>IF($P197="PROXY",DAVERAGE('[1]literature entries'!$D:$AI,IF($J197=1,"ACTIVE     GHGE, FARM GATE (kg CO2e/kg)","GHGE, processor gate (kg CO2e/kg)"),INDIRECT($K197)),GETPIVOTDATA(IF($J197=1,"Average of ACTIVE     GHGE, FARM GATE (kg CO2e/kg)","Average of GHGE, processor gate (kg CO2e/kg)"),'[1]Pivot Table_GHG'!$A$3,"SUB TYPE",$B197))</f>
        <v/>
      </c>
      <c r="S197" s="94">
        <f>IF($P197="PROXY",DSTDEV('[1]literature entries'!$D:$AI,IF($J197=1,"ACTIVE     GHGE, FARM GATE (kg CO2e/kg)","GHGE, processor gate (kg CO2e/kg)"),INDIRECT($K197)),GETPIVOTDATA(IF($J197=1,"StdDev of ACTIVE     GHGE, FARM GATE (kg CO2e/kg)","StdDev of GHGE, processor gate (kg CO2e/kg)"),'[1]Pivot Table_GHG'!$A$3,"SUB TYPE",$B197))</f>
        <v/>
      </c>
      <c r="T197" s="105" t="n"/>
      <c r="U197" s="106" t="n"/>
      <c r="V197" s="97" t="n"/>
      <c r="W197" s="98" t="inlineStr">
        <is>
          <t>flours</t>
        </is>
      </c>
      <c r="X197" s="98">
        <f>IF($W197="DIRECT",M197,DCOUNT('[1]literature entries'!$D:$AI,IF($J197=1,"ACTIVE     CED, FARM GATE (MJ/kg)","CED, processor gate (MJ/kg)"),INDIRECT($W197)))</f>
        <v/>
      </c>
      <c r="Y197" s="98">
        <f>IF($W197="DIRECT","",DAVERAGE('[1]literature entries'!$D:$AI,IF($J197=1,"ACTIVE     CED, FARM GATE (MJ/kg)","CED, processor gate (MJ/kg)"),INDIRECT($W197)))</f>
        <v/>
      </c>
      <c r="Z197" s="98">
        <f>IF($W197="DIRECT",$O197,DSTDEV('[1]literature entries'!$D:$AI,IF($J197=1,"ACTIVE     CED, FARM GATE (MJ/kg)","CED, processor gate (MJ/kg)"),INDIRECT($W197)))</f>
        <v/>
      </c>
      <c r="AA197" s="98">
        <f>IF($W197="DIRECT",$O197,$Z197/$Y197*$N197)</f>
        <v/>
      </c>
      <c r="AB197" s="99" t="inlineStr">
        <is>
          <t>flours</t>
        </is>
      </c>
      <c r="AC197" s="99">
        <f>IF($AB197="DIRECT",Q197,DCOUNT('[1]literature entries'!$D:$AI,IF($J197=1,"ACTIVE     GHGE, FARM GATE (kg CO2e/kg)","GHGE, processor gate (kg CO2e/kg)"),INDIRECT($AB197)))</f>
        <v/>
      </c>
      <c r="AD197" s="99">
        <f>IF($AB197="DIRECT","",DAVERAGE('[1]literature entries'!$D:$AI,IF($J197=1,"ACTIVE     GHGE, FARM GATE (kg CO2e/kg)","GHGE, processor gate (kg CO2e/kg)"),INDIRECT($AB197)))</f>
        <v/>
      </c>
      <c r="AE197" s="99">
        <f>IF($AB197="DIRECT",$S197,DSTDEV('[1]literature entries'!$D:$AI,IF($J197=1,"ACTIVE     GHGE, FARM GATE (kg CO2e/kg)","GHGE, processor gate (kg CO2e/kg)"),INDIRECT($AB197)))</f>
        <v/>
      </c>
      <c r="AF197" s="99">
        <f>IF($AB197="DIRECT",$S197,$AE197/$AD197*$R197)</f>
        <v/>
      </c>
    </row>
    <row r="198" ht="15.75" customHeight="1" s="201">
      <c r="A198" s="100" t="n">
        <v>1500122000</v>
      </c>
      <c r="B198" s="101" t="inlineStr">
        <is>
          <t>Corn, field, bran</t>
        </is>
      </c>
      <c r="C198" s="101" t="inlineStr">
        <is>
          <t>dry weight of bran</t>
        </is>
      </c>
      <c r="D198" s="101" t="n"/>
      <c r="E198" s="101" t="n">
        <v>555</v>
      </c>
      <c r="F198" s="84">
        <f>N198*H198+T198</f>
        <v/>
      </c>
      <c r="G198" s="85">
        <f>R198*H198+U198</f>
        <v/>
      </c>
      <c r="H198" s="102" t="n">
        <v>1</v>
      </c>
      <c r="I198" s="103" t="inlineStr">
        <is>
          <t>None</t>
        </is>
      </c>
      <c r="J198" s="104" t="n">
        <v>2</v>
      </c>
      <c r="K198" s="89" t="inlineStr">
        <is>
          <t>corn_flour</t>
        </is>
      </c>
      <c r="L198" s="90">
        <f>IF(ISERROR(GETPIVOTDATA(IF($J198=1,"Count of ACTIVE     CED, FARM GATE (MJ/kg)","Count of CED, processor gate (MJ/kg)"),'[1]Pivot Table_CED'!$A$3,"SUB TYPE",$B198)),"PROXY",IF(GETPIVOTDATA(IF($J198=1,"Count of ACTIVE     CED, FARM GATE (MJ/kg)","Count of CED, processor gate (MJ/kg)"),'[1]Pivot Table_CED'!$A$3,"SUB TYPE",$B198)=0,"PROXY","DB value"))</f>
        <v/>
      </c>
      <c r="M198" s="91">
        <f>IF($L198="PROXY",DCOUNT('[1]literature entries'!$D:$AI,IF($J198=1,"ACTIVE     CED, FARM GATE (MJ/kg)","CED, processor gate (MJ/kg)"),INDIRECT($K198)),GETPIVOTDATA(IF($J198=1,"Count of ACTIVE     CED, FARM GATE (MJ/kg)","Count of CED, processor gate (MJ/kg)"),'[1]Pivot Table_CED'!$A$3,"SUB TYPE",$B198))</f>
        <v/>
      </c>
      <c r="N198" s="92">
        <f>IF($L198="PROXY",DAVERAGE('[1]literature entries'!$D:$AI,IF($J198=1,"ACTIVE     CED, FARM GATE (MJ/kg)","CED, processor gate (MJ/kg)"),INDIRECT($K198)),GETPIVOTDATA(IF($J198=1,"Average of ACTIVE     CED, FARM GATE (MJ/kg)","Average of CED, processor gate (MJ/kg)"),'[1]Pivot Table_CED'!$A$3,"SUB TYPE",$B198))</f>
        <v/>
      </c>
      <c r="O198" s="92">
        <f>IF($L198="PROXY",DSTDEV('[1]literature entries'!D:AI,IF($J198=1,"ACTIVE     CED, FARM GATE (MJ/kg)","CED, processor gate (MJ/kg)"),INDIRECT($K198)),GETPIVOTDATA(IF($J198=1,"StdDev of ACTIVE     CED, FARM GATE (MJ/kg)","StdDev of CED, processor gate (MJ/kg)"),'[1]Pivot Table_CED'!$A$3,"SUB TYPE",$B198))</f>
        <v/>
      </c>
      <c r="P198" s="90">
        <f>IF(ISERROR(GETPIVOTDATA(IF($J198=1,"Count of ACTIVE     GHGE, FARM GATE (kg CO2e/kg)","Count of GHGE, processor gate (kg CO2e/kg)"),'[1]Pivot Table_GHG'!$A$3,"SUB TYPE",$B198)),"PROXY",IF(GETPIVOTDATA(IF($J198=1,"Count of ACTIVE     GHGE, FARM GATE (kg CO2e/kg)","Count of GHGE, processor gate (kg CO2e/kg)"),'[1]Pivot Table_GHG'!$A$3,"SUB TYPE",$B198)=0,"PROXY","DB value"))</f>
        <v/>
      </c>
      <c r="Q198" s="93">
        <f>IF($P198="PROXY",DCOUNT('[1]literature entries'!$D:$AI,IF($J198=1,"ACTIVE     GHGE, FARM GATE (kg CO2e/kg)","GHGE, processor gate (kg CO2e/kg)"),INDIRECT($K198)),GETPIVOTDATA(IF($J198=1,"ACTIVE     GHGE, FARM GATE (kg CO2e/kg)","Count of GHGE, processor gate (kg CO2e/kg)"),'[1]Pivot Table_GHG'!$A$3,"SUB TYPE",$B198))</f>
        <v/>
      </c>
      <c r="R198" s="94">
        <f>IF($P198="PROXY",DAVERAGE('[1]literature entries'!$D:$AI,IF($J198=1,"ACTIVE     GHGE, FARM GATE (kg CO2e/kg)","GHGE, processor gate (kg CO2e/kg)"),INDIRECT($K198)),GETPIVOTDATA(IF($J198=1,"Average of ACTIVE     GHGE, FARM GATE (kg CO2e/kg)","Average of GHGE, processor gate (kg CO2e/kg)"),'[1]Pivot Table_GHG'!$A$3,"SUB TYPE",$B198))</f>
        <v/>
      </c>
      <c r="S198" s="94">
        <f>IF($P198="PROXY",DSTDEV('[1]literature entries'!$D:$AI,IF($J198=1,"ACTIVE     GHGE, FARM GATE (kg CO2e/kg)","GHGE, processor gate (kg CO2e/kg)"),INDIRECT($K198)),GETPIVOTDATA(IF($J198=1,"StdDev of ACTIVE     GHGE, FARM GATE (kg CO2e/kg)","StdDev of GHGE, processor gate (kg CO2e/kg)"),'[1]Pivot Table_GHG'!$A$3,"SUB TYPE",$B198))</f>
        <v/>
      </c>
      <c r="T198" s="105" t="n"/>
      <c r="U198" s="106" t="n"/>
      <c r="V198" s="97" t="n"/>
      <c r="W198" s="98" t="inlineStr">
        <is>
          <t>flours</t>
        </is>
      </c>
      <c r="X198" s="98">
        <f>IF($W198="DIRECT",M198,DCOUNT('[1]literature entries'!$D:$AI,IF($J198=1,"ACTIVE     CED, FARM GATE (MJ/kg)","CED, processor gate (MJ/kg)"),INDIRECT($W198)))</f>
        <v/>
      </c>
      <c r="Y198" s="98">
        <f>IF($W198="DIRECT","",DAVERAGE('[1]literature entries'!$D:$AI,IF($J198=1,"ACTIVE     CED, FARM GATE (MJ/kg)","CED, processor gate (MJ/kg)"),INDIRECT($W198)))</f>
        <v/>
      </c>
      <c r="Z198" s="98">
        <f>IF($W198="DIRECT",$O198,DSTDEV('[1]literature entries'!$D:$AI,IF($J198=1,"ACTIVE     CED, FARM GATE (MJ/kg)","CED, processor gate (MJ/kg)"),INDIRECT($W198)))</f>
        <v/>
      </c>
      <c r="AA198" s="98">
        <f>IF($W198="DIRECT",$O198,$Z198/$Y198*$N198)</f>
        <v/>
      </c>
      <c r="AB198" s="99" t="inlineStr">
        <is>
          <t>flours</t>
        </is>
      </c>
      <c r="AC198" s="99">
        <f>IF($AB198="DIRECT",Q198,DCOUNT('[1]literature entries'!$D:$AI,IF($J198=1,"ACTIVE     GHGE, FARM GATE (kg CO2e/kg)","GHGE, processor gate (kg CO2e/kg)"),INDIRECT($AB198)))</f>
        <v/>
      </c>
      <c r="AD198" s="99">
        <f>IF($AB198="DIRECT","",DAVERAGE('[1]literature entries'!$D:$AI,IF($J198=1,"ACTIVE     GHGE, FARM GATE (kg CO2e/kg)","GHGE, processor gate (kg CO2e/kg)"),INDIRECT($AB198)))</f>
        <v/>
      </c>
      <c r="AE198" s="99">
        <f>IF($AB198="DIRECT",$S198,DSTDEV('[1]literature entries'!$D:$AI,IF($J198=1,"ACTIVE     GHGE, FARM GATE (kg CO2e/kg)","GHGE, processor gate (kg CO2e/kg)"),INDIRECT($AB198)))</f>
        <v/>
      </c>
      <c r="AF198" s="99">
        <f>IF($AB198="DIRECT",$S198,$AE198/$AD198*$R198)</f>
        <v/>
      </c>
    </row>
    <row r="199" ht="15.75" customHeight="1" s="201">
      <c r="A199" s="100" t="n">
        <v>1500123000</v>
      </c>
      <c r="B199" s="101" t="inlineStr">
        <is>
          <t>Corn, field, starch</t>
        </is>
      </c>
      <c r="C199" s="101" t="inlineStr">
        <is>
          <t>dry weight of corn starch</t>
        </is>
      </c>
      <c r="D199" s="101" t="n"/>
      <c r="E199" s="101" t="n">
        <v>34670</v>
      </c>
      <c r="F199" s="84">
        <f>N199*H199+T199</f>
        <v/>
      </c>
      <c r="G199" s="85">
        <f>R199*H199+U199</f>
        <v/>
      </c>
      <c r="H199" s="112" t="n">
        <v>1</v>
      </c>
      <c r="I199" s="103" t="inlineStr">
        <is>
          <t>none</t>
        </is>
      </c>
      <c r="J199" s="104" t="n">
        <v>2</v>
      </c>
      <c r="K199" s="89" t="n"/>
      <c r="L199" s="90">
        <f>IF(ISERROR(GETPIVOTDATA(IF($J199=1,"Count of ACTIVE     CED, FARM GATE (MJ/kg)","Count of CED, processor gate (MJ/kg)"),'[1]Pivot Table_CED'!$A$3,"SUB TYPE",$B199)),"PROXY",IF(GETPIVOTDATA(IF($J199=1,"Count of ACTIVE     CED, FARM GATE (MJ/kg)","Count of CED, processor gate (MJ/kg)"),'[1]Pivot Table_CED'!$A$3,"SUB TYPE",$B199)=0,"PROXY","DB value"))</f>
        <v/>
      </c>
      <c r="M199" s="91">
        <f>IF($L199="PROXY",DCOUNT('[1]literature entries'!$D:$AI,IF($J199=1,"ACTIVE     CED, FARM GATE (MJ/kg)","CED, processor gate (MJ/kg)"),INDIRECT($K199)),GETPIVOTDATA(IF($J199=1,"Count of ACTIVE     CED, FARM GATE (MJ/kg)","Count of CED, processor gate (MJ/kg)"),'[1]Pivot Table_CED'!$A$3,"SUB TYPE",$B199))</f>
        <v/>
      </c>
      <c r="N199" s="92">
        <f>IF($L199="PROXY",DAVERAGE('[1]literature entries'!$D:$AI,IF($J199=1,"ACTIVE     CED, FARM GATE (MJ/kg)","CED, processor gate (MJ/kg)"),INDIRECT($K199)),GETPIVOTDATA(IF($J199=1,"Average of ACTIVE     CED, FARM GATE (MJ/kg)","Average of CED, processor gate (MJ/kg)"),'[1]Pivot Table_CED'!$A$3,"SUB TYPE",$B199))</f>
        <v/>
      </c>
      <c r="O199" s="92">
        <f>IF($L199="PROXY",DSTDEV('[1]literature entries'!D:AI,IF($J199=1,"ACTIVE     CED, FARM GATE (MJ/kg)","CED, processor gate (MJ/kg)"),INDIRECT($K199)),GETPIVOTDATA(IF($J199=1,"StdDev of ACTIVE     CED, FARM GATE (MJ/kg)","StdDev of CED, processor gate (MJ/kg)"),'[1]Pivot Table_CED'!$A$3,"SUB TYPE",$B199))</f>
        <v/>
      </c>
      <c r="P199" s="90">
        <f>IF(ISERROR(GETPIVOTDATA(IF($J199=1,"Count of ACTIVE     GHGE, FARM GATE (kg CO2e/kg)","Count of GHGE, processor gate (kg CO2e/kg)"),'[1]Pivot Table_GHG'!$A$3,"SUB TYPE",$B199)),"PROXY",IF(GETPIVOTDATA(IF($J199=1,"Count of ACTIVE     GHGE, FARM GATE (kg CO2e/kg)","Count of GHGE, processor gate (kg CO2e/kg)"),'[1]Pivot Table_GHG'!$A$3,"SUB TYPE",$B199)=0,"PROXY","DB value"))</f>
        <v/>
      </c>
      <c r="Q199" s="93">
        <f>IF($P199="PROXY",DCOUNT('[1]literature entries'!$D:$AI,IF($J199=1,"ACTIVE     GHGE, FARM GATE (kg CO2e/kg)","GHGE, processor gate (kg CO2e/kg)"),INDIRECT($K199)),GETPIVOTDATA(IF($J199=1,"ACTIVE     GHGE, FARM GATE (kg CO2e/kg)","Count of GHGE, processor gate (kg CO2e/kg)"),'[1]Pivot Table_GHG'!$A$3,"SUB TYPE",$B199))</f>
        <v/>
      </c>
      <c r="R199" s="94">
        <f>IF($P199="PROXY",DAVERAGE('[1]literature entries'!$D:$AI,IF($J199=1,"ACTIVE     GHGE, FARM GATE (kg CO2e/kg)","GHGE, processor gate (kg CO2e/kg)"),INDIRECT($K199)),GETPIVOTDATA(IF($J199=1,"Average of ACTIVE     GHGE, FARM GATE (kg CO2e/kg)","Average of GHGE, processor gate (kg CO2e/kg)"),'[1]Pivot Table_GHG'!$A$3,"SUB TYPE",$B199))</f>
        <v/>
      </c>
      <c r="S199" s="94">
        <f>IF($P199="PROXY",DSTDEV('[1]literature entries'!$D:$AI,IF($J199=1,"ACTIVE     GHGE, FARM GATE (kg CO2e/kg)","GHGE, processor gate (kg CO2e/kg)"),INDIRECT($K199)),GETPIVOTDATA(IF($J199=1,"StdDev of ACTIVE     GHGE, FARM GATE (kg CO2e/kg)","StdDev of GHGE, processor gate (kg CO2e/kg)"),'[1]Pivot Table_GHG'!$A$3,"SUB TYPE",$B199))</f>
        <v/>
      </c>
      <c r="T199" s="105" t="n"/>
      <c r="U199" s="106" t="n"/>
      <c r="V199" s="97" t="n"/>
      <c r="W199" s="109" t="inlineStr">
        <is>
          <t>no var</t>
        </is>
      </c>
      <c r="X199" s="98" t="n"/>
      <c r="Y199" s="98" t="n"/>
      <c r="Z199" s="98" t="n">
        <v>0</v>
      </c>
      <c r="AA199" s="98" t="n">
        <v>0</v>
      </c>
      <c r="AB199" s="109" t="inlineStr">
        <is>
          <t>no var</t>
        </is>
      </c>
      <c r="AC199" s="99" t="n"/>
      <c r="AD199" s="99" t="n"/>
      <c r="AE199" s="99" t="n">
        <v>0</v>
      </c>
      <c r="AF199" s="99" t="n">
        <v>0</v>
      </c>
    </row>
    <row r="200" ht="15.75" customHeight="1" s="201">
      <c r="A200" s="100" t="n">
        <v>1500124000</v>
      </c>
      <c r="B200" s="101" t="inlineStr">
        <is>
          <t>Corn, field, syrup</t>
        </is>
      </c>
      <c r="C200" s="101" t="inlineStr">
        <is>
          <t>weight of syrup</t>
        </is>
      </c>
      <c r="D200" s="101" t="n"/>
      <c r="E200" s="101" t="n">
        <v>49699</v>
      </c>
      <c r="F200" s="84">
        <f>N200*H200+T200</f>
        <v/>
      </c>
      <c r="G200" s="85">
        <f>R200*H200+U200</f>
        <v/>
      </c>
      <c r="H200" s="112" t="n">
        <v>1</v>
      </c>
      <c r="I200" s="103" t="inlineStr">
        <is>
          <t>none</t>
        </is>
      </c>
      <c r="J200" s="104" t="n">
        <v>2</v>
      </c>
      <c r="K200" s="89" t="inlineStr">
        <is>
          <t>corn_starch</t>
        </is>
      </c>
      <c r="L200" s="90">
        <f>IF(ISERROR(GETPIVOTDATA(IF($J200=1,"Count of ACTIVE     CED, FARM GATE (MJ/kg)","Count of CED, processor gate (MJ/kg)"),'[1]Pivot Table_CED'!$A$3,"SUB TYPE",$B200)),"PROXY",IF(GETPIVOTDATA(IF($J200=1,"Count of ACTIVE     CED, FARM GATE (MJ/kg)","Count of CED, processor gate (MJ/kg)"),'[1]Pivot Table_CED'!$A$3,"SUB TYPE",$B200)=0,"PROXY","DB value"))</f>
        <v/>
      </c>
      <c r="M200" s="91">
        <f>IF($L200="PROXY",DCOUNT('[1]literature entries'!$D:$AI,IF($J200=1,"ACTIVE     CED, FARM GATE (MJ/kg)","CED, processor gate (MJ/kg)"),INDIRECT($K200)),GETPIVOTDATA(IF($J200=1,"Count of ACTIVE     CED, FARM GATE (MJ/kg)","Count of CED, processor gate (MJ/kg)"),'[1]Pivot Table_CED'!$A$3,"SUB TYPE",$B200))</f>
        <v/>
      </c>
      <c r="N200" s="92">
        <f>IF($L200="PROXY",DAVERAGE('[1]literature entries'!$D:$AI,IF($J200=1,"ACTIVE     CED, FARM GATE (MJ/kg)","CED, processor gate (MJ/kg)"),INDIRECT($K200)),GETPIVOTDATA(IF($J200=1,"Average of ACTIVE     CED, FARM GATE (MJ/kg)","Average of CED, processor gate (MJ/kg)"),'[1]Pivot Table_CED'!$A$3,"SUB TYPE",$B200))</f>
        <v/>
      </c>
      <c r="O200" s="92">
        <f>IF($L200="PROXY",DSTDEV('[1]literature entries'!D:AI,IF($J200=1,"ACTIVE     CED, FARM GATE (MJ/kg)","CED, processor gate (MJ/kg)"),INDIRECT($K200)),GETPIVOTDATA(IF($J200=1,"StdDev of ACTIVE     CED, FARM GATE (MJ/kg)","StdDev of CED, processor gate (MJ/kg)"),'[1]Pivot Table_CED'!$A$3,"SUB TYPE",$B200))</f>
        <v/>
      </c>
      <c r="P200" s="90">
        <f>IF(ISERROR(GETPIVOTDATA(IF($J200=1,"Count of ACTIVE     GHGE, FARM GATE (kg CO2e/kg)","Count of GHGE, processor gate (kg CO2e/kg)"),'[1]Pivot Table_GHG'!$A$3,"SUB TYPE",$B200)),"PROXY",IF(GETPIVOTDATA(IF($J200=1,"Count of ACTIVE     GHGE, FARM GATE (kg CO2e/kg)","Count of GHGE, processor gate (kg CO2e/kg)"),'[1]Pivot Table_GHG'!$A$3,"SUB TYPE",$B200)=0,"PROXY","DB value"))</f>
        <v/>
      </c>
      <c r="Q200" s="93">
        <f>IF($P200="PROXY",DCOUNT('[1]literature entries'!$D:$AI,IF($J200=1,"ACTIVE     GHGE, FARM GATE (kg CO2e/kg)","GHGE, processor gate (kg CO2e/kg)"),INDIRECT($K200)),GETPIVOTDATA(IF($J200=1,"ACTIVE     GHGE, FARM GATE (kg CO2e/kg)","Count of GHGE, processor gate (kg CO2e/kg)"),'[1]Pivot Table_GHG'!$A$3,"SUB TYPE",$B200))</f>
        <v/>
      </c>
      <c r="R200" s="94">
        <f>IF($P200="PROXY",DAVERAGE('[1]literature entries'!$D:$AI,IF($J200=1,"ACTIVE     GHGE, FARM GATE (kg CO2e/kg)","GHGE, processor gate (kg CO2e/kg)"),INDIRECT($K200)),GETPIVOTDATA(IF($J200=1,"Average of ACTIVE     GHGE, FARM GATE (kg CO2e/kg)","Average of GHGE, processor gate (kg CO2e/kg)"),'[1]Pivot Table_GHG'!$A$3,"SUB TYPE",$B200))</f>
        <v/>
      </c>
      <c r="S200" s="94">
        <f>IF($P200="PROXY",DSTDEV('[1]literature entries'!$D:$AI,IF($J200=1,"ACTIVE     GHGE, FARM GATE (kg CO2e/kg)","GHGE, processor gate (kg CO2e/kg)"),INDIRECT($K200)),GETPIVOTDATA(IF($J200=1,"StdDev of ACTIVE     GHGE, FARM GATE (kg CO2e/kg)","StdDev of GHGE, processor gate (kg CO2e/kg)"),'[1]Pivot Table_GHG'!$A$3,"SUB TYPE",$B200))</f>
        <v/>
      </c>
      <c r="T200" s="105" t="n"/>
      <c r="U200" s="106" t="n"/>
      <c r="V200" s="97" t="n"/>
      <c r="W200" s="109" t="inlineStr">
        <is>
          <t>no var</t>
        </is>
      </c>
      <c r="X200" s="98" t="n"/>
      <c r="Y200" s="98" t="n"/>
      <c r="Z200" s="98" t="n">
        <v>0</v>
      </c>
      <c r="AA200" s="98" t="n">
        <v>0</v>
      </c>
      <c r="AB200" s="109" t="inlineStr">
        <is>
          <t>no var</t>
        </is>
      </c>
      <c r="AC200" s="99" t="n"/>
      <c r="AD200" s="99" t="n"/>
      <c r="AE200" s="99" t="n">
        <v>0</v>
      </c>
      <c r="AF200" s="99" t="n">
        <v>0</v>
      </c>
    </row>
    <row r="201" ht="15.75" customHeight="1" s="201">
      <c r="A201" s="100" t="n">
        <v>1500125000</v>
      </c>
      <c r="B201" s="101" t="inlineStr">
        <is>
          <t>Corn, field, oil</t>
        </is>
      </c>
      <c r="C201" s="101" t="inlineStr">
        <is>
          <t>weight of oil</t>
        </is>
      </c>
      <c r="D201" s="101" t="n"/>
      <c r="E201" s="101" t="n">
        <v>45585</v>
      </c>
      <c r="F201" s="84">
        <f>N201*H201+T201</f>
        <v/>
      </c>
      <c r="G201" s="85">
        <f>R201*H201+U201</f>
        <v/>
      </c>
      <c r="H201" s="112" t="n">
        <v>1</v>
      </c>
      <c r="I201" s="103" t="inlineStr">
        <is>
          <t>none</t>
        </is>
      </c>
      <c r="J201" s="104" t="n">
        <v>2</v>
      </c>
      <c r="K201" s="89" t="n"/>
      <c r="L201" s="90">
        <f>IF(ISERROR(GETPIVOTDATA(IF($J201=1,"Count of ACTIVE     CED, FARM GATE (MJ/kg)","Count of CED, processor gate (MJ/kg)"),'[1]Pivot Table_CED'!$A$3,"SUB TYPE",$B201)),"PROXY",IF(GETPIVOTDATA(IF($J201=1,"Count of ACTIVE     CED, FARM GATE (MJ/kg)","Count of CED, processor gate (MJ/kg)"),'[1]Pivot Table_CED'!$A$3,"SUB TYPE",$B201)=0,"PROXY","DB value"))</f>
        <v/>
      </c>
      <c r="M201" s="91">
        <f>IF($L201="PROXY",DCOUNT('[1]literature entries'!$D:$AI,IF($J201=1,"ACTIVE     CED, FARM GATE (MJ/kg)","CED, processor gate (MJ/kg)"),INDIRECT($K201)),GETPIVOTDATA(IF($J201=1,"Count of ACTIVE     CED, FARM GATE (MJ/kg)","Count of CED, processor gate (MJ/kg)"),'[1]Pivot Table_CED'!$A$3,"SUB TYPE",$B201))</f>
        <v/>
      </c>
      <c r="N201" s="92">
        <f>IF($L201="PROXY",DAVERAGE('[1]literature entries'!$D:$AI,IF($J201=1,"ACTIVE     CED, FARM GATE (MJ/kg)","CED, processor gate (MJ/kg)"),INDIRECT($K201)),GETPIVOTDATA(IF($J201=1,"Average of ACTIVE     CED, FARM GATE (MJ/kg)","Average of CED, processor gate (MJ/kg)"),'[1]Pivot Table_CED'!$A$3,"SUB TYPE",$B201))</f>
        <v/>
      </c>
      <c r="O201" s="92">
        <f>IF($L201="PROXY",DSTDEV('[1]literature entries'!D:AI,IF($J201=1,"ACTIVE     CED, FARM GATE (MJ/kg)","CED, processor gate (MJ/kg)"),INDIRECT($K201)),GETPIVOTDATA(IF($J201=1,"StdDev of ACTIVE     CED, FARM GATE (MJ/kg)","StdDev of CED, processor gate (MJ/kg)"),'[1]Pivot Table_CED'!$A$3,"SUB TYPE",$B201))</f>
        <v/>
      </c>
      <c r="P201" s="90">
        <f>IF(ISERROR(GETPIVOTDATA(IF($J201=1,"Count of ACTIVE     GHGE, FARM GATE (kg CO2e/kg)","Count of GHGE, processor gate (kg CO2e/kg)"),'[1]Pivot Table_GHG'!$A$3,"SUB TYPE",$B201)),"PROXY",IF(GETPIVOTDATA(IF($J201=1,"Count of ACTIVE     GHGE, FARM GATE (kg CO2e/kg)","Count of GHGE, processor gate (kg CO2e/kg)"),'[1]Pivot Table_GHG'!$A$3,"SUB TYPE",$B201)=0,"PROXY","DB value"))</f>
        <v/>
      </c>
      <c r="Q201" s="93">
        <f>IF($P201="PROXY",DCOUNT('[1]literature entries'!$D:$AI,IF($J201=1,"ACTIVE     GHGE, FARM GATE (kg CO2e/kg)","GHGE, processor gate (kg CO2e/kg)"),INDIRECT($K201)),GETPIVOTDATA(IF($J201=1,"ACTIVE     GHGE, FARM GATE (kg CO2e/kg)","Count of GHGE, processor gate (kg CO2e/kg)"),'[1]Pivot Table_GHG'!$A$3,"SUB TYPE",$B201))</f>
        <v/>
      </c>
      <c r="R201" s="94">
        <f>IF($P201="PROXY",DAVERAGE('[1]literature entries'!$D:$AI,IF($J201=1,"ACTIVE     GHGE, FARM GATE (kg CO2e/kg)","GHGE, processor gate (kg CO2e/kg)"),INDIRECT($K201)),GETPIVOTDATA(IF($J201=1,"Average of ACTIVE     GHGE, FARM GATE (kg CO2e/kg)","Average of GHGE, processor gate (kg CO2e/kg)"),'[1]Pivot Table_GHG'!$A$3,"SUB TYPE",$B201))</f>
        <v/>
      </c>
      <c r="S201" s="94">
        <f>IF($P201="PROXY",DSTDEV('[1]literature entries'!$D:$AI,IF($J201=1,"ACTIVE     GHGE, FARM GATE (kg CO2e/kg)","GHGE, processor gate (kg CO2e/kg)"),INDIRECT($K201)),GETPIVOTDATA(IF($J201=1,"StdDev of ACTIVE     GHGE, FARM GATE (kg CO2e/kg)","StdDev of GHGE, processor gate (kg CO2e/kg)"),'[1]Pivot Table_GHG'!$A$3,"SUB TYPE",$B201))</f>
        <v/>
      </c>
      <c r="T201" s="105" t="n"/>
      <c r="U201" s="106" t="n"/>
      <c r="V201" s="97" t="n"/>
      <c r="W201" s="98" t="inlineStr">
        <is>
          <t>oils</t>
        </is>
      </c>
      <c r="X201" s="98">
        <f>IF($W201="DIRECT",M201,DCOUNT('[1]literature entries'!$D:$AI,IF($J201=1,"ACTIVE     CED, FARM GATE (MJ/kg)","CED, processor gate (MJ/kg)"),INDIRECT($W201)))</f>
        <v/>
      </c>
      <c r="Y201" s="98">
        <f>IF($W201="DIRECT","",DAVERAGE('[1]literature entries'!$D:$AI,IF($J201=1,"ACTIVE     CED, FARM GATE (MJ/kg)","CED, processor gate (MJ/kg)"),INDIRECT($W201)))</f>
        <v/>
      </c>
      <c r="Z201" s="98">
        <f>IF($W201="DIRECT",$O201,DSTDEV('[1]literature entries'!$D:$AI,IF($J201=1,"ACTIVE     CED, FARM GATE (MJ/kg)","CED, processor gate (MJ/kg)"),INDIRECT($W201)))</f>
        <v/>
      </c>
      <c r="AA201" s="98">
        <f>IF($W201="DIRECT",$O201,$Z201/$Y201*$N201)</f>
        <v/>
      </c>
      <c r="AB201" s="99" t="inlineStr">
        <is>
          <t>oils</t>
        </is>
      </c>
      <c r="AC201" s="99">
        <f>IF($AB201="DIRECT",Q201,DCOUNT('[1]literature entries'!$D:$AI,IF($J201=1,"ACTIVE     GHGE, FARM GATE (kg CO2e/kg)","GHGE, processor gate (kg CO2e/kg)"),INDIRECT($AB201)))</f>
        <v/>
      </c>
      <c r="AD201" s="99">
        <f>IF($AB201="DIRECT","",DAVERAGE('[1]literature entries'!$D:$AI,IF($J201=1,"ACTIVE     GHGE, FARM GATE (kg CO2e/kg)","GHGE, processor gate (kg CO2e/kg)"),INDIRECT($AB201)))</f>
        <v/>
      </c>
      <c r="AE201" s="99">
        <f>IF($AB201="DIRECT",$S201,DSTDEV('[1]literature entries'!$D:$AI,IF($J201=1,"ACTIVE     GHGE, FARM GATE (kg CO2e/kg)","GHGE, processor gate (kg CO2e/kg)"),INDIRECT($AB201)))</f>
        <v/>
      </c>
      <c r="AF201" s="99">
        <f>IF($AB201="DIRECT",$S201,$AE201/$AD201*$R201)</f>
        <v/>
      </c>
    </row>
    <row r="202" ht="15.75" customHeight="1" s="201">
      <c r="A202" s="100" t="n">
        <v>1500126000</v>
      </c>
      <c r="B202" s="101" t="inlineStr">
        <is>
          <t>Corn, pop</t>
        </is>
      </c>
      <c r="C202" s="101" t="inlineStr">
        <is>
          <t>weight of kernels; excluding cob and husk</t>
        </is>
      </c>
      <c r="D202" s="101" t="n"/>
      <c r="E202" s="101" t="n">
        <v>3050</v>
      </c>
      <c r="F202" s="84">
        <f>N202*H202+T202</f>
        <v/>
      </c>
      <c r="G202" s="85">
        <f>R202*H202+U202</f>
        <v/>
      </c>
      <c r="H202" s="103" t="n">
        <v>1</v>
      </c>
      <c r="I202" s="103" t="inlineStr">
        <is>
          <t>FICRCD</t>
        </is>
      </c>
      <c r="J202" s="104" t="n">
        <v>1</v>
      </c>
      <c r="K202" s="89" t="inlineStr">
        <is>
          <t>grains</t>
        </is>
      </c>
      <c r="L202" s="90">
        <f>IF(ISERROR(GETPIVOTDATA(IF($J202=1,"Count of ACTIVE     CED, FARM GATE (MJ/kg)","Count of CED, processor gate (MJ/kg)"),'[1]Pivot Table_CED'!$A$3,"SUB TYPE",$B202)),"PROXY",IF(GETPIVOTDATA(IF($J202=1,"Count of ACTIVE     CED, FARM GATE (MJ/kg)","Count of CED, processor gate (MJ/kg)"),'[1]Pivot Table_CED'!$A$3,"SUB TYPE",$B202)=0,"PROXY","DB value"))</f>
        <v/>
      </c>
      <c r="M202" s="91">
        <f>IF($L202="PROXY",DCOUNT('[1]literature entries'!$D:$AI,IF($J202=1,"ACTIVE     CED, FARM GATE (MJ/kg)","CED, processor gate (MJ/kg)"),INDIRECT($K202)),GETPIVOTDATA(IF($J202=1,"Count of ACTIVE     CED, FARM GATE (MJ/kg)","Count of CED, processor gate (MJ/kg)"),'[1]Pivot Table_CED'!$A$3,"SUB TYPE",$B202))</f>
        <v/>
      </c>
      <c r="N202" s="92">
        <f>IF($L202="PROXY",DAVERAGE('[1]literature entries'!$D:$AI,IF($J202=1,"ACTIVE     CED, FARM GATE (MJ/kg)","CED, processor gate (MJ/kg)"),INDIRECT($K202)),GETPIVOTDATA(IF($J202=1,"Average of ACTIVE     CED, FARM GATE (MJ/kg)","Average of CED, processor gate (MJ/kg)"),'[1]Pivot Table_CED'!$A$3,"SUB TYPE",$B202))</f>
        <v/>
      </c>
      <c r="O202" s="92">
        <f>IF($L202="PROXY",DSTDEV('[1]literature entries'!D:AI,IF($J202=1,"ACTIVE     CED, FARM GATE (MJ/kg)","CED, processor gate (MJ/kg)"),INDIRECT($K202)),GETPIVOTDATA(IF($J202=1,"StdDev of ACTIVE     CED, FARM GATE (MJ/kg)","StdDev of CED, processor gate (MJ/kg)"),'[1]Pivot Table_CED'!$A$3,"SUB TYPE",$B202))</f>
        <v/>
      </c>
      <c r="P202" s="90">
        <f>IF(ISERROR(GETPIVOTDATA(IF($J202=1,"Count of ACTIVE     GHGE, FARM GATE (kg CO2e/kg)","Count of GHGE, processor gate (kg CO2e/kg)"),'[1]Pivot Table_GHG'!$A$3,"SUB TYPE",$B202)),"PROXY",IF(GETPIVOTDATA(IF($J202=1,"Count of ACTIVE     GHGE, FARM GATE (kg CO2e/kg)","Count of GHGE, processor gate (kg CO2e/kg)"),'[1]Pivot Table_GHG'!$A$3,"SUB TYPE",$B202)=0,"PROXY","DB value"))</f>
        <v/>
      </c>
      <c r="Q202" s="93">
        <f>IF($P202="PROXY",DCOUNT('[1]literature entries'!$D:$AI,IF($J202=1,"ACTIVE     GHGE, FARM GATE (kg CO2e/kg)","GHGE, processor gate (kg CO2e/kg)"),INDIRECT($K202)),GETPIVOTDATA(IF($J202=1,"ACTIVE     GHGE, FARM GATE (kg CO2e/kg)","Count of GHGE, processor gate (kg CO2e/kg)"),'[1]Pivot Table_GHG'!$A$3,"SUB TYPE",$B202))</f>
        <v/>
      </c>
      <c r="R202" s="94">
        <f>IF($P202="PROXY",DAVERAGE('[1]literature entries'!$D:$AI,IF($J202=1,"ACTIVE     GHGE, FARM GATE (kg CO2e/kg)","GHGE, processor gate (kg CO2e/kg)"),INDIRECT($K202)),GETPIVOTDATA(IF($J202=1,"Average of ACTIVE     GHGE, FARM GATE (kg CO2e/kg)","Average of GHGE, processor gate (kg CO2e/kg)"),'[1]Pivot Table_GHG'!$A$3,"SUB TYPE",$B202))</f>
        <v/>
      </c>
      <c r="S202" s="94">
        <f>IF($P202="PROXY",DSTDEV('[1]literature entries'!$D:$AI,IF($J202=1,"ACTIVE     GHGE, FARM GATE (kg CO2e/kg)","GHGE, processor gate (kg CO2e/kg)"),INDIRECT($K202)),GETPIVOTDATA(IF($J202=1,"StdDev of ACTIVE     GHGE, FARM GATE (kg CO2e/kg)","StdDev of GHGE, processor gate (kg CO2e/kg)"),'[1]Pivot Table_GHG'!$A$3,"SUB TYPE",$B202))</f>
        <v/>
      </c>
      <c r="T202" s="105" t="n"/>
      <c r="U202" s="106" t="n"/>
      <c r="V202" s="97" t="n"/>
      <c r="W202" s="98">
        <f>IF(L202="PROXY",IF(M202&gt;=5,K202,"need group"),IF(M202&gt;=5,"DIRECT","need group"))</f>
        <v/>
      </c>
      <c r="X202" s="98">
        <f>IF($W202="DIRECT",M202,DCOUNT('[1]literature entries'!$D:$AI,IF($J202=1,"ACTIVE     CED, FARM GATE (MJ/kg)","CED, processor gate (MJ/kg)"),INDIRECT($W202)))</f>
        <v/>
      </c>
      <c r="Y202" s="98">
        <f>IF($W202="DIRECT","",DAVERAGE('[1]literature entries'!$D:$AI,IF($J202=1,"ACTIVE     CED, FARM GATE (MJ/kg)","CED, processor gate (MJ/kg)"),INDIRECT($W202)))</f>
        <v/>
      </c>
      <c r="Z202" s="98">
        <f>IF($W202="DIRECT",$O202,DSTDEV('[1]literature entries'!$D:$AI,IF($J202=1,"ACTIVE     CED, FARM GATE (MJ/kg)","CED, processor gate (MJ/kg)"),INDIRECT($W202)))</f>
        <v/>
      </c>
      <c r="AA202" s="98">
        <f>IF($W202="DIRECT",$O202,$Z202/$Y202*$N202)</f>
        <v/>
      </c>
      <c r="AB202" s="99">
        <f>IF(P202="PROXY",IF(Q202&gt;=5,K202,"need group"),IF(Q202&gt;=5,"DIRECT","need group"))</f>
        <v/>
      </c>
      <c r="AC202" s="99">
        <f>IF($AB202="DIRECT",Q202,DCOUNT('[1]literature entries'!$D:$AI,IF($J202=1,"ACTIVE     GHGE, FARM GATE (kg CO2e/kg)","GHGE, processor gate (kg CO2e/kg)"),INDIRECT($AB202)))</f>
        <v/>
      </c>
      <c r="AD202" s="99">
        <f>IF($AB202="DIRECT","",DAVERAGE('[1]literature entries'!$D:$AI,IF($J202=1,"ACTIVE     GHGE, FARM GATE (kg CO2e/kg)","GHGE, processor gate (kg CO2e/kg)"),INDIRECT($AB202)))</f>
        <v/>
      </c>
      <c r="AE202" s="99">
        <f>IF($AB202="DIRECT",$S202,DSTDEV('[1]literature entries'!$D:$AI,IF($J202=1,"ACTIVE     GHGE, FARM GATE (kg CO2e/kg)","GHGE, processor gate (kg CO2e/kg)"),INDIRECT($AB202)))</f>
        <v/>
      </c>
      <c r="AF202" s="99">
        <f>IF($AB202="DIRECT",$S202,$AE202/$AD202*$R202)</f>
        <v/>
      </c>
    </row>
    <row r="203" ht="15.75" customHeight="1" s="201">
      <c r="A203" s="100" t="n">
        <v>1500127000</v>
      </c>
      <c r="B203" s="101" t="inlineStr">
        <is>
          <t>Corn, sweet</t>
        </is>
      </c>
      <c r="C203" s="101" t="inlineStr">
        <is>
          <t>weight of kernels; excluding cob and husk</t>
        </is>
      </c>
      <c r="D203" s="101" t="n"/>
      <c r="E203" s="101" t="n">
        <v>6356</v>
      </c>
      <c r="F203" s="84">
        <f>N203*H203+T203</f>
        <v/>
      </c>
      <c r="G203" s="85">
        <f>R203*H203+U203</f>
        <v/>
      </c>
      <c r="H203" s="102" t="n">
        <v>2.78</v>
      </c>
      <c r="I203" s="102" t="inlineStr">
        <is>
          <t>FICRCD</t>
        </is>
      </c>
      <c r="J203" s="104" t="n">
        <v>1</v>
      </c>
      <c r="K203" s="89" t="n"/>
      <c r="L203" s="90">
        <f>IF(ISERROR(GETPIVOTDATA(IF($J203=1,"Count of ACTIVE     CED, FARM GATE (MJ/kg)","Count of CED, processor gate (MJ/kg)"),'[1]Pivot Table_CED'!$A$3,"SUB TYPE",$B203)),"PROXY",IF(GETPIVOTDATA(IF($J203=1,"Count of ACTIVE     CED, FARM GATE (MJ/kg)","Count of CED, processor gate (MJ/kg)"),'[1]Pivot Table_CED'!$A$3,"SUB TYPE",$B203)=0,"PROXY","DB value"))</f>
        <v/>
      </c>
      <c r="M203" s="91">
        <f>IF($L203="PROXY",DCOUNT('[1]literature entries'!$D:$AI,IF($J203=1,"ACTIVE     CED, FARM GATE (MJ/kg)","CED, processor gate (MJ/kg)"),INDIRECT($K203)),GETPIVOTDATA(IF($J203=1,"Count of ACTIVE     CED, FARM GATE (MJ/kg)","Count of CED, processor gate (MJ/kg)"),'[1]Pivot Table_CED'!$A$3,"SUB TYPE",$B203))</f>
        <v/>
      </c>
      <c r="N203" s="92">
        <f>IF($L203="PROXY",DAVERAGE('[1]literature entries'!$D:$AI,IF($J203=1,"ACTIVE     CED, FARM GATE (MJ/kg)","CED, processor gate (MJ/kg)"),INDIRECT($K203)),GETPIVOTDATA(IF($J203=1,"Average of ACTIVE     CED, FARM GATE (MJ/kg)","Average of CED, processor gate (MJ/kg)"),'[1]Pivot Table_CED'!$A$3,"SUB TYPE",$B203))</f>
        <v/>
      </c>
      <c r="O203" s="92">
        <f>IF($L203="PROXY",DSTDEV('[1]literature entries'!D:AI,IF($J203=1,"ACTIVE     CED, FARM GATE (MJ/kg)","CED, processor gate (MJ/kg)"),INDIRECT($K203)),GETPIVOTDATA(IF($J203=1,"StdDev of ACTIVE     CED, FARM GATE (MJ/kg)","StdDev of CED, processor gate (MJ/kg)"),'[1]Pivot Table_CED'!$A$3,"SUB TYPE",$B203))</f>
        <v/>
      </c>
      <c r="P203" s="90">
        <f>IF(ISERROR(GETPIVOTDATA(IF($J203=1,"Count of ACTIVE     GHGE, FARM GATE (kg CO2e/kg)","Count of GHGE, processor gate (kg CO2e/kg)"),'[1]Pivot Table_GHG'!$A$3,"SUB TYPE",$B203)),"PROXY",IF(GETPIVOTDATA(IF($J203=1,"Count of ACTIVE     GHGE, FARM GATE (kg CO2e/kg)","Count of GHGE, processor gate (kg CO2e/kg)"),'[1]Pivot Table_GHG'!$A$3,"SUB TYPE",$B203)=0,"PROXY","DB value"))</f>
        <v/>
      </c>
      <c r="Q203" s="93">
        <f>IF($P203="PROXY",DCOUNT('[1]literature entries'!$D:$AI,IF($J203=1,"ACTIVE     GHGE, FARM GATE (kg CO2e/kg)","GHGE, processor gate (kg CO2e/kg)"),INDIRECT($K203)),GETPIVOTDATA(IF($J203=1,"ACTIVE     GHGE, FARM GATE (kg CO2e/kg)","Count of GHGE, processor gate (kg CO2e/kg)"),'[1]Pivot Table_GHG'!$A$3,"SUB TYPE",$B203))</f>
        <v/>
      </c>
      <c r="R203" s="94">
        <f>IF($P203="PROXY",DAVERAGE('[1]literature entries'!$D:$AI,IF($J203=1,"ACTIVE     GHGE, FARM GATE (kg CO2e/kg)","GHGE, processor gate (kg CO2e/kg)"),INDIRECT($K203)),GETPIVOTDATA(IF($J203=1,"Average of ACTIVE     GHGE, FARM GATE (kg CO2e/kg)","Average of GHGE, processor gate (kg CO2e/kg)"),'[1]Pivot Table_GHG'!$A$3,"SUB TYPE",$B203))</f>
        <v/>
      </c>
      <c r="S203" s="94">
        <f>IF($P203="PROXY",DSTDEV('[1]literature entries'!$D:$AI,IF($J203=1,"ACTIVE     GHGE, FARM GATE (kg CO2e/kg)","GHGE, processor gate (kg CO2e/kg)"),INDIRECT($K203)),GETPIVOTDATA(IF($J203=1,"StdDev of ACTIVE     GHGE, FARM GATE (kg CO2e/kg)","StdDev of GHGE, processor gate (kg CO2e/kg)"),'[1]Pivot Table_GHG'!$A$3,"SUB TYPE",$B203))</f>
        <v/>
      </c>
      <c r="T203" s="105" t="n"/>
      <c r="U203" s="106" t="n"/>
      <c r="V203" s="97" t="n"/>
      <c r="W203" s="98" t="inlineStr">
        <is>
          <t>vegetables</t>
        </is>
      </c>
      <c r="X203" s="98">
        <f>IF($W203="DIRECT",M203,DCOUNT('[1]literature entries'!$D:$AI,IF($J203=1,"ACTIVE     CED, FARM GATE (MJ/kg)","CED, processor gate (MJ/kg)"),INDIRECT($W203)))</f>
        <v/>
      </c>
      <c r="Y203" s="98">
        <f>IF($W203="DIRECT","",DAVERAGE('[1]literature entries'!$D:$AI,IF($J203=1,"ACTIVE     CED, FARM GATE (MJ/kg)","CED, processor gate (MJ/kg)"),INDIRECT($W203)))</f>
        <v/>
      </c>
      <c r="Z203" s="98">
        <f>IF($W203="DIRECT",$O203,DSTDEV('[1]literature entries'!$D:$AI,IF($J203=1,"ACTIVE     CED, FARM GATE (MJ/kg)","CED, processor gate (MJ/kg)"),INDIRECT($W203)))</f>
        <v/>
      </c>
      <c r="AA203" s="98">
        <f>IF($W203="DIRECT",$O203,$Z203/$Y203*$N203)</f>
        <v/>
      </c>
      <c r="AB203" s="99" t="inlineStr">
        <is>
          <t>vegetables</t>
        </is>
      </c>
      <c r="AC203" s="99">
        <f>IF($AB203="DIRECT",Q203,DCOUNT('[1]literature entries'!$D:$AI,IF($J203=1,"ACTIVE     GHGE, FARM GATE (kg CO2e/kg)","GHGE, processor gate (kg CO2e/kg)"),INDIRECT($AB203)))</f>
        <v/>
      </c>
      <c r="AD203" s="99">
        <f>IF($AB203="DIRECT","",DAVERAGE('[1]literature entries'!$D:$AI,IF($J203=1,"ACTIVE     GHGE, FARM GATE (kg CO2e/kg)","GHGE, processor gate (kg CO2e/kg)"),INDIRECT($AB203)))</f>
        <v/>
      </c>
      <c r="AE203" s="99">
        <f>IF($AB203="DIRECT",$S203,DSTDEV('[1]literature entries'!$D:$AI,IF($J203=1,"ACTIVE     GHGE, FARM GATE (kg CO2e/kg)","GHGE, processor gate (kg CO2e/kg)"),INDIRECT($AB203)))</f>
        <v/>
      </c>
      <c r="AF203" s="99">
        <f>IF($AB203="DIRECT",$S203,$AE203/$AD203*$R203)</f>
        <v/>
      </c>
    </row>
    <row r="204" ht="15.75" customHeight="1" s="201">
      <c r="A204" s="100" t="n">
        <v>1500226000</v>
      </c>
      <c r="B204" s="101" t="inlineStr">
        <is>
          <t>Millet, grain</t>
        </is>
      </c>
      <c r="C204" s="101" t="inlineStr">
        <is>
          <t>dry weight of grain</t>
        </is>
      </c>
      <c r="D204" s="101" t="n"/>
      <c r="E204" s="101" t="n">
        <v>8</v>
      </c>
      <c r="F204" s="84">
        <f>N204*H204+T204</f>
        <v/>
      </c>
      <c r="G204" s="85">
        <f>R204*H204+U204</f>
        <v/>
      </c>
      <c r="H204" s="102" t="n">
        <v>1</v>
      </c>
      <c r="I204" s="103" t="inlineStr">
        <is>
          <t>None</t>
        </is>
      </c>
      <c r="J204" s="104" t="n">
        <v>1</v>
      </c>
      <c r="K204" s="89" t="inlineStr">
        <is>
          <t>grains</t>
        </is>
      </c>
      <c r="L204" s="90">
        <f>IF(ISERROR(GETPIVOTDATA(IF($J204=1,"Count of ACTIVE     CED, FARM GATE (MJ/kg)","Count of CED, processor gate (MJ/kg)"),'[1]Pivot Table_CED'!$A$3,"SUB TYPE",$B204)),"PROXY",IF(GETPIVOTDATA(IF($J204=1,"Count of ACTIVE     CED, FARM GATE (MJ/kg)","Count of CED, processor gate (MJ/kg)"),'[1]Pivot Table_CED'!$A$3,"SUB TYPE",$B204)=0,"PROXY","DB value"))</f>
        <v/>
      </c>
      <c r="M204" s="91">
        <f>IF($L204="PROXY",DCOUNT('[1]literature entries'!$D:$AI,IF($J204=1,"ACTIVE     CED, FARM GATE (MJ/kg)","CED, processor gate (MJ/kg)"),INDIRECT($K204)),GETPIVOTDATA(IF($J204=1,"Count of ACTIVE     CED, FARM GATE (MJ/kg)","Count of CED, processor gate (MJ/kg)"),'[1]Pivot Table_CED'!$A$3,"SUB TYPE",$B204))</f>
        <v/>
      </c>
      <c r="N204" s="92">
        <f>IF($L204="PROXY",DAVERAGE('[1]literature entries'!$D:$AI,IF($J204=1,"ACTIVE     CED, FARM GATE (MJ/kg)","CED, processor gate (MJ/kg)"),INDIRECT($K204)),GETPIVOTDATA(IF($J204=1,"Average of ACTIVE     CED, FARM GATE (MJ/kg)","Average of CED, processor gate (MJ/kg)"),'[1]Pivot Table_CED'!$A$3,"SUB TYPE",$B204))</f>
        <v/>
      </c>
      <c r="O204" s="92">
        <f>IF($L204="PROXY",DSTDEV('[1]literature entries'!D:AI,IF($J204=1,"ACTIVE     CED, FARM GATE (MJ/kg)","CED, processor gate (MJ/kg)"),INDIRECT($K204)),GETPIVOTDATA(IF($J204=1,"StdDev of ACTIVE     CED, FARM GATE (MJ/kg)","StdDev of CED, processor gate (MJ/kg)"),'[1]Pivot Table_CED'!$A$3,"SUB TYPE",$B204))</f>
        <v/>
      </c>
      <c r="P204" s="90">
        <f>IF(ISERROR(GETPIVOTDATA(IF($J204=1,"Count of ACTIVE     GHGE, FARM GATE (kg CO2e/kg)","Count of GHGE, processor gate (kg CO2e/kg)"),'[1]Pivot Table_GHG'!$A$3,"SUB TYPE",$B204)),"PROXY",IF(GETPIVOTDATA(IF($J204=1,"Count of ACTIVE     GHGE, FARM GATE (kg CO2e/kg)","Count of GHGE, processor gate (kg CO2e/kg)"),'[1]Pivot Table_GHG'!$A$3,"SUB TYPE",$B204)=0,"PROXY","DB value"))</f>
        <v/>
      </c>
      <c r="Q204" s="93">
        <f>IF($P204="PROXY",DCOUNT('[1]literature entries'!$D:$AI,IF($J204=1,"ACTIVE     GHGE, FARM GATE (kg CO2e/kg)","GHGE, processor gate (kg CO2e/kg)"),INDIRECT($K204)),GETPIVOTDATA(IF($J204=1,"ACTIVE     GHGE, FARM GATE (kg CO2e/kg)","Count of GHGE, processor gate (kg CO2e/kg)"),'[1]Pivot Table_GHG'!$A$3,"SUB TYPE",$B204))</f>
        <v/>
      </c>
      <c r="R204" s="94">
        <f>IF($P204="PROXY",DAVERAGE('[1]literature entries'!$D:$AI,IF($J204=1,"ACTIVE     GHGE, FARM GATE (kg CO2e/kg)","GHGE, processor gate (kg CO2e/kg)"),INDIRECT($K204)),GETPIVOTDATA(IF($J204=1,"Average of ACTIVE     GHGE, FARM GATE (kg CO2e/kg)","Average of GHGE, processor gate (kg CO2e/kg)"),'[1]Pivot Table_GHG'!$A$3,"SUB TYPE",$B204))</f>
        <v/>
      </c>
      <c r="S204" s="94">
        <f>IF($P204="PROXY",DSTDEV('[1]literature entries'!$D:$AI,IF($J204=1,"ACTIVE     GHGE, FARM GATE (kg CO2e/kg)","GHGE, processor gate (kg CO2e/kg)"),INDIRECT($K204)),GETPIVOTDATA(IF($J204=1,"StdDev of ACTIVE     GHGE, FARM GATE (kg CO2e/kg)","StdDev of GHGE, processor gate (kg CO2e/kg)"),'[1]Pivot Table_GHG'!$A$3,"SUB TYPE",$B204))</f>
        <v/>
      </c>
      <c r="T204" s="105" t="n"/>
      <c r="U204" s="106" t="n"/>
      <c r="V204" s="97" t="n"/>
      <c r="W204" s="98">
        <f>IF(L204="PROXY",IF(M204&gt;=5,K204,"need group"),IF(M204&gt;=5,"DIRECT","need group"))</f>
        <v/>
      </c>
      <c r="X204" s="98">
        <f>IF($W204="DIRECT",M204,DCOUNT('[1]literature entries'!$D:$AI,IF($J204=1,"ACTIVE     CED, FARM GATE (MJ/kg)","CED, processor gate (MJ/kg)"),INDIRECT($W204)))</f>
        <v/>
      </c>
      <c r="Y204" s="98">
        <f>IF($W204="DIRECT","",DAVERAGE('[1]literature entries'!$D:$AI,IF($J204=1,"ACTIVE     CED, FARM GATE (MJ/kg)","CED, processor gate (MJ/kg)"),INDIRECT($W204)))</f>
        <v/>
      </c>
      <c r="Z204" s="98">
        <f>IF($W204="DIRECT",$O204,DSTDEV('[1]literature entries'!$D:$AI,IF($J204=1,"ACTIVE     CED, FARM GATE (MJ/kg)","CED, processor gate (MJ/kg)"),INDIRECT($W204)))</f>
        <v/>
      </c>
      <c r="AA204" s="98">
        <f>IF($W204="DIRECT",$O204,$Z204/$Y204*$N204)</f>
        <v/>
      </c>
      <c r="AB204" s="99" t="inlineStr">
        <is>
          <t>grains</t>
        </is>
      </c>
      <c r="AC204" s="99">
        <f>IF($AB204="DIRECT",Q204,DCOUNT('[1]literature entries'!$D:$AI,IF($J204=1,"ACTIVE     GHGE, FARM GATE (kg CO2e/kg)","GHGE, processor gate (kg CO2e/kg)"),INDIRECT($AB204)))</f>
        <v/>
      </c>
      <c r="AD204" s="99">
        <f>IF($AB204="DIRECT","",DAVERAGE('[1]literature entries'!$D:$AI,IF($J204=1,"ACTIVE     GHGE, FARM GATE (kg CO2e/kg)","GHGE, processor gate (kg CO2e/kg)"),INDIRECT($AB204)))</f>
        <v/>
      </c>
      <c r="AE204" s="99">
        <f>IF($AB204="DIRECT",$S204,DSTDEV('[1]literature entries'!$D:$AI,IF($J204=1,"ACTIVE     GHGE, FARM GATE (kg CO2e/kg)","GHGE, processor gate (kg CO2e/kg)"),INDIRECT($AB204)))</f>
        <v/>
      </c>
      <c r="AF204" s="99">
        <f>IF($AB204="DIRECT",$S204,$AE204/$AD204*$R204)</f>
        <v/>
      </c>
    </row>
    <row r="205" ht="15.75" customHeight="1" s="201">
      <c r="A205" s="100" t="n">
        <v>1500231000</v>
      </c>
      <c r="B205" s="101" t="inlineStr">
        <is>
          <t>Oat, bran</t>
        </is>
      </c>
      <c r="C205" s="101" t="inlineStr">
        <is>
          <t>dry weight of bran</t>
        </is>
      </c>
      <c r="D205" s="101" t="n"/>
      <c r="E205" s="101" t="n">
        <v>711</v>
      </c>
      <c r="F205" s="84">
        <f>N205*H205+T205</f>
        <v/>
      </c>
      <c r="G205" s="85">
        <f>R205*H205+U205</f>
        <v/>
      </c>
      <c r="H205" s="102" t="n">
        <v>1</v>
      </c>
      <c r="I205" s="103" t="inlineStr">
        <is>
          <t>FICRCD</t>
        </is>
      </c>
      <c r="J205" s="104" t="n">
        <v>2</v>
      </c>
      <c r="K205" s="89" t="inlineStr">
        <is>
          <t>oat_flour</t>
        </is>
      </c>
      <c r="L205" s="90">
        <f>IF(ISERROR(GETPIVOTDATA(IF($J205=1,"Count of ACTIVE     CED, FARM GATE (MJ/kg)","Count of CED, processor gate (MJ/kg)"),'[1]Pivot Table_CED'!$A$3,"SUB TYPE",$B205)),"PROXY",IF(GETPIVOTDATA(IF($J205=1,"Count of ACTIVE     CED, FARM GATE (MJ/kg)","Count of CED, processor gate (MJ/kg)"),'[1]Pivot Table_CED'!$A$3,"SUB TYPE",$B205)=0,"PROXY","DB value"))</f>
        <v/>
      </c>
      <c r="M205" s="91">
        <f>IF($L205="PROXY",DCOUNT('[1]literature entries'!$D:$AI,IF($J205=1,"ACTIVE     CED, FARM GATE (MJ/kg)","CED, processor gate (MJ/kg)"),INDIRECT($K205)),GETPIVOTDATA(IF($J205=1,"Count of ACTIVE     CED, FARM GATE (MJ/kg)","Count of CED, processor gate (MJ/kg)"),'[1]Pivot Table_CED'!$A$3,"SUB TYPE",$B205))</f>
        <v/>
      </c>
      <c r="N205" s="92">
        <f>IF($L205="PROXY",DAVERAGE('[1]literature entries'!$D:$AI,IF($J205=1,"ACTIVE     CED, FARM GATE (MJ/kg)","CED, processor gate (MJ/kg)"),INDIRECT($K205)),GETPIVOTDATA(IF($J205=1,"Average of ACTIVE     CED, FARM GATE (MJ/kg)","Average of CED, processor gate (MJ/kg)"),'[1]Pivot Table_CED'!$A$3,"SUB TYPE",$B205))</f>
        <v/>
      </c>
      <c r="O205" s="92">
        <f>IF($L205="PROXY",DSTDEV('[1]literature entries'!D:AI,IF($J205=1,"ACTIVE     CED, FARM GATE (MJ/kg)","CED, processor gate (MJ/kg)"),INDIRECT($K205)),GETPIVOTDATA(IF($J205=1,"StdDev of ACTIVE     CED, FARM GATE (MJ/kg)","StdDev of CED, processor gate (MJ/kg)"),'[1]Pivot Table_CED'!$A$3,"SUB TYPE",$B205))</f>
        <v/>
      </c>
      <c r="P205" s="90">
        <f>IF(ISERROR(GETPIVOTDATA(IF($J205=1,"Count of ACTIVE     GHGE, FARM GATE (kg CO2e/kg)","Count of GHGE, processor gate (kg CO2e/kg)"),'[1]Pivot Table_GHG'!$A$3,"SUB TYPE",$B205)),"PROXY",IF(GETPIVOTDATA(IF($J205=1,"Count of ACTIVE     GHGE, FARM GATE (kg CO2e/kg)","Count of GHGE, processor gate (kg CO2e/kg)"),'[1]Pivot Table_GHG'!$A$3,"SUB TYPE",$B205)=0,"PROXY","DB value"))</f>
        <v/>
      </c>
      <c r="Q205" s="93">
        <f>IF($P205="PROXY",DCOUNT('[1]literature entries'!$D:$AI,IF($J205=1,"ACTIVE     GHGE, FARM GATE (kg CO2e/kg)","GHGE, processor gate (kg CO2e/kg)"),INDIRECT($K205)),GETPIVOTDATA(IF($J205=1,"ACTIVE     GHGE, FARM GATE (kg CO2e/kg)","Count of GHGE, processor gate (kg CO2e/kg)"),'[1]Pivot Table_GHG'!$A$3,"SUB TYPE",$B205))</f>
        <v/>
      </c>
      <c r="R205" s="94">
        <f>IF($P205="PROXY",DAVERAGE('[1]literature entries'!$D:$AI,IF($J205=1,"ACTIVE     GHGE, FARM GATE (kg CO2e/kg)","GHGE, processor gate (kg CO2e/kg)"),INDIRECT($K205)),GETPIVOTDATA(IF($J205=1,"Average of ACTIVE     GHGE, FARM GATE (kg CO2e/kg)","Average of GHGE, processor gate (kg CO2e/kg)"),'[1]Pivot Table_GHG'!$A$3,"SUB TYPE",$B205))</f>
        <v/>
      </c>
      <c r="S205" s="94">
        <f>IF($P205="PROXY",DSTDEV('[1]literature entries'!$D:$AI,IF($J205=1,"ACTIVE     GHGE, FARM GATE (kg CO2e/kg)","GHGE, processor gate (kg CO2e/kg)"),INDIRECT($K205)),GETPIVOTDATA(IF($J205=1,"StdDev of ACTIVE     GHGE, FARM GATE (kg CO2e/kg)","StdDev of GHGE, processor gate (kg CO2e/kg)"),'[1]Pivot Table_GHG'!$A$3,"SUB TYPE",$B205))</f>
        <v/>
      </c>
      <c r="T205" s="105" t="n"/>
      <c r="U205" s="106" t="n"/>
      <c r="V205" s="97" t="n"/>
      <c r="W205" s="98" t="inlineStr">
        <is>
          <t>flours</t>
        </is>
      </c>
      <c r="X205" s="98">
        <f>IF($W205="DIRECT",M205,DCOUNT('[1]literature entries'!$D:$AI,IF($J205=1,"ACTIVE     CED, FARM GATE (MJ/kg)","CED, processor gate (MJ/kg)"),INDIRECT($W205)))</f>
        <v/>
      </c>
      <c r="Y205" s="98">
        <f>IF($W205="DIRECT","",DAVERAGE('[1]literature entries'!$D:$AI,IF($J205=1,"ACTIVE     CED, FARM GATE (MJ/kg)","CED, processor gate (MJ/kg)"),INDIRECT($W205)))</f>
        <v/>
      </c>
      <c r="Z205" s="98">
        <f>IF($W205="DIRECT",$O205,DSTDEV('[1]literature entries'!$D:$AI,IF($J205=1,"ACTIVE     CED, FARM GATE (MJ/kg)","CED, processor gate (MJ/kg)"),INDIRECT($W205)))</f>
        <v/>
      </c>
      <c r="AA205" s="98">
        <f>IF($W205="DIRECT",$O205,$Z205/$Y205*$N205)</f>
        <v/>
      </c>
      <c r="AB205" s="99" t="inlineStr">
        <is>
          <t>flours</t>
        </is>
      </c>
      <c r="AC205" s="99">
        <f>IF($AB205="DIRECT",Q205,DCOUNT('[1]literature entries'!$D:$AI,IF($J205=1,"ACTIVE     GHGE, FARM GATE (kg CO2e/kg)","GHGE, processor gate (kg CO2e/kg)"),INDIRECT($AB205)))</f>
        <v/>
      </c>
      <c r="AD205" s="99">
        <f>IF($AB205="DIRECT","",DAVERAGE('[1]literature entries'!$D:$AI,IF($J205=1,"ACTIVE     GHGE, FARM GATE (kg CO2e/kg)","GHGE, processor gate (kg CO2e/kg)"),INDIRECT($AB205)))</f>
        <v/>
      </c>
      <c r="AE205" s="99">
        <f>IF($AB205="DIRECT",$S205,DSTDEV('[1]literature entries'!$D:$AI,IF($J205=1,"ACTIVE     GHGE, FARM GATE (kg CO2e/kg)","GHGE, processor gate (kg CO2e/kg)"),INDIRECT($AB205)))</f>
        <v/>
      </c>
      <c r="AF205" s="99">
        <f>IF($AB205="DIRECT",$S205,$AE205/$AD205*$R205)</f>
        <v/>
      </c>
    </row>
    <row r="206" ht="15.75" customHeight="1" s="201">
      <c r="A206" s="111" t="n">
        <v>1500232000</v>
      </c>
      <c r="B206" s="101" t="inlineStr">
        <is>
          <t>Oat, flour</t>
        </is>
      </c>
      <c r="C206" s="101" t="inlineStr">
        <is>
          <t>dry weight of flour</t>
        </is>
      </c>
      <c r="D206" s="101" t="n"/>
      <c r="E206" s="101" t="n">
        <v>1147</v>
      </c>
      <c r="F206" s="84">
        <f>N206*H206+T206</f>
        <v/>
      </c>
      <c r="G206" s="85">
        <f>R206*H206+U206</f>
        <v/>
      </c>
      <c r="H206" s="102" t="n">
        <v>1</v>
      </c>
      <c r="I206" s="103" t="inlineStr">
        <is>
          <t>FICRCD</t>
        </is>
      </c>
      <c r="J206" s="104" t="n">
        <v>2</v>
      </c>
      <c r="K206" s="89" t="n"/>
      <c r="L206" s="90">
        <f>IF(ISERROR(GETPIVOTDATA(IF($J206=1,"Count of ACTIVE     CED, FARM GATE (MJ/kg)","Count of CED, processor gate (MJ/kg)"),'[1]Pivot Table_CED'!$A$3,"SUB TYPE",$B206)),"PROXY",IF(GETPIVOTDATA(IF($J206=1,"Count of ACTIVE     CED, FARM GATE (MJ/kg)","Count of CED, processor gate (MJ/kg)"),'[1]Pivot Table_CED'!$A$3,"SUB TYPE",$B206)=0,"PROXY","DB value"))</f>
        <v/>
      </c>
      <c r="M206" s="91">
        <f>IF($L206="PROXY",DCOUNT('[1]literature entries'!$D:$AI,IF($J206=1,"ACTIVE     CED, FARM GATE (MJ/kg)","CED, processor gate (MJ/kg)"),INDIRECT($K206)),GETPIVOTDATA(IF($J206=1,"Count of ACTIVE     CED, FARM GATE (MJ/kg)","Count of CED, processor gate (MJ/kg)"),'[1]Pivot Table_CED'!$A$3,"SUB TYPE",$B206))</f>
        <v/>
      </c>
      <c r="N206" s="92">
        <f>IF($L206="PROXY",DAVERAGE('[1]literature entries'!$D:$AI,IF($J206=1,"ACTIVE     CED, FARM GATE (MJ/kg)","CED, processor gate (MJ/kg)"),INDIRECT($K206)),GETPIVOTDATA(IF($J206=1,"Average of ACTIVE     CED, FARM GATE (MJ/kg)","Average of CED, processor gate (MJ/kg)"),'[1]Pivot Table_CED'!$A$3,"SUB TYPE",$B206))</f>
        <v/>
      </c>
      <c r="O206" s="92">
        <f>IF($L206="PROXY",DSTDEV('[1]literature entries'!D:AI,IF($J206=1,"ACTIVE     CED, FARM GATE (MJ/kg)","CED, processor gate (MJ/kg)"),INDIRECT($K206)),GETPIVOTDATA(IF($J206=1,"StdDev of ACTIVE     CED, FARM GATE (MJ/kg)","StdDev of CED, processor gate (MJ/kg)"),'[1]Pivot Table_CED'!$A$3,"SUB TYPE",$B206))</f>
        <v/>
      </c>
      <c r="P206" s="90">
        <f>IF(ISERROR(GETPIVOTDATA(IF($J206=1,"Count of ACTIVE     GHGE, FARM GATE (kg CO2e/kg)","Count of GHGE, processor gate (kg CO2e/kg)"),'[1]Pivot Table_GHG'!$A$3,"SUB TYPE",$B206)),"PROXY",IF(GETPIVOTDATA(IF($J206=1,"Count of ACTIVE     GHGE, FARM GATE (kg CO2e/kg)","Count of GHGE, processor gate (kg CO2e/kg)"),'[1]Pivot Table_GHG'!$A$3,"SUB TYPE",$B206)=0,"PROXY","DB value"))</f>
        <v/>
      </c>
      <c r="Q206" s="93">
        <f>IF($P206="PROXY",DCOUNT('[1]literature entries'!$D:$AI,IF($J206=1,"ACTIVE     GHGE, FARM GATE (kg CO2e/kg)","GHGE, processor gate (kg CO2e/kg)"),INDIRECT($K206)),GETPIVOTDATA(IF($J206=1,"ACTIVE     GHGE, FARM GATE (kg CO2e/kg)","Count of GHGE, processor gate (kg CO2e/kg)"),'[1]Pivot Table_GHG'!$A$3,"SUB TYPE",$B206))</f>
        <v/>
      </c>
      <c r="R206" s="94">
        <f>IF($P206="PROXY",DAVERAGE('[1]literature entries'!$D:$AI,IF($J206=1,"ACTIVE     GHGE, FARM GATE (kg CO2e/kg)","GHGE, processor gate (kg CO2e/kg)"),INDIRECT($K206)),GETPIVOTDATA(IF($J206=1,"Average of ACTIVE     GHGE, FARM GATE (kg CO2e/kg)","Average of GHGE, processor gate (kg CO2e/kg)"),'[1]Pivot Table_GHG'!$A$3,"SUB TYPE",$B206))</f>
        <v/>
      </c>
      <c r="S206" s="94">
        <f>IF($P206="PROXY",DSTDEV('[1]literature entries'!$D:$AI,IF($J206=1,"ACTIVE     GHGE, FARM GATE (kg CO2e/kg)","GHGE, processor gate (kg CO2e/kg)"),INDIRECT($K206)),GETPIVOTDATA(IF($J206=1,"StdDev of ACTIVE     GHGE, FARM GATE (kg CO2e/kg)","StdDev of GHGE, processor gate (kg CO2e/kg)"),'[1]Pivot Table_GHG'!$A$3,"SUB TYPE",$B206))</f>
        <v/>
      </c>
      <c r="T206" s="105" t="n"/>
      <c r="U206" s="106" t="n"/>
      <c r="V206" s="97" t="n"/>
      <c r="W206" s="98" t="inlineStr">
        <is>
          <t>flours</t>
        </is>
      </c>
      <c r="X206" s="98">
        <f>IF($W206="DIRECT",M206,DCOUNT('[1]literature entries'!$D:$AI,IF($J206=1,"ACTIVE     CED, FARM GATE (MJ/kg)","CED, processor gate (MJ/kg)"),INDIRECT($W206)))</f>
        <v/>
      </c>
      <c r="Y206" s="98">
        <f>IF($W206="DIRECT","",DAVERAGE('[1]literature entries'!$D:$AI,IF($J206=1,"ACTIVE     CED, FARM GATE (MJ/kg)","CED, processor gate (MJ/kg)"),INDIRECT($W206)))</f>
        <v/>
      </c>
      <c r="Z206" s="98">
        <f>IF($W206="DIRECT",$O206,DSTDEV('[1]literature entries'!$D:$AI,IF($J206=1,"ACTIVE     CED, FARM GATE (MJ/kg)","CED, processor gate (MJ/kg)"),INDIRECT($W206)))</f>
        <v/>
      </c>
      <c r="AA206" s="98">
        <f>IF($W206="DIRECT",$O206,$Z206/$Y206*$N206)</f>
        <v/>
      </c>
      <c r="AB206" s="99" t="inlineStr">
        <is>
          <t>flours</t>
        </is>
      </c>
      <c r="AC206" s="99">
        <f>IF($AB206="DIRECT",Q206,DCOUNT('[1]literature entries'!$D:$AI,IF($J206=1,"ACTIVE     GHGE, FARM GATE (kg CO2e/kg)","GHGE, processor gate (kg CO2e/kg)"),INDIRECT($AB206)))</f>
        <v/>
      </c>
      <c r="AD206" s="99">
        <f>IF($AB206="DIRECT","",DAVERAGE('[1]literature entries'!$D:$AI,IF($J206=1,"ACTIVE     GHGE, FARM GATE (kg CO2e/kg)","GHGE, processor gate (kg CO2e/kg)"),INDIRECT($AB206)))</f>
        <v/>
      </c>
      <c r="AE206" s="99">
        <f>IF($AB206="DIRECT",$S206,DSTDEV('[1]literature entries'!$D:$AI,IF($J206=1,"ACTIVE     GHGE, FARM GATE (kg CO2e/kg)","GHGE, processor gate (kg CO2e/kg)"),INDIRECT($AB206)))</f>
        <v/>
      </c>
      <c r="AF206" s="99">
        <f>IF($AB206="DIRECT",$S206,$AE206/$AD206*$R206)</f>
        <v/>
      </c>
    </row>
    <row r="207" ht="15.75" customHeight="1" s="201">
      <c r="A207" s="100" t="n">
        <v>1500233000</v>
      </c>
      <c r="B207" s="101" t="inlineStr">
        <is>
          <t>Oat, groats/rolled oats</t>
        </is>
      </c>
      <c r="C207" s="101" t="inlineStr">
        <is>
          <t>dry weight</t>
        </is>
      </c>
      <c r="D207" s="101" t="n"/>
      <c r="E207" s="101" t="n">
        <v>13263</v>
      </c>
      <c r="F207" s="84">
        <f>N207*H207+T207</f>
        <v/>
      </c>
      <c r="G207" s="85">
        <f>R207*H207+U207</f>
        <v/>
      </c>
      <c r="H207" s="102" t="n">
        <v>1</v>
      </c>
      <c r="I207" s="103" t="inlineStr">
        <is>
          <t>none</t>
        </is>
      </c>
      <c r="J207" s="104" t="n">
        <v>1</v>
      </c>
      <c r="K207" s="89" t="n"/>
      <c r="L207" s="90">
        <f>IF(ISERROR(GETPIVOTDATA(IF($J207=1,"Count of ACTIVE     CED, FARM GATE (MJ/kg)","Count of CED, processor gate (MJ/kg)"),'[1]Pivot Table_CED'!$A$3,"SUB TYPE",$B207)),"PROXY",IF(GETPIVOTDATA(IF($J207=1,"Count of ACTIVE     CED, FARM GATE (MJ/kg)","Count of CED, processor gate (MJ/kg)"),'[1]Pivot Table_CED'!$A$3,"SUB TYPE",$B207)=0,"PROXY","DB value"))</f>
        <v/>
      </c>
      <c r="M207" s="91">
        <f>IF($L207="PROXY",DCOUNT('[1]literature entries'!$D:$AI,IF($J207=1,"ACTIVE     CED, FARM GATE (MJ/kg)","CED, processor gate (MJ/kg)"),INDIRECT($K207)),GETPIVOTDATA(IF($J207=1,"Count of ACTIVE     CED, FARM GATE (MJ/kg)","Count of CED, processor gate (MJ/kg)"),'[1]Pivot Table_CED'!$A$3,"SUB TYPE",$B207))</f>
        <v/>
      </c>
      <c r="N207" s="92">
        <f>IF($L207="PROXY",DAVERAGE('[1]literature entries'!$D:$AI,IF($J207=1,"ACTIVE     CED, FARM GATE (MJ/kg)","CED, processor gate (MJ/kg)"),INDIRECT($K207)),GETPIVOTDATA(IF($J207=1,"Average of ACTIVE     CED, FARM GATE (MJ/kg)","Average of CED, processor gate (MJ/kg)"),'[1]Pivot Table_CED'!$A$3,"SUB TYPE",$B207))</f>
        <v/>
      </c>
      <c r="O207" s="92">
        <f>IF($L207="PROXY",DSTDEV('[1]literature entries'!D:AI,IF($J207=1,"ACTIVE     CED, FARM GATE (MJ/kg)","CED, processor gate (MJ/kg)"),INDIRECT($K207)),GETPIVOTDATA(IF($J207=1,"StdDev of ACTIVE     CED, FARM GATE (MJ/kg)","StdDev of CED, processor gate (MJ/kg)"),'[1]Pivot Table_CED'!$A$3,"SUB TYPE",$B207))</f>
        <v/>
      </c>
      <c r="P207" s="90">
        <f>IF(ISERROR(GETPIVOTDATA(IF($J207=1,"Count of ACTIVE     GHGE, FARM GATE (kg CO2e/kg)","Count of GHGE, processor gate (kg CO2e/kg)"),'[1]Pivot Table_GHG'!$A$3,"SUB TYPE",$B207)),"PROXY",IF(GETPIVOTDATA(IF($J207=1,"Count of ACTIVE     GHGE, FARM GATE (kg CO2e/kg)","Count of GHGE, processor gate (kg CO2e/kg)"),'[1]Pivot Table_GHG'!$A$3,"SUB TYPE",$B207)=0,"PROXY","DB value"))</f>
        <v/>
      </c>
      <c r="Q207" s="93">
        <f>IF($P207="PROXY",DCOUNT('[1]literature entries'!$D:$AI,IF($J207=1,"ACTIVE     GHGE, FARM GATE (kg CO2e/kg)","GHGE, processor gate (kg CO2e/kg)"),INDIRECT($K207)),GETPIVOTDATA(IF($J207=1,"ACTIVE     GHGE, FARM GATE (kg CO2e/kg)","Count of GHGE, processor gate (kg CO2e/kg)"),'[1]Pivot Table_GHG'!$A$3,"SUB TYPE",$B207))</f>
        <v/>
      </c>
      <c r="R207" s="94">
        <f>IF($P207="PROXY",DAVERAGE('[1]literature entries'!$D:$AI,IF($J207=1,"ACTIVE     GHGE, FARM GATE (kg CO2e/kg)","GHGE, processor gate (kg CO2e/kg)"),INDIRECT($K207)),GETPIVOTDATA(IF($J207=1,"Average of ACTIVE     GHGE, FARM GATE (kg CO2e/kg)","Average of GHGE, processor gate (kg CO2e/kg)"),'[1]Pivot Table_GHG'!$A$3,"SUB TYPE",$B207))</f>
        <v/>
      </c>
      <c r="S207" s="94">
        <f>IF($P207="PROXY",DSTDEV('[1]literature entries'!$D:$AI,IF($J207=1,"ACTIVE     GHGE, FARM GATE (kg CO2e/kg)","GHGE, processor gate (kg CO2e/kg)"),INDIRECT($K207)),GETPIVOTDATA(IF($J207=1,"StdDev of ACTIVE     GHGE, FARM GATE (kg CO2e/kg)","StdDev of GHGE, processor gate (kg CO2e/kg)"),'[1]Pivot Table_GHG'!$A$3,"SUB TYPE",$B207))</f>
        <v/>
      </c>
      <c r="T207" s="105" t="n"/>
      <c r="U207" s="106" t="n"/>
      <c r="V207" s="97" t="n"/>
      <c r="W207" s="98" t="inlineStr">
        <is>
          <t>grains</t>
        </is>
      </c>
      <c r="X207" s="98">
        <f>IF($W207="DIRECT",M207,DCOUNT('[1]literature entries'!$D:$AI,IF($J207=1,"ACTIVE     CED, FARM GATE (MJ/kg)","CED, processor gate (MJ/kg)"),INDIRECT($W207)))</f>
        <v/>
      </c>
      <c r="Y207" s="98">
        <f>IF($W207="DIRECT","",DAVERAGE('[1]literature entries'!$D:$AI,IF($J207=1,"ACTIVE     CED, FARM GATE (MJ/kg)","CED, processor gate (MJ/kg)"),INDIRECT($W207)))</f>
        <v/>
      </c>
      <c r="Z207" s="98">
        <f>IF($W207="DIRECT",$O207,DSTDEV('[1]literature entries'!$D:$AI,IF($J207=1,"ACTIVE     CED, FARM GATE (MJ/kg)","CED, processor gate (MJ/kg)"),INDIRECT($W207)))</f>
        <v/>
      </c>
      <c r="AA207" s="98">
        <f>IF($W207="DIRECT",$O207,$Z207/$Y207*$N207)</f>
        <v/>
      </c>
      <c r="AB207" s="99" t="inlineStr">
        <is>
          <t>grains</t>
        </is>
      </c>
      <c r="AC207" s="99">
        <f>IF($AB207="DIRECT",Q207,DCOUNT('[1]literature entries'!$D:$AI,IF($J207=1,"ACTIVE     GHGE, FARM GATE (kg CO2e/kg)","GHGE, processor gate (kg CO2e/kg)"),INDIRECT($AB207)))</f>
        <v/>
      </c>
      <c r="AD207" s="99">
        <f>IF($AB207="DIRECT","",DAVERAGE('[1]literature entries'!$D:$AI,IF($J207=1,"ACTIVE     GHGE, FARM GATE (kg CO2e/kg)","GHGE, processor gate (kg CO2e/kg)"),INDIRECT($AB207)))</f>
        <v/>
      </c>
      <c r="AE207" s="99">
        <f>IF($AB207="DIRECT",$S207,DSTDEV('[1]literature entries'!$D:$AI,IF($J207=1,"ACTIVE     GHGE, FARM GATE (kg CO2e/kg)","GHGE, processor gate (kg CO2e/kg)"),INDIRECT($AB207)))</f>
        <v/>
      </c>
      <c r="AF207" s="99">
        <f>IF($AB207="DIRECT",$S207,$AE207/$AD207*$R207)</f>
        <v/>
      </c>
    </row>
    <row r="208" ht="15.75" customHeight="1" s="201">
      <c r="A208" s="100" t="n">
        <v>1500323000</v>
      </c>
      <c r="B208" s="101" t="inlineStr">
        <is>
          <t>Rice, white</t>
        </is>
      </c>
      <c r="C208" s="101" t="inlineStr">
        <is>
          <t>dry weight of grain</t>
        </is>
      </c>
      <c r="D208" s="101" t="n"/>
      <c r="E208" s="101" t="n">
        <v>15650</v>
      </c>
      <c r="F208" s="84">
        <f>N208*H208+T208</f>
        <v/>
      </c>
      <c r="G208" s="85">
        <f>R208*H208+U208</f>
        <v/>
      </c>
      <c r="H208" s="102" t="n">
        <v>1</v>
      </c>
      <c r="I208" s="103" t="inlineStr">
        <is>
          <t>None</t>
        </is>
      </c>
      <c r="J208" s="104" t="n">
        <v>2</v>
      </c>
      <c r="K208" s="89" t="n"/>
      <c r="L208" s="90">
        <f>IF(ISERROR(GETPIVOTDATA(IF($J208=1,"Count of ACTIVE     CED, FARM GATE (MJ/kg)","Count of CED, processor gate (MJ/kg)"),'[1]Pivot Table_CED'!$A$3,"SUB TYPE",$B208)),"PROXY",IF(GETPIVOTDATA(IF($J208=1,"Count of ACTIVE     CED, FARM GATE (MJ/kg)","Count of CED, processor gate (MJ/kg)"),'[1]Pivot Table_CED'!$A$3,"SUB TYPE",$B208)=0,"PROXY","DB value"))</f>
        <v/>
      </c>
      <c r="M208" s="91">
        <f>IF($L208="PROXY",DCOUNT('[1]literature entries'!$D:$AI,IF($J208=1,"ACTIVE     CED, FARM GATE (MJ/kg)","CED, processor gate (MJ/kg)"),INDIRECT($K208)),GETPIVOTDATA(IF($J208=1,"Count of ACTIVE     CED, FARM GATE (MJ/kg)","Count of CED, processor gate (MJ/kg)"),'[1]Pivot Table_CED'!$A$3,"SUB TYPE",$B208))</f>
        <v/>
      </c>
      <c r="N208" s="92">
        <f>IF($L208="PROXY",DAVERAGE('[1]literature entries'!$D:$AI,IF($J208=1,"ACTIVE     CED, FARM GATE (MJ/kg)","CED, processor gate (MJ/kg)"),INDIRECT($K208)),GETPIVOTDATA(IF($J208=1,"Average of ACTIVE     CED, FARM GATE (MJ/kg)","Average of CED, processor gate (MJ/kg)"),'[1]Pivot Table_CED'!$A$3,"SUB TYPE",$B208))</f>
        <v/>
      </c>
      <c r="O208" s="92">
        <f>IF($L208="PROXY",DSTDEV('[1]literature entries'!D:AI,IF($J208=1,"ACTIVE     CED, FARM GATE (MJ/kg)","CED, processor gate (MJ/kg)"),INDIRECT($K208)),GETPIVOTDATA(IF($J208=1,"StdDev of ACTIVE     CED, FARM GATE (MJ/kg)","StdDev of CED, processor gate (MJ/kg)"),'[1]Pivot Table_CED'!$A$3,"SUB TYPE",$B208))</f>
        <v/>
      </c>
      <c r="P208" s="90">
        <f>IF(ISERROR(GETPIVOTDATA(IF($J208=1,"Count of ACTIVE     GHGE, FARM GATE (kg CO2e/kg)","Count of GHGE, processor gate (kg CO2e/kg)"),'[1]Pivot Table_GHG'!$A$3,"SUB TYPE",$B208)),"PROXY",IF(GETPIVOTDATA(IF($J208=1,"Count of ACTIVE     GHGE, FARM GATE (kg CO2e/kg)","Count of GHGE, processor gate (kg CO2e/kg)"),'[1]Pivot Table_GHG'!$A$3,"SUB TYPE",$B208)=0,"PROXY","DB value"))</f>
        <v/>
      </c>
      <c r="Q208" s="93">
        <f>IF($P208="PROXY",DCOUNT('[1]literature entries'!$D:$AI,IF($J208=1,"ACTIVE     GHGE, FARM GATE (kg CO2e/kg)","GHGE, processor gate (kg CO2e/kg)"),INDIRECT($K208)),GETPIVOTDATA(IF($J208=1,"ACTIVE     GHGE, FARM GATE (kg CO2e/kg)","Count of GHGE, processor gate (kg CO2e/kg)"),'[1]Pivot Table_GHG'!$A$3,"SUB TYPE",$B208))</f>
        <v/>
      </c>
      <c r="R208" s="94">
        <f>IF($P208="PROXY",DAVERAGE('[1]literature entries'!$D:$AI,IF($J208=1,"ACTIVE     GHGE, FARM GATE (kg CO2e/kg)","GHGE, processor gate (kg CO2e/kg)"),INDIRECT($K208)),GETPIVOTDATA(IF($J208=1,"Average of ACTIVE     GHGE, FARM GATE (kg CO2e/kg)","Average of GHGE, processor gate (kg CO2e/kg)"),'[1]Pivot Table_GHG'!$A$3,"SUB TYPE",$B208))</f>
        <v/>
      </c>
      <c r="S208" s="94">
        <f>IF($P208="PROXY",DSTDEV('[1]literature entries'!$D:$AI,IF($J208=1,"ACTIVE     GHGE, FARM GATE (kg CO2e/kg)","GHGE, processor gate (kg CO2e/kg)"),INDIRECT($K208)),GETPIVOTDATA(IF($J208=1,"StdDev of ACTIVE     GHGE, FARM GATE (kg CO2e/kg)","StdDev of GHGE, processor gate (kg CO2e/kg)"),'[1]Pivot Table_GHG'!$A$3,"SUB TYPE",$B208))</f>
        <v/>
      </c>
      <c r="T208" s="105" t="n"/>
      <c r="U208" s="106" t="n"/>
      <c r="V208" s="97" t="n"/>
      <c r="W208" s="110" t="inlineStr">
        <is>
          <t>grains</t>
        </is>
      </c>
      <c r="X208" s="98">
        <f t="array" ref="X208">IF($W208="DIRECT",M208,DCOUNT('[1]literature entries'!$D:$AI,"ACTIVE     CED, FARM GATE (MJ/kg)",INDIRECT($W208)))</f>
        <v/>
      </c>
      <c r="Y208" s="98">
        <f t="array" ref="Y208">IF($W208="DIRECT","",DAVERAGE('[1]literature entries'!$D:$AI,"ACTIVE     CED, FARM GATE (MJ/kg)",INDIRECT($W208)))</f>
        <v/>
      </c>
      <c r="Z208" s="98">
        <f t="array" ref="Z208">IF($W208="DIRECT",$O208,DSTDEV('[1]literature entries'!$D:$AI,"ACTIVE     CED, FARM GATE (MJ/kg)",INDIRECT($W208)))</f>
        <v/>
      </c>
      <c r="AA208" s="98">
        <f>IF($W208="DIRECT",$O208,$Z208/$Y208*$N208)</f>
        <v/>
      </c>
      <c r="AB208" s="99">
        <f>IF(P208="PROXY",IF(Q208&gt;=5,K208,"need group"),IF(Q208&gt;=5,"DIRECT","need group"))</f>
        <v/>
      </c>
      <c r="AC208" s="99">
        <f>IF($AB208="DIRECT",Q208,DCOUNT('[1]literature entries'!$D:$AI,IF($J208=1,"ACTIVE     GHGE, FARM GATE (kg CO2e/kg)","GHGE, processor gate (kg CO2e/kg)"),INDIRECT($AB208)))</f>
        <v/>
      </c>
      <c r="AD208" s="99">
        <f>IF($AB208="DIRECT","",DAVERAGE('[1]literature entries'!$D:$AI,IF($J208=1,"ACTIVE     GHGE, FARM GATE (kg CO2e/kg)","GHGE, processor gate (kg CO2e/kg)"),INDIRECT($AB208)))</f>
        <v/>
      </c>
      <c r="AE208" s="99">
        <f>IF($AB208="DIRECT",$S208,DSTDEV('[1]literature entries'!$D:$AI,IF($J208=1,"ACTIVE     GHGE, FARM GATE (kg CO2e/kg)","GHGE, processor gate (kg CO2e/kg)"),INDIRECT($AB208)))</f>
        <v/>
      </c>
      <c r="AF208" s="99">
        <f>IF($AB208="DIRECT",$S208,$AE208/$AD208*$R208)</f>
        <v/>
      </c>
    </row>
    <row r="209" ht="15.75" customHeight="1" s="201">
      <c r="A209" s="100" t="n">
        <v>1500324000</v>
      </c>
      <c r="B209" s="101" t="inlineStr">
        <is>
          <t>Rice, brown</t>
        </is>
      </c>
      <c r="C209" s="101" t="inlineStr">
        <is>
          <t>dry weight of grain or brown rice flour</t>
        </is>
      </c>
      <c r="D209" s="101" t="n"/>
      <c r="E209" s="101" t="n">
        <v>1983</v>
      </c>
      <c r="F209" s="84">
        <f>N209*H209+T209</f>
        <v/>
      </c>
      <c r="G209" s="85">
        <f>R209*H209+U209</f>
        <v/>
      </c>
      <c r="H209" s="102" t="n">
        <v>1</v>
      </c>
      <c r="I209" s="103" t="inlineStr">
        <is>
          <t>None</t>
        </is>
      </c>
      <c r="J209" s="104" t="n">
        <v>1</v>
      </c>
      <c r="K209" s="89" t="n"/>
      <c r="L209" s="90">
        <f>IF(ISERROR(GETPIVOTDATA(IF($J209=1,"Count of ACTIVE     CED, FARM GATE (MJ/kg)","Count of CED, processor gate (MJ/kg)"),'[1]Pivot Table_CED'!$A$3,"SUB TYPE",$B209)),"PROXY",IF(GETPIVOTDATA(IF($J209=1,"Count of ACTIVE     CED, FARM GATE (MJ/kg)","Count of CED, processor gate (MJ/kg)"),'[1]Pivot Table_CED'!$A$3,"SUB TYPE",$B209)=0,"PROXY","DB value"))</f>
        <v/>
      </c>
      <c r="M209" s="91">
        <f>IF($L209="PROXY",DCOUNT('[1]literature entries'!$D:$AI,IF($J209=1,"ACTIVE     CED, FARM GATE (MJ/kg)","CED, processor gate (MJ/kg)"),INDIRECT($K209)),GETPIVOTDATA(IF($J209=1,"Count of ACTIVE     CED, FARM GATE (MJ/kg)","Count of CED, processor gate (MJ/kg)"),'[1]Pivot Table_CED'!$A$3,"SUB TYPE",$B209))</f>
        <v/>
      </c>
      <c r="N209" s="92">
        <f>IF($L209="PROXY",DAVERAGE('[1]literature entries'!$D:$AI,IF($J209=1,"ACTIVE     CED, FARM GATE (MJ/kg)","CED, processor gate (MJ/kg)"),INDIRECT($K209)),GETPIVOTDATA(IF($J209=1,"Average of ACTIVE     CED, FARM GATE (MJ/kg)","Average of CED, processor gate (MJ/kg)"),'[1]Pivot Table_CED'!$A$3,"SUB TYPE",$B209))</f>
        <v/>
      </c>
      <c r="O209" s="92">
        <f>IF($L209="PROXY",DSTDEV('[1]literature entries'!D:AI,IF($J209=1,"ACTIVE     CED, FARM GATE (MJ/kg)","CED, processor gate (MJ/kg)"),INDIRECT($K209)),GETPIVOTDATA(IF($J209=1,"StdDev of ACTIVE     CED, FARM GATE (MJ/kg)","StdDev of CED, processor gate (MJ/kg)"),'[1]Pivot Table_CED'!$A$3,"SUB TYPE",$B209))</f>
        <v/>
      </c>
      <c r="P209" s="90">
        <f>IF(ISERROR(GETPIVOTDATA(IF($J209=1,"Count of ACTIVE     GHGE, FARM GATE (kg CO2e/kg)","Count of GHGE, processor gate (kg CO2e/kg)"),'[1]Pivot Table_GHG'!$A$3,"SUB TYPE",$B209)),"PROXY",IF(GETPIVOTDATA(IF($J209=1,"Count of ACTIVE     GHGE, FARM GATE (kg CO2e/kg)","Count of GHGE, processor gate (kg CO2e/kg)"),'[1]Pivot Table_GHG'!$A$3,"SUB TYPE",$B209)=0,"PROXY","DB value"))</f>
        <v/>
      </c>
      <c r="Q209" s="93">
        <f>IF($P209="PROXY",DCOUNT('[1]literature entries'!$D:$AI,IF($J209=1,"ACTIVE     GHGE, FARM GATE (kg CO2e/kg)","GHGE, processor gate (kg CO2e/kg)"),INDIRECT($K209)),GETPIVOTDATA(IF($J209=1,"ACTIVE     GHGE, FARM GATE (kg CO2e/kg)","Count of GHGE, processor gate (kg CO2e/kg)"),'[1]Pivot Table_GHG'!$A$3,"SUB TYPE",$B209))</f>
        <v/>
      </c>
      <c r="R209" s="94">
        <f>IF($P209="PROXY",DAVERAGE('[1]literature entries'!$D:$AI,IF($J209=1,"ACTIVE     GHGE, FARM GATE (kg CO2e/kg)","GHGE, processor gate (kg CO2e/kg)"),INDIRECT($K209)),GETPIVOTDATA(IF($J209=1,"Average of ACTIVE     GHGE, FARM GATE (kg CO2e/kg)","Average of GHGE, processor gate (kg CO2e/kg)"),'[1]Pivot Table_GHG'!$A$3,"SUB TYPE",$B209))</f>
        <v/>
      </c>
      <c r="S209" s="94">
        <f>IF($P209="PROXY",DSTDEV('[1]literature entries'!$D:$AI,IF($J209=1,"ACTIVE     GHGE, FARM GATE (kg CO2e/kg)","GHGE, processor gate (kg CO2e/kg)"),INDIRECT($K209)),GETPIVOTDATA(IF($J209=1,"StdDev of ACTIVE     GHGE, FARM GATE (kg CO2e/kg)","StdDev of GHGE, processor gate (kg CO2e/kg)"),'[1]Pivot Table_GHG'!$A$3,"SUB TYPE",$B209))</f>
        <v/>
      </c>
      <c r="T209" s="105" t="n"/>
      <c r="U209" s="106" t="n"/>
      <c r="V209" s="97" t="n"/>
      <c r="W209" s="98">
        <f>IF(L209="PROXY",IF(M209&gt;=5,K209,"need group"),IF(M209&gt;=5,"DIRECT","need group"))</f>
        <v/>
      </c>
      <c r="X209" s="98">
        <f>IF($W209="DIRECT",M209,DCOUNT('[1]literature entries'!$D:$AI,IF($J209=1,"ACTIVE     CED, FARM GATE (MJ/kg)","CED, processor gate (MJ/kg)"),INDIRECT($W209)))</f>
        <v/>
      </c>
      <c r="Y209" s="98">
        <f>IF($W209="DIRECT","",DAVERAGE('[1]literature entries'!$D:$AI,IF($J209=1,"ACTIVE     CED, FARM GATE (MJ/kg)","CED, processor gate (MJ/kg)"),INDIRECT($W209)))</f>
        <v/>
      </c>
      <c r="Z209" s="98">
        <f>IF($W209="DIRECT",$O209,DSTDEV('[1]literature entries'!$D:$AI,IF($J209=1,"ACTIVE     CED, FARM GATE (MJ/kg)","CED, processor gate (MJ/kg)"),INDIRECT($W209)))</f>
        <v/>
      </c>
      <c r="AA209" s="98">
        <f>IF($W209="DIRECT",$O209,$Z209/$Y209*$N209)</f>
        <v/>
      </c>
      <c r="AB209" s="99">
        <f>IF(P209="PROXY",IF(Q209&gt;=5,K209,"need group"),IF(Q209&gt;=5,"DIRECT","need group"))</f>
        <v/>
      </c>
      <c r="AC209" s="99">
        <f>IF($AB209="DIRECT",Q209,DCOUNT('[1]literature entries'!$D:$AI,IF($J209=1,"ACTIVE     GHGE, FARM GATE (kg CO2e/kg)","GHGE, processor gate (kg CO2e/kg)"),INDIRECT($AB209)))</f>
        <v/>
      </c>
      <c r="AD209" s="99">
        <f>IF($AB209="DIRECT","",DAVERAGE('[1]literature entries'!$D:$AI,IF($J209=1,"ACTIVE     GHGE, FARM GATE (kg CO2e/kg)","GHGE, processor gate (kg CO2e/kg)"),INDIRECT($AB209)))</f>
        <v/>
      </c>
      <c r="AE209" s="99">
        <f>IF($AB209="DIRECT",$S209,DSTDEV('[1]literature entries'!$D:$AI,IF($J209=1,"ACTIVE     GHGE, FARM GATE (kg CO2e/kg)","GHGE, processor gate (kg CO2e/kg)"),INDIRECT($AB209)))</f>
        <v/>
      </c>
      <c r="AF209" s="99">
        <f>IF($AB209="DIRECT",$S209,$AE209/$AD209*$R209)</f>
        <v/>
      </c>
    </row>
    <row r="210" ht="15.75" customHeight="1" s="201">
      <c r="A210" s="100" t="n">
        <v>1500325000</v>
      </c>
      <c r="B210" s="101" t="inlineStr">
        <is>
          <t>Rice, flour</t>
        </is>
      </c>
      <c r="C210" s="101" t="inlineStr">
        <is>
          <t>dry weight of flour</t>
        </is>
      </c>
      <c r="D210" s="101" t="n"/>
      <c r="E210" s="101" t="n">
        <v>27487</v>
      </c>
      <c r="F210" s="84">
        <f>N210*H210+T210</f>
        <v/>
      </c>
      <c r="G210" s="85">
        <f>R210*H210+U210</f>
        <v/>
      </c>
      <c r="H210" s="102" t="n">
        <v>1</v>
      </c>
      <c r="I210" s="103" t="inlineStr">
        <is>
          <t>None</t>
        </is>
      </c>
      <c r="J210" s="104" t="n">
        <v>2</v>
      </c>
      <c r="K210" s="89" t="inlineStr">
        <is>
          <t>rice_bran</t>
        </is>
      </c>
      <c r="L210" s="90">
        <f>IF(ISERROR(GETPIVOTDATA(IF($J210=1,"Count of ACTIVE     CED, FARM GATE (MJ/kg)","Count of CED, processor gate (MJ/kg)"),'[1]Pivot Table_CED'!$A$3,"SUB TYPE",$B210)),"PROXY",IF(GETPIVOTDATA(IF($J210=1,"Count of ACTIVE     CED, FARM GATE (MJ/kg)","Count of CED, processor gate (MJ/kg)"),'[1]Pivot Table_CED'!$A$3,"SUB TYPE",$B210)=0,"PROXY","DB value"))</f>
        <v/>
      </c>
      <c r="M210" s="91">
        <f>IF($L210="PROXY",DCOUNT('[1]literature entries'!$D:$AI,IF($J210=1,"ACTIVE     CED, FARM GATE (MJ/kg)","CED, processor gate (MJ/kg)"),INDIRECT($K210)),GETPIVOTDATA(IF($J210=1,"Count of ACTIVE     CED, FARM GATE (MJ/kg)","Count of CED, processor gate (MJ/kg)"),'[1]Pivot Table_CED'!$A$3,"SUB TYPE",$B210))</f>
        <v/>
      </c>
      <c r="N210" s="92">
        <f>IF($L210="PROXY",DAVERAGE('[1]literature entries'!$D:$AI,IF($J210=1,"ACTIVE     CED, FARM GATE (MJ/kg)","CED, processor gate (MJ/kg)"),INDIRECT($K210)),GETPIVOTDATA(IF($J210=1,"Average of ACTIVE     CED, FARM GATE (MJ/kg)","Average of CED, processor gate (MJ/kg)"),'[1]Pivot Table_CED'!$A$3,"SUB TYPE",$B210))</f>
        <v/>
      </c>
      <c r="O210" s="92">
        <f>IF($L210="PROXY",DSTDEV('[1]literature entries'!D:AI,IF($J210=1,"ACTIVE     CED, FARM GATE (MJ/kg)","CED, processor gate (MJ/kg)"),INDIRECT($K210)),GETPIVOTDATA(IF($J210=1,"StdDev of ACTIVE     CED, FARM GATE (MJ/kg)","StdDev of CED, processor gate (MJ/kg)"),'[1]Pivot Table_CED'!$A$3,"SUB TYPE",$B210))</f>
        <v/>
      </c>
      <c r="P210" s="90">
        <f>IF(ISERROR(GETPIVOTDATA(IF($J210=1,"Count of ACTIVE     GHGE, FARM GATE (kg CO2e/kg)","Count of GHGE, processor gate (kg CO2e/kg)"),'[1]Pivot Table_GHG'!$A$3,"SUB TYPE",$B210)),"PROXY",IF(GETPIVOTDATA(IF($J210=1,"Count of ACTIVE     GHGE, FARM GATE (kg CO2e/kg)","Count of GHGE, processor gate (kg CO2e/kg)"),'[1]Pivot Table_GHG'!$A$3,"SUB TYPE",$B210)=0,"PROXY","DB value"))</f>
        <v/>
      </c>
      <c r="Q210" s="93">
        <f>IF($P210="PROXY",DCOUNT('[1]literature entries'!$D:$AI,IF($J210=1,"ACTIVE     GHGE, FARM GATE (kg CO2e/kg)","GHGE, processor gate (kg CO2e/kg)"),INDIRECT($K210)),GETPIVOTDATA(IF($J210=1,"ACTIVE     GHGE, FARM GATE (kg CO2e/kg)","Count of GHGE, processor gate (kg CO2e/kg)"),'[1]Pivot Table_GHG'!$A$3,"SUB TYPE",$B210))</f>
        <v/>
      </c>
      <c r="R210" s="94">
        <f>IF($P210="PROXY",DAVERAGE('[1]literature entries'!$D:$AI,IF($J210=1,"ACTIVE     GHGE, FARM GATE (kg CO2e/kg)","GHGE, processor gate (kg CO2e/kg)"),INDIRECT($K210)),GETPIVOTDATA(IF($J210=1,"Average of ACTIVE     GHGE, FARM GATE (kg CO2e/kg)","Average of GHGE, processor gate (kg CO2e/kg)"),'[1]Pivot Table_GHG'!$A$3,"SUB TYPE",$B210))</f>
        <v/>
      </c>
      <c r="S210" s="94">
        <f>IF($P210="PROXY",DSTDEV('[1]literature entries'!$D:$AI,IF($J210=1,"ACTIVE     GHGE, FARM GATE (kg CO2e/kg)","GHGE, processor gate (kg CO2e/kg)"),INDIRECT($K210)),GETPIVOTDATA(IF($J210=1,"StdDev of ACTIVE     GHGE, FARM GATE (kg CO2e/kg)","StdDev of GHGE, processor gate (kg CO2e/kg)"),'[1]Pivot Table_GHG'!$A$3,"SUB TYPE",$B210))</f>
        <v/>
      </c>
      <c r="T210" s="105" t="n"/>
      <c r="U210" s="106" t="n"/>
      <c r="V210" s="97" t="n"/>
      <c r="W210" s="98" t="inlineStr">
        <is>
          <t>flours</t>
        </is>
      </c>
      <c r="X210" s="98">
        <f>IF($W210="DIRECT",M210,DCOUNT('[1]literature entries'!$D:$AI,IF($J210=1,"ACTIVE     CED, FARM GATE (MJ/kg)","CED, processor gate (MJ/kg)"),INDIRECT($W210)))</f>
        <v/>
      </c>
      <c r="Y210" s="98">
        <f>IF($W210="DIRECT","",DAVERAGE('[1]literature entries'!$D:$AI,IF($J210=1,"ACTIVE     CED, FARM GATE (MJ/kg)","CED, processor gate (MJ/kg)"),INDIRECT($W210)))</f>
        <v/>
      </c>
      <c r="Z210" s="98">
        <f>IF($W210="DIRECT",$O210,DSTDEV('[1]literature entries'!$D:$AI,IF($J210=1,"ACTIVE     CED, FARM GATE (MJ/kg)","CED, processor gate (MJ/kg)"),INDIRECT($W210)))</f>
        <v/>
      </c>
      <c r="AA210" s="98">
        <f>IF($W210="DIRECT",$O210,$Z210/$Y210*$N210)</f>
        <v/>
      </c>
      <c r="AB210" s="99" t="inlineStr">
        <is>
          <t>flours</t>
        </is>
      </c>
      <c r="AC210" s="99">
        <f>IF($AB210="DIRECT",Q210,DCOUNT('[1]literature entries'!$D:$AI,IF($J210=1,"ACTIVE     GHGE, FARM GATE (kg CO2e/kg)","GHGE, processor gate (kg CO2e/kg)"),INDIRECT($AB210)))</f>
        <v/>
      </c>
      <c r="AD210" s="99">
        <f>IF($AB210="DIRECT","",DAVERAGE('[1]literature entries'!$D:$AI,IF($J210=1,"ACTIVE     GHGE, FARM GATE (kg CO2e/kg)","GHGE, processor gate (kg CO2e/kg)"),INDIRECT($AB210)))</f>
        <v/>
      </c>
      <c r="AE210" s="99">
        <f>IF($AB210="DIRECT",$S210,DSTDEV('[1]literature entries'!$D:$AI,IF($J210=1,"ACTIVE     GHGE, FARM GATE (kg CO2e/kg)","GHGE, processor gate (kg CO2e/kg)"),INDIRECT($AB210)))</f>
        <v/>
      </c>
      <c r="AF210" s="99">
        <f>IF($AB210="DIRECT",$S210,$AE210/$AD210*$R210)</f>
        <v/>
      </c>
    </row>
    <row r="211" ht="15.75" customHeight="1" s="201">
      <c r="A211" s="100" t="n">
        <v>1500326000</v>
      </c>
      <c r="B211" s="101" t="inlineStr">
        <is>
          <t>Rice, bran</t>
        </is>
      </c>
      <c r="C211" s="101" t="inlineStr">
        <is>
          <t>dry weight of bran</t>
        </is>
      </c>
      <c r="D211" s="101" t="n"/>
      <c r="E211" s="101" t="n">
        <v>50</v>
      </c>
      <c r="F211" s="84">
        <f>N211*H211+T211</f>
        <v/>
      </c>
      <c r="G211" s="85">
        <f>R211*H211+U211</f>
        <v/>
      </c>
      <c r="H211" s="102" t="n">
        <v>1</v>
      </c>
      <c r="I211" s="103" t="inlineStr">
        <is>
          <t>None</t>
        </is>
      </c>
      <c r="J211" s="104" t="n">
        <v>2</v>
      </c>
      <c r="K211" s="89" t="n"/>
      <c r="L211" s="90">
        <f>IF(ISERROR(GETPIVOTDATA(IF($J211=1,"Count of ACTIVE     CED, FARM GATE (MJ/kg)","Count of CED, processor gate (MJ/kg)"),'[1]Pivot Table_CED'!$A$3,"SUB TYPE",$B211)),"PROXY",IF(GETPIVOTDATA(IF($J211=1,"Count of ACTIVE     CED, FARM GATE (MJ/kg)","Count of CED, processor gate (MJ/kg)"),'[1]Pivot Table_CED'!$A$3,"SUB TYPE",$B211)=0,"PROXY","DB value"))</f>
        <v/>
      </c>
      <c r="M211" s="91">
        <f>IF($L211="PROXY",DCOUNT('[1]literature entries'!$D:$AI,IF($J211=1,"ACTIVE     CED, FARM GATE (MJ/kg)","CED, processor gate (MJ/kg)"),INDIRECT($K211)),GETPIVOTDATA(IF($J211=1,"Count of ACTIVE     CED, FARM GATE (MJ/kg)","Count of CED, processor gate (MJ/kg)"),'[1]Pivot Table_CED'!$A$3,"SUB TYPE",$B211))</f>
        <v/>
      </c>
      <c r="N211" s="92">
        <f>IF($L211="PROXY",DAVERAGE('[1]literature entries'!$D:$AI,IF($J211=1,"ACTIVE     CED, FARM GATE (MJ/kg)","CED, processor gate (MJ/kg)"),INDIRECT($K211)),GETPIVOTDATA(IF($J211=1,"Average of ACTIVE     CED, FARM GATE (MJ/kg)","Average of CED, processor gate (MJ/kg)"),'[1]Pivot Table_CED'!$A$3,"SUB TYPE",$B211))</f>
        <v/>
      </c>
      <c r="O211" s="92">
        <f>IF($L211="PROXY",DSTDEV('[1]literature entries'!D:AI,IF($J211=1,"ACTIVE     CED, FARM GATE (MJ/kg)","CED, processor gate (MJ/kg)"),INDIRECT($K211)),GETPIVOTDATA(IF($J211=1,"StdDev of ACTIVE     CED, FARM GATE (MJ/kg)","StdDev of CED, processor gate (MJ/kg)"),'[1]Pivot Table_CED'!$A$3,"SUB TYPE",$B211))</f>
        <v/>
      </c>
      <c r="P211" s="90">
        <f>IF(ISERROR(GETPIVOTDATA(IF($J211=1,"Count of ACTIVE     GHGE, FARM GATE (kg CO2e/kg)","Count of GHGE, processor gate (kg CO2e/kg)"),'[1]Pivot Table_GHG'!$A$3,"SUB TYPE",$B211)),"PROXY",IF(GETPIVOTDATA(IF($J211=1,"Count of ACTIVE     GHGE, FARM GATE (kg CO2e/kg)","Count of GHGE, processor gate (kg CO2e/kg)"),'[1]Pivot Table_GHG'!$A$3,"SUB TYPE",$B211)=0,"PROXY","DB value"))</f>
        <v/>
      </c>
      <c r="Q211" s="93">
        <f>IF($P211="PROXY",DCOUNT('[1]literature entries'!$D:$AI,IF($J211=1,"ACTIVE     GHGE, FARM GATE (kg CO2e/kg)","GHGE, processor gate (kg CO2e/kg)"),INDIRECT($K211)),GETPIVOTDATA(IF($J211=1,"ACTIVE     GHGE, FARM GATE (kg CO2e/kg)","Count of GHGE, processor gate (kg CO2e/kg)"),'[1]Pivot Table_GHG'!$A$3,"SUB TYPE",$B211))</f>
        <v/>
      </c>
      <c r="R211" s="94">
        <f>IF($P211="PROXY",DAVERAGE('[1]literature entries'!$D:$AI,IF($J211=1,"ACTIVE     GHGE, FARM GATE (kg CO2e/kg)","GHGE, processor gate (kg CO2e/kg)"),INDIRECT($K211)),GETPIVOTDATA(IF($J211=1,"Average of ACTIVE     GHGE, FARM GATE (kg CO2e/kg)","Average of GHGE, processor gate (kg CO2e/kg)"),'[1]Pivot Table_GHG'!$A$3,"SUB TYPE",$B211))</f>
        <v/>
      </c>
      <c r="S211" s="94">
        <f>IF($P211="PROXY",DSTDEV('[1]literature entries'!$D:$AI,IF($J211=1,"ACTIVE     GHGE, FARM GATE (kg CO2e/kg)","GHGE, processor gate (kg CO2e/kg)"),INDIRECT($K211)),GETPIVOTDATA(IF($J211=1,"StdDev of ACTIVE     GHGE, FARM GATE (kg CO2e/kg)","StdDev of GHGE, processor gate (kg CO2e/kg)"),'[1]Pivot Table_GHG'!$A$3,"SUB TYPE",$B211))</f>
        <v/>
      </c>
      <c r="T211" s="105" t="n"/>
      <c r="U211" s="106" t="n"/>
      <c r="V211" s="97" t="n"/>
      <c r="W211" s="98" t="inlineStr">
        <is>
          <t>flours</t>
        </is>
      </c>
      <c r="X211" s="98">
        <f>IF($W211="DIRECT",M211,DCOUNT('[1]literature entries'!$D:$AI,IF($J211=1,"ACTIVE     CED, FARM GATE (MJ/kg)","CED, processor gate (MJ/kg)"),INDIRECT($W211)))</f>
        <v/>
      </c>
      <c r="Y211" s="98">
        <f>IF($W211="DIRECT","",DAVERAGE('[1]literature entries'!$D:$AI,IF($J211=1,"ACTIVE     CED, FARM GATE (MJ/kg)","CED, processor gate (MJ/kg)"),INDIRECT($W211)))</f>
        <v/>
      </c>
      <c r="Z211" s="98">
        <f>IF($W211="DIRECT",$O211,DSTDEV('[1]literature entries'!$D:$AI,IF($J211=1,"ACTIVE     CED, FARM GATE (MJ/kg)","CED, processor gate (MJ/kg)"),INDIRECT($W211)))</f>
        <v/>
      </c>
      <c r="AA211" s="98">
        <f>IF($W211="DIRECT",$O211,$Z211/$Y211*$N211)</f>
        <v/>
      </c>
      <c r="AB211" s="99" t="inlineStr">
        <is>
          <t>flours</t>
        </is>
      </c>
      <c r="AC211" s="99">
        <f>IF($AB211="DIRECT",Q211,DCOUNT('[1]literature entries'!$D:$AI,IF($J211=1,"ACTIVE     GHGE, FARM GATE (kg CO2e/kg)","GHGE, processor gate (kg CO2e/kg)"),INDIRECT($AB211)))</f>
        <v/>
      </c>
      <c r="AD211" s="99">
        <f>IF($AB211="DIRECT","",DAVERAGE('[1]literature entries'!$D:$AI,IF($J211=1,"ACTIVE     GHGE, FARM GATE (kg CO2e/kg)","GHGE, processor gate (kg CO2e/kg)"),INDIRECT($AB211)))</f>
        <v/>
      </c>
      <c r="AE211" s="99">
        <f>IF($AB211="DIRECT",$S211,DSTDEV('[1]literature entries'!$D:$AI,IF($J211=1,"ACTIVE     GHGE, FARM GATE (kg CO2e/kg)","GHGE, processor gate (kg CO2e/kg)"),INDIRECT($AB211)))</f>
        <v/>
      </c>
      <c r="AF211" s="99">
        <f>IF($AB211="DIRECT",$S211,$AE211/$AD211*$R211)</f>
        <v/>
      </c>
    </row>
    <row r="212" ht="15.75" customHeight="1" s="201">
      <c r="A212" s="100" t="n">
        <v>1500328000</v>
      </c>
      <c r="B212" s="101" t="inlineStr">
        <is>
          <t>Rye, grain</t>
        </is>
      </c>
      <c r="C212" s="101" t="inlineStr">
        <is>
          <t>dry weight of grain; weight of whole grain flour</t>
        </is>
      </c>
      <c r="D212" s="101" t="n"/>
      <c r="E212" s="101" t="n">
        <v>2057</v>
      </c>
      <c r="F212" s="84">
        <f>N212*H212+T212</f>
        <v/>
      </c>
      <c r="G212" s="85">
        <f>R212*H212+U212</f>
        <v/>
      </c>
      <c r="H212" s="102" t="n">
        <v>1</v>
      </c>
      <c r="I212" s="103" t="inlineStr">
        <is>
          <t>None</t>
        </is>
      </c>
      <c r="J212" s="104" t="n">
        <v>1</v>
      </c>
      <c r="K212" s="89" t="n"/>
      <c r="L212" s="90">
        <f>IF(ISERROR(GETPIVOTDATA(IF($J212=1,"Count of ACTIVE     CED, FARM GATE (MJ/kg)","Count of CED, processor gate (MJ/kg)"),'[1]Pivot Table_CED'!$A$3,"SUB TYPE",$B212)),"PROXY",IF(GETPIVOTDATA(IF($J212=1,"Count of ACTIVE     CED, FARM GATE (MJ/kg)","Count of CED, processor gate (MJ/kg)"),'[1]Pivot Table_CED'!$A$3,"SUB TYPE",$B212)=0,"PROXY","DB value"))</f>
        <v/>
      </c>
      <c r="M212" s="91">
        <f>IF($L212="PROXY",DCOUNT('[1]literature entries'!$D:$AI,IF($J212=1,"ACTIVE     CED, FARM GATE (MJ/kg)","CED, processor gate (MJ/kg)"),INDIRECT($K212)),GETPIVOTDATA(IF($J212=1,"Count of ACTIVE     CED, FARM GATE (MJ/kg)","Count of CED, processor gate (MJ/kg)"),'[1]Pivot Table_CED'!$A$3,"SUB TYPE",$B212))</f>
        <v/>
      </c>
      <c r="N212" s="92">
        <f>IF($L212="PROXY",DAVERAGE('[1]literature entries'!$D:$AI,IF($J212=1,"ACTIVE     CED, FARM GATE (MJ/kg)","CED, processor gate (MJ/kg)"),INDIRECT($K212)),GETPIVOTDATA(IF($J212=1,"Average of ACTIVE     CED, FARM GATE (MJ/kg)","Average of CED, processor gate (MJ/kg)"),'[1]Pivot Table_CED'!$A$3,"SUB TYPE",$B212))</f>
        <v/>
      </c>
      <c r="O212" s="92">
        <f>IF($L212="PROXY",DSTDEV('[1]literature entries'!D:AI,IF($J212=1,"ACTIVE     CED, FARM GATE (MJ/kg)","CED, processor gate (MJ/kg)"),INDIRECT($K212)),GETPIVOTDATA(IF($J212=1,"StdDev of ACTIVE     CED, FARM GATE (MJ/kg)","StdDev of CED, processor gate (MJ/kg)"),'[1]Pivot Table_CED'!$A$3,"SUB TYPE",$B212))</f>
        <v/>
      </c>
      <c r="P212" s="90">
        <f>IF(ISERROR(GETPIVOTDATA(IF($J212=1,"Count of ACTIVE     GHGE, FARM GATE (kg CO2e/kg)","Count of GHGE, processor gate (kg CO2e/kg)"),'[1]Pivot Table_GHG'!$A$3,"SUB TYPE",$B212)),"PROXY",IF(GETPIVOTDATA(IF($J212=1,"Count of ACTIVE     GHGE, FARM GATE (kg CO2e/kg)","Count of GHGE, processor gate (kg CO2e/kg)"),'[1]Pivot Table_GHG'!$A$3,"SUB TYPE",$B212)=0,"PROXY","DB value"))</f>
        <v/>
      </c>
      <c r="Q212" s="93">
        <f>IF($P212="PROXY",DCOUNT('[1]literature entries'!$D:$AI,IF($J212=1,"ACTIVE     GHGE, FARM GATE (kg CO2e/kg)","GHGE, processor gate (kg CO2e/kg)"),INDIRECT($K212)),GETPIVOTDATA(IF($J212=1,"ACTIVE     GHGE, FARM GATE (kg CO2e/kg)","Count of GHGE, processor gate (kg CO2e/kg)"),'[1]Pivot Table_GHG'!$A$3,"SUB TYPE",$B212))</f>
        <v/>
      </c>
      <c r="R212" s="94">
        <f>IF($P212="PROXY",DAVERAGE('[1]literature entries'!$D:$AI,IF($J212=1,"ACTIVE     GHGE, FARM GATE (kg CO2e/kg)","GHGE, processor gate (kg CO2e/kg)"),INDIRECT($K212)),GETPIVOTDATA(IF($J212=1,"Average of ACTIVE     GHGE, FARM GATE (kg CO2e/kg)","Average of GHGE, processor gate (kg CO2e/kg)"),'[1]Pivot Table_GHG'!$A$3,"SUB TYPE",$B212))</f>
        <v/>
      </c>
      <c r="S212" s="94">
        <f>IF($P212="PROXY",DSTDEV('[1]literature entries'!$D:$AI,IF($J212=1,"ACTIVE     GHGE, FARM GATE (kg CO2e/kg)","GHGE, processor gate (kg CO2e/kg)"),INDIRECT($K212)),GETPIVOTDATA(IF($J212=1,"StdDev of ACTIVE     GHGE, FARM GATE (kg CO2e/kg)","StdDev of GHGE, processor gate (kg CO2e/kg)"),'[1]Pivot Table_GHG'!$A$3,"SUB TYPE",$B212))</f>
        <v/>
      </c>
      <c r="T212" s="105" t="n"/>
      <c r="U212" s="106" t="n"/>
      <c r="V212" s="97" t="n"/>
      <c r="W212" s="98">
        <f>IF(L212="PROXY",IF(M212&gt;=5,K212,"need group"),IF(M212&gt;=5,"DIRECT","need group"))</f>
        <v/>
      </c>
      <c r="X212" s="98">
        <f>IF($W212="DIRECT",M212,DCOUNT('[1]literature entries'!$D:$AI,IF($J212=1,"ACTIVE     CED, FARM GATE (MJ/kg)","CED, processor gate (MJ/kg)"),INDIRECT($W212)))</f>
        <v/>
      </c>
      <c r="Y212" s="98">
        <f>IF($W212="DIRECT","",DAVERAGE('[1]literature entries'!$D:$AI,IF($J212=1,"ACTIVE     CED, FARM GATE (MJ/kg)","CED, processor gate (MJ/kg)"),INDIRECT($W212)))</f>
        <v/>
      </c>
      <c r="Z212" s="98">
        <f>IF($W212="DIRECT",$O212,DSTDEV('[1]literature entries'!$D:$AI,IF($J212=1,"ACTIVE     CED, FARM GATE (MJ/kg)","CED, processor gate (MJ/kg)"),INDIRECT($W212)))</f>
        <v/>
      </c>
      <c r="AA212" s="98">
        <f>IF($W212="DIRECT",$O212,$Z212/$Y212*$N212)</f>
        <v/>
      </c>
      <c r="AB212" s="99">
        <f>IF(P212="PROXY",IF(Q212&gt;=5,K212,"need group"),IF(Q212&gt;=5,"DIRECT","need group"))</f>
        <v/>
      </c>
      <c r="AC212" s="99">
        <f>IF($AB212="DIRECT",Q212,DCOUNT('[1]literature entries'!$D:$AI,IF($J212=1,"ACTIVE     GHGE, FARM GATE (kg CO2e/kg)","GHGE, processor gate (kg CO2e/kg)"),INDIRECT($AB212)))</f>
        <v/>
      </c>
      <c r="AD212" s="99">
        <f>IF($AB212="DIRECT","",DAVERAGE('[1]literature entries'!$D:$AI,IF($J212=1,"ACTIVE     GHGE, FARM GATE (kg CO2e/kg)","GHGE, processor gate (kg CO2e/kg)"),INDIRECT($AB212)))</f>
        <v/>
      </c>
      <c r="AE212" s="99">
        <f>IF($AB212="DIRECT",$S212,DSTDEV('[1]literature entries'!$D:$AI,IF($J212=1,"ACTIVE     GHGE, FARM GATE (kg CO2e/kg)","GHGE, processor gate (kg CO2e/kg)"),INDIRECT($AB212)))</f>
        <v/>
      </c>
      <c r="AF212" s="99">
        <f>IF($AB212="DIRECT",$S212,$AE212/$AD212*$R212)</f>
        <v/>
      </c>
    </row>
    <row r="213" ht="15.75" customHeight="1" s="201">
      <c r="A213" s="100" t="n">
        <v>1500329000</v>
      </c>
      <c r="B213" s="101" t="inlineStr">
        <is>
          <t>Rye, flour</t>
        </is>
      </c>
      <c r="C213" s="101" t="inlineStr">
        <is>
          <t>dry weight of flour</t>
        </is>
      </c>
      <c r="D213" s="101" t="n"/>
      <c r="E213" s="101" t="n">
        <v>5</v>
      </c>
      <c r="F213" s="84">
        <f>N213*H213+T213</f>
        <v/>
      </c>
      <c r="G213" s="85">
        <f>R213*H213+U213</f>
        <v/>
      </c>
      <c r="H213" s="102" t="n">
        <v>1</v>
      </c>
      <c r="I213" s="103" t="inlineStr">
        <is>
          <t>None</t>
        </is>
      </c>
      <c r="J213" s="104" t="n">
        <v>2</v>
      </c>
      <c r="K213" s="89" t="n"/>
      <c r="L213" s="90">
        <f>IF(ISERROR(GETPIVOTDATA(IF($J213=1,"Count of ACTIVE     CED, FARM GATE (MJ/kg)","Count of CED, processor gate (MJ/kg)"),'[1]Pivot Table_CED'!$A$3,"SUB TYPE",$B213)),"PROXY",IF(GETPIVOTDATA(IF($J213=1,"Count of ACTIVE     CED, FARM GATE (MJ/kg)","Count of CED, processor gate (MJ/kg)"),'[1]Pivot Table_CED'!$A$3,"SUB TYPE",$B213)=0,"PROXY","DB value"))</f>
        <v/>
      </c>
      <c r="M213" s="91">
        <f>IF($L213="PROXY",DCOUNT('[1]literature entries'!$D:$AI,IF($J213=1,"ACTIVE     CED, FARM GATE (MJ/kg)","CED, processor gate (MJ/kg)"),INDIRECT($K213)),GETPIVOTDATA(IF($J213=1,"Count of ACTIVE     CED, FARM GATE (MJ/kg)","Count of CED, processor gate (MJ/kg)"),'[1]Pivot Table_CED'!$A$3,"SUB TYPE",$B213))</f>
        <v/>
      </c>
      <c r="N213" s="92">
        <f>IF($L213="PROXY",DAVERAGE('[1]literature entries'!$D:$AI,IF($J213=1,"ACTIVE     CED, FARM GATE (MJ/kg)","CED, processor gate (MJ/kg)"),INDIRECT($K213)),GETPIVOTDATA(IF($J213=1,"Average of ACTIVE     CED, FARM GATE (MJ/kg)","Average of CED, processor gate (MJ/kg)"),'[1]Pivot Table_CED'!$A$3,"SUB TYPE",$B213))</f>
        <v/>
      </c>
      <c r="O213" s="92">
        <f>IF($L213="PROXY",DSTDEV('[1]literature entries'!D:AI,IF($J213=1,"ACTIVE     CED, FARM GATE (MJ/kg)","CED, processor gate (MJ/kg)"),INDIRECT($K213)),GETPIVOTDATA(IF($J213=1,"StdDev of ACTIVE     CED, FARM GATE (MJ/kg)","StdDev of CED, processor gate (MJ/kg)"),'[1]Pivot Table_CED'!$A$3,"SUB TYPE",$B213))</f>
        <v/>
      </c>
      <c r="P213" s="90">
        <f>IF(ISERROR(GETPIVOTDATA(IF($J213=1,"Count of ACTIVE     GHGE, FARM GATE (kg CO2e/kg)","Count of GHGE, processor gate (kg CO2e/kg)"),'[1]Pivot Table_GHG'!$A$3,"SUB TYPE",$B213)),"PROXY",IF(GETPIVOTDATA(IF($J213=1,"Count of ACTIVE     GHGE, FARM GATE (kg CO2e/kg)","Count of GHGE, processor gate (kg CO2e/kg)"),'[1]Pivot Table_GHG'!$A$3,"SUB TYPE",$B213)=0,"PROXY","DB value"))</f>
        <v/>
      </c>
      <c r="Q213" s="93">
        <f>IF($P213="PROXY",DCOUNT('[1]literature entries'!$D:$AI,IF($J213=1,"ACTIVE     GHGE, FARM GATE (kg CO2e/kg)","GHGE, processor gate (kg CO2e/kg)"),INDIRECT($K213)),GETPIVOTDATA(IF($J213=1,"ACTIVE     GHGE, FARM GATE (kg CO2e/kg)","Count of GHGE, processor gate (kg CO2e/kg)"),'[1]Pivot Table_GHG'!$A$3,"SUB TYPE",$B213))</f>
        <v/>
      </c>
      <c r="R213" s="94">
        <f>IF($P213="PROXY",DAVERAGE('[1]literature entries'!$D:$AI,IF($J213=1,"ACTIVE     GHGE, FARM GATE (kg CO2e/kg)","GHGE, processor gate (kg CO2e/kg)"),INDIRECT($K213)),GETPIVOTDATA(IF($J213=1,"Average of ACTIVE     GHGE, FARM GATE (kg CO2e/kg)","Average of GHGE, processor gate (kg CO2e/kg)"),'[1]Pivot Table_GHG'!$A$3,"SUB TYPE",$B213))</f>
        <v/>
      </c>
      <c r="S213" s="94">
        <f>IF($P213="PROXY",DSTDEV('[1]literature entries'!$D:$AI,IF($J213=1,"ACTIVE     GHGE, FARM GATE (kg CO2e/kg)","GHGE, processor gate (kg CO2e/kg)"),INDIRECT($K213)),GETPIVOTDATA(IF($J213=1,"StdDev of ACTIVE     GHGE, FARM GATE (kg CO2e/kg)","StdDev of GHGE, processor gate (kg CO2e/kg)"),'[1]Pivot Table_GHG'!$A$3,"SUB TYPE",$B213))</f>
        <v/>
      </c>
      <c r="T213" s="105" t="n"/>
      <c r="U213" s="106" t="n"/>
      <c r="V213" s="97" t="n"/>
      <c r="W213" s="98" t="inlineStr">
        <is>
          <t>flours</t>
        </is>
      </c>
      <c r="X213" s="98">
        <f>IF($W213="DIRECT",M213,DCOUNT('[1]literature entries'!$D:$AI,IF($J213=1,"ACTIVE     CED, FARM GATE (MJ/kg)","CED, processor gate (MJ/kg)"),INDIRECT($W213)))</f>
        <v/>
      </c>
      <c r="Y213" s="98">
        <f>IF($W213="DIRECT","",DAVERAGE('[1]literature entries'!$D:$AI,IF($J213=1,"ACTIVE     CED, FARM GATE (MJ/kg)","CED, processor gate (MJ/kg)"),INDIRECT($W213)))</f>
        <v/>
      </c>
      <c r="Z213" s="98">
        <f>IF($W213="DIRECT",$O213,DSTDEV('[1]literature entries'!$D:$AI,IF($J213=1,"ACTIVE     CED, FARM GATE (MJ/kg)","CED, processor gate (MJ/kg)"),INDIRECT($W213)))</f>
        <v/>
      </c>
      <c r="AA213" s="98">
        <f>IF($W213="DIRECT",$O213,$Z213/$Y213*$N213)</f>
        <v/>
      </c>
      <c r="AB213" s="99" t="inlineStr">
        <is>
          <t>flours</t>
        </is>
      </c>
      <c r="AC213" s="99">
        <f>IF($AB213="DIRECT",Q213,DCOUNT('[1]literature entries'!$D:$AI,IF($J213=1,"ACTIVE     GHGE, FARM GATE (kg CO2e/kg)","GHGE, processor gate (kg CO2e/kg)"),INDIRECT($AB213)))</f>
        <v/>
      </c>
      <c r="AD213" s="99">
        <f>IF($AB213="DIRECT","",DAVERAGE('[1]literature entries'!$D:$AI,IF($J213=1,"ACTIVE     GHGE, FARM GATE (kg CO2e/kg)","GHGE, processor gate (kg CO2e/kg)"),INDIRECT($AB213)))</f>
        <v/>
      </c>
      <c r="AE213" s="99">
        <f>IF($AB213="DIRECT",$S213,DSTDEV('[1]literature entries'!$D:$AI,IF($J213=1,"ACTIVE     GHGE, FARM GATE (kg CO2e/kg)","GHGE, processor gate (kg CO2e/kg)"),INDIRECT($AB213)))</f>
        <v/>
      </c>
      <c r="AF213" s="99">
        <f>IF($AB213="DIRECT",$S213,$AE213/$AD213*$R213)</f>
        <v/>
      </c>
    </row>
    <row r="214" ht="15.75" customHeight="1" s="201">
      <c r="A214" s="100" t="n">
        <v>1500345000</v>
      </c>
      <c r="B214" s="101" t="inlineStr">
        <is>
          <t>Sorghum, syrup</t>
        </is>
      </c>
      <c r="C214" s="101" t="inlineStr">
        <is>
          <t>weight of syrup</t>
        </is>
      </c>
      <c r="D214" s="101" t="n"/>
      <c r="E214" s="101" t="n">
        <v>1</v>
      </c>
      <c r="F214" s="84">
        <f>N214*H214+T214</f>
        <v/>
      </c>
      <c r="G214" s="85">
        <f>R214*H214+U214</f>
        <v/>
      </c>
      <c r="H214" s="102" t="n">
        <v>1</v>
      </c>
      <c r="I214" s="103" t="inlineStr">
        <is>
          <t>FICRCD</t>
        </is>
      </c>
      <c r="J214" s="104" t="n">
        <v>2</v>
      </c>
      <c r="K214" s="89" t="inlineStr">
        <is>
          <t>sugarcane_molasses</t>
        </is>
      </c>
      <c r="L214" s="90">
        <f>IF(ISERROR(GETPIVOTDATA(IF($J214=1,"Count of ACTIVE     CED, FARM GATE (MJ/kg)","Count of CED, processor gate (MJ/kg)"),'[1]Pivot Table_CED'!$A$3,"SUB TYPE",$B214)),"PROXY",IF(GETPIVOTDATA(IF($J214=1,"Count of ACTIVE     CED, FARM GATE (MJ/kg)","Count of CED, processor gate (MJ/kg)"),'[1]Pivot Table_CED'!$A$3,"SUB TYPE",$B214)=0,"PROXY","DB value"))</f>
        <v/>
      </c>
      <c r="M214" s="91">
        <f>IF($L214="PROXY",DCOUNT('[1]literature entries'!$D:$AI,IF($J214=1,"ACTIVE     CED, FARM GATE (MJ/kg)","CED, processor gate (MJ/kg)"),INDIRECT($K214)),GETPIVOTDATA(IF($J214=1,"Count of ACTIVE     CED, FARM GATE (MJ/kg)","Count of CED, processor gate (MJ/kg)"),'[1]Pivot Table_CED'!$A$3,"SUB TYPE",$B214))</f>
        <v/>
      </c>
      <c r="N214" s="92">
        <f>IF($L214="PROXY",DAVERAGE('[1]literature entries'!$D:$AI,IF($J214=1,"ACTIVE     CED, FARM GATE (MJ/kg)","CED, processor gate (MJ/kg)"),INDIRECT($K214)),GETPIVOTDATA(IF($J214=1,"Average of ACTIVE     CED, FARM GATE (MJ/kg)","Average of CED, processor gate (MJ/kg)"),'[1]Pivot Table_CED'!$A$3,"SUB TYPE",$B214))</f>
        <v/>
      </c>
      <c r="O214" s="92">
        <f>IF($L214="PROXY",DSTDEV('[1]literature entries'!D:AI,IF($J214=1,"ACTIVE     CED, FARM GATE (MJ/kg)","CED, processor gate (MJ/kg)"),INDIRECT($K214)),GETPIVOTDATA(IF($J214=1,"StdDev of ACTIVE     CED, FARM GATE (MJ/kg)","StdDev of CED, processor gate (MJ/kg)"),'[1]Pivot Table_CED'!$A$3,"SUB TYPE",$B214))</f>
        <v/>
      </c>
      <c r="P214" s="90">
        <f>IF(ISERROR(GETPIVOTDATA(IF($J214=1,"Count of ACTIVE     GHGE, FARM GATE (kg CO2e/kg)","Count of GHGE, processor gate (kg CO2e/kg)"),'[1]Pivot Table_GHG'!$A$3,"SUB TYPE",$B214)),"PROXY",IF(GETPIVOTDATA(IF($J214=1,"Count of ACTIVE     GHGE, FARM GATE (kg CO2e/kg)","Count of GHGE, processor gate (kg CO2e/kg)"),'[1]Pivot Table_GHG'!$A$3,"SUB TYPE",$B214)=0,"PROXY","DB value"))</f>
        <v/>
      </c>
      <c r="Q214" s="93">
        <f>IF($P214="PROXY",DCOUNT('[1]literature entries'!$D:$AI,IF($J214=1,"ACTIVE     GHGE, FARM GATE (kg CO2e/kg)","GHGE, processor gate (kg CO2e/kg)"),INDIRECT($K214)),GETPIVOTDATA(IF($J214=1,"ACTIVE     GHGE, FARM GATE (kg CO2e/kg)","Count of GHGE, processor gate (kg CO2e/kg)"),'[1]Pivot Table_GHG'!$A$3,"SUB TYPE",$B214))</f>
        <v/>
      </c>
      <c r="R214" s="94">
        <f>IF($P214="PROXY",DAVERAGE('[1]literature entries'!$D:$AI,IF($J214=1,"ACTIVE     GHGE, FARM GATE (kg CO2e/kg)","GHGE, processor gate (kg CO2e/kg)"),INDIRECT($K214)),GETPIVOTDATA(IF($J214=1,"Average of ACTIVE     GHGE, FARM GATE (kg CO2e/kg)","Average of GHGE, processor gate (kg CO2e/kg)"),'[1]Pivot Table_GHG'!$A$3,"SUB TYPE",$B214))</f>
        <v/>
      </c>
      <c r="S214" s="94">
        <f>IF($P214="PROXY",DSTDEV('[1]literature entries'!$D:$AI,IF($J214=1,"ACTIVE     GHGE, FARM GATE (kg CO2e/kg)","GHGE, processor gate (kg CO2e/kg)"),INDIRECT($K214)),GETPIVOTDATA(IF($J214=1,"StdDev of ACTIVE     GHGE, FARM GATE (kg CO2e/kg)","StdDev of GHGE, processor gate (kg CO2e/kg)"),'[1]Pivot Table_GHG'!$A$3,"SUB TYPE",$B214))</f>
        <v/>
      </c>
      <c r="T214" s="105" t="n"/>
      <c r="U214" s="106" t="n"/>
      <c r="V214" s="97" t="n"/>
      <c r="W214" s="98" t="inlineStr">
        <is>
          <t>sweeteners</t>
        </is>
      </c>
      <c r="X214" s="98">
        <f>IF($W214="DIRECT",M214,DCOUNT('[1]literature entries'!$D:$AI,IF($J214=1,"ACTIVE     CED, FARM GATE (MJ/kg)","CED, processor gate (MJ/kg)"),INDIRECT($W214)))</f>
        <v/>
      </c>
      <c r="Y214" s="98">
        <f>IF($W214="DIRECT","",DAVERAGE('[1]literature entries'!$D:$AI,IF($J214=1,"ACTIVE     CED, FARM GATE (MJ/kg)","CED, processor gate (MJ/kg)"),INDIRECT($W214)))</f>
        <v/>
      </c>
      <c r="Z214" s="98">
        <f>IF($W214="DIRECT",$O214,DSTDEV('[1]literature entries'!$D:$AI,IF($J214=1,"ACTIVE     CED, FARM GATE (MJ/kg)","CED, processor gate (MJ/kg)"),INDIRECT($W214)))</f>
        <v/>
      </c>
      <c r="AA214" s="98">
        <f>IF($W214="DIRECT",$O214,$Z214/$Y214*$N214)</f>
        <v/>
      </c>
      <c r="AB214" s="99" t="inlineStr">
        <is>
          <t>sweeteners</t>
        </is>
      </c>
      <c r="AC214" s="99">
        <f>IF($AB214="DIRECT",Q214,DCOUNT('[1]literature entries'!$D:$AI,IF($J214=1,"ACTIVE     GHGE, FARM GATE (kg CO2e/kg)","GHGE, processor gate (kg CO2e/kg)"),INDIRECT($AB214)))</f>
        <v/>
      </c>
      <c r="AD214" s="99">
        <f>IF($AB214="DIRECT","",DAVERAGE('[1]literature entries'!$D:$AI,IF($J214=1,"ACTIVE     GHGE, FARM GATE (kg CO2e/kg)","GHGE, processor gate (kg CO2e/kg)"),INDIRECT($AB214)))</f>
        <v/>
      </c>
      <c r="AE214" s="99">
        <f>IF($AB214="DIRECT",$S214,DSTDEV('[1]literature entries'!$D:$AI,IF($J214=1,"ACTIVE     GHGE, FARM GATE (kg CO2e/kg)","GHGE, processor gate (kg CO2e/kg)"),INDIRECT($AB214)))</f>
        <v/>
      </c>
      <c r="AF214" s="99">
        <f>IF($AB214="DIRECT",$S214,$AE214/$AD214*$R214)</f>
        <v/>
      </c>
    </row>
    <row r="215" ht="15.75" customHeight="1" s="201">
      <c r="A215" s="100" t="n">
        <v>1500381000</v>
      </c>
      <c r="B215" s="101" t="inlineStr">
        <is>
          <t>Triticale, flour</t>
        </is>
      </c>
      <c r="C215" s="101" t="inlineStr">
        <is>
          <t>dry weight of flour</t>
        </is>
      </c>
      <c r="D215" s="101" t="n"/>
      <c r="E215" s="101" t="n">
        <v>259</v>
      </c>
      <c r="F215" s="84">
        <f>N215*H215+T215</f>
        <v/>
      </c>
      <c r="G215" s="85">
        <f>R215*H215+U215</f>
        <v/>
      </c>
      <c r="H215" s="102" t="n">
        <v>1</v>
      </c>
      <c r="I215" s="103" t="inlineStr">
        <is>
          <t>None</t>
        </is>
      </c>
      <c r="J215" s="104" t="n">
        <v>2</v>
      </c>
      <c r="K215" s="89" t="inlineStr">
        <is>
          <t>wheat_flour</t>
        </is>
      </c>
      <c r="L215" s="90">
        <f>IF(ISERROR(GETPIVOTDATA(IF($J215=1,"Count of ACTIVE     CED, FARM GATE (MJ/kg)","Count of CED, processor gate (MJ/kg)"),'[1]Pivot Table_CED'!$A$3,"SUB TYPE",$B215)),"PROXY",IF(GETPIVOTDATA(IF($J215=1,"Count of ACTIVE     CED, FARM GATE (MJ/kg)","Count of CED, processor gate (MJ/kg)"),'[1]Pivot Table_CED'!$A$3,"SUB TYPE",$B215)=0,"PROXY","DB value"))</f>
        <v/>
      </c>
      <c r="M215" s="91">
        <f>IF($L215="PROXY",DCOUNT('[1]literature entries'!$D:$AI,IF($J215=1,"ACTIVE     CED, FARM GATE (MJ/kg)","CED, processor gate (MJ/kg)"),INDIRECT($K215)),GETPIVOTDATA(IF($J215=1,"Count of ACTIVE     CED, FARM GATE (MJ/kg)","Count of CED, processor gate (MJ/kg)"),'[1]Pivot Table_CED'!$A$3,"SUB TYPE",$B215))</f>
        <v/>
      </c>
      <c r="N215" s="92">
        <f>IF($L215="PROXY",DAVERAGE('[1]literature entries'!$D:$AI,IF($J215=1,"ACTIVE     CED, FARM GATE (MJ/kg)","CED, processor gate (MJ/kg)"),INDIRECT($K215)),GETPIVOTDATA(IF($J215=1,"Average of ACTIVE     CED, FARM GATE (MJ/kg)","Average of CED, processor gate (MJ/kg)"),'[1]Pivot Table_CED'!$A$3,"SUB TYPE",$B215))</f>
        <v/>
      </c>
      <c r="O215" s="92">
        <f>IF($L215="PROXY",DSTDEV('[1]literature entries'!D:AI,IF($J215=1,"ACTIVE     CED, FARM GATE (MJ/kg)","CED, processor gate (MJ/kg)"),INDIRECT($K215)),GETPIVOTDATA(IF($J215=1,"StdDev of ACTIVE     CED, FARM GATE (MJ/kg)","StdDev of CED, processor gate (MJ/kg)"),'[1]Pivot Table_CED'!$A$3,"SUB TYPE",$B215))</f>
        <v/>
      </c>
      <c r="P215" s="90">
        <f>IF(ISERROR(GETPIVOTDATA(IF($J215=1,"Count of ACTIVE     GHGE, FARM GATE (kg CO2e/kg)","Count of GHGE, processor gate (kg CO2e/kg)"),'[1]Pivot Table_GHG'!$A$3,"SUB TYPE",$B215)),"PROXY",IF(GETPIVOTDATA(IF($J215=1,"Count of ACTIVE     GHGE, FARM GATE (kg CO2e/kg)","Count of GHGE, processor gate (kg CO2e/kg)"),'[1]Pivot Table_GHG'!$A$3,"SUB TYPE",$B215)=0,"PROXY","DB value"))</f>
        <v/>
      </c>
      <c r="Q215" s="93">
        <f>IF($P215="PROXY",DCOUNT('[1]literature entries'!$D:$AI,IF($J215=1,"ACTIVE     GHGE, FARM GATE (kg CO2e/kg)","GHGE, processor gate (kg CO2e/kg)"),INDIRECT($K215)),GETPIVOTDATA(IF($J215=1,"ACTIVE     GHGE, FARM GATE (kg CO2e/kg)","Count of GHGE, processor gate (kg CO2e/kg)"),'[1]Pivot Table_GHG'!$A$3,"SUB TYPE",$B215))</f>
        <v/>
      </c>
      <c r="R215" s="94">
        <f>IF($P215="PROXY",DAVERAGE('[1]literature entries'!$D:$AI,IF($J215=1,"ACTIVE     GHGE, FARM GATE (kg CO2e/kg)","GHGE, processor gate (kg CO2e/kg)"),INDIRECT($K215)),GETPIVOTDATA(IF($J215=1,"Average of ACTIVE     GHGE, FARM GATE (kg CO2e/kg)","Average of GHGE, processor gate (kg CO2e/kg)"),'[1]Pivot Table_GHG'!$A$3,"SUB TYPE",$B215))</f>
        <v/>
      </c>
      <c r="S215" s="94">
        <f>IF($P215="PROXY",DSTDEV('[1]literature entries'!$D:$AI,IF($J215=1,"ACTIVE     GHGE, FARM GATE (kg CO2e/kg)","GHGE, processor gate (kg CO2e/kg)"),INDIRECT($K215)),GETPIVOTDATA(IF($J215=1,"StdDev of ACTIVE     GHGE, FARM GATE (kg CO2e/kg)","StdDev of GHGE, processor gate (kg CO2e/kg)"),'[1]Pivot Table_GHG'!$A$3,"SUB TYPE",$B215))</f>
        <v/>
      </c>
      <c r="T215" s="105" t="n"/>
      <c r="U215" s="106" t="n"/>
      <c r="V215" s="97" t="n"/>
      <c r="W215" s="98" t="inlineStr">
        <is>
          <t>flours</t>
        </is>
      </c>
      <c r="X215" s="98">
        <f>IF($W215="DIRECT",M215,DCOUNT('[1]literature entries'!$D:$AI,IF($J215=1,"ACTIVE     CED, FARM GATE (MJ/kg)","CED, processor gate (MJ/kg)"),INDIRECT($W215)))</f>
        <v/>
      </c>
      <c r="Y215" s="98">
        <f>IF($W215="DIRECT","",DAVERAGE('[1]literature entries'!$D:$AI,IF($J215=1,"ACTIVE     CED, FARM GATE (MJ/kg)","CED, processor gate (MJ/kg)"),INDIRECT($W215)))</f>
        <v/>
      </c>
      <c r="Z215" s="98">
        <f>IF($W215="DIRECT",$O215,DSTDEV('[1]literature entries'!$D:$AI,IF($J215=1,"ACTIVE     CED, FARM GATE (MJ/kg)","CED, processor gate (MJ/kg)"),INDIRECT($W215)))</f>
        <v/>
      </c>
      <c r="AA215" s="98">
        <f>IF($W215="DIRECT",$O215,$Z215/$Y215*$N215)</f>
        <v/>
      </c>
      <c r="AB215" s="99" t="inlineStr">
        <is>
          <t>flours</t>
        </is>
      </c>
      <c r="AC215" s="99">
        <f>IF($AB215="DIRECT",Q215,DCOUNT('[1]literature entries'!$D:$AI,IF($J215=1,"ACTIVE     GHGE, FARM GATE (kg CO2e/kg)","GHGE, processor gate (kg CO2e/kg)"),INDIRECT($AB215)))</f>
        <v/>
      </c>
      <c r="AD215" s="99">
        <f>IF($AB215="DIRECT","",DAVERAGE('[1]literature entries'!$D:$AI,IF($J215=1,"ACTIVE     GHGE, FARM GATE (kg CO2e/kg)","GHGE, processor gate (kg CO2e/kg)"),INDIRECT($AB215)))</f>
        <v/>
      </c>
      <c r="AE215" s="99">
        <f>IF($AB215="DIRECT",$S215,DSTDEV('[1]literature entries'!$D:$AI,IF($J215=1,"ACTIVE     GHGE, FARM GATE (kg CO2e/kg)","GHGE, processor gate (kg CO2e/kg)"),INDIRECT($AB215)))</f>
        <v/>
      </c>
      <c r="AF215" s="99">
        <f>IF($AB215="DIRECT",$S215,$AE215/$AD215*$R215)</f>
        <v/>
      </c>
    </row>
    <row r="216" ht="15.75" customHeight="1" s="201">
      <c r="A216" s="100" t="n">
        <v>1500401000</v>
      </c>
      <c r="B216" s="101" t="inlineStr">
        <is>
          <t>Wheat, grain</t>
        </is>
      </c>
      <c r="C216" s="101" t="inlineStr">
        <is>
          <t>dry weight of grain</t>
        </is>
      </c>
      <c r="D216" s="101" t="inlineStr">
        <is>
          <t>Include whole kernel, cracked wheat, whole grain flour, bulgur, couscous.</t>
        </is>
      </c>
      <c r="E216" s="101" t="n">
        <v>16047</v>
      </c>
      <c r="F216" s="84">
        <f>N216*H216+T216</f>
        <v/>
      </c>
      <c r="G216" s="85">
        <f>R216*H216+U216</f>
        <v/>
      </c>
      <c r="H216" s="102" t="n">
        <v>1</v>
      </c>
      <c r="I216" s="103" t="inlineStr">
        <is>
          <t>FICRCD</t>
        </is>
      </c>
      <c r="J216" s="104" t="n">
        <v>1</v>
      </c>
      <c r="K216" s="89" t="n"/>
      <c r="L216" s="90">
        <f>IF(ISERROR(GETPIVOTDATA(IF($J216=1,"Count of ACTIVE     CED, FARM GATE (MJ/kg)","Count of CED, processor gate (MJ/kg)"),'[1]Pivot Table_CED'!$A$3,"SUB TYPE",$B216)),"PROXY",IF(GETPIVOTDATA(IF($J216=1,"Count of ACTIVE     CED, FARM GATE (MJ/kg)","Count of CED, processor gate (MJ/kg)"),'[1]Pivot Table_CED'!$A$3,"SUB TYPE",$B216)=0,"PROXY","DB value"))</f>
        <v/>
      </c>
      <c r="M216" s="91">
        <f>IF($L216="PROXY",DCOUNT('[1]literature entries'!$D:$AI,IF($J216=1,"ACTIVE     CED, FARM GATE (MJ/kg)","CED, processor gate (MJ/kg)"),INDIRECT($K216)),GETPIVOTDATA(IF($J216=1,"Count of ACTIVE     CED, FARM GATE (MJ/kg)","Count of CED, processor gate (MJ/kg)"),'[1]Pivot Table_CED'!$A$3,"SUB TYPE",$B216))</f>
        <v/>
      </c>
      <c r="N216" s="92">
        <f>IF($L216="PROXY",DAVERAGE('[1]literature entries'!$D:$AI,IF($J216=1,"ACTIVE     CED, FARM GATE (MJ/kg)","CED, processor gate (MJ/kg)"),INDIRECT($K216)),GETPIVOTDATA(IF($J216=1,"Average of ACTIVE     CED, FARM GATE (MJ/kg)","Average of CED, processor gate (MJ/kg)"),'[1]Pivot Table_CED'!$A$3,"SUB TYPE",$B216))</f>
        <v/>
      </c>
      <c r="O216" s="92">
        <f>IF($L216="PROXY",DSTDEV('[1]literature entries'!D:AI,IF($J216=1,"ACTIVE     CED, FARM GATE (MJ/kg)","CED, processor gate (MJ/kg)"),INDIRECT($K216)),GETPIVOTDATA(IF($J216=1,"StdDev of ACTIVE     CED, FARM GATE (MJ/kg)","StdDev of CED, processor gate (MJ/kg)"),'[1]Pivot Table_CED'!$A$3,"SUB TYPE",$B216))</f>
        <v/>
      </c>
      <c r="P216" s="90">
        <f>IF(ISERROR(GETPIVOTDATA(IF($J216=1,"Count of ACTIVE     GHGE, FARM GATE (kg CO2e/kg)","Count of GHGE, processor gate (kg CO2e/kg)"),'[1]Pivot Table_GHG'!$A$3,"SUB TYPE",$B216)),"PROXY",IF(GETPIVOTDATA(IF($J216=1,"Count of ACTIVE     GHGE, FARM GATE (kg CO2e/kg)","Count of GHGE, processor gate (kg CO2e/kg)"),'[1]Pivot Table_GHG'!$A$3,"SUB TYPE",$B216)=0,"PROXY","DB value"))</f>
        <v/>
      </c>
      <c r="Q216" s="93">
        <f>IF($P216="PROXY",DCOUNT('[1]literature entries'!$D:$AI,IF($J216=1,"ACTIVE     GHGE, FARM GATE (kg CO2e/kg)","GHGE, processor gate (kg CO2e/kg)"),INDIRECT($K216)),GETPIVOTDATA(IF($J216=1,"ACTIVE     GHGE, FARM GATE (kg CO2e/kg)","Count of GHGE, processor gate (kg CO2e/kg)"),'[1]Pivot Table_GHG'!$A$3,"SUB TYPE",$B216))</f>
        <v/>
      </c>
      <c r="R216" s="94">
        <f>IF($P216="PROXY",DAVERAGE('[1]literature entries'!$D:$AI,IF($J216=1,"ACTIVE     GHGE, FARM GATE (kg CO2e/kg)","GHGE, processor gate (kg CO2e/kg)"),INDIRECT($K216)),GETPIVOTDATA(IF($J216=1,"Average of ACTIVE     GHGE, FARM GATE (kg CO2e/kg)","Average of GHGE, processor gate (kg CO2e/kg)"),'[1]Pivot Table_GHG'!$A$3,"SUB TYPE",$B216))</f>
        <v/>
      </c>
      <c r="S216" s="94">
        <f>IF($P216="PROXY",DSTDEV('[1]literature entries'!$D:$AI,IF($J216=1,"ACTIVE     GHGE, FARM GATE (kg CO2e/kg)","GHGE, processor gate (kg CO2e/kg)"),INDIRECT($K216)),GETPIVOTDATA(IF($J216=1,"StdDev of ACTIVE     GHGE, FARM GATE (kg CO2e/kg)","StdDev of GHGE, processor gate (kg CO2e/kg)"),'[1]Pivot Table_GHG'!$A$3,"SUB TYPE",$B216))</f>
        <v/>
      </c>
      <c r="T216" s="105" t="n"/>
      <c r="U216" s="106" t="n"/>
      <c r="V216" s="97" t="n"/>
      <c r="W216" s="98">
        <f>IF(L216="PROXY",IF(M216&gt;=5,K216,"need group"),IF(M216&gt;=5,"DIRECT","need group"))</f>
        <v/>
      </c>
      <c r="X216" s="98">
        <f>IF($W216="DIRECT",M216,DCOUNT('[1]literature entries'!$D:$AI,IF($J216=1,"ACTIVE     CED, FARM GATE (MJ/kg)","CED, processor gate (MJ/kg)"),INDIRECT($W216)))</f>
        <v/>
      </c>
      <c r="Y216" s="98">
        <f>IF($W216="DIRECT","",DAVERAGE('[1]literature entries'!$D:$AI,IF($J216=1,"ACTIVE     CED, FARM GATE (MJ/kg)","CED, processor gate (MJ/kg)"),INDIRECT($W216)))</f>
        <v/>
      </c>
      <c r="Z216" s="98">
        <f>IF($W216="DIRECT",$O216,DSTDEV('[1]literature entries'!$D:$AI,IF($J216=1,"ACTIVE     CED, FARM GATE (MJ/kg)","CED, processor gate (MJ/kg)"),INDIRECT($W216)))</f>
        <v/>
      </c>
      <c r="AA216" s="98">
        <f>IF($W216="DIRECT",$O216,$Z216/$Y216*$N216)</f>
        <v/>
      </c>
      <c r="AB216" s="99">
        <f>IF(P216="PROXY",IF(Q216&gt;=5,K216,"need group"),IF(Q216&gt;=5,"DIRECT","need group"))</f>
        <v/>
      </c>
      <c r="AC216" s="99">
        <f>IF($AB216="DIRECT",Q216,DCOUNT('[1]literature entries'!$D:$AI,IF($J216=1,"ACTIVE     GHGE, FARM GATE (kg CO2e/kg)","GHGE, processor gate (kg CO2e/kg)"),INDIRECT($AB216)))</f>
        <v/>
      </c>
      <c r="AD216" s="99">
        <f>IF($AB216="DIRECT","",DAVERAGE('[1]literature entries'!$D:$AI,IF($J216=1,"ACTIVE     GHGE, FARM GATE (kg CO2e/kg)","GHGE, processor gate (kg CO2e/kg)"),INDIRECT($AB216)))</f>
        <v/>
      </c>
      <c r="AE216" s="99">
        <f>IF($AB216="DIRECT",$S216,DSTDEV('[1]literature entries'!$D:$AI,IF($J216=1,"ACTIVE     GHGE, FARM GATE (kg CO2e/kg)","GHGE, processor gate (kg CO2e/kg)"),INDIRECT($AB216)))</f>
        <v/>
      </c>
      <c r="AF216" s="99">
        <f>IF($AB216="DIRECT",$S216,$AE216/$AD216*$R216)</f>
        <v/>
      </c>
    </row>
    <row r="217" ht="15.75" customHeight="1" s="201">
      <c r="A217" s="100" t="n">
        <v>1500402000</v>
      </c>
      <c r="B217" s="101" t="inlineStr">
        <is>
          <t>Wheat, flour</t>
        </is>
      </c>
      <c r="C217" s="101" t="inlineStr">
        <is>
          <t>dry weight of flour</t>
        </is>
      </c>
      <c r="D217" s="101" t="n"/>
      <c r="E217" s="101" t="n">
        <v>49993</v>
      </c>
      <c r="F217" s="84">
        <f>N217*H217+T217</f>
        <v/>
      </c>
      <c r="G217" s="85">
        <f>R217*H217+U217</f>
        <v/>
      </c>
      <c r="H217" s="102" t="n">
        <v>1</v>
      </c>
      <c r="I217" s="103" t="inlineStr">
        <is>
          <t>None</t>
        </is>
      </c>
      <c r="J217" s="104" t="n">
        <v>2</v>
      </c>
      <c r="K217" s="89" t="n"/>
      <c r="L217" s="90">
        <f>IF(ISERROR(GETPIVOTDATA(IF($J217=1,"Count of ACTIVE     CED, FARM GATE (MJ/kg)","Count of CED, processor gate (MJ/kg)"),'[1]Pivot Table_CED'!$A$3,"SUB TYPE",$B217)),"PROXY",IF(GETPIVOTDATA(IF($J217=1,"Count of ACTIVE     CED, FARM GATE (MJ/kg)","Count of CED, processor gate (MJ/kg)"),'[1]Pivot Table_CED'!$A$3,"SUB TYPE",$B217)=0,"PROXY","DB value"))</f>
        <v/>
      </c>
      <c r="M217" s="91">
        <f>IF($L217="PROXY",DCOUNT('[1]literature entries'!$D:$AI,IF($J217=1,"ACTIVE     CED, FARM GATE (MJ/kg)","CED, processor gate (MJ/kg)"),INDIRECT($K217)),GETPIVOTDATA(IF($J217=1,"Count of ACTIVE     CED, FARM GATE (MJ/kg)","Count of CED, processor gate (MJ/kg)"),'[1]Pivot Table_CED'!$A$3,"SUB TYPE",$B217))</f>
        <v/>
      </c>
      <c r="N217" s="92">
        <f>IF($L217="PROXY",DAVERAGE('[1]literature entries'!$D:$AI,IF($J217=1,"ACTIVE     CED, FARM GATE (MJ/kg)","CED, processor gate (MJ/kg)"),INDIRECT($K217)),GETPIVOTDATA(IF($J217=1,"Average of ACTIVE     CED, FARM GATE (MJ/kg)","Average of CED, processor gate (MJ/kg)"),'[1]Pivot Table_CED'!$A$3,"SUB TYPE",$B217))</f>
        <v/>
      </c>
      <c r="O217" s="92">
        <f>IF($L217="PROXY",DSTDEV('[1]literature entries'!D:AI,IF($J217=1,"ACTIVE     CED, FARM GATE (MJ/kg)","CED, processor gate (MJ/kg)"),INDIRECT($K217)),GETPIVOTDATA(IF($J217=1,"StdDev of ACTIVE     CED, FARM GATE (MJ/kg)","StdDev of CED, processor gate (MJ/kg)"),'[1]Pivot Table_CED'!$A$3,"SUB TYPE",$B217))</f>
        <v/>
      </c>
      <c r="P217" s="90">
        <f>IF(ISERROR(GETPIVOTDATA(IF($J217=1,"Count of ACTIVE     GHGE, FARM GATE (kg CO2e/kg)","Count of GHGE, processor gate (kg CO2e/kg)"),'[1]Pivot Table_GHG'!$A$3,"SUB TYPE",$B217)),"PROXY",IF(GETPIVOTDATA(IF($J217=1,"Count of ACTIVE     GHGE, FARM GATE (kg CO2e/kg)","Count of GHGE, processor gate (kg CO2e/kg)"),'[1]Pivot Table_GHG'!$A$3,"SUB TYPE",$B217)=0,"PROXY","DB value"))</f>
        <v/>
      </c>
      <c r="Q217" s="93">
        <f>IF($P217="PROXY",DCOUNT('[1]literature entries'!$D:$AI,IF($J217=1,"ACTIVE     GHGE, FARM GATE (kg CO2e/kg)","GHGE, processor gate (kg CO2e/kg)"),INDIRECT($K217)),GETPIVOTDATA(IF($J217=1,"ACTIVE     GHGE, FARM GATE (kg CO2e/kg)","Count of GHGE, processor gate (kg CO2e/kg)"),'[1]Pivot Table_GHG'!$A$3,"SUB TYPE",$B217))</f>
        <v/>
      </c>
      <c r="R217" s="94">
        <f>IF($P217="PROXY",DAVERAGE('[1]literature entries'!$D:$AI,IF($J217=1,"ACTIVE     GHGE, FARM GATE (kg CO2e/kg)","GHGE, processor gate (kg CO2e/kg)"),INDIRECT($K217)),GETPIVOTDATA(IF($J217=1,"Average of ACTIVE     GHGE, FARM GATE (kg CO2e/kg)","Average of GHGE, processor gate (kg CO2e/kg)"),'[1]Pivot Table_GHG'!$A$3,"SUB TYPE",$B217))</f>
        <v/>
      </c>
      <c r="S217" s="94">
        <f>IF($P217="PROXY",DSTDEV('[1]literature entries'!$D:$AI,IF($J217=1,"ACTIVE     GHGE, FARM GATE (kg CO2e/kg)","GHGE, processor gate (kg CO2e/kg)"),INDIRECT($K217)),GETPIVOTDATA(IF($J217=1,"StdDev of ACTIVE     GHGE, FARM GATE (kg CO2e/kg)","StdDev of GHGE, processor gate (kg CO2e/kg)"),'[1]Pivot Table_GHG'!$A$3,"SUB TYPE",$B217))</f>
        <v/>
      </c>
      <c r="T217" s="105" t="n"/>
      <c r="U217" s="106" t="n"/>
      <c r="V217" s="97" t="n"/>
      <c r="W217" s="98" t="inlineStr">
        <is>
          <t>flours</t>
        </is>
      </c>
      <c r="X217" s="98">
        <f>IF($W217="DIRECT",M217,DCOUNT('[1]literature entries'!$D:$AI,IF($J217=1,"ACTIVE     CED, FARM GATE (MJ/kg)","CED, processor gate (MJ/kg)"),INDIRECT($W217)))</f>
        <v/>
      </c>
      <c r="Y217" s="98">
        <f>IF($W217="DIRECT","",DAVERAGE('[1]literature entries'!$D:$AI,IF($J217=1,"ACTIVE     CED, FARM GATE (MJ/kg)","CED, processor gate (MJ/kg)"),INDIRECT($W217)))</f>
        <v/>
      </c>
      <c r="Z217" s="98">
        <f>IF($W217="DIRECT",$O217,DSTDEV('[1]literature entries'!$D:$AI,IF($J217=1,"ACTIVE     CED, FARM GATE (MJ/kg)","CED, processor gate (MJ/kg)"),INDIRECT($W217)))</f>
        <v/>
      </c>
      <c r="AA217" s="98">
        <f>IF($W217="DIRECT",$O217,$Z217/$Y217*$N217)</f>
        <v/>
      </c>
      <c r="AB217" s="99" t="inlineStr">
        <is>
          <t>flours</t>
        </is>
      </c>
      <c r="AC217" s="99">
        <f>IF($AB217="DIRECT",Q217,DCOUNT('[1]literature entries'!$D:$AI,IF($J217=1,"ACTIVE     GHGE, FARM GATE (kg CO2e/kg)","GHGE, processor gate (kg CO2e/kg)"),INDIRECT($AB217)))</f>
        <v/>
      </c>
      <c r="AD217" s="99">
        <f>IF($AB217="DIRECT","",DAVERAGE('[1]literature entries'!$D:$AI,IF($J217=1,"ACTIVE     GHGE, FARM GATE (kg CO2e/kg)","GHGE, processor gate (kg CO2e/kg)"),INDIRECT($AB217)))</f>
        <v/>
      </c>
      <c r="AE217" s="99">
        <f>IF($AB217="DIRECT",$S217,DSTDEV('[1]literature entries'!$D:$AI,IF($J217=1,"ACTIVE     GHGE, FARM GATE (kg CO2e/kg)","GHGE, processor gate (kg CO2e/kg)"),INDIRECT($AB217)))</f>
        <v/>
      </c>
      <c r="AF217" s="99">
        <f>IF($AB217="DIRECT",$S217,$AE217/$AD217*$R217)</f>
        <v/>
      </c>
    </row>
    <row r="218" ht="15.75" customHeight="1" s="201">
      <c r="A218" s="100" t="n">
        <v>1500403000</v>
      </c>
      <c r="B218" s="101" t="inlineStr">
        <is>
          <t>Wheat, germ</t>
        </is>
      </c>
      <c r="C218" s="101" t="inlineStr">
        <is>
          <t>dry weight of germ</t>
        </is>
      </c>
      <c r="D218" s="101" t="n"/>
      <c r="E218" s="101" t="n">
        <v>2448</v>
      </c>
      <c r="F218" s="84">
        <f>N218*H218+T218</f>
        <v/>
      </c>
      <c r="G218" s="85">
        <f>R218*H218+U218</f>
        <v/>
      </c>
      <c r="H218" s="102" t="n">
        <v>1</v>
      </c>
      <c r="I218" s="103" t="inlineStr">
        <is>
          <t>FICRCD</t>
        </is>
      </c>
      <c r="J218" s="104" t="n">
        <v>2</v>
      </c>
      <c r="K218" s="89" t="inlineStr">
        <is>
          <t>wheat_flour</t>
        </is>
      </c>
      <c r="L218" s="90">
        <f>IF(ISERROR(GETPIVOTDATA(IF($J218=1,"Count of ACTIVE     CED, FARM GATE (MJ/kg)","Count of CED, processor gate (MJ/kg)"),'[1]Pivot Table_CED'!$A$3,"SUB TYPE",$B218)),"PROXY",IF(GETPIVOTDATA(IF($J218=1,"Count of ACTIVE     CED, FARM GATE (MJ/kg)","Count of CED, processor gate (MJ/kg)"),'[1]Pivot Table_CED'!$A$3,"SUB TYPE",$B218)=0,"PROXY","DB value"))</f>
        <v/>
      </c>
      <c r="M218" s="91">
        <f>IF($L218="PROXY",DCOUNT('[1]literature entries'!$D:$AI,IF($J218=1,"ACTIVE     CED, FARM GATE (MJ/kg)","CED, processor gate (MJ/kg)"),INDIRECT($K218)),GETPIVOTDATA(IF($J218=1,"Count of ACTIVE     CED, FARM GATE (MJ/kg)","Count of CED, processor gate (MJ/kg)"),'[1]Pivot Table_CED'!$A$3,"SUB TYPE",$B218))</f>
        <v/>
      </c>
      <c r="N218" s="92">
        <f>IF($L218="PROXY",DAVERAGE('[1]literature entries'!$D:$AI,IF($J218=1,"ACTIVE     CED, FARM GATE (MJ/kg)","CED, processor gate (MJ/kg)"),INDIRECT($K218)),GETPIVOTDATA(IF($J218=1,"Average of ACTIVE     CED, FARM GATE (MJ/kg)","Average of CED, processor gate (MJ/kg)"),'[1]Pivot Table_CED'!$A$3,"SUB TYPE",$B218))</f>
        <v/>
      </c>
      <c r="O218" s="92">
        <f>IF($L218="PROXY",DSTDEV('[1]literature entries'!D:AI,IF($J218=1,"ACTIVE     CED, FARM GATE (MJ/kg)","CED, processor gate (MJ/kg)"),INDIRECT($K218)),GETPIVOTDATA(IF($J218=1,"StdDev of ACTIVE     CED, FARM GATE (MJ/kg)","StdDev of CED, processor gate (MJ/kg)"),'[1]Pivot Table_CED'!$A$3,"SUB TYPE",$B218))</f>
        <v/>
      </c>
      <c r="P218" s="90">
        <f>IF(ISERROR(GETPIVOTDATA(IF($J218=1,"Count of ACTIVE     GHGE, FARM GATE (kg CO2e/kg)","Count of GHGE, processor gate (kg CO2e/kg)"),'[1]Pivot Table_GHG'!$A$3,"SUB TYPE",$B218)),"PROXY",IF(GETPIVOTDATA(IF($J218=1,"Count of ACTIVE     GHGE, FARM GATE (kg CO2e/kg)","Count of GHGE, processor gate (kg CO2e/kg)"),'[1]Pivot Table_GHG'!$A$3,"SUB TYPE",$B218)=0,"PROXY","DB value"))</f>
        <v/>
      </c>
      <c r="Q218" s="93">
        <f>IF($P218="PROXY",DCOUNT('[1]literature entries'!$D:$AI,IF($J218=1,"ACTIVE     GHGE, FARM GATE (kg CO2e/kg)","GHGE, processor gate (kg CO2e/kg)"),INDIRECT($K218)),GETPIVOTDATA(IF($J218=1,"ACTIVE     GHGE, FARM GATE (kg CO2e/kg)","Count of GHGE, processor gate (kg CO2e/kg)"),'[1]Pivot Table_GHG'!$A$3,"SUB TYPE",$B218))</f>
        <v/>
      </c>
      <c r="R218" s="94">
        <f>IF($P218="PROXY",DAVERAGE('[1]literature entries'!$D:$AI,IF($J218=1,"ACTIVE     GHGE, FARM GATE (kg CO2e/kg)","GHGE, processor gate (kg CO2e/kg)"),INDIRECT($K218)),GETPIVOTDATA(IF($J218=1,"Average of ACTIVE     GHGE, FARM GATE (kg CO2e/kg)","Average of GHGE, processor gate (kg CO2e/kg)"),'[1]Pivot Table_GHG'!$A$3,"SUB TYPE",$B218))</f>
        <v/>
      </c>
      <c r="S218" s="94">
        <f>IF($P218="PROXY",DSTDEV('[1]literature entries'!$D:$AI,IF($J218=1,"ACTIVE     GHGE, FARM GATE (kg CO2e/kg)","GHGE, processor gate (kg CO2e/kg)"),INDIRECT($K218)),GETPIVOTDATA(IF($J218=1,"StdDev of ACTIVE     GHGE, FARM GATE (kg CO2e/kg)","StdDev of GHGE, processor gate (kg CO2e/kg)"),'[1]Pivot Table_GHG'!$A$3,"SUB TYPE",$B218))</f>
        <v/>
      </c>
      <c r="T218" s="105" t="n"/>
      <c r="U218" s="106" t="n"/>
      <c r="V218" s="97" t="n"/>
      <c r="W218" s="98" t="inlineStr">
        <is>
          <t>flours</t>
        </is>
      </c>
      <c r="X218" s="98">
        <f>IF($W218="DIRECT",M218,DCOUNT('[1]literature entries'!$D:$AI,IF($J218=1,"ACTIVE     CED, FARM GATE (MJ/kg)","CED, processor gate (MJ/kg)"),INDIRECT($W218)))</f>
        <v/>
      </c>
      <c r="Y218" s="98">
        <f>IF($W218="DIRECT","",DAVERAGE('[1]literature entries'!$D:$AI,IF($J218=1,"ACTIVE     CED, FARM GATE (MJ/kg)","CED, processor gate (MJ/kg)"),INDIRECT($W218)))</f>
        <v/>
      </c>
      <c r="Z218" s="98">
        <f>IF($W218="DIRECT",$O218,DSTDEV('[1]literature entries'!$D:$AI,IF($J218=1,"ACTIVE     CED, FARM GATE (MJ/kg)","CED, processor gate (MJ/kg)"),INDIRECT($W218)))</f>
        <v/>
      </c>
      <c r="AA218" s="98">
        <f>IF($W218="DIRECT",$O218,$Z218/$Y218*$N218)</f>
        <v/>
      </c>
      <c r="AB218" s="99" t="inlineStr">
        <is>
          <t>flours</t>
        </is>
      </c>
      <c r="AC218" s="99">
        <f>IF($AB218="DIRECT",Q218,DCOUNT('[1]literature entries'!$D:$AI,IF($J218=1,"ACTIVE     GHGE, FARM GATE (kg CO2e/kg)","GHGE, processor gate (kg CO2e/kg)"),INDIRECT($AB218)))</f>
        <v/>
      </c>
      <c r="AD218" s="99">
        <f>IF($AB218="DIRECT","",DAVERAGE('[1]literature entries'!$D:$AI,IF($J218=1,"ACTIVE     GHGE, FARM GATE (kg CO2e/kg)","GHGE, processor gate (kg CO2e/kg)"),INDIRECT($AB218)))</f>
        <v/>
      </c>
      <c r="AE218" s="99">
        <f>IF($AB218="DIRECT",$S218,DSTDEV('[1]literature entries'!$D:$AI,IF($J218=1,"ACTIVE     GHGE, FARM GATE (kg CO2e/kg)","GHGE, processor gate (kg CO2e/kg)"),INDIRECT($AB218)))</f>
        <v/>
      </c>
      <c r="AF218" s="99">
        <f>IF($AB218="DIRECT",$S218,$AE218/$AD218*$R218)</f>
        <v/>
      </c>
    </row>
    <row r="219" ht="15.75" customHeight="1" s="201">
      <c r="A219" s="100" t="n">
        <v>1500404000</v>
      </c>
      <c r="B219" s="101" t="inlineStr">
        <is>
          <t>Wheat, bran</t>
        </is>
      </c>
      <c r="C219" s="101" t="inlineStr">
        <is>
          <t>dry weight of bran</t>
        </is>
      </c>
      <c r="D219" s="101" t="n"/>
      <c r="E219" s="101" t="n">
        <v>10250</v>
      </c>
      <c r="F219" s="84">
        <f>N219*H219+T219</f>
        <v/>
      </c>
      <c r="G219" s="85">
        <f>R219*H219+U219</f>
        <v/>
      </c>
      <c r="H219" s="102" t="n">
        <v>1</v>
      </c>
      <c r="I219" s="103" t="inlineStr">
        <is>
          <t>FICRCD</t>
        </is>
      </c>
      <c r="J219" s="104" t="n">
        <v>2</v>
      </c>
      <c r="K219" s="89" t="inlineStr">
        <is>
          <t>wheat_flour</t>
        </is>
      </c>
      <c r="L219" s="90">
        <f>IF(ISERROR(GETPIVOTDATA(IF($J219=1,"Count of ACTIVE     CED, FARM GATE (MJ/kg)","Count of CED, processor gate (MJ/kg)"),'[1]Pivot Table_CED'!$A$3,"SUB TYPE",$B219)),"PROXY",IF(GETPIVOTDATA(IF($J219=1,"Count of ACTIVE     CED, FARM GATE (MJ/kg)","Count of CED, processor gate (MJ/kg)"),'[1]Pivot Table_CED'!$A$3,"SUB TYPE",$B219)=0,"PROXY","DB value"))</f>
        <v/>
      </c>
      <c r="M219" s="91">
        <f>IF($L219="PROXY",DCOUNT('[1]literature entries'!$D:$AI,IF($J219=1,"ACTIVE     CED, FARM GATE (MJ/kg)","CED, processor gate (MJ/kg)"),INDIRECT($K219)),GETPIVOTDATA(IF($J219=1,"Count of ACTIVE     CED, FARM GATE (MJ/kg)","Count of CED, processor gate (MJ/kg)"),'[1]Pivot Table_CED'!$A$3,"SUB TYPE",$B219))</f>
        <v/>
      </c>
      <c r="N219" s="92">
        <f>IF($L219="PROXY",DAVERAGE('[1]literature entries'!$D:$AI,IF($J219=1,"ACTIVE     CED, FARM GATE (MJ/kg)","CED, processor gate (MJ/kg)"),INDIRECT($K219)),GETPIVOTDATA(IF($J219=1,"Average of ACTIVE     CED, FARM GATE (MJ/kg)","Average of CED, processor gate (MJ/kg)"),'[1]Pivot Table_CED'!$A$3,"SUB TYPE",$B219))</f>
        <v/>
      </c>
      <c r="O219" s="92">
        <f>IF($L219="PROXY",DSTDEV('[1]literature entries'!D:AI,IF($J219=1,"ACTIVE     CED, FARM GATE (MJ/kg)","CED, processor gate (MJ/kg)"),INDIRECT($K219)),GETPIVOTDATA(IF($J219=1,"StdDev of ACTIVE     CED, FARM GATE (MJ/kg)","StdDev of CED, processor gate (MJ/kg)"),'[1]Pivot Table_CED'!$A$3,"SUB TYPE",$B219))</f>
        <v/>
      </c>
      <c r="P219" s="90">
        <f>IF(ISERROR(GETPIVOTDATA(IF($J219=1,"Count of ACTIVE     GHGE, FARM GATE (kg CO2e/kg)","Count of GHGE, processor gate (kg CO2e/kg)"),'[1]Pivot Table_GHG'!$A$3,"SUB TYPE",$B219)),"PROXY",IF(GETPIVOTDATA(IF($J219=1,"Count of ACTIVE     GHGE, FARM GATE (kg CO2e/kg)","Count of GHGE, processor gate (kg CO2e/kg)"),'[1]Pivot Table_GHG'!$A$3,"SUB TYPE",$B219)=0,"PROXY","DB value"))</f>
        <v/>
      </c>
      <c r="Q219" s="93">
        <f>IF($P219="PROXY",DCOUNT('[1]literature entries'!$D:$AI,IF($J219=1,"ACTIVE     GHGE, FARM GATE (kg CO2e/kg)","GHGE, processor gate (kg CO2e/kg)"),INDIRECT($K219)),GETPIVOTDATA(IF($J219=1,"ACTIVE     GHGE, FARM GATE (kg CO2e/kg)","Count of GHGE, processor gate (kg CO2e/kg)"),'[1]Pivot Table_GHG'!$A$3,"SUB TYPE",$B219))</f>
        <v/>
      </c>
      <c r="R219" s="94">
        <f>IF($P219="PROXY",DAVERAGE('[1]literature entries'!$D:$AI,IF($J219=1,"ACTIVE     GHGE, FARM GATE (kg CO2e/kg)","GHGE, processor gate (kg CO2e/kg)"),INDIRECT($K219)),GETPIVOTDATA(IF($J219=1,"Average of ACTIVE     GHGE, FARM GATE (kg CO2e/kg)","Average of GHGE, processor gate (kg CO2e/kg)"),'[1]Pivot Table_GHG'!$A$3,"SUB TYPE",$B219))</f>
        <v/>
      </c>
      <c r="S219" s="94">
        <f>IF($P219="PROXY",DSTDEV('[1]literature entries'!$D:$AI,IF($J219=1,"ACTIVE     GHGE, FARM GATE (kg CO2e/kg)","GHGE, processor gate (kg CO2e/kg)"),INDIRECT($K219)),GETPIVOTDATA(IF($J219=1,"StdDev of ACTIVE     GHGE, FARM GATE (kg CO2e/kg)","StdDev of GHGE, processor gate (kg CO2e/kg)"),'[1]Pivot Table_GHG'!$A$3,"SUB TYPE",$B219))</f>
        <v/>
      </c>
      <c r="T219" s="105" t="n"/>
      <c r="U219" s="106" t="n"/>
      <c r="V219" s="97" t="n"/>
      <c r="W219" s="98" t="inlineStr">
        <is>
          <t>flours</t>
        </is>
      </c>
      <c r="X219" s="98">
        <f>IF($W219="DIRECT",M219,DCOUNT('[1]literature entries'!$D:$AI,IF($J219=1,"ACTIVE     CED, FARM GATE (MJ/kg)","CED, processor gate (MJ/kg)"),INDIRECT($W219)))</f>
        <v/>
      </c>
      <c r="Y219" s="98">
        <f>IF($W219="DIRECT","",DAVERAGE('[1]literature entries'!$D:$AI,IF($J219=1,"ACTIVE     CED, FARM GATE (MJ/kg)","CED, processor gate (MJ/kg)"),INDIRECT($W219)))</f>
        <v/>
      </c>
      <c r="Z219" s="98">
        <f>IF($W219="DIRECT",$O219,DSTDEV('[1]literature entries'!$D:$AI,IF($J219=1,"ACTIVE     CED, FARM GATE (MJ/kg)","CED, processor gate (MJ/kg)"),INDIRECT($W219)))</f>
        <v/>
      </c>
      <c r="AA219" s="98">
        <f>IF($W219="DIRECT",$O219,$Z219/$Y219*$N219)</f>
        <v/>
      </c>
      <c r="AB219" s="99" t="inlineStr">
        <is>
          <t>flours</t>
        </is>
      </c>
      <c r="AC219" s="99">
        <f>IF($AB219="DIRECT",Q219,DCOUNT('[1]literature entries'!$D:$AI,IF($J219=1,"ACTIVE     GHGE, FARM GATE (kg CO2e/kg)","GHGE, processor gate (kg CO2e/kg)"),INDIRECT($AB219)))</f>
        <v/>
      </c>
      <c r="AD219" s="99">
        <f>IF($AB219="DIRECT","",DAVERAGE('[1]literature entries'!$D:$AI,IF($J219=1,"ACTIVE     GHGE, FARM GATE (kg CO2e/kg)","GHGE, processor gate (kg CO2e/kg)"),INDIRECT($AB219)))</f>
        <v/>
      </c>
      <c r="AE219" s="99">
        <f>IF($AB219="DIRECT",$S219,DSTDEV('[1]literature entries'!$D:$AI,IF($J219=1,"ACTIVE     GHGE, FARM GATE (kg CO2e/kg)","GHGE, processor gate (kg CO2e/kg)"),INDIRECT($AB219)))</f>
        <v/>
      </c>
      <c r="AF219" s="99">
        <f>IF($AB219="DIRECT",$S219,$AE219/$AD219*$R219)</f>
        <v/>
      </c>
    </row>
    <row r="220" ht="15.75" customHeight="1" s="201">
      <c r="A220" s="100" t="n">
        <v>1500405000</v>
      </c>
      <c r="B220" s="101" t="inlineStr">
        <is>
          <t>Wild rice</t>
        </is>
      </c>
      <c r="C220" s="101" t="inlineStr">
        <is>
          <t>dry weight of grain</t>
        </is>
      </c>
      <c r="D220" s="101" t="n"/>
      <c r="E220" s="101" t="n">
        <v>185</v>
      </c>
      <c r="F220" s="84">
        <f>N220*H220+T220</f>
        <v/>
      </c>
      <c r="G220" s="85">
        <f>R220*H220+U220</f>
        <v/>
      </c>
      <c r="H220" s="102" t="n">
        <v>1</v>
      </c>
      <c r="I220" s="103" t="inlineStr">
        <is>
          <t>None</t>
        </is>
      </c>
      <c r="J220" s="104" t="n">
        <v>1</v>
      </c>
      <c r="K220" s="89" t="inlineStr">
        <is>
          <t>rice</t>
        </is>
      </c>
      <c r="L220" s="90">
        <f>IF(ISERROR(GETPIVOTDATA(IF($J220=1,"Count of ACTIVE     CED, FARM GATE (MJ/kg)","Count of CED, processor gate (MJ/kg)"),'[1]Pivot Table_CED'!$A$3,"SUB TYPE",$B220)),"PROXY",IF(GETPIVOTDATA(IF($J220=1,"Count of ACTIVE     CED, FARM GATE (MJ/kg)","Count of CED, processor gate (MJ/kg)"),'[1]Pivot Table_CED'!$A$3,"SUB TYPE",$B220)=0,"PROXY","DB value"))</f>
        <v/>
      </c>
      <c r="M220" s="91">
        <f>IF($L220="PROXY",DCOUNT('[1]literature entries'!$D:$AI,IF($J220=1,"ACTIVE     CED, FARM GATE (MJ/kg)","CED, processor gate (MJ/kg)"),INDIRECT($K220)),GETPIVOTDATA(IF($J220=1,"Count of ACTIVE     CED, FARM GATE (MJ/kg)","Count of CED, processor gate (MJ/kg)"),'[1]Pivot Table_CED'!$A$3,"SUB TYPE",$B220))</f>
        <v/>
      </c>
      <c r="N220" s="92">
        <f>IF($L220="PROXY",DAVERAGE('[1]literature entries'!$D:$AI,IF($J220=1,"ACTIVE     CED, FARM GATE (MJ/kg)","CED, processor gate (MJ/kg)"),INDIRECT($K220)),GETPIVOTDATA(IF($J220=1,"Average of ACTIVE     CED, FARM GATE (MJ/kg)","Average of CED, processor gate (MJ/kg)"),'[1]Pivot Table_CED'!$A$3,"SUB TYPE",$B220))</f>
        <v/>
      </c>
      <c r="O220" s="92">
        <f>IF($L220="PROXY",DSTDEV('[1]literature entries'!D:AI,IF($J220=1,"ACTIVE     CED, FARM GATE (MJ/kg)","CED, processor gate (MJ/kg)"),INDIRECT($K220)),GETPIVOTDATA(IF($J220=1,"StdDev of ACTIVE     CED, FARM GATE (MJ/kg)","StdDev of CED, processor gate (MJ/kg)"),'[1]Pivot Table_CED'!$A$3,"SUB TYPE",$B220))</f>
        <v/>
      </c>
      <c r="P220" s="90">
        <f>IF(ISERROR(GETPIVOTDATA(IF($J220=1,"Count of ACTIVE     GHGE, FARM GATE (kg CO2e/kg)","Count of GHGE, processor gate (kg CO2e/kg)"),'[1]Pivot Table_GHG'!$A$3,"SUB TYPE",$B220)),"PROXY",IF(GETPIVOTDATA(IF($J220=1,"Count of ACTIVE     GHGE, FARM GATE (kg CO2e/kg)","Count of GHGE, processor gate (kg CO2e/kg)"),'[1]Pivot Table_GHG'!$A$3,"SUB TYPE",$B220)=0,"PROXY","DB value"))</f>
        <v/>
      </c>
      <c r="Q220" s="93">
        <f>IF($P220="PROXY",DCOUNT('[1]literature entries'!$D:$AI,IF($J220=1,"ACTIVE     GHGE, FARM GATE (kg CO2e/kg)","GHGE, processor gate (kg CO2e/kg)"),INDIRECT($K220)),GETPIVOTDATA(IF($J220=1,"ACTIVE     GHGE, FARM GATE (kg CO2e/kg)","Count of GHGE, processor gate (kg CO2e/kg)"),'[1]Pivot Table_GHG'!$A$3,"SUB TYPE",$B220))</f>
        <v/>
      </c>
      <c r="R220" s="94">
        <f>IF($P220="PROXY",DAVERAGE('[1]literature entries'!$D:$AI,IF($J220=1,"ACTIVE     GHGE, FARM GATE (kg CO2e/kg)","GHGE, processor gate (kg CO2e/kg)"),INDIRECT($K220)),GETPIVOTDATA(IF($J220=1,"Average of ACTIVE     GHGE, FARM GATE (kg CO2e/kg)","Average of GHGE, processor gate (kg CO2e/kg)"),'[1]Pivot Table_GHG'!$A$3,"SUB TYPE",$B220))</f>
        <v/>
      </c>
      <c r="S220" s="94">
        <f>IF($P220="PROXY",DSTDEV('[1]literature entries'!$D:$AI,IF($J220=1,"ACTIVE     GHGE, FARM GATE (kg CO2e/kg)","GHGE, processor gate (kg CO2e/kg)"),INDIRECT($K220)),GETPIVOTDATA(IF($J220=1,"StdDev of ACTIVE     GHGE, FARM GATE (kg CO2e/kg)","StdDev of GHGE, processor gate (kg CO2e/kg)"),'[1]Pivot Table_GHG'!$A$3,"SUB TYPE",$B220))</f>
        <v/>
      </c>
      <c r="T220" s="105" t="n"/>
      <c r="U220" s="106" t="n"/>
      <c r="V220" s="97" t="n"/>
      <c r="W220" s="98">
        <f>IF(L220="PROXY",IF(M220&gt;=5,K220,"need group"),IF(M220&gt;=5,"DIRECT","need group"))</f>
        <v/>
      </c>
      <c r="X220" s="98">
        <f>IF($W220="DIRECT",M220,DCOUNT('[1]literature entries'!$D:$AI,IF($J220=1,"ACTIVE     CED, FARM GATE (MJ/kg)","CED, processor gate (MJ/kg)"),INDIRECT($W220)))</f>
        <v/>
      </c>
      <c r="Y220" s="98">
        <f>IF($W220="DIRECT","",DAVERAGE('[1]literature entries'!$D:$AI,IF($J220=1,"ACTIVE     CED, FARM GATE (MJ/kg)","CED, processor gate (MJ/kg)"),INDIRECT($W220)))</f>
        <v/>
      </c>
      <c r="Z220" s="98">
        <f>IF($W220="DIRECT",$O220,DSTDEV('[1]literature entries'!$D:$AI,IF($J220=1,"ACTIVE     CED, FARM GATE (MJ/kg)","CED, processor gate (MJ/kg)"),INDIRECT($W220)))</f>
        <v/>
      </c>
      <c r="AA220" s="98">
        <f>IF($W220="DIRECT",$O220,$Z220/$Y220*$N220)</f>
        <v/>
      </c>
      <c r="AB220" s="99">
        <f>IF(P220="PROXY",IF(Q220&gt;=5,K220,"need group"),IF(Q220&gt;=5,"DIRECT","need group"))</f>
        <v/>
      </c>
      <c r="AC220" s="99">
        <f>IF($AB220="DIRECT",Q220,DCOUNT('[1]literature entries'!$D:$AI,IF($J220=1,"ACTIVE     GHGE, FARM GATE (kg CO2e/kg)","GHGE, processor gate (kg CO2e/kg)"),INDIRECT($AB220)))</f>
        <v/>
      </c>
      <c r="AD220" s="99">
        <f>IF($AB220="DIRECT","",DAVERAGE('[1]literature entries'!$D:$AI,IF($J220=1,"ACTIVE     GHGE, FARM GATE (kg CO2e/kg)","GHGE, processor gate (kg CO2e/kg)"),INDIRECT($AB220)))</f>
        <v/>
      </c>
      <c r="AE220" s="99">
        <f>IF($AB220="DIRECT",$S220,DSTDEV('[1]literature entries'!$D:$AI,IF($J220=1,"ACTIVE     GHGE, FARM GATE (kg CO2e/kg)","GHGE, processor gate (kg CO2e/kg)"),INDIRECT($AB220)))</f>
        <v/>
      </c>
      <c r="AF220" s="99">
        <f>IF($AB220="DIRECT",$S220,$AE220/$AD220*$R220)</f>
        <v/>
      </c>
    </row>
    <row r="221" ht="15.75" customHeight="1" s="201">
      <c r="A221" s="100" t="n">
        <v>1800002000</v>
      </c>
      <c r="B221" s="101" t="inlineStr">
        <is>
          <t>Alfalfa, seed</t>
        </is>
      </c>
      <c r="C221" s="101" t="inlineStr">
        <is>
          <t>weight of dry seed</t>
        </is>
      </c>
      <c r="D221" s="101" t="inlineStr">
        <is>
          <t>Alfalfa sprouts are the human food item.</t>
        </is>
      </c>
      <c r="E221" s="101" t="n">
        <v>48</v>
      </c>
      <c r="F221" s="84">
        <f>N221*H221+T221</f>
        <v/>
      </c>
      <c r="G221" s="85">
        <f>R221*H221+U221</f>
        <v/>
      </c>
      <c r="H221" s="103" t="n">
        <v>1</v>
      </c>
      <c r="I221" s="103" t="inlineStr">
        <is>
          <t>None</t>
        </is>
      </c>
      <c r="J221" s="104" t="n">
        <v>1</v>
      </c>
      <c r="K221" s="89" t="inlineStr">
        <is>
          <t>clover_seed</t>
        </is>
      </c>
      <c r="L221" s="90">
        <f>IF(ISERROR(GETPIVOTDATA(IF($J221=1,"Count of ACTIVE     CED, FARM GATE (MJ/kg)","Count of CED, processor gate (MJ/kg)"),'[1]Pivot Table_CED'!$A$3,"SUB TYPE",$B221)),"PROXY",IF(GETPIVOTDATA(IF($J221=1,"Count of ACTIVE     CED, FARM GATE (MJ/kg)","Count of CED, processor gate (MJ/kg)"),'[1]Pivot Table_CED'!$A$3,"SUB TYPE",$B221)=0,"PROXY","DB value"))</f>
        <v/>
      </c>
      <c r="M221" s="91">
        <f>IF($L221="PROXY",DCOUNT('[1]literature entries'!$D:$AI,IF($J221=1,"ACTIVE     CED, FARM GATE (MJ/kg)","CED, processor gate (MJ/kg)"),INDIRECT($K221)),GETPIVOTDATA(IF($J221=1,"Count of ACTIVE     CED, FARM GATE (MJ/kg)","Count of CED, processor gate (MJ/kg)"),'[1]Pivot Table_CED'!$A$3,"SUB TYPE",$B221))</f>
        <v/>
      </c>
      <c r="N221" s="92">
        <f>IF($L221="PROXY",DAVERAGE('[1]literature entries'!$D:$AI,IF($J221=1,"ACTIVE     CED, FARM GATE (MJ/kg)","CED, processor gate (MJ/kg)"),INDIRECT($K221)),GETPIVOTDATA(IF($J221=1,"Average of ACTIVE     CED, FARM GATE (MJ/kg)","Average of CED, processor gate (MJ/kg)"),'[1]Pivot Table_CED'!$A$3,"SUB TYPE",$B221))</f>
        <v/>
      </c>
      <c r="O221" s="92">
        <f>IF($L221="PROXY",DSTDEV('[1]literature entries'!D:AI,IF($J221=1,"ACTIVE     CED, FARM GATE (MJ/kg)","CED, processor gate (MJ/kg)"),INDIRECT($K221)),GETPIVOTDATA(IF($J221=1,"StdDev of ACTIVE     CED, FARM GATE (MJ/kg)","StdDev of CED, processor gate (MJ/kg)"),'[1]Pivot Table_CED'!$A$3,"SUB TYPE",$B221))</f>
        <v/>
      </c>
      <c r="P221" s="90">
        <f>IF(ISERROR(GETPIVOTDATA(IF($J221=1,"Count of ACTIVE     GHGE, FARM GATE (kg CO2e/kg)","Count of GHGE, processor gate (kg CO2e/kg)"),'[1]Pivot Table_GHG'!$A$3,"SUB TYPE",$B221)),"PROXY",IF(GETPIVOTDATA(IF($J221=1,"Count of ACTIVE     GHGE, FARM GATE (kg CO2e/kg)","Count of GHGE, processor gate (kg CO2e/kg)"),'[1]Pivot Table_GHG'!$A$3,"SUB TYPE",$B221)=0,"PROXY","DB value"))</f>
        <v/>
      </c>
      <c r="Q221" s="93">
        <f>IF($P221="PROXY",DCOUNT('[1]literature entries'!$D:$AI,IF($J221=1,"ACTIVE     GHGE, FARM GATE (kg CO2e/kg)","GHGE, processor gate (kg CO2e/kg)"),INDIRECT($K221)),GETPIVOTDATA(IF($J221=1,"ACTIVE     GHGE, FARM GATE (kg CO2e/kg)","Count of GHGE, processor gate (kg CO2e/kg)"),'[1]Pivot Table_GHG'!$A$3,"SUB TYPE",$B221))</f>
        <v/>
      </c>
      <c r="R221" s="94">
        <f>IF($P221="PROXY",DAVERAGE('[1]literature entries'!$D:$AI,IF($J221=1,"ACTIVE     GHGE, FARM GATE (kg CO2e/kg)","GHGE, processor gate (kg CO2e/kg)"),INDIRECT($K221)),GETPIVOTDATA(IF($J221=1,"Average of ACTIVE     GHGE, FARM GATE (kg CO2e/kg)","Average of GHGE, processor gate (kg CO2e/kg)"),'[1]Pivot Table_GHG'!$A$3,"SUB TYPE",$B221))</f>
        <v/>
      </c>
      <c r="S221" s="94">
        <f>IF($P221="PROXY",DSTDEV('[1]literature entries'!$D:$AI,IF($J221=1,"ACTIVE     GHGE, FARM GATE (kg CO2e/kg)","GHGE, processor gate (kg CO2e/kg)"),INDIRECT($K221)),GETPIVOTDATA(IF($J221=1,"StdDev of ACTIVE     GHGE, FARM GATE (kg CO2e/kg)","StdDev of GHGE, processor gate (kg CO2e/kg)"),'[1]Pivot Table_GHG'!$A$3,"SUB TYPE",$B221))</f>
        <v/>
      </c>
      <c r="T221" s="129" t="n"/>
      <c r="U221" s="130" t="n"/>
      <c r="V221" s="97" t="n"/>
      <c r="W221" s="98" t="inlineStr">
        <is>
          <t>grains</t>
        </is>
      </c>
      <c r="X221" s="98">
        <f>IF($W221="DIRECT",M221,DCOUNT('[1]literature entries'!$D:$AI,IF($J221=1,"ACTIVE     CED, FARM GATE (MJ/kg)","CED, processor gate (MJ/kg)"),INDIRECT($W221)))</f>
        <v/>
      </c>
      <c r="Y221" s="98">
        <f>IF($W221="DIRECT","",DAVERAGE('[1]literature entries'!$D:$AI,IF($J221=1,"ACTIVE     CED, FARM GATE (MJ/kg)","CED, processor gate (MJ/kg)"),INDIRECT($W221)))</f>
        <v/>
      </c>
      <c r="Z221" s="98">
        <f>IF($W221="DIRECT",$O221,DSTDEV('[1]literature entries'!$D:$AI,IF($J221=1,"ACTIVE     CED, FARM GATE (MJ/kg)","CED, processor gate (MJ/kg)"),INDIRECT($W221)))</f>
        <v/>
      </c>
      <c r="AA221" s="98">
        <f>IF($W221="DIRECT",$O221,$Z221/$Y221*$N221)</f>
        <v/>
      </c>
      <c r="AB221" s="99" t="inlineStr">
        <is>
          <t>grains</t>
        </is>
      </c>
      <c r="AC221" s="99">
        <f>IF($AB221="DIRECT",Q221,DCOUNT('[1]literature entries'!$D:$AI,IF($J221=1,"ACTIVE     GHGE, FARM GATE (kg CO2e/kg)","GHGE, processor gate (kg CO2e/kg)"),INDIRECT($AB221)))</f>
        <v/>
      </c>
      <c r="AD221" s="99">
        <f>IF($AB221="DIRECT","",DAVERAGE('[1]literature entries'!$D:$AI,IF($J221=1,"ACTIVE     GHGE, FARM GATE (kg CO2e/kg)","GHGE, processor gate (kg CO2e/kg)"),INDIRECT($AB221)))</f>
        <v/>
      </c>
      <c r="AE221" s="99">
        <f>IF($AB221="DIRECT",$S221,DSTDEV('[1]literature entries'!$D:$AI,IF($J221=1,"ACTIVE     GHGE, FARM GATE (kg CO2e/kg)","GHGE, processor gate (kg CO2e/kg)"),INDIRECT($AB221)))</f>
        <v/>
      </c>
      <c r="AF221" s="99">
        <f>IF($AB221="DIRECT",$S221,$AE221/$AD221*$R221)</f>
        <v/>
      </c>
    </row>
    <row r="222" ht="15.75" customHeight="1" s="201">
      <c r="A222" s="100" t="n">
        <v>1901028000</v>
      </c>
      <c r="B222" s="101" t="inlineStr">
        <is>
          <t>Basil, fresh leaves</t>
        </is>
      </c>
      <c r="C222" s="101" t="inlineStr">
        <is>
          <t>weight of leaves and stems</t>
        </is>
      </c>
      <c r="D222" s="101" t="n"/>
      <c r="E222" s="101" t="n">
        <v>94</v>
      </c>
      <c r="F222" s="84">
        <f>N222*H222+T222</f>
        <v/>
      </c>
      <c r="G222" s="85">
        <f>R222*H222+U222</f>
        <v/>
      </c>
      <c r="H222" s="103" t="n">
        <v>1</v>
      </c>
      <c r="I222" s="103" t="inlineStr">
        <is>
          <t>None</t>
        </is>
      </c>
      <c r="J222" s="104" t="n">
        <v>1</v>
      </c>
      <c r="K222" s="89" t="inlineStr">
        <is>
          <t>spinach</t>
        </is>
      </c>
      <c r="L222" s="90">
        <f>IF(ISERROR(GETPIVOTDATA(IF($J222=1,"Count of ACTIVE     CED, FARM GATE (MJ/kg)","Count of CED, processor gate (MJ/kg)"),'[1]Pivot Table_CED'!$A$3,"SUB TYPE",$B222)),"PROXY",IF(GETPIVOTDATA(IF($J222=1,"Count of ACTIVE     CED, FARM GATE (MJ/kg)","Count of CED, processor gate (MJ/kg)"),'[1]Pivot Table_CED'!$A$3,"SUB TYPE",$B222)=0,"PROXY","DB value"))</f>
        <v/>
      </c>
      <c r="M222" s="91">
        <f>IF($L222="PROXY",DCOUNT('[1]literature entries'!$D:$AI,IF($J222=1,"ACTIVE     CED, FARM GATE (MJ/kg)","CED, processor gate (MJ/kg)"),INDIRECT($K222)),GETPIVOTDATA(IF($J222=1,"Count of ACTIVE     CED, FARM GATE (MJ/kg)","Count of CED, processor gate (MJ/kg)"),'[1]Pivot Table_CED'!$A$3,"SUB TYPE",$B222))</f>
        <v/>
      </c>
      <c r="N222" s="92">
        <f>IF($L222="PROXY",DAVERAGE('[1]literature entries'!$D:$AI,IF($J222=1,"ACTIVE     CED, FARM GATE (MJ/kg)","CED, processor gate (MJ/kg)"),INDIRECT($K222)),GETPIVOTDATA(IF($J222=1,"Average of ACTIVE     CED, FARM GATE (MJ/kg)","Average of CED, processor gate (MJ/kg)"),'[1]Pivot Table_CED'!$A$3,"SUB TYPE",$B222))</f>
        <v/>
      </c>
      <c r="O222" s="92">
        <f>IF($L222="PROXY",DSTDEV('[1]literature entries'!D:AI,IF($J222=1,"ACTIVE     CED, FARM GATE (MJ/kg)","CED, processor gate (MJ/kg)"),INDIRECT($K222)),GETPIVOTDATA(IF($J222=1,"StdDev of ACTIVE     CED, FARM GATE (MJ/kg)","StdDev of CED, processor gate (MJ/kg)"),'[1]Pivot Table_CED'!$A$3,"SUB TYPE",$B222))</f>
        <v/>
      </c>
      <c r="P222" s="90">
        <f>IF(ISERROR(GETPIVOTDATA(IF($J222=1,"Count of ACTIVE     GHGE, FARM GATE (kg CO2e/kg)","Count of GHGE, processor gate (kg CO2e/kg)"),'[1]Pivot Table_GHG'!$A$3,"SUB TYPE",$B222)),"PROXY",IF(GETPIVOTDATA(IF($J222=1,"Count of ACTIVE     GHGE, FARM GATE (kg CO2e/kg)","Count of GHGE, processor gate (kg CO2e/kg)"),'[1]Pivot Table_GHG'!$A$3,"SUB TYPE",$B222)=0,"PROXY","DB value"))</f>
        <v/>
      </c>
      <c r="Q222" s="93">
        <f>IF($P222="PROXY",DCOUNT('[1]literature entries'!$D:$AI,IF($J222=1,"ACTIVE     GHGE, FARM GATE (kg CO2e/kg)","GHGE, processor gate (kg CO2e/kg)"),INDIRECT($K222)),GETPIVOTDATA(IF($J222=1,"ACTIVE     GHGE, FARM GATE (kg CO2e/kg)","Count of GHGE, processor gate (kg CO2e/kg)"),'[1]Pivot Table_GHG'!$A$3,"SUB TYPE",$B222))</f>
        <v/>
      </c>
      <c r="R222" s="94">
        <f>IF($P222="PROXY",DAVERAGE('[1]literature entries'!$D:$AI,IF($J222=1,"ACTIVE     GHGE, FARM GATE (kg CO2e/kg)","GHGE, processor gate (kg CO2e/kg)"),INDIRECT($K222)),GETPIVOTDATA(IF($J222=1,"Average of ACTIVE     GHGE, FARM GATE (kg CO2e/kg)","Average of GHGE, processor gate (kg CO2e/kg)"),'[1]Pivot Table_GHG'!$A$3,"SUB TYPE",$B222))</f>
        <v/>
      </c>
      <c r="S222" s="94">
        <f>IF($P222="PROXY",DSTDEV('[1]literature entries'!$D:$AI,IF($J222=1,"ACTIVE     GHGE, FARM GATE (kg CO2e/kg)","GHGE, processor gate (kg CO2e/kg)"),INDIRECT($K222)),GETPIVOTDATA(IF($J222=1,"StdDev of ACTIVE     GHGE, FARM GATE (kg CO2e/kg)","StdDev of GHGE, processor gate (kg CO2e/kg)"),'[1]Pivot Table_GHG'!$A$3,"SUB TYPE",$B222))</f>
        <v/>
      </c>
      <c r="T222" s="105" t="n"/>
      <c r="U222" s="106" t="n"/>
      <c r="V222" s="97" t="n"/>
      <c r="W222" s="98" t="inlineStr">
        <is>
          <t>greens</t>
        </is>
      </c>
      <c r="X222" s="98">
        <f>IF($W222="DIRECT",M222,DCOUNT('[1]literature entries'!$D:$AI,IF($J222=1,"ACTIVE     CED, FARM GATE (MJ/kg)","CED, processor gate (MJ/kg)"),INDIRECT($W222)))</f>
        <v/>
      </c>
      <c r="Y222" s="98">
        <f>IF($W222="DIRECT","",DAVERAGE('[1]literature entries'!$D:$AI,IF($J222=1,"ACTIVE     CED, FARM GATE (MJ/kg)","CED, processor gate (MJ/kg)"),INDIRECT($W222)))</f>
        <v/>
      </c>
      <c r="Z222" s="98">
        <f>IF($W222="DIRECT",$O222,DSTDEV('[1]literature entries'!$D:$AI,IF($J222=1,"ACTIVE     CED, FARM GATE (MJ/kg)","CED, processor gate (MJ/kg)"),INDIRECT($W222)))</f>
        <v/>
      </c>
      <c r="AA222" s="98">
        <f>IF($W222="DIRECT",$O222,$Z222/$Y222*$N222)</f>
        <v/>
      </c>
      <c r="AB222" s="99" t="inlineStr">
        <is>
          <t>greens</t>
        </is>
      </c>
      <c r="AC222" s="99">
        <f>IF($AB222="DIRECT",Q222,DCOUNT('[1]literature entries'!$D:$AI,IF($J222=1,"ACTIVE     GHGE, FARM GATE (kg CO2e/kg)","GHGE, processor gate (kg CO2e/kg)"),INDIRECT($AB222)))</f>
        <v/>
      </c>
      <c r="AD222" s="99">
        <f>IF($AB222="DIRECT","",DAVERAGE('[1]literature entries'!$D:$AI,IF($J222=1,"ACTIVE     GHGE, FARM GATE (kg CO2e/kg)","GHGE, processor gate (kg CO2e/kg)"),INDIRECT($AB222)))</f>
        <v/>
      </c>
      <c r="AE222" s="99">
        <f>IF($AB222="DIRECT",$S222,DSTDEV('[1]literature entries'!$D:$AI,IF($J222=1,"ACTIVE     GHGE, FARM GATE (kg CO2e/kg)","GHGE, processor gate (kg CO2e/kg)"),INDIRECT($AB222)))</f>
        <v/>
      </c>
      <c r="AF222" s="99">
        <f>IF($AB222="DIRECT",$S222,$AE222/$AD222*$R222)</f>
        <v/>
      </c>
    </row>
    <row r="223" ht="15.75" customHeight="1" s="201">
      <c r="A223" s="100" t="n">
        <v>1901029000</v>
      </c>
      <c r="B223" s="101" t="inlineStr">
        <is>
          <t>Basil, dried leaves</t>
        </is>
      </c>
      <c r="C223" s="101" t="inlineStr">
        <is>
          <t>dry weight of leaves and stems</t>
        </is>
      </c>
      <c r="D223" s="101" t="n"/>
      <c r="E223" s="101" t="n">
        <v>16552</v>
      </c>
      <c r="F223" s="84">
        <f>N223*H223+T223</f>
        <v/>
      </c>
      <c r="G223" s="85">
        <f>R223*H223+U223</f>
        <v/>
      </c>
      <c r="H223" s="112" t="n">
        <v>11.29093198992444</v>
      </c>
      <c r="I223" s="103" t="inlineStr">
        <is>
          <t>NNDSR28</t>
        </is>
      </c>
      <c r="J223" s="104" t="n">
        <v>1</v>
      </c>
      <c r="K223" s="89" t="inlineStr">
        <is>
          <t>spinach</t>
        </is>
      </c>
      <c r="L223" s="90">
        <f>IF(ISERROR(GETPIVOTDATA(IF($J223=1,"Count of ACTIVE     CED, FARM GATE (MJ/kg)","Count of CED, processor gate (MJ/kg)"),'[1]Pivot Table_CED'!$A$3,"SUB TYPE",$B223)),"PROXY",IF(GETPIVOTDATA(IF($J223=1,"Count of ACTIVE     CED, FARM GATE (MJ/kg)","Count of CED, processor gate (MJ/kg)"),'[1]Pivot Table_CED'!$A$3,"SUB TYPE",$B223)=0,"PROXY","DB value"))</f>
        <v/>
      </c>
      <c r="M223" s="91">
        <f>IF($L223="PROXY",DCOUNT('[1]literature entries'!$D:$AI,IF($J223=1,"ACTIVE     CED, FARM GATE (MJ/kg)","CED, processor gate (MJ/kg)"),INDIRECT($K223)),GETPIVOTDATA(IF($J223=1,"Count of ACTIVE     CED, FARM GATE (MJ/kg)","Count of CED, processor gate (MJ/kg)"),'[1]Pivot Table_CED'!$A$3,"SUB TYPE",$B223))</f>
        <v/>
      </c>
      <c r="N223" s="92">
        <f>IF($L223="PROXY",DAVERAGE('[1]literature entries'!$D:$AI,IF($J223=1,"ACTIVE     CED, FARM GATE (MJ/kg)","CED, processor gate (MJ/kg)"),INDIRECT($K223)),GETPIVOTDATA(IF($J223=1,"Average of ACTIVE     CED, FARM GATE (MJ/kg)","Average of CED, processor gate (MJ/kg)"),'[1]Pivot Table_CED'!$A$3,"SUB TYPE",$B223))</f>
        <v/>
      </c>
      <c r="O223" s="92">
        <f>IF($L223="PROXY",DSTDEV('[1]literature entries'!D:AI,IF($J223=1,"ACTIVE     CED, FARM GATE (MJ/kg)","CED, processor gate (MJ/kg)"),INDIRECT($K223)),GETPIVOTDATA(IF($J223=1,"StdDev of ACTIVE     CED, FARM GATE (MJ/kg)","StdDev of CED, processor gate (MJ/kg)"),'[1]Pivot Table_CED'!$A$3,"SUB TYPE",$B223))</f>
        <v/>
      </c>
      <c r="P223" s="90">
        <f>IF(ISERROR(GETPIVOTDATA(IF($J223=1,"Count of ACTIVE     GHGE, FARM GATE (kg CO2e/kg)","Count of GHGE, processor gate (kg CO2e/kg)"),'[1]Pivot Table_GHG'!$A$3,"SUB TYPE",$B223)),"PROXY",IF(GETPIVOTDATA(IF($J223=1,"Count of ACTIVE     GHGE, FARM GATE (kg CO2e/kg)","Count of GHGE, processor gate (kg CO2e/kg)"),'[1]Pivot Table_GHG'!$A$3,"SUB TYPE",$B223)=0,"PROXY","DB value"))</f>
        <v/>
      </c>
      <c r="Q223" s="93">
        <f>IF($P223="PROXY",DCOUNT('[1]literature entries'!$D:$AI,IF($J223=1,"ACTIVE     GHGE, FARM GATE (kg CO2e/kg)","GHGE, processor gate (kg CO2e/kg)"),INDIRECT($K223)),GETPIVOTDATA(IF($J223=1,"ACTIVE     GHGE, FARM GATE (kg CO2e/kg)","Count of GHGE, processor gate (kg CO2e/kg)"),'[1]Pivot Table_GHG'!$A$3,"SUB TYPE",$B223))</f>
        <v/>
      </c>
      <c r="R223" s="94">
        <f>IF($P223="PROXY",DAVERAGE('[1]literature entries'!$D:$AI,IF($J223=1,"ACTIVE     GHGE, FARM GATE (kg CO2e/kg)","GHGE, processor gate (kg CO2e/kg)"),INDIRECT($K223)),GETPIVOTDATA(IF($J223=1,"Average of ACTIVE     GHGE, FARM GATE (kg CO2e/kg)","Average of GHGE, processor gate (kg CO2e/kg)"),'[1]Pivot Table_GHG'!$A$3,"SUB TYPE",$B223))</f>
        <v/>
      </c>
      <c r="S223" s="94">
        <f>IF($P223="PROXY",DSTDEV('[1]literature entries'!$D:$AI,IF($J223=1,"ACTIVE     GHGE, FARM GATE (kg CO2e/kg)","GHGE, processor gate (kg CO2e/kg)"),INDIRECT($K223)),GETPIVOTDATA(IF($J223=1,"StdDev of ACTIVE     GHGE, FARM GATE (kg CO2e/kg)","StdDev of GHGE, processor gate (kg CO2e/kg)"),'[1]Pivot Table_GHG'!$A$3,"SUB TYPE",$B223))</f>
        <v/>
      </c>
      <c r="T223" s="105" t="n"/>
      <c r="U223" s="106" t="n"/>
      <c r="V223" s="97" t="n"/>
      <c r="W223" s="98" t="inlineStr">
        <is>
          <t>greens</t>
        </is>
      </c>
      <c r="X223" s="98">
        <f>IF($W223="DIRECT",M223,DCOUNT('[1]literature entries'!$D:$AI,IF($J223=1,"ACTIVE     CED, FARM GATE (MJ/kg)","CED, processor gate (MJ/kg)"),INDIRECT($W223)))</f>
        <v/>
      </c>
      <c r="Y223" s="98">
        <f>IF($W223="DIRECT","",DAVERAGE('[1]literature entries'!$D:$AI,IF($J223=1,"ACTIVE     CED, FARM GATE (MJ/kg)","CED, processor gate (MJ/kg)"),INDIRECT($W223)))</f>
        <v/>
      </c>
      <c r="Z223" s="98">
        <f>IF($W223="DIRECT",$O223,DSTDEV('[1]literature entries'!$D:$AI,IF($J223=1,"ACTIVE     CED, FARM GATE (MJ/kg)","CED, processor gate (MJ/kg)"),INDIRECT($W223)))</f>
        <v/>
      </c>
      <c r="AA223" s="98">
        <f>IF($W223="DIRECT",$O223,$Z223/$Y223*$N223)</f>
        <v/>
      </c>
      <c r="AB223" s="99" t="inlineStr">
        <is>
          <t>greens</t>
        </is>
      </c>
      <c r="AC223" s="99">
        <f>IF($AB223="DIRECT",Q223,DCOUNT('[1]literature entries'!$D:$AI,IF($J223=1,"ACTIVE     GHGE, FARM GATE (kg CO2e/kg)","GHGE, processor gate (kg CO2e/kg)"),INDIRECT($AB223)))</f>
        <v/>
      </c>
      <c r="AD223" s="99">
        <f>IF($AB223="DIRECT","",DAVERAGE('[1]literature entries'!$D:$AI,IF($J223=1,"ACTIVE     GHGE, FARM GATE (kg CO2e/kg)","GHGE, processor gate (kg CO2e/kg)"),INDIRECT($AB223)))</f>
        <v/>
      </c>
      <c r="AE223" s="99">
        <f>IF($AB223="DIRECT",$S223,DSTDEV('[1]literature entries'!$D:$AI,IF($J223=1,"ACTIVE     GHGE, FARM GATE (kg CO2e/kg)","GHGE, processor gate (kg CO2e/kg)"),INDIRECT($AB223)))</f>
        <v/>
      </c>
      <c r="AF223" s="99">
        <f>IF($AB223="DIRECT",$S223,$AE223/$AD223*$R223)</f>
        <v/>
      </c>
    </row>
    <row r="224" ht="15.75" customHeight="1" s="201">
      <c r="A224" s="100" t="n">
        <v>1901184000</v>
      </c>
      <c r="B224" s="101" t="inlineStr">
        <is>
          <t>Herbs, other</t>
        </is>
      </c>
      <c r="C224" s="101" t="inlineStr">
        <is>
          <t>weight of leaves and stems</t>
        </is>
      </c>
      <c r="D224" s="101" t="inlineStr">
        <is>
          <t>See Appendix B (“The Herb List”).  Note that some herbs are not included in this list as they are unique FCs and are cited in this vocabulary separately.  These latter include: basil, chive, coriander (cilantro), leaf, dill (dillweed), fennel, Florence (I</t>
        </is>
      </c>
      <c r="E224" s="101" t="n">
        <v>27421</v>
      </c>
      <c r="F224" s="84">
        <f>N224*H224+T224</f>
        <v/>
      </c>
      <c r="G224" s="85">
        <f>R224*H224+U224</f>
        <v/>
      </c>
      <c r="H224" s="102" t="n">
        <v>1</v>
      </c>
      <c r="I224" s="103" t="inlineStr">
        <is>
          <t>None</t>
        </is>
      </c>
      <c r="J224" s="104" t="n">
        <v>1</v>
      </c>
      <c r="K224" s="89" t="inlineStr">
        <is>
          <t>spinach</t>
        </is>
      </c>
      <c r="L224" s="90">
        <f>IF(ISERROR(GETPIVOTDATA(IF($J224=1,"Count of ACTIVE     CED, FARM GATE (MJ/kg)","Count of CED, processor gate (MJ/kg)"),'[1]Pivot Table_CED'!$A$3,"SUB TYPE",$B224)),"PROXY",IF(GETPIVOTDATA(IF($J224=1,"Count of ACTIVE     CED, FARM GATE (MJ/kg)","Count of CED, processor gate (MJ/kg)"),'[1]Pivot Table_CED'!$A$3,"SUB TYPE",$B224)=0,"PROXY","DB value"))</f>
        <v/>
      </c>
      <c r="M224" s="91">
        <f>IF($L224="PROXY",DCOUNT('[1]literature entries'!$D:$AI,IF($J224=1,"ACTIVE     CED, FARM GATE (MJ/kg)","CED, processor gate (MJ/kg)"),INDIRECT($K224)),GETPIVOTDATA(IF($J224=1,"Count of ACTIVE     CED, FARM GATE (MJ/kg)","Count of CED, processor gate (MJ/kg)"),'[1]Pivot Table_CED'!$A$3,"SUB TYPE",$B224))</f>
        <v/>
      </c>
      <c r="N224" s="92">
        <f>IF($L224="PROXY",DAVERAGE('[1]literature entries'!$D:$AI,IF($J224=1,"ACTIVE     CED, FARM GATE (MJ/kg)","CED, processor gate (MJ/kg)"),INDIRECT($K224)),GETPIVOTDATA(IF($J224=1,"Average of ACTIVE     CED, FARM GATE (MJ/kg)","Average of CED, processor gate (MJ/kg)"),'[1]Pivot Table_CED'!$A$3,"SUB TYPE",$B224))</f>
        <v/>
      </c>
      <c r="O224" s="92">
        <f>IF($L224="PROXY",DSTDEV('[1]literature entries'!D:AI,IF($J224=1,"ACTIVE     CED, FARM GATE (MJ/kg)","CED, processor gate (MJ/kg)"),INDIRECT($K224)),GETPIVOTDATA(IF($J224=1,"StdDev of ACTIVE     CED, FARM GATE (MJ/kg)","StdDev of CED, processor gate (MJ/kg)"),'[1]Pivot Table_CED'!$A$3,"SUB TYPE",$B224))</f>
        <v/>
      </c>
      <c r="P224" s="90">
        <f>IF(ISERROR(GETPIVOTDATA(IF($J224=1,"Count of ACTIVE     GHGE, FARM GATE (kg CO2e/kg)","Count of GHGE, processor gate (kg CO2e/kg)"),'[1]Pivot Table_GHG'!$A$3,"SUB TYPE",$B224)),"PROXY",IF(GETPIVOTDATA(IF($J224=1,"Count of ACTIVE     GHGE, FARM GATE (kg CO2e/kg)","Count of GHGE, processor gate (kg CO2e/kg)"),'[1]Pivot Table_GHG'!$A$3,"SUB TYPE",$B224)=0,"PROXY","DB value"))</f>
        <v/>
      </c>
      <c r="Q224" s="93">
        <f>IF($P224="PROXY",DCOUNT('[1]literature entries'!$D:$AI,IF($J224=1,"ACTIVE     GHGE, FARM GATE (kg CO2e/kg)","GHGE, processor gate (kg CO2e/kg)"),INDIRECT($K224)),GETPIVOTDATA(IF($J224=1,"ACTIVE     GHGE, FARM GATE (kg CO2e/kg)","Count of GHGE, processor gate (kg CO2e/kg)"),'[1]Pivot Table_GHG'!$A$3,"SUB TYPE",$B224))</f>
        <v/>
      </c>
      <c r="R224" s="94">
        <f>IF($P224="PROXY",DAVERAGE('[1]literature entries'!$D:$AI,IF($J224=1,"ACTIVE     GHGE, FARM GATE (kg CO2e/kg)","GHGE, processor gate (kg CO2e/kg)"),INDIRECT($K224)),GETPIVOTDATA(IF($J224=1,"Average of ACTIVE     GHGE, FARM GATE (kg CO2e/kg)","Average of GHGE, processor gate (kg CO2e/kg)"),'[1]Pivot Table_GHG'!$A$3,"SUB TYPE",$B224))</f>
        <v/>
      </c>
      <c r="S224" s="94">
        <f>IF($P224="PROXY",DSTDEV('[1]literature entries'!$D:$AI,IF($J224=1,"ACTIVE     GHGE, FARM GATE (kg CO2e/kg)","GHGE, processor gate (kg CO2e/kg)"),INDIRECT($K224)),GETPIVOTDATA(IF($J224=1,"StdDev of ACTIVE     GHGE, FARM GATE (kg CO2e/kg)","StdDev of GHGE, processor gate (kg CO2e/kg)"),'[1]Pivot Table_GHG'!$A$3,"SUB TYPE",$B224))</f>
        <v/>
      </c>
      <c r="T224" s="105" t="n"/>
      <c r="U224" s="106" t="n"/>
      <c r="V224" s="97" t="n"/>
      <c r="W224" s="98" t="inlineStr">
        <is>
          <t>greens</t>
        </is>
      </c>
      <c r="X224" s="98">
        <f>IF($W224="DIRECT",M224,DCOUNT('[1]literature entries'!$D:$AI,IF($J224=1,"ACTIVE     CED, FARM GATE (MJ/kg)","CED, processor gate (MJ/kg)"),INDIRECT($W224)))</f>
        <v/>
      </c>
      <c r="Y224" s="98">
        <f>IF($W224="DIRECT","",DAVERAGE('[1]literature entries'!$D:$AI,IF($J224=1,"ACTIVE     CED, FARM GATE (MJ/kg)","CED, processor gate (MJ/kg)"),INDIRECT($W224)))</f>
        <v/>
      </c>
      <c r="Z224" s="98">
        <f>IF($W224="DIRECT",$O224,DSTDEV('[1]literature entries'!$D:$AI,IF($J224=1,"ACTIVE     CED, FARM GATE (MJ/kg)","CED, processor gate (MJ/kg)"),INDIRECT($W224)))</f>
        <v/>
      </c>
      <c r="AA224" s="98">
        <f>IF($W224="DIRECT",$O224,$Z224/$Y224*$N224)</f>
        <v/>
      </c>
      <c r="AB224" s="99" t="inlineStr">
        <is>
          <t>greens</t>
        </is>
      </c>
      <c r="AC224" s="99">
        <f>IF($AB224="DIRECT",Q224,DCOUNT('[1]literature entries'!$D:$AI,IF($J224=1,"ACTIVE     GHGE, FARM GATE (kg CO2e/kg)","GHGE, processor gate (kg CO2e/kg)"),INDIRECT($AB224)))</f>
        <v/>
      </c>
      <c r="AD224" s="99">
        <f>IF($AB224="DIRECT","",DAVERAGE('[1]literature entries'!$D:$AI,IF($J224=1,"ACTIVE     GHGE, FARM GATE (kg CO2e/kg)","GHGE, processor gate (kg CO2e/kg)"),INDIRECT($AB224)))</f>
        <v/>
      </c>
      <c r="AE224" s="99">
        <f>IF($AB224="DIRECT",$S224,DSTDEV('[1]literature entries'!$D:$AI,IF($J224=1,"ACTIVE     GHGE, FARM GATE (kg CO2e/kg)","GHGE, processor gate (kg CO2e/kg)"),INDIRECT($AB224)))</f>
        <v/>
      </c>
      <c r="AF224" s="99">
        <f>IF($AB224="DIRECT",$S224,$AE224/$AD224*$R224)</f>
        <v/>
      </c>
    </row>
    <row r="225" ht="15.75" customHeight="1" s="201">
      <c r="A225" s="100" t="n">
        <v>1901220000</v>
      </c>
      <c r="B225" s="101" t="inlineStr">
        <is>
          <t>Marjoram</t>
        </is>
      </c>
      <c r="C225" s="101" t="inlineStr">
        <is>
          <t>weight of leaves and stems</t>
        </is>
      </c>
      <c r="D225" s="101" t="inlineStr">
        <is>
          <t>Includes oregano.</t>
        </is>
      </c>
      <c r="E225" s="101" t="n">
        <v>22047</v>
      </c>
      <c r="F225" s="84">
        <f>N225*H225+T225</f>
        <v/>
      </c>
      <c r="G225" s="85">
        <f>R225*H225+U225</f>
        <v/>
      </c>
      <c r="H225" s="102" t="n">
        <v>1</v>
      </c>
      <c r="I225" s="103" t="inlineStr">
        <is>
          <t>None</t>
        </is>
      </c>
      <c r="J225" s="104" t="n">
        <v>1</v>
      </c>
      <c r="K225" s="89" t="inlineStr">
        <is>
          <t>spinach</t>
        </is>
      </c>
      <c r="L225" s="90">
        <f>IF(ISERROR(GETPIVOTDATA(IF($J225=1,"Count of ACTIVE     CED, FARM GATE (MJ/kg)","Count of CED, processor gate (MJ/kg)"),'[1]Pivot Table_CED'!$A$3,"SUB TYPE",$B225)),"PROXY",IF(GETPIVOTDATA(IF($J225=1,"Count of ACTIVE     CED, FARM GATE (MJ/kg)","Count of CED, processor gate (MJ/kg)"),'[1]Pivot Table_CED'!$A$3,"SUB TYPE",$B225)=0,"PROXY","DB value"))</f>
        <v/>
      </c>
      <c r="M225" s="91">
        <f>IF($L225="PROXY",DCOUNT('[1]literature entries'!$D:$AI,IF($J225=1,"ACTIVE     CED, FARM GATE (MJ/kg)","CED, processor gate (MJ/kg)"),INDIRECT($K225)),GETPIVOTDATA(IF($J225=1,"Count of ACTIVE     CED, FARM GATE (MJ/kg)","Count of CED, processor gate (MJ/kg)"),'[1]Pivot Table_CED'!$A$3,"SUB TYPE",$B225))</f>
        <v/>
      </c>
      <c r="N225" s="92">
        <f>IF($L225="PROXY",DAVERAGE('[1]literature entries'!$D:$AI,IF($J225=1,"ACTIVE     CED, FARM GATE (MJ/kg)","CED, processor gate (MJ/kg)"),INDIRECT($K225)),GETPIVOTDATA(IF($J225=1,"Average of ACTIVE     CED, FARM GATE (MJ/kg)","Average of CED, processor gate (MJ/kg)"),'[1]Pivot Table_CED'!$A$3,"SUB TYPE",$B225))</f>
        <v/>
      </c>
      <c r="O225" s="92">
        <f>IF($L225="PROXY",DSTDEV('[1]literature entries'!D:AI,IF($J225=1,"ACTIVE     CED, FARM GATE (MJ/kg)","CED, processor gate (MJ/kg)"),INDIRECT($K225)),GETPIVOTDATA(IF($J225=1,"StdDev of ACTIVE     CED, FARM GATE (MJ/kg)","StdDev of CED, processor gate (MJ/kg)"),'[1]Pivot Table_CED'!$A$3,"SUB TYPE",$B225))</f>
        <v/>
      </c>
      <c r="P225" s="90">
        <f>IF(ISERROR(GETPIVOTDATA(IF($J225=1,"Count of ACTIVE     GHGE, FARM GATE (kg CO2e/kg)","Count of GHGE, processor gate (kg CO2e/kg)"),'[1]Pivot Table_GHG'!$A$3,"SUB TYPE",$B225)),"PROXY",IF(GETPIVOTDATA(IF($J225=1,"Count of ACTIVE     GHGE, FARM GATE (kg CO2e/kg)","Count of GHGE, processor gate (kg CO2e/kg)"),'[1]Pivot Table_GHG'!$A$3,"SUB TYPE",$B225)=0,"PROXY","DB value"))</f>
        <v/>
      </c>
      <c r="Q225" s="93">
        <f>IF($P225="PROXY",DCOUNT('[1]literature entries'!$D:$AI,IF($J225=1,"ACTIVE     GHGE, FARM GATE (kg CO2e/kg)","GHGE, processor gate (kg CO2e/kg)"),INDIRECT($K225)),GETPIVOTDATA(IF($J225=1,"ACTIVE     GHGE, FARM GATE (kg CO2e/kg)","Count of GHGE, processor gate (kg CO2e/kg)"),'[1]Pivot Table_GHG'!$A$3,"SUB TYPE",$B225))</f>
        <v/>
      </c>
      <c r="R225" s="94">
        <f>IF($P225="PROXY",DAVERAGE('[1]literature entries'!$D:$AI,IF($J225=1,"ACTIVE     GHGE, FARM GATE (kg CO2e/kg)","GHGE, processor gate (kg CO2e/kg)"),INDIRECT($K225)),GETPIVOTDATA(IF($J225=1,"Average of ACTIVE     GHGE, FARM GATE (kg CO2e/kg)","Average of GHGE, processor gate (kg CO2e/kg)"),'[1]Pivot Table_GHG'!$A$3,"SUB TYPE",$B225))</f>
        <v/>
      </c>
      <c r="S225" s="94">
        <f>IF($P225="PROXY",DSTDEV('[1]literature entries'!$D:$AI,IF($J225=1,"ACTIVE     GHGE, FARM GATE (kg CO2e/kg)","GHGE, processor gate (kg CO2e/kg)"),INDIRECT($K225)),GETPIVOTDATA(IF($J225=1,"StdDev of ACTIVE     GHGE, FARM GATE (kg CO2e/kg)","StdDev of GHGE, processor gate (kg CO2e/kg)"),'[1]Pivot Table_GHG'!$A$3,"SUB TYPE",$B225))</f>
        <v/>
      </c>
      <c r="T225" s="105" t="n"/>
      <c r="U225" s="106" t="n"/>
      <c r="V225" s="97" t="n"/>
      <c r="W225" s="98" t="inlineStr">
        <is>
          <t>greens</t>
        </is>
      </c>
      <c r="X225" s="98">
        <f>IF($W225="DIRECT",M225,DCOUNT('[1]literature entries'!$D:$AI,IF($J225=1,"ACTIVE     CED, FARM GATE (MJ/kg)","CED, processor gate (MJ/kg)"),INDIRECT($W225)))</f>
        <v/>
      </c>
      <c r="Y225" s="98">
        <f>IF($W225="DIRECT","",DAVERAGE('[1]literature entries'!$D:$AI,IF($J225=1,"ACTIVE     CED, FARM GATE (MJ/kg)","CED, processor gate (MJ/kg)"),INDIRECT($W225)))</f>
        <v/>
      </c>
      <c r="Z225" s="98">
        <f>IF($W225="DIRECT",$O225,DSTDEV('[1]literature entries'!$D:$AI,IF($J225=1,"ACTIVE     CED, FARM GATE (MJ/kg)","CED, processor gate (MJ/kg)"),INDIRECT($W225)))</f>
        <v/>
      </c>
      <c r="AA225" s="98">
        <f>IF($W225="DIRECT",$O225,$Z225/$Y225*$N225)</f>
        <v/>
      </c>
      <c r="AB225" s="99" t="inlineStr">
        <is>
          <t>greens</t>
        </is>
      </c>
      <c r="AC225" s="99">
        <f>IF($AB225="DIRECT",Q225,DCOUNT('[1]literature entries'!$D:$AI,IF($J225=1,"ACTIVE     GHGE, FARM GATE (kg CO2e/kg)","GHGE, processor gate (kg CO2e/kg)"),INDIRECT($AB225)))</f>
        <v/>
      </c>
      <c r="AD225" s="99">
        <f>IF($AB225="DIRECT","",DAVERAGE('[1]literature entries'!$D:$AI,IF($J225=1,"ACTIVE     GHGE, FARM GATE (kg CO2e/kg)","GHGE, processor gate (kg CO2e/kg)"),INDIRECT($AB225)))</f>
        <v/>
      </c>
      <c r="AE225" s="99">
        <f>IF($AB225="DIRECT",$S225,DSTDEV('[1]literature entries'!$D:$AI,IF($J225=1,"ACTIVE     GHGE, FARM GATE (kg CO2e/kg)","GHGE, processor gate (kg CO2e/kg)"),INDIRECT($AB225)))</f>
        <v/>
      </c>
      <c r="AF225" s="99">
        <f>IF($AB225="DIRECT",$S225,$AE225/$AD225*$R225)</f>
        <v/>
      </c>
    </row>
    <row r="226" ht="15.75" customHeight="1" s="201">
      <c r="A226" s="100" t="n">
        <v>1901249000</v>
      </c>
      <c r="B226" s="101" t="inlineStr">
        <is>
          <t>Parsley, dried leaves</t>
        </is>
      </c>
      <c r="C226" s="101" t="inlineStr">
        <is>
          <t>dried weight of leaves and stems</t>
        </is>
      </c>
      <c r="D226" s="101" t="n"/>
      <c r="E226" s="101" t="n">
        <v>1460</v>
      </c>
      <c r="F226" s="84">
        <f>N226*H226+T226</f>
        <v/>
      </c>
      <c r="G226" s="85">
        <f>R226*H226+U226</f>
        <v/>
      </c>
      <c r="H226" s="112" t="n">
        <v>7.657445077298613</v>
      </c>
      <c r="I226" s="103" t="inlineStr">
        <is>
          <t>NNDSR28</t>
        </is>
      </c>
      <c r="J226" s="104" t="n">
        <v>1</v>
      </c>
      <c r="K226" s="89" t="inlineStr">
        <is>
          <t>spinach</t>
        </is>
      </c>
      <c r="L226" s="90">
        <f>IF(ISERROR(GETPIVOTDATA(IF($J226=1,"Count of ACTIVE     CED, FARM GATE (MJ/kg)","Count of CED, processor gate (MJ/kg)"),'[1]Pivot Table_CED'!$A$3,"SUB TYPE",$B226)),"PROXY",IF(GETPIVOTDATA(IF($J226=1,"Count of ACTIVE     CED, FARM GATE (MJ/kg)","Count of CED, processor gate (MJ/kg)"),'[1]Pivot Table_CED'!$A$3,"SUB TYPE",$B226)=0,"PROXY","DB value"))</f>
        <v/>
      </c>
      <c r="M226" s="91">
        <f>IF($L226="PROXY",DCOUNT('[1]literature entries'!$D:$AI,IF($J226=1,"ACTIVE     CED, FARM GATE (MJ/kg)","CED, processor gate (MJ/kg)"),INDIRECT($K226)),GETPIVOTDATA(IF($J226=1,"Count of ACTIVE     CED, FARM GATE (MJ/kg)","Count of CED, processor gate (MJ/kg)"),'[1]Pivot Table_CED'!$A$3,"SUB TYPE",$B226))</f>
        <v/>
      </c>
      <c r="N226" s="92">
        <f>IF($L226="PROXY",DAVERAGE('[1]literature entries'!$D:$AI,IF($J226=1,"ACTIVE     CED, FARM GATE (MJ/kg)","CED, processor gate (MJ/kg)"),INDIRECT($K226)),GETPIVOTDATA(IF($J226=1,"Average of ACTIVE     CED, FARM GATE (MJ/kg)","Average of CED, processor gate (MJ/kg)"),'[1]Pivot Table_CED'!$A$3,"SUB TYPE",$B226))</f>
        <v/>
      </c>
      <c r="O226" s="92">
        <f>IF($L226="PROXY",DSTDEV('[1]literature entries'!D:AI,IF($J226=1,"ACTIVE     CED, FARM GATE (MJ/kg)","CED, processor gate (MJ/kg)"),INDIRECT($K226)),GETPIVOTDATA(IF($J226=1,"StdDev of ACTIVE     CED, FARM GATE (MJ/kg)","StdDev of CED, processor gate (MJ/kg)"),'[1]Pivot Table_CED'!$A$3,"SUB TYPE",$B226))</f>
        <v/>
      </c>
      <c r="P226" s="90">
        <f>IF(ISERROR(GETPIVOTDATA(IF($J226=1,"Count of ACTIVE     GHGE, FARM GATE (kg CO2e/kg)","Count of GHGE, processor gate (kg CO2e/kg)"),'[1]Pivot Table_GHG'!$A$3,"SUB TYPE",$B226)),"PROXY",IF(GETPIVOTDATA(IF($J226=1,"Count of ACTIVE     GHGE, FARM GATE (kg CO2e/kg)","Count of GHGE, processor gate (kg CO2e/kg)"),'[1]Pivot Table_GHG'!$A$3,"SUB TYPE",$B226)=0,"PROXY","DB value"))</f>
        <v/>
      </c>
      <c r="Q226" s="93">
        <f>IF($P226="PROXY",DCOUNT('[1]literature entries'!$D:$AI,IF($J226=1,"ACTIVE     GHGE, FARM GATE (kg CO2e/kg)","GHGE, processor gate (kg CO2e/kg)"),INDIRECT($K226)),GETPIVOTDATA(IF($J226=1,"ACTIVE     GHGE, FARM GATE (kg CO2e/kg)","Count of GHGE, processor gate (kg CO2e/kg)"),'[1]Pivot Table_GHG'!$A$3,"SUB TYPE",$B226))</f>
        <v/>
      </c>
      <c r="R226" s="94">
        <f>IF($P226="PROXY",DAVERAGE('[1]literature entries'!$D:$AI,IF($J226=1,"ACTIVE     GHGE, FARM GATE (kg CO2e/kg)","GHGE, processor gate (kg CO2e/kg)"),INDIRECT($K226)),GETPIVOTDATA(IF($J226=1,"Average of ACTIVE     GHGE, FARM GATE (kg CO2e/kg)","Average of GHGE, processor gate (kg CO2e/kg)"),'[1]Pivot Table_GHG'!$A$3,"SUB TYPE",$B226))</f>
        <v/>
      </c>
      <c r="S226" s="94">
        <f>IF($P226="PROXY",DSTDEV('[1]literature entries'!$D:$AI,IF($J226=1,"ACTIVE     GHGE, FARM GATE (kg CO2e/kg)","GHGE, processor gate (kg CO2e/kg)"),INDIRECT($K226)),GETPIVOTDATA(IF($J226=1,"StdDev of ACTIVE     GHGE, FARM GATE (kg CO2e/kg)","StdDev of GHGE, processor gate (kg CO2e/kg)"),'[1]Pivot Table_GHG'!$A$3,"SUB TYPE",$B226))</f>
        <v/>
      </c>
      <c r="T226" s="105" t="n"/>
      <c r="U226" s="106" t="n"/>
      <c r="V226" s="97" t="n"/>
      <c r="W226" s="98" t="inlineStr">
        <is>
          <t>greens</t>
        </is>
      </c>
      <c r="X226" s="98">
        <f>IF($W226="DIRECT",M226,DCOUNT('[1]literature entries'!$D:$AI,IF($J226=1,"ACTIVE     CED, FARM GATE (MJ/kg)","CED, processor gate (MJ/kg)"),INDIRECT($W226)))</f>
        <v/>
      </c>
      <c r="Y226" s="98">
        <f>IF($W226="DIRECT","",DAVERAGE('[1]literature entries'!$D:$AI,IF($J226=1,"ACTIVE     CED, FARM GATE (MJ/kg)","CED, processor gate (MJ/kg)"),INDIRECT($W226)))</f>
        <v/>
      </c>
      <c r="Z226" s="98">
        <f>IF($W226="DIRECT",$O226,DSTDEV('[1]literature entries'!$D:$AI,IF($J226=1,"ACTIVE     CED, FARM GATE (MJ/kg)","CED, processor gate (MJ/kg)"),INDIRECT($W226)))</f>
        <v/>
      </c>
      <c r="AA226" s="98">
        <f>IF($W226="DIRECT",$O226,$Z226/$Y226*$N226)</f>
        <v/>
      </c>
      <c r="AB226" s="99" t="inlineStr">
        <is>
          <t>greens</t>
        </is>
      </c>
      <c r="AC226" s="99">
        <f>IF($AB226="DIRECT",Q226,DCOUNT('[1]literature entries'!$D:$AI,IF($J226=1,"ACTIVE     GHGE, FARM GATE (kg CO2e/kg)","GHGE, processor gate (kg CO2e/kg)"),INDIRECT($AB226)))</f>
        <v/>
      </c>
      <c r="AD226" s="99">
        <f>IF($AB226="DIRECT","",DAVERAGE('[1]literature entries'!$D:$AI,IF($J226=1,"ACTIVE     GHGE, FARM GATE (kg CO2e/kg)","GHGE, processor gate (kg CO2e/kg)"),INDIRECT($AB226)))</f>
        <v/>
      </c>
      <c r="AE226" s="99">
        <f>IF($AB226="DIRECT",$S226,DSTDEV('[1]literature entries'!$D:$AI,IF($J226=1,"ACTIVE     GHGE, FARM GATE (kg CO2e/kg)","GHGE, processor gate (kg CO2e/kg)"),INDIRECT($AB226)))</f>
        <v/>
      </c>
      <c r="AF226" s="99">
        <f>IF($AB226="DIRECT",$S226,$AE226/$AD226*$R226)</f>
        <v/>
      </c>
    </row>
    <row r="227" ht="15.75" customHeight="1" s="201">
      <c r="A227" s="100" t="n">
        <v>1901334000</v>
      </c>
      <c r="B227" s="101" t="inlineStr">
        <is>
          <t>Savory</t>
        </is>
      </c>
      <c r="C227" s="101" t="inlineStr">
        <is>
          <t>weight of leaves and flower buds</t>
        </is>
      </c>
      <c r="D227" s="101" t="inlineStr">
        <is>
          <t>Includes summer and winter savory.</t>
        </is>
      </c>
      <c r="E227" s="101" t="n">
        <v>15910</v>
      </c>
      <c r="F227" s="84">
        <f>N227*H227+T227</f>
        <v/>
      </c>
      <c r="G227" s="85">
        <f>R227*H227+U227</f>
        <v/>
      </c>
      <c r="H227" s="102" t="n">
        <v>1</v>
      </c>
      <c r="I227" s="103" t="inlineStr">
        <is>
          <t>None</t>
        </is>
      </c>
      <c r="J227" s="104" t="n">
        <v>1</v>
      </c>
      <c r="K227" s="89" t="inlineStr">
        <is>
          <t>spinach</t>
        </is>
      </c>
      <c r="L227" s="90">
        <f>IF(ISERROR(GETPIVOTDATA(IF($J227=1,"Count of ACTIVE     CED, FARM GATE (MJ/kg)","Count of CED, processor gate (MJ/kg)"),'[1]Pivot Table_CED'!$A$3,"SUB TYPE",$B227)),"PROXY",IF(GETPIVOTDATA(IF($J227=1,"Count of ACTIVE     CED, FARM GATE (MJ/kg)","Count of CED, processor gate (MJ/kg)"),'[1]Pivot Table_CED'!$A$3,"SUB TYPE",$B227)=0,"PROXY","DB value"))</f>
        <v/>
      </c>
      <c r="M227" s="91">
        <f>IF($L227="PROXY",DCOUNT('[1]literature entries'!$D:$AI,IF($J227=1,"ACTIVE     CED, FARM GATE (MJ/kg)","CED, processor gate (MJ/kg)"),INDIRECT($K227)),GETPIVOTDATA(IF($J227=1,"Count of ACTIVE     CED, FARM GATE (MJ/kg)","Count of CED, processor gate (MJ/kg)"),'[1]Pivot Table_CED'!$A$3,"SUB TYPE",$B227))</f>
        <v/>
      </c>
      <c r="N227" s="92">
        <f>IF($L227="PROXY",DAVERAGE('[1]literature entries'!$D:$AI,IF($J227=1,"ACTIVE     CED, FARM GATE (MJ/kg)","CED, processor gate (MJ/kg)"),INDIRECT($K227)),GETPIVOTDATA(IF($J227=1,"Average of ACTIVE     CED, FARM GATE (MJ/kg)","Average of CED, processor gate (MJ/kg)"),'[1]Pivot Table_CED'!$A$3,"SUB TYPE",$B227))</f>
        <v/>
      </c>
      <c r="O227" s="92">
        <f>IF($L227="PROXY",DSTDEV('[1]literature entries'!D:AI,IF($J227=1,"ACTIVE     CED, FARM GATE (MJ/kg)","CED, processor gate (MJ/kg)"),INDIRECT($K227)),GETPIVOTDATA(IF($J227=1,"StdDev of ACTIVE     CED, FARM GATE (MJ/kg)","StdDev of CED, processor gate (MJ/kg)"),'[1]Pivot Table_CED'!$A$3,"SUB TYPE",$B227))</f>
        <v/>
      </c>
      <c r="P227" s="90">
        <f>IF(ISERROR(GETPIVOTDATA(IF($J227=1,"Count of ACTIVE     GHGE, FARM GATE (kg CO2e/kg)","Count of GHGE, processor gate (kg CO2e/kg)"),'[1]Pivot Table_GHG'!$A$3,"SUB TYPE",$B227)),"PROXY",IF(GETPIVOTDATA(IF($J227=1,"Count of ACTIVE     GHGE, FARM GATE (kg CO2e/kg)","Count of GHGE, processor gate (kg CO2e/kg)"),'[1]Pivot Table_GHG'!$A$3,"SUB TYPE",$B227)=0,"PROXY","DB value"))</f>
        <v/>
      </c>
      <c r="Q227" s="93">
        <f>IF($P227="PROXY",DCOUNT('[1]literature entries'!$D:$AI,IF($J227=1,"ACTIVE     GHGE, FARM GATE (kg CO2e/kg)","GHGE, processor gate (kg CO2e/kg)"),INDIRECT($K227)),GETPIVOTDATA(IF($J227=1,"ACTIVE     GHGE, FARM GATE (kg CO2e/kg)","Count of GHGE, processor gate (kg CO2e/kg)"),'[1]Pivot Table_GHG'!$A$3,"SUB TYPE",$B227))</f>
        <v/>
      </c>
      <c r="R227" s="94">
        <f>IF($P227="PROXY",DAVERAGE('[1]literature entries'!$D:$AI,IF($J227=1,"ACTIVE     GHGE, FARM GATE (kg CO2e/kg)","GHGE, processor gate (kg CO2e/kg)"),INDIRECT($K227)),GETPIVOTDATA(IF($J227=1,"Average of ACTIVE     GHGE, FARM GATE (kg CO2e/kg)","Average of GHGE, processor gate (kg CO2e/kg)"),'[1]Pivot Table_GHG'!$A$3,"SUB TYPE",$B227))</f>
        <v/>
      </c>
      <c r="S227" s="94">
        <f>IF($P227="PROXY",DSTDEV('[1]literature entries'!$D:$AI,IF($J227=1,"ACTIVE     GHGE, FARM GATE (kg CO2e/kg)","GHGE, processor gate (kg CO2e/kg)"),INDIRECT($K227)),GETPIVOTDATA(IF($J227=1,"StdDev of ACTIVE     GHGE, FARM GATE (kg CO2e/kg)","StdDev of GHGE, processor gate (kg CO2e/kg)"),'[1]Pivot Table_GHG'!$A$3,"SUB TYPE",$B227))</f>
        <v/>
      </c>
      <c r="T227" s="105" t="n"/>
      <c r="U227" s="106" t="n"/>
      <c r="V227" s="97" t="n"/>
      <c r="W227" s="98" t="inlineStr">
        <is>
          <t>greens</t>
        </is>
      </c>
      <c r="X227" s="98">
        <f>IF($W227="DIRECT",M227,DCOUNT('[1]literature entries'!$D:$AI,IF($J227=1,"ACTIVE     CED, FARM GATE (MJ/kg)","CED, processor gate (MJ/kg)"),INDIRECT($W227)))</f>
        <v/>
      </c>
      <c r="Y227" s="98">
        <f>IF($W227="DIRECT","",DAVERAGE('[1]literature entries'!$D:$AI,IF($J227=1,"ACTIVE     CED, FARM GATE (MJ/kg)","CED, processor gate (MJ/kg)"),INDIRECT($W227)))</f>
        <v/>
      </c>
      <c r="Z227" s="98">
        <f>IF($W227="DIRECT",$O227,DSTDEV('[1]literature entries'!$D:$AI,IF($J227=1,"ACTIVE     CED, FARM GATE (MJ/kg)","CED, processor gate (MJ/kg)"),INDIRECT($W227)))</f>
        <v/>
      </c>
      <c r="AA227" s="98">
        <f>IF($W227="DIRECT",$O227,$Z227/$Y227*$N227)</f>
        <v/>
      </c>
      <c r="AB227" s="99" t="inlineStr">
        <is>
          <t>greens</t>
        </is>
      </c>
      <c r="AC227" s="99">
        <f>IF($AB227="DIRECT",Q227,DCOUNT('[1]literature entries'!$D:$AI,IF($J227=1,"ACTIVE     GHGE, FARM GATE (kg CO2e/kg)","GHGE, processor gate (kg CO2e/kg)"),INDIRECT($AB227)))</f>
        <v/>
      </c>
      <c r="AD227" s="99">
        <f>IF($AB227="DIRECT","",DAVERAGE('[1]literature entries'!$D:$AI,IF($J227=1,"ACTIVE     GHGE, FARM GATE (kg CO2e/kg)","GHGE, processor gate (kg CO2e/kg)"),INDIRECT($AB227)))</f>
        <v/>
      </c>
      <c r="AE227" s="99">
        <f>IF($AB227="DIRECT",$S227,DSTDEV('[1]literature entries'!$D:$AI,IF($J227=1,"ACTIVE     GHGE, FARM GATE (kg CO2e/kg)","GHGE, processor gate (kg CO2e/kg)"),INDIRECT($AB227)))</f>
        <v/>
      </c>
      <c r="AF227" s="99">
        <f>IF($AB227="DIRECT",$S227,$AE227/$AD227*$R227)</f>
        <v/>
      </c>
    </row>
    <row r="228" ht="15.75" customHeight="1" s="201">
      <c r="A228" s="100" t="n">
        <v>1902105000</v>
      </c>
      <c r="B228" s="101" t="inlineStr">
        <is>
          <t>Cinnamon</t>
        </is>
      </c>
      <c r="C228" s="101" t="inlineStr">
        <is>
          <t>dry weight of spice: stick or ground powder</t>
        </is>
      </c>
      <c r="D228" s="101" t="n"/>
      <c r="E228" s="101" t="n">
        <v>12421</v>
      </c>
      <c r="F228" s="84">
        <f>N228*H228+T228</f>
        <v/>
      </c>
      <c r="G228" s="85">
        <f>R228*H228+U228</f>
        <v/>
      </c>
      <c r="H228" s="102" t="n">
        <v>1</v>
      </c>
      <c r="I228" s="103" t="inlineStr">
        <is>
          <t>None</t>
        </is>
      </c>
      <c r="J228" s="104" t="n">
        <v>1</v>
      </c>
      <c r="K228" s="89" t="inlineStr">
        <is>
          <t>spices</t>
        </is>
      </c>
      <c r="L228" s="90">
        <f>IF(ISERROR(GETPIVOTDATA(IF($J228=1,"Count of ACTIVE     CED, FARM GATE (MJ/kg)","Count of CED, processor gate (MJ/kg)"),'[1]Pivot Table_CED'!$A$3,"SUB TYPE",$B228)),"PROXY",IF(GETPIVOTDATA(IF($J228=1,"Count of ACTIVE     CED, FARM GATE (MJ/kg)","Count of CED, processor gate (MJ/kg)"),'[1]Pivot Table_CED'!$A$3,"SUB TYPE",$B228)=0,"PROXY","DB value"))</f>
        <v/>
      </c>
      <c r="M228" s="91">
        <f>IF($L228="PROXY",DCOUNT('[1]literature entries'!$D:$AI,IF($J228=1,"ACTIVE     CED, FARM GATE (MJ/kg)","CED, processor gate (MJ/kg)"),INDIRECT($K228)),GETPIVOTDATA(IF($J228=1,"Count of ACTIVE     CED, FARM GATE (MJ/kg)","Count of CED, processor gate (MJ/kg)"),'[1]Pivot Table_CED'!$A$3,"SUB TYPE",$B228))</f>
        <v/>
      </c>
      <c r="N228" s="92">
        <f>IF($L228="PROXY",DAVERAGE('[1]literature entries'!$D:$AI,IF($J228=1,"ACTIVE     CED, FARM GATE (MJ/kg)","CED, processor gate (MJ/kg)"),INDIRECT($K228)),GETPIVOTDATA(IF($J228=1,"Average of ACTIVE     CED, FARM GATE (MJ/kg)","Average of CED, processor gate (MJ/kg)"),'[1]Pivot Table_CED'!$A$3,"SUB TYPE",$B228))</f>
        <v/>
      </c>
      <c r="O228" s="92">
        <f>IF($L228="PROXY",DSTDEV('[1]literature entries'!D:AI,IF($J228=1,"ACTIVE     CED, FARM GATE (MJ/kg)","CED, processor gate (MJ/kg)"),INDIRECT($K228)),GETPIVOTDATA(IF($J228=1,"StdDev of ACTIVE     CED, FARM GATE (MJ/kg)","StdDev of CED, processor gate (MJ/kg)"),'[1]Pivot Table_CED'!$A$3,"SUB TYPE",$B228))</f>
        <v/>
      </c>
      <c r="P228" s="90">
        <f>IF(ISERROR(GETPIVOTDATA(IF($J228=1,"Count of ACTIVE     GHGE, FARM GATE (kg CO2e/kg)","Count of GHGE, processor gate (kg CO2e/kg)"),'[1]Pivot Table_GHG'!$A$3,"SUB TYPE",$B228)),"PROXY",IF(GETPIVOTDATA(IF($J228=1,"Count of ACTIVE     GHGE, FARM GATE (kg CO2e/kg)","Count of GHGE, processor gate (kg CO2e/kg)"),'[1]Pivot Table_GHG'!$A$3,"SUB TYPE",$B228)=0,"PROXY","DB value"))</f>
        <v/>
      </c>
      <c r="Q228" s="93">
        <f>IF($P228="PROXY",DCOUNT('[1]literature entries'!$D:$AI,IF($J228=1,"ACTIVE     GHGE, FARM GATE (kg CO2e/kg)","GHGE, processor gate (kg CO2e/kg)"),INDIRECT($K228)),GETPIVOTDATA(IF($J228=1,"ACTIVE     GHGE, FARM GATE (kg CO2e/kg)","Count of GHGE, processor gate (kg CO2e/kg)"),'[1]Pivot Table_GHG'!$A$3,"SUB TYPE",$B228))</f>
        <v/>
      </c>
      <c r="R228" s="94">
        <f>IF($P228="PROXY",DAVERAGE('[1]literature entries'!$D:$AI,IF($J228=1,"ACTIVE     GHGE, FARM GATE (kg CO2e/kg)","GHGE, processor gate (kg CO2e/kg)"),INDIRECT($K228)),GETPIVOTDATA(IF($J228=1,"Average of ACTIVE     GHGE, FARM GATE (kg CO2e/kg)","Average of GHGE, processor gate (kg CO2e/kg)"),'[1]Pivot Table_GHG'!$A$3,"SUB TYPE",$B228))</f>
        <v/>
      </c>
      <c r="S228" s="94">
        <f>IF($P228="PROXY",DSTDEV('[1]literature entries'!$D:$AI,IF($J228=1,"ACTIVE     GHGE, FARM GATE (kg CO2e/kg)","GHGE, processor gate (kg CO2e/kg)"),INDIRECT($K228)),GETPIVOTDATA(IF($J228=1,"StdDev of ACTIVE     GHGE, FARM GATE (kg CO2e/kg)","StdDev of GHGE, processor gate (kg CO2e/kg)"),'[1]Pivot Table_GHG'!$A$3,"SUB TYPE",$B228))</f>
        <v/>
      </c>
      <c r="T228" s="105" t="n"/>
      <c r="U228" s="106" t="n"/>
      <c r="V228" s="97" t="n"/>
      <c r="W228" s="109" t="inlineStr">
        <is>
          <t>no var</t>
        </is>
      </c>
      <c r="X228" s="98" t="n"/>
      <c r="Y228" s="98" t="n"/>
      <c r="Z228" s="98" t="n">
        <v>0</v>
      </c>
      <c r="AA228" s="98" t="n">
        <v>0</v>
      </c>
      <c r="AB228" s="109" t="inlineStr">
        <is>
          <t>no var</t>
        </is>
      </c>
      <c r="AC228" s="99" t="n"/>
      <c r="AD228" s="99" t="n"/>
      <c r="AE228" s="99" t="n">
        <v>0</v>
      </c>
      <c r="AF228" s="99" t="n">
        <v>0</v>
      </c>
    </row>
    <row r="229" ht="15.75" customHeight="1" s="201">
      <c r="A229" s="100" t="n">
        <v>1902119000</v>
      </c>
      <c r="B229" s="101" t="inlineStr">
        <is>
          <t>Coriander, seed</t>
        </is>
      </c>
      <c r="C229" s="101" t="inlineStr">
        <is>
          <t>weight of seed</t>
        </is>
      </c>
      <c r="D229" s="101" t="inlineStr">
        <is>
          <t>Includes Chinese parsley and cilantro seed.</t>
        </is>
      </c>
      <c r="E229" s="101" t="n">
        <v>19105</v>
      </c>
      <c r="F229" s="84">
        <f>N229*H229+T229</f>
        <v/>
      </c>
      <c r="G229" s="85">
        <f>R229*H229+U229</f>
        <v/>
      </c>
      <c r="H229" s="102" t="n">
        <v>1</v>
      </c>
      <c r="I229" s="103" t="inlineStr">
        <is>
          <t>None</t>
        </is>
      </c>
      <c r="J229" s="104" t="n">
        <v>1</v>
      </c>
      <c r="K229" s="89" t="inlineStr">
        <is>
          <t>spices</t>
        </is>
      </c>
      <c r="L229" s="90">
        <f>IF(ISERROR(GETPIVOTDATA(IF($J229=1,"Count of ACTIVE     CED, FARM GATE (MJ/kg)","Count of CED, processor gate (MJ/kg)"),'[1]Pivot Table_CED'!$A$3,"SUB TYPE",$B229)),"PROXY",IF(GETPIVOTDATA(IF($J229=1,"Count of ACTIVE     CED, FARM GATE (MJ/kg)","Count of CED, processor gate (MJ/kg)"),'[1]Pivot Table_CED'!$A$3,"SUB TYPE",$B229)=0,"PROXY","DB value"))</f>
        <v/>
      </c>
      <c r="M229" s="91">
        <f>IF($L229="PROXY",DCOUNT('[1]literature entries'!$D:$AI,IF($J229=1,"ACTIVE     CED, FARM GATE (MJ/kg)","CED, processor gate (MJ/kg)"),INDIRECT($K229)),GETPIVOTDATA(IF($J229=1,"Count of ACTIVE     CED, FARM GATE (MJ/kg)","Count of CED, processor gate (MJ/kg)"),'[1]Pivot Table_CED'!$A$3,"SUB TYPE",$B229))</f>
        <v/>
      </c>
      <c r="N229" s="92">
        <f>IF($L229="PROXY",DAVERAGE('[1]literature entries'!$D:$AI,IF($J229=1,"ACTIVE     CED, FARM GATE (MJ/kg)","CED, processor gate (MJ/kg)"),INDIRECT($K229)),GETPIVOTDATA(IF($J229=1,"Average of ACTIVE     CED, FARM GATE (MJ/kg)","Average of CED, processor gate (MJ/kg)"),'[1]Pivot Table_CED'!$A$3,"SUB TYPE",$B229))</f>
        <v/>
      </c>
      <c r="O229" s="92">
        <f>IF($L229="PROXY",DSTDEV('[1]literature entries'!D:AI,IF($J229=1,"ACTIVE     CED, FARM GATE (MJ/kg)","CED, processor gate (MJ/kg)"),INDIRECT($K229)),GETPIVOTDATA(IF($J229=1,"StdDev of ACTIVE     CED, FARM GATE (MJ/kg)","StdDev of CED, processor gate (MJ/kg)"),'[1]Pivot Table_CED'!$A$3,"SUB TYPE",$B229))</f>
        <v/>
      </c>
      <c r="P229" s="90">
        <f>IF(ISERROR(GETPIVOTDATA(IF($J229=1,"Count of ACTIVE     GHGE, FARM GATE (kg CO2e/kg)","Count of GHGE, processor gate (kg CO2e/kg)"),'[1]Pivot Table_GHG'!$A$3,"SUB TYPE",$B229)),"PROXY",IF(GETPIVOTDATA(IF($J229=1,"Count of ACTIVE     GHGE, FARM GATE (kg CO2e/kg)","Count of GHGE, processor gate (kg CO2e/kg)"),'[1]Pivot Table_GHG'!$A$3,"SUB TYPE",$B229)=0,"PROXY","DB value"))</f>
        <v/>
      </c>
      <c r="Q229" s="93">
        <f>IF($P229="PROXY",DCOUNT('[1]literature entries'!$D:$AI,IF($J229=1,"ACTIVE     GHGE, FARM GATE (kg CO2e/kg)","GHGE, processor gate (kg CO2e/kg)"),INDIRECT($K229)),GETPIVOTDATA(IF($J229=1,"ACTIVE     GHGE, FARM GATE (kg CO2e/kg)","Count of GHGE, processor gate (kg CO2e/kg)"),'[1]Pivot Table_GHG'!$A$3,"SUB TYPE",$B229))</f>
        <v/>
      </c>
      <c r="R229" s="94">
        <f>IF($P229="PROXY",DAVERAGE('[1]literature entries'!$D:$AI,IF($J229=1,"ACTIVE     GHGE, FARM GATE (kg CO2e/kg)","GHGE, processor gate (kg CO2e/kg)"),INDIRECT($K229)),GETPIVOTDATA(IF($J229=1,"Average of ACTIVE     GHGE, FARM GATE (kg CO2e/kg)","Average of GHGE, processor gate (kg CO2e/kg)"),'[1]Pivot Table_GHG'!$A$3,"SUB TYPE",$B229))</f>
        <v/>
      </c>
      <c r="S229" s="94">
        <f>IF($P229="PROXY",DSTDEV('[1]literature entries'!$D:$AI,IF($J229=1,"ACTIVE     GHGE, FARM GATE (kg CO2e/kg)","GHGE, processor gate (kg CO2e/kg)"),INDIRECT($K229)),GETPIVOTDATA(IF($J229=1,"StdDev of ACTIVE     GHGE, FARM GATE (kg CO2e/kg)","StdDev of GHGE, processor gate (kg CO2e/kg)"),'[1]Pivot Table_GHG'!$A$3,"SUB TYPE",$B229))</f>
        <v/>
      </c>
      <c r="T229" s="105" t="n"/>
      <c r="U229" s="106" t="n"/>
      <c r="V229" s="97" t="n"/>
      <c r="W229" s="109" t="inlineStr">
        <is>
          <t>no var</t>
        </is>
      </c>
      <c r="X229" s="98" t="n"/>
      <c r="Y229" s="98" t="n"/>
      <c r="Z229" s="98" t="n">
        <v>0</v>
      </c>
      <c r="AA229" s="98" t="n">
        <v>0</v>
      </c>
      <c r="AB229" s="109" t="inlineStr">
        <is>
          <t>no var</t>
        </is>
      </c>
      <c r="AC229" s="99" t="n"/>
      <c r="AD229" s="99" t="n"/>
      <c r="AE229" s="99" t="n">
        <v>0</v>
      </c>
      <c r="AF229" s="99" t="n">
        <v>0</v>
      </c>
    </row>
    <row r="230" ht="15.75" customHeight="1" s="201">
      <c r="A230" s="100" t="n">
        <v>1902143000</v>
      </c>
      <c r="B230" s="101" t="inlineStr">
        <is>
          <t>Dill, seed</t>
        </is>
      </c>
      <c r="C230" s="101" t="inlineStr">
        <is>
          <t>dry weight of seed</t>
        </is>
      </c>
      <c r="D230" s="101" t="n"/>
      <c r="E230" s="101" t="n">
        <v>4949</v>
      </c>
      <c r="F230" s="84">
        <f>N230*H230+T230</f>
        <v/>
      </c>
      <c r="G230" s="85">
        <f>R230*H230+U230</f>
        <v/>
      </c>
      <c r="H230" s="102" t="n">
        <v>1</v>
      </c>
      <c r="I230" s="103" t="inlineStr">
        <is>
          <t>None</t>
        </is>
      </c>
      <c r="J230" s="104" t="n">
        <v>1</v>
      </c>
      <c r="K230" s="89" t="inlineStr">
        <is>
          <t>spices</t>
        </is>
      </c>
      <c r="L230" s="90">
        <f>IF(ISERROR(GETPIVOTDATA(IF($J230=1,"Count of ACTIVE     CED, FARM GATE (MJ/kg)","Count of CED, processor gate (MJ/kg)"),'[1]Pivot Table_CED'!$A$3,"SUB TYPE",$B230)),"PROXY",IF(GETPIVOTDATA(IF($J230=1,"Count of ACTIVE     CED, FARM GATE (MJ/kg)","Count of CED, processor gate (MJ/kg)"),'[1]Pivot Table_CED'!$A$3,"SUB TYPE",$B230)=0,"PROXY","DB value"))</f>
        <v/>
      </c>
      <c r="M230" s="91">
        <f>IF($L230="PROXY",DCOUNT('[1]literature entries'!$D:$AI,IF($J230=1,"ACTIVE     CED, FARM GATE (MJ/kg)","CED, processor gate (MJ/kg)"),INDIRECT($K230)),GETPIVOTDATA(IF($J230=1,"Count of ACTIVE     CED, FARM GATE (MJ/kg)","Count of CED, processor gate (MJ/kg)"),'[1]Pivot Table_CED'!$A$3,"SUB TYPE",$B230))</f>
        <v/>
      </c>
      <c r="N230" s="92">
        <f>IF($L230="PROXY",DAVERAGE('[1]literature entries'!$D:$AI,IF($J230=1,"ACTIVE     CED, FARM GATE (MJ/kg)","CED, processor gate (MJ/kg)"),INDIRECT($K230)),GETPIVOTDATA(IF($J230=1,"Average of ACTIVE     CED, FARM GATE (MJ/kg)","Average of CED, processor gate (MJ/kg)"),'[1]Pivot Table_CED'!$A$3,"SUB TYPE",$B230))</f>
        <v/>
      </c>
      <c r="O230" s="92">
        <f>IF($L230="PROXY",DSTDEV('[1]literature entries'!D:AI,IF($J230=1,"ACTIVE     CED, FARM GATE (MJ/kg)","CED, processor gate (MJ/kg)"),INDIRECT($K230)),GETPIVOTDATA(IF($J230=1,"StdDev of ACTIVE     CED, FARM GATE (MJ/kg)","StdDev of CED, processor gate (MJ/kg)"),'[1]Pivot Table_CED'!$A$3,"SUB TYPE",$B230))</f>
        <v/>
      </c>
      <c r="P230" s="90">
        <f>IF(ISERROR(GETPIVOTDATA(IF($J230=1,"Count of ACTIVE     GHGE, FARM GATE (kg CO2e/kg)","Count of GHGE, processor gate (kg CO2e/kg)"),'[1]Pivot Table_GHG'!$A$3,"SUB TYPE",$B230)),"PROXY",IF(GETPIVOTDATA(IF($J230=1,"Count of ACTIVE     GHGE, FARM GATE (kg CO2e/kg)","Count of GHGE, processor gate (kg CO2e/kg)"),'[1]Pivot Table_GHG'!$A$3,"SUB TYPE",$B230)=0,"PROXY","DB value"))</f>
        <v/>
      </c>
      <c r="Q230" s="93">
        <f>IF($P230="PROXY",DCOUNT('[1]literature entries'!$D:$AI,IF($J230=1,"ACTIVE     GHGE, FARM GATE (kg CO2e/kg)","GHGE, processor gate (kg CO2e/kg)"),INDIRECT($K230)),GETPIVOTDATA(IF($J230=1,"ACTIVE     GHGE, FARM GATE (kg CO2e/kg)","Count of GHGE, processor gate (kg CO2e/kg)"),'[1]Pivot Table_GHG'!$A$3,"SUB TYPE",$B230))</f>
        <v/>
      </c>
      <c r="R230" s="94">
        <f>IF($P230="PROXY",DAVERAGE('[1]literature entries'!$D:$AI,IF($J230=1,"ACTIVE     GHGE, FARM GATE (kg CO2e/kg)","GHGE, processor gate (kg CO2e/kg)"),INDIRECT($K230)),GETPIVOTDATA(IF($J230=1,"Average of ACTIVE     GHGE, FARM GATE (kg CO2e/kg)","Average of GHGE, processor gate (kg CO2e/kg)"),'[1]Pivot Table_GHG'!$A$3,"SUB TYPE",$B230))</f>
        <v/>
      </c>
      <c r="S230" s="94">
        <f>IF($P230="PROXY",DSTDEV('[1]literature entries'!$D:$AI,IF($J230=1,"ACTIVE     GHGE, FARM GATE (kg CO2e/kg)","GHGE, processor gate (kg CO2e/kg)"),INDIRECT($K230)),GETPIVOTDATA(IF($J230=1,"StdDev of ACTIVE     GHGE, FARM GATE (kg CO2e/kg)","StdDev of GHGE, processor gate (kg CO2e/kg)"),'[1]Pivot Table_GHG'!$A$3,"SUB TYPE",$B230))</f>
        <v/>
      </c>
      <c r="T230" s="105" t="n"/>
      <c r="U230" s="106" t="n"/>
      <c r="V230" s="97" t="n"/>
      <c r="W230" s="109" t="inlineStr">
        <is>
          <t>no var</t>
        </is>
      </c>
      <c r="X230" s="98" t="n"/>
      <c r="Y230" s="98" t="n"/>
      <c r="Z230" s="98" t="n">
        <v>0</v>
      </c>
      <c r="AA230" s="98" t="n">
        <v>0</v>
      </c>
      <c r="AB230" s="109" t="inlineStr">
        <is>
          <t>no var</t>
        </is>
      </c>
      <c r="AC230" s="99" t="n"/>
      <c r="AD230" s="99" t="n"/>
      <c r="AE230" s="99" t="n">
        <v>0</v>
      </c>
      <c r="AF230" s="99" t="n">
        <v>0</v>
      </c>
    </row>
    <row r="231" ht="15.75" customHeight="1" s="201">
      <c r="A231" s="100" t="n">
        <v>1902274000</v>
      </c>
      <c r="B231" s="101" t="inlineStr">
        <is>
          <t>Pepper, black and white</t>
        </is>
      </c>
      <c r="C231" s="101" t="inlineStr">
        <is>
          <t>dry weight of pepper</t>
        </is>
      </c>
      <c r="D231" s="101" t="n"/>
      <c r="E231" s="101" t="n">
        <v>24206</v>
      </c>
      <c r="F231" s="84">
        <f>N231*H231+T231</f>
        <v/>
      </c>
      <c r="G231" s="85">
        <f>R231*H231+U231</f>
        <v/>
      </c>
      <c r="H231" s="102" t="n">
        <v>1</v>
      </c>
      <c r="I231" s="103" t="inlineStr">
        <is>
          <t>None</t>
        </is>
      </c>
      <c r="J231" s="104" t="n">
        <v>1</v>
      </c>
      <c r="K231" s="89" t="inlineStr">
        <is>
          <t>spices</t>
        </is>
      </c>
      <c r="L231" s="90">
        <f>IF(ISERROR(GETPIVOTDATA(IF($J231=1,"Count of ACTIVE     CED, FARM GATE (MJ/kg)","Count of CED, processor gate (MJ/kg)"),'[1]Pivot Table_CED'!$A$3,"SUB TYPE",$B231)),"PROXY",IF(GETPIVOTDATA(IF($J231=1,"Count of ACTIVE     CED, FARM GATE (MJ/kg)","Count of CED, processor gate (MJ/kg)"),'[1]Pivot Table_CED'!$A$3,"SUB TYPE",$B231)=0,"PROXY","DB value"))</f>
        <v/>
      </c>
      <c r="M231" s="91">
        <f>IF($L231="PROXY",DCOUNT('[1]literature entries'!$D:$AI,IF($J231=1,"ACTIVE     CED, FARM GATE (MJ/kg)","CED, processor gate (MJ/kg)"),INDIRECT($K231)),GETPIVOTDATA(IF($J231=1,"Count of ACTIVE     CED, FARM GATE (MJ/kg)","Count of CED, processor gate (MJ/kg)"),'[1]Pivot Table_CED'!$A$3,"SUB TYPE",$B231))</f>
        <v/>
      </c>
      <c r="N231" s="92">
        <f>IF($L231="PROXY",DAVERAGE('[1]literature entries'!$D:$AI,IF($J231=1,"ACTIVE     CED, FARM GATE (MJ/kg)","CED, processor gate (MJ/kg)"),INDIRECT($K231)),GETPIVOTDATA(IF($J231=1,"Average of ACTIVE     CED, FARM GATE (MJ/kg)","Average of CED, processor gate (MJ/kg)"),'[1]Pivot Table_CED'!$A$3,"SUB TYPE",$B231))</f>
        <v/>
      </c>
      <c r="O231" s="92">
        <f>IF($L231="PROXY",DSTDEV('[1]literature entries'!D:AI,IF($J231=1,"ACTIVE     CED, FARM GATE (MJ/kg)","CED, processor gate (MJ/kg)"),INDIRECT($K231)),GETPIVOTDATA(IF($J231=1,"StdDev of ACTIVE     CED, FARM GATE (MJ/kg)","StdDev of CED, processor gate (MJ/kg)"),'[1]Pivot Table_CED'!$A$3,"SUB TYPE",$B231))</f>
        <v/>
      </c>
      <c r="P231" s="90">
        <f>IF(ISERROR(GETPIVOTDATA(IF($J231=1,"Count of ACTIVE     GHGE, FARM GATE (kg CO2e/kg)","Count of GHGE, processor gate (kg CO2e/kg)"),'[1]Pivot Table_GHG'!$A$3,"SUB TYPE",$B231)),"PROXY",IF(GETPIVOTDATA(IF($J231=1,"Count of ACTIVE     GHGE, FARM GATE (kg CO2e/kg)","Count of GHGE, processor gate (kg CO2e/kg)"),'[1]Pivot Table_GHG'!$A$3,"SUB TYPE",$B231)=0,"PROXY","DB value"))</f>
        <v/>
      </c>
      <c r="Q231" s="93">
        <f>IF($P231="PROXY",DCOUNT('[1]literature entries'!$D:$AI,IF($J231=1,"ACTIVE     GHGE, FARM GATE (kg CO2e/kg)","GHGE, processor gate (kg CO2e/kg)"),INDIRECT($K231)),GETPIVOTDATA(IF($J231=1,"ACTIVE     GHGE, FARM GATE (kg CO2e/kg)","Count of GHGE, processor gate (kg CO2e/kg)"),'[1]Pivot Table_GHG'!$A$3,"SUB TYPE",$B231))</f>
        <v/>
      </c>
      <c r="R231" s="94">
        <f>IF($P231="PROXY",DAVERAGE('[1]literature entries'!$D:$AI,IF($J231=1,"ACTIVE     GHGE, FARM GATE (kg CO2e/kg)","GHGE, processor gate (kg CO2e/kg)"),INDIRECT($K231)),GETPIVOTDATA(IF($J231=1,"Average of ACTIVE     GHGE, FARM GATE (kg CO2e/kg)","Average of GHGE, processor gate (kg CO2e/kg)"),'[1]Pivot Table_GHG'!$A$3,"SUB TYPE",$B231))</f>
        <v/>
      </c>
      <c r="S231" s="94">
        <f>IF($P231="PROXY",DSTDEV('[1]literature entries'!$D:$AI,IF($J231=1,"ACTIVE     GHGE, FARM GATE (kg CO2e/kg)","GHGE, processor gate (kg CO2e/kg)"),INDIRECT($K231)),GETPIVOTDATA(IF($J231=1,"StdDev of ACTIVE     GHGE, FARM GATE (kg CO2e/kg)","StdDev of GHGE, processor gate (kg CO2e/kg)"),'[1]Pivot Table_GHG'!$A$3,"SUB TYPE",$B231))</f>
        <v/>
      </c>
      <c r="T231" s="105" t="n"/>
      <c r="U231" s="106" t="n"/>
      <c r="V231" s="97" t="n"/>
      <c r="W231" s="109" t="inlineStr">
        <is>
          <t>no var</t>
        </is>
      </c>
      <c r="X231" s="98" t="n"/>
      <c r="Y231" s="98" t="n"/>
      <c r="Z231" s="98" t="n">
        <v>0</v>
      </c>
      <c r="AA231" s="98" t="n">
        <v>0</v>
      </c>
      <c r="AB231" s="109" t="inlineStr">
        <is>
          <t>no var</t>
        </is>
      </c>
      <c r="AC231" s="99" t="n"/>
      <c r="AD231" s="99" t="n"/>
      <c r="AE231" s="99" t="n">
        <v>0</v>
      </c>
      <c r="AF231" s="99" t="n">
        <v>0</v>
      </c>
    </row>
    <row r="232" ht="15.75" customHeight="1" s="201">
      <c r="A232" s="100" t="n">
        <v>1902354000</v>
      </c>
      <c r="B232" s="101" t="inlineStr">
        <is>
          <t>Spices, other</t>
        </is>
      </c>
      <c r="C232" s="101" t="inlineStr">
        <is>
          <t>dry weight</t>
        </is>
      </c>
      <c r="D232" s="101" t="inlineStr">
        <is>
          <t>See Appendix C (“The Spice List”).  Note that this list does not include some spices that are unique FCs and are listed separately in this Commodity Vocabulary.  These latter spices include: cinnamon, dill (seed), coriander (cilantro)-seed, and  black and</t>
        </is>
      </c>
      <c r="E232" s="101" t="n">
        <v>37630</v>
      </c>
      <c r="F232" s="84">
        <f>N232*H232+T232</f>
        <v/>
      </c>
      <c r="G232" s="85">
        <f>R232*H232+U232</f>
        <v/>
      </c>
      <c r="H232" s="102" t="n">
        <v>1</v>
      </c>
      <c r="I232" s="103" t="inlineStr">
        <is>
          <t>None</t>
        </is>
      </c>
      <c r="J232" s="104" t="n">
        <v>1</v>
      </c>
      <c r="K232" s="89" t="inlineStr">
        <is>
          <t>spices</t>
        </is>
      </c>
      <c r="L232" s="90">
        <f>IF(ISERROR(GETPIVOTDATA(IF($J232=1,"Count of ACTIVE     CED, FARM GATE (MJ/kg)","Count of CED, processor gate (MJ/kg)"),'[1]Pivot Table_CED'!$A$3,"SUB TYPE",$B232)),"PROXY",IF(GETPIVOTDATA(IF($J232=1,"Count of ACTIVE     CED, FARM GATE (MJ/kg)","Count of CED, processor gate (MJ/kg)"),'[1]Pivot Table_CED'!$A$3,"SUB TYPE",$B232)=0,"PROXY","DB value"))</f>
        <v/>
      </c>
      <c r="M232" s="91">
        <f>IF($L232="PROXY",DCOUNT('[1]literature entries'!$D:$AI,IF($J232=1,"ACTIVE     CED, FARM GATE (MJ/kg)","CED, processor gate (MJ/kg)"),INDIRECT($K232)),GETPIVOTDATA(IF($J232=1,"Count of ACTIVE     CED, FARM GATE (MJ/kg)","Count of CED, processor gate (MJ/kg)"),'[1]Pivot Table_CED'!$A$3,"SUB TYPE",$B232))</f>
        <v/>
      </c>
      <c r="N232" s="92">
        <f>IF($L232="PROXY",DAVERAGE('[1]literature entries'!$D:$AI,IF($J232=1,"ACTIVE     CED, FARM GATE (MJ/kg)","CED, processor gate (MJ/kg)"),INDIRECT($K232)),GETPIVOTDATA(IF($J232=1,"Average of ACTIVE     CED, FARM GATE (MJ/kg)","Average of CED, processor gate (MJ/kg)"),'[1]Pivot Table_CED'!$A$3,"SUB TYPE",$B232))</f>
        <v/>
      </c>
      <c r="O232" s="92">
        <f>IF($L232="PROXY",DSTDEV('[1]literature entries'!D:AI,IF($J232=1,"ACTIVE     CED, FARM GATE (MJ/kg)","CED, processor gate (MJ/kg)"),INDIRECT($K232)),GETPIVOTDATA(IF($J232=1,"StdDev of ACTIVE     CED, FARM GATE (MJ/kg)","StdDev of CED, processor gate (MJ/kg)"),'[1]Pivot Table_CED'!$A$3,"SUB TYPE",$B232))</f>
        <v/>
      </c>
      <c r="P232" s="90">
        <f>IF(ISERROR(GETPIVOTDATA(IF($J232=1,"Count of ACTIVE     GHGE, FARM GATE (kg CO2e/kg)","Count of GHGE, processor gate (kg CO2e/kg)"),'[1]Pivot Table_GHG'!$A$3,"SUB TYPE",$B232)),"PROXY",IF(GETPIVOTDATA(IF($J232=1,"Count of ACTIVE     GHGE, FARM GATE (kg CO2e/kg)","Count of GHGE, processor gate (kg CO2e/kg)"),'[1]Pivot Table_GHG'!$A$3,"SUB TYPE",$B232)=0,"PROXY","DB value"))</f>
        <v/>
      </c>
      <c r="Q232" s="93">
        <f>IF($P232="PROXY",DCOUNT('[1]literature entries'!$D:$AI,IF($J232=1,"ACTIVE     GHGE, FARM GATE (kg CO2e/kg)","GHGE, processor gate (kg CO2e/kg)"),INDIRECT($K232)),GETPIVOTDATA(IF($J232=1,"ACTIVE     GHGE, FARM GATE (kg CO2e/kg)","Count of GHGE, processor gate (kg CO2e/kg)"),'[1]Pivot Table_GHG'!$A$3,"SUB TYPE",$B232))</f>
        <v/>
      </c>
      <c r="R232" s="94">
        <f>IF($P232="PROXY",DAVERAGE('[1]literature entries'!$D:$AI,IF($J232=1,"ACTIVE     GHGE, FARM GATE (kg CO2e/kg)","GHGE, processor gate (kg CO2e/kg)"),INDIRECT($K232)),GETPIVOTDATA(IF($J232=1,"Average of ACTIVE     GHGE, FARM GATE (kg CO2e/kg)","Average of GHGE, processor gate (kg CO2e/kg)"),'[1]Pivot Table_GHG'!$A$3,"SUB TYPE",$B232))</f>
        <v/>
      </c>
      <c r="S232" s="94">
        <f>IF($P232="PROXY",DSTDEV('[1]literature entries'!$D:$AI,IF($J232=1,"ACTIVE     GHGE, FARM GATE (kg CO2e/kg)","GHGE, processor gate (kg CO2e/kg)"),INDIRECT($K232)),GETPIVOTDATA(IF($J232=1,"StdDev of ACTIVE     GHGE, FARM GATE (kg CO2e/kg)","StdDev of GHGE, processor gate (kg CO2e/kg)"),'[1]Pivot Table_GHG'!$A$3,"SUB TYPE",$B232))</f>
        <v/>
      </c>
      <c r="T232" s="105" t="n"/>
      <c r="U232" s="106" t="n"/>
      <c r="V232" s="97" t="n"/>
      <c r="W232" s="109" t="inlineStr">
        <is>
          <t>no var</t>
        </is>
      </c>
      <c r="X232" s="98" t="n"/>
      <c r="Y232" s="98" t="n"/>
      <c r="Z232" s="98" t="n">
        <v>0</v>
      </c>
      <c r="AA232" s="98" t="n">
        <v>0</v>
      </c>
      <c r="AB232" s="109" t="inlineStr">
        <is>
          <t>no var</t>
        </is>
      </c>
      <c r="AC232" s="99" t="n"/>
      <c r="AD232" s="99" t="n"/>
      <c r="AE232" s="99" t="n">
        <v>0</v>
      </c>
      <c r="AF232" s="99" t="n">
        <v>0</v>
      </c>
    </row>
    <row r="233" ht="15.75" customHeight="1" s="201">
      <c r="A233" s="100" t="n">
        <v>2001162900</v>
      </c>
      <c r="B233" s="101" t="inlineStr">
        <is>
          <t>Flax, seed</t>
        </is>
      </c>
      <c r="C233" s="101" t="inlineStr">
        <is>
          <t>N/A - Does not exist in "commodity vocabulary" weight basis file in current or previous release</t>
        </is>
      </c>
      <c r="D233" s="101" t="inlineStr">
        <is>
          <t>#N/A</t>
        </is>
      </c>
      <c r="E233" s="101" t="n">
        <v>68</v>
      </c>
      <c r="F233" s="84">
        <f>N233*H233+T233</f>
        <v/>
      </c>
      <c r="G233" s="85">
        <f>R233*H233+U233</f>
        <v/>
      </c>
      <c r="H233" s="102" t="n">
        <v>1</v>
      </c>
      <c r="I233" s="103" t="inlineStr">
        <is>
          <t>None</t>
        </is>
      </c>
      <c r="J233" s="104" t="n">
        <v>1</v>
      </c>
      <c r="K233" s="89" t="inlineStr">
        <is>
          <t>grains</t>
        </is>
      </c>
      <c r="L233" s="90">
        <f>IF(ISERROR(GETPIVOTDATA(IF($J233=1,"Count of ACTIVE     CED, FARM GATE (MJ/kg)","Count of CED, processor gate (MJ/kg)"),'[1]Pivot Table_CED'!$A$3,"SUB TYPE",$B233)),"PROXY",IF(GETPIVOTDATA(IF($J233=1,"Count of ACTIVE     CED, FARM GATE (MJ/kg)","Count of CED, processor gate (MJ/kg)"),'[1]Pivot Table_CED'!$A$3,"SUB TYPE",$B233)=0,"PROXY","DB value"))</f>
        <v/>
      </c>
      <c r="M233" s="91">
        <f>IF($L233="PROXY",DCOUNT('[1]literature entries'!$D:$AI,IF($J233=1,"ACTIVE     CED, FARM GATE (MJ/kg)","CED, processor gate (MJ/kg)"),INDIRECT($K233)),GETPIVOTDATA(IF($J233=1,"Count of ACTIVE     CED, FARM GATE (MJ/kg)","Count of CED, processor gate (MJ/kg)"),'[1]Pivot Table_CED'!$A$3,"SUB TYPE",$B233))</f>
        <v/>
      </c>
      <c r="N233" s="92">
        <f>IF($L233="PROXY",DAVERAGE('[1]literature entries'!$D:$AI,IF($J233=1,"ACTIVE     CED, FARM GATE (MJ/kg)","CED, processor gate (MJ/kg)"),INDIRECT($K233)),GETPIVOTDATA(IF($J233=1,"Average of ACTIVE     CED, FARM GATE (MJ/kg)","Average of CED, processor gate (MJ/kg)"),'[1]Pivot Table_CED'!$A$3,"SUB TYPE",$B233))</f>
        <v/>
      </c>
      <c r="O233" s="92">
        <f>IF($L233="PROXY",DSTDEV('[1]literature entries'!D:AI,IF($J233=1,"ACTIVE     CED, FARM GATE (MJ/kg)","CED, processor gate (MJ/kg)"),INDIRECT($K233)),GETPIVOTDATA(IF($J233=1,"StdDev of ACTIVE     CED, FARM GATE (MJ/kg)","StdDev of CED, processor gate (MJ/kg)"),'[1]Pivot Table_CED'!$A$3,"SUB TYPE",$B233))</f>
        <v/>
      </c>
      <c r="P233" s="90">
        <f>IF(ISERROR(GETPIVOTDATA(IF($J233=1,"Count of ACTIVE     GHGE, FARM GATE (kg CO2e/kg)","Count of GHGE, processor gate (kg CO2e/kg)"),'[1]Pivot Table_GHG'!$A$3,"SUB TYPE",$B233)),"PROXY",IF(GETPIVOTDATA(IF($J233=1,"Count of ACTIVE     GHGE, FARM GATE (kg CO2e/kg)","Count of GHGE, processor gate (kg CO2e/kg)"),'[1]Pivot Table_GHG'!$A$3,"SUB TYPE",$B233)=0,"PROXY","DB value"))</f>
        <v/>
      </c>
      <c r="Q233" s="93">
        <f>IF($P233="PROXY",DCOUNT('[1]literature entries'!$D:$AI,IF($J233=1,"ACTIVE     GHGE, FARM GATE (kg CO2e/kg)","GHGE, processor gate (kg CO2e/kg)"),INDIRECT($K233)),GETPIVOTDATA(IF($J233=1,"ACTIVE     GHGE, FARM GATE (kg CO2e/kg)","Count of GHGE, processor gate (kg CO2e/kg)"),'[1]Pivot Table_GHG'!$A$3,"SUB TYPE",$B233))</f>
        <v/>
      </c>
      <c r="R233" s="94">
        <f>IF($P233="PROXY",DAVERAGE('[1]literature entries'!$D:$AI,IF($J233=1,"ACTIVE     GHGE, FARM GATE (kg CO2e/kg)","GHGE, processor gate (kg CO2e/kg)"),INDIRECT($K233)),GETPIVOTDATA(IF($J233=1,"Average of ACTIVE     GHGE, FARM GATE (kg CO2e/kg)","Average of GHGE, processor gate (kg CO2e/kg)"),'[1]Pivot Table_GHG'!$A$3,"SUB TYPE",$B233))</f>
        <v/>
      </c>
      <c r="S233" s="94">
        <f>IF($P233="PROXY",DSTDEV('[1]literature entries'!$D:$AI,IF($J233=1,"ACTIVE     GHGE, FARM GATE (kg CO2e/kg)","GHGE, processor gate (kg CO2e/kg)"),INDIRECT($K233)),GETPIVOTDATA(IF($J233=1,"StdDev of ACTIVE     GHGE, FARM GATE (kg CO2e/kg)","StdDev of GHGE, processor gate (kg CO2e/kg)"),'[1]Pivot Table_GHG'!$A$3,"SUB TYPE",$B233))</f>
        <v/>
      </c>
      <c r="T233" s="105" t="n"/>
      <c r="U233" s="106" t="n"/>
      <c r="V233" s="97" t="n"/>
      <c r="W233" s="98">
        <f>IF(L233="PROXY",IF(M233&gt;=5,K233,"need group"),IF(M233&gt;=5,"DIRECT","need group"))</f>
        <v/>
      </c>
      <c r="X233" s="98">
        <f>IF($W233="DIRECT",M233,DCOUNT('[1]literature entries'!$D:$AI,IF($J233=1,"ACTIVE     CED, FARM GATE (MJ/kg)","CED, processor gate (MJ/kg)"),INDIRECT($W233)))</f>
        <v/>
      </c>
      <c r="Y233" s="98">
        <f>IF($W233="DIRECT","",DAVERAGE('[1]literature entries'!$D:$AI,IF($J233=1,"ACTIVE     CED, FARM GATE (MJ/kg)","CED, processor gate (MJ/kg)"),INDIRECT($W233)))</f>
        <v/>
      </c>
      <c r="Z233" s="98">
        <f>IF($W233="DIRECT",$O233,DSTDEV('[1]literature entries'!$D:$AI,IF($J233=1,"ACTIVE     CED, FARM GATE (MJ/kg)","CED, processor gate (MJ/kg)"),INDIRECT($W233)))</f>
        <v/>
      </c>
      <c r="AA233" s="98">
        <f>IF($W233="DIRECT",$O233,$Z233/$Y233*$N233)</f>
        <v/>
      </c>
      <c r="AB233" s="99">
        <f>IF(P233="PROXY",IF(Q233&gt;=5,K233,"need group"),IF(Q233&gt;=5,"DIRECT","need group"))</f>
        <v/>
      </c>
      <c r="AC233" s="99">
        <f>IF($AB233="DIRECT",Q233,DCOUNT('[1]literature entries'!$D:$AI,IF($J233=1,"ACTIVE     GHGE, FARM GATE (kg CO2e/kg)","GHGE, processor gate (kg CO2e/kg)"),INDIRECT($AB233)))</f>
        <v/>
      </c>
      <c r="AD233" s="99">
        <f>IF($AB233="DIRECT","",DAVERAGE('[1]literature entries'!$D:$AI,IF($J233=1,"ACTIVE     GHGE, FARM GATE (kg CO2e/kg)","GHGE, processor gate (kg CO2e/kg)"),INDIRECT($AB233)))</f>
        <v/>
      </c>
      <c r="AE233" s="99">
        <f>IF($AB233="DIRECT",$S233,DSTDEV('[1]literature entries'!$D:$AI,IF($J233=1,"ACTIVE     GHGE, FARM GATE (kg CO2e/kg)","GHGE, processor gate (kg CO2e/kg)"),INDIRECT($AB233)))</f>
        <v/>
      </c>
      <c r="AF233" s="99">
        <f>IF($AB233="DIRECT",$S233,$AE233/$AD233*$R233)</f>
        <v/>
      </c>
    </row>
    <row r="234" ht="15.75" customHeight="1" s="201">
      <c r="A234" s="100" t="n">
        <v>2001163000</v>
      </c>
      <c r="B234" s="101" t="inlineStr">
        <is>
          <t>Flax seed, oil</t>
        </is>
      </c>
      <c r="C234" s="101" t="inlineStr">
        <is>
          <t>weight of oil; nutrient fat from flax seeds</t>
        </is>
      </c>
      <c r="D234" s="101" t="inlineStr">
        <is>
          <t>Also called Solin.</t>
        </is>
      </c>
      <c r="E234" s="101" t="n">
        <v>176</v>
      </c>
      <c r="F234" s="84">
        <f>N234*H234+T234</f>
        <v/>
      </c>
      <c r="G234" s="85">
        <f>R234*H234+U234</f>
        <v/>
      </c>
      <c r="H234" s="112" t="n">
        <v>1</v>
      </c>
      <c r="I234" s="103" t="inlineStr">
        <is>
          <t>none</t>
        </is>
      </c>
      <c r="J234" s="104" t="n">
        <v>2</v>
      </c>
      <c r="K234" s="89" t="inlineStr">
        <is>
          <t>oilseed_oil</t>
        </is>
      </c>
      <c r="L234" s="90">
        <f>IF(ISERROR(GETPIVOTDATA(IF($J234=1,"Count of ACTIVE     CED, FARM GATE (MJ/kg)","Count of CED, processor gate (MJ/kg)"),'[1]Pivot Table_CED'!$A$3,"SUB TYPE",$B234)),"PROXY",IF(GETPIVOTDATA(IF($J234=1,"Count of ACTIVE     CED, FARM GATE (MJ/kg)","Count of CED, processor gate (MJ/kg)"),'[1]Pivot Table_CED'!$A$3,"SUB TYPE",$B234)=0,"PROXY","DB value"))</f>
        <v/>
      </c>
      <c r="M234" s="91">
        <f>IF($L234="PROXY",DCOUNT('[1]literature entries'!$D:$AI,IF($J234=1,"ACTIVE     CED, FARM GATE (MJ/kg)","CED, processor gate (MJ/kg)"),INDIRECT($K234)),GETPIVOTDATA(IF($J234=1,"Count of ACTIVE     CED, FARM GATE (MJ/kg)","Count of CED, processor gate (MJ/kg)"),'[1]Pivot Table_CED'!$A$3,"SUB TYPE",$B234))</f>
        <v/>
      </c>
      <c r="N234" s="92">
        <f>IF($L234="PROXY",DAVERAGE('[1]literature entries'!$D:$AI,IF($J234=1,"ACTIVE     CED, FARM GATE (MJ/kg)","CED, processor gate (MJ/kg)"),INDIRECT($K234)),GETPIVOTDATA(IF($J234=1,"Average of ACTIVE     CED, FARM GATE (MJ/kg)","Average of CED, processor gate (MJ/kg)"),'[1]Pivot Table_CED'!$A$3,"SUB TYPE",$B234))</f>
        <v/>
      </c>
      <c r="O234" s="92">
        <f>IF($L234="PROXY",DSTDEV('[1]literature entries'!D:AI,IF($J234=1,"ACTIVE     CED, FARM GATE (MJ/kg)","CED, processor gate (MJ/kg)"),INDIRECT($K234)),GETPIVOTDATA(IF($J234=1,"StdDev of ACTIVE     CED, FARM GATE (MJ/kg)","StdDev of CED, processor gate (MJ/kg)"),'[1]Pivot Table_CED'!$A$3,"SUB TYPE",$B234))</f>
        <v/>
      </c>
      <c r="P234" s="90">
        <f>IF(ISERROR(GETPIVOTDATA(IF($J234=1,"Count of ACTIVE     GHGE, FARM GATE (kg CO2e/kg)","Count of GHGE, processor gate (kg CO2e/kg)"),'[1]Pivot Table_GHG'!$A$3,"SUB TYPE",$B234)),"PROXY",IF(GETPIVOTDATA(IF($J234=1,"Count of ACTIVE     GHGE, FARM GATE (kg CO2e/kg)","Count of GHGE, processor gate (kg CO2e/kg)"),'[1]Pivot Table_GHG'!$A$3,"SUB TYPE",$B234)=0,"PROXY","DB value"))</f>
        <v/>
      </c>
      <c r="Q234" s="93">
        <f>IF($P234="PROXY",DCOUNT('[1]literature entries'!$D:$AI,IF($J234=1,"ACTIVE     GHGE, FARM GATE (kg CO2e/kg)","GHGE, processor gate (kg CO2e/kg)"),INDIRECT($K234)),GETPIVOTDATA(IF($J234=1,"ACTIVE     GHGE, FARM GATE (kg CO2e/kg)","Count of GHGE, processor gate (kg CO2e/kg)"),'[1]Pivot Table_GHG'!$A$3,"SUB TYPE",$B234))</f>
        <v/>
      </c>
      <c r="R234" s="94">
        <f>IF($P234="PROXY",DAVERAGE('[1]literature entries'!$D:$AI,IF($J234=1,"ACTIVE     GHGE, FARM GATE (kg CO2e/kg)","GHGE, processor gate (kg CO2e/kg)"),INDIRECT($K234)),GETPIVOTDATA(IF($J234=1,"Average of ACTIVE     GHGE, FARM GATE (kg CO2e/kg)","Average of GHGE, processor gate (kg CO2e/kg)"),'[1]Pivot Table_GHG'!$A$3,"SUB TYPE",$B234))</f>
        <v/>
      </c>
      <c r="S234" s="94">
        <f>IF($P234="PROXY",DSTDEV('[1]literature entries'!$D:$AI,IF($J234=1,"ACTIVE     GHGE, FARM GATE (kg CO2e/kg)","GHGE, processor gate (kg CO2e/kg)"),INDIRECT($K234)),GETPIVOTDATA(IF($J234=1,"StdDev of ACTIVE     GHGE, FARM GATE (kg CO2e/kg)","StdDev of GHGE, processor gate (kg CO2e/kg)"),'[1]Pivot Table_GHG'!$A$3,"SUB TYPE",$B234))</f>
        <v/>
      </c>
      <c r="T234" s="105" t="n"/>
      <c r="U234" s="106" t="n"/>
      <c r="V234" s="97" t="n"/>
      <c r="W234" s="98" t="inlineStr">
        <is>
          <t>oils</t>
        </is>
      </c>
      <c r="X234" s="98">
        <f>IF($W234="DIRECT",M234,DCOUNT('[1]literature entries'!$D:$AI,IF($J234=1,"ACTIVE     CED, FARM GATE (MJ/kg)","CED, processor gate (MJ/kg)"),INDIRECT($W234)))</f>
        <v/>
      </c>
      <c r="Y234" s="98">
        <f>IF($W234="DIRECT","",DAVERAGE('[1]literature entries'!$D:$AI,IF($J234=1,"ACTIVE     CED, FARM GATE (MJ/kg)","CED, processor gate (MJ/kg)"),INDIRECT($W234)))</f>
        <v/>
      </c>
      <c r="Z234" s="98">
        <f>IF($W234="DIRECT",$O234,DSTDEV('[1]literature entries'!$D:$AI,IF($J234=1,"ACTIVE     CED, FARM GATE (MJ/kg)","CED, processor gate (MJ/kg)"),INDIRECT($W234)))</f>
        <v/>
      </c>
      <c r="AA234" s="98">
        <f>IF($W234="DIRECT",$O234,$Z234/$Y234*$N234)</f>
        <v/>
      </c>
      <c r="AB234" s="99" t="inlineStr">
        <is>
          <t>oils</t>
        </is>
      </c>
      <c r="AC234" s="99">
        <f>IF($AB234="DIRECT",Q234,DCOUNT('[1]literature entries'!$D:$AI,IF($J234=1,"ACTIVE     GHGE, FARM GATE (kg CO2e/kg)","GHGE, processor gate (kg CO2e/kg)"),INDIRECT($AB234)))</f>
        <v/>
      </c>
      <c r="AD234" s="99">
        <f>IF($AB234="DIRECT","",DAVERAGE('[1]literature entries'!$D:$AI,IF($J234=1,"ACTIVE     GHGE, FARM GATE (kg CO2e/kg)","GHGE, processor gate (kg CO2e/kg)"),INDIRECT($AB234)))</f>
        <v/>
      </c>
      <c r="AE234" s="99">
        <f>IF($AB234="DIRECT",$S234,DSTDEV('[1]literature entries'!$D:$AI,IF($J234=1,"ACTIVE     GHGE, FARM GATE (kg CO2e/kg)","GHGE, processor gate (kg CO2e/kg)"),INDIRECT($AB234)))</f>
        <v/>
      </c>
      <c r="AF234" s="99">
        <f>IF($AB234="DIRECT",$S234,$AE234/$AD234*$R234)</f>
        <v/>
      </c>
    </row>
    <row r="235" ht="15.75" customHeight="1" s="201">
      <c r="A235" s="100" t="n">
        <v>2001319000</v>
      </c>
      <c r="B235" s="101" t="inlineStr">
        <is>
          <t>Rapeseed, oil</t>
        </is>
      </c>
      <c r="C235" s="101" t="inlineStr">
        <is>
          <t>weight of oil</t>
        </is>
      </c>
      <c r="D235" s="101" t="inlineStr">
        <is>
          <t>Includes canola oil.</t>
        </is>
      </c>
      <c r="E235" s="101" t="n">
        <v>47225</v>
      </c>
      <c r="F235" s="84">
        <f>N235*H235+T235</f>
        <v/>
      </c>
      <c r="G235" s="85">
        <f>R235*H235+U235</f>
        <v/>
      </c>
      <c r="H235" s="102" t="n">
        <v>1</v>
      </c>
      <c r="I235" s="103" t="inlineStr">
        <is>
          <t>FICRCD</t>
        </is>
      </c>
      <c r="J235" s="104" t="n">
        <v>2</v>
      </c>
      <c r="K235" s="89" t="n"/>
      <c r="L235" s="90">
        <f>IF(ISERROR(GETPIVOTDATA(IF($J235=1,"Count of ACTIVE     CED, FARM GATE (MJ/kg)","Count of CED, processor gate (MJ/kg)"),'[1]Pivot Table_CED'!$A$3,"SUB TYPE",$B235)),"PROXY",IF(GETPIVOTDATA(IF($J235=1,"Count of ACTIVE     CED, FARM GATE (MJ/kg)","Count of CED, processor gate (MJ/kg)"),'[1]Pivot Table_CED'!$A$3,"SUB TYPE",$B235)=0,"PROXY","DB value"))</f>
        <v/>
      </c>
      <c r="M235" s="91">
        <f>IF($L235="PROXY",DCOUNT('[1]literature entries'!$D:$AI,IF($J235=1,"ACTIVE     CED, FARM GATE (MJ/kg)","CED, processor gate (MJ/kg)"),INDIRECT($K235)),GETPIVOTDATA(IF($J235=1,"Count of ACTIVE     CED, FARM GATE (MJ/kg)","Count of CED, processor gate (MJ/kg)"),'[1]Pivot Table_CED'!$A$3,"SUB TYPE",$B235))</f>
        <v/>
      </c>
      <c r="N235" s="92">
        <f>IF($L235="PROXY",DAVERAGE('[1]literature entries'!$D:$AI,IF($J235=1,"ACTIVE     CED, FARM GATE (MJ/kg)","CED, processor gate (MJ/kg)"),INDIRECT($K235)),GETPIVOTDATA(IF($J235=1,"Average of ACTIVE     CED, FARM GATE (MJ/kg)","Average of CED, processor gate (MJ/kg)"),'[1]Pivot Table_CED'!$A$3,"SUB TYPE",$B235))</f>
        <v/>
      </c>
      <c r="O235" s="92">
        <f>IF($L235="PROXY",DSTDEV('[1]literature entries'!D:AI,IF($J235=1,"ACTIVE     CED, FARM GATE (MJ/kg)","CED, processor gate (MJ/kg)"),INDIRECT($K235)),GETPIVOTDATA(IF($J235=1,"StdDev of ACTIVE     CED, FARM GATE (MJ/kg)","StdDev of CED, processor gate (MJ/kg)"),'[1]Pivot Table_CED'!$A$3,"SUB TYPE",$B235))</f>
        <v/>
      </c>
      <c r="P235" s="90">
        <f>IF(ISERROR(GETPIVOTDATA(IF($J235=1,"Count of ACTIVE     GHGE, FARM GATE (kg CO2e/kg)","Count of GHGE, processor gate (kg CO2e/kg)"),'[1]Pivot Table_GHG'!$A$3,"SUB TYPE",$B235)),"PROXY",IF(GETPIVOTDATA(IF($J235=1,"Count of ACTIVE     GHGE, FARM GATE (kg CO2e/kg)","Count of GHGE, processor gate (kg CO2e/kg)"),'[1]Pivot Table_GHG'!$A$3,"SUB TYPE",$B235)=0,"PROXY","DB value"))</f>
        <v/>
      </c>
      <c r="Q235" s="93">
        <f>IF($P235="PROXY",DCOUNT('[1]literature entries'!$D:$AI,IF($J235=1,"ACTIVE     GHGE, FARM GATE (kg CO2e/kg)","GHGE, processor gate (kg CO2e/kg)"),INDIRECT($K235)),GETPIVOTDATA(IF($J235=1,"ACTIVE     GHGE, FARM GATE (kg CO2e/kg)","Count of GHGE, processor gate (kg CO2e/kg)"),'[1]Pivot Table_GHG'!$A$3,"SUB TYPE",$B235))</f>
        <v/>
      </c>
      <c r="R235" s="94">
        <f>IF($P235="PROXY",DAVERAGE('[1]literature entries'!$D:$AI,IF($J235=1,"ACTIVE     GHGE, FARM GATE (kg CO2e/kg)","GHGE, processor gate (kg CO2e/kg)"),INDIRECT($K235)),GETPIVOTDATA(IF($J235=1,"Average of ACTIVE     GHGE, FARM GATE (kg CO2e/kg)","Average of GHGE, processor gate (kg CO2e/kg)"),'[1]Pivot Table_GHG'!$A$3,"SUB TYPE",$B235))</f>
        <v/>
      </c>
      <c r="S235" s="94">
        <f>IF($P235="PROXY",DSTDEV('[1]literature entries'!$D:$AI,IF($J235=1,"ACTIVE     GHGE, FARM GATE (kg CO2e/kg)","GHGE, processor gate (kg CO2e/kg)"),INDIRECT($K235)),GETPIVOTDATA(IF($J235=1,"StdDev of ACTIVE     GHGE, FARM GATE (kg CO2e/kg)","StdDev of GHGE, processor gate (kg CO2e/kg)"),'[1]Pivot Table_GHG'!$A$3,"SUB TYPE",$B235))</f>
        <v/>
      </c>
      <c r="T235" s="105" t="n"/>
      <c r="U235" s="106" t="n"/>
      <c r="V235" s="97" t="n"/>
      <c r="W235" s="98" t="inlineStr">
        <is>
          <t>oils</t>
        </is>
      </c>
      <c r="X235" s="98">
        <f>IF($W235="DIRECT",M235,DCOUNT('[1]literature entries'!$D:$AI,IF($J235=1,"ACTIVE     CED, FARM GATE (MJ/kg)","CED, processor gate (MJ/kg)"),INDIRECT($W235)))</f>
        <v/>
      </c>
      <c r="Y235" s="98">
        <f>IF($W235="DIRECT","",DAVERAGE('[1]literature entries'!$D:$AI,IF($J235=1,"ACTIVE     CED, FARM GATE (MJ/kg)","CED, processor gate (MJ/kg)"),INDIRECT($W235)))</f>
        <v/>
      </c>
      <c r="Z235" s="98">
        <f>IF($W235="DIRECT",$O235,DSTDEV('[1]literature entries'!$D:$AI,IF($J235=1,"ACTIVE     CED, FARM GATE (MJ/kg)","CED, processor gate (MJ/kg)"),INDIRECT($W235)))</f>
        <v/>
      </c>
      <c r="AA235" s="98">
        <f>IF($W235="DIRECT",$O235,$Z235/$Y235*$N235)</f>
        <v/>
      </c>
      <c r="AB235" s="99" t="inlineStr">
        <is>
          <t>oils</t>
        </is>
      </c>
      <c r="AC235" s="99">
        <f>IF($AB235="DIRECT",Q235,DCOUNT('[1]literature entries'!$D:$AI,IF($J235=1,"ACTIVE     GHGE, FARM GATE (kg CO2e/kg)","GHGE, processor gate (kg CO2e/kg)"),INDIRECT($AB235)))</f>
        <v/>
      </c>
      <c r="AD235" s="99">
        <f>IF($AB235="DIRECT","",DAVERAGE('[1]literature entries'!$D:$AI,IF($J235=1,"ACTIVE     GHGE, FARM GATE (kg CO2e/kg)","GHGE, processor gate (kg CO2e/kg)"),INDIRECT($AB235)))</f>
        <v/>
      </c>
      <c r="AE235" s="99">
        <f>IF($AB235="DIRECT",$S235,DSTDEV('[1]literature entries'!$D:$AI,IF($J235=1,"ACTIVE     GHGE, FARM GATE (kg CO2e/kg)","GHGE, processor gate (kg CO2e/kg)"),INDIRECT($AB235)))</f>
        <v/>
      </c>
      <c r="AF235" s="99">
        <f>IF($AB235="DIRECT",$S235,$AE235/$AD235*$R235)</f>
        <v/>
      </c>
    </row>
    <row r="236" ht="15.75" customHeight="1" s="201">
      <c r="A236" s="100" t="n">
        <v>2001336000</v>
      </c>
      <c r="B236" s="101" t="inlineStr">
        <is>
          <t>Sesame, seed</t>
        </is>
      </c>
      <c r="C236" s="101" t="inlineStr">
        <is>
          <t>dry weight of seed</t>
        </is>
      </c>
      <c r="D236" s="101" t="n"/>
      <c r="E236" s="101" t="n">
        <v>2855</v>
      </c>
      <c r="F236" s="84">
        <f>N236*H236+T236</f>
        <v/>
      </c>
      <c r="G236" s="85">
        <f>R236*H236+U236</f>
        <v/>
      </c>
      <c r="H236" s="102" t="n">
        <v>1</v>
      </c>
      <c r="I236" s="103" t="inlineStr">
        <is>
          <t>None</t>
        </is>
      </c>
      <c r="J236" s="104" t="n">
        <v>1</v>
      </c>
      <c r="K236" s="89" t="inlineStr">
        <is>
          <t>grains</t>
        </is>
      </c>
      <c r="L236" s="90">
        <f>IF(ISERROR(GETPIVOTDATA(IF($J236=1,"Count of ACTIVE     CED, FARM GATE (MJ/kg)","Count of CED, processor gate (MJ/kg)"),'[1]Pivot Table_CED'!$A$3,"SUB TYPE",$B236)),"PROXY",IF(GETPIVOTDATA(IF($J236=1,"Count of ACTIVE     CED, FARM GATE (MJ/kg)","Count of CED, processor gate (MJ/kg)"),'[1]Pivot Table_CED'!$A$3,"SUB TYPE",$B236)=0,"PROXY","DB value"))</f>
        <v/>
      </c>
      <c r="M236" s="91">
        <f>IF($L236="PROXY",DCOUNT('[1]literature entries'!$D:$AI,IF($J236=1,"ACTIVE     CED, FARM GATE (MJ/kg)","CED, processor gate (MJ/kg)"),INDIRECT($K236)),GETPIVOTDATA(IF($J236=1,"Count of ACTIVE     CED, FARM GATE (MJ/kg)","Count of CED, processor gate (MJ/kg)"),'[1]Pivot Table_CED'!$A$3,"SUB TYPE",$B236))</f>
        <v/>
      </c>
      <c r="N236" s="92">
        <f>IF($L236="PROXY",DAVERAGE('[1]literature entries'!$D:$AI,IF($J236=1,"ACTIVE     CED, FARM GATE (MJ/kg)","CED, processor gate (MJ/kg)"),INDIRECT($K236)),GETPIVOTDATA(IF($J236=1,"Average of ACTIVE     CED, FARM GATE (MJ/kg)","Average of CED, processor gate (MJ/kg)"),'[1]Pivot Table_CED'!$A$3,"SUB TYPE",$B236))</f>
        <v/>
      </c>
      <c r="O236" s="92">
        <f>IF($L236="PROXY",DSTDEV('[1]literature entries'!D:AI,IF($J236=1,"ACTIVE     CED, FARM GATE (MJ/kg)","CED, processor gate (MJ/kg)"),INDIRECT($K236)),GETPIVOTDATA(IF($J236=1,"StdDev of ACTIVE     CED, FARM GATE (MJ/kg)","StdDev of CED, processor gate (MJ/kg)"),'[1]Pivot Table_CED'!$A$3,"SUB TYPE",$B236))</f>
        <v/>
      </c>
      <c r="P236" s="90">
        <f>IF(ISERROR(GETPIVOTDATA(IF($J236=1,"Count of ACTIVE     GHGE, FARM GATE (kg CO2e/kg)","Count of GHGE, processor gate (kg CO2e/kg)"),'[1]Pivot Table_GHG'!$A$3,"SUB TYPE",$B236)),"PROXY",IF(GETPIVOTDATA(IF($J236=1,"Count of ACTIVE     GHGE, FARM GATE (kg CO2e/kg)","Count of GHGE, processor gate (kg CO2e/kg)"),'[1]Pivot Table_GHG'!$A$3,"SUB TYPE",$B236)=0,"PROXY","DB value"))</f>
        <v/>
      </c>
      <c r="Q236" s="93">
        <f>IF($P236="PROXY",DCOUNT('[1]literature entries'!$D:$AI,IF($J236=1,"ACTIVE     GHGE, FARM GATE (kg CO2e/kg)","GHGE, processor gate (kg CO2e/kg)"),INDIRECT($K236)),GETPIVOTDATA(IF($J236=1,"ACTIVE     GHGE, FARM GATE (kg CO2e/kg)","Count of GHGE, processor gate (kg CO2e/kg)"),'[1]Pivot Table_GHG'!$A$3,"SUB TYPE",$B236))</f>
        <v/>
      </c>
      <c r="R236" s="94">
        <f>IF($P236="PROXY",DAVERAGE('[1]literature entries'!$D:$AI,IF($J236=1,"ACTIVE     GHGE, FARM GATE (kg CO2e/kg)","GHGE, processor gate (kg CO2e/kg)"),INDIRECT($K236)),GETPIVOTDATA(IF($J236=1,"Average of ACTIVE     GHGE, FARM GATE (kg CO2e/kg)","Average of GHGE, processor gate (kg CO2e/kg)"),'[1]Pivot Table_GHG'!$A$3,"SUB TYPE",$B236))</f>
        <v/>
      </c>
      <c r="S236" s="94">
        <f>IF($P236="PROXY",DSTDEV('[1]literature entries'!$D:$AI,IF($J236=1,"ACTIVE     GHGE, FARM GATE (kg CO2e/kg)","GHGE, processor gate (kg CO2e/kg)"),INDIRECT($K236)),GETPIVOTDATA(IF($J236=1,"StdDev of ACTIVE     GHGE, FARM GATE (kg CO2e/kg)","StdDev of GHGE, processor gate (kg CO2e/kg)"),'[1]Pivot Table_GHG'!$A$3,"SUB TYPE",$B236))</f>
        <v/>
      </c>
      <c r="T236" s="105" t="n"/>
      <c r="U236" s="106" t="n"/>
      <c r="V236" s="97" t="n"/>
      <c r="W236" s="98">
        <f>IF(L236="PROXY",IF(M236&gt;=5,K236,"need group"),IF(M236&gt;=5,"DIRECT","need group"))</f>
        <v/>
      </c>
      <c r="X236" s="98">
        <f>IF($W236="DIRECT",M236,DCOUNT('[1]literature entries'!$D:$AI,IF($J236=1,"ACTIVE     CED, FARM GATE (MJ/kg)","CED, processor gate (MJ/kg)"),INDIRECT($W236)))</f>
        <v/>
      </c>
      <c r="Y236" s="98">
        <f>IF($W236="DIRECT","",DAVERAGE('[1]literature entries'!$D:$AI,IF($J236=1,"ACTIVE     CED, FARM GATE (MJ/kg)","CED, processor gate (MJ/kg)"),INDIRECT($W236)))</f>
        <v/>
      </c>
      <c r="Z236" s="98">
        <f>IF($W236="DIRECT",$O236,DSTDEV('[1]literature entries'!$D:$AI,IF($J236=1,"ACTIVE     CED, FARM GATE (MJ/kg)","CED, processor gate (MJ/kg)"),INDIRECT($W236)))</f>
        <v/>
      </c>
      <c r="AA236" s="98">
        <f>IF($W236="DIRECT",$O236,$Z236/$Y236*$N236)</f>
        <v/>
      </c>
      <c r="AB236" s="99" t="inlineStr">
        <is>
          <t>grains</t>
        </is>
      </c>
      <c r="AC236" s="99">
        <f>IF($AB236="DIRECT",Q236,DCOUNT('[1]literature entries'!$D:$AI,IF($J236=1,"ACTIVE     GHGE, FARM GATE (kg CO2e/kg)","GHGE, processor gate (kg CO2e/kg)"),INDIRECT($AB236)))</f>
        <v/>
      </c>
      <c r="AD236" s="99">
        <f>IF($AB236="DIRECT","",DAVERAGE('[1]literature entries'!$D:$AI,IF($J236=1,"ACTIVE     GHGE, FARM GATE (kg CO2e/kg)","GHGE, processor gate (kg CO2e/kg)"),INDIRECT($AB236)))</f>
        <v/>
      </c>
      <c r="AE236" s="99">
        <f>IF($AB236="DIRECT",$S236,DSTDEV('[1]literature entries'!$D:$AI,IF($J236=1,"ACTIVE     GHGE, FARM GATE (kg CO2e/kg)","GHGE, processor gate (kg CO2e/kg)"),INDIRECT($AB236)))</f>
        <v/>
      </c>
      <c r="AF236" s="99">
        <f>IF($AB236="DIRECT",$S236,$AE236/$AD236*$R236)</f>
        <v/>
      </c>
    </row>
    <row r="237" ht="15.75" customHeight="1" s="201">
      <c r="A237" s="100" t="n">
        <v>2001337000</v>
      </c>
      <c r="B237" s="101" t="inlineStr">
        <is>
          <t>Sesame, oil</t>
        </is>
      </c>
      <c r="C237" s="101" t="inlineStr">
        <is>
          <t>weight of oil</t>
        </is>
      </c>
      <c r="D237" s="101" t="n"/>
      <c r="E237" s="101" t="n">
        <v>21745</v>
      </c>
      <c r="F237" s="84">
        <f>N237*H237+T237</f>
        <v/>
      </c>
      <c r="G237" s="85">
        <f>R237*H237+U237</f>
        <v/>
      </c>
      <c r="H237" s="102" t="n">
        <v>1</v>
      </c>
      <c r="I237" s="103" t="inlineStr">
        <is>
          <t>FICRCD</t>
        </is>
      </c>
      <c r="J237" s="104" t="n">
        <v>2</v>
      </c>
      <c r="K237" s="89" t="inlineStr">
        <is>
          <t>oilseed_oil</t>
        </is>
      </c>
      <c r="L237" s="90">
        <f>IF(ISERROR(GETPIVOTDATA(IF($J237=1,"Count of ACTIVE     CED, FARM GATE (MJ/kg)","Count of CED, processor gate (MJ/kg)"),'[1]Pivot Table_CED'!$A$3,"SUB TYPE",$B237)),"PROXY",IF(GETPIVOTDATA(IF($J237=1,"Count of ACTIVE     CED, FARM GATE (MJ/kg)","Count of CED, processor gate (MJ/kg)"),'[1]Pivot Table_CED'!$A$3,"SUB TYPE",$B237)=0,"PROXY","DB value"))</f>
        <v/>
      </c>
      <c r="M237" s="91">
        <f>IF($L237="PROXY",DCOUNT('[1]literature entries'!$D:$AI,IF($J237=1,"ACTIVE     CED, FARM GATE (MJ/kg)","CED, processor gate (MJ/kg)"),INDIRECT($K237)),GETPIVOTDATA(IF($J237=1,"Count of ACTIVE     CED, FARM GATE (MJ/kg)","Count of CED, processor gate (MJ/kg)"),'[1]Pivot Table_CED'!$A$3,"SUB TYPE",$B237))</f>
        <v/>
      </c>
      <c r="N237" s="92">
        <f>IF($L237="PROXY",DAVERAGE('[1]literature entries'!$D:$AI,IF($J237=1,"ACTIVE     CED, FARM GATE (MJ/kg)","CED, processor gate (MJ/kg)"),INDIRECT($K237)),GETPIVOTDATA(IF($J237=1,"Average of ACTIVE     CED, FARM GATE (MJ/kg)","Average of CED, processor gate (MJ/kg)"),'[1]Pivot Table_CED'!$A$3,"SUB TYPE",$B237))</f>
        <v/>
      </c>
      <c r="O237" s="92">
        <f>IF($L237="PROXY",DSTDEV('[1]literature entries'!D:AI,IF($J237=1,"ACTIVE     CED, FARM GATE (MJ/kg)","CED, processor gate (MJ/kg)"),INDIRECT($K237)),GETPIVOTDATA(IF($J237=1,"StdDev of ACTIVE     CED, FARM GATE (MJ/kg)","StdDev of CED, processor gate (MJ/kg)"),'[1]Pivot Table_CED'!$A$3,"SUB TYPE",$B237))</f>
        <v/>
      </c>
      <c r="P237" s="90">
        <f>IF(ISERROR(GETPIVOTDATA(IF($J237=1,"Count of ACTIVE     GHGE, FARM GATE (kg CO2e/kg)","Count of GHGE, processor gate (kg CO2e/kg)"),'[1]Pivot Table_GHG'!$A$3,"SUB TYPE",$B237)),"PROXY",IF(GETPIVOTDATA(IF($J237=1,"Count of ACTIVE     GHGE, FARM GATE (kg CO2e/kg)","Count of GHGE, processor gate (kg CO2e/kg)"),'[1]Pivot Table_GHG'!$A$3,"SUB TYPE",$B237)=0,"PROXY","DB value"))</f>
        <v/>
      </c>
      <c r="Q237" s="93">
        <f>IF($P237="PROXY",DCOUNT('[1]literature entries'!$D:$AI,IF($J237=1,"ACTIVE     GHGE, FARM GATE (kg CO2e/kg)","GHGE, processor gate (kg CO2e/kg)"),INDIRECT($K237)),GETPIVOTDATA(IF($J237=1,"ACTIVE     GHGE, FARM GATE (kg CO2e/kg)","Count of GHGE, processor gate (kg CO2e/kg)"),'[1]Pivot Table_GHG'!$A$3,"SUB TYPE",$B237))</f>
        <v/>
      </c>
      <c r="R237" s="94">
        <f>IF($P237="PROXY",DAVERAGE('[1]literature entries'!$D:$AI,IF($J237=1,"ACTIVE     GHGE, FARM GATE (kg CO2e/kg)","GHGE, processor gate (kg CO2e/kg)"),INDIRECT($K237)),GETPIVOTDATA(IF($J237=1,"Average of ACTIVE     GHGE, FARM GATE (kg CO2e/kg)","Average of GHGE, processor gate (kg CO2e/kg)"),'[1]Pivot Table_GHG'!$A$3,"SUB TYPE",$B237))</f>
        <v/>
      </c>
      <c r="S237" s="94">
        <f>IF($P237="PROXY",DSTDEV('[1]literature entries'!$D:$AI,IF($J237=1,"ACTIVE     GHGE, FARM GATE (kg CO2e/kg)","GHGE, processor gate (kg CO2e/kg)"),INDIRECT($K237)),GETPIVOTDATA(IF($J237=1,"StdDev of ACTIVE     GHGE, FARM GATE (kg CO2e/kg)","StdDev of GHGE, processor gate (kg CO2e/kg)"),'[1]Pivot Table_GHG'!$A$3,"SUB TYPE",$B237))</f>
        <v/>
      </c>
      <c r="T237" s="105" t="n"/>
      <c r="U237" s="106" t="n"/>
      <c r="V237" s="97" t="n"/>
      <c r="W237" s="98" t="inlineStr">
        <is>
          <t>oils</t>
        </is>
      </c>
      <c r="X237" s="98">
        <f>IF($W237="DIRECT",M237,DCOUNT('[1]literature entries'!$D:$AI,IF($J237=1,"ACTIVE     CED, FARM GATE (MJ/kg)","CED, processor gate (MJ/kg)"),INDIRECT($W237)))</f>
        <v/>
      </c>
      <c r="Y237" s="98">
        <f>IF($W237="DIRECT","",DAVERAGE('[1]literature entries'!$D:$AI,IF($J237=1,"ACTIVE     CED, FARM GATE (MJ/kg)","CED, processor gate (MJ/kg)"),INDIRECT($W237)))</f>
        <v/>
      </c>
      <c r="Z237" s="98">
        <f>IF($W237="DIRECT",$O237,DSTDEV('[1]literature entries'!$D:$AI,IF($J237=1,"ACTIVE     CED, FARM GATE (MJ/kg)","CED, processor gate (MJ/kg)"),INDIRECT($W237)))</f>
        <v/>
      </c>
      <c r="AA237" s="98">
        <f>IF($W237="DIRECT",$O237,$Z237/$Y237*$N237)</f>
        <v/>
      </c>
      <c r="AB237" s="99" t="inlineStr">
        <is>
          <t>oils</t>
        </is>
      </c>
      <c r="AC237" s="99">
        <f>IF($AB237="DIRECT",Q237,DCOUNT('[1]literature entries'!$D:$AI,IF($J237=1,"ACTIVE     GHGE, FARM GATE (kg CO2e/kg)","GHGE, processor gate (kg CO2e/kg)"),INDIRECT($AB237)))</f>
        <v/>
      </c>
      <c r="AD237" s="99">
        <f>IF($AB237="DIRECT","",DAVERAGE('[1]literature entries'!$D:$AI,IF($J237=1,"ACTIVE     GHGE, FARM GATE (kg CO2e/kg)","GHGE, processor gate (kg CO2e/kg)"),INDIRECT($AB237)))</f>
        <v/>
      </c>
      <c r="AE237" s="99">
        <f>IF($AB237="DIRECT",$S237,DSTDEV('[1]literature entries'!$D:$AI,IF($J237=1,"ACTIVE     GHGE, FARM GATE (kg CO2e/kg)","GHGE, processor gate (kg CO2e/kg)"),INDIRECT($AB237)))</f>
        <v/>
      </c>
      <c r="AF237" s="99">
        <f>IF($AB237="DIRECT",$S237,$AE237/$AD237*$R237)</f>
        <v/>
      </c>
    </row>
    <row r="238" ht="15.75" customHeight="1" s="201">
      <c r="A238" s="100" t="n">
        <v>2002330000</v>
      </c>
      <c r="B238" s="101" t="inlineStr">
        <is>
          <t>Safflower, oil</t>
        </is>
      </c>
      <c r="C238" s="101" t="inlineStr">
        <is>
          <t>weight of oil</t>
        </is>
      </c>
      <c r="D238" s="101" t="n"/>
      <c r="E238" s="101" t="n">
        <v>45465</v>
      </c>
      <c r="F238" s="84">
        <f>N238*H238+T238</f>
        <v/>
      </c>
      <c r="G238" s="85">
        <f>R238*H238+U238</f>
        <v/>
      </c>
      <c r="H238" s="102" t="n">
        <v>1</v>
      </c>
      <c r="I238" s="103" t="inlineStr">
        <is>
          <t>FICRCD</t>
        </is>
      </c>
      <c r="J238" s="104" t="n">
        <v>2</v>
      </c>
      <c r="K238" s="89" t="inlineStr">
        <is>
          <t>oilseed_oil</t>
        </is>
      </c>
      <c r="L238" s="90">
        <f>IF(ISERROR(GETPIVOTDATA(IF($J238=1,"Count of ACTIVE     CED, FARM GATE (MJ/kg)","Count of CED, processor gate (MJ/kg)"),'[1]Pivot Table_CED'!$A$3,"SUB TYPE",$B238)),"PROXY",IF(GETPIVOTDATA(IF($J238=1,"Count of ACTIVE     CED, FARM GATE (MJ/kg)","Count of CED, processor gate (MJ/kg)"),'[1]Pivot Table_CED'!$A$3,"SUB TYPE",$B238)=0,"PROXY","DB value"))</f>
        <v/>
      </c>
      <c r="M238" s="91">
        <f>IF($L238="PROXY",DCOUNT('[1]literature entries'!$D:$AI,IF($J238=1,"ACTIVE     CED, FARM GATE (MJ/kg)","CED, processor gate (MJ/kg)"),INDIRECT($K238)),GETPIVOTDATA(IF($J238=1,"Count of ACTIVE     CED, FARM GATE (MJ/kg)","Count of CED, processor gate (MJ/kg)"),'[1]Pivot Table_CED'!$A$3,"SUB TYPE",$B238))</f>
        <v/>
      </c>
      <c r="N238" s="92">
        <f>IF($L238="PROXY",DAVERAGE('[1]literature entries'!$D:$AI,IF($J238=1,"ACTIVE     CED, FARM GATE (MJ/kg)","CED, processor gate (MJ/kg)"),INDIRECT($K238)),GETPIVOTDATA(IF($J238=1,"Average of ACTIVE     CED, FARM GATE (MJ/kg)","Average of CED, processor gate (MJ/kg)"),'[1]Pivot Table_CED'!$A$3,"SUB TYPE",$B238))</f>
        <v/>
      </c>
      <c r="O238" s="92">
        <f>IF($L238="PROXY",DSTDEV('[1]literature entries'!D:AI,IF($J238=1,"ACTIVE     CED, FARM GATE (MJ/kg)","CED, processor gate (MJ/kg)"),INDIRECT($K238)),GETPIVOTDATA(IF($J238=1,"StdDev of ACTIVE     CED, FARM GATE (MJ/kg)","StdDev of CED, processor gate (MJ/kg)"),'[1]Pivot Table_CED'!$A$3,"SUB TYPE",$B238))</f>
        <v/>
      </c>
      <c r="P238" s="90">
        <f>IF(ISERROR(GETPIVOTDATA(IF($J238=1,"Count of ACTIVE     GHGE, FARM GATE (kg CO2e/kg)","Count of GHGE, processor gate (kg CO2e/kg)"),'[1]Pivot Table_GHG'!$A$3,"SUB TYPE",$B238)),"PROXY",IF(GETPIVOTDATA(IF($J238=1,"Count of ACTIVE     GHGE, FARM GATE (kg CO2e/kg)","Count of GHGE, processor gate (kg CO2e/kg)"),'[1]Pivot Table_GHG'!$A$3,"SUB TYPE",$B238)=0,"PROXY","DB value"))</f>
        <v/>
      </c>
      <c r="Q238" s="93">
        <f>IF($P238="PROXY",DCOUNT('[1]literature entries'!$D:$AI,IF($J238=1,"ACTIVE     GHGE, FARM GATE (kg CO2e/kg)","GHGE, processor gate (kg CO2e/kg)"),INDIRECT($K238)),GETPIVOTDATA(IF($J238=1,"ACTIVE     GHGE, FARM GATE (kg CO2e/kg)","Count of GHGE, processor gate (kg CO2e/kg)"),'[1]Pivot Table_GHG'!$A$3,"SUB TYPE",$B238))</f>
        <v/>
      </c>
      <c r="R238" s="94">
        <f>IF($P238="PROXY",DAVERAGE('[1]literature entries'!$D:$AI,IF($J238=1,"ACTIVE     GHGE, FARM GATE (kg CO2e/kg)","GHGE, processor gate (kg CO2e/kg)"),INDIRECT($K238)),GETPIVOTDATA(IF($J238=1,"Average of ACTIVE     GHGE, FARM GATE (kg CO2e/kg)","Average of GHGE, processor gate (kg CO2e/kg)"),'[1]Pivot Table_GHG'!$A$3,"SUB TYPE",$B238))</f>
        <v/>
      </c>
      <c r="S238" s="94">
        <f>IF($P238="PROXY",DSTDEV('[1]literature entries'!$D:$AI,IF($J238=1,"ACTIVE     GHGE, FARM GATE (kg CO2e/kg)","GHGE, processor gate (kg CO2e/kg)"),INDIRECT($K238)),GETPIVOTDATA(IF($J238=1,"StdDev of ACTIVE     GHGE, FARM GATE (kg CO2e/kg)","StdDev of GHGE, processor gate (kg CO2e/kg)"),'[1]Pivot Table_GHG'!$A$3,"SUB TYPE",$B238))</f>
        <v/>
      </c>
      <c r="T238" s="105" t="n"/>
      <c r="U238" s="106" t="n"/>
      <c r="V238" s="97" t="n"/>
      <c r="W238" s="98" t="inlineStr">
        <is>
          <t>oils</t>
        </is>
      </c>
      <c r="X238" s="98">
        <f>IF($W238="DIRECT",M238,DCOUNT('[1]literature entries'!$D:$AI,IF($J238=1,"ACTIVE     CED, FARM GATE (MJ/kg)","CED, processor gate (MJ/kg)"),INDIRECT($W238)))</f>
        <v/>
      </c>
      <c r="Y238" s="98">
        <f>IF($W238="DIRECT","",DAVERAGE('[1]literature entries'!$D:$AI,IF($J238=1,"ACTIVE     CED, FARM GATE (MJ/kg)","CED, processor gate (MJ/kg)"),INDIRECT($W238)))</f>
        <v/>
      </c>
      <c r="Z238" s="98">
        <f>IF($W238="DIRECT",$O238,DSTDEV('[1]literature entries'!$D:$AI,IF($J238=1,"ACTIVE     CED, FARM GATE (MJ/kg)","CED, processor gate (MJ/kg)"),INDIRECT($W238)))</f>
        <v/>
      </c>
      <c r="AA238" s="98">
        <f>IF($W238="DIRECT",$O238,$Z238/$Y238*$N238)</f>
        <v/>
      </c>
      <c r="AB238" s="99" t="inlineStr">
        <is>
          <t>oils</t>
        </is>
      </c>
      <c r="AC238" s="99">
        <f>IF($AB238="DIRECT",Q238,DCOUNT('[1]literature entries'!$D:$AI,IF($J238=1,"ACTIVE     GHGE, FARM GATE (kg CO2e/kg)","GHGE, processor gate (kg CO2e/kg)"),INDIRECT($AB238)))</f>
        <v/>
      </c>
      <c r="AD238" s="99">
        <f>IF($AB238="DIRECT","",DAVERAGE('[1]literature entries'!$D:$AI,IF($J238=1,"ACTIVE     GHGE, FARM GATE (kg CO2e/kg)","GHGE, processor gate (kg CO2e/kg)"),INDIRECT($AB238)))</f>
        <v/>
      </c>
      <c r="AE238" s="99">
        <f>IF($AB238="DIRECT",$S238,DSTDEV('[1]literature entries'!$D:$AI,IF($J238=1,"ACTIVE     GHGE, FARM GATE (kg CO2e/kg)","GHGE, processor gate (kg CO2e/kg)"),INDIRECT($AB238)))</f>
        <v/>
      </c>
      <c r="AF238" s="99">
        <f>IF($AB238="DIRECT",$S238,$AE238/$AD238*$R238)</f>
        <v/>
      </c>
    </row>
    <row r="239" ht="15.75" customHeight="1" s="201">
      <c r="A239" s="100" t="n">
        <v>2002364000</v>
      </c>
      <c r="B239" s="101" t="inlineStr">
        <is>
          <t>Sunflower, seed</t>
        </is>
      </c>
      <c r="C239" s="101" t="inlineStr">
        <is>
          <t>dry weight of seeds</t>
        </is>
      </c>
      <c r="D239" s="101" t="n"/>
      <c r="E239" s="101" t="n">
        <v>997</v>
      </c>
      <c r="F239" s="84">
        <f>N239*H239+T239</f>
        <v/>
      </c>
      <c r="G239" s="85">
        <f>R239*H239+U239</f>
        <v/>
      </c>
      <c r="H239" s="102" t="n">
        <v>1</v>
      </c>
      <c r="I239" s="103" t="inlineStr">
        <is>
          <t>None</t>
        </is>
      </c>
      <c r="J239" s="104" t="n">
        <v>1</v>
      </c>
      <c r="K239" s="89" t="n"/>
      <c r="L239" s="90">
        <f>IF(ISERROR(GETPIVOTDATA(IF($J239=1,"Count of ACTIVE     CED, FARM GATE (MJ/kg)","Count of CED, processor gate (MJ/kg)"),'[1]Pivot Table_CED'!$A$3,"SUB TYPE",$B239)),"PROXY",IF(GETPIVOTDATA(IF($J239=1,"Count of ACTIVE     CED, FARM GATE (MJ/kg)","Count of CED, processor gate (MJ/kg)"),'[1]Pivot Table_CED'!$A$3,"SUB TYPE",$B239)=0,"PROXY","DB value"))</f>
        <v/>
      </c>
      <c r="M239" s="91">
        <f>IF($L239="PROXY",DCOUNT('[1]literature entries'!$D:$AI,IF($J239=1,"ACTIVE     CED, FARM GATE (MJ/kg)","CED, processor gate (MJ/kg)"),INDIRECT($K239)),GETPIVOTDATA(IF($J239=1,"Count of ACTIVE     CED, FARM GATE (MJ/kg)","Count of CED, processor gate (MJ/kg)"),'[1]Pivot Table_CED'!$A$3,"SUB TYPE",$B239))</f>
        <v/>
      </c>
      <c r="N239" s="92">
        <f>IF($L239="PROXY",DAVERAGE('[1]literature entries'!$D:$AI,IF($J239=1,"ACTIVE     CED, FARM GATE (MJ/kg)","CED, processor gate (MJ/kg)"),INDIRECT($K239)),GETPIVOTDATA(IF($J239=1,"Average of ACTIVE     CED, FARM GATE (MJ/kg)","Average of CED, processor gate (MJ/kg)"),'[1]Pivot Table_CED'!$A$3,"SUB TYPE",$B239))</f>
        <v/>
      </c>
      <c r="O239" s="92">
        <f>IF($L239="PROXY",DSTDEV('[1]literature entries'!D:AI,IF($J239=1,"ACTIVE     CED, FARM GATE (MJ/kg)","CED, processor gate (MJ/kg)"),INDIRECT($K239)),GETPIVOTDATA(IF($J239=1,"StdDev of ACTIVE     CED, FARM GATE (MJ/kg)","StdDev of CED, processor gate (MJ/kg)"),'[1]Pivot Table_CED'!$A$3,"SUB TYPE",$B239))</f>
        <v/>
      </c>
      <c r="P239" s="90">
        <f>IF(ISERROR(GETPIVOTDATA(IF($J239=1,"Count of ACTIVE     GHGE, FARM GATE (kg CO2e/kg)","Count of GHGE, processor gate (kg CO2e/kg)"),'[1]Pivot Table_GHG'!$A$3,"SUB TYPE",$B239)),"PROXY",IF(GETPIVOTDATA(IF($J239=1,"Count of ACTIVE     GHGE, FARM GATE (kg CO2e/kg)","Count of GHGE, processor gate (kg CO2e/kg)"),'[1]Pivot Table_GHG'!$A$3,"SUB TYPE",$B239)=0,"PROXY","DB value"))</f>
        <v/>
      </c>
      <c r="Q239" s="93">
        <f>IF($P239="PROXY",DCOUNT('[1]literature entries'!$D:$AI,IF($J239=1,"ACTIVE     GHGE, FARM GATE (kg CO2e/kg)","GHGE, processor gate (kg CO2e/kg)"),INDIRECT($K239)),GETPIVOTDATA(IF($J239=1,"ACTIVE     GHGE, FARM GATE (kg CO2e/kg)","Count of GHGE, processor gate (kg CO2e/kg)"),'[1]Pivot Table_GHG'!$A$3,"SUB TYPE",$B239))</f>
        <v/>
      </c>
      <c r="R239" s="94">
        <f>IF($P239="PROXY",DAVERAGE('[1]literature entries'!$D:$AI,IF($J239=1,"ACTIVE     GHGE, FARM GATE (kg CO2e/kg)","GHGE, processor gate (kg CO2e/kg)"),INDIRECT($K239)),GETPIVOTDATA(IF($J239=1,"Average of ACTIVE     GHGE, FARM GATE (kg CO2e/kg)","Average of GHGE, processor gate (kg CO2e/kg)"),'[1]Pivot Table_GHG'!$A$3,"SUB TYPE",$B239))</f>
        <v/>
      </c>
      <c r="S239" s="94">
        <f>IF($P239="PROXY",DSTDEV('[1]literature entries'!$D:$AI,IF($J239=1,"ACTIVE     GHGE, FARM GATE (kg CO2e/kg)","GHGE, processor gate (kg CO2e/kg)"),INDIRECT($K239)),GETPIVOTDATA(IF($J239=1,"StdDev of ACTIVE     GHGE, FARM GATE (kg CO2e/kg)","StdDev of GHGE, processor gate (kg CO2e/kg)"),'[1]Pivot Table_GHG'!$A$3,"SUB TYPE",$B239))</f>
        <v/>
      </c>
      <c r="T239" s="105" t="n"/>
      <c r="U239" s="106" t="n"/>
      <c r="V239" s="97" t="n"/>
      <c r="W239" s="98">
        <f>IF(L239="PROXY",IF(M239&gt;=5,K239,"need group"),IF(M239&gt;=5,"DIRECT","need group"))</f>
        <v/>
      </c>
      <c r="X239" s="98">
        <f>IF($W239="DIRECT",M239,DCOUNT('[1]literature entries'!$D:$AI,IF($J239=1,"ACTIVE     CED, FARM GATE (MJ/kg)","CED, processor gate (MJ/kg)"),INDIRECT($W239)))</f>
        <v/>
      </c>
      <c r="Y239" s="98">
        <f>IF($W239="DIRECT","",DAVERAGE('[1]literature entries'!$D:$AI,IF($J239=1,"ACTIVE     CED, FARM GATE (MJ/kg)","CED, processor gate (MJ/kg)"),INDIRECT($W239)))</f>
        <v/>
      </c>
      <c r="Z239" s="98">
        <f>IF($W239="DIRECT",$O239,DSTDEV('[1]literature entries'!$D:$AI,IF($J239=1,"ACTIVE     CED, FARM GATE (MJ/kg)","CED, processor gate (MJ/kg)"),INDIRECT($W239)))</f>
        <v/>
      </c>
      <c r="AA239" s="98">
        <f>IF($W239="DIRECT",$O239,$Z239/$Y239*$N239)</f>
        <v/>
      </c>
      <c r="AB239" s="99">
        <f>IF(P239="PROXY",IF(Q239&gt;=5,K239,"need group"),IF(Q239&gt;=5,"DIRECT","need group"))</f>
        <v/>
      </c>
      <c r="AC239" s="99">
        <f>IF($AB239="DIRECT",Q239,DCOUNT('[1]literature entries'!$D:$AI,IF($J239=1,"ACTIVE     GHGE, FARM GATE (kg CO2e/kg)","GHGE, processor gate (kg CO2e/kg)"),INDIRECT($AB239)))</f>
        <v/>
      </c>
      <c r="AD239" s="99">
        <f>IF($AB239="DIRECT","",DAVERAGE('[1]literature entries'!$D:$AI,IF($J239=1,"ACTIVE     GHGE, FARM GATE (kg CO2e/kg)","GHGE, processor gate (kg CO2e/kg)"),INDIRECT($AB239)))</f>
        <v/>
      </c>
      <c r="AE239" s="99">
        <f>IF($AB239="DIRECT",$S239,DSTDEV('[1]literature entries'!$D:$AI,IF($J239=1,"ACTIVE     GHGE, FARM GATE (kg CO2e/kg)","GHGE, processor gate (kg CO2e/kg)"),INDIRECT($AB239)))</f>
        <v/>
      </c>
      <c r="AF239" s="99">
        <f>IF($AB239="DIRECT",$S239,$AE239/$AD239*$R239)</f>
        <v/>
      </c>
    </row>
    <row r="240" ht="15.75" customHeight="1" s="201">
      <c r="A240" s="100" t="n">
        <v>2002365000</v>
      </c>
      <c r="B240" s="101" t="inlineStr">
        <is>
          <t>Sunflower, oil</t>
        </is>
      </c>
      <c r="C240" s="101" t="inlineStr">
        <is>
          <t>weight of oil</t>
        </is>
      </c>
      <c r="D240" s="101" t="n"/>
      <c r="E240" s="101" t="n">
        <v>45494</v>
      </c>
      <c r="F240" s="84">
        <f>N240*H240+T240</f>
        <v/>
      </c>
      <c r="G240" s="85">
        <f>R240*H240+U240</f>
        <v/>
      </c>
      <c r="H240" s="112" t="n">
        <v>1</v>
      </c>
      <c r="I240" s="103" t="inlineStr">
        <is>
          <t>none</t>
        </is>
      </c>
      <c r="J240" s="104" t="n">
        <v>2</v>
      </c>
      <c r="K240" s="89" t="inlineStr">
        <is>
          <t>oilseed_oil</t>
        </is>
      </c>
      <c r="L240" s="90">
        <f>IF(ISERROR(GETPIVOTDATA(IF($J240=1,"Count of ACTIVE     CED, FARM GATE (MJ/kg)","Count of CED, processor gate (MJ/kg)"),'[1]Pivot Table_CED'!$A$3,"SUB TYPE",$B240)),"PROXY",IF(GETPIVOTDATA(IF($J240=1,"Count of ACTIVE     CED, FARM GATE (MJ/kg)","Count of CED, processor gate (MJ/kg)"),'[1]Pivot Table_CED'!$A$3,"SUB TYPE",$B240)=0,"PROXY","DB value"))</f>
        <v/>
      </c>
      <c r="M240" s="91">
        <f>IF($L240="PROXY",DCOUNT('[1]literature entries'!$D:$AI,IF($J240=1,"ACTIVE     CED, FARM GATE (MJ/kg)","CED, processor gate (MJ/kg)"),INDIRECT($K240)),GETPIVOTDATA(IF($J240=1,"Count of ACTIVE     CED, FARM GATE (MJ/kg)","Count of CED, processor gate (MJ/kg)"),'[1]Pivot Table_CED'!$A$3,"SUB TYPE",$B240))</f>
        <v/>
      </c>
      <c r="N240" s="92">
        <f>IF($L240="PROXY",DAVERAGE('[1]literature entries'!$D:$AI,IF($J240=1,"ACTIVE     CED, FARM GATE (MJ/kg)","CED, processor gate (MJ/kg)"),INDIRECT($K240)),GETPIVOTDATA(IF($J240=1,"Average of ACTIVE     CED, FARM GATE (MJ/kg)","Average of CED, processor gate (MJ/kg)"),'[1]Pivot Table_CED'!$A$3,"SUB TYPE",$B240))</f>
        <v/>
      </c>
      <c r="O240" s="92">
        <f>IF($L240="PROXY",DSTDEV('[1]literature entries'!D:AI,IF($J240=1,"ACTIVE     CED, FARM GATE (MJ/kg)","CED, processor gate (MJ/kg)"),INDIRECT($K240)),GETPIVOTDATA(IF($J240=1,"StdDev of ACTIVE     CED, FARM GATE (MJ/kg)","StdDev of CED, processor gate (MJ/kg)"),'[1]Pivot Table_CED'!$A$3,"SUB TYPE",$B240))</f>
        <v/>
      </c>
      <c r="P240" s="90">
        <f>IF(ISERROR(GETPIVOTDATA(IF($J240=1,"Count of ACTIVE     GHGE, FARM GATE (kg CO2e/kg)","Count of GHGE, processor gate (kg CO2e/kg)"),'[1]Pivot Table_GHG'!$A$3,"SUB TYPE",$B240)),"PROXY",IF(GETPIVOTDATA(IF($J240=1,"Count of ACTIVE     GHGE, FARM GATE (kg CO2e/kg)","Count of GHGE, processor gate (kg CO2e/kg)"),'[1]Pivot Table_GHG'!$A$3,"SUB TYPE",$B240)=0,"PROXY","DB value"))</f>
        <v/>
      </c>
      <c r="Q240" s="93">
        <f>IF($P240="PROXY",DCOUNT('[1]literature entries'!$D:$AI,IF($J240=1,"ACTIVE     GHGE, FARM GATE (kg CO2e/kg)","GHGE, processor gate (kg CO2e/kg)"),INDIRECT($K240)),GETPIVOTDATA(IF($J240=1,"ACTIVE     GHGE, FARM GATE (kg CO2e/kg)","Count of GHGE, processor gate (kg CO2e/kg)"),'[1]Pivot Table_GHG'!$A$3,"SUB TYPE",$B240))</f>
        <v/>
      </c>
      <c r="R240" s="94">
        <f>IF($P240="PROXY",DAVERAGE('[1]literature entries'!$D:$AI,IF($J240=1,"ACTIVE     GHGE, FARM GATE (kg CO2e/kg)","GHGE, processor gate (kg CO2e/kg)"),INDIRECT($K240)),GETPIVOTDATA(IF($J240=1,"Average of ACTIVE     GHGE, FARM GATE (kg CO2e/kg)","Average of GHGE, processor gate (kg CO2e/kg)"),'[1]Pivot Table_GHG'!$A$3,"SUB TYPE",$B240))</f>
        <v/>
      </c>
      <c r="S240" s="94">
        <f>IF($P240="PROXY",DSTDEV('[1]literature entries'!$D:$AI,IF($J240=1,"ACTIVE     GHGE, FARM GATE (kg CO2e/kg)","GHGE, processor gate (kg CO2e/kg)"),INDIRECT($K240)),GETPIVOTDATA(IF($J240=1,"StdDev of ACTIVE     GHGE, FARM GATE (kg CO2e/kg)","StdDev of GHGE, processor gate (kg CO2e/kg)"),'[1]Pivot Table_GHG'!$A$3,"SUB TYPE",$B240))</f>
        <v/>
      </c>
      <c r="T240" s="105" t="n"/>
      <c r="U240" s="106" t="n"/>
      <c r="V240" s="97" t="n"/>
      <c r="W240" s="98" t="inlineStr">
        <is>
          <t>oils</t>
        </is>
      </c>
      <c r="X240" s="98">
        <f>IF($W240="DIRECT",M240,DCOUNT('[1]literature entries'!$D:$AI,IF($J240=1,"ACTIVE     CED, FARM GATE (MJ/kg)","CED, processor gate (MJ/kg)"),INDIRECT($W240)))</f>
        <v/>
      </c>
      <c r="Y240" s="98">
        <f>IF($W240="DIRECT","",DAVERAGE('[1]literature entries'!$D:$AI,IF($J240=1,"ACTIVE     CED, FARM GATE (MJ/kg)","CED, processor gate (MJ/kg)"),INDIRECT($W240)))</f>
        <v/>
      </c>
      <c r="Z240" s="98">
        <f>IF($W240="DIRECT",$O240,DSTDEV('[1]literature entries'!$D:$AI,IF($J240=1,"ACTIVE     CED, FARM GATE (MJ/kg)","CED, processor gate (MJ/kg)"),INDIRECT($W240)))</f>
        <v/>
      </c>
      <c r="AA240" s="98">
        <f>IF($W240="DIRECT",$O240,$Z240/$Y240*$N240)</f>
        <v/>
      </c>
      <c r="AB240" s="99" t="inlineStr">
        <is>
          <t>oils</t>
        </is>
      </c>
      <c r="AC240" s="99">
        <f>IF($AB240="DIRECT",Q240,DCOUNT('[1]literature entries'!$D:$AI,IF($J240=1,"ACTIVE     GHGE, FARM GATE (kg CO2e/kg)","GHGE, processor gate (kg CO2e/kg)"),INDIRECT($AB240)))</f>
        <v/>
      </c>
      <c r="AD240" s="99">
        <f>IF($AB240="DIRECT","",DAVERAGE('[1]literature entries'!$D:$AI,IF($J240=1,"ACTIVE     GHGE, FARM GATE (kg CO2e/kg)","GHGE, processor gate (kg CO2e/kg)"),INDIRECT($AB240)))</f>
        <v/>
      </c>
      <c r="AE240" s="99">
        <f>IF($AB240="DIRECT",$S240,DSTDEV('[1]literature entries'!$D:$AI,IF($J240=1,"ACTIVE     GHGE, FARM GATE (kg CO2e/kg)","GHGE, processor gate (kg CO2e/kg)"),INDIRECT($AB240)))</f>
        <v/>
      </c>
      <c r="AF240" s="99">
        <f>IF($AB240="DIRECT",$S240,$AE240/$AD240*$R240)</f>
        <v/>
      </c>
    </row>
    <row r="241" ht="15.75" customHeight="1" s="201">
      <c r="A241" s="100" t="n">
        <v>2003128000</v>
      </c>
      <c r="B241" s="101" t="inlineStr">
        <is>
          <t>Cottonseed, oil</t>
        </is>
      </c>
      <c r="C241" s="101" t="inlineStr">
        <is>
          <t>weight of oil</t>
        </is>
      </c>
      <c r="D241" s="101" t="n"/>
      <c r="E241" s="101" t="n">
        <v>50194</v>
      </c>
      <c r="F241" s="84">
        <f>N241*H241+T241</f>
        <v/>
      </c>
      <c r="G241" s="85">
        <f>R241*H241+U241</f>
        <v/>
      </c>
      <c r="H241" s="102" t="n">
        <v>1</v>
      </c>
      <c r="I241" s="103" t="inlineStr">
        <is>
          <t>FICRCD</t>
        </is>
      </c>
      <c r="J241" s="104" t="n">
        <v>2</v>
      </c>
      <c r="K241" s="89" t="inlineStr">
        <is>
          <t>oilseed_oil</t>
        </is>
      </c>
      <c r="L241" s="90">
        <f>IF(ISERROR(GETPIVOTDATA(IF($J241=1,"Count of ACTIVE     CED, FARM GATE (MJ/kg)","Count of CED, processor gate (MJ/kg)"),'[1]Pivot Table_CED'!$A$3,"SUB TYPE",$B241)),"PROXY",IF(GETPIVOTDATA(IF($J241=1,"Count of ACTIVE     CED, FARM GATE (MJ/kg)","Count of CED, processor gate (MJ/kg)"),'[1]Pivot Table_CED'!$A$3,"SUB TYPE",$B241)=0,"PROXY","DB value"))</f>
        <v/>
      </c>
      <c r="M241" s="91">
        <f>IF($L241="PROXY",DCOUNT('[1]literature entries'!$D:$AI,IF($J241=1,"ACTIVE     CED, FARM GATE (MJ/kg)","CED, processor gate (MJ/kg)"),INDIRECT($K241)),GETPIVOTDATA(IF($J241=1,"Count of ACTIVE     CED, FARM GATE (MJ/kg)","Count of CED, processor gate (MJ/kg)"),'[1]Pivot Table_CED'!$A$3,"SUB TYPE",$B241))</f>
        <v/>
      </c>
      <c r="N241" s="92">
        <f>IF($L241="PROXY",DAVERAGE('[1]literature entries'!$D:$AI,IF($J241=1,"ACTIVE     CED, FARM GATE (MJ/kg)","CED, processor gate (MJ/kg)"),INDIRECT($K241)),GETPIVOTDATA(IF($J241=1,"Average of ACTIVE     CED, FARM GATE (MJ/kg)","Average of CED, processor gate (MJ/kg)"),'[1]Pivot Table_CED'!$A$3,"SUB TYPE",$B241))</f>
        <v/>
      </c>
      <c r="O241" s="92">
        <f>IF($L241="PROXY",DSTDEV('[1]literature entries'!D:AI,IF($J241=1,"ACTIVE     CED, FARM GATE (MJ/kg)","CED, processor gate (MJ/kg)"),INDIRECT($K241)),GETPIVOTDATA(IF($J241=1,"StdDev of ACTIVE     CED, FARM GATE (MJ/kg)","StdDev of CED, processor gate (MJ/kg)"),'[1]Pivot Table_CED'!$A$3,"SUB TYPE",$B241))</f>
        <v/>
      </c>
      <c r="P241" s="90">
        <f>IF(ISERROR(GETPIVOTDATA(IF($J241=1,"Count of ACTIVE     GHGE, FARM GATE (kg CO2e/kg)","Count of GHGE, processor gate (kg CO2e/kg)"),'[1]Pivot Table_GHG'!$A$3,"SUB TYPE",$B241)),"PROXY",IF(GETPIVOTDATA(IF($J241=1,"Count of ACTIVE     GHGE, FARM GATE (kg CO2e/kg)","Count of GHGE, processor gate (kg CO2e/kg)"),'[1]Pivot Table_GHG'!$A$3,"SUB TYPE",$B241)=0,"PROXY","DB value"))</f>
        <v/>
      </c>
      <c r="Q241" s="93">
        <f>IF($P241="PROXY",DCOUNT('[1]literature entries'!$D:$AI,IF($J241=1,"ACTIVE     GHGE, FARM GATE (kg CO2e/kg)","GHGE, processor gate (kg CO2e/kg)"),INDIRECT($K241)),GETPIVOTDATA(IF($J241=1,"ACTIVE     GHGE, FARM GATE (kg CO2e/kg)","Count of GHGE, processor gate (kg CO2e/kg)"),'[1]Pivot Table_GHG'!$A$3,"SUB TYPE",$B241))</f>
        <v/>
      </c>
      <c r="R241" s="94">
        <f>IF($P241="PROXY",DAVERAGE('[1]literature entries'!$D:$AI,IF($J241=1,"ACTIVE     GHGE, FARM GATE (kg CO2e/kg)","GHGE, processor gate (kg CO2e/kg)"),INDIRECT($K241)),GETPIVOTDATA(IF($J241=1,"Average of ACTIVE     GHGE, FARM GATE (kg CO2e/kg)","Average of GHGE, processor gate (kg CO2e/kg)"),'[1]Pivot Table_GHG'!$A$3,"SUB TYPE",$B241))</f>
        <v/>
      </c>
      <c r="S241" s="94">
        <f>IF($P241="PROXY",DSTDEV('[1]literature entries'!$D:$AI,IF($J241=1,"ACTIVE     GHGE, FARM GATE (kg CO2e/kg)","GHGE, processor gate (kg CO2e/kg)"),INDIRECT($K241)),GETPIVOTDATA(IF($J241=1,"StdDev of ACTIVE     GHGE, FARM GATE (kg CO2e/kg)","StdDev of GHGE, processor gate (kg CO2e/kg)"),'[1]Pivot Table_GHG'!$A$3,"SUB TYPE",$B241))</f>
        <v/>
      </c>
      <c r="T241" s="105" t="n"/>
      <c r="U241" s="106" t="n"/>
      <c r="V241" s="97" t="n"/>
      <c r="W241" s="98" t="inlineStr">
        <is>
          <t>oils</t>
        </is>
      </c>
      <c r="X241" s="98">
        <f>IF($W241="DIRECT",M241,DCOUNT('[1]literature entries'!$D:$AI,IF($J241=1,"ACTIVE     CED, FARM GATE (MJ/kg)","CED, processor gate (MJ/kg)"),INDIRECT($W241)))</f>
        <v/>
      </c>
      <c r="Y241" s="98">
        <f>IF($W241="DIRECT","",DAVERAGE('[1]literature entries'!$D:$AI,IF($J241=1,"ACTIVE     CED, FARM GATE (MJ/kg)","CED, processor gate (MJ/kg)"),INDIRECT($W241)))</f>
        <v/>
      </c>
      <c r="Z241" s="98">
        <f>IF($W241="DIRECT",$O241,DSTDEV('[1]literature entries'!$D:$AI,IF($J241=1,"ACTIVE     CED, FARM GATE (MJ/kg)","CED, processor gate (MJ/kg)"),INDIRECT($W241)))</f>
        <v/>
      </c>
      <c r="AA241" s="98">
        <f>IF($W241="DIRECT",$O241,$Z241/$Y241*$N241)</f>
        <v/>
      </c>
      <c r="AB241" s="99" t="inlineStr">
        <is>
          <t>oils</t>
        </is>
      </c>
      <c r="AC241" s="99">
        <f>IF($AB241="DIRECT",Q241,DCOUNT('[1]literature entries'!$D:$AI,IF($J241=1,"ACTIVE     GHGE, FARM GATE (kg CO2e/kg)","GHGE, processor gate (kg CO2e/kg)"),INDIRECT($AB241)))</f>
        <v/>
      </c>
      <c r="AD241" s="99">
        <f>IF($AB241="DIRECT","",DAVERAGE('[1]literature entries'!$D:$AI,IF($J241=1,"ACTIVE     GHGE, FARM GATE (kg CO2e/kg)","GHGE, processor gate (kg CO2e/kg)"),INDIRECT($AB241)))</f>
        <v/>
      </c>
      <c r="AE241" s="99">
        <f>IF($AB241="DIRECT",$S241,DSTDEV('[1]literature entries'!$D:$AI,IF($J241=1,"ACTIVE     GHGE, FARM GATE (kg CO2e/kg)","GHGE, processor gate (kg CO2e/kg)"),INDIRECT($AB241)))</f>
        <v/>
      </c>
      <c r="AF241" s="99">
        <f>IF($AB241="DIRECT",$S241,$AE241/$AD241*$R241)</f>
        <v/>
      </c>
    </row>
    <row r="242" ht="15.75" customHeight="1" s="201">
      <c r="A242" s="100" t="n">
        <v>2100228000</v>
      </c>
      <c r="B242" s="101" t="inlineStr">
        <is>
          <t>Mushroom</t>
        </is>
      </c>
      <c r="C242" s="101" t="inlineStr">
        <is>
          <t>weight of caps or caps and stems</t>
        </is>
      </c>
      <c r="D242" s="101" t="inlineStr">
        <is>
          <t xml:space="preserve">Includes oyster, shiitake, and  button mushroom.                                                                                                                                          </t>
        </is>
      </c>
      <c r="E242" s="101" t="n">
        <v>4128</v>
      </c>
      <c r="F242" s="84">
        <f>N242*H242+T242</f>
        <v/>
      </c>
      <c r="G242" s="85">
        <f>R242*H242+U242</f>
        <v/>
      </c>
      <c r="H242" s="102" t="n">
        <v>1.03</v>
      </c>
      <c r="I242" s="102" t="inlineStr">
        <is>
          <t>FICRCD</t>
        </is>
      </c>
      <c r="J242" s="104" t="n">
        <v>1</v>
      </c>
      <c r="K242" s="89" t="n"/>
      <c r="L242" s="90">
        <f>IF(ISERROR(GETPIVOTDATA(IF($J242=1,"Count of ACTIVE     CED, FARM GATE (MJ/kg)","Count of CED, processor gate (MJ/kg)"),'[1]Pivot Table_CED'!$A$3,"SUB TYPE",$B242)),"PROXY",IF(GETPIVOTDATA(IF($J242=1,"Count of ACTIVE     CED, FARM GATE (MJ/kg)","Count of CED, processor gate (MJ/kg)"),'[1]Pivot Table_CED'!$A$3,"SUB TYPE",$B242)=0,"PROXY","DB value"))</f>
        <v/>
      </c>
      <c r="M242" s="91">
        <f>IF($L242="PROXY",DCOUNT('[1]literature entries'!$D:$AI,IF($J242=1,"ACTIVE     CED, FARM GATE (MJ/kg)","CED, processor gate (MJ/kg)"),INDIRECT($K242)),GETPIVOTDATA(IF($J242=1,"Count of ACTIVE     CED, FARM GATE (MJ/kg)","Count of CED, processor gate (MJ/kg)"),'[1]Pivot Table_CED'!$A$3,"SUB TYPE",$B242))</f>
        <v/>
      </c>
      <c r="N242" s="92">
        <f>IF($L242="PROXY",DAVERAGE('[1]literature entries'!$D:$AI,IF($J242=1,"ACTIVE     CED, FARM GATE (MJ/kg)","CED, processor gate (MJ/kg)"),INDIRECT($K242)),GETPIVOTDATA(IF($J242=1,"Average of ACTIVE     CED, FARM GATE (MJ/kg)","Average of CED, processor gate (MJ/kg)"),'[1]Pivot Table_CED'!$A$3,"SUB TYPE",$B242))</f>
        <v/>
      </c>
      <c r="O242" s="92">
        <f>IF($L242="PROXY",DSTDEV('[1]literature entries'!D:AI,IF($J242=1,"ACTIVE     CED, FARM GATE (MJ/kg)","CED, processor gate (MJ/kg)"),INDIRECT($K242)),GETPIVOTDATA(IF($J242=1,"StdDev of ACTIVE     CED, FARM GATE (MJ/kg)","StdDev of CED, processor gate (MJ/kg)"),'[1]Pivot Table_CED'!$A$3,"SUB TYPE",$B242))</f>
        <v/>
      </c>
      <c r="P242" s="90">
        <f>IF(ISERROR(GETPIVOTDATA(IF($J242=1,"Count of ACTIVE     GHGE, FARM GATE (kg CO2e/kg)","Count of GHGE, processor gate (kg CO2e/kg)"),'[1]Pivot Table_GHG'!$A$3,"SUB TYPE",$B242)),"PROXY",IF(GETPIVOTDATA(IF($J242=1,"Count of ACTIVE     GHGE, FARM GATE (kg CO2e/kg)","Count of GHGE, processor gate (kg CO2e/kg)"),'[1]Pivot Table_GHG'!$A$3,"SUB TYPE",$B242)=0,"PROXY","DB value"))</f>
        <v/>
      </c>
      <c r="Q242" s="93">
        <f>IF($P242="PROXY",DCOUNT('[1]literature entries'!$D:$AI,IF($J242=1,"ACTIVE     GHGE, FARM GATE (kg CO2e/kg)","GHGE, processor gate (kg CO2e/kg)"),INDIRECT($K242)),GETPIVOTDATA(IF($J242=1,"ACTIVE     GHGE, FARM GATE (kg CO2e/kg)","Count of GHGE, processor gate (kg CO2e/kg)"),'[1]Pivot Table_GHG'!$A$3,"SUB TYPE",$B242))</f>
        <v/>
      </c>
      <c r="R242" s="94">
        <f>IF($P242="PROXY",DAVERAGE('[1]literature entries'!$D:$AI,IF($J242=1,"ACTIVE     GHGE, FARM GATE (kg CO2e/kg)","GHGE, processor gate (kg CO2e/kg)"),INDIRECT($K242)),GETPIVOTDATA(IF($J242=1,"Average of ACTIVE     GHGE, FARM GATE (kg CO2e/kg)","Average of GHGE, processor gate (kg CO2e/kg)"),'[1]Pivot Table_GHG'!$A$3,"SUB TYPE",$B242))</f>
        <v/>
      </c>
      <c r="S242" s="94">
        <f>IF($P242="PROXY",DSTDEV('[1]literature entries'!$D:$AI,IF($J242=1,"ACTIVE     GHGE, FARM GATE (kg CO2e/kg)","GHGE, processor gate (kg CO2e/kg)"),INDIRECT($K242)),GETPIVOTDATA(IF($J242=1,"StdDev of ACTIVE     GHGE, FARM GATE (kg CO2e/kg)","StdDev of GHGE, processor gate (kg CO2e/kg)"),'[1]Pivot Table_GHG'!$A$3,"SUB TYPE",$B242))</f>
        <v/>
      </c>
      <c r="T242" s="105" t="n"/>
      <c r="U242" s="106" t="n"/>
      <c r="V242" s="97" t="n"/>
      <c r="W242" s="98" t="inlineStr">
        <is>
          <t>vegetables</t>
        </is>
      </c>
      <c r="X242" s="98">
        <f>IF($W242="DIRECT",M242,DCOUNT('[1]literature entries'!$D:$AI,IF($J242=1,"ACTIVE     CED, FARM GATE (MJ/kg)","CED, processor gate (MJ/kg)"),INDIRECT($W242)))</f>
        <v/>
      </c>
      <c r="Y242" s="98">
        <f>IF($W242="DIRECT","",DAVERAGE('[1]literature entries'!$D:$AI,IF($J242=1,"ACTIVE     CED, FARM GATE (MJ/kg)","CED, processor gate (MJ/kg)"),INDIRECT($W242)))</f>
        <v/>
      </c>
      <c r="Z242" s="98">
        <f>IF($W242="DIRECT",$O242,DSTDEV('[1]literature entries'!$D:$AI,IF($J242=1,"ACTIVE     CED, FARM GATE (MJ/kg)","CED, processor gate (MJ/kg)"),INDIRECT($W242)))</f>
        <v/>
      </c>
      <c r="AA242" s="98">
        <f>IF($W242="DIRECT",$O242,$Z242/$Y242*$N242)</f>
        <v/>
      </c>
      <c r="AB242" s="99">
        <f>IF(P242="PROXY",IF(Q242&gt;=5,K242,"need group"),IF(Q242&gt;=5,"DIRECT","need group"))</f>
        <v/>
      </c>
      <c r="AC242" s="99">
        <f>IF($AB242="DIRECT",Q242,DCOUNT('[1]literature entries'!$D:$AI,IF($J242=1,"ACTIVE     GHGE, FARM GATE (kg CO2e/kg)","GHGE, processor gate (kg CO2e/kg)"),INDIRECT($AB242)))</f>
        <v/>
      </c>
      <c r="AD242" s="99">
        <f>IF($AB242="DIRECT","",DAVERAGE('[1]literature entries'!$D:$AI,IF($J242=1,"ACTIVE     GHGE, FARM GATE (kg CO2e/kg)","GHGE, processor gate (kg CO2e/kg)"),INDIRECT($AB242)))</f>
        <v/>
      </c>
      <c r="AE242" s="99">
        <f>IF($AB242="DIRECT",$S242,DSTDEV('[1]literature entries'!$D:$AI,IF($J242=1,"ACTIVE     GHGE, FARM GATE (kg CO2e/kg)","GHGE, processor gate (kg CO2e/kg)"),INDIRECT($AB242)))</f>
        <v/>
      </c>
      <c r="AF242" s="99">
        <f>IF($AB242="DIRECT",$S242,$AE242/$AD242*$R242)</f>
        <v/>
      </c>
    </row>
    <row r="243" ht="15.75" customHeight="1" s="201">
      <c r="A243" s="100" t="n">
        <v>2201019000</v>
      </c>
      <c r="B243" s="101" t="inlineStr">
        <is>
          <t>Asparagus</t>
        </is>
      </c>
      <c r="C243" s="101" t="inlineStr">
        <is>
          <t>weight of edible portion of spears/stems</t>
        </is>
      </c>
      <c r="D243" s="101" t="n"/>
      <c r="E243" s="101" t="n">
        <v>392</v>
      </c>
      <c r="F243" s="84">
        <f>N243*H243+T243</f>
        <v/>
      </c>
      <c r="G243" s="85">
        <f>R243*H243+U243</f>
        <v/>
      </c>
      <c r="H243" s="102" t="n">
        <v>1.89</v>
      </c>
      <c r="I243" s="102" t="inlineStr">
        <is>
          <t>FICRCD</t>
        </is>
      </c>
      <c r="J243" s="104" t="n">
        <v>1</v>
      </c>
      <c r="K243" s="89" t="n"/>
      <c r="L243" s="90">
        <f>IF(ISERROR(GETPIVOTDATA(IF($J243=1,"Count of ACTIVE     CED, FARM GATE (MJ/kg)","Count of CED, processor gate (MJ/kg)"),'[1]Pivot Table_CED'!$A$3,"SUB TYPE",$B243)),"PROXY",IF(GETPIVOTDATA(IF($J243=1,"Count of ACTIVE     CED, FARM GATE (MJ/kg)","Count of CED, processor gate (MJ/kg)"),'[1]Pivot Table_CED'!$A$3,"SUB TYPE",$B243)=0,"PROXY","DB value"))</f>
        <v/>
      </c>
      <c r="M243" s="91">
        <f>IF($L243="PROXY",DCOUNT('[1]literature entries'!$D:$AI,IF($J243=1,"ACTIVE     CED, FARM GATE (MJ/kg)","CED, processor gate (MJ/kg)"),INDIRECT($K243)),GETPIVOTDATA(IF($J243=1,"Count of ACTIVE     CED, FARM GATE (MJ/kg)","Count of CED, processor gate (MJ/kg)"),'[1]Pivot Table_CED'!$A$3,"SUB TYPE",$B243))</f>
        <v/>
      </c>
      <c r="N243" s="92">
        <f>IF($L243="PROXY",DAVERAGE('[1]literature entries'!$D:$AI,IF($J243=1,"ACTIVE     CED, FARM GATE (MJ/kg)","CED, processor gate (MJ/kg)"),INDIRECT($K243)),GETPIVOTDATA(IF($J243=1,"Average of ACTIVE     CED, FARM GATE (MJ/kg)","Average of CED, processor gate (MJ/kg)"),'[1]Pivot Table_CED'!$A$3,"SUB TYPE",$B243))</f>
        <v/>
      </c>
      <c r="O243" s="92">
        <f>IF($L243="PROXY",DSTDEV('[1]literature entries'!D:AI,IF($J243=1,"ACTIVE     CED, FARM GATE (MJ/kg)","CED, processor gate (MJ/kg)"),INDIRECT($K243)),GETPIVOTDATA(IF($J243=1,"StdDev of ACTIVE     CED, FARM GATE (MJ/kg)","StdDev of CED, processor gate (MJ/kg)"),'[1]Pivot Table_CED'!$A$3,"SUB TYPE",$B243))</f>
        <v/>
      </c>
      <c r="P243" s="90">
        <f>IF(ISERROR(GETPIVOTDATA(IF($J243=1,"Count of ACTIVE     GHGE, FARM GATE (kg CO2e/kg)","Count of GHGE, processor gate (kg CO2e/kg)"),'[1]Pivot Table_GHG'!$A$3,"SUB TYPE",$B243)),"PROXY",IF(GETPIVOTDATA(IF($J243=1,"Count of ACTIVE     GHGE, FARM GATE (kg CO2e/kg)","Count of GHGE, processor gate (kg CO2e/kg)"),'[1]Pivot Table_GHG'!$A$3,"SUB TYPE",$B243)=0,"PROXY","DB value"))</f>
        <v/>
      </c>
      <c r="Q243" s="93">
        <f>IF($P243="PROXY",DCOUNT('[1]literature entries'!$D:$AI,IF($J243=1,"ACTIVE     GHGE, FARM GATE (kg CO2e/kg)","GHGE, processor gate (kg CO2e/kg)"),INDIRECT($K243)),GETPIVOTDATA(IF($J243=1,"ACTIVE     GHGE, FARM GATE (kg CO2e/kg)","Count of GHGE, processor gate (kg CO2e/kg)"),'[1]Pivot Table_GHG'!$A$3,"SUB TYPE",$B243))</f>
        <v/>
      </c>
      <c r="R243" s="94">
        <f>IF($P243="PROXY",DAVERAGE('[1]literature entries'!$D:$AI,IF($J243=1,"ACTIVE     GHGE, FARM GATE (kg CO2e/kg)","GHGE, processor gate (kg CO2e/kg)"),INDIRECT($K243)),GETPIVOTDATA(IF($J243=1,"Average of ACTIVE     GHGE, FARM GATE (kg CO2e/kg)","Average of GHGE, processor gate (kg CO2e/kg)"),'[1]Pivot Table_GHG'!$A$3,"SUB TYPE",$B243))</f>
        <v/>
      </c>
      <c r="S243" s="94">
        <f>IF($P243="PROXY",DSTDEV('[1]literature entries'!$D:$AI,IF($J243=1,"ACTIVE     GHGE, FARM GATE (kg CO2e/kg)","GHGE, processor gate (kg CO2e/kg)"),INDIRECT($K243)),GETPIVOTDATA(IF($J243=1,"StdDev of ACTIVE     GHGE, FARM GATE (kg CO2e/kg)","StdDev of GHGE, processor gate (kg CO2e/kg)"),'[1]Pivot Table_GHG'!$A$3,"SUB TYPE",$B243))</f>
        <v/>
      </c>
      <c r="T243" s="105" t="n"/>
      <c r="U243" s="106" t="n"/>
      <c r="V243" s="97" t="n"/>
      <c r="W243" s="98" t="inlineStr">
        <is>
          <t>vegetables</t>
        </is>
      </c>
      <c r="X243" s="98">
        <f>IF($W243="DIRECT",M243,DCOUNT('[1]literature entries'!$D:$AI,IF($J243=1,"ACTIVE     CED, FARM GATE (MJ/kg)","CED, processor gate (MJ/kg)"),INDIRECT($W243)))</f>
        <v/>
      </c>
      <c r="Y243" s="98">
        <f>IF($W243="DIRECT","",DAVERAGE('[1]literature entries'!$D:$AI,IF($J243=1,"ACTIVE     CED, FARM GATE (MJ/kg)","CED, processor gate (MJ/kg)"),INDIRECT($W243)))</f>
        <v/>
      </c>
      <c r="Z243" s="98">
        <f>IF($W243="DIRECT",$O243,DSTDEV('[1]literature entries'!$D:$AI,IF($J243=1,"ACTIVE     CED, FARM GATE (MJ/kg)","CED, processor gate (MJ/kg)"),INDIRECT($W243)))</f>
        <v/>
      </c>
      <c r="AA243" s="98">
        <f>IF($W243="DIRECT",$O243,$Z243/$Y243*$N243)</f>
        <v/>
      </c>
      <c r="AB243" s="99">
        <f>IF(P243="PROXY",IF(Q243&gt;=5,K243,"need group"),IF(Q243&gt;=5,"DIRECT","need group"))</f>
        <v/>
      </c>
      <c r="AC243" s="99">
        <f>IF($AB243="DIRECT",Q243,DCOUNT('[1]literature entries'!$D:$AI,IF($J243=1,"ACTIVE     GHGE, FARM GATE (kg CO2e/kg)","GHGE, processor gate (kg CO2e/kg)"),INDIRECT($AB243)))</f>
        <v/>
      </c>
      <c r="AD243" s="99">
        <f>IF($AB243="DIRECT","",DAVERAGE('[1]literature entries'!$D:$AI,IF($J243=1,"ACTIVE     GHGE, FARM GATE (kg CO2e/kg)","GHGE, processor gate (kg CO2e/kg)"),INDIRECT($AB243)))</f>
        <v/>
      </c>
      <c r="AE243" s="99">
        <f>IF($AB243="DIRECT",$S243,DSTDEV('[1]literature entries'!$D:$AI,IF($J243=1,"ACTIVE     GHGE, FARM GATE (kg CO2e/kg)","GHGE, processor gate (kg CO2e/kg)"),INDIRECT($AB243)))</f>
        <v/>
      </c>
      <c r="AF243" s="99">
        <f>IF($AB243="DIRECT",$S243,$AE243/$AD243*$R243)</f>
        <v/>
      </c>
    </row>
    <row r="244" ht="15.75" customHeight="1" s="201">
      <c r="A244" s="100" t="n">
        <v>2201022000</v>
      </c>
      <c r="B244" s="101" t="inlineStr">
        <is>
          <t>Bamboo, shoots</t>
        </is>
      </c>
      <c r="C244" s="101" t="inlineStr">
        <is>
          <t>weight of shoots</t>
        </is>
      </c>
      <c r="D244" s="101" t="inlineStr">
        <is>
          <t>Bamboo shoots are the human food item.</t>
        </is>
      </c>
      <c r="E244" s="101" t="n">
        <v>569</v>
      </c>
      <c r="F244" s="84">
        <f>N244*H244+T244</f>
        <v/>
      </c>
      <c r="G244" s="85">
        <f>R244*H244+U244</f>
        <v/>
      </c>
      <c r="H244" s="103" t="n">
        <v>1</v>
      </c>
      <c r="I244" s="103" t="inlineStr">
        <is>
          <t>None</t>
        </is>
      </c>
      <c r="J244" s="104" t="n">
        <v>1</v>
      </c>
      <c r="K244" s="89" t="inlineStr">
        <is>
          <t>asparagus</t>
        </is>
      </c>
      <c r="L244" s="90">
        <f>IF(ISERROR(GETPIVOTDATA(IF($J244=1,"Count of ACTIVE     CED, FARM GATE (MJ/kg)","Count of CED, processor gate (MJ/kg)"),'[1]Pivot Table_CED'!$A$3,"SUB TYPE",$B244)),"PROXY",IF(GETPIVOTDATA(IF($J244=1,"Count of ACTIVE     CED, FARM GATE (MJ/kg)","Count of CED, processor gate (MJ/kg)"),'[1]Pivot Table_CED'!$A$3,"SUB TYPE",$B244)=0,"PROXY","DB value"))</f>
        <v/>
      </c>
      <c r="M244" s="91">
        <f>IF($L244="PROXY",DCOUNT('[1]literature entries'!$D:$AI,IF($J244=1,"ACTIVE     CED, FARM GATE (MJ/kg)","CED, processor gate (MJ/kg)"),INDIRECT($K244)),GETPIVOTDATA(IF($J244=1,"Count of ACTIVE     CED, FARM GATE (MJ/kg)","Count of CED, processor gate (MJ/kg)"),'[1]Pivot Table_CED'!$A$3,"SUB TYPE",$B244))</f>
        <v/>
      </c>
      <c r="N244" s="92">
        <f>IF($L244="PROXY",DAVERAGE('[1]literature entries'!$D:$AI,IF($J244=1,"ACTIVE     CED, FARM GATE (MJ/kg)","CED, processor gate (MJ/kg)"),INDIRECT($K244)),GETPIVOTDATA(IF($J244=1,"Average of ACTIVE     CED, FARM GATE (MJ/kg)","Average of CED, processor gate (MJ/kg)"),'[1]Pivot Table_CED'!$A$3,"SUB TYPE",$B244))</f>
        <v/>
      </c>
      <c r="O244" s="92">
        <f>IF($L244="PROXY",DSTDEV('[1]literature entries'!D:AI,IF($J244=1,"ACTIVE     CED, FARM GATE (MJ/kg)","CED, processor gate (MJ/kg)"),INDIRECT($K244)),GETPIVOTDATA(IF($J244=1,"StdDev of ACTIVE     CED, FARM GATE (MJ/kg)","StdDev of CED, processor gate (MJ/kg)"),'[1]Pivot Table_CED'!$A$3,"SUB TYPE",$B244))</f>
        <v/>
      </c>
      <c r="P244" s="90">
        <f>IF(ISERROR(GETPIVOTDATA(IF($J244=1,"Count of ACTIVE     GHGE, FARM GATE (kg CO2e/kg)","Count of GHGE, processor gate (kg CO2e/kg)"),'[1]Pivot Table_GHG'!$A$3,"SUB TYPE",$B244)),"PROXY",IF(GETPIVOTDATA(IF($J244=1,"Count of ACTIVE     GHGE, FARM GATE (kg CO2e/kg)","Count of GHGE, processor gate (kg CO2e/kg)"),'[1]Pivot Table_GHG'!$A$3,"SUB TYPE",$B244)=0,"PROXY","DB value"))</f>
        <v/>
      </c>
      <c r="Q244" s="93">
        <f>IF($P244="PROXY",DCOUNT('[1]literature entries'!$D:$AI,IF($J244=1,"ACTIVE     GHGE, FARM GATE (kg CO2e/kg)","GHGE, processor gate (kg CO2e/kg)"),INDIRECT($K244)),GETPIVOTDATA(IF($J244=1,"ACTIVE     GHGE, FARM GATE (kg CO2e/kg)","Count of GHGE, processor gate (kg CO2e/kg)"),'[1]Pivot Table_GHG'!$A$3,"SUB TYPE",$B244))</f>
        <v/>
      </c>
      <c r="R244" s="94">
        <f>IF($P244="PROXY",DAVERAGE('[1]literature entries'!$D:$AI,IF($J244=1,"ACTIVE     GHGE, FARM GATE (kg CO2e/kg)","GHGE, processor gate (kg CO2e/kg)"),INDIRECT($K244)),GETPIVOTDATA(IF($J244=1,"Average of ACTIVE     GHGE, FARM GATE (kg CO2e/kg)","Average of GHGE, processor gate (kg CO2e/kg)"),'[1]Pivot Table_GHG'!$A$3,"SUB TYPE",$B244))</f>
        <v/>
      </c>
      <c r="S244" s="94">
        <f>IF($P244="PROXY",DSTDEV('[1]literature entries'!$D:$AI,IF($J244=1,"ACTIVE     GHGE, FARM GATE (kg CO2e/kg)","GHGE, processor gate (kg CO2e/kg)"),INDIRECT($K244)),GETPIVOTDATA(IF($J244=1,"StdDev of ACTIVE     GHGE, FARM GATE (kg CO2e/kg)","StdDev of GHGE, processor gate (kg CO2e/kg)"),'[1]Pivot Table_GHG'!$A$3,"SUB TYPE",$B244))</f>
        <v/>
      </c>
      <c r="T244" s="105" t="n"/>
      <c r="U244" s="106" t="n"/>
      <c r="V244" s="97" t="n"/>
      <c r="W244" s="98" t="inlineStr">
        <is>
          <t>vegetables</t>
        </is>
      </c>
      <c r="X244" s="98">
        <f>IF($W244="DIRECT",M244,DCOUNT('[1]literature entries'!$D:$AI,IF($J244=1,"ACTIVE     CED, FARM GATE (MJ/kg)","CED, processor gate (MJ/kg)"),INDIRECT($W244)))</f>
        <v/>
      </c>
      <c r="Y244" s="98">
        <f>IF($W244="DIRECT","",DAVERAGE('[1]literature entries'!$D:$AI,IF($J244=1,"ACTIVE     CED, FARM GATE (MJ/kg)","CED, processor gate (MJ/kg)"),INDIRECT($W244)))</f>
        <v/>
      </c>
      <c r="Z244" s="98">
        <f>IF($W244="DIRECT",$O244,DSTDEV('[1]literature entries'!$D:$AI,IF($J244=1,"ACTIVE     CED, FARM GATE (MJ/kg)","CED, processor gate (MJ/kg)"),INDIRECT($W244)))</f>
        <v/>
      </c>
      <c r="AA244" s="98">
        <f>IF($W244="DIRECT",$O244,$Z244/$Y244*$N244)</f>
        <v/>
      </c>
      <c r="AB244" s="99">
        <f>IF(P244="PROXY",IF(Q244&gt;=5,K244,"need group"),IF(Q244&gt;=5,"DIRECT","need group"))</f>
        <v/>
      </c>
      <c r="AC244" s="99">
        <f>IF($AB244="DIRECT",Q244,DCOUNT('[1]literature entries'!$D:$AI,IF($J244=1,"ACTIVE     GHGE, FARM GATE (kg CO2e/kg)","GHGE, processor gate (kg CO2e/kg)"),INDIRECT($AB244)))</f>
        <v/>
      </c>
      <c r="AD244" s="99">
        <f>IF($AB244="DIRECT","",DAVERAGE('[1]literature entries'!$D:$AI,IF($J244=1,"ACTIVE     GHGE, FARM GATE (kg CO2e/kg)","GHGE, processor gate (kg CO2e/kg)"),INDIRECT($AB244)))</f>
        <v/>
      </c>
      <c r="AE244" s="99">
        <f>IF($AB244="DIRECT",$S244,DSTDEV('[1]literature entries'!$D:$AI,IF($J244=1,"ACTIVE     GHGE, FARM GATE (kg CO2e/kg)","GHGE, processor gate (kg CO2e/kg)"),INDIRECT($AB244)))</f>
        <v/>
      </c>
      <c r="AF244" s="99">
        <f>IF($AB244="DIRECT",$S244,$AE244/$AD244*$R244)</f>
        <v/>
      </c>
    </row>
    <row r="245" ht="15.75" customHeight="1" s="201">
      <c r="A245" s="100" t="n">
        <v>2201073000</v>
      </c>
      <c r="B245" s="101" t="inlineStr">
        <is>
          <t>Cactus</t>
        </is>
      </c>
      <c r="C245" s="101" t="inlineStr">
        <is>
          <t>weight of pulp; excluding peel; juice</t>
        </is>
      </c>
      <c r="D245" s="101" t="inlineStr">
        <is>
          <t>Includes Prickly pear, Cactus pads and flowers, Nopales, and Aloe vera.</t>
        </is>
      </c>
      <c r="E245" s="101" t="n">
        <v>195</v>
      </c>
      <c r="F245" s="84">
        <f>N245*H245+T245</f>
        <v/>
      </c>
      <c r="G245" s="85">
        <f>R245*H245+U245</f>
        <v/>
      </c>
      <c r="H245" s="102" t="n">
        <v>1.04</v>
      </c>
      <c r="I245" s="102" t="inlineStr">
        <is>
          <t>FICRCD</t>
        </is>
      </c>
      <c r="J245" s="104" t="n">
        <v>1</v>
      </c>
      <c r="K245" s="89" t="inlineStr">
        <is>
          <t>cucumber</t>
        </is>
      </c>
      <c r="L245" s="90">
        <f>IF(ISERROR(GETPIVOTDATA(IF($J245=1,"Count of ACTIVE     CED, FARM GATE (MJ/kg)","Count of CED, processor gate (MJ/kg)"),'[1]Pivot Table_CED'!$A$3,"SUB TYPE",$B245)),"PROXY",IF(GETPIVOTDATA(IF($J245=1,"Count of ACTIVE     CED, FARM GATE (MJ/kg)","Count of CED, processor gate (MJ/kg)"),'[1]Pivot Table_CED'!$A$3,"SUB TYPE",$B245)=0,"PROXY","DB value"))</f>
        <v/>
      </c>
      <c r="M245" s="91">
        <f>IF($L245="PROXY",DCOUNT('[1]literature entries'!$D:$AI,IF($J245=1,"ACTIVE     CED, FARM GATE (MJ/kg)","CED, processor gate (MJ/kg)"),INDIRECT($K245)),GETPIVOTDATA(IF($J245=1,"Count of ACTIVE     CED, FARM GATE (MJ/kg)","Count of CED, processor gate (MJ/kg)"),'[1]Pivot Table_CED'!$A$3,"SUB TYPE",$B245))</f>
        <v/>
      </c>
      <c r="N245" s="92">
        <f>IF($L245="PROXY",DAVERAGE('[1]literature entries'!$D:$AI,IF($J245=1,"ACTIVE     CED, FARM GATE (MJ/kg)","CED, processor gate (MJ/kg)"),INDIRECT($K245)),GETPIVOTDATA(IF($J245=1,"Average of ACTIVE     CED, FARM GATE (MJ/kg)","Average of CED, processor gate (MJ/kg)"),'[1]Pivot Table_CED'!$A$3,"SUB TYPE",$B245))</f>
        <v/>
      </c>
      <c r="O245" s="92">
        <f>IF($L245="PROXY",DSTDEV('[1]literature entries'!D:AI,IF($J245=1,"ACTIVE     CED, FARM GATE (MJ/kg)","CED, processor gate (MJ/kg)"),INDIRECT($K245)),GETPIVOTDATA(IF($J245=1,"StdDev of ACTIVE     CED, FARM GATE (MJ/kg)","StdDev of CED, processor gate (MJ/kg)"),'[1]Pivot Table_CED'!$A$3,"SUB TYPE",$B245))</f>
        <v/>
      </c>
      <c r="P245" s="90">
        <f>IF(ISERROR(GETPIVOTDATA(IF($J245=1,"Count of ACTIVE     GHGE, FARM GATE (kg CO2e/kg)","Count of GHGE, processor gate (kg CO2e/kg)"),'[1]Pivot Table_GHG'!$A$3,"SUB TYPE",$B245)),"PROXY",IF(GETPIVOTDATA(IF($J245=1,"Count of ACTIVE     GHGE, FARM GATE (kg CO2e/kg)","Count of GHGE, processor gate (kg CO2e/kg)"),'[1]Pivot Table_GHG'!$A$3,"SUB TYPE",$B245)=0,"PROXY","DB value"))</f>
        <v/>
      </c>
      <c r="Q245" s="93">
        <f>IF($P245="PROXY",DCOUNT('[1]literature entries'!$D:$AI,IF($J245=1,"ACTIVE     GHGE, FARM GATE (kg CO2e/kg)","GHGE, processor gate (kg CO2e/kg)"),INDIRECT($K245)),GETPIVOTDATA(IF($J245=1,"ACTIVE     GHGE, FARM GATE (kg CO2e/kg)","Count of GHGE, processor gate (kg CO2e/kg)"),'[1]Pivot Table_GHG'!$A$3,"SUB TYPE",$B245))</f>
        <v/>
      </c>
      <c r="R245" s="94">
        <f>IF($P245="PROXY",DAVERAGE('[1]literature entries'!$D:$AI,IF($J245=1,"ACTIVE     GHGE, FARM GATE (kg CO2e/kg)","GHGE, processor gate (kg CO2e/kg)"),INDIRECT($K245)),GETPIVOTDATA(IF($J245=1,"Average of ACTIVE     GHGE, FARM GATE (kg CO2e/kg)","Average of GHGE, processor gate (kg CO2e/kg)"),'[1]Pivot Table_GHG'!$A$3,"SUB TYPE",$B245))</f>
        <v/>
      </c>
      <c r="S245" s="94">
        <f>IF($P245="PROXY",DSTDEV('[1]literature entries'!$D:$AI,IF($J245=1,"ACTIVE     GHGE, FARM GATE (kg CO2e/kg)","GHGE, processor gate (kg CO2e/kg)"),INDIRECT($K245)),GETPIVOTDATA(IF($J245=1,"StdDev of ACTIVE     GHGE, FARM GATE (kg CO2e/kg)","StdDev of GHGE, processor gate (kg CO2e/kg)"),'[1]Pivot Table_GHG'!$A$3,"SUB TYPE",$B245))</f>
        <v/>
      </c>
      <c r="T245" s="105" t="n"/>
      <c r="U245" s="106" t="n"/>
      <c r="V245" s="97" t="n"/>
      <c r="W245" s="98" t="inlineStr">
        <is>
          <t>vegetables</t>
        </is>
      </c>
      <c r="X245" s="98">
        <f>IF($W245="DIRECT",M245,DCOUNT('[1]literature entries'!$D:$AI,IF($J245=1,"ACTIVE     CED, FARM GATE (MJ/kg)","CED, processor gate (MJ/kg)"),INDIRECT($W245)))</f>
        <v/>
      </c>
      <c r="Y245" s="98">
        <f>IF($W245="DIRECT","",DAVERAGE('[1]literature entries'!$D:$AI,IF($J245=1,"ACTIVE     CED, FARM GATE (MJ/kg)","CED, processor gate (MJ/kg)"),INDIRECT($W245)))</f>
        <v/>
      </c>
      <c r="Z245" s="98">
        <f>IF($W245="DIRECT",$O245,DSTDEV('[1]literature entries'!$D:$AI,IF($J245=1,"ACTIVE     CED, FARM GATE (MJ/kg)","CED, processor gate (MJ/kg)"),INDIRECT($W245)))</f>
        <v/>
      </c>
      <c r="AA245" s="98">
        <f>IF($W245="DIRECT",$O245,$Z245/$Y245*$N245)</f>
        <v/>
      </c>
      <c r="AB245" s="99" t="inlineStr">
        <is>
          <t>vegetables</t>
        </is>
      </c>
      <c r="AC245" s="99">
        <f>IF($AB245="DIRECT",Q245,DCOUNT('[1]literature entries'!$D:$AI,IF($J245=1,"ACTIVE     GHGE, FARM GATE (kg CO2e/kg)","GHGE, processor gate (kg CO2e/kg)"),INDIRECT($AB245)))</f>
        <v/>
      </c>
      <c r="AD245" s="99">
        <f>IF($AB245="DIRECT","",DAVERAGE('[1]literature entries'!$D:$AI,IF($J245=1,"ACTIVE     GHGE, FARM GATE (kg CO2e/kg)","GHGE, processor gate (kg CO2e/kg)"),INDIRECT($AB245)))</f>
        <v/>
      </c>
      <c r="AE245" s="99">
        <f>IF($AB245="DIRECT",$S245,DSTDEV('[1]literature entries'!$D:$AI,IF($J245=1,"ACTIVE     GHGE, FARM GATE (kg CO2e/kg)","GHGE, processor gate (kg CO2e/kg)"),INDIRECT($AB245)))</f>
        <v/>
      </c>
      <c r="AF245" s="99">
        <f>IF($AB245="DIRECT",$S245,$AE245/$AD245*$R245)</f>
        <v/>
      </c>
    </row>
    <row r="246" ht="15.75" customHeight="1" s="201">
      <c r="A246" s="100" t="n">
        <v>2201152000</v>
      </c>
      <c r="B246" s="101" t="inlineStr">
        <is>
          <t>Fennel, Florence</t>
        </is>
      </c>
      <c r="C246" s="101" t="inlineStr">
        <is>
          <t>weight of leaves</t>
        </is>
      </c>
      <c r="D246" s="101" t="inlineStr">
        <is>
          <t>Includes Italian and sweet fennel.</t>
        </is>
      </c>
      <c r="E246" s="101" t="n">
        <v>2</v>
      </c>
      <c r="F246" s="84">
        <f>N246*H246+T246</f>
        <v/>
      </c>
      <c r="G246" s="85">
        <f>R246*H246+U246</f>
        <v/>
      </c>
      <c r="H246" s="102" t="n">
        <v>1.12</v>
      </c>
      <c r="I246" s="102" t="inlineStr">
        <is>
          <t>FICRCD</t>
        </is>
      </c>
      <c r="J246" s="113" t="n">
        <v>1</v>
      </c>
      <c r="K246" s="89" t="inlineStr">
        <is>
          <t>celery</t>
        </is>
      </c>
      <c r="L246" s="90">
        <f>IF(ISERROR(GETPIVOTDATA(IF($J246=1,"Count of ACTIVE     CED, FARM GATE (MJ/kg)","Count of CED, processor gate (MJ/kg)"),'[1]Pivot Table_CED'!$A$3,"SUB TYPE",$B246)),"PROXY",IF(GETPIVOTDATA(IF($J246=1,"Count of ACTIVE     CED, FARM GATE (MJ/kg)","Count of CED, processor gate (MJ/kg)"),'[1]Pivot Table_CED'!$A$3,"SUB TYPE",$B246)=0,"PROXY","DB value"))</f>
        <v/>
      </c>
      <c r="M246" s="91">
        <f>IF($L246="PROXY",DCOUNT('[1]literature entries'!$D:$AI,IF($J246=1,"ACTIVE     CED, FARM GATE (MJ/kg)","CED, processor gate (MJ/kg)"),INDIRECT($K246)),GETPIVOTDATA(IF($J246=1,"Count of ACTIVE     CED, FARM GATE (MJ/kg)","Count of CED, processor gate (MJ/kg)"),'[1]Pivot Table_CED'!$A$3,"SUB TYPE",$B246))</f>
        <v/>
      </c>
      <c r="N246" s="92">
        <f>IF($L246="PROXY",DAVERAGE('[1]literature entries'!$D:$AI,IF($J246=1,"ACTIVE     CED, FARM GATE (MJ/kg)","CED, processor gate (MJ/kg)"),INDIRECT($K246)),GETPIVOTDATA(IF($J246=1,"Average of ACTIVE     CED, FARM GATE (MJ/kg)","Average of CED, processor gate (MJ/kg)"),'[1]Pivot Table_CED'!$A$3,"SUB TYPE",$B246))</f>
        <v/>
      </c>
      <c r="O246" s="92">
        <f>IF($L246="PROXY",DSTDEV('[1]literature entries'!D:AI,IF($J246=1,"ACTIVE     CED, FARM GATE (MJ/kg)","CED, processor gate (MJ/kg)"),INDIRECT($K246)),GETPIVOTDATA(IF($J246=1,"StdDev of ACTIVE     CED, FARM GATE (MJ/kg)","StdDev of CED, processor gate (MJ/kg)"),'[1]Pivot Table_CED'!$A$3,"SUB TYPE",$B246))</f>
        <v/>
      </c>
      <c r="P246" s="90">
        <f>IF(ISERROR(GETPIVOTDATA(IF($J246=1,"Count of ACTIVE     GHGE, FARM GATE (kg CO2e/kg)","Count of GHGE, processor gate (kg CO2e/kg)"),'[1]Pivot Table_GHG'!$A$3,"SUB TYPE",$B246)),"PROXY",IF(GETPIVOTDATA(IF($J246=1,"Count of ACTIVE     GHGE, FARM GATE (kg CO2e/kg)","Count of GHGE, processor gate (kg CO2e/kg)"),'[1]Pivot Table_GHG'!$A$3,"SUB TYPE",$B246)=0,"PROXY","DB value"))</f>
        <v/>
      </c>
      <c r="Q246" s="93">
        <f>IF($P246="PROXY",DCOUNT('[1]literature entries'!$D:$AI,IF($J246=1,"ACTIVE     GHGE, FARM GATE (kg CO2e/kg)","GHGE, processor gate (kg CO2e/kg)"),INDIRECT($K246)),GETPIVOTDATA(IF($J246=1,"ACTIVE     GHGE, FARM GATE (kg CO2e/kg)","Count of GHGE, processor gate (kg CO2e/kg)"),'[1]Pivot Table_GHG'!$A$3,"SUB TYPE",$B246))</f>
        <v/>
      </c>
      <c r="R246" s="94">
        <f>IF($P246="PROXY",DAVERAGE('[1]literature entries'!$D:$AI,IF($J246=1,"ACTIVE     GHGE, FARM GATE (kg CO2e/kg)","GHGE, processor gate (kg CO2e/kg)"),INDIRECT($K246)),GETPIVOTDATA(IF($J246=1,"Average of ACTIVE     GHGE, FARM GATE (kg CO2e/kg)","Average of GHGE, processor gate (kg CO2e/kg)"),'[1]Pivot Table_GHG'!$A$3,"SUB TYPE",$B246))</f>
        <v/>
      </c>
      <c r="S246" s="94">
        <f>IF($P246="PROXY",DSTDEV('[1]literature entries'!$D:$AI,IF($J246=1,"ACTIVE     GHGE, FARM GATE (kg CO2e/kg)","GHGE, processor gate (kg CO2e/kg)"),INDIRECT($K246)),GETPIVOTDATA(IF($J246=1,"StdDev of ACTIVE     GHGE, FARM GATE (kg CO2e/kg)","StdDev of GHGE, processor gate (kg CO2e/kg)"),'[1]Pivot Table_GHG'!$A$3,"SUB TYPE",$B246))</f>
        <v/>
      </c>
      <c r="T246" s="105" t="n"/>
      <c r="U246" s="106" t="n"/>
      <c r="V246" s="97" t="n"/>
      <c r="W246" s="98" t="inlineStr">
        <is>
          <t>vegetables</t>
        </is>
      </c>
      <c r="X246" s="98">
        <f>IF($W246="DIRECT",M246,DCOUNT('[1]literature entries'!$D:$AI,IF($J246=1,"ACTIVE     CED, FARM GATE (MJ/kg)","CED, processor gate (MJ/kg)"),INDIRECT($W246)))</f>
        <v/>
      </c>
      <c r="Y246" s="98">
        <f>IF($W246="DIRECT","",DAVERAGE('[1]literature entries'!$D:$AI,IF($J246=1,"ACTIVE     CED, FARM GATE (MJ/kg)","CED, processor gate (MJ/kg)"),INDIRECT($W246)))</f>
        <v/>
      </c>
      <c r="Z246" s="98">
        <f>IF($W246="DIRECT",$O246,DSTDEV('[1]literature entries'!$D:$AI,IF($J246=1,"ACTIVE     CED, FARM GATE (MJ/kg)","CED, processor gate (MJ/kg)"),INDIRECT($W246)))</f>
        <v/>
      </c>
      <c r="AA246" s="98">
        <f>IF($W246="DIRECT",$O246,$Z246/$Y246*$N246)</f>
        <v/>
      </c>
      <c r="AB246" s="99" t="inlineStr">
        <is>
          <t>vegetables</t>
        </is>
      </c>
      <c r="AC246" s="99">
        <f>IF($AB246="DIRECT",Q246,DCOUNT('[1]literature entries'!$D:$AI,IF($J246=1,"ACTIVE     GHGE, FARM GATE (kg CO2e/kg)","GHGE, processor gate (kg CO2e/kg)"),INDIRECT($AB246)))</f>
        <v/>
      </c>
      <c r="AD246" s="99">
        <f>IF($AB246="DIRECT","",DAVERAGE('[1]literature entries'!$D:$AI,IF($J246=1,"ACTIVE     GHGE, FARM GATE (kg CO2e/kg)","GHGE, processor gate (kg CO2e/kg)"),INDIRECT($AB246)))</f>
        <v/>
      </c>
      <c r="AE246" s="99">
        <f>IF($AB246="DIRECT",$S246,DSTDEV('[1]literature entries'!$D:$AI,IF($J246=1,"ACTIVE     GHGE, FARM GATE (kg CO2e/kg)","GHGE, processor gate (kg CO2e/kg)"),INDIRECT($AB246)))</f>
        <v/>
      </c>
      <c r="AF246" s="99">
        <f>IF($AB246="DIRECT",$S246,$AE246/$AD246*$R246)</f>
        <v/>
      </c>
    </row>
    <row r="247" ht="15.75" customHeight="1" s="201">
      <c r="A247" s="100" t="n">
        <v>2201196000</v>
      </c>
      <c r="B247" s="101" t="inlineStr">
        <is>
          <t>Kohlrabi</t>
        </is>
      </c>
      <c r="C247" s="101" t="inlineStr">
        <is>
          <t>weight of leaves and stems</t>
        </is>
      </c>
      <c r="D247" s="101" t="n"/>
      <c r="E247" s="101" t="n">
        <v>3</v>
      </c>
      <c r="F247" s="84">
        <f>N247*H247+T247</f>
        <v/>
      </c>
      <c r="G247" s="85">
        <f>R247*H247+U247</f>
        <v/>
      </c>
      <c r="H247" s="102" t="n">
        <v>2.17</v>
      </c>
      <c r="I247" s="102" t="inlineStr">
        <is>
          <t>FICRCD</t>
        </is>
      </c>
      <c r="J247" s="104" t="n">
        <v>1</v>
      </c>
      <c r="K247" s="89" t="inlineStr">
        <is>
          <t>brassica</t>
        </is>
      </c>
      <c r="L247" s="90">
        <f>IF(ISERROR(GETPIVOTDATA(IF($J247=1,"Count of ACTIVE     CED, FARM GATE (MJ/kg)","Count of CED, processor gate (MJ/kg)"),'[1]Pivot Table_CED'!$A$3,"SUB TYPE",$B247)),"PROXY",IF(GETPIVOTDATA(IF($J247=1,"Count of ACTIVE     CED, FARM GATE (MJ/kg)","Count of CED, processor gate (MJ/kg)"),'[1]Pivot Table_CED'!$A$3,"SUB TYPE",$B247)=0,"PROXY","DB value"))</f>
        <v/>
      </c>
      <c r="M247" s="91">
        <f>IF($L247="PROXY",DCOUNT('[1]literature entries'!$D:$AI,IF($J247=1,"ACTIVE     CED, FARM GATE (MJ/kg)","CED, processor gate (MJ/kg)"),INDIRECT($K247)),GETPIVOTDATA(IF($J247=1,"Count of ACTIVE     CED, FARM GATE (MJ/kg)","Count of CED, processor gate (MJ/kg)"),'[1]Pivot Table_CED'!$A$3,"SUB TYPE",$B247))</f>
        <v/>
      </c>
      <c r="N247" s="92">
        <f>IF($L247="PROXY",DAVERAGE('[1]literature entries'!$D:$AI,IF($J247=1,"ACTIVE     CED, FARM GATE (MJ/kg)","CED, processor gate (MJ/kg)"),INDIRECT($K247)),GETPIVOTDATA(IF($J247=1,"Average of ACTIVE     CED, FARM GATE (MJ/kg)","Average of CED, processor gate (MJ/kg)"),'[1]Pivot Table_CED'!$A$3,"SUB TYPE",$B247))</f>
        <v/>
      </c>
      <c r="O247" s="92">
        <f>IF($L247="PROXY",DSTDEV('[1]literature entries'!D:AI,IF($J247=1,"ACTIVE     CED, FARM GATE (MJ/kg)","CED, processor gate (MJ/kg)"),INDIRECT($K247)),GETPIVOTDATA(IF($J247=1,"StdDev of ACTIVE     CED, FARM GATE (MJ/kg)","StdDev of CED, processor gate (MJ/kg)"),'[1]Pivot Table_CED'!$A$3,"SUB TYPE",$B247))</f>
        <v/>
      </c>
      <c r="P247" s="90">
        <f>IF(ISERROR(GETPIVOTDATA(IF($J247=1,"Count of ACTIVE     GHGE, FARM GATE (kg CO2e/kg)","Count of GHGE, processor gate (kg CO2e/kg)"),'[1]Pivot Table_GHG'!$A$3,"SUB TYPE",$B247)),"PROXY",IF(GETPIVOTDATA(IF($J247=1,"Count of ACTIVE     GHGE, FARM GATE (kg CO2e/kg)","Count of GHGE, processor gate (kg CO2e/kg)"),'[1]Pivot Table_GHG'!$A$3,"SUB TYPE",$B247)=0,"PROXY","DB value"))</f>
        <v/>
      </c>
      <c r="Q247" s="93">
        <f>IF($P247="PROXY",DCOUNT('[1]literature entries'!$D:$AI,IF($J247=1,"ACTIVE     GHGE, FARM GATE (kg CO2e/kg)","GHGE, processor gate (kg CO2e/kg)"),INDIRECT($K247)),GETPIVOTDATA(IF($J247=1,"ACTIVE     GHGE, FARM GATE (kg CO2e/kg)","Count of GHGE, processor gate (kg CO2e/kg)"),'[1]Pivot Table_GHG'!$A$3,"SUB TYPE",$B247))</f>
        <v/>
      </c>
      <c r="R247" s="94">
        <f>IF($P247="PROXY",DAVERAGE('[1]literature entries'!$D:$AI,IF($J247=1,"ACTIVE     GHGE, FARM GATE (kg CO2e/kg)","GHGE, processor gate (kg CO2e/kg)"),INDIRECT($K247)),GETPIVOTDATA(IF($J247=1,"Average of ACTIVE     GHGE, FARM GATE (kg CO2e/kg)","Average of GHGE, processor gate (kg CO2e/kg)"),'[1]Pivot Table_GHG'!$A$3,"SUB TYPE",$B247))</f>
        <v/>
      </c>
      <c r="S247" s="94">
        <f>IF($P247="PROXY",DSTDEV('[1]literature entries'!$D:$AI,IF($J247=1,"ACTIVE     GHGE, FARM GATE (kg CO2e/kg)","GHGE, processor gate (kg CO2e/kg)"),INDIRECT($K247)),GETPIVOTDATA(IF($J247=1,"StdDev of ACTIVE     GHGE, FARM GATE (kg CO2e/kg)","StdDev of GHGE, processor gate (kg CO2e/kg)"),'[1]Pivot Table_GHG'!$A$3,"SUB TYPE",$B247))</f>
        <v/>
      </c>
      <c r="T247" s="105" t="n"/>
      <c r="U247" s="106" t="n"/>
      <c r="V247" s="97" t="n"/>
      <c r="W247" s="98">
        <f>IF(L247="PROXY",IF(M247&gt;=5,K247,"need group"),IF(M247&gt;=5,"DIRECT","need group"))</f>
        <v/>
      </c>
      <c r="X247" s="98">
        <f>IF($W247="DIRECT",M247,DCOUNT('[1]literature entries'!$D:$AI,IF($J247=1,"ACTIVE     CED, FARM GATE (MJ/kg)","CED, processor gate (MJ/kg)"),INDIRECT($W247)))</f>
        <v/>
      </c>
      <c r="Y247" s="98">
        <f>IF($W247="DIRECT","",DAVERAGE('[1]literature entries'!$D:$AI,IF($J247=1,"ACTIVE     CED, FARM GATE (MJ/kg)","CED, processor gate (MJ/kg)"),INDIRECT($W247)))</f>
        <v/>
      </c>
      <c r="Z247" s="98">
        <f>IF($W247="DIRECT",$O247,DSTDEV('[1]literature entries'!$D:$AI,IF($J247=1,"ACTIVE     CED, FARM GATE (MJ/kg)","CED, processor gate (MJ/kg)"),INDIRECT($W247)))</f>
        <v/>
      </c>
      <c r="AA247" s="98">
        <f>IF($W247="DIRECT",$O247,$Z247/$Y247*$N247)</f>
        <v/>
      </c>
      <c r="AB247" s="99">
        <f>IF(P247="PROXY",IF(Q247&gt;=5,K247,"need group"),IF(Q247&gt;=5,"DIRECT","need group"))</f>
        <v/>
      </c>
      <c r="AC247" s="99">
        <f>IF($AB247="DIRECT",Q247,DCOUNT('[1]literature entries'!$D:$AI,IF($J247=1,"ACTIVE     GHGE, FARM GATE (kg CO2e/kg)","GHGE, processor gate (kg CO2e/kg)"),INDIRECT($AB247)))</f>
        <v/>
      </c>
      <c r="AD247" s="99">
        <f>IF($AB247="DIRECT","",DAVERAGE('[1]literature entries'!$D:$AI,IF($J247=1,"ACTIVE     GHGE, FARM GATE (kg CO2e/kg)","GHGE, processor gate (kg CO2e/kg)"),INDIRECT($AB247)))</f>
        <v/>
      </c>
      <c r="AE247" s="99">
        <f>IF($AB247="DIRECT",$S247,DSTDEV('[1]literature entries'!$D:$AI,IF($J247=1,"ACTIVE     GHGE, FARM GATE (kg CO2e/kg)","GHGE, processor gate (kg CO2e/kg)"),INDIRECT($AB247)))</f>
        <v/>
      </c>
      <c r="AF247" s="99">
        <f>IF($AB247="DIRECT",$S247,$AE247/$AD247*$R247)</f>
        <v/>
      </c>
    </row>
    <row r="248" ht="15.75" customHeight="1" s="201">
      <c r="A248" s="100" t="n">
        <v>2201243000</v>
      </c>
      <c r="B248" s="101" t="inlineStr">
        <is>
          <t>Palm heart, leaves</t>
        </is>
      </c>
      <c r="C248" s="101" t="inlineStr">
        <is>
          <t>weight of stem and leaves</t>
        </is>
      </c>
      <c r="D248" s="101" t="n"/>
      <c r="E248" s="101" t="n">
        <v>3</v>
      </c>
      <c r="F248" s="84">
        <f>N248*H248+T248</f>
        <v/>
      </c>
      <c r="G248" s="85">
        <f>R248*H248+U248</f>
        <v/>
      </c>
      <c r="H248" s="102" t="n">
        <v>1</v>
      </c>
      <c r="I248" s="103" t="inlineStr">
        <is>
          <t>FICRCD</t>
        </is>
      </c>
      <c r="J248" s="104" t="n">
        <v>1</v>
      </c>
      <c r="K248" s="89" t="inlineStr">
        <is>
          <t>tropical_fruit</t>
        </is>
      </c>
      <c r="L248" s="90">
        <f>IF(ISERROR(GETPIVOTDATA(IF($J248=1,"Count of ACTIVE     CED, FARM GATE (MJ/kg)","Count of CED, processor gate (MJ/kg)"),'[1]Pivot Table_CED'!$A$3,"SUB TYPE",$B248)),"PROXY",IF(GETPIVOTDATA(IF($J248=1,"Count of ACTIVE     CED, FARM GATE (MJ/kg)","Count of CED, processor gate (MJ/kg)"),'[1]Pivot Table_CED'!$A$3,"SUB TYPE",$B248)=0,"PROXY","DB value"))</f>
        <v/>
      </c>
      <c r="M248" s="91">
        <f>IF($L248="PROXY",DCOUNT('[1]literature entries'!$D:$AI,IF($J248=1,"ACTIVE     CED, FARM GATE (MJ/kg)","CED, processor gate (MJ/kg)"),INDIRECT($K248)),GETPIVOTDATA(IF($J248=1,"Count of ACTIVE     CED, FARM GATE (MJ/kg)","Count of CED, processor gate (MJ/kg)"),'[1]Pivot Table_CED'!$A$3,"SUB TYPE",$B248))</f>
        <v/>
      </c>
      <c r="N248" s="92">
        <f>IF($L248="PROXY",DAVERAGE('[1]literature entries'!$D:$AI,IF($J248=1,"ACTIVE     CED, FARM GATE (MJ/kg)","CED, processor gate (MJ/kg)"),INDIRECT($K248)),GETPIVOTDATA(IF($J248=1,"Average of ACTIVE     CED, FARM GATE (MJ/kg)","Average of CED, processor gate (MJ/kg)"),'[1]Pivot Table_CED'!$A$3,"SUB TYPE",$B248))</f>
        <v/>
      </c>
      <c r="O248" s="92">
        <f>IF($L248="PROXY",DSTDEV('[1]literature entries'!D:AI,IF($J248=1,"ACTIVE     CED, FARM GATE (MJ/kg)","CED, processor gate (MJ/kg)"),INDIRECT($K248)),GETPIVOTDATA(IF($J248=1,"StdDev of ACTIVE     CED, FARM GATE (MJ/kg)","StdDev of CED, processor gate (MJ/kg)"),'[1]Pivot Table_CED'!$A$3,"SUB TYPE",$B248))</f>
        <v/>
      </c>
      <c r="P248" s="90">
        <f>IF(ISERROR(GETPIVOTDATA(IF($J248=1,"Count of ACTIVE     GHGE, FARM GATE (kg CO2e/kg)","Count of GHGE, processor gate (kg CO2e/kg)"),'[1]Pivot Table_GHG'!$A$3,"SUB TYPE",$B248)),"PROXY",IF(GETPIVOTDATA(IF($J248=1,"Count of ACTIVE     GHGE, FARM GATE (kg CO2e/kg)","Count of GHGE, processor gate (kg CO2e/kg)"),'[1]Pivot Table_GHG'!$A$3,"SUB TYPE",$B248)=0,"PROXY","DB value"))</f>
        <v/>
      </c>
      <c r="Q248" s="93">
        <f>IF($P248="PROXY",DCOUNT('[1]literature entries'!$D:$AI,IF($J248=1,"ACTIVE     GHGE, FARM GATE (kg CO2e/kg)","GHGE, processor gate (kg CO2e/kg)"),INDIRECT($K248)),GETPIVOTDATA(IF($J248=1,"ACTIVE     GHGE, FARM GATE (kg CO2e/kg)","Count of GHGE, processor gate (kg CO2e/kg)"),'[1]Pivot Table_GHG'!$A$3,"SUB TYPE",$B248))</f>
        <v/>
      </c>
      <c r="R248" s="94">
        <f>IF($P248="PROXY",DAVERAGE('[1]literature entries'!$D:$AI,IF($J248=1,"ACTIVE     GHGE, FARM GATE (kg CO2e/kg)","GHGE, processor gate (kg CO2e/kg)"),INDIRECT($K248)),GETPIVOTDATA(IF($J248=1,"Average of ACTIVE     GHGE, FARM GATE (kg CO2e/kg)","Average of GHGE, processor gate (kg CO2e/kg)"),'[1]Pivot Table_GHG'!$A$3,"SUB TYPE",$B248))</f>
        <v/>
      </c>
      <c r="S248" s="94">
        <f>IF($P248="PROXY",DSTDEV('[1]literature entries'!$D:$AI,IF($J248=1,"ACTIVE     GHGE, FARM GATE (kg CO2e/kg)","GHGE, processor gate (kg CO2e/kg)"),INDIRECT($K248)),GETPIVOTDATA(IF($J248=1,"StdDev of ACTIVE     GHGE, FARM GATE (kg CO2e/kg)","StdDev of GHGE, processor gate (kg CO2e/kg)"),'[1]Pivot Table_GHG'!$A$3,"SUB TYPE",$B248))</f>
        <v/>
      </c>
      <c r="T248" s="105" t="n"/>
      <c r="U248" s="106" t="n"/>
      <c r="V248" s="97" t="n"/>
      <c r="W248" s="98">
        <f>IF(L248="PROXY",IF(M248&gt;=5,K248,"need group"),IF(M248&gt;=5,"DIRECT","need group"))</f>
        <v/>
      </c>
      <c r="X248" s="98">
        <f>IF($W248="DIRECT",M248,DCOUNT('[1]literature entries'!$D:$AI,IF($J248=1,"ACTIVE     CED, FARM GATE (MJ/kg)","CED, processor gate (MJ/kg)"),INDIRECT($W248)))</f>
        <v/>
      </c>
      <c r="Y248" s="98">
        <f>IF($W248="DIRECT","",DAVERAGE('[1]literature entries'!$D:$AI,IF($J248=1,"ACTIVE     CED, FARM GATE (MJ/kg)","CED, processor gate (MJ/kg)"),INDIRECT($W248)))</f>
        <v/>
      </c>
      <c r="Z248" s="98">
        <f>IF($W248="DIRECT",$O248,DSTDEV('[1]literature entries'!$D:$AI,IF($J248=1,"ACTIVE     CED, FARM GATE (MJ/kg)","CED, processor gate (MJ/kg)"),INDIRECT($W248)))</f>
        <v/>
      </c>
      <c r="AA248" s="98">
        <f>IF($W248="DIRECT",$O248,$Z248/$Y248*$N248)</f>
        <v/>
      </c>
      <c r="AB248" s="99">
        <f>IF(P248="PROXY",IF(Q248&gt;=5,K248,"need group"),IF(Q248&gt;=5,"DIRECT","need group"))</f>
        <v/>
      </c>
      <c r="AC248" s="99">
        <f>IF($AB248="DIRECT",Q248,DCOUNT('[1]literature entries'!$D:$AI,IF($J248=1,"ACTIVE     GHGE, FARM GATE (kg CO2e/kg)","GHGE, processor gate (kg CO2e/kg)"),INDIRECT($AB248)))</f>
        <v/>
      </c>
      <c r="AD248" s="99">
        <f>IF($AB248="DIRECT","",DAVERAGE('[1]literature entries'!$D:$AI,IF($J248=1,"ACTIVE     GHGE, FARM GATE (kg CO2e/kg)","GHGE, processor gate (kg CO2e/kg)"),INDIRECT($AB248)))</f>
        <v/>
      </c>
      <c r="AE248" s="99">
        <f>IF($AB248="DIRECT",$S248,DSTDEV('[1]literature entries'!$D:$AI,IF($J248=1,"ACTIVE     GHGE, FARM GATE (kg CO2e/kg)","GHGE, processor gate (kg CO2e/kg)"),INDIRECT($AB248)))</f>
        <v/>
      </c>
      <c r="AF248" s="99">
        <f>IF($AB248="DIRECT",$S248,$AE248/$AD248*$R248)</f>
        <v/>
      </c>
    </row>
    <row r="249" ht="15.75" customHeight="1" s="201">
      <c r="A249" s="100" t="n">
        <v>2202085000</v>
      </c>
      <c r="B249" s="101" t="inlineStr">
        <is>
          <t>Celery</t>
        </is>
      </c>
      <c r="C249" s="101" t="inlineStr">
        <is>
          <t>weight of leaf stalk</t>
        </is>
      </c>
      <c r="D249" s="101" t="n"/>
      <c r="E249" s="101" t="n">
        <v>24602</v>
      </c>
      <c r="F249" s="84">
        <f>N249*H249+T249</f>
        <v/>
      </c>
      <c r="G249" s="85">
        <f>R249*H249+U249</f>
        <v/>
      </c>
      <c r="H249" s="102" t="n">
        <v>1.12</v>
      </c>
      <c r="I249" s="102" t="inlineStr">
        <is>
          <t>FICRCD</t>
        </is>
      </c>
      <c r="J249" s="104" t="n">
        <v>1</v>
      </c>
      <c r="K249" s="89" t="n"/>
      <c r="L249" s="90">
        <f>IF(ISERROR(GETPIVOTDATA(IF($J249=1,"Count of ACTIVE     CED, FARM GATE (MJ/kg)","Count of CED, processor gate (MJ/kg)"),'[1]Pivot Table_CED'!$A$3,"SUB TYPE",$B249)),"PROXY",IF(GETPIVOTDATA(IF($J249=1,"Count of ACTIVE     CED, FARM GATE (MJ/kg)","Count of CED, processor gate (MJ/kg)"),'[1]Pivot Table_CED'!$A$3,"SUB TYPE",$B249)=0,"PROXY","DB value"))</f>
        <v/>
      </c>
      <c r="M249" s="91">
        <f>IF($L249="PROXY",DCOUNT('[1]literature entries'!$D:$AI,IF($J249=1,"ACTIVE     CED, FARM GATE (MJ/kg)","CED, processor gate (MJ/kg)"),INDIRECT($K249)),GETPIVOTDATA(IF($J249=1,"Count of ACTIVE     CED, FARM GATE (MJ/kg)","Count of CED, processor gate (MJ/kg)"),'[1]Pivot Table_CED'!$A$3,"SUB TYPE",$B249))</f>
        <v/>
      </c>
      <c r="N249" s="92">
        <f>IF($L249="PROXY",DAVERAGE('[1]literature entries'!$D:$AI,IF($J249=1,"ACTIVE     CED, FARM GATE (MJ/kg)","CED, processor gate (MJ/kg)"),INDIRECT($K249)),GETPIVOTDATA(IF($J249=1,"Average of ACTIVE     CED, FARM GATE (MJ/kg)","Average of CED, processor gate (MJ/kg)"),'[1]Pivot Table_CED'!$A$3,"SUB TYPE",$B249))</f>
        <v/>
      </c>
      <c r="O249" s="92">
        <f>IF($L249="PROXY",DSTDEV('[1]literature entries'!D:AI,IF($J249=1,"ACTIVE     CED, FARM GATE (MJ/kg)","CED, processor gate (MJ/kg)"),INDIRECT($K249)),GETPIVOTDATA(IF($J249=1,"StdDev of ACTIVE     CED, FARM GATE (MJ/kg)","StdDev of CED, processor gate (MJ/kg)"),'[1]Pivot Table_CED'!$A$3,"SUB TYPE",$B249))</f>
        <v/>
      </c>
      <c r="P249" s="90">
        <f>IF(ISERROR(GETPIVOTDATA(IF($J249=1,"Count of ACTIVE     GHGE, FARM GATE (kg CO2e/kg)","Count of GHGE, processor gate (kg CO2e/kg)"),'[1]Pivot Table_GHG'!$A$3,"SUB TYPE",$B249)),"PROXY",IF(GETPIVOTDATA(IF($J249=1,"Count of ACTIVE     GHGE, FARM GATE (kg CO2e/kg)","Count of GHGE, processor gate (kg CO2e/kg)"),'[1]Pivot Table_GHG'!$A$3,"SUB TYPE",$B249)=0,"PROXY","DB value"))</f>
        <v/>
      </c>
      <c r="Q249" s="93">
        <f>IF($P249="PROXY",DCOUNT('[1]literature entries'!$D:$AI,IF($J249=1,"ACTIVE     GHGE, FARM GATE (kg CO2e/kg)","GHGE, processor gate (kg CO2e/kg)"),INDIRECT($K249)),GETPIVOTDATA(IF($J249=1,"ACTIVE     GHGE, FARM GATE (kg CO2e/kg)","Count of GHGE, processor gate (kg CO2e/kg)"),'[1]Pivot Table_GHG'!$A$3,"SUB TYPE",$B249))</f>
        <v/>
      </c>
      <c r="R249" s="94">
        <f>IF($P249="PROXY",DAVERAGE('[1]literature entries'!$D:$AI,IF($J249=1,"ACTIVE     GHGE, FARM GATE (kg CO2e/kg)","GHGE, processor gate (kg CO2e/kg)"),INDIRECT($K249)),GETPIVOTDATA(IF($J249=1,"Average of ACTIVE     GHGE, FARM GATE (kg CO2e/kg)","Average of GHGE, processor gate (kg CO2e/kg)"),'[1]Pivot Table_GHG'!$A$3,"SUB TYPE",$B249))</f>
        <v/>
      </c>
      <c r="S249" s="94">
        <f>IF($P249="PROXY",DSTDEV('[1]literature entries'!$D:$AI,IF($J249=1,"ACTIVE     GHGE, FARM GATE (kg CO2e/kg)","GHGE, processor gate (kg CO2e/kg)"),INDIRECT($K249)),GETPIVOTDATA(IF($J249=1,"StdDev of ACTIVE     GHGE, FARM GATE (kg CO2e/kg)","StdDev of GHGE, processor gate (kg CO2e/kg)"),'[1]Pivot Table_GHG'!$A$3,"SUB TYPE",$B249))</f>
        <v/>
      </c>
      <c r="T249" s="105" t="n"/>
      <c r="U249" s="106" t="n"/>
      <c r="V249" s="97" t="n"/>
      <c r="W249" s="98" t="inlineStr">
        <is>
          <t>vegetables</t>
        </is>
      </c>
      <c r="X249" s="98">
        <f>IF($W249="DIRECT",M249,DCOUNT('[1]literature entries'!$D:$AI,IF($J249=1,"ACTIVE     CED, FARM GATE (MJ/kg)","CED, processor gate (MJ/kg)"),INDIRECT($W249)))</f>
        <v/>
      </c>
      <c r="Y249" s="98">
        <f>IF($W249="DIRECT","",DAVERAGE('[1]literature entries'!$D:$AI,IF($J249=1,"ACTIVE     CED, FARM GATE (MJ/kg)","CED, processor gate (MJ/kg)"),INDIRECT($W249)))</f>
        <v/>
      </c>
      <c r="Z249" s="98">
        <f>IF($W249="DIRECT",$O249,DSTDEV('[1]literature entries'!$D:$AI,IF($J249=1,"ACTIVE     CED, FARM GATE (MJ/kg)","CED, processor gate (MJ/kg)"),INDIRECT($W249)))</f>
        <v/>
      </c>
      <c r="AA249" s="98">
        <f>IF($W249="DIRECT",$O249,$Z249/$Y249*$N249)</f>
        <v/>
      </c>
      <c r="AB249" s="99" t="inlineStr">
        <is>
          <t>vegetables</t>
        </is>
      </c>
      <c r="AC249" s="99">
        <f>IF($AB249="DIRECT",Q249,DCOUNT('[1]literature entries'!$D:$AI,IF($J249=1,"ACTIVE     GHGE, FARM GATE (kg CO2e/kg)","GHGE, processor gate (kg CO2e/kg)"),INDIRECT($AB249)))</f>
        <v/>
      </c>
      <c r="AD249" s="99">
        <f>IF($AB249="DIRECT","",DAVERAGE('[1]literature entries'!$D:$AI,IF($J249=1,"ACTIVE     GHGE, FARM GATE (kg CO2e/kg)","GHGE, processor gate (kg CO2e/kg)"),INDIRECT($AB249)))</f>
        <v/>
      </c>
      <c r="AE249" s="99">
        <f>IF($AB249="DIRECT",$S249,DSTDEV('[1]literature entries'!$D:$AI,IF($J249=1,"ACTIVE     GHGE, FARM GATE (kg CO2e/kg)","GHGE, processor gate (kg CO2e/kg)"),INDIRECT($AB249)))</f>
        <v/>
      </c>
      <c r="AF249" s="99">
        <f>IF($AB249="DIRECT",$S249,$AE249/$AD249*$R249)</f>
        <v/>
      </c>
    </row>
    <row r="250" ht="15.75" customHeight="1" s="201">
      <c r="A250" s="100" t="n">
        <v>2202086000</v>
      </c>
      <c r="B250" s="101" t="inlineStr">
        <is>
          <t>Celery, juice</t>
        </is>
      </c>
      <c r="C250" s="101" t="inlineStr">
        <is>
          <t>weight of juice as single strength (or standard dilution)</t>
        </is>
      </c>
      <c r="D250" s="101" t="n"/>
      <c r="E250" s="101" t="n">
        <v>416</v>
      </c>
      <c r="F250" s="84">
        <f>N250*H250+T250</f>
        <v/>
      </c>
      <c r="G250" s="85">
        <f>R250*H250+U250</f>
        <v/>
      </c>
      <c r="H250" s="102" t="n">
        <v>5</v>
      </c>
      <c r="I250" s="103" t="inlineStr">
        <is>
          <t>FICRCD</t>
        </is>
      </c>
      <c r="J250" s="104" t="n">
        <v>1</v>
      </c>
      <c r="K250" s="89" t="inlineStr">
        <is>
          <t>celery</t>
        </is>
      </c>
      <c r="L250" s="90">
        <f>IF(ISERROR(GETPIVOTDATA(IF($J250=1,"Count of ACTIVE     CED, FARM GATE (MJ/kg)","Count of CED, processor gate (MJ/kg)"),'[1]Pivot Table_CED'!$A$3,"SUB TYPE",$B250)),"PROXY",IF(GETPIVOTDATA(IF($J250=1,"Count of ACTIVE     CED, FARM GATE (MJ/kg)","Count of CED, processor gate (MJ/kg)"),'[1]Pivot Table_CED'!$A$3,"SUB TYPE",$B250)=0,"PROXY","DB value"))</f>
        <v/>
      </c>
      <c r="M250" s="91">
        <f>IF($L250="PROXY",DCOUNT('[1]literature entries'!$D:$AI,IF($J250=1,"ACTIVE     CED, FARM GATE (MJ/kg)","CED, processor gate (MJ/kg)"),INDIRECT($K250)),GETPIVOTDATA(IF($J250=1,"Count of ACTIVE     CED, FARM GATE (MJ/kg)","Count of CED, processor gate (MJ/kg)"),'[1]Pivot Table_CED'!$A$3,"SUB TYPE",$B250))</f>
        <v/>
      </c>
      <c r="N250" s="92">
        <f>IF($L250="PROXY",DAVERAGE('[1]literature entries'!$D:$AI,IF($J250=1,"ACTIVE     CED, FARM GATE (MJ/kg)","CED, processor gate (MJ/kg)"),INDIRECT($K250)),GETPIVOTDATA(IF($J250=1,"Average of ACTIVE     CED, FARM GATE (MJ/kg)","Average of CED, processor gate (MJ/kg)"),'[1]Pivot Table_CED'!$A$3,"SUB TYPE",$B250))</f>
        <v/>
      </c>
      <c r="O250" s="92">
        <f>IF($L250="PROXY",DSTDEV('[1]literature entries'!D:AI,IF($J250=1,"ACTIVE     CED, FARM GATE (MJ/kg)","CED, processor gate (MJ/kg)"),INDIRECT($K250)),GETPIVOTDATA(IF($J250=1,"StdDev of ACTIVE     CED, FARM GATE (MJ/kg)","StdDev of CED, processor gate (MJ/kg)"),'[1]Pivot Table_CED'!$A$3,"SUB TYPE",$B250))</f>
        <v/>
      </c>
      <c r="P250" s="90">
        <f>IF(ISERROR(GETPIVOTDATA(IF($J250=1,"Count of ACTIVE     GHGE, FARM GATE (kg CO2e/kg)","Count of GHGE, processor gate (kg CO2e/kg)"),'[1]Pivot Table_GHG'!$A$3,"SUB TYPE",$B250)),"PROXY",IF(GETPIVOTDATA(IF($J250=1,"Count of ACTIVE     GHGE, FARM GATE (kg CO2e/kg)","Count of GHGE, processor gate (kg CO2e/kg)"),'[1]Pivot Table_GHG'!$A$3,"SUB TYPE",$B250)=0,"PROXY","DB value"))</f>
        <v/>
      </c>
      <c r="Q250" s="93">
        <f>IF($P250="PROXY",DCOUNT('[1]literature entries'!$D:$AI,IF($J250=1,"ACTIVE     GHGE, FARM GATE (kg CO2e/kg)","GHGE, processor gate (kg CO2e/kg)"),INDIRECT($K250)),GETPIVOTDATA(IF($J250=1,"ACTIVE     GHGE, FARM GATE (kg CO2e/kg)","Count of GHGE, processor gate (kg CO2e/kg)"),'[1]Pivot Table_GHG'!$A$3,"SUB TYPE",$B250))</f>
        <v/>
      </c>
      <c r="R250" s="94">
        <f>IF($P250="PROXY",DAVERAGE('[1]literature entries'!$D:$AI,IF($J250=1,"ACTIVE     GHGE, FARM GATE (kg CO2e/kg)","GHGE, processor gate (kg CO2e/kg)"),INDIRECT($K250)),GETPIVOTDATA(IF($J250=1,"Average of ACTIVE     GHGE, FARM GATE (kg CO2e/kg)","Average of GHGE, processor gate (kg CO2e/kg)"),'[1]Pivot Table_GHG'!$A$3,"SUB TYPE",$B250))</f>
        <v/>
      </c>
      <c r="S250" s="94">
        <f>IF($P250="PROXY",DSTDEV('[1]literature entries'!$D:$AI,IF($J250=1,"ACTIVE     GHGE, FARM GATE (kg CO2e/kg)","GHGE, processor gate (kg CO2e/kg)"),INDIRECT($K250)),GETPIVOTDATA(IF($J250=1,"StdDev of ACTIVE     GHGE, FARM GATE (kg CO2e/kg)","StdDev of GHGE, processor gate (kg CO2e/kg)"),'[1]Pivot Table_GHG'!$A$3,"SUB TYPE",$B250))</f>
        <v/>
      </c>
      <c r="T250" s="107" t="n">
        <v>5.282</v>
      </c>
      <c r="U250" s="108" t="n">
        <v>0.9790791260799999</v>
      </c>
      <c r="V250" s="97" t="n"/>
      <c r="W250" s="98" t="inlineStr">
        <is>
          <t>vegetables</t>
        </is>
      </c>
      <c r="X250" s="98">
        <f>IF($W250="DIRECT",M250,DCOUNT('[1]literature entries'!$D:$AI,IF($J250=1,"ACTIVE     CED, FARM GATE (MJ/kg)","CED, processor gate (MJ/kg)"),INDIRECT($W250)))</f>
        <v/>
      </c>
      <c r="Y250" s="98">
        <f>IF($W250="DIRECT","",DAVERAGE('[1]literature entries'!$D:$AI,IF($J250=1,"ACTIVE     CED, FARM GATE (MJ/kg)","CED, processor gate (MJ/kg)"),INDIRECT($W250)))</f>
        <v/>
      </c>
      <c r="Z250" s="98">
        <f>IF($W250="DIRECT",$O250,DSTDEV('[1]literature entries'!$D:$AI,IF($J250=1,"ACTIVE     CED, FARM GATE (MJ/kg)","CED, processor gate (MJ/kg)"),INDIRECT($W250)))</f>
        <v/>
      </c>
      <c r="AA250" s="98">
        <f>IF($W250="DIRECT",$O250,$Z250/$Y250*$N250)</f>
        <v/>
      </c>
      <c r="AB250" s="99" t="inlineStr">
        <is>
          <t>vegetables</t>
        </is>
      </c>
      <c r="AC250" s="99">
        <f>IF($AB250="DIRECT",Q250,DCOUNT('[1]literature entries'!$D:$AI,IF($J250=1,"ACTIVE     GHGE, FARM GATE (kg CO2e/kg)","GHGE, processor gate (kg CO2e/kg)"),INDIRECT($AB250)))</f>
        <v/>
      </c>
      <c r="AD250" s="99">
        <f>IF($AB250="DIRECT","",DAVERAGE('[1]literature entries'!$D:$AI,IF($J250=1,"ACTIVE     GHGE, FARM GATE (kg CO2e/kg)","GHGE, processor gate (kg CO2e/kg)"),INDIRECT($AB250)))</f>
        <v/>
      </c>
      <c r="AE250" s="99">
        <f>IF($AB250="DIRECT",$S250,DSTDEV('[1]literature entries'!$D:$AI,IF($J250=1,"ACTIVE     GHGE, FARM GATE (kg CO2e/kg)","GHGE, processor gate (kg CO2e/kg)"),INDIRECT($AB250)))</f>
        <v/>
      </c>
      <c r="AF250" s="99">
        <f>IF($AB250="DIRECT",$S250,$AE250/$AD250*$R250)</f>
        <v/>
      </c>
    </row>
    <row r="251" ht="15.75" customHeight="1" s="201">
      <c r="A251" s="100" t="n">
        <v>2202322000</v>
      </c>
      <c r="B251" s="101" t="inlineStr">
        <is>
          <t>Rhubarb</t>
        </is>
      </c>
      <c r="C251" s="101" t="inlineStr">
        <is>
          <t>weight of stalks; excluding leaves</t>
        </is>
      </c>
      <c r="D251" s="101" t="n"/>
      <c r="E251" s="101" t="n">
        <v>39</v>
      </c>
      <c r="F251" s="84">
        <f>N251*H251+T251</f>
        <v/>
      </c>
      <c r="G251" s="85">
        <f>R251*H251+U251</f>
        <v/>
      </c>
      <c r="H251" s="102" t="n">
        <v>1.33</v>
      </c>
      <c r="I251" s="103" t="inlineStr">
        <is>
          <t>FICRCD</t>
        </is>
      </c>
      <c r="J251" s="104" t="n">
        <v>1</v>
      </c>
      <c r="K251" s="89" t="inlineStr">
        <is>
          <t>asparagus</t>
        </is>
      </c>
      <c r="L251" s="90">
        <f>IF(ISERROR(GETPIVOTDATA(IF($J251=1,"Count of ACTIVE     CED, FARM GATE (MJ/kg)","Count of CED, processor gate (MJ/kg)"),'[1]Pivot Table_CED'!$A$3,"SUB TYPE",$B251)),"PROXY",IF(GETPIVOTDATA(IF($J251=1,"Count of ACTIVE     CED, FARM GATE (MJ/kg)","Count of CED, processor gate (MJ/kg)"),'[1]Pivot Table_CED'!$A$3,"SUB TYPE",$B251)=0,"PROXY","DB value"))</f>
        <v/>
      </c>
      <c r="M251" s="91">
        <f>IF($L251="PROXY",DCOUNT('[1]literature entries'!$D:$AI,IF($J251=1,"ACTIVE     CED, FARM GATE (MJ/kg)","CED, processor gate (MJ/kg)"),INDIRECT($K251)),GETPIVOTDATA(IF($J251=1,"Count of ACTIVE     CED, FARM GATE (MJ/kg)","Count of CED, processor gate (MJ/kg)"),'[1]Pivot Table_CED'!$A$3,"SUB TYPE",$B251))</f>
        <v/>
      </c>
      <c r="N251" s="92">
        <f>IF($L251="PROXY",DAVERAGE('[1]literature entries'!$D:$AI,IF($J251=1,"ACTIVE     CED, FARM GATE (MJ/kg)","CED, processor gate (MJ/kg)"),INDIRECT($K251)),GETPIVOTDATA(IF($J251=1,"Average of ACTIVE     CED, FARM GATE (MJ/kg)","Average of CED, processor gate (MJ/kg)"),'[1]Pivot Table_CED'!$A$3,"SUB TYPE",$B251))</f>
        <v/>
      </c>
      <c r="O251" s="92">
        <f>IF($L251="PROXY",DSTDEV('[1]literature entries'!D:AI,IF($J251=1,"ACTIVE     CED, FARM GATE (MJ/kg)","CED, processor gate (MJ/kg)"),INDIRECT($K251)),GETPIVOTDATA(IF($J251=1,"StdDev of ACTIVE     CED, FARM GATE (MJ/kg)","StdDev of CED, processor gate (MJ/kg)"),'[1]Pivot Table_CED'!$A$3,"SUB TYPE",$B251))</f>
        <v/>
      </c>
      <c r="P251" s="90">
        <f>IF(ISERROR(GETPIVOTDATA(IF($J251=1,"Count of ACTIVE     GHGE, FARM GATE (kg CO2e/kg)","Count of GHGE, processor gate (kg CO2e/kg)"),'[1]Pivot Table_GHG'!$A$3,"SUB TYPE",$B251)),"PROXY",IF(GETPIVOTDATA(IF($J251=1,"Count of ACTIVE     GHGE, FARM GATE (kg CO2e/kg)","Count of GHGE, processor gate (kg CO2e/kg)"),'[1]Pivot Table_GHG'!$A$3,"SUB TYPE",$B251)=0,"PROXY","DB value"))</f>
        <v/>
      </c>
      <c r="Q251" s="93">
        <f>IF($P251="PROXY",DCOUNT('[1]literature entries'!$D:$AI,IF($J251=1,"ACTIVE     GHGE, FARM GATE (kg CO2e/kg)","GHGE, processor gate (kg CO2e/kg)"),INDIRECT($K251)),GETPIVOTDATA(IF($J251=1,"ACTIVE     GHGE, FARM GATE (kg CO2e/kg)","Count of GHGE, processor gate (kg CO2e/kg)"),'[1]Pivot Table_GHG'!$A$3,"SUB TYPE",$B251))</f>
        <v/>
      </c>
      <c r="R251" s="94">
        <f>IF($P251="PROXY",DAVERAGE('[1]literature entries'!$D:$AI,IF($J251=1,"ACTIVE     GHGE, FARM GATE (kg CO2e/kg)","GHGE, processor gate (kg CO2e/kg)"),INDIRECT($K251)),GETPIVOTDATA(IF($J251=1,"Average of ACTIVE     GHGE, FARM GATE (kg CO2e/kg)","Average of GHGE, processor gate (kg CO2e/kg)"),'[1]Pivot Table_GHG'!$A$3,"SUB TYPE",$B251))</f>
        <v/>
      </c>
      <c r="S251" s="94">
        <f>IF($P251="PROXY",DSTDEV('[1]literature entries'!$D:$AI,IF($J251=1,"ACTIVE     GHGE, FARM GATE (kg CO2e/kg)","GHGE, processor gate (kg CO2e/kg)"),INDIRECT($K251)),GETPIVOTDATA(IF($J251=1,"StdDev of ACTIVE     GHGE, FARM GATE (kg CO2e/kg)","StdDev of GHGE, processor gate (kg CO2e/kg)"),'[1]Pivot Table_GHG'!$A$3,"SUB TYPE",$B251))</f>
        <v/>
      </c>
      <c r="T251" s="105" t="n"/>
      <c r="U251" s="106" t="n"/>
      <c r="V251" s="97" t="n"/>
      <c r="W251" s="98" t="inlineStr">
        <is>
          <t>vegetables</t>
        </is>
      </c>
      <c r="X251" s="98">
        <f>IF($W251="DIRECT",M251,DCOUNT('[1]literature entries'!$D:$AI,IF($J251=1,"ACTIVE     CED, FARM GATE (MJ/kg)","CED, processor gate (MJ/kg)"),INDIRECT($W251)))</f>
        <v/>
      </c>
      <c r="Y251" s="98">
        <f>IF($W251="DIRECT","",DAVERAGE('[1]literature entries'!$D:$AI,IF($J251=1,"ACTIVE     CED, FARM GATE (MJ/kg)","CED, processor gate (MJ/kg)"),INDIRECT($W251)))</f>
        <v/>
      </c>
      <c r="Z251" s="98">
        <f>IF($W251="DIRECT",$O251,DSTDEV('[1]literature entries'!$D:$AI,IF($J251=1,"ACTIVE     CED, FARM GATE (MJ/kg)","CED, processor gate (MJ/kg)"),INDIRECT($W251)))</f>
        <v/>
      </c>
      <c r="AA251" s="98">
        <f>IF($W251="DIRECT",$O251,$Z251/$Y251*$N251)</f>
        <v/>
      </c>
      <c r="AB251" s="99">
        <f>IF(P251="PROXY",IF(Q251&gt;=5,K251,"need group"),IF(Q251&gt;=5,"DIRECT","need group"))</f>
        <v/>
      </c>
      <c r="AC251" s="99">
        <f>IF($AB251="DIRECT",Q251,DCOUNT('[1]literature entries'!$D:$AI,IF($J251=1,"ACTIVE     GHGE, FARM GATE (kg CO2e/kg)","GHGE, processor gate (kg CO2e/kg)"),INDIRECT($AB251)))</f>
        <v/>
      </c>
      <c r="AD251" s="99">
        <f>IF($AB251="DIRECT","",DAVERAGE('[1]literature entries'!$D:$AI,IF($J251=1,"ACTIVE     GHGE, FARM GATE (kg CO2e/kg)","GHGE, processor gate (kg CO2e/kg)"),INDIRECT($AB251)))</f>
        <v/>
      </c>
      <c r="AE251" s="99">
        <f>IF($AB251="DIRECT",$S251,DSTDEV('[1]literature entries'!$D:$AI,IF($J251=1,"ACTIVE     GHGE, FARM GATE (kg CO2e/kg)","GHGE, processor gate (kg CO2e/kg)"),INDIRECT($AB251)))</f>
        <v/>
      </c>
      <c r="AF251" s="99">
        <f>IF($AB251="DIRECT",$S251,$AE251/$AD251*$R251)</f>
        <v/>
      </c>
    </row>
    <row r="252" ht="15.75" customHeight="1" s="201">
      <c r="A252" s="100" t="n">
        <v>2301235000</v>
      </c>
      <c r="B252" s="101" t="inlineStr">
        <is>
          <t>Olive</t>
        </is>
      </c>
      <c r="C252" s="101" t="inlineStr">
        <is>
          <t>weight of fruit; excluding pit</t>
        </is>
      </c>
      <c r="D252" s="101" t="n"/>
      <c r="E252" s="101" t="n">
        <v>2722</v>
      </c>
      <c r="F252" s="84">
        <f>N252*H252+T252</f>
        <v/>
      </c>
      <c r="G252" s="85">
        <f>R252*H252+U252</f>
        <v/>
      </c>
      <c r="H252" s="102" t="n">
        <v>1.163</v>
      </c>
      <c r="I252" s="103" t="inlineStr">
        <is>
          <t>NNDSR28</t>
        </is>
      </c>
      <c r="J252" s="104" t="n">
        <v>1</v>
      </c>
      <c r="K252" s="89" t="n"/>
      <c r="L252" s="90">
        <f>IF(ISERROR(GETPIVOTDATA(IF($J252=1,"Count of ACTIVE     CED, FARM GATE (MJ/kg)","Count of CED, processor gate (MJ/kg)"),'[1]Pivot Table_CED'!$A$3,"SUB TYPE",$B252)),"PROXY",IF(GETPIVOTDATA(IF($J252=1,"Count of ACTIVE     CED, FARM GATE (MJ/kg)","Count of CED, processor gate (MJ/kg)"),'[1]Pivot Table_CED'!$A$3,"SUB TYPE",$B252)=0,"PROXY","DB value"))</f>
        <v/>
      </c>
      <c r="M252" s="91">
        <f>IF($L252="PROXY",DCOUNT('[1]literature entries'!$D:$AI,IF($J252=1,"ACTIVE     CED, FARM GATE (MJ/kg)","CED, processor gate (MJ/kg)"),INDIRECT($K252)),GETPIVOTDATA(IF($J252=1,"Count of ACTIVE     CED, FARM GATE (MJ/kg)","Count of CED, processor gate (MJ/kg)"),'[1]Pivot Table_CED'!$A$3,"SUB TYPE",$B252))</f>
        <v/>
      </c>
      <c r="N252" s="92">
        <f>IF($L252="PROXY",DAVERAGE('[1]literature entries'!$D:$AI,IF($J252=1,"ACTIVE     CED, FARM GATE (MJ/kg)","CED, processor gate (MJ/kg)"),INDIRECT($K252)),GETPIVOTDATA(IF($J252=1,"Average of ACTIVE     CED, FARM GATE (MJ/kg)","Average of CED, processor gate (MJ/kg)"),'[1]Pivot Table_CED'!$A$3,"SUB TYPE",$B252))</f>
        <v/>
      </c>
      <c r="O252" s="92">
        <f>IF($L252="PROXY",DSTDEV('[1]literature entries'!D:AI,IF($J252=1,"ACTIVE     CED, FARM GATE (MJ/kg)","CED, processor gate (MJ/kg)"),INDIRECT($K252)),GETPIVOTDATA(IF($J252=1,"StdDev of ACTIVE     CED, FARM GATE (MJ/kg)","StdDev of CED, processor gate (MJ/kg)"),'[1]Pivot Table_CED'!$A$3,"SUB TYPE",$B252))</f>
        <v/>
      </c>
      <c r="P252" s="90">
        <f>IF(ISERROR(GETPIVOTDATA(IF($J252=1,"Count of ACTIVE     GHGE, FARM GATE (kg CO2e/kg)","Count of GHGE, processor gate (kg CO2e/kg)"),'[1]Pivot Table_GHG'!$A$3,"SUB TYPE",$B252)),"PROXY",IF(GETPIVOTDATA(IF($J252=1,"Count of ACTIVE     GHGE, FARM GATE (kg CO2e/kg)","Count of GHGE, processor gate (kg CO2e/kg)"),'[1]Pivot Table_GHG'!$A$3,"SUB TYPE",$B252)=0,"PROXY","DB value"))</f>
        <v/>
      </c>
      <c r="Q252" s="93">
        <f>IF($P252="PROXY",DCOUNT('[1]literature entries'!$D:$AI,IF($J252=1,"ACTIVE     GHGE, FARM GATE (kg CO2e/kg)","GHGE, processor gate (kg CO2e/kg)"),INDIRECT($K252)),GETPIVOTDATA(IF($J252=1,"ACTIVE     GHGE, FARM GATE (kg CO2e/kg)","Count of GHGE, processor gate (kg CO2e/kg)"),'[1]Pivot Table_GHG'!$A$3,"SUB TYPE",$B252))</f>
        <v/>
      </c>
      <c r="R252" s="94">
        <f>IF($P252="PROXY",DAVERAGE('[1]literature entries'!$D:$AI,IF($J252=1,"ACTIVE     GHGE, FARM GATE (kg CO2e/kg)","GHGE, processor gate (kg CO2e/kg)"),INDIRECT($K252)),GETPIVOTDATA(IF($J252=1,"Average of ACTIVE     GHGE, FARM GATE (kg CO2e/kg)","Average of GHGE, processor gate (kg CO2e/kg)"),'[1]Pivot Table_GHG'!$A$3,"SUB TYPE",$B252))</f>
        <v/>
      </c>
      <c r="S252" s="94">
        <f>IF($P252="PROXY",DSTDEV('[1]literature entries'!$D:$AI,IF($J252=1,"ACTIVE     GHGE, FARM GATE (kg CO2e/kg)","GHGE, processor gate (kg CO2e/kg)"),INDIRECT($K252)),GETPIVOTDATA(IF($J252=1,"StdDev of ACTIVE     GHGE, FARM GATE (kg CO2e/kg)","StdDev of GHGE, processor gate (kg CO2e/kg)"),'[1]Pivot Table_GHG'!$A$3,"SUB TYPE",$B252))</f>
        <v/>
      </c>
      <c r="T252" s="105" t="n"/>
      <c r="U252" s="106" t="n"/>
      <c r="V252" s="97" t="n"/>
      <c r="W252" s="98" t="inlineStr">
        <is>
          <t>tropical_fruit</t>
        </is>
      </c>
      <c r="X252" s="98">
        <f>IF($W252="DIRECT",M252,DCOUNT('[1]literature entries'!$D:$AI,IF($J252=1,"ACTIVE     CED, FARM GATE (MJ/kg)","CED, processor gate (MJ/kg)"),INDIRECT($W252)))</f>
        <v/>
      </c>
      <c r="Y252" s="98">
        <f>IF($W252="DIRECT","",DAVERAGE('[1]literature entries'!$D:$AI,IF($J252=1,"ACTIVE     CED, FARM GATE (MJ/kg)","CED, processor gate (MJ/kg)"),INDIRECT($W252)))</f>
        <v/>
      </c>
      <c r="Z252" s="98">
        <f>IF($W252="DIRECT",$O252,DSTDEV('[1]literature entries'!$D:$AI,IF($J252=1,"ACTIVE     CED, FARM GATE (MJ/kg)","CED, processor gate (MJ/kg)"),INDIRECT($W252)))</f>
        <v/>
      </c>
      <c r="AA252" s="98">
        <f>IF($W252="DIRECT",$O252,$Z252/$Y252*$N252)</f>
        <v/>
      </c>
      <c r="AB252" s="99">
        <f>IF(P252="PROXY",IF(Q252&gt;=5,K252,"need group"),IF(Q252&gt;=5,"DIRECT","need group"))</f>
        <v/>
      </c>
      <c r="AC252" s="99">
        <f>IF($AB252="DIRECT",Q252,DCOUNT('[1]literature entries'!$D:$AI,IF($J252=1,"ACTIVE     GHGE, FARM GATE (kg CO2e/kg)","GHGE, processor gate (kg CO2e/kg)"),INDIRECT($AB252)))</f>
        <v/>
      </c>
      <c r="AD252" s="99">
        <f>IF($AB252="DIRECT","",DAVERAGE('[1]literature entries'!$D:$AI,IF($J252=1,"ACTIVE     GHGE, FARM GATE (kg CO2e/kg)","GHGE, processor gate (kg CO2e/kg)"),INDIRECT($AB252)))</f>
        <v/>
      </c>
      <c r="AE252" s="99">
        <f>IF($AB252="DIRECT",$S252,DSTDEV('[1]literature entries'!$D:$AI,IF($J252=1,"ACTIVE     GHGE, FARM GATE (kg CO2e/kg)","GHGE, processor gate (kg CO2e/kg)"),INDIRECT($AB252)))</f>
        <v/>
      </c>
      <c r="AF252" s="99">
        <f>IF($AB252="DIRECT",$S252,$AE252/$AD252*$R252)</f>
        <v/>
      </c>
    </row>
    <row r="253" ht="15.75" customHeight="1" s="201">
      <c r="A253" s="100" t="n">
        <v>2301236000</v>
      </c>
      <c r="B253" s="101" t="inlineStr">
        <is>
          <t>Olive, oil</t>
        </is>
      </c>
      <c r="C253" s="101" t="inlineStr">
        <is>
          <t>weight of oil</t>
        </is>
      </c>
      <c r="D253" s="101" t="n"/>
      <c r="E253" s="101" t="n">
        <v>22315</v>
      </c>
      <c r="F253" s="84">
        <f>N253*H253+T253</f>
        <v/>
      </c>
      <c r="G253" s="85">
        <f>R253*H253+U253</f>
        <v/>
      </c>
      <c r="H253" s="102" t="n">
        <v>1</v>
      </c>
      <c r="I253" s="103" t="inlineStr">
        <is>
          <t>FICRCD</t>
        </is>
      </c>
      <c r="J253" s="104" t="n">
        <v>2</v>
      </c>
      <c r="K253" s="89" t="n"/>
      <c r="L253" s="90">
        <f>IF(ISERROR(GETPIVOTDATA(IF($J253=1,"Count of ACTIVE     CED, FARM GATE (MJ/kg)","Count of CED, processor gate (MJ/kg)"),'[1]Pivot Table_CED'!$A$3,"SUB TYPE",$B253)),"PROXY",IF(GETPIVOTDATA(IF($J253=1,"Count of ACTIVE     CED, FARM GATE (MJ/kg)","Count of CED, processor gate (MJ/kg)"),'[1]Pivot Table_CED'!$A$3,"SUB TYPE",$B253)=0,"PROXY","DB value"))</f>
        <v/>
      </c>
      <c r="M253" s="91">
        <f>IF($L253="PROXY",DCOUNT('[1]literature entries'!$D:$AI,IF($J253=1,"ACTIVE     CED, FARM GATE (MJ/kg)","CED, processor gate (MJ/kg)"),INDIRECT($K253)),GETPIVOTDATA(IF($J253=1,"Count of ACTIVE     CED, FARM GATE (MJ/kg)","Count of CED, processor gate (MJ/kg)"),'[1]Pivot Table_CED'!$A$3,"SUB TYPE",$B253))</f>
        <v/>
      </c>
      <c r="N253" s="92">
        <f>IF($L253="PROXY",DAVERAGE('[1]literature entries'!$D:$AI,IF($J253=1,"ACTIVE     CED, FARM GATE (MJ/kg)","CED, processor gate (MJ/kg)"),INDIRECT($K253)),GETPIVOTDATA(IF($J253=1,"Average of ACTIVE     CED, FARM GATE (MJ/kg)","Average of CED, processor gate (MJ/kg)"),'[1]Pivot Table_CED'!$A$3,"SUB TYPE",$B253))</f>
        <v/>
      </c>
      <c r="O253" s="92">
        <f>IF($L253="PROXY",DSTDEV('[1]literature entries'!D:AI,IF($J253=1,"ACTIVE     CED, FARM GATE (MJ/kg)","CED, processor gate (MJ/kg)"),INDIRECT($K253)),GETPIVOTDATA(IF($J253=1,"StdDev of ACTIVE     CED, FARM GATE (MJ/kg)","StdDev of CED, processor gate (MJ/kg)"),'[1]Pivot Table_CED'!$A$3,"SUB TYPE",$B253))</f>
        <v/>
      </c>
      <c r="P253" s="90">
        <f>IF(ISERROR(GETPIVOTDATA(IF($J253=1,"Count of ACTIVE     GHGE, FARM GATE (kg CO2e/kg)","Count of GHGE, processor gate (kg CO2e/kg)"),'[1]Pivot Table_GHG'!$A$3,"SUB TYPE",$B253)),"PROXY",IF(GETPIVOTDATA(IF($J253=1,"Count of ACTIVE     GHGE, FARM GATE (kg CO2e/kg)","Count of GHGE, processor gate (kg CO2e/kg)"),'[1]Pivot Table_GHG'!$A$3,"SUB TYPE",$B253)=0,"PROXY","DB value"))</f>
        <v/>
      </c>
      <c r="Q253" s="93">
        <f>IF($P253="PROXY",DCOUNT('[1]literature entries'!$D:$AI,IF($J253=1,"ACTIVE     GHGE, FARM GATE (kg CO2e/kg)","GHGE, processor gate (kg CO2e/kg)"),INDIRECT($K253)),GETPIVOTDATA(IF($J253=1,"ACTIVE     GHGE, FARM GATE (kg CO2e/kg)","Count of GHGE, processor gate (kg CO2e/kg)"),'[1]Pivot Table_GHG'!$A$3,"SUB TYPE",$B253))</f>
        <v/>
      </c>
      <c r="R253" s="94">
        <f>IF($P253="PROXY",DAVERAGE('[1]literature entries'!$D:$AI,IF($J253=1,"ACTIVE     GHGE, FARM GATE (kg CO2e/kg)","GHGE, processor gate (kg CO2e/kg)"),INDIRECT($K253)),GETPIVOTDATA(IF($J253=1,"Average of ACTIVE     GHGE, FARM GATE (kg CO2e/kg)","Average of GHGE, processor gate (kg CO2e/kg)"),'[1]Pivot Table_GHG'!$A$3,"SUB TYPE",$B253))</f>
        <v/>
      </c>
      <c r="S253" s="94">
        <f>IF($P253="PROXY",DSTDEV('[1]literature entries'!$D:$AI,IF($J253=1,"ACTIVE     GHGE, FARM GATE (kg CO2e/kg)","GHGE, processor gate (kg CO2e/kg)"),INDIRECT($K253)),GETPIVOTDATA(IF($J253=1,"StdDev of ACTIVE     GHGE, FARM GATE (kg CO2e/kg)","StdDev of GHGE, processor gate (kg CO2e/kg)"),'[1]Pivot Table_GHG'!$A$3,"SUB TYPE",$B253))</f>
        <v/>
      </c>
      <c r="T253" s="105" t="n"/>
      <c r="U253" s="106" t="n"/>
      <c r="V253" s="97" t="n"/>
      <c r="W253" s="98" t="inlineStr">
        <is>
          <t>oils</t>
        </is>
      </c>
      <c r="X253" s="98">
        <f>IF($W253="DIRECT",M253,DCOUNT('[1]literature entries'!$D:$AI,IF($J253=1,"ACTIVE     CED, FARM GATE (MJ/kg)","CED, processor gate (MJ/kg)"),INDIRECT($W253)))</f>
        <v/>
      </c>
      <c r="Y253" s="98">
        <f>IF($W253="DIRECT","",DAVERAGE('[1]literature entries'!$D:$AI,IF($J253=1,"ACTIVE     CED, FARM GATE (MJ/kg)","CED, processor gate (MJ/kg)"),INDIRECT($W253)))</f>
        <v/>
      </c>
      <c r="Z253" s="98">
        <f>IF($W253="DIRECT",$O253,DSTDEV('[1]literature entries'!$D:$AI,IF($J253=1,"ACTIVE     CED, FARM GATE (MJ/kg)","CED, processor gate (MJ/kg)"),INDIRECT($W253)))</f>
        <v/>
      </c>
      <c r="AA253" s="98">
        <f>IF($W253="DIRECT",$O253,$Z253/$Y253*$N253)</f>
        <v/>
      </c>
      <c r="AB253" s="99" t="inlineStr">
        <is>
          <t>oils</t>
        </is>
      </c>
      <c r="AC253" s="99">
        <f>IF($AB253="DIRECT",Q253,DCOUNT('[1]literature entries'!$D:$AI,IF($J253=1,"ACTIVE     GHGE, FARM GATE (kg CO2e/kg)","GHGE, processor gate (kg CO2e/kg)"),INDIRECT($AB253)))</f>
        <v/>
      </c>
      <c r="AD253" s="99">
        <f>IF($AB253="DIRECT","",DAVERAGE('[1]literature entries'!$D:$AI,IF($J253=1,"ACTIVE     GHGE, FARM GATE (kg CO2e/kg)","GHGE, processor gate (kg CO2e/kg)"),INDIRECT($AB253)))</f>
        <v/>
      </c>
      <c r="AE253" s="99">
        <f>IF($AB253="DIRECT",$S253,DSTDEV('[1]literature entries'!$D:$AI,IF($J253=1,"ACTIVE     GHGE, FARM GATE (kg CO2e/kg)","GHGE, processor gate (kg CO2e/kg)"),INDIRECT($AB253)))</f>
        <v/>
      </c>
      <c r="AF253" s="99">
        <f>IF($AB253="DIRECT",$S253,$AE253/$AD253*$R253)</f>
        <v/>
      </c>
    </row>
    <row r="254" ht="15.75" customHeight="1" s="201">
      <c r="A254" s="100" t="n">
        <v>2302077000</v>
      </c>
      <c r="B254" s="101" t="inlineStr">
        <is>
          <t>Carob</t>
        </is>
      </c>
      <c r="C254" s="101" t="inlineStr">
        <is>
          <t>dry weight of bean; flour</t>
        </is>
      </c>
      <c r="D254" s="101" t="n"/>
      <c r="E254" s="101" t="n">
        <v>12</v>
      </c>
      <c r="F254" s="84">
        <f>N254*H254+T254</f>
        <v/>
      </c>
      <c r="G254" s="85">
        <f>R254*H254+U254</f>
        <v/>
      </c>
      <c r="H254" s="102" t="n">
        <v>1</v>
      </c>
      <c r="I254" s="103" t="inlineStr">
        <is>
          <t>FICRCD</t>
        </is>
      </c>
      <c r="J254" s="104" t="n">
        <v>1</v>
      </c>
      <c r="K254" s="89" t="inlineStr">
        <is>
          <t>tropical_fruit</t>
        </is>
      </c>
      <c r="L254" s="90">
        <f>IF(ISERROR(GETPIVOTDATA(IF($J254=1,"Count of ACTIVE     CED, FARM GATE (MJ/kg)","Count of CED, processor gate (MJ/kg)"),'[1]Pivot Table_CED'!$A$3,"SUB TYPE",$B254)),"PROXY",IF(GETPIVOTDATA(IF($J254=1,"Count of ACTIVE     CED, FARM GATE (MJ/kg)","Count of CED, processor gate (MJ/kg)"),'[1]Pivot Table_CED'!$A$3,"SUB TYPE",$B254)=0,"PROXY","DB value"))</f>
        <v/>
      </c>
      <c r="M254" s="91">
        <f>IF($L254="PROXY",DCOUNT('[1]literature entries'!$D:$AI,IF($J254=1,"ACTIVE     CED, FARM GATE (MJ/kg)","CED, processor gate (MJ/kg)"),INDIRECT($K254)),GETPIVOTDATA(IF($J254=1,"Count of ACTIVE     CED, FARM GATE (MJ/kg)","Count of CED, processor gate (MJ/kg)"),'[1]Pivot Table_CED'!$A$3,"SUB TYPE",$B254))</f>
        <v/>
      </c>
      <c r="N254" s="92">
        <f>IF($L254="PROXY",DAVERAGE('[1]literature entries'!$D:$AI,IF($J254=1,"ACTIVE     CED, FARM GATE (MJ/kg)","CED, processor gate (MJ/kg)"),INDIRECT($K254)),GETPIVOTDATA(IF($J254=1,"Average of ACTIVE     CED, FARM GATE (MJ/kg)","Average of CED, processor gate (MJ/kg)"),'[1]Pivot Table_CED'!$A$3,"SUB TYPE",$B254))</f>
        <v/>
      </c>
      <c r="O254" s="92">
        <f>IF($L254="PROXY",DSTDEV('[1]literature entries'!D:AI,IF($J254=1,"ACTIVE     CED, FARM GATE (MJ/kg)","CED, processor gate (MJ/kg)"),INDIRECT($K254)),GETPIVOTDATA(IF($J254=1,"StdDev of ACTIVE     CED, FARM GATE (MJ/kg)","StdDev of CED, processor gate (MJ/kg)"),'[1]Pivot Table_CED'!$A$3,"SUB TYPE",$B254))</f>
        <v/>
      </c>
      <c r="P254" s="90">
        <f>IF(ISERROR(GETPIVOTDATA(IF($J254=1,"Count of ACTIVE     GHGE, FARM GATE (kg CO2e/kg)","Count of GHGE, processor gate (kg CO2e/kg)"),'[1]Pivot Table_GHG'!$A$3,"SUB TYPE",$B254)),"PROXY",IF(GETPIVOTDATA(IF($J254=1,"Count of ACTIVE     GHGE, FARM GATE (kg CO2e/kg)","Count of GHGE, processor gate (kg CO2e/kg)"),'[1]Pivot Table_GHG'!$A$3,"SUB TYPE",$B254)=0,"PROXY","DB value"))</f>
        <v/>
      </c>
      <c r="Q254" s="93">
        <f>IF($P254="PROXY",DCOUNT('[1]literature entries'!$D:$AI,IF($J254=1,"ACTIVE     GHGE, FARM GATE (kg CO2e/kg)","GHGE, processor gate (kg CO2e/kg)"),INDIRECT($K254)),GETPIVOTDATA(IF($J254=1,"ACTIVE     GHGE, FARM GATE (kg CO2e/kg)","Count of GHGE, processor gate (kg CO2e/kg)"),'[1]Pivot Table_GHG'!$A$3,"SUB TYPE",$B254))</f>
        <v/>
      </c>
      <c r="R254" s="94">
        <f>IF($P254="PROXY",DAVERAGE('[1]literature entries'!$D:$AI,IF($J254=1,"ACTIVE     GHGE, FARM GATE (kg CO2e/kg)","GHGE, processor gate (kg CO2e/kg)"),INDIRECT($K254)),GETPIVOTDATA(IF($J254=1,"Average of ACTIVE     GHGE, FARM GATE (kg CO2e/kg)","Average of GHGE, processor gate (kg CO2e/kg)"),'[1]Pivot Table_GHG'!$A$3,"SUB TYPE",$B254))</f>
        <v/>
      </c>
      <c r="S254" s="94">
        <f>IF($P254="PROXY",DSTDEV('[1]literature entries'!$D:$AI,IF($J254=1,"ACTIVE     GHGE, FARM GATE (kg CO2e/kg)","GHGE, processor gate (kg CO2e/kg)"),INDIRECT($K254)),GETPIVOTDATA(IF($J254=1,"StdDev of ACTIVE     GHGE, FARM GATE (kg CO2e/kg)","StdDev of GHGE, processor gate (kg CO2e/kg)"),'[1]Pivot Table_GHG'!$A$3,"SUB TYPE",$B254))</f>
        <v/>
      </c>
      <c r="T254" s="105" t="n"/>
      <c r="U254" s="106" t="n"/>
      <c r="V254" s="97" t="n"/>
      <c r="W254" s="98">
        <f>IF(L254="PROXY",IF(M254&gt;=5,K254,"need group"),IF(M254&gt;=5,"DIRECT","need group"))</f>
        <v/>
      </c>
      <c r="X254" s="98">
        <f>IF($W254="DIRECT",M254,DCOUNT('[1]literature entries'!$D:$AI,IF($J254=1,"ACTIVE     CED, FARM GATE (MJ/kg)","CED, processor gate (MJ/kg)"),INDIRECT($W254)))</f>
        <v/>
      </c>
      <c r="Y254" s="98">
        <f>IF($W254="DIRECT","",DAVERAGE('[1]literature entries'!$D:$AI,IF($J254=1,"ACTIVE     CED, FARM GATE (MJ/kg)","CED, processor gate (MJ/kg)"),INDIRECT($W254)))</f>
        <v/>
      </c>
      <c r="Z254" s="98">
        <f>IF($W254="DIRECT",$O254,DSTDEV('[1]literature entries'!$D:$AI,IF($J254=1,"ACTIVE     CED, FARM GATE (MJ/kg)","CED, processor gate (MJ/kg)"),INDIRECT($W254)))</f>
        <v/>
      </c>
      <c r="AA254" s="98">
        <f>IF($W254="DIRECT",$O254,$Z254/$Y254*$N254)</f>
        <v/>
      </c>
      <c r="AB254" s="99">
        <f>IF(P254="PROXY",IF(Q254&gt;=5,K254,"need group"),IF(Q254&gt;=5,"DIRECT","need group"))</f>
        <v/>
      </c>
      <c r="AC254" s="99">
        <f>IF($AB254="DIRECT",Q254,DCOUNT('[1]literature entries'!$D:$AI,IF($J254=1,"ACTIVE     GHGE, FARM GATE (kg CO2e/kg)","GHGE, processor gate (kg CO2e/kg)"),INDIRECT($AB254)))</f>
        <v/>
      </c>
      <c r="AD254" s="99">
        <f>IF($AB254="DIRECT","",DAVERAGE('[1]literature entries'!$D:$AI,IF($J254=1,"ACTIVE     GHGE, FARM GATE (kg CO2e/kg)","GHGE, processor gate (kg CO2e/kg)"),INDIRECT($AB254)))</f>
        <v/>
      </c>
      <c r="AE254" s="99">
        <f>IF($AB254="DIRECT",$S254,DSTDEV('[1]literature entries'!$D:$AI,IF($J254=1,"ACTIVE     GHGE, FARM GATE (kg CO2e/kg)","GHGE, processor gate (kg CO2e/kg)"),INDIRECT($AB254)))</f>
        <v/>
      </c>
      <c r="AF254" s="99">
        <f>IF($AB254="DIRECT",$S254,$AE254/$AD254*$R254)</f>
        <v/>
      </c>
    </row>
    <row r="255" ht="15.75" customHeight="1" s="201">
      <c r="A255" s="100" t="n">
        <v>2302153000</v>
      </c>
      <c r="B255" s="101" t="inlineStr">
        <is>
          <t>Fig</t>
        </is>
      </c>
      <c r="C255" s="101" t="inlineStr">
        <is>
          <t>weight of fruit</t>
        </is>
      </c>
      <c r="D255" s="101" t="n"/>
      <c r="E255" s="101" t="n">
        <v>13</v>
      </c>
      <c r="F255" s="84">
        <f>N255*H255+T255</f>
        <v/>
      </c>
      <c r="G255" s="85">
        <f>R255*H255+U255</f>
        <v/>
      </c>
      <c r="H255" s="102" t="n">
        <v>1.01</v>
      </c>
      <c r="I255" s="102" t="inlineStr">
        <is>
          <t>FICRCD</t>
        </is>
      </c>
      <c r="J255" s="104" t="n">
        <v>1</v>
      </c>
      <c r="K255" s="89" t="inlineStr">
        <is>
          <t>tropical_fruit</t>
        </is>
      </c>
      <c r="L255" s="90">
        <f>IF(ISERROR(GETPIVOTDATA(IF($J255=1,"Count of ACTIVE     CED, FARM GATE (MJ/kg)","Count of CED, processor gate (MJ/kg)"),'[1]Pivot Table_CED'!$A$3,"SUB TYPE",$B255)),"PROXY",IF(GETPIVOTDATA(IF($J255=1,"Count of ACTIVE     CED, FARM GATE (MJ/kg)","Count of CED, processor gate (MJ/kg)"),'[1]Pivot Table_CED'!$A$3,"SUB TYPE",$B255)=0,"PROXY","DB value"))</f>
        <v/>
      </c>
      <c r="M255" s="91">
        <f>IF($L255="PROXY",DCOUNT('[1]literature entries'!$D:$AI,IF($J255=1,"ACTIVE     CED, FARM GATE (MJ/kg)","CED, processor gate (MJ/kg)"),INDIRECT($K255)),GETPIVOTDATA(IF($J255=1,"Count of ACTIVE     CED, FARM GATE (MJ/kg)","Count of CED, processor gate (MJ/kg)"),'[1]Pivot Table_CED'!$A$3,"SUB TYPE",$B255))</f>
        <v/>
      </c>
      <c r="N255" s="92">
        <f>IF($L255="PROXY",DAVERAGE('[1]literature entries'!$D:$AI,IF($J255=1,"ACTIVE     CED, FARM GATE (MJ/kg)","CED, processor gate (MJ/kg)"),INDIRECT($K255)),GETPIVOTDATA(IF($J255=1,"Average of ACTIVE     CED, FARM GATE (MJ/kg)","Average of CED, processor gate (MJ/kg)"),'[1]Pivot Table_CED'!$A$3,"SUB TYPE",$B255))</f>
        <v/>
      </c>
      <c r="O255" s="92">
        <f>IF($L255="PROXY",DSTDEV('[1]literature entries'!D:AI,IF($J255=1,"ACTIVE     CED, FARM GATE (MJ/kg)","CED, processor gate (MJ/kg)"),INDIRECT($K255)),GETPIVOTDATA(IF($J255=1,"StdDev of ACTIVE     CED, FARM GATE (MJ/kg)","StdDev of CED, processor gate (MJ/kg)"),'[1]Pivot Table_CED'!$A$3,"SUB TYPE",$B255))</f>
        <v/>
      </c>
      <c r="P255" s="90">
        <f>IF(ISERROR(GETPIVOTDATA(IF($J255=1,"Count of ACTIVE     GHGE, FARM GATE (kg CO2e/kg)","Count of GHGE, processor gate (kg CO2e/kg)"),'[1]Pivot Table_GHG'!$A$3,"SUB TYPE",$B255)),"PROXY",IF(GETPIVOTDATA(IF($J255=1,"Count of ACTIVE     GHGE, FARM GATE (kg CO2e/kg)","Count of GHGE, processor gate (kg CO2e/kg)"),'[1]Pivot Table_GHG'!$A$3,"SUB TYPE",$B255)=0,"PROXY","DB value"))</f>
        <v/>
      </c>
      <c r="Q255" s="93">
        <f>IF($P255="PROXY",DCOUNT('[1]literature entries'!$D:$AI,IF($J255=1,"ACTIVE     GHGE, FARM GATE (kg CO2e/kg)","GHGE, processor gate (kg CO2e/kg)"),INDIRECT($K255)),GETPIVOTDATA(IF($J255=1,"ACTIVE     GHGE, FARM GATE (kg CO2e/kg)","Count of GHGE, processor gate (kg CO2e/kg)"),'[1]Pivot Table_GHG'!$A$3,"SUB TYPE",$B255))</f>
        <v/>
      </c>
      <c r="R255" s="94">
        <f>IF($P255="PROXY",DAVERAGE('[1]literature entries'!$D:$AI,IF($J255=1,"ACTIVE     GHGE, FARM GATE (kg CO2e/kg)","GHGE, processor gate (kg CO2e/kg)"),INDIRECT($K255)),GETPIVOTDATA(IF($J255=1,"Average of ACTIVE     GHGE, FARM GATE (kg CO2e/kg)","Average of GHGE, processor gate (kg CO2e/kg)"),'[1]Pivot Table_GHG'!$A$3,"SUB TYPE",$B255))</f>
        <v/>
      </c>
      <c r="S255" s="94">
        <f>IF($P255="PROXY",DSTDEV('[1]literature entries'!$D:$AI,IF($J255=1,"ACTIVE     GHGE, FARM GATE (kg CO2e/kg)","GHGE, processor gate (kg CO2e/kg)"),INDIRECT($K255)),GETPIVOTDATA(IF($J255=1,"StdDev of ACTIVE     GHGE, FARM GATE (kg CO2e/kg)","StdDev of GHGE, processor gate (kg CO2e/kg)"),'[1]Pivot Table_GHG'!$A$3,"SUB TYPE",$B255))</f>
        <v/>
      </c>
      <c r="T255" s="105" t="n"/>
      <c r="U255" s="106" t="n"/>
      <c r="V255" s="97" t="n"/>
      <c r="W255" s="98">
        <f>IF(L255="PROXY",IF(M255&gt;=5,K255,"need group"),IF(M255&gt;=5,"DIRECT","need group"))</f>
        <v/>
      </c>
      <c r="X255" s="98">
        <f>IF($W255="DIRECT",M255,DCOUNT('[1]literature entries'!$D:$AI,IF($J255=1,"ACTIVE     CED, FARM GATE (MJ/kg)","CED, processor gate (MJ/kg)"),INDIRECT($W255)))</f>
        <v/>
      </c>
      <c r="Y255" s="98">
        <f>IF($W255="DIRECT","",DAVERAGE('[1]literature entries'!$D:$AI,IF($J255=1,"ACTIVE     CED, FARM GATE (MJ/kg)","CED, processor gate (MJ/kg)"),INDIRECT($W255)))</f>
        <v/>
      </c>
      <c r="Z255" s="98">
        <f>IF($W255="DIRECT",$O255,DSTDEV('[1]literature entries'!$D:$AI,IF($J255=1,"ACTIVE     CED, FARM GATE (MJ/kg)","CED, processor gate (MJ/kg)"),INDIRECT($W255)))</f>
        <v/>
      </c>
      <c r="AA255" s="98">
        <f>IF($W255="DIRECT",$O255,$Z255/$Y255*$N255)</f>
        <v/>
      </c>
      <c r="AB255" s="99">
        <f>IF(P255="PROXY",IF(Q255&gt;=5,K255,"need group"),IF(Q255&gt;=5,"DIRECT","need group"))</f>
        <v/>
      </c>
      <c r="AC255" s="99">
        <f>IF($AB255="DIRECT",Q255,DCOUNT('[1]literature entries'!$D:$AI,IF($J255=1,"ACTIVE     GHGE, FARM GATE (kg CO2e/kg)","GHGE, processor gate (kg CO2e/kg)"),INDIRECT($AB255)))</f>
        <v/>
      </c>
      <c r="AD255" s="99">
        <f>IF($AB255="DIRECT","",DAVERAGE('[1]literature entries'!$D:$AI,IF($J255=1,"ACTIVE     GHGE, FARM GATE (kg CO2e/kg)","GHGE, processor gate (kg CO2e/kg)"),INDIRECT($AB255)))</f>
        <v/>
      </c>
      <c r="AE255" s="99">
        <f>IF($AB255="DIRECT",$S255,DSTDEV('[1]literature entries'!$D:$AI,IF($J255=1,"ACTIVE     GHGE, FARM GATE (kg CO2e/kg)","GHGE, processor gate (kg CO2e/kg)"),INDIRECT($AB255)))</f>
        <v/>
      </c>
      <c r="AF255" s="99">
        <f>IF($AB255="DIRECT",$S255,$AE255/$AD255*$R255)</f>
        <v/>
      </c>
    </row>
    <row r="256" ht="15.75" customHeight="1" s="201">
      <c r="A256" s="100" t="n">
        <v>2302154000</v>
      </c>
      <c r="B256" s="101" t="inlineStr">
        <is>
          <t>Fig, dried</t>
        </is>
      </c>
      <c r="C256" s="101" t="inlineStr">
        <is>
          <t>dry weight of fruit</t>
        </is>
      </c>
      <c r="D256" s="101" t="n"/>
      <c r="E256" s="101" t="n">
        <v>280</v>
      </c>
      <c r="F256" s="84">
        <f>N256*H256+T256</f>
        <v/>
      </c>
      <c r="G256" s="85">
        <f>R256*H256+U256</f>
        <v/>
      </c>
      <c r="H256" s="102" t="n">
        <v>3.38</v>
      </c>
      <c r="I256" s="102" t="inlineStr">
        <is>
          <t>FICRCD</t>
        </is>
      </c>
      <c r="J256" s="104" t="n">
        <v>1</v>
      </c>
      <c r="K256" s="89" t="inlineStr">
        <is>
          <t>tropical_fruit</t>
        </is>
      </c>
      <c r="L256" s="90">
        <f>IF(ISERROR(GETPIVOTDATA(IF($J256=1,"Count of ACTIVE     CED, FARM GATE (MJ/kg)","Count of CED, processor gate (MJ/kg)"),'[1]Pivot Table_CED'!$A$3,"SUB TYPE",$B256)),"PROXY",IF(GETPIVOTDATA(IF($J256=1,"Count of ACTIVE     CED, FARM GATE (MJ/kg)","Count of CED, processor gate (MJ/kg)"),'[1]Pivot Table_CED'!$A$3,"SUB TYPE",$B256)=0,"PROXY","DB value"))</f>
        <v/>
      </c>
      <c r="M256" s="91">
        <f>IF($L256="PROXY",DCOUNT('[1]literature entries'!$D:$AI,IF($J256=1,"ACTIVE     CED, FARM GATE (MJ/kg)","CED, processor gate (MJ/kg)"),INDIRECT($K256)),GETPIVOTDATA(IF($J256=1,"Count of ACTIVE     CED, FARM GATE (MJ/kg)","Count of CED, processor gate (MJ/kg)"),'[1]Pivot Table_CED'!$A$3,"SUB TYPE",$B256))</f>
        <v/>
      </c>
      <c r="N256" s="92">
        <f>IF($L256="PROXY",DAVERAGE('[1]literature entries'!$D:$AI,IF($J256=1,"ACTIVE     CED, FARM GATE (MJ/kg)","CED, processor gate (MJ/kg)"),INDIRECT($K256)),GETPIVOTDATA(IF($J256=1,"Average of ACTIVE     CED, FARM GATE (MJ/kg)","Average of CED, processor gate (MJ/kg)"),'[1]Pivot Table_CED'!$A$3,"SUB TYPE",$B256))</f>
        <v/>
      </c>
      <c r="O256" s="92">
        <f>IF($L256="PROXY",DSTDEV('[1]literature entries'!D:AI,IF($J256=1,"ACTIVE     CED, FARM GATE (MJ/kg)","CED, processor gate (MJ/kg)"),INDIRECT($K256)),GETPIVOTDATA(IF($J256=1,"StdDev of ACTIVE     CED, FARM GATE (MJ/kg)","StdDev of CED, processor gate (MJ/kg)"),'[1]Pivot Table_CED'!$A$3,"SUB TYPE",$B256))</f>
        <v/>
      </c>
      <c r="P256" s="90">
        <f>IF(ISERROR(GETPIVOTDATA(IF($J256=1,"Count of ACTIVE     GHGE, FARM GATE (kg CO2e/kg)","Count of GHGE, processor gate (kg CO2e/kg)"),'[1]Pivot Table_GHG'!$A$3,"SUB TYPE",$B256)),"PROXY",IF(GETPIVOTDATA(IF($J256=1,"Count of ACTIVE     GHGE, FARM GATE (kg CO2e/kg)","Count of GHGE, processor gate (kg CO2e/kg)"),'[1]Pivot Table_GHG'!$A$3,"SUB TYPE",$B256)=0,"PROXY","DB value"))</f>
        <v/>
      </c>
      <c r="Q256" s="93">
        <f>IF($P256="PROXY",DCOUNT('[1]literature entries'!$D:$AI,IF($J256=1,"ACTIVE     GHGE, FARM GATE (kg CO2e/kg)","GHGE, processor gate (kg CO2e/kg)"),INDIRECT($K256)),GETPIVOTDATA(IF($J256=1,"ACTIVE     GHGE, FARM GATE (kg CO2e/kg)","Count of GHGE, processor gate (kg CO2e/kg)"),'[1]Pivot Table_GHG'!$A$3,"SUB TYPE",$B256))</f>
        <v/>
      </c>
      <c r="R256" s="94">
        <f>IF($P256="PROXY",DAVERAGE('[1]literature entries'!$D:$AI,IF($J256=1,"ACTIVE     GHGE, FARM GATE (kg CO2e/kg)","GHGE, processor gate (kg CO2e/kg)"),INDIRECT($K256)),GETPIVOTDATA(IF($J256=1,"Average of ACTIVE     GHGE, FARM GATE (kg CO2e/kg)","Average of GHGE, processor gate (kg CO2e/kg)"),'[1]Pivot Table_GHG'!$A$3,"SUB TYPE",$B256))</f>
        <v/>
      </c>
      <c r="S256" s="94">
        <f>IF($P256="PROXY",DSTDEV('[1]literature entries'!$D:$AI,IF($J256=1,"ACTIVE     GHGE, FARM GATE (kg CO2e/kg)","GHGE, processor gate (kg CO2e/kg)"),INDIRECT($K256)),GETPIVOTDATA(IF($J256=1,"StdDev of ACTIVE     GHGE, FARM GATE (kg CO2e/kg)","StdDev of GHGE, processor gate (kg CO2e/kg)"),'[1]Pivot Table_GHG'!$A$3,"SUB TYPE",$B256))</f>
        <v/>
      </c>
      <c r="T256" s="105" t="n"/>
      <c r="U256" s="106" t="n"/>
      <c r="V256" s="97" t="n"/>
      <c r="W256" s="98">
        <f>IF(L256="PROXY",IF(M256&gt;=5,K256,"need group"),IF(M256&gt;=5,"DIRECT","need group"))</f>
        <v/>
      </c>
      <c r="X256" s="98">
        <f>IF($W256="DIRECT",M256,DCOUNT('[1]literature entries'!$D:$AI,IF($J256=1,"ACTIVE     CED, FARM GATE (MJ/kg)","CED, processor gate (MJ/kg)"),INDIRECT($W256)))</f>
        <v/>
      </c>
      <c r="Y256" s="98">
        <f>IF($W256="DIRECT","",DAVERAGE('[1]literature entries'!$D:$AI,IF($J256=1,"ACTIVE     CED, FARM GATE (MJ/kg)","CED, processor gate (MJ/kg)"),INDIRECT($W256)))</f>
        <v/>
      </c>
      <c r="Z256" s="98">
        <f>IF($W256="DIRECT",$O256,DSTDEV('[1]literature entries'!$D:$AI,IF($J256=1,"ACTIVE     CED, FARM GATE (MJ/kg)","CED, processor gate (MJ/kg)"),INDIRECT($W256)))</f>
        <v/>
      </c>
      <c r="AA256" s="98">
        <f>IF($W256="DIRECT",$O256,$Z256/$Y256*$N256)</f>
        <v/>
      </c>
      <c r="AB256" s="99">
        <f>IF(P256="PROXY",IF(Q256&gt;=5,K256,"need group"),IF(Q256&gt;=5,"DIRECT","need group"))</f>
        <v/>
      </c>
      <c r="AC256" s="99">
        <f>IF($AB256="DIRECT",Q256,DCOUNT('[1]literature entries'!$D:$AI,IF($J256=1,"ACTIVE     GHGE, FARM GATE (kg CO2e/kg)","GHGE, processor gate (kg CO2e/kg)"),INDIRECT($AB256)))</f>
        <v/>
      </c>
      <c r="AD256" s="99">
        <f>IF($AB256="DIRECT","",DAVERAGE('[1]literature entries'!$D:$AI,IF($J256=1,"ACTIVE     GHGE, FARM GATE (kg CO2e/kg)","GHGE, processor gate (kg CO2e/kg)"),INDIRECT($AB256)))</f>
        <v/>
      </c>
      <c r="AE256" s="99">
        <f>IF($AB256="DIRECT",$S256,DSTDEV('[1]literature entries'!$D:$AI,IF($J256=1,"ACTIVE     GHGE, FARM GATE (kg CO2e/kg)","GHGE, processor gate (kg CO2e/kg)"),INDIRECT($AB256)))</f>
        <v/>
      </c>
      <c r="AF256" s="99">
        <f>IF($AB256="DIRECT",$S256,$AE256/$AD256*$R256)</f>
        <v/>
      </c>
    </row>
    <row r="257" ht="15.75" customHeight="1" s="201">
      <c r="A257" s="100" t="n">
        <v>2302183000</v>
      </c>
      <c r="B257" s="101" t="inlineStr">
        <is>
          <t>Guava</t>
        </is>
      </c>
      <c r="C257" s="101" t="inlineStr">
        <is>
          <t>weight of pulp; excluding peel; juice</t>
        </is>
      </c>
      <c r="D257" s="101" t="n"/>
      <c r="E257" s="101" t="n">
        <v>223</v>
      </c>
      <c r="F257" s="84">
        <f>N257*H257+T257</f>
        <v/>
      </c>
      <c r="G257" s="85">
        <f>R257*H257+U257</f>
        <v/>
      </c>
      <c r="H257" s="102" t="n">
        <v>1.28</v>
      </c>
      <c r="I257" s="102" t="inlineStr">
        <is>
          <t>FICRCD</t>
        </is>
      </c>
      <c r="J257" s="104" t="n">
        <v>1</v>
      </c>
      <c r="K257" s="89" t="inlineStr">
        <is>
          <t>tropical_fruit</t>
        </is>
      </c>
      <c r="L257" s="90">
        <f>IF(ISERROR(GETPIVOTDATA(IF($J257=1,"Count of ACTIVE     CED, FARM GATE (MJ/kg)","Count of CED, processor gate (MJ/kg)"),'[1]Pivot Table_CED'!$A$3,"SUB TYPE",$B257)),"PROXY",IF(GETPIVOTDATA(IF($J257=1,"Count of ACTIVE     CED, FARM GATE (MJ/kg)","Count of CED, processor gate (MJ/kg)"),'[1]Pivot Table_CED'!$A$3,"SUB TYPE",$B257)=0,"PROXY","DB value"))</f>
        <v/>
      </c>
      <c r="M257" s="91">
        <f>IF($L257="PROXY",DCOUNT('[1]literature entries'!$D:$AI,IF($J257=1,"ACTIVE     CED, FARM GATE (MJ/kg)","CED, processor gate (MJ/kg)"),INDIRECT($K257)),GETPIVOTDATA(IF($J257=1,"Count of ACTIVE     CED, FARM GATE (MJ/kg)","Count of CED, processor gate (MJ/kg)"),'[1]Pivot Table_CED'!$A$3,"SUB TYPE",$B257))</f>
        <v/>
      </c>
      <c r="N257" s="92">
        <f>IF($L257="PROXY",DAVERAGE('[1]literature entries'!$D:$AI,IF($J257=1,"ACTIVE     CED, FARM GATE (MJ/kg)","CED, processor gate (MJ/kg)"),INDIRECT($K257)),GETPIVOTDATA(IF($J257=1,"Average of ACTIVE     CED, FARM GATE (MJ/kg)","Average of CED, processor gate (MJ/kg)"),'[1]Pivot Table_CED'!$A$3,"SUB TYPE",$B257))</f>
        <v/>
      </c>
      <c r="O257" s="92">
        <f>IF($L257="PROXY",DSTDEV('[1]literature entries'!D:AI,IF($J257=1,"ACTIVE     CED, FARM GATE (MJ/kg)","CED, processor gate (MJ/kg)"),INDIRECT($K257)),GETPIVOTDATA(IF($J257=1,"StdDev of ACTIVE     CED, FARM GATE (MJ/kg)","StdDev of CED, processor gate (MJ/kg)"),'[1]Pivot Table_CED'!$A$3,"SUB TYPE",$B257))</f>
        <v/>
      </c>
      <c r="P257" s="90">
        <f>IF(ISERROR(GETPIVOTDATA(IF($J257=1,"Count of ACTIVE     GHGE, FARM GATE (kg CO2e/kg)","Count of GHGE, processor gate (kg CO2e/kg)"),'[1]Pivot Table_GHG'!$A$3,"SUB TYPE",$B257)),"PROXY",IF(GETPIVOTDATA(IF($J257=1,"Count of ACTIVE     GHGE, FARM GATE (kg CO2e/kg)","Count of GHGE, processor gate (kg CO2e/kg)"),'[1]Pivot Table_GHG'!$A$3,"SUB TYPE",$B257)=0,"PROXY","DB value"))</f>
        <v/>
      </c>
      <c r="Q257" s="93">
        <f>IF($P257="PROXY",DCOUNT('[1]literature entries'!$D:$AI,IF($J257=1,"ACTIVE     GHGE, FARM GATE (kg CO2e/kg)","GHGE, processor gate (kg CO2e/kg)"),INDIRECT($K257)),GETPIVOTDATA(IF($J257=1,"ACTIVE     GHGE, FARM GATE (kg CO2e/kg)","Count of GHGE, processor gate (kg CO2e/kg)"),'[1]Pivot Table_GHG'!$A$3,"SUB TYPE",$B257))</f>
        <v/>
      </c>
      <c r="R257" s="94">
        <f>IF($P257="PROXY",DAVERAGE('[1]literature entries'!$D:$AI,IF($J257=1,"ACTIVE     GHGE, FARM GATE (kg CO2e/kg)","GHGE, processor gate (kg CO2e/kg)"),INDIRECT($K257)),GETPIVOTDATA(IF($J257=1,"Average of ACTIVE     GHGE, FARM GATE (kg CO2e/kg)","Average of GHGE, processor gate (kg CO2e/kg)"),'[1]Pivot Table_GHG'!$A$3,"SUB TYPE",$B257))</f>
        <v/>
      </c>
      <c r="S257" s="94">
        <f>IF($P257="PROXY",DSTDEV('[1]literature entries'!$D:$AI,IF($J257=1,"ACTIVE     GHGE, FARM GATE (kg CO2e/kg)","GHGE, processor gate (kg CO2e/kg)"),INDIRECT($K257)),GETPIVOTDATA(IF($J257=1,"StdDev of ACTIVE     GHGE, FARM GATE (kg CO2e/kg)","StdDev of GHGE, processor gate (kg CO2e/kg)"),'[1]Pivot Table_GHG'!$A$3,"SUB TYPE",$B257))</f>
        <v/>
      </c>
      <c r="T257" s="105" t="n"/>
      <c r="U257" s="106" t="n"/>
      <c r="V257" s="97" t="n"/>
      <c r="W257" s="98">
        <f>IF(L257="PROXY",IF(M257&gt;=5,K257,"need group"),IF(M257&gt;=5,"DIRECT","need group"))</f>
        <v/>
      </c>
      <c r="X257" s="98">
        <f>IF($W257="DIRECT",M257,DCOUNT('[1]literature entries'!$D:$AI,IF($J257=1,"ACTIVE     CED, FARM GATE (MJ/kg)","CED, processor gate (MJ/kg)"),INDIRECT($W257)))</f>
        <v/>
      </c>
      <c r="Y257" s="98">
        <f>IF($W257="DIRECT","",DAVERAGE('[1]literature entries'!$D:$AI,IF($J257=1,"ACTIVE     CED, FARM GATE (MJ/kg)","CED, processor gate (MJ/kg)"),INDIRECT($W257)))</f>
        <v/>
      </c>
      <c r="Z257" s="98">
        <f>IF($W257="DIRECT",$O257,DSTDEV('[1]literature entries'!$D:$AI,IF($J257=1,"ACTIVE     CED, FARM GATE (MJ/kg)","CED, processor gate (MJ/kg)"),INDIRECT($W257)))</f>
        <v/>
      </c>
      <c r="AA257" s="98">
        <f>IF($W257="DIRECT",$O257,$Z257/$Y257*$N257)</f>
        <v/>
      </c>
      <c r="AB257" s="99" t="inlineStr">
        <is>
          <t>tropical_fruit</t>
        </is>
      </c>
      <c r="AC257" s="99">
        <f>IF($AB257="DIRECT",Q257,DCOUNT('[1]literature entries'!$D:$AI,IF($J257=1,"ACTIVE     GHGE, FARM GATE (kg CO2e/kg)","GHGE, processor gate (kg CO2e/kg)"),INDIRECT($AB257)))</f>
        <v/>
      </c>
      <c r="AD257" s="99">
        <f>IF($AB257="DIRECT","",DAVERAGE('[1]literature entries'!$D:$AI,IF($J257=1,"ACTIVE     GHGE, FARM GATE (kg CO2e/kg)","GHGE, processor gate (kg CO2e/kg)"),INDIRECT($AB257)))</f>
        <v/>
      </c>
      <c r="AE257" s="99">
        <f>IF($AB257="DIRECT",$S257,DSTDEV('[1]literature entries'!$D:$AI,IF($J257=1,"ACTIVE     GHGE, FARM GATE (kg CO2e/kg)","GHGE, processor gate (kg CO2e/kg)"),INDIRECT($AB257)))</f>
        <v/>
      </c>
      <c r="AF257" s="99">
        <f>IF($AB257="DIRECT",$S257,$AE257/$AD257*$R257)</f>
        <v/>
      </c>
    </row>
    <row r="258" ht="15.75" customHeight="1" s="201">
      <c r="A258" s="100" t="n">
        <v>2302368000</v>
      </c>
      <c r="B258" s="101" t="inlineStr">
        <is>
          <t>Tamarind</t>
        </is>
      </c>
      <c r="C258" s="101" t="inlineStr">
        <is>
          <t>weight of pulp, including seeds; excluding peel; juice</t>
        </is>
      </c>
      <c r="D258" s="101" t="n"/>
      <c r="E258" s="101" t="n">
        <v>3116</v>
      </c>
      <c r="F258" s="84">
        <f>N258*H258+T258</f>
        <v/>
      </c>
      <c r="G258" s="85">
        <f>R258*H258+U258</f>
        <v/>
      </c>
      <c r="H258" s="102" t="n">
        <v>2.94</v>
      </c>
      <c r="I258" s="103" t="inlineStr">
        <is>
          <t>FICRCD</t>
        </is>
      </c>
      <c r="J258" s="104" t="n">
        <v>1</v>
      </c>
      <c r="K258" s="89" t="inlineStr">
        <is>
          <t>tropical_fruit</t>
        </is>
      </c>
      <c r="L258" s="90">
        <f>IF(ISERROR(GETPIVOTDATA(IF($J258=1,"Count of ACTIVE     CED, FARM GATE (MJ/kg)","Count of CED, processor gate (MJ/kg)"),'[1]Pivot Table_CED'!$A$3,"SUB TYPE",$B258)),"PROXY",IF(GETPIVOTDATA(IF($J258=1,"Count of ACTIVE     CED, FARM GATE (MJ/kg)","Count of CED, processor gate (MJ/kg)"),'[1]Pivot Table_CED'!$A$3,"SUB TYPE",$B258)=0,"PROXY","DB value"))</f>
        <v/>
      </c>
      <c r="M258" s="91">
        <f>IF($L258="PROXY",DCOUNT('[1]literature entries'!$D:$AI,IF($J258=1,"ACTIVE     CED, FARM GATE (MJ/kg)","CED, processor gate (MJ/kg)"),INDIRECT($K258)),GETPIVOTDATA(IF($J258=1,"Count of ACTIVE     CED, FARM GATE (MJ/kg)","Count of CED, processor gate (MJ/kg)"),'[1]Pivot Table_CED'!$A$3,"SUB TYPE",$B258))</f>
        <v/>
      </c>
      <c r="N258" s="92">
        <f>IF($L258="PROXY",DAVERAGE('[1]literature entries'!$D:$AI,IF($J258=1,"ACTIVE     CED, FARM GATE (MJ/kg)","CED, processor gate (MJ/kg)"),INDIRECT($K258)),GETPIVOTDATA(IF($J258=1,"Average of ACTIVE     CED, FARM GATE (MJ/kg)","Average of CED, processor gate (MJ/kg)"),'[1]Pivot Table_CED'!$A$3,"SUB TYPE",$B258))</f>
        <v/>
      </c>
      <c r="O258" s="92">
        <f>IF($L258="PROXY",DSTDEV('[1]literature entries'!D:AI,IF($J258=1,"ACTIVE     CED, FARM GATE (MJ/kg)","CED, processor gate (MJ/kg)"),INDIRECT($K258)),GETPIVOTDATA(IF($J258=1,"StdDev of ACTIVE     CED, FARM GATE (MJ/kg)","StdDev of CED, processor gate (MJ/kg)"),'[1]Pivot Table_CED'!$A$3,"SUB TYPE",$B258))</f>
        <v/>
      </c>
      <c r="P258" s="90">
        <f>IF(ISERROR(GETPIVOTDATA(IF($J258=1,"Count of ACTIVE     GHGE, FARM GATE (kg CO2e/kg)","Count of GHGE, processor gate (kg CO2e/kg)"),'[1]Pivot Table_GHG'!$A$3,"SUB TYPE",$B258)),"PROXY",IF(GETPIVOTDATA(IF($J258=1,"Count of ACTIVE     GHGE, FARM GATE (kg CO2e/kg)","Count of GHGE, processor gate (kg CO2e/kg)"),'[1]Pivot Table_GHG'!$A$3,"SUB TYPE",$B258)=0,"PROXY","DB value"))</f>
        <v/>
      </c>
      <c r="Q258" s="93">
        <f>IF($P258="PROXY",DCOUNT('[1]literature entries'!$D:$AI,IF($J258=1,"ACTIVE     GHGE, FARM GATE (kg CO2e/kg)","GHGE, processor gate (kg CO2e/kg)"),INDIRECT($K258)),GETPIVOTDATA(IF($J258=1,"ACTIVE     GHGE, FARM GATE (kg CO2e/kg)","Count of GHGE, processor gate (kg CO2e/kg)"),'[1]Pivot Table_GHG'!$A$3,"SUB TYPE",$B258))</f>
        <v/>
      </c>
      <c r="R258" s="94">
        <f>IF($P258="PROXY",DAVERAGE('[1]literature entries'!$D:$AI,IF($J258=1,"ACTIVE     GHGE, FARM GATE (kg CO2e/kg)","GHGE, processor gate (kg CO2e/kg)"),INDIRECT($K258)),GETPIVOTDATA(IF($J258=1,"Average of ACTIVE     GHGE, FARM GATE (kg CO2e/kg)","Average of GHGE, processor gate (kg CO2e/kg)"),'[1]Pivot Table_GHG'!$A$3,"SUB TYPE",$B258))</f>
        <v/>
      </c>
      <c r="S258" s="94">
        <f>IF($P258="PROXY",DSTDEV('[1]literature entries'!$D:$AI,IF($J258=1,"ACTIVE     GHGE, FARM GATE (kg CO2e/kg)","GHGE, processor gate (kg CO2e/kg)"),INDIRECT($K258)),GETPIVOTDATA(IF($J258=1,"StdDev of ACTIVE     GHGE, FARM GATE (kg CO2e/kg)","StdDev of GHGE, processor gate (kg CO2e/kg)"),'[1]Pivot Table_GHG'!$A$3,"SUB TYPE",$B258))</f>
        <v/>
      </c>
      <c r="T258" s="105" t="n"/>
      <c r="U258" s="106" t="n"/>
      <c r="V258" s="97" t="n"/>
      <c r="W258" s="98">
        <f>IF(L258="PROXY",IF(M258&gt;=5,K258,"need group"),IF(M258&gt;=5,"DIRECT","need group"))</f>
        <v/>
      </c>
      <c r="X258" s="98">
        <f>IF($W258="DIRECT",M258,DCOUNT('[1]literature entries'!$D:$AI,IF($J258=1,"ACTIVE     CED, FARM GATE (MJ/kg)","CED, processor gate (MJ/kg)"),INDIRECT($W258)))</f>
        <v/>
      </c>
      <c r="Y258" s="98">
        <f>IF($W258="DIRECT","",DAVERAGE('[1]literature entries'!$D:$AI,IF($J258=1,"ACTIVE     CED, FARM GATE (MJ/kg)","CED, processor gate (MJ/kg)"),INDIRECT($W258)))</f>
        <v/>
      </c>
      <c r="Z258" s="98">
        <f>IF($W258="DIRECT",$O258,DSTDEV('[1]literature entries'!$D:$AI,IF($J258=1,"ACTIVE     CED, FARM GATE (MJ/kg)","CED, processor gate (MJ/kg)"),INDIRECT($W258)))</f>
        <v/>
      </c>
      <c r="AA258" s="98">
        <f>IF($W258="DIRECT",$O258,$Z258/$Y258*$N258)</f>
        <v/>
      </c>
      <c r="AB258" s="99">
        <f>IF(P258="PROXY",IF(Q258&gt;=5,K258,"need group"),IF(Q258&gt;=5,"DIRECT","need group"))</f>
        <v/>
      </c>
      <c r="AC258" s="99">
        <f>IF($AB258="DIRECT",Q258,DCOUNT('[1]literature entries'!$D:$AI,IF($J258=1,"ACTIVE     GHGE, FARM GATE (kg CO2e/kg)","GHGE, processor gate (kg CO2e/kg)"),INDIRECT($AB258)))</f>
        <v/>
      </c>
      <c r="AD258" s="99">
        <f>IF($AB258="DIRECT","",DAVERAGE('[1]literature entries'!$D:$AI,IF($J258=1,"ACTIVE     GHGE, FARM GATE (kg CO2e/kg)","GHGE, processor gate (kg CO2e/kg)"),INDIRECT($AB258)))</f>
        <v/>
      </c>
      <c r="AE258" s="99">
        <f>IF($AB258="DIRECT",$S258,DSTDEV('[1]literature entries'!$D:$AI,IF($J258=1,"ACTIVE     GHGE, FARM GATE (kg CO2e/kg)","GHGE, processor gate (kg CO2e/kg)"),INDIRECT($AB258)))</f>
        <v/>
      </c>
      <c r="AF258" s="99">
        <f>IF($AB258="DIRECT",$S258,$AE258/$AD258*$R258)</f>
        <v/>
      </c>
    </row>
    <row r="259" ht="15.75" customHeight="1" s="201">
      <c r="A259" s="100" t="n">
        <v>2303141000</v>
      </c>
      <c r="B259" s="101" t="inlineStr">
        <is>
          <t>Date</t>
        </is>
      </c>
      <c r="C259" s="101" t="inlineStr">
        <is>
          <t>weight of fruit, excluding pit</t>
        </is>
      </c>
      <c r="D259" s="101" t="n"/>
      <c r="E259" s="101" t="n">
        <v>266</v>
      </c>
      <c r="F259" s="84">
        <f>N259*H259+T259</f>
        <v/>
      </c>
      <c r="G259" s="85">
        <f>R259*H259+U259</f>
        <v/>
      </c>
      <c r="H259" s="102" t="n">
        <v>1.11</v>
      </c>
      <c r="I259" s="102" t="inlineStr">
        <is>
          <t>FICRCD</t>
        </is>
      </c>
      <c r="J259" s="104" t="n">
        <v>1</v>
      </c>
      <c r="K259" s="89" t="n"/>
      <c r="L259" s="90">
        <f>IF(ISERROR(GETPIVOTDATA(IF($J259=1,"Count of ACTIVE     CED, FARM GATE (MJ/kg)","Count of CED, processor gate (MJ/kg)"),'[1]Pivot Table_CED'!$A$3,"SUB TYPE",$B259)),"PROXY",IF(GETPIVOTDATA(IF($J259=1,"Count of ACTIVE     CED, FARM GATE (MJ/kg)","Count of CED, processor gate (MJ/kg)"),'[1]Pivot Table_CED'!$A$3,"SUB TYPE",$B259)=0,"PROXY","DB value"))</f>
        <v/>
      </c>
      <c r="M259" s="91">
        <f>IF($L259="PROXY",DCOUNT('[1]literature entries'!$D:$AI,IF($J259=1,"ACTIVE     CED, FARM GATE (MJ/kg)","CED, processor gate (MJ/kg)"),INDIRECT($K259)),GETPIVOTDATA(IF($J259=1,"Count of ACTIVE     CED, FARM GATE (MJ/kg)","Count of CED, processor gate (MJ/kg)"),'[1]Pivot Table_CED'!$A$3,"SUB TYPE",$B259))</f>
        <v/>
      </c>
      <c r="N259" s="92">
        <f>IF($L259="PROXY",DAVERAGE('[1]literature entries'!$D:$AI,IF($J259=1,"ACTIVE     CED, FARM GATE (MJ/kg)","CED, processor gate (MJ/kg)"),INDIRECT($K259)),GETPIVOTDATA(IF($J259=1,"Average of ACTIVE     CED, FARM GATE (MJ/kg)","Average of CED, processor gate (MJ/kg)"),'[1]Pivot Table_CED'!$A$3,"SUB TYPE",$B259))</f>
        <v/>
      </c>
      <c r="O259" s="92">
        <f>IF($L259="PROXY",DSTDEV('[1]literature entries'!D:AI,IF($J259=1,"ACTIVE     CED, FARM GATE (MJ/kg)","CED, processor gate (MJ/kg)"),INDIRECT($K259)),GETPIVOTDATA(IF($J259=1,"StdDev of ACTIVE     CED, FARM GATE (MJ/kg)","StdDev of CED, processor gate (MJ/kg)"),'[1]Pivot Table_CED'!$A$3,"SUB TYPE",$B259))</f>
        <v/>
      </c>
      <c r="P259" s="90">
        <f>IF(ISERROR(GETPIVOTDATA(IF($J259=1,"Count of ACTIVE     GHGE, FARM GATE (kg CO2e/kg)","Count of GHGE, processor gate (kg CO2e/kg)"),'[1]Pivot Table_GHG'!$A$3,"SUB TYPE",$B259)),"PROXY",IF(GETPIVOTDATA(IF($J259=1,"Count of ACTIVE     GHGE, FARM GATE (kg CO2e/kg)","Count of GHGE, processor gate (kg CO2e/kg)"),'[1]Pivot Table_GHG'!$A$3,"SUB TYPE",$B259)=0,"PROXY","DB value"))</f>
        <v/>
      </c>
      <c r="Q259" s="93">
        <f>IF($P259="PROXY",DCOUNT('[1]literature entries'!$D:$AI,IF($J259=1,"ACTIVE     GHGE, FARM GATE (kg CO2e/kg)","GHGE, processor gate (kg CO2e/kg)"),INDIRECT($K259)),GETPIVOTDATA(IF($J259=1,"ACTIVE     GHGE, FARM GATE (kg CO2e/kg)","Count of GHGE, processor gate (kg CO2e/kg)"),'[1]Pivot Table_GHG'!$A$3,"SUB TYPE",$B259))</f>
        <v/>
      </c>
      <c r="R259" s="94">
        <f>IF($P259="PROXY",DAVERAGE('[1]literature entries'!$D:$AI,IF($J259=1,"ACTIVE     GHGE, FARM GATE (kg CO2e/kg)","GHGE, processor gate (kg CO2e/kg)"),INDIRECT($K259)),GETPIVOTDATA(IF($J259=1,"Average of ACTIVE     GHGE, FARM GATE (kg CO2e/kg)","Average of GHGE, processor gate (kg CO2e/kg)"),'[1]Pivot Table_GHG'!$A$3,"SUB TYPE",$B259))</f>
        <v/>
      </c>
      <c r="S259" s="94">
        <f>IF($P259="PROXY",DSTDEV('[1]literature entries'!$D:$AI,IF($J259=1,"ACTIVE     GHGE, FARM GATE (kg CO2e/kg)","GHGE, processor gate (kg CO2e/kg)"),INDIRECT($K259)),GETPIVOTDATA(IF($J259=1,"StdDev of ACTIVE     GHGE, FARM GATE (kg CO2e/kg)","StdDev of GHGE, processor gate (kg CO2e/kg)"),'[1]Pivot Table_GHG'!$A$3,"SUB TYPE",$B259))</f>
        <v/>
      </c>
      <c r="T259" s="105" t="n"/>
      <c r="U259" s="106" t="n"/>
      <c r="V259" s="97" t="n"/>
      <c r="W259" s="98" t="inlineStr">
        <is>
          <t>tropical_fruit</t>
        </is>
      </c>
      <c r="X259" s="98">
        <f>IF($W259="DIRECT",M259,DCOUNT('[1]literature entries'!$D:$AI,IF($J259=1,"ACTIVE     CED, FARM GATE (MJ/kg)","CED, processor gate (MJ/kg)"),INDIRECT($W259)))</f>
        <v/>
      </c>
      <c r="Y259" s="98">
        <f>IF($W259="DIRECT","",DAVERAGE('[1]literature entries'!$D:$AI,IF($J259=1,"ACTIVE     CED, FARM GATE (MJ/kg)","CED, processor gate (MJ/kg)"),INDIRECT($W259)))</f>
        <v/>
      </c>
      <c r="Z259" s="98">
        <f>IF($W259="DIRECT",$O259,DSTDEV('[1]literature entries'!$D:$AI,IF($J259=1,"ACTIVE     CED, FARM GATE (MJ/kg)","CED, processor gate (MJ/kg)"),INDIRECT($W259)))</f>
        <v/>
      </c>
      <c r="AA259" s="98">
        <f>IF($W259="DIRECT",$O259,$Z259/$Y259*$N259)</f>
        <v/>
      </c>
      <c r="AB259" s="99" t="inlineStr">
        <is>
          <t>tropical_fruit</t>
        </is>
      </c>
      <c r="AC259" s="99">
        <f>IF($AB259="DIRECT",Q259,DCOUNT('[1]literature entries'!$D:$AI,IF($J259=1,"ACTIVE     GHGE, FARM GATE (kg CO2e/kg)","GHGE, processor gate (kg CO2e/kg)"),INDIRECT($AB259)))</f>
        <v/>
      </c>
      <c r="AD259" s="99">
        <f>IF($AB259="DIRECT","",DAVERAGE('[1]literature entries'!$D:$AI,IF($J259=1,"ACTIVE     GHGE, FARM GATE (kg CO2e/kg)","GHGE, processor gate (kg CO2e/kg)"),INDIRECT($AB259)))</f>
        <v/>
      </c>
      <c r="AE259" s="99">
        <f>IF($AB259="DIRECT",$S259,DSTDEV('[1]literature entries'!$D:$AI,IF($J259=1,"ACTIVE     GHGE, FARM GATE (kg CO2e/kg)","GHGE, processor gate (kg CO2e/kg)"),INDIRECT($AB259)))</f>
        <v/>
      </c>
      <c r="AF259" s="99">
        <f>IF($AB259="DIRECT",$S259,$AE259/$AD259*$R259)</f>
        <v/>
      </c>
    </row>
    <row r="260" ht="15.75" customHeight="1" s="201">
      <c r="A260" s="100" t="n">
        <v>2401211000</v>
      </c>
      <c r="B260" s="101" t="inlineStr">
        <is>
          <t>Lychee</t>
        </is>
      </c>
      <c r="C260" s="101" t="inlineStr">
        <is>
          <t>weight of pulp; excluding peel</t>
        </is>
      </c>
      <c r="D260" s="101" t="n"/>
      <c r="E260" s="101" t="n">
        <v>6</v>
      </c>
      <c r="F260" s="84">
        <f>N260*H260+T260</f>
        <v/>
      </c>
      <c r="G260" s="85">
        <f>R260*H260+U260</f>
        <v/>
      </c>
      <c r="H260" s="102" t="n">
        <v>1.67</v>
      </c>
      <c r="I260" s="102" t="inlineStr">
        <is>
          <t>FICRCD</t>
        </is>
      </c>
      <c r="J260" s="104" t="n">
        <v>1</v>
      </c>
      <c r="K260" s="89" t="inlineStr">
        <is>
          <t>tropical_fruit</t>
        </is>
      </c>
      <c r="L260" s="90">
        <f>IF(ISERROR(GETPIVOTDATA(IF($J260=1,"Count of ACTIVE     CED, FARM GATE (MJ/kg)","Count of CED, processor gate (MJ/kg)"),'[1]Pivot Table_CED'!$A$3,"SUB TYPE",$B260)),"PROXY",IF(GETPIVOTDATA(IF($J260=1,"Count of ACTIVE     CED, FARM GATE (MJ/kg)","Count of CED, processor gate (MJ/kg)"),'[1]Pivot Table_CED'!$A$3,"SUB TYPE",$B260)=0,"PROXY","DB value"))</f>
        <v/>
      </c>
      <c r="M260" s="91">
        <f>IF($L260="PROXY",DCOUNT('[1]literature entries'!$D:$AI,IF($J260=1,"ACTIVE     CED, FARM GATE (MJ/kg)","CED, processor gate (MJ/kg)"),INDIRECT($K260)),GETPIVOTDATA(IF($J260=1,"Count of ACTIVE     CED, FARM GATE (MJ/kg)","Count of CED, processor gate (MJ/kg)"),'[1]Pivot Table_CED'!$A$3,"SUB TYPE",$B260))</f>
        <v/>
      </c>
      <c r="N260" s="92">
        <f>IF($L260="PROXY",DAVERAGE('[1]literature entries'!$D:$AI,IF($J260=1,"ACTIVE     CED, FARM GATE (MJ/kg)","CED, processor gate (MJ/kg)"),INDIRECT($K260)),GETPIVOTDATA(IF($J260=1,"Average of ACTIVE     CED, FARM GATE (MJ/kg)","Average of CED, processor gate (MJ/kg)"),'[1]Pivot Table_CED'!$A$3,"SUB TYPE",$B260))</f>
        <v/>
      </c>
      <c r="O260" s="92">
        <f>IF($L260="PROXY",DSTDEV('[1]literature entries'!D:AI,IF($J260=1,"ACTIVE     CED, FARM GATE (MJ/kg)","CED, processor gate (MJ/kg)"),INDIRECT($K260)),GETPIVOTDATA(IF($J260=1,"StdDev of ACTIVE     CED, FARM GATE (MJ/kg)","StdDev of CED, processor gate (MJ/kg)"),'[1]Pivot Table_CED'!$A$3,"SUB TYPE",$B260))</f>
        <v/>
      </c>
      <c r="P260" s="90">
        <f>IF(ISERROR(GETPIVOTDATA(IF($J260=1,"Count of ACTIVE     GHGE, FARM GATE (kg CO2e/kg)","Count of GHGE, processor gate (kg CO2e/kg)"),'[1]Pivot Table_GHG'!$A$3,"SUB TYPE",$B260)),"PROXY",IF(GETPIVOTDATA(IF($J260=1,"Count of ACTIVE     GHGE, FARM GATE (kg CO2e/kg)","Count of GHGE, processor gate (kg CO2e/kg)"),'[1]Pivot Table_GHG'!$A$3,"SUB TYPE",$B260)=0,"PROXY","DB value"))</f>
        <v/>
      </c>
      <c r="Q260" s="93">
        <f>IF($P260="PROXY",DCOUNT('[1]literature entries'!$D:$AI,IF($J260=1,"ACTIVE     GHGE, FARM GATE (kg CO2e/kg)","GHGE, processor gate (kg CO2e/kg)"),INDIRECT($K260)),GETPIVOTDATA(IF($J260=1,"ACTIVE     GHGE, FARM GATE (kg CO2e/kg)","Count of GHGE, processor gate (kg CO2e/kg)"),'[1]Pivot Table_GHG'!$A$3,"SUB TYPE",$B260))</f>
        <v/>
      </c>
      <c r="R260" s="94">
        <f>IF($P260="PROXY",DAVERAGE('[1]literature entries'!$D:$AI,IF($J260=1,"ACTIVE     GHGE, FARM GATE (kg CO2e/kg)","GHGE, processor gate (kg CO2e/kg)"),INDIRECT($K260)),GETPIVOTDATA(IF($J260=1,"Average of ACTIVE     GHGE, FARM GATE (kg CO2e/kg)","Average of GHGE, processor gate (kg CO2e/kg)"),'[1]Pivot Table_GHG'!$A$3,"SUB TYPE",$B260))</f>
        <v/>
      </c>
      <c r="S260" s="94">
        <f>IF($P260="PROXY",DSTDEV('[1]literature entries'!$D:$AI,IF($J260=1,"ACTIVE     GHGE, FARM GATE (kg CO2e/kg)","GHGE, processor gate (kg CO2e/kg)"),INDIRECT($K260)),GETPIVOTDATA(IF($J260=1,"StdDev of ACTIVE     GHGE, FARM GATE (kg CO2e/kg)","StdDev of GHGE, processor gate (kg CO2e/kg)"),'[1]Pivot Table_GHG'!$A$3,"SUB TYPE",$B260))</f>
        <v/>
      </c>
      <c r="T260" s="105" t="n"/>
      <c r="U260" s="106" t="n"/>
      <c r="V260" s="97" t="n"/>
      <c r="W260" s="98">
        <f>IF(L260="PROXY",IF(M260&gt;=5,K260,"need group"),IF(M260&gt;=5,"DIRECT","need group"))</f>
        <v/>
      </c>
      <c r="X260" s="98">
        <f>IF($W260="DIRECT",M260,DCOUNT('[1]literature entries'!$D:$AI,IF($J260=1,"ACTIVE     CED, FARM GATE (MJ/kg)","CED, processor gate (MJ/kg)"),INDIRECT($W260)))</f>
        <v/>
      </c>
      <c r="Y260" s="98">
        <f>IF($W260="DIRECT","",DAVERAGE('[1]literature entries'!$D:$AI,IF($J260=1,"ACTIVE     CED, FARM GATE (MJ/kg)","CED, processor gate (MJ/kg)"),INDIRECT($W260)))</f>
        <v/>
      </c>
      <c r="Z260" s="98">
        <f>IF($W260="DIRECT",$O260,DSTDEV('[1]literature entries'!$D:$AI,IF($J260=1,"ACTIVE     CED, FARM GATE (MJ/kg)","CED, processor gate (MJ/kg)"),INDIRECT($W260)))</f>
        <v/>
      </c>
      <c r="AA260" s="98">
        <f>IF($W260="DIRECT",$O260,$Z260/$Y260*$N260)</f>
        <v/>
      </c>
      <c r="AB260" s="99">
        <f>IF(P260="PROXY",IF(Q260&gt;=5,K260,"need group"),IF(Q260&gt;=5,"DIRECT","need group"))</f>
        <v/>
      </c>
      <c r="AC260" s="99">
        <f>IF($AB260="DIRECT",Q260,DCOUNT('[1]literature entries'!$D:$AI,IF($J260=1,"ACTIVE     GHGE, FARM GATE (kg CO2e/kg)","GHGE, processor gate (kg CO2e/kg)"),INDIRECT($AB260)))</f>
        <v/>
      </c>
      <c r="AD260" s="99">
        <f>IF($AB260="DIRECT","",DAVERAGE('[1]literature entries'!$D:$AI,IF($J260=1,"ACTIVE     GHGE, FARM GATE (kg CO2e/kg)","GHGE, processor gate (kg CO2e/kg)"),INDIRECT($AB260)))</f>
        <v/>
      </c>
      <c r="AE260" s="99">
        <f>IF($AB260="DIRECT",$S260,DSTDEV('[1]literature entries'!$D:$AI,IF($J260=1,"ACTIVE     GHGE, FARM GATE (kg CO2e/kg)","GHGE, processor gate (kg CO2e/kg)"),INDIRECT($AB260)))</f>
        <v/>
      </c>
      <c r="AF260" s="99">
        <f>IF($AB260="DIRECT",$S260,$AE260/$AD260*$R260)</f>
        <v/>
      </c>
    </row>
    <row r="261" ht="15.75" customHeight="1" s="201">
      <c r="A261" s="100" t="n">
        <v>2402020000</v>
      </c>
      <c r="B261" s="101" t="inlineStr">
        <is>
          <t>Avocado</t>
        </is>
      </c>
      <c r="C261" s="101" t="inlineStr">
        <is>
          <t>weight of pulp; excluding skin and pit</t>
        </is>
      </c>
      <c r="D261" s="101" t="n"/>
      <c r="E261" s="101" t="n">
        <v>1566</v>
      </c>
      <c r="F261" s="84">
        <f>N261*H261+T261</f>
        <v/>
      </c>
      <c r="G261" s="85">
        <f>R261*H261+U261</f>
        <v/>
      </c>
      <c r="H261" s="102" t="n">
        <v>1.35</v>
      </c>
      <c r="I261" s="102" t="inlineStr">
        <is>
          <t>FICRCD</t>
        </is>
      </c>
      <c r="J261" s="104" t="n">
        <v>1</v>
      </c>
      <c r="K261" s="89" t="n"/>
      <c r="L261" s="90">
        <f>IF(ISERROR(GETPIVOTDATA(IF($J261=1,"Count of ACTIVE     CED, FARM GATE (MJ/kg)","Count of CED, processor gate (MJ/kg)"),'[1]Pivot Table_CED'!$A$3,"SUB TYPE",$B261)),"PROXY",IF(GETPIVOTDATA(IF($J261=1,"Count of ACTIVE     CED, FARM GATE (MJ/kg)","Count of CED, processor gate (MJ/kg)"),'[1]Pivot Table_CED'!$A$3,"SUB TYPE",$B261)=0,"PROXY","DB value"))</f>
        <v/>
      </c>
      <c r="M261" s="91">
        <f>IF($L261="PROXY",DCOUNT('[1]literature entries'!$D:$AI,IF($J261=1,"ACTIVE     CED, FARM GATE (MJ/kg)","CED, processor gate (MJ/kg)"),INDIRECT($K261)),GETPIVOTDATA(IF($J261=1,"Count of ACTIVE     CED, FARM GATE (MJ/kg)","Count of CED, processor gate (MJ/kg)"),'[1]Pivot Table_CED'!$A$3,"SUB TYPE",$B261))</f>
        <v/>
      </c>
      <c r="N261" s="92">
        <f>IF($L261="PROXY",DAVERAGE('[1]literature entries'!$D:$AI,IF($J261=1,"ACTIVE     CED, FARM GATE (MJ/kg)","CED, processor gate (MJ/kg)"),INDIRECT($K261)),GETPIVOTDATA(IF($J261=1,"Average of ACTIVE     CED, FARM GATE (MJ/kg)","Average of CED, processor gate (MJ/kg)"),'[1]Pivot Table_CED'!$A$3,"SUB TYPE",$B261))</f>
        <v/>
      </c>
      <c r="O261" s="92">
        <f>IF($L261="PROXY",DSTDEV('[1]literature entries'!D:AI,IF($J261=1,"ACTIVE     CED, FARM GATE (MJ/kg)","CED, processor gate (MJ/kg)"),INDIRECT($K261)),GETPIVOTDATA(IF($J261=1,"StdDev of ACTIVE     CED, FARM GATE (MJ/kg)","StdDev of CED, processor gate (MJ/kg)"),'[1]Pivot Table_CED'!$A$3,"SUB TYPE",$B261))</f>
        <v/>
      </c>
      <c r="P261" s="90">
        <f>IF(ISERROR(GETPIVOTDATA(IF($J261=1,"Count of ACTIVE     GHGE, FARM GATE (kg CO2e/kg)","Count of GHGE, processor gate (kg CO2e/kg)"),'[1]Pivot Table_GHG'!$A$3,"SUB TYPE",$B261)),"PROXY",IF(GETPIVOTDATA(IF($J261=1,"Count of ACTIVE     GHGE, FARM GATE (kg CO2e/kg)","Count of GHGE, processor gate (kg CO2e/kg)"),'[1]Pivot Table_GHG'!$A$3,"SUB TYPE",$B261)=0,"PROXY","DB value"))</f>
        <v/>
      </c>
      <c r="Q261" s="93">
        <f>IF($P261="PROXY",DCOUNT('[1]literature entries'!$D:$AI,IF($J261=1,"ACTIVE     GHGE, FARM GATE (kg CO2e/kg)","GHGE, processor gate (kg CO2e/kg)"),INDIRECT($K261)),GETPIVOTDATA(IF($J261=1,"ACTIVE     GHGE, FARM GATE (kg CO2e/kg)","Count of GHGE, processor gate (kg CO2e/kg)"),'[1]Pivot Table_GHG'!$A$3,"SUB TYPE",$B261))</f>
        <v/>
      </c>
      <c r="R261" s="94">
        <f>IF($P261="PROXY",DAVERAGE('[1]literature entries'!$D:$AI,IF($J261=1,"ACTIVE     GHGE, FARM GATE (kg CO2e/kg)","GHGE, processor gate (kg CO2e/kg)"),INDIRECT($K261)),GETPIVOTDATA(IF($J261=1,"Average of ACTIVE     GHGE, FARM GATE (kg CO2e/kg)","Average of GHGE, processor gate (kg CO2e/kg)"),'[1]Pivot Table_GHG'!$A$3,"SUB TYPE",$B261))</f>
        <v/>
      </c>
      <c r="S261" s="94">
        <f>IF($P261="PROXY",DSTDEV('[1]literature entries'!$D:$AI,IF($J261=1,"ACTIVE     GHGE, FARM GATE (kg CO2e/kg)","GHGE, processor gate (kg CO2e/kg)"),INDIRECT($K261)),GETPIVOTDATA(IF($J261=1,"StdDev of ACTIVE     GHGE, FARM GATE (kg CO2e/kg)","StdDev of GHGE, processor gate (kg CO2e/kg)"),'[1]Pivot Table_GHG'!$A$3,"SUB TYPE",$B261))</f>
        <v/>
      </c>
      <c r="T261" s="105" t="n"/>
      <c r="U261" s="106" t="n"/>
      <c r="V261" s="97" t="n"/>
      <c r="W261" s="98" t="inlineStr">
        <is>
          <t>tropical_fruit</t>
        </is>
      </c>
      <c r="X261" s="98">
        <f>IF($W261="DIRECT",M261,DCOUNT('[1]literature entries'!$D:$AI,IF($J261=1,"ACTIVE     CED, FARM GATE (MJ/kg)","CED, processor gate (MJ/kg)"),INDIRECT($W261)))</f>
        <v/>
      </c>
      <c r="Y261" s="98">
        <f>IF($W261="DIRECT","",DAVERAGE('[1]literature entries'!$D:$AI,IF($J261=1,"ACTIVE     CED, FARM GATE (MJ/kg)","CED, processor gate (MJ/kg)"),INDIRECT($W261)))</f>
        <v/>
      </c>
      <c r="Z261" s="98">
        <f>IF($W261="DIRECT",$O261,DSTDEV('[1]literature entries'!$D:$AI,IF($J261=1,"ACTIVE     CED, FARM GATE (MJ/kg)","CED, processor gate (MJ/kg)"),INDIRECT($W261)))</f>
        <v/>
      </c>
      <c r="AA261" s="98">
        <f>IF($W261="DIRECT",$O261,$Z261/$Y261*$N261)</f>
        <v/>
      </c>
      <c r="AB261" s="99" t="inlineStr">
        <is>
          <t>tropical_fruit</t>
        </is>
      </c>
      <c r="AC261" s="99">
        <f>IF($AB261="DIRECT",Q261,DCOUNT('[1]literature entries'!$D:$AI,IF($J261=1,"ACTIVE     GHGE, FARM GATE (kg CO2e/kg)","GHGE, processor gate (kg CO2e/kg)"),INDIRECT($AB261)))</f>
        <v/>
      </c>
      <c r="AD261" s="99">
        <f>IF($AB261="DIRECT","",DAVERAGE('[1]literature entries'!$D:$AI,IF($J261=1,"ACTIVE     GHGE, FARM GATE (kg CO2e/kg)","GHGE, processor gate (kg CO2e/kg)"),INDIRECT($AB261)))</f>
        <v/>
      </c>
      <c r="AE261" s="99">
        <f>IF($AB261="DIRECT",$S261,DSTDEV('[1]literature entries'!$D:$AI,IF($J261=1,"ACTIVE     GHGE, FARM GATE (kg CO2e/kg)","GHGE, processor gate (kg CO2e/kg)"),INDIRECT($AB261)))</f>
        <v/>
      </c>
      <c r="AF261" s="99">
        <f>IF($AB261="DIRECT",$S261,$AE261/$AD261*$R261)</f>
        <v/>
      </c>
    </row>
    <row r="262" ht="15.75" customHeight="1" s="201">
      <c r="A262" s="100" t="n">
        <v>2402023000</v>
      </c>
      <c r="B262" s="101" t="inlineStr">
        <is>
          <t>Banana</t>
        </is>
      </c>
      <c r="C262" s="101" t="inlineStr">
        <is>
          <t>weight of pulp; excluding peel; juice</t>
        </is>
      </c>
      <c r="D262" s="101" t="n"/>
      <c r="E262" s="101" t="n">
        <v>20670</v>
      </c>
      <c r="F262" s="84">
        <f>N262*H262+T262</f>
        <v/>
      </c>
      <c r="G262" s="85">
        <f>R262*H262+U262</f>
        <v/>
      </c>
      <c r="H262" s="102" t="n">
        <v>1.56</v>
      </c>
      <c r="I262" s="102" t="inlineStr">
        <is>
          <t>FICRCD</t>
        </is>
      </c>
      <c r="J262" s="104" t="n">
        <v>1</v>
      </c>
      <c r="K262" s="89" t="n"/>
      <c r="L262" s="90">
        <f>IF(ISERROR(GETPIVOTDATA(IF($J262=1,"Count of ACTIVE     CED, FARM GATE (MJ/kg)","Count of CED, processor gate (MJ/kg)"),'[1]Pivot Table_CED'!$A$3,"SUB TYPE",$B262)),"PROXY",IF(GETPIVOTDATA(IF($J262=1,"Count of ACTIVE     CED, FARM GATE (MJ/kg)","Count of CED, processor gate (MJ/kg)"),'[1]Pivot Table_CED'!$A$3,"SUB TYPE",$B262)=0,"PROXY","DB value"))</f>
        <v/>
      </c>
      <c r="M262" s="91">
        <f>IF($L262="PROXY",DCOUNT('[1]literature entries'!$D:$AI,IF($J262=1,"ACTIVE     CED, FARM GATE (MJ/kg)","CED, processor gate (MJ/kg)"),INDIRECT($K262)),GETPIVOTDATA(IF($J262=1,"Count of ACTIVE     CED, FARM GATE (MJ/kg)","Count of CED, processor gate (MJ/kg)"),'[1]Pivot Table_CED'!$A$3,"SUB TYPE",$B262))</f>
        <v/>
      </c>
      <c r="N262" s="92">
        <f>IF($L262="PROXY",DAVERAGE('[1]literature entries'!$D:$AI,IF($J262=1,"ACTIVE     CED, FARM GATE (MJ/kg)","CED, processor gate (MJ/kg)"),INDIRECT($K262)),GETPIVOTDATA(IF($J262=1,"Average of ACTIVE     CED, FARM GATE (MJ/kg)","Average of CED, processor gate (MJ/kg)"),'[1]Pivot Table_CED'!$A$3,"SUB TYPE",$B262))</f>
        <v/>
      </c>
      <c r="O262" s="92">
        <f>IF($L262="PROXY",DSTDEV('[1]literature entries'!D:AI,IF($J262=1,"ACTIVE     CED, FARM GATE (MJ/kg)","CED, processor gate (MJ/kg)"),INDIRECT($K262)),GETPIVOTDATA(IF($J262=1,"StdDev of ACTIVE     CED, FARM GATE (MJ/kg)","StdDev of CED, processor gate (MJ/kg)"),'[1]Pivot Table_CED'!$A$3,"SUB TYPE",$B262))</f>
        <v/>
      </c>
      <c r="P262" s="90">
        <f>IF(ISERROR(GETPIVOTDATA(IF($J262=1,"Count of ACTIVE     GHGE, FARM GATE (kg CO2e/kg)","Count of GHGE, processor gate (kg CO2e/kg)"),'[1]Pivot Table_GHG'!$A$3,"SUB TYPE",$B262)),"PROXY",IF(GETPIVOTDATA(IF($J262=1,"Count of ACTIVE     GHGE, FARM GATE (kg CO2e/kg)","Count of GHGE, processor gate (kg CO2e/kg)"),'[1]Pivot Table_GHG'!$A$3,"SUB TYPE",$B262)=0,"PROXY","DB value"))</f>
        <v/>
      </c>
      <c r="Q262" s="93">
        <f>IF($P262="PROXY",DCOUNT('[1]literature entries'!$D:$AI,IF($J262=1,"ACTIVE     GHGE, FARM GATE (kg CO2e/kg)","GHGE, processor gate (kg CO2e/kg)"),INDIRECT($K262)),GETPIVOTDATA(IF($J262=1,"ACTIVE     GHGE, FARM GATE (kg CO2e/kg)","Count of GHGE, processor gate (kg CO2e/kg)"),'[1]Pivot Table_GHG'!$A$3,"SUB TYPE",$B262))</f>
        <v/>
      </c>
      <c r="R262" s="94">
        <f>IF($P262="PROXY",DAVERAGE('[1]literature entries'!$D:$AI,IF($J262=1,"ACTIVE     GHGE, FARM GATE (kg CO2e/kg)","GHGE, processor gate (kg CO2e/kg)"),INDIRECT($K262)),GETPIVOTDATA(IF($J262=1,"Average of ACTIVE     GHGE, FARM GATE (kg CO2e/kg)","Average of GHGE, processor gate (kg CO2e/kg)"),'[1]Pivot Table_GHG'!$A$3,"SUB TYPE",$B262))</f>
        <v/>
      </c>
      <c r="S262" s="94">
        <f>IF($P262="PROXY",DSTDEV('[1]literature entries'!$D:$AI,IF($J262=1,"ACTIVE     GHGE, FARM GATE (kg CO2e/kg)","GHGE, processor gate (kg CO2e/kg)"),INDIRECT($K262)),GETPIVOTDATA(IF($J262=1,"StdDev of ACTIVE     GHGE, FARM GATE (kg CO2e/kg)","StdDev of GHGE, processor gate (kg CO2e/kg)"),'[1]Pivot Table_GHG'!$A$3,"SUB TYPE",$B262))</f>
        <v/>
      </c>
      <c r="T262" s="105" t="n"/>
      <c r="U262" s="106" t="n"/>
      <c r="V262" s="97" t="n"/>
      <c r="W262" s="98">
        <f>IF(L262="PROXY",IF(M262&gt;=5,K262,"need group"),IF(M262&gt;=5,"DIRECT","need group"))</f>
        <v/>
      </c>
      <c r="X262" s="98">
        <f>IF($W262="DIRECT",M262,DCOUNT('[1]literature entries'!$D:$AI,IF($J262=1,"ACTIVE     CED, FARM GATE (MJ/kg)","CED, processor gate (MJ/kg)"),INDIRECT($W262)))</f>
        <v/>
      </c>
      <c r="Y262" s="98">
        <f>IF($W262="DIRECT","",DAVERAGE('[1]literature entries'!$D:$AI,IF($J262=1,"ACTIVE     CED, FARM GATE (MJ/kg)","CED, processor gate (MJ/kg)"),INDIRECT($W262)))</f>
        <v/>
      </c>
      <c r="Z262" s="98">
        <f>IF($W262="DIRECT",$O262,DSTDEV('[1]literature entries'!$D:$AI,IF($J262=1,"ACTIVE     CED, FARM GATE (MJ/kg)","CED, processor gate (MJ/kg)"),INDIRECT($W262)))</f>
        <v/>
      </c>
      <c r="AA262" s="98">
        <f>IF($W262="DIRECT",$O262,$Z262/$Y262*$N262)</f>
        <v/>
      </c>
      <c r="AB262" s="99">
        <f>IF(P262="PROXY",IF(Q262&gt;=5,K262,"need group"),IF(Q262&gt;=5,"DIRECT","need group"))</f>
        <v/>
      </c>
      <c r="AC262" s="99">
        <f>IF($AB262="DIRECT",Q262,DCOUNT('[1]literature entries'!$D:$AI,IF($J262=1,"ACTIVE     GHGE, FARM GATE (kg CO2e/kg)","GHGE, processor gate (kg CO2e/kg)"),INDIRECT($AB262)))</f>
        <v/>
      </c>
      <c r="AD262" s="99">
        <f>IF($AB262="DIRECT","",DAVERAGE('[1]literature entries'!$D:$AI,IF($J262=1,"ACTIVE     GHGE, FARM GATE (kg CO2e/kg)","GHGE, processor gate (kg CO2e/kg)"),INDIRECT($AB262)))</f>
        <v/>
      </c>
      <c r="AE262" s="99">
        <f>IF($AB262="DIRECT",$S262,DSTDEV('[1]literature entries'!$D:$AI,IF($J262=1,"ACTIVE     GHGE, FARM GATE (kg CO2e/kg)","GHGE, processor gate (kg CO2e/kg)"),INDIRECT($AB262)))</f>
        <v/>
      </c>
      <c r="AF262" s="99">
        <f>IF($AB262="DIRECT",$S262,$AE262/$AD262*$R262)</f>
        <v/>
      </c>
    </row>
    <row r="263" ht="15.75" customHeight="1" s="201">
      <c r="A263" s="100" t="n">
        <v>2402024000</v>
      </c>
      <c r="B263" s="101" t="inlineStr">
        <is>
          <t>Banana, dried</t>
        </is>
      </c>
      <c r="C263" s="101" t="inlineStr">
        <is>
          <t>dry weight of dried pulp; excluding peel (include weight of fruit from chips)</t>
        </is>
      </c>
      <c r="D263" s="101" t="n"/>
      <c r="E263" s="101" t="n">
        <v>565</v>
      </c>
      <c r="F263" s="84">
        <f>N263*H263+T263</f>
        <v/>
      </c>
      <c r="G263" s="85">
        <f>R263*H263+U263</f>
        <v/>
      </c>
      <c r="H263" s="102" t="n">
        <v>6.04</v>
      </c>
      <c r="I263" s="103" t="inlineStr">
        <is>
          <t>FICRCD</t>
        </is>
      </c>
      <c r="J263" s="104" t="n">
        <v>1</v>
      </c>
      <c r="K263" s="89" t="inlineStr">
        <is>
          <t>banana</t>
        </is>
      </c>
      <c r="L263" s="90">
        <f>IF(ISERROR(GETPIVOTDATA(IF($J263=1,"Count of ACTIVE     CED, FARM GATE (MJ/kg)","Count of CED, processor gate (MJ/kg)"),'[1]Pivot Table_CED'!$A$3,"SUB TYPE",$B263)),"PROXY",IF(GETPIVOTDATA(IF($J263=1,"Count of ACTIVE     CED, FARM GATE (MJ/kg)","Count of CED, processor gate (MJ/kg)"),'[1]Pivot Table_CED'!$A$3,"SUB TYPE",$B263)=0,"PROXY","DB value"))</f>
        <v/>
      </c>
      <c r="M263" s="91">
        <f>IF($L263="PROXY",DCOUNT('[1]literature entries'!$D:$AI,IF($J263=1,"ACTIVE     CED, FARM GATE (MJ/kg)","CED, processor gate (MJ/kg)"),INDIRECT($K263)),GETPIVOTDATA(IF($J263=1,"Count of ACTIVE     CED, FARM GATE (MJ/kg)","Count of CED, processor gate (MJ/kg)"),'[1]Pivot Table_CED'!$A$3,"SUB TYPE",$B263))</f>
        <v/>
      </c>
      <c r="N263" s="92">
        <f>IF($L263="PROXY",DAVERAGE('[1]literature entries'!$D:$AI,IF($J263=1,"ACTIVE     CED, FARM GATE (MJ/kg)","CED, processor gate (MJ/kg)"),INDIRECT($K263)),GETPIVOTDATA(IF($J263=1,"Average of ACTIVE     CED, FARM GATE (MJ/kg)","Average of CED, processor gate (MJ/kg)"),'[1]Pivot Table_CED'!$A$3,"SUB TYPE",$B263))</f>
        <v/>
      </c>
      <c r="O263" s="92">
        <f>IF($L263="PROXY",DSTDEV('[1]literature entries'!D:AI,IF($J263=1,"ACTIVE     CED, FARM GATE (MJ/kg)","CED, processor gate (MJ/kg)"),INDIRECT($K263)),GETPIVOTDATA(IF($J263=1,"StdDev of ACTIVE     CED, FARM GATE (MJ/kg)","StdDev of CED, processor gate (MJ/kg)"),'[1]Pivot Table_CED'!$A$3,"SUB TYPE",$B263))</f>
        <v/>
      </c>
      <c r="P263" s="90">
        <f>IF(ISERROR(GETPIVOTDATA(IF($J263=1,"Count of ACTIVE     GHGE, FARM GATE (kg CO2e/kg)","Count of GHGE, processor gate (kg CO2e/kg)"),'[1]Pivot Table_GHG'!$A$3,"SUB TYPE",$B263)),"PROXY",IF(GETPIVOTDATA(IF($J263=1,"Count of ACTIVE     GHGE, FARM GATE (kg CO2e/kg)","Count of GHGE, processor gate (kg CO2e/kg)"),'[1]Pivot Table_GHG'!$A$3,"SUB TYPE",$B263)=0,"PROXY","DB value"))</f>
        <v/>
      </c>
      <c r="Q263" s="93">
        <f>IF($P263="PROXY",DCOUNT('[1]literature entries'!$D:$AI,IF($J263=1,"ACTIVE     GHGE, FARM GATE (kg CO2e/kg)","GHGE, processor gate (kg CO2e/kg)"),INDIRECT($K263)),GETPIVOTDATA(IF($J263=1,"ACTIVE     GHGE, FARM GATE (kg CO2e/kg)","Count of GHGE, processor gate (kg CO2e/kg)"),'[1]Pivot Table_GHG'!$A$3,"SUB TYPE",$B263))</f>
        <v/>
      </c>
      <c r="R263" s="94">
        <f>IF($P263="PROXY",DAVERAGE('[1]literature entries'!$D:$AI,IF($J263=1,"ACTIVE     GHGE, FARM GATE (kg CO2e/kg)","GHGE, processor gate (kg CO2e/kg)"),INDIRECT($K263)),GETPIVOTDATA(IF($J263=1,"Average of ACTIVE     GHGE, FARM GATE (kg CO2e/kg)","Average of GHGE, processor gate (kg CO2e/kg)"),'[1]Pivot Table_GHG'!$A$3,"SUB TYPE",$B263))</f>
        <v/>
      </c>
      <c r="S263" s="94">
        <f>IF($P263="PROXY",DSTDEV('[1]literature entries'!$D:$AI,IF($J263=1,"ACTIVE     GHGE, FARM GATE (kg CO2e/kg)","GHGE, processor gate (kg CO2e/kg)"),INDIRECT($K263)),GETPIVOTDATA(IF($J263=1,"StdDev of ACTIVE     GHGE, FARM GATE (kg CO2e/kg)","StdDev of GHGE, processor gate (kg CO2e/kg)"),'[1]Pivot Table_GHG'!$A$3,"SUB TYPE",$B263))</f>
        <v/>
      </c>
      <c r="T263" s="105" t="n"/>
      <c r="U263" s="106" t="n"/>
      <c r="V263" s="97" t="n"/>
      <c r="W263" s="98">
        <f>IF(L263="PROXY",IF(M263&gt;=5,K263,"need group"),IF(M263&gt;=5,"DIRECT","need group"))</f>
        <v/>
      </c>
      <c r="X263" s="98">
        <f>IF($W263="DIRECT",M263,DCOUNT('[1]literature entries'!$D:$AI,IF($J263=1,"ACTIVE     CED, FARM GATE (MJ/kg)","CED, processor gate (MJ/kg)"),INDIRECT($W263)))</f>
        <v/>
      </c>
      <c r="Y263" s="98">
        <f>IF($W263="DIRECT","",DAVERAGE('[1]literature entries'!$D:$AI,IF($J263=1,"ACTIVE     CED, FARM GATE (MJ/kg)","CED, processor gate (MJ/kg)"),INDIRECT($W263)))</f>
        <v/>
      </c>
      <c r="Z263" s="98">
        <f>IF($W263="DIRECT",$O263,DSTDEV('[1]literature entries'!$D:$AI,IF($J263=1,"ACTIVE     CED, FARM GATE (MJ/kg)","CED, processor gate (MJ/kg)"),INDIRECT($W263)))</f>
        <v/>
      </c>
      <c r="AA263" s="98">
        <f>IF($W263="DIRECT",$O263,$Z263/$Y263*$N263)</f>
        <v/>
      </c>
      <c r="AB263" s="99">
        <f>IF(P263="PROXY",IF(Q263&gt;=5,K263,"need group"),IF(Q263&gt;=5,"DIRECT","need group"))</f>
        <v/>
      </c>
      <c r="AC263" s="99">
        <f>IF($AB263="DIRECT",Q263,DCOUNT('[1]literature entries'!$D:$AI,IF($J263=1,"ACTIVE     GHGE, FARM GATE (kg CO2e/kg)","GHGE, processor gate (kg CO2e/kg)"),INDIRECT($AB263)))</f>
        <v/>
      </c>
      <c r="AD263" s="99">
        <f>IF($AB263="DIRECT","",DAVERAGE('[1]literature entries'!$D:$AI,IF($J263=1,"ACTIVE     GHGE, FARM GATE (kg CO2e/kg)","GHGE, processor gate (kg CO2e/kg)"),INDIRECT($AB263)))</f>
        <v/>
      </c>
      <c r="AE263" s="99">
        <f>IF($AB263="DIRECT",$S263,DSTDEV('[1]literature entries'!$D:$AI,IF($J263=1,"ACTIVE     GHGE, FARM GATE (kg CO2e/kg)","GHGE, processor gate (kg CO2e/kg)"),INDIRECT($AB263)))</f>
        <v/>
      </c>
      <c r="AF263" s="99">
        <f>IF($AB263="DIRECT",$S263,$AE263/$AD263*$R263)</f>
        <v/>
      </c>
    </row>
    <row r="264" ht="15.75" customHeight="1" s="201">
      <c r="A264" s="100" t="n">
        <v>2402215000</v>
      </c>
      <c r="B264" s="101" t="inlineStr">
        <is>
          <t>Mango</t>
        </is>
      </c>
      <c r="C264" s="101" t="inlineStr">
        <is>
          <t>weight of pulp; excluding peel</t>
        </is>
      </c>
      <c r="D264" s="101" t="n"/>
      <c r="E264" s="101" t="n">
        <v>448</v>
      </c>
      <c r="F264" s="84">
        <f>N264*H264+T264</f>
        <v/>
      </c>
      <c r="G264" s="85">
        <f>R264*H264+U264</f>
        <v/>
      </c>
      <c r="H264" s="102" t="n">
        <v>1.45</v>
      </c>
      <c r="I264" s="102" t="inlineStr">
        <is>
          <t>FICRCD</t>
        </is>
      </c>
      <c r="J264" s="104" t="n">
        <v>1</v>
      </c>
      <c r="K264" s="89" t="inlineStr">
        <is>
          <t>tropical_fruit</t>
        </is>
      </c>
      <c r="L264" s="90">
        <f>IF(ISERROR(GETPIVOTDATA(IF($J264=1,"Count of ACTIVE     CED, FARM GATE (MJ/kg)","Count of CED, processor gate (MJ/kg)"),'[1]Pivot Table_CED'!$A$3,"SUB TYPE",$B264)),"PROXY",IF(GETPIVOTDATA(IF($J264=1,"Count of ACTIVE     CED, FARM GATE (MJ/kg)","Count of CED, processor gate (MJ/kg)"),'[1]Pivot Table_CED'!$A$3,"SUB TYPE",$B264)=0,"PROXY","DB value"))</f>
        <v/>
      </c>
      <c r="M264" s="91">
        <f>IF($L264="PROXY",DCOUNT('[1]literature entries'!$D:$AI,IF($J264=1,"ACTIVE     CED, FARM GATE (MJ/kg)","CED, processor gate (MJ/kg)"),INDIRECT($K264)),GETPIVOTDATA(IF($J264=1,"Count of ACTIVE     CED, FARM GATE (MJ/kg)","Count of CED, processor gate (MJ/kg)"),'[1]Pivot Table_CED'!$A$3,"SUB TYPE",$B264))</f>
        <v/>
      </c>
      <c r="N264" s="92">
        <f>IF($L264="PROXY",DAVERAGE('[1]literature entries'!$D:$AI,IF($J264=1,"ACTIVE     CED, FARM GATE (MJ/kg)","CED, processor gate (MJ/kg)"),INDIRECT($K264)),GETPIVOTDATA(IF($J264=1,"Average of ACTIVE     CED, FARM GATE (MJ/kg)","Average of CED, processor gate (MJ/kg)"),'[1]Pivot Table_CED'!$A$3,"SUB TYPE",$B264))</f>
        <v/>
      </c>
      <c r="O264" s="92">
        <f>IF($L264="PROXY",DSTDEV('[1]literature entries'!D:AI,IF($J264=1,"ACTIVE     CED, FARM GATE (MJ/kg)","CED, processor gate (MJ/kg)"),INDIRECT($K264)),GETPIVOTDATA(IF($J264=1,"StdDev of ACTIVE     CED, FARM GATE (MJ/kg)","StdDev of CED, processor gate (MJ/kg)"),'[1]Pivot Table_CED'!$A$3,"SUB TYPE",$B264))</f>
        <v/>
      </c>
      <c r="P264" s="90">
        <f>IF(ISERROR(GETPIVOTDATA(IF($J264=1,"Count of ACTIVE     GHGE, FARM GATE (kg CO2e/kg)","Count of GHGE, processor gate (kg CO2e/kg)"),'[1]Pivot Table_GHG'!$A$3,"SUB TYPE",$B264)),"PROXY",IF(GETPIVOTDATA(IF($J264=1,"Count of ACTIVE     GHGE, FARM GATE (kg CO2e/kg)","Count of GHGE, processor gate (kg CO2e/kg)"),'[1]Pivot Table_GHG'!$A$3,"SUB TYPE",$B264)=0,"PROXY","DB value"))</f>
        <v/>
      </c>
      <c r="Q264" s="93">
        <f>IF($P264="PROXY",DCOUNT('[1]literature entries'!$D:$AI,IF($J264=1,"ACTIVE     GHGE, FARM GATE (kg CO2e/kg)","GHGE, processor gate (kg CO2e/kg)"),INDIRECT($K264)),GETPIVOTDATA(IF($J264=1,"ACTIVE     GHGE, FARM GATE (kg CO2e/kg)","Count of GHGE, processor gate (kg CO2e/kg)"),'[1]Pivot Table_GHG'!$A$3,"SUB TYPE",$B264))</f>
        <v/>
      </c>
      <c r="R264" s="94">
        <f>IF($P264="PROXY",DAVERAGE('[1]literature entries'!$D:$AI,IF($J264=1,"ACTIVE     GHGE, FARM GATE (kg CO2e/kg)","GHGE, processor gate (kg CO2e/kg)"),INDIRECT($K264)),GETPIVOTDATA(IF($J264=1,"Average of ACTIVE     GHGE, FARM GATE (kg CO2e/kg)","Average of GHGE, processor gate (kg CO2e/kg)"),'[1]Pivot Table_GHG'!$A$3,"SUB TYPE",$B264))</f>
        <v/>
      </c>
      <c r="S264" s="94">
        <f>IF($P264="PROXY",DSTDEV('[1]literature entries'!$D:$AI,IF($J264=1,"ACTIVE     GHGE, FARM GATE (kg CO2e/kg)","GHGE, processor gate (kg CO2e/kg)"),INDIRECT($K264)),GETPIVOTDATA(IF($J264=1,"StdDev of ACTIVE     GHGE, FARM GATE (kg CO2e/kg)","StdDev of GHGE, processor gate (kg CO2e/kg)"),'[1]Pivot Table_GHG'!$A$3,"SUB TYPE",$B264))</f>
        <v/>
      </c>
      <c r="T264" s="105" t="n"/>
      <c r="U264" s="106" t="n"/>
      <c r="V264" s="97" t="n"/>
      <c r="W264" s="98">
        <f>IF(L264="PROXY",IF(M264&gt;=5,K264,"need group"),IF(M264&gt;=5,"DIRECT","need group"))</f>
        <v/>
      </c>
      <c r="X264" s="98">
        <f>IF($W264="DIRECT",M264,DCOUNT('[1]literature entries'!$D:$AI,IF($J264=1,"ACTIVE     CED, FARM GATE (MJ/kg)","CED, processor gate (MJ/kg)"),INDIRECT($W264)))</f>
        <v/>
      </c>
      <c r="Y264" s="98">
        <f>IF($W264="DIRECT","",DAVERAGE('[1]literature entries'!$D:$AI,IF($J264=1,"ACTIVE     CED, FARM GATE (MJ/kg)","CED, processor gate (MJ/kg)"),INDIRECT($W264)))</f>
        <v/>
      </c>
      <c r="Z264" s="98">
        <f>IF($W264="DIRECT",$O264,DSTDEV('[1]literature entries'!$D:$AI,IF($J264=1,"ACTIVE     CED, FARM GATE (MJ/kg)","CED, processor gate (MJ/kg)"),INDIRECT($W264)))</f>
        <v/>
      </c>
      <c r="AA264" s="98">
        <f>IF($W264="DIRECT",$O264,$Z264/$Y264*$N264)</f>
        <v/>
      </c>
      <c r="AB264" s="99" t="inlineStr">
        <is>
          <t>tropical_fruit</t>
        </is>
      </c>
      <c r="AC264" s="99">
        <f>IF($AB264="DIRECT",Q264,DCOUNT('[1]literature entries'!$D:$AI,IF($J264=1,"ACTIVE     GHGE, FARM GATE (kg CO2e/kg)","GHGE, processor gate (kg CO2e/kg)"),INDIRECT($AB264)))</f>
        <v/>
      </c>
      <c r="AD264" s="99">
        <f>IF($AB264="DIRECT","",DAVERAGE('[1]literature entries'!$D:$AI,IF($J264=1,"ACTIVE     GHGE, FARM GATE (kg CO2e/kg)","GHGE, processor gate (kg CO2e/kg)"),INDIRECT($AB264)))</f>
        <v/>
      </c>
      <c r="AE264" s="99">
        <f>IF($AB264="DIRECT",$S264,DSTDEV('[1]literature entries'!$D:$AI,IF($J264=1,"ACTIVE     GHGE, FARM GATE (kg CO2e/kg)","GHGE, processor gate (kg CO2e/kg)"),INDIRECT($AB264)))</f>
        <v/>
      </c>
      <c r="AF264" s="99">
        <f>IF($AB264="DIRECT",$S264,$AE264/$AD264*$R264)</f>
        <v/>
      </c>
    </row>
    <row r="265" ht="15.75" customHeight="1" s="201">
      <c r="A265" s="100" t="n">
        <v>2402216000</v>
      </c>
      <c r="B265" s="101" t="inlineStr">
        <is>
          <t>Mango, dried</t>
        </is>
      </c>
      <c r="C265" s="101" t="inlineStr">
        <is>
          <t>weight of dried pulp</t>
        </is>
      </c>
      <c r="D265" s="101" t="n"/>
      <c r="E265" s="101" t="n">
        <v>25</v>
      </c>
      <c r="F265" s="84">
        <f>N265*H265+T265</f>
        <v/>
      </c>
      <c r="G265" s="85">
        <f>R265*H265+U265</f>
        <v/>
      </c>
      <c r="H265" s="112" t="n">
        <v>5.042321644498185</v>
      </c>
      <c r="I265" s="103" t="inlineStr">
        <is>
          <t>NNDSR28</t>
        </is>
      </c>
      <c r="J265" s="104" t="n">
        <v>1</v>
      </c>
      <c r="K265" s="89" t="inlineStr">
        <is>
          <t>tropical_fruit</t>
        </is>
      </c>
      <c r="L265" s="90">
        <f>IF(ISERROR(GETPIVOTDATA(IF($J265=1,"Count of ACTIVE     CED, FARM GATE (MJ/kg)","Count of CED, processor gate (MJ/kg)"),'[1]Pivot Table_CED'!$A$3,"SUB TYPE",$B265)),"PROXY",IF(GETPIVOTDATA(IF($J265=1,"Count of ACTIVE     CED, FARM GATE (MJ/kg)","Count of CED, processor gate (MJ/kg)"),'[1]Pivot Table_CED'!$A$3,"SUB TYPE",$B265)=0,"PROXY","DB value"))</f>
        <v/>
      </c>
      <c r="M265" s="91">
        <f>IF($L265="PROXY",DCOUNT('[1]literature entries'!$D:$AI,IF($J265=1,"ACTIVE     CED, FARM GATE (MJ/kg)","CED, processor gate (MJ/kg)"),INDIRECT($K265)),GETPIVOTDATA(IF($J265=1,"Count of ACTIVE     CED, FARM GATE (MJ/kg)","Count of CED, processor gate (MJ/kg)"),'[1]Pivot Table_CED'!$A$3,"SUB TYPE",$B265))</f>
        <v/>
      </c>
      <c r="N265" s="92">
        <f>IF($L265="PROXY",DAVERAGE('[1]literature entries'!$D:$AI,IF($J265=1,"ACTIVE     CED, FARM GATE (MJ/kg)","CED, processor gate (MJ/kg)"),INDIRECT($K265)),GETPIVOTDATA(IF($J265=1,"Average of ACTIVE     CED, FARM GATE (MJ/kg)","Average of CED, processor gate (MJ/kg)"),'[1]Pivot Table_CED'!$A$3,"SUB TYPE",$B265))</f>
        <v/>
      </c>
      <c r="O265" s="92">
        <f>IF($L265="PROXY",DSTDEV('[1]literature entries'!D:AI,IF($J265=1,"ACTIVE     CED, FARM GATE (MJ/kg)","CED, processor gate (MJ/kg)"),INDIRECT($K265)),GETPIVOTDATA(IF($J265=1,"StdDev of ACTIVE     CED, FARM GATE (MJ/kg)","StdDev of CED, processor gate (MJ/kg)"),'[1]Pivot Table_CED'!$A$3,"SUB TYPE",$B265))</f>
        <v/>
      </c>
      <c r="P265" s="90">
        <f>IF(ISERROR(GETPIVOTDATA(IF($J265=1,"Count of ACTIVE     GHGE, FARM GATE (kg CO2e/kg)","Count of GHGE, processor gate (kg CO2e/kg)"),'[1]Pivot Table_GHG'!$A$3,"SUB TYPE",$B265)),"PROXY",IF(GETPIVOTDATA(IF($J265=1,"Count of ACTIVE     GHGE, FARM GATE (kg CO2e/kg)","Count of GHGE, processor gate (kg CO2e/kg)"),'[1]Pivot Table_GHG'!$A$3,"SUB TYPE",$B265)=0,"PROXY","DB value"))</f>
        <v/>
      </c>
      <c r="Q265" s="93">
        <f>IF($P265="PROXY",DCOUNT('[1]literature entries'!$D:$AI,IF($J265=1,"ACTIVE     GHGE, FARM GATE (kg CO2e/kg)","GHGE, processor gate (kg CO2e/kg)"),INDIRECT($K265)),GETPIVOTDATA(IF($J265=1,"ACTIVE     GHGE, FARM GATE (kg CO2e/kg)","Count of GHGE, processor gate (kg CO2e/kg)"),'[1]Pivot Table_GHG'!$A$3,"SUB TYPE",$B265))</f>
        <v/>
      </c>
      <c r="R265" s="94">
        <f>IF($P265="PROXY",DAVERAGE('[1]literature entries'!$D:$AI,IF($J265=1,"ACTIVE     GHGE, FARM GATE (kg CO2e/kg)","GHGE, processor gate (kg CO2e/kg)"),INDIRECT($K265)),GETPIVOTDATA(IF($J265=1,"Average of ACTIVE     GHGE, FARM GATE (kg CO2e/kg)","Average of GHGE, processor gate (kg CO2e/kg)"),'[1]Pivot Table_GHG'!$A$3,"SUB TYPE",$B265))</f>
        <v/>
      </c>
      <c r="S265" s="94">
        <f>IF($P265="PROXY",DSTDEV('[1]literature entries'!$D:$AI,IF($J265=1,"ACTIVE     GHGE, FARM GATE (kg CO2e/kg)","GHGE, processor gate (kg CO2e/kg)"),INDIRECT($K265)),GETPIVOTDATA(IF($J265=1,"StdDev of ACTIVE     GHGE, FARM GATE (kg CO2e/kg)","StdDev of GHGE, processor gate (kg CO2e/kg)"),'[1]Pivot Table_GHG'!$A$3,"SUB TYPE",$B265))</f>
        <v/>
      </c>
      <c r="T265" s="105" t="n"/>
      <c r="U265" s="106" t="n"/>
      <c r="V265" s="97" t="n"/>
      <c r="W265" s="98">
        <f>IF(L265="PROXY",IF(M265&gt;=5,K265,"need group"),IF(M265&gt;=5,"DIRECT","need group"))</f>
        <v/>
      </c>
      <c r="X265" s="98">
        <f>IF($W265="DIRECT",M265,DCOUNT('[1]literature entries'!$D:$AI,IF($J265=1,"ACTIVE     CED, FARM GATE (MJ/kg)","CED, processor gate (MJ/kg)"),INDIRECT($W265)))</f>
        <v/>
      </c>
      <c r="Y265" s="98">
        <f>IF($W265="DIRECT","",DAVERAGE('[1]literature entries'!$D:$AI,IF($J265=1,"ACTIVE     CED, FARM GATE (MJ/kg)","CED, processor gate (MJ/kg)"),INDIRECT($W265)))</f>
        <v/>
      </c>
      <c r="Z265" s="98">
        <f>IF($W265="DIRECT",$O265,DSTDEV('[1]literature entries'!$D:$AI,IF($J265=1,"ACTIVE     CED, FARM GATE (MJ/kg)","CED, processor gate (MJ/kg)"),INDIRECT($W265)))</f>
        <v/>
      </c>
      <c r="AA265" s="98">
        <f>IF($W265="DIRECT",$O265,$Z265/$Y265*$N265)</f>
        <v/>
      </c>
      <c r="AB265" s="99">
        <f>IF(P265="PROXY",IF(Q265&gt;=5,K265,"need group"),IF(Q265&gt;=5,"DIRECT","need group"))</f>
        <v/>
      </c>
      <c r="AC265" s="99">
        <f>IF($AB265="DIRECT",Q265,DCOUNT('[1]literature entries'!$D:$AI,IF($J265=1,"ACTIVE     GHGE, FARM GATE (kg CO2e/kg)","GHGE, processor gate (kg CO2e/kg)"),INDIRECT($AB265)))</f>
        <v/>
      </c>
      <c r="AD265" s="99">
        <f>IF($AB265="DIRECT","",DAVERAGE('[1]literature entries'!$D:$AI,IF($J265=1,"ACTIVE     GHGE, FARM GATE (kg CO2e/kg)","GHGE, processor gate (kg CO2e/kg)"),INDIRECT($AB265)))</f>
        <v/>
      </c>
      <c r="AE265" s="99">
        <f>IF($AB265="DIRECT",$S265,DSTDEV('[1]literature entries'!$D:$AI,IF($J265=1,"ACTIVE     GHGE, FARM GATE (kg CO2e/kg)","GHGE, processor gate (kg CO2e/kg)"),INDIRECT($AB265)))</f>
        <v/>
      </c>
      <c r="AF265" s="99">
        <f>IF($AB265="DIRECT",$S265,$AE265/$AD265*$R265)</f>
        <v/>
      </c>
    </row>
    <row r="266" ht="15.75" customHeight="1" s="201">
      <c r="A266" s="100" t="n">
        <v>2402217000</v>
      </c>
      <c r="B266" s="101" t="inlineStr">
        <is>
          <t>Mango, juice</t>
        </is>
      </c>
      <c r="C266" s="101" t="inlineStr">
        <is>
          <t>weight of juice at single strength (or standard dilution)</t>
        </is>
      </c>
      <c r="D266" s="101" t="n"/>
      <c r="E266" s="101" t="n">
        <v>6269</v>
      </c>
      <c r="F266" s="84">
        <f>N266*H266+T266</f>
        <v/>
      </c>
      <c r="G266" s="85">
        <f>R266*H266+U266</f>
        <v/>
      </c>
      <c r="H266" s="102" t="n">
        <v>1.88</v>
      </c>
      <c r="I266" s="103" t="inlineStr">
        <is>
          <t>pineapple</t>
        </is>
      </c>
      <c r="J266" s="104" t="n">
        <v>1</v>
      </c>
      <c r="K266" s="89" t="inlineStr">
        <is>
          <t>tropical_fruit</t>
        </is>
      </c>
      <c r="L266" s="90">
        <f>IF(ISERROR(GETPIVOTDATA(IF($J266=1,"Count of ACTIVE     CED, FARM GATE (MJ/kg)","Count of CED, processor gate (MJ/kg)"),'[1]Pivot Table_CED'!$A$3,"SUB TYPE",$B266)),"PROXY",IF(GETPIVOTDATA(IF($J266=1,"Count of ACTIVE     CED, FARM GATE (MJ/kg)","Count of CED, processor gate (MJ/kg)"),'[1]Pivot Table_CED'!$A$3,"SUB TYPE",$B266)=0,"PROXY","DB value"))</f>
        <v/>
      </c>
      <c r="M266" s="91">
        <f>IF($L266="PROXY",DCOUNT('[1]literature entries'!$D:$AI,IF($J266=1,"ACTIVE     CED, FARM GATE (MJ/kg)","CED, processor gate (MJ/kg)"),INDIRECT($K266)),GETPIVOTDATA(IF($J266=1,"Count of ACTIVE     CED, FARM GATE (MJ/kg)","Count of CED, processor gate (MJ/kg)"),'[1]Pivot Table_CED'!$A$3,"SUB TYPE",$B266))</f>
        <v/>
      </c>
      <c r="N266" s="92">
        <f>IF($L266="PROXY",DAVERAGE('[1]literature entries'!$D:$AI,IF($J266=1,"ACTIVE     CED, FARM GATE (MJ/kg)","CED, processor gate (MJ/kg)"),INDIRECT($K266)),GETPIVOTDATA(IF($J266=1,"Average of ACTIVE     CED, FARM GATE (MJ/kg)","Average of CED, processor gate (MJ/kg)"),'[1]Pivot Table_CED'!$A$3,"SUB TYPE",$B266))</f>
        <v/>
      </c>
      <c r="O266" s="92">
        <f>IF($L266="PROXY",DSTDEV('[1]literature entries'!D:AI,IF($J266=1,"ACTIVE     CED, FARM GATE (MJ/kg)","CED, processor gate (MJ/kg)"),INDIRECT($K266)),GETPIVOTDATA(IF($J266=1,"StdDev of ACTIVE     CED, FARM GATE (MJ/kg)","StdDev of CED, processor gate (MJ/kg)"),'[1]Pivot Table_CED'!$A$3,"SUB TYPE",$B266))</f>
        <v/>
      </c>
      <c r="P266" s="90">
        <f>IF(ISERROR(GETPIVOTDATA(IF($J266=1,"Count of ACTIVE     GHGE, FARM GATE (kg CO2e/kg)","Count of GHGE, processor gate (kg CO2e/kg)"),'[1]Pivot Table_GHG'!$A$3,"SUB TYPE",$B266)),"PROXY",IF(GETPIVOTDATA(IF($J266=1,"Count of ACTIVE     GHGE, FARM GATE (kg CO2e/kg)","Count of GHGE, processor gate (kg CO2e/kg)"),'[1]Pivot Table_GHG'!$A$3,"SUB TYPE",$B266)=0,"PROXY","DB value"))</f>
        <v/>
      </c>
      <c r="Q266" s="93">
        <f>IF($P266="PROXY",DCOUNT('[1]literature entries'!$D:$AI,IF($J266=1,"ACTIVE     GHGE, FARM GATE (kg CO2e/kg)","GHGE, processor gate (kg CO2e/kg)"),INDIRECT($K266)),GETPIVOTDATA(IF($J266=1,"ACTIVE     GHGE, FARM GATE (kg CO2e/kg)","Count of GHGE, processor gate (kg CO2e/kg)"),'[1]Pivot Table_GHG'!$A$3,"SUB TYPE",$B266))</f>
        <v/>
      </c>
      <c r="R266" s="94">
        <f>IF($P266="PROXY",DAVERAGE('[1]literature entries'!$D:$AI,IF($J266=1,"ACTIVE     GHGE, FARM GATE (kg CO2e/kg)","GHGE, processor gate (kg CO2e/kg)"),INDIRECT($K266)),GETPIVOTDATA(IF($J266=1,"Average of ACTIVE     GHGE, FARM GATE (kg CO2e/kg)","Average of GHGE, processor gate (kg CO2e/kg)"),'[1]Pivot Table_GHG'!$A$3,"SUB TYPE",$B266))</f>
        <v/>
      </c>
      <c r="S266" s="94">
        <f>IF($P266="PROXY",DSTDEV('[1]literature entries'!$D:$AI,IF($J266=1,"ACTIVE     GHGE, FARM GATE (kg CO2e/kg)","GHGE, processor gate (kg CO2e/kg)"),INDIRECT($K266)),GETPIVOTDATA(IF($J266=1,"StdDev of ACTIVE     GHGE, FARM GATE (kg CO2e/kg)","StdDev of GHGE, processor gate (kg CO2e/kg)"),'[1]Pivot Table_GHG'!$A$3,"SUB TYPE",$B266))</f>
        <v/>
      </c>
      <c r="T266" s="107" t="n">
        <v>5.282</v>
      </c>
      <c r="U266" s="108" t="n">
        <v>0.9790791260799999</v>
      </c>
      <c r="V266" s="97" t="n"/>
      <c r="W266" s="98">
        <f>IF(L266="PROXY",IF(M266&gt;=5,K266,"need group"),IF(M266&gt;=5,"DIRECT","need group"))</f>
        <v/>
      </c>
      <c r="X266" s="98">
        <f>IF($W266="DIRECT",M266,DCOUNT('[1]literature entries'!$D:$AI,IF($J266=1,"ACTIVE     CED, FARM GATE (MJ/kg)","CED, processor gate (MJ/kg)"),INDIRECT($W266)))</f>
        <v/>
      </c>
      <c r="Y266" s="98">
        <f>IF($W266="DIRECT","",DAVERAGE('[1]literature entries'!$D:$AI,IF($J266=1,"ACTIVE     CED, FARM GATE (MJ/kg)","CED, processor gate (MJ/kg)"),INDIRECT($W266)))</f>
        <v/>
      </c>
      <c r="Z266" s="98">
        <f>IF($W266="DIRECT",$O266,DSTDEV('[1]literature entries'!$D:$AI,IF($J266=1,"ACTIVE     CED, FARM GATE (MJ/kg)","CED, processor gate (MJ/kg)"),INDIRECT($W266)))</f>
        <v/>
      </c>
      <c r="AA266" s="98">
        <f>IF($W266="DIRECT",$O266,$Z266/$Y266*$N266)</f>
        <v/>
      </c>
      <c r="AB266" s="99">
        <f>IF(P266="PROXY",IF(Q266&gt;=5,K266,"need group"),IF(Q266&gt;=5,"DIRECT","need group"))</f>
        <v/>
      </c>
      <c r="AC266" s="99">
        <f>IF($AB266="DIRECT",Q266,DCOUNT('[1]literature entries'!$D:$AI,IF($J266=1,"ACTIVE     GHGE, FARM GATE (kg CO2e/kg)","GHGE, processor gate (kg CO2e/kg)"),INDIRECT($AB266)))</f>
        <v/>
      </c>
      <c r="AD266" s="99">
        <f>IF($AB266="DIRECT","",DAVERAGE('[1]literature entries'!$D:$AI,IF($J266=1,"ACTIVE     GHGE, FARM GATE (kg CO2e/kg)","GHGE, processor gate (kg CO2e/kg)"),INDIRECT($AB266)))</f>
        <v/>
      </c>
      <c r="AE266" s="99">
        <f>IF($AB266="DIRECT",$S266,DSTDEV('[1]literature entries'!$D:$AI,IF($J266=1,"ACTIVE     GHGE, FARM GATE (kg CO2e/kg)","GHGE, processor gate (kg CO2e/kg)"),INDIRECT($AB266)))</f>
        <v/>
      </c>
      <c r="AF266" s="99">
        <f>IF($AB266="DIRECT",$S266,$AE266/$AD266*$R266)</f>
        <v/>
      </c>
    </row>
    <row r="267" ht="15.75" customHeight="1" s="201">
      <c r="A267" s="100" t="n">
        <v>2402245000</v>
      </c>
      <c r="B267" s="101" t="inlineStr">
        <is>
          <t>Papaya</t>
        </is>
      </c>
      <c r="C267" s="101" t="inlineStr">
        <is>
          <t>weight of pulp; excluding peel and seeds</t>
        </is>
      </c>
      <c r="D267" s="101" t="n"/>
      <c r="E267" s="101" t="n">
        <v>266</v>
      </c>
      <c r="F267" s="84">
        <f>N267*H267+T267</f>
        <v/>
      </c>
      <c r="G267" s="85">
        <f>R267*H267+U267</f>
        <v/>
      </c>
      <c r="H267" s="102" t="n">
        <v>1.49</v>
      </c>
      <c r="I267" s="102" t="inlineStr">
        <is>
          <t>FICRCD</t>
        </is>
      </c>
      <c r="J267" s="104" t="n">
        <v>1</v>
      </c>
      <c r="K267" s="89" t="n"/>
      <c r="L267" s="90">
        <f>IF(ISERROR(GETPIVOTDATA(IF($J267=1,"Count of ACTIVE     CED, FARM GATE (MJ/kg)","Count of CED, processor gate (MJ/kg)"),'[1]Pivot Table_CED'!$A$3,"SUB TYPE",$B267)),"PROXY",IF(GETPIVOTDATA(IF($J267=1,"Count of ACTIVE     CED, FARM GATE (MJ/kg)","Count of CED, processor gate (MJ/kg)"),'[1]Pivot Table_CED'!$A$3,"SUB TYPE",$B267)=0,"PROXY","DB value"))</f>
        <v/>
      </c>
      <c r="M267" s="91">
        <f>IF($L267="PROXY",DCOUNT('[1]literature entries'!$D:$AI,IF($J267=1,"ACTIVE     CED, FARM GATE (MJ/kg)","CED, processor gate (MJ/kg)"),INDIRECT($K267)),GETPIVOTDATA(IF($J267=1,"Count of ACTIVE     CED, FARM GATE (MJ/kg)","Count of CED, processor gate (MJ/kg)"),'[1]Pivot Table_CED'!$A$3,"SUB TYPE",$B267))</f>
        <v/>
      </c>
      <c r="N267" s="92">
        <f>IF($L267="PROXY",DAVERAGE('[1]literature entries'!$D:$AI,IF($J267=1,"ACTIVE     CED, FARM GATE (MJ/kg)","CED, processor gate (MJ/kg)"),INDIRECT($K267)),GETPIVOTDATA(IF($J267=1,"Average of ACTIVE     CED, FARM GATE (MJ/kg)","Average of CED, processor gate (MJ/kg)"),'[1]Pivot Table_CED'!$A$3,"SUB TYPE",$B267))</f>
        <v/>
      </c>
      <c r="O267" s="92">
        <f>IF($L267="PROXY",DSTDEV('[1]literature entries'!D:AI,IF($J267=1,"ACTIVE     CED, FARM GATE (MJ/kg)","CED, processor gate (MJ/kg)"),INDIRECT($K267)),GETPIVOTDATA(IF($J267=1,"StdDev of ACTIVE     CED, FARM GATE (MJ/kg)","StdDev of CED, processor gate (MJ/kg)"),'[1]Pivot Table_CED'!$A$3,"SUB TYPE",$B267))</f>
        <v/>
      </c>
      <c r="P267" s="90">
        <f>IF(ISERROR(GETPIVOTDATA(IF($J267=1,"Count of ACTIVE     GHGE, FARM GATE (kg CO2e/kg)","Count of GHGE, processor gate (kg CO2e/kg)"),'[1]Pivot Table_GHG'!$A$3,"SUB TYPE",$B267)),"PROXY",IF(GETPIVOTDATA(IF($J267=1,"Count of ACTIVE     GHGE, FARM GATE (kg CO2e/kg)","Count of GHGE, processor gate (kg CO2e/kg)"),'[1]Pivot Table_GHG'!$A$3,"SUB TYPE",$B267)=0,"PROXY","DB value"))</f>
        <v/>
      </c>
      <c r="Q267" s="93">
        <f>IF($P267="PROXY",DCOUNT('[1]literature entries'!$D:$AI,IF($J267=1,"ACTIVE     GHGE, FARM GATE (kg CO2e/kg)","GHGE, processor gate (kg CO2e/kg)"),INDIRECT($K267)),GETPIVOTDATA(IF($J267=1,"ACTIVE     GHGE, FARM GATE (kg CO2e/kg)","Count of GHGE, processor gate (kg CO2e/kg)"),'[1]Pivot Table_GHG'!$A$3,"SUB TYPE",$B267))</f>
        <v/>
      </c>
      <c r="R267" s="94">
        <f>IF($P267="PROXY",DAVERAGE('[1]literature entries'!$D:$AI,IF($J267=1,"ACTIVE     GHGE, FARM GATE (kg CO2e/kg)","GHGE, processor gate (kg CO2e/kg)"),INDIRECT($K267)),GETPIVOTDATA(IF($J267=1,"Average of ACTIVE     GHGE, FARM GATE (kg CO2e/kg)","Average of GHGE, processor gate (kg CO2e/kg)"),'[1]Pivot Table_GHG'!$A$3,"SUB TYPE",$B267))</f>
        <v/>
      </c>
      <c r="S267" s="94">
        <f>IF($P267="PROXY",DSTDEV('[1]literature entries'!$D:$AI,IF($J267=1,"ACTIVE     GHGE, FARM GATE (kg CO2e/kg)","GHGE, processor gate (kg CO2e/kg)"),INDIRECT($K267)),GETPIVOTDATA(IF($J267=1,"StdDev of ACTIVE     GHGE, FARM GATE (kg CO2e/kg)","StdDev of GHGE, processor gate (kg CO2e/kg)"),'[1]Pivot Table_GHG'!$A$3,"SUB TYPE",$B267))</f>
        <v/>
      </c>
      <c r="T267" s="105" t="n"/>
      <c r="U267" s="106" t="n"/>
      <c r="V267" s="97" t="n"/>
      <c r="W267" s="98" t="inlineStr">
        <is>
          <t>tropical_fruit</t>
        </is>
      </c>
      <c r="X267" s="98">
        <f>IF($W267="DIRECT",M267,DCOUNT('[1]literature entries'!$D:$AI,IF($J267=1,"ACTIVE     CED, FARM GATE (MJ/kg)","CED, processor gate (MJ/kg)"),INDIRECT($W267)))</f>
        <v/>
      </c>
      <c r="Y267" s="98">
        <f>IF($W267="DIRECT","",DAVERAGE('[1]literature entries'!$D:$AI,IF($J267=1,"ACTIVE     CED, FARM GATE (MJ/kg)","CED, processor gate (MJ/kg)"),INDIRECT($W267)))</f>
        <v/>
      </c>
      <c r="Z267" s="98">
        <f>IF($W267="DIRECT",$O267,DSTDEV('[1]literature entries'!$D:$AI,IF($J267=1,"ACTIVE     CED, FARM GATE (MJ/kg)","CED, processor gate (MJ/kg)"),INDIRECT($W267)))</f>
        <v/>
      </c>
      <c r="AA267" s="98">
        <f>IF($W267="DIRECT",$O267,$Z267/$Y267*$N267)</f>
        <v/>
      </c>
      <c r="AB267" s="99" t="inlineStr">
        <is>
          <t>tropical_fruit</t>
        </is>
      </c>
      <c r="AC267" s="99">
        <f>IF($AB267="DIRECT",Q267,DCOUNT('[1]literature entries'!$D:$AI,IF($J267=1,"ACTIVE     GHGE, FARM GATE (kg CO2e/kg)","GHGE, processor gate (kg CO2e/kg)"),INDIRECT($AB267)))</f>
        <v/>
      </c>
      <c r="AD267" s="99">
        <f>IF($AB267="DIRECT","",DAVERAGE('[1]literature entries'!$D:$AI,IF($J267=1,"ACTIVE     GHGE, FARM GATE (kg CO2e/kg)","GHGE, processor gate (kg CO2e/kg)"),INDIRECT($AB267)))</f>
        <v/>
      </c>
      <c r="AE267" s="99">
        <f>IF($AB267="DIRECT",$S267,DSTDEV('[1]literature entries'!$D:$AI,IF($J267=1,"ACTIVE     GHGE, FARM GATE (kg CO2e/kg)","GHGE, processor gate (kg CO2e/kg)"),INDIRECT($AB267)))</f>
        <v/>
      </c>
      <c r="AF267" s="99">
        <f>IF($AB267="DIRECT",$S267,$AE267/$AD267*$R267)</f>
        <v/>
      </c>
    </row>
    <row r="268" ht="15.75" customHeight="1" s="201">
      <c r="A268" s="100" t="n">
        <v>2402246000</v>
      </c>
      <c r="B268" s="101" t="inlineStr">
        <is>
          <t>Papaya, dried</t>
        </is>
      </c>
      <c r="C268" s="101" t="inlineStr">
        <is>
          <t>weight of dried pulp</t>
        </is>
      </c>
      <c r="D268" s="101" t="n"/>
      <c r="E268" s="101" t="n">
        <v>121</v>
      </c>
      <c r="F268" s="84">
        <f>N268*H268+T268</f>
        <v/>
      </c>
      <c r="G268" s="85">
        <f>R268*H268+U268</f>
        <v/>
      </c>
      <c r="H268" s="102" t="n">
        <v>10.7</v>
      </c>
      <c r="I268" s="103" t="inlineStr">
        <is>
          <t>FICRCD</t>
        </is>
      </c>
      <c r="J268" s="104" t="n">
        <v>1</v>
      </c>
      <c r="K268" s="89" t="inlineStr">
        <is>
          <t>papaya</t>
        </is>
      </c>
      <c r="L268" s="90">
        <f>IF(ISERROR(GETPIVOTDATA(IF($J268=1,"Count of ACTIVE     CED, FARM GATE (MJ/kg)","Count of CED, processor gate (MJ/kg)"),'[1]Pivot Table_CED'!$A$3,"SUB TYPE",$B268)),"PROXY",IF(GETPIVOTDATA(IF($J268=1,"Count of ACTIVE     CED, FARM GATE (MJ/kg)","Count of CED, processor gate (MJ/kg)"),'[1]Pivot Table_CED'!$A$3,"SUB TYPE",$B268)=0,"PROXY","DB value"))</f>
        <v/>
      </c>
      <c r="M268" s="91">
        <f>IF($L268="PROXY",DCOUNT('[1]literature entries'!$D:$AI,IF($J268=1,"ACTIVE     CED, FARM GATE (MJ/kg)","CED, processor gate (MJ/kg)"),INDIRECT($K268)),GETPIVOTDATA(IF($J268=1,"Count of ACTIVE     CED, FARM GATE (MJ/kg)","Count of CED, processor gate (MJ/kg)"),'[1]Pivot Table_CED'!$A$3,"SUB TYPE",$B268))</f>
        <v/>
      </c>
      <c r="N268" s="92">
        <f>IF($L268="PROXY",DAVERAGE('[1]literature entries'!$D:$AI,IF($J268=1,"ACTIVE     CED, FARM GATE (MJ/kg)","CED, processor gate (MJ/kg)"),INDIRECT($K268)),GETPIVOTDATA(IF($J268=1,"Average of ACTIVE     CED, FARM GATE (MJ/kg)","Average of CED, processor gate (MJ/kg)"),'[1]Pivot Table_CED'!$A$3,"SUB TYPE",$B268))</f>
        <v/>
      </c>
      <c r="O268" s="92">
        <f>IF($L268="PROXY",DSTDEV('[1]literature entries'!D:AI,IF($J268=1,"ACTIVE     CED, FARM GATE (MJ/kg)","CED, processor gate (MJ/kg)"),INDIRECT($K268)),GETPIVOTDATA(IF($J268=1,"StdDev of ACTIVE     CED, FARM GATE (MJ/kg)","StdDev of CED, processor gate (MJ/kg)"),'[1]Pivot Table_CED'!$A$3,"SUB TYPE",$B268))</f>
        <v/>
      </c>
      <c r="P268" s="90">
        <f>IF(ISERROR(GETPIVOTDATA(IF($J268=1,"Count of ACTIVE     GHGE, FARM GATE (kg CO2e/kg)","Count of GHGE, processor gate (kg CO2e/kg)"),'[1]Pivot Table_GHG'!$A$3,"SUB TYPE",$B268)),"PROXY",IF(GETPIVOTDATA(IF($J268=1,"Count of ACTIVE     GHGE, FARM GATE (kg CO2e/kg)","Count of GHGE, processor gate (kg CO2e/kg)"),'[1]Pivot Table_GHG'!$A$3,"SUB TYPE",$B268)=0,"PROXY","DB value"))</f>
        <v/>
      </c>
      <c r="Q268" s="93">
        <f>IF($P268="PROXY",DCOUNT('[1]literature entries'!$D:$AI,IF($J268=1,"ACTIVE     GHGE, FARM GATE (kg CO2e/kg)","GHGE, processor gate (kg CO2e/kg)"),INDIRECT($K268)),GETPIVOTDATA(IF($J268=1,"ACTIVE     GHGE, FARM GATE (kg CO2e/kg)","Count of GHGE, processor gate (kg CO2e/kg)"),'[1]Pivot Table_GHG'!$A$3,"SUB TYPE",$B268))</f>
        <v/>
      </c>
      <c r="R268" s="94">
        <f>IF($P268="PROXY",DAVERAGE('[1]literature entries'!$D:$AI,IF($J268=1,"ACTIVE     GHGE, FARM GATE (kg CO2e/kg)","GHGE, processor gate (kg CO2e/kg)"),INDIRECT($K268)),GETPIVOTDATA(IF($J268=1,"Average of ACTIVE     GHGE, FARM GATE (kg CO2e/kg)","Average of GHGE, processor gate (kg CO2e/kg)"),'[1]Pivot Table_GHG'!$A$3,"SUB TYPE",$B268))</f>
        <v/>
      </c>
      <c r="S268" s="94">
        <f>IF($P268="PROXY",DSTDEV('[1]literature entries'!$D:$AI,IF($J268=1,"ACTIVE     GHGE, FARM GATE (kg CO2e/kg)","GHGE, processor gate (kg CO2e/kg)"),INDIRECT($K268)),GETPIVOTDATA(IF($J268=1,"StdDev of ACTIVE     GHGE, FARM GATE (kg CO2e/kg)","StdDev of GHGE, processor gate (kg CO2e/kg)"),'[1]Pivot Table_GHG'!$A$3,"SUB TYPE",$B268))</f>
        <v/>
      </c>
      <c r="T268" s="105" t="n"/>
      <c r="U268" s="106" t="n"/>
      <c r="V268" s="97" t="n"/>
      <c r="W268" s="98" t="inlineStr">
        <is>
          <t>tropical_fruit</t>
        </is>
      </c>
      <c r="X268" s="98">
        <f>IF($W268="DIRECT",M268,DCOUNT('[1]literature entries'!$D:$AI,IF($J268=1,"ACTIVE     CED, FARM GATE (MJ/kg)","CED, processor gate (MJ/kg)"),INDIRECT($W268)))</f>
        <v/>
      </c>
      <c r="Y268" s="98">
        <f>IF($W268="DIRECT","",DAVERAGE('[1]literature entries'!$D:$AI,IF($J268=1,"ACTIVE     CED, FARM GATE (MJ/kg)","CED, processor gate (MJ/kg)"),INDIRECT($W268)))</f>
        <v/>
      </c>
      <c r="Z268" s="98">
        <f>IF($W268="DIRECT",$O268,DSTDEV('[1]literature entries'!$D:$AI,IF($J268=1,"ACTIVE     CED, FARM GATE (MJ/kg)","CED, processor gate (MJ/kg)"),INDIRECT($W268)))</f>
        <v/>
      </c>
      <c r="AA268" s="98">
        <f>IF($W268="DIRECT",$O268,$Z268/$Y268*$N268)</f>
        <v/>
      </c>
      <c r="AB268" s="99" t="inlineStr">
        <is>
          <t>tropical_fruit</t>
        </is>
      </c>
      <c r="AC268" s="99">
        <f>IF($AB268="DIRECT",Q268,DCOUNT('[1]literature entries'!$D:$AI,IF($J268=1,"ACTIVE     GHGE, FARM GATE (kg CO2e/kg)","GHGE, processor gate (kg CO2e/kg)"),INDIRECT($AB268)))</f>
        <v/>
      </c>
      <c r="AD268" s="99">
        <f>IF($AB268="DIRECT","",DAVERAGE('[1]literature entries'!$D:$AI,IF($J268=1,"ACTIVE     GHGE, FARM GATE (kg CO2e/kg)","GHGE, processor gate (kg CO2e/kg)"),INDIRECT($AB268)))</f>
        <v/>
      </c>
      <c r="AE268" s="99">
        <f>IF($AB268="DIRECT",$S268,DSTDEV('[1]literature entries'!$D:$AI,IF($J268=1,"ACTIVE     GHGE, FARM GATE (kg CO2e/kg)","GHGE, processor gate (kg CO2e/kg)"),INDIRECT($AB268)))</f>
        <v/>
      </c>
      <c r="AF268" s="99">
        <f>IF($AB268="DIRECT",$S268,$AE268/$AD268*$R268)</f>
        <v/>
      </c>
    </row>
    <row r="269" ht="15.75" customHeight="1" s="201">
      <c r="A269" s="100" t="n">
        <v>2402247000</v>
      </c>
      <c r="B269" s="101" t="inlineStr">
        <is>
          <t>Papaya, juice</t>
        </is>
      </c>
      <c r="C269" s="101" t="inlineStr">
        <is>
          <t>weight of juice at single strength (or standard dilution)</t>
        </is>
      </c>
      <c r="D269" s="101" t="n"/>
      <c r="E269" s="101" t="n">
        <v>38</v>
      </c>
      <c r="F269" s="84">
        <f>N269*H269+T269</f>
        <v/>
      </c>
      <c r="G269" s="85">
        <f>R269*H269+U269</f>
        <v/>
      </c>
      <c r="H269" s="102" t="n">
        <v>1.49</v>
      </c>
      <c r="I269" s="103" t="inlineStr">
        <is>
          <t>FICRCD</t>
        </is>
      </c>
      <c r="J269" s="104" t="n">
        <v>1</v>
      </c>
      <c r="K269" s="89" t="inlineStr">
        <is>
          <t>papaya</t>
        </is>
      </c>
      <c r="L269" s="90">
        <f>IF(ISERROR(GETPIVOTDATA(IF($J269=1,"Count of ACTIVE     CED, FARM GATE (MJ/kg)","Count of CED, processor gate (MJ/kg)"),'[1]Pivot Table_CED'!$A$3,"SUB TYPE",$B269)),"PROXY",IF(GETPIVOTDATA(IF($J269=1,"Count of ACTIVE     CED, FARM GATE (MJ/kg)","Count of CED, processor gate (MJ/kg)"),'[1]Pivot Table_CED'!$A$3,"SUB TYPE",$B269)=0,"PROXY","DB value"))</f>
        <v/>
      </c>
      <c r="M269" s="91">
        <f>IF($L269="PROXY",DCOUNT('[1]literature entries'!$D:$AI,IF($J269=1,"ACTIVE     CED, FARM GATE (MJ/kg)","CED, processor gate (MJ/kg)"),INDIRECT($K269)),GETPIVOTDATA(IF($J269=1,"Count of ACTIVE     CED, FARM GATE (MJ/kg)","Count of CED, processor gate (MJ/kg)"),'[1]Pivot Table_CED'!$A$3,"SUB TYPE",$B269))</f>
        <v/>
      </c>
      <c r="N269" s="92">
        <f>IF($L269="PROXY",DAVERAGE('[1]literature entries'!$D:$AI,IF($J269=1,"ACTIVE     CED, FARM GATE (MJ/kg)","CED, processor gate (MJ/kg)"),INDIRECT($K269)),GETPIVOTDATA(IF($J269=1,"Average of ACTIVE     CED, FARM GATE (MJ/kg)","Average of CED, processor gate (MJ/kg)"),'[1]Pivot Table_CED'!$A$3,"SUB TYPE",$B269))</f>
        <v/>
      </c>
      <c r="O269" s="92">
        <f>IF($L269="PROXY",DSTDEV('[1]literature entries'!D:AI,IF($J269=1,"ACTIVE     CED, FARM GATE (MJ/kg)","CED, processor gate (MJ/kg)"),INDIRECT($K269)),GETPIVOTDATA(IF($J269=1,"StdDev of ACTIVE     CED, FARM GATE (MJ/kg)","StdDev of CED, processor gate (MJ/kg)"),'[1]Pivot Table_CED'!$A$3,"SUB TYPE",$B269))</f>
        <v/>
      </c>
      <c r="P269" s="90">
        <f>IF(ISERROR(GETPIVOTDATA(IF($J269=1,"Count of ACTIVE     GHGE, FARM GATE (kg CO2e/kg)","Count of GHGE, processor gate (kg CO2e/kg)"),'[1]Pivot Table_GHG'!$A$3,"SUB TYPE",$B269)),"PROXY",IF(GETPIVOTDATA(IF($J269=1,"Count of ACTIVE     GHGE, FARM GATE (kg CO2e/kg)","Count of GHGE, processor gate (kg CO2e/kg)"),'[1]Pivot Table_GHG'!$A$3,"SUB TYPE",$B269)=0,"PROXY","DB value"))</f>
        <v/>
      </c>
      <c r="Q269" s="93">
        <f>IF($P269="PROXY",DCOUNT('[1]literature entries'!$D:$AI,IF($J269=1,"ACTIVE     GHGE, FARM GATE (kg CO2e/kg)","GHGE, processor gate (kg CO2e/kg)"),INDIRECT($K269)),GETPIVOTDATA(IF($J269=1,"ACTIVE     GHGE, FARM GATE (kg CO2e/kg)","Count of GHGE, processor gate (kg CO2e/kg)"),'[1]Pivot Table_GHG'!$A$3,"SUB TYPE",$B269))</f>
        <v/>
      </c>
      <c r="R269" s="94">
        <f>IF($P269="PROXY",DAVERAGE('[1]literature entries'!$D:$AI,IF($J269=1,"ACTIVE     GHGE, FARM GATE (kg CO2e/kg)","GHGE, processor gate (kg CO2e/kg)"),INDIRECT($K269)),GETPIVOTDATA(IF($J269=1,"Average of ACTIVE     GHGE, FARM GATE (kg CO2e/kg)","Average of GHGE, processor gate (kg CO2e/kg)"),'[1]Pivot Table_GHG'!$A$3,"SUB TYPE",$B269))</f>
        <v/>
      </c>
      <c r="S269" s="94">
        <f>IF($P269="PROXY",DSTDEV('[1]literature entries'!$D:$AI,IF($J269=1,"ACTIVE     GHGE, FARM GATE (kg CO2e/kg)","GHGE, processor gate (kg CO2e/kg)"),INDIRECT($K269)),GETPIVOTDATA(IF($J269=1,"StdDev of ACTIVE     GHGE, FARM GATE (kg CO2e/kg)","StdDev of GHGE, processor gate (kg CO2e/kg)"),'[1]Pivot Table_GHG'!$A$3,"SUB TYPE",$B269))</f>
        <v/>
      </c>
      <c r="T269" s="107" t="n">
        <v>5.282</v>
      </c>
      <c r="U269" s="108" t="n">
        <v>0.97907912608</v>
      </c>
      <c r="V269" s="97" t="n"/>
      <c r="W269" s="98" t="inlineStr">
        <is>
          <t>tropical_fruit</t>
        </is>
      </c>
      <c r="X269" s="98">
        <f>IF($W269="DIRECT",M269,DCOUNT('[1]literature entries'!$D:$AI,IF($J269=1,"ACTIVE     CED, FARM GATE (MJ/kg)","CED, processor gate (MJ/kg)"),INDIRECT($W269)))</f>
        <v/>
      </c>
      <c r="Y269" s="98">
        <f>IF($W269="DIRECT","",DAVERAGE('[1]literature entries'!$D:$AI,IF($J269=1,"ACTIVE     CED, FARM GATE (MJ/kg)","CED, processor gate (MJ/kg)"),INDIRECT($W269)))</f>
        <v/>
      </c>
      <c r="Z269" s="98">
        <f>IF($W269="DIRECT",$O269,DSTDEV('[1]literature entries'!$D:$AI,IF($J269=1,"ACTIVE     CED, FARM GATE (MJ/kg)","CED, processor gate (MJ/kg)"),INDIRECT($W269)))</f>
        <v/>
      </c>
      <c r="AA269" s="98">
        <f>IF($W269="DIRECT",$O269,$Z269/$Y269*$N269)</f>
        <v/>
      </c>
      <c r="AB269" s="99" t="inlineStr">
        <is>
          <t>tropical_fruit</t>
        </is>
      </c>
      <c r="AC269" s="99">
        <f>IF($AB269="DIRECT",Q269,DCOUNT('[1]literature entries'!$D:$AI,IF($J269=1,"ACTIVE     GHGE, FARM GATE (kg CO2e/kg)","GHGE, processor gate (kg CO2e/kg)"),INDIRECT($AB269)))</f>
        <v/>
      </c>
      <c r="AD269" s="99">
        <f>IF($AB269="DIRECT","",DAVERAGE('[1]literature entries'!$D:$AI,IF($J269=1,"ACTIVE     GHGE, FARM GATE (kg CO2e/kg)","GHGE, processor gate (kg CO2e/kg)"),INDIRECT($AB269)))</f>
        <v/>
      </c>
      <c r="AE269" s="99">
        <f>IF($AB269="DIRECT",$S269,DSTDEV('[1]literature entries'!$D:$AI,IF($J269=1,"ACTIVE     GHGE, FARM GATE (kg CO2e/kg)","GHGE, processor gate (kg CO2e/kg)"),INDIRECT($AB269)))</f>
        <v/>
      </c>
      <c r="AF269" s="99">
        <f>IF($AB269="DIRECT",$S269,$AE269/$AD269*$R269)</f>
        <v/>
      </c>
    </row>
    <row r="270" ht="15.75" customHeight="1" s="201">
      <c r="A270" s="100" t="n">
        <v>2402277000</v>
      </c>
      <c r="B270" s="101" t="inlineStr">
        <is>
          <t>Persimmon</t>
        </is>
      </c>
      <c r="C270" s="101" t="inlineStr">
        <is>
          <t>weight of entire fruit, pulp and peel</t>
        </is>
      </c>
      <c r="D270" s="101" t="n"/>
      <c r="E270" s="101" t="n">
        <v>48</v>
      </c>
      <c r="F270" s="84">
        <f>N270*H270+T270</f>
        <v/>
      </c>
      <c r="G270" s="85">
        <f>R270*H270+U270</f>
        <v/>
      </c>
      <c r="H270" s="102" t="n">
        <v>1.19</v>
      </c>
      <c r="I270" s="102" t="inlineStr">
        <is>
          <t>FICRCD</t>
        </is>
      </c>
      <c r="J270" s="104" t="n">
        <v>1</v>
      </c>
      <c r="K270" s="89" t="inlineStr">
        <is>
          <t>tree_fruit</t>
        </is>
      </c>
      <c r="L270" s="90">
        <f>IF(ISERROR(GETPIVOTDATA(IF($J270=1,"Count of ACTIVE     CED, FARM GATE (MJ/kg)","Count of CED, processor gate (MJ/kg)"),'[1]Pivot Table_CED'!$A$3,"SUB TYPE",$B270)),"PROXY",IF(GETPIVOTDATA(IF($J270=1,"Count of ACTIVE     CED, FARM GATE (MJ/kg)","Count of CED, processor gate (MJ/kg)"),'[1]Pivot Table_CED'!$A$3,"SUB TYPE",$B270)=0,"PROXY","DB value"))</f>
        <v/>
      </c>
      <c r="M270" s="91">
        <f>IF($L270="PROXY",DCOUNT('[1]literature entries'!$D:$AI,IF($J270=1,"ACTIVE     CED, FARM GATE (MJ/kg)","CED, processor gate (MJ/kg)"),INDIRECT($K270)),GETPIVOTDATA(IF($J270=1,"Count of ACTIVE     CED, FARM GATE (MJ/kg)","Count of CED, processor gate (MJ/kg)"),'[1]Pivot Table_CED'!$A$3,"SUB TYPE",$B270))</f>
        <v/>
      </c>
      <c r="N270" s="92">
        <f>IF($L270="PROXY",DAVERAGE('[1]literature entries'!$D:$AI,IF($J270=1,"ACTIVE     CED, FARM GATE (MJ/kg)","CED, processor gate (MJ/kg)"),INDIRECT($K270)),GETPIVOTDATA(IF($J270=1,"Average of ACTIVE     CED, FARM GATE (MJ/kg)","Average of CED, processor gate (MJ/kg)"),'[1]Pivot Table_CED'!$A$3,"SUB TYPE",$B270))</f>
        <v/>
      </c>
      <c r="O270" s="92">
        <f>IF($L270="PROXY",DSTDEV('[1]literature entries'!D:AI,IF($J270=1,"ACTIVE     CED, FARM GATE (MJ/kg)","CED, processor gate (MJ/kg)"),INDIRECT($K270)),GETPIVOTDATA(IF($J270=1,"StdDev of ACTIVE     CED, FARM GATE (MJ/kg)","StdDev of CED, processor gate (MJ/kg)"),'[1]Pivot Table_CED'!$A$3,"SUB TYPE",$B270))</f>
        <v/>
      </c>
      <c r="P270" s="90">
        <f>IF(ISERROR(GETPIVOTDATA(IF($J270=1,"Count of ACTIVE     GHGE, FARM GATE (kg CO2e/kg)","Count of GHGE, processor gate (kg CO2e/kg)"),'[1]Pivot Table_GHG'!$A$3,"SUB TYPE",$B270)),"PROXY",IF(GETPIVOTDATA(IF($J270=1,"Count of ACTIVE     GHGE, FARM GATE (kg CO2e/kg)","Count of GHGE, processor gate (kg CO2e/kg)"),'[1]Pivot Table_GHG'!$A$3,"SUB TYPE",$B270)=0,"PROXY","DB value"))</f>
        <v/>
      </c>
      <c r="Q270" s="93">
        <f>IF($P270="PROXY",DCOUNT('[1]literature entries'!$D:$AI,IF($J270=1,"ACTIVE     GHGE, FARM GATE (kg CO2e/kg)","GHGE, processor gate (kg CO2e/kg)"),INDIRECT($K270)),GETPIVOTDATA(IF($J270=1,"ACTIVE     GHGE, FARM GATE (kg CO2e/kg)","Count of GHGE, processor gate (kg CO2e/kg)"),'[1]Pivot Table_GHG'!$A$3,"SUB TYPE",$B270))</f>
        <v/>
      </c>
      <c r="R270" s="94">
        <f>IF($P270="PROXY",DAVERAGE('[1]literature entries'!$D:$AI,IF($J270=1,"ACTIVE     GHGE, FARM GATE (kg CO2e/kg)","GHGE, processor gate (kg CO2e/kg)"),INDIRECT($K270)),GETPIVOTDATA(IF($J270=1,"Average of ACTIVE     GHGE, FARM GATE (kg CO2e/kg)","Average of GHGE, processor gate (kg CO2e/kg)"),'[1]Pivot Table_GHG'!$A$3,"SUB TYPE",$B270))</f>
        <v/>
      </c>
      <c r="S270" s="94">
        <f>IF($P270="PROXY",DSTDEV('[1]literature entries'!$D:$AI,IF($J270=1,"ACTIVE     GHGE, FARM GATE (kg CO2e/kg)","GHGE, processor gate (kg CO2e/kg)"),INDIRECT($K270)),GETPIVOTDATA(IF($J270=1,"StdDev of ACTIVE     GHGE, FARM GATE (kg CO2e/kg)","StdDev of GHGE, processor gate (kg CO2e/kg)"),'[1]Pivot Table_GHG'!$A$3,"SUB TYPE",$B270))</f>
        <v/>
      </c>
      <c r="T270" s="105" t="n"/>
      <c r="U270" s="106" t="n"/>
      <c r="V270" s="97" t="n"/>
      <c r="W270" s="98">
        <f>IF(L270="PROXY",IF(M270&gt;=5,K270,"need group"),IF(M270&gt;=5,"DIRECT","need group"))</f>
        <v/>
      </c>
      <c r="X270" s="98">
        <f>IF($W270="DIRECT",M270,DCOUNT('[1]literature entries'!$D:$AI,IF($J270=1,"ACTIVE     CED, FARM GATE (MJ/kg)","CED, processor gate (MJ/kg)"),INDIRECT($W270)))</f>
        <v/>
      </c>
      <c r="Y270" s="98">
        <f>IF($W270="DIRECT","",DAVERAGE('[1]literature entries'!$D:$AI,IF($J270=1,"ACTIVE     CED, FARM GATE (MJ/kg)","CED, processor gate (MJ/kg)"),INDIRECT($W270)))</f>
        <v/>
      </c>
      <c r="Z270" s="98">
        <f>IF($W270="DIRECT",$O270,DSTDEV('[1]literature entries'!$D:$AI,IF($J270=1,"ACTIVE     CED, FARM GATE (MJ/kg)","CED, processor gate (MJ/kg)"),INDIRECT($W270)))</f>
        <v/>
      </c>
      <c r="AA270" s="98">
        <f>IF($W270="DIRECT",$O270,$Z270/$Y270*$N270)</f>
        <v/>
      </c>
      <c r="AB270" s="99">
        <f>IF(P270="PROXY",IF(Q270&gt;=5,K270,"need group"),IF(Q270&gt;=5,"DIRECT","need group"))</f>
        <v/>
      </c>
      <c r="AC270" s="99">
        <f>IF($AB270="DIRECT",Q270,DCOUNT('[1]literature entries'!$D:$AI,IF($J270=1,"ACTIVE     GHGE, FARM GATE (kg CO2e/kg)","GHGE, processor gate (kg CO2e/kg)"),INDIRECT($AB270)))</f>
        <v/>
      </c>
      <c r="AD270" s="99">
        <f>IF($AB270="DIRECT","",DAVERAGE('[1]literature entries'!$D:$AI,IF($J270=1,"ACTIVE     GHGE, FARM GATE (kg CO2e/kg)","GHGE, processor gate (kg CO2e/kg)"),INDIRECT($AB270)))</f>
        <v/>
      </c>
      <c r="AE270" s="99">
        <f>IF($AB270="DIRECT",$S270,DSTDEV('[1]literature entries'!$D:$AI,IF($J270=1,"ACTIVE     GHGE, FARM GATE (kg CO2e/kg)","GHGE, processor gate (kg CO2e/kg)"),INDIRECT($AB270)))</f>
        <v/>
      </c>
      <c r="AF270" s="99">
        <f>IF($AB270="DIRECT",$S270,$AE270/$AD270*$R270)</f>
        <v/>
      </c>
    </row>
    <row r="271" ht="15.75" customHeight="1" s="201">
      <c r="A271" s="100" t="n">
        <v>2402283000</v>
      </c>
      <c r="B271" s="101" t="inlineStr">
        <is>
          <t>Plantain</t>
        </is>
      </c>
      <c r="C271" s="101" t="inlineStr">
        <is>
          <t>weight of pulp; excluding skin</t>
        </is>
      </c>
      <c r="D271" s="101" t="n"/>
      <c r="E271" s="101" t="n">
        <v>334</v>
      </c>
      <c r="F271" s="84">
        <f>N271*H271+T271</f>
        <v/>
      </c>
      <c r="G271" s="85">
        <f>R271*H271+U271</f>
        <v/>
      </c>
      <c r="H271" s="102" t="n">
        <v>1.54</v>
      </c>
      <c r="I271" s="103" t="inlineStr">
        <is>
          <t>FICRCD</t>
        </is>
      </c>
      <c r="J271" s="104" t="n">
        <v>1</v>
      </c>
      <c r="K271" s="89" t="inlineStr">
        <is>
          <t>banana</t>
        </is>
      </c>
      <c r="L271" s="90">
        <f>IF(ISERROR(GETPIVOTDATA(IF($J271=1,"Count of ACTIVE     CED, FARM GATE (MJ/kg)","Count of CED, processor gate (MJ/kg)"),'[1]Pivot Table_CED'!$A$3,"SUB TYPE",$B271)),"PROXY",IF(GETPIVOTDATA(IF($J271=1,"Count of ACTIVE     CED, FARM GATE (MJ/kg)","Count of CED, processor gate (MJ/kg)"),'[1]Pivot Table_CED'!$A$3,"SUB TYPE",$B271)=0,"PROXY","DB value"))</f>
        <v/>
      </c>
      <c r="M271" s="91">
        <f>IF($L271="PROXY",DCOUNT('[1]literature entries'!$D:$AI,IF($J271=1,"ACTIVE     CED, FARM GATE (MJ/kg)","CED, processor gate (MJ/kg)"),INDIRECT($K271)),GETPIVOTDATA(IF($J271=1,"Count of ACTIVE     CED, FARM GATE (MJ/kg)","Count of CED, processor gate (MJ/kg)"),'[1]Pivot Table_CED'!$A$3,"SUB TYPE",$B271))</f>
        <v/>
      </c>
      <c r="N271" s="92">
        <f>IF($L271="PROXY",DAVERAGE('[1]literature entries'!$D:$AI,IF($J271=1,"ACTIVE     CED, FARM GATE (MJ/kg)","CED, processor gate (MJ/kg)"),INDIRECT($K271)),GETPIVOTDATA(IF($J271=1,"Average of ACTIVE     CED, FARM GATE (MJ/kg)","Average of CED, processor gate (MJ/kg)"),'[1]Pivot Table_CED'!$A$3,"SUB TYPE",$B271))</f>
        <v/>
      </c>
      <c r="O271" s="92">
        <f>IF($L271="PROXY",DSTDEV('[1]literature entries'!D:AI,IF($J271=1,"ACTIVE     CED, FARM GATE (MJ/kg)","CED, processor gate (MJ/kg)"),INDIRECT($K271)),GETPIVOTDATA(IF($J271=1,"StdDev of ACTIVE     CED, FARM GATE (MJ/kg)","StdDev of CED, processor gate (MJ/kg)"),'[1]Pivot Table_CED'!$A$3,"SUB TYPE",$B271))</f>
        <v/>
      </c>
      <c r="P271" s="90">
        <f>IF(ISERROR(GETPIVOTDATA(IF($J271=1,"Count of ACTIVE     GHGE, FARM GATE (kg CO2e/kg)","Count of GHGE, processor gate (kg CO2e/kg)"),'[1]Pivot Table_GHG'!$A$3,"SUB TYPE",$B271)),"PROXY",IF(GETPIVOTDATA(IF($J271=1,"Count of ACTIVE     GHGE, FARM GATE (kg CO2e/kg)","Count of GHGE, processor gate (kg CO2e/kg)"),'[1]Pivot Table_GHG'!$A$3,"SUB TYPE",$B271)=0,"PROXY","DB value"))</f>
        <v/>
      </c>
      <c r="Q271" s="93">
        <f>IF($P271="PROXY",DCOUNT('[1]literature entries'!$D:$AI,IF($J271=1,"ACTIVE     GHGE, FARM GATE (kg CO2e/kg)","GHGE, processor gate (kg CO2e/kg)"),INDIRECT($K271)),GETPIVOTDATA(IF($J271=1,"ACTIVE     GHGE, FARM GATE (kg CO2e/kg)","Count of GHGE, processor gate (kg CO2e/kg)"),'[1]Pivot Table_GHG'!$A$3,"SUB TYPE",$B271))</f>
        <v/>
      </c>
      <c r="R271" s="94">
        <f>IF($P271="PROXY",DAVERAGE('[1]literature entries'!$D:$AI,IF($J271=1,"ACTIVE     GHGE, FARM GATE (kg CO2e/kg)","GHGE, processor gate (kg CO2e/kg)"),INDIRECT($K271)),GETPIVOTDATA(IF($J271=1,"Average of ACTIVE     GHGE, FARM GATE (kg CO2e/kg)","Average of GHGE, processor gate (kg CO2e/kg)"),'[1]Pivot Table_GHG'!$A$3,"SUB TYPE",$B271))</f>
        <v/>
      </c>
      <c r="S271" s="94">
        <f>IF($P271="PROXY",DSTDEV('[1]literature entries'!$D:$AI,IF($J271=1,"ACTIVE     GHGE, FARM GATE (kg CO2e/kg)","GHGE, processor gate (kg CO2e/kg)"),INDIRECT($K271)),GETPIVOTDATA(IF($J271=1,"StdDev of ACTIVE     GHGE, FARM GATE (kg CO2e/kg)","StdDev of GHGE, processor gate (kg CO2e/kg)"),'[1]Pivot Table_GHG'!$A$3,"SUB TYPE",$B271))</f>
        <v/>
      </c>
      <c r="T271" s="105" t="n"/>
      <c r="U271" s="106" t="n"/>
      <c r="V271" s="97" t="n"/>
      <c r="W271" s="98">
        <f>IF(L271="PROXY",IF(M271&gt;=5,K271,"need group"),IF(M271&gt;=5,"DIRECT","need group"))</f>
        <v/>
      </c>
      <c r="X271" s="98">
        <f>IF($W271="DIRECT",M271,DCOUNT('[1]literature entries'!$D:$AI,IF($J271=1,"ACTIVE     CED, FARM GATE (MJ/kg)","CED, processor gate (MJ/kg)"),INDIRECT($W271)))</f>
        <v/>
      </c>
      <c r="Y271" s="98">
        <f>IF($W271="DIRECT","",DAVERAGE('[1]literature entries'!$D:$AI,IF($J271=1,"ACTIVE     CED, FARM GATE (MJ/kg)","CED, processor gate (MJ/kg)"),INDIRECT($W271)))</f>
        <v/>
      </c>
      <c r="Z271" s="98">
        <f>IF($W271="DIRECT",$O271,DSTDEV('[1]literature entries'!$D:$AI,IF($J271=1,"ACTIVE     CED, FARM GATE (MJ/kg)","CED, processor gate (MJ/kg)"),INDIRECT($W271)))</f>
        <v/>
      </c>
      <c r="AA271" s="98">
        <f>IF($W271="DIRECT",$O271,$Z271/$Y271*$N271)</f>
        <v/>
      </c>
      <c r="AB271" s="99" t="inlineStr">
        <is>
          <t>banana</t>
        </is>
      </c>
      <c r="AC271" s="99">
        <f>IF($AB271="DIRECT",Q271,DCOUNT('[1]literature entries'!$D:$AI,IF($J271=1,"ACTIVE     GHGE, FARM GATE (kg CO2e/kg)","GHGE, processor gate (kg CO2e/kg)"),INDIRECT($AB271)))</f>
        <v/>
      </c>
      <c r="AD271" s="99">
        <f>IF($AB271="DIRECT","",DAVERAGE('[1]literature entries'!$D:$AI,IF($J271=1,"ACTIVE     GHGE, FARM GATE (kg CO2e/kg)","GHGE, processor gate (kg CO2e/kg)"),INDIRECT($AB271)))</f>
        <v/>
      </c>
      <c r="AE271" s="99">
        <f>IF($AB271="DIRECT",$S271,DSTDEV('[1]literature entries'!$D:$AI,IF($J271=1,"ACTIVE     GHGE, FARM GATE (kg CO2e/kg)","GHGE, processor gate (kg CO2e/kg)"),INDIRECT($AB271)))</f>
        <v/>
      </c>
      <c r="AF271" s="99">
        <f>IF($AB271="DIRECT",$S271,$AE271/$AD271*$R271)</f>
        <v/>
      </c>
    </row>
    <row r="272" ht="15.75" customHeight="1" s="201">
      <c r="A272" s="100" t="n">
        <v>2402284000</v>
      </c>
      <c r="B272" s="101" t="inlineStr">
        <is>
          <t>Plantain, dried</t>
        </is>
      </c>
      <c r="C272" s="101" t="inlineStr">
        <is>
          <t>weight of dried pulp only</t>
        </is>
      </c>
      <c r="D272" s="101" t="n"/>
      <c r="E272" s="101" t="n">
        <v>12</v>
      </c>
      <c r="F272" s="84">
        <f>N272*H272+T272</f>
        <v/>
      </c>
      <c r="G272" s="85">
        <f>R272*H272+U272</f>
        <v/>
      </c>
      <c r="H272" s="102" t="n">
        <v>3.157</v>
      </c>
      <c r="I272" s="103" t="inlineStr">
        <is>
          <t>FICRCD</t>
        </is>
      </c>
      <c r="J272" s="104" t="n">
        <v>1</v>
      </c>
      <c r="K272" s="89" t="inlineStr">
        <is>
          <t>banana</t>
        </is>
      </c>
      <c r="L272" s="90">
        <f>IF(ISERROR(GETPIVOTDATA(IF($J272=1,"Count of ACTIVE     CED, FARM GATE (MJ/kg)","Count of CED, processor gate (MJ/kg)"),'[1]Pivot Table_CED'!$A$3,"SUB TYPE",$B272)),"PROXY",IF(GETPIVOTDATA(IF($J272=1,"Count of ACTIVE     CED, FARM GATE (MJ/kg)","Count of CED, processor gate (MJ/kg)"),'[1]Pivot Table_CED'!$A$3,"SUB TYPE",$B272)=0,"PROXY","DB value"))</f>
        <v/>
      </c>
      <c r="M272" s="91">
        <f>IF($L272="PROXY",DCOUNT('[1]literature entries'!$D:$AI,IF($J272=1,"ACTIVE     CED, FARM GATE (MJ/kg)","CED, processor gate (MJ/kg)"),INDIRECT($K272)),GETPIVOTDATA(IF($J272=1,"Count of ACTIVE     CED, FARM GATE (MJ/kg)","Count of CED, processor gate (MJ/kg)"),'[1]Pivot Table_CED'!$A$3,"SUB TYPE",$B272))</f>
        <v/>
      </c>
      <c r="N272" s="92">
        <f>IF($L272="PROXY",DAVERAGE('[1]literature entries'!$D:$AI,IF($J272=1,"ACTIVE     CED, FARM GATE (MJ/kg)","CED, processor gate (MJ/kg)"),INDIRECT($K272)),GETPIVOTDATA(IF($J272=1,"Average of ACTIVE     CED, FARM GATE (MJ/kg)","Average of CED, processor gate (MJ/kg)"),'[1]Pivot Table_CED'!$A$3,"SUB TYPE",$B272))</f>
        <v/>
      </c>
      <c r="O272" s="92">
        <f>IF($L272="PROXY",DSTDEV('[1]literature entries'!D:AI,IF($J272=1,"ACTIVE     CED, FARM GATE (MJ/kg)","CED, processor gate (MJ/kg)"),INDIRECT($K272)),GETPIVOTDATA(IF($J272=1,"StdDev of ACTIVE     CED, FARM GATE (MJ/kg)","StdDev of CED, processor gate (MJ/kg)"),'[1]Pivot Table_CED'!$A$3,"SUB TYPE",$B272))</f>
        <v/>
      </c>
      <c r="P272" s="90">
        <f>IF(ISERROR(GETPIVOTDATA(IF($J272=1,"Count of ACTIVE     GHGE, FARM GATE (kg CO2e/kg)","Count of GHGE, processor gate (kg CO2e/kg)"),'[1]Pivot Table_GHG'!$A$3,"SUB TYPE",$B272)),"PROXY",IF(GETPIVOTDATA(IF($J272=1,"Count of ACTIVE     GHGE, FARM GATE (kg CO2e/kg)","Count of GHGE, processor gate (kg CO2e/kg)"),'[1]Pivot Table_GHG'!$A$3,"SUB TYPE",$B272)=0,"PROXY","DB value"))</f>
        <v/>
      </c>
      <c r="Q272" s="93">
        <f>IF($P272="PROXY",DCOUNT('[1]literature entries'!$D:$AI,IF($J272=1,"ACTIVE     GHGE, FARM GATE (kg CO2e/kg)","GHGE, processor gate (kg CO2e/kg)"),INDIRECT($K272)),GETPIVOTDATA(IF($J272=1,"ACTIVE     GHGE, FARM GATE (kg CO2e/kg)","Count of GHGE, processor gate (kg CO2e/kg)"),'[1]Pivot Table_GHG'!$A$3,"SUB TYPE",$B272))</f>
        <v/>
      </c>
      <c r="R272" s="94">
        <f>IF($P272="PROXY",DAVERAGE('[1]literature entries'!$D:$AI,IF($J272=1,"ACTIVE     GHGE, FARM GATE (kg CO2e/kg)","GHGE, processor gate (kg CO2e/kg)"),INDIRECT($K272)),GETPIVOTDATA(IF($J272=1,"Average of ACTIVE     GHGE, FARM GATE (kg CO2e/kg)","Average of GHGE, processor gate (kg CO2e/kg)"),'[1]Pivot Table_GHG'!$A$3,"SUB TYPE",$B272))</f>
        <v/>
      </c>
      <c r="S272" s="94">
        <f>IF($P272="PROXY",DSTDEV('[1]literature entries'!$D:$AI,IF($J272=1,"ACTIVE     GHGE, FARM GATE (kg CO2e/kg)","GHGE, processor gate (kg CO2e/kg)"),INDIRECT($K272)),GETPIVOTDATA(IF($J272=1,"StdDev of ACTIVE     GHGE, FARM GATE (kg CO2e/kg)","StdDev of GHGE, processor gate (kg CO2e/kg)"),'[1]Pivot Table_GHG'!$A$3,"SUB TYPE",$B272))</f>
        <v/>
      </c>
      <c r="T272" s="105" t="n"/>
      <c r="U272" s="106" t="n"/>
      <c r="V272" s="97" t="n"/>
      <c r="W272" s="98">
        <f>IF(L272="PROXY",IF(M272&gt;=5,K272,"need group"),IF(M272&gt;=5,"DIRECT","need group"))</f>
        <v/>
      </c>
      <c r="X272" s="98">
        <f>IF($W272="DIRECT",M272,DCOUNT('[1]literature entries'!$D:$AI,IF($J272=1,"ACTIVE     CED, FARM GATE (MJ/kg)","CED, processor gate (MJ/kg)"),INDIRECT($W272)))</f>
        <v/>
      </c>
      <c r="Y272" s="98">
        <f>IF($W272="DIRECT","",DAVERAGE('[1]literature entries'!$D:$AI,IF($J272=1,"ACTIVE     CED, FARM GATE (MJ/kg)","CED, processor gate (MJ/kg)"),INDIRECT($W272)))</f>
        <v/>
      </c>
      <c r="Z272" s="98">
        <f>IF($W272="DIRECT",$O272,DSTDEV('[1]literature entries'!$D:$AI,IF($J272=1,"ACTIVE     CED, FARM GATE (MJ/kg)","CED, processor gate (MJ/kg)"),INDIRECT($W272)))</f>
        <v/>
      </c>
      <c r="AA272" s="98">
        <f>IF($W272="DIRECT",$O272,$Z272/$Y272*$N272)</f>
        <v/>
      </c>
      <c r="AB272" s="99">
        <f>IF(P272="PROXY",IF(Q272&gt;=5,K272,"need group"),IF(Q272&gt;=5,"DIRECT","need group"))</f>
        <v/>
      </c>
      <c r="AC272" s="99">
        <f>IF($AB272="DIRECT",Q272,DCOUNT('[1]literature entries'!$D:$AI,IF($J272=1,"ACTIVE     GHGE, FARM GATE (kg CO2e/kg)","GHGE, processor gate (kg CO2e/kg)"),INDIRECT($AB272)))</f>
        <v/>
      </c>
      <c r="AD272" s="99">
        <f>IF($AB272="DIRECT","",DAVERAGE('[1]literature entries'!$D:$AI,IF($J272=1,"ACTIVE     GHGE, FARM GATE (kg CO2e/kg)","GHGE, processor gate (kg CO2e/kg)"),INDIRECT($AB272)))</f>
        <v/>
      </c>
      <c r="AE272" s="99">
        <f>IF($AB272="DIRECT",$S272,DSTDEV('[1]literature entries'!$D:$AI,IF($J272=1,"ACTIVE     GHGE, FARM GATE (kg CO2e/kg)","GHGE, processor gate (kg CO2e/kg)"),INDIRECT($AB272)))</f>
        <v/>
      </c>
      <c r="AF272" s="99">
        <f>IF($AB272="DIRECT",$S272,$AE272/$AD272*$R272)</f>
        <v/>
      </c>
    </row>
    <row r="273" ht="15.75" customHeight="1" s="201">
      <c r="A273" s="100" t="n">
        <v>2402289000</v>
      </c>
      <c r="B273" s="101" t="inlineStr">
        <is>
          <t>Pomegranate</t>
        </is>
      </c>
      <c r="C273" s="101" t="inlineStr">
        <is>
          <t>weight of pulp; excluding peel and seeds</t>
        </is>
      </c>
      <c r="D273" s="101" t="inlineStr">
        <is>
          <t>Seeds are usually not consumed.</t>
        </is>
      </c>
      <c r="E273" s="101" t="n">
        <v>39</v>
      </c>
      <c r="F273" s="84">
        <f>N273*H273+T273</f>
        <v/>
      </c>
      <c r="G273" s="85">
        <f>R273*H273+U273</f>
        <v/>
      </c>
      <c r="H273" s="102" t="n">
        <v>1.79</v>
      </c>
      <c r="I273" s="103" t="inlineStr">
        <is>
          <t>FICRCD</t>
        </is>
      </c>
      <c r="J273" s="104" t="n">
        <v>1</v>
      </c>
      <c r="K273" s="89" t="inlineStr">
        <is>
          <t>tree_fruit</t>
        </is>
      </c>
      <c r="L273" s="90">
        <f>IF(ISERROR(GETPIVOTDATA(IF($J273=1,"Count of ACTIVE     CED, FARM GATE (MJ/kg)","Count of CED, processor gate (MJ/kg)"),'[1]Pivot Table_CED'!$A$3,"SUB TYPE",$B273)),"PROXY",IF(GETPIVOTDATA(IF($J273=1,"Count of ACTIVE     CED, FARM GATE (MJ/kg)","Count of CED, processor gate (MJ/kg)"),'[1]Pivot Table_CED'!$A$3,"SUB TYPE",$B273)=0,"PROXY","DB value"))</f>
        <v/>
      </c>
      <c r="M273" s="91">
        <f>IF($L273="PROXY",DCOUNT('[1]literature entries'!$D:$AI,IF($J273=1,"ACTIVE     CED, FARM GATE (MJ/kg)","CED, processor gate (MJ/kg)"),INDIRECT($K273)),GETPIVOTDATA(IF($J273=1,"Count of ACTIVE     CED, FARM GATE (MJ/kg)","Count of CED, processor gate (MJ/kg)"),'[1]Pivot Table_CED'!$A$3,"SUB TYPE",$B273))</f>
        <v/>
      </c>
      <c r="N273" s="92">
        <f>IF($L273="PROXY",DAVERAGE('[1]literature entries'!$D:$AI,IF($J273=1,"ACTIVE     CED, FARM GATE (MJ/kg)","CED, processor gate (MJ/kg)"),INDIRECT($K273)),GETPIVOTDATA(IF($J273=1,"Average of ACTIVE     CED, FARM GATE (MJ/kg)","Average of CED, processor gate (MJ/kg)"),'[1]Pivot Table_CED'!$A$3,"SUB TYPE",$B273))</f>
        <v/>
      </c>
      <c r="O273" s="92">
        <f>IF($L273="PROXY",DSTDEV('[1]literature entries'!D:AI,IF($J273=1,"ACTIVE     CED, FARM GATE (MJ/kg)","CED, processor gate (MJ/kg)"),INDIRECT($K273)),GETPIVOTDATA(IF($J273=1,"StdDev of ACTIVE     CED, FARM GATE (MJ/kg)","StdDev of CED, processor gate (MJ/kg)"),'[1]Pivot Table_CED'!$A$3,"SUB TYPE",$B273))</f>
        <v/>
      </c>
      <c r="P273" s="90">
        <f>IF(ISERROR(GETPIVOTDATA(IF($J273=1,"Count of ACTIVE     GHGE, FARM GATE (kg CO2e/kg)","Count of GHGE, processor gate (kg CO2e/kg)"),'[1]Pivot Table_GHG'!$A$3,"SUB TYPE",$B273)),"PROXY",IF(GETPIVOTDATA(IF($J273=1,"Count of ACTIVE     GHGE, FARM GATE (kg CO2e/kg)","Count of GHGE, processor gate (kg CO2e/kg)"),'[1]Pivot Table_GHG'!$A$3,"SUB TYPE",$B273)=0,"PROXY","DB value"))</f>
        <v/>
      </c>
      <c r="Q273" s="93">
        <f>IF($P273="PROXY",DCOUNT('[1]literature entries'!$D:$AI,IF($J273=1,"ACTIVE     GHGE, FARM GATE (kg CO2e/kg)","GHGE, processor gate (kg CO2e/kg)"),INDIRECT($K273)),GETPIVOTDATA(IF($J273=1,"ACTIVE     GHGE, FARM GATE (kg CO2e/kg)","Count of GHGE, processor gate (kg CO2e/kg)"),'[1]Pivot Table_GHG'!$A$3,"SUB TYPE",$B273))</f>
        <v/>
      </c>
      <c r="R273" s="94">
        <f>IF($P273="PROXY",DAVERAGE('[1]literature entries'!$D:$AI,IF($J273=1,"ACTIVE     GHGE, FARM GATE (kg CO2e/kg)","GHGE, processor gate (kg CO2e/kg)"),INDIRECT($K273)),GETPIVOTDATA(IF($J273=1,"Average of ACTIVE     GHGE, FARM GATE (kg CO2e/kg)","Average of GHGE, processor gate (kg CO2e/kg)"),'[1]Pivot Table_GHG'!$A$3,"SUB TYPE",$B273))</f>
        <v/>
      </c>
      <c r="S273" s="94">
        <f>IF($P273="PROXY",DSTDEV('[1]literature entries'!$D:$AI,IF($J273=1,"ACTIVE     GHGE, FARM GATE (kg CO2e/kg)","GHGE, processor gate (kg CO2e/kg)"),INDIRECT($K273)),GETPIVOTDATA(IF($J273=1,"StdDev of ACTIVE     GHGE, FARM GATE (kg CO2e/kg)","StdDev of GHGE, processor gate (kg CO2e/kg)"),'[1]Pivot Table_GHG'!$A$3,"SUB TYPE",$B273))</f>
        <v/>
      </c>
      <c r="T273" s="105" t="n"/>
      <c r="U273" s="106" t="n"/>
      <c r="V273" s="97" t="n"/>
      <c r="W273" s="98">
        <f>IF(L273="PROXY",IF(M273&gt;=5,K273,"need group"),IF(M273&gt;=5,"DIRECT","need group"))</f>
        <v/>
      </c>
      <c r="X273" s="98">
        <f>IF($W273="DIRECT",M273,DCOUNT('[1]literature entries'!$D:$AI,IF($J273=1,"ACTIVE     CED, FARM GATE (MJ/kg)","CED, processor gate (MJ/kg)"),INDIRECT($W273)))</f>
        <v/>
      </c>
      <c r="Y273" s="98">
        <f>IF($W273="DIRECT","",DAVERAGE('[1]literature entries'!$D:$AI,IF($J273=1,"ACTIVE     CED, FARM GATE (MJ/kg)","CED, processor gate (MJ/kg)"),INDIRECT($W273)))</f>
        <v/>
      </c>
      <c r="Z273" s="98">
        <f>IF($W273="DIRECT",$O273,DSTDEV('[1]literature entries'!$D:$AI,IF($J273=1,"ACTIVE     CED, FARM GATE (MJ/kg)","CED, processor gate (MJ/kg)"),INDIRECT($W273)))</f>
        <v/>
      </c>
      <c r="AA273" s="98">
        <f>IF($W273="DIRECT",$O273,$Z273/$Y273*$N273)</f>
        <v/>
      </c>
      <c r="AB273" s="99">
        <f>IF(P273="PROXY",IF(Q273&gt;=5,K273,"need group"),IF(Q273&gt;=5,"DIRECT","need group"))</f>
        <v/>
      </c>
      <c r="AC273" s="99">
        <f>IF($AB273="DIRECT",Q273,DCOUNT('[1]literature entries'!$D:$AI,IF($J273=1,"ACTIVE     GHGE, FARM GATE (kg CO2e/kg)","GHGE, processor gate (kg CO2e/kg)"),INDIRECT($AB273)))</f>
        <v/>
      </c>
      <c r="AD273" s="99">
        <f>IF($AB273="DIRECT","",DAVERAGE('[1]literature entries'!$D:$AI,IF($J273=1,"ACTIVE     GHGE, FARM GATE (kg CO2e/kg)","GHGE, processor gate (kg CO2e/kg)"),INDIRECT($AB273)))</f>
        <v/>
      </c>
      <c r="AE273" s="99">
        <f>IF($AB273="DIRECT",$S273,DSTDEV('[1]literature entries'!$D:$AI,IF($J273=1,"ACTIVE     GHGE, FARM GATE (kg CO2e/kg)","GHGE, processor gate (kg CO2e/kg)"),INDIRECT($AB273)))</f>
        <v/>
      </c>
      <c r="AF273" s="99">
        <f>IF($AB273="DIRECT",$S273,$AE273/$AD273*$R273)</f>
        <v/>
      </c>
    </row>
    <row r="274" ht="15.75" customHeight="1" s="201">
      <c r="A274" s="100" t="n">
        <v>2402290000</v>
      </c>
      <c r="B274" s="101" t="inlineStr">
        <is>
          <t>Pomegranate, juice</t>
        </is>
      </c>
      <c r="C274" s="101" t="inlineStr">
        <is>
          <t>N/A - Does not exist in "commodity vocabulary" weight basis file in current or previous release</t>
        </is>
      </c>
      <c r="D274" s="101" t="inlineStr">
        <is>
          <t>#N/A</t>
        </is>
      </c>
      <c r="E274" s="101" t="n">
        <v>41</v>
      </c>
      <c r="F274" s="84">
        <f>N274*H274+T274</f>
        <v/>
      </c>
      <c r="G274" s="85">
        <f>R274*H274+U274</f>
        <v/>
      </c>
      <c r="H274" s="102" t="n">
        <v>3.58</v>
      </c>
      <c r="I274" s="103" t="inlineStr">
        <is>
          <t>FICRCD</t>
        </is>
      </c>
      <c r="J274" s="104" t="n">
        <v>1</v>
      </c>
      <c r="K274" s="89" t="inlineStr">
        <is>
          <t>tree_fruit</t>
        </is>
      </c>
      <c r="L274" s="90">
        <f>IF(ISERROR(GETPIVOTDATA(IF($J274=1,"Count of ACTIVE     CED, FARM GATE (MJ/kg)","Count of CED, processor gate (MJ/kg)"),'[1]Pivot Table_CED'!$A$3,"SUB TYPE",$B274)),"PROXY",IF(GETPIVOTDATA(IF($J274=1,"Count of ACTIVE     CED, FARM GATE (MJ/kg)","Count of CED, processor gate (MJ/kg)"),'[1]Pivot Table_CED'!$A$3,"SUB TYPE",$B274)=0,"PROXY","DB value"))</f>
        <v/>
      </c>
      <c r="M274" s="91">
        <f>IF($L274="PROXY",DCOUNT('[1]literature entries'!$D:$AI,IF($J274=1,"ACTIVE     CED, FARM GATE (MJ/kg)","CED, processor gate (MJ/kg)"),INDIRECT($K274)),GETPIVOTDATA(IF($J274=1,"Count of ACTIVE     CED, FARM GATE (MJ/kg)","Count of CED, processor gate (MJ/kg)"),'[1]Pivot Table_CED'!$A$3,"SUB TYPE",$B274))</f>
        <v/>
      </c>
      <c r="N274" s="92">
        <f>IF($L274="PROXY",DAVERAGE('[1]literature entries'!$D:$AI,IF($J274=1,"ACTIVE     CED, FARM GATE (MJ/kg)","CED, processor gate (MJ/kg)"),INDIRECT($K274)),GETPIVOTDATA(IF($J274=1,"Average of ACTIVE     CED, FARM GATE (MJ/kg)","Average of CED, processor gate (MJ/kg)"),'[1]Pivot Table_CED'!$A$3,"SUB TYPE",$B274))</f>
        <v/>
      </c>
      <c r="O274" s="92">
        <f>IF($L274="PROXY",DSTDEV('[1]literature entries'!D:AI,IF($J274=1,"ACTIVE     CED, FARM GATE (MJ/kg)","CED, processor gate (MJ/kg)"),INDIRECT($K274)),GETPIVOTDATA(IF($J274=1,"StdDev of ACTIVE     CED, FARM GATE (MJ/kg)","StdDev of CED, processor gate (MJ/kg)"),'[1]Pivot Table_CED'!$A$3,"SUB TYPE",$B274))</f>
        <v/>
      </c>
      <c r="P274" s="90">
        <f>IF(ISERROR(GETPIVOTDATA(IF($J274=1,"Count of ACTIVE     GHGE, FARM GATE (kg CO2e/kg)","Count of GHGE, processor gate (kg CO2e/kg)"),'[1]Pivot Table_GHG'!$A$3,"SUB TYPE",$B274)),"PROXY",IF(GETPIVOTDATA(IF($J274=1,"Count of ACTIVE     GHGE, FARM GATE (kg CO2e/kg)","Count of GHGE, processor gate (kg CO2e/kg)"),'[1]Pivot Table_GHG'!$A$3,"SUB TYPE",$B274)=0,"PROXY","DB value"))</f>
        <v/>
      </c>
      <c r="Q274" s="93">
        <f>IF($P274="PROXY",DCOUNT('[1]literature entries'!$D:$AI,IF($J274=1,"ACTIVE     GHGE, FARM GATE (kg CO2e/kg)","GHGE, processor gate (kg CO2e/kg)"),INDIRECT($K274)),GETPIVOTDATA(IF($J274=1,"ACTIVE     GHGE, FARM GATE (kg CO2e/kg)","Count of GHGE, processor gate (kg CO2e/kg)"),'[1]Pivot Table_GHG'!$A$3,"SUB TYPE",$B274))</f>
        <v/>
      </c>
      <c r="R274" s="94">
        <f>IF($P274="PROXY",DAVERAGE('[1]literature entries'!$D:$AI,IF($J274=1,"ACTIVE     GHGE, FARM GATE (kg CO2e/kg)","GHGE, processor gate (kg CO2e/kg)"),INDIRECT($K274)),GETPIVOTDATA(IF($J274=1,"Average of ACTIVE     GHGE, FARM GATE (kg CO2e/kg)","Average of GHGE, processor gate (kg CO2e/kg)"),'[1]Pivot Table_GHG'!$A$3,"SUB TYPE",$B274))</f>
        <v/>
      </c>
      <c r="S274" s="94">
        <f>IF($P274="PROXY",DSTDEV('[1]literature entries'!$D:$AI,IF($J274=1,"ACTIVE     GHGE, FARM GATE (kg CO2e/kg)","GHGE, processor gate (kg CO2e/kg)"),INDIRECT($K274)),GETPIVOTDATA(IF($J274=1,"StdDev of ACTIVE     GHGE, FARM GATE (kg CO2e/kg)","StdDev of GHGE, processor gate (kg CO2e/kg)"),'[1]Pivot Table_GHG'!$A$3,"SUB TYPE",$B274))</f>
        <v/>
      </c>
      <c r="T274" s="107" t="n">
        <v>5.282</v>
      </c>
      <c r="U274" s="108" t="n">
        <v>0.9790791260799999</v>
      </c>
      <c r="V274" s="97" t="n"/>
      <c r="W274" s="98">
        <f>IF(L274="PROXY",IF(M274&gt;=5,K274,"need group"),IF(M274&gt;=5,"DIRECT","need group"))</f>
        <v/>
      </c>
      <c r="X274" s="98">
        <f>IF($W274="DIRECT",M274,DCOUNT('[1]literature entries'!$D:$AI,IF($J274=1,"ACTIVE     CED, FARM GATE (MJ/kg)","CED, processor gate (MJ/kg)"),INDIRECT($W274)))</f>
        <v/>
      </c>
      <c r="Y274" s="98">
        <f>IF($W274="DIRECT","",DAVERAGE('[1]literature entries'!$D:$AI,IF($J274=1,"ACTIVE     CED, FARM GATE (MJ/kg)","CED, processor gate (MJ/kg)"),INDIRECT($W274)))</f>
        <v/>
      </c>
      <c r="Z274" s="98">
        <f>IF($W274="DIRECT",$O274,DSTDEV('[1]literature entries'!$D:$AI,IF($J274=1,"ACTIVE     CED, FARM GATE (MJ/kg)","CED, processor gate (MJ/kg)"),INDIRECT($W274)))</f>
        <v/>
      </c>
      <c r="AA274" s="98">
        <f>IF($W274="DIRECT",$O274,$Z274/$Y274*$N274)</f>
        <v/>
      </c>
      <c r="AB274" s="99">
        <f>IF(P274="PROXY",IF(Q274&gt;=5,K274,"need group"),IF(Q274&gt;=5,"DIRECT","need group"))</f>
        <v/>
      </c>
      <c r="AC274" s="99">
        <f>IF($AB274="DIRECT",Q274,DCOUNT('[1]literature entries'!$D:$AI,IF($J274=1,"ACTIVE     GHGE, FARM GATE (kg CO2e/kg)","GHGE, processor gate (kg CO2e/kg)"),INDIRECT($AB274)))</f>
        <v/>
      </c>
      <c r="AD274" s="99">
        <f>IF($AB274="DIRECT","",DAVERAGE('[1]literature entries'!$D:$AI,IF($J274=1,"ACTIVE     GHGE, FARM GATE (kg CO2e/kg)","GHGE, processor gate (kg CO2e/kg)"),INDIRECT($AB274)))</f>
        <v/>
      </c>
      <c r="AE274" s="99">
        <f>IF($AB274="DIRECT",$S274,DSTDEV('[1]literature entries'!$D:$AI,IF($J274=1,"ACTIVE     GHGE, FARM GATE (kg CO2e/kg)","GHGE, processor gate (kg CO2e/kg)"),INDIRECT($AB274)))</f>
        <v/>
      </c>
      <c r="AF274" s="99">
        <f>IF($AB274="DIRECT",$S274,$AE274/$AD274*$R274)</f>
        <v/>
      </c>
    </row>
    <row r="275" ht="15.75" customHeight="1" s="201">
      <c r="A275" s="100" t="n">
        <v>2403060000</v>
      </c>
      <c r="B275" s="101" t="inlineStr">
        <is>
          <t>Breadfruit</t>
        </is>
      </c>
      <c r="C275" s="101" t="inlineStr">
        <is>
          <t>weight of pulp; excluding peel</t>
        </is>
      </c>
      <c r="D275" s="101" t="n"/>
      <c r="E275" s="101" t="n">
        <v>1</v>
      </c>
      <c r="F275" s="84">
        <f>N275*H275+T275</f>
        <v/>
      </c>
      <c r="G275" s="85">
        <f>R275*H275+U275</f>
        <v/>
      </c>
      <c r="H275" s="102" t="n">
        <v>1.28</v>
      </c>
      <c r="I275" s="102" t="inlineStr">
        <is>
          <t>FICRCD</t>
        </is>
      </c>
      <c r="J275" s="104" t="n">
        <v>1</v>
      </c>
      <c r="K275" s="89" t="inlineStr">
        <is>
          <t>tropical_fruit</t>
        </is>
      </c>
      <c r="L275" s="90">
        <f>IF(ISERROR(GETPIVOTDATA(IF($J275=1,"Count of ACTIVE     CED, FARM GATE (MJ/kg)","Count of CED, processor gate (MJ/kg)"),'[1]Pivot Table_CED'!$A$3,"SUB TYPE",$B275)),"PROXY",IF(GETPIVOTDATA(IF($J275=1,"Count of ACTIVE     CED, FARM GATE (MJ/kg)","Count of CED, processor gate (MJ/kg)"),'[1]Pivot Table_CED'!$A$3,"SUB TYPE",$B275)=0,"PROXY","DB value"))</f>
        <v/>
      </c>
      <c r="M275" s="91">
        <f>IF($L275="PROXY",DCOUNT('[1]literature entries'!$D:$AI,IF($J275=1,"ACTIVE     CED, FARM GATE (MJ/kg)","CED, processor gate (MJ/kg)"),INDIRECT($K275)),GETPIVOTDATA(IF($J275=1,"Count of ACTIVE     CED, FARM GATE (MJ/kg)","Count of CED, processor gate (MJ/kg)"),'[1]Pivot Table_CED'!$A$3,"SUB TYPE",$B275))</f>
        <v/>
      </c>
      <c r="N275" s="92">
        <f>IF($L275="PROXY",DAVERAGE('[1]literature entries'!$D:$AI,IF($J275=1,"ACTIVE     CED, FARM GATE (MJ/kg)","CED, processor gate (MJ/kg)"),INDIRECT($K275)),GETPIVOTDATA(IF($J275=1,"Average of ACTIVE     CED, FARM GATE (MJ/kg)","Average of CED, processor gate (MJ/kg)"),'[1]Pivot Table_CED'!$A$3,"SUB TYPE",$B275))</f>
        <v/>
      </c>
      <c r="O275" s="92">
        <f>IF($L275="PROXY",DSTDEV('[1]literature entries'!D:AI,IF($J275=1,"ACTIVE     CED, FARM GATE (MJ/kg)","CED, processor gate (MJ/kg)"),INDIRECT($K275)),GETPIVOTDATA(IF($J275=1,"StdDev of ACTIVE     CED, FARM GATE (MJ/kg)","StdDev of CED, processor gate (MJ/kg)"),'[1]Pivot Table_CED'!$A$3,"SUB TYPE",$B275))</f>
        <v/>
      </c>
      <c r="P275" s="90">
        <f>IF(ISERROR(GETPIVOTDATA(IF($J275=1,"Count of ACTIVE     GHGE, FARM GATE (kg CO2e/kg)","Count of GHGE, processor gate (kg CO2e/kg)"),'[1]Pivot Table_GHG'!$A$3,"SUB TYPE",$B275)),"PROXY",IF(GETPIVOTDATA(IF($J275=1,"Count of ACTIVE     GHGE, FARM GATE (kg CO2e/kg)","Count of GHGE, processor gate (kg CO2e/kg)"),'[1]Pivot Table_GHG'!$A$3,"SUB TYPE",$B275)=0,"PROXY","DB value"))</f>
        <v/>
      </c>
      <c r="Q275" s="93">
        <f>IF($P275="PROXY",DCOUNT('[1]literature entries'!$D:$AI,IF($J275=1,"ACTIVE     GHGE, FARM GATE (kg CO2e/kg)","GHGE, processor gate (kg CO2e/kg)"),INDIRECT($K275)),GETPIVOTDATA(IF($J275=1,"ACTIVE     GHGE, FARM GATE (kg CO2e/kg)","Count of GHGE, processor gate (kg CO2e/kg)"),'[1]Pivot Table_GHG'!$A$3,"SUB TYPE",$B275))</f>
        <v/>
      </c>
      <c r="R275" s="94">
        <f>IF($P275="PROXY",DAVERAGE('[1]literature entries'!$D:$AI,IF($J275=1,"ACTIVE     GHGE, FARM GATE (kg CO2e/kg)","GHGE, processor gate (kg CO2e/kg)"),INDIRECT($K275)),GETPIVOTDATA(IF($J275=1,"Average of ACTIVE     GHGE, FARM GATE (kg CO2e/kg)","Average of GHGE, processor gate (kg CO2e/kg)"),'[1]Pivot Table_GHG'!$A$3,"SUB TYPE",$B275))</f>
        <v/>
      </c>
      <c r="S275" s="94">
        <f>IF($P275="PROXY",DSTDEV('[1]literature entries'!$D:$AI,IF($J275=1,"ACTIVE     GHGE, FARM GATE (kg CO2e/kg)","GHGE, processor gate (kg CO2e/kg)"),INDIRECT($K275)),GETPIVOTDATA(IF($J275=1,"StdDev of ACTIVE     GHGE, FARM GATE (kg CO2e/kg)","StdDev of GHGE, processor gate (kg CO2e/kg)"),'[1]Pivot Table_GHG'!$A$3,"SUB TYPE",$B275))</f>
        <v/>
      </c>
      <c r="T275" s="105" t="n"/>
      <c r="U275" s="106" t="n"/>
      <c r="V275" s="97" t="n"/>
      <c r="W275" s="98">
        <f>IF(L275="PROXY",IF(M275&gt;=5,K275,"need group"),IF(M275&gt;=5,"DIRECT","need group"))</f>
        <v/>
      </c>
      <c r="X275" s="98">
        <f>IF($W275="DIRECT",M275,DCOUNT('[1]literature entries'!$D:$AI,IF($J275=1,"ACTIVE     CED, FARM GATE (MJ/kg)","CED, processor gate (MJ/kg)"),INDIRECT($W275)))</f>
        <v/>
      </c>
      <c r="Y275" s="98">
        <f>IF($W275="DIRECT","",DAVERAGE('[1]literature entries'!$D:$AI,IF($J275=1,"ACTIVE     CED, FARM GATE (MJ/kg)","CED, processor gate (MJ/kg)"),INDIRECT($W275)))</f>
        <v/>
      </c>
      <c r="Z275" s="98">
        <f>IF($W275="DIRECT",$O275,DSTDEV('[1]literature entries'!$D:$AI,IF($J275=1,"ACTIVE     CED, FARM GATE (MJ/kg)","CED, processor gate (MJ/kg)"),INDIRECT($W275)))</f>
        <v/>
      </c>
      <c r="AA275" s="98">
        <f>IF($W275="DIRECT",$O275,$Z275/$Y275*$N275)</f>
        <v/>
      </c>
      <c r="AB275" s="99">
        <f>IF(P275="PROXY",IF(Q275&gt;=5,K275,"need group"),IF(Q275&gt;=5,"DIRECT","need group"))</f>
        <v/>
      </c>
      <c r="AC275" s="99">
        <f>IF($AB275="DIRECT",Q275,DCOUNT('[1]literature entries'!$D:$AI,IF($J275=1,"ACTIVE     GHGE, FARM GATE (kg CO2e/kg)","GHGE, processor gate (kg CO2e/kg)"),INDIRECT($AB275)))</f>
        <v/>
      </c>
      <c r="AD275" s="99">
        <f>IF($AB275="DIRECT","",DAVERAGE('[1]literature entries'!$D:$AI,IF($J275=1,"ACTIVE     GHGE, FARM GATE (kg CO2e/kg)","GHGE, processor gate (kg CO2e/kg)"),INDIRECT($AB275)))</f>
        <v/>
      </c>
      <c r="AE275" s="99">
        <f>IF($AB275="DIRECT",$S275,DSTDEV('[1]literature entries'!$D:$AI,IF($J275=1,"ACTIVE     GHGE, FARM GATE (kg CO2e/kg)","GHGE, processor gate (kg CO2e/kg)"),INDIRECT($AB275)))</f>
        <v/>
      </c>
      <c r="AF275" s="99">
        <f>IF($AB275="DIRECT",$S275,$AE275/$AD275*$R275)</f>
        <v/>
      </c>
    </row>
    <row r="276" ht="15.75" customHeight="1" s="201">
      <c r="A276" s="100" t="n">
        <v>2403279000</v>
      </c>
      <c r="B276" s="101" t="inlineStr">
        <is>
          <t>Pineapple</t>
        </is>
      </c>
      <c r="C276" s="101" t="inlineStr">
        <is>
          <t>weight of pulp; excluding leaves and outer peel</t>
        </is>
      </c>
      <c r="D276" s="101" t="n"/>
      <c r="E276" s="101" t="n">
        <v>2681</v>
      </c>
      <c r="F276" s="84">
        <f>N276*H276+T276</f>
        <v/>
      </c>
      <c r="G276" s="85">
        <f>R276*H276+U276</f>
        <v/>
      </c>
      <c r="H276" s="102" t="n">
        <v>1.96</v>
      </c>
      <c r="I276" s="102" t="inlineStr">
        <is>
          <t>FICRCD</t>
        </is>
      </c>
      <c r="J276" s="104" t="n">
        <v>1</v>
      </c>
      <c r="K276" s="89" t="n"/>
      <c r="L276" s="90">
        <f>IF(ISERROR(GETPIVOTDATA(IF($J276=1,"Count of ACTIVE     CED, FARM GATE (MJ/kg)","Count of CED, processor gate (MJ/kg)"),'[1]Pivot Table_CED'!$A$3,"SUB TYPE",$B276)),"PROXY",IF(GETPIVOTDATA(IF($J276=1,"Count of ACTIVE     CED, FARM GATE (MJ/kg)","Count of CED, processor gate (MJ/kg)"),'[1]Pivot Table_CED'!$A$3,"SUB TYPE",$B276)=0,"PROXY","DB value"))</f>
        <v/>
      </c>
      <c r="M276" s="91">
        <f>IF($L276="PROXY",DCOUNT('[1]literature entries'!$D:$AI,IF($J276=1,"ACTIVE     CED, FARM GATE (MJ/kg)","CED, processor gate (MJ/kg)"),INDIRECT($K276)),GETPIVOTDATA(IF($J276=1,"Count of ACTIVE     CED, FARM GATE (MJ/kg)","Count of CED, processor gate (MJ/kg)"),'[1]Pivot Table_CED'!$A$3,"SUB TYPE",$B276))</f>
        <v/>
      </c>
      <c r="N276" s="92">
        <f>IF($L276="PROXY",DAVERAGE('[1]literature entries'!$D:$AI,IF($J276=1,"ACTIVE     CED, FARM GATE (MJ/kg)","CED, processor gate (MJ/kg)"),INDIRECT($K276)),GETPIVOTDATA(IF($J276=1,"Average of ACTIVE     CED, FARM GATE (MJ/kg)","Average of CED, processor gate (MJ/kg)"),'[1]Pivot Table_CED'!$A$3,"SUB TYPE",$B276))</f>
        <v/>
      </c>
      <c r="O276" s="92">
        <f>IF($L276="PROXY",DSTDEV('[1]literature entries'!D:AI,IF($J276=1,"ACTIVE     CED, FARM GATE (MJ/kg)","CED, processor gate (MJ/kg)"),INDIRECT($K276)),GETPIVOTDATA(IF($J276=1,"StdDev of ACTIVE     CED, FARM GATE (MJ/kg)","StdDev of CED, processor gate (MJ/kg)"),'[1]Pivot Table_CED'!$A$3,"SUB TYPE",$B276))</f>
        <v/>
      </c>
      <c r="P276" s="90">
        <f>IF(ISERROR(GETPIVOTDATA(IF($J276=1,"Count of ACTIVE     GHGE, FARM GATE (kg CO2e/kg)","Count of GHGE, processor gate (kg CO2e/kg)"),'[1]Pivot Table_GHG'!$A$3,"SUB TYPE",$B276)),"PROXY",IF(GETPIVOTDATA(IF($J276=1,"Count of ACTIVE     GHGE, FARM GATE (kg CO2e/kg)","Count of GHGE, processor gate (kg CO2e/kg)"),'[1]Pivot Table_GHG'!$A$3,"SUB TYPE",$B276)=0,"PROXY","DB value"))</f>
        <v/>
      </c>
      <c r="Q276" s="93">
        <f>IF($P276="PROXY",DCOUNT('[1]literature entries'!$D:$AI,IF($J276=1,"ACTIVE     GHGE, FARM GATE (kg CO2e/kg)","GHGE, processor gate (kg CO2e/kg)"),INDIRECT($K276)),GETPIVOTDATA(IF($J276=1,"ACTIVE     GHGE, FARM GATE (kg CO2e/kg)","Count of GHGE, processor gate (kg CO2e/kg)"),'[1]Pivot Table_GHG'!$A$3,"SUB TYPE",$B276))</f>
        <v/>
      </c>
      <c r="R276" s="94">
        <f>IF($P276="PROXY",DAVERAGE('[1]literature entries'!$D:$AI,IF($J276=1,"ACTIVE     GHGE, FARM GATE (kg CO2e/kg)","GHGE, processor gate (kg CO2e/kg)"),INDIRECT($K276)),GETPIVOTDATA(IF($J276=1,"Average of ACTIVE     GHGE, FARM GATE (kg CO2e/kg)","Average of GHGE, processor gate (kg CO2e/kg)"),'[1]Pivot Table_GHG'!$A$3,"SUB TYPE",$B276))</f>
        <v/>
      </c>
      <c r="S276" s="94">
        <f>IF($P276="PROXY",DSTDEV('[1]literature entries'!$D:$AI,IF($J276=1,"ACTIVE     GHGE, FARM GATE (kg CO2e/kg)","GHGE, processor gate (kg CO2e/kg)"),INDIRECT($K276)),GETPIVOTDATA(IF($J276=1,"StdDev of ACTIVE     GHGE, FARM GATE (kg CO2e/kg)","StdDev of GHGE, processor gate (kg CO2e/kg)"),'[1]Pivot Table_GHG'!$A$3,"SUB TYPE",$B276))</f>
        <v/>
      </c>
      <c r="T276" s="105" t="n"/>
      <c r="U276" s="106" t="n"/>
      <c r="V276" s="97" t="n"/>
      <c r="W276" s="98" t="inlineStr">
        <is>
          <t>tropical_fruit</t>
        </is>
      </c>
      <c r="X276" s="98">
        <f>IF($W276="DIRECT",M276,DCOUNT('[1]literature entries'!$D:$AI,IF($J276=1,"ACTIVE     CED, FARM GATE (MJ/kg)","CED, processor gate (MJ/kg)"),INDIRECT($W276)))</f>
        <v/>
      </c>
      <c r="Y276" s="98">
        <f>IF($W276="DIRECT","",DAVERAGE('[1]literature entries'!$D:$AI,IF($J276=1,"ACTIVE     CED, FARM GATE (MJ/kg)","CED, processor gate (MJ/kg)"),INDIRECT($W276)))</f>
        <v/>
      </c>
      <c r="Z276" s="98">
        <f>IF($W276="DIRECT",$O276,DSTDEV('[1]literature entries'!$D:$AI,IF($J276=1,"ACTIVE     CED, FARM GATE (MJ/kg)","CED, processor gate (MJ/kg)"),INDIRECT($W276)))</f>
        <v/>
      </c>
      <c r="AA276" s="98">
        <f>IF($W276="DIRECT",$O276,$Z276/$Y276*$N276)</f>
        <v/>
      </c>
      <c r="AB276" s="99" t="inlineStr">
        <is>
          <t>tropical_fruit</t>
        </is>
      </c>
      <c r="AC276" s="99">
        <f>IF($AB276="DIRECT",Q276,DCOUNT('[1]literature entries'!$D:$AI,IF($J276=1,"ACTIVE     GHGE, FARM GATE (kg CO2e/kg)","GHGE, processor gate (kg CO2e/kg)"),INDIRECT($AB276)))</f>
        <v/>
      </c>
      <c r="AD276" s="99">
        <f>IF($AB276="DIRECT","",DAVERAGE('[1]literature entries'!$D:$AI,IF($J276=1,"ACTIVE     GHGE, FARM GATE (kg CO2e/kg)","GHGE, processor gate (kg CO2e/kg)"),INDIRECT($AB276)))</f>
        <v/>
      </c>
      <c r="AE276" s="99">
        <f>IF($AB276="DIRECT",$S276,DSTDEV('[1]literature entries'!$D:$AI,IF($J276=1,"ACTIVE     GHGE, FARM GATE (kg CO2e/kg)","GHGE, processor gate (kg CO2e/kg)"),INDIRECT($AB276)))</f>
        <v/>
      </c>
      <c r="AF276" s="99">
        <f>IF($AB276="DIRECT",$S276,$AE276/$AD276*$R276)</f>
        <v/>
      </c>
    </row>
    <row r="277" ht="15.75" customHeight="1" s="201">
      <c r="A277" s="100" t="n">
        <v>2403280000</v>
      </c>
      <c r="B277" s="101" t="inlineStr">
        <is>
          <t>Pineapple, dried</t>
        </is>
      </c>
      <c r="C277" s="101" t="inlineStr">
        <is>
          <t>weight of dried pulp only</t>
        </is>
      </c>
      <c r="D277" s="101" t="n"/>
      <c r="E277" s="101" t="n">
        <v>125</v>
      </c>
      <c r="F277" s="84">
        <f>N277*H277+T277</f>
        <v/>
      </c>
      <c r="G277" s="85">
        <f>R277*H277+U277</f>
        <v/>
      </c>
      <c r="H277" s="102" t="n">
        <v>9.699999999999999</v>
      </c>
      <c r="I277" s="103" t="inlineStr">
        <is>
          <t>FICRCD</t>
        </is>
      </c>
      <c r="J277" s="104" t="n">
        <v>1</v>
      </c>
      <c r="K277" s="89" t="inlineStr">
        <is>
          <t>pineapple</t>
        </is>
      </c>
      <c r="L277" s="90">
        <f>IF(ISERROR(GETPIVOTDATA(IF($J277=1,"Count of ACTIVE     CED, FARM GATE (MJ/kg)","Count of CED, processor gate (MJ/kg)"),'[1]Pivot Table_CED'!$A$3,"SUB TYPE",$B277)),"PROXY",IF(GETPIVOTDATA(IF($J277=1,"Count of ACTIVE     CED, FARM GATE (MJ/kg)","Count of CED, processor gate (MJ/kg)"),'[1]Pivot Table_CED'!$A$3,"SUB TYPE",$B277)=0,"PROXY","DB value"))</f>
        <v/>
      </c>
      <c r="M277" s="91">
        <f>IF($L277="PROXY",DCOUNT('[1]literature entries'!$D:$AI,IF($J277=1,"ACTIVE     CED, FARM GATE (MJ/kg)","CED, processor gate (MJ/kg)"),INDIRECT($K277)),GETPIVOTDATA(IF($J277=1,"Count of ACTIVE     CED, FARM GATE (MJ/kg)","Count of CED, processor gate (MJ/kg)"),'[1]Pivot Table_CED'!$A$3,"SUB TYPE",$B277))</f>
        <v/>
      </c>
      <c r="N277" s="92">
        <f>IF($L277="PROXY",DAVERAGE('[1]literature entries'!$D:$AI,IF($J277=1,"ACTIVE     CED, FARM GATE (MJ/kg)","CED, processor gate (MJ/kg)"),INDIRECT($K277)),GETPIVOTDATA(IF($J277=1,"Average of ACTIVE     CED, FARM GATE (MJ/kg)","Average of CED, processor gate (MJ/kg)"),'[1]Pivot Table_CED'!$A$3,"SUB TYPE",$B277))</f>
        <v/>
      </c>
      <c r="O277" s="92">
        <f>IF($L277="PROXY",DSTDEV('[1]literature entries'!D:AI,IF($J277=1,"ACTIVE     CED, FARM GATE (MJ/kg)","CED, processor gate (MJ/kg)"),INDIRECT($K277)),GETPIVOTDATA(IF($J277=1,"StdDev of ACTIVE     CED, FARM GATE (MJ/kg)","StdDev of CED, processor gate (MJ/kg)"),'[1]Pivot Table_CED'!$A$3,"SUB TYPE",$B277))</f>
        <v/>
      </c>
      <c r="P277" s="90">
        <f>IF(ISERROR(GETPIVOTDATA(IF($J277=1,"Count of ACTIVE     GHGE, FARM GATE (kg CO2e/kg)","Count of GHGE, processor gate (kg CO2e/kg)"),'[1]Pivot Table_GHG'!$A$3,"SUB TYPE",$B277)),"PROXY",IF(GETPIVOTDATA(IF($J277=1,"Count of ACTIVE     GHGE, FARM GATE (kg CO2e/kg)","Count of GHGE, processor gate (kg CO2e/kg)"),'[1]Pivot Table_GHG'!$A$3,"SUB TYPE",$B277)=0,"PROXY","DB value"))</f>
        <v/>
      </c>
      <c r="Q277" s="93">
        <f>IF($P277="PROXY",DCOUNT('[1]literature entries'!$D:$AI,IF($J277=1,"ACTIVE     GHGE, FARM GATE (kg CO2e/kg)","GHGE, processor gate (kg CO2e/kg)"),INDIRECT($K277)),GETPIVOTDATA(IF($J277=1,"ACTIVE     GHGE, FARM GATE (kg CO2e/kg)","Count of GHGE, processor gate (kg CO2e/kg)"),'[1]Pivot Table_GHG'!$A$3,"SUB TYPE",$B277))</f>
        <v/>
      </c>
      <c r="R277" s="94">
        <f>IF($P277="PROXY",DAVERAGE('[1]literature entries'!$D:$AI,IF($J277=1,"ACTIVE     GHGE, FARM GATE (kg CO2e/kg)","GHGE, processor gate (kg CO2e/kg)"),INDIRECT($K277)),GETPIVOTDATA(IF($J277=1,"Average of ACTIVE     GHGE, FARM GATE (kg CO2e/kg)","Average of GHGE, processor gate (kg CO2e/kg)"),'[1]Pivot Table_GHG'!$A$3,"SUB TYPE",$B277))</f>
        <v/>
      </c>
      <c r="S277" s="94">
        <f>IF($P277="PROXY",DSTDEV('[1]literature entries'!$D:$AI,IF($J277=1,"ACTIVE     GHGE, FARM GATE (kg CO2e/kg)","GHGE, processor gate (kg CO2e/kg)"),INDIRECT($K277)),GETPIVOTDATA(IF($J277=1,"StdDev of ACTIVE     GHGE, FARM GATE (kg CO2e/kg)","StdDev of GHGE, processor gate (kg CO2e/kg)"),'[1]Pivot Table_GHG'!$A$3,"SUB TYPE",$B277))</f>
        <v/>
      </c>
      <c r="T277" s="105" t="n"/>
      <c r="U277" s="106" t="n"/>
      <c r="V277" s="97" t="n"/>
      <c r="W277" s="98" t="inlineStr">
        <is>
          <t>tropical_fruit</t>
        </is>
      </c>
      <c r="X277" s="98">
        <f>IF($W277="DIRECT",M277,DCOUNT('[1]literature entries'!$D:$AI,IF($J277=1,"ACTIVE     CED, FARM GATE (MJ/kg)","CED, processor gate (MJ/kg)"),INDIRECT($W277)))</f>
        <v/>
      </c>
      <c r="Y277" s="98">
        <f>IF($W277="DIRECT","",DAVERAGE('[1]literature entries'!$D:$AI,IF($J277=1,"ACTIVE     CED, FARM GATE (MJ/kg)","CED, processor gate (MJ/kg)"),INDIRECT($W277)))</f>
        <v/>
      </c>
      <c r="Z277" s="98">
        <f>IF($W277="DIRECT",$O277,DSTDEV('[1]literature entries'!$D:$AI,IF($J277=1,"ACTIVE     CED, FARM GATE (MJ/kg)","CED, processor gate (MJ/kg)"),INDIRECT($W277)))</f>
        <v/>
      </c>
      <c r="AA277" s="98">
        <f>IF($W277="DIRECT",$O277,$Z277/$Y277*$N277)</f>
        <v/>
      </c>
      <c r="AB277" s="99" t="inlineStr">
        <is>
          <t>tropical_fruit</t>
        </is>
      </c>
      <c r="AC277" s="99">
        <f>IF($AB277="DIRECT",Q277,DCOUNT('[1]literature entries'!$D:$AI,IF($J277=1,"ACTIVE     GHGE, FARM GATE (kg CO2e/kg)","GHGE, processor gate (kg CO2e/kg)"),INDIRECT($AB277)))</f>
        <v/>
      </c>
      <c r="AD277" s="99">
        <f>IF($AB277="DIRECT","",DAVERAGE('[1]literature entries'!$D:$AI,IF($J277=1,"ACTIVE     GHGE, FARM GATE (kg CO2e/kg)","GHGE, processor gate (kg CO2e/kg)"),INDIRECT($AB277)))</f>
        <v/>
      </c>
      <c r="AE277" s="99">
        <f>IF($AB277="DIRECT",$S277,DSTDEV('[1]literature entries'!$D:$AI,IF($J277=1,"ACTIVE     GHGE, FARM GATE (kg CO2e/kg)","GHGE, processor gate (kg CO2e/kg)"),INDIRECT($AB277)))</f>
        <v/>
      </c>
      <c r="AF277" s="99">
        <f>IF($AB277="DIRECT",$S277,$AE277/$AD277*$R277)</f>
        <v/>
      </c>
    </row>
    <row r="278" ht="15.75" customHeight="1" s="201">
      <c r="A278" s="100" t="n">
        <v>2403281000</v>
      </c>
      <c r="B278" s="101" t="inlineStr">
        <is>
          <t>Pineapple, juice</t>
        </is>
      </c>
      <c r="C278" s="101" t="inlineStr">
        <is>
          <t>weight of juice at single strength (or standard dilution)</t>
        </is>
      </c>
      <c r="D278" s="101" t="n"/>
      <c r="E278" s="101" t="n">
        <v>8553</v>
      </c>
      <c r="F278" s="84">
        <f>N278*H278+T278</f>
        <v/>
      </c>
      <c r="G278" s="85">
        <f>R278*H278+U278</f>
        <v/>
      </c>
      <c r="H278" s="102" t="n">
        <v>1.88</v>
      </c>
      <c r="I278" s="103" t="inlineStr">
        <is>
          <t>FICRCD</t>
        </is>
      </c>
      <c r="J278" s="104" t="n">
        <v>1</v>
      </c>
      <c r="K278" s="89" t="inlineStr">
        <is>
          <t>pineapple</t>
        </is>
      </c>
      <c r="L278" s="90">
        <f>IF(ISERROR(GETPIVOTDATA(IF($J278=1,"Count of ACTIVE     CED, FARM GATE (MJ/kg)","Count of CED, processor gate (MJ/kg)"),'[1]Pivot Table_CED'!$A$3,"SUB TYPE",$B278)),"PROXY",IF(GETPIVOTDATA(IF($J278=1,"Count of ACTIVE     CED, FARM GATE (MJ/kg)","Count of CED, processor gate (MJ/kg)"),'[1]Pivot Table_CED'!$A$3,"SUB TYPE",$B278)=0,"PROXY","DB value"))</f>
        <v/>
      </c>
      <c r="M278" s="91">
        <f>IF($L278="PROXY",DCOUNT('[1]literature entries'!$D:$AI,IF($J278=1,"ACTIVE     CED, FARM GATE (MJ/kg)","CED, processor gate (MJ/kg)"),INDIRECT($K278)),GETPIVOTDATA(IF($J278=1,"Count of ACTIVE     CED, FARM GATE (MJ/kg)","Count of CED, processor gate (MJ/kg)"),'[1]Pivot Table_CED'!$A$3,"SUB TYPE",$B278))</f>
        <v/>
      </c>
      <c r="N278" s="92">
        <f>IF($L278="PROXY",DAVERAGE('[1]literature entries'!$D:$AI,IF($J278=1,"ACTIVE     CED, FARM GATE (MJ/kg)","CED, processor gate (MJ/kg)"),INDIRECT($K278)),GETPIVOTDATA(IF($J278=1,"Average of ACTIVE     CED, FARM GATE (MJ/kg)","Average of CED, processor gate (MJ/kg)"),'[1]Pivot Table_CED'!$A$3,"SUB TYPE",$B278))</f>
        <v/>
      </c>
      <c r="O278" s="92">
        <f>IF($L278="PROXY",DSTDEV('[1]literature entries'!D:AI,IF($J278=1,"ACTIVE     CED, FARM GATE (MJ/kg)","CED, processor gate (MJ/kg)"),INDIRECT($K278)),GETPIVOTDATA(IF($J278=1,"StdDev of ACTIVE     CED, FARM GATE (MJ/kg)","StdDev of CED, processor gate (MJ/kg)"),'[1]Pivot Table_CED'!$A$3,"SUB TYPE",$B278))</f>
        <v/>
      </c>
      <c r="P278" s="90">
        <f>IF(ISERROR(GETPIVOTDATA(IF($J278=1,"Count of ACTIVE     GHGE, FARM GATE (kg CO2e/kg)","Count of GHGE, processor gate (kg CO2e/kg)"),'[1]Pivot Table_GHG'!$A$3,"SUB TYPE",$B278)),"PROXY",IF(GETPIVOTDATA(IF($J278=1,"Count of ACTIVE     GHGE, FARM GATE (kg CO2e/kg)","Count of GHGE, processor gate (kg CO2e/kg)"),'[1]Pivot Table_GHG'!$A$3,"SUB TYPE",$B278)=0,"PROXY","DB value"))</f>
        <v/>
      </c>
      <c r="Q278" s="93">
        <f>IF($P278="PROXY",DCOUNT('[1]literature entries'!$D:$AI,IF($J278=1,"ACTIVE     GHGE, FARM GATE (kg CO2e/kg)","GHGE, processor gate (kg CO2e/kg)"),INDIRECT($K278)),GETPIVOTDATA(IF($J278=1,"ACTIVE     GHGE, FARM GATE (kg CO2e/kg)","Count of GHGE, processor gate (kg CO2e/kg)"),'[1]Pivot Table_GHG'!$A$3,"SUB TYPE",$B278))</f>
        <v/>
      </c>
      <c r="R278" s="94">
        <f>IF($P278="PROXY",DAVERAGE('[1]literature entries'!$D:$AI,IF($J278=1,"ACTIVE     GHGE, FARM GATE (kg CO2e/kg)","GHGE, processor gate (kg CO2e/kg)"),INDIRECT($K278)),GETPIVOTDATA(IF($J278=1,"Average of ACTIVE     GHGE, FARM GATE (kg CO2e/kg)","Average of GHGE, processor gate (kg CO2e/kg)"),'[1]Pivot Table_GHG'!$A$3,"SUB TYPE",$B278))</f>
        <v/>
      </c>
      <c r="S278" s="94">
        <f>IF($P278="PROXY",DSTDEV('[1]literature entries'!$D:$AI,IF($J278=1,"ACTIVE     GHGE, FARM GATE (kg CO2e/kg)","GHGE, processor gate (kg CO2e/kg)"),INDIRECT($K278)),GETPIVOTDATA(IF($J278=1,"StdDev of ACTIVE     GHGE, FARM GATE (kg CO2e/kg)","StdDev of GHGE, processor gate (kg CO2e/kg)"),'[1]Pivot Table_GHG'!$A$3,"SUB TYPE",$B278))</f>
        <v/>
      </c>
      <c r="T278" s="107" t="n">
        <v>5.282</v>
      </c>
      <c r="U278" s="108" t="n">
        <v>0.9790791260799999</v>
      </c>
      <c r="V278" s="97" t="n"/>
      <c r="W278" s="98" t="inlineStr">
        <is>
          <t>tropical_fruit</t>
        </is>
      </c>
      <c r="X278" s="98">
        <f>IF($W278="DIRECT",M278,DCOUNT('[1]literature entries'!$D:$AI,IF($J278=1,"ACTIVE     CED, FARM GATE (MJ/kg)","CED, processor gate (MJ/kg)"),INDIRECT($W278)))</f>
        <v/>
      </c>
      <c r="Y278" s="98">
        <f>IF($W278="DIRECT","",DAVERAGE('[1]literature entries'!$D:$AI,IF($J278=1,"ACTIVE     CED, FARM GATE (MJ/kg)","CED, processor gate (MJ/kg)"),INDIRECT($W278)))</f>
        <v/>
      </c>
      <c r="Z278" s="98">
        <f>IF($W278="DIRECT",$O278,DSTDEV('[1]literature entries'!$D:$AI,IF($J278=1,"ACTIVE     CED, FARM GATE (MJ/kg)","CED, processor gate (MJ/kg)"),INDIRECT($W278)))</f>
        <v/>
      </c>
      <c r="AA278" s="98">
        <f>IF($W278="DIRECT",$O278,$Z278/$Y278*$N278)</f>
        <v/>
      </c>
      <c r="AB278" s="99" t="inlineStr">
        <is>
          <t>tropical_fruit</t>
        </is>
      </c>
      <c r="AC278" s="99">
        <f>IF($AB278="DIRECT",Q278,DCOUNT('[1]literature entries'!$D:$AI,IF($J278=1,"ACTIVE     GHGE, FARM GATE (kg CO2e/kg)","GHGE, processor gate (kg CO2e/kg)"),INDIRECT($AB278)))</f>
        <v/>
      </c>
      <c r="AD278" s="99">
        <f>IF($AB278="DIRECT","",DAVERAGE('[1]literature entries'!$D:$AI,IF($J278=1,"ACTIVE     GHGE, FARM GATE (kg CO2e/kg)","GHGE, processor gate (kg CO2e/kg)"),INDIRECT($AB278)))</f>
        <v/>
      </c>
      <c r="AE278" s="99">
        <f>IF($AB278="DIRECT",$S278,DSTDEV('[1]literature entries'!$D:$AI,IF($J278=1,"ACTIVE     GHGE, FARM GATE (kg CO2e/kg)","GHGE, processor gate (kg CO2e/kg)"),INDIRECT($AB278)))</f>
        <v/>
      </c>
      <c r="AF278" s="99">
        <f>IF($AB278="DIRECT",$S278,$AE278/$AD278*$R278)</f>
        <v/>
      </c>
    </row>
    <row r="279" ht="15.75" customHeight="1" s="201">
      <c r="A279" s="100" t="n">
        <v>2403346000</v>
      </c>
      <c r="B279" s="101" t="inlineStr">
        <is>
          <t>Soursop</t>
        </is>
      </c>
      <c r="C279" s="101" t="inlineStr">
        <is>
          <t>weight of pulp; excluding peel</t>
        </is>
      </c>
      <c r="D279" s="101" t="n"/>
      <c r="E279" s="101" t="n">
        <v>4</v>
      </c>
      <c r="F279" s="84">
        <f>N279*H279+T279</f>
        <v/>
      </c>
      <c r="G279" s="85">
        <f>R279*H279+U279</f>
        <v/>
      </c>
      <c r="H279" s="102" t="n">
        <v>1.49</v>
      </c>
      <c r="I279" s="102" t="inlineStr">
        <is>
          <t>FICRCD</t>
        </is>
      </c>
      <c r="J279" s="104" t="n">
        <v>1</v>
      </c>
      <c r="K279" s="89" t="inlineStr">
        <is>
          <t>tropical_fruit</t>
        </is>
      </c>
      <c r="L279" s="90">
        <f>IF(ISERROR(GETPIVOTDATA(IF($J279=1,"Count of ACTIVE     CED, FARM GATE (MJ/kg)","Count of CED, processor gate (MJ/kg)"),'[1]Pivot Table_CED'!$A$3,"SUB TYPE",$B279)),"PROXY",IF(GETPIVOTDATA(IF($J279=1,"Count of ACTIVE     CED, FARM GATE (MJ/kg)","Count of CED, processor gate (MJ/kg)"),'[1]Pivot Table_CED'!$A$3,"SUB TYPE",$B279)=0,"PROXY","DB value"))</f>
        <v/>
      </c>
      <c r="M279" s="91">
        <f>IF($L279="PROXY",DCOUNT('[1]literature entries'!$D:$AI,IF($J279=1,"ACTIVE     CED, FARM GATE (MJ/kg)","CED, processor gate (MJ/kg)"),INDIRECT($K279)),GETPIVOTDATA(IF($J279=1,"Count of ACTIVE     CED, FARM GATE (MJ/kg)","Count of CED, processor gate (MJ/kg)"),'[1]Pivot Table_CED'!$A$3,"SUB TYPE",$B279))</f>
        <v/>
      </c>
      <c r="N279" s="92">
        <f>IF($L279="PROXY",DAVERAGE('[1]literature entries'!$D:$AI,IF($J279=1,"ACTIVE     CED, FARM GATE (MJ/kg)","CED, processor gate (MJ/kg)"),INDIRECT($K279)),GETPIVOTDATA(IF($J279=1,"Average of ACTIVE     CED, FARM GATE (MJ/kg)","Average of CED, processor gate (MJ/kg)"),'[1]Pivot Table_CED'!$A$3,"SUB TYPE",$B279))</f>
        <v/>
      </c>
      <c r="O279" s="92">
        <f>IF($L279="PROXY",DSTDEV('[1]literature entries'!D:AI,IF($J279=1,"ACTIVE     CED, FARM GATE (MJ/kg)","CED, processor gate (MJ/kg)"),INDIRECT($K279)),GETPIVOTDATA(IF($J279=1,"StdDev of ACTIVE     CED, FARM GATE (MJ/kg)","StdDev of CED, processor gate (MJ/kg)"),'[1]Pivot Table_CED'!$A$3,"SUB TYPE",$B279))</f>
        <v/>
      </c>
      <c r="P279" s="90">
        <f>IF(ISERROR(GETPIVOTDATA(IF($J279=1,"Count of ACTIVE     GHGE, FARM GATE (kg CO2e/kg)","Count of GHGE, processor gate (kg CO2e/kg)"),'[1]Pivot Table_GHG'!$A$3,"SUB TYPE",$B279)),"PROXY",IF(GETPIVOTDATA(IF($J279=1,"Count of ACTIVE     GHGE, FARM GATE (kg CO2e/kg)","Count of GHGE, processor gate (kg CO2e/kg)"),'[1]Pivot Table_GHG'!$A$3,"SUB TYPE",$B279)=0,"PROXY","DB value"))</f>
        <v/>
      </c>
      <c r="Q279" s="93">
        <f>IF($P279="PROXY",DCOUNT('[1]literature entries'!$D:$AI,IF($J279=1,"ACTIVE     GHGE, FARM GATE (kg CO2e/kg)","GHGE, processor gate (kg CO2e/kg)"),INDIRECT($K279)),GETPIVOTDATA(IF($J279=1,"ACTIVE     GHGE, FARM GATE (kg CO2e/kg)","Count of GHGE, processor gate (kg CO2e/kg)"),'[1]Pivot Table_GHG'!$A$3,"SUB TYPE",$B279))</f>
        <v/>
      </c>
      <c r="R279" s="94">
        <f>IF($P279="PROXY",DAVERAGE('[1]literature entries'!$D:$AI,IF($J279=1,"ACTIVE     GHGE, FARM GATE (kg CO2e/kg)","GHGE, processor gate (kg CO2e/kg)"),INDIRECT($K279)),GETPIVOTDATA(IF($J279=1,"Average of ACTIVE     GHGE, FARM GATE (kg CO2e/kg)","Average of GHGE, processor gate (kg CO2e/kg)"),'[1]Pivot Table_GHG'!$A$3,"SUB TYPE",$B279))</f>
        <v/>
      </c>
      <c r="S279" s="94">
        <f>IF($P279="PROXY",DSTDEV('[1]literature entries'!$D:$AI,IF($J279=1,"ACTIVE     GHGE, FARM GATE (kg CO2e/kg)","GHGE, processor gate (kg CO2e/kg)"),INDIRECT($K279)),GETPIVOTDATA(IF($J279=1,"StdDev of ACTIVE     GHGE, FARM GATE (kg CO2e/kg)","StdDev of GHGE, processor gate (kg CO2e/kg)"),'[1]Pivot Table_GHG'!$A$3,"SUB TYPE",$B279))</f>
        <v/>
      </c>
      <c r="T279" s="105" t="n"/>
      <c r="U279" s="106" t="n"/>
      <c r="V279" s="97" t="n"/>
      <c r="W279" s="98">
        <f>IF(L279="PROXY",IF(M279&gt;=5,K279,"need group"),IF(M279&gt;=5,"DIRECT","need group"))</f>
        <v/>
      </c>
      <c r="X279" s="98">
        <f>IF($W279="DIRECT",M279,DCOUNT('[1]literature entries'!$D:$AI,IF($J279=1,"ACTIVE     CED, FARM GATE (MJ/kg)","CED, processor gate (MJ/kg)"),INDIRECT($W279)))</f>
        <v/>
      </c>
      <c r="Y279" s="98">
        <f>IF($W279="DIRECT","",DAVERAGE('[1]literature entries'!$D:$AI,IF($J279=1,"ACTIVE     CED, FARM GATE (MJ/kg)","CED, processor gate (MJ/kg)"),INDIRECT($W279)))</f>
        <v/>
      </c>
      <c r="Z279" s="98">
        <f>IF($W279="DIRECT",$O279,DSTDEV('[1]literature entries'!$D:$AI,IF($J279=1,"ACTIVE     CED, FARM GATE (MJ/kg)","CED, processor gate (MJ/kg)"),INDIRECT($W279)))</f>
        <v/>
      </c>
      <c r="AA279" s="98">
        <f>IF($W279="DIRECT",$O279,$Z279/$Y279*$N279)</f>
        <v/>
      </c>
      <c r="AB279" s="99">
        <f>IF(P279="PROXY",IF(Q279&gt;=5,K279,"need group"),IF(Q279&gt;=5,"DIRECT","need group"))</f>
        <v/>
      </c>
      <c r="AC279" s="99">
        <f>IF($AB279="DIRECT",Q279,DCOUNT('[1]literature entries'!$D:$AI,IF($J279=1,"ACTIVE     GHGE, FARM GATE (kg CO2e/kg)","GHGE, processor gate (kg CO2e/kg)"),INDIRECT($AB279)))</f>
        <v/>
      </c>
      <c r="AD279" s="99">
        <f>IF($AB279="DIRECT","",DAVERAGE('[1]literature entries'!$D:$AI,IF($J279=1,"ACTIVE     GHGE, FARM GATE (kg CO2e/kg)","GHGE, processor gate (kg CO2e/kg)"),INDIRECT($AB279)))</f>
        <v/>
      </c>
      <c r="AE279" s="99">
        <f>IF($AB279="DIRECT",$S279,DSTDEV('[1]literature entries'!$D:$AI,IF($J279=1,"ACTIVE     GHGE, FARM GATE (kg CO2e/kg)","GHGE, processor gate (kg CO2e/kg)"),INDIRECT($AB279)))</f>
        <v/>
      </c>
      <c r="AF279" s="99">
        <f>IF($AB279="DIRECT",$S279,$AE279/$AD279*$R279)</f>
        <v/>
      </c>
    </row>
    <row r="280" ht="15.75" customHeight="1" s="201">
      <c r="A280" s="100" t="n">
        <v>2405252000</v>
      </c>
      <c r="B280" s="101" t="inlineStr">
        <is>
          <t>Passionfruit</t>
        </is>
      </c>
      <c r="C280" s="101" t="inlineStr">
        <is>
          <t>weight of pulp; excluding seeds and peel</t>
        </is>
      </c>
      <c r="D280" s="101" t="n"/>
      <c r="E280" s="101" t="n">
        <v>3</v>
      </c>
      <c r="F280" s="84">
        <f>N280*H280+T280</f>
        <v/>
      </c>
      <c r="G280" s="85">
        <f>R280*H280+U280</f>
        <v/>
      </c>
      <c r="H280" s="102" t="n">
        <v>1.28</v>
      </c>
      <c r="I280" s="103" t="inlineStr">
        <is>
          <t>FICRCD</t>
        </is>
      </c>
      <c r="J280" s="104" t="n">
        <v>1</v>
      </c>
      <c r="K280" s="89" t="inlineStr">
        <is>
          <t>tropical_fruit</t>
        </is>
      </c>
      <c r="L280" s="90">
        <f>IF(ISERROR(GETPIVOTDATA(IF($J280=1,"Count of ACTIVE     CED, FARM GATE (MJ/kg)","Count of CED, processor gate (MJ/kg)"),'[1]Pivot Table_CED'!$A$3,"SUB TYPE",$B280)),"PROXY",IF(GETPIVOTDATA(IF($J280=1,"Count of ACTIVE     CED, FARM GATE (MJ/kg)","Count of CED, processor gate (MJ/kg)"),'[1]Pivot Table_CED'!$A$3,"SUB TYPE",$B280)=0,"PROXY","DB value"))</f>
        <v/>
      </c>
      <c r="M280" s="91">
        <f>IF($L280="PROXY",DCOUNT('[1]literature entries'!$D:$AI,IF($J280=1,"ACTIVE     CED, FARM GATE (MJ/kg)","CED, processor gate (MJ/kg)"),INDIRECT($K280)),GETPIVOTDATA(IF($J280=1,"Count of ACTIVE     CED, FARM GATE (MJ/kg)","Count of CED, processor gate (MJ/kg)"),'[1]Pivot Table_CED'!$A$3,"SUB TYPE",$B280))</f>
        <v/>
      </c>
      <c r="N280" s="92">
        <f>IF($L280="PROXY",DAVERAGE('[1]literature entries'!$D:$AI,IF($J280=1,"ACTIVE     CED, FARM GATE (MJ/kg)","CED, processor gate (MJ/kg)"),INDIRECT($K280)),GETPIVOTDATA(IF($J280=1,"Average of ACTIVE     CED, FARM GATE (MJ/kg)","Average of CED, processor gate (MJ/kg)"),'[1]Pivot Table_CED'!$A$3,"SUB TYPE",$B280))</f>
        <v/>
      </c>
      <c r="O280" s="92">
        <f>IF($L280="PROXY",DSTDEV('[1]literature entries'!D:AI,IF($J280=1,"ACTIVE     CED, FARM GATE (MJ/kg)","CED, processor gate (MJ/kg)"),INDIRECT($K280)),GETPIVOTDATA(IF($J280=1,"StdDev of ACTIVE     CED, FARM GATE (MJ/kg)","StdDev of CED, processor gate (MJ/kg)"),'[1]Pivot Table_CED'!$A$3,"SUB TYPE",$B280))</f>
        <v/>
      </c>
      <c r="P280" s="90">
        <f>IF(ISERROR(GETPIVOTDATA(IF($J280=1,"Count of ACTIVE     GHGE, FARM GATE (kg CO2e/kg)","Count of GHGE, processor gate (kg CO2e/kg)"),'[1]Pivot Table_GHG'!$A$3,"SUB TYPE",$B280)),"PROXY",IF(GETPIVOTDATA(IF($J280=1,"Count of ACTIVE     GHGE, FARM GATE (kg CO2e/kg)","Count of GHGE, processor gate (kg CO2e/kg)"),'[1]Pivot Table_GHG'!$A$3,"SUB TYPE",$B280)=0,"PROXY","DB value"))</f>
        <v/>
      </c>
      <c r="Q280" s="93">
        <f>IF($P280="PROXY",DCOUNT('[1]literature entries'!$D:$AI,IF($J280=1,"ACTIVE     GHGE, FARM GATE (kg CO2e/kg)","GHGE, processor gate (kg CO2e/kg)"),INDIRECT($K280)),GETPIVOTDATA(IF($J280=1,"ACTIVE     GHGE, FARM GATE (kg CO2e/kg)","Count of GHGE, processor gate (kg CO2e/kg)"),'[1]Pivot Table_GHG'!$A$3,"SUB TYPE",$B280))</f>
        <v/>
      </c>
      <c r="R280" s="94">
        <f>IF($P280="PROXY",DAVERAGE('[1]literature entries'!$D:$AI,IF($J280=1,"ACTIVE     GHGE, FARM GATE (kg CO2e/kg)","GHGE, processor gate (kg CO2e/kg)"),INDIRECT($K280)),GETPIVOTDATA(IF($J280=1,"Average of ACTIVE     GHGE, FARM GATE (kg CO2e/kg)","Average of GHGE, processor gate (kg CO2e/kg)"),'[1]Pivot Table_GHG'!$A$3,"SUB TYPE",$B280))</f>
        <v/>
      </c>
      <c r="S280" s="94">
        <f>IF($P280="PROXY",DSTDEV('[1]literature entries'!$D:$AI,IF($J280=1,"ACTIVE     GHGE, FARM GATE (kg CO2e/kg)","GHGE, processor gate (kg CO2e/kg)"),INDIRECT($K280)),GETPIVOTDATA(IF($J280=1,"StdDev of ACTIVE     GHGE, FARM GATE (kg CO2e/kg)","StdDev of GHGE, processor gate (kg CO2e/kg)"),'[1]Pivot Table_GHG'!$A$3,"SUB TYPE",$B280))</f>
        <v/>
      </c>
      <c r="T280" s="97" t="n"/>
      <c r="U280" s="97" t="n"/>
      <c r="V280" s="97" t="n"/>
      <c r="W280" s="98">
        <f>IF(L280="PROXY",IF(M280&gt;=5,K280,"need group"),IF(M280&gt;=5,"DIRECT","need group"))</f>
        <v/>
      </c>
      <c r="X280" s="98">
        <f>IF($W280="DIRECT",M280,DCOUNT('[1]literature entries'!$D:$AI,IF($J280=1,"ACTIVE     CED, FARM GATE (MJ/kg)","CED, processor gate (MJ/kg)"),INDIRECT($W280)))</f>
        <v/>
      </c>
      <c r="Y280" s="98">
        <f>IF($W280="DIRECT","",DAVERAGE('[1]literature entries'!$D:$AI,IF($J280=1,"ACTIVE     CED, FARM GATE (MJ/kg)","CED, processor gate (MJ/kg)"),INDIRECT($W280)))</f>
        <v/>
      </c>
      <c r="Z280" s="98">
        <f>IF($W280="DIRECT",$O280,DSTDEV('[1]literature entries'!$D:$AI,IF($J280=1,"ACTIVE     CED, FARM GATE (MJ/kg)","CED, processor gate (MJ/kg)"),INDIRECT($W280)))</f>
        <v/>
      </c>
      <c r="AA280" s="98">
        <f>IF($W280="DIRECT",$O280,$Z280/$Y280*$N280)</f>
        <v/>
      </c>
      <c r="AB280" s="99">
        <f>IF(P280="PROXY",IF(Q280&gt;=5,K280,"need group"),IF(Q280&gt;=5,"DIRECT","need group"))</f>
        <v/>
      </c>
      <c r="AC280" s="99">
        <f>IF($AB280="DIRECT",Q280,DCOUNT('[1]literature entries'!$D:$AI,IF($J280=1,"ACTIVE     GHGE, FARM GATE (kg CO2e/kg)","GHGE, processor gate (kg CO2e/kg)"),INDIRECT($AB280)))</f>
        <v/>
      </c>
      <c r="AD280" s="99">
        <f>IF($AB280="DIRECT","",DAVERAGE('[1]literature entries'!$D:$AI,IF($J280=1,"ACTIVE     GHGE, FARM GATE (kg CO2e/kg)","GHGE, processor gate (kg CO2e/kg)"),INDIRECT($AB280)))</f>
        <v/>
      </c>
      <c r="AE280" s="99">
        <f>IF($AB280="DIRECT",$S280,DSTDEV('[1]literature entries'!$D:$AI,IF($J280=1,"ACTIVE     GHGE, FARM GATE (kg CO2e/kg)","GHGE, processor gate (kg CO2e/kg)"),INDIRECT($AB280)))</f>
        <v/>
      </c>
      <c r="AF280" s="99">
        <f>IF($AB280="DIRECT",$S280,$AE280/$AD280*$R280)</f>
        <v/>
      </c>
    </row>
    <row r="281" ht="15.75" customHeight="1" s="201">
      <c r="A281" s="100" t="n">
        <v>2405253000</v>
      </c>
      <c r="B281" s="101" t="inlineStr">
        <is>
          <t>Passionfruit, juice</t>
        </is>
      </c>
      <c r="C281" s="101" t="inlineStr">
        <is>
          <t>weight of juice at single strength (or standard dilution)</t>
        </is>
      </c>
      <c r="D281" s="101" t="n"/>
      <c r="E281" s="101" t="n">
        <v>6353</v>
      </c>
      <c r="F281" s="84">
        <f>N281*H281+T281</f>
        <v/>
      </c>
      <c r="G281" s="85">
        <f>R281*H281+U281</f>
        <v/>
      </c>
      <c r="H281" s="102" t="n">
        <v>1.88</v>
      </c>
      <c r="I281" s="103" t="inlineStr">
        <is>
          <t>FICRCD</t>
        </is>
      </c>
      <c r="J281" s="104" t="n">
        <v>1</v>
      </c>
      <c r="K281" s="89" t="inlineStr">
        <is>
          <t>tropical_fruit</t>
        </is>
      </c>
      <c r="L281" s="90">
        <f>IF(ISERROR(GETPIVOTDATA(IF($J281=1,"Count of ACTIVE     CED, FARM GATE (MJ/kg)","Count of CED, processor gate (MJ/kg)"),'[1]Pivot Table_CED'!$A$3,"SUB TYPE",$B281)),"PROXY",IF(GETPIVOTDATA(IF($J281=1,"Count of ACTIVE     CED, FARM GATE (MJ/kg)","Count of CED, processor gate (MJ/kg)"),'[1]Pivot Table_CED'!$A$3,"SUB TYPE",$B281)=0,"PROXY","DB value"))</f>
        <v/>
      </c>
      <c r="M281" s="91">
        <f>IF($L281="PROXY",DCOUNT('[1]literature entries'!$D:$AI,IF($J281=1,"ACTIVE     CED, FARM GATE (MJ/kg)","CED, processor gate (MJ/kg)"),INDIRECT($K281)),GETPIVOTDATA(IF($J281=1,"Count of ACTIVE     CED, FARM GATE (MJ/kg)","Count of CED, processor gate (MJ/kg)"),'[1]Pivot Table_CED'!$A$3,"SUB TYPE",$B281))</f>
        <v/>
      </c>
      <c r="N281" s="92">
        <f>IF($L281="PROXY",DAVERAGE('[1]literature entries'!$D:$AI,IF($J281=1,"ACTIVE     CED, FARM GATE (MJ/kg)","CED, processor gate (MJ/kg)"),INDIRECT($K281)),GETPIVOTDATA(IF($J281=1,"Average of ACTIVE     CED, FARM GATE (MJ/kg)","Average of CED, processor gate (MJ/kg)"),'[1]Pivot Table_CED'!$A$3,"SUB TYPE",$B281))</f>
        <v/>
      </c>
      <c r="O281" s="92">
        <f>IF($L281="PROXY",DSTDEV('[1]literature entries'!D:AI,IF($J281=1,"ACTIVE     CED, FARM GATE (MJ/kg)","CED, processor gate (MJ/kg)"),INDIRECT($K281)),GETPIVOTDATA(IF($J281=1,"StdDev of ACTIVE     CED, FARM GATE (MJ/kg)","StdDev of CED, processor gate (MJ/kg)"),'[1]Pivot Table_CED'!$A$3,"SUB TYPE",$B281))</f>
        <v/>
      </c>
      <c r="P281" s="90">
        <f>IF(ISERROR(GETPIVOTDATA(IF($J281=1,"Count of ACTIVE     GHGE, FARM GATE (kg CO2e/kg)","Count of GHGE, processor gate (kg CO2e/kg)"),'[1]Pivot Table_GHG'!$A$3,"SUB TYPE",$B281)),"PROXY",IF(GETPIVOTDATA(IF($J281=1,"Count of ACTIVE     GHGE, FARM GATE (kg CO2e/kg)","Count of GHGE, processor gate (kg CO2e/kg)"),'[1]Pivot Table_GHG'!$A$3,"SUB TYPE",$B281)=0,"PROXY","DB value"))</f>
        <v/>
      </c>
      <c r="Q281" s="93">
        <f>IF($P281="PROXY",DCOUNT('[1]literature entries'!$D:$AI,IF($J281=1,"ACTIVE     GHGE, FARM GATE (kg CO2e/kg)","GHGE, processor gate (kg CO2e/kg)"),INDIRECT($K281)),GETPIVOTDATA(IF($J281=1,"ACTIVE     GHGE, FARM GATE (kg CO2e/kg)","Count of GHGE, processor gate (kg CO2e/kg)"),'[1]Pivot Table_GHG'!$A$3,"SUB TYPE",$B281))</f>
        <v/>
      </c>
      <c r="R281" s="94">
        <f>IF($P281="PROXY",DAVERAGE('[1]literature entries'!$D:$AI,IF($J281=1,"ACTIVE     GHGE, FARM GATE (kg CO2e/kg)","GHGE, processor gate (kg CO2e/kg)"),INDIRECT($K281)),GETPIVOTDATA(IF($J281=1,"Average of ACTIVE     GHGE, FARM GATE (kg CO2e/kg)","Average of GHGE, processor gate (kg CO2e/kg)"),'[1]Pivot Table_GHG'!$A$3,"SUB TYPE",$B281))</f>
        <v/>
      </c>
      <c r="S281" s="94">
        <f>IF($P281="PROXY",DSTDEV('[1]literature entries'!$D:$AI,IF($J281=1,"ACTIVE     GHGE, FARM GATE (kg CO2e/kg)","GHGE, processor gate (kg CO2e/kg)"),INDIRECT($K281)),GETPIVOTDATA(IF($J281=1,"StdDev of ACTIVE     GHGE, FARM GATE (kg CO2e/kg)","StdDev of GHGE, processor gate (kg CO2e/kg)"),'[1]Pivot Table_GHG'!$A$3,"SUB TYPE",$B281))</f>
        <v/>
      </c>
      <c r="T281" s="107" t="n">
        <v>5.282</v>
      </c>
      <c r="U281" s="108" t="n">
        <v>0.9790791260799999</v>
      </c>
      <c r="V281" s="97" t="n"/>
      <c r="W281" s="98">
        <f>IF(L281="PROXY",IF(M281&gt;=5,K281,"need group"),IF(M281&gt;=5,"DIRECT","need group"))</f>
        <v/>
      </c>
      <c r="X281" s="98">
        <f>IF($W281="DIRECT",M281,DCOUNT('[1]literature entries'!$D:$AI,IF($J281=1,"ACTIVE     CED, FARM GATE (MJ/kg)","CED, processor gate (MJ/kg)"),INDIRECT($W281)))</f>
        <v/>
      </c>
      <c r="Y281" s="98">
        <f>IF($W281="DIRECT","",DAVERAGE('[1]literature entries'!$D:$AI,IF($J281=1,"ACTIVE     CED, FARM GATE (MJ/kg)","CED, processor gate (MJ/kg)"),INDIRECT($W281)))</f>
        <v/>
      </c>
      <c r="Z281" s="98">
        <f>IF($W281="DIRECT",$O281,DSTDEV('[1]literature entries'!$D:$AI,IF($J281=1,"ACTIVE     CED, FARM GATE (MJ/kg)","CED, processor gate (MJ/kg)"),INDIRECT($W281)))</f>
        <v/>
      </c>
      <c r="AA281" s="98">
        <f>IF($W281="DIRECT",$O281,$Z281/$Y281*$N281)</f>
        <v/>
      </c>
      <c r="AB281" s="99">
        <f>IF(P281="PROXY",IF(Q281&gt;=5,K281,"need group"),IF(Q281&gt;=5,"DIRECT","need group"))</f>
        <v/>
      </c>
      <c r="AC281" s="99">
        <f>IF($AB281="DIRECT",Q281,DCOUNT('[1]literature entries'!$D:$AI,IF($J281=1,"ACTIVE     GHGE, FARM GATE (kg CO2e/kg)","GHGE, processor gate (kg CO2e/kg)"),INDIRECT($AB281)))</f>
        <v/>
      </c>
      <c r="AD281" s="99">
        <f>IF($AB281="DIRECT","",DAVERAGE('[1]literature entries'!$D:$AI,IF($J281=1,"ACTIVE     GHGE, FARM GATE (kg CO2e/kg)","GHGE, processor gate (kg CO2e/kg)"),INDIRECT($AB281)))</f>
        <v/>
      </c>
      <c r="AE281" s="99">
        <f>IF($AB281="DIRECT",$S281,DSTDEV('[1]literature entries'!$D:$AI,IF($J281=1,"ACTIVE     GHGE, FARM GATE (kg CO2e/kg)","GHGE, processor gate (kg CO2e/kg)"),INDIRECT($AB281)))</f>
        <v/>
      </c>
      <c r="AF281" s="99">
        <f>IF($AB281="DIRECT",$S281,$AE281/$AD281*$R281)</f>
        <v/>
      </c>
    </row>
    <row r="282" ht="15.75" customHeight="1" s="201">
      <c r="A282" s="100" t="n">
        <v>3100044000</v>
      </c>
      <c r="B282" s="101" t="inlineStr">
        <is>
          <t>Beef, meat</t>
        </is>
      </c>
      <c r="C282" s="101" t="inlineStr">
        <is>
          <t>weight of meat; excluding the weight of bone, and all nutrient fat</t>
        </is>
      </c>
      <c r="D282" s="101" t="inlineStr">
        <is>
          <t>Consider veal as equivalent to beef. Include bison and buffalo.</t>
        </is>
      </c>
      <c r="E282" s="101" t="n">
        <v>29164</v>
      </c>
      <c r="F282" s="84">
        <f>N282*H282+T282</f>
        <v/>
      </c>
      <c r="G282" s="85">
        <f>R282*H282+U282</f>
        <v/>
      </c>
      <c r="H282" s="102" t="n">
        <v>1</v>
      </c>
      <c r="I282" s="103" t="inlineStr">
        <is>
          <t>None</t>
        </is>
      </c>
      <c r="J282" s="104" t="n">
        <v>1</v>
      </c>
      <c r="K282" s="132" t="n"/>
      <c r="L282" s="90">
        <f>IF(ISERROR(GETPIVOTDATA(IF($J282=1,"Count of ACTIVE     CED, FARM GATE (MJ/kg)","Count of CED, processor gate (MJ/kg)"),'[1]Pivot Table_CED'!$A$3,"SUB TYPE","beef")),"PROXY",IF(GETPIVOTDATA(IF($J282=1,"Count of ACTIVE     CED, FARM GATE (MJ/kg)","Count of CED, processor gate (MJ/kg)"),'[1]Pivot Table_CED'!$A$3,"SUB TYPE","beef")=0,"PROXY","DB value"))</f>
        <v/>
      </c>
      <c r="M282" s="91">
        <f>IF($L282="PROXY",DCOUNT('[1]literature entries'!$D:$AI,IF($J282=1,"ACTIVE     CED, FARM GATE (MJ/kg)","CED, processor gate (MJ/kg)"),INDIRECT($K282)),GETPIVOTDATA(IF($J282=1,"Count of ACTIVE     CED, FARM GATE (MJ/kg)","Count of CED, processor gate (MJ/kg)"),'[1]Pivot Table_CED'!$A$3,"SUB TYPE","beef"))</f>
        <v/>
      </c>
      <c r="N282" s="92">
        <f>IF($L282="PROXY",DAVERAGE('[1]literature entries'!$D:$AI,IF($J282=1,"ACTIVE     CED, FARM GATE (MJ/kg)","CED, processor gate (MJ/kg)"),INDIRECT($K282)),GETPIVOTDATA(IF($J282=1,"Average of ACTIVE     CED, FARM GATE (MJ/kg)","Average of CED, processor gate (MJ/kg)"),'[1]Pivot Table_CED'!$A$3,"SUB TYPE","beef"))</f>
        <v/>
      </c>
      <c r="O282" s="92">
        <f>IF($L282="PROXY",DSTDEV('[1]literature entries'!D:AI,IF($J282=1,"ACTIVE     CED, FARM GATE (MJ/kg)","CED, processor gate (MJ/kg)"),INDIRECT($K282)),GETPIVOTDATA(IF($J282=1,"StdDev of ACTIVE     CED, FARM GATE (MJ/kg)","StdDev of CED, processor gate (MJ/kg)"),'[1]Pivot Table_CED'!$A$3,"SUB TYPE","beef"))</f>
        <v/>
      </c>
      <c r="P282" s="90">
        <f>IF(ISERROR(GETPIVOTDATA(IF($J282=1,"Count of ACTIVE     GHGE, FARM GATE (kg CO2e/kg)","Count of GHGE, processor gate (kg CO2e/kg)"),'[1]Pivot Table_GHG'!$A$3,"SUB TYPE","beef")),"PROXY",IF(GETPIVOTDATA(IF($J282=1,"Count of ACTIVE     GHGE, FARM GATE (kg CO2e/kg)","Count of GHGE, processor gate (kg CO2e/kg)"),'[1]Pivot Table_GHG'!$A$3,"SUB TYPE","beef")=0,"PROXY","DB value"))</f>
        <v/>
      </c>
      <c r="Q282" s="93">
        <f>IF($P282="PROXY",DCOUNT('[1]literature entries'!$D:$AI,IF($J282=1,"ACTIVE     GHGE, FARM GATE (kg CO2e/kg)","GHGE, processor gate (kg CO2e/kg)"),INDIRECT($K282)),GETPIVOTDATA(IF($J282=1,"ACTIVE     GHGE, FARM GATE (kg CO2e/kg)","Count of GHGE, processor gate (kg CO2e/kg)"),'[1]Pivot Table_GHG'!$A$3,"SUB TYPE","beef"))</f>
        <v/>
      </c>
      <c r="R282" s="94">
        <f>IF($P282="PROXY",DAVERAGE('[1]literature entries'!$D:$AI,IF($J282=1,"ACTIVE     GHGE, FARM GATE (kg CO2e/kg)","GHGE, processor gate (kg CO2e/kg)"),INDIRECT($K282)),GETPIVOTDATA(IF($J282=1,"Average of ACTIVE     GHGE, FARM GATE (kg CO2e/kg)","Average of GHGE, processor gate (kg CO2e/kg)"),'[1]Pivot Table_GHG'!$A$3,"SUB TYPE","beef"))</f>
        <v/>
      </c>
      <c r="S282" s="94">
        <f>IF($P282="PROXY",DSTDEV('[1]literature entries'!$D:$AI,IF($J282=1,"ACTIVE     GHGE, FARM GATE (kg CO2e/kg)","GHGE, processor gate (kg CO2e/kg)"),INDIRECT($K282)),GETPIVOTDATA(IF($J282=1,"StdDev of ACTIVE     GHGE, FARM GATE (kg CO2e/kg)","StdDev of GHGE, processor gate (kg CO2e/kg)"),'[1]Pivot Table_GHG'!$A$3,"SUB TYPE","beef"))</f>
        <v/>
      </c>
      <c r="T282" s="105" t="n"/>
      <c r="U282" s="106" t="n"/>
      <c r="V282" s="97" t="n"/>
      <c r="W282" s="98">
        <f>IF(L282="PROXY",IF(M282&gt;=5,K282,"need group"),IF(M282&gt;=5,"DIRECT","need group"))</f>
        <v/>
      </c>
      <c r="X282" s="98">
        <f>IF($W282="DIRECT",M282,DCOUNT('[1]literature entries'!$D:$AI,IF($J282=1,"ACTIVE     CED, FARM GATE (MJ/kg)","CED, processor gate (MJ/kg)"),INDIRECT($W282)))</f>
        <v/>
      </c>
      <c r="Y282" s="98">
        <f>IF($W282="DIRECT","",DAVERAGE('[1]literature entries'!$D:$AI,IF($J282=1,"ACTIVE     CED, FARM GATE (MJ/kg)","CED, processor gate (MJ/kg)"),INDIRECT($W282)))</f>
        <v/>
      </c>
      <c r="Z282" s="98">
        <f>IF($W282="DIRECT",$O282,DSTDEV('[1]literature entries'!$D:$AI,IF($J282=1,"ACTIVE     CED, FARM GATE (MJ/kg)","CED, processor gate (MJ/kg)"),INDIRECT($W282)))</f>
        <v/>
      </c>
      <c r="AA282" s="98">
        <f>IF($W282="DIRECT",$O282,$Z282/$Y282*$N282)</f>
        <v/>
      </c>
      <c r="AB282" s="99">
        <f>IF(P282="PROXY",IF(Q282&gt;=5,K282,"need group"),IF(Q282&gt;=5,"DIRECT","need group"))</f>
        <v/>
      </c>
      <c r="AC282" s="99">
        <f>IF($AB282="DIRECT",Q282,DCOUNT('[1]literature entries'!$D:$AI,IF($J282=1,"ACTIVE     GHGE, FARM GATE (kg CO2e/kg)","GHGE, processor gate (kg CO2e/kg)"),INDIRECT($AB282)))</f>
        <v/>
      </c>
      <c r="AD282" s="99">
        <f>IF($AB282="DIRECT","",DAVERAGE('[1]literature entries'!$D:$AI,IF($J282=1,"ACTIVE     GHGE, FARM GATE (kg CO2e/kg)","GHGE, processor gate (kg CO2e/kg)"),INDIRECT($AB282)))</f>
        <v/>
      </c>
      <c r="AE282" s="99">
        <f>IF($AB282="DIRECT",$S282,DSTDEV('[1]literature entries'!$D:$AI,IF($J282=1,"ACTIVE     GHGE, FARM GATE (kg CO2e/kg)","GHGE, processor gate (kg CO2e/kg)"),INDIRECT($AB282)))</f>
        <v/>
      </c>
      <c r="AF282" s="99">
        <f>IF($AB282="DIRECT",$S282,$AE282/$AD282*$R282)</f>
        <v/>
      </c>
    </row>
    <row r="283" ht="15.75" customHeight="1" s="201">
      <c r="A283" s="100" t="n">
        <v>3100045000</v>
      </c>
      <c r="B283" s="101" t="inlineStr">
        <is>
          <t>Beef, meat, dried</t>
        </is>
      </c>
      <c r="C283" s="101" t="inlineStr">
        <is>
          <t>weight of dried meat; excluding bones, and trimmable fat</t>
        </is>
      </c>
      <c r="D283" s="101" t="n"/>
      <c r="E283" s="101" t="n">
        <v>414</v>
      </c>
      <c r="F283" s="84">
        <f>N283*H283+T283</f>
        <v/>
      </c>
      <c r="G283" s="85">
        <f>R283*H283+U283</f>
        <v/>
      </c>
      <c r="H283" s="102" t="n">
        <v>1.38</v>
      </c>
      <c r="I283" s="103" t="inlineStr">
        <is>
          <t>FICRCD</t>
        </is>
      </c>
      <c r="J283" s="104" t="n">
        <v>1</v>
      </c>
      <c r="K283" s="132" t="n"/>
      <c r="L283" s="90">
        <f>IF(ISERROR(GETPIVOTDATA(IF($J283=1,"Count of ACTIVE     CED, FARM GATE (MJ/kg)","Count of CED, processor gate (MJ/kg)"),'[1]Pivot Table_CED'!$A$3,"SUB TYPE","beef")),"PROXY",IF(GETPIVOTDATA(IF($J283=1,"Count of ACTIVE     CED, FARM GATE (MJ/kg)","Count of CED, processor gate (MJ/kg)"),'[1]Pivot Table_CED'!$A$3,"SUB TYPE","beef")=0,"PROXY","DB value"))</f>
        <v/>
      </c>
      <c r="M283" s="91">
        <f>IF($L283="PROXY",DCOUNT('[1]literature entries'!$D:$AI,IF($J283=1,"ACTIVE     CED, FARM GATE (MJ/kg)","CED, processor gate (MJ/kg)"),INDIRECT($K283)),GETPIVOTDATA(IF($J283=1,"Count of ACTIVE     CED, FARM GATE (MJ/kg)","Count of CED, processor gate (MJ/kg)"),'[1]Pivot Table_CED'!$A$3,"SUB TYPE","beef"))</f>
        <v/>
      </c>
      <c r="N283" s="92">
        <f>IF($L283="PROXY",DAVERAGE('[1]literature entries'!$D:$AI,IF($J283=1,"ACTIVE     CED, FARM GATE (MJ/kg)","CED, processor gate (MJ/kg)"),INDIRECT($K283)),GETPIVOTDATA(IF($J283=1,"Average of ACTIVE     CED, FARM GATE (MJ/kg)","Average of CED, processor gate (MJ/kg)"),'[1]Pivot Table_CED'!$A$3,"SUB TYPE","beef"))</f>
        <v/>
      </c>
      <c r="O283" s="92">
        <f>IF($L283="PROXY",DSTDEV('[1]literature entries'!D:AI,IF($J283=1,"ACTIVE     CED, FARM GATE (MJ/kg)","CED, processor gate (MJ/kg)"),INDIRECT($K283)),GETPIVOTDATA(IF($J283=1,"StdDev of ACTIVE     CED, FARM GATE (MJ/kg)","StdDev of CED, processor gate (MJ/kg)"),'[1]Pivot Table_CED'!$A$3,"SUB TYPE","beef"))</f>
        <v/>
      </c>
      <c r="P283" s="90">
        <f>IF(ISERROR(GETPIVOTDATA(IF($J283=1,"Count of ACTIVE     GHGE, FARM GATE (kg CO2e/kg)","Count of GHGE, processor gate (kg CO2e/kg)"),'[1]Pivot Table_GHG'!$A$3,"SUB TYPE","beef")),"PROXY",IF(GETPIVOTDATA(IF($J283=1,"Count of ACTIVE     GHGE, FARM GATE (kg CO2e/kg)","Count of GHGE, processor gate (kg CO2e/kg)"),'[1]Pivot Table_GHG'!$A$3,"SUB TYPE","beef")=0,"PROXY","DB value"))</f>
        <v/>
      </c>
      <c r="Q283" s="93">
        <f>IF($P283="PROXY",DCOUNT('[1]literature entries'!$D:$AI,IF($J283=1,"ACTIVE     GHGE, FARM GATE (kg CO2e/kg)","GHGE, processor gate (kg CO2e/kg)"),INDIRECT($K283)),GETPIVOTDATA(IF($J283=1,"ACTIVE     GHGE, FARM GATE (kg CO2e/kg)","Count of GHGE, processor gate (kg CO2e/kg)"),'[1]Pivot Table_GHG'!$A$3,"SUB TYPE","beef"))</f>
        <v/>
      </c>
      <c r="R283" s="94">
        <f>IF($P283="PROXY",DAVERAGE('[1]literature entries'!$D:$AI,IF($J283=1,"ACTIVE     GHGE, FARM GATE (kg CO2e/kg)","GHGE, processor gate (kg CO2e/kg)"),INDIRECT($K283)),GETPIVOTDATA(IF($J283=1,"Average of ACTIVE     GHGE, FARM GATE (kg CO2e/kg)","Average of GHGE, processor gate (kg CO2e/kg)"),'[1]Pivot Table_GHG'!$A$3,"SUB TYPE","beef"))</f>
        <v/>
      </c>
      <c r="S283" s="94">
        <f>IF($P283="PROXY",DSTDEV('[1]literature entries'!$D:$AI,IF($J283=1,"ACTIVE     GHGE, FARM GATE (kg CO2e/kg)","GHGE, processor gate (kg CO2e/kg)"),INDIRECT($K283)),GETPIVOTDATA(IF($J283=1,"StdDev of ACTIVE     GHGE, FARM GATE (kg CO2e/kg)","StdDev of GHGE, processor gate (kg CO2e/kg)"),'[1]Pivot Table_GHG'!$A$3,"SUB TYPE","beef"))</f>
        <v/>
      </c>
      <c r="T283" s="105" t="n"/>
      <c r="U283" s="106" t="n"/>
      <c r="V283" s="97" t="n"/>
      <c r="W283" s="98">
        <f>IF(L283="PROXY",IF(M283&gt;=5,K283,"need group"),IF(M283&gt;=5,"DIRECT","need group"))</f>
        <v/>
      </c>
      <c r="X283" s="98">
        <f>IF($W283="DIRECT",M283,DCOUNT('[1]literature entries'!$D:$AI,IF($J283=1,"ACTIVE     CED, FARM GATE (MJ/kg)","CED, processor gate (MJ/kg)"),INDIRECT($W283)))</f>
        <v/>
      </c>
      <c r="Y283" s="98">
        <f>IF($W283="DIRECT","",DAVERAGE('[1]literature entries'!$D:$AI,IF($J283=1,"ACTIVE     CED, FARM GATE (MJ/kg)","CED, processor gate (MJ/kg)"),INDIRECT($W283)))</f>
        <v/>
      </c>
      <c r="Z283" s="98">
        <f>IF($W283="DIRECT",$O283,DSTDEV('[1]literature entries'!$D:$AI,IF($J283=1,"ACTIVE     CED, FARM GATE (MJ/kg)","CED, processor gate (MJ/kg)"),INDIRECT($W283)))</f>
        <v/>
      </c>
      <c r="AA283" s="98">
        <f>IF($W283="DIRECT",$O283,$Z283/$Y283*$N283)</f>
        <v/>
      </c>
      <c r="AB283" s="99">
        <f>IF(P283="PROXY",IF(Q283&gt;=5,K283,"need group"),IF(Q283&gt;=5,"DIRECT","need group"))</f>
        <v/>
      </c>
      <c r="AC283" s="99">
        <f>IF($AB283="DIRECT",Q283,DCOUNT('[1]literature entries'!$D:$AI,IF($J283=1,"ACTIVE     GHGE, FARM GATE (kg CO2e/kg)","GHGE, processor gate (kg CO2e/kg)"),INDIRECT($AB283)))</f>
        <v/>
      </c>
      <c r="AD283" s="99">
        <f>IF($AB283="DIRECT","",DAVERAGE('[1]literature entries'!$D:$AI,IF($J283=1,"ACTIVE     GHGE, FARM GATE (kg CO2e/kg)","GHGE, processor gate (kg CO2e/kg)"),INDIRECT($AB283)))</f>
        <v/>
      </c>
      <c r="AE283" s="99">
        <f>IF($AB283="DIRECT",$S283,DSTDEV('[1]literature entries'!$D:$AI,IF($J283=1,"ACTIVE     GHGE, FARM GATE (kg CO2e/kg)","GHGE, processor gate (kg CO2e/kg)"),INDIRECT($AB283)))</f>
        <v/>
      </c>
      <c r="AF283" s="99">
        <f>IF($AB283="DIRECT",$S283,$AE283/$AD283*$R283)</f>
        <v/>
      </c>
    </row>
    <row r="284" ht="15.75" customHeight="1" s="201">
      <c r="A284" s="100" t="n">
        <v>3100046000</v>
      </c>
      <c r="B284" s="101" t="inlineStr">
        <is>
          <t>Beef, meat byproducts</t>
        </is>
      </c>
      <c r="C284" s="101" t="inlineStr">
        <is>
          <t>weight of meat; excluding bone; may contain some fat</t>
        </is>
      </c>
      <c r="D284" s="101" t="inlineStr">
        <is>
          <t>Includes brain, heart, lung, sweetbread, tail, tripe, tongue, and head.</t>
        </is>
      </c>
      <c r="E284" s="101" t="n">
        <v>26546</v>
      </c>
      <c r="F284" s="84">
        <f>N284*H284+T284</f>
        <v/>
      </c>
      <c r="G284" s="85">
        <f>R284*H284+U284</f>
        <v/>
      </c>
      <c r="H284" s="102" t="n">
        <v>1</v>
      </c>
      <c r="I284" s="103" t="inlineStr">
        <is>
          <t>None</t>
        </is>
      </c>
      <c r="J284" s="104" t="n">
        <v>1</v>
      </c>
      <c r="K284" s="132" t="n"/>
      <c r="L284" s="90">
        <f>IF(ISERROR(GETPIVOTDATA(IF($J284=1,"Count of ACTIVE     CED, FARM GATE (MJ/kg)","Count of CED, processor gate (MJ/kg)"),'[1]Pivot Table_CED'!$A$3,"SUB TYPE","beef")),"PROXY",IF(GETPIVOTDATA(IF($J284=1,"Count of ACTIVE     CED, FARM GATE (MJ/kg)","Count of CED, processor gate (MJ/kg)"),'[1]Pivot Table_CED'!$A$3,"SUB TYPE","beef")=0,"PROXY","DB value"))</f>
        <v/>
      </c>
      <c r="M284" s="91">
        <f>IF($L284="PROXY",DCOUNT('[1]literature entries'!$D:$AI,IF($J284=1,"ACTIVE     CED, FARM GATE (MJ/kg)","CED, processor gate (MJ/kg)"),INDIRECT($K284)),GETPIVOTDATA(IF($J284=1,"Count of ACTIVE     CED, FARM GATE (MJ/kg)","Count of CED, processor gate (MJ/kg)"),'[1]Pivot Table_CED'!$A$3,"SUB TYPE","beef"))</f>
        <v/>
      </c>
      <c r="N284" s="92">
        <f>IF($L284="PROXY",DAVERAGE('[1]literature entries'!$D:$AI,IF($J284=1,"ACTIVE     CED, FARM GATE (MJ/kg)","CED, processor gate (MJ/kg)"),INDIRECT($K284)),GETPIVOTDATA(IF($J284=1,"Average of ACTIVE     CED, FARM GATE (MJ/kg)","Average of CED, processor gate (MJ/kg)"),'[1]Pivot Table_CED'!$A$3,"SUB TYPE","beef"))</f>
        <v/>
      </c>
      <c r="O284" s="92">
        <f>IF($L284="PROXY",DSTDEV('[1]literature entries'!D:AI,IF($J284=1,"ACTIVE     CED, FARM GATE (MJ/kg)","CED, processor gate (MJ/kg)"),INDIRECT($K284)),GETPIVOTDATA(IF($J284=1,"StdDev of ACTIVE     CED, FARM GATE (MJ/kg)","StdDev of CED, processor gate (MJ/kg)"),'[1]Pivot Table_CED'!$A$3,"SUB TYPE","beef"))</f>
        <v/>
      </c>
      <c r="P284" s="90">
        <f>IF(ISERROR(GETPIVOTDATA(IF($J284=1,"Count of ACTIVE     GHGE, FARM GATE (kg CO2e/kg)","Count of GHGE, processor gate (kg CO2e/kg)"),'[1]Pivot Table_GHG'!$A$3,"SUB TYPE","beef")),"PROXY",IF(GETPIVOTDATA(IF($J284=1,"Count of ACTIVE     GHGE, FARM GATE (kg CO2e/kg)","Count of GHGE, processor gate (kg CO2e/kg)"),'[1]Pivot Table_GHG'!$A$3,"SUB TYPE","beef")=0,"PROXY","DB value"))</f>
        <v/>
      </c>
      <c r="Q284" s="93">
        <f>IF($P284="PROXY",DCOUNT('[1]literature entries'!$D:$AI,IF($J284=1,"ACTIVE     GHGE, FARM GATE (kg CO2e/kg)","GHGE, processor gate (kg CO2e/kg)"),INDIRECT($K284)),GETPIVOTDATA(IF($J284=1,"ACTIVE     GHGE, FARM GATE (kg CO2e/kg)","Count of GHGE, processor gate (kg CO2e/kg)"),'[1]Pivot Table_GHG'!$A$3,"SUB TYPE","beef"))</f>
        <v/>
      </c>
      <c r="R284" s="94">
        <f>IF($P284="PROXY",DAVERAGE('[1]literature entries'!$D:$AI,IF($J284=1,"ACTIVE     GHGE, FARM GATE (kg CO2e/kg)","GHGE, processor gate (kg CO2e/kg)"),INDIRECT($K284)),GETPIVOTDATA(IF($J284=1,"Average of ACTIVE     GHGE, FARM GATE (kg CO2e/kg)","Average of GHGE, processor gate (kg CO2e/kg)"),'[1]Pivot Table_GHG'!$A$3,"SUB TYPE","beef"))</f>
        <v/>
      </c>
      <c r="S284" s="94">
        <f>IF($P284="PROXY",DSTDEV('[1]literature entries'!$D:$AI,IF($J284=1,"ACTIVE     GHGE, FARM GATE (kg CO2e/kg)","GHGE, processor gate (kg CO2e/kg)"),INDIRECT($K284)),GETPIVOTDATA(IF($J284=1,"StdDev of ACTIVE     GHGE, FARM GATE (kg CO2e/kg)","StdDev of GHGE, processor gate (kg CO2e/kg)"),'[1]Pivot Table_GHG'!$A$3,"SUB TYPE","beef"))</f>
        <v/>
      </c>
      <c r="T284" s="105" t="n"/>
      <c r="U284" s="106" t="n"/>
      <c r="V284" s="97" t="n"/>
      <c r="W284" s="98">
        <f>IF(L284="PROXY",IF(M284&gt;=5,K284,"need group"),IF(M284&gt;=5,"DIRECT","need group"))</f>
        <v/>
      </c>
      <c r="X284" s="98">
        <f>IF($W284="DIRECT",M284,DCOUNT('[1]literature entries'!$D:$AI,IF($J284=1,"ACTIVE     CED, FARM GATE (MJ/kg)","CED, processor gate (MJ/kg)"),INDIRECT($W284)))</f>
        <v/>
      </c>
      <c r="Y284" s="98">
        <f>IF($W284="DIRECT","",DAVERAGE('[1]literature entries'!$D:$AI,IF($J284=1,"ACTIVE     CED, FARM GATE (MJ/kg)","CED, processor gate (MJ/kg)"),INDIRECT($W284)))</f>
        <v/>
      </c>
      <c r="Z284" s="98">
        <f>IF($W284="DIRECT",$O284,DSTDEV('[1]literature entries'!$D:$AI,IF($J284=1,"ACTIVE     CED, FARM GATE (MJ/kg)","CED, processor gate (MJ/kg)"),INDIRECT($W284)))</f>
        <v/>
      </c>
      <c r="AA284" s="98">
        <f>IF($W284="DIRECT",$O284,$Z284/$Y284*$N284)</f>
        <v/>
      </c>
      <c r="AB284" s="99">
        <f>IF(P284="PROXY",IF(Q284&gt;=5,K284,"need group"),IF(Q284&gt;=5,"DIRECT","need group"))</f>
        <v/>
      </c>
      <c r="AC284" s="99">
        <f>IF($AB284="DIRECT",Q284,DCOUNT('[1]literature entries'!$D:$AI,IF($J284=1,"ACTIVE     GHGE, FARM GATE (kg CO2e/kg)","GHGE, processor gate (kg CO2e/kg)"),INDIRECT($AB284)))</f>
        <v/>
      </c>
      <c r="AD284" s="99">
        <f>IF($AB284="DIRECT","",DAVERAGE('[1]literature entries'!$D:$AI,IF($J284=1,"ACTIVE     GHGE, FARM GATE (kg CO2e/kg)","GHGE, processor gate (kg CO2e/kg)"),INDIRECT($AB284)))</f>
        <v/>
      </c>
      <c r="AE284" s="99">
        <f>IF($AB284="DIRECT",$S284,DSTDEV('[1]literature entries'!$D:$AI,IF($J284=1,"ACTIVE     GHGE, FARM GATE (kg CO2e/kg)","GHGE, processor gate (kg CO2e/kg)"),INDIRECT($AB284)))</f>
        <v/>
      </c>
      <c r="AF284" s="99">
        <f>IF($AB284="DIRECT",$S284,$AE284/$AD284*$R284)</f>
        <v/>
      </c>
    </row>
    <row r="285" ht="15.75" customHeight="1" s="201">
      <c r="A285" s="100" t="n">
        <v>3100047000</v>
      </c>
      <c r="B285" s="101" t="inlineStr">
        <is>
          <t>Beef, fat</t>
        </is>
      </c>
      <c r="C285" s="101" t="inlineStr">
        <is>
          <t>weight of nutrient fat only; includes  nutrient fat from beef meat</t>
        </is>
      </c>
      <c r="D285" s="101" t="n"/>
      <c r="E285" s="101" t="n">
        <v>32127</v>
      </c>
      <c r="F285" s="84">
        <f>N285*H285+T285</f>
        <v/>
      </c>
      <c r="G285" s="85">
        <f>R285*H285+U285</f>
        <v/>
      </c>
      <c r="H285" s="102" t="n">
        <v>1</v>
      </c>
      <c r="I285" s="103" t="inlineStr">
        <is>
          <t>None</t>
        </is>
      </c>
      <c r="J285" s="104" t="n">
        <v>1</v>
      </c>
      <c r="K285" s="132" t="n"/>
      <c r="L285" s="90">
        <f>IF(ISERROR(GETPIVOTDATA(IF($J285=1,"Count of ACTIVE     CED, FARM GATE (MJ/kg)","Count of CED, processor gate (MJ/kg)"),'[1]Pivot Table_CED'!$A$3,"SUB TYPE","beef")),"PROXY",IF(GETPIVOTDATA(IF($J285=1,"Count of ACTIVE     CED, FARM GATE (MJ/kg)","Count of CED, processor gate (MJ/kg)"),'[1]Pivot Table_CED'!$A$3,"SUB TYPE","beef")=0,"PROXY","DB value"))</f>
        <v/>
      </c>
      <c r="M285" s="91">
        <f>IF($L285="PROXY",DCOUNT('[1]literature entries'!$D:$AI,IF($J285=1,"ACTIVE     CED, FARM GATE (MJ/kg)","CED, processor gate (MJ/kg)"),INDIRECT($K285)),GETPIVOTDATA(IF($J285=1,"Count of ACTIVE     CED, FARM GATE (MJ/kg)","Count of CED, processor gate (MJ/kg)"),'[1]Pivot Table_CED'!$A$3,"SUB TYPE","beef"))</f>
        <v/>
      </c>
      <c r="N285" s="92">
        <f>IF($L285="PROXY",DAVERAGE('[1]literature entries'!$D:$AI,IF($J285=1,"ACTIVE     CED, FARM GATE (MJ/kg)","CED, processor gate (MJ/kg)"),INDIRECT($K285)),GETPIVOTDATA(IF($J285=1,"Average of ACTIVE     CED, FARM GATE (MJ/kg)","Average of CED, processor gate (MJ/kg)"),'[1]Pivot Table_CED'!$A$3,"SUB TYPE","beef"))</f>
        <v/>
      </c>
      <c r="O285" s="92">
        <f>IF($L285="PROXY",DSTDEV('[1]literature entries'!D:AI,IF($J285=1,"ACTIVE     CED, FARM GATE (MJ/kg)","CED, processor gate (MJ/kg)"),INDIRECT($K285)),GETPIVOTDATA(IF($J285=1,"StdDev of ACTIVE     CED, FARM GATE (MJ/kg)","StdDev of CED, processor gate (MJ/kg)"),'[1]Pivot Table_CED'!$A$3,"SUB TYPE","beef"))</f>
        <v/>
      </c>
      <c r="P285" s="90">
        <f>IF(ISERROR(GETPIVOTDATA(IF($J285=1,"Count of ACTIVE     GHGE, FARM GATE (kg CO2e/kg)","Count of GHGE, processor gate (kg CO2e/kg)"),'[1]Pivot Table_GHG'!$A$3,"SUB TYPE","beef")),"PROXY",IF(GETPIVOTDATA(IF($J285=1,"Count of ACTIVE     GHGE, FARM GATE (kg CO2e/kg)","Count of GHGE, processor gate (kg CO2e/kg)"),'[1]Pivot Table_GHG'!$A$3,"SUB TYPE","beef")=0,"PROXY","DB value"))</f>
        <v/>
      </c>
      <c r="Q285" s="93">
        <f>IF($P285="PROXY",DCOUNT('[1]literature entries'!$D:$AI,IF($J285=1,"ACTIVE     GHGE, FARM GATE (kg CO2e/kg)","GHGE, processor gate (kg CO2e/kg)"),INDIRECT($K285)),GETPIVOTDATA(IF($J285=1,"ACTIVE     GHGE, FARM GATE (kg CO2e/kg)","Count of GHGE, processor gate (kg CO2e/kg)"),'[1]Pivot Table_GHG'!$A$3,"SUB TYPE","beef"))</f>
        <v/>
      </c>
      <c r="R285" s="94">
        <f>IF($P285="PROXY",DAVERAGE('[1]literature entries'!$D:$AI,IF($J285=1,"ACTIVE     GHGE, FARM GATE (kg CO2e/kg)","GHGE, processor gate (kg CO2e/kg)"),INDIRECT($K285)),GETPIVOTDATA(IF($J285=1,"Average of ACTIVE     GHGE, FARM GATE (kg CO2e/kg)","Average of GHGE, processor gate (kg CO2e/kg)"),'[1]Pivot Table_GHG'!$A$3,"SUB TYPE","beef"))</f>
        <v/>
      </c>
      <c r="S285" s="94">
        <f>IF($P285="PROXY",DSTDEV('[1]literature entries'!$D:$AI,IF($J285=1,"ACTIVE     GHGE, FARM GATE (kg CO2e/kg)","GHGE, processor gate (kg CO2e/kg)"),INDIRECT($K285)),GETPIVOTDATA(IF($J285=1,"StdDev of ACTIVE     GHGE, FARM GATE (kg CO2e/kg)","StdDev of GHGE, processor gate (kg CO2e/kg)"),'[1]Pivot Table_GHG'!$A$3,"SUB TYPE","beef"))</f>
        <v/>
      </c>
      <c r="T285" s="105" t="n"/>
      <c r="U285" s="106" t="n"/>
      <c r="V285" s="97" t="n"/>
      <c r="W285" s="98">
        <f>IF(L285="PROXY",IF(M285&gt;=5,K285,"need group"),IF(M285&gt;=5,"DIRECT","need group"))</f>
        <v/>
      </c>
      <c r="X285" s="98">
        <f>IF($W285="DIRECT",M285,DCOUNT('[1]literature entries'!$D:$AI,IF($J285=1,"ACTIVE     CED, FARM GATE (MJ/kg)","CED, processor gate (MJ/kg)"),INDIRECT($W285)))</f>
        <v/>
      </c>
      <c r="Y285" s="98">
        <f>IF($W285="DIRECT","",DAVERAGE('[1]literature entries'!$D:$AI,IF($J285=1,"ACTIVE     CED, FARM GATE (MJ/kg)","CED, processor gate (MJ/kg)"),INDIRECT($W285)))</f>
        <v/>
      </c>
      <c r="Z285" s="98">
        <f>IF($W285="DIRECT",$O285,DSTDEV('[1]literature entries'!$D:$AI,IF($J285=1,"ACTIVE     CED, FARM GATE (MJ/kg)","CED, processor gate (MJ/kg)"),INDIRECT($W285)))</f>
        <v/>
      </c>
      <c r="AA285" s="98">
        <f>IF($W285="DIRECT",$O285,$Z285/$Y285*$N285)</f>
        <v/>
      </c>
      <c r="AB285" s="99">
        <f>IF(P285="PROXY",IF(Q285&gt;=5,K285,"need group"),IF(Q285&gt;=5,"DIRECT","need group"))</f>
        <v/>
      </c>
      <c r="AC285" s="99">
        <f>IF($AB285="DIRECT",Q285,DCOUNT('[1]literature entries'!$D:$AI,IF($J285=1,"ACTIVE     GHGE, FARM GATE (kg CO2e/kg)","GHGE, processor gate (kg CO2e/kg)"),INDIRECT($AB285)))</f>
        <v/>
      </c>
      <c r="AD285" s="99">
        <f>IF($AB285="DIRECT","",DAVERAGE('[1]literature entries'!$D:$AI,IF($J285=1,"ACTIVE     GHGE, FARM GATE (kg CO2e/kg)","GHGE, processor gate (kg CO2e/kg)"),INDIRECT($AB285)))</f>
        <v/>
      </c>
      <c r="AE285" s="99">
        <f>IF($AB285="DIRECT",$S285,DSTDEV('[1]literature entries'!$D:$AI,IF($J285=1,"ACTIVE     GHGE, FARM GATE (kg CO2e/kg)","GHGE, processor gate (kg CO2e/kg)"),INDIRECT($AB285)))</f>
        <v/>
      </c>
      <c r="AF285" s="99">
        <f>IF($AB285="DIRECT",$S285,$AE285/$AD285*$R285)</f>
        <v/>
      </c>
    </row>
    <row r="286" ht="15.75" customHeight="1" s="201">
      <c r="A286" s="100" t="n">
        <v>3100049000</v>
      </c>
      <c r="B286" s="101" t="inlineStr">
        <is>
          <t>Beef, liver</t>
        </is>
      </c>
      <c r="C286" s="101" t="inlineStr">
        <is>
          <t>weight of organ including nutrient fat</t>
        </is>
      </c>
      <c r="D286" s="101" t="n"/>
      <c r="E286" s="101" t="n">
        <v>84</v>
      </c>
      <c r="F286" s="84">
        <f>N286*H286+T286</f>
        <v/>
      </c>
      <c r="G286" s="85">
        <f>R286*H286+U286</f>
        <v/>
      </c>
      <c r="H286" s="102" t="n">
        <v>1</v>
      </c>
      <c r="I286" s="103" t="inlineStr">
        <is>
          <t>None</t>
        </is>
      </c>
      <c r="J286" s="104" t="n">
        <v>1</v>
      </c>
      <c r="K286" s="132" t="n"/>
      <c r="L286" s="90">
        <f>IF(ISERROR(GETPIVOTDATA(IF($J286=1,"Count of ACTIVE     CED, FARM GATE (MJ/kg)","Count of CED, processor gate (MJ/kg)"),'[1]Pivot Table_CED'!$A$3,"SUB TYPE","beef")),"PROXY",IF(GETPIVOTDATA(IF($J286=1,"Count of ACTIVE     CED, FARM GATE (MJ/kg)","Count of CED, processor gate (MJ/kg)"),'[1]Pivot Table_CED'!$A$3,"SUB TYPE","beef")=0,"PROXY","DB value"))</f>
        <v/>
      </c>
      <c r="M286" s="91">
        <f>IF($L286="PROXY",DCOUNT('[1]literature entries'!$D:$AI,IF($J286=1,"ACTIVE     CED, FARM GATE (MJ/kg)","CED, processor gate (MJ/kg)"),INDIRECT($K286)),GETPIVOTDATA(IF($J286=1,"Count of ACTIVE     CED, FARM GATE (MJ/kg)","Count of CED, processor gate (MJ/kg)"),'[1]Pivot Table_CED'!$A$3,"SUB TYPE","beef"))</f>
        <v/>
      </c>
      <c r="N286" s="92">
        <f>IF($L286="PROXY",DAVERAGE('[1]literature entries'!$D:$AI,IF($J286=1,"ACTIVE     CED, FARM GATE (MJ/kg)","CED, processor gate (MJ/kg)"),INDIRECT($K286)),GETPIVOTDATA(IF($J286=1,"Average of ACTIVE     CED, FARM GATE (MJ/kg)","Average of CED, processor gate (MJ/kg)"),'[1]Pivot Table_CED'!$A$3,"SUB TYPE","beef"))</f>
        <v/>
      </c>
      <c r="O286" s="92">
        <f>IF($L286="PROXY",DSTDEV('[1]literature entries'!D:AI,IF($J286=1,"ACTIVE     CED, FARM GATE (MJ/kg)","CED, processor gate (MJ/kg)"),INDIRECT($K286)),GETPIVOTDATA(IF($J286=1,"StdDev of ACTIVE     CED, FARM GATE (MJ/kg)","StdDev of CED, processor gate (MJ/kg)"),'[1]Pivot Table_CED'!$A$3,"SUB TYPE","beef"))</f>
        <v/>
      </c>
      <c r="P286" s="90">
        <f>IF(ISERROR(GETPIVOTDATA(IF($J286=1,"Count of ACTIVE     GHGE, FARM GATE (kg CO2e/kg)","Count of GHGE, processor gate (kg CO2e/kg)"),'[1]Pivot Table_GHG'!$A$3,"SUB TYPE","beef")),"PROXY",IF(GETPIVOTDATA(IF($J286=1,"Count of ACTIVE     GHGE, FARM GATE (kg CO2e/kg)","Count of GHGE, processor gate (kg CO2e/kg)"),'[1]Pivot Table_GHG'!$A$3,"SUB TYPE","beef")=0,"PROXY","DB value"))</f>
        <v/>
      </c>
      <c r="Q286" s="93">
        <f>IF($P286="PROXY",DCOUNT('[1]literature entries'!$D:$AI,IF($J286=1,"ACTIVE     GHGE, FARM GATE (kg CO2e/kg)","GHGE, processor gate (kg CO2e/kg)"),INDIRECT($K286)),GETPIVOTDATA(IF($J286=1,"ACTIVE     GHGE, FARM GATE (kg CO2e/kg)","Count of GHGE, processor gate (kg CO2e/kg)"),'[1]Pivot Table_GHG'!$A$3,"SUB TYPE","beef"))</f>
        <v/>
      </c>
      <c r="R286" s="94">
        <f>IF($P286="PROXY",DAVERAGE('[1]literature entries'!$D:$AI,IF($J286=1,"ACTIVE     GHGE, FARM GATE (kg CO2e/kg)","GHGE, processor gate (kg CO2e/kg)"),INDIRECT($K286)),GETPIVOTDATA(IF($J286=1,"Average of ACTIVE     GHGE, FARM GATE (kg CO2e/kg)","Average of GHGE, processor gate (kg CO2e/kg)"),'[1]Pivot Table_GHG'!$A$3,"SUB TYPE","beef"))</f>
        <v/>
      </c>
      <c r="S286" s="94">
        <f>IF($P286="PROXY",DSTDEV('[1]literature entries'!$D:$AI,IF($J286=1,"ACTIVE     GHGE, FARM GATE (kg CO2e/kg)","GHGE, processor gate (kg CO2e/kg)"),INDIRECT($K286)),GETPIVOTDATA(IF($J286=1,"StdDev of ACTIVE     GHGE, FARM GATE (kg CO2e/kg)","StdDev of GHGE, processor gate (kg CO2e/kg)"),'[1]Pivot Table_GHG'!$A$3,"SUB TYPE","beef"))</f>
        <v/>
      </c>
      <c r="T286" s="105" t="n"/>
      <c r="U286" s="106" t="n"/>
      <c r="V286" s="97" t="n"/>
      <c r="W286" s="98">
        <f>IF(L286="PROXY",IF(M286&gt;=5,K286,"need group"),IF(M286&gt;=5,"DIRECT","need group"))</f>
        <v/>
      </c>
      <c r="X286" s="98">
        <f>IF($W286="DIRECT",M286,DCOUNT('[1]literature entries'!$D:$AI,IF($J286=1,"ACTIVE     CED, FARM GATE (MJ/kg)","CED, processor gate (MJ/kg)"),INDIRECT($W286)))</f>
        <v/>
      </c>
      <c r="Y286" s="98">
        <f>IF($W286="DIRECT","",DAVERAGE('[1]literature entries'!$D:$AI,IF($J286=1,"ACTIVE     CED, FARM GATE (MJ/kg)","CED, processor gate (MJ/kg)"),INDIRECT($W286)))</f>
        <v/>
      </c>
      <c r="Z286" s="98">
        <f>IF($W286="DIRECT",$O286,DSTDEV('[1]literature entries'!$D:$AI,IF($J286=1,"ACTIVE     CED, FARM GATE (MJ/kg)","CED, processor gate (MJ/kg)"),INDIRECT($W286)))</f>
        <v/>
      </c>
      <c r="AA286" s="98">
        <f>IF($W286="DIRECT",$O286,$Z286/$Y286*$N286)</f>
        <v/>
      </c>
      <c r="AB286" s="99">
        <f>IF(P286="PROXY",IF(Q286&gt;=5,K286,"need group"),IF(Q286&gt;=5,"DIRECT","need group"))</f>
        <v/>
      </c>
      <c r="AC286" s="99">
        <f>IF($AB286="DIRECT",Q286,DCOUNT('[1]literature entries'!$D:$AI,IF($J286=1,"ACTIVE     GHGE, FARM GATE (kg CO2e/kg)","GHGE, processor gate (kg CO2e/kg)"),INDIRECT($AB286)))</f>
        <v/>
      </c>
      <c r="AD286" s="99">
        <f>IF($AB286="DIRECT","",DAVERAGE('[1]literature entries'!$D:$AI,IF($J286=1,"ACTIVE     GHGE, FARM GATE (kg CO2e/kg)","GHGE, processor gate (kg CO2e/kg)"),INDIRECT($AB286)))</f>
        <v/>
      </c>
      <c r="AE286" s="99">
        <f>IF($AB286="DIRECT",$S286,DSTDEV('[1]literature entries'!$D:$AI,IF($J286=1,"ACTIVE     GHGE, FARM GATE (kg CO2e/kg)","GHGE, processor gate (kg CO2e/kg)"),INDIRECT($AB286)))</f>
        <v/>
      </c>
      <c r="AF286" s="99">
        <f>IF($AB286="DIRECT",$S286,$AE286/$AD286*$R286)</f>
        <v/>
      </c>
    </row>
    <row r="287" ht="15.75" customHeight="1" s="201">
      <c r="A287" s="100" t="n">
        <v>3200169000</v>
      </c>
      <c r="B287" s="101" t="inlineStr">
        <is>
          <t>Goat, meat</t>
        </is>
      </c>
      <c r="C287" s="101" t="inlineStr">
        <is>
          <t>weight of meat; excluding weight of bone, and all nutrient fat and skin</t>
        </is>
      </c>
      <c r="D287" s="101" t="n"/>
      <c r="E287" s="101" t="n">
        <v>45</v>
      </c>
      <c r="F287" s="84">
        <f>N287*H287+T287</f>
        <v/>
      </c>
      <c r="G287" s="85">
        <f>R287*H287+U287</f>
        <v/>
      </c>
      <c r="H287" s="102" t="n">
        <v>1</v>
      </c>
      <c r="I287" s="103" t="inlineStr">
        <is>
          <t>None</t>
        </is>
      </c>
      <c r="J287" s="104" t="n">
        <v>1</v>
      </c>
      <c r="K287" s="133" t="inlineStr">
        <is>
          <t>Sheep</t>
        </is>
      </c>
      <c r="L287" s="90">
        <f>IF(ISERROR(GETPIVOTDATA(IF($J287=1,"Count of ACTIVE     CED, FARM GATE (MJ/kg)","Count of CED, processor gate (MJ/kg)"),'[1]Pivot Table_CED'!$A$3,"SUB TYPE",$B287)),"PROXY",IF(GETPIVOTDATA(IF($J287=1,"Count of ACTIVE     CED, FARM GATE (MJ/kg)","Count of CED, processor gate (MJ/kg)"),'[1]Pivot Table_CED'!$A$3,"SUB TYPE",$B287)=0,"PROXY","DB value"))</f>
        <v/>
      </c>
      <c r="M287" s="91">
        <f>IF($L287="PROXY",DCOUNT('[1]literature entries'!$D:$AI,IF($J287=1,"ACTIVE     CED, FARM GATE (MJ/kg)","CED, processor gate (MJ/kg)"),INDIRECT($K287)),GETPIVOTDATA(IF($J287=1,"Count of ACTIVE     CED, FARM GATE (MJ/kg)","Count of CED, processor gate (MJ/kg)"),'[1]Pivot Table_CED'!$A$3,"SUB TYPE",$B287))</f>
        <v/>
      </c>
      <c r="N287" s="92">
        <f>IF($L287="PROXY",DAVERAGE('[1]literature entries'!$D:$AI,IF($J287=1,"ACTIVE     CED, FARM GATE (MJ/kg)","CED, processor gate (MJ/kg)"),INDIRECT($K287)),GETPIVOTDATA(IF($J287=1,"Average of ACTIVE     CED, FARM GATE (MJ/kg)","Average of CED, processor gate (MJ/kg)"),'[1]Pivot Table_CED'!$A$3,"SUB TYPE",$B287))</f>
        <v/>
      </c>
      <c r="O287" s="92">
        <f>IF($L287="PROXY",DSTDEV('[1]literature entries'!D:AI,IF($J287=1,"ACTIVE     CED, FARM GATE (MJ/kg)","CED, processor gate (MJ/kg)"),INDIRECT($K287)),GETPIVOTDATA(IF($J287=1,"StdDev of ACTIVE     CED, FARM GATE (MJ/kg)","StdDev of CED, processor gate (MJ/kg)"),'[1]Pivot Table_CED'!$A$3,"SUB TYPE",$B287))</f>
        <v/>
      </c>
      <c r="P287" s="90">
        <f>IF(ISERROR(GETPIVOTDATA(IF($J287=1,"Count of ACTIVE     GHGE, FARM GATE (kg CO2e/kg)","Count of GHGE, processor gate (kg CO2e/kg)"),'[1]Pivot Table_GHG'!$A$3,"SUB TYPE",$B287)),"PROXY",IF(GETPIVOTDATA(IF($J287=1,"Count of ACTIVE     GHGE, FARM GATE (kg CO2e/kg)","Count of GHGE, processor gate (kg CO2e/kg)"),'[1]Pivot Table_GHG'!$A$3,"SUB TYPE",$B287)=0,"PROXY","DB value"))</f>
        <v/>
      </c>
      <c r="Q287" s="93">
        <f>IF($P287="PROXY",DCOUNT('[1]literature entries'!$D:$AI,IF($J287=1,"ACTIVE     GHGE, FARM GATE (kg CO2e/kg)","GHGE, processor gate (kg CO2e/kg)"),INDIRECT($K287)),GETPIVOTDATA(IF($J287=1,"ACTIVE     GHGE, FARM GATE (kg CO2e/kg)","Count of GHGE, processor gate (kg CO2e/kg)"),'[1]Pivot Table_GHG'!$A$3,"SUB TYPE",$B287))</f>
        <v/>
      </c>
      <c r="R287" s="94">
        <f>IF($P287="PROXY",DAVERAGE('[1]literature entries'!$D:$AI,IF($J287=1,"ACTIVE     GHGE, FARM GATE (kg CO2e/kg)","GHGE, processor gate (kg CO2e/kg)"),INDIRECT($K287)),GETPIVOTDATA(IF($J287=1,"Average of ACTIVE     GHGE, FARM GATE (kg CO2e/kg)","Average of GHGE, processor gate (kg CO2e/kg)"),'[1]Pivot Table_GHG'!$A$3,"SUB TYPE",$B287))</f>
        <v/>
      </c>
      <c r="S287" s="94">
        <f>IF($P287="PROXY",DSTDEV('[1]literature entries'!$D:$AI,IF($J287=1,"ACTIVE     GHGE, FARM GATE (kg CO2e/kg)","GHGE, processor gate (kg CO2e/kg)"),INDIRECT($K287)),GETPIVOTDATA(IF($J287=1,"StdDev of ACTIVE     GHGE, FARM GATE (kg CO2e/kg)","StdDev of GHGE, processor gate (kg CO2e/kg)"),'[1]Pivot Table_GHG'!$A$3,"SUB TYPE",$B287))</f>
        <v/>
      </c>
      <c r="T287" s="105" t="n"/>
      <c r="U287" s="106" t="n"/>
      <c r="V287" s="97" t="n"/>
      <c r="W287" s="98">
        <f>IF(L287="PROXY",IF(M287&gt;=5,K287,"need group"),IF(M287&gt;=5,"DIRECT","need group"))</f>
        <v/>
      </c>
      <c r="X287" s="98">
        <f>IF($W287="DIRECT",M287,DCOUNT('[1]literature entries'!$D:$AI,IF($J287=1,"ACTIVE     CED, FARM GATE (MJ/kg)","CED, processor gate (MJ/kg)"),INDIRECT($W287)))</f>
        <v/>
      </c>
      <c r="Y287" s="98">
        <f>IF($W287="DIRECT","",DAVERAGE('[1]literature entries'!$D:$AI,IF($J287=1,"ACTIVE     CED, FARM GATE (MJ/kg)","CED, processor gate (MJ/kg)"),INDIRECT($W287)))</f>
        <v/>
      </c>
      <c r="Z287" s="98">
        <f>IF($W287="DIRECT",$O287,DSTDEV('[1]literature entries'!$D:$AI,IF($J287=1,"ACTIVE     CED, FARM GATE (MJ/kg)","CED, processor gate (MJ/kg)"),INDIRECT($W287)))</f>
        <v/>
      </c>
      <c r="AA287" s="98">
        <f>IF($W287="DIRECT",$O287,$Z287/$Y287*$N287)</f>
        <v/>
      </c>
      <c r="AB287" s="99">
        <f>IF(P287="PROXY",IF(Q287&gt;=5,K287,"need group"),IF(Q287&gt;=5,"DIRECT","need group"))</f>
        <v/>
      </c>
      <c r="AC287" s="99">
        <f>IF($AB287="DIRECT",Q287,DCOUNT('[1]literature entries'!$D:$AI,IF($J287=1,"ACTIVE     GHGE, FARM GATE (kg CO2e/kg)","GHGE, processor gate (kg CO2e/kg)"),INDIRECT($AB287)))</f>
        <v/>
      </c>
      <c r="AD287" s="99">
        <f>IF($AB287="DIRECT","",DAVERAGE('[1]literature entries'!$D:$AI,IF($J287=1,"ACTIVE     GHGE, FARM GATE (kg CO2e/kg)","GHGE, processor gate (kg CO2e/kg)"),INDIRECT($AB287)))</f>
        <v/>
      </c>
      <c r="AE287" s="99">
        <f>IF($AB287="DIRECT",$S287,DSTDEV('[1]literature entries'!$D:$AI,IF($J287=1,"ACTIVE     GHGE, FARM GATE (kg CO2e/kg)","GHGE, processor gate (kg CO2e/kg)"),INDIRECT($AB287)))</f>
        <v/>
      </c>
      <c r="AF287" s="99">
        <f>IF($AB287="DIRECT",$S287,$AE287/$AD287*$R287)</f>
        <v/>
      </c>
    </row>
    <row r="288" ht="15.75" customHeight="1" s="201">
      <c r="A288" s="100" t="n">
        <v>3200170000</v>
      </c>
      <c r="B288" s="101" t="inlineStr">
        <is>
          <t>Goat, meat byproducts</t>
        </is>
      </c>
      <c r="C288" s="101" t="inlineStr">
        <is>
          <t>weight of meat; excluding bone; may include some trimmable fat and/or skin</t>
        </is>
      </c>
      <c r="D288" s="101" t="inlineStr">
        <is>
          <t>Includes brain, heart, and head.</t>
        </is>
      </c>
      <c r="E288" s="101" t="n">
        <v>1</v>
      </c>
      <c r="F288" s="84">
        <f>N288*H288+T288</f>
        <v/>
      </c>
      <c r="G288" s="85">
        <f>R288*H288+U288</f>
        <v/>
      </c>
      <c r="H288" s="102" t="n">
        <v>1</v>
      </c>
      <c r="I288" s="103" t="inlineStr">
        <is>
          <t>None</t>
        </is>
      </c>
      <c r="J288" s="104" t="n">
        <v>1</v>
      </c>
      <c r="K288" s="133" t="inlineStr">
        <is>
          <t>Sheep</t>
        </is>
      </c>
      <c r="L288" s="90">
        <f>IF(ISERROR(GETPIVOTDATA(IF($J288=1,"Count of ACTIVE     CED, FARM GATE (MJ/kg)","Count of CED, processor gate (MJ/kg)"),'[1]Pivot Table_CED'!$A$3,"SUB TYPE",$B288)),"PROXY",IF(GETPIVOTDATA(IF($J288=1,"Count of ACTIVE     CED, FARM GATE (MJ/kg)","Count of CED, processor gate (MJ/kg)"),'[1]Pivot Table_CED'!$A$3,"SUB TYPE",$B288)=0,"PROXY","DB value"))</f>
        <v/>
      </c>
      <c r="M288" s="91">
        <f>IF($L288="PROXY",DCOUNT('[1]literature entries'!$D:$AI,IF($J288=1,"ACTIVE     CED, FARM GATE (MJ/kg)","CED, processor gate (MJ/kg)"),INDIRECT($K288)),GETPIVOTDATA(IF($J288=1,"Count of ACTIVE     CED, FARM GATE (MJ/kg)","Count of CED, processor gate (MJ/kg)"),'[1]Pivot Table_CED'!$A$3,"SUB TYPE",$B288))</f>
        <v/>
      </c>
      <c r="N288" s="92">
        <f>IF($L288="PROXY",DAVERAGE('[1]literature entries'!$D:$AI,IF($J288=1,"ACTIVE     CED, FARM GATE (MJ/kg)","CED, processor gate (MJ/kg)"),INDIRECT($K288)),GETPIVOTDATA(IF($J288=1,"Average of ACTIVE     CED, FARM GATE (MJ/kg)","Average of CED, processor gate (MJ/kg)"),'[1]Pivot Table_CED'!$A$3,"SUB TYPE",$B288))</f>
        <v/>
      </c>
      <c r="O288" s="92">
        <f>IF($L288="PROXY",DSTDEV('[1]literature entries'!D:AI,IF($J288=1,"ACTIVE     CED, FARM GATE (MJ/kg)","CED, processor gate (MJ/kg)"),INDIRECT($K288)),GETPIVOTDATA(IF($J288=1,"StdDev of ACTIVE     CED, FARM GATE (MJ/kg)","StdDev of CED, processor gate (MJ/kg)"),'[1]Pivot Table_CED'!$A$3,"SUB TYPE",$B288))</f>
        <v/>
      </c>
      <c r="P288" s="90">
        <f>IF(ISERROR(GETPIVOTDATA(IF($J288=1,"Count of ACTIVE     GHGE, FARM GATE (kg CO2e/kg)","Count of GHGE, processor gate (kg CO2e/kg)"),'[1]Pivot Table_GHG'!$A$3,"SUB TYPE",$B288)),"PROXY",IF(GETPIVOTDATA(IF($J288=1,"Count of ACTIVE     GHGE, FARM GATE (kg CO2e/kg)","Count of GHGE, processor gate (kg CO2e/kg)"),'[1]Pivot Table_GHG'!$A$3,"SUB TYPE",$B288)=0,"PROXY","DB value"))</f>
        <v/>
      </c>
      <c r="Q288" s="93">
        <f>IF($P288="PROXY",DCOUNT('[1]literature entries'!$D:$AI,IF($J288=1,"ACTIVE     GHGE, FARM GATE (kg CO2e/kg)","GHGE, processor gate (kg CO2e/kg)"),INDIRECT($K288)),GETPIVOTDATA(IF($J288=1,"ACTIVE     GHGE, FARM GATE (kg CO2e/kg)","Count of GHGE, processor gate (kg CO2e/kg)"),'[1]Pivot Table_GHG'!$A$3,"SUB TYPE",$B288))</f>
        <v/>
      </c>
      <c r="R288" s="94">
        <f>IF($P288="PROXY",DAVERAGE('[1]literature entries'!$D:$AI,IF($J288=1,"ACTIVE     GHGE, FARM GATE (kg CO2e/kg)","GHGE, processor gate (kg CO2e/kg)"),INDIRECT($K288)),GETPIVOTDATA(IF($J288=1,"Average of ACTIVE     GHGE, FARM GATE (kg CO2e/kg)","Average of GHGE, processor gate (kg CO2e/kg)"),'[1]Pivot Table_GHG'!$A$3,"SUB TYPE",$B288))</f>
        <v/>
      </c>
      <c r="S288" s="94">
        <f>IF($P288="PROXY",DSTDEV('[1]literature entries'!$D:$AI,IF($J288=1,"ACTIVE     GHGE, FARM GATE (kg CO2e/kg)","GHGE, processor gate (kg CO2e/kg)"),INDIRECT($K288)),GETPIVOTDATA(IF($J288=1,"StdDev of ACTIVE     GHGE, FARM GATE (kg CO2e/kg)","StdDev of GHGE, processor gate (kg CO2e/kg)"),'[1]Pivot Table_GHG'!$A$3,"SUB TYPE",$B288))</f>
        <v/>
      </c>
      <c r="T288" s="105" t="n"/>
      <c r="U288" s="106" t="n"/>
      <c r="V288" s="97" t="n"/>
      <c r="W288" s="98">
        <f>IF(L288="PROXY",IF(M288&gt;=5,K288,"need group"),IF(M288&gt;=5,"DIRECT","need group"))</f>
        <v/>
      </c>
      <c r="X288" s="98">
        <f>IF($W288="DIRECT",M288,DCOUNT('[1]literature entries'!$D:$AI,IF($J288=1,"ACTIVE     CED, FARM GATE (MJ/kg)","CED, processor gate (MJ/kg)"),INDIRECT($W288)))</f>
        <v/>
      </c>
      <c r="Y288" s="98">
        <f>IF($W288="DIRECT","",DAVERAGE('[1]literature entries'!$D:$AI,IF($J288=1,"ACTIVE     CED, FARM GATE (MJ/kg)","CED, processor gate (MJ/kg)"),INDIRECT($W288)))</f>
        <v/>
      </c>
      <c r="Z288" s="98">
        <f>IF($W288="DIRECT",$O288,DSTDEV('[1]literature entries'!$D:$AI,IF($J288=1,"ACTIVE     CED, FARM GATE (MJ/kg)","CED, processor gate (MJ/kg)"),INDIRECT($W288)))</f>
        <v/>
      </c>
      <c r="AA288" s="98">
        <f>IF($W288="DIRECT",$O288,$Z288/$Y288*$N288)</f>
        <v/>
      </c>
      <c r="AB288" s="99">
        <f>IF(P288="PROXY",IF(Q288&gt;=5,K288,"need group"),IF(Q288&gt;=5,"DIRECT","need group"))</f>
        <v/>
      </c>
      <c r="AC288" s="99">
        <f>IF($AB288="DIRECT",Q288,DCOUNT('[1]literature entries'!$D:$AI,IF($J288=1,"ACTIVE     GHGE, FARM GATE (kg CO2e/kg)","GHGE, processor gate (kg CO2e/kg)"),INDIRECT($AB288)))</f>
        <v/>
      </c>
      <c r="AD288" s="99">
        <f>IF($AB288="DIRECT","",DAVERAGE('[1]literature entries'!$D:$AI,IF($J288=1,"ACTIVE     GHGE, FARM GATE (kg CO2e/kg)","GHGE, processor gate (kg CO2e/kg)"),INDIRECT($AB288)))</f>
        <v/>
      </c>
      <c r="AE288" s="99">
        <f>IF($AB288="DIRECT",$S288,DSTDEV('[1]literature entries'!$D:$AI,IF($J288=1,"ACTIVE     GHGE, FARM GATE (kg CO2e/kg)","GHGE, processor gate (kg CO2e/kg)"),INDIRECT($AB288)))</f>
        <v/>
      </c>
      <c r="AF288" s="99">
        <f>IF($AB288="DIRECT",$S288,$AE288/$AD288*$R288)</f>
        <v/>
      </c>
    </row>
    <row r="289" ht="15.75" customHeight="1" s="201">
      <c r="A289" s="100" t="n">
        <v>3200171000</v>
      </c>
      <c r="B289" s="101" t="inlineStr">
        <is>
          <t>Goat, fat</t>
        </is>
      </c>
      <c r="C289" s="101" t="inlineStr">
        <is>
          <t>weight of nutrient fat only; include nutrient fat from goat meat</t>
        </is>
      </c>
      <c r="D289" s="101" t="n"/>
      <c r="E289" s="101" t="n">
        <v>45</v>
      </c>
      <c r="F289" s="84">
        <f>N289*H289+T289</f>
        <v/>
      </c>
      <c r="G289" s="85">
        <f>R289*H289+U289</f>
        <v/>
      </c>
      <c r="H289" s="102" t="n">
        <v>1</v>
      </c>
      <c r="I289" s="103" t="inlineStr">
        <is>
          <t>None</t>
        </is>
      </c>
      <c r="J289" s="104" t="n">
        <v>1</v>
      </c>
      <c r="K289" s="133" t="inlineStr">
        <is>
          <t>Sheep</t>
        </is>
      </c>
      <c r="L289" s="90">
        <f>IF(ISERROR(GETPIVOTDATA(IF($J289=1,"Count of ACTIVE     CED, FARM GATE (MJ/kg)","Count of CED, processor gate (MJ/kg)"),'[1]Pivot Table_CED'!$A$3,"SUB TYPE",$B289)),"PROXY",IF(GETPIVOTDATA(IF($J289=1,"Count of ACTIVE     CED, FARM GATE (MJ/kg)","Count of CED, processor gate (MJ/kg)"),'[1]Pivot Table_CED'!$A$3,"SUB TYPE",$B289)=0,"PROXY","DB value"))</f>
        <v/>
      </c>
      <c r="M289" s="91">
        <f>IF($L289="PROXY",DCOUNT('[1]literature entries'!$D:$AI,IF($J289=1,"ACTIVE     CED, FARM GATE (MJ/kg)","CED, processor gate (MJ/kg)"),INDIRECT($K289)),GETPIVOTDATA(IF($J289=1,"Count of ACTIVE     CED, FARM GATE (MJ/kg)","Count of CED, processor gate (MJ/kg)"),'[1]Pivot Table_CED'!$A$3,"SUB TYPE",$B289))</f>
        <v/>
      </c>
      <c r="N289" s="92">
        <f>IF($L289="PROXY",DAVERAGE('[1]literature entries'!$D:$AI,IF($J289=1,"ACTIVE     CED, FARM GATE (MJ/kg)","CED, processor gate (MJ/kg)"),INDIRECT($K289)),GETPIVOTDATA(IF($J289=1,"Average of ACTIVE     CED, FARM GATE (MJ/kg)","Average of CED, processor gate (MJ/kg)"),'[1]Pivot Table_CED'!$A$3,"SUB TYPE",$B289))</f>
        <v/>
      </c>
      <c r="O289" s="92">
        <f>IF($L289="PROXY",DSTDEV('[1]literature entries'!D:AI,IF($J289=1,"ACTIVE     CED, FARM GATE (MJ/kg)","CED, processor gate (MJ/kg)"),INDIRECT($K289)),GETPIVOTDATA(IF($J289=1,"StdDev of ACTIVE     CED, FARM GATE (MJ/kg)","StdDev of CED, processor gate (MJ/kg)"),'[1]Pivot Table_CED'!$A$3,"SUB TYPE",$B289))</f>
        <v/>
      </c>
      <c r="P289" s="90">
        <f>IF(ISERROR(GETPIVOTDATA(IF($J289=1,"Count of ACTIVE     GHGE, FARM GATE (kg CO2e/kg)","Count of GHGE, processor gate (kg CO2e/kg)"),'[1]Pivot Table_GHG'!$A$3,"SUB TYPE",$B289)),"PROXY",IF(GETPIVOTDATA(IF($J289=1,"Count of ACTIVE     GHGE, FARM GATE (kg CO2e/kg)","Count of GHGE, processor gate (kg CO2e/kg)"),'[1]Pivot Table_GHG'!$A$3,"SUB TYPE",$B289)=0,"PROXY","DB value"))</f>
        <v/>
      </c>
      <c r="Q289" s="93">
        <f>IF($P289="PROXY",DCOUNT('[1]literature entries'!$D:$AI,IF($J289=1,"ACTIVE     GHGE, FARM GATE (kg CO2e/kg)","GHGE, processor gate (kg CO2e/kg)"),INDIRECT($K289)),GETPIVOTDATA(IF($J289=1,"ACTIVE     GHGE, FARM GATE (kg CO2e/kg)","Count of GHGE, processor gate (kg CO2e/kg)"),'[1]Pivot Table_GHG'!$A$3,"SUB TYPE",$B289))</f>
        <v/>
      </c>
      <c r="R289" s="94">
        <f>IF($P289="PROXY",DAVERAGE('[1]literature entries'!$D:$AI,IF($J289=1,"ACTIVE     GHGE, FARM GATE (kg CO2e/kg)","GHGE, processor gate (kg CO2e/kg)"),INDIRECT($K289)),GETPIVOTDATA(IF($J289=1,"Average of ACTIVE     GHGE, FARM GATE (kg CO2e/kg)","Average of GHGE, processor gate (kg CO2e/kg)"),'[1]Pivot Table_GHG'!$A$3,"SUB TYPE",$B289))</f>
        <v/>
      </c>
      <c r="S289" s="94">
        <f>IF($P289="PROXY",DSTDEV('[1]literature entries'!$D:$AI,IF($J289=1,"ACTIVE     GHGE, FARM GATE (kg CO2e/kg)","GHGE, processor gate (kg CO2e/kg)"),INDIRECT($K289)),GETPIVOTDATA(IF($J289=1,"StdDev of ACTIVE     GHGE, FARM GATE (kg CO2e/kg)","StdDev of GHGE, processor gate (kg CO2e/kg)"),'[1]Pivot Table_GHG'!$A$3,"SUB TYPE",$B289))</f>
        <v/>
      </c>
      <c r="T289" s="105" t="n"/>
      <c r="U289" s="106" t="n"/>
      <c r="V289" s="97" t="n"/>
      <c r="W289" s="98">
        <f>IF(L289="PROXY",IF(M289&gt;=5,K289,"need group"),IF(M289&gt;=5,"DIRECT","need group"))</f>
        <v/>
      </c>
      <c r="X289" s="98">
        <f>IF($W289="DIRECT",M289,DCOUNT('[1]literature entries'!$D:$AI,IF($J289=1,"ACTIVE     CED, FARM GATE (MJ/kg)","CED, processor gate (MJ/kg)"),INDIRECT($W289)))</f>
        <v/>
      </c>
      <c r="Y289" s="98">
        <f>IF($W289="DIRECT","",DAVERAGE('[1]literature entries'!$D:$AI,IF($J289=1,"ACTIVE     CED, FARM GATE (MJ/kg)","CED, processor gate (MJ/kg)"),INDIRECT($W289)))</f>
        <v/>
      </c>
      <c r="Z289" s="98">
        <f>IF($W289="DIRECT",$O289,DSTDEV('[1]literature entries'!$D:$AI,IF($J289=1,"ACTIVE     CED, FARM GATE (MJ/kg)","CED, processor gate (MJ/kg)"),INDIRECT($W289)))</f>
        <v/>
      </c>
      <c r="AA289" s="98">
        <f>IF($W289="DIRECT",$O289,$Z289/$Y289*$N289)</f>
        <v/>
      </c>
      <c r="AB289" s="99">
        <f>IF(P289="PROXY",IF(Q289&gt;=5,K289,"need group"),IF(Q289&gt;=5,"DIRECT","need group"))</f>
        <v/>
      </c>
      <c r="AC289" s="99">
        <f>IF($AB289="DIRECT",Q289,DCOUNT('[1]literature entries'!$D:$AI,IF($J289=1,"ACTIVE     GHGE, FARM GATE (kg CO2e/kg)","GHGE, processor gate (kg CO2e/kg)"),INDIRECT($AB289)))</f>
        <v/>
      </c>
      <c r="AD289" s="99">
        <f>IF($AB289="DIRECT","",DAVERAGE('[1]literature entries'!$D:$AI,IF($J289=1,"ACTIVE     GHGE, FARM GATE (kg CO2e/kg)","GHGE, processor gate (kg CO2e/kg)"),INDIRECT($AB289)))</f>
        <v/>
      </c>
      <c r="AE289" s="99">
        <f>IF($AB289="DIRECT",$S289,DSTDEV('[1]literature entries'!$D:$AI,IF($J289=1,"ACTIVE     GHGE, FARM GATE (kg CO2e/kg)","GHGE, processor gate (kg CO2e/kg)"),INDIRECT($AB289)))</f>
        <v/>
      </c>
      <c r="AF289" s="99">
        <f>IF($AB289="DIRECT",$S289,$AE289/$AD289*$R289)</f>
        <v/>
      </c>
    </row>
    <row r="290" ht="15.75" customHeight="1" s="201">
      <c r="A290" s="100" t="n">
        <v>3400290000</v>
      </c>
      <c r="B290" s="101" t="inlineStr">
        <is>
          <t>Pork, meat</t>
        </is>
      </c>
      <c r="C290" s="101" t="inlineStr">
        <is>
          <t>weight of meat; excluding weight of bone, and all nutrient fat and skin</t>
        </is>
      </c>
      <c r="D290" s="101" t="n"/>
      <c r="E290" s="101" t="n">
        <v>24279</v>
      </c>
      <c r="F290" s="84">
        <f>N290*H290+T290</f>
        <v/>
      </c>
      <c r="G290" s="85">
        <f>R290*H290+U290</f>
        <v/>
      </c>
      <c r="H290" s="102" t="n">
        <v>1</v>
      </c>
      <c r="I290" s="103" t="inlineStr">
        <is>
          <t>None</t>
        </is>
      </c>
      <c r="J290" s="104" t="n">
        <v>1</v>
      </c>
      <c r="K290" s="132" t="n"/>
      <c r="L290" s="90">
        <f>IF(ISERROR(GETPIVOTDATA(IF($J290=1,"Count of ACTIVE     CED, FARM GATE (MJ/kg)","Count of CED, processor gate (MJ/kg)"),'[1]Pivot Table_CED'!$A$3,"SUB TYPE","pork")),"PROXY",IF(GETPIVOTDATA(IF($J290=1,"Count of ACTIVE     CED, FARM GATE (MJ/kg)","Count of CED, processor gate (MJ/kg)"),'[1]Pivot Table_CED'!$A$3,"SUB TYPE","pork")=0,"PROXY","DB value"))</f>
        <v/>
      </c>
      <c r="M290" s="91">
        <f>IF($L290="PROXY",DCOUNT('[1]literature entries'!$D:$AI,IF($J290=1,"ACTIVE     CED, FARM GATE (MJ/kg)","CED, processor gate (MJ/kg)"),INDIRECT($K290)),GETPIVOTDATA(IF($J290=1,"Count of ACTIVE     CED, FARM GATE (MJ/kg)","Count of CED, processor gate (MJ/kg)"),'[1]Pivot Table_CED'!$A$3,"SUB TYPE","pork"))</f>
        <v/>
      </c>
      <c r="N290" s="92">
        <f>IF($L290="PROXY",DAVERAGE('[1]literature entries'!$D:$AI,IF($J290=1,"ACTIVE     CED, FARM GATE (MJ/kg)","CED, processor gate (MJ/kg)"),INDIRECT($K290)),GETPIVOTDATA(IF($J290=1,"Average of ACTIVE     CED, FARM GATE (MJ/kg)","Average of CED, processor gate (MJ/kg)"),'[1]Pivot Table_CED'!$A$3,"SUB TYPE","pork"))</f>
        <v/>
      </c>
      <c r="O290" s="92">
        <f>IF($L290="PROXY",DSTDEV('[1]literature entries'!D:AI,IF($J290=1,"ACTIVE     CED, FARM GATE (MJ/kg)","CED, processor gate (MJ/kg)"),INDIRECT($K290)),GETPIVOTDATA(IF($J290=1,"StdDev of ACTIVE     CED, FARM GATE (MJ/kg)","StdDev of CED, processor gate (MJ/kg)"),'[1]Pivot Table_CED'!$A$3,"SUB TYPE","pork"))</f>
        <v/>
      </c>
      <c r="P290" s="90">
        <f>IF(ISERROR(GETPIVOTDATA(IF($J290=1,"Count of ACTIVE     GHGE, FARM GATE (kg CO2e/kg)","Count of GHGE, processor gate (kg CO2e/kg)"),'[1]Pivot Table_GHG'!$A$3,"SUB TYPE","pork")),"PROXY",IF(GETPIVOTDATA(IF($J290=1,"Count of ACTIVE     GHGE, FARM GATE (kg CO2e/kg)","Count of GHGE, processor gate (kg CO2e/kg)"),'[1]Pivot Table_GHG'!$A$3,"SUB TYPE","pork")=0,"PROXY","DB value"))</f>
        <v/>
      </c>
      <c r="Q290" s="93">
        <f>IF($P290="PROXY",DCOUNT('[1]literature entries'!$D:$AI,IF($J290=1,"ACTIVE     GHGE, FARM GATE (kg CO2e/kg)","GHGE, processor gate (kg CO2e/kg)"),INDIRECT($K290)),GETPIVOTDATA(IF($J290=1,"ACTIVE     GHGE, FARM GATE (kg CO2e/kg)","Count of GHGE, processor gate (kg CO2e/kg)"),'[1]Pivot Table_GHG'!$A$3,"SUB TYPE","pork"))</f>
        <v/>
      </c>
      <c r="R290" s="94">
        <f>IF($P290="PROXY",DAVERAGE('[1]literature entries'!$D:$AI,IF($J290=1,"ACTIVE     GHGE, FARM GATE (kg CO2e/kg)","GHGE, processor gate (kg CO2e/kg)"),INDIRECT($K290)),GETPIVOTDATA(IF($J290=1,"Average of ACTIVE     GHGE, FARM GATE (kg CO2e/kg)","Average of GHGE, processor gate (kg CO2e/kg)"),'[1]Pivot Table_GHG'!$A$3,"SUB TYPE","pork"))</f>
        <v/>
      </c>
      <c r="S290" s="94">
        <f>IF($P290="PROXY",DSTDEV('[1]literature entries'!$D:$AI,IF($J290=1,"ACTIVE     GHGE, FARM GATE (kg CO2e/kg)","GHGE, processor gate (kg CO2e/kg)"),INDIRECT($K290)),GETPIVOTDATA(IF($J290=1,"StdDev of ACTIVE     GHGE, FARM GATE (kg CO2e/kg)","StdDev of GHGE, processor gate (kg CO2e/kg)"),'[1]Pivot Table_GHG'!$A$3,"SUB TYPE","pork"))</f>
        <v/>
      </c>
      <c r="T290" s="105" t="n"/>
      <c r="U290" s="106" t="n"/>
      <c r="V290" s="97" t="n"/>
      <c r="W290" s="98">
        <f>IF(L290="PROXY",IF(M290&gt;=5,K290,"need group"),IF(M290&gt;=5,"DIRECT","need group"))</f>
        <v/>
      </c>
      <c r="X290" s="98">
        <f>IF($W290="DIRECT",M290,DCOUNT('[1]literature entries'!$D:$AI,IF($J290=1,"ACTIVE     CED, FARM GATE (MJ/kg)","CED, processor gate (MJ/kg)"),INDIRECT($W290)))</f>
        <v/>
      </c>
      <c r="Y290" s="98">
        <f>IF($W290="DIRECT","",DAVERAGE('[1]literature entries'!$D:$AI,IF($J290=1,"ACTIVE     CED, FARM GATE (MJ/kg)","CED, processor gate (MJ/kg)"),INDIRECT($W290)))</f>
        <v/>
      </c>
      <c r="Z290" s="98">
        <f>IF($W290="DIRECT",$O290,DSTDEV('[1]literature entries'!$D:$AI,IF($J290=1,"ACTIVE     CED, FARM GATE (MJ/kg)","CED, processor gate (MJ/kg)"),INDIRECT($W290)))</f>
        <v/>
      </c>
      <c r="AA290" s="98">
        <f>IF($W290="DIRECT",$O290,$Z290/$Y290*$N290)</f>
        <v/>
      </c>
      <c r="AB290" s="99">
        <f>IF(P290="PROXY",IF(Q290&gt;=5,K290,"need group"),IF(Q290&gt;=5,"DIRECT","need group"))</f>
        <v/>
      </c>
      <c r="AC290" s="99">
        <f>IF($AB290="DIRECT",Q290,DCOUNT('[1]literature entries'!$D:$AI,IF($J290=1,"ACTIVE     GHGE, FARM GATE (kg CO2e/kg)","GHGE, processor gate (kg CO2e/kg)"),INDIRECT($AB290)))</f>
        <v/>
      </c>
      <c r="AD290" s="99">
        <f>IF($AB290="DIRECT","",DAVERAGE('[1]literature entries'!$D:$AI,IF($J290=1,"ACTIVE     GHGE, FARM GATE (kg CO2e/kg)","GHGE, processor gate (kg CO2e/kg)"),INDIRECT($AB290)))</f>
        <v/>
      </c>
      <c r="AE290" s="99">
        <f>IF($AB290="DIRECT",$S290,DSTDEV('[1]literature entries'!$D:$AI,IF($J290=1,"ACTIVE     GHGE, FARM GATE (kg CO2e/kg)","GHGE, processor gate (kg CO2e/kg)"),INDIRECT($AB290)))</f>
        <v/>
      </c>
      <c r="AF290" s="99">
        <f>IF($AB290="DIRECT",$S290,$AE290/$AD290*$R290)</f>
        <v/>
      </c>
    </row>
    <row r="291" ht="15.75" customHeight="1" s="201">
      <c r="A291" s="100" t="n">
        <v>3400291000</v>
      </c>
      <c r="B291" s="101" t="inlineStr">
        <is>
          <t>Pork, skin</t>
        </is>
      </c>
      <c r="C291" s="101" t="inlineStr">
        <is>
          <t>dry weight of skin including nutrient fat</t>
        </is>
      </c>
      <c r="D291" s="101" t="inlineStr">
        <is>
          <t>e.g., pork rind snacks.</t>
        </is>
      </c>
      <c r="E291" s="101" t="n">
        <v>10329</v>
      </c>
      <c r="F291" s="84">
        <f>N291*H291+T291</f>
        <v/>
      </c>
      <c r="G291" s="85">
        <f>R291*H291+U291</f>
        <v/>
      </c>
      <c r="H291" s="102" t="n">
        <v>1</v>
      </c>
      <c r="I291" s="103" t="inlineStr">
        <is>
          <t>None</t>
        </is>
      </c>
      <c r="J291" s="104" t="n">
        <v>1</v>
      </c>
      <c r="K291" s="132" t="n"/>
      <c r="L291" s="90">
        <f>IF(ISERROR(GETPIVOTDATA(IF($J291=1,"Count of ACTIVE     CED, FARM GATE (MJ/kg)","Count of CED, processor gate (MJ/kg)"),'[1]Pivot Table_CED'!$A$3,"SUB TYPE","pork")),"PROXY",IF(GETPIVOTDATA(IF($J291=1,"Count of ACTIVE     CED, FARM GATE (MJ/kg)","Count of CED, processor gate (MJ/kg)"),'[1]Pivot Table_CED'!$A$3,"SUB TYPE","pork")=0,"PROXY","DB value"))</f>
        <v/>
      </c>
      <c r="M291" s="91">
        <f>IF($L291="PROXY",DCOUNT('[1]literature entries'!$D:$AI,IF($J291=1,"ACTIVE     CED, FARM GATE (MJ/kg)","CED, processor gate (MJ/kg)"),INDIRECT($K291)),GETPIVOTDATA(IF($J291=1,"Count of ACTIVE     CED, FARM GATE (MJ/kg)","Count of CED, processor gate (MJ/kg)"),'[1]Pivot Table_CED'!$A$3,"SUB TYPE","pork"))</f>
        <v/>
      </c>
      <c r="N291" s="92">
        <f>IF($L291="PROXY",DAVERAGE('[1]literature entries'!$D:$AI,IF($J291=1,"ACTIVE     CED, FARM GATE (MJ/kg)","CED, processor gate (MJ/kg)"),INDIRECT($K291)),GETPIVOTDATA(IF($J291=1,"Average of ACTIVE     CED, FARM GATE (MJ/kg)","Average of CED, processor gate (MJ/kg)"),'[1]Pivot Table_CED'!$A$3,"SUB TYPE","pork"))</f>
        <v/>
      </c>
      <c r="O291" s="92">
        <f>IF($L291="PROXY",DSTDEV('[1]literature entries'!D:AI,IF($J291=1,"ACTIVE     CED, FARM GATE (MJ/kg)","CED, processor gate (MJ/kg)"),INDIRECT($K291)),GETPIVOTDATA(IF($J291=1,"StdDev of ACTIVE     CED, FARM GATE (MJ/kg)","StdDev of CED, processor gate (MJ/kg)"),'[1]Pivot Table_CED'!$A$3,"SUB TYPE","pork"))</f>
        <v/>
      </c>
      <c r="P291" s="90">
        <f>IF(ISERROR(GETPIVOTDATA(IF($J291=1,"Count of ACTIVE     GHGE, FARM GATE (kg CO2e/kg)","Count of GHGE, processor gate (kg CO2e/kg)"),'[1]Pivot Table_GHG'!$A$3,"SUB TYPE","pork")),"PROXY",IF(GETPIVOTDATA(IF($J291=1,"Count of ACTIVE     GHGE, FARM GATE (kg CO2e/kg)","Count of GHGE, processor gate (kg CO2e/kg)"),'[1]Pivot Table_GHG'!$A$3,"SUB TYPE","pork")=0,"PROXY","DB value"))</f>
        <v/>
      </c>
      <c r="Q291" s="93">
        <f>IF($P291="PROXY",DCOUNT('[1]literature entries'!$D:$AI,IF($J291=1,"ACTIVE     GHGE, FARM GATE (kg CO2e/kg)","GHGE, processor gate (kg CO2e/kg)"),INDIRECT($K291)),GETPIVOTDATA(IF($J291=1,"ACTIVE     GHGE, FARM GATE (kg CO2e/kg)","Count of GHGE, processor gate (kg CO2e/kg)"),'[1]Pivot Table_GHG'!$A$3,"SUB TYPE","pork"))</f>
        <v/>
      </c>
      <c r="R291" s="94">
        <f>IF($P291="PROXY",DAVERAGE('[1]literature entries'!$D:$AI,IF($J291=1,"ACTIVE     GHGE, FARM GATE (kg CO2e/kg)","GHGE, processor gate (kg CO2e/kg)"),INDIRECT($K291)),GETPIVOTDATA(IF($J291=1,"Average of ACTIVE     GHGE, FARM GATE (kg CO2e/kg)","Average of GHGE, processor gate (kg CO2e/kg)"),'[1]Pivot Table_GHG'!$A$3,"SUB TYPE","pork"))</f>
        <v/>
      </c>
      <c r="S291" s="94">
        <f>IF($P291="PROXY",DSTDEV('[1]literature entries'!$D:$AI,IF($J291=1,"ACTIVE     GHGE, FARM GATE (kg CO2e/kg)","GHGE, processor gate (kg CO2e/kg)"),INDIRECT($K291)),GETPIVOTDATA(IF($J291=1,"StdDev of ACTIVE     GHGE, FARM GATE (kg CO2e/kg)","StdDev of GHGE, processor gate (kg CO2e/kg)"),'[1]Pivot Table_GHG'!$A$3,"SUB TYPE","pork"))</f>
        <v/>
      </c>
      <c r="T291" s="105" t="n"/>
      <c r="U291" s="106" t="n"/>
      <c r="V291" s="97" t="n"/>
      <c r="W291" s="98">
        <f>IF(L291="PROXY",IF(M291&gt;=5,K291,"need group"),IF(M291&gt;=5,"DIRECT","need group"))</f>
        <v/>
      </c>
      <c r="X291" s="98">
        <f>IF($W291="DIRECT",M291,DCOUNT('[1]literature entries'!$D:$AI,IF($J291=1,"ACTIVE     CED, FARM GATE (MJ/kg)","CED, processor gate (MJ/kg)"),INDIRECT($W291)))</f>
        <v/>
      </c>
      <c r="Y291" s="98">
        <f>IF($W291="DIRECT","",DAVERAGE('[1]literature entries'!$D:$AI,IF($J291=1,"ACTIVE     CED, FARM GATE (MJ/kg)","CED, processor gate (MJ/kg)"),INDIRECT($W291)))</f>
        <v/>
      </c>
      <c r="Z291" s="98">
        <f>IF($W291="DIRECT",$O291,DSTDEV('[1]literature entries'!$D:$AI,IF($J291=1,"ACTIVE     CED, FARM GATE (MJ/kg)","CED, processor gate (MJ/kg)"),INDIRECT($W291)))</f>
        <v/>
      </c>
      <c r="AA291" s="98">
        <f>IF($W291="DIRECT",$O291,$Z291/$Y291*$N291)</f>
        <v/>
      </c>
      <c r="AB291" s="99">
        <f>IF(P291="PROXY",IF(Q291&gt;=5,K291,"need group"),IF(Q291&gt;=5,"DIRECT","need group"))</f>
        <v/>
      </c>
      <c r="AC291" s="99">
        <f>IF($AB291="DIRECT",Q291,DCOUNT('[1]literature entries'!$D:$AI,IF($J291=1,"ACTIVE     GHGE, FARM GATE (kg CO2e/kg)","GHGE, processor gate (kg CO2e/kg)"),INDIRECT($AB291)))</f>
        <v/>
      </c>
      <c r="AD291" s="99">
        <f>IF($AB291="DIRECT","",DAVERAGE('[1]literature entries'!$D:$AI,IF($J291=1,"ACTIVE     GHGE, FARM GATE (kg CO2e/kg)","GHGE, processor gate (kg CO2e/kg)"),INDIRECT($AB291)))</f>
        <v/>
      </c>
      <c r="AE291" s="99">
        <f>IF($AB291="DIRECT",$S291,DSTDEV('[1]literature entries'!$D:$AI,IF($J291=1,"ACTIVE     GHGE, FARM GATE (kg CO2e/kg)","GHGE, processor gate (kg CO2e/kg)"),INDIRECT($AB291)))</f>
        <v/>
      </c>
      <c r="AF291" s="99">
        <f>IF($AB291="DIRECT",$S291,$AE291/$AD291*$R291)</f>
        <v/>
      </c>
    </row>
    <row r="292" ht="15.75" customHeight="1" s="201">
      <c r="A292" s="100" t="n">
        <v>3400292000</v>
      </c>
      <c r="B292" s="101" t="inlineStr">
        <is>
          <t>Pork, meat byproducts</t>
        </is>
      </c>
      <c r="C292" s="101" t="inlineStr">
        <is>
          <t>weight of meat; excluding bone; may include some trimmable fat and skin</t>
        </is>
      </c>
      <c r="D292" s="101" t="inlineStr">
        <is>
          <t>Includes ears, jowl, chitterlings, stomach (maw), fatback, and feet.</t>
        </is>
      </c>
      <c r="E292" s="101" t="n">
        <v>19329</v>
      </c>
      <c r="F292" s="84">
        <f>N292*H292+T292</f>
        <v/>
      </c>
      <c r="G292" s="85">
        <f>R292*H292+U292</f>
        <v/>
      </c>
      <c r="H292" s="102" t="n">
        <v>1</v>
      </c>
      <c r="I292" s="103" t="inlineStr">
        <is>
          <t>None</t>
        </is>
      </c>
      <c r="J292" s="104" t="n">
        <v>1</v>
      </c>
      <c r="K292" s="132" t="n"/>
      <c r="L292" s="90">
        <f>IF(ISERROR(GETPIVOTDATA(IF($J292=1,"Count of ACTIVE     CED, FARM GATE (MJ/kg)","Count of CED, processor gate (MJ/kg)"),'[1]Pivot Table_CED'!$A$3,"SUB TYPE","pork")),"PROXY",IF(GETPIVOTDATA(IF($J292=1,"Count of ACTIVE     CED, FARM GATE (MJ/kg)","Count of CED, processor gate (MJ/kg)"),'[1]Pivot Table_CED'!$A$3,"SUB TYPE","pork")=0,"PROXY","DB value"))</f>
        <v/>
      </c>
      <c r="M292" s="91">
        <f>IF($L292="PROXY",DCOUNT('[1]literature entries'!$D:$AI,IF($J292=1,"ACTIVE     CED, FARM GATE (MJ/kg)","CED, processor gate (MJ/kg)"),INDIRECT($K292)),GETPIVOTDATA(IF($J292=1,"Count of ACTIVE     CED, FARM GATE (MJ/kg)","Count of CED, processor gate (MJ/kg)"),'[1]Pivot Table_CED'!$A$3,"SUB TYPE","pork"))</f>
        <v/>
      </c>
      <c r="N292" s="92">
        <f>IF($L292="PROXY",DAVERAGE('[1]literature entries'!$D:$AI,IF($J292=1,"ACTIVE     CED, FARM GATE (MJ/kg)","CED, processor gate (MJ/kg)"),INDIRECT($K292)),GETPIVOTDATA(IF($J292=1,"Average of ACTIVE     CED, FARM GATE (MJ/kg)","Average of CED, processor gate (MJ/kg)"),'[1]Pivot Table_CED'!$A$3,"SUB TYPE","pork"))</f>
        <v/>
      </c>
      <c r="O292" s="92">
        <f>IF($L292="PROXY",DSTDEV('[1]literature entries'!D:AI,IF($J292=1,"ACTIVE     CED, FARM GATE (MJ/kg)","CED, processor gate (MJ/kg)"),INDIRECT($K292)),GETPIVOTDATA(IF($J292=1,"StdDev of ACTIVE     CED, FARM GATE (MJ/kg)","StdDev of CED, processor gate (MJ/kg)"),'[1]Pivot Table_CED'!$A$3,"SUB TYPE","pork"))</f>
        <v/>
      </c>
      <c r="P292" s="90">
        <f>IF(ISERROR(GETPIVOTDATA(IF($J292=1,"Count of ACTIVE     GHGE, FARM GATE (kg CO2e/kg)","Count of GHGE, processor gate (kg CO2e/kg)"),'[1]Pivot Table_GHG'!$A$3,"SUB TYPE","pork")),"PROXY",IF(GETPIVOTDATA(IF($J292=1,"Count of ACTIVE     GHGE, FARM GATE (kg CO2e/kg)","Count of GHGE, processor gate (kg CO2e/kg)"),'[1]Pivot Table_GHG'!$A$3,"SUB TYPE","pork")=0,"PROXY","DB value"))</f>
        <v/>
      </c>
      <c r="Q292" s="93">
        <f>IF($P292="PROXY",DCOUNT('[1]literature entries'!$D:$AI,IF($J292=1,"ACTIVE     GHGE, FARM GATE (kg CO2e/kg)","GHGE, processor gate (kg CO2e/kg)"),INDIRECT($K292)),GETPIVOTDATA(IF($J292=1,"ACTIVE     GHGE, FARM GATE (kg CO2e/kg)","Count of GHGE, processor gate (kg CO2e/kg)"),'[1]Pivot Table_GHG'!$A$3,"SUB TYPE","pork"))</f>
        <v/>
      </c>
      <c r="R292" s="94">
        <f>IF($P292="PROXY",DAVERAGE('[1]literature entries'!$D:$AI,IF($J292=1,"ACTIVE     GHGE, FARM GATE (kg CO2e/kg)","GHGE, processor gate (kg CO2e/kg)"),INDIRECT($K292)),GETPIVOTDATA(IF($J292=1,"Average of ACTIVE     GHGE, FARM GATE (kg CO2e/kg)","Average of GHGE, processor gate (kg CO2e/kg)"),'[1]Pivot Table_GHG'!$A$3,"SUB TYPE","pork"))</f>
        <v/>
      </c>
      <c r="S292" s="94">
        <f>IF($P292="PROXY",DSTDEV('[1]literature entries'!$D:$AI,IF($J292=1,"ACTIVE     GHGE, FARM GATE (kg CO2e/kg)","GHGE, processor gate (kg CO2e/kg)"),INDIRECT($K292)),GETPIVOTDATA(IF($J292=1,"StdDev of ACTIVE     GHGE, FARM GATE (kg CO2e/kg)","StdDev of GHGE, processor gate (kg CO2e/kg)"),'[1]Pivot Table_GHG'!$A$3,"SUB TYPE","pork"))</f>
        <v/>
      </c>
      <c r="T292" s="105" t="n"/>
      <c r="U292" s="106" t="n"/>
      <c r="V292" s="97" t="n"/>
      <c r="W292" s="98">
        <f>IF(L292="PROXY",IF(M292&gt;=5,K292,"need group"),IF(M292&gt;=5,"DIRECT","need group"))</f>
        <v/>
      </c>
      <c r="X292" s="98">
        <f>IF($W292="DIRECT",M292,DCOUNT('[1]literature entries'!$D:$AI,IF($J292=1,"ACTIVE     CED, FARM GATE (MJ/kg)","CED, processor gate (MJ/kg)"),INDIRECT($W292)))</f>
        <v/>
      </c>
      <c r="Y292" s="98">
        <f>IF($W292="DIRECT","",DAVERAGE('[1]literature entries'!$D:$AI,IF($J292=1,"ACTIVE     CED, FARM GATE (MJ/kg)","CED, processor gate (MJ/kg)"),INDIRECT($W292)))</f>
        <v/>
      </c>
      <c r="Z292" s="98">
        <f>IF($W292="DIRECT",$O292,DSTDEV('[1]literature entries'!$D:$AI,IF($J292=1,"ACTIVE     CED, FARM GATE (MJ/kg)","CED, processor gate (MJ/kg)"),INDIRECT($W292)))</f>
        <v/>
      </c>
      <c r="AA292" s="98">
        <f>IF($W292="DIRECT",$O292,$Z292/$Y292*$N292)</f>
        <v/>
      </c>
      <c r="AB292" s="99">
        <f>IF(P292="PROXY",IF(Q292&gt;=5,K292,"need group"),IF(Q292&gt;=5,"DIRECT","need group"))</f>
        <v/>
      </c>
      <c r="AC292" s="99">
        <f>IF($AB292="DIRECT",Q292,DCOUNT('[1]literature entries'!$D:$AI,IF($J292=1,"ACTIVE     GHGE, FARM GATE (kg CO2e/kg)","GHGE, processor gate (kg CO2e/kg)"),INDIRECT($AB292)))</f>
        <v/>
      </c>
      <c r="AD292" s="99">
        <f>IF($AB292="DIRECT","",DAVERAGE('[1]literature entries'!$D:$AI,IF($J292=1,"ACTIVE     GHGE, FARM GATE (kg CO2e/kg)","GHGE, processor gate (kg CO2e/kg)"),INDIRECT($AB292)))</f>
        <v/>
      </c>
      <c r="AE292" s="99">
        <f>IF($AB292="DIRECT",$S292,DSTDEV('[1]literature entries'!$D:$AI,IF($J292=1,"ACTIVE     GHGE, FARM GATE (kg CO2e/kg)","GHGE, processor gate (kg CO2e/kg)"),INDIRECT($AB292)))</f>
        <v/>
      </c>
      <c r="AF292" s="99">
        <f>IF($AB292="DIRECT",$S292,$AE292/$AD292*$R292)</f>
        <v/>
      </c>
    </row>
    <row r="293" ht="15.75" customHeight="1" s="201">
      <c r="A293" s="100" t="n">
        <v>3400293000</v>
      </c>
      <c r="B293" s="101" t="inlineStr">
        <is>
          <t>Pork, fat</t>
        </is>
      </c>
      <c r="C293" s="101" t="inlineStr">
        <is>
          <t>weight of nutrient  fat only; includes weight of nutrient fat from meat</t>
        </is>
      </c>
      <c r="D293" s="101" t="n"/>
      <c r="E293" s="101" t="n">
        <v>27119</v>
      </c>
      <c r="F293" s="84">
        <f>N293*H293+T293</f>
        <v/>
      </c>
      <c r="G293" s="85">
        <f>R293*H293+U293</f>
        <v/>
      </c>
      <c r="H293" s="102" t="n">
        <v>1</v>
      </c>
      <c r="I293" s="103" t="inlineStr">
        <is>
          <t>None</t>
        </is>
      </c>
      <c r="J293" s="104" t="n">
        <v>1</v>
      </c>
      <c r="K293" s="132" t="n"/>
      <c r="L293" s="90">
        <f>IF(ISERROR(GETPIVOTDATA(IF($J293=1,"Count of ACTIVE     CED, FARM GATE (MJ/kg)","Count of CED, processor gate (MJ/kg)"),'[1]Pivot Table_CED'!$A$3,"SUB TYPE","pork")),"PROXY",IF(GETPIVOTDATA(IF($J293=1,"Count of ACTIVE     CED, FARM GATE (MJ/kg)","Count of CED, processor gate (MJ/kg)"),'[1]Pivot Table_CED'!$A$3,"SUB TYPE","pork")=0,"PROXY","DB value"))</f>
        <v/>
      </c>
      <c r="M293" s="91">
        <f>IF($L293="PROXY",DCOUNT('[1]literature entries'!$D:$AI,IF($J293=1,"ACTIVE     CED, FARM GATE (MJ/kg)","CED, processor gate (MJ/kg)"),INDIRECT($K293)),GETPIVOTDATA(IF($J293=1,"Count of ACTIVE     CED, FARM GATE (MJ/kg)","Count of CED, processor gate (MJ/kg)"),'[1]Pivot Table_CED'!$A$3,"SUB TYPE","pork"))</f>
        <v/>
      </c>
      <c r="N293" s="92">
        <f>IF($L293="PROXY",DAVERAGE('[1]literature entries'!$D:$AI,IF($J293=1,"ACTIVE     CED, FARM GATE (MJ/kg)","CED, processor gate (MJ/kg)"),INDIRECT($K293)),GETPIVOTDATA(IF($J293=1,"Average of ACTIVE     CED, FARM GATE (MJ/kg)","Average of CED, processor gate (MJ/kg)"),'[1]Pivot Table_CED'!$A$3,"SUB TYPE","pork"))</f>
        <v/>
      </c>
      <c r="O293" s="92">
        <f>IF($L293="PROXY",DSTDEV('[1]literature entries'!D:AI,IF($J293=1,"ACTIVE     CED, FARM GATE (MJ/kg)","CED, processor gate (MJ/kg)"),INDIRECT($K293)),GETPIVOTDATA(IF($J293=1,"StdDev of ACTIVE     CED, FARM GATE (MJ/kg)","StdDev of CED, processor gate (MJ/kg)"),'[1]Pivot Table_CED'!$A$3,"SUB TYPE","pork"))</f>
        <v/>
      </c>
      <c r="P293" s="90">
        <f>IF(ISERROR(GETPIVOTDATA(IF($J293=1,"Count of ACTIVE     GHGE, FARM GATE (kg CO2e/kg)","Count of GHGE, processor gate (kg CO2e/kg)"),'[1]Pivot Table_GHG'!$A$3,"SUB TYPE","pork")),"PROXY",IF(GETPIVOTDATA(IF($J293=1,"Count of ACTIVE     GHGE, FARM GATE (kg CO2e/kg)","Count of GHGE, processor gate (kg CO2e/kg)"),'[1]Pivot Table_GHG'!$A$3,"SUB TYPE","pork")=0,"PROXY","DB value"))</f>
        <v/>
      </c>
      <c r="Q293" s="93">
        <f>IF($P293="PROXY",DCOUNT('[1]literature entries'!$D:$AI,IF($J293=1,"ACTIVE     GHGE, FARM GATE (kg CO2e/kg)","GHGE, processor gate (kg CO2e/kg)"),INDIRECT($K293)),GETPIVOTDATA(IF($J293=1,"ACTIVE     GHGE, FARM GATE (kg CO2e/kg)","Count of GHGE, processor gate (kg CO2e/kg)"),'[1]Pivot Table_GHG'!$A$3,"SUB TYPE","pork"))</f>
        <v/>
      </c>
      <c r="R293" s="94">
        <f>IF($P293="PROXY",DAVERAGE('[1]literature entries'!$D:$AI,IF($J293=1,"ACTIVE     GHGE, FARM GATE (kg CO2e/kg)","GHGE, processor gate (kg CO2e/kg)"),INDIRECT($K293)),GETPIVOTDATA(IF($J293=1,"Average of ACTIVE     GHGE, FARM GATE (kg CO2e/kg)","Average of GHGE, processor gate (kg CO2e/kg)"),'[1]Pivot Table_GHG'!$A$3,"SUB TYPE","pork"))</f>
        <v/>
      </c>
      <c r="S293" s="94">
        <f>IF($P293="PROXY",DSTDEV('[1]literature entries'!$D:$AI,IF($J293=1,"ACTIVE     GHGE, FARM GATE (kg CO2e/kg)","GHGE, processor gate (kg CO2e/kg)"),INDIRECT($K293)),GETPIVOTDATA(IF($J293=1,"StdDev of ACTIVE     GHGE, FARM GATE (kg CO2e/kg)","StdDev of GHGE, processor gate (kg CO2e/kg)"),'[1]Pivot Table_GHG'!$A$3,"SUB TYPE","pork"))</f>
        <v/>
      </c>
      <c r="T293" s="105" t="n"/>
      <c r="U293" s="106" t="n"/>
      <c r="V293" s="97" t="n"/>
      <c r="W293" s="98">
        <f>IF(L293="PROXY",IF(M293&gt;=5,K293,"need group"),IF(M293&gt;=5,"DIRECT","need group"))</f>
        <v/>
      </c>
      <c r="X293" s="98">
        <f>IF($W293="DIRECT",M293,DCOUNT('[1]literature entries'!$D:$AI,IF($J293=1,"ACTIVE     CED, FARM GATE (MJ/kg)","CED, processor gate (MJ/kg)"),INDIRECT($W293)))</f>
        <v/>
      </c>
      <c r="Y293" s="98">
        <f>IF($W293="DIRECT","",DAVERAGE('[1]literature entries'!$D:$AI,IF($J293=1,"ACTIVE     CED, FARM GATE (MJ/kg)","CED, processor gate (MJ/kg)"),INDIRECT($W293)))</f>
        <v/>
      </c>
      <c r="Z293" s="98">
        <f>IF($W293="DIRECT",$O293,DSTDEV('[1]literature entries'!$D:$AI,IF($J293=1,"ACTIVE     CED, FARM GATE (MJ/kg)","CED, processor gate (MJ/kg)"),INDIRECT($W293)))</f>
        <v/>
      </c>
      <c r="AA293" s="98">
        <f>IF($W293="DIRECT",$O293,$Z293/$Y293*$N293)</f>
        <v/>
      </c>
      <c r="AB293" s="99">
        <f>IF(P293="PROXY",IF(Q293&gt;=5,K293,"need group"),IF(Q293&gt;=5,"DIRECT","need group"))</f>
        <v/>
      </c>
      <c r="AC293" s="99">
        <f>IF($AB293="DIRECT",Q293,DCOUNT('[1]literature entries'!$D:$AI,IF($J293=1,"ACTIVE     GHGE, FARM GATE (kg CO2e/kg)","GHGE, processor gate (kg CO2e/kg)"),INDIRECT($AB293)))</f>
        <v/>
      </c>
      <c r="AD293" s="99">
        <f>IF($AB293="DIRECT","",DAVERAGE('[1]literature entries'!$D:$AI,IF($J293=1,"ACTIVE     GHGE, FARM GATE (kg CO2e/kg)","GHGE, processor gate (kg CO2e/kg)"),INDIRECT($AB293)))</f>
        <v/>
      </c>
      <c r="AE293" s="99">
        <f>IF($AB293="DIRECT",$S293,DSTDEV('[1]literature entries'!$D:$AI,IF($J293=1,"ACTIVE     GHGE, FARM GATE (kg CO2e/kg)","GHGE, processor gate (kg CO2e/kg)"),INDIRECT($AB293)))</f>
        <v/>
      </c>
      <c r="AF293" s="99">
        <f>IF($AB293="DIRECT",$S293,$AE293/$AD293*$R293)</f>
        <v/>
      </c>
    </row>
    <row r="294" ht="15.75" customHeight="1" s="201">
      <c r="A294" s="100" t="n">
        <v>3400295000</v>
      </c>
      <c r="B294" s="101" t="inlineStr">
        <is>
          <t>Pork, liver</t>
        </is>
      </c>
      <c r="C294" s="101" t="inlineStr">
        <is>
          <t>weight of organ including nutrient fat</t>
        </is>
      </c>
      <c r="D294" s="101" t="n"/>
      <c r="E294" s="101" t="n">
        <v>89</v>
      </c>
      <c r="F294" s="84">
        <f>N294*H294+T294</f>
        <v/>
      </c>
      <c r="G294" s="85">
        <f>R294*H294+U294</f>
        <v/>
      </c>
      <c r="H294" s="102" t="n">
        <v>1</v>
      </c>
      <c r="I294" s="103" t="inlineStr">
        <is>
          <t>None</t>
        </is>
      </c>
      <c r="J294" s="104" t="n">
        <v>1</v>
      </c>
      <c r="K294" s="132" t="n"/>
      <c r="L294" s="90">
        <f>IF(ISERROR(GETPIVOTDATA(IF($J294=1,"Count of ACTIVE     CED, FARM GATE (MJ/kg)","Count of CED, processor gate (MJ/kg)"),'[1]Pivot Table_CED'!$A$3,"SUB TYPE","pork")),"PROXY",IF(GETPIVOTDATA(IF($J294=1,"Count of ACTIVE     CED, FARM GATE (MJ/kg)","Count of CED, processor gate (MJ/kg)"),'[1]Pivot Table_CED'!$A$3,"SUB TYPE","pork")=0,"PROXY","DB value"))</f>
        <v/>
      </c>
      <c r="M294" s="91">
        <f>IF($L294="PROXY",DCOUNT('[1]literature entries'!$D:$AI,IF($J294=1,"ACTIVE     CED, FARM GATE (MJ/kg)","CED, processor gate (MJ/kg)"),INDIRECT($K294)),GETPIVOTDATA(IF($J294=1,"Count of ACTIVE     CED, FARM GATE (MJ/kg)","Count of CED, processor gate (MJ/kg)"),'[1]Pivot Table_CED'!$A$3,"SUB TYPE","pork"))</f>
        <v/>
      </c>
      <c r="N294" s="92">
        <f>IF($L294="PROXY",DAVERAGE('[1]literature entries'!$D:$AI,IF($J294=1,"ACTIVE     CED, FARM GATE (MJ/kg)","CED, processor gate (MJ/kg)"),INDIRECT($K294)),GETPIVOTDATA(IF($J294=1,"Average of ACTIVE     CED, FARM GATE (MJ/kg)","Average of CED, processor gate (MJ/kg)"),'[1]Pivot Table_CED'!$A$3,"SUB TYPE","pork"))</f>
        <v/>
      </c>
      <c r="O294" s="92">
        <f>IF($L294="PROXY",DSTDEV('[1]literature entries'!D:AI,IF($J294=1,"ACTIVE     CED, FARM GATE (MJ/kg)","CED, processor gate (MJ/kg)"),INDIRECT($K294)),GETPIVOTDATA(IF($J294=1,"StdDev of ACTIVE     CED, FARM GATE (MJ/kg)","StdDev of CED, processor gate (MJ/kg)"),'[1]Pivot Table_CED'!$A$3,"SUB TYPE","pork"))</f>
        <v/>
      </c>
      <c r="P294" s="90">
        <f>IF(ISERROR(GETPIVOTDATA(IF($J294=1,"Count of ACTIVE     GHGE, FARM GATE (kg CO2e/kg)","Count of GHGE, processor gate (kg CO2e/kg)"),'[1]Pivot Table_GHG'!$A$3,"SUB TYPE","pork")),"PROXY",IF(GETPIVOTDATA(IF($J294=1,"Count of ACTIVE     GHGE, FARM GATE (kg CO2e/kg)","Count of GHGE, processor gate (kg CO2e/kg)"),'[1]Pivot Table_GHG'!$A$3,"SUB TYPE","pork")=0,"PROXY","DB value"))</f>
        <v/>
      </c>
      <c r="Q294" s="93">
        <f>IF($P294="PROXY",DCOUNT('[1]literature entries'!$D:$AI,IF($J294=1,"ACTIVE     GHGE, FARM GATE (kg CO2e/kg)","GHGE, processor gate (kg CO2e/kg)"),INDIRECT($K294)),GETPIVOTDATA(IF($J294=1,"ACTIVE     GHGE, FARM GATE (kg CO2e/kg)","Count of GHGE, processor gate (kg CO2e/kg)"),'[1]Pivot Table_GHG'!$A$3,"SUB TYPE","pork"))</f>
        <v/>
      </c>
      <c r="R294" s="94">
        <f>IF($P294="PROXY",DAVERAGE('[1]literature entries'!$D:$AI,IF($J294=1,"ACTIVE     GHGE, FARM GATE (kg CO2e/kg)","GHGE, processor gate (kg CO2e/kg)"),INDIRECT($K294)),GETPIVOTDATA(IF($J294=1,"Average of ACTIVE     GHGE, FARM GATE (kg CO2e/kg)","Average of GHGE, processor gate (kg CO2e/kg)"),'[1]Pivot Table_GHG'!$A$3,"SUB TYPE","pork"))</f>
        <v/>
      </c>
      <c r="S294" s="94">
        <f>IF($P294="PROXY",DSTDEV('[1]literature entries'!$D:$AI,IF($J294=1,"ACTIVE     GHGE, FARM GATE (kg CO2e/kg)","GHGE, processor gate (kg CO2e/kg)"),INDIRECT($K294)),GETPIVOTDATA(IF($J294=1,"StdDev of ACTIVE     GHGE, FARM GATE (kg CO2e/kg)","StdDev of GHGE, processor gate (kg CO2e/kg)"),'[1]Pivot Table_GHG'!$A$3,"SUB TYPE","pork"))</f>
        <v/>
      </c>
      <c r="T294" s="105" t="n"/>
      <c r="U294" s="106" t="n"/>
      <c r="V294" s="97" t="n"/>
      <c r="W294" s="98">
        <f>IF(L294="PROXY",IF(M294&gt;=5,K294,"need group"),IF(M294&gt;=5,"DIRECT","need group"))</f>
        <v/>
      </c>
      <c r="X294" s="98">
        <f>IF($W294="DIRECT",M294,DCOUNT('[1]literature entries'!$D:$AI,IF($J294=1,"ACTIVE     CED, FARM GATE (MJ/kg)","CED, processor gate (MJ/kg)"),INDIRECT($W294)))</f>
        <v/>
      </c>
      <c r="Y294" s="98">
        <f>IF($W294="DIRECT","",DAVERAGE('[1]literature entries'!$D:$AI,IF($J294=1,"ACTIVE     CED, FARM GATE (MJ/kg)","CED, processor gate (MJ/kg)"),INDIRECT($W294)))</f>
        <v/>
      </c>
      <c r="Z294" s="98">
        <f>IF($W294="DIRECT",$O294,DSTDEV('[1]literature entries'!$D:$AI,IF($J294=1,"ACTIVE     CED, FARM GATE (MJ/kg)","CED, processor gate (MJ/kg)"),INDIRECT($W294)))</f>
        <v/>
      </c>
      <c r="AA294" s="98">
        <f>IF($W294="DIRECT",$O294,$Z294/$Y294*$N294)</f>
        <v/>
      </c>
      <c r="AB294" s="99">
        <f>IF(P294="PROXY",IF(Q294&gt;=5,K294,"need group"),IF(Q294&gt;=5,"DIRECT","need group"))</f>
        <v/>
      </c>
      <c r="AC294" s="99">
        <f>IF($AB294="DIRECT",Q294,DCOUNT('[1]literature entries'!$D:$AI,IF($J294=1,"ACTIVE     GHGE, FARM GATE (kg CO2e/kg)","GHGE, processor gate (kg CO2e/kg)"),INDIRECT($AB294)))</f>
        <v/>
      </c>
      <c r="AD294" s="99">
        <f>IF($AB294="DIRECT","",DAVERAGE('[1]literature entries'!$D:$AI,IF($J294=1,"ACTIVE     GHGE, FARM GATE (kg CO2e/kg)","GHGE, processor gate (kg CO2e/kg)"),INDIRECT($AB294)))</f>
        <v/>
      </c>
      <c r="AE294" s="99">
        <f>IF($AB294="DIRECT",$S294,DSTDEV('[1]literature entries'!$D:$AI,IF($J294=1,"ACTIVE     GHGE, FARM GATE (kg CO2e/kg)","GHGE, processor gate (kg CO2e/kg)"),INDIRECT($AB294)))</f>
        <v/>
      </c>
      <c r="AF294" s="99">
        <f>IF($AB294="DIRECT",$S294,$AE294/$AD294*$R294)</f>
        <v/>
      </c>
    </row>
    <row r="295" ht="15.75" customHeight="1" s="201">
      <c r="A295" s="100" t="n">
        <v>3500339000</v>
      </c>
      <c r="B295" s="101" t="inlineStr">
        <is>
          <t>Sheep, meat</t>
        </is>
      </c>
      <c r="C295" s="101" t="inlineStr">
        <is>
          <t>weight of meat; excluding weight of bone, total nutrient fat and skin</t>
        </is>
      </c>
      <c r="D295" s="101" t="n"/>
      <c r="E295" s="101" t="n">
        <v>2660</v>
      </c>
      <c r="F295" s="84">
        <f>N295*H295+T295</f>
        <v/>
      </c>
      <c r="G295" s="85">
        <f>R295*H295+U295</f>
        <v/>
      </c>
      <c r="H295" s="102" t="n">
        <v>1</v>
      </c>
      <c r="I295" s="103" t="inlineStr">
        <is>
          <t>None</t>
        </is>
      </c>
      <c r="J295" s="104" t="n">
        <v>1</v>
      </c>
      <c r="K295" s="132" t="n"/>
      <c r="L295" s="90">
        <f>IF(ISERROR(GETPIVOTDATA(IF($J295=1,"Count of ACTIVE     CED, FARM GATE (MJ/kg)","Count of CED, processor gate (MJ/kg)"),'[1]Pivot Table_CED'!$A$3,"SUB TYPE","Sheep")),"PROXY",IF(GETPIVOTDATA(IF($J295=1,"Count of ACTIVE     CED, FARM GATE (MJ/kg)","Count of CED, processor gate (MJ/kg)"),'[1]Pivot Table_CED'!$A$3,"SUB TYPE","Sheep")=0,"PROXY","DB value"))</f>
        <v/>
      </c>
      <c r="M295" s="91">
        <f>IF($L295="PROXY",DCOUNT('[1]literature entries'!$D:$AI,IF($J295=1,"ACTIVE     CED, FARM GATE (MJ/kg)","CED, processor gate (MJ/kg)"),INDIRECT($K295)),GETPIVOTDATA(IF($J295=1,"Count of ACTIVE     CED, FARM GATE (MJ/kg)","Count of CED, processor gate (MJ/kg)"),'[1]Pivot Table_CED'!$A$3,"SUB TYPE","Sheep"))</f>
        <v/>
      </c>
      <c r="N295" s="92">
        <f>IF($L295="PROXY",DAVERAGE('[1]literature entries'!$D:$AI,IF($J295=1,"ACTIVE     CED, FARM GATE (MJ/kg)","CED, processor gate (MJ/kg)"),INDIRECT($K295)),GETPIVOTDATA(IF($J295=1,"Average of ACTIVE     CED, FARM GATE (MJ/kg)","Average of CED, processor gate (MJ/kg)"),'[1]Pivot Table_CED'!$A$3,"SUB TYPE","Sheep"))</f>
        <v/>
      </c>
      <c r="O295" s="92">
        <f>IF($L295="PROXY",DSTDEV('[1]literature entries'!D:AI,IF($J295=1,"ACTIVE     CED, FARM GATE (MJ/kg)","CED, processor gate (MJ/kg)"),INDIRECT($K295)),GETPIVOTDATA(IF($J295=1,"StdDev of ACTIVE     CED, FARM GATE (MJ/kg)","StdDev of CED, processor gate (MJ/kg)"),'[1]Pivot Table_CED'!$A$3,"SUB TYPE","Sheep"))</f>
        <v/>
      </c>
      <c r="P295" s="90">
        <f>IF(ISERROR(GETPIVOTDATA(IF($J295=1,"Count of ACTIVE     GHGE, FARM GATE (kg CO2e/kg)","Count of GHGE, processor gate (kg CO2e/kg)"),'[1]Pivot Table_GHG'!$A$3,"SUB TYPE","Sheep")),"PROXY",IF(GETPIVOTDATA(IF($J295=1,"Count of ACTIVE     GHGE, FARM GATE (kg CO2e/kg)","Count of GHGE, processor gate (kg CO2e/kg)"),'[1]Pivot Table_GHG'!$A$3,"SUB TYPE","Sheep")=0,"PROXY","DB value"))</f>
        <v/>
      </c>
      <c r="Q295" s="93">
        <f>IF($P295="PROXY",DCOUNT('[1]literature entries'!$D:$AI,IF($J295=1,"ACTIVE     GHGE, FARM GATE (kg CO2e/kg)","GHGE, processor gate (kg CO2e/kg)"),INDIRECT($K295)),GETPIVOTDATA(IF($J295=1,"ACTIVE     GHGE, FARM GATE (kg CO2e/kg)","Count of GHGE, processor gate (kg CO2e/kg)"),'[1]Pivot Table_GHG'!$A$3,"SUB TYPE","Sheep"))</f>
        <v/>
      </c>
      <c r="R295" s="94">
        <f>IF($P295="PROXY",DAVERAGE('[1]literature entries'!$D:$AI,IF($J295=1,"ACTIVE     GHGE, FARM GATE (kg CO2e/kg)","GHGE, processor gate (kg CO2e/kg)"),INDIRECT($K295)),GETPIVOTDATA(IF($J295=1,"Average of ACTIVE     GHGE, FARM GATE (kg CO2e/kg)","Average of GHGE, processor gate (kg CO2e/kg)"),'[1]Pivot Table_GHG'!$A$3,"SUB TYPE","Sheep"))</f>
        <v/>
      </c>
      <c r="S295" s="94">
        <f>IF($P295="PROXY",DSTDEV('[1]literature entries'!$D:$AI,IF($J295=1,"ACTIVE     GHGE, FARM GATE (kg CO2e/kg)","GHGE, processor gate (kg CO2e/kg)"),INDIRECT($K295)),GETPIVOTDATA(IF($J295=1,"StdDev of ACTIVE     GHGE, FARM GATE (kg CO2e/kg)","StdDev of GHGE, processor gate (kg CO2e/kg)"),'[1]Pivot Table_GHG'!$A$3,"SUB TYPE","Sheep"))</f>
        <v/>
      </c>
      <c r="T295" s="105" t="n"/>
      <c r="U295" s="106" t="n"/>
      <c r="V295" s="97" t="n"/>
      <c r="W295" s="98">
        <f>IF(L295="PROXY",IF(M295&gt;=5,K295,"need group"),IF(M295&gt;=5,"DIRECT","need group"))</f>
        <v/>
      </c>
      <c r="X295" s="98">
        <f>IF($W295="DIRECT",M295,DCOUNT('[1]literature entries'!$D:$AI,IF($J295=1,"ACTIVE     CED, FARM GATE (MJ/kg)","CED, processor gate (MJ/kg)"),INDIRECT($W295)))</f>
        <v/>
      </c>
      <c r="Y295" s="98">
        <f>IF($W295="DIRECT","",DAVERAGE('[1]literature entries'!$D:$AI,IF($J295=1,"ACTIVE     CED, FARM GATE (MJ/kg)","CED, processor gate (MJ/kg)"),INDIRECT($W295)))</f>
        <v/>
      </c>
      <c r="Z295" s="98">
        <f>IF($W295="DIRECT",$O295,DSTDEV('[1]literature entries'!$D:$AI,IF($J295=1,"ACTIVE     CED, FARM GATE (MJ/kg)","CED, processor gate (MJ/kg)"),INDIRECT($W295)))</f>
        <v/>
      </c>
      <c r="AA295" s="98">
        <f>IF($W295="DIRECT",$O295,$Z295/$Y295*$N295)</f>
        <v/>
      </c>
      <c r="AB295" s="99">
        <f>IF(P295="PROXY",IF(Q295&gt;=5,K295,"need group"),IF(Q295&gt;=5,"DIRECT","need group"))</f>
        <v/>
      </c>
      <c r="AC295" s="99">
        <f>IF($AB295="DIRECT",Q295,DCOUNT('[1]literature entries'!$D:$AI,IF($J295=1,"ACTIVE     GHGE, FARM GATE (kg CO2e/kg)","GHGE, processor gate (kg CO2e/kg)"),INDIRECT($AB295)))</f>
        <v/>
      </c>
      <c r="AD295" s="99">
        <f>IF($AB295="DIRECT","",DAVERAGE('[1]literature entries'!$D:$AI,IF($J295=1,"ACTIVE     GHGE, FARM GATE (kg CO2e/kg)","GHGE, processor gate (kg CO2e/kg)"),INDIRECT($AB295)))</f>
        <v/>
      </c>
      <c r="AE295" s="99">
        <f>IF($AB295="DIRECT",$S295,DSTDEV('[1]literature entries'!$D:$AI,IF($J295=1,"ACTIVE     GHGE, FARM GATE (kg CO2e/kg)","GHGE, processor gate (kg CO2e/kg)"),INDIRECT($AB295)))</f>
        <v/>
      </c>
      <c r="AF295" s="99">
        <f>IF($AB295="DIRECT",$S295,$AE295/$AD295*$R295)</f>
        <v/>
      </c>
    </row>
    <row r="296" ht="15.75" customHeight="1" s="201">
      <c r="A296" s="100" t="n">
        <v>3500340000</v>
      </c>
      <c r="B296" s="101" t="inlineStr">
        <is>
          <t>Sheep, meat byproducts</t>
        </is>
      </c>
      <c r="C296" s="101" t="inlineStr">
        <is>
          <t>weight of meat; excluding bones; may include some trimmable fat and/or skin</t>
        </is>
      </c>
      <c r="D296" s="101" t="inlineStr">
        <is>
          <t>Includes brain and tongue.</t>
        </is>
      </c>
      <c r="E296" s="101" t="n">
        <v>2176</v>
      </c>
      <c r="F296" s="84">
        <f>N296*H296+T296</f>
        <v/>
      </c>
      <c r="G296" s="85">
        <f>R296*H296+U296</f>
        <v/>
      </c>
      <c r="H296" s="102" t="n">
        <v>1</v>
      </c>
      <c r="I296" s="103" t="inlineStr">
        <is>
          <t>None</t>
        </is>
      </c>
      <c r="J296" s="104" t="n">
        <v>1</v>
      </c>
      <c r="K296" s="132" t="n"/>
      <c r="L296" s="90">
        <f>IF(ISERROR(GETPIVOTDATA(IF($J296=1,"Count of ACTIVE     CED, FARM GATE (MJ/kg)","Count of CED, processor gate (MJ/kg)"),'[1]Pivot Table_CED'!$A$3,"SUB TYPE","Sheep")),"PROXY",IF(GETPIVOTDATA(IF($J296=1,"Count of ACTIVE     CED, FARM GATE (MJ/kg)","Count of CED, processor gate (MJ/kg)"),'[1]Pivot Table_CED'!$A$3,"SUB TYPE","Sheep")=0,"PROXY","DB value"))</f>
        <v/>
      </c>
      <c r="M296" s="91">
        <f>IF($L296="PROXY",DCOUNT('[1]literature entries'!$D:$AI,IF($J296=1,"ACTIVE     CED, FARM GATE (MJ/kg)","CED, processor gate (MJ/kg)"),INDIRECT($K296)),GETPIVOTDATA(IF($J296=1,"Count of ACTIVE     CED, FARM GATE (MJ/kg)","Count of CED, processor gate (MJ/kg)"),'[1]Pivot Table_CED'!$A$3,"SUB TYPE","Sheep"))</f>
        <v/>
      </c>
      <c r="N296" s="92">
        <f>IF($L296="PROXY",DAVERAGE('[1]literature entries'!$D:$AI,IF($J296=1,"ACTIVE     CED, FARM GATE (MJ/kg)","CED, processor gate (MJ/kg)"),INDIRECT($K296)),GETPIVOTDATA(IF($J296=1,"Average of ACTIVE     CED, FARM GATE (MJ/kg)","Average of CED, processor gate (MJ/kg)"),'[1]Pivot Table_CED'!$A$3,"SUB TYPE","Sheep"))</f>
        <v/>
      </c>
      <c r="O296" s="92">
        <f>IF($L296="PROXY",DSTDEV('[1]literature entries'!D:AI,IF($J296=1,"ACTIVE     CED, FARM GATE (MJ/kg)","CED, processor gate (MJ/kg)"),INDIRECT($K296)),GETPIVOTDATA(IF($J296=1,"StdDev of ACTIVE     CED, FARM GATE (MJ/kg)","StdDev of CED, processor gate (MJ/kg)"),'[1]Pivot Table_CED'!$A$3,"SUB TYPE","Sheep"))</f>
        <v/>
      </c>
      <c r="P296" s="90">
        <f>IF(ISERROR(GETPIVOTDATA(IF($J296=1,"Count of ACTIVE     GHGE, FARM GATE (kg CO2e/kg)","Count of GHGE, processor gate (kg CO2e/kg)"),'[1]Pivot Table_GHG'!$A$3,"SUB TYPE","Sheep")),"PROXY",IF(GETPIVOTDATA(IF($J296=1,"Count of ACTIVE     GHGE, FARM GATE (kg CO2e/kg)","Count of GHGE, processor gate (kg CO2e/kg)"),'[1]Pivot Table_GHG'!$A$3,"SUB TYPE","Sheep")=0,"PROXY","DB value"))</f>
        <v/>
      </c>
      <c r="Q296" s="93">
        <f>IF($P296="PROXY",DCOUNT('[1]literature entries'!$D:$AI,IF($J296=1,"ACTIVE     GHGE, FARM GATE (kg CO2e/kg)","GHGE, processor gate (kg CO2e/kg)"),INDIRECT($K296)),GETPIVOTDATA(IF($J296=1,"ACTIVE     GHGE, FARM GATE (kg CO2e/kg)","Count of GHGE, processor gate (kg CO2e/kg)"),'[1]Pivot Table_GHG'!$A$3,"SUB TYPE","Sheep"))</f>
        <v/>
      </c>
      <c r="R296" s="94">
        <f>IF($P296="PROXY",DAVERAGE('[1]literature entries'!$D:$AI,IF($J296=1,"ACTIVE     GHGE, FARM GATE (kg CO2e/kg)","GHGE, processor gate (kg CO2e/kg)"),INDIRECT($K296)),GETPIVOTDATA(IF($J296=1,"Average of ACTIVE     GHGE, FARM GATE (kg CO2e/kg)","Average of GHGE, processor gate (kg CO2e/kg)"),'[1]Pivot Table_GHG'!$A$3,"SUB TYPE","Sheep"))</f>
        <v/>
      </c>
      <c r="S296" s="94">
        <f>IF($P296="PROXY",DSTDEV('[1]literature entries'!$D:$AI,IF($J296=1,"ACTIVE     GHGE, FARM GATE (kg CO2e/kg)","GHGE, processor gate (kg CO2e/kg)"),INDIRECT($K296)),GETPIVOTDATA(IF($J296=1,"StdDev of ACTIVE     GHGE, FARM GATE (kg CO2e/kg)","StdDev of GHGE, processor gate (kg CO2e/kg)"),'[1]Pivot Table_GHG'!$A$3,"SUB TYPE","Sheep"))</f>
        <v/>
      </c>
      <c r="T296" s="105" t="n"/>
      <c r="U296" s="106" t="n"/>
      <c r="V296" s="97" t="n"/>
      <c r="W296" s="98">
        <f>IF(L296="PROXY",IF(M296&gt;=5,K296,"need group"),IF(M296&gt;=5,"DIRECT","need group"))</f>
        <v/>
      </c>
      <c r="X296" s="98">
        <f>IF($W296="DIRECT",M296,DCOUNT('[1]literature entries'!$D:$AI,IF($J296=1,"ACTIVE     CED, FARM GATE (MJ/kg)","CED, processor gate (MJ/kg)"),INDIRECT($W296)))</f>
        <v/>
      </c>
      <c r="Y296" s="98">
        <f>IF($W296="DIRECT","",DAVERAGE('[1]literature entries'!$D:$AI,IF($J296=1,"ACTIVE     CED, FARM GATE (MJ/kg)","CED, processor gate (MJ/kg)"),INDIRECT($W296)))</f>
        <v/>
      </c>
      <c r="Z296" s="98">
        <f>IF($W296="DIRECT",$O296,DSTDEV('[1]literature entries'!$D:$AI,IF($J296=1,"ACTIVE     CED, FARM GATE (MJ/kg)","CED, processor gate (MJ/kg)"),INDIRECT($W296)))</f>
        <v/>
      </c>
      <c r="AA296" s="98">
        <f>IF($W296="DIRECT",$O296,$Z296/$Y296*$N296)</f>
        <v/>
      </c>
      <c r="AB296" s="99">
        <f>IF(P296="PROXY",IF(Q296&gt;=5,K296,"need group"),IF(Q296&gt;=5,"DIRECT","need group"))</f>
        <v/>
      </c>
      <c r="AC296" s="99">
        <f>IF($AB296="DIRECT",Q296,DCOUNT('[1]literature entries'!$D:$AI,IF($J296=1,"ACTIVE     GHGE, FARM GATE (kg CO2e/kg)","GHGE, processor gate (kg CO2e/kg)"),INDIRECT($AB296)))</f>
        <v/>
      </c>
      <c r="AD296" s="99">
        <f>IF($AB296="DIRECT","",DAVERAGE('[1]literature entries'!$D:$AI,IF($J296=1,"ACTIVE     GHGE, FARM GATE (kg CO2e/kg)","GHGE, processor gate (kg CO2e/kg)"),INDIRECT($AB296)))</f>
        <v/>
      </c>
      <c r="AE296" s="99">
        <f>IF($AB296="DIRECT",$S296,DSTDEV('[1]literature entries'!$D:$AI,IF($J296=1,"ACTIVE     GHGE, FARM GATE (kg CO2e/kg)","GHGE, processor gate (kg CO2e/kg)"),INDIRECT($AB296)))</f>
        <v/>
      </c>
      <c r="AF296" s="99">
        <f>IF($AB296="DIRECT",$S296,$AE296/$AD296*$R296)</f>
        <v/>
      </c>
    </row>
    <row r="297" ht="15.75" customHeight="1" s="201">
      <c r="A297" s="100" t="n">
        <v>3500341000</v>
      </c>
      <c r="B297" s="101" t="inlineStr">
        <is>
          <t>Sheep, fat</t>
        </is>
      </c>
      <c r="C297" s="101" t="inlineStr">
        <is>
          <t>weight of nutrient fat only; includes nutrient fat from meat</t>
        </is>
      </c>
      <c r="D297" s="101" t="n"/>
      <c r="E297" s="101" t="n">
        <v>3742</v>
      </c>
      <c r="F297" s="84">
        <f>N297*H297+T297</f>
        <v/>
      </c>
      <c r="G297" s="85">
        <f>R297*H297+U297</f>
        <v/>
      </c>
      <c r="H297" s="102" t="n">
        <v>1</v>
      </c>
      <c r="I297" s="103" t="inlineStr">
        <is>
          <t>None</t>
        </is>
      </c>
      <c r="J297" s="104" t="n">
        <v>1</v>
      </c>
      <c r="K297" s="132" t="n"/>
      <c r="L297" s="90">
        <f>IF(ISERROR(GETPIVOTDATA(IF($J297=1,"Count of ACTIVE     CED, FARM GATE (MJ/kg)","Count of CED, processor gate (MJ/kg)"),'[1]Pivot Table_CED'!$A$3,"SUB TYPE","Sheep")),"PROXY",IF(GETPIVOTDATA(IF($J297=1,"Count of ACTIVE     CED, FARM GATE (MJ/kg)","Count of CED, processor gate (MJ/kg)"),'[1]Pivot Table_CED'!$A$3,"SUB TYPE","Sheep")=0,"PROXY","DB value"))</f>
        <v/>
      </c>
      <c r="M297" s="91">
        <f>IF($L297="PROXY",DCOUNT('[1]literature entries'!$D:$AI,IF($J297=1,"ACTIVE     CED, FARM GATE (MJ/kg)","CED, processor gate (MJ/kg)"),INDIRECT($K297)),GETPIVOTDATA(IF($J297=1,"Count of ACTIVE     CED, FARM GATE (MJ/kg)","Count of CED, processor gate (MJ/kg)"),'[1]Pivot Table_CED'!$A$3,"SUB TYPE","Sheep"))</f>
        <v/>
      </c>
      <c r="N297" s="92">
        <f>IF($L297="PROXY",DAVERAGE('[1]literature entries'!$D:$AI,IF($J297=1,"ACTIVE     CED, FARM GATE (MJ/kg)","CED, processor gate (MJ/kg)"),INDIRECT($K297)),GETPIVOTDATA(IF($J297=1,"Average of ACTIVE     CED, FARM GATE (MJ/kg)","Average of CED, processor gate (MJ/kg)"),'[1]Pivot Table_CED'!$A$3,"SUB TYPE","Sheep"))</f>
        <v/>
      </c>
      <c r="O297" s="92">
        <f>IF($L297="PROXY",DSTDEV('[1]literature entries'!D:AI,IF($J297=1,"ACTIVE     CED, FARM GATE (MJ/kg)","CED, processor gate (MJ/kg)"),INDIRECT($K297)),GETPIVOTDATA(IF($J297=1,"StdDev of ACTIVE     CED, FARM GATE (MJ/kg)","StdDev of CED, processor gate (MJ/kg)"),'[1]Pivot Table_CED'!$A$3,"SUB TYPE","Sheep"))</f>
        <v/>
      </c>
      <c r="P297" s="90">
        <f>IF(ISERROR(GETPIVOTDATA(IF($J297=1,"Count of ACTIVE     GHGE, FARM GATE (kg CO2e/kg)","Count of GHGE, processor gate (kg CO2e/kg)"),'[1]Pivot Table_GHG'!$A$3,"SUB TYPE","Sheep")),"PROXY",IF(GETPIVOTDATA(IF($J297=1,"Count of ACTIVE     GHGE, FARM GATE (kg CO2e/kg)","Count of GHGE, processor gate (kg CO2e/kg)"),'[1]Pivot Table_GHG'!$A$3,"SUB TYPE","Sheep")=0,"PROXY","DB value"))</f>
        <v/>
      </c>
      <c r="Q297" s="93">
        <f>IF($P297="PROXY",DCOUNT('[1]literature entries'!$D:$AI,IF($J297=1,"ACTIVE     GHGE, FARM GATE (kg CO2e/kg)","GHGE, processor gate (kg CO2e/kg)"),INDIRECT($K297)),GETPIVOTDATA(IF($J297=1,"ACTIVE     GHGE, FARM GATE (kg CO2e/kg)","Count of GHGE, processor gate (kg CO2e/kg)"),'[1]Pivot Table_GHG'!$A$3,"SUB TYPE","Sheep"))</f>
        <v/>
      </c>
      <c r="R297" s="94">
        <f>IF($P297="PROXY",DAVERAGE('[1]literature entries'!$D:$AI,IF($J297=1,"ACTIVE     GHGE, FARM GATE (kg CO2e/kg)","GHGE, processor gate (kg CO2e/kg)"),INDIRECT($K297)),GETPIVOTDATA(IF($J297=1,"Average of ACTIVE     GHGE, FARM GATE (kg CO2e/kg)","Average of GHGE, processor gate (kg CO2e/kg)"),'[1]Pivot Table_GHG'!$A$3,"SUB TYPE","Sheep"))</f>
        <v/>
      </c>
      <c r="S297" s="94">
        <f>IF($P297="PROXY",DSTDEV('[1]literature entries'!$D:$AI,IF($J297=1,"ACTIVE     GHGE, FARM GATE (kg CO2e/kg)","GHGE, processor gate (kg CO2e/kg)"),INDIRECT($K297)),GETPIVOTDATA(IF($J297=1,"StdDev of ACTIVE     GHGE, FARM GATE (kg CO2e/kg)","StdDev of GHGE, processor gate (kg CO2e/kg)"),'[1]Pivot Table_GHG'!$A$3,"SUB TYPE","Sheep"))</f>
        <v/>
      </c>
      <c r="T297" s="105" t="n"/>
      <c r="U297" s="106" t="n"/>
      <c r="V297" s="97" t="n"/>
      <c r="W297" s="98">
        <f>IF(L297="PROXY",IF(M297&gt;=5,K297,"need group"),IF(M297&gt;=5,"DIRECT","need group"))</f>
        <v/>
      </c>
      <c r="X297" s="98">
        <f>IF($W297="DIRECT",M297,DCOUNT('[1]literature entries'!$D:$AI,IF($J297=1,"ACTIVE     CED, FARM GATE (MJ/kg)","CED, processor gate (MJ/kg)"),INDIRECT($W297)))</f>
        <v/>
      </c>
      <c r="Y297" s="98">
        <f>IF($W297="DIRECT","",DAVERAGE('[1]literature entries'!$D:$AI,IF($J297=1,"ACTIVE     CED, FARM GATE (MJ/kg)","CED, processor gate (MJ/kg)"),INDIRECT($W297)))</f>
        <v/>
      </c>
      <c r="Z297" s="98">
        <f>IF($W297="DIRECT",$O297,DSTDEV('[1]literature entries'!$D:$AI,IF($J297=1,"ACTIVE     CED, FARM GATE (MJ/kg)","CED, processor gate (MJ/kg)"),INDIRECT($W297)))</f>
        <v/>
      </c>
      <c r="AA297" s="98">
        <f>IF($W297="DIRECT",$O297,$Z297/$Y297*$N297)</f>
        <v/>
      </c>
      <c r="AB297" s="99">
        <f>IF(P297="PROXY",IF(Q297&gt;=5,K297,"need group"),IF(Q297&gt;=5,"DIRECT","need group"))</f>
        <v/>
      </c>
      <c r="AC297" s="99">
        <f>IF($AB297="DIRECT",Q297,DCOUNT('[1]literature entries'!$D:$AI,IF($J297=1,"ACTIVE     GHGE, FARM GATE (kg CO2e/kg)","GHGE, processor gate (kg CO2e/kg)"),INDIRECT($AB297)))</f>
        <v/>
      </c>
      <c r="AD297" s="99">
        <f>IF($AB297="DIRECT","",DAVERAGE('[1]literature entries'!$D:$AI,IF($J297=1,"ACTIVE     GHGE, FARM GATE (kg CO2e/kg)","GHGE, processor gate (kg CO2e/kg)"),INDIRECT($AB297)))</f>
        <v/>
      </c>
      <c r="AE297" s="99">
        <f>IF($AB297="DIRECT",$S297,DSTDEV('[1]literature entries'!$D:$AI,IF($J297=1,"ACTIVE     GHGE, FARM GATE (kg CO2e/kg)","GHGE, processor gate (kg CO2e/kg)"),INDIRECT($AB297)))</f>
        <v/>
      </c>
      <c r="AF297" s="99">
        <f>IF($AB297="DIRECT",$S297,$AE297/$AD297*$R297)</f>
        <v/>
      </c>
    </row>
    <row r="298" ht="15.75" customHeight="1" s="201">
      <c r="A298" s="100" t="n">
        <v>3500343000</v>
      </c>
      <c r="B298" s="101" t="inlineStr">
        <is>
          <t>Sheep, liver</t>
        </is>
      </c>
      <c r="C298" s="101" t="inlineStr">
        <is>
          <t>weight of organ, including nutrient fat</t>
        </is>
      </c>
      <c r="D298" s="101" t="n"/>
      <c r="E298" s="101" t="n">
        <v>16</v>
      </c>
      <c r="F298" s="84">
        <f>N298*H298+T298</f>
        <v/>
      </c>
      <c r="G298" s="85">
        <f>R298*H298+U298</f>
        <v/>
      </c>
      <c r="H298" s="102" t="n">
        <v>1</v>
      </c>
      <c r="I298" s="103" t="inlineStr">
        <is>
          <t>None</t>
        </is>
      </c>
      <c r="J298" s="104" t="n">
        <v>1</v>
      </c>
      <c r="K298" s="132" t="n"/>
      <c r="L298" s="90">
        <f>IF(ISERROR(GETPIVOTDATA(IF($J298=1,"Count of ACTIVE     CED, FARM GATE (MJ/kg)","Count of CED, processor gate (MJ/kg)"),'[1]Pivot Table_CED'!$A$3,"SUB TYPE","Sheep")),"PROXY",IF(GETPIVOTDATA(IF($J298=1,"Count of ACTIVE     CED, FARM GATE (MJ/kg)","Count of CED, processor gate (MJ/kg)"),'[1]Pivot Table_CED'!$A$3,"SUB TYPE","Sheep")=0,"PROXY","DB value"))</f>
        <v/>
      </c>
      <c r="M298" s="91">
        <f>IF($L298="PROXY",DCOUNT('[1]literature entries'!$D:$AI,IF($J298=1,"ACTIVE     CED, FARM GATE (MJ/kg)","CED, processor gate (MJ/kg)"),INDIRECT($K298)),GETPIVOTDATA(IF($J298=1,"Count of ACTIVE     CED, FARM GATE (MJ/kg)","Count of CED, processor gate (MJ/kg)"),'[1]Pivot Table_CED'!$A$3,"SUB TYPE","Sheep"))</f>
        <v/>
      </c>
      <c r="N298" s="92">
        <f>IF($L298="PROXY",DAVERAGE('[1]literature entries'!$D:$AI,IF($J298=1,"ACTIVE     CED, FARM GATE (MJ/kg)","CED, processor gate (MJ/kg)"),INDIRECT($K298)),GETPIVOTDATA(IF($J298=1,"Average of ACTIVE     CED, FARM GATE (MJ/kg)","Average of CED, processor gate (MJ/kg)"),'[1]Pivot Table_CED'!$A$3,"SUB TYPE","Sheep"))</f>
        <v/>
      </c>
      <c r="O298" s="92">
        <f>IF($L298="PROXY",DSTDEV('[1]literature entries'!D:AI,IF($J298=1,"ACTIVE     CED, FARM GATE (MJ/kg)","CED, processor gate (MJ/kg)"),INDIRECT($K298)),GETPIVOTDATA(IF($J298=1,"StdDev of ACTIVE     CED, FARM GATE (MJ/kg)","StdDev of CED, processor gate (MJ/kg)"),'[1]Pivot Table_CED'!$A$3,"SUB TYPE","Sheep"))</f>
        <v/>
      </c>
      <c r="P298" s="90">
        <f>IF(ISERROR(GETPIVOTDATA(IF($J298=1,"Count of ACTIVE     GHGE, FARM GATE (kg CO2e/kg)","Count of GHGE, processor gate (kg CO2e/kg)"),'[1]Pivot Table_GHG'!$A$3,"SUB TYPE","Sheep")),"PROXY",IF(GETPIVOTDATA(IF($J298=1,"Count of ACTIVE     GHGE, FARM GATE (kg CO2e/kg)","Count of GHGE, processor gate (kg CO2e/kg)"),'[1]Pivot Table_GHG'!$A$3,"SUB TYPE","Sheep")=0,"PROXY","DB value"))</f>
        <v/>
      </c>
      <c r="Q298" s="93">
        <f>IF($P298="PROXY",DCOUNT('[1]literature entries'!$D:$AI,IF($J298=1,"ACTIVE     GHGE, FARM GATE (kg CO2e/kg)","GHGE, processor gate (kg CO2e/kg)"),INDIRECT($K298)),GETPIVOTDATA(IF($J298=1,"ACTIVE     GHGE, FARM GATE (kg CO2e/kg)","Count of GHGE, processor gate (kg CO2e/kg)"),'[1]Pivot Table_GHG'!$A$3,"SUB TYPE","Sheep"))</f>
        <v/>
      </c>
      <c r="R298" s="94">
        <f>IF($P298="PROXY",DAVERAGE('[1]literature entries'!$D:$AI,IF($J298=1,"ACTIVE     GHGE, FARM GATE (kg CO2e/kg)","GHGE, processor gate (kg CO2e/kg)"),INDIRECT($K298)),GETPIVOTDATA(IF($J298=1,"Average of ACTIVE     GHGE, FARM GATE (kg CO2e/kg)","Average of GHGE, processor gate (kg CO2e/kg)"),'[1]Pivot Table_GHG'!$A$3,"SUB TYPE","Sheep"))</f>
        <v/>
      </c>
      <c r="S298" s="94">
        <f>IF($P298="PROXY",DSTDEV('[1]literature entries'!$D:$AI,IF($J298=1,"ACTIVE     GHGE, FARM GATE (kg CO2e/kg)","GHGE, processor gate (kg CO2e/kg)"),INDIRECT($K298)),GETPIVOTDATA(IF($J298=1,"StdDev of ACTIVE     GHGE, FARM GATE (kg CO2e/kg)","StdDev of GHGE, processor gate (kg CO2e/kg)"),'[1]Pivot Table_GHG'!$A$3,"SUB TYPE","Sheep"))</f>
        <v/>
      </c>
      <c r="T298" s="105" t="n"/>
      <c r="U298" s="106" t="n"/>
      <c r="V298" s="97" t="n"/>
      <c r="W298" s="98">
        <f>IF(L298="PROXY",IF(M298&gt;=5,K298,"need group"),IF(M298&gt;=5,"DIRECT","need group"))</f>
        <v/>
      </c>
      <c r="X298" s="98">
        <f>IF($W298="DIRECT",M298,DCOUNT('[1]literature entries'!$D:$AI,IF($J298=1,"ACTIVE     CED, FARM GATE (MJ/kg)","CED, processor gate (MJ/kg)"),INDIRECT($W298)))</f>
        <v/>
      </c>
      <c r="Y298" s="98">
        <f>IF($W298="DIRECT","",DAVERAGE('[1]literature entries'!$D:$AI,IF($J298=1,"ACTIVE     CED, FARM GATE (MJ/kg)","CED, processor gate (MJ/kg)"),INDIRECT($W298)))</f>
        <v/>
      </c>
      <c r="Z298" s="98">
        <f>IF($W298="DIRECT",$O298,DSTDEV('[1]literature entries'!$D:$AI,IF($J298=1,"ACTIVE     CED, FARM GATE (MJ/kg)","CED, processor gate (MJ/kg)"),INDIRECT($W298)))</f>
        <v/>
      </c>
      <c r="AA298" s="98">
        <f>IF($W298="DIRECT",$O298,$Z298/$Y298*$N298)</f>
        <v/>
      </c>
      <c r="AB298" s="99">
        <f>IF(P298="PROXY",IF(Q298&gt;=5,K298,"need group"),IF(Q298&gt;=5,"DIRECT","need group"))</f>
        <v/>
      </c>
      <c r="AC298" s="99">
        <f>IF($AB298="DIRECT",Q298,DCOUNT('[1]literature entries'!$D:$AI,IF($J298=1,"ACTIVE     GHGE, FARM GATE (kg CO2e/kg)","GHGE, processor gate (kg CO2e/kg)"),INDIRECT($AB298)))</f>
        <v/>
      </c>
      <c r="AD298" s="99">
        <f>IF($AB298="DIRECT","",DAVERAGE('[1]literature entries'!$D:$AI,IF($J298=1,"ACTIVE     GHGE, FARM GATE (kg CO2e/kg)","GHGE, processor gate (kg CO2e/kg)"),INDIRECT($AB298)))</f>
        <v/>
      </c>
      <c r="AE298" s="99">
        <f>IF($AB298="DIRECT",$S298,DSTDEV('[1]literature entries'!$D:$AI,IF($J298=1,"ACTIVE     GHGE, FARM GATE (kg CO2e/kg)","GHGE, processor gate (kg CO2e/kg)"),INDIRECT($AB298)))</f>
        <v/>
      </c>
      <c r="AF298" s="99">
        <f>IF($AB298="DIRECT",$S298,$AE298/$AD298*$R298)</f>
        <v/>
      </c>
    </row>
    <row r="299" ht="15.75" customHeight="1" s="201">
      <c r="A299" s="100" t="n">
        <v>3600222000</v>
      </c>
      <c r="B299" s="101" t="inlineStr">
        <is>
          <t>Milk, fat</t>
        </is>
      </c>
      <c r="C299" s="101" t="inlineStr">
        <is>
          <t>weight of nutrient fat only</t>
        </is>
      </c>
      <c r="D299" s="101" t="n"/>
      <c r="E299" s="101" t="n">
        <v>50583</v>
      </c>
      <c r="F299" s="84">
        <f>N299*H299+T299</f>
        <v/>
      </c>
      <c r="G299" s="85">
        <f>R299*H299+U299</f>
        <v/>
      </c>
      <c r="H299" s="102">
        <f>1/0.1201</f>
        <v/>
      </c>
      <c r="I299" s="103" t="inlineStr">
        <is>
          <t>None</t>
        </is>
      </c>
      <c r="J299" s="104" t="n">
        <v>2</v>
      </c>
      <c r="K299" s="132" t="n"/>
      <c r="L299" s="90">
        <f>IF(ISERROR(GETPIVOTDATA(IF($J299=1,"Count of ACTIVE     CED, FARM GATE (MJ/kg)","Count of CED, processor gate (MJ/kg)"),'[1]Pivot Table_CED'!$A$3,"SUB TYPE","Fluid Milk, Cow")),"PROXY",IF(GETPIVOTDATA(IF($J299=1,"Count of ACTIVE     CED, FARM GATE (MJ/kg)","Count of CED, processor gate (MJ/kg)"),'[1]Pivot Table_CED'!$A$3,"SUB TYPE","Fluid Milk, Cow")=0,"PROXY","DB value"))</f>
        <v/>
      </c>
      <c r="M299" s="91">
        <f>IF($L299="PROXY",DCOUNT('[1]literature entries'!$D:$AI,IF($J299=1,"ACTIVE     CED, FARM GATE (MJ/kg)","CED, processor gate (MJ/kg)"),INDIRECT($K299)),GETPIVOTDATA(IF($J299=1,"Count of ACTIVE     CED, FARM GATE (MJ/kg)","Count of CED, processor gate (MJ/kg)"),'[1]Pivot Table_CED'!$A$3,"SUB TYPE","Fluid Milk, Cow"))</f>
        <v/>
      </c>
      <c r="N299" s="92">
        <f>IF($L299="PROXY",DAVERAGE('[1]literature entries'!$D:$AI,IF($J299=1,"ACTIVE     CED, FARM GATE (MJ/kg)","CED, processor gate (MJ/kg)"),INDIRECT($K299)),GETPIVOTDATA(IF($J299=1,"Average of ACTIVE     CED, FARM GATE (MJ/kg)","Average of CED, processor gate (MJ/kg)"),'[1]Pivot Table_CED'!$A$3,"SUB TYPE","Fluid Milk, Cow"))</f>
        <v/>
      </c>
      <c r="O299" s="92">
        <f>IF($L299="PROXY",DSTDEV('[1]literature entries'!D:AI,IF($J299=1,"ACTIVE     CED, FARM GATE (MJ/kg)","CED, processor gate (MJ/kg)"),INDIRECT($K299)),GETPIVOTDATA(IF($J299=1,"StdDev of ACTIVE     CED, FARM GATE (MJ/kg)","StdDev of CED, processor gate (MJ/kg)"),'[1]Pivot Table_CED'!$A$3,"SUB TYPE","Fluid Milk, Cow"))</f>
        <v/>
      </c>
      <c r="P299" s="90">
        <f>IF(ISERROR(GETPIVOTDATA(IF($J299=1,"Count of ACTIVE     GHGE, FARM GATE (kg CO2e/kg)","Count of GHGE, processor gate (kg CO2e/kg)"),'[1]Pivot Table_GHG'!$A$3,"SUB TYPE","Fluid Milk, Cow")),"PROXY",IF(GETPIVOTDATA(IF($J299=1,"Count of ACTIVE     GHGE, FARM GATE (kg CO2e/kg)","Count of GHGE, processor gate (kg CO2e/kg)"),'[1]Pivot Table_GHG'!$A$3,"SUB TYPE","Fluid Milk, Cow")=0,"PROXY","DB value"))</f>
        <v/>
      </c>
      <c r="Q299" s="93">
        <f>IF($P299="PROXY",DCOUNT('[1]literature entries'!$D:$AI,IF($J299=1,"ACTIVE     GHGE, FARM GATE (kg CO2e/kg)","GHGE, processor gate (kg CO2e/kg)"),INDIRECT($K299)),GETPIVOTDATA(IF($J299=1,"ACTIVE     GHGE, FARM GATE (kg CO2e/kg)","Count of GHGE, processor gate (kg CO2e/kg)"),'[1]Pivot Table_GHG'!$A$3,"SUB TYPE","Fluid Milk, Cow"))</f>
        <v/>
      </c>
      <c r="R299" s="94">
        <f>IF($P299="PROXY",DAVERAGE('[1]literature entries'!$D:$AI,IF($J299=1,"ACTIVE     GHGE, FARM GATE (kg CO2e/kg)","GHGE, processor gate (kg CO2e/kg)"),INDIRECT($K299)),GETPIVOTDATA(IF($J299=1,"Average of ACTIVE     GHGE, FARM GATE (kg CO2e/kg)","Average of GHGE, processor gate (kg CO2e/kg)"),'[1]Pivot Table_GHG'!$A$3,"SUB TYPE","Fluid Milk, Cow"))</f>
        <v/>
      </c>
      <c r="S299" s="94">
        <f>IF($P299="PROXY",DSTDEV('[1]literature entries'!$D:$AI,IF($J299=1,"ACTIVE     GHGE, FARM GATE (kg CO2e/kg)","GHGE, processor gate (kg CO2e/kg)"),INDIRECT($K299)),GETPIVOTDATA(IF($J299=1,"StdDev of ACTIVE     GHGE, FARM GATE (kg CO2e/kg)","StdDev of GHGE, processor gate (kg CO2e/kg)"),'[1]Pivot Table_GHG'!$A$3,"SUB TYPE","Fluid Milk, Cow"))</f>
        <v/>
      </c>
      <c r="T299" s="105" t="n"/>
      <c r="U299" s="106" t="n"/>
      <c r="V299" s="97" t="n"/>
      <c r="W299" s="110" t="inlineStr">
        <is>
          <t>Fluid_Milk_Cow</t>
        </is>
      </c>
      <c r="X299" s="98">
        <f>IF($W299="DIRECT",M299,DCOUNT('[1]literature entries'!$D:$AI,"ACTIVE     CED, FARM GATE (MJ/kg)",INDIRECT($W299)))</f>
        <v/>
      </c>
      <c r="Y299" s="98">
        <f>IF($W299="DIRECT","",DAVERAGE('[1]literature entries'!$D:$AI,IF($J299=1,"ACTIVE     CED, FARM GATE (MJ/kg)","CED, processor gate (MJ/kg)"),INDIRECT($W299)))</f>
        <v/>
      </c>
      <c r="Z299" s="98">
        <f>IF($W299="DIRECT",$O299,DSTDEV('[1]literature entries'!$D:$AI,IF($J299=1,"ACTIVE     CED, FARM GATE (MJ/kg)","CED, processor gate (MJ/kg)"),INDIRECT($W299)))</f>
        <v/>
      </c>
      <c r="AA299" s="98">
        <f>IF($W299="DIRECT",$O299,$Z299/$Y299*$N299)</f>
        <v/>
      </c>
      <c r="AB299" s="99">
        <f>IF(P299="PROXY",IF(Q299&gt;=5,K299,"need group"),IF(Q299&gt;=5,"DIRECT","need group"))</f>
        <v/>
      </c>
      <c r="AC299" s="99">
        <f>IF($AB299="DIRECT",Q299,DCOUNT('[1]literature entries'!$D:$AI,IF($J299=1,"ACTIVE     GHGE, FARM GATE (kg CO2e/kg)","GHGE, processor gate (kg CO2e/kg)"),INDIRECT($AB299)))</f>
        <v/>
      </c>
      <c r="AD299" s="99">
        <f>IF($AB299="DIRECT","",DAVERAGE('[1]literature entries'!$D:$AI,IF($J299=1,"ACTIVE     GHGE, FARM GATE (kg CO2e/kg)","GHGE, processor gate (kg CO2e/kg)"),INDIRECT($AB299)))</f>
        <v/>
      </c>
      <c r="AE299" s="99">
        <f>IF($AB299="DIRECT",$S299,DSTDEV('[1]literature entries'!$D:$AI,IF($J299=1,"ACTIVE     GHGE, FARM GATE (kg CO2e/kg)","GHGE, processor gate (kg CO2e/kg)"),INDIRECT($AB299)))</f>
        <v/>
      </c>
      <c r="AF299" s="99">
        <f>IF($AB299="DIRECT",$S299,$AE299/$AD299*$R299)</f>
        <v/>
      </c>
    </row>
    <row r="300" ht="15.75" customHeight="1" s="201">
      <c r="A300" s="100" t="n">
        <v>3600223000</v>
      </c>
      <c r="B300" s="101" t="inlineStr">
        <is>
          <t>Milk, nonfat solids</t>
        </is>
      </c>
      <c r="C300" s="101" t="inlineStr">
        <is>
          <t>Remaining weight of milk after subtracting milk fat and moisture content of milk</t>
        </is>
      </c>
      <c r="D300" s="101" t="inlineStr">
        <is>
          <t>Includes casein; also, includes lactose added to items that are neither commercial baby foods nor infant formulas.</t>
        </is>
      </c>
      <c r="E300" s="101" t="n">
        <v>50712</v>
      </c>
      <c r="F300" s="84">
        <f>N300*H300+T300</f>
        <v/>
      </c>
      <c r="G300" s="85">
        <f>R300*H300+U300</f>
        <v/>
      </c>
      <c r="H300" s="102">
        <f>1/0.1201</f>
        <v/>
      </c>
      <c r="I300" s="103" t="inlineStr">
        <is>
          <t>None</t>
        </is>
      </c>
      <c r="J300" s="104" t="n">
        <v>2</v>
      </c>
      <c r="K300" s="132" t="n"/>
      <c r="L300" s="90">
        <f>IF(ISERROR(GETPIVOTDATA(IF($J300=1,"Count of ACTIVE     CED, FARM GATE (MJ/kg)","Count of CED, processor gate (MJ/kg)"),'[1]Pivot Table_CED'!$A$3,"SUB TYPE","Fluid Milk, Cow")),"PROXY",IF(GETPIVOTDATA(IF($J300=1,"Count of ACTIVE     CED, FARM GATE (MJ/kg)","Count of CED, processor gate (MJ/kg)"),'[1]Pivot Table_CED'!$A$3,"SUB TYPE","Fluid Milk, Cow")=0,"PROXY","DB value"))</f>
        <v/>
      </c>
      <c r="M300" s="91">
        <f>IF($L300="PROXY",DCOUNT('[1]literature entries'!$D:$AI,IF($J300=1,"ACTIVE     CED, FARM GATE (MJ/kg)","CED, processor gate (MJ/kg)"),INDIRECT($K300)),GETPIVOTDATA(IF($J300=1,"Count of ACTIVE     CED, FARM GATE (MJ/kg)","Count of CED, processor gate (MJ/kg)"),'[1]Pivot Table_CED'!$A$3,"SUB TYPE","Fluid Milk, Cow"))</f>
        <v/>
      </c>
      <c r="N300" s="92">
        <f>IF($L300="PROXY",DAVERAGE('[1]literature entries'!$D:$AI,IF($J300=1,"ACTIVE     CED, FARM GATE (MJ/kg)","CED, processor gate (MJ/kg)"),INDIRECT($K300)),GETPIVOTDATA(IF($J300=1,"Average of ACTIVE     CED, FARM GATE (MJ/kg)","Average of CED, processor gate (MJ/kg)"),'[1]Pivot Table_CED'!$A$3,"SUB TYPE","Fluid Milk, Cow"))</f>
        <v/>
      </c>
      <c r="O300" s="92">
        <f>IF($L300="PROXY",DSTDEV('[1]literature entries'!D:AI,IF($J300=1,"ACTIVE     CED, FARM GATE (MJ/kg)","CED, processor gate (MJ/kg)"),INDIRECT($K300)),GETPIVOTDATA(IF($J300=1,"StdDev of ACTIVE     CED, FARM GATE (MJ/kg)","StdDev of CED, processor gate (MJ/kg)"),'[1]Pivot Table_CED'!$A$3,"SUB TYPE","Fluid Milk, Cow"))</f>
        <v/>
      </c>
      <c r="P300" s="90">
        <f>IF(ISERROR(GETPIVOTDATA(IF($J300=1,"Count of ACTIVE     GHGE, FARM GATE (kg CO2e/kg)","Count of GHGE, processor gate (kg CO2e/kg)"),'[1]Pivot Table_GHG'!$A$3,"SUB TYPE","Fluid Milk, Cow")),"PROXY",IF(GETPIVOTDATA(IF($J300=1,"Count of ACTIVE     GHGE, FARM GATE (kg CO2e/kg)","Count of GHGE, processor gate (kg CO2e/kg)"),'[1]Pivot Table_GHG'!$A$3,"SUB TYPE","Fluid Milk, Cow")=0,"PROXY","DB value"))</f>
        <v/>
      </c>
      <c r="Q300" s="93">
        <f>IF($P300="PROXY",DCOUNT('[1]literature entries'!$D:$AI,IF($J300=1,"ACTIVE     GHGE, FARM GATE (kg CO2e/kg)","GHGE, processor gate (kg CO2e/kg)"),INDIRECT($K300)),GETPIVOTDATA(IF($J300=1,"ACTIVE     GHGE, FARM GATE (kg CO2e/kg)","Count of GHGE, processor gate (kg CO2e/kg)"),'[1]Pivot Table_GHG'!$A$3,"SUB TYPE","Fluid Milk, Cow"))</f>
        <v/>
      </c>
      <c r="R300" s="94">
        <f>IF($P300="PROXY",DAVERAGE('[1]literature entries'!$D:$AI,IF($J300=1,"ACTIVE     GHGE, FARM GATE (kg CO2e/kg)","GHGE, processor gate (kg CO2e/kg)"),INDIRECT($K300)),GETPIVOTDATA(IF($J300=1,"Average of ACTIVE     GHGE, FARM GATE (kg CO2e/kg)","Average of GHGE, processor gate (kg CO2e/kg)"),'[1]Pivot Table_GHG'!$A$3,"SUB TYPE","Fluid Milk, Cow"))</f>
        <v/>
      </c>
      <c r="S300" s="94">
        <f>IF($P300="PROXY",DSTDEV('[1]literature entries'!$D:$AI,IF($J300=1,"ACTIVE     GHGE, FARM GATE (kg CO2e/kg)","GHGE, processor gate (kg CO2e/kg)"),INDIRECT($K300)),GETPIVOTDATA(IF($J300=1,"StdDev of ACTIVE     GHGE, FARM GATE (kg CO2e/kg)","StdDev of GHGE, processor gate (kg CO2e/kg)"),'[1]Pivot Table_GHG'!$A$3,"SUB TYPE","Fluid Milk, Cow"))</f>
        <v/>
      </c>
      <c r="T300" s="105" t="n"/>
      <c r="U300" s="106" t="n"/>
      <c r="V300" s="97" t="n"/>
      <c r="W300" s="110" t="inlineStr">
        <is>
          <t>Fluid_Milk_Cow</t>
        </is>
      </c>
      <c r="X300" s="98">
        <f>IF($W300="DIRECT",M300,DCOUNT('[1]literature entries'!$D:$AI,"ACTIVE     CED, FARM GATE (MJ/kg)",INDIRECT($W300)))</f>
        <v/>
      </c>
      <c r="Y300" s="98">
        <f>IF($W300="DIRECT","",DAVERAGE('[1]literature entries'!$D:$AI,IF($J300=1,"ACTIVE     CED, FARM GATE (MJ/kg)","CED, processor gate (MJ/kg)"),INDIRECT($W300)))</f>
        <v/>
      </c>
      <c r="Z300" s="98">
        <f>IF($W300="DIRECT",$O300,DSTDEV('[1]literature entries'!$D:$AI,IF($J300=1,"ACTIVE     CED, FARM GATE (MJ/kg)","CED, processor gate (MJ/kg)"),INDIRECT($W300)))</f>
        <v/>
      </c>
      <c r="AA300" s="98">
        <f>IF($W300="DIRECT",$O300,$Z300/$Y300*$N300)</f>
        <v/>
      </c>
      <c r="AB300" s="99">
        <f>IF(P300="PROXY",IF(Q300&gt;=5,K300,"need group"),IF(Q300&gt;=5,"DIRECT","need group"))</f>
        <v/>
      </c>
      <c r="AC300" s="99">
        <f>IF($AB300="DIRECT",Q300,DCOUNT('[1]literature entries'!$D:$AI,IF($J300=1,"ACTIVE     GHGE, FARM GATE (kg CO2e/kg)","GHGE, processor gate (kg CO2e/kg)"),INDIRECT($AB300)))</f>
        <v/>
      </c>
      <c r="AD300" s="99">
        <f>IF($AB300="DIRECT","",DAVERAGE('[1]literature entries'!$D:$AI,IF($J300=1,"ACTIVE     GHGE, FARM GATE (kg CO2e/kg)","GHGE, processor gate (kg CO2e/kg)"),INDIRECT($AB300)))</f>
        <v/>
      </c>
      <c r="AE300" s="99">
        <f>IF($AB300="DIRECT",$S300,DSTDEV('[1]literature entries'!$D:$AI,IF($J300=1,"ACTIVE     GHGE, FARM GATE (kg CO2e/kg)","GHGE, processor gate (kg CO2e/kg)"),INDIRECT($AB300)))</f>
        <v/>
      </c>
      <c r="AF300" s="99">
        <f>IF($AB300="DIRECT",$S300,$AE300/$AD300*$R300)</f>
        <v/>
      </c>
    </row>
    <row r="301" ht="15.75" customHeight="1" s="201">
      <c r="A301" s="100" t="n">
        <v>3600224000</v>
      </c>
      <c r="B301" s="101" t="inlineStr">
        <is>
          <t>Milk, water</t>
        </is>
      </c>
      <c r="C301" s="101" t="inlineStr">
        <is>
          <t>Moisture content of milk</t>
        </is>
      </c>
      <c r="D301" s="101" t="n"/>
      <c r="E301" s="101" t="n">
        <v>50581</v>
      </c>
      <c r="F301" s="84">
        <f>N301*H301+T301</f>
        <v/>
      </c>
      <c r="G301" s="85">
        <f>R301*H301+U301</f>
        <v/>
      </c>
      <c r="H301" s="102" t="n">
        <v>0</v>
      </c>
      <c r="I301" s="103" t="inlineStr">
        <is>
          <t>None</t>
        </is>
      </c>
      <c r="J301" s="104" t="n">
        <v>2</v>
      </c>
      <c r="K301" s="132" t="n"/>
      <c r="L301" s="90">
        <f>IF(ISERROR(GETPIVOTDATA(IF($J301=1,"Count of ACTIVE     CED, FARM GATE (MJ/kg)","Count of CED, processor gate (MJ/kg)"),'[1]Pivot Table_CED'!$A$3,"SUB TYPE","Fluid Milk, Cow")),"PROXY",IF(GETPIVOTDATA(IF($J301=1,"Count of ACTIVE     CED, FARM GATE (MJ/kg)","Count of CED, processor gate (MJ/kg)"),'[1]Pivot Table_CED'!$A$3,"SUB TYPE","Fluid Milk, Cow")=0,"PROXY","DB value"))</f>
        <v/>
      </c>
      <c r="M301" s="91">
        <f>IF($L301="PROXY",DCOUNT('[1]literature entries'!$D:$AI,IF($J301=1,"ACTIVE     CED, FARM GATE (MJ/kg)","CED, processor gate (MJ/kg)"),INDIRECT($K301)),GETPIVOTDATA(IF($J301=1,"Count of ACTIVE     CED, FARM GATE (MJ/kg)","Count of CED, processor gate (MJ/kg)"),'[1]Pivot Table_CED'!$A$3,"SUB TYPE","Fluid Milk, Cow"))</f>
        <v/>
      </c>
      <c r="N301" s="92">
        <f>IF($L301="PROXY",DAVERAGE('[1]literature entries'!$D:$AI,IF($J301=1,"ACTIVE     CED, FARM GATE (MJ/kg)","CED, processor gate (MJ/kg)"),INDIRECT($K301)),GETPIVOTDATA(IF($J301=1,"Average of ACTIVE     CED, FARM GATE (MJ/kg)","Average of CED, processor gate (MJ/kg)"),'[1]Pivot Table_CED'!$A$3,"SUB TYPE","Fluid Milk, Cow"))</f>
        <v/>
      </c>
      <c r="O301" s="92">
        <f>IF($L301="PROXY",DSTDEV('[1]literature entries'!D:AI,IF($J301=1,"ACTIVE     CED, FARM GATE (MJ/kg)","CED, processor gate (MJ/kg)"),INDIRECT($K301)),GETPIVOTDATA(IF($J301=1,"StdDev of ACTIVE     CED, FARM GATE (MJ/kg)","StdDev of CED, processor gate (MJ/kg)"),'[1]Pivot Table_CED'!$A$3,"SUB TYPE","Fluid Milk, Cow"))</f>
        <v/>
      </c>
      <c r="P301" s="90">
        <f>IF(ISERROR(GETPIVOTDATA(IF($J301=1,"Count of ACTIVE     GHGE, FARM GATE (kg CO2e/kg)","Count of GHGE, processor gate (kg CO2e/kg)"),'[1]Pivot Table_GHG'!$A$3,"SUB TYPE","Fluid Milk, Cow")),"PROXY",IF(GETPIVOTDATA(IF($J301=1,"Count of ACTIVE     GHGE, FARM GATE (kg CO2e/kg)","Count of GHGE, processor gate (kg CO2e/kg)"),'[1]Pivot Table_GHG'!$A$3,"SUB TYPE","Fluid Milk, Cow")=0,"PROXY","DB value"))</f>
        <v/>
      </c>
      <c r="Q301" s="93">
        <f>IF($P301="PROXY",DCOUNT('[1]literature entries'!$D:$AI,IF($J301=1,"ACTIVE     GHGE, FARM GATE (kg CO2e/kg)","GHGE, processor gate (kg CO2e/kg)"),INDIRECT($K301)),GETPIVOTDATA(IF($J301=1,"ACTIVE     GHGE, FARM GATE (kg CO2e/kg)","Count of GHGE, processor gate (kg CO2e/kg)"),'[1]Pivot Table_GHG'!$A$3,"SUB TYPE","Fluid Milk, Cow"))</f>
        <v/>
      </c>
      <c r="R301" s="94">
        <f>IF($P301="PROXY",DAVERAGE('[1]literature entries'!$D:$AI,IF($J301=1,"ACTIVE     GHGE, FARM GATE (kg CO2e/kg)","GHGE, processor gate (kg CO2e/kg)"),INDIRECT($K301)),GETPIVOTDATA(IF($J301=1,"Average of ACTIVE     GHGE, FARM GATE (kg CO2e/kg)","Average of GHGE, processor gate (kg CO2e/kg)"),'[1]Pivot Table_GHG'!$A$3,"SUB TYPE","Fluid Milk, Cow"))</f>
        <v/>
      </c>
      <c r="S301" s="94">
        <f>IF($P301="PROXY",DSTDEV('[1]literature entries'!$D:$AI,IF($J301=1,"ACTIVE     GHGE, FARM GATE (kg CO2e/kg)","GHGE, processor gate (kg CO2e/kg)"),INDIRECT($K301)),GETPIVOTDATA(IF($J301=1,"StdDev of ACTIVE     GHGE, FARM GATE (kg CO2e/kg)","StdDev of GHGE, processor gate (kg CO2e/kg)"),'[1]Pivot Table_GHG'!$A$3,"SUB TYPE","Fluid Milk, Cow"))</f>
        <v/>
      </c>
      <c r="T301" s="105" t="n"/>
      <c r="U301" s="106" t="n"/>
      <c r="V301" s="97" t="n"/>
      <c r="W301" s="110" t="inlineStr">
        <is>
          <t>Fluid_Milk_Cow</t>
        </is>
      </c>
      <c r="X301" s="98">
        <f>IF($W301="DIRECT",M301,DCOUNT('[1]literature entries'!$D:$AI,"ACTIVE     CED, FARM GATE (MJ/kg)",INDIRECT($W301)))</f>
        <v/>
      </c>
      <c r="Y301" s="98">
        <f>IF($W301="DIRECT","",DAVERAGE('[1]literature entries'!$D:$AI,IF($J301=1,"ACTIVE     CED, FARM GATE (MJ/kg)","CED, processor gate (MJ/kg)"),INDIRECT($W301)))</f>
        <v/>
      </c>
      <c r="Z301" s="98">
        <f>IF($W301="DIRECT",$O301,DSTDEV('[1]literature entries'!$D:$AI,IF($J301=1,"ACTIVE     CED, FARM GATE (MJ/kg)","CED, processor gate (MJ/kg)"),INDIRECT($W301)))</f>
        <v/>
      </c>
      <c r="AA301" s="98">
        <f>IF($W301="DIRECT",$O301,$Z301/$Y301*$N301)</f>
        <v/>
      </c>
      <c r="AB301" s="99">
        <f>IF(P301="PROXY",IF(Q301&gt;=5,K301,"need group"),IF(Q301&gt;=5,"DIRECT","need group"))</f>
        <v/>
      </c>
      <c r="AC301" s="99">
        <f>IF($AB301="DIRECT",Q301,DCOUNT('[1]literature entries'!$D:$AI,IF($J301=1,"ACTIVE     GHGE, FARM GATE (kg CO2e/kg)","GHGE, processor gate (kg CO2e/kg)"),INDIRECT($AB301)))</f>
        <v/>
      </c>
      <c r="AD301" s="99">
        <f>IF($AB301="DIRECT","",DAVERAGE('[1]literature entries'!$D:$AI,IF($J301=1,"ACTIVE     GHGE, FARM GATE (kg CO2e/kg)","GHGE, processor gate (kg CO2e/kg)"),INDIRECT($AB301)))</f>
        <v/>
      </c>
      <c r="AE301" s="99">
        <f>IF($AB301="DIRECT",$S301,DSTDEV('[1]literature entries'!$D:$AI,IF($J301=1,"ACTIVE     GHGE, FARM GATE (kg CO2e/kg)","GHGE, processor gate (kg CO2e/kg)"),INDIRECT($AB301)))</f>
        <v/>
      </c>
      <c r="AF301" s="99">
        <f>IF($AB301="DIRECT",$S301,$AE301/$AD301*$R301)</f>
        <v/>
      </c>
    </row>
    <row r="302" ht="15.75" customHeight="1" s="201">
      <c r="A302" s="100" t="n">
        <v>3800221000</v>
      </c>
      <c r="B302" s="101" t="inlineStr">
        <is>
          <t>Meat, game</t>
        </is>
      </c>
      <c r="C302" s="101" t="inlineStr">
        <is>
          <t>weight of meat; excluding bone, trimmable fat and skin</t>
        </is>
      </c>
      <c r="D302" s="101" t="inlineStr">
        <is>
          <t>Includes armadillo, bear, beaver, caribou, deer, elk, frog, groundhog, moose, snake, opossum, raccoon, squirrel, turtle.</t>
        </is>
      </c>
      <c r="E302" s="101" t="n">
        <v>161</v>
      </c>
      <c r="F302" s="84">
        <f>N302*H302+T302</f>
        <v/>
      </c>
      <c r="G302" s="85">
        <f>R302*H302+U302</f>
        <v/>
      </c>
      <c r="H302" s="102" t="n">
        <v>1</v>
      </c>
      <c r="I302" s="103" t="inlineStr">
        <is>
          <t>None</t>
        </is>
      </c>
      <c r="J302" s="104" t="n">
        <v>2</v>
      </c>
      <c r="K302" s="89" t="n"/>
      <c r="L302" s="90">
        <f>IF(ISERROR(GETPIVOTDATA(IF($J302=1,"Count of ACTIVE     CED, FARM GATE (MJ/kg)","Count of CED, processor gate (MJ/kg)"),'[1]Pivot Table_CED'!$A$3,"SUB TYPE",$B302)),"PROXY",IF(GETPIVOTDATA(IF($J302=1,"Count of ACTIVE     CED, FARM GATE (MJ/kg)","Count of CED, processor gate (MJ/kg)"),'[1]Pivot Table_CED'!$A$3,"SUB TYPE",$B302)=0,"PROXY","DB value"))</f>
        <v/>
      </c>
      <c r="M302" s="91">
        <f>IF($L302="PROXY",DCOUNT('[1]literature entries'!$D:$AI,IF($J302=1,"ACTIVE     CED, FARM GATE (MJ/kg)","CED, processor gate (MJ/kg)"),INDIRECT($K302)),GETPIVOTDATA(IF($J302=1,"Count of ACTIVE     CED, FARM GATE (MJ/kg)","Count of CED, processor gate (MJ/kg)"),'[1]Pivot Table_CED'!$A$3,"SUB TYPE",$B302))</f>
        <v/>
      </c>
      <c r="N302" s="92">
        <f>IF($L302="PROXY",DAVERAGE('[1]literature entries'!$D:$AI,IF($J302=1,"ACTIVE     CED, FARM GATE (MJ/kg)","CED, processor gate (MJ/kg)"),INDIRECT($K302)),GETPIVOTDATA(IF($J302=1,"Average of ACTIVE     CED, FARM GATE (MJ/kg)","Average of CED, processor gate (MJ/kg)"),'[1]Pivot Table_CED'!$A$3,"SUB TYPE",$B302))</f>
        <v/>
      </c>
      <c r="O302" s="92">
        <f>IF($L302="PROXY",DSTDEV('[1]literature entries'!D:AI,IF($J302=1,"ACTIVE     CED, FARM GATE (MJ/kg)","CED, processor gate (MJ/kg)"),INDIRECT($K302)),GETPIVOTDATA(IF($J302=1,"StdDev of ACTIVE     CED, FARM GATE (MJ/kg)","StdDev of CED, processor gate (MJ/kg)"),'[1]Pivot Table_CED'!$A$3,"SUB TYPE",$B302))</f>
        <v/>
      </c>
      <c r="P302" s="90">
        <f>IF(ISERROR(GETPIVOTDATA(IF($J302=1,"Count of ACTIVE     GHGE, FARM GATE (kg CO2e/kg)","Count of GHGE, processor gate (kg CO2e/kg)"),'[1]Pivot Table_GHG'!$A$3,"SUB TYPE",$B302)),"PROXY",IF(GETPIVOTDATA(IF($J302=1,"Count of ACTIVE     GHGE, FARM GATE (kg CO2e/kg)","Count of GHGE, processor gate (kg CO2e/kg)"),'[1]Pivot Table_GHG'!$A$3,"SUB TYPE",$B302)=0,"PROXY","DB value"))</f>
        <v/>
      </c>
      <c r="Q302" s="93">
        <f>IF($P302="PROXY",DCOUNT('[1]literature entries'!$D:$AI,IF($J302=1,"ACTIVE     GHGE, FARM GATE (kg CO2e/kg)","GHGE, processor gate (kg CO2e/kg)"),INDIRECT($K302)),GETPIVOTDATA(IF($J302=1,"ACTIVE     GHGE, FARM GATE (kg CO2e/kg)","Count of GHGE, processor gate (kg CO2e/kg)"),'[1]Pivot Table_GHG'!$A$3,"SUB TYPE",$B302))</f>
        <v/>
      </c>
      <c r="R302" s="94">
        <f>IF($P302="PROXY",DAVERAGE('[1]literature entries'!$D:$AI,IF($J302=1,"ACTIVE     GHGE, FARM GATE (kg CO2e/kg)","GHGE, processor gate (kg CO2e/kg)"),INDIRECT($K302)),GETPIVOTDATA(IF($J302=1,"Average of ACTIVE     GHGE, FARM GATE (kg CO2e/kg)","Average of GHGE, processor gate (kg CO2e/kg)"),'[1]Pivot Table_GHG'!$A$3,"SUB TYPE",$B302))</f>
        <v/>
      </c>
      <c r="S302" s="94">
        <f>IF($P302="PROXY",DSTDEV('[1]literature entries'!$D:$AI,IF($J302=1,"ACTIVE     GHGE, FARM GATE (kg CO2e/kg)","GHGE, processor gate (kg CO2e/kg)"),INDIRECT($K302)),GETPIVOTDATA(IF($J302=1,"StdDev of ACTIVE     GHGE, FARM GATE (kg CO2e/kg)","StdDev of GHGE, processor gate (kg CO2e/kg)"),'[1]Pivot Table_GHG'!$A$3,"SUB TYPE",$B302))</f>
        <v/>
      </c>
      <c r="T302" s="105" t="n"/>
      <c r="U302" s="106" t="n"/>
      <c r="V302" s="97" t="n"/>
      <c r="W302" s="109" t="inlineStr">
        <is>
          <t>no var</t>
        </is>
      </c>
      <c r="X302" s="98" t="n"/>
      <c r="Y302" s="98" t="n"/>
      <c r="Z302" s="98" t="n">
        <v>0</v>
      </c>
      <c r="AA302" s="98" t="n">
        <v>0</v>
      </c>
      <c r="AB302" s="109" t="inlineStr">
        <is>
          <t>no var</t>
        </is>
      </c>
      <c r="AC302" s="99" t="n"/>
      <c r="AD302" s="99" t="n"/>
      <c r="AE302" s="99" t="n">
        <v>0</v>
      </c>
      <c r="AF302" s="99" t="n">
        <v>0</v>
      </c>
    </row>
    <row r="303" ht="15.75" customHeight="1" s="201">
      <c r="A303" s="100" t="n">
        <v>3900312000</v>
      </c>
      <c r="B303" s="101" t="inlineStr">
        <is>
          <t>Rabbit, meat</t>
        </is>
      </c>
      <c r="C303" s="101" t="inlineStr">
        <is>
          <t>weight of meat; excluding bone, trimmable fat and skin</t>
        </is>
      </c>
      <c r="D303" s="101" t="n"/>
      <c r="E303" s="101" t="n">
        <v>9</v>
      </c>
      <c r="F303" s="84">
        <f>N303*H303+T303</f>
        <v/>
      </c>
      <c r="G303" s="85">
        <f>R303*H303+U303</f>
        <v/>
      </c>
      <c r="H303" s="102" t="n">
        <v>1</v>
      </c>
      <c r="I303" s="103" t="inlineStr">
        <is>
          <t>None</t>
        </is>
      </c>
      <c r="J303" s="104" t="n">
        <v>1</v>
      </c>
      <c r="K303" s="89" t="n"/>
      <c r="L303" s="90">
        <f>IF(ISERROR(GETPIVOTDATA(IF($J303=1,"Count of ACTIVE     CED, FARM GATE (MJ/kg)","Count of CED, processor gate (MJ/kg)"),'[1]Pivot Table_CED'!$A$3,"SUB TYPE",$B303)),"PROXY",IF(GETPIVOTDATA(IF($J303=1,"Count of ACTIVE     CED, FARM GATE (MJ/kg)","Count of CED, processor gate (MJ/kg)"),'[1]Pivot Table_CED'!$A$3,"SUB TYPE",$B303)=0,"PROXY","DB value"))</f>
        <v/>
      </c>
      <c r="M303" s="91">
        <f>IF($L303="PROXY",DCOUNT('[1]literature entries'!$D:$AI,IF($J303=1,"ACTIVE     CED, FARM GATE (MJ/kg)","CED, processor gate (MJ/kg)"),INDIRECT($K303)),GETPIVOTDATA(IF($J303=1,"Count of ACTIVE     CED, FARM GATE (MJ/kg)","Count of CED, processor gate (MJ/kg)"),'[1]Pivot Table_CED'!$A$3,"SUB TYPE",$B303))</f>
        <v/>
      </c>
      <c r="N303" s="92">
        <f>IF($L303="PROXY",DAVERAGE('[1]literature entries'!$D:$AI,IF($J303=1,"ACTIVE     CED, FARM GATE (MJ/kg)","CED, processor gate (MJ/kg)"),INDIRECT($K303)),GETPIVOTDATA(IF($J303=1,"Average of ACTIVE     CED, FARM GATE (MJ/kg)","Average of CED, processor gate (MJ/kg)"),'[1]Pivot Table_CED'!$A$3,"SUB TYPE",$B303))</f>
        <v/>
      </c>
      <c r="O303" s="92">
        <f>IF($L303="PROXY",DSTDEV('[1]literature entries'!D:AI,IF($J303=1,"ACTIVE     CED, FARM GATE (MJ/kg)","CED, processor gate (MJ/kg)"),INDIRECT($K303)),GETPIVOTDATA(IF($J303=1,"StdDev of ACTIVE     CED, FARM GATE (MJ/kg)","StdDev of CED, processor gate (MJ/kg)"),'[1]Pivot Table_CED'!$A$3,"SUB TYPE",$B303))</f>
        <v/>
      </c>
      <c r="P303" s="90">
        <f>IF(ISERROR(GETPIVOTDATA(IF($J303=1,"Count of ACTIVE     GHGE, FARM GATE (kg CO2e/kg)","Count of GHGE, processor gate (kg CO2e/kg)"),'[1]Pivot Table_GHG'!$A$3,"SUB TYPE",$B303)),"PROXY",IF(GETPIVOTDATA(IF($J303=1,"Count of ACTIVE     GHGE, FARM GATE (kg CO2e/kg)","Count of GHGE, processor gate (kg CO2e/kg)"),'[1]Pivot Table_GHG'!$A$3,"SUB TYPE",$B303)=0,"PROXY","DB value"))</f>
        <v/>
      </c>
      <c r="Q303" s="93">
        <f>IF($P303="PROXY",DCOUNT('[1]literature entries'!$D:$AI,IF($J303=1,"ACTIVE     GHGE, FARM GATE (kg CO2e/kg)","GHGE, processor gate (kg CO2e/kg)"),INDIRECT($K303)),GETPIVOTDATA(IF($J303=1,"ACTIVE     GHGE, FARM GATE (kg CO2e/kg)","Count of GHGE, processor gate (kg CO2e/kg)"),'[1]Pivot Table_GHG'!$A$3,"SUB TYPE",$B303))</f>
        <v/>
      </c>
      <c r="R303" s="94">
        <f>IF($P303="PROXY",DAVERAGE('[1]literature entries'!$D:$AI,IF($J303=1,"ACTIVE     GHGE, FARM GATE (kg CO2e/kg)","GHGE, processor gate (kg CO2e/kg)"),INDIRECT($K303)),GETPIVOTDATA(IF($J303=1,"Average of ACTIVE     GHGE, FARM GATE (kg CO2e/kg)","Average of GHGE, processor gate (kg CO2e/kg)"),'[1]Pivot Table_GHG'!$A$3,"SUB TYPE",$B303))</f>
        <v/>
      </c>
      <c r="S303" s="94">
        <f>IF($P303="PROXY",DSTDEV('[1]literature entries'!$D:$AI,IF($J303=1,"ACTIVE     GHGE, FARM GATE (kg CO2e/kg)","GHGE, processor gate (kg CO2e/kg)"),INDIRECT($K303)),GETPIVOTDATA(IF($J303=1,"StdDev of ACTIVE     GHGE, FARM GATE (kg CO2e/kg)","StdDev of GHGE, processor gate (kg CO2e/kg)"),'[1]Pivot Table_GHG'!$A$3,"SUB TYPE",$B303))</f>
        <v/>
      </c>
      <c r="T303" s="105" t="n"/>
      <c r="U303" s="106" t="n"/>
      <c r="V303" s="97" t="n"/>
      <c r="W303" s="98" t="inlineStr">
        <is>
          <t>chicken</t>
        </is>
      </c>
      <c r="X303" s="98">
        <f>IF($W303="DIRECT",M303,DCOUNT('[1]literature entries'!$D:$AI,IF($J303=1,"ACTIVE     CED, FARM GATE (MJ/kg)","CED, processor gate (MJ/kg)"),INDIRECT($W303)))</f>
        <v/>
      </c>
      <c r="Y303" s="98">
        <f>IF($W303="DIRECT","",DAVERAGE('[1]literature entries'!$D:$AI,IF($J303=1,"ACTIVE     CED, FARM GATE (MJ/kg)","CED, processor gate (MJ/kg)"),INDIRECT($W303)))</f>
        <v/>
      </c>
      <c r="Z303" s="98">
        <f>IF($W303="DIRECT",$O303,DSTDEV('[1]literature entries'!$D:$AI,IF($J303=1,"ACTIVE     CED, FARM GATE (MJ/kg)","CED, processor gate (MJ/kg)"),INDIRECT($W303)))</f>
        <v/>
      </c>
      <c r="AA303" s="98">
        <f>IF($W303="DIRECT",$O303,$Z303/$Y303*$N303)</f>
        <v/>
      </c>
      <c r="AB303" s="99" t="inlineStr">
        <is>
          <t>chicken</t>
        </is>
      </c>
      <c r="AC303" s="99">
        <f>IF($AB303="DIRECT",Q303,DCOUNT('[1]literature entries'!$D:$AI,IF($J303=1,"ACTIVE     GHGE, FARM GATE (kg CO2e/kg)","GHGE, processor gate (kg CO2e/kg)"),INDIRECT($AB303)))</f>
        <v/>
      </c>
      <c r="AD303" s="99">
        <f>IF($AB303="DIRECT","",DAVERAGE('[1]literature entries'!$D:$AI,IF($J303=1,"ACTIVE     GHGE, FARM GATE (kg CO2e/kg)","GHGE, processor gate (kg CO2e/kg)"),INDIRECT($AB303)))</f>
        <v/>
      </c>
      <c r="AE303" s="99">
        <f>IF($AB303="DIRECT",$S303,DSTDEV('[1]literature entries'!$D:$AI,IF($J303=1,"ACTIVE     GHGE, FARM GATE (kg CO2e/kg)","GHGE, processor gate (kg CO2e/kg)"),INDIRECT($AB303)))</f>
        <v/>
      </c>
      <c r="AF303" s="99">
        <f>IF($AB303="DIRECT",$S303,$AE303/$AD303*$R303)</f>
        <v/>
      </c>
    </row>
    <row r="304" ht="15.75" customHeight="1" s="201">
      <c r="A304" s="100" t="n">
        <v>4000093000</v>
      </c>
      <c r="B304" s="101" t="inlineStr">
        <is>
          <t>Chicken, meat</t>
        </is>
      </c>
      <c r="C304" s="101" t="inlineStr">
        <is>
          <t>weight of flesh; excluding the weight of bone, total nutrient fat, and skin</t>
        </is>
      </c>
      <c r="D304" s="101" t="n"/>
      <c r="E304" s="101" t="n">
        <v>26566</v>
      </c>
      <c r="F304" s="84">
        <f>N304*H304+T304</f>
        <v/>
      </c>
      <c r="G304" s="85">
        <f>R304*H304+U304</f>
        <v/>
      </c>
      <c r="H304" s="102" t="n">
        <v>1</v>
      </c>
      <c r="I304" s="103" t="inlineStr">
        <is>
          <t>None</t>
        </is>
      </c>
      <c r="J304" s="104" t="n">
        <v>1</v>
      </c>
      <c r="K304" s="132" t="n"/>
      <c r="L304" s="90">
        <f>IF(ISERROR(GETPIVOTDATA(IF($J304=1,"Count of ACTIVE     CED, FARM GATE (MJ/kg)","Count of CED, processor gate (MJ/kg)"),'[1]Pivot Table_CED'!$A$3,"SUB TYPE","chicken")),"PROXY",IF(GETPIVOTDATA(IF($J304=1,"Count of ACTIVE     CED, FARM GATE (MJ/kg)","Count of CED, processor gate (MJ/kg)"),'[1]Pivot Table_CED'!$A$3,"SUB TYPE","chicken")=0,"PROXY","DB value"))</f>
        <v/>
      </c>
      <c r="M304" s="91">
        <f>IF($L304="PROXY",DCOUNT('[1]literature entries'!$D:$AI,IF($J304=1,"ACTIVE     CED, FARM GATE (MJ/kg)","CED, processor gate (MJ/kg)"),INDIRECT($K304)),GETPIVOTDATA(IF($J304=1,"Count of ACTIVE     CED, FARM GATE (MJ/kg)","Count of CED, processor gate (MJ/kg)"),'[1]Pivot Table_CED'!$A$3,"SUB TYPE","chicken"))</f>
        <v/>
      </c>
      <c r="N304" s="92">
        <f>IF($L304="PROXY",DAVERAGE('[1]literature entries'!$D:$AI,IF($J304=1,"ACTIVE     CED, FARM GATE (MJ/kg)","CED, processor gate (MJ/kg)"),INDIRECT($K304)),GETPIVOTDATA(IF($J304=1,"Average of ACTIVE     CED, FARM GATE (MJ/kg)","Average of CED, processor gate (MJ/kg)"),'[1]Pivot Table_CED'!$A$3,"SUB TYPE","chicken"))</f>
        <v/>
      </c>
      <c r="O304" s="92">
        <f>IF($L304="PROXY",DSTDEV('[1]literature entries'!D:AI,IF($J304=1,"ACTIVE     CED, FARM GATE (MJ/kg)","CED, processor gate (MJ/kg)"),INDIRECT($K304)),GETPIVOTDATA(IF($J304=1,"StdDev of ACTIVE     CED, FARM GATE (MJ/kg)","StdDev of CED, processor gate (MJ/kg)"),'[1]Pivot Table_CED'!$A$3,"SUB TYPE","chicken"))</f>
        <v/>
      </c>
      <c r="P304" s="90">
        <f>IF(ISERROR(GETPIVOTDATA(IF($J304=1,"Count of ACTIVE     GHGE, FARM GATE (kg CO2e/kg)","Count of GHGE, processor gate (kg CO2e/kg)"),'[1]Pivot Table_GHG'!$A$3,"SUB TYPE","chicken")),"PROXY",IF(GETPIVOTDATA(IF($J304=1,"Count of ACTIVE     GHGE, FARM GATE (kg CO2e/kg)","Count of GHGE, processor gate (kg CO2e/kg)"),'[1]Pivot Table_GHG'!$A$3,"SUB TYPE","chicken")=0,"PROXY","DB value"))</f>
        <v/>
      </c>
      <c r="Q304" s="93">
        <f>IF($P304="PROXY",DCOUNT('[1]literature entries'!$D:$AI,IF($J304=1,"ACTIVE     GHGE, FARM GATE (kg CO2e/kg)","GHGE, processor gate (kg CO2e/kg)"),INDIRECT($K304)),GETPIVOTDATA(IF($J304=1,"ACTIVE     GHGE, FARM GATE (kg CO2e/kg)","Count of GHGE, processor gate (kg CO2e/kg)"),'[1]Pivot Table_GHG'!$A$3,"SUB TYPE","chicken"))</f>
        <v/>
      </c>
      <c r="R304" s="94">
        <f>IF($P304="PROXY",DAVERAGE('[1]literature entries'!$D:$AI,IF($J304=1,"ACTIVE     GHGE, FARM GATE (kg CO2e/kg)","GHGE, processor gate (kg CO2e/kg)"),INDIRECT($K304)),GETPIVOTDATA(IF($J304=1,"Average of ACTIVE     GHGE, FARM GATE (kg CO2e/kg)","Average of GHGE, processor gate (kg CO2e/kg)"),'[1]Pivot Table_GHG'!$A$3,"SUB TYPE","chicken"))</f>
        <v/>
      </c>
      <c r="S304" s="94">
        <f>IF($P304="PROXY",DSTDEV('[1]literature entries'!$D:$AI,IF($J304=1,"ACTIVE     GHGE, FARM GATE (kg CO2e/kg)","GHGE, processor gate (kg CO2e/kg)"),INDIRECT($K304)),GETPIVOTDATA(IF($J304=1,"StdDev of ACTIVE     GHGE, FARM GATE (kg CO2e/kg)","StdDev of GHGE, processor gate (kg CO2e/kg)"),'[1]Pivot Table_GHG'!$A$3,"SUB TYPE","chicken"))</f>
        <v/>
      </c>
      <c r="T304" s="105" t="n"/>
      <c r="U304" s="106" t="n"/>
      <c r="V304" s="97" t="n"/>
      <c r="W304" s="98">
        <f>IF(L304="PROXY",IF(M304&gt;=5,K304,"need group"),IF(M304&gt;=5,"DIRECT","need group"))</f>
        <v/>
      </c>
      <c r="X304" s="98">
        <f>IF($W304="DIRECT",M304,DCOUNT('[1]literature entries'!$D:$AI,IF($J304=1,"ACTIVE     CED, FARM GATE (MJ/kg)","CED, processor gate (MJ/kg)"),INDIRECT($W304)))</f>
        <v/>
      </c>
      <c r="Y304" s="98">
        <f>IF($W304="DIRECT","",DAVERAGE('[1]literature entries'!$D:$AI,IF($J304=1,"ACTIVE     CED, FARM GATE (MJ/kg)","CED, processor gate (MJ/kg)"),INDIRECT($W304)))</f>
        <v/>
      </c>
      <c r="Z304" s="98">
        <f>IF($W304="DIRECT",$O304,DSTDEV('[1]literature entries'!$D:$AI,IF($J304=1,"ACTIVE     CED, FARM GATE (MJ/kg)","CED, processor gate (MJ/kg)"),INDIRECT($W304)))</f>
        <v/>
      </c>
      <c r="AA304" s="98">
        <f>IF($W304="DIRECT",$O304,$Z304/$Y304*$N304)</f>
        <v/>
      </c>
      <c r="AB304" s="99">
        <f>IF(P304="PROXY",IF(Q304&gt;=5,K304,"need group"),IF(Q304&gt;=5,"DIRECT","need group"))</f>
        <v/>
      </c>
      <c r="AC304" s="99">
        <f>IF($AB304="DIRECT",Q304,DCOUNT('[1]literature entries'!$D:$AI,IF($J304=1,"ACTIVE     GHGE, FARM GATE (kg CO2e/kg)","GHGE, processor gate (kg CO2e/kg)"),INDIRECT($AB304)))</f>
        <v/>
      </c>
      <c r="AD304" s="99">
        <f>IF($AB304="DIRECT","",DAVERAGE('[1]literature entries'!$D:$AI,IF($J304=1,"ACTIVE     GHGE, FARM GATE (kg CO2e/kg)","GHGE, processor gate (kg CO2e/kg)"),INDIRECT($AB304)))</f>
        <v/>
      </c>
      <c r="AE304" s="99">
        <f>IF($AB304="DIRECT",$S304,DSTDEV('[1]literature entries'!$D:$AI,IF($J304=1,"ACTIVE     GHGE, FARM GATE (kg CO2e/kg)","GHGE, processor gate (kg CO2e/kg)"),INDIRECT($AB304)))</f>
        <v/>
      </c>
      <c r="AF304" s="99">
        <f>IF($AB304="DIRECT",$S304,$AE304/$AD304*$R304)</f>
        <v/>
      </c>
    </row>
    <row r="305" ht="15.75" customHeight="1" s="201">
      <c r="A305" s="100" t="n">
        <v>4000094000</v>
      </c>
      <c r="B305" s="101" t="inlineStr">
        <is>
          <t>Chicken, liver</t>
        </is>
      </c>
      <c r="C305" s="101" t="inlineStr">
        <is>
          <t>weight of organ;  including nutrient fat</t>
        </is>
      </c>
      <c r="D305" s="101" t="n"/>
      <c r="E305" s="101" t="n">
        <v>267</v>
      </c>
      <c r="F305" s="84">
        <f>N305*H305+T305</f>
        <v/>
      </c>
      <c r="G305" s="85">
        <f>R305*H305+U305</f>
        <v/>
      </c>
      <c r="H305" s="102" t="n">
        <v>1</v>
      </c>
      <c r="I305" s="103" t="inlineStr">
        <is>
          <t>None</t>
        </is>
      </c>
      <c r="J305" s="104" t="n">
        <v>1</v>
      </c>
      <c r="K305" s="132" t="n"/>
      <c r="L305" s="90">
        <f>IF(ISERROR(GETPIVOTDATA(IF($J305=1,"Count of ACTIVE     CED, FARM GATE (MJ/kg)","Count of CED, processor gate (MJ/kg)"),'[1]Pivot Table_CED'!$A$3,"SUB TYPE","chicken")),"PROXY",IF(GETPIVOTDATA(IF($J305=1,"Count of ACTIVE     CED, FARM GATE (MJ/kg)","Count of CED, processor gate (MJ/kg)"),'[1]Pivot Table_CED'!$A$3,"SUB TYPE","chicken")=0,"PROXY","DB value"))</f>
        <v/>
      </c>
      <c r="M305" s="91">
        <f>IF($L305="PROXY",DCOUNT('[1]literature entries'!$D:$AI,IF($J305=1,"ACTIVE     CED, FARM GATE (MJ/kg)","CED, processor gate (MJ/kg)"),INDIRECT($K305)),GETPIVOTDATA(IF($J305=1,"Count of ACTIVE     CED, FARM GATE (MJ/kg)","Count of CED, processor gate (MJ/kg)"),'[1]Pivot Table_CED'!$A$3,"SUB TYPE","chicken"))</f>
        <v/>
      </c>
      <c r="N305" s="92">
        <f>IF($L305="PROXY",DAVERAGE('[1]literature entries'!$D:$AI,IF($J305=1,"ACTIVE     CED, FARM GATE (MJ/kg)","CED, processor gate (MJ/kg)"),INDIRECT($K305)),GETPIVOTDATA(IF($J305=1,"Average of ACTIVE     CED, FARM GATE (MJ/kg)","Average of CED, processor gate (MJ/kg)"),'[1]Pivot Table_CED'!$A$3,"SUB TYPE","chicken"))</f>
        <v/>
      </c>
      <c r="O305" s="92">
        <f>IF($L305="PROXY",DSTDEV('[1]literature entries'!D:AI,IF($J305=1,"ACTIVE     CED, FARM GATE (MJ/kg)","CED, processor gate (MJ/kg)"),INDIRECT($K305)),GETPIVOTDATA(IF($J305=1,"StdDev of ACTIVE     CED, FARM GATE (MJ/kg)","StdDev of CED, processor gate (MJ/kg)"),'[1]Pivot Table_CED'!$A$3,"SUB TYPE","chicken"))</f>
        <v/>
      </c>
      <c r="P305" s="90">
        <f>IF(ISERROR(GETPIVOTDATA(IF($J305=1,"Count of ACTIVE     GHGE, FARM GATE (kg CO2e/kg)","Count of GHGE, processor gate (kg CO2e/kg)"),'[1]Pivot Table_GHG'!$A$3,"SUB TYPE","chicken")),"PROXY",IF(GETPIVOTDATA(IF($J305=1,"Count of ACTIVE     GHGE, FARM GATE (kg CO2e/kg)","Count of GHGE, processor gate (kg CO2e/kg)"),'[1]Pivot Table_GHG'!$A$3,"SUB TYPE","chicken")=0,"PROXY","DB value"))</f>
        <v/>
      </c>
      <c r="Q305" s="93">
        <f>IF($P305="PROXY",DCOUNT('[1]literature entries'!$D:$AI,IF($J305=1,"ACTIVE     GHGE, FARM GATE (kg CO2e/kg)","GHGE, processor gate (kg CO2e/kg)"),INDIRECT($K305)),GETPIVOTDATA(IF($J305=1,"ACTIVE     GHGE, FARM GATE (kg CO2e/kg)","Count of GHGE, processor gate (kg CO2e/kg)"),'[1]Pivot Table_GHG'!$A$3,"SUB TYPE","chicken"))</f>
        <v/>
      </c>
      <c r="R305" s="94">
        <f>IF($P305="PROXY",DAVERAGE('[1]literature entries'!$D:$AI,IF($J305=1,"ACTIVE     GHGE, FARM GATE (kg CO2e/kg)","GHGE, processor gate (kg CO2e/kg)"),INDIRECT($K305)),GETPIVOTDATA(IF($J305=1,"Average of ACTIVE     GHGE, FARM GATE (kg CO2e/kg)","Average of GHGE, processor gate (kg CO2e/kg)"),'[1]Pivot Table_GHG'!$A$3,"SUB TYPE","chicken"))</f>
        <v/>
      </c>
      <c r="S305" s="94">
        <f>IF($P305="PROXY",DSTDEV('[1]literature entries'!$D:$AI,IF($J305=1,"ACTIVE     GHGE, FARM GATE (kg CO2e/kg)","GHGE, processor gate (kg CO2e/kg)"),INDIRECT($K305)),GETPIVOTDATA(IF($J305=1,"StdDev of ACTIVE     GHGE, FARM GATE (kg CO2e/kg)","StdDev of GHGE, processor gate (kg CO2e/kg)"),'[1]Pivot Table_GHG'!$A$3,"SUB TYPE","chicken"))</f>
        <v/>
      </c>
      <c r="T305" s="105" t="n"/>
      <c r="U305" s="106" t="n"/>
      <c r="V305" s="97" t="n"/>
      <c r="W305" s="98">
        <f>IF(L305="PROXY",IF(M305&gt;=5,K305,"need group"),IF(M305&gt;=5,"DIRECT","need group"))</f>
        <v/>
      </c>
      <c r="X305" s="98">
        <f>IF($W305="DIRECT",M305,DCOUNT('[1]literature entries'!$D:$AI,IF($J305=1,"ACTIVE     CED, FARM GATE (MJ/kg)","CED, processor gate (MJ/kg)"),INDIRECT($W305)))</f>
        <v/>
      </c>
      <c r="Y305" s="98">
        <f>IF($W305="DIRECT","",DAVERAGE('[1]literature entries'!$D:$AI,IF($J305=1,"ACTIVE     CED, FARM GATE (MJ/kg)","CED, processor gate (MJ/kg)"),INDIRECT($W305)))</f>
        <v/>
      </c>
      <c r="Z305" s="98">
        <f>IF($W305="DIRECT",$O305,DSTDEV('[1]literature entries'!$D:$AI,IF($J305=1,"ACTIVE     CED, FARM GATE (MJ/kg)","CED, processor gate (MJ/kg)"),INDIRECT($W305)))</f>
        <v/>
      </c>
      <c r="AA305" s="98">
        <f>IF($W305="DIRECT",$O305,$Z305/$Y305*$N305)</f>
        <v/>
      </c>
      <c r="AB305" s="99">
        <f>IF(P305="PROXY",IF(Q305&gt;=5,K305,"need group"),IF(Q305&gt;=5,"DIRECT","need group"))</f>
        <v/>
      </c>
      <c r="AC305" s="99">
        <f>IF($AB305="DIRECT",Q305,DCOUNT('[1]literature entries'!$D:$AI,IF($J305=1,"ACTIVE     GHGE, FARM GATE (kg CO2e/kg)","GHGE, processor gate (kg CO2e/kg)"),INDIRECT($AB305)))</f>
        <v/>
      </c>
      <c r="AD305" s="99">
        <f>IF($AB305="DIRECT","",DAVERAGE('[1]literature entries'!$D:$AI,IF($J305=1,"ACTIVE     GHGE, FARM GATE (kg CO2e/kg)","GHGE, processor gate (kg CO2e/kg)"),INDIRECT($AB305)))</f>
        <v/>
      </c>
      <c r="AE305" s="99">
        <f>IF($AB305="DIRECT",$S305,DSTDEV('[1]literature entries'!$D:$AI,IF($J305=1,"ACTIVE     GHGE, FARM GATE (kg CO2e/kg)","GHGE, processor gate (kg CO2e/kg)"),INDIRECT($AB305)))</f>
        <v/>
      </c>
      <c r="AF305" s="99">
        <f>IF($AB305="DIRECT",$S305,$AE305/$AD305*$R305)</f>
        <v/>
      </c>
    </row>
    <row r="306" ht="15.75" customHeight="1" s="201">
      <c r="A306" s="100" t="n">
        <v>4000095000</v>
      </c>
      <c r="B306" s="101" t="inlineStr">
        <is>
          <t>Chicken, meat byproducts</t>
        </is>
      </c>
      <c r="C306" s="101" t="inlineStr">
        <is>
          <t>weight of meat; excluding bone; may include some trimmable fat and/or skin</t>
        </is>
      </c>
      <c r="D306" s="101" t="inlineStr">
        <is>
          <t>Includes giblets (heart), necks, gizzard, feet, and tail.</t>
        </is>
      </c>
      <c r="E306" s="101" t="n">
        <v>13122</v>
      </c>
      <c r="F306" s="84">
        <f>N306*H306+T306</f>
        <v/>
      </c>
      <c r="G306" s="85">
        <f>R306*H306+U306</f>
        <v/>
      </c>
      <c r="H306" s="102" t="n">
        <v>1</v>
      </c>
      <c r="I306" s="103" t="inlineStr">
        <is>
          <t>None</t>
        </is>
      </c>
      <c r="J306" s="104" t="n">
        <v>1</v>
      </c>
      <c r="K306" s="132" t="n"/>
      <c r="L306" s="90">
        <f>IF(ISERROR(GETPIVOTDATA(IF($J306=1,"Count of ACTIVE     CED, FARM GATE (MJ/kg)","Count of CED, processor gate (MJ/kg)"),'[1]Pivot Table_CED'!$A$3,"SUB TYPE","chicken")),"PROXY",IF(GETPIVOTDATA(IF($J306=1,"Count of ACTIVE     CED, FARM GATE (MJ/kg)","Count of CED, processor gate (MJ/kg)"),'[1]Pivot Table_CED'!$A$3,"SUB TYPE","chicken")=0,"PROXY","DB value"))</f>
        <v/>
      </c>
      <c r="M306" s="91">
        <f>IF($L306="PROXY",DCOUNT('[1]literature entries'!$D:$AI,IF($J306=1,"ACTIVE     CED, FARM GATE (MJ/kg)","CED, processor gate (MJ/kg)"),INDIRECT($K306)),GETPIVOTDATA(IF($J306=1,"Count of ACTIVE     CED, FARM GATE (MJ/kg)","Count of CED, processor gate (MJ/kg)"),'[1]Pivot Table_CED'!$A$3,"SUB TYPE","chicken"))</f>
        <v/>
      </c>
      <c r="N306" s="92">
        <f>IF($L306="PROXY",DAVERAGE('[1]literature entries'!$D:$AI,IF($J306=1,"ACTIVE     CED, FARM GATE (MJ/kg)","CED, processor gate (MJ/kg)"),INDIRECT($K306)),GETPIVOTDATA(IF($J306=1,"Average of ACTIVE     CED, FARM GATE (MJ/kg)","Average of CED, processor gate (MJ/kg)"),'[1]Pivot Table_CED'!$A$3,"SUB TYPE","chicken"))</f>
        <v/>
      </c>
      <c r="O306" s="92">
        <f>IF($L306="PROXY",DSTDEV('[1]literature entries'!D:AI,IF($J306=1,"ACTIVE     CED, FARM GATE (MJ/kg)","CED, processor gate (MJ/kg)"),INDIRECT($K306)),GETPIVOTDATA(IF($J306=1,"StdDev of ACTIVE     CED, FARM GATE (MJ/kg)","StdDev of CED, processor gate (MJ/kg)"),'[1]Pivot Table_CED'!$A$3,"SUB TYPE","chicken"))</f>
        <v/>
      </c>
      <c r="P306" s="90">
        <f>IF(ISERROR(GETPIVOTDATA(IF($J306=1,"Count of ACTIVE     GHGE, FARM GATE (kg CO2e/kg)","Count of GHGE, processor gate (kg CO2e/kg)"),'[1]Pivot Table_GHG'!$A$3,"SUB TYPE","chicken")),"PROXY",IF(GETPIVOTDATA(IF($J306=1,"Count of ACTIVE     GHGE, FARM GATE (kg CO2e/kg)","Count of GHGE, processor gate (kg CO2e/kg)"),'[1]Pivot Table_GHG'!$A$3,"SUB TYPE","chicken")=0,"PROXY","DB value"))</f>
        <v/>
      </c>
      <c r="Q306" s="93">
        <f>IF($P306="PROXY",DCOUNT('[1]literature entries'!$D:$AI,IF($J306=1,"ACTIVE     GHGE, FARM GATE (kg CO2e/kg)","GHGE, processor gate (kg CO2e/kg)"),INDIRECT($K306)),GETPIVOTDATA(IF($J306=1,"ACTIVE     GHGE, FARM GATE (kg CO2e/kg)","Count of GHGE, processor gate (kg CO2e/kg)"),'[1]Pivot Table_GHG'!$A$3,"SUB TYPE","chicken"))</f>
        <v/>
      </c>
      <c r="R306" s="94">
        <f>IF($P306="PROXY",DAVERAGE('[1]literature entries'!$D:$AI,IF($J306=1,"ACTIVE     GHGE, FARM GATE (kg CO2e/kg)","GHGE, processor gate (kg CO2e/kg)"),INDIRECT($K306)),GETPIVOTDATA(IF($J306=1,"Average of ACTIVE     GHGE, FARM GATE (kg CO2e/kg)","Average of GHGE, processor gate (kg CO2e/kg)"),'[1]Pivot Table_GHG'!$A$3,"SUB TYPE","chicken"))</f>
        <v/>
      </c>
      <c r="S306" s="94">
        <f>IF($P306="PROXY",DSTDEV('[1]literature entries'!$D:$AI,IF($J306=1,"ACTIVE     GHGE, FARM GATE (kg CO2e/kg)","GHGE, processor gate (kg CO2e/kg)"),INDIRECT($K306)),GETPIVOTDATA(IF($J306=1,"StdDev of ACTIVE     GHGE, FARM GATE (kg CO2e/kg)","StdDev of GHGE, processor gate (kg CO2e/kg)"),'[1]Pivot Table_GHG'!$A$3,"SUB TYPE","chicken"))</f>
        <v/>
      </c>
      <c r="T306" s="105" t="n"/>
      <c r="U306" s="106" t="n"/>
      <c r="V306" s="97" t="n"/>
      <c r="W306" s="98">
        <f>IF(L306="PROXY",IF(M306&gt;=5,K306,"need group"),IF(M306&gt;=5,"DIRECT","need group"))</f>
        <v/>
      </c>
      <c r="X306" s="98">
        <f>IF($W306="DIRECT",M306,DCOUNT('[1]literature entries'!$D:$AI,IF($J306=1,"ACTIVE     CED, FARM GATE (MJ/kg)","CED, processor gate (MJ/kg)"),INDIRECT($W306)))</f>
        <v/>
      </c>
      <c r="Y306" s="98">
        <f>IF($W306="DIRECT","",DAVERAGE('[1]literature entries'!$D:$AI,IF($J306=1,"ACTIVE     CED, FARM GATE (MJ/kg)","CED, processor gate (MJ/kg)"),INDIRECT($W306)))</f>
        <v/>
      </c>
      <c r="Z306" s="98">
        <f>IF($W306="DIRECT",$O306,DSTDEV('[1]literature entries'!$D:$AI,IF($J306=1,"ACTIVE     CED, FARM GATE (MJ/kg)","CED, processor gate (MJ/kg)"),INDIRECT($W306)))</f>
        <v/>
      </c>
      <c r="AA306" s="98">
        <f>IF($W306="DIRECT",$O306,$Z306/$Y306*$N306)</f>
        <v/>
      </c>
      <c r="AB306" s="99">
        <f>IF(P306="PROXY",IF(Q306&gt;=5,K306,"need group"),IF(Q306&gt;=5,"DIRECT","need group"))</f>
        <v/>
      </c>
      <c r="AC306" s="99">
        <f>IF($AB306="DIRECT",Q306,DCOUNT('[1]literature entries'!$D:$AI,IF($J306=1,"ACTIVE     GHGE, FARM GATE (kg CO2e/kg)","GHGE, processor gate (kg CO2e/kg)"),INDIRECT($AB306)))</f>
        <v/>
      </c>
      <c r="AD306" s="99">
        <f>IF($AB306="DIRECT","",DAVERAGE('[1]literature entries'!$D:$AI,IF($J306=1,"ACTIVE     GHGE, FARM GATE (kg CO2e/kg)","GHGE, processor gate (kg CO2e/kg)"),INDIRECT($AB306)))</f>
        <v/>
      </c>
      <c r="AE306" s="99">
        <f>IF($AB306="DIRECT",$S306,DSTDEV('[1]literature entries'!$D:$AI,IF($J306=1,"ACTIVE     GHGE, FARM GATE (kg CO2e/kg)","GHGE, processor gate (kg CO2e/kg)"),INDIRECT($AB306)))</f>
        <v/>
      </c>
      <c r="AF306" s="99">
        <f>IF($AB306="DIRECT",$S306,$AE306/$AD306*$R306)</f>
        <v/>
      </c>
    </row>
    <row r="307" ht="15.75" customHeight="1" s="201">
      <c r="A307" s="100" t="n">
        <v>4000096000</v>
      </c>
      <c r="B307" s="101" t="inlineStr">
        <is>
          <t>Chicken, fat</t>
        </is>
      </c>
      <c r="C307" s="101" t="inlineStr">
        <is>
          <t>weight of nutrient fat only; includes weight of nutrient fat from chicken meat and skin</t>
        </is>
      </c>
      <c r="D307" s="101" t="n"/>
      <c r="E307" s="101" t="n">
        <v>26710</v>
      </c>
      <c r="F307" s="84">
        <f>N307*H307+T307</f>
        <v/>
      </c>
      <c r="G307" s="85">
        <f>R307*H307+U307</f>
        <v/>
      </c>
      <c r="H307" s="102" t="n">
        <v>1</v>
      </c>
      <c r="I307" s="103" t="inlineStr">
        <is>
          <t>None</t>
        </is>
      </c>
      <c r="J307" s="104" t="n">
        <v>1</v>
      </c>
      <c r="K307" s="132" t="n"/>
      <c r="L307" s="90">
        <f>IF(ISERROR(GETPIVOTDATA(IF($J307=1,"Count of ACTIVE     CED, FARM GATE (MJ/kg)","Count of CED, processor gate (MJ/kg)"),'[1]Pivot Table_CED'!$A$3,"SUB TYPE","chicken")),"PROXY",IF(GETPIVOTDATA(IF($J307=1,"Count of ACTIVE     CED, FARM GATE (MJ/kg)","Count of CED, processor gate (MJ/kg)"),'[1]Pivot Table_CED'!$A$3,"SUB TYPE","chicken")=0,"PROXY","DB value"))</f>
        <v/>
      </c>
      <c r="M307" s="91">
        <f>IF($L307="PROXY",DCOUNT('[1]literature entries'!$D:$AI,IF($J307=1,"ACTIVE     CED, FARM GATE (MJ/kg)","CED, processor gate (MJ/kg)"),INDIRECT($K307)),GETPIVOTDATA(IF($J307=1,"Count of ACTIVE     CED, FARM GATE (MJ/kg)","Count of CED, processor gate (MJ/kg)"),'[1]Pivot Table_CED'!$A$3,"SUB TYPE","chicken"))</f>
        <v/>
      </c>
      <c r="N307" s="92">
        <f>IF($L307="PROXY",DAVERAGE('[1]literature entries'!$D:$AI,IF($J307=1,"ACTIVE     CED, FARM GATE (MJ/kg)","CED, processor gate (MJ/kg)"),INDIRECT($K307)),GETPIVOTDATA(IF($J307=1,"Average of ACTIVE     CED, FARM GATE (MJ/kg)","Average of CED, processor gate (MJ/kg)"),'[1]Pivot Table_CED'!$A$3,"SUB TYPE","chicken"))</f>
        <v/>
      </c>
      <c r="O307" s="92">
        <f>IF($L307="PROXY",DSTDEV('[1]literature entries'!D:AI,IF($J307=1,"ACTIVE     CED, FARM GATE (MJ/kg)","CED, processor gate (MJ/kg)"),INDIRECT($K307)),GETPIVOTDATA(IF($J307=1,"StdDev of ACTIVE     CED, FARM GATE (MJ/kg)","StdDev of CED, processor gate (MJ/kg)"),'[1]Pivot Table_CED'!$A$3,"SUB TYPE","chicken"))</f>
        <v/>
      </c>
      <c r="P307" s="90">
        <f>IF(ISERROR(GETPIVOTDATA(IF($J307=1,"Count of ACTIVE     GHGE, FARM GATE (kg CO2e/kg)","Count of GHGE, processor gate (kg CO2e/kg)"),'[1]Pivot Table_GHG'!$A$3,"SUB TYPE","chicken")),"PROXY",IF(GETPIVOTDATA(IF($J307=1,"Count of ACTIVE     GHGE, FARM GATE (kg CO2e/kg)","Count of GHGE, processor gate (kg CO2e/kg)"),'[1]Pivot Table_GHG'!$A$3,"SUB TYPE","chicken")=0,"PROXY","DB value"))</f>
        <v/>
      </c>
      <c r="Q307" s="93">
        <f>IF($P307="PROXY",DCOUNT('[1]literature entries'!$D:$AI,IF($J307=1,"ACTIVE     GHGE, FARM GATE (kg CO2e/kg)","GHGE, processor gate (kg CO2e/kg)"),INDIRECT($K307)),GETPIVOTDATA(IF($J307=1,"ACTIVE     GHGE, FARM GATE (kg CO2e/kg)","Count of GHGE, processor gate (kg CO2e/kg)"),'[1]Pivot Table_GHG'!$A$3,"SUB TYPE","chicken"))</f>
        <v/>
      </c>
      <c r="R307" s="94">
        <f>IF($P307="PROXY",DAVERAGE('[1]literature entries'!$D:$AI,IF($J307=1,"ACTIVE     GHGE, FARM GATE (kg CO2e/kg)","GHGE, processor gate (kg CO2e/kg)"),INDIRECT($K307)),GETPIVOTDATA(IF($J307=1,"Average of ACTIVE     GHGE, FARM GATE (kg CO2e/kg)","Average of GHGE, processor gate (kg CO2e/kg)"),'[1]Pivot Table_GHG'!$A$3,"SUB TYPE","chicken"))</f>
        <v/>
      </c>
      <c r="S307" s="94">
        <f>IF($P307="PROXY",DSTDEV('[1]literature entries'!$D:$AI,IF($J307=1,"ACTIVE     GHGE, FARM GATE (kg CO2e/kg)","GHGE, processor gate (kg CO2e/kg)"),INDIRECT($K307)),GETPIVOTDATA(IF($J307=1,"StdDev of ACTIVE     GHGE, FARM GATE (kg CO2e/kg)","StdDev of GHGE, processor gate (kg CO2e/kg)"),'[1]Pivot Table_GHG'!$A$3,"SUB TYPE","chicken"))</f>
        <v/>
      </c>
      <c r="T307" s="105" t="n"/>
      <c r="U307" s="106" t="n"/>
      <c r="V307" s="97" t="n"/>
      <c r="W307" s="98">
        <f>IF(L307="PROXY",IF(M307&gt;=5,K307,"need group"),IF(M307&gt;=5,"DIRECT","need group"))</f>
        <v/>
      </c>
      <c r="X307" s="98">
        <f>IF($W307="DIRECT",M307,DCOUNT('[1]literature entries'!$D:$AI,IF($J307=1,"ACTIVE     CED, FARM GATE (MJ/kg)","CED, processor gate (MJ/kg)"),INDIRECT($W307)))</f>
        <v/>
      </c>
      <c r="Y307" s="98">
        <f>IF($W307="DIRECT","",DAVERAGE('[1]literature entries'!$D:$AI,IF($J307=1,"ACTIVE     CED, FARM GATE (MJ/kg)","CED, processor gate (MJ/kg)"),INDIRECT($W307)))</f>
        <v/>
      </c>
      <c r="Z307" s="98">
        <f>IF($W307="DIRECT",$O307,DSTDEV('[1]literature entries'!$D:$AI,IF($J307=1,"ACTIVE     CED, FARM GATE (MJ/kg)","CED, processor gate (MJ/kg)"),INDIRECT($W307)))</f>
        <v/>
      </c>
      <c r="AA307" s="98">
        <f>IF($W307="DIRECT",$O307,$Z307/$Y307*$N307)</f>
        <v/>
      </c>
      <c r="AB307" s="99">
        <f>IF(P307="PROXY",IF(Q307&gt;=5,K307,"need group"),IF(Q307&gt;=5,"DIRECT","need group"))</f>
        <v/>
      </c>
      <c r="AC307" s="99">
        <f>IF($AB307="DIRECT",Q307,DCOUNT('[1]literature entries'!$D:$AI,IF($J307=1,"ACTIVE     GHGE, FARM GATE (kg CO2e/kg)","GHGE, processor gate (kg CO2e/kg)"),INDIRECT($AB307)))</f>
        <v/>
      </c>
      <c r="AD307" s="99">
        <f>IF($AB307="DIRECT","",DAVERAGE('[1]literature entries'!$D:$AI,IF($J307=1,"ACTIVE     GHGE, FARM GATE (kg CO2e/kg)","GHGE, processor gate (kg CO2e/kg)"),INDIRECT($AB307)))</f>
        <v/>
      </c>
      <c r="AE307" s="99">
        <f>IF($AB307="DIRECT",$S307,DSTDEV('[1]literature entries'!$D:$AI,IF($J307=1,"ACTIVE     GHGE, FARM GATE (kg CO2e/kg)","GHGE, processor gate (kg CO2e/kg)"),INDIRECT($AB307)))</f>
        <v/>
      </c>
      <c r="AF307" s="99">
        <f>IF($AB307="DIRECT",$S307,$AE307/$AD307*$R307)</f>
        <v/>
      </c>
    </row>
    <row r="308" ht="15.75" customHeight="1" s="201">
      <c r="A308" s="100" t="n">
        <v>4000097000</v>
      </c>
      <c r="B308" s="101" t="inlineStr">
        <is>
          <t>Chicken, skin</t>
        </is>
      </c>
      <c r="C308" s="101" t="inlineStr">
        <is>
          <t>weight of skin only (0 grams nutrient fat)</t>
        </is>
      </c>
      <c r="D308" s="101" t="n"/>
      <c r="E308" s="101" t="n">
        <v>12543</v>
      </c>
      <c r="F308" s="84">
        <f>N308*H308+T308</f>
        <v/>
      </c>
      <c r="G308" s="85">
        <f>R308*H308+U308</f>
        <v/>
      </c>
      <c r="H308" s="102" t="n">
        <v>1</v>
      </c>
      <c r="I308" s="103" t="inlineStr">
        <is>
          <t>None</t>
        </is>
      </c>
      <c r="J308" s="104" t="n">
        <v>1</v>
      </c>
      <c r="K308" s="132" t="n"/>
      <c r="L308" s="90">
        <f>IF(ISERROR(GETPIVOTDATA(IF($J308=1,"Count of ACTIVE     CED, FARM GATE (MJ/kg)","Count of CED, processor gate (MJ/kg)"),'[1]Pivot Table_CED'!$A$3,"SUB TYPE","chicken")),"PROXY",IF(GETPIVOTDATA(IF($J308=1,"Count of ACTIVE     CED, FARM GATE (MJ/kg)","Count of CED, processor gate (MJ/kg)"),'[1]Pivot Table_CED'!$A$3,"SUB TYPE","chicken")=0,"PROXY","DB value"))</f>
        <v/>
      </c>
      <c r="M308" s="91">
        <f>IF($L308="PROXY",DCOUNT('[1]literature entries'!$D:$AI,IF($J308=1,"ACTIVE     CED, FARM GATE (MJ/kg)","CED, processor gate (MJ/kg)"),INDIRECT($K308)),GETPIVOTDATA(IF($J308=1,"Count of ACTIVE     CED, FARM GATE (MJ/kg)","Count of CED, processor gate (MJ/kg)"),'[1]Pivot Table_CED'!$A$3,"SUB TYPE","chicken"))</f>
        <v/>
      </c>
      <c r="N308" s="92">
        <f>IF($L308="PROXY",DAVERAGE('[1]literature entries'!$D:$AI,IF($J308=1,"ACTIVE     CED, FARM GATE (MJ/kg)","CED, processor gate (MJ/kg)"),INDIRECT($K308)),GETPIVOTDATA(IF($J308=1,"Average of ACTIVE     CED, FARM GATE (MJ/kg)","Average of CED, processor gate (MJ/kg)"),'[1]Pivot Table_CED'!$A$3,"SUB TYPE","chicken"))</f>
        <v/>
      </c>
      <c r="O308" s="92">
        <f>IF($L308="PROXY",DSTDEV('[1]literature entries'!D:AI,IF($J308=1,"ACTIVE     CED, FARM GATE (MJ/kg)","CED, processor gate (MJ/kg)"),INDIRECT($K308)),GETPIVOTDATA(IF($J308=1,"StdDev of ACTIVE     CED, FARM GATE (MJ/kg)","StdDev of CED, processor gate (MJ/kg)"),'[1]Pivot Table_CED'!$A$3,"SUB TYPE","chicken"))</f>
        <v/>
      </c>
      <c r="P308" s="90">
        <f>IF(ISERROR(GETPIVOTDATA(IF($J308=1,"Count of ACTIVE     GHGE, FARM GATE (kg CO2e/kg)","Count of GHGE, processor gate (kg CO2e/kg)"),'[1]Pivot Table_GHG'!$A$3,"SUB TYPE","chicken")),"PROXY",IF(GETPIVOTDATA(IF($J308=1,"Count of ACTIVE     GHGE, FARM GATE (kg CO2e/kg)","Count of GHGE, processor gate (kg CO2e/kg)"),'[1]Pivot Table_GHG'!$A$3,"SUB TYPE","chicken")=0,"PROXY","DB value"))</f>
        <v/>
      </c>
      <c r="Q308" s="93">
        <f>IF($P308="PROXY",DCOUNT('[1]literature entries'!$D:$AI,IF($J308=1,"ACTIVE     GHGE, FARM GATE (kg CO2e/kg)","GHGE, processor gate (kg CO2e/kg)"),INDIRECT($K308)),GETPIVOTDATA(IF($J308=1,"ACTIVE     GHGE, FARM GATE (kg CO2e/kg)","Count of GHGE, processor gate (kg CO2e/kg)"),'[1]Pivot Table_GHG'!$A$3,"SUB TYPE","chicken"))</f>
        <v/>
      </c>
      <c r="R308" s="94">
        <f>IF($P308="PROXY",DAVERAGE('[1]literature entries'!$D:$AI,IF($J308=1,"ACTIVE     GHGE, FARM GATE (kg CO2e/kg)","GHGE, processor gate (kg CO2e/kg)"),INDIRECT($K308)),GETPIVOTDATA(IF($J308=1,"Average of ACTIVE     GHGE, FARM GATE (kg CO2e/kg)","Average of GHGE, processor gate (kg CO2e/kg)"),'[1]Pivot Table_GHG'!$A$3,"SUB TYPE","chicken"))</f>
        <v/>
      </c>
      <c r="S308" s="94">
        <f>IF($P308="PROXY",DSTDEV('[1]literature entries'!$D:$AI,IF($J308=1,"ACTIVE     GHGE, FARM GATE (kg CO2e/kg)","GHGE, processor gate (kg CO2e/kg)"),INDIRECT($K308)),GETPIVOTDATA(IF($J308=1,"StdDev of ACTIVE     GHGE, FARM GATE (kg CO2e/kg)","StdDev of GHGE, processor gate (kg CO2e/kg)"),'[1]Pivot Table_GHG'!$A$3,"SUB TYPE","chicken"))</f>
        <v/>
      </c>
      <c r="T308" s="105" t="n"/>
      <c r="U308" s="106" t="n"/>
      <c r="V308" s="97" t="n"/>
      <c r="W308" s="98">
        <f>IF(L308="PROXY",IF(M308&gt;=5,K308,"need group"),IF(M308&gt;=5,"DIRECT","need group"))</f>
        <v/>
      </c>
      <c r="X308" s="98">
        <f>IF($W308="DIRECT",M308,DCOUNT('[1]literature entries'!$D:$AI,IF($J308=1,"ACTIVE     CED, FARM GATE (MJ/kg)","CED, processor gate (MJ/kg)"),INDIRECT($W308)))</f>
        <v/>
      </c>
      <c r="Y308" s="98">
        <f>IF($W308="DIRECT","",DAVERAGE('[1]literature entries'!$D:$AI,IF($J308=1,"ACTIVE     CED, FARM GATE (MJ/kg)","CED, processor gate (MJ/kg)"),INDIRECT($W308)))</f>
        <v/>
      </c>
      <c r="Z308" s="98">
        <f>IF($W308="DIRECT",$O308,DSTDEV('[1]literature entries'!$D:$AI,IF($J308=1,"ACTIVE     CED, FARM GATE (MJ/kg)","CED, processor gate (MJ/kg)"),INDIRECT($W308)))</f>
        <v/>
      </c>
      <c r="AA308" s="98">
        <f>IF($W308="DIRECT",$O308,$Z308/$Y308*$N308)</f>
        <v/>
      </c>
      <c r="AB308" s="99">
        <f>IF(P308="PROXY",IF(Q308&gt;=5,K308,"need group"),IF(Q308&gt;=5,"DIRECT","need group"))</f>
        <v/>
      </c>
      <c r="AC308" s="99">
        <f>IF($AB308="DIRECT",Q308,DCOUNT('[1]literature entries'!$D:$AI,IF($J308=1,"ACTIVE     GHGE, FARM GATE (kg CO2e/kg)","GHGE, processor gate (kg CO2e/kg)"),INDIRECT($AB308)))</f>
        <v/>
      </c>
      <c r="AD308" s="99">
        <f>IF($AB308="DIRECT","",DAVERAGE('[1]literature entries'!$D:$AI,IF($J308=1,"ACTIVE     GHGE, FARM GATE (kg CO2e/kg)","GHGE, processor gate (kg CO2e/kg)"),INDIRECT($AB308)))</f>
        <v/>
      </c>
      <c r="AE308" s="99">
        <f>IF($AB308="DIRECT",$S308,DSTDEV('[1]literature entries'!$D:$AI,IF($J308=1,"ACTIVE     GHGE, FARM GATE (kg CO2e/kg)","GHGE, processor gate (kg CO2e/kg)"),INDIRECT($AB308)))</f>
        <v/>
      </c>
      <c r="AF308" s="99">
        <f>IF($AB308="DIRECT",$S308,$AE308/$AD308*$R308)</f>
        <v/>
      </c>
    </row>
    <row r="309" ht="15.75" customHeight="1" s="201">
      <c r="A309" s="100" t="n">
        <v>5000382000</v>
      </c>
      <c r="B309" s="101" t="inlineStr">
        <is>
          <t>Turkey, meat</t>
        </is>
      </c>
      <c r="C309" s="101" t="inlineStr">
        <is>
          <t>weight of meat; excluding bone, all nutrient fat, and skin</t>
        </is>
      </c>
      <c r="D309" s="101" t="n"/>
      <c r="E309" s="101" t="n">
        <v>12047</v>
      </c>
      <c r="F309" s="84">
        <f>N309*H309+T309</f>
        <v/>
      </c>
      <c r="G309" s="85">
        <f>R309*H309+U309</f>
        <v/>
      </c>
      <c r="H309" s="102" t="n">
        <v>1</v>
      </c>
      <c r="I309" s="103" t="inlineStr">
        <is>
          <t>None</t>
        </is>
      </c>
      <c r="J309" s="104" t="n">
        <v>1</v>
      </c>
      <c r="K309" s="132" t="inlineStr">
        <is>
          <t>chicken</t>
        </is>
      </c>
      <c r="L309" s="90">
        <f>IF(ISERROR(GETPIVOTDATA(IF($J309=1,"Count of ACTIVE     CED, FARM GATE (MJ/kg)","Count of CED, processor gate (MJ/kg)"),'[1]Pivot Table_CED'!$A$3,"SUB TYPE","Turkey")),"PROXY",IF(GETPIVOTDATA(IF($J309=1,"Count of ACTIVE     CED, FARM GATE (MJ/kg)","Count of CED, processor gate (MJ/kg)"),'[1]Pivot Table_CED'!$A$3,"SUB TYPE","Turkey")=0,"PROXY","DB value"))</f>
        <v/>
      </c>
      <c r="M309" s="91">
        <f>IF($L309="PROXY",DCOUNT('[1]literature entries'!$D:$AI,IF($J309=1,"ACTIVE     CED, FARM GATE (MJ/kg)","CED, processor gate (MJ/kg)"),INDIRECT($K309)),GETPIVOTDATA(IF($J309=1,"Count of ACTIVE     CED, FARM GATE (MJ/kg)","Count of CED, processor gate (MJ/kg)"),'[1]Pivot Table_CED'!$A$3,"SUB TYPE","Turkey"))</f>
        <v/>
      </c>
      <c r="N309" s="92">
        <f>IF($L309="PROXY",DAVERAGE('[1]literature entries'!$D:$AI,IF($J309=1,"ACTIVE     CED, FARM GATE (MJ/kg)","CED, processor gate (MJ/kg)"),INDIRECT($K309)),GETPIVOTDATA(IF($J309=1,"Average of ACTIVE     CED, FARM GATE (MJ/kg)","Average of CED, processor gate (MJ/kg)"),'[1]Pivot Table_CED'!$A$3,"SUB TYPE","Turkey"))</f>
        <v/>
      </c>
      <c r="O309" s="92">
        <f>IF($L309="PROXY",DSTDEV('[1]literature entries'!D:AI,IF($J309=1,"ACTIVE     CED, FARM GATE (MJ/kg)","CED, processor gate (MJ/kg)"),INDIRECT($K309)),GETPIVOTDATA(IF($J309=1,"StdDev of ACTIVE     CED, FARM GATE (MJ/kg)","StdDev of CED, processor gate (MJ/kg)"),'[1]Pivot Table_CED'!$A$3,"SUB TYPE","Turkey"))</f>
        <v/>
      </c>
      <c r="P309" s="90">
        <f>IF(ISERROR(GETPIVOTDATA(IF($J309=1,"Count of ACTIVE     GHGE, FARM GATE (kg CO2e/kg)","Count of GHGE, processor gate (kg CO2e/kg)"),'[1]Pivot Table_GHG'!$A$3,"SUB TYPE","Turkey")),"PROXY",IF(GETPIVOTDATA(IF($J309=1,"Count of ACTIVE     GHGE, FARM GATE (kg CO2e/kg)","Count of GHGE, processor gate (kg CO2e/kg)"),'[1]Pivot Table_GHG'!$A$3,"SUB TYPE","Turkey")=0,"PROXY","DB value"))</f>
        <v/>
      </c>
      <c r="Q309" s="93">
        <f>IF($P309="PROXY",DCOUNT('[1]literature entries'!$D:$AI,IF($J309=1,"ACTIVE     GHGE, FARM GATE (kg CO2e/kg)","GHGE, processor gate (kg CO2e/kg)"),INDIRECT($K309)),GETPIVOTDATA(IF($J309=1,"ACTIVE     GHGE, FARM GATE (kg CO2e/kg)","Count of GHGE, processor gate (kg CO2e/kg)"),'[1]Pivot Table_GHG'!$A$3,"SUB TYPE","Turkey"))</f>
        <v/>
      </c>
      <c r="R309" s="94">
        <f>IF($P309="PROXY",DAVERAGE('[1]literature entries'!$D:$AI,IF($J309=1,"ACTIVE     GHGE, FARM GATE (kg CO2e/kg)","GHGE, processor gate (kg CO2e/kg)"),INDIRECT($K309)),GETPIVOTDATA(IF($J309=1,"Average of ACTIVE     GHGE, FARM GATE (kg CO2e/kg)","Average of GHGE, processor gate (kg CO2e/kg)"),'[1]Pivot Table_GHG'!$A$3,"SUB TYPE","Turkey"))</f>
        <v/>
      </c>
      <c r="S309" s="94">
        <f>IF($P309="PROXY",DSTDEV('[1]literature entries'!$D:$AI,IF($J309=1,"ACTIVE     GHGE, FARM GATE (kg CO2e/kg)","GHGE, processor gate (kg CO2e/kg)"),INDIRECT($K309)),GETPIVOTDATA(IF($J309=1,"StdDev of ACTIVE     GHGE, FARM GATE (kg CO2e/kg)","StdDev of GHGE, processor gate (kg CO2e/kg)"),'[1]Pivot Table_GHG'!$A$3,"SUB TYPE","Turkey"))</f>
        <v/>
      </c>
      <c r="T309" s="105" t="n"/>
      <c r="U309" s="106" t="n"/>
      <c r="V309" s="97" t="n"/>
      <c r="W309" s="98">
        <f>IF(L309="PROXY",IF(M309&gt;=5,K309,"need group"),IF(M309&gt;=5,"DIRECT","need group"))</f>
        <v/>
      </c>
      <c r="X309" s="98">
        <f>IF($W309="DIRECT",M309,DCOUNT('[1]literature entries'!$D:$AI,IF($J309=1,"ACTIVE     CED, FARM GATE (MJ/kg)","CED, processor gate (MJ/kg)"),INDIRECT($W309)))</f>
        <v/>
      </c>
      <c r="Y309" s="98">
        <f>IF($W309="DIRECT","",DAVERAGE('[1]literature entries'!$D:$AI,IF($J309=1,"ACTIVE     CED, FARM GATE (MJ/kg)","CED, processor gate (MJ/kg)"),INDIRECT($W309)))</f>
        <v/>
      </c>
      <c r="Z309" s="98">
        <f>IF($W309="DIRECT",$O309,DSTDEV('[1]literature entries'!$D:$AI,IF($J309=1,"ACTIVE     CED, FARM GATE (MJ/kg)","CED, processor gate (MJ/kg)"),INDIRECT($W309)))</f>
        <v/>
      </c>
      <c r="AA309" s="98">
        <f>IF($W309="DIRECT",$O309,$Z309/$Y309*$N309)</f>
        <v/>
      </c>
      <c r="AB309" s="99" t="inlineStr">
        <is>
          <t>chicken</t>
        </is>
      </c>
      <c r="AC309" s="99">
        <f>IF($AB309="DIRECT",Q309,DCOUNT('[1]literature entries'!$D:$AI,IF($J309=1,"ACTIVE     GHGE, FARM GATE (kg CO2e/kg)","GHGE, processor gate (kg CO2e/kg)"),INDIRECT($AB309)))</f>
        <v/>
      </c>
      <c r="AD309" s="99">
        <f>IF($AB309="DIRECT","",DAVERAGE('[1]literature entries'!$D:$AI,IF($J309=1,"ACTIVE     GHGE, FARM GATE (kg CO2e/kg)","GHGE, processor gate (kg CO2e/kg)"),INDIRECT($AB309)))</f>
        <v/>
      </c>
      <c r="AE309" s="99">
        <f>IF($AB309="DIRECT",$S309,DSTDEV('[1]literature entries'!$D:$AI,IF($J309=1,"ACTIVE     GHGE, FARM GATE (kg CO2e/kg)","GHGE, processor gate (kg CO2e/kg)"),INDIRECT($AB309)))</f>
        <v/>
      </c>
      <c r="AF309" s="99">
        <f>IF($AB309="DIRECT",$S309,$AE309/$AD309*$R309)</f>
        <v/>
      </c>
    </row>
    <row r="310" ht="15.75" customHeight="1" s="201">
      <c r="A310" s="100" t="n">
        <v>5000383000</v>
      </c>
      <c r="B310" s="101" t="inlineStr">
        <is>
          <t>Turkey, liver</t>
        </is>
      </c>
      <c r="C310" s="101" t="inlineStr">
        <is>
          <t>weight of organ, including nutrient fat</t>
        </is>
      </c>
      <c r="D310" s="101" t="n"/>
      <c r="E310" s="101" t="n">
        <v>122</v>
      </c>
      <c r="F310" s="84">
        <f>N310*H310+T310</f>
        <v/>
      </c>
      <c r="G310" s="85">
        <f>R310*H310+U310</f>
        <v/>
      </c>
      <c r="H310" s="102" t="n">
        <v>1</v>
      </c>
      <c r="I310" s="103" t="inlineStr">
        <is>
          <t>None</t>
        </is>
      </c>
      <c r="J310" s="104" t="n">
        <v>1</v>
      </c>
      <c r="K310" s="132" t="inlineStr">
        <is>
          <t>chicken</t>
        </is>
      </c>
      <c r="L310" s="90">
        <f>IF(ISERROR(GETPIVOTDATA(IF($J310=1,"Count of ACTIVE     CED, FARM GATE (MJ/kg)","Count of CED, processor gate (MJ/kg)"),'[1]Pivot Table_CED'!$A$3,"SUB TYPE","Turkey")),"PROXY",IF(GETPIVOTDATA(IF($J310=1,"Count of ACTIVE     CED, FARM GATE (MJ/kg)","Count of CED, processor gate (MJ/kg)"),'[1]Pivot Table_CED'!$A$3,"SUB TYPE","Turkey")=0,"PROXY","DB value"))</f>
        <v/>
      </c>
      <c r="M310" s="91">
        <f>IF($L310="PROXY",DCOUNT('[1]literature entries'!$D:$AI,IF($J310=1,"ACTIVE     CED, FARM GATE (MJ/kg)","CED, processor gate (MJ/kg)"),INDIRECT($K310)),GETPIVOTDATA(IF($J310=1,"Count of ACTIVE     CED, FARM GATE (MJ/kg)","Count of CED, processor gate (MJ/kg)"),'[1]Pivot Table_CED'!$A$3,"SUB TYPE","Turkey"))</f>
        <v/>
      </c>
      <c r="N310" s="92">
        <f>IF($L310="PROXY",DAVERAGE('[1]literature entries'!$D:$AI,IF($J310=1,"ACTIVE     CED, FARM GATE (MJ/kg)","CED, processor gate (MJ/kg)"),INDIRECT($K310)),GETPIVOTDATA(IF($J310=1,"Average of ACTIVE     CED, FARM GATE (MJ/kg)","Average of CED, processor gate (MJ/kg)"),'[1]Pivot Table_CED'!$A$3,"SUB TYPE","Turkey"))</f>
        <v/>
      </c>
      <c r="O310" s="92">
        <f>IF($L310="PROXY",DSTDEV('[1]literature entries'!D:AI,IF($J310=1,"ACTIVE     CED, FARM GATE (MJ/kg)","CED, processor gate (MJ/kg)"),INDIRECT($K310)),GETPIVOTDATA(IF($J310=1,"StdDev of ACTIVE     CED, FARM GATE (MJ/kg)","StdDev of CED, processor gate (MJ/kg)"),'[1]Pivot Table_CED'!$A$3,"SUB TYPE","Turkey"))</f>
        <v/>
      </c>
      <c r="P310" s="90">
        <f>IF(ISERROR(GETPIVOTDATA(IF($J310=1,"Count of ACTIVE     GHGE, FARM GATE (kg CO2e/kg)","Count of GHGE, processor gate (kg CO2e/kg)"),'[1]Pivot Table_GHG'!$A$3,"SUB TYPE","Turkey")),"PROXY",IF(GETPIVOTDATA(IF($J310=1,"Count of ACTIVE     GHGE, FARM GATE (kg CO2e/kg)","Count of GHGE, processor gate (kg CO2e/kg)"),'[1]Pivot Table_GHG'!$A$3,"SUB TYPE","Turkey")=0,"PROXY","DB value"))</f>
        <v/>
      </c>
      <c r="Q310" s="93">
        <f>IF($P310="PROXY",DCOUNT('[1]literature entries'!$D:$AI,IF($J310=1,"ACTIVE     GHGE, FARM GATE (kg CO2e/kg)","GHGE, processor gate (kg CO2e/kg)"),INDIRECT($K310)),GETPIVOTDATA(IF($J310=1,"ACTIVE     GHGE, FARM GATE (kg CO2e/kg)","Count of GHGE, processor gate (kg CO2e/kg)"),'[1]Pivot Table_GHG'!$A$3,"SUB TYPE","Turkey"))</f>
        <v/>
      </c>
      <c r="R310" s="94">
        <f>IF($P310="PROXY",DAVERAGE('[1]literature entries'!$D:$AI,IF($J310=1,"ACTIVE     GHGE, FARM GATE (kg CO2e/kg)","GHGE, processor gate (kg CO2e/kg)"),INDIRECT($K310)),GETPIVOTDATA(IF($J310=1,"Average of ACTIVE     GHGE, FARM GATE (kg CO2e/kg)","Average of GHGE, processor gate (kg CO2e/kg)"),'[1]Pivot Table_GHG'!$A$3,"SUB TYPE","Turkey"))</f>
        <v/>
      </c>
      <c r="S310" s="94">
        <f>IF($P310="PROXY",DSTDEV('[1]literature entries'!$D:$AI,IF($J310=1,"ACTIVE     GHGE, FARM GATE (kg CO2e/kg)","GHGE, processor gate (kg CO2e/kg)"),INDIRECT($K310)),GETPIVOTDATA(IF($J310=1,"StdDev of ACTIVE     GHGE, FARM GATE (kg CO2e/kg)","StdDev of GHGE, processor gate (kg CO2e/kg)"),'[1]Pivot Table_GHG'!$A$3,"SUB TYPE","Turkey"))</f>
        <v/>
      </c>
      <c r="T310" s="105" t="n"/>
      <c r="U310" s="106" t="n"/>
      <c r="V310" s="97" t="n"/>
      <c r="W310" s="98">
        <f>IF(L310="PROXY",IF(M310&gt;=5,K310,"need group"),IF(M310&gt;=5,"DIRECT","need group"))</f>
        <v/>
      </c>
      <c r="X310" s="98">
        <f>IF($W310="DIRECT",M310,DCOUNT('[1]literature entries'!$D:$AI,IF($J310=1,"ACTIVE     CED, FARM GATE (MJ/kg)","CED, processor gate (MJ/kg)"),INDIRECT($W310)))</f>
        <v/>
      </c>
      <c r="Y310" s="98">
        <f>IF($W310="DIRECT","",DAVERAGE('[1]literature entries'!$D:$AI,IF($J310=1,"ACTIVE     CED, FARM GATE (MJ/kg)","CED, processor gate (MJ/kg)"),INDIRECT($W310)))</f>
        <v/>
      </c>
      <c r="Z310" s="98">
        <f>IF($W310="DIRECT",$O310,DSTDEV('[1]literature entries'!$D:$AI,IF($J310=1,"ACTIVE     CED, FARM GATE (MJ/kg)","CED, processor gate (MJ/kg)"),INDIRECT($W310)))</f>
        <v/>
      </c>
      <c r="AA310" s="98">
        <f>IF($W310="DIRECT",$O310,$Z310/$Y310*$N310)</f>
        <v/>
      </c>
      <c r="AB310" s="99" t="inlineStr">
        <is>
          <t>chicken</t>
        </is>
      </c>
      <c r="AC310" s="99">
        <f>IF($AB310="DIRECT",Q310,DCOUNT('[1]literature entries'!$D:$AI,IF($J310=1,"ACTIVE     GHGE, FARM GATE (kg CO2e/kg)","GHGE, processor gate (kg CO2e/kg)"),INDIRECT($AB310)))</f>
        <v/>
      </c>
      <c r="AD310" s="99">
        <f>IF($AB310="DIRECT","",DAVERAGE('[1]literature entries'!$D:$AI,IF($J310=1,"ACTIVE     GHGE, FARM GATE (kg CO2e/kg)","GHGE, processor gate (kg CO2e/kg)"),INDIRECT($AB310)))</f>
        <v/>
      </c>
      <c r="AE310" s="99">
        <f>IF($AB310="DIRECT",$S310,DSTDEV('[1]literature entries'!$D:$AI,IF($J310=1,"ACTIVE     GHGE, FARM GATE (kg CO2e/kg)","GHGE, processor gate (kg CO2e/kg)"),INDIRECT($AB310)))</f>
        <v/>
      </c>
      <c r="AF310" s="99">
        <f>IF($AB310="DIRECT",$S310,$AE310/$AD310*$R310)</f>
        <v/>
      </c>
    </row>
    <row r="311" ht="15.75" customHeight="1" s="201">
      <c r="A311" s="100" t="n">
        <v>5000384000</v>
      </c>
      <c r="B311" s="101" t="inlineStr">
        <is>
          <t>Turkey, meat byproducts</t>
        </is>
      </c>
      <c r="C311" s="101" t="inlineStr">
        <is>
          <t>weight of meat; excluding bone (may contain some fat and/or skin)</t>
        </is>
      </c>
      <c r="D311" s="101" t="inlineStr">
        <is>
          <t>Includes gizzard, heart, neck, and tail.</t>
        </is>
      </c>
      <c r="E311" s="101" t="n">
        <v>10762</v>
      </c>
      <c r="F311" s="84">
        <f>N311*H311+T311</f>
        <v/>
      </c>
      <c r="G311" s="85">
        <f>R311*H311+U311</f>
        <v/>
      </c>
      <c r="H311" s="102" t="n">
        <v>1</v>
      </c>
      <c r="I311" s="103" t="inlineStr">
        <is>
          <t>None</t>
        </is>
      </c>
      <c r="J311" s="104" t="n">
        <v>1</v>
      </c>
      <c r="K311" s="132" t="inlineStr">
        <is>
          <t>chicken</t>
        </is>
      </c>
      <c r="L311" s="90">
        <f>IF(ISERROR(GETPIVOTDATA(IF($J311=1,"Count of ACTIVE     CED, FARM GATE (MJ/kg)","Count of CED, processor gate (MJ/kg)"),'[1]Pivot Table_CED'!$A$3,"SUB TYPE","Turkey")),"PROXY",IF(GETPIVOTDATA(IF($J311=1,"Count of ACTIVE     CED, FARM GATE (MJ/kg)","Count of CED, processor gate (MJ/kg)"),'[1]Pivot Table_CED'!$A$3,"SUB TYPE","Turkey")=0,"PROXY","DB value"))</f>
        <v/>
      </c>
      <c r="M311" s="91">
        <f>IF($L311="PROXY",DCOUNT('[1]literature entries'!$D:$AI,IF($J311=1,"ACTIVE     CED, FARM GATE (MJ/kg)","CED, processor gate (MJ/kg)"),INDIRECT($K311)),GETPIVOTDATA(IF($J311=1,"Count of ACTIVE     CED, FARM GATE (MJ/kg)","Count of CED, processor gate (MJ/kg)"),'[1]Pivot Table_CED'!$A$3,"SUB TYPE","Turkey"))</f>
        <v/>
      </c>
      <c r="N311" s="92">
        <f>IF($L311="PROXY",DAVERAGE('[1]literature entries'!$D:$AI,IF($J311=1,"ACTIVE     CED, FARM GATE (MJ/kg)","CED, processor gate (MJ/kg)"),INDIRECT($K311)),GETPIVOTDATA(IF($J311=1,"Average of ACTIVE     CED, FARM GATE (MJ/kg)","Average of CED, processor gate (MJ/kg)"),'[1]Pivot Table_CED'!$A$3,"SUB TYPE","Turkey"))</f>
        <v/>
      </c>
      <c r="O311" s="92">
        <f>IF($L311="PROXY",DSTDEV('[1]literature entries'!D:AI,IF($J311=1,"ACTIVE     CED, FARM GATE (MJ/kg)","CED, processor gate (MJ/kg)"),INDIRECT($K311)),GETPIVOTDATA(IF($J311=1,"StdDev of ACTIVE     CED, FARM GATE (MJ/kg)","StdDev of CED, processor gate (MJ/kg)"),'[1]Pivot Table_CED'!$A$3,"SUB TYPE","Turkey"))</f>
        <v/>
      </c>
      <c r="P311" s="90">
        <f>IF(ISERROR(GETPIVOTDATA(IF($J311=1,"Count of ACTIVE     GHGE, FARM GATE (kg CO2e/kg)","Count of GHGE, processor gate (kg CO2e/kg)"),'[1]Pivot Table_GHG'!$A$3,"SUB TYPE","Turkey")),"PROXY",IF(GETPIVOTDATA(IF($J311=1,"Count of ACTIVE     GHGE, FARM GATE (kg CO2e/kg)","Count of GHGE, processor gate (kg CO2e/kg)"),'[1]Pivot Table_GHG'!$A$3,"SUB TYPE","Turkey")=0,"PROXY","DB value"))</f>
        <v/>
      </c>
      <c r="Q311" s="93">
        <f>IF($P311="PROXY",DCOUNT('[1]literature entries'!$D:$AI,IF($J311=1,"ACTIVE     GHGE, FARM GATE (kg CO2e/kg)","GHGE, processor gate (kg CO2e/kg)"),INDIRECT($K311)),GETPIVOTDATA(IF($J311=1,"ACTIVE     GHGE, FARM GATE (kg CO2e/kg)","Count of GHGE, processor gate (kg CO2e/kg)"),'[1]Pivot Table_GHG'!$A$3,"SUB TYPE","Turkey"))</f>
        <v/>
      </c>
      <c r="R311" s="94">
        <f>IF($P311="PROXY",DAVERAGE('[1]literature entries'!$D:$AI,IF($J311=1,"ACTIVE     GHGE, FARM GATE (kg CO2e/kg)","GHGE, processor gate (kg CO2e/kg)"),INDIRECT($K311)),GETPIVOTDATA(IF($J311=1,"Average of ACTIVE     GHGE, FARM GATE (kg CO2e/kg)","Average of GHGE, processor gate (kg CO2e/kg)"),'[1]Pivot Table_GHG'!$A$3,"SUB TYPE","Turkey"))</f>
        <v/>
      </c>
      <c r="S311" s="94">
        <f>IF($P311="PROXY",DSTDEV('[1]literature entries'!$D:$AI,IF($J311=1,"ACTIVE     GHGE, FARM GATE (kg CO2e/kg)","GHGE, processor gate (kg CO2e/kg)"),INDIRECT($K311)),GETPIVOTDATA(IF($J311=1,"StdDev of ACTIVE     GHGE, FARM GATE (kg CO2e/kg)","StdDev of GHGE, processor gate (kg CO2e/kg)"),'[1]Pivot Table_GHG'!$A$3,"SUB TYPE","Turkey"))</f>
        <v/>
      </c>
      <c r="T311" s="105" t="n"/>
      <c r="U311" s="106" t="n"/>
      <c r="V311" s="97" t="n"/>
      <c r="W311" s="98">
        <f>IF(L311="PROXY",IF(M311&gt;=5,K311,"need group"),IF(M311&gt;=5,"DIRECT","need group"))</f>
        <v/>
      </c>
      <c r="X311" s="98">
        <f>IF($W311="DIRECT",M311,DCOUNT('[1]literature entries'!$D:$AI,IF($J311=1,"ACTIVE     CED, FARM GATE (MJ/kg)","CED, processor gate (MJ/kg)"),INDIRECT($W311)))</f>
        <v/>
      </c>
      <c r="Y311" s="98">
        <f>IF($W311="DIRECT","",DAVERAGE('[1]literature entries'!$D:$AI,IF($J311=1,"ACTIVE     CED, FARM GATE (MJ/kg)","CED, processor gate (MJ/kg)"),INDIRECT($W311)))</f>
        <v/>
      </c>
      <c r="Z311" s="98">
        <f>IF($W311="DIRECT",$O311,DSTDEV('[1]literature entries'!$D:$AI,IF($J311=1,"ACTIVE     CED, FARM GATE (MJ/kg)","CED, processor gate (MJ/kg)"),INDIRECT($W311)))</f>
        <v/>
      </c>
      <c r="AA311" s="98">
        <f>IF($W311="DIRECT",$O311,$Z311/$Y311*$N311)</f>
        <v/>
      </c>
      <c r="AB311" s="99" t="inlineStr">
        <is>
          <t>chicken</t>
        </is>
      </c>
      <c r="AC311" s="99">
        <f>IF($AB311="DIRECT",Q311,DCOUNT('[1]literature entries'!$D:$AI,IF($J311=1,"ACTIVE     GHGE, FARM GATE (kg CO2e/kg)","GHGE, processor gate (kg CO2e/kg)"),INDIRECT($AB311)))</f>
        <v/>
      </c>
      <c r="AD311" s="99">
        <f>IF($AB311="DIRECT","",DAVERAGE('[1]literature entries'!$D:$AI,IF($J311=1,"ACTIVE     GHGE, FARM GATE (kg CO2e/kg)","GHGE, processor gate (kg CO2e/kg)"),INDIRECT($AB311)))</f>
        <v/>
      </c>
      <c r="AE311" s="99">
        <f>IF($AB311="DIRECT",$S311,DSTDEV('[1]literature entries'!$D:$AI,IF($J311=1,"ACTIVE     GHGE, FARM GATE (kg CO2e/kg)","GHGE, processor gate (kg CO2e/kg)"),INDIRECT($AB311)))</f>
        <v/>
      </c>
      <c r="AF311" s="99">
        <f>IF($AB311="DIRECT",$S311,$AE311/$AD311*$R311)</f>
        <v/>
      </c>
    </row>
    <row r="312" ht="15.75" customHeight="1" s="201">
      <c r="A312" s="100" t="n">
        <v>5000385000</v>
      </c>
      <c r="B312" s="101" t="inlineStr">
        <is>
          <t>Turkey, fat</t>
        </is>
      </c>
      <c r="C312" s="101" t="inlineStr">
        <is>
          <t>weight of nutrient  fat only; includes nutrient fat from meat and skin</t>
        </is>
      </c>
      <c r="D312" s="101" t="n"/>
      <c r="E312" s="101" t="n">
        <v>12144</v>
      </c>
      <c r="F312" s="84">
        <f>N312*H312+T312</f>
        <v/>
      </c>
      <c r="G312" s="85">
        <f>R312*H312+U312</f>
        <v/>
      </c>
      <c r="H312" s="102" t="n">
        <v>1</v>
      </c>
      <c r="I312" s="103" t="inlineStr">
        <is>
          <t>None</t>
        </is>
      </c>
      <c r="J312" s="104" t="n">
        <v>1</v>
      </c>
      <c r="K312" s="132" t="inlineStr">
        <is>
          <t>chicken</t>
        </is>
      </c>
      <c r="L312" s="90">
        <f>IF(ISERROR(GETPIVOTDATA(IF($J312=1,"Count of ACTIVE     CED, FARM GATE (MJ/kg)","Count of CED, processor gate (MJ/kg)"),'[1]Pivot Table_CED'!$A$3,"SUB TYPE","Turkey")),"PROXY",IF(GETPIVOTDATA(IF($J312=1,"Count of ACTIVE     CED, FARM GATE (MJ/kg)","Count of CED, processor gate (MJ/kg)"),'[1]Pivot Table_CED'!$A$3,"SUB TYPE","Turkey")=0,"PROXY","DB value"))</f>
        <v/>
      </c>
      <c r="M312" s="91">
        <f>IF($L312="PROXY",DCOUNT('[1]literature entries'!$D:$AI,IF($J312=1,"ACTIVE     CED, FARM GATE (MJ/kg)","CED, processor gate (MJ/kg)"),INDIRECT($K312)),GETPIVOTDATA(IF($J312=1,"Count of ACTIVE     CED, FARM GATE (MJ/kg)","Count of CED, processor gate (MJ/kg)"),'[1]Pivot Table_CED'!$A$3,"SUB TYPE","Turkey"))</f>
        <v/>
      </c>
      <c r="N312" s="92">
        <f>IF($L312="PROXY",DAVERAGE('[1]literature entries'!$D:$AI,IF($J312=1,"ACTIVE     CED, FARM GATE (MJ/kg)","CED, processor gate (MJ/kg)"),INDIRECT($K312)),GETPIVOTDATA(IF($J312=1,"Average of ACTIVE     CED, FARM GATE (MJ/kg)","Average of CED, processor gate (MJ/kg)"),'[1]Pivot Table_CED'!$A$3,"SUB TYPE","Turkey"))</f>
        <v/>
      </c>
      <c r="O312" s="92">
        <f>IF($L312="PROXY",DSTDEV('[1]literature entries'!D:AI,IF($J312=1,"ACTIVE     CED, FARM GATE (MJ/kg)","CED, processor gate (MJ/kg)"),INDIRECT($K312)),GETPIVOTDATA(IF($J312=1,"StdDev of ACTIVE     CED, FARM GATE (MJ/kg)","StdDev of CED, processor gate (MJ/kg)"),'[1]Pivot Table_CED'!$A$3,"SUB TYPE","Turkey"))</f>
        <v/>
      </c>
      <c r="P312" s="90">
        <f>IF(ISERROR(GETPIVOTDATA(IF($J312=1,"Count of ACTIVE     GHGE, FARM GATE (kg CO2e/kg)","Count of GHGE, processor gate (kg CO2e/kg)"),'[1]Pivot Table_GHG'!$A$3,"SUB TYPE","Turkey")),"PROXY",IF(GETPIVOTDATA(IF($J312=1,"Count of ACTIVE     GHGE, FARM GATE (kg CO2e/kg)","Count of GHGE, processor gate (kg CO2e/kg)"),'[1]Pivot Table_GHG'!$A$3,"SUB TYPE","Turkey")=0,"PROXY","DB value"))</f>
        <v/>
      </c>
      <c r="Q312" s="93">
        <f>IF($P312="PROXY",DCOUNT('[1]literature entries'!$D:$AI,IF($J312=1,"ACTIVE     GHGE, FARM GATE (kg CO2e/kg)","GHGE, processor gate (kg CO2e/kg)"),INDIRECT($K312)),GETPIVOTDATA(IF($J312=1,"ACTIVE     GHGE, FARM GATE (kg CO2e/kg)","Count of GHGE, processor gate (kg CO2e/kg)"),'[1]Pivot Table_GHG'!$A$3,"SUB TYPE","Turkey"))</f>
        <v/>
      </c>
      <c r="R312" s="94">
        <f>IF($P312="PROXY",DAVERAGE('[1]literature entries'!$D:$AI,IF($J312=1,"ACTIVE     GHGE, FARM GATE (kg CO2e/kg)","GHGE, processor gate (kg CO2e/kg)"),INDIRECT($K312)),GETPIVOTDATA(IF($J312=1,"Average of ACTIVE     GHGE, FARM GATE (kg CO2e/kg)","Average of GHGE, processor gate (kg CO2e/kg)"),'[1]Pivot Table_GHG'!$A$3,"SUB TYPE","Turkey"))</f>
        <v/>
      </c>
      <c r="S312" s="94">
        <f>IF($P312="PROXY",DSTDEV('[1]literature entries'!$D:$AI,IF($J312=1,"ACTIVE     GHGE, FARM GATE (kg CO2e/kg)","GHGE, processor gate (kg CO2e/kg)"),INDIRECT($K312)),GETPIVOTDATA(IF($J312=1,"StdDev of ACTIVE     GHGE, FARM GATE (kg CO2e/kg)","StdDev of GHGE, processor gate (kg CO2e/kg)"),'[1]Pivot Table_GHG'!$A$3,"SUB TYPE","Turkey"))</f>
        <v/>
      </c>
      <c r="T312" s="105" t="n"/>
      <c r="U312" s="106" t="n"/>
      <c r="V312" s="97" t="n"/>
      <c r="W312" s="98">
        <f>IF(L312="PROXY",IF(M312&gt;=5,K312,"need group"),IF(M312&gt;=5,"DIRECT","need group"))</f>
        <v/>
      </c>
      <c r="X312" s="98">
        <f>IF($W312="DIRECT",M312,DCOUNT('[1]literature entries'!$D:$AI,IF($J312=1,"ACTIVE     CED, FARM GATE (MJ/kg)","CED, processor gate (MJ/kg)"),INDIRECT($W312)))</f>
        <v/>
      </c>
      <c r="Y312" s="98">
        <f>IF($W312="DIRECT","",DAVERAGE('[1]literature entries'!$D:$AI,IF($J312=1,"ACTIVE     CED, FARM GATE (MJ/kg)","CED, processor gate (MJ/kg)"),INDIRECT($W312)))</f>
        <v/>
      </c>
      <c r="Z312" s="98">
        <f>IF($W312="DIRECT",$O312,DSTDEV('[1]literature entries'!$D:$AI,IF($J312=1,"ACTIVE     CED, FARM GATE (MJ/kg)","CED, processor gate (MJ/kg)"),INDIRECT($W312)))</f>
        <v/>
      </c>
      <c r="AA312" s="98">
        <f>IF($W312="DIRECT",$O312,$Z312/$Y312*$N312)</f>
        <v/>
      </c>
      <c r="AB312" s="99" t="inlineStr">
        <is>
          <t>chicken</t>
        </is>
      </c>
      <c r="AC312" s="99">
        <f>IF($AB312="DIRECT",Q312,DCOUNT('[1]literature entries'!$D:$AI,IF($J312=1,"ACTIVE     GHGE, FARM GATE (kg CO2e/kg)","GHGE, processor gate (kg CO2e/kg)"),INDIRECT($AB312)))</f>
        <v/>
      </c>
      <c r="AD312" s="99">
        <f>IF($AB312="DIRECT","",DAVERAGE('[1]literature entries'!$D:$AI,IF($J312=1,"ACTIVE     GHGE, FARM GATE (kg CO2e/kg)","GHGE, processor gate (kg CO2e/kg)"),INDIRECT($AB312)))</f>
        <v/>
      </c>
      <c r="AE312" s="99">
        <f>IF($AB312="DIRECT",$S312,DSTDEV('[1]literature entries'!$D:$AI,IF($J312=1,"ACTIVE     GHGE, FARM GATE (kg CO2e/kg)","GHGE, processor gate (kg CO2e/kg)"),INDIRECT($AB312)))</f>
        <v/>
      </c>
      <c r="AF312" s="99">
        <f>IF($AB312="DIRECT",$S312,$AE312/$AD312*$R312)</f>
        <v/>
      </c>
    </row>
    <row r="313" ht="15.75" customHeight="1" s="201">
      <c r="A313" s="100" t="n">
        <v>5000386000</v>
      </c>
      <c r="B313" s="101" t="inlineStr">
        <is>
          <t>Turkey, skin</t>
        </is>
      </c>
      <c r="C313" s="101" t="inlineStr">
        <is>
          <t>weight of skin only (0 grams nutrient fat)</t>
        </is>
      </c>
      <c r="D313" s="101" t="n"/>
      <c r="E313" s="101" t="n">
        <v>7683</v>
      </c>
      <c r="F313" s="84">
        <f>N313*H313+T313</f>
        <v/>
      </c>
      <c r="G313" s="85">
        <f>R313*H313+U313</f>
        <v/>
      </c>
      <c r="H313" s="102" t="n">
        <v>1</v>
      </c>
      <c r="I313" s="103" t="inlineStr">
        <is>
          <t>None</t>
        </is>
      </c>
      <c r="J313" s="104" t="n">
        <v>1</v>
      </c>
      <c r="K313" s="132" t="inlineStr">
        <is>
          <t>chicken</t>
        </is>
      </c>
      <c r="L313" s="90">
        <f>IF(ISERROR(GETPIVOTDATA(IF($J313=1,"Count of ACTIVE     CED, FARM GATE (MJ/kg)","Count of CED, processor gate (MJ/kg)"),'[1]Pivot Table_CED'!$A$3,"SUB TYPE","Turkey")),"PROXY",IF(GETPIVOTDATA(IF($J313=1,"Count of ACTIVE     CED, FARM GATE (MJ/kg)","Count of CED, processor gate (MJ/kg)"),'[1]Pivot Table_CED'!$A$3,"SUB TYPE","Turkey")=0,"PROXY","DB value"))</f>
        <v/>
      </c>
      <c r="M313" s="91">
        <f>IF($L313="PROXY",DCOUNT('[1]literature entries'!$D:$AI,IF($J313=1,"ACTIVE     CED, FARM GATE (MJ/kg)","CED, processor gate (MJ/kg)"),INDIRECT($K313)),GETPIVOTDATA(IF($J313=1,"Count of ACTIVE     CED, FARM GATE (MJ/kg)","Count of CED, processor gate (MJ/kg)"),'[1]Pivot Table_CED'!$A$3,"SUB TYPE","Turkey"))</f>
        <v/>
      </c>
      <c r="N313" s="92">
        <f>IF($L313="PROXY",DAVERAGE('[1]literature entries'!$D:$AI,IF($J313=1,"ACTIVE     CED, FARM GATE (MJ/kg)","CED, processor gate (MJ/kg)"),INDIRECT($K313)),GETPIVOTDATA(IF($J313=1,"Average of ACTIVE     CED, FARM GATE (MJ/kg)","Average of CED, processor gate (MJ/kg)"),'[1]Pivot Table_CED'!$A$3,"SUB TYPE","Turkey"))</f>
        <v/>
      </c>
      <c r="O313" s="92">
        <f>IF($L313="PROXY",DSTDEV('[1]literature entries'!D:AI,IF($J313=1,"ACTIVE     CED, FARM GATE (MJ/kg)","CED, processor gate (MJ/kg)"),INDIRECT($K313)),GETPIVOTDATA(IF($J313=1,"StdDev of ACTIVE     CED, FARM GATE (MJ/kg)","StdDev of CED, processor gate (MJ/kg)"),'[1]Pivot Table_CED'!$A$3,"SUB TYPE","Turkey"))</f>
        <v/>
      </c>
      <c r="P313" s="90">
        <f>IF(ISERROR(GETPIVOTDATA(IF($J313=1,"Count of ACTIVE     GHGE, FARM GATE (kg CO2e/kg)","Count of GHGE, processor gate (kg CO2e/kg)"),'[1]Pivot Table_GHG'!$A$3,"SUB TYPE","Turkey")),"PROXY",IF(GETPIVOTDATA(IF($J313=1,"Count of ACTIVE     GHGE, FARM GATE (kg CO2e/kg)","Count of GHGE, processor gate (kg CO2e/kg)"),'[1]Pivot Table_GHG'!$A$3,"SUB TYPE","Turkey")=0,"PROXY","DB value"))</f>
        <v/>
      </c>
      <c r="Q313" s="93">
        <f>IF($P313="PROXY",DCOUNT('[1]literature entries'!$D:$AI,IF($J313=1,"ACTIVE     GHGE, FARM GATE (kg CO2e/kg)","GHGE, processor gate (kg CO2e/kg)"),INDIRECT($K313)),GETPIVOTDATA(IF($J313=1,"ACTIVE     GHGE, FARM GATE (kg CO2e/kg)","Count of GHGE, processor gate (kg CO2e/kg)"),'[1]Pivot Table_GHG'!$A$3,"SUB TYPE","Turkey"))</f>
        <v/>
      </c>
      <c r="R313" s="94">
        <f>IF($P313="PROXY",DAVERAGE('[1]literature entries'!$D:$AI,IF($J313=1,"ACTIVE     GHGE, FARM GATE (kg CO2e/kg)","GHGE, processor gate (kg CO2e/kg)"),INDIRECT($K313)),GETPIVOTDATA(IF($J313=1,"Average of ACTIVE     GHGE, FARM GATE (kg CO2e/kg)","Average of GHGE, processor gate (kg CO2e/kg)"),'[1]Pivot Table_GHG'!$A$3,"SUB TYPE","Turkey"))</f>
        <v/>
      </c>
      <c r="S313" s="94">
        <f>IF($P313="PROXY",DSTDEV('[1]literature entries'!$D:$AI,IF($J313=1,"ACTIVE     GHGE, FARM GATE (kg CO2e/kg)","GHGE, processor gate (kg CO2e/kg)"),INDIRECT($K313)),GETPIVOTDATA(IF($J313=1,"StdDev of ACTIVE     GHGE, FARM GATE (kg CO2e/kg)","StdDev of GHGE, processor gate (kg CO2e/kg)"),'[1]Pivot Table_GHG'!$A$3,"SUB TYPE","Turkey"))</f>
        <v/>
      </c>
      <c r="T313" s="105" t="n"/>
      <c r="U313" s="106" t="n"/>
      <c r="V313" s="97" t="n"/>
      <c r="W313" s="98">
        <f>IF(L313="PROXY",IF(M313&gt;=5,K313,"need group"),IF(M313&gt;=5,"DIRECT","need group"))</f>
        <v/>
      </c>
      <c r="X313" s="98">
        <f>IF($W313="DIRECT",M313,DCOUNT('[1]literature entries'!$D:$AI,IF($J313=1,"ACTIVE     CED, FARM GATE (MJ/kg)","CED, processor gate (MJ/kg)"),INDIRECT($W313)))</f>
        <v/>
      </c>
      <c r="Y313" s="98">
        <f>IF($W313="DIRECT","",DAVERAGE('[1]literature entries'!$D:$AI,IF($J313=1,"ACTIVE     CED, FARM GATE (MJ/kg)","CED, processor gate (MJ/kg)"),INDIRECT($W313)))</f>
        <v/>
      </c>
      <c r="Z313" s="98">
        <f>IF($W313="DIRECT",$O313,DSTDEV('[1]literature entries'!$D:$AI,IF($J313=1,"ACTIVE     CED, FARM GATE (MJ/kg)","CED, processor gate (MJ/kg)"),INDIRECT($W313)))</f>
        <v/>
      </c>
      <c r="AA313" s="98">
        <f>IF($W313="DIRECT",$O313,$Z313/$Y313*$N313)</f>
        <v/>
      </c>
      <c r="AB313" s="99" t="inlineStr">
        <is>
          <t>chicken</t>
        </is>
      </c>
      <c r="AC313" s="99">
        <f>IF($AB313="DIRECT",Q313,DCOUNT('[1]literature entries'!$D:$AI,IF($J313=1,"ACTIVE     GHGE, FARM GATE (kg CO2e/kg)","GHGE, processor gate (kg CO2e/kg)"),INDIRECT($AB313)))</f>
        <v/>
      </c>
      <c r="AD313" s="99">
        <f>IF($AB313="DIRECT","",DAVERAGE('[1]literature entries'!$D:$AI,IF($J313=1,"ACTIVE     GHGE, FARM GATE (kg CO2e/kg)","GHGE, processor gate (kg CO2e/kg)"),INDIRECT($AB313)))</f>
        <v/>
      </c>
      <c r="AE313" s="99">
        <f>IF($AB313="DIRECT",$S313,DSTDEV('[1]literature entries'!$D:$AI,IF($J313=1,"ACTIVE     GHGE, FARM GATE (kg CO2e/kg)","GHGE, processor gate (kg CO2e/kg)"),INDIRECT($AB313)))</f>
        <v/>
      </c>
      <c r="AF313" s="99">
        <f>IF($AB313="DIRECT",$S313,$AE313/$AD313*$R313)</f>
        <v/>
      </c>
    </row>
    <row r="314" ht="15.75" customHeight="1" s="201">
      <c r="A314" s="100" t="n">
        <v>6000301000</v>
      </c>
      <c r="B314" s="101" t="inlineStr">
        <is>
          <t>Poultry, other, meat</t>
        </is>
      </c>
      <c r="C314" s="101" t="inlineStr">
        <is>
          <t>weight of meat; excluding weight of bone, and all nutrient fat, and skin</t>
        </is>
      </c>
      <c r="D314" s="101" t="inlineStr">
        <is>
          <t>Includes dove, duck, emu, goose, guinea hen, ostrich, partridge, pheasant, pigeon, quail, squab, wild duck.</t>
        </is>
      </c>
      <c r="E314" s="101" t="n">
        <v>107</v>
      </c>
      <c r="F314" s="84">
        <f>N314*H314+T314</f>
        <v/>
      </c>
      <c r="G314" s="85">
        <f>R314*H314+U314</f>
        <v/>
      </c>
      <c r="H314" s="102" t="n">
        <v>1</v>
      </c>
      <c r="I314" s="103" t="inlineStr">
        <is>
          <t>None</t>
        </is>
      </c>
      <c r="J314" s="104" t="n">
        <v>1</v>
      </c>
      <c r="K314" s="132" t="n"/>
      <c r="L314" s="90">
        <f>IF(ISERROR(GETPIVOTDATA(IF($J314=1,"Count of ACTIVE     CED, FARM GATE (MJ/kg)","Count of CED, processor gate (MJ/kg)"),'[1]Pivot Table_CED'!$A$3,"SUB TYPE","Poultry, other")),"PROXY",IF(GETPIVOTDATA(IF($J314=1,"Count of ACTIVE     CED, FARM GATE (MJ/kg)","Count of CED, processor gate (MJ/kg)"),'[1]Pivot Table_CED'!$A$3,"SUB TYPE","Poultry, other")=0,"PROXY","DB value"))</f>
        <v/>
      </c>
      <c r="M314" s="91">
        <f>IF($L314="PROXY",DCOUNT('[1]literature entries'!$D:$AI,IF($J314=1,"ACTIVE     CED, FARM GATE (MJ/kg)","CED, processor gate (MJ/kg)"),INDIRECT($K314)),GETPIVOTDATA(IF($J314=1,"Count of ACTIVE     CED, FARM GATE (MJ/kg)","Count of CED, processor gate (MJ/kg)"),'[1]Pivot Table_CED'!$A$3,"SUB TYPE","Poultry, other"))</f>
        <v/>
      </c>
      <c r="N314" s="92">
        <f>IF($L314="PROXY",DAVERAGE('[1]literature entries'!$D:$AI,IF($J314=1,"ACTIVE     CED, FARM GATE (MJ/kg)","CED, processor gate (MJ/kg)"),INDIRECT($K314)),GETPIVOTDATA(IF($J314=1,"Average of ACTIVE     CED, FARM GATE (MJ/kg)","Average of CED, processor gate (MJ/kg)"),'[1]Pivot Table_CED'!$A$3,"SUB TYPE","Poultry, other"))</f>
        <v/>
      </c>
      <c r="O314" s="92">
        <f>IF($L314="PROXY",DSTDEV('[1]literature entries'!D:AI,IF($J314=1,"ACTIVE     CED, FARM GATE (MJ/kg)","CED, processor gate (MJ/kg)"),INDIRECT($K314)),GETPIVOTDATA(IF($J314=1,"StdDev of ACTIVE     CED, FARM GATE (MJ/kg)","StdDev of CED, processor gate (MJ/kg)"),'[1]Pivot Table_CED'!$A$3,"SUB TYPE","Poultry, other"))</f>
        <v/>
      </c>
      <c r="P314" s="90">
        <f>IF(ISERROR(GETPIVOTDATA(IF($J314=1,"Count of ACTIVE     GHGE, FARM GATE (kg CO2e/kg)","Count of GHGE, processor gate (kg CO2e/kg)"),'[1]Pivot Table_GHG'!$A$3,"SUB TYPE","Poultry, other")),"PROXY",IF(GETPIVOTDATA(IF($J314=1,"Count of ACTIVE     GHGE, FARM GATE (kg CO2e/kg)","Count of GHGE, processor gate (kg CO2e/kg)"),'[1]Pivot Table_GHG'!$A$3,"SUB TYPE","Poultry, other")=0,"PROXY","DB value"))</f>
        <v/>
      </c>
      <c r="Q314" s="93">
        <f>IF($P314="PROXY",DCOUNT('[1]literature entries'!$D:$AI,IF($J314=1,"ACTIVE     GHGE, FARM GATE (kg CO2e/kg)","GHGE, processor gate (kg CO2e/kg)"),INDIRECT($K314)),GETPIVOTDATA(IF($J314=1,"ACTIVE     GHGE, FARM GATE (kg CO2e/kg)","Count of GHGE, processor gate (kg CO2e/kg)"),'[1]Pivot Table_GHG'!$A$3,"SUB TYPE","Poultry, other"))</f>
        <v/>
      </c>
      <c r="R314" s="94">
        <f>IF($P314="PROXY",DAVERAGE('[1]literature entries'!$D:$AI,IF($J314=1,"ACTIVE     GHGE, FARM GATE (kg CO2e/kg)","GHGE, processor gate (kg CO2e/kg)"),INDIRECT($K314)),GETPIVOTDATA(IF($J314=1,"Average of ACTIVE     GHGE, FARM GATE (kg CO2e/kg)","Average of GHGE, processor gate (kg CO2e/kg)"),'[1]Pivot Table_GHG'!$A$3,"SUB TYPE","Poultry, other"))</f>
        <v/>
      </c>
      <c r="S314" s="94">
        <f>IF($P314="PROXY",DSTDEV('[1]literature entries'!$D:$AI,IF($J314=1,"ACTIVE     GHGE, FARM GATE (kg CO2e/kg)","GHGE, processor gate (kg CO2e/kg)"),INDIRECT($K314)),GETPIVOTDATA(IF($J314=1,"StdDev of ACTIVE     GHGE, FARM GATE (kg CO2e/kg)","StdDev of GHGE, processor gate (kg CO2e/kg)"),'[1]Pivot Table_GHG'!$A$3,"SUB TYPE","Poultry, other"))</f>
        <v/>
      </c>
      <c r="T314" s="105" t="n"/>
      <c r="U314" s="106" t="n"/>
      <c r="V314" s="97" t="n"/>
      <c r="W314" s="98" t="inlineStr">
        <is>
          <t>chicken</t>
        </is>
      </c>
      <c r="X314" s="98">
        <f>IF($W314="DIRECT",M314,DCOUNT('[1]literature entries'!$D:$AI,IF($J314=1,"ACTIVE     CED, FARM GATE (MJ/kg)","CED, processor gate (MJ/kg)"),INDIRECT($W314)))</f>
        <v/>
      </c>
      <c r="Y314" s="98">
        <f>IF($W314="DIRECT","",DAVERAGE('[1]literature entries'!$D:$AI,IF($J314=1,"ACTIVE     CED, FARM GATE (MJ/kg)","CED, processor gate (MJ/kg)"),INDIRECT($W314)))</f>
        <v/>
      </c>
      <c r="Z314" s="98">
        <f>IF($W314="DIRECT",$O314,DSTDEV('[1]literature entries'!$D:$AI,IF($J314=1,"ACTIVE     CED, FARM GATE (MJ/kg)","CED, processor gate (MJ/kg)"),INDIRECT($W314)))</f>
        <v/>
      </c>
      <c r="AA314" s="98">
        <f>IF($W314="DIRECT",$O314,$Z314/$Y314*$N314)</f>
        <v/>
      </c>
      <c r="AB314" s="99" t="inlineStr">
        <is>
          <t>chicken</t>
        </is>
      </c>
      <c r="AC314" s="99">
        <f>IF($AB314="DIRECT",Q314,DCOUNT('[1]literature entries'!$D:$AI,IF($J314=1,"ACTIVE     GHGE, FARM GATE (kg CO2e/kg)","GHGE, processor gate (kg CO2e/kg)"),INDIRECT($AB314)))</f>
        <v/>
      </c>
      <c r="AD314" s="99">
        <f>IF($AB314="DIRECT","",DAVERAGE('[1]literature entries'!$D:$AI,IF($J314=1,"ACTIVE     GHGE, FARM GATE (kg CO2e/kg)","GHGE, processor gate (kg CO2e/kg)"),INDIRECT($AB314)))</f>
        <v/>
      </c>
      <c r="AE314" s="99">
        <f>IF($AB314="DIRECT",$S314,DSTDEV('[1]literature entries'!$D:$AI,IF($J314=1,"ACTIVE     GHGE, FARM GATE (kg CO2e/kg)","GHGE, processor gate (kg CO2e/kg)"),INDIRECT($AB314)))</f>
        <v/>
      </c>
      <c r="AF314" s="99">
        <f>IF($AB314="DIRECT",$S314,$AE314/$AD314*$R314)</f>
        <v/>
      </c>
    </row>
    <row r="315" ht="15.75" customHeight="1" s="201">
      <c r="A315" s="100" t="n">
        <v>6000302000</v>
      </c>
      <c r="B315" s="101" t="inlineStr">
        <is>
          <t>Poultry, other, liver</t>
        </is>
      </c>
      <c r="C315" s="101" t="inlineStr">
        <is>
          <t>weight of organ, including nutrient fat</t>
        </is>
      </c>
      <c r="D315" s="101" t="inlineStr">
        <is>
          <t>Includes dove, duck, emu, goose, guinea hen, ostrich, partridge, pheasant, pigeon, quail, squab, wild duck.</t>
        </is>
      </c>
      <c r="E315" s="101" t="n">
        <v>66</v>
      </c>
      <c r="F315" s="84">
        <f>N315*H315+T315</f>
        <v/>
      </c>
      <c r="G315" s="85">
        <f>R315*H315+U315</f>
        <v/>
      </c>
      <c r="H315" s="102" t="n">
        <v>1</v>
      </c>
      <c r="I315" s="103" t="inlineStr">
        <is>
          <t>None</t>
        </is>
      </c>
      <c r="J315" s="104" t="n">
        <v>1</v>
      </c>
      <c r="K315" s="132" t="n"/>
      <c r="L315" s="90">
        <f>IF(ISERROR(GETPIVOTDATA(IF($J315=1,"Count of ACTIVE     CED, FARM GATE (MJ/kg)","Count of CED, processor gate (MJ/kg)"),'[1]Pivot Table_CED'!$A$3,"SUB TYPE","Poultry, other")),"PROXY",IF(GETPIVOTDATA(IF($J315=1,"Count of ACTIVE     CED, FARM GATE (MJ/kg)","Count of CED, processor gate (MJ/kg)"),'[1]Pivot Table_CED'!$A$3,"SUB TYPE","Poultry, other")=0,"PROXY","DB value"))</f>
        <v/>
      </c>
      <c r="M315" s="91">
        <f>IF($L315="PROXY",DCOUNT('[1]literature entries'!$D:$AI,IF($J315=1,"ACTIVE     CED, FARM GATE (MJ/kg)","CED, processor gate (MJ/kg)"),INDIRECT($K315)),GETPIVOTDATA(IF($J315=1,"Count of ACTIVE     CED, FARM GATE (MJ/kg)","Count of CED, processor gate (MJ/kg)"),'[1]Pivot Table_CED'!$A$3,"SUB TYPE","Poultry, other"))</f>
        <v/>
      </c>
      <c r="N315" s="92">
        <f>IF($L315="PROXY",DAVERAGE('[1]literature entries'!$D:$AI,IF($J315=1,"ACTIVE     CED, FARM GATE (MJ/kg)","CED, processor gate (MJ/kg)"),INDIRECT($K315)),GETPIVOTDATA(IF($J315=1,"Average of ACTIVE     CED, FARM GATE (MJ/kg)","Average of CED, processor gate (MJ/kg)"),'[1]Pivot Table_CED'!$A$3,"SUB TYPE","Poultry, other"))</f>
        <v/>
      </c>
      <c r="O315" s="92">
        <f>IF($L315="PROXY",DSTDEV('[1]literature entries'!D:AI,IF($J315=1,"ACTIVE     CED, FARM GATE (MJ/kg)","CED, processor gate (MJ/kg)"),INDIRECT($K315)),GETPIVOTDATA(IF($J315=1,"StdDev of ACTIVE     CED, FARM GATE (MJ/kg)","StdDev of CED, processor gate (MJ/kg)"),'[1]Pivot Table_CED'!$A$3,"SUB TYPE","Poultry, other"))</f>
        <v/>
      </c>
      <c r="P315" s="90">
        <f>IF(ISERROR(GETPIVOTDATA(IF($J315=1,"Count of ACTIVE     GHGE, FARM GATE (kg CO2e/kg)","Count of GHGE, processor gate (kg CO2e/kg)"),'[1]Pivot Table_GHG'!$A$3,"SUB TYPE","Poultry, other")),"PROXY",IF(GETPIVOTDATA(IF($J315=1,"Count of ACTIVE     GHGE, FARM GATE (kg CO2e/kg)","Count of GHGE, processor gate (kg CO2e/kg)"),'[1]Pivot Table_GHG'!$A$3,"SUB TYPE","Poultry, other")=0,"PROXY","DB value"))</f>
        <v/>
      </c>
      <c r="Q315" s="93">
        <f>IF($P315="PROXY",DCOUNT('[1]literature entries'!$D:$AI,IF($J315=1,"ACTIVE     GHGE, FARM GATE (kg CO2e/kg)","GHGE, processor gate (kg CO2e/kg)"),INDIRECT($K315)),GETPIVOTDATA(IF($J315=1,"ACTIVE     GHGE, FARM GATE (kg CO2e/kg)","Count of GHGE, processor gate (kg CO2e/kg)"),'[1]Pivot Table_GHG'!$A$3,"SUB TYPE","Poultry, other"))</f>
        <v/>
      </c>
      <c r="R315" s="94">
        <f>IF($P315="PROXY",DAVERAGE('[1]literature entries'!$D:$AI,IF($J315=1,"ACTIVE     GHGE, FARM GATE (kg CO2e/kg)","GHGE, processor gate (kg CO2e/kg)"),INDIRECT($K315)),GETPIVOTDATA(IF($J315=1,"Average of ACTIVE     GHGE, FARM GATE (kg CO2e/kg)","Average of GHGE, processor gate (kg CO2e/kg)"),'[1]Pivot Table_GHG'!$A$3,"SUB TYPE","Poultry, other"))</f>
        <v/>
      </c>
      <c r="S315" s="94">
        <f>IF($P315="PROXY",DSTDEV('[1]literature entries'!$D:$AI,IF($J315=1,"ACTIVE     GHGE, FARM GATE (kg CO2e/kg)","GHGE, processor gate (kg CO2e/kg)"),INDIRECT($K315)),GETPIVOTDATA(IF($J315=1,"StdDev of ACTIVE     GHGE, FARM GATE (kg CO2e/kg)","StdDev of GHGE, processor gate (kg CO2e/kg)"),'[1]Pivot Table_GHG'!$A$3,"SUB TYPE","Poultry, other"))</f>
        <v/>
      </c>
      <c r="T315" s="105" t="n"/>
      <c r="U315" s="106" t="n"/>
      <c r="V315" s="97" t="n"/>
      <c r="W315" s="98" t="inlineStr">
        <is>
          <t>chicken</t>
        </is>
      </c>
      <c r="X315" s="98">
        <f>IF($W315="DIRECT",M315,DCOUNT('[1]literature entries'!$D:$AI,IF($J315=1,"ACTIVE     CED, FARM GATE (MJ/kg)","CED, processor gate (MJ/kg)"),INDIRECT($W315)))</f>
        <v/>
      </c>
      <c r="Y315" s="98">
        <f>IF($W315="DIRECT","",DAVERAGE('[1]literature entries'!$D:$AI,IF($J315=1,"ACTIVE     CED, FARM GATE (MJ/kg)","CED, processor gate (MJ/kg)"),INDIRECT($W315)))</f>
        <v/>
      </c>
      <c r="Z315" s="98">
        <f>IF($W315="DIRECT",$O315,DSTDEV('[1]literature entries'!$D:$AI,IF($J315=1,"ACTIVE     CED, FARM GATE (MJ/kg)","CED, processor gate (MJ/kg)"),INDIRECT($W315)))</f>
        <v/>
      </c>
      <c r="AA315" s="98">
        <f>IF($W315="DIRECT",$O315,$Z315/$Y315*$N315)</f>
        <v/>
      </c>
      <c r="AB315" s="99" t="inlineStr">
        <is>
          <t>chicken</t>
        </is>
      </c>
      <c r="AC315" s="99">
        <f>IF($AB315="DIRECT",Q315,DCOUNT('[1]literature entries'!$D:$AI,IF($J315=1,"ACTIVE     GHGE, FARM GATE (kg CO2e/kg)","GHGE, processor gate (kg CO2e/kg)"),INDIRECT($AB315)))</f>
        <v/>
      </c>
      <c r="AD315" s="99">
        <f>IF($AB315="DIRECT","",DAVERAGE('[1]literature entries'!$D:$AI,IF($J315=1,"ACTIVE     GHGE, FARM GATE (kg CO2e/kg)","GHGE, processor gate (kg CO2e/kg)"),INDIRECT($AB315)))</f>
        <v/>
      </c>
      <c r="AE315" s="99">
        <f>IF($AB315="DIRECT",$S315,DSTDEV('[1]literature entries'!$D:$AI,IF($J315=1,"ACTIVE     GHGE, FARM GATE (kg CO2e/kg)","GHGE, processor gate (kg CO2e/kg)"),INDIRECT($AB315)))</f>
        <v/>
      </c>
      <c r="AF315" s="99">
        <f>IF($AB315="DIRECT",$S315,$AE315/$AD315*$R315)</f>
        <v/>
      </c>
    </row>
    <row r="316" ht="15.75" customHeight="1" s="201">
      <c r="A316" s="100" t="n">
        <v>6000303000</v>
      </c>
      <c r="B316" s="101" t="inlineStr">
        <is>
          <t>Poultry, other, meat byproducts</t>
        </is>
      </c>
      <c r="C316" s="101" t="inlineStr">
        <is>
          <t>weight of meat; excluding bone; may contain some trimmable fat and/or skin</t>
        </is>
      </c>
      <c r="D316" s="101" t="inlineStr">
        <is>
          <t>Includes dove, duck, emu, goose, guinea hen, ostrich, partridge, pheasant, pigeon, quail, squab, wild duck. Byproducts include (as for chicken) giblets, gizzard, neck, feet, and tail, as applicable to species of poultry.</t>
        </is>
      </c>
      <c r="E316" s="101" t="n">
        <v>27</v>
      </c>
      <c r="F316" s="84">
        <f>N316*H316+T316</f>
        <v/>
      </c>
      <c r="G316" s="85">
        <f>R316*H316+U316</f>
        <v/>
      </c>
      <c r="H316" s="102" t="n">
        <v>1</v>
      </c>
      <c r="I316" s="103" t="inlineStr">
        <is>
          <t>None</t>
        </is>
      </c>
      <c r="J316" s="104" t="n">
        <v>1</v>
      </c>
      <c r="K316" s="132" t="n"/>
      <c r="L316" s="90">
        <f>IF(ISERROR(GETPIVOTDATA(IF($J316=1,"Count of ACTIVE     CED, FARM GATE (MJ/kg)","Count of CED, processor gate (MJ/kg)"),'[1]Pivot Table_CED'!$A$3,"SUB TYPE","Poultry, other")),"PROXY",IF(GETPIVOTDATA(IF($J316=1,"Count of ACTIVE     CED, FARM GATE (MJ/kg)","Count of CED, processor gate (MJ/kg)"),'[1]Pivot Table_CED'!$A$3,"SUB TYPE","Poultry, other")=0,"PROXY","DB value"))</f>
        <v/>
      </c>
      <c r="M316" s="91">
        <f>IF($L316="PROXY",DCOUNT('[1]literature entries'!$D:$AI,IF($J316=1,"ACTIVE     CED, FARM GATE (MJ/kg)","CED, processor gate (MJ/kg)"),INDIRECT($K316)),GETPIVOTDATA(IF($J316=1,"Count of ACTIVE     CED, FARM GATE (MJ/kg)","Count of CED, processor gate (MJ/kg)"),'[1]Pivot Table_CED'!$A$3,"SUB TYPE","Poultry, other"))</f>
        <v/>
      </c>
      <c r="N316" s="92">
        <f>IF($L316="PROXY",DAVERAGE('[1]literature entries'!$D:$AI,IF($J316=1,"ACTIVE     CED, FARM GATE (MJ/kg)","CED, processor gate (MJ/kg)"),INDIRECT($K316)),GETPIVOTDATA(IF($J316=1,"Average of ACTIVE     CED, FARM GATE (MJ/kg)","Average of CED, processor gate (MJ/kg)"),'[1]Pivot Table_CED'!$A$3,"SUB TYPE","Poultry, other"))</f>
        <v/>
      </c>
      <c r="O316" s="92">
        <f>IF($L316="PROXY",DSTDEV('[1]literature entries'!D:AI,IF($J316=1,"ACTIVE     CED, FARM GATE (MJ/kg)","CED, processor gate (MJ/kg)"),INDIRECT($K316)),GETPIVOTDATA(IF($J316=1,"StdDev of ACTIVE     CED, FARM GATE (MJ/kg)","StdDev of CED, processor gate (MJ/kg)"),'[1]Pivot Table_CED'!$A$3,"SUB TYPE","Poultry, other"))</f>
        <v/>
      </c>
      <c r="P316" s="90">
        <f>IF(ISERROR(GETPIVOTDATA(IF($J316=1,"Count of ACTIVE     GHGE, FARM GATE (kg CO2e/kg)","Count of GHGE, processor gate (kg CO2e/kg)"),'[1]Pivot Table_GHG'!$A$3,"SUB TYPE","Poultry, other")),"PROXY",IF(GETPIVOTDATA(IF($J316=1,"Count of ACTIVE     GHGE, FARM GATE (kg CO2e/kg)","Count of GHGE, processor gate (kg CO2e/kg)"),'[1]Pivot Table_GHG'!$A$3,"SUB TYPE","Poultry, other")=0,"PROXY","DB value"))</f>
        <v/>
      </c>
      <c r="Q316" s="93">
        <f>IF($P316="PROXY",DCOUNT('[1]literature entries'!$D:$AI,IF($J316=1,"ACTIVE     GHGE, FARM GATE (kg CO2e/kg)","GHGE, processor gate (kg CO2e/kg)"),INDIRECT($K316)),GETPIVOTDATA(IF($J316=1,"ACTIVE     GHGE, FARM GATE (kg CO2e/kg)","Count of GHGE, processor gate (kg CO2e/kg)"),'[1]Pivot Table_GHG'!$A$3,"SUB TYPE","Poultry, other"))</f>
        <v/>
      </c>
      <c r="R316" s="94">
        <f>IF($P316="PROXY",DAVERAGE('[1]literature entries'!$D:$AI,IF($J316=1,"ACTIVE     GHGE, FARM GATE (kg CO2e/kg)","GHGE, processor gate (kg CO2e/kg)"),INDIRECT($K316)),GETPIVOTDATA(IF($J316=1,"Average of ACTIVE     GHGE, FARM GATE (kg CO2e/kg)","Average of GHGE, processor gate (kg CO2e/kg)"),'[1]Pivot Table_GHG'!$A$3,"SUB TYPE","Poultry, other"))</f>
        <v/>
      </c>
      <c r="S316" s="94">
        <f>IF($P316="PROXY",DSTDEV('[1]literature entries'!$D:$AI,IF($J316=1,"ACTIVE     GHGE, FARM GATE (kg CO2e/kg)","GHGE, processor gate (kg CO2e/kg)"),INDIRECT($K316)),GETPIVOTDATA(IF($J316=1,"StdDev of ACTIVE     GHGE, FARM GATE (kg CO2e/kg)","StdDev of GHGE, processor gate (kg CO2e/kg)"),'[1]Pivot Table_GHG'!$A$3,"SUB TYPE","Poultry, other"))</f>
        <v/>
      </c>
      <c r="T316" s="105" t="n"/>
      <c r="U316" s="106" t="n"/>
      <c r="V316" s="97" t="n"/>
      <c r="W316" s="98" t="inlineStr">
        <is>
          <t>chicken</t>
        </is>
      </c>
      <c r="X316" s="98">
        <f>IF($W316="DIRECT",M316,DCOUNT('[1]literature entries'!$D:$AI,IF($J316=1,"ACTIVE     CED, FARM GATE (MJ/kg)","CED, processor gate (MJ/kg)"),INDIRECT($W316)))</f>
        <v/>
      </c>
      <c r="Y316" s="98">
        <f>IF($W316="DIRECT","",DAVERAGE('[1]literature entries'!$D:$AI,IF($J316=1,"ACTIVE     CED, FARM GATE (MJ/kg)","CED, processor gate (MJ/kg)"),INDIRECT($W316)))</f>
        <v/>
      </c>
      <c r="Z316" s="98">
        <f>IF($W316="DIRECT",$O316,DSTDEV('[1]literature entries'!$D:$AI,IF($J316=1,"ACTIVE     CED, FARM GATE (MJ/kg)","CED, processor gate (MJ/kg)"),INDIRECT($W316)))</f>
        <v/>
      </c>
      <c r="AA316" s="98">
        <f>IF($W316="DIRECT",$O316,$Z316/$Y316*$N316)</f>
        <v/>
      </c>
      <c r="AB316" s="99" t="inlineStr">
        <is>
          <t>chicken</t>
        </is>
      </c>
      <c r="AC316" s="99">
        <f>IF($AB316="DIRECT",Q316,DCOUNT('[1]literature entries'!$D:$AI,IF($J316=1,"ACTIVE     GHGE, FARM GATE (kg CO2e/kg)","GHGE, processor gate (kg CO2e/kg)"),INDIRECT($AB316)))</f>
        <v/>
      </c>
      <c r="AD316" s="99">
        <f>IF($AB316="DIRECT","",DAVERAGE('[1]literature entries'!$D:$AI,IF($J316=1,"ACTIVE     GHGE, FARM GATE (kg CO2e/kg)","GHGE, processor gate (kg CO2e/kg)"),INDIRECT($AB316)))</f>
        <v/>
      </c>
      <c r="AE316" s="99">
        <f>IF($AB316="DIRECT",$S316,DSTDEV('[1]literature entries'!$D:$AI,IF($J316=1,"ACTIVE     GHGE, FARM GATE (kg CO2e/kg)","GHGE, processor gate (kg CO2e/kg)"),INDIRECT($AB316)))</f>
        <v/>
      </c>
      <c r="AF316" s="99">
        <f>IF($AB316="DIRECT",$S316,$AE316/$AD316*$R316)</f>
        <v/>
      </c>
    </row>
    <row r="317" ht="15.75" customHeight="1" s="201">
      <c r="A317" s="100" t="n">
        <v>6000304000</v>
      </c>
      <c r="B317" s="101" t="inlineStr">
        <is>
          <t>Poultry, other, fat</t>
        </is>
      </c>
      <c r="C317" s="101" t="inlineStr">
        <is>
          <t>weight of nutrient  fat only; includes weight of nutrient fat from meat and skin</t>
        </is>
      </c>
      <c r="D317" s="101" t="inlineStr">
        <is>
          <t>Includes dove, duck, emu, goose, guinea hen, ostrich, partridge, pheasant, pigeon, quail, squab, wild duck.</t>
        </is>
      </c>
      <c r="E317" s="101" t="n">
        <v>107</v>
      </c>
      <c r="F317" s="84">
        <f>N317*H317+T317</f>
        <v/>
      </c>
      <c r="G317" s="85">
        <f>R317*H317+U317</f>
        <v/>
      </c>
      <c r="H317" s="102" t="n">
        <v>1</v>
      </c>
      <c r="I317" s="103" t="inlineStr">
        <is>
          <t>None</t>
        </is>
      </c>
      <c r="J317" s="104" t="n">
        <v>1</v>
      </c>
      <c r="K317" s="132" t="n"/>
      <c r="L317" s="90">
        <f>IF(ISERROR(GETPIVOTDATA(IF($J317=1,"Count of ACTIVE     CED, FARM GATE (MJ/kg)","Count of CED, processor gate (MJ/kg)"),'[1]Pivot Table_CED'!$A$3,"SUB TYPE","Poultry, other")),"PROXY",IF(GETPIVOTDATA(IF($J317=1,"Count of ACTIVE     CED, FARM GATE (MJ/kg)","Count of CED, processor gate (MJ/kg)"),'[1]Pivot Table_CED'!$A$3,"SUB TYPE","Poultry, other")=0,"PROXY","DB value"))</f>
        <v/>
      </c>
      <c r="M317" s="91">
        <f>IF($L317="PROXY",DCOUNT('[1]literature entries'!$D:$AI,IF($J317=1,"ACTIVE     CED, FARM GATE (MJ/kg)","CED, processor gate (MJ/kg)"),INDIRECT($K317)),GETPIVOTDATA(IF($J317=1,"Count of ACTIVE     CED, FARM GATE (MJ/kg)","Count of CED, processor gate (MJ/kg)"),'[1]Pivot Table_CED'!$A$3,"SUB TYPE","Poultry, other"))</f>
        <v/>
      </c>
      <c r="N317" s="92">
        <f>IF($L317="PROXY",DAVERAGE('[1]literature entries'!$D:$AI,IF($J317=1,"ACTIVE     CED, FARM GATE (MJ/kg)","CED, processor gate (MJ/kg)"),INDIRECT($K317)),GETPIVOTDATA(IF($J317=1,"Average of ACTIVE     CED, FARM GATE (MJ/kg)","Average of CED, processor gate (MJ/kg)"),'[1]Pivot Table_CED'!$A$3,"SUB TYPE","Poultry, other"))</f>
        <v/>
      </c>
      <c r="O317" s="92">
        <f>IF($L317="PROXY",DSTDEV('[1]literature entries'!D:AI,IF($J317=1,"ACTIVE     CED, FARM GATE (MJ/kg)","CED, processor gate (MJ/kg)"),INDIRECT($K317)),GETPIVOTDATA(IF($J317=1,"StdDev of ACTIVE     CED, FARM GATE (MJ/kg)","StdDev of CED, processor gate (MJ/kg)"),'[1]Pivot Table_CED'!$A$3,"SUB TYPE","Poultry, other"))</f>
        <v/>
      </c>
      <c r="P317" s="90">
        <f>IF(ISERROR(GETPIVOTDATA(IF($J317=1,"Count of ACTIVE     GHGE, FARM GATE (kg CO2e/kg)","Count of GHGE, processor gate (kg CO2e/kg)"),'[1]Pivot Table_GHG'!$A$3,"SUB TYPE","Poultry, other")),"PROXY",IF(GETPIVOTDATA(IF($J317=1,"Count of ACTIVE     GHGE, FARM GATE (kg CO2e/kg)","Count of GHGE, processor gate (kg CO2e/kg)"),'[1]Pivot Table_GHG'!$A$3,"SUB TYPE","Poultry, other")=0,"PROXY","DB value"))</f>
        <v/>
      </c>
      <c r="Q317" s="93">
        <f>IF($P317="PROXY",DCOUNT('[1]literature entries'!$D:$AI,IF($J317=1,"ACTIVE     GHGE, FARM GATE (kg CO2e/kg)","GHGE, processor gate (kg CO2e/kg)"),INDIRECT($K317)),GETPIVOTDATA(IF($J317=1,"ACTIVE     GHGE, FARM GATE (kg CO2e/kg)","Count of GHGE, processor gate (kg CO2e/kg)"),'[1]Pivot Table_GHG'!$A$3,"SUB TYPE","Poultry, other"))</f>
        <v/>
      </c>
      <c r="R317" s="94">
        <f>IF($P317="PROXY",DAVERAGE('[1]literature entries'!$D:$AI,IF($J317=1,"ACTIVE     GHGE, FARM GATE (kg CO2e/kg)","GHGE, processor gate (kg CO2e/kg)"),INDIRECT($K317)),GETPIVOTDATA(IF($J317=1,"Average of ACTIVE     GHGE, FARM GATE (kg CO2e/kg)","Average of GHGE, processor gate (kg CO2e/kg)"),'[1]Pivot Table_GHG'!$A$3,"SUB TYPE","Poultry, other"))</f>
        <v/>
      </c>
      <c r="S317" s="94">
        <f>IF($P317="PROXY",DSTDEV('[1]literature entries'!$D:$AI,IF($J317=1,"ACTIVE     GHGE, FARM GATE (kg CO2e/kg)","GHGE, processor gate (kg CO2e/kg)"),INDIRECT($K317)),GETPIVOTDATA(IF($J317=1,"StdDev of ACTIVE     GHGE, FARM GATE (kg CO2e/kg)","StdDev of GHGE, processor gate (kg CO2e/kg)"),'[1]Pivot Table_GHG'!$A$3,"SUB TYPE","Poultry, other"))</f>
        <v/>
      </c>
      <c r="T317" s="105" t="n"/>
      <c r="U317" s="106" t="n"/>
      <c r="V317" s="97" t="n"/>
      <c r="W317" s="98" t="inlineStr">
        <is>
          <t>chicken</t>
        </is>
      </c>
      <c r="X317" s="98">
        <f>IF($W317="DIRECT",M317,DCOUNT('[1]literature entries'!$D:$AI,IF($J317=1,"ACTIVE     CED, FARM GATE (MJ/kg)","CED, processor gate (MJ/kg)"),INDIRECT($W317)))</f>
        <v/>
      </c>
      <c r="Y317" s="98">
        <f>IF($W317="DIRECT","",DAVERAGE('[1]literature entries'!$D:$AI,IF($J317=1,"ACTIVE     CED, FARM GATE (MJ/kg)","CED, processor gate (MJ/kg)"),INDIRECT($W317)))</f>
        <v/>
      </c>
      <c r="Z317" s="98">
        <f>IF($W317="DIRECT",$O317,DSTDEV('[1]literature entries'!$D:$AI,IF($J317=1,"ACTIVE     CED, FARM GATE (MJ/kg)","CED, processor gate (MJ/kg)"),INDIRECT($W317)))</f>
        <v/>
      </c>
      <c r="AA317" s="98">
        <f>IF($W317="DIRECT",$O317,$Z317/$Y317*$N317)</f>
        <v/>
      </c>
      <c r="AB317" s="99" t="inlineStr">
        <is>
          <t>chicken</t>
        </is>
      </c>
      <c r="AC317" s="99">
        <f>IF($AB317="DIRECT",Q317,DCOUNT('[1]literature entries'!$D:$AI,IF($J317=1,"ACTIVE     GHGE, FARM GATE (kg CO2e/kg)","GHGE, processor gate (kg CO2e/kg)"),INDIRECT($AB317)))</f>
        <v/>
      </c>
      <c r="AD317" s="99">
        <f>IF($AB317="DIRECT","",DAVERAGE('[1]literature entries'!$D:$AI,IF($J317=1,"ACTIVE     GHGE, FARM GATE (kg CO2e/kg)","GHGE, processor gate (kg CO2e/kg)"),INDIRECT($AB317)))</f>
        <v/>
      </c>
      <c r="AE317" s="99">
        <f>IF($AB317="DIRECT",$S317,DSTDEV('[1]literature entries'!$D:$AI,IF($J317=1,"ACTIVE     GHGE, FARM GATE (kg CO2e/kg)","GHGE, processor gate (kg CO2e/kg)"),INDIRECT($AB317)))</f>
        <v/>
      </c>
      <c r="AF317" s="99">
        <f>IF($AB317="DIRECT",$S317,$AE317/$AD317*$R317)</f>
        <v/>
      </c>
    </row>
    <row r="318" ht="15.75" customHeight="1" s="201">
      <c r="A318" s="100" t="n">
        <v>6000305000</v>
      </c>
      <c r="B318" s="101" t="inlineStr">
        <is>
          <t>Poultry, other, skin</t>
        </is>
      </c>
      <c r="C318" s="101" t="inlineStr">
        <is>
          <t>weight of nutrient  fat only; includes weight of nutrient fat from meat and skin</t>
        </is>
      </c>
      <c r="D318" s="101" t="inlineStr">
        <is>
          <t>Includes dove, duck, emu, goose, guinea hen, ostrich, partridge, pheasant, pigeon, quail, squab, wild duck.</t>
        </is>
      </c>
      <c r="E318" s="101" t="n">
        <v>16</v>
      </c>
      <c r="F318" s="84">
        <f>N318*H318+T318</f>
        <v/>
      </c>
      <c r="G318" s="85">
        <f>R318*H318+U318</f>
        <v/>
      </c>
      <c r="H318" s="102" t="n">
        <v>1</v>
      </c>
      <c r="I318" s="103" t="inlineStr">
        <is>
          <t>None</t>
        </is>
      </c>
      <c r="J318" s="104" t="n">
        <v>1</v>
      </c>
      <c r="K318" s="132" t="n"/>
      <c r="L318" s="90">
        <f>IF(ISERROR(GETPIVOTDATA(IF($J318=1,"Count of ACTIVE     CED, FARM GATE (MJ/kg)","Count of CED, processor gate (MJ/kg)"),'[1]Pivot Table_CED'!$A$3,"SUB TYPE","Poultry, other")),"PROXY",IF(GETPIVOTDATA(IF($J318=1,"Count of ACTIVE     CED, FARM GATE (MJ/kg)","Count of CED, processor gate (MJ/kg)"),'[1]Pivot Table_CED'!$A$3,"SUB TYPE","Poultry, other")=0,"PROXY","DB value"))</f>
        <v/>
      </c>
      <c r="M318" s="91">
        <f>IF($L318="PROXY",DCOUNT('[1]literature entries'!$D:$AI,IF($J318=1,"ACTIVE     CED, FARM GATE (MJ/kg)","CED, processor gate (MJ/kg)"),INDIRECT($K318)),GETPIVOTDATA(IF($J318=1,"Count of ACTIVE     CED, FARM GATE (MJ/kg)","Count of CED, processor gate (MJ/kg)"),'[1]Pivot Table_CED'!$A$3,"SUB TYPE","Poultry, other"))</f>
        <v/>
      </c>
      <c r="N318" s="92">
        <f>IF($L318="PROXY",DAVERAGE('[1]literature entries'!$D:$AI,IF($J318=1,"ACTIVE     CED, FARM GATE (MJ/kg)","CED, processor gate (MJ/kg)"),INDIRECT($K318)),GETPIVOTDATA(IF($J318=1,"Average of ACTIVE     CED, FARM GATE (MJ/kg)","Average of CED, processor gate (MJ/kg)"),'[1]Pivot Table_CED'!$A$3,"SUB TYPE","Poultry, other"))</f>
        <v/>
      </c>
      <c r="O318" s="92">
        <f>IF($L318="PROXY",DSTDEV('[1]literature entries'!D:AI,IF($J318=1,"ACTIVE     CED, FARM GATE (MJ/kg)","CED, processor gate (MJ/kg)"),INDIRECT($K318)),GETPIVOTDATA(IF($J318=1,"StdDev of ACTIVE     CED, FARM GATE (MJ/kg)","StdDev of CED, processor gate (MJ/kg)"),'[1]Pivot Table_CED'!$A$3,"SUB TYPE","Poultry, other"))</f>
        <v/>
      </c>
      <c r="P318" s="90">
        <f>IF(ISERROR(GETPIVOTDATA(IF($J318=1,"Count of ACTIVE     GHGE, FARM GATE (kg CO2e/kg)","Count of GHGE, processor gate (kg CO2e/kg)"),'[1]Pivot Table_GHG'!$A$3,"SUB TYPE","Poultry, other")),"PROXY",IF(GETPIVOTDATA(IF($J318=1,"Count of ACTIVE     GHGE, FARM GATE (kg CO2e/kg)","Count of GHGE, processor gate (kg CO2e/kg)"),'[1]Pivot Table_GHG'!$A$3,"SUB TYPE","Poultry, other")=0,"PROXY","DB value"))</f>
        <v/>
      </c>
      <c r="Q318" s="93">
        <f>IF($P318="PROXY",DCOUNT('[1]literature entries'!$D:$AI,IF($J318=1,"ACTIVE     GHGE, FARM GATE (kg CO2e/kg)","GHGE, processor gate (kg CO2e/kg)"),INDIRECT($K318)),GETPIVOTDATA(IF($J318=1,"ACTIVE     GHGE, FARM GATE (kg CO2e/kg)","Count of GHGE, processor gate (kg CO2e/kg)"),'[1]Pivot Table_GHG'!$A$3,"SUB TYPE","Poultry, other"))</f>
        <v/>
      </c>
      <c r="R318" s="94">
        <f>IF($P318="PROXY",DAVERAGE('[1]literature entries'!$D:$AI,IF($J318=1,"ACTIVE     GHGE, FARM GATE (kg CO2e/kg)","GHGE, processor gate (kg CO2e/kg)"),INDIRECT($K318)),GETPIVOTDATA(IF($J318=1,"Average of ACTIVE     GHGE, FARM GATE (kg CO2e/kg)","Average of GHGE, processor gate (kg CO2e/kg)"),'[1]Pivot Table_GHG'!$A$3,"SUB TYPE","Poultry, other"))</f>
        <v/>
      </c>
      <c r="S318" s="94">
        <f>IF($P318="PROXY",DSTDEV('[1]literature entries'!$D:$AI,IF($J318=1,"ACTIVE     GHGE, FARM GATE (kg CO2e/kg)","GHGE, processor gate (kg CO2e/kg)"),INDIRECT($K318)),GETPIVOTDATA(IF($J318=1,"StdDev of ACTIVE     GHGE, FARM GATE (kg CO2e/kg)","StdDev of GHGE, processor gate (kg CO2e/kg)"),'[1]Pivot Table_GHG'!$A$3,"SUB TYPE","Poultry, other"))</f>
        <v/>
      </c>
      <c r="T318" s="105" t="n"/>
      <c r="U318" s="106" t="n"/>
      <c r="V318" s="97" t="n"/>
      <c r="W318" s="98" t="inlineStr">
        <is>
          <t>chicken</t>
        </is>
      </c>
      <c r="X318" s="98">
        <f>IF($W318="DIRECT",M318,DCOUNT('[1]literature entries'!$D:$AI,IF($J318=1,"ACTIVE     CED, FARM GATE (MJ/kg)","CED, processor gate (MJ/kg)"),INDIRECT($W318)))</f>
        <v/>
      </c>
      <c r="Y318" s="98">
        <f>IF($W318="DIRECT","",DAVERAGE('[1]literature entries'!$D:$AI,IF($J318=1,"ACTIVE     CED, FARM GATE (MJ/kg)","CED, processor gate (MJ/kg)"),INDIRECT($W318)))</f>
        <v/>
      </c>
      <c r="Z318" s="98">
        <f>IF($W318="DIRECT",$O318,DSTDEV('[1]literature entries'!$D:$AI,IF($J318=1,"ACTIVE     CED, FARM GATE (MJ/kg)","CED, processor gate (MJ/kg)"),INDIRECT($W318)))</f>
        <v/>
      </c>
      <c r="AA318" s="98">
        <f>IF($W318="DIRECT",$O318,$Z318/$Y318*$N318)</f>
        <v/>
      </c>
      <c r="AB318" s="99" t="inlineStr">
        <is>
          <t>chicken</t>
        </is>
      </c>
      <c r="AC318" s="99">
        <f>IF($AB318="DIRECT",Q318,DCOUNT('[1]literature entries'!$D:$AI,IF($J318=1,"ACTIVE     GHGE, FARM GATE (kg CO2e/kg)","GHGE, processor gate (kg CO2e/kg)"),INDIRECT($AB318)))</f>
        <v/>
      </c>
      <c r="AD318" s="99">
        <f>IF($AB318="DIRECT","",DAVERAGE('[1]literature entries'!$D:$AI,IF($J318=1,"ACTIVE     GHGE, FARM GATE (kg CO2e/kg)","GHGE, processor gate (kg CO2e/kg)"),INDIRECT($AB318)))</f>
        <v/>
      </c>
      <c r="AE318" s="99">
        <f>IF($AB318="DIRECT",$S318,DSTDEV('[1]literature entries'!$D:$AI,IF($J318=1,"ACTIVE     GHGE, FARM GATE (kg CO2e/kg)","GHGE, processor gate (kg CO2e/kg)"),INDIRECT($AB318)))</f>
        <v/>
      </c>
      <c r="AF318" s="99">
        <f>IF($AB318="DIRECT",$S318,$AE318/$AD318*$R318)</f>
        <v/>
      </c>
    </row>
    <row r="319" ht="15.75" customHeight="1" s="201">
      <c r="A319" s="100" t="n">
        <v>7000145000</v>
      </c>
      <c r="B319" s="101" t="inlineStr">
        <is>
          <t>Egg, whole</t>
        </is>
      </c>
      <c r="C319" s="101" t="inlineStr">
        <is>
          <t>weight of white and yolk; excluding shell</t>
        </is>
      </c>
      <c r="D319" s="101" t="n"/>
      <c r="E319" s="101" t="n">
        <v>33670</v>
      </c>
      <c r="F319" s="84">
        <f>N319*H319+T319</f>
        <v/>
      </c>
      <c r="G319" s="85">
        <f>R319*H319+U319</f>
        <v/>
      </c>
      <c r="H319" s="102" t="n">
        <v>1.14</v>
      </c>
      <c r="I319" s="102" t="inlineStr">
        <is>
          <t>FICRCD</t>
        </is>
      </c>
      <c r="J319" s="104" t="n">
        <v>1</v>
      </c>
      <c r="K319" s="132" t="n"/>
      <c r="L319" s="90">
        <f>IF(ISERROR(GETPIVOTDATA(IF($J319=1,"Count of ACTIVE     CED, FARM GATE (MJ/kg)","Count of CED, processor gate (MJ/kg)"),'[1]Pivot Table_CED'!$A$3,"SUB TYPE","Eggs, chicken")),"PROXY",IF(GETPIVOTDATA(IF($J319=1,"Count of ACTIVE     CED, FARM GATE (MJ/kg)","Count of CED, processor gate (MJ/kg)"),'[1]Pivot Table_CED'!$A$3,"SUB TYPE","Eggs, chicken")=0,"PROXY","DB value"))</f>
        <v/>
      </c>
      <c r="M319" s="91">
        <f>IF($L319="PROXY",DCOUNT('[1]literature entries'!$D:$AI,IF($J319=1,"ACTIVE     CED, FARM GATE (MJ/kg)","CED, processor gate (MJ/kg)"),INDIRECT($K319)),GETPIVOTDATA(IF($J319=1,"Count of ACTIVE     CED, FARM GATE (MJ/kg)","Count of CED, processor gate (MJ/kg)"),'[1]Pivot Table_CED'!$A$3,"SUB TYPE","Eggs, chicken"))</f>
        <v/>
      </c>
      <c r="N319" s="92">
        <f>IF($L319="PROXY",DAVERAGE('[1]literature entries'!$D:$AI,IF($J319=1,"ACTIVE     CED, FARM GATE (MJ/kg)","CED, processor gate (MJ/kg)"),INDIRECT($K319)),GETPIVOTDATA(IF($J319=1,"Average of ACTIVE     CED, FARM GATE (MJ/kg)","Average of CED, processor gate (MJ/kg)"),'[1]Pivot Table_CED'!$A$3,"SUB TYPE","Eggs, chicken"))</f>
        <v/>
      </c>
      <c r="O319" s="92">
        <f>IF($L319="PROXY",DSTDEV('[1]literature entries'!D:AI,IF($J319=1,"ACTIVE     CED, FARM GATE (MJ/kg)","CED, processor gate (MJ/kg)"),INDIRECT($K319)),GETPIVOTDATA(IF($J319=1,"StdDev of ACTIVE     CED, FARM GATE (MJ/kg)","StdDev of CED, processor gate (MJ/kg)"),'[1]Pivot Table_CED'!$A$3,"SUB TYPE","Eggs, chicken"))</f>
        <v/>
      </c>
      <c r="P319" s="90">
        <f>IF(ISERROR(GETPIVOTDATA(IF($J319=1,"Count of ACTIVE     GHGE, FARM GATE (kg CO2e/kg)","Count of GHGE, processor gate (kg CO2e/kg)"),'[1]Pivot Table_GHG'!$A$3,"SUB TYPE","Eggs, chicken")),"PROXY",IF(GETPIVOTDATA(IF($J319=1,"Count of ACTIVE     GHGE, FARM GATE (kg CO2e/kg)","Count of GHGE, processor gate (kg CO2e/kg)"),'[1]Pivot Table_GHG'!$A$3,"SUB TYPE","Eggs, chicken")=0,"PROXY","DB value"))</f>
        <v/>
      </c>
      <c r="Q319" s="93">
        <f>IF($P319="PROXY",DCOUNT('[1]literature entries'!$D:$AI,IF($J319=1,"ACTIVE     GHGE, FARM GATE (kg CO2e/kg)","GHGE, processor gate (kg CO2e/kg)"),INDIRECT($K319)),GETPIVOTDATA(IF($J319=1,"ACTIVE     GHGE, FARM GATE (kg CO2e/kg)","Count of GHGE, processor gate (kg CO2e/kg)"),'[1]Pivot Table_GHG'!$A$3,"SUB TYPE","Eggs, chicken"))</f>
        <v/>
      </c>
      <c r="R319" s="94">
        <f>IF($P319="PROXY",DAVERAGE('[1]literature entries'!$D:$AI,IF($J319=1,"ACTIVE     GHGE, FARM GATE (kg CO2e/kg)","GHGE, processor gate (kg CO2e/kg)"),INDIRECT($K319)),GETPIVOTDATA(IF($J319=1,"Average of ACTIVE     GHGE, FARM GATE (kg CO2e/kg)","Average of GHGE, processor gate (kg CO2e/kg)"),'[1]Pivot Table_GHG'!$A$3,"SUB TYPE","Eggs, chicken"))</f>
        <v/>
      </c>
      <c r="S319" s="94">
        <f>IF($P319="PROXY",DSTDEV('[1]literature entries'!$D:$AI,IF($J319=1,"ACTIVE     GHGE, FARM GATE (kg CO2e/kg)","GHGE, processor gate (kg CO2e/kg)"),INDIRECT($K319)),GETPIVOTDATA(IF($J319=1,"StdDev of ACTIVE     GHGE, FARM GATE (kg CO2e/kg)","StdDev of GHGE, processor gate (kg CO2e/kg)"),'[1]Pivot Table_GHG'!$A$3,"SUB TYPE","Eggs, chicken"))</f>
        <v/>
      </c>
      <c r="T319" s="105" t="n"/>
      <c r="U319" s="106" t="n"/>
      <c r="V319" s="97" t="n"/>
      <c r="W319" s="98">
        <f>IF(L319="PROXY",IF(M319&gt;=5,K319,"need group"),IF(M319&gt;=5,"DIRECT","need group"))</f>
        <v/>
      </c>
      <c r="X319" s="98">
        <f>IF($W319="DIRECT",M319,DCOUNT('[1]literature entries'!$D:$AI,IF($J319=1,"ACTIVE     CED, FARM GATE (MJ/kg)","CED, processor gate (MJ/kg)"),INDIRECT($W319)))</f>
        <v/>
      </c>
      <c r="Y319" s="98">
        <f>IF($W319="DIRECT","",DAVERAGE('[1]literature entries'!$D:$AI,IF($J319=1,"ACTIVE     CED, FARM GATE (MJ/kg)","CED, processor gate (MJ/kg)"),INDIRECT($W319)))</f>
        <v/>
      </c>
      <c r="Z319" s="98">
        <f>IF($W319="DIRECT",$O319,DSTDEV('[1]literature entries'!$D:$AI,IF($J319=1,"ACTIVE     CED, FARM GATE (MJ/kg)","CED, processor gate (MJ/kg)"),INDIRECT($W319)))</f>
        <v/>
      </c>
      <c r="AA319" s="98">
        <f>IF($W319="DIRECT",$O319,$Z319/$Y319*$N319)</f>
        <v/>
      </c>
      <c r="AB319" s="99">
        <f>IF(P319="PROXY",IF(Q319&gt;=5,K319,"need group"),IF(Q319&gt;=5,"DIRECT","need group"))</f>
        <v/>
      </c>
      <c r="AC319" s="99">
        <f>IF($AB319="DIRECT",Q319,DCOUNT('[1]literature entries'!$D:$AI,IF($J319=1,"ACTIVE     GHGE, FARM GATE (kg CO2e/kg)","GHGE, processor gate (kg CO2e/kg)"),INDIRECT($AB319)))</f>
        <v/>
      </c>
      <c r="AD319" s="99">
        <f>IF($AB319="DIRECT","",DAVERAGE('[1]literature entries'!$D:$AI,IF($J319=1,"ACTIVE     GHGE, FARM GATE (kg CO2e/kg)","GHGE, processor gate (kg CO2e/kg)"),INDIRECT($AB319)))</f>
        <v/>
      </c>
      <c r="AE319" s="99">
        <f>IF($AB319="DIRECT",$S319,DSTDEV('[1]literature entries'!$D:$AI,IF($J319=1,"ACTIVE     GHGE, FARM GATE (kg CO2e/kg)","GHGE, processor gate (kg CO2e/kg)"),INDIRECT($AB319)))</f>
        <v/>
      </c>
      <c r="AF319" s="99">
        <f>IF($AB319="DIRECT",$S319,$AE319/$AD319*$R319)</f>
        <v/>
      </c>
    </row>
    <row r="320" ht="15.75" customHeight="1" s="201">
      <c r="A320" s="100" t="n">
        <v>7000146000</v>
      </c>
      <c r="B320" s="101" t="inlineStr">
        <is>
          <t>Egg, white</t>
        </is>
      </c>
      <c r="C320" s="101" t="inlineStr">
        <is>
          <t>weight of egg white</t>
        </is>
      </c>
      <c r="D320" s="101" t="n"/>
      <c r="E320" s="101" t="n">
        <v>19255</v>
      </c>
      <c r="F320" s="84">
        <f>N320*H320+T320</f>
        <v/>
      </c>
      <c r="G320" s="85">
        <f>R320*H320+U320</f>
        <v/>
      </c>
      <c r="H320" s="102" t="n">
        <v>1.14</v>
      </c>
      <c r="I320" s="103" t="inlineStr">
        <is>
          <t>FICRCD</t>
        </is>
      </c>
      <c r="J320" s="104" t="n">
        <v>1</v>
      </c>
      <c r="K320" s="132" t="n"/>
      <c r="L320" s="90">
        <f>IF(ISERROR(GETPIVOTDATA(IF($J320=1,"Count of ACTIVE     CED, FARM GATE (MJ/kg)","Count of CED, processor gate (MJ/kg)"),'[1]Pivot Table_CED'!$A$3,"SUB TYPE","Eggs, chicken")),"PROXY",IF(GETPIVOTDATA(IF($J320=1,"Count of ACTIVE     CED, FARM GATE (MJ/kg)","Count of CED, processor gate (MJ/kg)"),'[1]Pivot Table_CED'!$A$3,"SUB TYPE","Eggs, chicken")=0,"PROXY","DB value"))</f>
        <v/>
      </c>
      <c r="M320" s="91">
        <f>IF($L320="PROXY",DCOUNT('[1]literature entries'!$D:$AI,IF($J320=1,"ACTIVE     CED, FARM GATE (MJ/kg)","CED, processor gate (MJ/kg)"),INDIRECT($K320)),GETPIVOTDATA(IF($J320=1,"Count of ACTIVE     CED, FARM GATE (MJ/kg)","Count of CED, processor gate (MJ/kg)"),'[1]Pivot Table_CED'!$A$3,"SUB TYPE","Eggs, chicken"))</f>
        <v/>
      </c>
      <c r="N320" s="92">
        <f>IF($L320="PROXY",DAVERAGE('[1]literature entries'!$D:$AI,IF($J320=1,"ACTIVE     CED, FARM GATE (MJ/kg)","CED, processor gate (MJ/kg)"),INDIRECT($K320)),GETPIVOTDATA(IF($J320=1,"Average of ACTIVE     CED, FARM GATE (MJ/kg)","Average of CED, processor gate (MJ/kg)"),'[1]Pivot Table_CED'!$A$3,"SUB TYPE","Eggs, chicken"))</f>
        <v/>
      </c>
      <c r="O320" s="92">
        <f>IF($L320="PROXY",DSTDEV('[1]literature entries'!D:AI,IF($J320=1,"ACTIVE     CED, FARM GATE (MJ/kg)","CED, processor gate (MJ/kg)"),INDIRECT($K320)),GETPIVOTDATA(IF($J320=1,"StdDev of ACTIVE     CED, FARM GATE (MJ/kg)","StdDev of CED, processor gate (MJ/kg)"),'[1]Pivot Table_CED'!$A$3,"SUB TYPE","Eggs, chicken"))</f>
        <v/>
      </c>
      <c r="P320" s="90">
        <f>IF(ISERROR(GETPIVOTDATA(IF($J320=1,"Count of ACTIVE     GHGE, FARM GATE (kg CO2e/kg)","Count of GHGE, processor gate (kg CO2e/kg)"),'[1]Pivot Table_GHG'!$A$3,"SUB TYPE","Eggs, chicken")),"PROXY",IF(GETPIVOTDATA(IF($J320=1,"Count of ACTIVE     GHGE, FARM GATE (kg CO2e/kg)","Count of GHGE, processor gate (kg CO2e/kg)"),'[1]Pivot Table_GHG'!$A$3,"SUB TYPE","Eggs, chicken")=0,"PROXY","DB value"))</f>
        <v/>
      </c>
      <c r="Q320" s="93">
        <f>IF($P320="PROXY",DCOUNT('[1]literature entries'!$D:$AI,IF($J320=1,"ACTIVE     GHGE, FARM GATE (kg CO2e/kg)","GHGE, processor gate (kg CO2e/kg)"),INDIRECT($K320)),GETPIVOTDATA(IF($J320=1,"ACTIVE     GHGE, FARM GATE (kg CO2e/kg)","Count of GHGE, processor gate (kg CO2e/kg)"),'[1]Pivot Table_GHG'!$A$3,"SUB TYPE","Eggs, chicken"))</f>
        <v/>
      </c>
      <c r="R320" s="94">
        <f>IF($P320="PROXY",DAVERAGE('[1]literature entries'!$D:$AI,IF($J320=1,"ACTIVE     GHGE, FARM GATE (kg CO2e/kg)","GHGE, processor gate (kg CO2e/kg)"),INDIRECT($K320)),GETPIVOTDATA(IF($J320=1,"Average of ACTIVE     GHGE, FARM GATE (kg CO2e/kg)","Average of GHGE, processor gate (kg CO2e/kg)"),'[1]Pivot Table_GHG'!$A$3,"SUB TYPE","Eggs, chicken"))</f>
        <v/>
      </c>
      <c r="S320" s="94">
        <f>IF($P320="PROXY",DSTDEV('[1]literature entries'!$D:$AI,IF($J320=1,"ACTIVE     GHGE, FARM GATE (kg CO2e/kg)","GHGE, processor gate (kg CO2e/kg)"),INDIRECT($K320)),GETPIVOTDATA(IF($J320=1,"StdDev of ACTIVE     GHGE, FARM GATE (kg CO2e/kg)","StdDev of GHGE, processor gate (kg CO2e/kg)"),'[1]Pivot Table_GHG'!$A$3,"SUB TYPE","Eggs, chicken"))</f>
        <v/>
      </c>
      <c r="T320" s="105" t="n"/>
      <c r="U320" s="106" t="n"/>
      <c r="V320" s="97" t="n"/>
      <c r="W320" s="98">
        <f>IF(L320="PROXY",IF(M320&gt;=5,K320,"need group"),IF(M320&gt;=5,"DIRECT","need group"))</f>
        <v/>
      </c>
      <c r="X320" s="98">
        <f>IF($W320="DIRECT",M320,DCOUNT('[1]literature entries'!$D:$AI,IF($J320=1,"ACTIVE     CED, FARM GATE (MJ/kg)","CED, processor gate (MJ/kg)"),INDIRECT($W320)))</f>
        <v/>
      </c>
      <c r="Y320" s="98">
        <f>IF($W320="DIRECT","",DAVERAGE('[1]literature entries'!$D:$AI,IF($J320=1,"ACTIVE     CED, FARM GATE (MJ/kg)","CED, processor gate (MJ/kg)"),INDIRECT($W320)))</f>
        <v/>
      </c>
      <c r="Z320" s="98">
        <f>IF($W320="DIRECT",$O320,DSTDEV('[1]literature entries'!$D:$AI,IF($J320=1,"ACTIVE     CED, FARM GATE (MJ/kg)","CED, processor gate (MJ/kg)"),INDIRECT($W320)))</f>
        <v/>
      </c>
      <c r="AA320" s="98">
        <f>IF($W320="DIRECT",$O320,$Z320/$Y320*$N320)</f>
        <v/>
      </c>
      <c r="AB320" s="99">
        <f>IF(P320="PROXY",IF(Q320&gt;=5,K320,"need group"),IF(Q320&gt;=5,"DIRECT","need group"))</f>
        <v/>
      </c>
      <c r="AC320" s="99">
        <f>IF($AB320="DIRECT",Q320,DCOUNT('[1]literature entries'!$D:$AI,IF($J320=1,"ACTIVE     GHGE, FARM GATE (kg CO2e/kg)","GHGE, processor gate (kg CO2e/kg)"),INDIRECT($AB320)))</f>
        <v/>
      </c>
      <c r="AD320" s="99">
        <f>IF($AB320="DIRECT","",DAVERAGE('[1]literature entries'!$D:$AI,IF($J320=1,"ACTIVE     GHGE, FARM GATE (kg CO2e/kg)","GHGE, processor gate (kg CO2e/kg)"),INDIRECT($AB320)))</f>
        <v/>
      </c>
      <c r="AE320" s="99">
        <f>IF($AB320="DIRECT",$S320,DSTDEV('[1]literature entries'!$D:$AI,IF($J320=1,"ACTIVE     GHGE, FARM GATE (kg CO2e/kg)","GHGE, processor gate (kg CO2e/kg)"),INDIRECT($AB320)))</f>
        <v/>
      </c>
      <c r="AF320" s="99">
        <f>IF($AB320="DIRECT",$S320,$AE320/$AD320*$R320)</f>
        <v/>
      </c>
    </row>
    <row r="321" ht="15.75" customHeight="1" s="201">
      <c r="A321" s="100" t="n">
        <v>7000147000</v>
      </c>
      <c r="B321" s="101" t="inlineStr">
        <is>
          <t>Egg, yolk</t>
        </is>
      </c>
      <c r="C321" s="101" t="inlineStr">
        <is>
          <t>weight of egg yolk</t>
        </is>
      </c>
      <c r="D321" s="101" t="n"/>
      <c r="E321" s="101" t="n">
        <v>17943</v>
      </c>
      <c r="F321" s="84">
        <f>N321*H321+T321</f>
        <v/>
      </c>
      <c r="G321" s="85">
        <f>R321*H321+U321</f>
        <v/>
      </c>
      <c r="H321" s="102" t="n">
        <v>1.14</v>
      </c>
      <c r="I321" s="103" t="inlineStr">
        <is>
          <t>FICRCD</t>
        </is>
      </c>
      <c r="J321" s="104" t="n">
        <v>1</v>
      </c>
      <c r="K321" s="132" t="n"/>
      <c r="L321" s="90">
        <f>IF(ISERROR(GETPIVOTDATA(IF($J321=1,"Count of ACTIVE     CED, FARM GATE (MJ/kg)","Count of CED, processor gate (MJ/kg)"),'[1]Pivot Table_CED'!$A$3,"SUB TYPE","Eggs, chicken")),"PROXY",IF(GETPIVOTDATA(IF($J321=1,"Count of ACTIVE     CED, FARM GATE (MJ/kg)","Count of CED, processor gate (MJ/kg)"),'[1]Pivot Table_CED'!$A$3,"SUB TYPE","Eggs, chicken")=0,"PROXY","DB value"))</f>
        <v/>
      </c>
      <c r="M321" s="91">
        <f>IF($L321="PROXY",DCOUNT('[1]literature entries'!$D:$AI,IF($J321=1,"ACTIVE     CED, FARM GATE (MJ/kg)","CED, processor gate (MJ/kg)"),INDIRECT($K321)),GETPIVOTDATA(IF($J321=1,"Count of ACTIVE     CED, FARM GATE (MJ/kg)","Count of CED, processor gate (MJ/kg)"),'[1]Pivot Table_CED'!$A$3,"SUB TYPE","Eggs, chicken"))</f>
        <v/>
      </c>
      <c r="N321" s="92">
        <f>IF($L321="PROXY",DAVERAGE('[1]literature entries'!$D:$AI,IF($J321=1,"ACTIVE     CED, FARM GATE (MJ/kg)","CED, processor gate (MJ/kg)"),INDIRECT($K321)),GETPIVOTDATA(IF($J321=1,"Average of ACTIVE     CED, FARM GATE (MJ/kg)","Average of CED, processor gate (MJ/kg)"),'[1]Pivot Table_CED'!$A$3,"SUB TYPE","Eggs, chicken"))</f>
        <v/>
      </c>
      <c r="O321" s="92">
        <f>IF($L321="PROXY",DSTDEV('[1]literature entries'!D:AI,IF($J321=1,"ACTIVE     CED, FARM GATE (MJ/kg)","CED, processor gate (MJ/kg)"),INDIRECT($K321)),GETPIVOTDATA(IF($J321=1,"StdDev of ACTIVE     CED, FARM GATE (MJ/kg)","StdDev of CED, processor gate (MJ/kg)"),'[1]Pivot Table_CED'!$A$3,"SUB TYPE","Eggs, chicken"))</f>
        <v/>
      </c>
      <c r="P321" s="90">
        <f>IF(ISERROR(GETPIVOTDATA(IF($J321=1,"Count of ACTIVE     GHGE, FARM GATE (kg CO2e/kg)","Count of GHGE, processor gate (kg CO2e/kg)"),'[1]Pivot Table_GHG'!$A$3,"SUB TYPE","Eggs, chicken")),"PROXY",IF(GETPIVOTDATA(IF($J321=1,"Count of ACTIVE     GHGE, FARM GATE (kg CO2e/kg)","Count of GHGE, processor gate (kg CO2e/kg)"),'[1]Pivot Table_GHG'!$A$3,"SUB TYPE","Eggs, chicken")=0,"PROXY","DB value"))</f>
        <v/>
      </c>
      <c r="Q321" s="93">
        <f>IF($P321="PROXY",DCOUNT('[1]literature entries'!$D:$AI,IF($J321=1,"ACTIVE     GHGE, FARM GATE (kg CO2e/kg)","GHGE, processor gate (kg CO2e/kg)"),INDIRECT($K321)),GETPIVOTDATA(IF($J321=1,"ACTIVE     GHGE, FARM GATE (kg CO2e/kg)","Count of GHGE, processor gate (kg CO2e/kg)"),'[1]Pivot Table_GHG'!$A$3,"SUB TYPE","Eggs, chicken"))</f>
        <v/>
      </c>
      <c r="R321" s="94">
        <f>IF($P321="PROXY",DAVERAGE('[1]literature entries'!$D:$AI,IF($J321=1,"ACTIVE     GHGE, FARM GATE (kg CO2e/kg)","GHGE, processor gate (kg CO2e/kg)"),INDIRECT($K321)),GETPIVOTDATA(IF($J321=1,"Average of ACTIVE     GHGE, FARM GATE (kg CO2e/kg)","Average of GHGE, processor gate (kg CO2e/kg)"),'[1]Pivot Table_GHG'!$A$3,"SUB TYPE","Eggs, chicken"))</f>
        <v/>
      </c>
      <c r="S321" s="94">
        <f>IF($P321="PROXY",DSTDEV('[1]literature entries'!$D:$AI,IF($J321=1,"ACTIVE     GHGE, FARM GATE (kg CO2e/kg)","GHGE, processor gate (kg CO2e/kg)"),INDIRECT($K321)),GETPIVOTDATA(IF($J321=1,"StdDev of ACTIVE     GHGE, FARM GATE (kg CO2e/kg)","StdDev of GHGE, processor gate (kg CO2e/kg)"),'[1]Pivot Table_GHG'!$A$3,"SUB TYPE","Eggs, chicken"))</f>
        <v/>
      </c>
      <c r="T321" s="105" t="n"/>
      <c r="U321" s="106" t="n"/>
      <c r="V321" s="97" t="n"/>
      <c r="W321" s="98">
        <f>IF(L321="PROXY",IF(M321&gt;=5,K321,"need group"),IF(M321&gt;=5,"DIRECT","need group"))</f>
        <v/>
      </c>
      <c r="X321" s="98">
        <f>IF($W321="DIRECT",M321,DCOUNT('[1]literature entries'!$D:$AI,IF($J321=1,"ACTIVE     CED, FARM GATE (MJ/kg)","CED, processor gate (MJ/kg)"),INDIRECT($W321)))</f>
        <v/>
      </c>
      <c r="Y321" s="98">
        <f>IF($W321="DIRECT","",DAVERAGE('[1]literature entries'!$D:$AI,IF($J321=1,"ACTIVE     CED, FARM GATE (MJ/kg)","CED, processor gate (MJ/kg)"),INDIRECT($W321)))</f>
        <v/>
      </c>
      <c r="Z321" s="98">
        <f>IF($W321="DIRECT",$O321,DSTDEV('[1]literature entries'!$D:$AI,IF($J321=1,"ACTIVE     CED, FARM GATE (MJ/kg)","CED, processor gate (MJ/kg)"),INDIRECT($W321)))</f>
        <v/>
      </c>
      <c r="AA321" s="98">
        <f>IF($W321="DIRECT",$O321,$Z321/$Y321*$N321)</f>
        <v/>
      </c>
      <c r="AB321" s="99">
        <f>IF(P321="PROXY",IF(Q321&gt;=5,K321,"need group"),IF(Q321&gt;=5,"DIRECT","need group"))</f>
        <v/>
      </c>
      <c r="AC321" s="99">
        <f>IF($AB321="DIRECT",Q321,DCOUNT('[1]literature entries'!$D:$AI,IF($J321=1,"ACTIVE     GHGE, FARM GATE (kg CO2e/kg)","GHGE, processor gate (kg CO2e/kg)"),INDIRECT($AB321)))</f>
        <v/>
      </c>
      <c r="AD321" s="99">
        <f>IF($AB321="DIRECT","",DAVERAGE('[1]literature entries'!$D:$AI,IF($J321=1,"ACTIVE     GHGE, FARM GATE (kg CO2e/kg)","GHGE, processor gate (kg CO2e/kg)"),INDIRECT($AB321)))</f>
        <v/>
      </c>
      <c r="AE321" s="99">
        <f>IF($AB321="DIRECT",$S321,DSTDEV('[1]literature entries'!$D:$AI,IF($J321=1,"ACTIVE     GHGE, FARM GATE (kg CO2e/kg)","GHGE, processor gate (kg CO2e/kg)"),INDIRECT($AB321)))</f>
        <v/>
      </c>
      <c r="AF321" s="99">
        <f>IF($AB321="DIRECT",$S321,$AE321/$AD321*$R321)</f>
        <v/>
      </c>
    </row>
    <row r="322" ht="15.75" customHeight="1" s="201">
      <c r="A322" s="100" t="n">
        <v>8000157000</v>
      </c>
      <c r="B322" s="101" t="inlineStr">
        <is>
          <t>Fish-freshwater finfish</t>
        </is>
      </c>
      <c r="C322" s="101" t="inlineStr">
        <is>
          <t>weight of edible portion; excluding head, tail, scales, fins, viscera, inedible bones and skin</t>
        </is>
      </c>
      <c r="D322" s="101" t="inlineStr">
        <is>
          <t>See Appendix A (”The Fish List”) for categorization of various fish species into appropriate FC, ie, for species that are specifically fresh water fish, salt water fish, crustacean-shellfish, and mollusc-shellfish.</t>
        </is>
      </c>
      <c r="E322" s="101" t="n">
        <v>1138</v>
      </c>
      <c r="F322" s="84">
        <f>N322*H322+T322</f>
        <v/>
      </c>
      <c r="G322" s="85">
        <f>R322*H322+U322</f>
        <v/>
      </c>
      <c r="H322" s="102" t="n">
        <v>1</v>
      </c>
      <c r="I322" s="103" t="inlineStr">
        <is>
          <t>None</t>
        </is>
      </c>
      <c r="J322" s="104" t="n">
        <v>1</v>
      </c>
      <c r="K322" s="89" t="n"/>
      <c r="L322" s="90">
        <f>IF(ISERROR(GETPIVOTDATA(IF($J322=1,"Count of ACTIVE     CED, FARM GATE (MJ/kg)","Count of CED, processor gate (MJ/kg)"),'[1]Pivot Table_CED'!$A$3,"SUB TYPE",$B322)),"PROXY",IF(GETPIVOTDATA(IF($J322=1,"Count of ACTIVE     CED, FARM GATE (MJ/kg)","Count of CED, processor gate (MJ/kg)"),'[1]Pivot Table_CED'!$A$3,"SUB TYPE",$B322)=0,"PROXY","DB value"))</f>
        <v/>
      </c>
      <c r="M322" s="91">
        <f>IF($L322="PROXY",DCOUNT('[1]literature entries'!$D:$AI,IF($J322=1,"ACTIVE     CED, FARM GATE (MJ/kg)","CED, processor gate (MJ/kg)"),INDIRECT($K322)),GETPIVOTDATA(IF($J322=1,"Count of ACTIVE     CED, FARM GATE (MJ/kg)","Count of CED, processor gate (MJ/kg)"),'[1]Pivot Table_CED'!$A$3,"SUB TYPE",$B322))</f>
        <v/>
      </c>
      <c r="N322" s="92">
        <f>IF($L322="PROXY",DAVERAGE('[1]literature entries'!$D:$AI,IF($J322=1,"ACTIVE     CED, FARM GATE (MJ/kg)","CED, processor gate (MJ/kg)"),INDIRECT($K322)),GETPIVOTDATA(IF($J322=1,"Average of ACTIVE     CED, FARM GATE (MJ/kg)","Average of CED, processor gate (MJ/kg)"),'[1]Pivot Table_CED'!$A$3,"SUB TYPE",$B322))</f>
        <v/>
      </c>
      <c r="O322" s="92">
        <f>IF($L322="PROXY",DSTDEV('[1]literature entries'!D:AI,IF($J322=1,"ACTIVE     CED, FARM GATE (MJ/kg)","CED, processor gate (MJ/kg)"),INDIRECT($K322)),GETPIVOTDATA(IF($J322=1,"StdDev of ACTIVE     CED, FARM GATE (MJ/kg)","StdDev of CED, processor gate (MJ/kg)"),'[1]Pivot Table_CED'!$A$3,"SUB TYPE",$B322))</f>
        <v/>
      </c>
      <c r="P322" s="90">
        <f>IF(ISERROR(GETPIVOTDATA(IF($J322=1,"Count of ACTIVE     GHGE, FARM GATE (kg CO2e/kg)","Count of GHGE, processor gate (kg CO2e/kg)"),'[1]Pivot Table_GHG'!$A$3,"SUB TYPE",$B322)),"PROXY",IF(GETPIVOTDATA(IF($J322=1,"Count of ACTIVE     GHGE, FARM GATE (kg CO2e/kg)","Count of GHGE, processor gate (kg CO2e/kg)"),'[1]Pivot Table_GHG'!$A$3,"SUB TYPE",$B322)=0,"PROXY","DB value"))</f>
        <v/>
      </c>
      <c r="Q322" s="93">
        <f>IF($P322="PROXY",DCOUNT('[1]literature entries'!$D:$AI,IF($J322=1,"ACTIVE     GHGE, FARM GATE (kg CO2e/kg)","GHGE, processor gate (kg CO2e/kg)"),INDIRECT($K322)),GETPIVOTDATA(IF($J322=1,"ACTIVE     GHGE, FARM GATE (kg CO2e/kg)","Count of GHGE, processor gate (kg CO2e/kg)"),'[1]Pivot Table_GHG'!$A$3,"SUB TYPE",$B322))</f>
        <v/>
      </c>
      <c r="R322" s="94">
        <f>IF($P322="PROXY",DAVERAGE('[1]literature entries'!$D:$AI,IF($J322=1,"ACTIVE     GHGE, FARM GATE (kg CO2e/kg)","GHGE, processor gate (kg CO2e/kg)"),INDIRECT($K322)),GETPIVOTDATA(IF($J322=1,"Average of ACTIVE     GHGE, FARM GATE (kg CO2e/kg)","Average of GHGE, processor gate (kg CO2e/kg)"),'[1]Pivot Table_GHG'!$A$3,"SUB TYPE",$B322))</f>
        <v/>
      </c>
      <c r="S322" s="94">
        <f>IF($P322="PROXY",DSTDEV('[1]literature entries'!$D:$AI,IF($J322=1,"ACTIVE     GHGE, FARM GATE (kg CO2e/kg)","GHGE, processor gate (kg CO2e/kg)"),INDIRECT($K322)),GETPIVOTDATA(IF($J322=1,"StdDev of ACTIVE     GHGE, FARM GATE (kg CO2e/kg)","StdDev of GHGE, processor gate (kg CO2e/kg)"),'[1]Pivot Table_GHG'!$A$3,"SUB TYPE",$B322))</f>
        <v/>
      </c>
      <c r="T322" s="105" t="n"/>
      <c r="U322" s="106" t="n"/>
      <c r="V322" s="97" t="n"/>
      <c r="W322" s="98" t="inlineStr">
        <is>
          <t>all_fish</t>
        </is>
      </c>
      <c r="X322" s="98">
        <f>IF($W322="DIRECT",M322,DCOUNT('[1]literature entries'!$D:$AI,IF($J322=1,"ACTIVE     CED, FARM GATE (MJ/kg)","CED, processor gate (MJ/kg)"),INDIRECT($W322)))</f>
        <v/>
      </c>
      <c r="Y322" s="98">
        <f>IF($W322="DIRECT","",DAVERAGE('[1]literature entries'!$D:$AI,IF($J322=1,"ACTIVE     CED, FARM GATE (MJ/kg)","CED, processor gate (MJ/kg)"),INDIRECT($W322)))</f>
        <v/>
      </c>
      <c r="Z322" s="98">
        <f>IF($W322="DIRECT",$O322,DSTDEV('[1]literature entries'!$D:$AI,IF($J322=1,"ACTIVE     CED, FARM GATE (MJ/kg)","CED, processor gate (MJ/kg)"),INDIRECT($W322)))</f>
        <v/>
      </c>
      <c r="AA322" s="98">
        <f>IF($W322="DIRECT",$O322,$Z322/$Y322*$N322)</f>
        <v/>
      </c>
      <c r="AB322" s="99" t="inlineStr">
        <is>
          <t>all_fish</t>
        </is>
      </c>
      <c r="AC322" s="99">
        <f>IF($AB322="DIRECT",Q322,DCOUNT('[1]literature entries'!$D:$AI,IF($J322=1,"ACTIVE     GHGE, FARM GATE (kg CO2e/kg)","GHGE, processor gate (kg CO2e/kg)"),INDIRECT($AB322)))</f>
        <v/>
      </c>
      <c r="AD322" s="99">
        <f>IF($AB322="DIRECT","",DAVERAGE('[1]literature entries'!$D:$AI,IF($J322=1,"ACTIVE     GHGE, FARM GATE (kg CO2e/kg)","GHGE, processor gate (kg CO2e/kg)"),INDIRECT($AB322)))</f>
        <v/>
      </c>
      <c r="AE322" s="99">
        <f>IF($AB322="DIRECT",$S322,DSTDEV('[1]literature entries'!$D:$AI,IF($J322=1,"ACTIVE     GHGE, FARM GATE (kg CO2e/kg)","GHGE, processor gate (kg CO2e/kg)"),INDIRECT($AB322)))</f>
        <v/>
      </c>
      <c r="AF322" s="99">
        <f>IF($AB322="DIRECT",$S322,$AE322/$AD322*$R322)</f>
        <v/>
      </c>
    </row>
    <row r="323" ht="15.75" customHeight="1" s="201">
      <c r="A323" s="100" t="n">
        <v>8000158000</v>
      </c>
      <c r="B323" s="101" t="inlineStr">
        <is>
          <t>Fish-freshwater finfish, farm raised</t>
        </is>
      </c>
      <c r="C323" s="101" t="inlineStr">
        <is>
          <t>weight of edible portion; excluding head, tail, scales, fins, viscera, inedible bones and skin</t>
        </is>
      </c>
      <c r="D323" s="101" t="inlineStr">
        <is>
          <t>See Appendix A.</t>
        </is>
      </c>
      <c r="E323" s="101" t="n">
        <v>338</v>
      </c>
      <c r="F323" s="84">
        <f>N323*H323+T323</f>
        <v/>
      </c>
      <c r="G323" s="85">
        <f>R323*H323+U323</f>
        <v/>
      </c>
      <c r="H323" s="102" t="n">
        <v>1</v>
      </c>
      <c r="I323" s="103" t="inlineStr">
        <is>
          <t>None</t>
        </is>
      </c>
      <c r="J323" s="104" t="n">
        <v>1</v>
      </c>
      <c r="K323" s="89" t="n"/>
      <c r="L323" s="90">
        <f>IF(ISERROR(GETPIVOTDATA(IF($J323=1,"Count of ACTIVE     CED, FARM GATE (MJ/kg)","Count of CED, processor gate (MJ/kg)"),'[1]Pivot Table_CED'!$A$3,"SUB TYPE",$B323)),"PROXY",IF(GETPIVOTDATA(IF($J323=1,"Count of ACTIVE     CED, FARM GATE (MJ/kg)","Count of CED, processor gate (MJ/kg)"),'[1]Pivot Table_CED'!$A$3,"SUB TYPE",$B323)=0,"PROXY","DB value"))</f>
        <v/>
      </c>
      <c r="M323" s="91">
        <f>IF($L323="PROXY",DCOUNT('[1]literature entries'!$D:$AI,IF($J323=1,"ACTIVE     CED, FARM GATE (MJ/kg)","CED, processor gate (MJ/kg)"),INDIRECT($K323)),GETPIVOTDATA(IF($J323=1,"Count of ACTIVE     CED, FARM GATE (MJ/kg)","Count of CED, processor gate (MJ/kg)"),'[1]Pivot Table_CED'!$A$3,"SUB TYPE",$B323))</f>
        <v/>
      </c>
      <c r="N323" s="92">
        <f>IF($L323="PROXY",DAVERAGE('[1]literature entries'!$D:$AI,IF($J323=1,"ACTIVE     CED, FARM GATE (MJ/kg)","CED, processor gate (MJ/kg)"),INDIRECT($K323)),GETPIVOTDATA(IF($J323=1,"Average of ACTIVE     CED, FARM GATE (MJ/kg)","Average of CED, processor gate (MJ/kg)"),'[1]Pivot Table_CED'!$A$3,"SUB TYPE",$B323))</f>
        <v/>
      </c>
      <c r="O323" s="92">
        <f>IF($L323="PROXY",DSTDEV('[1]literature entries'!D:AI,IF($J323=1,"ACTIVE     CED, FARM GATE (MJ/kg)","CED, processor gate (MJ/kg)"),INDIRECT($K323)),GETPIVOTDATA(IF($J323=1,"StdDev of ACTIVE     CED, FARM GATE (MJ/kg)","StdDev of CED, processor gate (MJ/kg)"),'[1]Pivot Table_CED'!$A$3,"SUB TYPE",$B323))</f>
        <v/>
      </c>
      <c r="P323" s="90">
        <f>IF(ISERROR(GETPIVOTDATA(IF($J323=1,"Count of ACTIVE     GHGE, FARM GATE (kg CO2e/kg)","Count of GHGE, processor gate (kg CO2e/kg)"),'[1]Pivot Table_GHG'!$A$3,"SUB TYPE",$B323)),"PROXY",IF(GETPIVOTDATA(IF($J323=1,"Count of ACTIVE     GHGE, FARM GATE (kg CO2e/kg)","Count of GHGE, processor gate (kg CO2e/kg)"),'[1]Pivot Table_GHG'!$A$3,"SUB TYPE",$B323)=0,"PROXY","DB value"))</f>
        <v/>
      </c>
      <c r="Q323" s="93">
        <f>IF($P323="PROXY",DCOUNT('[1]literature entries'!$D:$AI,IF($J323=1,"ACTIVE     GHGE, FARM GATE (kg CO2e/kg)","GHGE, processor gate (kg CO2e/kg)"),INDIRECT($K323)),GETPIVOTDATA(IF($J323=1,"ACTIVE     GHGE, FARM GATE (kg CO2e/kg)","Count of GHGE, processor gate (kg CO2e/kg)"),'[1]Pivot Table_GHG'!$A$3,"SUB TYPE",$B323))</f>
        <v/>
      </c>
      <c r="R323" s="94">
        <f>IF($P323="PROXY",DAVERAGE('[1]literature entries'!$D:$AI,IF($J323=1,"ACTIVE     GHGE, FARM GATE (kg CO2e/kg)","GHGE, processor gate (kg CO2e/kg)"),INDIRECT($K323)),GETPIVOTDATA(IF($J323=1,"Average of ACTIVE     GHGE, FARM GATE (kg CO2e/kg)","Average of GHGE, processor gate (kg CO2e/kg)"),'[1]Pivot Table_GHG'!$A$3,"SUB TYPE",$B323))</f>
        <v/>
      </c>
      <c r="S323" s="94">
        <f>IF($P323="PROXY",DSTDEV('[1]literature entries'!$D:$AI,IF($J323=1,"ACTIVE     GHGE, FARM GATE (kg CO2e/kg)","GHGE, processor gate (kg CO2e/kg)"),INDIRECT($K323)),GETPIVOTDATA(IF($J323=1,"StdDev of ACTIVE     GHGE, FARM GATE (kg CO2e/kg)","StdDev of GHGE, processor gate (kg CO2e/kg)"),'[1]Pivot Table_GHG'!$A$3,"SUB TYPE",$B323))</f>
        <v/>
      </c>
      <c r="T323" s="105" t="n"/>
      <c r="U323" s="106" t="n"/>
      <c r="V323" s="97" t="n"/>
      <c r="W323" s="98">
        <f>IF(L323="PROXY",IF(M323&gt;=5,K323,"need group"),IF(M323&gt;=5,"DIRECT","need group"))</f>
        <v/>
      </c>
      <c r="X323" s="98">
        <f>IF($W323="DIRECT",M323,DCOUNT('[1]literature entries'!$D:$AI,IF($J323=1,"ACTIVE     CED, FARM GATE (MJ/kg)","CED, processor gate (MJ/kg)"),INDIRECT($W323)))</f>
        <v/>
      </c>
      <c r="Y323" s="98">
        <f>IF($W323="DIRECT","",DAVERAGE('[1]literature entries'!$D:$AI,IF($J323=1,"ACTIVE     CED, FARM GATE (MJ/kg)","CED, processor gate (MJ/kg)"),INDIRECT($W323)))</f>
        <v/>
      </c>
      <c r="Z323" s="98">
        <f>IF($W323="DIRECT",$O323,DSTDEV('[1]literature entries'!$D:$AI,IF($J323=1,"ACTIVE     CED, FARM GATE (MJ/kg)","CED, processor gate (MJ/kg)"),INDIRECT($W323)))</f>
        <v/>
      </c>
      <c r="AA323" s="98">
        <f>IF($W323="DIRECT",$O323,$Z323/$Y323*$N323)</f>
        <v/>
      </c>
      <c r="AB323" s="99">
        <f>IF(P323="PROXY",IF(Q323&gt;=5,K323,"need group"),IF(Q323&gt;=5,"DIRECT","need group"))</f>
        <v/>
      </c>
      <c r="AC323" s="99">
        <f>IF($AB323="DIRECT",Q323,DCOUNT('[1]literature entries'!$D:$AI,IF($J323=1,"ACTIVE     GHGE, FARM GATE (kg CO2e/kg)","GHGE, processor gate (kg CO2e/kg)"),INDIRECT($AB323)))</f>
        <v/>
      </c>
      <c r="AD323" s="99">
        <f>IF($AB323="DIRECT","",DAVERAGE('[1]literature entries'!$D:$AI,IF($J323=1,"ACTIVE     GHGE, FARM GATE (kg CO2e/kg)","GHGE, processor gate (kg CO2e/kg)"),INDIRECT($AB323)))</f>
        <v/>
      </c>
      <c r="AE323" s="99">
        <f>IF($AB323="DIRECT",$S323,DSTDEV('[1]literature entries'!$D:$AI,IF($J323=1,"ACTIVE     GHGE, FARM GATE (kg CO2e/kg)","GHGE, processor gate (kg CO2e/kg)"),INDIRECT($AB323)))</f>
        <v/>
      </c>
      <c r="AF323" s="99">
        <f>IF($AB323="DIRECT",$S323,$AE323/$AD323*$R323)</f>
        <v/>
      </c>
    </row>
    <row r="324" ht="15.75" customHeight="1" s="201">
      <c r="A324" s="100" t="n">
        <v>8000159000</v>
      </c>
      <c r="B324" s="101" t="inlineStr">
        <is>
          <t>Fish-saltwater finfish, tuna</t>
        </is>
      </c>
      <c r="C324" s="101" t="inlineStr">
        <is>
          <t>weight of edible portion; excluding head, tail, scales, fins, viscera, inedible bones and skin</t>
        </is>
      </c>
      <c r="D324" s="101" t="inlineStr">
        <is>
          <t>See Appendix A.</t>
        </is>
      </c>
      <c r="E324" s="101" t="n">
        <v>1416</v>
      </c>
      <c r="F324" s="84">
        <f>N324*H324+T324</f>
        <v/>
      </c>
      <c r="G324" s="85">
        <f>R324*H324+U324</f>
        <v/>
      </c>
      <c r="H324" s="102" t="n">
        <v>1</v>
      </c>
      <c r="I324" s="103" t="inlineStr">
        <is>
          <t>None</t>
        </is>
      </c>
      <c r="J324" s="104" t="n">
        <v>1</v>
      </c>
      <c r="K324" s="89" t="n"/>
      <c r="L324" s="90">
        <f>IF(ISERROR(GETPIVOTDATA(IF($J324=1,"Count of ACTIVE     CED, FARM GATE (MJ/kg)","Count of CED, processor gate (MJ/kg)"),'[1]Pivot Table_CED'!$A$3,"SUB TYPE",$B324)),"PROXY",IF(GETPIVOTDATA(IF($J324=1,"Count of ACTIVE     CED, FARM GATE (MJ/kg)","Count of CED, processor gate (MJ/kg)"),'[1]Pivot Table_CED'!$A$3,"SUB TYPE",$B324)=0,"PROXY","DB value"))</f>
        <v/>
      </c>
      <c r="M324" s="91">
        <f>IF($L324="PROXY",DCOUNT('[1]literature entries'!$D:$AI,IF($J324=1,"ACTIVE     CED, FARM GATE (MJ/kg)","CED, processor gate (MJ/kg)"),INDIRECT($K324)),GETPIVOTDATA(IF($J324=1,"Count of ACTIVE     CED, FARM GATE (MJ/kg)","Count of CED, processor gate (MJ/kg)"),'[1]Pivot Table_CED'!$A$3,"SUB TYPE",$B324))</f>
        <v/>
      </c>
      <c r="N324" s="92">
        <f>IF($L324="PROXY",DAVERAGE('[1]literature entries'!$D:$AI,IF($J324=1,"ACTIVE     CED, FARM GATE (MJ/kg)","CED, processor gate (MJ/kg)"),INDIRECT($K324)),GETPIVOTDATA(IF($J324=1,"Average of ACTIVE     CED, FARM GATE (MJ/kg)","Average of CED, processor gate (MJ/kg)"),'[1]Pivot Table_CED'!$A$3,"SUB TYPE",$B324))</f>
        <v/>
      </c>
      <c r="O324" s="92">
        <f>IF($L324="PROXY",DSTDEV('[1]literature entries'!D:AI,IF($J324=1,"ACTIVE     CED, FARM GATE (MJ/kg)","CED, processor gate (MJ/kg)"),INDIRECT($K324)),GETPIVOTDATA(IF($J324=1,"StdDev of ACTIVE     CED, FARM GATE (MJ/kg)","StdDev of CED, processor gate (MJ/kg)"),'[1]Pivot Table_CED'!$A$3,"SUB TYPE",$B324))</f>
        <v/>
      </c>
      <c r="P324" s="90">
        <f>IF(ISERROR(GETPIVOTDATA(IF($J324=1,"Count of ACTIVE     GHGE, FARM GATE (kg CO2e/kg)","Count of GHGE, processor gate (kg CO2e/kg)"),'[1]Pivot Table_GHG'!$A$3,"SUB TYPE",$B324)),"PROXY",IF(GETPIVOTDATA(IF($J324=1,"Count of ACTIVE     GHGE, FARM GATE (kg CO2e/kg)","Count of GHGE, processor gate (kg CO2e/kg)"),'[1]Pivot Table_GHG'!$A$3,"SUB TYPE",$B324)=0,"PROXY","DB value"))</f>
        <v/>
      </c>
      <c r="Q324" s="93">
        <f>IF($P324="PROXY",DCOUNT('[1]literature entries'!$D:$AI,IF($J324=1,"ACTIVE     GHGE, FARM GATE (kg CO2e/kg)","GHGE, processor gate (kg CO2e/kg)"),INDIRECT($K324)),GETPIVOTDATA(IF($J324=1,"ACTIVE     GHGE, FARM GATE (kg CO2e/kg)","Count of GHGE, processor gate (kg CO2e/kg)"),'[1]Pivot Table_GHG'!$A$3,"SUB TYPE",$B324))</f>
        <v/>
      </c>
      <c r="R324" s="94">
        <f>IF($P324="PROXY",DAVERAGE('[1]literature entries'!$D:$AI,IF($J324=1,"ACTIVE     GHGE, FARM GATE (kg CO2e/kg)","GHGE, processor gate (kg CO2e/kg)"),INDIRECT($K324)),GETPIVOTDATA(IF($J324=1,"Average of ACTIVE     GHGE, FARM GATE (kg CO2e/kg)","Average of GHGE, processor gate (kg CO2e/kg)"),'[1]Pivot Table_GHG'!$A$3,"SUB TYPE",$B324))</f>
        <v/>
      </c>
      <c r="S324" s="94">
        <f>IF($P324="PROXY",DSTDEV('[1]literature entries'!$D:$AI,IF($J324=1,"ACTIVE     GHGE, FARM GATE (kg CO2e/kg)","GHGE, processor gate (kg CO2e/kg)"),INDIRECT($K324)),GETPIVOTDATA(IF($J324=1,"StdDev of ACTIVE     GHGE, FARM GATE (kg CO2e/kg)","StdDev of GHGE, processor gate (kg CO2e/kg)"),'[1]Pivot Table_GHG'!$A$3,"SUB TYPE",$B324))</f>
        <v/>
      </c>
      <c r="T324" s="105" t="n"/>
      <c r="U324" s="106" t="n"/>
      <c r="V324" s="97" t="n"/>
      <c r="W324" s="98">
        <f>IF(L324="PROXY",IF(M324&gt;=5,K324,"need group"),IF(M324&gt;=5,"DIRECT","need group"))</f>
        <v/>
      </c>
      <c r="X324" s="98">
        <f>IF($W324="DIRECT",M324,DCOUNT('[1]literature entries'!$D:$AI,IF($J324=1,"ACTIVE     CED, FARM GATE (MJ/kg)","CED, processor gate (MJ/kg)"),INDIRECT($W324)))</f>
        <v/>
      </c>
      <c r="Y324" s="98">
        <f>IF($W324="DIRECT","",DAVERAGE('[1]literature entries'!$D:$AI,IF($J324=1,"ACTIVE     CED, FARM GATE (MJ/kg)","CED, processor gate (MJ/kg)"),INDIRECT($W324)))</f>
        <v/>
      </c>
      <c r="Z324" s="98">
        <f>IF($W324="DIRECT",$O324,DSTDEV('[1]literature entries'!$D:$AI,IF($J324=1,"ACTIVE     CED, FARM GATE (MJ/kg)","CED, processor gate (MJ/kg)"),INDIRECT($W324)))</f>
        <v/>
      </c>
      <c r="AA324" s="98">
        <f>IF($W324="DIRECT",$O324,$Z324/$Y324*$N324)</f>
        <v/>
      </c>
      <c r="AB324" s="99">
        <f>IF(P324="PROXY",IF(Q324&gt;=5,K324,"need group"),IF(Q324&gt;=5,"DIRECT","need group"))</f>
        <v/>
      </c>
      <c r="AC324" s="99">
        <f>IF($AB324="DIRECT",Q324,DCOUNT('[1]literature entries'!$D:$AI,IF($J324=1,"ACTIVE     GHGE, FARM GATE (kg CO2e/kg)","GHGE, processor gate (kg CO2e/kg)"),INDIRECT($AB324)))</f>
        <v/>
      </c>
      <c r="AD324" s="99">
        <f>IF($AB324="DIRECT","",DAVERAGE('[1]literature entries'!$D:$AI,IF($J324=1,"ACTIVE     GHGE, FARM GATE (kg CO2e/kg)","GHGE, processor gate (kg CO2e/kg)"),INDIRECT($AB324)))</f>
        <v/>
      </c>
      <c r="AE324" s="99">
        <f>IF($AB324="DIRECT",$S324,DSTDEV('[1]literature entries'!$D:$AI,IF($J324=1,"ACTIVE     GHGE, FARM GATE (kg CO2e/kg)","GHGE, processor gate (kg CO2e/kg)"),INDIRECT($AB324)))</f>
        <v/>
      </c>
      <c r="AF324" s="99">
        <f>IF($AB324="DIRECT",$S324,$AE324/$AD324*$R324)</f>
        <v/>
      </c>
    </row>
    <row r="325" ht="15.75" customHeight="1" s="201">
      <c r="A325" s="100" t="n">
        <v>8000160000</v>
      </c>
      <c r="B325" s="101" t="inlineStr">
        <is>
          <t>Fish-saltwater finfish, other</t>
        </is>
      </c>
      <c r="C325" s="101" t="inlineStr">
        <is>
          <t>weight of edible portion; excluding head, tail, scales, fins, viscera, inedible bones and skin</t>
        </is>
      </c>
      <c r="D325" s="101" t="inlineStr">
        <is>
          <t>See Appendix A.</t>
        </is>
      </c>
      <c r="E325" s="101" t="n">
        <v>3266</v>
      </c>
      <c r="F325" s="84">
        <f>N325*H325+T325</f>
        <v/>
      </c>
      <c r="G325" s="85">
        <f>R325*H325+U325</f>
        <v/>
      </c>
      <c r="H325" s="102" t="n">
        <v>1</v>
      </c>
      <c r="I325" s="103" t="inlineStr">
        <is>
          <t>None</t>
        </is>
      </c>
      <c r="J325" s="104" t="n">
        <v>1</v>
      </c>
      <c r="K325" s="89" t="n"/>
      <c r="L325" s="90">
        <f>IF(ISERROR(GETPIVOTDATA(IF($J325=1,"Count of ACTIVE     CED, FARM GATE (MJ/kg)","Count of CED, processor gate (MJ/kg)"),'[1]Pivot Table_CED'!$A$3,"SUB TYPE",$B325)),"PROXY",IF(GETPIVOTDATA(IF($J325=1,"Count of ACTIVE     CED, FARM GATE (MJ/kg)","Count of CED, processor gate (MJ/kg)"),'[1]Pivot Table_CED'!$A$3,"SUB TYPE",$B325)=0,"PROXY","DB value"))</f>
        <v/>
      </c>
      <c r="M325" s="91">
        <f>IF($L325="PROXY",DCOUNT('[1]literature entries'!$D:$AI,IF($J325=1,"ACTIVE     CED, FARM GATE (MJ/kg)","CED, processor gate (MJ/kg)"),INDIRECT($K325)),GETPIVOTDATA(IF($J325=1,"Count of ACTIVE     CED, FARM GATE (MJ/kg)","Count of CED, processor gate (MJ/kg)"),'[1]Pivot Table_CED'!$A$3,"SUB TYPE",$B325))</f>
        <v/>
      </c>
      <c r="N325" s="92">
        <f>IF($L325="PROXY",DAVERAGE('[1]literature entries'!$D:$AI,IF($J325=1,"ACTIVE     CED, FARM GATE (MJ/kg)","CED, processor gate (MJ/kg)"),INDIRECT($K325)),GETPIVOTDATA(IF($J325=1,"Average of ACTIVE     CED, FARM GATE (MJ/kg)","Average of CED, processor gate (MJ/kg)"),'[1]Pivot Table_CED'!$A$3,"SUB TYPE",$B325))</f>
        <v/>
      </c>
      <c r="O325" s="92">
        <f>IF($L325="PROXY",DSTDEV('[1]literature entries'!D:AI,IF($J325=1,"ACTIVE     CED, FARM GATE (MJ/kg)","CED, processor gate (MJ/kg)"),INDIRECT($K325)),GETPIVOTDATA(IF($J325=1,"StdDev of ACTIVE     CED, FARM GATE (MJ/kg)","StdDev of CED, processor gate (MJ/kg)"),'[1]Pivot Table_CED'!$A$3,"SUB TYPE",$B325))</f>
        <v/>
      </c>
      <c r="P325" s="90">
        <f>IF(ISERROR(GETPIVOTDATA(IF($J325=1,"Count of ACTIVE     GHGE, FARM GATE (kg CO2e/kg)","Count of GHGE, processor gate (kg CO2e/kg)"),'[1]Pivot Table_GHG'!$A$3,"SUB TYPE",$B325)),"PROXY",IF(GETPIVOTDATA(IF($J325=1,"Count of ACTIVE     GHGE, FARM GATE (kg CO2e/kg)","Count of GHGE, processor gate (kg CO2e/kg)"),'[1]Pivot Table_GHG'!$A$3,"SUB TYPE",$B325)=0,"PROXY","DB value"))</f>
        <v/>
      </c>
      <c r="Q325" s="93">
        <f>IF($P325="PROXY",DCOUNT('[1]literature entries'!$D:$AI,IF($J325=1,"ACTIVE     GHGE, FARM GATE (kg CO2e/kg)","GHGE, processor gate (kg CO2e/kg)"),INDIRECT($K325)),GETPIVOTDATA(IF($J325=1,"ACTIVE     GHGE, FARM GATE (kg CO2e/kg)","Count of GHGE, processor gate (kg CO2e/kg)"),'[1]Pivot Table_GHG'!$A$3,"SUB TYPE",$B325))</f>
        <v/>
      </c>
      <c r="R325" s="94">
        <f>IF($P325="PROXY",DAVERAGE('[1]literature entries'!$D:$AI,IF($J325=1,"ACTIVE     GHGE, FARM GATE (kg CO2e/kg)","GHGE, processor gate (kg CO2e/kg)"),INDIRECT($K325)),GETPIVOTDATA(IF($J325=1,"Average of ACTIVE     GHGE, FARM GATE (kg CO2e/kg)","Average of GHGE, processor gate (kg CO2e/kg)"),'[1]Pivot Table_GHG'!$A$3,"SUB TYPE",$B325))</f>
        <v/>
      </c>
      <c r="S325" s="94">
        <f>IF($P325="PROXY",DSTDEV('[1]literature entries'!$D:$AI,IF($J325=1,"ACTIVE     GHGE, FARM GATE (kg CO2e/kg)","GHGE, processor gate (kg CO2e/kg)"),INDIRECT($K325)),GETPIVOTDATA(IF($J325=1,"StdDev of ACTIVE     GHGE, FARM GATE (kg CO2e/kg)","StdDev of GHGE, processor gate (kg CO2e/kg)"),'[1]Pivot Table_GHG'!$A$3,"SUB TYPE",$B325))</f>
        <v/>
      </c>
      <c r="T325" s="105" t="n"/>
      <c r="U325" s="106" t="n"/>
      <c r="V325" s="97" t="n"/>
      <c r="W325" s="98">
        <f>IF(L325="PROXY",IF(M325&gt;=5,K325,"need group"),IF(M325&gt;=5,"DIRECT","need group"))</f>
        <v/>
      </c>
      <c r="X325" s="98">
        <f>IF($W325="DIRECT",M325,DCOUNT('[1]literature entries'!$D:$AI,IF($J325=1,"ACTIVE     CED, FARM GATE (MJ/kg)","CED, processor gate (MJ/kg)"),INDIRECT($W325)))</f>
        <v/>
      </c>
      <c r="Y325" s="98">
        <f>IF($W325="DIRECT","",DAVERAGE('[1]literature entries'!$D:$AI,IF($J325=1,"ACTIVE     CED, FARM GATE (MJ/kg)","CED, processor gate (MJ/kg)"),INDIRECT($W325)))</f>
        <v/>
      </c>
      <c r="Z325" s="98">
        <f>IF($W325="DIRECT",$O325,DSTDEV('[1]literature entries'!$D:$AI,IF($J325=1,"ACTIVE     CED, FARM GATE (MJ/kg)","CED, processor gate (MJ/kg)"),INDIRECT($W325)))</f>
        <v/>
      </c>
      <c r="AA325" s="98">
        <f>IF($W325="DIRECT",$O325,$Z325/$Y325*$N325)</f>
        <v/>
      </c>
      <c r="AB325" s="99">
        <f>IF(P325="PROXY",IF(Q325&gt;=5,K325,"need group"),IF(Q325&gt;=5,"DIRECT","need group"))</f>
        <v/>
      </c>
      <c r="AC325" s="99">
        <f>IF($AB325="DIRECT",Q325,DCOUNT('[1]literature entries'!$D:$AI,IF($J325=1,"ACTIVE     GHGE, FARM GATE (kg CO2e/kg)","GHGE, processor gate (kg CO2e/kg)"),INDIRECT($AB325)))</f>
        <v/>
      </c>
      <c r="AD325" s="99">
        <f>IF($AB325="DIRECT","",DAVERAGE('[1]literature entries'!$D:$AI,IF($J325=1,"ACTIVE     GHGE, FARM GATE (kg CO2e/kg)","GHGE, processor gate (kg CO2e/kg)"),INDIRECT($AB325)))</f>
        <v/>
      </c>
      <c r="AE325" s="99">
        <f>IF($AB325="DIRECT",$S325,DSTDEV('[1]literature entries'!$D:$AI,IF($J325=1,"ACTIVE     GHGE, FARM GATE (kg CO2e/kg)","GHGE, processor gate (kg CO2e/kg)"),INDIRECT($AB325)))</f>
        <v/>
      </c>
      <c r="AF325" s="99">
        <f>IF($AB325="DIRECT",$S325,$AE325/$AD325*$R325)</f>
        <v/>
      </c>
    </row>
    <row r="326" ht="15.75" customHeight="1" s="201">
      <c r="A326" s="100" t="n">
        <v>8000161000</v>
      </c>
      <c r="B326" s="101" t="inlineStr">
        <is>
          <t>Fish-shellfish, crustacean</t>
        </is>
      </c>
      <c r="C326" s="101" t="inlineStr">
        <is>
          <t>weight of edible portion; excluding shell, gills, and viscera</t>
        </is>
      </c>
      <c r="D326" s="101" t="inlineStr">
        <is>
          <t>See Appendix A.</t>
        </is>
      </c>
      <c r="E326" s="101" t="n">
        <v>2372</v>
      </c>
      <c r="F326" s="84">
        <f>N326*H326+T326</f>
        <v/>
      </c>
      <c r="G326" s="85">
        <f>R326*H326+U326</f>
        <v/>
      </c>
      <c r="H326" s="102" t="n">
        <v>1</v>
      </c>
      <c r="I326" s="103" t="inlineStr">
        <is>
          <t>None</t>
        </is>
      </c>
      <c r="J326" s="104" t="n">
        <v>1</v>
      </c>
      <c r="K326" s="89" t="n"/>
      <c r="L326" s="90">
        <f>IF(ISERROR(GETPIVOTDATA(IF($J326=1,"Count of ACTIVE     CED, FARM GATE (MJ/kg)","Count of CED, processor gate (MJ/kg)"),'[1]Pivot Table_CED'!$A$3,"SUB TYPE",$B326)),"PROXY",IF(GETPIVOTDATA(IF($J326=1,"Count of ACTIVE     CED, FARM GATE (MJ/kg)","Count of CED, processor gate (MJ/kg)"),'[1]Pivot Table_CED'!$A$3,"SUB TYPE",$B326)=0,"PROXY","DB value"))</f>
        <v/>
      </c>
      <c r="M326" s="91">
        <f>IF($L326="PROXY",DCOUNT('[1]literature entries'!$D:$AI,IF($J326=1,"ACTIVE     CED, FARM GATE (MJ/kg)","CED, processor gate (MJ/kg)"),INDIRECT($K326)),GETPIVOTDATA(IF($J326=1,"Count of ACTIVE     CED, FARM GATE (MJ/kg)","Count of CED, processor gate (MJ/kg)"),'[1]Pivot Table_CED'!$A$3,"SUB TYPE",$B326))</f>
        <v/>
      </c>
      <c r="N326" s="92">
        <f>IF($L326="PROXY",DAVERAGE('[1]literature entries'!$D:$AI,IF($J326=1,"ACTIVE     CED, FARM GATE (MJ/kg)","CED, processor gate (MJ/kg)"),INDIRECT($K326)),GETPIVOTDATA(IF($J326=1,"Average of ACTIVE     CED, FARM GATE (MJ/kg)","Average of CED, processor gate (MJ/kg)"),'[1]Pivot Table_CED'!$A$3,"SUB TYPE",$B326))</f>
        <v/>
      </c>
      <c r="O326" s="92">
        <f>IF($L326="PROXY",DSTDEV('[1]literature entries'!D:AI,IF($J326=1,"ACTIVE     CED, FARM GATE (MJ/kg)","CED, processor gate (MJ/kg)"),INDIRECT($K326)),GETPIVOTDATA(IF($J326=1,"StdDev of ACTIVE     CED, FARM GATE (MJ/kg)","StdDev of CED, processor gate (MJ/kg)"),'[1]Pivot Table_CED'!$A$3,"SUB TYPE",$B326))</f>
        <v/>
      </c>
      <c r="P326" s="90">
        <f>IF(ISERROR(GETPIVOTDATA(IF($J326=1,"Count of ACTIVE     GHGE, FARM GATE (kg CO2e/kg)","Count of GHGE, processor gate (kg CO2e/kg)"),'[1]Pivot Table_GHG'!$A$3,"SUB TYPE",$B326)),"PROXY",IF(GETPIVOTDATA(IF($J326=1,"Count of ACTIVE     GHGE, FARM GATE (kg CO2e/kg)","Count of GHGE, processor gate (kg CO2e/kg)"),'[1]Pivot Table_GHG'!$A$3,"SUB TYPE",$B326)=0,"PROXY","DB value"))</f>
        <v/>
      </c>
      <c r="Q326" s="93">
        <f>IF($P326="PROXY",DCOUNT('[1]literature entries'!$D:$AI,IF($J326=1,"ACTIVE     GHGE, FARM GATE (kg CO2e/kg)","GHGE, processor gate (kg CO2e/kg)"),INDIRECT($K326)),GETPIVOTDATA(IF($J326=1,"ACTIVE     GHGE, FARM GATE (kg CO2e/kg)","Count of GHGE, processor gate (kg CO2e/kg)"),'[1]Pivot Table_GHG'!$A$3,"SUB TYPE",$B326))</f>
        <v/>
      </c>
      <c r="R326" s="94">
        <f>IF($P326="PROXY",DAVERAGE('[1]literature entries'!$D:$AI,IF($J326=1,"ACTIVE     GHGE, FARM GATE (kg CO2e/kg)","GHGE, processor gate (kg CO2e/kg)"),INDIRECT($K326)),GETPIVOTDATA(IF($J326=1,"Average of ACTIVE     GHGE, FARM GATE (kg CO2e/kg)","Average of GHGE, processor gate (kg CO2e/kg)"),'[1]Pivot Table_GHG'!$A$3,"SUB TYPE",$B326))</f>
        <v/>
      </c>
      <c r="S326" s="94">
        <f>IF($P326="PROXY",DSTDEV('[1]literature entries'!$D:$AI,IF($J326=1,"ACTIVE     GHGE, FARM GATE (kg CO2e/kg)","GHGE, processor gate (kg CO2e/kg)"),INDIRECT($K326)),GETPIVOTDATA(IF($J326=1,"StdDev of ACTIVE     GHGE, FARM GATE (kg CO2e/kg)","StdDev of GHGE, processor gate (kg CO2e/kg)"),'[1]Pivot Table_GHG'!$A$3,"SUB TYPE",$B326))</f>
        <v/>
      </c>
      <c r="T326" s="105" t="n"/>
      <c r="U326" s="106" t="n"/>
      <c r="V326" s="97" t="n"/>
      <c r="W326" s="98">
        <f>IF(L326="PROXY",IF(M326&gt;=5,K326,"need group"),IF(M326&gt;=5,"DIRECT","need group"))</f>
        <v/>
      </c>
      <c r="X326" s="98">
        <f>IF($W326="DIRECT",M326,DCOUNT('[1]literature entries'!$D:$AI,IF($J326=1,"ACTIVE     CED, FARM GATE (MJ/kg)","CED, processor gate (MJ/kg)"),INDIRECT($W326)))</f>
        <v/>
      </c>
      <c r="Y326" s="98">
        <f>IF($W326="DIRECT","",DAVERAGE('[1]literature entries'!$D:$AI,IF($J326=1,"ACTIVE     CED, FARM GATE (MJ/kg)","CED, processor gate (MJ/kg)"),INDIRECT($W326)))</f>
        <v/>
      </c>
      <c r="Z326" s="98">
        <f>IF($W326="DIRECT",$O326,DSTDEV('[1]literature entries'!$D:$AI,IF($J326=1,"ACTIVE     CED, FARM GATE (MJ/kg)","CED, processor gate (MJ/kg)"),INDIRECT($W326)))</f>
        <v/>
      </c>
      <c r="AA326" s="98">
        <f>IF($W326="DIRECT",$O326,$Z326/$Y326*$N326)</f>
        <v/>
      </c>
      <c r="AB326" s="99">
        <f>IF(P326="PROXY",IF(Q326&gt;=5,K326,"need group"),IF(Q326&gt;=5,"DIRECT","need group"))</f>
        <v/>
      </c>
      <c r="AC326" s="99">
        <f>IF($AB326="DIRECT",Q326,DCOUNT('[1]literature entries'!$D:$AI,IF($J326=1,"ACTIVE     GHGE, FARM GATE (kg CO2e/kg)","GHGE, processor gate (kg CO2e/kg)"),INDIRECT($AB326)))</f>
        <v/>
      </c>
      <c r="AD326" s="99">
        <f>IF($AB326="DIRECT","",DAVERAGE('[1]literature entries'!$D:$AI,IF($J326=1,"ACTIVE     GHGE, FARM GATE (kg CO2e/kg)","GHGE, processor gate (kg CO2e/kg)"),INDIRECT($AB326)))</f>
        <v/>
      </c>
      <c r="AE326" s="99">
        <f>IF($AB326="DIRECT",$S326,DSTDEV('[1]literature entries'!$D:$AI,IF($J326=1,"ACTIVE     GHGE, FARM GATE (kg CO2e/kg)","GHGE, processor gate (kg CO2e/kg)"),INDIRECT($AB326)))</f>
        <v/>
      </c>
      <c r="AF326" s="99">
        <f>IF($AB326="DIRECT",$S326,$AE326/$AD326*$R326)</f>
        <v/>
      </c>
    </row>
    <row r="327" ht="15.75" customHeight="1" s="201">
      <c r="A327" s="100" t="n">
        <v>8000162000</v>
      </c>
      <c r="B327" s="101" t="inlineStr">
        <is>
          <t>Fish-shellfish, mollusc</t>
        </is>
      </c>
      <c r="C327" s="101" t="inlineStr">
        <is>
          <t>weight of edible portion; excluding shells</t>
        </is>
      </c>
      <c r="D327" s="101" t="inlineStr">
        <is>
          <t>See Appendix A.</t>
        </is>
      </c>
      <c r="E327" s="101" t="n">
        <v>834</v>
      </c>
      <c r="F327" s="84">
        <f>N327*H327+T327</f>
        <v/>
      </c>
      <c r="G327" s="85">
        <f>R327*H327+U327</f>
        <v/>
      </c>
      <c r="H327" s="102" t="n">
        <v>1</v>
      </c>
      <c r="I327" s="103" t="inlineStr">
        <is>
          <t>None</t>
        </is>
      </c>
      <c r="J327" s="104" t="n">
        <v>1</v>
      </c>
      <c r="K327" s="89" t="inlineStr">
        <is>
          <t>all_fish</t>
        </is>
      </c>
      <c r="L327" s="90">
        <f>IF(ISERROR(GETPIVOTDATA(IF($J327=1,"Count of ACTIVE     CED, FARM GATE (MJ/kg)","Count of CED, processor gate (MJ/kg)"),'[1]Pivot Table_CED'!$A$3,"SUB TYPE",$B327)),"PROXY",IF(GETPIVOTDATA(IF($J327=1,"Count of ACTIVE     CED, FARM GATE (MJ/kg)","Count of CED, processor gate (MJ/kg)"),'[1]Pivot Table_CED'!$A$3,"SUB TYPE",$B327)=0,"PROXY","DB value"))</f>
        <v/>
      </c>
      <c r="M327" s="91">
        <f>IF($L327="PROXY",DCOUNT('[1]literature entries'!$D:$AI,IF($J327=1,"ACTIVE     CED, FARM GATE (MJ/kg)","CED, processor gate (MJ/kg)"),INDIRECT($K327)),GETPIVOTDATA(IF($J327=1,"Count of ACTIVE     CED, FARM GATE (MJ/kg)","Count of CED, processor gate (MJ/kg)"),'[1]Pivot Table_CED'!$A$3,"SUB TYPE",$B327))</f>
        <v/>
      </c>
      <c r="N327" s="92">
        <f>IF($L327="PROXY",DAVERAGE('[1]literature entries'!$D:$AI,IF($J327=1,"ACTIVE     CED, FARM GATE (MJ/kg)","CED, processor gate (MJ/kg)"),INDIRECT($K327)),GETPIVOTDATA(IF($J327=1,"Average of ACTIVE     CED, FARM GATE (MJ/kg)","Average of CED, processor gate (MJ/kg)"),'[1]Pivot Table_CED'!$A$3,"SUB TYPE",$B327))</f>
        <v/>
      </c>
      <c r="O327" s="92">
        <f>IF($L327="PROXY",DSTDEV('[1]literature entries'!D:AI,IF($J327=1,"ACTIVE     CED, FARM GATE (MJ/kg)","CED, processor gate (MJ/kg)"),INDIRECT($K327)),GETPIVOTDATA(IF($J327=1,"StdDev of ACTIVE     CED, FARM GATE (MJ/kg)","StdDev of CED, processor gate (MJ/kg)"),'[1]Pivot Table_CED'!$A$3,"SUB TYPE",$B327))</f>
        <v/>
      </c>
      <c r="P327" s="90">
        <f>IF(ISERROR(GETPIVOTDATA(IF($J327=1,"Count of ACTIVE     GHGE, FARM GATE (kg CO2e/kg)","Count of GHGE, processor gate (kg CO2e/kg)"),'[1]Pivot Table_GHG'!$A$3,"SUB TYPE",$B327)),"PROXY",IF(GETPIVOTDATA(IF($J327=1,"Count of ACTIVE     GHGE, FARM GATE (kg CO2e/kg)","Count of GHGE, processor gate (kg CO2e/kg)"),'[1]Pivot Table_GHG'!$A$3,"SUB TYPE",$B327)=0,"PROXY","DB value"))</f>
        <v/>
      </c>
      <c r="Q327" s="93">
        <f>IF($P327="PROXY",DCOUNT('[1]literature entries'!$D:$AI,IF($J327=1,"ACTIVE     GHGE, FARM GATE (kg CO2e/kg)","GHGE, processor gate (kg CO2e/kg)"),INDIRECT($K327)),GETPIVOTDATA(IF($J327=1,"ACTIVE     GHGE, FARM GATE (kg CO2e/kg)","Count of GHGE, processor gate (kg CO2e/kg)"),'[1]Pivot Table_GHG'!$A$3,"SUB TYPE",$B327))</f>
        <v/>
      </c>
      <c r="R327" s="94">
        <f>IF($P327="PROXY",DAVERAGE('[1]literature entries'!$D:$AI,IF($J327=1,"ACTIVE     GHGE, FARM GATE (kg CO2e/kg)","GHGE, processor gate (kg CO2e/kg)"),INDIRECT($K327)),GETPIVOTDATA(IF($J327=1,"Average of ACTIVE     GHGE, FARM GATE (kg CO2e/kg)","Average of GHGE, processor gate (kg CO2e/kg)"),'[1]Pivot Table_GHG'!$A$3,"SUB TYPE",$B327))</f>
        <v/>
      </c>
      <c r="S327" s="94">
        <f>IF($P327="PROXY",DSTDEV('[1]literature entries'!$D:$AI,IF($J327=1,"ACTIVE     GHGE, FARM GATE (kg CO2e/kg)","GHGE, processor gate (kg CO2e/kg)"),INDIRECT($K327)),GETPIVOTDATA(IF($J327=1,"StdDev of ACTIVE     GHGE, FARM GATE (kg CO2e/kg)","StdDev of GHGE, processor gate (kg CO2e/kg)"),'[1]Pivot Table_GHG'!$A$3,"SUB TYPE",$B327))</f>
        <v/>
      </c>
      <c r="T327" s="105" t="n"/>
      <c r="U327" s="106" t="n"/>
      <c r="V327" s="97" t="n"/>
      <c r="W327" s="98">
        <f>IF(L327="PROXY",IF(M327&gt;=5,K327,"need group"),IF(M327&gt;=5,"DIRECT","need group"))</f>
        <v/>
      </c>
      <c r="X327" s="98">
        <f>IF($W327="DIRECT",M327,DCOUNT('[1]literature entries'!$D:$AI,IF($J327=1,"ACTIVE     CED, FARM GATE (MJ/kg)","CED, processor gate (MJ/kg)"),INDIRECT($W327)))</f>
        <v/>
      </c>
      <c r="Y327" s="98">
        <f>IF($W327="DIRECT","",DAVERAGE('[1]literature entries'!$D:$AI,IF($J327=1,"ACTIVE     CED, FARM GATE (MJ/kg)","CED, processor gate (MJ/kg)"),INDIRECT($W327)))</f>
        <v/>
      </c>
      <c r="Z327" s="98">
        <f>IF($W327="DIRECT",$O327,DSTDEV('[1]literature entries'!$D:$AI,IF($J327=1,"ACTIVE     CED, FARM GATE (MJ/kg)","CED, processor gate (MJ/kg)"),INDIRECT($W327)))</f>
        <v/>
      </c>
      <c r="AA327" s="98">
        <f>IF($W327="DIRECT",$O327,$Z327/$Y327*$N327)</f>
        <v/>
      </c>
      <c r="AB327" s="99">
        <f>IF(P327="PROXY",IF(Q327&gt;=5,K327,"need group"),IF(Q327&gt;=5,"DIRECT","need group"))</f>
        <v/>
      </c>
      <c r="AC327" s="99">
        <f>IF($AB327="DIRECT",Q327,DCOUNT('[1]literature entries'!$D:$AI,IF($J327=1,"ACTIVE     GHGE, FARM GATE (kg CO2e/kg)","GHGE, processor gate (kg CO2e/kg)"),INDIRECT($AB327)))</f>
        <v/>
      </c>
      <c r="AD327" s="99">
        <f>IF($AB327="DIRECT","",DAVERAGE('[1]literature entries'!$D:$AI,IF($J327=1,"ACTIVE     GHGE, FARM GATE (kg CO2e/kg)","GHGE, processor gate (kg CO2e/kg)"),INDIRECT($AB327)))</f>
        <v/>
      </c>
      <c r="AE327" s="99">
        <f>IF($AB327="DIRECT",$S327,DSTDEV('[1]literature entries'!$D:$AI,IF($J327=1,"ACTIVE     GHGE, FARM GATE (kg CO2e/kg)","GHGE, processor gate (kg CO2e/kg)"),INDIRECT($AB327)))</f>
        <v/>
      </c>
      <c r="AF327" s="99">
        <f>IF($AB327="DIRECT",$S327,$AE327/$AD327*$R327)</f>
        <v/>
      </c>
    </row>
    <row r="328" ht="15.75" customHeight="1" s="201">
      <c r="A328" s="100" t="n">
        <v>8601100000</v>
      </c>
      <c r="B328" s="101" t="inlineStr">
        <is>
          <t>Water, direct, tap</t>
        </is>
      </c>
      <c r="C328" s="101" t="n">
        <v>0</v>
      </c>
      <c r="D328" s="101" t="n"/>
      <c r="E328" s="101" t="n">
        <v>23667</v>
      </c>
      <c r="F328" s="84">
        <f>N328*H328+T328</f>
        <v/>
      </c>
      <c r="G328" s="85">
        <f>R328*H328+U328</f>
        <v/>
      </c>
      <c r="H328" s="102" t="n">
        <v>1</v>
      </c>
      <c r="I328" s="103" t="inlineStr">
        <is>
          <t>None</t>
        </is>
      </c>
      <c r="J328" s="104" t="n">
        <v>2</v>
      </c>
      <c r="K328" s="89" t="n"/>
      <c r="L328" s="90">
        <f>IF(ISERROR(GETPIVOTDATA(IF($J328=1,"Count of ACTIVE     CED, FARM GATE (MJ/kg)","Count of CED, processor gate (MJ/kg)"),'[1]Pivot Table_CED'!$A$3,"SUB TYPE",$B328)),"PROXY",IF(GETPIVOTDATA(IF($J328=1,"Count of ACTIVE     CED, FARM GATE (MJ/kg)","Count of CED, processor gate (MJ/kg)"),'[1]Pivot Table_CED'!$A$3,"SUB TYPE",$B328)=0,"PROXY","DB value"))</f>
        <v/>
      </c>
      <c r="M328" s="91">
        <f>IF($L328="PROXY",DCOUNT('[1]literature entries'!$D:$AI,IF($J328=1,"ACTIVE     CED, FARM GATE (MJ/kg)","CED, processor gate (MJ/kg)"),INDIRECT($K328)),GETPIVOTDATA(IF($J328=1,"Count of ACTIVE     CED, FARM GATE (MJ/kg)","Count of CED, processor gate (MJ/kg)"),'[1]Pivot Table_CED'!$A$3,"SUB TYPE",$B328))</f>
        <v/>
      </c>
      <c r="N328" s="92">
        <f>IF($L328="PROXY",DAVERAGE('[1]literature entries'!$D:$AI,IF($J328=1,"ACTIVE     CED, FARM GATE (MJ/kg)","CED, processor gate (MJ/kg)"),INDIRECT($K328)),GETPIVOTDATA(IF($J328=1,"Average of ACTIVE     CED, FARM GATE (MJ/kg)","Average of CED, processor gate (MJ/kg)"),'[1]Pivot Table_CED'!$A$3,"SUB TYPE",$B328))</f>
        <v/>
      </c>
      <c r="O328" s="92">
        <f>IF($L328="PROXY",DSTDEV('[1]literature entries'!D:AI,IF($J328=1,"ACTIVE     CED, FARM GATE (MJ/kg)","CED, processor gate (MJ/kg)"),INDIRECT($K328)),GETPIVOTDATA(IF($J328=1,"StdDev of ACTIVE     CED, FARM GATE (MJ/kg)","StdDev of CED, processor gate (MJ/kg)"),'[1]Pivot Table_CED'!$A$3,"SUB TYPE",$B328))</f>
        <v/>
      </c>
      <c r="P328" s="90">
        <f>IF(ISERROR(GETPIVOTDATA(IF($J328=1,"Count of ACTIVE     GHGE, FARM GATE (kg CO2e/kg)","Count of GHGE, processor gate (kg CO2e/kg)"),'[1]Pivot Table_GHG'!$A$3,"SUB TYPE",$B328)),"PROXY",IF(GETPIVOTDATA(IF($J328=1,"Count of ACTIVE     GHGE, FARM GATE (kg CO2e/kg)","Count of GHGE, processor gate (kg CO2e/kg)"),'[1]Pivot Table_GHG'!$A$3,"SUB TYPE",$B328)=0,"PROXY","DB value"))</f>
        <v/>
      </c>
      <c r="Q328" s="93">
        <f>IF($P328="PROXY",DCOUNT('[1]literature entries'!$D:$AI,IF($J328=1,"ACTIVE     GHGE, FARM GATE (kg CO2e/kg)","GHGE, processor gate (kg CO2e/kg)"),INDIRECT($K328)),GETPIVOTDATA(IF($J328=1,"ACTIVE     GHGE, FARM GATE (kg CO2e/kg)","Count of GHGE, processor gate (kg CO2e/kg)"),'[1]Pivot Table_GHG'!$A$3,"SUB TYPE",$B328))</f>
        <v/>
      </c>
      <c r="R328" s="94">
        <f>IF($P328="PROXY",DAVERAGE('[1]literature entries'!$D:$AI,IF($J328=1,"ACTIVE     GHGE, FARM GATE (kg CO2e/kg)","GHGE, processor gate (kg CO2e/kg)"),INDIRECT($K328)),GETPIVOTDATA(IF($J328=1,"Average of ACTIVE     GHGE, FARM GATE (kg CO2e/kg)","Average of GHGE, processor gate (kg CO2e/kg)"),'[1]Pivot Table_GHG'!$A$3,"SUB TYPE",$B328))</f>
        <v/>
      </c>
      <c r="S328" s="94">
        <f>IF($P328="PROXY",DSTDEV('[1]literature entries'!$D:$AI,IF($J328=1,"ACTIVE     GHGE, FARM GATE (kg CO2e/kg)","GHGE, processor gate (kg CO2e/kg)"),INDIRECT($K328)),GETPIVOTDATA(IF($J328=1,"StdDev of ACTIVE     GHGE, FARM GATE (kg CO2e/kg)","StdDev of GHGE, processor gate (kg CO2e/kg)"),'[1]Pivot Table_GHG'!$A$3,"SUB TYPE",$B328))</f>
        <v/>
      </c>
      <c r="T328" s="105" t="n"/>
      <c r="U328" s="106" t="n"/>
      <c r="V328" s="97" t="n"/>
      <c r="W328" s="98">
        <f>IF(L328="PROXY",IF(M328&gt;=5,K328,"need group"),IF(M328&gt;=5,"DIRECT","need group"))</f>
        <v/>
      </c>
      <c r="X328" s="98">
        <f>IF($W328="DIRECT",M328,DCOUNT('[1]literature entries'!$D:$AI,IF($J328=1,"ACTIVE     CED, FARM GATE (MJ/kg)","CED, processor gate (MJ/kg)"),INDIRECT($W328)))</f>
        <v/>
      </c>
      <c r="Y328" s="98">
        <f>IF($W328="DIRECT","",DAVERAGE('[1]literature entries'!$D:$AI,IF($J328=1,"ACTIVE     CED, FARM GATE (MJ/kg)","CED, processor gate (MJ/kg)"),INDIRECT($W328)))</f>
        <v/>
      </c>
      <c r="Z328" s="98">
        <f>IF($W328="DIRECT",$O328,DSTDEV('[1]literature entries'!$D:$AI,IF($J328=1,"ACTIVE     CED, FARM GATE (MJ/kg)","CED, processor gate (MJ/kg)"),INDIRECT($W328)))</f>
        <v/>
      </c>
      <c r="AA328" s="98">
        <f>IF($W328="DIRECT",$O328,$Z328/$Y328*$N328)</f>
        <v/>
      </c>
      <c r="AB328" s="99">
        <f>IF(P328="PROXY",IF(Q328&gt;=5,K328,"need group"),IF(Q328&gt;=5,"DIRECT","need group"))</f>
        <v/>
      </c>
      <c r="AC328" s="99">
        <f>IF($AB328="DIRECT",Q328,DCOUNT('[1]literature entries'!$D:$AI,IF($J328=1,"ACTIVE     GHGE, FARM GATE (kg CO2e/kg)","GHGE, processor gate (kg CO2e/kg)"),INDIRECT($AB328)))</f>
        <v/>
      </c>
      <c r="AD328" s="99">
        <f>IF($AB328="DIRECT","",DAVERAGE('[1]literature entries'!$D:$AI,IF($J328=1,"ACTIVE     GHGE, FARM GATE (kg CO2e/kg)","GHGE, processor gate (kg CO2e/kg)"),INDIRECT($AB328)))</f>
        <v/>
      </c>
      <c r="AE328" s="99">
        <f>IF($AB328="DIRECT",$S328,DSTDEV('[1]literature entries'!$D:$AI,IF($J328=1,"ACTIVE     GHGE, FARM GATE (kg CO2e/kg)","GHGE, processor gate (kg CO2e/kg)"),INDIRECT($AB328)))</f>
        <v/>
      </c>
      <c r="AF328" s="99">
        <f>IF($AB328="DIRECT",$S328,$AE328/$AD328*$R328)</f>
        <v/>
      </c>
    </row>
    <row r="329" ht="15.75" customHeight="1" s="201">
      <c r="A329" s="100" t="n">
        <v>8601200000</v>
      </c>
      <c r="B329" s="101" t="inlineStr">
        <is>
          <t>Water, direct, bottled</t>
        </is>
      </c>
      <c r="C329" s="101" t="n">
        <v>0</v>
      </c>
      <c r="D329" s="101" t="n"/>
      <c r="E329" s="101" t="n">
        <v>18473</v>
      </c>
      <c r="F329" s="84">
        <f>N329*H329+T329</f>
        <v/>
      </c>
      <c r="G329" s="85">
        <f>R329*H329+U329</f>
        <v/>
      </c>
      <c r="H329" s="102" t="n">
        <v>1</v>
      </c>
      <c r="I329" s="103" t="inlineStr">
        <is>
          <t>None</t>
        </is>
      </c>
      <c r="J329" s="104" t="n">
        <v>2</v>
      </c>
      <c r="K329" s="89" t="n"/>
      <c r="L329" s="90">
        <f>IF(ISERROR(GETPIVOTDATA(IF($J329=1,"Count of ACTIVE     CED, FARM GATE (MJ/kg)","Count of CED, processor gate (MJ/kg)"),'[1]Pivot Table_CED'!$A$3,"SUB TYPE",$B329)),"PROXY",IF(GETPIVOTDATA(IF($J329=1,"Count of ACTIVE     CED, FARM GATE (MJ/kg)","Count of CED, processor gate (MJ/kg)"),'[1]Pivot Table_CED'!$A$3,"SUB TYPE",$B329)=0,"PROXY","DB value"))</f>
        <v/>
      </c>
      <c r="M329" s="91">
        <f>IF($L329="PROXY",DCOUNT('[1]literature entries'!$D:$AI,IF($J329=1,"ACTIVE     CED, FARM GATE (MJ/kg)","CED, processor gate (MJ/kg)"),INDIRECT($K329)),GETPIVOTDATA(IF($J329=1,"Count of ACTIVE     CED, FARM GATE (MJ/kg)","Count of CED, processor gate (MJ/kg)"),'[1]Pivot Table_CED'!$A$3,"SUB TYPE",$B329))</f>
        <v/>
      </c>
      <c r="N329" s="92">
        <f>IF($L329="PROXY",DAVERAGE('[1]literature entries'!$D:$AI,IF($J329=1,"ACTIVE     CED, FARM GATE (MJ/kg)","CED, processor gate (MJ/kg)"),INDIRECT($K329)),GETPIVOTDATA(IF($J329=1,"Average of ACTIVE     CED, FARM GATE (MJ/kg)","Average of CED, processor gate (MJ/kg)"),'[1]Pivot Table_CED'!$A$3,"SUB TYPE",$B329))</f>
        <v/>
      </c>
      <c r="O329" s="92">
        <f>IF($L329="PROXY",DSTDEV('[1]literature entries'!D:AI,IF($J329=1,"ACTIVE     CED, FARM GATE (MJ/kg)","CED, processor gate (MJ/kg)"),INDIRECT($K329)),GETPIVOTDATA(IF($J329=1,"StdDev of ACTIVE     CED, FARM GATE (MJ/kg)","StdDev of CED, processor gate (MJ/kg)"),'[1]Pivot Table_CED'!$A$3,"SUB TYPE",$B329))</f>
        <v/>
      </c>
      <c r="P329" s="90">
        <f>IF(ISERROR(GETPIVOTDATA(IF($J329=1,"Count of ACTIVE     GHGE, FARM GATE (kg CO2e/kg)","Count of GHGE, processor gate (kg CO2e/kg)"),'[1]Pivot Table_GHG'!$A$3,"SUB TYPE",$B329)),"PROXY",IF(GETPIVOTDATA(IF($J329=1,"Count of ACTIVE     GHGE, FARM GATE (kg CO2e/kg)","Count of GHGE, processor gate (kg CO2e/kg)"),'[1]Pivot Table_GHG'!$A$3,"SUB TYPE",$B329)=0,"PROXY","DB value"))</f>
        <v/>
      </c>
      <c r="Q329" s="93">
        <f>IF($P329="PROXY",DCOUNT('[1]literature entries'!$D:$AI,IF($J329=1,"ACTIVE     GHGE, FARM GATE (kg CO2e/kg)","GHGE, processor gate (kg CO2e/kg)"),INDIRECT($K329)),GETPIVOTDATA(IF($J329=1,"ACTIVE     GHGE, FARM GATE (kg CO2e/kg)","Count of GHGE, processor gate (kg CO2e/kg)"),'[1]Pivot Table_GHG'!$A$3,"SUB TYPE",$B329))</f>
        <v/>
      </c>
      <c r="R329" s="94">
        <f>IF($P329="PROXY",DAVERAGE('[1]literature entries'!$D:$AI,IF($J329=1,"ACTIVE     GHGE, FARM GATE (kg CO2e/kg)","GHGE, processor gate (kg CO2e/kg)"),INDIRECT($K329)),GETPIVOTDATA(IF($J329=1,"Average of ACTIVE     GHGE, FARM GATE (kg CO2e/kg)","Average of GHGE, processor gate (kg CO2e/kg)"),'[1]Pivot Table_GHG'!$A$3,"SUB TYPE",$B329))</f>
        <v/>
      </c>
      <c r="S329" s="94">
        <f>IF($P329="PROXY",DSTDEV('[1]literature entries'!$D:$AI,IF($J329=1,"ACTIVE     GHGE, FARM GATE (kg CO2e/kg)","GHGE, processor gate (kg CO2e/kg)"),INDIRECT($K329)),GETPIVOTDATA(IF($J329=1,"StdDev of ACTIVE     GHGE, FARM GATE (kg CO2e/kg)","StdDev of GHGE, processor gate (kg CO2e/kg)"),'[1]Pivot Table_GHG'!$A$3,"SUB TYPE",$B329))</f>
        <v/>
      </c>
      <c r="T329" s="105" t="n"/>
      <c r="U329" s="106" t="n"/>
      <c r="V329" s="97" t="n"/>
      <c r="W329" s="98">
        <f>IF(L329="PROXY",IF(M329&gt;=5,K329,"need group"),IF(M329&gt;=5,"DIRECT","need group"))</f>
        <v/>
      </c>
      <c r="X329" s="98">
        <f>IF($W329="DIRECT",M329,DCOUNT('[1]literature entries'!$D:$AI,IF($J329=1,"ACTIVE     CED, FARM GATE (MJ/kg)","CED, processor gate (MJ/kg)"),INDIRECT($W329)))</f>
        <v/>
      </c>
      <c r="Y329" s="98">
        <f>IF($W329="DIRECT","",DAVERAGE('[1]literature entries'!$D:$AI,IF($J329=1,"ACTIVE     CED, FARM GATE (MJ/kg)","CED, processor gate (MJ/kg)"),INDIRECT($W329)))</f>
        <v/>
      </c>
      <c r="Z329" s="98">
        <f>IF($W329="DIRECT",$O329,DSTDEV('[1]literature entries'!$D:$AI,IF($J329=1,"ACTIVE     CED, FARM GATE (MJ/kg)","CED, processor gate (MJ/kg)"),INDIRECT($W329)))</f>
        <v/>
      </c>
      <c r="AA329" s="98">
        <f>IF($W329="DIRECT",$O329,$Z329/$Y329*$N329)</f>
        <v/>
      </c>
      <c r="AB329" s="99">
        <f>IF(P329="PROXY",IF(Q329&gt;=5,K329,"need group"),IF(Q329&gt;=5,"DIRECT","need group"))</f>
        <v/>
      </c>
      <c r="AC329" s="99">
        <f>IF($AB329="DIRECT",Q329,DCOUNT('[1]literature entries'!$D:$AI,IF($J329=1,"ACTIVE     GHGE, FARM GATE (kg CO2e/kg)","GHGE, processor gate (kg CO2e/kg)"),INDIRECT($AB329)))</f>
        <v/>
      </c>
      <c r="AD329" s="99">
        <f>IF($AB329="DIRECT","",DAVERAGE('[1]literature entries'!$D:$AI,IF($J329=1,"ACTIVE     GHGE, FARM GATE (kg CO2e/kg)","GHGE, processor gate (kg CO2e/kg)"),INDIRECT($AB329)))</f>
        <v/>
      </c>
      <c r="AE329" s="99">
        <f>IF($AB329="DIRECT",$S329,DSTDEV('[1]literature entries'!$D:$AI,IF($J329=1,"ACTIVE     GHGE, FARM GATE (kg CO2e/kg)","GHGE, processor gate (kg CO2e/kg)"),INDIRECT($AB329)))</f>
        <v/>
      </c>
      <c r="AF329" s="99">
        <f>IF($AB329="DIRECT",$S329,$AE329/$AD329*$R329)</f>
        <v/>
      </c>
    </row>
    <row r="330" ht="15.75" customHeight="1" s="201">
      <c r="A330" s="100" t="n">
        <v>8602000000</v>
      </c>
      <c r="B330" s="101" t="inlineStr">
        <is>
          <t>Water, indirect, all sources</t>
        </is>
      </c>
      <c r="C330" s="101" t="n">
        <v>0</v>
      </c>
      <c r="D330" s="101" t="n"/>
      <c r="E330" s="101" t="n">
        <v>44148</v>
      </c>
      <c r="F330" s="84">
        <f>N330*H330+T330</f>
        <v/>
      </c>
      <c r="G330" s="85">
        <f>R330*H330+U330</f>
        <v/>
      </c>
      <c r="H330" s="102" t="n">
        <v>0</v>
      </c>
      <c r="I330" s="103" t="inlineStr">
        <is>
          <t>None</t>
        </is>
      </c>
      <c r="J330" s="104" t="n">
        <v>1</v>
      </c>
      <c r="K330" s="89" t="n"/>
      <c r="L330" s="90">
        <f>IF(ISERROR(GETPIVOTDATA(IF($J330=1,"Count of ACTIVE     CED, FARM GATE (MJ/kg)","Count of CED, processor gate (MJ/kg)"),'[1]Pivot Table_CED'!$A$3,"SUB TYPE",$B330)),"PROXY",IF(GETPIVOTDATA(IF($J330=1,"Count of ACTIVE     CED, FARM GATE (MJ/kg)","Count of CED, processor gate (MJ/kg)"),'[1]Pivot Table_CED'!$A$3,"SUB TYPE",$B330)=0,"PROXY","DB value"))</f>
        <v/>
      </c>
      <c r="M330" s="91" t="n">
        <v>0</v>
      </c>
      <c r="N330" s="92" t="n">
        <v>0</v>
      </c>
      <c r="O330" s="92" t="n">
        <v>0</v>
      </c>
      <c r="P330" s="90">
        <f>IF(ISERROR(GETPIVOTDATA(IF($J330=1,"Count of ACTIVE     GHGE, FARM GATE (kg CO2e/kg)","Count of GHGE, processor gate (kg CO2e/kg)"),'[1]Pivot Table_GHG'!$A$3,"SUB TYPE",$B330)),"PROXY",IF(GETPIVOTDATA(IF($J330=1,"Count of ACTIVE     GHGE, FARM GATE (kg CO2e/kg)","Count of GHGE, processor gate (kg CO2e/kg)"),'[1]Pivot Table_GHG'!$A$3,"SUB TYPE",$B330)=0,"PROXY","DB value"))</f>
        <v/>
      </c>
      <c r="Q330" s="93" t="n">
        <v>0</v>
      </c>
      <c r="R330" s="134" t="n">
        <v>0</v>
      </c>
      <c r="S330" s="94" t="n">
        <v>0</v>
      </c>
      <c r="T330" s="105" t="n"/>
      <c r="U330" s="106" t="n"/>
      <c r="V330" s="97" t="n"/>
      <c r="W330" s="98" t="inlineStr">
        <is>
          <t>no var</t>
        </is>
      </c>
      <c r="X330" s="98" t="n"/>
      <c r="Y330" s="98" t="n"/>
      <c r="Z330" s="98" t="n"/>
      <c r="AA330" s="98" t="n"/>
      <c r="AB330" s="99" t="inlineStr">
        <is>
          <t>no var</t>
        </is>
      </c>
      <c r="AC330" s="99" t="n"/>
      <c r="AD330" s="99" t="n"/>
      <c r="AE330" s="99" t="n"/>
      <c r="AF330" s="99" t="n"/>
    </row>
    <row r="331" ht="15.75" customHeight="1" s="201">
      <c r="A331" s="100" t="n">
        <v>9500006000</v>
      </c>
      <c r="B331" s="101" t="inlineStr">
        <is>
          <t>Amaranth, grain</t>
        </is>
      </c>
      <c r="C331" s="101" t="inlineStr">
        <is>
          <t>dry weight of grain; include Amaranth flour</t>
        </is>
      </c>
      <c r="D331" s="101" t="n"/>
      <c r="E331" s="101" t="n">
        <v>17</v>
      </c>
      <c r="F331" s="84">
        <f>N331*H331+T331</f>
        <v/>
      </c>
      <c r="G331" s="85">
        <f>R331*H331+U331</f>
        <v/>
      </c>
      <c r="H331" s="103" t="n">
        <v>1</v>
      </c>
      <c r="I331" s="103" t="inlineStr">
        <is>
          <t>None</t>
        </is>
      </c>
      <c r="J331" s="104" t="n">
        <v>1</v>
      </c>
      <c r="K331" s="89" t="inlineStr">
        <is>
          <t>grains</t>
        </is>
      </c>
      <c r="L331" s="90">
        <f>IF(ISERROR(GETPIVOTDATA(IF($J331=1,"Count of ACTIVE     CED, FARM GATE (MJ/kg)","Count of CED, processor gate (MJ/kg)"),'[1]Pivot Table_CED'!$A$3,"SUB TYPE",$B331)),"PROXY",IF(GETPIVOTDATA(IF($J331=1,"Count of ACTIVE     CED, FARM GATE (MJ/kg)","Count of CED, processor gate (MJ/kg)"),'[1]Pivot Table_CED'!$A$3,"SUB TYPE",$B331)=0,"PROXY","DB value"))</f>
        <v/>
      </c>
      <c r="M331" s="91">
        <f>IF($L331="PROXY",DCOUNT('[1]literature entries'!$D:$AI,IF($J331=1,"ACTIVE     CED, FARM GATE (MJ/kg)","CED, processor gate (MJ/kg)"),INDIRECT($K331)),GETPIVOTDATA(IF($J331=1,"Count of ACTIVE     CED, FARM GATE (MJ/kg)","Count of CED, processor gate (MJ/kg)"),'[1]Pivot Table_CED'!$A$3,"SUB TYPE",$B331))</f>
        <v/>
      </c>
      <c r="N331" s="92">
        <f>IF($L331="PROXY",DAVERAGE('[1]literature entries'!$D:$AI,IF($J331=1,"ACTIVE     CED, FARM GATE (MJ/kg)","CED, processor gate (MJ/kg)"),INDIRECT($K331)),GETPIVOTDATA(IF($J331=1,"Average of ACTIVE     CED, FARM GATE (MJ/kg)","Average of CED, processor gate (MJ/kg)"),'[1]Pivot Table_CED'!$A$3,"SUB TYPE",$B331))</f>
        <v/>
      </c>
      <c r="O331" s="92">
        <f>IF($L331="PROXY",DSTDEV('[1]literature entries'!D:AI,IF($J331=1,"ACTIVE     CED, FARM GATE (MJ/kg)","CED, processor gate (MJ/kg)"),INDIRECT($K331)),GETPIVOTDATA(IF($J331=1,"StdDev of ACTIVE     CED, FARM GATE (MJ/kg)","StdDev of CED, processor gate (MJ/kg)"),'[1]Pivot Table_CED'!$A$3,"SUB TYPE",$B331))</f>
        <v/>
      </c>
      <c r="P331" s="90">
        <f>IF(ISERROR(GETPIVOTDATA(IF($J331=1,"Count of ACTIVE     GHGE, FARM GATE (kg CO2e/kg)","Count of GHGE, processor gate (kg CO2e/kg)"),'[1]Pivot Table_GHG'!$A$3,"SUB TYPE",$B331)),"PROXY",IF(GETPIVOTDATA(IF($J331=1,"Count of ACTIVE     GHGE, FARM GATE (kg CO2e/kg)","Count of GHGE, processor gate (kg CO2e/kg)"),'[1]Pivot Table_GHG'!$A$3,"SUB TYPE",$B331)=0,"PROXY","DB value"))</f>
        <v/>
      </c>
      <c r="Q331" s="93">
        <f>IF($P331="PROXY",DCOUNT('[1]literature entries'!$D:$AI,IF($J331=1,"ACTIVE     GHGE, FARM GATE (kg CO2e/kg)","GHGE, processor gate (kg CO2e/kg)"),INDIRECT($K331)),GETPIVOTDATA(IF($J331=1,"ACTIVE     GHGE, FARM GATE (kg CO2e/kg)","Count of GHGE, processor gate (kg CO2e/kg)"),'[1]Pivot Table_GHG'!$A$3,"SUB TYPE",$B331))</f>
        <v/>
      </c>
      <c r="R331" s="94">
        <f>IF($P331="PROXY",DAVERAGE('[1]literature entries'!$D:$AI,IF($J331=1,"ACTIVE     GHGE, FARM GATE (kg CO2e/kg)","GHGE, processor gate (kg CO2e/kg)"),INDIRECT($K331)),GETPIVOTDATA(IF($J331=1,"Average of ACTIVE     GHGE, FARM GATE (kg CO2e/kg)","Average of GHGE, processor gate (kg CO2e/kg)"),'[1]Pivot Table_GHG'!$A$3,"SUB TYPE",$B331))</f>
        <v/>
      </c>
      <c r="S331" s="94">
        <f>IF($P331="PROXY",DSTDEV('[1]literature entries'!$D:$AI,IF($J331=1,"ACTIVE     GHGE, FARM GATE (kg CO2e/kg)","GHGE, processor gate (kg CO2e/kg)"),INDIRECT($K331)),GETPIVOTDATA(IF($J331=1,"StdDev of ACTIVE     GHGE, FARM GATE (kg CO2e/kg)","StdDev of GHGE, processor gate (kg CO2e/kg)"),'[1]Pivot Table_GHG'!$A$3,"SUB TYPE",$B331))</f>
        <v/>
      </c>
      <c r="T331" s="129" t="n"/>
      <c r="U331" s="130" t="n"/>
      <c r="V331" s="97" t="n"/>
      <c r="W331" s="98">
        <f>IF(L331="PROXY",IF(M331&gt;=5,K331,"need group"),IF(M331&gt;=5,"DIRECT","need group"))</f>
        <v/>
      </c>
      <c r="X331" s="98">
        <f>IF($W331="DIRECT",M331,DCOUNT('[1]literature entries'!$D:$AI,IF($J331=1,"ACTIVE     CED, FARM GATE (MJ/kg)","CED, processor gate (MJ/kg)"),INDIRECT($W331)))</f>
        <v/>
      </c>
      <c r="Y331" s="98">
        <f>IF($W331="DIRECT","",DAVERAGE('[1]literature entries'!$D:$AI,IF($J331=1,"ACTIVE     CED, FARM GATE (MJ/kg)","CED, processor gate (MJ/kg)"),INDIRECT($W331)))</f>
        <v/>
      </c>
      <c r="Z331" s="98">
        <f>IF($W331="DIRECT",$O331,DSTDEV('[1]literature entries'!$D:$AI,IF($J331=1,"ACTIVE     CED, FARM GATE (MJ/kg)","CED, processor gate (MJ/kg)"),INDIRECT($W331)))</f>
        <v/>
      </c>
      <c r="AA331" s="98">
        <f>IF($W331="DIRECT",$O331,$Z331/$Y331*$N331)</f>
        <v/>
      </c>
      <c r="AB331" s="99">
        <f>IF(P331="PROXY",IF(Q331&gt;=5,K331,"need group"),IF(Q331&gt;=5,"DIRECT","need group"))</f>
        <v/>
      </c>
      <c r="AC331" s="99">
        <f>IF($AB331="DIRECT",Q331,DCOUNT('[1]literature entries'!$D:$AI,IF($J331=1,"ACTIVE     GHGE, FARM GATE (kg CO2e/kg)","GHGE, processor gate (kg CO2e/kg)"),INDIRECT($AB331)))</f>
        <v/>
      </c>
      <c r="AD331" s="99">
        <f>IF($AB331="DIRECT","",DAVERAGE('[1]literature entries'!$D:$AI,IF($J331=1,"ACTIVE     GHGE, FARM GATE (kg CO2e/kg)","GHGE, processor gate (kg CO2e/kg)"),INDIRECT($AB331)))</f>
        <v/>
      </c>
      <c r="AE331" s="99">
        <f>IF($AB331="DIRECT",$S331,DSTDEV('[1]literature entries'!$D:$AI,IF($J331=1,"ACTIVE     GHGE, FARM GATE (kg CO2e/kg)","GHGE, processor gate (kg CO2e/kg)"),INDIRECT($AB331)))</f>
        <v/>
      </c>
      <c r="AF331" s="99">
        <f>IF($AB331="DIRECT",$S331,$AE331/$AD331*$R331)</f>
        <v/>
      </c>
    </row>
    <row r="332" ht="15.75" customHeight="1" s="201">
      <c r="A332" s="100" t="n">
        <v>9500016000</v>
      </c>
      <c r="B332" s="101" t="inlineStr">
        <is>
          <t>Artichoke, globe</t>
        </is>
      </c>
      <c r="C332" s="101" t="inlineStr">
        <is>
          <t>edible portion of flowerhead</t>
        </is>
      </c>
      <c r="D332" s="101" t="n"/>
      <c r="E332" s="101" t="n">
        <v>75</v>
      </c>
      <c r="F332" s="84">
        <f>N332*H332+T332</f>
        <v/>
      </c>
      <c r="G332" s="85">
        <f>R332*H332+U332</f>
        <v/>
      </c>
      <c r="H332" s="102" t="n">
        <v>2.5</v>
      </c>
      <c r="I332" s="103" t="inlineStr">
        <is>
          <t>LAFA</t>
        </is>
      </c>
      <c r="J332" s="104" t="n">
        <v>1</v>
      </c>
      <c r="K332" s="89" t="n"/>
      <c r="L332" s="90">
        <f>IF(ISERROR(GETPIVOTDATA(IF($J332=1,"Count of ACTIVE     CED, FARM GATE (MJ/kg)","Count of CED, processor gate (MJ/kg)"),'[1]Pivot Table_CED'!$A$3,"SUB TYPE",$B332)),"PROXY",IF(GETPIVOTDATA(IF($J332=1,"Count of ACTIVE     CED, FARM GATE (MJ/kg)","Count of CED, processor gate (MJ/kg)"),'[1]Pivot Table_CED'!$A$3,"SUB TYPE",$B332)=0,"PROXY","DB value"))</f>
        <v/>
      </c>
      <c r="M332" s="91">
        <f>IF($L332="PROXY",DCOUNT('[1]literature entries'!$D:$AI,IF($J332=1,"ACTIVE     CED, FARM GATE (MJ/kg)","CED, processor gate (MJ/kg)"),INDIRECT($K332)),GETPIVOTDATA(IF($J332=1,"Count of ACTIVE     CED, FARM GATE (MJ/kg)","Count of CED, processor gate (MJ/kg)"),'[1]Pivot Table_CED'!$A$3,"SUB TYPE",$B332))</f>
        <v/>
      </c>
      <c r="N332" s="92">
        <f>IF($L332="PROXY",DAVERAGE('[1]literature entries'!$D:$AI,IF($J332=1,"ACTIVE     CED, FARM GATE (MJ/kg)","CED, processor gate (MJ/kg)"),INDIRECT($K332)),GETPIVOTDATA(IF($J332=1,"Average of ACTIVE     CED, FARM GATE (MJ/kg)","Average of CED, processor gate (MJ/kg)"),'[1]Pivot Table_CED'!$A$3,"SUB TYPE",$B332))</f>
        <v/>
      </c>
      <c r="O332" s="92">
        <f>IF($L332="PROXY",DSTDEV('[1]literature entries'!D:AI,IF($J332=1,"ACTIVE     CED, FARM GATE (MJ/kg)","CED, processor gate (MJ/kg)"),INDIRECT($K332)),GETPIVOTDATA(IF($J332=1,"StdDev of ACTIVE     CED, FARM GATE (MJ/kg)","StdDev of CED, processor gate (MJ/kg)"),'[1]Pivot Table_CED'!$A$3,"SUB TYPE",$B332))</f>
        <v/>
      </c>
      <c r="P332" s="90">
        <f>IF(ISERROR(GETPIVOTDATA(IF($J332=1,"Count of ACTIVE     GHGE, FARM GATE (kg CO2e/kg)","Count of GHGE, processor gate (kg CO2e/kg)"),'[1]Pivot Table_GHG'!$A$3,"SUB TYPE",$B332)),"PROXY",IF(GETPIVOTDATA(IF($J332=1,"Count of ACTIVE     GHGE, FARM GATE (kg CO2e/kg)","Count of GHGE, processor gate (kg CO2e/kg)"),'[1]Pivot Table_GHG'!$A$3,"SUB TYPE",$B332)=0,"PROXY","DB value"))</f>
        <v/>
      </c>
      <c r="Q332" s="93">
        <f>IF($P332="PROXY",DCOUNT('[1]literature entries'!$D:$AI,IF($J332=1,"ACTIVE     GHGE, FARM GATE (kg CO2e/kg)","GHGE, processor gate (kg CO2e/kg)"),INDIRECT($K332)),GETPIVOTDATA(IF($J332=1,"ACTIVE     GHGE, FARM GATE (kg CO2e/kg)","Count of GHGE, processor gate (kg CO2e/kg)"),'[1]Pivot Table_GHG'!$A$3,"SUB TYPE",$B332))</f>
        <v/>
      </c>
      <c r="R332" s="94">
        <f>IF($P332="PROXY",DAVERAGE('[1]literature entries'!$D:$AI,IF($J332=1,"ACTIVE     GHGE, FARM GATE (kg CO2e/kg)","GHGE, processor gate (kg CO2e/kg)"),INDIRECT($K332)),GETPIVOTDATA(IF($J332=1,"Average of ACTIVE     GHGE, FARM GATE (kg CO2e/kg)","Average of GHGE, processor gate (kg CO2e/kg)"),'[1]Pivot Table_GHG'!$A$3,"SUB TYPE",$B332))</f>
        <v/>
      </c>
      <c r="S332" s="94">
        <f>IF($P332="PROXY",DSTDEV('[1]literature entries'!$D:$AI,IF($J332=1,"ACTIVE     GHGE, FARM GATE (kg CO2e/kg)","GHGE, processor gate (kg CO2e/kg)"),INDIRECT($K332)),GETPIVOTDATA(IF($J332=1,"StdDev of ACTIVE     GHGE, FARM GATE (kg CO2e/kg)","StdDev of GHGE, processor gate (kg CO2e/kg)"),'[1]Pivot Table_GHG'!$A$3,"SUB TYPE",$B332))</f>
        <v/>
      </c>
      <c r="T332" s="105" t="n"/>
      <c r="U332" s="106" t="n"/>
      <c r="V332" s="97" t="n"/>
      <c r="W332" s="98" t="inlineStr">
        <is>
          <t>vegetables</t>
        </is>
      </c>
      <c r="X332" s="98">
        <f>IF($W332="DIRECT",M332,DCOUNT('[1]literature entries'!$D:$AI,IF($J332=1,"ACTIVE     CED, FARM GATE (MJ/kg)","CED, processor gate (MJ/kg)"),INDIRECT($W332)))</f>
        <v/>
      </c>
      <c r="Y332" s="98">
        <f>IF($W332="DIRECT","",DAVERAGE('[1]literature entries'!$D:$AI,IF($J332=1,"ACTIVE     CED, FARM GATE (MJ/kg)","CED, processor gate (MJ/kg)"),INDIRECT($W332)))</f>
        <v/>
      </c>
      <c r="Z332" s="98">
        <f>IF($W332="DIRECT",$O332,DSTDEV('[1]literature entries'!$D:$AI,IF($J332=1,"ACTIVE     CED, FARM GATE (MJ/kg)","CED, processor gate (MJ/kg)"),INDIRECT($W332)))</f>
        <v/>
      </c>
      <c r="AA332" s="98">
        <f>IF($W332="DIRECT",$O332,$Z332/$Y332*$N332)</f>
        <v/>
      </c>
      <c r="AB332" s="99" t="inlineStr">
        <is>
          <t>vegetables</t>
        </is>
      </c>
      <c r="AC332" s="99">
        <f>IF($AB332="DIRECT",Q332,DCOUNT('[1]literature entries'!$D:$AI,IF($J332=1,"ACTIVE     GHGE, FARM GATE (kg CO2e/kg)","GHGE, processor gate (kg CO2e/kg)"),INDIRECT($AB332)))</f>
        <v/>
      </c>
      <c r="AD332" s="99">
        <f>IF($AB332="DIRECT","",DAVERAGE('[1]literature entries'!$D:$AI,IF($J332=1,"ACTIVE     GHGE, FARM GATE (kg CO2e/kg)","GHGE, processor gate (kg CO2e/kg)"),INDIRECT($AB332)))</f>
        <v/>
      </c>
      <c r="AE332" s="99">
        <f>IF($AB332="DIRECT",$S332,DSTDEV('[1]literature entries'!$D:$AI,IF($J332=1,"ACTIVE     GHGE, FARM GATE (kg CO2e/kg)","GHGE, processor gate (kg CO2e/kg)"),INDIRECT($AB332)))</f>
        <v/>
      </c>
      <c r="AF332" s="99">
        <f>IF($AB332="DIRECT",$S332,$AE332/$AD332*$R332)</f>
        <v/>
      </c>
    </row>
    <row r="333" ht="15.75" customHeight="1" s="201">
      <c r="A333" s="100" t="n">
        <v>9500054000</v>
      </c>
      <c r="B333" s="101" t="inlineStr">
        <is>
          <t>Belgium endive</t>
        </is>
      </c>
      <c r="C333" s="101" t="inlineStr">
        <is>
          <t>weight of leaves</t>
        </is>
      </c>
      <c r="D333" s="101" t="inlineStr">
        <is>
          <t>Also called Witloof chicory.</t>
        </is>
      </c>
      <c r="E333" s="101" t="n">
        <v>1557</v>
      </c>
      <c r="F333" s="84">
        <f>N333*H333+T333</f>
        <v/>
      </c>
      <c r="G333" s="85">
        <f>R333*H333+U333</f>
        <v/>
      </c>
      <c r="H333" s="102" t="n">
        <v>1.146</v>
      </c>
      <c r="I333" s="103" t="inlineStr">
        <is>
          <t>FICRCD</t>
        </is>
      </c>
      <c r="J333" s="104" t="n">
        <v>1</v>
      </c>
      <c r="K333" s="89" t="inlineStr">
        <is>
          <t>Escarole</t>
        </is>
      </c>
      <c r="L333" s="90">
        <f>IF(ISERROR(GETPIVOTDATA(IF($J333=1,"Count of ACTIVE     CED, FARM GATE (MJ/kg)","Count of CED, processor gate (MJ/kg)"),'[1]Pivot Table_CED'!$A$3,"SUB TYPE",$B333)),"PROXY",IF(GETPIVOTDATA(IF($J333=1,"Count of ACTIVE     CED, FARM GATE (MJ/kg)","Count of CED, processor gate (MJ/kg)"),'[1]Pivot Table_CED'!$A$3,"SUB TYPE",$B333)=0,"PROXY","DB value"))</f>
        <v/>
      </c>
      <c r="M333" s="91">
        <f>IF($L333="PROXY",DCOUNT('[1]literature entries'!$D:$AI,IF($J333=1,"ACTIVE     CED, FARM GATE (MJ/kg)","CED, processor gate (MJ/kg)"),INDIRECT($K333)),GETPIVOTDATA(IF($J333=1,"Count of ACTIVE     CED, FARM GATE (MJ/kg)","Count of CED, processor gate (MJ/kg)"),'[1]Pivot Table_CED'!$A$3,"SUB TYPE",$B333))</f>
        <v/>
      </c>
      <c r="N333" s="92">
        <f>IF($L333="PROXY",DAVERAGE('[1]literature entries'!$D:$AI,IF($J333=1,"ACTIVE     CED, FARM GATE (MJ/kg)","CED, processor gate (MJ/kg)"),INDIRECT($K333)),GETPIVOTDATA(IF($J333=1,"Average of ACTIVE     CED, FARM GATE (MJ/kg)","Average of CED, processor gate (MJ/kg)"),'[1]Pivot Table_CED'!$A$3,"SUB TYPE",$B333))</f>
        <v/>
      </c>
      <c r="O333" s="92">
        <f>IF($L333="PROXY",DSTDEV('[1]literature entries'!D:AI,IF($J333=1,"ACTIVE     CED, FARM GATE (MJ/kg)","CED, processor gate (MJ/kg)"),INDIRECT($K333)),GETPIVOTDATA(IF($J333=1,"StdDev of ACTIVE     CED, FARM GATE (MJ/kg)","StdDev of CED, processor gate (MJ/kg)"),'[1]Pivot Table_CED'!$A$3,"SUB TYPE",$B333))</f>
        <v/>
      </c>
      <c r="P333" s="90">
        <f>IF(ISERROR(GETPIVOTDATA(IF($J333=1,"Count of ACTIVE     GHGE, FARM GATE (kg CO2e/kg)","Count of GHGE, processor gate (kg CO2e/kg)"),'[1]Pivot Table_GHG'!$A$3,"SUB TYPE",$B333)),"PROXY",IF(GETPIVOTDATA(IF($J333=1,"Count of ACTIVE     GHGE, FARM GATE (kg CO2e/kg)","Count of GHGE, processor gate (kg CO2e/kg)"),'[1]Pivot Table_GHG'!$A$3,"SUB TYPE",$B333)=0,"PROXY","DB value"))</f>
        <v/>
      </c>
      <c r="Q333" s="93">
        <f>IF($P333="PROXY",DCOUNT('[1]literature entries'!$D:$AI,IF($J333=1,"ACTIVE     GHGE, FARM GATE (kg CO2e/kg)","GHGE, processor gate (kg CO2e/kg)"),INDIRECT($K333)),GETPIVOTDATA(IF($J333=1,"ACTIVE     GHGE, FARM GATE (kg CO2e/kg)","Count of GHGE, processor gate (kg CO2e/kg)"),'[1]Pivot Table_GHG'!$A$3,"SUB TYPE",$B333))</f>
        <v/>
      </c>
      <c r="R333" s="94">
        <f>IF($P333="PROXY",DAVERAGE('[1]literature entries'!$D:$AI,IF($J333=1,"ACTIVE     GHGE, FARM GATE (kg CO2e/kg)","GHGE, processor gate (kg CO2e/kg)"),INDIRECT($K333)),GETPIVOTDATA(IF($J333=1,"Average of ACTIVE     GHGE, FARM GATE (kg CO2e/kg)","Average of GHGE, processor gate (kg CO2e/kg)"),'[1]Pivot Table_GHG'!$A$3,"SUB TYPE",$B333))</f>
        <v/>
      </c>
      <c r="S333" s="94">
        <f>IF($P333="PROXY",DSTDEV('[1]literature entries'!$D:$AI,IF($J333=1,"ACTIVE     GHGE, FARM GATE (kg CO2e/kg)","GHGE, processor gate (kg CO2e/kg)"),INDIRECT($K333)),GETPIVOTDATA(IF($J333=1,"StdDev of ACTIVE     GHGE, FARM GATE (kg CO2e/kg)","StdDev of GHGE, processor gate (kg CO2e/kg)"),'[1]Pivot Table_GHG'!$A$3,"SUB TYPE",$B333))</f>
        <v/>
      </c>
      <c r="T333" s="105" t="n"/>
      <c r="U333" s="106" t="n"/>
      <c r="V333" s="97" t="n"/>
      <c r="W333" s="98" t="inlineStr">
        <is>
          <t>greens</t>
        </is>
      </c>
      <c r="X333" s="98">
        <f>IF($W333="DIRECT",M333,DCOUNT('[1]literature entries'!$D:$AI,IF($J333=1,"ACTIVE     CED, FARM GATE (MJ/kg)","CED, processor gate (MJ/kg)"),INDIRECT($W333)))</f>
        <v/>
      </c>
      <c r="Y333" s="98">
        <f>IF($W333="DIRECT","",DAVERAGE('[1]literature entries'!$D:$AI,IF($J333=1,"ACTIVE     CED, FARM GATE (MJ/kg)","CED, processor gate (MJ/kg)"),INDIRECT($W333)))</f>
        <v/>
      </c>
      <c r="Z333" s="98">
        <f>IF($W333="DIRECT",$O333,DSTDEV('[1]literature entries'!$D:$AI,IF($J333=1,"ACTIVE     CED, FARM GATE (MJ/kg)","CED, processor gate (MJ/kg)"),INDIRECT($W333)))</f>
        <v/>
      </c>
      <c r="AA333" s="98">
        <f>IF($W333="DIRECT",$O333,$Z333/$Y333*$N333)</f>
        <v/>
      </c>
      <c r="AB333" s="99" t="inlineStr">
        <is>
          <t>greens</t>
        </is>
      </c>
      <c r="AC333" s="99">
        <f>IF($AB333="DIRECT",Q333,DCOUNT('[1]literature entries'!$D:$AI,IF($J333=1,"ACTIVE     GHGE, FARM GATE (kg CO2e/kg)","GHGE, processor gate (kg CO2e/kg)"),INDIRECT($AB333)))</f>
        <v/>
      </c>
      <c r="AD333" s="99">
        <f>IF($AB333="DIRECT","",DAVERAGE('[1]literature entries'!$D:$AI,IF($J333=1,"ACTIVE     GHGE, FARM GATE (kg CO2e/kg)","GHGE, processor gate (kg CO2e/kg)"),INDIRECT($AB333)))</f>
        <v/>
      </c>
      <c r="AE333" s="99">
        <f>IF($AB333="DIRECT",$S333,DSTDEV('[1]literature entries'!$D:$AI,IF($J333=1,"ACTIVE     GHGE, FARM GATE (kg CO2e/kg)","GHGE, processor gate (kg CO2e/kg)"),INDIRECT($AB333)))</f>
        <v/>
      </c>
      <c r="AF333" s="99">
        <f>IF($AB333="DIRECT",$S333,$AE333/$AD333*$R333)</f>
        <v/>
      </c>
    </row>
    <row r="334" ht="15.75" customHeight="1" s="201">
      <c r="A334" s="100" t="n">
        <v>9500109000</v>
      </c>
      <c r="B334" s="101" t="inlineStr">
        <is>
          <t>Cocoa bean, chocolate</t>
        </is>
      </c>
      <c r="C334" s="101" t="inlineStr">
        <is>
          <t>weight of chocolate; cocoa butter</t>
        </is>
      </c>
      <c r="D334" s="101" t="n"/>
      <c r="E334" s="101" t="n">
        <v>11588</v>
      </c>
      <c r="F334" s="84">
        <f>N334*H334+T334</f>
        <v/>
      </c>
      <c r="G334" s="85">
        <f>R334*H334+U334</f>
        <v/>
      </c>
      <c r="H334" s="102" t="n">
        <v>1</v>
      </c>
      <c r="I334" s="103" t="inlineStr">
        <is>
          <t>None</t>
        </is>
      </c>
      <c r="J334" s="104" t="n">
        <v>1</v>
      </c>
      <c r="K334" s="89" t="n"/>
      <c r="L334" s="90">
        <f>IF(ISERROR(GETPIVOTDATA(IF($J334=1,"Count of ACTIVE     CED, FARM GATE (MJ/kg)","Count of CED, processor gate (MJ/kg)"),'[1]Pivot Table_CED'!$A$3,"SUB TYPE",$B334)),"PROXY",IF(GETPIVOTDATA(IF($J334=1,"Count of ACTIVE     CED, FARM GATE (MJ/kg)","Count of CED, processor gate (MJ/kg)"),'[1]Pivot Table_CED'!$A$3,"SUB TYPE",$B334)=0,"PROXY","DB value"))</f>
        <v/>
      </c>
      <c r="M334" s="91">
        <f>IF($L334="PROXY",DCOUNT('[1]literature entries'!$D:$AI,IF($J334=1,"ACTIVE     CED, FARM GATE (MJ/kg)","CED, processor gate (MJ/kg)"),INDIRECT($K334)),GETPIVOTDATA(IF($J334=1,"Count of ACTIVE     CED, FARM GATE (MJ/kg)","Count of CED, processor gate (MJ/kg)"),'[1]Pivot Table_CED'!$A$3,"SUB TYPE",$B334))</f>
        <v/>
      </c>
      <c r="N334" s="92">
        <f>IF($L334="PROXY",DAVERAGE('[1]literature entries'!$D:$AI,IF($J334=1,"ACTIVE     CED, FARM GATE (MJ/kg)","CED, processor gate (MJ/kg)"),INDIRECT($K334)),GETPIVOTDATA(IF($J334=1,"Average of ACTIVE     CED, FARM GATE (MJ/kg)","Average of CED, processor gate (MJ/kg)"),'[1]Pivot Table_CED'!$A$3,"SUB TYPE",$B334))</f>
        <v/>
      </c>
      <c r="O334" s="92">
        <f>IF($L334="PROXY",DSTDEV('[1]literature entries'!D:AI,IF($J334=1,"ACTIVE     CED, FARM GATE (MJ/kg)","CED, processor gate (MJ/kg)"),INDIRECT($K334)),GETPIVOTDATA(IF($J334=1,"StdDev of ACTIVE     CED, FARM GATE (MJ/kg)","StdDev of CED, processor gate (MJ/kg)"),'[1]Pivot Table_CED'!$A$3,"SUB TYPE",$B334))</f>
        <v/>
      </c>
      <c r="P334" s="90">
        <f>IF(ISERROR(GETPIVOTDATA(IF($J334=1,"Count of ACTIVE     GHGE, FARM GATE (kg CO2e/kg)","Count of GHGE, processor gate (kg CO2e/kg)"),'[1]Pivot Table_GHG'!$A$3,"SUB TYPE",$B334)),"PROXY",IF(GETPIVOTDATA(IF($J334=1,"Count of ACTIVE     GHGE, FARM GATE (kg CO2e/kg)","Count of GHGE, processor gate (kg CO2e/kg)"),'[1]Pivot Table_GHG'!$A$3,"SUB TYPE",$B334)=0,"PROXY","DB value"))</f>
        <v/>
      </c>
      <c r="Q334" s="93">
        <f>IF($P334="PROXY",DCOUNT('[1]literature entries'!$D:$AI,IF($J334=1,"ACTIVE     GHGE, FARM GATE (kg CO2e/kg)","GHGE, processor gate (kg CO2e/kg)"),INDIRECT($K334)),GETPIVOTDATA(IF($J334=1,"ACTIVE     GHGE, FARM GATE (kg CO2e/kg)","Count of GHGE, processor gate (kg CO2e/kg)"),'[1]Pivot Table_GHG'!$A$3,"SUB TYPE",$B334))</f>
        <v/>
      </c>
      <c r="R334" s="94">
        <f>IF($P334="PROXY",DAVERAGE('[1]literature entries'!$D:$AI,IF($J334=1,"ACTIVE     GHGE, FARM GATE (kg CO2e/kg)","GHGE, processor gate (kg CO2e/kg)"),INDIRECT($K334)),GETPIVOTDATA(IF($J334=1,"Average of ACTIVE     GHGE, FARM GATE (kg CO2e/kg)","Average of GHGE, processor gate (kg CO2e/kg)"),'[1]Pivot Table_GHG'!$A$3,"SUB TYPE",$B334))</f>
        <v/>
      </c>
      <c r="S334" s="94">
        <f>IF($P334="PROXY",DSTDEV('[1]literature entries'!$D:$AI,IF($J334=1,"ACTIVE     GHGE, FARM GATE (kg CO2e/kg)","GHGE, processor gate (kg CO2e/kg)"),INDIRECT($K334)),GETPIVOTDATA(IF($J334=1,"StdDev of ACTIVE     GHGE, FARM GATE (kg CO2e/kg)","StdDev of GHGE, processor gate (kg CO2e/kg)"),'[1]Pivot Table_GHG'!$A$3,"SUB TYPE",$B334))</f>
        <v/>
      </c>
      <c r="T334" s="105" t="n"/>
      <c r="U334" s="106" t="n"/>
      <c r="V334" s="97" t="n"/>
      <c r="W334" s="98" t="inlineStr">
        <is>
          <t>choc_coffee_tea</t>
        </is>
      </c>
      <c r="X334" s="98">
        <f>IF($W334="DIRECT",M334,DCOUNT('[1]literature entries'!$D:$AI,IF($J334=1,"ACTIVE     CED, FARM GATE (MJ/kg)","CED, processor gate (MJ/kg)"),INDIRECT($W334)))</f>
        <v/>
      </c>
      <c r="Y334" s="98">
        <f>IF($W334="DIRECT","",DAVERAGE('[1]literature entries'!$D:$AI,IF($J334=1,"ACTIVE     CED, FARM GATE (MJ/kg)","CED, processor gate (MJ/kg)"),INDIRECT($W334)))</f>
        <v/>
      </c>
      <c r="Z334" s="98">
        <f>IF($W334="DIRECT",$O334,DSTDEV('[1]literature entries'!$D:$AI,IF($J334=1,"ACTIVE     CED, FARM GATE (MJ/kg)","CED, processor gate (MJ/kg)"),INDIRECT($W334)))</f>
        <v/>
      </c>
      <c r="AA334" s="98">
        <f>IF($W334="DIRECT",$O334,$Z334/$Y334*$N334)</f>
        <v/>
      </c>
      <c r="AB334" s="99">
        <f>IF(P334="PROXY",IF(Q334&gt;=5,K334,"need group"),IF(Q334&gt;=5,"DIRECT","need group"))</f>
        <v/>
      </c>
      <c r="AC334" s="99">
        <f>IF($AB334="DIRECT",Q334,DCOUNT('[1]literature entries'!$D:$AI,IF($J334=1,"ACTIVE     GHGE, FARM GATE (kg CO2e/kg)","GHGE, processor gate (kg CO2e/kg)"),INDIRECT($AB334)))</f>
        <v/>
      </c>
      <c r="AD334" s="99">
        <f>IF($AB334="DIRECT","",DAVERAGE('[1]literature entries'!$D:$AI,IF($J334=1,"ACTIVE     GHGE, FARM GATE (kg CO2e/kg)","GHGE, processor gate (kg CO2e/kg)"),INDIRECT($AB334)))</f>
        <v/>
      </c>
      <c r="AE334" s="99">
        <f>IF($AB334="DIRECT",$S334,DSTDEV('[1]literature entries'!$D:$AI,IF($J334=1,"ACTIVE     GHGE, FARM GATE (kg CO2e/kg)","GHGE, processor gate (kg CO2e/kg)"),INDIRECT($AB334)))</f>
        <v/>
      </c>
      <c r="AF334" s="99">
        <f>IF($AB334="DIRECT",$S334,$AE334/$AD334*$R334)</f>
        <v/>
      </c>
    </row>
    <row r="335" ht="15.75" customHeight="1" s="201">
      <c r="A335" s="100" t="n">
        <v>9500110000</v>
      </c>
      <c r="B335" s="101" t="inlineStr">
        <is>
          <t>Cocoa bean, powder</t>
        </is>
      </c>
      <c r="C335" s="101" t="inlineStr">
        <is>
          <t>weight of powder</t>
        </is>
      </c>
      <c r="D335" s="101" t="n"/>
      <c r="E335" s="101" t="n">
        <v>16565</v>
      </c>
      <c r="F335" s="84">
        <f>N335*H335+T335</f>
        <v/>
      </c>
      <c r="G335" s="85">
        <f>R335*H335+U335</f>
        <v/>
      </c>
      <c r="H335" s="102" t="n">
        <v>1</v>
      </c>
      <c r="I335" s="103" t="inlineStr">
        <is>
          <t>None</t>
        </is>
      </c>
      <c r="J335" s="104" t="n">
        <v>2</v>
      </c>
      <c r="K335" s="89" t="n"/>
      <c r="L335" s="90">
        <f>IF(ISERROR(GETPIVOTDATA(IF($J335=1,"Count of ACTIVE     CED, FARM GATE (MJ/kg)","Count of CED, processor gate (MJ/kg)"),'[1]Pivot Table_CED'!$A$3,"SUB TYPE",$B335)),"PROXY",IF(GETPIVOTDATA(IF($J335=1,"Count of ACTIVE     CED, FARM GATE (MJ/kg)","Count of CED, processor gate (MJ/kg)"),'[1]Pivot Table_CED'!$A$3,"SUB TYPE",$B335)=0,"PROXY","DB value"))</f>
        <v/>
      </c>
      <c r="M335" s="91">
        <f>IF($L335="PROXY",DCOUNT('[1]literature entries'!$D:$AI,IF($J335=1,"ACTIVE     CED, FARM GATE (MJ/kg)","CED, processor gate (MJ/kg)"),INDIRECT($K335)),GETPIVOTDATA(IF($J335=1,"Count of ACTIVE     CED, FARM GATE (MJ/kg)","Count of CED, processor gate (MJ/kg)"),'[1]Pivot Table_CED'!$A$3,"SUB TYPE",$B335))</f>
        <v/>
      </c>
      <c r="N335" s="92">
        <f>IF($L335="PROXY",DAVERAGE('[1]literature entries'!$D:$AI,IF($J335=1,"ACTIVE     CED, FARM GATE (MJ/kg)","CED, processor gate (MJ/kg)"),INDIRECT($K335)),GETPIVOTDATA(IF($J335=1,"Average of ACTIVE     CED, FARM GATE (MJ/kg)","Average of CED, processor gate (MJ/kg)"),'[1]Pivot Table_CED'!$A$3,"SUB TYPE",$B335))</f>
        <v/>
      </c>
      <c r="O335" s="92">
        <f>IF($L335="PROXY",DSTDEV('[1]literature entries'!D:AI,IF($J335=1,"ACTIVE     CED, FARM GATE (MJ/kg)","CED, processor gate (MJ/kg)"),INDIRECT($K335)),GETPIVOTDATA(IF($J335=1,"StdDev of ACTIVE     CED, FARM GATE (MJ/kg)","StdDev of CED, processor gate (MJ/kg)"),'[1]Pivot Table_CED'!$A$3,"SUB TYPE",$B335))</f>
        <v/>
      </c>
      <c r="P335" s="90">
        <f>IF(ISERROR(GETPIVOTDATA(IF($J335=1,"Count of ACTIVE     GHGE, FARM GATE (kg CO2e/kg)","Count of GHGE, processor gate (kg CO2e/kg)"),'[1]Pivot Table_GHG'!$A$3,"SUB TYPE",$B335)),"PROXY",IF(GETPIVOTDATA(IF($J335=1,"Count of ACTIVE     GHGE, FARM GATE (kg CO2e/kg)","Count of GHGE, processor gate (kg CO2e/kg)"),'[1]Pivot Table_GHG'!$A$3,"SUB TYPE",$B335)=0,"PROXY","DB value"))</f>
        <v/>
      </c>
      <c r="Q335" s="93">
        <f>IF($P335="PROXY",DCOUNT('[1]literature entries'!$D:$AI,IF($J335=1,"ACTIVE     GHGE, FARM GATE (kg CO2e/kg)","GHGE, processor gate (kg CO2e/kg)"),INDIRECT($K335)),GETPIVOTDATA(IF($J335=1,"ACTIVE     GHGE, FARM GATE (kg CO2e/kg)","Count of GHGE, processor gate (kg CO2e/kg)"),'[1]Pivot Table_GHG'!$A$3,"SUB TYPE",$B335))</f>
        <v/>
      </c>
      <c r="R335" s="94">
        <f>IF($P335="PROXY",DAVERAGE('[1]literature entries'!$D:$AI,IF($J335=1,"ACTIVE     GHGE, FARM GATE (kg CO2e/kg)","GHGE, processor gate (kg CO2e/kg)"),INDIRECT($K335)),GETPIVOTDATA(IF($J335=1,"Average of ACTIVE     GHGE, FARM GATE (kg CO2e/kg)","Average of GHGE, processor gate (kg CO2e/kg)"),'[1]Pivot Table_GHG'!$A$3,"SUB TYPE",$B335))</f>
        <v/>
      </c>
      <c r="S335" s="94">
        <f>IF($P335="PROXY",DSTDEV('[1]literature entries'!$D:$AI,IF($J335=1,"ACTIVE     GHGE, FARM GATE (kg CO2e/kg)","GHGE, processor gate (kg CO2e/kg)"),INDIRECT($K335)),GETPIVOTDATA(IF($J335=1,"StdDev of ACTIVE     GHGE, FARM GATE (kg CO2e/kg)","StdDev of GHGE, processor gate (kg CO2e/kg)"),'[1]Pivot Table_GHG'!$A$3,"SUB TYPE",$B335))</f>
        <v/>
      </c>
      <c r="T335" s="105" t="n"/>
      <c r="U335" s="106" t="n"/>
      <c r="V335" s="97" t="n"/>
      <c r="W335" s="98" t="inlineStr">
        <is>
          <t>choc_coffee_tea</t>
        </is>
      </c>
      <c r="X335" s="98">
        <f>IF($W335="DIRECT",M335,DCOUNT('[1]literature entries'!$D:$AI,IF($J335=1,"ACTIVE     CED, FARM GATE (MJ/kg)","CED, processor gate (MJ/kg)"),INDIRECT($W335)))</f>
        <v/>
      </c>
      <c r="Y335" s="98">
        <f>IF($W335="DIRECT","",DAVERAGE('[1]literature entries'!$D:$AI,IF($J335=1,"ACTIVE     CED, FARM GATE (MJ/kg)","CED, processor gate (MJ/kg)"),INDIRECT($W335)))</f>
        <v/>
      </c>
      <c r="Z335" s="98">
        <f>IF($W335="DIRECT",$O335,DSTDEV('[1]literature entries'!$D:$AI,IF($J335=1,"ACTIVE     CED, FARM GATE (MJ/kg)","CED, processor gate (MJ/kg)"),INDIRECT($W335)))</f>
        <v/>
      </c>
      <c r="AA335" s="98">
        <f>IF($W335="DIRECT",$O335,$Z335/$Y335*$N335)</f>
        <v/>
      </c>
      <c r="AB335" s="99" t="inlineStr">
        <is>
          <t>choc_coffee_tea</t>
        </is>
      </c>
      <c r="AC335" s="99">
        <f>IF($AB335="DIRECT",Q335,DCOUNT('[1]literature entries'!$D:$AI,IF($J335=1,"ACTIVE     GHGE, FARM GATE (kg CO2e/kg)","GHGE, processor gate (kg CO2e/kg)"),INDIRECT($AB335)))</f>
        <v/>
      </c>
      <c r="AD335" s="99">
        <f>IF($AB335="DIRECT","",DAVERAGE('[1]literature entries'!$D:$AI,IF($J335=1,"ACTIVE     GHGE, FARM GATE (kg CO2e/kg)","GHGE, processor gate (kg CO2e/kg)"),INDIRECT($AB335)))</f>
        <v/>
      </c>
      <c r="AE335" s="99">
        <f>IF($AB335="DIRECT",$S335,DSTDEV('[1]literature entries'!$D:$AI,IF($J335=1,"ACTIVE     GHGE, FARM GATE (kg CO2e/kg)","GHGE, processor gate (kg CO2e/kg)"),INDIRECT($AB335)))</f>
        <v/>
      </c>
      <c r="AF335" s="99">
        <f>IF($AB335="DIRECT",$S335,$AE335/$AD335*$R335)</f>
        <v/>
      </c>
    </row>
    <row r="336" ht="15.75" customHeight="1" s="201">
      <c r="A336" s="100" t="n">
        <v>9500115000</v>
      </c>
      <c r="B336" s="101" t="inlineStr">
        <is>
          <t>Coffee, roasted bean</t>
        </is>
      </c>
      <c r="C336" s="101" t="inlineStr">
        <is>
          <t>dry weight of bean</t>
        </is>
      </c>
      <c r="D336" s="101" t="n"/>
      <c r="E336" s="101" t="n">
        <v>15557</v>
      </c>
      <c r="F336" s="84">
        <f>N336*H336+T336</f>
        <v/>
      </c>
      <c r="G336" s="85">
        <f>R336*H336+U336</f>
        <v/>
      </c>
      <c r="H336" s="112" t="n">
        <v>1</v>
      </c>
      <c r="I336" s="103" t="inlineStr">
        <is>
          <t>none</t>
        </is>
      </c>
      <c r="J336" s="104" t="n">
        <v>2</v>
      </c>
      <c r="K336" s="89" t="n"/>
      <c r="L336" s="90">
        <f>IF(ISERROR(GETPIVOTDATA(IF($J336=1,"Count of ACTIVE     CED, FARM GATE (MJ/kg)","Count of CED, processor gate (MJ/kg)"),'[1]Pivot Table_CED'!$A$3,"SUB TYPE",$B336)),"PROXY",IF(GETPIVOTDATA(IF($J336=1,"Count of ACTIVE     CED, FARM GATE (MJ/kg)","Count of CED, processor gate (MJ/kg)"),'[1]Pivot Table_CED'!$A$3,"SUB TYPE",$B336)=0,"PROXY","DB value"))</f>
        <v/>
      </c>
      <c r="M336" s="91">
        <f>IF($L336="PROXY",DCOUNT('[1]literature entries'!$D:$AI,IF($J336=1,"ACTIVE     CED, FARM GATE (MJ/kg)","CED, processor gate (MJ/kg)"),INDIRECT($K336)),GETPIVOTDATA(IF($J336=1,"Count of ACTIVE     CED, FARM GATE (MJ/kg)","Count of CED, processor gate (MJ/kg)"),'[1]Pivot Table_CED'!$A$3,"SUB TYPE",$B336))</f>
        <v/>
      </c>
      <c r="N336" s="92">
        <f>IF($L336="PROXY",DAVERAGE('[1]literature entries'!$D:$AI,IF($J336=1,"ACTIVE     CED, FARM GATE (MJ/kg)","CED, processor gate (MJ/kg)"),INDIRECT($K336)),GETPIVOTDATA(IF($J336=1,"Average of ACTIVE     CED, FARM GATE (MJ/kg)","Average of CED, processor gate (MJ/kg)"),'[1]Pivot Table_CED'!$A$3,"SUB TYPE",$B336))</f>
        <v/>
      </c>
      <c r="O336" s="92">
        <f>IF($L336="PROXY",DSTDEV('[1]literature entries'!D:AI,IF($J336=1,"ACTIVE     CED, FARM GATE (MJ/kg)","CED, processor gate (MJ/kg)"),INDIRECT($K336)),GETPIVOTDATA(IF($J336=1,"StdDev of ACTIVE     CED, FARM GATE (MJ/kg)","StdDev of CED, processor gate (MJ/kg)"),'[1]Pivot Table_CED'!$A$3,"SUB TYPE",$B336))</f>
        <v/>
      </c>
      <c r="P336" s="90">
        <f>IF(ISERROR(GETPIVOTDATA(IF($J336=1,"Count of ACTIVE     GHGE, FARM GATE (kg CO2e/kg)","Count of GHGE, processor gate (kg CO2e/kg)"),'[1]Pivot Table_GHG'!$A$3,"SUB TYPE",$B336)),"PROXY",IF(GETPIVOTDATA(IF($J336=1,"Count of ACTIVE     GHGE, FARM GATE (kg CO2e/kg)","Count of GHGE, processor gate (kg CO2e/kg)"),'[1]Pivot Table_GHG'!$A$3,"SUB TYPE",$B336)=0,"PROXY","DB value"))</f>
        <v/>
      </c>
      <c r="Q336" s="93">
        <f>IF($P336="PROXY",DCOUNT('[1]literature entries'!$D:$AI,IF($J336=1,"ACTIVE     GHGE, FARM GATE (kg CO2e/kg)","GHGE, processor gate (kg CO2e/kg)"),INDIRECT($K336)),GETPIVOTDATA(IF($J336=1,"ACTIVE     GHGE, FARM GATE (kg CO2e/kg)","Count of GHGE, processor gate (kg CO2e/kg)"),'[1]Pivot Table_GHG'!$A$3,"SUB TYPE",$B336))</f>
        <v/>
      </c>
      <c r="R336" s="94">
        <f>IF($P336="PROXY",DAVERAGE('[1]literature entries'!$D:$AI,IF($J336=1,"ACTIVE     GHGE, FARM GATE (kg CO2e/kg)","GHGE, processor gate (kg CO2e/kg)"),INDIRECT($K336)),GETPIVOTDATA(IF($J336=1,"Average of ACTIVE     GHGE, FARM GATE (kg CO2e/kg)","Average of GHGE, processor gate (kg CO2e/kg)"),'[1]Pivot Table_GHG'!$A$3,"SUB TYPE",$B336))</f>
        <v/>
      </c>
      <c r="S336" s="94">
        <f>IF($P336="PROXY",DSTDEV('[1]literature entries'!$D:$AI,IF($J336=1,"ACTIVE     GHGE, FARM GATE (kg CO2e/kg)","GHGE, processor gate (kg CO2e/kg)"),INDIRECT($K336)),GETPIVOTDATA(IF($J336=1,"StdDev of ACTIVE     GHGE, FARM GATE (kg CO2e/kg)","StdDev of GHGE, processor gate (kg CO2e/kg)"),'[1]Pivot Table_GHG'!$A$3,"SUB TYPE",$B336))</f>
        <v/>
      </c>
      <c r="T336" s="105" t="n"/>
      <c r="U336" s="106" t="n"/>
      <c r="V336" s="97" t="n"/>
      <c r="W336" s="98" t="inlineStr">
        <is>
          <t>choc_coffee_tea</t>
        </is>
      </c>
      <c r="X336" s="98">
        <f>IF($W336="DIRECT",M336,DCOUNT('[1]literature entries'!$D:$AI,IF($J336=1,"ACTIVE     CED, FARM GATE (MJ/kg)","CED, processor gate (MJ/kg)"),INDIRECT($W336)))</f>
        <v/>
      </c>
      <c r="Y336" s="98">
        <f>IF($W336="DIRECT","",DAVERAGE('[1]literature entries'!$D:$AI,IF($J336=1,"ACTIVE     CED, FARM GATE (MJ/kg)","CED, processor gate (MJ/kg)"),INDIRECT($W336)))</f>
        <v/>
      </c>
      <c r="Z336" s="98">
        <f>IF($W336="DIRECT",$O336,DSTDEV('[1]literature entries'!$D:$AI,IF($J336=1,"ACTIVE     CED, FARM GATE (MJ/kg)","CED, processor gate (MJ/kg)"),INDIRECT($W336)))</f>
        <v/>
      </c>
      <c r="AA336" s="98">
        <f>IF($W336="DIRECT",$O336,$Z336/$Y336*$N336)</f>
        <v/>
      </c>
      <c r="AB336" s="99" t="inlineStr">
        <is>
          <t>choc_coffee_tea</t>
        </is>
      </c>
      <c r="AC336" s="99">
        <f>IF($AB336="DIRECT",Q336,DCOUNT('[1]literature entries'!$D:$AI,IF($J336=1,"ACTIVE     GHGE, FARM GATE (kg CO2e/kg)","GHGE, processor gate (kg CO2e/kg)"),INDIRECT($AB336)))</f>
        <v/>
      </c>
      <c r="AD336" s="99">
        <f>IF($AB336="DIRECT","",DAVERAGE('[1]literature entries'!$D:$AI,IF($J336=1,"ACTIVE     GHGE, FARM GATE (kg CO2e/kg)","GHGE, processor gate (kg CO2e/kg)"),INDIRECT($AB336)))</f>
        <v/>
      </c>
      <c r="AE336" s="99">
        <f>IF($AB336="DIRECT",$S336,DSTDEV('[1]literature entries'!$D:$AI,IF($J336=1,"ACTIVE     GHGE, FARM GATE (kg CO2e/kg)","GHGE, processor gate (kg CO2e/kg)"),INDIRECT($AB336)))</f>
        <v/>
      </c>
      <c r="AF336" s="99">
        <f>IF($AB336="DIRECT",$S336,$AE336/$AD336*$R336)</f>
        <v/>
      </c>
    </row>
    <row r="337" ht="15.75" customHeight="1" s="201">
      <c r="A337" s="100" t="n">
        <v>9500116000</v>
      </c>
      <c r="B337" s="101" t="inlineStr">
        <is>
          <t>Coffee, instant</t>
        </is>
      </c>
      <c r="C337" s="101" t="inlineStr">
        <is>
          <t>dry weight of powder or granules</t>
        </is>
      </c>
      <c r="D337" s="101" t="n"/>
      <c r="E337" s="101" t="n">
        <v>9445</v>
      </c>
      <c r="F337" s="84">
        <f>N337*H337+T337</f>
        <v/>
      </c>
      <c r="G337" s="85">
        <f>R337*H337+U337</f>
        <v/>
      </c>
      <c r="H337" s="112" t="n">
        <v>1</v>
      </c>
      <c r="I337" s="103" t="inlineStr">
        <is>
          <t>none</t>
        </is>
      </c>
      <c r="J337" s="104" t="n">
        <v>2</v>
      </c>
      <c r="K337" s="89" t="n"/>
      <c r="L337" s="90">
        <f>IF(ISERROR(GETPIVOTDATA(IF($J337=1,"Count of ACTIVE     CED, FARM GATE (MJ/kg)","Count of CED, processor gate (MJ/kg)"),'[1]Pivot Table_CED'!$A$3,"SUB TYPE",$B337)),"PROXY",IF(GETPIVOTDATA(IF($J337=1,"Count of ACTIVE     CED, FARM GATE (MJ/kg)","Count of CED, processor gate (MJ/kg)"),'[1]Pivot Table_CED'!$A$3,"SUB TYPE",$B337)=0,"PROXY","DB value"))</f>
        <v/>
      </c>
      <c r="M337" s="91">
        <f>IF($L337="PROXY",DCOUNT('[1]literature entries'!$D:$AI,IF($J337=1,"ACTIVE     CED, FARM GATE (MJ/kg)","CED, processor gate (MJ/kg)"),INDIRECT($K337)),GETPIVOTDATA(IF($J337=1,"Count of ACTIVE     CED, FARM GATE (MJ/kg)","Count of CED, processor gate (MJ/kg)"),'[1]Pivot Table_CED'!$A$3,"SUB TYPE",$B337))</f>
        <v/>
      </c>
      <c r="N337" s="92">
        <f>IF($L337="PROXY",DAVERAGE('[1]literature entries'!$D:$AI,IF($J337=1,"ACTIVE     CED, FARM GATE (MJ/kg)","CED, processor gate (MJ/kg)"),INDIRECT($K337)),GETPIVOTDATA(IF($J337=1,"Average of ACTIVE     CED, FARM GATE (MJ/kg)","Average of CED, processor gate (MJ/kg)"),'[1]Pivot Table_CED'!$A$3,"SUB TYPE",$B337))</f>
        <v/>
      </c>
      <c r="O337" s="92">
        <f>IF($L337="PROXY",DSTDEV('[1]literature entries'!D:AI,IF($J337=1,"ACTIVE     CED, FARM GATE (MJ/kg)","CED, processor gate (MJ/kg)"),INDIRECT($K337)),GETPIVOTDATA(IF($J337=1,"StdDev of ACTIVE     CED, FARM GATE (MJ/kg)","StdDev of CED, processor gate (MJ/kg)"),'[1]Pivot Table_CED'!$A$3,"SUB TYPE",$B337))</f>
        <v/>
      </c>
      <c r="P337" s="90">
        <f>IF(ISERROR(GETPIVOTDATA(IF($J337=1,"Count of ACTIVE     GHGE, FARM GATE (kg CO2e/kg)","Count of GHGE, processor gate (kg CO2e/kg)"),'[1]Pivot Table_GHG'!$A$3,"SUB TYPE",$B337)),"PROXY",IF(GETPIVOTDATA(IF($J337=1,"Count of ACTIVE     GHGE, FARM GATE (kg CO2e/kg)","Count of GHGE, processor gate (kg CO2e/kg)"),'[1]Pivot Table_GHG'!$A$3,"SUB TYPE",$B337)=0,"PROXY","DB value"))</f>
        <v/>
      </c>
      <c r="Q337" s="93">
        <f>IF($P337="PROXY",DCOUNT('[1]literature entries'!$D:$AI,IF($J337=1,"ACTIVE     GHGE, FARM GATE (kg CO2e/kg)","GHGE, processor gate (kg CO2e/kg)"),INDIRECT($K337)),GETPIVOTDATA(IF($J337=1,"ACTIVE     GHGE, FARM GATE (kg CO2e/kg)","Count of GHGE, processor gate (kg CO2e/kg)"),'[1]Pivot Table_GHG'!$A$3,"SUB TYPE",$B337))</f>
        <v/>
      </c>
      <c r="R337" s="94">
        <f>IF($P337="PROXY",DAVERAGE('[1]literature entries'!$D:$AI,IF($J337=1,"ACTIVE     GHGE, FARM GATE (kg CO2e/kg)","GHGE, processor gate (kg CO2e/kg)"),INDIRECT($K337)),GETPIVOTDATA(IF($J337=1,"Average of ACTIVE     GHGE, FARM GATE (kg CO2e/kg)","Average of GHGE, processor gate (kg CO2e/kg)"),'[1]Pivot Table_GHG'!$A$3,"SUB TYPE",$B337))</f>
        <v/>
      </c>
      <c r="S337" s="94">
        <f>IF($P337="PROXY",DSTDEV('[1]literature entries'!$D:$AI,IF($J337=1,"ACTIVE     GHGE, FARM GATE (kg CO2e/kg)","GHGE, processor gate (kg CO2e/kg)"),INDIRECT($K337)),GETPIVOTDATA(IF($J337=1,"StdDev of ACTIVE     GHGE, FARM GATE (kg CO2e/kg)","StdDev of GHGE, processor gate (kg CO2e/kg)"),'[1]Pivot Table_GHG'!$A$3,"SUB TYPE",$B337))</f>
        <v/>
      </c>
      <c r="T337" s="105" t="n"/>
      <c r="U337" s="106" t="n"/>
      <c r="V337" s="97" t="n"/>
      <c r="W337" s="98" t="inlineStr">
        <is>
          <t>choc_coffee_tea</t>
        </is>
      </c>
      <c r="X337" s="98">
        <f>IF($W337="DIRECT",M337,DCOUNT('[1]literature entries'!$D:$AI,IF($J337=1,"ACTIVE     CED, FARM GATE (MJ/kg)","CED, processor gate (MJ/kg)"),INDIRECT($W337)))</f>
        <v/>
      </c>
      <c r="Y337" s="98">
        <f>IF($W337="DIRECT","",DAVERAGE('[1]literature entries'!$D:$AI,IF($J337=1,"ACTIVE     CED, FARM GATE (MJ/kg)","CED, processor gate (MJ/kg)"),INDIRECT($W337)))</f>
        <v/>
      </c>
      <c r="Z337" s="98">
        <f>IF($W337="DIRECT",$O337,DSTDEV('[1]literature entries'!$D:$AI,IF($J337=1,"ACTIVE     CED, FARM GATE (MJ/kg)","CED, processor gate (MJ/kg)"),INDIRECT($W337)))</f>
        <v/>
      </c>
      <c r="AA337" s="98">
        <f>IF($W337="DIRECT",$O337,$Z337/$Y337*$N337)</f>
        <v/>
      </c>
      <c r="AB337" s="99" t="inlineStr">
        <is>
          <t>choc_coffee_tea</t>
        </is>
      </c>
      <c r="AC337" s="99">
        <f>IF($AB337="DIRECT",Q337,DCOUNT('[1]literature entries'!$D:$AI,IF($J337=1,"ACTIVE     GHGE, FARM GATE (kg CO2e/kg)","GHGE, processor gate (kg CO2e/kg)"),INDIRECT($AB337)))</f>
        <v/>
      </c>
      <c r="AD337" s="99">
        <f>IF($AB337="DIRECT","",DAVERAGE('[1]literature entries'!$D:$AI,IF($J337=1,"ACTIVE     GHGE, FARM GATE (kg CO2e/kg)","GHGE, processor gate (kg CO2e/kg)"),INDIRECT($AB337)))</f>
        <v/>
      </c>
      <c r="AE337" s="99">
        <f>IF($AB337="DIRECT",$S337,DSTDEV('[1]literature entries'!$D:$AI,IF($J337=1,"ACTIVE     GHGE, FARM GATE (kg CO2e/kg)","GHGE, processor gate (kg CO2e/kg)"),INDIRECT($AB337)))</f>
        <v/>
      </c>
      <c r="AF337" s="99">
        <f>IF($AB337="DIRECT",$S337,$AE337/$AD337*$R337)</f>
        <v/>
      </c>
    </row>
    <row r="338" ht="15.75" customHeight="1" s="201">
      <c r="A338" s="100" t="n">
        <v>9500177000</v>
      </c>
      <c r="B338" s="101" t="inlineStr">
        <is>
          <t>Grape, leaves</t>
        </is>
      </c>
      <c r="C338" s="101" t="inlineStr">
        <is>
          <t>weight of leaves</t>
        </is>
      </c>
      <c r="D338" s="101" t="n"/>
      <c r="E338" s="101" t="n">
        <v>5</v>
      </c>
      <c r="F338" s="84">
        <f>N338*H338+T338</f>
        <v/>
      </c>
      <c r="G338" s="85">
        <f>R338*H338+U338</f>
        <v/>
      </c>
      <c r="H338" s="102" t="n">
        <v>1</v>
      </c>
      <c r="I338" s="103" t="inlineStr">
        <is>
          <t>None</t>
        </is>
      </c>
      <c r="J338" s="104" t="n">
        <v>1</v>
      </c>
      <c r="K338" s="89" t="inlineStr">
        <is>
          <t>greens</t>
        </is>
      </c>
      <c r="L338" s="90">
        <f>IF(ISERROR(GETPIVOTDATA(IF($J338=1,"Count of ACTIVE     CED, FARM GATE (MJ/kg)","Count of CED, processor gate (MJ/kg)"),'[1]Pivot Table_CED'!$A$3,"SUB TYPE",$B338)),"PROXY",IF(GETPIVOTDATA(IF($J338=1,"Count of ACTIVE     CED, FARM GATE (MJ/kg)","Count of CED, processor gate (MJ/kg)"),'[1]Pivot Table_CED'!$A$3,"SUB TYPE",$B338)=0,"PROXY","DB value"))</f>
        <v/>
      </c>
      <c r="M338" s="91">
        <f>IF($L338="PROXY",DCOUNT('[1]literature entries'!$D:$AI,IF($J338=1,"ACTIVE     CED, FARM GATE (MJ/kg)","CED, processor gate (MJ/kg)"),INDIRECT($K338)),GETPIVOTDATA(IF($J338=1,"Count of ACTIVE     CED, FARM GATE (MJ/kg)","Count of CED, processor gate (MJ/kg)"),'[1]Pivot Table_CED'!$A$3,"SUB TYPE",$B338))</f>
        <v/>
      </c>
      <c r="N338" s="92">
        <f>IF($L338="PROXY",DAVERAGE('[1]literature entries'!$D:$AI,IF($J338=1,"ACTIVE     CED, FARM GATE (MJ/kg)","CED, processor gate (MJ/kg)"),INDIRECT($K338)),GETPIVOTDATA(IF($J338=1,"Average of ACTIVE     CED, FARM GATE (MJ/kg)","Average of CED, processor gate (MJ/kg)"),'[1]Pivot Table_CED'!$A$3,"SUB TYPE",$B338))</f>
        <v/>
      </c>
      <c r="O338" s="92">
        <f>IF($L338="PROXY",DSTDEV('[1]literature entries'!D:AI,IF($J338=1,"ACTIVE     CED, FARM GATE (MJ/kg)","CED, processor gate (MJ/kg)"),INDIRECT($K338)),GETPIVOTDATA(IF($J338=1,"StdDev of ACTIVE     CED, FARM GATE (MJ/kg)","StdDev of CED, processor gate (MJ/kg)"),'[1]Pivot Table_CED'!$A$3,"SUB TYPE",$B338))</f>
        <v/>
      </c>
      <c r="P338" s="90">
        <f>IF(ISERROR(GETPIVOTDATA(IF($J338=1,"Count of ACTIVE     GHGE, FARM GATE (kg CO2e/kg)","Count of GHGE, processor gate (kg CO2e/kg)"),'[1]Pivot Table_GHG'!$A$3,"SUB TYPE",$B338)),"PROXY",IF(GETPIVOTDATA(IF($J338=1,"Count of ACTIVE     GHGE, FARM GATE (kg CO2e/kg)","Count of GHGE, processor gate (kg CO2e/kg)"),'[1]Pivot Table_GHG'!$A$3,"SUB TYPE",$B338)=0,"PROXY","DB value"))</f>
        <v/>
      </c>
      <c r="Q338" s="93">
        <f>IF($P338="PROXY",DCOUNT('[1]literature entries'!$D:$AI,IF($J338=1,"ACTIVE     GHGE, FARM GATE (kg CO2e/kg)","GHGE, processor gate (kg CO2e/kg)"),INDIRECT($K338)),GETPIVOTDATA(IF($J338=1,"ACTIVE     GHGE, FARM GATE (kg CO2e/kg)","Count of GHGE, processor gate (kg CO2e/kg)"),'[1]Pivot Table_GHG'!$A$3,"SUB TYPE",$B338))</f>
        <v/>
      </c>
      <c r="R338" s="94">
        <f>IF($P338="PROXY",DAVERAGE('[1]literature entries'!$D:$AI,IF($J338=1,"ACTIVE     GHGE, FARM GATE (kg CO2e/kg)","GHGE, processor gate (kg CO2e/kg)"),INDIRECT($K338)),GETPIVOTDATA(IF($J338=1,"Average of ACTIVE     GHGE, FARM GATE (kg CO2e/kg)","Average of GHGE, processor gate (kg CO2e/kg)"),'[1]Pivot Table_GHG'!$A$3,"SUB TYPE",$B338))</f>
        <v/>
      </c>
      <c r="S338" s="94">
        <f>IF($P338="PROXY",DSTDEV('[1]literature entries'!$D:$AI,IF($J338=1,"ACTIVE     GHGE, FARM GATE (kg CO2e/kg)","GHGE, processor gate (kg CO2e/kg)"),INDIRECT($K338)),GETPIVOTDATA(IF($J338=1,"StdDev of ACTIVE     GHGE, FARM GATE (kg CO2e/kg)","StdDev of GHGE, processor gate (kg CO2e/kg)"),'[1]Pivot Table_GHG'!$A$3,"SUB TYPE",$B338))</f>
        <v/>
      </c>
      <c r="T338" s="105" t="n"/>
      <c r="U338" s="106" t="n"/>
      <c r="V338" s="97" t="n"/>
      <c r="W338" s="98">
        <f>IF(L338="PROXY",IF(M338&gt;=5,K338,"need group"),IF(M338&gt;=5,"DIRECT","need group"))</f>
        <v/>
      </c>
      <c r="X338" s="98">
        <f>IF($W338="DIRECT",M338,DCOUNT('[1]literature entries'!$D:$AI,IF($J338=1,"ACTIVE     CED, FARM GATE (MJ/kg)","CED, processor gate (MJ/kg)"),INDIRECT($W338)))</f>
        <v/>
      </c>
      <c r="Y338" s="98">
        <f>IF($W338="DIRECT","",DAVERAGE('[1]literature entries'!$D:$AI,IF($J338=1,"ACTIVE     CED, FARM GATE (MJ/kg)","CED, processor gate (MJ/kg)"),INDIRECT($W338)))</f>
        <v/>
      </c>
      <c r="Z338" s="98">
        <f>IF($W338="DIRECT",$O338,DSTDEV('[1]literature entries'!$D:$AI,IF($J338=1,"ACTIVE     CED, FARM GATE (MJ/kg)","CED, processor gate (MJ/kg)"),INDIRECT($W338)))</f>
        <v/>
      </c>
      <c r="AA338" s="98">
        <f>IF($W338="DIRECT",$O338,$Z338/$Y338*$N338)</f>
        <v/>
      </c>
      <c r="AB338" s="99">
        <f>IF(P338="PROXY",IF(Q338&gt;=5,K338,"need group"),IF(Q338&gt;=5,"DIRECT","need group"))</f>
        <v/>
      </c>
      <c r="AC338" s="99">
        <f>IF($AB338="DIRECT",Q338,DCOUNT('[1]literature entries'!$D:$AI,IF($J338=1,"ACTIVE     GHGE, FARM GATE (kg CO2e/kg)","GHGE, processor gate (kg CO2e/kg)"),INDIRECT($AB338)))</f>
        <v/>
      </c>
      <c r="AD338" s="99">
        <f>IF($AB338="DIRECT","",DAVERAGE('[1]literature entries'!$D:$AI,IF($J338=1,"ACTIVE     GHGE, FARM GATE (kg CO2e/kg)","GHGE, processor gate (kg CO2e/kg)"),INDIRECT($AB338)))</f>
        <v/>
      </c>
      <c r="AE338" s="99">
        <f>IF($AB338="DIRECT",$S338,DSTDEV('[1]literature entries'!$D:$AI,IF($J338=1,"ACTIVE     GHGE, FARM GATE (kg CO2e/kg)","GHGE, processor gate (kg CO2e/kg)"),INDIRECT($AB338)))</f>
        <v/>
      </c>
      <c r="AF338" s="99">
        <f>IF($AB338="DIRECT",$S338,$AE338/$AD338*$R338)</f>
        <v/>
      </c>
    </row>
    <row r="339" ht="15.75" customHeight="1" s="201">
      <c r="A339" s="100" t="n">
        <v>9500186000</v>
      </c>
      <c r="B339" s="101" t="inlineStr">
        <is>
          <t>Honey</t>
        </is>
      </c>
      <c r="C339" s="101" t="inlineStr">
        <is>
          <t>weight of honey</t>
        </is>
      </c>
      <c r="D339" s="101" t="n"/>
      <c r="E339" s="101" t="n">
        <v>22697</v>
      </c>
      <c r="F339" s="84">
        <f>N339*H339+T339</f>
        <v/>
      </c>
      <c r="G339" s="85">
        <f>R339*H339+U339</f>
        <v/>
      </c>
      <c r="H339" s="102" t="n">
        <v>1</v>
      </c>
      <c r="I339" s="103" t="inlineStr">
        <is>
          <t>FICRCD</t>
        </is>
      </c>
      <c r="J339" s="104" t="n">
        <v>2</v>
      </c>
      <c r="K339" s="89" t="n"/>
      <c r="L339" s="90">
        <f>IF(ISERROR(GETPIVOTDATA(IF($J339=1,"Count of ACTIVE     CED, FARM GATE (MJ/kg)","Count of CED, processor gate (MJ/kg)"),'[1]Pivot Table_CED'!$A$3,"SUB TYPE",$B339)),"PROXY",IF(GETPIVOTDATA(IF($J339=1,"Count of ACTIVE     CED, FARM GATE (MJ/kg)","Count of CED, processor gate (MJ/kg)"),'[1]Pivot Table_CED'!$A$3,"SUB TYPE",$B339)=0,"PROXY","DB value"))</f>
        <v/>
      </c>
      <c r="M339" s="91">
        <f>IF($L339="PROXY",DCOUNT('[1]literature entries'!$D:$AI,IF($J339=1,"ACTIVE     CED, FARM GATE (MJ/kg)","CED, processor gate (MJ/kg)"),INDIRECT($K339)),GETPIVOTDATA(IF($J339=1,"Count of ACTIVE     CED, FARM GATE (MJ/kg)","Count of CED, processor gate (MJ/kg)"),'[1]Pivot Table_CED'!$A$3,"SUB TYPE",$B339))</f>
        <v/>
      </c>
      <c r="N339" s="92">
        <f>IF($L339="PROXY",DAVERAGE('[1]literature entries'!$D:$AI,IF($J339=1,"ACTIVE     CED, FARM GATE (MJ/kg)","CED, processor gate (MJ/kg)"),INDIRECT($K339)),GETPIVOTDATA(IF($J339=1,"Average of ACTIVE     CED, FARM GATE (MJ/kg)","Average of CED, processor gate (MJ/kg)"),'[1]Pivot Table_CED'!$A$3,"SUB TYPE",$B339))</f>
        <v/>
      </c>
      <c r="O339" s="92">
        <f>IF($L339="PROXY",DSTDEV('[1]literature entries'!D:AI,IF($J339=1,"ACTIVE     CED, FARM GATE (MJ/kg)","CED, processor gate (MJ/kg)"),INDIRECT($K339)),GETPIVOTDATA(IF($J339=1,"StdDev of ACTIVE     CED, FARM GATE (MJ/kg)","StdDev of CED, processor gate (MJ/kg)"),'[1]Pivot Table_CED'!$A$3,"SUB TYPE",$B339))</f>
        <v/>
      </c>
      <c r="P339" s="90">
        <f>IF(ISERROR(GETPIVOTDATA(IF($J339=1,"Count of ACTIVE     GHGE, FARM GATE (kg CO2e/kg)","Count of GHGE, processor gate (kg CO2e/kg)"),'[1]Pivot Table_GHG'!$A$3,"SUB TYPE",$B339)),"PROXY",IF(GETPIVOTDATA(IF($J339=1,"Count of ACTIVE     GHGE, FARM GATE (kg CO2e/kg)","Count of GHGE, processor gate (kg CO2e/kg)"),'[1]Pivot Table_GHG'!$A$3,"SUB TYPE",$B339)=0,"PROXY","DB value"))</f>
        <v/>
      </c>
      <c r="Q339" s="93">
        <f>IF($P339="PROXY",DCOUNT('[1]literature entries'!$D:$AI,IF($J339=1,"ACTIVE     GHGE, FARM GATE (kg CO2e/kg)","GHGE, processor gate (kg CO2e/kg)"),INDIRECT($K339)),GETPIVOTDATA(IF($J339=1,"ACTIVE     GHGE, FARM GATE (kg CO2e/kg)","Count of GHGE, processor gate (kg CO2e/kg)"),'[1]Pivot Table_GHG'!$A$3,"SUB TYPE",$B339))</f>
        <v/>
      </c>
      <c r="R339" s="94">
        <f>IF($P339="PROXY",DAVERAGE('[1]literature entries'!$D:$AI,IF($J339=1,"ACTIVE     GHGE, FARM GATE (kg CO2e/kg)","GHGE, processor gate (kg CO2e/kg)"),INDIRECT($K339)),GETPIVOTDATA(IF($J339=1,"Average of ACTIVE     GHGE, FARM GATE (kg CO2e/kg)","Average of GHGE, processor gate (kg CO2e/kg)"),'[1]Pivot Table_GHG'!$A$3,"SUB TYPE",$B339))</f>
        <v/>
      </c>
      <c r="S339" s="94">
        <f>IF($P339="PROXY",DSTDEV('[1]literature entries'!$D:$AI,IF($J339=1,"ACTIVE     GHGE, FARM GATE (kg CO2e/kg)","GHGE, processor gate (kg CO2e/kg)"),INDIRECT($K339)),GETPIVOTDATA(IF($J339=1,"StdDev of ACTIVE     GHGE, FARM GATE (kg CO2e/kg)","StdDev of GHGE, processor gate (kg CO2e/kg)"),'[1]Pivot Table_GHG'!$A$3,"SUB TYPE",$B339))</f>
        <v/>
      </c>
      <c r="T339" s="105" t="n"/>
      <c r="U339" s="106" t="n"/>
      <c r="V339" s="97" t="n"/>
      <c r="W339" s="98" t="inlineStr">
        <is>
          <t>sweeteners</t>
        </is>
      </c>
      <c r="X339" s="98">
        <f>IF($W339="DIRECT",M339,DCOUNT('[1]literature entries'!$D:$AI,IF($J339=1,"ACTIVE     CED, FARM GATE (MJ/kg)","CED, processor gate (MJ/kg)"),INDIRECT($W339)))</f>
        <v/>
      </c>
      <c r="Y339" s="98">
        <f>IF($W339="DIRECT","",DAVERAGE('[1]literature entries'!$D:$AI,IF($J339=1,"ACTIVE     CED, FARM GATE (MJ/kg)","CED, processor gate (MJ/kg)"),INDIRECT($W339)))</f>
        <v/>
      </c>
      <c r="Z339" s="98">
        <f>IF($W339="DIRECT",$O339,DSTDEV('[1]literature entries'!$D:$AI,IF($J339=1,"ACTIVE     CED, FARM GATE (MJ/kg)","CED, processor gate (MJ/kg)"),INDIRECT($W339)))</f>
        <v/>
      </c>
      <c r="AA339" s="98">
        <f>IF($W339="DIRECT",$O339,$Z339/$Y339*$N339)</f>
        <v/>
      </c>
      <c r="AB339" s="99" t="inlineStr">
        <is>
          <t>sweeteners</t>
        </is>
      </c>
      <c r="AC339" s="99">
        <f>IF($AB339="DIRECT",Q339,DCOUNT('[1]literature entries'!$D:$AI,IF($J339=1,"ACTIVE     GHGE, FARM GATE (kg CO2e/kg)","GHGE, processor gate (kg CO2e/kg)"),INDIRECT($AB339)))</f>
        <v/>
      </c>
      <c r="AD339" s="99">
        <f>IF($AB339="DIRECT","",DAVERAGE('[1]literature entries'!$D:$AI,IF($J339=1,"ACTIVE     GHGE, FARM GATE (kg CO2e/kg)","GHGE, processor gate (kg CO2e/kg)"),INDIRECT($AB339)))</f>
        <v/>
      </c>
      <c r="AE339" s="99">
        <f>IF($AB339="DIRECT",$S339,DSTDEV('[1]literature entries'!$D:$AI,IF($J339=1,"ACTIVE     GHGE, FARM GATE (kg CO2e/kg)","GHGE, processor gate (kg CO2e/kg)"),INDIRECT($AB339)))</f>
        <v/>
      </c>
      <c r="AF339" s="99">
        <f>IF($AB339="DIRECT",$S339,$AE339/$AD339*$R339)</f>
        <v/>
      </c>
    </row>
    <row r="340" ht="15.75" customHeight="1" s="201">
      <c r="A340" s="100" t="n">
        <v>9500186100</v>
      </c>
      <c r="B340" s="101" t="inlineStr">
        <is>
          <t>Bee pollen</t>
        </is>
      </c>
      <c r="C340" s="101" t="inlineStr">
        <is>
          <t>N/A - Does not exist in "commodity vocabulary" weight basis file in current or previous release</t>
        </is>
      </c>
      <c r="D340" s="101" t="inlineStr">
        <is>
          <t>#N/A</t>
        </is>
      </c>
      <c r="E340" s="101" t="n">
        <v>1</v>
      </c>
      <c r="F340" s="84">
        <f>N340*H340+T340</f>
        <v/>
      </c>
      <c r="G340" s="85">
        <f>R340*H340+U340</f>
        <v/>
      </c>
      <c r="H340" s="102" t="n">
        <v>1</v>
      </c>
      <c r="I340" s="103" t="inlineStr">
        <is>
          <t>None</t>
        </is>
      </c>
      <c r="J340" s="104" t="n">
        <v>2</v>
      </c>
      <c r="K340" s="89" t="inlineStr">
        <is>
          <t>honey</t>
        </is>
      </c>
      <c r="L340" s="90">
        <f>IF(ISERROR(GETPIVOTDATA(IF($J340=1,"Count of ACTIVE     CED, FARM GATE (MJ/kg)","Count of CED, processor gate (MJ/kg)"),'[1]Pivot Table_CED'!$A$3,"SUB TYPE",$B340)),"PROXY",IF(GETPIVOTDATA(IF($J340=1,"Count of ACTIVE     CED, FARM GATE (MJ/kg)","Count of CED, processor gate (MJ/kg)"),'[1]Pivot Table_CED'!$A$3,"SUB TYPE",$B340)=0,"PROXY","DB value"))</f>
        <v/>
      </c>
      <c r="M340" s="91">
        <f>IF($L340="PROXY",DCOUNT('[1]literature entries'!$D:$AI,IF($J340=1,"ACTIVE     CED, FARM GATE (MJ/kg)","CED, processor gate (MJ/kg)"),INDIRECT($K340)),GETPIVOTDATA(IF($J340=1,"Count of ACTIVE     CED, FARM GATE (MJ/kg)","Count of CED, processor gate (MJ/kg)"),'[1]Pivot Table_CED'!$A$3,"SUB TYPE",$B340))</f>
        <v/>
      </c>
      <c r="N340" s="92">
        <f>IF($L340="PROXY",DAVERAGE('[1]literature entries'!$D:$AI,IF($J340=1,"ACTIVE     CED, FARM GATE (MJ/kg)","CED, processor gate (MJ/kg)"),INDIRECT($K340)),GETPIVOTDATA(IF($J340=1,"Average of ACTIVE     CED, FARM GATE (MJ/kg)","Average of CED, processor gate (MJ/kg)"),'[1]Pivot Table_CED'!$A$3,"SUB TYPE",$B340))</f>
        <v/>
      </c>
      <c r="O340" s="92">
        <f>IF($L340="PROXY",DSTDEV('[1]literature entries'!D:AI,IF($J340=1,"ACTIVE     CED, FARM GATE (MJ/kg)","CED, processor gate (MJ/kg)"),INDIRECT($K340)),GETPIVOTDATA(IF($J340=1,"StdDev of ACTIVE     CED, FARM GATE (MJ/kg)","StdDev of CED, processor gate (MJ/kg)"),'[1]Pivot Table_CED'!$A$3,"SUB TYPE",$B340))</f>
        <v/>
      </c>
      <c r="P340" s="90">
        <f>IF(ISERROR(GETPIVOTDATA(IF($J340=1,"Count of ACTIVE     GHGE, FARM GATE (kg CO2e/kg)","Count of GHGE, processor gate (kg CO2e/kg)"),'[1]Pivot Table_GHG'!$A$3,"SUB TYPE",$B340)),"PROXY",IF(GETPIVOTDATA(IF($J340=1,"Count of ACTIVE     GHGE, FARM GATE (kg CO2e/kg)","Count of GHGE, processor gate (kg CO2e/kg)"),'[1]Pivot Table_GHG'!$A$3,"SUB TYPE",$B340)=0,"PROXY","DB value"))</f>
        <v/>
      </c>
      <c r="Q340" s="93">
        <f>IF($P340="PROXY",DCOUNT('[1]literature entries'!$D:$AI,IF($J340=1,"ACTIVE     GHGE, FARM GATE (kg CO2e/kg)","GHGE, processor gate (kg CO2e/kg)"),INDIRECT($K340)),GETPIVOTDATA(IF($J340=1,"ACTIVE     GHGE, FARM GATE (kg CO2e/kg)","Count of GHGE, processor gate (kg CO2e/kg)"),'[1]Pivot Table_GHG'!$A$3,"SUB TYPE",$B340))</f>
        <v/>
      </c>
      <c r="R340" s="94">
        <f>IF($P340="PROXY",DAVERAGE('[1]literature entries'!$D:$AI,IF($J340=1,"ACTIVE     GHGE, FARM GATE (kg CO2e/kg)","GHGE, processor gate (kg CO2e/kg)"),INDIRECT($K340)),GETPIVOTDATA(IF($J340=1,"Average of ACTIVE     GHGE, FARM GATE (kg CO2e/kg)","Average of GHGE, processor gate (kg CO2e/kg)"),'[1]Pivot Table_GHG'!$A$3,"SUB TYPE",$B340))</f>
        <v/>
      </c>
      <c r="S340" s="94">
        <f>IF($P340="PROXY",DSTDEV('[1]literature entries'!$D:$AI,IF($J340=1,"ACTIVE     GHGE, FARM GATE (kg CO2e/kg)","GHGE, processor gate (kg CO2e/kg)"),INDIRECT($K340)),GETPIVOTDATA(IF($J340=1,"StdDev of ACTIVE     GHGE, FARM GATE (kg CO2e/kg)","StdDev of GHGE, processor gate (kg CO2e/kg)"),'[1]Pivot Table_GHG'!$A$3,"SUB TYPE",$B340))</f>
        <v/>
      </c>
      <c r="T340" s="105" t="n"/>
      <c r="U340" s="106" t="n"/>
      <c r="V340" s="97" t="n"/>
      <c r="W340" s="98" t="inlineStr">
        <is>
          <t>sweeteners</t>
        </is>
      </c>
      <c r="X340" s="98">
        <f>IF($W340="DIRECT",M340,DCOUNT('[1]literature entries'!$D:$AI,IF($J340=1,"ACTIVE     CED, FARM GATE (MJ/kg)","CED, processor gate (MJ/kg)"),INDIRECT($W340)))</f>
        <v/>
      </c>
      <c r="Y340" s="98">
        <f>IF($W340="DIRECT","",DAVERAGE('[1]literature entries'!$D:$AI,IF($J340=1,"ACTIVE     CED, FARM GATE (MJ/kg)","CED, processor gate (MJ/kg)"),INDIRECT($W340)))</f>
        <v/>
      </c>
      <c r="Z340" s="98">
        <f>IF($W340="DIRECT",$O340,DSTDEV('[1]literature entries'!$D:$AI,IF($J340=1,"ACTIVE     CED, FARM GATE (MJ/kg)","CED, processor gate (MJ/kg)"),INDIRECT($W340)))</f>
        <v/>
      </c>
      <c r="AA340" s="98">
        <f>IF($W340="DIRECT",$O340,$Z340/$Y340*$N340)</f>
        <v/>
      </c>
      <c r="AB340" s="99" t="inlineStr">
        <is>
          <t>sweeteners</t>
        </is>
      </c>
      <c r="AC340" s="99">
        <f>IF($AB340="DIRECT",Q340,DCOUNT('[1]literature entries'!$D:$AI,IF($J340=1,"ACTIVE     GHGE, FARM GATE (kg CO2e/kg)","GHGE, processor gate (kg CO2e/kg)"),INDIRECT($AB340)))</f>
        <v/>
      </c>
      <c r="AD340" s="99">
        <f>IF($AB340="DIRECT","",DAVERAGE('[1]literature entries'!$D:$AI,IF($J340=1,"ACTIVE     GHGE, FARM GATE (kg CO2e/kg)","GHGE, processor gate (kg CO2e/kg)"),INDIRECT($AB340)))</f>
        <v/>
      </c>
      <c r="AE340" s="99">
        <f>IF($AB340="DIRECT",$S340,DSTDEV('[1]literature entries'!$D:$AI,IF($J340=1,"ACTIVE     GHGE, FARM GATE (kg CO2e/kg)","GHGE, processor gate (kg CO2e/kg)"),INDIRECT($AB340)))</f>
        <v/>
      </c>
      <c r="AF340" s="99">
        <f>IF($AB340="DIRECT",$S340,$AE340/$AD340*$R340)</f>
        <v/>
      </c>
    </row>
    <row r="341" ht="15.75" customHeight="1" s="201">
      <c r="A341" s="100" t="n">
        <v>9500188000</v>
      </c>
      <c r="B341" s="101" t="inlineStr">
        <is>
          <t>Hops</t>
        </is>
      </c>
      <c r="C341" s="101" t="inlineStr">
        <is>
          <t>weight of dried hops</t>
        </is>
      </c>
      <c r="D341" s="101" t="n"/>
      <c r="E341" s="101" t="n">
        <v>3551</v>
      </c>
      <c r="F341" s="84">
        <f>N341*H341+T341</f>
        <v/>
      </c>
      <c r="G341" s="85">
        <f>R341*H341+U341</f>
        <v/>
      </c>
      <c r="H341" s="102" t="n">
        <v>1</v>
      </c>
      <c r="I341" s="103" t="inlineStr">
        <is>
          <t>None</t>
        </is>
      </c>
      <c r="J341" s="104" t="n">
        <v>1</v>
      </c>
      <c r="K341" s="89" t="inlineStr">
        <is>
          <t>Grape</t>
        </is>
      </c>
      <c r="L341" s="90">
        <f>IF(ISERROR(GETPIVOTDATA(IF($J341=1,"Count of ACTIVE     CED, FARM GATE (MJ/kg)","Count of CED, processor gate (MJ/kg)"),'[1]Pivot Table_CED'!$A$3,"SUB TYPE",$B341)),"PROXY",IF(GETPIVOTDATA(IF($J341=1,"Count of ACTIVE     CED, FARM GATE (MJ/kg)","Count of CED, processor gate (MJ/kg)"),'[1]Pivot Table_CED'!$A$3,"SUB TYPE",$B341)=0,"PROXY","DB value"))</f>
        <v/>
      </c>
      <c r="M341" s="91">
        <f>IF($L341="PROXY",DCOUNT('[1]literature entries'!$D:$AI,IF($J341=1,"ACTIVE     CED, FARM GATE (MJ/kg)","CED, processor gate (MJ/kg)"),INDIRECT($K341)),GETPIVOTDATA(IF($J341=1,"Count of ACTIVE     CED, FARM GATE (MJ/kg)","Count of CED, processor gate (MJ/kg)"),'[1]Pivot Table_CED'!$A$3,"SUB TYPE",$B341))</f>
        <v/>
      </c>
      <c r="N341" s="92">
        <f>IF($L341="PROXY",DAVERAGE('[1]literature entries'!$D:$AI,IF($J341=1,"ACTIVE     CED, FARM GATE (MJ/kg)","CED, processor gate (MJ/kg)"),INDIRECT($K341)),GETPIVOTDATA(IF($J341=1,"Average of ACTIVE     CED, FARM GATE (MJ/kg)","Average of CED, processor gate (MJ/kg)"),'[1]Pivot Table_CED'!$A$3,"SUB TYPE",$B341))</f>
        <v/>
      </c>
      <c r="O341" s="92">
        <f>IF($L341="PROXY",DSTDEV('[1]literature entries'!D:AI,IF($J341=1,"ACTIVE     CED, FARM GATE (MJ/kg)","CED, processor gate (MJ/kg)"),INDIRECT($K341)),GETPIVOTDATA(IF($J341=1,"StdDev of ACTIVE     CED, FARM GATE (MJ/kg)","StdDev of CED, processor gate (MJ/kg)"),'[1]Pivot Table_CED'!$A$3,"SUB TYPE",$B341))</f>
        <v/>
      </c>
      <c r="P341" s="90">
        <f>IF(ISERROR(GETPIVOTDATA(IF($J341=1,"Count of ACTIVE     GHGE, FARM GATE (kg CO2e/kg)","Count of GHGE, processor gate (kg CO2e/kg)"),'[1]Pivot Table_GHG'!$A$3,"SUB TYPE",$B341)),"PROXY",IF(GETPIVOTDATA(IF($J341=1,"Count of ACTIVE     GHGE, FARM GATE (kg CO2e/kg)","Count of GHGE, processor gate (kg CO2e/kg)"),'[1]Pivot Table_GHG'!$A$3,"SUB TYPE",$B341)=0,"PROXY","DB value"))</f>
        <v/>
      </c>
      <c r="Q341" s="93">
        <f>IF($P341="PROXY",DCOUNT('[1]literature entries'!$D:$AI,IF($J341=1,"ACTIVE     GHGE, FARM GATE (kg CO2e/kg)","GHGE, processor gate (kg CO2e/kg)"),INDIRECT($K341)),GETPIVOTDATA(IF($J341=1,"ACTIVE     GHGE, FARM GATE (kg CO2e/kg)","Count of GHGE, processor gate (kg CO2e/kg)"),'[1]Pivot Table_GHG'!$A$3,"SUB TYPE",$B341))</f>
        <v/>
      </c>
      <c r="R341" s="94">
        <f>IF($P341="PROXY",DAVERAGE('[1]literature entries'!$D:$AI,IF($J341=1,"ACTIVE     GHGE, FARM GATE (kg CO2e/kg)","GHGE, processor gate (kg CO2e/kg)"),INDIRECT($K341)),GETPIVOTDATA(IF($J341=1,"Average of ACTIVE     GHGE, FARM GATE (kg CO2e/kg)","Average of GHGE, processor gate (kg CO2e/kg)"),'[1]Pivot Table_GHG'!$A$3,"SUB TYPE",$B341))</f>
        <v/>
      </c>
      <c r="S341" s="94">
        <f>IF($P341="PROXY",DSTDEV('[1]literature entries'!$D:$AI,IF($J341=1,"ACTIVE     GHGE, FARM GATE (kg CO2e/kg)","GHGE, processor gate (kg CO2e/kg)"),INDIRECT($K341)),GETPIVOTDATA(IF($J341=1,"StdDev of ACTIVE     GHGE, FARM GATE (kg CO2e/kg)","StdDev of GHGE, processor gate (kg CO2e/kg)"),'[1]Pivot Table_GHG'!$A$3,"SUB TYPE",$B341))</f>
        <v/>
      </c>
      <c r="T341" s="105" t="n"/>
      <c r="U341" s="106" t="n"/>
      <c r="V341" s="97" t="n"/>
      <c r="W341" s="98" t="inlineStr">
        <is>
          <t>berry</t>
        </is>
      </c>
      <c r="X341" s="98">
        <f>IF($W341="DIRECT",M341,DCOUNT('[1]literature entries'!$D:$AI,IF($J341=1,"ACTIVE     CED, FARM GATE (MJ/kg)","CED, processor gate (MJ/kg)"),INDIRECT($W341)))</f>
        <v/>
      </c>
      <c r="Y341" s="98">
        <f>IF($W341="DIRECT","",DAVERAGE('[1]literature entries'!$D:$AI,IF($J341=1,"ACTIVE     CED, FARM GATE (MJ/kg)","CED, processor gate (MJ/kg)"),INDIRECT($W341)))</f>
        <v/>
      </c>
      <c r="Z341" s="98">
        <f>IF($W341="DIRECT",$O341,DSTDEV('[1]literature entries'!$D:$AI,IF($J341=1,"ACTIVE     CED, FARM GATE (MJ/kg)","CED, processor gate (MJ/kg)"),INDIRECT($W341)))</f>
        <v/>
      </c>
      <c r="AA341" s="98">
        <f>IF($W341="DIRECT",$O341,$Z341/$Y341*$N341)</f>
        <v/>
      </c>
      <c r="AB341" s="99" t="inlineStr">
        <is>
          <t>berry</t>
        </is>
      </c>
      <c r="AC341" s="99">
        <f>IF($AB341="DIRECT",Q341,DCOUNT('[1]literature entries'!$D:$AI,IF($J341=1,"ACTIVE     GHGE, FARM GATE (kg CO2e/kg)","GHGE, processor gate (kg CO2e/kg)"),INDIRECT($AB341)))</f>
        <v/>
      </c>
      <c r="AD341" s="99">
        <f>IF($AB341="DIRECT","",DAVERAGE('[1]literature entries'!$D:$AI,IF($J341=1,"ACTIVE     GHGE, FARM GATE (kg CO2e/kg)","GHGE, processor gate (kg CO2e/kg)"),INDIRECT($AB341)))</f>
        <v/>
      </c>
      <c r="AE341" s="99">
        <f>IF($AB341="DIRECT",$S341,DSTDEV('[1]literature entries'!$D:$AI,IF($J341=1,"ACTIVE     GHGE, FARM GATE (kg CO2e/kg)","GHGE, processor gate (kg CO2e/kg)"),INDIRECT($AB341)))</f>
        <v/>
      </c>
      <c r="AF341" s="99">
        <f>IF($AB341="DIRECT",$S341,$AE341/$AD341*$R341)</f>
        <v/>
      </c>
    </row>
    <row r="342" ht="15.75" customHeight="1" s="201">
      <c r="A342" s="100" t="n">
        <v>9500218000</v>
      </c>
      <c r="B342" s="101" t="inlineStr">
        <is>
          <t>Maple, sugar</t>
        </is>
      </c>
      <c r="C342" s="101" t="inlineStr">
        <is>
          <t>dry weight of sugar</t>
        </is>
      </c>
      <c r="D342" s="101" t="n"/>
      <c r="E342" s="101" t="n">
        <v>1794</v>
      </c>
      <c r="F342" s="84">
        <f>N342*H342+T342</f>
        <v/>
      </c>
      <c r="G342" s="85">
        <f>R342*H342+U342</f>
        <v/>
      </c>
      <c r="H342" s="102" t="n">
        <v>1.36</v>
      </c>
      <c r="I342" s="103" t="inlineStr">
        <is>
          <t>NNDSR28</t>
        </is>
      </c>
      <c r="J342" s="104" t="n">
        <v>2</v>
      </c>
      <c r="K342" s="89" t="inlineStr">
        <is>
          <t>Maple_syrup</t>
        </is>
      </c>
      <c r="L342" s="90">
        <f>IF(ISERROR(GETPIVOTDATA(IF($J342=1,"Count of ACTIVE     CED, FARM GATE (MJ/kg)","Count of CED, processor gate (MJ/kg)"),'[1]Pivot Table_CED'!$A$3,"SUB TYPE",$B342)),"PROXY",IF(GETPIVOTDATA(IF($J342=1,"Count of ACTIVE     CED, FARM GATE (MJ/kg)","Count of CED, processor gate (MJ/kg)"),'[1]Pivot Table_CED'!$A$3,"SUB TYPE",$B342)=0,"PROXY","DB value"))</f>
        <v/>
      </c>
      <c r="M342" s="91">
        <f>IF($L342="PROXY",DCOUNT('[1]literature entries'!$D:$AI,IF($J342=1,"ACTIVE     CED, FARM GATE (MJ/kg)","CED, processor gate (MJ/kg)"),INDIRECT($K342)),GETPIVOTDATA(IF($J342=1,"Count of ACTIVE     CED, FARM GATE (MJ/kg)","Count of CED, processor gate (MJ/kg)"),'[1]Pivot Table_CED'!$A$3,"SUB TYPE",$B342))</f>
        <v/>
      </c>
      <c r="N342" s="92">
        <f>IF($L342="PROXY",DAVERAGE('[1]literature entries'!$D:$AI,IF($J342=1,"ACTIVE     CED, FARM GATE (MJ/kg)","CED, processor gate (MJ/kg)"),INDIRECT($K342)),GETPIVOTDATA(IF($J342=1,"Average of ACTIVE     CED, FARM GATE (MJ/kg)","Average of CED, processor gate (MJ/kg)"),'[1]Pivot Table_CED'!$A$3,"SUB TYPE",$B342))</f>
        <v/>
      </c>
      <c r="O342" s="92">
        <f>IF($L342="PROXY",DSTDEV('[1]literature entries'!D:AI,IF($J342=1,"ACTIVE     CED, FARM GATE (MJ/kg)","CED, processor gate (MJ/kg)"),INDIRECT($K342)),GETPIVOTDATA(IF($J342=1,"StdDev of ACTIVE     CED, FARM GATE (MJ/kg)","StdDev of CED, processor gate (MJ/kg)"),'[1]Pivot Table_CED'!$A$3,"SUB TYPE",$B342))</f>
        <v/>
      </c>
      <c r="P342" s="90">
        <f>IF(ISERROR(GETPIVOTDATA(IF($J342=1,"Count of ACTIVE     GHGE, FARM GATE (kg CO2e/kg)","Count of GHGE, processor gate (kg CO2e/kg)"),'[1]Pivot Table_GHG'!$A$3,"SUB TYPE",$B342)),"PROXY",IF(GETPIVOTDATA(IF($J342=1,"Count of ACTIVE     GHGE, FARM GATE (kg CO2e/kg)","Count of GHGE, processor gate (kg CO2e/kg)"),'[1]Pivot Table_GHG'!$A$3,"SUB TYPE",$B342)=0,"PROXY","DB value"))</f>
        <v/>
      </c>
      <c r="Q342" s="93">
        <f>IF($P342="PROXY",DCOUNT('[1]literature entries'!$D:$AI,IF($J342=1,"ACTIVE     GHGE, FARM GATE (kg CO2e/kg)","GHGE, processor gate (kg CO2e/kg)"),INDIRECT($K342)),GETPIVOTDATA(IF($J342=1,"ACTIVE     GHGE, FARM GATE (kg CO2e/kg)","Count of GHGE, processor gate (kg CO2e/kg)"),'[1]Pivot Table_GHG'!$A$3,"SUB TYPE",$B342))</f>
        <v/>
      </c>
      <c r="R342" s="94">
        <f>IF($P342="PROXY",DAVERAGE('[1]literature entries'!$D:$AI,IF($J342=1,"ACTIVE     GHGE, FARM GATE (kg CO2e/kg)","GHGE, processor gate (kg CO2e/kg)"),INDIRECT($K342)),GETPIVOTDATA(IF($J342=1,"Average of ACTIVE     GHGE, FARM GATE (kg CO2e/kg)","Average of GHGE, processor gate (kg CO2e/kg)"),'[1]Pivot Table_GHG'!$A$3,"SUB TYPE",$B342))</f>
        <v/>
      </c>
      <c r="S342" s="94">
        <f>IF($P342="PROXY",DSTDEV('[1]literature entries'!$D:$AI,IF($J342=1,"ACTIVE     GHGE, FARM GATE (kg CO2e/kg)","GHGE, processor gate (kg CO2e/kg)"),INDIRECT($K342)),GETPIVOTDATA(IF($J342=1,"StdDev of ACTIVE     GHGE, FARM GATE (kg CO2e/kg)","StdDev of GHGE, processor gate (kg CO2e/kg)"),'[1]Pivot Table_GHG'!$A$3,"SUB TYPE",$B342))</f>
        <v/>
      </c>
      <c r="T342" s="105" t="n"/>
      <c r="U342" s="106" t="n"/>
      <c r="V342" s="97" t="n"/>
      <c r="W342" s="98" t="inlineStr">
        <is>
          <t>sweeteners</t>
        </is>
      </c>
      <c r="X342" s="98">
        <f>IF($W342="DIRECT",M342,DCOUNT('[1]literature entries'!$D:$AI,IF($J342=1,"ACTIVE     CED, FARM GATE (MJ/kg)","CED, processor gate (MJ/kg)"),INDIRECT($W342)))</f>
        <v/>
      </c>
      <c r="Y342" s="98">
        <f>IF($W342="DIRECT","",DAVERAGE('[1]literature entries'!$D:$AI,IF($J342=1,"ACTIVE     CED, FARM GATE (MJ/kg)","CED, processor gate (MJ/kg)"),INDIRECT($W342)))</f>
        <v/>
      </c>
      <c r="Z342" s="98">
        <f>IF($W342="DIRECT",$O342,DSTDEV('[1]literature entries'!$D:$AI,IF($J342=1,"ACTIVE     CED, FARM GATE (MJ/kg)","CED, processor gate (MJ/kg)"),INDIRECT($W342)))</f>
        <v/>
      </c>
      <c r="AA342" s="98">
        <f>IF($W342="DIRECT",$O342,$Z342/$Y342*$N342)</f>
        <v/>
      </c>
      <c r="AB342" s="99" t="inlineStr">
        <is>
          <t>sweeteners</t>
        </is>
      </c>
      <c r="AC342" s="99">
        <f>IF($AB342="DIRECT",Q342,DCOUNT('[1]literature entries'!$D:$AI,IF($J342=1,"ACTIVE     GHGE, FARM GATE (kg CO2e/kg)","GHGE, processor gate (kg CO2e/kg)"),INDIRECT($AB342)))</f>
        <v/>
      </c>
      <c r="AD342" s="99">
        <f>IF($AB342="DIRECT","",DAVERAGE('[1]literature entries'!$D:$AI,IF($J342=1,"ACTIVE     GHGE, FARM GATE (kg CO2e/kg)","GHGE, processor gate (kg CO2e/kg)"),INDIRECT($AB342)))</f>
        <v/>
      </c>
      <c r="AE342" s="99">
        <f>IF($AB342="DIRECT",$S342,DSTDEV('[1]literature entries'!$D:$AI,IF($J342=1,"ACTIVE     GHGE, FARM GATE (kg CO2e/kg)","GHGE, processor gate (kg CO2e/kg)"),INDIRECT($AB342)))</f>
        <v/>
      </c>
      <c r="AF342" s="99">
        <f>IF($AB342="DIRECT",$S342,$AE342/$AD342*$R342)</f>
        <v/>
      </c>
    </row>
    <row r="343" ht="15.75" customHeight="1" s="201">
      <c r="A343" s="100" t="n">
        <v>9500219000</v>
      </c>
      <c r="B343" s="101" t="inlineStr">
        <is>
          <t>Maple syrup</t>
        </is>
      </c>
      <c r="C343" s="101" t="inlineStr">
        <is>
          <t>weight of syrup</t>
        </is>
      </c>
      <c r="D343" s="101" t="n"/>
      <c r="E343" s="101" t="n">
        <v>2293</v>
      </c>
      <c r="F343" s="84">
        <f>N343*H343+T343</f>
        <v/>
      </c>
      <c r="G343" s="85">
        <f>R343*H343+U343</f>
        <v/>
      </c>
      <c r="H343" s="102" t="n">
        <v>1</v>
      </c>
      <c r="I343" s="103" t="inlineStr">
        <is>
          <t>FICRCD</t>
        </is>
      </c>
      <c r="J343" s="104" t="n">
        <v>2</v>
      </c>
      <c r="K343" s="89" t="n"/>
      <c r="L343" s="90">
        <f>IF(ISERROR(GETPIVOTDATA(IF($J343=1,"Count of ACTIVE     CED, FARM GATE (MJ/kg)","Count of CED, processor gate (MJ/kg)"),'[1]Pivot Table_CED'!$A$3,"SUB TYPE",$B343)),"PROXY",IF(GETPIVOTDATA(IF($J343=1,"Count of ACTIVE     CED, FARM GATE (MJ/kg)","Count of CED, processor gate (MJ/kg)"),'[1]Pivot Table_CED'!$A$3,"SUB TYPE",$B343)=0,"PROXY","DB value"))</f>
        <v/>
      </c>
      <c r="M343" s="91">
        <f>IF($L343="PROXY",DCOUNT('[1]literature entries'!$D:$AI,IF($J343=1,"ACTIVE     CED, FARM GATE (MJ/kg)","CED, processor gate (MJ/kg)"),INDIRECT($K343)),GETPIVOTDATA(IF($J343=1,"Count of ACTIVE     CED, FARM GATE (MJ/kg)","Count of CED, processor gate (MJ/kg)"),'[1]Pivot Table_CED'!$A$3,"SUB TYPE",$B343))</f>
        <v/>
      </c>
      <c r="N343" s="92">
        <f>IF($L343="PROXY",DAVERAGE('[1]literature entries'!$D:$AI,IF($J343=1,"ACTIVE     CED, FARM GATE (MJ/kg)","CED, processor gate (MJ/kg)"),INDIRECT($K343)),GETPIVOTDATA(IF($J343=1,"Average of ACTIVE     CED, FARM GATE (MJ/kg)","Average of CED, processor gate (MJ/kg)"),'[1]Pivot Table_CED'!$A$3,"SUB TYPE",$B343))</f>
        <v/>
      </c>
      <c r="O343" s="92">
        <f>IF($L343="PROXY",DSTDEV('[1]literature entries'!D:AI,IF($J343=1,"ACTIVE     CED, FARM GATE (MJ/kg)","CED, processor gate (MJ/kg)"),INDIRECT($K343)),GETPIVOTDATA(IF($J343=1,"StdDev of ACTIVE     CED, FARM GATE (MJ/kg)","StdDev of CED, processor gate (MJ/kg)"),'[1]Pivot Table_CED'!$A$3,"SUB TYPE",$B343))</f>
        <v/>
      </c>
      <c r="P343" s="90">
        <f>IF(ISERROR(GETPIVOTDATA(IF($J343=1,"Count of ACTIVE     GHGE, FARM GATE (kg CO2e/kg)","Count of GHGE, processor gate (kg CO2e/kg)"),'[1]Pivot Table_GHG'!$A$3,"SUB TYPE",$B343)),"PROXY",IF(GETPIVOTDATA(IF($J343=1,"Count of ACTIVE     GHGE, FARM GATE (kg CO2e/kg)","Count of GHGE, processor gate (kg CO2e/kg)"),'[1]Pivot Table_GHG'!$A$3,"SUB TYPE",$B343)=0,"PROXY","DB value"))</f>
        <v/>
      </c>
      <c r="Q343" s="93">
        <f>IF($P343="PROXY",DCOUNT('[1]literature entries'!$D:$AI,IF($J343=1,"ACTIVE     GHGE, FARM GATE (kg CO2e/kg)","GHGE, processor gate (kg CO2e/kg)"),INDIRECT($K343)),GETPIVOTDATA(IF($J343=1,"ACTIVE     GHGE, FARM GATE (kg CO2e/kg)","Count of GHGE, processor gate (kg CO2e/kg)"),'[1]Pivot Table_GHG'!$A$3,"SUB TYPE",$B343))</f>
        <v/>
      </c>
      <c r="R343" s="94">
        <f>IF($P343="PROXY",DAVERAGE('[1]literature entries'!$D:$AI,IF($J343=1,"ACTIVE     GHGE, FARM GATE (kg CO2e/kg)","GHGE, processor gate (kg CO2e/kg)"),INDIRECT($K343)),GETPIVOTDATA(IF($J343=1,"Average of ACTIVE     GHGE, FARM GATE (kg CO2e/kg)","Average of GHGE, processor gate (kg CO2e/kg)"),'[1]Pivot Table_GHG'!$A$3,"SUB TYPE",$B343))</f>
        <v/>
      </c>
      <c r="S343" s="94">
        <f>IF($P343="PROXY",DSTDEV('[1]literature entries'!$D:$AI,IF($J343=1,"ACTIVE     GHGE, FARM GATE (kg CO2e/kg)","GHGE, processor gate (kg CO2e/kg)"),INDIRECT($K343)),GETPIVOTDATA(IF($J343=1,"StdDev of ACTIVE     GHGE, FARM GATE (kg CO2e/kg)","StdDev of GHGE, processor gate (kg CO2e/kg)"),'[1]Pivot Table_GHG'!$A$3,"SUB TYPE",$B343))</f>
        <v/>
      </c>
      <c r="T343" s="135" t="n"/>
      <c r="U343" s="136" t="n"/>
      <c r="V343" s="97" t="n"/>
      <c r="W343" s="98" t="inlineStr">
        <is>
          <t>sweeteners</t>
        </is>
      </c>
      <c r="X343" s="98">
        <f>IF($W343="DIRECT",M343,DCOUNT('[1]literature entries'!$D:$AI,IF($J343=1,"ACTIVE     CED, FARM GATE (MJ/kg)","CED, processor gate (MJ/kg)"),INDIRECT($W343)))</f>
        <v/>
      </c>
      <c r="Y343" s="98">
        <f>IF($W343="DIRECT","",DAVERAGE('[1]literature entries'!$D:$AI,IF($J343=1,"ACTIVE     CED, FARM GATE (MJ/kg)","CED, processor gate (MJ/kg)"),INDIRECT($W343)))</f>
        <v/>
      </c>
      <c r="Z343" s="98">
        <f>IF($W343="DIRECT",$O343,DSTDEV('[1]literature entries'!$D:$AI,IF($J343=1,"ACTIVE     CED, FARM GATE (MJ/kg)","CED, processor gate (MJ/kg)"),INDIRECT($W343)))</f>
        <v/>
      </c>
      <c r="AA343" s="98">
        <f>IF($W343="DIRECT",$O343,$Z343/$Y343*$N343)</f>
        <v/>
      </c>
      <c r="AB343" s="99" t="inlineStr">
        <is>
          <t>sweeteners</t>
        </is>
      </c>
      <c r="AC343" s="99">
        <f>IF($AB343="DIRECT",Q343,DCOUNT('[1]literature entries'!$D:$AI,IF($J343=1,"ACTIVE     GHGE, FARM GATE (kg CO2e/kg)","GHGE, processor gate (kg CO2e/kg)"),INDIRECT($AB343)))</f>
        <v/>
      </c>
      <c r="AD343" s="99">
        <f>IF($AB343="DIRECT","",DAVERAGE('[1]literature entries'!$D:$AI,IF($J343=1,"ACTIVE     GHGE, FARM GATE (kg CO2e/kg)","GHGE, processor gate (kg CO2e/kg)"),INDIRECT($AB343)))</f>
        <v/>
      </c>
      <c r="AE343" s="99">
        <f>IF($AB343="DIRECT",$S343,DSTDEV('[1]literature entries'!$D:$AI,IF($J343=1,"ACTIVE     GHGE, FARM GATE (kg CO2e/kg)","GHGE, processor gate (kg CO2e/kg)"),INDIRECT($AB343)))</f>
        <v/>
      </c>
      <c r="AF343" s="99">
        <f>IF($AB343="DIRECT",$S343,$AE343/$AD343*$R343)</f>
        <v/>
      </c>
    </row>
    <row r="344" ht="15.75" customHeight="1" s="201">
      <c r="A344" s="100" t="n">
        <v>9500244000</v>
      </c>
      <c r="B344" s="101" t="inlineStr">
        <is>
          <t>Palm, oil</t>
        </is>
      </c>
      <c r="C344" s="101" t="inlineStr">
        <is>
          <t>weight of oil</t>
        </is>
      </c>
      <c r="D344" s="101" t="n"/>
      <c r="E344" s="101" t="n">
        <v>3570</v>
      </c>
      <c r="F344" s="84">
        <f>N344*H344+T344</f>
        <v/>
      </c>
      <c r="G344" s="85">
        <f>R344*H344+U344</f>
        <v/>
      </c>
      <c r="H344" s="102" t="n">
        <v>1</v>
      </c>
      <c r="I344" s="103" t="inlineStr">
        <is>
          <t>None</t>
        </is>
      </c>
      <c r="J344" s="104" t="n">
        <v>2</v>
      </c>
      <c r="K344" s="89" t="n"/>
      <c r="L344" s="90">
        <f>IF(ISERROR(GETPIVOTDATA(IF($J344=1,"Count of ACTIVE     CED, FARM GATE (MJ/kg)","Count of CED, processor gate (MJ/kg)"),'[1]Pivot Table_CED'!$A$3,"SUB TYPE",$B344)),"PROXY",IF(GETPIVOTDATA(IF($J344=1,"Count of ACTIVE     CED, FARM GATE (MJ/kg)","Count of CED, processor gate (MJ/kg)"),'[1]Pivot Table_CED'!$A$3,"SUB TYPE",$B344)=0,"PROXY","DB value"))</f>
        <v/>
      </c>
      <c r="M344" s="91">
        <f>IF($L344="PROXY",DCOUNT('[1]literature entries'!$D:$AI,IF($J344=1,"ACTIVE     CED, FARM GATE (MJ/kg)","CED, processor gate (MJ/kg)"),INDIRECT($K344)),GETPIVOTDATA(IF($J344=1,"Count of ACTIVE     CED, FARM GATE (MJ/kg)","Count of CED, processor gate (MJ/kg)"),'[1]Pivot Table_CED'!$A$3,"SUB TYPE",$B344))</f>
        <v/>
      </c>
      <c r="N344" s="92">
        <f>IF($L344="PROXY",DAVERAGE('[1]literature entries'!$D:$AI,IF($J344=1,"ACTIVE     CED, FARM GATE (MJ/kg)","CED, processor gate (MJ/kg)"),INDIRECT($K344)),GETPIVOTDATA(IF($J344=1,"Average of ACTIVE     CED, FARM GATE (MJ/kg)","Average of CED, processor gate (MJ/kg)"),'[1]Pivot Table_CED'!$A$3,"SUB TYPE",$B344))</f>
        <v/>
      </c>
      <c r="O344" s="92">
        <f>IF($L344="PROXY",DSTDEV('[1]literature entries'!D:AI,IF($J344=1,"ACTIVE     CED, FARM GATE (MJ/kg)","CED, processor gate (MJ/kg)"),INDIRECT($K344)),GETPIVOTDATA(IF($J344=1,"StdDev of ACTIVE     CED, FARM GATE (MJ/kg)","StdDev of CED, processor gate (MJ/kg)"),'[1]Pivot Table_CED'!$A$3,"SUB TYPE",$B344))</f>
        <v/>
      </c>
      <c r="P344" s="90">
        <f>IF(ISERROR(GETPIVOTDATA(IF($J344=1,"Count of ACTIVE     GHGE, FARM GATE (kg CO2e/kg)","Count of GHGE, processor gate (kg CO2e/kg)"),'[1]Pivot Table_GHG'!$A$3,"SUB TYPE",$B344)),"PROXY",IF(GETPIVOTDATA(IF($J344=1,"Count of ACTIVE     GHGE, FARM GATE (kg CO2e/kg)","Count of GHGE, processor gate (kg CO2e/kg)"),'[1]Pivot Table_GHG'!$A$3,"SUB TYPE",$B344)=0,"PROXY","DB value"))</f>
        <v/>
      </c>
      <c r="Q344" s="93">
        <f>IF($P344="PROXY",DCOUNT('[1]literature entries'!$D:$AI,IF($J344=1,"ACTIVE     GHGE, FARM GATE (kg CO2e/kg)","GHGE, processor gate (kg CO2e/kg)"),INDIRECT($K344)),GETPIVOTDATA(IF($J344=1,"ACTIVE     GHGE, FARM GATE (kg CO2e/kg)","Count of GHGE, processor gate (kg CO2e/kg)"),'[1]Pivot Table_GHG'!$A$3,"SUB TYPE",$B344))</f>
        <v/>
      </c>
      <c r="R344" s="94">
        <f>IF($P344="PROXY",DAVERAGE('[1]literature entries'!$D:$AI,IF($J344=1,"ACTIVE     GHGE, FARM GATE (kg CO2e/kg)","GHGE, processor gate (kg CO2e/kg)"),INDIRECT($K344)),GETPIVOTDATA(IF($J344=1,"Average of ACTIVE     GHGE, FARM GATE (kg CO2e/kg)","Average of GHGE, processor gate (kg CO2e/kg)"),'[1]Pivot Table_GHG'!$A$3,"SUB TYPE",$B344))</f>
        <v/>
      </c>
      <c r="S344" s="94">
        <f>IF($P344="PROXY",DSTDEV('[1]literature entries'!$D:$AI,IF($J344=1,"ACTIVE     GHGE, FARM GATE (kg CO2e/kg)","GHGE, processor gate (kg CO2e/kg)"),INDIRECT($K344)),GETPIVOTDATA(IF($J344=1,"StdDev of ACTIVE     GHGE, FARM GATE (kg CO2e/kg)","StdDev of GHGE, processor gate (kg CO2e/kg)"),'[1]Pivot Table_GHG'!$A$3,"SUB TYPE",$B344))</f>
        <v/>
      </c>
      <c r="T344" s="105" t="n"/>
      <c r="U344" s="106" t="n"/>
      <c r="V344" s="97" t="n"/>
      <c r="W344" s="98" t="inlineStr">
        <is>
          <t>oils</t>
        </is>
      </c>
      <c r="X344" s="98">
        <f>IF($W344="DIRECT",M344,DCOUNT('[1]literature entries'!$D:$AI,IF($J344=1,"ACTIVE     CED, FARM GATE (MJ/kg)","CED, processor gate (MJ/kg)"),INDIRECT($W344)))</f>
        <v/>
      </c>
      <c r="Y344" s="98">
        <f>IF($W344="DIRECT","",DAVERAGE('[1]literature entries'!$D:$AI,IF($J344=1,"ACTIVE     CED, FARM GATE (MJ/kg)","CED, processor gate (MJ/kg)"),INDIRECT($W344)))</f>
        <v/>
      </c>
      <c r="Z344" s="98">
        <f>IF($W344="DIRECT",$O344,DSTDEV('[1]literature entries'!$D:$AI,IF($J344=1,"ACTIVE     CED, FARM GATE (MJ/kg)","CED, processor gate (MJ/kg)"),INDIRECT($W344)))</f>
        <v/>
      </c>
      <c r="AA344" s="98">
        <f>IF($W344="DIRECT",$O344,$Z344/$Y344*$N344)</f>
        <v/>
      </c>
      <c r="AB344" s="99" t="inlineStr">
        <is>
          <t>oils</t>
        </is>
      </c>
      <c r="AC344" s="99">
        <f>IF($AB344="DIRECT",Q344,DCOUNT('[1]literature entries'!$D:$AI,IF($J344=1,"ACTIVE     GHGE, FARM GATE (kg CO2e/kg)","GHGE, processor gate (kg CO2e/kg)"),INDIRECT($AB344)))</f>
        <v/>
      </c>
      <c r="AD344" s="99">
        <f>IF($AB344="DIRECT","",DAVERAGE('[1]literature entries'!$D:$AI,IF($J344=1,"ACTIVE     GHGE, FARM GATE (kg CO2e/kg)","GHGE, processor gate (kg CO2e/kg)"),INDIRECT($AB344)))</f>
        <v/>
      </c>
      <c r="AE344" s="99">
        <f>IF($AB344="DIRECT",$S344,DSTDEV('[1]literature entries'!$D:$AI,IF($J344=1,"ACTIVE     GHGE, FARM GATE (kg CO2e/kg)","GHGE, processor gate (kg CO2e/kg)"),INDIRECT($AB344)))</f>
        <v/>
      </c>
      <c r="AF344" s="99">
        <f>IF($AB344="DIRECT",$S344,$AE344/$AD344*$R344)</f>
        <v/>
      </c>
    </row>
    <row r="345" ht="15.75" customHeight="1" s="201">
      <c r="A345" s="100" t="n">
        <v>9500263000</v>
      </c>
      <c r="B345" s="101" t="inlineStr">
        <is>
          <t>Peanut</t>
        </is>
      </c>
      <c r="C345" s="101" t="inlineStr">
        <is>
          <t>weight of nutmeat; excluding shell</t>
        </is>
      </c>
      <c r="D345" s="101" t="n"/>
      <c r="E345" s="101" t="n">
        <v>5671</v>
      </c>
      <c r="F345" s="84">
        <f>N345*H345+T345</f>
        <v/>
      </c>
      <c r="G345" s="85">
        <f>R345*H345+U345</f>
        <v/>
      </c>
      <c r="H345" s="102" t="n">
        <v>1</v>
      </c>
      <c r="I345" s="103" t="inlineStr">
        <is>
          <t>FICRCD</t>
        </is>
      </c>
      <c r="J345" s="104" t="n">
        <v>1</v>
      </c>
      <c r="K345" s="89" t="n"/>
      <c r="L345" s="90">
        <f>IF(ISERROR(GETPIVOTDATA(IF($J345=1,"Count of ACTIVE     CED, FARM GATE (MJ/kg)","Count of CED, processor gate (MJ/kg)"),'[1]Pivot Table_CED'!$A$3,"SUB TYPE",$B345)),"PROXY",IF(GETPIVOTDATA(IF($J345=1,"Count of ACTIVE     CED, FARM GATE (MJ/kg)","Count of CED, processor gate (MJ/kg)"),'[1]Pivot Table_CED'!$A$3,"SUB TYPE",$B345)=0,"PROXY","DB value"))</f>
        <v/>
      </c>
      <c r="M345" s="91">
        <f>IF($L345="PROXY",DCOUNT('[1]literature entries'!$D:$AI,IF($J345=1,"ACTIVE     CED, FARM GATE (MJ/kg)","CED, processor gate (MJ/kg)"),INDIRECT($K345)),GETPIVOTDATA(IF($J345=1,"Count of ACTIVE     CED, FARM GATE (MJ/kg)","Count of CED, processor gate (MJ/kg)"),'[1]Pivot Table_CED'!$A$3,"SUB TYPE",$B345))</f>
        <v/>
      </c>
      <c r="N345" s="92">
        <f>IF($L345="PROXY",DAVERAGE('[1]literature entries'!$D:$AI,IF($J345=1,"ACTIVE     CED, FARM GATE (MJ/kg)","CED, processor gate (MJ/kg)"),INDIRECT($K345)),GETPIVOTDATA(IF($J345=1,"Average of ACTIVE     CED, FARM GATE (MJ/kg)","Average of CED, processor gate (MJ/kg)"),'[1]Pivot Table_CED'!$A$3,"SUB TYPE",$B345))</f>
        <v/>
      </c>
      <c r="O345" s="92">
        <f>IF($L345="PROXY",DSTDEV('[1]literature entries'!D:AI,IF($J345=1,"ACTIVE     CED, FARM GATE (MJ/kg)","CED, processor gate (MJ/kg)"),INDIRECT($K345)),GETPIVOTDATA(IF($J345=1,"StdDev of ACTIVE     CED, FARM GATE (MJ/kg)","StdDev of CED, processor gate (MJ/kg)"),'[1]Pivot Table_CED'!$A$3,"SUB TYPE",$B345))</f>
        <v/>
      </c>
      <c r="P345" s="90">
        <f>IF(ISERROR(GETPIVOTDATA(IF($J345=1,"Count of ACTIVE     GHGE, FARM GATE (kg CO2e/kg)","Count of GHGE, processor gate (kg CO2e/kg)"),'[1]Pivot Table_GHG'!$A$3,"SUB TYPE",$B345)),"PROXY",IF(GETPIVOTDATA(IF($J345=1,"Count of ACTIVE     GHGE, FARM GATE (kg CO2e/kg)","Count of GHGE, processor gate (kg CO2e/kg)"),'[1]Pivot Table_GHG'!$A$3,"SUB TYPE",$B345)=0,"PROXY","DB value"))</f>
        <v/>
      </c>
      <c r="Q345" s="93">
        <f>IF($P345="PROXY",DCOUNT('[1]literature entries'!$D:$AI,IF($J345=1,"ACTIVE     GHGE, FARM GATE (kg CO2e/kg)","GHGE, processor gate (kg CO2e/kg)"),INDIRECT($K345)),GETPIVOTDATA(IF($J345=1,"ACTIVE     GHGE, FARM GATE (kg CO2e/kg)","Count of GHGE, processor gate (kg CO2e/kg)"),'[1]Pivot Table_GHG'!$A$3,"SUB TYPE",$B345))</f>
        <v/>
      </c>
      <c r="R345" s="94">
        <f>IF($P345="PROXY",DAVERAGE('[1]literature entries'!$D:$AI,IF($J345=1,"ACTIVE     GHGE, FARM GATE (kg CO2e/kg)","GHGE, processor gate (kg CO2e/kg)"),INDIRECT($K345)),GETPIVOTDATA(IF($J345=1,"Average of ACTIVE     GHGE, FARM GATE (kg CO2e/kg)","Average of GHGE, processor gate (kg CO2e/kg)"),'[1]Pivot Table_GHG'!$A$3,"SUB TYPE",$B345))</f>
        <v/>
      </c>
      <c r="S345" s="94">
        <f>IF($P345="PROXY",DSTDEV('[1]literature entries'!$D:$AI,IF($J345=1,"ACTIVE     GHGE, FARM GATE (kg CO2e/kg)","GHGE, processor gate (kg CO2e/kg)"),INDIRECT($K345)),GETPIVOTDATA(IF($J345=1,"StdDev of ACTIVE     GHGE, FARM GATE (kg CO2e/kg)","StdDev of GHGE, processor gate (kg CO2e/kg)"),'[1]Pivot Table_GHG'!$A$3,"SUB TYPE",$B345))</f>
        <v/>
      </c>
      <c r="T345" s="105" t="n"/>
      <c r="U345" s="106" t="n"/>
      <c r="V345" s="97" t="n"/>
      <c r="W345" s="98" t="inlineStr">
        <is>
          <t>legume_seed</t>
        </is>
      </c>
      <c r="X345" s="98">
        <f>IF($W345="DIRECT",M345,DCOUNT('[1]literature entries'!$D:$AI,IF($J345=1,"ACTIVE     CED, FARM GATE (MJ/kg)","CED, processor gate (MJ/kg)"),INDIRECT($W345)))</f>
        <v/>
      </c>
      <c r="Y345" s="98">
        <f>IF($W345="DIRECT","",DAVERAGE('[1]literature entries'!$D:$AI,IF($J345=1,"ACTIVE     CED, FARM GATE (MJ/kg)","CED, processor gate (MJ/kg)"),INDIRECT($W345)))</f>
        <v/>
      </c>
      <c r="Z345" s="98">
        <f>IF($W345="DIRECT",$O345,DSTDEV('[1]literature entries'!$D:$AI,IF($J345=1,"ACTIVE     CED, FARM GATE (MJ/kg)","CED, processor gate (MJ/kg)"),INDIRECT($W345)))</f>
        <v/>
      </c>
      <c r="AA345" s="98">
        <f>IF($W345="DIRECT",$O345,$Z345/$Y345*$N345)</f>
        <v/>
      </c>
      <c r="AB345" s="99">
        <f>IF(P345="PROXY",IF(Q345&gt;=5,K345,"need group"),IF(Q345&gt;=5,"DIRECT","need group"))</f>
        <v/>
      </c>
      <c r="AC345" s="99">
        <f>IF($AB345="DIRECT",Q345,DCOUNT('[1]literature entries'!$D:$AI,IF($J345=1,"ACTIVE     GHGE, FARM GATE (kg CO2e/kg)","GHGE, processor gate (kg CO2e/kg)"),INDIRECT($AB345)))</f>
        <v/>
      </c>
      <c r="AD345" s="99">
        <f>IF($AB345="DIRECT","",DAVERAGE('[1]literature entries'!$D:$AI,IF($J345=1,"ACTIVE     GHGE, FARM GATE (kg CO2e/kg)","GHGE, processor gate (kg CO2e/kg)"),INDIRECT($AB345)))</f>
        <v/>
      </c>
      <c r="AE345" s="99">
        <f>IF($AB345="DIRECT",$S345,DSTDEV('[1]literature entries'!$D:$AI,IF($J345=1,"ACTIVE     GHGE, FARM GATE (kg CO2e/kg)","GHGE, processor gate (kg CO2e/kg)"),INDIRECT($AB345)))</f>
        <v/>
      </c>
      <c r="AF345" s="99">
        <f>IF($AB345="DIRECT",$S345,$AE345/$AD345*$R345)</f>
        <v/>
      </c>
    </row>
    <row r="346" ht="15.75" customHeight="1" s="201">
      <c r="A346" s="100" t="n">
        <v>9500264000</v>
      </c>
      <c r="B346" s="101" t="inlineStr">
        <is>
          <t>Peanut, butter</t>
        </is>
      </c>
      <c r="C346" s="101" t="inlineStr">
        <is>
          <t>weight of ground peanuts; excluding shell</t>
        </is>
      </c>
      <c r="D346" s="101" t="n"/>
      <c r="E346" s="101" t="n">
        <v>6125</v>
      </c>
      <c r="F346" s="84">
        <f>N346*H346+T346</f>
        <v/>
      </c>
      <c r="G346" s="85">
        <f>R346*H346+U346</f>
        <v/>
      </c>
      <c r="H346" s="102" t="n">
        <v>1</v>
      </c>
      <c r="I346" s="103" t="inlineStr">
        <is>
          <t>none</t>
        </is>
      </c>
      <c r="J346" s="104" t="n">
        <v>2</v>
      </c>
      <c r="K346" s="89" t="inlineStr">
        <is>
          <t>soybean_meal</t>
        </is>
      </c>
      <c r="L346" s="90">
        <f>IF(ISERROR(GETPIVOTDATA(IF($J346=1,"Count of ACTIVE     CED, FARM GATE (MJ/kg)","Count of CED, processor gate (MJ/kg)"),'[1]Pivot Table_CED'!$A$3,"SUB TYPE",$B346)),"PROXY",IF(GETPIVOTDATA(IF($J346=1,"Count of ACTIVE     CED, FARM GATE (MJ/kg)","Count of CED, processor gate (MJ/kg)"),'[1]Pivot Table_CED'!$A$3,"SUB TYPE",$B346)=0,"PROXY","DB value"))</f>
        <v/>
      </c>
      <c r="M346" s="91">
        <f>IF($L346="PROXY",DCOUNT('[1]literature entries'!$D:$AI,IF($J346=1,"ACTIVE     CED, FARM GATE (MJ/kg)","CED, processor gate (MJ/kg)"),INDIRECT($K346)),GETPIVOTDATA(IF($J346=1,"Count of ACTIVE     CED, FARM GATE (MJ/kg)","Count of CED, processor gate (MJ/kg)"),'[1]Pivot Table_CED'!$A$3,"SUB TYPE",$B346))</f>
        <v/>
      </c>
      <c r="N346" s="92">
        <f>IF($L346="PROXY",DAVERAGE('[1]literature entries'!$D:$AI,IF($J346=1,"ACTIVE     CED, FARM GATE (MJ/kg)","CED, processor gate (MJ/kg)"),INDIRECT($K346)),GETPIVOTDATA(IF($J346=1,"Average of ACTIVE     CED, FARM GATE (MJ/kg)","Average of CED, processor gate (MJ/kg)"),'[1]Pivot Table_CED'!$A$3,"SUB TYPE",$B346))</f>
        <v/>
      </c>
      <c r="O346" s="92">
        <f>IF($L346="PROXY",DSTDEV('[1]literature entries'!D:AI,IF($J346=1,"ACTIVE     CED, FARM GATE (MJ/kg)","CED, processor gate (MJ/kg)"),INDIRECT($K346)),GETPIVOTDATA(IF($J346=1,"StdDev of ACTIVE     CED, FARM GATE (MJ/kg)","StdDev of CED, processor gate (MJ/kg)"),'[1]Pivot Table_CED'!$A$3,"SUB TYPE",$B346))</f>
        <v/>
      </c>
      <c r="P346" s="90">
        <f>IF(ISERROR(GETPIVOTDATA(IF($J346=1,"Count of ACTIVE     GHGE, FARM GATE (kg CO2e/kg)","Count of GHGE, processor gate (kg CO2e/kg)"),'[1]Pivot Table_GHG'!$A$3,"SUB TYPE",$B346)),"PROXY",IF(GETPIVOTDATA(IF($J346=1,"Count of ACTIVE     GHGE, FARM GATE (kg CO2e/kg)","Count of GHGE, processor gate (kg CO2e/kg)"),'[1]Pivot Table_GHG'!$A$3,"SUB TYPE",$B346)=0,"PROXY","DB value"))</f>
        <v/>
      </c>
      <c r="Q346" s="93">
        <f>IF($P346="PROXY",DCOUNT('[1]literature entries'!$D:$AI,IF($J346=1,"ACTIVE     GHGE, FARM GATE (kg CO2e/kg)","GHGE, processor gate (kg CO2e/kg)"),INDIRECT($K346)),GETPIVOTDATA(IF($J346=1,"ACTIVE     GHGE, FARM GATE (kg CO2e/kg)","Count of GHGE, processor gate (kg CO2e/kg)"),'[1]Pivot Table_GHG'!$A$3,"SUB TYPE",$B346))</f>
        <v/>
      </c>
      <c r="R346" s="94">
        <f>IF($P346="PROXY",DAVERAGE('[1]literature entries'!$D:$AI,IF($J346=1,"ACTIVE     GHGE, FARM GATE (kg CO2e/kg)","GHGE, processor gate (kg CO2e/kg)"),INDIRECT($K346)),GETPIVOTDATA(IF($J346=1,"Average of ACTIVE     GHGE, FARM GATE (kg CO2e/kg)","Average of GHGE, processor gate (kg CO2e/kg)"),'[1]Pivot Table_GHG'!$A$3,"SUB TYPE",$B346))</f>
        <v/>
      </c>
      <c r="S346" s="94">
        <f>IF($P346="PROXY",DSTDEV('[1]literature entries'!$D:$AI,IF($J346=1,"ACTIVE     GHGE, FARM GATE (kg CO2e/kg)","GHGE, processor gate (kg CO2e/kg)"),INDIRECT($K346)),GETPIVOTDATA(IF($J346=1,"StdDev of ACTIVE     GHGE, FARM GATE (kg CO2e/kg)","StdDev of GHGE, processor gate (kg CO2e/kg)"),'[1]Pivot Table_GHG'!$A$3,"SUB TYPE",$B346))</f>
        <v/>
      </c>
      <c r="T346" s="105" t="n"/>
      <c r="U346" s="106" t="n"/>
      <c r="V346" s="97" t="n"/>
      <c r="W346" s="110" t="inlineStr">
        <is>
          <t>legume_seed</t>
        </is>
      </c>
      <c r="X346" s="98">
        <f t="array" ref="X346">IF($W346="DIRECT",M346,DCOUNT('[1]literature entries'!$D:$AI,"ACTIVE     CED, FARM GATE (MJ/kg)",INDIRECT($W346)))</f>
        <v/>
      </c>
      <c r="Y346" s="98">
        <f t="array" ref="Y346">IF($W346="DIRECT","",DAVERAGE('[1]literature entries'!$D:$AI,"ACTIVE     CED, FARM GATE (MJ/kg)",INDIRECT($W346)))</f>
        <v/>
      </c>
      <c r="Z346" s="98">
        <f t="array" ref="Z346">IF($W346="DIRECT",$O346,DSTDEV('[1]literature entries'!$D:$AI,"ACTIVE     CED, FARM GATE (MJ/kg)",INDIRECT($W346)))</f>
        <v/>
      </c>
      <c r="AA346" s="98">
        <f>IF($W346="DIRECT",$O346,$Z346/$Y346*$N346)</f>
        <v/>
      </c>
      <c r="AB346" s="110" t="inlineStr">
        <is>
          <t>legume_seed</t>
        </is>
      </c>
      <c r="AC346" s="99">
        <f t="array" ref="AC346">IF($AB346="DIRECT",Q346,DCOUNT('[1]literature entries'!$D:$AI,"ACTIVE     GHGE, FARM GATE (kg CO2e/kg)",INDIRECT($AB346)))</f>
        <v/>
      </c>
      <c r="AD346" s="99">
        <f t="array" ref="AD346">IF($AB346="DIRECT","",DAVERAGE('[1]literature entries'!$D:$AI,"ACTIVE     GHGE, FARM GATE (kg CO2e/kg)",INDIRECT($AB346)))</f>
        <v/>
      </c>
      <c r="AE346" s="99">
        <f t="array" ref="AE346">IF($AB346="DIRECT",$S346,DSTDEV('[1]literature entries'!$D:$AI,"ACTIVE     GHGE, FARM GATE (kg CO2e/kg)",INDIRECT($AB346)))</f>
        <v/>
      </c>
      <c r="AF346" s="99">
        <f>IF($AB346="DIRECT",$S346,$AE346/$AD346*$R346)</f>
        <v/>
      </c>
    </row>
    <row r="347" ht="15.75" customHeight="1" s="201">
      <c r="A347" s="100" t="n">
        <v>9500265000</v>
      </c>
      <c r="B347" s="101" t="inlineStr">
        <is>
          <t>Peanut, oil</t>
        </is>
      </c>
      <c r="C347" s="101" t="inlineStr">
        <is>
          <t>weight of oil</t>
        </is>
      </c>
      <c r="D347" s="101" t="n"/>
      <c r="E347" s="101" t="n">
        <v>23737</v>
      </c>
      <c r="F347" s="84">
        <f>N347*H347+T347</f>
        <v/>
      </c>
      <c r="G347" s="85">
        <f>R347*H347+U347</f>
        <v/>
      </c>
      <c r="H347" s="112" t="n">
        <v>1</v>
      </c>
      <c r="I347" s="103" t="inlineStr">
        <is>
          <t>none</t>
        </is>
      </c>
      <c r="J347" s="104" t="n">
        <v>2</v>
      </c>
      <c r="K347" s="89" t="n"/>
      <c r="L347" s="90">
        <f>IF(ISERROR(GETPIVOTDATA(IF($J347=1,"Count of ACTIVE     CED, FARM GATE (MJ/kg)","Count of CED, processor gate (MJ/kg)"),'[1]Pivot Table_CED'!$A$3,"SUB TYPE",$B347)),"PROXY",IF(GETPIVOTDATA(IF($J347=1,"Count of ACTIVE     CED, FARM GATE (MJ/kg)","Count of CED, processor gate (MJ/kg)"),'[1]Pivot Table_CED'!$A$3,"SUB TYPE",$B347)=0,"PROXY","DB value"))</f>
        <v/>
      </c>
      <c r="M347" s="91">
        <f>IF($L347="PROXY",DCOUNT('[1]literature entries'!$D:$AI,IF($J347=1,"ACTIVE     CED, FARM GATE (MJ/kg)","CED, processor gate (MJ/kg)"),INDIRECT($K347)),GETPIVOTDATA(IF($J347=1,"Count of ACTIVE     CED, FARM GATE (MJ/kg)","Count of CED, processor gate (MJ/kg)"),'[1]Pivot Table_CED'!$A$3,"SUB TYPE",$B347))</f>
        <v/>
      </c>
      <c r="N347" s="92">
        <f>IF($L347="PROXY",DAVERAGE('[1]literature entries'!$D:$AI,IF($J347=1,"ACTIVE     CED, FARM GATE (MJ/kg)","CED, processor gate (MJ/kg)"),INDIRECT($K347)),GETPIVOTDATA(IF($J347=1,"Average of ACTIVE     CED, FARM GATE (MJ/kg)","Average of CED, processor gate (MJ/kg)"),'[1]Pivot Table_CED'!$A$3,"SUB TYPE",$B347))</f>
        <v/>
      </c>
      <c r="O347" s="92">
        <f>IF($L347="PROXY",DSTDEV('[1]literature entries'!D:AI,IF($J347=1,"ACTIVE     CED, FARM GATE (MJ/kg)","CED, processor gate (MJ/kg)"),INDIRECT($K347)),GETPIVOTDATA(IF($J347=1,"StdDev of ACTIVE     CED, FARM GATE (MJ/kg)","StdDev of CED, processor gate (MJ/kg)"),'[1]Pivot Table_CED'!$A$3,"SUB TYPE",$B347))</f>
        <v/>
      </c>
      <c r="P347" s="90">
        <f>IF(ISERROR(GETPIVOTDATA(IF($J347=1,"Count of ACTIVE     GHGE, FARM GATE (kg CO2e/kg)","Count of GHGE, processor gate (kg CO2e/kg)"),'[1]Pivot Table_GHG'!$A$3,"SUB TYPE",$B347)),"PROXY",IF(GETPIVOTDATA(IF($J347=1,"Count of ACTIVE     GHGE, FARM GATE (kg CO2e/kg)","Count of GHGE, processor gate (kg CO2e/kg)"),'[1]Pivot Table_GHG'!$A$3,"SUB TYPE",$B347)=0,"PROXY","DB value"))</f>
        <v/>
      </c>
      <c r="Q347" s="93">
        <f>IF($P347="PROXY",DCOUNT('[1]literature entries'!$D:$AI,IF($J347=1,"ACTIVE     GHGE, FARM GATE (kg CO2e/kg)","GHGE, processor gate (kg CO2e/kg)"),INDIRECT($K347)),GETPIVOTDATA(IF($J347=1,"ACTIVE     GHGE, FARM GATE (kg CO2e/kg)","Count of GHGE, processor gate (kg CO2e/kg)"),'[1]Pivot Table_GHG'!$A$3,"SUB TYPE",$B347))</f>
        <v/>
      </c>
      <c r="R347" s="94">
        <f>IF($P347="PROXY",DAVERAGE('[1]literature entries'!$D:$AI,IF($J347=1,"ACTIVE     GHGE, FARM GATE (kg CO2e/kg)","GHGE, processor gate (kg CO2e/kg)"),INDIRECT($K347)),GETPIVOTDATA(IF($J347=1,"Average of ACTIVE     GHGE, FARM GATE (kg CO2e/kg)","Average of GHGE, processor gate (kg CO2e/kg)"),'[1]Pivot Table_GHG'!$A$3,"SUB TYPE",$B347))</f>
        <v/>
      </c>
      <c r="S347" s="94">
        <f>IF($P347="PROXY",DSTDEV('[1]literature entries'!$D:$AI,IF($J347=1,"ACTIVE     GHGE, FARM GATE (kg CO2e/kg)","GHGE, processor gate (kg CO2e/kg)"),INDIRECT($K347)),GETPIVOTDATA(IF($J347=1,"StdDev of ACTIVE     GHGE, FARM GATE (kg CO2e/kg)","StdDev of GHGE, processor gate (kg CO2e/kg)"),'[1]Pivot Table_GHG'!$A$3,"SUB TYPE",$B347))</f>
        <v/>
      </c>
      <c r="T347" s="105" t="n"/>
      <c r="U347" s="106" t="n"/>
      <c r="V347" s="97" t="n"/>
      <c r="W347" s="98" t="inlineStr">
        <is>
          <t>oils</t>
        </is>
      </c>
      <c r="X347" s="98">
        <f>IF($W347="DIRECT",M347,DCOUNT('[1]literature entries'!$D:$AI,IF($J347=1,"ACTIVE     CED, FARM GATE (MJ/kg)","CED, processor gate (MJ/kg)"),INDIRECT($W347)))</f>
        <v/>
      </c>
      <c r="Y347" s="98">
        <f>IF($W347="DIRECT","",DAVERAGE('[1]literature entries'!$D:$AI,IF($J347=1,"ACTIVE     CED, FARM GATE (MJ/kg)","CED, processor gate (MJ/kg)"),INDIRECT($W347)))</f>
        <v/>
      </c>
      <c r="Z347" s="98">
        <f>IF($W347="DIRECT",$O347,DSTDEV('[1]literature entries'!$D:$AI,IF($J347=1,"ACTIVE     CED, FARM GATE (MJ/kg)","CED, processor gate (MJ/kg)"),INDIRECT($W347)))</f>
        <v/>
      </c>
      <c r="AA347" s="98">
        <f>IF($W347="DIRECT",$O347,$Z347/$Y347*$N347)</f>
        <v/>
      </c>
      <c r="AB347" s="99" t="inlineStr">
        <is>
          <t>oils</t>
        </is>
      </c>
      <c r="AC347" s="99">
        <f>IF($AB347="DIRECT",Q347,DCOUNT('[1]literature entries'!$D:$AI,IF($J347=1,"ACTIVE     GHGE, FARM GATE (kg CO2e/kg)","GHGE, processor gate (kg CO2e/kg)"),INDIRECT($AB347)))</f>
        <v/>
      </c>
      <c r="AD347" s="99">
        <f>IF($AB347="DIRECT","",DAVERAGE('[1]literature entries'!$D:$AI,IF($J347=1,"ACTIVE     GHGE, FARM GATE (kg CO2e/kg)","GHGE, processor gate (kg CO2e/kg)"),INDIRECT($AB347)))</f>
        <v/>
      </c>
      <c r="AE347" s="99">
        <f>IF($AB347="DIRECT",$S347,DSTDEV('[1]literature entries'!$D:$AI,IF($J347=1,"ACTIVE     GHGE, FARM GATE (kg CO2e/kg)","GHGE, processor gate (kg CO2e/kg)"),INDIRECT($AB347)))</f>
        <v/>
      </c>
      <c r="AF347" s="99">
        <f>IF($AB347="DIRECT",$S347,$AE347/$AD347*$R347)</f>
        <v/>
      </c>
    </row>
    <row r="348" ht="15.75" customHeight="1" s="201">
      <c r="A348" s="100" t="n">
        <v>9500275000</v>
      </c>
      <c r="B348" s="101" t="inlineStr">
        <is>
          <t>Peppermint</t>
        </is>
      </c>
      <c r="C348" s="101" t="inlineStr">
        <is>
          <t>weight of leaves and stems</t>
        </is>
      </c>
      <c r="D348" s="101" t="inlineStr">
        <is>
          <t>Includes other mints (Mentha spp.) except spearmint.</t>
        </is>
      </c>
      <c r="E348" s="101" t="n">
        <v>3490</v>
      </c>
      <c r="F348" s="84">
        <f>N348*H348+T348</f>
        <v/>
      </c>
      <c r="G348" s="85">
        <f>R348*H348+U348</f>
        <v/>
      </c>
      <c r="H348" s="102" t="n">
        <v>1</v>
      </c>
      <c r="I348" s="103" t="inlineStr">
        <is>
          <t>None</t>
        </is>
      </c>
      <c r="J348" s="104" t="n">
        <v>1</v>
      </c>
      <c r="K348" s="89" t="inlineStr">
        <is>
          <t>spinach</t>
        </is>
      </c>
      <c r="L348" s="90">
        <f>IF(ISERROR(GETPIVOTDATA(IF($J348=1,"Count of ACTIVE     CED, FARM GATE (MJ/kg)","Count of CED, processor gate (MJ/kg)"),'[1]Pivot Table_CED'!$A$3,"SUB TYPE",$B348)),"PROXY",IF(GETPIVOTDATA(IF($J348=1,"Count of ACTIVE     CED, FARM GATE (MJ/kg)","Count of CED, processor gate (MJ/kg)"),'[1]Pivot Table_CED'!$A$3,"SUB TYPE",$B348)=0,"PROXY","DB value"))</f>
        <v/>
      </c>
      <c r="M348" s="91">
        <f>IF($L348="PROXY",DCOUNT('[1]literature entries'!$D:$AI,IF($J348=1,"ACTIVE     CED, FARM GATE (MJ/kg)","CED, processor gate (MJ/kg)"),INDIRECT($K348)),GETPIVOTDATA(IF($J348=1,"Count of ACTIVE     CED, FARM GATE (MJ/kg)","Count of CED, processor gate (MJ/kg)"),'[1]Pivot Table_CED'!$A$3,"SUB TYPE",$B348))</f>
        <v/>
      </c>
      <c r="N348" s="92">
        <f>IF($L348="PROXY",DAVERAGE('[1]literature entries'!$D:$AI,IF($J348=1,"ACTIVE     CED, FARM GATE (MJ/kg)","CED, processor gate (MJ/kg)"),INDIRECT($K348)),GETPIVOTDATA(IF($J348=1,"Average of ACTIVE     CED, FARM GATE (MJ/kg)","Average of CED, processor gate (MJ/kg)"),'[1]Pivot Table_CED'!$A$3,"SUB TYPE",$B348))</f>
        <v/>
      </c>
      <c r="O348" s="92">
        <f>IF($L348="PROXY",DSTDEV('[1]literature entries'!D:AI,IF($J348=1,"ACTIVE     CED, FARM GATE (MJ/kg)","CED, processor gate (MJ/kg)"),INDIRECT($K348)),GETPIVOTDATA(IF($J348=1,"StdDev of ACTIVE     CED, FARM GATE (MJ/kg)","StdDev of CED, processor gate (MJ/kg)"),'[1]Pivot Table_CED'!$A$3,"SUB TYPE",$B348))</f>
        <v/>
      </c>
      <c r="P348" s="90">
        <f>IF(ISERROR(GETPIVOTDATA(IF($J348=1,"Count of ACTIVE     GHGE, FARM GATE (kg CO2e/kg)","Count of GHGE, processor gate (kg CO2e/kg)"),'[1]Pivot Table_GHG'!$A$3,"SUB TYPE",$B348)),"PROXY",IF(GETPIVOTDATA(IF($J348=1,"Count of ACTIVE     GHGE, FARM GATE (kg CO2e/kg)","Count of GHGE, processor gate (kg CO2e/kg)"),'[1]Pivot Table_GHG'!$A$3,"SUB TYPE",$B348)=0,"PROXY","DB value"))</f>
        <v/>
      </c>
      <c r="Q348" s="93">
        <f>IF($P348="PROXY",DCOUNT('[1]literature entries'!$D:$AI,IF($J348=1,"ACTIVE     GHGE, FARM GATE (kg CO2e/kg)","GHGE, processor gate (kg CO2e/kg)"),INDIRECT($K348)),GETPIVOTDATA(IF($J348=1,"ACTIVE     GHGE, FARM GATE (kg CO2e/kg)","Count of GHGE, processor gate (kg CO2e/kg)"),'[1]Pivot Table_GHG'!$A$3,"SUB TYPE",$B348))</f>
        <v/>
      </c>
      <c r="R348" s="94">
        <f>IF($P348="PROXY",DAVERAGE('[1]literature entries'!$D:$AI,IF($J348=1,"ACTIVE     GHGE, FARM GATE (kg CO2e/kg)","GHGE, processor gate (kg CO2e/kg)"),INDIRECT($K348)),GETPIVOTDATA(IF($J348=1,"Average of ACTIVE     GHGE, FARM GATE (kg CO2e/kg)","Average of GHGE, processor gate (kg CO2e/kg)"),'[1]Pivot Table_GHG'!$A$3,"SUB TYPE",$B348))</f>
        <v/>
      </c>
      <c r="S348" s="94">
        <f>IF($P348="PROXY",DSTDEV('[1]literature entries'!$D:$AI,IF($J348=1,"ACTIVE     GHGE, FARM GATE (kg CO2e/kg)","GHGE, processor gate (kg CO2e/kg)"),INDIRECT($K348)),GETPIVOTDATA(IF($J348=1,"StdDev of ACTIVE     GHGE, FARM GATE (kg CO2e/kg)","StdDev of GHGE, processor gate (kg CO2e/kg)"),'[1]Pivot Table_GHG'!$A$3,"SUB TYPE",$B348))</f>
        <v/>
      </c>
      <c r="T348" s="105" t="n"/>
      <c r="U348" s="106" t="n"/>
      <c r="V348" s="97" t="n"/>
      <c r="W348" s="98" t="inlineStr">
        <is>
          <t>greens</t>
        </is>
      </c>
      <c r="X348" s="98">
        <f>IF($W348="DIRECT",M348,DCOUNT('[1]literature entries'!$D:$AI,IF($J348=1,"ACTIVE     CED, FARM GATE (MJ/kg)","CED, processor gate (MJ/kg)"),INDIRECT($W348)))</f>
        <v/>
      </c>
      <c r="Y348" s="98">
        <f>IF($W348="DIRECT","",DAVERAGE('[1]literature entries'!$D:$AI,IF($J348=1,"ACTIVE     CED, FARM GATE (MJ/kg)","CED, processor gate (MJ/kg)"),INDIRECT($W348)))</f>
        <v/>
      </c>
      <c r="Z348" s="98">
        <f>IF($W348="DIRECT",$O348,DSTDEV('[1]literature entries'!$D:$AI,IF($J348=1,"ACTIVE     CED, FARM GATE (MJ/kg)","CED, processor gate (MJ/kg)"),INDIRECT($W348)))</f>
        <v/>
      </c>
      <c r="AA348" s="98">
        <f>IF($W348="DIRECT",$O348,$Z348/$Y348*$N348)</f>
        <v/>
      </c>
      <c r="AB348" s="99" t="inlineStr">
        <is>
          <t>greens</t>
        </is>
      </c>
      <c r="AC348" s="99">
        <f>IF($AB348="DIRECT",Q348,DCOUNT('[1]literature entries'!$D:$AI,IF($J348=1,"ACTIVE     GHGE, FARM GATE (kg CO2e/kg)","GHGE, processor gate (kg CO2e/kg)"),INDIRECT($AB348)))</f>
        <v/>
      </c>
      <c r="AD348" s="99">
        <f>IF($AB348="DIRECT","",DAVERAGE('[1]literature entries'!$D:$AI,IF($J348=1,"ACTIVE     GHGE, FARM GATE (kg CO2e/kg)","GHGE, processor gate (kg CO2e/kg)"),INDIRECT($AB348)))</f>
        <v/>
      </c>
      <c r="AE348" s="99">
        <f>IF($AB348="DIRECT",$S348,DSTDEV('[1]literature entries'!$D:$AI,IF($J348=1,"ACTIVE     GHGE, FARM GATE (kg CO2e/kg)","GHGE, processor gate (kg CO2e/kg)"),INDIRECT($AB348)))</f>
        <v/>
      </c>
      <c r="AF348" s="99">
        <f>IF($AB348="DIRECT",$S348,$AE348/$AD348*$R348)</f>
        <v/>
      </c>
    </row>
    <row r="349" ht="15.75" customHeight="1" s="201">
      <c r="A349" s="100" t="n">
        <v>9500276000</v>
      </c>
      <c r="B349" s="101" t="inlineStr">
        <is>
          <t>Peppermint, oil</t>
        </is>
      </c>
      <c r="C349" s="101" t="inlineStr">
        <is>
          <t>weight of oil</t>
        </is>
      </c>
      <c r="D349" s="101" t="n"/>
      <c r="E349" s="101" t="n">
        <v>4</v>
      </c>
      <c r="F349" s="84">
        <f>N349*H349+T349</f>
        <v/>
      </c>
      <c r="G349" s="85">
        <f>R349*H349+U349</f>
        <v/>
      </c>
      <c r="H349" s="102" t="n">
        <v>1</v>
      </c>
      <c r="I349" s="103" t="inlineStr">
        <is>
          <t>None</t>
        </is>
      </c>
      <c r="J349" s="104" t="n">
        <v>2</v>
      </c>
      <c r="K349" s="89" t="inlineStr">
        <is>
          <t>coconut_oil</t>
        </is>
      </c>
      <c r="L349" s="90">
        <f>IF(ISERROR(GETPIVOTDATA(IF($J349=1,"Count of ACTIVE     CED, FARM GATE (MJ/kg)","Count of CED, processor gate (MJ/kg)"),'[1]Pivot Table_CED'!$A$3,"SUB TYPE",$B349)),"PROXY",IF(GETPIVOTDATA(IF($J349=1,"Count of ACTIVE     CED, FARM GATE (MJ/kg)","Count of CED, processor gate (MJ/kg)"),'[1]Pivot Table_CED'!$A$3,"SUB TYPE",$B349)=0,"PROXY","DB value"))</f>
        <v/>
      </c>
      <c r="M349" s="91">
        <f>IF($L349="PROXY",DCOUNT('[1]literature entries'!$D:$AI,IF($J349=1,"ACTIVE     CED, FARM GATE (MJ/kg)","CED, processor gate (MJ/kg)"),INDIRECT($K349)),GETPIVOTDATA(IF($J349=1,"Count of ACTIVE     CED, FARM GATE (MJ/kg)","Count of CED, processor gate (MJ/kg)"),'[1]Pivot Table_CED'!$A$3,"SUB TYPE",$B349))</f>
        <v/>
      </c>
      <c r="N349" s="92">
        <f>IF($L349="PROXY",DAVERAGE('[1]literature entries'!$D:$AI,IF($J349=1,"ACTIVE     CED, FARM GATE (MJ/kg)","CED, processor gate (MJ/kg)"),INDIRECT($K349)),GETPIVOTDATA(IF($J349=1,"Average of ACTIVE     CED, FARM GATE (MJ/kg)","Average of CED, processor gate (MJ/kg)"),'[1]Pivot Table_CED'!$A$3,"SUB TYPE",$B349))</f>
        <v/>
      </c>
      <c r="O349" s="92">
        <f>IF($L349="PROXY",DSTDEV('[1]literature entries'!D:AI,IF($J349=1,"ACTIVE     CED, FARM GATE (MJ/kg)","CED, processor gate (MJ/kg)"),INDIRECT($K349)),GETPIVOTDATA(IF($J349=1,"StdDev of ACTIVE     CED, FARM GATE (MJ/kg)","StdDev of CED, processor gate (MJ/kg)"),'[1]Pivot Table_CED'!$A$3,"SUB TYPE",$B349))</f>
        <v/>
      </c>
      <c r="P349" s="90">
        <f>IF(ISERROR(GETPIVOTDATA(IF($J349=1,"Count of ACTIVE     GHGE, FARM GATE (kg CO2e/kg)","Count of GHGE, processor gate (kg CO2e/kg)"),'[1]Pivot Table_GHG'!$A$3,"SUB TYPE",$B349)),"PROXY",IF(GETPIVOTDATA(IF($J349=1,"Count of ACTIVE     GHGE, FARM GATE (kg CO2e/kg)","Count of GHGE, processor gate (kg CO2e/kg)"),'[1]Pivot Table_GHG'!$A$3,"SUB TYPE",$B349)=0,"PROXY","DB value"))</f>
        <v/>
      </c>
      <c r="Q349" s="93">
        <f>IF($P349="PROXY",DCOUNT('[1]literature entries'!$D:$AI,IF($J349=1,"ACTIVE     GHGE, FARM GATE (kg CO2e/kg)","GHGE, processor gate (kg CO2e/kg)"),INDIRECT($K349)),GETPIVOTDATA(IF($J349=1,"ACTIVE     GHGE, FARM GATE (kg CO2e/kg)","Count of GHGE, processor gate (kg CO2e/kg)"),'[1]Pivot Table_GHG'!$A$3,"SUB TYPE",$B349))</f>
        <v/>
      </c>
      <c r="R349" s="94">
        <f>IF($P349="PROXY",DAVERAGE('[1]literature entries'!$D:$AI,IF($J349=1,"ACTIVE     GHGE, FARM GATE (kg CO2e/kg)","GHGE, processor gate (kg CO2e/kg)"),INDIRECT($K349)),GETPIVOTDATA(IF($J349=1,"Average of ACTIVE     GHGE, FARM GATE (kg CO2e/kg)","Average of GHGE, processor gate (kg CO2e/kg)"),'[1]Pivot Table_GHG'!$A$3,"SUB TYPE",$B349))</f>
        <v/>
      </c>
      <c r="S349" s="94">
        <f>IF($P349="PROXY",DSTDEV('[1]literature entries'!$D:$AI,IF($J349=1,"ACTIVE     GHGE, FARM GATE (kg CO2e/kg)","GHGE, processor gate (kg CO2e/kg)"),INDIRECT($K349)),GETPIVOTDATA(IF($J349=1,"StdDev of ACTIVE     GHGE, FARM GATE (kg CO2e/kg)","StdDev of GHGE, processor gate (kg CO2e/kg)"),'[1]Pivot Table_GHG'!$A$3,"SUB TYPE",$B349))</f>
        <v/>
      </c>
      <c r="T349" s="105" t="n"/>
      <c r="U349" s="106" t="n"/>
      <c r="V349" s="97" t="n"/>
      <c r="W349" s="98" t="inlineStr">
        <is>
          <t>oils</t>
        </is>
      </c>
      <c r="X349" s="98">
        <f>IF($W349="DIRECT",M349,DCOUNT('[1]literature entries'!$D:$AI,IF($J349=1,"ACTIVE     CED, FARM GATE (MJ/kg)","CED, processor gate (MJ/kg)"),INDIRECT($W349)))</f>
        <v/>
      </c>
      <c r="Y349" s="98">
        <f>IF($W349="DIRECT","",DAVERAGE('[1]literature entries'!$D:$AI,IF($J349=1,"ACTIVE     CED, FARM GATE (MJ/kg)","CED, processor gate (MJ/kg)"),INDIRECT($W349)))</f>
        <v/>
      </c>
      <c r="Z349" s="98">
        <f>IF($W349="DIRECT",$O349,DSTDEV('[1]literature entries'!$D:$AI,IF($J349=1,"ACTIVE     CED, FARM GATE (MJ/kg)","CED, processor gate (MJ/kg)"),INDIRECT($W349)))</f>
        <v/>
      </c>
      <c r="AA349" s="98">
        <f>IF($W349="DIRECT",$O349,$Z349/$Y349*$N349)</f>
        <v/>
      </c>
      <c r="AB349" s="99" t="inlineStr">
        <is>
          <t>oils</t>
        </is>
      </c>
      <c r="AC349" s="99">
        <f>IF($AB349="DIRECT",Q349,DCOUNT('[1]literature entries'!$D:$AI,IF($J349=1,"ACTIVE     GHGE, FARM GATE (kg CO2e/kg)","GHGE, processor gate (kg CO2e/kg)"),INDIRECT($AB349)))</f>
        <v/>
      </c>
      <c r="AD349" s="99">
        <f>IF($AB349="DIRECT","",DAVERAGE('[1]literature entries'!$D:$AI,IF($J349=1,"ACTIVE     GHGE, FARM GATE (kg CO2e/kg)","GHGE, processor gate (kg CO2e/kg)"),INDIRECT($AB349)))</f>
        <v/>
      </c>
      <c r="AE349" s="99">
        <f>IF($AB349="DIRECT",$S349,DSTDEV('[1]literature entries'!$D:$AI,IF($J349=1,"ACTIVE     GHGE, FARM GATE (kg CO2e/kg)","GHGE, processor gate (kg CO2e/kg)"),INDIRECT($AB349)))</f>
        <v/>
      </c>
      <c r="AF349" s="99">
        <f>IF($AB349="DIRECT",$S349,$AE349/$AD349*$R349)</f>
        <v/>
      </c>
    </row>
    <row r="350" ht="15.75" customHeight="1" s="201">
      <c r="A350" s="100" t="n">
        <v>9500306000</v>
      </c>
      <c r="B350" s="101" t="inlineStr">
        <is>
          <t>Psyllium, seed</t>
        </is>
      </c>
      <c r="C350" s="101" t="inlineStr">
        <is>
          <t>dry weight of psyllium husks</t>
        </is>
      </c>
      <c r="D350" s="101" t="n"/>
      <c r="E350" s="101" t="n">
        <v>2</v>
      </c>
      <c r="F350" s="84">
        <f>N350*H350+T350</f>
        <v/>
      </c>
      <c r="G350" s="85">
        <f>R350*H350+U350</f>
        <v/>
      </c>
      <c r="H350" s="102" t="n">
        <v>1</v>
      </c>
      <c r="I350" s="103" t="inlineStr">
        <is>
          <t>None</t>
        </is>
      </c>
      <c r="J350" s="104" t="n">
        <v>1</v>
      </c>
      <c r="K350" s="89" t="inlineStr">
        <is>
          <t>grains</t>
        </is>
      </c>
      <c r="L350" s="90">
        <f>IF(ISERROR(GETPIVOTDATA(IF($J350=1,"Count of ACTIVE     CED, FARM GATE (MJ/kg)","Count of CED, processor gate (MJ/kg)"),'[1]Pivot Table_CED'!$A$3,"SUB TYPE",$B350)),"PROXY",IF(GETPIVOTDATA(IF($J350=1,"Count of ACTIVE     CED, FARM GATE (MJ/kg)","Count of CED, processor gate (MJ/kg)"),'[1]Pivot Table_CED'!$A$3,"SUB TYPE",$B350)=0,"PROXY","DB value"))</f>
        <v/>
      </c>
      <c r="M350" s="91">
        <f>IF($L350="PROXY",DCOUNT('[1]literature entries'!$D:$AI,IF($J350=1,"ACTIVE     CED, FARM GATE (MJ/kg)","CED, processor gate (MJ/kg)"),INDIRECT($K350)),GETPIVOTDATA(IF($J350=1,"Count of ACTIVE     CED, FARM GATE (MJ/kg)","Count of CED, processor gate (MJ/kg)"),'[1]Pivot Table_CED'!$A$3,"SUB TYPE",$B350))</f>
        <v/>
      </c>
      <c r="N350" s="92">
        <f>IF($L350="PROXY",DAVERAGE('[1]literature entries'!$D:$AI,IF($J350=1,"ACTIVE     CED, FARM GATE (MJ/kg)","CED, processor gate (MJ/kg)"),INDIRECT($K350)),GETPIVOTDATA(IF($J350=1,"Average of ACTIVE     CED, FARM GATE (MJ/kg)","Average of CED, processor gate (MJ/kg)"),'[1]Pivot Table_CED'!$A$3,"SUB TYPE",$B350))</f>
        <v/>
      </c>
      <c r="O350" s="92">
        <f>IF($L350="PROXY",DSTDEV('[1]literature entries'!D:AI,IF($J350=1,"ACTIVE     CED, FARM GATE (MJ/kg)","CED, processor gate (MJ/kg)"),INDIRECT($K350)),GETPIVOTDATA(IF($J350=1,"StdDev of ACTIVE     CED, FARM GATE (MJ/kg)","StdDev of CED, processor gate (MJ/kg)"),'[1]Pivot Table_CED'!$A$3,"SUB TYPE",$B350))</f>
        <v/>
      </c>
      <c r="P350" s="90">
        <f>IF(ISERROR(GETPIVOTDATA(IF($J350=1,"Count of ACTIVE     GHGE, FARM GATE (kg CO2e/kg)","Count of GHGE, processor gate (kg CO2e/kg)"),'[1]Pivot Table_GHG'!$A$3,"SUB TYPE",$B350)),"PROXY",IF(GETPIVOTDATA(IF($J350=1,"Count of ACTIVE     GHGE, FARM GATE (kg CO2e/kg)","Count of GHGE, processor gate (kg CO2e/kg)"),'[1]Pivot Table_GHG'!$A$3,"SUB TYPE",$B350)=0,"PROXY","DB value"))</f>
        <v/>
      </c>
      <c r="Q350" s="93">
        <f>IF($P350="PROXY",DCOUNT('[1]literature entries'!$D:$AI,IF($J350=1,"ACTIVE     GHGE, FARM GATE (kg CO2e/kg)","GHGE, processor gate (kg CO2e/kg)"),INDIRECT($K350)),GETPIVOTDATA(IF($J350=1,"ACTIVE     GHGE, FARM GATE (kg CO2e/kg)","Count of GHGE, processor gate (kg CO2e/kg)"),'[1]Pivot Table_GHG'!$A$3,"SUB TYPE",$B350))</f>
        <v/>
      </c>
      <c r="R350" s="94">
        <f>IF($P350="PROXY",DAVERAGE('[1]literature entries'!$D:$AI,IF($J350=1,"ACTIVE     GHGE, FARM GATE (kg CO2e/kg)","GHGE, processor gate (kg CO2e/kg)"),INDIRECT($K350)),GETPIVOTDATA(IF($J350=1,"Average of ACTIVE     GHGE, FARM GATE (kg CO2e/kg)","Average of GHGE, processor gate (kg CO2e/kg)"),'[1]Pivot Table_GHG'!$A$3,"SUB TYPE",$B350))</f>
        <v/>
      </c>
      <c r="S350" s="94">
        <f>IF($P350="PROXY",DSTDEV('[1]literature entries'!$D:$AI,IF($J350=1,"ACTIVE     GHGE, FARM GATE (kg CO2e/kg)","GHGE, processor gate (kg CO2e/kg)"),INDIRECT($K350)),GETPIVOTDATA(IF($J350=1,"StdDev of ACTIVE     GHGE, FARM GATE (kg CO2e/kg)","StdDev of GHGE, processor gate (kg CO2e/kg)"),'[1]Pivot Table_GHG'!$A$3,"SUB TYPE",$B350))</f>
        <v/>
      </c>
      <c r="T350" s="105" t="n"/>
      <c r="U350" s="106" t="n"/>
      <c r="V350" s="97" t="n"/>
      <c r="W350" s="98">
        <f>IF(L350="PROXY",IF(M350&gt;=5,K350,"need group"),IF(M350&gt;=5,"DIRECT","need group"))</f>
        <v/>
      </c>
      <c r="X350" s="98">
        <f>IF($W350="DIRECT",M350,DCOUNT('[1]literature entries'!$D:$AI,IF($J350=1,"ACTIVE     CED, FARM GATE (MJ/kg)","CED, processor gate (MJ/kg)"),INDIRECT($W350)))</f>
        <v/>
      </c>
      <c r="Y350" s="98">
        <f>IF($W350="DIRECT","",DAVERAGE('[1]literature entries'!$D:$AI,IF($J350=1,"ACTIVE     CED, FARM GATE (MJ/kg)","CED, processor gate (MJ/kg)"),INDIRECT($W350)))</f>
        <v/>
      </c>
      <c r="Z350" s="98">
        <f>IF($W350="DIRECT",$O350,DSTDEV('[1]literature entries'!$D:$AI,IF($J350=1,"ACTIVE     CED, FARM GATE (MJ/kg)","CED, processor gate (MJ/kg)"),INDIRECT($W350)))</f>
        <v/>
      </c>
      <c r="AA350" s="98">
        <f>IF($W350="DIRECT",$O350,$Z350/$Y350*$N350)</f>
        <v/>
      </c>
      <c r="AB350" s="99">
        <f>IF(P350="PROXY",IF(Q350&gt;=5,K350,"need group"),IF(Q350&gt;=5,"DIRECT","need group"))</f>
        <v/>
      </c>
      <c r="AC350" s="99">
        <f>IF($AB350="DIRECT",Q350,DCOUNT('[1]literature entries'!$D:$AI,IF($J350=1,"ACTIVE     GHGE, FARM GATE (kg CO2e/kg)","GHGE, processor gate (kg CO2e/kg)"),INDIRECT($AB350)))</f>
        <v/>
      </c>
      <c r="AD350" s="99">
        <f>IF($AB350="DIRECT","",DAVERAGE('[1]literature entries'!$D:$AI,IF($J350=1,"ACTIVE     GHGE, FARM GATE (kg CO2e/kg)","GHGE, processor gate (kg CO2e/kg)"),INDIRECT($AB350)))</f>
        <v/>
      </c>
      <c r="AE350" s="99">
        <f>IF($AB350="DIRECT",$S350,DSTDEV('[1]literature entries'!$D:$AI,IF($J350=1,"ACTIVE     GHGE, FARM GATE (kg CO2e/kg)","GHGE, processor gate (kg CO2e/kg)"),INDIRECT($AB350)))</f>
        <v/>
      </c>
      <c r="AF350" s="99">
        <f>IF($AB350="DIRECT",$S350,$AE350/$AD350*$R350)</f>
        <v/>
      </c>
    </row>
    <row r="351" ht="15.75" customHeight="1" s="201">
      <c r="A351" s="100" t="n">
        <v>9500335000</v>
      </c>
      <c r="B351" s="101" t="inlineStr">
        <is>
          <t>Seaweed</t>
        </is>
      </c>
      <c r="C351" s="101" t="inlineStr">
        <is>
          <t>weight of vegetation (wet and dry)</t>
        </is>
      </c>
      <c r="D351" s="101" t="inlineStr">
        <is>
          <t>Includes algae, Irish moss, kelp, spirulina, agar, laver, and wakame.</t>
        </is>
      </c>
      <c r="E351" s="101" t="n">
        <v>19067</v>
      </c>
      <c r="F351" s="84">
        <f>N351*H351+T351</f>
        <v/>
      </c>
      <c r="G351" s="85">
        <f>R351*H351+U351</f>
        <v/>
      </c>
      <c r="H351" s="102" t="n">
        <v>1</v>
      </c>
      <c r="I351" s="103" t="inlineStr">
        <is>
          <t>FICRCD</t>
        </is>
      </c>
      <c r="J351" s="104" t="n">
        <v>1</v>
      </c>
      <c r="K351" s="133" t="inlineStr">
        <is>
          <t>greens</t>
        </is>
      </c>
      <c r="L351" s="90">
        <f>IF(ISERROR(GETPIVOTDATA(IF($J351=1,"Count of ACTIVE     CED, FARM GATE (MJ/kg)","Count of CED, processor gate (MJ/kg)"),'[1]Pivot Table_CED'!$A$3,"SUB TYPE",$B351)),"PROXY",IF(GETPIVOTDATA(IF($J351=1,"Count of ACTIVE     CED, FARM GATE (MJ/kg)","Count of CED, processor gate (MJ/kg)"),'[1]Pivot Table_CED'!$A$3,"SUB TYPE",$B351)=0,"PROXY","DB value"))</f>
        <v/>
      </c>
      <c r="M351" s="91">
        <f>IF($L351="PROXY",DCOUNT('[1]literature entries'!$D:$AI,IF($J351=1,"ACTIVE     CED, FARM GATE (MJ/kg)","CED, processor gate (MJ/kg)"),INDIRECT($K351)),GETPIVOTDATA(IF($J351=1,"Count of ACTIVE     CED, FARM GATE (MJ/kg)","Count of CED, processor gate (MJ/kg)"),'[1]Pivot Table_CED'!$A$3,"SUB TYPE",$B351))</f>
        <v/>
      </c>
      <c r="N351" s="92">
        <f>IF($L351="PROXY",DAVERAGE('[1]literature entries'!$D:$AI,IF($J351=1,"ACTIVE     CED, FARM GATE (MJ/kg)","CED, processor gate (MJ/kg)"),INDIRECT($K351)),GETPIVOTDATA(IF($J351=1,"Average of ACTIVE     CED, FARM GATE (MJ/kg)","Average of CED, processor gate (MJ/kg)"),'[1]Pivot Table_CED'!$A$3,"SUB TYPE",$B351))</f>
        <v/>
      </c>
      <c r="O351" s="92">
        <f>IF($L351="PROXY",DSTDEV('[1]literature entries'!D:AI,IF($J351=1,"ACTIVE     CED, FARM GATE (MJ/kg)","CED, processor gate (MJ/kg)"),INDIRECT($K351)),GETPIVOTDATA(IF($J351=1,"StdDev of ACTIVE     CED, FARM GATE (MJ/kg)","StdDev of CED, processor gate (MJ/kg)"),'[1]Pivot Table_CED'!$A$3,"SUB TYPE",$B351))</f>
        <v/>
      </c>
      <c r="P351" s="90">
        <f>IF(ISERROR(GETPIVOTDATA(IF($J351=1,"Count of ACTIVE     GHGE, FARM GATE (kg CO2e/kg)","Count of GHGE, processor gate (kg CO2e/kg)"),'[1]Pivot Table_GHG'!$A$3,"SUB TYPE",$B351)),"PROXY",IF(GETPIVOTDATA(IF($J351=1,"Count of ACTIVE     GHGE, FARM GATE (kg CO2e/kg)","Count of GHGE, processor gate (kg CO2e/kg)"),'[1]Pivot Table_GHG'!$A$3,"SUB TYPE",$B351)=0,"PROXY","DB value"))</f>
        <v/>
      </c>
      <c r="Q351" s="93">
        <f>IF($P351="PROXY",DCOUNT('[1]literature entries'!$D:$AI,IF($J351=1,"ACTIVE     GHGE, FARM GATE (kg CO2e/kg)","GHGE, processor gate (kg CO2e/kg)"),INDIRECT($K351)),GETPIVOTDATA(IF($J351=1,"ACTIVE     GHGE, FARM GATE (kg CO2e/kg)","Count of GHGE, processor gate (kg CO2e/kg)"),'[1]Pivot Table_GHG'!$A$3,"SUB TYPE",$B351))</f>
        <v/>
      </c>
      <c r="R351" s="94">
        <f>IF($P351="PROXY",DAVERAGE('[1]literature entries'!$D:$AI,IF($J351=1,"ACTIVE     GHGE, FARM GATE (kg CO2e/kg)","GHGE, processor gate (kg CO2e/kg)"),INDIRECT($K351)),GETPIVOTDATA(IF($J351=1,"Average of ACTIVE     GHGE, FARM GATE (kg CO2e/kg)","Average of GHGE, processor gate (kg CO2e/kg)"),'[1]Pivot Table_GHG'!$A$3,"SUB TYPE",$B351))</f>
        <v/>
      </c>
      <c r="S351" s="94">
        <f>IF($P351="PROXY",DSTDEV('[1]literature entries'!$D:$AI,IF($J351=1,"ACTIVE     GHGE, FARM GATE (kg CO2e/kg)","GHGE, processor gate (kg CO2e/kg)"),INDIRECT($K351)),GETPIVOTDATA(IF($J351=1,"StdDev of ACTIVE     GHGE, FARM GATE (kg CO2e/kg)","StdDev of GHGE, processor gate (kg CO2e/kg)"),'[1]Pivot Table_GHG'!$A$3,"SUB TYPE",$B351))</f>
        <v/>
      </c>
      <c r="T351" s="105" t="n"/>
      <c r="U351" s="106" t="n"/>
      <c r="V351" s="97" t="n"/>
      <c r="W351" s="98">
        <f>IF(L351="PROXY",IF(M351&gt;=5,K351,"need group"),IF(M351&gt;=5,"DIRECT","need group"))</f>
        <v/>
      </c>
      <c r="X351" s="98">
        <f>IF($W351="DIRECT",M351,DCOUNT('[1]literature entries'!$D:$AI,IF($J351=1,"ACTIVE     CED, FARM GATE (MJ/kg)","CED, processor gate (MJ/kg)"),INDIRECT($W351)))</f>
        <v/>
      </c>
      <c r="Y351" s="98">
        <f>IF($W351="DIRECT","",DAVERAGE('[1]literature entries'!$D:$AI,IF($J351=1,"ACTIVE     CED, FARM GATE (MJ/kg)","CED, processor gate (MJ/kg)"),INDIRECT($W351)))</f>
        <v/>
      </c>
      <c r="Z351" s="98">
        <f>IF($W351="DIRECT",$O351,DSTDEV('[1]literature entries'!$D:$AI,IF($J351=1,"ACTIVE     CED, FARM GATE (MJ/kg)","CED, processor gate (MJ/kg)"),INDIRECT($W351)))</f>
        <v/>
      </c>
      <c r="AA351" s="98">
        <f>IF($W351="DIRECT",$O351,$Z351/$Y351*$N351)</f>
        <v/>
      </c>
      <c r="AB351" s="99">
        <f>IF(P351="PROXY",IF(Q351&gt;=5,K351,"need group"),IF(Q351&gt;=5,"DIRECT","need group"))</f>
        <v/>
      </c>
      <c r="AC351" s="99">
        <f>IF($AB351="DIRECT",Q351,DCOUNT('[1]literature entries'!$D:$AI,IF($J351=1,"ACTIVE     GHGE, FARM GATE (kg CO2e/kg)","GHGE, processor gate (kg CO2e/kg)"),INDIRECT($AB351)))</f>
        <v/>
      </c>
      <c r="AD351" s="99">
        <f>IF($AB351="DIRECT","",DAVERAGE('[1]literature entries'!$D:$AI,IF($J351=1,"ACTIVE     GHGE, FARM GATE (kg CO2e/kg)","GHGE, processor gate (kg CO2e/kg)"),INDIRECT($AB351)))</f>
        <v/>
      </c>
      <c r="AE351" s="99">
        <f>IF($AB351="DIRECT",$S351,DSTDEV('[1]literature entries'!$D:$AI,IF($J351=1,"ACTIVE     GHGE, FARM GATE (kg CO2e/kg)","GHGE, processor gate (kg CO2e/kg)"),INDIRECT($AB351)))</f>
        <v/>
      </c>
      <c r="AF351" s="99">
        <f>IF($AB351="DIRECT",$S351,$AE351/$AD351*$R351)</f>
        <v/>
      </c>
    </row>
    <row r="352" ht="15.75" customHeight="1" s="201">
      <c r="A352" s="100" t="n">
        <v>9500362000</v>
      </c>
      <c r="B352" s="101" t="inlineStr">
        <is>
          <t>Sugarcane, sugar</t>
        </is>
      </c>
      <c r="C352" s="101" t="inlineStr">
        <is>
          <t>dry weight of cane sugar (sucrose)</t>
        </is>
      </c>
      <c r="D352" s="101" t="inlineStr">
        <is>
          <t>Sucrose is a disaccharide obtained from sugar cane and sugar beet.</t>
        </is>
      </c>
      <c r="E352" s="101" t="n">
        <v>49995</v>
      </c>
      <c r="F352" s="84">
        <f>N352*H352+T352</f>
        <v/>
      </c>
      <c r="G352" s="85">
        <f>R352*H352+U352</f>
        <v/>
      </c>
      <c r="H352" s="102" t="n">
        <v>1</v>
      </c>
      <c r="I352" s="103" t="inlineStr">
        <is>
          <t>None</t>
        </is>
      </c>
      <c r="J352" s="104" t="n">
        <v>2</v>
      </c>
      <c r="K352" s="89" t="n"/>
      <c r="L352" s="90">
        <f>IF(ISERROR(GETPIVOTDATA(IF($J352=1,"Count of ACTIVE     CED, FARM GATE (MJ/kg)","Count of CED, processor gate (MJ/kg)"),'[1]Pivot Table_CED'!$A$3,"SUB TYPE",$B352)),"PROXY",IF(GETPIVOTDATA(IF($J352=1,"Count of ACTIVE     CED, FARM GATE (MJ/kg)","Count of CED, processor gate (MJ/kg)"),'[1]Pivot Table_CED'!$A$3,"SUB TYPE",$B352)=0,"PROXY","DB value"))</f>
        <v/>
      </c>
      <c r="M352" s="91">
        <f>IF($L352="PROXY",DCOUNT('[1]literature entries'!$D:$AI,IF($J352=1,"ACTIVE     CED, FARM GATE (MJ/kg)","CED, processor gate (MJ/kg)"),INDIRECT($K352)),GETPIVOTDATA(IF($J352=1,"Count of ACTIVE     CED, FARM GATE (MJ/kg)","Count of CED, processor gate (MJ/kg)"),'[1]Pivot Table_CED'!$A$3,"SUB TYPE",$B352))</f>
        <v/>
      </c>
      <c r="N352" s="92">
        <f>IF($L352="PROXY",DAVERAGE('[1]literature entries'!$D:$AI,IF($J352=1,"ACTIVE     CED, FARM GATE (MJ/kg)","CED, processor gate (MJ/kg)"),INDIRECT($K352)),GETPIVOTDATA(IF($J352=1,"Average of ACTIVE     CED, FARM GATE (MJ/kg)","Average of CED, processor gate (MJ/kg)"),'[1]Pivot Table_CED'!$A$3,"SUB TYPE",$B352))</f>
        <v/>
      </c>
      <c r="O352" s="92">
        <f>IF($L352="PROXY",DSTDEV('[1]literature entries'!D:AI,IF($J352=1,"ACTIVE     CED, FARM GATE (MJ/kg)","CED, processor gate (MJ/kg)"),INDIRECT($K352)),GETPIVOTDATA(IF($J352=1,"StdDev of ACTIVE     CED, FARM GATE (MJ/kg)","StdDev of CED, processor gate (MJ/kg)"),'[1]Pivot Table_CED'!$A$3,"SUB TYPE",$B352))</f>
        <v/>
      </c>
      <c r="P352" s="90">
        <f>IF(ISERROR(GETPIVOTDATA(IF($J352=1,"Count of ACTIVE     GHGE, FARM GATE (kg CO2e/kg)","Count of GHGE, processor gate (kg CO2e/kg)"),'[1]Pivot Table_GHG'!$A$3,"SUB TYPE",$B352)),"PROXY",IF(GETPIVOTDATA(IF($J352=1,"Count of ACTIVE     GHGE, FARM GATE (kg CO2e/kg)","Count of GHGE, processor gate (kg CO2e/kg)"),'[1]Pivot Table_GHG'!$A$3,"SUB TYPE",$B352)=0,"PROXY","DB value"))</f>
        <v/>
      </c>
      <c r="Q352" s="93">
        <f>IF($P352="PROXY",DCOUNT('[1]literature entries'!$D:$AI,IF($J352=1,"ACTIVE     GHGE, FARM GATE (kg CO2e/kg)","GHGE, processor gate (kg CO2e/kg)"),INDIRECT($K352)),GETPIVOTDATA(IF($J352=1,"ACTIVE     GHGE, FARM GATE (kg CO2e/kg)","Count of GHGE, processor gate (kg CO2e/kg)"),'[1]Pivot Table_GHG'!$A$3,"SUB TYPE",$B352))</f>
        <v/>
      </c>
      <c r="R352" s="94">
        <f>IF($P352="PROXY",DAVERAGE('[1]literature entries'!$D:$AI,IF($J352=1,"ACTIVE     GHGE, FARM GATE (kg CO2e/kg)","GHGE, processor gate (kg CO2e/kg)"),INDIRECT($K352)),GETPIVOTDATA(IF($J352=1,"Average of ACTIVE     GHGE, FARM GATE (kg CO2e/kg)","Average of GHGE, processor gate (kg CO2e/kg)"),'[1]Pivot Table_GHG'!$A$3,"SUB TYPE",$B352))</f>
        <v/>
      </c>
      <c r="S352" s="94">
        <f>IF($P352="PROXY",DSTDEV('[1]literature entries'!$D:$AI,IF($J352=1,"ACTIVE     GHGE, FARM GATE (kg CO2e/kg)","GHGE, processor gate (kg CO2e/kg)"),INDIRECT($K352)),GETPIVOTDATA(IF($J352=1,"StdDev of ACTIVE     GHGE, FARM GATE (kg CO2e/kg)","StdDev of GHGE, processor gate (kg CO2e/kg)"),'[1]Pivot Table_GHG'!$A$3,"SUB TYPE",$B352))</f>
        <v/>
      </c>
      <c r="T352" s="105" t="n"/>
      <c r="U352" s="106" t="n"/>
      <c r="V352" s="97" t="n"/>
      <c r="W352" s="98" t="inlineStr">
        <is>
          <t>sweeteners</t>
        </is>
      </c>
      <c r="X352" s="98">
        <f>IF($W352="DIRECT",M352,DCOUNT('[1]literature entries'!$D:$AI,IF($J352=1,"ACTIVE     CED, FARM GATE (MJ/kg)","CED, processor gate (MJ/kg)"),INDIRECT($W352)))</f>
        <v/>
      </c>
      <c r="Y352" s="98">
        <f>IF($W352="DIRECT","",DAVERAGE('[1]literature entries'!$D:$AI,IF($J352=1,"ACTIVE     CED, FARM GATE (MJ/kg)","CED, processor gate (MJ/kg)"),INDIRECT($W352)))</f>
        <v/>
      </c>
      <c r="Z352" s="98">
        <f>IF($W352="DIRECT",$O352,DSTDEV('[1]literature entries'!$D:$AI,IF($J352=1,"ACTIVE     CED, FARM GATE (MJ/kg)","CED, processor gate (MJ/kg)"),INDIRECT($W352)))</f>
        <v/>
      </c>
      <c r="AA352" s="98">
        <f>IF($W352="DIRECT",$O352,$Z352/$Y352*$N352)</f>
        <v/>
      </c>
      <c r="AB352" s="99" t="inlineStr">
        <is>
          <t>sweeteners</t>
        </is>
      </c>
      <c r="AC352" s="99">
        <f>IF($AB352="DIRECT",Q352,DCOUNT('[1]literature entries'!$D:$AI,IF($J352=1,"ACTIVE     GHGE, FARM GATE (kg CO2e/kg)","GHGE, processor gate (kg CO2e/kg)"),INDIRECT($AB352)))</f>
        <v/>
      </c>
      <c r="AD352" s="99">
        <f>IF($AB352="DIRECT","",DAVERAGE('[1]literature entries'!$D:$AI,IF($J352=1,"ACTIVE     GHGE, FARM GATE (kg CO2e/kg)","GHGE, processor gate (kg CO2e/kg)"),INDIRECT($AB352)))</f>
        <v/>
      </c>
      <c r="AE352" s="99">
        <f>IF($AB352="DIRECT",$S352,DSTDEV('[1]literature entries'!$D:$AI,IF($J352=1,"ACTIVE     GHGE, FARM GATE (kg CO2e/kg)","GHGE, processor gate (kg CO2e/kg)"),INDIRECT($AB352)))</f>
        <v/>
      </c>
      <c r="AF352" s="99">
        <f>IF($AB352="DIRECT",$S352,$AE352/$AD352*$R352)</f>
        <v/>
      </c>
    </row>
    <row r="353" ht="15.75" customHeight="1" s="201">
      <c r="A353" s="100" t="n">
        <v>9500363000</v>
      </c>
      <c r="B353" s="101" t="inlineStr">
        <is>
          <t>Sugarcane, molasses</t>
        </is>
      </c>
      <c r="C353" s="101" t="inlineStr">
        <is>
          <t>weight of molasses</t>
        </is>
      </c>
      <c r="D353" s="101" t="inlineStr">
        <is>
          <t>Includes blackstrap molasses.</t>
        </is>
      </c>
      <c r="E353" s="101" t="n">
        <v>7615</v>
      </c>
      <c r="F353" s="84">
        <f>N353*H353+T353</f>
        <v/>
      </c>
      <c r="G353" s="85">
        <f>R353*H353+U353</f>
        <v/>
      </c>
      <c r="H353" s="102" t="n">
        <v>1</v>
      </c>
      <c r="I353" s="103" t="inlineStr">
        <is>
          <t>None</t>
        </is>
      </c>
      <c r="J353" s="104" t="n">
        <v>2</v>
      </c>
      <c r="K353" s="89" t="n"/>
      <c r="L353" s="90">
        <f>IF(ISERROR(GETPIVOTDATA(IF($J353=1,"Count of ACTIVE     CED, FARM GATE (MJ/kg)","Count of CED, processor gate (MJ/kg)"),'[1]Pivot Table_CED'!$A$3,"SUB TYPE",$B353)),"PROXY",IF(GETPIVOTDATA(IF($J353=1,"Count of ACTIVE     CED, FARM GATE (MJ/kg)","Count of CED, processor gate (MJ/kg)"),'[1]Pivot Table_CED'!$A$3,"SUB TYPE",$B353)=0,"PROXY","DB value"))</f>
        <v/>
      </c>
      <c r="M353" s="91">
        <f>IF($L353="PROXY",DCOUNT('[1]literature entries'!$D:$AI,IF($J353=1,"ACTIVE     CED, FARM GATE (MJ/kg)","CED, processor gate (MJ/kg)"),INDIRECT($K353)),GETPIVOTDATA(IF($J353=1,"Count of ACTIVE     CED, FARM GATE (MJ/kg)","Count of CED, processor gate (MJ/kg)"),'[1]Pivot Table_CED'!$A$3,"SUB TYPE",$B353))</f>
        <v/>
      </c>
      <c r="N353" s="92">
        <f>IF($L353="PROXY",DAVERAGE('[1]literature entries'!$D:$AI,IF($J353=1,"ACTIVE     CED, FARM GATE (MJ/kg)","CED, processor gate (MJ/kg)"),INDIRECT($K353)),GETPIVOTDATA(IF($J353=1,"Average of ACTIVE     CED, FARM GATE (MJ/kg)","Average of CED, processor gate (MJ/kg)"),'[1]Pivot Table_CED'!$A$3,"SUB TYPE",$B353))</f>
        <v/>
      </c>
      <c r="O353" s="92">
        <f>IF($L353="PROXY",DSTDEV('[1]literature entries'!D:AI,IF($J353=1,"ACTIVE     CED, FARM GATE (MJ/kg)","CED, processor gate (MJ/kg)"),INDIRECT($K353)),GETPIVOTDATA(IF($J353=1,"StdDev of ACTIVE     CED, FARM GATE (MJ/kg)","StdDev of CED, processor gate (MJ/kg)"),'[1]Pivot Table_CED'!$A$3,"SUB TYPE",$B353))</f>
        <v/>
      </c>
      <c r="P353" s="90">
        <f>IF(ISERROR(GETPIVOTDATA(IF($J353=1,"Count of ACTIVE     GHGE, FARM GATE (kg CO2e/kg)","Count of GHGE, processor gate (kg CO2e/kg)"),'[1]Pivot Table_GHG'!$A$3,"SUB TYPE",$B353)),"PROXY",IF(GETPIVOTDATA(IF($J353=1,"Count of ACTIVE     GHGE, FARM GATE (kg CO2e/kg)","Count of GHGE, processor gate (kg CO2e/kg)"),'[1]Pivot Table_GHG'!$A$3,"SUB TYPE",$B353)=0,"PROXY","DB value"))</f>
        <v/>
      </c>
      <c r="Q353" s="93">
        <f>IF($P353="PROXY",DCOUNT('[1]literature entries'!$D:$AI,IF($J353=1,"ACTIVE     GHGE, FARM GATE (kg CO2e/kg)","GHGE, processor gate (kg CO2e/kg)"),INDIRECT($K353)),GETPIVOTDATA(IF($J353=1,"ACTIVE     GHGE, FARM GATE (kg CO2e/kg)","Count of GHGE, processor gate (kg CO2e/kg)"),'[1]Pivot Table_GHG'!$A$3,"SUB TYPE",$B353))</f>
        <v/>
      </c>
      <c r="R353" s="94">
        <f>IF($P353="PROXY",DAVERAGE('[1]literature entries'!$D:$AI,IF($J353=1,"ACTIVE     GHGE, FARM GATE (kg CO2e/kg)","GHGE, processor gate (kg CO2e/kg)"),INDIRECT($K353)),GETPIVOTDATA(IF($J353=1,"Average of ACTIVE     GHGE, FARM GATE (kg CO2e/kg)","Average of GHGE, processor gate (kg CO2e/kg)"),'[1]Pivot Table_GHG'!$A$3,"SUB TYPE",$B353))</f>
        <v/>
      </c>
      <c r="S353" s="94">
        <f>IF($P353="PROXY",DSTDEV('[1]literature entries'!$D:$AI,IF($J353=1,"ACTIVE     GHGE, FARM GATE (kg CO2e/kg)","GHGE, processor gate (kg CO2e/kg)"),INDIRECT($K353)),GETPIVOTDATA(IF($J353=1,"StdDev of ACTIVE     GHGE, FARM GATE (kg CO2e/kg)","StdDev of GHGE, processor gate (kg CO2e/kg)"),'[1]Pivot Table_GHG'!$A$3,"SUB TYPE",$B353))</f>
        <v/>
      </c>
      <c r="T353" s="105" t="n"/>
      <c r="U353" s="106" t="n"/>
      <c r="V353" s="97" t="n"/>
      <c r="W353" s="98" t="inlineStr">
        <is>
          <t>sweeteners</t>
        </is>
      </c>
      <c r="X353" s="98">
        <f>IF($W353="DIRECT",M353,DCOUNT('[1]literature entries'!$D:$AI,IF($J353=1,"ACTIVE     CED, FARM GATE (MJ/kg)","CED, processor gate (MJ/kg)"),INDIRECT($W353)))</f>
        <v/>
      </c>
      <c r="Y353" s="98">
        <f>IF($W353="DIRECT","",DAVERAGE('[1]literature entries'!$D:$AI,IF($J353=1,"ACTIVE     CED, FARM GATE (MJ/kg)","CED, processor gate (MJ/kg)"),INDIRECT($W353)))</f>
        <v/>
      </c>
      <c r="Z353" s="98">
        <f>IF($W353="DIRECT",$O353,DSTDEV('[1]literature entries'!$D:$AI,IF($J353=1,"ACTIVE     CED, FARM GATE (MJ/kg)","CED, processor gate (MJ/kg)"),INDIRECT($W353)))</f>
        <v/>
      </c>
      <c r="AA353" s="98">
        <f>IF($W353="DIRECT",$O353,$Z353/$Y353*$N353)</f>
        <v/>
      </c>
      <c r="AB353" s="99" t="inlineStr">
        <is>
          <t>sweeteners</t>
        </is>
      </c>
      <c r="AC353" s="99">
        <f>IF($AB353="DIRECT",Q353,DCOUNT('[1]literature entries'!$D:$AI,IF($J353=1,"ACTIVE     GHGE, FARM GATE (kg CO2e/kg)","GHGE, processor gate (kg CO2e/kg)"),INDIRECT($AB353)))</f>
        <v/>
      </c>
      <c r="AD353" s="99">
        <f>IF($AB353="DIRECT","",DAVERAGE('[1]literature entries'!$D:$AI,IF($J353=1,"ACTIVE     GHGE, FARM GATE (kg CO2e/kg)","GHGE, processor gate (kg CO2e/kg)"),INDIRECT($AB353)))</f>
        <v/>
      </c>
      <c r="AE353" s="99">
        <f>IF($AB353="DIRECT",$S353,DSTDEV('[1]literature entries'!$D:$AI,IF($J353=1,"ACTIVE     GHGE, FARM GATE (kg CO2e/kg)","GHGE, processor gate (kg CO2e/kg)"),INDIRECT($AB353)))</f>
        <v/>
      </c>
      <c r="AF353" s="99">
        <f>IF($AB353="DIRECT",$S353,$AE353/$AD353*$R353)</f>
        <v/>
      </c>
    </row>
    <row r="354" ht="15.75" customHeight="1" s="201">
      <c r="A354" s="100" t="n">
        <v>9500372000</v>
      </c>
      <c r="B354" s="101" t="inlineStr">
        <is>
          <t>Tea, dried</t>
        </is>
      </c>
      <c r="C354" s="101" t="inlineStr">
        <is>
          <t>dry weight of tea leaves</t>
        </is>
      </c>
      <c r="D354" s="101" t="n"/>
      <c r="E354" s="101" t="n">
        <v>7481</v>
      </c>
      <c r="F354" s="84">
        <f>N354*H354+T354</f>
        <v/>
      </c>
      <c r="G354" s="85">
        <f>R354*H354+U354</f>
        <v/>
      </c>
      <c r="H354" s="102" t="n">
        <v>1</v>
      </c>
      <c r="I354" s="103" t="inlineStr">
        <is>
          <t>None</t>
        </is>
      </c>
      <c r="J354" s="104" t="n">
        <v>2</v>
      </c>
      <c r="K354" s="89" t="n"/>
      <c r="L354" s="90">
        <f>IF(ISERROR(GETPIVOTDATA(IF($J354=1,"Count of ACTIVE     CED, FARM GATE (MJ/kg)","Count of CED, processor gate (MJ/kg)"),'[1]Pivot Table_CED'!$A$3,"SUB TYPE",$B354)),"PROXY",IF(GETPIVOTDATA(IF($J354=1,"Count of ACTIVE     CED, FARM GATE (MJ/kg)","Count of CED, processor gate (MJ/kg)"),'[1]Pivot Table_CED'!$A$3,"SUB TYPE",$B354)=0,"PROXY","DB value"))</f>
        <v/>
      </c>
      <c r="M354" s="91">
        <f>IF($L354="PROXY",DCOUNT('[1]literature entries'!$D:$AI,IF($J354=1,"ACTIVE     CED, FARM GATE (MJ/kg)","CED, processor gate (MJ/kg)"),INDIRECT($K354)),GETPIVOTDATA(IF($J354=1,"Count of ACTIVE     CED, FARM GATE (MJ/kg)","Count of CED, processor gate (MJ/kg)"),'[1]Pivot Table_CED'!$A$3,"SUB TYPE",$B354))</f>
        <v/>
      </c>
      <c r="N354" s="92">
        <f>IF($L354="PROXY",DAVERAGE('[1]literature entries'!$D:$AI,IF($J354=1,"ACTIVE     CED, FARM GATE (MJ/kg)","CED, processor gate (MJ/kg)"),INDIRECT($K354)),GETPIVOTDATA(IF($J354=1,"Average of ACTIVE     CED, FARM GATE (MJ/kg)","Average of CED, processor gate (MJ/kg)"),'[1]Pivot Table_CED'!$A$3,"SUB TYPE",$B354))</f>
        <v/>
      </c>
      <c r="O354" s="92">
        <f>IF($L354="PROXY",DSTDEV('[1]literature entries'!D:AI,IF($J354=1,"ACTIVE     CED, FARM GATE (MJ/kg)","CED, processor gate (MJ/kg)"),INDIRECT($K354)),GETPIVOTDATA(IF($J354=1,"StdDev of ACTIVE     CED, FARM GATE (MJ/kg)","StdDev of CED, processor gate (MJ/kg)"),'[1]Pivot Table_CED'!$A$3,"SUB TYPE",$B354))</f>
        <v/>
      </c>
      <c r="P354" s="90">
        <f>IF(ISERROR(GETPIVOTDATA(IF($J354=1,"Count of ACTIVE     GHGE, FARM GATE (kg CO2e/kg)","Count of GHGE, processor gate (kg CO2e/kg)"),'[1]Pivot Table_GHG'!$A$3,"SUB TYPE",$B354)),"PROXY",IF(GETPIVOTDATA(IF($J354=1,"Count of ACTIVE     GHGE, FARM GATE (kg CO2e/kg)","Count of GHGE, processor gate (kg CO2e/kg)"),'[1]Pivot Table_GHG'!$A$3,"SUB TYPE",$B354)=0,"PROXY","DB value"))</f>
        <v/>
      </c>
      <c r="Q354" s="93">
        <f>IF($P354="PROXY",DCOUNT('[1]literature entries'!$D:$AI,IF($J354=1,"ACTIVE     GHGE, FARM GATE (kg CO2e/kg)","GHGE, processor gate (kg CO2e/kg)"),INDIRECT($K354)),GETPIVOTDATA(IF($J354=1,"ACTIVE     GHGE, FARM GATE (kg CO2e/kg)","Count of GHGE, processor gate (kg CO2e/kg)"),'[1]Pivot Table_GHG'!$A$3,"SUB TYPE",$B354))</f>
        <v/>
      </c>
      <c r="R354" s="94">
        <f>IF($P354="PROXY",DAVERAGE('[1]literature entries'!$D:$AI,IF($J354=1,"ACTIVE     GHGE, FARM GATE (kg CO2e/kg)","GHGE, processor gate (kg CO2e/kg)"),INDIRECT($K354)),GETPIVOTDATA(IF($J354=1,"Average of ACTIVE     GHGE, FARM GATE (kg CO2e/kg)","Average of GHGE, processor gate (kg CO2e/kg)"),'[1]Pivot Table_GHG'!$A$3,"SUB TYPE",$B354))</f>
        <v/>
      </c>
      <c r="S354" s="94">
        <f>IF($P354="PROXY",DSTDEV('[1]literature entries'!$D:$AI,IF($J354=1,"ACTIVE     GHGE, FARM GATE (kg CO2e/kg)","GHGE, processor gate (kg CO2e/kg)"),INDIRECT($K354)),GETPIVOTDATA(IF($J354=1,"StdDev of ACTIVE     GHGE, FARM GATE (kg CO2e/kg)","StdDev of GHGE, processor gate (kg CO2e/kg)"),'[1]Pivot Table_GHG'!$A$3,"SUB TYPE",$B354))</f>
        <v/>
      </c>
      <c r="T354" s="105" t="n"/>
      <c r="U354" s="106" t="n"/>
      <c r="V354" s="97" t="n"/>
      <c r="W354" s="98" t="inlineStr">
        <is>
          <t>choc_coffee_tea</t>
        </is>
      </c>
      <c r="X354" s="98">
        <f>IF($W354="DIRECT",M354,DCOUNT('[1]literature entries'!$D:$AI,IF($J354=1,"ACTIVE     CED, FARM GATE (MJ/kg)","CED, processor gate (MJ/kg)"),INDIRECT($W354)))</f>
        <v/>
      </c>
      <c r="Y354" s="98">
        <f>IF($W354="DIRECT","",DAVERAGE('[1]literature entries'!$D:$AI,IF($J354=1,"ACTIVE     CED, FARM GATE (MJ/kg)","CED, processor gate (MJ/kg)"),INDIRECT($W354)))</f>
        <v/>
      </c>
      <c r="Z354" s="98">
        <f>IF($W354="DIRECT",$O354,DSTDEV('[1]literature entries'!$D:$AI,IF($J354=1,"ACTIVE     CED, FARM GATE (MJ/kg)","CED, processor gate (MJ/kg)"),INDIRECT($W354)))</f>
        <v/>
      </c>
      <c r="AA354" s="98">
        <f>IF($W354="DIRECT",$O354,$Z354/$Y354*$N354)</f>
        <v/>
      </c>
      <c r="AB354" s="99">
        <f>IF(P354="PROXY",IF(Q354&gt;=5,K354,"need group"),IF(Q354&gt;=5,"DIRECT","need group"))</f>
        <v/>
      </c>
      <c r="AC354" s="99">
        <f>IF($AB354="DIRECT",Q354,DCOUNT('[1]literature entries'!$D:$AI,IF($J354=1,"ACTIVE     GHGE, FARM GATE (kg CO2e/kg)","GHGE, processor gate (kg CO2e/kg)"),INDIRECT($AB354)))</f>
        <v/>
      </c>
      <c r="AD354" s="99">
        <f>IF($AB354="DIRECT","",DAVERAGE('[1]literature entries'!$D:$AI,IF($J354=1,"ACTIVE     GHGE, FARM GATE (kg CO2e/kg)","GHGE, processor gate (kg CO2e/kg)"),INDIRECT($AB354)))</f>
        <v/>
      </c>
      <c r="AE354" s="99">
        <f>IF($AB354="DIRECT",$S354,DSTDEV('[1]literature entries'!$D:$AI,IF($J354=1,"ACTIVE     GHGE, FARM GATE (kg CO2e/kg)","GHGE, processor gate (kg CO2e/kg)"),INDIRECT($AB354)))</f>
        <v/>
      </c>
      <c r="AF354" s="99">
        <f>IF($AB354="DIRECT",$S354,$AE354/$AD354*$R354)</f>
        <v/>
      </c>
    </row>
    <row r="355" ht="15.75" customHeight="1" s="201">
      <c r="A355" s="100" t="n">
        <v>9500373000</v>
      </c>
      <c r="B355" s="101" t="inlineStr">
        <is>
          <t>Tea, instant</t>
        </is>
      </c>
      <c r="C355" s="101" t="inlineStr">
        <is>
          <t>dry weight of powder</t>
        </is>
      </c>
      <c r="D355" s="101" t="n"/>
      <c r="E355" s="101" t="n">
        <v>4160</v>
      </c>
      <c r="F355" s="84">
        <f>N355*H355+T355</f>
        <v/>
      </c>
      <c r="G355" s="85">
        <f>R355*H355+U355</f>
        <v/>
      </c>
      <c r="H355" s="112" t="n">
        <v>2.9</v>
      </c>
      <c r="I355" s="112" t="inlineStr">
        <is>
          <t>proxy diff between tea and instant tea, from coffee</t>
        </is>
      </c>
      <c r="J355" s="104" t="n">
        <v>2</v>
      </c>
      <c r="K355" s="89" t="inlineStr">
        <is>
          <t>tea</t>
        </is>
      </c>
      <c r="L355" s="90">
        <f>IF(ISERROR(GETPIVOTDATA(IF($J355=1,"Count of ACTIVE     CED, FARM GATE (MJ/kg)","Count of CED, processor gate (MJ/kg)"),'[1]Pivot Table_CED'!$A$3,"SUB TYPE",$B355)),"PROXY",IF(GETPIVOTDATA(IF($J355=1,"Count of ACTIVE     CED, FARM GATE (MJ/kg)","Count of CED, processor gate (MJ/kg)"),'[1]Pivot Table_CED'!$A$3,"SUB TYPE",$B355)=0,"PROXY","DB value"))</f>
        <v/>
      </c>
      <c r="M355" s="91">
        <f>IF($L355="PROXY",DCOUNT('[1]literature entries'!$D:$AI,IF($J355=1,"ACTIVE     CED, FARM GATE (MJ/kg)","CED, processor gate (MJ/kg)"),INDIRECT($K355)),GETPIVOTDATA(IF($J355=1,"Count of ACTIVE     CED, FARM GATE (MJ/kg)","Count of CED, processor gate (MJ/kg)"),'[1]Pivot Table_CED'!$A$3,"SUB TYPE",$B355))</f>
        <v/>
      </c>
      <c r="N355" s="92">
        <f>IF($L355="PROXY",DAVERAGE('[1]literature entries'!$D:$AI,IF($J355=1,"ACTIVE     CED, FARM GATE (MJ/kg)","CED, processor gate (MJ/kg)"),INDIRECT($K355)),GETPIVOTDATA(IF($J355=1,"Average of ACTIVE     CED, FARM GATE (MJ/kg)","Average of CED, processor gate (MJ/kg)"),'[1]Pivot Table_CED'!$A$3,"SUB TYPE",$B355))</f>
        <v/>
      </c>
      <c r="O355" s="92">
        <f>IF($L355="PROXY",DSTDEV('[1]literature entries'!D:AI,IF($J355=1,"ACTIVE     CED, FARM GATE (MJ/kg)","CED, processor gate (MJ/kg)"),INDIRECT($K355)),GETPIVOTDATA(IF($J355=1,"StdDev of ACTIVE     CED, FARM GATE (MJ/kg)","StdDev of CED, processor gate (MJ/kg)"),'[1]Pivot Table_CED'!$A$3,"SUB TYPE",$B355))</f>
        <v/>
      </c>
      <c r="P355" s="90">
        <f>IF(ISERROR(GETPIVOTDATA(IF($J355=1,"Count of ACTIVE     GHGE, FARM GATE (kg CO2e/kg)","Count of GHGE, processor gate (kg CO2e/kg)"),'[1]Pivot Table_GHG'!$A$3,"SUB TYPE",$B355)),"PROXY",IF(GETPIVOTDATA(IF($J355=1,"Count of ACTIVE     GHGE, FARM GATE (kg CO2e/kg)","Count of GHGE, processor gate (kg CO2e/kg)"),'[1]Pivot Table_GHG'!$A$3,"SUB TYPE",$B355)=0,"PROXY","DB value"))</f>
        <v/>
      </c>
      <c r="Q355" s="93">
        <f>IF($P355="PROXY",DCOUNT('[1]literature entries'!$D:$AI,IF($J355=1,"ACTIVE     GHGE, FARM GATE (kg CO2e/kg)","GHGE, processor gate (kg CO2e/kg)"),INDIRECT($K355)),GETPIVOTDATA(IF($J355=1,"ACTIVE     GHGE, FARM GATE (kg CO2e/kg)","Count of GHGE, processor gate (kg CO2e/kg)"),'[1]Pivot Table_GHG'!$A$3,"SUB TYPE",$B355))</f>
        <v/>
      </c>
      <c r="R355" s="94">
        <f>IF($P355="PROXY",DAVERAGE('[1]literature entries'!$D:$AI,IF($J355=1,"ACTIVE     GHGE, FARM GATE (kg CO2e/kg)","GHGE, processor gate (kg CO2e/kg)"),INDIRECT($K355)),GETPIVOTDATA(IF($J355=1,"Average of ACTIVE     GHGE, FARM GATE (kg CO2e/kg)","Average of GHGE, processor gate (kg CO2e/kg)"),'[1]Pivot Table_GHG'!$A$3,"SUB TYPE",$B355))</f>
        <v/>
      </c>
      <c r="S355" s="94">
        <f>IF($P355="PROXY",DSTDEV('[1]literature entries'!$D:$AI,IF($J355=1,"ACTIVE     GHGE, FARM GATE (kg CO2e/kg)","GHGE, processor gate (kg CO2e/kg)"),INDIRECT($K355)),GETPIVOTDATA(IF($J355=1,"StdDev of ACTIVE     GHGE, FARM GATE (kg CO2e/kg)","StdDev of GHGE, processor gate (kg CO2e/kg)"),'[1]Pivot Table_GHG'!$A$3,"SUB TYPE",$B355))</f>
        <v/>
      </c>
      <c r="T355" s="105" t="n"/>
      <c r="U355" s="106" t="n"/>
      <c r="V355" s="97" t="n"/>
      <c r="W355" s="98" t="inlineStr">
        <is>
          <t>choc_coffee_tea</t>
        </is>
      </c>
      <c r="X355" s="98">
        <f>IF($W355="DIRECT",M355,DCOUNT('[1]literature entries'!$D:$AI,IF($J355=1,"ACTIVE     CED, FARM GATE (MJ/kg)","CED, processor gate (MJ/kg)"),INDIRECT($W355)))</f>
        <v/>
      </c>
      <c r="Y355" s="98">
        <f>IF($W355="DIRECT","",DAVERAGE('[1]literature entries'!$D:$AI,IF($J355=1,"ACTIVE     CED, FARM GATE (MJ/kg)","CED, processor gate (MJ/kg)"),INDIRECT($W355)))</f>
        <v/>
      </c>
      <c r="Z355" s="98">
        <f>IF($W355="DIRECT",$O355,DSTDEV('[1]literature entries'!$D:$AI,IF($J355=1,"ACTIVE     CED, FARM GATE (MJ/kg)","CED, processor gate (MJ/kg)"),INDIRECT($W355)))</f>
        <v/>
      </c>
      <c r="AA355" s="98">
        <f>IF($W355="DIRECT",$O355,$Z355/$Y355*$N355)</f>
        <v/>
      </c>
      <c r="AB355" s="99">
        <f>IF(P355="PROXY",IF(Q355&gt;=5,K355,"need group"),IF(Q355&gt;=5,"DIRECT","need group"))</f>
        <v/>
      </c>
      <c r="AC355" s="99">
        <f>IF($AB355="DIRECT",Q355,DCOUNT('[1]literature entries'!$D:$AI,IF($J355=1,"ACTIVE     GHGE, FARM GATE (kg CO2e/kg)","GHGE, processor gate (kg CO2e/kg)"),INDIRECT($AB355)))</f>
        <v/>
      </c>
      <c r="AD355" s="99">
        <f>IF($AB355="DIRECT","",DAVERAGE('[1]literature entries'!$D:$AI,IF($J355=1,"ACTIVE     GHGE, FARM GATE (kg CO2e/kg)","GHGE, processor gate (kg CO2e/kg)"),INDIRECT($AB355)))</f>
        <v/>
      </c>
      <c r="AE355" s="99">
        <f>IF($AB355="DIRECT",$S355,DSTDEV('[1]literature entries'!$D:$AI,IF($J355=1,"ACTIVE     GHGE, FARM GATE (kg CO2e/kg)","GHGE, processor gate (kg CO2e/kg)"),INDIRECT($AB355)))</f>
        <v/>
      </c>
      <c r="AF355" s="99">
        <f>IF($AB355="DIRECT",$S355,$AE355/$AD355*$R355)</f>
        <v/>
      </c>
    </row>
    <row r="356" ht="15.75" customHeight="1" s="201">
      <c r="A356" s="100" t="n">
        <v>9500390000</v>
      </c>
      <c r="B356" s="101" t="inlineStr">
        <is>
          <t>Vinegar</t>
        </is>
      </c>
      <c r="C356" s="101" t="inlineStr">
        <is>
          <t>Weight of vinegar made from apple, grape or rice juice in recipe</t>
        </is>
      </c>
      <c r="D356" s="101" t="n"/>
      <c r="E356" s="101" t="n">
        <v>30618</v>
      </c>
      <c r="F356" s="137">
        <f>N356*H356+T356+5.282</f>
        <v/>
      </c>
      <c r="G356" s="138">
        <f>R356*H356+U356+0.97907912608</f>
        <v/>
      </c>
      <c r="H356" s="102" t="n">
        <v>1.5</v>
      </c>
      <c r="I356" s="103" t="inlineStr">
        <is>
          <t>None</t>
        </is>
      </c>
      <c r="J356" s="104" t="n">
        <v>1</v>
      </c>
      <c r="K356" s="132" t="inlineStr">
        <is>
          <t>apple</t>
        </is>
      </c>
      <c r="L356" s="90">
        <f>IF(ISERROR(GETPIVOTDATA(IF($J356=1,"Count of ACTIVE     CED, FARM GATE (MJ/kg)","Count of CED, processor gate (MJ/kg)"),'[1]Pivot Table_CED'!$A$3,"SUB TYPE",$B356)),"PROXY",IF(GETPIVOTDATA(IF($J356=1,"Count of ACTIVE     CED, FARM GATE (MJ/kg)","Count of CED, processor gate (MJ/kg)"),'[1]Pivot Table_CED'!$A$3,"SUB TYPE",$B356)=0,"PROXY","DB value"))</f>
        <v/>
      </c>
      <c r="M356" s="91">
        <f>IF($L356="PROXY",DCOUNT('[1]literature entries'!$D:$AI,IF($J356=1,"ACTIVE     CED, FARM GATE (MJ/kg)","CED, processor gate (MJ/kg)"),INDIRECT($K356)),GETPIVOTDATA(IF($J356=1,"Count of ACTIVE     CED, FARM GATE (MJ/kg)","Count of CED, processor gate (MJ/kg)"),'[1]Pivot Table_CED'!$A$3,"SUB TYPE",$B356))</f>
        <v/>
      </c>
      <c r="N356" s="92">
        <f>IF($L356="PROXY",DAVERAGE('[1]literature entries'!$D:$AI,IF($J356=1,"ACTIVE     CED, FARM GATE (MJ/kg)","CED, processor gate (MJ/kg)"),INDIRECT($K356)),GETPIVOTDATA(IF($J356=1,"Average of ACTIVE     CED, FARM GATE (MJ/kg)","Average of CED, processor gate (MJ/kg)"),'[1]Pivot Table_CED'!$A$3,"SUB TYPE",$B356))</f>
        <v/>
      </c>
      <c r="O356" s="92">
        <f>IF($L356="PROXY",DSTDEV('[1]literature entries'!D:AI,IF($J356=1,"ACTIVE     CED, FARM GATE (MJ/kg)","CED, processor gate (MJ/kg)"),INDIRECT($K356)),GETPIVOTDATA(IF($J356=1,"StdDev of ACTIVE     CED, FARM GATE (MJ/kg)","StdDev of CED, processor gate (MJ/kg)"),'[1]Pivot Table_CED'!$A$3,"SUB TYPE",$B356))</f>
        <v/>
      </c>
      <c r="P356" s="90">
        <f>IF(ISERROR(GETPIVOTDATA(IF($J356=1,"Count of ACTIVE     GHGE, FARM GATE (kg CO2e/kg)","Count of GHGE, processor gate (kg CO2e/kg)"),'[1]Pivot Table_GHG'!$A$3,"SUB TYPE",$B356)),"PROXY",IF(GETPIVOTDATA(IF($J356=1,"Count of ACTIVE     GHGE, FARM GATE (kg CO2e/kg)","Count of GHGE, processor gate (kg CO2e/kg)"),'[1]Pivot Table_GHG'!$A$3,"SUB TYPE",$B356)=0,"PROXY","DB value"))</f>
        <v/>
      </c>
      <c r="Q356" s="93">
        <f>IF($P356="PROXY",DCOUNT('[1]literature entries'!$D:$AI,IF($J356=1,"ACTIVE     GHGE, FARM GATE (kg CO2e/kg)","GHGE, processor gate (kg CO2e/kg)"),INDIRECT($K356)),GETPIVOTDATA(IF($J356=1,"ACTIVE     GHGE, FARM GATE (kg CO2e/kg)","Count of GHGE, processor gate (kg CO2e/kg)"),'[1]Pivot Table_GHG'!$A$3,"SUB TYPE",$B356))</f>
        <v/>
      </c>
      <c r="R356" s="139">
        <f>IF($P356="PROXY",DAVERAGE('[1]literature entries'!$D:$AI,IF($J356=1,"ACTIVE     GHGE, FARM GATE (kg CO2e/kg)","GHGE, processor gate (kg CO2e/kg)"),INDIRECT($K356)),GETPIVOTDATA(IF($J356=1,"Average of ACTIVE     GHGE, FARM GATE (kg CO2e/kg)","Average of GHGE, processor gate (kg CO2e/kg)"),'[1]Pivot Table_GHG'!$A$3,"SUB TYPE",$B356))</f>
        <v/>
      </c>
      <c r="S356" s="94">
        <f>IF($P356="PROXY",DSTDEV('[1]literature entries'!$D:$AI,IF($J356=1,"ACTIVE     GHGE, FARM GATE (kg CO2e/kg)","GHGE, processor gate (kg CO2e/kg)"),INDIRECT($K356)),GETPIVOTDATA(IF($J356=1,"StdDev of ACTIVE     GHGE, FARM GATE (kg CO2e/kg)","StdDev of GHGE, processor gate (kg CO2e/kg)"),'[1]Pivot Table_GHG'!$A$3,"SUB TYPE",$B356))</f>
        <v/>
      </c>
      <c r="T356" s="105" t="n">
        <v>0.54794472345</v>
      </c>
      <c r="U356" s="106" t="n">
        <v>0.03086267976</v>
      </c>
      <c r="V356" s="97" t="n"/>
      <c r="W356" s="98">
        <f>IF(L356="PROXY",IF(M356&gt;=5,K356,"need group"),IF(M356&gt;=5,"DIRECT","need group"))</f>
        <v/>
      </c>
      <c r="X356" s="98">
        <f>IF($W356="DIRECT",M356,DCOUNT('[1]literature entries'!$D:$AI,IF($J356=1,"ACTIVE     CED, FARM GATE (MJ/kg)","CED, processor gate (MJ/kg)"),INDIRECT($W356)))</f>
        <v/>
      </c>
      <c r="Y356" s="98">
        <f>IF($W356="DIRECT","",DAVERAGE('[1]literature entries'!$D:$AI,IF($J356=1,"ACTIVE     CED, FARM GATE (MJ/kg)","CED, processor gate (MJ/kg)"),INDIRECT($W356)))</f>
        <v/>
      </c>
      <c r="Z356" s="98">
        <f>IF($W356="DIRECT",$O356,DSTDEV('[1]literature entries'!$D:$AI,IF($J356=1,"ACTIVE     CED, FARM GATE (MJ/kg)","CED, processor gate (MJ/kg)"),INDIRECT($W356)))</f>
        <v/>
      </c>
      <c r="AA356" s="98">
        <f>IF($W356="DIRECT",$O356,$Z356/$Y356*$N356)</f>
        <v/>
      </c>
      <c r="AB356" s="99">
        <f>IF(P356="PROXY",IF(Q356&gt;=5,K356,"need group"),IF(Q356&gt;=5,"DIRECT","need group"))</f>
        <v/>
      </c>
      <c r="AC356" s="99">
        <f>IF($AB356="DIRECT",Q356,DCOUNT('[1]literature entries'!$D:$AI,IF($J356=1,"ACTIVE     GHGE, FARM GATE (kg CO2e/kg)","GHGE, processor gate (kg CO2e/kg)"),INDIRECT($AB356)))</f>
        <v/>
      </c>
      <c r="AD356" s="99">
        <f>IF($AB356="DIRECT","",DAVERAGE('[1]literature entries'!$D:$AI,IF($J356=1,"ACTIVE     GHGE, FARM GATE (kg CO2e/kg)","GHGE, processor gate (kg CO2e/kg)"),INDIRECT($AB356)))</f>
        <v/>
      </c>
      <c r="AE356" s="99">
        <f>IF($AB356="DIRECT",$S356,DSTDEV('[1]literature entries'!$D:$AI,IF($J356=1,"ACTIVE     GHGE, FARM GATE (kg CO2e/kg)","GHGE, processor gate (kg CO2e/kg)"),INDIRECT($AB356)))</f>
        <v/>
      </c>
      <c r="AF356" s="99">
        <f>IF($AB356="DIRECT",$S356,$AE356/$AD356*$R356)</f>
        <v/>
      </c>
    </row>
    <row r="357" ht="15.75" customHeight="1" s="201">
      <c r="A357" s="140" t="n">
        <v>9500397000</v>
      </c>
      <c r="B357" s="141" t="inlineStr">
        <is>
          <t>Water chestnut</t>
        </is>
      </c>
      <c r="C357" s="141" t="inlineStr">
        <is>
          <t>weight of tuber</t>
        </is>
      </c>
      <c r="D357" s="141" t="n"/>
      <c r="E357" s="141" t="n">
        <v>961</v>
      </c>
      <c r="F357" s="84">
        <f>N357*H357+T357</f>
        <v/>
      </c>
      <c r="G357" s="85">
        <f>R357*H357+U357</f>
        <v/>
      </c>
      <c r="H357" s="142" t="n">
        <v>1.3</v>
      </c>
      <c r="I357" s="143" t="inlineStr">
        <is>
          <t>FICRCD</t>
        </is>
      </c>
      <c r="J357" s="144" t="n">
        <v>1</v>
      </c>
      <c r="K357" s="145" t="inlineStr">
        <is>
          <t>roots</t>
        </is>
      </c>
      <c r="L357" s="90">
        <f>IF(ISERROR(GETPIVOTDATA(IF($J357=1,"Count of ACTIVE     CED, FARM GATE (MJ/kg)","Count of CED, processor gate (MJ/kg)"),'[1]Pivot Table_CED'!$A$3,"SUB TYPE",$B357)),"PROXY",IF(GETPIVOTDATA(IF($J357=1,"Count of ACTIVE     CED, FARM GATE (MJ/kg)","Count of CED, processor gate (MJ/kg)"),'[1]Pivot Table_CED'!$A$3,"SUB TYPE",$B357)=0,"PROXY","DB value"))</f>
        <v/>
      </c>
      <c r="M357" s="91">
        <f>IF($L357="PROXY",DCOUNT('[1]literature entries'!$D:$AI,IF($J357=1,"ACTIVE     CED, FARM GATE (MJ/kg)","CED, processor gate (MJ/kg)"),INDIRECT($K357)),GETPIVOTDATA(IF($J357=1,"Count of ACTIVE     CED, FARM GATE (MJ/kg)","Count of CED, processor gate (MJ/kg)"),'[1]Pivot Table_CED'!$A$3,"SUB TYPE",$B357))</f>
        <v/>
      </c>
      <c r="N357" s="92">
        <f>IF($L357="PROXY",DAVERAGE('[1]literature entries'!$D:$AI,IF($J357=1,"ACTIVE     CED, FARM GATE (MJ/kg)","CED, processor gate (MJ/kg)"),INDIRECT($K357)),GETPIVOTDATA(IF($J357=1,"Average of ACTIVE     CED, FARM GATE (MJ/kg)","Average of CED, processor gate (MJ/kg)"),'[1]Pivot Table_CED'!$A$3,"SUB TYPE",$B357))</f>
        <v/>
      </c>
      <c r="O357" s="92">
        <f>IF($L357="PROXY",DSTDEV('[1]literature entries'!D:AI,IF($J357=1,"ACTIVE     CED, FARM GATE (MJ/kg)","CED, processor gate (MJ/kg)"),INDIRECT($K357)),GETPIVOTDATA(IF($J357=1,"StdDev of ACTIVE     CED, FARM GATE (MJ/kg)","StdDev of CED, processor gate (MJ/kg)"),'[1]Pivot Table_CED'!$A$3,"SUB TYPE",$B357))</f>
        <v/>
      </c>
      <c r="P357" s="90">
        <f>IF(ISERROR(GETPIVOTDATA(IF($J357=1,"Count of ACTIVE     GHGE, FARM GATE (kg CO2e/kg)","Count of GHGE, processor gate (kg CO2e/kg)"),'[1]Pivot Table_GHG'!$A$3,"SUB TYPE",$B357)),"PROXY",IF(GETPIVOTDATA(IF($J357=1,"Count of ACTIVE     GHGE, FARM GATE (kg CO2e/kg)","Count of GHGE, processor gate (kg CO2e/kg)"),'[1]Pivot Table_GHG'!$A$3,"SUB TYPE",$B357)=0,"PROXY","DB value"))</f>
        <v/>
      </c>
      <c r="Q357" s="93">
        <f>IF($P357="PROXY",DCOUNT('[1]literature entries'!$D:$AI,IF($J357=1,"ACTIVE     GHGE, FARM GATE (kg CO2e/kg)","GHGE, processor gate (kg CO2e/kg)"),INDIRECT($K357)),GETPIVOTDATA(IF($J357=1,"ACTIVE     GHGE, FARM GATE (kg CO2e/kg)","Count of GHGE, processor gate (kg CO2e/kg)"),'[1]Pivot Table_GHG'!$A$3,"SUB TYPE",$B357))</f>
        <v/>
      </c>
      <c r="R357" s="94">
        <f>IF($P357="PROXY",DAVERAGE('[1]literature entries'!$D:$AI,IF($J357=1,"ACTIVE     GHGE, FARM GATE (kg CO2e/kg)","GHGE, processor gate (kg CO2e/kg)"),INDIRECT($K357)),GETPIVOTDATA(IF($J357=1,"Average of ACTIVE     GHGE, FARM GATE (kg CO2e/kg)","Average of GHGE, processor gate (kg CO2e/kg)"),'[1]Pivot Table_GHG'!$A$3,"SUB TYPE",$B357))</f>
        <v/>
      </c>
      <c r="S357" s="94">
        <f>IF($P357="PROXY",DSTDEV('[1]literature entries'!$D:$AI,IF($J357=1,"ACTIVE     GHGE, FARM GATE (kg CO2e/kg)","GHGE, processor gate (kg CO2e/kg)"),INDIRECT($K357)),GETPIVOTDATA(IF($J357=1,"StdDev of ACTIVE     GHGE, FARM GATE (kg CO2e/kg)","StdDev of GHGE, processor gate (kg CO2e/kg)"),'[1]Pivot Table_GHG'!$A$3,"SUB TYPE",$B357))</f>
        <v/>
      </c>
      <c r="T357" s="146" t="n"/>
      <c r="U357" s="147" t="n"/>
      <c r="V357" s="97" t="n"/>
      <c r="W357" s="98">
        <f>IF(L357="PROXY",IF(M357&gt;=5,K357,"need group"),IF(M357&gt;=5,"DIRECT","need group"))</f>
        <v/>
      </c>
      <c r="X357" s="98">
        <f>IF($W357="DIRECT",M357,DCOUNT('[1]literature entries'!$D:$AI,IF($J357=1,"ACTIVE     CED, FARM GATE (MJ/kg)","CED, processor gate (MJ/kg)"),INDIRECT($W357)))</f>
        <v/>
      </c>
      <c r="Y357" s="98">
        <f>IF($W357="DIRECT","",DAVERAGE('[1]literature entries'!$D:$AI,IF($J357=1,"ACTIVE     CED, FARM GATE (MJ/kg)","CED, processor gate (MJ/kg)"),INDIRECT($W357)))</f>
        <v/>
      </c>
      <c r="Z357" s="98">
        <f>IF($W357="DIRECT",$O357,DSTDEV('[1]literature entries'!$D:$AI,IF($J357=1,"ACTIVE     CED, FARM GATE (MJ/kg)","CED, processor gate (MJ/kg)"),INDIRECT($W357)))</f>
        <v/>
      </c>
      <c r="AA357" s="98">
        <f>IF($W357="DIRECT",$O357,$Z357/$Y357*$N357)</f>
        <v/>
      </c>
      <c r="AB357" s="99">
        <f>IF(P357="PROXY",IF(Q357&gt;=5,K357,"need group"),IF(Q357&gt;=5,"DIRECT","need group"))</f>
        <v/>
      </c>
      <c r="AC357" s="99">
        <f>IF($AB357="DIRECT",Q357,DCOUNT('[1]literature entries'!$D:$AI,IF($J357=1,"ACTIVE     GHGE, FARM GATE (kg CO2e/kg)","GHGE, processor gate (kg CO2e/kg)"),INDIRECT($AB357)))</f>
        <v/>
      </c>
      <c r="AD357" s="99">
        <f>IF($AB357="DIRECT","",DAVERAGE('[1]literature entries'!$D:$AI,IF($J357=1,"ACTIVE     GHGE, FARM GATE (kg CO2e/kg)","GHGE, processor gate (kg CO2e/kg)"),INDIRECT($AB357)))</f>
        <v/>
      </c>
      <c r="AE357" s="99">
        <f>IF($AB357="DIRECT",$S357,DSTDEV('[1]literature entries'!$D:$AI,IF($J357=1,"ACTIVE     GHGE, FARM GATE (kg CO2e/kg)","GHGE, processor gate (kg CO2e/kg)"),INDIRECT($AB357)))</f>
        <v/>
      </c>
      <c r="AF357" s="99">
        <f>IF($AB357="DIRECT",$S357,$AE357/$AD357*$R357)</f>
        <v/>
      </c>
    </row>
    <row r="358" ht="15.75" customHeight="1" s="201">
      <c r="A358" s="97" t="n"/>
      <c r="B358" s="97" t="n"/>
      <c r="C358" s="97" t="n"/>
      <c r="D358" s="97" t="n"/>
      <c r="E358" s="97" t="n"/>
      <c r="F358" s="148" t="n"/>
      <c r="G358" s="148" t="n"/>
      <c r="H358" s="148" t="n"/>
      <c r="I358" s="148" t="n"/>
      <c r="J358" s="149" t="n"/>
      <c r="K358" s="97" t="n"/>
      <c r="L358" s="148" t="n"/>
      <c r="M358" s="148" t="n"/>
      <c r="N358" s="148" t="n"/>
      <c r="O358" s="148" t="n"/>
      <c r="P358" s="148" t="n"/>
      <c r="Q358" s="148" t="n"/>
      <c r="R358" s="148" t="n"/>
      <c r="S358" s="148" t="n"/>
      <c r="T358" s="150" t="n"/>
      <c r="U358" s="150" t="n"/>
      <c r="V358" s="37" t="n"/>
      <c r="W358" s="151" t="n"/>
      <c r="X358" s="151" t="n"/>
      <c r="Y358" s="151" t="n"/>
      <c r="Z358" s="151" t="n"/>
      <c r="AA358" s="151" t="n"/>
      <c r="AB358" s="152" t="n"/>
      <c r="AC358" s="152" t="n"/>
      <c r="AD358" s="152" t="n"/>
      <c r="AE358" s="152" t="n"/>
      <c r="AF358" s="152" t="n"/>
    </row>
    <row r="359" ht="15.75" customHeight="1" s="201">
      <c r="A359" s="97" t="n"/>
      <c r="B359" s="97" t="n"/>
      <c r="C359" s="97" t="n"/>
      <c r="D359" s="97" t="n"/>
      <c r="E359" s="97" t="n"/>
      <c r="F359" s="148" t="n"/>
      <c r="G359" s="148" t="n"/>
      <c r="H359" s="148" t="n"/>
      <c r="I359" s="148" t="n"/>
      <c r="J359" s="149" t="n"/>
      <c r="K359" s="97" t="n"/>
      <c r="L359" s="64" t="n"/>
      <c r="M359" s="148" t="n"/>
      <c r="N359" s="148" t="n"/>
      <c r="O359" s="148" t="n"/>
      <c r="P359" s="64" t="n"/>
      <c r="Q359" s="148" t="n"/>
      <c r="R359" s="148" t="n"/>
      <c r="S359" s="148" t="n"/>
      <c r="T359" s="150" t="n"/>
      <c r="U359" s="150" t="n"/>
      <c r="V359" s="37" t="n"/>
      <c r="W359" s="151" t="n"/>
      <c r="X359" s="151" t="n"/>
      <c r="Y359" s="151" t="n"/>
      <c r="Z359" s="151" t="n"/>
      <c r="AA359" s="151" t="n"/>
      <c r="AB359" s="152" t="n"/>
      <c r="AC359" s="152" t="n"/>
      <c r="AD359" s="152" t="n"/>
      <c r="AE359" s="152" t="n"/>
      <c r="AF359" s="152" t="n"/>
    </row>
    <row r="360" ht="15.75" customHeight="1" s="201">
      <c r="A360" s="97" t="n"/>
      <c r="B360" s="97" t="n"/>
      <c r="C360" s="97" t="n"/>
      <c r="D360" s="97" t="n"/>
      <c r="E360" s="97" t="n"/>
      <c r="F360" s="148" t="n"/>
      <c r="G360" s="148" t="n"/>
      <c r="H360" s="148" t="n"/>
      <c r="I360" s="148" t="n"/>
      <c r="J360" s="149" t="n"/>
      <c r="K360" s="97" t="n"/>
      <c r="L360" s="148" t="n"/>
      <c r="M360" s="148" t="n"/>
      <c r="N360" s="148" t="n"/>
      <c r="O360" s="148" t="n"/>
      <c r="P360" s="148" t="n"/>
      <c r="Q360" s="148" t="n"/>
      <c r="R360" s="148" t="n"/>
      <c r="S360" s="148" t="n"/>
      <c r="T360" s="150" t="n"/>
      <c r="U360" s="150" t="n"/>
      <c r="V360" s="37" t="n"/>
      <c r="W360" s="151" t="n"/>
      <c r="X360" s="151" t="n"/>
      <c r="Y360" s="151" t="n"/>
      <c r="Z360" s="151" t="n"/>
      <c r="AA360" s="151" t="n"/>
      <c r="AB360" s="152" t="n"/>
      <c r="AC360" s="152" t="n"/>
      <c r="AD360" s="152" t="n"/>
      <c r="AE360" s="152" t="n"/>
      <c r="AF360" s="152" t="n"/>
    </row>
    <row r="361" ht="15.75" customHeight="1" s="201">
      <c r="A361" s="97" t="n"/>
      <c r="B361" s="97" t="n"/>
      <c r="C361" s="97" t="n"/>
      <c r="D361" s="97" t="n"/>
      <c r="E361" s="97" t="n"/>
      <c r="F361" s="148" t="n"/>
      <c r="G361" s="148" t="n"/>
      <c r="H361" s="148" t="n"/>
      <c r="I361" s="148" t="n"/>
      <c r="J361" s="149" t="n"/>
      <c r="K361" s="97" t="n"/>
      <c r="L361" s="148" t="n"/>
      <c r="M361" s="148" t="n"/>
      <c r="N361" s="148" t="n"/>
      <c r="O361" s="148" t="n"/>
      <c r="P361" s="148" t="n"/>
      <c r="Q361" s="148" t="n"/>
      <c r="R361" s="148" t="n"/>
      <c r="S361" s="148" t="n"/>
      <c r="T361" s="150" t="n"/>
      <c r="U361" s="150" t="n"/>
      <c r="V361" s="37" t="n"/>
      <c r="W361" s="151" t="n"/>
      <c r="X361" s="151" t="n"/>
      <c r="Y361" s="151" t="n"/>
      <c r="Z361" s="151" t="n"/>
      <c r="AA361" s="151" t="n"/>
      <c r="AB361" s="152" t="n"/>
      <c r="AC361" s="152" t="n"/>
      <c r="AD361" s="152" t="n"/>
      <c r="AE361" s="152" t="n"/>
      <c r="AF361" s="152" t="n"/>
    </row>
    <row r="362" ht="15.75" customHeight="1" s="201">
      <c r="A362" s="97" t="n"/>
      <c r="B362" s="97" t="n"/>
      <c r="C362" s="97" t="n"/>
      <c r="D362" s="97" t="n"/>
      <c r="E362" s="97" t="n"/>
      <c r="F362" s="148" t="n"/>
      <c r="G362" s="148" t="n"/>
      <c r="H362" s="148" t="n"/>
      <c r="I362" s="148" t="n"/>
      <c r="J362" s="149" t="n"/>
      <c r="K362" s="97" t="n"/>
      <c r="L362" s="148" t="n"/>
      <c r="M362" s="148" t="n"/>
      <c r="N362" s="148" t="n"/>
      <c r="O362" s="148" t="n"/>
      <c r="P362" s="148" t="n"/>
      <c r="Q362" s="148" t="n"/>
      <c r="R362" s="148" t="n"/>
      <c r="S362" s="148" t="n"/>
      <c r="T362" s="150" t="n"/>
      <c r="U362" s="150" t="n"/>
      <c r="V362" s="37" t="n"/>
      <c r="W362" s="151" t="n"/>
      <c r="X362" s="151" t="n"/>
      <c r="Y362" s="151" t="n"/>
      <c r="Z362" s="151" t="n"/>
      <c r="AA362" s="151" t="n"/>
      <c r="AB362" s="152" t="n"/>
      <c r="AC362" s="152" t="n"/>
      <c r="AD362" s="152" t="n"/>
      <c r="AE362" s="152" t="n"/>
      <c r="AF362" s="152" t="n"/>
    </row>
    <row r="363" ht="15.75" customHeight="1" s="201">
      <c r="A363" s="97" t="n"/>
      <c r="B363" s="97" t="n"/>
      <c r="C363" s="97" t="n"/>
      <c r="D363" s="97" t="n"/>
      <c r="E363" s="97" t="n"/>
      <c r="F363" s="148" t="n"/>
      <c r="G363" s="148" t="n"/>
      <c r="H363" s="148" t="n"/>
      <c r="I363" s="148" t="n"/>
      <c r="J363" s="149" t="n"/>
      <c r="K363" s="97" t="n"/>
      <c r="L363" s="148" t="n"/>
      <c r="M363" s="148" t="n"/>
      <c r="N363" s="148" t="n"/>
      <c r="O363" s="148" t="n"/>
      <c r="P363" s="148" t="n"/>
      <c r="Q363" s="148" t="n"/>
      <c r="R363" s="148" t="n"/>
      <c r="S363" s="148" t="n"/>
      <c r="T363" s="150" t="n"/>
      <c r="U363" s="150" t="n"/>
      <c r="V363" s="37" t="n"/>
      <c r="W363" s="151" t="n"/>
      <c r="X363" s="151" t="n"/>
      <c r="Y363" s="151" t="n"/>
      <c r="Z363" s="151" t="n"/>
      <c r="AA363" s="151" t="n"/>
      <c r="AB363" s="152" t="n"/>
      <c r="AC363" s="152" t="n"/>
      <c r="AD363" s="152" t="n"/>
      <c r="AE363" s="152" t="n"/>
      <c r="AF363" s="152" t="n"/>
    </row>
    <row r="364" ht="15.75" customHeight="1" s="201">
      <c r="A364" s="97" t="n"/>
      <c r="B364" s="97" t="n"/>
      <c r="C364" s="97" t="n"/>
      <c r="D364" s="97" t="n"/>
      <c r="E364" s="97" t="n"/>
      <c r="F364" s="148" t="n"/>
      <c r="G364" s="148" t="n"/>
      <c r="H364" s="148" t="n"/>
      <c r="I364" s="148" t="n"/>
      <c r="J364" s="149" t="n"/>
      <c r="K364" s="97" t="n"/>
      <c r="L364" s="148" t="n"/>
      <c r="M364" s="148" t="n"/>
      <c r="N364" s="148" t="n"/>
      <c r="O364" s="148" t="n"/>
      <c r="P364" s="148" t="n"/>
      <c r="Q364" s="148" t="n"/>
      <c r="R364" s="148" t="n"/>
      <c r="S364" s="148" t="n"/>
      <c r="T364" s="150" t="n"/>
      <c r="U364" s="150" t="n"/>
      <c r="V364" s="37" t="n"/>
      <c r="W364" s="151" t="n"/>
      <c r="X364" s="151" t="n"/>
      <c r="Y364" s="151" t="n"/>
      <c r="Z364" s="151" t="n"/>
      <c r="AA364" s="151" t="n"/>
      <c r="AB364" s="152" t="n"/>
      <c r="AC364" s="152" t="n"/>
      <c r="AD364" s="152" t="n"/>
      <c r="AE364" s="152" t="n"/>
      <c r="AF364" s="152" t="n"/>
    </row>
    <row r="365" ht="15.75" customHeight="1" s="201">
      <c r="A365" s="97" t="n"/>
      <c r="B365" s="97" t="n"/>
      <c r="C365" s="97" t="n"/>
      <c r="D365" s="97" t="n"/>
      <c r="E365" s="97" t="n"/>
      <c r="F365" s="148" t="n"/>
      <c r="G365" s="148" t="n"/>
      <c r="H365" s="148" t="n"/>
      <c r="I365" s="148" t="n"/>
      <c r="J365" s="149" t="n"/>
      <c r="K365" s="97" t="n"/>
      <c r="L365" s="148" t="n"/>
      <c r="M365" s="148" t="n"/>
      <c r="N365" s="148" t="n"/>
      <c r="O365" s="148" t="n"/>
      <c r="P365" s="148" t="n"/>
      <c r="Q365" s="148" t="n"/>
      <c r="R365" s="148" t="n"/>
      <c r="S365" s="148" t="n"/>
      <c r="T365" s="150" t="n"/>
      <c r="U365" s="150" t="n"/>
      <c r="V365" s="37" t="n"/>
      <c r="W365" s="151" t="n"/>
      <c r="X365" s="151" t="n"/>
      <c r="Y365" s="151" t="n"/>
      <c r="Z365" s="151" t="n"/>
      <c r="AA365" s="151" t="n"/>
      <c r="AB365" s="152" t="n"/>
      <c r="AC365" s="152" t="n"/>
      <c r="AD365" s="152" t="n"/>
      <c r="AE365" s="152" t="n"/>
      <c r="AF365" s="152" t="n"/>
    </row>
    <row r="366" ht="15.75" customHeight="1" s="201">
      <c r="A366" s="97" t="n"/>
      <c r="B366" s="97" t="n"/>
      <c r="C366" s="97" t="n"/>
      <c r="D366" s="97" t="n"/>
      <c r="E366" s="97" t="n"/>
      <c r="F366" s="148" t="n"/>
      <c r="G366" s="148" t="n"/>
      <c r="H366" s="148" t="n"/>
      <c r="I366" s="148" t="n"/>
      <c r="J366" s="149" t="n"/>
      <c r="K366" s="97" t="n"/>
      <c r="L366" s="148" t="n"/>
      <c r="M366" s="148" t="n"/>
      <c r="N366" s="148" t="n"/>
      <c r="O366" s="148" t="n"/>
      <c r="P366" s="148" t="n"/>
      <c r="Q366" s="148" t="n"/>
      <c r="R366" s="148" t="n"/>
      <c r="S366" s="148" t="n"/>
      <c r="T366" s="150" t="n"/>
      <c r="U366" s="150" t="n"/>
      <c r="V366" s="37" t="n"/>
      <c r="W366" s="151" t="n"/>
      <c r="X366" s="151" t="n"/>
      <c r="Y366" s="151" t="n"/>
      <c r="Z366" s="151" t="n"/>
      <c r="AA366" s="151" t="n"/>
      <c r="AB366" s="152" t="n"/>
      <c r="AC366" s="152" t="n"/>
      <c r="AD366" s="152" t="n"/>
      <c r="AE366" s="152" t="n"/>
      <c r="AF366" s="152" t="n"/>
    </row>
    <row r="367" ht="15.75" customHeight="1" s="201">
      <c r="A367" s="97" t="n"/>
      <c r="B367" s="97" t="n"/>
      <c r="C367" s="97" t="n"/>
      <c r="D367" s="97" t="n"/>
      <c r="E367" s="97" t="n"/>
      <c r="F367" s="148" t="n"/>
      <c r="G367" s="148" t="n"/>
      <c r="H367" s="148" t="n"/>
      <c r="I367" s="148" t="n"/>
      <c r="J367" s="149" t="n"/>
      <c r="K367" s="97" t="n"/>
      <c r="L367" s="148" t="n"/>
      <c r="M367" s="148" t="n"/>
      <c r="N367" s="148" t="n"/>
      <c r="O367" s="148" t="n"/>
      <c r="P367" s="148" t="n"/>
      <c r="Q367" s="148" t="n"/>
      <c r="R367" s="148" t="n"/>
      <c r="S367" s="148" t="n"/>
      <c r="T367" s="150" t="n"/>
      <c r="U367" s="150" t="n"/>
      <c r="V367" s="37" t="n"/>
      <c r="W367" s="151" t="n"/>
      <c r="X367" s="151" t="n"/>
      <c r="Y367" s="151" t="n"/>
      <c r="Z367" s="151" t="n"/>
      <c r="AA367" s="151" t="n"/>
      <c r="AB367" s="152" t="n"/>
      <c r="AC367" s="152" t="n"/>
      <c r="AD367" s="152" t="n"/>
      <c r="AE367" s="152" t="n"/>
      <c r="AF367" s="152" t="n"/>
    </row>
    <row r="368" ht="15.75" customHeight="1" s="201">
      <c r="A368" s="97" t="n"/>
      <c r="B368" s="97" t="n"/>
      <c r="C368" s="97" t="n"/>
      <c r="D368" s="97" t="n"/>
      <c r="E368" s="97" t="n"/>
      <c r="F368" s="148" t="n"/>
      <c r="G368" s="148" t="n"/>
      <c r="H368" s="148" t="n"/>
      <c r="I368" s="148" t="n"/>
      <c r="J368" s="149" t="n"/>
      <c r="K368" s="97" t="n"/>
      <c r="L368" s="148" t="n"/>
      <c r="M368" s="148" t="n"/>
      <c r="N368" s="148" t="n"/>
      <c r="O368" s="148" t="n"/>
      <c r="P368" s="148" t="n"/>
      <c r="Q368" s="148" t="n"/>
      <c r="R368" s="148" t="n"/>
      <c r="S368" s="148" t="n"/>
      <c r="T368" s="150" t="n"/>
      <c r="U368" s="150" t="n"/>
      <c r="V368" s="37" t="n"/>
      <c r="W368" s="151" t="n"/>
      <c r="X368" s="151" t="n"/>
      <c r="Y368" s="151" t="n"/>
      <c r="Z368" s="151" t="n"/>
      <c r="AA368" s="151" t="n"/>
      <c r="AB368" s="152" t="n"/>
      <c r="AC368" s="152" t="n"/>
      <c r="AD368" s="152" t="n"/>
      <c r="AE368" s="152" t="n"/>
      <c r="AF368" s="152" t="n"/>
    </row>
    <row r="369" ht="15.75" customHeight="1" s="201">
      <c r="A369" s="97" t="n"/>
      <c r="B369" s="97" t="n"/>
      <c r="C369" s="97" t="n"/>
      <c r="D369" s="97" t="n"/>
      <c r="E369" s="97" t="n"/>
      <c r="F369" s="148" t="n"/>
      <c r="G369" s="148" t="n"/>
      <c r="H369" s="148" t="n"/>
      <c r="I369" s="148" t="n"/>
      <c r="J369" s="149" t="n"/>
      <c r="K369" s="97" t="n"/>
      <c r="L369" s="148" t="n"/>
      <c r="M369" s="148" t="n"/>
      <c r="N369" s="148" t="n"/>
      <c r="O369" s="148" t="n"/>
      <c r="P369" s="148" t="n"/>
      <c r="Q369" s="148" t="n"/>
      <c r="R369" s="148" t="n"/>
      <c r="S369" s="148" t="n"/>
      <c r="T369" s="150" t="n"/>
      <c r="U369" s="150" t="n"/>
      <c r="V369" s="37" t="n"/>
      <c r="W369" s="151" t="n"/>
      <c r="X369" s="151" t="n"/>
      <c r="Y369" s="151" t="n"/>
      <c r="Z369" s="151" t="n"/>
      <c r="AA369" s="151" t="n"/>
      <c r="AB369" s="152" t="n"/>
      <c r="AC369" s="152" t="n"/>
      <c r="AD369" s="152" t="n"/>
      <c r="AE369" s="152" t="n"/>
      <c r="AF369" s="152" t="n"/>
    </row>
    <row r="370" ht="15.75" customHeight="1" s="201">
      <c r="A370" s="97" t="n"/>
      <c r="B370" s="97" t="n"/>
      <c r="C370" s="97" t="n"/>
      <c r="D370" s="97" t="n"/>
      <c r="E370" s="97" t="n"/>
      <c r="F370" s="148" t="n"/>
      <c r="G370" s="148" t="n"/>
      <c r="H370" s="148" t="n"/>
      <c r="I370" s="148" t="n"/>
      <c r="J370" s="149" t="n"/>
      <c r="K370" s="97" t="n"/>
      <c r="L370" s="148" t="n"/>
      <c r="M370" s="148" t="n"/>
      <c r="N370" s="148" t="n"/>
      <c r="O370" s="148" t="n"/>
      <c r="P370" s="148" t="n"/>
      <c r="Q370" s="148" t="n"/>
      <c r="R370" s="148" t="n"/>
      <c r="S370" s="148" t="n"/>
      <c r="T370" s="150" t="n"/>
      <c r="U370" s="150" t="n"/>
      <c r="V370" s="37" t="n"/>
      <c r="W370" s="151" t="n"/>
      <c r="X370" s="151" t="n"/>
      <c r="Y370" s="151" t="n"/>
      <c r="Z370" s="151" t="n"/>
      <c r="AA370" s="151" t="n"/>
      <c r="AB370" s="152" t="n"/>
      <c r="AC370" s="152" t="n"/>
      <c r="AD370" s="152" t="n"/>
      <c r="AE370" s="152" t="n"/>
      <c r="AF370" s="152" t="n"/>
    </row>
    <row r="371" ht="15.75" customHeight="1" s="201">
      <c r="A371" s="97" t="n"/>
      <c r="B371" s="97" t="n"/>
      <c r="C371" s="97" t="n"/>
      <c r="D371" s="97" t="n"/>
      <c r="E371" s="97" t="n"/>
      <c r="F371" s="148" t="n"/>
      <c r="G371" s="148" t="n"/>
      <c r="H371" s="148" t="n"/>
      <c r="I371" s="148" t="n"/>
      <c r="J371" s="149" t="n"/>
      <c r="K371" s="97" t="n"/>
      <c r="L371" s="153" t="n"/>
      <c r="M371" s="148" t="n"/>
      <c r="N371" s="148" t="n"/>
      <c r="O371" s="148" t="n"/>
      <c r="P371" s="153" t="n"/>
      <c r="Q371" s="148" t="n"/>
      <c r="R371" s="148" t="n"/>
      <c r="S371" s="148" t="n"/>
      <c r="T371" s="150" t="n"/>
      <c r="U371" s="150" t="n"/>
      <c r="V371" s="37" t="n"/>
      <c r="W371" s="151" t="n"/>
      <c r="X371" s="151" t="n"/>
      <c r="Y371" s="151" t="n"/>
      <c r="Z371" s="151" t="n"/>
      <c r="AA371" s="151" t="n"/>
      <c r="AB371" s="152" t="n"/>
      <c r="AC371" s="152" t="n"/>
      <c r="AD371" s="152" t="n"/>
      <c r="AE371" s="152" t="n"/>
      <c r="AF371" s="152" t="n"/>
    </row>
    <row r="372" ht="15.75" customHeight="1" s="201">
      <c r="A372" s="97" t="n"/>
      <c r="B372" s="97" t="n"/>
      <c r="C372" s="97" t="n"/>
      <c r="D372" s="97" t="n"/>
      <c r="E372" s="97" t="n"/>
      <c r="F372" s="148" t="n"/>
      <c r="G372" s="148" t="n"/>
      <c r="H372" s="148" t="n"/>
      <c r="I372" s="148" t="n"/>
      <c r="J372" s="149" t="n"/>
      <c r="K372" s="97" t="n"/>
      <c r="L372" s="153" t="n"/>
      <c r="M372" s="148" t="n"/>
      <c r="N372" s="148" t="n"/>
      <c r="O372" s="148" t="n"/>
      <c r="P372" s="153" t="n"/>
      <c r="Q372" s="148" t="n"/>
      <c r="R372" s="148" t="n"/>
      <c r="S372" s="148" t="n"/>
      <c r="T372" s="150" t="n"/>
      <c r="U372" s="150" t="n"/>
      <c r="V372" s="37" t="n"/>
      <c r="W372" s="151" t="n"/>
      <c r="X372" s="151" t="n"/>
      <c r="Y372" s="151" t="n"/>
      <c r="Z372" s="151" t="n"/>
      <c r="AA372" s="151" t="n"/>
      <c r="AB372" s="152" t="n"/>
      <c r="AC372" s="152" t="n"/>
      <c r="AD372" s="152" t="n"/>
      <c r="AE372" s="152" t="n"/>
      <c r="AF372" s="152" t="n"/>
    </row>
    <row r="373" ht="15.75" customHeight="1" s="201">
      <c r="A373" s="97" t="n"/>
      <c r="B373" s="97" t="n"/>
      <c r="C373" s="97" t="n"/>
      <c r="D373" s="97" t="n"/>
      <c r="E373" s="97" t="n"/>
      <c r="F373" s="148" t="n"/>
      <c r="G373" s="148" t="n"/>
      <c r="H373" s="148" t="n"/>
      <c r="I373" s="148" t="n"/>
      <c r="J373" s="149" t="n"/>
      <c r="K373" s="97" t="n"/>
      <c r="L373" s="153" t="n"/>
      <c r="M373" s="148" t="n"/>
      <c r="N373" s="148" t="n"/>
      <c r="O373" s="148" t="n"/>
      <c r="P373" s="153" t="n"/>
      <c r="Q373" s="148" t="n"/>
      <c r="R373" s="148" t="n"/>
      <c r="S373" s="148" t="n"/>
      <c r="T373" s="150" t="n"/>
      <c r="U373" s="150" t="n"/>
      <c r="V373" s="37" t="n"/>
      <c r="W373" s="151" t="n"/>
      <c r="X373" s="151" t="n"/>
      <c r="Y373" s="151" t="n"/>
      <c r="Z373" s="151" t="n"/>
      <c r="AA373" s="151" t="n"/>
      <c r="AB373" s="152" t="n"/>
      <c r="AC373" s="152" t="n"/>
      <c r="AD373" s="152" t="n"/>
      <c r="AE373" s="152" t="n"/>
      <c r="AF373" s="152" t="n"/>
    </row>
    <row r="374" ht="15.75" customHeight="1" s="201">
      <c r="A374" s="97" t="n"/>
      <c r="B374" s="97" t="n"/>
      <c r="C374" s="97" t="n"/>
      <c r="D374" s="97" t="n"/>
      <c r="E374" s="97" t="n"/>
      <c r="F374" s="148" t="n"/>
      <c r="G374" s="148" t="n"/>
      <c r="H374" s="148" t="n"/>
      <c r="I374" s="148" t="n"/>
      <c r="J374" s="149" t="n"/>
      <c r="K374" s="97" t="n"/>
      <c r="L374" s="148" t="n"/>
      <c r="M374" s="148" t="n"/>
      <c r="N374" s="148" t="n"/>
      <c r="O374" s="148" t="n"/>
      <c r="P374" s="148" t="n"/>
      <c r="Q374" s="148" t="n"/>
      <c r="R374" s="148" t="n"/>
      <c r="S374" s="148" t="n"/>
      <c r="T374" s="150" t="n"/>
      <c r="U374" s="150" t="n"/>
      <c r="V374" s="37" t="n"/>
      <c r="W374" s="151" t="n"/>
      <c r="X374" s="151" t="n"/>
      <c r="Y374" s="151" t="n"/>
      <c r="Z374" s="151" t="n"/>
      <c r="AA374" s="151" t="n"/>
      <c r="AB374" s="152" t="n"/>
      <c r="AC374" s="152" t="n"/>
      <c r="AD374" s="152" t="n"/>
      <c r="AE374" s="152" t="n"/>
      <c r="AF374" s="152" t="n"/>
    </row>
    <row r="375" ht="15.75" customHeight="1" s="201">
      <c r="A375" s="97" t="n"/>
      <c r="B375" s="97" t="n"/>
      <c r="C375" s="97" t="n"/>
      <c r="D375" s="97" t="n"/>
      <c r="E375" s="97" t="n"/>
      <c r="F375" s="148" t="n"/>
      <c r="G375" s="148" t="n"/>
      <c r="H375" s="148" t="n"/>
      <c r="I375" s="148" t="n"/>
      <c r="J375" s="149" t="n"/>
      <c r="K375" s="97" t="n"/>
      <c r="L375" s="148" t="n"/>
      <c r="M375" s="148" t="n"/>
      <c r="N375" s="148" t="n"/>
      <c r="O375" s="148" t="n"/>
      <c r="P375" s="148" t="n"/>
      <c r="Q375" s="148" t="n"/>
      <c r="R375" s="148" t="n"/>
      <c r="S375" s="148" t="n"/>
      <c r="T375" s="150" t="n"/>
      <c r="U375" s="150" t="n"/>
      <c r="V375" s="37" t="n"/>
      <c r="W375" s="151" t="n"/>
      <c r="X375" s="151" t="n"/>
      <c r="Y375" s="151" t="n"/>
      <c r="Z375" s="151" t="n"/>
      <c r="AA375" s="151" t="n"/>
      <c r="AB375" s="152" t="n"/>
      <c r="AC375" s="152" t="n"/>
      <c r="AD375" s="152" t="n"/>
      <c r="AE375" s="152" t="n"/>
      <c r="AF375" s="152" t="n"/>
    </row>
    <row r="376" ht="15.75" customHeight="1" s="201">
      <c r="A376" s="97" t="n"/>
      <c r="B376" s="97" t="n"/>
      <c r="C376" s="97" t="n"/>
      <c r="D376" s="97" t="n"/>
      <c r="E376" s="97" t="n"/>
      <c r="F376" s="148" t="n"/>
      <c r="G376" s="148" t="n"/>
      <c r="H376" s="148" t="n"/>
      <c r="I376" s="148" t="n"/>
      <c r="J376" s="149" t="n"/>
      <c r="K376" s="97" t="n"/>
      <c r="L376" s="148" t="n"/>
      <c r="M376" s="148" t="n"/>
      <c r="N376" s="148" t="n"/>
      <c r="O376" s="148" t="n"/>
      <c r="P376" s="148" t="n"/>
      <c r="Q376" s="148" t="n"/>
      <c r="R376" s="148" t="n"/>
      <c r="S376" s="148" t="n"/>
      <c r="T376" s="150" t="n"/>
      <c r="U376" s="150" t="n"/>
      <c r="V376" s="37" t="n"/>
      <c r="W376" s="151" t="n"/>
      <c r="X376" s="151" t="n"/>
      <c r="Y376" s="151" t="n"/>
      <c r="Z376" s="151" t="n"/>
      <c r="AA376" s="151" t="n"/>
      <c r="AB376" s="152" t="n"/>
      <c r="AC376" s="152" t="n"/>
      <c r="AD376" s="152" t="n"/>
      <c r="AE376" s="152" t="n"/>
      <c r="AF376" s="152" t="n"/>
    </row>
    <row r="377" ht="15.75" customHeight="1" s="201">
      <c r="A377" s="97" t="n"/>
      <c r="B377" s="97" t="n"/>
      <c r="C377" s="97" t="n"/>
      <c r="D377" s="97" t="n"/>
      <c r="E377" s="97" t="n"/>
      <c r="F377" s="148" t="n"/>
      <c r="G377" s="148" t="n"/>
      <c r="H377" s="148" t="n"/>
      <c r="I377" s="148" t="n"/>
      <c r="J377" s="149" t="n"/>
      <c r="K377" s="97" t="n"/>
      <c r="L377" s="148" t="n"/>
      <c r="M377" s="148" t="n"/>
      <c r="N377" s="148" t="n"/>
      <c r="O377" s="148" t="n"/>
      <c r="P377" s="148" t="n"/>
      <c r="Q377" s="148" t="n"/>
      <c r="R377" s="148" t="n"/>
      <c r="S377" s="148" t="n"/>
      <c r="T377" s="150" t="n"/>
      <c r="U377" s="150" t="n"/>
      <c r="V377" s="37" t="n"/>
      <c r="W377" s="151" t="n"/>
      <c r="X377" s="151" t="n"/>
      <c r="Y377" s="151" t="n"/>
      <c r="Z377" s="151" t="n"/>
      <c r="AA377" s="151" t="n"/>
      <c r="AB377" s="152" t="n"/>
      <c r="AC377" s="152" t="n"/>
      <c r="AD377" s="152" t="n"/>
      <c r="AE377" s="152" t="n"/>
      <c r="AF377" s="152" t="n"/>
    </row>
    <row r="378" ht="15.75" customHeight="1" s="201">
      <c r="A378" s="97" t="n"/>
      <c r="B378" s="97" t="n"/>
      <c r="C378" s="97" t="n"/>
      <c r="D378" s="97" t="n"/>
      <c r="E378" s="97" t="n"/>
      <c r="F378" s="148" t="n"/>
      <c r="G378" s="148" t="n"/>
      <c r="H378" s="148" t="n"/>
      <c r="I378" s="148" t="n"/>
      <c r="J378" s="149" t="n"/>
      <c r="K378" s="97" t="n"/>
      <c r="L378" s="148" t="n"/>
      <c r="M378" s="148" t="n"/>
      <c r="N378" s="148" t="n"/>
      <c r="O378" s="148" t="n"/>
      <c r="P378" s="148" t="n"/>
      <c r="Q378" s="148" t="n"/>
      <c r="R378" s="148" t="n"/>
      <c r="S378" s="148" t="n"/>
      <c r="T378" s="150" t="n"/>
      <c r="U378" s="150" t="n"/>
      <c r="V378" s="37" t="n"/>
      <c r="W378" s="151" t="n"/>
      <c r="X378" s="151" t="n"/>
      <c r="Y378" s="151" t="n"/>
      <c r="Z378" s="151" t="n"/>
      <c r="AA378" s="151" t="n"/>
      <c r="AB378" s="152" t="n"/>
      <c r="AC378" s="152" t="n"/>
      <c r="AD378" s="152" t="n"/>
      <c r="AE378" s="152" t="n"/>
      <c r="AF378" s="152" t="n"/>
    </row>
    <row r="379" ht="15.75" customHeight="1" s="201">
      <c r="A379" s="97" t="n"/>
      <c r="B379" s="97" t="n"/>
      <c r="C379" s="97" t="n"/>
      <c r="D379" s="97" t="n"/>
      <c r="E379" s="97" t="n"/>
      <c r="F379" s="148" t="n"/>
      <c r="G379" s="148" t="n"/>
      <c r="H379" s="148" t="n"/>
      <c r="I379" s="148" t="n"/>
      <c r="J379" s="149" t="n"/>
      <c r="K379" s="97" t="n"/>
      <c r="L379" s="148" t="n"/>
      <c r="M379" s="148" t="n"/>
      <c r="N379" s="148" t="n"/>
      <c r="O379" s="148" t="n"/>
      <c r="P379" s="148" t="n"/>
      <c r="Q379" s="148" t="n"/>
      <c r="R379" s="148" t="n"/>
      <c r="S379" s="148" t="n"/>
      <c r="T379" s="150" t="n"/>
      <c r="U379" s="150" t="n"/>
      <c r="V379" s="37" t="n"/>
      <c r="W379" s="151" t="n"/>
      <c r="X379" s="151" t="n"/>
      <c r="Y379" s="151" t="n"/>
      <c r="Z379" s="151" t="n"/>
      <c r="AA379" s="151" t="n"/>
      <c r="AB379" s="152" t="n"/>
      <c r="AC379" s="152" t="n"/>
      <c r="AD379" s="152" t="n"/>
      <c r="AE379" s="152" t="n"/>
      <c r="AF379" s="152" t="n"/>
    </row>
    <row r="380" ht="15.75" customHeight="1" s="201">
      <c r="A380" s="97" t="n"/>
      <c r="B380" s="97" t="n"/>
      <c r="C380" s="97" t="n"/>
      <c r="D380" s="97" t="n"/>
      <c r="E380" s="97" t="n"/>
      <c r="F380" s="148" t="n"/>
      <c r="G380" s="148" t="n"/>
      <c r="H380" s="148" t="n"/>
      <c r="I380" s="148" t="n"/>
      <c r="J380" s="149" t="n"/>
      <c r="K380" s="97" t="n"/>
      <c r="L380" s="148" t="n"/>
      <c r="M380" s="148" t="n"/>
      <c r="N380" s="148" t="n"/>
      <c r="O380" s="148" t="n"/>
      <c r="P380" s="148" t="n"/>
      <c r="Q380" s="148" t="n"/>
      <c r="R380" s="148" t="n"/>
      <c r="S380" s="148" t="n"/>
      <c r="T380" s="150" t="n"/>
      <c r="U380" s="150" t="n"/>
      <c r="V380" s="37" t="n"/>
      <c r="W380" s="151" t="n"/>
      <c r="X380" s="151" t="n"/>
      <c r="Y380" s="151" t="n"/>
      <c r="Z380" s="151" t="n"/>
      <c r="AA380" s="151" t="n"/>
      <c r="AB380" s="152" t="n"/>
      <c r="AC380" s="152" t="n"/>
      <c r="AD380" s="152" t="n"/>
      <c r="AE380" s="152" t="n"/>
      <c r="AF380" s="152" t="n"/>
    </row>
    <row r="381" ht="15.75" customHeight="1" s="201">
      <c r="A381" s="97" t="n"/>
      <c r="B381" s="97" t="n"/>
      <c r="C381" s="97" t="n"/>
      <c r="D381" s="97" t="n"/>
      <c r="E381" s="97" t="n"/>
      <c r="F381" s="148" t="n"/>
      <c r="G381" s="148" t="n"/>
      <c r="H381" s="148" t="n"/>
      <c r="I381" s="148" t="n"/>
      <c r="J381" s="149" t="n"/>
      <c r="K381" s="97" t="n"/>
      <c r="L381" s="148" t="n"/>
      <c r="M381" s="148" t="n"/>
      <c r="N381" s="148" t="n"/>
      <c r="O381" s="148" t="n"/>
      <c r="P381" s="148" t="n"/>
      <c r="Q381" s="148" t="n"/>
      <c r="R381" s="148" t="n"/>
      <c r="S381" s="148" t="n"/>
      <c r="T381" s="150" t="n"/>
      <c r="U381" s="150" t="n"/>
      <c r="V381" s="37" t="n"/>
      <c r="W381" s="151" t="n"/>
      <c r="X381" s="151" t="n"/>
      <c r="Y381" s="151" t="n"/>
      <c r="Z381" s="151" t="n"/>
      <c r="AA381" s="151" t="n"/>
      <c r="AB381" s="152" t="n"/>
      <c r="AC381" s="152" t="n"/>
      <c r="AD381" s="152" t="n"/>
      <c r="AE381" s="152" t="n"/>
      <c r="AF381" s="152" t="n"/>
    </row>
    <row r="382" ht="15.75" customHeight="1" s="201">
      <c r="A382" s="97" t="n"/>
      <c r="B382" s="97" t="n"/>
      <c r="C382" s="97" t="n"/>
      <c r="D382" s="97" t="n"/>
      <c r="E382" s="97" t="n"/>
      <c r="F382" s="148" t="n"/>
      <c r="G382" s="148" t="n"/>
      <c r="H382" s="148" t="n"/>
      <c r="I382" s="148" t="n"/>
      <c r="J382" s="149" t="n"/>
      <c r="K382" s="97" t="n"/>
      <c r="L382" s="148" t="n"/>
      <c r="M382" s="148" t="n"/>
      <c r="N382" s="148" t="n"/>
      <c r="O382" s="148" t="n"/>
      <c r="P382" s="148" t="n"/>
      <c r="Q382" s="148" t="n"/>
      <c r="R382" s="148" t="n"/>
      <c r="S382" s="148" t="n"/>
      <c r="T382" s="150" t="n"/>
      <c r="U382" s="150" t="n"/>
      <c r="V382" s="37" t="n"/>
      <c r="W382" s="151" t="n"/>
      <c r="X382" s="151" t="n"/>
      <c r="Y382" s="151" t="n"/>
      <c r="Z382" s="151" t="n"/>
      <c r="AA382" s="151" t="n"/>
      <c r="AB382" s="152" t="n"/>
      <c r="AC382" s="152" t="n"/>
      <c r="AD382" s="152" t="n"/>
      <c r="AE382" s="152" t="n"/>
      <c r="AF382" s="152" t="n"/>
    </row>
    <row r="383" ht="15.75" customHeight="1" s="201">
      <c r="A383" s="97" t="n"/>
      <c r="B383" s="97" t="n"/>
      <c r="C383" s="97" t="n"/>
      <c r="D383" s="97" t="n"/>
      <c r="E383" s="97" t="n"/>
      <c r="F383" s="148" t="n"/>
      <c r="G383" s="148" t="n"/>
      <c r="H383" s="148" t="n"/>
      <c r="I383" s="148" t="n"/>
      <c r="J383" s="149" t="n"/>
      <c r="K383" s="97" t="n"/>
      <c r="L383" s="148" t="n"/>
      <c r="M383" s="148" t="n"/>
      <c r="N383" s="148" t="n"/>
      <c r="O383" s="148" t="n"/>
      <c r="P383" s="148" t="n"/>
      <c r="Q383" s="148" t="n"/>
      <c r="R383" s="148" t="n"/>
      <c r="S383" s="148" t="n"/>
      <c r="T383" s="150" t="n"/>
      <c r="U383" s="150" t="n"/>
      <c r="V383" s="37" t="n"/>
      <c r="W383" s="151" t="n"/>
      <c r="X383" s="151" t="n"/>
      <c r="Y383" s="151" t="n"/>
      <c r="Z383" s="151" t="n"/>
      <c r="AA383" s="151" t="n"/>
      <c r="AB383" s="152" t="n"/>
      <c r="AC383" s="152" t="n"/>
      <c r="AD383" s="152" t="n"/>
      <c r="AE383" s="152" t="n"/>
      <c r="AF383" s="152" t="n"/>
    </row>
    <row r="384" ht="15.75" customHeight="1" s="201">
      <c r="A384" s="97" t="n"/>
      <c r="B384" s="97" t="n"/>
      <c r="C384" s="97" t="n"/>
      <c r="D384" s="97" t="n"/>
      <c r="E384" s="97" t="n"/>
      <c r="F384" s="148" t="n"/>
      <c r="G384" s="148" t="n"/>
      <c r="H384" s="148" t="n"/>
      <c r="I384" s="148" t="n"/>
      <c r="J384" s="149" t="n"/>
      <c r="K384" s="97" t="n"/>
      <c r="L384" s="148" t="n"/>
      <c r="M384" s="148" t="n"/>
      <c r="N384" s="148" t="n"/>
      <c r="O384" s="148" t="n"/>
      <c r="P384" s="148" t="n"/>
      <c r="Q384" s="148" t="n"/>
      <c r="R384" s="148" t="n"/>
      <c r="S384" s="148" t="n"/>
      <c r="T384" s="150" t="n"/>
      <c r="U384" s="150" t="n"/>
      <c r="V384" s="37" t="n"/>
      <c r="W384" s="151" t="n"/>
      <c r="X384" s="151" t="n"/>
      <c r="Y384" s="151" t="n"/>
      <c r="Z384" s="151" t="n"/>
      <c r="AA384" s="151" t="n"/>
      <c r="AB384" s="152" t="n"/>
      <c r="AC384" s="152" t="n"/>
      <c r="AD384" s="152" t="n"/>
      <c r="AE384" s="152" t="n"/>
      <c r="AF384" s="152" t="n"/>
    </row>
    <row r="385" ht="15.75" customHeight="1" s="201">
      <c r="A385" s="97" t="n"/>
      <c r="B385" s="97" t="n"/>
      <c r="C385" s="97" t="n"/>
      <c r="D385" s="97" t="n"/>
      <c r="E385" s="97" t="n"/>
      <c r="F385" s="148" t="n"/>
      <c r="G385" s="148" t="n"/>
      <c r="H385" s="148" t="n"/>
      <c r="I385" s="148" t="n"/>
      <c r="J385" s="149" t="n"/>
      <c r="K385" s="97" t="n"/>
      <c r="L385" s="148" t="n"/>
      <c r="M385" s="148" t="n"/>
      <c r="N385" s="148" t="n"/>
      <c r="O385" s="148" t="n"/>
      <c r="P385" s="148" t="n"/>
      <c r="Q385" s="148" t="n"/>
      <c r="R385" s="148" t="n"/>
      <c r="S385" s="148" t="n"/>
      <c r="T385" s="150" t="n"/>
      <c r="U385" s="150" t="n"/>
      <c r="V385" s="37" t="n"/>
      <c r="W385" s="151" t="n"/>
      <c r="X385" s="151" t="n"/>
      <c r="Y385" s="151" t="n"/>
      <c r="Z385" s="151" t="n"/>
      <c r="AA385" s="151" t="n"/>
      <c r="AB385" s="152" t="n"/>
      <c r="AC385" s="152" t="n"/>
      <c r="AD385" s="152" t="n"/>
      <c r="AE385" s="152" t="n"/>
      <c r="AF385" s="152" t="n"/>
    </row>
    <row r="386" ht="15.75" customHeight="1" s="201">
      <c r="A386" s="97" t="n"/>
      <c r="B386" s="97" t="n"/>
      <c r="C386" s="97" t="n"/>
      <c r="D386" s="97" t="n"/>
      <c r="E386" s="97" t="n"/>
      <c r="F386" s="148" t="n"/>
      <c r="G386" s="148" t="n"/>
      <c r="H386" s="148" t="n"/>
      <c r="I386" s="148" t="n"/>
      <c r="J386" s="149" t="n"/>
      <c r="K386" s="97" t="n"/>
      <c r="L386" s="148" t="n"/>
      <c r="M386" s="148" t="n"/>
      <c r="N386" s="148" t="n"/>
      <c r="O386" s="148" t="n"/>
      <c r="P386" s="148" t="n"/>
      <c r="Q386" s="148" t="n"/>
      <c r="R386" s="148" t="n"/>
      <c r="S386" s="148" t="n"/>
      <c r="T386" s="150" t="n"/>
      <c r="U386" s="150" t="n"/>
      <c r="V386" s="37" t="n"/>
      <c r="W386" s="151" t="n"/>
      <c r="X386" s="151" t="n"/>
      <c r="Y386" s="151" t="n"/>
      <c r="Z386" s="151" t="n"/>
      <c r="AA386" s="151" t="n"/>
      <c r="AB386" s="152" t="n"/>
      <c r="AC386" s="152" t="n"/>
      <c r="AD386" s="152" t="n"/>
      <c r="AE386" s="152" t="n"/>
      <c r="AF386" s="152" t="n"/>
    </row>
    <row r="387" ht="15.75" customHeight="1" s="201">
      <c r="A387" s="97" t="n"/>
      <c r="B387" s="97" t="n"/>
      <c r="C387" s="97" t="n"/>
      <c r="D387" s="97" t="n"/>
      <c r="E387" s="97" t="n"/>
      <c r="F387" s="148" t="n"/>
      <c r="G387" s="148" t="n"/>
      <c r="H387" s="148" t="n"/>
      <c r="I387" s="148" t="n"/>
      <c r="J387" s="149" t="n"/>
      <c r="K387" s="97" t="n"/>
      <c r="L387" s="148" t="n"/>
      <c r="M387" s="148" t="n"/>
      <c r="N387" s="150" t="n"/>
      <c r="O387" s="148" t="n"/>
      <c r="P387" s="148" t="n"/>
      <c r="Q387" s="148" t="n"/>
      <c r="R387" s="148" t="n"/>
      <c r="S387" s="148" t="n"/>
      <c r="T387" s="150" t="n"/>
      <c r="U387" s="150" t="n"/>
      <c r="V387" s="37" t="n"/>
      <c r="W387" s="151" t="n"/>
      <c r="X387" s="151" t="n"/>
      <c r="Y387" s="151" t="n"/>
      <c r="Z387" s="151" t="n"/>
      <c r="AA387" s="151" t="n"/>
      <c r="AB387" s="152" t="n"/>
      <c r="AC387" s="152" t="n"/>
      <c r="AD387" s="152" t="n"/>
      <c r="AE387" s="152" t="n"/>
      <c r="AF387" s="152" t="n"/>
    </row>
    <row r="388" ht="15.75" customHeight="1" s="201">
      <c r="A388" s="97" t="n"/>
      <c r="B388" s="97" t="n"/>
      <c r="C388" s="97" t="n"/>
      <c r="D388" s="97" t="n"/>
      <c r="E388" s="97" t="n"/>
      <c r="F388" s="148" t="n"/>
      <c r="G388" s="148" t="n"/>
      <c r="H388" s="148" t="n"/>
      <c r="I388" s="148" t="n"/>
      <c r="J388" s="149" t="n"/>
      <c r="K388" s="97" t="n"/>
      <c r="L388" s="148" t="n"/>
      <c r="M388" s="148" t="n"/>
      <c r="N388" s="150" t="n"/>
      <c r="O388" s="148" t="n"/>
      <c r="P388" s="148" t="n"/>
      <c r="Q388" s="148" t="n"/>
      <c r="R388" s="148" t="n"/>
      <c r="S388" s="148" t="n"/>
      <c r="T388" s="150" t="n"/>
      <c r="U388" s="150" t="n"/>
      <c r="V388" s="37" t="n"/>
      <c r="W388" s="151" t="n"/>
      <c r="X388" s="151" t="n"/>
      <c r="Y388" s="151" t="n"/>
      <c r="Z388" s="151" t="n"/>
      <c r="AA388" s="151" t="n"/>
      <c r="AB388" s="152" t="n"/>
      <c r="AC388" s="152" t="n"/>
      <c r="AD388" s="152" t="n"/>
      <c r="AE388" s="152" t="n"/>
      <c r="AF388" s="152" t="n"/>
    </row>
    <row r="389" ht="15.75" customHeight="1" s="201">
      <c r="A389" s="97" t="n"/>
      <c r="B389" s="97" t="n"/>
      <c r="C389" s="97" t="n"/>
      <c r="D389" s="97" t="n"/>
      <c r="E389" s="97" t="n"/>
      <c r="F389" s="148" t="n"/>
      <c r="G389" s="148" t="n"/>
      <c r="H389" s="148" t="n"/>
      <c r="I389" s="148" t="n"/>
      <c r="J389" s="149" t="n"/>
      <c r="K389" s="97" t="n"/>
      <c r="L389" s="148" t="n"/>
      <c r="M389" s="148" t="n"/>
      <c r="N389" s="148" t="n"/>
      <c r="O389" s="148" t="n"/>
      <c r="P389" s="148" t="n"/>
      <c r="Q389" s="148" t="n"/>
      <c r="R389" s="148" t="n"/>
      <c r="S389" s="148" t="n"/>
      <c r="T389" s="150" t="n"/>
      <c r="U389" s="150" t="n"/>
      <c r="V389" s="37" t="n"/>
      <c r="W389" s="151" t="n"/>
      <c r="X389" s="151" t="n"/>
      <c r="Y389" s="151" t="n"/>
      <c r="Z389" s="151" t="n"/>
      <c r="AA389" s="151" t="n"/>
      <c r="AB389" s="152" t="n"/>
      <c r="AC389" s="152" t="n"/>
      <c r="AD389" s="152" t="n"/>
      <c r="AE389" s="152" t="n"/>
      <c r="AF389" s="152" t="n"/>
    </row>
    <row r="390" ht="15.75" customHeight="1" s="201">
      <c r="A390" s="97" t="n"/>
      <c r="B390" s="37" t="n"/>
      <c r="C390" s="97" t="n"/>
      <c r="D390" s="97" t="n"/>
      <c r="E390" s="97" t="n"/>
      <c r="F390" s="148" t="n"/>
      <c r="G390" s="148" t="n"/>
      <c r="H390" s="97" t="n"/>
      <c r="I390" s="148" t="n"/>
      <c r="J390" s="149" t="n"/>
      <c r="K390" s="97" t="n"/>
      <c r="L390" s="148" t="n"/>
      <c r="M390" s="148" t="n"/>
      <c r="N390" s="148" t="n"/>
      <c r="O390" s="148" t="n"/>
      <c r="P390" s="148" t="n"/>
      <c r="Q390" s="148" t="n"/>
      <c r="R390" s="148" t="n"/>
      <c r="S390" s="148" t="n"/>
      <c r="T390" s="150" t="n"/>
      <c r="U390" s="150" t="n"/>
      <c r="V390" s="37" t="n"/>
      <c r="W390" s="151" t="n"/>
      <c r="X390" s="151" t="n"/>
      <c r="Y390" s="151" t="n"/>
      <c r="Z390" s="151" t="n"/>
      <c r="AA390" s="151" t="n"/>
      <c r="AB390" s="152" t="n"/>
      <c r="AC390" s="152" t="n"/>
      <c r="AD390" s="152" t="n"/>
      <c r="AE390" s="152" t="n"/>
      <c r="AF390" s="152" t="n"/>
    </row>
    <row r="391" ht="15.75" customHeight="1" s="201">
      <c r="A391" s="97" t="n"/>
      <c r="B391" s="37" t="n"/>
      <c r="C391" s="97" t="n"/>
      <c r="D391" s="97" t="n"/>
      <c r="E391" s="97" t="n"/>
      <c r="F391" s="148" t="n"/>
      <c r="G391" s="148" t="n"/>
      <c r="H391" s="97" t="n"/>
      <c r="I391" s="150" t="n"/>
      <c r="J391" s="149" t="n"/>
      <c r="K391" s="97" t="n"/>
      <c r="L391" s="148" t="n"/>
      <c r="M391" s="148" t="n"/>
      <c r="N391" s="148" t="n"/>
      <c r="O391" s="148" t="n"/>
      <c r="P391" s="148" t="n"/>
      <c r="Q391" s="148" t="n"/>
      <c r="R391" s="148" t="n"/>
      <c r="S391" s="148" t="n"/>
      <c r="T391" s="150" t="n"/>
      <c r="U391" s="150" t="n"/>
      <c r="V391" s="37" t="n"/>
      <c r="W391" s="151" t="n"/>
      <c r="X391" s="151" t="n"/>
      <c r="Y391" s="151" t="n"/>
      <c r="Z391" s="151" t="n"/>
      <c r="AA391" s="151" t="n"/>
      <c r="AB391" s="152" t="n"/>
      <c r="AC391" s="152" t="n"/>
      <c r="AD391" s="152" t="n"/>
      <c r="AE391" s="152" t="n"/>
      <c r="AF391" s="152" t="n"/>
    </row>
    <row r="392" ht="15.75" customHeight="1" s="201">
      <c r="A392" s="97" t="n"/>
      <c r="B392" s="97" t="n"/>
      <c r="C392" s="97" t="n"/>
      <c r="D392" s="97" t="n"/>
      <c r="E392" s="97" t="n"/>
      <c r="F392" s="148" t="n"/>
      <c r="G392" s="148" t="n"/>
      <c r="H392" s="148" t="n"/>
      <c r="I392" s="148" t="n"/>
      <c r="J392" s="149" t="n"/>
      <c r="K392" s="97" t="n"/>
      <c r="L392" s="148" t="n"/>
      <c r="M392" s="148" t="n"/>
      <c r="N392" s="148" t="n"/>
      <c r="O392" s="148" t="n"/>
      <c r="P392" s="148" t="n"/>
      <c r="Q392" s="148" t="n"/>
      <c r="R392" s="148" t="n"/>
      <c r="S392" s="148" t="n"/>
      <c r="T392" s="150" t="n"/>
      <c r="U392" s="150" t="n"/>
      <c r="V392" s="37" t="n"/>
      <c r="W392" s="151" t="n"/>
      <c r="X392" s="151" t="n"/>
      <c r="Y392" s="151" t="n"/>
      <c r="Z392" s="151" t="n"/>
      <c r="AA392" s="151" t="n"/>
      <c r="AB392" s="152" t="n"/>
      <c r="AC392" s="152" t="n"/>
      <c r="AD392" s="152" t="n"/>
      <c r="AE392" s="152" t="n"/>
      <c r="AF392" s="152" t="n"/>
    </row>
    <row r="393" ht="15.75" customHeight="1" s="201">
      <c r="A393" s="97" t="n"/>
      <c r="B393" s="97" t="n"/>
      <c r="C393" s="97" t="n"/>
      <c r="D393" s="97" t="n"/>
      <c r="E393" s="97" t="n"/>
      <c r="F393" s="148" t="n"/>
      <c r="G393" s="148" t="n"/>
      <c r="H393" s="148" t="n"/>
      <c r="I393" s="148" t="n"/>
      <c r="J393" s="149" t="n"/>
      <c r="K393" s="97" t="n"/>
      <c r="L393" s="148" t="n"/>
      <c r="M393" s="148" t="n"/>
      <c r="N393" s="148" t="n"/>
      <c r="O393" s="148" t="n"/>
      <c r="P393" s="148" t="n"/>
      <c r="Q393" s="148" t="n"/>
      <c r="R393" s="148" t="n"/>
      <c r="S393" s="148" t="n"/>
      <c r="T393" s="150" t="n"/>
      <c r="U393" s="150" t="n"/>
      <c r="V393" s="37" t="n"/>
      <c r="W393" s="151" t="n"/>
      <c r="X393" s="151" t="n"/>
      <c r="Y393" s="151" t="n"/>
      <c r="Z393" s="151" t="n"/>
      <c r="AA393" s="151" t="n"/>
      <c r="AB393" s="152" t="n"/>
      <c r="AC393" s="152" t="n"/>
      <c r="AD393" s="152" t="n"/>
      <c r="AE393" s="152" t="n"/>
      <c r="AF393" s="152" t="n"/>
    </row>
    <row r="394" ht="15.75" customHeight="1" s="201">
      <c r="A394" s="97" t="n"/>
      <c r="B394" s="97" t="n"/>
      <c r="C394" s="97" t="n"/>
      <c r="D394" s="97" t="n"/>
      <c r="E394" s="97" t="n"/>
      <c r="F394" s="148" t="n"/>
      <c r="G394" s="148" t="n"/>
      <c r="H394" s="148" t="n"/>
      <c r="I394" s="148" t="n"/>
      <c r="J394" s="149" t="n"/>
      <c r="K394" s="97" t="n"/>
      <c r="L394" s="148" t="n"/>
      <c r="M394" s="148" t="n"/>
      <c r="N394" s="148" t="n"/>
      <c r="O394" s="148" t="n"/>
      <c r="P394" s="148" t="n"/>
      <c r="Q394" s="148" t="n"/>
      <c r="R394" s="148" t="n"/>
      <c r="S394" s="148" t="n"/>
      <c r="T394" s="150" t="n"/>
      <c r="U394" s="150" t="n"/>
      <c r="V394" s="37" t="n"/>
      <c r="W394" s="151" t="n"/>
      <c r="X394" s="151" t="n"/>
      <c r="Y394" s="151" t="n"/>
      <c r="Z394" s="151" t="n"/>
      <c r="AA394" s="151" t="n"/>
      <c r="AB394" s="152" t="n"/>
      <c r="AC394" s="152" t="n"/>
      <c r="AD394" s="152" t="n"/>
      <c r="AE394" s="152" t="n"/>
      <c r="AF394" s="152" t="n"/>
    </row>
    <row r="395" ht="15.75" customHeight="1" s="201">
      <c r="A395" s="97" t="n"/>
      <c r="B395" s="97" t="n"/>
      <c r="C395" s="97" t="n"/>
      <c r="D395" s="97" t="n"/>
      <c r="E395" s="97" t="n"/>
      <c r="F395" s="148" t="n"/>
      <c r="G395" s="148" t="n"/>
      <c r="H395" s="148" t="n"/>
      <c r="I395" s="148" t="n"/>
      <c r="J395" s="149" t="n"/>
      <c r="K395" s="97" t="n"/>
      <c r="L395" s="148" t="n"/>
      <c r="M395" s="148" t="n"/>
      <c r="N395" s="148" t="n"/>
      <c r="O395" s="148" t="n"/>
      <c r="P395" s="148" t="n"/>
      <c r="Q395" s="148" t="n"/>
      <c r="R395" s="148" t="n"/>
      <c r="S395" s="148" t="n"/>
      <c r="T395" s="150" t="n"/>
      <c r="U395" s="150" t="n"/>
      <c r="V395" s="37" t="n"/>
      <c r="W395" s="151" t="n"/>
      <c r="X395" s="151" t="n"/>
      <c r="Y395" s="151" t="n"/>
      <c r="Z395" s="151" t="n"/>
      <c r="AA395" s="151" t="n"/>
      <c r="AB395" s="152" t="n"/>
      <c r="AC395" s="152" t="n"/>
      <c r="AD395" s="152" t="n"/>
      <c r="AE395" s="152" t="n"/>
      <c r="AF395" s="152" t="n"/>
    </row>
    <row r="396" ht="15.75" customHeight="1" s="201">
      <c r="A396" s="97" t="n"/>
      <c r="B396" s="97" t="n"/>
      <c r="C396" s="97" t="n"/>
      <c r="D396" s="97" t="n"/>
      <c r="E396" s="97" t="n"/>
      <c r="F396" s="148" t="n"/>
      <c r="G396" s="148" t="n"/>
      <c r="H396" s="148" t="n"/>
      <c r="I396" s="148" t="n"/>
      <c r="J396" s="149" t="n"/>
      <c r="K396" s="97" t="n"/>
      <c r="L396" s="148" t="n"/>
      <c r="M396" s="148" t="n"/>
      <c r="N396" s="148" t="n"/>
      <c r="O396" s="148" t="n"/>
      <c r="P396" s="148" t="n"/>
      <c r="Q396" s="148" t="n"/>
      <c r="R396" s="148" t="n"/>
      <c r="S396" s="148" t="n"/>
      <c r="T396" s="150" t="n"/>
      <c r="U396" s="150" t="n"/>
      <c r="V396" s="37" t="n"/>
      <c r="W396" s="151" t="n"/>
      <c r="X396" s="151" t="n"/>
      <c r="Y396" s="151" t="n"/>
      <c r="Z396" s="151" t="n"/>
      <c r="AA396" s="151" t="n"/>
      <c r="AB396" s="152" t="n"/>
      <c r="AC396" s="152" t="n"/>
      <c r="AD396" s="152" t="n"/>
      <c r="AE396" s="152" t="n"/>
      <c r="AF396" s="152" t="n"/>
    </row>
    <row r="397" ht="15.75" customHeight="1" s="201">
      <c r="A397" s="97" t="n"/>
      <c r="B397" s="97" t="n"/>
      <c r="C397" s="97" t="n"/>
      <c r="D397" s="97" t="n"/>
      <c r="E397" s="97" t="n"/>
      <c r="F397" s="148" t="n"/>
      <c r="G397" s="148" t="n"/>
      <c r="H397" s="148" t="n"/>
      <c r="I397" s="148" t="n"/>
      <c r="J397" s="149" t="n"/>
      <c r="K397" s="97" t="n"/>
      <c r="L397" s="148" t="n"/>
      <c r="M397" s="148" t="n"/>
      <c r="N397" s="148" t="n"/>
      <c r="O397" s="148" t="n"/>
      <c r="P397" s="148" t="n"/>
      <c r="Q397" s="148" t="n"/>
      <c r="R397" s="148" t="n"/>
      <c r="S397" s="148" t="n"/>
      <c r="T397" s="150" t="n"/>
      <c r="U397" s="150" t="n"/>
      <c r="V397" s="37" t="n"/>
      <c r="W397" s="151" t="n"/>
      <c r="X397" s="151" t="n"/>
      <c r="Y397" s="151" t="n"/>
      <c r="Z397" s="151" t="n"/>
      <c r="AA397" s="151" t="n"/>
      <c r="AB397" s="152" t="n"/>
      <c r="AC397" s="152" t="n"/>
      <c r="AD397" s="152" t="n"/>
      <c r="AE397" s="152" t="n"/>
      <c r="AF397" s="152" t="n"/>
    </row>
    <row r="398" ht="15.75" customHeight="1" s="201">
      <c r="A398" s="97" t="n"/>
      <c r="B398" s="97" t="n"/>
      <c r="C398" s="97" t="n"/>
      <c r="D398" s="97" t="n"/>
      <c r="E398" s="97" t="n"/>
      <c r="F398" s="148" t="n"/>
      <c r="G398" s="148" t="n"/>
      <c r="H398" s="148" t="n"/>
      <c r="I398" s="148" t="n"/>
      <c r="J398" s="149" t="n"/>
      <c r="K398" s="97" t="n"/>
      <c r="L398" s="148" t="n"/>
      <c r="M398" s="148" t="n"/>
      <c r="N398" s="148" t="n"/>
      <c r="O398" s="148" t="n"/>
      <c r="P398" s="148" t="n"/>
      <c r="Q398" s="148" t="n"/>
      <c r="R398" s="148" t="n"/>
      <c r="S398" s="148" t="n"/>
      <c r="T398" s="150" t="n"/>
      <c r="U398" s="150" t="n"/>
      <c r="V398" s="37" t="n"/>
      <c r="W398" s="151" t="n"/>
      <c r="X398" s="151" t="n"/>
      <c r="Y398" s="151" t="n"/>
      <c r="Z398" s="151" t="n"/>
      <c r="AA398" s="151" t="n"/>
      <c r="AB398" s="152" t="n"/>
      <c r="AC398" s="152" t="n"/>
      <c r="AD398" s="152" t="n"/>
      <c r="AE398" s="152" t="n"/>
      <c r="AF398" s="152" t="n"/>
    </row>
    <row r="399" ht="15.75" customHeight="1" s="201">
      <c r="A399" s="97" t="n"/>
      <c r="B399" s="97" t="n"/>
      <c r="C399" s="97" t="n"/>
      <c r="D399" s="97" t="n"/>
      <c r="E399" s="97" t="n"/>
      <c r="F399" s="148" t="n"/>
      <c r="G399" s="148" t="n"/>
      <c r="H399" s="148" t="n"/>
      <c r="I399" s="148" t="n"/>
      <c r="J399" s="149" t="n"/>
      <c r="K399" s="97" t="n"/>
      <c r="L399" s="148" t="n"/>
      <c r="M399" s="148" t="n"/>
      <c r="N399" s="148" t="n"/>
      <c r="O399" s="148" t="n"/>
      <c r="P399" s="148" t="n"/>
      <c r="Q399" s="148" t="n"/>
      <c r="R399" s="148" t="n"/>
      <c r="S399" s="148" t="n"/>
      <c r="T399" s="150" t="n"/>
      <c r="U399" s="150" t="n"/>
      <c r="V399" s="37" t="n"/>
      <c r="W399" s="151" t="n"/>
      <c r="X399" s="151" t="n"/>
      <c r="Y399" s="151" t="n"/>
      <c r="Z399" s="151" t="n"/>
      <c r="AA399" s="151" t="n"/>
      <c r="AB399" s="152" t="n"/>
      <c r="AC399" s="152" t="n"/>
      <c r="AD399" s="152" t="n"/>
      <c r="AE399" s="152" t="n"/>
      <c r="AF399" s="152" t="n"/>
    </row>
    <row r="400" ht="15.75" customHeight="1" s="201">
      <c r="A400" s="97" t="n"/>
      <c r="B400" s="97" t="n"/>
      <c r="C400" s="97" t="n"/>
      <c r="D400" s="97" t="n"/>
      <c r="E400" s="97" t="n"/>
      <c r="F400" s="148" t="n"/>
      <c r="G400" s="148" t="n"/>
      <c r="H400" s="148" t="n"/>
      <c r="I400" s="148" t="n"/>
      <c r="J400" s="149" t="n"/>
      <c r="K400" s="97" t="n"/>
      <c r="L400" s="148" t="n"/>
      <c r="M400" s="148" t="n"/>
      <c r="N400" s="148" t="n"/>
      <c r="O400" s="148" t="n"/>
      <c r="P400" s="148" t="n"/>
      <c r="Q400" s="148" t="n"/>
      <c r="R400" s="148" t="n"/>
      <c r="S400" s="148" t="n"/>
      <c r="T400" s="150" t="n"/>
      <c r="U400" s="150" t="n"/>
      <c r="V400" s="37" t="n"/>
      <c r="W400" s="151" t="n"/>
      <c r="X400" s="151" t="n"/>
      <c r="Y400" s="151" t="n"/>
      <c r="Z400" s="151" t="n"/>
      <c r="AA400" s="151" t="n"/>
      <c r="AB400" s="152" t="n"/>
      <c r="AC400" s="152" t="n"/>
      <c r="AD400" s="152" t="n"/>
      <c r="AE400" s="152" t="n"/>
      <c r="AF400" s="152" t="n"/>
    </row>
    <row r="401" ht="15.75" customHeight="1" s="201">
      <c r="A401" s="97" t="n"/>
      <c r="B401" s="97" t="n"/>
      <c r="C401" s="97" t="n"/>
      <c r="D401" s="97" t="n"/>
      <c r="E401" s="97" t="n"/>
      <c r="F401" s="148" t="n"/>
      <c r="G401" s="148" t="n"/>
      <c r="H401" s="148" t="n"/>
      <c r="I401" s="148" t="n"/>
      <c r="J401" s="149" t="n"/>
      <c r="K401" s="97" t="n"/>
      <c r="L401" s="148" t="n"/>
      <c r="M401" s="148" t="n"/>
      <c r="N401" s="148" t="n"/>
      <c r="O401" s="148" t="n"/>
      <c r="P401" s="148" t="n"/>
      <c r="Q401" s="148" t="n"/>
      <c r="R401" s="148" t="n"/>
      <c r="S401" s="148" t="n"/>
      <c r="T401" s="150" t="n"/>
      <c r="U401" s="150" t="n"/>
      <c r="V401" s="37" t="n"/>
      <c r="W401" s="151" t="n"/>
      <c r="X401" s="151" t="n"/>
      <c r="Y401" s="151" t="n"/>
      <c r="Z401" s="151" t="n"/>
      <c r="AA401" s="151" t="n"/>
      <c r="AB401" s="152" t="n"/>
      <c r="AC401" s="152" t="n"/>
      <c r="AD401" s="152" t="n"/>
      <c r="AE401" s="152" t="n"/>
      <c r="AF401" s="152" t="n"/>
    </row>
    <row r="402" ht="15.75" customHeight="1" s="201">
      <c r="A402" s="97" t="n"/>
      <c r="B402" s="97" t="n"/>
      <c r="C402" s="97" t="n"/>
      <c r="D402" s="97" t="n"/>
      <c r="E402" s="97" t="n"/>
      <c r="F402" s="148" t="n"/>
      <c r="G402" s="148" t="n"/>
      <c r="H402" s="148" t="n"/>
      <c r="I402" s="148" t="n"/>
      <c r="J402" s="149" t="n"/>
      <c r="K402" s="97" t="n"/>
      <c r="L402" s="148" t="n"/>
      <c r="M402" s="148" t="n"/>
      <c r="N402" s="148" t="n"/>
      <c r="O402" s="148" t="n"/>
      <c r="P402" s="148" t="n"/>
      <c r="Q402" s="148" t="n"/>
      <c r="R402" s="148" t="n"/>
      <c r="S402" s="148" t="n"/>
      <c r="T402" s="150" t="n"/>
      <c r="U402" s="150" t="n"/>
      <c r="V402" s="37" t="n"/>
      <c r="W402" s="151" t="n"/>
      <c r="X402" s="151" t="n"/>
      <c r="Y402" s="151" t="n"/>
      <c r="Z402" s="151" t="n"/>
      <c r="AA402" s="151" t="n"/>
      <c r="AB402" s="152" t="n"/>
      <c r="AC402" s="152" t="n"/>
      <c r="AD402" s="152" t="n"/>
      <c r="AE402" s="152" t="n"/>
      <c r="AF402" s="152" t="n"/>
    </row>
    <row r="403" ht="15.75" customHeight="1" s="201">
      <c r="A403" s="97" t="n"/>
      <c r="B403" s="97" t="n"/>
      <c r="C403" s="97" t="n"/>
      <c r="D403" s="97" t="n"/>
      <c r="E403" s="97" t="n"/>
      <c r="F403" s="148" t="n"/>
      <c r="G403" s="148" t="n"/>
      <c r="H403" s="148" t="n"/>
      <c r="I403" s="148" t="n"/>
      <c r="J403" s="149" t="n"/>
      <c r="K403" s="97" t="n"/>
      <c r="L403" s="148" t="n"/>
      <c r="M403" s="148" t="n"/>
      <c r="N403" s="148" t="n"/>
      <c r="O403" s="148" t="n"/>
      <c r="P403" s="148" t="n"/>
      <c r="Q403" s="148" t="n"/>
      <c r="R403" s="148" t="n"/>
      <c r="S403" s="148" t="n"/>
      <c r="T403" s="150" t="n"/>
      <c r="U403" s="150" t="n"/>
      <c r="V403" s="37" t="n"/>
      <c r="W403" s="151" t="n"/>
      <c r="X403" s="151" t="n"/>
      <c r="Y403" s="151" t="n"/>
      <c r="Z403" s="151" t="n"/>
      <c r="AA403" s="151" t="n"/>
      <c r="AB403" s="152" t="n"/>
      <c r="AC403" s="152" t="n"/>
      <c r="AD403" s="152" t="n"/>
      <c r="AE403" s="152" t="n"/>
      <c r="AF403" s="152" t="n"/>
    </row>
    <row r="404" ht="15.75" customHeight="1" s="201">
      <c r="A404" s="97" t="n"/>
      <c r="B404" s="97" t="n"/>
      <c r="C404" s="97" t="n"/>
      <c r="D404" s="97" t="n"/>
      <c r="E404" s="97" t="n"/>
      <c r="F404" s="148" t="n"/>
      <c r="G404" s="148" t="n"/>
      <c r="H404" s="148" t="n"/>
      <c r="I404" s="148" t="n"/>
      <c r="J404" s="149" t="n"/>
      <c r="K404" s="97" t="n"/>
      <c r="L404" s="148" t="n"/>
      <c r="M404" s="148" t="n"/>
      <c r="N404" s="148" t="n"/>
      <c r="O404" s="148" t="n"/>
      <c r="P404" s="148" t="n"/>
      <c r="Q404" s="148" t="n"/>
      <c r="R404" s="148" t="n"/>
      <c r="S404" s="148" t="n"/>
      <c r="T404" s="150" t="n"/>
      <c r="U404" s="150" t="n"/>
      <c r="V404" s="37" t="n"/>
      <c r="W404" s="151" t="n"/>
      <c r="X404" s="151" t="n"/>
      <c r="Y404" s="151" t="n"/>
      <c r="Z404" s="151" t="n"/>
      <c r="AA404" s="151" t="n"/>
      <c r="AB404" s="152" t="n"/>
      <c r="AC404" s="152" t="n"/>
      <c r="AD404" s="152" t="n"/>
      <c r="AE404" s="152" t="n"/>
      <c r="AF404" s="152" t="n"/>
    </row>
    <row r="405" ht="15.75" customHeight="1" s="201">
      <c r="A405" s="97" t="n"/>
      <c r="B405" s="97" t="n"/>
      <c r="C405" s="97" t="n"/>
      <c r="D405" s="97" t="n"/>
      <c r="E405" s="97" t="n"/>
      <c r="F405" s="148" t="n"/>
      <c r="G405" s="148" t="n"/>
      <c r="H405" s="148" t="n"/>
      <c r="I405" s="148" t="n"/>
      <c r="J405" s="149" t="n"/>
      <c r="K405" s="97" t="n"/>
      <c r="L405" s="148" t="n"/>
      <c r="M405" s="148" t="n"/>
      <c r="N405" s="148" t="n"/>
      <c r="O405" s="148" t="n"/>
      <c r="P405" s="148" t="n"/>
      <c r="Q405" s="148" t="n"/>
      <c r="R405" s="148" t="n"/>
      <c r="S405" s="148" t="n"/>
      <c r="T405" s="150" t="n"/>
      <c r="U405" s="150" t="n"/>
      <c r="V405" s="37" t="n"/>
      <c r="W405" s="151" t="n"/>
      <c r="X405" s="151" t="n"/>
      <c r="Y405" s="151" t="n"/>
      <c r="Z405" s="151" t="n"/>
      <c r="AA405" s="151" t="n"/>
      <c r="AB405" s="152" t="n"/>
      <c r="AC405" s="152" t="n"/>
      <c r="AD405" s="152" t="n"/>
      <c r="AE405" s="152" t="n"/>
      <c r="AF405" s="152" t="n"/>
    </row>
    <row r="406" ht="15.75" customHeight="1" s="201">
      <c r="A406" s="97" t="n"/>
      <c r="B406" s="97" t="n"/>
      <c r="C406" s="97" t="n"/>
      <c r="D406" s="97" t="n"/>
      <c r="E406" s="97" t="n"/>
      <c r="F406" s="148" t="n"/>
      <c r="G406" s="148" t="n"/>
      <c r="H406" s="148" t="n"/>
      <c r="I406" s="148" t="n"/>
      <c r="J406" s="149" t="n"/>
      <c r="K406" s="97" t="n"/>
      <c r="L406" s="148" t="n"/>
      <c r="M406" s="148" t="n"/>
      <c r="N406" s="148" t="n"/>
      <c r="O406" s="148" t="n"/>
      <c r="P406" s="148" t="n"/>
      <c r="Q406" s="148" t="n"/>
      <c r="R406" s="148" t="n"/>
      <c r="S406" s="148" t="n"/>
      <c r="T406" s="150" t="n"/>
      <c r="U406" s="150" t="n"/>
      <c r="V406" s="37" t="n"/>
      <c r="W406" s="151" t="n"/>
      <c r="X406" s="151" t="n"/>
      <c r="Y406" s="151" t="n"/>
      <c r="Z406" s="151" t="n"/>
      <c r="AA406" s="151" t="n"/>
      <c r="AB406" s="152" t="n"/>
      <c r="AC406" s="152" t="n"/>
      <c r="AD406" s="152" t="n"/>
      <c r="AE406" s="152" t="n"/>
      <c r="AF406" s="152" t="n"/>
    </row>
    <row r="407" ht="15.75" customHeight="1" s="201">
      <c r="A407" s="97" t="n"/>
      <c r="B407" s="97" t="n"/>
      <c r="C407" s="97" t="n"/>
      <c r="D407" s="97" t="n"/>
      <c r="E407" s="97" t="n"/>
      <c r="F407" s="148" t="n"/>
      <c r="G407" s="148" t="n"/>
      <c r="H407" s="148" t="n"/>
      <c r="I407" s="148" t="n"/>
      <c r="J407" s="149" t="n"/>
      <c r="K407" s="97" t="n"/>
      <c r="L407" s="148" t="n"/>
      <c r="M407" s="148" t="n"/>
      <c r="N407" s="148" t="n"/>
      <c r="O407" s="148" t="n"/>
      <c r="P407" s="148" t="n"/>
      <c r="Q407" s="148" t="n"/>
      <c r="R407" s="148" t="n"/>
      <c r="S407" s="148" t="n"/>
      <c r="T407" s="150" t="n"/>
      <c r="U407" s="150" t="n"/>
      <c r="V407" s="37" t="n"/>
      <c r="W407" s="151" t="n"/>
      <c r="X407" s="151" t="n"/>
      <c r="Y407" s="151" t="n"/>
      <c r="Z407" s="151" t="n"/>
      <c r="AA407" s="151" t="n"/>
      <c r="AB407" s="152" t="n"/>
      <c r="AC407" s="152" t="n"/>
      <c r="AD407" s="152" t="n"/>
      <c r="AE407" s="152" t="n"/>
      <c r="AF407" s="152" t="n"/>
    </row>
    <row r="408" ht="15.75" customHeight="1" s="201">
      <c r="A408" s="97" t="n"/>
      <c r="B408" s="97" t="n"/>
      <c r="C408" s="97" t="n"/>
      <c r="D408" s="97" t="n"/>
      <c r="E408" s="97" t="n"/>
      <c r="F408" s="148" t="n"/>
      <c r="G408" s="148" t="n"/>
      <c r="H408" s="148" t="n"/>
      <c r="I408" s="148" t="n"/>
      <c r="J408" s="149" t="n"/>
      <c r="K408" s="97" t="n"/>
      <c r="L408" s="148" t="n"/>
      <c r="M408" s="148" t="n"/>
      <c r="N408" s="148" t="n"/>
      <c r="O408" s="148" t="n"/>
      <c r="P408" s="148" t="n"/>
      <c r="Q408" s="148" t="n"/>
      <c r="R408" s="148" t="n"/>
      <c r="S408" s="148" t="n"/>
      <c r="T408" s="150" t="n"/>
      <c r="U408" s="150" t="n"/>
      <c r="V408" s="37" t="n"/>
      <c r="W408" s="151" t="n"/>
      <c r="X408" s="151" t="n"/>
      <c r="Y408" s="151" t="n"/>
      <c r="Z408" s="151" t="n"/>
      <c r="AA408" s="151" t="n"/>
      <c r="AB408" s="152" t="n"/>
      <c r="AC408" s="152" t="n"/>
      <c r="AD408" s="152" t="n"/>
      <c r="AE408" s="152" t="n"/>
      <c r="AF408" s="152" t="n"/>
    </row>
    <row r="409" ht="15.75" customHeight="1" s="201">
      <c r="A409" s="97" t="n"/>
      <c r="B409" s="97" t="n"/>
      <c r="C409" s="97" t="n"/>
      <c r="D409" s="97" t="n"/>
      <c r="E409" s="97" t="n"/>
      <c r="F409" s="148" t="n"/>
      <c r="G409" s="148" t="n"/>
      <c r="H409" s="148" t="n"/>
      <c r="I409" s="148" t="n"/>
      <c r="J409" s="149" t="n"/>
      <c r="K409" s="97" t="n"/>
      <c r="L409" s="148" t="n"/>
      <c r="M409" s="148" t="n"/>
      <c r="N409" s="148" t="n"/>
      <c r="O409" s="148" t="n"/>
      <c r="P409" s="148" t="n"/>
      <c r="Q409" s="148" t="n"/>
      <c r="R409" s="148" t="n"/>
      <c r="S409" s="148" t="n"/>
      <c r="T409" s="150" t="n"/>
      <c r="U409" s="150" t="n"/>
      <c r="V409" s="37" t="n"/>
      <c r="W409" s="151" t="n"/>
      <c r="X409" s="151" t="n"/>
      <c r="Y409" s="151" t="n"/>
      <c r="Z409" s="151" t="n"/>
      <c r="AA409" s="151" t="n"/>
      <c r="AB409" s="152" t="n"/>
      <c r="AC409" s="152" t="n"/>
      <c r="AD409" s="152" t="n"/>
      <c r="AE409" s="152" t="n"/>
      <c r="AF409" s="152" t="n"/>
    </row>
    <row r="410" ht="15.75" customHeight="1" s="201">
      <c r="A410" s="97" t="n"/>
      <c r="B410" s="97" t="n"/>
      <c r="C410" s="97" t="n"/>
      <c r="D410" s="97" t="n"/>
      <c r="E410" s="97" t="n"/>
      <c r="F410" s="148" t="n"/>
      <c r="G410" s="148" t="n"/>
      <c r="H410" s="148" t="n"/>
      <c r="I410" s="148" t="n"/>
      <c r="J410" s="149" t="n"/>
      <c r="K410" s="97" t="n"/>
      <c r="L410" s="148" t="n"/>
      <c r="M410" s="148" t="n"/>
      <c r="N410" s="148" t="n"/>
      <c r="O410" s="148" t="n"/>
      <c r="P410" s="148" t="n"/>
      <c r="Q410" s="148" t="n"/>
      <c r="R410" s="148" t="n"/>
      <c r="S410" s="148" t="n"/>
      <c r="T410" s="150" t="n"/>
      <c r="U410" s="150" t="n"/>
      <c r="V410" s="37" t="n"/>
      <c r="W410" s="151" t="n"/>
      <c r="X410" s="151" t="n"/>
      <c r="Y410" s="151" t="n"/>
      <c r="Z410" s="151" t="n"/>
      <c r="AA410" s="151" t="n"/>
      <c r="AB410" s="152" t="n"/>
      <c r="AC410" s="152" t="n"/>
      <c r="AD410" s="152" t="n"/>
      <c r="AE410" s="152" t="n"/>
      <c r="AF410" s="152" t="n"/>
    </row>
    <row r="411" ht="15.75" customHeight="1" s="201">
      <c r="A411" s="97" t="n"/>
      <c r="B411" s="97" t="n"/>
      <c r="C411" s="97" t="n"/>
      <c r="D411" s="97" t="n"/>
      <c r="E411" s="97" t="n"/>
      <c r="F411" s="148" t="n"/>
      <c r="G411" s="148" t="n"/>
      <c r="H411" s="148" t="n"/>
      <c r="I411" s="148" t="n"/>
      <c r="J411" s="149" t="n"/>
      <c r="K411" s="97" t="n"/>
      <c r="L411" s="148" t="n"/>
      <c r="M411" s="148" t="n"/>
      <c r="N411" s="148" t="n"/>
      <c r="O411" s="148" t="n"/>
      <c r="P411" s="148" t="n"/>
      <c r="Q411" s="148" t="n"/>
      <c r="R411" s="148" t="n"/>
      <c r="S411" s="148" t="n"/>
      <c r="T411" s="150" t="n"/>
      <c r="U411" s="150" t="n"/>
      <c r="V411" s="37" t="n"/>
      <c r="W411" s="151" t="n"/>
      <c r="X411" s="151" t="n"/>
      <c r="Y411" s="151" t="n"/>
      <c r="Z411" s="151" t="n"/>
      <c r="AA411" s="151" t="n"/>
      <c r="AB411" s="152" t="n"/>
      <c r="AC411" s="152" t="n"/>
      <c r="AD411" s="152" t="n"/>
      <c r="AE411" s="152" t="n"/>
      <c r="AF411" s="152" t="n"/>
    </row>
    <row r="412" ht="15.75" customHeight="1" s="201">
      <c r="A412" s="97" t="n"/>
      <c r="B412" s="97" t="n"/>
      <c r="C412" s="97" t="n"/>
      <c r="D412" s="97" t="n"/>
      <c r="E412" s="97" t="n"/>
      <c r="F412" s="148" t="n"/>
      <c r="G412" s="148" t="n"/>
      <c r="H412" s="148" t="n"/>
      <c r="I412" s="148" t="n"/>
      <c r="J412" s="149" t="n"/>
      <c r="K412" s="97" t="n"/>
      <c r="L412" s="148" t="n"/>
      <c r="M412" s="148" t="n"/>
      <c r="N412" s="148" t="n"/>
      <c r="O412" s="148" t="n"/>
      <c r="P412" s="148" t="n"/>
      <c r="Q412" s="148" t="n"/>
      <c r="R412" s="148" t="n"/>
      <c r="S412" s="148" t="n"/>
      <c r="T412" s="150" t="n"/>
      <c r="U412" s="150" t="n"/>
      <c r="V412" s="37" t="n"/>
      <c r="W412" s="151" t="n"/>
      <c r="X412" s="151" t="n"/>
      <c r="Y412" s="151" t="n"/>
      <c r="Z412" s="151" t="n"/>
      <c r="AA412" s="151" t="n"/>
      <c r="AB412" s="152" t="n"/>
      <c r="AC412" s="152" t="n"/>
      <c r="AD412" s="152" t="n"/>
      <c r="AE412" s="152" t="n"/>
      <c r="AF412" s="152" t="n"/>
    </row>
    <row r="413" ht="15.75" customHeight="1" s="201">
      <c r="A413" s="97" t="n"/>
      <c r="B413" s="97" t="n"/>
      <c r="C413" s="97" t="n"/>
      <c r="D413" s="97" t="n"/>
      <c r="E413" s="97" t="n"/>
      <c r="F413" s="148" t="n"/>
      <c r="G413" s="148" t="n"/>
      <c r="H413" s="148" t="n"/>
      <c r="I413" s="148" t="n"/>
      <c r="J413" s="149" t="n"/>
      <c r="K413" s="97" t="n"/>
      <c r="L413" s="148" t="n"/>
      <c r="M413" s="148" t="n"/>
      <c r="N413" s="148" t="n"/>
      <c r="O413" s="148" t="n"/>
      <c r="P413" s="148" t="n"/>
      <c r="Q413" s="148" t="n"/>
      <c r="R413" s="148" t="n"/>
      <c r="S413" s="148" t="n"/>
      <c r="T413" s="150" t="n"/>
      <c r="U413" s="150" t="n"/>
      <c r="V413" s="37" t="n"/>
      <c r="W413" s="151" t="n"/>
      <c r="X413" s="151" t="n"/>
      <c r="Y413" s="151" t="n"/>
      <c r="Z413" s="151" t="n"/>
      <c r="AA413" s="151" t="n"/>
      <c r="AB413" s="152" t="n"/>
      <c r="AC413" s="152" t="n"/>
      <c r="AD413" s="152" t="n"/>
      <c r="AE413" s="152" t="n"/>
      <c r="AF413" s="152" t="n"/>
    </row>
    <row r="414" ht="15.75" customHeight="1" s="201">
      <c r="A414" s="97" t="n"/>
      <c r="B414" s="97" t="n"/>
      <c r="C414" s="97" t="n"/>
      <c r="D414" s="97" t="n"/>
      <c r="E414" s="97" t="n"/>
      <c r="F414" s="148" t="n"/>
      <c r="G414" s="148" t="n"/>
      <c r="H414" s="148" t="n"/>
      <c r="I414" s="148" t="n"/>
      <c r="J414" s="149" t="n"/>
      <c r="K414" s="97" t="n"/>
      <c r="L414" s="148" t="n"/>
      <c r="M414" s="148" t="n"/>
      <c r="N414" s="148" t="n"/>
      <c r="O414" s="148" t="n"/>
      <c r="P414" s="148" t="n"/>
      <c r="Q414" s="148" t="n"/>
      <c r="R414" s="148" t="n"/>
      <c r="S414" s="148" t="n"/>
      <c r="T414" s="150" t="n"/>
      <c r="U414" s="150" t="n"/>
      <c r="V414" s="37" t="n"/>
      <c r="W414" s="151" t="n"/>
      <c r="X414" s="151" t="n"/>
      <c r="Y414" s="151" t="n"/>
      <c r="Z414" s="151" t="n"/>
      <c r="AA414" s="151" t="n"/>
      <c r="AB414" s="152" t="n"/>
      <c r="AC414" s="152" t="n"/>
      <c r="AD414" s="152" t="n"/>
      <c r="AE414" s="152" t="n"/>
      <c r="AF414" s="152" t="n"/>
    </row>
    <row r="415" ht="15.75" customHeight="1" s="201">
      <c r="A415" s="97" t="n"/>
      <c r="B415" s="97" t="n"/>
      <c r="C415" s="97" t="n"/>
      <c r="D415" s="97" t="n"/>
      <c r="E415" s="97" t="n"/>
      <c r="F415" s="148" t="n"/>
      <c r="G415" s="148" t="n"/>
      <c r="H415" s="148" t="n"/>
      <c r="I415" s="148" t="n"/>
      <c r="J415" s="149" t="n"/>
      <c r="K415" s="97" t="n"/>
      <c r="L415" s="148" t="n"/>
      <c r="M415" s="148" t="n"/>
      <c r="N415" s="148" t="n"/>
      <c r="O415" s="148" t="n"/>
      <c r="P415" s="148" t="n"/>
      <c r="Q415" s="148" t="n"/>
      <c r="R415" s="148" t="n"/>
      <c r="S415" s="148" t="n"/>
      <c r="T415" s="150" t="n"/>
      <c r="U415" s="150" t="n"/>
      <c r="V415" s="37" t="n"/>
      <c r="W415" s="151" t="n"/>
      <c r="X415" s="151" t="n"/>
      <c r="Y415" s="151" t="n"/>
      <c r="Z415" s="151" t="n"/>
      <c r="AA415" s="151" t="n"/>
      <c r="AB415" s="152" t="n"/>
      <c r="AC415" s="152" t="n"/>
      <c r="AD415" s="152" t="n"/>
      <c r="AE415" s="152" t="n"/>
      <c r="AF415" s="152" t="n"/>
    </row>
    <row r="416" ht="15.75" customHeight="1" s="201">
      <c r="A416" s="97" t="n"/>
      <c r="B416" s="97" t="n"/>
      <c r="C416" s="97" t="n"/>
      <c r="D416" s="97" t="n"/>
      <c r="E416" s="97" t="n"/>
      <c r="F416" s="148" t="n"/>
      <c r="G416" s="148" t="n"/>
      <c r="H416" s="148" t="n"/>
      <c r="I416" s="148" t="n"/>
      <c r="J416" s="149" t="n"/>
      <c r="K416" s="97" t="n"/>
      <c r="L416" s="148" t="n"/>
      <c r="M416" s="148" t="n"/>
      <c r="N416" s="148" t="n"/>
      <c r="O416" s="148" t="n"/>
      <c r="P416" s="148" t="n"/>
      <c r="Q416" s="148" t="n"/>
      <c r="R416" s="148" t="n"/>
      <c r="S416" s="148" t="n"/>
      <c r="T416" s="150" t="n"/>
      <c r="U416" s="150" t="n"/>
      <c r="V416" s="37" t="n"/>
      <c r="W416" s="151" t="n"/>
      <c r="X416" s="151" t="n"/>
      <c r="Y416" s="151" t="n"/>
      <c r="Z416" s="151" t="n"/>
      <c r="AA416" s="151" t="n"/>
      <c r="AB416" s="152" t="n"/>
      <c r="AC416" s="152" t="n"/>
      <c r="AD416" s="152" t="n"/>
      <c r="AE416" s="152" t="n"/>
      <c r="AF416" s="152" t="n"/>
    </row>
    <row r="417" ht="15.75" customHeight="1" s="201">
      <c r="A417" s="97" t="n"/>
      <c r="B417" s="97" t="n"/>
      <c r="C417" s="97" t="n"/>
      <c r="D417" s="97" t="n"/>
      <c r="E417" s="97" t="n"/>
      <c r="F417" s="148" t="n"/>
      <c r="G417" s="148" t="n"/>
      <c r="H417" s="148" t="n"/>
      <c r="I417" s="148" t="n"/>
      <c r="J417" s="149" t="n"/>
      <c r="K417" s="97" t="n"/>
      <c r="L417" s="148" t="n"/>
      <c r="M417" s="148" t="n"/>
      <c r="N417" s="148" t="n"/>
      <c r="O417" s="148" t="n"/>
      <c r="P417" s="148" t="n"/>
      <c r="Q417" s="148" t="n"/>
      <c r="R417" s="148" t="n"/>
      <c r="S417" s="148" t="n"/>
      <c r="T417" s="150" t="n"/>
      <c r="U417" s="150" t="n"/>
      <c r="V417" s="37" t="n"/>
      <c r="W417" s="151" t="n"/>
      <c r="X417" s="151" t="n"/>
      <c r="Y417" s="151" t="n"/>
      <c r="Z417" s="151" t="n"/>
      <c r="AA417" s="151" t="n"/>
      <c r="AB417" s="152" t="n"/>
      <c r="AC417" s="152" t="n"/>
      <c r="AD417" s="152" t="n"/>
      <c r="AE417" s="152" t="n"/>
      <c r="AF417" s="152" t="n"/>
    </row>
    <row r="418" ht="15.75" customHeight="1" s="201">
      <c r="A418" s="97" t="n"/>
      <c r="B418" s="97" t="n"/>
      <c r="C418" s="97" t="n"/>
      <c r="D418" s="97" t="n"/>
      <c r="E418" s="97" t="n"/>
      <c r="F418" s="148" t="n"/>
      <c r="G418" s="148" t="n"/>
      <c r="H418" s="148" t="n"/>
      <c r="I418" s="148" t="n"/>
      <c r="J418" s="149" t="n"/>
      <c r="K418" s="97" t="n"/>
      <c r="L418" s="148" t="n"/>
      <c r="M418" s="148" t="n"/>
      <c r="N418" s="148" t="n"/>
      <c r="O418" s="148" t="n"/>
      <c r="P418" s="148" t="n"/>
      <c r="Q418" s="148" t="n"/>
      <c r="R418" s="148" t="n"/>
      <c r="S418" s="148" t="n"/>
      <c r="T418" s="150" t="n"/>
      <c r="U418" s="150" t="n"/>
      <c r="V418" s="37" t="n"/>
      <c r="W418" s="151" t="n"/>
      <c r="X418" s="151" t="n"/>
      <c r="Y418" s="151" t="n"/>
      <c r="Z418" s="151" t="n"/>
      <c r="AA418" s="151" t="n"/>
      <c r="AB418" s="152" t="n"/>
      <c r="AC418" s="152" t="n"/>
      <c r="AD418" s="152" t="n"/>
      <c r="AE418" s="152" t="n"/>
      <c r="AF418" s="152" t="n"/>
    </row>
    <row r="419" ht="15.75" customHeight="1" s="201">
      <c r="A419" s="97" t="n"/>
      <c r="B419" s="97" t="n"/>
      <c r="C419" s="97" t="n"/>
      <c r="D419" s="97" t="n"/>
      <c r="E419" s="97" t="n"/>
      <c r="F419" s="148" t="n"/>
      <c r="G419" s="148" t="n"/>
      <c r="H419" s="148" t="n"/>
      <c r="I419" s="148" t="n"/>
      <c r="J419" s="149" t="n"/>
      <c r="K419" s="97" t="n"/>
      <c r="L419" s="148" t="n"/>
      <c r="M419" s="148" t="n"/>
      <c r="N419" s="148" t="n"/>
      <c r="O419" s="148" t="n"/>
      <c r="P419" s="148" t="n"/>
      <c r="Q419" s="148" t="n"/>
      <c r="R419" s="148" t="n"/>
      <c r="S419" s="148" t="n"/>
      <c r="T419" s="150" t="n"/>
      <c r="U419" s="150" t="n"/>
      <c r="V419" s="37" t="n"/>
      <c r="W419" s="151" t="n"/>
      <c r="X419" s="151" t="n"/>
      <c r="Y419" s="151" t="n"/>
      <c r="Z419" s="151" t="n"/>
      <c r="AA419" s="151" t="n"/>
      <c r="AB419" s="152" t="n"/>
      <c r="AC419" s="152" t="n"/>
      <c r="AD419" s="152" t="n"/>
      <c r="AE419" s="152" t="n"/>
      <c r="AF419" s="152" t="n"/>
    </row>
    <row r="420" ht="15.75" customHeight="1" s="201">
      <c r="A420" s="97" t="n"/>
      <c r="B420" s="97" t="n"/>
      <c r="C420" s="97" t="n"/>
      <c r="D420" s="97" t="n"/>
      <c r="E420" s="97" t="n"/>
      <c r="F420" s="148" t="n"/>
      <c r="G420" s="148" t="n"/>
      <c r="H420" s="148" t="n"/>
      <c r="I420" s="148" t="n"/>
      <c r="J420" s="149" t="n"/>
      <c r="K420" s="97" t="n"/>
      <c r="L420" s="148" t="n"/>
      <c r="M420" s="148" t="n"/>
      <c r="N420" s="148" t="n"/>
      <c r="O420" s="148" t="n"/>
      <c r="P420" s="148" t="n"/>
      <c r="Q420" s="148" t="n"/>
      <c r="R420" s="148" t="n"/>
      <c r="S420" s="148" t="n"/>
      <c r="T420" s="150" t="n"/>
      <c r="U420" s="150" t="n"/>
      <c r="V420" s="37" t="n"/>
      <c r="W420" s="151" t="n"/>
      <c r="X420" s="151" t="n"/>
      <c r="Y420" s="151" t="n"/>
      <c r="Z420" s="151" t="n"/>
      <c r="AA420" s="151" t="n"/>
      <c r="AB420" s="152" t="n"/>
      <c r="AC420" s="152" t="n"/>
      <c r="AD420" s="152" t="n"/>
      <c r="AE420" s="152" t="n"/>
      <c r="AF420" s="152" t="n"/>
    </row>
    <row r="421" ht="15.75" customHeight="1" s="201">
      <c r="A421" s="97" t="n"/>
      <c r="B421" s="97" t="n"/>
      <c r="C421" s="97" t="n"/>
      <c r="D421" s="97" t="n"/>
      <c r="E421" s="97" t="n"/>
      <c r="F421" s="148" t="n"/>
      <c r="G421" s="148" t="n"/>
      <c r="H421" s="148" t="n"/>
      <c r="I421" s="148" t="n"/>
      <c r="J421" s="149" t="n"/>
      <c r="K421" s="97" t="n"/>
      <c r="L421" s="148" t="n"/>
      <c r="M421" s="148" t="n"/>
      <c r="N421" s="148" t="n"/>
      <c r="O421" s="148" t="n"/>
      <c r="P421" s="148" t="n"/>
      <c r="Q421" s="148" t="n"/>
      <c r="R421" s="148" t="n"/>
      <c r="S421" s="148" t="n"/>
      <c r="T421" s="150" t="n"/>
      <c r="U421" s="150" t="n"/>
      <c r="V421" s="37" t="n"/>
      <c r="W421" s="151" t="n"/>
      <c r="X421" s="151" t="n"/>
      <c r="Y421" s="151" t="n"/>
      <c r="Z421" s="151" t="n"/>
      <c r="AA421" s="151" t="n"/>
      <c r="AB421" s="152" t="n"/>
      <c r="AC421" s="152" t="n"/>
      <c r="AD421" s="152" t="n"/>
      <c r="AE421" s="152" t="n"/>
      <c r="AF421" s="152" t="n"/>
    </row>
    <row r="422" ht="15.75" customHeight="1" s="201">
      <c r="A422" s="97" t="n"/>
      <c r="B422" s="97" t="n"/>
      <c r="C422" s="97" t="n"/>
      <c r="D422" s="97" t="n"/>
      <c r="E422" s="97" t="n"/>
      <c r="F422" s="148" t="n"/>
      <c r="G422" s="148" t="n"/>
      <c r="H422" s="148" t="n"/>
      <c r="I422" s="148" t="n"/>
      <c r="J422" s="149" t="n"/>
      <c r="K422" s="97" t="n"/>
      <c r="L422" s="148" t="n"/>
      <c r="M422" s="148" t="n"/>
      <c r="N422" s="148" t="n"/>
      <c r="O422" s="148" t="n"/>
      <c r="P422" s="148" t="n"/>
      <c r="Q422" s="148" t="n"/>
      <c r="R422" s="148" t="n"/>
      <c r="S422" s="148" t="n"/>
      <c r="T422" s="150" t="n"/>
      <c r="U422" s="150" t="n"/>
      <c r="V422" s="37" t="n"/>
      <c r="W422" s="151" t="n"/>
      <c r="X422" s="151" t="n"/>
      <c r="Y422" s="151" t="n"/>
      <c r="Z422" s="151" t="n"/>
      <c r="AA422" s="151" t="n"/>
      <c r="AB422" s="152" t="n"/>
      <c r="AC422" s="152" t="n"/>
      <c r="AD422" s="152" t="n"/>
      <c r="AE422" s="152" t="n"/>
      <c r="AF422" s="152" t="n"/>
    </row>
    <row r="423" ht="15.75" customHeight="1" s="201">
      <c r="A423" s="97" t="n"/>
      <c r="B423" s="97" t="n"/>
      <c r="C423" s="97" t="n"/>
      <c r="D423" s="97" t="n"/>
      <c r="E423" s="97" t="n"/>
      <c r="F423" s="148" t="n"/>
      <c r="G423" s="148" t="n"/>
      <c r="H423" s="148" t="n"/>
      <c r="I423" s="148" t="n"/>
      <c r="J423" s="149" t="n"/>
      <c r="K423" s="97" t="n"/>
      <c r="L423" s="148" t="n"/>
      <c r="M423" s="148" t="n"/>
      <c r="N423" s="148" t="n"/>
      <c r="O423" s="148" t="n"/>
      <c r="P423" s="148" t="n"/>
      <c r="Q423" s="148" t="n"/>
      <c r="R423" s="148" t="n"/>
      <c r="S423" s="148" t="n"/>
      <c r="T423" s="150" t="n"/>
      <c r="U423" s="150" t="n"/>
      <c r="V423" s="37" t="n"/>
      <c r="W423" s="151" t="n"/>
      <c r="X423" s="151" t="n"/>
      <c r="Y423" s="151" t="n"/>
      <c r="Z423" s="151" t="n"/>
      <c r="AA423" s="151" t="n"/>
      <c r="AB423" s="152" t="n"/>
      <c r="AC423" s="152" t="n"/>
      <c r="AD423" s="152" t="n"/>
      <c r="AE423" s="152" t="n"/>
      <c r="AF423" s="152" t="n"/>
    </row>
    <row r="424" ht="15.75" customHeight="1" s="201">
      <c r="A424" s="97" t="n"/>
      <c r="B424" s="97" t="n"/>
      <c r="C424" s="97" t="n"/>
      <c r="D424" s="97" t="n"/>
      <c r="E424" s="97" t="n"/>
      <c r="F424" s="148" t="n"/>
      <c r="G424" s="148" t="n"/>
      <c r="H424" s="148" t="n"/>
      <c r="I424" s="148" t="n"/>
      <c r="J424" s="149" t="n"/>
      <c r="K424" s="97" t="n"/>
      <c r="L424" s="148" t="n"/>
      <c r="M424" s="148" t="n"/>
      <c r="N424" s="148" t="n"/>
      <c r="O424" s="148" t="n"/>
      <c r="P424" s="148" t="n"/>
      <c r="Q424" s="148" t="n"/>
      <c r="R424" s="148" t="n"/>
      <c r="S424" s="148" t="n"/>
      <c r="T424" s="150" t="n"/>
      <c r="U424" s="150" t="n"/>
      <c r="V424" s="37" t="n"/>
      <c r="W424" s="151" t="n"/>
      <c r="X424" s="151" t="n"/>
      <c r="Y424" s="151" t="n"/>
      <c r="Z424" s="151" t="n"/>
      <c r="AA424" s="151" t="n"/>
      <c r="AB424" s="152" t="n"/>
      <c r="AC424" s="152" t="n"/>
      <c r="AD424" s="152" t="n"/>
      <c r="AE424" s="152" t="n"/>
      <c r="AF424" s="152" t="n"/>
    </row>
    <row r="425" ht="15.75" customHeight="1" s="201">
      <c r="A425" s="97" t="n"/>
      <c r="B425" s="97" t="n"/>
      <c r="C425" s="97" t="n"/>
      <c r="D425" s="97" t="n"/>
      <c r="E425" s="97" t="n"/>
      <c r="F425" s="148" t="n"/>
      <c r="G425" s="148" t="n"/>
      <c r="H425" s="148" t="n"/>
      <c r="I425" s="148" t="n"/>
      <c r="J425" s="149" t="n"/>
      <c r="K425" s="97" t="n"/>
      <c r="L425" s="148" t="n"/>
      <c r="M425" s="148" t="n"/>
      <c r="N425" s="148" t="n"/>
      <c r="O425" s="148" t="n"/>
      <c r="P425" s="148" t="n"/>
      <c r="Q425" s="148" t="n"/>
      <c r="R425" s="148" t="n"/>
      <c r="S425" s="148" t="n"/>
      <c r="T425" s="150" t="n"/>
      <c r="U425" s="150" t="n"/>
      <c r="V425" s="37" t="n"/>
      <c r="W425" s="151" t="n"/>
      <c r="X425" s="151" t="n"/>
      <c r="Y425" s="151" t="n"/>
      <c r="Z425" s="151" t="n"/>
      <c r="AA425" s="151" t="n"/>
      <c r="AB425" s="152" t="n"/>
      <c r="AC425" s="152" t="n"/>
      <c r="AD425" s="152" t="n"/>
      <c r="AE425" s="152" t="n"/>
      <c r="AF425" s="152" t="n"/>
    </row>
    <row r="426" ht="15.75" customHeight="1" s="201">
      <c r="A426" s="97" t="n"/>
      <c r="B426" s="97" t="n"/>
      <c r="C426" s="97" t="n"/>
      <c r="D426" s="97" t="n"/>
      <c r="E426" s="97" t="n"/>
      <c r="F426" s="148" t="n"/>
      <c r="G426" s="148" t="n"/>
      <c r="H426" s="148" t="n"/>
      <c r="I426" s="148" t="n"/>
      <c r="J426" s="149" t="n"/>
      <c r="K426" s="97" t="n"/>
      <c r="L426" s="148" t="n"/>
      <c r="M426" s="148" t="n"/>
      <c r="N426" s="148" t="n"/>
      <c r="O426" s="148" t="n"/>
      <c r="P426" s="148" t="n"/>
      <c r="Q426" s="148" t="n"/>
      <c r="R426" s="148" t="n"/>
      <c r="S426" s="148" t="n"/>
      <c r="T426" s="150" t="n"/>
      <c r="U426" s="150" t="n"/>
      <c r="V426" s="37" t="n"/>
      <c r="W426" s="151" t="n"/>
      <c r="X426" s="151" t="n"/>
      <c r="Y426" s="151" t="n"/>
      <c r="Z426" s="151" t="n"/>
      <c r="AA426" s="151" t="n"/>
      <c r="AB426" s="152" t="n"/>
      <c r="AC426" s="152" t="n"/>
      <c r="AD426" s="152" t="n"/>
      <c r="AE426" s="152" t="n"/>
      <c r="AF426" s="152" t="n"/>
    </row>
    <row r="427" ht="15.75" customHeight="1" s="201">
      <c r="A427" s="97" t="n"/>
      <c r="B427" s="97" t="n"/>
      <c r="C427" s="97" t="n"/>
      <c r="D427" s="97" t="n"/>
      <c r="E427" s="97" t="n"/>
      <c r="F427" s="148" t="n"/>
      <c r="G427" s="148" t="n"/>
      <c r="H427" s="148" t="n"/>
      <c r="I427" s="148" t="n"/>
      <c r="J427" s="149" t="n"/>
      <c r="K427" s="97" t="n"/>
      <c r="L427" s="148" t="n"/>
      <c r="M427" s="148" t="n"/>
      <c r="N427" s="148" t="n"/>
      <c r="O427" s="148" t="n"/>
      <c r="P427" s="148" t="n"/>
      <c r="Q427" s="148" t="n"/>
      <c r="R427" s="148" t="n"/>
      <c r="S427" s="148" t="n"/>
      <c r="T427" s="150" t="n"/>
      <c r="U427" s="150" t="n"/>
      <c r="V427" s="37" t="n"/>
      <c r="W427" s="151" t="n"/>
      <c r="X427" s="151" t="n"/>
      <c r="Y427" s="151" t="n"/>
      <c r="Z427" s="151" t="n"/>
      <c r="AA427" s="151" t="n"/>
      <c r="AB427" s="152" t="n"/>
      <c r="AC427" s="152" t="n"/>
      <c r="AD427" s="152" t="n"/>
      <c r="AE427" s="152" t="n"/>
      <c r="AF427" s="152" t="n"/>
    </row>
    <row r="428" ht="15.75" customHeight="1" s="201">
      <c r="A428" s="97" t="n"/>
      <c r="B428" s="97" t="n"/>
      <c r="C428" s="97" t="n"/>
      <c r="D428" s="97" t="n"/>
      <c r="E428" s="97" t="n"/>
      <c r="F428" s="148" t="n"/>
      <c r="G428" s="148" t="n"/>
      <c r="H428" s="148" t="n"/>
      <c r="I428" s="148" t="n"/>
      <c r="J428" s="149" t="n"/>
      <c r="K428" s="97" t="n"/>
      <c r="L428" s="148" t="n"/>
      <c r="M428" s="148" t="n"/>
      <c r="N428" s="148" t="n"/>
      <c r="O428" s="148" t="n"/>
      <c r="P428" s="148" t="n"/>
      <c r="Q428" s="148" t="n"/>
      <c r="R428" s="148" t="n"/>
      <c r="S428" s="148" t="n"/>
      <c r="T428" s="150" t="n"/>
      <c r="U428" s="150" t="n"/>
      <c r="V428" s="37" t="n"/>
      <c r="W428" s="151" t="n"/>
      <c r="X428" s="151" t="n"/>
      <c r="Y428" s="151" t="n"/>
      <c r="Z428" s="151" t="n"/>
      <c r="AA428" s="151" t="n"/>
      <c r="AB428" s="152" t="n"/>
      <c r="AC428" s="152" t="n"/>
      <c r="AD428" s="152" t="n"/>
      <c r="AE428" s="152" t="n"/>
      <c r="AF428" s="152" t="n"/>
    </row>
    <row r="429" ht="15.75" customHeight="1" s="201">
      <c r="A429" s="97" t="n"/>
      <c r="B429" s="97" t="n"/>
      <c r="C429" s="97" t="n"/>
      <c r="D429" s="97" t="n"/>
      <c r="E429" s="97" t="n"/>
      <c r="F429" s="148" t="n"/>
      <c r="G429" s="148" t="n"/>
      <c r="H429" s="148" t="n"/>
      <c r="I429" s="148" t="n"/>
      <c r="J429" s="149" t="n"/>
      <c r="K429" s="97" t="n"/>
      <c r="L429" s="148" t="n"/>
      <c r="M429" s="148" t="n"/>
      <c r="N429" s="148" t="n"/>
      <c r="O429" s="148" t="n"/>
      <c r="P429" s="148" t="n"/>
      <c r="Q429" s="148" t="n"/>
      <c r="R429" s="148" t="n"/>
      <c r="S429" s="148" t="n"/>
      <c r="T429" s="150" t="n"/>
      <c r="U429" s="150" t="n"/>
      <c r="V429" s="37" t="n"/>
      <c r="W429" s="151" t="n"/>
      <c r="X429" s="151" t="n"/>
      <c r="Y429" s="151" t="n"/>
      <c r="Z429" s="151" t="n"/>
      <c r="AA429" s="151" t="n"/>
      <c r="AB429" s="152" t="n"/>
      <c r="AC429" s="152" t="n"/>
      <c r="AD429" s="152" t="n"/>
      <c r="AE429" s="152" t="n"/>
      <c r="AF429" s="152" t="n"/>
    </row>
    <row r="430" ht="15.75" customHeight="1" s="201">
      <c r="A430" s="97" t="n"/>
      <c r="B430" s="97" t="n"/>
      <c r="C430" s="97" t="n"/>
      <c r="D430" s="97" t="n"/>
      <c r="E430" s="97" t="n"/>
      <c r="F430" s="148" t="n"/>
      <c r="G430" s="148" t="n"/>
      <c r="H430" s="148" t="n"/>
      <c r="I430" s="148" t="n"/>
      <c r="J430" s="149" t="n"/>
      <c r="K430" s="97" t="n"/>
      <c r="L430" s="148" t="n"/>
      <c r="M430" s="148" t="n"/>
      <c r="N430" s="148" t="n"/>
      <c r="O430" s="148" t="n"/>
      <c r="P430" s="148" t="n"/>
      <c r="Q430" s="148" t="n"/>
      <c r="R430" s="148" t="n"/>
      <c r="S430" s="148" t="n"/>
      <c r="T430" s="150" t="n"/>
      <c r="U430" s="150" t="n"/>
      <c r="V430" s="37" t="n"/>
      <c r="W430" s="151" t="n"/>
      <c r="X430" s="151" t="n"/>
      <c r="Y430" s="151" t="n"/>
      <c r="Z430" s="151" t="n"/>
      <c r="AA430" s="151" t="n"/>
      <c r="AB430" s="152" t="n"/>
      <c r="AC430" s="152" t="n"/>
      <c r="AD430" s="152" t="n"/>
      <c r="AE430" s="152" t="n"/>
      <c r="AF430" s="152" t="n"/>
    </row>
    <row r="431" ht="15.75" customHeight="1" s="201">
      <c r="A431" s="97" t="n"/>
      <c r="B431" s="97" t="n"/>
      <c r="C431" s="97" t="n"/>
      <c r="D431" s="97" t="n"/>
      <c r="E431" s="97" t="n"/>
      <c r="F431" s="148" t="n"/>
      <c r="G431" s="148" t="n"/>
      <c r="H431" s="148" t="n"/>
      <c r="I431" s="148" t="n"/>
      <c r="J431" s="149" t="n"/>
      <c r="K431" s="97" t="n"/>
      <c r="L431" s="148" t="n"/>
      <c r="M431" s="148" t="n"/>
      <c r="N431" s="148" t="n"/>
      <c r="O431" s="148" t="n"/>
      <c r="P431" s="148" t="n"/>
      <c r="Q431" s="148" t="n"/>
      <c r="R431" s="148" t="n"/>
      <c r="S431" s="148" t="n"/>
      <c r="T431" s="150" t="n"/>
      <c r="U431" s="150" t="n"/>
      <c r="V431" s="37" t="n"/>
      <c r="W431" s="151" t="n"/>
      <c r="X431" s="151" t="n"/>
      <c r="Y431" s="151" t="n"/>
      <c r="Z431" s="151" t="n"/>
      <c r="AA431" s="151" t="n"/>
      <c r="AB431" s="152" t="n"/>
      <c r="AC431" s="152" t="n"/>
      <c r="AD431" s="152" t="n"/>
      <c r="AE431" s="152" t="n"/>
      <c r="AF431" s="152" t="n"/>
    </row>
    <row r="432" ht="15.75" customHeight="1" s="201">
      <c r="A432" s="97" t="n"/>
      <c r="B432" s="97" t="n"/>
      <c r="C432" s="97" t="n"/>
      <c r="D432" s="97" t="n"/>
      <c r="E432" s="97" t="n"/>
      <c r="F432" s="148" t="n"/>
      <c r="G432" s="148" t="n"/>
      <c r="H432" s="148" t="n"/>
      <c r="I432" s="148" t="n"/>
      <c r="J432" s="149" t="n"/>
      <c r="K432" s="97" t="n"/>
      <c r="L432" s="148" t="n"/>
      <c r="M432" s="148" t="n"/>
      <c r="N432" s="148" t="n"/>
      <c r="O432" s="148" t="n"/>
      <c r="P432" s="148" t="n"/>
      <c r="Q432" s="148" t="n"/>
      <c r="R432" s="148" t="n"/>
      <c r="S432" s="148" t="n"/>
      <c r="T432" s="150" t="n"/>
      <c r="U432" s="150" t="n"/>
      <c r="V432" s="37" t="n"/>
      <c r="W432" s="151" t="n"/>
      <c r="X432" s="151" t="n"/>
      <c r="Y432" s="151" t="n"/>
      <c r="Z432" s="151" t="n"/>
      <c r="AA432" s="151" t="n"/>
      <c r="AB432" s="152" t="n"/>
      <c r="AC432" s="152" t="n"/>
      <c r="AD432" s="152" t="n"/>
      <c r="AE432" s="152" t="n"/>
      <c r="AF432" s="152" t="n"/>
    </row>
    <row r="433" ht="15.75" customHeight="1" s="201">
      <c r="A433" s="97" t="n"/>
      <c r="B433" s="97" t="n"/>
      <c r="C433" s="97" t="n"/>
      <c r="D433" s="97" t="n"/>
      <c r="E433" s="97" t="n"/>
      <c r="F433" s="148" t="n"/>
      <c r="G433" s="148" t="n"/>
      <c r="H433" s="148" t="n"/>
      <c r="I433" s="148" t="n"/>
      <c r="J433" s="149" t="n"/>
      <c r="K433" s="97" t="n"/>
      <c r="L433" s="148" t="n"/>
      <c r="M433" s="148" t="n"/>
      <c r="N433" s="148" t="n"/>
      <c r="O433" s="148" t="n"/>
      <c r="P433" s="148" t="n"/>
      <c r="Q433" s="148" t="n"/>
      <c r="R433" s="148" t="n"/>
      <c r="S433" s="148" t="n"/>
      <c r="T433" s="150" t="n"/>
      <c r="U433" s="150" t="n"/>
      <c r="V433" s="37" t="n"/>
      <c r="W433" s="151" t="n"/>
      <c r="X433" s="151" t="n"/>
      <c r="Y433" s="151" t="n"/>
      <c r="Z433" s="151" t="n"/>
      <c r="AA433" s="151" t="n"/>
      <c r="AB433" s="152" t="n"/>
      <c r="AC433" s="152" t="n"/>
      <c r="AD433" s="152" t="n"/>
      <c r="AE433" s="152" t="n"/>
      <c r="AF433" s="152" t="n"/>
    </row>
    <row r="434" ht="15.75" customHeight="1" s="201">
      <c r="A434" s="97" t="n"/>
      <c r="B434" s="97" t="n"/>
      <c r="C434" s="97" t="n"/>
      <c r="D434" s="97" t="n"/>
      <c r="E434" s="97" t="n"/>
      <c r="F434" s="148" t="n"/>
      <c r="G434" s="148" t="n"/>
      <c r="H434" s="148" t="n"/>
      <c r="I434" s="148" t="n"/>
      <c r="J434" s="149" t="n"/>
      <c r="K434" s="97" t="n"/>
      <c r="L434" s="148" t="n"/>
      <c r="M434" s="148" t="n"/>
      <c r="N434" s="148" t="n"/>
      <c r="O434" s="148" t="n"/>
      <c r="P434" s="148" t="n"/>
      <c r="Q434" s="148" t="n"/>
      <c r="R434" s="148" t="n"/>
      <c r="S434" s="148" t="n"/>
      <c r="T434" s="150" t="n"/>
      <c r="U434" s="150" t="n"/>
      <c r="V434" s="37" t="n"/>
      <c r="W434" s="151" t="n"/>
      <c r="X434" s="151" t="n"/>
      <c r="Y434" s="151" t="n"/>
      <c r="Z434" s="151" t="n"/>
      <c r="AA434" s="151" t="n"/>
      <c r="AB434" s="152" t="n"/>
      <c r="AC434" s="152" t="n"/>
      <c r="AD434" s="152" t="n"/>
      <c r="AE434" s="152" t="n"/>
      <c r="AF434" s="152" t="n"/>
    </row>
    <row r="435" ht="15.75" customHeight="1" s="201">
      <c r="A435" s="97" t="n"/>
      <c r="B435" s="97" t="n"/>
      <c r="C435" s="97" t="n"/>
      <c r="D435" s="97" t="n"/>
      <c r="E435" s="97" t="n"/>
      <c r="F435" s="148" t="n"/>
      <c r="G435" s="148" t="n"/>
      <c r="H435" s="148" t="n"/>
      <c r="I435" s="148" t="n"/>
      <c r="J435" s="149" t="n"/>
      <c r="K435" s="97" t="n"/>
      <c r="L435" s="148" t="n"/>
      <c r="M435" s="148" t="n"/>
      <c r="N435" s="148" t="n"/>
      <c r="O435" s="148" t="n"/>
      <c r="P435" s="148" t="n"/>
      <c r="Q435" s="148" t="n"/>
      <c r="R435" s="148" t="n"/>
      <c r="S435" s="148" t="n"/>
      <c r="T435" s="150" t="n"/>
      <c r="U435" s="150" t="n"/>
      <c r="V435" s="37" t="n"/>
      <c r="W435" s="151" t="n"/>
      <c r="X435" s="151" t="n"/>
      <c r="Y435" s="151" t="n"/>
      <c r="Z435" s="151" t="n"/>
      <c r="AA435" s="151" t="n"/>
      <c r="AB435" s="152" t="n"/>
      <c r="AC435" s="152" t="n"/>
      <c r="AD435" s="152" t="n"/>
      <c r="AE435" s="152" t="n"/>
      <c r="AF435" s="152" t="n"/>
    </row>
    <row r="436" ht="15.75" customHeight="1" s="201">
      <c r="A436" s="97" t="n"/>
      <c r="B436" s="97" t="n"/>
      <c r="C436" s="97" t="n"/>
      <c r="D436" s="97" t="n"/>
      <c r="E436" s="97" t="n"/>
      <c r="F436" s="148" t="n"/>
      <c r="G436" s="148" t="n"/>
      <c r="H436" s="148" t="n"/>
      <c r="I436" s="148" t="n"/>
      <c r="J436" s="149" t="n"/>
      <c r="K436" s="97" t="n"/>
      <c r="L436" s="148" t="n"/>
      <c r="M436" s="148" t="n"/>
      <c r="N436" s="148" t="n"/>
      <c r="O436" s="148" t="n"/>
      <c r="P436" s="148" t="n"/>
      <c r="Q436" s="148" t="n"/>
      <c r="R436" s="148" t="n"/>
      <c r="S436" s="148" t="n"/>
      <c r="T436" s="150" t="n"/>
      <c r="U436" s="150" t="n"/>
      <c r="V436" s="37" t="n"/>
      <c r="W436" s="151" t="n"/>
      <c r="X436" s="151" t="n"/>
      <c r="Y436" s="151" t="n"/>
      <c r="Z436" s="151" t="n"/>
      <c r="AA436" s="151" t="n"/>
      <c r="AB436" s="152" t="n"/>
      <c r="AC436" s="152" t="n"/>
      <c r="AD436" s="152" t="n"/>
      <c r="AE436" s="152" t="n"/>
      <c r="AF436" s="152" t="n"/>
    </row>
    <row r="437" ht="15.75" customHeight="1" s="201">
      <c r="A437" s="97" t="n"/>
      <c r="B437" s="97" t="n"/>
      <c r="C437" s="97" t="n"/>
      <c r="D437" s="97" t="n"/>
      <c r="E437" s="97" t="n"/>
      <c r="F437" s="148" t="n"/>
      <c r="G437" s="148" t="n"/>
      <c r="H437" s="148" t="n"/>
      <c r="I437" s="148" t="n"/>
      <c r="J437" s="149" t="n"/>
      <c r="K437" s="97" t="n"/>
      <c r="L437" s="148" t="n"/>
      <c r="M437" s="148" t="n"/>
      <c r="N437" s="148" t="n"/>
      <c r="O437" s="148" t="n"/>
      <c r="P437" s="148" t="n"/>
      <c r="Q437" s="148" t="n"/>
      <c r="R437" s="148" t="n"/>
      <c r="S437" s="148" t="n"/>
      <c r="T437" s="150" t="n"/>
      <c r="U437" s="150" t="n"/>
      <c r="V437" s="37" t="n"/>
      <c r="W437" s="151" t="n"/>
      <c r="X437" s="151" t="n"/>
      <c r="Y437" s="151" t="n"/>
      <c r="Z437" s="151" t="n"/>
      <c r="AA437" s="151" t="n"/>
      <c r="AB437" s="152" t="n"/>
      <c r="AC437" s="152" t="n"/>
      <c r="AD437" s="152" t="n"/>
      <c r="AE437" s="152" t="n"/>
      <c r="AF437" s="152" t="n"/>
    </row>
    <row r="438" ht="15.75" customHeight="1" s="201">
      <c r="A438" s="97" t="n"/>
      <c r="B438" s="97" t="n"/>
      <c r="C438" s="97" t="n"/>
      <c r="D438" s="97" t="n"/>
      <c r="E438" s="97" t="n"/>
      <c r="F438" s="148" t="n"/>
      <c r="G438" s="148" t="n"/>
      <c r="H438" s="148" t="n"/>
      <c r="I438" s="148" t="n"/>
      <c r="J438" s="149" t="n"/>
      <c r="K438" s="97" t="n"/>
      <c r="L438" s="148" t="n"/>
      <c r="M438" s="148" t="n"/>
      <c r="N438" s="148" t="n"/>
      <c r="O438" s="148" t="n"/>
      <c r="P438" s="148" t="n"/>
      <c r="Q438" s="148" t="n"/>
      <c r="R438" s="148" t="n"/>
      <c r="S438" s="148" t="n"/>
      <c r="T438" s="150" t="n"/>
      <c r="U438" s="150" t="n"/>
      <c r="V438" s="37" t="n"/>
      <c r="W438" s="151" t="n"/>
      <c r="X438" s="151" t="n"/>
      <c r="Y438" s="151" t="n"/>
      <c r="Z438" s="151" t="n"/>
      <c r="AA438" s="151" t="n"/>
      <c r="AB438" s="152" t="n"/>
      <c r="AC438" s="152" t="n"/>
      <c r="AD438" s="152" t="n"/>
      <c r="AE438" s="152" t="n"/>
      <c r="AF438" s="152" t="n"/>
    </row>
    <row r="439" ht="15.75" customHeight="1" s="201">
      <c r="A439" s="97" t="n"/>
      <c r="B439" s="97" t="n"/>
      <c r="C439" s="97" t="n"/>
      <c r="D439" s="97" t="n"/>
      <c r="E439" s="97" t="n"/>
      <c r="F439" s="148" t="n"/>
      <c r="G439" s="148" t="n"/>
      <c r="H439" s="148" t="n"/>
      <c r="I439" s="148" t="n"/>
      <c r="J439" s="149" t="n"/>
      <c r="K439" s="97" t="n"/>
      <c r="L439" s="148" t="n"/>
      <c r="M439" s="148" t="n"/>
      <c r="N439" s="148" t="n"/>
      <c r="O439" s="148" t="n"/>
      <c r="P439" s="148" t="n"/>
      <c r="Q439" s="148" t="n"/>
      <c r="R439" s="148" t="n"/>
      <c r="S439" s="148" t="n"/>
      <c r="T439" s="150" t="n"/>
      <c r="U439" s="150" t="n"/>
      <c r="V439" s="37" t="n"/>
      <c r="W439" s="151" t="n"/>
      <c r="X439" s="151" t="n"/>
      <c r="Y439" s="151" t="n"/>
      <c r="Z439" s="151" t="n"/>
      <c r="AA439" s="151" t="n"/>
      <c r="AB439" s="152" t="n"/>
      <c r="AC439" s="152" t="n"/>
      <c r="AD439" s="152" t="n"/>
      <c r="AE439" s="152" t="n"/>
      <c r="AF439" s="152" t="n"/>
    </row>
    <row r="440" ht="15.75" customHeight="1" s="201">
      <c r="A440" s="97" t="n"/>
      <c r="B440" s="97" t="n"/>
      <c r="C440" s="97" t="n"/>
      <c r="D440" s="97" t="n"/>
      <c r="E440" s="97" t="n"/>
      <c r="F440" s="148" t="n"/>
      <c r="G440" s="148" t="n"/>
      <c r="H440" s="148" t="n"/>
      <c r="I440" s="148" t="n"/>
      <c r="J440" s="149" t="n"/>
      <c r="K440" s="97" t="n"/>
      <c r="L440" s="148" t="n"/>
      <c r="M440" s="148" t="n"/>
      <c r="N440" s="148" t="n"/>
      <c r="O440" s="148" t="n"/>
      <c r="P440" s="148" t="n"/>
      <c r="Q440" s="148" t="n"/>
      <c r="R440" s="148" t="n"/>
      <c r="S440" s="148" t="n"/>
      <c r="T440" s="150" t="n"/>
      <c r="U440" s="150" t="n"/>
      <c r="V440" s="37" t="n"/>
      <c r="W440" s="151" t="n"/>
      <c r="X440" s="151" t="n"/>
      <c r="Y440" s="151" t="n"/>
      <c r="Z440" s="151" t="n"/>
      <c r="AA440" s="151" t="n"/>
      <c r="AB440" s="152" t="n"/>
      <c r="AC440" s="152" t="n"/>
      <c r="AD440" s="152" t="n"/>
      <c r="AE440" s="152" t="n"/>
      <c r="AF440" s="152" t="n"/>
    </row>
    <row r="441" ht="15.75" customHeight="1" s="201">
      <c r="A441" s="97" t="n"/>
      <c r="B441" s="97" t="n"/>
      <c r="C441" s="97" t="n"/>
      <c r="D441" s="97" t="n"/>
      <c r="E441" s="97" t="n"/>
      <c r="F441" s="148" t="n"/>
      <c r="G441" s="148" t="n"/>
      <c r="H441" s="148" t="n"/>
      <c r="I441" s="148" t="n"/>
      <c r="J441" s="149" t="n"/>
      <c r="K441" s="97" t="n"/>
      <c r="L441" s="148" t="n"/>
      <c r="M441" s="148" t="n"/>
      <c r="N441" s="148" t="n"/>
      <c r="O441" s="148" t="n"/>
      <c r="P441" s="148" t="n"/>
      <c r="Q441" s="148" t="n"/>
      <c r="R441" s="148" t="n"/>
      <c r="S441" s="148" t="n"/>
      <c r="T441" s="150" t="n"/>
      <c r="U441" s="150" t="n"/>
      <c r="V441" s="37" t="n"/>
      <c r="W441" s="151" t="n"/>
      <c r="X441" s="151" t="n"/>
      <c r="Y441" s="151" t="n"/>
      <c r="Z441" s="151" t="n"/>
      <c r="AA441" s="151" t="n"/>
      <c r="AB441" s="152" t="n"/>
      <c r="AC441" s="152" t="n"/>
      <c r="AD441" s="152" t="n"/>
      <c r="AE441" s="152" t="n"/>
      <c r="AF441" s="152" t="n"/>
    </row>
    <row r="442" ht="15.75" customHeight="1" s="201">
      <c r="A442" s="97" t="n"/>
      <c r="B442" s="97" t="n"/>
      <c r="C442" s="97" t="n"/>
      <c r="D442" s="97" t="n"/>
      <c r="E442" s="97" t="n"/>
      <c r="F442" s="148" t="n"/>
      <c r="G442" s="148" t="n"/>
      <c r="H442" s="148" t="n"/>
      <c r="I442" s="148" t="n"/>
      <c r="J442" s="149" t="n"/>
      <c r="K442" s="97" t="n"/>
      <c r="L442" s="148" t="n"/>
      <c r="M442" s="148" t="n"/>
      <c r="N442" s="148" t="n"/>
      <c r="O442" s="148" t="n"/>
      <c r="P442" s="148" t="n"/>
      <c r="Q442" s="148" t="n"/>
      <c r="R442" s="148" t="n"/>
      <c r="S442" s="148" t="n"/>
      <c r="T442" s="150" t="n"/>
      <c r="U442" s="150" t="n"/>
      <c r="V442" s="37" t="n"/>
      <c r="W442" s="151" t="n"/>
      <c r="X442" s="151" t="n"/>
      <c r="Y442" s="151" t="n"/>
      <c r="Z442" s="151" t="n"/>
      <c r="AA442" s="151" t="n"/>
      <c r="AB442" s="152" t="n"/>
      <c r="AC442" s="152" t="n"/>
      <c r="AD442" s="152" t="n"/>
      <c r="AE442" s="152" t="n"/>
      <c r="AF442" s="152" t="n"/>
    </row>
    <row r="443" ht="15.75" customHeight="1" s="201">
      <c r="A443" s="97" t="n"/>
      <c r="B443" s="97" t="n"/>
      <c r="C443" s="97" t="n"/>
      <c r="D443" s="97" t="n"/>
      <c r="E443" s="97" t="n"/>
      <c r="F443" s="148" t="n"/>
      <c r="G443" s="148" t="n"/>
      <c r="H443" s="148" t="n"/>
      <c r="I443" s="148" t="n"/>
      <c r="J443" s="149" t="n"/>
      <c r="K443" s="97" t="n"/>
      <c r="L443" s="148" t="n"/>
      <c r="M443" s="148" t="n"/>
      <c r="N443" s="148" t="n"/>
      <c r="O443" s="148" t="n"/>
      <c r="P443" s="148" t="n"/>
      <c r="Q443" s="148" t="n"/>
      <c r="R443" s="148" t="n"/>
      <c r="S443" s="148" t="n"/>
      <c r="T443" s="150" t="n"/>
      <c r="U443" s="150" t="n"/>
      <c r="V443" s="37" t="n"/>
      <c r="W443" s="151" t="n"/>
      <c r="X443" s="151" t="n"/>
      <c r="Y443" s="151" t="n"/>
      <c r="Z443" s="151" t="n"/>
      <c r="AA443" s="151" t="n"/>
      <c r="AB443" s="152" t="n"/>
      <c r="AC443" s="152" t="n"/>
      <c r="AD443" s="152" t="n"/>
      <c r="AE443" s="152" t="n"/>
      <c r="AF443" s="152" t="n"/>
    </row>
    <row r="444" ht="15.75" customHeight="1" s="201">
      <c r="A444" s="97" t="n"/>
      <c r="B444" s="97" t="n"/>
      <c r="C444" s="97" t="n"/>
      <c r="D444" s="97" t="n"/>
      <c r="E444" s="97" t="n"/>
      <c r="F444" s="148" t="n"/>
      <c r="G444" s="148" t="n"/>
      <c r="H444" s="148" t="n"/>
      <c r="I444" s="148" t="n"/>
      <c r="J444" s="149" t="n"/>
      <c r="K444" s="97" t="n"/>
      <c r="L444" s="148" t="n"/>
      <c r="M444" s="148" t="n"/>
      <c r="N444" s="148" t="n"/>
      <c r="O444" s="148" t="n"/>
      <c r="P444" s="148" t="n"/>
      <c r="Q444" s="148" t="n"/>
      <c r="R444" s="148" t="n"/>
      <c r="S444" s="148" t="n"/>
      <c r="T444" s="150" t="n"/>
      <c r="U444" s="150" t="n"/>
      <c r="V444" s="37" t="n"/>
      <c r="W444" s="151" t="n"/>
      <c r="X444" s="151" t="n"/>
      <c r="Y444" s="151" t="n"/>
      <c r="Z444" s="151" t="n"/>
      <c r="AA444" s="151" t="n"/>
      <c r="AB444" s="152" t="n"/>
      <c r="AC444" s="152" t="n"/>
      <c r="AD444" s="152" t="n"/>
      <c r="AE444" s="152" t="n"/>
      <c r="AF444" s="152" t="n"/>
    </row>
    <row r="445" ht="15.75" customHeight="1" s="201">
      <c r="A445" s="97" t="n"/>
      <c r="B445" s="97" t="n"/>
      <c r="C445" s="97" t="n"/>
      <c r="D445" s="97" t="n"/>
      <c r="E445" s="97" t="n"/>
      <c r="F445" s="148" t="n"/>
      <c r="G445" s="148" t="n"/>
      <c r="H445" s="148" t="n"/>
      <c r="I445" s="148" t="n"/>
      <c r="J445" s="149" t="n"/>
      <c r="K445" s="97" t="n"/>
      <c r="L445" s="148" t="n"/>
      <c r="M445" s="148" t="n"/>
      <c r="N445" s="148" t="n"/>
      <c r="O445" s="148" t="n"/>
      <c r="P445" s="148" t="n"/>
      <c r="Q445" s="148" t="n"/>
      <c r="R445" s="148" t="n"/>
      <c r="S445" s="148" t="n"/>
      <c r="T445" s="150" t="n"/>
      <c r="U445" s="150" t="n"/>
      <c r="V445" s="37" t="n"/>
      <c r="W445" s="151" t="n"/>
      <c r="X445" s="151" t="n"/>
      <c r="Y445" s="151" t="n"/>
      <c r="Z445" s="151" t="n"/>
      <c r="AA445" s="151" t="n"/>
      <c r="AB445" s="152" t="n"/>
      <c r="AC445" s="152" t="n"/>
      <c r="AD445" s="152" t="n"/>
      <c r="AE445" s="152" t="n"/>
      <c r="AF445" s="152" t="n"/>
    </row>
    <row r="446" ht="15.75" customHeight="1" s="201">
      <c r="A446" s="97" t="n"/>
      <c r="B446" s="97" t="n"/>
      <c r="C446" s="97" t="n"/>
      <c r="D446" s="97" t="n"/>
      <c r="E446" s="97" t="n"/>
      <c r="F446" s="148" t="n"/>
      <c r="G446" s="148" t="n"/>
      <c r="H446" s="148" t="n"/>
      <c r="I446" s="148" t="n"/>
      <c r="J446" s="149" t="n"/>
      <c r="K446" s="97" t="n"/>
      <c r="L446" s="148" t="n"/>
      <c r="M446" s="148" t="n"/>
      <c r="N446" s="148" t="n"/>
      <c r="O446" s="148" t="n"/>
      <c r="P446" s="148" t="n"/>
      <c r="Q446" s="148" t="n"/>
      <c r="R446" s="148" t="n"/>
      <c r="S446" s="148" t="n"/>
      <c r="T446" s="150" t="n"/>
      <c r="U446" s="150" t="n"/>
      <c r="V446" s="37" t="n"/>
      <c r="W446" s="151" t="n"/>
      <c r="X446" s="151" t="n"/>
      <c r="Y446" s="151" t="n"/>
      <c r="Z446" s="151" t="n"/>
      <c r="AA446" s="151" t="n"/>
      <c r="AB446" s="152" t="n"/>
      <c r="AC446" s="152" t="n"/>
      <c r="AD446" s="152" t="n"/>
      <c r="AE446" s="152" t="n"/>
      <c r="AF446" s="152" t="n"/>
    </row>
    <row r="447" ht="15.75" customHeight="1" s="201">
      <c r="A447" s="97" t="n"/>
      <c r="B447" s="97" t="n"/>
      <c r="C447" s="97" t="n"/>
      <c r="D447" s="97" t="n"/>
      <c r="E447" s="97" t="n"/>
      <c r="F447" s="148" t="n"/>
      <c r="G447" s="148" t="n"/>
      <c r="H447" s="148" t="n"/>
      <c r="I447" s="148" t="n"/>
      <c r="J447" s="149" t="n"/>
      <c r="K447" s="97" t="n"/>
      <c r="L447" s="148" t="n"/>
      <c r="M447" s="148" t="n"/>
      <c r="N447" s="148" t="n"/>
      <c r="O447" s="148" t="n"/>
      <c r="P447" s="148" t="n"/>
      <c r="Q447" s="148" t="n"/>
      <c r="R447" s="148" t="n"/>
      <c r="S447" s="148" t="n"/>
      <c r="T447" s="150" t="n"/>
      <c r="U447" s="150" t="n"/>
      <c r="V447" s="37" t="n"/>
      <c r="W447" s="151" t="n"/>
      <c r="X447" s="151" t="n"/>
      <c r="Y447" s="151" t="n"/>
      <c r="Z447" s="151" t="n"/>
      <c r="AA447" s="151" t="n"/>
      <c r="AB447" s="152" t="n"/>
      <c r="AC447" s="152" t="n"/>
      <c r="AD447" s="152" t="n"/>
      <c r="AE447" s="152" t="n"/>
      <c r="AF447" s="152" t="n"/>
    </row>
    <row r="448" ht="15.75" customHeight="1" s="201">
      <c r="A448" s="97" t="n"/>
      <c r="B448" s="97" t="n"/>
      <c r="C448" s="97" t="n"/>
      <c r="D448" s="97" t="n"/>
      <c r="E448" s="97" t="n"/>
      <c r="F448" s="148" t="n"/>
      <c r="G448" s="148" t="n"/>
      <c r="H448" s="148" t="n"/>
      <c r="I448" s="148" t="n"/>
      <c r="J448" s="149" t="n"/>
      <c r="K448" s="97" t="n"/>
      <c r="L448" s="148" t="n"/>
      <c r="M448" s="148" t="n"/>
      <c r="N448" s="148" t="n"/>
      <c r="O448" s="148" t="n"/>
      <c r="P448" s="148" t="n"/>
      <c r="Q448" s="148" t="n"/>
      <c r="R448" s="148" t="n"/>
      <c r="S448" s="148" t="n"/>
      <c r="T448" s="150" t="n"/>
      <c r="U448" s="150" t="n"/>
      <c r="V448" s="37" t="n"/>
      <c r="W448" s="151" t="n"/>
      <c r="X448" s="151" t="n"/>
      <c r="Y448" s="151" t="n"/>
      <c r="Z448" s="151" t="n"/>
      <c r="AA448" s="151" t="n"/>
      <c r="AB448" s="152" t="n"/>
      <c r="AC448" s="152" t="n"/>
      <c r="AD448" s="152" t="n"/>
      <c r="AE448" s="152" t="n"/>
      <c r="AF448" s="152" t="n"/>
    </row>
    <row r="449" ht="15.75" customHeight="1" s="201">
      <c r="A449" s="97" t="n"/>
      <c r="B449" s="97" t="n"/>
      <c r="C449" s="97" t="n"/>
      <c r="D449" s="97" t="n"/>
      <c r="E449" s="97" t="n"/>
      <c r="F449" s="148" t="n"/>
      <c r="G449" s="148" t="n"/>
      <c r="H449" s="148" t="n"/>
      <c r="I449" s="148" t="n"/>
      <c r="J449" s="149" t="n"/>
      <c r="K449" s="97" t="n"/>
      <c r="L449" s="148" t="n"/>
      <c r="M449" s="148" t="n"/>
      <c r="N449" s="148" t="n"/>
      <c r="O449" s="148" t="n"/>
      <c r="P449" s="148" t="n"/>
      <c r="Q449" s="148" t="n"/>
      <c r="R449" s="148" t="n"/>
      <c r="S449" s="148" t="n"/>
      <c r="T449" s="150" t="n"/>
      <c r="U449" s="150" t="n"/>
      <c r="V449" s="37" t="n"/>
      <c r="W449" s="151" t="n"/>
      <c r="X449" s="151" t="n"/>
      <c r="Y449" s="151" t="n"/>
      <c r="Z449" s="151" t="n"/>
      <c r="AA449" s="151" t="n"/>
      <c r="AB449" s="152" t="n"/>
      <c r="AC449" s="152" t="n"/>
      <c r="AD449" s="152" t="n"/>
      <c r="AE449" s="152" t="n"/>
      <c r="AF449" s="152" t="n"/>
    </row>
    <row r="450" ht="15.75" customHeight="1" s="201">
      <c r="A450" s="97" t="n"/>
      <c r="B450" s="97" t="n"/>
      <c r="C450" s="97" t="n"/>
      <c r="D450" s="97" t="n"/>
      <c r="E450" s="97" t="n"/>
      <c r="F450" s="148" t="n"/>
      <c r="G450" s="148" t="n"/>
      <c r="H450" s="148" t="n"/>
      <c r="I450" s="148" t="n"/>
      <c r="J450" s="149" t="n"/>
      <c r="K450" s="97" t="n"/>
      <c r="L450" s="148" t="n"/>
      <c r="M450" s="148" t="n"/>
      <c r="N450" s="148" t="n"/>
      <c r="O450" s="148" t="n"/>
      <c r="P450" s="148" t="n"/>
      <c r="Q450" s="148" t="n"/>
      <c r="R450" s="148" t="n"/>
      <c r="S450" s="148" t="n"/>
      <c r="T450" s="150" t="n"/>
      <c r="U450" s="150" t="n"/>
      <c r="V450" s="37" t="n"/>
      <c r="W450" s="151" t="n"/>
      <c r="X450" s="151" t="n"/>
      <c r="Y450" s="151" t="n"/>
      <c r="Z450" s="151" t="n"/>
      <c r="AA450" s="151" t="n"/>
      <c r="AB450" s="152" t="n"/>
      <c r="AC450" s="152" t="n"/>
      <c r="AD450" s="152" t="n"/>
      <c r="AE450" s="152" t="n"/>
      <c r="AF450" s="152" t="n"/>
    </row>
    <row r="451" ht="15.75" customHeight="1" s="201">
      <c r="A451" s="97" t="n"/>
      <c r="B451" s="97" t="n"/>
      <c r="C451" s="97" t="n"/>
      <c r="D451" s="97" t="n"/>
      <c r="E451" s="97" t="n"/>
      <c r="F451" s="148" t="n"/>
      <c r="G451" s="148" t="n"/>
      <c r="H451" s="148" t="n"/>
      <c r="I451" s="148" t="n"/>
      <c r="J451" s="149" t="n"/>
      <c r="K451" s="97" t="n"/>
      <c r="L451" s="148" t="n"/>
      <c r="M451" s="148" t="n"/>
      <c r="N451" s="148" t="n"/>
      <c r="O451" s="148" t="n"/>
      <c r="P451" s="148" t="n"/>
      <c r="Q451" s="148" t="n"/>
      <c r="R451" s="148" t="n"/>
      <c r="S451" s="148" t="n"/>
      <c r="T451" s="150" t="n"/>
      <c r="U451" s="150" t="n"/>
      <c r="V451" s="37" t="n"/>
      <c r="W451" s="151" t="n"/>
      <c r="X451" s="151" t="n"/>
      <c r="Y451" s="151" t="n"/>
      <c r="Z451" s="151" t="n"/>
      <c r="AA451" s="151" t="n"/>
      <c r="AB451" s="152" t="n"/>
      <c r="AC451" s="152" t="n"/>
      <c r="AD451" s="152" t="n"/>
      <c r="AE451" s="152" t="n"/>
      <c r="AF451" s="152" t="n"/>
    </row>
    <row r="452" ht="15.75" customHeight="1" s="201">
      <c r="A452" s="97" t="n"/>
      <c r="B452" s="97" t="n"/>
      <c r="C452" s="97" t="n"/>
      <c r="D452" s="97" t="n"/>
      <c r="E452" s="97" t="n"/>
      <c r="F452" s="148" t="n"/>
      <c r="G452" s="148" t="n"/>
      <c r="H452" s="148" t="n"/>
      <c r="I452" s="148" t="n"/>
      <c r="J452" s="149" t="n"/>
      <c r="K452" s="97" t="n"/>
      <c r="L452" s="148" t="n"/>
      <c r="M452" s="148" t="n"/>
      <c r="N452" s="148" t="n"/>
      <c r="O452" s="148" t="n"/>
      <c r="P452" s="148" t="n"/>
      <c r="Q452" s="148" t="n"/>
      <c r="R452" s="148" t="n"/>
      <c r="S452" s="148" t="n"/>
      <c r="T452" s="150" t="n"/>
      <c r="U452" s="150" t="n"/>
      <c r="V452" s="37" t="n"/>
      <c r="W452" s="151" t="n"/>
      <c r="X452" s="151" t="n"/>
      <c r="Y452" s="151" t="n"/>
      <c r="Z452" s="151" t="n"/>
      <c r="AA452" s="151" t="n"/>
      <c r="AB452" s="152" t="n"/>
      <c r="AC452" s="152" t="n"/>
      <c r="AD452" s="152" t="n"/>
      <c r="AE452" s="152" t="n"/>
      <c r="AF452" s="152" t="n"/>
    </row>
    <row r="453" ht="15.75" customHeight="1" s="201">
      <c r="A453" s="97" t="n"/>
      <c r="B453" s="97" t="n"/>
      <c r="C453" s="97" t="n"/>
      <c r="D453" s="97" t="n"/>
      <c r="E453" s="97" t="n"/>
      <c r="F453" s="148" t="n"/>
      <c r="G453" s="148" t="n"/>
      <c r="H453" s="148" t="n"/>
      <c r="I453" s="148" t="n"/>
      <c r="J453" s="149" t="n"/>
      <c r="K453" s="97" t="n"/>
      <c r="L453" s="148" t="n"/>
      <c r="M453" s="148" t="n"/>
      <c r="N453" s="148" t="n"/>
      <c r="O453" s="148" t="n"/>
      <c r="P453" s="148" t="n"/>
      <c r="Q453" s="148" t="n"/>
      <c r="R453" s="148" t="n"/>
      <c r="S453" s="148" t="n"/>
      <c r="T453" s="150" t="n"/>
      <c r="U453" s="150" t="n"/>
      <c r="V453" s="37" t="n"/>
      <c r="W453" s="151" t="n"/>
      <c r="X453" s="151" t="n"/>
      <c r="Y453" s="151" t="n"/>
      <c r="Z453" s="151" t="n"/>
      <c r="AA453" s="151" t="n"/>
      <c r="AB453" s="152" t="n"/>
      <c r="AC453" s="152" t="n"/>
      <c r="AD453" s="152" t="n"/>
      <c r="AE453" s="152" t="n"/>
      <c r="AF453" s="152" t="n"/>
    </row>
    <row r="454" ht="15.75" customHeight="1" s="201">
      <c r="A454" s="97" t="n"/>
      <c r="B454" s="97" t="n"/>
      <c r="C454" s="97" t="n"/>
      <c r="D454" s="97" t="n"/>
      <c r="E454" s="97" t="n"/>
      <c r="F454" s="148" t="n"/>
      <c r="G454" s="148" t="n"/>
      <c r="H454" s="148" t="n"/>
      <c r="I454" s="148" t="n"/>
      <c r="J454" s="149" t="n"/>
      <c r="K454" s="97" t="n"/>
      <c r="L454" s="148" t="n"/>
      <c r="M454" s="148" t="n"/>
      <c r="N454" s="148" t="n"/>
      <c r="O454" s="148" t="n"/>
      <c r="P454" s="148" t="n"/>
      <c r="Q454" s="148" t="n"/>
      <c r="R454" s="148" t="n"/>
      <c r="S454" s="148" t="n"/>
      <c r="T454" s="150" t="n"/>
      <c r="U454" s="150" t="n"/>
      <c r="V454" s="37" t="n"/>
      <c r="W454" s="151" t="n"/>
      <c r="X454" s="151" t="n"/>
      <c r="Y454" s="151" t="n"/>
      <c r="Z454" s="151" t="n"/>
      <c r="AA454" s="151" t="n"/>
      <c r="AB454" s="152" t="n"/>
      <c r="AC454" s="152" t="n"/>
      <c r="AD454" s="152" t="n"/>
      <c r="AE454" s="152" t="n"/>
      <c r="AF454" s="152" t="n"/>
    </row>
    <row r="455" ht="15.75" customHeight="1" s="201">
      <c r="A455" s="97" t="n"/>
      <c r="B455" s="97" t="n"/>
      <c r="C455" s="97" t="n"/>
      <c r="D455" s="97" t="n"/>
      <c r="E455" s="97" t="n"/>
      <c r="F455" s="148" t="n"/>
      <c r="G455" s="148" t="n"/>
      <c r="H455" s="148" t="n"/>
      <c r="I455" s="148" t="n"/>
      <c r="J455" s="149" t="n"/>
      <c r="K455" s="97" t="n"/>
      <c r="L455" s="148" t="n"/>
      <c r="M455" s="148" t="n"/>
      <c r="N455" s="148" t="n"/>
      <c r="O455" s="148" t="n"/>
      <c r="P455" s="148" t="n"/>
      <c r="Q455" s="148" t="n"/>
      <c r="R455" s="148" t="n"/>
      <c r="S455" s="148" t="n"/>
      <c r="T455" s="150" t="n"/>
      <c r="U455" s="150" t="n"/>
      <c r="V455" s="37" t="n"/>
      <c r="W455" s="151" t="n"/>
      <c r="X455" s="151" t="n"/>
      <c r="Y455" s="151" t="n"/>
      <c r="Z455" s="151" t="n"/>
      <c r="AA455" s="151" t="n"/>
      <c r="AB455" s="152" t="n"/>
      <c r="AC455" s="152" t="n"/>
      <c r="AD455" s="152" t="n"/>
      <c r="AE455" s="152" t="n"/>
      <c r="AF455" s="152" t="n"/>
    </row>
    <row r="456" ht="15.75" customHeight="1" s="201">
      <c r="A456" s="97" t="n"/>
      <c r="B456" s="97" t="n"/>
      <c r="C456" s="97" t="n"/>
      <c r="D456" s="97" t="n"/>
      <c r="E456" s="97" t="n"/>
      <c r="F456" s="148" t="n"/>
      <c r="G456" s="148" t="n"/>
      <c r="H456" s="148" t="n"/>
      <c r="I456" s="148" t="n"/>
      <c r="J456" s="149" t="n"/>
      <c r="K456" s="97" t="n"/>
      <c r="L456" s="148" t="n"/>
      <c r="M456" s="148" t="n"/>
      <c r="N456" s="148" t="n"/>
      <c r="O456" s="148" t="n"/>
      <c r="P456" s="148" t="n"/>
      <c r="Q456" s="148" t="n"/>
      <c r="R456" s="148" t="n"/>
      <c r="S456" s="148" t="n"/>
      <c r="T456" s="150" t="n"/>
      <c r="U456" s="150" t="n"/>
      <c r="V456" s="37" t="n"/>
      <c r="W456" s="151" t="n"/>
      <c r="X456" s="151" t="n"/>
      <c r="Y456" s="151" t="n"/>
      <c r="Z456" s="151" t="n"/>
      <c r="AA456" s="151" t="n"/>
      <c r="AB456" s="152" t="n"/>
      <c r="AC456" s="152" t="n"/>
      <c r="AD456" s="152" t="n"/>
      <c r="AE456" s="152" t="n"/>
      <c r="AF456" s="152" t="n"/>
    </row>
    <row r="457" ht="15.75" customHeight="1" s="201">
      <c r="A457" s="97" t="n"/>
      <c r="B457" s="97" t="n"/>
      <c r="C457" s="97" t="n"/>
      <c r="D457" s="97" t="n"/>
      <c r="E457" s="97" t="n"/>
      <c r="F457" s="148" t="n"/>
      <c r="G457" s="148" t="n"/>
      <c r="H457" s="148" t="n"/>
      <c r="I457" s="148" t="n"/>
      <c r="J457" s="149" t="n"/>
      <c r="K457" s="97" t="n"/>
      <c r="L457" s="148" t="n"/>
      <c r="M457" s="148" t="n"/>
      <c r="N457" s="148" t="n"/>
      <c r="O457" s="148" t="n"/>
      <c r="P457" s="148" t="n"/>
      <c r="Q457" s="148" t="n"/>
      <c r="R457" s="148" t="n"/>
      <c r="S457" s="148" t="n"/>
      <c r="T457" s="150" t="n"/>
      <c r="U457" s="150" t="n"/>
      <c r="V457" s="37" t="n"/>
      <c r="W457" s="151" t="n"/>
      <c r="X457" s="151" t="n"/>
      <c r="Y457" s="151" t="n"/>
      <c r="Z457" s="151" t="n"/>
      <c r="AA457" s="151" t="n"/>
      <c r="AB457" s="152" t="n"/>
      <c r="AC457" s="152" t="n"/>
      <c r="AD457" s="152" t="n"/>
      <c r="AE457" s="152" t="n"/>
      <c r="AF457" s="152" t="n"/>
    </row>
    <row r="458" ht="15.75" customHeight="1" s="201">
      <c r="A458" s="97" t="n"/>
      <c r="B458" s="97" t="n"/>
      <c r="C458" s="97" t="n"/>
      <c r="D458" s="97" t="n"/>
      <c r="E458" s="97" t="n"/>
      <c r="F458" s="148" t="n"/>
      <c r="G458" s="148" t="n"/>
      <c r="H458" s="148" t="n"/>
      <c r="I458" s="148" t="n"/>
      <c r="J458" s="149" t="n"/>
      <c r="K458" s="97" t="n"/>
      <c r="L458" s="148" t="n"/>
      <c r="M458" s="148" t="n"/>
      <c r="N458" s="148" t="n"/>
      <c r="O458" s="148" t="n"/>
      <c r="P458" s="148" t="n"/>
      <c r="Q458" s="148" t="n"/>
      <c r="R458" s="148" t="n"/>
      <c r="S458" s="148" t="n"/>
      <c r="T458" s="150" t="n"/>
      <c r="U458" s="150" t="n"/>
      <c r="V458" s="37" t="n"/>
      <c r="W458" s="151" t="n"/>
      <c r="X458" s="151" t="n"/>
      <c r="Y458" s="151" t="n"/>
      <c r="Z458" s="151" t="n"/>
      <c r="AA458" s="151" t="n"/>
      <c r="AB458" s="152" t="n"/>
      <c r="AC458" s="152" t="n"/>
      <c r="AD458" s="152" t="n"/>
      <c r="AE458" s="152" t="n"/>
      <c r="AF458" s="152" t="n"/>
    </row>
    <row r="459" ht="15.75" customHeight="1" s="201">
      <c r="A459" s="97" t="n"/>
      <c r="B459" s="97" t="n"/>
      <c r="C459" s="97" t="n"/>
      <c r="D459" s="97" t="n"/>
      <c r="E459" s="97" t="n"/>
      <c r="F459" s="148" t="n"/>
      <c r="G459" s="148" t="n"/>
      <c r="H459" s="148" t="n"/>
      <c r="I459" s="148" t="n"/>
      <c r="J459" s="149" t="n"/>
      <c r="K459" s="97" t="n"/>
      <c r="L459" s="148" t="n"/>
      <c r="M459" s="148" t="n"/>
      <c r="N459" s="148" t="n"/>
      <c r="O459" s="148" t="n"/>
      <c r="P459" s="148" t="n"/>
      <c r="Q459" s="148" t="n"/>
      <c r="R459" s="148" t="n"/>
      <c r="S459" s="148" t="n"/>
      <c r="T459" s="150" t="n"/>
      <c r="U459" s="150" t="n"/>
      <c r="V459" s="37" t="n"/>
      <c r="W459" s="151" t="n"/>
      <c r="X459" s="151" t="n"/>
      <c r="Y459" s="151" t="n"/>
      <c r="Z459" s="151" t="n"/>
      <c r="AA459" s="151" t="n"/>
      <c r="AB459" s="152" t="n"/>
      <c r="AC459" s="152" t="n"/>
      <c r="AD459" s="152" t="n"/>
      <c r="AE459" s="152" t="n"/>
      <c r="AF459" s="152" t="n"/>
    </row>
    <row r="460" ht="15.75" customHeight="1" s="201">
      <c r="A460" s="97" t="n"/>
      <c r="B460" s="97" t="n"/>
      <c r="C460" s="97" t="n"/>
      <c r="D460" s="97" t="n"/>
      <c r="E460" s="97" t="n"/>
      <c r="F460" s="148" t="n"/>
      <c r="G460" s="148" t="n"/>
      <c r="H460" s="148" t="n"/>
      <c r="I460" s="148" t="n"/>
      <c r="J460" s="149" t="n"/>
      <c r="K460" s="97" t="n"/>
      <c r="L460" s="148" t="n"/>
      <c r="M460" s="148" t="n"/>
      <c r="N460" s="148" t="n"/>
      <c r="O460" s="148" t="n"/>
      <c r="P460" s="148" t="n"/>
      <c r="Q460" s="148" t="n"/>
      <c r="R460" s="148" t="n"/>
      <c r="S460" s="148" t="n"/>
      <c r="T460" s="150" t="n"/>
      <c r="U460" s="150" t="n"/>
      <c r="V460" s="37" t="n"/>
      <c r="W460" s="151" t="n"/>
      <c r="X460" s="151" t="n"/>
      <c r="Y460" s="151" t="n"/>
      <c r="Z460" s="151" t="n"/>
      <c r="AA460" s="151" t="n"/>
      <c r="AB460" s="152" t="n"/>
      <c r="AC460" s="152" t="n"/>
      <c r="AD460" s="152" t="n"/>
      <c r="AE460" s="152" t="n"/>
      <c r="AF460" s="152" t="n"/>
    </row>
    <row r="461" ht="15.75" customHeight="1" s="201">
      <c r="A461" s="97" t="n"/>
      <c r="B461" s="97" t="n"/>
      <c r="C461" s="97" t="n"/>
      <c r="D461" s="97" t="n"/>
      <c r="E461" s="97" t="n"/>
      <c r="F461" s="148" t="n"/>
      <c r="G461" s="148" t="n"/>
      <c r="H461" s="148" t="n"/>
      <c r="I461" s="148" t="n"/>
      <c r="J461" s="149" t="n"/>
      <c r="K461" s="97" t="n"/>
      <c r="L461" s="148" t="n"/>
      <c r="M461" s="148" t="n"/>
      <c r="N461" s="148" t="n"/>
      <c r="O461" s="148" t="n"/>
      <c r="P461" s="148" t="n"/>
      <c r="Q461" s="148" t="n"/>
      <c r="R461" s="148" t="n"/>
      <c r="S461" s="148" t="n"/>
      <c r="T461" s="150" t="n"/>
      <c r="U461" s="150" t="n"/>
      <c r="V461" s="37" t="n"/>
      <c r="W461" s="151" t="n"/>
      <c r="X461" s="151" t="n"/>
      <c r="Y461" s="151" t="n"/>
      <c r="Z461" s="151" t="n"/>
      <c r="AA461" s="151" t="n"/>
      <c r="AB461" s="152" t="n"/>
      <c r="AC461" s="152" t="n"/>
      <c r="AD461" s="152" t="n"/>
      <c r="AE461" s="152" t="n"/>
      <c r="AF461" s="152" t="n"/>
    </row>
    <row r="462" ht="15.75" customHeight="1" s="201">
      <c r="A462" s="97" t="n"/>
      <c r="B462" s="97" t="n"/>
      <c r="C462" s="97" t="n"/>
      <c r="D462" s="97" t="n"/>
      <c r="E462" s="97" t="n"/>
      <c r="F462" s="148" t="n"/>
      <c r="G462" s="148" t="n"/>
      <c r="H462" s="148" t="n"/>
      <c r="I462" s="148" t="n"/>
      <c r="J462" s="149" t="n"/>
      <c r="K462" s="97" t="n"/>
      <c r="L462" s="148" t="n"/>
      <c r="M462" s="148" t="n"/>
      <c r="N462" s="148" t="n"/>
      <c r="O462" s="148" t="n"/>
      <c r="P462" s="148" t="n"/>
      <c r="Q462" s="148" t="n"/>
      <c r="R462" s="148" t="n"/>
      <c r="S462" s="148" t="n"/>
      <c r="T462" s="150" t="n"/>
      <c r="U462" s="150" t="n"/>
      <c r="V462" s="37" t="n"/>
      <c r="W462" s="151" t="n"/>
      <c r="X462" s="151" t="n"/>
      <c r="Y462" s="151" t="n"/>
      <c r="Z462" s="151" t="n"/>
      <c r="AA462" s="151" t="n"/>
      <c r="AB462" s="152" t="n"/>
      <c r="AC462" s="152" t="n"/>
      <c r="AD462" s="152" t="n"/>
      <c r="AE462" s="152" t="n"/>
      <c r="AF462" s="152" t="n"/>
    </row>
    <row r="463" ht="15.75" customHeight="1" s="201">
      <c r="A463" s="97" t="n"/>
      <c r="B463" s="97" t="n"/>
      <c r="C463" s="97" t="n"/>
      <c r="D463" s="97" t="n"/>
      <c r="E463" s="97" t="n"/>
      <c r="F463" s="148" t="n"/>
      <c r="G463" s="148" t="n"/>
      <c r="H463" s="148" t="n"/>
      <c r="I463" s="148" t="n"/>
      <c r="J463" s="149" t="n"/>
      <c r="K463" s="97" t="n"/>
      <c r="L463" s="148" t="n"/>
      <c r="M463" s="148" t="n"/>
      <c r="N463" s="148" t="n"/>
      <c r="O463" s="148" t="n"/>
      <c r="P463" s="148" t="n"/>
      <c r="Q463" s="148" t="n"/>
      <c r="R463" s="148" t="n"/>
      <c r="S463" s="148" t="n"/>
      <c r="T463" s="150" t="n"/>
      <c r="U463" s="150" t="n"/>
      <c r="V463" s="37" t="n"/>
      <c r="W463" s="151" t="n"/>
      <c r="X463" s="151" t="n"/>
      <c r="Y463" s="151" t="n"/>
      <c r="Z463" s="151" t="n"/>
      <c r="AA463" s="151" t="n"/>
      <c r="AB463" s="152" t="n"/>
      <c r="AC463" s="152" t="n"/>
      <c r="AD463" s="152" t="n"/>
      <c r="AE463" s="152" t="n"/>
      <c r="AF463" s="152" t="n"/>
    </row>
    <row r="464" ht="15.75" customHeight="1" s="201">
      <c r="A464" s="97" t="n"/>
      <c r="B464" s="97" t="n"/>
      <c r="C464" s="97" t="n"/>
      <c r="D464" s="97" t="n"/>
      <c r="E464" s="97" t="n"/>
      <c r="F464" s="148" t="n"/>
      <c r="G464" s="148" t="n"/>
      <c r="H464" s="148" t="n"/>
      <c r="I464" s="148" t="n"/>
      <c r="J464" s="149" t="n"/>
      <c r="K464" s="97" t="n"/>
      <c r="L464" s="148" t="n"/>
      <c r="M464" s="148" t="n"/>
      <c r="N464" s="148" t="n"/>
      <c r="O464" s="148" t="n"/>
      <c r="P464" s="148" t="n"/>
      <c r="Q464" s="148" t="n"/>
      <c r="R464" s="148" t="n"/>
      <c r="S464" s="148" t="n"/>
      <c r="T464" s="150" t="n"/>
      <c r="U464" s="150" t="n"/>
      <c r="V464" s="37" t="n"/>
      <c r="W464" s="151" t="n"/>
      <c r="X464" s="151" t="n"/>
      <c r="Y464" s="151" t="n"/>
      <c r="Z464" s="151" t="n"/>
      <c r="AA464" s="151" t="n"/>
      <c r="AB464" s="152" t="n"/>
      <c r="AC464" s="152" t="n"/>
      <c r="AD464" s="152" t="n"/>
      <c r="AE464" s="152" t="n"/>
      <c r="AF464" s="152" t="n"/>
    </row>
    <row r="465" ht="15.75" customHeight="1" s="201">
      <c r="A465" s="97" t="n"/>
      <c r="B465" s="97" t="n"/>
      <c r="C465" s="97" t="n"/>
      <c r="D465" s="97" t="n"/>
      <c r="E465" s="97" t="n"/>
      <c r="F465" s="148" t="n"/>
      <c r="G465" s="148" t="n"/>
      <c r="H465" s="148" t="n"/>
      <c r="I465" s="148" t="n"/>
      <c r="J465" s="149" t="n"/>
      <c r="K465" s="97" t="n"/>
      <c r="L465" s="148" t="n"/>
      <c r="M465" s="148" t="n"/>
      <c r="N465" s="148" t="n"/>
      <c r="O465" s="148" t="n"/>
      <c r="P465" s="148" t="n"/>
      <c r="Q465" s="148" t="n"/>
      <c r="R465" s="148" t="n"/>
      <c r="S465" s="148" t="n"/>
      <c r="T465" s="150" t="n"/>
      <c r="U465" s="150" t="n"/>
      <c r="V465" s="37" t="n"/>
      <c r="W465" s="151" t="n"/>
      <c r="X465" s="151" t="n"/>
      <c r="Y465" s="151" t="n"/>
      <c r="Z465" s="151" t="n"/>
      <c r="AA465" s="151" t="n"/>
      <c r="AB465" s="152" t="n"/>
      <c r="AC465" s="152" t="n"/>
      <c r="AD465" s="152" t="n"/>
      <c r="AE465" s="152" t="n"/>
      <c r="AF465" s="152" t="n"/>
    </row>
    <row r="466" ht="15.75" customHeight="1" s="201">
      <c r="A466" s="97" t="n"/>
      <c r="B466" s="97" t="n"/>
      <c r="C466" s="97" t="n"/>
      <c r="D466" s="97" t="n"/>
      <c r="E466" s="97" t="n"/>
      <c r="F466" s="148" t="n"/>
      <c r="G466" s="148" t="n"/>
      <c r="H466" s="148" t="n"/>
      <c r="I466" s="148" t="n"/>
      <c r="J466" s="149" t="n"/>
      <c r="K466" s="97" t="n"/>
      <c r="L466" s="148" t="n"/>
      <c r="M466" s="148" t="n"/>
      <c r="N466" s="148" t="n"/>
      <c r="O466" s="148" t="n"/>
      <c r="P466" s="148" t="n"/>
      <c r="Q466" s="148" t="n"/>
      <c r="R466" s="148" t="n"/>
      <c r="S466" s="148" t="n"/>
      <c r="T466" s="150" t="n"/>
      <c r="U466" s="150" t="n"/>
      <c r="V466" s="37" t="n"/>
      <c r="W466" s="151" t="n"/>
      <c r="X466" s="151" t="n"/>
      <c r="Y466" s="151" t="n"/>
      <c r="Z466" s="151" t="n"/>
      <c r="AA466" s="151" t="n"/>
      <c r="AB466" s="152" t="n"/>
      <c r="AC466" s="152" t="n"/>
      <c r="AD466" s="152" t="n"/>
      <c r="AE466" s="152" t="n"/>
      <c r="AF466" s="152" t="n"/>
    </row>
    <row r="467" ht="15.75" customHeight="1" s="201">
      <c r="A467" s="97" t="n"/>
      <c r="B467" s="97" t="n"/>
      <c r="C467" s="97" t="n"/>
      <c r="D467" s="97" t="n"/>
      <c r="E467" s="97" t="n"/>
      <c r="F467" s="148" t="n"/>
      <c r="G467" s="148" t="n"/>
      <c r="H467" s="148" t="n"/>
      <c r="I467" s="148" t="n"/>
      <c r="J467" s="149" t="n"/>
      <c r="K467" s="97" t="n"/>
      <c r="L467" s="148" t="n"/>
      <c r="M467" s="148" t="n"/>
      <c r="N467" s="148" t="n"/>
      <c r="O467" s="148" t="n"/>
      <c r="P467" s="148" t="n"/>
      <c r="Q467" s="148" t="n"/>
      <c r="R467" s="148" t="n"/>
      <c r="S467" s="148" t="n"/>
      <c r="T467" s="150" t="n"/>
      <c r="U467" s="150" t="n"/>
      <c r="V467" s="37" t="n"/>
      <c r="W467" s="151" t="n"/>
      <c r="X467" s="151" t="n"/>
      <c r="Y467" s="151" t="n"/>
      <c r="Z467" s="151" t="n"/>
      <c r="AA467" s="151" t="n"/>
      <c r="AB467" s="152" t="n"/>
      <c r="AC467" s="152" t="n"/>
      <c r="AD467" s="152" t="n"/>
      <c r="AE467" s="152" t="n"/>
      <c r="AF467" s="152" t="n"/>
    </row>
    <row r="468" ht="15.75" customHeight="1" s="201">
      <c r="A468" s="97" t="n"/>
      <c r="B468" s="97" t="n"/>
      <c r="C468" s="97" t="n"/>
      <c r="D468" s="97" t="n"/>
      <c r="E468" s="97" t="n"/>
      <c r="F468" s="148" t="n"/>
      <c r="G468" s="148" t="n"/>
      <c r="H468" s="148" t="n"/>
      <c r="I468" s="148" t="n"/>
      <c r="J468" s="149" t="n"/>
      <c r="K468" s="97" t="n"/>
      <c r="L468" s="148" t="n"/>
      <c r="M468" s="148" t="n"/>
      <c r="N468" s="148" t="n"/>
      <c r="O468" s="148" t="n"/>
      <c r="P468" s="148" t="n"/>
      <c r="Q468" s="148" t="n"/>
      <c r="R468" s="148" t="n"/>
      <c r="S468" s="148" t="n"/>
      <c r="T468" s="150" t="n"/>
      <c r="U468" s="150" t="n"/>
      <c r="V468" s="37" t="n"/>
      <c r="W468" s="151" t="n"/>
      <c r="X468" s="151" t="n"/>
      <c r="Y468" s="151" t="n"/>
      <c r="Z468" s="151" t="n"/>
      <c r="AA468" s="151" t="n"/>
      <c r="AB468" s="152" t="n"/>
      <c r="AC468" s="152" t="n"/>
      <c r="AD468" s="152" t="n"/>
      <c r="AE468" s="152" t="n"/>
      <c r="AF468" s="152" t="n"/>
    </row>
    <row r="469" ht="15.75" customHeight="1" s="201">
      <c r="A469" s="97" t="n"/>
      <c r="B469" s="97" t="n"/>
      <c r="C469" s="97" t="n"/>
      <c r="D469" s="97" t="n"/>
      <c r="E469" s="97" t="n"/>
      <c r="F469" s="148" t="n"/>
      <c r="G469" s="148" t="n"/>
      <c r="H469" s="148" t="n"/>
      <c r="I469" s="148" t="n"/>
      <c r="J469" s="149" t="n"/>
      <c r="K469" s="97" t="n"/>
      <c r="L469" s="148" t="n"/>
      <c r="M469" s="148" t="n"/>
      <c r="N469" s="148" t="n"/>
      <c r="O469" s="148" t="n"/>
      <c r="P469" s="148" t="n"/>
      <c r="Q469" s="148" t="n"/>
      <c r="R469" s="148" t="n"/>
      <c r="S469" s="148" t="n"/>
      <c r="T469" s="150" t="n"/>
      <c r="U469" s="150" t="n"/>
      <c r="V469" s="37" t="n"/>
      <c r="W469" s="151" t="n"/>
      <c r="X469" s="151" t="n"/>
      <c r="Y469" s="151" t="n"/>
      <c r="Z469" s="151" t="n"/>
      <c r="AA469" s="151" t="n"/>
      <c r="AB469" s="152" t="n"/>
      <c r="AC469" s="152" t="n"/>
      <c r="AD469" s="152" t="n"/>
      <c r="AE469" s="152" t="n"/>
      <c r="AF469" s="152" t="n"/>
    </row>
    <row r="470" ht="15.75" customHeight="1" s="201">
      <c r="A470" s="97" t="n"/>
      <c r="B470" s="97" t="n"/>
      <c r="C470" s="97" t="n"/>
      <c r="D470" s="97" t="n"/>
      <c r="E470" s="97" t="n"/>
      <c r="F470" s="148" t="n"/>
      <c r="G470" s="148" t="n"/>
      <c r="H470" s="148" t="n"/>
      <c r="I470" s="148" t="n"/>
      <c r="J470" s="149" t="n"/>
      <c r="K470" s="97" t="n"/>
      <c r="L470" s="148" t="n"/>
      <c r="M470" s="148" t="n"/>
      <c r="N470" s="148" t="n"/>
      <c r="O470" s="148" t="n"/>
      <c r="P470" s="148" t="n"/>
      <c r="Q470" s="148" t="n"/>
      <c r="R470" s="148" t="n"/>
      <c r="S470" s="148" t="n"/>
      <c r="T470" s="150" t="n"/>
      <c r="U470" s="150" t="n"/>
      <c r="V470" s="37" t="n"/>
      <c r="W470" s="151" t="n"/>
      <c r="X470" s="151" t="n"/>
      <c r="Y470" s="151" t="n"/>
      <c r="Z470" s="151" t="n"/>
      <c r="AA470" s="151" t="n"/>
      <c r="AB470" s="152" t="n"/>
      <c r="AC470" s="152" t="n"/>
      <c r="AD470" s="152" t="n"/>
      <c r="AE470" s="152" t="n"/>
      <c r="AF470" s="152" t="n"/>
    </row>
    <row r="471" ht="15.75" customHeight="1" s="201">
      <c r="A471" s="97" t="n"/>
      <c r="B471" s="97" t="n"/>
      <c r="C471" s="97" t="n"/>
      <c r="D471" s="97" t="n"/>
      <c r="E471" s="97" t="n"/>
      <c r="F471" s="148" t="n"/>
      <c r="G471" s="148" t="n"/>
      <c r="H471" s="148" t="n"/>
      <c r="I471" s="148" t="n"/>
      <c r="J471" s="149" t="n"/>
      <c r="K471" s="97" t="n"/>
      <c r="L471" s="148" t="n"/>
      <c r="M471" s="148" t="n"/>
      <c r="N471" s="148" t="n"/>
      <c r="O471" s="148" t="n"/>
      <c r="P471" s="148" t="n"/>
      <c r="Q471" s="148" t="n"/>
      <c r="R471" s="148" t="n"/>
      <c r="S471" s="148" t="n"/>
      <c r="T471" s="150" t="n"/>
      <c r="U471" s="150" t="n"/>
      <c r="V471" s="37" t="n"/>
      <c r="W471" s="151" t="n"/>
      <c r="X471" s="151" t="n"/>
      <c r="Y471" s="151" t="n"/>
      <c r="Z471" s="151" t="n"/>
      <c r="AA471" s="151" t="n"/>
      <c r="AB471" s="152" t="n"/>
      <c r="AC471" s="152" t="n"/>
      <c r="AD471" s="152" t="n"/>
      <c r="AE471" s="152" t="n"/>
      <c r="AF471" s="152" t="n"/>
    </row>
    <row r="472" ht="15.75" customHeight="1" s="201">
      <c r="A472" s="97" t="n"/>
      <c r="B472" s="97" t="n"/>
      <c r="C472" s="97" t="n"/>
      <c r="D472" s="97" t="n"/>
      <c r="E472" s="97" t="n"/>
      <c r="F472" s="148" t="n"/>
      <c r="G472" s="148" t="n"/>
      <c r="H472" s="148" t="n"/>
      <c r="I472" s="148" t="n"/>
      <c r="J472" s="149" t="n"/>
      <c r="K472" s="97" t="n"/>
      <c r="L472" s="148" t="n"/>
      <c r="M472" s="148" t="n"/>
      <c r="N472" s="148" t="n"/>
      <c r="O472" s="148" t="n"/>
      <c r="P472" s="148" t="n"/>
      <c r="Q472" s="148" t="n"/>
      <c r="R472" s="148" t="n"/>
      <c r="S472" s="148" t="n"/>
      <c r="T472" s="150" t="n"/>
      <c r="U472" s="150" t="n"/>
      <c r="V472" s="37" t="n"/>
      <c r="W472" s="151" t="n"/>
      <c r="X472" s="151" t="n"/>
      <c r="Y472" s="151" t="n"/>
      <c r="Z472" s="151" t="n"/>
      <c r="AA472" s="151" t="n"/>
      <c r="AB472" s="152" t="n"/>
      <c r="AC472" s="152" t="n"/>
      <c r="AD472" s="152" t="n"/>
      <c r="AE472" s="152" t="n"/>
      <c r="AF472" s="152" t="n"/>
    </row>
    <row r="473" ht="15.75" customHeight="1" s="201">
      <c r="A473" s="97" t="n"/>
      <c r="B473" s="97" t="n"/>
      <c r="C473" s="97" t="n"/>
      <c r="D473" s="97" t="n"/>
      <c r="E473" s="97" t="n"/>
      <c r="F473" s="148" t="n"/>
      <c r="G473" s="148" t="n"/>
      <c r="H473" s="148" t="n"/>
      <c r="I473" s="148" t="n"/>
      <c r="J473" s="149" t="n"/>
      <c r="K473" s="97" t="n"/>
      <c r="L473" s="148" t="n"/>
      <c r="M473" s="148" t="n"/>
      <c r="N473" s="148" t="n"/>
      <c r="O473" s="148" t="n"/>
      <c r="P473" s="148" t="n"/>
      <c r="Q473" s="148" t="n"/>
      <c r="R473" s="148" t="n"/>
      <c r="S473" s="148" t="n"/>
      <c r="T473" s="150" t="n"/>
      <c r="U473" s="150" t="n"/>
      <c r="V473" s="37" t="n"/>
      <c r="W473" s="151" t="n"/>
      <c r="X473" s="151" t="n"/>
      <c r="Y473" s="151" t="n"/>
      <c r="Z473" s="151" t="n"/>
      <c r="AA473" s="151" t="n"/>
      <c r="AB473" s="152" t="n"/>
      <c r="AC473" s="152" t="n"/>
      <c r="AD473" s="152" t="n"/>
      <c r="AE473" s="152" t="n"/>
      <c r="AF473" s="152" t="n"/>
    </row>
    <row r="474" ht="15.75" customHeight="1" s="201">
      <c r="A474" s="97" t="n"/>
      <c r="B474" s="97" t="n"/>
      <c r="C474" s="97" t="n"/>
      <c r="D474" s="97" t="n"/>
      <c r="E474" s="97" t="n"/>
      <c r="F474" s="148" t="n"/>
      <c r="G474" s="148" t="n"/>
      <c r="H474" s="148" t="n"/>
      <c r="I474" s="148" t="n"/>
      <c r="J474" s="149" t="n"/>
      <c r="K474" s="97" t="n"/>
      <c r="L474" s="148" t="n"/>
      <c r="M474" s="148" t="n"/>
      <c r="N474" s="148" t="n"/>
      <c r="O474" s="148" t="n"/>
      <c r="P474" s="148" t="n"/>
      <c r="Q474" s="148" t="n"/>
      <c r="R474" s="148" t="n"/>
      <c r="S474" s="148" t="n"/>
      <c r="T474" s="150" t="n"/>
      <c r="U474" s="150" t="n"/>
      <c r="V474" s="37" t="n"/>
      <c r="W474" s="151" t="n"/>
      <c r="X474" s="151" t="n"/>
      <c r="Y474" s="151" t="n"/>
      <c r="Z474" s="151" t="n"/>
      <c r="AA474" s="151" t="n"/>
      <c r="AB474" s="152" t="n"/>
      <c r="AC474" s="152" t="n"/>
      <c r="AD474" s="152" t="n"/>
      <c r="AE474" s="152" t="n"/>
      <c r="AF474" s="152" t="n"/>
    </row>
    <row r="475" ht="15.75" customHeight="1" s="201">
      <c r="A475" s="97" t="n"/>
      <c r="B475" s="97" t="n"/>
      <c r="C475" s="97" t="n"/>
      <c r="D475" s="97" t="n"/>
      <c r="E475" s="97" t="n"/>
      <c r="F475" s="148" t="n"/>
      <c r="G475" s="148" t="n"/>
      <c r="H475" s="148" t="n"/>
      <c r="I475" s="148" t="n"/>
      <c r="J475" s="149" t="n"/>
      <c r="K475" s="97" t="n"/>
      <c r="L475" s="148" t="n"/>
      <c r="M475" s="148" t="n"/>
      <c r="N475" s="148" t="n"/>
      <c r="O475" s="148" t="n"/>
      <c r="P475" s="148" t="n"/>
      <c r="Q475" s="148" t="n"/>
      <c r="R475" s="148" t="n"/>
      <c r="S475" s="148" t="n"/>
      <c r="T475" s="150" t="n"/>
      <c r="U475" s="150" t="n"/>
      <c r="V475" s="37" t="n"/>
      <c r="W475" s="151" t="n"/>
      <c r="X475" s="151" t="n"/>
      <c r="Y475" s="151" t="n"/>
      <c r="Z475" s="151" t="n"/>
      <c r="AA475" s="151" t="n"/>
      <c r="AB475" s="152" t="n"/>
      <c r="AC475" s="152" t="n"/>
      <c r="AD475" s="152" t="n"/>
      <c r="AE475" s="152" t="n"/>
      <c r="AF475" s="152" t="n"/>
    </row>
    <row r="476" ht="15.75" customHeight="1" s="201">
      <c r="A476" s="97" t="n"/>
      <c r="B476" s="97" t="n"/>
      <c r="C476" s="97" t="n"/>
      <c r="D476" s="97" t="n"/>
      <c r="E476" s="97" t="n"/>
      <c r="F476" s="148" t="n"/>
      <c r="G476" s="148" t="n"/>
      <c r="H476" s="148" t="n"/>
      <c r="I476" s="148" t="n"/>
      <c r="J476" s="149" t="n"/>
      <c r="K476" s="97" t="n"/>
      <c r="L476" s="148" t="n"/>
      <c r="M476" s="148" t="n"/>
      <c r="N476" s="148" t="n"/>
      <c r="O476" s="148" t="n"/>
      <c r="P476" s="148" t="n"/>
      <c r="Q476" s="148" t="n"/>
      <c r="R476" s="148" t="n"/>
      <c r="S476" s="148" t="n"/>
      <c r="T476" s="150" t="n"/>
      <c r="U476" s="150" t="n"/>
      <c r="V476" s="37" t="n"/>
      <c r="W476" s="151" t="n"/>
      <c r="X476" s="151" t="n"/>
      <c r="Y476" s="151" t="n"/>
      <c r="Z476" s="151" t="n"/>
      <c r="AA476" s="151" t="n"/>
      <c r="AB476" s="152" t="n"/>
      <c r="AC476" s="152" t="n"/>
      <c r="AD476" s="152" t="n"/>
      <c r="AE476" s="152" t="n"/>
      <c r="AF476" s="152" t="n"/>
    </row>
    <row r="477" ht="15.75" customHeight="1" s="201">
      <c r="A477" s="97" t="n"/>
      <c r="B477" s="97" t="n"/>
      <c r="C477" s="97" t="n"/>
      <c r="D477" s="97" t="n"/>
      <c r="E477" s="97" t="n"/>
      <c r="F477" s="148" t="n"/>
      <c r="G477" s="148" t="n"/>
      <c r="H477" s="148" t="n"/>
      <c r="I477" s="148" t="n"/>
      <c r="J477" s="149" t="n"/>
      <c r="K477" s="97" t="n"/>
      <c r="L477" s="148" t="n"/>
      <c r="M477" s="148" t="n"/>
      <c r="N477" s="148" t="n"/>
      <c r="O477" s="148" t="n"/>
      <c r="P477" s="148" t="n"/>
      <c r="Q477" s="148" t="n"/>
      <c r="R477" s="148" t="n"/>
      <c r="S477" s="148" t="n"/>
      <c r="T477" s="150" t="n"/>
      <c r="U477" s="150" t="n"/>
      <c r="V477" s="37" t="n"/>
      <c r="W477" s="151" t="n"/>
      <c r="X477" s="151" t="n"/>
      <c r="Y477" s="151" t="n"/>
      <c r="Z477" s="151" t="n"/>
      <c r="AA477" s="151" t="n"/>
      <c r="AB477" s="152" t="n"/>
      <c r="AC477" s="152" t="n"/>
      <c r="AD477" s="152" t="n"/>
      <c r="AE477" s="152" t="n"/>
      <c r="AF477" s="152" t="n"/>
    </row>
    <row r="478" ht="15.75" customHeight="1" s="201">
      <c r="A478" s="97" t="n"/>
      <c r="B478" s="97" t="n"/>
      <c r="C478" s="97" t="n"/>
      <c r="D478" s="97" t="n"/>
      <c r="E478" s="97" t="n"/>
      <c r="F478" s="148" t="n"/>
      <c r="G478" s="148" t="n"/>
      <c r="H478" s="148" t="n"/>
      <c r="I478" s="148" t="n"/>
      <c r="J478" s="149" t="n"/>
      <c r="K478" s="97" t="n"/>
      <c r="L478" s="148" t="n"/>
      <c r="M478" s="148" t="n"/>
      <c r="N478" s="148" t="n"/>
      <c r="O478" s="148" t="n"/>
      <c r="P478" s="148" t="n"/>
      <c r="Q478" s="148" t="n"/>
      <c r="R478" s="148" t="n"/>
      <c r="S478" s="148" t="n"/>
      <c r="T478" s="150" t="n"/>
      <c r="U478" s="150" t="n"/>
      <c r="V478" s="37" t="n"/>
      <c r="W478" s="151" t="n"/>
      <c r="X478" s="151" t="n"/>
      <c r="Y478" s="151" t="n"/>
      <c r="Z478" s="151" t="n"/>
      <c r="AA478" s="151" t="n"/>
      <c r="AB478" s="152" t="n"/>
      <c r="AC478" s="152" t="n"/>
      <c r="AD478" s="152" t="n"/>
      <c r="AE478" s="152" t="n"/>
      <c r="AF478" s="152" t="n"/>
    </row>
    <row r="479" ht="15.75" customHeight="1" s="201">
      <c r="A479" s="97" t="n"/>
      <c r="B479" s="97" t="n"/>
      <c r="C479" s="97" t="n"/>
      <c r="D479" s="97" t="n"/>
      <c r="E479" s="97" t="n"/>
      <c r="F479" s="148" t="n"/>
      <c r="G479" s="148" t="n"/>
      <c r="H479" s="148" t="n"/>
      <c r="I479" s="148" t="n"/>
      <c r="J479" s="149" t="n"/>
      <c r="K479" s="97" t="n"/>
      <c r="L479" s="148" t="n"/>
      <c r="M479" s="148" t="n"/>
      <c r="N479" s="148" t="n"/>
      <c r="O479" s="148" t="n"/>
      <c r="P479" s="148" t="n"/>
      <c r="Q479" s="148" t="n"/>
      <c r="R479" s="148" t="n"/>
      <c r="S479" s="148" t="n"/>
      <c r="T479" s="150" t="n"/>
      <c r="U479" s="150" t="n"/>
      <c r="V479" s="37" t="n"/>
      <c r="W479" s="151" t="n"/>
      <c r="X479" s="151" t="n"/>
      <c r="Y479" s="151" t="n"/>
      <c r="Z479" s="151" t="n"/>
      <c r="AA479" s="151" t="n"/>
      <c r="AB479" s="152" t="n"/>
      <c r="AC479" s="152" t="n"/>
      <c r="AD479" s="152" t="n"/>
      <c r="AE479" s="152" t="n"/>
      <c r="AF479" s="152" t="n"/>
    </row>
    <row r="480" ht="15.75" customHeight="1" s="201">
      <c r="A480" s="97" t="n"/>
      <c r="B480" s="97" t="n"/>
      <c r="C480" s="97" t="n"/>
      <c r="D480" s="97" t="n"/>
      <c r="E480" s="97" t="n"/>
      <c r="F480" s="148" t="n"/>
      <c r="G480" s="148" t="n"/>
      <c r="H480" s="148" t="n"/>
      <c r="I480" s="148" t="n"/>
      <c r="J480" s="149" t="n"/>
      <c r="K480" s="97" t="n"/>
      <c r="L480" s="148" t="n"/>
      <c r="M480" s="148" t="n"/>
      <c r="N480" s="148" t="n"/>
      <c r="O480" s="148" t="n"/>
      <c r="P480" s="148" t="n"/>
      <c r="Q480" s="148" t="n"/>
      <c r="R480" s="148" t="n"/>
      <c r="S480" s="148" t="n"/>
      <c r="T480" s="150" t="n"/>
      <c r="U480" s="150" t="n"/>
      <c r="V480" s="37" t="n"/>
      <c r="W480" s="151" t="n"/>
      <c r="X480" s="151" t="n"/>
      <c r="Y480" s="151" t="n"/>
      <c r="Z480" s="151" t="n"/>
      <c r="AA480" s="151" t="n"/>
      <c r="AB480" s="152" t="n"/>
      <c r="AC480" s="152" t="n"/>
      <c r="AD480" s="152" t="n"/>
      <c r="AE480" s="152" t="n"/>
      <c r="AF480" s="152" t="n"/>
    </row>
    <row r="481" ht="15.75" customHeight="1" s="201">
      <c r="A481" s="97" t="n"/>
      <c r="B481" s="97" t="n"/>
      <c r="C481" s="97" t="n"/>
      <c r="D481" s="97" t="n"/>
      <c r="E481" s="97" t="n"/>
      <c r="F481" s="148" t="n"/>
      <c r="G481" s="148" t="n"/>
      <c r="H481" s="148" t="n"/>
      <c r="I481" s="148" t="n"/>
      <c r="J481" s="149" t="n"/>
      <c r="K481" s="97" t="n"/>
      <c r="L481" s="148" t="n"/>
      <c r="M481" s="148" t="n"/>
      <c r="N481" s="148" t="n"/>
      <c r="O481" s="148" t="n"/>
      <c r="P481" s="148" t="n"/>
      <c r="Q481" s="148" t="n"/>
      <c r="R481" s="148" t="n"/>
      <c r="S481" s="148" t="n"/>
      <c r="T481" s="150" t="n"/>
      <c r="U481" s="150" t="n"/>
      <c r="V481" s="37" t="n"/>
      <c r="W481" s="151" t="n"/>
      <c r="X481" s="151" t="n"/>
      <c r="Y481" s="151" t="n"/>
      <c r="Z481" s="151" t="n"/>
      <c r="AA481" s="151" t="n"/>
      <c r="AB481" s="152" t="n"/>
      <c r="AC481" s="152" t="n"/>
      <c r="AD481" s="152" t="n"/>
      <c r="AE481" s="152" t="n"/>
      <c r="AF481" s="152" t="n"/>
    </row>
    <row r="482" ht="15.75" customHeight="1" s="201">
      <c r="A482" s="97" t="n"/>
      <c r="B482" s="97" t="n"/>
      <c r="C482" s="97" t="n"/>
      <c r="D482" s="97" t="n"/>
      <c r="E482" s="97" t="n"/>
      <c r="F482" s="148" t="n"/>
      <c r="G482" s="148" t="n"/>
      <c r="H482" s="148" t="n"/>
      <c r="I482" s="148" t="n"/>
      <c r="J482" s="149" t="n"/>
      <c r="K482" s="97" t="n"/>
      <c r="L482" s="148" t="n"/>
      <c r="M482" s="148" t="n"/>
      <c r="N482" s="148" t="n"/>
      <c r="O482" s="148" t="n"/>
      <c r="P482" s="148" t="n"/>
      <c r="Q482" s="148" t="n"/>
      <c r="R482" s="148" t="n"/>
      <c r="S482" s="148" t="n"/>
      <c r="T482" s="150" t="n"/>
      <c r="U482" s="150" t="n"/>
      <c r="V482" s="37" t="n"/>
      <c r="W482" s="151" t="n"/>
      <c r="X482" s="151" t="n"/>
      <c r="Y482" s="151" t="n"/>
      <c r="Z482" s="151" t="n"/>
      <c r="AA482" s="151" t="n"/>
      <c r="AB482" s="152" t="n"/>
      <c r="AC482" s="152" t="n"/>
      <c r="AD482" s="152" t="n"/>
      <c r="AE482" s="152" t="n"/>
      <c r="AF482" s="152" t="n"/>
    </row>
    <row r="483" ht="15.75" customHeight="1" s="201">
      <c r="A483" s="97" t="n"/>
      <c r="B483" s="97" t="n"/>
      <c r="C483" s="97" t="n"/>
      <c r="D483" s="97" t="n"/>
      <c r="E483" s="97" t="n"/>
      <c r="F483" s="148" t="n"/>
      <c r="G483" s="148" t="n"/>
      <c r="H483" s="148" t="n"/>
      <c r="I483" s="148" t="n"/>
      <c r="J483" s="149" t="n"/>
      <c r="K483" s="97" t="n"/>
      <c r="L483" s="148" t="n"/>
      <c r="M483" s="148" t="n"/>
      <c r="N483" s="148" t="n"/>
      <c r="O483" s="148" t="n"/>
      <c r="P483" s="148" t="n"/>
      <c r="Q483" s="148" t="n"/>
      <c r="R483" s="148" t="n"/>
      <c r="S483" s="148" t="n"/>
      <c r="T483" s="150" t="n"/>
      <c r="U483" s="150" t="n"/>
      <c r="V483" s="37" t="n"/>
      <c r="W483" s="151" t="n"/>
      <c r="X483" s="151" t="n"/>
      <c r="Y483" s="151" t="n"/>
      <c r="Z483" s="151" t="n"/>
      <c r="AA483" s="151" t="n"/>
      <c r="AB483" s="152" t="n"/>
      <c r="AC483" s="152" t="n"/>
      <c r="AD483" s="152" t="n"/>
      <c r="AE483" s="152" t="n"/>
      <c r="AF483" s="152" t="n"/>
    </row>
    <row r="484" ht="15.75" customHeight="1" s="201">
      <c r="A484" s="97" t="n"/>
      <c r="B484" s="97" t="n"/>
      <c r="C484" s="97" t="n"/>
      <c r="D484" s="97" t="n"/>
      <c r="E484" s="97" t="n"/>
      <c r="F484" s="148" t="n"/>
      <c r="G484" s="148" t="n"/>
      <c r="H484" s="148" t="n"/>
      <c r="I484" s="148" t="n"/>
      <c r="J484" s="149" t="n"/>
      <c r="K484" s="97" t="n"/>
      <c r="L484" s="148" t="n"/>
      <c r="M484" s="148" t="n"/>
      <c r="N484" s="148" t="n"/>
      <c r="O484" s="148" t="n"/>
      <c r="P484" s="148" t="n"/>
      <c r="Q484" s="148" t="n"/>
      <c r="R484" s="148" t="n"/>
      <c r="S484" s="148" t="n"/>
      <c r="T484" s="150" t="n"/>
      <c r="U484" s="150" t="n"/>
      <c r="V484" s="37" t="n"/>
      <c r="W484" s="151" t="n"/>
      <c r="X484" s="151" t="n"/>
      <c r="Y484" s="151" t="n"/>
      <c r="Z484" s="151" t="n"/>
      <c r="AA484" s="151" t="n"/>
      <c r="AB484" s="152" t="n"/>
      <c r="AC484" s="152" t="n"/>
      <c r="AD484" s="152" t="n"/>
      <c r="AE484" s="152" t="n"/>
      <c r="AF484" s="152" t="n"/>
    </row>
    <row r="485" ht="15.75" customHeight="1" s="201">
      <c r="A485" s="97" t="n"/>
      <c r="B485" s="97" t="n"/>
      <c r="C485" s="97" t="n"/>
      <c r="D485" s="97" t="n"/>
      <c r="E485" s="97" t="n"/>
      <c r="F485" s="148" t="n"/>
      <c r="G485" s="148" t="n"/>
      <c r="H485" s="148" t="n"/>
      <c r="I485" s="148" t="n"/>
      <c r="J485" s="149" t="n"/>
      <c r="K485" s="97" t="n"/>
      <c r="L485" s="148" t="n"/>
      <c r="M485" s="148" t="n"/>
      <c r="N485" s="148" t="n"/>
      <c r="O485" s="148" t="n"/>
      <c r="P485" s="148" t="n"/>
      <c r="Q485" s="148" t="n"/>
      <c r="R485" s="148" t="n"/>
      <c r="S485" s="148" t="n"/>
      <c r="T485" s="150" t="n"/>
      <c r="U485" s="150" t="n"/>
      <c r="V485" s="37" t="n"/>
      <c r="W485" s="151" t="n"/>
      <c r="X485" s="151" t="n"/>
      <c r="Y485" s="151" t="n"/>
      <c r="Z485" s="151" t="n"/>
      <c r="AA485" s="151" t="n"/>
      <c r="AB485" s="152" t="n"/>
      <c r="AC485" s="152" t="n"/>
      <c r="AD485" s="152" t="n"/>
      <c r="AE485" s="152" t="n"/>
      <c r="AF485" s="152" t="n"/>
    </row>
    <row r="486" ht="15.75" customHeight="1" s="201">
      <c r="A486" s="97" t="n"/>
      <c r="B486" s="97" t="n"/>
      <c r="C486" s="97" t="n"/>
      <c r="D486" s="97" t="n"/>
      <c r="E486" s="97" t="n"/>
      <c r="F486" s="148" t="n"/>
      <c r="G486" s="148" t="n"/>
      <c r="H486" s="148" t="n"/>
      <c r="I486" s="148" t="n"/>
      <c r="J486" s="149" t="n"/>
      <c r="K486" s="97" t="n"/>
      <c r="L486" s="148" t="n"/>
      <c r="M486" s="148" t="n"/>
      <c r="N486" s="148" t="n"/>
      <c r="O486" s="148" t="n"/>
      <c r="P486" s="148" t="n"/>
      <c r="Q486" s="148" t="n"/>
      <c r="R486" s="148" t="n"/>
      <c r="S486" s="148" t="n"/>
      <c r="T486" s="150" t="n"/>
      <c r="U486" s="150" t="n"/>
      <c r="V486" s="37" t="n"/>
      <c r="W486" s="151" t="n"/>
      <c r="X486" s="151" t="n"/>
      <c r="Y486" s="151" t="n"/>
      <c r="Z486" s="151" t="n"/>
      <c r="AA486" s="151" t="n"/>
      <c r="AB486" s="152" t="n"/>
      <c r="AC486" s="152" t="n"/>
      <c r="AD486" s="152" t="n"/>
      <c r="AE486" s="152" t="n"/>
      <c r="AF486" s="152" t="n"/>
    </row>
    <row r="487" ht="15.75" customHeight="1" s="201">
      <c r="A487" s="97" t="n"/>
      <c r="B487" s="97" t="n"/>
      <c r="C487" s="97" t="n"/>
      <c r="D487" s="97" t="n"/>
      <c r="E487" s="97" t="n"/>
      <c r="F487" s="148" t="n"/>
      <c r="G487" s="148" t="n"/>
      <c r="H487" s="148" t="n"/>
      <c r="I487" s="148" t="n"/>
      <c r="J487" s="149" t="n"/>
      <c r="K487" s="97" t="n"/>
      <c r="L487" s="148" t="n"/>
      <c r="M487" s="148" t="n"/>
      <c r="N487" s="148" t="n"/>
      <c r="O487" s="148" t="n"/>
      <c r="P487" s="148" t="n"/>
      <c r="Q487" s="148" t="n"/>
      <c r="R487" s="148" t="n"/>
      <c r="S487" s="148" t="n"/>
      <c r="T487" s="150" t="n"/>
      <c r="U487" s="150" t="n"/>
      <c r="V487" s="37" t="n"/>
      <c r="W487" s="151" t="n"/>
      <c r="X487" s="151" t="n"/>
      <c r="Y487" s="151" t="n"/>
      <c r="Z487" s="151" t="n"/>
      <c r="AA487" s="151" t="n"/>
      <c r="AB487" s="152" t="n"/>
      <c r="AC487" s="152" t="n"/>
      <c r="AD487" s="152" t="n"/>
      <c r="AE487" s="152" t="n"/>
      <c r="AF487" s="152" t="n"/>
    </row>
    <row r="488" ht="15.75" customHeight="1" s="201">
      <c r="A488" s="97" t="n"/>
      <c r="B488" s="97" t="n"/>
      <c r="C488" s="97" t="n"/>
      <c r="D488" s="97" t="n"/>
      <c r="E488" s="97" t="n"/>
      <c r="F488" s="148" t="n"/>
      <c r="G488" s="148" t="n"/>
      <c r="H488" s="148" t="n"/>
      <c r="I488" s="148" t="n"/>
      <c r="J488" s="149" t="n"/>
      <c r="K488" s="97" t="n"/>
      <c r="L488" s="148" t="n"/>
      <c r="M488" s="148" t="n"/>
      <c r="N488" s="148" t="n"/>
      <c r="O488" s="148" t="n"/>
      <c r="P488" s="148" t="n"/>
      <c r="Q488" s="148" t="n"/>
      <c r="R488" s="148" t="n"/>
      <c r="S488" s="148" t="n"/>
      <c r="T488" s="150" t="n"/>
      <c r="U488" s="150" t="n"/>
      <c r="V488" s="37" t="n"/>
      <c r="W488" s="151" t="n"/>
      <c r="X488" s="151" t="n"/>
      <c r="Y488" s="151" t="n"/>
      <c r="Z488" s="151" t="n"/>
      <c r="AA488" s="151" t="n"/>
      <c r="AB488" s="152" t="n"/>
      <c r="AC488" s="152" t="n"/>
      <c r="AD488" s="152" t="n"/>
      <c r="AE488" s="152" t="n"/>
      <c r="AF488" s="152" t="n"/>
    </row>
    <row r="489" ht="15.75" customHeight="1" s="201">
      <c r="A489" s="97" t="n"/>
      <c r="B489" s="97" t="n"/>
      <c r="C489" s="97" t="n"/>
      <c r="D489" s="97" t="n"/>
      <c r="E489" s="97" t="n"/>
      <c r="F489" s="148" t="n"/>
      <c r="G489" s="148" t="n"/>
      <c r="H489" s="148" t="n"/>
      <c r="I489" s="148" t="n"/>
      <c r="J489" s="149" t="n"/>
      <c r="K489" s="97" t="n"/>
      <c r="L489" s="148" t="n"/>
      <c r="M489" s="148" t="n"/>
      <c r="N489" s="148" t="n"/>
      <c r="O489" s="148" t="n"/>
      <c r="P489" s="148" t="n"/>
      <c r="Q489" s="148" t="n"/>
      <c r="R489" s="148" t="n"/>
      <c r="S489" s="148" t="n"/>
      <c r="T489" s="150" t="n"/>
      <c r="U489" s="150" t="n"/>
      <c r="V489" s="37" t="n"/>
      <c r="W489" s="151" t="n"/>
      <c r="X489" s="151" t="n"/>
      <c r="Y489" s="151" t="n"/>
      <c r="Z489" s="151" t="n"/>
      <c r="AA489" s="151" t="n"/>
      <c r="AB489" s="152" t="n"/>
      <c r="AC489" s="152" t="n"/>
      <c r="AD489" s="152" t="n"/>
      <c r="AE489" s="152" t="n"/>
      <c r="AF489" s="152" t="n"/>
    </row>
    <row r="490" ht="15.75" customHeight="1" s="201">
      <c r="A490" s="97" t="n"/>
      <c r="B490" s="97" t="n"/>
      <c r="C490" s="97" t="n"/>
      <c r="D490" s="97" t="n"/>
      <c r="E490" s="97" t="n"/>
      <c r="F490" s="148" t="n"/>
      <c r="G490" s="148" t="n"/>
      <c r="H490" s="148" t="n"/>
      <c r="I490" s="148" t="n"/>
      <c r="J490" s="149" t="n"/>
      <c r="K490" s="97" t="n"/>
      <c r="L490" s="148" t="n"/>
      <c r="M490" s="148" t="n"/>
      <c r="N490" s="148" t="n"/>
      <c r="O490" s="148" t="n"/>
      <c r="P490" s="148" t="n"/>
      <c r="Q490" s="148" t="n"/>
      <c r="R490" s="148" t="n"/>
      <c r="S490" s="148" t="n"/>
      <c r="T490" s="150" t="n"/>
      <c r="U490" s="150" t="n"/>
      <c r="V490" s="37" t="n"/>
      <c r="W490" s="151" t="n"/>
      <c r="X490" s="151" t="n"/>
      <c r="Y490" s="151" t="n"/>
      <c r="Z490" s="151" t="n"/>
      <c r="AA490" s="151" t="n"/>
      <c r="AB490" s="152" t="n"/>
      <c r="AC490" s="152" t="n"/>
      <c r="AD490" s="152" t="n"/>
      <c r="AE490" s="152" t="n"/>
      <c r="AF490" s="152" t="n"/>
    </row>
    <row r="491" ht="15.75" customHeight="1" s="201">
      <c r="A491" s="97" t="n"/>
      <c r="B491" s="97" t="n"/>
      <c r="C491" s="97" t="n"/>
      <c r="D491" s="97" t="n"/>
      <c r="E491" s="97" t="n"/>
      <c r="F491" s="148" t="n"/>
      <c r="G491" s="148" t="n"/>
      <c r="H491" s="148" t="n"/>
      <c r="I491" s="148" t="n"/>
      <c r="J491" s="149" t="n"/>
      <c r="K491" s="97" t="n"/>
      <c r="L491" s="148" t="n"/>
      <c r="M491" s="148" t="n"/>
      <c r="N491" s="148" t="n"/>
      <c r="O491" s="148" t="n"/>
      <c r="P491" s="148" t="n"/>
      <c r="Q491" s="148" t="n"/>
      <c r="R491" s="148" t="n"/>
      <c r="S491" s="148" t="n"/>
      <c r="T491" s="150" t="n"/>
      <c r="U491" s="150" t="n"/>
      <c r="V491" s="37" t="n"/>
      <c r="W491" s="151" t="n"/>
      <c r="X491" s="151" t="n"/>
      <c r="Y491" s="151" t="n"/>
      <c r="Z491" s="151" t="n"/>
      <c r="AA491" s="151" t="n"/>
      <c r="AB491" s="152" t="n"/>
      <c r="AC491" s="152" t="n"/>
      <c r="AD491" s="152" t="n"/>
      <c r="AE491" s="152" t="n"/>
      <c r="AF491" s="152" t="n"/>
    </row>
    <row r="492" ht="15.75" customHeight="1" s="201">
      <c r="A492" s="97" t="n"/>
      <c r="B492" s="97" t="n"/>
      <c r="C492" s="97" t="n"/>
      <c r="D492" s="97" t="n"/>
      <c r="E492" s="97" t="n"/>
      <c r="F492" s="148" t="n"/>
      <c r="G492" s="148" t="n"/>
      <c r="H492" s="148" t="n"/>
      <c r="I492" s="148" t="n"/>
      <c r="J492" s="149" t="n"/>
      <c r="K492" s="97" t="n"/>
      <c r="L492" s="148" t="n"/>
      <c r="M492" s="148" t="n"/>
      <c r="N492" s="148" t="n"/>
      <c r="O492" s="148" t="n"/>
      <c r="P492" s="148" t="n"/>
      <c r="Q492" s="148" t="n"/>
      <c r="R492" s="148" t="n"/>
      <c r="S492" s="148" t="n"/>
      <c r="T492" s="150" t="n"/>
      <c r="U492" s="150" t="n"/>
      <c r="V492" s="37" t="n"/>
      <c r="W492" s="151" t="n"/>
      <c r="X492" s="151" t="n"/>
      <c r="Y492" s="151" t="n"/>
      <c r="Z492" s="151" t="n"/>
      <c r="AA492" s="151" t="n"/>
      <c r="AB492" s="152" t="n"/>
      <c r="AC492" s="152" t="n"/>
      <c r="AD492" s="152" t="n"/>
      <c r="AE492" s="152" t="n"/>
      <c r="AF492" s="152" t="n"/>
    </row>
    <row r="493" ht="15.75" customHeight="1" s="201">
      <c r="A493" s="97" t="n"/>
      <c r="B493" s="97" t="n"/>
      <c r="C493" s="97" t="n"/>
      <c r="D493" s="97" t="n"/>
      <c r="E493" s="97" t="n"/>
      <c r="F493" s="148" t="n"/>
      <c r="G493" s="148" t="n"/>
      <c r="H493" s="148" t="n"/>
      <c r="I493" s="148" t="n"/>
      <c r="J493" s="149" t="n"/>
      <c r="K493" s="97" t="n"/>
      <c r="L493" s="148" t="n"/>
      <c r="M493" s="148" t="n"/>
      <c r="N493" s="148" t="n"/>
      <c r="O493" s="148" t="n"/>
      <c r="P493" s="148" t="n"/>
      <c r="Q493" s="148" t="n"/>
      <c r="R493" s="148" t="n"/>
      <c r="S493" s="148" t="n"/>
      <c r="T493" s="150" t="n"/>
      <c r="U493" s="150" t="n"/>
      <c r="V493" s="37" t="n"/>
      <c r="W493" s="151" t="n"/>
      <c r="X493" s="151" t="n"/>
      <c r="Y493" s="151" t="n"/>
      <c r="Z493" s="151" t="n"/>
      <c r="AA493" s="151" t="n"/>
      <c r="AB493" s="152" t="n"/>
      <c r="AC493" s="152" t="n"/>
      <c r="AD493" s="152" t="n"/>
      <c r="AE493" s="152" t="n"/>
      <c r="AF493" s="152" t="n"/>
    </row>
    <row r="494" ht="15.75" customHeight="1" s="201">
      <c r="A494" s="97" t="n"/>
      <c r="B494" s="97" t="n"/>
      <c r="C494" s="97" t="n"/>
      <c r="D494" s="97" t="n"/>
      <c r="E494" s="97" t="n"/>
      <c r="F494" s="148" t="n"/>
      <c r="G494" s="148" t="n"/>
      <c r="H494" s="148" t="n"/>
      <c r="I494" s="148" t="n"/>
      <c r="J494" s="149" t="n"/>
      <c r="K494" s="97" t="n"/>
      <c r="L494" s="148" t="n"/>
      <c r="M494" s="148" t="n"/>
      <c r="N494" s="148" t="n"/>
      <c r="O494" s="148" t="n"/>
      <c r="P494" s="148" t="n"/>
      <c r="Q494" s="148" t="n"/>
      <c r="R494" s="148" t="n"/>
      <c r="S494" s="148" t="n"/>
      <c r="T494" s="150" t="n"/>
      <c r="U494" s="150" t="n"/>
      <c r="V494" s="37" t="n"/>
      <c r="W494" s="151" t="n"/>
      <c r="X494" s="151" t="n"/>
      <c r="Y494" s="151" t="n"/>
      <c r="Z494" s="151" t="n"/>
      <c r="AA494" s="151" t="n"/>
      <c r="AB494" s="152" t="n"/>
      <c r="AC494" s="152" t="n"/>
      <c r="AD494" s="152" t="n"/>
      <c r="AE494" s="152" t="n"/>
      <c r="AF494" s="152" t="n"/>
    </row>
    <row r="495" ht="15.75" customHeight="1" s="201">
      <c r="A495" s="97" t="n"/>
      <c r="B495" s="97" t="n"/>
      <c r="C495" s="97" t="n"/>
      <c r="D495" s="97" t="n"/>
      <c r="E495" s="97" t="n"/>
      <c r="F495" s="148" t="n"/>
      <c r="G495" s="148" t="n"/>
      <c r="H495" s="148" t="n"/>
      <c r="I495" s="148" t="n"/>
      <c r="J495" s="149" t="n"/>
      <c r="K495" s="97" t="n"/>
      <c r="L495" s="148" t="n"/>
      <c r="M495" s="148" t="n"/>
      <c r="N495" s="148" t="n"/>
      <c r="O495" s="148" t="n"/>
      <c r="P495" s="148" t="n"/>
      <c r="Q495" s="148" t="n"/>
      <c r="R495" s="148" t="n"/>
      <c r="S495" s="148" t="n"/>
      <c r="T495" s="150" t="n"/>
      <c r="U495" s="150" t="n"/>
      <c r="V495" s="37" t="n"/>
      <c r="W495" s="151" t="n"/>
      <c r="X495" s="151" t="n"/>
      <c r="Y495" s="151" t="n"/>
      <c r="Z495" s="151" t="n"/>
      <c r="AA495" s="151" t="n"/>
      <c r="AB495" s="152" t="n"/>
      <c r="AC495" s="152" t="n"/>
      <c r="AD495" s="152" t="n"/>
      <c r="AE495" s="152" t="n"/>
      <c r="AF495" s="152" t="n"/>
    </row>
    <row r="496" ht="15.75" customHeight="1" s="201">
      <c r="A496" s="97" t="n"/>
      <c r="B496" s="97" t="n"/>
      <c r="C496" s="97" t="n"/>
      <c r="D496" s="97" t="n"/>
      <c r="E496" s="97" t="n"/>
      <c r="F496" s="148" t="n"/>
      <c r="G496" s="148" t="n"/>
      <c r="H496" s="148" t="n"/>
      <c r="I496" s="148" t="n"/>
      <c r="J496" s="149" t="n"/>
      <c r="K496" s="97" t="n"/>
      <c r="L496" s="148" t="n"/>
      <c r="M496" s="148" t="n"/>
      <c r="N496" s="148" t="n"/>
      <c r="O496" s="148" t="n"/>
      <c r="P496" s="148" t="n"/>
      <c r="Q496" s="148" t="n"/>
      <c r="R496" s="148" t="n"/>
      <c r="S496" s="148" t="n"/>
      <c r="T496" s="150" t="n"/>
      <c r="U496" s="150" t="n"/>
      <c r="V496" s="37" t="n"/>
      <c r="W496" s="151" t="n"/>
      <c r="X496" s="151" t="n"/>
      <c r="Y496" s="151" t="n"/>
      <c r="Z496" s="151" t="n"/>
      <c r="AA496" s="151" t="n"/>
      <c r="AB496" s="152" t="n"/>
      <c r="AC496" s="152" t="n"/>
      <c r="AD496" s="152" t="n"/>
      <c r="AE496" s="152" t="n"/>
      <c r="AF496" s="152" t="n"/>
    </row>
    <row r="497" ht="15.75" customHeight="1" s="201">
      <c r="A497" s="97" t="n"/>
      <c r="B497" s="97" t="n"/>
      <c r="C497" s="97" t="n"/>
      <c r="D497" s="97" t="n"/>
      <c r="E497" s="97" t="n"/>
      <c r="F497" s="148" t="n"/>
      <c r="G497" s="148" t="n"/>
      <c r="H497" s="148" t="n"/>
      <c r="I497" s="148" t="n"/>
      <c r="J497" s="149" t="n"/>
      <c r="K497" s="97" t="n"/>
      <c r="L497" s="148" t="n"/>
      <c r="M497" s="148" t="n"/>
      <c r="N497" s="148" t="n"/>
      <c r="O497" s="148" t="n"/>
      <c r="P497" s="148" t="n"/>
      <c r="Q497" s="148" t="n"/>
      <c r="R497" s="148" t="n"/>
      <c r="S497" s="148" t="n"/>
      <c r="T497" s="150" t="n"/>
      <c r="U497" s="150" t="n"/>
      <c r="V497" s="37" t="n"/>
      <c r="W497" s="151" t="n"/>
      <c r="X497" s="151" t="n"/>
      <c r="Y497" s="151" t="n"/>
      <c r="Z497" s="151" t="n"/>
      <c r="AA497" s="151" t="n"/>
      <c r="AB497" s="152" t="n"/>
      <c r="AC497" s="152" t="n"/>
      <c r="AD497" s="152" t="n"/>
      <c r="AE497" s="152" t="n"/>
      <c r="AF497" s="152" t="n"/>
    </row>
    <row r="498" ht="15.75" customHeight="1" s="201">
      <c r="A498" s="97" t="n"/>
      <c r="B498" s="97" t="n"/>
      <c r="C498" s="97" t="n"/>
      <c r="D498" s="97" t="n"/>
      <c r="E498" s="97" t="n"/>
      <c r="F498" s="148" t="n"/>
      <c r="G498" s="148" t="n"/>
      <c r="H498" s="148" t="n"/>
      <c r="I498" s="148" t="n"/>
      <c r="J498" s="149" t="n"/>
      <c r="K498" s="97" t="n"/>
      <c r="L498" s="148" t="n"/>
      <c r="M498" s="148" t="n"/>
      <c r="N498" s="148" t="n"/>
      <c r="O498" s="148" t="n"/>
      <c r="P498" s="148" t="n"/>
      <c r="Q498" s="148" t="n"/>
      <c r="R498" s="148" t="n"/>
      <c r="S498" s="148" t="n"/>
      <c r="T498" s="150" t="n"/>
      <c r="U498" s="150" t="n"/>
      <c r="V498" s="37" t="n"/>
      <c r="W498" s="151" t="n"/>
      <c r="X498" s="151" t="n"/>
      <c r="Y498" s="151" t="n"/>
      <c r="Z498" s="151" t="n"/>
      <c r="AA498" s="151" t="n"/>
      <c r="AB498" s="152" t="n"/>
      <c r="AC498" s="152" t="n"/>
      <c r="AD498" s="152" t="n"/>
      <c r="AE498" s="152" t="n"/>
      <c r="AF498" s="152" t="n"/>
    </row>
    <row r="499" ht="15.75" customHeight="1" s="201">
      <c r="A499" s="97" t="n"/>
      <c r="B499" s="97" t="n"/>
      <c r="C499" s="97" t="n"/>
      <c r="D499" s="97" t="n"/>
      <c r="E499" s="97" t="n"/>
      <c r="F499" s="148" t="n"/>
      <c r="G499" s="148" t="n"/>
      <c r="H499" s="148" t="n"/>
      <c r="I499" s="148" t="n"/>
      <c r="J499" s="149" t="n"/>
      <c r="K499" s="97" t="n"/>
      <c r="L499" s="148" t="n"/>
      <c r="M499" s="148" t="n"/>
      <c r="N499" s="148" t="n"/>
      <c r="O499" s="148" t="n"/>
      <c r="P499" s="148" t="n"/>
      <c r="Q499" s="148" t="n"/>
      <c r="R499" s="148" t="n"/>
      <c r="S499" s="148" t="n"/>
      <c r="T499" s="150" t="n"/>
      <c r="U499" s="150" t="n"/>
      <c r="V499" s="37" t="n"/>
      <c r="W499" s="151" t="n"/>
      <c r="X499" s="151" t="n"/>
      <c r="Y499" s="151" t="n"/>
      <c r="Z499" s="151" t="n"/>
      <c r="AA499" s="151" t="n"/>
      <c r="AB499" s="152" t="n"/>
      <c r="AC499" s="152" t="n"/>
      <c r="AD499" s="152" t="n"/>
      <c r="AE499" s="152" t="n"/>
      <c r="AF499" s="152" t="n"/>
    </row>
    <row r="500" ht="15.75" customHeight="1" s="201">
      <c r="A500" s="97" t="n"/>
      <c r="B500" s="97" t="n"/>
      <c r="C500" s="97" t="n"/>
      <c r="D500" s="97" t="n"/>
      <c r="E500" s="97" t="n"/>
      <c r="F500" s="148" t="n"/>
      <c r="G500" s="148" t="n"/>
      <c r="H500" s="148" t="n"/>
      <c r="I500" s="148" t="n"/>
      <c r="J500" s="149" t="n"/>
      <c r="K500" s="97" t="n"/>
      <c r="L500" s="148" t="n"/>
      <c r="M500" s="148" t="n"/>
      <c r="N500" s="148" t="n"/>
      <c r="O500" s="148" t="n"/>
      <c r="P500" s="148" t="n"/>
      <c r="Q500" s="148" t="n"/>
      <c r="R500" s="148" t="n"/>
      <c r="S500" s="148" t="n"/>
      <c r="T500" s="150" t="n"/>
      <c r="U500" s="150" t="n"/>
      <c r="V500" s="37" t="n"/>
      <c r="W500" s="151" t="n"/>
      <c r="X500" s="151" t="n"/>
      <c r="Y500" s="151" t="n"/>
      <c r="Z500" s="151" t="n"/>
      <c r="AA500" s="151" t="n"/>
      <c r="AB500" s="152" t="n"/>
      <c r="AC500" s="152" t="n"/>
      <c r="AD500" s="152" t="n"/>
      <c r="AE500" s="152" t="n"/>
      <c r="AF500" s="152" t="n"/>
    </row>
    <row r="501" ht="15.75" customHeight="1" s="201">
      <c r="A501" s="97" t="n"/>
      <c r="B501" s="97" t="n"/>
      <c r="C501" s="97" t="n"/>
      <c r="D501" s="97" t="n"/>
      <c r="E501" s="97" t="n"/>
      <c r="F501" s="148" t="n"/>
      <c r="G501" s="148" t="n"/>
      <c r="H501" s="148" t="n"/>
      <c r="I501" s="148" t="n"/>
      <c r="J501" s="149" t="n"/>
      <c r="K501" s="97" t="n"/>
      <c r="L501" s="148" t="n"/>
      <c r="M501" s="148" t="n"/>
      <c r="N501" s="148" t="n"/>
      <c r="O501" s="148" t="n"/>
      <c r="P501" s="148" t="n"/>
      <c r="Q501" s="148" t="n"/>
      <c r="R501" s="148" t="n"/>
      <c r="S501" s="148" t="n"/>
      <c r="T501" s="150" t="n"/>
      <c r="U501" s="150" t="n"/>
      <c r="V501" s="37" t="n"/>
      <c r="W501" s="151" t="n"/>
      <c r="X501" s="151" t="n"/>
      <c r="Y501" s="151" t="n"/>
      <c r="Z501" s="151" t="n"/>
      <c r="AA501" s="151" t="n"/>
      <c r="AB501" s="152" t="n"/>
      <c r="AC501" s="152" t="n"/>
      <c r="AD501" s="152" t="n"/>
      <c r="AE501" s="152" t="n"/>
      <c r="AF501" s="152" t="n"/>
    </row>
    <row r="502" ht="15.75" customHeight="1" s="201">
      <c r="A502" s="97" t="n"/>
      <c r="B502" s="97" t="n"/>
      <c r="C502" s="97" t="n"/>
      <c r="D502" s="97" t="n"/>
      <c r="E502" s="97" t="n"/>
      <c r="F502" s="148" t="n"/>
      <c r="G502" s="148" t="n"/>
      <c r="H502" s="148" t="n"/>
      <c r="I502" s="148" t="n"/>
      <c r="J502" s="149" t="n"/>
      <c r="K502" s="97" t="n"/>
      <c r="L502" s="148" t="n"/>
      <c r="M502" s="148" t="n"/>
      <c r="N502" s="148" t="n"/>
      <c r="O502" s="148" t="n"/>
      <c r="P502" s="148" t="n"/>
      <c r="Q502" s="148" t="n"/>
      <c r="R502" s="148" t="n"/>
      <c r="S502" s="148" t="n"/>
      <c r="T502" s="150" t="n"/>
      <c r="U502" s="150" t="n"/>
      <c r="V502" s="37" t="n"/>
      <c r="W502" s="151" t="n"/>
      <c r="X502" s="151" t="n"/>
      <c r="Y502" s="151" t="n"/>
      <c r="Z502" s="151" t="n"/>
      <c r="AA502" s="151" t="n"/>
      <c r="AB502" s="152" t="n"/>
      <c r="AC502" s="152" t="n"/>
      <c r="AD502" s="152" t="n"/>
      <c r="AE502" s="152" t="n"/>
      <c r="AF502" s="152" t="n"/>
    </row>
    <row r="503" ht="15.75" customHeight="1" s="201">
      <c r="A503" s="97" t="n"/>
      <c r="B503" s="97" t="n"/>
      <c r="C503" s="97" t="n"/>
      <c r="D503" s="97" t="n"/>
      <c r="E503" s="97" t="n"/>
      <c r="F503" s="148" t="n"/>
      <c r="G503" s="148" t="n"/>
      <c r="H503" s="148" t="n"/>
      <c r="I503" s="148" t="n"/>
      <c r="J503" s="149" t="n"/>
      <c r="K503" s="97" t="n"/>
      <c r="L503" s="148" t="n"/>
      <c r="M503" s="148" t="n"/>
      <c r="N503" s="148" t="n"/>
      <c r="O503" s="148" t="n"/>
      <c r="P503" s="148" t="n"/>
      <c r="Q503" s="148" t="n"/>
      <c r="R503" s="148" t="n"/>
      <c r="S503" s="148" t="n"/>
      <c r="T503" s="150" t="n"/>
      <c r="U503" s="150" t="n"/>
      <c r="V503" s="37" t="n"/>
      <c r="W503" s="151" t="n"/>
      <c r="X503" s="151" t="n"/>
      <c r="Y503" s="151" t="n"/>
      <c r="Z503" s="151" t="n"/>
      <c r="AA503" s="151" t="n"/>
      <c r="AB503" s="152" t="n"/>
      <c r="AC503" s="152" t="n"/>
      <c r="AD503" s="152" t="n"/>
      <c r="AE503" s="152" t="n"/>
      <c r="AF503" s="152" t="n"/>
    </row>
    <row r="504" ht="15.75" customHeight="1" s="201">
      <c r="A504" s="97" t="n"/>
      <c r="B504" s="97" t="n"/>
      <c r="C504" s="97" t="n"/>
      <c r="D504" s="97" t="n"/>
      <c r="E504" s="97" t="n"/>
      <c r="F504" s="148" t="n"/>
      <c r="G504" s="148" t="n"/>
      <c r="H504" s="148" t="n"/>
      <c r="I504" s="148" t="n"/>
      <c r="J504" s="149" t="n"/>
      <c r="K504" s="97" t="n"/>
      <c r="L504" s="148" t="n"/>
      <c r="M504" s="148" t="n"/>
      <c r="N504" s="148" t="n"/>
      <c r="O504" s="148" t="n"/>
      <c r="P504" s="148" t="n"/>
      <c r="Q504" s="148" t="n"/>
      <c r="R504" s="148" t="n"/>
      <c r="S504" s="148" t="n"/>
      <c r="T504" s="150" t="n"/>
      <c r="U504" s="150" t="n"/>
      <c r="V504" s="37" t="n"/>
      <c r="W504" s="151" t="n"/>
      <c r="X504" s="151" t="n"/>
      <c r="Y504" s="151" t="n"/>
      <c r="Z504" s="151" t="n"/>
      <c r="AA504" s="151" t="n"/>
      <c r="AB504" s="152" t="n"/>
      <c r="AC504" s="152" t="n"/>
      <c r="AD504" s="152" t="n"/>
      <c r="AE504" s="152" t="n"/>
      <c r="AF504" s="152" t="n"/>
    </row>
    <row r="505" ht="15.75" customHeight="1" s="201">
      <c r="A505" s="97" t="n"/>
      <c r="B505" s="97" t="n"/>
      <c r="C505" s="97" t="n"/>
      <c r="D505" s="97" t="n"/>
      <c r="E505" s="97" t="n"/>
      <c r="F505" s="148" t="n"/>
      <c r="G505" s="148" t="n"/>
      <c r="H505" s="148" t="n"/>
      <c r="I505" s="148" t="n"/>
      <c r="J505" s="149" t="n"/>
      <c r="K505" s="97" t="n"/>
      <c r="L505" s="148" t="n"/>
      <c r="M505" s="148" t="n"/>
      <c r="N505" s="148" t="n"/>
      <c r="O505" s="148" t="n"/>
      <c r="P505" s="148" t="n"/>
      <c r="Q505" s="148" t="n"/>
      <c r="R505" s="148" t="n"/>
      <c r="S505" s="148" t="n"/>
      <c r="T505" s="150" t="n"/>
      <c r="U505" s="150" t="n"/>
      <c r="V505" s="37" t="n"/>
      <c r="W505" s="151" t="n"/>
      <c r="X505" s="151" t="n"/>
      <c r="Y505" s="151" t="n"/>
      <c r="Z505" s="151" t="n"/>
      <c r="AA505" s="151" t="n"/>
      <c r="AB505" s="152" t="n"/>
      <c r="AC505" s="152" t="n"/>
      <c r="AD505" s="152" t="n"/>
      <c r="AE505" s="152" t="n"/>
      <c r="AF505" s="152" t="n"/>
    </row>
    <row r="506" ht="15.75" customHeight="1" s="201">
      <c r="A506" s="97" t="n"/>
      <c r="B506" s="97" t="n"/>
      <c r="C506" s="97" t="n"/>
      <c r="D506" s="97" t="n"/>
      <c r="E506" s="97" t="n"/>
      <c r="F506" s="148" t="n"/>
      <c r="G506" s="148" t="n"/>
      <c r="H506" s="148" t="n"/>
      <c r="I506" s="148" t="n"/>
      <c r="J506" s="149" t="n"/>
      <c r="K506" s="97" t="n"/>
      <c r="L506" s="148" t="n"/>
      <c r="M506" s="148" t="n"/>
      <c r="N506" s="148" t="n"/>
      <c r="O506" s="148" t="n"/>
      <c r="P506" s="148" t="n"/>
      <c r="Q506" s="148" t="n"/>
      <c r="R506" s="148" t="n"/>
      <c r="S506" s="148" t="n"/>
      <c r="T506" s="150" t="n"/>
      <c r="U506" s="150" t="n"/>
      <c r="V506" s="37" t="n"/>
      <c r="W506" s="151" t="n"/>
      <c r="X506" s="151" t="n"/>
      <c r="Y506" s="151" t="n"/>
      <c r="Z506" s="151" t="n"/>
      <c r="AA506" s="151" t="n"/>
      <c r="AB506" s="152" t="n"/>
      <c r="AC506" s="152" t="n"/>
      <c r="AD506" s="152" t="n"/>
      <c r="AE506" s="152" t="n"/>
      <c r="AF506" s="152" t="n"/>
    </row>
    <row r="507" ht="15.75" customHeight="1" s="201">
      <c r="A507" s="97" t="n"/>
      <c r="B507" s="97" t="n"/>
      <c r="C507" s="97" t="n"/>
      <c r="D507" s="97" t="n"/>
      <c r="E507" s="97" t="n"/>
      <c r="F507" s="148" t="n"/>
      <c r="G507" s="148" t="n"/>
      <c r="H507" s="148" t="n"/>
      <c r="I507" s="148" t="n"/>
      <c r="J507" s="149" t="n"/>
      <c r="K507" s="97" t="n"/>
      <c r="L507" s="148" t="n"/>
      <c r="M507" s="148" t="n"/>
      <c r="N507" s="148" t="n"/>
      <c r="O507" s="148" t="n"/>
      <c r="P507" s="148" t="n"/>
      <c r="Q507" s="148" t="n"/>
      <c r="R507" s="148" t="n"/>
      <c r="S507" s="148" t="n"/>
      <c r="T507" s="150" t="n"/>
      <c r="U507" s="150" t="n"/>
      <c r="V507" s="37" t="n"/>
      <c r="W507" s="151" t="n"/>
      <c r="X507" s="151" t="n"/>
      <c r="Y507" s="151" t="n"/>
      <c r="Z507" s="151" t="n"/>
      <c r="AA507" s="151" t="n"/>
      <c r="AB507" s="152" t="n"/>
      <c r="AC507" s="152" t="n"/>
      <c r="AD507" s="152" t="n"/>
      <c r="AE507" s="152" t="n"/>
      <c r="AF507" s="152" t="n"/>
    </row>
    <row r="508" ht="15.75" customHeight="1" s="201">
      <c r="A508" s="97" t="n"/>
      <c r="B508" s="97" t="n"/>
      <c r="C508" s="97" t="n"/>
      <c r="D508" s="97" t="n"/>
      <c r="E508" s="97" t="n"/>
      <c r="F508" s="148" t="n"/>
      <c r="G508" s="148" t="n"/>
      <c r="H508" s="148" t="n"/>
      <c r="I508" s="148" t="n"/>
      <c r="J508" s="149" t="n"/>
      <c r="K508" s="97" t="n"/>
      <c r="L508" s="148" t="n"/>
      <c r="M508" s="148" t="n"/>
      <c r="N508" s="148" t="n"/>
      <c r="O508" s="148" t="n"/>
      <c r="P508" s="148" t="n"/>
      <c r="Q508" s="148" t="n"/>
      <c r="R508" s="148" t="n"/>
      <c r="S508" s="148" t="n"/>
      <c r="T508" s="150" t="n"/>
      <c r="U508" s="150" t="n"/>
      <c r="V508" s="37" t="n"/>
      <c r="W508" s="151" t="n"/>
      <c r="X508" s="151" t="n"/>
      <c r="Y508" s="151" t="n"/>
      <c r="Z508" s="151" t="n"/>
      <c r="AA508" s="151" t="n"/>
      <c r="AB508" s="152" t="n"/>
      <c r="AC508" s="152" t="n"/>
      <c r="AD508" s="152" t="n"/>
      <c r="AE508" s="152" t="n"/>
      <c r="AF508" s="152" t="n"/>
    </row>
    <row r="509" ht="15.75" customHeight="1" s="201">
      <c r="A509" s="97" t="n"/>
      <c r="B509" s="97" t="n"/>
      <c r="C509" s="97" t="n"/>
      <c r="D509" s="97" t="n"/>
      <c r="E509" s="97" t="n"/>
      <c r="F509" s="148" t="n"/>
      <c r="G509" s="148" t="n"/>
      <c r="H509" s="148" t="n"/>
      <c r="I509" s="148" t="n"/>
      <c r="J509" s="149" t="n"/>
      <c r="K509" s="97" t="n"/>
      <c r="L509" s="148" t="n"/>
      <c r="M509" s="148" t="n"/>
      <c r="N509" s="148" t="n"/>
      <c r="O509" s="148" t="n"/>
      <c r="P509" s="148" t="n"/>
      <c r="Q509" s="148" t="n"/>
      <c r="R509" s="148" t="n"/>
      <c r="S509" s="148" t="n"/>
      <c r="T509" s="150" t="n"/>
      <c r="U509" s="150" t="n"/>
      <c r="V509" s="37" t="n"/>
      <c r="W509" s="151" t="n"/>
      <c r="X509" s="151" t="n"/>
      <c r="Y509" s="151" t="n"/>
      <c r="Z509" s="151" t="n"/>
      <c r="AA509" s="151" t="n"/>
      <c r="AB509" s="152" t="n"/>
      <c r="AC509" s="152" t="n"/>
      <c r="AD509" s="152" t="n"/>
      <c r="AE509" s="152" t="n"/>
      <c r="AF509" s="152" t="n"/>
    </row>
    <row r="510" ht="15.75" customHeight="1" s="201">
      <c r="A510" s="97" t="n"/>
      <c r="B510" s="97" t="n"/>
      <c r="C510" s="97" t="n"/>
      <c r="D510" s="97" t="n"/>
      <c r="E510" s="97" t="n"/>
      <c r="F510" s="148" t="n"/>
      <c r="G510" s="148" t="n"/>
      <c r="H510" s="148" t="n"/>
      <c r="I510" s="148" t="n"/>
      <c r="J510" s="149" t="n"/>
      <c r="K510" s="97" t="n"/>
      <c r="L510" s="148" t="n"/>
      <c r="M510" s="148" t="n"/>
      <c r="N510" s="148" t="n"/>
      <c r="O510" s="148" t="n"/>
      <c r="P510" s="148" t="n"/>
      <c r="Q510" s="148" t="n"/>
      <c r="R510" s="148" t="n"/>
      <c r="S510" s="148" t="n"/>
      <c r="T510" s="150" t="n"/>
      <c r="U510" s="150" t="n"/>
      <c r="V510" s="37" t="n"/>
      <c r="W510" s="151" t="n"/>
      <c r="X510" s="151" t="n"/>
      <c r="Y510" s="151" t="n"/>
      <c r="Z510" s="151" t="n"/>
      <c r="AA510" s="151" t="n"/>
      <c r="AB510" s="152" t="n"/>
      <c r="AC510" s="152" t="n"/>
      <c r="AD510" s="152" t="n"/>
      <c r="AE510" s="152" t="n"/>
      <c r="AF510" s="152" t="n"/>
    </row>
    <row r="511" ht="15.75" customHeight="1" s="201">
      <c r="A511" s="97" t="n"/>
      <c r="B511" s="97" t="n"/>
      <c r="C511" s="97" t="n"/>
      <c r="D511" s="97" t="n"/>
      <c r="E511" s="97" t="n"/>
      <c r="F511" s="148" t="n"/>
      <c r="G511" s="148" t="n"/>
      <c r="H511" s="148" t="n"/>
      <c r="I511" s="148" t="n"/>
      <c r="J511" s="149" t="n"/>
      <c r="K511" s="97" t="n"/>
      <c r="L511" s="148" t="n"/>
      <c r="M511" s="148" t="n"/>
      <c r="N511" s="148" t="n"/>
      <c r="O511" s="148" t="n"/>
      <c r="P511" s="148" t="n"/>
      <c r="Q511" s="148" t="n"/>
      <c r="R511" s="148" t="n"/>
      <c r="S511" s="148" t="n"/>
      <c r="T511" s="150" t="n"/>
      <c r="U511" s="150" t="n"/>
      <c r="V511" s="37" t="n"/>
      <c r="W511" s="151" t="n"/>
      <c r="X511" s="151" t="n"/>
      <c r="Y511" s="151" t="n"/>
      <c r="Z511" s="151" t="n"/>
      <c r="AA511" s="151" t="n"/>
      <c r="AB511" s="152" t="n"/>
      <c r="AC511" s="152" t="n"/>
      <c r="AD511" s="152" t="n"/>
      <c r="AE511" s="152" t="n"/>
      <c r="AF511" s="152" t="n"/>
    </row>
    <row r="512" ht="15.75" customHeight="1" s="201">
      <c r="A512" s="97" t="n"/>
      <c r="B512" s="97" t="n"/>
      <c r="C512" s="97" t="n"/>
      <c r="D512" s="97" t="n"/>
      <c r="E512" s="97" t="n"/>
      <c r="F512" s="148" t="n"/>
      <c r="G512" s="148" t="n"/>
      <c r="H512" s="148" t="n"/>
      <c r="I512" s="148" t="n"/>
      <c r="J512" s="149" t="n"/>
      <c r="K512" s="97" t="n"/>
      <c r="L512" s="148" t="n"/>
      <c r="M512" s="148" t="n"/>
      <c r="N512" s="148" t="n"/>
      <c r="O512" s="148" t="n"/>
      <c r="P512" s="148" t="n"/>
      <c r="Q512" s="148" t="n"/>
      <c r="R512" s="148" t="n"/>
      <c r="S512" s="148" t="n"/>
      <c r="T512" s="150" t="n"/>
      <c r="U512" s="150" t="n"/>
      <c r="V512" s="37" t="n"/>
      <c r="W512" s="151" t="n"/>
      <c r="X512" s="151" t="n"/>
      <c r="Y512" s="151" t="n"/>
      <c r="Z512" s="151" t="n"/>
      <c r="AA512" s="151" t="n"/>
      <c r="AB512" s="152" t="n"/>
      <c r="AC512" s="152" t="n"/>
      <c r="AD512" s="152" t="n"/>
      <c r="AE512" s="152" t="n"/>
      <c r="AF512" s="152" t="n"/>
    </row>
    <row r="513" ht="15.75" customHeight="1" s="201">
      <c r="A513" s="97" t="n"/>
      <c r="B513" s="97" t="n"/>
      <c r="C513" s="97" t="n"/>
      <c r="D513" s="97" t="n"/>
      <c r="E513" s="97" t="n"/>
      <c r="F513" s="148" t="n"/>
      <c r="G513" s="148" t="n"/>
      <c r="H513" s="148" t="n"/>
      <c r="I513" s="148" t="n"/>
      <c r="J513" s="149" t="n"/>
      <c r="K513" s="97" t="n"/>
      <c r="L513" s="148" t="n"/>
      <c r="M513" s="148" t="n"/>
      <c r="N513" s="148" t="n"/>
      <c r="O513" s="148" t="n"/>
      <c r="P513" s="148" t="n"/>
      <c r="Q513" s="148" t="n"/>
      <c r="R513" s="148" t="n"/>
      <c r="S513" s="148" t="n"/>
      <c r="T513" s="150" t="n"/>
      <c r="U513" s="150" t="n"/>
      <c r="V513" s="37" t="n"/>
      <c r="W513" s="151" t="n"/>
      <c r="X513" s="151" t="n"/>
      <c r="Y513" s="151" t="n"/>
      <c r="Z513" s="151" t="n"/>
      <c r="AA513" s="151" t="n"/>
      <c r="AB513" s="152" t="n"/>
      <c r="AC513" s="152" t="n"/>
      <c r="AD513" s="152" t="n"/>
      <c r="AE513" s="152" t="n"/>
      <c r="AF513" s="152" t="n"/>
    </row>
    <row r="514" ht="15.75" customHeight="1" s="201">
      <c r="A514" s="97" t="n"/>
      <c r="B514" s="97" t="n"/>
      <c r="C514" s="97" t="n"/>
      <c r="D514" s="97" t="n"/>
      <c r="E514" s="97" t="n"/>
      <c r="F514" s="148" t="n"/>
      <c r="G514" s="148" t="n"/>
      <c r="H514" s="148" t="n"/>
      <c r="I514" s="148" t="n"/>
      <c r="J514" s="149" t="n"/>
      <c r="K514" s="97" t="n"/>
      <c r="L514" s="148" t="n"/>
      <c r="M514" s="148" t="n"/>
      <c r="N514" s="148" t="n"/>
      <c r="O514" s="148" t="n"/>
      <c r="P514" s="148" t="n"/>
      <c r="Q514" s="148" t="n"/>
      <c r="R514" s="148" t="n"/>
      <c r="S514" s="148" t="n"/>
      <c r="T514" s="150" t="n"/>
      <c r="U514" s="150" t="n"/>
      <c r="V514" s="37" t="n"/>
      <c r="W514" s="151" t="n"/>
      <c r="X514" s="151" t="n"/>
      <c r="Y514" s="151" t="n"/>
      <c r="Z514" s="151" t="n"/>
      <c r="AA514" s="151" t="n"/>
      <c r="AB514" s="152" t="n"/>
      <c r="AC514" s="152" t="n"/>
      <c r="AD514" s="152" t="n"/>
      <c r="AE514" s="152" t="n"/>
      <c r="AF514" s="152" t="n"/>
    </row>
    <row r="515" ht="15.75" customHeight="1" s="201">
      <c r="A515" s="97" t="n"/>
      <c r="B515" s="97" t="n"/>
      <c r="C515" s="97" t="n"/>
      <c r="D515" s="97" t="n"/>
      <c r="E515" s="97" t="n"/>
      <c r="F515" s="148" t="n"/>
      <c r="G515" s="148" t="n"/>
      <c r="H515" s="148" t="n"/>
      <c r="I515" s="148" t="n"/>
      <c r="J515" s="149" t="n"/>
      <c r="K515" s="97" t="n"/>
      <c r="L515" s="148" t="n"/>
      <c r="M515" s="148" t="n"/>
      <c r="N515" s="148" t="n"/>
      <c r="O515" s="148" t="n"/>
      <c r="P515" s="148" t="n"/>
      <c r="Q515" s="148" t="n"/>
      <c r="R515" s="148" t="n"/>
      <c r="S515" s="148" t="n"/>
      <c r="T515" s="150" t="n"/>
      <c r="U515" s="150" t="n"/>
      <c r="V515" s="37" t="n"/>
      <c r="W515" s="151" t="n"/>
      <c r="X515" s="151" t="n"/>
      <c r="Y515" s="151" t="n"/>
      <c r="Z515" s="151" t="n"/>
      <c r="AA515" s="151" t="n"/>
      <c r="AB515" s="152" t="n"/>
      <c r="AC515" s="152" t="n"/>
      <c r="AD515" s="152" t="n"/>
      <c r="AE515" s="152" t="n"/>
      <c r="AF515" s="152" t="n"/>
    </row>
    <row r="516" ht="15.75" customHeight="1" s="201">
      <c r="A516" s="97" t="n"/>
      <c r="B516" s="97" t="n"/>
      <c r="C516" s="97" t="n"/>
      <c r="D516" s="97" t="n"/>
      <c r="E516" s="97" t="n"/>
      <c r="F516" s="148" t="n"/>
      <c r="G516" s="148" t="n"/>
      <c r="H516" s="148" t="n"/>
      <c r="I516" s="148" t="n"/>
      <c r="J516" s="149" t="n"/>
      <c r="K516" s="97" t="n"/>
      <c r="L516" s="148" t="n"/>
      <c r="M516" s="148" t="n"/>
      <c r="N516" s="148" t="n"/>
      <c r="O516" s="148" t="n"/>
      <c r="P516" s="148" t="n"/>
      <c r="Q516" s="148" t="n"/>
      <c r="R516" s="148" t="n"/>
      <c r="S516" s="148" t="n"/>
      <c r="T516" s="150" t="n"/>
      <c r="U516" s="150" t="n"/>
      <c r="V516" s="37" t="n"/>
      <c r="W516" s="151" t="n"/>
      <c r="X516" s="151" t="n"/>
      <c r="Y516" s="151" t="n"/>
      <c r="Z516" s="151" t="n"/>
      <c r="AA516" s="151" t="n"/>
      <c r="AB516" s="152" t="n"/>
      <c r="AC516" s="152" t="n"/>
      <c r="AD516" s="152" t="n"/>
      <c r="AE516" s="152" t="n"/>
      <c r="AF516" s="152" t="n"/>
    </row>
    <row r="517" ht="15.75" customHeight="1" s="201">
      <c r="A517" s="97" t="n"/>
      <c r="B517" s="97" t="n"/>
      <c r="C517" s="97" t="n"/>
      <c r="D517" s="97" t="n"/>
      <c r="E517" s="97" t="n"/>
      <c r="F517" s="148" t="n"/>
      <c r="G517" s="148" t="n"/>
      <c r="H517" s="148" t="n"/>
      <c r="I517" s="148" t="n"/>
      <c r="J517" s="149" t="n"/>
      <c r="K517" s="97" t="n"/>
      <c r="L517" s="148" t="n"/>
      <c r="M517" s="148" t="n"/>
      <c r="N517" s="148" t="n"/>
      <c r="O517" s="148" t="n"/>
      <c r="P517" s="148" t="n"/>
      <c r="Q517" s="148" t="n"/>
      <c r="R517" s="148" t="n"/>
      <c r="S517" s="148" t="n"/>
      <c r="T517" s="150" t="n"/>
      <c r="U517" s="150" t="n"/>
      <c r="V517" s="37" t="n"/>
      <c r="W517" s="151" t="n"/>
      <c r="X517" s="151" t="n"/>
      <c r="Y517" s="151" t="n"/>
      <c r="Z517" s="151" t="n"/>
      <c r="AA517" s="151" t="n"/>
      <c r="AB517" s="152" t="n"/>
      <c r="AC517" s="152" t="n"/>
      <c r="AD517" s="152" t="n"/>
      <c r="AE517" s="152" t="n"/>
      <c r="AF517" s="152" t="n"/>
    </row>
    <row r="518" ht="15.75" customHeight="1" s="201">
      <c r="A518" s="97" t="n"/>
      <c r="B518" s="97" t="n"/>
      <c r="C518" s="97" t="n"/>
      <c r="D518" s="97" t="n"/>
      <c r="E518" s="97" t="n"/>
      <c r="F518" s="148" t="n"/>
      <c r="G518" s="148" t="n"/>
      <c r="H518" s="148" t="n"/>
      <c r="I518" s="148" t="n"/>
      <c r="J518" s="149" t="n"/>
      <c r="K518" s="97" t="n"/>
      <c r="L518" s="148" t="n"/>
      <c r="M518" s="148" t="n"/>
      <c r="N518" s="148" t="n"/>
      <c r="O518" s="148" t="n"/>
      <c r="P518" s="148" t="n"/>
      <c r="Q518" s="148" t="n"/>
      <c r="R518" s="148" t="n"/>
      <c r="S518" s="148" t="n"/>
      <c r="T518" s="150" t="n"/>
      <c r="U518" s="150" t="n"/>
      <c r="V518" s="37" t="n"/>
      <c r="W518" s="151" t="n"/>
      <c r="X518" s="151" t="n"/>
      <c r="Y518" s="151" t="n"/>
      <c r="Z518" s="151" t="n"/>
      <c r="AA518" s="151" t="n"/>
      <c r="AB518" s="152" t="n"/>
      <c r="AC518" s="152" t="n"/>
      <c r="AD518" s="152" t="n"/>
      <c r="AE518" s="152" t="n"/>
      <c r="AF518" s="152" t="n"/>
    </row>
    <row r="519" ht="15.75" customHeight="1" s="201">
      <c r="A519" s="97" t="n"/>
      <c r="B519" s="97" t="n"/>
      <c r="C519" s="97" t="n"/>
      <c r="D519" s="97" t="n"/>
      <c r="E519" s="97" t="n"/>
      <c r="F519" s="148" t="n"/>
      <c r="G519" s="148" t="n"/>
      <c r="H519" s="148" t="n"/>
      <c r="I519" s="148" t="n"/>
      <c r="J519" s="149" t="n"/>
      <c r="K519" s="97" t="n"/>
      <c r="L519" s="148" t="n"/>
      <c r="M519" s="148" t="n"/>
      <c r="N519" s="148" t="n"/>
      <c r="O519" s="148" t="n"/>
      <c r="P519" s="148" t="n"/>
      <c r="Q519" s="148" t="n"/>
      <c r="R519" s="148" t="n"/>
      <c r="S519" s="148" t="n"/>
      <c r="T519" s="150" t="n"/>
      <c r="U519" s="150" t="n"/>
      <c r="V519" s="37" t="n"/>
      <c r="W519" s="151" t="n"/>
      <c r="X519" s="151" t="n"/>
      <c r="Y519" s="151" t="n"/>
      <c r="Z519" s="151" t="n"/>
      <c r="AA519" s="151" t="n"/>
      <c r="AB519" s="152" t="n"/>
      <c r="AC519" s="152" t="n"/>
      <c r="AD519" s="152" t="n"/>
      <c r="AE519" s="152" t="n"/>
      <c r="AF519" s="152" t="n"/>
    </row>
    <row r="520" ht="15.75" customHeight="1" s="201">
      <c r="A520" s="97" t="n"/>
      <c r="B520" s="97" t="n"/>
      <c r="C520" s="97" t="n"/>
      <c r="D520" s="97" t="n"/>
      <c r="E520" s="97" t="n"/>
      <c r="F520" s="148" t="n"/>
      <c r="G520" s="148" t="n"/>
      <c r="H520" s="148" t="n"/>
      <c r="I520" s="148" t="n"/>
      <c r="J520" s="149" t="n"/>
      <c r="K520" s="97" t="n"/>
      <c r="L520" s="148" t="n"/>
      <c r="M520" s="148" t="n"/>
      <c r="N520" s="148" t="n"/>
      <c r="O520" s="148" t="n"/>
      <c r="P520" s="148" t="n"/>
      <c r="Q520" s="148" t="n"/>
      <c r="R520" s="148" t="n"/>
      <c r="S520" s="148" t="n"/>
      <c r="T520" s="150" t="n"/>
      <c r="U520" s="150" t="n"/>
      <c r="V520" s="37" t="n"/>
      <c r="W520" s="151" t="n"/>
      <c r="X520" s="151" t="n"/>
      <c r="Y520" s="151" t="n"/>
      <c r="Z520" s="151" t="n"/>
      <c r="AA520" s="151" t="n"/>
      <c r="AB520" s="152" t="n"/>
      <c r="AC520" s="152" t="n"/>
      <c r="AD520" s="152" t="n"/>
      <c r="AE520" s="152" t="n"/>
      <c r="AF520" s="152" t="n"/>
    </row>
    <row r="521" ht="15.75" customHeight="1" s="201">
      <c r="A521" s="97" t="n"/>
      <c r="B521" s="97" t="n"/>
      <c r="C521" s="97" t="n"/>
      <c r="D521" s="97" t="n"/>
      <c r="E521" s="97" t="n"/>
      <c r="F521" s="148" t="n"/>
      <c r="G521" s="148" t="n"/>
      <c r="H521" s="148" t="n"/>
      <c r="I521" s="148" t="n"/>
      <c r="J521" s="149" t="n"/>
      <c r="K521" s="97" t="n"/>
      <c r="L521" s="148" t="n"/>
      <c r="M521" s="148" t="n"/>
      <c r="N521" s="148" t="n"/>
      <c r="O521" s="148" t="n"/>
      <c r="P521" s="148" t="n"/>
      <c r="Q521" s="148" t="n"/>
      <c r="R521" s="148" t="n"/>
      <c r="S521" s="148" t="n"/>
      <c r="T521" s="150" t="n"/>
      <c r="U521" s="150" t="n"/>
      <c r="V521" s="37" t="n"/>
      <c r="W521" s="151" t="n"/>
      <c r="X521" s="151" t="n"/>
      <c r="Y521" s="151" t="n"/>
      <c r="Z521" s="151" t="n"/>
      <c r="AA521" s="151" t="n"/>
      <c r="AB521" s="152" t="n"/>
      <c r="AC521" s="152" t="n"/>
      <c r="AD521" s="152" t="n"/>
      <c r="AE521" s="152" t="n"/>
      <c r="AF521" s="152" t="n"/>
    </row>
    <row r="522" ht="15.75" customHeight="1" s="201">
      <c r="A522" s="97" t="n"/>
      <c r="B522" s="97" t="n"/>
      <c r="C522" s="97" t="n"/>
      <c r="D522" s="97" t="n"/>
      <c r="E522" s="97" t="n"/>
      <c r="F522" s="148" t="n"/>
      <c r="G522" s="148" t="n"/>
      <c r="H522" s="148" t="n"/>
      <c r="I522" s="148" t="n"/>
      <c r="J522" s="149" t="n"/>
      <c r="K522" s="97" t="n"/>
      <c r="L522" s="148" t="n"/>
      <c r="M522" s="148" t="n"/>
      <c r="N522" s="148" t="n"/>
      <c r="O522" s="148" t="n"/>
      <c r="P522" s="148" t="n"/>
      <c r="Q522" s="148" t="n"/>
      <c r="R522" s="148" t="n"/>
      <c r="S522" s="148" t="n"/>
      <c r="T522" s="150" t="n"/>
      <c r="U522" s="150" t="n"/>
      <c r="V522" s="37" t="n"/>
      <c r="W522" s="151" t="n"/>
      <c r="X522" s="151" t="n"/>
      <c r="Y522" s="151" t="n"/>
      <c r="Z522" s="151" t="n"/>
      <c r="AA522" s="151" t="n"/>
      <c r="AB522" s="152" t="n"/>
      <c r="AC522" s="152" t="n"/>
      <c r="AD522" s="152" t="n"/>
      <c r="AE522" s="152" t="n"/>
      <c r="AF522" s="152" t="n"/>
    </row>
    <row r="523" ht="15.75" customHeight="1" s="201">
      <c r="A523" s="97" t="n"/>
      <c r="B523" s="97" t="n"/>
      <c r="C523" s="97" t="n"/>
      <c r="D523" s="97" t="n"/>
      <c r="E523" s="97" t="n"/>
      <c r="F523" s="148" t="n"/>
      <c r="G523" s="148" t="n"/>
      <c r="H523" s="148" t="n"/>
      <c r="I523" s="148" t="n"/>
      <c r="J523" s="149" t="n"/>
      <c r="K523" s="97" t="n"/>
      <c r="L523" s="148" t="n"/>
      <c r="M523" s="148" t="n"/>
      <c r="N523" s="148" t="n"/>
      <c r="O523" s="148" t="n"/>
      <c r="P523" s="148" t="n"/>
      <c r="Q523" s="148" t="n"/>
      <c r="R523" s="148" t="n"/>
      <c r="S523" s="148" t="n"/>
      <c r="T523" s="150" t="n"/>
      <c r="U523" s="150" t="n"/>
      <c r="V523" s="37" t="n"/>
      <c r="W523" s="151" t="n"/>
      <c r="X523" s="151" t="n"/>
      <c r="Y523" s="151" t="n"/>
      <c r="Z523" s="151" t="n"/>
      <c r="AA523" s="151" t="n"/>
      <c r="AB523" s="152" t="n"/>
      <c r="AC523" s="152" t="n"/>
      <c r="AD523" s="152" t="n"/>
      <c r="AE523" s="152" t="n"/>
      <c r="AF523" s="152" t="n"/>
    </row>
    <row r="524" ht="15.75" customHeight="1" s="201">
      <c r="A524" s="97" t="n"/>
      <c r="B524" s="97" t="n"/>
      <c r="C524" s="97" t="n"/>
      <c r="D524" s="97" t="n"/>
      <c r="E524" s="97" t="n"/>
      <c r="F524" s="148" t="n"/>
      <c r="G524" s="148" t="n"/>
      <c r="H524" s="148" t="n"/>
      <c r="I524" s="148" t="n"/>
      <c r="J524" s="149" t="n"/>
      <c r="K524" s="97" t="n"/>
      <c r="L524" s="148" t="n"/>
      <c r="M524" s="148" t="n"/>
      <c r="N524" s="148" t="n"/>
      <c r="O524" s="148" t="n"/>
      <c r="P524" s="148" t="n"/>
      <c r="Q524" s="148" t="n"/>
      <c r="R524" s="148" t="n"/>
      <c r="S524" s="148" t="n"/>
      <c r="T524" s="150" t="n"/>
      <c r="U524" s="150" t="n"/>
      <c r="V524" s="37" t="n"/>
      <c r="W524" s="151" t="n"/>
      <c r="X524" s="151" t="n"/>
      <c r="Y524" s="151" t="n"/>
      <c r="Z524" s="151" t="n"/>
      <c r="AA524" s="151" t="n"/>
      <c r="AB524" s="152" t="n"/>
      <c r="AC524" s="152" t="n"/>
      <c r="AD524" s="152" t="n"/>
      <c r="AE524" s="152" t="n"/>
      <c r="AF524" s="152" t="n"/>
    </row>
    <row r="525" ht="15.75" customHeight="1" s="201">
      <c r="A525" s="97" t="n"/>
      <c r="B525" s="97" t="n"/>
      <c r="C525" s="97" t="n"/>
      <c r="D525" s="97" t="n"/>
      <c r="E525" s="97" t="n"/>
      <c r="F525" s="148" t="n"/>
      <c r="G525" s="148" t="n"/>
      <c r="H525" s="148" t="n"/>
      <c r="I525" s="148" t="n"/>
      <c r="J525" s="149" t="n"/>
      <c r="K525" s="97" t="n"/>
      <c r="L525" s="148" t="n"/>
      <c r="M525" s="148" t="n"/>
      <c r="N525" s="148" t="n"/>
      <c r="O525" s="148" t="n"/>
      <c r="P525" s="148" t="n"/>
      <c r="Q525" s="148" t="n"/>
      <c r="R525" s="148" t="n"/>
      <c r="S525" s="148" t="n"/>
      <c r="T525" s="150" t="n"/>
      <c r="U525" s="150" t="n"/>
      <c r="V525" s="37" t="n"/>
      <c r="W525" s="151" t="n"/>
      <c r="X525" s="151" t="n"/>
      <c r="Y525" s="151" t="n"/>
      <c r="Z525" s="151" t="n"/>
      <c r="AA525" s="151" t="n"/>
      <c r="AB525" s="152" t="n"/>
      <c r="AC525" s="152" t="n"/>
      <c r="AD525" s="152" t="n"/>
      <c r="AE525" s="152" t="n"/>
      <c r="AF525" s="152" t="n"/>
    </row>
    <row r="526" ht="15.75" customHeight="1" s="201">
      <c r="A526" s="97" t="n"/>
      <c r="B526" s="97" t="n"/>
      <c r="C526" s="97" t="n"/>
      <c r="D526" s="97" t="n"/>
      <c r="E526" s="97" t="n"/>
      <c r="F526" s="148" t="n"/>
      <c r="G526" s="148" t="n"/>
      <c r="H526" s="148" t="n"/>
      <c r="I526" s="148" t="n"/>
      <c r="J526" s="149" t="n"/>
      <c r="K526" s="97" t="n"/>
      <c r="L526" s="148" t="n"/>
      <c r="M526" s="148" t="n"/>
      <c r="N526" s="148" t="n"/>
      <c r="O526" s="148" t="n"/>
      <c r="P526" s="148" t="n"/>
      <c r="Q526" s="148" t="n"/>
      <c r="R526" s="148" t="n"/>
      <c r="S526" s="148" t="n"/>
      <c r="T526" s="150" t="n"/>
      <c r="U526" s="150" t="n"/>
      <c r="V526" s="37" t="n"/>
      <c r="W526" s="151" t="n"/>
      <c r="X526" s="151" t="n"/>
      <c r="Y526" s="151" t="n"/>
      <c r="Z526" s="151" t="n"/>
      <c r="AA526" s="151" t="n"/>
      <c r="AB526" s="152" t="n"/>
      <c r="AC526" s="152" t="n"/>
      <c r="AD526" s="152" t="n"/>
      <c r="AE526" s="152" t="n"/>
      <c r="AF526" s="152" t="n"/>
    </row>
    <row r="527" ht="15.75" customHeight="1" s="201">
      <c r="A527" s="97" t="n"/>
      <c r="B527" s="97" t="n"/>
      <c r="C527" s="97" t="n"/>
      <c r="D527" s="97" t="n"/>
      <c r="E527" s="97" t="n"/>
      <c r="F527" s="148" t="n"/>
      <c r="G527" s="148" t="n"/>
      <c r="H527" s="148" t="n"/>
      <c r="I527" s="148" t="n"/>
      <c r="J527" s="149" t="n"/>
      <c r="K527" s="97" t="n"/>
      <c r="L527" s="148" t="n"/>
      <c r="M527" s="148" t="n"/>
      <c r="N527" s="148" t="n"/>
      <c r="O527" s="148" t="n"/>
      <c r="P527" s="148" t="n"/>
      <c r="Q527" s="148" t="n"/>
      <c r="R527" s="148" t="n"/>
      <c r="S527" s="148" t="n"/>
      <c r="T527" s="150" t="n"/>
      <c r="U527" s="150" t="n"/>
      <c r="V527" s="37" t="n"/>
      <c r="W527" s="151" t="n"/>
      <c r="X527" s="151" t="n"/>
      <c r="Y527" s="151" t="n"/>
      <c r="Z527" s="151" t="n"/>
      <c r="AA527" s="151" t="n"/>
      <c r="AB527" s="152" t="n"/>
      <c r="AC527" s="152" t="n"/>
      <c r="AD527" s="152" t="n"/>
      <c r="AE527" s="152" t="n"/>
      <c r="AF527" s="152" t="n"/>
    </row>
    <row r="528" ht="15.75" customHeight="1" s="201">
      <c r="A528" s="97" t="n"/>
      <c r="B528" s="97" t="n"/>
      <c r="C528" s="97" t="n"/>
      <c r="D528" s="97" t="n"/>
      <c r="E528" s="97" t="n"/>
      <c r="F528" s="148" t="n"/>
      <c r="G528" s="148" t="n"/>
      <c r="H528" s="148" t="n"/>
      <c r="I528" s="148" t="n"/>
      <c r="J528" s="149" t="n"/>
      <c r="K528" s="97" t="n"/>
      <c r="L528" s="148" t="n"/>
      <c r="M528" s="148" t="n"/>
      <c r="N528" s="148" t="n"/>
      <c r="O528" s="148" t="n"/>
      <c r="P528" s="148" t="n"/>
      <c r="Q528" s="148" t="n"/>
      <c r="R528" s="148" t="n"/>
      <c r="S528" s="148" t="n"/>
      <c r="T528" s="150" t="n"/>
      <c r="U528" s="150" t="n"/>
      <c r="V528" s="37" t="n"/>
      <c r="W528" s="151" t="n"/>
      <c r="X528" s="151" t="n"/>
      <c r="Y528" s="151" t="n"/>
      <c r="Z528" s="151" t="n"/>
      <c r="AA528" s="151" t="n"/>
      <c r="AB528" s="152" t="n"/>
      <c r="AC528" s="152" t="n"/>
      <c r="AD528" s="152" t="n"/>
      <c r="AE528" s="152" t="n"/>
      <c r="AF528" s="152" t="n"/>
    </row>
    <row r="529" ht="15.75" customHeight="1" s="201">
      <c r="A529" s="97" t="n"/>
      <c r="B529" s="97" t="n"/>
      <c r="C529" s="97" t="n"/>
      <c r="D529" s="97" t="n"/>
      <c r="E529" s="97" t="n"/>
      <c r="F529" s="148" t="n"/>
      <c r="G529" s="148" t="n"/>
      <c r="H529" s="148" t="n"/>
      <c r="I529" s="148" t="n"/>
      <c r="J529" s="149" t="n"/>
      <c r="K529" s="97" t="n"/>
      <c r="L529" s="148" t="n"/>
      <c r="M529" s="148" t="n"/>
      <c r="N529" s="148" t="n"/>
      <c r="O529" s="148" t="n"/>
      <c r="P529" s="148" t="n"/>
      <c r="Q529" s="148" t="n"/>
      <c r="R529" s="148" t="n"/>
      <c r="S529" s="148" t="n"/>
      <c r="T529" s="150" t="n"/>
      <c r="U529" s="150" t="n"/>
      <c r="V529" s="37" t="n"/>
      <c r="W529" s="151" t="n"/>
      <c r="X529" s="151" t="n"/>
      <c r="Y529" s="151" t="n"/>
      <c r="Z529" s="151" t="n"/>
      <c r="AA529" s="151" t="n"/>
      <c r="AB529" s="152" t="n"/>
      <c r="AC529" s="152" t="n"/>
      <c r="AD529" s="152" t="n"/>
      <c r="AE529" s="152" t="n"/>
      <c r="AF529" s="152" t="n"/>
    </row>
    <row r="530" ht="15.75" customHeight="1" s="201">
      <c r="A530" s="97" t="n"/>
      <c r="B530" s="97" t="n"/>
      <c r="C530" s="97" t="n"/>
      <c r="D530" s="97" t="n"/>
      <c r="E530" s="97" t="n"/>
      <c r="F530" s="148" t="n"/>
      <c r="G530" s="148" t="n"/>
      <c r="H530" s="148" t="n"/>
      <c r="I530" s="148" t="n"/>
      <c r="J530" s="149" t="n"/>
      <c r="K530" s="97" t="n"/>
      <c r="L530" s="148" t="n"/>
      <c r="M530" s="148" t="n"/>
      <c r="N530" s="148" t="n"/>
      <c r="O530" s="148" t="n"/>
      <c r="P530" s="148" t="n"/>
      <c r="Q530" s="148" t="n"/>
      <c r="R530" s="148" t="n"/>
      <c r="S530" s="148" t="n"/>
      <c r="T530" s="150" t="n"/>
      <c r="U530" s="150" t="n"/>
      <c r="V530" s="37" t="n"/>
      <c r="W530" s="151" t="n"/>
      <c r="X530" s="151" t="n"/>
      <c r="Y530" s="151" t="n"/>
      <c r="Z530" s="151" t="n"/>
      <c r="AA530" s="151" t="n"/>
      <c r="AB530" s="152" t="n"/>
      <c r="AC530" s="152" t="n"/>
      <c r="AD530" s="152" t="n"/>
      <c r="AE530" s="152" t="n"/>
      <c r="AF530" s="152" t="n"/>
    </row>
    <row r="531" ht="15.75" customHeight="1" s="201">
      <c r="A531" s="97" t="n"/>
      <c r="B531" s="97" t="n"/>
      <c r="C531" s="97" t="n"/>
      <c r="D531" s="97" t="n"/>
      <c r="E531" s="97" t="n"/>
      <c r="F531" s="148" t="n"/>
      <c r="G531" s="148" t="n"/>
      <c r="H531" s="148" t="n"/>
      <c r="I531" s="148" t="n"/>
      <c r="J531" s="149" t="n"/>
      <c r="K531" s="97" t="n"/>
      <c r="L531" s="148" t="n"/>
      <c r="M531" s="148" t="n"/>
      <c r="N531" s="148" t="n"/>
      <c r="O531" s="148" t="n"/>
      <c r="P531" s="148" t="n"/>
      <c r="Q531" s="148" t="n"/>
      <c r="R531" s="148" t="n"/>
      <c r="S531" s="148" t="n"/>
      <c r="T531" s="150" t="n"/>
      <c r="U531" s="150" t="n"/>
      <c r="V531" s="37" t="n"/>
      <c r="W531" s="151" t="n"/>
      <c r="X531" s="151" t="n"/>
      <c r="Y531" s="151" t="n"/>
      <c r="Z531" s="151" t="n"/>
      <c r="AA531" s="151" t="n"/>
      <c r="AB531" s="152" t="n"/>
      <c r="AC531" s="152" t="n"/>
      <c r="AD531" s="152" t="n"/>
      <c r="AE531" s="152" t="n"/>
      <c r="AF531" s="152" t="n"/>
    </row>
    <row r="532" ht="15.75" customHeight="1" s="201">
      <c r="A532" s="97" t="n"/>
      <c r="B532" s="97" t="n"/>
      <c r="C532" s="97" t="n"/>
      <c r="D532" s="97" t="n"/>
      <c r="E532" s="97" t="n"/>
      <c r="F532" s="148" t="n"/>
      <c r="G532" s="148" t="n"/>
      <c r="H532" s="148" t="n"/>
      <c r="I532" s="148" t="n"/>
      <c r="J532" s="149" t="n"/>
      <c r="K532" s="97" t="n"/>
      <c r="L532" s="148" t="n"/>
      <c r="M532" s="148" t="n"/>
      <c r="N532" s="148" t="n"/>
      <c r="O532" s="148" t="n"/>
      <c r="P532" s="148" t="n"/>
      <c r="Q532" s="148" t="n"/>
      <c r="R532" s="148" t="n"/>
      <c r="S532" s="148" t="n"/>
      <c r="T532" s="150" t="n"/>
      <c r="U532" s="150" t="n"/>
      <c r="V532" s="37" t="n"/>
      <c r="W532" s="151" t="n"/>
      <c r="X532" s="151" t="n"/>
      <c r="Y532" s="151" t="n"/>
      <c r="Z532" s="151" t="n"/>
      <c r="AA532" s="151" t="n"/>
      <c r="AB532" s="152" t="n"/>
      <c r="AC532" s="152" t="n"/>
      <c r="AD532" s="152" t="n"/>
      <c r="AE532" s="152" t="n"/>
      <c r="AF532" s="152" t="n"/>
    </row>
    <row r="533" ht="15.75" customHeight="1" s="201">
      <c r="A533" s="97" t="n"/>
      <c r="B533" s="97" t="n"/>
      <c r="C533" s="97" t="n"/>
      <c r="D533" s="97" t="n"/>
      <c r="E533" s="97" t="n"/>
      <c r="F533" s="148" t="n"/>
      <c r="G533" s="148" t="n"/>
      <c r="H533" s="148" t="n"/>
      <c r="I533" s="148" t="n"/>
      <c r="J533" s="149" t="n"/>
      <c r="K533" s="97" t="n"/>
      <c r="L533" s="148" t="n"/>
      <c r="M533" s="148" t="n"/>
      <c r="N533" s="148" t="n"/>
      <c r="O533" s="148" t="n"/>
      <c r="P533" s="148" t="n"/>
      <c r="Q533" s="148" t="n"/>
      <c r="R533" s="148" t="n"/>
      <c r="S533" s="148" t="n"/>
      <c r="T533" s="150" t="n"/>
      <c r="U533" s="150" t="n"/>
      <c r="V533" s="37" t="n"/>
      <c r="W533" s="151" t="n"/>
      <c r="X533" s="151" t="n"/>
      <c r="Y533" s="151" t="n"/>
      <c r="Z533" s="151" t="n"/>
      <c r="AA533" s="151" t="n"/>
      <c r="AB533" s="152" t="n"/>
      <c r="AC533" s="152" t="n"/>
      <c r="AD533" s="152" t="n"/>
      <c r="AE533" s="152" t="n"/>
      <c r="AF533" s="152" t="n"/>
    </row>
    <row r="534" ht="15.75" customHeight="1" s="201">
      <c r="A534" s="97" t="n"/>
      <c r="B534" s="97" t="n"/>
      <c r="C534" s="97" t="n"/>
      <c r="D534" s="97" t="n"/>
      <c r="E534" s="97" t="n"/>
      <c r="F534" s="148" t="n"/>
      <c r="G534" s="148" t="n"/>
      <c r="H534" s="148" t="n"/>
      <c r="I534" s="148" t="n"/>
      <c r="J534" s="149" t="n"/>
      <c r="K534" s="97" t="n"/>
      <c r="L534" s="148" t="n"/>
      <c r="M534" s="148" t="n"/>
      <c r="N534" s="148" t="n"/>
      <c r="O534" s="148" t="n"/>
      <c r="P534" s="148" t="n"/>
      <c r="Q534" s="148" t="n"/>
      <c r="R534" s="148" t="n"/>
      <c r="S534" s="148" t="n"/>
      <c r="T534" s="150" t="n"/>
      <c r="U534" s="150" t="n"/>
      <c r="V534" s="37" t="n"/>
      <c r="W534" s="151" t="n"/>
      <c r="X534" s="151" t="n"/>
      <c r="Y534" s="151" t="n"/>
      <c r="Z534" s="151" t="n"/>
      <c r="AA534" s="151" t="n"/>
      <c r="AB534" s="152" t="n"/>
      <c r="AC534" s="152" t="n"/>
      <c r="AD534" s="152" t="n"/>
      <c r="AE534" s="152" t="n"/>
      <c r="AF534" s="152" t="n"/>
    </row>
    <row r="535" ht="15.75" customHeight="1" s="201">
      <c r="A535" s="97" t="n"/>
      <c r="B535" s="97" t="n"/>
      <c r="C535" s="97" t="n"/>
      <c r="D535" s="97" t="n"/>
      <c r="E535" s="97" t="n"/>
      <c r="F535" s="148" t="n"/>
      <c r="G535" s="148" t="n"/>
      <c r="H535" s="148" t="n"/>
      <c r="I535" s="148" t="n"/>
      <c r="J535" s="149" t="n"/>
      <c r="K535" s="97" t="n"/>
      <c r="L535" s="148" t="n"/>
      <c r="M535" s="148" t="n"/>
      <c r="N535" s="148" t="n"/>
      <c r="O535" s="148" t="n"/>
      <c r="P535" s="148" t="n"/>
      <c r="Q535" s="148" t="n"/>
      <c r="R535" s="148" t="n"/>
      <c r="S535" s="148" t="n"/>
      <c r="T535" s="150" t="n"/>
      <c r="U535" s="150" t="n"/>
      <c r="V535" s="37" t="n"/>
      <c r="W535" s="151" t="n"/>
      <c r="X535" s="151" t="n"/>
      <c r="Y535" s="151" t="n"/>
      <c r="Z535" s="151" t="n"/>
      <c r="AA535" s="151" t="n"/>
      <c r="AB535" s="152" t="n"/>
      <c r="AC535" s="152" t="n"/>
      <c r="AD535" s="152" t="n"/>
      <c r="AE535" s="152" t="n"/>
      <c r="AF535" s="152" t="n"/>
    </row>
    <row r="536" ht="15.75" customHeight="1" s="201">
      <c r="A536" s="97" t="n"/>
      <c r="B536" s="97" t="n"/>
      <c r="C536" s="97" t="n"/>
      <c r="D536" s="97" t="n"/>
      <c r="E536" s="97" t="n"/>
      <c r="F536" s="148" t="n"/>
      <c r="G536" s="148" t="n"/>
      <c r="H536" s="148" t="n"/>
      <c r="I536" s="148" t="n"/>
      <c r="J536" s="149" t="n"/>
      <c r="K536" s="97" t="n"/>
      <c r="L536" s="148" t="n"/>
      <c r="M536" s="148" t="n"/>
      <c r="N536" s="148" t="n"/>
      <c r="O536" s="148" t="n"/>
      <c r="P536" s="148" t="n"/>
      <c r="Q536" s="148" t="n"/>
      <c r="R536" s="148" t="n"/>
      <c r="S536" s="148" t="n"/>
      <c r="T536" s="150" t="n"/>
      <c r="U536" s="150" t="n"/>
      <c r="V536" s="37" t="n"/>
      <c r="W536" s="151" t="n"/>
      <c r="X536" s="151" t="n"/>
      <c r="Y536" s="151" t="n"/>
      <c r="Z536" s="151" t="n"/>
      <c r="AA536" s="151" t="n"/>
      <c r="AB536" s="152" t="n"/>
      <c r="AC536" s="152" t="n"/>
      <c r="AD536" s="152" t="n"/>
      <c r="AE536" s="152" t="n"/>
      <c r="AF536" s="152" t="n"/>
    </row>
    <row r="537" ht="15.75" customHeight="1" s="201">
      <c r="A537" s="97" t="n"/>
      <c r="B537" s="97" t="n"/>
      <c r="C537" s="97" t="n"/>
      <c r="D537" s="97" t="n"/>
      <c r="E537" s="97" t="n"/>
      <c r="F537" s="148" t="n"/>
      <c r="G537" s="148" t="n"/>
      <c r="H537" s="148" t="n"/>
      <c r="I537" s="148" t="n"/>
      <c r="J537" s="149" t="n"/>
      <c r="K537" s="97" t="n"/>
      <c r="L537" s="148" t="n"/>
      <c r="M537" s="148" t="n"/>
      <c r="N537" s="148" t="n"/>
      <c r="O537" s="148" t="n"/>
      <c r="P537" s="148" t="n"/>
      <c r="Q537" s="148" t="n"/>
      <c r="R537" s="148" t="n"/>
      <c r="S537" s="148" t="n"/>
      <c r="T537" s="150" t="n"/>
      <c r="U537" s="150" t="n"/>
      <c r="V537" s="37" t="n"/>
      <c r="W537" s="151" t="n"/>
      <c r="X537" s="151" t="n"/>
      <c r="Y537" s="151" t="n"/>
      <c r="Z537" s="151" t="n"/>
      <c r="AA537" s="151" t="n"/>
      <c r="AB537" s="152" t="n"/>
      <c r="AC537" s="152" t="n"/>
      <c r="AD537" s="152" t="n"/>
      <c r="AE537" s="152" t="n"/>
      <c r="AF537" s="152" t="n"/>
    </row>
    <row r="538" ht="15.75" customHeight="1" s="201">
      <c r="A538" s="97" t="n"/>
      <c r="B538" s="97" t="n"/>
      <c r="C538" s="97" t="n"/>
      <c r="D538" s="97" t="n"/>
      <c r="E538" s="97" t="n"/>
      <c r="F538" s="148" t="n"/>
      <c r="G538" s="148" t="n"/>
      <c r="H538" s="148" t="n"/>
      <c r="I538" s="148" t="n"/>
      <c r="J538" s="149" t="n"/>
      <c r="K538" s="97" t="n"/>
      <c r="L538" s="148" t="n"/>
      <c r="M538" s="148" t="n"/>
      <c r="N538" s="148" t="n"/>
      <c r="O538" s="148" t="n"/>
      <c r="P538" s="148" t="n"/>
      <c r="Q538" s="148" t="n"/>
      <c r="R538" s="148" t="n"/>
      <c r="S538" s="148" t="n"/>
      <c r="T538" s="150" t="n"/>
      <c r="U538" s="150" t="n"/>
      <c r="V538" s="37" t="n"/>
      <c r="W538" s="151" t="n"/>
      <c r="X538" s="151" t="n"/>
      <c r="Y538" s="151" t="n"/>
      <c r="Z538" s="151" t="n"/>
      <c r="AA538" s="151" t="n"/>
      <c r="AB538" s="152" t="n"/>
      <c r="AC538" s="152" t="n"/>
      <c r="AD538" s="152" t="n"/>
      <c r="AE538" s="152" t="n"/>
      <c r="AF538" s="152" t="n"/>
    </row>
    <row r="539" ht="15.75" customHeight="1" s="201">
      <c r="A539" s="97" t="n"/>
      <c r="B539" s="97" t="n"/>
      <c r="C539" s="97" t="n"/>
      <c r="D539" s="97" t="n"/>
      <c r="E539" s="97" t="n"/>
      <c r="F539" s="148" t="n"/>
      <c r="G539" s="148" t="n"/>
      <c r="H539" s="148" t="n"/>
      <c r="I539" s="148" t="n"/>
      <c r="J539" s="149" t="n"/>
      <c r="K539" s="97" t="n"/>
      <c r="L539" s="148" t="n"/>
      <c r="M539" s="148" t="n"/>
      <c r="N539" s="148" t="n"/>
      <c r="O539" s="148" t="n"/>
      <c r="P539" s="148" t="n"/>
      <c r="Q539" s="148" t="n"/>
      <c r="R539" s="148" t="n"/>
      <c r="S539" s="148" t="n"/>
      <c r="T539" s="150" t="n"/>
      <c r="U539" s="150" t="n"/>
      <c r="V539" s="37" t="n"/>
      <c r="W539" s="151" t="n"/>
      <c r="X539" s="151" t="n"/>
      <c r="Y539" s="151" t="n"/>
      <c r="Z539" s="151" t="n"/>
      <c r="AA539" s="151" t="n"/>
      <c r="AB539" s="152" t="n"/>
      <c r="AC539" s="152" t="n"/>
      <c r="AD539" s="152" t="n"/>
      <c r="AE539" s="152" t="n"/>
      <c r="AF539" s="152" t="n"/>
    </row>
    <row r="540" ht="15.75" customHeight="1" s="201">
      <c r="A540" s="97" t="n"/>
      <c r="B540" s="97" t="n"/>
      <c r="C540" s="97" t="n"/>
      <c r="D540" s="97" t="n"/>
      <c r="E540" s="97" t="n"/>
      <c r="F540" s="148" t="n"/>
      <c r="G540" s="148" t="n"/>
      <c r="H540" s="148" t="n"/>
      <c r="I540" s="148" t="n"/>
      <c r="J540" s="149" t="n"/>
      <c r="K540" s="97" t="n"/>
      <c r="L540" s="148" t="n"/>
      <c r="M540" s="148" t="n"/>
      <c r="N540" s="148" t="n"/>
      <c r="O540" s="148" t="n"/>
      <c r="P540" s="148" t="n"/>
      <c r="Q540" s="148" t="n"/>
      <c r="R540" s="148" t="n"/>
      <c r="S540" s="148" t="n"/>
      <c r="T540" s="150" t="n"/>
      <c r="U540" s="150" t="n"/>
      <c r="V540" s="37" t="n"/>
      <c r="W540" s="151" t="n"/>
      <c r="X540" s="151" t="n"/>
      <c r="Y540" s="151" t="n"/>
      <c r="Z540" s="151" t="n"/>
      <c r="AA540" s="151" t="n"/>
      <c r="AB540" s="152" t="n"/>
      <c r="AC540" s="152" t="n"/>
      <c r="AD540" s="152" t="n"/>
      <c r="AE540" s="152" t="n"/>
      <c r="AF540" s="152" t="n"/>
    </row>
    <row r="541" ht="15.75" customHeight="1" s="201">
      <c r="A541" s="97" t="n"/>
      <c r="B541" s="97" t="n"/>
      <c r="C541" s="97" t="n"/>
      <c r="D541" s="97" t="n"/>
      <c r="E541" s="97" t="n"/>
      <c r="F541" s="148" t="n"/>
      <c r="G541" s="148" t="n"/>
      <c r="H541" s="148" t="n"/>
      <c r="I541" s="148" t="n"/>
      <c r="J541" s="149" t="n"/>
      <c r="K541" s="97" t="n"/>
      <c r="L541" s="148" t="n"/>
      <c r="M541" s="148" t="n"/>
      <c r="N541" s="148" t="n"/>
      <c r="O541" s="148" t="n"/>
      <c r="P541" s="148" t="n"/>
      <c r="Q541" s="148" t="n"/>
      <c r="R541" s="148" t="n"/>
      <c r="S541" s="148" t="n"/>
      <c r="T541" s="150" t="n"/>
      <c r="U541" s="150" t="n"/>
      <c r="V541" s="37" t="n"/>
      <c r="W541" s="151" t="n"/>
      <c r="X541" s="151" t="n"/>
      <c r="Y541" s="151" t="n"/>
      <c r="Z541" s="151" t="n"/>
      <c r="AA541" s="151" t="n"/>
      <c r="AB541" s="152" t="n"/>
      <c r="AC541" s="152" t="n"/>
      <c r="AD541" s="152" t="n"/>
      <c r="AE541" s="152" t="n"/>
      <c r="AF541" s="152" t="n"/>
    </row>
    <row r="542" ht="15.75" customHeight="1" s="201">
      <c r="A542" s="97" t="n"/>
      <c r="B542" s="97" t="n"/>
      <c r="C542" s="97" t="n"/>
      <c r="D542" s="97" t="n"/>
      <c r="E542" s="97" t="n"/>
      <c r="F542" s="148" t="n"/>
      <c r="G542" s="148" t="n"/>
      <c r="H542" s="148" t="n"/>
      <c r="I542" s="148" t="n"/>
      <c r="J542" s="149" t="n"/>
      <c r="K542" s="97" t="n"/>
      <c r="L542" s="148" t="n"/>
      <c r="M542" s="148" t="n"/>
      <c r="N542" s="148" t="n"/>
      <c r="O542" s="148" t="n"/>
      <c r="P542" s="148" t="n"/>
      <c r="Q542" s="148" t="n"/>
      <c r="R542" s="148" t="n"/>
      <c r="S542" s="148" t="n"/>
      <c r="T542" s="150" t="n"/>
      <c r="U542" s="150" t="n"/>
      <c r="V542" s="37" t="n"/>
      <c r="W542" s="151" t="n"/>
      <c r="X542" s="151" t="n"/>
      <c r="Y542" s="151" t="n"/>
      <c r="Z542" s="151" t="n"/>
      <c r="AA542" s="151" t="n"/>
      <c r="AB542" s="152" t="n"/>
      <c r="AC542" s="152" t="n"/>
      <c r="AD542" s="152" t="n"/>
      <c r="AE542" s="152" t="n"/>
      <c r="AF542" s="152" t="n"/>
    </row>
    <row r="543" ht="15.75" customHeight="1" s="201">
      <c r="A543" s="97" t="n"/>
      <c r="B543" s="97" t="n"/>
      <c r="C543" s="97" t="n"/>
      <c r="D543" s="97" t="n"/>
      <c r="E543" s="97" t="n"/>
      <c r="F543" s="148" t="n"/>
      <c r="G543" s="148" t="n"/>
      <c r="H543" s="148" t="n"/>
      <c r="I543" s="148" t="n"/>
      <c r="J543" s="149" t="n"/>
      <c r="K543" s="97" t="n"/>
      <c r="L543" s="148" t="n"/>
      <c r="M543" s="148" t="n"/>
      <c r="N543" s="148" t="n"/>
      <c r="O543" s="148" t="n"/>
      <c r="P543" s="148" t="n"/>
      <c r="Q543" s="148" t="n"/>
      <c r="R543" s="148" t="n"/>
      <c r="S543" s="148" t="n"/>
      <c r="T543" s="150" t="n"/>
      <c r="U543" s="150" t="n"/>
      <c r="V543" s="37" t="n"/>
      <c r="W543" s="151" t="n"/>
      <c r="X543" s="151" t="n"/>
      <c r="Y543" s="151" t="n"/>
      <c r="Z543" s="151" t="n"/>
      <c r="AA543" s="151" t="n"/>
      <c r="AB543" s="152" t="n"/>
      <c r="AC543" s="152" t="n"/>
      <c r="AD543" s="152" t="n"/>
      <c r="AE543" s="152" t="n"/>
      <c r="AF543" s="152" t="n"/>
    </row>
    <row r="544" ht="15.75" customHeight="1" s="201">
      <c r="A544" s="97" t="n"/>
      <c r="B544" s="97" t="n"/>
      <c r="C544" s="97" t="n"/>
      <c r="D544" s="97" t="n"/>
      <c r="E544" s="97" t="n"/>
      <c r="F544" s="148" t="n"/>
      <c r="G544" s="148" t="n"/>
      <c r="H544" s="148" t="n"/>
      <c r="I544" s="148" t="n"/>
      <c r="J544" s="149" t="n"/>
      <c r="K544" s="97" t="n"/>
      <c r="L544" s="148" t="n"/>
      <c r="M544" s="148" t="n"/>
      <c r="N544" s="148" t="n"/>
      <c r="O544" s="148" t="n"/>
      <c r="P544" s="148" t="n"/>
      <c r="Q544" s="148" t="n"/>
      <c r="R544" s="148" t="n"/>
      <c r="S544" s="148" t="n"/>
      <c r="T544" s="150" t="n"/>
      <c r="U544" s="150" t="n"/>
      <c r="V544" s="37" t="n"/>
      <c r="W544" s="151" t="n"/>
      <c r="X544" s="151" t="n"/>
      <c r="Y544" s="151" t="n"/>
      <c r="Z544" s="151" t="n"/>
      <c r="AA544" s="151" t="n"/>
      <c r="AB544" s="152" t="n"/>
      <c r="AC544" s="152" t="n"/>
      <c r="AD544" s="152" t="n"/>
      <c r="AE544" s="152" t="n"/>
      <c r="AF544" s="152" t="n"/>
    </row>
    <row r="545" ht="15.75" customHeight="1" s="201">
      <c r="A545" s="97" t="n"/>
      <c r="B545" s="97" t="n"/>
      <c r="C545" s="97" t="n"/>
      <c r="D545" s="97" t="n"/>
      <c r="E545" s="97" t="n"/>
      <c r="F545" s="148" t="n"/>
      <c r="G545" s="148" t="n"/>
      <c r="H545" s="148" t="n"/>
      <c r="I545" s="148" t="n"/>
      <c r="J545" s="149" t="n"/>
      <c r="K545" s="97" t="n"/>
      <c r="L545" s="148" t="n"/>
      <c r="M545" s="148" t="n"/>
      <c r="N545" s="148" t="n"/>
      <c r="O545" s="148" t="n"/>
      <c r="P545" s="148" t="n"/>
      <c r="Q545" s="148" t="n"/>
      <c r="R545" s="148" t="n"/>
      <c r="S545" s="148" t="n"/>
      <c r="T545" s="150" t="n"/>
      <c r="U545" s="150" t="n"/>
      <c r="V545" s="37" t="n"/>
      <c r="W545" s="151" t="n"/>
      <c r="X545" s="151" t="n"/>
      <c r="Y545" s="151" t="n"/>
      <c r="Z545" s="151" t="n"/>
      <c r="AA545" s="151" t="n"/>
      <c r="AB545" s="152" t="n"/>
      <c r="AC545" s="152" t="n"/>
      <c r="AD545" s="152" t="n"/>
      <c r="AE545" s="152" t="n"/>
      <c r="AF545" s="152" t="n"/>
    </row>
    <row r="546" ht="15.75" customHeight="1" s="201">
      <c r="A546" s="97" t="n"/>
      <c r="B546" s="97" t="n"/>
      <c r="C546" s="97" t="n"/>
      <c r="D546" s="97" t="n"/>
      <c r="E546" s="97" t="n"/>
      <c r="F546" s="148" t="n"/>
      <c r="G546" s="148" t="n"/>
      <c r="H546" s="148" t="n"/>
      <c r="I546" s="148" t="n"/>
      <c r="J546" s="149" t="n"/>
      <c r="K546" s="97" t="n"/>
      <c r="L546" s="148" t="n"/>
      <c r="M546" s="148" t="n"/>
      <c r="N546" s="148" t="n"/>
      <c r="O546" s="148" t="n"/>
      <c r="P546" s="148" t="n"/>
      <c r="Q546" s="148" t="n"/>
      <c r="R546" s="148" t="n"/>
      <c r="S546" s="148" t="n"/>
      <c r="T546" s="150" t="n"/>
      <c r="U546" s="150" t="n"/>
      <c r="V546" s="37" t="n"/>
      <c r="W546" s="151" t="n"/>
      <c r="X546" s="151" t="n"/>
      <c r="Y546" s="151" t="n"/>
      <c r="Z546" s="151" t="n"/>
      <c r="AA546" s="151" t="n"/>
      <c r="AB546" s="152" t="n"/>
      <c r="AC546" s="152" t="n"/>
      <c r="AD546" s="152" t="n"/>
      <c r="AE546" s="152" t="n"/>
      <c r="AF546" s="152" t="n"/>
    </row>
    <row r="547" ht="15.75" customHeight="1" s="201">
      <c r="A547" s="97" t="n"/>
      <c r="B547" s="97" t="n"/>
      <c r="C547" s="97" t="n"/>
      <c r="D547" s="97" t="n"/>
      <c r="E547" s="97" t="n"/>
      <c r="F547" s="148" t="n"/>
      <c r="G547" s="148" t="n"/>
      <c r="H547" s="148" t="n"/>
      <c r="I547" s="148" t="n"/>
      <c r="J547" s="149" t="n"/>
      <c r="K547" s="97" t="n"/>
      <c r="L547" s="148" t="n"/>
      <c r="M547" s="148" t="n"/>
      <c r="N547" s="148" t="n"/>
      <c r="O547" s="148" t="n"/>
      <c r="P547" s="148" t="n"/>
      <c r="Q547" s="148" t="n"/>
      <c r="R547" s="148" t="n"/>
      <c r="S547" s="148" t="n"/>
      <c r="T547" s="150" t="n"/>
      <c r="U547" s="150" t="n"/>
      <c r="V547" s="37" t="n"/>
      <c r="W547" s="151" t="n"/>
      <c r="X547" s="151" t="n"/>
      <c r="Y547" s="151" t="n"/>
      <c r="Z547" s="151" t="n"/>
      <c r="AA547" s="151" t="n"/>
      <c r="AB547" s="152" t="n"/>
      <c r="AC547" s="152" t="n"/>
      <c r="AD547" s="152" t="n"/>
      <c r="AE547" s="152" t="n"/>
      <c r="AF547" s="152" t="n"/>
    </row>
    <row r="548" ht="15.75" customHeight="1" s="201">
      <c r="A548" s="97" t="n"/>
      <c r="B548" s="97" t="n"/>
      <c r="C548" s="97" t="n"/>
      <c r="D548" s="97" t="n"/>
      <c r="E548" s="97" t="n"/>
      <c r="F548" s="148" t="n"/>
      <c r="G548" s="148" t="n"/>
      <c r="H548" s="148" t="n"/>
      <c r="I548" s="148" t="n"/>
      <c r="J548" s="149" t="n"/>
      <c r="K548" s="97" t="n"/>
      <c r="L548" s="148" t="n"/>
      <c r="M548" s="148" t="n"/>
      <c r="N548" s="148" t="n"/>
      <c r="O548" s="148" t="n"/>
      <c r="P548" s="148" t="n"/>
      <c r="Q548" s="148" t="n"/>
      <c r="R548" s="148" t="n"/>
      <c r="S548" s="148" t="n"/>
      <c r="T548" s="150" t="n"/>
      <c r="U548" s="150" t="n"/>
      <c r="V548" s="37" t="n"/>
      <c r="W548" s="151" t="n"/>
      <c r="X548" s="151" t="n"/>
      <c r="Y548" s="151" t="n"/>
      <c r="Z548" s="151" t="n"/>
      <c r="AA548" s="151" t="n"/>
      <c r="AB548" s="152" t="n"/>
      <c r="AC548" s="152" t="n"/>
      <c r="AD548" s="152" t="n"/>
      <c r="AE548" s="152" t="n"/>
      <c r="AF548" s="152" t="n"/>
    </row>
    <row r="549" ht="15.75" customHeight="1" s="201">
      <c r="A549" s="97" t="n"/>
      <c r="B549" s="97" t="n"/>
      <c r="C549" s="97" t="n"/>
      <c r="D549" s="97" t="n"/>
      <c r="E549" s="97" t="n"/>
      <c r="F549" s="148" t="n"/>
      <c r="G549" s="148" t="n"/>
      <c r="H549" s="148" t="n"/>
      <c r="I549" s="148" t="n"/>
      <c r="J549" s="149" t="n"/>
      <c r="K549" s="97" t="n"/>
      <c r="L549" s="148" t="n"/>
      <c r="M549" s="148" t="n"/>
      <c r="N549" s="148" t="n"/>
      <c r="O549" s="148" t="n"/>
      <c r="P549" s="148" t="n"/>
      <c r="Q549" s="148" t="n"/>
      <c r="R549" s="148" t="n"/>
      <c r="S549" s="148" t="n"/>
      <c r="T549" s="150" t="n"/>
      <c r="U549" s="150" t="n"/>
      <c r="V549" s="37" t="n"/>
      <c r="W549" s="151" t="n"/>
      <c r="X549" s="151" t="n"/>
      <c r="Y549" s="151" t="n"/>
      <c r="Z549" s="151" t="n"/>
      <c r="AA549" s="151" t="n"/>
      <c r="AB549" s="152" t="n"/>
      <c r="AC549" s="152" t="n"/>
      <c r="AD549" s="152" t="n"/>
      <c r="AE549" s="152" t="n"/>
      <c r="AF549" s="152" t="n"/>
    </row>
    <row r="550" ht="15.75" customHeight="1" s="201">
      <c r="A550" s="97" t="n"/>
      <c r="B550" s="97" t="n"/>
      <c r="C550" s="97" t="n"/>
      <c r="D550" s="97" t="n"/>
      <c r="E550" s="97" t="n"/>
      <c r="F550" s="148" t="n"/>
      <c r="G550" s="148" t="n"/>
      <c r="H550" s="148" t="n"/>
      <c r="I550" s="148" t="n"/>
      <c r="J550" s="149" t="n"/>
      <c r="K550" s="97" t="n"/>
      <c r="L550" s="148" t="n"/>
      <c r="M550" s="148" t="n"/>
      <c r="N550" s="148" t="n"/>
      <c r="O550" s="148" t="n"/>
      <c r="P550" s="148" t="n"/>
      <c r="Q550" s="148" t="n"/>
      <c r="R550" s="148" t="n"/>
      <c r="S550" s="148" t="n"/>
      <c r="T550" s="150" t="n"/>
      <c r="U550" s="150" t="n"/>
      <c r="V550" s="37" t="n"/>
      <c r="W550" s="151" t="n"/>
      <c r="X550" s="151" t="n"/>
      <c r="Y550" s="151" t="n"/>
      <c r="Z550" s="151" t="n"/>
      <c r="AA550" s="151" t="n"/>
      <c r="AB550" s="152" t="n"/>
      <c r="AC550" s="152" t="n"/>
      <c r="AD550" s="152" t="n"/>
      <c r="AE550" s="152" t="n"/>
      <c r="AF550" s="152" t="n"/>
    </row>
    <row r="551" ht="15.75" customHeight="1" s="201">
      <c r="A551" s="97" t="n"/>
      <c r="B551" s="97" t="n"/>
      <c r="C551" s="97" t="n"/>
      <c r="D551" s="97" t="n"/>
      <c r="E551" s="97" t="n"/>
      <c r="F551" s="148" t="n"/>
      <c r="G551" s="148" t="n"/>
      <c r="H551" s="148" t="n"/>
      <c r="I551" s="148" t="n"/>
      <c r="J551" s="149" t="n"/>
      <c r="K551" s="97" t="n"/>
      <c r="L551" s="148" t="n"/>
      <c r="M551" s="148" t="n"/>
      <c r="N551" s="148" t="n"/>
      <c r="O551" s="148" t="n"/>
      <c r="P551" s="148" t="n"/>
      <c r="Q551" s="148" t="n"/>
      <c r="R551" s="148" t="n"/>
      <c r="S551" s="148" t="n"/>
      <c r="T551" s="150" t="n"/>
      <c r="U551" s="150" t="n"/>
      <c r="V551" s="37" t="n"/>
      <c r="W551" s="151" t="n"/>
      <c r="X551" s="151" t="n"/>
      <c r="Y551" s="151" t="n"/>
      <c r="Z551" s="151" t="n"/>
      <c r="AA551" s="151" t="n"/>
      <c r="AB551" s="152" t="n"/>
      <c r="AC551" s="152" t="n"/>
      <c r="AD551" s="152" t="n"/>
      <c r="AE551" s="152" t="n"/>
      <c r="AF551" s="152" t="n"/>
    </row>
    <row r="552" ht="15.75" customHeight="1" s="201">
      <c r="A552" s="97" t="n"/>
      <c r="B552" s="97" t="n"/>
      <c r="C552" s="97" t="n"/>
      <c r="D552" s="97" t="n"/>
      <c r="E552" s="97" t="n"/>
      <c r="F552" s="148" t="n"/>
      <c r="G552" s="148" t="n"/>
      <c r="H552" s="148" t="n"/>
      <c r="I552" s="148" t="n"/>
      <c r="J552" s="149" t="n"/>
      <c r="K552" s="97" t="n"/>
      <c r="L552" s="148" t="n"/>
      <c r="M552" s="148" t="n"/>
      <c r="N552" s="148" t="n"/>
      <c r="O552" s="148" t="n"/>
      <c r="P552" s="148" t="n"/>
      <c r="Q552" s="148" t="n"/>
      <c r="R552" s="148" t="n"/>
      <c r="S552" s="148" t="n"/>
      <c r="T552" s="150" t="n"/>
      <c r="U552" s="150" t="n"/>
      <c r="V552" s="37" t="n"/>
      <c r="W552" s="151" t="n"/>
      <c r="X552" s="151" t="n"/>
      <c r="Y552" s="151" t="n"/>
      <c r="Z552" s="151" t="n"/>
      <c r="AA552" s="151" t="n"/>
      <c r="AB552" s="152" t="n"/>
      <c r="AC552" s="152" t="n"/>
      <c r="AD552" s="152" t="n"/>
      <c r="AE552" s="152" t="n"/>
      <c r="AF552" s="152" t="n"/>
    </row>
    <row r="553" ht="15.75" customHeight="1" s="201">
      <c r="A553" s="97" t="n"/>
      <c r="B553" s="97" t="n"/>
      <c r="C553" s="97" t="n"/>
      <c r="D553" s="97" t="n"/>
      <c r="E553" s="97" t="n"/>
      <c r="F553" s="148" t="n"/>
      <c r="G553" s="148" t="n"/>
      <c r="H553" s="148" t="n"/>
      <c r="I553" s="148" t="n"/>
      <c r="J553" s="149" t="n"/>
      <c r="K553" s="97" t="n"/>
      <c r="L553" s="148" t="n"/>
      <c r="M553" s="148" t="n"/>
      <c r="N553" s="148" t="n"/>
      <c r="O553" s="148" t="n"/>
      <c r="P553" s="148" t="n"/>
      <c r="Q553" s="148" t="n"/>
      <c r="R553" s="148" t="n"/>
      <c r="S553" s="148" t="n"/>
      <c r="T553" s="150" t="n"/>
      <c r="U553" s="150" t="n"/>
      <c r="V553" s="37" t="n"/>
      <c r="W553" s="151" t="n"/>
      <c r="X553" s="151" t="n"/>
      <c r="Y553" s="151" t="n"/>
      <c r="Z553" s="151" t="n"/>
      <c r="AA553" s="151" t="n"/>
      <c r="AB553" s="152" t="n"/>
      <c r="AC553" s="152" t="n"/>
      <c r="AD553" s="152" t="n"/>
      <c r="AE553" s="152" t="n"/>
      <c r="AF553" s="152" t="n"/>
    </row>
    <row r="554" ht="15.75" customHeight="1" s="201">
      <c r="A554" s="97" t="n"/>
      <c r="B554" s="97" t="n"/>
      <c r="C554" s="97" t="n"/>
      <c r="D554" s="97" t="n"/>
      <c r="E554" s="97" t="n"/>
      <c r="F554" s="148" t="n"/>
      <c r="G554" s="148" t="n"/>
      <c r="H554" s="148" t="n"/>
      <c r="I554" s="148" t="n"/>
      <c r="J554" s="149" t="n"/>
      <c r="K554" s="97" t="n"/>
      <c r="L554" s="148" t="n"/>
      <c r="M554" s="148" t="n"/>
      <c r="N554" s="148" t="n"/>
      <c r="O554" s="148" t="n"/>
      <c r="P554" s="148" t="n"/>
      <c r="Q554" s="148" t="n"/>
      <c r="R554" s="148" t="n"/>
      <c r="S554" s="148" t="n"/>
      <c r="T554" s="150" t="n"/>
      <c r="U554" s="150" t="n"/>
      <c r="V554" s="37" t="n"/>
      <c r="W554" s="151" t="n"/>
      <c r="X554" s="151" t="n"/>
      <c r="Y554" s="151" t="n"/>
      <c r="Z554" s="151" t="n"/>
      <c r="AA554" s="151" t="n"/>
      <c r="AB554" s="152" t="n"/>
      <c r="AC554" s="152" t="n"/>
      <c r="AD554" s="152" t="n"/>
      <c r="AE554" s="152" t="n"/>
      <c r="AF554" s="152" t="n"/>
    </row>
    <row r="555" ht="15.75" customHeight="1" s="201">
      <c r="A555" s="97" t="n"/>
      <c r="B555" s="97" t="n"/>
      <c r="C555" s="97" t="n"/>
      <c r="D555" s="97" t="n"/>
      <c r="E555" s="97" t="n"/>
      <c r="F555" s="148" t="n"/>
      <c r="G555" s="148" t="n"/>
      <c r="H555" s="148" t="n"/>
      <c r="I555" s="148" t="n"/>
      <c r="J555" s="149" t="n"/>
      <c r="K555" s="97" t="n"/>
      <c r="L555" s="148" t="n"/>
      <c r="M555" s="148" t="n"/>
      <c r="N555" s="148" t="n"/>
      <c r="O555" s="148" t="n"/>
      <c r="P555" s="148" t="n"/>
      <c r="Q555" s="148" t="n"/>
      <c r="R555" s="148" t="n"/>
      <c r="S555" s="148" t="n"/>
      <c r="T555" s="150" t="n"/>
      <c r="U555" s="150" t="n"/>
      <c r="V555" s="37" t="n"/>
      <c r="W555" s="151" t="n"/>
      <c r="X555" s="151" t="n"/>
      <c r="Y555" s="151" t="n"/>
      <c r="Z555" s="151" t="n"/>
      <c r="AA555" s="151" t="n"/>
      <c r="AB555" s="152" t="n"/>
      <c r="AC555" s="152" t="n"/>
      <c r="AD555" s="152" t="n"/>
      <c r="AE555" s="152" t="n"/>
      <c r="AF555" s="152" t="n"/>
    </row>
    <row r="556" ht="15.75" customHeight="1" s="201">
      <c r="A556" s="97" t="n"/>
      <c r="B556" s="97" t="n"/>
      <c r="C556" s="97" t="n"/>
      <c r="D556" s="97" t="n"/>
      <c r="E556" s="97" t="n"/>
      <c r="F556" s="148" t="n"/>
      <c r="G556" s="148" t="n"/>
      <c r="H556" s="148" t="n"/>
      <c r="I556" s="148" t="n"/>
      <c r="J556" s="149" t="n"/>
      <c r="K556" s="97" t="n"/>
      <c r="L556" s="148" t="n"/>
      <c r="M556" s="148" t="n"/>
      <c r="N556" s="148" t="n"/>
      <c r="O556" s="148" t="n"/>
      <c r="P556" s="148" t="n"/>
      <c r="Q556" s="148" t="n"/>
      <c r="R556" s="148" t="n"/>
      <c r="S556" s="148" t="n"/>
      <c r="T556" s="150" t="n"/>
      <c r="U556" s="150" t="n"/>
      <c r="V556" s="37" t="n"/>
      <c r="W556" s="151" t="n"/>
      <c r="X556" s="151" t="n"/>
      <c r="Y556" s="151" t="n"/>
      <c r="Z556" s="151" t="n"/>
      <c r="AA556" s="151" t="n"/>
      <c r="AB556" s="152" t="n"/>
      <c r="AC556" s="152" t="n"/>
      <c r="AD556" s="152" t="n"/>
      <c r="AE556" s="152" t="n"/>
      <c r="AF556" s="152" t="n"/>
    </row>
    <row r="557" ht="15.75" customHeight="1" s="201">
      <c r="A557" s="97" t="n"/>
      <c r="B557" s="97" t="n"/>
      <c r="C557" s="97" t="n"/>
      <c r="D557" s="97" t="n"/>
      <c r="E557" s="97" t="n"/>
      <c r="F557" s="148" t="n"/>
      <c r="G557" s="148" t="n"/>
      <c r="H557" s="148" t="n"/>
      <c r="I557" s="148" t="n"/>
      <c r="J557" s="149" t="n"/>
      <c r="K557" s="97" t="n"/>
      <c r="L557" s="148" t="n"/>
      <c r="M557" s="148" t="n"/>
      <c r="N557" s="148" t="n"/>
      <c r="O557" s="148" t="n"/>
      <c r="P557" s="148" t="n"/>
      <c r="Q557" s="148" t="n"/>
      <c r="R557" s="148" t="n"/>
      <c r="S557" s="148" t="n"/>
      <c r="T557" s="150" t="n"/>
      <c r="U557" s="150" t="n"/>
      <c r="V557" s="37" t="n"/>
      <c r="W557" s="151" t="n"/>
      <c r="X557" s="151" t="n"/>
      <c r="Y557" s="151" t="n"/>
      <c r="Z557" s="151" t="n"/>
      <c r="AA557" s="151" t="n"/>
      <c r="AB557" s="152" t="n"/>
      <c r="AC557" s="152" t="n"/>
      <c r="AD557" s="152" t="n"/>
      <c r="AE557" s="152" t="n"/>
      <c r="AF557" s="152" t="n"/>
    </row>
    <row r="558" ht="15.75" customHeight="1" s="201">
      <c r="A558" s="37" t="n"/>
      <c r="B558" s="37" t="n"/>
      <c r="C558" s="37" t="n"/>
      <c r="D558" s="37" t="n"/>
      <c r="E558" s="37" t="n"/>
      <c r="F558" s="148" t="n"/>
      <c r="G558" s="148" t="n"/>
      <c r="H558" s="148" t="n"/>
      <c r="I558" s="148" t="n"/>
      <c r="J558" s="149" t="n"/>
      <c r="K558" s="37" t="n"/>
      <c r="L558" s="148" t="n"/>
      <c r="M558" s="148" t="n"/>
      <c r="N558" s="148" t="n"/>
      <c r="O558" s="148" t="n"/>
      <c r="P558" s="148" t="n"/>
      <c r="Q558" s="148" t="n"/>
      <c r="R558" s="148" t="n"/>
      <c r="S558" s="148" t="n"/>
      <c r="T558" s="150" t="n"/>
      <c r="U558" s="150" t="n"/>
      <c r="V558" s="37" t="n"/>
      <c r="W558" s="151" t="n"/>
      <c r="X558" s="151" t="n"/>
      <c r="Y558" s="151" t="n"/>
      <c r="Z558" s="151" t="n"/>
      <c r="AA558" s="151" t="n"/>
      <c r="AB558" s="152" t="n"/>
      <c r="AC558" s="152" t="n"/>
      <c r="AD558" s="152" t="n"/>
      <c r="AE558" s="152" t="n"/>
      <c r="AF558" s="152" t="n"/>
    </row>
    <row r="559" ht="15.75" customHeight="1" s="201">
      <c r="A559" s="37" t="n"/>
      <c r="B559" s="37" t="n"/>
      <c r="C559" s="37" t="n"/>
      <c r="D559" s="37" t="n"/>
      <c r="E559" s="37" t="n"/>
      <c r="F559" s="148" t="n"/>
      <c r="G559" s="148" t="n"/>
      <c r="H559" s="148" t="n"/>
      <c r="I559" s="148" t="n"/>
      <c r="J559" s="149" t="n"/>
      <c r="K559" s="37" t="n"/>
      <c r="L559" s="148" t="n"/>
      <c r="M559" s="148" t="n"/>
      <c r="N559" s="148" t="n"/>
      <c r="O559" s="148" t="n"/>
      <c r="P559" s="148" t="n"/>
      <c r="Q559" s="148" t="n"/>
      <c r="R559" s="148" t="n"/>
      <c r="S559" s="148" t="n"/>
      <c r="T559" s="150" t="n"/>
      <c r="U559" s="150" t="n"/>
      <c r="V559" s="37" t="n"/>
      <c r="W559" s="151" t="n"/>
      <c r="X559" s="151" t="n"/>
      <c r="Y559" s="151" t="n"/>
      <c r="Z559" s="151" t="n"/>
      <c r="AA559" s="151" t="n"/>
      <c r="AB559" s="152" t="n"/>
      <c r="AC559" s="152" t="n"/>
      <c r="AD559" s="152" t="n"/>
      <c r="AE559" s="152" t="n"/>
      <c r="AF559" s="152" t="n"/>
    </row>
    <row r="560" ht="15.75" customHeight="1" s="201">
      <c r="A560" s="37" t="n"/>
      <c r="B560" s="37" t="n"/>
      <c r="C560" s="37" t="n"/>
      <c r="D560" s="37" t="n"/>
      <c r="E560" s="37" t="n"/>
      <c r="F560" s="148" t="n"/>
      <c r="G560" s="148" t="n"/>
      <c r="H560" s="148" t="n"/>
      <c r="I560" s="148" t="n"/>
      <c r="J560" s="149" t="n"/>
      <c r="K560" s="37" t="n"/>
      <c r="L560" s="148" t="n"/>
      <c r="M560" s="148" t="n"/>
      <c r="N560" s="148" t="n"/>
      <c r="O560" s="148" t="n"/>
      <c r="P560" s="148" t="n"/>
      <c r="Q560" s="148" t="n"/>
      <c r="R560" s="148" t="n"/>
      <c r="S560" s="148" t="n"/>
      <c r="T560" s="150" t="n"/>
      <c r="U560" s="150" t="n"/>
      <c r="V560" s="37" t="n"/>
      <c r="W560" s="151" t="n"/>
      <c r="X560" s="151" t="n"/>
      <c r="Y560" s="151" t="n"/>
      <c r="Z560" s="151" t="n"/>
      <c r="AA560" s="151" t="n"/>
      <c r="AB560" s="152" t="n"/>
      <c r="AC560" s="152" t="n"/>
      <c r="AD560" s="152" t="n"/>
      <c r="AE560" s="152" t="n"/>
      <c r="AF560" s="152" t="n"/>
    </row>
    <row r="561" ht="15.75" customHeight="1" s="201">
      <c r="A561" s="37" t="n"/>
      <c r="B561" s="37" t="n"/>
      <c r="C561" s="37" t="n"/>
      <c r="D561" s="37" t="n"/>
      <c r="E561" s="37" t="n"/>
      <c r="F561" s="148" t="n"/>
      <c r="G561" s="148" t="n"/>
      <c r="H561" s="148" t="n"/>
      <c r="I561" s="148" t="n"/>
      <c r="J561" s="149" t="n"/>
      <c r="K561" s="37" t="n"/>
      <c r="L561" s="148" t="n"/>
      <c r="M561" s="148" t="n"/>
      <c r="N561" s="148" t="n"/>
      <c r="O561" s="148" t="n"/>
      <c r="P561" s="148" t="n"/>
      <c r="Q561" s="148" t="n"/>
      <c r="R561" s="148" t="n"/>
      <c r="S561" s="148" t="n"/>
      <c r="T561" s="150" t="n"/>
      <c r="U561" s="150" t="n"/>
      <c r="V561" s="37" t="n"/>
      <c r="W561" s="151" t="n"/>
      <c r="X561" s="151" t="n"/>
      <c r="Y561" s="151" t="n"/>
      <c r="Z561" s="151" t="n"/>
      <c r="AA561" s="151" t="n"/>
      <c r="AB561" s="152" t="n"/>
      <c r="AC561" s="152" t="n"/>
      <c r="AD561" s="152" t="n"/>
      <c r="AE561" s="152" t="n"/>
      <c r="AF561" s="152" t="n"/>
    </row>
    <row r="562" ht="15.75" customHeight="1" s="201">
      <c r="A562" s="37" t="n"/>
      <c r="B562" s="37" t="n"/>
      <c r="C562" s="37" t="n"/>
      <c r="D562" s="37" t="n"/>
      <c r="E562" s="37" t="n"/>
      <c r="F562" s="148" t="n"/>
      <c r="G562" s="148" t="n"/>
      <c r="H562" s="148" t="n"/>
      <c r="I562" s="148" t="n"/>
      <c r="J562" s="149" t="n"/>
      <c r="K562" s="37" t="n"/>
      <c r="L562" s="148" t="n"/>
      <c r="M562" s="148" t="n"/>
      <c r="N562" s="148" t="n"/>
      <c r="O562" s="148" t="n"/>
      <c r="P562" s="148" t="n"/>
      <c r="Q562" s="148" t="n"/>
      <c r="R562" s="148" t="n"/>
      <c r="S562" s="148" t="n"/>
      <c r="T562" s="150" t="n"/>
      <c r="U562" s="150" t="n"/>
      <c r="V562" s="37" t="n"/>
      <c r="W562" s="151" t="n"/>
      <c r="X562" s="151" t="n"/>
      <c r="Y562" s="151" t="n"/>
      <c r="Z562" s="151" t="n"/>
      <c r="AA562" s="151" t="n"/>
      <c r="AB562" s="152" t="n"/>
      <c r="AC562" s="152" t="n"/>
      <c r="AD562" s="152" t="n"/>
      <c r="AE562" s="152" t="n"/>
      <c r="AF562" s="152" t="n"/>
    </row>
    <row r="563" ht="15.75" customHeight="1" s="201">
      <c r="A563" s="37" t="n"/>
      <c r="B563" s="37" t="n"/>
      <c r="C563" s="37" t="n"/>
      <c r="D563" s="37" t="n"/>
      <c r="E563" s="37" t="n"/>
      <c r="F563" s="148" t="n"/>
      <c r="G563" s="148" t="n"/>
      <c r="H563" s="148" t="n"/>
      <c r="I563" s="148" t="n"/>
      <c r="J563" s="149" t="n"/>
      <c r="K563" s="37" t="n"/>
      <c r="L563" s="148" t="n"/>
      <c r="M563" s="148" t="n"/>
      <c r="N563" s="148" t="n"/>
      <c r="O563" s="148" t="n"/>
      <c r="P563" s="148" t="n"/>
      <c r="Q563" s="148" t="n"/>
      <c r="R563" s="148" t="n"/>
      <c r="S563" s="148" t="n"/>
      <c r="T563" s="150" t="n"/>
      <c r="U563" s="150" t="n"/>
      <c r="V563" s="37" t="n"/>
      <c r="W563" s="151" t="n"/>
      <c r="X563" s="151" t="n"/>
      <c r="Y563" s="151" t="n"/>
      <c r="Z563" s="151" t="n"/>
      <c r="AA563" s="151" t="n"/>
      <c r="AB563" s="152" t="n"/>
      <c r="AC563" s="152" t="n"/>
      <c r="AD563" s="152" t="n"/>
      <c r="AE563" s="152" t="n"/>
      <c r="AF563" s="152" t="n"/>
    </row>
    <row r="564" ht="15.75" customHeight="1" s="201">
      <c r="A564" s="37" t="n"/>
      <c r="B564" s="37" t="n"/>
      <c r="C564" s="37" t="n"/>
      <c r="D564" s="37" t="n"/>
      <c r="E564" s="37" t="n"/>
      <c r="F564" s="148" t="n"/>
      <c r="G564" s="148" t="n"/>
      <c r="H564" s="148" t="n"/>
      <c r="I564" s="148" t="n"/>
      <c r="J564" s="149" t="n"/>
      <c r="K564" s="37" t="n"/>
      <c r="L564" s="148" t="n"/>
      <c r="M564" s="148" t="n"/>
      <c r="N564" s="148" t="n"/>
      <c r="O564" s="148" t="n"/>
      <c r="P564" s="148" t="n"/>
      <c r="Q564" s="148" t="n"/>
      <c r="R564" s="148" t="n"/>
      <c r="S564" s="148" t="n"/>
      <c r="T564" s="150" t="n"/>
      <c r="U564" s="150" t="n"/>
      <c r="V564" s="37" t="n"/>
      <c r="W564" s="151" t="n"/>
      <c r="X564" s="151" t="n"/>
      <c r="Y564" s="151" t="n"/>
      <c r="Z564" s="151" t="n"/>
      <c r="AA564" s="151" t="n"/>
      <c r="AB564" s="152" t="n"/>
      <c r="AC564" s="152" t="n"/>
      <c r="AD564" s="152" t="n"/>
      <c r="AE564" s="152" t="n"/>
      <c r="AF564" s="152" t="n"/>
    </row>
    <row r="565" ht="15.75" customHeight="1" s="201">
      <c r="A565" s="37" t="n"/>
      <c r="B565" s="37" t="n"/>
      <c r="C565" s="37" t="n"/>
      <c r="D565" s="37" t="n"/>
      <c r="E565" s="37" t="n"/>
      <c r="F565" s="148" t="n"/>
      <c r="G565" s="148" t="n"/>
      <c r="H565" s="148" t="n"/>
      <c r="I565" s="148" t="n"/>
      <c r="J565" s="149" t="n"/>
      <c r="K565" s="37" t="n"/>
      <c r="L565" s="148" t="n"/>
      <c r="M565" s="148" t="n"/>
      <c r="N565" s="148" t="n"/>
      <c r="O565" s="148" t="n"/>
      <c r="P565" s="148" t="n"/>
      <c r="Q565" s="148" t="n"/>
      <c r="R565" s="148" t="n"/>
      <c r="S565" s="148" t="n"/>
      <c r="T565" s="150" t="n"/>
      <c r="U565" s="150" t="n"/>
      <c r="V565" s="37" t="n"/>
      <c r="W565" s="151" t="n"/>
      <c r="X565" s="151" t="n"/>
      <c r="Y565" s="151" t="n"/>
      <c r="Z565" s="151" t="n"/>
      <c r="AA565" s="151" t="n"/>
      <c r="AB565" s="152" t="n"/>
      <c r="AC565" s="152" t="n"/>
      <c r="AD565" s="152" t="n"/>
      <c r="AE565" s="152" t="n"/>
      <c r="AF565" s="152" t="n"/>
    </row>
    <row r="566" ht="15.75" customHeight="1" s="201">
      <c r="A566" s="37" t="n"/>
      <c r="B566" s="37" t="n"/>
      <c r="C566" s="37" t="n"/>
      <c r="D566" s="37" t="n"/>
      <c r="E566" s="37" t="n"/>
      <c r="F566" s="148" t="n"/>
      <c r="G566" s="148" t="n"/>
      <c r="H566" s="148" t="n"/>
      <c r="I566" s="148" t="n"/>
      <c r="J566" s="149" t="n"/>
      <c r="K566" s="37" t="n"/>
      <c r="L566" s="148" t="n"/>
      <c r="M566" s="148" t="n"/>
      <c r="N566" s="148" t="n"/>
      <c r="O566" s="148" t="n"/>
      <c r="P566" s="148" t="n"/>
      <c r="Q566" s="148" t="n"/>
      <c r="R566" s="148" t="n"/>
      <c r="S566" s="148" t="n"/>
      <c r="T566" s="150" t="n"/>
      <c r="U566" s="150" t="n"/>
      <c r="V566" s="37" t="n"/>
      <c r="W566" s="151" t="n"/>
      <c r="X566" s="151" t="n"/>
      <c r="Y566" s="151" t="n"/>
      <c r="Z566" s="151" t="n"/>
      <c r="AA566" s="151" t="n"/>
      <c r="AB566" s="152" t="n"/>
      <c r="AC566" s="152" t="n"/>
      <c r="AD566" s="152" t="n"/>
      <c r="AE566" s="152" t="n"/>
      <c r="AF566" s="152" t="n"/>
    </row>
    <row r="567" ht="15.75" customHeight="1" s="201">
      <c r="A567" s="37" t="n"/>
      <c r="B567" s="37" t="n"/>
      <c r="C567" s="37" t="n"/>
      <c r="D567" s="37" t="n"/>
      <c r="E567" s="37" t="n"/>
      <c r="F567" s="148" t="n"/>
      <c r="G567" s="148" t="n"/>
      <c r="H567" s="148" t="n"/>
      <c r="I567" s="148" t="n"/>
      <c r="J567" s="149" t="n"/>
      <c r="K567" s="37" t="n"/>
      <c r="L567" s="148" t="n"/>
      <c r="M567" s="148" t="n"/>
      <c r="N567" s="148" t="n"/>
      <c r="O567" s="148" t="n"/>
      <c r="P567" s="148" t="n"/>
      <c r="Q567" s="148" t="n"/>
      <c r="R567" s="148" t="n"/>
      <c r="S567" s="148" t="n"/>
      <c r="T567" s="150" t="n"/>
      <c r="U567" s="150" t="n"/>
      <c r="V567" s="37" t="n"/>
      <c r="W567" s="151" t="n"/>
      <c r="X567" s="151" t="n"/>
      <c r="Y567" s="151" t="n"/>
      <c r="Z567" s="151" t="n"/>
      <c r="AA567" s="151" t="n"/>
      <c r="AB567" s="152" t="n"/>
      <c r="AC567" s="152" t="n"/>
      <c r="AD567" s="152" t="n"/>
      <c r="AE567" s="152" t="n"/>
      <c r="AF567" s="152" t="n"/>
    </row>
    <row r="568" ht="15.75" customHeight="1" s="201">
      <c r="A568" s="37" t="n"/>
      <c r="B568" s="37" t="n"/>
      <c r="C568" s="37" t="n"/>
      <c r="D568" s="37" t="n"/>
      <c r="E568" s="37" t="n"/>
      <c r="F568" s="148" t="n"/>
      <c r="G568" s="148" t="n"/>
      <c r="H568" s="148" t="n"/>
      <c r="I568" s="148" t="n"/>
      <c r="J568" s="149" t="n"/>
      <c r="K568" s="37" t="n"/>
      <c r="L568" s="148" t="n"/>
      <c r="M568" s="148" t="n"/>
      <c r="N568" s="148" t="n"/>
      <c r="O568" s="148" t="n"/>
      <c r="P568" s="148" t="n"/>
      <c r="Q568" s="148" t="n"/>
      <c r="R568" s="148" t="n"/>
      <c r="S568" s="148" t="n"/>
      <c r="T568" s="150" t="n"/>
      <c r="U568" s="150" t="n"/>
      <c r="V568" s="37" t="n"/>
      <c r="W568" s="151" t="n"/>
      <c r="X568" s="151" t="n"/>
      <c r="Y568" s="151" t="n"/>
      <c r="Z568" s="151" t="n"/>
      <c r="AA568" s="151" t="n"/>
      <c r="AB568" s="152" t="n"/>
      <c r="AC568" s="152" t="n"/>
      <c r="AD568" s="152" t="n"/>
      <c r="AE568" s="152" t="n"/>
      <c r="AF568" s="152" t="n"/>
    </row>
    <row r="569" ht="15.75" customHeight="1" s="201">
      <c r="A569" s="37" t="n"/>
      <c r="B569" s="37" t="n"/>
      <c r="C569" s="37" t="n"/>
      <c r="D569" s="37" t="n"/>
      <c r="E569" s="37" t="n"/>
      <c r="F569" s="148" t="n"/>
      <c r="G569" s="148" t="n"/>
      <c r="H569" s="148" t="n"/>
      <c r="I569" s="148" t="n"/>
      <c r="J569" s="149" t="n"/>
      <c r="K569" s="37" t="n"/>
      <c r="L569" s="148" t="n"/>
      <c r="M569" s="148" t="n"/>
      <c r="N569" s="148" t="n"/>
      <c r="O569" s="148" t="n"/>
      <c r="P569" s="148" t="n"/>
      <c r="Q569" s="148" t="n"/>
      <c r="R569" s="148" t="n"/>
      <c r="S569" s="148" t="n"/>
      <c r="T569" s="150" t="n"/>
      <c r="U569" s="150" t="n"/>
      <c r="V569" s="37" t="n"/>
      <c r="W569" s="151" t="n"/>
      <c r="X569" s="151" t="n"/>
      <c r="Y569" s="151" t="n"/>
      <c r="Z569" s="151" t="n"/>
      <c r="AA569" s="151" t="n"/>
      <c r="AB569" s="152" t="n"/>
      <c r="AC569" s="152" t="n"/>
      <c r="AD569" s="152" t="n"/>
      <c r="AE569" s="152" t="n"/>
      <c r="AF569" s="152" t="n"/>
    </row>
    <row r="570" ht="15.75" customHeight="1" s="201">
      <c r="A570" s="37" t="n"/>
      <c r="B570" s="37" t="n"/>
      <c r="C570" s="37" t="n"/>
      <c r="D570" s="37" t="n"/>
      <c r="E570" s="37" t="n"/>
      <c r="F570" s="148" t="n"/>
      <c r="G570" s="148" t="n"/>
      <c r="H570" s="148" t="n"/>
      <c r="I570" s="148" t="n"/>
      <c r="J570" s="149" t="n"/>
      <c r="K570" s="37" t="n"/>
      <c r="L570" s="148" t="n"/>
      <c r="M570" s="148" t="n"/>
      <c r="N570" s="148" t="n"/>
      <c r="O570" s="148" t="n"/>
      <c r="P570" s="148" t="n"/>
      <c r="Q570" s="148" t="n"/>
      <c r="R570" s="148" t="n"/>
      <c r="S570" s="148" t="n"/>
      <c r="T570" s="150" t="n"/>
      <c r="U570" s="150" t="n"/>
      <c r="V570" s="37" t="n"/>
      <c r="W570" s="151" t="n"/>
      <c r="X570" s="151" t="n"/>
      <c r="Y570" s="151" t="n"/>
      <c r="Z570" s="151" t="n"/>
      <c r="AA570" s="151" t="n"/>
      <c r="AB570" s="152" t="n"/>
      <c r="AC570" s="152" t="n"/>
      <c r="AD570" s="152" t="n"/>
      <c r="AE570" s="152" t="n"/>
      <c r="AF570" s="152" t="n"/>
    </row>
    <row r="571" ht="15.75" customHeight="1" s="201">
      <c r="A571" s="37" t="n"/>
      <c r="B571" s="37" t="n"/>
      <c r="C571" s="37" t="n"/>
      <c r="D571" s="37" t="n"/>
      <c r="E571" s="37" t="n"/>
      <c r="F571" s="148" t="n"/>
      <c r="G571" s="148" t="n"/>
      <c r="H571" s="148" t="n"/>
      <c r="I571" s="148" t="n"/>
      <c r="J571" s="149" t="n"/>
      <c r="K571" s="37" t="n"/>
      <c r="L571" s="148" t="n"/>
      <c r="M571" s="148" t="n"/>
      <c r="N571" s="148" t="n"/>
      <c r="O571" s="148" t="n"/>
      <c r="P571" s="148" t="n"/>
      <c r="Q571" s="148" t="n"/>
      <c r="R571" s="148" t="n"/>
      <c r="S571" s="148" t="n"/>
      <c r="T571" s="150" t="n"/>
      <c r="U571" s="150" t="n"/>
      <c r="V571" s="37" t="n"/>
      <c r="W571" s="151" t="n"/>
      <c r="X571" s="151" t="n"/>
      <c r="Y571" s="151" t="n"/>
      <c r="Z571" s="151" t="n"/>
      <c r="AA571" s="151" t="n"/>
      <c r="AB571" s="152" t="n"/>
      <c r="AC571" s="152" t="n"/>
      <c r="AD571" s="152" t="n"/>
      <c r="AE571" s="152" t="n"/>
      <c r="AF571" s="152" t="n"/>
    </row>
    <row r="572" ht="15.75" customHeight="1" s="201">
      <c r="A572" s="37" t="n"/>
      <c r="B572" s="37" t="n"/>
      <c r="C572" s="37" t="n"/>
      <c r="D572" s="37" t="n"/>
      <c r="E572" s="37" t="n"/>
      <c r="F572" s="148" t="n"/>
      <c r="G572" s="148" t="n"/>
      <c r="H572" s="148" t="n"/>
      <c r="I572" s="148" t="n"/>
      <c r="J572" s="149" t="n"/>
      <c r="K572" s="37" t="n"/>
      <c r="L572" s="148" t="n"/>
      <c r="M572" s="148" t="n"/>
      <c r="N572" s="148" t="n"/>
      <c r="O572" s="148" t="n"/>
      <c r="P572" s="148" t="n"/>
      <c r="Q572" s="148" t="n"/>
      <c r="R572" s="148" t="n"/>
      <c r="S572" s="148" t="n"/>
      <c r="T572" s="150" t="n"/>
      <c r="U572" s="150" t="n"/>
      <c r="V572" s="37" t="n"/>
      <c r="W572" s="151" t="n"/>
      <c r="X572" s="151" t="n"/>
      <c r="Y572" s="151" t="n"/>
      <c r="Z572" s="151" t="n"/>
      <c r="AA572" s="151" t="n"/>
      <c r="AB572" s="152" t="n"/>
      <c r="AC572" s="152" t="n"/>
      <c r="AD572" s="152" t="n"/>
      <c r="AE572" s="152" t="n"/>
      <c r="AF572" s="152" t="n"/>
    </row>
    <row r="573" ht="15.75" customHeight="1" s="201">
      <c r="A573" s="37" t="n"/>
      <c r="B573" s="37" t="n"/>
      <c r="C573" s="37" t="n"/>
      <c r="D573" s="37" t="n"/>
      <c r="E573" s="37" t="n"/>
      <c r="F573" s="148" t="n"/>
      <c r="G573" s="148" t="n"/>
      <c r="H573" s="148" t="n"/>
      <c r="I573" s="148" t="n"/>
      <c r="J573" s="149" t="n"/>
      <c r="K573" s="37" t="n"/>
      <c r="L573" s="148" t="n"/>
      <c r="M573" s="148" t="n"/>
      <c r="N573" s="148" t="n"/>
      <c r="O573" s="148" t="n"/>
      <c r="P573" s="148" t="n"/>
      <c r="Q573" s="148" t="n"/>
      <c r="R573" s="148" t="n"/>
      <c r="S573" s="148" t="n"/>
      <c r="T573" s="150" t="n"/>
      <c r="U573" s="150" t="n"/>
      <c r="V573" s="37" t="n"/>
      <c r="W573" s="151" t="n"/>
      <c r="X573" s="151" t="n"/>
      <c r="Y573" s="151" t="n"/>
      <c r="Z573" s="151" t="n"/>
      <c r="AA573" s="151" t="n"/>
      <c r="AB573" s="152" t="n"/>
      <c r="AC573" s="152" t="n"/>
      <c r="AD573" s="152" t="n"/>
      <c r="AE573" s="152" t="n"/>
      <c r="AF573" s="152" t="n"/>
    </row>
    <row r="574" ht="15.75" customHeight="1" s="201">
      <c r="A574" s="37" t="n"/>
      <c r="B574" s="37" t="n"/>
      <c r="C574" s="37" t="n"/>
      <c r="D574" s="37" t="n"/>
      <c r="E574" s="37" t="n"/>
      <c r="F574" s="148" t="n"/>
      <c r="G574" s="148" t="n"/>
      <c r="H574" s="148" t="n"/>
      <c r="I574" s="148" t="n"/>
      <c r="J574" s="149" t="n"/>
      <c r="K574" s="37" t="n"/>
      <c r="L574" s="148" t="n"/>
      <c r="M574" s="148" t="n"/>
      <c r="N574" s="148" t="n"/>
      <c r="O574" s="148" t="n"/>
      <c r="P574" s="148" t="n"/>
      <c r="Q574" s="148" t="n"/>
      <c r="R574" s="148" t="n"/>
      <c r="S574" s="148" t="n"/>
      <c r="T574" s="150" t="n"/>
      <c r="U574" s="150" t="n"/>
      <c r="V574" s="37" t="n"/>
      <c r="W574" s="151" t="n"/>
      <c r="X574" s="151" t="n"/>
      <c r="Y574" s="151" t="n"/>
      <c r="Z574" s="151" t="n"/>
      <c r="AA574" s="151" t="n"/>
      <c r="AB574" s="152" t="n"/>
      <c r="AC574" s="152" t="n"/>
      <c r="AD574" s="152" t="n"/>
      <c r="AE574" s="152" t="n"/>
      <c r="AF574" s="152" t="n"/>
    </row>
    <row r="575" ht="15.75" customHeight="1" s="201">
      <c r="A575" s="37" t="n"/>
      <c r="B575" s="37" t="n"/>
      <c r="C575" s="37" t="n"/>
      <c r="D575" s="37" t="n"/>
      <c r="E575" s="37" t="n"/>
      <c r="F575" s="148" t="n"/>
      <c r="G575" s="148" t="n"/>
      <c r="H575" s="148" t="n"/>
      <c r="I575" s="148" t="n"/>
      <c r="J575" s="149" t="n"/>
      <c r="K575" s="37" t="n"/>
      <c r="L575" s="148" t="n"/>
      <c r="M575" s="148" t="n"/>
      <c r="N575" s="148" t="n"/>
      <c r="O575" s="148" t="n"/>
      <c r="P575" s="148" t="n"/>
      <c r="Q575" s="148" t="n"/>
      <c r="R575" s="148" t="n"/>
      <c r="S575" s="148" t="n"/>
      <c r="T575" s="150" t="n"/>
      <c r="U575" s="150" t="n"/>
      <c r="V575" s="37" t="n"/>
      <c r="W575" s="151" t="n"/>
      <c r="X575" s="151" t="n"/>
      <c r="Y575" s="151" t="n"/>
      <c r="Z575" s="151" t="n"/>
      <c r="AA575" s="151" t="n"/>
      <c r="AB575" s="152" t="n"/>
      <c r="AC575" s="152" t="n"/>
      <c r="AD575" s="152" t="n"/>
      <c r="AE575" s="152" t="n"/>
      <c r="AF575" s="152" t="n"/>
    </row>
    <row r="576" ht="15.75" customHeight="1" s="201">
      <c r="A576" s="37" t="n"/>
      <c r="B576" s="37" t="n"/>
      <c r="C576" s="37" t="n"/>
      <c r="D576" s="37" t="n"/>
      <c r="E576" s="37" t="n"/>
      <c r="F576" s="148" t="n"/>
      <c r="G576" s="148" t="n"/>
      <c r="H576" s="148" t="n"/>
      <c r="I576" s="148" t="n"/>
      <c r="J576" s="149" t="n"/>
      <c r="K576" s="37" t="n"/>
      <c r="L576" s="148" t="n"/>
      <c r="M576" s="148" t="n"/>
      <c r="N576" s="148" t="n"/>
      <c r="O576" s="148" t="n"/>
      <c r="P576" s="148" t="n"/>
      <c r="Q576" s="148" t="n"/>
      <c r="R576" s="148" t="n"/>
      <c r="S576" s="148" t="n"/>
      <c r="T576" s="150" t="n"/>
      <c r="U576" s="150" t="n"/>
      <c r="V576" s="37" t="n"/>
      <c r="W576" s="151" t="n"/>
      <c r="X576" s="151" t="n"/>
      <c r="Y576" s="151" t="n"/>
      <c r="Z576" s="151" t="n"/>
      <c r="AA576" s="151" t="n"/>
      <c r="AB576" s="152" t="n"/>
      <c r="AC576" s="152" t="n"/>
      <c r="AD576" s="152" t="n"/>
      <c r="AE576" s="152" t="n"/>
      <c r="AF576" s="152" t="n"/>
    </row>
    <row r="577" ht="15.75" customHeight="1" s="201">
      <c r="A577" s="37" t="n"/>
      <c r="B577" s="37" t="n"/>
      <c r="C577" s="37" t="n"/>
      <c r="D577" s="37" t="n"/>
      <c r="E577" s="37" t="n"/>
      <c r="F577" s="148" t="n"/>
      <c r="G577" s="148" t="n"/>
      <c r="H577" s="148" t="n"/>
      <c r="I577" s="148" t="n"/>
      <c r="J577" s="149" t="n"/>
      <c r="K577" s="37" t="n"/>
      <c r="L577" s="148" t="n"/>
      <c r="M577" s="148" t="n"/>
      <c r="N577" s="148" t="n"/>
      <c r="O577" s="148" t="n"/>
      <c r="P577" s="148" t="n"/>
      <c r="Q577" s="148" t="n"/>
      <c r="R577" s="148" t="n"/>
      <c r="S577" s="148" t="n"/>
      <c r="T577" s="150" t="n"/>
      <c r="U577" s="150" t="n"/>
      <c r="V577" s="37" t="n"/>
      <c r="W577" s="151" t="n"/>
      <c r="X577" s="151" t="n"/>
      <c r="Y577" s="151" t="n"/>
      <c r="Z577" s="151" t="n"/>
      <c r="AA577" s="151" t="n"/>
      <c r="AB577" s="152" t="n"/>
      <c r="AC577" s="152" t="n"/>
      <c r="AD577" s="152" t="n"/>
      <c r="AE577" s="152" t="n"/>
      <c r="AF577" s="152" t="n"/>
    </row>
    <row r="578" ht="15.75" customHeight="1" s="201">
      <c r="A578" s="37" t="n"/>
      <c r="B578" s="37" t="n"/>
      <c r="C578" s="37" t="n"/>
      <c r="D578" s="37" t="n"/>
      <c r="E578" s="37" t="n"/>
      <c r="F578" s="148" t="n"/>
      <c r="G578" s="148" t="n"/>
      <c r="H578" s="148" t="n"/>
      <c r="I578" s="148" t="n"/>
      <c r="J578" s="149" t="n"/>
      <c r="K578" s="37" t="n"/>
      <c r="L578" s="148" t="n"/>
      <c r="M578" s="148" t="n"/>
      <c r="N578" s="148" t="n"/>
      <c r="O578" s="148" t="n"/>
      <c r="P578" s="148" t="n"/>
      <c r="Q578" s="148" t="n"/>
      <c r="R578" s="148" t="n"/>
      <c r="S578" s="148" t="n"/>
      <c r="T578" s="150" t="n"/>
      <c r="U578" s="150" t="n"/>
      <c r="V578" s="37" t="n"/>
      <c r="W578" s="151" t="n"/>
      <c r="X578" s="151" t="n"/>
      <c r="Y578" s="151" t="n"/>
      <c r="Z578" s="151" t="n"/>
      <c r="AA578" s="151" t="n"/>
      <c r="AB578" s="152" t="n"/>
      <c r="AC578" s="152" t="n"/>
      <c r="AD578" s="152" t="n"/>
      <c r="AE578" s="152" t="n"/>
      <c r="AF578" s="152" t="n"/>
    </row>
    <row r="579" ht="15.75" customHeight="1" s="201">
      <c r="A579" s="37" t="n"/>
      <c r="B579" s="37" t="n"/>
      <c r="C579" s="37" t="n"/>
      <c r="D579" s="37" t="n"/>
      <c r="E579" s="37" t="n"/>
      <c r="F579" s="148" t="n"/>
      <c r="G579" s="148" t="n"/>
      <c r="H579" s="148" t="n"/>
      <c r="I579" s="148" t="n"/>
      <c r="J579" s="149" t="n"/>
      <c r="K579" s="37" t="n"/>
      <c r="L579" s="148" t="n"/>
      <c r="M579" s="148" t="n"/>
      <c r="N579" s="148" t="n"/>
      <c r="O579" s="148" t="n"/>
      <c r="P579" s="148" t="n"/>
      <c r="Q579" s="148" t="n"/>
      <c r="R579" s="148" t="n"/>
      <c r="S579" s="148" t="n"/>
      <c r="T579" s="150" t="n"/>
      <c r="U579" s="150" t="n"/>
      <c r="V579" s="37" t="n"/>
      <c r="W579" s="151" t="n"/>
      <c r="X579" s="151" t="n"/>
      <c r="Y579" s="151" t="n"/>
      <c r="Z579" s="151" t="n"/>
      <c r="AA579" s="151" t="n"/>
      <c r="AB579" s="152" t="n"/>
      <c r="AC579" s="152" t="n"/>
      <c r="AD579" s="152" t="n"/>
      <c r="AE579" s="152" t="n"/>
      <c r="AF579" s="152" t="n"/>
    </row>
    <row r="580" ht="15.75" customHeight="1" s="201">
      <c r="A580" s="37" t="n"/>
      <c r="B580" s="37" t="n"/>
      <c r="C580" s="37" t="n"/>
      <c r="D580" s="37" t="n"/>
      <c r="E580" s="37" t="n"/>
      <c r="F580" s="148" t="n"/>
      <c r="G580" s="148" t="n"/>
      <c r="H580" s="148" t="n"/>
      <c r="I580" s="148" t="n"/>
      <c r="J580" s="149" t="n"/>
      <c r="K580" s="37" t="n"/>
      <c r="L580" s="148" t="n"/>
      <c r="M580" s="148" t="n"/>
      <c r="N580" s="148" t="n"/>
      <c r="O580" s="148" t="n"/>
      <c r="P580" s="148" t="n"/>
      <c r="Q580" s="148" t="n"/>
      <c r="R580" s="148" t="n"/>
      <c r="S580" s="148" t="n"/>
      <c r="T580" s="150" t="n"/>
      <c r="U580" s="150" t="n"/>
      <c r="V580" s="37" t="n"/>
      <c r="W580" s="151" t="n"/>
      <c r="X580" s="151" t="n"/>
      <c r="Y580" s="151" t="n"/>
      <c r="Z580" s="151" t="n"/>
      <c r="AA580" s="151" t="n"/>
      <c r="AB580" s="152" t="n"/>
      <c r="AC580" s="152" t="n"/>
      <c r="AD580" s="152" t="n"/>
      <c r="AE580" s="152" t="n"/>
      <c r="AF580" s="152" t="n"/>
    </row>
    <row r="581" ht="15.75" customHeight="1" s="201">
      <c r="A581" s="37" t="n"/>
      <c r="B581" s="37" t="n"/>
      <c r="C581" s="37" t="n"/>
      <c r="D581" s="37" t="n"/>
      <c r="E581" s="37" t="n"/>
      <c r="F581" s="148" t="n"/>
      <c r="G581" s="148" t="n"/>
      <c r="H581" s="148" t="n"/>
      <c r="I581" s="148" t="n"/>
      <c r="J581" s="149" t="n"/>
      <c r="K581" s="37" t="n"/>
      <c r="L581" s="148" t="n"/>
      <c r="M581" s="148" t="n"/>
      <c r="N581" s="148" t="n"/>
      <c r="O581" s="148" t="n"/>
      <c r="P581" s="148" t="n"/>
      <c r="Q581" s="148" t="n"/>
      <c r="R581" s="148" t="n"/>
      <c r="S581" s="148" t="n"/>
      <c r="T581" s="150" t="n"/>
      <c r="U581" s="150" t="n"/>
      <c r="V581" s="37" t="n"/>
      <c r="W581" s="151" t="n"/>
      <c r="X581" s="151" t="n"/>
      <c r="Y581" s="151" t="n"/>
      <c r="Z581" s="151" t="n"/>
      <c r="AA581" s="151" t="n"/>
      <c r="AB581" s="152" t="n"/>
      <c r="AC581" s="152" t="n"/>
      <c r="AD581" s="152" t="n"/>
      <c r="AE581" s="152" t="n"/>
      <c r="AF581" s="152" t="n"/>
    </row>
    <row r="582" ht="15.75" customHeight="1" s="201">
      <c r="A582" s="37" t="n"/>
      <c r="B582" s="37" t="n"/>
      <c r="C582" s="37" t="n"/>
      <c r="D582" s="37" t="n"/>
      <c r="E582" s="37" t="n"/>
      <c r="F582" s="148" t="n"/>
      <c r="G582" s="148" t="n"/>
      <c r="H582" s="148" t="n"/>
      <c r="I582" s="148" t="n"/>
      <c r="J582" s="149" t="n"/>
      <c r="K582" s="37" t="n"/>
      <c r="L582" s="148" t="n"/>
      <c r="M582" s="148" t="n"/>
      <c r="N582" s="148" t="n"/>
      <c r="O582" s="148" t="n"/>
      <c r="P582" s="148" t="n"/>
      <c r="Q582" s="148" t="n"/>
      <c r="R582" s="148" t="n"/>
      <c r="S582" s="148" t="n"/>
      <c r="T582" s="150" t="n"/>
      <c r="U582" s="150" t="n"/>
      <c r="V582" s="37" t="n"/>
      <c r="W582" s="151" t="n"/>
      <c r="X582" s="151" t="n"/>
      <c r="Y582" s="151" t="n"/>
      <c r="Z582" s="151" t="n"/>
      <c r="AA582" s="151" t="n"/>
      <c r="AB582" s="152" t="n"/>
      <c r="AC582" s="152" t="n"/>
      <c r="AD582" s="152" t="n"/>
      <c r="AE582" s="152" t="n"/>
      <c r="AF582" s="152" t="n"/>
    </row>
    <row r="583" ht="15.75" customHeight="1" s="201">
      <c r="A583" s="37" t="n"/>
      <c r="B583" s="37" t="n"/>
      <c r="C583" s="37" t="n"/>
      <c r="D583" s="37" t="n"/>
      <c r="E583" s="37" t="n"/>
      <c r="F583" s="148" t="n"/>
      <c r="G583" s="148" t="n"/>
      <c r="H583" s="148" t="n"/>
      <c r="I583" s="148" t="n"/>
      <c r="J583" s="149" t="n"/>
      <c r="K583" s="37" t="n"/>
      <c r="L583" s="148" t="n"/>
      <c r="M583" s="148" t="n"/>
      <c r="N583" s="148" t="n"/>
      <c r="O583" s="148" t="n"/>
      <c r="P583" s="148" t="n"/>
      <c r="Q583" s="148" t="n"/>
      <c r="R583" s="148" t="n"/>
      <c r="S583" s="148" t="n"/>
      <c r="T583" s="150" t="n"/>
      <c r="U583" s="150" t="n"/>
      <c r="V583" s="37" t="n"/>
      <c r="W583" s="151" t="n"/>
      <c r="X583" s="151" t="n"/>
      <c r="Y583" s="151" t="n"/>
      <c r="Z583" s="151" t="n"/>
      <c r="AA583" s="151" t="n"/>
      <c r="AB583" s="152" t="n"/>
      <c r="AC583" s="152" t="n"/>
      <c r="AD583" s="152" t="n"/>
      <c r="AE583" s="152" t="n"/>
      <c r="AF583" s="152" t="n"/>
    </row>
    <row r="584" ht="15.75" customHeight="1" s="201">
      <c r="A584" s="37" t="n"/>
      <c r="B584" s="37" t="n"/>
      <c r="C584" s="37" t="n"/>
      <c r="D584" s="37" t="n"/>
      <c r="E584" s="37" t="n"/>
      <c r="F584" s="148" t="n"/>
      <c r="G584" s="148" t="n"/>
      <c r="H584" s="148" t="n"/>
      <c r="I584" s="148" t="n"/>
      <c r="J584" s="149" t="n"/>
      <c r="K584" s="37" t="n"/>
      <c r="L584" s="148" t="n"/>
      <c r="M584" s="148" t="n"/>
      <c r="N584" s="148" t="n"/>
      <c r="O584" s="148" t="n"/>
      <c r="P584" s="148" t="n"/>
      <c r="Q584" s="148" t="n"/>
      <c r="R584" s="148" t="n"/>
      <c r="S584" s="148" t="n"/>
      <c r="T584" s="150" t="n"/>
      <c r="U584" s="150" t="n"/>
      <c r="V584" s="37" t="n"/>
      <c r="W584" s="151" t="n"/>
      <c r="X584" s="151" t="n"/>
      <c r="Y584" s="151" t="n"/>
      <c r="Z584" s="151" t="n"/>
      <c r="AA584" s="151" t="n"/>
      <c r="AB584" s="152" t="n"/>
      <c r="AC584" s="152" t="n"/>
      <c r="AD584" s="152" t="n"/>
      <c r="AE584" s="152" t="n"/>
      <c r="AF584" s="152" t="n"/>
    </row>
    <row r="585" ht="15.75" customHeight="1" s="201">
      <c r="A585" s="37" t="n"/>
      <c r="B585" s="37" t="n"/>
      <c r="C585" s="37" t="n"/>
      <c r="D585" s="37" t="n"/>
      <c r="E585" s="37" t="n"/>
      <c r="F585" s="148" t="n"/>
      <c r="G585" s="148" t="n"/>
      <c r="H585" s="148" t="n"/>
      <c r="I585" s="148" t="n"/>
      <c r="J585" s="149" t="n"/>
      <c r="K585" s="37" t="n"/>
      <c r="L585" s="148" t="n"/>
      <c r="M585" s="148" t="n"/>
      <c r="N585" s="148" t="n"/>
      <c r="O585" s="148" t="n"/>
      <c r="P585" s="148" t="n"/>
      <c r="Q585" s="148" t="n"/>
      <c r="R585" s="148" t="n"/>
      <c r="S585" s="148" t="n"/>
      <c r="T585" s="150" t="n"/>
      <c r="U585" s="150" t="n"/>
      <c r="V585" s="37" t="n"/>
      <c r="W585" s="151" t="n"/>
      <c r="X585" s="151" t="n"/>
      <c r="Y585" s="151" t="n"/>
      <c r="Z585" s="151" t="n"/>
      <c r="AA585" s="151" t="n"/>
      <c r="AB585" s="152" t="n"/>
      <c r="AC585" s="152" t="n"/>
      <c r="AD585" s="152" t="n"/>
      <c r="AE585" s="152" t="n"/>
      <c r="AF585" s="152" t="n"/>
    </row>
    <row r="586" ht="15.75" customHeight="1" s="201">
      <c r="A586" s="37" t="n"/>
      <c r="B586" s="37" t="n"/>
      <c r="C586" s="37" t="n"/>
      <c r="D586" s="37" t="n"/>
      <c r="E586" s="37" t="n"/>
      <c r="F586" s="148" t="n"/>
      <c r="G586" s="148" t="n"/>
      <c r="H586" s="148" t="n"/>
      <c r="I586" s="148" t="n"/>
      <c r="J586" s="149" t="n"/>
      <c r="K586" s="37" t="n"/>
      <c r="L586" s="148" t="n"/>
      <c r="M586" s="148" t="n"/>
      <c r="N586" s="148" t="n"/>
      <c r="O586" s="148" t="n"/>
      <c r="P586" s="148" t="n"/>
      <c r="Q586" s="148" t="n"/>
      <c r="R586" s="148" t="n"/>
      <c r="S586" s="148" t="n"/>
      <c r="T586" s="150" t="n"/>
      <c r="U586" s="150" t="n"/>
      <c r="V586" s="37" t="n"/>
      <c r="W586" s="151" t="n"/>
      <c r="X586" s="151" t="n"/>
      <c r="Y586" s="151" t="n"/>
      <c r="Z586" s="151" t="n"/>
      <c r="AA586" s="151" t="n"/>
      <c r="AB586" s="152" t="n"/>
      <c r="AC586" s="152" t="n"/>
      <c r="AD586" s="152" t="n"/>
      <c r="AE586" s="152" t="n"/>
      <c r="AF586" s="152" t="n"/>
    </row>
    <row r="587" ht="15.75" customHeight="1" s="201">
      <c r="A587" s="37" t="n"/>
      <c r="B587" s="37" t="n"/>
      <c r="C587" s="37" t="n"/>
      <c r="D587" s="37" t="n"/>
      <c r="E587" s="37" t="n"/>
      <c r="F587" s="148" t="n"/>
      <c r="G587" s="148" t="n"/>
      <c r="H587" s="148" t="n"/>
      <c r="I587" s="148" t="n"/>
      <c r="J587" s="149" t="n"/>
      <c r="K587" s="37" t="n"/>
      <c r="L587" s="148" t="n"/>
      <c r="M587" s="148" t="n"/>
      <c r="N587" s="148" t="n"/>
      <c r="O587" s="148" t="n"/>
      <c r="P587" s="148" t="n"/>
      <c r="Q587" s="148" t="n"/>
      <c r="R587" s="148" t="n"/>
      <c r="S587" s="148" t="n"/>
      <c r="T587" s="150" t="n"/>
      <c r="U587" s="150" t="n"/>
      <c r="V587" s="37" t="n"/>
      <c r="W587" s="151" t="n"/>
      <c r="X587" s="151" t="n"/>
      <c r="Y587" s="151" t="n"/>
      <c r="Z587" s="151" t="n"/>
      <c r="AA587" s="151" t="n"/>
      <c r="AB587" s="152" t="n"/>
      <c r="AC587" s="152" t="n"/>
      <c r="AD587" s="152" t="n"/>
      <c r="AE587" s="152" t="n"/>
      <c r="AF587" s="152" t="n"/>
    </row>
    <row r="588" ht="15.75" customHeight="1" s="201">
      <c r="A588" s="37" t="n"/>
      <c r="B588" s="37" t="n"/>
      <c r="C588" s="37" t="n"/>
      <c r="D588" s="37" t="n"/>
      <c r="E588" s="37" t="n"/>
      <c r="F588" s="148" t="n"/>
      <c r="G588" s="148" t="n"/>
      <c r="H588" s="148" t="n"/>
      <c r="I588" s="148" t="n"/>
      <c r="J588" s="149" t="n"/>
      <c r="K588" s="37" t="n"/>
      <c r="L588" s="148" t="n"/>
      <c r="M588" s="148" t="n"/>
      <c r="N588" s="148" t="n"/>
      <c r="O588" s="148" t="n"/>
      <c r="P588" s="148" t="n"/>
      <c r="Q588" s="148" t="n"/>
      <c r="R588" s="148" t="n"/>
      <c r="S588" s="148" t="n"/>
      <c r="T588" s="150" t="n"/>
      <c r="U588" s="150" t="n"/>
      <c r="V588" s="37" t="n"/>
      <c r="W588" s="151" t="n"/>
      <c r="X588" s="151" t="n"/>
      <c r="Y588" s="151" t="n"/>
      <c r="Z588" s="151" t="n"/>
      <c r="AA588" s="151" t="n"/>
      <c r="AB588" s="152" t="n"/>
      <c r="AC588" s="152" t="n"/>
      <c r="AD588" s="152" t="n"/>
      <c r="AE588" s="152" t="n"/>
      <c r="AF588" s="152" t="n"/>
    </row>
    <row r="589" ht="15.75" customHeight="1" s="201">
      <c r="A589" s="37" t="n"/>
      <c r="B589" s="37" t="n"/>
      <c r="C589" s="37" t="n"/>
      <c r="D589" s="37" t="n"/>
      <c r="E589" s="37" t="n"/>
      <c r="F589" s="148" t="n"/>
      <c r="G589" s="148" t="n"/>
      <c r="H589" s="148" t="n"/>
      <c r="I589" s="148" t="n"/>
      <c r="J589" s="149" t="n"/>
      <c r="K589" s="37" t="n"/>
      <c r="L589" s="148" t="n"/>
      <c r="M589" s="148" t="n"/>
      <c r="N589" s="148" t="n"/>
      <c r="O589" s="148" t="n"/>
      <c r="P589" s="148" t="n"/>
      <c r="Q589" s="148" t="n"/>
      <c r="R589" s="148" t="n"/>
      <c r="S589" s="148" t="n"/>
      <c r="T589" s="150" t="n"/>
      <c r="U589" s="150" t="n"/>
      <c r="V589" s="37" t="n"/>
      <c r="W589" s="151" t="n"/>
      <c r="X589" s="151" t="n"/>
      <c r="Y589" s="151" t="n"/>
      <c r="Z589" s="151" t="n"/>
      <c r="AA589" s="151" t="n"/>
      <c r="AB589" s="152" t="n"/>
      <c r="AC589" s="152" t="n"/>
      <c r="AD589" s="152" t="n"/>
      <c r="AE589" s="152" t="n"/>
      <c r="AF589" s="152" t="n"/>
    </row>
    <row r="590" ht="15.75" customHeight="1" s="201">
      <c r="A590" s="37" t="n"/>
      <c r="B590" s="37" t="n"/>
      <c r="C590" s="37" t="n"/>
      <c r="D590" s="37" t="n"/>
      <c r="E590" s="37" t="n"/>
      <c r="F590" s="148" t="n"/>
      <c r="G590" s="148" t="n"/>
      <c r="H590" s="148" t="n"/>
      <c r="I590" s="148" t="n"/>
      <c r="J590" s="149" t="n"/>
      <c r="K590" s="37" t="n"/>
      <c r="L590" s="148" t="n"/>
      <c r="M590" s="148" t="n"/>
      <c r="N590" s="148" t="n"/>
      <c r="O590" s="148" t="n"/>
      <c r="P590" s="148" t="n"/>
      <c r="Q590" s="148" t="n"/>
      <c r="R590" s="148" t="n"/>
      <c r="S590" s="148" t="n"/>
      <c r="T590" s="150" t="n"/>
      <c r="U590" s="150" t="n"/>
      <c r="V590" s="37" t="n"/>
      <c r="W590" s="151" t="n"/>
      <c r="X590" s="151" t="n"/>
      <c r="Y590" s="151" t="n"/>
      <c r="Z590" s="151" t="n"/>
      <c r="AA590" s="151" t="n"/>
      <c r="AB590" s="152" t="n"/>
      <c r="AC590" s="152" t="n"/>
      <c r="AD590" s="152" t="n"/>
      <c r="AE590" s="152" t="n"/>
      <c r="AF590" s="152" t="n"/>
    </row>
    <row r="591" ht="15.75" customHeight="1" s="201">
      <c r="A591" s="37" t="n"/>
      <c r="B591" s="37" t="n"/>
      <c r="C591" s="37" t="n"/>
      <c r="D591" s="37" t="n"/>
      <c r="E591" s="37" t="n"/>
      <c r="F591" s="148" t="n"/>
      <c r="G591" s="148" t="n"/>
      <c r="H591" s="148" t="n"/>
      <c r="I591" s="148" t="n"/>
      <c r="J591" s="149" t="n"/>
      <c r="K591" s="37" t="n"/>
      <c r="L591" s="148" t="n"/>
      <c r="M591" s="148" t="n"/>
      <c r="N591" s="148" t="n"/>
      <c r="O591" s="148" t="n"/>
      <c r="P591" s="148" t="n"/>
      <c r="Q591" s="148" t="n"/>
      <c r="R591" s="148" t="n"/>
      <c r="S591" s="148" t="n"/>
      <c r="T591" s="150" t="n"/>
      <c r="U591" s="150" t="n"/>
      <c r="V591" s="37" t="n"/>
      <c r="W591" s="151" t="n"/>
      <c r="X591" s="151" t="n"/>
      <c r="Y591" s="151" t="n"/>
      <c r="Z591" s="151" t="n"/>
      <c r="AA591" s="151" t="n"/>
      <c r="AB591" s="152" t="n"/>
      <c r="AC591" s="152" t="n"/>
      <c r="AD591" s="152" t="n"/>
      <c r="AE591" s="152" t="n"/>
      <c r="AF591" s="152" t="n"/>
    </row>
    <row r="592" ht="15.75" customHeight="1" s="201">
      <c r="A592" s="37" t="n"/>
      <c r="B592" s="37" t="n"/>
      <c r="C592" s="37" t="n"/>
      <c r="D592" s="37" t="n"/>
      <c r="E592" s="37" t="n"/>
      <c r="F592" s="148" t="n"/>
      <c r="G592" s="148" t="n"/>
      <c r="H592" s="148" t="n"/>
      <c r="I592" s="148" t="n"/>
      <c r="J592" s="149" t="n"/>
      <c r="K592" s="37" t="n"/>
      <c r="L592" s="148" t="n"/>
      <c r="M592" s="148" t="n"/>
      <c r="N592" s="148" t="n"/>
      <c r="O592" s="148" t="n"/>
      <c r="P592" s="148" t="n"/>
      <c r="Q592" s="148" t="n"/>
      <c r="R592" s="148" t="n"/>
      <c r="S592" s="148" t="n"/>
      <c r="T592" s="150" t="n"/>
      <c r="U592" s="150" t="n"/>
      <c r="V592" s="37" t="n"/>
      <c r="W592" s="151" t="n"/>
      <c r="X592" s="151" t="n"/>
      <c r="Y592" s="151" t="n"/>
      <c r="Z592" s="151" t="n"/>
      <c r="AA592" s="151" t="n"/>
      <c r="AB592" s="152" t="n"/>
      <c r="AC592" s="152" t="n"/>
      <c r="AD592" s="152" t="n"/>
      <c r="AE592" s="152" t="n"/>
      <c r="AF592" s="152" t="n"/>
    </row>
    <row r="593" ht="15.75" customHeight="1" s="201">
      <c r="A593" s="37" t="n"/>
      <c r="B593" s="37" t="n"/>
      <c r="C593" s="37" t="n"/>
      <c r="D593" s="37" t="n"/>
      <c r="E593" s="37" t="n"/>
      <c r="F593" s="148" t="n"/>
      <c r="G593" s="148" t="n"/>
      <c r="H593" s="148" t="n"/>
      <c r="I593" s="148" t="n"/>
      <c r="J593" s="149" t="n"/>
      <c r="K593" s="37" t="n"/>
      <c r="L593" s="148" t="n"/>
      <c r="M593" s="148" t="n"/>
      <c r="N593" s="148" t="n"/>
      <c r="O593" s="148" t="n"/>
      <c r="P593" s="148" t="n"/>
      <c r="Q593" s="148" t="n"/>
      <c r="R593" s="148" t="n"/>
      <c r="S593" s="148" t="n"/>
      <c r="T593" s="150" t="n"/>
      <c r="U593" s="150" t="n"/>
      <c r="V593" s="37" t="n"/>
      <c r="W593" s="151" t="n"/>
      <c r="X593" s="151" t="n"/>
      <c r="Y593" s="151" t="n"/>
      <c r="Z593" s="151" t="n"/>
      <c r="AA593" s="151" t="n"/>
      <c r="AB593" s="152" t="n"/>
      <c r="AC593" s="152" t="n"/>
      <c r="AD593" s="152" t="n"/>
      <c r="AE593" s="152" t="n"/>
      <c r="AF593" s="152" t="n"/>
    </row>
    <row r="594" ht="15.75" customHeight="1" s="201">
      <c r="A594" s="37" t="n"/>
      <c r="B594" s="37" t="n"/>
      <c r="C594" s="37" t="n"/>
      <c r="D594" s="37" t="n"/>
      <c r="E594" s="37" t="n"/>
      <c r="F594" s="148" t="n"/>
      <c r="G594" s="148" t="n"/>
      <c r="H594" s="148" t="n"/>
      <c r="I594" s="148" t="n"/>
      <c r="J594" s="149" t="n"/>
      <c r="K594" s="37" t="n"/>
      <c r="L594" s="148" t="n"/>
      <c r="M594" s="148" t="n"/>
      <c r="N594" s="148" t="n"/>
      <c r="O594" s="148" t="n"/>
      <c r="P594" s="148" t="n"/>
      <c r="Q594" s="148" t="n"/>
      <c r="R594" s="148" t="n"/>
      <c r="S594" s="148" t="n"/>
      <c r="T594" s="150" t="n"/>
      <c r="U594" s="150" t="n"/>
      <c r="V594" s="37" t="n"/>
      <c r="W594" s="151" t="n"/>
      <c r="X594" s="151" t="n"/>
      <c r="Y594" s="151" t="n"/>
      <c r="Z594" s="151" t="n"/>
      <c r="AA594" s="151" t="n"/>
      <c r="AB594" s="152" t="n"/>
      <c r="AC594" s="152" t="n"/>
      <c r="AD594" s="152" t="n"/>
      <c r="AE594" s="152" t="n"/>
      <c r="AF594" s="152" t="n"/>
    </row>
    <row r="595" ht="15.75" customHeight="1" s="201">
      <c r="A595" s="37" t="n"/>
      <c r="B595" s="37" t="n"/>
      <c r="C595" s="37" t="n"/>
      <c r="D595" s="37" t="n"/>
      <c r="E595" s="37" t="n"/>
      <c r="F595" s="148" t="n"/>
      <c r="G595" s="148" t="n"/>
      <c r="H595" s="148" t="n"/>
      <c r="I595" s="148" t="n"/>
      <c r="J595" s="149" t="n"/>
      <c r="K595" s="37" t="n"/>
      <c r="L595" s="148" t="n"/>
      <c r="M595" s="148" t="n"/>
      <c r="N595" s="148" t="n"/>
      <c r="O595" s="148" t="n"/>
      <c r="P595" s="148" t="n"/>
      <c r="Q595" s="148" t="n"/>
      <c r="R595" s="148" t="n"/>
      <c r="S595" s="148" t="n"/>
      <c r="T595" s="150" t="n"/>
      <c r="U595" s="150" t="n"/>
      <c r="V595" s="37" t="n"/>
      <c r="W595" s="151" t="n"/>
      <c r="X595" s="151" t="n"/>
      <c r="Y595" s="151" t="n"/>
      <c r="Z595" s="151" t="n"/>
      <c r="AA595" s="151" t="n"/>
      <c r="AB595" s="152" t="n"/>
      <c r="AC595" s="152" t="n"/>
      <c r="AD595" s="152" t="n"/>
      <c r="AE595" s="152" t="n"/>
      <c r="AF595" s="152" t="n"/>
    </row>
    <row r="596" ht="15.75" customHeight="1" s="201">
      <c r="A596" s="37" t="n"/>
      <c r="B596" s="37" t="n"/>
      <c r="C596" s="37" t="n"/>
      <c r="D596" s="37" t="n"/>
      <c r="E596" s="37" t="n"/>
      <c r="F596" s="148" t="n"/>
      <c r="G596" s="148" t="n"/>
      <c r="H596" s="148" t="n"/>
      <c r="I596" s="148" t="n"/>
      <c r="J596" s="149" t="n"/>
      <c r="K596" s="37" t="n"/>
      <c r="L596" s="148" t="n"/>
      <c r="M596" s="148" t="n"/>
      <c r="N596" s="148" t="n"/>
      <c r="O596" s="148" t="n"/>
      <c r="P596" s="148" t="n"/>
      <c r="Q596" s="148" t="n"/>
      <c r="R596" s="148" t="n"/>
      <c r="S596" s="148" t="n"/>
      <c r="T596" s="150" t="n"/>
      <c r="U596" s="150" t="n"/>
      <c r="V596" s="37" t="n"/>
      <c r="W596" s="151" t="n"/>
      <c r="X596" s="151" t="n"/>
      <c r="Y596" s="151" t="n"/>
      <c r="Z596" s="151" t="n"/>
      <c r="AA596" s="151" t="n"/>
      <c r="AB596" s="152" t="n"/>
      <c r="AC596" s="152" t="n"/>
      <c r="AD596" s="152" t="n"/>
      <c r="AE596" s="152" t="n"/>
      <c r="AF596" s="152" t="n"/>
    </row>
    <row r="597" ht="15.75" customHeight="1" s="201">
      <c r="A597" s="37" t="n"/>
      <c r="B597" s="37" t="n"/>
      <c r="C597" s="37" t="n"/>
      <c r="D597" s="37" t="n"/>
      <c r="E597" s="37" t="n"/>
      <c r="F597" s="148" t="n"/>
      <c r="G597" s="148" t="n"/>
      <c r="H597" s="148" t="n"/>
      <c r="I597" s="148" t="n"/>
      <c r="J597" s="149" t="n"/>
      <c r="K597" s="37" t="n"/>
      <c r="L597" s="148" t="n"/>
      <c r="M597" s="148" t="n"/>
      <c r="N597" s="148" t="n"/>
      <c r="O597" s="148" t="n"/>
      <c r="P597" s="148" t="n"/>
      <c r="Q597" s="148" t="n"/>
      <c r="R597" s="148" t="n"/>
      <c r="S597" s="148" t="n"/>
      <c r="T597" s="150" t="n"/>
      <c r="U597" s="150" t="n"/>
      <c r="V597" s="37" t="n"/>
      <c r="W597" s="151" t="n"/>
      <c r="X597" s="151" t="n"/>
      <c r="Y597" s="151" t="n"/>
      <c r="Z597" s="151" t="n"/>
      <c r="AA597" s="151" t="n"/>
      <c r="AB597" s="152" t="n"/>
      <c r="AC597" s="152" t="n"/>
      <c r="AD597" s="152" t="n"/>
      <c r="AE597" s="152" t="n"/>
      <c r="AF597" s="152" t="n"/>
    </row>
    <row r="598" ht="15.75" customHeight="1" s="201">
      <c r="A598" s="37" t="n"/>
      <c r="B598" s="37" t="n"/>
      <c r="C598" s="37" t="n"/>
      <c r="D598" s="37" t="n"/>
      <c r="E598" s="37" t="n"/>
      <c r="F598" s="148" t="n"/>
      <c r="G598" s="148" t="n"/>
      <c r="H598" s="148" t="n"/>
      <c r="I598" s="148" t="n"/>
      <c r="J598" s="149" t="n"/>
      <c r="K598" s="37" t="n"/>
      <c r="L598" s="148" t="n"/>
      <c r="M598" s="148" t="n"/>
      <c r="N598" s="148" t="n"/>
      <c r="O598" s="148" t="n"/>
      <c r="P598" s="148" t="n"/>
      <c r="Q598" s="148" t="n"/>
      <c r="R598" s="148" t="n"/>
      <c r="S598" s="148" t="n"/>
      <c r="T598" s="150" t="n"/>
      <c r="U598" s="150" t="n"/>
      <c r="V598" s="37" t="n"/>
      <c r="W598" s="151" t="n"/>
      <c r="X598" s="151" t="n"/>
      <c r="Y598" s="151" t="n"/>
      <c r="Z598" s="151" t="n"/>
      <c r="AA598" s="151" t="n"/>
      <c r="AB598" s="152" t="n"/>
      <c r="AC598" s="152" t="n"/>
      <c r="AD598" s="152" t="n"/>
      <c r="AE598" s="152" t="n"/>
      <c r="AF598" s="152" t="n"/>
    </row>
    <row r="599" ht="15.75" customHeight="1" s="201">
      <c r="A599" s="37" t="n"/>
      <c r="B599" s="37" t="n"/>
      <c r="C599" s="37" t="n"/>
      <c r="D599" s="37" t="n"/>
      <c r="E599" s="37" t="n"/>
      <c r="F599" s="148" t="n"/>
      <c r="G599" s="148" t="n"/>
      <c r="H599" s="148" t="n"/>
      <c r="I599" s="148" t="n"/>
      <c r="J599" s="149" t="n"/>
      <c r="K599" s="37" t="n"/>
      <c r="L599" s="148" t="n"/>
      <c r="M599" s="148" t="n"/>
      <c r="N599" s="148" t="n"/>
      <c r="O599" s="148" t="n"/>
      <c r="P599" s="148" t="n"/>
      <c r="Q599" s="148" t="n"/>
      <c r="R599" s="148" t="n"/>
      <c r="S599" s="148" t="n"/>
      <c r="T599" s="150" t="n"/>
      <c r="U599" s="150" t="n"/>
      <c r="V599" s="37" t="n"/>
      <c r="W599" s="151" t="n"/>
      <c r="X599" s="151" t="n"/>
      <c r="Y599" s="151" t="n"/>
      <c r="Z599" s="151" t="n"/>
      <c r="AA599" s="151" t="n"/>
      <c r="AB599" s="152" t="n"/>
      <c r="AC599" s="152" t="n"/>
      <c r="AD599" s="152" t="n"/>
      <c r="AE599" s="152" t="n"/>
      <c r="AF599" s="152" t="n"/>
    </row>
    <row r="600" ht="15.75" customHeight="1" s="201">
      <c r="A600" s="37" t="n"/>
      <c r="B600" s="37" t="n"/>
      <c r="C600" s="37" t="n"/>
      <c r="D600" s="37" t="n"/>
      <c r="E600" s="37" t="n"/>
      <c r="F600" s="148" t="n"/>
      <c r="G600" s="148" t="n"/>
      <c r="H600" s="148" t="n"/>
      <c r="I600" s="148" t="n"/>
      <c r="J600" s="149" t="n"/>
      <c r="K600" s="37" t="n"/>
      <c r="L600" s="148" t="n"/>
      <c r="M600" s="148" t="n"/>
      <c r="N600" s="148" t="n"/>
      <c r="O600" s="148" t="n"/>
      <c r="P600" s="148" t="n"/>
      <c r="Q600" s="148" t="n"/>
      <c r="R600" s="148" t="n"/>
      <c r="S600" s="148" t="n"/>
      <c r="T600" s="150" t="n"/>
      <c r="U600" s="150" t="n"/>
      <c r="V600" s="37" t="n"/>
      <c r="W600" s="151" t="n"/>
      <c r="X600" s="151" t="n"/>
      <c r="Y600" s="151" t="n"/>
      <c r="Z600" s="151" t="n"/>
      <c r="AA600" s="151" t="n"/>
      <c r="AB600" s="152" t="n"/>
      <c r="AC600" s="152" t="n"/>
      <c r="AD600" s="152" t="n"/>
      <c r="AE600" s="152" t="n"/>
      <c r="AF600" s="152" t="n"/>
    </row>
    <row r="601" ht="15.75" customHeight="1" s="201">
      <c r="A601" s="37" t="n"/>
      <c r="B601" s="37" t="n"/>
      <c r="C601" s="37" t="n"/>
      <c r="D601" s="37" t="n"/>
      <c r="E601" s="37" t="n"/>
      <c r="F601" s="148" t="n"/>
      <c r="G601" s="148" t="n"/>
      <c r="H601" s="148" t="n"/>
      <c r="I601" s="148" t="n"/>
      <c r="J601" s="149" t="n"/>
      <c r="K601" s="37" t="n"/>
      <c r="L601" s="148" t="n"/>
      <c r="M601" s="148" t="n"/>
      <c r="N601" s="148" t="n"/>
      <c r="O601" s="148" t="n"/>
      <c r="P601" s="148" t="n"/>
      <c r="Q601" s="148" t="n"/>
      <c r="R601" s="148" t="n"/>
      <c r="S601" s="148" t="n"/>
      <c r="T601" s="150" t="n"/>
      <c r="U601" s="150" t="n"/>
      <c r="V601" s="37" t="n"/>
      <c r="W601" s="151" t="n"/>
      <c r="X601" s="151" t="n"/>
      <c r="Y601" s="151" t="n"/>
      <c r="Z601" s="151" t="n"/>
      <c r="AA601" s="151" t="n"/>
      <c r="AB601" s="152" t="n"/>
      <c r="AC601" s="152" t="n"/>
      <c r="AD601" s="152" t="n"/>
      <c r="AE601" s="152" t="n"/>
      <c r="AF601" s="152" t="n"/>
    </row>
    <row r="602" ht="15.75" customHeight="1" s="201">
      <c r="A602" s="37" t="n"/>
      <c r="B602" s="37" t="n"/>
      <c r="C602" s="37" t="n"/>
      <c r="D602" s="37" t="n"/>
      <c r="E602" s="37" t="n"/>
      <c r="F602" s="148" t="n"/>
      <c r="G602" s="148" t="n"/>
      <c r="H602" s="148" t="n"/>
      <c r="I602" s="148" t="n"/>
      <c r="J602" s="149" t="n"/>
      <c r="K602" s="37" t="n"/>
      <c r="L602" s="148" t="n"/>
      <c r="M602" s="148" t="n"/>
      <c r="N602" s="148" t="n"/>
      <c r="O602" s="148" t="n"/>
      <c r="P602" s="148" t="n"/>
      <c r="Q602" s="148" t="n"/>
      <c r="R602" s="148" t="n"/>
      <c r="S602" s="148" t="n"/>
      <c r="T602" s="150" t="n"/>
      <c r="U602" s="150" t="n"/>
      <c r="V602" s="37" t="n"/>
      <c r="W602" s="151" t="n"/>
      <c r="X602" s="151" t="n"/>
      <c r="Y602" s="151" t="n"/>
      <c r="Z602" s="151" t="n"/>
      <c r="AA602" s="151" t="n"/>
      <c r="AB602" s="152" t="n"/>
      <c r="AC602" s="152" t="n"/>
      <c r="AD602" s="152" t="n"/>
      <c r="AE602" s="152" t="n"/>
      <c r="AF602" s="152" t="n"/>
    </row>
    <row r="603" ht="15.75" customHeight="1" s="201">
      <c r="A603" s="37" t="n"/>
      <c r="B603" s="37" t="n"/>
      <c r="C603" s="37" t="n"/>
      <c r="D603" s="37" t="n"/>
      <c r="E603" s="37" t="n"/>
      <c r="F603" s="148" t="n"/>
      <c r="G603" s="148" t="n"/>
      <c r="H603" s="148" t="n"/>
      <c r="I603" s="148" t="n"/>
      <c r="J603" s="149" t="n"/>
      <c r="K603" s="37" t="n"/>
      <c r="L603" s="148" t="n"/>
      <c r="M603" s="148" t="n"/>
      <c r="N603" s="148" t="n"/>
      <c r="O603" s="148" t="n"/>
      <c r="P603" s="148" t="n"/>
      <c r="Q603" s="148" t="n"/>
      <c r="R603" s="148" t="n"/>
      <c r="S603" s="148" t="n"/>
      <c r="T603" s="150" t="n"/>
      <c r="U603" s="150" t="n"/>
      <c r="V603" s="37" t="n"/>
      <c r="W603" s="151" t="n"/>
      <c r="X603" s="151" t="n"/>
      <c r="Y603" s="151" t="n"/>
      <c r="Z603" s="151" t="n"/>
      <c r="AA603" s="151" t="n"/>
      <c r="AB603" s="152" t="n"/>
      <c r="AC603" s="152" t="n"/>
      <c r="AD603" s="152" t="n"/>
      <c r="AE603" s="152" t="n"/>
      <c r="AF603" s="152" t="n"/>
    </row>
    <row r="604" ht="15.75" customHeight="1" s="201">
      <c r="A604" s="37" t="n"/>
      <c r="B604" s="37" t="n"/>
      <c r="C604" s="37" t="n"/>
      <c r="D604" s="37" t="n"/>
      <c r="E604" s="37" t="n"/>
      <c r="F604" s="148" t="n"/>
      <c r="G604" s="148" t="n"/>
      <c r="H604" s="148" t="n"/>
      <c r="I604" s="148" t="n"/>
      <c r="J604" s="149" t="n"/>
      <c r="K604" s="37" t="n"/>
      <c r="L604" s="148" t="n"/>
      <c r="M604" s="148" t="n"/>
      <c r="N604" s="148" t="n"/>
      <c r="O604" s="148" t="n"/>
      <c r="P604" s="148" t="n"/>
      <c r="Q604" s="148" t="n"/>
      <c r="R604" s="148" t="n"/>
      <c r="S604" s="148" t="n"/>
      <c r="T604" s="150" t="n"/>
      <c r="U604" s="150" t="n"/>
      <c r="V604" s="37" t="n"/>
      <c r="W604" s="151" t="n"/>
      <c r="X604" s="151" t="n"/>
      <c r="Y604" s="151" t="n"/>
      <c r="Z604" s="151" t="n"/>
      <c r="AA604" s="151" t="n"/>
      <c r="AB604" s="152" t="n"/>
      <c r="AC604" s="152" t="n"/>
      <c r="AD604" s="152" t="n"/>
      <c r="AE604" s="152" t="n"/>
      <c r="AF604" s="152" t="n"/>
    </row>
    <row r="605" ht="15.75" customHeight="1" s="201">
      <c r="A605" s="37" t="n"/>
      <c r="B605" s="37" t="n"/>
      <c r="C605" s="37" t="n"/>
      <c r="D605" s="37" t="n"/>
      <c r="E605" s="37" t="n"/>
      <c r="F605" s="148" t="n"/>
      <c r="G605" s="148" t="n"/>
      <c r="H605" s="148" t="n"/>
      <c r="I605" s="148" t="n"/>
      <c r="J605" s="149" t="n"/>
      <c r="K605" s="37" t="n"/>
      <c r="L605" s="148" t="n"/>
      <c r="M605" s="148" t="n"/>
      <c r="N605" s="148" t="n"/>
      <c r="O605" s="148" t="n"/>
      <c r="P605" s="148" t="n"/>
      <c r="Q605" s="148" t="n"/>
      <c r="R605" s="148" t="n"/>
      <c r="S605" s="148" t="n"/>
      <c r="T605" s="150" t="n"/>
      <c r="U605" s="150" t="n"/>
      <c r="V605" s="37" t="n"/>
      <c r="W605" s="151" t="n"/>
      <c r="X605" s="151" t="n"/>
      <c r="Y605" s="151" t="n"/>
      <c r="Z605" s="151" t="n"/>
      <c r="AA605" s="151" t="n"/>
      <c r="AB605" s="152" t="n"/>
      <c r="AC605" s="152" t="n"/>
      <c r="AD605" s="152" t="n"/>
      <c r="AE605" s="152" t="n"/>
      <c r="AF605" s="152" t="n"/>
    </row>
    <row r="606" ht="15.75" customHeight="1" s="201">
      <c r="A606" s="37" t="n"/>
      <c r="B606" s="37" t="n"/>
      <c r="C606" s="37" t="n"/>
      <c r="D606" s="37" t="n"/>
      <c r="E606" s="37" t="n"/>
      <c r="F606" s="148" t="n"/>
      <c r="G606" s="148" t="n"/>
      <c r="H606" s="148" t="n"/>
      <c r="I606" s="148" t="n"/>
      <c r="J606" s="149" t="n"/>
      <c r="K606" s="37" t="n"/>
      <c r="L606" s="148" t="n"/>
      <c r="M606" s="148" t="n"/>
      <c r="N606" s="148" t="n"/>
      <c r="O606" s="148" t="n"/>
      <c r="P606" s="148" t="n"/>
      <c r="Q606" s="148" t="n"/>
      <c r="R606" s="148" t="n"/>
      <c r="S606" s="148" t="n"/>
      <c r="T606" s="150" t="n"/>
      <c r="U606" s="150" t="n"/>
      <c r="V606" s="37" t="n"/>
      <c r="W606" s="151" t="n"/>
      <c r="X606" s="151" t="n"/>
      <c r="Y606" s="151" t="n"/>
      <c r="Z606" s="151" t="n"/>
      <c r="AA606" s="151" t="n"/>
      <c r="AB606" s="152" t="n"/>
      <c r="AC606" s="152" t="n"/>
      <c r="AD606" s="152" t="n"/>
      <c r="AE606" s="152" t="n"/>
      <c r="AF606" s="152" t="n"/>
    </row>
    <row r="607" ht="15.75" customHeight="1" s="201">
      <c r="A607" s="37" t="n"/>
      <c r="B607" s="37" t="n"/>
      <c r="C607" s="37" t="n"/>
      <c r="D607" s="37" t="n"/>
      <c r="E607" s="37" t="n"/>
      <c r="F607" s="148" t="n"/>
      <c r="G607" s="148" t="n"/>
      <c r="H607" s="148" t="n"/>
      <c r="I607" s="148" t="n"/>
      <c r="J607" s="149" t="n"/>
      <c r="K607" s="37" t="n"/>
      <c r="L607" s="148" t="n"/>
      <c r="M607" s="148" t="n"/>
      <c r="N607" s="148" t="n"/>
      <c r="O607" s="148" t="n"/>
      <c r="P607" s="148" t="n"/>
      <c r="Q607" s="148" t="n"/>
      <c r="R607" s="148" t="n"/>
      <c r="S607" s="148" t="n"/>
      <c r="T607" s="150" t="n"/>
      <c r="U607" s="150" t="n"/>
      <c r="V607" s="37" t="n"/>
      <c r="W607" s="151" t="n"/>
      <c r="X607" s="151" t="n"/>
      <c r="Y607" s="151" t="n"/>
      <c r="Z607" s="151" t="n"/>
      <c r="AA607" s="151" t="n"/>
      <c r="AB607" s="152" t="n"/>
      <c r="AC607" s="152" t="n"/>
      <c r="AD607" s="152" t="n"/>
      <c r="AE607" s="152" t="n"/>
      <c r="AF607" s="152" t="n"/>
    </row>
    <row r="608" ht="15.75" customHeight="1" s="201">
      <c r="A608" s="37" t="n"/>
      <c r="B608" s="37" t="n"/>
      <c r="C608" s="37" t="n"/>
      <c r="D608" s="37" t="n"/>
      <c r="E608" s="37" t="n"/>
      <c r="F608" s="148" t="n"/>
      <c r="G608" s="148" t="n"/>
      <c r="H608" s="148" t="n"/>
      <c r="I608" s="148" t="n"/>
      <c r="J608" s="149" t="n"/>
      <c r="K608" s="37" t="n"/>
      <c r="L608" s="148" t="n"/>
      <c r="M608" s="148" t="n"/>
      <c r="N608" s="148" t="n"/>
      <c r="O608" s="148" t="n"/>
      <c r="P608" s="148" t="n"/>
      <c r="Q608" s="148" t="n"/>
      <c r="R608" s="148" t="n"/>
      <c r="S608" s="148" t="n"/>
      <c r="T608" s="150" t="n"/>
      <c r="U608" s="150" t="n"/>
      <c r="V608" s="37" t="n"/>
      <c r="W608" s="151" t="n"/>
      <c r="X608" s="151" t="n"/>
      <c r="Y608" s="151" t="n"/>
      <c r="Z608" s="151" t="n"/>
      <c r="AA608" s="151" t="n"/>
      <c r="AB608" s="152" t="n"/>
      <c r="AC608" s="152" t="n"/>
      <c r="AD608" s="152" t="n"/>
      <c r="AE608" s="152" t="n"/>
      <c r="AF608" s="152" t="n"/>
    </row>
    <row r="609" ht="15.75" customHeight="1" s="201">
      <c r="A609" s="37" t="n"/>
      <c r="B609" s="37" t="n"/>
      <c r="C609" s="37" t="n"/>
      <c r="D609" s="37" t="n"/>
      <c r="E609" s="37" t="n"/>
      <c r="F609" s="148" t="n"/>
      <c r="G609" s="148" t="n"/>
      <c r="H609" s="148" t="n"/>
      <c r="I609" s="148" t="n"/>
      <c r="J609" s="149" t="n"/>
      <c r="K609" s="37" t="n"/>
      <c r="L609" s="148" t="n"/>
      <c r="M609" s="148" t="n"/>
      <c r="N609" s="148" t="n"/>
      <c r="O609" s="148" t="n"/>
      <c r="P609" s="148" t="n"/>
      <c r="Q609" s="148" t="n"/>
      <c r="R609" s="148" t="n"/>
      <c r="S609" s="148" t="n"/>
      <c r="T609" s="150" t="n"/>
      <c r="U609" s="150" t="n"/>
      <c r="V609" s="37" t="n"/>
      <c r="W609" s="151" t="n"/>
      <c r="X609" s="151" t="n"/>
      <c r="Y609" s="151" t="n"/>
      <c r="Z609" s="151" t="n"/>
      <c r="AA609" s="151" t="n"/>
      <c r="AB609" s="152" t="n"/>
      <c r="AC609" s="152" t="n"/>
      <c r="AD609" s="152" t="n"/>
      <c r="AE609" s="152" t="n"/>
      <c r="AF609" s="152" t="n"/>
    </row>
    <row r="610" ht="15.75" customHeight="1" s="201">
      <c r="A610" s="37" t="n"/>
      <c r="B610" s="37" t="n"/>
      <c r="C610" s="37" t="n"/>
      <c r="D610" s="37" t="n"/>
      <c r="E610" s="37" t="n"/>
      <c r="F610" s="148" t="n"/>
      <c r="G610" s="148" t="n"/>
      <c r="H610" s="148" t="n"/>
      <c r="I610" s="148" t="n"/>
      <c r="J610" s="149" t="n"/>
      <c r="K610" s="37" t="n"/>
      <c r="L610" s="148" t="n"/>
      <c r="M610" s="148" t="n"/>
      <c r="N610" s="148" t="n"/>
      <c r="O610" s="148" t="n"/>
      <c r="P610" s="148" t="n"/>
      <c r="Q610" s="148" t="n"/>
      <c r="R610" s="148" t="n"/>
      <c r="S610" s="148" t="n"/>
      <c r="T610" s="150" t="n"/>
      <c r="U610" s="150" t="n"/>
      <c r="V610" s="37" t="n"/>
      <c r="W610" s="151" t="n"/>
      <c r="X610" s="151" t="n"/>
      <c r="Y610" s="151" t="n"/>
      <c r="Z610" s="151" t="n"/>
      <c r="AA610" s="151" t="n"/>
      <c r="AB610" s="152" t="n"/>
      <c r="AC610" s="152" t="n"/>
      <c r="AD610" s="152" t="n"/>
      <c r="AE610" s="152" t="n"/>
      <c r="AF610" s="152" t="n"/>
    </row>
    <row r="611" ht="15.75" customHeight="1" s="201">
      <c r="A611" s="37" t="n"/>
      <c r="B611" s="37" t="n"/>
      <c r="C611" s="37" t="n"/>
      <c r="D611" s="37" t="n"/>
      <c r="E611" s="37" t="n"/>
      <c r="F611" s="148" t="n"/>
      <c r="G611" s="148" t="n"/>
      <c r="H611" s="148" t="n"/>
      <c r="I611" s="148" t="n"/>
      <c r="J611" s="149" t="n"/>
      <c r="K611" s="37" t="n"/>
      <c r="L611" s="148" t="n"/>
      <c r="M611" s="148" t="n"/>
      <c r="N611" s="148" t="n"/>
      <c r="O611" s="148" t="n"/>
      <c r="P611" s="148" t="n"/>
      <c r="Q611" s="148" t="n"/>
      <c r="R611" s="148" t="n"/>
      <c r="S611" s="148" t="n"/>
      <c r="T611" s="150" t="n"/>
      <c r="U611" s="150" t="n"/>
      <c r="V611" s="37" t="n"/>
      <c r="W611" s="151" t="n"/>
      <c r="X611" s="151" t="n"/>
      <c r="Y611" s="151" t="n"/>
      <c r="Z611" s="151" t="n"/>
      <c r="AA611" s="151" t="n"/>
      <c r="AB611" s="152" t="n"/>
      <c r="AC611" s="152" t="n"/>
      <c r="AD611" s="152" t="n"/>
      <c r="AE611" s="152" t="n"/>
      <c r="AF611" s="152" t="n"/>
    </row>
    <row r="612" ht="15.75" customHeight="1" s="201">
      <c r="A612" s="37" t="n"/>
      <c r="B612" s="37" t="n"/>
      <c r="C612" s="37" t="n"/>
      <c r="D612" s="37" t="n"/>
      <c r="E612" s="37" t="n"/>
      <c r="F612" s="148" t="n"/>
      <c r="G612" s="148" t="n"/>
      <c r="H612" s="148" t="n"/>
      <c r="I612" s="148" t="n"/>
      <c r="J612" s="149" t="n"/>
      <c r="K612" s="37" t="n"/>
      <c r="L612" s="148" t="n"/>
      <c r="M612" s="148" t="n"/>
      <c r="N612" s="148" t="n"/>
      <c r="O612" s="148" t="n"/>
      <c r="P612" s="148" t="n"/>
      <c r="Q612" s="148" t="n"/>
      <c r="R612" s="148" t="n"/>
      <c r="S612" s="148" t="n"/>
      <c r="T612" s="150" t="n"/>
      <c r="U612" s="150" t="n"/>
      <c r="V612" s="37" t="n"/>
      <c r="W612" s="151" t="n"/>
      <c r="X612" s="151" t="n"/>
      <c r="Y612" s="151" t="n"/>
      <c r="Z612" s="151" t="n"/>
      <c r="AA612" s="151" t="n"/>
      <c r="AB612" s="152" t="n"/>
      <c r="AC612" s="152" t="n"/>
      <c r="AD612" s="152" t="n"/>
      <c r="AE612" s="152" t="n"/>
      <c r="AF612" s="152" t="n"/>
    </row>
    <row r="613" ht="15.75" customHeight="1" s="201">
      <c r="A613" s="37" t="n"/>
      <c r="B613" s="37" t="n"/>
      <c r="C613" s="37" t="n"/>
      <c r="D613" s="37" t="n"/>
      <c r="E613" s="37" t="n"/>
      <c r="F613" s="148" t="n"/>
      <c r="G613" s="148" t="n"/>
      <c r="H613" s="148" t="n"/>
      <c r="I613" s="148" t="n"/>
      <c r="J613" s="149" t="n"/>
      <c r="K613" s="37" t="n"/>
      <c r="L613" s="148" t="n"/>
      <c r="M613" s="148" t="n"/>
      <c r="N613" s="148" t="n"/>
      <c r="O613" s="148" t="n"/>
      <c r="P613" s="148" t="n"/>
      <c r="Q613" s="148" t="n"/>
      <c r="R613" s="148" t="n"/>
      <c r="S613" s="148" t="n"/>
      <c r="T613" s="150" t="n"/>
      <c r="U613" s="150" t="n"/>
      <c r="V613" s="37" t="n"/>
      <c r="W613" s="151" t="n"/>
      <c r="X613" s="151" t="n"/>
      <c r="Y613" s="151" t="n"/>
      <c r="Z613" s="151" t="n"/>
      <c r="AA613" s="151" t="n"/>
      <c r="AB613" s="152" t="n"/>
      <c r="AC613" s="152" t="n"/>
      <c r="AD613" s="152" t="n"/>
      <c r="AE613" s="152" t="n"/>
      <c r="AF613" s="152" t="n"/>
    </row>
    <row r="614" ht="15.75" customHeight="1" s="201">
      <c r="A614" s="37" t="n"/>
      <c r="B614" s="37" t="n"/>
      <c r="C614" s="37" t="n"/>
      <c r="D614" s="37" t="n"/>
      <c r="E614" s="37" t="n"/>
      <c r="F614" s="148" t="n"/>
      <c r="G614" s="148" t="n"/>
      <c r="H614" s="148" t="n"/>
      <c r="I614" s="148" t="n"/>
      <c r="J614" s="149" t="n"/>
      <c r="K614" s="37" t="n"/>
      <c r="L614" s="148" t="n"/>
      <c r="M614" s="148" t="n"/>
      <c r="N614" s="148" t="n"/>
      <c r="O614" s="148" t="n"/>
      <c r="P614" s="148" t="n"/>
      <c r="Q614" s="148" t="n"/>
      <c r="R614" s="148" t="n"/>
      <c r="S614" s="148" t="n"/>
      <c r="T614" s="150" t="n"/>
      <c r="U614" s="150" t="n"/>
      <c r="V614" s="37" t="n"/>
      <c r="W614" s="151" t="n"/>
      <c r="X614" s="151" t="n"/>
      <c r="Y614" s="151" t="n"/>
      <c r="Z614" s="151" t="n"/>
      <c r="AA614" s="151" t="n"/>
      <c r="AB614" s="152" t="n"/>
      <c r="AC614" s="152" t="n"/>
      <c r="AD614" s="152" t="n"/>
      <c r="AE614" s="152" t="n"/>
      <c r="AF614" s="152" t="n"/>
    </row>
    <row r="615" ht="15.75" customHeight="1" s="201">
      <c r="A615" s="37" t="n"/>
      <c r="B615" s="37" t="n"/>
      <c r="C615" s="37" t="n"/>
      <c r="D615" s="37" t="n"/>
      <c r="E615" s="37" t="n"/>
      <c r="F615" s="148" t="n"/>
      <c r="G615" s="148" t="n"/>
      <c r="H615" s="148" t="n"/>
      <c r="I615" s="148" t="n"/>
      <c r="J615" s="149" t="n"/>
      <c r="K615" s="37" t="n"/>
      <c r="L615" s="148" t="n"/>
      <c r="M615" s="148" t="n"/>
      <c r="N615" s="148" t="n"/>
      <c r="O615" s="148" t="n"/>
      <c r="P615" s="148" t="n"/>
      <c r="Q615" s="148" t="n"/>
      <c r="R615" s="148" t="n"/>
      <c r="S615" s="148" t="n"/>
      <c r="T615" s="150" t="n"/>
      <c r="U615" s="150" t="n"/>
      <c r="V615" s="37" t="n"/>
      <c r="W615" s="151" t="n"/>
      <c r="X615" s="151" t="n"/>
      <c r="Y615" s="151" t="n"/>
      <c r="Z615" s="151" t="n"/>
      <c r="AA615" s="151" t="n"/>
      <c r="AB615" s="152" t="n"/>
      <c r="AC615" s="152" t="n"/>
      <c r="AD615" s="152" t="n"/>
      <c r="AE615" s="152" t="n"/>
      <c r="AF615" s="152" t="n"/>
    </row>
    <row r="616" ht="15.75" customHeight="1" s="201">
      <c r="A616" s="37" t="n"/>
      <c r="B616" s="37" t="n"/>
      <c r="C616" s="37" t="n"/>
      <c r="D616" s="37" t="n"/>
      <c r="E616" s="37" t="n"/>
      <c r="F616" s="148" t="n"/>
      <c r="G616" s="148" t="n"/>
      <c r="H616" s="148" t="n"/>
      <c r="I616" s="148" t="n"/>
      <c r="J616" s="149" t="n"/>
      <c r="K616" s="37" t="n"/>
      <c r="L616" s="148" t="n"/>
      <c r="M616" s="148" t="n"/>
      <c r="N616" s="148" t="n"/>
      <c r="O616" s="148" t="n"/>
      <c r="P616" s="148" t="n"/>
      <c r="Q616" s="148" t="n"/>
      <c r="R616" s="148" t="n"/>
      <c r="S616" s="148" t="n"/>
      <c r="T616" s="150" t="n"/>
      <c r="U616" s="150" t="n"/>
      <c r="V616" s="37" t="n"/>
      <c r="W616" s="151" t="n"/>
      <c r="X616" s="151" t="n"/>
      <c r="Y616" s="151" t="n"/>
      <c r="Z616" s="151" t="n"/>
      <c r="AA616" s="151" t="n"/>
      <c r="AB616" s="152" t="n"/>
      <c r="AC616" s="152" t="n"/>
      <c r="AD616" s="152" t="n"/>
      <c r="AE616" s="152" t="n"/>
      <c r="AF616" s="152" t="n"/>
    </row>
    <row r="617" ht="15.75" customHeight="1" s="201">
      <c r="A617" s="37" t="n"/>
      <c r="B617" s="37" t="n"/>
      <c r="C617" s="37" t="n"/>
      <c r="D617" s="37" t="n"/>
      <c r="E617" s="37" t="n"/>
      <c r="F617" s="148" t="n"/>
      <c r="G617" s="148" t="n"/>
      <c r="H617" s="148" t="n"/>
      <c r="I617" s="148" t="n"/>
      <c r="J617" s="149" t="n"/>
      <c r="K617" s="37" t="n"/>
      <c r="L617" s="148" t="n"/>
      <c r="M617" s="148" t="n"/>
      <c r="N617" s="148" t="n"/>
      <c r="O617" s="148" t="n"/>
      <c r="P617" s="148" t="n"/>
      <c r="Q617" s="148" t="n"/>
      <c r="R617" s="148" t="n"/>
      <c r="S617" s="148" t="n"/>
      <c r="T617" s="150" t="n"/>
      <c r="U617" s="150" t="n"/>
      <c r="V617" s="37" t="n"/>
      <c r="W617" s="151" t="n"/>
      <c r="X617" s="151" t="n"/>
      <c r="Y617" s="151" t="n"/>
      <c r="Z617" s="151" t="n"/>
      <c r="AA617" s="151" t="n"/>
      <c r="AB617" s="152" t="n"/>
      <c r="AC617" s="152" t="n"/>
      <c r="AD617" s="152" t="n"/>
      <c r="AE617" s="152" t="n"/>
      <c r="AF617" s="152" t="n"/>
    </row>
    <row r="618" ht="15.75" customHeight="1" s="201">
      <c r="A618" s="37" t="n"/>
      <c r="B618" s="37" t="n"/>
      <c r="C618" s="37" t="n"/>
      <c r="D618" s="37" t="n"/>
      <c r="E618" s="37" t="n"/>
      <c r="F618" s="148" t="n"/>
      <c r="G618" s="148" t="n"/>
      <c r="H618" s="148" t="n"/>
      <c r="I618" s="148" t="n"/>
      <c r="J618" s="149" t="n"/>
      <c r="K618" s="37" t="n"/>
      <c r="L618" s="148" t="n"/>
      <c r="M618" s="148" t="n"/>
      <c r="N618" s="148" t="n"/>
      <c r="O618" s="148" t="n"/>
      <c r="P618" s="148" t="n"/>
      <c r="Q618" s="148" t="n"/>
      <c r="R618" s="148" t="n"/>
      <c r="S618" s="148" t="n"/>
      <c r="T618" s="150" t="n"/>
      <c r="U618" s="150" t="n"/>
      <c r="V618" s="37" t="n"/>
      <c r="W618" s="151" t="n"/>
      <c r="X618" s="151" t="n"/>
      <c r="Y618" s="151" t="n"/>
      <c r="Z618" s="151" t="n"/>
      <c r="AA618" s="151" t="n"/>
      <c r="AB618" s="152" t="n"/>
      <c r="AC618" s="152" t="n"/>
      <c r="AD618" s="152" t="n"/>
      <c r="AE618" s="152" t="n"/>
      <c r="AF618" s="152" t="n"/>
    </row>
    <row r="619" ht="15.75" customHeight="1" s="201">
      <c r="A619" s="37" t="n"/>
      <c r="B619" s="37" t="n"/>
      <c r="C619" s="37" t="n"/>
      <c r="D619" s="37" t="n"/>
      <c r="E619" s="37" t="n"/>
      <c r="F619" s="148" t="n"/>
      <c r="G619" s="148" t="n"/>
      <c r="H619" s="148" t="n"/>
      <c r="I619" s="148" t="n"/>
      <c r="J619" s="149" t="n"/>
      <c r="K619" s="37" t="n"/>
      <c r="L619" s="148" t="n"/>
      <c r="M619" s="148" t="n"/>
      <c r="N619" s="148" t="n"/>
      <c r="O619" s="148" t="n"/>
      <c r="P619" s="148" t="n"/>
      <c r="Q619" s="148" t="n"/>
      <c r="R619" s="148" t="n"/>
      <c r="S619" s="148" t="n"/>
      <c r="T619" s="150" t="n"/>
      <c r="U619" s="150" t="n"/>
      <c r="V619" s="37" t="n"/>
      <c r="W619" s="151" t="n"/>
      <c r="X619" s="151" t="n"/>
      <c r="Y619" s="151" t="n"/>
      <c r="Z619" s="151" t="n"/>
      <c r="AA619" s="151" t="n"/>
      <c r="AB619" s="152" t="n"/>
      <c r="AC619" s="152" t="n"/>
      <c r="AD619" s="152" t="n"/>
      <c r="AE619" s="152" t="n"/>
      <c r="AF619" s="152" t="n"/>
    </row>
    <row r="620" ht="15.75" customHeight="1" s="201">
      <c r="A620" s="37" t="n"/>
      <c r="B620" s="37" t="n"/>
      <c r="C620" s="37" t="n"/>
      <c r="D620" s="37" t="n"/>
      <c r="E620" s="37" t="n"/>
      <c r="F620" s="148" t="n"/>
      <c r="G620" s="148" t="n"/>
      <c r="H620" s="148" t="n"/>
      <c r="I620" s="148" t="n"/>
      <c r="J620" s="149" t="n"/>
      <c r="K620" s="37" t="n"/>
      <c r="L620" s="148" t="n"/>
      <c r="M620" s="148" t="n"/>
      <c r="N620" s="148" t="n"/>
      <c r="O620" s="148" t="n"/>
      <c r="P620" s="148" t="n"/>
      <c r="Q620" s="148" t="n"/>
      <c r="R620" s="148" t="n"/>
      <c r="S620" s="148" t="n"/>
      <c r="T620" s="150" t="n"/>
      <c r="U620" s="150" t="n"/>
      <c r="V620" s="37" t="n"/>
      <c r="W620" s="151" t="n"/>
      <c r="X620" s="151" t="n"/>
      <c r="Y620" s="151" t="n"/>
      <c r="Z620" s="151" t="n"/>
      <c r="AA620" s="151" t="n"/>
      <c r="AB620" s="152" t="n"/>
      <c r="AC620" s="152" t="n"/>
      <c r="AD620" s="152" t="n"/>
      <c r="AE620" s="152" t="n"/>
      <c r="AF620" s="152" t="n"/>
    </row>
    <row r="621" ht="15.75" customHeight="1" s="201">
      <c r="A621" s="37" t="n"/>
      <c r="B621" s="37" t="n"/>
      <c r="C621" s="37" t="n"/>
      <c r="D621" s="37" t="n"/>
      <c r="E621" s="37" t="n"/>
      <c r="F621" s="148" t="n"/>
      <c r="G621" s="148" t="n"/>
      <c r="H621" s="148" t="n"/>
      <c r="I621" s="148" t="n"/>
      <c r="J621" s="149" t="n"/>
      <c r="K621" s="37" t="n"/>
      <c r="L621" s="148" t="n"/>
      <c r="M621" s="148" t="n"/>
      <c r="N621" s="148" t="n"/>
      <c r="O621" s="148" t="n"/>
      <c r="P621" s="148" t="n"/>
      <c r="Q621" s="148" t="n"/>
      <c r="R621" s="148" t="n"/>
      <c r="S621" s="148" t="n"/>
      <c r="T621" s="150" t="n"/>
      <c r="U621" s="150" t="n"/>
      <c r="V621" s="37" t="n"/>
      <c r="W621" s="151" t="n"/>
      <c r="X621" s="151" t="n"/>
      <c r="Y621" s="151" t="n"/>
      <c r="Z621" s="151" t="n"/>
      <c r="AA621" s="151" t="n"/>
      <c r="AB621" s="152" t="n"/>
      <c r="AC621" s="152" t="n"/>
      <c r="AD621" s="152" t="n"/>
      <c r="AE621" s="152" t="n"/>
      <c r="AF621" s="152" t="n"/>
    </row>
    <row r="622" ht="15.75" customHeight="1" s="201">
      <c r="A622" s="37" t="n"/>
      <c r="B622" s="37" t="n"/>
      <c r="C622" s="37" t="n"/>
      <c r="D622" s="37" t="n"/>
      <c r="E622" s="37" t="n"/>
      <c r="F622" s="148" t="n"/>
      <c r="G622" s="148" t="n"/>
      <c r="H622" s="148" t="n"/>
      <c r="I622" s="148" t="n"/>
      <c r="J622" s="149" t="n"/>
      <c r="K622" s="37" t="n"/>
      <c r="L622" s="148" t="n"/>
      <c r="M622" s="148" t="n"/>
      <c r="N622" s="148" t="n"/>
      <c r="O622" s="148" t="n"/>
      <c r="P622" s="148" t="n"/>
      <c r="Q622" s="148" t="n"/>
      <c r="R622" s="148" t="n"/>
      <c r="S622" s="148" t="n"/>
      <c r="T622" s="150" t="n"/>
      <c r="U622" s="150" t="n"/>
      <c r="V622" s="37" t="n"/>
      <c r="W622" s="151" t="n"/>
      <c r="X622" s="151" t="n"/>
      <c r="Y622" s="151" t="n"/>
      <c r="Z622" s="151" t="n"/>
      <c r="AA622" s="151" t="n"/>
      <c r="AB622" s="152" t="n"/>
      <c r="AC622" s="152" t="n"/>
      <c r="AD622" s="152" t="n"/>
      <c r="AE622" s="152" t="n"/>
      <c r="AF622" s="152" t="n"/>
    </row>
    <row r="623" ht="15.75" customHeight="1" s="201">
      <c r="A623" s="37" t="n"/>
      <c r="B623" s="37" t="n"/>
      <c r="C623" s="37" t="n"/>
      <c r="D623" s="37" t="n"/>
      <c r="E623" s="37" t="n"/>
      <c r="F623" s="148" t="n"/>
      <c r="G623" s="148" t="n"/>
      <c r="H623" s="148" t="n"/>
      <c r="I623" s="148" t="n"/>
      <c r="J623" s="149" t="n"/>
      <c r="K623" s="37" t="n"/>
      <c r="L623" s="148" t="n"/>
      <c r="M623" s="148" t="n"/>
      <c r="N623" s="148" t="n"/>
      <c r="O623" s="148" t="n"/>
      <c r="P623" s="148" t="n"/>
      <c r="Q623" s="148" t="n"/>
      <c r="R623" s="148" t="n"/>
      <c r="S623" s="148" t="n"/>
      <c r="T623" s="150" t="n"/>
      <c r="U623" s="150" t="n"/>
      <c r="V623" s="37" t="n"/>
      <c r="W623" s="151" t="n"/>
      <c r="X623" s="151" t="n"/>
      <c r="Y623" s="151" t="n"/>
      <c r="Z623" s="151" t="n"/>
      <c r="AA623" s="151" t="n"/>
      <c r="AB623" s="152" t="n"/>
      <c r="AC623" s="152" t="n"/>
      <c r="AD623" s="152" t="n"/>
      <c r="AE623" s="152" t="n"/>
      <c r="AF623" s="152" t="n"/>
    </row>
    <row r="624" ht="15.75" customHeight="1" s="201">
      <c r="A624" s="37" t="n"/>
      <c r="B624" s="37" t="n"/>
      <c r="C624" s="37" t="n"/>
      <c r="D624" s="37" t="n"/>
      <c r="E624" s="37" t="n"/>
      <c r="F624" s="148" t="n"/>
      <c r="G624" s="148" t="n"/>
      <c r="H624" s="148" t="n"/>
      <c r="I624" s="148" t="n"/>
      <c r="J624" s="149" t="n"/>
      <c r="K624" s="37" t="n"/>
      <c r="L624" s="148" t="n"/>
      <c r="M624" s="148" t="n"/>
      <c r="N624" s="148" t="n"/>
      <c r="O624" s="148" t="n"/>
      <c r="P624" s="148" t="n"/>
      <c r="Q624" s="148" t="n"/>
      <c r="R624" s="148" t="n"/>
      <c r="S624" s="148" t="n"/>
      <c r="T624" s="150" t="n"/>
      <c r="U624" s="150" t="n"/>
      <c r="V624" s="37" t="n"/>
      <c r="W624" s="151" t="n"/>
      <c r="X624" s="151" t="n"/>
      <c r="Y624" s="151" t="n"/>
      <c r="Z624" s="151" t="n"/>
      <c r="AA624" s="151" t="n"/>
      <c r="AB624" s="152" t="n"/>
      <c r="AC624" s="152" t="n"/>
      <c r="AD624" s="152" t="n"/>
      <c r="AE624" s="152" t="n"/>
      <c r="AF624" s="152" t="n"/>
    </row>
    <row r="625" ht="15.75" customHeight="1" s="201">
      <c r="A625" s="37" t="n"/>
      <c r="B625" s="37" t="n"/>
      <c r="C625" s="37" t="n"/>
      <c r="D625" s="37" t="n"/>
      <c r="E625" s="37" t="n"/>
      <c r="F625" s="148" t="n"/>
      <c r="G625" s="148" t="n"/>
      <c r="H625" s="148" t="n"/>
      <c r="I625" s="148" t="n"/>
      <c r="J625" s="149" t="n"/>
      <c r="K625" s="37" t="n"/>
      <c r="L625" s="148" t="n"/>
      <c r="M625" s="148" t="n"/>
      <c r="N625" s="148" t="n"/>
      <c r="O625" s="148" t="n"/>
      <c r="P625" s="148" t="n"/>
      <c r="Q625" s="148" t="n"/>
      <c r="R625" s="148" t="n"/>
      <c r="S625" s="148" t="n"/>
      <c r="T625" s="150" t="n"/>
      <c r="U625" s="150" t="n"/>
      <c r="V625" s="37" t="n"/>
      <c r="W625" s="151" t="n"/>
      <c r="X625" s="151" t="n"/>
      <c r="Y625" s="151" t="n"/>
      <c r="Z625" s="151" t="n"/>
      <c r="AA625" s="151" t="n"/>
      <c r="AB625" s="152" t="n"/>
      <c r="AC625" s="152" t="n"/>
      <c r="AD625" s="152" t="n"/>
      <c r="AE625" s="152" t="n"/>
      <c r="AF625" s="152" t="n"/>
    </row>
    <row r="626" ht="15.75" customHeight="1" s="201">
      <c r="A626" s="37" t="n"/>
      <c r="B626" s="37" t="n"/>
      <c r="C626" s="37" t="n"/>
      <c r="D626" s="37" t="n"/>
      <c r="E626" s="37" t="n"/>
      <c r="F626" s="148" t="n"/>
      <c r="G626" s="148" t="n"/>
      <c r="H626" s="148" t="n"/>
      <c r="I626" s="148" t="n"/>
      <c r="J626" s="149" t="n"/>
      <c r="K626" s="37" t="n"/>
      <c r="L626" s="148" t="n"/>
      <c r="M626" s="148" t="n"/>
      <c r="N626" s="148" t="n"/>
      <c r="O626" s="148" t="n"/>
      <c r="P626" s="148" t="n"/>
      <c r="Q626" s="148" t="n"/>
      <c r="R626" s="148" t="n"/>
      <c r="S626" s="148" t="n"/>
      <c r="T626" s="150" t="n"/>
      <c r="U626" s="150" t="n"/>
      <c r="V626" s="37" t="n"/>
      <c r="W626" s="151" t="n"/>
      <c r="X626" s="151" t="n"/>
      <c r="Y626" s="151" t="n"/>
      <c r="Z626" s="151" t="n"/>
      <c r="AA626" s="151" t="n"/>
      <c r="AB626" s="152" t="n"/>
      <c r="AC626" s="152" t="n"/>
      <c r="AD626" s="152" t="n"/>
      <c r="AE626" s="152" t="n"/>
      <c r="AF626" s="152" t="n"/>
    </row>
    <row r="627" ht="15.75" customHeight="1" s="201">
      <c r="A627" s="37" t="n"/>
      <c r="B627" s="37" t="n"/>
      <c r="C627" s="37" t="n"/>
      <c r="D627" s="37" t="n"/>
      <c r="E627" s="37" t="n"/>
      <c r="F627" s="148" t="n"/>
      <c r="G627" s="148" t="n"/>
      <c r="H627" s="148" t="n"/>
      <c r="I627" s="148" t="n"/>
      <c r="J627" s="149" t="n"/>
      <c r="K627" s="37" t="n"/>
      <c r="L627" s="148" t="n"/>
      <c r="M627" s="148" t="n"/>
      <c r="N627" s="148" t="n"/>
      <c r="O627" s="148" t="n"/>
      <c r="P627" s="148" t="n"/>
      <c r="Q627" s="148" t="n"/>
      <c r="R627" s="148" t="n"/>
      <c r="S627" s="148" t="n"/>
      <c r="T627" s="150" t="n"/>
      <c r="U627" s="150" t="n"/>
      <c r="V627" s="37" t="n"/>
      <c r="W627" s="151" t="n"/>
      <c r="X627" s="151" t="n"/>
      <c r="Y627" s="151" t="n"/>
      <c r="Z627" s="151" t="n"/>
      <c r="AA627" s="151" t="n"/>
      <c r="AB627" s="152" t="n"/>
      <c r="AC627" s="152" t="n"/>
      <c r="AD627" s="152" t="n"/>
      <c r="AE627" s="152" t="n"/>
      <c r="AF627" s="152" t="n"/>
    </row>
    <row r="628" ht="15.75" customHeight="1" s="201">
      <c r="A628" s="37" t="n"/>
      <c r="B628" s="37" t="n"/>
      <c r="C628" s="37" t="n"/>
      <c r="D628" s="37" t="n"/>
      <c r="E628" s="37" t="n"/>
      <c r="F628" s="148" t="n"/>
      <c r="G628" s="148" t="n"/>
      <c r="H628" s="148" t="n"/>
      <c r="I628" s="148" t="n"/>
      <c r="J628" s="149" t="n"/>
      <c r="K628" s="37" t="n"/>
      <c r="L628" s="148" t="n"/>
      <c r="M628" s="148" t="n"/>
      <c r="N628" s="148" t="n"/>
      <c r="O628" s="148" t="n"/>
      <c r="P628" s="148" t="n"/>
      <c r="Q628" s="148" t="n"/>
      <c r="R628" s="148" t="n"/>
      <c r="S628" s="148" t="n"/>
      <c r="T628" s="150" t="n"/>
      <c r="U628" s="150" t="n"/>
      <c r="V628" s="37" t="n"/>
      <c r="W628" s="151" t="n"/>
      <c r="X628" s="151" t="n"/>
      <c r="Y628" s="151" t="n"/>
      <c r="Z628" s="151" t="n"/>
      <c r="AA628" s="151" t="n"/>
      <c r="AB628" s="152" t="n"/>
      <c r="AC628" s="152" t="n"/>
      <c r="AD628" s="152" t="n"/>
      <c r="AE628" s="152" t="n"/>
      <c r="AF628" s="152" t="n"/>
    </row>
    <row r="629" ht="15.75" customHeight="1" s="201">
      <c r="A629" s="37" t="n"/>
      <c r="B629" s="37" t="n"/>
      <c r="C629" s="37" t="n"/>
      <c r="D629" s="37" t="n"/>
      <c r="E629" s="37" t="n"/>
      <c r="F629" s="148" t="n"/>
      <c r="G629" s="148" t="n"/>
      <c r="H629" s="148" t="n"/>
      <c r="I629" s="148" t="n"/>
      <c r="J629" s="149" t="n"/>
      <c r="K629" s="37" t="n"/>
      <c r="L629" s="148" t="n"/>
      <c r="M629" s="148" t="n"/>
      <c r="N629" s="148" t="n"/>
      <c r="O629" s="148" t="n"/>
      <c r="P629" s="148" t="n"/>
      <c r="Q629" s="148" t="n"/>
      <c r="R629" s="148" t="n"/>
      <c r="S629" s="148" t="n"/>
      <c r="T629" s="150" t="n"/>
      <c r="U629" s="150" t="n"/>
      <c r="V629" s="37" t="n"/>
      <c r="W629" s="151" t="n"/>
      <c r="X629" s="151" t="n"/>
      <c r="Y629" s="151" t="n"/>
      <c r="Z629" s="151" t="n"/>
      <c r="AA629" s="151" t="n"/>
      <c r="AB629" s="152" t="n"/>
      <c r="AC629" s="152" t="n"/>
      <c r="AD629" s="152" t="n"/>
      <c r="AE629" s="152" t="n"/>
      <c r="AF629" s="152" t="n"/>
    </row>
    <row r="630" ht="15.75" customHeight="1" s="201">
      <c r="A630" s="37" t="n"/>
      <c r="B630" s="37" t="n"/>
      <c r="C630" s="37" t="n"/>
      <c r="D630" s="37" t="n"/>
      <c r="E630" s="37" t="n"/>
      <c r="F630" s="148" t="n"/>
      <c r="G630" s="148" t="n"/>
      <c r="H630" s="148" t="n"/>
      <c r="I630" s="148" t="n"/>
      <c r="J630" s="149" t="n"/>
      <c r="K630" s="37" t="n"/>
      <c r="L630" s="148" t="n"/>
      <c r="M630" s="148" t="n"/>
      <c r="N630" s="148" t="n"/>
      <c r="O630" s="148" t="n"/>
      <c r="P630" s="148" t="n"/>
      <c r="Q630" s="148" t="n"/>
      <c r="R630" s="148" t="n"/>
      <c r="S630" s="148" t="n"/>
      <c r="T630" s="150" t="n"/>
      <c r="U630" s="150" t="n"/>
      <c r="V630" s="37" t="n"/>
      <c r="W630" s="151" t="n"/>
      <c r="X630" s="151" t="n"/>
      <c r="Y630" s="151" t="n"/>
      <c r="Z630" s="151" t="n"/>
      <c r="AA630" s="151" t="n"/>
      <c r="AB630" s="152" t="n"/>
      <c r="AC630" s="152" t="n"/>
      <c r="AD630" s="152" t="n"/>
      <c r="AE630" s="152" t="n"/>
      <c r="AF630" s="152" t="n"/>
    </row>
    <row r="631" ht="15.75" customHeight="1" s="201">
      <c r="A631" s="37" t="n"/>
      <c r="B631" s="37" t="n"/>
      <c r="C631" s="37" t="n"/>
      <c r="D631" s="37" t="n"/>
      <c r="E631" s="37" t="n"/>
      <c r="F631" s="148" t="n"/>
      <c r="G631" s="148" t="n"/>
      <c r="H631" s="148" t="n"/>
      <c r="I631" s="148" t="n"/>
      <c r="J631" s="149" t="n"/>
      <c r="K631" s="37" t="n"/>
      <c r="L631" s="148" t="n"/>
      <c r="M631" s="148" t="n"/>
      <c r="N631" s="148" t="n"/>
      <c r="O631" s="148" t="n"/>
      <c r="P631" s="148" t="n"/>
      <c r="Q631" s="148" t="n"/>
      <c r="R631" s="148" t="n"/>
      <c r="S631" s="148" t="n"/>
      <c r="T631" s="150" t="n"/>
      <c r="U631" s="150" t="n"/>
      <c r="V631" s="37" t="n"/>
      <c r="W631" s="151" t="n"/>
      <c r="X631" s="151" t="n"/>
      <c r="Y631" s="151" t="n"/>
      <c r="Z631" s="151" t="n"/>
      <c r="AA631" s="151" t="n"/>
      <c r="AB631" s="152" t="n"/>
      <c r="AC631" s="152" t="n"/>
      <c r="AD631" s="152" t="n"/>
      <c r="AE631" s="152" t="n"/>
      <c r="AF631" s="152" t="n"/>
    </row>
    <row r="632" ht="15.75" customHeight="1" s="201">
      <c r="A632" s="37" t="n"/>
      <c r="B632" s="37" t="n"/>
      <c r="C632" s="37" t="n"/>
      <c r="D632" s="37" t="n"/>
      <c r="E632" s="37" t="n"/>
      <c r="F632" s="148" t="n"/>
      <c r="G632" s="148" t="n"/>
      <c r="H632" s="148" t="n"/>
      <c r="I632" s="148" t="n"/>
      <c r="J632" s="149" t="n"/>
      <c r="K632" s="37" t="n"/>
      <c r="L632" s="148" t="n"/>
      <c r="M632" s="148" t="n"/>
      <c r="N632" s="148" t="n"/>
      <c r="O632" s="148" t="n"/>
      <c r="P632" s="148" t="n"/>
      <c r="Q632" s="148" t="n"/>
      <c r="R632" s="148" t="n"/>
      <c r="S632" s="148" t="n"/>
      <c r="T632" s="150" t="n"/>
      <c r="U632" s="150" t="n"/>
      <c r="V632" s="37" t="n"/>
      <c r="W632" s="151" t="n"/>
      <c r="X632" s="151" t="n"/>
      <c r="Y632" s="151" t="n"/>
      <c r="Z632" s="151" t="n"/>
      <c r="AA632" s="151" t="n"/>
      <c r="AB632" s="152" t="n"/>
      <c r="AC632" s="152" t="n"/>
      <c r="AD632" s="152" t="n"/>
      <c r="AE632" s="152" t="n"/>
      <c r="AF632" s="152" t="n"/>
    </row>
    <row r="633" ht="15.75" customHeight="1" s="201">
      <c r="A633" s="37" t="n"/>
      <c r="B633" s="37" t="n"/>
      <c r="C633" s="37" t="n"/>
      <c r="D633" s="37" t="n"/>
      <c r="E633" s="37" t="n"/>
      <c r="F633" s="148" t="n"/>
      <c r="G633" s="148" t="n"/>
      <c r="H633" s="148" t="n"/>
      <c r="I633" s="148" t="n"/>
      <c r="J633" s="149" t="n"/>
      <c r="K633" s="37" t="n"/>
      <c r="L633" s="148" t="n"/>
      <c r="M633" s="148" t="n"/>
      <c r="N633" s="148" t="n"/>
      <c r="O633" s="148" t="n"/>
      <c r="P633" s="148" t="n"/>
      <c r="Q633" s="148" t="n"/>
      <c r="R633" s="148" t="n"/>
      <c r="S633" s="148" t="n"/>
      <c r="T633" s="150" t="n"/>
      <c r="U633" s="150" t="n"/>
      <c r="V633" s="37" t="n"/>
      <c r="W633" s="151" t="n"/>
      <c r="X633" s="151" t="n"/>
      <c r="Y633" s="151" t="n"/>
      <c r="Z633" s="151" t="n"/>
      <c r="AA633" s="151" t="n"/>
      <c r="AB633" s="152" t="n"/>
      <c r="AC633" s="152" t="n"/>
      <c r="AD633" s="152" t="n"/>
      <c r="AE633" s="152" t="n"/>
      <c r="AF633" s="152" t="n"/>
    </row>
    <row r="634" ht="15.75" customHeight="1" s="201">
      <c r="A634" s="37" t="n"/>
      <c r="B634" s="37" t="n"/>
      <c r="C634" s="37" t="n"/>
      <c r="D634" s="37" t="n"/>
      <c r="E634" s="37" t="n"/>
      <c r="F634" s="148" t="n"/>
      <c r="G634" s="148" t="n"/>
      <c r="H634" s="148" t="n"/>
      <c r="I634" s="148" t="n"/>
      <c r="J634" s="149" t="n"/>
      <c r="K634" s="37" t="n"/>
      <c r="L634" s="148" t="n"/>
      <c r="M634" s="148" t="n"/>
      <c r="N634" s="148" t="n"/>
      <c r="O634" s="148" t="n"/>
      <c r="P634" s="148" t="n"/>
      <c r="Q634" s="148" t="n"/>
      <c r="R634" s="148" t="n"/>
      <c r="S634" s="148" t="n"/>
      <c r="T634" s="150" t="n"/>
      <c r="U634" s="150" t="n"/>
      <c r="V634" s="37" t="n"/>
      <c r="W634" s="151" t="n"/>
      <c r="X634" s="151" t="n"/>
      <c r="Y634" s="151" t="n"/>
      <c r="Z634" s="151" t="n"/>
      <c r="AA634" s="151" t="n"/>
      <c r="AB634" s="152" t="n"/>
      <c r="AC634" s="152" t="n"/>
      <c r="AD634" s="152" t="n"/>
      <c r="AE634" s="152" t="n"/>
      <c r="AF634" s="152" t="n"/>
    </row>
    <row r="635" ht="15.75" customHeight="1" s="201">
      <c r="A635" s="37" t="n"/>
      <c r="B635" s="37" t="n"/>
      <c r="C635" s="37" t="n"/>
      <c r="D635" s="37" t="n"/>
      <c r="E635" s="37" t="n"/>
      <c r="F635" s="148" t="n"/>
      <c r="G635" s="148" t="n"/>
      <c r="H635" s="148" t="n"/>
      <c r="I635" s="148" t="n"/>
      <c r="J635" s="149" t="n"/>
      <c r="K635" s="37" t="n"/>
      <c r="L635" s="148" t="n"/>
      <c r="M635" s="148" t="n"/>
      <c r="N635" s="148" t="n"/>
      <c r="O635" s="148" t="n"/>
      <c r="P635" s="148" t="n"/>
      <c r="Q635" s="148" t="n"/>
      <c r="R635" s="148" t="n"/>
      <c r="S635" s="148" t="n"/>
      <c r="T635" s="150" t="n"/>
      <c r="U635" s="150" t="n"/>
      <c r="V635" s="37" t="n"/>
      <c r="W635" s="151" t="n"/>
      <c r="X635" s="151" t="n"/>
      <c r="Y635" s="151" t="n"/>
      <c r="Z635" s="151" t="n"/>
      <c r="AA635" s="151" t="n"/>
      <c r="AB635" s="152" t="n"/>
      <c r="AC635" s="152" t="n"/>
      <c r="AD635" s="152" t="n"/>
      <c r="AE635" s="152" t="n"/>
      <c r="AF635" s="152" t="n"/>
    </row>
    <row r="636" ht="15.75" customHeight="1" s="201">
      <c r="A636" s="37" t="n"/>
      <c r="B636" s="37" t="n"/>
      <c r="C636" s="37" t="n"/>
      <c r="D636" s="37" t="n"/>
      <c r="E636" s="37" t="n"/>
      <c r="F636" s="148" t="n"/>
      <c r="G636" s="148" t="n"/>
      <c r="H636" s="148" t="n"/>
      <c r="I636" s="148" t="n"/>
      <c r="J636" s="149" t="n"/>
      <c r="K636" s="37" t="n"/>
      <c r="L636" s="148" t="n"/>
      <c r="M636" s="148" t="n"/>
      <c r="N636" s="148" t="n"/>
      <c r="O636" s="148" t="n"/>
      <c r="P636" s="148" t="n"/>
      <c r="Q636" s="148" t="n"/>
      <c r="R636" s="148" t="n"/>
      <c r="S636" s="148" t="n"/>
      <c r="T636" s="150" t="n"/>
      <c r="U636" s="150" t="n"/>
      <c r="V636" s="37" t="n"/>
      <c r="W636" s="151" t="n"/>
      <c r="X636" s="151" t="n"/>
      <c r="Y636" s="151" t="n"/>
      <c r="Z636" s="151" t="n"/>
      <c r="AA636" s="151" t="n"/>
      <c r="AB636" s="152" t="n"/>
      <c r="AC636" s="152" t="n"/>
      <c r="AD636" s="152" t="n"/>
      <c r="AE636" s="152" t="n"/>
      <c r="AF636" s="152" t="n"/>
    </row>
    <row r="637" ht="15.75" customHeight="1" s="201">
      <c r="A637" s="37" t="n"/>
      <c r="B637" s="37" t="n"/>
      <c r="C637" s="37" t="n"/>
      <c r="D637" s="37" t="n"/>
      <c r="E637" s="37" t="n"/>
      <c r="F637" s="148" t="n"/>
      <c r="G637" s="148" t="n"/>
      <c r="H637" s="148" t="n"/>
      <c r="I637" s="148" t="n"/>
      <c r="J637" s="149" t="n"/>
      <c r="K637" s="37" t="n"/>
      <c r="L637" s="148" t="n"/>
      <c r="M637" s="148" t="n"/>
      <c r="N637" s="148" t="n"/>
      <c r="O637" s="148" t="n"/>
      <c r="P637" s="148" t="n"/>
      <c r="Q637" s="148" t="n"/>
      <c r="R637" s="148" t="n"/>
      <c r="S637" s="148" t="n"/>
      <c r="T637" s="150" t="n"/>
      <c r="U637" s="150" t="n"/>
      <c r="V637" s="37" t="n"/>
      <c r="W637" s="151" t="n"/>
      <c r="X637" s="151" t="n"/>
      <c r="Y637" s="151" t="n"/>
      <c r="Z637" s="151" t="n"/>
      <c r="AA637" s="151" t="n"/>
      <c r="AB637" s="152" t="n"/>
      <c r="AC637" s="152" t="n"/>
      <c r="AD637" s="152" t="n"/>
      <c r="AE637" s="152" t="n"/>
      <c r="AF637" s="152" t="n"/>
    </row>
    <row r="638" ht="15.75" customHeight="1" s="201">
      <c r="A638" s="37" t="n"/>
      <c r="B638" s="37" t="n"/>
      <c r="C638" s="37" t="n"/>
      <c r="D638" s="37" t="n"/>
      <c r="E638" s="37" t="n"/>
      <c r="F638" s="148" t="n"/>
      <c r="G638" s="148" t="n"/>
      <c r="H638" s="148" t="n"/>
      <c r="I638" s="148" t="n"/>
      <c r="J638" s="149" t="n"/>
      <c r="K638" s="37" t="n"/>
      <c r="L638" s="148" t="n"/>
      <c r="M638" s="148" t="n"/>
      <c r="N638" s="148" t="n"/>
      <c r="O638" s="148" t="n"/>
      <c r="P638" s="148" t="n"/>
      <c r="Q638" s="148" t="n"/>
      <c r="R638" s="148" t="n"/>
      <c r="S638" s="148" t="n"/>
      <c r="T638" s="150" t="n"/>
      <c r="U638" s="150" t="n"/>
      <c r="V638" s="37" t="n"/>
      <c r="W638" s="151" t="n"/>
      <c r="X638" s="151" t="n"/>
      <c r="Y638" s="151" t="n"/>
      <c r="Z638" s="151" t="n"/>
      <c r="AA638" s="151" t="n"/>
      <c r="AB638" s="152" t="n"/>
      <c r="AC638" s="152" t="n"/>
      <c r="AD638" s="152" t="n"/>
      <c r="AE638" s="152" t="n"/>
      <c r="AF638" s="152" t="n"/>
    </row>
    <row r="639" ht="15.75" customHeight="1" s="201">
      <c r="A639" s="37" t="n"/>
      <c r="B639" s="37" t="n"/>
      <c r="C639" s="37" t="n"/>
      <c r="D639" s="37" t="n"/>
      <c r="E639" s="37" t="n"/>
      <c r="F639" s="148" t="n"/>
      <c r="G639" s="148" t="n"/>
      <c r="H639" s="148" t="n"/>
      <c r="I639" s="148" t="n"/>
      <c r="J639" s="149" t="n"/>
      <c r="K639" s="37" t="n"/>
      <c r="L639" s="148" t="n"/>
      <c r="M639" s="148" t="n"/>
      <c r="N639" s="148" t="n"/>
      <c r="O639" s="148" t="n"/>
      <c r="P639" s="148" t="n"/>
      <c r="Q639" s="148" t="n"/>
      <c r="R639" s="148" t="n"/>
      <c r="S639" s="148" t="n"/>
      <c r="T639" s="150" t="n"/>
      <c r="U639" s="150" t="n"/>
      <c r="V639" s="37" t="n"/>
      <c r="W639" s="151" t="n"/>
      <c r="X639" s="151" t="n"/>
      <c r="Y639" s="151" t="n"/>
      <c r="Z639" s="151" t="n"/>
      <c r="AA639" s="151" t="n"/>
      <c r="AB639" s="152" t="n"/>
      <c r="AC639" s="152" t="n"/>
      <c r="AD639" s="152" t="n"/>
      <c r="AE639" s="152" t="n"/>
      <c r="AF639" s="152" t="n"/>
    </row>
    <row r="640" ht="15.75" customHeight="1" s="201">
      <c r="A640" s="37" t="n"/>
      <c r="B640" s="37" t="n"/>
      <c r="C640" s="37" t="n"/>
      <c r="D640" s="37" t="n"/>
      <c r="E640" s="37" t="n"/>
      <c r="F640" s="148" t="n"/>
      <c r="G640" s="148" t="n"/>
      <c r="H640" s="148" t="n"/>
      <c r="I640" s="148" t="n"/>
      <c r="J640" s="149" t="n"/>
      <c r="K640" s="37" t="n"/>
      <c r="L640" s="148" t="n"/>
      <c r="M640" s="148" t="n"/>
      <c r="N640" s="148" t="n"/>
      <c r="O640" s="148" t="n"/>
      <c r="P640" s="148" t="n"/>
      <c r="Q640" s="148" t="n"/>
      <c r="R640" s="148" t="n"/>
      <c r="S640" s="148" t="n"/>
      <c r="T640" s="150" t="n"/>
      <c r="U640" s="150" t="n"/>
      <c r="V640" s="37" t="n"/>
      <c r="W640" s="151" t="n"/>
      <c r="X640" s="151" t="n"/>
      <c r="Y640" s="151" t="n"/>
      <c r="Z640" s="151" t="n"/>
      <c r="AA640" s="151" t="n"/>
      <c r="AB640" s="152" t="n"/>
      <c r="AC640" s="152" t="n"/>
      <c r="AD640" s="152" t="n"/>
      <c r="AE640" s="152" t="n"/>
      <c r="AF640" s="152" t="n"/>
    </row>
    <row r="641" ht="15.75" customHeight="1" s="201">
      <c r="A641" s="37" t="n"/>
      <c r="B641" s="37" t="n"/>
      <c r="C641" s="37" t="n"/>
      <c r="D641" s="37" t="n"/>
      <c r="E641" s="37" t="n"/>
      <c r="F641" s="148" t="n"/>
      <c r="G641" s="148" t="n"/>
      <c r="H641" s="148" t="n"/>
      <c r="I641" s="148" t="n"/>
      <c r="J641" s="149" t="n"/>
      <c r="K641" s="37" t="n"/>
      <c r="L641" s="148" t="n"/>
      <c r="M641" s="148" t="n"/>
      <c r="N641" s="148" t="n"/>
      <c r="O641" s="148" t="n"/>
      <c r="P641" s="148" t="n"/>
      <c r="Q641" s="148" t="n"/>
      <c r="R641" s="148" t="n"/>
      <c r="S641" s="148" t="n"/>
      <c r="T641" s="150" t="n"/>
      <c r="U641" s="150" t="n"/>
      <c r="V641" s="37" t="n"/>
      <c r="W641" s="151" t="n"/>
      <c r="X641" s="151" t="n"/>
      <c r="Y641" s="151" t="n"/>
      <c r="Z641" s="151" t="n"/>
      <c r="AA641" s="151" t="n"/>
      <c r="AB641" s="152" t="n"/>
      <c r="AC641" s="152" t="n"/>
      <c r="AD641" s="152" t="n"/>
      <c r="AE641" s="152" t="n"/>
      <c r="AF641" s="152" t="n"/>
    </row>
    <row r="642" ht="15.75" customHeight="1" s="201">
      <c r="A642" s="37" t="n"/>
      <c r="B642" s="37" t="n"/>
      <c r="C642" s="37" t="n"/>
      <c r="D642" s="37" t="n"/>
      <c r="E642" s="37" t="n"/>
      <c r="F642" s="148" t="n"/>
      <c r="G642" s="148" t="n"/>
      <c r="H642" s="148" t="n"/>
      <c r="I642" s="148" t="n"/>
      <c r="J642" s="149" t="n"/>
      <c r="K642" s="37" t="n"/>
      <c r="L642" s="148" t="n"/>
      <c r="M642" s="148" t="n"/>
      <c r="N642" s="148" t="n"/>
      <c r="O642" s="148" t="n"/>
      <c r="P642" s="148" t="n"/>
      <c r="Q642" s="148" t="n"/>
      <c r="R642" s="148" t="n"/>
      <c r="S642" s="148" t="n"/>
      <c r="T642" s="150" t="n"/>
      <c r="U642" s="150" t="n"/>
      <c r="V642" s="37" t="n"/>
      <c r="W642" s="151" t="n"/>
      <c r="X642" s="151" t="n"/>
      <c r="Y642" s="151" t="n"/>
      <c r="Z642" s="151" t="n"/>
      <c r="AA642" s="151" t="n"/>
      <c r="AB642" s="152" t="n"/>
      <c r="AC642" s="152" t="n"/>
      <c r="AD642" s="152" t="n"/>
      <c r="AE642" s="152" t="n"/>
      <c r="AF642" s="152" t="n"/>
    </row>
    <row r="643" ht="15.75" customHeight="1" s="201">
      <c r="A643" s="37" t="n"/>
      <c r="B643" s="37" t="n"/>
      <c r="C643" s="37" t="n"/>
      <c r="D643" s="37" t="n"/>
      <c r="E643" s="37" t="n"/>
      <c r="F643" s="148" t="n"/>
      <c r="G643" s="148" t="n"/>
      <c r="H643" s="148" t="n"/>
      <c r="I643" s="148" t="n"/>
      <c r="J643" s="149" t="n"/>
      <c r="K643" s="37" t="n"/>
      <c r="L643" s="148" t="n"/>
      <c r="M643" s="148" t="n"/>
      <c r="N643" s="148" t="n"/>
      <c r="O643" s="148" t="n"/>
      <c r="P643" s="148" t="n"/>
      <c r="Q643" s="148" t="n"/>
      <c r="R643" s="148" t="n"/>
      <c r="S643" s="148" t="n"/>
      <c r="T643" s="150" t="n"/>
      <c r="U643" s="150" t="n"/>
      <c r="V643" s="37" t="n"/>
      <c r="W643" s="151" t="n"/>
      <c r="X643" s="151" t="n"/>
      <c r="Y643" s="151" t="n"/>
      <c r="Z643" s="151" t="n"/>
      <c r="AA643" s="151" t="n"/>
      <c r="AB643" s="152" t="n"/>
      <c r="AC643" s="152" t="n"/>
      <c r="AD643" s="152" t="n"/>
      <c r="AE643" s="152" t="n"/>
      <c r="AF643" s="152" t="n"/>
    </row>
    <row r="644" ht="15.75" customHeight="1" s="201">
      <c r="A644" s="37" t="n"/>
      <c r="B644" s="37" t="n"/>
      <c r="C644" s="37" t="n"/>
      <c r="D644" s="37" t="n"/>
      <c r="E644" s="37" t="n"/>
      <c r="F644" s="148" t="n"/>
      <c r="G644" s="148" t="n"/>
      <c r="H644" s="148" t="n"/>
      <c r="I644" s="148" t="n"/>
      <c r="J644" s="149" t="n"/>
      <c r="K644" s="37" t="n"/>
      <c r="L644" s="148" t="n"/>
      <c r="M644" s="148" t="n"/>
      <c r="N644" s="148" t="n"/>
      <c r="O644" s="148" t="n"/>
      <c r="P644" s="148" t="n"/>
      <c r="Q644" s="148" t="n"/>
      <c r="R644" s="148" t="n"/>
      <c r="S644" s="148" t="n"/>
      <c r="T644" s="150" t="n"/>
      <c r="U644" s="150" t="n"/>
      <c r="V644" s="37" t="n"/>
      <c r="W644" s="151" t="n"/>
      <c r="X644" s="151" t="n"/>
      <c r="Y644" s="151" t="n"/>
      <c r="Z644" s="151" t="n"/>
      <c r="AA644" s="151" t="n"/>
      <c r="AB644" s="152" t="n"/>
      <c r="AC644" s="152" t="n"/>
      <c r="AD644" s="152" t="n"/>
      <c r="AE644" s="152" t="n"/>
      <c r="AF644" s="152" t="n"/>
    </row>
    <row r="645" ht="15.75" customHeight="1" s="201">
      <c r="A645" s="37" t="n"/>
      <c r="B645" s="37" t="n"/>
      <c r="C645" s="37" t="n"/>
      <c r="D645" s="37" t="n"/>
      <c r="E645" s="37" t="n"/>
      <c r="F645" s="148" t="n"/>
      <c r="G645" s="148" t="n"/>
      <c r="H645" s="148" t="n"/>
      <c r="I645" s="148" t="n"/>
      <c r="J645" s="149" t="n"/>
      <c r="K645" s="37" t="n"/>
      <c r="L645" s="148" t="n"/>
      <c r="M645" s="148" t="n"/>
      <c r="N645" s="148" t="n"/>
      <c r="O645" s="148" t="n"/>
      <c r="P645" s="148" t="n"/>
      <c r="Q645" s="148" t="n"/>
      <c r="R645" s="148" t="n"/>
      <c r="S645" s="148" t="n"/>
      <c r="T645" s="150" t="n"/>
      <c r="U645" s="150" t="n"/>
      <c r="V645" s="37" t="n"/>
      <c r="W645" s="151" t="n"/>
      <c r="X645" s="151" t="n"/>
      <c r="Y645" s="151" t="n"/>
      <c r="Z645" s="151" t="n"/>
      <c r="AA645" s="151" t="n"/>
      <c r="AB645" s="152" t="n"/>
      <c r="AC645" s="152" t="n"/>
      <c r="AD645" s="152" t="n"/>
      <c r="AE645" s="152" t="n"/>
      <c r="AF645" s="152" t="n"/>
    </row>
    <row r="646" ht="15.75" customHeight="1" s="201">
      <c r="A646" s="37" t="n"/>
      <c r="B646" s="37" t="n"/>
      <c r="C646" s="37" t="n"/>
      <c r="D646" s="37" t="n"/>
      <c r="E646" s="37" t="n"/>
      <c r="F646" s="148" t="n"/>
      <c r="G646" s="148" t="n"/>
      <c r="H646" s="148" t="n"/>
      <c r="I646" s="148" t="n"/>
      <c r="J646" s="149" t="n"/>
      <c r="K646" s="37" t="n"/>
      <c r="L646" s="148" t="n"/>
      <c r="M646" s="148" t="n"/>
      <c r="N646" s="148" t="n"/>
      <c r="O646" s="148" t="n"/>
      <c r="P646" s="148" t="n"/>
      <c r="Q646" s="148" t="n"/>
      <c r="R646" s="148" t="n"/>
      <c r="S646" s="148" t="n"/>
      <c r="T646" s="150" t="n"/>
      <c r="U646" s="150" t="n"/>
      <c r="V646" s="37" t="n"/>
      <c r="W646" s="151" t="n"/>
      <c r="X646" s="151" t="n"/>
      <c r="Y646" s="151" t="n"/>
      <c r="Z646" s="151" t="n"/>
      <c r="AA646" s="151" t="n"/>
      <c r="AB646" s="152" t="n"/>
      <c r="AC646" s="152" t="n"/>
      <c r="AD646" s="152" t="n"/>
      <c r="AE646" s="152" t="n"/>
      <c r="AF646" s="152" t="n"/>
    </row>
    <row r="647" ht="15.75" customHeight="1" s="201">
      <c r="A647" s="37" t="n"/>
      <c r="B647" s="37" t="n"/>
      <c r="C647" s="37" t="n"/>
      <c r="D647" s="37" t="n"/>
      <c r="E647" s="37" t="n"/>
      <c r="F647" s="148" t="n"/>
      <c r="G647" s="148" t="n"/>
      <c r="H647" s="148" t="n"/>
      <c r="I647" s="148" t="n"/>
      <c r="J647" s="149" t="n"/>
      <c r="K647" s="37" t="n"/>
      <c r="L647" s="148" t="n"/>
      <c r="M647" s="148" t="n"/>
      <c r="N647" s="148" t="n"/>
      <c r="O647" s="148" t="n"/>
      <c r="P647" s="148" t="n"/>
      <c r="Q647" s="148" t="n"/>
      <c r="R647" s="148" t="n"/>
      <c r="S647" s="148" t="n"/>
      <c r="T647" s="150" t="n"/>
      <c r="U647" s="150" t="n"/>
      <c r="V647" s="37" t="n"/>
      <c r="W647" s="151" t="n"/>
      <c r="X647" s="151" t="n"/>
      <c r="Y647" s="151" t="n"/>
      <c r="Z647" s="151" t="n"/>
      <c r="AA647" s="151" t="n"/>
      <c r="AB647" s="152" t="n"/>
      <c r="AC647" s="152" t="n"/>
      <c r="AD647" s="152" t="n"/>
      <c r="AE647" s="152" t="n"/>
      <c r="AF647" s="152" t="n"/>
    </row>
    <row r="648" ht="15.75" customHeight="1" s="201">
      <c r="A648" s="37" t="n"/>
      <c r="B648" s="37" t="n"/>
      <c r="C648" s="37" t="n"/>
      <c r="D648" s="37" t="n"/>
      <c r="E648" s="37" t="n"/>
      <c r="F648" s="148" t="n"/>
      <c r="G648" s="148" t="n"/>
      <c r="H648" s="148" t="n"/>
      <c r="I648" s="148" t="n"/>
      <c r="J648" s="149" t="n"/>
      <c r="K648" s="37" t="n"/>
      <c r="L648" s="148" t="n"/>
      <c r="M648" s="148" t="n"/>
      <c r="N648" s="148" t="n"/>
      <c r="O648" s="148" t="n"/>
      <c r="P648" s="148" t="n"/>
      <c r="Q648" s="148" t="n"/>
      <c r="R648" s="148" t="n"/>
      <c r="S648" s="148" t="n"/>
      <c r="T648" s="150" t="n"/>
      <c r="U648" s="150" t="n"/>
      <c r="V648" s="37" t="n"/>
      <c r="W648" s="151" t="n"/>
      <c r="X648" s="151" t="n"/>
      <c r="Y648" s="151" t="n"/>
      <c r="Z648" s="151" t="n"/>
      <c r="AA648" s="151" t="n"/>
      <c r="AB648" s="152" t="n"/>
      <c r="AC648" s="152" t="n"/>
      <c r="AD648" s="152" t="n"/>
      <c r="AE648" s="152" t="n"/>
      <c r="AF648" s="152" t="n"/>
    </row>
    <row r="649" ht="15.75" customHeight="1" s="201">
      <c r="A649" s="37" t="n"/>
      <c r="B649" s="37" t="n"/>
      <c r="C649" s="37" t="n"/>
      <c r="D649" s="37" t="n"/>
      <c r="E649" s="37" t="n"/>
      <c r="F649" s="148" t="n"/>
      <c r="G649" s="148" t="n"/>
      <c r="H649" s="148" t="n"/>
      <c r="I649" s="148" t="n"/>
      <c r="J649" s="149" t="n"/>
      <c r="K649" s="37" t="n"/>
      <c r="L649" s="148" t="n"/>
      <c r="M649" s="148" t="n"/>
      <c r="N649" s="148" t="n"/>
      <c r="O649" s="148" t="n"/>
      <c r="P649" s="148" t="n"/>
      <c r="Q649" s="148" t="n"/>
      <c r="R649" s="148" t="n"/>
      <c r="S649" s="148" t="n"/>
      <c r="T649" s="150" t="n"/>
      <c r="U649" s="150" t="n"/>
      <c r="V649" s="37" t="n"/>
      <c r="W649" s="151" t="n"/>
      <c r="X649" s="151" t="n"/>
      <c r="Y649" s="151" t="n"/>
      <c r="Z649" s="151" t="n"/>
      <c r="AA649" s="151" t="n"/>
      <c r="AB649" s="152" t="n"/>
      <c r="AC649" s="152" t="n"/>
      <c r="AD649" s="152" t="n"/>
      <c r="AE649" s="152" t="n"/>
      <c r="AF649" s="152" t="n"/>
    </row>
    <row r="650" ht="15.75" customHeight="1" s="201">
      <c r="A650" s="37" t="n"/>
      <c r="B650" s="37" t="n"/>
      <c r="C650" s="37" t="n"/>
      <c r="D650" s="37" t="n"/>
      <c r="E650" s="37" t="n"/>
      <c r="F650" s="148" t="n"/>
      <c r="G650" s="148" t="n"/>
      <c r="H650" s="148" t="n"/>
      <c r="I650" s="148" t="n"/>
      <c r="J650" s="149" t="n"/>
      <c r="K650" s="37" t="n"/>
      <c r="L650" s="148" t="n"/>
      <c r="M650" s="148" t="n"/>
      <c r="N650" s="148" t="n"/>
      <c r="O650" s="148" t="n"/>
      <c r="P650" s="148" t="n"/>
      <c r="Q650" s="148" t="n"/>
      <c r="R650" s="148" t="n"/>
      <c r="S650" s="148" t="n"/>
      <c r="T650" s="150" t="n"/>
      <c r="U650" s="150" t="n"/>
      <c r="V650" s="37" t="n"/>
      <c r="W650" s="151" t="n"/>
      <c r="X650" s="151" t="n"/>
      <c r="Y650" s="151" t="n"/>
      <c r="Z650" s="151" t="n"/>
      <c r="AA650" s="151" t="n"/>
      <c r="AB650" s="152" t="n"/>
      <c r="AC650" s="152" t="n"/>
      <c r="AD650" s="152" t="n"/>
      <c r="AE650" s="152" t="n"/>
      <c r="AF650" s="152" t="n"/>
    </row>
    <row r="651" ht="15.75" customHeight="1" s="201">
      <c r="A651" s="37" t="n"/>
      <c r="B651" s="37" t="n"/>
      <c r="C651" s="37" t="n"/>
      <c r="D651" s="37" t="n"/>
      <c r="E651" s="37" t="n"/>
      <c r="F651" s="148" t="n"/>
      <c r="G651" s="148" t="n"/>
      <c r="H651" s="148" t="n"/>
      <c r="I651" s="148" t="n"/>
      <c r="J651" s="149" t="n"/>
      <c r="K651" s="37" t="n"/>
      <c r="L651" s="148" t="n"/>
      <c r="M651" s="148" t="n"/>
      <c r="N651" s="148" t="n"/>
      <c r="O651" s="148" t="n"/>
      <c r="P651" s="148" t="n"/>
      <c r="Q651" s="148" t="n"/>
      <c r="R651" s="148" t="n"/>
      <c r="S651" s="148" t="n"/>
      <c r="T651" s="150" t="n"/>
      <c r="U651" s="150" t="n"/>
      <c r="V651" s="37" t="n"/>
      <c r="W651" s="151" t="n"/>
      <c r="X651" s="151" t="n"/>
      <c r="Y651" s="151" t="n"/>
      <c r="Z651" s="151" t="n"/>
      <c r="AA651" s="151" t="n"/>
      <c r="AB651" s="152" t="n"/>
      <c r="AC651" s="152" t="n"/>
      <c r="AD651" s="152" t="n"/>
      <c r="AE651" s="152" t="n"/>
      <c r="AF651" s="152" t="n"/>
    </row>
    <row r="652" ht="15.75" customHeight="1" s="201">
      <c r="A652" s="37" t="n"/>
      <c r="B652" s="37" t="n"/>
      <c r="C652" s="37" t="n"/>
      <c r="D652" s="37" t="n"/>
      <c r="E652" s="37" t="n"/>
      <c r="F652" s="148" t="n"/>
      <c r="G652" s="148" t="n"/>
      <c r="H652" s="148" t="n"/>
      <c r="I652" s="148" t="n"/>
      <c r="J652" s="149" t="n"/>
      <c r="K652" s="37" t="n"/>
      <c r="L652" s="148" t="n"/>
      <c r="M652" s="148" t="n"/>
      <c r="N652" s="148" t="n"/>
      <c r="O652" s="148" t="n"/>
      <c r="P652" s="148" t="n"/>
      <c r="Q652" s="148" t="n"/>
      <c r="R652" s="148" t="n"/>
      <c r="S652" s="148" t="n"/>
      <c r="T652" s="150" t="n"/>
      <c r="U652" s="150" t="n"/>
      <c r="V652" s="37" t="n"/>
      <c r="W652" s="151" t="n"/>
      <c r="X652" s="151" t="n"/>
      <c r="Y652" s="151" t="n"/>
      <c r="Z652" s="151" t="n"/>
      <c r="AA652" s="151" t="n"/>
      <c r="AB652" s="152" t="n"/>
      <c r="AC652" s="152" t="n"/>
      <c r="AD652" s="152" t="n"/>
      <c r="AE652" s="152" t="n"/>
      <c r="AF652" s="152" t="n"/>
    </row>
    <row r="653" ht="15.75" customHeight="1" s="201">
      <c r="A653" s="37" t="n"/>
      <c r="B653" s="37" t="n"/>
      <c r="C653" s="37" t="n"/>
      <c r="D653" s="37" t="n"/>
      <c r="E653" s="37" t="n"/>
      <c r="F653" s="148" t="n"/>
      <c r="G653" s="148" t="n"/>
      <c r="H653" s="148" t="n"/>
      <c r="I653" s="148" t="n"/>
      <c r="J653" s="149" t="n"/>
      <c r="K653" s="37" t="n"/>
      <c r="L653" s="148" t="n"/>
      <c r="M653" s="148" t="n"/>
      <c r="N653" s="148" t="n"/>
      <c r="O653" s="148" t="n"/>
      <c r="P653" s="148" t="n"/>
      <c r="Q653" s="148" t="n"/>
      <c r="R653" s="148" t="n"/>
      <c r="S653" s="148" t="n"/>
      <c r="T653" s="150" t="n"/>
      <c r="U653" s="150" t="n"/>
      <c r="V653" s="37" t="n"/>
      <c r="W653" s="151" t="n"/>
      <c r="X653" s="151" t="n"/>
      <c r="Y653" s="151" t="n"/>
      <c r="Z653" s="151" t="n"/>
      <c r="AA653" s="151" t="n"/>
      <c r="AB653" s="152" t="n"/>
      <c r="AC653" s="152" t="n"/>
      <c r="AD653" s="152" t="n"/>
      <c r="AE653" s="152" t="n"/>
      <c r="AF653" s="152" t="n"/>
    </row>
    <row r="654" ht="15.75" customHeight="1" s="201">
      <c r="A654" s="37" t="n"/>
      <c r="B654" s="37" t="n"/>
      <c r="C654" s="37" t="n"/>
      <c r="D654" s="37" t="n"/>
      <c r="E654" s="37" t="n"/>
      <c r="F654" s="148" t="n"/>
      <c r="G654" s="148" t="n"/>
      <c r="H654" s="148" t="n"/>
      <c r="I654" s="148" t="n"/>
      <c r="J654" s="149" t="n"/>
      <c r="K654" s="37" t="n"/>
      <c r="L654" s="148" t="n"/>
      <c r="M654" s="148" t="n"/>
      <c r="N654" s="148" t="n"/>
      <c r="O654" s="148" t="n"/>
      <c r="P654" s="148" t="n"/>
      <c r="Q654" s="148" t="n"/>
      <c r="R654" s="148" t="n"/>
      <c r="S654" s="148" t="n"/>
      <c r="T654" s="150" t="n"/>
      <c r="U654" s="150" t="n"/>
      <c r="V654" s="37" t="n"/>
      <c r="W654" s="151" t="n"/>
      <c r="X654" s="151" t="n"/>
      <c r="Y654" s="151" t="n"/>
      <c r="Z654" s="151" t="n"/>
      <c r="AA654" s="151" t="n"/>
      <c r="AB654" s="152" t="n"/>
      <c r="AC654" s="152" t="n"/>
      <c r="AD654" s="152" t="n"/>
      <c r="AE654" s="152" t="n"/>
      <c r="AF654" s="152" t="n"/>
    </row>
    <row r="655" ht="15.75" customHeight="1" s="201">
      <c r="A655" s="37" t="n"/>
      <c r="B655" s="37" t="n"/>
      <c r="C655" s="37" t="n"/>
      <c r="D655" s="37" t="n"/>
      <c r="E655" s="37" t="n"/>
      <c r="F655" s="148" t="n"/>
      <c r="G655" s="148" t="n"/>
      <c r="H655" s="148" t="n"/>
      <c r="I655" s="148" t="n"/>
      <c r="J655" s="149" t="n"/>
      <c r="K655" s="37" t="n"/>
      <c r="L655" s="148" t="n"/>
      <c r="M655" s="148" t="n"/>
      <c r="N655" s="148" t="n"/>
      <c r="O655" s="148" t="n"/>
      <c r="P655" s="148" t="n"/>
      <c r="Q655" s="148" t="n"/>
      <c r="R655" s="148" t="n"/>
      <c r="S655" s="148" t="n"/>
      <c r="T655" s="150" t="n"/>
      <c r="U655" s="150" t="n"/>
      <c r="V655" s="37" t="n"/>
      <c r="W655" s="151" t="n"/>
      <c r="X655" s="151" t="n"/>
      <c r="Y655" s="151" t="n"/>
      <c r="Z655" s="151" t="n"/>
      <c r="AA655" s="151" t="n"/>
      <c r="AB655" s="152" t="n"/>
      <c r="AC655" s="152" t="n"/>
      <c r="AD655" s="152" t="n"/>
      <c r="AE655" s="152" t="n"/>
      <c r="AF655" s="152" t="n"/>
    </row>
    <row r="656" ht="15.75" customHeight="1" s="201">
      <c r="A656" s="37" t="n"/>
      <c r="B656" s="37" t="n"/>
      <c r="C656" s="37" t="n"/>
      <c r="D656" s="37" t="n"/>
      <c r="E656" s="37" t="n"/>
      <c r="F656" s="148" t="n"/>
      <c r="G656" s="148" t="n"/>
      <c r="H656" s="148" t="n"/>
      <c r="I656" s="148" t="n"/>
      <c r="J656" s="149" t="n"/>
      <c r="K656" s="37" t="n"/>
      <c r="L656" s="148" t="n"/>
      <c r="M656" s="148" t="n"/>
      <c r="N656" s="148" t="n"/>
      <c r="O656" s="148" t="n"/>
      <c r="P656" s="148" t="n"/>
      <c r="Q656" s="148" t="n"/>
      <c r="R656" s="148" t="n"/>
      <c r="S656" s="148" t="n"/>
      <c r="T656" s="150" t="n"/>
      <c r="U656" s="150" t="n"/>
      <c r="V656" s="37" t="n"/>
      <c r="W656" s="151" t="n"/>
      <c r="X656" s="151" t="n"/>
      <c r="Y656" s="151" t="n"/>
      <c r="Z656" s="151" t="n"/>
      <c r="AA656" s="151" t="n"/>
      <c r="AB656" s="152" t="n"/>
      <c r="AC656" s="152" t="n"/>
      <c r="AD656" s="152" t="n"/>
      <c r="AE656" s="152" t="n"/>
      <c r="AF656" s="152" t="n"/>
    </row>
    <row r="657" ht="15.75" customHeight="1" s="201">
      <c r="A657" s="37" t="n"/>
      <c r="B657" s="37" t="n"/>
      <c r="C657" s="37" t="n"/>
      <c r="D657" s="37" t="n"/>
      <c r="E657" s="37" t="n"/>
      <c r="F657" s="148" t="n"/>
      <c r="G657" s="148" t="n"/>
      <c r="H657" s="148" t="n"/>
      <c r="I657" s="148" t="n"/>
      <c r="J657" s="149" t="n"/>
      <c r="K657" s="37" t="n"/>
      <c r="L657" s="148" t="n"/>
      <c r="M657" s="148" t="n"/>
      <c r="N657" s="148" t="n"/>
      <c r="O657" s="148" t="n"/>
      <c r="P657" s="148" t="n"/>
      <c r="Q657" s="148" t="n"/>
      <c r="R657" s="148" t="n"/>
      <c r="S657" s="148" t="n"/>
      <c r="T657" s="150" t="n"/>
      <c r="U657" s="150" t="n"/>
      <c r="V657" s="37" t="n"/>
      <c r="W657" s="151" t="n"/>
      <c r="X657" s="151" t="n"/>
      <c r="Y657" s="151" t="n"/>
      <c r="Z657" s="151" t="n"/>
      <c r="AA657" s="151" t="n"/>
      <c r="AB657" s="152" t="n"/>
      <c r="AC657" s="152" t="n"/>
      <c r="AD657" s="152" t="n"/>
      <c r="AE657" s="152" t="n"/>
      <c r="AF657" s="152" t="n"/>
    </row>
    <row r="658" ht="15.75" customHeight="1" s="201">
      <c r="A658" s="37" t="n"/>
      <c r="B658" s="37" t="n"/>
      <c r="C658" s="37" t="n"/>
      <c r="D658" s="37" t="n"/>
      <c r="E658" s="37" t="n"/>
      <c r="F658" s="148" t="n"/>
      <c r="G658" s="148" t="n"/>
      <c r="H658" s="148" t="n"/>
      <c r="I658" s="148" t="n"/>
      <c r="J658" s="149" t="n"/>
      <c r="K658" s="37" t="n"/>
      <c r="L658" s="148" t="n"/>
      <c r="M658" s="148" t="n"/>
      <c r="N658" s="148" t="n"/>
      <c r="O658" s="148" t="n"/>
      <c r="P658" s="148" t="n"/>
      <c r="Q658" s="148" t="n"/>
      <c r="R658" s="148" t="n"/>
      <c r="S658" s="148" t="n"/>
      <c r="T658" s="150" t="n"/>
      <c r="U658" s="150" t="n"/>
      <c r="V658" s="37" t="n"/>
      <c r="W658" s="151" t="n"/>
      <c r="X658" s="151" t="n"/>
      <c r="Y658" s="151" t="n"/>
      <c r="Z658" s="151" t="n"/>
      <c r="AA658" s="151" t="n"/>
      <c r="AB658" s="152" t="n"/>
      <c r="AC658" s="152" t="n"/>
      <c r="AD658" s="152" t="n"/>
      <c r="AE658" s="152" t="n"/>
      <c r="AF658" s="152" t="n"/>
    </row>
    <row r="659" ht="15.75" customHeight="1" s="201">
      <c r="A659" s="37" t="n"/>
      <c r="B659" s="37" t="n"/>
      <c r="C659" s="37" t="n"/>
      <c r="D659" s="37" t="n"/>
      <c r="E659" s="37" t="n"/>
      <c r="F659" s="148" t="n"/>
      <c r="G659" s="148" t="n"/>
      <c r="H659" s="148" t="n"/>
      <c r="I659" s="148" t="n"/>
      <c r="J659" s="149" t="n"/>
      <c r="K659" s="37" t="n"/>
      <c r="L659" s="148" t="n"/>
      <c r="M659" s="148" t="n"/>
      <c r="N659" s="148" t="n"/>
      <c r="O659" s="148" t="n"/>
      <c r="P659" s="148" t="n"/>
      <c r="Q659" s="148" t="n"/>
      <c r="R659" s="148" t="n"/>
      <c r="S659" s="148" t="n"/>
      <c r="T659" s="150" t="n"/>
      <c r="U659" s="150" t="n"/>
      <c r="V659" s="37" t="n"/>
      <c r="W659" s="151" t="n"/>
      <c r="X659" s="151" t="n"/>
      <c r="Y659" s="151" t="n"/>
      <c r="Z659" s="151" t="n"/>
      <c r="AA659" s="151" t="n"/>
      <c r="AB659" s="152" t="n"/>
      <c r="AC659" s="152" t="n"/>
      <c r="AD659" s="152" t="n"/>
      <c r="AE659" s="152" t="n"/>
      <c r="AF659" s="152" t="n"/>
    </row>
    <row r="660" ht="15.75" customHeight="1" s="201">
      <c r="A660" s="37" t="n"/>
      <c r="B660" s="37" t="n"/>
      <c r="C660" s="37" t="n"/>
      <c r="D660" s="37" t="n"/>
      <c r="E660" s="37" t="n"/>
      <c r="F660" s="148" t="n"/>
      <c r="G660" s="148" t="n"/>
      <c r="H660" s="148" t="n"/>
      <c r="I660" s="148" t="n"/>
      <c r="J660" s="149" t="n"/>
      <c r="K660" s="37" t="n"/>
      <c r="L660" s="148" t="n"/>
      <c r="M660" s="148" t="n"/>
      <c r="N660" s="148" t="n"/>
      <c r="O660" s="148" t="n"/>
      <c r="P660" s="148" t="n"/>
      <c r="Q660" s="148" t="n"/>
      <c r="R660" s="148" t="n"/>
      <c r="S660" s="148" t="n"/>
      <c r="T660" s="150" t="n"/>
      <c r="U660" s="150" t="n"/>
      <c r="V660" s="37" t="n"/>
      <c r="W660" s="151" t="n"/>
      <c r="X660" s="151" t="n"/>
      <c r="Y660" s="151" t="n"/>
      <c r="Z660" s="151" t="n"/>
      <c r="AA660" s="151" t="n"/>
      <c r="AB660" s="152" t="n"/>
      <c r="AC660" s="152" t="n"/>
      <c r="AD660" s="152" t="n"/>
      <c r="AE660" s="152" t="n"/>
      <c r="AF660" s="152" t="n"/>
    </row>
    <row r="661" ht="15.75" customHeight="1" s="201">
      <c r="A661" s="37" t="n"/>
      <c r="B661" s="37" t="n"/>
      <c r="C661" s="37" t="n"/>
      <c r="D661" s="37" t="n"/>
      <c r="E661" s="37" t="n"/>
      <c r="F661" s="148" t="n"/>
      <c r="G661" s="148" t="n"/>
      <c r="H661" s="148" t="n"/>
      <c r="I661" s="148" t="n"/>
      <c r="J661" s="149" t="n"/>
      <c r="K661" s="37" t="n"/>
      <c r="L661" s="148" t="n"/>
      <c r="M661" s="148" t="n"/>
      <c r="N661" s="148" t="n"/>
      <c r="O661" s="148" t="n"/>
      <c r="P661" s="148" t="n"/>
      <c r="Q661" s="148" t="n"/>
      <c r="R661" s="148" t="n"/>
      <c r="S661" s="148" t="n"/>
      <c r="T661" s="150" t="n"/>
      <c r="U661" s="150" t="n"/>
      <c r="V661" s="37" t="n"/>
      <c r="W661" s="151" t="n"/>
      <c r="X661" s="151" t="n"/>
      <c r="Y661" s="151" t="n"/>
      <c r="Z661" s="151" t="n"/>
      <c r="AA661" s="151" t="n"/>
      <c r="AB661" s="152" t="n"/>
      <c r="AC661" s="152" t="n"/>
      <c r="AD661" s="152" t="n"/>
      <c r="AE661" s="152" t="n"/>
      <c r="AF661" s="152" t="n"/>
    </row>
    <row r="662" ht="15.75" customHeight="1" s="201">
      <c r="A662" s="37" t="n"/>
      <c r="B662" s="37" t="n"/>
      <c r="C662" s="37" t="n"/>
      <c r="D662" s="37" t="n"/>
      <c r="E662" s="37" t="n"/>
      <c r="F662" s="148" t="n"/>
      <c r="G662" s="148" t="n"/>
      <c r="H662" s="148" t="n"/>
      <c r="I662" s="148" t="n"/>
      <c r="J662" s="149" t="n"/>
      <c r="K662" s="37" t="n"/>
      <c r="L662" s="148" t="n"/>
      <c r="M662" s="148" t="n"/>
      <c r="N662" s="148" t="n"/>
      <c r="O662" s="148" t="n"/>
      <c r="P662" s="148" t="n"/>
      <c r="Q662" s="148" t="n"/>
      <c r="R662" s="148" t="n"/>
      <c r="S662" s="148" t="n"/>
      <c r="T662" s="150" t="n"/>
      <c r="U662" s="150" t="n"/>
      <c r="V662" s="37" t="n"/>
      <c r="W662" s="151" t="n"/>
      <c r="X662" s="151" t="n"/>
      <c r="Y662" s="151" t="n"/>
      <c r="Z662" s="151" t="n"/>
      <c r="AA662" s="151" t="n"/>
      <c r="AB662" s="152" t="n"/>
      <c r="AC662" s="152" t="n"/>
      <c r="AD662" s="152" t="n"/>
      <c r="AE662" s="152" t="n"/>
      <c r="AF662" s="152" t="n"/>
    </row>
    <row r="663" ht="15.75" customHeight="1" s="201">
      <c r="A663" s="37" t="n"/>
      <c r="B663" s="37" t="n"/>
      <c r="C663" s="37" t="n"/>
      <c r="D663" s="37" t="n"/>
      <c r="E663" s="37" t="n"/>
      <c r="F663" s="148" t="n"/>
      <c r="G663" s="148" t="n"/>
      <c r="H663" s="148" t="n"/>
      <c r="I663" s="148" t="n"/>
      <c r="J663" s="149" t="n"/>
      <c r="K663" s="37" t="n"/>
      <c r="L663" s="148" t="n"/>
      <c r="M663" s="148" t="n"/>
      <c r="N663" s="148" t="n"/>
      <c r="O663" s="148" t="n"/>
      <c r="P663" s="148" t="n"/>
      <c r="Q663" s="148" t="n"/>
      <c r="R663" s="148" t="n"/>
      <c r="S663" s="148" t="n"/>
      <c r="T663" s="150" t="n"/>
      <c r="U663" s="150" t="n"/>
      <c r="V663" s="37" t="n"/>
      <c r="W663" s="151" t="n"/>
      <c r="X663" s="151" t="n"/>
      <c r="Y663" s="151" t="n"/>
      <c r="Z663" s="151" t="n"/>
      <c r="AA663" s="151" t="n"/>
      <c r="AB663" s="152" t="n"/>
      <c r="AC663" s="152" t="n"/>
      <c r="AD663" s="152" t="n"/>
      <c r="AE663" s="152" t="n"/>
      <c r="AF663" s="152" t="n"/>
    </row>
    <row r="664" ht="15.75" customHeight="1" s="201">
      <c r="A664" s="37" t="n"/>
      <c r="B664" s="37" t="n"/>
      <c r="C664" s="37" t="n"/>
      <c r="D664" s="37" t="n"/>
      <c r="E664" s="37" t="n"/>
      <c r="F664" s="148" t="n"/>
      <c r="G664" s="148" t="n"/>
      <c r="H664" s="148" t="n"/>
      <c r="I664" s="148" t="n"/>
      <c r="J664" s="149" t="n"/>
      <c r="K664" s="37" t="n"/>
      <c r="L664" s="148" t="n"/>
      <c r="M664" s="148" t="n"/>
      <c r="N664" s="148" t="n"/>
      <c r="O664" s="148" t="n"/>
      <c r="P664" s="148" t="n"/>
      <c r="Q664" s="148" t="n"/>
      <c r="R664" s="148" t="n"/>
      <c r="S664" s="148" t="n"/>
      <c r="T664" s="150" t="n"/>
      <c r="U664" s="150" t="n"/>
      <c r="V664" s="37" t="n"/>
      <c r="W664" s="151" t="n"/>
      <c r="X664" s="151" t="n"/>
      <c r="Y664" s="151" t="n"/>
      <c r="Z664" s="151" t="n"/>
      <c r="AA664" s="151" t="n"/>
      <c r="AB664" s="152" t="n"/>
      <c r="AC664" s="152" t="n"/>
      <c r="AD664" s="152" t="n"/>
      <c r="AE664" s="152" t="n"/>
      <c r="AF664" s="152" t="n"/>
    </row>
    <row r="665" ht="15.75" customHeight="1" s="201">
      <c r="A665" s="37" t="n"/>
      <c r="B665" s="37" t="n"/>
      <c r="C665" s="37" t="n"/>
      <c r="D665" s="37" t="n"/>
      <c r="E665" s="37" t="n"/>
      <c r="F665" s="148" t="n"/>
      <c r="G665" s="148" t="n"/>
      <c r="H665" s="148" t="n"/>
      <c r="I665" s="148" t="n"/>
      <c r="J665" s="149" t="n"/>
      <c r="K665" s="37" t="n"/>
      <c r="L665" s="148" t="n"/>
      <c r="M665" s="148" t="n"/>
      <c r="N665" s="148" t="n"/>
      <c r="O665" s="148" t="n"/>
      <c r="P665" s="148" t="n"/>
      <c r="Q665" s="148" t="n"/>
      <c r="R665" s="148" t="n"/>
      <c r="S665" s="148" t="n"/>
      <c r="T665" s="150" t="n"/>
      <c r="U665" s="150" t="n"/>
      <c r="V665" s="37" t="n"/>
      <c r="W665" s="151" t="n"/>
      <c r="X665" s="151" t="n"/>
      <c r="Y665" s="151" t="n"/>
      <c r="Z665" s="151" t="n"/>
      <c r="AA665" s="151" t="n"/>
      <c r="AB665" s="152" t="n"/>
      <c r="AC665" s="152" t="n"/>
      <c r="AD665" s="152" t="n"/>
      <c r="AE665" s="152" t="n"/>
      <c r="AF665" s="152" t="n"/>
    </row>
    <row r="666" ht="15.75" customHeight="1" s="201">
      <c r="A666" s="37" t="n"/>
      <c r="B666" s="37" t="n"/>
      <c r="C666" s="37" t="n"/>
      <c r="D666" s="37" t="n"/>
      <c r="E666" s="37" t="n"/>
      <c r="F666" s="148" t="n"/>
      <c r="G666" s="148" t="n"/>
      <c r="H666" s="148" t="n"/>
      <c r="I666" s="148" t="n"/>
      <c r="J666" s="149" t="n"/>
      <c r="K666" s="37" t="n"/>
      <c r="L666" s="148" t="n"/>
      <c r="M666" s="148" t="n"/>
      <c r="N666" s="148" t="n"/>
      <c r="O666" s="148" t="n"/>
      <c r="P666" s="148" t="n"/>
      <c r="Q666" s="148" t="n"/>
      <c r="R666" s="148" t="n"/>
      <c r="S666" s="148" t="n"/>
      <c r="T666" s="150" t="n"/>
      <c r="U666" s="150" t="n"/>
      <c r="V666" s="37" t="n"/>
      <c r="W666" s="151" t="n"/>
      <c r="X666" s="151" t="n"/>
      <c r="Y666" s="151" t="n"/>
      <c r="Z666" s="151" t="n"/>
      <c r="AA666" s="151" t="n"/>
      <c r="AB666" s="152" t="n"/>
      <c r="AC666" s="152" t="n"/>
      <c r="AD666" s="152" t="n"/>
      <c r="AE666" s="152" t="n"/>
      <c r="AF666" s="152" t="n"/>
    </row>
    <row r="667" ht="15.75" customHeight="1" s="201">
      <c r="A667" s="37" t="n"/>
      <c r="B667" s="37" t="n"/>
      <c r="C667" s="37" t="n"/>
      <c r="D667" s="37" t="n"/>
      <c r="E667" s="37" t="n"/>
      <c r="F667" s="148" t="n"/>
      <c r="G667" s="148" t="n"/>
      <c r="H667" s="148" t="n"/>
      <c r="I667" s="148" t="n"/>
      <c r="J667" s="149" t="n"/>
      <c r="K667" s="37" t="n"/>
      <c r="L667" s="148" t="n"/>
      <c r="M667" s="148" t="n"/>
      <c r="N667" s="148" t="n"/>
      <c r="O667" s="148" t="n"/>
      <c r="P667" s="148" t="n"/>
      <c r="Q667" s="148" t="n"/>
      <c r="R667" s="148" t="n"/>
      <c r="S667" s="148" t="n"/>
      <c r="T667" s="150" t="n"/>
      <c r="U667" s="150" t="n"/>
      <c r="V667" s="37" t="n"/>
      <c r="W667" s="151" t="n"/>
      <c r="X667" s="151" t="n"/>
      <c r="Y667" s="151" t="n"/>
      <c r="Z667" s="151" t="n"/>
      <c r="AA667" s="151" t="n"/>
      <c r="AB667" s="152" t="n"/>
      <c r="AC667" s="152" t="n"/>
      <c r="AD667" s="152" t="n"/>
      <c r="AE667" s="152" t="n"/>
      <c r="AF667" s="152" t="n"/>
    </row>
    <row r="668" ht="15.75" customHeight="1" s="201">
      <c r="A668" s="37" t="n"/>
      <c r="B668" s="37" t="n"/>
      <c r="C668" s="37" t="n"/>
      <c r="D668" s="37" t="n"/>
      <c r="E668" s="37" t="n"/>
      <c r="F668" s="148" t="n"/>
      <c r="G668" s="148" t="n"/>
      <c r="H668" s="148" t="n"/>
      <c r="I668" s="148" t="n"/>
      <c r="J668" s="149" t="n"/>
      <c r="K668" s="37" t="n"/>
      <c r="L668" s="148" t="n"/>
      <c r="M668" s="148" t="n"/>
      <c r="N668" s="148" t="n"/>
      <c r="O668" s="148" t="n"/>
      <c r="P668" s="148" t="n"/>
      <c r="Q668" s="148" t="n"/>
      <c r="R668" s="148" t="n"/>
      <c r="S668" s="148" t="n"/>
      <c r="T668" s="150" t="n"/>
      <c r="U668" s="150" t="n"/>
      <c r="V668" s="37" t="n"/>
      <c r="W668" s="151" t="n"/>
      <c r="X668" s="151" t="n"/>
      <c r="Y668" s="151" t="n"/>
      <c r="Z668" s="151" t="n"/>
      <c r="AA668" s="151" t="n"/>
      <c r="AB668" s="152" t="n"/>
      <c r="AC668" s="152" t="n"/>
      <c r="AD668" s="152" t="n"/>
      <c r="AE668" s="152" t="n"/>
      <c r="AF668" s="152" t="n"/>
    </row>
    <row r="669" ht="15.75" customHeight="1" s="201">
      <c r="A669" s="37" t="n"/>
      <c r="B669" s="37" t="n"/>
      <c r="C669" s="37" t="n"/>
      <c r="D669" s="37" t="n"/>
      <c r="E669" s="37" t="n"/>
      <c r="F669" s="148" t="n"/>
      <c r="G669" s="148" t="n"/>
      <c r="H669" s="148" t="n"/>
      <c r="I669" s="148" t="n"/>
      <c r="J669" s="149" t="n"/>
      <c r="K669" s="37" t="n"/>
      <c r="L669" s="148" t="n"/>
      <c r="M669" s="148" t="n"/>
      <c r="N669" s="148" t="n"/>
      <c r="O669" s="148" t="n"/>
      <c r="P669" s="148" t="n"/>
      <c r="Q669" s="148" t="n"/>
      <c r="R669" s="148" t="n"/>
      <c r="S669" s="148" t="n"/>
      <c r="T669" s="150" t="n"/>
      <c r="U669" s="150" t="n"/>
      <c r="V669" s="37" t="n"/>
      <c r="W669" s="151" t="n"/>
      <c r="X669" s="151" t="n"/>
      <c r="Y669" s="151" t="n"/>
      <c r="Z669" s="151" t="n"/>
      <c r="AA669" s="151" t="n"/>
      <c r="AB669" s="152" t="n"/>
      <c r="AC669" s="152" t="n"/>
      <c r="AD669" s="152" t="n"/>
      <c r="AE669" s="152" t="n"/>
      <c r="AF669" s="152" t="n"/>
    </row>
    <row r="670" ht="15.75" customHeight="1" s="201">
      <c r="A670" s="37" t="n"/>
      <c r="B670" s="37" t="n"/>
      <c r="C670" s="37" t="n"/>
      <c r="D670" s="37" t="n"/>
      <c r="E670" s="37" t="n"/>
      <c r="F670" s="148" t="n"/>
      <c r="G670" s="148" t="n"/>
      <c r="H670" s="148" t="n"/>
      <c r="I670" s="148" t="n"/>
      <c r="J670" s="149" t="n"/>
      <c r="K670" s="37" t="n"/>
      <c r="L670" s="148" t="n"/>
      <c r="M670" s="148" t="n"/>
      <c r="N670" s="148" t="n"/>
      <c r="O670" s="148" t="n"/>
      <c r="P670" s="148" t="n"/>
      <c r="Q670" s="148" t="n"/>
      <c r="R670" s="148" t="n"/>
      <c r="S670" s="148" t="n"/>
      <c r="T670" s="150" t="n"/>
      <c r="U670" s="150" t="n"/>
      <c r="V670" s="37" t="n"/>
      <c r="W670" s="151" t="n"/>
      <c r="X670" s="151" t="n"/>
      <c r="Y670" s="151" t="n"/>
      <c r="Z670" s="151" t="n"/>
      <c r="AA670" s="151" t="n"/>
      <c r="AB670" s="152" t="n"/>
      <c r="AC670" s="152" t="n"/>
      <c r="AD670" s="152" t="n"/>
      <c r="AE670" s="152" t="n"/>
      <c r="AF670" s="152" t="n"/>
    </row>
    <row r="671" ht="15.75" customHeight="1" s="201">
      <c r="A671" s="37" t="n"/>
      <c r="B671" s="37" t="n"/>
      <c r="C671" s="37" t="n"/>
      <c r="D671" s="37" t="n"/>
      <c r="E671" s="37" t="n"/>
      <c r="F671" s="148" t="n"/>
      <c r="G671" s="148" t="n"/>
      <c r="H671" s="148" t="n"/>
      <c r="I671" s="148" t="n"/>
      <c r="J671" s="149" t="n"/>
      <c r="K671" s="37" t="n"/>
      <c r="L671" s="148" t="n"/>
      <c r="M671" s="148" t="n"/>
      <c r="N671" s="148" t="n"/>
      <c r="O671" s="148" t="n"/>
      <c r="P671" s="148" t="n"/>
      <c r="Q671" s="148" t="n"/>
      <c r="R671" s="148" t="n"/>
      <c r="S671" s="148" t="n"/>
      <c r="T671" s="150" t="n"/>
      <c r="U671" s="150" t="n"/>
      <c r="V671" s="37" t="n"/>
      <c r="W671" s="151" t="n"/>
      <c r="X671" s="151" t="n"/>
      <c r="Y671" s="151" t="n"/>
      <c r="Z671" s="151" t="n"/>
      <c r="AA671" s="151" t="n"/>
      <c r="AB671" s="152" t="n"/>
      <c r="AC671" s="152" t="n"/>
      <c r="AD671" s="152" t="n"/>
      <c r="AE671" s="152" t="n"/>
      <c r="AF671" s="152" t="n"/>
    </row>
    <row r="672" ht="15.75" customHeight="1" s="201">
      <c r="A672" s="37" t="n"/>
      <c r="B672" s="37" t="n"/>
      <c r="C672" s="37" t="n"/>
      <c r="D672" s="37" t="n"/>
      <c r="E672" s="37" t="n"/>
      <c r="F672" s="148" t="n"/>
      <c r="G672" s="148" t="n"/>
      <c r="H672" s="148" t="n"/>
      <c r="I672" s="148" t="n"/>
      <c r="J672" s="149" t="n"/>
      <c r="K672" s="37" t="n"/>
      <c r="L672" s="148" t="n"/>
      <c r="M672" s="148" t="n"/>
      <c r="N672" s="148" t="n"/>
      <c r="O672" s="148" t="n"/>
      <c r="P672" s="148" t="n"/>
      <c r="Q672" s="148" t="n"/>
      <c r="R672" s="148" t="n"/>
      <c r="S672" s="148" t="n"/>
      <c r="T672" s="150" t="n"/>
      <c r="U672" s="150" t="n"/>
      <c r="V672" s="37" t="n"/>
      <c r="W672" s="151" t="n"/>
      <c r="X672" s="151" t="n"/>
      <c r="Y672" s="151" t="n"/>
      <c r="Z672" s="151" t="n"/>
      <c r="AA672" s="151" t="n"/>
      <c r="AB672" s="152" t="n"/>
      <c r="AC672" s="152" t="n"/>
      <c r="AD672" s="152" t="n"/>
      <c r="AE672" s="152" t="n"/>
      <c r="AF672" s="152" t="n"/>
    </row>
    <row r="673" ht="15.75" customHeight="1" s="201">
      <c r="A673" s="37" t="n"/>
      <c r="B673" s="37" t="n"/>
      <c r="C673" s="37" t="n"/>
      <c r="D673" s="37" t="n"/>
      <c r="E673" s="37" t="n"/>
      <c r="F673" s="148" t="n"/>
      <c r="G673" s="148" t="n"/>
      <c r="H673" s="148" t="n"/>
      <c r="I673" s="148" t="n"/>
      <c r="J673" s="149" t="n"/>
      <c r="K673" s="37" t="n"/>
      <c r="L673" s="148" t="n"/>
      <c r="M673" s="148" t="n"/>
      <c r="N673" s="148" t="n"/>
      <c r="O673" s="148" t="n"/>
      <c r="P673" s="148" t="n"/>
      <c r="Q673" s="148" t="n"/>
      <c r="R673" s="148" t="n"/>
      <c r="S673" s="148" t="n"/>
      <c r="T673" s="150" t="n"/>
      <c r="U673" s="150" t="n"/>
      <c r="V673" s="37" t="n"/>
      <c r="W673" s="151" t="n"/>
      <c r="X673" s="151" t="n"/>
      <c r="Y673" s="151" t="n"/>
      <c r="Z673" s="151" t="n"/>
      <c r="AA673" s="151" t="n"/>
      <c r="AB673" s="152" t="n"/>
      <c r="AC673" s="152" t="n"/>
      <c r="AD673" s="152" t="n"/>
      <c r="AE673" s="152" t="n"/>
      <c r="AF673" s="152" t="n"/>
    </row>
    <row r="674" ht="15.75" customHeight="1" s="201">
      <c r="A674" s="37" t="n"/>
      <c r="B674" s="37" t="n"/>
      <c r="C674" s="37" t="n"/>
      <c r="D674" s="37" t="n"/>
      <c r="E674" s="37" t="n"/>
      <c r="F674" s="148" t="n"/>
      <c r="G674" s="148" t="n"/>
      <c r="H674" s="148" t="n"/>
      <c r="I674" s="148" t="n"/>
      <c r="J674" s="149" t="n"/>
      <c r="K674" s="37" t="n"/>
      <c r="L674" s="148" t="n"/>
      <c r="M674" s="148" t="n"/>
      <c r="N674" s="148" t="n"/>
      <c r="O674" s="148" t="n"/>
      <c r="P674" s="148" t="n"/>
      <c r="Q674" s="148" t="n"/>
      <c r="R674" s="148" t="n"/>
      <c r="S674" s="148" t="n"/>
      <c r="T674" s="150" t="n"/>
      <c r="U674" s="150" t="n"/>
      <c r="V674" s="37" t="n"/>
      <c r="W674" s="151" t="n"/>
      <c r="X674" s="151" t="n"/>
      <c r="Y674" s="151" t="n"/>
      <c r="Z674" s="151" t="n"/>
      <c r="AA674" s="151" t="n"/>
      <c r="AB674" s="152" t="n"/>
      <c r="AC674" s="152" t="n"/>
      <c r="AD674" s="152" t="n"/>
      <c r="AE674" s="152" t="n"/>
      <c r="AF674" s="152" t="n"/>
    </row>
    <row r="675" ht="15.75" customHeight="1" s="201">
      <c r="A675" s="37" t="n"/>
      <c r="B675" s="37" t="n"/>
      <c r="C675" s="37" t="n"/>
      <c r="D675" s="37" t="n"/>
      <c r="E675" s="37" t="n"/>
      <c r="F675" s="148" t="n"/>
      <c r="G675" s="148" t="n"/>
      <c r="H675" s="148" t="n"/>
      <c r="I675" s="148" t="n"/>
      <c r="J675" s="149" t="n"/>
      <c r="K675" s="37" t="n"/>
      <c r="L675" s="148" t="n"/>
      <c r="M675" s="148" t="n"/>
      <c r="N675" s="148" t="n"/>
      <c r="O675" s="148" t="n"/>
      <c r="P675" s="148" t="n"/>
      <c r="Q675" s="148" t="n"/>
      <c r="R675" s="148" t="n"/>
      <c r="S675" s="148" t="n"/>
      <c r="T675" s="150" t="n"/>
      <c r="U675" s="150" t="n"/>
      <c r="V675" s="37" t="n"/>
      <c r="W675" s="151" t="n"/>
      <c r="X675" s="151" t="n"/>
      <c r="Y675" s="151" t="n"/>
      <c r="Z675" s="151" t="n"/>
      <c r="AA675" s="151" t="n"/>
      <c r="AB675" s="152" t="n"/>
      <c r="AC675" s="152" t="n"/>
      <c r="AD675" s="152" t="n"/>
      <c r="AE675" s="152" t="n"/>
      <c r="AF675" s="152" t="n"/>
    </row>
    <row r="676" ht="15.75" customHeight="1" s="201">
      <c r="A676" s="37" t="n"/>
      <c r="B676" s="37" t="n"/>
      <c r="C676" s="37" t="n"/>
      <c r="D676" s="37" t="n"/>
      <c r="E676" s="37" t="n"/>
      <c r="F676" s="148" t="n"/>
      <c r="G676" s="148" t="n"/>
      <c r="H676" s="148" t="n"/>
      <c r="I676" s="148" t="n"/>
      <c r="J676" s="149" t="n"/>
      <c r="K676" s="37" t="n"/>
      <c r="L676" s="148" t="n"/>
      <c r="M676" s="148" t="n"/>
      <c r="N676" s="148" t="n"/>
      <c r="O676" s="148" t="n"/>
      <c r="P676" s="148" t="n"/>
      <c r="Q676" s="148" t="n"/>
      <c r="R676" s="148" t="n"/>
      <c r="S676" s="148" t="n"/>
      <c r="T676" s="150" t="n"/>
      <c r="U676" s="150" t="n"/>
      <c r="V676" s="37" t="n"/>
      <c r="W676" s="151" t="n"/>
      <c r="X676" s="151" t="n"/>
      <c r="Y676" s="151" t="n"/>
      <c r="Z676" s="151" t="n"/>
      <c r="AA676" s="151" t="n"/>
      <c r="AB676" s="152" t="n"/>
      <c r="AC676" s="152" t="n"/>
      <c r="AD676" s="152" t="n"/>
      <c r="AE676" s="152" t="n"/>
      <c r="AF676" s="152" t="n"/>
    </row>
    <row r="677" ht="15.75" customHeight="1" s="201">
      <c r="A677" s="37" t="n"/>
      <c r="B677" s="37" t="n"/>
      <c r="C677" s="37" t="n"/>
      <c r="D677" s="37" t="n"/>
      <c r="E677" s="37" t="n"/>
      <c r="F677" s="148" t="n"/>
      <c r="G677" s="148" t="n"/>
      <c r="H677" s="148" t="n"/>
      <c r="I677" s="148" t="n"/>
      <c r="J677" s="149" t="n"/>
      <c r="K677" s="37" t="n"/>
      <c r="L677" s="148" t="n"/>
      <c r="M677" s="148" t="n"/>
      <c r="N677" s="148" t="n"/>
      <c r="O677" s="148" t="n"/>
      <c r="P677" s="148" t="n"/>
      <c r="Q677" s="148" t="n"/>
      <c r="R677" s="148" t="n"/>
      <c r="S677" s="148" t="n"/>
      <c r="T677" s="150" t="n"/>
      <c r="U677" s="150" t="n"/>
      <c r="V677" s="37" t="n"/>
      <c r="W677" s="151" t="n"/>
      <c r="X677" s="151" t="n"/>
      <c r="Y677" s="151" t="n"/>
      <c r="Z677" s="151" t="n"/>
      <c r="AA677" s="151" t="n"/>
      <c r="AB677" s="152" t="n"/>
      <c r="AC677" s="152" t="n"/>
      <c r="AD677" s="152" t="n"/>
      <c r="AE677" s="152" t="n"/>
      <c r="AF677" s="152" t="n"/>
    </row>
    <row r="678" ht="15.75" customHeight="1" s="201">
      <c r="A678" s="37" t="n"/>
      <c r="B678" s="37" t="n"/>
      <c r="C678" s="37" t="n"/>
      <c r="D678" s="37" t="n"/>
      <c r="E678" s="37" t="n"/>
      <c r="F678" s="148" t="n"/>
      <c r="G678" s="148" t="n"/>
      <c r="H678" s="148" t="n"/>
      <c r="I678" s="148" t="n"/>
      <c r="J678" s="149" t="n"/>
      <c r="K678" s="37" t="n"/>
      <c r="L678" s="148" t="n"/>
      <c r="M678" s="148" t="n"/>
      <c r="N678" s="148" t="n"/>
      <c r="O678" s="148" t="n"/>
      <c r="P678" s="148" t="n"/>
      <c r="Q678" s="148" t="n"/>
      <c r="R678" s="148" t="n"/>
      <c r="S678" s="148" t="n"/>
      <c r="T678" s="150" t="n"/>
      <c r="U678" s="150" t="n"/>
      <c r="V678" s="37" t="n"/>
      <c r="W678" s="151" t="n"/>
      <c r="X678" s="151" t="n"/>
      <c r="Y678" s="151" t="n"/>
      <c r="Z678" s="151" t="n"/>
      <c r="AA678" s="151" t="n"/>
      <c r="AB678" s="152" t="n"/>
      <c r="AC678" s="152" t="n"/>
      <c r="AD678" s="152" t="n"/>
      <c r="AE678" s="152" t="n"/>
      <c r="AF678" s="152" t="n"/>
    </row>
    <row r="679" ht="15.75" customHeight="1" s="201">
      <c r="A679" s="37" t="n"/>
      <c r="B679" s="37" t="n"/>
      <c r="C679" s="37" t="n"/>
      <c r="D679" s="37" t="n"/>
      <c r="E679" s="37" t="n"/>
      <c r="F679" s="148" t="n"/>
      <c r="G679" s="148" t="n"/>
      <c r="H679" s="148" t="n"/>
      <c r="I679" s="148" t="n"/>
      <c r="J679" s="149" t="n"/>
      <c r="K679" s="37" t="n"/>
      <c r="L679" s="148" t="n"/>
      <c r="M679" s="148" t="n"/>
      <c r="N679" s="148" t="n"/>
      <c r="O679" s="148" t="n"/>
      <c r="P679" s="148" t="n"/>
      <c r="Q679" s="148" t="n"/>
      <c r="R679" s="148" t="n"/>
      <c r="S679" s="148" t="n"/>
      <c r="T679" s="150" t="n"/>
      <c r="U679" s="150" t="n"/>
      <c r="V679" s="37" t="n"/>
      <c r="W679" s="151" t="n"/>
      <c r="X679" s="151" t="n"/>
      <c r="Y679" s="151" t="n"/>
      <c r="Z679" s="151" t="n"/>
      <c r="AA679" s="151" t="n"/>
      <c r="AB679" s="152" t="n"/>
      <c r="AC679" s="152" t="n"/>
      <c r="AD679" s="152" t="n"/>
      <c r="AE679" s="152" t="n"/>
      <c r="AF679" s="152" t="n"/>
    </row>
    <row r="680" ht="15.75" customHeight="1" s="201">
      <c r="A680" s="37" t="n"/>
      <c r="B680" s="37" t="n"/>
      <c r="C680" s="37" t="n"/>
      <c r="D680" s="37" t="n"/>
      <c r="E680" s="37" t="n"/>
      <c r="F680" s="148" t="n"/>
      <c r="G680" s="148" t="n"/>
      <c r="H680" s="148" t="n"/>
      <c r="I680" s="148" t="n"/>
      <c r="J680" s="149" t="n"/>
      <c r="K680" s="37" t="n"/>
      <c r="L680" s="148" t="n"/>
      <c r="M680" s="148" t="n"/>
      <c r="N680" s="148" t="n"/>
      <c r="O680" s="148" t="n"/>
      <c r="P680" s="148" t="n"/>
      <c r="Q680" s="148" t="n"/>
      <c r="R680" s="148" t="n"/>
      <c r="S680" s="148" t="n"/>
      <c r="T680" s="150" t="n"/>
      <c r="U680" s="150" t="n"/>
      <c r="V680" s="37" t="n"/>
      <c r="W680" s="151" t="n"/>
      <c r="X680" s="151" t="n"/>
      <c r="Y680" s="151" t="n"/>
      <c r="Z680" s="151" t="n"/>
      <c r="AA680" s="151" t="n"/>
      <c r="AB680" s="152" t="n"/>
      <c r="AC680" s="152" t="n"/>
      <c r="AD680" s="152" t="n"/>
      <c r="AE680" s="152" t="n"/>
      <c r="AF680" s="152" t="n"/>
    </row>
    <row r="681" ht="15.75" customHeight="1" s="201">
      <c r="A681" s="37" t="n"/>
      <c r="B681" s="37" t="n"/>
      <c r="C681" s="37" t="n"/>
      <c r="D681" s="37" t="n"/>
      <c r="E681" s="37" t="n"/>
      <c r="F681" s="148" t="n"/>
      <c r="G681" s="148" t="n"/>
      <c r="H681" s="148" t="n"/>
      <c r="I681" s="148" t="n"/>
      <c r="J681" s="149" t="n"/>
      <c r="K681" s="37" t="n"/>
      <c r="L681" s="148" t="n"/>
      <c r="M681" s="148" t="n"/>
      <c r="N681" s="148" t="n"/>
      <c r="O681" s="148" t="n"/>
      <c r="P681" s="148" t="n"/>
      <c r="Q681" s="148" t="n"/>
      <c r="R681" s="148" t="n"/>
      <c r="S681" s="148" t="n"/>
      <c r="T681" s="150" t="n"/>
      <c r="U681" s="150" t="n"/>
      <c r="V681" s="37" t="n"/>
      <c r="W681" s="151" t="n"/>
      <c r="X681" s="151" t="n"/>
      <c r="Y681" s="151" t="n"/>
      <c r="Z681" s="151" t="n"/>
      <c r="AA681" s="151" t="n"/>
      <c r="AB681" s="152" t="n"/>
      <c r="AC681" s="152" t="n"/>
      <c r="AD681" s="152" t="n"/>
      <c r="AE681" s="152" t="n"/>
      <c r="AF681" s="152" t="n"/>
    </row>
    <row r="682" ht="15.75" customHeight="1" s="201">
      <c r="A682" s="37" t="n"/>
      <c r="B682" s="37" t="n"/>
      <c r="C682" s="37" t="n"/>
      <c r="D682" s="37" t="n"/>
      <c r="E682" s="37" t="n"/>
      <c r="F682" s="148" t="n"/>
      <c r="G682" s="148" t="n"/>
      <c r="H682" s="148" t="n"/>
      <c r="I682" s="148" t="n"/>
      <c r="J682" s="149" t="n"/>
      <c r="K682" s="37" t="n"/>
      <c r="L682" s="148" t="n"/>
      <c r="M682" s="148" t="n"/>
      <c r="N682" s="148" t="n"/>
      <c r="O682" s="148" t="n"/>
      <c r="P682" s="148" t="n"/>
      <c r="Q682" s="148" t="n"/>
      <c r="R682" s="148" t="n"/>
      <c r="S682" s="148" t="n"/>
      <c r="T682" s="150" t="n"/>
      <c r="U682" s="150" t="n"/>
      <c r="V682" s="37" t="n"/>
      <c r="W682" s="151" t="n"/>
      <c r="X682" s="151" t="n"/>
      <c r="Y682" s="151" t="n"/>
      <c r="Z682" s="151" t="n"/>
      <c r="AA682" s="151" t="n"/>
      <c r="AB682" s="152" t="n"/>
      <c r="AC682" s="152" t="n"/>
      <c r="AD682" s="152" t="n"/>
      <c r="AE682" s="152" t="n"/>
      <c r="AF682" s="152" t="n"/>
    </row>
    <row r="683" ht="15.75" customHeight="1" s="201">
      <c r="A683" s="37" t="n"/>
      <c r="B683" s="37" t="n"/>
      <c r="C683" s="37" t="n"/>
      <c r="D683" s="37" t="n"/>
      <c r="E683" s="37" t="n"/>
      <c r="F683" s="148" t="n"/>
      <c r="G683" s="148" t="n"/>
      <c r="H683" s="148" t="n"/>
      <c r="I683" s="148" t="n"/>
      <c r="J683" s="149" t="n"/>
      <c r="K683" s="37" t="n"/>
      <c r="L683" s="148" t="n"/>
      <c r="M683" s="148" t="n"/>
      <c r="N683" s="148" t="n"/>
      <c r="O683" s="148" t="n"/>
      <c r="P683" s="148" t="n"/>
      <c r="Q683" s="148" t="n"/>
      <c r="R683" s="148" t="n"/>
      <c r="S683" s="148" t="n"/>
      <c r="T683" s="150" t="n"/>
      <c r="U683" s="150" t="n"/>
      <c r="V683" s="37" t="n"/>
      <c r="W683" s="151" t="n"/>
      <c r="X683" s="151" t="n"/>
      <c r="Y683" s="151" t="n"/>
      <c r="Z683" s="151" t="n"/>
      <c r="AA683" s="151" t="n"/>
      <c r="AB683" s="152" t="n"/>
      <c r="AC683" s="152" t="n"/>
      <c r="AD683" s="152" t="n"/>
      <c r="AE683" s="152" t="n"/>
      <c r="AF683" s="152" t="n"/>
    </row>
    <row r="684" ht="15.75" customHeight="1" s="201">
      <c r="A684" s="37" t="n"/>
      <c r="B684" s="37" t="n"/>
      <c r="C684" s="37" t="n"/>
      <c r="D684" s="37" t="n"/>
      <c r="E684" s="37" t="n"/>
      <c r="F684" s="148" t="n"/>
      <c r="G684" s="148" t="n"/>
      <c r="H684" s="148" t="n"/>
      <c r="I684" s="148" t="n"/>
      <c r="J684" s="149" t="n"/>
      <c r="K684" s="37" t="n"/>
      <c r="L684" s="148" t="n"/>
      <c r="M684" s="148" t="n"/>
      <c r="N684" s="148" t="n"/>
      <c r="O684" s="148" t="n"/>
      <c r="P684" s="148" t="n"/>
      <c r="Q684" s="148" t="n"/>
      <c r="R684" s="148" t="n"/>
      <c r="S684" s="148" t="n"/>
      <c r="T684" s="150" t="n"/>
      <c r="U684" s="150" t="n"/>
      <c r="V684" s="37" t="n"/>
      <c r="W684" s="151" t="n"/>
      <c r="X684" s="151" t="n"/>
      <c r="Y684" s="151" t="n"/>
      <c r="Z684" s="151" t="n"/>
      <c r="AA684" s="151" t="n"/>
      <c r="AB684" s="152" t="n"/>
      <c r="AC684" s="152" t="n"/>
      <c r="AD684" s="152" t="n"/>
      <c r="AE684" s="152" t="n"/>
      <c r="AF684" s="152" t="n"/>
    </row>
    <row r="685" ht="15.75" customHeight="1" s="201">
      <c r="A685" s="37" t="n"/>
      <c r="B685" s="37" t="n"/>
      <c r="C685" s="37" t="n"/>
      <c r="D685" s="37" t="n"/>
      <c r="E685" s="37" t="n"/>
      <c r="F685" s="148" t="n"/>
      <c r="G685" s="148" t="n"/>
      <c r="H685" s="148" t="n"/>
      <c r="I685" s="148" t="n"/>
      <c r="J685" s="149" t="n"/>
      <c r="K685" s="37" t="n"/>
      <c r="L685" s="148" t="n"/>
      <c r="M685" s="148" t="n"/>
      <c r="N685" s="148" t="n"/>
      <c r="O685" s="148" t="n"/>
      <c r="P685" s="148" t="n"/>
      <c r="Q685" s="148" t="n"/>
      <c r="R685" s="148" t="n"/>
      <c r="S685" s="148" t="n"/>
      <c r="T685" s="150" t="n"/>
      <c r="U685" s="150" t="n"/>
      <c r="V685" s="37" t="n"/>
      <c r="W685" s="151" t="n"/>
      <c r="X685" s="151" t="n"/>
      <c r="Y685" s="151" t="n"/>
      <c r="Z685" s="151" t="n"/>
      <c r="AA685" s="151" t="n"/>
      <c r="AB685" s="152" t="n"/>
      <c r="AC685" s="152" t="n"/>
      <c r="AD685" s="152" t="n"/>
      <c r="AE685" s="152" t="n"/>
      <c r="AF685" s="152" t="n"/>
    </row>
    <row r="686" ht="15.75" customHeight="1" s="201">
      <c r="A686" s="37" t="n"/>
      <c r="B686" s="37" t="n"/>
      <c r="C686" s="37" t="n"/>
      <c r="D686" s="37" t="n"/>
      <c r="E686" s="37" t="n"/>
      <c r="F686" s="148" t="n"/>
      <c r="G686" s="148" t="n"/>
      <c r="H686" s="148" t="n"/>
      <c r="I686" s="148" t="n"/>
      <c r="J686" s="149" t="n"/>
      <c r="K686" s="37" t="n"/>
      <c r="L686" s="148" t="n"/>
      <c r="M686" s="148" t="n"/>
      <c r="N686" s="148" t="n"/>
      <c r="O686" s="148" t="n"/>
      <c r="P686" s="148" t="n"/>
      <c r="Q686" s="148" t="n"/>
      <c r="R686" s="148" t="n"/>
      <c r="S686" s="148" t="n"/>
      <c r="T686" s="150" t="n"/>
      <c r="U686" s="150" t="n"/>
      <c r="V686" s="37" t="n"/>
      <c r="W686" s="151" t="n"/>
      <c r="X686" s="151" t="n"/>
      <c r="Y686" s="151" t="n"/>
      <c r="Z686" s="151" t="n"/>
      <c r="AA686" s="151" t="n"/>
      <c r="AB686" s="152" t="n"/>
      <c r="AC686" s="152" t="n"/>
      <c r="AD686" s="152" t="n"/>
      <c r="AE686" s="152" t="n"/>
      <c r="AF686" s="152" t="n"/>
    </row>
    <row r="687" ht="15.75" customHeight="1" s="201">
      <c r="A687" s="37" t="n"/>
      <c r="B687" s="37" t="n"/>
      <c r="C687" s="37" t="n"/>
      <c r="D687" s="37" t="n"/>
      <c r="E687" s="37" t="n"/>
      <c r="F687" s="148" t="n"/>
      <c r="G687" s="148" t="n"/>
      <c r="H687" s="148" t="n"/>
      <c r="I687" s="148" t="n"/>
      <c r="J687" s="149" t="n"/>
      <c r="K687" s="37" t="n"/>
      <c r="L687" s="148" t="n"/>
      <c r="M687" s="148" t="n"/>
      <c r="N687" s="148" t="n"/>
      <c r="O687" s="148" t="n"/>
      <c r="P687" s="148" t="n"/>
      <c r="Q687" s="148" t="n"/>
      <c r="R687" s="148" t="n"/>
      <c r="S687" s="148" t="n"/>
      <c r="T687" s="150" t="n"/>
      <c r="U687" s="150" t="n"/>
      <c r="V687" s="37" t="n"/>
      <c r="W687" s="151" t="n"/>
      <c r="X687" s="151" t="n"/>
      <c r="Y687" s="151" t="n"/>
      <c r="Z687" s="151" t="n"/>
      <c r="AA687" s="151" t="n"/>
      <c r="AB687" s="152" t="n"/>
      <c r="AC687" s="152" t="n"/>
      <c r="AD687" s="152" t="n"/>
      <c r="AE687" s="152" t="n"/>
      <c r="AF687" s="152" t="n"/>
    </row>
    <row r="688" ht="15.75" customHeight="1" s="201">
      <c r="A688" s="37" t="n"/>
      <c r="B688" s="37" t="n"/>
      <c r="C688" s="37" t="n"/>
      <c r="D688" s="37" t="n"/>
      <c r="E688" s="37" t="n"/>
      <c r="F688" s="148" t="n"/>
      <c r="G688" s="148" t="n"/>
      <c r="H688" s="148" t="n"/>
      <c r="I688" s="148" t="n"/>
      <c r="J688" s="149" t="n"/>
      <c r="K688" s="37" t="n"/>
      <c r="L688" s="148" t="n"/>
      <c r="M688" s="148" t="n"/>
      <c r="N688" s="148" t="n"/>
      <c r="O688" s="148" t="n"/>
      <c r="P688" s="148" t="n"/>
      <c r="Q688" s="148" t="n"/>
      <c r="R688" s="148" t="n"/>
      <c r="S688" s="148" t="n"/>
      <c r="T688" s="150" t="n"/>
      <c r="U688" s="150" t="n"/>
      <c r="V688" s="37" t="n"/>
      <c r="W688" s="151" t="n"/>
      <c r="X688" s="151" t="n"/>
      <c r="Y688" s="151" t="n"/>
      <c r="Z688" s="151" t="n"/>
      <c r="AA688" s="151" t="n"/>
      <c r="AB688" s="152" t="n"/>
      <c r="AC688" s="152" t="n"/>
      <c r="AD688" s="152" t="n"/>
      <c r="AE688" s="152" t="n"/>
      <c r="AF688" s="152" t="n"/>
    </row>
    <row r="689" ht="15.75" customHeight="1" s="201">
      <c r="A689" s="37" t="n"/>
      <c r="B689" s="37" t="n"/>
      <c r="C689" s="37" t="n"/>
      <c r="D689" s="37" t="n"/>
      <c r="E689" s="37" t="n"/>
      <c r="F689" s="148" t="n"/>
      <c r="G689" s="148" t="n"/>
      <c r="H689" s="148" t="n"/>
      <c r="I689" s="148" t="n"/>
      <c r="J689" s="149" t="n"/>
      <c r="K689" s="37" t="n"/>
      <c r="L689" s="148" t="n"/>
      <c r="M689" s="148" t="n"/>
      <c r="N689" s="148" t="n"/>
      <c r="O689" s="148" t="n"/>
      <c r="P689" s="148" t="n"/>
      <c r="Q689" s="148" t="n"/>
      <c r="R689" s="148" t="n"/>
      <c r="S689" s="148" t="n"/>
      <c r="T689" s="150" t="n"/>
      <c r="U689" s="150" t="n"/>
      <c r="V689" s="37" t="n"/>
      <c r="W689" s="151" t="n"/>
      <c r="X689" s="151" t="n"/>
      <c r="Y689" s="151" t="n"/>
      <c r="Z689" s="151" t="n"/>
      <c r="AA689" s="151" t="n"/>
      <c r="AB689" s="152" t="n"/>
      <c r="AC689" s="152" t="n"/>
      <c r="AD689" s="152" t="n"/>
      <c r="AE689" s="152" t="n"/>
      <c r="AF689" s="152" t="n"/>
    </row>
    <row r="690" ht="15.75" customHeight="1" s="201">
      <c r="A690" s="37" t="n"/>
      <c r="B690" s="37" t="n"/>
      <c r="C690" s="37" t="n"/>
      <c r="D690" s="37" t="n"/>
      <c r="E690" s="37" t="n"/>
      <c r="F690" s="148" t="n"/>
      <c r="G690" s="148" t="n"/>
      <c r="H690" s="148" t="n"/>
      <c r="I690" s="148" t="n"/>
      <c r="J690" s="149" t="n"/>
      <c r="K690" s="37" t="n"/>
      <c r="L690" s="148" t="n"/>
      <c r="M690" s="148" t="n"/>
      <c r="N690" s="148" t="n"/>
      <c r="O690" s="148" t="n"/>
      <c r="P690" s="148" t="n"/>
      <c r="Q690" s="148" t="n"/>
      <c r="R690" s="148" t="n"/>
      <c r="S690" s="148" t="n"/>
      <c r="T690" s="150" t="n"/>
      <c r="U690" s="150" t="n"/>
      <c r="V690" s="37" t="n"/>
      <c r="W690" s="151" t="n"/>
      <c r="X690" s="151" t="n"/>
      <c r="Y690" s="151" t="n"/>
      <c r="Z690" s="151" t="n"/>
      <c r="AA690" s="151" t="n"/>
      <c r="AB690" s="152" t="n"/>
      <c r="AC690" s="152" t="n"/>
      <c r="AD690" s="152" t="n"/>
      <c r="AE690" s="152" t="n"/>
      <c r="AF690" s="152" t="n"/>
    </row>
    <row r="691" ht="15.75" customHeight="1" s="201">
      <c r="A691" s="37" t="n"/>
      <c r="B691" s="37" t="n"/>
      <c r="C691" s="37" t="n"/>
      <c r="D691" s="37" t="n"/>
      <c r="E691" s="37" t="n"/>
      <c r="F691" s="148" t="n"/>
      <c r="G691" s="148" t="n"/>
      <c r="H691" s="148" t="n"/>
      <c r="I691" s="148" t="n"/>
      <c r="J691" s="149" t="n"/>
      <c r="K691" s="37" t="n"/>
      <c r="L691" s="148" t="n"/>
      <c r="M691" s="148" t="n"/>
      <c r="N691" s="148" t="n"/>
      <c r="O691" s="148" t="n"/>
      <c r="P691" s="148" t="n"/>
      <c r="Q691" s="148" t="n"/>
      <c r="R691" s="148" t="n"/>
      <c r="S691" s="148" t="n"/>
      <c r="T691" s="150" t="n"/>
      <c r="U691" s="150" t="n"/>
      <c r="V691" s="37" t="n"/>
      <c r="W691" s="151" t="n"/>
      <c r="X691" s="151" t="n"/>
      <c r="Y691" s="151" t="n"/>
      <c r="Z691" s="151" t="n"/>
      <c r="AA691" s="151" t="n"/>
      <c r="AB691" s="152" t="n"/>
      <c r="AC691" s="152" t="n"/>
      <c r="AD691" s="152" t="n"/>
      <c r="AE691" s="152" t="n"/>
      <c r="AF691" s="152" t="n"/>
    </row>
    <row r="692" ht="15.75" customHeight="1" s="201">
      <c r="A692" s="37" t="n"/>
      <c r="B692" s="37" t="n"/>
      <c r="C692" s="37" t="n"/>
      <c r="D692" s="37" t="n"/>
      <c r="E692" s="37" t="n"/>
      <c r="F692" s="148" t="n"/>
      <c r="G692" s="148" t="n"/>
      <c r="H692" s="148" t="n"/>
      <c r="I692" s="148" t="n"/>
      <c r="J692" s="149" t="n"/>
      <c r="K692" s="37" t="n"/>
      <c r="L692" s="148" t="n"/>
      <c r="M692" s="148" t="n"/>
      <c r="N692" s="148" t="n"/>
      <c r="O692" s="148" t="n"/>
      <c r="P692" s="148" t="n"/>
      <c r="Q692" s="148" t="n"/>
      <c r="R692" s="148" t="n"/>
      <c r="S692" s="148" t="n"/>
      <c r="T692" s="150" t="n"/>
      <c r="U692" s="150" t="n"/>
      <c r="V692" s="37" t="n"/>
      <c r="W692" s="151" t="n"/>
      <c r="X692" s="151" t="n"/>
      <c r="Y692" s="151" t="n"/>
      <c r="Z692" s="151" t="n"/>
      <c r="AA692" s="151" t="n"/>
      <c r="AB692" s="152" t="n"/>
      <c r="AC692" s="152" t="n"/>
      <c r="AD692" s="152" t="n"/>
      <c r="AE692" s="152" t="n"/>
      <c r="AF692" s="152" t="n"/>
    </row>
    <row r="693" ht="15.75" customHeight="1" s="201">
      <c r="A693" s="37" t="n"/>
      <c r="B693" s="37" t="n"/>
      <c r="C693" s="37" t="n"/>
      <c r="D693" s="37" t="n"/>
      <c r="E693" s="37" t="n"/>
      <c r="F693" s="148" t="n"/>
      <c r="G693" s="148" t="n"/>
      <c r="H693" s="148" t="n"/>
      <c r="I693" s="148" t="n"/>
      <c r="J693" s="149" t="n"/>
      <c r="K693" s="37" t="n"/>
      <c r="L693" s="148" t="n"/>
      <c r="M693" s="148" t="n"/>
      <c r="N693" s="148" t="n"/>
      <c r="O693" s="148" t="n"/>
      <c r="P693" s="148" t="n"/>
      <c r="Q693" s="148" t="n"/>
      <c r="R693" s="148" t="n"/>
      <c r="S693" s="148" t="n"/>
      <c r="T693" s="150" t="n"/>
      <c r="U693" s="150" t="n"/>
      <c r="V693" s="37" t="n"/>
      <c r="W693" s="151" t="n"/>
      <c r="X693" s="151" t="n"/>
      <c r="Y693" s="151" t="n"/>
      <c r="Z693" s="151" t="n"/>
      <c r="AA693" s="151" t="n"/>
      <c r="AB693" s="152" t="n"/>
      <c r="AC693" s="152" t="n"/>
      <c r="AD693" s="152" t="n"/>
      <c r="AE693" s="152" t="n"/>
      <c r="AF693" s="152" t="n"/>
    </row>
    <row r="694" ht="15.75" customHeight="1" s="201">
      <c r="A694" s="37" t="n"/>
      <c r="B694" s="37" t="n"/>
      <c r="C694" s="37" t="n"/>
      <c r="D694" s="37" t="n"/>
      <c r="E694" s="37" t="n"/>
      <c r="F694" s="148" t="n"/>
      <c r="G694" s="148" t="n"/>
      <c r="H694" s="148" t="n"/>
      <c r="I694" s="148" t="n"/>
      <c r="J694" s="149" t="n"/>
      <c r="K694" s="37" t="n"/>
      <c r="L694" s="148" t="n"/>
      <c r="M694" s="148" t="n"/>
      <c r="N694" s="148" t="n"/>
      <c r="O694" s="148" t="n"/>
      <c r="P694" s="148" t="n"/>
      <c r="Q694" s="148" t="n"/>
      <c r="R694" s="148" t="n"/>
      <c r="S694" s="148" t="n"/>
      <c r="T694" s="150" t="n"/>
      <c r="U694" s="150" t="n"/>
      <c r="V694" s="37" t="n"/>
      <c r="W694" s="151" t="n"/>
      <c r="X694" s="151" t="n"/>
      <c r="Y694" s="151" t="n"/>
      <c r="Z694" s="151" t="n"/>
      <c r="AA694" s="151" t="n"/>
      <c r="AB694" s="152" t="n"/>
      <c r="AC694" s="152" t="n"/>
      <c r="AD694" s="152" t="n"/>
      <c r="AE694" s="152" t="n"/>
      <c r="AF694" s="152" t="n"/>
    </row>
    <row r="695" ht="15.75" customHeight="1" s="201">
      <c r="A695" s="37" t="n"/>
      <c r="B695" s="37" t="n"/>
      <c r="C695" s="37" t="n"/>
      <c r="D695" s="37" t="n"/>
      <c r="E695" s="37" t="n"/>
      <c r="F695" s="148" t="n"/>
      <c r="G695" s="148" t="n"/>
      <c r="H695" s="148" t="n"/>
      <c r="I695" s="148" t="n"/>
      <c r="J695" s="149" t="n"/>
      <c r="K695" s="37" t="n"/>
      <c r="L695" s="148" t="n"/>
      <c r="M695" s="148" t="n"/>
      <c r="N695" s="148" t="n"/>
      <c r="O695" s="148" t="n"/>
      <c r="P695" s="148" t="n"/>
      <c r="Q695" s="148" t="n"/>
      <c r="R695" s="148" t="n"/>
      <c r="S695" s="148" t="n"/>
      <c r="T695" s="150" t="n"/>
      <c r="U695" s="150" t="n"/>
      <c r="V695" s="37" t="n"/>
      <c r="W695" s="151" t="n"/>
      <c r="X695" s="151" t="n"/>
      <c r="Y695" s="151" t="n"/>
      <c r="Z695" s="151" t="n"/>
      <c r="AA695" s="151" t="n"/>
      <c r="AB695" s="152" t="n"/>
      <c r="AC695" s="152" t="n"/>
      <c r="AD695" s="152" t="n"/>
      <c r="AE695" s="152" t="n"/>
      <c r="AF695" s="152" t="n"/>
    </row>
    <row r="696" ht="15.75" customHeight="1" s="201">
      <c r="A696" s="37" t="n"/>
      <c r="B696" s="37" t="n"/>
      <c r="C696" s="37" t="n"/>
      <c r="D696" s="37" t="n"/>
      <c r="E696" s="37" t="n"/>
      <c r="F696" s="148" t="n"/>
      <c r="G696" s="148" t="n"/>
      <c r="H696" s="148" t="n"/>
      <c r="I696" s="148" t="n"/>
      <c r="J696" s="149" t="n"/>
      <c r="K696" s="37" t="n"/>
      <c r="L696" s="148" t="n"/>
      <c r="M696" s="148" t="n"/>
      <c r="N696" s="148" t="n"/>
      <c r="O696" s="148" t="n"/>
      <c r="P696" s="148" t="n"/>
      <c r="Q696" s="148" t="n"/>
      <c r="R696" s="148" t="n"/>
      <c r="S696" s="148" t="n"/>
      <c r="T696" s="150" t="n"/>
      <c r="U696" s="150" t="n"/>
      <c r="V696" s="37" t="n"/>
      <c r="W696" s="151" t="n"/>
      <c r="X696" s="151" t="n"/>
      <c r="Y696" s="151" t="n"/>
      <c r="Z696" s="151" t="n"/>
      <c r="AA696" s="151" t="n"/>
      <c r="AB696" s="152" t="n"/>
      <c r="AC696" s="152" t="n"/>
      <c r="AD696" s="152" t="n"/>
      <c r="AE696" s="152" t="n"/>
      <c r="AF696" s="152" t="n"/>
    </row>
    <row r="697" ht="15.75" customHeight="1" s="201">
      <c r="A697" s="37" t="n"/>
      <c r="B697" s="37" t="n"/>
      <c r="C697" s="37" t="n"/>
      <c r="D697" s="37" t="n"/>
      <c r="E697" s="37" t="n"/>
      <c r="F697" s="148" t="n"/>
      <c r="G697" s="148" t="n"/>
      <c r="H697" s="148" t="n"/>
      <c r="I697" s="148" t="n"/>
      <c r="J697" s="149" t="n"/>
      <c r="K697" s="37" t="n"/>
      <c r="L697" s="148" t="n"/>
      <c r="M697" s="148" t="n"/>
      <c r="N697" s="148" t="n"/>
      <c r="O697" s="148" t="n"/>
      <c r="P697" s="148" t="n"/>
      <c r="Q697" s="148" t="n"/>
      <c r="R697" s="148" t="n"/>
      <c r="S697" s="148" t="n"/>
      <c r="T697" s="150" t="n"/>
      <c r="U697" s="150" t="n"/>
      <c r="V697" s="37" t="n"/>
      <c r="W697" s="151" t="n"/>
      <c r="X697" s="151" t="n"/>
      <c r="Y697" s="151" t="n"/>
      <c r="Z697" s="151" t="n"/>
      <c r="AA697" s="151" t="n"/>
      <c r="AB697" s="152" t="n"/>
      <c r="AC697" s="152" t="n"/>
      <c r="AD697" s="152" t="n"/>
      <c r="AE697" s="152" t="n"/>
      <c r="AF697" s="152" t="n"/>
    </row>
    <row r="698" ht="15.75" customHeight="1" s="201">
      <c r="A698" s="37" t="n"/>
      <c r="B698" s="37" t="n"/>
      <c r="C698" s="37" t="n"/>
      <c r="D698" s="37" t="n"/>
      <c r="E698" s="37" t="n"/>
      <c r="F698" s="148" t="n"/>
      <c r="G698" s="148" t="n"/>
      <c r="H698" s="148" t="n"/>
      <c r="I698" s="148" t="n"/>
      <c r="J698" s="149" t="n"/>
      <c r="K698" s="37" t="n"/>
      <c r="L698" s="148" t="n"/>
      <c r="M698" s="148" t="n"/>
      <c r="N698" s="148" t="n"/>
      <c r="O698" s="148" t="n"/>
      <c r="P698" s="148" t="n"/>
      <c r="Q698" s="148" t="n"/>
      <c r="R698" s="148" t="n"/>
      <c r="S698" s="148" t="n"/>
      <c r="T698" s="150" t="n"/>
      <c r="U698" s="150" t="n"/>
      <c r="V698" s="37" t="n"/>
      <c r="W698" s="151" t="n"/>
      <c r="X698" s="151" t="n"/>
      <c r="Y698" s="151" t="n"/>
      <c r="Z698" s="151" t="n"/>
      <c r="AA698" s="151" t="n"/>
      <c r="AB698" s="152" t="n"/>
      <c r="AC698" s="152" t="n"/>
      <c r="AD698" s="152" t="n"/>
      <c r="AE698" s="152" t="n"/>
      <c r="AF698" s="152" t="n"/>
    </row>
    <row r="699" ht="15.75" customHeight="1" s="201">
      <c r="A699" s="37" t="n"/>
      <c r="B699" s="37" t="n"/>
      <c r="C699" s="37" t="n"/>
      <c r="D699" s="37" t="n"/>
      <c r="E699" s="37" t="n"/>
      <c r="F699" s="148" t="n"/>
      <c r="G699" s="148" t="n"/>
      <c r="H699" s="148" t="n"/>
      <c r="I699" s="148" t="n"/>
      <c r="J699" s="149" t="n"/>
      <c r="K699" s="37" t="n"/>
      <c r="L699" s="148" t="n"/>
      <c r="M699" s="148" t="n"/>
      <c r="N699" s="148" t="n"/>
      <c r="O699" s="148" t="n"/>
      <c r="P699" s="148" t="n"/>
      <c r="Q699" s="148" t="n"/>
      <c r="R699" s="148" t="n"/>
      <c r="S699" s="148" t="n"/>
      <c r="T699" s="150" t="n"/>
      <c r="U699" s="150" t="n"/>
      <c r="V699" s="37" t="n"/>
      <c r="W699" s="151" t="n"/>
      <c r="X699" s="151" t="n"/>
      <c r="Y699" s="151" t="n"/>
      <c r="Z699" s="151" t="n"/>
      <c r="AA699" s="151" t="n"/>
      <c r="AB699" s="152" t="n"/>
      <c r="AC699" s="152" t="n"/>
      <c r="AD699" s="152" t="n"/>
      <c r="AE699" s="152" t="n"/>
      <c r="AF699" s="152" t="n"/>
    </row>
    <row r="700" ht="15.75" customHeight="1" s="201">
      <c r="A700" s="37" t="n"/>
      <c r="B700" s="37" t="n"/>
      <c r="C700" s="37" t="n"/>
      <c r="D700" s="37" t="n"/>
      <c r="E700" s="37" t="n"/>
      <c r="F700" s="148" t="n"/>
      <c r="G700" s="148" t="n"/>
      <c r="H700" s="148" t="n"/>
      <c r="I700" s="148" t="n"/>
      <c r="J700" s="149" t="n"/>
      <c r="K700" s="37" t="n"/>
      <c r="L700" s="148" t="n"/>
      <c r="M700" s="148" t="n"/>
      <c r="N700" s="148" t="n"/>
      <c r="O700" s="148" t="n"/>
      <c r="P700" s="148" t="n"/>
      <c r="Q700" s="148" t="n"/>
      <c r="R700" s="148" t="n"/>
      <c r="S700" s="148" t="n"/>
      <c r="T700" s="150" t="n"/>
      <c r="U700" s="150" t="n"/>
      <c r="V700" s="37" t="n"/>
      <c r="W700" s="151" t="n"/>
      <c r="X700" s="151" t="n"/>
      <c r="Y700" s="151" t="n"/>
      <c r="Z700" s="151" t="n"/>
      <c r="AA700" s="151" t="n"/>
      <c r="AB700" s="152" t="n"/>
      <c r="AC700" s="152" t="n"/>
      <c r="AD700" s="152" t="n"/>
      <c r="AE700" s="152" t="n"/>
      <c r="AF700" s="152" t="n"/>
    </row>
    <row r="701" ht="15.75" customHeight="1" s="201">
      <c r="A701" s="37" t="n"/>
      <c r="B701" s="37" t="n"/>
      <c r="C701" s="37" t="n"/>
      <c r="D701" s="37" t="n"/>
      <c r="E701" s="37" t="n"/>
      <c r="F701" s="148" t="n"/>
      <c r="G701" s="148" t="n"/>
      <c r="H701" s="148" t="n"/>
      <c r="I701" s="148" t="n"/>
      <c r="J701" s="149" t="n"/>
      <c r="K701" s="37" t="n"/>
      <c r="L701" s="148" t="n"/>
      <c r="M701" s="148" t="n"/>
      <c r="N701" s="148" t="n"/>
      <c r="O701" s="148" t="n"/>
      <c r="P701" s="148" t="n"/>
      <c r="Q701" s="148" t="n"/>
      <c r="R701" s="148" t="n"/>
      <c r="S701" s="148" t="n"/>
      <c r="T701" s="150" t="n"/>
      <c r="U701" s="150" t="n"/>
      <c r="V701" s="37" t="n"/>
      <c r="W701" s="151" t="n"/>
      <c r="X701" s="151" t="n"/>
      <c r="Y701" s="151" t="n"/>
      <c r="Z701" s="151" t="n"/>
      <c r="AA701" s="151" t="n"/>
      <c r="AB701" s="152" t="n"/>
      <c r="AC701" s="152" t="n"/>
      <c r="AD701" s="152" t="n"/>
      <c r="AE701" s="152" t="n"/>
      <c r="AF701" s="152" t="n"/>
    </row>
    <row r="702" ht="15.75" customHeight="1" s="201">
      <c r="A702" s="37" t="n"/>
      <c r="B702" s="37" t="n"/>
      <c r="C702" s="37" t="n"/>
      <c r="D702" s="37" t="n"/>
      <c r="E702" s="37" t="n"/>
      <c r="F702" s="148" t="n"/>
      <c r="G702" s="148" t="n"/>
      <c r="H702" s="148" t="n"/>
      <c r="I702" s="148" t="n"/>
      <c r="J702" s="149" t="n"/>
      <c r="K702" s="37" t="n"/>
      <c r="L702" s="148" t="n"/>
      <c r="M702" s="148" t="n"/>
      <c r="N702" s="148" t="n"/>
      <c r="O702" s="148" t="n"/>
      <c r="P702" s="148" t="n"/>
      <c r="Q702" s="148" t="n"/>
      <c r="R702" s="148" t="n"/>
      <c r="S702" s="148" t="n"/>
      <c r="T702" s="150" t="n"/>
      <c r="U702" s="150" t="n"/>
      <c r="V702" s="37" t="n"/>
      <c r="W702" s="151" t="n"/>
      <c r="X702" s="151" t="n"/>
      <c r="Y702" s="151" t="n"/>
      <c r="Z702" s="151" t="n"/>
      <c r="AA702" s="151" t="n"/>
      <c r="AB702" s="152" t="n"/>
      <c r="AC702" s="152" t="n"/>
      <c r="AD702" s="152" t="n"/>
      <c r="AE702" s="152" t="n"/>
      <c r="AF702" s="152" t="n"/>
    </row>
    <row r="703" ht="15.75" customHeight="1" s="201">
      <c r="A703" s="37" t="n"/>
      <c r="B703" s="37" t="n"/>
      <c r="C703" s="37" t="n"/>
      <c r="D703" s="37" t="n"/>
      <c r="E703" s="37" t="n"/>
      <c r="F703" s="148" t="n"/>
      <c r="G703" s="148" t="n"/>
      <c r="H703" s="148" t="n"/>
      <c r="I703" s="148" t="n"/>
      <c r="J703" s="149" t="n"/>
      <c r="K703" s="37" t="n"/>
      <c r="L703" s="148" t="n"/>
      <c r="M703" s="148" t="n"/>
      <c r="N703" s="148" t="n"/>
      <c r="O703" s="148" t="n"/>
      <c r="P703" s="148" t="n"/>
      <c r="Q703" s="148" t="n"/>
      <c r="R703" s="148" t="n"/>
      <c r="S703" s="148" t="n"/>
      <c r="T703" s="150" t="n"/>
      <c r="U703" s="150" t="n"/>
      <c r="V703" s="37" t="n"/>
      <c r="W703" s="151" t="n"/>
      <c r="X703" s="151" t="n"/>
      <c r="Y703" s="151" t="n"/>
      <c r="Z703" s="151" t="n"/>
      <c r="AA703" s="151" t="n"/>
      <c r="AB703" s="152" t="n"/>
      <c r="AC703" s="152" t="n"/>
      <c r="AD703" s="152" t="n"/>
      <c r="AE703" s="152" t="n"/>
      <c r="AF703" s="152" t="n"/>
    </row>
    <row r="704" ht="15.75" customHeight="1" s="201">
      <c r="A704" s="37" t="n"/>
      <c r="B704" s="37" t="n"/>
      <c r="C704" s="37" t="n"/>
      <c r="D704" s="37" t="n"/>
      <c r="E704" s="37" t="n"/>
      <c r="F704" s="148" t="n"/>
      <c r="G704" s="148" t="n"/>
      <c r="H704" s="148" t="n"/>
      <c r="I704" s="148" t="n"/>
      <c r="J704" s="149" t="n"/>
      <c r="K704" s="37" t="n"/>
      <c r="L704" s="148" t="n"/>
      <c r="M704" s="148" t="n"/>
      <c r="N704" s="148" t="n"/>
      <c r="O704" s="148" t="n"/>
      <c r="P704" s="148" t="n"/>
      <c r="Q704" s="148" t="n"/>
      <c r="R704" s="148" t="n"/>
      <c r="S704" s="148" t="n"/>
      <c r="T704" s="150" t="n"/>
      <c r="U704" s="150" t="n"/>
      <c r="V704" s="37" t="n"/>
      <c r="W704" s="151" t="n"/>
      <c r="X704" s="151" t="n"/>
      <c r="Y704" s="151" t="n"/>
      <c r="Z704" s="151" t="n"/>
      <c r="AA704" s="151" t="n"/>
      <c r="AB704" s="152" t="n"/>
      <c r="AC704" s="152" t="n"/>
      <c r="AD704" s="152" t="n"/>
      <c r="AE704" s="152" t="n"/>
      <c r="AF704" s="152" t="n"/>
    </row>
    <row r="705" ht="15.75" customHeight="1" s="201">
      <c r="A705" s="37" t="n"/>
      <c r="B705" s="37" t="n"/>
      <c r="C705" s="37" t="n"/>
      <c r="D705" s="37" t="n"/>
      <c r="E705" s="37" t="n"/>
      <c r="F705" s="148" t="n"/>
      <c r="G705" s="148" t="n"/>
      <c r="H705" s="148" t="n"/>
      <c r="I705" s="148" t="n"/>
      <c r="J705" s="149" t="n"/>
      <c r="K705" s="37" t="n"/>
      <c r="L705" s="148" t="n"/>
      <c r="M705" s="148" t="n"/>
      <c r="N705" s="148" t="n"/>
      <c r="O705" s="148" t="n"/>
      <c r="P705" s="148" t="n"/>
      <c r="Q705" s="148" t="n"/>
      <c r="R705" s="148" t="n"/>
      <c r="S705" s="148" t="n"/>
      <c r="T705" s="150" t="n"/>
      <c r="U705" s="150" t="n"/>
      <c r="V705" s="37" t="n"/>
      <c r="W705" s="151" t="n"/>
      <c r="X705" s="151" t="n"/>
      <c r="Y705" s="151" t="n"/>
      <c r="Z705" s="151" t="n"/>
      <c r="AA705" s="151" t="n"/>
      <c r="AB705" s="152" t="n"/>
      <c r="AC705" s="152" t="n"/>
      <c r="AD705" s="152" t="n"/>
      <c r="AE705" s="152" t="n"/>
      <c r="AF705" s="152" t="n"/>
    </row>
    <row r="706" ht="15.75" customHeight="1" s="201">
      <c r="A706" s="37" t="n"/>
      <c r="B706" s="37" t="n"/>
      <c r="C706" s="37" t="n"/>
      <c r="D706" s="37" t="n"/>
      <c r="E706" s="37" t="n"/>
      <c r="F706" s="148" t="n"/>
      <c r="G706" s="148" t="n"/>
      <c r="H706" s="148" t="n"/>
      <c r="I706" s="148" t="n"/>
      <c r="J706" s="149" t="n"/>
      <c r="K706" s="37" t="n"/>
      <c r="L706" s="148" t="n"/>
      <c r="M706" s="148" t="n"/>
      <c r="N706" s="148" t="n"/>
      <c r="O706" s="148" t="n"/>
      <c r="P706" s="148" t="n"/>
      <c r="Q706" s="148" t="n"/>
      <c r="R706" s="148" t="n"/>
      <c r="S706" s="148" t="n"/>
      <c r="T706" s="150" t="n"/>
      <c r="U706" s="150" t="n"/>
      <c r="V706" s="37" t="n"/>
      <c r="W706" s="151" t="n"/>
      <c r="X706" s="151" t="n"/>
      <c r="Y706" s="151" t="n"/>
      <c r="Z706" s="151" t="n"/>
      <c r="AA706" s="151" t="n"/>
      <c r="AB706" s="152" t="n"/>
      <c r="AC706" s="152" t="n"/>
      <c r="AD706" s="152" t="n"/>
      <c r="AE706" s="152" t="n"/>
      <c r="AF706" s="152" t="n"/>
    </row>
    <row r="707" ht="15.75" customHeight="1" s="201">
      <c r="A707" s="37" t="n"/>
      <c r="B707" s="37" t="n"/>
      <c r="C707" s="37" t="n"/>
      <c r="D707" s="37" t="n"/>
      <c r="E707" s="37" t="n"/>
      <c r="F707" s="148" t="n"/>
      <c r="G707" s="148" t="n"/>
      <c r="H707" s="148" t="n"/>
      <c r="I707" s="148" t="n"/>
      <c r="J707" s="149" t="n"/>
      <c r="K707" s="37" t="n"/>
      <c r="L707" s="148" t="n"/>
      <c r="M707" s="148" t="n"/>
      <c r="N707" s="148" t="n"/>
      <c r="O707" s="148" t="n"/>
      <c r="P707" s="148" t="n"/>
      <c r="Q707" s="148" t="n"/>
      <c r="R707" s="148" t="n"/>
      <c r="S707" s="148" t="n"/>
      <c r="T707" s="150" t="n"/>
      <c r="U707" s="150" t="n"/>
      <c r="V707" s="37" t="n"/>
      <c r="W707" s="151" t="n"/>
      <c r="X707" s="151" t="n"/>
      <c r="Y707" s="151" t="n"/>
      <c r="Z707" s="151" t="n"/>
      <c r="AA707" s="151" t="n"/>
      <c r="AB707" s="152" t="n"/>
      <c r="AC707" s="152" t="n"/>
      <c r="AD707" s="152" t="n"/>
      <c r="AE707" s="152" t="n"/>
      <c r="AF707" s="152" t="n"/>
    </row>
    <row r="708" ht="15.75" customHeight="1" s="201">
      <c r="A708" s="37" t="n"/>
      <c r="B708" s="37" t="n"/>
      <c r="C708" s="37" t="n"/>
      <c r="D708" s="37" t="n"/>
      <c r="E708" s="37" t="n"/>
      <c r="F708" s="148" t="n"/>
      <c r="G708" s="148" t="n"/>
      <c r="H708" s="148" t="n"/>
      <c r="I708" s="148" t="n"/>
      <c r="J708" s="149" t="n"/>
      <c r="K708" s="37" t="n"/>
      <c r="L708" s="148" t="n"/>
      <c r="M708" s="148" t="n"/>
      <c r="N708" s="148" t="n"/>
      <c r="O708" s="148" t="n"/>
      <c r="P708" s="148" t="n"/>
      <c r="Q708" s="148" t="n"/>
      <c r="R708" s="148" t="n"/>
      <c r="S708" s="148" t="n"/>
      <c r="T708" s="150" t="n"/>
      <c r="U708" s="150" t="n"/>
      <c r="V708" s="37" t="n"/>
      <c r="W708" s="151" t="n"/>
      <c r="X708" s="151" t="n"/>
      <c r="Y708" s="151" t="n"/>
      <c r="Z708" s="151" t="n"/>
      <c r="AA708" s="151" t="n"/>
      <c r="AB708" s="152" t="n"/>
      <c r="AC708" s="152" t="n"/>
      <c r="AD708" s="152" t="n"/>
      <c r="AE708" s="152" t="n"/>
      <c r="AF708" s="152" t="n"/>
    </row>
    <row r="709" ht="15.75" customHeight="1" s="201">
      <c r="A709" s="37" t="n"/>
      <c r="B709" s="37" t="n"/>
      <c r="C709" s="37" t="n"/>
      <c r="D709" s="37" t="n"/>
      <c r="E709" s="37" t="n"/>
      <c r="F709" s="148" t="n"/>
      <c r="G709" s="148" t="n"/>
      <c r="H709" s="148" t="n"/>
      <c r="I709" s="148" t="n"/>
      <c r="J709" s="149" t="n"/>
      <c r="K709" s="37" t="n"/>
      <c r="L709" s="148" t="n"/>
      <c r="M709" s="148" t="n"/>
      <c r="N709" s="148" t="n"/>
      <c r="O709" s="148" t="n"/>
      <c r="P709" s="148" t="n"/>
      <c r="Q709" s="148" t="n"/>
      <c r="R709" s="148" t="n"/>
      <c r="S709" s="148" t="n"/>
      <c r="T709" s="150" t="n"/>
      <c r="U709" s="150" t="n"/>
      <c r="V709" s="37" t="n"/>
      <c r="W709" s="151" t="n"/>
      <c r="X709" s="151" t="n"/>
      <c r="Y709" s="151" t="n"/>
      <c r="Z709" s="151" t="n"/>
      <c r="AA709" s="151" t="n"/>
      <c r="AB709" s="152" t="n"/>
      <c r="AC709" s="152" t="n"/>
      <c r="AD709" s="152" t="n"/>
      <c r="AE709" s="152" t="n"/>
      <c r="AF709" s="152" t="n"/>
    </row>
    <row r="710" ht="15.75" customHeight="1" s="201">
      <c r="A710" s="37" t="n"/>
      <c r="B710" s="37" t="n"/>
      <c r="C710" s="37" t="n"/>
      <c r="D710" s="37" t="n"/>
      <c r="E710" s="37" t="n"/>
      <c r="F710" s="148" t="n"/>
      <c r="G710" s="148" t="n"/>
      <c r="H710" s="148" t="n"/>
      <c r="I710" s="148" t="n"/>
      <c r="J710" s="149" t="n"/>
      <c r="K710" s="37" t="n"/>
      <c r="L710" s="148" t="n"/>
      <c r="M710" s="148" t="n"/>
      <c r="N710" s="148" t="n"/>
      <c r="O710" s="148" t="n"/>
      <c r="P710" s="148" t="n"/>
      <c r="Q710" s="148" t="n"/>
      <c r="R710" s="148" t="n"/>
      <c r="S710" s="148" t="n"/>
      <c r="T710" s="150" t="n"/>
      <c r="U710" s="150" t="n"/>
      <c r="V710" s="37" t="n"/>
      <c r="W710" s="151" t="n"/>
      <c r="X710" s="151" t="n"/>
      <c r="Y710" s="151" t="n"/>
      <c r="Z710" s="151" t="n"/>
      <c r="AA710" s="151" t="n"/>
      <c r="AB710" s="152" t="n"/>
      <c r="AC710" s="152" t="n"/>
      <c r="AD710" s="152" t="n"/>
      <c r="AE710" s="152" t="n"/>
      <c r="AF710" s="152" t="n"/>
    </row>
    <row r="711" ht="15.75" customHeight="1" s="201">
      <c r="A711" s="37" t="n"/>
      <c r="B711" s="37" t="n"/>
      <c r="C711" s="37" t="n"/>
      <c r="D711" s="37" t="n"/>
      <c r="E711" s="37" t="n"/>
      <c r="F711" s="148" t="n"/>
      <c r="G711" s="148" t="n"/>
      <c r="H711" s="148" t="n"/>
      <c r="I711" s="148" t="n"/>
      <c r="J711" s="149" t="n"/>
      <c r="K711" s="37" t="n"/>
      <c r="L711" s="148" t="n"/>
      <c r="M711" s="148" t="n"/>
      <c r="N711" s="148" t="n"/>
      <c r="O711" s="148" t="n"/>
      <c r="P711" s="148" t="n"/>
      <c r="Q711" s="148" t="n"/>
      <c r="R711" s="148" t="n"/>
      <c r="S711" s="148" t="n"/>
      <c r="T711" s="150" t="n"/>
      <c r="U711" s="150" t="n"/>
      <c r="V711" s="37" t="n"/>
      <c r="W711" s="151" t="n"/>
      <c r="X711" s="151" t="n"/>
      <c r="Y711" s="151" t="n"/>
      <c r="Z711" s="151" t="n"/>
      <c r="AA711" s="151" t="n"/>
      <c r="AB711" s="152" t="n"/>
      <c r="AC711" s="152" t="n"/>
      <c r="AD711" s="152" t="n"/>
      <c r="AE711" s="152" t="n"/>
      <c r="AF711" s="152" t="n"/>
    </row>
    <row r="712" ht="15.75" customHeight="1" s="201">
      <c r="A712" s="37" t="n"/>
      <c r="B712" s="37" t="n"/>
      <c r="C712" s="37" t="n"/>
      <c r="D712" s="37" t="n"/>
      <c r="E712" s="37" t="n"/>
      <c r="F712" s="148" t="n"/>
      <c r="G712" s="148" t="n"/>
      <c r="H712" s="148" t="n"/>
      <c r="I712" s="148" t="n"/>
      <c r="J712" s="149" t="n"/>
      <c r="K712" s="37" t="n"/>
      <c r="L712" s="148" t="n"/>
      <c r="M712" s="148" t="n"/>
      <c r="N712" s="148" t="n"/>
      <c r="O712" s="148" t="n"/>
      <c r="P712" s="148" t="n"/>
      <c r="Q712" s="148" t="n"/>
      <c r="R712" s="148" t="n"/>
      <c r="S712" s="148" t="n"/>
      <c r="T712" s="150" t="n"/>
      <c r="U712" s="150" t="n"/>
      <c r="V712" s="37" t="n"/>
      <c r="W712" s="151" t="n"/>
      <c r="X712" s="151" t="n"/>
      <c r="Y712" s="151" t="n"/>
      <c r="Z712" s="151" t="n"/>
      <c r="AA712" s="151" t="n"/>
      <c r="AB712" s="152" t="n"/>
      <c r="AC712" s="152" t="n"/>
      <c r="AD712" s="152" t="n"/>
      <c r="AE712" s="152" t="n"/>
      <c r="AF712" s="152" t="n"/>
    </row>
    <row r="713" ht="15.75" customHeight="1" s="201">
      <c r="A713" s="37" t="n"/>
      <c r="B713" s="37" t="n"/>
      <c r="C713" s="37" t="n"/>
      <c r="D713" s="37" t="n"/>
      <c r="E713" s="37" t="n"/>
      <c r="F713" s="148" t="n"/>
      <c r="G713" s="148" t="n"/>
      <c r="H713" s="148" t="n"/>
      <c r="I713" s="148" t="n"/>
      <c r="J713" s="149" t="n"/>
      <c r="K713" s="37" t="n"/>
      <c r="L713" s="148" t="n"/>
      <c r="M713" s="148" t="n"/>
      <c r="N713" s="148" t="n"/>
      <c r="O713" s="148" t="n"/>
      <c r="P713" s="148" t="n"/>
      <c r="Q713" s="148" t="n"/>
      <c r="R713" s="148" t="n"/>
      <c r="S713" s="148" t="n"/>
      <c r="T713" s="150" t="n"/>
      <c r="U713" s="150" t="n"/>
      <c r="V713" s="37" t="n"/>
      <c r="W713" s="151" t="n"/>
      <c r="X713" s="151" t="n"/>
      <c r="Y713" s="151" t="n"/>
      <c r="Z713" s="151" t="n"/>
      <c r="AA713" s="151" t="n"/>
      <c r="AB713" s="152" t="n"/>
      <c r="AC713" s="152" t="n"/>
      <c r="AD713" s="152" t="n"/>
      <c r="AE713" s="152" t="n"/>
      <c r="AF713" s="152" t="n"/>
    </row>
    <row r="714" ht="15.75" customHeight="1" s="201">
      <c r="A714" s="37" t="n"/>
      <c r="B714" s="37" t="n"/>
      <c r="C714" s="37" t="n"/>
      <c r="D714" s="37" t="n"/>
      <c r="E714" s="37" t="n"/>
      <c r="F714" s="148" t="n"/>
      <c r="G714" s="148" t="n"/>
      <c r="H714" s="148" t="n"/>
      <c r="I714" s="148" t="n"/>
      <c r="J714" s="149" t="n"/>
      <c r="K714" s="37" t="n"/>
      <c r="L714" s="148" t="n"/>
      <c r="M714" s="148" t="n"/>
      <c r="N714" s="148" t="n"/>
      <c r="O714" s="148" t="n"/>
      <c r="P714" s="148" t="n"/>
      <c r="Q714" s="148" t="n"/>
      <c r="R714" s="148" t="n"/>
      <c r="S714" s="148" t="n"/>
      <c r="T714" s="150" t="n"/>
      <c r="U714" s="150" t="n"/>
      <c r="V714" s="37" t="n"/>
      <c r="W714" s="151" t="n"/>
      <c r="X714" s="151" t="n"/>
      <c r="Y714" s="151" t="n"/>
      <c r="Z714" s="151" t="n"/>
      <c r="AA714" s="151" t="n"/>
      <c r="AB714" s="152" t="n"/>
      <c r="AC714" s="152" t="n"/>
      <c r="AD714" s="152" t="n"/>
      <c r="AE714" s="152" t="n"/>
      <c r="AF714" s="152" t="n"/>
    </row>
    <row r="715" ht="15.75" customHeight="1" s="201">
      <c r="A715" s="37" t="n"/>
      <c r="B715" s="37" t="n"/>
      <c r="C715" s="37" t="n"/>
      <c r="D715" s="37" t="n"/>
      <c r="E715" s="37" t="n"/>
      <c r="F715" s="148" t="n"/>
      <c r="G715" s="148" t="n"/>
      <c r="H715" s="148" t="n"/>
      <c r="I715" s="148" t="n"/>
      <c r="J715" s="149" t="n"/>
      <c r="K715" s="37" t="n"/>
      <c r="L715" s="148" t="n"/>
      <c r="M715" s="148" t="n"/>
      <c r="N715" s="148" t="n"/>
      <c r="O715" s="148" t="n"/>
      <c r="P715" s="148" t="n"/>
      <c r="Q715" s="148" t="n"/>
      <c r="R715" s="148" t="n"/>
      <c r="S715" s="148" t="n"/>
      <c r="T715" s="150" t="n"/>
      <c r="U715" s="150" t="n"/>
      <c r="V715" s="37" t="n"/>
      <c r="W715" s="151" t="n"/>
      <c r="X715" s="151" t="n"/>
      <c r="Y715" s="151" t="n"/>
      <c r="Z715" s="151" t="n"/>
      <c r="AA715" s="151" t="n"/>
      <c r="AB715" s="152" t="n"/>
      <c r="AC715" s="152" t="n"/>
      <c r="AD715" s="152" t="n"/>
      <c r="AE715" s="152" t="n"/>
      <c r="AF715" s="152" t="n"/>
    </row>
    <row r="716" ht="15.75" customHeight="1" s="201">
      <c r="A716" s="37" t="n"/>
      <c r="B716" s="37" t="n"/>
      <c r="C716" s="37" t="n"/>
      <c r="D716" s="37" t="n"/>
      <c r="E716" s="37" t="n"/>
      <c r="F716" s="148" t="n"/>
      <c r="G716" s="148" t="n"/>
      <c r="H716" s="148" t="n"/>
      <c r="I716" s="148" t="n"/>
      <c r="J716" s="149" t="n"/>
      <c r="K716" s="37" t="n"/>
      <c r="L716" s="148" t="n"/>
      <c r="M716" s="148" t="n"/>
      <c r="N716" s="148" t="n"/>
      <c r="O716" s="148" t="n"/>
      <c r="P716" s="148" t="n"/>
      <c r="Q716" s="148" t="n"/>
      <c r="R716" s="148" t="n"/>
      <c r="S716" s="148" t="n"/>
      <c r="T716" s="150" t="n"/>
      <c r="U716" s="150" t="n"/>
      <c r="V716" s="37" t="n"/>
      <c r="W716" s="151" t="n"/>
      <c r="X716" s="151" t="n"/>
      <c r="Y716" s="151" t="n"/>
      <c r="Z716" s="151" t="n"/>
      <c r="AA716" s="151" t="n"/>
      <c r="AB716" s="152" t="n"/>
      <c r="AC716" s="152" t="n"/>
      <c r="AD716" s="152" t="n"/>
      <c r="AE716" s="152" t="n"/>
      <c r="AF716" s="152" t="n"/>
    </row>
    <row r="717" ht="15.75" customHeight="1" s="201">
      <c r="A717" s="37" t="n"/>
      <c r="B717" s="37" t="n"/>
      <c r="C717" s="37" t="n"/>
      <c r="D717" s="37" t="n"/>
      <c r="E717" s="37" t="n"/>
      <c r="F717" s="148" t="n"/>
      <c r="G717" s="148" t="n"/>
      <c r="H717" s="148" t="n"/>
      <c r="I717" s="148" t="n"/>
      <c r="J717" s="149" t="n"/>
      <c r="K717" s="37" t="n"/>
      <c r="L717" s="148" t="n"/>
      <c r="M717" s="148" t="n"/>
      <c r="N717" s="148" t="n"/>
      <c r="O717" s="148" t="n"/>
      <c r="P717" s="148" t="n"/>
      <c r="Q717" s="148" t="n"/>
      <c r="R717" s="148" t="n"/>
      <c r="S717" s="148" t="n"/>
      <c r="T717" s="150" t="n"/>
      <c r="U717" s="150" t="n"/>
      <c r="V717" s="37" t="n"/>
      <c r="W717" s="151" t="n"/>
      <c r="X717" s="151" t="n"/>
      <c r="Y717" s="151" t="n"/>
      <c r="Z717" s="151" t="n"/>
      <c r="AA717" s="151" t="n"/>
      <c r="AB717" s="152" t="n"/>
      <c r="AC717" s="152" t="n"/>
      <c r="AD717" s="152" t="n"/>
      <c r="AE717" s="152" t="n"/>
      <c r="AF717" s="152" t="n"/>
    </row>
    <row r="718" ht="15.75" customHeight="1" s="201">
      <c r="A718" s="37" t="n"/>
      <c r="B718" s="37" t="n"/>
      <c r="C718" s="37" t="n"/>
      <c r="D718" s="37" t="n"/>
      <c r="E718" s="37" t="n"/>
      <c r="F718" s="148" t="n"/>
      <c r="G718" s="148" t="n"/>
      <c r="H718" s="148" t="n"/>
      <c r="I718" s="148" t="n"/>
      <c r="J718" s="149" t="n"/>
      <c r="K718" s="37" t="n"/>
      <c r="L718" s="148" t="n"/>
      <c r="M718" s="148" t="n"/>
      <c r="N718" s="148" t="n"/>
      <c r="O718" s="148" t="n"/>
      <c r="P718" s="148" t="n"/>
      <c r="Q718" s="148" t="n"/>
      <c r="R718" s="148" t="n"/>
      <c r="S718" s="148" t="n"/>
      <c r="T718" s="150" t="n"/>
      <c r="U718" s="150" t="n"/>
      <c r="V718" s="37" t="n"/>
      <c r="W718" s="151" t="n"/>
      <c r="X718" s="151" t="n"/>
      <c r="Y718" s="151" t="n"/>
      <c r="Z718" s="151" t="n"/>
      <c r="AA718" s="151" t="n"/>
      <c r="AB718" s="152" t="n"/>
      <c r="AC718" s="152" t="n"/>
      <c r="AD718" s="152" t="n"/>
      <c r="AE718" s="152" t="n"/>
      <c r="AF718" s="152" t="n"/>
    </row>
    <row r="719" ht="15.75" customHeight="1" s="201">
      <c r="A719" s="37" t="n"/>
      <c r="B719" s="37" t="n"/>
      <c r="C719" s="37" t="n"/>
      <c r="D719" s="37" t="n"/>
      <c r="E719" s="37" t="n"/>
      <c r="F719" s="148" t="n"/>
      <c r="G719" s="148" t="n"/>
      <c r="H719" s="148" t="n"/>
      <c r="I719" s="148" t="n"/>
      <c r="J719" s="149" t="n"/>
      <c r="K719" s="37" t="n"/>
      <c r="L719" s="148" t="n"/>
      <c r="M719" s="148" t="n"/>
      <c r="N719" s="148" t="n"/>
      <c r="O719" s="148" t="n"/>
      <c r="P719" s="148" t="n"/>
      <c r="Q719" s="148" t="n"/>
      <c r="R719" s="148" t="n"/>
      <c r="S719" s="148" t="n"/>
      <c r="T719" s="150" t="n"/>
      <c r="U719" s="150" t="n"/>
      <c r="V719" s="37" t="n"/>
      <c r="W719" s="151" t="n"/>
      <c r="X719" s="151" t="n"/>
      <c r="Y719" s="151" t="n"/>
      <c r="Z719" s="151" t="n"/>
      <c r="AA719" s="151" t="n"/>
      <c r="AB719" s="152" t="n"/>
      <c r="AC719" s="152" t="n"/>
      <c r="AD719" s="152" t="n"/>
      <c r="AE719" s="152" t="n"/>
      <c r="AF719" s="152" t="n"/>
    </row>
    <row r="720" ht="15.75" customHeight="1" s="201">
      <c r="A720" s="37" t="n"/>
      <c r="B720" s="37" t="n"/>
      <c r="C720" s="37" t="n"/>
      <c r="D720" s="37" t="n"/>
      <c r="E720" s="37" t="n"/>
      <c r="F720" s="148" t="n"/>
      <c r="G720" s="148" t="n"/>
      <c r="H720" s="148" t="n"/>
      <c r="I720" s="148" t="n"/>
      <c r="J720" s="149" t="n"/>
      <c r="K720" s="37" t="n"/>
      <c r="L720" s="148" t="n"/>
      <c r="M720" s="148" t="n"/>
      <c r="N720" s="148" t="n"/>
      <c r="O720" s="148" t="n"/>
      <c r="P720" s="148" t="n"/>
      <c r="Q720" s="148" t="n"/>
      <c r="R720" s="148" t="n"/>
      <c r="S720" s="148" t="n"/>
      <c r="T720" s="150" t="n"/>
      <c r="U720" s="150" t="n"/>
      <c r="V720" s="37" t="n"/>
      <c r="W720" s="151" t="n"/>
      <c r="X720" s="151" t="n"/>
      <c r="Y720" s="151" t="n"/>
      <c r="Z720" s="151" t="n"/>
      <c r="AA720" s="151" t="n"/>
      <c r="AB720" s="152" t="n"/>
      <c r="AC720" s="152" t="n"/>
      <c r="AD720" s="152" t="n"/>
      <c r="AE720" s="152" t="n"/>
      <c r="AF720" s="152" t="n"/>
    </row>
    <row r="721" ht="15.75" customHeight="1" s="201">
      <c r="A721" s="37" t="n"/>
      <c r="B721" s="37" t="n"/>
      <c r="C721" s="37" t="n"/>
      <c r="D721" s="37" t="n"/>
      <c r="E721" s="37" t="n"/>
      <c r="F721" s="148" t="n"/>
      <c r="G721" s="148" t="n"/>
      <c r="H721" s="148" t="n"/>
      <c r="I721" s="148" t="n"/>
      <c r="J721" s="149" t="n"/>
      <c r="K721" s="37" t="n"/>
      <c r="L721" s="148" t="n"/>
      <c r="M721" s="148" t="n"/>
      <c r="N721" s="148" t="n"/>
      <c r="O721" s="148" t="n"/>
      <c r="P721" s="148" t="n"/>
      <c r="Q721" s="148" t="n"/>
      <c r="R721" s="148" t="n"/>
      <c r="S721" s="148" t="n"/>
      <c r="T721" s="150" t="n"/>
      <c r="U721" s="150" t="n"/>
      <c r="V721" s="37" t="n"/>
      <c r="W721" s="151" t="n"/>
      <c r="X721" s="151" t="n"/>
      <c r="Y721" s="151" t="n"/>
      <c r="Z721" s="151" t="n"/>
      <c r="AA721" s="151" t="n"/>
      <c r="AB721" s="152" t="n"/>
      <c r="AC721" s="152" t="n"/>
      <c r="AD721" s="152" t="n"/>
      <c r="AE721" s="152" t="n"/>
      <c r="AF721" s="152" t="n"/>
    </row>
    <row r="722" ht="15.75" customHeight="1" s="201">
      <c r="A722" s="37" t="n"/>
      <c r="B722" s="37" t="n"/>
      <c r="C722" s="37" t="n"/>
      <c r="D722" s="37" t="n"/>
      <c r="E722" s="37" t="n"/>
      <c r="F722" s="148" t="n"/>
      <c r="G722" s="148" t="n"/>
      <c r="H722" s="148" t="n"/>
      <c r="I722" s="148" t="n"/>
      <c r="J722" s="149" t="n"/>
      <c r="K722" s="37" t="n"/>
      <c r="L722" s="148" t="n"/>
      <c r="M722" s="148" t="n"/>
      <c r="N722" s="148" t="n"/>
      <c r="O722" s="148" t="n"/>
      <c r="P722" s="148" t="n"/>
      <c r="Q722" s="148" t="n"/>
      <c r="R722" s="148" t="n"/>
      <c r="S722" s="148" t="n"/>
      <c r="T722" s="150" t="n"/>
      <c r="U722" s="150" t="n"/>
      <c r="V722" s="37" t="n"/>
      <c r="W722" s="151" t="n"/>
      <c r="X722" s="151" t="n"/>
      <c r="Y722" s="151" t="n"/>
      <c r="Z722" s="151" t="n"/>
      <c r="AA722" s="151" t="n"/>
      <c r="AB722" s="152" t="n"/>
      <c r="AC722" s="152" t="n"/>
      <c r="AD722" s="152" t="n"/>
      <c r="AE722" s="152" t="n"/>
      <c r="AF722" s="152" t="n"/>
    </row>
    <row r="723" ht="15.75" customHeight="1" s="201">
      <c r="A723" s="37" t="n"/>
      <c r="B723" s="37" t="n"/>
      <c r="C723" s="37" t="n"/>
      <c r="D723" s="37" t="n"/>
      <c r="E723" s="37" t="n"/>
      <c r="F723" s="148" t="n"/>
      <c r="G723" s="148" t="n"/>
      <c r="H723" s="148" t="n"/>
      <c r="I723" s="148" t="n"/>
      <c r="J723" s="149" t="n"/>
      <c r="K723" s="37" t="n"/>
      <c r="L723" s="148" t="n"/>
      <c r="M723" s="148" t="n"/>
      <c r="N723" s="148" t="n"/>
      <c r="O723" s="148" t="n"/>
      <c r="P723" s="148" t="n"/>
      <c r="Q723" s="148" t="n"/>
      <c r="R723" s="148" t="n"/>
      <c r="S723" s="148" t="n"/>
      <c r="T723" s="150" t="n"/>
      <c r="U723" s="150" t="n"/>
      <c r="V723" s="37" t="n"/>
      <c r="W723" s="151" t="n"/>
      <c r="X723" s="151" t="n"/>
      <c r="Y723" s="151" t="n"/>
      <c r="Z723" s="151" t="n"/>
      <c r="AA723" s="151" t="n"/>
      <c r="AB723" s="152" t="n"/>
      <c r="AC723" s="152" t="n"/>
      <c r="AD723" s="152" t="n"/>
      <c r="AE723" s="152" t="n"/>
      <c r="AF723" s="152" t="n"/>
    </row>
    <row r="724" ht="15.75" customHeight="1" s="201">
      <c r="A724" s="37" t="n"/>
      <c r="B724" s="37" t="n"/>
      <c r="C724" s="37" t="n"/>
      <c r="D724" s="37" t="n"/>
      <c r="E724" s="37" t="n"/>
      <c r="F724" s="148" t="n"/>
      <c r="G724" s="148" t="n"/>
      <c r="H724" s="148" t="n"/>
      <c r="I724" s="148" t="n"/>
      <c r="J724" s="149" t="n"/>
      <c r="K724" s="37" t="n"/>
      <c r="L724" s="148" t="n"/>
      <c r="M724" s="148" t="n"/>
      <c r="N724" s="148" t="n"/>
      <c r="O724" s="148" t="n"/>
      <c r="P724" s="148" t="n"/>
      <c r="Q724" s="148" t="n"/>
      <c r="R724" s="148" t="n"/>
      <c r="S724" s="148" t="n"/>
      <c r="T724" s="150" t="n"/>
      <c r="U724" s="150" t="n"/>
      <c r="V724" s="37" t="n"/>
      <c r="W724" s="151" t="n"/>
      <c r="X724" s="151" t="n"/>
      <c r="Y724" s="151" t="n"/>
      <c r="Z724" s="151" t="n"/>
      <c r="AA724" s="151" t="n"/>
      <c r="AB724" s="152" t="n"/>
      <c r="AC724" s="152" t="n"/>
      <c r="AD724" s="152" t="n"/>
      <c r="AE724" s="152" t="n"/>
      <c r="AF724" s="152" t="n"/>
    </row>
    <row r="725" ht="15.75" customHeight="1" s="201">
      <c r="A725" s="37" t="n"/>
      <c r="B725" s="37" t="n"/>
      <c r="C725" s="37" t="n"/>
      <c r="D725" s="37" t="n"/>
      <c r="E725" s="37" t="n"/>
      <c r="F725" s="148" t="n"/>
      <c r="G725" s="148" t="n"/>
      <c r="H725" s="148" t="n"/>
      <c r="I725" s="148" t="n"/>
      <c r="J725" s="149" t="n"/>
      <c r="K725" s="37" t="n"/>
      <c r="L725" s="148" t="n"/>
      <c r="M725" s="148" t="n"/>
      <c r="N725" s="148" t="n"/>
      <c r="O725" s="148" t="n"/>
      <c r="P725" s="148" t="n"/>
      <c r="Q725" s="148" t="n"/>
      <c r="R725" s="148" t="n"/>
      <c r="S725" s="148" t="n"/>
      <c r="T725" s="150" t="n"/>
      <c r="U725" s="150" t="n"/>
      <c r="V725" s="37" t="n"/>
      <c r="W725" s="151" t="n"/>
      <c r="X725" s="151" t="n"/>
      <c r="Y725" s="151" t="n"/>
      <c r="Z725" s="151" t="n"/>
      <c r="AA725" s="151" t="n"/>
      <c r="AB725" s="152" t="n"/>
      <c r="AC725" s="152" t="n"/>
      <c r="AD725" s="152" t="n"/>
      <c r="AE725" s="152" t="n"/>
      <c r="AF725" s="152" t="n"/>
    </row>
    <row r="726" ht="15.75" customHeight="1" s="201">
      <c r="A726" s="37" t="n"/>
      <c r="B726" s="37" t="n"/>
      <c r="C726" s="37" t="n"/>
      <c r="D726" s="37" t="n"/>
      <c r="E726" s="37" t="n"/>
      <c r="F726" s="148" t="n"/>
      <c r="G726" s="148" t="n"/>
      <c r="H726" s="148" t="n"/>
      <c r="I726" s="148" t="n"/>
      <c r="J726" s="149" t="n"/>
      <c r="K726" s="37" t="n"/>
      <c r="L726" s="148" t="n"/>
      <c r="M726" s="148" t="n"/>
      <c r="N726" s="148" t="n"/>
      <c r="O726" s="148" t="n"/>
      <c r="P726" s="148" t="n"/>
      <c r="Q726" s="148" t="n"/>
      <c r="R726" s="148" t="n"/>
      <c r="S726" s="148" t="n"/>
      <c r="T726" s="150" t="n"/>
      <c r="U726" s="150" t="n"/>
      <c r="V726" s="37" t="n"/>
      <c r="W726" s="151" t="n"/>
      <c r="X726" s="151" t="n"/>
      <c r="Y726" s="151" t="n"/>
      <c r="Z726" s="151" t="n"/>
      <c r="AA726" s="151" t="n"/>
      <c r="AB726" s="152" t="n"/>
      <c r="AC726" s="152" t="n"/>
      <c r="AD726" s="152" t="n"/>
      <c r="AE726" s="152" t="n"/>
      <c r="AF726" s="152" t="n"/>
    </row>
    <row r="727" ht="15.75" customHeight="1" s="201">
      <c r="A727" s="37" t="n"/>
      <c r="B727" s="37" t="n"/>
      <c r="C727" s="37" t="n"/>
      <c r="D727" s="37" t="n"/>
      <c r="E727" s="37" t="n"/>
      <c r="F727" s="148" t="n"/>
      <c r="G727" s="148" t="n"/>
      <c r="H727" s="148" t="n"/>
      <c r="I727" s="148" t="n"/>
      <c r="J727" s="149" t="n"/>
      <c r="K727" s="37" t="n"/>
      <c r="L727" s="148" t="n"/>
      <c r="M727" s="148" t="n"/>
      <c r="N727" s="148" t="n"/>
      <c r="O727" s="148" t="n"/>
      <c r="P727" s="148" t="n"/>
      <c r="Q727" s="148" t="n"/>
      <c r="R727" s="148" t="n"/>
      <c r="S727" s="148" t="n"/>
      <c r="T727" s="150" t="n"/>
      <c r="U727" s="150" t="n"/>
      <c r="V727" s="37" t="n"/>
      <c r="W727" s="151" t="n"/>
      <c r="X727" s="151" t="n"/>
      <c r="Y727" s="151" t="n"/>
      <c r="Z727" s="151" t="n"/>
      <c r="AA727" s="151" t="n"/>
      <c r="AB727" s="152" t="n"/>
      <c r="AC727" s="152" t="n"/>
      <c r="AD727" s="152" t="n"/>
      <c r="AE727" s="152" t="n"/>
      <c r="AF727" s="152" t="n"/>
    </row>
    <row r="728" ht="15.75" customHeight="1" s="201">
      <c r="A728" s="37" t="n"/>
      <c r="B728" s="37" t="n"/>
      <c r="C728" s="37" t="n"/>
      <c r="D728" s="37" t="n"/>
      <c r="E728" s="37" t="n"/>
      <c r="F728" s="148" t="n"/>
      <c r="G728" s="148" t="n"/>
      <c r="H728" s="148" t="n"/>
      <c r="I728" s="148" t="n"/>
      <c r="J728" s="149" t="n"/>
      <c r="K728" s="37" t="n"/>
      <c r="L728" s="148" t="n"/>
      <c r="M728" s="148" t="n"/>
      <c r="N728" s="148" t="n"/>
      <c r="O728" s="148" t="n"/>
      <c r="P728" s="148" t="n"/>
      <c r="Q728" s="148" t="n"/>
      <c r="R728" s="148" t="n"/>
      <c r="S728" s="148" t="n"/>
      <c r="T728" s="150" t="n"/>
      <c r="U728" s="150" t="n"/>
      <c r="V728" s="37" t="n"/>
      <c r="W728" s="151" t="n"/>
      <c r="X728" s="151" t="n"/>
      <c r="Y728" s="151" t="n"/>
      <c r="Z728" s="151" t="n"/>
      <c r="AA728" s="151" t="n"/>
      <c r="AB728" s="152" t="n"/>
      <c r="AC728" s="152" t="n"/>
      <c r="AD728" s="152" t="n"/>
      <c r="AE728" s="152" t="n"/>
      <c r="AF728" s="152" t="n"/>
    </row>
    <row r="729" ht="15.75" customHeight="1" s="201">
      <c r="A729" s="37" t="n"/>
      <c r="B729" s="37" t="n"/>
      <c r="C729" s="37" t="n"/>
      <c r="D729" s="37" t="n"/>
      <c r="E729" s="37" t="n"/>
      <c r="F729" s="148" t="n"/>
      <c r="G729" s="148" t="n"/>
      <c r="H729" s="148" t="n"/>
      <c r="I729" s="148" t="n"/>
      <c r="J729" s="149" t="n"/>
      <c r="K729" s="37" t="n"/>
      <c r="L729" s="148" t="n"/>
      <c r="M729" s="148" t="n"/>
      <c r="N729" s="148" t="n"/>
      <c r="O729" s="148" t="n"/>
      <c r="P729" s="148" t="n"/>
      <c r="Q729" s="148" t="n"/>
      <c r="R729" s="148" t="n"/>
      <c r="S729" s="148" t="n"/>
      <c r="T729" s="150" t="n"/>
      <c r="U729" s="150" t="n"/>
      <c r="V729" s="37" t="n"/>
      <c r="W729" s="151" t="n"/>
      <c r="X729" s="151" t="n"/>
      <c r="Y729" s="151" t="n"/>
      <c r="Z729" s="151" t="n"/>
      <c r="AA729" s="151" t="n"/>
      <c r="AB729" s="152" t="n"/>
      <c r="AC729" s="152" t="n"/>
      <c r="AD729" s="152" t="n"/>
      <c r="AE729" s="152" t="n"/>
      <c r="AF729" s="152" t="n"/>
    </row>
    <row r="730" ht="15.75" customHeight="1" s="201">
      <c r="A730" s="37" t="n"/>
      <c r="B730" s="37" t="n"/>
      <c r="C730" s="37" t="n"/>
      <c r="D730" s="37" t="n"/>
      <c r="E730" s="37" t="n"/>
      <c r="F730" s="148" t="n"/>
      <c r="G730" s="148" t="n"/>
      <c r="H730" s="148" t="n"/>
      <c r="I730" s="148" t="n"/>
      <c r="J730" s="149" t="n"/>
      <c r="K730" s="37" t="n"/>
      <c r="L730" s="148" t="n"/>
      <c r="M730" s="148" t="n"/>
      <c r="N730" s="148" t="n"/>
      <c r="O730" s="148" t="n"/>
      <c r="P730" s="148" t="n"/>
      <c r="Q730" s="148" t="n"/>
      <c r="R730" s="148" t="n"/>
      <c r="S730" s="148" t="n"/>
      <c r="T730" s="150" t="n"/>
      <c r="U730" s="150" t="n"/>
      <c r="V730" s="37" t="n"/>
      <c r="W730" s="151" t="n"/>
      <c r="X730" s="151" t="n"/>
      <c r="Y730" s="151" t="n"/>
      <c r="Z730" s="151" t="n"/>
      <c r="AA730" s="151" t="n"/>
      <c r="AB730" s="152" t="n"/>
      <c r="AC730" s="152" t="n"/>
      <c r="AD730" s="152" t="n"/>
      <c r="AE730" s="152" t="n"/>
      <c r="AF730" s="152" t="n"/>
    </row>
    <row r="731" ht="15.75" customHeight="1" s="201">
      <c r="A731" s="37" t="n"/>
      <c r="B731" s="37" t="n"/>
      <c r="C731" s="37" t="n"/>
      <c r="D731" s="37" t="n"/>
      <c r="E731" s="37" t="n"/>
      <c r="F731" s="148" t="n"/>
      <c r="G731" s="148" t="n"/>
      <c r="H731" s="148" t="n"/>
      <c r="I731" s="148" t="n"/>
      <c r="J731" s="149" t="n"/>
      <c r="K731" s="37" t="n"/>
      <c r="L731" s="148" t="n"/>
      <c r="M731" s="148" t="n"/>
      <c r="N731" s="148" t="n"/>
      <c r="O731" s="148" t="n"/>
      <c r="P731" s="148" t="n"/>
      <c r="Q731" s="148" t="n"/>
      <c r="R731" s="148" t="n"/>
      <c r="S731" s="148" t="n"/>
      <c r="T731" s="150" t="n"/>
      <c r="U731" s="150" t="n"/>
      <c r="V731" s="37" t="n"/>
      <c r="W731" s="151" t="n"/>
      <c r="X731" s="151" t="n"/>
      <c r="Y731" s="151" t="n"/>
      <c r="Z731" s="151" t="n"/>
      <c r="AA731" s="151" t="n"/>
      <c r="AB731" s="152" t="n"/>
      <c r="AC731" s="152" t="n"/>
      <c r="AD731" s="152" t="n"/>
      <c r="AE731" s="152" t="n"/>
      <c r="AF731" s="152" t="n"/>
    </row>
    <row r="732" ht="15.75" customHeight="1" s="201">
      <c r="A732" s="37" t="n"/>
      <c r="B732" s="37" t="n"/>
      <c r="C732" s="37" t="n"/>
      <c r="D732" s="37" t="n"/>
      <c r="E732" s="37" t="n"/>
      <c r="F732" s="148" t="n"/>
      <c r="G732" s="148" t="n"/>
      <c r="H732" s="148" t="n"/>
      <c r="I732" s="148" t="n"/>
      <c r="J732" s="149" t="n"/>
      <c r="K732" s="37" t="n"/>
      <c r="L732" s="148" t="n"/>
      <c r="M732" s="148" t="n"/>
      <c r="N732" s="148" t="n"/>
      <c r="O732" s="148" t="n"/>
      <c r="P732" s="148" t="n"/>
      <c r="Q732" s="148" t="n"/>
      <c r="R732" s="148" t="n"/>
      <c r="S732" s="148" t="n"/>
      <c r="T732" s="150" t="n"/>
      <c r="U732" s="150" t="n"/>
      <c r="V732" s="37" t="n"/>
      <c r="W732" s="151" t="n"/>
      <c r="X732" s="151" t="n"/>
      <c r="Y732" s="151" t="n"/>
      <c r="Z732" s="151" t="n"/>
      <c r="AA732" s="151" t="n"/>
      <c r="AB732" s="152" t="n"/>
      <c r="AC732" s="152" t="n"/>
      <c r="AD732" s="152" t="n"/>
      <c r="AE732" s="152" t="n"/>
      <c r="AF732" s="152" t="n"/>
    </row>
    <row r="733" ht="15.75" customHeight="1" s="201">
      <c r="A733" s="37" t="n"/>
      <c r="B733" s="37" t="n"/>
      <c r="C733" s="37" t="n"/>
      <c r="D733" s="37" t="n"/>
      <c r="E733" s="37" t="n"/>
      <c r="F733" s="148" t="n"/>
      <c r="G733" s="148" t="n"/>
      <c r="H733" s="148" t="n"/>
      <c r="I733" s="148" t="n"/>
      <c r="J733" s="149" t="n"/>
      <c r="K733" s="37" t="n"/>
      <c r="L733" s="148" t="n"/>
      <c r="M733" s="148" t="n"/>
      <c r="N733" s="148" t="n"/>
      <c r="O733" s="148" t="n"/>
      <c r="P733" s="148" t="n"/>
      <c r="Q733" s="148" t="n"/>
      <c r="R733" s="148" t="n"/>
      <c r="S733" s="148" t="n"/>
      <c r="T733" s="150" t="n"/>
      <c r="U733" s="150" t="n"/>
      <c r="V733" s="37" t="n"/>
      <c r="W733" s="151" t="n"/>
      <c r="X733" s="151" t="n"/>
      <c r="Y733" s="151" t="n"/>
      <c r="Z733" s="151" t="n"/>
      <c r="AA733" s="151" t="n"/>
      <c r="AB733" s="152" t="n"/>
      <c r="AC733" s="152" t="n"/>
      <c r="AD733" s="152" t="n"/>
      <c r="AE733" s="152" t="n"/>
      <c r="AF733" s="152" t="n"/>
    </row>
    <row r="734" ht="15.75" customHeight="1" s="201">
      <c r="A734" s="37" t="n"/>
      <c r="B734" s="37" t="n"/>
      <c r="C734" s="37" t="n"/>
      <c r="D734" s="37" t="n"/>
      <c r="E734" s="37" t="n"/>
      <c r="F734" s="148" t="n"/>
      <c r="G734" s="148" t="n"/>
      <c r="H734" s="148" t="n"/>
      <c r="I734" s="148" t="n"/>
      <c r="J734" s="149" t="n"/>
      <c r="K734" s="37" t="n"/>
      <c r="L734" s="148" t="n"/>
      <c r="M734" s="148" t="n"/>
      <c r="N734" s="148" t="n"/>
      <c r="O734" s="148" t="n"/>
      <c r="P734" s="148" t="n"/>
      <c r="Q734" s="148" t="n"/>
      <c r="R734" s="148" t="n"/>
      <c r="S734" s="148" t="n"/>
      <c r="T734" s="150" t="n"/>
      <c r="U734" s="150" t="n"/>
      <c r="V734" s="37" t="n"/>
      <c r="W734" s="151" t="n"/>
      <c r="X734" s="151" t="n"/>
      <c r="Y734" s="151" t="n"/>
      <c r="Z734" s="151" t="n"/>
      <c r="AA734" s="151" t="n"/>
      <c r="AB734" s="152" t="n"/>
      <c r="AC734" s="152" t="n"/>
      <c r="AD734" s="152" t="n"/>
      <c r="AE734" s="152" t="n"/>
      <c r="AF734" s="152" t="n"/>
    </row>
    <row r="735" ht="15.75" customHeight="1" s="201">
      <c r="A735" s="37" t="n"/>
      <c r="B735" s="37" t="n"/>
      <c r="C735" s="37" t="n"/>
      <c r="D735" s="37" t="n"/>
      <c r="E735" s="37" t="n"/>
      <c r="F735" s="148" t="n"/>
      <c r="G735" s="148" t="n"/>
      <c r="H735" s="148" t="n"/>
      <c r="I735" s="148" t="n"/>
      <c r="J735" s="149" t="n"/>
      <c r="K735" s="37" t="n"/>
      <c r="L735" s="148" t="n"/>
      <c r="M735" s="148" t="n"/>
      <c r="N735" s="148" t="n"/>
      <c r="O735" s="148" t="n"/>
      <c r="P735" s="148" t="n"/>
      <c r="Q735" s="148" t="n"/>
      <c r="R735" s="148" t="n"/>
      <c r="S735" s="148" t="n"/>
      <c r="T735" s="150" t="n"/>
      <c r="U735" s="150" t="n"/>
      <c r="V735" s="37" t="n"/>
      <c r="W735" s="151" t="n"/>
      <c r="X735" s="151" t="n"/>
      <c r="Y735" s="151" t="n"/>
      <c r="Z735" s="151" t="n"/>
      <c r="AA735" s="151" t="n"/>
      <c r="AB735" s="152" t="n"/>
      <c r="AC735" s="152" t="n"/>
      <c r="AD735" s="152" t="n"/>
      <c r="AE735" s="152" t="n"/>
      <c r="AF735" s="152" t="n"/>
    </row>
    <row r="736" ht="15.75" customHeight="1" s="201">
      <c r="A736" s="37" t="n"/>
      <c r="B736" s="37" t="n"/>
      <c r="C736" s="37" t="n"/>
      <c r="D736" s="37" t="n"/>
      <c r="E736" s="37" t="n"/>
      <c r="F736" s="148" t="n"/>
      <c r="G736" s="148" t="n"/>
      <c r="H736" s="148" t="n"/>
      <c r="I736" s="148" t="n"/>
      <c r="J736" s="149" t="n"/>
      <c r="K736" s="37" t="n"/>
      <c r="L736" s="148" t="n"/>
      <c r="M736" s="148" t="n"/>
      <c r="N736" s="148" t="n"/>
      <c r="O736" s="148" t="n"/>
      <c r="P736" s="148" t="n"/>
      <c r="Q736" s="148" t="n"/>
      <c r="R736" s="148" t="n"/>
      <c r="S736" s="148" t="n"/>
      <c r="T736" s="150" t="n"/>
      <c r="U736" s="150" t="n"/>
      <c r="V736" s="37" t="n"/>
      <c r="W736" s="151" t="n"/>
      <c r="X736" s="151" t="n"/>
      <c r="Y736" s="151" t="n"/>
      <c r="Z736" s="151" t="n"/>
      <c r="AA736" s="151" t="n"/>
      <c r="AB736" s="152" t="n"/>
      <c r="AC736" s="152" t="n"/>
      <c r="AD736" s="152" t="n"/>
      <c r="AE736" s="152" t="n"/>
      <c r="AF736" s="152" t="n"/>
    </row>
    <row r="737" ht="15.75" customHeight="1" s="201">
      <c r="A737" s="37" t="n"/>
      <c r="B737" s="37" t="n"/>
      <c r="C737" s="37" t="n"/>
      <c r="D737" s="37" t="n"/>
      <c r="E737" s="37" t="n"/>
      <c r="F737" s="148" t="n"/>
      <c r="G737" s="148" t="n"/>
      <c r="H737" s="148" t="n"/>
      <c r="I737" s="148" t="n"/>
      <c r="J737" s="149" t="n"/>
      <c r="K737" s="37" t="n"/>
      <c r="L737" s="148" t="n"/>
      <c r="M737" s="148" t="n"/>
      <c r="N737" s="148" t="n"/>
      <c r="O737" s="148" t="n"/>
      <c r="P737" s="148" t="n"/>
      <c r="Q737" s="148" t="n"/>
      <c r="R737" s="148" t="n"/>
      <c r="S737" s="148" t="n"/>
      <c r="T737" s="150" t="n"/>
      <c r="U737" s="150" t="n"/>
      <c r="V737" s="37" t="n"/>
      <c r="W737" s="151" t="n"/>
      <c r="X737" s="151" t="n"/>
      <c r="Y737" s="151" t="n"/>
      <c r="Z737" s="151" t="n"/>
      <c r="AA737" s="151" t="n"/>
      <c r="AB737" s="152" t="n"/>
      <c r="AC737" s="152" t="n"/>
      <c r="AD737" s="152" t="n"/>
      <c r="AE737" s="152" t="n"/>
      <c r="AF737" s="152" t="n"/>
    </row>
    <row r="738" ht="15.75" customHeight="1" s="201">
      <c r="A738" s="37" t="n"/>
      <c r="B738" s="37" t="n"/>
      <c r="C738" s="37" t="n"/>
      <c r="D738" s="37" t="n"/>
      <c r="E738" s="37" t="n"/>
      <c r="F738" s="148" t="n"/>
      <c r="G738" s="148" t="n"/>
      <c r="H738" s="148" t="n"/>
      <c r="I738" s="148" t="n"/>
      <c r="J738" s="149" t="n"/>
      <c r="K738" s="37" t="n"/>
      <c r="L738" s="148" t="n"/>
      <c r="M738" s="148" t="n"/>
      <c r="N738" s="148" t="n"/>
      <c r="O738" s="148" t="n"/>
      <c r="P738" s="148" t="n"/>
      <c r="Q738" s="148" t="n"/>
      <c r="R738" s="148" t="n"/>
      <c r="S738" s="148" t="n"/>
      <c r="T738" s="150" t="n"/>
      <c r="U738" s="150" t="n"/>
      <c r="V738" s="37" t="n"/>
      <c r="W738" s="151" t="n"/>
      <c r="X738" s="151" t="n"/>
      <c r="Y738" s="151" t="n"/>
      <c r="Z738" s="151" t="n"/>
      <c r="AA738" s="151" t="n"/>
      <c r="AB738" s="152" t="n"/>
      <c r="AC738" s="152" t="n"/>
      <c r="AD738" s="152" t="n"/>
      <c r="AE738" s="152" t="n"/>
      <c r="AF738" s="152" t="n"/>
    </row>
    <row r="739" ht="15.75" customHeight="1" s="201">
      <c r="A739" s="37" t="n"/>
      <c r="B739" s="37" t="n"/>
      <c r="C739" s="37" t="n"/>
      <c r="D739" s="37" t="n"/>
      <c r="E739" s="37" t="n"/>
      <c r="F739" s="148" t="n"/>
      <c r="G739" s="148" t="n"/>
      <c r="H739" s="148" t="n"/>
      <c r="I739" s="148" t="n"/>
      <c r="J739" s="149" t="n"/>
      <c r="K739" s="37" t="n"/>
      <c r="L739" s="148" t="n"/>
      <c r="M739" s="148" t="n"/>
      <c r="N739" s="148" t="n"/>
      <c r="O739" s="148" t="n"/>
      <c r="P739" s="148" t="n"/>
      <c r="Q739" s="148" t="n"/>
      <c r="R739" s="148" t="n"/>
      <c r="S739" s="148" t="n"/>
      <c r="T739" s="150" t="n"/>
      <c r="U739" s="150" t="n"/>
      <c r="V739" s="37" t="n"/>
      <c r="W739" s="151" t="n"/>
      <c r="X739" s="151" t="n"/>
      <c r="Y739" s="151" t="n"/>
      <c r="Z739" s="151" t="n"/>
      <c r="AA739" s="151" t="n"/>
      <c r="AB739" s="152" t="n"/>
      <c r="AC739" s="152" t="n"/>
      <c r="AD739" s="152" t="n"/>
      <c r="AE739" s="152" t="n"/>
      <c r="AF739" s="152" t="n"/>
    </row>
    <row r="740" ht="15.75" customHeight="1" s="201">
      <c r="A740" s="37" t="n"/>
      <c r="B740" s="37" t="n"/>
      <c r="C740" s="37" t="n"/>
      <c r="D740" s="37" t="n"/>
      <c r="E740" s="37" t="n"/>
      <c r="F740" s="148" t="n"/>
      <c r="G740" s="148" t="n"/>
      <c r="H740" s="148" t="n"/>
      <c r="I740" s="148" t="n"/>
      <c r="J740" s="149" t="n"/>
      <c r="K740" s="37" t="n"/>
      <c r="L740" s="148" t="n"/>
      <c r="M740" s="148" t="n"/>
      <c r="N740" s="148" t="n"/>
      <c r="O740" s="148" t="n"/>
      <c r="P740" s="148" t="n"/>
      <c r="Q740" s="148" t="n"/>
      <c r="R740" s="148" t="n"/>
      <c r="S740" s="148" t="n"/>
      <c r="T740" s="150" t="n"/>
      <c r="U740" s="150" t="n"/>
      <c r="V740" s="37" t="n"/>
      <c r="W740" s="151" t="n"/>
      <c r="X740" s="151" t="n"/>
      <c r="Y740" s="151" t="n"/>
      <c r="Z740" s="151" t="n"/>
      <c r="AA740" s="151" t="n"/>
      <c r="AB740" s="152" t="n"/>
      <c r="AC740" s="152" t="n"/>
      <c r="AD740" s="152" t="n"/>
      <c r="AE740" s="152" t="n"/>
      <c r="AF740" s="152" t="n"/>
    </row>
    <row r="741" ht="15.75" customHeight="1" s="201">
      <c r="A741" s="37" t="n"/>
      <c r="B741" s="37" t="n"/>
      <c r="C741" s="37" t="n"/>
      <c r="D741" s="37" t="n"/>
      <c r="E741" s="37" t="n"/>
      <c r="F741" s="148" t="n"/>
      <c r="G741" s="148" t="n"/>
      <c r="H741" s="148" t="n"/>
      <c r="I741" s="148" t="n"/>
      <c r="J741" s="149" t="n"/>
      <c r="K741" s="37" t="n"/>
      <c r="L741" s="148" t="n"/>
      <c r="M741" s="148" t="n"/>
      <c r="N741" s="148" t="n"/>
      <c r="O741" s="148" t="n"/>
      <c r="P741" s="148" t="n"/>
      <c r="Q741" s="148" t="n"/>
      <c r="R741" s="148" t="n"/>
      <c r="S741" s="148" t="n"/>
      <c r="T741" s="150" t="n"/>
      <c r="U741" s="150" t="n"/>
      <c r="V741" s="37" t="n"/>
      <c r="W741" s="151" t="n"/>
      <c r="X741" s="151" t="n"/>
      <c r="Y741" s="151" t="n"/>
      <c r="Z741" s="151" t="n"/>
      <c r="AA741" s="151" t="n"/>
      <c r="AB741" s="152" t="n"/>
      <c r="AC741" s="152" t="n"/>
      <c r="AD741" s="152" t="n"/>
      <c r="AE741" s="152" t="n"/>
      <c r="AF741" s="152" t="n"/>
    </row>
    <row r="742" ht="15.75" customHeight="1" s="201">
      <c r="A742" s="37" t="n"/>
      <c r="B742" s="37" t="n"/>
      <c r="C742" s="37" t="n"/>
      <c r="D742" s="37" t="n"/>
      <c r="E742" s="37" t="n"/>
      <c r="F742" s="148" t="n"/>
      <c r="G742" s="148" t="n"/>
      <c r="H742" s="148" t="n"/>
      <c r="I742" s="148" t="n"/>
      <c r="J742" s="149" t="n"/>
      <c r="K742" s="37" t="n"/>
      <c r="L742" s="148" t="n"/>
      <c r="M742" s="148" t="n"/>
      <c r="N742" s="148" t="n"/>
      <c r="O742" s="148" t="n"/>
      <c r="P742" s="148" t="n"/>
      <c r="Q742" s="148" t="n"/>
      <c r="R742" s="148" t="n"/>
      <c r="S742" s="148" t="n"/>
      <c r="T742" s="150" t="n"/>
      <c r="U742" s="150" t="n"/>
      <c r="V742" s="37" t="n"/>
      <c r="W742" s="151" t="n"/>
      <c r="X742" s="151" t="n"/>
      <c r="Y742" s="151" t="n"/>
      <c r="Z742" s="151" t="n"/>
      <c r="AA742" s="151" t="n"/>
      <c r="AB742" s="152" t="n"/>
      <c r="AC742" s="152" t="n"/>
      <c r="AD742" s="152" t="n"/>
      <c r="AE742" s="152" t="n"/>
      <c r="AF742" s="152" t="n"/>
    </row>
    <row r="743" ht="15.75" customHeight="1" s="201">
      <c r="A743" s="37" t="n"/>
      <c r="B743" s="37" t="n"/>
      <c r="C743" s="37" t="n"/>
      <c r="D743" s="37" t="n"/>
      <c r="E743" s="37" t="n"/>
      <c r="F743" s="148" t="n"/>
      <c r="G743" s="148" t="n"/>
      <c r="H743" s="148" t="n"/>
      <c r="I743" s="148" t="n"/>
      <c r="J743" s="149" t="n"/>
      <c r="K743" s="37" t="n"/>
      <c r="L743" s="148" t="n"/>
      <c r="M743" s="148" t="n"/>
      <c r="N743" s="148" t="n"/>
      <c r="O743" s="148" t="n"/>
      <c r="P743" s="148" t="n"/>
      <c r="Q743" s="148" t="n"/>
      <c r="R743" s="148" t="n"/>
      <c r="S743" s="148" t="n"/>
      <c r="T743" s="150" t="n"/>
      <c r="U743" s="150" t="n"/>
      <c r="V743" s="37" t="n"/>
      <c r="W743" s="151" t="n"/>
      <c r="X743" s="151" t="n"/>
      <c r="Y743" s="151" t="n"/>
      <c r="Z743" s="151" t="n"/>
      <c r="AA743" s="151" t="n"/>
      <c r="AB743" s="152" t="n"/>
      <c r="AC743" s="152" t="n"/>
      <c r="AD743" s="152" t="n"/>
      <c r="AE743" s="152" t="n"/>
      <c r="AF743" s="152" t="n"/>
    </row>
    <row r="744" ht="15.75" customHeight="1" s="201">
      <c r="A744" s="37" t="n"/>
      <c r="B744" s="37" t="n"/>
      <c r="C744" s="37" t="n"/>
      <c r="D744" s="37" t="n"/>
      <c r="E744" s="37" t="n"/>
      <c r="F744" s="148" t="n"/>
      <c r="G744" s="148" t="n"/>
      <c r="H744" s="148" t="n"/>
      <c r="I744" s="148" t="n"/>
      <c r="J744" s="149" t="n"/>
      <c r="K744" s="37" t="n"/>
      <c r="L744" s="148" t="n"/>
      <c r="M744" s="148" t="n"/>
      <c r="N744" s="148" t="n"/>
      <c r="O744" s="148" t="n"/>
      <c r="P744" s="148" t="n"/>
      <c r="Q744" s="148" t="n"/>
      <c r="R744" s="148" t="n"/>
      <c r="S744" s="148" t="n"/>
      <c r="T744" s="150" t="n"/>
      <c r="U744" s="150" t="n"/>
      <c r="V744" s="37" t="n"/>
      <c r="W744" s="151" t="n"/>
      <c r="X744" s="151" t="n"/>
      <c r="Y744" s="151" t="n"/>
      <c r="Z744" s="151" t="n"/>
      <c r="AA744" s="151" t="n"/>
      <c r="AB744" s="152" t="n"/>
      <c r="AC744" s="152" t="n"/>
      <c r="AD744" s="152" t="n"/>
      <c r="AE744" s="152" t="n"/>
      <c r="AF744" s="152" t="n"/>
    </row>
    <row r="745" ht="15.75" customHeight="1" s="201">
      <c r="A745" s="37" t="n"/>
      <c r="B745" s="37" t="n"/>
      <c r="C745" s="37" t="n"/>
      <c r="D745" s="37" t="n"/>
      <c r="E745" s="37" t="n"/>
      <c r="F745" s="148" t="n"/>
      <c r="G745" s="148" t="n"/>
      <c r="H745" s="148" t="n"/>
      <c r="I745" s="148" t="n"/>
      <c r="J745" s="149" t="n"/>
      <c r="K745" s="37" t="n"/>
      <c r="L745" s="148" t="n"/>
      <c r="M745" s="148" t="n"/>
      <c r="N745" s="148" t="n"/>
      <c r="O745" s="148" t="n"/>
      <c r="P745" s="148" t="n"/>
      <c r="Q745" s="148" t="n"/>
      <c r="R745" s="148" t="n"/>
      <c r="S745" s="148" t="n"/>
      <c r="T745" s="150" t="n"/>
      <c r="U745" s="150" t="n"/>
      <c r="V745" s="37" t="n"/>
      <c r="W745" s="151" t="n"/>
      <c r="X745" s="151" t="n"/>
      <c r="Y745" s="151" t="n"/>
      <c r="Z745" s="151" t="n"/>
      <c r="AA745" s="151" t="n"/>
      <c r="AB745" s="152" t="n"/>
      <c r="AC745" s="152" t="n"/>
      <c r="AD745" s="152" t="n"/>
      <c r="AE745" s="152" t="n"/>
      <c r="AF745" s="152" t="n"/>
    </row>
    <row r="746" ht="15.75" customHeight="1" s="201">
      <c r="A746" s="37" t="n"/>
      <c r="B746" s="37" t="n"/>
      <c r="C746" s="37" t="n"/>
      <c r="D746" s="37" t="n"/>
      <c r="E746" s="37" t="n"/>
      <c r="F746" s="148" t="n"/>
      <c r="G746" s="148" t="n"/>
      <c r="H746" s="148" t="n"/>
      <c r="I746" s="148" t="n"/>
      <c r="J746" s="149" t="n"/>
      <c r="K746" s="37" t="n"/>
      <c r="L746" s="148" t="n"/>
      <c r="M746" s="148" t="n"/>
      <c r="N746" s="148" t="n"/>
      <c r="O746" s="148" t="n"/>
      <c r="P746" s="148" t="n"/>
      <c r="Q746" s="148" t="n"/>
      <c r="R746" s="148" t="n"/>
      <c r="S746" s="148" t="n"/>
      <c r="T746" s="150" t="n"/>
      <c r="U746" s="150" t="n"/>
      <c r="V746" s="37" t="n"/>
      <c r="W746" s="151" t="n"/>
      <c r="X746" s="151" t="n"/>
      <c r="Y746" s="151" t="n"/>
      <c r="Z746" s="151" t="n"/>
      <c r="AA746" s="151" t="n"/>
      <c r="AB746" s="152" t="n"/>
      <c r="AC746" s="152" t="n"/>
      <c r="AD746" s="152" t="n"/>
      <c r="AE746" s="152" t="n"/>
      <c r="AF746" s="152" t="n"/>
    </row>
    <row r="747" ht="15.75" customHeight="1" s="201">
      <c r="A747" s="37" t="n"/>
      <c r="B747" s="37" t="n"/>
      <c r="C747" s="37" t="n"/>
      <c r="D747" s="37" t="n"/>
      <c r="E747" s="37" t="n"/>
      <c r="F747" s="148" t="n"/>
      <c r="G747" s="148" t="n"/>
      <c r="H747" s="148" t="n"/>
      <c r="I747" s="148" t="n"/>
      <c r="J747" s="149" t="n"/>
      <c r="K747" s="37" t="n"/>
      <c r="L747" s="148" t="n"/>
      <c r="M747" s="148" t="n"/>
      <c r="N747" s="148" t="n"/>
      <c r="O747" s="148" t="n"/>
      <c r="P747" s="148" t="n"/>
      <c r="Q747" s="148" t="n"/>
      <c r="R747" s="148" t="n"/>
      <c r="S747" s="148" t="n"/>
      <c r="T747" s="150" t="n"/>
      <c r="U747" s="150" t="n"/>
      <c r="V747" s="37" t="n"/>
      <c r="W747" s="151" t="n"/>
      <c r="X747" s="151" t="n"/>
      <c r="Y747" s="151" t="n"/>
      <c r="Z747" s="151" t="n"/>
      <c r="AA747" s="151" t="n"/>
      <c r="AB747" s="152" t="n"/>
      <c r="AC747" s="152" t="n"/>
      <c r="AD747" s="152" t="n"/>
      <c r="AE747" s="152" t="n"/>
      <c r="AF747" s="152" t="n"/>
    </row>
    <row r="748" ht="15.75" customHeight="1" s="201">
      <c r="A748" s="37" t="n"/>
      <c r="B748" s="37" t="n"/>
      <c r="C748" s="37" t="n"/>
      <c r="D748" s="37" t="n"/>
      <c r="E748" s="37" t="n"/>
      <c r="F748" s="148" t="n"/>
      <c r="G748" s="148" t="n"/>
      <c r="H748" s="148" t="n"/>
      <c r="I748" s="148" t="n"/>
      <c r="J748" s="149" t="n"/>
      <c r="K748" s="37" t="n"/>
      <c r="L748" s="148" t="n"/>
      <c r="M748" s="148" t="n"/>
      <c r="N748" s="148" t="n"/>
      <c r="O748" s="148" t="n"/>
      <c r="P748" s="148" t="n"/>
      <c r="Q748" s="148" t="n"/>
      <c r="R748" s="148" t="n"/>
      <c r="S748" s="148" t="n"/>
      <c r="T748" s="150" t="n"/>
      <c r="U748" s="150" t="n"/>
      <c r="V748" s="37" t="n"/>
      <c r="W748" s="151" t="n"/>
      <c r="X748" s="151" t="n"/>
      <c r="Y748" s="151" t="n"/>
      <c r="Z748" s="151" t="n"/>
      <c r="AA748" s="151" t="n"/>
      <c r="AB748" s="152" t="n"/>
      <c r="AC748" s="152" t="n"/>
      <c r="AD748" s="152" t="n"/>
      <c r="AE748" s="152" t="n"/>
      <c r="AF748" s="152" t="n"/>
    </row>
    <row r="749" ht="15.75" customHeight="1" s="201">
      <c r="A749" s="37" t="n"/>
      <c r="B749" s="37" t="n"/>
      <c r="C749" s="37" t="n"/>
      <c r="D749" s="37" t="n"/>
      <c r="E749" s="37" t="n"/>
      <c r="F749" s="148" t="n"/>
      <c r="G749" s="148" t="n"/>
      <c r="H749" s="148" t="n"/>
      <c r="I749" s="148" t="n"/>
      <c r="J749" s="149" t="n"/>
      <c r="K749" s="37" t="n"/>
      <c r="L749" s="148" t="n"/>
      <c r="M749" s="148" t="n"/>
      <c r="N749" s="148" t="n"/>
      <c r="O749" s="148" t="n"/>
      <c r="P749" s="148" t="n"/>
      <c r="Q749" s="148" t="n"/>
      <c r="R749" s="148" t="n"/>
      <c r="S749" s="148" t="n"/>
      <c r="T749" s="150" t="n"/>
      <c r="U749" s="150" t="n"/>
      <c r="V749" s="37" t="n"/>
      <c r="W749" s="151" t="n"/>
      <c r="X749" s="151" t="n"/>
      <c r="Y749" s="151" t="n"/>
      <c r="Z749" s="151" t="n"/>
      <c r="AA749" s="151" t="n"/>
      <c r="AB749" s="152" t="n"/>
      <c r="AC749" s="152" t="n"/>
      <c r="AD749" s="152" t="n"/>
      <c r="AE749" s="152" t="n"/>
      <c r="AF749" s="152" t="n"/>
    </row>
    <row r="750" ht="15.75" customHeight="1" s="201">
      <c r="A750" s="37" t="n"/>
      <c r="B750" s="37" t="n"/>
      <c r="C750" s="37" t="n"/>
      <c r="D750" s="37" t="n"/>
      <c r="E750" s="37" t="n"/>
      <c r="F750" s="148" t="n"/>
      <c r="G750" s="148" t="n"/>
      <c r="H750" s="148" t="n"/>
      <c r="I750" s="148" t="n"/>
      <c r="J750" s="149" t="n"/>
      <c r="K750" s="37" t="n"/>
      <c r="L750" s="148" t="n"/>
      <c r="M750" s="148" t="n"/>
      <c r="N750" s="148" t="n"/>
      <c r="O750" s="148" t="n"/>
      <c r="P750" s="148" t="n"/>
      <c r="Q750" s="148" t="n"/>
      <c r="R750" s="148" t="n"/>
      <c r="S750" s="148" t="n"/>
      <c r="T750" s="150" t="n"/>
      <c r="U750" s="150" t="n"/>
      <c r="V750" s="37" t="n"/>
      <c r="W750" s="151" t="n"/>
      <c r="X750" s="151" t="n"/>
      <c r="Y750" s="151" t="n"/>
      <c r="Z750" s="151" t="n"/>
      <c r="AA750" s="151" t="n"/>
      <c r="AB750" s="152" t="n"/>
      <c r="AC750" s="152" t="n"/>
      <c r="AD750" s="152" t="n"/>
      <c r="AE750" s="152" t="n"/>
      <c r="AF750" s="152" t="n"/>
    </row>
    <row r="751" ht="15.75" customHeight="1" s="201">
      <c r="A751" s="37" t="n"/>
      <c r="B751" s="37" t="n"/>
      <c r="C751" s="37" t="n"/>
      <c r="D751" s="37" t="n"/>
      <c r="E751" s="37" t="n"/>
      <c r="F751" s="148" t="n"/>
      <c r="G751" s="148" t="n"/>
      <c r="H751" s="148" t="n"/>
      <c r="I751" s="148" t="n"/>
      <c r="J751" s="149" t="n"/>
      <c r="K751" s="37" t="n"/>
      <c r="L751" s="148" t="n"/>
      <c r="M751" s="148" t="n"/>
      <c r="N751" s="148" t="n"/>
      <c r="O751" s="148" t="n"/>
      <c r="P751" s="148" t="n"/>
      <c r="Q751" s="148" t="n"/>
      <c r="R751" s="148" t="n"/>
      <c r="S751" s="148" t="n"/>
      <c r="T751" s="150" t="n"/>
      <c r="U751" s="150" t="n"/>
      <c r="V751" s="37" t="n"/>
      <c r="W751" s="151" t="n"/>
      <c r="X751" s="151" t="n"/>
      <c r="Y751" s="151" t="n"/>
      <c r="Z751" s="151" t="n"/>
      <c r="AA751" s="151" t="n"/>
      <c r="AB751" s="152" t="n"/>
      <c r="AC751" s="152" t="n"/>
      <c r="AD751" s="152" t="n"/>
      <c r="AE751" s="152" t="n"/>
      <c r="AF751" s="152" t="n"/>
    </row>
    <row r="752" ht="15.75" customHeight="1" s="201">
      <c r="A752" s="37" t="n"/>
      <c r="B752" s="37" t="n"/>
      <c r="C752" s="37" t="n"/>
      <c r="D752" s="37" t="n"/>
      <c r="E752" s="37" t="n"/>
      <c r="F752" s="148" t="n"/>
      <c r="G752" s="148" t="n"/>
      <c r="H752" s="148" t="n"/>
      <c r="I752" s="148" t="n"/>
      <c r="J752" s="149" t="n"/>
      <c r="K752" s="37" t="n"/>
      <c r="L752" s="148" t="n"/>
      <c r="M752" s="148" t="n"/>
      <c r="N752" s="148" t="n"/>
      <c r="O752" s="148" t="n"/>
      <c r="P752" s="148" t="n"/>
      <c r="Q752" s="148" t="n"/>
      <c r="R752" s="148" t="n"/>
      <c r="S752" s="148" t="n"/>
      <c r="T752" s="150" t="n"/>
      <c r="U752" s="150" t="n"/>
      <c r="V752" s="37" t="n"/>
      <c r="W752" s="151" t="n"/>
      <c r="X752" s="151" t="n"/>
      <c r="Y752" s="151" t="n"/>
      <c r="Z752" s="151" t="n"/>
      <c r="AA752" s="151" t="n"/>
      <c r="AB752" s="152" t="n"/>
      <c r="AC752" s="152" t="n"/>
      <c r="AD752" s="152" t="n"/>
      <c r="AE752" s="152" t="n"/>
      <c r="AF752" s="152" t="n"/>
    </row>
    <row r="753" ht="15.75" customHeight="1" s="201">
      <c r="A753" s="37" t="n"/>
      <c r="B753" s="37" t="n"/>
      <c r="C753" s="37" t="n"/>
      <c r="D753" s="37" t="n"/>
      <c r="E753" s="37" t="n"/>
      <c r="F753" s="148" t="n"/>
      <c r="G753" s="148" t="n"/>
      <c r="H753" s="148" t="n"/>
      <c r="I753" s="148" t="n"/>
      <c r="J753" s="149" t="n"/>
      <c r="K753" s="37" t="n"/>
      <c r="L753" s="148" t="n"/>
      <c r="M753" s="148" t="n"/>
      <c r="N753" s="148" t="n"/>
      <c r="O753" s="148" t="n"/>
      <c r="P753" s="148" t="n"/>
      <c r="Q753" s="148" t="n"/>
      <c r="R753" s="148" t="n"/>
      <c r="S753" s="148" t="n"/>
      <c r="T753" s="150" t="n"/>
      <c r="U753" s="150" t="n"/>
      <c r="V753" s="37" t="n"/>
      <c r="W753" s="151" t="n"/>
      <c r="X753" s="151" t="n"/>
      <c r="Y753" s="151" t="n"/>
      <c r="Z753" s="151" t="n"/>
      <c r="AA753" s="151" t="n"/>
      <c r="AB753" s="152" t="n"/>
      <c r="AC753" s="152" t="n"/>
      <c r="AD753" s="152" t="n"/>
      <c r="AE753" s="152" t="n"/>
      <c r="AF753" s="152" t="n"/>
    </row>
    <row r="754" ht="15.75" customHeight="1" s="201">
      <c r="A754" s="37" t="n"/>
      <c r="B754" s="37" t="n"/>
      <c r="C754" s="37" t="n"/>
      <c r="D754" s="37" t="n"/>
      <c r="E754" s="37" t="n"/>
      <c r="F754" s="148" t="n"/>
      <c r="G754" s="148" t="n"/>
      <c r="H754" s="148" t="n"/>
      <c r="I754" s="148" t="n"/>
      <c r="J754" s="149" t="n"/>
      <c r="K754" s="37" t="n"/>
      <c r="L754" s="148" t="n"/>
      <c r="M754" s="148" t="n"/>
      <c r="N754" s="148" t="n"/>
      <c r="O754" s="148" t="n"/>
      <c r="P754" s="148" t="n"/>
      <c r="Q754" s="148" t="n"/>
      <c r="R754" s="148" t="n"/>
      <c r="S754" s="148" t="n"/>
      <c r="T754" s="150" t="n"/>
      <c r="U754" s="150" t="n"/>
      <c r="V754" s="37" t="n"/>
      <c r="W754" s="151" t="n"/>
      <c r="X754" s="151" t="n"/>
      <c r="Y754" s="151" t="n"/>
      <c r="Z754" s="151" t="n"/>
      <c r="AA754" s="151" t="n"/>
      <c r="AB754" s="152" t="n"/>
      <c r="AC754" s="152" t="n"/>
      <c r="AD754" s="152" t="n"/>
      <c r="AE754" s="152" t="n"/>
      <c r="AF754" s="152" t="n"/>
    </row>
    <row r="755" ht="15.75" customHeight="1" s="201">
      <c r="A755" s="37" t="n"/>
      <c r="B755" s="37" t="n"/>
      <c r="C755" s="37" t="n"/>
      <c r="D755" s="37" t="n"/>
      <c r="E755" s="37" t="n"/>
      <c r="F755" s="148" t="n"/>
      <c r="G755" s="148" t="n"/>
      <c r="H755" s="148" t="n"/>
      <c r="I755" s="148" t="n"/>
      <c r="J755" s="149" t="n"/>
      <c r="K755" s="37" t="n"/>
      <c r="L755" s="148" t="n"/>
      <c r="M755" s="148" t="n"/>
      <c r="N755" s="148" t="n"/>
      <c r="O755" s="148" t="n"/>
      <c r="P755" s="148" t="n"/>
      <c r="Q755" s="148" t="n"/>
      <c r="R755" s="148" t="n"/>
      <c r="S755" s="148" t="n"/>
      <c r="T755" s="150" t="n"/>
      <c r="U755" s="150" t="n"/>
      <c r="V755" s="37" t="n"/>
      <c r="W755" s="151" t="n"/>
      <c r="X755" s="151" t="n"/>
      <c r="Y755" s="151" t="n"/>
      <c r="Z755" s="151" t="n"/>
      <c r="AA755" s="151" t="n"/>
      <c r="AB755" s="152" t="n"/>
      <c r="AC755" s="152" t="n"/>
      <c r="AD755" s="152" t="n"/>
      <c r="AE755" s="152" t="n"/>
      <c r="AF755" s="152" t="n"/>
    </row>
    <row r="756" ht="15.75" customHeight="1" s="201">
      <c r="A756" s="37" t="n"/>
      <c r="B756" s="37" t="n"/>
      <c r="C756" s="37" t="n"/>
      <c r="D756" s="37" t="n"/>
      <c r="E756" s="37" t="n"/>
      <c r="F756" s="148" t="n"/>
      <c r="G756" s="148" t="n"/>
      <c r="H756" s="148" t="n"/>
      <c r="I756" s="148" t="n"/>
      <c r="J756" s="149" t="n"/>
      <c r="K756" s="37" t="n"/>
      <c r="L756" s="148" t="n"/>
      <c r="M756" s="148" t="n"/>
      <c r="N756" s="148" t="n"/>
      <c r="O756" s="148" t="n"/>
      <c r="P756" s="148" t="n"/>
      <c r="Q756" s="148" t="n"/>
      <c r="R756" s="148" t="n"/>
      <c r="S756" s="148" t="n"/>
      <c r="T756" s="150" t="n"/>
      <c r="U756" s="150" t="n"/>
      <c r="V756" s="37" t="n"/>
      <c r="W756" s="151" t="n"/>
      <c r="X756" s="151" t="n"/>
      <c r="Y756" s="151" t="n"/>
      <c r="Z756" s="151" t="n"/>
      <c r="AA756" s="151" t="n"/>
      <c r="AB756" s="152" t="n"/>
      <c r="AC756" s="152" t="n"/>
      <c r="AD756" s="152" t="n"/>
      <c r="AE756" s="152" t="n"/>
      <c r="AF756" s="152" t="n"/>
    </row>
    <row r="757" ht="15.75" customHeight="1" s="201">
      <c r="A757" s="37" t="n"/>
      <c r="B757" s="37" t="n"/>
      <c r="C757" s="37" t="n"/>
      <c r="D757" s="37" t="n"/>
      <c r="E757" s="37" t="n"/>
      <c r="F757" s="148" t="n"/>
      <c r="G757" s="148" t="n"/>
      <c r="H757" s="148" t="n"/>
      <c r="I757" s="148" t="n"/>
      <c r="J757" s="149" t="n"/>
      <c r="K757" s="37" t="n"/>
      <c r="L757" s="148" t="n"/>
      <c r="M757" s="148" t="n"/>
      <c r="N757" s="148" t="n"/>
      <c r="O757" s="148" t="n"/>
      <c r="P757" s="148" t="n"/>
      <c r="Q757" s="148" t="n"/>
      <c r="R757" s="148" t="n"/>
      <c r="S757" s="148" t="n"/>
      <c r="T757" s="150" t="n"/>
      <c r="U757" s="150" t="n"/>
      <c r="V757" s="37" t="n"/>
      <c r="W757" s="151" t="n"/>
      <c r="X757" s="151" t="n"/>
      <c r="Y757" s="151" t="n"/>
      <c r="Z757" s="151" t="n"/>
      <c r="AA757" s="151" t="n"/>
      <c r="AB757" s="152" t="n"/>
      <c r="AC757" s="152" t="n"/>
      <c r="AD757" s="152" t="n"/>
      <c r="AE757" s="152" t="n"/>
      <c r="AF757" s="152" t="n"/>
    </row>
    <row r="758" ht="15.75" customHeight="1" s="201">
      <c r="A758" s="37" t="n"/>
      <c r="B758" s="37" t="n"/>
      <c r="C758" s="37" t="n"/>
      <c r="D758" s="37" t="n"/>
      <c r="E758" s="37" t="n"/>
      <c r="F758" s="148" t="n"/>
      <c r="G758" s="148" t="n"/>
      <c r="H758" s="148" t="n"/>
      <c r="I758" s="148" t="n"/>
      <c r="J758" s="149" t="n"/>
      <c r="K758" s="37" t="n"/>
      <c r="L758" s="148" t="n"/>
      <c r="M758" s="148" t="n"/>
      <c r="N758" s="148" t="n"/>
      <c r="O758" s="148" t="n"/>
      <c r="P758" s="148" t="n"/>
      <c r="Q758" s="148" t="n"/>
      <c r="R758" s="148" t="n"/>
      <c r="S758" s="148" t="n"/>
      <c r="T758" s="150" t="n"/>
      <c r="U758" s="150" t="n"/>
      <c r="V758" s="37" t="n"/>
      <c r="W758" s="151" t="n"/>
      <c r="X758" s="151" t="n"/>
      <c r="Y758" s="151" t="n"/>
      <c r="Z758" s="151" t="n"/>
      <c r="AA758" s="151" t="n"/>
      <c r="AB758" s="152" t="n"/>
      <c r="AC758" s="152" t="n"/>
      <c r="AD758" s="152" t="n"/>
      <c r="AE758" s="152" t="n"/>
      <c r="AF758" s="152" t="n"/>
    </row>
    <row r="759" ht="15.75" customHeight="1" s="201">
      <c r="A759" s="37" t="n"/>
      <c r="B759" s="37" t="n"/>
      <c r="C759" s="37" t="n"/>
      <c r="D759" s="37" t="n"/>
      <c r="E759" s="37" t="n"/>
      <c r="F759" s="148" t="n"/>
      <c r="G759" s="148" t="n"/>
      <c r="H759" s="148" t="n"/>
      <c r="I759" s="148" t="n"/>
      <c r="J759" s="149" t="n"/>
      <c r="K759" s="37" t="n"/>
      <c r="L759" s="148" t="n"/>
      <c r="M759" s="148" t="n"/>
      <c r="N759" s="148" t="n"/>
      <c r="O759" s="148" t="n"/>
      <c r="P759" s="148" t="n"/>
      <c r="Q759" s="148" t="n"/>
      <c r="R759" s="148" t="n"/>
      <c r="S759" s="148" t="n"/>
      <c r="T759" s="150" t="n"/>
      <c r="U759" s="150" t="n"/>
      <c r="V759" s="37" t="n"/>
      <c r="W759" s="151" t="n"/>
      <c r="X759" s="151" t="n"/>
      <c r="Y759" s="151" t="n"/>
      <c r="Z759" s="151" t="n"/>
      <c r="AA759" s="151" t="n"/>
      <c r="AB759" s="152" t="n"/>
      <c r="AC759" s="152" t="n"/>
      <c r="AD759" s="152" t="n"/>
      <c r="AE759" s="152" t="n"/>
      <c r="AF759" s="152" t="n"/>
    </row>
    <row r="760" ht="15.75" customHeight="1" s="201">
      <c r="A760" s="37" t="n"/>
      <c r="B760" s="37" t="n"/>
      <c r="C760" s="37" t="n"/>
      <c r="D760" s="37" t="n"/>
      <c r="E760" s="37" t="n"/>
      <c r="F760" s="148" t="n"/>
      <c r="G760" s="148" t="n"/>
      <c r="H760" s="148" t="n"/>
      <c r="I760" s="148" t="n"/>
      <c r="J760" s="149" t="n"/>
      <c r="K760" s="37" t="n"/>
      <c r="L760" s="148" t="n"/>
      <c r="M760" s="148" t="n"/>
      <c r="N760" s="148" t="n"/>
      <c r="O760" s="148" t="n"/>
      <c r="P760" s="148" t="n"/>
      <c r="Q760" s="148" t="n"/>
      <c r="R760" s="148" t="n"/>
      <c r="S760" s="148" t="n"/>
      <c r="T760" s="150" t="n"/>
      <c r="U760" s="150" t="n"/>
      <c r="V760" s="37" t="n"/>
      <c r="W760" s="151" t="n"/>
      <c r="X760" s="151" t="n"/>
      <c r="Y760" s="151" t="n"/>
      <c r="Z760" s="151" t="n"/>
      <c r="AA760" s="151" t="n"/>
      <c r="AB760" s="152" t="n"/>
      <c r="AC760" s="152" t="n"/>
      <c r="AD760" s="152" t="n"/>
      <c r="AE760" s="152" t="n"/>
      <c r="AF760" s="152" t="n"/>
    </row>
    <row r="761" ht="15.75" customHeight="1" s="201">
      <c r="A761" s="37" t="n"/>
      <c r="B761" s="37" t="n"/>
      <c r="C761" s="37" t="n"/>
      <c r="D761" s="37" t="n"/>
      <c r="E761" s="37" t="n"/>
      <c r="F761" s="148" t="n"/>
      <c r="G761" s="148" t="n"/>
      <c r="H761" s="148" t="n"/>
      <c r="I761" s="148" t="n"/>
      <c r="J761" s="149" t="n"/>
      <c r="K761" s="37" t="n"/>
      <c r="L761" s="148" t="n"/>
      <c r="M761" s="148" t="n"/>
      <c r="N761" s="148" t="n"/>
      <c r="O761" s="148" t="n"/>
      <c r="P761" s="148" t="n"/>
      <c r="Q761" s="148" t="n"/>
      <c r="R761" s="148" t="n"/>
      <c r="S761" s="148" t="n"/>
      <c r="T761" s="150" t="n"/>
      <c r="U761" s="150" t="n"/>
      <c r="V761" s="37" t="n"/>
      <c r="W761" s="151" t="n"/>
      <c r="X761" s="151" t="n"/>
      <c r="Y761" s="151" t="n"/>
      <c r="Z761" s="151" t="n"/>
      <c r="AA761" s="151" t="n"/>
      <c r="AB761" s="152" t="n"/>
      <c r="AC761" s="152" t="n"/>
      <c r="AD761" s="152" t="n"/>
      <c r="AE761" s="152" t="n"/>
      <c r="AF761" s="152" t="n"/>
    </row>
    <row r="762" ht="15.75" customHeight="1" s="201">
      <c r="A762" s="37" t="n"/>
      <c r="B762" s="37" t="n"/>
      <c r="C762" s="37" t="n"/>
      <c r="D762" s="37" t="n"/>
      <c r="E762" s="37" t="n"/>
      <c r="F762" s="148" t="n"/>
      <c r="G762" s="148" t="n"/>
      <c r="H762" s="148" t="n"/>
      <c r="I762" s="148" t="n"/>
      <c r="J762" s="149" t="n"/>
      <c r="K762" s="37" t="n"/>
      <c r="L762" s="148" t="n"/>
      <c r="M762" s="148" t="n"/>
      <c r="N762" s="148" t="n"/>
      <c r="O762" s="148" t="n"/>
      <c r="P762" s="148" t="n"/>
      <c r="Q762" s="148" t="n"/>
      <c r="R762" s="148" t="n"/>
      <c r="S762" s="148" t="n"/>
      <c r="T762" s="150" t="n"/>
      <c r="U762" s="150" t="n"/>
      <c r="V762" s="37" t="n"/>
      <c r="W762" s="151" t="n"/>
      <c r="X762" s="151" t="n"/>
      <c r="Y762" s="151" t="n"/>
      <c r="Z762" s="151" t="n"/>
      <c r="AA762" s="151" t="n"/>
      <c r="AB762" s="152" t="n"/>
      <c r="AC762" s="152" t="n"/>
      <c r="AD762" s="152" t="n"/>
      <c r="AE762" s="152" t="n"/>
      <c r="AF762" s="152" t="n"/>
    </row>
    <row r="763" ht="15.75" customHeight="1" s="201">
      <c r="A763" s="37" t="n"/>
      <c r="B763" s="37" t="n"/>
      <c r="C763" s="37" t="n"/>
      <c r="D763" s="37" t="n"/>
      <c r="E763" s="37" t="n"/>
      <c r="F763" s="148" t="n"/>
      <c r="G763" s="148" t="n"/>
      <c r="H763" s="148" t="n"/>
      <c r="I763" s="148" t="n"/>
      <c r="J763" s="149" t="n"/>
      <c r="K763" s="37" t="n"/>
      <c r="L763" s="148" t="n"/>
      <c r="M763" s="148" t="n"/>
      <c r="N763" s="148" t="n"/>
      <c r="O763" s="148" t="n"/>
      <c r="P763" s="148" t="n"/>
      <c r="Q763" s="148" t="n"/>
      <c r="R763" s="148" t="n"/>
      <c r="S763" s="148" t="n"/>
      <c r="T763" s="150" t="n"/>
      <c r="U763" s="150" t="n"/>
      <c r="V763" s="37" t="n"/>
      <c r="W763" s="151" t="n"/>
      <c r="X763" s="151" t="n"/>
      <c r="Y763" s="151" t="n"/>
      <c r="Z763" s="151" t="n"/>
      <c r="AA763" s="151" t="n"/>
      <c r="AB763" s="152" t="n"/>
      <c r="AC763" s="152" t="n"/>
      <c r="AD763" s="152" t="n"/>
      <c r="AE763" s="152" t="n"/>
      <c r="AF763" s="152" t="n"/>
    </row>
    <row r="764" ht="15.75" customHeight="1" s="201">
      <c r="A764" s="37" t="n"/>
      <c r="B764" s="37" t="n"/>
      <c r="C764" s="37" t="n"/>
      <c r="D764" s="37" t="n"/>
      <c r="E764" s="37" t="n"/>
      <c r="F764" s="148" t="n"/>
      <c r="G764" s="148" t="n"/>
      <c r="H764" s="148" t="n"/>
      <c r="I764" s="148" t="n"/>
      <c r="J764" s="149" t="n"/>
      <c r="K764" s="37" t="n"/>
      <c r="L764" s="148" t="n"/>
      <c r="M764" s="148" t="n"/>
      <c r="N764" s="148" t="n"/>
      <c r="O764" s="148" t="n"/>
      <c r="P764" s="148" t="n"/>
      <c r="Q764" s="148" t="n"/>
      <c r="R764" s="148" t="n"/>
      <c r="S764" s="148" t="n"/>
      <c r="T764" s="150" t="n"/>
      <c r="U764" s="150" t="n"/>
      <c r="V764" s="37" t="n"/>
      <c r="W764" s="151" t="n"/>
      <c r="X764" s="151" t="n"/>
      <c r="Y764" s="151" t="n"/>
      <c r="Z764" s="151" t="n"/>
      <c r="AA764" s="151" t="n"/>
      <c r="AB764" s="152" t="n"/>
      <c r="AC764" s="152" t="n"/>
      <c r="AD764" s="152" t="n"/>
      <c r="AE764" s="152" t="n"/>
      <c r="AF764" s="152" t="n"/>
    </row>
    <row r="765" ht="15.75" customHeight="1" s="201">
      <c r="A765" s="37" t="n"/>
      <c r="B765" s="37" t="n"/>
      <c r="C765" s="37" t="n"/>
      <c r="D765" s="37" t="n"/>
      <c r="E765" s="37" t="n"/>
      <c r="F765" s="148" t="n"/>
      <c r="G765" s="148" t="n"/>
      <c r="H765" s="148" t="n"/>
      <c r="I765" s="148" t="n"/>
      <c r="J765" s="149" t="n"/>
      <c r="K765" s="37" t="n"/>
      <c r="L765" s="148" t="n"/>
      <c r="M765" s="148" t="n"/>
      <c r="N765" s="148" t="n"/>
      <c r="O765" s="148" t="n"/>
      <c r="P765" s="148" t="n"/>
      <c r="Q765" s="148" t="n"/>
      <c r="R765" s="148" t="n"/>
      <c r="S765" s="148" t="n"/>
      <c r="T765" s="150" t="n"/>
      <c r="U765" s="150" t="n"/>
      <c r="V765" s="37" t="n"/>
      <c r="W765" s="151" t="n"/>
      <c r="X765" s="151" t="n"/>
      <c r="Y765" s="151" t="n"/>
      <c r="Z765" s="151" t="n"/>
      <c r="AA765" s="151" t="n"/>
      <c r="AB765" s="152" t="n"/>
      <c r="AC765" s="152" t="n"/>
      <c r="AD765" s="152" t="n"/>
      <c r="AE765" s="152" t="n"/>
      <c r="AF765" s="152" t="n"/>
    </row>
    <row r="766" ht="15.75" customHeight="1" s="201">
      <c r="A766" s="37" t="n"/>
      <c r="B766" s="37" t="n"/>
      <c r="C766" s="37" t="n"/>
      <c r="D766" s="37" t="n"/>
      <c r="E766" s="37" t="n"/>
      <c r="F766" s="148" t="n"/>
      <c r="G766" s="148" t="n"/>
      <c r="H766" s="148" t="n"/>
      <c r="I766" s="148" t="n"/>
      <c r="J766" s="149" t="n"/>
      <c r="K766" s="37" t="n"/>
      <c r="L766" s="148" t="n"/>
      <c r="M766" s="148" t="n"/>
      <c r="N766" s="148" t="n"/>
      <c r="O766" s="148" t="n"/>
      <c r="P766" s="148" t="n"/>
      <c r="Q766" s="148" t="n"/>
      <c r="R766" s="148" t="n"/>
      <c r="S766" s="148" t="n"/>
      <c r="T766" s="150" t="n"/>
      <c r="U766" s="150" t="n"/>
      <c r="V766" s="37" t="n"/>
      <c r="W766" s="151" t="n"/>
      <c r="X766" s="151" t="n"/>
      <c r="Y766" s="151" t="n"/>
      <c r="Z766" s="151" t="n"/>
      <c r="AA766" s="151" t="n"/>
      <c r="AB766" s="152" t="n"/>
      <c r="AC766" s="152" t="n"/>
      <c r="AD766" s="152" t="n"/>
      <c r="AE766" s="152" t="n"/>
      <c r="AF766" s="152" t="n"/>
    </row>
    <row r="767" ht="15.75" customHeight="1" s="201">
      <c r="A767" s="37" t="n"/>
      <c r="B767" s="37" t="n"/>
      <c r="C767" s="37" t="n"/>
      <c r="D767" s="37" t="n"/>
      <c r="E767" s="37" t="n"/>
      <c r="F767" s="148" t="n"/>
      <c r="G767" s="148" t="n"/>
      <c r="H767" s="148" t="n"/>
      <c r="I767" s="148" t="n"/>
      <c r="J767" s="149" t="n"/>
      <c r="K767" s="37" t="n"/>
      <c r="L767" s="148" t="n"/>
      <c r="M767" s="148" t="n"/>
      <c r="N767" s="148" t="n"/>
      <c r="O767" s="148" t="n"/>
      <c r="P767" s="148" t="n"/>
      <c r="Q767" s="148" t="n"/>
      <c r="R767" s="148" t="n"/>
      <c r="S767" s="148" t="n"/>
      <c r="T767" s="150" t="n"/>
      <c r="U767" s="150" t="n"/>
      <c r="V767" s="37" t="n"/>
      <c r="W767" s="151" t="n"/>
      <c r="X767" s="151" t="n"/>
      <c r="Y767" s="151" t="n"/>
      <c r="Z767" s="151" t="n"/>
      <c r="AA767" s="151" t="n"/>
      <c r="AB767" s="152" t="n"/>
      <c r="AC767" s="152" t="n"/>
      <c r="AD767" s="152" t="n"/>
      <c r="AE767" s="152" t="n"/>
      <c r="AF767" s="152" t="n"/>
    </row>
    <row r="768" ht="15.75" customHeight="1" s="201">
      <c r="A768" s="37" t="n"/>
      <c r="B768" s="37" t="n"/>
      <c r="C768" s="37" t="n"/>
      <c r="D768" s="37" t="n"/>
      <c r="E768" s="37" t="n"/>
      <c r="F768" s="148" t="n"/>
      <c r="G768" s="148" t="n"/>
      <c r="H768" s="148" t="n"/>
      <c r="I768" s="148" t="n"/>
      <c r="J768" s="149" t="n"/>
      <c r="K768" s="37" t="n"/>
      <c r="L768" s="148" t="n"/>
      <c r="M768" s="148" t="n"/>
      <c r="N768" s="148" t="n"/>
      <c r="O768" s="148" t="n"/>
      <c r="P768" s="148" t="n"/>
      <c r="Q768" s="148" t="n"/>
      <c r="R768" s="148" t="n"/>
      <c r="S768" s="148" t="n"/>
      <c r="T768" s="150" t="n"/>
      <c r="U768" s="150" t="n"/>
      <c r="V768" s="37" t="n"/>
      <c r="W768" s="151" t="n"/>
      <c r="X768" s="151" t="n"/>
      <c r="Y768" s="151" t="n"/>
      <c r="Z768" s="151" t="n"/>
      <c r="AA768" s="151" t="n"/>
      <c r="AB768" s="152" t="n"/>
      <c r="AC768" s="152" t="n"/>
      <c r="AD768" s="152" t="n"/>
      <c r="AE768" s="152" t="n"/>
      <c r="AF768" s="152" t="n"/>
    </row>
    <row r="769" ht="15.75" customHeight="1" s="201">
      <c r="A769" s="37" t="n"/>
      <c r="B769" s="37" t="n"/>
      <c r="C769" s="37" t="n"/>
      <c r="D769" s="37" t="n"/>
      <c r="E769" s="37" t="n"/>
      <c r="F769" s="148" t="n"/>
      <c r="G769" s="148" t="n"/>
      <c r="H769" s="148" t="n"/>
      <c r="I769" s="148" t="n"/>
      <c r="J769" s="149" t="n"/>
      <c r="K769" s="37" t="n"/>
      <c r="L769" s="148" t="n"/>
      <c r="M769" s="148" t="n"/>
      <c r="N769" s="148" t="n"/>
      <c r="O769" s="148" t="n"/>
      <c r="P769" s="148" t="n"/>
      <c r="Q769" s="148" t="n"/>
      <c r="R769" s="148" t="n"/>
      <c r="S769" s="148" t="n"/>
      <c r="T769" s="150" t="n"/>
      <c r="U769" s="150" t="n"/>
      <c r="V769" s="37" t="n"/>
      <c r="W769" s="151" t="n"/>
      <c r="X769" s="151" t="n"/>
      <c r="Y769" s="151" t="n"/>
      <c r="Z769" s="151" t="n"/>
      <c r="AA769" s="151" t="n"/>
      <c r="AB769" s="152" t="n"/>
      <c r="AC769" s="152" t="n"/>
      <c r="AD769" s="152" t="n"/>
      <c r="AE769" s="152" t="n"/>
      <c r="AF769" s="152" t="n"/>
    </row>
    <row r="770" ht="15.75" customHeight="1" s="201">
      <c r="A770" s="37" t="n"/>
      <c r="B770" s="37" t="n"/>
      <c r="C770" s="37" t="n"/>
      <c r="D770" s="37" t="n"/>
      <c r="E770" s="37" t="n"/>
      <c r="F770" s="148" t="n"/>
      <c r="G770" s="148" t="n"/>
      <c r="H770" s="148" t="n"/>
      <c r="I770" s="148" t="n"/>
      <c r="J770" s="149" t="n"/>
      <c r="K770" s="37" t="n"/>
      <c r="L770" s="148" t="n"/>
      <c r="M770" s="148" t="n"/>
      <c r="N770" s="148" t="n"/>
      <c r="O770" s="148" t="n"/>
      <c r="P770" s="148" t="n"/>
      <c r="Q770" s="148" t="n"/>
      <c r="R770" s="148" t="n"/>
      <c r="S770" s="148" t="n"/>
      <c r="T770" s="150" t="n"/>
      <c r="U770" s="150" t="n"/>
      <c r="V770" s="37" t="n"/>
      <c r="W770" s="151" t="n"/>
      <c r="X770" s="151" t="n"/>
      <c r="Y770" s="151" t="n"/>
      <c r="Z770" s="151" t="n"/>
      <c r="AA770" s="151" t="n"/>
      <c r="AB770" s="152" t="n"/>
      <c r="AC770" s="152" t="n"/>
      <c r="AD770" s="152" t="n"/>
      <c r="AE770" s="152" t="n"/>
      <c r="AF770" s="152" t="n"/>
    </row>
    <row r="771" ht="15.75" customHeight="1" s="201">
      <c r="A771" s="37" t="n"/>
      <c r="B771" s="37" t="n"/>
      <c r="C771" s="37" t="n"/>
      <c r="D771" s="37" t="n"/>
      <c r="E771" s="37" t="n"/>
      <c r="F771" s="148" t="n"/>
      <c r="G771" s="148" t="n"/>
      <c r="H771" s="148" t="n"/>
      <c r="I771" s="148" t="n"/>
      <c r="J771" s="149" t="n"/>
      <c r="K771" s="37" t="n"/>
      <c r="L771" s="148" t="n"/>
      <c r="M771" s="148" t="n"/>
      <c r="N771" s="148" t="n"/>
      <c r="O771" s="148" t="n"/>
      <c r="P771" s="148" t="n"/>
      <c r="Q771" s="148" t="n"/>
      <c r="R771" s="148" t="n"/>
      <c r="S771" s="148" t="n"/>
      <c r="T771" s="150" t="n"/>
      <c r="U771" s="150" t="n"/>
      <c r="V771" s="37" t="n"/>
      <c r="W771" s="151" t="n"/>
      <c r="X771" s="151" t="n"/>
      <c r="Y771" s="151" t="n"/>
      <c r="Z771" s="151" t="n"/>
      <c r="AA771" s="151" t="n"/>
      <c r="AB771" s="152" t="n"/>
      <c r="AC771" s="152" t="n"/>
      <c r="AD771" s="152" t="n"/>
      <c r="AE771" s="152" t="n"/>
      <c r="AF771" s="152" t="n"/>
    </row>
    <row r="772" ht="15.75" customHeight="1" s="201">
      <c r="A772" s="37" t="n"/>
      <c r="B772" s="37" t="n"/>
      <c r="C772" s="37" t="n"/>
      <c r="D772" s="37" t="n"/>
      <c r="E772" s="37" t="n"/>
      <c r="F772" s="148" t="n"/>
      <c r="G772" s="148" t="n"/>
      <c r="H772" s="148" t="n"/>
      <c r="I772" s="148" t="n"/>
      <c r="J772" s="149" t="n"/>
      <c r="K772" s="37" t="n"/>
      <c r="L772" s="148" t="n"/>
      <c r="M772" s="148" t="n"/>
      <c r="N772" s="148" t="n"/>
      <c r="O772" s="148" t="n"/>
      <c r="P772" s="148" t="n"/>
      <c r="Q772" s="148" t="n"/>
      <c r="R772" s="148" t="n"/>
      <c r="S772" s="148" t="n"/>
      <c r="T772" s="150" t="n"/>
      <c r="U772" s="150" t="n"/>
      <c r="V772" s="37" t="n"/>
      <c r="W772" s="151" t="n"/>
      <c r="X772" s="151" t="n"/>
      <c r="Y772" s="151" t="n"/>
      <c r="Z772" s="151" t="n"/>
      <c r="AA772" s="151" t="n"/>
      <c r="AB772" s="152" t="n"/>
      <c r="AC772" s="152" t="n"/>
      <c r="AD772" s="152" t="n"/>
      <c r="AE772" s="152" t="n"/>
      <c r="AF772" s="152" t="n"/>
    </row>
    <row r="773" ht="15.75" customHeight="1" s="201">
      <c r="A773" s="37" t="n"/>
      <c r="B773" s="37" t="n"/>
      <c r="C773" s="37" t="n"/>
      <c r="D773" s="37" t="n"/>
      <c r="E773" s="37" t="n"/>
      <c r="F773" s="148" t="n"/>
      <c r="G773" s="148" t="n"/>
      <c r="H773" s="148" t="n"/>
      <c r="I773" s="148" t="n"/>
      <c r="J773" s="149" t="n"/>
      <c r="K773" s="37" t="n"/>
      <c r="L773" s="148" t="n"/>
      <c r="M773" s="148" t="n"/>
      <c r="N773" s="148" t="n"/>
      <c r="O773" s="148" t="n"/>
      <c r="P773" s="148" t="n"/>
      <c r="Q773" s="148" t="n"/>
      <c r="R773" s="148" t="n"/>
      <c r="S773" s="148" t="n"/>
      <c r="T773" s="150" t="n"/>
      <c r="U773" s="150" t="n"/>
      <c r="V773" s="37" t="n"/>
      <c r="W773" s="151" t="n"/>
      <c r="X773" s="151" t="n"/>
      <c r="Y773" s="151" t="n"/>
      <c r="Z773" s="151" t="n"/>
      <c r="AA773" s="151" t="n"/>
      <c r="AB773" s="152" t="n"/>
      <c r="AC773" s="152" t="n"/>
      <c r="AD773" s="152" t="n"/>
      <c r="AE773" s="152" t="n"/>
      <c r="AF773" s="152" t="n"/>
    </row>
    <row r="774" ht="15.75" customHeight="1" s="201">
      <c r="A774" s="37" t="n"/>
      <c r="B774" s="37" t="n"/>
      <c r="C774" s="37" t="n"/>
      <c r="D774" s="37" t="n"/>
      <c r="E774" s="37" t="n"/>
      <c r="F774" s="148" t="n"/>
      <c r="G774" s="148" t="n"/>
      <c r="H774" s="148" t="n"/>
      <c r="I774" s="148" t="n"/>
      <c r="J774" s="149" t="n"/>
      <c r="K774" s="37" t="n"/>
      <c r="L774" s="148" t="n"/>
      <c r="M774" s="148" t="n"/>
      <c r="N774" s="148" t="n"/>
      <c r="O774" s="148" t="n"/>
      <c r="P774" s="148" t="n"/>
      <c r="Q774" s="148" t="n"/>
      <c r="R774" s="148" t="n"/>
      <c r="S774" s="148" t="n"/>
      <c r="T774" s="150" t="n"/>
      <c r="U774" s="150" t="n"/>
      <c r="V774" s="37" t="n"/>
      <c r="W774" s="151" t="n"/>
      <c r="X774" s="151" t="n"/>
      <c r="Y774" s="151" t="n"/>
      <c r="Z774" s="151" t="n"/>
      <c r="AA774" s="151" t="n"/>
      <c r="AB774" s="152" t="n"/>
      <c r="AC774" s="152" t="n"/>
      <c r="AD774" s="152" t="n"/>
      <c r="AE774" s="152" t="n"/>
      <c r="AF774" s="152" t="n"/>
    </row>
    <row r="775" ht="15.75" customHeight="1" s="201">
      <c r="A775" s="37" t="n"/>
      <c r="B775" s="37" t="n"/>
      <c r="C775" s="37" t="n"/>
      <c r="D775" s="37" t="n"/>
      <c r="E775" s="37" t="n"/>
      <c r="F775" s="148" t="n"/>
      <c r="G775" s="148" t="n"/>
      <c r="H775" s="148" t="n"/>
      <c r="I775" s="148" t="n"/>
      <c r="J775" s="149" t="n"/>
      <c r="K775" s="37" t="n"/>
      <c r="L775" s="148" t="n"/>
      <c r="M775" s="148" t="n"/>
      <c r="N775" s="148" t="n"/>
      <c r="O775" s="148" t="n"/>
      <c r="P775" s="148" t="n"/>
      <c r="Q775" s="148" t="n"/>
      <c r="R775" s="148" t="n"/>
      <c r="S775" s="148" t="n"/>
      <c r="T775" s="150" t="n"/>
      <c r="U775" s="150" t="n"/>
      <c r="V775" s="37" t="n"/>
      <c r="W775" s="151" t="n"/>
      <c r="X775" s="151" t="n"/>
      <c r="Y775" s="151" t="n"/>
      <c r="Z775" s="151" t="n"/>
      <c r="AA775" s="151" t="n"/>
      <c r="AB775" s="152" t="n"/>
      <c r="AC775" s="152" t="n"/>
      <c r="AD775" s="152" t="n"/>
      <c r="AE775" s="152" t="n"/>
      <c r="AF775" s="152" t="n"/>
    </row>
    <row r="776" ht="15.75" customHeight="1" s="201">
      <c r="A776" s="37" t="n"/>
      <c r="B776" s="37" t="n"/>
      <c r="C776" s="37" t="n"/>
      <c r="D776" s="37" t="n"/>
      <c r="E776" s="37" t="n"/>
      <c r="F776" s="148" t="n"/>
      <c r="G776" s="148" t="n"/>
      <c r="H776" s="148" t="n"/>
      <c r="I776" s="148" t="n"/>
      <c r="J776" s="149" t="n"/>
      <c r="K776" s="37" t="n"/>
      <c r="L776" s="148" t="n"/>
      <c r="M776" s="148" t="n"/>
      <c r="N776" s="148" t="n"/>
      <c r="O776" s="148" t="n"/>
      <c r="P776" s="148" t="n"/>
      <c r="Q776" s="148" t="n"/>
      <c r="R776" s="148" t="n"/>
      <c r="S776" s="148" t="n"/>
      <c r="T776" s="150" t="n"/>
      <c r="U776" s="150" t="n"/>
      <c r="V776" s="37" t="n"/>
      <c r="W776" s="151" t="n"/>
      <c r="X776" s="151" t="n"/>
      <c r="Y776" s="151" t="n"/>
      <c r="Z776" s="151" t="n"/>
      <c r="AA776" s="151" t="n"/>
      <c r="AB776" s="152" t="n"/>
      <c r="AC776" s="152" t="n"/>
      <c r="AD776" s="152" t="n"/>
      <c r="AE776" s="152" t="n"/>
      <c r="AF776" s="152" t="n"/>
    </row>
    <row r="777" ht="15.75" customHeight="1" s="201">
      <c r="A777" s="37" t="n"/>
      <c r="B777" s="37" t="n"/>
      <c r="C777" s="37" t="n"/>
      <c r="D777" s="37" t="n"/>
      <c r="E777" s="37" t="n"/>
      <c r="F777" s="148" t="n"/>
      <c r="G777" s="148" t="n"/>
      <c r="H777" s="148" t="n"/>
      <c r="I777" s="148" t="n"/>
      <c r="J777" s="149" t="n"/>
      <c r="K777" s="37" t="n"/>
      <c r="L777" s="148" t="n"/>
      <c r="M777" s="148" t="n"/>
      <c r="N777" s="148" t="n"/>
      <c r="O777" s="148" t="n"/>
      <c r="P777" s="148" t="n"/>
      <c r="Q777" s="148" t="n"/>
      <c r="R777" s="148" t="n"/>
      <c r="S777" s="148" t="n"/>
      <c r="T777" s="150" t="n"/>
      <c r="U777" s="150" t="n"/>
      <c r="V777" s="37" t="n"/>
      <c r="W777" s="151" t="n"/>
      <c r="X777" s="151" t="n"/>
      <c r="Y777" s="151" t="n"/>
      <c r="Z777" s="151" t="n"/>
      <c r="AA777" s="151" t="n"/>
      <c r="AB777" s="152" t="n"/>
      <c r="AC777" s="152" t="n"/>
      <c r="AD777" s="152" t="n"/>
      <c r="AE777" s="152" t="n"/>
      <c r="AF777" s="152" t="n"/>
    </row>
    <row r="778" ht="15.75" customHeight="1" s="201">
      <c r="A778" s="37" t="n"/>
      <c r="B778" s="37" t="n"/>
      <c r="C778" s="37" t="n"/>
      <c r="D778" s="37" t="n"/>
      <c r="E778" s="37" t="n"/>
      <c r="F778" s="148" t="n"/>
      <c r="G778" s="148" t="n"/>
      <c r="H778" s="148" t="n"/>
      <c r="I778" s="148" t="n"/>
      <c r="J778" s="149" t="n"/>
      <c r="K778" s="37" t="n"/>
      <c r="L778" s="148" t="n"/>
      <c r="M778" s="148" t="n"/>
      <c r="N778" s="148" t="n"/>
      <c r="O778" s="148" t="n"/>
      <c r="P778" s="148" t="n"/>
      <c r="Q778" s="148" t="n"/>
      <c r="R778" s="148" t="n"/>
      <c r="S778" s="148" t="n"/>
      <c r="T778" s="150" t="n"/>
      <c r="U778" s="150" t="n"/>
      <c r="V778" s="37" t="n"/>
      <c r="W778" s="151" t="n"/>
      <c r="X778" s="151" t="n"/>
      <c r="Y778" s="151" t="n"/>
      <c r="Z778" s="151" t="n"/>
      <c r="AA778" s="151" t="n"/>
      <c r="AB778" s="152" t="n"/>
      <c r="AC778" s="152" t="n"/>
      <c r="AD778" s="152" t="n"/>
      <c r="AE778" s="152" t="n"/>
      <c r="AF778" s="152" t="n"/>
    </row>
    <row r="779" ht="15.75" customHeight="1" s="201">
      <c r="A779" s="37" t="n"/>
      <c r="B779" s="37" t="n"/>
      <c r="C779" s="37" t="n"/>
      <c r="D779" s="37" t="n"/>
      <c r="E779" s="37" t="n"/>
      <c r="F779" s="148" t="n"/>
      <c r="G779" s="148" t="n"/>
      <c r="H779" s="148" t="n"/>
      <c r="I779" s="148" t="n"/>
      <c r="J779" s="149" t="n"/>
      <c r="K779" s="37" t="n"/>
      <c r="L779" s="148" t="n"/>
      <c r="M779" s="148" t="n"/>
      <c r="N779" s="148" t="n"/>
      <c r="O779" s="148" t="n"/>
      <c r="P779" s="148" t="n"/>
      <c r="Q779" s="148" t="n"/>
      <c r="R779" s="148" t="n"/>
      <c r="S779" s="148" t="n"/>
      <c r="T779" s="150" t="n"/>
      <c r="U779" s="150" t="n"/>
      <c r="V779" s="37" t="n"/>
      <c r="W779" s="151" t="n"/>
      <c r="X779" s="151" t="n"/>
      <c r="Y779" s="151" t="n"/>
      <c r="Z779" s="151" t="n"/>
      <c r="AA779" s="151" t="n"/>
      <c r="AB779" s="152" t="n"/>
      <c r="AC779" s="152" t="n"/>
      <c r="AD779" s="152" t="n"/>
      <c r="AE779" s="152" t="n"/>
      <c r="AF779" s="152" t="n"/>
    </row>
    <row r="780" ht="15.75" customHeight="1" s="201">
      <c r="A780" s="37" t="n"/>
      <c r="B780" s="37" t="n"/>
      <c r="C780" s="37" t="n"/>
      <c r="D780" s="37" t="n"/>
      <c r="E780" s="37" t="n"/>
      <c r="F780" s="148" t="n"/>
      <c r="G780" s="148" t="n"/>
      <c r="H780" s="148" t="n"/>
      <c r="I780" s="148" t="n"/>
      <c r="J780" s="149" t="n"/>
      <c r="K780" s="37" t="n"/>
      <c r="L780" s="148" t="n"/>
      <c r="M780" s="148" t="n"/>
      <c r="N780" s="148" t="n"/>
      <c r="O780" s="148" t="n"/>
      <c r="P780" s="148" t="n"/>
      <c r="Q780" s="148" t="n"/>
      <c r="R780" s="148" t="n"/>
      <c r="S780" s="148" t="n"/>
      <c r="T780" s="150" t="n"/>
      <c r="U780" s="150" t="n"/>
      <c r="V780" s="37" t="n"/>
      <c r="W780" s="151" t="n"/>
      <c r="X780" s="151" t="n"/>
      <c r="Y780" s="151" t="n"/>
      <c r="Z780" s="151" t="n"/>
      <c r="AA780" s="151" t="n"/>
      <c r="AB780" s="152" t="n"/>
      <c r="AC780" s="152" t="n"/>
      <c r="AD780" s="152" t="n"/>
      <c r="AE780" s="152" t="n"/>
      <c r="AF780" s="152" t="n"/>
    </row>
    <row r="781" ht="15.75" customHeight="1" s="201">
      <c r="A781" s="37" t="n"/>
      <c r="B781" s="37" t="n"/>
      <c r="C781" s="37" t="n"/>
      <c r="D781" s="37" t="n"/>
      <c r="E781" s="37" t="n"/>
      <c r="F781" s="148" t="n"/>
      <c r="G781" s="148" t="n"/>
      <c r="H781" s="148" t="n"/>
      <c r="I781" s="148" t="n"/>
      <c r="J781" s="149" t="n"/>
      <c r="K781" s="37" t="n"/>
      <c r="L781" s="148" t="n"/>
      <c r="M781" s="148" t="n"/>
      <c r="N781" s="148" t="n"/>
      <c r="O781" s="148" t="n"/>
      <c r="P781" s="148" t="n"/>
      <c r="Q781" s="148" t="n"/>
      <c r="R781" s="148" t="n"/>
      <c r="S781" s="148" t="n"/>
      <c r="T781" s="150" t="n"/>
      <c r="U781" s="150" t="n"/>
      <c r="V781" s="37" t="n"/>
      <c r="W781" s="151" t="n"/>
      <c r="X781" s="151" t="n"/>
      <c r="Y781" s="151" t="n"/>
      <c r="Z781" s="151" t="n"/>
      <c r="AA781" s="151" t="n"/>
      <c r="AB781" s="152" t="n"/>
      <c r="AC781" s="152" t="n"/>
      <c r="AD781" s="152" t="n"/>
      <c r="AE781" s="152" t="n"/>
      <c r="AF781" s="152" t="n"/>
    </row>
    <row r="782" ht="15.75" customHeight="1" s="201">
      <c r="A782" s="37" t="n"/>
      <c r="B782" s="37" t="n"/>
      <c r="C782" s="37" t="n"/>
      <c r="D782" s="37" t="n"/>
      <c r="E782" s="37" t="n"/>
      <c r="F782" s="148" t="n"/>
      <c r="G782" s="148" t="n"/>
      <c r="H782" s="148" t="n"/>
      <c r="I782" s="148" t="n"/>
      <c r="J782" s="149" t="n"/>
      <c r="K782" s="37" t="n"/>
      <c r="L782" s="148" t="n"/>
      <c r="M782" s="148" t="n"/>
      <c r="N782" s="148" t="n"/>
      <c r="O782" s="148" t="n"/>
      <c r="P782" s="148" t="n"/>
      <c r="Q782" s="148" t="n"/>
      <c r="R782" s="148" t="n"/>
      <c r="S782" s="148" t="n"/>
      <c r="T782" s="150" t="n"/>
      <c r="U782" s="150" t="n"/>
      <c r="V782" s="37" t="n"/>
      <c r="W782" s="151" t="n"/>
      <c r="X782" s="151" t="n"/>
      <c r="Y782" s="151" t="n"/>
      <c r="Z782" s="151" t="n"/>
      <c r="AA782" s="151" t="n"/>
      <c r="AB782" s="152" t="n"/>
      <c r="AC782" s="152" t="n"/>
      <c r="AD782" s="152" t="n"/>
      <c r="AE782" s="152" t="n"/>
      <c r="AF782" s="152" t="n"/>
    </row>
    <row r="783" ht="15.75" customHeight="1" s="201">
      <c r="A783" s="37" t="n"/>
      <c r="B783" s="37" t="n"/>
      <c r="C783" s="37" t="n"/>
      <c r="D783" s="37" t="n"/>
      <c r="E783" s="37" t="n"/>
      <c r="F783" s="148" t="n"/>
      <c r="G783" s="148" t="n"/>
      <c r="H783" s="148" t="n"/>
      <c r="I783" s="148" t="n"/>
      <c r="J783" s="149" t="n"/>
      <c r="K783" s="37" t="n"/>
      <c r="L783" s="148" t="n"/>
      <c r="M783" s="148" t="n"/>
      <c r="N783" s="148" t="n"/>
      <c r="O783" s="148" t="n"/>
      <c r="P783" s="148" t="n"/>
      <c r="Q783" s="148" t="n"/>
      <c r="R783" s="148" t="n"/>
      <c r="S783" s="148" t="n"/>
      <c r="T783" s="150" t="n"/>
      <c r="U783" s="150" t="n"/>
      <c r="V783" s="37" t="n"/>
      <c r="W783" s="151" t="n"/>
      <c r="X783" s="151" t="n"/>
      <c r="Y783" s="151" t="n"/>
      <c r="Z783" s="151" t="n"/>
      <c r="AA783" s="151" t="n"/>
      <c r="AB783" s="152" t="n"/>
      <c r="AC783" s="152" t="n"/>
      <c r="AD783" s="152" t="n"/>
      <c r="AE783" s="152" t="n"/>
      <c r="AF783" s="152" t="n"/>
    </row>
    <row r="784" ht="15.75" customHeight="1" s="201">
      <c r="A784" s="37" t="n"/>
      <c r="B784" s="37" t="n"/>
      <c r="C784" s="37" t="n"/>
      <c r="D784" s="37" t="n"/>
      <c r="E784" s="37" t="n"/>
      <c r="F784" s="148" t="n"/>
      <c r="G784" s="148" t="n"/>
      <c r="H784" s="148" t="n"/>
      <c r="I784" s="148" t="n"/>
      <c r="J784" s="149" t="n"/>
      <c r="K784" s="37" t="n"/>
      <c r="L784" s="148" t="n"/>
      <c r="M784" s="148" t="n"/>
      <c r="N784" s="148" t="n"/>
      <c r="O784" s="148" t="n"/>
      <c r="P784" s="148" t="n"/>
      <c r="Q784" s="148" t="n"/>
      <c r="R784" s="148" t="n"/>
      <c r="S784" s="148" t="n"/>
      <c r="T784" s="150" t="n"/>
      <c r="U784" s="150" t="n"/>
      <c r="V784" s="37" t="n"/>
      <c r="W784" s="151" t="n"/>
      <c r="X784" s="151" t="n"/>
      <c r="Y784" s="151" t="n"/>
      <c r="Z784" s="151" t="n"/>
      <c r="AA784" s="151" t="n"/>
      <c r="AB784" s="152" t="n"/>
      <c r="AC784" s="152" t="n"/>
      <c r="AD784" s="152" t="n"/>
      <c r="AE784" s="152" t="n"/>
      <c r="AF784" s="152" t="n"/>
    </row>
    <row r="785" ht="15.75" customHeight="1" s="201">
      <c r="A785" s="37" t="n"/>
      <c r="B785" s="37" t="n"/>
      <c r="C785" s="37" t="n"/>
      <c r="D785" s="37" t="n"/>
      <c r="E785" s="37" t="n"/>
      <c r="F785" s="148" t="n"/>
      <c r="G785" s="148" t="n"/>
      <c r="H785" s="148" t="n"/>
      <c r="I785" s="148" t="n"/>
      <c r="J785" s="149" t="n"/>
      <c r="K785" s="37" t="n"/>
      <c r="L785" s="148" t="n"/>
      <c r="M785" s="148" t="n"/>
      <c r="N785" s="148" t="n"/>
      <c r="O785" s="148" t="n"/>
      <c r="P785" s="148" t="n"/>
      <c r="Q785" s="148" t="n"/>
      <c r="R785" s="148" t="n"/>
      <c r="S785" s="148" t="n"/>
      <c r="T785" s="150" t="n"/>
      <c r="U785" s="150" t="n"/>
      <c r="V785" s="37" t="n"/>
      <c r="W785" s="151" t="n"/>
      <c r="X785" s="151" t="n"/>
      <c r="Y785" s="151" t="n"/>
      <c r="Z785" s="151" t="n"/>
      <c r="AA785" s="151" t="n"/>
      <c r="AB785" s="152" t="n"/>
      <c r="AC785" s="152" t="n"/>
      <c r="AD785" s="152" t="n"/>
      <c r="AE785" s="152" t="n"/>
      <c r="AF785" s="152" t="n"/>
    </row>
    <row r="786" ht="15.75" customHeight="1" s="201">
      <c r="A786" s="37" t="n"/>
      <c r="B786" s="37" t="n"/>
      <c r="C786" s="37" t="n"/>
      <c r="D786" s="37" t="n"/>
      <c r="E786" s="37" t="n"/>
      <c r="F786" s="148" t="n"/>
      <c r="G786" s="148" t="n"/>
      <c r="H786" s="148" t="n"/>
      <c r="I786" s="148" t="n"/>
      <c r="J786" s="149" t="n"/>
      <c r="K786" s="37" t="n"/>
      <c r="L786" s="148" t="n"/>
      <c r="M786" s="148" t="n"/>
      <c r="N786" s="148" t="n"/>
      <c r="O786" s="148" t="n"/>
      <c r="P786" s="148" t="n"/>
      <c r="Q786" s="148" t="n"/>
      <c r="R786" s="148" t="n"/>
      <c r="S786" s="148" t="n"/>
      <c r="T786" s="150" t="n"/>
      <c r="U786" s="150" t="n"/>
      <c r="V786" s="37" t="n"/>
      <c r="W786" s="151" t="n"/>
      <c r="X786" s="151" t="n"/>
      <c r="Y786" s="151" t="n"/>
      <c r="Z786" s="151" t="n"/>
      <c r="AA786" s="151" t="n"/>
      <c r="AB786" s="152" t="n"/>
      <c r="AC786" s="152" t="n"/>
      <c r="AD786" s="152" t="n"/>
      <c r="AE786" s="152" t="n"/>
      <c r="AF786" s="152" t="n"/>
    </row>
    <row r="787" ht="15.75" customHeight="1" s="201">
      <c r="A787" s="37" t="n"/>
      <c r="B787" s="37" t="n"/>
      <c r="C787" s="37" t="n"/>
      <c r="D787" s="37" t="n"/>
      <c r="E787" s="37" t="n"/>
      <c r="F787" s="148" t="n"/>
      <c r="G787" s="148" t="n"/>
      <c r="H787" s="148" t="n"/>
      <c r="I787" s="148" t="n"/>
      <c r="J787" s="149" t="n"/>
      <c r="K787" s="37" t="n"/>
      <c r="L787" s="148" t="n"/>
      <c r="M787" s="148" t="n"/>
      <c r="N787" s="148" t="n"/>
      <c r="O787" s="148" t="n"/>
      <c r="P787" s="148" t="n"/>
      <c r="Q787" s="148" t="n"/>
      <c r="R787" s="148" t="n"/>
      <c r="S787" s="148" t="n"/>
      <c r="T787" s="150" t="n"/>
      <c r="U787" s="150" t="n"/>
      <c r="V787" s="37" t="n"/>
      <c r="W787" s="151" t="n"/>
      <c r="X787" s="151" t="n"/>
      <c r="Y787" s="151" t="n"/>
      <c r="Z787" s="151" t="n"/>
      <c r="AA787" s="151" t="n"/>
      <c r="AB787" s="152" t="n"/>
      <c r="AC787" s="152" t="n"/>
      <c r="AD787" s="152" t="n"/>
      <c r="AE787" s="152" t="n"/>
      <c r="AF787" s="152" t="n"/>
    </row>
    <row r="788" ht="15.75" customHeight="1" s="201">
      <c r="A788" s="37" t="n"/>
      <c r="B788" s="37" t="n"/>
      <c r="C788" s="37" t="n"/>
      <c r="D788" s="37" t="n"/>
      <c r="E788" s="37" t="n"/>
      <c r="F788" s="148" t="n"/>
      <c r="G788" s="148" t="n"/>
      <c r="H788" s="148" t="n"/>
      <c r="I788" s="148" t="n"/>
      <c r="J788" s="149" t="n"/>
      <c r="K788" s="37" t="n"/>
      <c r="L788" s="148" t="n"/>
      <c r="M788" s="148" t="n"/>
      <c r="N788" s="148" t="n"/>
      <c r="O788" s="148" t="n"/>
      <c r="P788" s="148" t="n"/>
      <c r="Q788" s="148" t="n"/>
      <c r="R788" s="148" t="n"/>
      <c r="S788" s="148" t="n"/>
      <c r="T788" s="150" t="n"/>
      <c r="U788" s="150" t="n"/>
      <c r="V788" s="37" t="n"/>
      <c r="W788" s="151" t="n"/>
      <c r="X788" s="151" t="n"/>
      <c r="Y788" s="151" t="n"/>
      <c r="Z788" s="151" t="n"/>
      <c r="AA788" s="151" t="n"/>
      <c r="AB788" s="152" t="n"/>
      <c r="AC788" s="152" t="n"/>
      <c r="AD788" s="152" t="n"/>
      <c r="AE788" s="152" t="n"/>
      <c r="AF788" s="152" t="n"/>
    </row>
    <row r="789" ht="15.75" customHeight="1" s="201">
      <c r="A789" s="37" t="n"/>
      <c r="B789" s="37" t="n"/>
      <c r="C789" s="37" t="n"/>
      <c r="D789" s="37" t="n"/>
      <c r="E789" s="37" t="n"/>
      <c r="F789" s="148" t="n"/>
      <c r="G789" s="148" t="n"/>
      <c r="H789" s="148" t="n"/>
      <c r="I789" s="148" t="n"/>
      <c r="J789" s="149" t="n"/>
      <c r="K789" s="37" t="n"/>
      <c r="L789" s="148" t="n"/>
      <c r="M789" s="148" t="n"/>
      <c r="N789" s="148" t="n"/>
      <c r="O789" s="148" t="n"/>
      <c r="P789" s="148" t="n"/>
      <c r="Q789" s="148" t="n"/>
      <c r="R789" s="148" t="n"/>
      <c r="S789" s="148" t="n"/>
      <c r="T789" s="150" t="n"/>
      <c r="U789" s="150" t="n"/>
      <c r="V789" s="37" t="n"/>
      <c r="W789" s="151" t="n"/>
      <c r="X789" s="151" t="n"/>
      <c r="Y789" s="151" t="n"/>
      <c r="Z789" s="151" t="n"/>
      <c r="AA789" s="151" t="n"/>
      <c r="AB789" s="152" t="n"/>
      <c r="AC789" s="152" t="n"/>
      <c r="AD789" s="152" t="n"/>
      <c r="AE789" s="152" t="n"/>
      <c r="AF789" s="152" t="n"/>
    </row>
    <row r="790" ht="15.75" customHeight="1" s="201">
      <c r="A790" s="37" t="n"/>
      <c r="B790" s="37" t="n"/>
      <c r="C790" s="37" t="n"/>
      <c r="D790" s="37" t="n"/>
      <c r="E790" s="37" t="n"/>
      <c r="F790" s="148" t="n"/>
      <c r="G790" s="148" t="n"/>
      <c r="H790" s="148" t="n"/>
      <c r="I790" s="148" t="n"/>
      <c r="J790" s="149" t="n"/>
      <c r="K790" s="37" t="n"/>
      <c r="L790" s="148" t="n"/>
      <c r="M790" s="148" t="n"/>
      <c r="N790" s="148" t="n"/>
      <c r="O790" s="148" t="n"/>
      <c r="P790" s="148" t="n"/>
      <c r="Q790" s="148" t="n"/>
      <c r="R790" s="148" t="n"/>
      <c r="S790" s="148" t="n"/>
      <c r="T790" s="150" t="n"/>
      <c r="U790" s="150" t="n"/>
      <c r="V790" s="37" t="n"/>
      <c r="W790" s="151" t="n"/>
      <c r="X790" s="151" t="n"/>
      <c r="Y790" s="151" t="n"/>
      <c r="Z790" s="151" t="n"/>
      <c r="AA790" s="151" t="n"/>
      <c r="AB790" s="152" t="n"/>
      <c r="AC790" s="152" t="n"/>
      <c r="AD790" s="152" t="n"/>
      <c r="AE790" s="152" t="n"/>
      <c r="AF790" s="152" t="n"/>
    </row>
    <row r="791" ht="15.75" customHeight="1" s="201">
      <c r="A791" s="37" t="n"/>
      <c r="B791" s="37" t="n"/>
      <c r="C791" s="37" t="n"/>
      <c r="D791" s="37" t="n"/>
      <c r="E791" s="37" t="n"/>
      <c r="F791" s="148" t="n"/>
      <c r="G791" s="148" t="n"/>
      <c r="H791" s="148" t="n"/>
      <c r="I791" s="148" t="n"/>
      <c r="J791" s="149" t="n"/>
      <c r="K791" s="37" t="n"/>
      <c r="L791" s="148" t="n"/>
      <c r="M791" s="148" t="n"/>
      <c r="N791" s="148" t="n"/>
      <c r="O791" s="148" t="n"/>
      <c r="P791" s="148" t="n"/>
      <c r="Q791" s="148" t="n"/>
      <c r="R791" s="148" t="n"/>
      <c r="S791" s="148" t="n"/>
      <c r="T791" s="150" t="n"/>
      <c r="U791" s="150" t="n"/>
      <c r="V791" s="37" t="n"/>
      <c r="W791" s="151" t="n"/>
      <c r="X791" s="151" t="n"/>
      <c r="Y791" s="151" t="n"/>
      <c r="Z791" s="151" t="n"/>
      <c r="AA791" s="151" t="n"/>
      <c r="AB791" s="152" t="n"/>
      <c r="AC791" s="152" t="n"/>
      <c r="AD791" s="152" t="n"/>
      <c r="AE791" s="152" t="n"/>
      <c r="AF791" s="152" t="n"/>
    </row>
    <row r="792" ht="15.75" customHeight="1" s="201">
      <c r="A792" s="37" t="n"/>
      <c r="B792" s="37" t="n"/>
      <c r="C792" s="37" t="n"/>
      <c r="D792" s="37" t="n"/>
      <c r="E792" s="37" t="n"/>
      <c r="F792" s="148" t="n"/>
      <c r="G792" s="148" t="n"/>
      <c r="H792" s="148" t="n"/>
      <c r="I792" s="148" t="n"/>
      <c r="J792" s="149" t="n"/>
      <c r="K792" s="37" t="n"/>
      <c r="L792" s="148" t="n"/>
      <c r="M792" s="148" t="n"/>
      <c r="N792" s="148" t="n"/>
      <c r="O792" s="148" t="n"/>
      <c r="P792" s="148" t="n"/>
      <c r="Q792" s="148" t="n"/>
      <c r="R792" s="148" t="n"/>
      <c r="S792" s="148" t="n"/>
      <c r="T792" s="150" t="n"/>
      <c r="U792" s="150" t="n"/>
      <c r="V792" s="37" t="n"/>
      <c r="W792" s="151" t="n"/>
      <c r="X792" s="151" t="n"/>
      <c r="Y792" s="151" t="n"/>
      <c r="Z792" s="151" t="n"/>
      <c r="AA792" s="151" t="n"/>
      <c r="AB792" s="152" t="n"/>
      <c r="AC792" s="152" t="n"/>
      <c r="AD792" s="152" t="n"/>
      <c r="AE792" s="152" t="n"/>
      <c r="AF792" s="152" t="n"/>
    </row>
    <row r="793" ht="15.75" customHeight="1" s="201">
      <c r="A793" s="37" t="n"/>
      <c r="B793" s="37" t="n"/>
      <c r="C793" s="37" t="n"/>
      <c r="D793" s="37" t="n"/>
      <c r="E793" s="37" t="n"/>
      <c r="F793" s="148" t="n"/>
      <c r="G793" s="148" t="n"/>
      <c r="H793" s="148" t="n"/>
      <c r="I793" s="148" t="n"/>
      <c r="J793" s="149" t="n"/>
      <c r="K793" s="37" t="n"/>
      <c r="L793" s="148" t="n"/>
      <c r="M793" s="148" t="n"/>
      <c r="N793" s="148" t="n"/>
      <c r="O793" s="148" t="n"/>
      <c r="P793" s="148" t="n"/>
      <c r="Q793" s="148" t="n"/>
      <c r="R793" s="148" t="n"/>
      <c r="S793" s="148" t="n"/>
      <c r="T793" s="150" t="n"/>
      <c r="U793" s="150" t="n"/>
      <c r="V793" s="37" t="n"/>
      <c r="W793" s="151" t="n"/>
      <c r="X793" s="151" t="n"/>
      <c r="Y793" s="151" t="n"/>
      <c r="Z793" s="151" t="n"/>
      <c r="AA793" s="151" t="n"/>
      <c r="AB793" s="152" t="n"/>
      <c r="AC793" s="152" t="n"/>
      <c r="AD793" s="152" t="n"/>
      <c r="AE793" s="152" t="n"/>
      <c r="AF793" s="152" t="n"/>
    </row>
    <row r="794" ht="15.75" customHeight="1" s="201">
      <c r="A794" s="37" t="n"/>
      <c r="B794" s="37" t="n"/>
      <c r="C794" s="37" t="n"/>
      <c r="D794" s="37" t="n"/>
      <c r="E794" s="37" t="n"/>
      <c r="F794" s="148" t="n"/>
      <c r="G794" s="148" t="n"/>
      <c r="H794" s="148" t="n"/>
      <c r="I794" s="148" t="n"/>
      <c r="J794" s="149" t="n"/>
      <c r="K794" s="37" t="n"/>
      <c r="L794" s="148" t="n"/>
      <c r="M794" s="148" t="n"/>
      <c r="N794" s="148" t="n"/>
      <c r="O794" s="148" t="n"/>
      <c r="P794" s="148" t="n"/>
      <c r="Q794" s="148" t="n"/>
      <c r="R794" s="148" t="n"/>
      <c r="S794" s="148" t="n"/>
      <c r="T794" s="150" t="n"/>
      <c r="U794" s="150" t="n"/>
      <c r="V794" s="37" t="n"/>
      <c r="W794" s="151" t="n"/>
      <c r="X794" s="151" t="n"/>
      <c r="Y794" s="151" t="n"/>
      <c r="Z794" s="151" t="n"/>
      <c r="AA794" s="151" t="n"/>
      <c r="AB794" s="152" t="n"/>
      <c r="AC794" s="152" t="n"/>
      <c r="AD794" s="152" t="n"/>
      <c r="AE794" s="152" t="n"/>
      <c r="AF794" s="152" t="n"/>
    </row>
    <row r="795" ht="15.75" customHeight="1" s="201">
      <c r="A795" s="37" t="n"/>
      <c r="B795" s="37" t="n"/>
      <c r="C795" s="37" t="n"/>
      <c r="D795" s="37" t="n"/>
      <c r="E795" s="37" t="n"/>
      <c r="F795" s="148" t="n"/>
      <c r="G795" s="148" t="n"/>
      <c r="H795" s="148" t="n"/>
      <c r="I795" s="148" t="n"/>
      <c r="J795" s="149" t="n"/>
      <c r="K795" s="37" t="n"/>
      <c r="L795" s="148" t="n"/>
      <c r="M795" s="148" t="n"/>
      <c r="N795" s="148" t="n"/>
      <c r="O795" s="148" t="n"/>
      <c r="P795" s="148" t="n"/>
      <c r="Q795" s="148" t="n"/>
      <c r="R795" s="148" t="n"/>
      <c r="S795" s="148" t="n"/>
      <c r="T795" s="150" t="n"/>
      <c r="U795" s="150" t="n"/>
      <c r="V795" s="37" t="n"/>
      <c r="W795" s="151" t="n"/>
      <c r="X795" s="151" t="n"/>
      <c r="Y795" s="151" t="n"/>
      <c r="Z795" s="151" t="n"/>
      <c r="AA795" s="151" t="n"/>
      <c r="AB795" s="152" t="n"/>
      <c r="AC795" s="152" t="n"/>
      <c r="AD795" s="152" t="n"/>
      <c r="AE795" s="152" t="n"/>
      <c r="AF795" s="152" t="n"/>
    </row>
    <row r="796" ht="15.75" customHeight="1" s="201">
      <c r="A796" s="37" t="n"/>
      <c r="B796" s="37" t="n"/>
      <c r="C796" s="37" t="n"/>
      <c r="D796" s="37" t="n"/>
      <c r="E796" s="37" t="n"/>
      <c r="F796" s="148" t="n"/>
      <c r="G796" s="148" t="n"/>
      <c r="H796" s="148" t="n"/>
      <c r="I796" s="148" t="n"/>
      <c r="J796" s="149" t="n"/>
      <c r="K796" s="37" t="n"/>
      <c r="L796" s="148" t="n"/>
      <c r="M796" s="148" t="n"/>
      <c r="N796" s="148" t="n"/>
      <c r="O796" s="148" t="n"/>
      <c r="P796" s="148" t="n"/>
      <c r="Q796" s="148" t="n"/>
      <c r="R796" s="148" t="n"/>
      <c r="S796" s="148" t="n"/>
      <c r="T796" s="150" t="n"/>
      <c r="U796" s="150" t="n"/>
      <c r="V796" s="37" t="n"/>
      <c r="W796" s="151" t="n"/>
      <c r="X796" s="151" t="n"/>
      <c r="Y796" s="151" t="n"/>
      <c r="Z796" s="151" t="n"/>
      <c r="AA796" s="151" t="n"/>
      <c r="AB796" s="152" t="n"/>
      <c r="AC796" s="152" t="n"/>
      <c r="AD796" s="152" t="n"/>
      <c r="AE796" s="152" t="n"/>
      <c r="AF796" s="152" t="n"/>
    </row>
    <row r="797" ht="15.75" customHeight="1" s="201">
      <c r="A797" s="37" t="n"/>
      <c r="B797" s="37" t="n"/>
      <c r="C797" s="37" t="n"/>
      <c r="D797" s="37" t="n"/>
      <c r="E797" s="37" t="n"/>
      <c r="F797" s="148" t="n"/>
      <c r="G797" s="148" t="n"/>
      <c r="H797" s="148" t="n"/>
      <c r="I797" s="148" t="n"/>
      <c r="J797" s="149" t="n"/>
      <c r="K797" s="37" t="n"/>
      <c r="L797" s="148" t="n"/>
      <c r="M797" s="148" t="n"/>
      <c r="N797" s="148" t="n"/>
      <c r="O797" s="148" t="n"/>
      <c r="P797" s="148" t="n"/>
      <c r="Q797" s="148" t="n"/>
      <c r="R797" s="148" t="n"/>
      <c r="S797" s="148" t="n"/>
      <c r="T797" s="150" t="n"/>
      <c r="U797" s="150" t="n"/>
      <c r="V797" s="37" t="n"/>
      <c r="W797" s="151" t="n"/>
      <c r="X797" s="151" t="n"/>
      <c r="Y797" s="151" t="n"/>
      <c r="Z797" s="151" t="n"/>
      <c r="AA797" s="151" t="n"/>
      <c r="AB797" s="152" t="n"/>
      <c r="AC797" s="152" t="n"/>
      <c r="AD797" s="152" t="n"/>
      <c r="AE797" s="152" t="n"/>
      <c r="AF797" s="152" t="n"/>
    </row>
    <row r="798" ht="15.75" customHeight="1" s="201">
      <c r="A798" s="37" t="n"/>
      <c r="B798" s="37" t="n"/>
      <c r="C798" s="37" t="n"/>
      <c r="D798" s="37" t="n"/>
      <c r="E798" s="37" t="n"/>
      <c r="F798" s="148" t="n"/>
      <c r="G798" s="148" t="n"/>
      <c r="H798" s="148" t="n"/>
      <c r="I798" s="148" t="n"/>
      <c r="J798" s="149" t="n"/>
      <c r="K798" s="37" t="n"/>
      <c r="L798" s="148" t="n"/>
      <c r="M798" s="148" t="n"/>
      <c r="N798" s="148" t="n"/>
      <c r="O798" s="148" t="n"/>
      <c r="P798" s="148" t="n"/>
      <c r="Q798" s="148" t="n"/>
      <c r="R798" s="148" t="n"/>
      <c r="S798" s="148" t="n"/>
      <c r="T798" s="150" t="n"/>
      <c r="U798" s="150" t="n"/>
      <c r="V798" s="37" t="n"/>
      <c r="W798" s="151" t="n"/>
      <c r="X798" s="151" t="n"/>
      <c r="Y798" s="151" t="n"/>
      <c r="Z798" s="151" t="n"/>
      <c r="AA798" s="151" t="n"/>
      <c r="AB798" s="152" t="n"/>
      <c r="AC798" s="152" t="n"/>
      <c r="AD798" s="152" t="n"/>
      <c r="AE798" s="152" t="n"/>
      <c r="AF798" s="152" t="n"/>
    </row>
    <row r="799" ht="15.75" customHeight="1" s="201">
      <c r="A799" s="37" t="n"/>
      <c r="B799" s="37" t="n"/>
      <c r="C799" s="37" t="n"/>
      <c r="D799" s="37" t="n"/>
      <c r="E799" s="37" t="n"/>
      <c r="F799" s="148" t="n"/>
      <c r="G799" s="148" t="n"/>
      <c r="H799" s="148" t="n"/>
      <c r="I799" s="148" t="n"/>
      <c r="J799" s="149" t="n"/>
      <c r="K799" s="37" t="n"/>
      <c r="L799" s="148" t="n"/>
      <c r="M799" s="148" t="n"/>
      <c r="N799" s="148" t="n"/>
      <c r="O799" s="148" t="n"/>
      <c r="P799" s="148" t="n"/>
      <c r="Q799" s="148" t="n"/>
      <c r="R799" s="148" t="n"/>
      <c r="S799" s="148" t="n"/>
      <c r="T799" s="150" t="n"/>
      <c r="U799" s="150" t="n"/>
      <c r="V799" s="37" t="n"/>
      <c r="W799" s="151" t="n"/>
      <c r="X799" s="151" t="n"/>
      <c r="Y799" s="151" t="n"/>
      <c r="Z799" s="151" t="n"/>
      <c r="AA799" s="151" t="n"/>
      <c r="AB799" s="152" t="n"/>
      <c r="AC799" s="152" t="n"/>
      <c r="AD799" s="152" t="n"/>
      <c r="AE799" s="152" t="n"/>
      <c r="AF799" s="152" t="n"/>
    </row>
    <row r="800" ht="15.75" customHeight="1" s="201">
      <c r="A800" s="37" t="n"/>
      <c r="B800" s="37" t="n"/>
      <c r="C800" s="37" t="n"/>
      <c r="D800" s="37" t="n"/>
      <c r="E800" s="37" t="n"/>
      <c r="F800" s="148" t="n"/>
      <c r="G800" s="148" t="n"/>
      <c r="H800" s="148" t="n"/>
      <c r="I800" s="148" t="n"/>
      <c r="J800" s="149" t="n"/>
      <c r="K800" s="37" t="n"/>
      <c r="L800" s="148" t="n"/>
      <c r="M800" s="148" t="n"/>
      <c r="N800" s="148" t="n"/>
      <c r="O800" s="148" t="n"/>
      <c r="P800" s="148" t="n"/>
      <c r="Q800" s="148" t="n"/>
      <c r="R800" s="148" t="n"/>
      <c r="S800" s="148" t="n"/>
      <c r="T800" s="150" t="n"/>
      <c r="U800" s="150" t="n"/>
      <c r="V800" s="37" t="n"/>
      <c r="W800" s="151" t="n"/>
      <c r="X800" s="151" t="n"/>
      <c r="Y800" s="151" t="n"/>
      <c r="Z800" s="151" t="n"/>
      <c r="AA800" s="151" t="n"/>
      <c r="AB800" s="152" t="n"/>
      <c r="AC800" s="152" t="n"/>
      <c r="AD800" s="152" t="n"/>
      <c r="AE800" s="152" t="n"/>
      <c r="AF800" s="152" t="n"/>
    </row>
    <row r="801" ht="15.75" customHeight="1" s="201">
      <c r="A801" s="37" t="n"/>
      <c r="B801" s="37" t="n"/>
      <c r="C801" s="37" t="n"/>
      <c r="D801" s="37" t="n"/>
      <c r="E801" s="37" t="n"/>
      <c r="F801" s="148" t="n"/>
      <c r="G801" s="148" t="n"/>
      <c r="H801" s="148" t="n"/>
      <c r="I801" s="148" t="n"/>
      <c r="J801" s="149" t="n"/>
      <c r="K801" s="37" t="n"/>
      <c r="L801" s="148" t="n"/>
      <c r="M801" s="148" t="n"/>
      <c r="N801" s="148" t="n"/>
      <c r="O801" s="148" t="n"/>
      <c r="P801" s="148" t="n"/>
      <c r="Q801" s="148" t="n"/>
      <c r="R801" s="148" t="n"/>
      <c r="S801" s="148" t="n"/>
      <c r="T801" s="150" t="n"/>
      <c r="U801" s="150" t="n"/>
      <c r="V801" s="37" t="n"/>
      <c r="W801" s="151" t="n"/>
      <c r="X801" s="151" t="n"/>
      <c r="Y801" s="151" t="n"/>
      <c r="Z801" s="151" t="n"/>
      <c r="AA801" s="151" t="n"/>
      <c r="AB801" s="152" t="n"/>
      <c r="AC801" s="152" t="n"/>
      <c r="AD801" s="152" t="n"/>
      <c r="AE801" s="152" t="n"/>
      <c r="AF801" s="152" t="n"/>
    </row>
    <row r="802" ht="15.75" customHeight="1" s="201">
      <c r="A802" s="37" t="n"/>
      <c r="B802" s="37" t="n"/>
      <c r="C802" s="37" t="n"/>
      <c r="D802" s="37" t="n"/>
      <c r="E802" s="37" t="n"/>
      <c r="F802" s="148" t="n"/>
      <c r="G802" s="148" t="n"/>
      <c r="H802" s="148" t="n"/>
      <c r="I802" s="148" t="n"/>
      <c r="J802" s="149" t="n"/>
      <c r="K802" s="37" t="n"/>
      <c r="L802" s="148" t="n"/>
      <c r="M802" s="148" t="n"/>
      <c r="N802" s="148" t="n"/>
      <c r="O802" s="148" t="n"/>
      <c r="P802" s="148" t="n"/>
      <c r="Q802" s="148" t="n"/>
      <c r="R802" s="148" t="n"/>
      <c r="S802" s="148" t="n"/>
      <c r="T802" s="150" t="n"/>
      <c r="U802" s="150" t="n"/>
      <c r="V802" s="37" t="n"/>
      <c r="W802" s="151" t="n"/>
      <c r="X802" s="151" t="n"/>
      <c r="Y802" s="151" t="n"/>
      <c r="Z802" s="151" t="n"/>
      <c r="AA802" s="151" t="n"/>
      <c r="AB802" s="152" t="n"/>
      <c r="AC802" s="152" t="n"/>
      <c r="AD802" s="152" t="n"/>
      <c r="AE802" s="152" t="n"/>
      <c r="AF802" s="152" t="n"/>
    </row>
    <row r="803" ht="15.75" customHeight="1" s="201">
      <c r="A803" s="37" t="n"/>
      <c r="B803" s="37" t="n"/>
      <c r="C803" s="37" t="n"/>
      <c r="D803" s="37" t="n"/>
      <c r="E803" s="37" t="n"/>
      <c r="F803" s="148" t="n"/>
      <c r="G803" s="148" t="n"/>
      <c r="H803" s="148" t="n"/>
      <c r="I803" s="148" t="n"/>
      <c r="J803" s="149" t="n"/>
      <c r="K803" s="37" t="n"/>
      <c r="L803" s="148" t="n"/>
      <c r="M803" s="148" t="n"/>
      <c r="N803" s="148" t="n"/>
      <c r="O803" s="148" t="n"/>
      <c r="P803" s="148" t="n"/>
      <c r="Q803" s="148" t="n"/>
      <c r="R803" s="148" t="n"/>
      <c r="S803" s="148" t="n"/>
      <c r="T803" s="150" t="n"/>
      <c r="U803" s="150" t="n"/>
      <c r="V803" s="37" t="n"/>
      <c r="W803" s="151" t="n"/>
      <c r="X803" s="151" t="n"/>
      <c r="Y803" s="151" t="n"/>
      <c r="Z803" s="151" t="n"/>
      <c r="AA803" s="151" t="n"/>
      <c r="AB803" s="152" t="n"/>
      <c r="AC803" s="152" t="n"/>
      <c r="AD803" s="152" t="n"/>
      <c r="AE803" s="152" t="n"/>
      <c r="AF803" s="152" t="n"/>
    </row>
    <row r="804" ht="15.75" customHeight="1" s="201">
      <c r="A804" s="37" t="n"/>
      <c r="B804" s="37" t="n"/>
      <c r="C804" s="37" t="n"/>
      <c r="D804" s="37" t="n"/>
      <c r="E804" s="37" t="n"/>
      <c r="F804" s="148" t="n"/>
      <c r="G804" s="148" t="n"/>
      <c r="H804" s="148" t="n"/>
      <c r="I804" s="148" t="n"/>
      <c r="J804" s="149" t="n"/>
      <c r="K804" s="37" t="n"/>
      <c r="L804" s="148" t="n"/>
      <c r="M804" s="148" t="n"/>
      <c r="N804" s="148" t="n"/>
      <c r="O804" s="148" t="n"/>
      <c r="P804" s="148" t="n"/>
      <c r="Q804" s="148" t="n"/>
      <c r="R804" s="148" t="n"/>
      <c r="S804" s="148" t="n"/>
      <c r="T804" s="150" t="n"/>
      <c r="U804" s="150" t="n"/>
      <c r="V804" s="37" t="n"/>
      <c r="W804" s="151" t="n"/>
      <c r="X804" s="151" t="n"/>
      <c r="Y804" s="151" t="n"/>
      <c r="Z804" s="151" t="n"/>
      <c r="AA804" s="151" t="n"/>
      <c r="AB804" s="152" t="n"/>
      <c r="AC804" s="152" t="n"/>
      <c r="AD804" s="152" t="n"/>
      <c r="AE804" s="152" t="n"/>
      <c r="AF804" s="152" t="n"/>
    </row>
    <row r="805" ht="15.75" customHeight="1" s="201">
      <c r="A805" s="37" t="n"/>
      <c r="B805" s="37" t="n"/>
      <c r="C805" s="37" t="n"/>
      <c r="D805" s="37" t="n"/>
      <c r="E805" s="37" t="n"/>
      <c r="F805" s="148" t="n"/>
      <c r="G805" s="148" t="n"/>
      <c r="H805" s="148" t="n"/>
      <c r="I805" s="148" t="n"/>
      <c r="J805" s="149" t="n"/>
      <c r="K805" s="37" t="n"/>
      <c r="L805" s="148" t="n"/>
      <c r="M805" s="148" t="n"/>
      <c r="N805" s="148" t="n"/>
      <c r="O805" s="148" t="n"/>
      <c r="P805" s="148" t="n"/>
      <c r="Q805" s="148" t="n"/>
      <c r="R805" s="148" t="n"/>
      <c r="S805" s="148" t="n"/>
      <c r="T805" s="150" t="n"/>
      <c r="U805" s="150" t="n"/>
      <c r="V805" s="37" t="n"/>
      <c r="W805" s="151" t="n"/>
      <c r="X805" s="151" t="n"/>
      <c r="Y805" s="151" t="n"/>
      <c r="Z805" s="151" t="n"/>
      <c r="AA805" s="151" t="n"/>
      <c r="AB805" s="152" t="n"/>
      <c r="AC805" s="152" t="n"/>
      <c r="AD805" s="152" t="n"/>
      <c r="AE805" s="152" t="n"/>
      <c r="AF805" s="152" t="n"/>
    </row>
    <row r="806" ht="15.75" customHeight="1" s="201">
      <c r="A806" s="37" t="n"/>
      <c r="B806" s="37" t="n"/>
      <c r="C806" s="37" t="n"/>
      <c r="D806" s="37" t="n"/>
      <c r="E806" s="37" t="n"/>
      <c r="F806" s="148" t="n"/>
      <c r="G806" s="148" t="n"/>
      <c r="H806" s="148" t="n"/>
      <c r="I806" s="148" t="n"/>
      <c r="J806" s="149" t="n"/>
      <c r="K806" s="37" t="n"/>
      <c r="L806" s="148" t="n"/>
      <c r="M806" s="148" t="n"/>
      <c r="N806" s="148" t="n"/>
      <c r="O806" s="148" t="n"/>
      <c r="P806" s="148" t="n"/>
      <c r="Q806" s="148" t="n"/>
      <c r="R806" s="148" t="n"/>
      <c r="S806" s="148" t="n"/>
      <c r="T806" s="150" t="n"/>
      <c r="U806" s="150" t="n"/>
      <c r="V806" s="37" t="n"/>
      <c r="W806" s="151" t="n"/>
      <c r="X806" s="151" t="n"/>
      <c r="Y806" s="151" t="n"/>
      <c r="Z806" s="151" t="n"/>
      <c r="AA806" s="151" t="n"/>
      <c r="AB806" s="152" t="n"/>
      <c r="AC806" s="152" t="n"/>
      <c r="AD806" s="152" t="n"/>
      <c r="AE806" s="152" t="n"/>
      <c r="AF806" s="152" t="n"/>
    </row>
    <row r="807" ht="15.75" customHeight="1" s="201">
      <c r="A807" s="37" t="n"/>
      <c r="B807" s="37" t="n"/>
      <c r="C807" s="37" t="n"/>
      <c r="D807" s="37" t="n"/>
      <c r="E807" s="37" t="n"/>
      <c r="F807" s="148" t="n"/>
      <c r="G807" s="148" t="n"/>
      <c r="H807" s="148" t="n"/>
      <c r="I807" s="148" t="n"/>
      <c r="J807" s="149" t="n"/>
      <c r="K807" s="37" t="n"/>
      <c r="L807" s="148" t="n"/>
      <c r="M807" s="148" t="n"/>
      <c r="N807" s="148" t="n"/>
      <c r="O807" s="148" t="n"/>
      <c r="P807" s="148" t="n"/>
      <c r="Q807" s="148" t="n"/>
      <c r="R807" s="148" t="n"/>
      <c r="S807" s="148" t="n"/>
      <c r="T807" s="150" t="n"/>
      <c r="U807" s="150" t="n"/>
      <c r="V807" s="37" t="n"/>
      <c r="W807" s="151" t="n"/>
      <c r="X807" s="151" t="n"/>
      <c r="Y807" s="151" t="n"/>
      <c r="Z807" s="151" t="n"/>
      <c r="AA807" s="151" t="n"/>
      <c r="AB807" s="152" t="n"/>
      <c r="AC807" s="152" t="n"/>
      <c r="AD807" s="152" t="n"/>
      <c r="AE807" s="152" t="n"/>
      <c r="AF807" s="152" t="n"/>
    </row>
    <row r="808" ht="15.75" customHeight="1" s="201">
      <c r="A808" s="37" t="n"/>
      <c r="B808" s="37" t="n"/>
      <c r="C808" s="37" t="n"/>
      <c r="D808" s="37" t="n"/>
      <c r="E808" s="37" t="n"/>
      <c r="F808" s="148" t="n"/>
      <c r="G808" s="148" t="n"/>
      <c r="H808" s="148" t="n"/>
      <c r="I808" s="148" t="n"/>
      <c r="J808" s="149" t="n"/>
      <c r="K808" s="37" t="n"/>
      <c r="L808" s="148" t="n"/>
      <c r="M808" s="148" t="n"/>
      <c r="N808" s="148" t="n"/>
      <c r="O808" s="148" t="n"/>
      <c r="P808" s="148" t="n"/>
      <c r="Q808" s="148" t="n"/>
      <c r="R808" s="148" t="n"/>
      <c r="S808" s="148" t="n"/>
      <c r="T808" s="150" t="n"/>
      <c r="U808" s="150" t="n"/>
      <c r="V808" s="37" t="n"/>
      <c r="W808" s="151" t="n"/>
      <c r="X808" s="151" t="n"/>
      <c r="Y808" s="151" t="n"/>
      <c r="Z808" s="151" t="n"/>
      <c r="AA808" s="151" t="n"/>
      <c r="AB808" s="152" t="n"/>
      <c r="AC808" s="152" t="n"/>
      <c r="AD808" s="152" t="n"/>
      <c r="AE808" s="152" t="n"/>
      <c r="AF808" s="152" t="n"/>
    </row>
    <row r="809" ht="15.75" customHeight="1" s="201">
      <c r="A809" s="37" t="n"/>
      <c r="B809" s="37" t="n"/>
      <c r="C809" s="37" t="n"/>
      <c r="D809" s="37" t="n"/>
      <c r="E809" s="37" t="n"/>
      <c r="F809" s="148" t="n"/>
      <c r="G809" s="148" t="n"/>
      <c r="H809" s="148" t="n"/>
      <c r="I809" s="148" t="n"/>
      <c r="J809" s="149" t="n"/>
      <c r="K809" s="37" t="n"/>
      <c r="L809" s="148" t="n"/>
      <c r="M809" s="148" t="n"/>
      <c r="N809" s="148" t="n"/>
      <c r="O809" s="148" t="n"/>
      <c r="P809" s="148" t="n"/>
      <c r="Q809" s="148" t="n"/>
      <c r="R809" s="148" t="n"/>
      <c r="S809" s="148" t="n"/>
      <c r="T809" s="150" t="n"/>
      <c r="U809" s="150" t="n"/>
      <c r="V809" s="37" t="n"/>
      <c r="W809" s="151" t="n"/>
      <c r="X809" s="151" t="n"/>
      <c r="Y809" s="151" t="n"/>
      <c r="Z809" s="151" t="n"/>
      <c r="AA809" s="151" t="n"/>
      <c r="AB809" s="152" t="n"/>
      <c r="AC809" s="152" t="n"/>
      <c r="AD809" s="152" t="n"/>
      <c r="AE809" s="152" t="n"/>
      <c r="AF809" s="152" t="n"/>
    </row>
    <row r="810" ht="15.75" customHeight="1" s="201">
      <c r="A810" s="37" t="n"/>
      <c r="B810" s="37" t="n"/>
      <c r="C810" s="37" t="n"/>
      <c r="D810" s="37" t="n"/>
      <c r="E810" s="37" t="n"/>
      <c r="F810" s="148" t="n"/>
      <c r="G810" s="148" t="n"/>
      <c r="H810" s="148" t="n"/>
      <c r="I810" s="148" t="n"/>
      <c r="J810" s="149" t="n"/>
      <c r="K810" s="37" t="n"/>
      <c r="L810" s="148" t="n"/>
      <c r="M810" s="148" t="n"/>
      <c r="N810" s="148" t="n"/>
      <c r="O810" s="148" t="n"/>
      <c r="P810" s="148" t="n"/>
      <c r="Q810" s="148" t="n"/>
      <c r="R810" s="148" t="n"/>
      <c r="S810" s="148" t="n"/>
      <c r="T810" s="150" t="n"/>
      <c r="U810" s="150" t="n"/>
      <c r="V810" s="37" t="n"/>
      <c r="W810" s="151" t="n"/>
      <c r="X810" s="151" t="n"/>
      <c r="Y810" s="151" t="n"/>
      <c r="Z810" s="151" t="n"/>
      <c r="AA810" s="151" t="n"/>
      <c r="AB810" s="152" t="n"/>
      <c r="AC810" s="152" t="n"/>
      <c r="AD810" s="152" t="n"/>
      <c r="AE810" s="152" t="n"/>
      <c r="AF810" s="152" t="n"/>
    </row>
    <row r="811" ht="15.75" customHeight="1" s="201">
      <c r="A811" s="37" t="n"/>
      <c r="B811" s="37" t="n"/>
      <c r="C811" s="37" t="n"/>
      <c r="D811" s="37" t="n"/>
      <c r="E811" s="37" t="n"/>
      <c r="F811" s="148" t="n"/>
      <c r="G811" s="148" t="n"/>
      <c r="H811" s="148" t="n"/>
      <c r="I811" s="148" t="n"/>
      <c r="J811" s="149" t="n"/>
      <c r="K811" s="37" t="n"/>
      <c r="L811" s="148" t="n"/>
      <c r="M811" s="148" t="n"/>
      <c r="N811" s="148" t="n"/>
      <c r="O811" s="148" t="n"/>
      <c r="P811" s="148" t="n"/>
      <c r="Q811" s="148" t="n"/>
      <c r="R811" s="148" t="n"/>
      <c r="S811" s="148" t="n"/>
      <c r="T811" s="150" t="n"/>
      <c r="U811" s="150" t="n"/>
      <c r="V811" s="37" t="n"/>
      <c r="W811" s="151" t="n"/>
      <c r="X811" s="151" t="n"/>
      <c r="Y811" s="151" t="n"/>
      <c r="Z811" s="151" t="n"/>
      <c r="AA811" s="151" t="n"/>
      <c r="AB811" s="152" t="n"/>
      <c r="AC811" s="152" t="n"/>
      <c r="AD811" s="152" t="n"/>
      <c r="AE811" s="152" t="n"/>
      <c r="AF811" s="152" t="n"/>
    </row>
    <row r="812" ht="15.75" customHeight="1" s="201">
      <c r="A812" s="37" t="n"/>
      <c r="B812" s="37" t="n"/>
      <c r="C812" s="37" t="n"/>
      <c r="D812" s="37" t="n"/>
      <c r="E812" s="37" t="n"/>
      <c r="F812" s="148" t="n"/>
      <c r="G812" s="148" t="n"/>
      <c r="H812" s="148" t="n"/>
      <c r="I812" s="148" t="n"/>
      <c r="J812" s="149" t="n"/>
      <c r="K812" s="37" t="n"/>
      <c r="L812" s="148" t="n"/>
      <c r="M812" s="148" t="n"/>
      <c r="N812" s="148" t="n"/>
      <c r="O812" s="148" t="n"/>
      <c r="P812" s="148" t="n"/>
      <c r="Q812" s="148" t="n"/>
      <c r="R812" s="148" t="n"/>
      <c r="S812" s="148" t="n"/>
      <c r="T812" s="150" t="n"/>
      <c r="U812" s="150" t="n"/>
      <c r="V812" s="37" t="n"/>
      <c r="W812" s="151" t="n"/>
      <c r="X812" s="151" t="n"/>
      <c r="Y812" s="151" t="n"/>
      <c r="Z812" s="151" t="n"/>
      <c r="AA812" s="151" t="n"/>
      <c r="AB812" s="152" t="n"/>
      <c r="AC812" s="152" t="n"/>
      <c r="AD812" s="152" t="n"/>
      <c r="AE812" s="152" t="n"/>
      <c r="AF812" s="152" t="n"/>
    </row>
    <row r="813" ht="15.75" customHeight="1" s="201">
      <c r="A813" s="37" t="n"/>
      <c r="B813" s="37" t="n"/>
      <c r="C813" s="37" t="n"/>
      <c r="D813" s="37" t="n"/>
      <c r="E813" s="37" t="n"/>
      <c r="F813" s="148" t="n"/>
      <c r="G813" s="148" t="n"/>
      <c r="H813" s="148" t="n"/>
      <c r="I813" s="148" t="n"/>
      <c r="J813" s="149" t="n"/>
      <c r="K813" s="37" t="n"/>
      <c r="L813" s="148" t="n"/>
      <c r="M813" s="148" t="n"/>
      <c r="N813" s="148" t="n"/>
      <c r="O813" s="148" t="n"/>
      <c r="P813" s="148" t="n"/>
      <c r="Q813" s="148" t="n"/>
      <c r="R813" s="148" t="n"/>
      <c r="S813" s="148" t="n"/>
      <c r="T813" s="150" t="n"/>
      <c r="U813" s="150" t="n"/>
      <c r="V813" s="37" t="n"/>
      <c r="W813" s="151" t="n"/>
      <c r="X813" s="151" t="n"/>
      <c r="Y813" s="151" t="n"/>
      <c r="Z813" s="151" t="n"/>
      <c r="AA813" s="151" t="n"/>
      <c r="AB813" s="152" t="n"/>
      <c r="AC813" s="152" t="n"/>
      <c r="AD813" s="152" t="n"/>
      <c r="AE813" s="152" t="n"/>
      <c r="AF813" s="152" t="n"/>
    </row>
    <row r="814" ht="15.75" customHeight="1" s="201">
      <c r="A814" s="37" t="n"/>
      <c r="B814" s="37" t="n"/>
      <c r="C814" s="37" t="n"/>
      <c r="D814" s="37" t="n"/>
      <c r="E814" s="37" t="n"/>
      <c r="F814" s="148" t="n"/>
      <c r="G814" s="148" t="n"/>
      <c r="H814" s="148" t="n"/>
      <c r="I814" s="148" t="n"/>
      <c r="J814" s="149" t="n"/>
      <c r="K814" s="37" t="n"/>
      <c r="L814" s="148" t="n"/>
      <c r="M814" s="148" t="n"/>
      <c r="N814" s="148" t="n"/>
      <c r="O814" s="148" t="n"/>
      <c r="P814" s="148" t="n"/>
      <c r="Q814" s="148" t="n"/>
      <c r="R814" s="148" t="n"/>
      <c r="S814" s="148" t="n"/>
      <c r="T814" s="150" t="n"/>
      <c r="U814" s="150" t="n"/>
      <c r="V814" s="37" t="n"/>
      <c r="W814" s="151" t="n"/>
      <c r="X814" s="151" t="n"/>
      <c r="Y814" s="151" t="n"/>
      <c r="Z814" s="151" t="n"/>
      <c r="AA814" s="151" t="n"/>
      <c r="AB814" s="152" t="n"/>
      <c r="AC814" s="152" t="n"/>
      <c r="AD814" s="152" t="n"/>
      <c r="AE814" s="152" t="n"/>
      <c r="AF814" s="152" t="n"/>
    </row>
    <row r="815" ht="15.75" customHeight="1" s="201">
      <c r="A815" s="37" t="n"/>
      <c r="B815" s="37" t="n"/>
      <c r="C815" s="37" t="n"/>
      <c r="D815" s="37" t="n"/>
      <c r="E815" s="37" t="n"/>
      <c r="F815" s="148" t="n"/>
      <c r="G815" s="148" t="n"/>
      <c r="H815" s="148" t="n"/>
      <c r="I815" s="148" t="n"/>
      <c r="J815" s="149" t="n"/>
      <c r="K815" s="37" t="n"/>
      <c r="L815" s="148" t="n"/>
      <c r="M815" s="148" t="n"/>
      <c r="N815" s="148" t="n"/>
      <c r="O815" s="148" t="n"/>
      <c r="P815" s="148" t="n"/>
      <c r="Q815" s="148" t="n"/>
      <c r="R815" s="148" t="n"/>
      <c r="S815" s="148" t="n"/>
      <c r="T815" s="150" t="n"/>
      <c r="U815" s="150" t="n"/>
      <c r="V815" s="37" t="n"/>
      <c r="W815" s="151" t="n"/>
      <c r="X815" s="151" t="n"/>
      <c r="Y815" s="151" t="n"/>
      <c r="Z815" s="151" t="n"/>
      <c r="AA815" s="151" t="n"/>
      <c r="AB815" s="152" t="n"/>
      <c r="AC815" s="152" t="n"/>
      <c r="AD815" s="152" t="n"/>
      <c r="AE815" s="152" t="n"/>
      <c r="AF815" s="152" t="n"/>
    </row>
    <row r="816" ht="15.75" customHeight="1" s="201">
      <c r="A816" s="37" t="n"/>
      <c r="B816" s="37" t="n"/>
      <c r="C816" s="37" t="n"/>
      <c r="D816" s="37" t="n"/>
      <c r="E816" s="37" t="n"/>
      <c r="F816" s="148" t="n"/>
      <c r="G816" s="148" t="n"/>
      <c r="H816" s="148" t="n"/>
      <c r="I816" s="148" t="n"/>
      <c r="J816" s="149" t="n"/>
      <c r="K816" s="37" t="n"/>
      <c r="L816" s="148" t="n"/>
      <c r="M816" s="148" t="n"/>
      <c r="N816" s="148" t="n"/>
      <c r="O816" s="148" t="n"/>
      <c r="P816" s="148" t="n"/>
      <c r="Q816" s="148" t="n"/>
      <c r="R816" s="148" t="n"/>
      <c r="S816" s="148" t="n"/>
      <c r="T816" s="150" t="n"/>
      <c r="U816" s="150" t="n"/>
      <c r="V816" s="37" t="n"/>
      <c r="W816" s="151" t="n"/>
      <c r="X816" s="151" t="n"/>
      <c r="Y816" s="151" t="n"/>
      <c r="Z816" s="151" t="n"/>
      <c r="AA816" s="151" t="n"/>
      <c r="AB816" s="152" t="n"/>
      <c r="AC816" s="152" t="n"/>
      <c r="AD816" s="152" t="n"/>
      <c r="AE816" s="152" t="n"/>
      <c r="AF816" s="152" t="n"/>
    </row>
    <row r="817" ht="15.75" customHeight="1" s="201">
      <c r="A817" s="37" t="n"/>
      <c r="B817" s="37" t="n"/>
      <c r="C817" s="37" t="n"/>
      <c r="D817" s="37" t="n"/>
      <c r="E817" s="37" t="n"/>
      <c r="F817" s="148" t="n"/>
      <c r="G817" s="148" t="n"/>
      <c r="H817" s="148" t="n"/>
      <c r="I817" s="148" t="n"/>
      <c r="J817" s="149" t="n"/>
      <c r="K817" s="37" t="n"/>
      <c r="L817" s="148" t="n"/>
      <c r="M817" s="148" t="n"/>
      <c r="N817" s="148" t="n"/>
      <c r="O817" s="148" t="n"/>
      <c r="P817" s="148" t="n"/>
      <c r="Q817" s="148" t="n"/>
      <c r="R817" s="148" t="n"/>
      <c r="S817" s="148" t="n"/>
      <c r="T817" s="150" t="n"/>
      <c r="U817" s="150" t="n"/>
      <c r="V817" s="37" t="n"/>
      <c r="W817" s="151" t="n"/>
      <c r="X817" s="151" t="n"/>
      <c r="Y817" s="151" t="n"/>
      <c r="Z817" s="151" t="n"/>
      <c r="AA817" s="151" t="n"/>
      <c r="AB817" s="152" t="n"/>
      <c r="AC817" s="152" t="n"/>
      <c r="AD817" s="152" t="n"/>
      <c r="AE817" s="152" t="n"/>
      <c r="AF817" s="152" t="n"/>
    </row>
    <row r="818" ht="15.75" customHeight="1" s="201">
      <c r="A818" s="37" t="n"/>
      <c r="B818" s="37" t="n"/>
      <c r="C818" s="37" t="n"/>
      <c r="D818" s="37" t="n"/>
      <c r="E818" s="37" t="n"/>
      <c r="F818" s="148" t="n"/>
      <c r="G818" s="148" t="n"/>
      <c r="H818" s="148" t="n"/>
      <c r="I818" s="148" t="n"/>
      <c r="J818" s="149" t="n"/>
      <c r="K818" s="37" t="n"/>
      <c r="L818" s="148" t="n"/>
      <c r="M818" s="148" t="n"/>
      <c r="N818" s="148" t="n"/>
      <c r="O818" s="148" t="n"/>
      <c r="P818" s="148" t="n"/>
      <c r="Q818" s="148" t="n"/>
      <c r="R818" s="148" t="n"/>
      <c r="S818" s="148" t="n"/>
      <c r="T818" s="150" t="n"/>
      <c r="U818" s="150" t="n"/>
      <c r="V818" s="37" t="n"/>
      <c r="W818" s="151" t="n"/>
      <c r="X818" s="151" t="n"/>
      <c r="Y818" s="151" t="n"/>
      <c r="Z818" s="151" t="n"/>
      <c r="AA818" s="151" t="n"/>
      <c r="AB818" s="152" t="n"/>
      <c r="AC818" s="152" t="n"/>
      <c r="AD818" s="152" t="n"/>
      <c r="AE818" s="152" t="n"/>
      <c r="AF818" s="152" t="n"/>
    </row>
    <row r="819" ht="15.75" customHeight="1" s="201">
      <c r="A819" s="37" t="n"/>
      <c r="B819" s="37" t="n"/>
      <c r="C819" s="37" t="n"/>
      <c r="D819" s="37" t="n"/>
      <c r="E819" s="37" t="n"/>
      <c r="F819" s="148" t="n"/>
      <c r="G819" s="148" t="n"/>
      <c r="H819" s="148" t="n"/>
      <c r="I819" s="148" t="n"/>
      <c r="J819" s="149" t="n"/>
      <c r="K819" s="37" t="n"/>
      <c r="L819" s="148" t="n"/>
      <c r="M819" s="148" t="n"/>
      <c r="N819" s="148" t="n"/>
      <c r="O819" s="148" t="n"/>
      <c r="P819" s="148" t="n"/>
      <c r="Q819" s="148" t="n"/>
      <c r="R819" s="148" t="n"/>
      <c r="S819" s="148" t="n"/>
      <c r="T819" s="150" t="n"/>
      <c r="U819" s="150" t="n"/>
      <c r="V819" s="37" t="n"/>
      <c r="W819" s="151" t="n"/>
      <c r="X819" s="151" t="n"/>
      <c r="Y819" s="151" t="n"/>
      <c r="Z819" s="151" t="n"/>
      <c r="AA819" s="151" t="n"/>
      <c r="AB819" s="152" t="n"/>
      <c r="AC819" s="152" t="n"/>
      <c r="AD819" s="152" t="n"/>
      <c r="AE819" s="152" t="n"/>
      <c r="AF819" s="152" t="n"/>
    </row>
    <row r="820" ht="15.75" customHeight="1" s="201">
      <c r="A820" s="37" t="n"/>
      <c r="B820" s="37" t="n"/>
      <c r="C820" s="37" t="n"/>
      <c r="D820" s="37" t="n"/>
      <c r="E820" s="37" t="n"/>
      <c r="F820" s="148" t="n"/>
      <c r="G820" s="148" t="n"/>
      <c r="H820" s="148" t="n"/>
      <c r="I820" s="148" t="n"/>
      <c r="J820" s="149" t="n"/>
      <c r="K820" s="37" t="n"/>
      <c r="L820" s="148" t="n"/>
      <c r="M820" s="148" t="n"/>
      <c r="N820" s="148" t="n"/>
      <c r="O820" s="148" t="n"/>
      <c r="P820" s="148" t="n"/>
      <c r="Q820" s="148" t="n"/>
      <c r="R820" s="148" t="n"/>
      <c r="S820" s="148" t="n"/>
      <c r="T820" s="150" t="n"/>
      <c r="U820" s="150" t="n"/>
      <c r="V820" s="37" t="n"/>
      <c r="W820" s="151" t="n"/>
      <c r="X820" s="151" t="n"/>
      <c r="Y820" s="151" t="n"/>
      <c r="Z820" s="151" t="n"/>
      <c r="AA820" s="151" t="n"/>
      <c r="AB820" s="152" t="n"/>
      <c r="AC820" s="152" t="n"/>
      <c r="AD820" s="152" t="n"/>
      <c r="AE820" s="152" t="n"/>
      <c r="AF820" s="152" t="n"/>
    </row>
    <row r="821" ht="15.75" customHeight="1" s="201">
      <c r="A821" s="37" t="n"/>
      <c r="B821" s="37" t="n"/>
      <c r="C821" s="37" t="n"/>
      <c r="D821" s="37" t="n"/>
      <c r="E821" s="37" t="n"/>
      <c r="F821" s="148" t="n"/>
      <c r="G821" s="148" t="n"/>
      <c r="H821" s="148" t="n"/>
      <c r="I821" s="148" t="n"/>
      <c r="J821" s="149" t="n"/>
      <c r="K821" s="37" t="n"/>
      <c r="L821" s="148" t="n"/>
      <c r="M821" s="148" t="n"/>
      <c r="N821" s="148" t="n"/>
      <c r="O821" s="148" t="n"/>
      <c r="P821" s="148" t="n"/>
      <c r="Q821" s="148" t="n"/>
      <c r="R821" s="148" t="n"/>
      <c r="S821" s="148" t="n"/>
      <c r="T821" s="150" t="n"/>
      <c r="U821" s="150" t="n"/>
      <c r="V821" s="37" t="n"/>
      <c r="W821" s="151" t="n"/>
      <c r="X821" s="151" t="n"/>
      <c r="Y821" s="151" t="n"/>
      <c r="Z821" s="151" t="n"/>
      <c r="AA821" s="151" t="n"/>
      <c r="AB821" s="152" t="n"/>
      <c r="AC821" s="152" t="n"/>
      <c r="AD821" s="152" t="n"/>
      <c r="AE821" s="152" t="n"/>
      <c r="AF821" s="152" t="n"/>
    </row>
    <row r="822" ht="15.75" customHeight="1" s="201">
      <c r="A822" s="37" t="n"/>
      <c r="B822" s="37" t="n"/>
      <c r="C822" s="37" t="n"/>
      <c r="D822" s="37" t="n"/>
      <c r="E822" s="37" t="n"/>
      <c r="F822" s="148" t="n"/>
      <c r="G822" s="148" t="n"/>
      <c r="H822" s="148" t="n"/>
      <c r="I822" s="148" t="n"/>
      <c r="J822" s="149" t="n"/>
      <c r="K822" s="37" t="n"/>
      <c r="L822" s="148" t="n"/>
      <c r="M822" s="148" t="n"/>
      <c r="N822" s="148" t="n"/>
      <c r="O822" s="148" t="n"/>
      <c r="P822" s="148" t="n"/>
      <c r="Q822" s="148" t="n"/>
      <c r="R822" s="148" t="n"/>
      <c r="S822" s="148" t="n"/>
      <c r="T822" s="150" t="n"/>
      <c r="U822" s="150" t="n"/>
      <c r="V822" s="37" t="n"/>
      <c r="W822" s="151" t="n"/>
      <c r="X822" s="151" t="n"/>
      <c r="Y822" s="151" t="n"/>
      <c r="Z822" s="151" t="n"/>
      <c r="AA822" s="151" t="n"/>
      <c r="AB822" s="152" t="n"/>
      <c r="AC822" s="152" t="n"/>
      <c r="AD822" s="152" t="n"/>
      <c r="AE822" s="152" t="n"/>
      <c r="AF822" s="152" t="n"/>
    </row>
    <row r="823" ht="15.75" customHeight="1" s="201">
      <c r="A823" s="37" t="n"/>
      <c r="B823" s="37" t="n"/>
      <c r="C823" s="37" t="n"/>
      <c r="D823" s="37" t="n"/>
      <c r="E823" s="37" t="n"/>
      <c r="F823" s="148" t="n"/>
      <c r="G823" s="148" t="n"/>
      <c r="H823" s="148" t="n"/>
      <c r="I823" s="148" t="n"/>
      <c r="J823" s="149" t="n"/>
      <c r="K823" s="37" t="n"/>
      <c r="L823" s="148" t="n"/>
      <c r="M823" s="148" t="n"/>
      <c r="N823" s="148" t="n"/>
      <c r="O823" s="148" t="n"/>
      <c r="P823" s="148" t="n"/>
      <c r="Q823" s="148" t="n"/>
      <c r="R823" s="148" t="n"/>
      <c r="S823" s="148" t="n"/>
      <c r="T823" s="150" t="n"/>
      <c r="U823" s="150" t="n"/>
      <c r="V823" s="37" t="n"/>
      <c r="W823" s="151" t="n"/>
      <c r="X823" s="151" t="n"/>
      <c r="Y823" s="151" t="n"/>
      <c r="Z823" s="151" t="n"/>
      <c r="AA823" s="151" t="n"/>
      <c r="AB823" s="152" t="n"/>
      <c r="AC823" s="152" t="n"/>
      <c r="AD823" s="152" t="n"/>
      <c r="AE823" s="152" t="n"/>
      <c r="AF823" s="152" t="n"/>
    </row>
    <row r="824" ht="15.75" customHeight="1" s="201">
      <c r="A824" s="37" t="n"/>
      <c r="B824" s="37" t="n"/>
      <c r="C824" s="37" t="n"/>
      <c r="D824" s="37" t="n"/>
      <c r="E824" s="37" t="n"/>
      <c r="F824" s="148" t="n"/>
      <c r="G824" s="148" t="n"/>
      <c r="H824" s="148" t="n"/>
      <c r="I824" s="148" t="n"/>
      <c r="J824" s="149" t="n"/>
      <c r="K824" s="37" t="n"/>
      <c r="L824" s="148" t="n"/>
      <c r="M824" s="148" t="n"/>
      <c r="N824" s="148" t="n"/>
      <c r="O824" s="148" t="n"/>
      <c r="P824" s="148" t="n"/>
      <c r="Q824" s="148" t="n"/>
      <c r="R824" s="148" t="n"/>
      <c r="S824" s="148" t="n"/>
      <c r="T824" s="150" t="n"/>
      <c r="U824" s="150" t="n"/>
      <c r="V824" s="37" t="n"/>
      <c r="W824" s="151" t="n"/>
      <c r="X824" s="151" t="n"/>
      <c r="Y824" s="151" t="n"/>
      <c r="Z824" s="151" t="n"/>
      <c r="AA824" s="151" t="n"/>
      <c r="AB824" s="152" t="n"/>
      <c r="AC824" s="152" t="n"/>
      <c r="AD824" s="152" t="n"/>
      <c r="AE824" s="152" t="n"/>
      <c r="AF824" s="152" t="n"/>
    </row>
    <row r="825" ht="15.75" customHeight="1" s="201">
      <c r="A825" s="37" t="n"/>
      <c r="B825" s="37" t="n"/>
      <c r="C825" s="37" t="n"/>
      <c r="D825" s="37" t="n"/>
      <c r="E825" s="37" t="n"/>
      <c r="F825" s="148" t="n"/>
      <c r="G825" s="148" t="n"/>
      <c r="H825" s="148" t="n"/>
      <c r="I825" s="148" t="n"/>
      <c r="J825" s="149" t="n"/>
      <c r="K825" s="37" t="n"/>
      <c r="L825" s="148" t="n"/>
      <c r="M825" s="148" t="n"/>
      <c r="N825" s="148" t="n"/>
      <c r="O825" s="148" t="n"/>
      <c r="P825" s="148" t="n"/>
      <c r="Q825" s="148" t="n"/>
      <c r="R825" s="148" t="n"/>
      <c r="S825" s="148" t="n"/>
      <c r="T825" s="150" t="n"/>
      <c r="U825" s="150" t="n"/>
      <c r="V825" s="37" t="n"/>
      <c r="W825" s="151" t="n"/>
      <c r="X825" s="151" t="n"/>
      <c r="Y825" s="151" t="n"/>
      <c r="Z825" s="151" t="n"/>
      <c r="AA825" s="151" t="n"/>
      <c r="AB825" s="152" t="n"/>
      <c r="AC825" s="152" t="n"/>
      <c r="AD825" s="152" t="n"/>
      <c r="AE825" s="152" t="n"/>
      <c r="AF825" s="152" t="n"/>
    </row>
    <row r="826" ht="15.75" customHeight="1" s="201">
      <c r="A826" s="37" t="n"/>
      <c r="B826" s="37" t="n"/>
      <c r="C826" s="37" t="n"/>
      <c r="D826" s="37" t="n"/>
      <c r="E826" s="37" t="n"/>
      <c r="F826" s="148" t="n"/>
      <c r="G826" s="148" t="n"/>
      <c r="H826" s="148" t="n"/>
      <c r="I826" s="148" t="n"/>
      <c r="J826" s="149" t="n"/>
      <c r="K826" s="37" t="n"/>
      <c r="L826" s="148" t="n"/>
      <c r="M826" s="148" t="n"/>
      <c r="N826" s="148" t="n"/>
      <c r="O826" s="148" t="n"/>
      <c r="P826" s="148" t="n"/>
      <c r="Q826" s="148" t="n"/>
      <c r="R826" s="148" t="n"/>
      <c r="S826" s="148" t="n"/>
      <c r="T826" s="150" t="n"/>
      <c r="U826" s="150" t="n"/>
      <c r="V826" s="37" t="n"/>
      <c r="W826" s="151" t="n"/>
      <c r="X826" s="151" t="n"/>
      <c r="Y826" s="151" t="n"/>
      <c r="Z826" s="151" t="n"/>
      <c r="AA826" s="151" t="n"/>
      <c r="AB826" s="152" t="n"/>
      <c r="AC826" s="152" t="n"/>
      <c r="AD826" s="152" t="n"/>
      <c r="AE826" s="152" t="n"/>
      <c r="AF826" s="152" t="n"/>
    </row>
    <row r="827" ht="15.75" customHeight="1" s="201">
      <c r="A827" s="37" t="n"/>
      <c r="B827" s="37" t="n"/>
      <c r="C827" s="37" t="n"/>
      <c r="D827" s="37" t="n"/>
      <c r="E827" s="37" t="n"/>
      <c r="F827" s="148" t="n"/>
      <c r="G827" s="148" t="n"/>
      <c r="H827" s="148" t="n"/>
      <c r="I827" s="148" t="n"/>
      <c r="J827" s="149" t="n"/>
      <c r="K827" s="37" t="n"/>
      <c r="L827" s="148" t="n"/>
      <c r="M827" s="148" t="n"/>
      <c r="N827" s="148" t="n"/>
      <c r="O827" s="148" t="n"/>
      <c r="P827" s="148" t="n"/>
      <c r="Q827" s="148" t="n"/>
      <c r="R827" s="148" t="n"/>
      <c r="S827" s="148" t="n"/>
      <c r="T827" s="150" t="n"/>
      <c r="U827" s="150" t="n"/>
      <c r="V827" s="37" t="n"/>
      <c r="W827" s="151" t="n"/>
      <c r="X827" s="151" t="n"/>
      <c r="Y827" s="151" t="n"/>
      <c r="Z827" s="151" t="n"/>
      <c r="AA827" s="151" t="n"/>
      <c r="AB827" s="152" t="n"/>
      <c r="AC827" s="152" t="n"/>
      <c r="AD827" s="152" t="n"/>
      <c r="AE827" s="152" t="n"/>
      <c r="AF827" s="152" t="n"/>
    </row>
    <row r="828" ht="15.75" customHeight="1" s="201">
      <c r="A828" s="37" t="n"/>
      <c r="B828" s="37" t="n"/>
      <c r="C828" s="37" t="n"/>
      <c r="D828" s="37" t="n"/>
      <c r="E828" s="37" t="n"/>
      <c r="F828" s="148" t="n"/>
      <c r="G828" s="148" t="n"/>
      <c r="H828" s="148" t="n"/>
      <c r="I828" s="148" t="n"/>
      <c r="J828" s="149" t="n"/>
      <c r="K828" s="37" t="n"/>
      <c r="L828" s="148" t="n"/>
      <c r="M828" s="148" t="n"/>
      <c r="N828" s="148" t="n"/>
      <c r="O828" s="148" t="n"/>
      <c r="P828" s="148" t="n"/>
      <c r="Q828" s="148" t="n"/>
      <c r="R828" s="148" t="n"/>
      <c r="S828" s="148" t="n"/>
      <c r="T828" s="150" t="n"/>
      <c r="U828" s="150" t="n"/>
      <c r="V828" s="37" t="n"/>
      <c r="W828" s="151" t="n"/>
      <c r="X828" s="151" t="n"/>
      <c r="Y828" s="151" t="n"/>
      <c r="Z828" s="151" t="n"/>
      <c r="AA828" s="151" t="n"/>
      <c r="AB828" s="152" t="n"/>
      <c r="AC828" s="152" t="n"/>
      <c r="AD828" s="152" t="n"/>
      <c r="AE828" s="152" t="n"/>
      <c r="AF828" s="152" t="n"/>
    </row>
    <row r="829" ht="15.75" customHeight="1" s="201">
      <c r="A829" s="37" t="n"/>
      <c r="B829" s="37" t="n"/>
      <c r="C829" s="37" t="n"/>
      <c r="D829" s="37" t="n"/>
      <c r="E829" s="37" t="n"/>
      <c r="F829" s="148" t="n"/>
      <c r="G829" s="148" t="n"/>
      <c r="H829" s="148" t="n"/>
      <c r="I829" s="148" t="n"/>
      <c r="J829" s="149" t="n"/>
      <c r="K829" s="37" t="n"/>
      <c r="L829" s="148" t="n"/>
      <c r="M829" s="148" t="n"/>
      <c r="N829" s="148" t="n"/>
      <c r="O829" s="148" t="n"/>
      <c r="P829" s="148" t="n"/>
      <c r="Q829" s="148" t="n"/>
      <c r="R829" s="148" t="n"/>
      <c r="S829" s="148" t="n"/>
      <c r="T829" s="150" t="n"/>
      <c r="U829" s="150" t="n"/>
      <c r="V829" s="37" t="n"/>
      <c r="W829" s="151" t="n"/>
      <c r="X829" s="151" t="n"/>
      <c r="Y829" s="151" t="n"/>
      <c r="Z829" s="151" t="n"/>
      <c r="AA829" s="151" t="n"/>
      <c r="AB829" s="152" t="n"/>
      <c r="AC829" s="152" t="n"/>
      <c r="AD829" s="152" t="n"/>
      <c r="AE829" s="152" t="n"/>
      <c r="AF829" s="152" t="n"/>
    </row>
    <row r="830" ht="15.75" customHeight="1" s="201">
      <c r="A830" s="37" t="n"/>
      <c r="B830" s="37" t="n"/>
      <c r="C830" s="37" t="n"/>
      <c r="D830" s="37" t="n"/>
      <c r="E830" s="37" t="n"/>
      <c r="F830" s="148" t="n"/>
      <c r="G830" s="148" t="n"/>
      <c r="H830" s="148" t="n"/>
      <c r="I830" s="148" t="n"/>
      <c r="J830" s="149" t="n"/>
      <c r="K830" s="37" t="n"/>
      <c r="L830" s="148" t="n"/>
      <c r="M830" s="148" t="n"/>
      <c r="N830" s="148" t="n"/>
      <c r="O830" s="148" t="n"/>
      <c r="P830" s="148" t="n"/>
      <c r="Q830" s="148" t="n"/>
      <c r="R830" s="148" t="n"/>
      <c r="S830" s="148" t="n"/>
      <c r="T830" s="150" t="n"/>
      <c r="U830" s="150" t="n"/>
      <c r="V830" s="37" t="n"/>
      <c r="W830" s="151" t="n"/>
      <c r="X830" s="151" t="n"/>
      <c r="Y830" s="151" t="n"/>
      <c r="Z830" s="151" t="n"/>
      <c r="AA830" s="151" t="n"/>
      <c r="AB830" s="152" t="n"/>
      <c r="AC830" s="152" t="n"/>
      <c r="AD830" s="152" t="n"/>
      <c r="AE830" s="152" t="n"/>
      <c r="AF830" s="152" t="n"/>
    </row>
    <row r="831" ht="15.75" customHeight="1" s="201">
      <c r="A831" s="37" t="n"/>
      <c r="B831" s="37" t="n"/>
      <c r="C831" s="37" t="n"/>
      <c r="D831" s="37" t="n"/>
      <c r="E831" s="37" t="n"/>
      <c r="F831" s="148" t="n"/>
      <c r="G831" s="148" t="n"/>
      <c r="H831" s="148" t="n"/>
      <c r="I831" s="148" t="n"/>
      <c r="J831" s="149" t="n"/>
      <c r="K831" s="37" t="n"/>
      <c r="L831" s="148" t="n"/>
      <c r="M831" s="148" t="n"/>
      <c r="N831" s="148" t="n"/>
      <c r="O831" s="148" t="n"/>
      <c r="P831" s="148" t="n"/>
      <c r="Q831" s="148" t="n"/>
      <c r="R831" s="148" t="n"/>
      <c r="S831" s="148" t="n"/>
      <c r="T831" s="150" t="n"/>
      <c r="U831" s="150" t="n"/>
      <c r="V831" s="37" t="n"/>
      <c r="W831" s="151" t="n"/>
      <c r="X831" s="151" t="n"/>
      <c r="Y831" s="151" t="n"/>
      <c r="Z831" s="151" t="n"/>
      <c r="AA831" s="151" t="n"/>
      <c r="AB831" s="152" t="n"/>
      <c r="AC831" s="152" t="n"/>
      <c r="AD831" s="152" t="n"/>
      <c r="AE831" s="152" t="n"/>
      <c r="AF831" s="152" t="n"/>
    </row>
    <row r="832" ht="15.75" customHeight="1" s="201">
      <c r="A832" s="37" t="n"/>
      <c r="B832" s="37" t="n"/>
      <c r="C832" s="37" t="n"/>
      <c r="D832" s="37" t="n"/>
      <c r="E832" s="37" t="n"/>
      <c r="F832" s="148" t="n"/>
      <c r="G832" s="148" t="n"/>
      <c r="H832" s="148" t="n"/>
      <c r="I832" s="148" t="n"/>
      <c r="J832" s="149" t="n"/>
      <c r="K832" s="37" t="n"/>
      <c r="L832" s="148" t="n"/>
      <c r="M832" s="148" t="n"/>
      <c r="N832" s="148" t="n"/>
      <c r="O832" s="148" t="n"/>
      <c r="P832" s="148" t="n"/>
      <c r="Q832" s="148" t="n"/>
      <c r="R832" s="148" t="n"/>
      <c r="S832" s="148" t="n"/>
      <c r="T832" s="150" t="n"/>
      <c r="U832" s="150" t="n"/>
      <c r="V832" s="37" t="n"/>
      <c r="W832" s="151" t="n"/>
      <c r="X832" s="151" t="n"/>
      <c r="Y832" s="151" t="n"/>
      <c r="Z832" s="151" t="n"/>
      <c r="AA832" s="151" t="n"/>
      <c r="AB832" s="152" t="n"/>
      <c r="AC832" s="152" t="n"/>
      <c r="AD832" s="152" t="n"/>
      <c r="AE832" s="152" t="n"/>
      <c r="AF832" s="152" t="n"/>
    </row>
    <row r="833" ht="15.75" customHeight="1" s="201">
      <c r="A833" s="37" t="n"/>
      <c r="B833" s="37" t="n"/>
      <c r="C833" s="37" t="n"/>
      <c r="D833" s="37" t="n"/>
      <c r="E833" s="37" t="n"/>
      <c r="F833" s="148" t="n"/>
      <c r="G833" s="148" t="n"/>
      <c r="H833" s="148" t="n"/>
      <c r="I833" s="148" t="n"/>
      <c r="J833" s="149" t="n"/>
      <c r="K833" s="37" t="n"/>
      <c r="L833" s="148" t="n"/>
      <c r="M833" s="148" t="n"/>
      <c r="N833" s="148" t="n"/>
      <c r="O833" s="148" t="n"/>
      <c r="P833" s="148" t="n"/>
      <c r="Q833" s="148" t="n"/>
      <c r="R833" s="148" t="n"/>
      <c r="S833" s="148" t="n"/>
      <c r="T833" s="150" t="n"/>
      <c r="U833" s="150" t="n"/>
      <c r="V833" s="37" t="n"/>
      <c r="W833" s="151" t="n"/>
      <c r="X833" s="151" t="n"/>
      <c r="Y833" s="151" t="n"/>
      <c r="Z833" s="151" t="n"/>
      <c r="AA833" s="151" t="n"/>
      <c r="AB833" s="152" t="n"/>
      <c r="AC833" s="152" t="n"/>
      <c r="AD833" s="152" t="n"/>
      <c r="AE833" s="152" t="n"/>
      <c r="AF833" s="152" t="n"/>
    </row>
    <row r="834" ht="15.75" customHeight="1" s="201">
      <c r="A834" s="37" t="n"/>
      <c r="B834" s="37" t="n"/>
      <c r="C834" s="37" t="n"/>
      <c r="D834" s="37" t="n"/>
      <c r="E834" s="37" t="n"/>
      <c r="F834" s="148" t="n"/>
      <c r="G834" s="148" t="n"/>
      <c r="H834" s="148" t="n"/>
      <c r="I834" s="148" t="n"/>
      <c r="J834" s="149" t="n"/>
      <c r="K834" s="37" t="n"/>
      <c r="L834" s="148" t="n"/>
      <c r="M834" s="148" t="n"/>
      <c r="N834" s="148" t="n"/>
      <c r="O834" s="148" t="n"/>
      <c r="P834" s="148" t="n"/>
      <c r="Q834" s="148" t="n"/>
      <c r="R834" s="148" t="n"/>
      <c r="S834" s="148" t="n"/>
      <c r="T834" s="150" t="n"/>
      <c r="U834" s="150" t="n"/>
      <c r="V834" s="37" t="n"/>
      <c r="W834" s="151" t="n"/>
      <c r="X834" s="151" t="n"/>
      <c r="Y834" s="151" t="n"/>
      <c r="Z834" s="151" t="n"/>
      <c r="AA834" s="151" t="n"/>
      <c r="AB834" s="152" t="n"/>
      <c r="AC834" s="152" t="n"/>
      <c r="AD834" s="152" t="n"/>
      <c r="AE834" s="152" t="n"/>
      <c r="AF834" s="152" t="n"/>
    </row>
    <row r="835" ht="15.75" customHeight="1" s="201">
      <c r="A835" s="37" t="n"/>
      <c r="B835" s="37" t="n"/>
      <c r="C835" s="37" t="n"/>
      <c r="D835" s="37" t="n"/>
      <c r="E835" s="37" t="n"/>
      <c r="F835" s="148" t="n"/>
      <c r="G835" s="148" t="n"/>
      <c r="H835" s="148" t="n"/>
      <c r="I835" s="148" t="n"/>
      <c r="J835" s="149" t="n"/>
      <c r="K835" s="37" t="n"/>
      <c r="L835" s="148" t="n"/>
      <c r="M835" s="148" t="n"/>
      <c r="N835" s="148" t="n"/>
      <c r="O835" s="148" t="n"/>
      <c r="P835" s="148" t="n"/>
      <c r="Q835" s="148" t="n"/>
      <c r="R835" s="148" t="n"/>
      <c r="S835" s="148" t="n"/>
      <c r="T835" s="150" t="n"/>
      <c r="U835" s="150" t="n"/>
      <c r="V835" s="37" t="n"/>
      <c r="W835" s="151" t="n"/>
      <c r="X835" s="151" t="n"/>
      <c r="Y835" s="151" t="n"/>
      <c r="Z835" s="151" t="n"/>
      <c r="AA835" s="151" t="n"/>
      <c r="AB835" s="152" t="n"/>
      <c r="AC835" s="152" t="n"/>
      <c r="AD835" s="152" t="n"/>
      <c r="AE835" s="152" t="n"/>
      <c r="AF835" s="152" t="n"/>
    </row>
    <row r="836" ht="15.75" customHeight="1" s="201">
      <c r="A836" s="37" t="n"/>
      <c r="B836" s="37" t="n"/>
      <c r="C836" s="37" t="n"/>
      <c r="D836" s="37" t="n"/>
      <c r="E836" s="37" t="n"/>
      <c r="F836" s="148" t="n"/>
      <c r="G836" s="148" t="n"/>
      <c r="H836" s="148" t="n"/>
      <c r="I836" s="148" t="n"/>
      <c r="J836" s="149" t="n"/>
      <c r="K836" s="37" t="n"/>
      <c r="L836" s="148" t="n"/>
      <c r="M836" s="148" t="n"/>
      <c r="N836" s="148" t="n"/>
      <c r="O836" s="148" t="n"/>
      <c r="P836" s="148" t="n"/>
      <c r="Q836" s="148" t="n"/>
      <c r="R836" s="148" t="n"/>
      <c r="S836" s="148" t="n"/>
      <c r="T836" s="150" t="n"/>
      <c r="U836" s="150" t="n"/>
      <c r="V836" s="37" t="n"/>
      <c r="W836" s="151" t="n"/>
      <c r="X836" s="151" t="n"/>
      <c r="Y836" s="151" t="n"/>
      <c r="Z836" s="151" t="n"/>
      <c r="AA836" s="151" t="n"/>
      <c r="AB836" s="152" t="n"/>
      <c r="AC836" s="152" t="n"/>
      <c r="AD836" s="152" t="n"/>
      <c r="AE836" s="152" t="n"/>
      <c r="AF836" s="152" t="n"/>
    </row>
    <row r="837" ht="15.75" customHeight="1" s="201">
      <c r="A837" s="37" t="n"/>
      <c r="B837" s="37" t="n"/>
      <c r="C837" s="37" t="n"/>
      <c r="D837" s="37" t="n"/>
      <c r="E837" s="37" t="n"/>
      <c r="F837" s="148" t="n"/>
      <c r="G837" s="148" t="n"/>
      <c r="H837" s="148" t="n"/>
      <c r="I837" s="148" t="n"/>
      <c r="J837" s="149" t="n"/>
      <c r="K837" s="37" t="n"/>
      <c r="L837" s="148" t="n"/>
      <c r="M837" s="148" t="n"/>
      <c r="N837" s="148" t="n"/>
      <c r="O837" s="148" t="n"/>
      <c r="P837" s="148" t="n"/>
      <c r="Q837" s="148" t="n"/>
      <c r="R837" s="148" t="n"/>
      <c r="S837" s="148" t="n"/>
      <c r="T837" s="150" t="n"/>
      <c r="U837" s="150" t="n"/>
      <c r="V837" s="37" t="n"/>
      <c r="W837" s="151" t="n"/>
      <c r="X837" s="151" t="n"/>
      <c r="Y837" s="151" t="n"/>
      <c r="Z837" s="151" t="n"/>
      <c r="AA837" s="151" t="n"/>
      <c r="AB837" s="152" t="n"/>
      <c r="AC837" s="152" t="n"/>
      <c r="AD837" s="152" t="n"/>
      <c r="AE837" s="152" t="n"/>
      <c r="AF837" s="152" t="n"/>
    </row>
    <row r="838" ht="15.75" customHeight="1" s="201">
      <c r="A838" s="37" t="n"/>
      <c r="B838" s="37" t="n"/>
      <c r="C838" s="37" t="n"/>
      <c r="D838" s="37" t="n"/>
      <c r="E838" s="37" t="n"/>
      <c r="F838" s="148" t="n"/>
      <c r="G838" s="148" t="n"/>
      <c r="H838" s="148" t="n"/>
      <c r="I838" s="148" t="n"/>
      <c r="J838" s="149" t="n"/>
      <c r="K838" s="37" t="n"/>
      <c r="L838" s="148" t="n"/>
      <c r="M838" s="148" t="n"/>
      <c r="N838" s="148" t="n"/>
      <c r="O838" s="148" t="n"/>
      <c r="P838" s="148" t="n"/>
      <c r="Q838" s="148" t="n"/>
      <c r="R838" s="148" t="n"/>
      <c r="S838" s="148" t="n"/>
      <c r="T838" s="150" t="n"/>
      <c r="U838" s="150" t="n"/>
      <c r="V838" s="37" t="n"/>
      <c r="W838" s="151" t="n"/>
      <c r="X838" s="151" t="n"/>
      <c r="Y838" s="151" t="n"/>
      <c r="Z838" s="151" t="n"/>
      <c r="AA838" s="151" t="n"/>
      <c r="AB838" s="152" t="n"/>
      <c r="AC838" s="152" t="n"/>
      <c r="AD838" s="152" t="n"/>
      <c r="AE838" s="152" t="n"/>
      <c r="AF838" s="152" t="n"/>
    </row>
    <row r="839" ht="15.75" customHeight="1" s="201">
      <c r="A839" s="37" t="n"/>
      <c r="B839" s="37" t="n"/>
      <c r="C839" s="37" t="n"/>
      <c r="D839" s="37" t="n"/>
      <c r="E839" s="37" t="n"/>
      <c r="F839" s="148" t="n"/>
      <c r="G839" s="148" t="n"/>
      <c r="H839" s="148" t="n"/>
      <c r="I839" s="148" t="n"/>
      <c r="J839" s="149" t="n"/>
      <c r="K839" s="37" t="n"/>
      <c r="L839" s="148" t="n"/>
      <c r="M839" s="148" t="n"/>
      <c r="N839" s="148" t="n"/>
      <c r="O839" s="148" t="n"/>
      <c r="P839" s="148" t="n"/>
      <c r="Q839" s="148" t="n"/>
      <c r="R839" s="148" t="n"/>
      <c r="S839" s="148" t="n"/>
      <c r="T839" s="150" t="n"/>
      <c r="U839" s="150" t="n"/>
      <c r="V839" s="37" t="n"/>
      <c r="W839" s="151" t="n"/>
      <c r="X839" s="151" t="n"/>
      <c r="Y839" s="151" t="n"/>
      <c r="Z839" s="151" t="n"/>
      <c r="AA839" s="151" t="n"/>
      <c r="AB839" s="152" t="n"/>
      <c r="AC839" s="152" t="n"/>
      <c r="AD839" s="152" t="n"/>
      <c r="AE839" s="152" t="n"/>
      <c r="AF839" s="152" t="n"/>
    </row>
    <row r="840" ht="15.75" customHeight="1" s="201">
      <c r="A840" s="37" t="n"/>
      <c r="B840" s="37" t="n"/>
      <c r="C840" s="37" t="n"/>
      <c r="D840" s="37" t="n"/>
      <c r="E840" s="37" t="n"/>
      <c r="F840" s="148" t="n"/>
      <c r="G840" s="148" t="n"/>
      <c r="H840" s="148" t="n"/>
      <c r="I840" s="148" t="n"/>
      <c r="J840" s="149" t="n"/>
      <c r="K840" s="37" t="n"/>
      <c r="L840" s="148" t="n"/>
      <c r="M840" s="148" t="n"/>
      <c r="N840" s="148" t="n"/>
      <c r="O840" s="148" t="n"/>
      <c r="P840" s="148" t="n"/>
      <c r="Q840" s="148" t="n"/>
      <c r="R840" s="148" t="n"/>
      <c r="S840" s="148" t="n"/>
      <c r="T840" s="150" t="n"/>
      <c r="U840" s="150" t="n"/>
      <c r="V840" s="37" t="n"/>
      <c r="W840" s="151" t="n"/>
      <c r="X840" s="151" t="n"/>
      <c r="Y840" s="151" t="n"/>
      <c r="Z840" s="151" t="n"/>
      <c r="AA840" s="151" t="n"/>
      <c r="AB840" s="152" t="n"/>
      <c r="AC840" s="152" t="n"/>
      <c r="AD840" s="152" t="n"/>
      <c r="AE840" s="152" t="n"/>
      <c r="AF840" s="152" t="n"/>
    </row>
    <row r="841" ht="15.75" customHeight="1" s="201">
      <c r="A841" s="37" t="n"/>
      <c r="B841" s="37" t="n"/>
      <c r="C841" s="37" t="n"/>
      <c r="D841" s="37" t="n"/>
      <c r="E841" s="37" t="n"/>
      <c r="F841" s="148" t="n"/>
      <c r="G841" s="148" t="n"/>
      <c r="H841" s="148" t="n"/>
      <c r="I841" s="148" t="n"/>
      <c r="J841" s="149" t="n"/>
      <c r="K841" s="37" t="n"/>
      <c r="L841" s="148" t="n"/>
      <c r="M841" s="148" t="n"/>
      <c r="N841" s="148" t="n"/>
      <c r="O841" s="148" t="n"/>
      <c r="P841" s="148" t="n"/>
      <c r="Q841" s="148" t="n"/>
      <c r="R841" s="148" t="n"/>
      <c r="S841" s="148" t="n"/>
      <c r="T841" s="150" t="n"/>
      <c r="U841" s="150" t="n"/>
      <c r="V841" s="37" t="n"/>
      <c r="W841" s="151" t="n"/>
      <c r="X841" s="151" t="n"/>
      <c r="Y841" s="151" t="n"/>
      <c r="Z841" s="151" t="n"/>
      <c r="AA841" s="151" t="n"/>
      <c r="AB841" s="152" t="n"/>
      <c r="AC841" s="152" t="n"/>
      <c r="AD841" s="152" t="n"/>
      <c r="AE841" s="152" t="n"/>
      <c r="AF841" s="152" t="n"/>
    </row>
    <row r="842" ht="15.75" customHeight="1" s="201">
      <c r="A842" s="37" t="n"/>
      <c r="B842" s="37" t="n"/>
      <c r="C842" s="37" t="n"/>
      <c r="D842" s="37" t="n"/>
      <c r="E842" s="37" t="n"/>
      <c r="F842" s="148" t="n"/>
      <c r="G842" s="148" t="n"/>
      <c r="H842" s="148" t="n"/>
      <c r="I842" s="148" t="n"/>
      <c r="J842" s="149" t="n"/>
      <c r="K842" s="37" t="n"/>
      <c r="L842" s="148" t="n"/>
      <c r="M842" s="148" t="n"/>
      <c r="N842" s="148" t="n"/>
      <c r="O842" s="148" t="n"/>
      <c r="P842" s="148" t="n"/>
      <c r="Q842" s="148" t="n"/>
      <c r="R842" s="148" t="n"/>
      <c r="S842" s="148" t="n"/>
      <c r="T842" s="150" t="n"/>
      <c r="U842" s="150" t="n"/>
      <c r="V842" s="37" t="n"/>
      <c r="W842" s="151" t="n"/>
      <c r="X842" s="151" t="n"/>
      <c r="Y842" s="151" t="n"/>
      <c r="Z842" s="151" t="n"/>
      <c r="AA842" s="151" t="n"/>
      <c r="AB842" s="152" t="n"/>
      <c r="AC842" s="152" t="n"/>
      <c r="AD842" s="152" t="n"/>
      <c r="AE842" s="152" t="n"/>
      <c r="AF842" s="152" t="n"/>
    </row>
    <row r="843" ht="15.75" customHeight="1" s="201">
      <c r="A843" s="37" t="n"/>
      <c r="B843" s="37" t="n"/>
      <c r="C843" s="37" t="n"/>
      <c r="D843" s="37" t="n"/>
      <c r="E843" s="37" t="n"/>
      <c r="F843" s="148" t="n"/>
      <c r="G843" s="148" t="n"/>
      <c r="H843" s="148" t="n"/>
      <c r="I843" s="148" t="n"/>
      <c r="J843" s="149" t="n"/>
      <c r="K843" s="37" t="n"/>
      <c r="L843" s="148" t="n"/>
      <c r="M843" s="148" t="n"/>
      <c r="N843" s="148" t="n"/>
      <c r="O843" s="148" t="n"/>
      <c r="P843" s="148" t="n"/>
      <c r="Q843" s="148" t="n"/>
      <c r="R843" s="148" t="n"/>
      <c r="S843" s="148" t="n"/>
      <c r="T843" s="150" t="n"/>
      <c r="U843" s="150" t="n"/>
      <c r="V843" s="37" t="n"/>
      <c r="W843" s="151" t="n"/>
      <c r="X843" s="151" t="n"/>
      <c r="Y843" s="151" t="n"/>
      <c r="Z843" s="151" t="n"/>
      <c r="AA843" s="151" t="n"/>
      <c r="AB843" s="152" t="n"/>
      <c r="AC843" s="152" t="n"/>
      <c r="AD843" s="152" t="n"/>
      <c r="AE843" s="152" t="n"/>
      <c r="AF843" s="152" t="n"/>
    </row>
    <row r="844" ht="15.75" customHeight="1" s="201">
      <c r="A844" s="37" t="n"/>
      <c r="B844" s="37" t="n"/>
      <c r="C844" s="37" t="n"/>
      <c r="D844" s="37" t="n"/>
      <c r="E844" s="37" t="n"/>
      <c r="F844" s="148" t="n"/>
      <c r="G844" s="148" t="n"/>
      <c r="H844" s="148" t="n"/>
      <c r="I844" s="148" t="n"/>
      <c r="J844" s="149" t="n"/>
      <c r="K844" s="37" t="n"/>
      <c r="L844" s="148" t="n"/>
      <c r="M844" s="148" t="n"/>
      <c r="N844" s="148" t="n"/>
      <c r="O844" s="148" t="n"/>
      <c r="P844" s="148" t="n"/>
      <c r="Q844" s="148" t="n"/>
      <c r="R844" s="148" t="n"/>
      <c r="S844" s="148" t="n"/>
      <c r="T844" s="150" t="n"/>
      <c r="U844" s="150" t="n"/>
      <c r="V844" s="37" t="n"/>
      <c r="W844" s="151" t="n"/>
      <c r="X844" s="151" t="n"/>
      <c r="Y844" s="151" t="n"/>
      <c r="Z844" s="151" t="n"/>
      <c r="AA844" s="151" t="n"/>
      <c r="AB844" s="152" t="n"/>
      <c r="AC844" s="152" t="n"/>
      <c r="AD844" s="152" t="n"/>
      <c r="AE844" s="152" t="n"/>
      <c r="AF844" s="152" t="n"/>
    </row>
    <row r="845" ht="15.75" customHeight="1" s="201">
      <c r="A845" s="37" t="n"/>
      <c r="B845" s="37" t="n"/>
      <c r="C845" s="37" t="n"/>
      <c r="D845" s="37" t="n"/>
      <c r="E845" s="37" t="n"/>
      <c r="F845" s="148" t="n"/>
      <c r="G845" s="148" t="n"/>
      <c r="H845" s="148" t="n"/>
      <c r="I845" s="148" t="n"/>
      <c r="J845" s="149" t="n"/>
      <c r="K845" s="37" t="n"/>
      <c r="L845" s="148" t="n"/>
      <c r="M845" s="148" t="n"/>
      <c r="N845" s="148" t="n"/>
      <c r="O845" s="148" t="n"/>
      <c r="P845" s="148" t="n"/>
      <c r="Q845" s="148" t="n"/>
      <c r="R845" s="148" t="n"/>
      <c r="S845" s="148" t="n"/>
      <c r="T845" s="150" t="n"/>
      <c r="U845" s="150" t="n"/>
      <c r="V845" s="37" t="n"/>
      <c r="W845" s="151" t="n"/>
      <c r="X845" s="151" t="n"/>
      <c r="Y845" s="151" t="n"/>
      <c r="Z845" s="151" t="n"/>
      <c r="AA845" s="151" t="n"/>
      <c r="AB845" s="152" t="n"/>
      <c r="AC845" s="152" t="n"/>
      <c r="AD845" s="152" t="n"/>
      <c r="AE845" s="152" t="n"/>
      <c r="AF845" s="152" t="n"/>
    </row>
    <row r="846" ht="15.75" customHeight="1" s="201">
      <c r="A846" s="37" t="n"/>
      <c r="B846" s="37" t="n"/>
      <c r="C846" s="37" t="n"/>
      <c r="D846" s="37" t="n"/>
      <c r="E846" s="37" t="n"/>
      <c r="F846" s="148" t="n"/>
      <c r="G846" s="148" t="n"/>
      <c r="H846" s="148" t="n"/>
      <c r="I846" s="148" t="n"/>
      <c r="J846" s="149" t="n"/>
      <c r="K846" s="37" t="n"/>
      <c r="L846" s="148" t="n"/>
      <c r="M846" s="148" t="n"/>
      <c r="N846" s="148" t="n"/>
      <c r="O846" s="148" t="n"/>
      <c r="P846" s="148" t="n"/>
      <c r="Q846" s="148" t="n"/>
      <c r="R846" s="148" t="n"/>
      <c r="S846" s="148" t="n"/>
      <c r="T846" s="150" t="n"/>
      <c r="U846" s="150" t="n"/>
      <c r="V846" s="37" t="n"/>
      <c r="W846" s="151" t="n"/>
      <c r="X846" s="151" t="n"/>
      <c r="Y846" s="151" t="n"/>
      <c r="Z846" s="151" t="n"/>
      <c r="AA846" s="151" t="n"/>
      <c r="AB846" s="152" t="n"/>
      <c r="AC846" s="152" t="n"/>
      <c r="AD846" s="152" t="n"/>
      <c r="AE846" s="152" t="n"/>
      <c r="AF846" s="152" t="n"/>
    </row>
    <row r="847" ht="15.75" customHeight="1" s="201">
      <c r="A847" s="37" t="n"/>
      <c r="B847" s="37" t="n"/>
      <c r="C847" s="37" t="n"/>
      <c r="D847" s="37" t="n"/>
      <c r="E847" s="37" t="n"/>
      <c r="F847" s="148" t="n"/>
      <c r="G847" s="148" t="n"/>
      <c r="H847" s="148" t="n"/>
      <c r="I847" s="148" t="n"/>
      <c r="J847" s="149" t="n"/>
      <c r="K847" s="37" t="n"/>
      <c r="L847" s="148" t="n"/>
      <c r="M847" s="148" t="n"/>
      <c r="N847" s="148" t="n"/>
      <c r="O847" s="148" t="n"/>
      <c r="P847" s="148" t="n"/>
      <c r="Q847" s="148" t="n"/>
      <c r="R847" s="148" t="n"/>
      <c r="S847" s="148" t="n"/>
      <c r="T847" s="150" t="n"/>
      <c r="U847" s="150" t="n"/>
      <c r="V847" s="37" t="n"/>
      <c r="W847" s="151" t="n"/>
      <c r="X847" s="151" t="n"/>
      <c r="Y847" s="151" t="n"/>
      <c r="Z847" s="151" t="n"/>
      <c r="AA847" s="151" t="n"/>
      <c r="AB847" s="152" t="n"/>
      <c r="AC847" s="152" t="n"/>
      <c r="AD847" s="152" t="n"/>
      <c r="AE847" s="152" t="n"/>
      <c r="AF847" s="152" t="n"/>
    </row>
    <row r="848" ht="15.75" customHeight="1" s="201">
      <c r="A848" s="37" t="n"/>
      <c r="B848" s="37" t="n"/>
      <c r="C848" s="37" t="n"/>
      <c r="D848" s="37" t="n"/>
      <c r="E848" s="37" t="n"/>
      <c r="F848" s="148" t="n"/>
      <c r="G848" s="148" t="n"/>
      <c r="H848" s="148" t="n"/>
      <c r="I848" s="148" t="n"/>
      <c r="J848" s="149" t="n"/>
      <c r="K848" s="37" t="n"/>
      <c r="L848" s="148" t="n"/>
      <c r="M848" s="148" t="n"/>
      <c r="N848" s="148" t="n"/>
      <c r="O848" s="148" t="n"/>
      <c r="P848" s="148" t="n"/>
      <c r="Q848" s="148" t="n"/>
      <c r="R848" s="148" t="n"/>
      <c r="S848" s="148" t="n"/>
      <c r="T848" s="150" t="n"/>
      <c r="U848" s="150" t="n"/>
      <c r="V848" s="37" t="n"/>
      <c r="W848" s="151" t="n"/>
      <c r="X848" s="151" t="n"/>
      <c r="Y848" s="151" t="n"/>
      <c r="Z848" s="151" t="n"/>
      <c r="AA848" s="151" t="n"/>
      <c r="AB848" s="152" t="n"/>
      <c r="AC848" s="152" t="n"/>
      <c r="AD848" s="152" t="n"/>
      <c r="AE848" s="152" t="n"/>
      <c r="AF848" s="152" t="n"/>
    </row>
    <row r="849" ht="15.75" customHeight="1" s="201">
      <c r="A849" s="37" t="n"/>
      <c r="B849" s="37" t="n"/>
      <c r="C849" s="37" t="n"/>
      <c r="D849" s="37" t="n"/>
      <c r="E849" s="37" t="n"/>
      <c r="F849" s="148" t="n"/>
      <c r="G849" s="148" t="n"/>
      <c r="H849" s="148" t="n"/>
      <c r="I849" s="148" t="n"/>
      <c r="J849" s="149" t="n"/>
      <c r="K849" s="37" t="n"/>
      <c r="L849" s="148" t="n"/>
      <c r="M849" s="148" t="n"/>
      <c r="N849" s="148" t="n"/>
      <c r="O849" s="148" t="n"/>
      <c r="P849" s="148" t="n"/>
      <c r="Q849" s="148" t="n"/>
      <c r="R849" s="148" t="n"/>
      <c r="S849" s="148" t="n"/>
      <c r="T849" s="150" t="n"/>
      <c r="U849" s="150" t="n"/>
      <c r="V849" s="37" t="n"/>
      <c r="W849" s="151" t="n"/>
      <c r="X849" s="151" t="n"/>
      <c r="Y849" s="151" t="n"/>
      <c r="Z849" s="151" t="n"/>
      <c r="AA849" s="151" t="n"/>
      <c r="AB849" s="152" t="n"/>
      <c r="AC849" s="152" t="n"/>
      <c r="AD849" s="152" t="n"/>
      <c r="AE849" s="152" t="n"/>
      <c r="AF849" s="152" t="n"/>
    </row>
    <row r="850" ht="15.75" customHeight="1" s="201">
      <c r="A850" s="37" t="n"/>
      <c r="B850" s="37" t="n"/>
      <c r="C850" s="37" t="n"/>
      <c r="D850" s="37" t="n"/>
      <c r="E850" s="37" t="n"/>
      <c r="F850" s="148" t="n"/>
      <c r="G850" s="148" t="n"/>
      <c r="H850" s="148" t="n"/>
      <c r="I850" s="148" t="n"/>
      <c r="J850" s="149" t="n"/>
      <c r="K850" s="37" t="n"/>
      <c r="L850" s="148" t="n"/>
      <c r="M850" s="148" t="n"/>
      <c r="N850" s="148" t="n"/>
      <c r="O850" s="148" t="n"/>
      <c r="P850" s="148" t="n"/>
      <c r="Q850" s="148" t="n"/>
      <c r="R850" s="148" t="n"/>
      <c r="S850" s="148" t="n"/>
      <c r="T850" s="150" t="n"/>
      <c r="U850" s="150" t="n"/>
      <c r="V850" s="37" t="n"/>
      <c r="W850" s="151" t="n"/>
      <c r="X850" s="151" t="n"/>
      <c r="Y850" s="151" t="n"/>
      <c r="Z850" s="151" t="n"/>
      <c r="AA850" s="151" t="n"/>
      <c r="AB850" s="152" t="n"/>
      <c r="AC850" s="152" t="n"/>
      <c r="AD850" s="152" t="n"/>
      <c r="AE850" s="152" t="n"/>
      <c r="AF850" s="152" t="n"/>
    </row>
    <row r="851" ht="15.75" customHeight="1" s="201">
      <c r="A851" s="37" t="n"/>
      <c r="B851" s="37" t="n"/>
      <c r="C851" s="37" t="n"/>
      <c r="D851" s="37" t="n"/>
      <c r="E851" s="37" t="n"/>
      <c r="F851" s="148" t="n"/>
      <c r="G851" s="148" t="n"/>
      <c r="H851" s="148" t="n"/>
      <c r="I851" s="148" t="n"/>
      <c r="J851" s="149" t="n"/>
      <c r="K851" s="37" t="n"/>
      <c r="L851" s="148" t="n"/>
      <c r="M851" s="148" t="n"/>
      <c r="N851" s="148" t="n"/>
      <c r="O851" s="148" t="n"/>
      <c r="P851" s="148" t="n"/>
      <c r="Q851" s="148" t="n"/>
      <c r="R851" s="148" t="n"/>
      <c r="S851" s="148" t="n"/>
      <c r="T851" s="150" t="n"/>
      <c r="U851" s="150" t="n"/>
      <c r="V851" s="37" t="n"/>
      <c r="W851" s="151" t="n"/>
      <c r="X851" s="151" t="n"/>
      <c r="Y851" s="151" t="n"/>
      <c r="Z851" s="151" t="n"/>
      <c r="AA851" s="151" t="n"/>
      <c r="AB851" s="152" t="n"/>
      <c r="AC851" s="152" t="n"/>
      <c r="AD851" s="152" t="n"/>
      <c r="AE851" s="152" t="n"/>
      <c r="AF851" s="152" t="n"/>
    </row>
    <row r="852" ht="15.75" customHeight="1" s="201">
      <c r="A852" s="37" t="n"/>
      <c r="B852" s="37" t="n"/>
      <c r="C852" s="37" t="n"/>
      <c r="D852" s="37" t="n"/>
      <c r="E852" s="37" t="n"/>
      <c r="F852" s="148" t="n"/>
      <c r="G852" s="148" t="n"/>
      <c r="H852" s="148" t="n"/>
      <c r="I852" s="148" t="n"/>
      <c r="J852" s="149" t="n"/>
      <c r="K852" s="37" t="n"/>
      <c r="L852" s="148" t="n"/>
      <c r="M852" s="148" t="n"/>
      <c r="N852" s="148" t="n"/>
      <c r="O852" s="148" t="n"/>
      <c r="P852" s="148" t="n"/>
      <c r="Q852" s="148" t="n"/>
      <c r="R852" s="148" t="n"/>
      <c r="S852" s="148" t="n"/>
      <c r="T852" s="150" t="n"/>
      <c r="U852" s="150" t="n"/>
      <c r="V852" s="37" t="n"/>
      <c r="W852" s="151" t="n"/>
      <c r="X852" s="151" t="n"/>
      <c r="Y852" s="151" t="n"/>
      <c r="Z852" s="151" t="n"/>
      <c r="AA852" s="151" t="n"/>
      <c r="AB852" s="152" t="n"/>
      <c r="AC852" s="152" t="n"/>
      <c r="AD852" s="152" t="n"/>
      <c r="AE852" s="152" t="n"/>
      <c r="AF852" s="152" t="n"/>
    </row>
    <row r="853" ht="15.75" customHeight="1" s="201">
      <c r="A853" s="37" t="n"/>
      <c r="B853" s="37" t="n"/>
      <c r="C853" s="37" t="n"/>
      <c r="D853" s="37" t="n"/>
      <c r="E853" s="37" t="n"/>
      <c r="F853" s="148" t="n"/>
      <c r="G853" s="148" t="n"/>
      <c r="H853" s="148" t="n"/>
      <c r="I853" s="148" t="n"/>
      <c r="J853" s="149" t="n"/>
      <c r="K853" s="37" t="n"/>
      <c r="L853" s="148" t="n"/>
      <c r="M853" s="148" t="n"/>
      <c r="N853" s="148" t="n"/>
      <c r="O853" s="148" t="n"/>
      <c r="P853" s="148" t="n"/>
      <c r="Q853" s="148" t="n"/>
      <c r="R853" s="148" t="n"/>
      <c r="S853" s="148" t="n"/>
      <c r="T853" s="150" t="n"/>
      <c r="U853" s="150" t="n"/>
      <c r="V853" s="37" t="n"/>
      <c r="W853" s="151" t="n"/>
      <c r="X853" s="151" t="n"/>
      <c r="Y853" s="151" t="n"/>
      <c r="Z853" s="151" t="n"/>
      <c r="AA853" s="151" t="n"/>
      <c r="AB853" s="152" t="n"/>
      <c r="AC853" s="152" t="n"/>
      <c r="AD853" s="152" t="n"/>
      <c r="AE853" s="152" t="n"/>
      <c r="AF853" s="152" t="n"/>
    </row>
    <row r="854" ht="15.75" customHeight="1" s="201">
      <c r="A854" s="37" t="n"/>
      <c r="B854" s="37" t="n"/>
      <c r="C854" s="37" t="n"/>
      <c r="D854" s="37" t="n"/>
      <c r="E854" s="37" t="n"/>
      <c r="F854" s="148" t="n"/>
      <c r="G854" s="148" t="n"/>
      <c r="H854" s="148" t="n"/>
      <c r="I854" s="148" t="n"/>
      <c r="J854" s="149" t="n"/>
      <c r="K854" s="37" t="n"/>
      <c r="L854" s="148" t="n"/>
      <c r="M854" s="148" t="n"/>
      <c r="N854" s="148" t="n"/>
      <c r="O854" s="148" t="n"/>
      <c r="P854" s="148" t="n"/>
      <c r="Q854" s="148" t="n"/>
      <c r="R854" s="148" t="n"/>
      <c r="S854" s="148" t="n"/>
      <c r="T854" s="150" t="n"/>
      <c r="U854" s="150" t="n"/>
      <c r="V854" s="37" t="n"/>
      <c r="W854" s="151" t="n"/>
      <c r="X854" s="151" t="n"/>
      <c r="Y854" s="151" t="n"/>
      <c r="Z854" s="151" t="n"/>
      <c r="AA854" s="151" t="n"/>
      <c r="AB854" s="152" t="n"/>
      <c r="AC854" s="152" t="n"/>
      <c r="AD854" s="152" t="n"/>
      <c r="AE854" s="152" t="n"/>
      <c r="AF854" s="152" t="n"/>
    </row>
    <row r="855" ht="15.75" customHeight="1" s="201">
      <c r="A855" s="37" t="n"/>
      <c r="B855" s="37" t="n"/>
      <c r="C855" s="37" t="n"/>
      <c r="D855" s="37" t="n"/>
      <c r="E855" s="37" t="n"/>
      <c r="F855" s="148" t="n"/>
      <c r="G855" s="148" t="n"/>
      <c r="H855" s="148" t="n"/>
      <c r="I855" s="148" t="n"/>
      <c r="J855" s="149" t="n"/>
      <c r="K855" s="37" t="n"/>
      <c r="L855" s="148" t="n"/>
      <c r="M855" s="148" t="n"/>
      <c r="N855" s="148" t="n"/>
      <c r="O855" s="148" t="n"/>
      <c r="P855" s="148" t="n"/>
      <c r="Q855" s="148" t="n"/>
      <c r="R855" s="148" t="n"/>
      <c r="S855" s="148" t="n"/>
      <c r="T855" s="150" t="n"/>
      <c r="U855" s="150" t="n"/>
      <c r="V855" s="37" t="n"/>
      <c r="W855" s="151" t="n"/>
      <c r="X855" s="151" t="n"/>
      <c r="Y855" s="151" t="n"/>
      <c r="Z855" s="151" t="n"/>
      <c r="AA855" s="151" t="n"/>
      <c r="AB855" s="152" t="n"/>
      <c r="AC855" s="152" t="n"/>
      <c r="AD855" s="152" t="n"/>
      <c r="AE855" s="152" t="n"/>
      <c r="AF855" s="152" t="n"/>
    </row>
    <row r="856" ht="15.75" customHeight="1" s="201">
      <c r="A856" s="37" t="n"/>
      <c r="B856" s="37" t="n"/>
      <c r="C856" s="37" t="n"/>
      <c r="D856" s="37" t="n"/>
      <c r="E856" s="37" t="n"/>
      <c r="F856" s="148" t="n"/>
      <c r="G856" s="148" t="n"/>
      <c r="H856" s="148" t="n"/>
      <c r="I856" s="148" t="n"/>
      <c r="J856" s="149" t="n"/>
      <c r="K856" s="37" t="n"/>
      <c r="L856" s="148" t="n"/>
      <c r="M856" s="148" t="n"/>
      <c r="N856" s="148" t="n"/>
      <c r="O856" s="148" t="n"/>
      <c r="P856" s="148" t="n"/>
      <c r="Q856" s="148" t="n"/>
      <c r="R856" s="148" t="n"/>
      <c r="S856" s="148" t="n"/>
      <c r="T856" s="150" t="n"/>
      <c r="U856" s="150" t="n"/>
      <c r="V856" s="37" t="n"/>
      <c r="W856" s="151" t="n"/>
      <c r="X856" s="151" t="n"/>
      <c r="Y856" s="151" t="n"/>
      <c r="Z856" s="151" t="n"/>
      <c r="AA856" s="151" t="n"/>
      <c r="AB856" s="152" t="n"/>
      <c r="AC856" s="152" t="n"/>
      <c r="AD856" s="152" t="n"/>
      <c r="AE856" s="152" t="n"/>
      <c r="AF856" s="152" t="n"/>
    </row>
    <row r="857" ht="15.75" customHeight="1" s="201">
      <c r="A857" s="37" t="n"/>
      <c r="B857" s="37" t="n"/>
      <c r="C857" s="37" t="n"/>
      <c r="D857" s="37" t="n"/>
      <c r="E857" s="37" t="n"/>
      <c r="F857" s="148" t="n"/>
      <c r="G857" s="148" t="n"/>
      <c r="H857" s="148" t="n"/>
      <c r="I857" s="148" t="n"/>
      <c r="J857" s="149" t="n"/>
      <c r="K857" s="37" t="n"/>
      <c r="L857" s="148" t="n"/>
      <c r="M857" s="148" t="n"/>
      <c r="N857" s="148" t="n"/>
      <c r="O857" s="148" t="n"/>
      <c r="P857" s="148" t="n"/>
      <c r="Q857" s="148" t="n"/>
      <c r="R857" s="148" t="n"/>
      <c r="S857" s="148" t="n"/>
      <c r="T857" s="150" t="n"/>
      <c r="U857" s="150" t="n"/>
      <c r="V857" s="37" t="n"/>
      <c r="W857" s="151" t="n"/>
      <c r="X857" s="151" t="n"/>
      <c r="Y857" s="151" t="n"/>
      <c r="Z857" s="151" t="n"/>
      <c r="AA857" s="151" t="n"/>
      <c r="AB857" s="152" t="n"/>
      <c r="AC857" s="152" t="n"/>
      <c r="AD857" s="152" t="n"/>
      <c r="AE857" s="152" t="n"/>
      <c r="AF857" s="152" t="n"/>
    </row>
    <row r="858" ht="15.75" customHeight="1" s="201">
      <c r="A858" s="37" t="n"/>
      <c r="B858" s="37" t="n"/>
      <c r="C858" s="37" t="n"/>
      <c r="D858" s="37" t="n"/>
      <c r="E858" s="37" t="n"/>
      <c r="F858" s="148" t="n"/>
      <c r="G858" s="148" t="n"/>
      <c r="H858" s="148" t="n"/>
      <c r="I858" s="148" t="n"/>
      <c r="J858" s="149" t="n"/>
      <c r="K858" s="37" t="n"/>
      <c r="L858" s="148" t="n"/>
      <c r="M858" s="148" t="n"/>
      <c r="N858" s="148" t="n"/>
      <c r="O858" s="148" t="n"/>
      <c r="P858" s="148" t="n"/>
      <c r="Q858" s="148" t="n"/>
      <c r="R858" s="148" t="n"/>
      <c r="S858" s="148" t="n"/>
      <c r="T858" s="150" t="n"/>
      <c r="U858" s="150" t="n"/>
      <c r="V858" s="37" t="n"/>
      <c r="W858" s="151" t="n"/>
      <c r="X858" s="151" t="n"/>
      <c r="Y858" s="151" t="n"/>
      <c r="Z858" s="151" t="n"/>
      <c r="AA858" s="151" t="n"/>
      <c r="AB858" s="152" t="n"/>
      <c r="AC858" s="152" t="n"/>
      <c r="AD858" s="152" t="n"/>
      <c r="AE858" s="152" t="n"/>
      <c r="AF858" s="152" t="n"/>
    </row>
    <row r="859" ht="15.75" customHeight="1" s="201">
      <c r="A859" s="37" t="n"/>
      <c r="B859" s="37" t="n"/>
      <c r="C859" s="37" t="n"/>
      <c r="D859" s="37" t="n"/>
      <c r="E859" s="37" t="n"/>
      <c r="F859" s="148" t="n"/>
      <c r="G859" s="148" t="n"/>
      <c r="H859" s="148" t="n"/>
      <c r="I859" s="148" t="n"/>
      <c r="J859" s="149" t="n"/>
      <c r="K859" s="37" t="n"/>
      <c r="L859" s="148" t="n"/>
      <c r="M859" s="148" t="n"/>
      <c r="N859" s="148" t="n"/>
      <c r="O859" s="148" t="n"/>
      <c r="P859" s="148" t="n"/>
      <c r="Q859" s="148" t="n"/>
      <c r="R859" s="148" t="n"/>
      <c r="S859" s="148" t="n"/>
      <c r="T859" s="150" t="n"/>
      <c r="U859" s="150" t="n"/>
      <c r="V859" s="37" t="n"/>
      <c r="W859" s="151" t="n"/>
      <c r="X859" s="151" t="n"/>
      <c r="Y859" s="151" t="n"/>
      <c r="Z859" s="151" t="n"/>
      <c r="AA859" s="151" t="n"/>
      <c r="AB859" s="152" t="n"/>
      <c r="AC859" s="152" t="n"/>
      <c r="AD859" s="152" t="n"/>
      <c r="AE859" s="152" t="n"/>
      <c r="AF859" s="152" t="n"/>
    </row>
    <row r="860" ht="15.75" customHeight="1" s="201">
      <c r="A860" s="37" t="n"/>
      <c r="B860" s="37" t="n"/>
      <c r="C860" s="37" t="n"/>
      <c r="D860" s="37" t="n"/>
      <c r="E860" s="37" t="n"/>
      <c r="F860" s="148" t="n"/>
      <c r="G860" s="148" t="n"/>
      <c r="H860" s="148" t="n"/>
      <c r="I860" s="148" t="n"/>
      <c r="J860" s="149" t="n"/>
      <c r="K860" s="37" t="n"/>
      <c r="L860" s="148" t="n"/>
      <c r="M860" s="148" t="n"/>
      <c r="N860" s="148" t="n"/>
      <c r="O860" s="148" t="n"/>
      <c r="P860" s="148" t="n"/>
      <c r="Q860" s="148" t="n"/>
      <c r="R860" s="148" t="n"/>
      <c r="S860" s="148" t="n"/>
      <c r="T860" s="150" t="n"/>
      <c r="U860" s="150" t="n"/>
      <c r="V860" s="37" t="n"/>
      <c r="W860" s="151" t="n"/>
      <c r="X860" s="151" t="n"/>
      <c r="Y860" s="151" t="n"/>
      <c r="Z860" s="151" t="n"/>
      <c r="AA860" s="151" t="n"/>
      <c r="AB860" s="152" t="n"/>
      <c r="AC860" s="152" t="n"/>
      <c r="AD860" s="152" t="n"/>
      <c r="AE860" s="152" t="n"/>
      <c r="AF860" s="152" t="n"/>
    </row>
    <row r="861" ht="15.75" customHeight="1" s="201">
      <c r="A861" s="37" t="n"/>
      <c r="B861" s="37" t="n"/>
      <c r="C861" s="37" t="n"/>
      <c r="D861" s="37" t="n"/>
      <c r="E861" s="37" t="n"/>
      <c r="F861" s="148" t="n"/>
      <c r="G861" s="148" t="n"/>
      <c r="H861" s="148" t="n"/>
      <c r="I861" s="148" t="n"/>
      <c r="J861" s="149" t="n"/>
      <c r="K861" s="37" t="n"/>
      <c r="L861" s="148" t="n"/>
      <c r="M861" s="148" t="n"/>
      <c r="N861" s="148" t="n"/>
      <c r="O861" s="148" t="n"/>
      <c r="P861" s="148" t="n"/>
      <c r="Q861" s="148" t="n"/>
      <c r="R861" s="148" t="n"/>
      <c r="S861" s="148" t="n"/>
      <c r="T861" s="150" t="n"/>
      <c r="U861" s="150" t="n"/>
      <c r="V861" s="37" t="n"/>
      <c r="W861" s="151" t="n"/>
      <c r="X861" s="151" t="n"/>
      <c r="Y861" s="151" t="n"/>
      <c r="Z861" s="151" t="n"/>
      <c r="AA861" s="151" t="n"/>
      <c r="AB861" s="152" t="n"/>
      <c r="AC861" s="152" t="n"/>
      <c r="AD861" s="152" t="n"/>
      <c r="AE861" s="152" t="n"/>
      <c r="AF861" s="152" t="n"/>
    </row>
    <row r="862" ht="15.75" customHeight="1" s="201">
      <c r="A862" s="37" t="n"/>
      <c r="B862" s="37" t="n"/>
      <c r="C862" s="37" t="n"/>
      <c r="D862" s="37" t="n"/>
      <c r="E862" s="37" t="n"/>
      <c r="F862" s="148" t="n"/>
      <c r="G862" s="148" t="n"/>
      <c r="H862" s="148" t="n"/>
      <c r="I862" s="148" t="n"/>
      <c r="J862" s="149" t="n"/>
      <c r="K862" s="37" t="n"/>
      <c r="L862" s="148" t="n"/>
      <c r="M862" s="148" t="n"/>
      <c r="N862" s="148" t="n"/>
      <c r="O862" s="148" t="n"/>
      <c r="P862" s="148" t="n"/>
      <c r="Q862" s="148" t="n"/>
      <c r="R862" s="148" t="n"/>
      <c r="S862" s="148" t="n"/>
      <c r="T862" s="150" t="n"/>
      <c r="U862" s="150" t="n"/>
      <c r="V862" s="37" t="n"/>
      <c r="W862" s="151" t="n"/>
      <c r="X862" s="151" t="n"/>
      <c r="Y862" s="151" t="n"/>
      <c r="Z862" s="151" t="n"/>
      <c r="AA862" s="151" t="n"/>
      <c r="AB862" s="152" t="n"/>
      <c r="AC862" s="152" t="n"/>
      <c r="AD862" s="152" t="n"/>
      <c r="AE862" s="152" t="n"/>
      <c r="AF862" s="152" t="n"/>
    </row>
    <row r="863" ht="15.75" customHeight="1" s="201">
      <c r="A863" s="37" t="n"/>
      <c r="B863" s="37" t="n"/>
      <c r="C863" s="37" t="n"/>
      <c r="D863" s="37" t="n"/>
      <c r="E863" s="37" t="n"/>
      <c r="F863" s="148" t="n"/>
      <c r="G863" s="148" t="n"/>
      <c r="H863" s="148" t="n"/>
      <c r="I863" s="148" t="n"/>
      <c r="J863" s="149" t="n"/>
      <c r="K863" s="37" t="n"/>
      <c r="L863" s="148" t="n"/>
      <c r="M863" s="148" t="n"/>
      <c r="N863" s="148" t="n"/>
      <c r="O863" s="148" t="n"/>
      <c r="P863" s="148" t="n"/>
      <c r="Q863" s="148" t="n"/>
      <c r="R863" s="148" t="n"/>
      <c r="S863" s="148" t="n"/>
      <c r="T863" s="150" t="n"/>
      <c r="U863" s="150" t="n"/>
      <c r="V863" s="37" t="n"/>
      <c r="W863" s="151" t="n"/>
      <c r="X863" s="151" t="n"/>
      <c r="Y863" s="151" t="n"/>
      <c r="Z863" s="151" t="n"/>
      <c r="AA863" s="151" t="n"/>
      <c r="AB863" s="152" t="n"/>
      <c r="AC863" s="152" t="n"/>
      <c r="AD863" s="152" t="n"/>
      <c r="AE863" s="152" t="n"/>
      <c r="AF863" s="152" t="n"/>
    </row>
    <row r="864" ht="15.75" customHeight="1" s="201">
      <c r="A864" s="37" t="n"/>
      <c r="B864" s="37" t="n"/>
      <c r="C864" s="37" t="n"/>
      <c r="D864" s="37" t="n"/>
      <c r="E864" s="37" t="n"/>
      <c r="F864" s="148" t="n"/>
      <c r="G864" s="148" t="n"/>
      <c r="H864" s="148" t="n"/>
      <c r="I864" s="148" t="n"/>
      <c r="J864" s="149" t="n"/>
      <c r="K864" s="37" t="n"/>
      <c r="L864" s="148" t="n"/>
      <c r="M864" s="148" t="n"/>
      <c r="N864" s="148" t="n"/>
      <c r="O864" s="148" t="n"/>
      <c r="P864" s="148" t="n"/>
      <c r="Q864" s="148" t="n"/>
      <c r="R864" s="148" t="n"/>
      <c r="S864" s="148" t="n"/>
      <c r="T864" s="150" t="n"/>
      <c r="U864" s="150" t="n"/>
      <c r="V864" s="37" t="n"/>
      <c r="W864" s="151" t="n"/>
      <c r="X864" s="151" t="n"/>
      <c r="Y864" s="151" t="n"/>
      <c r="Z864" s="151" t="n"/>
      <c r="AA864" s="151" t="n"/>
      <c r="AB864" s="152" t="n"/>
      <c r="AC864" s="152" t="n"/>
      <c r="AD864" s="152" t="n"/>
      <c r="AE864" s="152" t="n"/>
      <c r="AF864" s="152" t="n"/>
    </row>
    <row r="865" ht="15.75" customHeight="1" s="201">
      <c r="A865" s="37" t="n"/>
      <c r="B865" s="37" t="n"/>
      <c r="C865" s="37" t="n"/>
      <c r="D865" s="37" t="n"/>
      <c r="E865" s="37" t="n"/>
      <c r="F865" s="148" t="n"/>
      <c r="G865" s="148" t="n"/>
      <c r="H865" s="148" t="n"/>
      <c r="I865" s="148" t="n"/>
      <c r="J865" s="149" t="n"/>
      <c r="K865" s="37" t="n"/>
      <c r="L865" s="148" t="n"/>
      <c r="M865" s="148" t="n"/>
      <c r="N865" s="148" t="n"/>
      <c r="O865" s="148" t="n"/>
      <c r="P865" s="148" t="n"/>
      <c r="Q865" s="148" t="n"/>
      <c r="R865" s="148" t="n"/>
      <c r="S865" s="148" t="n"/>
      <c r="T865" s="150" t="n"/>
      <c r="U865" s="150" t="n"/>
      <c r="V865" s="37" t="n"/>
      <c r="W865" s="151" t="n"/>
      <c r="X865" s="151" t="n"/>
      <c r="Y865" s="151" t="n"/>
      <c r="Z865" s="151" t="n"/>
      <c r="AA865" s="151" t="n"/>
      <c r="AB865" s="152" t="n"/>
      <c r="AC865" s="152" t="n"/>
      <c r="AD865" s="152" t="n"/>
      <c r="AE865" s="152" t="n"/>
      <c r="AF865" s="152" t="n"/>
    </row>
    <row r="866" ht="15.75" customHeight="1" s="201">
      <c r="A866" s="37" t="n"/>
      <c r="B866" s="37" t="n"/>
      <c r="C866" s="37" t="n"/>
      <c r="D866" s="37" t="n"/>
      <c r="E866" s="37" t="n"/>
      <c r="F866" s="148" t="n"/>
      <c r="G866" s="148" t="n"/>
      <c r="H866" s="148" t="n"/>
      <c r="I866" s="148" t="n"/>
      <c r="J866" s="149" t="n"/>
      <c r="K866" s="37" t="n"/>
      <c r="L866" s="148" t="n"/>
      <c r="M866" s="148" t="n"/>
      <c r="N866" s="148" t="n"/>
      <c r="O866" s="148" t="n"/>
      <c r="P866" s="148" t="n"/>
      <c r="Q866" s="148" t="n"/>
      <c r="R866" s="148" t="n"/>
      <c r="S866" s="148" t="n"/>
      <c r="T866" s="150" t="n"/>
      <c r="U866" s="150" t="n"/>
      <c r="V866" s="37" t="n"/>
      <c r="W866" s="151" t="n"/>
      <c r="X866" s="151" t="n"/>
      <c r="Y866" s="151" t="n"/>
      <c r="Z866" s="151" t="n"/>
      <c r="AA866" s="151" t="n"/>
      <c r="AB866" s="152" t="n"/>
      <c r="AC866" s="152" t="n"/>
      <c r="AD866" s="152" t="n"/>
      <c r="AE866" s="152" t="n"/>
      <c r="AF866" s="152" t="n"/>
    </row>
    <row r="867" ht="15.75" customHeight="1" s="201">
      <c r="A867" s="37" t="n"/>
      <c r="B867" s="37" t="n"/>
      <c r="C867" s="37" t="n"/>
      <c r="D867" s="37" t="n"/>
      <c r="E867" s="37" t="n"/>
      <c r="F867" s="148" t="n"/>
      <c r="G867" s="148" t="n"/>
      <c r="H867" s="148" t="n"/>
      <c r="I867" s="148" t="n"/>
      <c r="J867" s="149" t="n"/>
      <c r="K867" s="37" t="n"/>
      <c r="L867" s="148" t="n"/>
      <c r="M867" s="148" t="n"/>
      <c r="N867" s="148" t="n"/>
      <c r="O867" s="148" t="n"/>
      <c r="P867" s="148" t="n"/>
      <c r="Q867" s="148" t="n"/>
      <c r="R867" s="148" t="n"/>
      <c r="S867" s="148" t="n"/>
      <c r="T867" s="150" t="n"/>
      <c r="U867" s="150" t="n"/>
      <c r="V867" s="37" t="n"/>
      <c r="W867" s="151" t="n"/>
      <c r="X867" s="151" t="n"/>
      <c r="Y867" s="151" t="n"/>
      <c r="Z867" s="151" t="n"/>
      <c r="AA867" s="151" t="n"/>
      <c r="AB867" s="152" t="n"/>
      <c r="AC867" s="152" t="n"/>
      <c r="AD867" s="152" t="n"/>
      <c r="AE867" s="152" t="n"/>
      <c r="AF867" s="152" t="n"/>
    </row>
    <row r="868" ht="15.75" customHeight="1" s="201">
      <c r="A868" s="37" t="n"/>
      <c r="B868" s="37" t="n"/>
      <c r="C868" s="37" t="n"/>
      <c r="D868" s="37" t="n"/>
      <c r="E868" s="37" t="n"/>
      <c r="F868" s="148" t="n"/>
      <c r="G868" s="148" t="n"/>
      <c r="H868" s="148" t="n"/>
      <c r="I868" s="148" t="n"/>
      <c r="J868" s="149" t="n"/>
      <c r="K868" s="37" t="n"/>
      <c r="L868" s="148" t="n"/>
      <c r="M868" s="148" t="n"/>
      <c r="N868" s="148" t="n"/>
      <c r="O868" s="148" t="n"/>
      <c r="P868" s="148" t="n"/>
      <c r="Q868" s="148" t="n"/>
      <c r="R868" s="148" t="n"/>
      <c r="S868" s="148" t="n"/>
      <c r="T868" s="150" t="n"/>
      <c r="U868" s="150" t="n"/>
      <c r="V868" s="37" t="n"/>
      <c r="W868" s="151" t="n"/>
      <c r="X868" s="151" t="n"/>
      <c r="Y868" s="151" t="n"/>
      <c r="Z868" s="151" t="n"/>
      <c r="AA868" s="151" t="n"/>
      <c r="AB868" s="152" t="n"/>
      <c r="AC868" s="152" t="n"/>
      <c r="AD868" s="152" t="n"/>
      <c r="AE868" s="152" t="n"/>
      <c r="AF868" s="152" t="n"/>
    </row>
    <row r="869" ht="15.75" customHeight="1" s="201">
      <c r="A869" s="37" t="n"/>
      <c r="B869" s="37" t="n"/>
      <c r="C869" s="37" t="n"/>
      <c r="D869" s="37" t="n"/>
      <c r="E869" s="37" t="n"/>
      <c r="F869" s="148" t="n"/>
      <c r="G869" s="148" t="n"/>
      <c r="H869" s="148" t="n"/>
      <c r="I869" s="148" t="n"/>
      <c r="J869" s="149" t="n"/>
      <c r="K869" s="37" t="n"/>
      <c r="L869" s="148" t="n"/>
      <c r="M869" s="148" t="n"/>
      <c r="N869" s="148" t="n"/>
      <c r="O869" s="148" t="n"/>
      <c r="P869" s="148" t="n"/>
      <c r="Q869" s="148" t="n"/>
      <c r="R869" s="148" t="n"/>
      <c r="S869" s="148" t="n"/>
      <c r="T869" s="150" t="n"/>
      <c r="U869" s="150" t="n"/>
      <c r="V869" s="37" t="n"/>
      <c r="W869" s="151" t="n"/>
      <c r="X869" s="151" t="n"/>
      <c r="Y869" s="151" t="n"/>
      <c r="Z869" s="151" t="n"/>
      <c r="AA869" s="151" t="n"/>
      <c r="AB869" s="152" t="n"/>
      <c r="AC869" s="152" t="n"/>
      <c r="AD869" s="152" t="n"/>
      <c r="AE869" s="152" t="n"/>
      <c r="AF869" s="152" t="n"/>
    </row>
    <row r="870" ht="15.75" customHeight="1" s="201">
      <c r="A870" s="37" t="n"/>
      <c r="B870" s="37" t="n"/>
      <c r="C870" s="37" t="n"/>
      <c r="D870" s="37" t="n"/>
      <c r="E870" s="37" t="n"/>
      <c r="F870" s="148" t="n"/>
      <c r="G870" s="148" t="n"/>
      <c r="H870" s="148" t="n"/>
      <c r="I870" s="148" t="n"/>
      <c r="J870" s="149" t="n"/>
      <c r="K870" s="37" t="n"/>
      <c r="L870" s="148" t="n"/>
      <c r="M870" s="148" t="n"/>
      <c r="N870" s="148" t="n"/>
      <c r="O870" s="148" t="n"/>
      <c r="P870" s="148" t="n"/>
      <c r="Q870" s="148" t="n"/>
      <c r="R870" s="148" t="n"/>
      <c r="S870" s="148" t="n"/>
      <c r="T870" s="150" t="n"/>
      <c r="U870" s="150" t="n"/>
      <c r="V870" s="37" t="n"/>
      <c r="W870" s="151" t="n"/>
      <c r="X870" s="151" t="n"/>
      <c r="Y870" s="151" t="n"/>
      <c r="Z870" s="151" t="n"/>
      <c r="AA870" s="151" t="n"/>
      <c r="AB870" s="152" t="n"/>
      <c r="AC870" s="152" t="n"/>
      <c r="AD870" s="152" t="n"/>
      <c r="AE870" s="152" t="n"/>
      <c r="AF870" s="152" t="n"/>
    </row>
    <row r="871" ht="15.75" customHeight="1" s="201">
      <c r="A871" s="37" t="n"/>
      <c r="B871" s="37" t="n"/>
      <c r="C871" s="37" t="n"/>
      <c r="D871" s="37" t="n"/>
      <c r="E871" s="37" t="n"/>
      <c r="F871" s="148" t="n"/>
      <c r="G871" s="148" t="n"/>
      <c r="H871" s="148" t="n"/>
      <c r="I871" s="148" t="n"/>
      <c r="J871" s="149" t="n"/>
      <c r="K871" s="37" t="n"/>
      <c r="L871" s="148" t="n"/>
      <c r="M871" s="148" t="n"/>
      <c r="N871" s="148" t="n"/>
      <c r="O871" s="148" t="n"/>
      <c r="P871" s="148" t="n"/>
      <c r="Q871" s="148" t="n"/>
      <c r="R871" s="148" t="n"/>
      <c r="S871" s="148" t="n"/>
      <c r="T871" s="150" t="n"/>
      <c r="U871" s="150" t="n"/>
      <c r="V871" s="37" t="n"/>
      <c r="W871" s="151" t="n"/>
      <c r="X871" s="151" t="n"/>
      <c r="Y871" s="151" t="n"/>
      <c r="Z871" s="151" t="n"/>
      <c r="AA871" s="151" t="n"/>
      <c r="AB871" s="152" t="n"/>
      <c r="AC871" s="152" t="n"/>
      <c r="AD871" s="152" t="n"/>
      <c r="AE871" s="152" t="n"/>
      <c r="AF871" s="152" t="n"/>
    </row>
    <row r="872" ht="15.75" customHeight="1" s="201">
      <c r="A872" s="37" t="n"/>
      <c r="B872" s="37" t="n"/>
      <c r="C872" s="37" t="n"/>
      <c r="D872" s="37" t="n"/>
      <c r="E872" s="37" t="n"/>
      <c r="F872" s="148" t="n"/>
      <c r="G872" s="148" t="n"/>
      <c r="H872" s="148" t="n"/>
      <c r="I872" s="148" t="n"/>
      <c r="J872" s="149" t="n"/>
      <c r="K872" s="37" t="n"/>
      <c r="L872" s="148" t="n"/>
      <c r="M872" s="148" t="n"/>
      <c r="N872" s="148" t="n"/>
      <c r="O872" s="148" t="n"/>
      <c r="P872" s="148" t="n"/>
      <c r="Q872" s="148" t="n"/>
      <c r="R872" s="148" t="n"/>
      <c r="S872" s="148" t="n"/>
      <c r="T872" s="150" t="n"/>
      <c r="U872" s="150" t="n"/>
      <c r="V872" s="37" t="n"/>
      <c r="W872" s="151" t="n"/>
      <c r="X872" s="151" t="n"/>
      <c r="Y872" s="151" t="n"/>
      <c r="Z872" s="151" t="n"/>
      <c r="AA872" s="151" t="n"/>
      <c r="AB872" s="152" t="n"/>
      <c r="AC872" s="152" t="n"/>
      <c r="AD872" s="152" t="n"/>
      <c r="AE872" s="152" t="n"/>
      <c r="AF872" s="152" t="n"/>
    </row>
    <row r="873" ht="15.75" customHeight="1" s="201">
      <c r="A873" s="37" t="n"/>
      <c r="B873" s="37" t="n"/>
      <c r="C873" s="37" t="n"/>
      <c r="D873" s="37" t="n"/>
      <c r="E873" s="37" t="n"/>
      <c r="F873" s="148" t="n"/>
      <c r="G873" s="148" t="n"/>
      <c r="H873" s="148" t="n"/>
      <c r="I873" s="148" t="n"/>
      <c r="J873" s="149" t="n"/>
      <c r="K873" s="37" t="n"/>
      <c r="L873" s="148" t="n"/>
      <c r="M873" s="148" t="n"/>
      <c r="N873" s="148" t="n"/>
      <c r="O873" s="148" t="n"/>
      <c r="P873" s="148" t="n"/>
      <c r="Q873" s="148" t="n"/>
      <c r="R873" s="148" t="n"/>
      <c r="S873" s="148" t="n"/>
      <c r="T873" s="150" t="n"/>
      <c r="U873" s="150" t="n"/>
      <c r="V873" s="37" t="n"/>
      <c r="W873" s="151" t="n"/>
      <c r="X873" s="151" t="n"/>
      <c r="Y873" s="151" t="n"/>
      <c r="Z873" s="151" t="n"/>
      <c r="AA873" s="151" t="n"/>
      <c r="AB873" s="152" t="n"/>
      <c r="AC873" s="152" t="n"/>
      <c r="AD873" s="152" t="n"/>
      <c r="AE873" s="152" t="n"/>
      <c r="AF873" s="152" t="n"/>
    </row>
    <row r="874" ht="15.75" customHeight="1" s="201">
      <c r="A874" s="37" t="n"/>
      <c r="B874" s="37" t="n"/>
      <c r="C874" s="37" t="n"/>
      <c r="D874" s="37" t="n"/>
      <c r="E874" s="37" t="n"/>
      <c r="F874" s="148" t="n"/>
      <c r="G874" s="148" t="n"/>
      <c r="H874" s="148" t="n"/>
      <c r="I874" s="148" t="n"/>
      <c r="J874" s="149" t="n"/>
      <c r="K874" s="37" t="n"/>
      <c r="L874" s="148" t="n"/>
      <c r="M874" s="148" t="n"/>
      <c r="N874" s="148" t="n"/>
      <c r="O874" s="148" t="n"/>
      <c r="P874" s="148" t="n"/>
      <c r="Q874" s="148" t="n"/>
      <c r="R874" s="148" t="n"/>
      <c r="S874" s="148" t="n"/>
      <c r="T874" s="150" t="n"/>
      <c r="U874" s="150" t="n"/>
      <c r="V874" s="37" t="n"/>
      <c r="W874" s="151" t="n"/>
      <c r="X874" s="151" t="n"/>
      <c r="Y874" s="151" t="n"/>
      <c r="Z874" s="151" t="n"/>
      <c r="AA874" s="151" t="n"/>
      <c r="AB874" s="152" t="n"/>
      <c r="AC874" s="152" t="n"/>
      <c r="AD874" s="152" t="n"/>
      <c r="AE874" s="152" t="n"/>
      <c r="AF874" s="152" t="n"/>
    </row>
    <row r="875" ht="15.75" customHeight="1" s="201">
      <c r="A875" s="37" t="n"/>
      <c r="B875" s="37" t="n"/>
      <c r="C875" s="37" t="n"/>
      <c r="D875" s="37" t="n"/>
      <c r="E875" s="37" t="n"/>
      <c r="F875" s="148" t="n"/>
      <c r="G875" s="148" t="n"/>
      <c r="H875" s="148" t="n"/>
      <c r="I875" s="148" t="n"/>
      <c r="J875" s="149" t="n"/>
      <c r="K875" s="37" t="n"/>
      <c r="L875" s="148" t="n"/>
      <c r="M875" s="148" t="n"/>
      <c r="N875" s="148" t="n"/>
      <c r="O875" s="148" t="n"/>
      <c r="P875" s="148" t="n"/>
      <c r="Q875" s="148" t="n"/>
      <c r="R875" s="148" t="n"/>
      <c r="S875" s="148" t="n"/>
      <c r="T875" s="150" t="n"/>
      <c r="U875" s="150" t="n"/>
      <c r="V875" s="37" t="n"/>
      <c r="W875" s="151" t="n"/>
      <c r="X875" s="151" t="n"/>
      <c r="Y875" s="151" t="n"/>
      <c r="Z875" s="151" t="n"/>
      <c r="AA875" s="151" t="n"/>
      <c r="AB875" s="152" t="n"/>
      <c r="AC875" s="152" t="n"/>
      <c r="AD875" s="152" t="n"/>
      <c r="AE875" s="152" t="n"/>
      <c r="AF875" s="152" t="n"/>
    </row>
    <row r="876" ht="15.75" customHeight="1" s="201">
      <c r="A876" s="37" t="n"/>
      <c r="B876" s="37" t="n"/>
      <c r="C876" s="37" t="n"/>
      <c r="D876" s="37" t="n"/>
      <c r="E876" s="37" t="n"/>
      <c r="F876" s="148" t="n"/>
      <c r="G876" s="148" t="n"/>
      <c r="H876" s="148" t="n"/>
      <c r="I876" s="148" t="n"/>
      <c r="J876" s="149" t="n"/>
      <c r="K876" s="37" t="n"/>
      <c r="L876" s="148" t="n"/>
      <c r="M876" s="148" t="n"/>
      <c r="N876" s="148" t="n"/>
      <c r="O876" s="148" t="n"/>
      <c r="P876" s="148" t="n"/>
      <c r="Q876" s="148" t="n"/>
      <c r="R876" s="148" t="n"/>
      <c r="S876" s="148" t="n"/>
      <c r="T876" s="150" t="n"/>
      <c r="U876" s="150" t="n"/>
      <c r="V876" s="37" t="n"/>
      <c r="W876" s="151" t="n"/>
      <c r="X876" s="151" t="n"/>
      <c r="Y876" s="151" t="n"/>
      <c r="Z876" s="151" t="n"/>
      <c r="AA876" s="151" t="n"/>
      <c r="AB876" s="152" t="n"/>
      <c r="AC876" s="152" t="n"/>
      <c r="AD876" s="152" t="n"/>
      <c r="AE876" s="152" t="n"/>
      <c r="AF876" s="152" t="n"/>
    </row>
    <row r="877" ht="15.75" customHeight="1" s="201">
      <c r="A877" s="37" t="n"/>
      <c r="B877" s="37" t="n"/>
      <c r="C877" s="37" t="n"/>
      <c r="D877" s="37" t="n"/>
      <c r="E877" s="37" t="n"/>
      <c r="F877" s="148" t="n"/>
      <c r="G877" s="148" t="n"/>
      <c r="H877" s="148" t="n"/>
      <c r="I877" s="148" t="n"/>
      <c r="J877" s="149" t="n"/>
      <c r="K877" s="37" t="n"/>
      <c r="L877" s="148" t="n"/>
      <c r="M877" s="148" t="n"/>
      <c r="N877" s="148" t="n"/>
      <c r="O877" s="148" t="n"/>
      <c r="P877" s="148" t="n"/>
      <c r="Q877" s="148" t="n"/>
      <c r="R877" s="148" t="n"/>
      <c r="S877" s="148" t="n"/>
      <c r="T877" s="150" t="n"/>
      <c r="U877" s="150" t="n"/>
      <c r="V877" s="37" t="n"/>
      <c r="W877" s="151" t="n"/>
      <c r="X877" s="151" t="n"/>
      <c r="Y877" s="151" t="n"/>
      <c r="Z877" s="151" t="n"/>
      <c r="AA877" s="151" t="n"/>
      <c r="AB877" s="152" t="n"/>
      <c r="AC877" s="152" t="n"/>
      <c r="AD877" s="152" t="n"/>
      <c r="AE877" s="152" t="n"/>
      <c r="AF877" s="152" t="n"/>
    </row>
    <row r="878" ht="15.75" customHeight="1" s="201">
      <c r="A878" s="37" t="n"/>
      <c r="B878" s="37" t="n"/>
      <c r="C878" s="37" t="n"/>
      <c r="D878" s="37" t="n"/>
      <c r="E878" s="37" t="n"/>
      <c r="F878" s="148" t="n"/>
      <c r="G878" s="148" t="n"/>
      <c r="H878" s="148" t="n"/>
      <c r="I878" s="148" t="n"/>
      <c r="J878" s="149" t="n"/>
      <c r="K878" s="37" t="n"/>
      <c r="L878" s="148" t="n"/>
      <c r="M878" s="148" t="n"/>
      <c r="N878" s="148" t="n"/>
      <c r="O878" s="148" t="n"/>
      <c r="P878" s="148" t="n"/>
      <c r="Q878" s="148" t="n"/>
      <c r="R878" s="148" t="n"/>
      <c r="S878" s="148" t="n"/>
      <c r="T878" s="150" t="n"/>
      <c r="U878" s="150" t="n"/>
      <c r="V878" s="37" t="n"/>
      <c r="W878" s="151" t="n"/>
      <c r="X878" s="151" t="n"/>
      <c r="Y878" s="151" t="n"/>
      <c r="Z878" s="151" t="n"/>
      <c r="AA878" s="151" t="n"/>
      <c r="AB878" s="152" t="n"/>
      <c r="AC878" s="152" t="n"/>
      <c r="AD878" s="152" t="n"/>
      <c r="AE878" s="152" t="n"/>
      <c r="AF878" s="152" t="n"/>
    </row>
    <row r="879" ht="15.75" customHeight="1" s="201">
      <c r="A879" s="37" t="n"/>
      <c r="B879" s="37" t="n"/>
      <c r="C879" s="37" t="n"/>
      <c r="D879" s="37" t="n"/>
      <c r="E879" s="37" t="n"/>
      <c r="F879" s="148" t="n"/>
      <c r="G879" s="148" t="n"/>
      <c r="H879" s="148" t="n"/>
      <c r="I879" s="148" t="n"/>
      <c r="J879" s="149" t="n"/>
      <c r="K879" s="37" t="n"/>
      <c r="L879" s="148" t="n"/>
      <c r="M879" s="148" t="n"/>
      <c r="N879" s="148" t="n"/>
      <c r="O879" s="148" t="n"/>
      <c r="P879" s="148" t="n"/>
      <c r="Q879" s="148" t="n"/>
      <c r="R879" s="148" t="n"/>
      <c r="S879" s="148" t="n"/>
      <c r="T879" s="150" t="n"/>
      <c r="U879" s="150" t="n"/>
      <c r="V879" s="37" t="n"/>
      <c r="W879" s="151" t="n"/>
      <c r="X879" s="151" t="n"/>
      <c r="Y879" s="151" t="n"/>
      <c r="Z879" s="151" t="n"/>
      <c r="AA879" s="151" t="n"/>
      <c r="AB879" s="152" t="n"/>
      <c r="AC879" s="152" t="n"/>
      <c r="AD879" s="152" t="n"/>
      <c r="AE879" s="152" t="n"/>
      <c r="AF879" s="152" t="n"/>
    </row>
    <row r="880" ht="15.75" customHeight="1" s="201">
      <c r="A880" s="37" t="n"/>
      <c r="B880" s="37" t="n"/>
      <c r="C880" s="37" t="n"/>
      <c r="D880" s="37" t="n"/>
      <c r="E880" s="37" t="n"/>
      <c r="F880" s="148" t="n"/>
      <c r="G880" s="148" t="n"/>
      <c r="H880" s="148" t="n"/>
      <c r="I880" s="148" t="n"/>
      <c r="J880" s="149" t="n"/>
      <c r="K880" s="37" t="n"/>
      <c r="L880" s="148" t="n"/>
      <c r="M880" s="148" t="n"/>
      <c r="N880" s="148" t="n"/>
      <c r="O880" s="148" t="n"/>
      <c r="P880" s="148" t="n"/>
      <c r="Q880" s="148" t="n"/>
      <c r="R880" s="148" t="n"/>
      <c r="S880" s="148" t="n"/>
      <c r="T880" s="150" t="n"/>
      <c r="U880" s="150" t="n"/>
      <c r="V880" s="37" t="n"/>
      <c r="W880" s="151" t="n"/>
      <c r="X880" s="151" t="n"/>
      <c r="Y880" s="151" t="n"/>
      <c r="Z880" s="151" t="n"/>
      <c r="AA880" s="151" t="n"/>
      <c r="AB880" s="152" t="n"/>
      <c r="AC880" s="152" t="n"/>
      <c r="AD880" s="152" t="n"/>
      <c r="AE880" s="152" t="n"/>
      <c r="AF880" s="152" t="n"/>
    </row>
    <row r="881" ht="15.75" customHeight="1" s="201">
      <c r="A881" s="37" t="n"/>
      <c r="B881" s="37" t="n"/>
      <c r="C881" s="37" t="n"/>
      <c r="D881" s="37" t="n"/>
      <c r="E881" s="37" t="n"/>
      <c r="F881" s="148" t="n"/>
      <c r="G881" s="148" t="n"/>
      <c r="H881" s="148" t="n"/>
      <c r="I881" s="148" t="n"/>
      <c r="J881" s="149" t="n"/>
      <c r="K881" s="37" t="n"/>
      <c r="L881" s="148" t="n"/>
      <c r="M881" s="148" t="n"/>
      <c r="N881" s="148" t="n"/>
      <c r="O881" s="148" t="n"/>
      <c r="P881" s="148" t="n"/>
      <c r="Q881" s="148" t="n"/>
      <c r="R881" s="148" t="n"/>
      <c r="S881" s="148" t="n"/>
      <c r="T881" s="150" t="n"/>
      <c r="U881" s="150" t="n"/>
      <c r="V881" s="37" t="n"/>
      <c r="W881" s="151" t="n"/>
      <c r="X881" s="151" t="n"/>
      <c r="Y881" s="151" t="n"/>
      <c r="Z881" s="151" t="n"/>
      <c r="AA881" s="151" t="n"/>
      <c r="AB881" s="152" t="n"/>
      <c r="AC881" s="152" t="n"/>
      <c r="AD881" s="152" t="n"/>
      <c r="AE881" s="152" t="n"/>
      <c r="AF881" s="152" t="n"/>
    </row>
    <row r="882" ht="15.75" customHeight="1" s="201">
      <c r="A882" s="37" t="n"/>
      <c r="B882" s="37" t="n"/>
      <c r="C882" s="37" t="n"/>
      <c r="D882" s="37" t="n"/>
      <c r="E882" s="37" t="n"/>
      <c r="F882" s="148" t="n"/>
      <c r="G882" s="148" t="n"/>
      <c r="H882" s="148" t="n"/>
      <c r="I882" s="148" t="n"/>
      <c r="J882" s="149" t="n"/>
      <c r="K882" s="37" t="n"/>
      <c r="L882" s="148" t="n"/>
      <c r="M882" s="148" t="n"/>
      <c r="N882" s="148" t="n"/>
      <c r="O882" s="148" t="n"/>
      <c r="P882" s="148" t="n"/>
      <c r="Q882" s="148" t="n"/>
      <c r="R882" s="148" t="n"/>
      <c r="S882" s="148" t="n"/>
      <c r="T882" s="150" t="n"/>
      <c r="U882" s="150" t="n"/>
      <c r="V882" s="37" t="n"/>
      <c r="W882" s="151" t="n"/>
      <c r="X882" s="151" t="n"/>
      <c r="Y882" s="151" t="n"/>
      <c r="Z882" s="151" t="n"/>
      <c r="AA882" s="151" t="n"/>
      <c r="AB882" s="152" t="n"/>
      <c r="AC882" s="152" t="n"/>
      <c r="AD882" s="152" t="n"/>
      <c r="AE882" s="152" t="n"/>
      <c r="AF882" s="152" t="n"/>
    </row>
    <row r="883" ht="15.75" customHeight="1" s="201">
      <c r="A883" s="37" t="n"/>
      <c r="B883" s="37" t="n"/>
      <c r="C883" s="37" t="n"/>
      <c r="D883" s="37" t="n"/>
      <c r="E883" s="37" t="n"/>
      <c r="F883" s="148" t="n"/>
      <c r="G883" s="148" t="n"/>
      <c r="H883" s="148" t="n"/>
      <c r="I883" s="148" t="n"/>
      <c r="J883" s="149" t="n"/>
      <c r="K883" s="37" t="n"/>
      <c r="L883" s="148" t="n"/>
      <c r="M883" s="148" t="n"/>
      <c r="N883" s="148" t="n"/>
      <c r="O883" s="148" t="n"/>
      <c r="P883" s="148" t="n"/>
      <c r="Q883" s="148" t="n"/>
      <c r="R883" s="148" t="n"/>
      <c r="S883" s="148" t="n"/>
      <c r="T883" s="150" t="n"/>
      <c r="U883" s="150" t="n"/>
      <c r="V883" s="37" t="n"/>
      <c r="W883" s="151" t="n"/>
      <c r="X883" s="151" t="n"/>
      <c r="Y883" s="151" t="n"/>
      <c r="Z883" s="151" t="n"/>
      <c r="AA883" s="151" t="n"/>
      <c r="AB883" s="152" t="n"/>
      <c r="AC883" s="152" t="n"/>
      <c r="AD883" s="152" t="n"/>
      <c r="AE883" s="152" t="n"/>
      <c r="AF883" s="152" t="n"/>
    </row>
    <row r="884" ht="15.75" customHeight="1" s="201">
      <c r="A884" s="37" t="n"/>
      <c r="B884" s="37" t="n"/>
      <c r="C884" s="37" t="n"/>
      <c r="D884" s="37" t="n"/>
      <c r="E884" s="37" t="n"/>
      <c r="F884" s="148" t="n"/>
      <c r="G884" s="148" t="n"/>
      <c r="H884" s="148" t="n"/>
      <c r="I884" s="148" t="n"/>
      <c r="J884" s="149" t="n"/>
      <c r="K884" s="37" t="n"/>
      <c r="L884" s="148" t="n"/>
      <c r="M884" s="148" t="n"/>
      <c r="N884" s="148" t="n"/>
      <c r="O884" s="148" t="n"/>
      <c r="P884" s="148" t="n"/>
      <c r="Q884" s="148" t="n"/>
      <c r="R884" s="148" t="n"/>
      <c r="S884" s="148" t="n"/>
      <c r="T884" s="150" t="n"/>
      <c r="U884" s="150" t="n"/>
      <c r="V884" s="37" t="n"/>
      <c r="W884" s="151" t="n"/>
      <c r="X884" s="151" t="n"/>
      <c r="Y884" s="151" t="n"/>
      <c r="Z884" s="151" t="n"/>
      <c r="AA884" s="151" t="n"/>
      <c r="AB884" s="152" t="n"/>
      <c r="AC884" s="152" t="n"/>
      <c r="AD884" s="152" t="n"/>
      <c r="AE884" s="152" t="n"/>
      <c r="AF884" s="152" t="n"/>
    </row>
    <row r="885" ht="15.75" customHeight="1" s="201">
      <c r="A885" s="37" t="n"/>
      <c r="B885" s="37" t="n"/>
      <c r="C885" s="37" t="n"/>
      <c r="D885" s="37" t="n"/>
      <c r="E885" s="37" t="n"/>
      <c r="F885" s="148" t="n"/>
      <c r="G885" s="148" t="n"/>
      <c r="H885" s="148" t="n"/>
      <c r="I885" s="148" t="n"/>
      <c r="J885" s="149" t="n"/>
      <c r="K885" s="37" t="n"/>
      <c r="L885" s="148" t="n"/>
      <c r="M885" s="148" t="n"/>
      <c r="N885" s="148" t="n"/>
      <c r="O885" s="148" t="n"/>
      <c r="P885" s="148" t="n"/>
      <c r="Q885" s="148" t="n"/>
      <c r="R885" s="148" t="n"/>
      <c r="S885" s="148" t="n"/>
      <c r="T885" s="150" t="n"/>
      <c r="U885" s="150" t="n"/>
      <c r="V885" s="37" t="n"/>
      <c r="W885" s="151" t="n"/>
      <c r="X885" s="151" t="n"/>
      <c r="Y885" s="151" t="n"/>
      <c r="Z885" s="151" t="n"/>
      <c r="AA885" s="151" t="n"/>
      <c r="AB885" s="152" t="n"/>
      <c r="AC885" s="152" t="n"/>
      <c r="AD885" s="152" t="n"/>
      <c r="AE885" s="152" t="n"/>
      <c r="AF885" s="152" t="n"/>
    </row>
    <row r="886" ht="15.75" customHeight="1" s="201">
      <c r="A886" s="37" t="n"/>
      <c r="B886" s="37" t="n"/>
      <c r="C886" s="37" t="n"/>
      <c r="D886" s="37" t="n"/>
      <c r="E886" s="37" t="n"/>
      <c r="F886" s="148" t="n"/>
      <c r="G886" s="148" t="n"/>
      <c r="H886" s="148" t="n"/>
      <c r="I886" s="148" t="n"/>
      <c r="J886" s="149" t="n"/>
      <c r="K886" s="37" t="n"/>
      <c r="L886" s="148" t="n"/>
      <c r="M886" s="148" t="n"/>
      <c r="N886" s="148" t="n"/>
      <c r="O886" s="148" t="n"/>
      <c r="P886" s="148" t="n"/>
      <c r="Q886" s="148" t="n"/>
      <c r="R886" s="148" t="n"/>
      <c r="S886" s="148" t="n"/>
      <c r="T886" s="150" t="n"/>
      <c r="U886" s="150" t="n"/>
      <c r="V886" s="37" t="n"/>
      <c r="W886" s="151" t="n"/>
      <c r="X886" s="151" t="n"/>
      <c r="Y886" s="151" t="n"/>
      <c r="Z886" s="151" t="n"/>
      <c r="AA886" s="151" t="n"/>
      <c r="AB886" s="152" t="n"/>
      <c r="AC886" s="152" t="n"/>
      <c r="AD886" s="152" t="n"/>
      <c r="AE886" s="152" t="n"/>
      <c r="AF886" s="152" t="n"/>
    </row>
    <row r="887" ht="15.75" customHeight="1" s="201">
      <c r="A887" s="37" t="n"/>
      <c r="B887" s="37" t="n"/>
      <c r="C887" s="37" t="n"/>
      <c r="D887" s="37" t="n"/>
      <c r="E887" s="37" t="n"/>
      <c r="F887" s="148" t="n"/>
      <c r="G887" s="148" t="n"/>
      <c r="H887" s="148" t="n"/>
      <c r="I887" s="148" t="n"/>
      <c r="J887" s="149" t="n"/>
      <c r="K887" s="37" t="n"/>
      <c r="L887" s="148" t="n"/>
      <c r="M887" s="148" t="n"/>
      <c r="N887" s="148" t="n"/>
      <c r="O887" s="148" t="n"/>
      <c r="P887" s="148" t="n"/>
      <c r="Q887" s="148" t="n"/>
      <c r="R887" s="148" t="n"/>
      <c r="S887" s="148" t="n"/>
      <c r="T887" s="150" t="n"/>
      <c r="U887" s="150" t="n"/>
      <c r="V887" s="37" t="n"/>
      <c r="W887" s="151" t="n"/>
      <c r="X887" s="151" t="n"/>
      <c r="Y887" s="151" t="n"/>
      <c r="Z887" s="151" t="n"/>
      <c r="AA887" s="151" t="n"/>
      <c r="AB887" s="152" t="n"/>
      <c r="AC887" s="152" t="n"/>
      <c r="AD887" s="152" t="n"/>
      <c r="AE887" s="152" t="n"/>
      <c r="AF887" s="152" t="n"/>
    </row>
    <row r="888" ht="15.75" customHeight="1" s="201">
      <c r="A888" s="37" t="n"/>
      <c r="B888" s="37" t="n"/>
      <c r="C888" s="37" t="n"/>
      <c r="D888" s="37" t="n"/>
      <c r="E888" s="37" t="n"/>
      <c r="F888" s="148" t="n"/>
      <c r="G888" s="148" t="n"/>
      <c r="H888" s="148" t="n"/>
      <c r="I888" s="148" t="n"/>
      <c r="J888" s="149" t="n"/>
      <c r="K888" s="37" t="n"/>
      <c r="L888" s="148" t="n"/>
      <c r="M888" s="148" t="n"/>
      <c r="N888" s="148" t="n"/>
      <c r="O888" s="148" t="n"/>
      <c r="P888" s="148" t="n"/>
      <c r="Q888" s="148" t="n"/>
      <c r="R888" s="148" t="n"/>
      <c r="S888" s="148" t="n"/>
      <c r="T888" s="150" t="n"/>
      <c r="U888" s="150" t="n"/>
      <c r="V888" s="37" t="n"/>
      <c r="W888" s="151" t="n"/>
      <c r="X888" s="151" t="n"/>
      <c r="Y888" s="151" t="n"/>
      <c r="Z888" s="151" t="n"/>
      <c r="AA888" s="151" t="n"/>
      <c r="AB888" s="152" t="n"/>
      <c r="AC888" s="152" t="n"/>
      <c r="AD888" s="152" t="n"/>
      <c r="AE888" s="152" t="n"/>
      <c r="AF888" s="152" t="n"/>
    </row>
    <row r="889" ht="15.75" customHeight="1" s="201">
      <c r="A889" s="37" t="n"/>
      <c r="B889" s="37" t="n"/>
      <c r="C889" s="37" t="n"/>
      <c r="D889" s="37" t="n"/>
      <c r="E889" s="37" t="n"/>
      <c r="F889" s="148" t="n"/>
      <c r="G889" s="148" t="n"/>
      <c r="H889" s="148" t="n"/>
      <c r="I889" s="148" t="n"/>
      <c r="J889" s="149" t="n"/>
      <c r="K889" s="37" t="n"/>
      <c r="L889" s="148" t="n"/>
      <c r="M889" s="148" t="n"/>
      <c r="N889" s="148" t="n"/>
      <c r="O889" s="148" t="n"/>
      <c r="P889" s="148" t="n"/>
      <c r="Q889" s="148" t="n"/>
      <c r="R889" s="148" t="n"/>
      <c r="S889" s="148" t="n"/>
      <c r="T889" s="150" t="n"/>
      <c r="U889" s="150" t="n"/>
      <c r="V889" s="37" t="n"/>
      <c r="W889" s="151" t="n"/>
      <c r="X889" s="151" t="n"/>
      <c r="Y889" s="151" t="n"/>
      <c r="Z889" s="151" t="n"/>
      <c r="AA889" s="151" t="n"/>
      <c r="AB889" s="152" t="n"/>
      <c r="AC889" s="152" t="n"/>
      <c r="AD889" s="152" t="n"/>
      <c r="AE889" s="152" t="n"/>
      <c r="AF889" s="152" t="n"/>
    </row>
    <row r="890" ht="15.75" customHeight="1" s="201">
      <c r="A890" s="37" t="n"/>
      <c r="B890" s="37" t="n"/>
      <c r="C890" s="37" t="n"/>
      <c r="D890" s="37" t="n"/>
      <c r="E890" s="37" t="n"/>
      <c r="F890" s="148" t="n"/>
      <c r="G890" s="148" t="n"/>
      <c r="H890" s="148" t="n"/>
      <c r="I890" s="148" t="n"/>
      <c r="J890" s="149" t="n"/>
      <c r="K890" s="37" t="n"/>
      <c r="L890" s="148" t="n"/>
      <c r="M890" s="148" t="n"/>
      <c r="N890" s="148" t="n"/>
      <c r="O890" s="148" t="n"/>
      <c r="P890" s="148" t="n"/>
      <c r="Q890" s="148" t="n"/>
      <c r="R890" s="148" t="n"/>
      <c r="S890" s="148" t="n"/>
      <c r="T890" s="150" t="n"/>
      <c r="U890" s="150" t="n"/>
      <c r="V890" s="37" t="n"/>
      <c r="W890" s="151" t="n"/>
      <c r="X890" s="151" t="n"/>
      <c r="Y890" s="151" t="n"/>
      <c r="Z890" s="151" t="n"/>
      <c r="AA890" s="151" t="n"/>
      <c r="AB890" s="152" t="n"/>
      <c r="AC890" s="152" t="n"/>
      <c r="AD890" s="152" t="n"/>
      <c r="AE890" s="152" t="n"/>
      <c r="AF890" s="152" t="n"/>
    </row>
    <row r="891" ht="15.75" customHeight="1" s="201">
      <c r="A891" s="37" t="n"/>
      <c r="B891" s="37" t="n"/>
      <c r="C891" s="37" t="n"/>
      <c r="D891" s="37" t="n"/>
      <c r="E891" s="37" t="n"/>
      <c r="F891" s="148" t="n"/>
      <c r="G891" s="148" t="n"/>
      <c r="H891" s="148" t="n"/>
      <c r="I891" s="148" t="n"/>
      <c r="J891" s="149" t="n"/>
      <c r="K891" s="37" t="n"/>
      <c r="L891" s="148" t="n"/>
      <c r="M891" s="148" t="n"/>
      <c r="N891" s="148" t="n"/>
      <c r="O891" s="148" t="n"/>
      <c r="P891" s="148" t="n"/>
      <c r="Q891" s="148" t="n"/>
      <c r="R891" s="148" t="n"/>
      <c r="S891" s="148" t="n"/>
      <c r="T891" s="150" t="n"/>
      <c r="U891" s="150" t="n"/>
      <c r="V891" s="37" t="n"/>
      <c r="W891" s="151" t="n"/>
      <c r="X891" s="151" t="n"/>
      <c r="Y891" s="151" t="n"/>
      <c r="Z891" s="151" t="n"/>
      <c r="AA891" s="151" t="n"/>
      <c r="AB891" s="152" t="n"/>
      <c r="AC891" s="152" t="n"/>
      <c r="AD891" s="152" t="n"/>
      <c r="AE891" s="152" t="n"/>
      <c r="AF891" s="152" t="n"/>
    </row>
    <row r="892" ht="15.75" customHeight="1" s="201">
      <c r="A892" s="37" t="n"/>
      <c r="B892" s="37" t="n"/>
      <c r="C892" s="37" t="n"/>
      <c r="D892" s="37" t="n"/>
      <c r="E892" s="37" t="n"/>
      <c r="F892" s="148" t="n"/>
      <c r="G892" s="148" t="n"/>
      <c r="H892" s="148" t="n"/>
      <c r="I892" s="148" t="n"/>
      <c r="J892" s="149" t="n"/>
      <c r="K892" s="37" t="n"/>
      <c r="L892" s="148" t="n"/>
      <c r="M892" s="148" t="n"/>
      <c r="N892" s="148" t="n"/>
      <c r="O892" s="148" t="n"/>
      <c r="P892" s="148" t="n"/>
      <c r="Q892" s="148" t="n"/>
      <c r="R892" s="148" t="n"/>
      <c r="S892" s="148" t="n"/>
      <c r="T892" s="150" t="n"/>
      <c r="U892" s="150" t="n"/>
      <c r="V892" s="37" t="n"/>
      <c r="W892" s="151" t="n"/>
      <c r="X892" s="151" t="n"/>
      <c r="Y892" s="151" t="n"/>
      <c r="Z892" s="151" t="n"/>
      <c r="AA892" s="151" t="n"/>
      <c r="AB892" s="152" t="n"/>
      <c r="AC892" s="152" t="n"/>
      <c r="AD892" s="152" t="n"/>
      <c r="AE892" s="152" t="n"/>
      <c r="AF892" s="152" t="n"/>
    </row>
    <row r="893" ht="15.75" customHeight="1" s="201">
      <c r="A893" s="37" t="n"/>
      <c r="B893" s="37" t="n"/>
      <c r="C893" s="37" t="n"/>
      <c r="D893" s="37" t="n"/>
      <c r="E893" s="37" t="n"/>
      <c r="F893" s="148" t="n"/>
      <c r="G893" s="148" t="n"/>
      <c r="H893" s="148" t="n"/>
      <c r="I893" s="148" t="n"/>
      <c r="J893" s="149" t="n"/>
      <c r="K893" s="37" t="n"/>
      <c r="L893" s="148" t="n"/>
      <c r="M893" s="148" t="n"/>
      <c r="N893" s="148" t="n"/>
      <c r="O893" s="148" t="n"/>
      <c r="P893" s="148" t="n"/>
      <c r="Q893" s="148" t="n"/>
      <c r="R893" s="148" t="n"/>
      <c r="S893" s="148" t="n"/>
      <c r="T893" s="150" t="n"/>
      <c r="U893" s="150" t="n"/>
      <c r="V893" s="37" t="n"/>
      <c r="W893" s="151" t="n"/>
      <c r="X893" s="151" t="n"/>
      <c r="Y893" s="151" t="n"/>
      <c r="Z893" s="151" t="n"/>
      <c r="AA893" s="151" t="n"/>
      <c r="AB893" s="152" t="n"/>
      <c r="AC893" s="152" t="n"/>
      <c r="AD893" s="152" t="n"/>
      <c r="AE893" s="152" t="n"/>
      <c r="AF893" s="152" t="n"/>
    </row>
    <row r="894" ht="15.75" customHeight="1" s="201">
      <c r="A894" s="37" t="n"/>
      <c r="B894" s="37" t="n"/>
      <c r="C894" s="37" t="n"/>
      <c r="D894" s="37" t="n"/>
      <c r="E894" s="37" t="n"/>
      <c r="F894" s="148" t="n"/>
      <c r="G894" s="148" t="n"/>
      <c r="H894" s="148" t="n"/>
      <c r="I894" s="148" t="n"/>
      <c r="J894" s="149" t="n"/>
      <c r="K894" s="37" t="n"/>
      <c r="L894" s="148" t="n"/>
      <c r="M894" s="148" t="n"/>
      <c r="N894" s="148" t="n"/>
      <c r="O894" s="148" t="n"/>
      <c r="P894" s="148" t="n"/>
      <c r="Q894" s="148" t="n"/>
      <c r="R894" s="148" t="n"/>
      <c r="S894" s="148" t="n"/>
      <c r="T894" s="150" t="n"/>
      <c r="U894" s="150" t="n"/>
      <c r="V894" s="37" t="n"/>
      <c r="W894" s="151" t="n"/>
      <c r="X894" s="151" t="n"/>
      <c r="Y894" s="151" t="n"/>
      <c r="Z894" s="151" t="n"/>
      <c r="AA894" s="151" t="n"/>
      <c r="AB894" s="152" t="n"/>
      <c r="AC894" s="152" t="n"/>
      <c r="AD894" s="152" t="n"/>
      <c r="AE894" s="152" t="n"/>
      <c r="AF894" s="152" t="n"/>
    </row>
    <row r="895" ht="15.75" customHeight="1" s="201">
      <c r="A895" s="37" t="n"/>
      <c r="B895" s="37" t="n"/>
      <c r="C895" s="37" t="n"/>
      <c r="D895" s="37" t="n"/>
      <c r="E895" s="37" t="n"/>
      <c r="F895" s="148" t="n"/>
      <c r="G895" s="148" t="n"/>
      <c r="H895" s="148" t="n"/>
      <c r="I895" s="148" t="n"/>
      <c r="J895" s="149" t="n"/>
      <c r="K895" s="37" t="n"/>
      <c r="L895" s="148" t="n"/>
      <c r="M895" s="148" t="n"/>
      <c r="N895" s="148" t="n"/>
      <c r="O895" s="148" t="n"/>
      <c r="P895" s="148" t="n"/>
      <c r="Q895" s="148" t="n"/>
      <c r="R895" s="148" t="n"/>
      <c r="S895" s="148" t="n"/>
      <c r="T895" s="150" t="n"/>
      <c r="U895" s="150" t="n"/>
      <c r="V895" s="37" t="n"/>
      <c r="W895" s="151" t="n"/>
      <c r="X895" s="151" t="n"/>
      <c r="Y895" s="151" t="n"/>
      <c r="Z895" s="151" t="n"/>
      <c r="AA895" s="151" t="n"/>
      <c r="AB895" s="152" t="n"/>
      <c r="AC895" s="152" t="n"/>
      <c r="AD895" s="152" t="n"/>
      <c r="AE895" s="152" t="n"/>
      <c r="AF895" s="152" t="n"/>
    </row>
    <row r="896" ht="15.75" customHeight="1" s="201">
      <c r="A896" s="37" t="n"/>
      <c r="B896" s="37" t="n"/>
      <c r="C896" s="37" t="n"/>
      <c r="D896" s="37" t="n"/>
      <c r="E896" s="37" t="n"/>
      <c r="F896" s="148" t="n"/>
      <c r="G896" s="148" t="n"/>
      <c r="H896" s="148" t="n"/>
      <c r="I896" s="148" t="n"/>
      <c r="J896" s="149" t="n"/>
      <c r="K896" s="37" t="n"/>
      <c r="L896" s="148" t="n"/>
      <c r="M896" s="148" t="n"/>
      <c r="N896" s="148" t="n"/>
      <c r="O896" s="148" t="n"/>
      <c r="P896" s="148" t="n"/>
      <c r="Q896" s="148" t="n"/>
      <c r="R896" s="148" t="n"/>
      <c r="S896" s="148" t="n"/>
      <c r="T896" s="150" t="n"/>
      <c r="U896" s="150" t="n"/>
      <c r="V896" s="37" t="n"/>
      <c r="W896" s="151" t="n"/>
      <c r="X896" s="151" t="n"/>
      <c r="Y896" s="151" t="n"/>
      <c r="Z896" s="151" t="n"/>
      <c r="AA896" s="151" t="n"/>
      <c r="AB896" s="152" t="n"/>
      <c r="AC896" s="152" t="n"/>
      <c r="AD896" s="152" t="n"/>
      <c r="AE896" s="152" t="n"/>
      <c r="AF896" s="152" t="n"/>
    </row>
    <row r="897" ht="15.75" customHeight="1" s="201">
      <c r="A897" s="37" t="n"/>
      <c r="B897" s="37" t="n"/>
      <c r="C897" s="37" t="n"/>
      <c r="D897" s="37" t="n"/>
      <c r="E897" s="37" t="n"/>
      <c r="F897" s="148" t="n"/>
      <c r="G897" s="148" t="n"/>
      <c r="H897" s="148" t="n"/>
      <c r="I897" s="148" t="n"/>
      <c r="J897" s="149" t="n"/>
      <c r="K897" s="37" t="n"/>
      <c r="L897" s="148" t="n"/>
      <c r="M897" s="148" t="n"/>
      <c r="N897" s="148" t="n"/>
      <c r="O897" s="148" t="n"/>
      <c r="P897" s="148" t="n"/>
      <c r="Q897" s="148" t="n"/>
      <c r="R897" s="148" t="n"/>
      <c r="S897" s="148" t="n"/>
      <c r="T897" s="150" t="n"/>
      <c r="U897" s="150" t="n"/>
      <c r="V897" s="37" t="n"/>
      <c r="W897" s="151" t="n"/>
      <c r="X897" s="151" t="n"/>
      <c r="Y897" s="151" t="n"/>
      <c r="Z897" s="151" t="n"/>
      <c r="AA897" s="151" t="n"/>
      <c r="AB897" s="152" t="n"/>
      <c r="AC897" s="152" t="n"/>
      <c r="AD897" s="152" t="n"/>
      <c r="AE897" s="152" t="n"/>
      <c r="AF897" s="152" t="n"/>
    </row>
    <row r="898" ht="15.75" customHeight="1" s="201">
      <c r="A898" s="37" t="n"/>
      <c r="B898" s="37" t="n"/>
      <c r="C898" s="37" t="n"/>
      <c r="D898" s="37" t="n"/>
      <c r="E898" s="37" t="n"/>
      <c r="F898" s="148" t="n"/>
      <c r="G898" s="148" t="n"/>
      <c r="H898" s="148" t="n"/>
      <c r="I898" s="148" t="n"/>
      <c r="J898" s="149" t="n"/>
      <c r="K898" s="37" t="n"/>
      <c r="L898" s="148" t="n"/>
      <c r="M898" s="148" t="n"/>
      <c r="N898" s="148" t="n"/>
      <c r="O898" s="148" t="n"/>
      <c r="P898" s="148" t="n"/>
      <c r="Q898" s="148" t="n"/>
      <c r="R898" s="148" t="n"/>
      <c r="S898" s="148" t="n"/>
      <c r="T898" s="150" t="n"/>
      <c r="U898" s="150" t="n"/>
      <c r="V898" s="37" t="n"/>
      <c r="W898" s="151" t="n"/>
      <c r="X898" s="151" t="n"/>
      <c r="Y898" s="151" t="n"/>
      <c r="Z898" s="151" t="n"/>
      <c r="AA898" s="151" t="n"/>
      <c r="AB898" s="152" t="n"/>
      <c r="AC898" s="152" t="n"/>
      <c r="AD898" s="152" t="n"/>
      <c r="AE898" s="152" t="n"/>
      <c r="AF898" s="152" t="n"/>
    </row>
    <row r="899" ht="15.75" customHeight="1" s="201">
      <c r="A899" s="37" t="n"/>
      <c r="B899" s="37" t="n"/>
      <c r="C899" s="37" t="n"/>
      <c r="D899" s="37" t="n"/>
      <c r="E899" s="37" t="n"/>
      <c r="F899" s="148" t="n"/>
      <c r="G899" s="148" t="n"/>
      <c r="H899" s="148" t="n"/>
      <c r="I899" s="148" t="n"/>
      <c r="J899" s="149" t="n"/>
      <c r="K899" s="37" t="n"/>
      <c r="L899" s="148" t="n"/>
      <c r="M899" s="148" t="n"/>
      <c r="N899" s="148" t="n"/>
      <c r="O899" s="148" t="n"/>
      <c r="P899" s="148" t="n"/>
      <c r="Q899" s="148" t="n"/>
      <c r="R899" s="148" t="n"/>
      <c r="S899" s="148" t="n"/>
      <c r="T899" s="150" t="n"/>
      <c r="U899" s="150" t="n"/>
      <c r="V899" s="37" t="n"/>
      <c r="W899" s="151" t="n"/>
      <c r="X899" s="151" t="n"/>
      <c r="Y899" s="151" t="n"/>
      <c r="Z899" s="151" t="n"/>
      <c r="AA899" s="151" t="n"/>
      <c r="AB899" s="152" t="n"/>
      <c r="AC899" s="152" t="n"/>
      <c r="AD899" s="152" t="n"/>
      <c r="AE899" s="152" t="n"/>
      <c r="AF899" s="152" t="n"/>
    </row>
    <row r="900" ht="15.75" customHeight="1" s="201">
      <c r="A900" s="37" t="n"/>
      <c r="B900" s="37" t="n"/>
      <c r="C900" s="37" t="n"/>
      <c r="D900" s="37" t="n"/>
      <c r="E900" s="37" t="n"/>
      <c r="F900" s="148" t="n"/>
      <c r="G900" s="148" t="n"/>
      <c r="H900" s="148" t="n"/>
      <c r="I900" s="148" t="n"/>
      <c r="J900" s="149" t="n"/>
      <c r="K900" s="37" t="n"/>
      <c r="L900" s="148" t="n"/>
      <c r="M900" s="148" t="n"/>
      <c r="N900" s="148" t="n"/>
      <c r="O900" s="148" t="n"/>
      <c r="P900" s="148" t="n"/>
      <c r="Q900" s="148" t="n"/>
      <c r="R900" s="148" t="n"/>
      <c r="S900" s="148" t="n"/>
      <c r="T900" s="150" t="n"/>
      <c r="U900" s="150" t="n"/>
      <c r="V900" s="37" t="n"/>
      <c r="W900" s="151" t="n"/>
      <c r="X900" s="151" t="n"/>
      <c r="Y900" s="151" t="n"/>
      <c r="Z900" s="151" t="n"/>
      <c r="AA900" s="151" t="n"/>
      <c r="AB900" s="152" t="n"/>
      <c r="AC900" s="152" t="n"/>
      <c r="AD900" s="152" t="n"/>
      <c r="AE900" s="152" t="n"/>
      <c r="AF900" s="152" t="n"/>
    </row>
    <row r="901" ht="15.75" customHeight="1" s="201">
      <c r="A901" s="37" t="n"/>
      <c r="B901" s="37" t="n"/>
      <c r="C901" s="37" t="n"/>
      <c r="D901" s="37" t="n"/>
      <c r="E901" s="37" t="n"/>
      <c r="F901" s="148" t="n"/>
      <c r="G901" s="148" t="n"/>
      <c r="H901" s="148" t="n"/>
      <c r="I901" s="148" t="n"/>
      <c r="J901" s="149" t="n"/>
      <c r="K901" s="37" t="n"/>
      <c r="L901" s="148" t="n"/>
      <c r="M901" s="148" t="n"/>
      <c r="N901" s="148" t="n"/>
      <c r="O901" s="148" t="n"/>
      <c r="P901" s="148" t="n"/>
      <c r="Q901" s="148" t="n"/>
      <c r="R901" s="148" t="n"/>
      <c r="S901" s="148" t="n"/>
      <c r="T901" s="150" t="n"/>
      <c r="U901" s="150" t="n"/>
      <c r="V901" s="37" t="n"/>
      <c r="W901" s="151" t="n"/>
      <c r="X901" s="151" t="n"/>
      <c r="Y901" s="151" t="n"/>
      <c r="Z901" s="151" t="n"/>
      <c r="AA901" s="151" t="n"/>
      <c r="AB901" s="152" t="n"/>
      <c r="AC901" s="152" t="n"/>
      <c r="AD901" s="152" t="n"/>
      <c r="AE901" s="152" t="n"/>
      <c r="AF901" s="152" t="n"/>
    </row>
    <row r="902" ht="15.75" customHeight="1" s="201">
      <c r="A902" s="37" t="n"/>
      <c r="B902" s="37" t="n"/>
      <c r="C902" s="37" t="n"/>
      <c r="D902" s="37" t="n"/>
      <c r="E902" s="37" t="n"/>
      <c r="F902" s="148" t="n"/>
      <c r="G902" s="148" t="n"/>
      <c r="H902" s="148" t="n"/>
      <c r="I902" s="148" t="n"/>
      <c r="J902" s="149" t="n"/>
      <c r="K902" s="37" t="n"/>
      <c r="L902" s="148" t="n"/>
      <c r="M902" s="148" t="n"/>
      <c r="N902" s="148" t="n"/>
      <c r="O902" s="148" t="n"/>
      <c r="P902" s="148" t="n"/>
      <c r="Q902" s="148" t="n"/>
      <c r="R902" s="148" t="n"/>
      <c r="S902" s="148" t="n"/>
      <c r="T902" s="150" t="n"/>
      <c r="U902" s="150" t="n"/>
      <c r="V902" s="37" t="n"/>
      <c r="W902" s="151" t="n"/>
      <c r="X902" s="151" t="n"/>
      <c r="Y902" s="151" t="n"/>
      <c r="Z902" s="151" t="n"/>
      <c r="AA902" s="151" t="n"/>
      <c r="AB902" s="152" t="n"/>
      <c r="AC902" s="152" t="n"/>
      <c r="AD902" s="152" t="n"/>
      <c r="AE902" s="152" t="n"/>
      <c r="AF902" s="152" t="n"/>
    </row>
    <row r="903" ht="15.75" customHeight="1" s="201">
      <c r="A903" s="37" t="n"/>
      <c r="B903" s="37" t="n"/>
      <c r="C903" s="37" t="n"/>
      <c r="D903" s="37" t="n"/>
      <c r="E903" s="37" t="n"/>
      <c r="F903" s="148" t="n"/>
      <c r="G903" s="148" t="n"/>
      <c r="H903" s="148" t="n"/>
      <c r="I903" s="148" t="n"/>
      <c r="J903" s="149" t="n"/>
      <c r="K903" s="37" t="n"/>
      <c r="L903" s="148" t="n"/>
      <c r="M903" s="148" t="n"/>
      <c r="N903" s="148" t="n"/>
      <c r="O903" s="148" t="n"/>
      <c r="P903" s="148" t="n"/>
      <c r="Q903" s="148" t="n"/>
      <c r="R903" s="148" t="n"/>
      <c r="S903" s="148" t="n"/>
      <c r="T903" s="150" t="n"/>
      <c r="U903" s="150" t="n"/>
      <c r="V903" s="37" t="n"/>
      <c r="W903" s="151" t="n"/>
      <c r="X903" s="151" t="n"/>
      <c r="Y903" s="151" t="n"/>
      <c r="Z903" s="151" t="n"/>
      <c r="AA903" s="151" t="n"/>
      <c r="AB903" s="152" t="n"/>
      <c r="AC903" s="152" t="n"/>
      <c r="AD903" s="152" t="n"/>
      <c r="AE903" s="152" t="n"/>
      <c r="AF903" s="152" t="n"/>
    </row>
    <row r="904" ht="15.75" customHeight="1" s="201">
      <c r="A904" s="37" t="n"/>
      <c r="B904" s="37" t="n"/>
      <c r="C904" s="37" t="n"/>
      <c r="D904" s="37" t="n"/>
      <c r="E904" s="37" t="n"/>
      <c r="F904" s="148" t="n"/>
      <c r="G904" s="148" t="n"/>
      <c r="H904" s="148" t="n"/>
      <c r="I904" s="148" t="n"/>
      <c r="J904" s="149" t="n"/>
      <c r="K904" s="37" t="n"/>
      <c r="L904" s="148" t="n"/>
      <c r="M904" s="148" t="n"/>
      <c r="N904" s="148" t="n"/>
      <c r="O904" s="148" t="n"/>
      <c r="P904" s="148" t="n"/>
      <c r="Q904" s="148" t="n"/>
      <c r="R904" s="148" t="n"/>
      <c r="S904" s="148" t="n"/>
      <c r="T904" s="150" t="n"/>
      <c r="U904" s="150" t="n"/>
      <c r="V904" s="37" t="n"/>
      <c r="W904" s="151" t="n"/>
      <c r="X904" s="151" t="n"/>
      <c r="Y904" s="151" t="n"/>
      <c r="Z904" s="151" t="n"/>
      <c r="AA904" s="151" t="n"/>
      <c r="AB904" s="152" t="n"/>
      <c r="AC904" s="152" t="n"/>
      <c r="AD904" s="152" t="n"/>
      <c r="AE904" s="152" t="n"/>
      <c r="AF904" s="152" t="n"/>
    </row>
    <row r="905" ht="15.75" customHeight="1" s="201">
      <c r="A905" s="37" t="n"/>
      <c r="B905" s="37" t="n"/>
      <c r="C905" s="37" t="n"/>
      <c r="D905" s="37" t="n"/>
      <c r="E905" s="37" t="n"/>
      <c r="F905" s="148" t="n"/>
      <c r="G905" s="148" t="n"/>
      <c r="H905" s="148" t="n"/>
      <c r="I905" s="148" t="n"/>
      <c r="J905" s="149" t="n"/>
      <c r="K905" s="37" t="n"/>
      <c r="L905" s="148" t="n"/>
      <c r="M905" s="148" t="n"/>
      <c r="N905" s="148" t="n"/>
      <c r="O905" s="148" t="n"/>
      <c r="P905" s="148" t="n"/>
      <c r="Q905" s="148" t="n"/>
      <c r="R905" s="148" t="n"/>
      <c r="S905" s="148" t="n"/>
      <c r="T905" s="150" t="n"/>
      <c r="U905" s="150" t="n"/>
      <c r="V905" s="37" t="n"/>
      <c r="W905" s="151" t="n"/>
      <c r="X905" s="151" t="n"/>
      <c r="Y905" s="151" t="n"/>
      <c r="Z905" s="151" t="n"/>
      <c r="AA905" s="151" t="n"/>
      <c r="AB905" s="152" t="n"/>
      <c r="AC905" s="152" t="n"/>
      <c r="AD905" s="152" t="n"/>
      <c r="AE905" s="152" t="n"/>
      <c r="AF905" s="152" t="n"/>
    </row>
    <row r="906" ht="15.75" customHeight="1" s="201">
      <c r="A906" s="37" t="n"/>
      <c r="B906" s="37" t="n"/>
      <c r="C906" s="37" t="n"/>
      <c r="D906" s="37" t="n"/>
      <c r="E906" s="37" t="n"/>
      <c r="F906" s="148" t="n"/>
      <c r="G906" s="148" t="n"/>
      <c r="H906" s="148" t="n"/>
      <c r="I906" s="148" t="n"/>
      <c r="J906" s="149" t="n"/>
      <c r="K906" s="37" t="n"/>
      <c r="L906" s="148" t="n"/>
      <c r="M906" s="148" t="n"/>
      <c r="N906" s="148" t="n"/>
      <c r="O906" s="148" t="n"/>
      <c r="P906" s="148" t="n"/>
      <c r="Q906" s="148" t="n"/>
      <c r="R906" s="148" t="n"/>
      <c r="S906" s="148" t="n"/>
      <c r="T906" s="150" t="n"/>
      <c r="U906" s="150" t="n"/>
      <c r="V906" s="37" t="n"/>
      <c r="W906" s="151" t="n"/>
      <c r="X906" s="151" t="n"/>
      <c r="Y906" s="151" t="n"/>
      <c r="Z906" s="151" t="n"/>
      <c r="AA906" s="151" t="n"/>
      <c r="AB906" s="152" t="n"/>
      <c r="AC906" s="152" t="n"/>
      <c r="AD906" s="152" t="n"/>
      <c r="AE906" s="152" t="n"/>
      <c r="AF906" s="152" t="n"/>
    </row>
    <row r="907" ht="15.75" customHeight="1" s="201">
      <c r="A907" s="37" t="n"/>
      <c r="B907" s="37" t="n"/>
      <c r="C907" s="37" t="n"/>
      <c r="D907" s="37" t="n"/>
      <c r="E907" s="37" t="n"/>
      <c r="F907" s="148" t="n"/>
      <c r="G907" s="148" t="n"/>
      <c r="H907" s="148" t="n"/>
      <c r="I907" s="148" t="n"/>
      <c r="J907" s="149" t="n"/>
      <c r="K907" s="37" t="n"/>
      <c r="L907" s="148" t="n"/>
      <c r="M907" s="148" t="n"/>
      <c r="N907" s="148" t="n"/>
      <c r="O907" s="148" t="n"/>
      <c r="P907" s="148" t="n"/>
      <c r="Q907" s="148" t="n"/>
      <c r="R907" s="148" t="n"/>
      <c r="S907" s="148" t="n"/>
      <c r="T907" s="150" t="n"/>
      <c r="U907" s="150" t="n"/>
      <c r="V907" s="37" t="n"/>
      <c r="W907" s="151" t="n"/>
      <c r="X907" s="151" t="n"/>
      <c r="Y907" s="151" t="n"/>
      <c r="Z907" s="151" t="n"/>
      <c r="AA907" s="151" t="n"/>
      <c r="AB907" s="152" t="n"/>
      <c r="AC907" s="152" t="n"/>
      <c r="AD907" s="152" t="n"/>
      <c r="AE907" s="152" t="n"/>
      <c r="AF907" s="152" t="n"/>
    </row>
    <row r="908" ht="15.75" customHeight="1" s="201">
      <c r="A908" s="37" t="n"/>
      <c r="B908" s="37" t="n"/>
      <c r="C908" s="37" t="n"/>
      <c r="D908" s="37" t="n"/>
      <c r="E908" s="37" t="n"/>
      <c r="F908" s="148" t="n"/>
      <c r="G908" s="148" t="n"/>
      <c r="H908" s="148" t="n"/>
      <c r="I908" s="148" t="n"/>
      <c r="J908" s="149" t="n"/>
      <c r="K908" s="37" t="n"/>
      <c r="L908" s="148" t="n"/>
      <c r="M908" s="148" t="n"/>
      <c r="N908" s="148" t="n"/>
      <c r="O908" s="148" t="n"/>
      <c r="P908" s="148" t="n"/>
      <c r="Q908" s="148" t="n"/>
      <c r="R908" s="148" t="n"/>
      <c r="S908" s="148" t="n"/>
      <c r="T908" s="150" t="n"/>
      <c r="U908" s="150" t="n"/>
      <c r="V908" s="37" t="n"/>
      <c r="W908" s="151" t="n"/>
      <c r="X908" s="151" t="n"/>
      <c r="Y908" s="151" t="n"/>
      <c r="Z908" s="151" t="n"/>
      <c r="AA908" s="151" t="n"/>
      <c r="AB908" s="152" t="n"/>
      <c r="AC908" s="152" t="n"/>
      <c r="AD908" s="152" t="n"/>
      <c r="AE908" s="152" t="n"/>
      <c r="AF908" s="152" t="n"/>
    </row>
    <row r="909" ht="15.75" customHeight="1" s="201">
      <c r="A909" s="37" t="n"/>
      <c r="B909" s="37" t="n"/>
      <c r="C909" s="37" t="n"/>
      <c r="D909" s="37" t="n"/>
      <c r="E909" s="37" t="n"/>
      <c r="F909" s="148" t="n"/>
      <c r="G909" s="148" t="n"/>
      <c r="H909" s="148" t="n"/>
      <c r="I909" s="148" t="n"/>
      <c r="J909" s="149" t="n"/>
      <c r="K909" s="37" t="n"/>
      <c r="L909" s="148" t="n"/>
      <c r="M909" s="148" t="n"/>
      <c r="N909" s="148" t="n"/>
      <c r="O909" s="148" t="n"/>
      <c r="P909" s="148" t="n"/>
      <c r="Q909" s="148" t="n"/>
      <c r="R909" s="148" t="n"/>
      <c r="S909" s="148" t="n"/>
      <c r="T909" s="150" t="n"/>
      <c r="U909" s="150" t="n"/>
      <c r="V909" s="37" t="n"/>
      <c r="W909" s="151" t="n"/>
      <c r="X909" s="151" t="n"/>
      <c r="Y909" s="151" t="n"/>
      <c r="Z909" s="151" t="n"/>
      <c r="AA909" s="151" t="n"/>
      <c r="AB909" s="152" t="n"/>
      <c r="AC909" s="152" t="n"/>
      <c r="AD909" s="152" t="n"/>
      <c r="AE909" s="152" t="n"/>
      <c r="AF909" s="152" t="n"/>
    </row>
    <row r="910" ht="15.75" customHeight="1" s="201">
      <c r="A910" s="37" t="n"/>
      <c r="B910" s="37" t="n"/>
      <c r="C910" s="37" t="n"/>
      <c r="D910" s="37" t="n"/>
      <c r="E910" s="37" t="n"/>
      <c r="F910" s="148" t="n"/>
      <c r="G910" s="148" t="n"/>
      <c r="H910" s="148" t="n"/>
      <c r="I910" s="148" t="n"/>
      <c r="J910" s="149" t="n"/>
      <c r="K910" s="37" t="n"/>
      <c r="L910" s="148" t="n"/>
      <c r="M910" s="148" t="n"/>
      <c r="N910" s="148" t="n"/>
      <c r="O910" s="148" t="n"/>
      <c r="P910" s="148" t="n"/>
      <c r="Q910" s="148" t="n"/>
      <c r="R910" s="148" t="n"/>
      <c r="S910" s="148" t="n"/>
      <c r="T910" s="150" t="n"/>
      <c r="U910" s="150" t="n"/>
      <c r="V910" s="37" t="n"/>
      <c r="W910" s="151" t="n"/>
      <c r="X910" s="151" t="n"/>
      <c r="Y910" s="151" t="n"/>
      <c r="Z910" s="151" t="n"/>
      <c r="AA910" s="151" t="n"/>
      <c r="AB910" s="152" t="n"/>
      <c r="AC910" s="152" t="n"/>
      <c r="AD910" s="152" t="n"/>
      <c r="AE910" s="152" t="n"/>
      <c r="AF910" s="152" t="n"/>
    </row>
    <row r="911" ht="15.75" customHeight="1" s="201">
      <c r="A911" s="37" t="n"/>
      <c r="B911" s="37" t="n"/>
      <c r="C911" s="37" t="n"/>
      <c r="D911" s="37" t="n"/>
      <c r="E911" s="37" t="n"/>
      <c r="F911" s="148" t="n"/>
      <c r="G911" s="148" t="n"/>
      <c r="H911" s="148" t="n"/>
      <c r="I911" s="148" t="n"/>
      <c r="J911" s="149" t="n"/>
      <c r="K911" s="37" t="n"/>
      <c r="L911" s="148" t="n"/>
      <c r="M911" s="148" t="n"/>
      <c r="N911" s="148" t="n"/>
      <c r="O911" s="148" t="n"/>
      <c r="P911" s="148" t="n"/>
      <c r="Q911" s="148" t="n"/>
      <c r="R911" s="148" t="n"/>
      <c r="S911" s="148" t="n"/>
      <c r="T911" s="150" t="n"/>
      <c r="U911" s="150" t="n"/>
      <c r="V911" s="37" t="n"/>
      <c r="W911" s="151" t="n"/>
      <c r="X911" s="151" t="n"/>
      <c r="Y911" s="151" t="n"/>
      <c r="Z911" s="151" t="n"/>
      <c r="AA911" s="151" t="n"/>
      <c r="AB911" s="152" t="n"/>
      <c r="AC911" s="152" t="n"/>
      <c r="AD911" s="152" t="n"/>
      <c r="AE911" s="152" t="n"/>
      <c r="AF911" s="152" t="n"/>
    </row>
    <row r="912" ht="15.75" customHeight="1" s="201">
      <c r="A912" s="37" t="n"/>
      <c r="B912" s="37" t="n"/>
      <c r="C912" s="37" t="n"/>
      <c r="D912" s="37" t="n"/>
      <c r="E912" s="37" t="n"/>
      <c r="F912" s="148" t="n"/>
      <c r="G912" s="148" t="n"/>
      <c r="H912" s="148" t="n"/>
      <c r="I912" s="148" t="n"/>
      <c r="J912" s="149" t="n"/>
      <c r="K912" s="37" t="n"/>
      <c r="L912" s="148" t="n"/>
      <c r="M912" s="148" t="n"/>
      <c r="N912" s="148" t="n"/>
      <c r="O912" s="148" t="n"/>
      <c r="P912" s="148" t="n"/>
      <c r="Q912" s="148" t="n"/>
      <c r="R912" s="148" t="n"/>
      <c r="S912" s="148" t="n"/>
      <c r="T912" s="150" t="n"/>
      <c r="U912" s="150" t="n"/>
      <c r="V912" s="37" t="n"/>
      <c r="W912" s="151" t="n"/>
      <c r="X912" s="151" t="n"/>
      <c r="Y912" s="151" t="n"/>
      <c r="Z912" s="151" t="n"/>
      <c r="AA912" s="151" t="n"/>
      <c r="AB912" s="152" t="n"/>
      <c r="AC912" s="152" t="n"/>
      <c r="AD912" s="152" t="n"/>
      <c r="AE912" s="152" t="n"/>
      <c r="AF912" s="152" t="n"/>
    </row>
    <row r="913" ht="15.75" customHeight="1" s="201">
      <c r="A913" s="37" t="n"/>
      <c r="B913" s="37" t="n"/>
      <c r="C913" s="37" t="n"/>
      <c r="D913" s="37" t="n"/>
      <c r="E913" s="37" t="n"/>
      <c r="F913" s="148" t="n"/>
      <c r="G913" s="148" t="n"/>
      <c r="H913" s="148" t="n"/>
      <c r="I913" s="148" t="n"/>
      <c r="J913" s="149" t="n"/>
      <c r="K913" s="37" t="n"/>
      <c r="L913" s="148" t="n"/>
      <c r="M913" s="148" t="n"/>
      <c r="N913" s="148" t="n"/>
      <c r="O913" s="148" t="n"/>
      <c r="P913" s="148" t="n"/>
      <c r="Q913" s="148" t="n"/>
      <c r="R913" s="148" t="n"/>
      <c r="S913" s="148" t="n"/>
      <c r="T913" s="150" t="n"/>
      <c r="U913" s="150" t="n"/>
      <c r="V913" s="37" t="n"/>
      <c r="W913" s="151" t="n"/>
      <c r="X913" s="151" t="n"/>
      <c r="Y913" s="151" t="n"/>
      <c r="Z913" s="151" t="n"/>
      <c r="AA913" s="151" t="n"/>
      <c r="AB913" s="152" t="n"/>
      <c r="AC913" s="152" t="n"/>
      <c r="AD913" s="152" t="n"/>
      <c r="AE913" s="152" t="n"/>
      <c r="AF913" s="152" t="n"/>
    </row>
    <row r="914" ht="15.75" customHeight="1" s="201">
      <c r="A914" s="37" t="n"/>
      <c r="B914" s="37" t="n"/>
      <c r="C914" s="37" t="n"/>
      <c r="D914" s="37" t="n"/>
      <c r="E914" s="37" t="n"/>
      <c r="F914" s="148" t="n"/>
      <c r="G914" s="148" t="n"/>
      <c r="H914" s="148" t="n"/>
      <c r="I914" s="148" t="n"/>
      <c r="J914" s="149" t="n"/>
      <c r="K914" s="37" t="n"/>
      <c r="L914" s="148" t="n"/>
      <c r="M914" s="148" t="n"/>
      <c r="N914" s="148" t="n"/>
      <c r="O914" s="148" t="n"/>
      <c r="P914" s="148" t="n"/>
      <c r="Q914" s="148" t="n"/>
      <c r="R914" s="148" t="n"/>
      <c r="S914" s="148" t="n"/>
      <c r="T914" s="150" t="n"/>
      <c r="U914" s="150" t="n"/>
      <c r="V914" s="37" t="n"/>
      <c r="W914" s="151" t="n"/>
      <c r="X914" s="151" t="n"/>
      <c r="Y914" s="151" t="n"/>
      <c r="Z914" s="151" t="n"/>
      <c r="AA914" s="151" t="n"/>
      <c r="AB914" s="152" t="n"/>
      <c r="AC914" s="152" t="n"/>
      <c r="AD914" s="152" t="n"/>
      <c r="AE914" s="152" t="n"/>
      <c r="AF914" s="152" t="n"/>
    </row>
    <row r="915" ht="15.75" customHeight="1" s="201">
      <c r="A915" s="37" t="n"/>
      <c r="B915" s="37" t="n"/>
      <c r="C915" s="37" t="n"/>
      <c r="D915" s="37" t="n"/>
      <c r="E915" s="37" t="n"/>
      <c r="F915" s="148" t="n"/>
      <c r="G915" s="148" t="n"/>
      <c r="H915" s="148" t="n"/>
      <c r="I915" s="148" t="n"/>
      <c r="J915" s="149" t="n"/>
      <c r="K915" s="37" t="n"/>
      <c r="L915" s="148" t="n"/>
      <c r="M915" s="148" t="n"/>
      <c r="N915" s="148" t="n"/>
      <c r="O915" s="148" t="n"/>
      <c r="P915" s="148" t="n"/>
      <c r="Q915" s="148" t="n"/>
      <c r="R915" s="148" t="n"/>
      <c r="S915" s="148" t="n"/>
      <c r="T915" s="150" t="n"/>
      <c r="U915" s="150" t="n"/>
      <c r="V915" s="37" t="n"/>
      <c r="W915" s="151" t="n"/>
      <c r="X915" s="151" t="n"/>
      <c r="Y915" s="151" t="n"/>
      <c r="Z915" s="151" t="n"/>
      <c r="AA915" s="151" t="n"/>
      <c r="AB915" s="152" t="n"/>
      <c r="AC915" s="152" t="n"/>
      <c r="AD915" s="152" t="n"/>
      <c r="AE915" s="152" t="n"/>
      <c r="AF915" s="152" t="n"/>
    </row>
    <row r="916" ht="15.75" customHeight="1" s="201">
      <c r="A916" s="37" t="n"/>
      <c r="B916" s="37" t="n"/>
      <c r="C916" s="37" t="n"/>
      <c r="D916" s="37" t="n"/>
      <c r="E916" s="37" t="n"/>
      <c r="F916" s="148" t="n"/>
      <c r="G916" s="148" t="n"/>
      <c r="H916" s="148" t="n"/>
      <c r="I916" s="148" t="n"/>
      <c r="J916" s="149" t="n"/>
      <c r="K916" s="37" t="n"/>
      <c r="L916" s="148" t="n"/>
      <c r="M916" s="148" t="n"/>
      <c r="N916" s="148" t="n"/>
      <c r="O916" s="148" t="n"/>
      <c r="P916" s="148" t="n"/>
      <c r="Q916" s="148" t="n"/>
      <c r="R916" s="148" t="n"/>
      <c r="S916" s="148" t="n"/>
      <c r="T916" s="150" t="n"/>
      <c r="U916" s="150" t="n"/>
      <c r="V916" s="37" t="n"/>
      <c r="W916" s="151" t="n"/>
      <c r="X916" s="151" t="n"/>
      <c r="Y916" s="151" t="n"/>
      <c r="Z916" s="151" t="n"/>
      <c r="AA916" s="151" t="n"/>
      <c r="AB916" s="152" t="n"/>
      <c r="AC916" s="152" t="n"/>
      <c r="AD916" s="152" t="n"/>
      <c r="AE916" s="152" t="n"/>
      <c r="AF916" s="152" t="n"/>
    </row>
    <row r="917" ht="15.75" customHeight="1" s="201">
      <c r="A917" s="37" t="n"/>
      <c r="B917" s="37" t="n"/>
      <c r="C917" s="37" t="n"/>
      <c r="D917" s="37" t="n"/>
      <c r="E917" s="37" t="n"/>
      <c r="F917" s="148" t="n"/>
      <c r="G917" s="148" t="n"/>
      <c r="H917" s="148" t="n"/>
      <c r="I917" s="148" t="n"/>
      <c r="J917" s="149" t="n"/>
      <c r="K917" s="37" t="n"/>
      <c r="L917" s="148" t="n"/>
      <c r="M917" s="148" t="n"/>
      <c r="N917" s="148" t="n"/>
      <c r="O917" s="148" t="n"/>
      <c r="P917" s="148" t="n"/>
      <c r="Q917" s="148" t="n"/>
      <c r="R917" s="148" t="n"/>
      <c r="S917" s="148" t="n"/>
      <c r="T917" s="150" t="n"/>
      <c r="U917" s="150" t="n"/>
      <c r="V917" s="37" t="n"/>
      <c r="W917" s="151" t="n"/>
      <c r="X917" s="151" t="n"/>
      <c r="Y917" s="151" t="n"/>
      <c r="Z917" s="151" t="n"/>
      <c r="AA917" s="151" t="n"/>
      <c r="AB917" s="152" t="n"/>
      <c r="AC917" s="152" t="n"/>
      <c r="AD917" s="152" t="n"/>
      <c r="AE917" s="152" t="n"/>
      <c r="AF917" s="152" t="n"/>
    </row>
    <row r="918" ht="15.75" customHeight="1" s="201">
      <c r="A918" s="37" t="n"/>
      <c r="B918" s="37" t="n"/>
      <c r="C918" s="37" t="n"/>
      <c r="D918" s="37" t="n"/>
      <c r="E918" s="37" t="n"/>
      <c r="F918" s="148" t="n"/>
      <c r="G918" s="148" t="n"/>
      <c r="H918" s="148" t="n"/>
      <c r="I918" s="148" t="n"/>
      <c r="J918" s="149" t="n"/>
      <c r="K918" s="37" t="n"/>
      <c r="L918" s="148" t="n"/>
      <c r="M918" s="148" t="n"/>
      <c r="N918" s="148" t="n"/>
      <c r="O918" s="148" t="n"/>
      <c r="P918" s="148" t="n"/>
      <c r="Q918" s="148" t="n"/>
      <c r="R918" s="148" t="n"/>
      <c r="S918" s="148" t="n"/>
      <c r="T918" s="150" t="n"/>
      <c r="U918" s="150" t="n"/>
      <c r="V918" s="37" t="n"/>
      <c r="W918" s="151" t="n"/>
      <c r="X918" s="151" t="n"/>
      <c r="Y918" s="151" t="n"/>
      <c r="Z918" s="151" t="n"/>
      <c r="AA918" s="151" t="n"/>
      <c r="AB918" s="152" t="n"/>
      <c r="AC918" s="152" t="n"/>
      <c r="AD918" s="152" t="n"/>
      <c r="AE918" s="152" t="n"/>
      <c r="AF918" s="152" t="n"/>
    </row>
    <row r="919" ht="15.75" customHeight="1" s="201">
      <c r="A919" s="37" t="n"/>
      <c r="B919" s="37" t="n"/>
      <c r="C919" s="37" t="n"/>
      <c r="D919" s="37" t="n"/>
      <c r="E919" s="37" t="n"/>
      <c r="F919" s="148" t="n"/>
      <c r="G919" s="148" t="n"/>
      <c r="H919" s="148" t="n"/>
      <c r="I919" s="148" t="n"/>
      <c r="J919" s="149" t="n"/>
      <c r="K919" s="37" t="n"/>
      <c r="L919" s="148" t="n"/>
      <c r="M919" s="148" t="n"/>
      <c r="N919" s="148" t="n"/>
      <c r="O919" s="148" t="n"/>
      <c r="P919" s="148" t="n"/>
      <c r="Q919" s="148" t="n"/>
      <c r="R919" s="148" t="n"/>
      <c r="S919" s="148" t="n"/>
      <c r="T919" s="150" t="n"/>
      <c r="U919" s="150" t="n"/>
      <c r="V919" s="37" t="n"/>
      <c r="W919" s="151" t="n"/>
      <c r="X919" s="151" t="n"/>
      <c r="Y919" s="151" t="n"/>
      <c r="Z919" s="151" t="n"/>
      <c r="AA919" s="151" t="n"/>
      <c r="AB919" s="152" t="n"/>
      <c r="AC919" s="152" t="n"/>
      <c r="AD919" s="152" t="n"/>
      <c r="AE919" s="152" t="n"/>
      <c r="AF919" s="152" t="n"/>
    </row>
    <row r="920" ht="15.75" customHeight="1" s="201">
      <c r="A920" s="37" t="n"/>
      <c r="B920" s="37" t="n"/>
      <c r="C920" s="37" t="n"/>
      <c r="D920" s="37" t="n"/>
      <c r="E920" s="37" t="n"/>
      <c r="F920" s="148" t="n"/>
      <c r="G920" s="148" t="n"/>
      <c r="H920" s="148" t="n"/>
      <c r="I920" s="148" t="n"/>
      <c r="J920" s="149" t="n"/>
      <c r="K920" s="37" t="n"/>
      <c r="L920" s="148" t="n"/>
      <c r="M920" s="148" t="n"/>
      <c r="N920" s="148" t="n"/>
      <c r="O920" s="148" t="n"/>
      <c r="P920" s="148" t="n"/>
      <c r="Q920" s="148" t="n"/>
      <c r="R920" s="148" t="n"/>
      <c r="S920" s="148" t="n"/>
      <c r="T920" s="150" t="n"/>
      <c r="U920" s="150" t="n"/>
      <c r="V920" s="37" t="n"/>
      <c r="W920" s="151" t="n"/>
      <c r="X920" s="151" t="n"/>
      <c r="Y920" s="151" t="n"/>
      <c r="Z920" s="151" t="n"/>
      <c r="AA920" s="151" t="n"/>
      <c r="AB920" s="152" t="n"/>
      <c r="AC920" s="152" t="n"/>
      <c r="AD920" s="152" t="n"/>
      <c r="AE920" s="152" t="n"/>
      <c r="AF920" s="152" t="n"/>
    </row>
    <row r="921" ht="15.75" customHeight="1" s="201">
      <c r="A921" s="37" t="n"/>
      <c r="B921" s="37" t="n"/>
      <c r="C921" s="37" t="n"/>
      <c r="D921" s="37" t="n"/>
      <c r="E921" s="37" t="n"/>
      <c r="F921" s="148" t="n"/>
      <c r="G921" s="148" t="n"/>
      <c r="H921" s="148" t="n"/>
      <c r="I921" s="148" t="n"/>
      <c r="J921" s="149" t="n"/>
      <c r="K921" s="37" t="n"/>
      <c r="L921" s="148" t="n"/>
      <c r="M921" s="148" t="n"/>
      <c r="N921" s="148" t="n"/>
      <c r="O921" s="148" t="n"/>
      <c r="P921" s="148" t="n"/>
      <c r="Q921" s="148" t="n"/>
      <c r="R921" s="148" t="n"/>
      <c r="S921" s="148" t="n"/>
      <c r="T921" s="150" t="n"/>
      <c r="U921" s="150" t="n"/>
      <c r="V921" s="37" t="n"/>
      <c r="W921" s="151" t="n"/>
      <c r="X921" s="151" t="n"/>
      <c r="Y921" s="151" t="n"/>
      <c r="Z921" s="151" t="n"/>
      <c r="AA921" s="151" t="n"/>
      <c r="AB921" s="152" t="n"/>
      <c r="AC921" s="152" t="n"/>
      <c r="AD921" s="152" t="n"/>
      <c r="AE921" s="152" t="n"/>
      <c r="AF921" s="152" t="n"/>
    </row>
    <row r="922" ht="15.75" customHeight="1" s="201">
      <c r="A922" s="37" t="n"/>
      <c r="B922" s="37" t="n"/>
      <c r="C922" s="37" t="n"/>
      <c r="D922" s="37" t="n"/>
      <c r="E922" s="37" t="n"/>
      <c r="F922" s="148" t="n"/>
      <c r="G922" s="148" t="n"/>
      <c r="H922" s="148" t="n"/>
      <c r="I922" s="148" t="n"/>
      <c r="J922" s="149" t="n"/>
      <c r="K922" s="37" t="n"/>
      <c r="L922" s="148" t="n"/>
      <c r="M922" s="148" t="n"/>
      <c r="N922" s="148" t="n"/>
      <c r="O922" s="148" t="n"/>
      <c r="P922" s="148" t="n"/>
      <c r="Q922" s="148" t="n"/>
      <c r="R922" s="148" t="n"/>
      <c r="S922" s="148" t="n"/>
      <c r="T922" s="150" t="n"/>
      <c r="U922" s="150" t="n"/>
      <c r="V922" s="37" t="n"/>
      <c r="W922" s="151" t="n"/>
      <c r="X922" s="151" t="n"/>
      <c r="Y922" s="151" t="n"/>
      <c r="Z922" s="151" t="n"/>
      <c r="AA922" s="151" t="n"/>
      <c r="AB922" s="152" t="n"/>
      <c r="AC922" s="152" t="n"/>
      <c r="AD922" s="152" t="n"/>
      <c r="AE922" s="152" t="n"/>
      <c r="AF922" s="152" t="n"/>
    </row>
    <row r="923" ht="15.75" customHeight="1" s="201">
      <c r="A923" s="37" t="n"/>
      <c r="B923" s="37" t="n"/>
      <c r="C923" s="37" t="n"/>
      <c r="D923" s="37" t="n"/>
      <c r="E923" s="37" t="n"/>
      <c r="F923" s="148" t="n"/>
      <c r="G923" s="148" t="n"/>
      <c r="H923" s="148" t="n"/>
      <c r="I923" s="148" t="n"/>
      <c r="J923" s="149" t="n"/>
      <c r="K923" s="37" t="n"/>
      <c r="L923" s="148" t="n"/>
      <c r="M923" s="148" t="n"/>
      <c r="N923" s="148" t="n"/>
      <c r="O923" s="148" t="n"/>
      <c r="P923" s="148" t="n"/>
      <c r="Q923" s="148" t="n"/>
      <c r="R923" s="148" t="n"/>
      <c r="S923" s="148" t="n"/>
      <c r="T923" s="150" t="n"/>
      <c r="U923" s="150" t="n"/>
      <c r="V923" s="37" t="n"/>
      <c r="W923" s="151" t="n"/>
      <c r="X923" s="151" t="n"/>
      <c r="Y923" s="151" t="n"/>
      <c r="Z923" s="151" t="n"/>
      <c r="AA923" s="151" t="n"/>
      <c r="AB923" s="152" t="n"/>
      <c r="AC923" s="152" t="n"/>
      <c r="AD923" s="152" t="n"/>
      <c r="AE923" s="152" t="n"/>
      <c r="AF923" s="152" t="n"/>
    </row>
    <row r="924" ht="15.75" customHeight="1" s="201">
      <c r="A924" s="37" t="n"/>
      <c r="B924" s="37" t="n"/>
      <c r="C924" s="37" t="n"/>
      <c r="D924" s="37" t="n"/>
      <c r="E924" s="37" t="n"/>
      <c r="F924" s="148" t="n"/>
      <c r="G924" s="148" t="n"/>
      <c r="H924" s="148" t="n"/>
      <c r="I924" s="148" t="n"/>
      <c r="J924" s="149" t="n"/>
      <c r="K924" s="37" t="n"/>
      <c r="L924" s="148" t="n"/>
      <c r="M924" s="148" t="n"/>
      <c r="N924" s="148" t="n"/>
      <c r="O924" s="148" t="n"/>
      <c r="P924" s="148" t="n"/>
      <c r="Q924" s="148" t="n"/>
      <c r="R924" s="148" t="n"/>
      <c r="S924" s="148" t="n"/>
      <c r="T924" s="150" t="n"/>
      <c r="U924" s="150" t="n"/>
      <c r="V924" s="37" t="n"/>
      <c r="W924" s="151" t="n"/>
      <c r="X924" s="151" t="n"/>
      <c r="Y924" s="151" t="n"/>
      <c r="Z924" s="151" t="n"/>
      <c r="AA924" s="151" t="n"/>
      <c r="AB924" s="152" t="n"/>
      <c r="AC924" s="152" t="n"/>
      <c r="AD924" s="152" t="n"/>
      <c r="AE924" s="152" t="n"/>
      <c r="AF924" s="152" t="n"/>
    </row>
    <row r="925" ht="15.75" customHeight="1" s="201">
      <c r="A925" s="37" t="n"/>
      <c r="B925" s="37" t="n"/>
      <c r="C925" s="37" t="n"/>
      <c r="D925" s="37" t="n"/>
      <c r="E925" s="37" t="n"/>
      <c r="F925" s="148" t="n"/>
      <c r="G925" s="148" t="n"/>
      <c r="H925" s="148" t="n"/>
      <c r="I925" s="148" t="n"/>
      <c r="J925" s="149" t="n"/>
      <c r="K925" s="37" t="n"/>
      <c r="L925" s="148" t="n"/>
      <c r="M925" s="148" t="n"/>
      <c r="N925" s="148" t="n"/>
      <c r="O925" s="148" t="n"/>
      <c r="P925" s="148" t="n"/>
      <c r="Q925" s="148" t="n"/>
      <c r="R925" s="148" t="n"/>
      <c r="S925" s="148" t="n"/>
      <c r="T925" s="150" t="n"/>
      <c r="U925" s="150" t="n"/>
      <c r="V925" s="37" t="n"/>
      <c r="W925" s="151" t="n"/>
      <c r="X925" s="151" t="n"/>
      <c r="Y925" s="151" t="n"/>
      <c r="Z925" s="151" t="n"/>
      <c r="AA925" s="151" t="n"/>
      <c r="AB925" s="152" t="n"/>
      <c r="AC925" s="152" t="n"/>
      <c r="AD925" s="152" t="n"/>
      <c r="AE925" s="152" t="n"/>
      <c r="AF925" s="152" t="n"/>
    </row>
    <row r="926" ht="15.75" customHeight="1" s="201">
      <c r="A926" s="37" t="n"/>
      <c r="B926" s="37" t="n"/>
      <c r="C926" s="37" t="n"/>
      <c r="D926" s="37" t="n"/>
      <c r="E926" s="37" t="n"/>
      <c r="F926" s="148" t="n"/>
      <c r="G926" s="148" t="n"/>
      <c r="H926" s="148" t="n"/>
      <c r="I926" s="148" t="n"/>
      <c r="J926" s="149" t="n"/>
      <c r="K926" s="37" t="n"/>
      <c r="L926" s="148" t="n"/>
      <c r="M926" s="148" t="n"/>
      <c r="N926" s="148" t="n"/>
      <c r="O926" s="148" t="n"/>
      <c r="P926" s="148" t="n"/>
      <c r="Q926" s="148" t="n"/>
      <c r="R926" s="148" t="n"/>
      <c r="S926" s="148" t="n"/>
      <c r="T926" s="150" t="n"/>
      <c r="U926" s="150" t="n"/>
      <c r="V926" s="37" t="n"/>
      <c r="W926" s="151" t="n"/>
      <c r="X926" s="151" t="n"/>
      <c r="Y926" s="151" t="n"/>
      <c r="Z926" s="151" t="n"/>
      <c r="AA926" s="151" t="n"/>
      <c r="AB926" s="152" t="n"/>
      <c r="AC926" s="152" t="n"/>
      <c r="AD926" s="152" t="n"/>
      <c r="AE926" s="152" t="n"/>
      <c r="AF926" s="152" t="n"/>
    </row>
    <row r="927" ht="15.75" customHeight="1" s="201">
      <c r="A927" s="37" t="n"/>
      <c r="B927" s="37" t="n"/>
      <c r="C927" s="37" t="n"/>
      <c r="D927" s="37" t="n"/>
      <c r="E927" s="37" t="n"/>
      <c r="F927" s="148" t="n"/>
      <c r="G927" s="148" t="n"/>
      <c r="H927" s="148" t="n"/>
      <c r="I927" s="148" t="n"/>
      <c r="J927" s="149" t="n"/>
      <c r="K927" s="37" t="n"/>
      <c r="L927" s="148" t="n"/>
      <c r="M927" s="148" t="n"/>
      <c r="N927" s="148" t="n"/>
      <c r="O927" s="148" t="n"/>
      <c r="P927" s="148" t="n"/>
      <c r="Q927" s="148" t="n"/>
      <c r="R927" s="148" t="n"/>
      <c r="S927" s="148" t="n"/>
      <c r="T927" s="150" t="n"/>
      <c r="U927" s="150" t="n"/>
      <c r="V927" s="37" t="n"/>
      <c r="W927" s="151" t="n"/>
      <c r="X927" s="151" t="n"/>
      <c r="Y927" s="151" t="n"/>
      <c r="Z927" s="151" t="n"/>
      <c r="AA927" s="151" t="n"/>
      <c r="AB927" s="152" t="n"/>
      <c r="AC927" s="152" t="n"/>
      <c r="AD927" s="152" t="n"/>
      <c r="AE927" s="152" t="n"/>
      <c r="AF927" s="152" t="n"/>
    </row>
    <row r="928" ht="15.75" customHeight="1" s="201">
      <c r="A928" s="37" t="n"/>
      <c r="B928" s="37" t="n"/>
      <c r="C928" s="37" t="n"/>
      <c r="D928" s="37" t="n"/>
      <c r="E928" s="37" t="n"/>
      <c r="F928" s="148" t="n"/>
      <c r="G928" s="148" t="n"/>
      <c r="H928" s="148" t="n"/>
      <c r="I928" s="148" t="n"/>
      <c r="J928" s="149" t="n"/>
      <c r="K928" s="37" t="n"/>
      <c r="L928" s="148" t="n"/>
      <c r="M928" s="148" t="n"/>
      <c r="N928" s="148" t="n"/>
      <c r="O928" s="148" t="n"/>
      <c r="P928" s="148" t="n"/>
      <c r="Q928" s="148" t="n"/>
      <c r="R928" s="148" t="n"/>
      <c r="S928" s="148" t="n"/>
      <c r="T928" s="150" t="n"/>
      <c r="U928" s="150" t="n"/>
      <c r="V928" s="37" t="n"/>
      <c r="W928" s="151" t="n"/>
      <c r="X928" s="151" t="n"/>
      <c r="Y928" s="151" t="n"/>
      <c r="Z928" s="151" t="n"/>
      <c r="AA928" s="151" t="n"/>
      <c r="AB928" s="152" t="n"/>
      <c r="AC928" s="152" t="n"/>
      <c r="AD928" s="152" t="n"/>
      <c r="AE928" s="152" t="n"/>
      <c r="AF928" s="152" t="n"/>
    </row>
    <row r="929" ht="15.75" customHeight="1" s="201">
      <c r="A929" s="37" t="n"/>
      <c r="B929" s="37" t="n"/>
      <c r="C929" s="37" t="n"/>
      <c r="D929" s="37" t="n"/>
      <c r="E929" s="37" t="n"/>
      <c r="F929" s="148" t="n"/>
      <c r="G929" s="148" t="n"/>
      <c r="H929" s="148" t="n"/>
      <c r="I929" s="148" t="n"/>
      <c r="J929" s="149" t="n"/>
      <c r="K929" s="37" t="n"/>
      <c r="L929" s="148" t="n"/>
      <c r="M929" s="148" t="n"/>
      <c r="N929" s="148" t="n"/>
      <c r="O929" s="148" t="n"/>
      <c r="P929" s="148" t="n"/>
      <c r="Q929" s="148" t="n"/>
      <c r="R929" s="148" t="n"/>
      <c r="S929" s="148" t="n"/>
      <c r="T929" s="150" t="n"/>
      <c r="U929" s="150" t="n"/>
      <c r="V929" s="37" t="n"/>
      <c r="W929" s="151" t="n"/>
      <c r="X929" s="151" t="n"/>
      <c r="Y929" s="151" t="n"/>
      <c r="Z929" s="151" t="n"/>
      <c r="AA929" s="151" t="n"/>
      <c r="AB929" s="152" t="n"/>
      <c r="AC929" s="152" t="n"/>
      <c r="AD929" s="152" t="n"/>
      <c r="AE929" s="152" t="n"/>
      <c r="AF929" s="152" t="n"/>
    </row>
    <row r="930" ht="15.75" customHeight="1" s="201">
      <c r="A930" s="37" t="n"/>
      <c r="B930" s="37" t="n"/>
      <c r="C930" s="37" t="n"/>
      <c r="D930" s="37" t="n"/>
      <c r="E930" s="37" t="n"/>
      <c r="F930" s="148" t="n"/>
      <c r="G930" s="148" t="n"/>
      <c r="H930" s="148" t="n"/>
      <c r="I930" s="148" t="n"/>
      <c r="J930" s="149" t="n"/>
      <c r="K930" s="37" t="n"/>
      <c r="L930" s="148" t="n"/>
      <c r="M930" s="148" t="n"/>
      <c r="N930" s="148" t="n"/>
      <c r="O930" s="148" t="n"/>
      <c r="P930" s="148" t="n"/>
      <c r="Q930" s="148" t="n"/>
      <c r="R930" s="148" t="n"/>
      <c r="S930" s="148" t="n"/>
      <c r="T930" s="150" t="n"/>
      <c r="U930" s="150" t="n"/>
      <c r="V930" s="37" t="n"/>
      <c r="W930" s="151" t="n"/>
      <c r="X930" s="151" t="n"/>
      <c r="Y930" s="151" t="n"/>
      <c r="Z930" s="151" t="n"/>
      <c r="AA930" s="151" t="n"/>
      <c r="AB930" s="152" t="n"/>
      <c r="AC930" s="152" t="n"/>
      <c r="AD930" s="152" t="n"/>
      <c r="AE930" s="152" t="n"/>
      <c r="AF930" s="152" t="n"/>
    </row>
    <row r="931" ht="15.75" customHeight="1" s="201">
      <c r="A931" s="37" t="n"/>
      <c r="B931" s="37" t="n"/>
      <c r="C931" s="37" t="n"/>
      <c r="D931" s="37" t="n"/>
      <c r="E931" s="37" t="n"/>
      <c r="F931" s="148" t="n"/>
      <c r="G931" s="148" t="n"/>
      <c r="H931" s="148" t="n"/>
      <c r="I931" s="148" t="n"/>
      <c r="J931" s="149" t="n"/>
      <c r="K931" s="37" t="n"/>
      <c r="L931" s="148" t="n"/>
      <c r="M931" s="148" t="n"/>
      <c r="N931" s="148" t="n"/>
      <c r="O931" s="148" t="n"/>
      <c r="P931" s="148" t="n"/>
      <c r="Q931" s="148" t="n"/>
      <c r="R931" s="148" t="n"/>
      <c r="S931" s="148" t="n"/>
      <c r="T931" s="150" t="n"/>
      <c r="U931" s="150" t="n"/>
      <c r="V931" s="37" t="n"/>
      <c r="W931" s="151" t="n"/>
      <c r="X931" s="151" t="n"/>
      <c r="Y931" s="151" t="n"/>
      <c r="Z931" s="151" t="n"/>
      <c r="AA931" s="151" t="n"/>
      <c r="AB931" s="152" t="n"/>
      <c r="AC931" s="152" t="n"/>
      <c r="AD931" s="152" t="n"/>
      <c r="AE931" s="152" t="n"/>
      <c r="AF931" s="152" t="n"/>
    </row>
    <row r="932" ht="15.75" customHeight="1" s="201">
      <c r="A932" s="37" t="n"/>
      <c r="B932" s="37" t="n"/>
      <c r="C932" s="37" t="n"/>
      <c r="D932" s="37" t="n"/>
      <c r="E932" s="37" t="n"/>
      <c r="F932" s="148" t="n"/>
      <c r="G932" s="148" t="n"/>
      <c r="H932" s="148" t="n"/>
      <c r="I932" s="148" t="n"/>
      <c r="J932" s="149" t="n"/>
      <c r="K932" s="37" t="n"/>
      <c r="L932" s="148" t="n"/>
      <c r="M932" s="148" t="n"/>
      <c r="N932" s="148" t="n"/>
      <c r="O932" s="148" t="n"/>
      <c r="P932" s="148" t="n"/>
      <c r="Q932" s="148" t="n"/>
      <c r="R932" s="148" t="n"/>
      <c r="S932" s="148" t="n"/>
      <c r="T932" s="150" t="n"/>
      <c r="U932" s="150" t="n"/>
      <c r="V932" s="37" t="n"/>
      <c r="W932" s="151" t="n"/>
      <c r="X932" s="151" t="n"/>
      <c r="Y932" s="151" t="n"/>
      <c r="Z932" s="151" t="n"/>
      <c r="AA932" s="151" t="n"/>
      <c r="AB932" s="152" t="n"/>
      <c r="AC932" s="152" t="n"/>
      <c r="AD932" s="152" t="n"/>
      <c r="AE932" s="152" t="n"/>
      <c r="AF932" s="152" t="n"/>
    </row>
    <row r="933" ht="15.75" customHeight="1" s="201">
      <c r="A933" s="37" t="n"/>
      <c r="B933" s="37" t="n"/>
      <c r="C933" s="37" t="n"/>
      <c r="D933" s="37" t="n"/>
      <c r="E933" s="37" t="n"/>
      <c r="F933" s="148" t="n"/>
      <c r="G933" s="148" t="n"/>
      <c r="H933" s="148" t="n"/>
      <c r="I933" s="148" t="n"/>
      <c r="J933" s="149" t="n"/>
      <c r="K933" s="37" t="n"/>
      <c r="L933" s="148" t="n"/>
      <c r="M933" s="148" t="n"/>
      <c r="N933" s="148" t="n"/>
      <c r="O933" s="148" t="n"/>
      <c r="P933" s="148" t="n"/>
      <c r="Q933" s="148" t="n"/>
      <c r="R933" s="148" t="n"/>
      <c r="S933" s="148" t="n"/>
      <c r="T933" s="150" t="n"/>
      <c r="U933" s="150" t="n"/>
      <c r="V933" s="37" t="n"/>
      <c r="W933" s="151" t="n"/>
      <c r="X933" s="151" t="n"/>
      <c r="Y933" s="151" t="n"/>
      <c r="Z933" s="151" t="n"/>
      <c r="AA933" s="151" t="n"/>
      <c r="AB933" s="152" t="n"/>
      <c r="AC933" s="152" t="n"/>
      <c r="AD933" s="152" t="n"/>
      <c r="AE933" s="152" t="n"/>
      <c r="AF933" s="152" t="n"/>
    </row>
    <row r="934" ht="15.75" customHeight="1" s="201">
      <c r="A934" s="37" t="n"/>
      <c r="B934" s="37" t="n"/>
      <c r="C934" s="37" t="n"/>
      <c r="D934" s="37" t="n"/>
      <c r="E934" s="37" t="n"/>
      <c r="F934" s="148" t="n"/>
      <c r="G934" s="148" t="n"/>
      <c r="H934" s="148" t="n"/>
      <c r="I934" s="148" t="n"/>
      <c r="J934" s="149" t="n"/>
      <c r="K934" s="37" t="n"/>
      <c r="L934" s="148" t="n"/>
      <c r="M934" s="148" t="n"/>
      <c r="N934" s="148" t="n"/>
      <c r="O934" s="148" t="n"/>
      <c r="P934" s="148" t="n"/>
      <c r="Q934" s="148" t="n"/>
      <c r="R934" s="148" t="n"/>
      <c r="S934" s="148" t="n"/>
      <c r="T934" s="150" t="n"/>
      <c r="U934" s="150" t="n"/>
      <c r="V934" s="37" t="n"/>
      <c r="W934" s="151" t="n"/>
      <c r="X934" s="151" t="n"/>
      <c r="Y934" s="151" t="n"/>
      <c r="Z934" s="151" t="n"/>
      <c r="AA934" s="151" t="n"/>
      <c r="AB934" s="152" t="n"/>
      <c r="AC934" s="152" t="n"/>
      <c r="AD934" s="152" t="n"/>
      <c r="AE934" s="152" t="n"/>
      <c r="AF934" s="152" t="n"/>
    </row>
    <row r="935" ht="15.75" customHeight="1" s="201">
      <c r="A935" s="37" t="n"/>
      <c r="B935" s="37" t="n"/>
      <c r="C935" s="37" t="n"/>
      <c r="D935" s="37" t="n"/>
      <c r="E935" s="37" t="n"/>
      <c r="F935" s="148" t="n"/>
      <c r="G935" s="148" t="n"/>
      <c r="H935" s="148" t="n"/>
      <c r="I935" s="148" t="n"/>
      <c r="J935" s="149" t="n"/>
      <c r="K935" s="37" t="n"/>
      <c r="L935" s="148" t="n"/>
      <c r="M935" s="148" t="n"/>
      <c r="N935" s="148" t="n"/>
      <c r="O935" s="148" t="n"/>
      <c r="P935" s="148" t="n"/>
      <c r="Q935" s="148" t="n"/>
      <c r="R935" s="148" t="n"/>
      <c r="S935" s="148" t="n"/>
      <c r="T935" s="150" t="n"/>
      <c r="U935" s="150" t="n"/>
      <c r="V935" s="37" t="n"/>
      <c r="W935" s="151" t="n"/>
      <c r="X935" s="151" t="n"/>
      <c r="Y935" s="151" t="n"/>
      <c r="Z935" s="151" t="n"/>
      <c r="AA935" s="151" t="n"/>
      <c r="AB935" s="152" t="n"/>
      <c r="AC935" s="152" t="n"/>
      <c r="AD935" s="152" t="n"/>
      <c r="AE935" s="152" t="n"/>
      <c r="AF935" s="152" t="n"/>
    </row>
    <row r="936" ht="15.75" customHeight="1" s="201">
      <c r="A936" s="37" t="n"/>
      <c r="B936" s="37" t="n"/>
      <c r="C936" s="37" t="n"/>
      <c r="D936" s="37" t="n"/>
      <c r="E936" s="37" t="n"/>
      <c r="F936" s="148" t="n"/>
      <c r="G936" s="148" t="n"/>
      <c r="H936" s="148" t="n"/>
      <c r="I936" s="148" t="n"/>
      <c r="J936" s="149" t="n"/>
      <c r="K936" s="37" t="n"/>
      <c r="L936" s="148" t="n"/>
      <c r="M936" s="148" t="n"/>
      <c r="N936" s="148" t="n"/>
      <c r="O936" s="148" t="n"/>
      <c r="P936" s="148" t="n"/>
      <c r="Q936" s="148" t="n"/>
      <c r="R936" s="148" t="n"/>
      <c r="S936" s="148" t="n"/>
      <c r="T936" s="150" t="n"/>
      <c r="U936" s="150" t="n"/>
      <c r="V936" s="37" t="n"/>
      <c r="W936" s="151" t="n"/>
      <c r="X936" s="151" t="n"/>
      <c r="Y936" s="151" t="n"/>
      <c r="Z936" s="151" t="n"/>
      <c r="AA936" s="151" t="n"/>
      <c r="AB936" s="152" t="n"/>
      <c r="AC936" s="152" t="n"/>
      <c r="AD936" s="152" t="n"/>
      <c r="AE936" s="152" t="n"/>
      <c r="AF936" s="152" t="n"/>
    </row>
    <row r="937" ht="15.75" customHeight="1" s="201">
      <c r="A937" s="37" t="n"/>
      <c r="B937" s="37" t="n"/>
      <c r="C937" s="37" t="n"/>
      <c r="D937" s="37" t="n"/>
      <c r="E937" s="37" t="n"/>
      <c r="F937" s="148" t="n"/>
      <c r="G937" s="148" t="n"/>
      <c r="H937" s="148" t="n"/>
      <c r="I937" s="148" t="n"/>
      <c r="J937" s="149" t="n"/>
      <c r="K937" s="37" t="n"/>
      <c r="L937" s="148" t="n"/>
      <c r="M937" s="148" t="n"/>
      <c r="N937" s="148" t="n"/>
      <c r="O937" s="148" t="n"/>
      <c r="P937" s="148" t="n"/>
      <c r="Q937" s="148" t="n"/>
      <c r="R937" s="148" t="n"/>
      <c r="S937" s="148" t="n"/>
      <c r="T937" s="150" t="n"/>
      <c r="U937" s="150" t="n"/>
      <c r="V937" s="37" t="n"/>
      <c r="W937" s="151" t="n"/>
      <c r="X937" s="151" t="n"/>
      <c r="Y937" s="151" t="n"/>
      <c r="Z937" s="151" t="n"/>
      <c r="AA937" s="151" t="n"/>
      <c r="AB937" s="152" t="n"/>
      <c r="AC937" s="152" t="n"/>
      <c r="AD937" s="152" t="n"/>
      <c r="AE937" s="152" t="n"/>
      <c r="AF937" s="152" t="n"/>
    </row>
    <row r="938" ht="15.75" customHeight="1" s="201">
      <c r="A938" s="37" t="n"/>
      <c r="B938" s="37" t="n"/>
      <c r="C938" s="37" t="n"/>
      <c r="D938" s="37" t="n"/>
      <c r="E938" s="37" t="n"/>
      <c r="F938" s="148" t="n"/>
      <c r="G938" s="148" t="n"/>
      <c r="H938" s="148" t="n"/>
      <c r="I938" s="148" t="n"/>
      <c r="J938" s="149" t="n"/>
      <c r="K938" s="37" t="n"/>
      <c r="L938" s="148" t="n"/>
      <c r="M938" s="148" t="n"/>
      <c r="N938" s="148" t="n"/>
      <c r="O938" s="148" t="n"/>
      <c r="P938" s="148" t="n"/>
      <c r="Q938" s="148" t="n"/>
      <c r="R938" s="148" t="n"/>
      <c r="S938" s="148" t="n"/>
      <c r="T938" s="150" t="n"/>
      <c r="U938" s="150" t="n"/>
      <c r="V938" s="37" t="n"/>
      <c r="W938" s="151" t="n"/>
      <c r="X938" s="151" t="n"/>
      <c r="Y938" s="151" t="n"/>
      <c r="Z938" s="151" t="n"/>
      <c r="AA938" s="151" t="n"/>
      <c r="AB938" s="152" t="n"/>
      <c r="AC938" s="152" t="n"/>
      <c r="AD938" s="152" t="n"/>
      <c r="AE938" s="152" t="n"/>
      <c r="AF938" s="152" t="n"/>
    </row>
    <row r="939" ht="15.75" customHeight="1" s="201">
      <c r="A939" s="37" t="n"/>
      <c r="B939" s="37" t="n"/>
      <c r="C939" s="37" t="n"/>
      <c r="D939" s="37" t="n"/>
      <c r="E939" s="37" t="n"/>
      <c r="F939" s="148" t="n"/>
      <c r="G939" s="148" t="n"/>
      <c r="H939" s="148" t="n"/>
      <c r="I939" s="148" t="n"/>
      <c r="J939" s="149" t="n"/>
      <c r="K939" s="37" t="n"/>
      <c r="L939" s="148" t="n"/>
      <c r="M939" s="148" t="n"/>
      <c r="N939" s="148" t="n"/>
      <c r="O939" s="148" t="n"/>
      <c r="P939" s="148" t="n"/>
      <c r="Q939" s="148" t="n"/>
      <c r="R939" s="148" t="n"/>
      <c r="S939" s="148" t="n"/>
      <c r="T939" s="150" t="n"/>
      <c r="U939" s="150" t="n"/>
      <c r="V939" s="37" t="n"/>
      <c r="W939" s="151" t="n"/>
      <c r="X939" s="151" t="n"/>
      <c r="Y939" s="151" t="n"/>
      <c r="Z939" s="151" t="n"/>
      <c r="AA939" s="151" t="n"/>
      <c r="AB939" s="152" t="n"/>
      <c r="AC939" s="152" t="n"/>
      <c r="AD939" s="152" t="n"/>
      <c r="AE939" s="152" t="n"/>
      <c r="AF939" s="152" t="n"/>
    </row>
    <row r="940" ht="15.75" customHeight="1" s="201">
      <c r="A940" s="37" t="n"/>
      <c r="B940" s="37" t="n"/>
      <c r="C940" s="37" t="n"/>
      <c r="D940" s="37" t="n"/>
      <c r="E940" s="37" t="n"/>
      <c r="F940" s="148" t="n"/>
      <c r="G940" s="148" t="n"/>
      <c r="H940" s="148" t="n"/>
      <c r="I940" s="148" t="n"/>
      <c r="J940" s="149" t="n"/>
      <c r="K940" s="37" t="n"/>
      <c r="L940" s="148" t="n"/>
      <c r="M940" s="148" t="n"/>
      <c r="N940" s="148" t="n"/>
      <c r="O940" s="148" t="n"/>
      <c r="P940" s="148" t="n"/>
      <c r="Q940" s="148" t="n"/>
      <c r="R940" s="148" t="n"/>
      <c r="S940" s="148" t="n"/>
      <c r="T940" s="150" t="n"/>
      <c r="U940" s="150" t="n"/>
      <c r="V940" s="37" t="n"/>
      <c r="W940" s="151" t="n"/>
      <c r="X940" s="151" t="n"/>
      <c r="Y940" s="151" t="n"/>
      <c r="Z940" s="151" t="n"/>
      <c r="AA940" s="151" t="n"/>
      <c r="AB940" s="152" t="n"/>
      <c r="AC940" s="152" t="n"/>
      <c r="AD940" s="152" t="n"/>
      <c r="AE940" s="152" t="n"/>
      <c r="AF940" s="152" t="n"/>
    </row>
    <row r="941" ht="15.75" customHeight="1" s="201">
      <c r="A941" s="37" t="n"/>
      <c r="B941" s="37" t="n"/>
      <c r="C941" s="37" t="n"/>
      <c r="D941" s="37" t="n"/>
      <c r="E941" s="37" t="n"/>
      <c r="F941" s="148" t="n"/>
      <c r="G941" s="148" t="n"/>
      <c r="H941" s="148" t="n"/>
      <c r="I941" s="148" t="n"/>
      <c r="J941" s="149" t="n"/>
      <c r="K941" s="37" t="n"/>
      <c r="L941" s="148" t="n"/>
      <c r="M941" s="148" t="n"/>
      <c r="N941" s="148" t="n"/>
      <c r="O941" s="148" t="n"/>
      <c r="P941" s="148" t="n"/>
      <c r="Q941" s="148" t="n"/>
      <c r="R941" s="148" t="n"/>
      <c r="S941" s="148" t="n"/>
      <c r="T941" s="150" t="n"/>
      <c r="U941" s="150" t="n"/>
      <c r="V941" s="37" t="n"/>
      <c r="W941" s="151" t="n"/>
      <c r="X941" s="151" t="n"/>
      <c r="Y941" s="151" t="n"/>
      <c r="Z941" s="151" t="n"/>
      <c r="AA941" s="151" t="n"/>
      <c r="AB941" s="152" t="n"/>
      <c r="AC941" s="152" t="n"/>
      <c r="AD941" s="152" t="n"/>
      <c r="AE941" s="152" t="n"/>
      <c r="AF941" s="152" t="n"/>
    </row>
    <row r="942" ht="15.75" customHeight="1" s="201">
      <c r="A942" s="37" t="n"/>
      <c r="B942" s="37" t="n"/>
      <c r="C942" s="37" t="n"/>
      <c r="D942" s="37" t="n"/>
      <c r="E942" s="37" t="n"/>
      <c r="F942" s="148" t="n"/>
      <c r="G942" s="148" t="n"/>
      <c r="H942" s="148" t="n"/>
      <c r="I942" s="148" t="n"/>
      <c r="J942" s="149" t="n"/>
      <c r="K942" s="37" t="n"/>
      <c r="L942" s="148" t="n"/>
      <c r="M942" s="148" t="n"/>
      <c r="N942" s="148" t="n"/>
      <c r="O942" s="148" t="n"/>
      <c r="P942" s="148" t="n"/>
      <c r="Q942" s="148" t="n"/>
      <c r="R942" s="148" t="n"/>
      <c r="S942" s="148" t="n"/>
      <c r="T942" s="150" t="n"/>
      <c r="U942" s="150" t="n"/>
      <c r="V942" s="37" t="n"/>
      <c r="W942" s="151" t="n"/>
      <c r="X942" s="151" t="n"/>
      <c r="Y942" s="151" t="n"/>
      <c r="Z942" s="151" t="n"/>
      <c r="AA942" s="151" t="n"/>
      <c r="AB942" s="152" t="n"/>
      <c r="AC942" s="152" t="n"/>
      <c r="AD942" s="152" t="n"/>
      <c r="AE942" s="152" t="n"/>
      <c r="AF942" s="152" t="n"/>
    </row>
    <row r="943" ht="15.75" customHeight="1" s="201">
      <c r="A943" s="37" t="n"/>
      <c r="B943" s="37" t="n"/>
      <c r="C943" s="37" t="n"/>
      <c r="D943" s="37" t="n"/>
      <c r="E943" s="37" t="n"/>
      <c r="F943" s="148" t="n"/>
      <c r="G943" s="148" t="n"/>
      <c r="H943" s="148" t="n"/>
      <c r="I943" s="148" t="n"/>
      <c r="J943" s="149" t="n"/>
      <c r="K943" s="37" t="n"/>
      <c r="L943" s="148" t="n"/>
      <c r="M943" s="148" t="n"/>
      <c r="N943" s="148" t="n"/>
      <c r="O943" s="148" t="n"/>
      <c r="P943" s="148" t="n"/>
      <c r="Q943" s="148" t="n"/>
      <c r="R943" s="148" t="n"/>
      <c r="S943" s="148" t="n"/>
      <c r="T943" s="150" t="n"/>
      <c r="U943" s="150" t="n"/>
      <c r="V943" s="37" t="n"/>
      <c r="W943" s="151" t="n"/>
      <c r="X943" s="151" t="n"/>
      <c r="Y943" s="151" t="n"/>
      <c r="Z943" s="151" t="n"/>
      <c r="AA943" s="151" t="n"/>
      <c r="AB943" s="152" t="n"/>
      <c r="AC943" s="152" t="n"/>
      <c r="AD943" s="152" t="n"/>
      <c r="AE943" s="152" t="n"/>
      <c r="AF943" s="152" t="n"/>
    </row>
    <row r="944" ht="15.75" customHeight="1" s="201">
      <c r="A944" s="37" t="n"/>
      <c r="B944" s="37" t="n"/>
      <c r="C944" s="37" t="n"/>
      <c r="D944" s="37" t="n"/>
      <c r="E944" s="37" t="n"/>
      <c r="F944" s="148" t="n"/>
      <c r="G944" s="148" t="n"/>
      <c r="H944" s="148" t="n"/>
      <c r="I944" s="148" t="n"/>
      <c r="J944" s="149" t="n"/>
      <c r="K944" s="37" t="n"/>
      <c r="L944" s="148" t="n"/>
      <c r="M944" s="148" t="n"/>
      <c r="N944" s="148" t="n"/>
      <c r="O944" s="148" t="n"/>
      <c r="P944" s="148" t="n"/>
      <c r="Q944" s="148" t="n"/>
      <c r="R944" s="148" t="n"/>
      <c r="S944" s="148" t="n"/>
      <c r="T944" s="150" t="n"/>
      <c r="U944" s="150" t="n"/>
      <c r="V944" s="37" t="n"/>
      <c r="W944" s="151" t="n"/>
      <c r="X944" s="151" t="n"/>
      <c r="Y944" s="151" t="n"/>
      <c r="Z944" s="151" t="n"/>
      <c r="AA944" s="151" t="n"/>
      <c r="AB944" s="152" t="n"/>
      <c r="AC944" s="152" t="n"/>
      <c r="AD944" s="152" t="n"/>
      <c r="AE944" s="152" t="n"/>
      <c r="AF944" s="152" t="n"/>
    </row>
    <row r="945" ht="15.75" customHeight="1" s="201">
      <c r="A945" s="37" t="n"/>
      <c r="B945" s="37" t="n"/>
      <c r="C945" s="37" t="n"/>
      <c r="D945" s="37" t="n"/>
      <c r="E945" s="37" t="n"/>
      <c r="F945" s="148" t="n"/>
      <c r="G945" s="148" t="n"/>
      <c r="H945" s="148" t="n"/>
      <c r="I945" s="148" t="n"/>
      <c r="J945" s="149" t="n"/>
      <c r="K945" s="37" t="n"/>
      <c r="L945" s="148" t="n"/>
      <c r="M945" s="148" t="n"/>
      <c r="N945" s="148" t="n"/>
      <c r="O945" s="148" t="n"/>
      <c r="P945" s="148" t="n"/>
      <c r="Q945" s="148" t="n"/>
      <c r="R945" s="148" t="n"/>
      <c r="S945" s="148" t="n"/>
      <c r="T945" s="150" t="n"/>
      <c r="U945" s="150" t="n"/>
      <c r="V945" s="37" t="n"/>
      <c r="W945" s="151" t="n"/>
      <c r="X945" s="151" t="n"/>
      <c r="Y945" s="151" t="n"/>
      <c r="Z945" s="151" t="n"/>
      <c r="AA945" s="151" t="n"/>
      <c r="AB945" s="152" t="n"/>
      <c r="AC945" s="152" t="n"/>
      <c r="AD945" s="152" t="n"/>
      <c r="AE945" s="152" t="n"/>
      <c r="AF945" s="152" t="n"/>
    </row>
    <row r="946" ht="15.75" customHeight="1" s="201">
      <c r="A946" s="37" t="n"/>
      <c r="B946" s="37" t="n"/>
      <c r="C946" s="37" t="n"/>
      <c r="D946" s="37" t="n"/>
      <c r="E946" s="37" t="n"/>
      <c r="F946" s="148" t="n"/>
      <c r="G946" s="148" t="n"/>
      <c r="H946" s="148" t="n"/>
      <c r="I946" s="148" t="n"/>
      <c r="J946" s="149" t="n"/>
      <c r="K946" s="37" t="n"/>
      <c r="L946" s="148" t="n"/>
      <c r="M946" s="148" t="n"/>
      <c r="N946" s="148" t="n"/>
      <c r="O946" s="148" t="n"/>
      <c r="P946" s="148" t="n"/>
      <c r="Q946" s="148" t="n"/>
      <c r="R946" s="148" t="n"/>
      <c r="S946" s="148" t="n"/>
      <c r="T946" s="150" t="n"/>
      <c r="U946" s="150" t="n"/>
      <c r="V946" s="37" t="n"/>
      <c r="W946" s="151" t="n"/>
      <c r="X946" s="151" t="n"/>
      <c r="Y946" s="151" t="n"/>
      <c r="Z946" s="151" t="n"/>
      <c r="AA946" s="151" t="n"/>
      <c r="AB946" s="152" t="n"/>
      <c r="AC946" s="152" t="n"/>
      <c r="AD946" s="152" t="n"/>
      <c r="AE946" s="152" t="n"/>
      <c r="AF946" s="152" t="n"/>
    </row>
    <row r="947" ht="15.75" customHeight="1" s="201">
      <c r="A947" s="37" t="n"/>
      <c r="B947" s="37" t="n"/>
      <c r="C947" s="37" t="n"/>
      <c r="D947" s="37" t="n"/>
      <c r="E947" s="37" t="n"/>
      <c r="F947" s="148" t="n"/>
      <c r="G947" s="148" t="n"/>
      <c r="H947" s="148" t="n"/>
      <c r="I947" s="148" t="n"/>
      <c r="J947" s="149" t="n"/>
      <c r="K947" s="37" t="n"/>
      <c r="L947" s="148" t="n"/>
      <c r="M947" s="148" t="n"/>
      <c r="N947" s="148" t="n"/>
      <c r="O947" s="148" t="n"/>
      <c r="P947" s="148" t="n"/>
      <c r="Q947" s="148" t="n"/>
      <c r="R947" s="148" t="n"/>
      <c r="S947" s="148" t="n"/>
      <c r="T947" s="150" t="n"/>
      <c r="U947" s="150" t="n"/>
      <c r="V947" s="37" t="n"/>
      <c r="W947" s="151" t="n"/>
      <c r="X947" s="151" t="n"/>
      <c r="Y947" s="151" t="n"/>
      <c r="Z947" s="151" t="n"/>
      <c r="AA947" s="151" t="n"/>
      <c r="AB947" s="152" t="n"/>
      <c r="AC947" s="152" t="n"/>
      <c r="AD947" s="152" t="n"/>
      <c r="AE947" s="152" t="n"/>
      <c r="AF947" s="152" t="n"/>
    </row>
    <row r="948" ht="15.75" customHeight="1" s="201">
      <c r="A948" s="37" t="n"/>
      <c r="B948" s="37" t="n"/>
      <c r="C948" s="37" t="n"/>
      <c r="D948" s="37" t="n"/>
      <c r="E948" s="37" t="n"/>
      <c r="F948" s="148" t="n"/>
      <c r="G948" s="148" t="n"/>
      <c r="H948" s="148" t="n"/>
      <c r="I948" s="148" t="n"/>
      <c r="J948" s="149" t="n"/>
      <c r="K948" s="37" t="n"/>
      <c r="L948" s="148" t="n"/>
      <c r="M948" s="148" t="n"/>
      <c r="N948" s="148" t="n"/>
      <c r="O948" s="148" t="n"/>
      <c r="P948" s="148" t="n"/>
      <c r="Q948" s="148" t="n"/>
      <c r="R948" s="148" t="n"/>
      <c r="S948" s="148" t="n"/>
      <c r="T948" s="150" t="n"/>
      <c r="U948" s="150" t="n"/>
      <c r="V948" s="37" t="n"/>
      <c r="W948" s="151" t="n"/>
      <c r="X948" s="151" t="n"/>
      <c r="Y948" s="151" t="n"/>
      <c r="Z948" s="151" t="n"/>
      <c r="AA948" s="151" t="n"/>
      <c r="AB948" s="152" t="n"/>
      <c r="AC948" s="152" t="n"/>
      <c r="AD948" s="152" t="n"/>
      <c r="AE948" s="152" t="n"/>
      <c r="AF948" s="152" t="n"/>
    </row>
    <row r="949" ht="15.75" customHeight="1" s="201">
      <c r="A949" s="37" t="n"/>
      <c r="B949" s="37" t="n"/>
      <c r="C949" s="37" t="n"/>
      <c r="D949" s="37" t="n"/>
      <c r="E949" s="37" t="n"/>
      <c r="F949" s="148" t="n"/>
      <c r="G949" s="148" t="n"/>
      <c r="H949" s="148" t="n"/>
      <c r="I949" s="148" t="n"/>
      <c r="J949" s="149" t="n"/>
      <c r="K949" s="37" t="n"/>
      <c r="L949" s="148" t="n"/>
      <c r="M949" s="148" t="n"/>
      <c r="N949" s="148" t="n"/>
      <c r="O949" s="148" t="n"/>
      <c r="P949" s="148" t="n"/>
      <c r="Q949" s="148" t="n"/>
      <c r="R949" s="148" t="n"/>
      <c r="S949" s="148" t="n"/>
      <c r="T949" s="150" t="n"/>
      <c r="U949" s="150" t="n"/>
      <c r="V949" s="37" t="n"/>
      <c r="W949" s="151" t="n"/>
      <c r="X949" s="151" t="n"/>
      <c r="Y949" s="151" t="n"/>
      <c r="Z949" s="151" t="n"/>
      <c r="AA949" s="151" t="n"/>
      <c r="AB949" s="152" t="n"/>
      <c r="AC949" s="152" t="n"/>
      <c r="AD949" s="152" t="n"/>
      <c r="AE949" s="152" t="n"/>
      <c r="AF949" s="152" t="n"/>
    </row>
    <row r="950" ht="15.75" customHeight="1" s="201">
      <c r="A950" s="37" t="n"/>
      <c r="B950" s="37" t="n"/>
      <c r="C950" s="37" t="n"/>
      <c r="D950" s="37" t="n"/>
      <c r="E950" s="37" t="n"/>
      <c r="F950" s="148" t="n"/>
      <c r="G950" s="148" t="n"/>
      <c r="H950" s="148" t="n"/>
      <c r="I950" s="148" t="n"/>
      <c r="J950" s="149" t="n"/>
      <c r="K950" s="37" t="n"/>
      <c r="L950" s="148" t="n"/>
      <c r="M950" s="148" t="n"/>
      <c r="N950" s="148" t="n"/>
      <c r="O950" s="148" t="n"/>
      <c r="P950" s="148" t="n"/>
      <c r="Q950" s="148" t="n"/>
      <c r="R950" s="148" t="n"/>
      <c r="S950" s="148" t="n"/>
      <c r="T950" s="150" t="n"/>
      <c r="U950" s="150" t="n"/>
      <c r="V950" s="37" t="n"/>
      <c r="W950" s="151" t="n"/>
      <c r="X950" s="151" t="n"/>
      <c r="Y950" s="151" t="n"/>
      <c r="Z950" s="151" t="n"/>
      <c r="AA950" s="151" t="n"/>
      <c r="AB950" s="152" t="n"/>
      <c r="AC950" s="152" t="n"/>
      <c r="AD950" s="152" t="n"/>
      <c r="AE950" s="152" t="n"/>
      <c r="AF950" s="152" t="n"/>
    </row>
    <row r="951" ht="15.75" customHeight="1" s="201">
      <c r="A951" s="37" t="n"/>
      <c r="B951" s="37" t="n"/>
      <c r="C951" s="37" t="n"/>
      <c r="D951" s="37" t="n"/>
      <c r="E951" s="37" t="n"/>
      <c r="F951" s="148" t="n"/>
      <c r="G951" s="148" t="n"/>
      <c r="H951" s="148" t="n"/>
      <c r="I951" s="148" t="n"/>
      <c r="J951" s="149" t="n"/>
      <c r="K951" s="37" t="n"/>
      <c r="L951" s="148" t="n"/>
      <c r="M951" s="148" t="n"/>
      <c r="N951" s="148" t="n"/>
      <c r="O951" s="148" t="n"/>
      <c r="P951" s="148" t="n"/>
      <c r="Q951" s="148" t="n"/>
      <c r="R951" s="148" t="n"/>
      <c r="S951" s="148" t="n"/>
      <c r="T951" s="150" t="n"/>
      <c r="U951" s="150" t="n"/>
      <c r="V951" s="37" t="n"/>
      <c r="W951" s="151" t="n"/>
      <c r="X951" s="151" t="n"/>
      <c r="Y951" s="151" t="n"/>
      <c r="Z951" s="151" t="n"/>
      <c r="AA951" s="151" t="n"/>
      <c r="AB951" s="152" t="n"/>
      <c r="AC951" s="152" t="n"/>
      <c r="AD951" s="152" t="n"/>
      <c r="AE951" s="152" t="n"/>
      <c r="AF951" s="152" t="n"/>
    </row>
    <row r="952" ht="15.75" customHeight="1" s="201">
      <c r="A952" s="37" t="n"/>
      <c r="B952" s="37" t="n"/>
      <c r="C952" s="37" t="n"/>
      <c r="D952" s="37" t="n"/>
      <c r="E952" s="37" t="n"/>
      <c r="F952" s="148" t="n"/>
      <c r="G952" s="148" t="n"/>
      <c r="H952" s="148" t="n"/>
      <c r="I952" s="148" t="n"/>
      <c r="J952" s="149" t="n"/>
      <c r="K952" s="37" t="n"/>
      <c r="L952" s="148" t="n"/>
      <c r="M952" s="148" t="n"/>
      <c r="N952" s="148" t="n"/>
      <c r="O952" s="148" t="n"/>
      <c r="P952" s="148" t="n"/>
      <c r="Q952" s="148" t="n"/>
      <c r="R952" s="148" t="n"/>
      <c r="S952" s="148" t="n"/>
      <c r="T952" s="150" t="n"/>
      <c r="U952" s="150" t="n"/>
      <c r="V952" s="37" t="n"/>
      <c r="W952" s="151" t="n"/>
      <c r="X952" s="151" t="n"/>
      <c r="Y952" s="151" t="n"/>
      <c r="Z952" s="151" t="n"/>
      <c r="AA952" s="151" t="n"/>
      <c r="AB952" s="152" t="n"/>
      <c r="AC952" s="152" t="n"/>
      <c r="AD952" s="152" t="n"/>
      <c r="AE952" s="152" t="n"/>
      <c r="AF952" s="152" t="n"/>
    </row>
    <row r="953" ht="15.75" customHeight="1" s="201">
      <c r="A953" s="37" t="n"/>
      <c r="B953" s="37" t="n"/>
      <c r="C953" s="37" t="n"/>
      <c r="D953" s="37" t="n"/>
      <c r="E953" s="37" t="n"/>
      <c r="F953" s="148" t="n"/>
      <c r="G953" s="148" t="n"/>
      <c r="H953" s="148" t="n"/>
      <c r="I953" s="148" t="n"/>
      <c r="J953" s="149" t="n"/>
      <c r="K953" s="37" t="n"/>
      <c r="L953" s="148" t="n"/>
      <c r="M953" s="148" t="n"/>
      <c r="N953" s="148" t="n"/>
      <c r="O953" s="148" t="n"/>
      <c r="P953" s="148" t="n"/>
      <c r="Q953" s="148" t="n"/>
      <c r="R953" s="148" t="n"/>
      <c r="S953" s="148" t="n"/>
      <c r="T953" s="150" t="n"/>
      <c r="U953" s="150" t="n"/>
      <c r="V953" s="37" t="n"/>
      <c r="W953" s="151" t="n"/>
      <c r="X953" s="151" t="n"/>
      <c r="Y953" s="151" t="n"/>
      <c r="Z953" s="151" t="n"/>
      <c r="AA953" s="151" t="n"/>
      <c r="AB953" s="152" t="n"/>
      <c r="AC953" s="152" t="n"/>
      <c r="AD953" s="152" t="n"/>
      <c r="AE953" s="152" t="n"/>
      <c r="AF953" s="152" t="n"/>
    </row>
    <row r="954" ht="15.75" customHeight="1" s="201">
      <c r="A954" s="37" t="n"/>
      <c r="B954" s="37" t="n"/>
      <c r="C954" s="37" t="n"/>
      <c r="D954" s="37" t="n"/>
      <c r="E954" s="37" t="n"/>
      <c r="F954" s="148" t="n"/>
      <c r="G954" s="148" t="n"/>
      <c r="H954" s="148" t="n"/>
      <c r="I954" s="148" t="n"/>
      <c r="J954" s="149" t="n"/>
      <c r="K954" s="37" t="n"/>
      <c r="L954" s="148" t="n"/>
      <c r="M954" s="148" t="n"/>
      <c r="N954" s="148" t="n"/>
      <c r="O954" s="148" t="n"/>
      <c r="P954" s="148" t="n"/>
      <c r="Q954" s="148" t="n"/>
      <c r="R954" s="148" t="n"/>
      <c r="S954" s="148" t="n"/>
      <c r="T954" s="150" t="n"/>
      <c r="U954" s="150" t="n"/>
      <c r="V954" s="37" t="n"/>
      <c r="W954" s="151" t="n"/>
      <c r="X954" s="151" t="n"/>
      <c r="Y954" s="151" t="n"/>
      <c r="Z954" s="151" t="n"/>
      <c r="AA954" s="151" t="n"/>
      <c r="AB954" s="152" t="n"/>
      <c r="AC954" s="152" t="n"/>
      <c r="AD954" s="152" t="n"/>
      <c r="AE954" s="152" t="n"/>
      <c r="AF954" s="152" t="n"/>
    </row>
    <row r="955" ht="15.75" customHeight="1" s="201">
      <c r="A955" s="37" t="n"/>
      <c r="B955" s="37" t="n"/>
      <c r="C955" s="37" t="n"/>
      <c r="D955" s="37" t="n"/>
      <c r="E955" s="37" t="n"/>
      <c r="F955" s="148" t="n"/>
      <c r="G955" s="148" t="n"/>
      <c r="H955" s="148" t="n"/>
      <c r="I955" s="148" t="n"/>
      <c r="J955" s="149" t="n"/>
      <c r="K955" s="37" t="n"/>
      <c r="L955" s="148" t="n"/>
      <c r="M955" s="148" t="n"/>
      <c r="N955" s="148" t="n"/>
      <c r="O955" s="148" t="n"/>
      <c r="P955" s="148" t="n"/>
      <c r="Q955" s="148" t="n"/>
      <c r="R955" s="148" t="n"/>
      <c r="S955" s="148" t="n"/>
      <c r="T955" s="150" t="n"/>
      <c r="U955" s="150" t="n"/>
      <c r="V955" s="37" t="n"/>
      <c r="W955" s="151" t="n"/>
      <c r="X955" s="151" t="n"/>
      <c r="Y955" s="151" t="n"/>
      <c r="Z955" s="151" t="n"/>
      <c r="AA955" s="151" t="n"/>
      <c r="AB955" s="152" t="n"/>
      <c r="AC955" s="152" t="n"/>
      <c r="AD955" s="152" t="n"/>
      <c r="AE955" s="152" t="n"/>
      <c r="AF955" s="152" t="n"/>
    </row>
    <row r="956" ht="15.75" customHeight="1" s="201">
      <c r="A956" s="37" t="n"/>
      <c r="B956" s="37" t="n"/>
      <c r="C956" s="37" t="n"/>
      <c r="D956" s="37" t="n"/>
      <c r="E956" s="37" t="n"/>
      <c r="F956" s="148" t="n"/>
      <c r="G956" s="148" t="n"/>
      <c r="H956" s="148" t="n"/>
      <c r="I956" s="148" t="n"/>
      <c r="J956" s="149" t="n"/>
      <c r="K956" s="37" t="n"/>
      <c r="L956" s="148" t="n"/>
      <c r="M956" s="148" t="n"/>
      <c r="N956" s="148" t="n"/>
      <c r="O956" s="148" t="n"/>
      <c r="P956" s="148" t="n"/>
      <c r="Q956" s="148" t="n"/>
      <c r="R956" s="148" t="n"/>
      <c r="S956" s="148" t="n"/>
      <c r="T956" s="150" t="n"/>
      <c r="U956" s="150" t="n"/>
      <c r="V956" s="37" t="n"/>
      <c r="W956" s="151" t="n"/>
      <c r="X956" s="151" t="n"/>
      <c r="Y956" s="151" t="n"/>
      <c r="Z956" s="151" t="n"/>
      <c r="AA956" s="151" t="n"/>
      <c r="AB956" s="152" t="n"/>
      <c r="AC956" s="152" t="n"/>
      <c r="AD956" s="152" t="n"/>
      <c r="AE956" s="152" t="n"/>
      <c r="AF956" s="152" t="n"/>
    </row>
    <row r="957" ht="15.75" customHeight="1" s="201">
      <c r="A957" s="37" t="n"/>
      <c r="B957" s="37" t="n"/>
      <c r="C957" s="37" t="n"/>
      <c r="D957" s="37" t="n"/>
      <c r="E957" s="37" t="n"/>
      <c r="F957" s="148" t="n"/>
      <c r="G957" s="148" t="n"/>
      <c r="H957" s="148" t="n"/>
      <c r="I957" s="148" t="n"/>
      <c r="J957" s="149" t="n"/>
      <c r="K957" s="37" t="n"/>
      <c r="L957" s="148" t="n"/>
      <c r="M957" s="148" t="n"/>
      <c r="N957" s="148" t="n"/>
      <c r="O957" s="148" t="n"/>
      <c r="P957" s="148" t="n"/>
      <c r="Q957" s="148" t="n"/>
      <c r="R957" s="148" t="n"/>
      <c r="S957" s="148" t="n"/>
      <c r="T957" s="150" t="n"/>
      <c r="U957" s="150" t="n"/>
      <c r="V957" s="37" t="n"/>
      <c r="W957" s="151" t="n"/>
      <c r="X957" s="151" t="n"/>
      <c r="Y957" s="151" t="n"/>
      <c r="Z957" s="151" t="n"/>
      <c r="AA957" s="151" t="n"/>
      <c r="AB957" s="152" t="n"/>
      <c r="AC957" s="152" t="n"/>
      <c r="AD957" s="152" t="n"/>
      <c r="AE957" s="152" t="n"/>
      <c r="AF957" s="152" t="n"/>
    </row>
    <row r="958" ht="15.75" customHeight="1" s="201">
      <c r="A958" s="37" t="n"/>
      <c r="B958" s="37" t="n"/>
      <c r="C958" s="37" t="n"/>
      <c r="D958" s="37" t="n"/>
      <c r="E958" s="37" t="n"/>
      <c r="F958" s="148" t="n"/>
      <c r="G958" s="148" t="n"/>
      <c r="H958" s="148" t="n"/>
      <c r="I958" s="148" t="n"/>
      <c r="J958" s="149" t="n"/>
      <c r="K958" s="37" t="n"/>
      <c r="L958" s="148" t="n"/>
      <c r="M958" s="148" t="n"/>
      <c r="N958" s="148" t="n"/>
      <c r="O958" s="148" t="n"/>
      <c r="P958" s="148" t="n"/>
      <c r="Q958" s="148" t="n"/>
      <c r="R958" s="148" t="n"/>
      <c r="S958" s="148" t="n"/>
      <c r="T958" s="150" t="n"/>
      <c r="U958" s="150" t="n"/>
      <c r="V958" s="37" t="n"/>
      <c r="W958" s="151" t="n"/>
      <c r="X958" s="151" t="n"/>
      <c r="Y958" s="151" t="n"/>
      <c r="Z958" s="151" t="n"/>
      <c r="AA958" s="151" t="n"/>
      <c r="AB958" s="152" t="n"/>
      <c r="AC958" s="152" t="n"/>
      <c r="AD958" s="152" t="n"/>
      <c r="AE958" s="152" t="n"/>
      <c r="AF958" s="152" t="n"/>
    </row>
    <row r="959" ht="15.75" customHeight="1" s="201">
      <c r="A959" s="37" t="n"/>
      <c r="B959" s="37" t="n"/>
      <c r="C959" s="37" t="n"/>
      <c r="D959" s="37" t="n"/>
      <c r="E959" s="37" t="n"/>
      <c r="F959" s="148" t="n"/>
      <c r="G959" s="148" t="n"/>
      <c r="H959" s="148" t="n"/>
      <c r="I959" s="148" t="n"/>
      <c r="J959" s="149" t="n"/>
      <c r="K959" s="37" t="n"/>
      <c r="L959" s="148" t="n"/>
      <c r="M959" s="148" t="n"/>
      <c r="N959" s="148" t="n"/>
      <c r="O959" s="148" t="n"/>
      <c r="P959" s="148" t="n"/>
      <c r="Q959" s="148" t="n"/>
      <c r="R959" s="148" t="n"/>
      <c r="S959" s="148" t="n"/>
      <c r="T959" s="150" t="n"/>
      <c r="U959" s="150" t="n"/>
      <c r="V959" s="37" t="n"/>
      <c r="W959" s="151" t="n"/>
      <c r="X959" s="151" t="n"/>
      <c r="Y959" s="151" t="n"/>
      <c r="Z959" s="151" t="n"/>
      <c r="AA959" s="151" t="n"/>
      <c r="AB959" s="152" t="n"/>
      <c r="AC959" s="152" t="n"/>
      <c r="AD959" s="152" t="n"/>
      <c r="AE959" s="152" t="n"/>
      <c r="AF959" s="152" t="n"/>
    </row>
    <row r="960" ht="15.75" customHeight="1" s="201">
      <c r="A960" s="37" t="n"/>
      <c r="B960" s="37" t="n"/>
      <c r="C960" s="37" t="n"/>
      <c r="D960" s="37" t="n"/>
      <c r="E960" s="37" t="n"/>
      <c r="F960" s="148" t="n"/>
      <c r="G960" s="148" t="n"/>
      <c r="H960" s="148" t="n"/>
      <c r="I960" s="148" t="n"/>
      <c r="J960" s="149" t="n"/>
      <c r="K960" s="37" t="n"/>
      <c r="L960" s="148" t="n"/>
      <c r="M960" s="148" t="n"/>
      <c r="N960" s="148" t="n"/>
      <c r="O960" s="148" t="n"/>
      <c r="P960" s="148" t="n"/>
      <c r="Q960" s="148" t="n"/>
      <c r="R960" s="148" t="n"/>
      <c r="S960" s="148" t="n"/>
      <c r="T960" s="150" t="n"/>
      <c r="U960" s="150" t="n"/>
      <c r="V960" s="37" t="n"/>
      <c r="W960" s="151" t="n"/>
      <c r="X960" s="151" t="n"/>
      <c r="Y960" s="151" t="n"/>
      <c r="Z960" s="151" t="n"/>
      <c r="AA960" s="151" t="n"/>
      <c r="AB960" s="152" t="n"/>
      <c r="AC960" s="152" t="n"/>
      <c r="AD960" s="152" t="n"/>
      <c r="AE960" s="152" t="n"/>
      <c r="AF960" s="152" t="n"/>
    </row>
    <row r="961" ht="15.75" customHeight="1" s="201">
      <c r="A961" s="37" t="n"/>
      <c r="B961" s="37" t="n"/>
      <c r="C961" s="37" t="n"/>
      <c r="D961" s="37" t="n"/>
      <c r="E961" s="37" t="n"/>
      <c r="F961" s="148" t="n"/>
      <c r="G961" s="148" t="n"/>
      <c r="H961" s="148" t="n"/>
      <c r="I961" s="148" t="n"/>
      <c r="J961" s="149" t="n"/>
      <c r="K961" s="37" t="n"/>
      <c r="L961" s="148" t="n"/>
      <c r="M961" s="148" t="n"/>
      <c r="N961" s="148" t="n"/>
      <c r="O961" s="148" t="n"/>
      <c r="P961" s="148" t="n"/>
      <c r="Q961" s="148" t="n"/>
      <c r="R961" s="148" t="n"/>
      <c r="S961" s="148" t="n"/>
      <c r="T961" s="150" t="n"/>
      <c r="U961" s="150" t="n"/>
      <c r="V961" s="37" t="n"/>
      <c r="W961" s="151" t="n"/>
      <c r="X961" s="151" t="n"/>
      <c r="Y961" s="151" t="n"/>
      <c r="Z961" s="151" t="n"/>
      <c r="AA961" s="151" t="n"/>
      <c r="AB961" s="152" t="n"/>
      <c r="AC961" s="152" t="n"/>
      <c r="AD961" s="152" t="n"/>
      <c r="AE961" s="152" t="n"/>
      <c r="AF961" s="152" t="n"/>
    </row>
    <row r="962" ht="15.75" customHeight="1" s="201">
      <c r="A962" s="37" t="n"/>
      <c r="B962" s="37" t="n"/>
      <c r="C962" s="37" t="n"/>
      <c r="D962" s="37" t="n"/>
      <c r="E962" s="37" t="n"/>
      <c r="F962" s="148" t="n"/>
      <c r="G962" s="148" t="n"/>
      <c r="H962" s="148" t="n"/>
      <c r="I962" s="148" t="n"/>
      <c r="J962" s="149" t="n"/>
      <c r="K962" s="37" t="n"/>
      <c r="L962" s="148" t="n"/>
      <c r="M962" s="148" t="n"/>
      <c r="N962" s="148" t="n"/>
      <c r="O962" s="148" t="n"/>
      <c r="P962" s="148" t="n"/>
      <c r="Q962" s="148" t="n"/>
      <c r="R962" s="148" t="n"/>
      <c r="S962" s="148" t="n"/>
      <c r="T962" s="150" t="n"/>
      <c r="U962" s="150" t="n"/>
      <c r="V962" s="37" t="n"/>
      <c r="W962" s="151" t="n"/>
      <c r="X962" s="151" t="n"/>
      <c r="Y962" s="151" t="n"/>
      <c r="Z962" s="151" t="n"/>
      <c r="AA962" s="151" t="n"/>
      <c r="AB962" s="152" t="n"/>
      <c r="AC962" s="152" t="n"/>
      <c r="AD962" s="152" t="n"/>
      <c r="AE962" s="152" t="n"/>
      <c r="AF962" s="152" t="n"/>
    </row>
    <row r="963" ht="15.75" customHeight="1" s="201">
      <c r="A963" s="37" t="n"/>
      <c r="B963" s="37" t="n"/>
      <c r="C963" s="37" t="n"/>
      <c r="D963" s="37" t="n"/>
      <c r="E963" s="37" t="n"/>
      <c r="F963" s="148" t="n"/>
      <c r="G963" s="148" t="n"/>
      <c r="H963" s="148" t="n"/>
      <c r="I963" s="148" t="n"/>
      <c r="J963" s="149" t="n"/>
      <c r="K963" s="37" t="n"/>
      <c r="L963" s="148" t="n"/>
      <c r="M963" s="148" t="n"/>
      <c r="N963" s="148" t="n"/>
      <c r="O963" s="148" t="n"/>
      <c r="P963" s="148" t="n"/>
      <c r="Q963" s="148" t="n"/>
      <c r="R963" s="148" t="n"/>
      <c r="S963" s="148" t="n"/>
      <c r="T963" s="150" t="n"/>
      <c r="U963" s="150" t="n"/>
      <c r="V963" s="37" t="n"/>
      <c r="W963" s="151" t="n"/>
      <c r="X963" s="151" t="n"/>
      <c r="Y963" s="151" t="n"/>
      <c r="Z963" s="151" t="n"/>
      <c r="AA963" s="151" t="n"/>
      <c r="AB963" s="152" t="n"/>
      <c r="AC963" s="152" t="n"/>
      <c r="AD963" s="152" t="n"/>
      <c r="AE963" s="152" t="n"/>
      <c r="AF963" s="152" t="n"/>
    </row>
    <row r="964" ht="15.75" customHeight="1" s="201">
      <c r="A964" s="37" t="n"/>
      <c r="B964" s="37" t="n"/>
      <c r="C964" s="37" t="n"/>
      <c r="D964" s="37" t="n"/>
      <c r="E964" s="37" t="n"/>
      <c r="F964" s="148" t="n"/>
      <c r="G964" s="148" t="n"/>
      <c r="H964" s="148" t="n"/>
      <c r="I964" s="148" t="n"/>
      <c r="J964" s="149" t="n"/>
      <c r="K964" s="37" t="n"/>
      <c r="L964" s="148" t="n"/>
      <c r="M964" s="148" t="n"/>
      <c r="N964" s="148" t="n"/>
      <c r="O964" s="148" t="n"/>
      <c r="P964" s="148" t="n"/>
      <c r="Q964" s="148" t="n"/>
      <c r="R964" s="148" t="n"/>
      <c r="S964" s="148" t="n"/>
      <c r="T964" s="150" t="n"/>
      <c r="U964" s="150" t="n"/>
      <c r="V964" s="37" t="n"/>
      <c r="W964" s="151" t="n"/>
      <c r="X964" s="151" t="n"/>
      <c r="Y964" s="151" t="n"/>
      <c r="Z964" s="151" t="n"/>
      <c r="AA964" s="151" t="n"/>
      <c r="AB964" s="152" t="n"/>
      <c r="AC964" s="152" t="n"/>
      <c r="AD964" s="152" t="n"/>
      <c r="AE964" s="152" t="n"/>
      <c r="AF964" s="152" t="n"/>
    </row>
    <row r="965" ht="15.75" customHeight="1" s="201">
      <c r="A965" s="37" t="n"/>
      <c r="B965" s="37" t="n"/>
      <c r="C965" s="37" t="n"/>
      <c r="D965" s="37" t="n"/>
      <c r="E965" s="37" t="n"/>
      <c r="F965" s="148" t="n"/>
      <c r="G965" s="148" t="n"/>
      <c r="H965" s="148" t="n"/>
      <c r="I965" s="148" t="n"/>
      <c r="J965" s="149" t="n"/>
      <c r="K965" s="37" t="n"/>
      <c r="L965" s="148" t="n"/>
      <c r="M965" s="148" t="n"/>
      <c r="N965" s="148" t="n"/>
      <c r="O965" s="148" t="n"/>
      <c r="P965" s="148" t="n"/>
      <c r="Q965" s="148" t="n"/>
      <c r="R965" s="148" t="n"/>
      <c r="S965" s="148" t="n"/>
      <c r="T965" s="150" t="n"/>
      <c r="U965" s="150" t="n"/>
      <c r="V965" s="37" t="n"/>
      <c r="W965" s="151" t="n"/>
      <c r="X965" s="151" t="n"/>
      <c r="Y965" s="151" t="n"/>
      <c r="Z965" s="151" t="n"/>
      <c r="AA965" s="151" t="n"/>
      <c r="AB965" s="152" t="n"/>
      <c r="AC965" s="152" t="n"/>
      <c r="AD965" s="152" t="n"/>
      <c r="AE965" s="152" t="n"/>
      <c r="AF965" s="152" t="n"/>
    </row>
    <row r="966" ht="15.75" customHeight="1" s="201">
      <c r="A966" s="37" t="n"/>
      <c r="B966" s="37" t="n"/>
      <c r="C966" s="37" t="n"/>
      <c r="D966" s="37" t="n"/>
      <c r="E966" s="37" t="n"/>
      <c r="F966" s="148" t="n"/>
      <c r="G966" s="148" t="n"/>
      <c r="H966" s="148" t="n"/>
      <c r="I966" s="148" t="n"/>
      <c r="J966" s="149" t="n"/>
      <c r="K966" s="37" t="n"/>
      <c r="L966" s="148" t="n"/>
      <c r="M966" s="148" t="n"/>
      <c r="N966" s="148" t="n"/>
      <c r="O966" s="148" t="n"/>
      <c r="P966" s="148" t="n"/>
      <c r="Q966" s="148" t="n"/>
      <c r="R966" s="148" t="n"/>
      <c r="S966" s="148" t="n"/>
      <c r="T966" s="150" t="n"/>
      <c r="U966" s="150" t="n"/>
      <c r="V966" s="37" t="n"/>
      <c r="W966" s="151" t="n"/>
      <c r="X966" s="151" t="n"/>
      <c r="Y966" s="151" t="n"/>
      <c r="Z966" s="151" t="n"/>
      <c r="AA966" s="151" t="n"/>
      <c r="AB966" s="152" t="n"/>
      <c r="AC966" s="152" t="n"/>
      <c r="AD966" s="152" t="n"/>
      <c r="AE966" s="152" t="n"/>
      <c r="AF966" s="152" t="n"/>
    </row>
    <row r="967" ht="15.75" customHeight="1" s="201">
      <c r="A967" s="37" t="n"/>
      <c r="B967" s="37" t="n"/>
      <c r="C967" s="37" t="n"/>
      <c r="D967" s="37" t="n"/>
      <c r="E967" s="37" t="n"/>
      <c r="F967" s="148" t="n"/>
      <c r="G967" s="148" t="n"/>
      <c r="H967" s="148" t="n"/>
      <c r="I967" s="148" t="n"/>
      <c r="J967" s="149" t="n"/>
      <c r="K967" s="37" t="n"/>
      <c r="L967" s="148" t="n"/>
      <c r="M967" s="148" t="n"/>
      <c r="N967" s="148" t="n"/>
      <c r="O967" s="148" t="n"/>
      <c r="P967" s="148" t="n"/>
      <c r="Q967" s="148" t="n"/>
      <c r="R967" s="148" t="n"/>
      <c r="S967" s="148" t="n"/>
      <c r="T967" s="150" t="n"/>
      <c r="U967" s="150" t="n"/>
      <c r="V967" s="37" t="n"/>
      <c r="W967" s="151" t="n"/>
      <c r="X967" s="151" t="n"/>
      <c r="Y967" s="151" t="n"/>
      <c r="Z967" s="151" t="n"/>
      <c r="AA967" s="151" t="n"/>
      <c r="AB967" s="152" t="n"/>
      <c r="AC967" s="152" t="n"/>
      <c r="AD967" s="152" t="n"/>
      <c r="AE967" s="152" t="n"/>
      <c r="AF967" s="152" t="n"/>
    </row>
    <row r="968" ht="15.75" customHeight="1" s="201">
      <c r="A968" s="37" t="n"/>
      <c r="B968" s="37" t="n"/>
      <c r="C968" s="37" t="n"/>
      <c r="D968" s="37" t="n"/>
      <c r="E968" s="37" t="n"/>
      <c r="F968" s="148" t="n"/>
      <c r="G968" s="148" t="n"/>
      <c r="H968" s="148" t="n"/>
      <c r="I968" s="148" t="n"/>
      <c r="J968" s="149" t="n"/>
      <c r="K968" s="37" t="n"/>
      <c r="L968" s="148" t="n"/>
      <c r="M968" s="148" t="n"/>
      <c r="N968" s="148" t="n"/>
      <c r="O968" s="148" t="n"/>
      <c r="P968" s="148" t="n"/>
      <c r="Q968" s="148" t="n"/>
      <c r="R968" s="148" t="n"/>
      <c r="S968" s="148" t="n"/>
      <c r="T968" s="150" t="n"/>
      <c r="U968" s="150" t="n"/>
      <c r="V968" s="37" t="n"/>
      <c r="W968" s="151" t="n"/>
      <c r="X968" s="151" t="n"/>
      <c r="Y968" s="151" t="n"/>
      <c r="Z968" s="151" t="n"/>
      <c r="AA968" s="151" t="n"/>
      <c r="AB968" s="152" t="n"/>
      <c r="AC968" s="152" t="n"/>
      <c r="AD968" s="152" t="n"/>
      <c r="AE968" s="152" t="n"/>
      <c r="AF968" s="152" t="n"/>
    </row>
    <row r="969" ht="15.75" customHeight="1" s="201">
      <c r="A969" s="37" t="n"/>
      <c r="B969" s="37" t="n"/>
      <c r="C969" s="37" t="n"/>
      <c r="D969" s="37" t="n"/>
      <c r="E969" s="37" t="n"/>
      <c r="F969" s="148" t="n"/>
      <c r="G969" s="148" t="n"/>
      <c r="H969" s="148" t="n"/>
      <c r="I969" s="148" t="n"/>
      <c r="J969" s="149" t="n"/>
      <c r="K969" s="37" t="n"/>
      <c r="L969" s="148" t="n"/>
      <c r="M969" s="148" t="n"/>
      <c r="N969" s="148" t="n"/>
      <c r="O969" s="148" t="n"/>
      <c r="P969" s="148" t="n"/>
      <c r="Q969" s="148" t="n"/>
      <c r="R969" s="148" t="n"/>
      <c r="S969" s="148" t="n"/>
      <c r="T969" s="150" t="n"/>
      <c r="U969" s="150" t="n"/>
      <c r="V969" s="37" t="n"/>
      <c r="W969" s="151" t="n"/>
      <c r="X969" s="151" t="n"/>
      <c r="Y969" s="151" t="n"/>
      <c r="Z969" s="151" t="n"/>
      <c r="AA969" s="151" t="n"/>
      <c r="AB969" s="152" t="n"/>
      <c r="AC969" s="152" t="n"/>
      <c r="AD969" s="152" t="n"/>
      <c r="AE969" s="152" t="n"/>
      <c r="AF969" s="152" t="n"/>
    </row>
    <row r="970" ht="15.75" customHeight="1" s="201">
      <c r="A970" s="37" t="n"/>
      <c r="B970" s="37" t="n"/>
      <c r="C970" s="37" t="n"/>
      <c r="D970" s="37" t="n"/>
      <c r="E970" s="37" t="n"/>
      <c r="F970" s="148" t="n"/>
      <c r="G970" s="148" t="n"/>
      <c r="H970" s="148" t="n"/>
      <c r="I970" s="148" t="n"/>
      <c r="J970" s="149" t="n"/>
      <c r="K970" s="37" t="n"/>
      <c r="L970" s="148" t="n"/>
      <c r="M970" s="148" t="n"/>
      <c r="N970" s="148" t="n"/>
      <c r="O970" s="148" t="n"/>
      <c r="P970" s="148" t="n"/>
      <c r="Q970" s="148" t="n"/>
      <c r="R970" s="148" t="n"/>
      <c r="S970" s="148" t="n"/>
      <c r="T970" s="150" t="n"/>
      <c r="U970" s="150" t="n"/>
      <c r="V970" s="37" t="n"/>
      <c r="W970" s="151" t="n"/>
      <c r="X970" s="151" t="n"/>
      <c r="Y970" s="151" t="n"/>
      <c r="Z970" s="151" t="n"/>
      <c r="AA970" s="151" t="n"/>
      <c r="AB970" s="152" t="n"/>
      <c r="AC970" s="152" t="n"/>
      <c r="AD970" s="152" t="n"/>
      <c r="AE970" s="152" t="n"/>
      <c r="AF970" s="152" t="n"/>
    </row>
    <row r="971" ht="15.75" customHeight="1" s="201">
      <c r="A971" s="37" t="n"/>
      <c r="B971" s="37" t="n"/>
      <c r="C971" s="37" t="n"/>
      <c r="D971" s="37" t="n"/>
      <c r="E971" s="37" t="n"/>
      <c r="F971" s="148" t="n"/>
      <c r="G971" s="148" t="n"/>
      <c r="H971" s="148" t="n"/>
      <c r="I971" s="148" t="n"/>
      <c r="J971" s="149" t="n"/>
      <c r="K971" s="37" t="n"/>
      <c r="L971" s="148" t="n"/>
      <c r="M971" s="148" t="n"/>
      <c r="N971" s="148" t="n"/>
      <c r="O971" s="148" t="n"/>
      <c r="P971" s="148" t="n"/>
      <c r="Q971" s="148" t="n"/>
      <c r="R971" s="148" t="n"/>
      <c r="S971" s="148" t="n"/>
      <c r="T971" s="150" t="n"/>
      <c r="U971" s="150" t="n"/>
      <c r="V971" s="37" t="n"/>
      <c r="W971" s="151" t="n"/>
      <c r="X971" s="151" t="n"/>
      <c r="Y971" s="151" t="n"/>
      <c r="Z971" s="151" t="n"/>
      <c r="AA971" s="151" t="n"/>
      <c r="AB971" s="152" t="n"/>
      <c r="AC971" s="152" t="n"/>
      <c r="AD971" s="152" t="n"/>
      <c r="AE971" s="152" t="n"/>
      <c r="AF971" s="152" t="n"/>
    </row>
    <row r="972" ht="15.75" customHeight="1" s="201">
      <c r="A972" s="37" t="n"/>
      <c r="B972" s="37" t="n"/>
      <c r="C972" s="37" t="n"/>
      <c r="D972" s="37" t="n"/>
      <c r="E972" s="37" t="n"/>
      <c r="F972" s="148" t="n"/>
      <c r="G972" s="148" t="n"/>
      <c r="H972" s="148" t="n"/>
      <c r="I972" s="148" t="n"/>
      <c r="J972" s="149" t="n"/>
      <c r="K972" s="37" t="n"/>
      <c r="L972" s="148" t="n"/>
      <c r="M972" s="148" t="n"/>
      <c r="N972" s="148" t="n"/>
      <c r="O972" s="148" t="n"/>
      <c r="P972" s="148" t="n"/>
      <c r="Q972" s="148" t="n"/>
      <c r="R972" s="148" t="n"/>
      <c r="S972" s="148" t="n"/>
      <c r="T972" s="150" t="n"/>
      <c r="U972" s="150" t="n"/>
      <c r="V972" s="37" t="n"/>
      <c r="W972" s="151" t="n"/>
      <c r="X972" s="151" t="n"/>
      <c r="Y972" s="151" t="n"/>
      <c r="Z972" s="151" t="n"/>
      <c r="AA972" s="151" t="n"/>
      <c r="AB972" s="152" t="n"/>
      <c r="AC972" s="152" t="n"/>
      <c r="AD972" s="152" t="n"/>
      <c r="AE972" s="152" t="n"/>
      <c r="AF972" s="152" t="n"/>
    </row>
    <row r="973" ht="15.75" customHeight="1" s="201">
      <c r="A973" s="37" t="n"/>
      <c r="B973" s="37" t="n"/>
      <c r="C973" s="37" t="n"/>
      <c r="D973" s="37" t="n"/>
      <c r="E973" s="37" t="n"/>
      <c r="F973" s="148" t="n"/>
      <c r="G973" s="148" t="n"/>
      <c r="H973" s="148" t="n"/>
      <c r="I973" s="148" t="n"/>
      <c r="J973" s="149" t="n"/>
      <c r="K973" s="37" t="n"/>
      <c r="L973" s="148" t="n"/>
      <c r="M973" s="148" t="n"/>
      <c r="N973" s="148" t="n"/>
      <c r="O973" s="148" t="n"/>
      <c r="P973" s="148" t="n"/>
      <c r="Q973" s="148" t="n"/>
      <c r="R973" s="148" t="n"/>
      <c r="S973" s="148" t="n"/>
      <c r="T973" s="150" t="n"/>
      <c r="U973" s="150" t="n"/>
      <c r="V973" s="37" t="n"/>
      <c r="W973" s="151" t="n"/>
      <c r="X973" s="151" t="n"/>
      <c r="Y973" s="151" t="n"/>
      <c r="Z973" s="151" t="n"/>
      <c r="AA973" s="151" t="n"/>
      <c r="AB973" s="152" t="n"/>
      <c r="AC973" s="152" t="n"/>
      <c r="AD973" s="152" t="n"/>
      <c r="AE973" s="152" t="n"/>
      <c r="AF973" s="152" t="n"/>
    </row>
    <row r="974" ht="15.75" customHeight="1" s="201">
      <c r="A974" s="37" t="n"/>
      <c r="B974" s="37" t="n"/>
      <c r="C974" s="37" t="n"/>
      <c r="D974" s="37" t="n"/>
      <c r="E974" s="37" t="n"/>
      <c r="F974" s="148" t="n"/>
      <c r="G974" s="148" t="n"/>
      <c r="H974" s="148" t="n"/>
      <c r="I974" s="148" t="n"/>
      <c r="J974" s="149" t="n"/>
      <c r="K974" s="37" t="n"/>
      <c r="L974" s="148" t="n"/>
      <c r="M974" s="148" t="n"/>
      <c r="N974" s="148" t="n"/>
      <c r="O974" s="148" t="n"/>
      <c r="P974" s="148" t="n"/>
      <c r="Q974" s="148" t="n"/>
      <c r="R974" s="148" t="n"/>
      <c r="S974" s="148" t="n"/>
      <c r="T974" s="150" t="n"/>
      <c r="U974" s="150" t="n"/>
      <c r="V974" s="37" t="n"/>
      <c r="W974" s="151" t="n"/>
      <c r="X974" s="151" t="n"/>
      <c r="Y974" s="151" t="n"/>
      <c r="Z974" s="151" t="n"/>
      <c r="AA974" s="151" t="n"/>
      <c r="AB974" s="152" t="n"/>
      <c r="AC974" s="152" t="n"/>
      <c r="AD974" s="152" t="n"/>
      <c r="AE974" s="152" t="n"/>
      <c r="AF974" s="152" t="n"/>
    </row>
    <row r="975" ht="15.75" customHeight="1" s="201">
      <c r="A975" s="37" t="n"/>
      <c r="B975" s="37" t="n"/>
      <c r="C975" s="37" t="n"/>
      <c r="D975" s="37" t="n"/>
      <c r="E975" s="37" t="n"/>
      <c r="F975" s="148" t="n"/>
      <c r="G975" s="148" t="n"/>
      <c r="H975" s="148" t="n"/>
      <c r="I975" s="148" t="n"/>
      <c r="J975" s="149" t="n"/>
      <c r="K975" s="37" t="n"/>
      <c r="L975" s="148" t="n"/>
      <c r="M975" s="148" t="n"/>
      <c r="N975" s="148" t="n"/>
      <c r="O975" s="148" t="n"/>
      <c r="P975" s="148" t="n"/>
      <c r="Q975" s="148" t="n"/>
      <c r="R975" s="148" t="n"/>
      <c r="S975" s="148" t="n"/>
      <c r="T975" s="150" t="n"/>
      <c r="U975" s="150" t="n"/>
      <c r="V975" s="37" t="n"/>
      <c r="W975" s="151" t="n"/>
      <c r="X975" s="151" t="n"/>
      <c r="Y975" s="151" t="n"/>
      <c r="Z975" s="151" t="n"/>
      <c r="AA975" s="151" t="n"/>
      <c r="AB975" s="152" t="n"/>
      <c r="AC975" s="152" t="n"/>
      <c r="AD975" s="152" t="n"/>
      <c r="AE975" s="152" t="n"/>
      <c r="AF975" s="152" t="n"/>
    </row>
    <row r="976" ht="15.75" customHeight="1" s="201">
      <c r="A976" s="37" t="n"/>
      <c r="B976" s="37" t="n"/>
      <c r="C976" s="37" t="n"/>
      <c r="D976" s="37" t="n"/>
      <c r="E976" s="37" t="n"/>
      <c r="F976" s="148" t="n"/>
      <c r="G976" s="148" t="n"/>
      <c r="H976" s="148" t="n"/>
      <c r="I976" s="148" t="n"/>
      <c r="J976" s="149" t="n"/>
      <c r="K976" s="37" t="n"/>
      <c r="L976" s="148" t="n"/>
      <c r="M976" s="148" t="n"/>
      <c r="N976" s="148" t="n"/>
      <c r="O976" s="148" t="n"/>
      <c r="P976" s="148" t="n"/>
      <c r="Q976" s="148" t="n"/>
      <c r="R976" s="148" t="n"/>
      <c r="S976" s="148" t="n"/>
      <c r="T976" s="150" t="n"/>
      <c r="U976" s="150" t="n"/>
      <c r="V976" s="37" t="n"/>
      <c r="W976" s="151" t="n"/>
      <c r="X976" s="151" t="n"/>
      <c r="Y976" s="151" t="n"/>
      <c r="Z976" s="151" t="n"/>
      <c r="AA976" s="151" t="n"/>
      <c r="AB976" s="152" t="n"/>
      <c r="AC976" s="152" t="n"/>
      <c r="AD976" s="152" t="n"/>
      <c r="AE976" s="152" t="n"/>
      <c r="AF976" s="152" t="n"/>
    </row>
    <row r="977" ht="15.75" customHeight="1" s="201">
      <c r="A977" s="37" t="n"/>
      <c r="B977" s="37" t="n"/>
      <c r="C977" s="37" t="n"/>
      <c r="D977" s="37" t="n"/>
      <c r="E977" s="37" t="n"/>
      <c r="F977" s="148" t="n"/>
      <c r="G977" s="148" t="n"/>
      <c r="H977" s="148" t="n"/>
      <c r="I977" s="148" t="n"/>
      <c r="J977" s="149" t="n"/>
      <c r="K977" s="37" t="n"/>
      <c r="L977" s="148" t="n"/>
      <c r="M977" s="148" t="n"/>
      <c r="N977" s="148" t="n"/>
      <c r="O977" s="148" t="n"/>
      <c r="P977" s="148" t="n"/>
      <c r="Q977" s="148" t="n"/>
      <c r="R977" s="148" t="n"/>
      <c r="S977" s="148" t="n"/>
      <c r="T977" s="150" t="n"/>
      <c r="U977" s="150" t="n"/>
      <c r="V977" s="37" t="n"/>
      <c r="W977" s="151" t="n"/>
      <c r="X977" s="151" t="n"/>
      <c r="Y977" s="151" t="n"/>
      <c r="Z977" s="151" t="n"/>
      <c r="AA977" s="151" t="n"/>
      <c r="AB977" s="152" t="n"/>
      <c r="AC977" s="152" t="n"/>
      <c r="AD977" s="152" t="n"/>
      <c r="AE977" s="152" t="n"/>
      <c r="AF977" s="152" t="n"/>
    </row>
    <row r="978" ht="15.75" customHeight="1" s="201">
      <c r="A978" s="37" t="n"/>
      <c r="B978" s="37" t="n"/>
      <c r="C978" s="37" t="n"/>
      <c r="D978" s="37" t="n"/>
      <c r="E978" s="37" t="n"/>
      <c r="F978" s="148" t="n"/>
      <c r="G978" s="148" t="n"/>
      <c r="H978" s="148" t="n"/>
      <c r="I978" s="148" t="n"/>
      <c r="J978" s="149" t="n"/>
      <c r="K978" s="37" t="n"/>
      <c r="L978" s="148" t="n"/>
      <c r="M978" s="148" t="n"/>
      <c r="N978" s="148" t="n"/>
      <c r="O978" s="148" t="n"/>
      <c r="P978" s="148" t="n"/>
      <c r="Q978" s="148" t="n"/>
      <c r="R978" s="148" t="n"/>
      <c r="S978" s="148" t="n"/>
      <c r="T978" s="150" t="n"/>
      <c r="U978" s="150" t="n"/>
      <c r="V978" s="37" t="n"/>
      <c r="W978" s="151" t="n"/>
      <c r="X978" s="151" t="n"/>
      <c r="Y978" s="151" t="n"/>
      <c r="Z978" s="151" t="n"/>
      <c r="AA978" s="151" t="n"/>
      <c r="AB978" s="152" t="n"/>
      <c r="AC978" s="152" t="n"/>
      <c r="AD978" s="152" t="n"/>
      <c r="AE978" s="152" t="n"/>
      <c r="AF978" s="152" t="n"/>
    </row>
    <row r="979" ht="15.75" customHeight="1" s="201">
      <c r="A979" s="37" t="n"/>
      <c r="B979" s="37" t="n"/>
      <c r="C979" s="37" t="n"/>
      <c r="D979" s="37" t="n"/>
      <c r="E979" s="37" t="n"/>
      <c r="F979" s="148" t="n"/>
      <c r="G979" s="148" t="n"/>
      <c r="H979" s="148" t="n"/>
      <c r="I979" s="148" t="n"/>
      <c r="J979" s="149" t="n"/>
      <c r="K979" s="37" t="n"/>
      <c r="L979" s="148" t="n"/>
      <c r="M979" s="148" t="n"/>
      <c r="N979" s="148" t="n"/>
      <c r="O979" s="148" t="n"/>
      <c r="P979" s="148" t="n"/>
      <c r="Q979" s="148" t="n"/>
      <c r="R979" s="148" t="n"/>
      <c r="S979" s="148" t="n"/>
      <c r="T979" s="150" t="n"/>
      <c r="U979" s="150" t="n"/>
      <c r="V979" s="37" t="n"/>
      <c r="W979" s="151" t="n"/>
      <c r="X979" s="151" t="n"/>
      <c r="Y979" s="151" t="n"/>
      <c r="Z979" s="151" t="n"/>
      <c r="AA979" s="151" t="n"/>
      <c r="AB979" s="152" t="n"/>
      <c r="AC979" s="152" t="n"/>
      <c r="AD979" s="152" t="n"/>
      <c r="AE979" s="152" t="n"/>
      <c r="AF979" s="152" t="n"/>
    </row>
    <row r="980" ht="15.75" customHeight="1" s="201">
      <c r="A980" s="37" t="n"/>
      <c r="B980" s="37" t="n"/>
      <c r="C980" s="37" t="n"/>
      <c r="D980" s="37" t="n"/>
      <c r="E980" s="37" t="n"/>
      <c r="F980" s="148" t="n"/>
      <c r="G980" s="148" t="n"/>
      <c r="H980" s="148" t="n"/>
      <c r="I980" s="148" t="n"/>
      <c r="J980" s="149" t="n"/>
      <c r="K980" s="37" t="n"/>
      <c r="L980" s="148" t="n"/>
      <c r="M980" s="148" t="n"/>
      <c r="N980" s="148" t="n"/>
      <c r="O980" s="148" t="n"/>
      <c r="P980" s="148" t="n"/>
      <c r="Q980" s="148" t="n"/>
      <c r="R980" s="148" t="n"/>
      <c r="S980" s="148" t="n"/>
      <c r="T980" s="150" t="n"/>
      <c r="U980" s="150" t="n"/>
      <c r="V980" s="37" t="n"/>
      <c r="W980" s="151" t="n"/>
      <c r="X980" s="151" t="n"/>
      <c r="Y980" s="151" t="n"/>
      <c r="Z980" s="151" t="n"/>
      <c r="AA980" s="151" t="n"/>
      <c r="AB980" s="152" t="n"/>
      <c r="AC980" s="152" t="n"/>
      <c r="AD980" s="152" t="n"/>
      <c r="AE980" s="152" t="n"/>
      <c r="AF980" s="152" t="n"/>
    </row>
    <row r="981" ht="15.75" customHeight="1" s="201">
      <c r="A981" s="37" t="n"/>
      <c r="B981" s="37" t="n"/>
      <c r="C981" s="37" t="n"/>
      <c r="D981" s="37" t="n"/>
      <c r="E981" s="37" t="n"/>
      <c r="F981" s="148" t="n"/>
      <c r="G981" s="148" t="n"/>
      <c r="H981" s="148" t="n"/>
      <c r="I981" s="148" t="n"/>
      <c r="J981" s="149" t="n"/>
      <c r="K981" s="37" t="n"/>
      <c r="L981" s="148" t="n"/>
      <c r="M981" s="148" t="n"/>
      <c r="N981" s="148" t="n"/>
      <c r="O981" s="148" t="n"/>
      <c r="P981" s="148" t="n"/>
      <c r="Q981" s="148" t="n"/>
      <c r="R981" s="148" t="n"/>
      <c r="S981" s="148" t="n"/>
      <c r="T981" s="150" t="n"/>
      <c r="U981" s="150" t="n"/>
      <c r="V981" s="37" t="n"/>
      <c r="W981" s="151" t="n"/>
      <c r="X981" s="151" t="n"/>
      <c r="Y981" s="151" t="n"/>
      <c r="Z981" s="151" t="n"/>
      <c r="AA981" s="151" t="n"/>
      <c r="AB981" s="152" t="n"/>
      <c r="AC981" s="152" t="n"/>
      <c r="AD981" s="152" t="n"/>
      <c r="AE981" s="152" t="n"/>
      <c r="AF981" s="152" t="n"/>
    </row>
    <row r="982" ht="15.75" customHeight="1" s="201">
      <c r="A982" s="37" t="n"/>
      <c r="B982" s="37" t="n"/>
      <c r="C982" s="37" t="n"/>
      <c r="D982" s="37" t="n"/>
      <c r="E982" s="37" t="n"/>
      <c r="F982" s="148" t="n"/>
      <c r="G982" s="148" t="n"/>
      <c r="H982" s="148" t="n"/>
      <c r="I982" s="148" t="n"/>
      <c r="J982" s="149" t="n"/>
      <c r="K982" s="37" t="n"/>
      <c r="L982" s="148" t="n"/>
      <c r="M982" s="148" t="n"/>
      <c r="N982" s="148" t="n"/>
      <c r="O982" s="148" t="n"/>
      <c r="P982" s="148" t="n"/>
      <c r="Q982" s="148" t="n"/>
      <c r="R982" s="148" t="n"/>
      <c r="S982" s="148" t="n"/>
      <c r="T982" s="150" t="n"/>
      <c r="U982" s="150" t="n"/>
      <c r="V982" s="37" t="n"/>
      <c r="W982" s="151" t="n"/>
      <c r="X982" s="151" t="n"/>
      <c r="Y982" s="151" t="n"/>
      <c r="Z982" s="151" t="n"/>
      <c r="AA982" s="151" t="n"/>
      <c r="AB982" s="152" t="n"/>
      <c r="AC982" s="152" t="n"/>
      <c r="AD982" s="152" t="n"/>
      <c r="AE982" s="152" t="n"/>
      <c r="AF982" s="152" t="n"/>
    </row>
    <row r="983" ht="15.75" customHeight="1" s="201">
      <c r="A983" s="37" t="n"/>
      <c r="B983" s="37" t="n"/>
      <c r="C983" s="37" t="n"/>
      <c r="D983" s="37" t="n"/>
      <c r="E983" s="37" t="n"/>
      <c r="F983" s="148" t="n"/>
      <c r="G983" s="148" t="n"/>
      <c r="H983" s="148" t="n"/>
      <c r="I983" s="148" t="n"/>
      <c r="J983" s="149" t="n"/>
      <c r="K983" s="37" t="n"/>
      <c r="L983" s="148" t="n"/>
      <c r="M983" s="148" t="n"/>
      <c r="N983" s="148" t="n"/>
      <c r="O983" s="148" t="n"/>
      <c r="P983" s="148" t="n"/>
      <c r="Q983" s="148" t="n"/>
      <c r="R983" s="148" t="n"/>
      <c r="S983" s="148" t="n"/>
      <c r="T983" s="150" t="n"/>
      <c r="U983" s="150" t="n"/>
      <c r="V983" s="37" t="n"/>
      <c r="W983" s="151" t="n"/>
      <c r="X983" s="151" t="n"/>
      <c r="Y983" s="151" t="n"/>
      <c r="Z983" s="151" t="n"/>
      <c r="AA983" s="151" t="n"/>
      <c r="AB983" s="152" t="n"/>
      <c r="AC983" s="152" t="n"/>
      <c r="AD983" s="152" t="n"/>
      <c r="AE983" s="152" t="n"/>
      <c r="AF983" s="152" t="n"/>
    </row>
    <row r="984" ht="15.75" customHeight="1" s="201">
      <c r="A984" s="37" t="n"/>
      <c r="B984" s="37" t="n"/>
      <c r="C984" s="37" t="n"/>
      <c r="D984" s="37" t="n"/>
      <c r="E984" s="37" t="n"/>
      <c r="F984" s="148" t="n"/>
      <c r="G984" s="148" t="n"/>
      <c r="H984" s="148" t="n"/>
      <c r="I984" s="148" t="n"/>
      <c r="J984" s="149" t="n"/>
      <c r="K984" s="37" t="n"/>
      <c r="L984" s="148" t="n"/>
      <c r="M984" s="148" t="n"/>
      <c r="N984" s="148" t="n"/>
      <c r="O984" s="148" t="n"/>
      <c r="P984" s="148" t="n"/>
      <c r="Q984" s="148" t="n"/>
      <c r="R984" s="148" t="n"/>
      <c r="S984" s="148" t="n"/>
      <c r="T984" s="150" t="n"/>
      <c r="U984" s="150" t="n"/>
      <c r="V984" s="37" t="n"/>
      <c r="W984" s="151" t="n"/>
      <c r="X984" s="151" t="n"/>
      <c r="Y984" s="151" t="n"/>
      <c r="Z984" s="151" t="n"/>
      <c r="AA984" s="151" t="n"/>
      <c r="AB984" s="152" t="n"/>
      <c r="AC984" s="152" t="n"/>
      <c r="AD984" s="152" t="n"/>
      <c r="AE984" s="152" t="n"/>
      <c r="AF984" s="152" t="n"/>
    </row>
    <row r="985" ht="15.75" customHeight="1" s="201">
      <c r="A985" s="37" t="n"/>
      <c r="B985" s="37" t="n"/>
      <c r="C985" s="37" t="n"/>
      <c r="D985" s="37" t="n"/>
      <c r="E985" s="37" t="n"/>
      <c r="F985" s="148" t="n"/>
      <c r="G985" s="148" t="n"/>
      <c r="H985" s="148" t="n"/>
      <c r="I985" s="148" t="n"/>
      <c r="J985" s="149" t="n"/>
      <c r="K985" s="37" t="n"/>
      <c r="L985" s="148" t="n"/>
      <c r="M985" s="148" t="n"/>
      <c r="N985" s="148" t="n"/>
      <c r="O985" s="148" t="n"/>
      <c r="P985" s="148" t="n"/>
      <c r="Q985" s="148" t="n"/>
      <c r="R985" s="148" t="n"/>
      <c r="S985" s="148" t="n"/>
      <c r="T985" s="150" t="n"/>
      <c r="U985" s="150" t="n"/>
      <c r="V985" s="37" t="n"/>
      <c r="W985" s="151" t="n"/>
      <c r="X985" s="151" t="n"/>
      <c r="Y985" s="151" t="n"/>
      <c r="Z985" s="151" t="n"/>
      <c r="AA985" s="151" t="n"/>
      <c r="AB985" s="152" t="n"/>
      <c r="AC985" s="152" t="n"/>
      <c r="AD985" s="152" t="n"/>
      <c r="AE985" s="152" t="n"/>
      <c r="AF985" s="152" t="n"/>
    </row>
    <row r="986" ht="15.75" customHeight="1" s="201">
      <c r="A986" s="37" t="n"/>
      <c r="B986" s="37" t="n"/>
      <c r="C986" s="37" t="n"/>
      <c r="D986" s="37" t="n"/>
      <c r="E986" s="37" t="n"/>
      <c r="F986" s="148" t="n"/>
      <c r="G986" s="148" t="n"/>
      <c r="H986" s="148" t="n"/>
      <c r="I986" s="148" t="n"/>
      <c r="J986" s="149" t="n"/>
      <c r="K986" s="37" t="n"/>
      <c r="L986" s="148" t="n"/>
      <c r="M986" s="148" t="n"/>
      <c r="N986" s="148" t="n"/>
      <c r="O986" s="148" t="n"/>
      <c r="P986" s="148" t="n"/>
      <c r="Q986" s="148" t="n"/>
      <c r="R986" s="148" t="n"/>
      <c r="S986" s="148" t="n"/>
      <c r="T986" s="150" t="n"/>
      <c r="U986" s="150" t="n"/>
      <c r="V986" s="37" t="n"/>
      <c r="W986" s="151" t="n"/>
      <c r="X986" s="151" t="n"/>
      <c r="Y986" s="151" t="n"/>
      <c r="Z986" s="151" t="n"/>
      <c r="AA986" s="151" t="n"/>
      <c r="AB986" s="152" t="n"/>
      <c r="AC986" s="152" t="n"/>
      <c r="AD986" s="152" t="n"/>
      <c r="AE986" s="152" t="n"/>
      <c r="AF986" s="152" t="n"/>
    </row>
    <row r="987" ht="15.75" customHeight="1" s="201">
      <c r="A987" s="37" t="n"/>
      <c r="B987" s="37" t="n"/>
      <c r="C987" s="37" t="n"/>
      <c r="D987" s="37" t="n"/>
      <c r="E987" s="37" t="n"/>
      <c r="F987" s="148" t="n"/>
      <c r="G987" s="148" t="n"/>
      <c r="H987" s="148" t="n"/>
      <c r="I987" s="148" t="n"/>
      <c r="J987" s="149" t="n"/>
      <c r="K987" s="37" t="n"/>
      <c r="L987" s="148" t="n"/>
      <c r="M987" s="148" t="n"/>
      <c r="N987" s="148" t="n"/>
      <c r="O987" s="148" t="n"/>
      <c r="P987" s="148" t="n"/>
      <c r="Q987" s="148" t="n"/>
      <c r="R987" s="148" t="n"/>
      <c r="S987" s="148" t="n"/>
      <c r="T987" s="150" t="n"/>
      <c r="U987" s="150" t="n"/>
      <c r="V987" s="37" t="n"/>
      <c r="W987" s="151" t="n"/>
      <c r="X987" s="151" t="n"/>
      <c r="Y987" s="151" t="n"/>
      <c r="Z987" s="151" t="n"/>
      <c r="AA987" s="151" t="n"/>
      <c r="AB987" s="152" t="n"/>
      <c r="AC987" s="152" t="n"/>
      <c r="AD987" s="152" t="n"/>
      <c r="AE987" s="152" t="n"/>
      <c r="AF987" s="152" t="n"/>
    </row>
    <row r="988" ht="15.75" customHeight="1" s="201">
      <c r="A988" s="37" t="n"/>
      <c r="B988" s="37" t="n"/>
      <c r="C988" s="37" t="n"/>
      <c r="D988" s="37" t="n"/>
      <c r="E988" s="37" t="n"/>
      <c r="F988" s="148" t="n"/>
      <c r="G988" s="148" t="n"/>
      <c r="H988" s="148" t="n"/>
      <c r="I988" s="148" t="n"/>
      <c r="J988" s="149" t="n"/>
      <c r="K988" s="37" t="n"/>
      <c r="L988" s="148" t="n"/>
      <c r="M988" s="148" t="n"/>
      <c r="N988" s="148" t="n"/>
      <c r="O988" s="148" t="n"/>
      <c r="P988" s="148" t="n"/>
      <c r="Q988" s="148" t="n"/>
      <c r="R988" s="148" t="n"/>
      <c r="S988" s="148" t="n"/>
      <c r="T988" s="150" t="n"/>
      <c r="U988" s="150" t="n"/>
      <c r="V988" s="37" t="n"/>
      <c r="W988" s="151" t="n"/>
      <c r="X988" s="151" t="n"/>
      <c r="Y988" s="151" t="n"/>
      <c r="Z988" s="151" t="n"/>
      <c r="AA988" s="151" t="n"/>
      <c r="AB988" s="152" t="n"/>
      <c r="AC988" s="152" t="n"/>
      <c r="AD988" s="152" t="n"/>
      <c r="AE988" s="152" t="n"/>
      <c r="AF988" s="152" t="n"/>
    </row>
    <row r="989" ht="15.75" customHeight="1" s="201">
      <c r="A989" s="37" t="n"/>
      <c r="B989" s="37" t="n"/>
      <c r="C989" s="37" t="n"/>
      <c r="D989" s="37" t="n"/>
      <c r="E989" s="37" t="n"/>
      <c r="F989" s="148" t="n"/>
      <c r="G989" s="148" t="n"/>
      <c r="H989" s="148" t="n"/>
      <c r="I989" s="148" t="n"/>
      <c r="J989" s="149" t="n"/>
      <c r="K989" s="37" t="n"/>
      <c r="L989" s="148" t="n"/>
      <c r="M989" s="148" t="n"/>
      <c r="N989" s="148" t="n"/>
      <c r="O989" s="148" t="n"/>
      <c r="P989" s="148" t="n"/>
      <c r="Q989" s="148" t="n"/>
      <c r="R989" s="148" t="n"/>
      <c r="S989" s="148" t="n"/>
      <c r="T989" s="150" t="n"/>
      <c r="U989" s="150" t="n"/>
      <c r="V989" s="37" t="n"/>
      <c r="W989" s="151" t="n"/>
      <c r="X989" s="151" t="n"/>
      <c r="Y989" s="151" t="n"/>
      <c r="Z989" s="151" t="n"/>
      <c r="AA989" s="151" t="n"/>
      <c r="AB989" s="152" t="n"/>
      <c r="AC989" s="152" t="n"/>
      <c r="AD989" s="152" t="n"/>
      <c r="AE989" s="152" t="n"/>
      <c r="AF989" s="152" t="n"/>
    </row>
    <row r="990" ht="15.75" customHeight="1" s="201">
      <c r="A990" s="37" t="n"/>
      <c r="B990" s="37" t="n"/>
      <c r="C990" s="37" t="n"/>
      <c r="D990" s="37" t="n"/>
      <c r="E990" s="37" t="n"/>
      <c r="F990" s="148" t="n"/>
      <c r="G990" s="148" t="n"/>
      <c r="H990" s="148" t="n"/>
      <c r="I990" s="148" t="n"/>
      <c r="J990" s="149" t="n"/>
      <c r="K990" s="37" t="n"/>
      <c r="L990" s="148" t="n"/>
      <c r="M990" s="148" t="n"/>
      <c r="N990" s="148" t="n"/>
      <c r="O990" s="148" t="n"/>
      <c r="P990" s="148" t="n"/>
      <c r="Q990" s="148" t="n"/>
      <c r="R990" s="148" t="n"/>
      <c r="S990" s="148" t="n"/>
      <c r="T990" s="150" t="n"/>
      <c r="U990" s="150" t="n"/>
      <c r="V990" s="37" t="n"/>
      <c r="W990" s="151" t="n"/>
      <c r="X990" s="151" t="n"/>
      <c r="Y990" s="151" t="n"/>
      <c r="Z990" s="151" t="n"/>
      <c r="AA990" s="151" t="n"/>
      <c r="AB990" s="152" t="n"/>
      <c r="AC990" s="152" t="n"/>
      <c r="AD990" s="152" t="n"/>
      <c r="AE990" s="152" t="n"/>
      <c r="AF990" s="152" t="n"/>
    </row>
    <row r="991" ht="15.75" customHeight="1" s="201">
      <c r="A991" s="37" t="n"/>
      <c r="B991" s="37" t="n"/>
      <c r="C991" s="37" t="n"/>
      <c r="D991" s="37" t="n"/>
      <c r="E991" s="37" t="n"/>
      <c r="F991" s="148" t="n"/>
      <c r="G991" s="148" t="n"/>
      <c r="H991" s="148" t="n"/>
      <c r="I991" s="148" t="n"/>
      <c r="J991" s="149" t="n"/>
      <c r="K991" s="37" t="n"/>
      <c r="L991" s="148" t="n"/>
      <c r="M991" s="148" t="n"/>
      <c r="N991" s="148" t="n"/>
      <c r="O991" s="148" t="n"/>
      <c r="P991" s="148" t="n"/>
      <c r="Q991" s="148" t="n"/>
      <c r="R991" s="148" t="n"/>
      <c r="S991" s="148" t="n"/>
      <c r="T991" s="150" t="n"/>
      <c r="U991" s="150" t="n"/>
      <c r="V991" s="37" t="n"/>
      <c r="W991" s="151" t="n"/>
      <c r="X991" s="151" t="n"/>
      <c r="Y991" s="151" t="n"/>
      <c r="Z991" s="151" t="n"/>
      <c r="AA991" s="151" t="n"/>
      <c r="AB991" s="152" t="n"/>
      <c r="AC991" s="152" t="n"/>
      <c r="AD991" s="152" t="n"/>
      <c r="AE991" s="152" t="n"/>
      <c r="AF991" s="152" t="n"/>
    </row>
    <row r="992" ht="15.75" customHeight="1" s="201">
      <c r="A992" s="37" t="n"/>
      <c r="B992" s="37" t="n"/>
      <c r="C992" s="37" t="n"/>
      <c r="D992" s="37" t="n"/>
      <c r="E992" s="37" t="n"/>
      <c r="F992" s="148" t="n"/>
      <c r="G992" s="148" t="n"/>
      <c r="H992" s="148" t="n"/>
      <c r="I992" s="148" t="n"/>
      <c r="J992" s="149" t="n"/>
      <c r="K992" s="37" t="n"/>
      <c r="L992" s="148" t="n"/>
      <c r="M992" s="148" t="n"/>
      <c r="N992" s="148" t="n"/>
      <c r="O992" s="148" t="n"/>
      <c r="P992" s="148" t="n"/>
      <c r="Q992" s="148" t="n"/>
      <c r="R992" s="148" t="n"/>
      <c r="S992" s="148" t="n"/>
      <c r="T992" s="150" t="n"/>
      <c r="U992" s="150" t="n"/>
      <c r="V992" s="37" t="n"/>
      <c r="W992" s="151" t="n"/>
      <c r="X992" s="151" t="n"/>
      <c r="Y992" s="151" t="n"/>
      <c r="Z992" s="151" t="n"/>
      <c r="AA992" s="151" t="n"/>
      <c r="AB992" s="152" t="n"/>
      <c r="AC992" s="152" t="n"/>
      <c r="AD992" s="152" t="n"/>
      <c r="AE992" s="152" t="n"/>
      <c r="AF992" s="152" t="n"/>
    </row>
    <row r="993" ht="15.75" customHeight="1" s="201">
      <c r="A993" s="37" t="n"/>
      <c r="B993" s="37" t="n"/>
      <c r="C993" s="37" t="n"/>
      <c r="D993" s="37" t="n"/>
      <c r="E993" s="37" t="n"/>
      <c r="F993" s="148" t="n"/>
      <c r="G993" s="148" t="n"/>
      <c r="H993" s="148" t="n"/>
      <c r="I993" s="148" t="n"/>
      <c r="J993" s="149" t="n"/>
      <c r="K993" s="37" t="n"/>
      <c r="L993" s="148" t="n"/>
      <c r="M993" s="148" t="n"/>
      <c r="N993" s="148" t="n"/>
      <c r="O993" s="148" t="n"/>
      <c r="P993" s="148" t="n"/>
      <c r="Q993" s="148" t="n"/>
      <c r="R993" s="148" t="n"/>
      <c r="S993" s="148" t="n"/>
      <c r="T993" s="150" t="n"/>
      <c r="U993" s="150" t="n"/>
      <c r="V993" s="37" t="n"/>
      <c r="W993" s="151" t="n"/>
      <c r="X993" s="151" t="n"/>
      <c r="Y993" s="151" t="n"/>
      <c r="Z993" s="151" t="n"/>
      <c r="AA993" s="151" t="n"/>
      <c r="AB993" s="152" t="n"/>
      <c r="AC993" s="152" t="n"/>
      <c r="AD993" s="152" t="n"/>
      <c r="AE993" s="152" t="n"/>
      <c r="AF993" s="152" t="n"/>
    </row>
    <row r="994" ht="15.75" customHeight="1" s="201">
      <c r="A994" s="37" t="n"/>
      <c r="B994" s="37" t="n"/>
      <c r="C994" s="37" t="n"/>
      <c r="D994" s="37" t="n"/>
      <c r="E994" s="37" t="n"/>
      <c r="F994" s="148" t="n"/>
      <c r="G994" s="148" t="n"/>
      <c r="H994" s="148" t="n"/>
      <c r="I994" s="148" t="n"/>
      <c r="J994" s="149" t="n"/>
      <c r="K994" s="37" t="n"/>
      <c r="L994" s="148" t="n"/>
      <c r="M994" s="148" t="n"/>
      <c r="N994" s="148" t="n"/>
      <c r="O994" s="148" t="n"/>
      <c r="P994" s="148" t="n"/>
      <c r="Q994" s="148" t="n"/>
      <c r="R994" s="148" t="n"/>
      <c r="S994" s="148" t="n"/>
      <c r="T994" s="150" t="n"/>
      <c r="U994" s="150" t="n"/>
      <c r="V994" s="37" t="n"/>
      <c r="W994" s="151" t="n"/>
      <c r="X994" s="151" t="n"/>
      <c r="Y994" s="151" t="n"/>
      <c r="Z994" s="151" t="n"/>
      <c r="AA994" s="151" t="n"/>
      <c r="AB994" s="152" t="n"/>
      <c r="AC994" s="152" t="n"/>
      <c r="AD994" s="152" t="n"/>
      <c r="AE994" s="152" t="n"/>
      <c r="AF994" s="152" t="n"/>
    </row>
    <row r="995" ht="15.75" customHeight="1" s="201">
      <c r="A995" s="37" t="n"/>
      <c r="B995" s="37" t="n"/>
      <c r="C995" s="37" t="n"/>
      <c r="D995" s="37" t="n"/>
      <c r="E995" s="37" t="n"/>
      <c r="F995" s="148" t="n"/>
      <c r="G995" s="148" t="n"/>
      <c r="H995" s="148" t="n"/>
      <c r="I995" s="148" t="n"/>
      <c r="J995" s="149" t="n"/>
      <c r="K995" s="37" t="n"/>
      <c r="L995" s="148" t="n"/>
      <c r="M995" s="148" t="n"/>
      <c r="N995" s="148" t="n"/>
      <c r="O995" s="148" t="n"/>
      <c r="P995" s="148" t="n"/>
      <c r="Q995" s="148" t="n"/>
      <c r="R995" s="148" t="n"/>
      <c r="S995" s="148" t="n"/>
      <c r="T995" s="150" t="n"/>
      <c r="U995" s="150" t="n"/>
      <c r="V995" s="37" t="n"/>
      <c r="W995" s="151" t="n"/>
      <c r="X995" s="151" t="n"/>
      <c r="Y995" s="151" t="n"/>
      <c r="Z995" s="151" t="n"/>
      <c r="AA995" s="151" t="n"/>
      <c r="AB995" s="152" t="n"/>
      <c r="AC995" s="152" t="n"/>
      <c r="AD995" s="152" t="n"/>
      <c r="AE995" s="152" t="n"/>
      <c r="AF995" s="152" t="n"/>
    </row>
    <row r="996" ht="15.75" customHeight="1" s="201">
      <c r="A996" s="37" t="n"/>
      <c r="B996" s="37" t="n"/>
      <c r="C996" s="37" t="n"/>
      <c r="D996" s="37" t="n"/>
      <c r="E996" s="37" t="n"/>
      <c r="F996" s="148" t="n"/>
      <c r="G996" s="148" t="n"/>
      <c r="H996" s="148" t="n"/>
      <c r="I996" s="148" t="n"/>
      <c r="J996" s="149" t="n"/>
      <c r="K996" s="37" t="n"/>
      <c r="L996" s="148" t="n"/>
      <c r="M996" s="148" t="n"/>
      <c r="N996" s="148" t="n"/>
      <c r="O996" s="148" t="n"/>
      <c r="P996" s="148" t="n"/>
      <c r="Q996" s="148" t="n"/>
      <c r="R996" s="148" t="n"/>
      <c r="S996" s="148" t="n"/>
      <c r="T996" s="150" t="n"/>
      <c r="U996" s="150" t="n"/>
      <c r="V996" s="37" t="n"/>
      <c r="W996" s="151" t="n"/>
      <c r="X996" s="151" t="n"/>
      <c r="Y996" s="151" t="n"/>
      <c r="Z996" s="151" t="n"/>
      <c r="AA996" s="151" t="n"/>
      <c r="AB996" s="152" t="n"/>
      <c r="AC996" s="152" t="n"/>
      <c r="AD996" s="152" t="n"/>
      <c r="AE996" s="152" t="n"/>
      <c r="AF996" s="152" t="n"/>
    </row>
    <row r="997" ht="15.75" customHeight="1" s="201">
      <c r="A997" s="37" t="n"/>
      <c r="B997" s="37" t="n"/>
      <c r="C997" s="37" t="n"/>
      <c r="D997" s="37" t="n"/>
      <c r="E997" s="37" t="n"/>
      <c r="F997" s="148" t="n"/>
      <c r="G997" s="148" t="n"/>
      <c r="H997" s="148" t="n"/>
      <c r="I997" s="148" t="n"/>
      <c r="J997" s="149" t="n"/>
      <c r="K997" s="37" t="n"/>
      <c r="L997" s="148" t="n"/>
      <c r="M997" s="148" t="n"/>
      <c r="N997" s="148" t="n"/>
      <c r="O997" s="148" t="n"/>
      <c r="P997" s="148" t="n"/>
      <c r="Q997" s="148" t="n"/>
      <c r="R997" s="148" t="n"/>
      <c r="S997" s="148" t="n"/>
      <c r="T997" s="150" t="n"/>
      <c r="U997" s="150" t="n"/>
      <c r="V997" s="37" t="n"/>
      <c r="W997" s="151" t="n"/>
      <c r="X997" s="151" t="n"/>
      <c r="Y997" s="151" t="n"/>
      <c r="Z997" s="151" t="n"/>
      <c r="AA997" s="151" t="n"/>
      <c r="AB997" s="152" t="n"/>
      <c r="AC997" s="152" t="n"/>
      <c r="AD997" s="152" t="n"/>
      <c r="AE997" s="152" t="n"/>
      <c r="AF997" s="152" t="n"/>
    </row>
    <row r="998" ht="15.75" customHeight="1" s="201">
      <c r="A998" s="37" t="n"/>
      <c r="B998" s="37" t="n"/>
      <c r="C998" s="37" t="n"/>
      <c r="D998" s="37" t="n"/>
      <c r="E998" s="37" t="n"/>
      <c r="F998" s="148" t="n"/>
      <c r="G998" s="148" t="n"/>
      <c r="H998" s="148" t="n"/>
      <c r="I998" s="148" t="n"/>
      <c r="J998" s="149" t="n"/>
      <c r="K998" s="37" t="n"/>
      <c r="L998" s="148" t="n"/>
      <c r="M998" s="148" t="n"/>
      <c r="N998" s="148" t="n"/>
      <c r="O998" s="148" t="n"/>
      <c r="P998" s="148" t="n"/>
      <c r="Q998" s="148" t="n"/>
      <c r="R998" s="148" t="n"/>
      <c r="S998" s="148" t="n"/>
      <c r="T998" s="150" t="n"/>
      <c r="U998" s="150" t="n"/>
      <c r="V998" s="37" t="n"/>
      <c r="W998" s="151" t="n"/>
      <c r="X998" s="151" t="n"/>
      <c r="Y998" s="151" t="n"/>
      <c r="Z998" s="151" t="n"/>
      <c r="AA998" s="151" t="n"/>
      <c r="AB998" s="152" t="n"/>
      <c r="AC998" s="152" t="n"/>
      <c r="AD998" s="152" t="n"/>
      <c r="AE998" s="152" t="n"/>
      <c r="AF998" s="152" t="n"/>
    </row>
    <row r="999" ht="15.75" customHeight="1" s="201">
      <c r="A999" s="37" t="n"/>
      <c r="B999" s="37" t="n"/>
      <c r="C999" s="37" t="n"/>
      <c r="D999" s="37" t="n"/>
      <c r="E999" s="37" t="n"/>
      <c r="F999" s="148" t="n"/>
      <c r="G999" s="148" t="n"/>
      <c r="H999" s="148" t="n"/>
      <c r="I999" s="148" t="n"/>
      <c r="J999" s="149" t="n"/>
      <c r="K999" s="37" t="n"/>
      <c r="L999" s="148" t="n"/>
      <c r="M999" s="148" t="n"/>
      <c r="N999" s="148" t="n"/>
      <c r="O999" s="148" t="n"/>
      <c r="P999" s="148" t="n"/>
      <c r="Q999" s="148" t="n"/>
      <c r="R999" s="148" t="n"/>
      <c r="S999" s="148" t="n"/>
      <c r="T999" s="150" t="n"/>
      <c r="U999" s="150" t="n"/>
      <c r="V999" s="37" t="n"/>
      <c r="W999" s="151" t="n"/>
      <c r="X999" s="151" t="n"/>
      <c r="Y999" s="151" t="n"/>
      <c r="Z999" s="151" t="n"/>
      <c r="AA999" s="151" t="n"/>
      <c r="AB999" s="152" t="n"/>
      <c r="AC999" s="152" t="n"/>
      <c r="AD999" s="152" t="n"/>
      <c r="AE999" s="152" t="n"/>
      <c r="AF999" s="152" t="n"/>
    </row>
    <row r="1000" ht="15.75" customHeight="1" s="201">
      <c r="A1000" s="37" t="n"/>
      <c r="B1000" s="37" t="n"/>
      <c r="C1000" s="37" t="n"/>
      <c r="D1000" s="37" t="n"/>
      <c r="E1000" s="37" t="n"/>
      <c r="F1000" s="148" t="n"/>
      <c r="G1000" s="148" t="n"/>
      <c r="H1000" s="148" t="n"/>
      <c r="I1000" s="148" t="n"/>
      <c r="J1000" s="149" t="n"/>
      <c r="K1000" s="37" t="n"/>
      <c r="L1000" s="148" t="n"/>
      <c r="M1000" s="148" t="n"/>
      <c r="N1000" s="148" t="n"/>
      <c r="O1000" s="148" t="n"/>
      <c r="P1000" s="148" t="n"/>
      <c r="Q1000" s="148" t="n"/>
      <c r="R1000" s="148" t="n"/>
      <c r="S1000" s="148" t="n"/>
      <c r="T1000" s="150" t="n"/>
      <c r="U1000" s="150" t="n"/>
      <c r="V1000" s="37" t="n"/>
      <c r="W1000" s="151" t="n"/>
      <c r="X1000" s="151" t="n"/>
      <c r="Y1000" s="151" t="n"/>
      <c r="Z1000" s="151" t="n"/>
      <c r="AA1000" s="151" t="n"/>
      <c r="AB1000" s="152" t="n"/>
      <c r="AC1000" s="152" t="n"/>
      <c r="AD1000" s="152" t="n"/>
      <c r="AE1000" s="152" t="n"/>
      <c r="AF1000" s="152" t="n"/>
    </row>
  </sheetData>
  <mergeCells count="10">
    <mergeCell ref="W1:AF1"/>
    <mergeCell ref="W2:AA2"/>
    <mergeCell ref="J1:J2"/>
    <mergeCell ref="AB2:AF2"/>
    <mergeCell ref="F1:G1"/>
    <mergeCell ref="K1:K2"/>
    <mergeCell ref="L1:O1"/>
    <mergeCell ref="M2:O2"/>
    <mergeCell ref="P1:S1"/>
    <mergeCell ref="Q2:S2"/>
  </mergeCells>
  <conditionalFormatting sqref="E4:E357">
    <cfRule type="colorScale" priority="1">
      <colorScale>
        <cfvo type="min"/>
        <cfvo type="percentile" val="50"/>
        <cfvo type="max"/>
        <color rgb="FFF8696B"/>
        <color rgb="FFFFEB84"/>
        <color rgb="FF63BE7B"/>
      </colorScale>
    </cfRule>
  </conditionalFormatting>
  <conditionalFormatting sqref="E34:E357">
    <cfRule type="colorScale" priority="2">
      <colorScale>
        <cfvo type="min"/>
        <cfvo type="percentile" val="50"/>
        <cfvo type="max"/>
        <color rgb="FFF8696B"/>
        <color rgb="FFFFEB84"/>
        <color rgb="FF63BE7B"/>
      </colorScale>
    </cfRule>
  </conditionalFormatting>
  <conditionalFormatting sqref="F4:G357">
    <cfRule type="cellIs" priority="3" operator="equal" dxfId="0">
      <formula>0</formula>
    </cfRule>
  </conditionalFormatting>
  <conditionalFormatting sqref="L2:L1000">
    <cfRule type="containsText" priority="4" operator="containsText" dxfId="1" text="PROXY">
      <formula>NOT(ISERROR(SEARCH(("PROXY"),(L2))))</formula>
    </cfRule>
  </conditionalFormatting>
  <conditionalFormatting sqref="L4:L357">
    <cfRule type="expression" priority="5" dxfId="2">
      <formula>"if(1,?;?,?)"</formula>
    </cfRule>
  </conditionalFormatting>
  <conditionalFormatting sqref="P2:P1000">
    <cfRule type="containsText" priority="6" operator="containsText" dxfId="1" text="PROXY">
      <formula>NOT(ISERROR(SEARCH(("PROXY"),(P2))))</formula>
    </cfRule>
  </conditionalFormatting>
  <conditionalFormatting sqref="P4:P357">
    <cfRule type="expression" priority="7" dxfId="2">
      <formula>"if(1,?;?,?)"</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Q1000"/>
  <sheetViews>
    <sheetView workbookViewId="0">
      <selection activeCell="A1" sqref="A1"/>
    </sheetView>
  </sheetViews>
  <sheetFormatPr baseColWidth="8" defaultColWidth="12.63" defaultRowHeight="15" customHeight="1"/>
  <cols>
    <col width="18.88" customWidth="1" style="201" min="1" max="1"/>
    <col width="30.88" customWidth="1" style="201" min="2" max="2"/>
    <col width="16.5" customWidth="1" style="201" min="3" max="7"/>
    <col width="16" customWidth="1" style="201" min="8" max="12"/>
    <col width="13.63" customWidth="1" style="201" min="13" max="13"/>
    <col width="11.88" customWidth="1" style="201" min="14" max="15"/>
    <col width="12.13" customWidth="1" style="201" min="16" max="16"/>
    <col width="11.88" customWidth="1" style="201" min="17" max="17"/>
    <col width="10.63" customWidth="1" style="201" min="18" max="26"/>
  </cols>
  <sheetData>
    <row r="1">
      <c r="B1" s="154" t="n"/>
      <c r="C1" s="154" t="n"/>
      <c r="D1" s="154" t="n"/>
      <c r="E1" s="154" t="n"/>
      <c r="F1" s="154" t="n"/>
      <c r="G1" s="154" t="n"/>
      <c r="H1" s="154" t="n"/>
      <c r="I1" s="154" t="n"/>
      <c r="J1" s="154" t="n"/>
      <c r="K1" s="154" t="n"/>
    </row>
    <row r="2">
      <c r="B2" s="154" t="n"/>
      <c r="C2" s="218" t="inlineStr">
        <is>
          <t>FARM GATE</t>
        </is>
      </c>
      <c r="H2" s="219" t="inlineStr">
        <is>
          <t>PROCESSOR GATE</t>
        </is>
      </c>
      <c r="M2" s="220" t="inlineStr">
        <is>
          <t>TOTAL LIFE CYCLE</t>
        </is>
      </c>
    </row>
    <row r="3">
      <c r="A3" s="154" t="n"/>
      <c r="B3" s="154" t="n"/>
      <c r="C3" s="159" t="inlineStr">
        <is>
          <t>Values</t>
        </is>
      </c>
      <c r="D3" s="160" t="n"/>
      <c r="E3" s="160" t="n"/>
      <c r="F3" s="160" t="n"/>
      <c r="G3" s="160" t="n"/>
      <c r="H3" s="161" t="n"/>
      <c r="I3" s="161" t="n"/>
      <c r="J3" s="161" t="n"/>
      <c r="K3" s="161" t="n"/>
      <c r="L3" s="161" t="n"/>
      <c r="M3" s="162" t="n"/>
      <c r="N3" s="162" t="n"/>
      <c r="O3" s="162" t="n"/>
      <c r="P3" s="162" t="n"/>
      <c r="Q3" s="162" t="n"/>
    </row>
    <row r="4">
      <c r="A4" s="154" t="inlineStr">
        <is>
          <t>FOOD TYPE</t>
        </is>
      </c>
      <c r="B4" s="154" t="inlineStr">
        <is>
          <t>SUB TYPE</t>
        </is>
      </c>
      <c r="C4" s="160" t="inlineStr">
        <is>
          <t>Count of ACTIVE     GHGE, FARM GATE (kg CO2e/kg)</t>
        </is>
      </c>
      <c r="D4" s="160" t="inlineStr">
        <is>
          <t>Average of ACTIVE     GHGE, FARM GATE (kg CO2e/kg)</t>
        </is>
      </c>
      <c r="E4" s="160" t="inlineStr">
        <is>
          <t>Min of ACTIVE     GHGE, FARM GATE (kg CO2e/kg)</t>
        </is>
      </c>
      <c r="F4" s="160" t="inlineStr">
        <is>
          <t>Max of ACTIVE     GHGE, FARM GATE (kg CO2e/kg)</t>
        </is>
      </c>
      <c r="G4" s="160" t="inlineStr">
        <is>
          <t>StdDev of ACTIVE     GHGE, FARM GATE (kg CO2e/kg)</t>
        </is>
      </c>
      <c r="H4" s="161" t="inlineStr">
        <is>
          <t>Count of GHGE, processor gate (kg CO2e/kg)</t>
        </is>
      </c>
      <c r="I4" s="161" t="inlineStr">
        <is>
          <t>Average of GHGE, processor gate (kg CO2e/kg)</t>
        </is>
      </c>
      <c r="J4" s="161" t="inlineStr">
        <is>
          <t>Min of GHGE, processor gate (kg CO2e/kg)</t>
        </is>
      </c>
      <c r="K4" s="161" t="inlineStr">
        <is>
          <t>Max of GHGE, processor gate (kg CO2e/kg)</t>
        </is>
      </c>
      <c r="L4" s="161" t="inlineStr">
        <is>
          <t>StdDev of GHGE, processor gate (kg CO2e/kg)</t>
        </is>
      </c>
      <c r="M4" s="162" t="inlineStr">
        <is>
          <t>Count of GHGE, TOTAL LC (kg CO2e/kg)</t>
        </is>
      </c>
      <c r="N4" s="162" t="inlineStr">
        <is>
          <t>Average of GHGE, TOTAL LC (kg CO2e/kg)</t>
        </is>
      </c>
      <c r="O4" s="162" t="inlineStr">
        <is>
          <t>Min of GHGE, TOTAL LC (kg CO2e/kg)</t>
        </is>
      </c>
      <c r="P4" s="162" t="inlineStr">
        <is>
          <t>Max of GHGE, TOTAL LC (kg CO2e/kg)</t>
        </is>
      </c>
      <c r="Q4" s="162" t="inlineStr">
        <is>
          <t>StdDev of GHGE, TOTAL LC (kg CO2e/kg)</t>
        </is>
      </c>
    </row>
    <row r="5">
      <c r="A5" s="1" t="inlineStr">
        <is>
          <t>Beverages</t>
        </is>
      </c>
      <c r="B5" s="1" t="inlineStr">
        <is>
          <t>Beer</t>
        </is>
      </c>
      <c r="C5" s="154" t="n">
        <v>26</v>
      </c>
      <c r="D5" s="154" t="n">
        <v>0.1667471073317297</v>
      </c>
      <c r="E5" s="154" t="n">
        <v>0.04483549124143178</v>
      </c>
      <c r="F5" s="154" t="n">
        <v>0.3358910891089109</v>
      </c>
      <c r="G5" s="154" t="n">
        <v>0.08908372048081285</v>
      </c>
      <c r="H5" s="154" t="n">
        <v>24</v>
      </c>
      <c r="I5" s="154" t="n">
        <v>0.3149055927435144</v>
      </c>
      <c r="J5" s="154" t="n">
        <v>0.06538613861386139</v>
      </c>
      <c r="K5" s="154" t="n">
        <v>0.8594059405940593</v>
      </c>
      <c r="L5" s="154" t="n">
        <v>0.2588855657019001</v>
      </c>
      <c r="M5" s="154" t="n">
        <v>26</v>
      </c>
      <c r="N5" s="154" t="n">
        <v>0.6919477212499837</v>
      </c>
      <c r="O5" s="154" t="n">
        <v>0.09122772277227724</v>
      </c>
      <c r="P5" s="154" t="n">
        <v>1.483168316831683</v>
      </c>
      <c r="Q5" s="154" t="n">
        <v>0.4095077296946247</v>
      </c>
    </row>
    <row r="6">
      <c r="B6" s="1" t="inlineStr">
        <is>
          <t>Carbonated Drinks</t>
        </is>
      </c>
      <c r="C6" s="154" t="n">
        <v>6</v>
      </c>
      <c r="D6" s="154" t="n">
        <v>0.03838771593090212</v>
      </c>
      <c r="E6" s="154" t="n">
        <v>0.03838771593090211</v>
      </c>
      <c r="F6" s="154" t="n">
        <v>0.03838771593090211</v>
      </c>
      <c r="G6" s="154" t="n">
        <v>0</v>
      </c>
      <c r="H6" s="154" t="n">
        <v>6</v>
      </c>
      <c r="I6" s="154" t="n">
        <v>0.06605886116442738</v>
      </c>
      <c r="J6" s="154" t="n">
        <v>0.04990403071017274</v>
      </c>
      <c r="K6" s="154" t="n">
        <v>0.09213051823416507</v>
      </c>
      <c r="L6" s="154" t="n">
        <v>0.01723621982115221</v>
      </c>
      <c r="M6" s="154" t="n">
        <v>17</v>
      </c>
      <c r="N6" s="154" t="n">
        <v>0.4752532665482874</v>
      </c>
      <c r="O6" s="154" t="n">
        <v>0.1163264119118246</v>
      </c>
      <c r="P6" s="154" t="n">
        <v>1.046937707206421</v>
      </c>
      <c r="Q6" s="154" t="n">
        <v>0.3113735386560144</v>
      </c>
    </row>
    <row r="7">
      <c r="B7" s="1" t="inlineStr">
        <is>
          <t>Coffee, brewed</t>
        </is>
      </c>
      <c r="C7" s="154" t="n">
        <v>1</v>
      </c>
      <c r="D7" s="154" t="n">
        <v>0.38</v>
      </c>
      <c r="E7" s="154" t="n">
        <v>0.38</v>
      </c>
      <c r="F7" s="154" t="n">
        <v>0.38</v>
      </c>
      <c r="G7" s="154" t="e">
        <v>#DIV/0!</v>
      </c>
      <c r="H7" s="154" t="n">
        <v>0</v>
      </c>
      <c r="I7" s="154" t="e">
        <v>#DIV/0!</v>
      </c>
      <c r="J7" s="154" t="n">
        <v>0</v>
      </c>
      <c r="K7" s="154" t="n">
        <v>0</v>
      </c>
      <c r="L7" s="154" t="e">
        <v>#DIV/0!</v>
      </c>
      <c r="M7" s="154" t="n">
        <v>4</v>
      </c>
      <c r="N7" s="154" t="n">
        <v>0.804688192131469</v>
      </c>
      <c r="O7" s="154" t="n">
        <v>0.3804081356619947</v>
      </c>
      <c r="P7" s="154" t="n">
        <v>1.21</v>
      </c>
      <c r="Q7" s="154" t="n">
        <v>0.4114470620183745</v>
      </c>
    </row>
    <row r="8">
      <c r="B8" s="1" t="inlineStr">
        <is>
          <t>Coffee, Instant</t>
        </is>
      </c>
      <c r="C8" s="154" t="n">
        <v>1</v>
      </c>
      <c r="D8" s="154" t="n">
        <v>7.75</v>
      </c>
      <c r="E8" s="154" t="n">
        <v>7.75</v>
      </c>
      <c r="F8" s="154" t="n">
        <v>7.75</v>
      </c>
      <c r="G8" s="154" t="e">
        <v>#DIV/0!</v>
      </c>
      <c r="H8" s="154" t="n">
        <v>2</v>
      </c>
      <c r="I8" s="154" t="n">
        <v>19.2</v>
      </c>
      <c r="J8" s="154" t="n">
        <v>11.35</v>
      </c>
      <c r="K8" s="154" t="n">
        <v>27.05</v>
      </c>
      <c r="L8" s="154" t="n">
        <v>11.1015764646288</v>
      </c>
      <c r="M8" s="154" t="n">
        <v>2</v>
      </c>
      <c r="N8" s="154" t="n">
        <v>37.225</v>
      </c>
      <c r="O8" s="154" t="n">
        <v>35</v>
      </c>
      <c r="P8" s="154" t="n">
        <v>39.45</v>
      </c>
      <c r="Q8" s="154" t="n">
        <v>3.146625176280119</v>
      </c>
    </row>
    <row r="9">
      <c r="B9" s="1" t="inlineStr">
        <is>
          <t>Coffee, roasted bean</t>
        </is>
      </c>
      <c r="C9" s="154" t="n">
        <v>2</v>
      </c>
      <c r="D9" s="154" t="n">
        <v>3.567806267806268</v>
      </c>
      <c r="E9" s="154" t="n">
        <v>2.874074074074074</v>
      </c>
      <c r="F9" s="154" t="n">
        <v>4.261538461538461</v>
      </c>
      <c r="G9" s="154" t="n">
        <v>0.981085477030906</v>
      </c>
      <c r="H9" s="154" t="n">
        <v>3</v>
      </c>
      <c r="I9" s="154" t="n">
        <v>6.279080179080179</v>
      </c>
      <c r="J9" s="154" t="n">
        <v>3.288888888888889</v>
      </c>
      <c r="K9" s="154" t="n">
        <v>10.67142857142857</v>
      </c>
      <c r="L9" s="154" t="n">
        <v>3.885872674884688</v>
      </c>
      <c r="M9" s="154" t="n">
        <v>3</v>
      </c>
      <c r="N9" s="154" t="n">
        <v>12.60802197802198</v>
      </c>
      <c r="O9" s="154" t="n">
        <v>8.6</v>
      </c>
      <c r="P9" s="154" t="n">
        <v>16.67692307692307</v>
      </c>
      <c r="Q9" s="154" t="n">
        <v>4.038805677196217</v>
      </c>
    </row>
    <row r="10">
      <c r="B10" s="1" t="inlineStr">
        <is>
          <t>Grape, wine and sherry</t>
        </is>
      </c>
      <c r="C10" s="154" t="n">
        <v>92</v>
      </c>
      <c r="D10" s="154" t="n">
        <v>0.5297185743862759</v>
      </c>
      <c r="E10" s="154" t="n">
        <v>0.06122448979591837</v>
      </c>
      <c r="F10" s="154" t="n">
        <v>2.72108843537415</v>
      </c>
      <c r="G10" s="154" t="n">
        <v>0.4089175979269224</v>
      </c>
      <c r="H10" s="154" t="n">
        <v>44</v>
      </c>
      <c r="I10" s="154" t="n">
        <v>0.779889019789734</v>
      </c>
      <c r="J10" s="154" t="n">
        <v>0.08843537414965986</v>
      </c>
      <c r="K10" s="154" t="n">
        <v>4.560544217687075</v>
      </c>
      <c r="L10" s="154" t="n">
        <v>0.7916860345340946</v>
      </c>
      <c r="M10" s="154" t="n">
        <v>50</v>
      </c>
      <c r="N10" s="154" t="n">
        <v>1.821114582312925</v>
      </c>
      <c r="O10" s="154" t="n">
        <v>0.3986394557823129</v>
      </c>
      <c r="P10" s="154" t="n">
        <v>6.141496598639456</v>
      </c>
      <c r="Q10" s="154" t="n">
        <v>1.026206093672398</v>
      </c>
    </row>
    <row r="11">
      <c r="B11" s="1" t="inlineStr">
        <is>
          <t>Lemon, juice</t>
        </is>
      </c>
      <c r="C11" s="154" t="n">
        <v>1</v>
      </c>
      <c r="D11" s="154" t="n">
        <v>0.264</v>
      </c>
      <c r="E11" s="154" t="n">
        <v>0.264</v>
      </c>
      <c r="F11" s="154" t="n">
        <v>0.264</v>
      </c>
      <c r="G11" s="154" t="e">
        <v>#DIV/0!</v>
      </c>
      <c r="H11" s="154" t="n">
        <v>1</v>
      </c>
      <c r="I11" s="154" t="n">
        <v>0.3316</v>
      </c>
      <c r="J11" s="154" t="n">
        <v>0.3316</v>
      </c>
      <c r="K11" s="154" t="n">
        <v>0.3316</v>
      </c>
      <c r="L11" s="154" t="e">
        <v>#DIV/0!</v>
      </c>
      <c r="M11" s="154" t="n">
        <v>1</v>
      </c>
      <c r="N11" s="154" t="n">
        <v>0.6215999999999999</v>
      </c>
      <c r="O11" s="154" t="n">
        <v>0.6215999999999999</v>
      </c>
      <c r="P11" s="154" t="n">
        <v>0.6215999999999999</v>
      </c>
      <c r="Q11" s="154" t="e">
        <v>#DIV/0!</v>
      </c>
    </row>
    <row r="12">
      <c r="B12" s="1" t="inlineStr">
        <is>
          <t>Lemon, Juice, concentrate</t>
        </is>
      </c>
      <c r="C12" s="154" t="n">
        <v>0</v>
      </c>
      <c r="D12" s="154" t="e">
        <v>#DIV/0!</v>
      </c>
      <c r="E12" s="154" t="n">
        <v>0</v>
      </c>
      <c r="F12" s="154" t="n">
        <v>0</v>
      </c>
      <c r="G12" s="154" t="e">
        <v>#DIV/0!</v>
      </c>
      <c r="H12" s="154" t="n">
        <v>0</v>
      </c>
      <c r="I12" s="154" t="e">
        <v>#DIV/0!</v>
      </c>
      <c r="J12" s="154" t="n">
        <v>0</v>
      </c>
      <c r="K12" s="154" t="n">
        <v>0</v>
      </c>
      <c r="L12" s="154" t="e">
        <v>#DIV/0!</v>
      </c>
      <c r="M12" s="154" t="n">
        <v>1</v>
      </c>
      <c r="N12" s="154" t="n">
        <v>4</v>
      </c>
      <c r="O12" s="154" t="n">
        <v>4</v>
      </c>
      <c r="P12" s="154" t="n">
        <v>4</v>
      </c>
      <c r="Q12" s="154" t="e">
        <v>#DIV/0!</v>
      </c>
    </row>
    <row r="13">
      <c r="B13" s="1" t="inlineStr">
        <is>
          <t>liquor</t>
        </is>
      </c>
      <c r="C13" s="154" t="n">
        <v>4</v>
      </c>
      <c r="D13" s="154" t="n">
        <v>0.6778634751773049</v>
      </c>
      <c r="E13" s="154" t="n">
        <v>0.6595744680851064</v>
      </c>
      <c r="F13" s="154" t="n">
        <v>0.7038297872340425</v>
      </c>
      <c r="G13" s="154" t="n">
        <v>0.01861996768309069</v>
      </c>
      <c r="H13" s="154" t="n">
        <v>3</v>
      </c>
      <c r="I13" s="154" t="n">
        <v>2.17113475177305</v>
      </c>
      <c r="J13" s="154" t="n">
        <v>1.630851063829788</v>
      </c>
      <c r="K13" s="154" t="n">
        <v>2.801985815602837</v>
      </c>
      <c r="L13" s="154" t="n">
        <v>0.5907969100154958</v>
      </c>
      <c r="M13" s="154" t="n">
        <v>4</v>
      </c>
      <c r="N13" s="154" t="n">
        <v>3.189352836879433</v>
      </c>
      <c r="O13" s="154" t="n">
        <v>2.245</v>
      </c>
      <c r="P13" s="154" t="n">
        <v>4.212765957446809</v>
      </c>
      <c r="Q13" s="154" t="n">
        <v>1.011593315257454</v>
      </c>
    </row>
    <row r="14">
      <c r="B14" s="1" t="inlineStr">
        <is>
          <t>Orange, Juice</t>
        </is>
      </c>
      <c r="C14" s="154" t="n">
        <v>7</v>
      </c>
      <c r="D14" s="154" t="n">
        <v>0.2801066542003744</v>
      </c>
      <c r="E14" s="154" t="n">
        <v>0.1030534351145038</v>
      </c>
      <c r="F14" s="154" t="n">
        <v>0.546161352350766</v>
      </c>
      <c r="G14" s="154" t="n">
        <v>0.200372631142829</v>
      </c>
      <c r="H14" s="154" t="n">
        <v>5</v>
      </c>
      <c r="I14" s="154" t="n">
        <v>0.5093862899263256</v>
      </c>
      <c r="J14" s="154" t="n">
        <v>0.1708015267175572</v>
      </c>
      <c r="K14" s="154" t="n">
        <v>0.8129553523507661</v>
      </c>
      <c r="L14" s="154" t="n">
        <v>0.2724524805172428</v>
      </c>
      <c r="M14" s="154" t="n">
        <v>5</v>
      </c>
      <c r="N14" s="154" t="n">
        <v>0.7502556153446002</v>
      </c>
      <c r="O14" s="154" t="n">
        <v>0.4045801526717557</v>
      </c>
      <c r="P14" s="154" t="n">
        <v>0.9732614896988907</v>
      </c>
      <c r="Q14" s="154" t="n">
        <v>0.2290482870466289</v>
      </c>
    </row>
    <row r="15">
      <c r="B15" s="1" t="inlineStr">
        <is>
          <t>Orange, Juice,  concentrate</t>
        </is>
      </c>
      <c r="C15" s="154" t="n">
        <v>0</v>
      </c>
      <c r="D15" s="154" t="e">
        <v>#DIV/0!</v>
      </c>
      <c r="E15" s="154" t="n">
        <v>0</v>
      </c>
      <c r="F15" s="154" t="n">
        <v>0</v>
      </c>
      <c r="G15" s="154" t="e">
        <v>#DIV/0!</v>
      </c>
      <c r="H15" s="154" t="n">
        <v>0</v>
      </c>
      <c r="I15" s="154" t="e">
        <v>#DIV/0!</v>
      </c>
      <c r="J15" s="154" t="n">
        <v>0</v>
      </c>
      <c r="K15" s="154" t="n">
        <v>0</v>
      </c>
      <c r="L15" s="154" t="e">
        <v>#DIV/0!</v>
      </c>
      <c r="M15" s="154" t="n">
        <v>1</v>
      </c>
      <c r="N15" s="154" t="n">
        <v>5.7</v>
      </c>
      <c r="O15" s="154" t="n">
        <v>5.7</v>
      </c>
      <c r="P15" s="154" t="n">
        <v>5.7</v>
      </c>
      <c r="Q15" s="154" t="e">
        <v>#DIV/0!</v>
      </c>
    </row>
    <row r="16">
      <c r="B16" s="1" t="inlineStr">
        <is>
          <t>Soybean, soy milk</t>
        </is>
      </c>
      <c r="C16" s="154" t="n">
        <v>1</v>
      </c>
      <c r="D16" s="154" t="n">
        <v>0.093</v>
      </c>
      <c r="E16" s="154" t="n">
        <v>0.093</v>
      </c>
      <c r="F16" s="154" t="n">
        <v>0.093</v>
      </c>
      <c r="G16" s="154" t="e">
        <v>#DIV/0!</v>
      </c>
      <c r="H16" s="154" t="n">
        <v>3</v>
      </c>
      <c r="I16" s="154" t="n">
        <v>0.2583233333333333</v>
      </c>
      <c r="J16" s="154" t="n">
        <v>0.15309</v>
      </c>
      <c r="K16" s="154" t="n">
        <v>0.453</v>
      </c>
      <c r="L16" s="154" t="n">
        <v>0.1687796920050909</v>
      </c>
      <c r="M16" s="154" t="n">
        <v>7</v>
      </c>
      <c r="N16" s="154" t="n">
        <v>0.5640433333333333</v>
      </c>
      <c r="O16" s="154" t="n">
        <v>0.15309</v>
      </c>
      <c r="P16" s="154" t="n">
        <v>0.89</v>
      </c>
      <c r="Q16" s="154" t="n">
        <v>0.2910430305527574</v>
      </c>
    </row>
    <row r="17">
      <c r="B17" s="1" t="inlineStr">
        <is>
          <t>Tea</t>
        </is>
      </c>
      <c r="C17" s="154" t="n">
        <v>0</v>
      </c>
      <c r="D17" s="154" t="e">
        <v>#DIV/0!</v>
      </c>
      <c r="E17" s="154" t="n">
        <v>0</v>
      </c>
      <c r="F17" s="154" t="n">
        <v>0</v>
      </c>
      <c r="G17" s="154" t="e">
        <v>#DIV/0!</v>
      </c>
      <c r="H17" s="154" t="n">
        <v>0</v>
      </c>
      <c r="I17" s="154" t="e">
        <v>#DIV/0!</v>
      </c>
      <c r="J17" s="154" t="n">
        <v>0</v>
      </c>
      <c r="K17" s="154" t="n">
        <v>0</v>
      </c>
      <c r="L17" s="154" t="e">
        <v>#DIV/0!</v>
      </c>
      <c r="M17" s="154" t="n">
        <v>4</v>
      </c>
      <c r="N17" s="154" t="n">
        <v>0.1912633764574349</v>
      </c>
      <c r="O17" s="154" t="n">
        <v>0.1788851621146782</v>
      </c>
      <c r="P17" s="154" t="n">
        <v>0.2060373742213704</v>
      </c>
      <c r="Q17" s="154" t="n">
        <v>0.01232874000629172</v>
      </c>
    </row>
    <row r="18">
      <c r="B18" s="1" t="inlineStr">
        <is>
          <t>Tea, dried</t>
        </is>
      </c>
      <c r="C18" s="154" t="n">
        <v>4</v>
      </c>
      <c r="D18" s="154" t="n">
        <v>1.779642857142857</v>
      </c>
      <c r="E18" s="154" t="n">
        <v>1.07</v>
      </c>
      <c r="F18" s="154" t="n">
        <v>2.914285714285715</v>
      </c>
      <c r="G18" s="154" t="n">
        <v>0.8009623251180439</v>
      </c>
      <c r="H18" s="154" t="n">
        <v>5</v>
      </c>
      <c r="I18" s="154" t="n">
        <v>3.820285714285714</v>
      </c>
      <c r="J18" s="154" t="n">
        <v>1.13</v>
      </c>
      <c r="K18" s="154" t="n">
        <v>6.685714285714286</v>
      </c>
      <c r="L18" s="154" t="n">
        <v>2.446866467587491</v>
      </c>
      <c r="M18" s="154" t="n">
        <v>5</v>
      </c>
      <c r="N18" s="154" t="n">
        <v>12.18142857142857</v>
      </c>
      <c r="O18" s="154" t="n">
        <v>4.32</v>
      </c>
      <c r="P18" s="154" t="n">
        <v>16.62857142857143</v>
      </c>
      <c r="Q18" s="154" t="n">
        <v>4.801184590222267</v>
      </c>
    </row>
    <row r="19">
      <c r="B19" s="1" t="inlineStr">
        <is>
          <t>Water, direct, bottled</t>
        </is>
      </c>
      <c r="C19" s="154" t="n">
        <v>0</v>
      </c>
      <c r="D19" s="154" t="e">
        <v>#DIV/0!</v>
      </c>
      <c r="E19" s="154" t="n">
        <v>0</v>
      </c>
      <c r="F19" s="154" t="n">
        <v>0</v>
      </c>
      <c r="G19" s="154" t="e">
        <v>#DIV/0!</v>
      </c>
      <c r="H19" s="154" t="n">
        <v>24</v>
      </c>
      <c r="I19" s="154" t="n">
        <v>0.008890461611586423</v>
      </c>
      <c r="J19" s="154" t="n">
        <v>0.0004137608742540801</v>
      </c>
      <c r="K19" s="154" t="n">
        <v>0.01092697773623793</v>
      </c>
      <c r="L19" s="154" t="n">
        <v>0.003680446140864338</v>
      </c>
      <c r="M19" s="154" t="n">
        <v>24</v>
      </c>
      <c r="N19" s="154" t="n">
        <v>0.2904480262579785</v>
      </c>
      <c r="O19" s="154" t="n">
        <v>0.05780465885397942</v>
      </c>
      <c r="P19" s="154" t="n">
        <v>1.354219090756585</v>
      </c>
      <c r="Q19" s="154" t="n">
        <v>0.3433667388215207</v>
      </c>
    </row>
    <row r="20">
      <c r="B20" s="1" t="inlineStr">
        <is>
          <t>Water, direct, tap</t>
        </is>
      </c>
      <c r="C20" s="154" t="n">
        <v>0</v>
      </c>
      <c r="D20" s="154" t="e">
        <v>#DIV/0!</v>
      </c>
      <c r="E20" s="154" t="n">
        <v>0</v>
      </c>
      <c r="F20" s="154" t="n">
        <v>0</v>
      </c>
      <c r="G20" s="154" t="e">
        <v>#DIV/0!</v>
      </c>
      <c r="H20" s="154" t="n">
        <v>12</v>
      </c>
      <c r="I20" s="154" t="n">
        <v>0.0004665244725637276</v>
      </c>
      <c r="J20" s="154" t="n">
        <v>0.0002791957245907926</v>
      </c>
      <c r="K20" s="154" t="n">
        <v>0.0007249502720061351</v>
      </c>
      <c r="L20" s="154" t="n">
        <v>0.0001326387132336366</v>
      </c>
      <c r="M20" s="154" t="n">
        <v>12</v>
      </c>
      <c r="N20" s="154" t="n">
        <v>0.03195536463201285</v>
      </c>
      <c r="O20" s="154" t="n">
        <v>0.001254415606202219</v>
      </c>
      <c r="P20" s="154" t="n">
        <v>0.07398926354638484</v>
      </c>
      <c r="Q20" s="154" t="n">
        <v>0.01832069083786549</v>
      </c>
    </row>
    <row r="21" ht="15.75" customHeight="1" s="201">
      <c r="A21" s="163" t="inlineStr">
        <is>
          <t>Beverages Total</t>
        </is>
      </c>
      <c r="B21" s="163" t="n"/>
      <c r="C21" s="164" t="n">
        <v>145</v>
      </c>
      <c r="D21" s="164" t="n">
        <v>0.5566430646485762</v>
      </c>
      <c r="E21" s="164" t="n">
        <v>0.03838771593090211</v>
      </c>
      <c r="F21" s="164" t="n">
        <v>7.75</v>
      </c>
      <c r="G21" s="164" t="n">
        <v>0.8373322148020793</v>
      </c>
      <c r="H21" s="164" t="n">
        <v>132</v>
      </c>
      <c r="I21" s="164" t="n">
        <v>0.9772253670420293</v>
      </c>
      <c r="J21" s="164" t="n">
        <v>0.0002791957245907926</v>
      </c>
      <c r="K21" s="164" t="n">
        <v>27.05</v>
      </c>
      <c r="L21" s="164" t="n">
        <v>2.836964853225696</v>
      </c>
      <c r="M21" s="164" t="n">
        <v>166</v>
      </c>
      <c r="N21" s="164" t="n">
        <v>2.002551206195065</v>
      </c>
      <c r="O21" s="164" t="n">
        <v>0.001254415606202219</v>
      </c>
      <c r="P21" s="164" t="n">
        <v>39.45</v>
      </c>
      <c r="Q21" s="164" t="n">
        <v>4.802213514083923</v>
      </c>
    </row>
    <row r="22" ht="15.75" customHeight="1" s="201">
      <c r="A22" s="1" t="inlineStr">
        <is>
          <t>Cereals and Grains</t>
        </is>
      </c>
      <c r="B22" s="1" t="inlineStr">
        <is>
          <t>Barley</t>
        </is>
      </c>
      <c r="C22" s="154" t="n">
        <v>1</v>
      </c>
      <c r="D22" s="154" t="n">
        <v>0.171</v>
      </c>
      <c r="E22" s="154" t="n">
        <v>0.171</v>
      </c>
      <c r="F22" s="154" t="n">
        <v>0.171</v>
      </c>
      <c r="G22" s="154" t="e">
        <v>#DIV/0!</v>
      </c>
      <c r="H22" s="154" t="n">
        <v>0</v>
      </c>
      <c r="I22" s="154" t="e">
        <v>#DIV/0!</v>
      </c>
      <c r="J22" s="154" t="n">
        <v>0</v>
      </c>
      <c r="K22" s="154" t="n">
        <v>0</v>
      </c>
      <c r="L22" s="154" t="e">
        <v>#DIV/0!</v>
      </c>
      <c r="M22" s="154" t="n"/>
      <c r="N22" s="154" t="n"/>
      <c r="O22" s="154" t="n"/>
      <c r="P22" s="154" t="n"/>
      <c r="Q22" s="154" t="n"/>
    </row>
    <row r="23" ht="15.75" customHeight="1" s="201">
      <c r="B23" s="1" t="inlineStr">
        <is>
          <t>Bread</t>
        </is>
      </c>
      <c r="C23" s="154" t="n">
        <v>7</v>
      </c>
      <c r="D23" s="154" t="n">
        <v>0.6229117123214286</v>
      </c>
      <c r="E23" s="154" t="n">
        <v>0.4567740500000001</v>
      </c>
      <c r="F23" s="154" t="n">
        <v>0.804</v>
      </c>
      <c r="G23" s="154" t="n">
        <v>0.1472242414978375</v>
      </c>
      <c r="H23" s="154" t="n">
        <v>7</v>
      </c>
      <c r="I23" s="154" t="n">
        <v>3.229277378392857</v>
      </c>
      <c r="J23" s="154" t="n">
        <v>0.83251462</v>
      </c>
      <c r="K23" s="154" t="n">
        <v>10.57</v>
      </c>
      <c r="L23" s="154" t="n">
        <v>4.083111136295734</v>
      </c>
      <c r="M23" s="154" t="n">
        <v>8</v>
      </c>
      <c r="N23" s="154" t="n">
        <v>0.81933125</v>
      </c>
      <c r="O23" s="154" t="n">
        <v>-0.5600000000000001</v>
      </c>
      <c r="P23" s="154" t="n">
        <v>1.5553375</v>
      </c>
      <c r="Q23" s="154" t="n">
        <v>0.8997289525879447</v>
      </c>
    </row>
    <row r="24" ht="15.75" customHeight="1" s="201">
      <c r="B24" s="1" t="inlineStr">
        <is>
          <t>Canola</t>
        </is>
      </c>
      <c r="C24" s="154" t="n">
        <v>3</v>
      </c>
      <c r="D24" s="154" t="n">
        <v>0.4623333333333333</v>
      </c>
      <c r="E24" s="154" t="n">
        <v>0.15</v>
      </c>
      <c r="F24" s="154" t="n">
        <v>0.696</v>
      </c>
      <c r="G24" s="154" t="n">
        <v>0.2813722326977793</v>
      </c>
      <c r="H24" s="154" t="n">
        <v>0</v>
      </c>
      <c r="I24" s="154" t="e">
        <v>#DIV/0!</v>
      </c>
      <c r="J24" s="154" t="n">
        <v>0</v>
      </c>
      <c r="K24" s="154" t="n">
        <v>0</v>
      </c>
      <c r="L24" s="154" t="e">
        <v>#DIV/0!</v>
      </c>
      <c r="M24" s="154" t="n"/>
      <c r="N24" s="154" t="n"/>
      <c r="O24" s="154" t="n"/>
      <c r="P24" s="154" t="n"/>
      <c r="Q24" s="154" t="n"/>
    </row>
    <row r="25" ht="15.75" customHeight="1" s="201">
      <c r="B25" s="1" t="inlineStr">
        <is>
          <t>Cereal</t>
        </is>
      </c>
      <c r="C25" s="154" t="n">
        <v>0</v>
      </c>
      <c r="D25" s="154" t="e">
        <v>#DIV/0!</v>
      </c>
      <c r="E25" s="154" t="n">
        <v>0</v>
      </c>
      <c r="F25" s="154" t="n">
        <v>0</v>
      </c>
      <c r="G25" s="154" t="e">
        <v>#DIV/0!</v>
      </c>
      <c r="H25" s="154" t="n">
        <v>0</v>
      </c>
      <c r="I25" s="154" t="e">
        <v>#DIV/0!</v>
      </c>
      <c r="J25" s="154" t="n">
        <v>0</v>
      </c>
      <c r="K25" s="154" t="n">
        <v>0</v>
      </c>
      <c r="L25" s="154" t="e">
        <v>#DIV/0!</v>
      </c>
      <c r="M25" s="154" t="n">
        <v>2</v>
      </c>
      <c r="N25" s="154" t="n">
        <v>5.74</v>
      </c>
      <c r="O25" s="154" t="n">
        <v>2.64</v>
      </c>
      <c r="P25" s="154" t="n">
        <v>8.84</v>
      </c>
      <c r="Q25" s="154" t="n">
        <v>4.384062043356595</v>
      </c>
    </row>
    <row r="26" ht="15.75" customHeight="1" s="201">
      <c r="B26" s="1" t="inlineStr">
        <is>
          <t>Corn, field</t>
        </is>
      </c>
      <c r="C26" s="154" t="n">
        <v>3</v>
      </c>
      <c r="D26" s="154" t="n">
        <v>0.4026666666666667</v>
      </c>
      <c r="E26" s="154" t="n">
        <v>0.256</v>
      </c>
      <c r="F26" s="154" t="n">
        <v>0.622</v>
      </c>
      <c r="G26" s="154" t="n">
        <v>0.1935183023213394</v>
      </c>
      <c r="H26" s="154" t="n">
        <v>0</v>
      </c>
      <c r="I26" s="154" t="e">
        <v>#DIV/0!</v>
      </c>
      <c r="J26" s="154" t="n">
        <v>0</v>
      </c>
      <c r="K26" s="154" t="n">
        <v>0</v>
      </c>
      <c r="L26" s="154" t="e">
        <v>#DIV/0!</v>
      </c>
      <c r="M26" s="154" t="n"/>
      <c r="N26" s="154" t="n"/>
      <c r="O26" s="154" t="n"/>
      <c r="P26" s="154" t="n"/>
      <c r="Q26" s="154" t="n"/>
    </row>
    <row r="27" ht="15.75" customHeight="1" s="201">
      <c r="B27" s="1" t="inlineStr">
        <is>
          <t>Corn, field, flour</t>
        </is>
      </c>
      <c r="C27" s="154" t="n">
        <v>0</v>
      </c>
      <c r="D27" s="154" t="e">
        <v>#DIV/0!</v>
      </c>
      <c r="E27" s="154" t="n">
        <v>0</v>
      </c>
      <c r="F27" s="154" t="n">
        <v>0</v>
      </c>
      <c r="G27" s="154" t="e">
        <v>#DIV/0!</v>
      </c>
      <c r="H27" s="154" t="n">
        <v>1</v>
      </c>
      <c r="I27" s="154" t="n">
        <v>0.55</v>
      </c>
      <c r="J27" s="154" t="n">
        <v>0.55</v>
      </c>
      <c r="K27" s="154" t="n">
        <v>0.55</v>
      </c>
      <c r="L27" s="154" t="e">
        <v>#DIV/0!</v>
      </c>
      <c r="M27" s="154" t="n">
        <v>1</v>
      </c>
      <c r="N27" s="154" t="n">
        <v>0.55</v>
      </c>
      <c r="O27" s="154" t="n">
        <v>0.55</v>
      </c>
      <c r="P27" s="154" t="n">
        <v>0.55</v>
      </c>
      <c r="Q27" s="154" t="e">
        <v>#DIV/0!</v>
      </c>
    </row>
    <row r="28" ht="15.75" customHeight="1" s="201">
      <c r="B28" s="1" t="inlineStr">
        <is>
          <t>Corn, field, meal</t>
        </is>
      </c>
      <c r="C28" s="154" t="n">
        <v>0</v>
      </c>
      <c r="D28" s="154" t="e">
        <v>#DIV/0!</v>
      </c>
      <c r="E28" s="154" t="n">
        <v>0</v>
      </c>
      <c r="F28" s="154" t="n">
        <v>0</v>
      </c>
      <c r="G28" s="154" t="e">
        <v>#DIV/0!</v>
      </c>
      <c r="H28" s="154" t="n">
        <v>0</v>
      </c>
      <c r="I28" s="154" t="e">
        <v>#DIV/0!</v>
      </c>
      <c r="J28" s="154" t="n">
        <v>0</v>
      </c>
      <c r="K28" s="154" t="n">
        <v>0</v>
      </c>
      <c r="L28" s="154" t="e">
        <v>#DIV/0!</v>
      </c>
      <c r="M28" s="154" t="n"/>
      <c r="N28" s="154" t="n"/>
      <c r="O28" s="154" t="n"/>
      <c r="P28" s="154" t="n"/>
      <c r="Q28" s="154" t="n"/>
    </row>
    <row r="29" ht="15.75" customHeight="1" s="201">
      <c r="B29" s="1" t="inlineStr">
        <is>
          <t>corn, field, starch</t>
        </is>
      </c>
      <c r="C29" s="154" t="n">
        <v>0</v>
      </c>
      <c r="D29" s="154" t="e">
        <v>#DIV/0!</v>
      </c>
      <c r="E29" s="154" t="n">
        <v>0</v>
      </c>
      <c r="F29" s="154" t="n">
        <v>0</v>
      </c>
      <c r="G29" s="154" t="e">
        <v>#DIV/0!</v>
      </c>
      <c r="H29" s="154" t="n">
        <v>1</v>
      </c>
      <c r="I29" s="154" t="n">
        <v>0.76</v>
      </c>
      <c r="J29" s="154" t="n">
        <v>0.76</v>
      </c>
      <c r="K29" s="154" t="n">
        <v>0.76</v>
      </c>
      <c r="L29" s="154" t="e">
        <v>#DIV/0!</v>
      </c>
      <c r="M29" s="154" t="n">
        <v>1</v>
      </c>
      <c r="N29" s="154" t="n">
        <v>0.76</v>
      </c>
      <c r="O29" s="154" t="n">
        <v>0.76</v>
      </c>
      <c r="P29" s="154" t="n">
        <v>0.76</v>
      </c>
      <c r="Q29" s="154" t="e">
        <v>#DIV/0!</v>
      </c>
    </row>
    <row r="30" ht="15.75" customHeight="1" s="201">
      <c r="B30" s="1" t="inlineStr">
        <is>
          <t>Millet, grain</t>
        </is>
      </c>
      <c r="C30" s="154" t="n">
        <v>1</v>
      </c>
      <c r="D30" s="154" t="n">
        <v>0.47</v>
      </c>
      <c r="E30" s="154" t="n">
        <v>0.47</v>
      </c>
      <c r="F30" s="154" t="n">
        <v>0.47</v>
      </c>
      <c r="G30" s="154" t="e">
        <v>#DIV/0!</v>
      </c>
      <c r="H30" s="154" t="n">
        <v>0</v>
      </c>
      <c r="I30" s="154" t="e">
        <v>#DIV/0!</v>
      </c>
      <c r="J30" s="154" t="n">
        <v>0</v>
      </c>
      <c r="K30" s="154" t="n">
        <v>0</v>
      </c>
      <c r="L30" s="154" t="e">
        <v>#DIV/0!</v>
      </c>
      <c r="M30" s="154" t="n"/>
      <c r="N30" s="154" t="n"/>
      <c r="O30" s="154" t="n"/>
      <c r="P30" s="154" t="n"/>
      <c r="Q30" s="154" t="n"/>
    </row>
    <row r="31" ht="15.75" customHeight="1" s="201">
      <c r="B31" s="1" t="inlineStr">
        <is>
          <t>Oat, flour</t>
        </is>
      </c>
      <c r="C31" s="154" t="n">
        <v>0</v>
      </c>
      <c r="D31" s="154" t="e">
        <v>#DIV/0!</v>
      </c>
      <c r="E31" s="154" t="n">
        <v>0</v>
      </c>
      <c r="F31" s="154" t="n">
        <v>0</v>
      </c>
      <c r="G31" s="154" t="e">
        <v>#DIV/0!</v>
      </c>
      <c r="H31" s="154" t="n">
        <v>2</v>
      </c>
      <c r="I31" s="154" t="n">
        <v>0.498385</v>
      </c>
      <c r="J31" s="154" t="n">
        <v>0.47301</v>
      </c>
      <c r="K31" s="154" t="n">
        <v>0.52376</v>
      </c>
      <c r="L31" s="154" t="n">
        <v>0.03588566914521818</v>
      </c>
      <c r="M31" s="154" t="n">
        <v>2</v>
      </c>
      <c r="N31" s="154" t="n">
        <v>0.498385</v>
      </c>
      <c r="O31" s="154" t="n">
        <v>0.47301</v>
      </c>
      <c r="P31" s="154" t="n">
        <v>0.52376</v>
      </c>
      <c r="Q31" s="154" t="n">
        <v>0.03588566914521818</v>
      </c>
    </row>
    <row r="32" ht="15.75" customHeight="1" s="201">
      <c r="B32" s="1" t="inlineStr">
        <is>
          <t>Oat, groats/rolled oats</t>
        </is>
      </c>
      <c r="C32" s="154" t="n">
        <v>4</v>
      </c>
      <c r="D32" s="154" t="n">
        <v>0.4738225</v>
      </c>
      <c r="E32" s="154" t="n">
        <v>0.36201</v>
      </c>
      <c r="F32" s="154" t="n">
        <v>0.65052</v>
      </c>
      <c r="G32" s="154" t="n">
        <v>0.125787230505856</v>
      </c>
      <c r="H32" s="154" t="n">
        <v>0</v>
      </c>
      <c r="I32" s="154" t="e">
        <v>#DIV/0!</v>
      </c>
      <c r="J32" s="154" t="n">
        <v>0</v>
      </c>
      <c r="K32" s="154" t="n">
        <v>0</v>
      </c>
      <c r="L32" s="154" t="e">
        <v>#DIV/0!</v>
      </c>
      <c r="M32" s="154" t="n">
        <v>1</v>
      </c>
      <c r="N32" s="154" t="n">
        <v>0.834</v>
      </c>
      <c r="O32" s="154" t="n">
        <v>0.834</v>
      </c>
      <c r="P32" s="154" t="n">
        <v>0.834</v>
      </c>
      <c r="Q32" s="154" t="e">
        <v>#DIV/0!</v>
      </c>
    </row>
    <row r="33" ht="15.75" customHeight="1" s="201">
      <c r="B33" s="1" t="inlineStr">
        <is>
          <t>quinoa</t>
        </is>
      </c>
      <c r="C33" s="154" t="n">
        <v>1</v>
      </c>
      <c r="D33" s="154" t="n">
        <v>0.9197172888727799</v>
      </c>
      <c r="E33" s="154" t="n">
        <v>0.9197172888727799</v>
      </c>
      <c r="F33" s="154" t="n">
        <v>0.9197172888727799</v>
      </c>
      <c r="G33" s="154" t="e">
        <v>#DIV/0!</v>
      </c>
      <c r="H33" s="154" t="n">
        <v>1</v>
      </c>
      <c r="I33" s="154" t="n">
        <v>1.134650235592606</v>
      </c>
      <c r="J33" s="154" t="n">
        <v>1.134650235592606</v>
      </c>
      <c r="K33" s="154" t="n">
        <v>1.134650235592606</v>
      </c>
      <c r="L33" s="154" t="e">
        <v>#DIV/0!</v>
      </c>
      <c r="M33" s="154" t="n">
        <v>1</v>
      </c>
      <c r="N33" s="154" t="n">
        <v>1.277636824936571</v>
      </c>
      <c r="O33" s="154" t="n">
        <v>1.277636824936571</v>
      </c>
      <c r="P33" s="154" t="n">
        <v>1.277636824936571</v>
      </c>
      <c r="Q33" s="154" t="e">
        <v>#DIV/0!</v>
      </c>
    </row>
    <row r="34" ht="15.75" customHeight="1" s="201">
      <c r="B34" s="1" t="inlineStr">
        <is>
          <t>Rapeseed</t>
        </is>
      </c>
      <c r="C34" s="154" t="n">
        <v>3</v>
      </c>
      <c r="D34" s="154" t="n">
        <v>1.576666666666667</v>
      </c>
      <c r="E34" s="154" t="n">
        <v>1.4</v>
      </c>
      <c r="F34" s="154" t="n">
        <v>1.71</v>
      </c>
      <c r="G34" s="154" t="n">
        <v>0.159478316185408</v>
      </c>
      <c r="H34" s="154" t="n">
        <v>0</v>
      </c>
      <c r="I34" s="154" t="e">
        <v>#DIV/0!</v>
      </c>
      <c r="J34" s="154" t="n">
        <v>0</v>
      </c>
      <c r="K34" s="154" t="n">
        <v>0</v>
      </c>
      <c r="L34" s="154" t="e">
        <v>#DIV/0!</v>
      </c>
      <c r="M34" s="154" t="n"/>
      <c r="N34" s="154" t="n"/>
      <c r="O34" s="154" t="n"/>
      <c r="P34" s="154" t="n"/>
      <c r="Q34" s="154" t="n"/>
    </row>
    <row r="35" ht="15.75" customHeight="1" s="201">
      <c r="B35" s="1" t="inlineStr">
        <is>
          <t>Rice, bran</t>
        </is>
      </c>
      <c r="C35" s="154" t="n">
        <v>0</v>
      </c>
      <c r="D35" s="154" t="e">
        <v>#DIV/0!</v>
      </c>
      <c r="E35" s="154" t="n">
        <v>0</v>
      </c>
      <c r="F35" s="154" t="n">
        <v>0</v>
      </c>
      <c r="G35" s="154" t="e">
        <v>#DIV/0!</v>
      </c>
      <c r="H35" s="154" t="n">
        <v>1</v>
      </c>
      <c r="I35" s="154" t="n">
        <v>1.3567</v>
      </c>
      <c r="J35" s="154" t="n">
        <v>1.3567</v>
      </c>
      <c r="K35" s="154" t="n">
        <v>1.3567</v>
      </c>
      <c r="L35" s="154" t="e">
        <v>#DIV/0!</v>
      </c>
      <c r="M35" s="154" t="n">
        <v>1</v>
      </c>
      <c r="N35" s="154" t="n">
        <v>1.3567</v>
      </c>
      <c r="O35" s="154" t="n">
        <v>1.3567</v>
      </c>
      <c r="P35" s="154" t="n">
        <v>1.3567</v>
      </c>
      <c r="Q35" s="154" t="e">
        <v>#DIV/0!</v>
      </c>
    </row>
    <row r="36" ht="15.75" customHeight="1" s="201">
      <c r="B36" s="1" t="inlineStr">
        <is>
          <t>Rice, brown</t>
        </is>
      </c>
      <c r="C36" s="154" t="n">
        <v>12</v>
      </c>
      <c r="D36" s="154" t="n">
        <v>2.060933908224634</v>
      </c>
      <c r="E36" s="154" t="n">
        <v>0.1542661538461539</v>
      </c>
      <c r="F36" s="154" t="n">
        <v>5.55</v>
      </c>
      <c r="G36" s="154" t="n">
        <v>1.650151605839224</v>
      </c>
      <c r="H36" s="154" t="n">
        <v>2</v>
      </c>
      <c r="I36" s="154" t="n">
        <v>0.2450833999756187</v>
      </c>
      <c r="J36" s="154" t="n">
        <v>0.2148815384615385</v>
      </c>
      <c r="K36" s="154" t="n">
        <v>0.2752852614896989</v>
      </c>
      <c r="L36" s="154" t="n">
        <v>0.04271188216212629</v>
      </c>
      <c r="M36" s="154" t="n">
        <v>3</v>
      </c>
      <c r="N36" s="154" t="n">
        <v>0.7471165020927303</v>
      </c>
      <c r="O36" s="154" t="n">
        <v>0.3030769230769231</v>
      </c>
      <c r="P36" s="154" t="n">
        <v>1.55</v>
      </c>
      <c r="Q36" s="154" t="n">
        <v>0.6966211370141344</v>
      </c>
    </row>
    <row r="37" ht="15.75" customHeight="1" s="201">
      <c r="B37" s="1" t="inlineStr">
        <is>
          <t>Rice, white</t>
        </is>
      </c>
      <c r="C37" s="154" t="n">
        <v>9</v>
      </c>
      <c r="D37" s="154" t="n">
        <v>1.38445471035426</v>
      </c>
      <c r="E37" s="154" t="n">
        <v>0.1790776545166403</v>
      </c>
      <c r="F37" s="154" t="n">
        <v>4.58</v>
      </c>
      <c r="G37" s="154" t="n">
        <v>1.498720500164683</v>
      </c>
      <c r="H37" s="154" t="n">
        <v>8</v>
      </c>
      <c r="I37" s="154" t="n">
        <v>1.540643545130288</v>
      </c>
      <c r="J37" s="154" t="n">
        <v>0.2494421553090333</v>
      </c>
      <c r="K37" s="154" t="n">
        <v>4.76</v>
      </c>
      <c r="L37" s="154" t="n">
        <v>1.6219269893595</v>
      </c>
      <c r="M37" s="154" t="n">
        <v>8</v>
      </c>
      <c r="N37" s="154" t="n">
        <v>1.872471854908728</v>
      </c>
      <c r="O37" s="154" t="n">
        <v>0.3518225039619651</v>
      </c>
      <c r="P37" s="154" t="n">
        <v>6.615</v>
      </c>
      <c r="Q37" s="154" t="n">
        <v>2.155944618880094</v>
      </c>
    </row>
    <row r="38" ht="15.75" customHeight="1" s="201">
      <c r="B38" s="1" t="inlineStr">
        <is>
          <t>Rye, flour</t>
        </is>
      </c>
      <c r="C38" s="154" t="n">
        <v>0</v>
      </c>
      <c r="D38" s="154" t="e">
        <v>#DIV/0!</v>
      </c>
      <c r="E38" s="154" t="n">
        <v>0</v>
      </c>
      <c r="F38" s="154" t="n">
        <v>0</v>
      </c>
      <c r="G38" s="154" t="e">
        <v>#DIV/0!</v>
      </c>
      <c r="H38" s="154" t="n">
        <v>3</v>
      </c>
      <c r="I38" s="154" t="n">
        <v>0.4177804833333333</v>
      </c>
      <c r="J38" s="154" t="n">
        <v>0.39468321</v>
      </c>
      <c r="K38" s="154" t="n">
        <v>0.43798811</v>
      </c>
      <c r="L38" s="154" t="n">
        <v>0.02179658538386561</v>
      </c>
      <c r="M38" s="154" t="n">
        <v>3</v>
      </c>
      <c r="N38" s="154" t="n">
        <v>0.4177804833333333</v>
      </c>
      <c r="O38" s="154" t="n">
        <v>0.39468321</v>
      </c>
      <c r="P38" s="154" t="n">
        <v>0.43798811</v>
      </c>
      <c r="Q38" s="154" t="n">
        <v>0.02179658538386561</v>
      </c>
    </row>
    <row r="39" ht="15.75" customHeight="1" s="201">
      <c r="B39" s="1" t="inlineStr">
        <is>
          <t>Rye, grain</t>
        </is>
      </c>
      <c r="C39" s="154" t="n">
        <v>20</v>
      </c>
      <c r="D39" s="154" t="n">
        <v>0.385175779</v>
      </c>
      <c r="E39" s="154" t="n">
        <v>0.20081935</v>
      </c>
      <c r="F39" s="154" t="n">
        <v>1.0864595</v>
      </c>
      <c r="G39" s="154" t="n">
        <v>0.1827250797276995</v>
      </c>
      <c r="H39" s="154" t="n">
        <v>0</v>
      </c>
      <c r="I39" s="154" t="e">
        <v>#DIV/0!</v>
      </c>
      <c r="J39" s="154" t="n">
        <v>0</v>
      </c>
      <c r="K39" s="154" t="n">
        <v>0</v>
      </c>
      <c r="L39" s="154" t="e">
        <v>#DIV/0!</v>
      </c>
      <c r="M39" s="154" t="n"/>
      <c r="N39" s="154" t="n"/>
      <c r="O39" s="154" t="n"/>
      <c r="P39" s="154" t="n"/>
      <c r="Q39" s="154" t="n"/>
    </row>
    <row r="40" ht="15.75" customHeight="1" s="201">
      <c r="B40" s="1" t="inlineStr">
        <is>
          <t>Wheat, flour</t>
        </is>
      </c>
      <c r="C40" s="154" t="n">
        <v>2</v>
      </c>
      <c r="D40" s="154" t="n">
        <v>0.2611940298507462</v>
      </c>
      <c r="E40" s="154" t="n">
        <v>0.2388059701492537</v>
      </c>
      <c r="F40" s="154" t="n">
        <v>0.2835820895522388</v>
      </c>
      <c r="G40" s="154" t="n">
        <v>0.03166149766506952</v>
      </c>
      <c r="H40" s="154" t="n">
        <v>3</v>
      </c>
      <c r="I40" s="154" t="n">
        <v>0.3578994466666667</v>
      </c>
      <c r="J40" s="154" t="n">
        <v>0.35133747</v>
      </c>
      <c r="K40" s="154" t="n">
        <v>0.37024626</v>
      </c>
      <c r="L40" s="154" t="n">
        <v>0.01069971197093657</v>
      </c>
      <c r="M40" s="154" t="n">
        <v>5</v>
      </c>
      <c r="N40" s="154" t="n">
        <v>0.4027993694925373</v>
      </c>
      <c r="O40" s="154" t="n">
        <v>0.35133747</v>
      </c>
      <c r="P40" s="154" t="n">
        <v>0.4925373134328358</v>
      </c>
      <c r="Q40" s="154" t="n">
        <v>0.06393637683311791</v>
      </c>
    </row>
    <row r="41" ht="15.75" customHeight="1" s="201">
      <c r="B41" s="1" t="inlineStr">
        <is>
          <t>Wheat, grain</t>
        </is>
      </c>
      <c r="C41" s="154" t="n">
        <v>19</v>
      </c>
      <c r="D41" s="154" t="n">
        <v>0.3467578947368421</v>
      </c>
      <c r="E41" s="154" t="n">
        <v>0.04</v>
      </c>
      <c r="F41" s="154" t="n">
        <v>0.8</v>
      </c>
      <c r="G41" s="154" t="n">
        <v>0.1880892882406576</v>
      </c>
      <c r="H41" s="154" t="n">
        <v>1</v>
      </c>
      <c r="I41" s="154" t="n">
        <v>0.52</v>
      </c>
      <c r="J41" s="154" t="n">
        <v>0.52</v>
      </c>
      <c r="K41" s="154" t="n">
        <v>0.52</v>
      </c>
      <c r="L41" s="154" t="e">
        <v>#DIV/0!</v>
      </c>
      <c r="M41" s="154" t="n">
        <v>1</v>
      </c>
      <c r="N41" s="154" t="n">
        <v>1.061</v>
      </c>
      <c r="O41" s="154" t="n">
        <v>1.061</v>
      </c>
      <c r="P41" s="154" t="n">
        <v>1.061</v>
      </c>
      <c r="Q41" s="154" t="e">
        <v>#DIV/0!</v>
      </c>
    </row>
    <row r="42" ht="15.75" customHeight="1" s="201">
      <c r="A42" s="163" t="inlineStr">
        <is>
          <t>Cereals and Grains Total</t>
        </is>
      </c>
      <c r="B42" s="163" t="n"/>
      <c r="C42" s="164" t="n">
        <v>85</v>
      </c>
      <c r="D42" s="164" t="n">
        <v>0.7899646141965675</v>
      </c>
      <c r="E42" s="164" t="n">
        <v>0.04</v>
      </c>
      <c r="F42" s="164" t="n">
        <v>5.55</v>
      </c>
      <c r="G42" s="164" t="n">
        <v>0.9971143361585663</v>
      </c>
      <c r="H42" s="164" t="n">
        <v>30</v>
      </c>
      <c r="I42" s="164" t="n">
        <v>1.435513894511205</v>
      </c>
      <c r="J42" s="164" t="n">
        <v>0.2148815384615385</v>
      </c>
      <c r="K42" s="164" t="n">
        <v>10.57</v>
      </c>
      <c r="L42" s="164" t="n">
        <v>2.307545748305682</v>
      </c>
      <c r="M42" s="164" t="n">
        <v>37</v>
      </c>
      <c r="N42" s="164" t="n">
        <v>1.225924850485061</v>
      </c>
      <c r="O42" s="164" t="n">
        <v>-0.5600000000000001</v>
      </c>
      <c r="P42" s="164" t="n">
        <v>8.84</v>
      </c>
      <c r="Q42" s="164" t="n">
        <v>1.762265032188336</v>
      </c>
    </row>
    <row r="43" ht="15.75" customHeight="1" s="201">
      <c r="A43" s="1" t="inlineStr">
        <is>
          <t>Dairy</t>
        </is>
      </c>
      <c r="B43" s="1" t="inlineStr">
        <is>
          <t>Butter</t>
        </is>
      </c>
      <c r="C43" s="154" t="n">
        <v>1</v>
      </c>
      <c r="D43" s="154" t="n">
        <v>2.26</v>
      </c>
      <c r="E43" s="154" t="n">
        <v>2.26</v>
      </c>
      <c r="F43" s="154" t="n">
        <v>2.26</v>
      </c>
      <c r="G43" s="154" t="e">
        <v>#DIV/0!</v>
      </c>
      <c r="H43" s="154" t="n">
        <v>1</v>
      </c>
      <c r="I43" s="154" t="n">
        <v>2.35</v>
      </c>
      <c r="J43" s="154" t="n">
        <v>2.35</v>
      </c>
      <c r="K43" s="154" t="n">
        <v>2.35</v>
      </c>
      <c r="L43" s="154" t="e">
        <v>#DIV/0!</v>
      </c>
      <c r="M43" s="154" t="n">
        <v>6</v>
      </c>
      <c r="N43" s="154" t="n">
        <v>9.577500000000001</v>
      </c>
      <c r="O43" s="154" t="n">
        <v>3.369999999999999</v>
      </c>
      <c r="P43" s="154" t="n">
        <v>20.995</v>
      </c>
      <c r="Q43" s="154" t="n">
        <v>6.001098024528511</v>
      </c>
    </row>
    <row r="44" ht="15.75" customHeight="1" s="201">
      <c r="B44" s="1" t="inlineStr">
        <is>
          <t>Cheese, Buffalo</t>
        </is>
      </c>
      <c r="C44" s="154" t="n">
        <v>0</v>
      </c>
      <c r="D44" s="154" t="e">
        <v>#DIV/0!</v>
      </c>
      <c r="E44" s="154" t="n">
        <v>0</v>
      </c>
      <c r="F44" s="154" t="n">
        <v>0</v>
      </c>
      <c r="G44" s="154" t="e">
        <v>#DIV/0!</v>
      </c>
      <c r="H44" s="154" t="n">
        <v>0</v>
      </c>
      <c r="I44" s="154" t="e">
        <v>#DIV/0!</v>
      </c>
      <c r="J44" s="154" t="n">
        <v>0</v>
      </c>
      <c r="K44" s="154" t="n">
        <v>0</v>
      </c>
      <c r="L44" s="154" t="e">
        <v>#DIV/0!</v>
      </c>
      <c r="M44" s="154" t="n">
        <v>1</v>
      </c>
      <c r="N44" s="154" t="n">
        <v>9.99</v>
      </c>
      <c r="O44" s="154" t="n">
        <v>9.99</v>
      </c>
      <c r="P44" s="154" t="n">
        <v>9.99</v>
      </c>
      <c r="Q44" s="154" t="e">
        <v>#DIV/0!</v>
      </c>
    </row>
    <row r="45" ht="15.75" customHeight="1" s="201">
      <c r="B45" s="1" t="inlineStr">
        <is>
          <t>Cheese, Cow</t>
        </is>
      </c>
      <c r="C45" s="154" t="n">
        <v>10</v>
      </c>
      <c r="D45" s="154" t="n">
        <v>7.612270000000001</v>
      </c>
      <c r="E45" s="154" t="n">
        <v>1.2</v>
      </c>
      <c r="F45" s="154" t="n">
        <v>12.12</v>
      </c>
      <c r="G45" s="154" t="n">
        <v>3.179482518359796</v>
      </c>
      <c r="H45" s="154" t="n">
        <v>7</v>
      </c>
      <c r="I45" s="154" t="n">
        <v>8.607104761904763</v>
      </c>
      <c r="J45" s="154" t="n">
        <v>5.8</v>
      </c>
      <c r="K45" s="154" t="n">
        <v>12.35</v>
      </c>
      <c r="L45" s="154" t="n">
        <v>2.11180035597403</v>
      </c>
      <c r="M45" s="154" t="n">
        <v>23</v>
      </c>
      <c r="N45" s="154" t="n">
        <v>8.892217391304348</v>
      </c>
      <c r="O45" s="154" t="n">
        <v>5.3</v>
      </c>
      <c r="P45" s="154" t="n">
        <v>14.11</v>
      </c>
      <c r="Q45" s="154" t="n">
        <v>1.874904505605107</v>
      </c>
    </row>
    <row r="46" ht="15.75" customHeight="1" s="201">
      <c r="B46" s="1" t="inlineStr">
        <is>
          <t>Cheese, Goat</t>
        </is>
      </c>
      <c r="C46" s="154" t="n">
        <v>0</v>
      </c>
      <c r="D46" s="154" t="e">
        <v>#DIV/0!</v>
      </c>
      <c r="E46" s="154" t="n">
        <v>0</v>
      </c>
      <c r="F46" s="154" t="n">
        <v>0</v>
      </c>
      <c r="G46" s="154" t="e">
        <v>#DIV/0!</v>
      </c>
      <c r="H46" s="154" t="n">
        <v>0</v>
      </c>
      <c r="I46" s="154" t="e">
        <v>#DIV/0!</v>
      </c>
      <c r="J46" s="154" t="n">
        <v>0</v>
      </c>
      <c r="K46" s="154" t="n">
        <v>0</v>
      </c>
      <c r="L46" s="154" t="e">
        <v>#DIV/0!</v>
      </c>
      <c r="M46" s="154" t="n">
        <v>6</v>
      </c>
      <c r="N46" s="154" t="n">
        <v>8.611666666666666</v>
      </c>
      <c r="O46" s="154" t="n">
        <v>7.27</v>
      </c>
      <c r="P46" s="154" t="n">
        <v>10.13</v>
      </c>
      <c r="Q46" s="154" t="n">
        <v>1.041890909196677</v>
      </c>
    </row>
    <row r="47" ht="15.75" customHeight="1" s="201">
      <c r="B47" s="1" t="inlineStr">
        <is>
          <t>Cottage Cheese</t>
        </is>
      </c>
      <c r="C47" s="154" t="n">
        <v>0</v>
      </c>
      <c r="D47" s="154" t="e">
        <v>#DIV/0!</v>
      </c>
      <c r="E47" s="154" t="n">
        <v>0</v>
      </c>
      <c r="F47" s="154" t="n">
        <v>0</v>
      </c>
      <c r="G47" s="154" t="e">
        <v>#DIV/0!</v>
      </c>
      <c r="H47" s="154" t="n">
        <v>0</v>
      </c>
      <c r="I47" s="154" t="e">
        <v>#DIV/0!</v>
      </c>
      <c r="J47" s="154" t="n">
        <v>0</v>
      </c>
      <c r="K47" s="154" t="n">
        <v>0</v>
      </c>
      <c r="L47" s="154" t="e">
        <v>#DIV/0!</v>
      </c>
      <c r="M47" s="154" t="n">
        <v>1</v>
      </c>
      <c r="N47" s="154" t="n">
        <v>1.8</v>
      </c>
      <c r="O47" s="154" t="n">
        <v>1.8</v>
      </c>
      <c r="P47" s="154" t="n">
        <v>1.8</v>
      </c>
      <c r="Q47" s="154" t="e">
        <v>#DIV/0!</v>
      </c>
    </row>
    <row r="48" ht="15.75" customHeight="1" s="201">
      <c r="B48" s="1" t="inlineStr">
        <is>
          <t>Dairy Powders</t>
        </is>
      </c>
      <c r="C48" s="154" t="n">
        <v>0</v>
      </c>
      <c r="D48" s="154" t="e">
        <v>#DIV/0!</v>
      </c>
      <c r="E48" s="154" t="n">
        <v>0</v>
      </c>
      <c r="F48" s="154" t="n">
        <v>0</v>
      </c>
      <c r="G48" s="154" t="e">
        <v>#DIV/0!</v>
      </c>
      <c r="H48" s="154" t="n">
        <v>0</v>
      </c>
      <c r="I48" s="154" t="e">
        <v>#DIV/0!</v>
      </c>
      <c r="J48" s="154" t="n">
        <v>0</v>
      </c>
      <c r="K48" s="154" t="n">
        <v>0</v>
      </c>
      <c r="L48" s="154" t="e">
        <v>#DIV/0!</v>
      </c>
      <c r="M48" s="154" t="n">
        <v>1</v>
      </c>
      <c r="N48" s="154" t="n">
        <v>10.1</v>
      </c>
      <c r="O48" s="154" t="n">
        <v>10.1</v>
      </c>
      <c r="P48" s="154" t="n">
        <v>10.1</v>
      </c>
      <c r="Q48" s="154" t="e">
        <v>#DIV/0!</v>
      </c>
    </row>
    <row r="49" ht="15.75" customHeight="1" s="201">
      <c r="B49" s="1" t="inlineStr">
        <is>
          <t>Dairy Products, Fozen</t>
        </is>
      </c>
      <c r="C49" s="154" t="n">
        <v>0</v>
      </c>
      <c r="D49" s="154" t="e">
        <v>#DIV/0!</v>
      </c>
      <c r="E49" s="154" t="n">
        <v>0</v>
      </c>
      <c r="F49" s="154" t="n">
        <v>0</v>
      </c>
      <c r="G49" s="154" t="e">
        <v>#DIV/0!</v>
      </c>
      <c r="H49" s="154" t="n">
        <v>0</v>
      </c>
      <c r="I49" s="154" t="e">
        <v>#DIV/0!</v>
      </c>
      <c r="J49" s="154" t="n">
        <v>0</v>
      </c>
      <c r="K49" s="154" t="n">
        <v>0</v>
      </c>
      <c r="L49" s="154" t="e">
        <v>#DIV/0!</v>
      </c>
      <c r="M49" s="154" t="n">
        <v>1</v>
      </c>
      <c r="N49" s="154" t="n">
        <v>2.1</v>
      </c>
      <c r="O49" s="154" t="n">
        <v>2.1</v>
      </c>
      <c r="P49" s="154" t="n">
        <v>2.1</v>
      </c>
      <c r="Q49" s="154" t="e">
        <v>#DIV/0!</v>
      </c>
    </row>
    <row r="50" ht="15.75" customHeight="1" s="201">
      <c r="B50" s="1" t="inlineStr">
        <is>
          <t>Fluid Milk, Buffalo</t>
        </is>
      </c>
      <c r="C50" s="154" t="n">
        <v>2</v>
      </c>
      <c r="D50" s="154" t="n">
        <v>3.455</v>
      </c>
      <c r="E50" s="154" t="n">
        <v>3.16</v>
      </c>
      <c r="F50" s="154" t="n">
        <v>3.75</v>
      </c>
      <c r="G50" s="154" t="n">
        <v>0.4171930009000644</v>
      </c>
      <c r="H50" s="154" t="n">
        <v>0</v>
      </c>
      <c r="I50" s="154" t="e">
        <v>#DIV/0!</v>
      </c>
      <c r="J50" s="154" t="n">
        <v>0</v>
      </c>
      <c r="K50" s="154" t="n">
        <v>0</v>
      </c>
      <c r="L50" s="154" t="e">
        <v>#DIV/0!</v>
      </c>
      <c r="M50" s="154" t="n">
        <v>1</v>
      </c>
      <c r="N50" s="154" t="n">
        <v>3.38</v>
      </c>
      <c r="O50" s="154" t="n">
        <v>3.38</v>
      </c>
      <c r="P50" s="154" t="n">
        <v>3.38</v>
      </c>
      <c r="Q50" s="154" t="e">
        <v>#DIV/0!</v>
      </c>
    </row>
    <row r="51" ht="15.75" customHeight="1" s="201">
      <c r="B51" s="1" t="inlineStr">
        <is>
          <t>Fluid Milk, Buttermilk</t>
        </is>
      </c>
      <c r="C51" s="154" t="n">
        <v>0</v>
      </c>
      <c r="D51" s="154" t="e">
        <v>#DIV/0!</v>
      </c>
      <c r="E51" s="154" t="n">
        <v>0</v>
      </c>
      <c r="F51" s="154" t="n">
        <v>0</v>
      </c>
      <c r="G51" s="154" t="e">
        <v>#DIV/0!</v>
      </c>
      <c r="H51" s="154" t="n">
        <v>0</v>
      </c>
      <c r="I51" s="154" t="e">
        <v>#DIV/0!</v>
      </c>
      <c r="J51" s="154" t="n">
        <v>0</v>
      </c>
      <c r="K51" s="154" t="n">
        <v>0</v>
      </c>
      <c r="L51" s="154" t="e">
        <v>#DIV/0!</v>
      </c>
      <c r="M51" s="154" t="n">
        <v>1</v>
      </c>
      <c r="N51" s="154" t="n">
        <v>1.1</v>
      </c>
      <c r="O51" s="154" t="n">
        <v>1.1</v>
      </c>
      <c r="P51" s="154" t="n">
        <v>1.1</v>
      </c>
      <c r="Q51" s="154" t="e">
        <v>#DIV/0!</v>
      </c>
    </row>
    <row r="52" ht="15.75" customHeight="1" s="201">
      <c r="B52" s="1" t="inlineStr">
        <is>
          <t>Fluid Milk, Concentrate</t>
        </is>
      </c>
      <c r="C52" s="154" t="n">
        <v>0</v>
      </c>
      <c r="D52" s="154" t="e">
        <v>#DIV/0!</v>
      </c>
      <c r="E52" s="154" t="n">
        <v>0</v>
      </c>
      <c r="F52" s="154" t="n">
        <v>0</v>
      </c>
      <c r="G52" s="154" t="e">
        <v>#DIV/0!</v>
      </c>
      <c r="H52" s="154" t="n">
        <v>0</v>
      </c>
      <c r="I52" s="154" t="e">
        <v>#DIV/0!</v>
      </c>
      <c r="J52" s="154" t="n">
        <v>0</v>
      </c>
      <c r="K52" s="154" t="n">
        <v>0</v>
      </c>
      <c r="L52" s="154" t="e">
        <v>#DIV/0!</v>
      </c>
      <c r="M52" s="154" t="n">
        <v>1</v>
      </c>
      <c r="N52" s="154" t="n">
        <v>3.1</v>
      </c>
      <c r="O52" s="154" t="n">
        <v>3.1</v>
      </c>
      <c r="P52" s="154" t="n">
        <v>3.1</v>
      </c>
      <c r="Q52" s="154" t="e">
        <v>#DIV/0!</v>
      </c>
    </row>
    <row r="53" ht="15.75" customHeight="1" s="201">
      <c r="B53" s="1" t="inlineStr">
        <is>
          <t>Fluid Milk, Cow</t>
        </is>
      </c>
      <c r="C53" s="154" t="n">
        <v>101</v>
      </c>
      <c r="D53" s="154" t="n">
        <v>1.857817688142728</v>
      </c>
      <c r="E53" s="154" t="n">
        <v>0.213</v>
      </c>
      <c r="F53" s="154" t="n">
        <v>14.3</v>
      </c>
      <c r="G53" s="154" t="n">
        <v>2.661571038661099</v>
      </c>
      <c r="H53" s="154" t="n">
        <v>9</v>
      </c>
      <c r="I53" s="154" t="n">
        <v>1.323310592592593</v>
      </c>
      <c r="J53" s="154" t="n">
        <v>0.944</v>
      </c>
      <c r="K53" s="154" t="n">
        <v>1.734262</v>
      </c>
      <c r="L53" s="154" t="n">
        <v>0.3282046945115363</v>
      </c>
      <c r="M53" s="154" t="n">
        <v>27</v>
      </c>
      <c r="N53" s="154" t="n">
        <v>1.435602639023081</v>
      </c>
      <c r="O53" s="154" t="n">
        <v>1</v>
      </c>
      <c r="P53" s="154" t="n">
        <v>2.79</v>
      </c>
      <c r="Q53" s="154" t="n">
        <v>0.4720025584442246</v>
      </c>
    </row>
    <row r="54" ht="15.75" customHeight="1" s="201">
      <c r="B54" s="1" t="inlineStr">
        <is>
          <t>Fluid Milk, Cream</t>
        </is>
      </c>
      <c r="C54" s="154" t="n">
        <v>0</v>
      </c>
      <c r="D54" s="154" t="e">
        <v>#DIV/0!</v>
      </c>
      <c r="E54" s="154" t="n">
        <v>0</v>
      </c>
      <c r="F54" s="154" t="n">
        <v>0</v>
      </c>
      <c r="G54" s="154" t="e">
        <v>#DIV/0!</v>
      </c>
      <c r="H54" s="154" t="n">
        <v>0</v>
      </c>
      <c r="I54" s="154" t="e">
        <v>#DIV/0!</v>
      </c>
      <c r="J54" s="154" t="n">
        <v>0</v>
      </c>
      <c r="K54" s="154" t="n">
        <v>0</v>
      </c>
      <c r="L54" s="154" t="e">
        <v>#DIV/0!</v>
      </c>
      <c r="M54" s="154" t="n">
        <v>2</v>
      </c>
      <c r="N54" s="154" t="n">
        <v>3.0625</v>
      </c>
      <c r="O54" s="154" t="n">
        <v>2.1</v>
      </c>
      <c r="P54" s="154" t="n">
        <v>4.025</v>
      </c>
      <c r="Q54" s="154" t="n">
        <v>1.361180553784105</v>
      </c>
    </row>
    <row r="55" ht="15.75" customHeight="1" s="201">
      <c r="B55" s="1" t="inlineStr">
        <is>
          <t>Fluid Milk, Goat</t>
        </is>
      </c>
      <c r="C55" s="154" t="n">
        <v>1</v>
      </c>
      <c r="D55" s="154" t="n">
        <v>5.61</v>
      </c>
      <c r="E55" s="154" t="n">
        <v>5.61</v>
      </c>
      <c r="F55" s="154" t="n">
        <v>5.61</v>
      </c>
      <c r="G55" s="154" t="e">
        <v>#DIV/0!</v>
      </c>
      <c r="H55" s="154" t="n">
        <v>0</v>
      </c>
      <c r="I55" s="154" t="e">
        <v>#DIV/0!</v>
      </c>
      <c r="J55" s="154" t="n">
        <v>0</v>
      </c>
      <c r="K55" s="154" t="n">
        <v>0</v>
      </c>
      <c r="L55" s="154" t="e">
        <v>#DIV/0!</v>
      </c>
      <c r="M55" s="154" t="n">
        <v>3</v>
      </c>
      <c r="N55" s="154" t="n">
        <v>2.67</v>
      </c>
      <c r="O55" s="154" t="n">
        <v>1.25</v>
      </c>
      <c r="P55" s="154" t="n">
        <v>5.2</v>
      </c>
      <c r="Q55" s="154" t="n">
        <v>2.196519974869339</v>
      </c>
    </row>
    <row r="56" ht="15.75" customHeight="1" s="201">
      <c r="B56" s="1" t="inlineStr">
        <is>
          <t>Fluid Milk, Sheep</t>
        </is>
      </c>
      <c r="C56" s="154" t="n">
        <v>1</v>
      </c>
      <c r="D56" s="154" t="n">
        <v>4.1</v>
      </c>
      <c r="E56" s="154" t="n">
        <v>4.1</v>
      </c>
      <c r="F56" s="154" t="n">
        <v>4.1</v>
      </c>
      <c r="G56" s="154" t="e">
        <v>#DIV/0!</v>
      </c>
      <c r="H56" s="154" t="n">
        <v>0</v>
      </c>
      <c r="I56" s="154" t="e">
        <v>#DIV/0!</v>
      </c>
      <c r="J56" s="154" t="n">
        <v>0</v>
      </c>
      <c r="K56" s="154" t="n">
        <v>0</v>
      </c>
      <c r="L56" s="154" t="e">
        <v>#DIV/0!</v>
      </c>
      <c r="M56" s="154" t="n">
        <v>1</v>
      </c>
      <c r="N56" s="154" t="n">
        <v>8.4</v>
      </c>
      <c r="O56" s="154" t="n">
        <v>8.4</v>
      </c>
      <c r="P56" s="154" t="n">
        <v>8.4</v>
      </c>
      <c r="Q56" s="154" t="e">
        <v>#DIV/0!</v>
      </c>
    </row>
    <row r="57" ht="15.75" customHeight="1" s="201">
      <c r="B57" s="1" t="inlineStr">
        <is>
          <t>Margarine</t>
        </is>
      </c>
      <c r="C57" s="154" t="n">
        <v>0</v>
      </c>
      <c r="D57" s="154" t="e">
        <v>#DIV/0!</v>
      </c>
      <c r="E57" s="154" t="n">
        <v>0</v>
      </c>
      <c r="F57" s="154" t="n">
        <v>0</v>
      </c>
      <c r="G57" s="154" t="e">
        <v>#DIV/0!</v>
      </c>
      <c r="H57" s="154" t="n">
        <v>0</v>
      </c>
      <c r="I57" s="154" t="e">
        <v>#DIV/0!</v>
      </c>
      <c r="J57" s="154" t="n">
        <v>0</v>
      </c>
      <c r="K57" s="154" t="n">
        <v>0</v>
      </c>
      <c r="L57" s="154" t="e">
        <v>#DIV/0!</v>
      </c>
      <c r="M57" s="154" t="n">
        <v>3</v>
      </c>
      <c r="N57" s="154" t="n">
        <v>1.36</v>
      </c>
      <c r="O57" s="154" t="n">
        <v>1.1</v>
      </c>
      <c r="P57" s="154" t="n">
        <v>1.66</v>
      </c>
      <c r="Q57" s="154" t="n">
        <v>0.2821347195933179</v>
      </c>
    </row>
    <row r="58" ht="15.75" customHeight="1" s="201">
      <c r="B58" s="1" t="inlineStr">
        <is>
          <t>Sour Cream</t>
        </is>
      </c>
      <c r="C58" s="154" t="n">
        <v>0</v>
      </c>
      <c r="D58" s="154" t="e">
        <v>#DIV/0!</v>
      </c>
      <c r="E58" s="154" t="n">
        <v>0</v>
      </c>
      <c r="F58" s="154" t="n">
        <v>0</v>
      </c>
      <c r="G58" s="154" t="e">
        <v>#DIV/0!</v>
      </c>
      <c r="H58" s="154" t="n">
        <v>0</v>
      </c>
      <c r="I58" s="154" t="e">
        <v>#DIV/0!</v>
      </c>
      <c r="J58" s="154" t="n">
        <v>0</v>
      </c>
      <c r="K58" s="154" t="n">
        <v>0</v>
      </c>
      <c r="L58" s="154" t="e">
        <v>#DIV/0!</v>
      </c>
      <c r="M58" s="154" t="n">
        <v>1</v>
      </c>
      <c r="N58" s="154" t="n">
        <v>2.5</v>
      </c>
      <c r="O58" s="154" t="n">
        <v>2.5</v>
      </c>
      <c r="P58" s="154" t="n">
        <v>2.5</v>
      </c>
      <c r="Q58" s="154" t="e">
        <v>#DIV/0!</v>
      </c>
    </row>
    <row r="59" ht="15.75" customHeight="1" s="201">
      <c r="B59" s="1" t="inlineStr">
        <is>
          <t>Yogurt, Cow</t>
        </is>
      </c>
      <c r="C59" s="154" t="n">
        <v>3</v>
      </c>
      <c r="D59" s="154" t="n">
        <v>0.9381566666666666</v>
      </c>
      <c r="E59" s="154" t="n">
        <v>0.60097</v>
      </c>
      <c r="F59" s="154" t="n">
        <v>1.2635</v>
      </c>
      <c r="G59" s="154" t="n">
        <v>0.3314237448242559</v>
      </c>
      <c r="H59" s="154" t="n">
        <v>3</v>
      </c>
      <c r="I59" s="154" t="n">
        <v>1.330409333333333</v>
      </c>
      <c r="J59" s="154" t="n">
        <v>1.05</v>
      </c>
      <c r="K59" s="154" t="n">
        <v>1.57325</v>
      </c>
      <c r="L59" s="154" t="n">
        <v>0.2636402741641218</v>
      </c>
      <c r="M59" s="154" t="n">
        <v>14</v>
      </c>
      <c r="N59" s="154" t="n">
        <v>1.726142785714286</v>
      </c>
      <c r="O59" s="154" t="n">
        <v>1.37</v>
      </c>
      <c r="P59" s="154" t="n">
        <v>2.06</v>
      </c>
      <c r="Q59" s="154" t="n">
        <v>0.2266915244882272</v>
      </c>
    </row>
    <row r="60" ht="15.75" customHeight="1" s="201">
      <c r="A60" s="163" t="inlineStr">
        <is>
          <t>Dairy Total</t>
        </is>
      </c>
      <c r="B60" s="163" t="n"/>
      <c r="C60" s="164" t="n">
        <v>119</v>
      </c>
      <c r="D60" s="164" t="n">
        <v>2.398796273129542</v>
      </c>
      <c r="E60" s="164" t="n">
        <v>0.213</v>
      </c>
      <c r="F60" s="164" t="n">
        <v>14.3</v>
      </c>
      <c r="G60" s="164" t="n">
        <v>3.084941560618901</v>
      </c>
      <c r="H60" s="164" t="n">
        <v>20</v>
      </c>
      <c r="I60" s="164" t="n">
        <v>3.925037833333334</v>
      </c>
      <c r="J60" s="164" t="n">
        <v>0.944</v>
      </c>
      <c r="K60" s="164" t="n">
        <v>12.35</v>
      </c>
      <c r="L60" s="164" t="n">
        <v>3.733272273820116</v>
      </c>
      <c r="M60" s="164" t="n">
        <v>93</v>
      </c>
      <c r="N60" s="164" t="n">
        <v>4.701809357565842</v>
      </c>
      <c r="O60" s="164" t="n">
        <v>1</v>
      </c>
      <c r="P60" s="164" t="n">
        <v>20.995</v>
      </c>
      <c r="Q60" s="164" t="n">
        <v>4.025122091992583</v>
      </c>
    </row>
    <row r="61" ht="15.75" customHeight="1" s="201">
      <c r="A61" s="1" t="inlineStr">
        <is>
          <t>Eggs</t>
        </is>
      </c>
      <c r="B61" s="1" t="inlineStr">
        <is>
          <t>Eggs, Chicken</t>
        </is>
      </c>
      <c r="C61" s="154" t="n">
        <v>25</v>
      </c>
      <c r="D61" s="154" t="n">
        <v>3.29304</v>
      </c>
      <c r="E61" s="154" t="n">
        <v>1.42</v>
      </c>
      <c r="F61" s="154" t="n">
        <v>7</v>
      </c>
      <c r="G61" s="154" t="n">
        <v>1.636091212819955</v>
      </c>
      <c r="H61" s="154" t="n">
        <v>3</v>
      </c>
      <c r="I61" s="154" t="n">
        <v>4.375106666666667</v>
      </c>
      <c r="J61" s="154" t="n">
        <v>2.053</v>
      </c>
      <c r="K61" s="154" t="n">
        <v>5.971</v>
      </c>
      <c r="L61" s="154" t="n">
        <v>2.057479126050451</v>
      </c>
      <c r="M61" s="154" t="n">
        <v>16</v>
      </c>
      <c r="N61" s="154" t="n">
        <v>4.214125</v>
      </c>
      <c r="O61" s="154" t="n">
        <v>2.266</v>
      </c>
      <c r="P61" s="154" t="n">
        <v>5.98</v>
      </c>
      <c r="Q61" s="154" t="n">
        <v>0.8549293830486795</v>
      </c>
    </row>
    <row r="62" ht="15.75" customHeight="1" s="201">
      <c r="A62" s="163" t="inlineStr">
        <is>
          <t>Eggs Total</t>
        </is>
      </c>
      <c r="B62" s="163" t="n"/>
      <c r="C62" s="164" t="n">
        <v>25</v>
      </c>
      <c r="D62" s="164" t="n">
        <v>3.29304</v>
      </c>
      <c r="E62" s="164" t="n">
        <v>1.42</v>
      </c>
      <c r="F62" s="164" t="n">
        <v>7</v>
      </c>
      <c r="G62" s="164" t="n">
        <v>1.636091212819955</v>
      </c>
      <c r="H62" s="164" t="n">
        <v>3</v>
      </c>
      <c r="I62" s="164" t="n">
        <v>4.375106666666667</v>
      </c>
      <c r="J62" s="164" t="n">
        <v>2.053</v>
      </c>
      <c r="K62" s="164" t="n">
        <v>5.971</v>
      </c>
      <c r="L62" s="164" t="n">
        <v>2.057479126050451</v>
      </c>
      <c r="M62" s="164" t="n">
        <v>16</v>
      </c>
      <c r="N62" s="164" t="n">
        <v>4.214125</v>
      </c>
      <c r="O62" s="164" t="n">
        <v>2.266</v>
      </c>
      <c r="P62" s="164" t="n">
        <v>5.98</v>
      </c>
      <c r="Q62" s="164" t="n">
        <v>0.8549293830486795</v>
      </c>
    </row>
    <row r="63" ht="15.75" customHeight="1" s="201">
      <c r="A63" s="1" t="inlineStr">
        <is>
          <t>Fish and Seafood</t>
        </is>
      </c>
      <c r="B63" s="1" t="inlineStr">
        <is>
          <t>fish sticks</t>
        </is>
      </c>
      <c r="C63" s="154" t="n">
        <v>1</v>
      </c>
      <c r="D63" s="154" t="n">
        <v>1.98084375</v>
      </c>
      <c r="E63" s="154" t="n">
        <v>1.98084375</v>
      </c>
      <c r="F63" s="154" t="n">
        <v>1.98084375</v>
      </c>
      <c r="G63" s="154" t="e">
        <v>#DIV/0!</v>
      </c>
      <c r="H63" s="154" t="n">
        <v>1</v>
      </c>
      <c r="I63" s="154" t="n">
        <v>2.15315625</v>
      </c>
      <c r="J63" s="154" t="n">
        <v>2.15315625</v>
      </c>
      <c r="K63" s="154" t="n">
        <v>2.15315625</v>
      </c>
      <c r="L63" s="154" t="e">
        <v>#DIV/0!</v>
      </c>
      <c r="M63" s="154" t="n">
        <v>1</v>
      </c>
      <c r="N63" s="154" t="n">
        <v>2.21115625</v>
      </c>
      <c r="O63" s="154" t="n">
        <v>2.21115625</v>
      </c>
      <c r="P63" s="154" t="n">
        <v>2.21115625</v>
      </c>
      <c r="Q63" s="154" t="e">
        <v>#DIV/0!</v>
      </c>
    </row>
    <row r="64" ht="15.75" customHeight="1" s="201">
      <c r="B64" s="1" t="inlineStr">
        <is>
          <t>Fish-Freshwater Finfish</t>
        </is>
      </c>
      <c r="C64" s="154" t="n">
        <v>2</v>
      </c>
      <c r="D64" s="154" t="n">
        <v>1.5708</v>
      </c>
      <c r="E64" s="154" t="n">
        <v>1.5708</v>
      </c>
      <c r="F64" s="154" t="n">
        <v>1.5708</v>
      </c>
      <c r="G64" s="154" t="n">
        <v>0</v>
      </c>
      <c r="H64" s="154" t="n">
        <v>2</v>
      </c>
      <c r="I64" s="154" t="n">
        <v>1.9788</v>
      </c>
      <c r="J64" s="154" t="n">
        <v>1.9788</v>
      </c>
      <c r="K64" s="154" t="n">
        <v>1.9788</v>
      </c>
      <c r="L64" s="154" t="n">
        <v>0</v>
      </c>
      <c r="M64" s="154" t="n">
        <v>2</v>
      </c>
      <c r="N64" s="154" t="n">
        <v>2.255</v>
      </c>
      <c r="O64" s="154" t="n">
        <v>2.22</v>
      </c>
      <c r="P64" s="154" t="n">
        <v>2.29</v>
      </c>
      <c r="Q64" s="154" t="n">
        <v>0.04949747468307242</v>
      </c>
    </row>
    <row r="65" ht="15.75" customHeight="1" s="201">
      <c r="B65" s="1" t="inlineStr">
        <is>
          <t>Fish-Freshwater Finfish, Farm Raised</t>
        </is>
      </c>
      <c r="C65" s="154" t="n">
        <v>51</v>
      </c>
      <c r="D65" s="154" t="n">
        <v>5.717323123878027</v>
      </c>
      <c r="E65" s="154" t="n">
        <v>1.784615384615384</v>
      </c>
      <c r="F65" s="154" t="n">
        <v>39.16666666666666</v>
      </c>
      <c r="G65" s="154" t="n">
        <v>6.798388009638965</v>
      </c>
      <c r="H65" s="154" t="n">
        <v>9</v>
      </c>
      <c r="I65" s="154" t="n">
        <v>2.909011111111111</v>
      </c>
      <c r="J65" s="154" t="n">
        <v>2.14</v>
      </c>
      <c r="K65" s="154" t="n">
        <v>5.06</v>
      </c>
      <c r="L65" s="154" t="n">
        <v>0.8721393530343148</v>
      </c>
      <c r="M65" s="154" t="n">
        <v>16</v>
      </c>
      <c r="N65" s="154" t="n">
        <v>4.8556605</v>
      </c>
      <c r="O65" s="154" t="n">
        <v>2.46</v>
      </c>
      <c r="P65" s="154" t="n">
        <v>13.9</v>
      </c>
      <c r="Q65" s="154" t="n">
        <v>3.668039623036262</v>
      </c>
    </row>
    <row r="66" ht="15.75" customHeight="1" s="201">
      <c r="B66" s="1" t="inlineStr">
        <is>
          <t>Fish-Saltwater Finfish, Other</t>
        </is>
      </c>
      <c r="C66" s="154" t="n">
        <v>50</v>
      </c>
      <c r="D66" s="154" t="n">
        <v>3.02142817544477</v>
      </c>
      <c r="E66" s="154" t="n">
        <v>0.182</v>
      </c>
      <c r="F66" s="154" t="n">
        <v>39.65681818181819</v>
      </c>
      <c r="G66" s="154" t="n">
        <v>6.670345129325131</v>
      </c>
      <c r="H66" s="154" t="n">
        <v>31</v>
      </c>
      <c r="I66" s="154" t="n">
        <v>2.034163470967743</v>
      </c>
      <c r="J66" s="154" t="n">
        <v>0.2826</v>
      </c>
      <c r="K66" s="154" t="n">
        <v>10.8784896</v>
      </c>
      <c r="L66" s="154" t="n">
        <v>2.028803060341828</v>
      </c>
      <c r="M66" s="154" t="n">
        <v>56</v>
      </c>
      <c r="N66" s="154" t="n">
        <v>3.013133200407656</v>
      </c>
      <c r="O66" s="154" t="n">
        <v>0.48</v>
      </c>
      <c r="P66" s="154" t="n">
        <v>20.8561056</v>
      </c>
      <c r="Q66" s="154" t="n">
        <v>3.125626387509033</v>
      </c>
    </row>
    <row r="67" ht="15.75" customHeight="1" s="201">
      <c r="B67" s="1" t="inlineStr">
        <is>
          <t>Fish-Saltwater Finfish, Tuna</t>
        </is>
      </c>
      <c r="C67" s="154" t="n">
        <v>12</v>
      </c>
      <c r="D67" s="154" t="n">
        <v>2.147729885057471</v>
      </c>
      <c r="E67" s="154" t="n">
        <v>1.608793103448276</v>
      </c>
      <c r="F67" s="154" t="n">
        <v>2.517413793103448</v>
      </c>
      <c r="G67" s="154" t="n">
        <v>0.3295390385254799</v>
      </c>
      <c r="H67" s="154" t="n">
        <v>0</v>
      </c>
      <c r="I67" s="154" t="e">
        <v>#DIV/0!</v>
      </c>
      <c r="J67" s="154" t="n">
        <v>0</v>
      </c>
      <c r="K67" s="154" t="n">
        <v>0</v>
      </c>
      <c r="L67" s="154" t="e">
        <v>#DIV/0!</v>
      </c>
      <c r="M67" s="154" t="n">
        <v>1</v>
      </c>
      <c r="N67" s="154" t="n">
        <v>3.103448275862069</v>
      </c>
      <c r="O67" s="154" t="n">
        <v>3.103448275862069</v>
      </c>
      <c r="P67" s="154" t="n">
        <v>3.103448275862069</v>
      </c>
      <c r="Q67" s="154" t="e">
        <v>#DIV/0!</v>
      </c>
    </row>
    <row r="68" ht="15.75" customHeight="1" s="201">
      <c r="B68" s="1" t="inlineStr">
        <is>
          <t>Fish-Shellfish, Crustacean</t>
        </is>
      </c>
      <c r="C68" s="154" t="n">
        <v>14</v>
      </c>
      <c r="D68" s="154" t="n">
        <v>30.65776295485782</v>
      </c>
      <c r="E68" s="154" t="n">
        <v>0.05416666666666667</v>
      </c>
      <c r="F68" s="154" t="n">
        <v>105.6666666666667</v>
      </c>
      <c r="G68" s="154" t="n">
        <v>28.25217767087052</v>
      </c>
      <c r="H68" s="154" t="n">
        <v>6</v>
      </c>
      <c r="I68" s="154" t="n">
        <v>14.37284498207885</v>
      </c>
      <c r="J68" s="154" t="n">
        <v>4.387499999999999</v>
      </c>
      <c r="K68" s="154" t="n">
        <v>35.22916666666666</v>
      </c>
      <c r="L68" s="154" t="n">
        <v>11.36833960242448</v>
      </c>
      <c r="M68" s="154" t="n">
        <v>11</v>
      </c>
      <c r="N68" s="154" t="n">
        <v>37.282203152937</v>
      </c>
      <c r="O68" s="154" t="n">
        <v>6.403225806451613</v>
      </c>
      <c r="P68" s="154" t="n">
        <v>118.62548</v>
      </c>
      <c r="Q68" s="154" t="n">
        <v>38.27683699079825</v>
      </c>
    </row>
    <row r="69" ht="15.75" customHeight="1" s="201">
      <c r="B69" s="1" t="inlineStr">
        <is>
          <t>Fish-Shellfish, Mollusc</t>
        </is>
      </c>
      <c r="C69" s="154" t="n">
        <v>5</v>
      </c>
      <c r="D69" s="154" t="n">
        <v>3.1429</v>
      </c>
      <c r="E69" s="154" t="n">
        <v>0.169</v>
      </c>
      <c r="F69" s="154" t="n">
        <v>6.0024</v>
      </c>
      <c r="G69" s="154" t="n">
        <v>2.651350123993433</v>
      </c>
      <c r="H69" s="154" t="n">
        <v>4</v>
      </c>
      <c r="I69" s="154" t="n">
        <v>8.646225806451612</v>
      </c>
      <c r="J69" s="154" t="n">
        <v>1.612903225806452</v>
      </c>
      <c r="K69" s="154" t="n">
        <v>13.622</v>
      </c>
      <c r="L69" s="154" t="n">
        <v>5.046357036887022</v>
      </c>
      <c r="M69" s="154" t="n">
        <v>7</v>
      </c>
      <c r="N69" s="154" t="n">
        <v>7.169302598404272</v>
      </c>
      <c r="O69" s="154" t="n">
        <v>1.935483870967742</v>
      </c>
      <c r="P69" s="154" t="n">
        <v>13.9</v>
      </c>
      <c r="Q69" s="154" t="n">
        <v>4.753673174436163</v>
      </c>
    </row>
    <row r="70" ht="15.75" customHeight="1" s="201">
      <c r="A70" s="163" t="inlineStr">
        <is>
          <t>Fish and Seafood Total</t>
        </is>
      </c>
      <c r="B70" s="163" t="n"/>
      <c r="C70" s="164" t="n">
        <v>135</v>
      </c>
      <c r="D70" s="164" t="n">
        <v>6.803505717249753</v>
      </c>
      <c r="E70" s="164" t="n">
        <v>0.05416666666666667</v>
      </c>
      <c r="F70" s="164" t="n">
        <v>105.6666666666667</v>
      </c>
      <c r="G70" s="164" t="n">
        <v>13.3951650206464</v>
      </c>
      <c r="H70" s="164" t="n">
        <v>53</v>
      </c>
      <c r="I70" s="164" t="n">
        <v>4.078733905061878</v>
      </c>
      <c r="J70" s="164" t="n">
        <v>0.2826</v>
      </c>
      <c r="K70" s="164" t="n">
        <v>35.22916666666666</v>
      </c>
      <c r="L70" s="164" t="n">
        <v>5.761025042224254</v>
      </c>
      <c r="M70" s="164" t="n">
        <v>94</v>
      </c>
      <c r="N70" s="164" t="n">
        <v>7.622765793827952</v>
      </c>
      <c r="O70" s="164" t="n">
        <v>0.48</v>
      </c>
      <c r="P70" s="164" t="n">
        <v>118.62548</v>
      </c>
      <c r="Q70" s="164" t="n">
        <v>16.9196739635608</v>
      </c>
    </row>
    <row r="71" ht="15.75" customHeight="1" s="201">
      <c r="A71" s="1" t="inlineStr">
        <is>
          <t>Fruit</t>
        </is>
      </c>
      <c r="B71" s="1" t="inlineStr">
        <is>
          <t>Apple, fruit with peel</t>
        </is>
      </c>
      <c r="C71" s="154" t="n">
        <v>36</v>
      </c>
      <c r="D71" s="154" t="n">
        <v>0.2057643207714084</v>
      </c>
      <c r="E71" s="154" t="n">
        <v>0.0397</v>
      </c>
      <c r="F71" s="154" t="n">
        <v>1.04</v>
      </c>
      <c r="G71" s="154" t="n">
        <v>0.2160858964120898</v>
      </c>
      <c r="H71" s="154" t="n">
        <v>2</v>
      </c>
      <c r="I71" s="154" t="n">
        <v>0.07144500000000001</v>
      </c>
      <c r="J71" s="154" t="n">
        <v>0.06787</v>
      </c>
      <c r="K71" s="154" t="n">
        <v>0.07502</v>
      </c>
      <c r="L71" s="154" t="n">
        <v>0.005055813485483663</v>
      </c>
      <c r="M71" s="154" t="n">
        <v>14</v>
      </c>
      <c r="N71" s="154" t="n">
        <v>1.3536269</v>
      </c>
      <c r="O71" s="154" t="n">
        <v>0.1970833</v>
      </c>
      <c r="P71" s="154" t="n">
        <v>13.093</v>
      </c>
      <c r="Q71" s="154" t="n">
        <v>3.387584551641402</v>
      </c>
    </row>
    <row r="72" ht="15.75" customHeight="1" s="201">
      <c r="B72" s="1" t="inlineStr">
        <is>
          <t>Apricot</t>
        </is>
      </c>
      <c r="C72" s="154" t="n">
        <v>1</v>
      </c>
      <c r="D72" s="154" t="n">
        <v>0.43</v>
      </c>
      <c r="E72" s="154" t="n">
        <v>0.43</v>
      </c>
      <c r="F72" s="154" t="n">
        <v>0.43</v>
      </c>
      <c r="G72" s="154" t="e">
        <v>#DIV/0!</v>
      </c>
      <c r="H72" s="154" t="n">
        <v>0</v>
      </c>
      <c r="I72" s="154" t="e">
        <v>#DIV/0!</v>
      </c>
      <c r="J72" s="154" t="n">
        <v>0</v>
      </c>
      <c r="K72" s="154" t="n">
        <v>0</v>
      </c>
      <c r="L72" s="154" t="e">
        <v>#DIV/0!</v>
      </c>
      <c r="M72" s="154" t="n"/>
      <c r="N72" s="154" t="n"/>
      <c r="O72" s="154" t="n"/>
      <c r="P72" s="154" t="n"/>
      <c r="Q72" s="154" t="n"/>
    </row>
    <row r="73" ht="15.75" customHeight="1" s="201">
      <c r="B73" s="1" t="inlineStr">
        <is>
          <t>Avocado</t>
        </is>
      </c>
      <c r="C73" s="154" t="n">
        <v>4</v>
      </c>
      <c r="D73" s="154" t="n">
        <v>0.405</v>
      </c>
      <c r="E73" s="154" t="n">
        <v>0.17</v>
      </c>
      <c r="F73" s="154" t="n">
        <v>0.536</v>
      </c>
      <c r="G73" s="154" t="n">
        <v>0.1648150478566811</v>
      </c>
      <c r="H73" s="154" t="n">
        <v>0</v>
      </c>
      <c r="I73" s="154" t="e">
        <v>#DIV/0!</v>
      </c>
      <c r="J73" s="154" t="n">
        <v>0</v>
      </c>
      <c r="K73" s="154" t="n">
        <v>0</v>
      </c>
      <c r="L73" s="154" t="e">
        <v>#DIV/0!</v>
      </c>
      <c r="M73" s="154" t="n">
        <v>1</v>
      </c>
      <c r="N73" s="154" t="n">
        <v>1.27</v>
      </c>
      <c r="O73" s="154" t="n">
        <v>1.27</v>
      </c>
      <c r="P73" s="154" t="n">
        <v>1.27</v>
      </c>
      <c r="Q73" s="154" t="e">
        <v>#DIV/0!</v>
      </c>
    </row>
    <row r="74" ht="15.75" customHeight="1" s="201">
      <c r="B74" s="1" t="inlineStr">
        <is>
          <t>Banana</t>
        </is>
      </c>
      <c r="C74" s="154" t="n">
        <v>19</v>
      </c>
      <c r="D74" s="154" t="n">
        <v>0.2398121234735102</v>
      </c>
      <c r="E74" s="154" t="n">
        <v>0.081206747</v>
      </c>
      <c r="F74" s="154" t="n">
        <v>0.365</v>
      </c>
      <c r="G74" s="154" t="n">
        <v>0.06782268835527325</v>
      </c>
      <c r="H74" s="154" t="n">
        <v>7</v>
      </c>
      <c r="I74" s="154" t="n">
        <v>0.2806857142857143</v>
      </c>
      <c r="J74" s="154" t="n">
        <v>0.219</v>
      </c>
      <c r="K74" s="154" t="n">
        <v>0.3636000000000001</v>
      </c>
      <c r="L74" s="154" t="n">
        <v>0.05411627692821626</v>
      </c>
      <c r="M74" s="154" t="n">
        <v>14</v>
      </c>
      <c r="N74" s="154" t="n">
        <v>0.8682648675210315</v>
      </c>
      <c r="O74" s="154" t="n">
        <v>0.419</v>
      </c>
      <c r="P74" s="154" t="n">
        <v>1.84</v>
      </c>
      <c r="Q74" s="154" t="n">
        <v>0.4237873350144918</v>
      </c>
    </row>
    <row r="75" ht="15.75" customHeight="1" s="201">
      <c r="B75" s="1" t="inlineStr">
        <is>
          <t>Blackberry, Andean</t>
        </is>
      </c>
      <c r="C75" s="154" t="n">
        <v>1</v>
      </c>
      <c r="D75" s="154" t="n">
        <v>0.17</v>
      </c>
      <c r="E75" s="154" t="n">
        <v>0.17</v>
      </c>
      <c r="F75" s="154" t="n">
        <v>0.17</v>
      </c>
      <c r="G75" s="154" t="e">
        <v>#DIV/0!</v>
      </c>
      <c r="H75" s="154" t="n">
        <v>0</v>
      </c>
      <c r="I75" s="154" t="e">
        <v>#DIV/0!</v>
      </c>
      <c r="J75" s="154" t="n">
        <v>0</v>
      </c>
      <c r="K75" s="154" t="n">
        <v>0</v>
      </c>
      <c r="L75" s="154" t="e">
        <v>#DIV/0!</v>
      </c>
      <c r="M75" s="154" t="n"/>
      <c r="N75" s="154" t="n"/>
      <c r="O75" s="154" t="n"/>
      <c r="P75" s="154" t="n"/>
      <c r="Q75" s="154" t="n"/>
    </row>
    <row r="76" ht="15.75" customHeight="1" s="201">
      <c r="B76" s="1" t="inlineStr">
        <is>
          <t>Blueberry</t>
        </is>
      </c>
      <c r="C76" s="154" t="n">
        <v>4</v>
      </c>
      <c r="D76" s="154" t="n">
        <v>0.4723684210526316</v>
      </c>
      <c r="E76" s="154" t="n">
        <v>0.168</v>
      </c>
      <c r="F76" s="154" t="n">
        <v>0.829</v>
      </c>
      <c r="G76" s="154" t="n">
        <v>0.3532645980983962</v>
      </c>
      <c r="H76" s="154" t="n">
        <v>0</v>
      </c>
      <c r="I76" s="154" t="e">
        <v>#DIV/0!</v>
      </c>
      <c r="J76" s="154" t="n">
        <v>0</v>
      </c>
      <c r="K76" s="154" t="n">
        <v>0</v>
      </c>
      <c r="L76" s="154" t="e">
        <v>#DIV/0!</v>
      </c>
      <c r="M76" s="154" t="n">
        <v>2</v>
      </c>
      <c r="N76" s="154" t="n">
        <v>0.462105263157895</v>
      </c>
      <c r="O76" s="154" t="n">
        <v>0.44</v>
      </c>
      <c r="P76" s="154" t="n">
        <v>0.48421052631579</v>
      </c>
      <c r="Q76" s="154" t="n">
        <v>0.03126156295772024</v>
      </c>
    </row>
    <row r="77" ht="15.75" customHeight="1" s="201">
      <c r="B77" s="1" t="inlineStr">
        <is>
          <t>Cherry</t>
        </is>
      </c>
      <c r="C77" s="154" t="n">
        <v>5</v>
      </c>
      <c r="D77" s="154" t="n">
        <v>0.468</v>
      </c>
      <c r="E77" s="154" t="n">
        <v>0.26</v>
      </c>
      <c r="F77" s="154" t="n">
        <v>0.88</v>
      </c>
      <c r="G77" s="154" t="n">
        <v>0.2432488437793695</v>
      </c>
      <c r="H77" s="154" t="n">
        <v>0</v>
      </c>
      <c r="I77" s="154" t="e">
        <v>#DIV/0!</v>
      </c>
      <c r="J77" s="154" t="n">
        <v>0</v>
      </c>
      <c r="K77" s="154" t="n">
        <v>0</v>
      </c>
      <c r="L77" s="154" t="e">
        <v>#DIV/0!</v>
      </c>
      <c r="M77" s="154" t="n">
        <v>3</v>
      </c>
      <c r="N77" s="154" t="n">
        <v>4.417</v>
      </c>
      <c r="O77" s="154" t="n">
        <v>0.418</v>
      </c>
      <c r="P77" s="154" t="n">
        <v>12.157</v>
      </c>
      <c r="Q77" s="154" t="n">
        <v>6.704277813456122</v>
      </c>
    </row>
    <row r="78" ht="15.75" customHeight="1" s="201">
      <c r="B78" s="1" t="inlineStr">
        <is>
          <t>Cranberry</t>
        </is>
      </c>
      <c r="C78" s="154" t="n">
        <v>1</v>
      </c>
      <c r="D78" s="154" t="n">
        <v>1.39</v>
      </c>
      <c r="E78" s="154" t="n">
        <v>1.39</v>
      </c>
      <c r="F78" s="154" t="n">
        <v>1.39</v>
      </c>
      <c r="G78" s="154" t="e">
        <v>#DIV/0!</v>
      </c>
      <c r="H78" s="154" t="n">
        <v>0</v>
      </c>
      <c r="I78" s="154" t="e">
        <v>#DIV/0!</v>
      </c>
      <c r="J78" s="154" t="n">
        <v>0</v>
      </c>
      <c r="K78" s="154" t="n">
        <v>0</v>
      </c>
      <c r="L78" s="154" t="e">
        <v>#DIV/0!</v>
      </c>
      <c r="M78" s="154" t="n"/>
      <c r="N78" s="154" t="n"/>
      <c r="O78" s="154" t="n"/>
      <c r="P78" s="154" t="n"/>
      <c r="Q78" s="154" t="n"/>
    </row>
    <row r="79" ht="15.75" customHeight="1" s="201">
      <c r="B79" s="1" t="inlineStr">
        <is>
          <t>Date</t>
        </is>
      </c>
      <c r="C79" s="154" t="n">
        <v>4</v>
      </c>
      <c r="D79" s="154" t="n">
        <v>1.823725</v>
      </c>
      <c r="E79" s="154" t="n">
        <v>0.32</v>
      </c>
      <c r="F79" s="154" t="n">
        <v>3.5733</v>
      </c>
      <c r="G79" s="154" t="n">
        <v>1.494417160356059</v>
      </c>
      <c r="H79" s="154" t="n">
        <v>0</v>
      </c>
      <c r="I79" s="154" t="e">
        <v>#DIV/0!</v>
      </c>
      <c r="J79" s="154" t="n">
        <v>0</v>
      </c>
      <c r="K79" s="154" t="n">
        <v>0</v>
      </c>
      <c r="L79" s="154" t="e">
        <v>#DIV/0!</v>
      </c>
      <c r="M79" s="154" t="n"/>
      <c r="N79" s="154" t="n"/>
      <c r="O79" s="154" t="n"/>
      <c r="P79" s="154" t="n"/>
      <c r="Q79" s="154" t="n"/>
    </row>
    <row r="80" ht="15.75" customHeight="1" s="201">
      <c r="B80" s="1" t="inlineStr">
        <is>
          <t>Fruits</t>
        </is>
      </c>
      <c r="C80" s="154" t="n">
        <v>2</v>
      </c>
      <c r="D80" s="154" t="n">
        <v>0.5289999999999999</v>
      </c>
      <c r="E80" s="154" t="n">
        <v>0.118</v>
      </c>
      <c r="F80" s="154" t="n">
        <v>0.9399999999999999</v>
      </c>
      <c r="G80" s="154" t="n">
        <v>0.5812417741353423</v>
      </c>
      <c r="H80" s="154" t="n">
        <v>0</v>
      </c>
      <c r="I80" s="154" t="e">
        <v>#DIV/0!</v>
      </c>
      <c r="J80" s="154" t="n">
        <v>0</v>
      </c>
      <c r="K80" s="154" t="n">
        <v>0</v>
      </c>
      <c r="L80" s="154" t="e">
        <v>#DIV/0!</v>
      </c>
      <c r="M80" s="154" t="n"/>
      <c r="N80" s="154" t="n"/>
      <c r="O80" s="154" t="n"/>
      <c r="P80" s="154" t="n"/>
      <c r="Q80" s="154" t="n"/>
    </row>
    <row r="81" ht="15.75" customHeight="1" s="201">
      <c r="B81" s="1" t="inlineStr">
        <is>
          <t>Fruits, Citrus</t>
        </is>
      </c>
      <c r="C81" s="154" t="n">
        <v>3</v>
      </c>
      <c r="D81" s="154" t="n">
        <v>0.3623333333333333</v>
      </c>
      <c r="E81" s="154" t="n">
        <v>0.11</v>
      </c>
      <c r="F81" s="154" t="n">
        <v>0.83</v>
      </c>
      <c r="G81" s="154" t="n">
        <v>0.4054335128394461</v>
      </c>
      <c r="H81" s="154" t="n">
        <v>0</v>
      </c>
      <c r="I81" s="154" t="e">
        <v>#DIV/0!</v>
      </c>
      <c r="J81" s="154" t="n">
        <v>0</v>
      </c>
      <c r="K81" s="154" t="n">
        <v>0</v>
      </c>
      <c r="L81" s="154" t="e">
        <v>#DIV/0!</v>
      </c>
      <c r="M81" s="154" t="n">
        <v>2</v>
      </c>
      <c r="N81" s="154" t="n">
        <v>0.41</v>
      </c>
      <c r="O81" s="154" t="n">
        <v>0.31</v>
      </c>
      <c r="P81" s="154" t="n">
        <v>0.51</v>
      </c>
      <c r="Q81" s="154" t="n">
        <v>0.1414213562373094</v>
      </c>
    </row>
    <row r="82" ht="15.75" customHeight="1" s="201">
      <c r="B82" s="1" t="inlineStr">
        <is>
          <t>Fruits, Subtropical</t>
        </is>
      </c>
      <c r="C82" s="154" t="n">
        <v>2</v>
      </c>
      <c r="D82" s="154" t="n">
        <v>0.207</v>
      </c>
      <c r="E82" s="154" t="n">
        <v>0.113</v>
      </c>
      <c r="F82" s="154" t="n">
        <v>0.301</v>
      </c>
      <c r="G82" s="154" t="n">
        <v>0.1329360748630709</v>
      </c>
      <c r="H82" s="154" t="n">
        <v>0</v>
      </c>
      <c r="I82" s="154" t="e">
        <v>#DIV/0!</v>
      </c>
      <c r="J82" s="154" t="n">
        <v>0</v>
      </c>
      <c r="K82" s="154" t="n">
        <v>0</v>
      </c>
      <c r="L82" s="154" t="e">
        <v>#DIV/0!</v>
      </c>
      <c r="M82" s="154" t="n"/>
      <c r="N82" s="154" t="n"/>
      <c r="O82" s="154" t="n"/>
      <c r="P82" s="154" t="n"/>
      <c r="Q82" s="154" t="n"/>
    </row>
    <row r="83" ht="15.75" customHeight="1" s="201">
      <c r="B83" s="1" t="inlineStr">
        <is>
          <t>Golden Berry</t>
        </is>
      </c>
      <c r="C83" s="154" t="n">
        <v>1</v>
      </c>
      <c r="D83" s="154" t="n">
        <v>0.189</v>
      </c>
      <c r="E83" s="154" t="n">
        <v>0.189</v>
      </c>
      <c r="F83" s="154" t="n">
        <v>0.189</v>
      </c>
      <c r="G83" s="154" t="e">
        <v>#DIV/0!</v>
      </c>
      <c r="H83" s="154" t="n">
        <v>0</v>
      </c>
      <c r="I83" s="154" t="e">
        <v>#DIV/0!</v>
      </c>
      <c r="J83" s="154" t="n">
        <v>0</v>
      </c>
      <c r="K83" s="154" t="n">
        <v>0</v>
      </c>
      <c r="L83" s="154" t="e">
        <v>#DIV/0!</v>
      </c>
      <c r="M83" s="154" t="n"/>
      <c r="N83" s="154" t="n"/>
      <c r="O83" s="154" t="n"/>
      <c r="P83" s="154" t="n"/>
      <c r="Q83" s="154" t="n"/>
    </row>
    <row r="84" ht="15.75" customHeight="1" s="201">
      <c r="B84" s="1" t="inlineStr">
        <is>
          <t>Gooseberry</t>
        </is>
      </c>
      <c r="C84" s="154" t="n">
        <v>1</v>
      </c>
      <c r="D84" s="154" t="n">
        <v>0.84</v>
      </c>
      <c r="E84" s="154" t="n">
        <v>0.84</v>
      </c>
      <c r="F84" s="154" t="n">
        <v>0.84</v>
      </c>
      <c r="G84" s="154" t="e">
        <v>#DIV/0!</v>
      </c>
      <c r="H84" s="154" t="n">
        <v>0</v>
      </c>
      <c r="I84" s="154" t="e">
        <v>#DIV/0!</v>
      </c>
      <c r="J84" s="154" t="n">
        <v>0</v>
      </c>
      <c r="K84" s="154" t="n">
        <v>0</v>
      </c>
      <c r="L84" s="154" t="e">
        <v>#DIV/0!</v>
      </c>
      <c r="M84" s="154" t="n"/>
      <c r="N84" s="154" t="n"/>
      <c r="O84" s="154" t="n"/>
      <c r="P84" s="154" t="n"/>
      <c r="Q84" s="154" t="n"/>
    </row>
    <row r="85" ht="15.75" customHeight="1" s="201">
      <c r="B85" s="1" t="inlineStr">
        <is>
          <t>Grape</t>
        </is>
      </c>
      <c r="C85" s="154" t="n">
        <v>3</v>
      </c>
      <c r="D85" s="154" t="n">
        <v>0.45944</v>
      </c>
      <c r="E85" s="154" t="n">
        <v>0.20832</v>
      </c>
      <c r="F85" s="154" t="n">
        <v>0.75</v>
      </c>
      <c r="G85" s="154" t="n">
        <v>0.2729852391613876</v>
      </c>
      <c r="H85" s="154" t="n">
        <v>0</v>
      </c>
      <c r="I85" s="154" t="e">
        <v>#DIV/0!</v>
      </c>
      <c r="J85" s="154" t="n">
        <v>0</v>
      </c>
      <c r="K85" s="154" t="n">
        <v>0</v>
      </c>
      <c r="L85" s="154" t="e">
        <v>#DIV/0!</v>
      </c>
      <c r="M85" s="154" t="n">
        <v>1</v>
      </c>
      <c r="N85" s="154" t="n">
        <v>0.29</v>
      </c>
      <c r="O85" s="154" t="n">
        <v>0.29</v>
      </c>
      <c r="P85" s="154" t="n">
        <v>0.29</v>
      </c>
      <c r="Q85" s="154" t="e">
        <v>#DIV/0!</v>
      </c>
    </row>
    <row r="86" ht="15.75" customHeight="1" s="201">
      <c r="B86" s="1" t="inlineStr">
        <is>
          <t>Grape, Raisin</t>
        </is>
      </c>
      <c r="C86" s="154" t="n">
        <v>2</v>
      </c>
      <c r="D86" s="154" t="n">
        <v>0.6835</v>
      </c>
      <c r="E86" s="154" t="n">
        <v>0.667</v>
      </c>
      <c r="F86" s="154" t="n">
        <v>0.7</v>
      </c>
      <c r="G86" s="154" t="n">
        <v>0.02333452377915495</v>
      </c>
      <c r="H86" s="154" t="n">
        <v>0</v>
      </c>
      <c r="I86" s="154" t="e">
        <v>#DIV/0!</v>
      </c>
      <c r="J86" s="154" t="n">
        <v>0</v>
      </c>
      <c r="K86" s="154" t="n">
        <v>0</v>
      </c>
      <c r="L86" s="154" t="e">
        <v>#DIV/0!</v>
      </c>
      <c r="M86" s="154" t="n"/>
      <c r="N86" s="154" t="n"/>
      <c r="O86" s="154" t="n"/>
      <c r="P86" s="154" t="n"/>
      <c r="Q86" s="154" t="n"/>
    </row>
    <row r="87" ht="15.75" customHeight="1" s="201">
      <c r="B87" s="1" t="inlineStr">
        <is>
          <t>Grapefruit</t>
        </is>
      </c>
      <c r="C87" s="154" t="n">
        <v>2</v>
      </c>
      <c r="D87" s="154" t="n">
        <v>0.605</v>
      </c>
      <c r="E87" s="154" t="n">
        <v>0.51</v>
      </c>
      <c r="F87" s="154" t="n">
        <v>0.7</v>
      </c>
      <c r="G87" s="154" t="n">
        <v>0.1343502884254441</v>
      </c>
      <c r="H87" s="154" t="n">
        <v>0</v>
      </c>
      <c r="I87" s="154" t="e">
        <v>#DIV/0!</v>
      </c>
      <c r="J87" s="154" t="n">
        <v>0</v>
      </c>
      <c r="K87" s="154" t="n">
        <v>0</v>
      </c>
      <c r="L87" s="154" t="e">
        <v>#DIV/0!</v>
      </c>
      <c r="M87" s="154" t="n"/>
      <c r="N87" s="154" t="n"/>
      <c r="O87" s="154" t="n"/>
      <c r="P87" s="154" t="n"/>
      <c r="Q87" s="154" t="n"/>
    </row>
    <row r="88" ht="15.75" customHeight="1" s="201">
      <c r="B88" s="1" t="inlineStr">
        <is>
          <t>Grapes, Wine</t>
        </is>
      </c>
      <c r="C88" s="154" t="n">
        <v>6</v>
      </c>
      <c r="D88" s="154" t="n">
        <v>0.194</v>
      </c>
      <c r="E88" s="154" t="n">
        <v>0.106</v>
      </c>
      <c r="F88" s="154" t="n">
        <v>0.272</v>
      </c>
      <c r="G88" s="154" t="n">
        <v>0.05994997914928747</v>
      </c>
      <c r="H88" s="154" t="n">
        <v>0</v>
      </c>
      <c r="I88" s="154" t="e">
        <v>#DIV/0!</v>
      </c>
      <c r="J88" s="154" t="n">
        <v>0</v>
      </c>
      <c r="K88" s="154" t="n">
        <v>0</v>
      </c>
      <c r="L88" s="154" t="e">
        <v>#DIV/0!</v>
      </c>
      <c r="M88" s="154" t="n">
        <v>5</v>
      </c>
      <c r="N88" s="154" t="n">
        <v>0.2283390909090909</v>
      </c>
      <c r="O88" s="154" t="n">
        <v>0.0764909090909091</v>
      </c>
      <c r="P88" s="154" t="n">
        <v>0.456</v>
      </c>
      <c r="Q88" s="154" t="n">
        <v>0.1544008446295358</v>
      </c>
    </row>
    <row r="89" ht="15.75" customHeight="1" s="201">
      <c r="B89" s="1" t="inlineStr">
        <is>
          <t>Guava</t>
        </is>
      </c>
      <c r="C89" s="154" t="n">
        <v>1</v>
      </c>
      <c r="D89" s="154" t="n">
        <v>1.78</v>
      </c>
      <c r="E89" s="154" t="n">
        <v>1.78</v>
      </c>
      <c r="F89" s="154" t="n">
        <v>1.78</v>
      </c>
      <c r="G89" s="154" t="e">
        <v>#DIV/0!</v>
      </c>
      <c r="H89" s="154" t="n">
        <v>0</v>
      </c>
      <c r="I89" s="154" t="e">
        <v>#DIV/0!</v>
      </c>
      <c r="J89" s="154" t="n">
        <v>0</v>
      </c>
      <c r="K89" s="154" t="n">
        <v>0</v>
      </c>
      <c r="L89" s="154" t="e">
        <v>#DIV/0!</v>
      </c>
      <c r="M89" s="154" t="n"/>
      <c r="N89" s="154" t="n"/>
      <c r="O89" s="154" t="n"/>
      <c r="P89" s="154" t="n"/>
      <c r="Q89" s="154" t="n"/>
    </row>
    <row r="90" ht="15.75" customHeight="1" s="201">
      <c r="B90" s="1" t="inlineStr">
        <is>
          <t>Honeydew melon</t>
        </is>
      </c>
      <c r="C90" s="154" t="n">
        <v>1</v>
      </c>
      <c r="D90" s="154" t="n">
        <v>0.131</v>
      </c>
      <c r="E90" s="154" t="n">
        <v>0.131</v>
      </c>
      <c r="F90" s="154" t="n">
        <v>0.131</v>
      </c>
      <c r="G90" s="154" t="e">
        <v>#DIV/0!</v>
      </c>
      <c r="H90" s="154" t="n">
        <v>0</v>
      </c>
      <c r="I90" s="154" t="e">
        <v>#DIV/0!</v>
      </c>
      <c r="J90" s="154" t="n">
        <v>0</v>
      </c>
      <c r="K90" s="154" t="n">
        <v>0</v>
      </c>
      <c r="L90" s="154" t="e">
        <v>#DIV/0!</v>
      </c>
      <c r="M90" s="154" t="n">
        <v>1</v>
      </c>
      <c r="N90" s="154" t="n">
        <v>0.27</v>
      </c>
      <c r="O90" s="154" t="n">
        <v>0.27</v>
      </c>
      <c r="P90" s="154" t="n">
        <v>0.27</v>
      </c>
      <c r="Q90" s="154" t="e">
        <v>#DIV/0!</v>
      </c>
    </row>
    <row r="91" ht="15.75" customHeight="1" s="201">
      <c r="B91" s="1" t="inlineStr">
        <is>
          <t>Kiwifruit, fuzzy</t>
        </is>
      </c>
      <c r="C91" s="154" t="n">
        <v>5</v>
      </c>
      <c r="D91" s="154" t="n">
        <v>0.227454</v>
      </c>
      <c r="E91" s="154" t="n">
        <v>0.135</v>
      </c>
      <c r="F91" s="154" t="n">
        <v>0.43527</v>
      </c>
      <c r="G91" s="154" t="n">
        <v>0.121479794945497</v>
      </c>
      <c r="H91" s="154" t="n">
        <v>0</v>
      </c>
      <c r="I91" s="154" t="e">
        <v>#DIV/0!</v>
      </c>
      <c r="J91" s="154" t="n">
        <v>0</v>
      </c>
      <c r="K91" s="154" t="n">
        <v>0</v>
      </c>
      <c r="L91" s="154" t="e">
        <v>#DIV/0!</v>
      </c>
      <c r="M91" s="154" t="n">
        <v>1</v>
      </c>
      <c r="N91" s="154" t="n">
        <v>0.6</v>
      </c>
      <c r="O91" s="154" t="n">
        <v>0.6</v>
      </c>
      <c r="P91" s="154" t="n">
        <v>0.6</v>
      </c>
      <c r="Q91" s="154" t="e">
        <v>#DIV/0!</v>
      </c>
    </row>
    <row r="92" ht="15.75" customHeight="1" s="201">
      <c r="B92" s="1" t="inlineStr">
        <is>
          <t>Lemon</t>
        </is>
      </c>
      <c r="C92" s="154" t="n">
        <v>3</v>
      </c>
      <c r="D92" s="154" t="n">
        <v>0.2233333333333334</v>
      </c>
      <c r="E92" s="154" t="n">
        <v>0.04</v>
      </c>
      <c r="F92" s="154" t="n">
        <v>0.51</v>
      </c>
      <c r="G92" s="154" t="n">
        <v>0.2514623895005639</v>
      </c>
      <c r="H92" s="154" t="n">
        <v>0</v>
      </c>
      <c r="I92" s="154" t="e">
        <v>#DIV/0!</v>
      </c>
      <c r="J92" s="154" t="n">
        <v>0</v>
      </c>
      <c r="K92" s="154" t="n">
        <v>0</v>
      </c>
      <c r="L92" s="154" t="e">
        <v>#DIV/0!</v>
      </c>
      <c r="M92" s="154" t="n"/>
      <c r="N92" s="154" t="n"/>
      <c r="O92" s="154" t="n"/>
      <c r="P92" s="154" t="n"/>
      <c r="Q92" s="154" t="n"/>
    </row>
    <row r="93" ht="15.75" customHeight="1" s="201">
      <c r="B93" s="1" t="inlineStr">
        <is>
          <t>Lime</t>
        </is>
      </c>
      <c r="C93" s="154" t="n">
        <v>1</v>
      </c>
      <c r="D93" s="154" t="n">
        <v>0.51</v>
      </c>
      <c r="E93" s="154" t="n">
        <v>0.51</v>
      </c>
      <c r="F93" s="154" t="n">
        <v>0.51</v>
      </c>
      <c r="G93" s="154" t="e">
        <v>#DIV/0!</v>
      </c>
      <c r="H93" s="154" t="n">
        <v>0</v>
      </c>
      <c r="I93" s="154" t="e">
        <v>#DIV/0!</v>
      </c>
      <c r="J93" s="154" t="n">
        <v>0</v>
      </c>
      <c r="K93" s="154" t="n">
        <v>0</v>
      </c>
      <c r="L93" s="154" t="e">
        <v>#DIV/0!</v>
      </c>
      <c r="M93" s="154" t="n"/>
      <c r="N93" s="154" t="n"/>
      <c r="O93" s="154" t="n"/>
      <c r="P93" s="154" t="n"/>
      <c r="Q93" s="154" t="n"/>
    </row>
    <row r="94" ht="15.75" customHeight="1" s="201">
      <c r="B94" s="1" t="inlineStr">
        <is>
          <t>Lulo</t>
        </is>
      </c>
      <c r="C94" s="154" t="n">
        <v>1</v>
      </c>
      <c r="D94" s="154" t="n">
        <v>0.387</v>
      </c>
      <c r="E94" s="154" t="n">
        <v>0.387</v>
      </c>
      <c r="F94" s="154" t="n">
        <v>0.387</v>
      </c>
      <c r="G94" s="154" t="e">
        <v>#DIV/0!</v>
      </c>
      <c r="H94" s="154" t="n">
        <v>0</v>
      </c>
      <c r="I94" s="154" t="e">
        <v>#DIV/0!</v>
      </c>
      <c r="J94" s="154" t="n">
        <v>0</v>
      </c>
      <c r="K94" s="154" t="n">
        <v>0</v>
      </c>
      <c r="L94" s="154" t="e">
        <v>#DIV/0!</v>
      </c>
      <c r="M94" s="154" t="n"/>
      <c r="N94" s="154" t="n"/>
      <c r="O94" s="154" t="n"/>
      <c r="P94" s="154" t="n"/>
      <c r="Q94" s="154" t="n"/>
    </row>
    <row r="95" ht="15.75" customHeight="1" s="201">
      <c r="B95" s="1" t="inlineStr">
        <is>
          <t>Mandarins</t>
        </is>
      </c>
      <c r="C95" s="154" t="n">
        <v>1</v>
      </c>
      <c r="D95" s="154" t="n">
        <v>0.556</v>
      </c>
      <c r="E95" s="154" t="n">
        <v>0.556</v>
      </c>
      <c r="F95" s="154" t="n">
        <v>0.556</v>
      </c>
      <c r="G95" s="154" t="e">
        <v>#DIV/0!</v>
      </c>
      <c r="H95" s="154" t="n">
        <v>0</v>
      </c>
      <c r="I95" s="154" t="e">
        <v>#DIV/0!</v>
      </c>
      <c r="J95" s="154" t="n">
        <v>0</v>
      </c>
      <c r="K95" s="154" t="n">
        <v>0</v>
      </c>
      <c r="L95" s="154" t="e">
        <v>#DIV/0!</v>
      </c>
      <c r="M95" s="154" t="n"/>
      <c r="N95" s="154" t="n"/>
      <c r="O95" s="154" t="n"/>
      <c r="P95" s="154" t="n"/>
      <c r="Q95" s="154" t="n"/>
    </row>
    <row r="96" ht="15.75" customHeight="1" s="201">
      <c r="B96" s="1" t="inlineStr">
        <is>
          <t>Mango</t>
        </is>
      </c>
      <c r="C96" s="154" t="n">
        <v>1</v>
      </c>
      <c r="D96" s="154" t="n">
        <v>0.441</v>
      </c>
      <c r="E96" s="154" t="n">
        <v>0.441</v>
      </c>
      <c r="F96" s="154" t="n">
        <v>0.441</v>
      </c>
      <c r="G96" s="154" t="e">
        <v>#DIV/0!</v>
      </c>
      <c r="H96" s="154" t="n">
        <v>0</v>
      </c>
      <c r="I96" s="154" t="e">
        <v>#DIV/0!</v>
      </c>
      <c r="J96" s="154" t="n">
        <v>0</v>
      </c>
      <c r="K96" s="154" t="n">
        <v>0</v>
      </c>
      <c r="L96" s="154" t="e">
        <v>#DIV/0!</v>
      </c>
      <c r="M96" s="154" t="n"/>
      <c r="N96" s="154" t="n"/>
      <c r="O96" s="154" t="n"/>
      <c r="P96" s="154" t="n"/>
      <c r="Q96" s="154" t="n"/>
    </row>
    <row r="97" ht="15.75" customHeight="1" s="201">
      <c r="B97" s="1" t="inlineStr">
        <is>
          <t>Melon</t>
        </is>
      </c>
      <c r="C97" s="154" t="n">
        <v>1</v>
      </c>
      <c r="D97" s="154" t="n">
        <v>0.6463448275862069</v>
      </c>
      <c r="E97" s="154" t="n">
        <v>0.6463448275862069</v>
      </c>
      <c r="F97" s="154" t="n">
        <v>0.6463448275862069</v>
      </c>
      <c r="G97" s="154" t="e">
        <v>#DIV/0!</v>
      </c>
      <c r="H97" s="154" t="n">
        <v>0</v>
      </c>
      <c r="I97" s="154" t="e">
        <v>#DIV/0!</v>
      </c>
      <c r="J97" s="154" t="n">
        <v>0</v>
      </c>
      <c r="K97" s="154" t="n">
        <v>0</v>
      </c>
      <c r="L97" s="154" t="e">
        <v>#DIV/0!</v>
      </c>
      <c r="M97" s="154" t="n">
        <v>1</v>
      </c>
      <c r="N97" s="154" t="n">
        <v>0.7100000000000001</v>
      </c>
      <c r="O97" s="154" t="n">
        <v>0.7100000000000001</v>
      </c>
      <c r="P97" s="154" t="n">
        <v>0.7100000000000001</v>
      </c>
      <c r="Q97" s="154" t="e">
        <v>#DIV/0!</v>
      </c>
    </row>
    <row r="98" ht="15.75" customHeight="1" s="201">
      <c r="B98" s="1" t="inlineStr">
        <is>
          <t>Melon, greenhouse</t>
        </is>
      </c>
      <c r="C98" s="154" t="n">
        <v>0</v>
      </c>
      <c r="D98" s="154" t="e">
        <v>#DIV/0!</v>
      </c>
      <c r="E98" s="154" t="n">
        <v>0</v>
      </c>
      <c r="F98" s="154" t="n">
        <v>0</v>
      </c>
      <c r="G98" s="154" t="e">
        <v>#DIV/0!</v>
      </c>
      <c r="H98" s="154" t="n">
        <v>0</v>
      </c>
      <c r="I98" s="154" t="e">
        <v>#DIV/0!</v>
      </c>
      <c r="J98" s="154" t="n">
        <v>0</v>
      </c>
      <c r="K98" s="154" t="n">
        <v>0</v>
      </c>
      <c r="L98" s="154" t="e">
        <v>#DIV/0!</v>
      </c>
      <c r="M98" s="154" t="n">
        <v>1</v>
      </c>
      <c r="N98" s="154" t="n">
        <v>1.4275</v>
      </c>
      <c r="O98" s="154" t="n">
        <v>1.4275</v>
      </c>
      <c r="P98" s="154" t="n">
        <v>1.4275</v>
      </c>
      <c r="Q98" s="154" t="e">
        <v>#DIV/0!</v>
      </c>
    </row>
    <row r="99" ht="15.75" customHeight="1" s="201">
      <c r="B99" s="1" t="inlineStr">
        <is>
          <t>Olive</t>
        </is>
      </c>
      <c r="C99" s="154" t="n">
        <v>7</v>
      </c>
      <c r="D99" s="154" t="n">
        <v>0.4143857142857143</v>
      </c>
      <c r="E99" s="154" t="n">
        <v>0.08</v>
      </c>
      <c r="F99" s="154" t="n">
        <v>0.7071000000000001</v>
      </c>
      <c r="G99" s="154" t="n">
        <v>0.2457227396109379</v>
      </c>
      <c r="H99" s="154" t="n">
        <v>0</v>
      </c>
      <c r="I99" s="154" t="e">
        <v>#DIV/0!</v>
      </c>
      <c r="J99" s="154" t="n">
        <v>0</v>
      </c>
      <c r="K99" s="154" t="n">
        <v>0</v>
      </c>
      <c r="L99" s="154" t="e">
        <v>#DIV/0!</v>
      </c>
      <c r="M99" s="154" t="n">
        <v>2</v>
      </c>
      <c r="N99" s="154" t="n">
        <v>8.7575</v>
      </c>
      <c r="O99" s="154" t="n">
        <v>8.384</v>
      </c>
      <c r="P99" s="154" t="n">
        <v>9.131</v>
      </c>
      <c r="Q99" s="154" t="n">
        <v>0.5282087655463638</v>
      </c>
    </row>
    <row r="100" ht="15.75" customHeight="1" s="201">
      <c r="B100" s="1" t="inlineStr">
        <is>
          <t>orange</t>
        </is>
      </c>
      <c r="C100" s="154" t="n">
        <v>13</v>
      </c>
      <c r="D100" s="154" t="n">
        <v>0.2143587755913338</v>
      </c>
      <c r="E100" s="154" t="n">
        <v>0.04</v>
      </c>
      <c r="F100" s="154" t="n">
        <v>0.33</v>
      </c>
      <c r="G100" s="154" t="n">
        <v>0.08445428045459806</v>
      </c>
      <c r="H100" s="154" t="n">
        <v>0</v>
      </c>
      <c r="I100" s="154" t="e">
        <v>#DIV/0!</v>
      </c>
      <c r="J100" s="154" t="n">
        <v>0</v>
      </c>
      <c r="K100" s="154" t="n">
        <v>0</v>
      </c>
      <c r="L100" s="154" t="e">
        <v>#DIV/0!</v>
      </c>
      <c r="M100" s="154" t="n">
        <v>1</v>
      </c>
      <c r="N100" s="154" t="n">
        <v>0.257</v>
      </c>
      <c r="O100" s="154" t="n">
        <v>0.257</v>
      </c>
      <c r="P100" s="154" t="n">
        <v>0.257</v>
      </c>
      <c r="Q100" s="154" t="e">
        <v>#DIV/0!</v>
      </c>
    </row>
    <row r="101" ht="15.75" customHeight="1" s="201">
      <c r="B101" s="1" t="inlineStr">
        <is>
          <t>Papaya</t>
        </is>
      </c>
      <c r="C101" s="154" t="n">
        <v>1</v>
      </c>
      <c r="D101" s="154" t="n">
        <v>0.14498</v>
      </c>
      <c r="E101" s="154" t="n">
        <v>0.14498</v>
      </c>
      <c r="F101" s="154" t="n">
        <v>0.14498</v>
      </c>
      <c r="G101" s="154" t="e">
        <v>#DIV/0!</v>
      </c>
      <c r="H101" s="154" t="n">
        <v>0</v>
      </c>
      <c r="I101" s="154" t="e">
        <v>#DIV/0!</v>
      </c>
      <c r="J101" s="154" t="n">
        <v>0</v>
      </c>
      <c r="K101" s="154" t="n">
        <v>0</v>
      </c>
      <c r="L101" s="154" t="e">
        <v>#DIV/0!</v>
      </c>
      <c r="M101" s="154" t="n"/>
      <c r="N101" s="154" t="n"/>
      <c r="O101" s="154" t="n"/>
      <c r="P101" s="154" t="n"/>
      <c r="Q101" s="154" t="n"/>
    </row>
    <row r="102" ht="15.75" customHeight="1" s="201">
      <c r="B102" s="1" t="inlineStr">
        <is>
          <t>Passion Fruit</t>
        </is>
      </c>
      <c r="C102" s="154" t="n">
        <v>1</v>
      </c>
      <c r="D102" s="154" t="n">
        <v>0.125</v>
      </c>
      <c r="E102" s="154" t="n">
        <v>0.125</v>
      </c>
      <c r="F102" s="154" t="n">
        <v>0.125</v>
      </c>
      <c r="G102" s="154" t="e">
        <v>#DIV/0!</v>
      </c>
      <c r="H102" s="154" t="n">
        <v>0</v>
      </c>
      <c r="I102" s="154" t="e">
        <v>#DIV/0!</v>
      </c>
      <c r="J102" s="154" t="n">
        <v>0</v>
      </c>
      <c r="K102" s="154" t="n">
        <v>0</v>
      </c>
      <c r="L102" s="154" t="e">
        <v>#DIV/0!</v>
      </c>
      <c r="M102" s="154" t="n"/>
      <c r="N102" s="154" t="n"/>
      <c r="O102" s="154" t="n"/>
      <c r="P102" s="154" t="n"/>
      <c r="Q102" s="154" t="n"/>
    </row>
    <row r="103" ht="15.75" customHeight="1" s="201">
      <c r="B103" s="1" t="inlineStr">
        <is>
          <t>Peach</t>
        </is>
      </c>
      <c r="C103" s="154" t="n">
        <v>7</v>
      </c>
      <c r="D103" s="154" t="n">
        <v>0.263</v>
      </c>
      <c r="E103" s="154" t="n">
        <v>0.125</v>
      </c>
      <c r="F103" s="154" t="n">
        <v>0.591</v>
      </c>
      <c r="G103" s="154" t="n">
        <v>0.1703946399782967</v>
      </c>
      <c r="H103" s="154" t="n">
        <v>0</v>
      </c>
      <c r="I103" s="154" t="e">
        <v>#DIV/0!</v>
      </c>
      <c r="J103" s="154" t="n">
        <v>0</v>
      </c>
      <c r="K103" s="154" t="n">
        <v>0</v>
      </c>
      <c r="L103" s="154" t="e">
        <v>#DIV/0!</v>
      </c>
      <c r="M103" s="154" t="n">
        <v>1</v>
      </c>
      <c r="N103" s="154" t="n">
        <v>0.2342857142857143</v>
      </c>
      <c r="O103" s="154" t="n">
        <v>0.2342857142857143</v>
      </c>
      <c r="P103" s="154" t="n">
        <v>0.2342857142857143</v>
      </c>
      <c r="Q103" s="154" t="e">
        <v>#DIV/0!</v>
      </c>
    </row>
    <row r="104" ht="15.75" customHeight="1" s="201">
      <c r="B104" s="1" t="inlineStr">
        <is>
          <t>Pear</t>
        </is>
      </c>
      <c r="C104" s="154" t="n">
        <v>7</v>
      </c>
      <c r="D104" s="154" t="n">
        <v>0.2241421771428571</v>
      </c>
      <c r="E104" s="154" t="n">
        <v>0.06</v>
      </c>
      <c r="F104" s="154" t="n">
        <v>0.379</v>
      </c>
      <c r="G104" s="154" t="n">
        <v>0.1302347031902263</v>
      </c>
      <c r="H104" s="154" t="n">
        <v>4</v>
      </c>
      <c r="I104" s="154" t="n">
        <v>0.310875</v>
      </c>
      <c r="J104" s="154" t="n">
        <v>0.08259999999999999</v>
      </c>
      <c r="K104" s="154" t="n">
        <v>0.489</v>
      </c>
      <c r="L104" s="154" t="n">
        <v>0.1708200881044147</v>
      </c>
      <c r="M104" s="154" t="n">
        <v>6</v>
      </c>
      <c r="N104" s="154" t="n">
        <v>0.2875575399999999</v>
      </c>
      <c r="O104" s="154" t="n">
        <v>0.09</v>
      </c>
      <c r="P104" s="154" t="n">
        <v>0.4923</v>
      </c>
      <c r="Q104" s="154" t="n">
        <v>0.1429142705579454</v>
      </c>
    </row>
    <row r="105" ht="15.75" customHeight="1" s="201">
      <c r="B105" s="1" t="inlineStr">
        <is>
          <t>Pineapple</t>
        </is>
      </c>
      <c r="C105" s="154" t="n">
        <v>2</v>
      </c>
      <c r="D105" s="154" t="n">
        <v>0.4661363636363636</v>
      </c>
      <c r="E105" s="154" t="n">
        <v>0.3272727272727272</v>
      </c>
      <c r="F105" s="154" t="n">
        <v>0.605</v>
      </c>
      <c r="G105" s="154" t="n">
        <v>0.1963828378659004</v>
      </c>
      <c r="H105" s="154" t="n">
        <v>0</v>
      </c>
      <c r="I105" s="154" t="e">
        <v>#DIV/0!</v>
      </c>
      <c r="J105" s="154" t="n">
        <v>0</v>
      </c>
      <c r="K105" s="154" t="n">
        <v>0</v>
      </c>
      <c r="L105" s="154" t="e">
        <v>#DIV/0!</v>
      </c>
      <c r="M105" s="154" t="n">
        <v>2</v>
      </c>
      <c r="N105" s="154" t="n">
        <v>0.4427272727272727</v>
      </c>
      <c r="O105" s="154" t="n">
        <v>0.34</v>
      </c>
      <c r="P105" s="154" t="n">
        <v>0.5454545454545454</v>
      </c>
      <c r="Q105" s="154" t="n">
        <v>0.1452783023165087</v>
      </c>
    </row>
    <row r="106" ht="15.75" customHeight="1" s="201">
      <c r="B106" s="1" t="inlineStr">
        <is>
          <t>Plantain</t>
        </is>
      </c>
      <c r="C106" s="154" t="n">
        <v>1</v>
      </c>
      <c r="D106" s="154" t="n">
        <v>1.33</v>
      </c>
      <c r="E106" s="154" t="n">
        <v>1.33</v>
      </c>
      <c r="F106" s="154" t="n">
        <v>1.33</v>
      </c>
      <c r="G106" s="154" t="e">
        <v>#DIV/0!</v>
      </c>
      <c r="H106" s="154" t="n">
        <v>0</v>
      </c>
      <c r="I106" s="154" t="e">
        <v>#DIV/0!</v>
      </c>
      <c r="J106" s="154" t="n">
        <v>0</v>
      </c>
      <c r="K106" s="154" t="n">
        <v>0</v>
      </c>
      <c r="L106" s="154" t="e">
        <v>#DIV/0!</v>
      </c>
      <c r="M106" s="154" t="n"/>
      <c r="N106" s="154" t="n"/>
      <c r="O106" s="154" t="n"/>
      <c r="P106" s="154" t="n"/>
      <c r="Q106" s="154" t="n"/>
    </row>
    <row r="107" ht="15.75" customHeight="1" s="201">
      <c r="B107" s="1" t="inlineStr">
        <is>
          <t>Plum</t>
        </is>
      </c>
      <c r="C107" s="154" t="n">
        <v>3</v>
      </c>
      <c r="D107" s="154" t="n">
        <v>0.5433333333333333</v>
      </c>
      <c r="E107" s="154" t="n">
        <v>0.32</v>
      </c>
      <c r="F107" s="154" t="n">
        <v>0.88</v>
      </c>
      <c r="G107" s="154" t="n">
        <v>0.2967041174863156</v>
      </c>
      <c r="H107" s="154" t="n">
        <v>0</v>
      </c>
      <c r="I107" s="154" t="e">
        <v>#DIV/0!</v>
      </c>
      <c r="J107" s="154" t="n">
        <v>0</v>
      </c>
      <c r="K107" s="154" t="n">
        <v>0</v>
      </c>
      <c r="L107" s="154" t="e">
        <v>#DIV/0!</v>
      </c>
      <c r="M107" s="154" t="n"/>
      <c r="N107" s="154" t="n"/>
      <c r="O107" s="154" t="n"/>
      <c r="P107" s="154" t="n"/>
      <c r="Q107" s="154" t="n"/>
    </row>
    <row r="108" ht="15.75" customHeight="1" s="201">
      <c r="B108" s="1" t="inlineStr">
        <is>
          <t>Raspberry</t>
        </is>
      </c>
      <c r="C108" s="154" t="n">
        <v>2</v>
      </c>
      <c r="D108" s="154" t="n">
        <v>0.2274782608695651</v>
      </c>
      <c r="E108" s="154" t="n">
        <v>0.192</v>
      </c>
      <c r="F108" s="154" t="n">
        <v>0.2629565217391303</v>
      </c>
      <c r="G108" s="154" t="n">
        <v>0.05017383769114954</v>
      </c>
      <c r="H108" s="154" t="n">
        <v>0</v>
      </c>
      <c r="I108" s="154" t="e">
        <v>#DIV/0!</v>
      </c>
      <c r="J108" s="154" t="n">
        <v>0</v>
      </c>
      <c r="K108" s="154" t="n">
        <v>0</v>
      </c>
      <c r="L108" s="154" t="e">
        <v>#DIV/0!</v>
      </c>
      <c r="M108" s="154" t="n">
        <v>5</v>
      </c>
      <c r="N108" s="154" t="n">
        <v>4.65335652173913</v>
      </c>
      <c r="O108" s="154" t="n">
        <v>0.416</v>
      </c>
      <c r="P108" s="154" t="n">
        <v>7.7</v>
      </c>
      <c r="Q108" s="154" t="n">
        <v>3.855114342280979</v>
      </c>
    </row>
    <row r="109" ht="15.75" customHeight="1" s="201">
      <c r="B109" s="1" t="inlineStr">
        <is>
          <t>Strawberry</t>
        </is>
      </c>
      <c r="C109" s="154" t="n">
        <v>11</v>
      </c>
      <c r="D109" s="154" t="n">
        <v>0.579</v>
      </c>
      <c r="E109" s="154" t="n">
        <v>0.21</v>
      </c>
      <c r="F109" s="154" t="n">
        <v>1.39</v>
      </c>
      <c r="G109" s="154" t="n">
        <v>0.3909636811776767</v>
      </c>
      <c r="H109" s="154" t="n">
        <v>0</v>
      </c>
      <c r="I109" s="154" t="e">
        <v>#DIV/0!</v>
      </c>
      <c r="J109" s="154" t="n">
        <v>0</v>
      </c>
      <c r="K109" s="154" t="n">
        <v>0</v>
      </c>
      <c r="L109" s="154" t="e">
        <v>#DIV/0!</v>
      </c>
      <c r="M109" s="154" t="n">
        <v>8</v>
      </c>
      <c r="N109" s="154" t="n">
        <v>1.60425</v>
      </c>
      <c r="O109" s="154" t="n">
        <v>0.28</v>
      </c>
      <c r="P109" s="154" t="n">
        <v>7.352</v>
      </c>
      <c r="Q109" s="154" t="n">
        <v>2.341661848834224</v>
      </c>
    </row>
    <row r="110" ht="15.75" customHeight="1" s="201">
      <c r="B110" s="1" t="inlineStr">
        <is>
          <t>Strawberry, greenhouse</t>
        </is>
      </c>
      <c r="C110" s="154" t="n">
        <v>0</v>
      </c>
      <c r="D110" s="154" t="e">
        <v>#DIV/0!</v>
      </c>
      <c r="E110" s="154" t="n">
        <v>0</v>
      </c>
      <c r="F110" s="154" t="n">
        <v>0</v>
      </c>
      <c r="G110" s="154" t="e">
        <v>#DIV/0!</v>
      </c>
      <c r="H110" s="154" t="n">
        <v>0</v>
      </c>
      <c r="I110" s="154" t="e">
        <v>#DIV/0!</v>
      </c>
      <c r="J110" s="154" t="n">
        <v>0</v>
      </c>
      <c r="K110" s="154" t="n">
        <v>0</v>
      </c>
      <c r="L110" s="154" t="e">
        <v>#DIV/0!</v>
      </c>
      <c r="M110" s="154" t="n">
        <v>1</v>
      </c>
      <c r="N110" s="154" t="n">
        <v>0.695</v>
      </c>
      <c r="O110" s="154" t="n">
        <v>0.695</v>
      </c>
      <c r="P110" s="154" t="n">
        <v>0.695</v>
      </c>
      <c r="Q110" s="154" t="e">
        <v>#DIV/0!</v>
      </c>
    </row>
    <row r="111" ht="15.75" customHeight="1" s="201">
      <c r="B111" s="1" t="inlineStr">
        <is>
          <t>Tree Tomato</t>
        </is>
      </c>
      <c r="C111" s="154" t="n">
        <v>1</v>
      </c>
      <c r="D111" s="154" t="n">
        <v>0.345</v>
      </c>
      <c r="E111" s="154" t="n">
        <v>0.345</v>
      </c>
      <c r="F111" s="154" t="n">
        <v>0.345</v>
      </c>
      <c r="G111" s="154" t="e">
        <v>#DIV/0!</v>
      </c>
      <c r="H111" s="154" t="n">
        <v>0</v>
      </c>
      <c r="I111" s="154" t="e">
        <v>#DIV/0!</v>
      </c>
      <c r="J111" s="154" t="n">
        <v>0</v>
      </c>
      <c r="K111" s="154" t="n">
        <v>0</v>
      </c>
      <c r="L111" s="154" t="e">
        <v>#DIV/0!</v>
      </c>
      <c r="M111" s="154" t="n"/>
      <c r="N111" s="154" t="n"/>
      <c r="O111" s="154" t="n"/>
      <c r="P111" s="154" t="n"/>
      <c r="Q111" s="154" t="n"/>
    </row>
    <row r="112" ht="15.75" customHeight="1" s="201">
      <c r="B112" s="1" t="inlineStr">
        <is>
          <t>tropical fruit</t>
        </is>
      </c>
      <c r="C112" s="154" t="n">
        <v>2</v>
      </c>
      <c r="D112" s="154" t="n">
        <v>3.28</v>
      </c>
      <c r="E112" s="154" t="n">
        <v>2.09</v>
      </c>
      <c r="F112" s="154" t="n">
        <v>4.47</v>
      </c>
      <c r="G112" s="154" t="n">
        <v>1.682914139223983</v>
      </c>
      <c r="H112" s="154" t="n">
        <v>0</v>
      </c>
      <c r="I112" s="154" t="e">
        <v>#DIV/0!</v>
      </c>
      <c r="J112" s="154" t="n">
        <v>0</v>
      </c>
      <c r="K112" s="154" t="n">
        <v>0</v>
      </c>
      <c r="L112" s="154" t="e">
        <v>#DIV/0!</v>
      </c>
      <c r="M112" s="154" t="n"/>
      <c r="N112" s="154" t="n"/>
      <c r="O112" s="154" t="n"/>
      <c r="P112" s="154" t="n"/>
      <c r="Q112" s="154" t="n"/>
    </row>
    <row r="113" ht="15.75" customHeight="1" s="201">
      <c r="B113" s="1" t="inlineStr">
        <is>
          <t>Watermelon</t>
        </is>
      </c>
      <c r="C113" s="154" t="n">
        <v>3</v>
      </c>
      <c r="D113" s="154" t="n">
        <v>1.013333333333333</v>
      </c>
      <c r="E113" s="154" t="n">
        <v>0.38</v>
      </c>
      <c r="F113" s="154" t="n">
        <v>1.33</v>
      </c>
      <c r="G113" s="154" t="n">
        <v>0.5484827557301446</v>
      </c>
      <c r="H113" s="154" t="n">
        <v>0</v>
      </c>
      <c r="I113" s="154" t="e">
        <v>#DIV/0!</v>
      </c>
      <c r="J113" s="154" t="n">
        <v>0</v>
      </c>
      <c r="K113" s="154" t="n">
        <v>0</v>
      </c>
      <c r="L113" s="154" t="e">
        <v>#DIV/0!</v>
      </c>
      <c r="M113" s="154" t="n"/>
      <c r="N113" s="154" t="n"/>
      <c r="O113" s="154" t="n"/>
      <c r="P113" s="154" t="n"/>
      <c r="Q113" s="154" t="n"/>
    </row>
    <row r="114" ht="15.75" customHeight="1" s="201">
      <c r="B114" s="1" t="inlineStr">
        <is>
          <t>x_Olives</t>
        </is>
      </c>
      <c r="C114" s="154" t="n">
        <v>1</v>
      </c>
      <c r="D114" s="154" t="n">
        <v>-0.01</v>
      </c>
      <c r="E114" s="154" t="n">
        <v>-0.01</v>
      </c>
      <c r="F114" s="154" t="n">
        <v>-0.01</v>
      </c>
      <c r="G114" s="154" t="e">
        <v>#DIV/0!</v>
      </c>
      <c r="H114" s="154" t="n">
        <v>0</v>
      </c>
      <c r="I114" s="154" t="e">
        <v>#DIV/0!</v>
      </c>
      <c r="J114" s="154" t="n">
        <v>0</v>
      </c>
      <c r="K114" s="154" t="n">
        <v>0</v>
      </c>
      <c r="L114" s="154" t="e">
        <v>#DIV/0!</v>
      </c>
      <c r="M114" s="154" t="n"/>
      <c r="N114" s="154" t="n"/>
      <c r="O114" s="154" t="n"/>
      <c r="P114" s="154" t="n"/>
      <c r="Q114" s="154" t="n"/>
    </row>
    <row r="115" ht="15.75" customHeight="1" s="201">
      <c r="B115" s="1" t="inlineStr">
        <is>
          <t>x_Strawberries</t>
        </is>
      </c>
      <c r="C115" s="154" t="n">
        <v>1</v>
      </c>
      <c r="D115" s="154" t="n">
        <v>2.225201072386059</v>
      </c>
      <c r="E115" s="154" t="n">
        <v>2.225201072386059</v>
      </c>
      <c r="F115" s="154" t="n">
        <v>2.225201072386059</v>
      </c>
      <c r="G115" s="154" t="e">
        <v>#DIV/0!</v>
      </c>
      <c r="H115" s="154" t="n">
        <v>1</v>
      </c>
      <c r="I115" s="154" t="n">
        <v>2.453083109919571</v>
      </c>
      <c r="J115" s="154" t="n">
        <v>2.453083109919571</v>
      </c>
      <c r="K115" s="154" t="n">
        <v>2.453083109919571</v>
      </c>
      <c r="L115" s="154" t="e">
        <v>#DIV/0!</v>
      </c>
      <c r="M115" s="154" t="n">
        <v>1</v>
      </c>
      <c r="N115" s="154" t="n">
        <v>3.297587131367292</v>
      </c>
      <c r="O115" s="154" t="n">
        <v>3.297587131367292</v>
      </c>
      <c r="P115" s="154" t="n">
        <v>3.297587131367292</v>
      </c>
      <c r="Q115" s="154" t="e">
        <v>#DIV/0!</v>
      </c>
    </row>
    <row r="116" ht="15.75" customHeight="1" s="201">
      <c r="A116" s="163" t="inlineStr">
        <is>
          <t>Fruit Total</t>
        </is>
      </c>
      <c r="B116" s="163" t="n"/>
      <c r="C116" s="164" t="n">
        <v>175</v>
      </c>
      <c r="D116" s="164" t="n">
        <v>0.4246172802837105</v>
      </c>
      <c r="E116" s="164" t="n">
        <v>-0.01</v>
      </c>
      <c r="F116" s="164" t="n">
        <v>4.47</v>
      </c>
      <c r="G116" s="164" t="n">
        <v>0.5554194779741617</v>
      </c>
      <c r="H116" s="164" t="n">
        <v>14</v>
      </c>
      <c r="I116" s="164" t="n">
        <v>0.4145909364228265</v>
      </c>
      <c r="J116" s="164" t="n">
        <v>0.06787</v>
      </c>
      <c r="K116" s="164" t="n">
        <v>2.453083109919571</v>
      </c>
      <c r="L116" s="164" t="n">
        <v>0.5990136988017045</v>
      </c>
      <c r="M116" s="164" t="n">
        <v>73</v>
      </c>
      <c r="N116" s="164" t="n">
        <v>1.541388300903547</v>
      </c>
      <c r="O116" s="164" t="n">
        <v>0.0764909090909091</v>
      </c>
      <c r="P116" s="164" t="n">
        <v>13.093</v>
      </c>
      <c r="Q116" s="164" t="n">
        <v>2.792271368538258</v>
      </c>
    </row>
    <row r="117" ht="15.75" customHeight="1" s="201">
      <c r="A117" s="1" t="inlineStr">
        <is>
          <t>Legumes and Nuts</t>
        </is>
      </c>
      <c r="B117" s="1" t="inlineStr">
        <is>
          <t>Almond</t>
        </is>
      </c>
      <c r="C117" s="154" t="n">
        <v>8</v>
      </c>
      <c r="D117" s="154" t="n">
        <v>2.27203125</v>
      </c>
      <c r="E117" s="154" t="n">
        <v>0.79625</v>
      </c>
      <c r="F117" s="154" t="n">
        <v>4.16</v>
      </c>
      <c r="G117" s="154" t="n">
        <v>1.171469654182149</v>
      </c>
      <c r="H117" s="154" t="n">
        <v>5</v>
      </c>
      <c r="I117" s="154" t="n">
        <v>2.284</v>
      </c>
      <c r="J117" s="154" t="n">
        <v>0.91</v>
      </c>
      <c r="K117" s="154" t="n">
        <v>4.31</v>
      </c>
      <c r="L117" s="154" t="n">
        <v>1.23839815891336</v>
      </c>
      <c r="M117" s="154" t="n">
        <v>5</v>
      </c>
      <c r="N117" s="154" t="n">
        <v>2.856</v>
      </c>
      <c r="O117" s="154" t="n">
        <v>0.91</v>
      </c>
      <c r="P117" s="154" t="n">
        <v>4.8</v>
      </c>
      <c r="Q117" s="154" t="n">
        <v>1.385055955548367</v>
      </c>
    </row>
    <row r="118" ht="15.75" customHeight="1" s="201">
      <c r="B118" s="1" t="inlineStr">
        <is>
          <t>Bean, broad, seed</t>
        </is>
      </c>
      <c r="C118" s="154" t="n">
        <v>2</v>
      </c>
      <c r="D118" s="154" t="n">
        <v>1.16759</v>
      </c>
      <c r="E118" s="154" t="n">
        <v>0.50936</v>
      </c>
      <c r="F118" s="154" t="n">
        <v>1.82582</v>
      </c>
      <c r="G118" s="154" t="n">
        <v>0.9308777931608421</v>
      </c>
      <c r="H118" s="154" t="n">
        <v>0</v>
      </c>
      <c r="I118" s="154" t="e">
        <v>#DIV/0!</v>
      </c>
      <c r="J118" s="154" t="n">
        <v>0</v>
      </c>
      <c r="K118" s="154" t="n">
        <v>0</v>
      </c>
      <c r="L118" s="154" t="e">
        <v>#DIV/0!</v>
      </c>
      <c r="M118" s="154" t="n"/>
      <c r="N118" s="154" t="n"/>
      <c r="O118" s="154" t="n"/>
      <c r="P118" s="154" t="n"/>
      <c r="Q118" s="154" t="n"/>
    </row>
    <row r="119" ht="15.75" customHeight="1" s="201">
      <c r="B119" s="1" t="inlineStr">
        <is>
          <t>Bean, cowpea, seed</t>
        </is>
      </c>
      <c r="C119" s="154" t="n">
        <v>1</v>
      </c>
      <c r="D119" s="154" t="n">
        <v>0.61</v>
      </c>
      <c r="E119" s="154" t="n">
        <v>0.61</v>
      </c>
      <c r="F119" s="154" t="n">
        <v>0.61</v>
      </c>
      <c r="G119" s="154" t="e">
        <v>#DIV/0!</v>
      </c>
      <c r="H119" s="154" t="n">
        <v>0</v>
      </c>
      <c r="I119" s="154" t="e">
        <v>#DIV/0!</v>
      </c>
      <c r="J119" s="154" t="n">
        <v>0</v>
      </c>
      <c r="K119" s="154" t="n">
        <v>0</v>
      </c>
      <c r="L119" s="154" t="e">
        <v>#DIV/0!</v>
      </c>
      <c r="M119" s="154" t="n"/>
      <c r="N119" s="154" t="n"/>
      <c r="O119" s="154" t="n"/>
      <c r="P119" s="154" t="n"/>
      <c r="Q119" s="154" t="n"/>
    </row>
    <row r="120" ht="15.75" customHeight="1" s="201">
      <c r="B120" s="1" t="inlineStr">
        <is>
          <t>Bean, dry</t>
        </is>
      </c>
      <c r="C120" s="154" t="n">
        <v>9</v>
      </c>
      <c r="D120" s="154" t="n">
        <v>0.3077866666666667</v>
      </c>
      <c r="E120" s="154" t="n">
        <v>0.0866</v>
      </c>
      <c r="F120" s="154" t="n">
        <v>0.68</v>
      </c>
      <c r="G120" s="154" t="n">
        <v>0.1945181163799404</v>
      </c>
      <c r="H120" s="154" t="n">
        <v>0</v>
      </c>
      <c r="I120" s="154" t="e">
        <v>#DIV/0!</v>
      </c>
      <c r="J120" s="154" t="n">
        <v>0</v>
      </c>
      <c r="K120" s="154" t="n">
        <v>0</v>
      </c>
      <c r="L120" s="154" t="e">
        <v>#DIV/0!</v>
      </c>
      <c r="M120" s="154" t="n"/>
      <c r="N120" s="154" t="n"/>
      <c r="O120" s="154" t="n"/>
      <c r="P120" s="154" t="n"/>
      <c r="Q120" s="154" t="n"/>
    </row>
    <row r="121" ht="15.75" customHeight="1" s="201">
      <c r="B121" s="1" t="inlineStr">
        <is>
          <t>Cashew</t>
        </is>
      </c>
      <c r="C121" s="154" t="n">
        <v>3</v>
      </c>
      <c r="D121" s="154" t="n">
        <v>4.999</v>
      </c>
      <c r="E121" s="154" t="n">
        <v>1.867</v>
      </c>
      <c r="F121" s="154" t="n">
        <v>8.94</v>
      </c>
      <c r="G121" s="154" t="n">
        <v>3.605231337931034</v>
      </c>
      <c r="H121" s="154" t="n">
        <v>13</v>
      </c>
      <c r="I121" s="154" t="n">
        <v>2.27852358974359</v>
      </c>
      <c r="J121" s="154" t="n">
        <v>0.14235</v>
      </c>
      <c r="K121" s="154" t="n">
        <v>4.75617</v>
      </c>
      <c r="L121" s="154" t="n">
        <v>1.3210663604056</v>
      </c>
      <c r="M121" s="154" t="n">
        <v>13</v>
      </c>
      <c r="N121" s="154" t="n">
        <v>2.582851794871795</v>
      </c>
      <c r="O121" s="154" t="n">
        <v>0.38302</v>
      </c>
      <c r="P121" s="154" t="n">
        <v>5.1371</v>
      </c>
      <c r="Q121" s="154" t="n">
        <v>1.364896476225982</v>
      </c>
    </row>
    <row r="122" ht="15.75" customHeight="1" s="201">
      <c r="B122" s="1" t="inlineStr">
        <is>
          <t>Chestnut</t>
        </is>
      </c>
      <c r="C122" s="154" t="n">
        <v>3</v>
      </c>
      <c r="D122" s="154" t="n">
        <v>1.023333333333333</v>
      </c>
      <c r="E122" s="154" t="n">
        <v>0.43</v>
      </c>
      <c r="F122" s="154" t="n">
        <v>1.32</v>
      </c>
      <c r="G122" s="154" t="n">
        <v>0.5138417395787671</v>
      </c>
      <c r="H122" s="154" t="n">
        <v>2</v>
      </c>
      <c r="I122" s="154" t="n">
        <v>1.46</v>
      </c>
      <c r="J122" s="154" t="n">
        <v>1.37</v>
      </c>
      <c r="K122" s="154" t="n">
        <v>1.55</v>
      </c>
      <c r="L122" s="154" t="n">
        <v>0.1272792206135838</v>
      </c>
      <c r="M122" s="154" t="n">
        <v>2</v>
      </c>
      <c r="N122" s="154" t="n">
        <v>1.46</v>
      </c>
      <c r="O122" s="154" t="n">
        <v>1.37</v>
      </c>
      <c r="P122" s="154" t="n">
        <v>1.55</v>
      </c>
      <c r="Q122" s="154" t="n">
        <v>0.1272792206135838</v>
      </c>
    </row>
    <row r="123" ht="15.75" customHeight="1" s="201">
      <c r="B123" s="1" t="inlineStr">
        <is>
          <t>Chickpea, seed</t>
        </is>
      </c>
      <c r="C123" s="154" t="n">
        <v>1</v>
      </c>
      <c r="D123" s="154" t="n">
        <v>0.4914</v>
      </c>
      <c r="E123" s="154" t="n">
        <v>0.4914</v>
      </c>
      <c r="F123" s="154" t="n">
        <v>0.4914</v>
      </c>
      <c r="G123" s="154" t="e">
        <v>#DIV/0!</v>
      </c>
      <c r="H123" s="154" t="n">
        <v>0</v>
      </c>
      <c r="I123" s="154" t="e">
        <v>#DIV/0!</v>
      </c>
      <c r="J123" s="154" t="n">
        <v>0</v>
      </c>
      <c r="K123" s="154" t="n">
        <v>0</v>
      </c>
      <c r="L123" s="154" t="e">
        <v>#DIV/0!</v>
      </c>
      <c r="M123" s="154" t="n"/>
      <c r="N123" s="154" t="n"/>
      <c r="O123" s="154" t="n"/>
      <c r="P123" s="154" t="n"/>
      <c r="Q123" s="154" t="n"/>
    </row>
    <row r="124" ht="15.75" customHeight="1" s="201">
      <c r="B124" s="1" t="inlineStr">
        <is>
          <t>Coconut, meat</t>
        </is>
      </c>
      <c r="C124" s="154" t="n">
        <v>3</v>
      </c>
      <c r="D124" s="154" t="n">
        <v>0.7919652777777778</v>
      </c>
      <c r="E124" s="154" t="n">
        <v>0.4865625</v>
      </c>
      <c r="F124" s="154" t="n">
        <v>1.313479166666667</v>
      </c>
      <c r="G124" s="154" t="n">
        <v>0.4538455713808797</v>
      </c>
      <c r="H124" s="154" t="n">
        <v>0</v>
      </c>
      <c r="I124" s="154" t="e">
        <v>#DIV/0!</v>
      </c>
      <c r="J124" s="154" t="n">
        <v>0</v>
      </c>
      <c r="K124" s="154" t="n">
        <v>0</v>
      </c>
      <c r="L124" s="154" t="e">
        <v>#DIV/0!</v>
      </c>
      <c r="M124" s="154" t="n"/>
      <c r="N124" s="154" t="n"/>
      <c r="O124" s="154" t="n"/>
      <c r="P124" s="154" t="n"/>
      <c r="Q124" s="154" t="n"/>
    </row>
    <row r="125" ht="15.75" customHeight="1" s="201">
      <c r="B125" s="1" t="inlineStr">
        <is>
          <t>Hazelnut</t>
        </is>
      </c>
      <c r="C125" s="154" t="n">
        <v>2</v>
      </c>
      <c r="D125" s="154" t="n">
        <v>0.99</v>
      </c>
      <c r="E125" s="154" t="n">
        <v>0.52</v>
      </c>
      <c r="F125" s="154" t="n">
        <v>1.46</v>
      </c>
      <c r="G125" s="154" t="n">
        <v>0.6646803743153545</v>
      </c>
      <c r="H125" s="154" t="n">
        <v>1</v>
      </c>
      <c r="I125" s="154" t="n">
        <v>0.64</v>
      </c>
      <c r="J125" s="154" t="n">
        <v>0.64</v>
      </c>
      <c r="K125" s="154" t="n">
        <v>0.64</v>
      </c>
      <c r="L125" s="154" t="e">
        <v>#DIV/0!</v>
      </c>
      <c r="M125" s="154" t="n">
        <v>4</v>
      </c>
      <c r="N125" s="154" t="n">
        <v>0.8479199999999999</v>
      </c>
      <c r="O125" s="154" t="n">
        <v>0.66599</v>
      </c>
      <c r="P125" s="154" t="n">
        <v>1.2</v>
      </c>
      <c r="Q125" s="154" t="n">
        <v>0.2393331980036764</v>
      </c>
    </row>
    <row r="126" ht="15.75" customHeight="1" s="201">
      <c r="B126" s="1" t="inlineStr">
        <is>
          <t>Hazelnut, Chocolate covered</t>
        </is>
      </c>
      <c r="C126" s="154" t="n">
        <v>1</v>
      </c>
      <c r="D126" s="154" t="n">
        <v>2.41</v>
      </c>
      <c r="E126" s="154" t="n">
        <v>2.41</v>
      </c>
      <c r="F126" s="154" t="n">
        <v>2.41</v>
      </c>
      <c r="G126" s="154" t="e">
        <v>#DIV/0!</v>
      </c>
      <c r="H126" s="154" t="n">
        <v>1</v>
      </c>
      <c r="I126" s="154" t="n">
        <v>2.61</v>
      </c>
      <c r="J126" s="154" t="n">
        <v>2.61</v>
      </c>
      <c r="K126" s="154" t="n">
        <v>2.61</v>
      </c>
      <c r="L126" s="154" t="e">
        <v>#DIV/0!</v>
      </c>
      <c r="M126" s="154" t="n">
        <v>1</v>
      </c>
      <c r="N126" s="154" t="n">
        <v>3.43</v>
      </c>
      <c r="O126" s="154" t="n">
        <v>3.43</v>
      </c>
      <c r="P126" s="154" t="n">
        <v>3.43</v>
      </c>
      <c r="Q126" s="154" t="e">
        <v>#DIV/0!</v>
      </c>
    </row>
    <row r="127" ht="15.75" customHeight="1" s="201">
      <c r="B127" s="1" t="inlineStr">
        <is>
          <t>Hazelnut, Spread</t>
        </is>
      </c>
      <c r="C127" s="154" t="n">
        <v>2</v>
      </c>
      <c r="D127" s="154" t="n">
        <v>1.135</v>
      </c>
      <c r="E127" s="154" t="n">
        <v>1.13</v>
      </c>
      <c r="F127" s="154" t="n">
        <v>1.14</v>
      </c>
      <c r="G127" s="154" t="n">
        <v>0.007071067811888637</v>
      </c>
      <c r="H127" s="154" t="n">
        <v>2</v>
      </c>
      <c r="I127" s="154" t="n">
        <v>1.775</v>
      </c>
      <c r="J127" s="154" t="n">
        <v>1.77</v>
      </c>
      <c r="K127" s="154" t="n">
        <v>1.78</v>
      </c>
      <c r="L127" s="154" t="n">
        <v>0.007071067811857235</v>
      </c>
      <c r="M127" s="154" t="n">
        <v>2</v>
      </c>
      <c r="N127" s="154" t="n">
        <v>2.71</v>
      </c>
      <c r="O127" s="154" t="n">
        <v>2.61</v>
      </c>
      <c r="P127" s="154" t="n">
        <v>2.81</v>
      </c>
      <c r="Q127" s="154" t="n">
        <v>0.141421356237308</v>
      </c>
    </row>
    <row r="128" ht="15.75" customHeight="1" s="201">
      <c r="B128" s="1" t="inlineStr">
        <is>
          <t>Hazelnuts, paste</t>
        </is>
      </c>
      <c r="C128" s="154" t="n">
        <v>2</v>
      </c>
      <c r="D128" s="154" t="n">
        <v>0.52</v>
      </c>
      <c r="E128" s="154" t="n">
        <v>0.52</v>
      </c>
      <c r="F128" s="154" t="n">
        <v>0.52</v>
      </c>
      <c r="G128" s="154" t="n">
        <v>0</v>
      </c>
      <c r="H128" s="154" t="n">
        <v>2</v>
      </c>
      <c r="I128" s="154" t="n">
        <v>0.75</v>
      </c>
      <c r="J128" s="154" t="n">
        <v>0.75</v>
      </c>
      <c r="K128" s="154" t="n">
        <v>0.75</v>
      </c>
      <c r="L128" s="154" t="n">
        <v>0</v>
      </c>
      <c r="M128" s="154" t="n">
        <v>2</v>
      </c>
      <c r="N128" s="154" t="n">
        <v>1.685</v>
      </c>
      <c r="O128" s="154" t="n">
        <v>1.59</v>
      </c>
      <c r="P128" s="154" t="n">
        <v>1.78</v>
      </c>
      <c r="Q128" s="154" t="n">
        <v>0.1343502884254428</v>
      </c>
    </row>
    <row r="129" ht="15.75" customHeight="1" s="201">
      <c r="B129" s="1" t="inlineStr">
        <is>
          <t>lentil, seed</t>
        </is>
      </c>
      <c r="C129" s="154" t="n">
        <v>2</v>
      </c>
      <c r="D129" s="154" t="n">
        <v>1.88035</v>
      </c>
      <c r="E129" s="154" t="n">
        <v>0.4238</v>
      </c>
      <c r="F129" s="154" t="n">
        <v>3.3369</v>
      </c>
      <c r="G129" s="154" t="n">
        <v>2.059872764274532</v>
      </c>
      <c r="H129" s="154" t="n">
        <v>0</v>
      </c>
      <c r="I129" s="154" t="e">
        <v>#DIV/0!</v>
      </c>
      <c r="J129" s="154" t="n">
        <v>0</v>
      </c>
      <c r="K129" s="154" t="n">
        <v>0</v>
      </c>
      <c r="L129" s="154" t="e">
        <v>#DIV/0!</v>
      </c>
      <c r="M129" s="154" t="n"/>
      <c r="N129" s="154" t="n"/>
      <c r="O129" s="154" t="n"/>
      <c r="P129" s="154" t="n"/>
      <c r="Q129" s="154" t="n"/>
    </row>
    <row r="130" ht="15.75" customHeight="1" s="201">
      <c r="B130" s="1" t="inlineStr">
        <is>
          <t>Pea, dry</t>
        </is>
      </c>
      <c r="C130" s="154" t="n">
        <v>9</v>
      </c>
      <c r="D130" s="154" t="n">
        <v>0.6173059711111111</v>
      </c>
      <c r="E130" s="154" t="n">
        <v>0.26357739</v>
      </c>
      <c r="F130" s="154" t="n">
        <v>2.0447562</v>
      </c>
      <c r="G130" s="154" t="n">
        <v>0.5552555410842421</v>
      </c>
      <c r="H130" s="154" t="n">
        <v>0</v>
      </c>
      <c r="I130" s="154" t="e">
        <v>#DIV/0!</v>
      </c>
      <c r="J130" s="154" t="n">
        <v>0</v>
      </c>
      <c r="K130" s="154" t="n">
        <v>0</v>
      </c>
      <c r="L130" s="154" t="e">
        <v>#DIV/0!</v>
      </c>
      <c r="M130" s="154" t="n"/>
      <c r="N130" s="154" t="n"/>
      <c r="O130" s="154" t="n"/>
      <c r="P130" s="154" t="n"/>
      <c r="Q130" s="154" t="n"/>
    </row>
    <row r="131" ht="15.75" customHeight="1" s="201">
      <c r="B131" s="1" t="inlineStr">
        <is>
          <t>Pea, pigeon, seed</t>
        </is>
      </c>
      <c r="C131" s="154" t="n">
        <v>1</v>
      </c>
      <c r="D131" s="154" t="n">
        <v>1.0539</v>
      </c>
      <c r="E131" s="154" t="n">
        <v>1.0539</v>
      </c>
      <c r="F131" s="154" t="n">
        <v>1.0539</v>
      </c>
      <c r="G131" s="154" t="e">
        <v>#DIV/0!</v>
      </c>
      <c r="H131" s="154" t="n">
        <v>0</v>
      </c>
      <c r="I131" s="154" t="e">
        <v>#DIV/0!</v>
      </c>
      <c r="J131" s="154" t="n">
        <v>0</v>
      </c>
      <c r="K131" s="154" t="n">
        <v>0</v>
      </c>
      <c r="L131" s="154" t="e">
        <v>#DIV/0!</v>
      </c>
      <c r="M131" s="154" t="n"/>
      <c r="N131" s="154" t="n"/>
      <c r="O131" s="154" t="n"/>
      <c r="P131" s="154" t="n"/>
      <c r="Q131" s="154" t="n"/>
    </row>
    <row r="132" ht="15.75" customHeight="1" s="201">
      <c r="B132" s="1" t="inlineStr">
        <is>
          <t>Peanut</t>
        </is>
      </c>
      <c r="C132" s="154" t="n">
        <v>5</v>
      </c>
      <c r="D132" s="154" t="n">
        <v>0.374</v>
      </c>
      <c r="E132" s="154" t="n">
        <v>0.301</v>
      </c>
      <c r="F132" s="154" t="n">
        <v>0.62</v>
      </c>
      <c r="G132" s="154" t="n">
        <v>0.1379800710247681</v>
      </c>
      <c r="H132" s="154" t="n">
        <v>1</v>
      </c>
      <c r="I132" s="154" t="n">
        <v>0.82</v>
      </c>
      <c r="J132" s="154" t="n">
        <v>0.82</v>
      </c>
      <c r="K132" s="154" t="n">
        <v>0.82</v>
      </c>
      <c r="L132" s="154" t="e">
        <v>#DIV/0!</v>
      </c>
      <c r="M132" s="154" t="n">
        <v>1</v>
      </c>
      <c r="N132" s="154" t="n">
        <v>1.36</v>
      </c>
      <c r="O132" s="154" t="n">
        <v>1.36</v>
      </c>
      <c r="P132" s="154" t="n">
        <v>1.36</v>
      </c>
      <c r="Q132" s="154" t="e">
        <v>#DIV/0!</v>
      </c>
    </row>
    <row r="133" ht="15.75" customHeight="1" s="201">
      <c r="B133" s="1" t="inlineStr">
        <is>
          <t>Peanut, butter</t>
        </is>
      </c>
      <c r="C133" s="154" t="n">
        <v>3</v>
      </c>
      <c r="D133" s="154" t="n">
        <v>0.5836666666666667</v>
      </c>
      <c r="E133" s="154" t="n">
        <v>0.511</v>
      </c>
      <c r="F133" s="154" t="n">
        <v>0.62</v>
      </c>
      <c r="G133" s="154" t="n">
        <v>0.06293117934167017</v>
      </c>
      <c r="H133" s="154" t="n">
        <v>3</v>
      </c>
      <c r="I133" s="154" t="n">
        <v>1.132333333333333</v>
      </c>
      <c r="J133" s="154" t="n">
        <v>0.8999999999999999</v>
      </c>
      <c r="K133" s="154" t="n">
        <v>1.597</v>
      </c>
      <c r="L133" s="154" t="n">
        <v>0.4024131376251691</v>
      </c>
      <c r="M133" s="154" t="n">
        <v>3</v>
      </c>
      <c r="N133" s="154" t="n">
        <v>2.106666666666667</v>
      </c>
      <c r="O133" s="154" t="n">
        <v>1.75</v>
      </c>
      <c r="P133" s="154" t="n">
        <v>2.64</v>
      </c>
      <c r="Q133" s="154" t="n">
        <v>0.4705670338361282</v>
      </c>
    </row>
    <row r="134" ht="15.75" customHeight="1" s="201">
      <c r="B134" s="1" t="inlineStr">
        <is>
          <t>Pistachio</t>
        </is>
      </c>
      <c r="C134" s="154" t="n">
        <v>1</v>
      </c>
      <c r="D134" s="154" t="n">
        <v>1.74</v>
      </c>
      <c r="E134" s="154" t="n">
        <v>1.74</v>
      </c>
      <c r="F134" s="154" t="n">
        <v>1.74</v>
      </c>
      <c r="G134" s="154" t="e">
        <v>#DIV/0!</v>
      </c>
      <c r="H134" s="154" t="n">
        <v>1</v>
      </c>
      <c r="I134" s="154" t="n">
        <v>1.84</v>
      </c>
      <c r="J134" s="154" t="n">
        <v>1.84</v>
      </c>
      <c r="K134" s="154" t="n">
        <v>1.84</v>
      </c>
      <c r="L134" s="154" t="e">
        <v>#DIV/0!</v>
      </c>
      <c r="M134" s="154" t="n">
        <v>1</v>
      </c>
      <c r="N134" s="154" t="n">
        <v>2.33</v>
      </c>
      <c r="O134" s="154" t="n">
        <v>2.33</v>
      </c>
      <c r="P134" s="154" t="n">
        <v>2.33</v>
      </c>
      <c r="Q134" s="154" t="e">
        <v>#DIV/0!</v>
      </c>
    </row>
    <row r="135" ht="15.75" customHeight="1" s="201">
      <c r="B135" s="1" t="inlineStr">
        <is>
          <t>Sesame, seed</t>
        </is>
      </c>
      <c r="C135" s="154" t="n">
        <v>1</v>
      </c>
      <c r="D135" s="154" t="n">
        <v>1.05</v>
      </c>
      <c r="E135" s="154" t="n">
        <v>1.05</v>
      </c>
      <c r="F135" s="154" t="n">
        <v>1.05</v>
      </c>
      <c r="G135" s="154" t="e">
        <v>#DIV/0!</v>
      </c>
      <c r="H135" s="154" t="n">
        <v>0</v>
      </c>
      <c r="I135" s="154" t="e">
        <v>#DIV/0!</v>
      </c>
      <c r="J135" s="154" t="n">
        <v>0</v>
      </c>
      <c r="K135" s="154" t="n">
        <v>0</v>
      </c>
      <c r="L135" s="154" t="e">
        <v>#DIV/0!</v>
      </c>
      <c r="M135" s="154" t="n"/>
      <c r="N135" s="154" t="n"/>
      <c r="O135" s="154" t="n"/>
      <c r="P135" s="154" t="n"/>
      <c r="Q135" s="154" t="n"/>
    </row>
    <row r="136" ht="15.75" customHeight="1" s="201">
      <c r="B136" s="1" t="inlineStr">
        <is>
          <t>soybean, meal</t>
        </is>
      </c>
      <c r="C136" s="154" t="n">
        <v>0</v>
      </c>
      <c r="D136" s="154" t="e">
        <v>#DIV/0!</v>
      </c>
      <c r="E136" s="154" t="n">
        <v>0</v>
      </c>
      <c r="F136" s="154" t="n">
        <v>0</v>
      </c>
      <c r="G136" s="154" t="e">
        <v>#DIV/0!</v>
      </c>
      <c r="H136" s="154" t="n">
        <v>1</v>
      </c>
      <c r="I136" s="154" t="n">
        <v>0.40566</v>
      </c>
      <c r="J136" s="154" t="n">
        <v>0.40566</v>
      </c>
      <c r="K136" s="154" t="n">
        <v>0.40566</v>
      </c>
      <c r="L136" s="154" t="e">
        <v>#DIV/0!</v>
      </c>
      <c r="M136" s="154" t="n">
        <v>1</v>
      </c>
      <c r="N136" s="154" t="n">
        <v>0.40566</v>
      </c>
      <c r="O136" s="154" t="n">
        <v>0.40566</v>
      </c>
      <c r="P136" s="154" t="n">
        <v>0.40566</v>
      </c>
      <c r="Q136" s="154" t="e">
        <v>#DIV/0!</v>
      </c>
    </row>
    <row r="137" ht="15.75" customHeight="1" s="201">
      <c r="B137" s="1" t="inlineStr">
        <is>
          <t>Soybean, seed</t>
        </is>
      </c>
      <c r="C137" s="154" t="n">
        <v>4</v>
      </c>
      <c r="D137" s="154" t="n">
        <v>1.15428</v>
      </c>
      <c r="E137" s="154" t="n">
        <v>0.19</v>
      </c>
      <c r="F137" s="154" t="n">
        <v>3.8</v>
      </c>
      <c r="G137" s="154" t="n">
        <v>1.765596397519358</v>
      </c>
      <c r="H137" s="154" t="n">
        <v>0</v>
      </c>
      <c r="I137" s="154" t="e">
        <v>#DIV/0!</v>
      </c>
      <c r="J137" s="154" t="n">
        <v>0</v>
      </c>
      <c r="K137" s="154" t="n">
        <v>0</v>
      </c>
      <c r="L137" s="154" t="e">
        <v>#DIV/0!</v>
      </c>
      <c r="M137" s="154" t="n"/>
      <c r="N137" s="154" t="n"/>
      <c r="O137" s="154" t="n"/>
      <c r="P137" s="154" t="n"/>
      <c r="Q137" s="154" t="n"/>
    </row>
    <row r="138" ht="15.75" customHeight="1" s="201">
      <c r="B138" s="1" t="inlineStr">
        <is>
          <t>Sunflower, seed</t>
        </is>
      </c>
      <c r="C138" s="154" t="n">
        <v>11</v>
      </c>
      <c r="D138" s="154" t="n">
        <v>0.8484416390909092</v>
      </c>
      <c r="E138" s="154" t="n">
        <v>0.47313101</v>
      </c>
      <c r="F138" s="154" t="n">
        <v>1.2574736</v>
      </c>
      <c r="G138" s="154" t="n">
        <v>0.2165859450897979</v>
      </c>
      <c r="H138" s="154" t="n">
        <v>0</v>
      </c>
      <c r="I138" s="154" t="e">
        <v>#DIV/0!</v>
      </c>
      <c r="J138" s="154" t="n">
        <v>0</v>
      </c>
      <c r="K138" s="154" t="n">
        <v>0</v>
      </c>
      <c r="L138" s="154" t="e">
        <v>#DIV/0!</v>
      </c>
      <c r="M138" s="154" t="n"/>
      <c r="N138" s="154" t="n"/>
      <c r="O138" s="154" t="n"/>
      <c r="P138" s="154" t="n"/>
      <c r="Q138" s="154" t="n"/>
    </row>
    <row r="139" ht="15.75" customHeight="1" s="201">
      <c r="B139" s="1" t="inlineStr">
        <is>
          <t>Treenuts</t>
        </is>
      </c>
      <c r="C139" s="154" t="n">
        <v>2</v>
      </c>
      <c r="D139" s="154" t="n">
        <v>0.9635</v>
      </c>
      <c r="E139" s="154" t="n">
        <v>0.955</v>
      </c>
      <c r="F139" s="154" t="n">
        <v>0.972</v>
      </c>
      <c r="G139" s="154" t="n">
        <v>0.01202081528016173</v>
      </c>
      <c r="H139" s="154" t="n">
        <v>0</v>
      </c>
      <c r="I139" s="154" t="e">
        <v>#DIV/0!</v>
      </c>
      <c r="J139" s="154" t="n">
        <v>0</v>
      </c>
      <c r="K139" s="154" t="n">
        <v>0</v>
      </c>
      <c r="L139" s="154" t="e">
        <v>#DIV/0!</v>
      </c>
      <c r="M139" s="154" t="n"/>
      <c r="N139" s="154" t="n"/>
      <c r="O139" s="154" t="n"/>
      <c r="P139" s="154" t="n"/>
      <c r="Q139" s="154" t="n"/>
    </row>
    <row r="140" ht="15.75" customHeight="1" s="201">
      <c r="B140" s="1" t="inlineStr">
        <is>
          <t>Walnut</t>
        </is>
      </c>
      <c r="C140" s="154" t="n">
        <v>3</v>
      </c>
      <c r="D140" s="154" t="n">
        <v>1.657</v>
      </c>
      <c r="E140" s="154" t="n">
        <v>0.499</v>
      </c>
      <c r="F140" s="154" t="n">
        <v>2.942</v>
      </c>
      <c r="G140" s="154" t="n">
        <v>1.226441600729525</v>
      </c>
      <c r="H140" s="154" t="n">
        <v>1</v>
      </c>
      <c r="I140" s="154" t="n">
        <v>1.903</v>
      </c>
      <c r="J140" s="154" t="n">
        <v>1.903</v>
      </c>
      <c r="K140" s="154" t="n">
        <v>1.903</v>
      </c>
      <c r="L140" s="154" t="e">
        <v>#DIV/0!</v>
      </c>
      <c r="M140" s="154" t="n">
        <v>1</v>
      </c>
      <c r="N140" s="154" t="n">
        <v>2.129</v>
      </c>
      <c r="O140" s="154" t="n">
        <v>2.129</v>
      </c>
      <c r="P140" s="154" t="n">
        <v>2.129</v>
      </c>
      <c r="Q140" s="154" t="e">
        <v>#DIV/0!</v>
      </c>
    </row>
    <row r="141" ht="15.75" customHeight="1" s="201">
      <c r="A141" s="163" t="inlineStr">
        <is>
          <t>Legumes and Nuts Total</t>
        </is>
      </c>
      <c r="B141" s="163" t="n"/>
      <c r="C141" s="164" t="n">
        <v>79</v>
      </c>
      <c r="D141" s="164" t="n">
        <v>1.141204273459915</v>
      </c>
      <c r="E141" s="164" t="n">
        <v>0.0866</v>
      </c>
      <c r="F141" s="164" t="n">
        <v>8.94</v>
      </c>
      <c r="G141" s="164" t="n">
        <v>1.301201618684277</v>
      </c>
      <c r="H141" s="164" t="n">
        <v>33</v>
      </c>
      <c r="I141" s="164" t="n">
        <v>1.837165656565656</v>
      </c>
      <c r="J141" s="164" t="n">
        <v>0.14235</v>
      </c>
      <c r="K141" s="164" t="n">
        <v>4.75617</v>
      </c>
      <c r="L141" s="164" t="n">
        <v>1.121007056694104</v>
      </c>
      <c r="M141" s="164" t="n">
        <v>36</v>
      </c>
      <c r="N141" s="164" t="n">
        <v>2.192594814814814</v>
      </c>
      <c r="O141" s="164" t="n">
        <v>0.38302</v>
      </c>
      <c r="P141" s="164" t="n">
        <v>5.1371</v>
      </c>
      <c r="Q141" s="164" t="n">
        <v>1.191607983299517</v>
      </c>
    </row>
    <row r="142" ht="15.75" customHeight="1" s="201">
      <c r="A142" s="1" t="inlineStr">
        <is>
          <t>Meat</t>
        </is>
      </c>
      <c r="B142" s="1" t="inlineStr">
        <is>
          <t>Beef</t>
        </is>
      </c>
      <c r="C142" s="154" t="n">
        <v>95</v>
      </c>
      <c r="D142" s="154" t="n">
        <v>33.10517935571986</v>
      </c>
      <c r="E142" s="154" t="n">
        <v>15.56</v>
      </c>
      <c r="F142" s="154" t="n">
        <v>118.5453784735539</v>
      </c>
      <c r="G142" s="154" t="n">
        <v>12.61349997406489</v>
      </c>
      <c r="H142" s="154" t="n">
        <v>12</v>
      </c>
      <c r="I142" s="154" t="n">
        <v>34.40409898789375</v>
      </c>
      <c r="J142" s="154" t="n">
        <v>16.77</v>
      </c>
      <c r="K142" s="154" t="n">
        <v>58.44</v>
      </c>
      <c r="L142" s="154" t="n">
        <v>11.15124168909743</v>
      </c>
      <c r="M142" s="154" t="n">
        <v>30</v>
      </c>
      <c r="N142" s="154" t="n">
        <v>33.11832281943175</v>
      </c>
      <c r="O142" s="154" t="n">
        <v>9</v>
      </c>
      <c r="P142" s="154" t="n">
        <v>87.09999999999999</v>
      </c>
      <c r="Q142" s="154" t="n">
        <v>16.48907632918047</v>
      </c>
    </row>
    <row r="143" ht="15.75" customHeight="1" s="201">
      <c r="B143" s="1" t="inlineStr">
        <is>
          <t>Beef from dairy</t>
        </is>
      </c>
      <c r="C143" s="154" t="n">
        <v>10</v>
      </c>
      <c r="D143" s="154" t="n">
        <v>19.02080869565217</v>
      </c>
      <c r="E143" s="154" t="n">
        <v>6.92</v>
      </c>
      <c r="F143" s="154" t="n">
        <v>27.58620689655172</v>
      </c>
      <c r="G143" s="154" t="n">
        <v>8.714977386510711</v>
      </c>
      <c r="H143" s="154" t="n">
        <v>1</v>
      </c>
      <c r="I143" s="154" t="n">
        <v>8.581</v>
      </c>
      <c r="J143" s="154" t="n">
        <v>8.581</v>
      </c>
      <c r="K143" s="154" t="n">
        <v>8.581</v>
      </c>
      <c r="L143" s="154" t="e">
        <v>#DIV/0!</v>
      </c>
      <c r="M143" s="154" t="n">
        <v>1</v>
      </c>
      <c r="N143" s="154" t="n">
        <v>8.905999999999999</v>
      </c>
      <c r="O143" s="154" t="n">
        <v>8.905999999999999</v>
      </c>
      <c r="P143" s="154" t="n">
        <v>8.905999999999999</v>
      </c>
      <c r="Q143" s="154" t="e">
        <v>#DIV/0!</v>
      </c>
    </row>
    <row r="144" ht="15.75" customHeight="1" s="201">
      <c r="B144" s="1" t="inlineStr">
        <is>
          <t>Chicken</t>
        </is>
      </c>
      <c r="C144" s="154" t="n">
        <v>32</v>
      </c>
      <c r="D144" s="154" t="n">
        <v>4.18784838873177</v>
      </c>
      <c r="E144" s="154" t="n">
        <v>1.785714285714286</v>
      </c>
      <c r="F144" s="154" t="n">
        <v>10.657</v>
      </c>
      <c r="G144" s="154" t="n">
        <v>2.300074627448192</v>
      </c>
      <c r="H144" s="154" t="n">
        <v>14</v>
      </c>
      <c r="I144" s="154" t="n">
        <v>3.241137254174397</v>
      </c>
      <c r="J144" s="154" t="n">
        <v>2.3775</v>
      </c>
      <c r="K144" s="154" t="n">
        <v>5.22077922077922</v>
      </c>
      <c r="L144" s="154" t="n">
        <v>0.912276214930333</v>
      </c>
      <c r="M144" s="154" t="n">
        <v>19</v>
      </c>
      <c r="N144" s="154" t="n">
        <v>4.253403303713831</v>
      </c>
      <c r="O144" s="154" t="n">
        <v>2.416666666666667</v>
      </c>
      <c r="P144" s="154" t="n">
        <v>6.4</v>
      </c>
      <c r="Q144" s="154" t="n">
        <v>1.460540215902512</v>
      </c>
    </row>
    <row r="145" ht="15.75" customHeight="1" s="201">
      <c r="B145" s="1" t="inlineStr">
        <is>
          <t>Goat</t>
        </is>
      </c>
      <c r="C145" s="154" t="n">
        <v>0</v>
      </c>
      <c r="D145" s="154" t="e">
        <v>#DIV/0!</v>
      </c>
      <c r="E145" s="154" t="n">
        <v>0</v>
      </c>
      <c r="F145" s="154" t="n">
        <v>0</v>
      </c>
      <c r="G145" s="154" t="e">
        <v>#DIV/0!</v>
      </c>
      <c r="H145" s="154" t="n">
        <v>0</v>
      </c>
      <c r="I145" s="154" t="e">
        <v>#DIV/0!</v>
      </c>
      <c r="J145" s="154" t="n">
        <v>0</v>
      </c>
      <c r="K145" s="154" t="n">
        <v>0</v>
      </c>
      <c r="L145" s="154" t="e">
        <v>#DIV/0!</v>
      </c>
      <c r="M145" s="154" t="n">
        <v>1</v>
      </c>
      <c r="N145" s="154" t="n">
        <v>35.71428571428572</v>
      </c>
      <c r="O145" s="154" t="n">
        <v>35.71428571428572</v>
      </c>
      <c r="P145" s="154" t="n">
        <v>35.71428571428572</v>
      </c>
      <c r="Q145" s="154" t="e">
        <v>#DIV/0!</v>
      </c>
    </row>
    <row r="146" ht="15.75" customHeight="1" s="201">
      <c r="B146" s="1" t="inlineStr">
        <is>
          <t>Meat, game</t>
        </is>
      </c>
      <c r="C146" s="154" t="n">
        <v>0</v>
      </c>
      <c r="D146" s="154" t="e">
        <v>#DIV/0!</v>
      </c>
      <c r="E146" s="154" t="n">
        <v>0</v>
      </c>
      <c r="F146" s="154" t="n">
        <v>0</v>
      </c>
      <c r="G146" s="154" t="e">
        <v>#DIV/0!</v>
      </c>
      <c r="H146" s="154" t="n">
        <v>1</v>
      </c>
      <c r="I146" s="154" t="n">
        <v>0.84</v>
      </c>
      <c r="J146" s="154" t="n">
        <v>0.84</v>
      </c>
      <c r="K146" s="154" t="n">
        <v>0.84</v>
      </c>
      <c r="L146" s="154" t="e">
        <v>#DIV/0!</v>
      </c>
      <c r="M146" s="154" t="n"/>
      <c r="N146" s="154" t="n"/>
      <c r="O146" s="154" t="n"/>
      <c r="P146" s="154" t="n"/>
      <c r="Q146" s="154" t="n"/>
    </row>
    <row r="147" ht="15.75" customHeight="1" s="201">
      <c r="B147" s="1" t="inlineStr">
        <is>
          <t>Pork</t>
        </is>
      </c>
      <c r="C147" s="154" t="n">
        <v>50</v>
      </c>
      <c r="D147" s="154" t="n">
        <v>5.560043945413269</v>
      </c>
      <c r="E147" s="154" t="n">
        <v>3.017832647462277</v>
      </c>
      <c r="F147" s="154" t="n">
        <v>8.806584362139917</v>
      </c>
      <c r="G147" s="154" t="n">
        <v>1.589608826788207</v>
      </c>
      <c r="H147" s="154" t="n">
        <v>22</v>
      </c>
      <c r="I147" s="154" t="n">
        <v>4.883980321897535</v>
      </c>
      <c r="J147" s="154" t="n">
        <v>3.3956</v>
      </c>
      <c r="K147" s="154" t="n">
        <v>7.544581618655692</v>
      </c>
      <c r="L147" s="154" t="n">
        <v>1.202220312885263</v>
      </c>
      <c r="M147" s="154" t="n">
        <v>36</v>
      </c>
      <c r="N147" s="154" t="n">
        <v>6.096008725942574</v>
      </c>
      <c r="O147" s="154" t="n">
        <v>3.017832647462277</v>
      </c>
      <c r="P147" s="154" t="n">
        <v>10.26</v>
      </c>
      <c r="Q147" s="154" t="n">
        <v>2.259787717308525</v>
      </c>
    </row>
    <row r="148" ht="15.75" customHeight="1" s="201">
      <c r="B148" s="1" t="inlineStr">
        <is>
          <t>Poultry, other</t>
        </is>
      </c>
      <c r="C148" s="154" t="n">
        <v>5</v>
      </c>
      <c r="D148" s="154" t="n">
        <v>2.83076923076923</v>
      </c>
      <c r="E148" s="154" t="n">
        <v>1.6</v>
      </c>
      <c r="F148" s="154" t="n">
        <v>4.353846153846153</v>
      </c>
      <c r="G148" s="154" t="n">
        <v>1.12580017565417</v>
      </c>
      <c r="H148" s="154" t="n">
        <v>2</v>
      </c>
      <c r="I148" s="154" t="n">
        <v>4.584102564102563</v>
      </c>
      <c r="J148" s="154" t="n">
        <v>4.306666666666667</v>
      </c>
      <c r="K148" s="154" t="n">
        <v>4.861538461538461</v>
      </c>
      <c r="L148" s="154" t="n">
        <v>0.3923536088430137</v>
      </c>
      <c r="M148" s="154" t="n">
        <v>5</v>
      </c>
      <c r="N148" s="154" t="n">
        <v>4.194307692307692</v>
      </c>
      <c r="O148" s="154" t="n">
        <v>2.6</v>
      </c>
      <c r="P148" s="154" t="n">
        <v>6.11</v>
      </c>
      <c r="Q148" s="154" t="n">
        <v>1.480335361012863</v>
      </c>
    </row>
    <row r="149" ht="15.75" customHeight="1" s="201">
      <c r="B149" s="1" t="inlineStr">
        <is>
          <t>Rabbit, meat</t>
        </is>
      </c>
      <c r="C149" s="154" t="n">
        <v>1</v>
      </c>
      <c r="D149" s="154" t="n">
        <v>4.540880503144654</v>
      </c>
      <c r="E149" s="154" t="n">
        <v>4.540880503144654</v>
      </c>
      <c r="F149" s="154" t="n">
        <v>4.540880503144654</v>
      </c>
      <c r="G149" s="154" t="e">
        <v>#DIV/0!</v>
      </c>
      <c r="H149" s="154" t="n">
        <v>1</v>
      </c>
      <c r="I149" s="154" t="n">
        <v>5.372327044025157</v>
      </c>
      <c r="J149" s="154" t="n">
        <v>5.372327044025157</v>
      </c>
      <c r="K149" s="154" t="n">
        <v>5.372327044025157</v>
      </c>
      <c r="L149" s="154" t="e">
        <v>#DIV/0!</v>
      </c>
      <c r="M149" s="154" t="n">
        <v>4</v>
      </c>
      <c r="N149" s="154" t="n">
        <v>10.43110062893082</v>
      </c>
      <c r="O149" s="154" t="n">
        <v>5.50440251572327</v>
      </c>
      <c r="P149" s="154" t="n">
        <v>20.14</v>
      </c>
      <c r="Q149" s="154" t="n">
        <v>6.584719830323762</v>
      </c>
    </row>
    <row r="150" ht="15.75" customHeight="1" s="201">
      <c r="B150" s="1" t="inlineStr">
        <is>
          <t>Sheep</t>
        </is>
      </c>
      <c r="C150" s="154" t="n">
        <v>25</v>
      </c>
      <c r="D150" s="154" t="n">
        <v>34.74526950195055</v>
      </c>
      <c r="E150" s="154" t="n">
        <v>9.699999999999999</v>
      </c>
      <c r="F150" s="154" t="n">
        <v>166.7173252279635</v>
      </c>
      <c r="G150" s="154" t="n">
        <v>30.51157233254064</v>
      </c>
      <c r="H150" s="154" t="n">
        <v>4</v>
      </c>
      <c r="I150" s="154" t="n">
        <v>19.83877659423252</v>
      </c>
      <c r="J150" s="154" t="n">
        <v>15.77</v>
      </c>
      <c r="K150" s="154" t="n">
        <v>24.3161094224924</v>
      </c>
      <c r="L150" s="154" t="n">
        <v>4.586359111131671</v>
      </c>
      <c r="M150" s="154" t="n">
        <v>9</v>
      </c>
      <c r="N150" s="154" t="n">
        <v>19.7683073286052</v>
      </c>
      <c r="O150" s="154" t="n">
        <v>11.6</v>
      </c>
      <c r="P150" s="154" t="n">
        <v>36.4741641337386</v>
      </c>
      <c r="Q150" s="154" t="n">
        <v>7.621658235296446</v>
      </c>
    </row>
    <row r="151" ht="15.75" customHeight="1" s="201">
      <c r="B151" s="1" t="inlineStr">
        <is>
          <t>snail</t>
        </is>
      </c>
      <c r="C151" s="154" t="n">
        <v>1</v>
      </c>
      <c r="D151" s="154" t="n">
        <v>0.7</v>
      </c>
      <c r="E151" s="154" t="n">
        <v>0.7</v>
      </c>
      <c r="F151" s="154" t="n">
        <v>0.7</v>
      </c>
      <c r="G151" s="154" t="e">
        <v>#DIV/0!</v>
      </c>
      <c r="H151" s="154" t="n">
        <v>0</v>
      </c>
      <c r="I151" s="154" t="e">
        <v>#DIV/0!</v>
      </c>
      <c r="J151" s="154" t="n">
        <v>0</v>
      </c>
      <c r="K151" s="154" t="n">
        <v>0</v>
      </c>
      <c r="L151" s="154" t="e">
        <v>#DIV/0!</v>
      </c>
      <c r="M151" s="154" t="n"/>
      <c r="N151" s="154" t="n"/>
      <c r="O151" s="154" t="n"/>
      <c r="P151" s="154" t="n"/>
      <c r="Q151" s="154" t="n"/>
    </row>
    <row r="152" ht="15.75" customHeight="1" s="201">
      <c r="B152" s="1" t="inlineStr">
        <is>
          <t>Turkey</t>
        </is>
      </c>
      <c r="C152" s="154" t="n">
        <v>1</v>
      </c>
      <c r="D152" s="154" t="n">
        <v>2.571428571428571</v>
      </c>
      <c r="E152" s="154" t="n">
        <v>2.571428571428571</v>
      </c>
      <c r="F152" s="154" t="n">
        <v>2.571428571428571</v>
      </c>
      <c r="G152" s="154" t="e">
        <v>#DIV/0!</v>
      </c>
      <c r="H152" s="154" t="n">
        <v>0</v>
      </c>
      <c r="I152" s="154" t="e">
        <v>#DIV/0!</v>
      </c>
      <c r="J152" s="154" t="n">
        <v>0</v>
      </c>
      <c r="K152" s="154" t="n">
        <v>0</v>
      </c>
      <c r="L152" s="154" t="e">
        <v>#DIV/0!</v>
      </c>
      <c r="M152" s="154" t="n">
        <v>2</v>
      </c>
      <c r="N152" s="154" t="n">
        <v>9.094999999999999</v>
      </c>
      <c r="O152" s="154" t="n">
        <v>8.85</v>
      </c>
      <c r="P152" s="154" t="n">
        <v>9.34</v>
      </c>
      <c r="Q152" s="154" t="n">
        <v>0.3464823227814378</v>
      </c>
    </row>
    <row r="153" ht="15.75" customHeight="1" s="201">
      <c r="B153" s="1" t="inlineStr">
        <is>
          <t>Veal</t>
        </is>
      </c>
      <c r="C153" s="154" t="n">
        <v>1</v>
      </c>
      <c r="D153" s="154" t="n">
        <v>5.767</v>
      </c>
      <c r="E153" s="154" t="n">
        <v>5.767</v>
      </c>
      <c r="F153" s="154" t="n">
        <v>5.767</v>
      </c>
      <c r="G153" s="154" t="e">
        <v>#DIV/0!</v>
      </c>
      <c r="H153" s="154" t="n">
        <v>1</v>
      </c>
      <c r="I153" s="154" t="n">
        <v>5.930000000000001</v>
      </c>
      <c r="J153" s="154" t="n">
        <v>5.930000000000001</v>
      </c>
      <c r="K153" s="154" t="n">
        <v>5.930000000000001</v>
      </c>
      <c r="L153" s="154" t="e">
        <v>#DIV/0!</v>
      </c>
      <c r="M153" s="154" t="n">
        <v>4</v>
      </c>
      <c r="N153" s="154" t="n">
        <v>18.93775</v>
      </c>
      <c r="O153" s="154" t="n">
        <v>6.251</v>
      </c>
      <c r="P153" s="154" t="n">
        <v>27.4</v>
      </c>
      <c r="Q153" s="154" t="n">
        <v>9.943364634267413</v>
      </c>
    </row>
    <row r="154" ht="15.75" customHeight="1" s="201">
      <c r="A154" s="163" t="inlineStr">
        <is>
          <t>Meat Total</t>
        </is>
      </c>
      <c r="B154" s="163" t="n"/>
      <c r="C154" s="164" t="n">
        <v>221</v>
      </c>
      <c r="D154" s="164" t="n">
        <v>21.01166680650303</v>
      </c>
      <c r="E154" s="164" t="n">
        <v>0.7</v>
      </c>
      <c r="F154" s="164" t="n">
        <v>166.7173252279635</v>
      </c>
      <c r="G154" s="164" t="n">
        <v>19.16765191149001</v>
      </c>
      <c r="H154" s="164" t="n">
        <v>58</v>
      </c>
      <c r="I154" s="164" t="n">
        <v>11.63653991455298</v>
      </c>
      <c r="J154" s="164" t="n">
        <v>0.84</v>
      </c>
      <c r="K154" s="164" t="n">
        <v>58.44</v>
      </c>
      <c r="L154" s="164" t="n">
        <v>13.40908548580621</v>
      </c>
      <c r="M154" s="164" t="n">
        <v>111</v>
      </c>
      <c r="N154" s="164" t="n">
        <v>15.0720058931211</v>
      </c>
      <c r="O154" s="164" t="n">
        <v>2.416666666666667</v>
      </c>
      <c r="P154" s="164" t="n">
        <v>87.09999999999999</v>
      </c>
      <c r="Q154" s="164" t="n">
        <v>15.18617587374127</v>
      </c>
    </row>
    <row r="155" ht="15.75" customHeight="1" s="201">
      <c r="A155" s="1" t="inlineStr">
        <is>
          <t>Meat Substitutes</t>
        </is>
      </c>
      <c r="B155" s="1" t="inlineStr">
        <is>
          <t>Falafel, Tivall</t>
        </is>
      </c>
      <c r="C155" s="154" t="n">
        <v>0</v>
      </c>
      <c r="D155" s="154" t="e">
        <v>#DIV/0!</v>
      </c>
      <c r="E155" s="154" t="n">
        <v>0</v>
      </c>
      <c r="F155" s="154" t="n">
        <v>0</v>
      </c>
      <c r="G155" s="154" t="e">
        <v>#DIV/0!</v>
      </c>
      <c r="H155" s="154" t="n">
        <v>0</v>
      </c>
      <c r="I155" s="154" t="e">
        <v>#DIV/0!</v>
      </c>
      <c r="J155" s="154" t="n">
        <v>0</v>
      </c>
      <c r="K155" s="154" t="n">
        <v>0</v>
      </c>
      <c r="L155" s="154" t="e">
        <v>#DIV/0!</v>
      </c>
      <c r="M155" s="154" t="n">
        <v>1</v>
      </c>
      <c r="N155" s="154" t="n">
        <v>2.51</v>
      </c>
      <c r="O155" s="154" t="n">
        <v>2.51</v>
      </c>
      <c r="P155" s="154" t="n">
        <v>2.51</v>
      </c>
      <c r="Q155" s="154" t="e">
        <v>#DIV/0!</v>
      </c>
    </row>
    <row r="156" ht="15.75" customHeight="1" s="201">
      <c r="B156" s="1" t="inlineStr">
        <is>
          <t>Meatless</t>
        </is>
      </c>
      <c r="C156" s="154" t="n">
        <v>0</v>
      </c>
      <c r="D156" s="154" t="e">
        <v>#DIV/0!</v>
      </c>
      <c r="E156" s="154" t="n">
        <v>0</v>
      </c>
      <c r="F156" s="154" t="n">
        <v>0</v>
      </c>
      <c r="G156" s="154" t="e">
        <v>#DIV/0!</v>
      </c>
      <c r="H156" s="154" t="n">
        <v>0</v>
      </c>
      <c r="I156" s="154" t="e">
        <v>#DIV/0!</v>
      </c>
      <c r="J156" s="154" t="n">
        <v>0</v>
      </c>
      <c r="K156" s="154" t="n">
        <v>0</v>
      </c>
      <c r="L156" s="154" t="e">
        <v>#DIV/0!</v>
      </c>
      <c r="M156" s="154" t="n">
        <v>1</v>
      </c>
      <c r="N156" s="154" t="n">
        <v>2.29</v>
      </c>
      <c r="O156" s="154" t="n">
        <v>2.29</v>
      </c>
      <c r="P156" s="154" t="n">
        <v>2.29</v>
      </c>
      <c r="Q156" s="154" t="e">
        <v>#DIV/0!</v>
      </c>
    </row>
    <row r="157" ht="15.75" customHeight="1" s="201">
      <c r="B157" s="1" t="inlineStr">
        <is>
          <t>Quorn</t>
        </is>
      </c>
      <c r="C157" s="154" t="n">
        <v>0</v>
      </c>
      <c r="D157" s="154" t="e">
        <v>#DIV/0!</v>
      </c>
      <c r="E157" s="154" t="n">
        <v>0</v>
      </c>
      <c r="F157" s="154" t="n">
        <v>0</v>
      </c>
      <c r="G157" s="154" t="e">
        <v>#DIV/0!</v>
      </c>
      <c r="H157" s="154" t="n">
        <v>0</v>
      </c>
      <c r="I157" s="154" t="e">
        <v>#DIV/0!</v>
      </c>
      <c r="J157" s="154" t="n">
        <v>0</v>
      </c>
      <c r="K157" s="154" t="n">
        <v>0</v>
      </c>
      <c r="L157" s="154" t="e">
        <v>#DIV/0!</v>
      </c>
      <c r="M157" s="154" t="n">
        <v>1</v>
      </c>
      <c r="N157" s="154" t="n">
        <v>2.4</v>
      </c>
      <c r="O157" s="154" t="n">
        <v>2.4</v>
      </c>
      <c r="P157" s="154" t="n">
        <v>2.4</v>
      </c>
      <c r="Q157" s="154" t="e">
        <v>#DIV/0!</v>
      </c>
    </row>
    <row r="158" ht="15.75" customHeight="1" s="201">
      <c r="B158" s="1" t="inlineStr">
        <is>
          <t>Soy Burger</t>
        </is>
      </c>
      <c r="C158" s="154" t="n">
        <v>0</v>
      </c>
      <c r="D158" s="154" t="e">
        <v>#DIV/0!</v>
      </c>
      <c r="E158" s="154" t="n">
        <v>0</v>
      </c>
      <c r="F158" s="154" t="n">
        <v>0</v>
      </c>
      <c r="G158" s="154" t="e">
        <v>#DIV/0!</v>
      </c>
      <c r="H158" s="154" t="n">
        <v>0</v>
      </c>
      <c r="I158" s="154" t="e">
        <v>#DIV/0!</v>
      </c>
      <c r="J158" s="154" t="n">
        <v>0</v>
      </c>
      <c r="K158" s="154" t="n">
        <v>0</v>
      </c>
      <c r="L158" s="154" t="e">
        <v>#DIV/0!</v>
      </c>
      <c r="M158" s="154" t="n"/>
      <c r="N158" s="154" t="n"/>
      <c r="O158" s="154" t="n"/>
      <c r="P158" s="154" t="n"/>
      <c r="Q158" s="154" t="n"/>
    </row>
    <row r="159" ht="15.75" customHeight="1" s="201">
      <c r="B159" s="1" t="inlineStr">
        <is>
          <t>Tempeh</t>
        </is>
      </c>
      <c r="C159" s="154" t="n">
        <v>1</v>
      </c>
      <c r="D159" s="154" t="n">
        <v>0.453</v>
      </c>
      <c r="E159" s="154" t="n">
        <v>0.453</v>
      </c>
      <c r="F159" s="154" t="n">
        <v>0.453</v>
      </c>
      <c r="G159" s="154" t="e">
        <v>#DIV/0!</v>
      </c>
      <c r="H159" s="154" t="n">
        <v>1</v>
      </c>
      <c r="I159" s="154" t="n">
        <v>0.773</v>
      </c>
      <c r="J159" s="154" t="n">
        <v>0.773</v>
      </c>
      <c r="K159" s="154" t="n">
        <v>0.773</v>
      </c>
      <c r="L159" s="154" t="e">
        <v>#DIV/0!</v>
      </c>
      <c r="M159" s="154" t="n">
        <v>1</v>
      </c>
      <c r="N159" s="154" t="n">
        <v>1.093</v>
      </c>
      <c r="O159" s="154" t="n">
        <v>1.093</v>
      </c>
      <c r="P159" s="154" t="n">
        <v>1.093</v>
      </c>
      <c r="Q159" s="154" t="e">
        <v>#DIV/0!</v>
      </c>
    </row>
    <row r="160" ht="15.75" customHeight="1" s="201">
      <c r="B160" s="1" t="inlineStr">
        <is>
          <t>Tofu</t>
        </is>
      </c>
      <c r="C160" s="154" t="n">
        <v>1</v>
      </c>
      <c r="D160" s="154" t="n">
        <v>0.61</v>
      </c>
      <c r="E160" s="154" t="n">
        <v>0.61</v>
      </c>
      <c r="F160" s="154" t="n">
        <v>0.61</v>
      </c>
      <c r="G160" s="154" t="e">
        <v>#DIV/0!</v>
      </c>
      <c r="H160" s="154" t="n">
        <v>1</v>
      </c>
      <c r="I160" s="154" t="n">
        <v>1.664</v>
      </c>
      <c r="J160" s="154" t="n">
        <v>1.664</v>
      </c>
      <c r="K160" s="154" t="n">
        <v>1.664</v>
      </c>
      <c r="L160" s="154" t="e">
        <v>#DIV/0!</v>
      </c>
      <c r="M160" s="154" t="n">
        <v>6</v>
      </c>
      <c r="N160" s="154" t="n">
        <v>2.697253333333333</v>
      </c>
      <c r="O160" s="154" t="n">
        <v>1.69952</v>
      </c>
      <c r="P160" s="154" t="n">
        <v>3.72</v>
      </c>
      <c r="Q160" s="154" t="n">
        <v>0.7695675363908405</v>
      </c>
    </row>
    <row r="161" ht="15.75" customHeight="1" s="201">
      <c r="B161" s="1" t="inlineStr">
        <is>
          <t>Valess</t>
        </is>
      </c>
      <c r="C161" s="154" t="n">
        <v>1</v>
      </c>
      <c r="D161" s="154" t="n">
        <v>3.573</v>
      </c>
      <c r="E161" s="154" t="n">
        <v>3.573</v>
      </c>
      <c r="F161" s="154" t="n">
        <v>3.573</v>
      </c>
      <c r="G161" s="154" t="e">
        <v>#DIV/0!</v>
      </c>
      <c r="H161" s="154" t="n">
        <v>1</v>
      </c>
      <c r="I161" s="154" t="n">
        <v>5.906333333333333</v>
      </c>
      <c r="J161" s="154" t="n">
        <v>5.906333333333333</v>
      </c>
      <c r="K161" s="154" t="n">
        <v>5.906333333333333</v>
      </c>
      <c r="L161" s="154" t="e">
        <v>#DIV/0!</v>
      </c>
      <c r="M161" s="154" t="n">
        <v>2</v>
      </c>
      <c r="N161" s="154" t="n">
        <v>5.008166666666666</v>
      </c>
      <c r="O161" s="154" t="n">
        <v>3.79</v>
      </c>
      <c r="P161" s="154" t="n">
        <v>6.226333333333333</v>
      </c>
      <c r="Q161" s="154" t="n">
        <v>1.722747821230827</v>
      </c>
    </row>
    <row r="162" ht="15.75" customHeight="1" s="201">
      <c r="B162" s="1" t="inlineStr">
        <is>
          <t>Vegetable Patty</t>
        </is>
      </c>
      <c r="C162" s="154" t="n">
        <v>0</v>
      </c>
      <c r="D162" s="154" t="e">
        <v>#DIV/0!</v>
      </c>
      <c r="E162" s="154" t="n">
        <v>0</v>
      </c>
      <c r="F162" s="154" t="n">
        <v>0</v>
      </c>
      <c r="G162" s="154" t="e">
        <v>#DIV/0!</v>
      </c>
      <c r="H162" s="154" t="n">
        <v>0</v>
      </c>
      <c r="I162" s="154" t="e">
        <v>#DIV/0!</v>
      </c>
      <c r="J162" s="154" t="n">
        <v>0</v>
      </c>
      <c r="K162" s="154" t="n">
        <v>0</v>
      </c>
      <c r="L162" s="154" t="e">
        <v>#DIV/0!</v>
      </c>
      <c r="M162" s="154" t="n">
        <v>1</v>
      </c>
      <c r="N162" s="154" t="n">
        <v>2.95</v>
      </c>
      <c r="O162" s="154" t="n">
        <v>2.95</v>
      </c>
      <c r="P162" s="154" t="n">
        <v>2.95</v>
      </c>
      <c r="Q162" s="154" t="e">
        <v>#DIV/0!</v>
      </c>
    </row>
    <row r="163" ht="15.75" customHeight="1" s="201">
      <c r="A163" s="163" t="inlineStr">
        <is>
          <t>Meat Substitutes Total</t>
        </is>
      </c>
      <c r="B163" s="163" t="n"/>
      <c r="C163" s="164" t="n">
        <v>3</v>
      </c>
      <c r="D163" s="164" t="n">
        <v>1.545333333333333</v>
      </c>
      <c r="E163" s="164" t="n">
        <v>0.453</v>
      </c>
      <c r="F163" s="164" t="n">
        <v>3.573</v>
      </c>
      <c r="G163" s="164" t="n">
        <v>1.757764584161751</v>
      </c>
      <c r="H163" s="164" t="n">
        <v>3</v>
      </c>
      <c r="I163" s="164" t="n">
        <v>2.781111111111111</v>
      </c>
      <c r="J163" s="164" t="n">
        <v>0.773</v>
      </c>
      <c r="K163" s="164" t="n">
        <v>5.906333333333333</v>
      </c>
      <c r="L163" s="164" t="n">
        <v>2.742941979645888</v>
      </c>
      <c r="M163" s="164" t="n">
        <v>13</v>
      </c>
      <c r="N163" s="164" t="n">
        <v>2.880219487179487</v>
      </c>
      <c r="O163" s="164" t="n">
        <v>1.093</v>
      </c>
      <c r="P163" s="164" t="n">
        <v>6.226333333333333</v>
      </c>
      <c r="Q163" s="164" t="n">
        <v>1.26165447534536</v>
      </c>
    </row>
    <row r="164" ht="15.75" customHeight="1" s="201">
      <c r="A164" s="1" t="inlineStr">
        <is>
          <t>Oils and Fats</t>
        </is>
      </c>
      <c r="B164" s="1" t="inlineStr">
        <is>
          <t>Coconut, oil</t>
        </is>
      </c>
      <c r="C164" s="154" t="n">
        <v>0</v>
      </c>
      <c r="D164" s="154" t="e">
        <v>#DIV/0!</v>
      </c>
      <c r="E164" s="154" t="n">
        <v>0</v>
      </c>
      <c r="F164" s="154" t="n">
        <v>0</v>
      </c>
      <c r="G164" s="154" t="e">
        <v>#DIV/0!</v>
      </c>
      <c r="H164" s="154" t="n">
        <v>3</v>
      </c>
      <c r="I164" s="154" t="n">
        <v>2.7294393</v>
      </c>
      <c r="J164" s="154" t="n">
        <v>2.0942849</v>
      </c>
      <c r="K164" s="154" t="n">
        <v>3.8596341</v>
      </c>
      <c r="L164" s="154" t="n">
        <v>0.9812814059734744</v>
      </c>
      <c r="M164" s="154" t="n">
        <v>3</v>
      </c>
      <c r="N164" s="154" t="n">
        <v>2.7294393</v>
      </c>
      <c r="O164" s="154" t="n">
        <v>2.0942849</v>
      </c>
      <c r="P164" s="154" t="n">
        <v>3.8596341</v>
      </c>
      <c r="Q164" s="154" t="n">
        <v>0.9812814059734744</v>
      </c>
    </row>
    <row r="165" ht="15.75" customHeight="1" s="201">
      <c r="B165" s="1" t="inlineStr">
        <is>
          <t>Corn, field, oil</t>
        </is>
      </c>
      <c r="C165" s="154" t="n">
        <v>0</v>
      </c>
      <c r="D165" s="154" t="e">
        <v>#DIV/0!</v>
      </c>
      <c r="E165" s="154" t="n">
        <v>0</v>
      </c>
      <c r="F165" s="154" t="n">
        <v>0</v>
      </c>
      <c r="G165" s="154" t="e">
        <v>#DIV/0!</v>
      </c>
      <c r="H165" s="154" t="n">
        <v>2</v>
      </c>
      <c r="I165" s="154" t="n">
        <v>1.1993259</v>
      </c>
      <c r="J165" s="154" t="n">
        <v>1.1531735</v>
      </c>
      <c r="K165" s="154" t="n">
        <v>1.2454783</v>
      </c>
      <c r="L165" s="154" t="n">
        <v>0.06526935001606977</v>
      </c>
      <c r="M165" s="154" t="n">
        <v>2</v>
      </c>
      <c r="N165" s="154" t="n">
        <v>1.1993259</v>
      </c>
      <c r="O165" s="154" t="n">
        <v>1.1531735</v>
      </c>
      <c r="P165" s="154" t="n">
        <v>1.2454783</v>
      </c>
      <c r="Q165" s="154" t="n">
        <v>0.06526935001606977</v>
      </c>
    </row>
    <row r="166" ht="15.75" customHeight="1" s="201">
      <c r="B166" s="1" t="inlineStr">
        <is>
          <t>Cottonseed, oil</t>
        </is>
      </c>
      <c r="C166" s="154" t="n">
        <v>0</v>
      </c>
      <c r="D166" s="154" t="e">
        <v>#DIV/0!</v>
      </c>
      <c r="E166" s="154" t="n">
        <v>0</v>
      </c>
      <c r="F166" s="154" t="n">
        <v>0</v>
      </c>
      <c r="G166" s="154" t="e">
        <v>#DIV/0!</v>
      </c>
      <c r="H166" s="154" t="n">
        <v>1</v>
      </c>
      <c r="I166" s="154" t="n">
        <v>2.14</v>
      </c>
      <c r="J166" s="154" t="n">
        <v>2.14</v>
      </c>
      <c r="K166" s="154" t="n">
        <v>2.14</v>
      </c>
      <c r="L166" s="154" t="e">
        <v>#DIV/0!</v>
      </c>
      <c r="M166" s="154" t="n">
        <v>1</v>
      </c>
      <c r="N166" s="154" t="n">
        <v>2.14</v>
      </c>
      <c r="O166" s="154" t="n">
        <v>2.14</v>
      </c>
      <c r="P166" s="154" t="n">
        <v>2.14</v>
      </c>
      <c r="Q166" s="154" t="e">
        <v>#DIV/0!</v>
      </c>
    </row>
    <row r="167" ht="15.75" customHeight="1" s="201">
      <c r="B167" s="1" t="inlineStr">
        <is>
          <t>Olive, oil</t>
        </is>
      </c>
      <c r="C167" s="154" t="n">
        <v>3</v>
      </c>
      <c r="D167" s="154" t="n">
        <v>2.965401220442411</v>
      </c>
      <c r="E167" s="154" t="n">
        <v>2.391043478260869</v>
      </c>
      <c r="F167" s="154" t="n">
        <v>3.91304347826087</v>
      </c>
      <c r="G167" s="154" t="n">
        <v>0.8268173904863834</v>
      </c>
      <c r="H167" s="154" t="n">
        <v>3</v>
      </c>
      <c r="I167" s="154" t="n">
        <v>3.206006864988558</v>
      </c>
      <c r="J167" s="154" t="n">
        <v>2.695652173913043</v>
      </c>
      <c r="K167" s="154" t="n">
        <v>4.170652173913044</v>
      </c>
      <c r="L167" s="154" t="n">
        <v>0.8358775174026405</v>
      </c>
      <c r="M167" s="154" t="n">
        <v>5</v>
      </c>
      <c r="N167" s="154" t="n">
        <v>0.7018649885583522</v>
      </c>
      <c r="O167" s="154" t="n">
        <v>-3.434782608695652</v>
      </c>
      <c r="P167" s="154" t="n">
        <v>4.170652173913044</v>
      </c>
      <c r="Q167" s="154" t="n">
        <v>3.489888706159586</v>
      </c>
    </row>
    <row r="168" ht="15.75" customHeight="1" s="201">
      <c r="B168" s="1" t="inlineStr">
        <is>
          <t>Palm, oil</t>
        </is>
      </c>
      <c r="C168" s="154" t="n">
        <v>1</v>
      </c>
      <c r="D168" s="154" t="n">
        <v>3.2585</v>
      </c>
      <c r="E168" s="154" t="n">
        <v>3.2585</v>
      </c>
      <c r="F168" s="154" t="n">
        <v>3.2585</v>
      </c>
      <c r="G168" s="154" t="e">
        <v>#DIV/0!</v>
      </c>
      <c r="H168" s="154" t="n">
        <v>4</v>
      </c>
      <c r="I168" s="154" t="n">
        <v>7.220590675</v>
      </c>
      <c r="J168" s="154" t="n">
        <v>4.2419</v>
      </c>
      <c r="K168" s="154" t="n">
        <v>11.189705</v>
      </c>
      <c r="L168" s="154" t="n">
        <v>3.067986956656892</v>
      </c>
      <c r="M168" s="154" t="n">
        <v>5</v>
      </c>
      <c r="N168" s="154" t="n">
        <v>6.11647254</v>
      </c>
      <c r="O168" s="154" t="n">
        <v>1.7</v>
      </c>
      <c r="P168" s="154" t="n">
        <v>11.189705</v>
      </c>
      <c r="Q168" s="154" t="n">
        <v>3.626953577707054</v>
      </c>
    </row>
    <row r="169" ht="15.75" customHeight="1" s="201">
      <c r="B169" s="1" t="inlineStr">
        <is>
          <t>Peanut, Oil</t>
        </is>
      </c>
      <c r="C169" s="154" t="n">
        <v>1</v>
      </c>
      <c r="D169" s="154" t="n">
        <v>2.714</v>
      </c>
      <c r="E169" s="154" t="n">
        <v>2.714</v>
      </c>
      <c r="F169" s="154" t="n">
        <v>2.714</v>
      </c>
      <c r="G169" s="154" t="e">
        <v>#DIV/0!</v>
      </c>
      <c r="H169" s="154" t="n">
        <v>2</v>
      </c>
      <c r="I169" s="154" t="n">
        <v>4.6559032</v>
      </c>
      <c r="J169" s="154" t="n">
        <v>4.3630064</v>
      </c>
      <c r="K169" s="154" t="n">
        <v>4.9488</v>
      </c>
      <c r="L169" s="154" t="n">
        <v>0.4142186269356749</v>
      </c>
      <c r="M169" s="154" t="n">
        <v>3</v>
      </c>
      <c r="N169" s="154" t="n">
        <v>3.6372688</v>
      </c>
      <c r="O169" s="154" t="n">
        <v>1.6</v>
      </c>
      <c r="P169" s="154" t="n">
        <v>4.948799999999999</v>
      </c>
      <c r="Q169" s="154" t="n">
        <v>1.78847327574116</v>
      </c>
    </row>
    <row r="170" ht="15.75" customHeight="1" s="201">
      <c r="B170" s="1" t="inlineStr">
        <is>
          <t>Rapeseed, oil</t>
        </is>
      </c>
      <c r="C170" s="154" t="n">
        <v>1</v>
      </c>
      <c r="D170" s="154" t="n">
        <v>2.247</v>
      </c>
      <c r="E170" s="154" t="n">
        <v>2.247</v>
      </c>
      <c r="F170" s="154" t="n">
        <v>2.247</v>
      </c>
      <c r="G170" s="154" t="e">
        <v>#DIV/0!</v>
      </c>
      <c r="H170" s="154" t="n">
        <v>2</v>
      </c>
      <c r="I170" s="154" t="n">
        <v>2.275</v>
      </c>
      <c r="J170" s="154" t="n">
        <v>1.92</v>
      </c>
      <c r="K170" s="154" t="n">
        <v>2.63</v>
      </c>
      <c r="L170" s="154" t="n">
        <v>0.5020458146424492</v>
      </c>
      <c r="M170" s="154" t="n">
        <v>2</v>
      </c>
      <c r="N170" s="154" t="n">
        <v>2.324</v>
      </c>
      <c r="O170" s="154" t="n">
        <v>1.92</v>
      </c>
      <c r="P170" s="154" t="n">
        <v>2.728</v>
      </c>
      <c r="Q170" s="154" t="n">
        <v>0.5713422791987324</v>
      </c>
    </row>
    <row r="171" ht="15.75" customHeight="1" s="201">
      <c r="B171" s="1" t="inlineStr">
        <is>
          <t>soybean, oil</t>
        </is>
      </c>
      <c r="C171" s="154" t="n">
        <v>0</v>
      </c>
      <c r="D171" s="154" t="e">
        <v>#DIV/0!</v>
      </c>
      <c r="E171" s="154" t="n">
        <v>0</v>
      </c>
      <c r="F171" s="154" t="n">
        <v>0</v>
      </c>
      <c r="G171" s="154" t="e">
        <v>#DIV/0!</v>
      </c>
      <c r="H171" s="154" t="n">
        <v>1</v>
      </c>
      <c r="I171" s="154" t="n">
        <v>0.80688</v>
      </c>
      <c r="J171" s="154" t="n">
        <v>0.80688</v>
      </c>
      <c r="K171" s="154" t="n">
        <v>0.80688</v>
      </c>
      <c r="L171" s="154" t="e">
        <v>#DIV/0!</v>
      </c>
      <c r="M171" s="154" t="n">
        <v>6</v>
      </c>
      <c r="N171" s="154" t="n">
        <v>1.365646666666667</v>
      </c>
      <c r="O171" s="154" t="n">
        <v>0.80688</v>
      </c>
      <c r="P171" s="154" t="n">
        <v>2.024</v>
      </c>
      <c r="Q171" s="154" t="n">
        <v>0.4367826519754035</v>
      </c>
    </row>
    <row r="172" ht="15.75" customHeight="1" s="201">
      <c r="B172" s="1" t="inlineStr">
        <is>
          <t>Sunflower, oil</t>
        </is>
      </c>
      <c r="C172" s="154" t="n">
        <v>1</v>
      </c>
      <c r="D172" s="154" t="n">
        <v>1.968</v>
      </c>
      <c r="E172" s="154" t="n">
        <v>1.968</v>
      </c>
      <c r="F172" s="154" t="n">
        <v>1.968</v>
      </c>
      <c r="G172" s="154" t="e">
        <v>#DIV/0!</v>
      </c>
      <c r="H172" s="154" t="n">
        <v>1</v>
      </c>
      <c r="I172" s="154" t="n">
        <v>2.646</v>
      </c>
      <c r="J172" s="154" t="n">
        <v>2.646</v>
      </c>
      <c r="K172" s="154" t="n">
        <v>2.646</v>
      </c>
      <c r="L172" s="154" t="e">
        <v>#DIV/0!</v>
      </c>
      <c r="M172" s="154" t="n">
        <v>2</v>
      </c>
      <c r="N172" s="154" t="n">
        <v>3.268</v>
      </c>
      <c r="O172" s="154" t="n">
        <v>2.636</v>
      </c>
      <c r="P172" s="154" t="n">
        <v>3.9</v>
      </c>
      <c r="Q172" s="154" t="n">
        <v>0.8937829714197978</v>
      </c>
    </row>
    <row r="173" ht="15.75" customHeight="1" s="201">
      <c r="B173" s="1" t="inlineStr">
        <is>
          <t>x_Rapeseed, Oil</t>
        </is>
      </c>
      <c r="C173" s="154" t="n">
        <v>0</v>
      </c>
      <c r="D173" s="154" t="e">
        <v>#DIV/0!</v>
      </c>
      <c r="E173" s="154" t="n">
        <v>0</v>
      </c>
      <c r="F173" s="154" t="n">
        <v>0</v>
      </c>
      <c r="G173" s="154" t="e">
        <v>#DIV/0!</v>
      </c>
      <c r="H173" s="154" t="n">
        <v>0</v>
      </c>
      <c r="I173" s="154" t="e">
        <v>#DIV/0!</v>
      </c>
      <c r="J173" s="154" t="n">
        <v>0</v>
      </c>
      <c r="K173" s="154" t="n">
        <v>0</v>
      </c>
      <c r="L173" s="154" t="e">
        <v>#DIV/0!</v>
      </c>
      <c r="M173" s="154" t="n">
        <v>1</v>
      </c>
      <c r="N173" s="154" t="n">
        <v>-0.05</v>
      </c>
      <c r="O173" s="154" t="n">
        <v>-0.05</v>
      </c>
      <c r="P173" s="154" t="n">
        <v>-0.05</v>
      </c>
      <c r="Q173" s="154" t="e">
        <v>#DIV/0!</v>
      </c>
    </row>
    <row r="174" ht="15.75" customHeight="1" s="201">
      <c r="A174" s="163" t="inlineStr">
        <is>
          <t>Oils and Fats Total</t>
        </is>
      </c>
      <c r="B174" s="163" t="n"/>
      <c r="C174" s="164" t="n">
        <v>7</v>
      </c>
      <c r="D174" s="164" t="n">
        <v>2.726243380189604</v>
      </c>
      <c r="E174" s="164" t="n">
        <v>1.968</v>
      </c>
      <c r="F174" s="164" t="n">
        <v>3.91304347826087</v>
      </c>
      <c r="G174" s="164" t="n">
        <v>0.6616768676164075</v>
      </c>
      <c r="H174" s="164" t="n">
        <v>19</v>
      </c>
      <c r="I174" s="164" t="n">
        <v>3.607475757629772</v>
      </c>
      <c r="J174" s="164" t="n">
        <v>0.80688</v>
      </c>
      <c r="K174" s="164" t="n">
        <v>11.189705</v>
      </c>
      <c r="L174" s="164" t="n">
        <v>2.530618212786272</v>
      </c>
      <c r="M174" s="164" t="n">
        <v>30</v>
      </c>
      <c r="N174" s="164" t="n">
        <v>2.568611458093059</v>
      </c>
      <c r="O174" s="164" t="n">
        <v>-3.434782608695652</v>
      </c>
      <c r="P174" s="164" t="n">
        <v>11.189705</v>
      </c>
      <c r="Q174" s="164" t="n">
        <v>2.730279801560429</v>
      </c>
    </row>
    <row r="175" ht="15.75" customHeight="1" s="201">
      <c r="A175" s="1" t="inlineStr">
        <is>
          <t>Other</t>
        </is>
      </c>
      <c r="B175" s="1" t="inlineStr">
        <is>
          <t>Cacao</t>
        </is>
      </c>
      <c r="C175" s="154" t="n">
        <v>0</v>
      </c>
      <c r="D175" s="154" t="e">
        <v>#DIV/0!</v>
      </c>
      <c r="E175" s="154" t="n">
        <v>0</v>
      </c>
      <c r="F175" s="154" t="n">
        <v>0</v>
      </c>
      <c r="G175" s="154" t="e">
        <v>#DIV/0!</v>
      </c>
      <c r="H175" s="154" t="n">
        <v>0</v>
      </c>
      <c r="I175" s="154" t="e">
        <v>#DIV/0!</v>
      </c>
      <c r="J175" s="154" t="n">
        <v>0</v>
      </c>
      <c r="K175" s="154" t="n">
        <v>0</v>
      </c>
      <c r="L175" s="154" t="e">
        <v>#DIV/0!</v>
      </c>
      <c r="M175" s="154" t="n">
        <v>2</v>
      </c>
      <c r="N175" s="154" t="n">
        <v>2.655</v>
      </c>
      <c r="O175" s="154" t="n">
        <v>2.49</v>
      </c>
      <c r="P175" s="154" t="n">
        <v>2.82</v>
      </c>
      <c r="Q175" s="154" t="n">
        <v>0.2333452377915552</v>
      </c>
    </row>
    <row r="176" ht="15.75" customHeight="1" s="201">
      <c r="B176" s="1" t="inlineStr">
        <is>
          <t>Candy</t>
        </is>
      </c>
      <c r="C176" s="154" t="n">
        <v>0</v>
      </c>
      <c r="D176" s="154" t="e">
        <v>#DIV/0!</v>
      </c>
      <c r="E176" s="154" t="n">
        <v>0</v>
      </c>
      <c r="F176" s="154" t="n">
        <v>0</v>
      </c>
      <c r="G176" s="154" t="e">
        <v>#DIV/0!</v>
      </c>
      <c r="H176" s="154" t="n">
        <v>0</v>
      </c>
      <c r="I176" s="154" t="e">
        <v>#DIV/0!</v>
      </c>
      <c r="J176" s="154" t="n">
        <v>0</v>
      </c>
      <c r="K176" s="154" t="n">
        <v>0</v>
      </c>
      <c r="L176" s="154" t="e">
        <v>#DIV/0!</v>
      </c>
      <c r="M176" s="154" t="n">
        <v>2</v>
      </c>
      <c r="N176" s="154" t="n">
        <v>3.12</v>
      </c>
      <c r="O176" s="154" t="n">
        <v>2.4</v>
      </c>
      <c r="P176" s="154" t="n">
        <v>3.84</v>
      </c>
      <c r="Q176" s="154" t="n">
        <v>1.018233764908628</v>
      </c>
    </row>
    <row r="177" ht="15.75" customHeight="1" s="201">
      <c r="B177" s="1" t="inlineStr">
        <is>
          <t>Cassava Starch</t>
        </is>
      </c>
      <c r="C177" s="154" t="n">
        <v>1</v>
      </c>
      <c r="D177" s="154" t="n">
        <v>0.302</v>
      </c>
      <c r="E177" s="154" t="n">
        <v>0.302</v>
      </c>
      <c r="F177" s="154" t="n">
        <v>0.302</v>
      </c>
      <c r="G177" s="154" t="e">
        <v>#DIV/0!</v>
      </c>
      <c r="H177" s="154" t="n">
        <v>1</v>
      </c>
      <c r="I177" s="154" t="n">
        <v>0.594</v>
      </c>
      <c r="J177" s="154" t="n">
        <v>0.594</v>
      </c>
      <c r="K177" s="154" t="n">
        <v>0.594</v>
      </c>
      <c r="L177" s="154" t="e">
        <v>#DIV/0!</v>
      </c>
      <c r="M177" s="154" t="n">
        <v>1</v>
      </c>
      <c r="N177" s="154" t="n">
        <v>0.594</v>
      </c>
      <c r="O177" s="154" t="n">
        <v>0.594</v>
      </c>
      <c r="P177" s="154" t="n">
        <v>0.594</v>
      </c>
      <c r="Q177" s="154" t="e">
        <v>#DIV/0!</v>
      </c>
    </row>
    <row r="178" ht="15.75" customHeight="1" s="201">
      <c r="B178" s="1" t="inlineStr">
        <is>
          <t>Cinnamon</t>
        </is>
      </c>
      <c r="C178" s="154" t="n">
        <v>1</v>
      </c>
      <c r="D178" s="154" t="n">
        <v>0.87</v>
      </c>
      <c r="E178" s="154" t="n">
        <v>0.87</v>
      </c>
      <c r="F178" s="154" t="n">
        <v>0.87</v>
      </c>
      <c r="G178" s="154" t="e">
        <v>#DIV/0!</v>
      </c>
      <c r="H178" s="154" t="n">
        <v>0</v>
      </c>
      <c r="I178" s="154" t="e">
        <v>#DIV/0!</v>
      </c>
      <c r="J178" s="154" t="n">
        <v>0</v>
      </c>
      <c r="K178" s="154" t="n">
        <v>0</v>
      </c>
      <c r="L178" s="154" t="e">
        <v>#DIV/0!</v>
      </c>
      <c r="M178" s="154" t="n"/>
      <c r="N178" s="154" t="n"/>
      <c r="O178" s="154" t="n"/>
      <c r="P178" s="154" t="n"/>
      <c r="Q178" s="154" t="n"/>
    </row>
    <row r="179" ht="15.75" customHeight="1" s="201">
      <c r="B179" s="1" t="inlineStr">
        <is>
          <t>Cocoa Bean, Chocolate</t>
        </is>
      </c>
      <c r="C179" s="154" t="n">
        <v>7</v>
      </c>
      <c r="D179" s="154" t="n">
        <v>11.25018157142857</v>
      </c>
      <c r="E179" s="154" t="n">
        <v>0.0367</v>
      </c>
      <c r="F179" s="154" t="n">
        <v>39.491155</v>
      </c>
      <c r="G179" s="154" t="n">
        <v>14.14437938798116</v>
      </c>
      <c r="H179" s="154" t="n">
        <v>0</v>
      </c>
      <c r="I179" s="154" t="e">
        <v>#DIV/0!</v>
      </c>
      <c r="J179" s="154" t="n">
        <v>0</v>
      </c>
      <c r="K179" s="154" t="n">
        <v>0</v>
      </c>
      <c r="L179" s="154" t="e">
        <v>#DIV/0!</v>
      </c>
      <c r="M179" s="154" t="n">
        <v>4</v>
      </c>
      <c r="N179" s="154" t="n">
        <v>3.075</v>
      </c>
      <c r="O179" s="154" t="n">
        <v>2.1</v>
      </c>
      <c r="P179" s="154" t="n">
        <v>4.1</v>
      </c>
      <c r="Q179" s="154" t="n">
        <v>0.9322910847297988</v>
      </c>
    </row>
    <row r="180" ht="15.75" customHeight="1" s="201">
      <c r="B180" s="1" t="inlineStr">
        <is>
          <t>Cocoa bean, Powder</t>
        </is>
      </c>
      <c r="C180" s="154" t="n">
        <v>0</v>
      </c>
      <c r="D180" s="154" t="e">
        <v>#DIV/0!</v>
      </c>
      <c r="E180" s="154" t="n">
        <v>0</v>
      </c>
      <c r="F180" s="154" t="n">
        <v>0</v>
      </c>
      <c r="G180" s="154" t="e">
        <v>#DIV/0!</v>
      </c>
      <c r="H180" s="154" t="n">
        <v>3</v>
      </c>
      <c r="I180" s="154" t="n">
        <v>33.647091</v>
      </c>
      <c r="J180" s="154" t="n">
        <v>25.23237</v>
      </c>
      <c r="K180" s="154" t="n">
        <v>50.440724</v>
      </c>
      <c r="L180" s="154" t="n">
        <v>14.54372382078045</v>
      </c>
      <c r="M180" s="154" t="n">
        <v>4</v>
      </c>
      <c r="N180" s="154" t="n">
        <v>26.31151825</v>
      </c>
      <c r="O180" s="154" t="n">
        <v>4.3048</v>
      </c>
      <c r="P180" s="154" t="n">
        <v>50.440724</v>
      </c>
      <c r="Q180" s="154" t="n">
        <v>18.87473916814732</v>
      </c>
    </row>
    <row r="181" ht="15.75" customHeight="1" s="201">
      <c r="B181" s="1" t="inlineStr">
        <is>
          <t>Cocoa Butter</t>
        </is>
      </c>
      <c r="C181" s="154" t="n">
        <v>0</v>
      </c>
      <c r="D181" s="154" t="e">
        <v>#DIV/0!</v>
      </c>
      <c r="E181" s="154" t="n">
        <v>0</v>
      </c>
      <c r="F181" s="154" t="n">
        <v>0</v>
      </c>
      <c r="G181" s="154" t="e">
        <v>#DIV/0!</v>
      </c>
      <c r="H181" s="154" t="n">
        <v>0</v>
      </c>
      <c r="I181" s="154" t="e">
        <v>#DIV/0!</v>
      </c>
      <c r="J181" s="154" t="n">
        <v>0</v>
      </c>
      <c r="K181" s="154" t="n">
        <v>0</v>
      </c>
      <c r="L181" s="154" t="e">
        <v>#DIV/0!</v>
      </c>
      <c r="M181" s="154" t="n">
        <v>1</v>
      </c>
      <c r="N181" s="154" t="n">
        <v>1.396151351351351</v>
      </c>
      <c r="O181" s="154" t="n">
        <v>1.396151351351351</v>
      </c>
      <c r="P181" s="154" t="n">
        <v>1.396151351351351</v>
      </c>
      <c r="Q181" s="154" t="e">
        <v>#DIV/0!</v>
      </c>
    </row>
    <row r="182" ht="15.75" customHeight="1" s="201">
      <c r="B182" s="1" t="inlineStr">
        <is>
          <t>Cocoa Cake</t>
        </is>
      </c>
      <c r="C182" s="154" t="n">
        <v>0</v>
      </c>
      <c r="D182" s="154" t="e">
        <v>#DIV/0!</v>
      </c>
      <c r="E182" s="154" t="n">
        <v>0</v>
      </c>
      <c r="F182" s="154" t="n">
        <v>0</v>
      </c>
      <c r="G182" s="154" t="e">
        <v>#DIV/0!</v>
      </c>
      <c r="H182" s="154" t="n">
        <v>0</v>
      </c>
      <c r="I182" s="154" t="e">
        <v>#DIV/0!</v>
      </c>
      <c r="J182" s="154" t="n">
        <v>0</v>
      </c>
      <c r="K182" s="154" t="n">
        <v>0</v>
      </c>
      <c r="L182" s="154" t="e">
        <v>#DIV/0!</v>
      </c>
      <c r="M182" s="154" t="n">
        <v>1</v>
      </c>
      <c r="N182" s="154" t="n">
        <v>1.201339534883721</v>
      </c>
      <c r="O182" s="154" t="n">
        <v>1.201339534883721</v>
      </c>
      <c r="P182" s="154" t="n">
        <v>1.201339534883721</v>
      </c>
      <c r="Q182" s="154" t="e">
        <v>#DIV/0!</v>
      </c>
    </row>
    <row r="183" ht="15.75" customHeight="1" s="201">
      <c r="B183" s="1" t="inlineStr">
        <is>
          <t>Cocoa Liquor</t>
        </is>
      </c>
      <c r="C183" s="154" t="n">
        <v>0</v>
      </c>
      <c r="D183" s="154" t="e">
        <v>#DIV/0!</v>
      </c>
      <c r="E183" s="154" t="n">
        <v>0</v>
      </c>
      <c r="F183" s="154" t="n">
        <v>0</v>
      </c>
      <c r="G183" s="154" t="e">
        <v>#DIV/0!</v>
      </c>
      <c r="H183" s="154" t="n">
        <v>0</v>
      </c>
      <c r="I183" s="154" t="e">
        <v>#DIV/0!</v>
      </c>
      <c r="J183" s="154" t="n">
        <v>0</v>
      </c>
      <c r="K183" s="154" t="n">
        <v>0</v>
      </c>
      <c r="L183" s="154" t="e">
        <v>#DIV/0!</v>
      </c>
      <c r="M183" s="154" t="n">
        <v>1</v>
      </c>
      <c r="N183" s="154" t="n">
        <v>1.010579691999499</v>
      </c>
      <c r="O183" s="154" t="n">
        <v>1.010579691999499</v>
      </c>
      <c r="P183" s="154" t="n">
        <v>1.010579691999499</v>
      </c>
      <c r="Q183" s="154" t="e">
        <v>#DIV/0!</v>
      </c>
    </row>
    <row r="184" ht="15.75" customHeight="1" s="201">
      <c r="B184" s="1" t="inlineStr">
        <is>
          <t>Corn, Chips</t>
        </is>
      </c>
      <c r="C184" s="154" t="n">
        <v>0</v>
      </c>
      <c r="D184" s="154" t="e">
        <v>#DIV/0!</v>
      </c>
      <c r="E184" s="154" t="n">
        <v>0</v>
      </c>
      <c r="F184" s="154" t="n">
        <v>0</v>
      </c>
      <c r="G184" s="154" t="e">
        <v>#DIV/0!</v>
      </c>
      <c r="H184" s="154" t="n">
        <v>0</v>
      </c>
      <c r="I184" s="154" t="e">
        <v>#DIV/0!</v>
      </c>
      <c r="J184" s="154" t="n">
        <v>0</v>
      </c>
      <c r="K184" s="154" t="n">
        <v>0</v>
      </c>
      <c r="L184" s="154" t="e">
        <v>#DIV/0!</v>
      </c>
      <c r="M184" s="154" t="n">
        <v>1</v>
      </c>
      <c r="N184" s="154" t="n">
        <v>1.325</v>
      </c>
      <c r="O184" s="154" t="n">
        <v>1.325</v>
      </c>
      <c r="P184" s="154" t="n">
        <v>1.325</v>
      </c>
      <c r="Q184" s="154" t="e">
        <v>#DIV/0!</v>
      </c>
    </row>
    <row r="185" ht="15.75" customHeight="1" s="201">
      <c r="B185" s="1" t="inlineStr">
        <is>
          <t>Essential Oil, Lemon</t>
        </is>
      </c>
      <c r="C185" s="154" t="n">
        <v>0</v>
      </c>
      <c r="D185" s="154" t="e">
        <v>#DIV/0!</v>
      </c>
      <c r="E185" s="154" t="n">
        <v>0</v>
      </c>
      <c r="F185" s="154" t="n">
        <v>0</v>
      </c>
      <c r="G185" s="154" t="e">
        <v>#DIV/0!</v>
      </c>
      <c r="H185" s="154" t="n">
        <v>0</v>
      </c>
      <c r="I185" s="154" t="e">
        <v>#DIV/0!</v>
      </c>
      <c r="J185" s="154" t="n">
        <v>0</v>
      </c>
      <c r="K185" s="154" t="n">
        <v>0</v>
      </c>
      <c r="L185" s="154" t="e">
        <v>#DIV/0!</v>
      </c>
      <c r="M185" s="154" t="n">
        <v>1</v>
      </c>
      <c r="N185" s="154" t="n">
        <v>43</v>
      </c>
      <c r="O185" s="154" t="n">
        <v>43</v>
      </c>
      <c r="P185" s="154" t="n">
        <v>43</v>
      </c>
      <c r="Q185" s="154" t="e">
        <v>#DIV/0!</v>
      </c>
    </row>
    <row r="186" ht="15.75" customHeight="1" s="201">
      <c r="B186" s="1" t="inlineStr">
        <is>
          <t>Essential Oil, orange</t>
        </is>
      </c>
      <c r="C186" s="154" t="n">
        <v>0</v>
      </c>
      <c r="D186" s="154" t="e">
        <v>#DIV/0!</v>
      </c>
      <c r="E186" s="154" t="n">
        <v>0</v>
      </c>
      <c r="F186" s="154" t="n">
        <v>0</v>
      </c>
      <c r="G186" s="154" t="e">
        <v>#DIV/0!</v>
      </c>
      <c r="H186" s="154" t="n">
        <v>0</v>
      </c>
      <c r="I186" s="154" t="e">
        <v>#DIV/0!</v>
      </c>
      <c r="J186" s="154" t="n">
        <v>0</v>
      </c>
      <c r="K186" s="154" t="n">
        <v>0</v>
      </c>
      <c r="L186" s="154" t="e">
        <v>#DIV/0!</v>
      </c>
      <c r="M186" s="154" t="n">
        <v>1</v>
      </c>
      <c r="N186" s="154" t="n">
        <v>72.5</v>
      </c>
      <c r="O186" s="154" t="n">
        <v>72.5</v>
      </c>
      <c r="P186" s="154" t="n">
        <v>72.5</v>
      </c>
      <c r="Q186" s="154" t="e">
        <v>#DIV/0!</v>
      </c>
    </row>
    <row r="187" ht="15.75" customHeight="1" s="201">
      <c r="B187" s="1" t="inlineStr">
        <is>
          <t>Ginger</t>
        </is>
      </c>
      <c r="C187" s="154" t="n">
        <v>1</v>
      </c>
      <c r="D187" s="154" t="n">
        <v>0.88</v>
      </c>
      <c r="E187" s="154" t="n">
        <v>0.88</v>
      </c>
      <c r="F187" s="154" t="n">
        <v>0.88</v>
      </c>
      <c r="G187" s="154" t="e">
        <v>#DIV/0!</v>
      </c>
      <c r="H187" s="154" t="n">
        <v>0</v>
      </c>
      <c r="I187" s="154" t="e">
        <v>#DIV/0!</v>
      </c>
      <c r="J187" s="154" t="n">
        <v>0</v>
      </c>
      <c r="K187" s="154" t="n">
        <v>0</v>
      </c>
      <c r="L187" s="154" t="e">
        <v>#DIV/0!</v>
      </c>
      <c r="M187" s="154" t="n"/>
      <c r="N187" s="154" t="n"/>
      <c r="O187" s="154" t="n"/>
      <c r="P187" s="154" t="n"/>
      <c r="Q187" s="154" t="n"/>
    </row>
    <row r="188" ht="15.75" customHeight="1" s="201">
      <c r="B188" s="1" t="inlineStr">
        <is>
          <t>Guar, Seed</t>
        </is>
      </c>
      <c r="C188" s="154" t="n">
        <v>1</v>
      </c>
      <c r="D188" s="154" t="n">
        <v>1.4</v>
      </c>
      <c r="E188" s="154" t="n">
        <v>1.4</v>
      </c>
      <c r="F188" s="154" t="n">
        <v>1.4</v>
      </c>
      <c r="G188" s="154" t="e">
        <v>#DIV/0!</v>
      </c>
      <c r="H188" s="154" t="n">
        <v>0</v>
      </c>
      <c r="I188" s="154" t="e">
        <v>#DIV/0!</v>
      </c>
      <c r="J188" s="154" t="n">
        <v>0</v>
      </c>
      <c r="K188" s="154" t="n">
        <v>0</v>
      </c>
      <c r="L188" s="154" t="e">
        <v>#DIV/0!</v>
      </c>
      <c r="M188" s="154" t="n"/>
      <c r="N188" s="154" t="n"/>
      <c r="O188" s="154" t="n"/>
      <c r="P188" s="154" t="n"/>
      <c r="Q188" s="154" t="n"/>
    </row>
    <row r="189" ht="15.75" customHeight="1" s="201">
      <c r="B189" s="1" t="inlineStr">
        <is>
          <t>Herbs and Spices</t>
        </is>
      </c>
      <c r="C189" s="154" t="n">
        <v>1</v>
      </c>
      <c r="D189" s="154" t="n">
        <v>0.375</v>
      </c>
      <c r="E189" s="154" t="n">
        <v>0.375</v>
      </c>
      <c r="F189" s="154" t="n">
        <v>0.375</v>
      </c>
      <c r="G189" s="154" t="e">
        <v>#DIV/0!</v>
      </c>
      <c r="H189" s="154" t="n">
        <v>0</v>
      </c>
      <c r="I189" s="154" t="e">
        <v>#DIV/0!</v>
      </c>
      <c r="J189" s="154" t="n">
        <v>0</v>
      </c>
      <c r="K189" s="154" t="n">
        <v>0</v>
      </c>
      <c r="L189" s="154" t="e">
        <v>#DIV/0!</v>
      </c>
      <c r="M189" s="154" t="n">
        <v>1</v>
      </c>
      <c r="N189" s="154" t="n">
        <v>0.665</v>
      </c>
      <c r="O189" s="154" t="n">
        <v>0.665</v>
      </c>
      <c r="P189" s="154" t="n">
        <v>0.665</v>
      </c>
      <c r="Q189" s="154" t="e">
        <v>#DIV/0!</v>
      </c>
    </row>
    <row r="190" ht="15.75" customHeight="1" s="201">
      <c r="B190" s="1" t="inlineStr">
        <is>
          <t>hops</t>
        </is>
      </c>
      <c r="C190" s="154" t="n">
        <v>1</v>
      </c>
      <c r="D190" s="154" t="n">
        <v>2.35</v>
      </c>
      <c r="E190" s="154" t="n">
        <v>2.35</v>
      </c>
      <c r="F190" s="154" t="n">
        <v>2.35</v>
      </c>
      <c r="G190" s="154" t="e">
        <v>#DIV/0!</v>
      </c>
      <c r="H190" s="154" t="n">
        <v>0</v>
      </c>
      <c r="I190" s="154" t="e">
        <v>#DIV/0!</v>
      </c>
      <c r="J190" s="154" t="n">
        <v>0</v>
      </c>
      <c r="K190" s="154" t="n">
        <v>0</v>
      </c>
      <c r="L190" s="154" t="e">
        <v>#DIV/0!</v>
      </c>
      <c r="M190" s="154" t="n"/>
      <c r="N190" s="154" t="n"/>
      <c r="O190" s="154" t="n"/>
      <c r="P190" s="154" t="n"/>
      <c r="Q190" s="154" t="n"/>
    </row>
    <row r="191" ht="15.75" customHeight="1" s="201">
      <c r="B191" s="1" t="inlineStr">
        <is>
          <t>Pepper, black and white</t>
        </is>
      </c>
      <c r="C191" s="154" t="n">
        <v>1</v>
      </c>
      <c r="D191" s="154" t="n">
        <v>0.87</v>
      </c>
      <c r="E191" s="154" t="n">
        <v>0.87</v>
      </c>
      <c r="F191" s="154" t="n">
        <v>0.87</v>
      </c>
      <c r="G191" s="154" t="e">
        <v>#DIV/0!</v>
      </c>
      <c r="H191" s="154" t="n">
        <v>0</v>
      </c>
      <c r="I191" s="154" t="e">
        <v>#DIV/0!</v>
      </c>
      <c r="J191" s="154" t="n">
        <v>0</v>
      </c>
      <c r="K191" s="154" t="n">
        <v>0</v>
      </c>
      <c r="L191" s="154" t="e">
        <v>#DIV/0!</v>
      </c>
      <c r="M191" s="154" t="n"/>
      <c r="N191" s="154" t="n"/>
      <c r="O191" s="154" t="n"/>
      <c r="P191" s="154" t="n"/>
      <c r="Q191" s="154" t="n"/>
    </row>
    <row r="192" ht="15.75" customHeight="1" s="201">
      <c r="B192" s="1" t="inlineStr">
        <is>
          <t>Potato, chips</t>
        </is>
      </c>
      <c r="C192" s="154" t="n">
        <v>3</v>
      </c>
      <c r="D192" s="154" t="n">
        <v>0.5633333333333334</v>
      </c>
      <c r="E192" s="154" t="n">
        <v>0.25</v>
      </c>
      <c r="F192" s="154" t="n">
        <v>1</v>
      </c>
      <c r="G192" s="154" t="n">
        <v>0.3899145205469186</v>
      </c>
      <c r="H192" s="154" t="n">
        <v>3</v>
      </c>
      <c r="I192" s="154" t="n">
        <v>1.545</v>
      </c>
      <c r="J192" s="154" t="n">
        <v>0.9299999999999999</v>
      </c>
      <c r="K192" s="154" t="n">
        <v>1.985</v>
      </c>
      <c r="L192" s="154" t="n">
        <v>0.548839685154053</v>
      </c>
      <c r="M192" s="154" t="n">
        <v>3</v>
      </c>
      <c r="N192" s="154" t="n">
        <v>2.161999999999999</v>
      </c>
      <c r="O192" s="154" t="n">
        <v>2.06</v>
      </c>
      <c r="P192" s="154" t="n">
        <v>2.271</v>
      </c>
      <c r="Q192" s="154" t="n">
        <v>0.1056740270832964</v>
      </c>
    </row>
    <row r="193" ht="15.75" customHeight="1" s="201">
      <c r="A193" s="163" t="inlineStr">
        <is>
          <t>Other Total</t>
        </is>
      </c>
      <c r="B193" s="163" t="n"/>
      <c r="C193" s="164" t="n">
        <v>17</v>
      </c>
      <c r="D193" s="164" t="n">
        <v>5.146368882352942</v>
      </c>
      <c r="E193" s="164" t="n">
        <v>0.0367</v>
      </c>
      <c r="F193" s="164" t="n">
        <v>39.491155</v>
      </c>
      <c r="G193" s="164" t="n">
        <v>10.14691646792387</v>
      </c>
      <c r="H193" s="164" t="n">
        <v>7</v>
      </c>
      <c r="I193" s="164" t="n">
        <v>15.16718185714286</v>
      </c>
      <c r="J193" s="164" t="n">
        <v>0.594</v>
      </c>
      <c r="K193" s="164" t="n">
        <v>50.440724</v>
      </c>
      <c r="L193" s="164" t="n">
        <v>19.22339081268622</v>
      </c>
      <c r="M193" s="164" t="n">
        <v>23</v>
      </c>
      <c r="N193" s="164" t="n">
        <v>11.18583232948846</v>
      </c>
      <c r="O193" s="164" t="n">
        <v>0.594</v>
      </c>
      <c r="P193" s="164" t="n">
        <v>72.5</v>
      </c>
      <c r="Q193" s="164" t="n">
        <v>19.26073897889185</v>
      </c>
    </row>
    <row r="194" ht="15.75" customHeight="1" s="201">
      <c r="A194" s="1" t="inlineStr">
        <is>
          <t>Sweeteners</t>
        </is>
      </c>
      <c r="B194" s="1" t="inlineStr">
        <is>
          <t>beet, sugar</t>
        </is>
      </c>
      <c r="C194" s="154" t="n">
        <v>0</v>
      </c>
      <c r="D194" s="154" t="e">
        <v>#DIV/0!</v>
      </c>
      <c r="E194" s="154" t="n">
        <v>0</v>
      </c>
      <c r="F194" s="154" t="n">
        <v>0</v>
      </c>
      <c r="G194" s="154" t="e">
        <v>#DIV/0!</v>
      </c>
      <c r="H194" s="154" t="n">
        <v>4</v>
      </c>
      <c r="I194" s="154" t="n">
        <v>0.39078306</v>
      </c>
      <c r="J194" s="154" t="n">
        <v>0.29486159</v>
      </c>
      <c r="K194" s="154" t="n">
        <v>0.47034267</v>
      </c>
      <c r="L194" s="154" t="n">
        <v>0.07628447451237572</v>
      </c>
      <c r="M194" s="154" t="n">
        <v>4</v>
      </c>
      <c r="N194" s="154" t="n">
        <v>0.39078306</v>
      </c>
      <c r="O194" s="154" t="n">
        <v>0.29486159</v>
      </c>
      <c r="P194" s="154" t="n">
        <v>0.47034267</v>
      </c>
      <c r="Q194" s="154" t="n">
        <v>0.07628447451237572</v>
      </c>
    </row>
    <row r="195" ht="15.75" customHeight="1" s="201">
      <c r="B195" s="1" t="inlineStr">
        <is>
          <t>beet, sugar, molasses</t>
        </is>
      </c>
      <c r="C195" s="154" t="n">
        <v>0</v>
      </c>
      <c r="D195" s="154" t="e">
        <v>#DIV/0!</v>
      </c>
      <c r="E195" s="154" t="n">
        <v>0</v>
      </c>
      <c r="F195" s="154" t="n">
        <v>0</v>
      </c>
      <c r="G195" s="154" t="e">
        <v>#DIV/0!</v>
      </c>
      <c r="H195" s="154" t="n">
        <v>4</v>
      </c>
      <c r="I195" s="154" t="n">
        <v>0.2875925</v>
      </c>
      <c r="J195" s="154" t="n">
        <v>0.23335</v>
      </c>
      <c r="K195" s="154" t="n">
        <v>0.34008</v>
      </c>
      <c r="L195" s="154" t="n">
        <v>0.04703251171618793</v>
      </c>
      <c r="M195" s="154" t="n">
        <v>4</v>
      </c>
      <c r="N195" s="154" t="n">
        <v>0.2875925</v>
      </c>
      <c r="O195" s="154" t="n">
        <v>0.23335</v>
      </c>
      <c r="P195" s="154" t="n">
        <v>0.34008</v>
      </c>
      <c r="Q195" s="154" t="n">
        <v>0.04703251171618793</v>
      </c>
    </row>
    <row r="196" ht="15.75" customHeight="1" s="201">
      <c r="B196" s="1" t="inlineStr">
        <is>
          <t>Honey</t>
        </is>
      </c>
      <c r="C196" s="154" t="n">
        <v>1</v>
      </c>
      <c r="D196" s="154" t="n">
        <v>0.21</v>
      </c>
      <c r="E196" s="154" t="n">
        <v>0.21</v>
      </c>
      <c r="F196" s="154" t="n">
        <v>0.21</v>
      </c>
      <c r="G196" s="154" t="e">
        <v>#DIV/0!</v>
      </c>
      <c r="H196" s="154" t="n">
        <v>1</v>
      </c>
      <c r="I196" s="154" t="n">
        <v>2.44</v>
      </c>
      <c r="J196" s="154" t="n">
        <v>2.44</v>
      </c>
      <c r="K196" s="154" t="n">
        <v>2.44</v>
      </c>
      <c r="L196" s="154" t="e">
        <v>#DIV/0!</v>
      </c>
      <c r="M196" s="154" t="n">
        <v>2</v>
      </c>
      <c r="N196" s="154" t="n">
        <v>1.655</v>
      </c>
      <c r="O196" s="154" t="n">
        <v>0.8100000000000001</v>
      </c>
      <c r="P196" s="154" t="n">
        <v>2.5</v>
      </c>
      <c r="Q196" s="154" t="n">
        <v>1.195010460205265</v>
      </c>
    </row>
    <row r="197" ht="15.75" customHeight="1" s="201">
      <c r="B197" s="1" t="inlineStr">
        <is>
          <t>Maple syrup</t>
        </is>
      </c>
      <c r="C197" s="154" t="n">
        <v>0</v>
      </c>
      <c r="D197" s="154" t="e">
        <v>#DIV/0!</v>
      </c>
      <c r="E197" s="154" t="n">
        <v>0</v>
      </c>
      <c r="F197" s="154" t="n">
        <v>0</v>
      </c>
      <c r="G197" s="154" t="e">
        <v>#DIV/0!</v>
      </c>
      <c r="H197" s="154" t="n">
        <v>1</v>
      </c>
      <c r="I197" s="154" t="n">
        <v>6.754457269117255</v>
      </c>
      <c r="J197" s="154" t="n">
        <v>6.754457269117255</v>
      </c>
      <c r="K197" s="154" t="n">
        <v>6.754457269117255</v>
      </c>
      <c r="L197" s="154" t="e">
        <v>#DIV/0!</v>
      </c>
      <c r="M197" s="154" t="n"/>
      <c r="N197" s="154" t="n"/>
      <c r="O197" s="154" t="n"/>
      <c r="P197" s="154" t="n"/>
      <c r="Q197" s="154" t="n"/>
    </row>
    <row r="198" ht="15.75" customHeight="1" s="201">
      <c r="B198" s="1" t="inlineStr">
        <is>
          <t>Sugarcane, molasses</t>
        </is>
      </c>
      <c r="C198" s="154" t="n">
        <v>0</v>
      </c>
      <c r="D198" s="154" t="e">
        <v>#DIV/0!</v>
      </c>
      <c r="E198" s="154" t="n">
        <v>0</v>
      </c>
      <c r="F198" s="154" t="n">
        <v>0</v>
      </c>
      <c r="G198" s="154" t="e">
        <v>#DIV/0!</v>
      </c>
      <c r="H198" s="154" t="n">
        <v>1</v>
      </c>
      <c r="I198" s="154" t="n">
        <v>0.4876</v>
      </c>
      <c r="J198" s="154" t="n">
        <v>0.4876</v>
      </c>
      <c r="K198" s="154" t="n">
        <v>0.4876</v>
      </c>
      <c r="L198" s="154" t="e">
        <v>#DIV/0!</v>
      </c>
      <c r="M198" s="154" t="n">
        <v>1</v>
      </c>
      <c r="N198" s="154" t="n">
        <v>0.4876</v>
      </c>
      <c r="O198" s="154" t="n">
        <v>0.4876</v>
      </c>
      <c r="P198" s="154" t="n">
        <v>0.4876</v>
      </c>
      <c r="Q198" s="154" t="e">
        <v>#DIV/0!</v>
      </c>
    </row>
    <row r="199" ht="15.75" customHeight="1" s="201">
      <c r="B199" s="1" t="inlineStr">
        <is>
          <t>Sugarcane, sugar</t>
        </is>
      </c>
      <c r="C199" s="154" t="n">
        <v>1</v>
      </c>
      <c r="D199" s="154" t="n">
        <v>0.6878</v>
      </c>
      <c r="E199" s="154" t="n">
        <v>0.6878</v>
      </c>
      <c r="F199" s="154" t="n">
        <v>0.6878</v>
      </c>
      <c r="G199" s="154" t="e">
        <v>#DIV/0!</v>
      </c>
      <c r="H199" s="154" t="n">
        <v>2</v>
      </c>
      <c r="I199" s="154" t="n">
        <v>0.6999286849999999</v>
      </c>
      <c r="J199" s="154" t="n">
        <v>0.66705737</v>
      </c>
      <c r="K199" s="154" t="n">
        <v>0.7328</v>
      </c>
      <c r="L199" s="154" t="n">
        <v>0.04648705948604046</v>
      </c>
      <c r="M199" s="154" t="n">
        <v>2</v>
      </c>
      <c r="N199" s="154" t="n">
        <v>0.7089286849999999</v>
      </c>
      <c r="O199" s="154" t="n">
        <v>0.66705737</v>
      </c>
      <c r="P199" s="154" t="n">
        <v>0.7507999999999999</v>
      </c>
      <c r="Q199" s="154" t="n">
        <v>0.059214981547397</v>
      </c>
    </row>
    <row r="200" ht="15.75" customHeight="1" s="201">
      <c r="A200" s="163" t="inlineStr">
        <is>
          <t>Sweeteners Total</t>
        </is>
      </c>
      <c r="B200" s="163" t="n"/>
      <c r="C200" s="164" t="n">
        <v>2</v>
      </c>
      <c r="D200" s="164" t="n">
        <v>0.4489</v>
      </c>
      <c r="E200" s="164" t="n">
        <v>0.21</v>
      </c>
      <c r="F200" s="164" t="n">
        <v>0.6878</v>
      </c>
      <c r="G200" s="164" t="n">
        <v>0.3378556200509324</v>
      </c>
      <c r="H200" s="164" t="n">
        <v>13</v>
      </c>
      <c r="I200" s="164" t="n">
        <v>1.06118591377825</v>
      </c>
      <c r="J200" s="164" t="n">
        <v>0.23335</v>
      </c>
      <c r="K200" s="164" t="n">
        <v>6.754457269117255</v>
      </c>
      <c r="L200" s="164" t="n">
        <v>1.805599706172694</v>
      </c>
      <c r="M200" s="164" t="n">
        <v>13</v>
      </c>
      <c r="N200" s="164" t="n">
        <v>0.60991997</v>
      </c>
      <c r="O200" s="164" t="n">
        <v>0.23335</v>
      </c>
      <c r="P200" s="164" t="n">
        <v>2.5</v>
      </c>
      <c r="Q200" s="164" t="n">
        <v>0.5973738811244073</v>
      </c>
    </row>
    <row r="201" ht="15.75" customHeight="1" s="201">
      <c r="A201" s="1" t="inlineStr">
        <is>
          <t>Vegetables</t>
        </is>
      </c>
      <c r="B201" s="1" t="inlineStr">
        <is>
          <t>Artichoke, globe</t>
        </is>
      </c>
      <c r="C201" s="154" t="n">
        <v>2</v>
      </c>
      <c r="D201" s="154" t="n">
        <v>0.3384</v>
      </c>
      <c r="E201" s="154" t="n">
        <v>0.1968</v>
      </c>
      <c r="F201" s="154" t="n">
        <v>0.48</v>
      </c>
      <c r="G201" s="154" t="n">
        <v>0.2002526404320302</v>
      </c>
      <c r="H201" s="154" t="n">
        <v>0</v>
      </c>
      <c r="I201" s="154" t="e">
        <v>#DIV/0!</v>
      </c>
      <c r="J201" s="154" t="n">
        <v>0</v>
      </c>
      <c r="K201" s="154" t="n">
        <v>0</v>
      </c>
      <c r="L201" s="154" t="e">
        <v>#DIV/0!</v>
      </c>
      <c r="M201" s="154" t="n"/>
      <c r="N201" s="154" t="n"/>
      <c r="O201" s="154" t="n"/>
      <c r="P201" s="154" t="n"/>
      <c r="Q201" s="154" t="n"/>
    </row>
    <row r="202" ht="15.75" customHeight="1" s="201">
      <c r="B202" s="1" t="inlineStr">
        <is>
          <t>Asparagus</t>
        </is>
      </c>
      <c r="C202" s="154" t="n">
        <v>7</v>
      </c>
      <c r="D202" s="154" t="n">
        <v>1.14891</v>
      </c>
      <c r="E202" s="154" t="n">
        <v>0.315</v>
      </c>
      <c r="F202" s="154" t="n">
        <v>2.54</v>
      </c>
      <c r="G202" s="154" t="n">
        <v>0.7906573981188053</v>
      </c>
      <c r="H202" s="154" t="n">
        <v>1</v>
      </c>
      <c r="I202" s="154" t="n">
        <v>0.401</v>
      </c>
      <c r="J202" s="154" t="n">
        <v>0.401</v>
      </c>
      <c r="K202" s="154" t="n">
        <v>0.401</v>
      </c>
      <c r="L202" s="154" t="e">
        <v>#DIV/0!</v>
      </c>
      <c r="M202" s="154" t="n">
        <v>1</v>
      </c>
      <c r="N202" s="154" t="n">
        <v>0.8009999999999999</v>
      </c>
      <c r="O202" s="154" t="n">
        <v>0.8009999999999999</v>
      </c>
      <c r="P202" s="154" t="n">
        <v>0.8009999999999999</v>
      </c>
      <c r="Q202" s="154" t="e">
        <v>#DIV/0!</v>
      </c>
    </row>
    <row r="203" ht="15.75" customHeight="1" s="201">
      <c r="B203" s="1" t="inlineStr">
        <is>
          <t>Asparagus, air freight</t>
        </is>
      </c>
      <c r="C203" s="154" t="n">
        <v>0</v>
      </c>
      <c r="D203" s="154" t="e">
        <v>#DIV/0!</v>
      </c>
      <c r="E203" s="154" t="n">
        <v>0</v>
      </c>
      <c r="F203" s="154" t="n">
        <v>0</v>
      </c>
      <c r="G203" s="154" t="e">
        <v>#DIV/0!</v>
      </c>
      <c r="H203" s="154" t="n">
        <v>0</v>
      </c>
      <c r="I203" s="154" t="e">
        <v>#DIV/0!</v>
      </c>
      <c r="J203" s="154" t="n">
        <v>0</v>
      </c>
      <c r="K203" s="154" t="n">
        <v>0</v>
      </c>
      <c r="L203" s="154" t="e">
        <v>#DIV/0!</v>
      </c>
      <c r="M203" s="154" t="n">
        <v>1</v>
      </c>
      <c r="N203" s="154" t="n">
        <v>8.869999999999999</v>
      </c>
      <c r="O203" s="154" t="n">
        <v>8.869999999999999</v>
      </c>
      <c r="P203" s="154" t="n">
        <v>8.869999999999999</v>
      </c>
      <c r="Q203" s="154" t="e">
        <v>#DIV/0!</v>
      </c>
    </row>
    <row r="204" ht="15.75" customHeight="1" s="201">
      <c r="B204" s="1" t="inlineStr">
        <is>
          <t>Bean, snap, succulent</t>
        </is>
      </c>
      <c r="C204" s="154" t="n">
        <v>9</v>
      </c>
      <c r="D204" s="154" t="n">
        <v>0.6615555555555557</v>
      </c>
      <c r="E204" s="154" t="n">
        <v>0.101</v>
      </c>
      <c r="F204" s="154" t="n">
        <v>2.89</v>
      </c>
      <c r="G204" s="154" t="n">
        <v>0.9254050614610759</v>
      </c>
      <c r="H204" s="154" t="n">
        <v>2</v>
      </c>
      <c r="I204" s="154" t="n">
        <v>0.5</v>
      </c>
      <c r="J204" s="154" t="n">
        <v>0.46</v>
      </c>
      <c r="K204" s="154" t="n">
        <v>0.54</v>
      </c>
      <c r="L204" s="154" t="n">
        <v>0.05656854249492363</v>
      </c>
      <c r="M204" s="154" t="n">
        <v>2</v>
      </c>
      <c r="N204" s="154" t="n">
        <v>1.735</v>
      </c>
      <c r="O204" s="154" t="n">
        <v>1.63</v>
      </c>
      <c r="P204" s="154" t="n">
        <v>1.84</v>
      </c>
      <c r="Q204" s="154" t="n">
        <v>0.1484924240491724</v>
      </c>
    </row>
    <row r="205" ht="15.75" customHeight="1" s="201">
      <c r="B205" s="1" t="inlineStr">
        <is>
          <t>Bean, snap, succulent, air freight</t>
        </is>
      </c>
      <c r="C205" s="154" t="n">
        <v>2</v>
      </c>
      <c r="D205" s="154" t="n">
        <v>0.09</v>
      </c>
      <c r="E205" s="154" t="n">
        <v>0.06</v>
      </c>
      <c r="F205" s="154" t="n">
        <v>0.12</v>
      </c>
      <c r="G205" s="154" t="n">
        <v>0.04242640687119285</v>
      </c>
      <c r="H205" s="154" t="n">
        <v>0</v>
      </c>
      <c r="I205" s="154" t="e">
        <v>#DIV/0!</v>
      </c>
      <c r="J205" s="154" t="n">
        <v>0</v>
      </c>
      <c r="K205" s="154" t="n">
        <v>0</v>
      </c>
      <c r="L205" s="154" t="e">
        <v>#DIV/0!</v>
      </c>
      <c r="M205" s="154" t="n">
        <v>2</v>
      </c>
      <c r="N205" s="154" t="n">
        <v>10.815</v>
      </c>
      <c r="O205" s="154" t="n">
        <v>10.73</v>
      </c>
      <c r="P205" s="154" t="n">
        <v>10.9</v>
      </c>
      <c r="Q205" s="154" t="n">
        <v>0.1202081528018759</v>
      </c>
    </row>
    <row r="206" ht="15.75" customHeight="1" s="201">
      <c r="B206" s="1" t="inlineStr">
        <is>
          <t>Beet, garden, roots</t>
        </is>
      </c>
      <c r="C206" s="154" t="n">
        <v>2</v>
      </c>
      <c r="D206" s="154" t="n">
        <v>0.175</v>
      </c>
      <c r="E206" s="154" t="n">
        <v>0.11</v>
      </c>
      <c r="F206" s="154" t="n">
        <v>0.24</v>
      </c>
      <c r="G206" s="154" t="n">
        <v>0.09192388155425121</v>
      </c>
      <c r="H206" s="154" t="n">
        <v>0</v>
      </c>
      <c r="I206" s="154" t="e">
        <v>#DIV/0!</v>
      </c>
      <c r="J206" s="154" t="n">
        <v>0</v>
      </c>
      <c r="K206" s="154" t="n">
        <v>0</v>
      </c>
      <c r="L206" s="154" t="e">
        <v>#DIV/0!</v>
      </c>
      <c r="M206" s="154" t="n"/>
      <c r="N206" s="154" t="n"/>
      <c r="O206" s="154" t="n"/>
      <c r="P206" s="154" t="n"/>
      <c r="Q206" s="154" t="n"/>
    </row>
    <row r="207" ht="15.75" customHeight="1" s="201">
      <c r="B207" s="1" t="inlineStr">
        <is>
          <t>Broccoli</t>
        </is>
      </c>
      <c r="C207" s="154" t="n">
        <v>17</v>
      </c>
      <c r="D207" s="154" t="n">
        <v>0.4861323618716578</v>
      </c>
      <c r="E207" s="154" t="n">
        <v>0.2</v>
      </c>
      <c r="F207" s="154" t="n">
        <v>1.73</v>
      </c>
      <c r="G207" s="154" t="n">
        <v>0.3513877591254425</v>
      </c>
      <c r="H207" s="154" t="n">
        <v>11</v>
      </c>
      <c r="I207" s="154" t="n">
        <v>0.5240776859504133</v>
      </c>
      <c r="J207" s="154" t="n">
        <v>0.35</v>
      </c>
      <c r="K207" s="154" t="n">
        <v>0.7827272727272726</v>
      </c>
      <c r="L207" s="154" t="n">
        <v>0.1501410970196862</v>
      </c>
      <c r="M207" s="154" t="n">
        <v>12</v>
      </c>
      <c r="N207" s="154" t="n">
        <v>1.244092424242424</v>
      </c>
      <c r="O207" s="154" t="n">
        <v>0.43</v>
      </c>
      <c r="P207" s="154" t="n">
        <v>2.600000000000001</v>
      </c>
      <c r="Q207" s="154" t="n">
        <v>0.6903568270486229</v>
      </c>
    </row>
    <row r="208" ht="15.75" customHeight="1" s="201">
      <c r="B208" s="1" t="inlineStr">
        <is>
          <t>Cabbage</t>
        </is>
      </c>
      <c r="C208" s="154" t="n">
        <v>2</v>
      </c>
      <c r="D208" s="154" t="n">
        <v>0.175</v>
      </c>
      <c r="E208" s="154" t="n">
        <v>0.12</v>
      </c>
      <c r="F208" s="154" t="n">
        <v>0.23</v>
      </c>
      <c r="G208" s="154" t="n">
        <v>0.07778174593052027</v>
      </c>
      <c r="H208" s="154" t="n">
        <v>0</v>
      </c>
      <c r="I208" s="154" t="e">
        <v>#DIV/0!</v>
      </c>
      <c r="J208" s="154" t="n">
        <v>0</v>
      </c>
      <c r="K208" s="154" t="n">
        <v>0</v>
      </c>
      <c r="L208" s="154" t="e">
        <v>#DIV/0!</v>
      </c>
      <c r="M208" s="154" t="n"/>
      <c r="N208" s="154" t="n"/>
      <c r="O208" s="154" t="n"/>
      <c r="P208" s="154" t="n"/>
      <c r="Q208" s="154" t="n"/>
    </row>
    <row r="209" ht="15.75" customHeight="1" s="201">
      <c r="B209" s="1" t="inlineStr">
        <is>
          <t>cantaloupe</t>
        </is>
      </c>
      <c r="C209" s="154" t="n">
        <v>1</v>
      </c>
      <c r="D209" s="154" t="n">
        <v>0.25</v>
      </c>
      <c r="E209" s="154" t="n">
        <v>0.25</v>
      </c>
      <c r="F209" s="154" t="n">
        <v>0.25</v>
      </c>
      <c r="G209" s="154" t="e">
        <v>#DIV/0!</v>
      </c>
      <c r="H209" s="154" t="n">
        <v>0</v>
      </c>
      <c r="I209" s="154" t="e">
        <v>#DIV/0!</v>
      </c>
      <c r="J209" s="154" t="n">
        <v>0</v>
      </c>
      <c r="K209" s="154" t="n">
        <v>0</v>
      </c>
      <c r="L209" s="154" t="e">
        <v>#DIV/0!</v>
      </c>
      <c r="M209" s="154" t="n"/>
      <c r="N209" s="154" t="n"/>
      <c r="O209" s="154" t="n"/>
      <c r="P209" s="154" t="n"/>
      <c r="Q209" s="154" t="n"/>
    </row>
    <row r="210" ht="15.75" customHeight="1" s="201">
      <c r="B210" s="1" t="inlineStr">
        <is>
          <t>Carrot</t>
        </is>
      </c>
      <c r="C210" s="154" t="n">
        <v>5</v>
      </c>
      <c r="D210" s="154" t="n">
        <v>0.0818</v>
      </c>
      <c r="E210" s="154" t="n">
        <v>0.018</v>
      </c>
      <c r="F210" s="154" t="n">
        <v>0.14</v>
      </c>
      <c r="G210" s="154" t="n">
        <v>0.05198268942638501</v>
      </c>
      <c r="H210" s="154" t="n">
        <v>0</v>
      </c>
      <c r="I210" s="154" t="e">
        <v>#DIV/0!</v>
      </c>
      <c r="J210" s="154" t="n">
        <v>0</v>
      </c>
      <c r="K210" s="154" t="n">
        <v>0</v>
      </c>
      <c r="L210" s="154" t="e">
        <v>#DIV/0!</v>
      </c>
      <c r="M210" s="154" t="n">
        <v>6</v>
      </c>
      <c r="N210" s="154" t="n">
        <v>0.18</v>
      </c>
      <c r="O210" s="154" t="n">
        <v>0.004</v>
      </c>
      <c r="P210" s="154" t="n">
        <v>0.43</v>
      </c>
      <c r="Q210" s="154" t="n">
        <v>0.1535356636094689</v>
      </c>
    </row>
    <row r="211" ht="15.75" customHeight="1" s="201">
      <c r="B211" s="1" t="inlineStr">
        <is>
          <t>carrot, frozen</t>
        </is>
      </c>
      <c r="C211" s="154" t="n">
        <v>2</v>
      </c>
      <c r="D211" s="154" t="n">
        <v>0.1115</v>
      </c>
      <c r="E211" s="154" t="n">
        <v>0.023</v>
      </c>
      <c r="F211" s="154" t="n">
        <v>0.2</v>
      </c>
      <c r="G211" s="154" t="n">
        <v>0.1251579002700189</v>
      </c>
      <c r="H211" s="154" t="n">
        <v>1</v>
      </c>
      <c r="I211" s="154" t="n">
        <v>0.218</v>
      </c>
      <c r="J211" s="154" t="n">
        <v>0.218</v>
      </c>
      <c r="K211" s="154" t="n">
        <v>0.218</v>
      </c>
      <c r="L211" s="154" t="e">
        <v>#DIV/0!</v>
      </c>
      <c r="M211" s="154" t="n">
        <v>1</v>
      </c>
      <c r="N211" s="154" t="n">
        <v>0.267</v>
      </c>
      <c r="O211" s="154" t="n">
        <v>0.267</v>
      </c>
      <c r="P211" s="154" t="n">
        <v>0.267</v>
      </c>
      <c r="Q211" s="154" t="e">
        <v>#DIV/0!</v>
      </c>
    </row>
    <row r="212" ht="15.75" customHeight="1" s="201">
      <c r="B212" s="1" t="inlineStr">
        <is>
          <t>Cassava</t>
        </is>
      </c>
      <c r="C212" s="154" t="n">
        <v>1</v>
      </c>
      <c r="D212" s="154" t="n">
        <v>0.0788</v>
      </c>
      <c r="E212" s="154" t="n">
        <v>0.0788</v>
      </c>
      <c r="F212" s="154" t="n">
        <v>0.0788</v>
      </c>
      <c r="G212" s="154" t="e">
        <v>#DIV/0!</v>
      </c>
      <c r="H212" s="154" t="n">
        <v>0</v>
      </c>
      <c r="I212" s="154" t="e">
        <v>#DIV/0!</v>
      </c>
      <c r="J212" s="154" t="n">
        <v>0</v>
      </c>
      <c r="K212" s="154" t="n">
        <v>0</v>
      </c>
      <c r="L212" s="154" t="e">
        <v>#DIV/0!</v>
      </c>
      <c r="M212" s="154" t="n"/>
      <c r="N212" s="154" t="n"/>
      <c r="O212" s="154" t="n"/>
      <c r="P212" s="154" t="n"/>
      <c r="Q212" s="154" t="n"/>
    </row>
    <row r="213" ht="15.75" customHeight="1" s="201">
      <c r="B213" s="1" t="inlineStr">
        <is>
          <t>Cauliflower</t>
        </is>
      </c>
      <c r="C213" s="154" t="n">
        <v>3</v>
      </c>
      <c r="D213" s="154" t="n">
        <v>0.36483186</v>
      </c>
      <c r="E213" s="154" t="n">
        <v>0.27288366</v>
      </c>
      <c r="F213" s="154" t="n">
        <v>0.44161192</v>
      </c>
      <c r="G213" s="154" t="n">
        <v>0.08538068156176584</v>
      </c>
      <c r="H213" s="154" t="n">
        <v>0</v>
      </c>
      <c r="I213" s="154" t="e">
        <v>#DIV/0!</v>
      </c>
      <c r="J213" s="154" t="n">
        <v>0</v>
      </c>
      <c r="K213" s="154" t="n">
        <v>0</v>
      </c>
      <c r="L213" s="154" t="e">
        <v>#DIV/0!</v>
      </c>
      <c r="M213" s="154" t="n">
        <v>1</v>
      </c>
      <c r="N213" s="154" t="n">
        <v>0.39</v>
      </c>
      <c r="O213" s="154" t="n">
        <v>0.39</v>
      </c>
      <c r="P213" s="154" t="n">
        <v>0.39</v>
      </c>
      <c r="Q213" s="154" t="e">
        <v>#DIV/0!</v>
      </c>
    </row>
    <row r="214" ht="15.75" customHeight="1" s="201">
      <c r="B214" s="1" t="inlineStr">
        <is>
          <t>Celery</t>
        </is>
      </c>
      <c r="C214" s="154" t="n">
        <v>2</v>
      </c>
      <c r="D214" s="154" t="n">
        <v>0.295575</v>
      </c>
      <c r="E214" s="154" t="n">
        <v>0.18</v>
      </c>
      <c r="F214" s="154" t="n">
        <v>0.41115</v>
      </c>
      <c r="G214" s="154" t="n">
        <v>0.1634477324712703</v>
      </c>
      <c r="H214" s="154" t="n">
        <v>0</v>
      </c>
      <c r="I214" s="154" t="e">
        <v>#DIV/0!</v>
      </c>
      <c r="J214" s="154" t="n">
        <v>0</v>
      </c>
      <c r="K214" s="154" t="n">
        <v>0</v>
      </c>
      <c r="L214" s="154" t="e">
        <v>#DIV/0!</v>
      </c>
      <c r="M214" s="154" t="n"/>
      <c r="N214" s="154" t="n"/>
      <c r="O214" s="154" t="n"/>
      <c r="P214" s="154" t="n"/>
      <c r="Q214" s="154" t="n"/>
    </row>
    <row r="215" ht="15.75" customHeight="1" s="201">
      <c r="B215" s="1" t="inlineStr">
        <is>
          <t>chicory, roots</t>
        </is>
      </c>
      <c r="C215" s="154" t="n">
        <v>2</v>
      </c>
      <c r="D215" s="154" t="n">
        <v>0.050446</v>
      </c>
      <c r="E215" s="154" t="n">
        <v>0.044065</v>
      </c>
      <c r="F215" s="154" t="n">
        <v>0.056827</v>
      </c>
      <c r="G215" s="154" t="n">
        <v>0.009024096741502697</v>
      </c>
      <c r="H215" s="154" t="n">
        <v>0</v>
      </c>
      <c r="I215" s="154" t="e">
        <v>#DIV/0!</v>
      </c>
      <c r="J215" s="154" t="n">
        <v>0</v>
      </c>
      <c r="K215" s="154" t="n">
        <v>0</v>
      </c>
      <c r="L215" s="154" t="e">
        <v>#DIV/0!</v>
      </c>
      <c r="M215" s="154" t="n"/>
      <c r="N215" s="154" t="n"/>
      <c r="O215" s="154" t="n"/>
      <c r="P215" s="154" t="n"/>
      <c r="Q215" s="154" t="n"/>
    </row>
    <row r="216" ht="15.75" customHeight="1" s="201">
      <c r="B216" s="1" t="inlineStr">
        <is>
          <t>clover, seed</t>
        </is>
      </c>
      <c r="C216" s="154" t="n">
        <v>1</v>
      </c>
      <c r="D216" s="154" t="n">
        <v>6.25</v>
      </c>
      <c r="E216" s="154" t="n">
        <v>6.25</v>
      </c>
      <c r="F216" s="154" t="n">
        <v>6.25</v>
      </c>
      <c r="G216" s="154" t="e">
        <v>#DIV/0!</v>
      </c>
      <c r="H216" s="154" t="n">
        <v>0</v>
      </c>
      <c r="I216" s="154" t="e">
        <v>#DIV/0!</v>
      </c>
      <c r="J216" s="154" t="n">
        <v>0</v>
      </c>
      <c r="K216" s="154" t="n">
        <v>0</v>
      </c>
      <c r="L216" s="154" t="e">
        <v>#DIV/0!</v>
      </c>
      <c r="M216" s="154" t="n"/>
      <c r="N216" s="154" t="n"/>
      <c r="O216" s="154" t="n"/>
      <c r="P216" s="154" t="n"/>
      <c r="Q216" s="154" t="n"/>
    </row>
    <row r="217" ht="15.75" customHeight="1" s="201">
      <c r="B217" s="1" t="inlineStr">
        <is>
          <t>Corn, sweet</t>
        </is>
      </c>
      <c r="C217" s="154" t="n">
        <v>4</v>
      </c>
      <c r="D217" s="154" t="n">
        <v>0.272331875</v>
      </c>
      <c r="E217" s="154" t="n">
        <v>0.18450696</v>
      </c>
      <c r="F217" s="154" t="n">
        <v>0.37178664</v>
      </c>
      <c r="G217" s="154" t="n">
        <v>0.07888118956632115</v>
      </c>
      <c r="H217" s="154" t="n">
        <v>0</v>
      </c>
      <c r="I217" s="154" t="e">
        <v>#DIV/0!</v>
      </c>
      <c r="J217" s="154" t="n">
        <v>0</v>
      </c>
      <c r="K217" s="154" t="n">
        <v>0</v>
      </c>
      <c r="L217" s="154" t="e">
        <v>#DIV/0!</v>
      </c>
      <c r="M217" s="154" t="n"/>
      <c r="N217" s="154" t="n"/>
      <c r="O217" s="154" t="n"/>
      <c r="P217" s="154" t="n"/>
      <c r="Q217" s="154" t="n"/>
    </row>
    <row r="218" ht="15.75" customHeight="1" s="201">
      <c r="B218" s="1" t="inlineStr">
        <is>
          <t>Cucumber</t>
        </is>
      </c>
      <c r="C218" s="154" t="n">
        <v>4</v>
      </c>
      <c r="D218" s="154" t="n">
        <v>0.3973475</v>
      </c>
      <c r="E218" s="154" t="n">
        <v>0.08</v>
      </c>
      <c r="F218" s="154" t="n">
        <v>1.25</v>
      </c>
      <c r="G218" s="154" t="n">
        <v>0.5689175772391522</v>
      </c>
      <c r="H218" s="154" t="n">
        <v>0</v>
      </c>
      <c r="I218" s="154" t="e">
        <v>#DIV/0!</v>
      </c>
      <c r="J218" s="154" t="n">
        <v>0</v>
      </c>
      <c r="K218" s="154" t="n">
        <v>0</v>
      </c>
      <c r="L218" s="154" t="e">
        <v>#DIV/0!</v>
      </c>
      <c r="M218" s="154" t="n"/>
      <c r="N218" s="154" t="n"/>
      <c r="O218" s="154" t="n"/>
      <c r="P218" s="154" t="n"/>
      <c r="Q218" s="154" t="n"/>
    </row>
    <row r="219" ht="15.75" customHeight="1" s="201">
      <c r="B219" s="1" t="inlineStr">
        <is>
          <t>Cucumber, greenhouse</t>
        </is>
      </c>
      <c r="C219" s="154" t="n">
        <v>1</v>
      </c>
      <c r="D219" s="154" t="n">
        <v>3.8606</v>
      </c>
      <c r="E219" s="154" t="n">
        <v>3.8606</v>
      </c>
      <c r="F219" s="154" t="n">
        <v>3.8606</v>
      </c>
      <c r="G219" s="154" t="e">
        <v>#DIV/0!</v>
      </c>
      <c r="H219" s="154" t="n">
        <v>0</v>
      </c>
      <c r="I219" s="154" t="e">
        <v>#DIV/0!</v>
      </c>
      <c r="J219" s="154" t="n">
        <v>0</v>
      </c>
      <c r="K219" s="154" t="n">
        <v>0</v>
      </c>
      <c r="L219" s="154" t="e">
        <v>#DIV/0!</v>
      </c>
      <c r="M219" s="154" t="n">
        <v>1</v>
      </c>
      <c r="N219" s="154" t="n">
        <v>3.98</v>
      </c>
      <c r="O219" s="154" t="n">
        <v>3.98</v>
      </c>
      <c r="P219" s="154" t="n">
        <v>3.98</v>
      </c>
      <c r="Q219" s="154" t="e">
        <v>#DIV/0!</v>
      </c>
    </row>
    <row r="220" ht="15.75" customHeight="1" s="201">
      <c r="B220" s="1" t="inlineStr">
        <is>
          <t>Eggplant</t>
        </is>
      </c>
      <c r="C220" s="154" t="n">
        <v>0</v>
      </c>
      <c r="D220" s="154" t="e">
        <v>#DIV/0!</v>
      </c>
      <c r="E220" s="154" t="n">
        <v>0</v>
      </c>
      <c r="F220" s="154" t="n">
        <v>0</v>
      </c>
      <c r="G220" s="154" t="e">
        <v>#DIV/0!</v>
      </c>
      <c r="H220" s="154" t="n">
        <v>0</v>
      </c>
      <c r="I220" s="154" t="e">
        <v>#DIV/0!</v>
      </c>
      <c r="J220" s="154" t="n">
        <v>0</v>
      </c>
      <c r="K220" s="154" t="n">
        <v>0</v>
      </c>
      <c r="L220" s="154" t="e">
        <v>#DIV/0!</v>
      </c>
      <c r="M220" s="154" t="n">
        <v>1</v>
      </c>
      <c r="N220" s="154" t="n">
        <v>1.3</v>
      </c>
      <c r="O220" s="154" t="n">
        <v>1.3</v>
      </c>
      <c r="P220" s="154" t="n">
        <v>1.3</v>
      </c>
      <c r="Q220" s="154" t="e">
        <v>#DIV/0!</v>
      </c>
    </row>
    <row r="221" ht="15.75" customHeight="1" s="201">
      <c r="B221" s="1" t="inlineStr">
        <is>
          <t>Escarole</t>
        </is>
      </c>
      <c r="C221" s="154" t="n">
        <v>3</v>
      </c>
      <c r="D221" s="154" t="n">
        <v>0.05566666666666666</v>
      </c>
      <c r="E221" s="154" t="n">
        <v>0.0514</v>
      </c>
      <c r="F221" s="154" t="n">
        <v>0.0583</v>
      </c>
      <c r="G221" s="154" t="n">
        <v>0.003728717384481429</v>
      </c>
      <c r="H221" s="154" t="n">
        <v>0</v>
      </c>
      <c r="I221" s="154" t="e">
        <v>#DIV/0!</v>
      </c>
      <c r="J221" s="154" t="n">
        <v>0</v>
      </c>
      <c r="K221" s="154" t="n">
        <v>0</v>
      </c>
      <c r="L221" s="154" t="e">
        <v>#DIV/0!</v>
      </c>
      <c r="M221" s="154" t="n"/>
      <c r="N221" s="154" t="n"/>
      <c r="O221" s="154" t="n"/>
      <c r="P221" s="154" t="n"/>
      <c r="Q221" s="154" t="n"/>
    </row>
    <row r="222" ht="15.75" customHeight="1" s="201">
      <c r="B222" s="1" t="inlineStr">
        <is>
          <t>Escarole, greenhouse</t>
        </is>
      </c>
      <c r="C222" s="154" t="n">
        <v>1</v>
      </c>
      <c r="D222" s="154" t="n">
        <v>0.303</v>
      </c>
      <c r="E222" s="154" t="n">
        <v>0.303</v>
      </c>
      <c r="F222" s="154" t="n">
        <v>0.303</v>
      </c>
      <c r="G222" s="154" t="e">
        <v>#DIV/0!</v>
      </c>
      <c r="H222" s="154" t="n">
        <v>0</v>
      </c>
      <c r="I222" s="154" t="e">
        <v>#DIV/0!</v>
      </c>
      <c r="J222" s="154" t="n">
        <v>0</v>
      </c>
      <c r="K222" s="154" t="n">
        <v>0</v>
      </c>
      <c r="L222" s="154" t="e">
        <v>#DIV/0!</v>
      </c>
      <c r="M222" s="154" t="n"/>
      <c r="N222" s="154" t="n"/>
      <c r="O222" s="154" t="n"/>
      <c r="P222" s="154" t="n"/>
      <c r="Q222" s="154" t="n"/>
    </row>
    <row r="223" ht="15.75" customHeight="1" s="201">
      <c r="B223" s="1" t="inlineStr">
        <is>
          <t>Fennel, Cauliflower, Broccoli</t>
        </is>
      </c>
      <c r="C223" s="154" t="n">
        <v>0</v>
      </c>
      <c r="D223" s="154" t="e">
        <v>#DIV/0!</v>
      </c>
      <c r="E223" s="154" t="n">
        <v>0</v>
      </c>
      <c r="F223" s="154" t="n">
        <v>0</v>
      </c>
      <c r="G223" s="154" t="e">
        <v>#DIV/0!</v>
      </c>
      <c r="H223" s="154" t="n">
        <v>0</v>
      </c>
      <c r="I223" s="154" t="e">
        <v>#DIV/0!</v>
      </c>
      <c r="J223" s="154" t="n">
        <v>0</v>
      </c>
      <c r="K223" s="154" t="n">
        <v>0</v>
      </c>
      <c r="L223" s="154" t="e">
        <v>#DIV/0!</v>
      </c>
      <c r="M223" s="154" t="n">
        <v>1</v>
      </c>
      <c r="N223" s="154" t="n">
        <v>0.48</v>
      </c>
      <c r="O223" s="154" t="n">
        <v>0.48</v>
      </c>
      <c r="P223" s="154" t="n">
        <v>0.48</v>
      </c>
      <c r="Q223" s="154" t="e">
        <v>#DIV/0!</v>
      </c>
    </row>
    <row r="224" ht="15.75" customHeight="1" s="201">
      <c r="B224" s="1" t="inlineStr">
        <is>
          <t>Fennel, Florence</t>
        </is>
      </c>
      <c r="C224" s="154" t="n">
        <v>0</v>
      </c>
      <c r="D224" s="154" t="e">
        <v>#DIV/0!</v>
      </c>
      <c r="E224" s="154" t="n">
        <v>0</v>
      </c>
      <c r="F224" s="154" t="n">
        <v>0</v>
      </c>
      <c r="G224" s="154" t="e">
        <v>#DIV/0!</v>
      </c>
      <c r="H224" s="154" t="n">
        <v>0</v>
      </c>
      <c r="I224" s="154" t="e">
        <v>#DIV/0!</v>
      </c>
      <c r="J224" s="154" t="n">
        <v>0</v>
      </c>
      <c r="K224" s="154" t="n">
        <v>0</v>
      </c>
      <c r="L224" s="154" t="e">
        <v>#DIV/0!</v>
      </c>
      <c r="M224" s="154" t="n">
        <v>1</v>
      </c>
      <c r="N224" s="154" t="n">
        <v>0.43</v>
      </c>
      <c r="O224" s="154" t="n">
        <v>0.43</v>
      </c>
      <c r="P224" s="154" t="n">
        <v>0.43</v>
      </c>
      <c r="Q224" s="154" t="e">
        <v>#DIV/0!</v>
      </c>
    </row>
    <row r="225" ht="15.75" customHeight="1" s="201">
      <c r="B225" s="1" t="inlineStr">
        <is>
          <t>Garlic, bulb</t>
        </is>
      </c>
      <c r="C225" s="154" t="n">
        <v>3</v>
      </c>
      <c r="D225" s="154" t="n">
        <v>0.6456666666666667</v>
      </c>
      <c r="E225" s="154" t="n">
        <v>0.57</v>
      </c>
      <c r="F225" s="154" t="n">
        <v>0.6870000000000001</v>
      </c>
      <c r="G225" s="154" t="n">
        <v>0.06562265868839369</v>
      </c>
      <c r="H225" s="154" t="n">
        <v>0</v>
      </c>
      <c r="I225" s="154" t="e">
        <v>#DIV/0!</v>
      </c>
      <c r="J225" s="154" t="n">
        <v>0</v>
      </c>
      <c r="K225" s="154" t="n">
        <v>0</v>
      </c>
      <c r="L225" s="154" t="e">
        <v>#DIV/0!</v>
      </c>
      <c r="M225" s="154" t="n">
        <v>3</v>
      </c>
      <c r="N225" s="154" t="n">
        <v>4.321</v>
      </c>
      <c r="O225" s="154" t="n">
        <v>0.668</v>
      </c>
      <c r="P225" s="154" t="n">
        <v>11.421</v>
      </c>
      <c r="Q225" s="154" t="n">
        <v>6.149642997768245</v>
      </c>
    </row>
    <row r="226" ht="15.75" customHeight="1" s="201">
      <c r="B226" s="1" t="inlineStr">
        <is>
          <t>kale</t>
        </is>
      </c>
      <c r="C226" s="154" t="n">
        <v>2</v>
      </c>
      <c r="D226" s="154" t="n">
        <v>0.117859335</v>
      </c>
      <c r="E226" s="154" t="n">
        <v>0.11627535</v>
      </c>
      <c r="F226" s="154" t="n">
        <v>0.11944332</v>
      </c>
      <c r="G226" s="154" t="n">
        <v>0.002240093069594639</v>
      </c>
      <c r="H226" s="154" t="n">
        <v>0</v>
      </c>
      <c r="I226" s="154" t="e">
        <v>#DIV/0!</v>
      </c>
      <c r="J226" s="154" t="n">
        <v>0</v>
      </c>
      <c r="K226" s="154" t="n">
        <v>0</v>
      </c>
      <c r="L226" s="154" t="e">
        <v>#DIV/0!</v>
      </c>
      <c r="M226" s="154" t="n"/>
      <c r="N226" s="154" t="n"/>
      <c r="O226" s="154" t="n"/>
      <c r="P226" s="154" t="n"/>
      <c r="Q226" s="154" t="n"/>
    </row>
    <row r="227" ht="15.75" customHeight="1" s="201">
      <c r="B227" s="1" t="inlineStr">
        <is>
          <t>Leek</t>
        </is>
      </c>
      <c r="C227" s="154" t="n">
        <v>2</v>
      </c>
      <c r="D227" s="154" t="n">
        <v>0.06900000000000001</v>
      </c>
      <c r="E227" s="154" t="n">
        <v>0.044</v>
      </c>
      <c r="F227" s="154" t="n">
        <v>0.094</v>
      </c>
      <c r="G227" s="154" t="n">
        <v>0.03535533905932737</v>
      </c>
      <c r="H227" s="154" t="n">
        <v>0</v>
      </c>
      <c r="I227" s="154" t="e">
        <v>#DIV/0!</v>
      </c>
      <c r="J227" s="154" t="n">
        <v>0</v>
      </c>
      <c r="K227" s="154" t="n">
        <v>0</v>
      </c>
      <c r="L227" s="154" t="e">
        <v>#DIV/0!</v>
      </c>
      <c r="M227" s="154" t="n">
        <v>1</v>
      </c>
      <c r="N227" s="154" t="n">
        <v>0.43</v>
      </c>
      <c r="O227" s="154" t="n">
        <v>0.43</v>
      </c>
      <c r="P227" s="154" t="n">
        <v>0.43</v>
      </c>
      <c r="Q227" s="154" t="e">
        <v>#DIV/0!</v>
      </c>
    </row>
    <row r="228" ht="15.75" customHeight="1" s="201">
      <c r="B228" s="1" t="inlineStr">
        <is>
          <t>Lettuce, greenhouse</t>
        </is>
      </c>
      <c r="C228" s="154" t="n">
        <v>5</v>
      </c>
      <c r="D228" s="154" t="n">
        <v>1.213812</v>
      </c>
      <c r="E228" s="154" t="n">
        <v>0.205</v>
      </c>
      <c r="F228" s="154" t="n">
        <v>2.9725</v>
      </c>
      <c r="G228" s="154" t="n">
        <v>1.38247880154453</v>
      </c>
      <c r="H228" s="154" t="n">
        <v>2</v>
      </c>
      <c r="I228" s="154" t="n">
        <v>2.77338</v>
      </c>
      <c r="J228" s="154" t="n">
        <v>2.54926</v>
      </c>
      <c r="K228" s="154" t="n">
        <v>2.9975</v>
      </c>
      <c r="L228" s="154" t="n">
        <v>0.3169535435990552</v>
      </c>
      <c r="M228" s="154" t="n">
        <v>2</v>
      </c>
      <c r="N228" s="154" t="n">
        <v>3.04075</v>
      </c>
      <c r="O228" s="154" t="n">
        <v>2.62</v>
      </c>
      <c r="P228" s="154" t="n">
        <v>3.4615</v>
      </c>
      <c r="Q228" s="154" t="n">
        <v>0.5950303563684808</v>
      </c>
    </row>
    <row r="229" ht="15.75" customHeight="1" s="201">
      <c r="B229" s="1" t="inlineStr">
        <is>
          <t>lettuce, head</t>
        </is>
      </c>
      <c r="C229" s="154" t="n">
        <v>1</v>
      </c>
      <c r="D229" s="154" t="n">
        <v>0.15075</v>
      </c>
      <c r="E229" s="154" t="n">
        <v>0.15075</v>
      </c>
      <c r="F229" s="154" t="n">
        <v>0.15075</v>
      </c>
      <c r="G229" s="154" t="e">
        <v>#DIV/0!</v>
      </c>
      <c r="H229" s="154" t="n">
        <v>0</v>
      </c>
      <c r="I229" s="154" t="e">
        <v>#DIV/0!</v>
      </c>
      <c r="J229" s="154" t="n">
        <v>0</v>
      </c>
      <c r="K229" s="154" t="n">
        <v>0</v>
      </c>
      <c r="L229" s="154" t="e">
        <v>#DIV/0!</v>
      </c>
      <c r="M229" s="154" t="n"/>
      <c r="N229" s="154" t="n"/>
      <c r="O229" s="154" t="n"/>
      <c r="P229" s="154" t="n"/>
      <c r="Q229" s="154" t="n"/>
    </row>
    <row r="230" ht="15.75" customHeight="1" s="201">
      <c r="B230" s="1" t="inlineStr">
        <is>
          <t>Lettuce, leaf</t>
        </is>
      </c>
      <c r="C230" s="154" t="n">
        <v>18</v>
      </c>
      <c r="D230" s="154" t="n">
        <v>0.1816716666666666</v>
      </c>
      <c r="E230" s="154" t="n">
        <v>0.025</v>
      </c>
      <c r="F230" s="154" t="n">
        <v>0.327</v>
      </c>
      <c r="G230" s="154" t="n">
        <v>0.1034134320693059</v>
      </c>
      <c r="H230" s="154" t="n">
        <v>5</v>
      </c>
      <c r="I230" s="154" t="n">
        <v>0.252966</v>
      </c>
      <c r="J230" s="154" t="n">
        <v>0.1836</v>
      </c>
      <c r="K230" s="154" t="n">
        <v>0.345</v>
      </c>
      <c r="L230" s="154" t="n">
        <v>0.06107283995361588</v>
      </c>
      <c r="M230" s="154" t="n">
        <v>8</v>
      </c>
      <c r="N230" s="154" t="n">
        <v>0.8561500000000001</v>
      </c>
      <c r="O230" s="154" t="n">
        <v>0.198</v>
      </c>
      <c r="P230" s="154" t="n">
        <v>3.24</v>
      </c>
      <c r="Q230" s="154" t="n">
        <v>1.00121531578948</v>
      </c>
    </row>
    <row r="231" ht="15.75" customHeight="1" s="201">
      <c r="B231" s="1" t="inlineStr">
        <is>
          <t>Lettuce, leaf, air freight</t>
        </is>
      </c>
      <c r="C231" s="154" t="n">
        <v>1</v>
      </c>
      <c r="D231" s="154" t="n">
        <v>0.05</v>
      </c>
      <c r="E231" s="154" t="n">
        <v>0.05</v>
      </c>
      <c r="F231" s="154" t="n">
        <v>0.05</v>
      </c>
      <c r="G231" s="154" t="e">
        <v>#DIV/0!</v>
      </c>
      <c r="H231" s="154" t="n">
        <v>0</v>
      </c>
      <c r="I231" s="154" t="e">
        <v>#DIV/0!</v>
      </c>
      <c r="J231" s="154" t="n">
        <v>0</v>
      </c>
      <c r="K231" s="154" t="n">
        <v>0</v>
      </c>
      <c r="L231" s="154" t="e">
        <v>#DIV/0!</v>
      </c>
      <c r="M231" s="154" t="n">
        <v>1</v>
      </c>
      <c r="N231" s="154" t="n">
        <v>10.109</v>
      </c>
      <c r="O231" s="154" t="n">
        <v>10.109</v>
      </c>
      <c r="P231" s="154" t="n">
        <v>10.109</v>
      </c>
      <c r="Q231" s="154" t="e">
        <v>#DIV/0!</v>
      </c>
    </row>
    <row r="232" ht="15.75" customHeight="1" s="201">
      <c r="B232" s="1" t="inlineStr">
        <is>
          <t>Mushroom</t>
        </is>
      </c>
      <c r="C232" s="154" t="n">
        <v>6</v>
      </c>
      <c r="D232" s="154" t="n">
        <v>3.002556331804282</v>
      </c>
      <c r="E232" s="154" t="n">
        <v>0.06</v>
      </c>
      <c r="F232" s="154" t="n">
        <v>5.002945</v>
      </c>
      <c r="G232" s="154" t="n">
        <v>1.762817862510333</v>
      </c>
      <c r="H232" s="154" t="n">
        <v>1</v>
      </c>
      <c r="I232" s="154" t="n">
        <v>2.293577981651376</v>
      </c>
      <c r="J232" s="154" t="n">
        <v>2.293577981651376</v>
      </c>
      <c r="K232" s="154" t="n">
        <v>2.293577981651376</v>
      </c>
      <c r="L232" s="154" t="e">
        <v>#DIV/0!</v>
      </c>
      <c r="M232" s="154" t="n">
        <v>1</v>
      </c>
      <c r="N232" s="154" t="n">
        <v>2.761467889908257</v>
      </c>
      <c r="O232" s="154" t="n">
        <v>2.761467889908257</v>
      </c>
      <c r="P232" s="154" t="n">
        <v>2.761467889908257</v>
      </c>
      <c r="Q232" s="154" t="e">
        <v>#DIV/0!</v>
      </c>
    </row>
    <row r="233" ht="15.75" customHeight="1" s="201">
      <c r="B233" s="1" t="inlineStr">
        <is>
          <t>onion</t>
        </is>
      </c>
      <c r="C233" s="154" t="n">
        <v>3</v>
      </c>
      <c r="D233" s="154" t="n">
        <v>0.09833333333333333</v>
      </c>
      <c r="E233" s="154" t="n">
        <v>0.039</v>
      </c>
      <c r="F233" s="154" t="n">
        <v>0.21</v>
      </c>
      <c r="G233" s="154" t="n">
        <v>0.09676948554856191</v>
      </c>
      <c r="H233" s="154" t="n">
        <v>0</v>
      </c>
      <c r="I233" s="154" t="e">
        <v>#DIV/0!</v>
      </c>
      <c r="J233" s="154" t="n">
        <v>0</v>
      </c>
      <c r="K233" s="154" t="n">
        <v>0</v>
      </c>
      <c r="L233" s="154" t="e">
        <v>#DIV/0!</v>
      </c>
      <c r="M233" s="154" t="n">
        <v>2</v>
      </c>
      <c r="N233" s="154" t="n">
        <v>0.107</v>
      </c>
      <c r="O233" s="154" t="n">
        <v>0.06900000000000001</v>
      </c>
      <c r="P233" s="154" t="n">
        <v>0.145</v>
      </c>
      <c r="Q233" s="154" t="n">
        <v>0.05374011537017763</v>
      </c>
    </row>
    <row r="234" ht="15.75" customHeight="1" s="201">
      <c r="B234" s="1" t="inlineStr">
        <is>
          <t>onion, bulb</t>
        </is>
      </c>
      <c r="C234" s="154" t="n">
        <v>7</v>
      </c>
      <c r="D234" s="154" t="n">
        <v>0.2419368885714286</v>
      </c>
      <c r="E234" s="154" t="n">
        <v>0.0984</v>
      </c>
      <c r="F234" s="154" t="n">
        <v>0.54483833</v>
      </c>
      <c r="G234" s="154" t="n">
        <v>0.1554609998042759</v>
      </c>
      <c r="H234" s="154" t="n">
        <v>0</v>
      </c>
      <c r="I234" s="154" t="e">
        <v>#DIV/0!</v>
      </c>
      <c r="J234" s="154" t="n">
        <v>0</v>
      </c>
      <c r="K234" s="154" t="n">
        <v>0</v>
      </c>
      <c r="L234" s="154" t="e">
        <v>#DIV/0!</v>
      </c>
      <c r="M234" s="154" t="n">
        <v>1</v>
      </c>
      <c r="N234" s="154" t="n">
        <v>0.43</v>
      </c>
      <c r="O234" s="154" t="n">
        <v>0.43</v>
      </c>
      <c r="P234" s="154" t="n">
        <v>0.43</v>
      </c>
      <c r="Q234" s="154" t="e">
        <v>#DIV/0!</v>
      </c>
    </row>
    <row r="235" ht="15.75" customHeight="1" s="201">
      <c r="B235" s="1" t="inlineStr">
        <is>
          <t>Pea, succulent</t>
        </is>
      </c>
      <c r="C235" s="154" t="n">
        <v>6</v>
      </c>
      <c r="D235" s="154" t="n">
        <v>1.33</v>
      </c>
      <c r="E235" s="154" t="n">
        <v>0.29</v>
      </c>
      <c r="F235" s="154" t="n">
        <v>3.94</v>
      </c>
      <c r="G235" s="154" t="n">
        <v>1.52354848954669</v>
      </c>
      <c r="H235" s="154" t="n">
        <v>0</v>
      </c>
      <c r="I235" s="154" t="e">
        <v>#DIV/0!</v>
      </c>
      <c r="J235" s="154" t="n">
        <v>0</v>
      </c>
      <c r="K235" s="154" t="n">
        <v>0</v>
      </c>
      <c r="L235" s="154" t="e">
        <v>#DIV/0!</v>
      </c>
      <c r="M235" s="154" t="n">
        <v>3</v>
      </c>
      <c r="N235" s="154" t="n">
        <v>3.873333333333333</v>
      </c>
      <c r="O235" s="154" t="n">
        <v>0.388</v>
      </c>
      <c r="P235" s="154" t="n">
        <v>10.635</v>
      </c>
      <c r="Q235" s="154" t="n">
        <v>5.856707465234484</v>
      </c>
    </row>
    <row r="236" ht="15.75" customHeight="1" s="201">
      <c r="B236" s="1" t="inlineStr">
        <is>
          <t>Pepper, bell</t>
        </is>
      </c>
      <c r="C236" s="154" t="n">
        <v>2</v>
      </c>
      <c r="D236" s="154" t="n">
        <v>0.43</v>
      </c>
      <c r="E236" s="154" t="n">
        <v>0.27</v>
      </c>
      <c r="F236" s="154" t="n">
        <v>0.59</v>
      </c>
      <c r="G236" s="154" t="n">
        <v>0.2262741699796953</v>
      </c>
      <c r="H236" s="154" t="n">
        <v>0</v>
      </c>
      <c r="I236" s="154" t="e">
        <v>#DIV/0!</v>
      </c>
      <c r="J236" s="154" t="n">
        <v>0</v>
      </c>
      <c r="K236" s="154" t="n">
        <v>0</v>
      </c>
      <c r="L236" s="154" t="e">
        <v>#DIV/0!</v>
      </c>
      <c r="M236" s="154" t="n">
        <v>1</v>
      </c>
      <c r="N236" s="154" t="n">
        <v>0.88</v>
      </c>
      <c r="O236" s="154" t="n">
        <v>0.88</v>
      </c>
      <c r="P236" s="154" t="n">
        <v>0.88</v>
      </c>
      <c r="Q236" s="154" t="e">
        <v>#DIV/0!</v>
      </c>
    </row>
    <row r="237" ht="15.75" customHeight="1" s="201">
      <c r="B237" s="1" t="inlineStr">
        <is>
          <t>Pepper, greenhouse</t>
        </is>
      </c>
      <c r="C237" s="154" t="n">
        <v>0</v>
      </c>
      <c r="D237" s="154" t="e">
        <v>#DIV/0!</v>
      </c>
      <c r="E237" s="154" t="n">
        <v>0</v>
      </c>
      <c r="F237" s="154" t="n">
        <v>0</v>
      </c>
      <c r="G237" s="154" t="e">
        <v>#DIV/0!</v>
      </c>
      <c r="H237" s="154" t="n">
        <v>0</v>
      </c>
      <c r="I237" s="154" t="e">
        <v>#DIV/0!</v>
      </c>
      <c r="J237" s="154" t="n">
        <v>0</v>
      </c>
      <c r="K237" s="154" t="n">
        <v>0</v>
      </c>
      <c r="L237" s="154" t="e">
        <v>#DIV/0!</v>
      </c>
      <c r="M237" s="154" t="n">
        <v>1</v>
      </c>
      <c r="N237" s="154" t="n">
        <v>0.9155</v>
      </c>
      <c r="O237" s="154" t="n">
        <v>0.9155</v>
      </c>
      <c r="P237" s="154" t="n">
        <v>0.9155</v>
      </c>
      <c r="Q237" s="154" t="e">
        <v>#DIV/0!</v>
      </c>
    </row>
    <row r="238" ht="15.75" customHeight="1" s="201">
      <c r="B238" s="1" t="inlineStr">
        <is>
          <t>pepper, nonbell</t>
        </is>
      </c>
      <c r="C238" s="154" t="n">
        <v>1</v>
      </c>
      <c r="D238" s="154" t="n">
        <v>0.66</v>
      </c>
      <c r="E238" s="154" t="n">
        <v>0.66</v>
      </c>
      <c r="F238" s="154" t="n">
        <v>0.66</v>
      </c>
      <c r="G238" s="154" t="e">
        <v>#DIV/0!</v>
      </c>
      <c r="H238" s="154" t="n">
        <v>0</v>
      </c>
      <c r="I238" s="154" t="e">
        <v>#DIV/0!</v>
      </c>
      <c r="J238" s="154" t="n">
        <v>0</v>
      </c>
      <c r="K238" s="154" t="n">
        <v>0</v>
      </c>
      <c r="L238" s="154" t="e">
        <v>#DIV/0!</v>
      </c>
      <c r="M238" s="154" t="n"/>
      <c r="N238" s="154" t="n"/>
      <c r="O238" s="154" t="n"/>
      <c r="P238" s="154" t="n"/>
      <c r="Q238" s="154" t="n"/>
    </row>
    <row r="239" ht="15.75" customHeight="1" s="201">
      <c r="B239" s="1" t="inlineStr">
        <is>
          <t>Potato, Flour</t>
        </is>
      </c>
      <c r="C239" s="154" t="n">
        <v>1</v>
      </c>
      <c r="D239" s="154" t="n">
        <v>0.3828</v>
      </c>
      <c r="E239" s="154" t="n">
        <v>0.3828</v>
      </c>
      <c r="F239" s="154" t="n">
        <v>0.3828</v>
      </c>
      <c r="G239" s="154" t="e">
        <v>#DIV/0!</v>
      </c>
      <c r="H239" s="154" t="n">
        <v>2</v>
      </c>
      <c r="I239" s="154" t="n">
        <v>0.9525146449999999</v>
      </c>
      <c r="J239" s="154" t="n">
        <v>0.93291894</v>
      </c>
      <c r="K239" s="154" t="n">
        <v>0.97211035</v>
      </c>
      <c r="L239" s="154" t="n">
        <v>0.02771251177526626</v>
      </c>
      <c r="M239" s="154" t="n">
        <v>3</v>
      </c>
      <c r="N239" s="154" t="n">
        <v>0.8550097633333333</v>
      </c>
      <c r="O239" s="154" t="n">
        <v>0.66</v>
      </c>
      <c r="P239" s="154" t="n">
        <v>0.97211035</v>
      </c>
      <c r="Q239" s="154" t="n">
        <v>0.1700164624409616</v>
      </c>
    </row>
    <row r="240" ht="15.75" customHeight="1" s="201">
      <c r="B240" s="1" t="inlineStr">
        <is>
          <t>Potato, tuber, w/o peel</t>
        </is>
      </c>
      <c r="C240" s="154" t="n">
        <v>2</v>
      </c>
      <c r="D240" s="154" t="n">
        <v>0.1625</v>
      </c>
      <c r="E240" s="154" t="n">
        <v>0.151</v>
      </c>
      <c r="F240" s="154" t="n">
        <v>0.174</v>
      </c>
      <c r="G240" s="154" t="n">
        <v>0.01626345596729105</v>
      </c>
      <c r="H240" s="154" t="n">
        <v>2</v>
      </c>
      <c r="I240" s="154" t="n">
        <v>0.1895</v>
      </c>
      <c r="J240" s="154" t="n">
        <v>0.178</v>
      </c>
      <c r="K240" s="154" t="n">
        <v>0.201</v>
      </c>
      <c r="L240" s="154" t="n">
        <v>0.01626345596729019</v>
      </c>
      <c r="M240" s="154" t="n">
        <v>2</v>
      </c>
      <c r="N240" s="154" t="n">
        <v>0.2545</v>
      </c>
      <c r="O240" s="154" t="n">
        <v>0.247</v>
      </c>
      <c r="P240" s="154" t="n">
        <v>0.262</v>
      </c>
      <c r="Q240" s="154" t="n">
        <v>0.01060660171779894</v>
      </c>
    </row>
    <row r="241" ht="15.75" customHeight="1" s="201">
      <c r="B241" s="1" t="inlineStr">
        <is>
          <t>Potato, tuber, w/peel</t>
        </is>
      </c>
      <c r="C241" s="154" t="n">
        <v>17</v>
      </c>
      <c r="D241" s="154" t="n">
        <v>0.2174117647058824</v>
      </c>
      <c r="E241" s="154" t="n">
        <v>0.09</v>
      </c>
      <c r="F241" s="154" t="n">
        <v>0.518</v>
      </c>
      <c r="G241" s="154" t="n">
        <v>0.1181847382403547</v>
      </c>
      <c r="H241" s="154" t="n">
        <v>2</v>
      </c>
      <c r="I241" s="154" t="n">
        <v>0.998</v>
      </c>
      <c r="J241" s="154" t="n">
        <v>0.21</v>
      </c>
      <c r="K241" s="154" t="n">
        <v>1.786</v>
      </c>
      <c r="L241" s="154" t="n">
        <v>1.114400287149999</v>
      </c>
      <c r="M241" s="154" t="n">
        <v>9</v>
      </c>
      <c r="N241" s="154" t="n">
        <v>0.4947777777777778</v>
      </c>
      <c r="O241" s="154" t="n">
        <v>0.12</v>
      </c>
      <c r="P241" s="154" t="n">
        <v>2.072</v>
      </c>
      <c r="Q241" s="154" t="n">
        <v>0.6096047444405633</v>
      </c>
    </row>
    <row r="242" ht="15.75" customHeight="1" s="201">
      <c r="B242" s="1" t="inlineStr">
        <is>
          <t>Potatoes, mashed</t>
        </is>
      </c>
      <c r="C242" s="154" t="n">
        <v>2</v>
      </c>
      <c r="D242" s="154" t="n">
        <v>0.8919999999999999</v>
      </c>
      <c r="E242" s="154" t="n">
        <v>0.829</v>
      </c>
      <c r="F242" s="154" t="n">
        <v>0.955</v>
      </c>
      <c r="G242" s="154" t="n">
        <v>0.08909545442950624</v>
      </c>
      <c r="H242" s="154" t="n">
        <v>2</v>
      </c>
      <c r="I242" s="154" t="n">
        <v>2.839</v>
      </c>
      <c r="J242" s="154" t="n">
        <v>2.776</v>
      </c>
      <c r="K242" s="154" t="n">
        <v>2.902</v>
      </c>
      <c r="L242" s="154" t="n">
        <v>0.08909545442952119</v>
      </c>
      <c r="M242" s="154" t="n">
        <v>2</v>
      </c>
      <c r="N242" s="154" t="n">
        <v>3.1965</v>
      </c>
      <c r="O242" s="154" t="n">
        <v>3.192</v>
      </c>
      <c r="P242" s="154" t="n">
        <v>3.201</v>
      </c>
      <c r="Q242" s="154" t="n">
        <v>0.006363961030460771</v>
      </c>
    </row>
    <row r="243" ht="15.75" customHeight="1" s="201">
      <c r="B243" s="1" t="inlineStr">
        <is>
          <t>pumpkin</t>
        </is>
      </c>
      <c r="C243" s="154" t="n">
        <v>6</v>
      </c>
      <c r="D243" s="154" t="n">
        <v>0.1525</v>
      </c>
      <c r="E243" s="154" t="n">
        <v>0.0146</v>
      </c>
      <c r="F243" s="154" t="n">
        <v>0.63</v>
      </c>
      <c r="G243" s="154" t="n">
        <v>0.238902775203638</v>
      </c>
      <c r="H243" s="154" t="n">
        <v>0</v>
      </c>
      <c r="I243" s="154" t="e">
        <v>#DIV/0!</v>
      </c>
      <c r="J243" s="154" t="n">
        <v>0</v>
      </c>
      <c r="K243" s="154" t="n">
        <v>0</v>
      </c>
      <c r="L243" s="154" t="e">
        <v>#DIV/0!</v>
      </c>
      <c r="M243" s="154" t="n">
        <v>4</v>
      </c>
      <c r="N243" s="154" t="n">
        <v>0.419</v>
      </c>
      <c r="O243" s="154" t="n">
        <v>0.104</v>
      </c>
      <c r="P243" s="154" t="n">
        <v>0.6860000000000001</v>
      </c>
      <c r="Q243" s="154" t="n">
        <v>0.308195825193442</v>
      </c>
    </row>
    <row r="244" ht="15.75" customHeight="1" s="201">
      <c r="B244" s="1" t="inlineStr">
        <is>
          <t>Spinach</t>
        </is>
      </c>
      <c r="C244" s="154" t="n">
        <v>3</v>
      </c>
      <c r="D244" s="154" t="n">
        <v>0.2209314366666667</v>
      </c>
      <c r="E244" s="154" t="n">
        <v>0.13511647</v>
      </c>
      <c r="F244" s="154" t="n">
        <v>0.302</v>
      </c>
      <c r="G244" s="154" t="n">
        <v>0.08354294946174232</v>
      </c>
      <c r="H244" s="154" t="n">
        <v>0</v>
      </c>
      <c r="I244" s="154" t="e">
        <v>#DIV/0!</v>
      </c>
      <c r="J244" s="154" t="n">
        <v>0</v>
      </c>
      <c r="K244" s="154" t="n">
        <v>0</v>
      </c>
      <c r="L244" s="154" t="e">
        <v>#DIV/0!</v>
      </c>
      <c r="M244" s="154" t="n">
        <v>1</v>
      </c>
      <c r="N244" s="154" t="n">
        <v>0.13</v>
      </c>
      <c r="O244" s="154" t="n">
        <v>0.13</v>
      </c>
      <c r="P244" s="154" t="n">
        <v>0.13</v>
      </c>
      <c r="Q244" s="154" t="e">
        <v>#DIV/0!</v>
      </c>
    </row>
    <row r="245" ht="15.75" customHeight="1" s="201">
      <c r="B245" s="1" t="inlineStr">
        <is>
          <t>Squash, Summer</t>
        </is>
      </c>
      <c r="C245" s="154" t="n">
        <v>1</v>
      </c>
      <c r="D245" s="154" t="n">
        <v>1.17</v>
      </c>
      <c r="E245" s="154" t="n">
        <v>1.17</v>
      </c>
      <c r="F245" s="154" t="n">
        <v>1.17</v>
      </c>
      <c r="G245" s="154" t="e">
        <v>#DIV/0!</v>
      </c>
      <c r="H245" s="154" t="n">
        <v>0</v>
      </c>
      <c r="I245" s="154" t="e">
        <v>#DIV/0!</v>
      </c>
      <c r="J245" s="154" t="n">
        <v>0</v>
      </c>
      <c r="K245" s="154" t="n">
        <v>0</v>
      </c>
      <c r="L245" s="154" t="e">
        <v>#DIV/0!</v>
      </c>
      <c r="M245" s="154" t="n">
        <v>1</v>
      </c>
      <c r="N245" s="154" t="n">
        <v>0.3</v>
      </c>
      <c r="O245" s="154" t="n">
        <v>0.3</v>
      </c>
      <c r="P245" s="154" t="n">
        <v>0.3</v>
      </c>
      <c r="Q245" s="154" t="e">
        <v>#DIV/0!</v>
      </c>
    </row>
    <row r="246" ht="15.75" customHeight="1" s="201">
      <c r="B246" s="1" t="inlineStr">
        <is>
          <t>squash, winter</t>
        </is>
      </c>
      <c r="C246" s="154" t="n">
        <v>5</v>
      </c>
      <c r="D246" s="154" t="n">
        <v>0.0446</v>
      </c>
      <c r="E246" s="154" t="n">
        <v>0.0146</v>
      </c>
      <c r="F246" s="154" t="n">
        <v>0.09</v>
      </c>
      <c r="G246" s="154" t="n">
        <v>0.02766035068468945</v>
      </c>
      <c r="H246" s="154" t="n">
        <v>0</v>
      </c>
      <c r="I246" s="154" t="e">
        <v>#DIV/0!</v>
      </c>
      <c r="J246" s="154" t="n">
        <v>0</v>
      </c>
      <c r="K246" s="154" t="n">
        <v>0</v>
      </c>
      <c r="L246" s="154" t="e">
        <v>#DIV/0!</v>
      </c>
      <c r="M246" s="154" t="n">
        <v>4</v>
      </c>
      <c r="N246" s="154" t="n">
        <v>0.4518890750000001</v>
      </c>
      <c r="O246" s="154" t="n">
        <v>0.13905</v>
      </c>
      <c r="P246" s="154" t="n">
        <v>0.7156003</v>
      </c>
      <c r="Q246" s="154" t="n">
        <v>0.3042546507333768</v>
      </c>
    </row>
    <row r="247" ht="15.75" customHeight="1" s="201">
      <c r="B247" s="1" t="inlineStr">
        <is>
          <t>sweet corn</t>
        </is>
      </c>
      <c r="C247" s="154" t="n">
        <v>1</v>
      </c>
      <c r="D247" s="154" t="n">
        <v>1.38</v>
      </c>
      <c r="E247" s="154" t="n">
        <v>1.38</v>
      </c>
      <c r="F247" s="154" t="n">
        <v>1.38</v>
      </c>
      <c r="G247" s="154" t="e">
        <v>#DIV/0!</v>
      </c>
      <c r="H247" s="154" t="n">
        <v>0</v>
      </c>
      <c r="I247" s="154" t="e">
        <v>#DIV/0!</v>
      </c>
      <c r="J247" s="154" t="n">
        <v>0</v>
      </c>
      <c r="K247" s="154" t="n">
        <v>0</v>
      </c>
      <c r="L247" s="154" t="e">
        <v>#DIV/0!</v>
      </c>
      <c r="M247" s="154" t="n"/>
      <c r="N247" s="154" t="n"/>
      <c r="O247" s="154" t="n"/>
      <c r="P247" s="154" t="n"/>
      <c r="Q247" s="154" t="n"/>
    </row>
    <row r="248" ht="15.75" customHeight="1" s="201">
      <c r="B248" s="1" t="inlineStr">
        <is>
          <t>Tomato</t>
        </is>
      </c>
      <c r="C248" s="154" t="n">
        <v>25</v>
      </c>
      <c r="D248" s="154" t="n">
        <v>0.4276125714285714</v>
      </c>
      <c r="E248" s="154" t="n">
        <v>0.021</v>
      </c>
      <c r="F248" s="154" t="n">
        <v>5.59</v>
      </c>
      <c r="G248" s="154" t="n">
        <v>1.081021833527917</v>
      </c>
      <c r="H248" s="154" t="n">
        <v>5</v>
      </c>
      <c r="I248" s="154" t="n">
        <v>0.259677</v>
      </c>
      <c r="J248" s="154" t="n">
        <v>0.09040000000000001</v>
      </c>
      <c r="K248" s="154" t="n">
        <v>0.6850000000000001</v>
      </c>
      <c r="L248" s="154" t="n">
        <v>0.2441374728406109</v>
      </c>
      <c r="M248" s="154" t="n">
        <v>14</v>
      </c>
      <c r="N248" s="154" t="n">
        <v>0.879186057142857</v>
      </c>
      <c r="O248" s="154" t="n">
        <v>0.109</v>
      </c>
      <c r="P248" s="154" t="n">
        <v>6.154999999999999</v>
      </c>
      <c r="Q248" s="154" t="n">
        <v>1.540330071511615</v>
      </c>
    </row>
    <row r="249" ht="15.75" customHeight="1" s="201">
      <c r="B249" s="1" t="inlineStr">
        <is>
          <t>Tomato, chopped</t>
        </is>
      </c>
      <c r="C249" s="154" t="n">
        <v>4</v>
      </c>
      <c r="D249" s="154" t="n">
        <v>0.387275</v>
      </c>
      <c r="E249" s="154" t="n">
        <v>0.0893</v>
      </c>
      <c r="F249" s="154" t="n">
        <v>0.5505</v>
      </c>
      <c r="G249" s="154" t="n">
        <v>0.2037242314993482</v>
      </c>
      <c r="H249" s="154" t="n">
        <v>4</v>
      </c>
      <c r="I249" s="154" t="n">
        <v>0.5771250000000001</v>
      </c>
      <c r="J249" s="154" t="n">
        <v>0.0927</v>
      </c>
      <c r="K249" s="154" t="n">
        <v>0.8603000000000001</v>
      </c>
      <c r="L249" s="154" t="n">
        <v>0.3342189140368929</v>
      </c>
      <c r="M249" s="154" t="n">
        <v>6</v>
      </c>
      <c r="N249" s="154" t="n">
        <v>1.083233333333333</v>
      </c>
      <c r="O249" s="154" t="n">
        <v>0.4092</v>
      </c>
      <c r="P249" s="154" t="n">
        <v>1.6078</v>
      </c>
      <c r="Q249" s="154" t="n">
        <v>0.514211231564098</v>
      </c>
    </row>
    <row r="250" ht="15.75" customHeight="1" s="201">
      <c r="B250" s="1" t="inlineStr">
        <is>
          <t>Tomato, greenhouse</t>
        </is>
      </c>
      <c r="C250" s="154" t="n">
        <v>26</v>
      </c>
      <c r="D250" s="154" t="n">
        <v>3.400575307692308</v>
      </c>
      <c r="E250" s="154" t="n">
        <v>0.24493</v>
      </c>
      <c r="F250" s="154" t="n">
        <v>17.5</v>
      </c>
      <c r="G250" s="154" t="n">
        <v>4.048723200317323</v>
      </c>
      <c r="H250" s="154" t="n">
        <v>3</v>
      </c>
      <c r="I250" s="154" t="n">
        <v>0.9749949999999999</v>
      </c>
      <c r="J250" s="154" t="n">
        <v>0.8155600000000001</v>
      </c>
      <c r="K250" s="154" t="n">
        <v>1.292</v>
      </c>
      <c r="L250" s="154" t="n">
        <v>0.2745359668149147</v>
      </c>
      <c r="M250" s="154" t="n">
        <v>15</v>
      </c>
      <c r="N250" s="154" t="n">
        <v>2.051006986666666</v>
      </c>
      <c r="O250" s="154" t="n">
        <v>0.74</v>
      </c>
      <c r="P250" s="154" t="n">
        <v>4.14</v>
      </c>
      <c r="Q250" s="154" t="n">
        <v>1.139546269327909</v>
      </c>
    </row>
    <row r="251" ht="15.75" customHeight="1" s="201">
      <c r="B251" s="1" t="inlineStr">
        <is>
          <t>Tomato, juice</t>
        </is>
      </c>
      <c r="C251" s="154" t="n">
        <v>1</v>
      </c>
      <c r="D251" s="154" t="n">
        <v>0.0893</v>
      </c>
      <c r="E251" s="154" t="n">
        <v>0.0893</v>
      </c>
      <c r="F251" s="154" t="n">
        <v>0.0893</v>
      </c>
      <c r="G251" s="154" t="e">
        <v>#DIV/0!</v>
      </c>
      <c r="H251" s="154" t="n">
        <v>1</v>
      </c>
      <c r="I251" s="154" t="n">
        <v>0.1002</v>
      </c>
      <c r="J251" s="154" t="n">
        <v>0.1002</v>
      </c>
      <c r="K251" s="154" t="n">
        <v>0.1002</v>
      </c>
      <c r="L251" s="154" t="e">
        <v>#DIV/0!</v>
      </c>
      <c r="M251" s="154" t="n">
        <v>1</v>
      </c>
      <c r="N251" s="154" t="n">
        <v>0.5727</v>
      </c>
      <c r="O251" s="154" t="n">
        <v>0.5727</v>
      </c>
      <c r="P251" s="154" t="n">
        <v>0.5727</v>
      </c>
      <c r="Q251" s="154" t="e">
        <v>#DIV/0!</v>
      </c>
    </row>
    <row r="252" ht="15.75" customHeight="1" s="201">
      <c r="B252" s="1" t="inlineStr">
        <is>
          <t>Tomato, paste</t>
        </is>
      </c>
      <c r="C252" s="154" t="n">
        <v>1</v>
      </c>
      <c r="D252" s="154" t="n">
        <v>0.0893</v>
      </c>
      <c r="E252" s="154" t="n">
        <v>0.0893</v>
      </c>
      <c r="F252" s="154" t="n">
        <v>0.0893</v>
      </c>
      <c r="G252" s="154" t="e">
        <v>#DIV/0!</v>
      </c>
      <c r="H252" s="154" t="n">
        <v>1</v>
      </c>
      <c r="I252" s="154" t="n">
        <v>0.1184</v>
      </c>
      <c r="J252" s="154" t="n">
        <v>0.1184</v>
      </c>
      <c r="K252" s="154" t="n">
        <v>0.1184</v>
      </c>
      <c r="L252" s="154" t="e">
        <v>#DIV/0!</v>
      </c>
      <c r="M252" s="154" t="n">
        <v>3</v>
      </c>
      <c r="N252" s="154" t="n">
        <v>1.037533333333333</v>
      </c>
      <c r="O252" s="154" t="n">
        <v>0.1826</v>
      </c>
      <c r="P252" s="154" t="n">
        <v>1.5</v>
      </c>
      <c r="Q252" s="154" t="n">
        <v>0.7412207858211571</v>
      </c>
    </row>
    <row r="253" ht="15.75" customHeight="1" s="201">
      <c r="B253" s="1" t="inlineStr">
        <is>
          <t>Tomato, peeled</t>
        </is>
      </c>
      <c r="C253" s="154" t="n">
        <v>5</v>
      </c>
      <c r="D253" s="154" t="n">
        <v>0.2846799999999999</v>
      </c>
      <c r="E253" s="154" t="n">
        <v>0.08500000000000002</v>
      </c>
      <c r="F253" s="154" t="n">
        <v>0.4387</v>
      </c>
      <c r="G253" s="154" t="n">
        <v>0.1808436811171462</v>
      </c>
      <c r="H253" s="154" t="n">
        <v>5</v>
      </c>
      <c r="I253" s="154" t="n">
        <v>0.4588599999999999</v>
      </c>
      <c r="J253" s="154" t="n">
        <v>0.0927</v>
      </c>
      <c r="K253" s="154" t="n">
        <v>0.6665</v>
      </c>
      <c r="L253" s="154" t="n">
        <v>0.2714179857710246</v>
      </c>
      <c r="M253" s="154" t="n">
        <v>5</v>
      </c>
      <c r="N253" s="154" t="n">
        <v>1.03492</v>
      </c>
      <c r="O253" s="154" t="n">
        <v>0.4092</v>
      </c>
      <c r="P253" s="154" t="n">
        <v>1.3321</v>
      </c>
      <c r="Q253" s="154" t="n">
        <v>0.3983882114219746</v>
      </c>
    </row>
    <row r="254" ht="15.75" customHeight="1" s="201">
      <c r="B254" s="1" t="inlineStr">
        <is>
          <t>Tomato, puree</t>
        </is>
      </c>
      <c r="C254" s="154" t="n">
        <v>10</v>
      </c>
      <c r="D254" s="154" t="n">
        <v>0.4139071428571429</v>
      </c>
      <c r="E254" s="154" t="n">
        <v>0.051</v>
      </c>
      <c r="F254" s="154" t="n">
        <v>0.5924</v>
      </c>
      <c r="G254" s="154" t="n">
        <v>0.2104219740827245</v>
      </c>
      <c r="H254" s="154" t="n">
        <v>10</v>
      </c>
      <c r="I254" s="154" t="n">
        <v>1.147485714285714</v>
      </c>
      <c r="J254" s="154" t="n">
        <v>0.4128571428571429</v>
      </c>
      <c r="K254" s="154" t="n">
        <v>2.731</v>
      </c>
      <c r="L254" s="154" t="n">
        <v>0.7643459059519967</v>
      </c>
      <c r="M254" s="154" t="n">
        <v>10</v>
      </c>
      <c r="N254" s="154" t="n">
        <v>1.518595714285714</v>
      </c>
      <c r="O254" s="154" t="n">
        <v>0.962857142857143</v>
      </c>
      <c r="P254" s="154" t="n">
        <v>3.06</v>
      </c>
      <c r="Q254" s="154" t="n">
        <v>0.7537685301265042</v>
      </c>
    </row>
    <row r="255" ht="15.75" customHeight="1" s="201">
      <c r="B255" s="1" t="inlineStr">
        <is>
          <t>Turnip, roots</t>
        </is>
      </c>
      <c r="C255" s="154" t="n">
        <v>2</v>
      </c>
      <c r="D255" s="154" t="n">
        <v>0.405</v>
      </c>
      <c r="E255" s="154" t="n">
        <v>0.35</v>
      </c>
      <c r="F255" s="154" t="n">
        <v>0.46</v>
      </c>
      <c r="G255" s="154" t="n">
        <v>0.07778174593051987</v>
      </c>
      <c r="H255" s="154" t="n">
        <v>0</v>
      </c>
      <c r="I255" s="154" t="e">
        <v>#DIV/0!</v>
      </c>
      <c r="J255" s="154" t="n">
        <v>0</v>
      </c>
      <c r="K255" s="154" t="n">
        <v>0</v>
      </c>
      <c r="L255" s="154" t="e">
        <v>#DIV/0!</v>
      </c>
      <c r="M255" s="154" t="n"/>
      <c r="N255" s="154" t="n"/>
      <c r="O255" s="154" t="n"/>
      <c r="P255" s="154" t="n"/>
      <c r="Q255" s="154" t="n"/>
    </row>
    <row r="256" ht="15.75" customHeight="1" s="201">
      <c r="B256" s="1" t="inlineStr">
        <is>
          <t>x_Lettuce</t>
        </is>
      </c>
      <c r="C256" s="154" t="n">
        <v>1</v>
      </c>
      <c r="D256" s="154" t="n">
        <v>2.297101449275362</v>
      </c>
      <c r="E256" s="154" t="n">
        <v>2.297101449275362</v>
      </c>
      <c r="F256" s="154" t="n">
        <v>2.297101449275362</v>
      </c>
      <c r="G256" s="154" t="e">
        <v>#DIV/0!</v>
      </c>
      <c r="H256" s="154" t="n">
        <v>1</v>
      </c>
      <c r="I256" s="154" t="n">
        <v>2.413043478260869</v>
      </c>
      <c r="J256" s="154" t="n">
        <v>2.413043478260869</v>
      </c>
      <c r="K256" s="154" t="n">
        <v>2.413043478260869</v>
      </c>
      <c r="L256" s="154" t="e">
        <v>#DIV/0!</v>
      </c>
      <c r="M256" s="154" t="n">
        <v>1</v>
      </c>
      <c r="N256" s="154" t="n">
        <v>3.760869565217392</v>
      </c>
      <c r="O256" s="154" t="n">
        <v>3.760869565217392</v>
      </c>
      <c r="P256" s="154" t="n">
        <v>3.760869565217392</v>
      </c>
      <c r="Q256" s="154" t="e">
        <v>#DIV/0!</v>
      </c>
    </row>
    <row r="257" ht="15.75" customHeight="1" s="201">
      <c r="B257" s="1" t="inlineStr">
        <is>
          <t>Yam, true</t>
        </is>
      </c>
      <c r="C257" s="154" t="n">
        <v>1</v>
      </c>
      <c r="D257" s="154" t="n">
        <v>0.88</v>
      </c>
      <c r="E257" s="154" t="n">
        <v>0.88</v>
      </c>
      <c r="F257" s="154" t="n">
        <v>0.88</v>
      </c>
      <c r="G257" s="154" t="e">
        <v>#DIV/0!</v>
      </c>
      <c r="H257" s="154" t="n">
        <v>0</v>
      </c>
      <c r="I257" s="154" t="e">
        <v>#DIV/0!</v>
      </c>
      <c r="J257" s="154" t="n">
        <v>0</v>
      </c>
      <c r="K257" s="154" t="n">
        <v>0</v>
      </c>
      <c r="L257" s="154" t="e">
        <v>#DIV/0!</v>
      </c>
      <c r="M257" s="154" t="n"/>
      <c r="N257" s="154" t="n"/>
      <c r="O257" s="154" t="n"/>
      <c r="P257" s="154" t="n"/>
      <c r="Q257" s="154" t="n"/>
    </row>
    <row r="258" ht="15.75" customHeight="1" s="201">
      <c r="B258" s="1" t="inlineStr">
        <is>
          <t>zucchini</t>
        </is>
      </c>
      <c r="C258" s="154" t="n">
        <v>1</v>
      </c>
      <c r="D258" s="154" t="n">
        <v>2.21561251</v>
      </c>
      <c r="E258" s="154" t="n">
        <v>2.21561251</v>
      </c>
      <c r="F258" s="154" t="n">
        <v>2.21561251</v>
      </c>
      <c r="G258" s="154" t="e">
        <v>#DIV/0!</v>
      </c>
      <c r="H258" s="154" t="n">
        <v>0</v>
      </c>
      <c r="I258" s="154" t="e">
        <v>#DIV/0!</v>
      </c>
      <c r="J258" s="154" t="n">
        <v>0</v>
      </c>
      <c r="K258" s="154" t="n">
        <v>0</v>
      </c>
      <c r="L258" s="154" t="e">
        <v>#DIV/0!</v>
      </c>
      <c r="M258" s="154" t="n"/>
      <c r="N258" s="154" t="n"/>
      <c r="O258" s="154" t="n"/>
      <c r="P258" s="154" t="n"/>
      <c r="Q258" s="154" t="n"/>
    </row>
    <row r="259" ht="15.75" customHeight="1" s="201">
      <c r="B259" s="1" t="inlineStr">
        <is>
          <t>Zucchini, greenhouse</t>
        </is>
      </c>
      <c r="C259" s="154" t="n">
        <v>0</v>
      </c>
      <c r="D259" s="154" t="e">
        <v>#DIV/0!</v>
      </c>
      <c r="E259" s="154" t="n">
        <v>0</v>
      </c>
      <c r="F259" s="154" t="n">
        <v>0</v>
      </c>
      <c r="G259" s="154" t="e">
        <v>#DIV/0!</v>
      </c>
      <c r="H259" s="154" t="n">
        <v>0</v>
      </c>
      <c r="I259" s="154" t="e">
        <v>#DIV/0!</v>
      </c>
      <c r="J259" s="154" t="n">
        <v>0</v>
      </c>
      <c r="K259" s="154" t="n">
        <v>0</v>
      </c>
      <c r="L259" s="154" t="e">
        <v>#DIV/0!</v>
      </c>
      <c r="M259" s="154" t="n">
        <v>1</v>
      </c>
      <c r="N259" s="154" t="n">
        <v>1.571</v>
      </c>
      <c r="O259" s="154" t="n">
        <v>1.571</v>
      </c>
      <c r="P259" s="154" t="n">
        <v>1.571</v>
      </c>
      <c r="Q259" s="154" t="e">
        <v>#DIV/0!</v>
      </c>
    </row>
    <row r="260" ht="15.75" customHeight="1" s="201">
      <c r="A260" s="163" t="inlineStr">
        <is>
          <t>Vegetables Total</t>
        </is>
      </c>
      <c r="B260" s="163" t="n"/>
      <c r="C260" s="164" t="n">
        <v>243</v>
      </c>
      <c r="D260" s="164" t="n">
        <v>0.8408038769391156</v>
      </c>
      <c r="E260" s="164" t="n">
        <v>0.0146</v>
      </c>
      <c r="F260" s="164" t="n">
        <v>17.5</v>
      </c>
      <c r="G260" s="164" t="n">
        <v>1.806840417208413</v>
      </c>
      <c r="H260" s="164" t="n">
        <v>61</v>
      </c>
      <c r="I260" s="164" t="n">
        <v>0.8095036465282613</v>
      </c>
      <c r="J260" s="164" t="n">
        <v>0.09040000000000001</v>
      </c>
      <c r="K260" s="164" t="n">
        <v>2.9975</v>
      </c>
      <c r="L260" s="164" t="n">
        <v>0.7871722552731486</v>
      </c>
      <c r="M260" s="164" t="n">
        <v>136</v>
      </c>
      <c r="N260" s="164" t="n">
        <v>1.526949991756558</v>
      </c>
      <c r="O260" s="164" t="n">
        <v>0.004</v>
      </c>
      <c r="P260" s="164" t="n">
        <v>11.421</v>
      </c>
      <c r="Q260" s="164" t="n">
        <v>2.194674701460228</v>
      </c>
    </row>
    <row r="261" ht="15.75" customHeight="1" s="201">
      <c r="A261" s="1" t="inlineStr">
        <is>
          <t>(blank)</t>
        </is>
      </c>
      <c r="B261" s="1" t="inlineStr">
        <is>
          <t>(blank)</t>
        </is>
      </c>
      <c r="C261" s="154" t="n"/>
      <c r="D261" s="154" t="n"/>
      <c r="E261" s="154" t="n"/>
      <c r="F261" s="154" t="n"/>
      <c r="G261" s="154" t="n"/>
      <c r="H261" s="154" t="n"/>
      <c r="I261" s="154" t="n"/>
      <c r="J261" s="154" t="n"/>
      <c r="K261" s="154" t="n"/>
      <c r="L261" s="154" t="n"/>
      <c r="M261" s="154" t="n"/>
      <c r="N261" s="154" t="n"/>
      <c r="O261" s="154" t="n"/>
      <c r="P261" s="154" t="n"/>
      <c r="Q261" s="154" t="n"/>
    </row>
    <row r="262" ht="15.75" customHeight="1" s="201">
      <c r="A262" s="1" t="inlineStr">
        <is>
          <t>(blank) Total</t>
        </is>
      </c>
      <c r="C262" s="154" t="n"/>
      <c r="D262" s="154" t="n"/>
      <c r="E262" s="154" t="n"/>
      <c r="F262" s="154" t="n"/>
      <c r="G262" s="154" t="n"/>
      <c r="H262" s="154" t="n"/>
      <c r="I262" s="154" t="n"/>
      <c r="J262" s="154" t="n"/>
      <c r="K262" s="154" t="n"/>
      <c r="L262" s="154" t="n"/>
      <c r="M262" s="154" t="n"/>
      <c r="N262" s="154" t="n"/>
      <c r="O262" s="154" t="n"/>
      <c r="P262" s="154" t="n"/>
      <c r="Q262" s="154" t="n"/>
    </row>
    <row r="263" ht="15.75" customHeight="1" s="201">
      <c r="A263" s="1" t="inlineStr">
        <is>
          <t>Grand Total</t>
        </is>
      </c>
      <c r="C263" s="154" t="n">
        <v>1256</v>
      </c>
      <c r="D263" s="154" t="n">
        <v>5.221798493279916</v>
      </c>
      <c r="E263" s="154" t="n">
        <v>-0.01</v>
      </c>
      <c r="F263" s="154" t="n">
        <v>166.7173252279635</v>
      </c>
      <c r="G263" s="154" t="n">
        <v>11.98656927741314</v>
      </c>
      <c r="H263" s="154" t="n">
        <v>446</v>
      </c>
      <c r="I263" s="154" t="n">
        <v>3.290221925529442</v>
      </c>
      <c r="J263" s="154" t="n">
        <v>0.0002791957245907926</v>
      </c>
      <c r="K263" s="154" t="n">
        <v>58.44</v>
      </c>
      <c r="L263" s="154" t="n">
        <v>7.100441932086059</v>
      </c>
      <c r="M263" s="154" t="n">
        <v>841</v>
      </c>
      <c r="N263" s="154" t="n">
        <v>4.816687142864164</v>
      </c>
      <c r="O263" s="154" t="n">
        <v>-3.434782608695652</v>
      </c>
      <c r="P263" s="154" t="n">
        <v>118.62548</v>
      </c>
      <c r="Q263" s="154" t="n">
        <v>10.06832441994002</v>
      </c>
    </row>
    <row r="264" ht="15.75" customHeight="1" s="201"/>
    <row r="265" ht="15.75" customHeight="1" s="201"/>
    <row r="266" ht="15.75" customHeight="1" s="201"/>
    <row r="267" ht="15.75" customHeight="1" s="201"/>
    <row r="268" ht="15.75" customHeight="1" s="201"/>
    <row r="269" ht="15.75" customHeight="1" s="201"/>
    <row r="270" ht="15.75" customHeight="1" s="201"/>
    <row r="271" ht="15.75" customHeight="1" s="201"/>
    <row r="272" ht="15.75" customHeight="1" s="201"/>
    <row r="273" ht="15.75" customHeight="1" s="201">
      <c r="B273" s="154" t="n"/>
      <c r="C273" s="154" t="n"/>
      <c r="D273" s="154" t="n"/>
      <c r="E273" s="154" t="n"/>
      <c r="F273" s="154" t="n"/>
      <c r="G273" s="154" t="n"/>
      <c r="H273" s="154" t="n"/>
      <c r="I273" s="154" t="n"/>
      <c r="J273" s="154" t="n"/>
      <c r="K273" s="154" t="n"/>
    </row>
    <row r="274" ht="15.75" customHeight="1" s="201">
      <c r="B274" s="154" t="n"/>
      <c r="C274" s="154" t="n"/>
      <c r="D274" s="154" t="n"/>
      <c r="E274" s="154" t="n"/>
      <c r="F274" s="154" t="n"/>
      <c r="G274" s="154" t="n"/>
      <c r="H274" s="154" t="n"/>
      <c r="I274" s="154" t="n"/>
      <c r="J274" s="154" t="n"/>
      <c r="K274" s="154" t="n"/>
    </row>
    <row r="275" ht="15.75" customHeight="1" s="201">
      <c r="B275" s="154" t="n"/>
      <c r="C275" s="154" t="n"/>
      <c r="D275" s="154" t="n"/>
      <c r="E275" s="154" t="n"/>
      <c r="F275" s="154" t="n"/>
      <c r="G275" s="154" t="n"/>
      <c r="H275" s="154" t="n"/>
      <c r="I275" s="154" t="n"/>
      <c r="J275" s="154" t="n"/>
      <c r="K275" s="154" t="n"/>
    </row>
    <row r="276" ht="15.75" customHeight="1" s="201">
      <c r="B276" s="154" t="n"/>
      <c r="C276" s="154" t="n"/>
      <c r="D276" s="154" t="n"/>
      <c r="E276" s="154" t="n"/>
      <c r="F276" s="154" t="n"/>
      <c r="G276" s="154" t="n"/>
      <c r="H276" s="154" t="n"/>
      <c r="I276" s="154" t="n"/>
      <c r="J276" s="154" t="n"/>
      <c r="K276" s="154" t="n"/>
    </row>
    <row r="277" ht="15.75" customHeight="1" s="201">
      <c r="B277" s="154" t="n"/>
      <c r="C277" s="154" t="n"/>
      <c r="D277" s="154" t="n"/>
      <c r="E277" s="154" t="n"/>
      <c r="F277" s="154" t="n"/>
      <c r="G277" s="154" t="n"/>
      <c r="H277" s="154" t="n"/>
      <c r="I277" s="154" t="n"/>
      <c r="J277" s="154" t="n"/>
      <c r="K277" s="154" t="n"/>
    </row>
    <row r="278" ht="15.75" customHeight="1" s="201">
      <c r="B278" s="154" t="n"/>
      <c r="C278" s="154" t="n"/>
      <c r="D278" s="154" t="n"/>
      <c r="E278" s="154" t="n"/>
      <c r="F278" s="154" t="n"/>
      <c r="G278" s="154" t="n"/>
      <c r="H278" s="154" t="n"/>
      <c r="I278" s="154" t="n"/>
      <c r="J278" s="154" t="n"/>
      <c r="K278" s="154" t="n"/>
    </row>
    <row r="279" ht="15.75" customHeight="1" s="201">
      <c r="B279" s="154" t="n"/>
      <c r="C279" s="154" t="n"/>
      <c r="D279" s="154" t="n"/>
      <c r="E279" s="154" t="n"/>
      <c r="F279" s="154" t="n"/>
      <c r="G279" s="154" t="n"/>
      <c r="H279" s="154" t="n"/>
      <c r="I279" s="154" t="n"/>
      <c r="J279" s="154" t="n"/>
      <c r="K279" s="154" t="n"/>
    </row>
    <row r="280" ht="15.75" customHeight="1" s="201">
      <c r="B280" s="154" t="n"/>
      <c r="C280" s="154" t="n"/>
      <c r="D280" s="154" t="n"/>
      <c r="E280" s="154" t="n"/>
      <c r="F280" s="154" t="n"/>
      <c r="G280" s="154" t="n"/>
      <c r="H280" s="154" t="n"/>
      <c r="I280" s="154" t="n"/>
      <c r="J280" s="154" t="n"/>
      <c r="K280" s="154" t="n"/>
    </row>
    <row r="281" ht="15.75" customHeight="1" s="201">
      <c r="B281" s="154" t="n"/>
      <c r="C281" s="154" t="n"/>
      <c r="D281" s="154" t="n"/>
      <c r="E281" s="154" t="n"/>
      <c r="F281" s="154" t="n"/>
      <c r="G281" s="154" t="n"/>
      <c r="H281" s="154" t="n"/>
      <c r="I281" s="154" t="n"/>
      <c r="J281" s="154" t="n"/>
      <c r="K281" s="154" t="n"/>
    </row>
    <row r="282" ht="15.75" customHeight="1" s="201">
      <c r="B282" s="154" t="n"/>
      <c r="C282" s="154" t="n"/>
      <c r="D282" s="154" t="n"/>
      <c r="E282" s="154" t="n"/>
      <c r="F282" s="154" t="n"/>
      <c r="G282" s="154" t="n"/>
      <c r="H282" s="154" t="n"/>
      <c r="I282" s="154" t="n"/>
      <c r="J282" s="154" t="n"/>
      <c r="K282" s="154" t="n"/>
    </row>
    <row r="283" ht="15.75" customHeight="1" s="201">
      <c r="B283" s="154" t="n"/>
      <c r="C283" s="154" t="n"/>
      <c r="D283" s="154" t="n"/>
      <c r="E283" s="154" t="n"/>
      <c r="F283" s="154" t="n"/>
      <c r="G283" s="154" t="n"/>
      <c r="H283" s="154" t="n"/>
      <c r="I283" s="154" t="n"/>
      <c r="J283" s="154" t="n"/>
      <c r="K283" s="154" t="n"/>
    </row>
    <row r="284" ht="15.75" customHeight="1" s="201">
      <c r="B284" s="154" t="n"/>
      <c r="C284" s="154" t="n"/>
      <c r="D284" s="154" t="n"/>
      <c r="E284" s="154" t="n"/>
      <c r="F284" s="154" t="n"/>
      <c r="G284" s="154" t="n"/>
      <c r="H284" s="154" t="n"/>
      <c r="I284" s="154" t="n"/>
      <c r="J284" s="154" t="n"/>
      <c r="K284" s="154" t="n"/>
    </row>
    <row r="285" ht="15.75" customHeight="1" s="201">
      <c r="B285" s="154" t="n"/>
      <c r="C285" s="154" t="n"/>
      <c r="D285" s="154" t="n"/>
      <c r="E285" s="154" t="n"/>
      <c r="F285" s="154" t="n"/>
      <c r="G285" s="154" t="n"/>
      <c r="H285" s="154" t="n"/>
      <c r="I285" s="154" t="n"/>
      <c r="J285" s="154" t="n"/>
      <c r="K285" s="154" t="n"/>
    </row>
    <row r="286" ht="15.75" customHeight="1" s="201">
      <c r="B286" s="154" t="n"/>
      <c r="C286" s="154" t="n"/>
      <c r="D286" s="154" t="n"/>
      <c r="E286" s="154" t="n"/>
      <c r="F286" s="154" t="n"/>
      <c r="G286" s="154" t="n"/>
      <c r="H286" s="154" t="n"/>
      <c r="I286" s="154" t="n"/>
      <c r="J286" s="154" t="n"/>
      <c r="K286" s="154" t="n"/>
    </row>
    <row r="287" ht="15.75" customHeight="1" s="201">
      <c r="B287" s="154" t="n"/>
      <c r="C287" s="154" t="n"/>
      <c r="D287" s="154" t="n"/>
      <c r="E287" s="154" t="n"/>
      <c r="F287" s="154" t="n"/>
      <c r="G287" s="154" t="n"/>
      <c r="H287" s="154" t="n"/>
      <c r="I287" s="154" t="n"/>
      <c r="J287" s="154" t="n"/>
      <c r="K287" s="154" t="n"/>
    </row>
    <row r="288" ht="15.75" customHeight="1" s="201">
      <c r="B288" s="154" t="n"/>
      <c r="C288" s="154" t="n"/>
      <c r="D288" s="154" t="n"/>
      <c r="E288" s="154" t="n"/>
      <c r="F288" s="154" t="n"/>
      <c r="G288" s="154" t="n"/>
      <c r="H288" s="154" t="n"/>
      <c r="I288" s="154" t="n"/>
      <c r="J288" s="154" t="n"/>
      <c r="K288" s="154" t="n"/>
    </row>
    <row r="289" ht="15.75" customHeight="1" s="201">
      <c r="B289" s="154" t="n"/>
      <c r="C289" s="154" t="n"/>
      <c r="D289" s="154" t="n"/>
      <c r="E289" s="154" t="n"/>
      <c r="F289" s="154" t="n"/>
      <c r="G289" s="154" t="n"/>
      <c r="H289" s="154" t="n"/>
      <c r="I289" s="154" t="n"/>
      <c r="J289" s="154" t="n"/>
      <c r="K289" s="154" t="n"/>
    </row>
    <row r="290" ht="15.75" customHeight="1" s="201">
      <c r="B290" s="154" t="n"/>
      <c r="C290" s="154" t="n"/>
      <c r="D290" s="154" t="n"/>
      <c r="E290" s="154" t="n"/>
      <c r="F290" s="154" t="n"/>
      <c r="G290" s="154" t="n"/>
      <c r="H290" s="154" t="n"/>
      <c r="I290" s="154" t="n"/>
      <c r="J290" s="154" t="n"/>
      <c r="K290" s="154" t="n"/>
    </row>
    <row r="291" ht="15.75" customHeight="1" s="201">
      <c r="B291" s="154" t="n"/>
      <c r="C291" s="154" t="n"/>
      <c r="D291" s="154" t="n"/>
      <c r="E291" s="154" t="n"/>
      <c r="F291" s="154" t="n"/>
      <c r="G291" s="154" t="n"/>
      <c r="H291" s="154" t="n"/>
      <c r="I291" s="154" t="n"/>
      <c r="J291" s="154" t="n"/>
      <c r="K291" s="154" t="n"/>
    </row>
    <row r="292" ht="15.75" customHeight="1" s="201">
      <c r="B292" s="154" t="n"/>
      <c r="C292" s="154" t="n"/>
      <c r="D292" s="154" t="n"/>
      <c r="E292" s="154" t="n"/>
      <c r="F292" s="154" t="n"/>
      <c r="G292" s="154" t="n"/>
      <c r="H292" s="154" t="n"/>
      <c r="I292" s="154" t="n"/>
      <c r="J292" s="154" t="n"/>
      <c r="K292" s="154" t="n"/>
    </row>
    <row r="293" ht="15.75" customHeight="1" s="201">
      <c r="B293" s="154" t="n"/>
      <c r="C293" s="154" t="n"/>
      <c r="D293" s="154" t="n"/>
      <c r="E293" s="154" t="n"/>
      <c r="F293" s="154" t="n"/>
      <c r="G293" s="154" t="n"/>
      <c r="H293" s="154" t="n"/>
      <c r="I293" s="154" t="n"/>
      <c r="J293" s="154" t="n"/>
      <c r="K293" s="154" t="n"/>
    </row>
    <row r="294" ht="15.75" customHeight="1" s="201">
      <c r="B294" s="154" t="n"/>
      <c r="C294" s="154" t="n"/>
      <c r="D294" s="154" t="n"/>
      <c r="E294" s="154" t="n"/>
      <c r="F294" s="154" t="n"/>
      <c r="G294" s="154" t="n"/>
      <c r="H294" s="154" t="n"/>
      <c r="I294" s="154" t="n"/>
      <c r="J294" s="154" t="n"/>
      <c r="K294" s="154" t="n"/>
    </row>
    <row r="295" ht="15.75" customHeight="1" s="201">
      <c r="B295" s="154" t="n"/>
      <c r="C295" s="154" t="n"/>
      <c r="D295" s="154" t="n"/>
      <c r="E295" s="154" t="n"/>
      <c r="F295" s="154" t="n"/>
      <c r="G295" s="154" t="n"/>
      <c r="H295" s="154" t="n"/>
      <c r="I295" s="154" t="n"/>
      <c r="J295" s="154" t="n"/>
      <c r="K295" s="154" t="n"/>
    </row>
    <row r="296" ht="15.75" customHeight="1" s="201">
      <c r="B296" s="154" t="n"/>
      <c r="C296" s="154" t="n"/>
      <c r="D296" s="154" t="n"/>
      <c r="E296" s="154" t="n"/>
      <c r="F296" s="154" t="n"/>
      <c r="G296" s="154" t="n"/>
      <c r="H296" s="154" t="n"/>
      <c r="I296" s="154" t="n"/>
      <c r="J296" s="154" t="n"/>
      <c r="K296" s="154" t="n"/>
    </row>
    <row r="297" ht="15.75" customHeight="1" s="201">
      <c r="B297" s="154" t="n"/>
      <c r="C297" s="154" t="n"/>
      <c r="D297" s="154" t="n"/>
      <c r="E297" s="154" t="n"/>
      <c r="F297" s="154" t="n"/>
      <c r="G297" s="154" t="n"/>
      <c r="H297" s="154" t="n"/>
      <c r="I297" s="154" t="n"/>
      <c r="J297" s="154" t="n"/>
      <c r="K297" s="154" t="n"/>
    </row>
    <row r="298" ht="15.75" customHeight="1" s="201">
      <c r="B298" s="154" t="n"/>
      <c r="C298" s="154" t="n"/>
      <c r="D298" s="154" t="n"/>
      <c r="E298" s="154" t="n"/>
      <c r="F298" s="154" t="n"/>
      <c r="G298" s="154" t="n"/>
      <c r="H298" s="154" t="n"/>
      <c r="I298" s="154" t="n"/>
      <c r="J298" s="154" t="n"/>
      <c r="K298" s="154" t="n"/>
    </row>
    <row r="299" ht="15.75" customHeight="1" s="201">
      <c r="B299" s="154" t="n"/>
      <c r="C299" s="154" t="n"/>
      <c r="D299" s="154" t="n"/>
      <c r="E299" s="154" t="n"/>
      <c r="F299" s="154" t="n"/>
      <c r="G299" s="154" t="n"/>
      <c r="H299" s="154" t="n"/>
      <c r="I299" s="154" t="n"/>
      <c r="J299" s="154" t="n"/>
      <c r="K299" s="154" t="n"/>
    </row>
    <row r="300" ht="15.75" customHeight="1" s="201">
      <c r="B300" s="154" t="n"/>
      <c r="C300" s="154" t="n"/>
      <c r="D300" s="154" t="n"/>
      <c r="E300" s="154" t="n"/>
      <c r="F300" s="154" t="n"/>
      <c r="G300" s="154" t="n"/>
      <c r="H300" s="154" t="n"/>
      <c r="I300" s="154" t="n"/>
      <c r="J300" s="154" t="n"/>
      <c r="K300" s="154" t="n"/>
    </row>
    <row r="301" ht="15.75" customHeight="1" s="201">
      <c r="B301" s="154" t="n"/>
      <c r="C301" s="154" t="n"/>
      <c r="D301" s="154" t="n"/>
      <c r="E301" s="154" t="n"/>
      <c r="F301" s="154" t="n"/>
      <c r="G301" s="154" t="n"/>
      <c r="H301" s="154" t="n"/>
      <c r="I301" s="154" t="n"/>
      <c r="J301" s="154" t="n"/>
      <c r="K301" s="154" t="n"/>
    </row>
    <row r="302" ht="15.75" customHeight="1" s="201">
      <c r="B302" s="154" t="n"/>
      <c r="C302" s="154" t="n"/>
      <c r="D302" s="154" t="n"/>
      <c r="E302" s="154" t="n"/>
      <c r="F302" s="154" t="n"/>
      <c r="G302" s="154" t="n"/>
      <c r="H302" s="154" t="n"/>
      <c r="I302" s="154" t="n"/>
      <c r="J302" s="154" t="n"/>
      <c r="K302" s="154" t="n"/>
    </row>
    <row r="303" ht="15.75" customHeight="1" s="201">
      <c r="B303" s="154" t="n"/>
      <c r="C303" s="154" t="n"/>
      <c r="D303" s="154" t="n"/>
      <c r="E303" s="154" t="n"/>
      <c r="F303" s="154" t="n"/>
      <c r="G303" s="154" t="n"/>
      <c r="H303" s="154" t="n"/>
      <c r="I303" s="154" t="n"/>
      <c r="J303" s="154" t="n"/>
      <c r="K303" s="154" t="n"/>
    </row>
    <row r="304" ht="15.75" customHeight="1" s="201">
      <c r="B304" s="154" t="n"/>
      <c r="C304" s="154" t="n"/>
      <c r="D304" s="154" t="n"/>
      <c r="E304" s="154" t="n"/>
      <c r="F304" s="154" t="n"/>
      <c r="G304" s="154" t="n"/>
      <c r="H304" s="154" t="n"/>
      <c r="I304" s="154" t="n"/>
      <c r="J304" s="154" t="n"/>
      <c r="K304" s="154" t="n"/>
    </row>
    <row r="305" ht="15.75" customHeight="1" s="201">
      <c r="B305" s="154" t="n"/>
      <c r="C305" s="154" t="n"/>
      <c r="D305" s="154" t="n"/>
      <c r="E305" s="154" t="n"/>
      <c r="F305" s="154" t="n"/>
      <c r="G305" s="154" t="n"/>
      <c r="H305" s="154" t="n"/>
      <c r="I305" s="154" t="n"/>
      <c r="J305" s="154" t="n"/>
      <c r="K305" s="154" t="n"/>
    </row>
    <row r="306" ht="15.75" customHeight="1" s="201">
      <c r="B306" s="154" t="n"/>
      <c r="C306" s="154" t="n"/>
      <c r="D306" s="154" t="n"/>
      <c r="E306" s="154" t="n"/>
      <c r="F306" s="154" t="n"/>
      <c r="G306" s="154" t="n"/>
      <c r="H306" s="154" t="n"/>
      <c r="I306" s="154" t="n"/>
      <c r="J306" s="154" t="n"/>
      <c r="K306" s="154" t="n"/>
    </row>
    <row r="307" ht="15.75" customHeight="1" s="201">
      <c r="B307" s="154" t="n"/>
      <c r="C307" s="154" t="n"/>
      <c r="D307" s="154" t="n"/>
      <c r="E307" s="154" t="n"/>
      <c r="F307" s="154" t="n"/>
      <c r="G307" s="154" t="n"/>
      <c r="H307" s="154" t="n"/>
      <c r="I307" s="154" t="n"/>
      <c r="J307" s="154" t="n"/>
      <c r="K307" s="154" t="n"/>
    </row>
    <row r="308" ht="15.75" customHeight="1" s="201">
      <c r="B308" s="154" t="n"/>
      <c r="C308" s="154" t="n"/>
      <c r="D308" s="154" t="n"/>
      <c r="E308" s="154" t="n"/>
      <c r="F308" s="154" t="n"/>
      <c r="G308" s="154" t="n"/>
      <c r="H308" s="154" t="n"/>
      <c r="I308" s="154" t="n"/>
      <c r="J308" s="154" t="n"/>
      <c r="K308" s="154" t="n"/>
    </row>
    <row r="309" ht="15.75" customHeight="1" s="201">
      <c r="B309" s="154" t="n"/>
      <c r="C309" s="154" t="n"/>
      <c r="D309" s="154" t="n"/>
      <c r="E309" s="154" t="n"/>
      <c r="F309" s="154" t="n"/>
      <c r="G309" s="154" t="n"/>
      <c r="H309" s="154" t="n"/>
      <c r="I309" s="154" t="n"/>
      <c r="J309" s="154" t="n"/>
      <c r="K309" s="154" t="n"/>
    </row>
    <row r="310" ht="15.75" customHeight="1" s="201">
      <c r="B310" s="154" t="n"/>
      <c r="C310" s="154" t="n"/>
      <c r="D310" s="154" t="n"/>
      <c r="E310" s="154" t="n"/>
      <c r="F310" s="154" t="n"/>
      <c r="G310" s="154" t="n"/>
      <c r="H310" s="154" t="n"/>
      <c r="I310" s="154" t="n"/>
      <c r="J310" s="154" t="n"/>
      <c r="K310" s="154" t="n"/>
    </row>
    <row r="311" ht="15.75" customHeight="1" s="201">
      <c r="B311" s="154" t="n"/>
      <c r="C311" s="154" t="n"/>
      <c r="D311" s="154" t="n"/>
      <c r="E311" s="154" t="n"/>
      <c r="F311" s="154" t="n"/>
      <c r="G311" s="154" t="n"/>
      <c r="H311" s="154" t="n"/>
      <c r="I311" s="154" t="n"/>
      <c r="J311" s="154" t="n"/>
      <c r="K311" s="154" t="n"/>
    </row>
    <row r="312" ht="15.75" customHeight="1" s="201">
      <c r="B312" s="154" t="n"/>
      <c r="C312" s="154" t="n"/>
      <c r="D312" s="154" t="n"/>
      <c r="E312" s="154" t="n"/>
      <c r="F312" s="154" t="n"/>
      <c r="G312" s="154" t="n"/>
      <c r="H312" s="154" t="n"/>
      <c r="I312" s="154" t="n"/>
      <c r="J312" s="154" t="n"/>
      <c r="K312" s="154" t="n"/>
    </row>
    <row r="313" ht="15.75" customHeight="1" s="201">
      <c r="B313" s="154" t="n"/>
      <c r="C313" s="154" t="n"/>
      <c r="D313" s="154" t="n"/>
      <c r="E313" s="154" t="n"/>
      <c r="F313" s="154" t="n"/>
      <c r="G313" s="154" t="n"/>
      <c r="H313" s="154" t="n"/>
      <c r="I313" s="154" t="n"/>
      <c r="J313" s="154" t="n"/>
      <c r="K313" s="154" t="n"/>
    </row>
    <row r="314" ht="15.75" customHeight="1" s="201">
      <c r="B314" s="154" t="n"/>
      <c r="C314" s="154" t="n"/>
      <c r="D314" s="154" t="n"/>
      <c r="E314" s="154" t="n"/>
      <c r="F314" s="154" t="n"/>
      <c r="G314" s="154" t="n"/>
      <c r="H314" s="154" t="n"/>
      <c r="I314" s="154" t="n"/>
      <c r="J314" s="154" t="n"/>
      <c r="K314" s="154" t="n"/>
    </row>
    <row r="315" ht="15.75" customHeight="1" s="201">
      <c r="B315" s="154" t="n"/>
      <c r="C315" s="154" t="n"/>
      <c r="D315" s="154" t="n"/>
      <c r="E315" s="154" t="n"/>
      <c r="F315" s="154" t="n"/>
      <c r="G315" s="154" t="n"/>
      <c r="H315" s="154" t="n"/>
      <c r="I315" s="154" t="n"/>
      <c r="J315" s="154" t="n"/>
      <c r="K315" s="154" t="n"/>
    </row>
    <row r="316" ht="15.75" customHeight="1" s="201">
      <c r="B316" s="154" t="n"/>
      <c r="C316" s="154" t="n"/>
      <c r="D316" s="154" t="n"/>
      <c r="E316" s="154" t="n"/>
      <c r="F316" s="154" t="n"/>
      <c r="G316" s="154" t="n"/>
      <c r="H316" s="154" t="n"/>
      <c r="I316" s="154" t="n"/>
      <c r="J316" s="154" t="n"/>
      <c r="K316" s="154" t="n"/>
    </row>
    <row r="317" ht="15.75" customHeight="1" s="201">
      <c r="B317" s="154" t="n"/>
      <c r="C317" s="154" t="n"/>
      <c r="D317" s="154" t="n"/>
      <c r="E317" s="154" t="n"/>
      <c r="F317" s="154" t="n"/>
      <c r="G317" s="154" t="n"/>
      <c r="H317" s="154" t="n"/>
      <c r="I317" s="154" t="n"/>
      <c r="J317" s="154" t="n"/>
      <c r="K317" s="154" t="n"/>
    </row>
    <row r="318" ht="15.75" customHeight="1" s="201">
      <c r="B318" s="154" t="n"/>
      <c r="C318" s="154" t="n"/>
      <c r="D318" s="154" t="n"/>
      <c r="E318" s="154" t="n"/>
      <c r="F318" s="154" t="n"/>
      <c r="G318" s="154" t="n"/>
      <c r="H318" s="154" t="n"/>
      <c r="I318" s="154" t="n"/>
      <c r="J318" s="154" t="n"/>
      <c r="K318" s="154" t="n"/>
    </row>
    <row r="319" ht="15.75" customHeight="1" s="201">
      <c r="B319" s="154" t="n"/>
      <c r="C319" s="154" t="n"/>
      <c r="D319" s="154" t="n"/>
      <c r="E319" s="154" t="n"/>
      <c r="F319" s="154" t="n"/>
      <c r="G319" s="154" t="n"/>
      <c r="H319" s="154" t="n"/>
      <c r="I319" s="154" t="n"/>
      <c r="J319" s="154" t="n"/>
      <c r="K319" s="154" t="n"/>
    </row>
    <row r="320" ht="15.75" customHeight="1" s="201">
      <c r="B320" s="154" t="n"/>
      <c r="C320" s="154" t="n"/>
      <c r="D320" s="154" t="n"/>
      <c r="E320" s="154" t="n"/>
      <c r="F320" s="154" t="n"/>
      <c r="G320" s="154" t="n"/>
      <c r="H320" s="154" t="n"/>
      <c r="I320" s="154" t="n"/>
      <c r="J320" s="154" t="n"/>
      <c r="K320" s="154" t="n"/>
    </row>
    <row r="321" ht="15.75" customHeight="1" s="201">
      <c r="B321" s="154" t="n"/>
      <c r="C321" s="154" t="n"/>
      <c r="D321" s="154" t="n"/>
      <c r="E321" s="154" t="n"/>
      <c r="F321" s="154" t="n"/>
      <c r="G321" s="154" t="n"/>
      <c r="H321" s="154" t="n"/>
      <c r="I321" s="154" t="n"/>
      <c r="J321" s="154" t="n"/>
      <c r="K321" s="154" t="n"/>
    </row>
    <row r="322" ht="15.75" customHeight="1" s="201">
      <c r="B322" s="154" t="n"/>
      <c r="C322" s="154" t="n"/>
      <c r="D322" s="154" t="n"/>
      <c r="E322" s="154" t="n"/>
      <c r="F322" s="154" t="n"/>
      <c r="G322" s="154" t="n"/>
      <c r="H322" s="154" t="n"/>
      <c r="I322" s="154" t="n"/>
      <c r="J322" s="154" t="n"/>
      <c r="K322" s="154" t="n"/>
    </row>
    <row r="323" ht="15.75" customHeight="1" s="201">
      <c r="B323" s="154" t="n"/>
      <c r="C323" s="154" t="n"/>
      <c r="D323" s="154" t="n"/>
      <c r="E323" s="154" t="n"/>
      <c r="F323" s="154" t="n"/>
      <c r="G323" s="154" t="n"/>
      <c r="H323" s="154" t="n"/>
      <c r="I323" s="154" t="n"/>
      <c r="J323" s="154" t="n"/>
      <c r="K323" s="154" t="n"/>
    </row>
    <row r="324" ht="15.75" customHeight="1" s="201">
      <c r="B324" s="154" t="n"/>
      <c r="C324" s="154" t="n"/>
      <c r="D324" s="154" t="n"/>
      <c r="E324" s="154" t="n"/>
      <c r="F324" s="154" t="n"/>
      <c r="G324" s="154" t="n"/>
      <c r="H324" s="154" t="n"/>
      <c r="I324" s="154" t="n"/>
      <c r="J324" s="154" t="n"/>
      <c r="K324" s="154" t="n"/>
    </row>
    <row r="325" ht="15.75" customHeight="1" s="201">
      <c r="B325" s="154" t="n"/>
      <c r="C325" s="154" t="n"/>
      <c r="D325" s="154" t="n"/>
      <c r="E325" s="154" t="n"/>
      <c r="F325" s="154" t="n"/>
      <c r="G325" s="154" t="n"/>
      <c r="H325" s="154" t="n"/>
      <c r="I325" s="154" t="n"/>
      <c r="J325" s="154" t="n"/>
      <c r="K325" s="154" t="n"/>
    </row>
    <row r="326" ht="15.75" customHeight="1" s="201">
      <c r="B326" s="154" t="n"/>
      <c r="C326" s="154" t="n"/>
      <c r="D326" s="154" t="n"/>
      <c r="E326" s="154" t="n"/>
      <c r="F326" s="154" t="n"/>
      <c r="G326" s="154" t="n"/>
      <c r="H326" s="154" t="n"/>
      <c r="I326" s="154" t="n"/>
      <c r="J326" s="154" t="n"/>
      <c r="K326" s="154" t="n"/>
    </row>
    <row r="327" ht="15.75" customHeight="1" s="201">
      <c r="B327" s="154" t="n"/>
      <c r="C327" s="154" t="n"/>
      <c r="D327" s="154" t="n"/>
      <c r="E327" s="154" t="n"/>
      <c r="F327" s="154" t="n"/>
      <c r="G327" s="154" t="n"/>
      <c r="H327" s="154" t="n"/>
      <c r="I327" s="154" t="n"/>
      <c r="J327" s="154" t="n"/>
      <c r="K327" s="154" t="n"/>
    </row>
    <row r="328" ht="15.75" customHeight="1" s="201">
      <c r="B328" s="154" t="n"/>
      <c r="C328" s="154" t="n"/>
      <c r="D328" s="154" t="n"/>
      <c r="E328" s="154" t="n"/>
      <c r="F328" s="154" t="n"/>
      <c r="G328" s="154" t="n"/>
      <c r="H328" s="154" t="n"/>
      <c r="I328" s="154" t="n"/>
      <c r="J328" s="154" t="n"/>
      <c r="K328" s="154" t="n"/>
    </row>
    <row r="329" ht="15.75" customHeight="1" s="201">
      <c r="B329" s="154" t="n"/>
      <c r="C329" s="154" t="n"/>
      <c r="D329" s="154" t="n"/>
      <c r="E329" s="154" t="n"/>
      <c r="F329" s="154" t="n"/>
      <c r="G329" s="154" t="n"/>
      <c r="H329" s="154" t="n"/>
      <c r="I329" s="154" t="n"/>
      <c r="J329" s="154" t="n"/>
      <c r="K329" s="154" t="n"/>
    </row>
    <row r="330" ht="15.75" customHeight="1" s="201">
      <c r="B330" s="154" t="n"/>
      <c r="C330" s="154" t="n"/>
      <c r="D330" s="154" t="n"/>
      <c r="E330" s="154" t="n"/>
      <c r="F330" s="154" t="n"/>
      <c r="G330" s="154" t="n"/>
      <c r="H330" s="154" t="n"/>
      <c r="I330" s="154" t="n"/>
      <c r="J330" s="154" t="n"/>
      <c r="K330" s="154" t="n"/>
    </row>
    <row r="331" ht="15.75" customHeight="1" s="201">
      <c r="B331" s="154" t="n"/>
      <c r="C331" s="154" t="n"/>
      <c r="D331" s="154" t="n"/>
      <c r="E331" s="154" t="n"/>
      <c r="F331" s="154" t="n"/>
      <c r="G331" s="154" t="n"/>
      <c r="H331" s="154" t="n"/>
      <c r="I331" s="154" t="n"/>
      <c r="J331" s="154" t="n"/>
      <c r="K331" s="154" t="n"/>
    </row>
    <row r="332" ht="15.75" customHeight="1" s="201">
      <c r="B332" s="154" t="n"/>
      <c r="C332" s="154" t="n"/>
      <c r="D332" s="154" t="n"/>
      <c r="E332" s="154" t="n"/>
      <c r="F332" s="154" t="n"/>
      <c r="G332" s="154" t="n"/>
      <c r="H332" s="154" t="n"/>
      <c r="I332" s="154" t="n"/>
      <c r="J332" s="154" t="n"/>
      <c r="K332" s="154" t="n"/>
    </row>
    <row r="333" ht="15.75" customHeight="1" s="201">
      <c r="B333" s="154" t="n"/>
      <c r="C333" s="154" t="n"/>
      <c r="D333" s="154" t="n"/>
      <c r="E333" s="154" t="n"/>
      <c r="F333" s="154" t="n"/>
      <c r="G333" s="154" t="n"/>
      <c r="H333" s="154" t="n"/>
      <c r="I333" s="154" t="n"/>
      <c r="J333" s="154" t="n"/>
      <c r="K333" s="154" t="n"/>
    </row>
    <row r="334" ht="15.75" customHeight="1" s="201">
      <c r="B334" s="154" t="n"/>
      <c r="C334" s="154" t="n"/>
      <c r="D334" s="154" t="n"/>
      <c r="E334" s="154" t="n"/>
      <c r="F334" s="154" t="n"/>
      <c r="G334" s="154" t="n"/>
      <c r="H334" s="154" t="n"/>
      <c r="I334" s="154" t="n"/>
      <c r="J334" s="154" t="n"/>
      <c r="K334" s="154" t="n"/>
    </row>
    <row r="335" ht="15.75" customHeight="1" s="201">
      <c r="B335" s="154" t="n"/>
      <c r="C335" s="154" t="n"/>
      <c r="D335" s="154" t="n"/>
      <c r="E335" s="154" t="n"/>
      <c r="F335" s="154" t="n"/>
      <c r="G335" s="154" t="n"/>
      <c r="H335" s="154" t="n"/>
      <c r="I335" s="154" t="n"/>
      <c r="J335" s="154" t="n"/>
      <c r="K335" s="154" t="n"/>
    </row>
    <row r="336" ht="15.75" customHeight="1" s="201">
      <c r="B336" s="154" t="n"/>
      <c r="C336" s="154" t="n"/>
      <c r="D336" s="154" t="n"/>
      <c r="E336" s="154" t="n"/>
      <c r="F336" s="154" t="n"/>
      <c r="G336" s="154" t="n"/>
      <c r="H336" s="154" t="n"/>
      <c r="I336" s="154" t="n"/>
      <c r="J336" s="154" t="n"/>
      <c r="K336" s="154" t="n"/>
    </row>
    <row r="337" ht="15.75" customHeight="1" s="201">
      <c r="B337" s="154" t="n"/>
      <c r="C337" s="154" t="n"/>
      <c r="D337" s="154" t="n"/>
      <c r="E337" s="154" t="n"/>
      <c r="F337" s="154" t="n"/>
      <c r="G337" s="154" t="n"/>
      <c r="H337" s="154" t="n"/>
      <c r="I337" s="154" t="n"/>
      <c r="J337" s="154" t="n"/>
      <c r="K337" s="154" t="n"/>
    </row>
    <row r="338" ht="15.75" customHeight="1" s="201">
      <c r="B338" s="154" t="n"/>
      <c r="C338" s="154" t="n"/>
      <c r="D338" s="154" t="n"/>
      <c r="E338" s="154" t="n"/>
      <c r="F338" s="154" t="n"/>
      <c r="G338" s="154" t="n"/>
      <c r="H338" s="154" t="n"/>
      <c r="I338" s="154" t="n"/>
      <c r="J338" s="154" t="n"/>
      <c r="K338" s="154" t="n"/>
    </row>
    <row r="339" ht="15.75" customHeight="1" s="201">
      <c r="B339" s="154" t="n"/>
      <c r="C339" s="154" t="n"/>
      <c r="D339" s="154" t="n"/>
      <c r="E339" s="154" t="n"/>
      <c r="F339" s="154" t="n"/>
      <c r="G339" s="154" t="n"/>
      <c r="H339" s="154" t="n"/>
      <c r="I339" s="154" t="n"/>
      <c r="J339" s="154" t="n"/>
      <c r="K339" s="154" t="n"/>
    </row>
    <row r="340" ht="15.75" customHeight="1" s="201">
      <c r="B340" s="154" t="n"/>
      <c r="C340" s="154" t="n"/>
      <c r="D340" s="154" t="n"/>
      <c r="E340" s="154" t="n"/>
      <c r="F340" s="154" t="n"/>
      <c r="G340" s="154" t="n"/>
      <c r="H340" s="154" t="n"/>
      <c r="I340" s="154" t="n"/>
      <c r="J340" s="154" t="n"/>
      <c r="K340" s="154" t="n"/>
    </row>
    <row r="341" ht="15.75" customHeight="1" s="201">
      <c r="B341" s="154" t="n"/>
      <c r="C341" s="154" t="n"/>
      <c r="D341" s="154" t="n"/>
      <c r="E341" s="154" t="n"/>
      <c r="F341" s="154" t="n"/>
      <c r="G341" s="154" t="n"/>
      <c r="H341" s="154" t="n"/>
      <c r="I341" s="154" t="n"/>
      <c r="J341" s="154" t="n"/>
      <c r="K341" s="154" t="n"/>
    </row>
    <row r="342" ht="15.75" customHeight="1" s="201">
      <c r="B342" s="154" t="n"/>
      <c r="C342" s="154" t="n"/>
      <c r="D342" s="154" t="n"/>
      <c r="E342" s="154" t="n"/>
      <c r="F342" s="154" t="n"/>
      <c r="G342" s="154" t="n"/>
      <c r="H342" s="154" t="n"/>
      <c r="I342" s="154" t="n"/>
      <c r="J342" s="154" t="n"/>
      <c r="K342" s="154" t="n"/>
    </row>
    <row r="343" ht="15.75" customHeight="1" s="201">
      <c r="B343" s="154" t="n"/>
      <c r="C343" s="154" t="n"/>
      <c r="D343" s="154" t="n"/>
      <c r="E343" s="154" t="n"/>
      <c r="F343" s="154" t="n"/>
      <c r="G343" s="154" t="n"/>
      <c r="H343" s="154" t="n"/>
      <c r="I343" s="154" t="n"/>
      <c r="J343" s="154" t="n"/>
      <c r="K343" s="154" t="n"/>
    </row>
    <row r="344" ht="15.75" customHeight="1" s="201">
      <c r="B344" s="154" t="n"/>
      <c r="C344" s="154" t="n"/>
      <c r="D344" s="154" t="n"/>
      <c r="E344" s="154" t="n"/>
      <c r="F344" s="154" t="n"/>
      <c r="G344" s="154" t="n"/>
      <c r="H344" s="154" t="n"/>
      <c r="I344" s="154" t="n"/>
      <c r="J344" s="154" t="n"/>
      <c r="K344" s="154" t="n"/>
    </row>
    <row r="345" ht="15.75" customHeight="1" s="201">
      <c r="B345" s="154" t="n"/>
      <c r="C345" s="154" t="n"/>
      <c r="D345" s="154" t="n"/>
      <c r="E345" s="154" t="n"/>
      <c r="F345" s="154" t="n"/>
      <c r="G345" s="154" t="n"/>
      <c r="H345" s="154" t="n"/>
      <c r="I345" s="154" t="n"/>
      <c r="J345" s="154" t="n"/>
      <c r="K345" s="154" t="n"/>
    </row>
    <row r="346" ht="15.75" customHeight="1" s="201">
      <c r="B346" s="154" t="n"/>
      <c r="C346" s="154" t="n"/>
      <c r="D346" s="154" t="n"/>
      <c r="E346" s="154" t="n"/>
      <c r="F346" s="154" t="n"/>
      <c r="G346" s="154" t="n"/>
      <c r="H346" s="154" t="n"/>
      <c r="I346" s="154" t="n"/>
      <c r="J346" s="154" t="n"/>
      <c r="K346" s="154" t="n"/>
    </row>
    <row r="347" ht="15.75" customHeight="1" s="201">
      <c r="B347" s="154" t="n"/>
      <c r="C347" s="154" t="n"/>
      <c r="D347" s="154" t="n"/>
      <c r="E347" s="154" t="n"/>
      <c r="F347" s="154" t="n"/>
      <c r="G347" s="154" t="n"/>
      <c r="H347" s="154" t="n"/>
      <c r="I347" s="154" t="n"/>
      <c r="J347" s="154" t="n"/>
      <c r="K347" s="154" t="n"/>
    </row>
    <row r="348" ht="15.75" customHeight="1" s="201">
      <c r="B348" s="154" t="n"/>
      <c r="C348" s="154" t="n"/>
      <c r="D348" s="154" t="n"/>
      <c r="E348" s="154" t="n"/>
      <c r="F348" s="154" t="n"/>
      <c r="G348" s="154" t="n"/>
      <c r="H348" s="154" t="n"/>
      <c r="I348" s="154" t="n"/>
      <c r="J348" s="154" t="n"/>
      <c r="K348" s="154" t="n"/>
    </row>
    <row r="349" ht="15.75" customHeight="1" s="201">
      <c r="B349" s="154" t="n"/>
      <c r="C349" s="154" t="n"/>
      <c r="D349" s="154" t="n"/>
      <c r="E349" s="154" t="n"/>
      <c r="F349" s="154" t="n"/>
      <c r="G349" s="154" t="n"/>
      <c r="H349" s="154" t="n"/>
      <c r="I349" s="154" t="n"/>
      <c r="J349" s="154" t="n"/>
      <c r="K349" s="154" t="n"/>
    </row>
    <row r="350" ht="15.75" customHeight="1" s="201">
      <c r="B350" s="154" t="n"/>
      <c r="C350" s="154" t="n"/>
      <c r="D350" s="154" t="n"/>
      <c r="E350" s="154" t="n"/>
      <c r="F350" s="154" t="n"/>
      <c r="G350" s="154" t="n"/>
      <c r="H350" s="154" t="n"/>
      <c r="I350" s="154" t="n"/>
      <c r="J350" s="154" t="n"/>
      <c r="K350" s="154" t="n"/>
    </row>
    <row r="351" ht="15.75" customHeight="1" s="201">
      <c r="B351" s="154" t="n"/>
      <c r="C351" s="154" t="n"/>
      <c r="D351" s="154" t="n"/>
      <c r="E351" s="154" t="n"/>
      <c r="F351" s="154" t="n"/>
      <c r="G351" s="154" t="n"/>
      <c r="H351" s="154" t="n"/>
      <c r="I351" s="154" t="n"/>
      <c r="J351" s="154" t="n"/>
      <c r="K351" s="154" t="n"/>
    </row>
    <row r="352" ht="15.75" customHeight="1" s="201">
      <c r="B352" s="154" t="n"/>
      <c r="C352" s="154" t="n"/>
      <c r="D352" s="154" t="n"/>
      <c r="E352" s="154" t="n"/>
      <c r="F352" s="154" t="n"/>
      <c r="G352" s="154" t="n"/>
      <c r="H352" s="154" t="n"/>
      <c r="I352" s="154" t="n"/>
      <c r="J352" s="154" t="n"/>
      <c r="K352" s="154" t="n"/>
    </row>
    <row r="353" ht="15.75" customHeight="1" s="201">
      <c r="B353" s="154" t="n"/>
      <c r="C353" s="154" t="n"/>
      <c r="D353" s="154" t="n"/>
      <c r="E353" s="154" t="n"/>
      <c r="F353" s="154" t="n"/>
      <c r="G353" s="154" t="n"/>
      <c r="H353" s="154" t="n"/>
      <c r="I353" s="154" t="n"/>
      <c r="J353" s="154" t="n"/>
      <c r="K353" s="154" t="n"/>
    </row>
    <row r="354" ht="15.75" customHeight="1" s="201">
      <c r="B354" s="154" t="n"/>
      <c r="C354" s="154" t="n"/>
      <c r="D354" s="154" t="n"/>
      <c r="E354" s="154" t="n"/>
      <c r="F354" s="154" t="n"/>
      <c r="G354" s="154" t="n"/>
      <c r="H354" s="154" t="n"/>
      <c r="I354" s="154" t="n"/>
      <c r="J354" s="154" t="n"/>
      <c r="K354" s="154" t="n"/>
    </row>
    <row r="355" ht="15.75" customHeight="1" s="201">
      <c r="B355" s="154" t="n"/>
      <c r="C355" s="154" t="n"/>
      <c r="D355" s="154" t="n"/>
      <c r="E355" s="154" t="n"/>
      <c r="F355" s="154" t="n"/>
      <c r="G355" s="154" t="n"/>
      <c r="H355" s="154" t="n"/>
      <c r="I355" s="154" t="n"/>
      <c r="J355" s="154" t="n"/>
      <c r="K355" s="154" t="n"/>
    </row>
    <row r="356" ht="15.75" customHeight="1" s="201">
      <c r="B356" s="154" t="n"/>
      <c r="C356" s="154" t="n"/>
      <c r="D356" s="154" t="n"/>
      <c r="E356" s="154" t="n"/>
      <c r="F356" s="154" t="n"/>
      <c r="G356" s="154" t="n"/>
      <c r="H356" s="154" t="n"/>
      <c r="I356" s="154" t="n"/>
      <c r="J356" s="154" t="n"/>
      <c r="K356" s="154" t="n"/>
    </row>
    <row r="357" ht="15.75" customHeight="1" s="201">
      <c r="B357" s="154" t="n"/>
      <c r="C357" s="154" t="n"/>
      <c r="D357" s="154" t="n"/>
      <c r="E357" s="154" t="n"/>
      <c r="F357" s="154" t="n"/>
      <c r="G357" s="154" t="n"/>
      <c r="H357" s="154" t="n"/>
      <c r="I357" s="154" t="n"/>
      <c r="J357" s="154" t="n"/>
      <c r="K357" s="154" t="n"/>
    </row>
    <row r="358" ht="15.75" customHeight="1" s="201">
      <c r="B358" s="154" t="n"/>
      <c r="C358" s="154" t="n"/>
      <c r="D358" s="154" t="n"/>
      <c r="E358" s="154" t="n"/>
      <c r="F358" s="154" t="n"/>
      <c r="G358" s="154" t="n"/>
      <c r="H358" s="154" t="n"/>
      <c r="I358" s="154" t="n"/>
      <c r="J358" s="154" t="n"/>
      <c r="K358" s="154" t="n"/>
    </row>
    <row r="359" ht="15.75" customHeight="1" s="201">
      <c r="B359" s="154" t="n"/>
      <c r="C359" s="154" t="n"/>
      <c r="D359" s="154" t="n"/>
      <c r="E359" s="154" t="n"/>
      <c r="F359" s="154" t="n"/>
      <c r="G359" s="154" t="n"/>
      <c r="H359" s="154" t="n"/>
      <c r="I359" s="154" t="n"/>
      <c r="J359" s="154" t="n"/>
      <c r="K359" s="154" t="n"/>
    </row>
    <row r="360" ht="15.75" customHeight="1" s="201">
      <c r="B360" s="154" t="n"/>
      <c r="C360" s="154" t="n"/>
      <c r="D360" s="154" t="n"/>
      <c r="E360" s="154" t="n"/>
      <c r="F360" s="154" t="n"/>
      <c r="G360" s="154" t="n"/>
      <c r="H360" s="154" t="n"/>
      <c r="I360" s="154" t="n"/>
      <c r="J360" s="154" t="n"/>
      <c r="K360" s="154" t="n"/>
    </row>
    <row r="361" ht="15.75" customHeight="1" s="201">
      <c r="B361" s="154" t="n"/>
      <c r="C361" s="154" t="n"/>
      <c r="D361" s="154" t="n"/>
      <c r="E361" s="154" t="n"/>
      <c r="F361" s="154" t="n"/>
      <c r="G361" s="154" t="n"/>
      <c r="H361" s="154" t="n"/>
      <c r="I361" s="154" t="n"/>
      <c r="J361" s="154" t="n"/>
      <c r="K361" s="154" t="n"/>
    </row>
    <row r="362" ht="15.75" customHeight="1" s="201">
      <c r="B362" s="154" t="n"/>
      <c r="C362" s="154" t="n"/>
      <c r="D362" s="154" t="n"/>
      <c r="E362" s="154" t="n"/>
      <c r="F362" s="154" t="n"/>
      <c r="G362" s="154" t="n"/>
      <c r="H362" s="154" t="n"/>
      <c r="I362" s="154" t="n"/>
      <c r="J362" s="154" t="n"/>
      <c r="K362" s="154" t="n"/>
    </row>
    <row r="363" ht="15.75" customHeight="1" s="201">
      <c r="B363" s="154" t="n"/>
      <c r="C363" s="154" t="n"/>
      <c r="D363" s="154" t="n"/>
      <c r="E363" s="154" t="n"/>
      <c r="F363" s="154" t="n"/>
      <c r="G363" s="154" t="n"/>
      <c r="H363" s="154" t="n"/>
      <c r="I363" s="154" t="n"/>
      <c r="J363" s="154" t="n"/>
      <c r="K363" s="154" t="n"/>
    </row>
    <row r="364" ht="15.75" customHeight="1" s="201">
      <c r="B364" s="154" t="n"/>
      <c r="C364" s="154" t="n"/>
      <c r="D364" s="154" t="n"/>
      <c r="E364" s="154" t="n"/>
      <c r="F364" s="154" t="n"/>
      <c r="G364" s="154" t="n"/>
      <c r="H364" s="154" t="n"/>
      <c r="I364" s="154" t="n"/>
      <c r="J364" s="154" t="n"/>
      <c r="K364" s="154" t="n"/>
    </row>
    <row r="365" ht="15.75" customHeight="1" s="201">
      <c r="B365" s="154" t="n"/>
      <c r="C365" s="154" t="n"/>
      <c r="D365" s="154" t="n"/>
      <c r="E365" s="154" t="n"/>
      <c r="F365" s="154" t="n"/>
      <c r="G365" s="154" t="n"/>
      <c r="H365" s="154" t="n"/>
      <c r="I365" s="154" t="n"/>
      <c r="J365" s="154" t="n"/>
      <c r="K365" s="154" t="n"/>
    </row>
    <row r="366" ht="15.75" customHeight="1" s="201">
      <c r="B366" s="154" t="n"/>
      <c r="C366" s="154" t="n"/>
      <c r="D366" s="154" t="n"/>
      <c r="E366" s="154" t="n"/>
      <c r="F366" s="154" t="n"/>
      <c r="G366" s="154" t="n"/>
      <c r="H366" s="154" t="n"/>
      <c r="I366" s="154" t="n"/>
      <c r="J366" s="154" t="n"/>
      <c r="K366" s="154" t="n"/>
    </row>
    <row r="367" ht="15.75" customHeight="1" s="201">
      <c r="B367" s="154" t="n"/>
      <c r="C367" s="154" t="n"/>
      <c r="D367" s="154" t="n"/>
      <c r="E367" s="154" t="n"/>
      <c r="F367" s="154" t="n"/>
      <c r="G367" s="154" t="n"/>
      <c r="H367" s="154" t="n"/>
      <c r="I367" s="154" t="n"/>
      <c r="J367" s="154" t="n"/>
      <c r="K367" s="154" t="n"/>
    </row>
    <row r="368" ht="15.75" customHeight="1" s="201">
      <c r="B368" s="154" t="n"/>
      <c r="C368" s="154" t="n"/>
      <c r="D368" s="154" t="n"/>
      <c r="E368" s="154" t="n"/>
      <c r="F368" s="154" t="n"/>
      <c r="G368" s="154" t="n"/>
      <c r="H368" s="154" t="n"/>
      <c r="I368" s="154" t="n"/>
      <c r="J368" s="154" t="n"/>
      <c r="K368" s="154" t="n"/>
    </row>
    <row r="369" ht="15.75" customHeight="1" s="201">
      <c r="B369" s="154" t="n"/>
      <c r="C369" s="154" t="n"/>
      <c r="D369" s="154" t="n"/>
      <c r="E369" s="154" t="n"/>
      <c r="F369" s="154" t="n"/>
      <c r="G369" s="154" t="n"/>
      <c r="H369" s="154" t="n"/>
      <c r="I369" s="154" t="n"/>
      <c r="J369" s="154" t="n"/>
      <c r="K369" s="154" t="n"/>
    </row>
    <row r="370" ht="15.75" customHeight="1" s="201">
      <c r="B370" s="154" t="n"/>
      <c r="C370" s="154" t="n"/>
      <c r="D370" s="154" t="n"/>
      <c r="E370" s="154" t="n"/>
      <c r="F370" s="154" t="n"/>
      <c r="G370" s="154" t="n"/>
      <c r="H370" s="154" t="n"/>
      <c r="I370" s="154" t="n"/>
      <c r="J370" s="154" t="n"/>
      <c r="K370" s="154" t="n"/>
    </row>
    <row r="371" ht="15.75" customHeight="1" s="201">
      <c r="B371" s="154" t="n"/>
      <c r="C371" s="154" t="n"/>
      <c r="D371" s="154" t="n"/>
      <c r="E371" s="154" t="n"/>
      <c r="F371" s="154" t="n"/>
      <c r="G371" s="154" t="n"/>
      <c r="H371" s="154" t="n"/>
      <c r="I371" s="154" t="n"/>
      <c r="J371" s="154" t="n"/>
      <c r="K371" s="154" t="n"/>
    </row>
    <row r="372" ht="15.75" customHeight="1" s="201">
      <c r="B372" s="154" t="n"/>
      <c r="C372" s="154" t="n"/>
      <c r="D372" s="154" t="n"/>
      <c r="E372" s="154" t="n"/>
      <c r="F372" s="154" t="n"/>
      <c r="G372" s="154" t="n"/>
      <c r="H372" s="154" t="n"/>
      <c r="I372" s="154" t="n"/>
      <c r="J372" s="154" t="n"/>
      <c r="K372" s="154" t="n"/>
    </row>
    <row r="373" ht="15.75" customHeight="1" s="201">
      <c r="B373" s="154" t="n"/>
      <c r="C373" s="154" t="n"/>
      <c r="D373" s="154" t="n"/>
      <c r="E373" s="154" t="n"/>
      <c r="F373" s="154" t="n"/>
      <c r="G373" s="154" t="n"/>
      <c r="H373" s="154" t="n"/>
      <c r="I373" s="154" t="n"/>
      <c r="J373" s="154" t="n"/>
      <c r="K373" s="154" t="n"/>
    </row>
    <row r="374" ht="15.75" customHeight="1" s="201">
      <c r="B374" s="154" t="n"/>
      <c r="C374" s="154" t="n"/>
      <c r="D374" s="154" t="n"/>
      <c r="E374" s="154" t="n"/>
      <c r="F374" s="154" t="n"/>
      <c r="G374" s="154" t="n"/>
      <c r="H374" s="154" t="n"/>
      <c r="I374" s="154" t="n"/>
      <c r="J374" s="154" t="n"/>
      <c r="K374" s="154" t="n"/>
    </row>
    <row r="375" ht="15.75" customHeight="1" s="201">
      <c r="B375" s="154" t="n"/>
      <c r="C375" s="154" t="n"/>
      <c r="D375" s="154" t="n"/>
      <c r="E375" s="154" t="n"/>
      <c r="F375" s="154" t="n"/>
      <c r="G375" s="154" t="n"/>
      <c r="H375" s="154" t="n"/>
      <c r="I375" s="154" t="n"/>
      <c r="J375" s="154" t="n"/>
      <c r="K375" s="154" t="n"/>
    </row>
    <row r="376" ht="15.75" customHeight="1" s="201">
      <c r="B376" s="154" t="n"/>
      <c r="C376" s="154" t="n"/>
      <c r="D376" s="154" t="n"/>
      <c r="E376" s="154" t="n"/>
      <c r="F376" s="154" t="n"/>
      <c r="G376" s="154" t="n"/>
      <c r="H376" s="154" t="n"/>
      <c r="I376" s="154" t="n"/>
      <c r="J376" s="154" t="n"/>
      <c r="K376" s="154" t="n"/>
    </row>
    <row r="377" ht="15.75" customHeight="1" s="201">
      <c r="B377" s="154" t="n"/>
      <c r="C377" s="154" t="n"/>
      <c r="D377" s="154" t="n"/>
      <c r="E377" s="154" t="n"/>
      <c r="F377" s="154" t="n"/>
      <c r="G377" s="154" t="n"/>
      <c r="H377" s="154" t="n"/>
      <c r="I377" s="154" t="n"/>
      <c r="J377" s="154" t="n"/>
      <c r="K377" s="154" t="n"/>
    </row>
    <row r="378" ht="15.75" customHeight="1" s="201">
      <c r="B378" s="154" t="n"/>
      <c r="C378" s="154" t="n"/>
      <c r="D378" s="154" t="n"/>
      <c r="E378" s="154" t="n"/>
      <c r="F378" s="154" t="n"/>
      <c r="G378" s="154" t="n"/>
      <c r="H378" s="154" t="n"/>
      <c r="I378" s="154" t="n"/>
      <c r="J378" s="154" t="n"/>
      <c r="K378" s="154" t="n"/>
    </row>
    <row r="379" ht="15.75" customHeight="1" s="201">
      <c r="B379" s="154" t="n"/>
      <c r="C379" s="154" t="n"/>
      <c r="D379" s="154" t="n"/>
      <c r="E379" s="154" t="n"/>
      <c r="F379" s="154" t="n"/>
      <c r="G379" s="154" t="n"/>
      <c r="H379" s="154" t="n"/>
      <c r="I379" s="154" t="n"/>
      <c r="J379" s="154" t="n"/>
      <c r="K379" s="154" t="n"/>
    </row>
    <row r="380" ht="15.75" customHeight="1" s="201">
      <c r="B380" s="154" t="n"/>
      <c r="C380" s="154" t="n"/>
      <c r="D380" s="154" t="n"/>
      <c r="E380" s="154" t="n"/>
      <c r="F380" s="154" t="n"/>
      <c r="G380" s="154" t="n"/>
      <c r="H380" s="154" t="n"/>
      <c r="I380" s="154" t="n"/>
      <c r="J380" s="154" t="n"/>
      <c r="K380" s="154" t="n"/>
    </row>
    <row r="381" ht="15.75" customHeight="1" s="201">
      <c r="B381" s="154" t="n"/>
      <c r="C381" s="154" t="n"/>
      <c r="D381" s="154" t="n"/>
      <c r="E381" s="154" t="n"/>
      <c r="F381" s="154" t="n"/>
      <c r="G381" s="154" t="n"/>
      <c r="H381" s="154" t="n"/>
      <c r="I381" s="154" t="n"/>
      <c r="J381" s="154" t="n"/>
      <c r="K381" s="154" t="n"/>
    </row>
    <row r="382" ht="15.75" customHeight="1" s="201">
      <c r="B382" s="154" t="n"/>
      <c r="C382" s="154" t="n"/>
      <c r="D382" s="154" t="n"/>
      <c r="E382" s="154" t="n"/>
      <c r="F382" s="154" t="n"/>
      <c r="G382" s="154" t="n"/>
      <c r="H382" s="154" t="n"/>
      <c r="I382" s="154" t="n"/>
      <c r="J382" s="154" t="n"/>
      <c r="K382" s="154" t="n"/>
    </row>
    <row r="383" ht="15.75" customHeight="1" s="201">
      <c r="B383" s="154" t="n"/>
      <c r="C383" s="154" t="n"/>
      <c r="D383" s="154" t="n"/>
      <c r="E383" s="154" t="n"/>
      <c r="F383" s="154" t="n"/>
      <c r="G383" s="154" t="n"/>
      <c r="H383" s="154" t="n"/>
      <c r="I383" s="154" t="n"/>
      <c r="J383" s="154" t="n"/>
      <c r="K383" s="154" t="n"/>
    </row>
    <row r="384" ht="15.75" customHeight="1" s="201">
      <c r="B384" s="154" t="n"/>
      <c r="C384" s="154" t="n"/>
      <c r="D384" s="154" t="n"/>
      <c r="E384" s="154" t="n"/>
      <c r="F384" s="154" t="n"/>
      <c r="G384" s="154" t="n"/>
      <c r="H384" s="154" t="n"/>
      <c r="I384" s="154" t="n"/>
      <c r="J384" s="154" t="n"/>
      <c r="K384" s="154" t="n"/>
    </row>
    <row r="385" ht="15.75" customHeight="1" s="201">
      <c r="B385" s="154" t="n"/>
      <c r="C385" s="154" t="n"/>
      <c r="D385" s="154" t="n"/>
      <c r="E385" s="154" t="n"/>
      <c r="F385" s="154" t="n"/>
      <c r="G385" s="154" t="n"/>
      <c r="H385" s="154" t="n"/>
      <c r="I385" s="154" t="n"/>
      <c r="J385" s="154" t="n"/>
      <c r="K385" s="154" t="n"/>
    </row>
    <row r="386" ht="15.75" customHeight="1" s="201">
      <c r="B386" s="154" t="n"/>
      <c r="C386" s="154" t="n"/>
      <c r="D386" s="154" t="n"/>
      <c r="E386" s="154" t="n"/>
      <c r="F386" s="154" t="n"/>
      <c r="G386" s="154" t="n"/>
      <c r="H386" s="154" t="n"/>
      <c r="I386" s="154" t="n"/>
      <c r="J386" s="154" t="n"/>
      <c r="K386" s="154" t="n"/>
    </row>
    <row r="387" ht="15.75" customHeight="1" s="201">
      <c r="B387" s="154" t="n"/>
      <c r="C387" s="154" t="n"/>
      <c r="D387" s="154" t="n"/>
      <c r="E387" s="154" t="n"/>
      <c r="F387" s="154" t="n"/>
      <c r="G387" s="154" t="n"/>
      <c r="H387" s="154" t="n"/>
      <c r="I387" s="154" t="n"/>
      <c r="J387" s="154" t="n"/>
      <c r="K387" s="154" t="n"/>
    </row>
    <row r="388" ht="15.75" customHeight="1" s="201">
      <c r="B388" s="154" t="n"/>
      <c r="C388" s="154" t="n"/>
      <c r="D388" s="154" t="n"/>
      <c r="E388" s="154" t="n"/>
      <c r="F388" s="154" t="n"/>
      <c r="G388" s="154" t="n"/>
      <c r="H388" s="154" t="n"/>
      <c r="I388" s="154" t="n"/>
      <c r="J388" s="154" t="n"/>
      <c r="K388" s="154" t="n"/>
    </row>
    <row r="389" ht="15.75" customHeight="1" s="201">
      <c r="B389" s="154" t="n"/>
      <c r="C389" s="154" t="n"/>
      <c r="D389" s="154" t="n"/>
      <c r="E389" s="154" t="n"/>
      <c r="F389" s="154" t="n"/>
      <c r="G389" s="154" t="n"/>
      <c r="H389" s="154" t="n"/>
      <c r="I389" s="154" t="n"/>
      <c r="J389" s="154" t="n"/>
      <c r="K389" s="154" t="n"/>
    </row>
    <row r="390" ht="15.75" customHeight="1" s="201">
      <c r="B390" s="154" t="n"/>
      <c r="C390" s="154" t="n"/>
      <c r="D390" s="154" t="n"/>
      <c r="E390" s="154" t="n"/>
      <c r="F390" s="154" t="n"/>
      <c r="G390" s="154" t="n"/>
      <c r="H390" s="154" t="n"/>
      <c r="I390" s="154" t="n"/>
      <c r="J390" s="154" t="n"/>
      <c r="K390" s="154" t="n"/>
    </row>
    <row r="391" ht="15.75" customHeight="1" s="201">
      <c r="B391" s="154" t="n"/>
      <c r="C391" s="154" t="n"/>
      <c r="D391" s="154" t="n"/>
      <c r="E391" s="154" t="n"/>
      <c r="F391" s="154" t="n"/>
      <c r="G391" s="154" t="n"/>
      <c r="H391" s="154" t="n"/>
      <c r="I391" s="154" t="n"/>
      <c r="J391" s="154" t="n"/>
      <c r="K391" s="154" t="n"/>
    </row>
    <row r="392" ht="15.75" customHeight="1" s="201">
      <c r="B392" s="154" t="n"/>
      <c r="C392" s="154" t="n"/>
      <c r="D392" s="154" t="n"/>
      <c r="E392" s="154" t="n"/>
      <c r="F392" s="154" t="n"/>
      <c r="G392" s="154" t="n"/>
      <c r="H392" s="154" t="n"/>
      <c r="I392" s="154" t="n"/>
      <c r="J392" s="154" t="n"/>
      <c r="K392" s="154" t="n"/>
    </row>
    <row r="393" ht="15.75" customHeight="1" s="201">
      <c r="B393" s="154" t="n"/>
      <c r="C393" s="154" t="n"/>
      <c r="D393" s="154" t="n"/>
      <c r="E393" s="154" t="n"/>
      <c r="F393" s="154" t="n"/>
      <c r="G393" s="154" t="n"/>
      <c r="H393" s="154" t="n"/>
      <c r="I393" s="154" t="n"/>
      <c r="J393" s="154" t="n"/>
      <c r="K393" s="154" t="n"/>
    </row>
    <row r="394" ht="15.75" customHeight="1" s="201">
      <c r="B394" s="154" t="n"/>
      <c r="C394" s="154" t="n"/>
      <c r="D394" s="154" t="n"/>
      <c r="E394" s="154" t="n"/>
      <c r="F394" s="154" t="n"/>
      <c r="G394" s="154" t="n"/>
      <c r="H394" s="154" t="n"/>
      <c r="I394" s="154" t="n"/>
      <c r="J394" s="154" t="n"/>
      <c r="K394" s="154" t="n"/>
    </row>
    <row r="395" ht="15.75" customHeight="1" s="201">
      <c r="B395" s="154" t="n"/>
      <c r="C395" s="154" t="n"/>
      <c r="D395" s="154" t="n"/>
      <c r="E395" s="154" t="n"/>
      <c r="F395" s="154" t="n"/>
      <c r="G395" s="154" t="n"/>
      <c r="H395" s="154" t="n"/>
      <c r="I395" s="154" t="n"/>
      <c r="J395" s="154" t="n"/>
      <c r="K395" s="154" t="n"/>
    </row>
    <row r="396" ht="15.75" customHeight="1" s="201">
      <c r="B396" s="154" t="n"/>
      <c r="C396" s="154" t="n"/>
      <c r="D396" s="154" t="n"/>
      <c r="E396" s="154" t="n"/>
      <c r="F396" s="154" t="n"/>
      <c r="G396" s="154" t="n"/>
      <c r="H396" s="154" t="n"/>
      <c r="I396" s="154" t="n"/>
      <c r="J396" s="154" t="n"/>
      <c r="K396" s="154" t="n"/>
    </row>
    <row r="397" ht="15.75" customHeight="1" s="201">
      <c r="B397" s="154" t="n"/>
      <c r="C397" s="154" t="n"/>
      <c r="D397" s="154" t="n"/>
      <c r="E397" s="154" t="n"/>
      <c r="F397" s="154" t="n"/>
      <c r="G397" s="154" t="n"/>
      <c r="H397" s="154" t="n"/>
      <c r="I397" s="154" t="n"/>
      <c r="J397" s="154" t="n"/>
      <c r="K397" s="154" t="n"/>
    </row>
    <row r="398" ht="15.75" customHeight="1" s="201">
      <c r="B398" s="154" t="n"/>
      <c r="C398" s="154" t="n"/>
      <c r="D398" s="154" t="n"/>
      <c r="E398" s="154" t="n"/>
      <c r="F398" s="154" t="n"/>
      <c r="G398" s="154" t="n"/>
      <c r="H398" s="154" t="n"/>
      <c r="I398" s="154" t="n"/>
      <c r="J398" s="154" t="n"/>
      <c r="K398" s="154" t="n"/>
    </row>
    <row r="399" ht="15.75" customHeight="1" s="201">
      <c r="B399" s="154" t="n"/>
      <c r="C399" s="154" t="n"/>
      <c r="D399" s="154" t="n"/>
      <c r="E399" s="154" t="n"/>
      <c r="F399" s="154" t="n"/>
      <c r="G399" s="154" t="n"/>
      <c r="H399" s="154" t="n"/>
      <c r="I399" s="154" t="n"/>
      <c r="J399" s="154" t="n"/>
      <c r="K399" s="154" t="n"/>
    </row>
    <row r="400" ht="15.75" customHeight="1" s="201">
      <c r="B400" s="154" t="n"/>
      <c r="C400" s="154" t="n"/>
      <c r="D400" s="154" t="n"/>
      <c r="E400" s="154" t="n"/>
      <c r="F400" s="154" t="n"/>
      <c r="G400" s="154" t="n"/>
      <c r="H400" s="154" t="n"/>
      <c r="I400" s="154" t="n"/>
      <c r="J400" s="154" t="n"/>
      <c r="K400" s="154" t="n"/>
    </row>
    <row r="401" ht="15.75" customHeight="1" s="201">
      <c r="B401" s="154" t="n"/>
      <c r="C401" s="154" t="n"/>
      <c r="D401" s="154" t="n"/>
      <c r="E401" s="154" t="n"/>
      <c r="F401" s="154" t="n"/>
      <c r="G401" s="154" t="n"/>
      <c r="H401" s="154" t="n"/>
      <c r="I401" s="154" t="n"/>
      <c r="J401" s="154" t="n"/>
      <c r="K401" s="154" t="n"/>
    </row>
    <row r="402" ht="15.75" customHeight="1" s="201">
      <c r="B402" s="154" t="n"/>
      <c r="C402" s="154" t="n"/>
      <c r="D402" s="154" t="n"/>
      <c r="E402" s="154" t="n"/>
      <c r="F402" s="154" t="n"/>
      <c r="G402" s="154" t="n"/>
      <c r="H402" s="154" t="n"/>
      <c r="I402" s="154" t="n"/>
      <c r="J402" s="154" t="n"/>
      <c r="K402" s="154" t="n"/>
    </row>
    <row r="403" ht="15.75" customHeight="1" s="201">
      <c r="B403" s="154" t="n"/>
      <c r="C403" s="154" t="n"/>
      <c r="D403" s="154" t="n"/>
      <c r="E403" s="154" t="n"/>
      <c r="F403" s="154" t="n"/>
      <c r="G403" s="154" t="n"/>
      <c r="H403" s="154" t="n"/>
      <c r="I403" s="154" t="n"/>
      <c r="J403" s="154" t="n"/>
      <c r="K403" s="154" t="n"/>
    </row>
    <row r="404" ht="15.75" customHeight="1" s="201">
      <c r="B404" s="154" t="n"/>
      <c r="C404" s="154" t="n"/>
      <c r="D404" s="154" t="n"/>
      <c r="E404" s="154" t="n"/>
      <c r="F404" s="154" t="n"/>
      <c r="G404" s="154" t="n"/>
      <c r="H404" s="154" t="n"/>
      <c r="I404" s="154" t="n"/>
      <c r="J404" s="154" t="n"/>
      <c r="K404" s="154" t="n"/>
    </row>
    <row r="405" ht="15.75" customHeight="1" s="201">
      <c r="B405" s="154" t="n"/>
      <c r="C405" s="154" t="n"/>
      <c r="D405" s="154" t="n"/>
      <c r="E405" s="154" t="n"/>
      <c r="F405" s="154" t="n"/>
      <c r="G405" s="154" t="n"/>
      <c r="H405" s="154" t="n"/>
      <c r="I405" s="154" t="n"/>
      <c r="J405" s="154" t="n"/>
      <c r="K405" s="154" t="n"/>
    </row>
    <row r="406" ht="15.75" customHeight="1" s="201">
      <c r="B406" s="154" t="n"/>
      <c r="C406" s="154" t="n"/>
      <c r="D406" s="154" t="n"/>
      <c r="E406" s="154" t="n"/>
      <c r="F406" s="154" t="n"/>
      <c r="G406" s="154" t="n"/>
      <c r="H406" s="154" t="n"/>
      <c r="I406" s="154" t="n"/>
      <c r="J406" s="154" t="n"/>
      <c r="K406" s="154" t="n"/>
    </row>
    <row r="407" ht="15.75" customHeight="1" s="201">
      <c r="B407" s="154" t="n"/>
      <c r="C407" s="154" t="n"/>
      <c r="D407" s="154" t="n"/>
      <c r="E407" s="154" t="n"/>
      <c r="F407" s="154" t="n"/>
      <c r="G407" s="154" t="n"/>
      <c r="H407" s="154" t="n"/>
      <c r="I407" s="154" t="n"/>
      <c r="J407" s="154" t="n"/>
      <c r="K407" s="154" t="n"/>
    </row>
    <row r="408" ht="15.75" customHeight="1" s="201">
      <c r="B408" s="154" t="n"/>
      <c r="C408" s="154" t="n"/>
      <c r="D408" s="154" t="n"/>
      <c r="E408" s="154" t="n"/>
      <c r="F408" s="154" t="n"/>
      <c r="G408" s="154" t="n"/>
      <c r="H408" s="154" t="n"/>
      <c r="I408" s="154" t="n"/>
      <c r="J408" s="154" t="n"/>
      <c r="K408" s="154" t="n"/>
    </row>
    <row r="409" ht="15.75" customHeight="1" s="201">
      <c r="B409" s="154" t="n"/>
      <c r="C409" s="154" t="n"/>
      <c r="D409" s="154" t="n"/>
      <c r="E409" s="154" t="n"/>
      <c r="F409" s="154" t="n"/>
      <c r="G409" s="154" t="n"/>
      <c r="H409" s="154" t="n"/>
      <c r="I409" s="154" t="n"/>
      <c r="J409" s="154" t="n"/>
      <c r="K409" s="154" t="n"/>
    </row>
    <row r="410" ht="15.75" customHeight="1" s="201">
      <c r="B410" s="154" t="n"/>
      <c r="C410" s="154" t="n"/>
      <c r="D410" s="154" t="n"/>
      <c r="E410" s="154" t="n"/>
      <c r="F410" s="154" t="n"/>
      <c r="G410" s="154" t="n"/>
      <c r="H410" s="154" t="n"/>
      <c r="I410" s="154" t="n"/>
      <c r="J410" s="154" t="n"/>
      <c r="K410" s="154" t="n"/>
    </row>
    <row r="411" ht="15.75" customHeight="1" s="201">
      <c r="B411" s="154" t="n"/>
      <c r="C411" s="154" t="n"/>
      <c r="D411" s="154" t="n"/>
      <c r="E411" s="154" t="n"/>
      <c r="F411" s="154" t="n"/>
      <c r="G411" s="154" t="n"/>
      <c r="H411" s="154" t="n"/>
      <c r="I411" s="154" t="n"/>
      <c r="J411" s="154" t="n"/>
      <c r="K411" s="154" t="n"/>
    </row>
    <row r="412" ht="15.75" customHeight="1" s="201">
      <c r="B412" s="154" t="n"/>
      <c r="C412" s="154" t="n"/>
      <c r="D412" s="154" t="n"/>
      <c r="E412" s="154" t="n"/>
      <c r="F412" s="154" t="n"/>
      <c r="G412" s="154" t="n"/>
      <c r="H412" s="154" t="n"/>
      <c r="I412" s="154" t="n"/>
      <c r="J412" s="154" t="n"/>
      <c r="K412" s="154" t="n"/>
    </row>
    <row r="413" ht="15.75" customHeight="1" s="201">
      <c r="B413" s="154" t="n"/>
      <c r="C413" s="154" t="n"/>
      <c r="D413" s="154" t="n"/>
      <c r="E413" s="154" t="n"/>
      <c r="F413" s="154" t="n"/>
      <c r="G413" s="154" t="n"/>
      <c r="H413" s="154" t="n"/>
      <c r="I413" s="154" t="n"/>
      <c r="J413" s="154" t="n"/>
      <c r="K413" s="154" t="n"/>
    </row>
    <row r="414" ht="15.75" customHeight="1" s="201">
      <c r="B414" s="154" t="n"/>
      <c r="C414" s="154" t="n"/>
      <c r="D414" s="154" t="n"/>
      <c r="E414" s="154" t="n"/>
      <c r="F414" s="154" t="n"/>
      <c r="G414" s="154" t="n"/>
      <c r="H414" s="154" t="n"/>
      <c r="I414" s="154" t="n"/>
      <c r="J414" s="154" t="n"/>
      <c r="K414" s="154" t="n"/>
    </row>
    <row r="415" ht="15.75" customHeight="1" s="201">
      <c r="B415" s="154" t="n"/>
      <c r="C415" s="154" t="n"/>
      <c r="D415" s="154" t="n"/>
      <c r="E415" s="154" t="n"/>
      <c r="F415" s="154" t="n"/>
      <c r="G415" s="154" t="n"/>
      <c r="H415" s="154" t="n"/>
      <c r="I415" s="154" t="n"/>
      <c r="J415" s="154" t="n"/>
      <c r="K415" s="154" t="n"/>
    </row>
    <row r="416" ht="15.75" customHeight="1" s="201">
      <c r="B416" s="154" t="n"/>
      <c r="C416" s="154" t="n"/>
      <c r="D416" s="154" t="n"/>
      <c r="E416" s="154" t="n"/>
      <c r="F416" s="154" t="n"/>
      <c r="G416" s="154" t="n"/>
      <c r="H416" s="154" t="n"/>
      <c r="I416" s="154" t="n"/>
      <c r="J416" s="154" t="n"/>
      <c r="K416" s="154" t="n"/>
    </row>
    <row r="417" ht="15.75" customHeight="1" s="201">
      <c r="B417" s="154" t="n"/>
      <c r="C417" s="154" t="n"/>
      <c r="D417" s="154" t="n"/>
      <c r="E417" s="154" t="n"/>
      <c r="F417" s="154" t="n"/>
      <c r="G417" s="154" t="n"/>
      <c r="H417" s="154" t="n"/>
      <c r="I417" s="154" t="n"/>
      <c r="J417" s="154" t="n"/>
      <c r="K417" s="154" t="n"/>
    </row>
    <row r="418" ht="15.75" customHeight="1" s="201">
      <c r="B418" s="154" t="n"/>
      <c r="C418" s="154" t="n"/>
      <c r="D418" s="154" t="n"/>
      <c r="E418" s="154" t="n"/>
      <c r="F418" s="154" t="n"/>
      <c r="G418" s="154" t="n"/>
      <c r="H418" s="154" t="n"/>
      <c r="I418" s="154" t="n"/>
      <c r="J418" s="154" t="n"/>
      <c r="K418" s="154" t="n"/>
    </row>
    <row r="419" ht="15.75" customHeight="1" s="201">
      <c r="B419" s="154" t="n"/>
      <c r="C419" s="154" t="n"/>
      <c r="D419" s="154" t="n"/>
      <c r="E419" s="154" t="n"/>
      <c r="F419" s="154" t="n"/>
      <c r="G419" s="154" t="n"/>
      <c r="H419" s="154" t="n"/>
      <c r="I419" s="154" t="n"/>
      <c r="J419" s="154" t="n"/>
      <c r="K419" s="154" t="n"/>
    </row>
    <row r="420" ht="15.75" customHeight="1" s="201">
      <c r="B420" s="154" t="n"/>
      <c r="C420" s="154" t="n"/>
      <c r="D420" s="154" t="n"/>
      <c r="E420" s="154" t="n"/>
      <c r="F420" s="154" t="n"/>
      <c r="G420" s="154" t="n"/>
      <c r="H420" s="154" t="n"/>
      <c r="I420" s="154" t="n"/>
      <c r="J420" s="154" t="n"/>
      <c r="K420" s="154" t="n"/>
    </row>
    <row r="421" ht="15.75" customHeight="1" s="201">
      <c r="B421" s="154" t="n"/>
      <c r="C421" s="154" t="n"/>
      <c r="D421" s="154" t="n"/>
      <c r="E421" s="154" t="n"/>
      <c r="F421" s="154" t="n"/>
      <c r="G421" s="154" t="n"/>
      <c r="H421" s="154" t="n"/>
      <c r="I421" s="154" t="n"/>
      <c r="J421" s="154" t="n"/>
      <c r="K421" s="154" t="n"/>
    </row>
    <row r="422" ht="15.75" customHeight="1" s="201">
      <c r="B422" s="154" t="n"/>
      <c r="C422" s="154" t="n"/>
      <c r="D422" s="154" t="n"/>
      <c r="E422" s="154" t="n"/>
      <c r="F422" s="154" t="n"/>
      <c r="G422" s="154" t="n"/>
      <c r="H422" s="154" t="n"/>
      <c r="I422" s="154" t="n"/>
      <c r="J422" s="154" t="n"/>
      <c r="K422" s="154" t="n"/>
    </row>
    <row r="423" ht="15.75" customHeight="1" s="201">
      <c r="B423" s="154" t="n"/>
      <c r="C423" s="154" t="n"/>
      <c r="D423" s="154" t="n"/>
      <c r="E423" s="154" t="n"/>
      <c r="F423" s="154" t="n"/>
      <c r="G423" s="154" t="n"/>
      <c r="H423" s="154" t="n"/>
      <c r="I423" s="154" t="n"/>
      <c r="J423" s="154" t="n"/>
      <c r="K423" s="154" t="n"/>
    </row>
    <row r="424" ht="15.75" customHeight="1" s="201">
      <c r="B424" s="154" t="n"/>
      <c r="C424" s="154" t="n"/>
      <c r="D424" s="154" t="n"/>
      <c r="E424" s="154" t="n"/>
      <c r="F424" s="154" t="n"/>
      <c r="G424" s="154" t="n"/>
      <c r="H424" s="154" t="n"/>
      <c r="I424" s="154" t="n"/>
      <c r="J424" s="154" t="n"/>
      <c r="K424" s="154" t="n"/>
    </row>
    <row r="425" ht="15.75" customHeight="1" s="201">
      <c r="B425" s="154" t="n"/>
      <c r="C425" s="154" t="n"/>
      <c r="D425" s="154" t="n"/>
      <c r="E425" s="154" t="n"/>
      <c r="F425" s="154" t="n"/>
      <c r="G425" s="154" t="n"/>
      <c r="H425" s="154" t="n"/>
      <c r="I425" s="154" t="n"/>
      <c r="J425" s="154" t="n"/>
      <c r="K425" s="154" t="n"/>
    </row>
    <row r="426" ht="15.75" customHeight="1" s="201">
      <c r="B426" s="154" t="n"/>
      <c r="C426" s="154" t="n"/>
      <c r="D426" s="154" t="n"/>
      <c r="E426" s="154" t="n"/>
      <c r="F426" s="154" t="n"/>
      <c r="G426" s="154" t="n"/>
      <c r="H426" s="154" t="n"/>
      <c r="I426" s="154" t="n"/>
      <c r="J426" s="154" t="n"/>
      <c r="K426" s="154" t="n"/>
    </row>
    <row r="427" ht="15.75" customHeight="1" s="201">
      <c r="B427" s="154" t="n"/>
      <c r="C427" s="154" t="n"/>
      <c r="D427" s="154" t="n"/>
      <c r="E427" s="154" t="n"/>
      <c r="F427" s="154" t="n"/>
      <c r="G427" s="154" t="n"/>
      <c r="H427" s="154" t="n"/>
      <c r="I427" s="154" t="n"/>
      <c r="J427" s="154" t="n"/>
      <c r="K427" s="154" t="n"/>
    </row>
    <row r="428" ht="15.75" customHeight="1" s="201">
      <c r="B428" s="154" t="n"/>
      <c r="C428" s="154" t="n"/>
      <c r="D428" s="154" t="n"/>
      <c r="E428" s="154" t="n"/>
      <c r="F428" s="154" t="n"/>
      <c r="G428" s="154" t="n"/>
      <c r="H428" s="154" t="n"/>
      <c r="I428" s="154" t="n"/>
      <c r="J428" s="154" t="n"/>
      <c r="K428" s="154" t="n"/>
    </row>
    <row r="429" ht="15.75" customHeight="1" s="201">
      <c r="B429" s="154" t="n"/>
      <c r="C429" s="154" t="n"/>
      <c r="D429" s="154" t="n"/>
      <c r="E429" s="154" t="n"/>
      <c r="F429" s="154" t="n"/>
      <c r="G429" s="154" t="n"/>
      <c r="H429" s="154" t="n"/>
      <c r="I429" s="154" t="n"/>
      <c r="J429" s="154" t="n"/>
      <c r="K429" s="154" t="n"/>
    </row>
    <row r="430" ht="15.75" customHeight="1" s="201">
      <c r="B430" s="154" t="n"/>
      <c r="C430" s="154" t="n"/>
      <c r="D430" s="154" t="n"/>
      <c r="E430" s="154" t="n"/>
      <c r="F430" s="154" t="n"/>
      <c r="G430" s="154" t="n"/>
      <c r="H430" s="154" t="n"/>
      <c r="I430" s="154" t="n"/>
      <c r="J430" s="154" t="n"/>
      <c r="K430" s="154" t="n"/>
    </row>
    <row r="431" ht="15.75" customHeight="1" s="201">
      <c r="B431" s="154" t="n"/>
      <c r="C431" s="154" t="n"/>
      <c r="D431" s="154" t="n"/>
      <c r="E431" s="154" t="n"/>
      <c r="F431" s="154" t="n"/>
      <c r="G431" s="154" t="n"/>
      <c r="H431" s="154" t="n"/>
      <c r="I431" s="154" t="n"/>
      <c r="J431" s="154" t="n"/>
      <c r="K431" s="154" t="n"/>
    </row>
    <row r="432" ht="15.75" customHeight="1" s="201">
      <c r="B432" s="154" t="n"/>
      <c r="C432" s="154" t="n"/>
      <c r="D432" s="154" t="n"/>
      <c r="E432" s="154" t="n"/>
      <c r="F432" s="154" t="n"/>
      <c r="G432" s="154" t="n"/>
      <c r="H432" s="154" t="n"/>
      <c r="I432" s="154" t="n"/>
      <c r="J432" s="154" t="n"/>
      <c r="K432" s="154" t="n"/>
    </row>
    <row r="433" ht="15.75" customHeight="1" s="201">
      <c r="B433" s="154" t="n"/>
      <c r="C433" s="154" t="n"/>
      <c r="D433" s="154" t="n"/>
      <c r="E433" s="154" t="n"/>
      <c r="F433" s="154" t="n"/>
      <c r="G433" s="154" t="n"/>
      <c r="H433" s="154" t="n"/>
      <c r="I433" s="154" t="n"/>
      <c r="J433" s="154" t="n"/>
      <c r="K433" s="154" t="n"/>
    </row>
    <row r="434" ht="15.75" customHeight="1" s="201">
      <c r="B434" s="154" t="n"/>
      <c r="C434" s="154" t="n"/>
      <c r="D434" s="154" t="n"/>
      <c r="E434" s="154" t="n"/>
      <c r="F434" s="154" t="n"/>
      <c r="G434" s="154" t="n"/>
      <c r="H434" s="154" t="n"/>
      <c r="I434" s="154" t="n"/>
      <c r="J434" s="154" t="n"/>
      <c r="K434" s="154" t="n"/>
    </row>
    <row r="435" ht="15.75" customHeight="1" s="201">
      <c r="B435" s="154" t="n"/>
      <c r="C435" s="154" t="n"/>
      <c r="D435" s="154" t="n"/>
      <c r="E435" s="154" t="n"/>
      <c r="F435" s="154" t="n"/>
      <c r="G435" s="154" t="n"/>
      <c r="H435" s="154" t="n"/>
      <c r="I435" s="154" t="n"/>
      <c r="J435" s="154" t="n"/>
      <c r="K435" s="154" t="n"/>
    </row>
    <row r="436" ht="15.75" customHeight="1" s="201">
      <c r="B436" s="154" t="n"/>
      <c r="C436" s="154" t="n"/>
      <c r="D436" s="154" t="n"/>
      <c r="E436" s="154" t="n"/>
      <c r="F436" s="154" t="n"/>
      <c r="G436" s="154" t="n"/>
      <c r="H436" s="154" t="n"/>
      <c r="I436" s="154" t="n"/>
      <c r="J436" s="154" t="n"/>
      <c r="K436" s="154" t="n"/>
    </row>
    <row r="437" ht="15.75" customHeight="1" s="201">
      <c r="B437" s="154" t="n"/>
      <c r="C437" s="154" t="n"/>
      <c r="D437" s="154" t="n"/>
      <c r="E437" s="154" t="n"/>
      <c r="F437" s="154" t="n"/>
      <c r="G437" s="154" t="n"/>
      <c r="H437" s="154" t="n"/>
      <c r="I437" s="154" t="n"/>
      <c r="J437" s="154" t="n"/>
      <c r="K437" s="154" t="n"/>
    </row>
    <row r="438" ht="15.75" customHeight="1" s="201">
      <c r="B438" s="154" t="n"/>
      <c r="C438" s="154" t="n"/>
      <c r="D438" s="154" t="n"/>
      <c r="E438" s="154" t="n"/>
      <c r="F438" s="154" t="n"/>
      <c r="G438" s="154" t="n"/>
      <c r="H438" s="154" t="n"/>
      <c r="I438" s="154" t="n"/>
      <c r="J438" s="154" t="n"/>
      <c r="K438" s="154" t="n"/>
    </row>
    <row r="439" ht="15.75" customHeight="1" s="201">
      <c r="B439" s="154" t="n"/>
      <c r="C439" s="154" t="n"/>
      <c r="D439" s="154" t="n"/>
      <c r="E439" s="154" t="n"/>
      <c r="F439" s="154" t="n"/>
      <c r="G439" s="154" t="n"/>
      <c r="H439" s="154" t="n"/>
      <c r="I439" s="154" t="n"/>
      <c r="J439" s="154" t="n"/>
      <c r="K439" s="154" t="n"/>
    </row>
    <row r="440" ht="15.75" customHeight="1" s="201">
      <c r="B440" s="154" t="n"/>
      <c r="C440" s="154" t="n"/>
      <c r="D440" s="154" t="n"/>
      <c r="E440" s="154" t="n"/>
      <c r="F440" s="154" t="n"/>
      <c r="G440" s="154" t="n"/>
      <c r="H440" s="154" t="n"/>
      <c r="I440" s="154" t="n"/>
      <c r="J440" s="154" t="n"/>
      <c r="K440" s="154" t="n"/>
    </row>
    <row r="441" ht="15.75" customHeight="1" s="201">
      <c r="B441" s="154" t="n"/>
      <c r="C441" s="154" t="n"/>
      <c r="D441" s="154" t="n"/>
      <c r="E441" s="154" t="n"/>
      <c r="F441" s="154" t="n"/>
      <c r="G441" s="154" t="n"/>
      <c r="H441" s="154" t="n"/>
      <c r="I441" s="154" t="n"/>
      <c r="J441" s="154" t="n"/>
      <c r="K441" s="154" t="n"/>
    </row>
    <row r="442" ht="15.75" customHeight="1" s="201">
      <c r="B442" s="154" t="n"/>
      <c r="C442" s="154" t="n"/>
      <c r="D442" s="154" t="n"/>
      <c r="E442" s="154" t="n"/>
      <c r="F442" s="154" t="n"/>
      <c r="G442" s="154" t="n"/>
      <c r="H442" s="154" t="n"/>
      <c r="I442" s="154" t="n"/>
      <c r="J442" s="154" t="n"/>
      <c r="K442" s="154" t="n"/>
    </row>
    <row r="443" ht="15.75" customHeight="1" s="201">
      <c r="B443" s="154" t="n"/>
      <c r="C443" s="154" t="n"/>
      <c r="D443" s="154" t="n"/>
      <c r="E443" s="154" t="n"/>
      <c r="F443" s="154" t="n"/>
      <c r="G443" s="154" t="n"/>
      <c r="H443" s="154" t="n"/>
      <c r="I443" s="154" t="n"/>
      <c r="J443" s="154" t="n"/>
      <c r="K443" s="154" t="n"/>
    </row>
    <row r="444" ht="15.75" customHeight="1" s="201">
      <c r="B444" s="154" t="n"/>
      <c r="C444" s="154" t="n"/>
      <c r="D444" s="154" t="n"/>
      <c r="E444" s="154" t="n"/>
      <c r="F444" s="154" t="n"/>
      <c r="G444" s="154" t="n"/>
      <c r="H444" s="154" t="n"/>
      <c r="I444" s="154" t="n"/>
      <c r="J444" s="154" t="n"/>
      <c r="K444" s="154" t="n"/>
    </row>
    <row r="445" ht="15.75" customHeight="1" s="201">
      <c r="B445" s="154" t="n"/>
      <c r="C445" s="154" t="n"/>
      <c r="D445" s="154" t="n"/>
      <c r="E445" s="154" t="n"/>
      <c r="F445" s="154" t="n"/>
      <c r="G445" s="154" t="n"/>
      <c r="H445" s="154" t="n"/>
      <c r="I445" s="154" t="n"/>
      <c r="J445" s="154" t="n"/>
      <c r="K445" s="154" t="n"/>
    </row>
    <row r="446" ht="15.75" customHeight="1" s="201">
      <c r="B446" s="154" t="n"/>
      <c r="C446" s="154" t="n"/>
      <c r="D446" s="154" t="n"/>
      <c r="E446" s="154" t="n"/>
      <c r="F446" s="154" t="n"/>
      <c r="G446" s="154" t="n"/>
      <c r="H446" s="154" t="n"/>
      <c r="I446" s="154" t="n"/>
      <c r="J446" s="154" t="n"/>
      <c r="K446" s="154" t="n"/>
    </row>
    <row r="447" ht="15.75" customHeight="1" s="201">
      <c r="B447" s="154" t="n"/>
      <c r="C447" s="154" t="n"/>
      <c r="D447" s="154" t="n"/>
      <c r="E447" s="154" t="n"/>
      <c r="F447" s="154" t="n"/>
      <c r="G447" s="154" t="n"/>
      <c r="H447" s="154" t="n"/>
      <c r="I447" s="154" t="n"/>
      <c r="J447" s="154" t="n"/>
      <c r="K447" s="154" t="n"/>
    </row>
    <row r="448" ht="15.75" customHeight="1" s="201">
      <c r="B448" s="154" t="n"/>
      <c r="C448" s="154" t="n"/>
      <c r="D448" s="154" t="n"/>
      <c r="E448" s="154" t="n"/>
      <c r="F448" s="154" t="n"/>
      <c r="G448" s="154" t="n"/>
      <c r="H448" s="154" t="n"/>
      <c r="I448" s="154" t="n"/>
      <c r="J448" s="154" t="n"/>
      <c r="K448" s="154" t="n"/>
    </row>
    <row r="449" ht="15.75" customHeight="1" s="201">
      <c r="B449" s="154" t="n"/>
      <c r="C449" s="154" t="n"/>
      <c r="D449" s="154" t="n"/>
      <c r="E449" s="154" t="n"/>
      <c r="F449" s="154" t="n"/>
      <c r="G449" s="154" t="n"/>
      <c r="H449" s="154" t="n"/>
      <c r="I449" s="154" t="n"/>
      <c r="J449" s="154" t="n"/>
      <c r="K449" s="154" t="n"/>
    </row>
    <row r="450" ht="15.75" customHeight="1" s="201">
      <c r="B450" s="154" t="n"/>
      <c r="C450" s="154" t="n"/>
      <c r="D450" s="154" t="n"/>
      <c r="E450" s="154" t="n"/>
      <c r="F450" s="154" t="n"/>
      <c r="G450" s="154" t="n"/>
      <c r="H450" s="154" t="n"/>
      <c r="I450" s="154" t="n"/>
      <c r="J450" s="154" t="n"/>
      <c r="K450" s="154" t="n"/>
    </row>
    <row r="451" ht="15.75" customHeight="1" s="201">
      <c r="B451" s="154" t="n"/>
      <c r="C451" s="154" t="n"/>
      <c r="D451" s="154" t="n"/>
      <c r="E451" s="154" t="n"/>
      <c r="F451" s="154" t="n"/>
      <c r="G451" s="154" t="n"/>
      <c r="H451" s="154" t="n"/>
      <c r="I451" s="154" t="n"/>
      <c r="J451" s="154" t="n"/>
      <c r="K451" s="154" t="n"/>
    </row>
    <row r="452" ht="15.75" customHeight="1" s="201">
      <c r="B452" s="154" t="n"/>
      <c r="C452" s="154" t="n"/>
      <c r="D452" s="154" t="n"/>
      <c r="E452" s="154" t="n"/>
      <c r="F452" s="154" t="n"/>
      <c r="G452" s="154" t="n"/>
      <c r="H452" s="154" t="n"/>
      <c r="I452" s="154" t="n"/>
      <c r="J452" s="154" t="n"/>
      <c r="K452" s="154" t="n"/>
    </row>
    <row r="453" ht="15.75" customHeight="1" s="201">
      <c r="B453" s="154" t="n"/>
      <c r="C453" s="154" t="n"/>
      <c r="D453" s="154" t="n"/>
      <c r="E453" s="154" t="n"/>
      <c r="F453" s="154" t="n"/>
      <c r="G453" s="154" t="n"/>
      <c r="H453" s="154" t="n"/>
      <c r="I453" s="154" t="n"/>
      <c r="J453" s="154" t="n"/>
      <c r="K453" s="154" t="n"/>
    </row>
    <row r="454" ht="15.75" customHeight="1" s="201">
      <c r="B454" s="154" t="n"/>
      <c r="C454" s="154" t="n"/>
      <c r="D454" s="154" t="n"/>
      <c r="E454" s="154" t="n"/>
      <c r="F454" s="154" t="n"/>
      <c r="G454" s="154" t="n"/>
      <c r="H454" s="154" t="n"/>
      <c r="I454" s="154" t="n"/>
      <c r="J454" s="154" t="n"/>
      <c r="K454" s="154" t="n"/>
    </row>
    <row r="455" ht="15.75" customHeight="1" s="201">
      <c r="B455" s="154" t="n"/>
      <c r="C455" s="154" t="n"/>
      <c r="D455" s="154" t="n"/>
      <c r="E455" s="154" t="n"/>
      <c r="F455" s="154" t="n"/>
      <c r="G455" s="154" t="n"/>
      <c r="H455" s="154" t="n"/>
      <c r="I455" s="154" t="n"/>
      <c r="J455" s="154" t="n"/>
      <c r="K455" s="154" t="n"/>
    </row>
    <row r="456" ht="15.75" customHeight="1" s="201">
      <c r="B456" s="154" t="n"/>
      <c r="C456" s="154" t="n"/>
      <c r="D456" s="154" t="n"/>
      <c r="E456" s="154" t="n"/>
      <c r="F456" s="154" t="n"/>
      <c r="G456" s="154" t="n"/>
      <c r="H456" s="154" t="n"/>
      <c r="I456" s="154" t="n"/>
      <c r="J456" s="154" t="n"/>
      <c r="K456" s="154" t="n"/>
    </row>
    <row r="457" ht="15.75" customHeight="1" s="201">
      <c r="B457" s="154" t="n"/>
      <c r="C457" s="154" t="n"/>
      <c r="D457" s="154" t="n"/>
      <c r="E457" s="154" t="n"/>
      <c r="F457" s="154" t="n"/>
      <c r="G457" s="154" t="n"/>
      <c r="H457" s="154" t="n"/>
      <c r="I457" s="154" t="n"/>
      <c r="J457" s="154" t="n"/>
      <c r="K457" s="154" t="n"/>
    </row>
    <row r="458" ht="15.75" customHeight="1" s="201">
      <c r="B458" s="154" t="n"/>
      <c r="C458" s="154" t="n"/>
      <c r="D458" s="154" t="n"/>
      <c r="E458" s="154" t="n"/>
      <c r="F458" s="154" t="n"/>
      <c r="G458" s="154" t="n"/>
      <c r="H458" s="154" t="n"/>
      <c r="I458" s="154" t="n"/>
      <c r="J458" s="154" t="n"/>
      <c r="K458" s="154" t="n"/>
    </row>
    <row r="459" ht="15.75" customHeight="1" s="201">
      <c r="B459" s="154" t="n"/>
      <c r="C459" s="154" t="n"/>
      <c r="D459" s="154" t="n"/>
      <c r="E459" s="154" t="n"/>
      <c r="F459" s="154" t="n"/>
      <c r="G459" s="154" t="n"/>
      <c r="H459" s="154" t="n"/>
      <c r="I459" s="154" t="n"/>
      <c r="J459" s="154" t="n"/>
      <c r="K459" s="154" t="n"/>
    </row>
    <row r="460" ht="15.75" customHeight="1" s="201">
      <c r="B460" s="154" t="n"/>
      <c r="C460" s="154" t="n"/>
      <c r="D460" s="154" t="n"/>
      <c r="E460" s="154" t="n"/>
      <c r="F460" s="154" t="n"/>
      <c r="G460" s="154" t="n"/>
      <c r="H460" s="154" t="n"/>
      <c r="I460" s="154" t="n"/>
      <c r="J460" s="154" t="n"/>
      <c r="K460" s="154" t="n"/>
    </row>
    <row r="461" ht="15.75" customHeight="1" s="201">
      <c r="B461" s="154" t="n"/>
      <c r="C461" s="154" t="n"/>
      <c r="D461" s="154" t="n"/>
      <c r="E461" s="154" t="n"/>
      <c r="F461" s="154" t="n"/>
      <c r="G461" s="154" t="n"/>
      <c r="H461" s="154" t="n"/>
      <c r="I461" s="154" t="n"/>
      <c r="J461" s="154" t="n"/>
      <c r="K461" s="154" t="n"/>
    </row>
    <row r="462" ht="15.75" customHeight="1" s="201">
      <c r="B462" s="154" t="n"/>
      <c r="C462" s="154" t="n"/>
      <c r="D462" s="154" t="n"/>
      <c r="E462" s="154" t="n"/>
      <c r="F462" s="154" t="n"/>
      <c r="G462" s="154" t="n"/>
      <c r="H462" s="154" t="n"/>
      <c r="I462" s="154" t="n"/>
      <c r="J462" s="154" t="n"/>
      <c r="K462" s="154" t="n"/>
    </row>
    <row r="463" ht="15.75" customHeight="1" s="201">
      <c r="B463" s="154" t="n"/>
      <c r="C463" s="154" t="n"/>
      <c r="D463" s="154" t="n"/>
      <c r="E463" s="154" t="n"/>
      <c r="F463" s="154" t="n"/>
      <c r="G463" s="154" t="n"/>
      <c r="H463" s="154" t="n"/>
      <c r="I463" s="154" t="n"/>
      <c r="J463" s="154" t="n"/>
      <c r="K463" s="154" t="n"/>
    </row>
    <row r="464" ht="15.75" customHeight="1" s="201">
      <c r="B464" s="154" t="n"/>
      <c r="C464" s="154" t="n"/>
      <c r="D464" s="154" t="n"/>
      <c r="E464" s="154" t="n"/>
      <c r="F464" s="154" t="n"/>
      <c r="G464" s="154" t="n"/>
      <c r="H464" s="154" t="n"/>
      <c r="I464" s="154" t="n"/>
      <c r="J464" s="154" t="n"/>
      <c r="K464" s="154" t="n"/>
    </row>
    <row r="465" ht="15.75" customHeight="1" s="201">
      <c r="B465" s="154" t="n"/>
      <c r="C465" s="154" t="n"/>
      <c r="D465" s="154" t="n"/>
      <c r="E465" s="154" t="n"/>
      <c r="F465" s="154" t="n"/>
      <c r="G465" s="154" t="n"/>
      <c r="H465" s="154" t="n"/>
      <c r="I465" s="154" t="n"/>
      <c r="J465" s="154" t="n"/>
      <c r="K465" s="154" t="n"/>
    </row>
    <row r="466" ht="15.75" customHeight="1" s="201">
      <c r="B466" s="154" t="n"/>
      <c r="C466" s="154" t="n"/>
      <c r="D466" s="154" t="n"/>
      <c r="E466" s="154" t="n"/>
      <c r="F466" s="154" t="n"/>
      <c r="G466" s="154" t="n"/>
      <c r="H466" s="154" t="n"/>
      <c r="I466" s="154" t="n"/>
      <c r="J466" s="154" t="n"/>
      <c r="K466" s="154" t="n"/>
    </row>
    <row r="467" ht="15.75" customHeight="1" s="201">
      <c r="B467" s="154" t="n"/>
      <c r="C467" s="154" t="n"/>
      <c r="D467" s="154" t="n"/>
      <c r="E467" s="154" t="n"/>
      <c r="F467" s="154" t="n"/>
      <c r="G467" s="154" t="n"/>
      <c r="H467" s="154" t="n"/>
      <c r="I467" s="154" t="n"/>
      <c r="J467" s="154" t="n"/>
      <c r="K467" s="154" t="n"/>
    </row>
    <row r="468" ht="15.75" customHeight="1" s="201">
      <c r="B468" s="154" t="n"/>
      <c r="C468" s="154" t="n"/>
      <c r="D468" s="154" t="n"/>
      <c r="E468" s="154" t="n"/>
      <c r="F468" s="154" t="n"/>
      <c r="G468" s="154" t="n"/>
      <c r="H468" s="154" t="n"/>
      <c r="I468" s="154" t="n"/>
      <c r="J468" s="154" t="n"/>
      <c r="K468" s="154" t="n"/>
    </row>
    <row r="469" ht="15.75" customHeight="1" s="201">
      <c r="B469" s="154" t="n"/>
      <c r="C469" s="154" t="n"/>
      <c r="D469" s="154" t="n"/>
      <c r="E469" s="154" t="n"/>
      <c r="F469" s="154" t="n"/>
      <c r="G469" s="154" t="n"/>
      <c r="H469" s="154" t="n"/>
      <c r="I469" s="154" t="n"/>
      <c r="J469" s="154" t="n"/>
      <c r="K469" s="154" t="n"/>
    </row>
    <row r="470" ht="15.75" customHeight="1" s="201">
      <c r="B470" s="154" t="n"/>
      <c r="C470" s="154" t="n"/>
      <c r="D470" s="154" t="n"/>
      <c r="E470" s="154" t="n"/>
      <c r="F470" s="154" t="n"/>
      <c r="G470" s="154" t="n"/>
      <c r="H470" s="154" t="n"/>
      <c r="I470" s="154" t="n"/>
      <c r="J470" s="154" t="n"/>
      <c r="K470" s="154" t="n"/>
    </row>
    <row r="471" ht="15.75" customHeight="1" s="201">
      <c r="B471" s="154" t="n"/>
      <c r="C471" s="154" t="n"/>
      <c r="D471" s="154" t="n"/>
      <c r="E471" s="154" t="n"/>
      <c r="F471" s="154" t="n"/>
      <c r="G471" s="154" t="n"/>
      <c r="H471" s="154" t="n"/>
      <c r="I471" s="154" t="n"/>
      <c r="J471" s="154" t="n"/>
      <c r="K471" s="154" t="n"/>
    </row>
    <row r="472" ht="15.75" customHeight="1" s="201">
      <c r="B472" s="154" t="n"/>
      <c r="C472" s="154" t="n"/>
      <c r="D472" s="154" t="n"/>
      <c r="E472" s="154" t="n"/>
      <c r="F472" s="154" t="n"/>
      <c r="G472" s="154" t="n"/>
      <c r="H472" s="154" t="n"/>
      <c r="I472" s="154" t="n"/>
      <c r="J472" s="154" t="n"/>
      <c r="K472" s="154" t="n"/>
    </row>
    <row r="473" ht="15.75" customHeight="1" s="201">
      <c r="B473" s="154" t="n"/>
      <c r="C473" s="154" t="n"/>
      <c r="D473" s="154" t="n"/>
      <c r="E473" s="154" t="n"/>
      <c r="F473" s="154" t="n"/>
      <c r="G473" s="154" t="n"/>
      <c r="H473" s="154" t="n"/>
      <c r="I473" s="154" t="n"/>
      <c r="J473" s="154" t="n"/>
      <c r="K473" s="154" t="n"/>
    </row>
    <row r="474" ht="15.75" customHeight="1" s="201">
      <c r="B474" s="154" t="n"/>
      <c r="C474" s="154" t="n"/>
      <c r="D474" s="154" t="n"/>
      <c r="E474" s="154" t="n"/>
      <c r="F474" s="154" t="n"/>
      <c r="G474" s="154" t="n"/>
      <c r="H474" s="154" t="n"/>
      <c r="I474" s="154" t="n"/>
      <c r="J474" s="154" t="n"/>
      <c r="K474" s="154" t="n"/>
    </row>
    <row r="475" ht="15.75" customHeight="1" s="201">
      <c r="B475" s="154" t="n"/>
      <c r="C475" s="154" t="n"/>
      <c r="D475" s="154" t="n"/>
      <c r="E475" s="154" t="n"/>
      <c r="F475" s="154" t="n"/>
      <c r="G475" s="154" t="n"/>
      <c r="H475" s="154" t="n"/>
      <c r="I475" s="154" t="n"/>
      <c r="J475" s="154" t="n"/>
      <c r="K475" s="154" t="n"/>
    </row>
    <row r="476" ht="15.75" customHeight="1" s="201">
      <c r="B476" s="154" t="n"/>
      <c r="C476" s="154" t="n"/>
      <c r="D476" s="154" t="n"/>
      <c r="E476" s="154" t="n"/>
      <c r="F476" s="154" t="n"/>
      <c r="G476" s="154" t="n"/>
      <c r="H476" s="154" t="n"/>
      <c r="I476" s="154" t="n"/>
      <c r="J476" s="154" t="n"/>
      <c r="K476" s="154" t="n"/>
    </row>
    <row r="477" ht="15.75" customHeight="1" s="201">
      <c r="B477" s="154" t="n"/>
      <c r="C477" s="154" t="n"/>
      <c r="D477" s="154" t="n"/>
      <c r="E477" s="154" t="n"/>
      <c r="F477" s="154" t="n"/>
      <c r="G477" s="154" t="n"/>
      <c r="H477" s="154" t="n"/>
      <c r="I477" s="154" t="n"/>
      <c r="J477" s="154" t="n"/>
      <c r="K477" s="154" t="n"/>
    </row>
    <row r="478" ht="15.75" customHeight="1" s="201">
      <c r="B478" s="154" t="n"/>
      <c r="C478" s="154" t="n"/>
      <c r="D478" s="154" t="n"/>
      <c r="E478" s="154" t="n"/>
      <c r="F478" s="154" t="n"/>
      <c r="G478" s="154" t="n"/>
      <c r="H478" s="154" t="n"/>
      <c r="I478" s="154" t="n"/>
      <c r="J478" s="154" t="n"/>
      <c r="K478" s="154" t="n"/>
    </row>
    <row r="479" ht="15.75" customHeight="1" s="201">
      <c r="B479" s="154" t="n"/>
      <c r="C479" s="154" t="n"/>
      <c r="D479" s="154" t="n"/>
      <c r="E479" s="154" t="n"/>
      <c r="F479" s="154" t="n"/>
      <c r="G479" s="154" t="n"/>
      <c r="H479" s="154" t="n"/>
      <c r="I479" s="154" t="n"/>
      <c r="J479" s="154" t="n"/>
      <c r="K479" s="154" t="n"/>
    </row>
    <row r="480" ht="15.75" customHeight="1" s="201">
      <c r="B480" s="154" t="n"/>
      <c r="C480" s="154" t="n"/>
      <c r="D480" s="154" t="n"/>
      <c r="E480" s="154" t="n"/>
      <c r="F480" s="154" t="n"/>
      <c r="G480" s="154" t="n"/>
      <c r="H480" s="154" t="n"/>
      <c r="I480" s="154" t="n"/>
      <c r="J480" s="154" t="n"/>
      <c r="K480" s="154" t="n"/>
    </row>
    <row r="481" ht="15.75" customHeight="1" s="201">
      <c r="B481" s="154" t="n"/>
      <c r="C481" s="154" t="n"/>
      <c r="D481" s="154" t="n"/>
      <c r="E481" s="154" t="n"/>
      <c r="F481" s="154" t="n"/>
      <c r="G481" s="154" t="n"/>
      <c r="H481" s="154" t="n"/>
      <c r="I481" s="154" t="n"/>
      <c r="J481" s="154" t="n"/>
      <c r="K481" s="154" t="n"/>
    </row>
    <row r="482" ht="15.75" customHeight="1" s="201">
      <c r="B482" s="154" t="n"/>
      <c r="C482" s="154" t="n"/>
      <c r="D482" s="154" t="n"/>
      <c r="E482" s="154" t="n"/>
      <c r="F482" s="154" t="n"/>
      <c r="G482" s="154" t="n"/>
      <c r="H482" s="154" t="n"/>
      <c r="I482" s="154" t="n"/>
      <c r="J482" s="154" t="n"/>
      <c r="K482" s="154" t="n"/>
    </row>
    <row r="483" ht="15.75" customHeight="1" s="201">
      <c r="B483" s="154" t="n"/>
      <c r="C483" s="154" t="n"/>
      <c r="D483" s="154" t="n"/>
      <c r="E483" s="154" t="n"/>
      <c r="F483" s="154" t="n"/>
      <c r="G483" s="154" t="n"/>
      <c r="H483" s="154" t="n"/>
      <c r="I483" s="154" t="n"/>
      <c r="J483" s="154" t="n"/>
      <c r="K483" s="154" t="n"/>
    </row>
    <row r="484" ht="15.75" customHeight="1" s="201">
      <c r="B484" s="154" t="n"/>
      <c r="C484" s="154" t="n"/>
      <c r="D484" s="154" t="n"/>
      <c r="E484" s="154" t="n"/>
      <c r="F484" s="154" t="n"/>
      <c r="G484" s="154" t="n"/>
      <c r="H484" s="154" t="n"/>
      <c r="I484" s="154" t="n"/>
      <c r="J484" s="154" t="n"/>
      <c r="K484" s="154" t="n"/>
    </row>
    <row r="485" ht="15.75" customHeight="1" s="201">
      <c r="B485" s="154" t="n"/>
      <c r="C485" s="154" t="n"/>
      <c r="D485" s="154" t="n"/>
      <c r="E485" s="154" t="n"/>
      <c r="F485" s="154" t="n"/>
      <c r="G485" s="154" t="n"/>
      <c r="H485" s="154" t="n"/>
      <c r="I485" s="154" t="n"/>
      <c r="J485" s="154" t="n"/>
      <c r="K485" s="154" t="n"/>
    </row>
    <row r="486" ht="15.75" customHeight="1" s="201">
      <c r="B486" s="154" t="n"/>
      <c r="C486" s="154" t="n"/>
      <c r="D486" s="154" t="n"/>
      <c r="E486" s="154" t="n"/>
      <c r="F486" s="154" t="n"/>
      <c r="G486" s="154" t="n"/>
      <c r="H486" s="154" t="n"/>
      <c r="I486" s="154" t="n"/>
      <c r="J486" s="154" t="n"/>
      <c r="K486" s="154" t="n"/>
    </row>
    <row r="487" ht="15.75" customHeight="1" s="201">
      <c r="B487" s="154" t="n"/>
      <c r="C487" s="154" t="n"/>
      <c r="D487" s="154" t="n"/>
      <c r="E487" s="154" t="n"/>
      <c r="F487" s="154" t="n"/>
      <c r="G487" s="154" t="n"/>
      <c r="H487" s="154" t="n"/>
      <c r="I487" s="154" t="n"/>
      <c r="J487" s="154" t="n"/>
      <c r="K487" s="154" t="n"/>
    </row>
    <row r="488" ht="15.75" customHeight="1" s="201">
      <c r="B488" s="154" t="n"/>
      <c r="C488" s="154" t="n"/>
      <c r="D488" s="154" t="n"/>
      <c r="E488" s="154" t="n"/>
      <c r="F488" s="154" t="n"/>
      <c r="G488" s="154" t="n"/>
      <c r="H488" s="154" t="n"/>
      <c r="I488" s="154" t="n"/>
      <c r="J488" s="154" t="n"/>
      <c r="K488" s="154" t="n"/>
    </row>
    <row r="489" ht="15.75" customHeight="1" s="201">
      <c r="B489" s="154" t="n"/>
      <c r="C489" s="154" t="n"/>
      <c r="D489" s="154" t="n"/>
      <c r="E489" s="154" t="n"/>
      <c r="F489" s="154" t="n"/>
      <c r="G489" s="154" t="n"/>
      <c r="H489" s="154" t="n"/>
      <c r="I489" s="154" t="n"/>
      <c r="J489" s="154" t="n"/>
      <c r="K489" s="154" t="n"/>
    </row>
    <row r="490" ht="15.75" customHeight="1" s="201">
      <c r="B490" s="154" t="n"/>
      <c r="C490" s="154" t="n"/>
      <c r="D490" s="154" t="n"/>
      <c r="E490" s="154" t="n"/>
      <c r="F490" s="154" t="n"/>
      <c r="G490" s="154" t="n"/>
      <c r="H490" s="154" t="n"/>
      <c r="I490" s="154" t="n"/>
      <c r="J490" s="154" t="n"/>
      <c r="K490" s="154" t="n"/>
    </row>
    <row r="491" ht="15.75" customHeight="1" s="201">
      <c r="B491" s="154" t="n"/>
      <c r="C491" s="154" t="n"/>
      <c r="D491" s="154" t="n"/>
      <c r="E491" s="154" t="n"/>
      <c r="F491" s="154" t="n"/>
      <c r="G491" s="154" t="n"/>
      <c r="H491" s="154" t="n"/>
      <c r="I491" s="154" t="n"/>
      <c r="J491" s="154" t="n"/>
      <c r="K491" s="154" t="n"/>
    </row>
    <row r="492" ht="15.75" customHeight="1" s="201">
      <c r="B492" s="154" t="n"/>
      <c r="C492" s="154" t="n"/>
      <c r="D492" s="154" t="n"/>
      <c r="E492" s="154" t="n"/>
      <c r="F492" s="154" t="n"/>
      <c r="G492" s="154" t="n"/>
      <c r="H492" s="154" t="n"/>
      <c r="I492" s="154" t="n"/>
      <c r="J492" s="154" t="n"/>
      <c r="K492" s="154" t="n"/>
    </row>
    <row r="493" ht="15.75" customHeight="1" s="201">
      <c r="B493" s="154" t="n"/>
      <c r="C493" s="154" t="n"/>
      <c r="D493" s="154" t="n"/>
      <c r="E493" s="154" t="n"/>
      <c r="F493" s="154" t="n"/>
      <c r="G493" s="154" t="n"/>
      <c r="H493" s="154" t="n"/>
      <c r="I493" s="154" t="n"/>
      <c r="J493" s="154" t="n"/>
      <c r="K493" s="154" t="n"/>
    </row>
    <row r="494" ht="15.75" customHeight="1" s="201">
      <c r="B494" s="154" t="n"/>
      <c r="C494" s="154" t="n"/>
      <c r="D494" s="154" t="n"/>
      <c r="E494" s="154" t="n"/>
      <c r="F494" s="154" t="n"/>
      <c r="G494" s="154" t="n"/>
      <c r="H494" s="154" t="n"/>
      <c r="I494" s="154" t="n"/>
      <c r="J494" s="154" t="n"/>
      <c r="K494" s="154" t="n"/>
    </row>
    <row r="495" ht="15.75" customHeight="1" s="201">
      <c r="B495" s="154" t="n"/>
      <c r="C495" s="154" t="n"/>
      <c r="D495" s="154" t="n"/>
      <c r="E495" s="154" t="n"/>
      <c r="F495" s="154" t="n"/>
      <c r="G495" s="154" t="n"/>
      <c r="H495" s="154" t="n"/>
      <c r="I495" s="154" t="n"/>
      <c r="J495" s="154" t="n"/>
      <c r="K495" s="154" t="n"/>
    </row>
    <row r="496" ht="15.75" customHeight="1" s="201">
      <c r="B496" s="154" t="n"/>
      <c r="C496" s="154" t="n"/>
      <c r="D496" s="154" t="n"/>
      <c r="E496" s="154" t="n"/>
      <c r="F496" s="154" t="n"/>
      <c r="G496" s="154" t="n"/>
      <c r="H496" s="154" t="n"/>
      <c r="I496" s="154" t="n"/>
      <c r="J496" s="154" t="n"/>
      <c r="K496" s="154" t="n"/>
    </row>
    <row r="497" ht="15.75" customHeight="1" s="201">
      <c r="B497" s="154" t="n"/>
      <c r="C497" s="154" t="n"/>
      <c r="D497" s="154" t="n"/>
      <c r="E497" s="154" t="n"/>
      <c r="F497" s="154" t="n"/>
      <c r="G497" s="154" t="n"/>
      <c r="H497" s="154" t="n"/>
      <c r="I497" s="154" t="n"/>
      <c r="J497" s="154" t="n"/>
      <c r="K497" s="154" t="n"/>
    </row>
    <row r="498" ht="15.75" customHeight="1" s="201">
      <c r="B498" s="154" t="n"/>
      <c r="C498" s="154" t="n"/>
      <c r="D498" s="154" t="n"/>
      <c r="E498" s="154" t="n"/>
      <c r="F498" s="154" t="n"/>
      <c r="G498" s="154" t="n"/>
      <c r="H498" s="154" t="n"/>
      <c r="I498" s="154" t="n"/>
      <c r="J498" s="154" t="n"/>
      <c r="K498" s="154" t="n"/>
    </row>
    <row r="499" ht="15.75" customHeight="1" s="201">
      <c r="B499" s="154" t="n"/>
      <c r="C499" s="154" t="n"/>
      <c r="D499" s="154" t="n"/>
      <c r="E499" s="154" t="n"/>
      <c r="F499" s="154" t="n"/>
      <c r="G499" s="154" t="n"/>
      <c r="H499" s="154" t="n"/>
      <c r="I499" s="154" t="n"/>
      <c r="J499" s="154" t="n"/>
      <c r="K499" s="154" t="n"/>
    </row>
    <row r="500" ht="15.75" customHeight="1" s="201">
      <c r="B500" s="154" t="n"/>
      <c r="C500" s="154" t="n"/>
      <c r="D500" s="154" t="n"/>
      <c r="E500" s="154" t="n"/>
      <c r="F500" s="154" t="n"/>
      <c r="G500" s="154" t="n"/>
      <c r="H500" s="154" t="n"/>
      <c r="I500" s="154" t="n"/>
      <c r="J500" s="154" t="n"/>
      <c r="K500" s="154" t="n"/>
    </row>
    <row r="501" ht="15.75" customHeight="1" s="201">
      <c r="B501" s="154" t="n"/>
      <c r="C501" s="154" t="n"/>
      <c r="D501" s="154" t="n"/>
      <c r="E501" s="154" t="n"/>
      <c r="F501" s="154" t="n"/>
      <c r="G501" s="154" t="n"/>
      <c r="H501" s="154" t="n"/>
      <c r="I501" s="154" t="n"/>
      <c r="J501" s="154" t="n"/>
      <c r="K501" s="154" t="n"/>
    </row>
    <row r="502" ht="15.75" customHeight="1" s="201">
      <c r="B502" s="154" t="n"/>
      <c r="C502" s="154" t="n"/>
      <c r="D502" s="154" t="n"/>
      <c r="E502" s="154" t="n"/>
      <c r="F502" s="154" t="n"/>
      <c r="G502" s="154" t="n"/>
      <c r="H502" s="154" t="n"/>
      <c r="I502" s="154" t="n"/>
      <c r="J502" s="154" t="n"/>
      <c r="K502" s="154" t="n"/>
    </row>
    <row r="503" ht="15.75" customHeight="1" s="201">
      <c r="B503" s="154" t="n"/>
      <c r="C503" s="154" t="n"/>
      <c r="D503" s="154" t="n"/>
      <c r="E503" s="154" t="n"/>
      <c r="F503" s="154" t="n"/>
      <c r="G503" s="154" t="n"/>
      <c r="H503" s="154" t="n"/>
      <c r="I503" s="154" t="n"/>
      <c r="J503" s="154" t="n"/>
      <c r="K503" s="154" t="n"/>
    </row>
    <row r="504" ht="15.75" customHeight="1" s="201">
      <c r="B504" s="154" t="n"/>
      <c r="C504" s="154" t="n"/>
      <c r="D504" s="154" t="n"/>
      <c r="E504" s="154" t="n"/>
      <c r="F504" s="154" t="n"/>
      <c r="G504" s="154" t="n"/>
      <c r="H504" s="154" t="n"/>
      <c r="I504" s="154" t="n"/>
      <c r="J504" s="154" t="n"/>
      <c r="K504" s="154" t="n"/>
    </row>
    <row r="505" ht="15.75" customHeight="1" s="201">
      <c r="B505" s="154" t="n"/>
      <c r="C505" s="154" t="n"/>
      <c r="D505" s="154" t="n"/>
      <c r="E505" s="154" t="n"/>
      <c r="F505" s="154" t="n"/>
      <c r="G505" s="154" t="n"/>
      <c r="H505" s="154" t="n"/>
      <c r="I505" s="154" t="n"/>
      <c r="J505" s="154" t="n"/>
      <c r="K505" s="154" t="n"/>
    </row>
    <row r="506" ht="15.75" customHeight="1" s="201">
      <c r="B506" s="154" t="n"/>
      <c r="C506" s="154" t="n"/>
      <c r="D506" s="154" t="n"/>
      <c r="E506" s="154" t="n"/>
      <c r="F506" s="154" t="n"/>
      <c r="G506" s="154" t="n"/>
      <c r="H506" s="154" t="n"/>
      <c r="I506" s="154" t="n"/>
      <c r="J506" s="154" t="n"/>
      <c r="K506" s="154" t="n"/>
    </row>
    <row r="507" ht="15.75" customHeight="1" s="201">
      <c r="B507" s="154" t="n"/>
      <c r="C507" s="154" t="n"/>
      <c r="D507" s="154" t="n"/>
      <c r="E507" s="154" t="n"/>
      <c r="F507" s="154" t="n"/>
      <c r="G507" s="154" t="n"/>
      <c r="H507" s="154" t="n"/>
      <c r="I507" s="154" t="n"/>
      <c r="J507" s="154" t="n"/>
      <c r="K507" s="154" t="n"/>
    </row>
    <row r="508" ht="15.75" customHeight="1" s="201">
      <c r="B508" s="154" t="n"/>
      <c r="C508" s="154" t="n"/>
      <c r="D508" s="154" t="n"/>
      <c r="E508" s="154" t="n"/>
      <c r="F508" s="154" t="n"/>
      <c r="G508" s="154" t="n"/>
      <c r="H508" s="154" t="n"/>
      <c r="I508" s="154" t="n"/>
      <c r="J508" s="154" t="n"/>
      <c r="K508" s="154" t="n"/>
    </row>
    <row r="509" ht="15.75" customHeight="1" s="201">
      <c r="B509" s="154" t="n"/>
      <c r="C509" s="154" t="n"/>
      <c r="D509" s="154" t="n"/>
      <c r="E509" s="154" t="n"/>
      <c r="F509" s="154" t="n"/>
      <c r="G509" s="154" t="n"/>
      <c r="H509" s="154" t="n"/>
      <c r="I509" s="154" t="n"/>
      <c r="J509" s="154" t="n"/>
      <c r="K509" s="154" t="n"/>
    </row>
    <row r="510" ht="15.75" customHeight="1" s="201">
      <c r="B510" s="154" t="n"/>
      <c r="C510" s="154" t="n"/>
      <c r="D510" s="154" t="n"/>
      <c r="E510" s="154" t="n"/>
      <c r="F510" s="154" t="n"/>
      <c r="G510" s="154" t="n"/>
      <c r="H510" s="154" t="n"/>
      <c r="I510" s="154" t="n"/>
      <c r="J510" s="154" t="n"/>
      <c r="K510" s="154" t="n"/>
    </row>
    <row r="511" ht="15.75" customHeight="1" s="201">
      <c r="B511" s="154" t="n"/>
      <c r="C511" s="154" t="n"/>
      <c r="D511" s="154" t="n"/>
      <c r="E511" s="154" t="n"/>
      <c r="F511" s="154" t="n"/>
      <c r="G511" s="154" t="n"/>
      <c r="H511" s="154" t="n"/>
      <c r="I511" s="154" t="n"/>
      <c r="J511" s="154" t="n"/>
      <c r="K511" s="154" t="n"/>
    </row>
    <row r="512" ht="15.75" customHeight="1" s="201">
      <c r="B512" s="154" t="n"/>
      <c r="C512" s="154" t="n"/>
      <c r="D512" s="154" t="n"/>
      <c r="E512" s="154" t="n"/>
      <c r="F512" s="154" t="n"/>
      <c r="G512" s="154" t="n"/>
      <c r="H512" s="154" t="n"/>
      <c r="I512" s="154" t="n"/>
      <c r="J512" s="154" t="n"/>
      <c r="K512" s="154" t="n"/>
    </row>
    <row r="513" ht="15.75" customHeight="1" s="201">
      <c r="B513" s="154" t="n"/>
      <c r="C513" s="154" t="n"/>
      <c r="D513" s="154" t="n"/>
      <c r="E513" s="154" t="n"/>
      <c r="F513" s="154" t="n"/>
      <c r="G513" s="154" t="n"/>
      <c r="H513" s="154" t="n"/>
      <c r="I513" s="154" t="n"/>
      <c r="J513" s="154" t="n"/>
      <c r="K513" s="154" t="n"/>
    </row>
    <row r="514" ht="15.75" customHeight="1" s="201">
      <c r="B514" s="154" t="n"/>
      <c r="C514" s="154" t="n"/>
      <c r="D514" s="154" t="n"/>
      <c r="E514" s="154" t="n"/>
      <c r="F514" s="154" t="n"/>
      <c r="G514" s="154" t="n"/>
      <c r="H514" s="154" t="n"/>
      <c r="I514" s="154" t="n"/>
      <c r="J514" s="154" t="n"/>
      <c r="K514" s="154" t="n"/>
    </row>
    <row r="515" ht="15.75" customHeight="1" s="201">
      <c r="B515" s="154" t="n"/>
      <c r="C515" s="154" t="n"/>
      <c r="D515" s="154" t="n"/>
      <c r="E515" s="154" t="n"/>
      <c r="F515" s="154" t="n"/>
      <c r="G515" s="154" t="n"/>
      <c r="H515" s="154" t="n"/>
      <c r="I515" s="154" t="n"/>
      <c r="J515" s="154" t="n"/>
      <c r="K515" s="154" t="n"/>
    </row>
    <row r="516" ht="15.75" customHeight="1" s="201">
      <c r="B516" s="154" t="n"/>
      <c r="C516" s="154" t="n"/>
      <c r="D516" s="154" t="n"/>
      <c r="E516" s="154" t="n"/>
      <c r="F516" s="154" t="n"/>
      <c r="G516" s="154" t="n"/>
      <c r="H516" s="154" t="n"/>
      <c r="I516" s="154" t="n"/>
      <c r="J516" s="154" t="n"/>
      <c r="K516" s="154" t="n"/>
    </row>
    <row r="517" ht="15.75" customHeight="1" s="201">
      <c r="B517" s="154" t="n"/>
      <c r="C517" s="154" t="n"/>
      <c r="D517" s="154" t="n"/>
      <c r="E517" s="154" t="n"/>
      <c r="F517" s="154" t="n"/>
      <c r="G517" s="154" t="n"/>
      <c r="H517" s="154" t="n"/>
      <c r="I517" s="154" t="n"/>
      <c r="J517" s="154" t="n"/>
      <c r="K517" s="154" t="n"/>
    </row>
    <row r="518" ht="15.75" customHeight="1" s="201">
      <c r="B518" s="154" t="n"/>
      <c r="C518" s="154" t="n"/>
      <c r="D518" s="154" t="n"/>
      <c r="E518" s="154" t="n"/>
      <c r="F518" s="154" t="n"/>
      <c r="G518" s="154" t="n"/>
      <c r="H518" s="154" t="n"/>
      <c r="I518" s="154" t="n"/>
      <c r="J518" s="154" t="n"/>
      <c r="K518" s="154" t="n"/>
    </row>
    <row r="519" ht="15.75" customHeight="1" s="201">
      <c r="B519" s="154" t="n"/>
      <c r="C519" s="154" t="n"/>
      <c r="D519" s="154" t="n"/>
      <c r="E519" s="154" t="n"/>
      <c r="F519" s="154" t="n"/>
      <c r="G519" s="154" t="n"/>
      <c r="H519" s="154" t="n"/>
      <c r="I519" s="154" t="n"/>
      <c r="J519" s="154" t="n"/>
      <c r="K519" s="154" t="n"/>
    </row>
    <row r="520" ht="15.75" customHeight="1" s="201">
      <c r="B520" s="154" t="n"/>
      <c r="C520" s="154" t="n"/>
      <c r="D520" s="154" t="n"/>
      <c r="E520" s="154" t="n"/>
      <c r="F520" s="154" t="n"/>
      <c r="G520" s="154" t="n"/>
      <c r="H520" s="154" t="n"/>
      <c r="I520" s="154" t="n"/>
      <c r="J520" s="154" t="n"/>
      <c r="K520" s="154" t="n"/>
    </row>
    <row r="521" ht="15.75" customHeight="1" s="201">
      <c r="B521" s="154" t="n"/>
      <c r="C521" s="154" t="n"/>
      <c r="D521" s="154" t="n"/>
      <c r="E521" s="154" t="n"/>
      <c r="F521" s="154" t="n"/>
      <c r="G521" s="154" t="n"/>
      <c r="H521" s="154" t="n"/>
      <c r="I521" s="154" t="n"/>
      <c r="J521" s="154" t="n"/>
      <c r="K521" s="154" t="n"/>
    </row>
    <row r="522" ht="15.75" customHeight="1" s="201">
      <c r="B522" s="154" t="n"/>
      <c r="C522" s="154" t="n"/>
      <c r="D522" s="154" t="n"/>
      <c r="E522" s="154" t="n"/>
      <c r="F522" s="154" t="n"/>
      <c r="G522" s="154" t="n"/>
      <c r="H522" s="154" t="n"/>
      <c r="I522" s="154" t="n"/>
      <c r="J522" s="154" t="n"/>
      <c r="K522" s="154" t="n"/>
    </row>
    <row r="523" ht="15.75" customHeight="1" s="201">
      <c r="B523" s="154" t="n"/>
      <c r="C523" s="154" t="n"/>
      <c r="D523" s="154" t="n"/>
      <c r="E523" s="154" t="n"/>
      <c r="F523" s="154" t="n"/>
      <c r="G523" s="154" t="n"/>
      <c r="H523" s="154" t="n"/>
      <c r="I523" s="154" t="n"/>
      <c r="J523" s="154" t="n"/>
      <c r="K523" s="154" t="n"/>
    </row>
    <row r="524" ht="15.75" customHeight="1" s="201">
      <c r="B524" s="154" t="n"/>
      <c r="C524" s="154" t="n"/>
      <c r="D524" s="154" t="n"/>
      <c r="E524" s="154" t="n"/>
      <c r="F524" s="154" t="n"/>
      <c r="G524" s="154" t="n"/>
      <c r="H524" s="154" t="n"/>
      <c r="I524" s="154" t="n"/>
      <c r="J524" s="154" t="n"/>
      <c r="K524" s="154" t="n"/>
    </row>
    <row r="525" ht="15.75" customHeight="1" s="201">
      <c r="B525" s="154" t="n"/>
      <c r="C525" s="154" t="n"/>
      <c r="D525" s="154" t="n"/>
      <c r="E525" s="154" t="n"/>
      <c r="F525" s="154" t="n"/>
      <c r="G525" s="154" t="n"/>
      <c r="H525" s="154" t="n"/>
      <c r="I525" s="154" t="n"/>
      <c r="J525" s="154" t="n"/>
      <c r="K525" s="154" t="n"/>
    </row>
    <row r="526" ht="15.75" customHeight="1" s="201">
      <c r="B526" s="154" t="n"/>
      <c r="C526" s="154" t="n"/>
      <c r="D526" s="154" t="n"/>
      <c r="E526" s="154" t="n"/>
      <c r="F526" s="154" t="n"/>
      <c r="G526" s="154" t="n"/>
      <c r="H526" s="154" t="n"/>
      <c r="I526" s="154" t="n"/>
      <c r="J526" s="154" t="n"/>
      <c r="K526" s="154" t="n"/>
    </row>
    <row r="527" ht="15.75" customHeight="1" s="201">
      <c r="B527" s="154" t="n"/>
      <c r="C527" s="154" t="n"/>
      <c r="D527" s="154" t="n"/>
      <c r="E527" s="154" t="n"/>
      <c r="F527" s="154" t="n"/>
      <c r="G527" s="154" t="n"/>
      <c r="H527" s="154" t="n"/>
      <c r="I527" s="154" t="n"/>
      <c r="J527" s="154" t="n"/>
      <c r="K527" s="154" t="n"/>
    </row>
    <row r="528" ht="15.75" customHeight="1" s="201">
      <c r="B528" s="154" t="n"/>
      <c r="C528" s="154" t="n"/>
      <c r="D528" s="154" t="n"/>
      <c r="E528" s="154" t="n"/>
      <c r="F528" s="154" t="n"/>
      <c r="G528" s="154" t="n"/>
      <c r="H528" s="154" t="n"/>
      <c r="I528" s="154" t="n"/>
      <c r="J528" s="154" t="n"/>
      <c r="K528" s="154" t="n"/>
    </row>
    <row r="529" ht="15.75" customHeight="1" s="201">
      <c r="B529" s="154" t="n"/>
      <c r="C529" s="154" t="n"/>
      <c r="D529" s="154" t="n"/>
      <c r="E529" s="154" t="n"/>
      <c r="F529" s="154" t="n"/>
      <c r="G529" s="154" t="n"/>
      <c r="H529" s="154" t="n"/>
      <c r="I529" s="154" t="n"/>
      <c r="J529" s="154" t="n"/>
      <c r="K529" s="154" t="n"/>
    </row>
    <row r="530" ht="15.75" customHeight="1" s="201">
      <c r="B530" s="154" t="n"/>
      <c r="C530" s="154" t="n"/>
      <c r="D530" s="154" t="n"/>
      <c r="E530" s="154" t="n"/>
      <c r="F530" s="154" t="n"/>
      <c r="G530" s="154" t="n"/>
      <c r="H530" s="154" t="n"/>
      <c r="I530" s="154" t="n"/>
      <c r="J530" s="154" t="n"/>
      <c r="K530" s="154" t="n"/>
    </row>
    <row r="531" ht="15.75" customHeight="1" s="201">
      <c r="B531" s="154" t="n"/>
      <c r="C531" s="154" t="n"/>
      <c r="D531" s="154" t="n"/>
      <c r="E531" s="154" t="n"/>
      <c r="F531" s="154" t="n"/>
      <c r="G531" s="154" t="n"/>
      <c r="H531" s="154" t="n"/>
      <c r="I531" s="154" t="n"/>
      <c r="J531" s="154" t="n"/>
      <c r="K531" s="154" t="n"/>
    </row>
    <row r="532" ht="15.75" customHeight="1" s="201">
      <c r="B532" s="154" t="n"/>
      <c r="C532" s="154" t="n"/>
      <c r="D532" s="154" t="n"/>
      <c r="E532" s="154" t="n"/>
      <c r="F532" s="154" t="n"/>
      <c r="G532" s="154" t="n"/>
      <c r="H532" s="154" t="n"/>
      <c r="I532" s="154" t="n"/>
      <c r="J532" s="154" t="n"/>
      <c r="K532" s="154" t="n"/>
    </row>
    <row r="533" ht="15.75" customHeight="1" s="201">
      <c r="B533" s="154" t="n"/>
      <c r="C533" s="154" t="n"/>
      <c r="D533" s="154" t="n"/>
      <c r="E533" s="154" t="n"/>
      <c r="F533" s="154" t="n"/>
      <c r="G533" s="154" t="n"/>
      <c r="H533" s="154" t="n"/>
      <c r="I533" s="154" t="n"/>
      <c r="J533" s="154" t="n"/>
      <c r="K533" s="154" t="n"/>
    </row>
    <row r="534" ht="15.75" customHeight="1" s="201">
      <c r="B534" s="154" t="n"/>
      <c r="C534" s="154" t="n"/>
      <c r="D534" s="154" t="n"/>
      <c r="E534" s="154" t="n"/>
      <c r="F534" s="154" t="n"/>
      <c r="G534" s="154" t="n"/>
      <c r="H534" s="154" t="n"/>
      <c r="I534" s="154" t="n"/>
      <c r="J534" s="154" t="n"/>
      <c r="K534" s="154" t="n"/>
    </row>
    <row r="535" ht="15.75" customHeight="1" s="201">
      <c r="B535" s="154" t="n"/>
      <c r="C535" s="154" t="n"/>
      <c r="D535" s="154" t="n"/>
      <c r="E535" s="154" t="n"/>
      <c r="F535" s="154" t="n"/>
      <c r="G535" s="154" t="n"/>
      <c r="H535" s="154" t="n"/>
      <c r="I535" s="154" t="n"/>
      <c r="J535" s="154" t="n"/>
      <c r="K535" s="154" t="n"/>
    </row>
    <row r="536" ht="15.75" customHeight="1" s="201">
      <c r="B536" s="154" t="n"/>
      <c r="C536" s="154" t="n"/>
      <c r="D536" s="154" t="n"/>
      <c r="E536" s="154" t="n"/>
      <c r="F536" s="154" t="n"/>
      <c r="G536" s="154" t="n"/>
      <c r="H536" s="154" t="n"/>
      <c r="I536" s="154" t="n"/>
      <c r="J536" s="154" t="n"/>
      <c r="K536" s="154" t="n"/>
    </row>
    <row r="537" ht="15.75" customHeight="1" s="201">
      <c r="B537" s="154" t="n"/>
      <c r="C537" s="154" t="n"/>
      <c r="D537" s="154" t="n"/>
      <c r="E537" s="154" t="n"/>
      <c r="F537" s="154" t="n"/>
      <c r="G537" s="154" t="n"/>
      <c r="H537" s="154" t="n"/>
      <c r="I537" s="154" t="n"/>
      <c r="J537" s="154" t="n"/>
      <c r="K537" s="154" t="n"/>
    </row>
    <row r="538" ht="15.75" customHeight="1" s="201">
      <c r="B538" s="154" t="n"/>
      <c r="C538" s="154" t="n"/>
      <c r="D538" s="154" t="n"/>
      <c r="E538" s="154" t="n"/>
      <c r="F538" s="154" t="n"/>
      <c r="G538" s="154" t="n"/>
      <c r="H538" s="154" t="n"/>
      <c r="I538" s="154" t="n"/>
      <c r="J538" s="154" t="n"/>
      <c r="K538" s="154" t="n"/>
    </row>
    <row r="539" ht="15.75" customHeight="1" s="201">
      <c r="B539" s="154" t="n"/>
      <c r="C539" s="154" t="n"/>
      <c r="D539" s="154" t="n"/>
      <c r="E539" s="154" t="n"/>
      <c r="F539" s="154" t="n"/>
      <c r="G539" s="154" t="n"/>
      <c r="H539" s="154" t="n"/>
      <c r="I539" s="154" t="n"/>
      <c r="J539" s="154" t="n"/>
      <c r="K539" s="154" t="n"/>
    </row>
    <row r="540" ht="15.75" customHeight="1" s="201">
      <c r="B540" s="154" t="n"/>
      <c r="C540" s="154" t="n"/>
      <c r="D540" s="154" t="n"/>
      <c r="E540" s="154" t="n"/>
      <c r="F540" s="154" t="n"/>
      <c r="G540" s="154" t="n"/>
      <c r="H540" s="154" t="n"/>
      <c r="I540" s="154" t="n"/>
      <c r="J540" s="154" t="n"/>
      <c r="K540" s="154" t="n"/>
    </row>
    <row r="541" ht="15.75" customHeight="1" s="201">
      <c r="B541" s="154" t="n"/>
      <c r="C541" s="154" t="n"/>
      <c r="D541" s="154" t="n"/>
      <c r="E541" s="154" t="n"/>
      <c r="F541" s="154" t="n"/>
      <c r="G541" s="154" t="n"/>
      <c r="H541" s="154" t="n"/>
      <c r="I541" s="154" t="n"/>
      <c r="J541" s="154" t="n"/>
      <c r="K541" s="154" t="n"/>
    </row>
    <row r="542" ht="15.75" customHeight="1" s="201">
      <c r="B542" s="154" t="n"/>
      <c r="C542" s="154" t="n"/>
      <c r="D542" s="154" t="n"/>
      <c r="E542" s="154" t="n"/>
      <c r="F542" s="154" t="n"/>
      <c r="G542" s="154" t="n"/>
      <c r="H542" s="154" t="n"/>
      <c r="I542" s="154" t="n"/>
      <c r="J542" s="154" t="n"/>
      <c r="K542" s="154" t="n"/>
    </row>
    <row r="543" ht="15.75" customHeight="1" s="201">
      <c r="B543" s="154" t="n"/>
      <c r="C543" s="154" t="n"/>
      <c r="D543" s="154" t="n"/>
      <c r="E543" s="154" t="n"/>
      <c r="F543" s="154" t="n"/>
      <c r="G543" s="154" t="n"/>
      <c r="H543" s="154" t="n"/>
      <c r="I543" s="154" t="n"/>
      <c r="J543" s="154" t="n"/>
      <c r="K543" s="154" t="n"/>
    </row>
    <row r="544" ht="15.75" customHeight="1" s="201">
      <c r="B544" s="154" t="n"/>
      <c r="C544" s="154" t="n"/>
      <c r="D544" s="154" t="n"/>
      <c r="E544" s="154" t="n"/>
      <c r="F544" s="154" t="n"/>
      <c r="G544" s="154" t="n"/>
      <c r="H544" s="154" t="n"/>
      <c r="I544" s="154" t="n"/>
      <c r="J544" s="154" t="n"/>
      <c r="K544" s="154" t="n"/>
    </row>
    <row r="545" ht="15.75" customHeight="1" s="201">
      <c r="B545" s="154" t="n"/>
      <c r="C545" s="154" t="n"/>
      <c r="D545" s="154" t="n"/>
      <c r="E545" s="154" t="n"/>
      <c r="F545" s="154" t="n"/>
      <c r="G545" s="154" t="n"/>
      <c r="H545" s="154" t="n"/>
      <c r="I545" s="154" t="n"/>
      <c r="J545" s="154" t="n"/>
      <c r="K545" s="154" t="n"/>
    </row>
    <row r="546" ht="15.75" customHeight="1" s="201">
      <c r="B546" s="154" t="n"/>
      <c r="C546" s="154" t="n"/>
      <c r="D546" s="154" t="n"/>
      <c r="E546" s="154" t="n"/>
      <c r="F546" s="154" t="n"/>
      <c r="G546" s="154" t="n"/>
      <c r="H546" s="154" t="n"/>
      <c r="I546" s="154" t="n"/>
      <c r="J546" s="154" t="n"/>
      <c r="K546" s="154" t="n"/>
    </row>
    <row r="547" ht="15.75" customHeight="1" s="201">
      <c r="B547" s="154" t="n"/>
      <c r="C547" s="154" t="n"/>
      <c r="D547" s="154" t="n"/>
      <c r="E547" s="154" t="n"/>
      <c r="F547" s="154" t="n"/>
      <c r="G547" s="154" t="n"/>
      <c r="H547" s="154" t="n"/>
      <c r="I547" s="154" t="n"/>
      <c r="J547" s="154" t="n"/>
      <c r="K547" s="154" t="n"/>
    </row>
    <row r="548" ht="15.75" customHeight="1" s="201">
      <c r="B548" s="154" t="n"/>
      <c r="C548" s="154" t="n"/>
      <c r="D548" s="154" t="n"/>
      <c r="E548" s="154" t="n"/>
      <c r="F548" s="154" t="n"/>
      <c r="G548" s="154" t="n"/>
      <c r="H548" s="154" t="n"/>
      <c r="I548" s="154" t="n"/>
      <c r="J548" s="154" t="n"/>
      <c r="K548" s="154" t="n"/>
    </row>
    <row r="549" ht="15.75" customHeight="1" s="201">
      <c r="B549" s="154" t="n"/>
      <c r="C549" s="154" t="n"/>
      <c r="D549" s="154" t="n"/>
      <c r="E549" s="154" t="n"/>
      <c r="F549" s="154" t="n"/>
      <c r="G549" s="154" t="n"/>
      <c r="H549" s="154" t="n"/>
      <c r="I549" s="154" t="n"/>
      <c r="J549" s="154" t="n"/>
      <c r="K549" s="154" t="n"/>
    </row>
    <row r="550" ht="15.75" customHeight="1" s="201">
      <c r="B550" s="154" t="n"/>
      <c r="C550" s="154" t="n"/>
      <c r="D550" s="154" t="n"/>
      <c r="E550" s="154" t="n"/>
      <c r="F550" s="154" t="n"/>
      <c r="G550" s="154" t="n"/>
      <c r="H550" s="154" t="n"/>
      <c r="I550" s="154" t="n"/>
      <c r="J550" s="154" t="n"/>
      <c r="K550" s="154" t="n"/>
    </row>
    <row r="551" ht="15.75" customHeight="1" s="201">
      <c r="B551" s="154" t="n"/>
      <c r="C551" s="154" t="n"/>
      <c r="D551" s="154" t="n"/>
      <c r="E551" s="154" t="n"/>
      <c r="F551" s="154" t="n"/>
      <c r="G551" s="154" t="n"/>
      <c r="H551" s="154" t="n"/>
      <c r="I551" s="154" t="n"/>
      <c r="J551" s="154" t="n"/>
      <c r="K551" s="154" t="n"/>
    </row>
    <row r="552" ht="15.75" customHeight="1" s="201">
      <c r="B552" s="154" t="n"/>
      <c r="C552" s="154" t="n"/>
      <c r="D552" s="154" t="n"/>
      <c r="E552" s="154" t="n"/>
      <c r="F552" s="154" t="n"/>
      <c r="G552" s="154" t="n"/>
      <c r="H552" s="154" t="n"/>
      <c r="I552" s="154" t="n"/>
      <c r="J552" s="154" t="n"/>
      <c r="K552" s="154" t="n"/>
    </row>
    <row r="553" ht="15.75" customHeight="1" s="201">
      <c r="B553" s="154" t="n"/>
      <c r="C553" s="154" t="n"/>
      <c r="D553" s="154" t="n"/>
      <c r="E553" s="154" t="n"/>
      <c r="F553" s="154" t="n"/>
      <c r="G553" s="154" t="n"/>
      <c r="H553" s="154" t="n"/>
      <c r="I553" s="154" t="n"/>
      <c r="J553" s="154" t="n"/>
      <c r="K553" s="154" t="n"/>
    </row>
    <row r="554" ht="15.75" customHeight="1" s="201">
      <c r="B554" s="154" t="n"/>
      <c r="C554" s="154" t="n"/>
      <c r="D554" s="154" t="n"/>
      <c r="E554" s="154" t="n"/>
      <c r="F554" s="154" t="n"/>
      <c r="G554" s="154" t="n"/>
      <c r="H554" s="154" t="n"/>
      <c r="I554" s="154" t="n"/>
      <c r="J554" s="154" t="n"/>
      <c r="K554" s="154" t="n"/>
    </row>
    <row r="555" ht="15.75" customHeight="1" s="201">
      <c r="B555" s="154" t="n"/>
      <c r="C555" s="154" t="n"/>
      <c r="D555" s="154" t="n"/>
      <c r="E555" s="154" t="n"/>
      <c r="F555" s="154" t="n"/>
      <c r="G555" s="154" t="n"/>
      <c r="H555" s="154" t="n"/>
      <c r="I555" s="154" t="n"/>
      <c r="J555" s="154" t="n"/>
      <c r="K555" s="154" t="n"/>
    </row>
    <row r="556" ht="15.75" customHeight="1" s="201">
      <c r="B556" s="154" t="n"/>
      <c r="C556" s="154" t="n"/>
      <c r="D556" s="154" t="n"/>
      <c r="E556" s="154" t="n"/>
      <c r="F556" s="154" t="n"/>
      <c r="G556" s="154" t="n"/>
      <c r="H556" s="154" t="n"/>
      <c r="I556" s="154" t="n"/>
      <c r="J556" s="154" t="n"/>
      <c r="K556" s="154" t="n"/>
    </row>
    <row r="557" ht="15.75" customHeight="1" s="201">
      <c r="B557" s="154" t="n"/>
      <c r="C557" s="154" t="n"/>
      <c r="D557" s="154" t="n"/>
      <c r="E557" s="154" t="n"/>
      <c r="F557" s="154" t="n"/>
      <c r="G557" s="154" t="n"/>
      <c r="H557" s="154" t="n"/>
      <c r="I557" s="154" t="n"/>
      <c r="J557" s="154" t="n"/>
      <c r="K557" s="154" t="n"/>
    </row>
    <row r="558" ht="15.75" customHeight="1" s="201">
      <c r="B558" s="154" t="n"/>
      <c r="C558" s="154" t="n"/>
      <c r="D558" s="154" t="n"/>
      <c r="E558" s="154" t="n"/>
      <c r="F558" s="154" t="n"/>
      <c r="G558" s="154" t="n"/>
      <c r="H558" s="154" t="n"/>
      <c r="I558" s="154" t="n"/>
      <c r="J558" s="154" t="n"/>
      <c r="K558" s="154" t="n"/>
    </row>
    <row r="559" ht="15.75" customHeight="1" s="201">
      <c r="B559" s="154" t="n"/>
      <c r="C559" s="154" t="n"/>
      <c r="D559" s="154" t="n"/>
      <c r="E559" s="154" t="n"/>
      <c r="F559" s="154" t="n"/>
      <c r="G559" s="154" t="n"/>
      <c r="H559" s="154" t="n"/>
      <c r="I559" s="154" t="n"/>
      <c r="J559" s="154" t="n"/>
      <c r="K559" s="154" t="n"/>
    </row>
    <row r="560" ht="15.75" customHeight="1" s="201">
      <c r="B560" s="154" t="n"/>
      <c r="C560" s="154" t="n"/>
      <c r="D560" s="154" t="n"/>
      <c r="E560" s="154" t="n"/>
      <c r="F560" s="154" t="n"/>
      <c r="G560" s="154" t="n"/>
      <c r="H560" s="154" t="n"/>
      <c r="I560" s="154" t="n"/>
      <c r="J560" s="154" t="n"/>
      <c r="K560" s="154" t="n"/>
    </row>
    <row r="561" ht="15.75" customHeight="1" s="201">
      <c r="B561" s="154" t="n"/>
      <c r="C561" s="154" t="n"/>
      <c r="D561" s="154" t="n"/>
      <c r="E561" s="154" t="n"/>
      <c r="F561" s="154" t="n"/>
      <c r="G561" s="154" t="n"/>
      <c r="H561" s="154" t="n"/>
      <c r="I561" s="154" t="n"/>
      <c r="J561" s="154" t="n"/>
      <c r="K561" s="154" t="n"/>
    </row>
    <row r="562" ht="15.75" customHeight="1" s="201">
      <c r="B562" s="154" t="n"/>
      <c r="C562" s="154" t="n"/>
      <c r="D562" s="154" t="n"/>
      <c r="E562" s="154" t="n"/>
      <c r="F562" s="154" t="n"/>
      <c r="G562" s="154" t="n"/>
      <c r="H562" s="154" t="n"/>
      <c r="I562" s="154" t="n"/>
      <c r="J562" s="154" t="n"/>
      <c r="K562" s="154" t="n"/>
    </row>
    <row r="563" ht="15.75" customHeight="1" s="201">
      <c r="B563" s="154" t="n"/>
      <c r="C563" s="154" t="n"/>
      <c r="D563" s="154" t="n"/>
      <c r="E563" s="154" t="n"/>
      <c r="F563" s="154" t="n"/>
      <c r="G563" s="154" t="n"/>
      <c r="H563" s="154" t="n"/>
      <c r="I563" s="154" t="n"/>
      <c r="J563" s="154" t="n"/>
      <c r="K563" s="154" t="n"/>
    </row>
    <row r="564" ht="15.75" customHeight="1" s="201">
      <c r="B564" s="154" t="n"/>
      <c r="C564" s="154" t="n"/>
      <c r="D564" s="154" t="n"/>
      <c r="E564" s="154" t="n"/>
      <c r="F564" s="154" t="n"/>
      <c r="G564" s="154" t="n"/>
      <c r="H564" s="154" t="n"/>
      <c r="I564" s="154" t="n"/>
      <c r="J564" s="154" t="n"/>
      <c r="K564" s="154" t="n"/>
    </row>
    <row r="565" ht="15.75" customHeight="1" s="201">
      <c r="B565" s="154" t="n"/>
      <c r="C565" s="154" t="n"/>
      <c r="D565" s="154" t="n"/>
      <c r="E565" s="154" t="n"/>
      <c r="F565" s="154" t="n"/>
      <c r="G565" s="154" t="n"/>
      <c r="H565" s="154" t="n"/>
      <c r="I565" s="154" t="n"/>
      <c r="J565" s="154" t="n"/>
      <c r="K565" s="154" t="n"/>
    </row>
    <row r="566" ht="15.75" customHeight="1" s="201">
      <c r="B566" s="154" t="n"/>
      <c r="C566" s="154" t="n"/>
      <c r="D566" s="154" t="n"/>
      <c r="E566" s="154" t="n"/>
      <c r="F566" s="154" t="n"/>
      <c r="G566" s="154" t="n"/>
      <c r="H566" s="154" t="n"/>
      <c r="I566" s="154" t="n"/>
      <c r="J566" s="154" t="n"/>
      <c r="K566" s="154" t="n"/>
    </row>
    <row r="567" ht="15.75" customHeight="1" s="201">
      <c r="B567" s="154" t="n"/>
      <c r="C567" s="154" t="n"/>
      <c r="D567" s="154" t="n"/>
      <c r="E567" s="154" t="n"/>
      <c r="F567" s="154" t="n"/>
      <c r="G567" s="154" t="n"/>
      <c r="H567" s="154" t="n"/>
      <c r="I567" s="154" t="n"/>
      <c r="J567" s="154" t="n"/>
      <c r="K567" s="154" t="n"/>
    </row>
    <row r="568" ht="15.75" customHeight="1" s="201">
      <c r="B568" s="154" t="n"/>
      <c r="C568" s="154" t="n"/>
      <c r="D568" s="154" t="n"/>
      <c r="E568" s="154" t="n"/>
      <c r="F568" s="154" t="n"/>
      <c r="G568" s="154" t="n"/>
      <c r="H568" s="154" t="n"/>
      <c r="I568" s="154" t="n"/>
      <c r="J568" s="154" t="n"/>
      <c r="K568" s="154" t="n"/>
    </row>
    <row r="569" ht="15.75" customHeight="1" s="201">
      <c r="B569" s="154" t="n"/>
      <c r="C569" s="154" t="n"/>
      <c r="D569" s="154" t="n"/>
      <c r="E569" s="154" t="n"/>
      <c r="F569" s="154" t="n"/>
      <c r="G569" s="154" t="n"/>
      <c r="H569" s="154" t="n"/>
      <c r="I569" s="154" t="n"/>
      <c r="J569" s="154" t="n"/>
      <c r="K569" s="154" t="n"/>
    </row>
    <row r="570" ht="15.75" customHeight="1" s="201">
      <c r="B570" s="154" t="n"/>
      <c r="C570" s="154" t="n"/>
      <c r="D570" s="154" t="n"/>
      <c r="E570" s="154" t="n"/>
      <c r="F570" s="154" t="n"/>
      <c r="G570" s="154" t="n"/>
      <c r="H570" s="154" t="n"/>
      <c r="I570" s="154" t="n"/>
      <c r="J570" s="154" t="n"/>
      <c r="K570" s="154" t="n"/>
    </row>
    <row r="571" ht="15.75" customHeight="1" s="201">
      <c r="B571" s="154" t="n"/>
      <c r="C571" s="154" t="n"/>
      <c r="D571" s="154" t="n"/>
      <c r="E571" s="154" t="n"/>
      <c r="F571" s="154" t="n"/>
      <c r="G571" s="154" t="n"/>
      <c r="H571" s="154" t="n"/>
      <c r="I571" s="154" t="n"/>
      <c r="J571" s="154" t="n"/>
      <c r="K571" s="154" t="n"/>
    </row>
    <row r="572" ht="15.75" customHeight="1" s="201">
      <c r="B572" s="154" t="n"/>
      <c r="C572" s="154" t="n"/>
      <c r="D572" s="154" t="n"/>
      <c r="E572" s="154" t="n"/>
      <c r="F572" s="154" t="n"/>
      <c r="G572" s="154" t="n"/>
      <c r="H572" s="154" t="n"/>
      <c r="I572" s="154" t="n"/>
      <c r="J572" s="154" t="n"/>
      <c r="K572" s="154" t="n"/>
    </row>
    <row r="573" ht="15.75" customHeight="1" s="201">
      <c r="B573" s="154" t="n"/>
      <c r="C573" s="154" t="n"/>
      <c r="D573" s="154" t="n"/>
      <c r="E573" s="154" t="n"/>
      <c r="F573" s="154" t="n"/>
      <c r="G573" s="154" t="n"/>
      <c r="H573" s="154" t="n"/>
      <c r="I573" s="154" t="n"/>
      <c r="J573" s="154" t="n"/>
      <c r="K573" s="154" t="n"/>
    </row>
    <row r="574" ht="15.75" customHeight="1" s="201">
      <c r="B574" s="154" t="n"/>
      <c r="C574" s="154" t="n"/>
      <c r="D574" s="154" t="n"/>
      <c r="E574" s="154" t="n"/>
      <c r="F574" s="154" t="n"/>
      <c r="G574" s="154" t="n"/>
      <c r="H574" s="154" t="n"/>
      <c r="I574" s="154" t="n"/>
      <c r="J574" s="154" t="n"/>
      <c r="K574" s="154" t="n"/>
    </row>
    <row r="575" ht="15.75" customHeight="1" s="201">
      <c r="B575" s="154" t="n"/>
      <c r="C575" s="154" t="n"/>
      <c r="D575" s="154" t="n"/>
      <c r="E575" s="154" t="n"/>
      <c r="F575" s="154" t="n"/>
      <c r="G575" s="154" t="n"/>
      <c r="H575" s="154" t="n"/>
      <c r="I575" s="154" t="n"/>
      <c r="J575" s="154" t="n"/>
      <c r="K575" s="154" t="n"/>
    </row>
    <row r="576" ht="15.75" customHeight="1" s="201">
      <c r="B576" s="154" t="n"/>
      <c r="C576" s="154" t="n"/>
      <c r="D576" s="154" t="n"/>
      <c r="E576" s="154" t="n"/>
      <c r="F576" s="154" t="n"/>
      <c r="G576" s="154" t="n"/>
      <c r="H576" s="154" t="n"/>
      <c r="I576" s="154" t="n"/>
      <c r="J576" s="154" t="n"/>
      <c r="K576" s="154" t="n"/>
    </row>
    <row r="577" ht="15.75" customHeight="1" s="201">
      <c r="B577" s="154" t="n"/>
      <c r="C577" s="154" t="n"/>
      <c r="D577" s="154" t="n"/>
      <c r="E577" s="154" t="n"/>
      <c r="F577" s="154" t="n"/>
      <c r="G577" s="154" t="n"/>
      <c r="H577" s="154" t="n"/>
      <c r="I577" s="154" t="n"/>
      <c r="J577" s="154" t="n"/>
      <c r="K577" s="154" t="n"/>
    </row>
    <row r="578" ht="15.75" customHeight="1" s="201">
      <c r="B578" s="154" t="n"/>
      <c r="C578" s="154" t="n"/>
      <c r="D578" s="154" t="n"/>
      <c r="E578" s="154" t="n"/>
      <c r="F578" s="154" t="n"/>
      <c r="G578" s="154" t="n"/>
      <c r="H578" s="154" t="n"/>
      <c r="I578" s="154" t="n"/>
      <c r="J578" s="154" t="n"/>
      <c r="K578" s="154" t="n"/>
    </row>
    <row r="579" ht="15.75" customHeight="1" s="201">
      <c r="B579" s="154" t="n"/>
      <c r="C579" s="154" t="n"/>
      <c r="D579" s="154" t="n"/>
      <c r="E579" s="154" t="n"/>
      <c r="F579" s="154" t="n"/>
      <c r="G579" s="154" t="n"/>
      <c r="H579" s="154" t="n"/>
      <c r="I579" s="154" t="n"/>
      <c r="J579" s="154" t="n"/>
      <c r="K579" s="154" t="n"/>
    </row>
    <row r="580" ht="15.75" customHeight="1" s="201">
      <c r="B580" s="154" t="n"/>
      <c r="C580" s="154" t="n"/>
      <c r="D580" s="154" t="n"/>
      <c r="E580" s="154" t="n"/>
      <c r="F580" s="154" t="n"/>
      <c r="G580" s="154" t="n"/>
      <c r="H580" s="154" t="n"/>
      <c r="I580" s="154" t="n"/>
      <c r="J580" s="154" t="n"/>
      <c r="K580" s="154" t="n"/>
    </row>
    <row r="581" ht="15.75" customHeight="1" s="201">
      <c r="B581" s="154" t="n"/>
      <c r="C581" s="154" t="n"/>
      <c r="D581" s="154" t="n"/>
      <c r="E581" s="154" t="n"/>
      <c r="F581" s="154" t="n"/>
      <c r="G581" s="154" t="n"/>
      <c r="H581" s="154" t="n"/>
      <c r="I581" s="154" t="n"/>
      <c r="J581" s="154" t="n"/>
      <c r="K581" s="154" t="n"/>
    </row>
    <row r="582" ht="15.75" customHeight="1" s="201">
      <c r="B582" s="154" t="n"/>
      <c r="C582" s="154" t="n"/>
      <c r="D582" s="154" t="n"/>
      <c r="E582" s="154" t="n"/>
      <c r="F582" s="154" t="n"/>
      <c r="G582" s="154" t="n"/>
      <c r="H582" s="154" t="n"/>
      <c r="I582" s="154" t="n"/>
      <c r="J582" s="154" t="n"/>
      <c r="K582" s="154" t="n"/>
    </row>
    <row r="583" ht="15.75" customHeight="1" s="201">
      <c r="B583" s="154" t="n"/>
      <c r="C583" s="154" t="n"/>
      <c r="D583" s="154" t="n"/>
      <c r="E583" s="154" t="n"/>
      <c r="F583" s="154" t="n"/>
      <c r="G583" s="154" t="n"/>
      <c r="H583" s="154" t="n"/>
      <c r="I583" s="154" t="n"/>
      <c r="J583" s="154" t="n"/>
      <c r="K583" s="154" t="n"/>
    </row>
    <row r="584" ht="15.75" customHeight="1" s="201">
      <c r="B584" s="154" t="n"/>
      <c r="C584" s="154" t="n"/>
      <c r="D584" s="154" t="n"/>
      <c r="E584" s="154" t="n"/>
      <c r="F584" s="154" t="n"/>
      <c r="G584" s="154" t="n"/>
      <c r="H584" s="154" t="n"/>
      <c r="I584" s="154" t="n"/>
      <c r="J584" s="154" t="n"/>
      <c r="K584" s="154" t="n"/>
    </row>
    <row r="585" ht="15.75" customHeight="1" s="201">
      <c r="B585" s="154" t="n"/>
      <c r="C585" s="154" t="n"/>
      <c r="D585" s="154" t="n"/>
      <c r="E585" s="154" t="n"/>
      <c r="F585" s="154" t="n"/>
      <c r="G585" s="154" t="n"/>
      <c r="H585" s="154" t="n"/>
      <c r="I585" s="154" t="n"/>
      <c r="J585" s="154" t="n"/>
      <c r="K585" s="154" t="n"/>
    </row>
    <row r="586" ht="15.75" customHeight="1" s="201">
      <c r="B586" s="154" t="n"/>
      <c r="C586" s="154" t="n"/>
      <c r="D586" s="154" t="n"/>
      <c r="E586" s="154" t="n"/>
      <c r="F586" s="154" t="n"/>
      <c r="G586" s="154" t="n"/>
      <c r="H586" s="154" t="n"/>
      <c r="I586" s="154" t="n"/>
      <c r="J586" s="154" t="n"/>
      <c r="K586" s="154" t="n"/>
    </row>
    <row r="587" ht="15.75" customHeight="1" s="201">
      <c r="B587" s="154" t="n"/>
      <c r="C587" s="154" t="n"/>
      <c r="D587" s="154" t="n"/>
      <c r="E587" s="154" t="n"/>
      <c r="F587" s="154" t="n"/>
      <c r="G587" s="154" t="n"/>
      <c r="H587" s="154" t="n"/>
      <c r="I587" s="154" t="n"/>
      <c r="J587" s="154" t="n"/>
      <c r="K587" s="154" t="n"/>
    </row>
    <row r="588" ht="15.75" customHeight="1" s="201">
      <c r="B588" s="154" t="n"/>
      <c r="C588" s="154" t="n"/>
      <c r="D588" s="154" t="n"/>
      <c r="E588" s="154" t="n"/>
      <c r="F588" s="154" t="n"/>
      <c r="G588" s="154" t="n"/>
      <c r="H588" s="154" t="n"/>
      <c r="I588" s="154" t="n"/>
      <c r="J588" s="154" t="n"/>
      <c r="K588" s="154" t="n"/>
    </row>
    <row r="589" ht="15.75" customHeight="1" s="201">
      <c r="B589" s="154" t="n"/>
      <c r="C589" s="154" t="n"/>
      <c r="D589" s="154" t="n"/>
      <c r="E589" s="154" t="n"/>
      <c r="F589" s="154" t="n"/>
      <c r="G589" s="154" t="n"/>
      <c r="H589" s="154" t="n"/>
      <c r="I589" s="154" t="n"/>
      <c r="J589" s="154" t="n"/>
      <c r="K589" s="154" t="n"/>
    </row>
    <row r="590" ht="15.75" customHeight="1" s="201">
      <c r="B590" s="154" t="n"/>
      <c r="C590" s="154" t="n"/>
      <c r="D590" s="154" t="n"/>
      <c r="E590" s="154" t="n"/>
      <c r="F590" s="154" t="n"/>
      <c r="G590" s="154" t="n"/>
      <c r="H590" s="154" t="n"/>
      <c r="I590" s="154" t="n"/>
      <c r="J590" s="154" t="n"/>
      <c r="K590" s="154" t="n"/>
    </row>
    <row r="591" ht="15.75" customHeight="1" s="201">
      <c r="B591" s="154" t="n"/>
      <c r="C591" s="154" t="n"/>
      <c r="D591" s="154" t="n"/>
      <c r="E591" s="154" t="n"/>
      <c r="F591" s="154" t="n"/>
      <c r="G591" s="154" t="n"/>
      <c r="H591" s="154" t="n"/>
      <c r="I591" s="154" t="n"/>
      <c r="J591" s="154" t="n"/>
      <c r="K591" s="154" t="n"/>
    </row>
    <row r="592" ht="15.75" customHeight="1" s="201">
      <c r="B592" s="154" t="n"/>
      <c r="C592" s="154" t="n"/>
      <c r="D592" s="154" t="n"/>
      <c r="E592" s="154" t="n"/>
      <c r="F592" s="154" t="n"/>
      <c r="G592" s="154" t="n"/>
      <c r="H592" s="154" t="n"/>
      <c r="I592" s="154" t="n"/>
      <c r="J592" s="154" t="n"/>
      <c r="K592" s="154" t="n"/>
    </row>
    <row r="593" ht="15.75" customHeight="1" s="201">
      <c r="B593" s="154" t="n"/>
      <c r="C593" s="154" t="n"/>
      <c r="D593" s="154" t="n"/>
      <c r="E593" s="154" t="n"/>
      <c r="F593" s="154" t="n"/>
      <c r="G593" s="154" t="n"/>
      <c r="H593" s="154" t="n"/>
      <c r="I593" s="154" t="n"/>
      <c r="J593" s="154" t="n"/>
      <c r="K593" s="154" t="n"/>
    </row>
    <row r="594" ht="15.75" customHeight="1" s="201">
      <c r="B594" s="154" t="n"/>
      <c r="C594" s="154" t="n"/>
      <c r="D594" s="154" t="n"/>
      <c r="E594" s="154" t="n"/>
      <c r="F594" s="154" t="n"/>
      <c r="G594" s="154" t="n"/>
      <c r="H594" s="154" t="n"/>
      <c r="I594" s="154" t="n"/>
      <c r="J594" s="154" t="n"/>
      <c r="K594" s="154" t="n"/>
    </row>
    <row r="595" ht="15.75" customHeight="1" s="201">
      <c r="B595" s="154" t="n"/>
      <c r="C595" s="154" t="n"/>
      <c r="D595" s="154" t="n"/>
      <c r="E595" s="154" t="n"/>
      <c r="F595" s="154" t="n"/>
      <c r="G595" s="154" t="n"/>
      <c r="H595" s="154" t="n"/>
      <c r="I595" s="154" t="n"/>
      <c r="J595" s="154" t="n"/>
      <c r="K595" s="154" t="n"/>
    </row>
    <row r="596" ht="15.75" customHeight="1" s="201">
      <c r="B596" s="154" t="n"/>
      <c r="C596" s="154" t="n"/>
      <c r="D596" s="154" t="n"/>
      <c r="E596" s="154" t="n"/>
      <c r="F596" s="154" t="n"/>
      <c r="G596" s="154" t="n"/>
      <c r="H596" s="154" t="n"/>
      <c r="I596" s="154" t="n"/>
      <c r="J596" s="154" t="n"/>
      <c r="K596" s="154" t="n"/>
    </row>
    <row r="597" ht="15.75" customHeight="1" s="201">
      <c r="B597" s="154" t="n"/>
      <c r="C597" s="154" t="n"/>
      <c r="D597" s="154" t="n"/>
      <c r="E597" s="154" t="n"/>
      <c r="F597" s="154" t="n"/>
      <c r="G597" s="154" t="n"/>
      <c r="H597" s="154" t="n"/>
      <c r="I597" s="154" t="n"/>
      <c r="J597" s="154" t="n"/>
      <c r="K597" s="154" t="n"/>
    </row>
    <row r="598" ht="15.75" customHeight="1" s="201">
      <c r="B598" s="154" t="n"/>
      <c r="C598" s="154" t="n"/>
      <c r="D598" s="154" t="n"/>
      <c r="E598" s="154" t="n"/>
      <c r="F598" s="154" t="n"/>
      <c r="G598" s="154" t="n"/>
      <c r="H598" s="154" t="n"/>
      <c r="I598" s="154" t="n"/>
      <c r="J598" s="154" t="n"/>
      <c r="K598" s="154" t="n"/>
    </row>
    <row r="599" ht="15.75" customHeight="1" s="201">
      <c r="B599" s="154" t="n"/>
      <c r="C599" s="154" t="n"/>
      <c r="D599" s="154" t="n"/>
      <c r="E599" s="154" t="n"/>
      <c r="F599" s="154" t="n"/>
      <c r="G599" s="154" t="n"/>
      <c r="H599" s="154" t="n"/>
      <c r="I599" s="154" t="n"/>
      <c r="J599" s="154" t="n"/>
      <c r="K599" s="154" t="n"/>
    </row>
    <row r="600" ht="15.75" customHeight="1" s="201">
      <c r="B600" s="154" t="n"/>
      <c r="C600" s="154" t="n"/>
      <c r="D600" s="154" t="n"/>
      <c r="E600" s="154" t="n"/>
      <c r="F600" s="154" t="n"/>
      <c r="G600" s="154" t="n"/>
      <c r="H600" s="154" t="n"/>
      <c r="I600" s="154" t="n"/>
      <c r="J600" s="154" t="n"/>
      <c r="K600" s="154" t="n"/>
    </row>
    <row r="601" ht="15.75" customHeight="1" s="201">
      <c r="B601" s="154" t="n"/>
      <c r="C601" s="154" t="n"/>
      <c r="D601" s="154" t="n"/>
      <c r="E601" s="154" t="n"/>
      <c r="F601" s="154" t="n"/>
      <c r="G601" s="154" t="n"/>
      <c r="H601" s="154" t="n"/>
      <c r="I601" s="154" t="n"/>
      <c r="J601" s="154" t="n"/>
      <c r="K601" s="154" t="n"/>
    </row>
    <row r="602" ht="15.75" customHeight="1" s="201">
      <c r="B602" s="154" t="n"/>
      <c r="C602" s="154" t="n"/>
      <c r="D602" s="154" t="n"/>
      <c r="E602" s="154" t="n"/>
      <c r="F602" s="154" t="n"/>
      <c r="G602" s="154" t="n"/>
      <c r="H602" s="154" t="n"/>
      <c r="I602" s="154" t="n"/>
      <c r="J602" s="154" t="n"/>
      <c r="K602" s="154" t="n"/>
    </row>
    <row r="603" ht="15.75" customHeight="1" s="201">
      <c r="B603" s="154" t="n"/>
      <c r="C603" s="154" t="n"/>
      <c r="D603" s="154" t="n"/>
      <c r="E603" s="154" t="n"/>
      <c r="F603" s="154" t="n"/>
      <c r="G603" s="154" t="n"/>
      <c r="H603" s="154" t="n"/>
      <c r="I603" s="154" t="n"/>
      <c r="J603" s="154" t="n"/>
      <c r="K603" s="154" t="n"/>
    </row>
    <row r="604" ht="15.75" customHeight="1" s="201">
      <c r="B604" s="154" t="n"/>
      <c r="C604" s="154" t="n"/>
      <c r="D604" s="154" t="n"/>
      <c r="E604" s="154" t="n"/>
      <c r="F604" s="154" t="n"/>
      <c r="G604" s="154" t="n"/>
      <c r="H604" s="154" t="n"/>
      <c r="I604" s="154" t="n"/>
      <c r="J604" s="154" t="n"/>
      <c r="K604" s="154" t="n"/>
    </row>
    <row r="605" ht="15.75" customHeight="1" s="201">
      <c r="B605" s="154" t="n"/>
      <c r="C605" s="154" t="n"/>
      <c r="D605" s="154" t="n"/>
      <c r="E605" s="154" t="n"/>
      <c r="F605" s="154" t="n"/>
      <c r="G605" s="154" t="n"/>
      <c r="H605" s="154" t="n"/>
      <c r="I605" s="154" t="n"/>
      <c r="J605" s="154" t="n"/>
      <c r="K605" s="154" t="n"/>
    </row>
    <row r="606" ht="15.75" customHeight="1" s="201">
      <c r="B606" s="154" t="n"/>
      <c r="C606" s="154" t="n"/>
      <c r="D606" s="154" t="n"/>
      <c r="E606" s="154" t="n"/>
      <c r="F606" s="154" t="n"/>
      <c r="G606" s="154" t="n"/>
      <c r="H606" s="154" t="n"/>
      <c r="I606" s="154" t="n"/>
      <c r="J606" s="154" t="n"/>
      <c r="K606" s="154" t="n"/>
    </row>
    <row r="607" ht="15.75" customHeight="1" s="201">
      <c r="B607" s="154" t="n"/>
      <c r="C607" s="154" t="n"/>
      <c r="D607" s="154" t="n"/>
      <c r="E607" s="154" t="n"/>
      <c r="F607" s="154" t="n"/>
      <c r="G607" s="154" t="n"/>
      <c r="H607" s="154" t="n"/>
      <c r="I607" s="154" t="n"/>
      <c r="J607" s="154" t="n"/>
      <c r="K607" s="154" t="n"/>
    </row>
    <row r="608" ht="15.75" customHeight="1" s="201">
      <c r="B608" s="154" t="n"/>
      <c r="C608" s="154" t="n"/>
      <c r="D608" s="154" t="n"/>
      <c r="E608" s="154" t="n"/>
      <c r="F608" s="154" t="n"/>
      <c r="G608" s="154" t="n"/>
      <c r="H608" s="154" t="n"/>
      <c r="I608" s="154" t="n"/>
      <c r="J608" s="154" t="n"/>
      <c r="K608" s="154" t="n"/>
    </row>
    <row r="609" ht="15.75" customHeight="1" s="201">
      <c r="B609" s="154" t="n"/>
      <c r="C609" s="154" t="n"/>
      <c r="D609" s="154" t="n"/>
      <c r="E609" s="154" t="n"/>
      <c r="F609" s="154" t="n"/>
      <c r="G609" s="154" t="n"/>
      <c r="H609" s="154" t="n"/>
      <c r="I609" s="154" t="n"/>
      <c r="J609" s="154" t="n"/>
      <c r="K609" s="154" t="n"/>
    </row>
    <row r="610" ht="15.75" customHeight="1" s="201">
      <c r="B610" s="154" t="n"/>
      <c r="C610" s="154" t="n"/>
      <c r="D610" s="154" t="n"/>
      <c r="E610" s="154" t="n"/>
      <c r="F610" s="154" t="n"/>
      <c r="G610" s="154" t="n"/>
      <c r="H610" s="154" t="n"/>
      <c r="I610" s="154" t="n"/>
      <c r="J610" s="154" t="n"/>
      <c r="K610" s="154" t="n"/>
    </row>
    <row r="611" ht="15.75" customHeight="1" s="201">
      <c r="B611" s="154" t="n"/>
      <c r="C611" s="154" t="n"/>
      <c r="D611" s="154" t="n"/>
      <c r="E611" s="154" t="n"/>
      <c r="F611" s="154" t="n"/>
      <c r="G611" s="154" t="n"/>
      <c r="H611" s="154" t="n"/>
      <c r="I611" s="154" t="n"/>
      <c r="J611" s="154" t="n"/>
      <c r="K611" s="154" t="n"/>
    </row>
    <row r="612" ht="15.75" customHeight="1" s="201">
      <c r="B612" s="154" t="n"/>
      <c r="C612" s="154" t="n"/>
      <c r="D612" s="154" t="n"/>
      <c r="E612" s="154" t="n"/>
      <c r="F612" s="154" t="n"/>
      <c r="G612" s="154" t="n"/>
      <c r="H612" s="154" t="n"/>
      <c r="I612" s="154" t="n"/>
      <c r="J612" s="154" t="n"/>
      <c r="K612" s="154" t="n"/>
    </row>
    <row r="613" ht="15.75" customHeight="1" s="201">
      <c r="B613" s="154" t="n"/>
      <c r="C613" s="154" t="n"/>
      <c r="D613" s="154" t="n"/>
      <c r="E613" s="154" t="n"/>
      <c r="F613" s="154" t="n"/>
      <c r="G613" s="154" t="n"/>
      <c r="H613" s="154" t="n"/>
      <c r="I613" s="154" t="n"/>
      <c r="J613" s="154" t="n"/>
      <c r="K613" s="154" t="n"/>
    </row>
    <row r="614" ht="15.75" customHeight="1" s="201">
      <c r="B614" s="154" t="n"/>
      <c r="C614" s="154" t="n"/>
      <c r="D614" s="154" t="n"/>
      <c r="E614" s="154" t="n"/>
      <c r="F614" s="154" t="n"/>
      <c r="G614" s="154" t="n"/>
      <c r="H614" s="154" t="n"/>
      <c r="I614" s="154" t="n"/>
      <c r="J614" s="154" t="n"/>
      <c r="K614" s="154" t="n"/>
    </row>
    <row r="615" ht="15.75" customHeight="1" s="201">
      <c r="B615" s="154" t="n"/>
      <c r="C615" s="154" t="n"/>
      <c r="D615" s="154" t="n"/>
      <c r="E615" s="154" t="n"/>
      <c r="F615" s="154" t="n"/>
      <c r="G615" s="154" t="n"/>
      <c r="H615" s="154" t="n"/>
      <c r="I615" s="154" t="n"/>
      <c r="J615" s="154" t="n"/>
      <c r="K615" s="154" t="n"/>
    </row>
    <row r="616" ht="15.75" customHeight="1" s="201">
      <c r="B616" s="154" t="n"/>
      <c r="C616" s="154" t="n"/>
      <c r="D616" s="154" t="n"/>
      <c r="E616" s="154" t="n"/>
      <c r="F616" s="154" t="n"/>
      <c r="G616" s="154" t="n"/>
      <c r="H616" s="154" t="n"/>
      <c r="I616" s="154" t="n"/>
      <c r="J616" s="154" t="n"/>
      <c r="K616" s="154" t="n"/>
    </row>
    <row r="617" ht="15.75" customHeight="1" s="201">
      <c r="B617" s="154" t="n"/>
      <c r="C617" s="154" t="n"/>
      <c r="D617" s="154" t="n"/>
      <c r="E617" s="154" t="n"/>
      <c r="F617" s="154" t="n"/>
      <c r="G617" s="154" t="n"/>
      <c r="H617" s="154" t="n"/>
      <c r="I617" s="154" t="n"/>
      <c r="J617" s="154" t="n"/>
      <c r="K617" s="154" t="n"/>
    </row>
    <row r="618" ht="15.75" customHeight="1" s="201">
      <c r="B618" s="154" t="n"/>
      <c r="C618" s="154" t="n"/>
      <c r="D618" s="154" t="n"/>
      <c r="E618" s="154" t="n"/>
      <c r="F618" s="154" t="n"/>
      <c r="G618" s="154" t="n"/>
      <c r="H618" s="154" t="n"/>
      <c r="I618" s="154" t="n"/>
      <c r="J618" s="154" t="n"/>
      <c r="K618" s="154" t="n"/>
    </row>
    <row r="619" ht="15.75" customHeight="1" s="201">
      <c r="B619" s="154" t="n"/>
      <c r="C619" s="154" t="n"/>
      <c r="D619" s="154" t="n"/>
      <c r="E619" s="154" t="n"/>
      <c r="F619" s="154" t="n"/>
      <c r="G619" s="154" t="n"/>
      <c r="H619" s="154" t="n"/>
      <c r="I619" s="154" t="n"/>
      <c r="J619" s="154" t="n"/>
      <c r="K619" s="154" t="n"/>
    </row>
    <row r="620" ht="15.75" customHeight="1" s="201">
      <c r="B620" s="154" t="n"/>
      <c r="C620" s="154" t="n"/>
      <c r="D620" s="154" t="n"/>
      <c r="E620" s="154" t="n"/>
      <c r="F620" s="154" t="n"/>
      <c r="G620" s="154" t="n"/>
      <c r="H620" s="154" t="n"/>
      <c r="I620" s="154" t="n"/>
      <c r="J620" s="154" t="n"/>
      <c r="K620" s="154" t="n"/>
    </row>
    <row r="621" ht="15.75" customHeight="1" s="201">
      <c r="B621" s="154" t="n"/>
      <c r="C621" s="154" t="n"/>
      <c r="D621" s="154" t="n"/>
      <c r="E621" s="154" t="n"/>
      <c r="F621" s="154" t="n"/>
      <c r="G621" s="154" t="n"/>
      <c r="H621" s="154" t="n"/>
      <c r="I621" s="154" t="n"/>
      <c r="J621" s="154" t="n"/>
      <c r="K621" s="154" t="n"/>
    </row>
    <row r="622" ht="15.75" customHeight="1" s="201">
      <c r="B622" s="154" t="n"/>
      <c r="C622" s="154" t="n"/>
      <c r="D622" s="154" t="n"/>
      <c r="E622" s="154" t="n"/>
      <c r="F622" s="154" t="n"/>
      <c r="G622" s="154" t="n"/>
      <c r="H622" s="154" t="n"/>
      <c r="I622" s="154" t="n"/>
      <c r="J622" s="154" t="n"/>
      <c r="K622" s="154" t="n"/>
    </row>
    <row r="623" ht="15.75" customHeight="1" s="201">
      <c r="B623" s="154" t="n"/>
      <c r="C623" s="154" t="n"/>
      <c r="D623" s="154" t="n"/>
      <c r="E623" s="154" t="n"/>
      <c r="F623" s="154" t="n"/>
      <c r="G623" s="154" t="n"/>
      <c r="H623" s="154" t="n"/>
      <c r="I623" s="154" t="n"/>
      <c r="J623" s="154" t="n"/>
      <c r="K623" s="154" t="n"/>
    </row>
    <row r="624" ht="15.75" customHeight="1" s="201">
      <c r="B624" s="154" t="n"/>
      <c r="C624" s="154" t="n"/>
      <c r="D624" s="154" t="n"/>
      <c r="E624" s="154" t="n"/>
      <c r="F624" s="154" t="n"/>
      <c r="G624" s="154" t="n"/>
      <c r="H624" s="154" t="n"/>
      <c r="I624" s="154" t="n"/>
      <c r="J624" s="154" t="n"/>
      <c r="K624" s="154" t="n"/>
    </row>
    <row r="625" ht="15.75" customHeight="1" s="201">
      <c r="B625" s="154" t="n"/>
      <c r="C625" s="154" t="n"/>
      <c r="D625" s="154" t="n"/>
      <c r="E625" s="154" t="n"/>
      <c r="F625" s="154" t="n"/>
      <c r="G625" s="154" t="n"/>
      <c r="H625" s="154" t="n"/>
      <c r="I625" s="154" t="n"/>
      <c r="J625" s="154" t="n"/>
      <c r="K625" s="154" t="n"/>
    </row>
    <row r="626" ht="15.75" customHeight="1" s="201">
      <c r="B626" s="154" t="n"/>
      <c r="C626" s="154" t="n"/>
      <c r="D626" s="154" t="n"/>
      <c r="E626" s="154" t="n"/>
      <c r="F626" s="154" t="n"/>
      <c r="G626" s="154" t="n"/>
      <c r="H626" s="154" t="n"/>
      <c r="I626" s="154" t="n"/>
      <c r="J626" s="154" t="n"/>
      <c r="K626" s="154" t="n"/>
    </row>
    <row r="627" ht="15.75" customHeight="1" s="201">
      <c r="B627" s="154" t="n"/>
      <c r="C627" s="154" t="n"/>
      <c r="D627" s="154" t="n"/>
      <c r="E627" s="154" t="n"/>
      <c r="F627" s="154" t="n"/>
      <c r="G627" s="154" t="n"/>
      <c r="H627" s="154" t="n"/>
      <c r="I627" s="154" t="n"/>
      <c r="J627" s="154" t="n"/>
      <c r="K627" s="154" t="n"/>
    </row>
    <row r="628" ht="15.75" customHeight="1" s="201">
      <c r="B628" s="154" t="n"/>
      <c r="C628" s="154" t="n"/>
      <c r="D628" s="154" t="n"/>
      <c r="E628" s="154" t="n"/>
      <c r="F628" s="154" t="n"/>
      <c r="G628" s="154" t="n"/>
      <c r="H628" s="154" t="n"/>
      <c r="I628" s="154" t="n"/>
      <c r="J628" s="154" t="n"/>
      <c r="K628" s="154" t="n"/>
    </row>
    <row r="629" ht="15.75" customHeight="1" s="201">
      <c r="B629" s="154" t="n"/>
      <c r="C629" s="154" t="n"/>
      <c r="D629" s="154" t="n"/>
      <c r="E629" s="154" t="n"/>
      <c r="F629" s="154" t="n"/>
      <c r="G629" s="154" t="n"/>
      <c r="H629" s="154" t="n"/>
      <c r="I629" s="154" t="n"/>
      <c r="J629" s="154" t="n"/>
      <c r="K629" s="154" t="n"/>
    </row>
    <row r="630" ht="15.75" customHeight="1" s="201">
      <c r="B630" s="154" t="n"/>
      <c r="C630" s="154" t="n"/>
      <c r="D630" s="154" t="n"/>
      <c r="E630" s="154" t="n"/>
      <c r="F630" s="154" t="n"/>
      <c r="G630" s="154" t="n"/>
      <c r="H630" s="154" t="n"/>
      <c r="I630" s="154" t="n"/>
      <c r="J630" s="154" t="n"/>
      <c r="K630" s="154" t="n"/>
    </row>
    <row r="631" ht="15.75" customHeight="1" s="201">
      <c r="B631" s="154" t="n"/>
      <c r="C631" s="154" t="n"/>
      <c r="D631" s="154" t="n"/>
      <c r="E631" s="154" t="n"/>
      <c r="F631" s="154" t="n"/>
      <c r="G631" s="154" t="n"/>
      <c r="H631" s="154" t="n"/>
      <c r="I631" s="154" t="n"/>
      <c r="J631" s="154" t="n"/>
      <c r="K631" s="154" t="n"/>
    </row>
    <row r="632" ht="15.75" customHeight="1" s="201">
      <c r="B632" s="154" t="n"/>
      <c r="C632" s="154" t="n"/>
      <c r="D632" s="154" t="n"/>
      <c r="E632" s="154" t="n"/>
      <c r="F632" s="154" t="n"/>
      <c r="G632" s="154" t="n"/>
      <c r="H632" s="154" t="n"/>
      <c r="I632" s="154" t="n"/>
      <c r="J632" s="154" t="n"/>
      <c r="K632" s="154" t="n"/>
    </row>
    <row r="633" ht="15.75" customHeight="1" s="201">
      <c r="B633" s="154" t="n"/>
      <c r="C633" s="154" t="n"/>
      <c r="D633" s="154" t="n"/>
      <c r="E633" s="154" t="n"/>
      <c r="F633" s="154" t="n"/>
      <c r="G633" s="154" t="n"/>
      <c r="H633" s="154" t="n"/>
      <c r="I633" s="154" t="n"/>
      <c r="J633" s="154" t="n"/>
      <c r="K633" s="154" t="n"/>
    </row>
    <row r="634" ht="15.75" customHeight="1" s="201">
      <c r="B634" s="154" t="n"/>
      <c r="C634" s="154" t="n"/>
      <c r="D634" s="154" t="n"/>
      <c r="E634" s="154" t="n"/>
      <c r="F634" s="154" t="n"/>
      <c r="G634" s="154" t="n"/>
      <c r="H634" s="154" t="n"/>
      <c r="I634" s="154" t="n"/>
      <c r="J634" s="154" t="n"/>
      <c r="K634" s="154" t="n"/>
    </row>
    <row r="635" ht="15.75" customHeight="1" s="201">
      <c r="B635" s="154" t="n"/>
      <c r="C635" s="154" t="n"/>
      <c r="D635" s="154" t="n"/>
      <c r="E635" s="154" t="n"/>
      <c r="F635" s="154" t="n"/>
      <c r="G635" s="154" t="n"/>
      <c r="H635" s="154" t="n"/>
      <c r="I635" s="154" t="n"/>
      <c r="J635" s="154" t="n"/>
      <c r="K635" s="154" t="n"/>
    </row>
    <row r="636" ht="15.75" customHeight="1" s="201">
      <c r="B636" s="154" t="n"/>
      <c r="C636" s="154" t="n"/>
      <c r="D636" s="154" t="n"/>
      <c r="E636" s="154" t="n"/>
      <c r="F636" s="154" t="n"/>
      <c r="G636" s="154" t="n"/>
      <c r="H636" s="154" t="n"/>
      <c r="I636" s="154" t="n"/>
      <c r="J636" s="154" t="n"/>
      <c r="K636" s="154" t="n"/>
    </row>
    <row r="637" ht="15.75" customHeight="1" s="201">
      <c r="B637" s="154" t="n"/>
      <c r="C637" s="154" t="n"/>
      <c r="D637" s="154" t="n"/>
      <c r="E637" s="154" t="n"/>
      <c r="F637" s="154" t="n"/>
      <c r="G637" s="154" t="n"/>
      <c r="H637" s="154" t="n"/>
      <c r="I637" s="154" t="n"/>
      <c r="J637" s="154" t="n"/>
      <c r="K637" s="154" t="n"/>
    </row>
    <row r="638" ht="15.75" customHeight="1" s="201">
      <c r="B638" s="154" t="n"/>
      <c r="C638" s="154" t="n"/>
      <c r="D638" s="154" t="n"/>
      <c r="E638" s="154" t="n"/>
      <c r="F638" s="154" t="n"/>
      <c r="G638" s="154" t="n"/>
      <c r="H638" s="154" t="n"/>
      <c r="I638" s="154" t="n"/>
      <c r="J638" s="154" t="n"/>
      <c r="K638" s="154" t="n"/>
    </row>
    <row r="639" ht="15.75" customHeight="1" s="201">
      <c r="B639" s="154" t="n"/>
      <c r="C639" s="154" t="n"/>
      <c r="D639" s="154" t="n"/>
      <c r="E639" s="154" t="n"/>
      <c r="F639" s="154" t="n"/>
      <c r="G639" s="154" t="n"/>
      <c r="H639" s="154" t="n"/>
      <c r="I639" s="154" t="n"/>
      <c r="J639" s="154" t="n"/>
      <c r="K639" s="154" t="n"/>
    </row>
    <row r="640" ht="15.75" customHeight="1" s="201">
      <c r="B640" s="154" t="n"/>
      <c r="C640" s="154" t="n"/>
      <c r="D640" s="154" t="n"/>
      <c r="E640" s="154" t="n"/>
      <c r="F640" s="154" t="n"/>
      <c r="G640" s="154" t="n"/>
      <c r="H640" s="154" t="n"/>
      <c r="I640" s="154" t="n"/>
      <c r="J640" s="154" t="n"/>
      <c r="K640" s="154" t="n"/>
    </row>
    <row r="641" ht="15.75" customHeight="1" s="201">
      <c r="B641" s="154" t="n"/>
      <c r="C641" s="154" t="n"/>
      <c r="D641" s="154" t="n"/>
      <c r="E641" s="154" t="n"/>
      <c r="F641" s="154" t="n"/>
      <c r="G641" s="154" t="n"/>
      <c r="H641" s="154" t="n"/>
      <c r="I641" s="154" t="n"/>
      <c r="J641" s="154" t="n"/>
      <c r="K641" s="154" t="n"/>
    </row>
    <row r="642" ht="15.75" customHeight="1" s="201">
      <c r="B642" s="154" t="n"/>
      <c r="C642" s="154" t="n"/>
      <c r="D642" s="154" t="n"/>
      <c r="E642" s="154" t="n"/>
      <c r="F642" s="154" t="n"/>
      <c r="G642" s="154" t="n"/>
      <c r="H642" s="154" t="n"/>
      <c r="I642" s="154" t="n"/>
      <c r="J642" s="154" t="n"/>
      <c r="K642" s="154" t="n"/>
    </row>
    <row r="643" ht="15.75" customHeight="1" s="201">
      <c r="B643" s="154" t="n"/>
      <c r="C643" s="154" t="n"/>
      <c r="D643" s="154" t="n"/>
      <c r="E643" s="154" t="n"/>
      <c r="F643" s="154" t="n"/>
      <c r="G643" s="154" t="n"/>
      <c r="H643" s="154" t="n"/>
      <c r="I643" s="154" t="n"/>
      <c r="J643" s="154" t="n"/>
      <c r="K643" s="154" t="n"/>
    </row>
    <row r="644" ht="15.75" customHeight="1" s="201">
      <c r="B644" s="154" t="n"/>
      <c r="C644" s="154" t="n"/>
      <c r="D644" s="154" t="n"/>
      <c r="E644" s="154" t="n"/>
      <c r="F644" s="154" t="n"/>
      <c r="G644" s="154" t="n"/>
      <c r="H644" s="154" t="n"/>
      <c r="I644" s="154" t="n"/>
      <c r="J644" s="154" t="n"/>
      <c r="K644" s="154" t="n"/>
    </row>
    <row r="645" ht="15.75" customHeight="1" s="201">
      <c r="B645" s="154" t="n"/>
      <c r="C645" s="154" t="n"/>
      <c r="D645" s="154" t="n"/>
      <c r="E645" s="154" t="n"/>
      <c r="F645" s="154" t="n"/>
      <c r="G645" s="154" t="n"/>
      <c r="H645" s="154" t="n"/>
      <c r="I645" s="154" t="n"/>
      <c r="J645" s="154" t="n"/>
      <c r="K645" s="154" t="n"/>
    </row>
    <row r="646" ht="15.75" customHeight="1" s="201">
      <c r="B646" s="154" t="n"/>
      <c r="C646" s="154" t="n"/>
      <c r="D646" s="154" t="n"/>
      <c r="E646" s="154" t="n"/>
      <c r="F646" s="154" t="n"/>
      <c r="G646" s="154" t="n"/>
      <c r="H646" s="154" t="n"/>
      <c r="I646" s="154" t="n"/>
      <c r="J646" s="154" t="n"/>
      <c r="K646" s="154" t="n"/>
    </row>
    <row r="647" ht="15.75" customHeight="1" s="201">
      <c r="B647" s="154" t="n"/>
      <c r="C647" s="154" t="n"/>
      <c r="D647" s="154" t="n"/>
      <c r="E647" s="154" t="n"/>
      <c r="F647" s="154" t="n"/>
      <c r="G647" s="154" t="n"/>
      <c r="H647" s="154" t="n"/>
      <c r="I647" s="154" t="n"/>
      <c r="J647" s="154" t="n"/>
      <c r="K647" s="154" t="n"/>
    </row>
    <row r="648" ht="15.75" customHeight="1" s="201">
      <c r="B648" s="154" t="n"/>
      <c r="C648" s="154" t="n"/>
      <c r="D648" s="154" t="n"/>
      <c r="E648" s="154" t="n"/>
      <c r="F648" s="154" t="n"/>
      <c r="G648" s="154" t="n"/>
      <c r="H648" s="154" t="n"/>
      <c r="I648" s="154" t="n"/>
      <c r="J648" s="154" t="n"/>
      <c r="K648" s="154" t="n"/>
    </row>
    <row r="649" ht="15.75" customHeight="1" s="201">
      <c r="B649" s="154" t="n"/>
      <c r="C649" s="154" t="n"/>
      <c r="D649" s="154" t="n"/>
      <c r="E649" s="154" t="n"/>
      <c r="F649" s="154" t="n"/>
      <c r="G649" s="154" t="n"/>
      <c r="H649" s="154" t="n"/>
      <c r="I649" s="154" t="n"/>
      <c r="J649" s="154" t="n"/>
      <c r="K649" s="154" t="n"/>
    </row>
    <row r="650" ht="15.75" customHeight="1" s="201">
      <c r="B650" s="154" t="n"/>
      <c r="C650" s="154" t="n"/>
      <c r="D650" s="154" t="n"/>
      <c r="E650" s="154" t="n"/>
      <c r="F650" s="154" t="n"/>
      <c r="G650" s="154" t="n"/>
      <c r="H650" s="154" t="n"/>
      <c r="I650" s="154" t="n"/>
      <c r="J650" s="154" t="n"/>
      <c r="K650" s="154" t="n"/>
    </row>
    <row r="651" ht="15.75" customHeight="1" s="201">
      <c r="B651" s="154" t="n"/>
      <c r="C651" s="154" t="n"/>
      <c r="D651" s="154" t="n"/>
      <c r="E651" s="154" t="n"/>
      <c r="F651" s="154" t="n"/>
      <c r="G651" s="154" t="n"/>
      <c r="H651" s="154" t="n"/>
      <c r="I651" s="154" t="n"/>
      <c r="J651" s="154" t="n"/>
      <c r="K651" s="154" t="n"/>
    </row>
    <row r="652" ht="15.75" customHeight="1" s="201">
      <c r="B652" s="154" t="n"/>
      <c r="C652" s="154" t="n"/>
      <c r="D652" s="154" t="n"/>
      <c r="E652" s="154" t="n"/>
      <c r="F652" s="154" t="n"/>
      <c r="G652" s="154" t="n"/>
      <c r="H652" s="154" t="n"/>
      <c r="I652" s="154" t="n"/>
      <c r="J652" s="154" t="n"/>
      <c r="K652" s="154" t="n"/>
    </row>
    <row r="653" ht="15.75" customHeight="1" s="201">
      <c r="B653" s="154" t="n"/>
      <c r="C653" s="154" t="n"/>
      <c r="D653" s="154" t="n"/>
      <c r="E653" s="154" t="n"/>
      <c r="F653" s="154" t="n"/>
      <c r="G653" s="154" t="n"/>
      <c r="H653" s="154" t="n"/>
      <c r="I653" s="154" t="n"/>
      <c r="J653" s="154" t="n"/>
      <c r="K653" s="154" t="n"/>
    </row>
    <row r="654" ht="15.75" customHeight="1" s="201">
      <c r="B654" s="154" t="n"/>
      <c r="C654" s="154" t="n"/>
      <c r="D654" s="154" t="n"/>
      <c r="E654" s="154" t="n"/>
      <c r="F654" s="154" t="n"/>
      <c r="G654" s="154" t="n"/>
      <c r="H654" s="154" t="n"/>
      <c r="I654" s="154" t="n"/>
      <c r="J654" s="154" t="n"/>
      <c r="K654" s="154" t="n"/>
    </row>
    <row r="655" ht="15.75" customHeight="1" s="201">
      <c r="B655" s="154" t="n"/>
      <c r="C655" s="154" t="n"/>
      <c r="D655" s="154" t="n"/>
      <c r="E655" s="154" t="n"/>
      <c r="F655" s="154" t="n"/>
      <c r="G655" s="154" t="n"/>
      <c r="H655" s="154" t="n"/>
      <c r="I655" s="154" t="n"/>
      <c r="J655" s="154" t="n"/>
      <c r="K655" s="154" t="n"/>
    </row>
    <row r="656" ht="15.75" customHeight="1" s="201">
      <c r="B656" s="154" t="n"/>
      <c r="C656" s="154" t="n"/>
      <c r="D656" s="154" t="n"/>
      <c r="E656" s="154" t="n"/>
      <c r="F656" s="154" t="n"/>
      <c r="G656" s="154" t="n"/>
      <c r="H656" s="154" t="n"/>
      <c r="I656" s="154" t="n"/>
      <c r="J656" s="154" t="n"/>
      <c r="K656" s="154" t="n"/>
    </row>
    <row r="657" ht="15.75" customHeight="1" s="201">
      <c r="B657" s="154" t="n"/>
      <c r="C657" s="154" t="n"/>
      <c r="D657" s="154" t="n"/>
      <c r="E657" s="154" t="n"/>
      <c r="F657" s="154" t="n"/>
      <c r="G657" s="154" t="n"/>
      <c r="H657" s="154" t="n"/>
      <c r="I657" s="154" t="n"/>
      <c r="J657" s="154" t="n"/>
      <c r="K657" s="154" t="n"/>
    </row>
    <row r="658" ht="15.75" customHeight="1" s="201">
      <c r="B658" s="154" t="n"/>
      <c r="C658" s="154" t="n"/>
      <c r="D658" s="154" t="n"/>
      <c r="E658" s="154" t="n"/>
      <c r="F658" s="154" t="n"/>
      <c r="G658" s="154" t="n"/>
      <c r="H658" s="154" t="n"/>
      <c r="I658" s="154" t="n"/>
      <c r="J658" s="154" t="n"/>
      <c r="K658" s="154" t="n"/>
    </row>
    <row r="659" ht="15.75" customHeight="1" s="201">
      <c r="B659" s="154" t="n"/>
      <c r="C659" s="154" t="n"/>
      <c r="D659" s="154" t="n"/>
      <c r="E659" s="154" t="n"/>
      <c r="F659" s="154" t="n"/>
      <c r="G659" s="154" t="n"/>
      <c r="H659" s="154" t="n"/>
      <c r="I659" s="154" t="n"/>
      <c r="J659" s="154" t="n"/>
      <c r="K659" s="154" t="n"/>
    </row>
    <row r="660" ht="15.75" customHeight="1" s="201">
      <c r="B660" s="154" t="n"/>
      <c r="C660" s="154" t="n"/>
      <c r="D660" s="154" t="n"/>
      <c r="E660" s="154" t="n"/>
      <c r="F660" s="154" t="n"/>
      <c r="G660" s="154" t="n"/>
      <c r="H660" s="154" t="n"/>
      <c r="I660" s="154" t="n"/>
      <c r="J660" s="154" t="n"/>
      <c r="K660" s="154" t="n"/>
    </row>
    <row r="661" ht="15.75" customHeight="1" s="201">
      <c r="B661" s="154" t="n"/>
      <c r="C661" s="154" t="n"/>
      <c r="D661" s="154" t="n"/>
      <c r="E661" s="154" t="n"/>
      <c r="F661" s="154" t="n"/>
      <c r="G661" s="154" t="n"/>
      <c r="H661" s="154" t="n"/>
      <c r="I661" s="154" t="n"/>
      <c r="J661" s="154" t="n"/>
      <c r="K661" s="154" t="n"/>
    </row>
    <row r="662" ht="15.75" customHeight="1" s="201">
      <c r="B662" s="154" t="n"/>
      <c r="C662" s="154" t="n"/>
      <c r="D662" s="154" t="n"/>
      <c r="E662" s="154" t="n"/>
      <c r="F662" s="154" t="n"/>
      <c r="G662" s="154" t="n"/>
      <c r="H662" s="154" t="n"/>
      <c r="I662" s="154" t="n"/>
      <c r="J662" s="154" t="n"/>
      <c r="K662" s="154" t="n"/>
    </row>
    <row r="663" ht="15.75" customHeight="1" s="201">
      <c r="B663" s="154" t="n"/>
      <c r="C663" s="154" t="n"/>
      <c r="D663" s="154" t="n"/>
      <c r="E663" s="154" t="n"/>
      <c r="F663" s="154" t="n"/>
      <c r="G663" s="154" t="n"/>
      <c r="H663" s="154" t="n"/>
      <c r="I663" s="154" t="n"/>
      <c r="J663" s="154" t="n"/>
      <c r="K663" s="154" t="n"/>
    </row>
    <row r="664" ht="15.75" customHeight="1" s="201">
      <c r="B664" s="154" t="n"/>
      <c r="C664" s="154" t="n"/>
      <c r="D664" s="154" t="n"/>
      <c r="E664" s="154" t="n"/>
      <c r="F664" s="154" t="n"/>
      <c r="G664" s="154" t="n"/>
      <c r="H664" s="154" t="n"/>
      <c r="I664" s="154" t="n"/>
      <c r="J664" s="154" t="n"/>
      <c r="K664" s="154" t="n"/>
    </row>
    <row r="665" ht="15.75" customHeight="1" s="201">
      <c r="B665" s="154" t="n"/>
      <c r="C665" s="154" t="n"/>
      <c r="D665" s="154" t="n"/>
      <c r="E665" s="154" t="n"/>
      <c r="F665" s="154" t="n"/>
      <c r="G665" s="154" t="n"/>
      <c r="H665" s="154" t="n"/>
      <c r="I665" s="154" t="n"/>
      <c r="J665" s="154" t="n"/>
      <c r="K665" s="154" t="n"/>
    </row>
    <row r="666" ht="15.75" customHeight="1" s="201">
      <c r="B666" s="154" t="n"/>
      <c r="C666" s="154" t="n"/>
      <c r="D666" s="154" t="n"/>
      <c r="E666" s="154" t="n"/>
      <c r="F666" s="154" t="n"/>
      <c r="G666" s="154" t="n"/>
      <c r="H666" s="154" t="n"/>
      <c r="I666" s="154" t="n"/>
      <c r="J666" s="154" t="n"/>
      <c r="K666" s="154" t="n"/>
    </row>
    <row r="667" ht="15.75" customHeight="1" s="201">
      <c r="B667" s="154" t="n"/>
      <c r="C667" s="154" t="n"/>
      <c r="D667" s="154" t="n"/>
      <c r="E667" s="154" t="n"/>
      <c r="F667" s="154" t="n"/>
      <c r="G667" s="154" t="n"/>
      <c r="H667" s="154" t="n"/>
      <c r="I667" s="154" t="n"/>
      <c r="J667" s="154" t="n"/>
      <c r="K667" s="154" t="n"/>
    </row>
    <row r="668" ht="15.75" customHeight="1" s="201">
      <c r="B668" s="154" t="n"/>
      <c r="C668" s="154" t="n"/>
      <c r="D668" s="154" t="n"/>
      <c r="E668" s="154" t="n"/>
      <c r="F668" s="154" t="n"/>
      <c r="G668" s="154" t="n"/>
      <c r="H668" s="154" t="n"/>
      <c r="I668" s="154" t="n"/>
      <c r="J668" s="154" t="n"/>
      <c r="K668" s="154" t="n"/>
    </row>
    <row r="669" ht="15.75" customHeight="1" s="201">
      <c r="B669" s="154" t="n"/>
      <c r="C669" s="154" t="n"/>
      <c r="D669" s="154" t="n"/>
      <c r="E669" s="154" t="n"/>
      <c r="F669" s="154" t="n"/>
      <c r="G669" s="154" t="n"/>
      <c r="H669" s="154" t="n"/>
      <c r="I669" s="154" t="n"/>
      <c r="J669" s="154" t="n"/>
      <c r="K669" s="154" t="n"/>
    </row>
    <row r="670" ht="15.75" customHeight="1" s="201">
      <c r="B670" s="154" t="n"/>
      <c r="C670" s="154" t="n"/>
      <c r="D670" s="154" t="n"/>
      <c r="E670" s="154" t="n"/>
      <c r="F670" s="154" t="n"/>
      <c r="G670" s="154" t="n"/>
      <c r="H670" s="154" t="n"/>
      <c r="I670" s="154" t="n"/>
      <c r="J670" s="154" t="n"/>
      <c r="K670" s="154" t="n"/>
    </row>
    <row r="671" ht="15.75" customHeight="1" s="201">
      <c r="B671" s="154" t="n"/>
      <c r="C671" s="154" t="n"/>
      <c r="D671" s="154" t="n"/>
      <c r="E671" s="154" t="n"/>
      <c r="F671" s="154" t="n"/>
      <c r="G671" s="154" t="n"/>
      <c r="H671" s="154" t="n"/>
      <c r="I671" s="154" t="n"/>
      <c r="J671" s="154" t="n"/>
      <c r="K671" s="154" t="n"/>
    </row>
    <row r="672" ht="15.75" customHeight="1" s="201">
      <c r="B672" s="154" t="n"/>
      <c r="C672" s="154" t="n"/>
      <c r="D672" s="154" t="n"/>
      <c r="E672" s="154" t="n"/>
      <c r="F672" s="154" t="n"/>
      <c r="G672" s="154" t="n"/>
      <c r="H672" s="154" t="n"/>
      <c r="I672" s="154" t="n"/>
      <c r="J672" s="154" t="n"/>
      <c r="K672" s="154" t="n"/>
    </row>
    <row r="673" ht="15.75" customHeight="1" s="201">
      <c r="B673" s="154" t="n"/>
      <c r="C673" s="154" t="n"/>
      <c r="D673" s="154" t="n"/>
      <c r="E673" s="154" t="n"/>
      <c r="F673" s="154" t="n"/>
      <c r="G673" s="154" t="n"/>
      <c r="H673" s="154" t="n"/>
      <c r="I673" s="154" t="n"/>
      <c r="J673" s="154" t="n"/>
      <c r="K673" s="154" t="n"/>
    </row>
    <row r="674" ht="15.75" customHeight="1" s="201">
      <c r="B674" s="154" t="n"/>
      <c r="C674" s="154" t="n"/>
      <c r="D674" s="154" t="n"/>
      <c r="E674" s="154" t="n"/>
      <c r="F674" s="154" t="n"/>
      <c r="G674" s="154" t="n"/>
      <c r="H674" s="154" t="n"/>
      <c r="I674" s="154" t="n"/>
      <c r="J674" s="154" t="n"/>
      <c r="K674" s="154" t="n"/>
    </row>
    <row r="675" ht="15.75" customHeight="1" s="201">
      <c r="B675" s="154" t="n"/>
      <c r="C675" s="154" t="n"/>
      <c r="D675" s="154" t="n"/>
      <c r="E675" s="154" t="n"/>
      <c r="F675" s="154" t="n"/>
      <c r="G675" s="154" t="n"/>
      <c r="H675" s="154" t="n"/>
      <c r="I675" s="154" t="n"/>
      <c r="J675" s="154" t="n"/>
      <c r="K675" s="154" t="n"/>
    </row>
    <row r="676" ht="15.75" customHeight="1" s="201">
      <c r="B676" s="154" t="n"/>
      <c r="C676" s="154" t="n"/>
      <c r="D676" s="154" t="n"/>
      <c r="E676" s="154" t="n"/>
      <c r="F676" s="154" t="n"/>
      <c r="G676" s="154" t="n"/>
      <c r="H676" s="154" t="n"/>
      <c r="I676" s="154" t="n"/>
      <c r="J676" s="154" t="n"/>
      <c r="K676" s="154" t="n"/>
    </row>
    <row r="677" ht="15.75" customHeight="1" s="201">
      <c r="B677" s="154" t="n"/>
      <c r="C677" s="154" t="n"/>
      <c r="D677" s="154" t="n"/>
      <c r="E677" s="154" t="n"/>
      <c r="F677" s="154" t="n"/>
      <c r="G677" s="154" t="n"/>
      <c r="H677" s="154" t="n"/>
      <c r="I677" s="154" t="n"/>
      <c r="J677" s="154" t="n"/>
      <c r="K677" s="154" t="n"/>
    </row>
    <row r="678" ht="15.75" customHeight="1" s="201">
      <c r="B678" s="154" t="n"/>
      <c r="C678" s="154" t="n"/>
      <c r="D678" s="154" t="n"/>
      <c r="E678" s="154" t="n"/>
      <c r="F678" s="154" t="n"/>
      <c r="G678" s="154" t="n"/>
      <c r="H678" s="154" t="n"/>
      <c r="I678" s="154" t="n"/>
      <c r="J678" s="154" t="n"/>
      <c r="K678" s="154" t="n"/>
    </row>
    <row r="679" ht="15.75" customHeight="1" s="201">
      <c r="B679" s="154" t="n"/>
      <c r="C679" s="154" t="n"/>
      <c r="D679" s="154" t="n"/>
      <c r="E679" s="154" t="n"/>
      <c r="F679" s="154" t="n"/>
      <c r="G679" s="154" t="n"/>
      <c r="H679" s="154" t="n"/>
      <c r="I679" s="154" t="n"/>
      <c r="J679" s="154" t="n"/>
      <c r="K679" s="154" t="n"/>
    </row>
    <row r="680" ht="15.75" customHeight="1" s="201">
      <c r="B680" s="154" t="n"/>
      <c r="C680" s="154" t="n"/>
      <c r="D680" s="154" t="n"/>
      <c r="E680" s="154" t="n"/>
      <c r="F680" s="154" t="n"/>
      <c r="G680" s="154" t="n"/>
      <c r="H680" s="154" t="n"/>
      <c r="I680" s="154" t="n"/>
      <c r="J680" s="154" t="n"/>
      <c r="K680" s="154" t="n"/>
    </row>
    <row r="681" ht="15.75" customHeight="1" s="201">
      <c r="B681" s="154" t="n"/>
      <c r="C681" s="154" t="n"/>
      <c r="D681" s="154" t="n"/>
      <c r="E681" s="154" t="n"/>
      <c r="F681" s="154" t="n"/>
      <c r="G681" s="154" t="n"/>
      <c r="H681" s="154" t="n"/>
      <c r="I681" s="154" t="n"/>
      <c r="J681" s="154" t="n"/>
      <c r="K681" s="154" t="n"/>
    </row>
    <row r="682" ht="15.75" customHeight="1" s="201">
      <c r="B682" s="154" t="n"/>
      <c r="C682" s="154" t="n"/>
      <c r="D682" s="154" t="n"/>
      <c r="E682" s="154" t="n"/>
      <c r="F682" s="154" t="n"/>
      <c r="G682" s="154" t="n"/>
      <c r="H682" s="154" t="n"/>
      <c r="I682" s="154" t="n"/>
      <c r="J682" s="154" t="n"/>
      <c r="K682" s="154" t="n"/>
    </row>
    <row r="683" ht="15.75" customHeight="1" s="201">
      <c r="B683" s="154" t="n"/>
      <c r="C683" s="154" t="n"/>
      <c r="D683" s="154" t="n"/>
      <c r="E683" s="154" t="n"/>
      <c r="F683" s="154" t="n"/>
      <c r="G683" s="154" t="n"/>
      <c r="H683" s="154" t="n"/>
      <c r="I683" s="154" t="n"/>
      <c r="J683" s="154" t="n"/>
      <c r="K683" s="154" t="n"/>
    </row>
    <row r="684" ht="15.75" customHeight="1" s="201">
      <c r="B684" s="154" t="n"/>
      <c r="C684" s="154" t="n"/>
      <c r="D684" s="154" t="n"/>
      <c r="E684" s="154" t="n"/>
      <c r="F684" s="154" t="n"/>
      <c r="G684" s="154" t="n"/>
      <c r="H684" s="154" t="n"/>
      <c r="I684" s="154" t="n"/>
      <c r="J684" s="154" t="n"/>
      <c r="K684" s="154" t="n"/>
    </row>
    <row r="685" ht="15.75" customHeight="1" s="201">
      <c r="B685" s="154" t="n"/>
      <c r="C685" s="154" t="n"/>
      <c r="D685" s="154" t="n"/>
      <c r="E685" s="154" t="n"/>
      <c r="F685" s="154" t="n"/>
      <c r="G685" s="154" t="n"/>
      <c r="H685" s="154" t="n"/>
      <c r="I685" s="154" t="n"/>
      <c r="J685" s="154" t="n"/>
      <c r="K685" s="154" t="n"/>
    </row>
    <row r="686" ht="15.75" customHeight="1" s="201">
      <c r="B686" s="154" t="n"/>
      <c r="C686" s="154" t="n"/>
      <c r="D686" s="154" t="n"/>
      <c r="E686" s="154" t="n"/>
      <c r="F686" s="154" t="n"/>
      <c r="G686" s="154" t="n"/>
      <c r="H686" s="154" t="n"/>
      <c r="I686" s="154" t="n"/>
      <c r="J686" s="154" t="n"/>
      <c r="K686" s="154" t="n"/>
    </row>
    <row r="687" ht="15.75" customHeight="1" s="201">
      <c r="B687" s="154" t="n"/>
      <c r="C687" s="154" t="n"/>
      <c r="D687" s="154" t="n"/>
      <c r="E687" s="154" t="n"/>
      <c r="F687" s="154" t="n"/>
      <c r="G687" s="154" t="n"/>
      <c r="H687" s="154" t="n"/>
      <c r="I687" s="154" t="n"/>
      <c r="J687" s="154" t="n"/>
      <c r="K687" s="154" t="n"/>
    </row>
    <row r="688" ht="15.75" customHeight="1" s="201">
      <c r="B688" s="154" t="n"/>
      <c r="C688" s="154" t="n"/>
      <c r="D688" s="154" t="n"/>
      <c r="E688" s="154" t="n"/>
      <c r="F688" s="154" t="n"/>
      <c r="G688" s="154" t="n"/>
      <c r="H688" s="154" t="n"/>
      <c r="I688" s="154" t="n"/>
      <c r="J688" s="154" t="n"/>
      <c r="K688" s="154" t="n"/>
    </row>
    <row r="689" ht="15.75" customHeight="1" s="201">
      <c r="B689" s="154" t="n"/>
      <c r="C689" s="154" t="n"/>
      <c r="D689" s="154" t="n"/>
      <c r="E689" s="154" t="n"/>
      <c r="F689" s="154" t="n"/>
      <c r="G689" s="154" t="n"/>
      <c r="H689" s="154" t="n"/>
      <c r="I689" s="154" t="n"/>
      <c r="J689" s="154" t="n"/>
      <c r="K689" s="154" t="n"/>
    </row>
    <row r="690" ht="15.75" customHeight="1" s="201">
      <c r="B690" s="154" t="n"/>
      <c r="C690" s="154" t="n"/>
      <c r="D690" s="154" t="n"/>
      <c r="E690" s="154" t="n"/>
      <c r="F690" s="154" t="n"/>
      <c r="G690" s="154" t="n"/>
      <c r="H690" s="154" t="n"/>
      <c r="I690" s="154" t="n"/>
      <c r="J690" s="154" t="n"/>
      <c r="K690" s="154" t="n"/>
    </row>
    <row r="691" ht="15.75" customHeight="1" s="201">
      <c r="B691" s="154" t="n"/>
      <c r="C691" s="154" t="n"/>
      <c r="D691" s="154" t="n"/>
      <c r="E691" s="154" t="n"/>
      <c r="F691" s="154" t="n"/>
      <c r="G691" s="154" t="n"/>
      <c r="H691" s="154" t="n"/>
      <c r="I691" s="154" t="n"/>
      <c r="J691" s="154" t="n"/>
      <c r="K691" s="154" t="n"/>
    </row>
    <row r="692" ht="15.75" customHeight="1" s="201">
      <c r="B692" s="154" t="n"/>
      <c r="C692" s="154" t="n"/>
      <c r="D692" s="154" t="n"/>
      <c r="E692" s="154" t="n"/>
      <c r="F692" s="154" t="n"/>
      <c r="G692" s="154" t="n"/>
      <c r="H692" s="154" t="n"/>
      <c r="I692" s="154" t="n"/>
      <c r="J692" s="154" t="n"/>
      <c r="K692" s="154" t="n"/>
    </row>
    <row r="693" ht="15.75" customHeight="1" s="201">
      <c r="B693" s="154" t="n"/>
      <c r="C693" s="154" t="n"/>
      <c r="D693" s="154" t="n"/>
      <c r="E693" s="154" t="n"/>
      <c r="F693" s="154" t="n"/>
      <c r="G693" s="154" t="n"/>
      <c r="H693" s="154" t="n"/>
      <c r="I693" s="154" t="n"/>
      <c r="J693" s="154" t="n"/>
      <c r="K693" s="154" t="n"/>
    </row>
    <row r="694" ht="15.75" customHeight="1" s="201">
      <c r="B694" s="154" t="n"/>
      <c r="C694" s="154" t="n"/>
      <c r="D694" s="154" t="n"/>
      <c r="E694" s="154" t="n"/>
      <c r="F694" s="154" t="n"/>
      <c r="G694" s="154" t="n"/>
      <c r="H694" s="154" t="n"/>
      <c r="I694" s="154" t="n"/>
      <c r="J694" s="154" t="n"/>
      <c r="K694" s="154" t="n"/>
    </row>
    <row r="695" ht="15.75" customHeight="1" s="201">
      <c r="B695" s="154" t="n"/>
      <c r="C695" s="154" t="n"/>
      <c r="D695" s="154" t="n"/>
      <c r="E695" s="154" t="n"/>
      <c r="F695" s="154" t="n"/>
      <c r="G695" s="154" t="n"/>
      <c r="H695" s="154" t="n"/>
      <c r="I695" s="154" t="n"/>
      <c r="J695" s="154" t="n"/>
      <c r="K695" s="154" t="n"/>
    </row>
    <row r="696" ht="15.75" customHeight="1" s="201">
      <c r="B696" s="154" t="n"/>
      <c r="C696" s="154" t="n"/>
      <c r="D696" s="154" t="n"/>
      <c r="E696" s="154" t="n"/>
      <c r="F696" s="154" t="n"/>
      <c r="G696" s="154" t="n"/>
      <c r="H696" s="154" t="n"/>
      <c r="I696" s="154" t="n"/>
      <c r="J696" s="154" t="n"/>
      <c r="K696" s="154" t="n"/>
    </row>
    <row r="697" ht="15.75" customHeight="1" s="201">
      <c r="B697" s="154" t="n"/>
      <c r="C697" s="154" t="n"/>
      <c r="D697" s="154" t="n"/>
      <c r="E697" s="154" t="n"/>
      <c r="F697" s="154" t="n"/>
      <c r="G697" s="154" t="n"/>
      <c r="H697" s="154" t="n"/>
      <c r="I697" s="154" t="n"/>
      <c r="J697" s="154" t="n"/>
      <c r="K697" s="154" t="n"/>
    </row>
    <row r="698" ht="15.75" customHeight="1" s="201">
      <c r="B698" s="154" t="n"/>
      <c r="C698" s="154" t="n"/>
      <c r="D698" s="154" t="n"/>
      <c r="E698" s="154" t="n"/>
      <c r="F698" s="154" t="n"/>
      <c r="G698" s="154" t="n"/>
      <c r="H698" s="154" t="n"/>
      <c r="I698" s="154" t="n"/>
      <c r="J698" s="154" t="n"/>
      <c r="K698" s="154" t="n"/>
    </row>
    <row r="699" ht="15.75" customHeight="1" s="201">
      <c r="B699" s="154" t="n"/>
      <c r="C699" s="154" t="n"/>
      <c r="D699" s="154" t="n"/>
      <c r="E699" s="154" t="n"/>
      <c r="F699" s="154" t="n"/>
      <c r="G699" s="154" t="n"/>
      <c r="H699" s="154" t="n"/>
      <c r="I699" s="154" t="n"/>
      <c r="J699" s="154" t="n"/>
      <c r="K699" s="154" t="n"/>
    </row>
    <row r="700" ht="15.75" customHeight="1" s="201">
      <c r="B700" s="154" t="n"/>
      <c r="C700" s="154" t="n"/>
      <c r="D700" s="154" t="n"/>
      <c r="E700" s="154" t="n"/>
      <c r="F700" s="154" t="n"/>
      <c r="G700" s="154" t="n"/>
      <c r="H700" s="154" t="n"/>
      <c r="I700" s="154" t="n"/>
      <c r="J700" s="154" t="n"/>
      <c r="K700" s="154" t="n"/>
    </row>
    <row r="701" ht="15.75" customHeight="1" s="201">
      <c r="B701" s="154" t="n"/>
      <c r="C701" s="154" t="n"/>
      <c r="D701" s="154" t="n"/>
      <c r="E701" s="154" t="n"/>
      <c r="F701" s="154" t="n"/>
      <c r="G701" s="154" t="n"/>
      <c r="H701" s="154" t="n"/>
      <c r="I701" s="154" t="n"/>
      <c r="J701" s="154" t="n"/>
      <c r="K701" s="154" t="n"/>
    </row>
    <row r="702" ht="15.75" customHeight="1" s="201">
      <c r="B702" s="154" t="n"/>
      <c r="C702" s="154" t="n"/>
      <c r="D702" s="154" t="n"/>
      <c r="E702" s="154" t="n"/>
      <c r="F702" s="154" t="n"/>
      <c r="G702" s="154" t="n"/>
      <c r="H702" s="154" t="n"/>
      <c r="I702" s="154" t="n"/>
      <c r="J702" s="154" t="n"/>
      <c r="K702" s="154" t="n"/>
    </row>
    <row r="703" ht="15.75" customHeight="1" s="201">
      <c r="B703" s="154" t="n"/>
      <c r="C703" s="154" t="n"/>
      <c r="D703" s="154" t="n"/>
      <c r="E703" s="154" t="n"/>
      <c r="F703" s="154" t="n"/>
      <c r="G703" s="154" t="n"/>
      <c r="H703" s="154" t="n"/>
      <c r="I703" s="154" t="n"/>
      <c r="J703" s="154" t="n"/>
      <c r="K703" s="154" t="n"/>
    </row>
    <row r="704" ht="15.75" customHeight="1" s="201">
      <c r="B704" s="154" t="n"/>
      <c r="C704" s="154" t="n"/>
      <c r="D704" s="154" t="n"/>
      <c r="E704" s="154" t="n"/>
      <c r="F704" s="154" t="n"/>
      <c r="G704" s="154" t="n"/>
      <c r="H704" s="154" t="n"/>
      <c r="I704" s="154" t="n"/>
      <c r="J704" s="154" t="n"/>
      <c r="K704" s="154" t="n"/>
    </row>
    <row r="705" ht="15.75" customHeight="1" s="201">
      <c r="B705" s="154" t="n"/>
      <c r="C705" s="154" t="n"/>
      <c r="D705" s="154" t="n"/>
      <c r="E705" s="154" t="n"/>
      <c r="F705" s="154" t="n"/>
      <c r="G705" s="154" t="n"/>
      <c r="H705" s="154" t="n"/>
      <c r="I705" s="154" t="n"/>
      <c r="J705" s="154" t="n"/>
      <c r="K705" s="154" t="n"/>
    </row>
    <row r="706" ht="15.75" customHeight="1" s="201">
      <c r="B706" s="154" t="n"/>
      <c r="C706" s="154" t="n"/>
      <c r="D706" s="154" t="n"/>
      <c r="E706" s="154" t="n"/>
      <c r="F706" s="154" t="n"/>
      <c r="G706" s="154" t="n"/>
      <c r="H706" s="154" t="n"/>
      <c r="I706" s="154" t="n"/>
      <c r="J706" s="154" t="n"/>
      <c r="K706" s="154" t="n"/>
    </row>
    <row r="707" ht="15.75" customHeight="1" s="201">
      <c r="B707" s="154" t="n"/>
      <c r="C707" s="154" t="n"/>
      <c r="D707" s="154" t="n"/>
      <c r="E707" s="154" t="n"/>
      <c r="F707" s="154" t="n"/>
      <c r="G707" s="154" t="n"/>
      <c r="H707" s="154" t="n"/>
      <c r="I707" s="154" t="n"/>
      <c r="J707" s="154" t="n"/>
      <c r="K707" s="154" t="n"/>
    </row>
    <row r="708" ht="15.75" customHeight="1" s="201">
      <c r="B708" s="154" t="n"/>
      <c r="C708" s="154" t="n"/>
      <c r="D708" s="154" t="n"/>
      <c r="E708" s="154" t="n"/>
      <c r="F708" s="154" t="n"/>
      <c r="G708" s="154" t="n"/>
      <c r="H708" s="154" t="n"/>
      <c r="I708" s="154" t="n"/>
      <c r="J708" s="154" t="n"/>
      <c r="K708" s="154" t="n"/>
    </row>
    <row r="709" ht="15.75" customHeight="1" s="201">
      <c r="B709" s="154" t="n"/>
      <c r="C709" s="154" t="n"/>
      <c r="D709" s="154" t="n"/>
      <c r="E709" s="154" t="n"/>
      <c r="F709" s="154" t="n"/>
      <c r="G709" s="154" t="n"/>
      <c r="H709" s="154" t="n"/>
      <c r="I709" s="154" t="n"/>
      <c r="J709" s="154" t="n"/>
      <c r="K709" s="154" t="n"/>
    </row>
    <row r="710" ht="15.75" customHeight="1" s="201">
      <c r="B710" s="154" t="n"/>
      <c r="C710" s="154" t="n"/>
      <c r="D710" s="154" t="n"/>
      <c r="E710" s="154" t="n"/>
      <c r="F710" s="154" t="n"/>
      <c r="G710" s="154" t="n"/>
      <c r="H710" s="154" t="n"/>
      <c r="I710" s="154" t="n"/>
      <c r="J710" s="154" t="n"/>
      <c r="K710" s="154" t="n"/>
    </row>
    <row r="711" ht="15.75" customHeight="1" s="201">
      <c r="B711" s="154" t="n"/>
      <c r="C711" s="154" t="n"/>
      <c r="D711" s="154" t="n"/>
      <c r="E711" s="154" t="n"/>
      <c r="F711" s="154" t="n"/>
      <c r="G711" s="154" t="n"/>
      <c r="H711" s="154" t="n"/>
      <c r="I711" s="154" t="n"/>
      <c r="J711" s="154" t="n"/>
      <c r="K711" s="154" t="n"/>
    </row>
    <row r="712" ht="15.75" customHeight="1" s="201">
      <c r="B712" s="154" t="n"/>
      <c r="C712" s="154" t="n"/>
      <c r="D712" s="154" t="n"/>
      <c r="E712" s="154" t="n"/>
      <c r="F712" s="154" t="n"/>
      <c r="G712" s="154" t="n"/>
      <c r="H712" s="154" t="n"/>
      <c r="I712" s="154" t="n"/>
      <c r="J712" s="154" t="n"/>
      <c r="K712" s="154" t="n"/>
    </row>
    <row r="713" ht="15.75" customHeight="1" s="201">
      <c r="B713" s="154" t="n"/>
      <c r="C713" s="154" t="n"/>
      <c r="D713" s="154" t="n"/>
      <c r="E713" s="154" t="n"/>
      <c r="F713" s="154" t="n"/>
      <c r="G713" s="154" t="n"/>
      <c r="H713" s="154" t="n"/>
      <c r="I713" s="154" t="n"/>
      <c r="J713" s="154" t="n"/>
      <c r="K713" s="154" t="n"/>
    </row>
    <row r="714" ht="15.75" customHeight="1" s="201">
      <c r="B714" s="154" t="n"/>
      <c r="C714" s="154" t="n"/>
      <c r="D714" s="154" t="n"/>
      <c r="E714" s="154" t="n"/>
      <c r="F714" s="154" t="n"/>
      <c r="G714" s="154" t="n"/>
      <c r="H714" s="154" t="n"/>
      <c r="I714" s="154" t="n"/>
      <c r="J714" s="154" t="n"/>
      <c r="K714" s="154" t="n"/>
    </row>
    <row r="715" ht="15.75" customHeight="1" s="201">
      <c r="B715" s="154" t="n"/>
      <c r="C715" s="154" t="n"/>
      <c r="D715" s="154" t="n"/>
      <c r="E715" s="154" t="n"/>
      <c r="F715" s="154" t="n"/>
      <c r="G715" s="154" t="n"/>
      <c r="H715" s="154" t="n"/>
      <c r="I715" s="154" t="n"/>
      <c r="J715" s="154" t="n"/>
      <c r="K715" s="154" t="n"/>
    </row>
    <row r="716" ht="15.75" customHeight="1" s="201">
      <c r="B716" s="154" t="n"/>
      <c r="C716" s="154" t="n"/>
      <c r="D716" s="154" t="n"/>
      <c r="E716" s="154" t="n"/>
      <c r="F716" s="154" t="n"/>
      <c r="G716" s="154" t="n"/>
      <c r="H716" s="154" t="n"/>
      <c r="I716" s="154" t="n"/>
      <c r="J716" s="154" t="n"/>
      <c r="K716" s="154" t="n"/>
    </row>
    <row r="717" ht="15.75" customHeight="1" s="201">
      <c r="B717" s="154" t="n"/>
      <c r="C717" s="154" t="n"/>
      <c r="D717" s="154" t="n"/>
      <c r="E717" s="154" t="n"/>
      <c r="F717" s="154" t="n"/>
      <c r="G717" s="154" t="n"/>
      <c r="H717" s="154" t="n"/>
      <c r="I717" s="154" t="n"/>
      <c r="J717" s="154" t="n"/>
      <c r="K717" s="154" t="n"/>
    </row>
    <row r="718" ht="15.75" customHeight="1" s="201">
      <c r="B718" s="154" t="n"/>
      <c r="C718" s="154" t="n"/>
      <c r="D718" s="154" t="n"/>
      <c r="E718" s="154" t="n"/>
      <c r="F718" s="154" t="n"/>
      <c r="G718" s="154" t="n"/>
      <c r="H718" s="154" t="n"/>
      <c r="I718" s="154" t="n"/>
      <c r="J718" s="154" t="n"/>
      <c r="K718" s="154" t="n"/>
    </row>
    <row r="719" ht="15.75" customHeight="1" s="201">
      <c r="B719" s="154" t="n"/>
      <c r="C719" s="154" t="n"/>
      <c r="D719" s="154" t="n"/>
      <c r="E719" s="154" t="n"/>
      <c r="F719" s="154" t="n"/>
      <c r="G719" s="154" t="n"/>
      <c r="H719" s="154" t="n"/>
      <c r="I719" s="154" t="n"/>
      <c r="J719" s="154" t="n"/>
      <c r="K719" s="154" t="n"/>
    </row>
    <row r="720" ht="15.75" customHeight="1" s="201">
      <c r="B720" s="154" t="n"/>
      <c r="C720" s="154" t="n"/>
      <c r="D720" s="154" t="n"/>
      <c r="E720" s="154" t="n"/>
      <c r="F720" s="154" t="n"/>
      <c r="G720" s="154" t="n"/>
      <c r="H720" s="154" t="n"/>
      <c r="I720" s="154" t="n"/>
      <c r="J720" s="154" t="n"/>
      <c r="K720" s="154" t="n"/>
    </row>
    <row r="721" ht="15.75" customHeight="1" s="201">
      <c r="B721" s="154" t="n"/>
      <c r="C721" s="154" t="n"/>
      <c r="D721" s="154" t="n"/>
      <c r="E721" s="154" t="n"/>
      <c r="F721" s="154" t="n"/>
      <c r="G721" s="154" t="n"/>
      <c r="H721" s="154" t="n"/>
      <c r="I721" s="154" t="n"/>
      <c r="J721" s="154" t="n"/>
      <c r="K721" s="154" t="n"/>
    </row>
    <row r="722" ht="15.75" customHeight="1" s="201">
      <c r="B722" s="154" t="n"/>
      <c r="C722" s="154" t="n"/>
      <c r="D722" s="154" t="n"/>
      <c r="E722" s="154" t="n"/>
      <c r="F722" s="154" t="n"/>
      <c r="G722" s="154" t="n"/>
      <c r="H722" s="154" t="n"/>
      <c r="I722" s="154" t="n"/>
      <c r="J722" s="154" t="n"/>
      <c r="K722" s="154" t="n"/>
    </row>
    <row r="723" ht="15.75" customHeight="1" s="201">
      <c r="B723" s="154" t="n"/>
      <c r="C723" s="154" t="n"/>
      <c r="D723" s="154" t="n"/>
      <c r="E723" s="154" t="n"/>
      <c r="F723" s="154" t="n"/>
      <c r="G723" s="154" t="n"/>
      <c r="H723" s="154" t="n"/>
      <c r="I723" s="154" t="n"/>
      <c r="J723" s="154" t="n"/>
      <c r="K723" s="154" t="n"/>
    </row>
    <row r="724" ht="15.75" customHeight="1" s="201">
      <c r="B724" s="154" t="n"/>
      <c r="C724" s="154" t="n"/>
      <c r="D724" s="154" t="n"/>
      <c r="E724" s="154" t="n"/>
      <c r="F724" s="154" t="n"/>
      <c r="G724" s="154" t="n"/>
      <c r="H724" s="154" t="n"/>
      <c r="I724" s="154" t="n"/>
      <c r="J724" s="154" t="n"/>
      <c r="K724" s="154" t="n"/>
    </row>
    <row r="725" ht="15.75" customHeight="1" s="201">
      <c r="B725" s="154" t="n"/>
      <c r="C725" s="154" t="n"/>
      <c r="D725" s="154" t="n"/>
      <c r="E725" s="154" t="n"/>
      <c r="F725" s="154" t="n"/>
      <c r="G725" s="154" t="n"/>
      <c r="H725" s="154" t="n"/>
      <c r="I725" s="154" t="n"/>
      <c r="J725" s="154" t="n"/>
      <c r="K725" s="154" t="n"/>
    </row>
    <row r="726" ht="15.75" customHeight="1" s="201">
      <c r="B726" s="154" t="n"/>
      <c r="C726" s="154" t="n"/>
      <c r="D726" s="154" t="n"/>
      <c r="E726" s="154" t="n"/>
      <c r="F726" s="154" t="n"/>
      <c r="G726" s="154" t="n"/>
      <c r="H726" s="154" t="n"/>
      <c r="I726" s="154" t="n"/>
      <c r="J726" s="154" t="n"/>
      <c r="K726" s="154" t="n"/>
    </row>
    <row r="727" ht="15.75" customHeight="1" s="201">
      <c r="B727" s="154" t="n"/>
      <c r="C727" s="154" t="n"/>
      <c r="D727" s="154" t="n"/>
      <c r="E727" s="154" t="n"/>
      <c r="F727" s="154" t="n"/>
      <c r="G727" s="154" t="n"/>
      <c r="H727" s="154" t="n"/>
      <c r="I727" s="154" t="n"/>
      <c r="J727" s="154" t="n"/>
      <c r="K727" s="154" t="n"/>
    </row>
    <row r="728" ht="15.75" customHeight="1" s="201">
      <c r="B728" s="154" t="n"/>
      <c r="C728" s="154" t="n"/>
      <c r="D728" s="154" t="n"/>
      <c r="E728" s="154" t="n"/>
      <c r="F728" s="154" t="n"/>
      <c r="G728" s="154" t="n"/>
      <c r="H728" s="154" t="n"/>
      <c r="I728" s="154" t="n"/>
      <c r="J728" s="154" t="n"/>
      <c r="K728" s="154" t="n"/>
    </row>
    <row r="729" ht="15.75" customHeight="1" s="201">
      <c r="B729" s="154" t="n"/>
      <c r="C729" s="154" t="n"/>
      <c r="D729" s="154" t="n"/>
      <c r="E729" s="154" t="n"/>
      <c r="F729" s="154" t="n"/>
      <c r="G729" s="154" t="n"/>
      <c r="H729" s="154" t="n"/>
      <c r="I729" s="154" t="n"/>
      <c r="J729" s="154" t="n"/>
      <c r="K729" s="154" t="n"/>
    </row>
    <row r="730" ht="15.75" customHeight="1" s="201">
      <c r="B730" s="154" t="n"/>
      <c r="C730" s="154" t="n"/>
      <c r="D730" s="154" t="n"/>
      <c r="E730" s="154" t="n"/>
      <c r="F730" s="154" t="n"/>
      <c r="G730" s="154" t="n"/>
      <c r="H730" s="154" t="n"/>
      <c r="I730" s="154" t="n"/>
      <c r="J730" s="154" t="n"/>
      <c r="K730" s="154" t="n"/>
    </row>
    <row r="731" ht="15.75" customHeight="1" s="201">
      <c r="B731" s="154" t="n"/>
      <c r="C731" s="154" t="n"/>
      <c r="D731" s="154" t="n"/>
      <c r="E731" s="154" t="n"/>
      <c r="F731" s="154" t="n"/>
      <c r="G731" s="154" t="n"/>
      <c r="H731" s="154" t="n"/>
      <c r="I731" s="154" t="n"/>
      <c r="J731" s="154" t="n"/>
      <c r="K731" s="154" t="n"/>
    </row>
    <row r="732" ht="15.75" customHeight="1" s="201">
      <c r="B732" s="154" t="n"/>
      <c r="C732" s="154" t="n"/>
      <c r="D732" s="154" t="n"/>
      <c r="E732" s="154" t="n"/>
      <c r="F732" s="154" t="n"/>
      <c r="G732" s="154" t="n"/>
      <c r="H732" s="154" t="n"/>
      <c r="I732" s="154" t="n"/>
      <c r="J732" s="154" t="n"/>
      <c r="K732" s="154" t="n"/>
    </row>
    <row r="733" ht="15.75" customHeight="1" s="201">
      <c r="B733" s="154" t="n"/>
      <c r="C733" s="154" t="n"/>
      <c r="D733" s="154" t="n"/>
      <c r="E733" s="154" t="n"/>
      <c r="F733" s="154" t="n"/>
      <c r="G733" s="154" t="n"/>
      <c r="H733" s="154" t="n"/>
      <c r="I733" s="154" t="n"/>
      <c r="J733" s="154" t="n"/>
      <c r="K733" s="154" t="n"/>
    </row>
    <row r="734" ht="15.75" customHeight="1" s="201">
      <c r="B734" s="154" t="n"/>
      <c r="C734" s="154" t="n"/>
      <c r="D734" s="154" t="n"/>
      <c r="E734" s="154" t="n"/>
      <c r="F734" s="154" t="n"/>
      <c r="G734" s="154" t="n"/>
      <c r="H734" s="154" t="n"/>
      <c r="I734" s="154" t="n"/>
      <c r="J734" s="154" t="n"/>
      <c r="K734" s="154" t="n"/>
    </row>
    <row r="735" ht="15.75" customHeight="1" s="201">
      <c r="B735" s="154" t="n"/>
      <c r="C735" s="154" t="n"/>
      <c r="D735" s="154" t="n"/>
      <c r="E735" s="154" t="n"/>
      <c r="F735" s="154" t="n"/>
      <c r="G735" s="154" t="n"/>
      <c r="H735" s="154" t="n"/>
      <c r="I735" s="154" t="n"/>
      <c r="J735" s="154" t="n"/>
      <c r="K735" s="154" t="n"/>
    </row>
    <row r="736" ht="15.75" customHeight="1" s="201">
      <c r="B736" s="154" t="n"/>
      <c r="C736" s="154" t="n"/>
      <c r="D736" s="154" t="n"/>
      <c r="E736" s="154" t="n"/>
      <c r="F736" s="154" t="n"/>
      <c r="G736" s="154" t="n"/>
      <c r="H736" s="154" t="n"/>
      <c r="I736" s="154" t="n"/>
      <c r="J736" s="154" t="n"/>
      <c r="K736" s="154" t="n"/>
    </row>
    <row r="737" ht="15.75" customHeight="1" s="201">
      <c r="B737" s="154" t="n"/>
      <c r="C737" s="154" t="n"/>
      <c r="D737" s="154" t="n"/>
      <c r="E737" s="154" t="n"/>
      <c r="F737" s="154" t="n"/>
      <c r="G737" s="154" t="n"/>
      <c r="H737" s="154" t="n"/>
      <c r="I737" s="154" t="n"/>
      <c r="J737" s="154" t="n"/>
      <c r="K737" s="154" t="n"/>
    </row>
    <row r="738" ht="15.75" customHeight="1" s="201">
      <c r="B738" s="154" t="n"/>
      <c r="C738" s="154" t="n"/>
      <c r="D738" s="154" t="n"/>
      <c r="E738" s="154" t="n"/>
      <c r="F738" s="154" t="n"/>
      <c r="G738" s="154" t="n"/>
      <c r="H738" s="154" t="n"/>
      <c r="I738" s="154" t="n"/>
      <c r="J738" s="154" t="n"/>
      <c r="K738" s="154" t="n"/>
    </row>
    <row r="739" ht="15.75" customHeight="1" s="201">
      <c r="B739" s="154" t="n"/>
      <c r="C739" s="154" t="n"/>
      <c r="D739" s="154" t="n"/>
      <c r="E739" s="154" t="n"/>
      <c r="F739" s="154" t="n"/>
      <c r="G739" s="154" t="n"/>
      <c r="H739" s="154" t="n"/>
      <c r="I739" s="154" t="n"/>
      <c r="J739" s="154" t="n"/>
      <c r="K739" s="154" t="n"/>
    </row>
    <row r="740" ht="15.75" customHeight="1" s="201">
      <c r="B740" s="154" t="n"/>
      <c r="C740" s="154" t="n"/>
      <c r="D740" s="154" t="n"/>
      <c r="E740" s="154" t="n"/>
      <c r="F740" s="154" t="n"/>
      <c r="G740" s="154" t="n"/>
      <c r="H740" s="154" t="n"/>
      <c r="I740" s="154" t="n"/>
      <c r="J740" s="154" t="n"/>
      <c r="K740" s="154" t="n"/>
    </row>
    <row r="741" ht="15.75" customHeight="1" s="201">
      <c r="B741" s="154" t="n"/>
      <c r="C741" s="154" t="n"/>
      <c r="D741" s="154" t="n"/>
      <c r="E741" s="154" t="n"/>
      <c r="F741" s="154" t="n"/>
      <c r="G741" s="154" t="n"/>
      <c r="H741" s="154" t="n"/>
      <c r="I741" s="154" t="n"/>
      <c r="J741" s="154" t="n"/>
      <c r="K741" s="154" t="n"/>
    </row>
    <row r="742" ht="15.75" customHeight="1" s="201">
      <c r="B742" s="154" t="n"/>
      <c r="C742" s="154" t="n"/>
      <c r="D742" s="154" t="n"/>
      <c r="E742" s="154" t="n"/>
      <c r="F742" s="154" t="n"/>
      <c r="G742" s="154" t="n"/>
      <c r="H742" s="154" t="n"/>
      <c r="I742" s="154" t="n"/>
      <c r="J742" s="154" t="n"/>
      <c r="K742" s="154" t="n"/>
    </row>
    <row r="743" ht="15.75" customHeight="1" s="201">
      <c r="B743" s="154" t="n"/>
      <c r="C743" s="154" t="n"/>
      <c r="D743" s="154" t="n"/>
      <c r="E743" s="154" t="n"/>
      <c r="F743" s="154" t="n"/>
      <c r="G743" s="154" t="n"/>
      <c r="H743" s="154" t="n"/>
      <c r="I743" s="154" t="n"/>
      <c r="J743" s="154" t="n"/>
      <c r="K743" s="154" t="n"/>
    </row>
    <row r="744" ht="15.75" customHeight="1" s="201">
      <c r="B744" s="154" t="n"/>
      <c r="C744" s="154" t="n"/>
      <c r="D744" s="154" t="n"/>
      <c r="E744" s="154" t="n"/>
      <c r="F744" s="154" t="n"/>
      <c r="G744" s="154" t="n"/>
      <c r="H744" s="154" t="n"/>
      <c r="I744" s="154" t="n"/>
      <c r="J744" s="154" t="n"/>
      <c r="K744" s="154" t="n"/>
    </row>
    <row r="745" ht="15.75" customHeight="1" s="201">
      <c r="B745" s="154" t="n"/>
      <c r="C745" s="154" t="n"/>
      <c r="D745" s="154" t="n"/>
      <c r="E745" s="154" t="n"/>
      <c r="F745" s="154" t="n"/>
      <c r="G745" s="154" t="n"/>
      <c r="H745" s="154" t="n"/>
      <c r="I745" s="154" t="n"/>
      <c r="J745" s="154" t="n"/>
      <c r="K745" s="154" t="n"/>
    </row>
    <row r="746" ht="15.75" customHeight="1" s="201">
      <c r="B746" s="154" t="n"/>
      <c r="C746" s="154" t="n"/>
      <c r="D746" s="154" t="n"/>
      <c r="E746" s="154" t="n"/>
      <c r="F746" s="154" t="n"/>
      <c r="G746" s="154" t="n"/>
      <c r="H746" s="154" t="n"/>
      <c r="I746" s="154" t="n"/>
      <c r="J746" s="154" t="n"/>
      <c r="K746" s="154" t="n"/>
    </row>
    <row r="747" ht="15.75" customHeight="1" s="201">
      <c r="B747" s="154" t="n"/>
      <c r="C747" s="154" t="n"/>
      <c r="D747" s="154" t="n"/>
      <c r="E747" s="154" t="n"/>
      <c r="F747" s="154" t="n"/>
      <c r="G747" s="154" t="n"/>
      <c r="H747" s="154" t="n"/>
      <c r="I747" s="154" t="n"/>
      <c r="J747" s="154" t="n"/>
      <c r="K747" s="154" t="n"/>
    </row>
    <row r="748" ht="15.75" customHeight="1" s="201">
      <c r="B748" s="154" t="n"/>
      <c r="C748" s="154" t="n"/>
      <c r="D748" s="154" t="n"/>
      <c r="E748" s="154" t="n"/>
      <c r="F748" s="154" t="n"/>
      <c r="G748" s="154" t="n"/>
      <c r="H748" s="154" t="n"/>
      <c r="I748" s="154" t="n"/>
      <c r="J748" s="154" t="n"/>
      <c r="K748" s="154" t="n"/>
    </row>
    <row r="749" ht="15.75" customHeight="1" s="201">
      <c r="B749" s="154" t="n"/>
      <c r="C749" s="154" t="n"/>
      <c r="D749" s="154" t="n"/>
      <c r="E749" s="154" t="n"/>
      <c r="F749" s="154" t="n"/>
      <c r="G749" s="154" t="n"/>
      <c r="H749" s="154" t="n"/>
      <c r="I749" s="154" t="n"/>
      <c r="J749" s="154" t="n"/>
      <c r="K749" s="154" t="n"/>
    </row>
    <row r="750" ht="15.75" customHeight="1" s="201">
      <c r="B750" s="154" t="n"/>
      <c r="C750" s="154" t="n"/>
      <c r="D750" s="154" t="n"/>
      <c r="E750" s="154" t="n"/>
      <c r="F750" s="154" t="n"/>
      <c r="G750" s="154" t="n"/>
      <c r="H750" s="154" t="n"/>
      <c r="I750" s="154" t="n"/>
      <c r="J750" s="154" t="n"/>
      <c r="K750" s="154" t="n"/>
    </row>
    <row r="751" ht="15.75" customHeight="1" s="201">
      <c r="B751" s="154" t="n"/>
      <c r="C751" s="154" t="n"/>
      <c r="D751" s="154" t="n"/>
      <c r="E751" s="154" t="n"/>
      <c r="F751" s="154" t="n"/>
      <c r="G751" s="154" t="n"/>
      <c r="H751" s="154" t="n"/>
      <c r="I751" s="154" t="n"/>
      <c r="J751" s="154" t="n"/>
      <c r="K751" s="154" t="n"/>
    </row>
    <row r="752" ht="15.75" customHeight="1" s="201">
      <c r="B752" s="154" t="n"/>
      <c r="C752" s="154" t="n"/>
      <c r="D752" s="154" t="n"/>
      <c r="E752" s="154" t="n"/>
      <c r="F752" s="154" t="n"/>
      <c r="G752" s="154" t="n"/>
      <c r="H752" s="154" t="n"/>
      <c r="I752" s="154" t="n"/>
      <c r="J752" s="154" t="n"/>
      <c r="K752" s="154" t="n"/>
    </row>
    <row r="753" ht="15.75" customHeight="1" s="201">
      <c r="B753" s="154" t="n"/>
      <c r="C753" s="154" t="n"/>
      <c r="D753" s="154" t="n"/>
      <c r="E753" s="154" t="n"/>
      <c r="F753" s="154" t="n"/>
      <c r="G753" s="154" t="n"/>
      <c r="H753" s="154" t="n"/>
      <c r="I753" s="154" t="n"/>
      <c r="J753" s="154" t="n"/>
      <c r="K753" s="154" t="n"/>
    </row>
    <row r="754" ht="15.75" customHeight="1" s="201">
      <c r="B754" s="154" t="n"/>
      <c r="C754" s="154" t="n"/>
      <c r="D754" s="154" t="n"/>
      <c r="E754" s="154" t="n"/>
      <c r="F754" s="154" t="n"/>
      <c r="G754" s="154" t="n"/>
      <c r="H754" s="154" t="n"/>
      <c r="I754" s="154" t="n"/>
      <c r="J754" s="154" t="n"/>
      <c r="K754" s="154" t="n"/>
    </row>
    <row r="755" ht="15.75" customHeight="1" s="201">
      <c r="B755" s="154" t="n"/>
      <c r="C755" s="154" t="n"/>
      <c r="D755" s="154" t="n"/>
      <c r="E755" s="154" t="n"/>
      <c r="F755" s="154" t="n"/>
      <c r="G755" s="154" t="n"/>
      <c r="H755" s="154" t="n"/>
      <c r="I755" s="154" t="n"/>
      <c r="J755" s="154" t="n"/>
      <c r="K755" s="154" t="n"/>
    </row>
    <row r="756" ht="15.75" customHeight="1" s="201">
      <c r="B756" s="154" t="n"/>
      <c r="C756" s="154" t="n"/>
      <c r="D756" s="154" t="n"/>
      <c r="E756" s="154" t="n"/>
      <c r="F756" s="154" t="n"/>
      <c r="G756" s="154" t="n"/>
      <c r="H756" s="154" t="n"/>
      <c r="I756" s="154" t="n"/>
      <c r="J756" s="154" t="n"/>
      <c r="K756" s="154" t="n"/>
    </row>
    <row r="757" ht="15.75" customHeight="1" s="201">
      <c r="B757" s="154" t="n"/>
      <c r="C757" s="154" t="n"/>
      <c r="D757" s="154" t="n"/>
      <c r="E757" s="154" t="n"/>
      <c r="F757" s="154" t="n"/>
      <c r="G757" s="154" t="n"/>
      <c r="H757" s="154" t="n"/>
      <c r="I757" s="154" t="n"/>
      <c r="J757" s="154" t="n"/>
      <c r="K757" s="154" t="n"/>
    </row>
    <row r="758" ht="15.75" customHeight="1" s="201">
      <c r="B758" s="154" t="n"/>
      <c r="C758" s="154" t="n"/>
      <c r="D758" s="154" t="n"/>
      <c r="E758" s="154" t="n"/>
      <c r="F758" s="154" t="n"/>
      <c r="G758" s="154" t="n"/>
      <c r="H758" s="154" t="n"/>
      <c r="I758" s="154" t="n"/>
      <c r="J758" s="154" t="n"/>
      <c r="K758" s="154" t="n"/>
    </row>
    <row r="759" ht="15.75" customHeight="1" s="201">
      <c r="B759" s="154" t="n"/>
      <c r="C759" s="154" t="n"/>
      <c r="D759" s="154" t="n"/>
      <c r="E759" s="154" t="n"/>
      <c r="F759" s="154" t="n"/>
      <c r="G759" s="154" t="n"/>
      <c r="H759" s="154" t="n"/>
      <c r="I759" s="154" t="n"/>
      <c r="J759" s="154" t="n"/>
      <c r="K759" s="154" t="n"/>
    </row>
    <row r="760" ht="15.75" customHeight="1" s="201">
      <c r="B760" s="154" t="n"/>
      <c r="C760" s="154" t="n"/>
      <c r="D760" s="154" t="n"/>
      <c r="E760" s="154" t="n"/>
      <c r="F760" s="154" t="n"/>
      <c r="G760" s="154" t="n"/>
      <c r="H760" s="154" t="n"/>
      <c r="I760" s="154" t="n"/>
      <c r="J760" s="154" t="n"/>
      <c r="K760" s="154" t="n"/>
    </row>
    <row r="761" ht="15.75" customHeight="1" s="201">
      <c r="B761" s="154" t="n"/>
      <c r="C761" s="154" t="n"/>
      <c r="D761" s="154" t="n"/>
      <c r="E761" s="154" t="n"/>
      <c r="F761" s="154" t="n"/>
      <c r="G761" s="154" t="n"/>
      <c r="H761" s="154" t="n"/>
      <c r="I761" s="154" t="n"/>
      <c r="J761" s="154" t="n"/>
      <c r="K761" s="154" t="n"/>
    </row>
    <row r="762" ht="15.75" customHeight="1" s="201">
      <c r="B762" s="154" t="n"/>
      <c r="C762" s="154" t="n"/>
      <c r="D762" s="154" t="n"/>
      <c r="E762" s="154" t="n"/>
      <c r="F762" s="154" t="n"/>
      <c r="G762" s="154" t="n"/>
      <c r="H762" s="154" t="n"/>
      <c r="I762" s="154" t="n"/>
      <c r="J762" s="154" t="n"/>
      <c r="K762" s="154" t="n"/>
    </row>
    <row r="763" ht="15.75" customHeight="1" s="201">
      <c r="B763" s="154" t="n"/>
      <c r="C763" s="154" t="n"/>
      <c r="D763" s="154" t="n"/>
      <c r="E763" s="154" t="n"/>
      <c r="F763" s="154" t="n"/>
      <c r="G763" s="154" t="n"/>
      <c r="H763" s="154" t="n"/>
      <c r="I763" s="154" t="n"/>
      <c r="J763" s="154" t="n"/>
      <c r="K763" s="154" t="n"/>
    </row>
    <row r="764" ht="15.75" customHeight="1" s="201">
      <c r="B764" s="154" t="n"/>
      <c r="C764" s="154" t="n"/>
      <c r="D764" s="154" t="n"/>
      <c r="E764" s="154" t="n"/>
      <c r="F764" s="154" t="n"/>
      <c r="G764" s="154" t="n"/>
      <c r="H764" s="154" t="n"/>
      <c r="I764" s="154" t="n"/>
      <c r="J764" s="154" t="n"/>
      <c r="K764" s="154" t="n"/>
    </row>
    <row r="765" ht="15.75" customHeight="1" s="201">
      <c r="B765" s="154" t="n"/>
      <c r="C765" s="154" t="n"/>
      <c r="D765" s="154" t="n"/>
      <c r="E765" s="154" t="n"/>
      <c r="F765" s="154" t="n"/>
      <c r="G765" s="154" t="n"/>
      <c r="H765" s="154" t="n"/>
      <c r="I765" s="154" t="n"/>
      <c r="J765" s="154" t="n"/>
      <c r="K765" s="154" t="n"/>
    </row>
    <row r="766" ht="15.75" customHeight="1" s="201">
      <c r="B766" s="154" t="n"/>
      <c r="C766" s="154" t="n"/>
      <c r="D766" s="154" t="n"/>
      <c r="E766" s="154" t="n"/>
      <c r="F766" s="154" t="n"/>
      <c r="G766" s="154" t="n"/>
      <c r="H766" s="154" t="n"/>
      <c r="I766" s="154" t="n"/>
      <c r="J766" s="154" t="n"/>
      <c r="K766" s="154" t="n"/>
    </row>
    <row r="767" ht="15.75" customHeight="1" s="201">
      <c r="B767" s="154" t="n"/>
      <c r="C767" s="154" t="n"/>
      <c r="D767" s="154" t="n"/>
      <c r="E767" s="154" t="n"/>
      <c r="F767" s="154" t="n"/>
      <c r="G767" s="154" t="n"/>
      <c r="H767" s="154" t="n"/>
      <c r="I767" s="154" t="n"/>
      <c r="J767" s="154" t="n"/>
      <c r="K767" s="154" t="n"/>
    </row>
    <row r="768" ht="15.75" customHeight="1" s="201">
      <c r="B768" s="154" t="n"/>
      <c r="C768" s="154" t="n"/>
      <c r="D768" s="154" t="n"/>
      <c r="E768" s="154" t="n"/>
      <c r="F768" s="154" t="n"/>
      <c r="G768" s="154" t="n"/>
      <c r="H768" s="154" t="n"/>
      <c r="I768" s="154" t="n"/>
      <c r="J768" s="154" t="n"/>
      <c r="K768" s="154" t="n"/>
    </row>
    <row r="769" ht="15.75" customHeight="1" s="201">
      <c r="B769" s="154" t="n"/>
      <c r="C769" s="154" t="n"/>
      <c r="D769" s="154" t="n"/>
      <c r="E769" s="154" t="n"/>
      <c r="F769" s="154" t="n"/>
      <c r="G769" s="154" t="n"/>
      <c r="H769" s="154" t="n"/>
      <c r="I769" s="154" t="n"/>
      <c r="J769" s="154" t="n"/>
      <c r="K769" s="154" t="n"/>
    </row>
    <row r="770" ht="15.75" customHeight="1" s="201">
      <c r="B770" s="154" t="n"/>
      <c r="C770" s="154" t="n"/>
      <c r="D770" s="154" t="n"/>
      <c r="E770" s="154" t="n"/>
      <c r="F770" s="154" t="n"/>
      <c r="G770" s="154" t="n"/>
      <c r="H770" s="154" t="n"/>
      <c r="I770" s="154" t="n"/>
      <c r="J770" s="154" t="n"/>
      <c r="K770" s="154" t="n"/>
    </row>
    <row r="771" ht="15.75" customHeight="1" s="201">
      <c r="B771" s="154" t="n"/>
      <c r="C771" s="154" t="n"/>
      <c r="D771" s="154" t="n"/>
      <c r="E771" s="154" t="n"/>
      <c r="F771" s="154" t="n"/>
      <c r="G771" s="154" t="n"/>
      <c r="H771" s="154" t="n"/>
      <c r="I771" s="154" t="n"/>
      <c r="J771" s="154" t="n"/>
      <c r="K771" s="154" t="n"/>
    </row>
    <row r="772" ht="15.75" customHeight="1" s="201">
      <c r="B772" s="154" t="n"/>
      <c r="C772" s="154" t="n"/>
      <c r="D772" s="154" t="n"/>
      <c r="E772" s="154" t="n"/>
      <c r="F772" s="154" t="n"/>
      <c r="G772" s="154" t="n"/>
      <c r="H772" s="154" t="n"/>
      <c r="I772" s="154" t="n"/>
      <c r="J772" s="154" t="n"/>
      <c r="K772" s="154" t="n"/>
    </row>
    <row r="773" ht="15.75" customHeight="1" s="201">
      <c r="B773" s="154" t="n"/>
      <c r="C773" s="154" t="n"/>
      <c r="D773" s="154" t="n"/>
      <c r="E773" s="154" t="n"/>
      <c r="F773" s="154" t="n"/>
      <c r="G773" s="154" t="n"/>
      <c r="H773" s="154" t="n"/>
      <c r="I773" s="154" t="n"/>
      <c r="J773" s="154" t="n"/>
      <c r="K773" s="154" t="n"/>
    </row>
    <row r="774" ht="15.75" customHeight="1" s="201">
      <c r="B774" s="154" t="n"/>
      <c r="C774" s="154" t="n"/>
      <c r="D774" s="154" t="n"/>
      <c r="E774" s="154" t="n"/>
      <c r="F774" s="154" t="n"/>
      <c r="G774" s="154" t="n"/>
      <c r="H774" s="154" t="n"/>
      <c r="I774" s="154" t="n"/>
      <c r="J774" s="154" t="n"/>
      <c r="K774" s="154" t="n"/>
    </row>
    <row r="775" ht="15.75" customHeight="1" s="201">
      <c r="B775" s="154" t="n"/>
      <c r="C775" s="154" t="n"/>
      <c r="D775" s="154" t="n"/>
      <c r="E775" s="154" t="n"/>
      <c r="F775" s="154" t="n"/>
      <c r="G775" s="154" t="n"/>
      <c r="H775" s="154" t="n"/>
      <c r="I775" s="154" t="n"/>
      <c r="J775" s="154" t="n"/>
      <c r="K775" s="154" t="n"/>
    </row>
    <row r="776" ht="15.75" customHeight="1" s="201">
      <c r="B776" s="154" t="n"/>
      <c r="C776" s="154" t="n"/>
      <c r="D776" s="154" t="n"/>
      <c r="E776" s="154" t="n"/>
      <c r="F776" s="154" t="n"/>
      <c r="G776" s="154" t="n"/>
      <c r="H776" s="154" t="n"/>
      <c r="I776" s="154" t="n"/>
      <c r="J776" s="154" t="n"/>
      <c r="K776" s="154" t="n"/>
    </row>
    <row r="777" ht="15.75" customHeight="1" s="201">
      <c r="B777" s="154" t="n"/>
      <c r="C777" s="154" t="n"/>
      <c r="D777" s="154" t="n"/>
      <c r="E777" s="154" t="n"/>
      <c r="F777" s="154" t="n"/>
      <c r="G777" s="154" t="n"/>
      <c r="H777" s="154" t="n"/>
      <c r="I777" s="154" t="n"/>
      <c r="J777" s="154" t="n"/>
      <c r="K777" s="154" t="n"/>
    </row>
    <row r="778" ht="15.75" customHeight="1" s="201">
      <c r="B778" s="154" t="n"/>
      <c r="C778" s="154" t="n"/>
      <c r="D778" s="154" t="n"/>
      <c r="E778" s="154" t="n"/>
      <c r="F778" s="154" t="n"/>
      <c r="G778" s="154" t="n"/>
      <c r="H778" s="154" t="n"/>
      <c r="I778" s="154" t="n"/>
      <c r="J778" s="154" t="n"/>
      <c r="K778" s="154" t="n"/>
    </row>
    <row r="779" ht="15.75" customHeight="1" s="201">
      <c r="B779" s="154" t="n"/>
      <c r="C779" s="154" t="n"/>
      <c r="D779" s="154" t="n"/>
      <c r="E779" s="154" t="n"/>
      <c r="F779" s="154" t="n"/>
      <c r="G779" s="154" t="n"/>
      <c r="H779" s="154" t="n"/>
      <c r="I779" s="154" t="n"/>
      <c r="J779" s="154" t="n"/>
      <c r="K779" s="154" t="n"/>
    </row>
    <row r="780" ht="15.75" customHeight="1" s="201">
      <c r="B780" s="154" t="n"/>
      <c r="C780" s="154" t="n"/>
      <c r="D780" s="154" t="n"/>
      <c r="E780" s="154" t="n"/>
      <c r="F780" s="154" t="n"/>
      <c r="G780" s="154" t="n"/>
      <c r="H780" s="154" t="n"/>
      <c r="I780" s="154" t="n"/>
      <c r="J780" s="154" t="n"/>
      <c r="K780" s="154" t="n"/>
    </row>
    <row r="781" ht="15.75" customHeight="1" s="201">
      <c r="B781" s="154" t="n"/>
      <c r="C781" s="154" t="n"/>
      <c r="D781" s="154" t="n"/>
      <c r="E781" s="154" t="n"/>
      <c r="F781" s="154" t="n"/>
      <c r="G781" s="154" t="n"/>
      <c r="H781" s="154" t="n"/>
      <c r="I781" s="154" t="n"/>
      <c r="J781" s="154" t="n"/>
      <c r="K781" s="154" t="n"/>
    </row>
    <row r="782" ht="15.75" customHeight="1" s="201">
      <c r="B782" s="154" t="n"/>
      <c r="C782" s="154" t="n"/>
      <c r="D782" s="154" t="n"/>
      <c r="E782" s="154" t="n"/>
      <c r="F782" s="154" t="n"/>
      <c r="G782" s="154" t="n"/>
      <c r="H782" s="154" t="n"/>
      <c r="I782" s="154" t="n"/>
      <c r="J782" s="154" t="n"/>
      <c r="K782" s="154" t="n"/>
    </row>
    <row r="783" ht="15.75" customHeight="1" s="201">
      <c r="B783" s="154" t="n"/>
      <c r="C783" s="154" t="n"/>
      <c r="D783" s="154" t="n"/>
      <c r="E783" s="154" t="n"/>
      <c r="F783" s="154" t="n"/>
      <c r="G783" s="154" t="n"/>
      <c r="H783" s="154" t="n"/>
      <c r="I783" s="154" t="n"/>
      <c r="J783" s="154" t="n"/>
      <c r="K783" s="154" t="n"/>
    </row>
    <row r="784" ht="15.75" customHeight="1" s="201">
      <c r="B784" s="154" t="n"/>
      <c r="C784" s="154" t="n"/>
      <c r="D784" s="154" t="n"/>
      <c r="E784" s="154" t="n"/>
      <c r="F784" s="154" t="n"/>
      <c r="G784" s="154" t="n"/>
      <c r="H784" s="154" t="n"/>
      <c r="I784" s="154" t="n"/>
      <c r="J784" s="154" t="n"/>
      <c r="K784" s="154" t="n"/>
    </row>
    <row r="785" ht="15.75" customHeight="1" s="201">
      <c r="B785" s="154" t="n"/>
      <c r="C785" s="154" t="n"/>
      <c r="D785" s="154" t="n"/>
      <c r="E785" s="154" t="n"/>
      <c r="F785" s="154" t="n"/>
      <c r="G785" s="154" t="n"/>
      <c r="H785" s="154" t="n"/>
      <c r="I785" s="154" t="n"/>
      <c r="J785" s="154" t="n"/>
      <c r="K785" s="154" t="n"/>
    </row>
    <row r="786" ht="15.75" customHeight="1" s="201">
      <c r="B786" s="154" t="n"/>
      <c r="C786" s="154" t="n"/>
      <c r="D786" s="154" t="n"/>
      <c r="E786" s="154" t="n"/>
      <c r="F786" s="154" t="n"/>
      <c r="G786" s="154" t="n"/>
      <c r="H786" s="154" t="n"/>
      <c r="I786" s="154" t="n"/>
      <c r="J786" s="154" t="n"/>
      <c r="K786" s="154" t="n"/>
    </row>
    <row r="787" ht="15.75" customHeight="1" s="201">
      <c r="B787" s="154" t="n"/>
      <c r="C787" s="154" t="n"/>
      <c r="D787" s="154" t="n"/>
      <c r="E787" s="154" t="n"/>
      <c r="F787" s="154" t="n"/>
      <c r="G787" s="154" t="n"/>
      <c r="H787" s="154" t="n"/>
      <c r="I787" s="154" t="n"/>
      <c r="J787" s="154" t="n"/>
      <c r="K787" s="154" t="n"/>
    </row>
    <row r="788" ht="15.75" customHeight="1" s="201">
      <c r="B788" s="154" t="n"/>
      <c r="C788" s="154" t="n"/>
      <c r="D788" s="154" t="n"/>
      <c r="E788" s="154" t="n"/>
      <c r="F788" s="154" t="n"/>
      <c r="G788" s="154" t="n"/>
      <c r="H788" s="154" t="n"/>
      <c r="I788" s="154" t="n"/>
      <c r="J788" s="154" t="n"/>
      <c r="K788" s="154" t="n"/>
    </row>
    <row r="789" ht="15.75" customHeight="1" s="201">
      <c r="B789" s="154" t="n"/>
      <c r="C789" s="154" t="n"/>
      <c r="D789" s="154" t="n"/>
      <c r="E789" s="154" t="n"/>
      <c r="F789" s="154" t="n"/>
      <c r="G789" s="154" t="n"/>
      <c r="H789" s="154" t="n"/>
      <c r="I789" s="154" t="n"/>
      <c r="J789" s="154" t="n"/>
      <c r="K789" s="154" t="n"/>
    </row>
    <row r="790" ht="15.75" customHeight="1" s="201">
      <c r="B790" s="154" t="n"/>
      <c r="C790" s="154" t="n"/>
      <c r="D790" s="154" t="n"/>
      <c r="E790" s="154" t="n"/>
      <c r="F790" s="154" t="n"/>
      <c r="G790" s="154" t="n"/>
      <c r="H790" s="154" t="n"/>
      <c r="I790" s="154" t="n"/>
      <c r="J790" s="154" t="n"/>
      <c r="K790" s="154" t="n"/>
    </row>
    <row r="791" ht="15.75" customHeight="1" s="201">
      <c r="B791" s="154" t="n"/>
      <c r="C791" s="154" t="n"/>
      <c r="D791" s="154" t="n"/>
      <c r="E791" s="154" t="n"/>
      <c r="F791" s="154" t="n"/>
      <c r="G791" s="154" t="n"/>
      <c r="H791" s="154" t="n"/>
      <c r="I791" s="154" t="n"/>
      <c r="J791" s="154" t="n"/>
      <c r="K791" s="154" t="n"/>
    </row>
    <row r="792" ht="15.75" customHeight="1" s="201">
      <c r="B792" s="154" t="n"/>
      <c r="C792" s="154" t="n"/>
      <c r="D792" s="154" t="n"/>
      <c r="E792" s="154" t="n"/>
      <c r="F792" s="154" t="n"/>
      <c r="G792" s="154" t="n"/>
      <c r="H792" s="154" t="n"/>
      <c r="I792" s="154" t="n"/>
      <c r="J792" s="154" t="n"/>
      <c r="K792" s="154" t="n"/>
    </row>
    <row r="793" ht="15.75" customHeight="1" s="201">
      <c r="B793" s="154" t="n"/>
      <c r="C793" s="154" t="n"/>
      <c r="D793" s="154" t="n"/>
      <c r="E793" s="154" t="n"/>
      <c r="F793" s="154" t="n"/>
      <c r="G793" s="154" t="n"/>
      <c r="H793" s="154" t="n"/>
      <c r="I793" s="154" t="n"/>
      <c r="J793" s="154" t="n"/>
      <c r="K793" s="154" t="n"/>
    </row>
    <row r="794" ht="15.75" customHeight="1" s="201">
      <c r="B794" s="154" t="n"/>
      <c r="C794" s="154" t="n"/>
      <c r="D794" s="154" t="n"/>
      <c r="E794" s="154" t="n"/>
      <c r="F794" s="154" t="n"/>
      <c r="G794" s="154" t="n"/>
      <c r="H794" s="154" t="n"/>
      <c r="I794" s="154" t="n"/>
      <c r="J794" s="154" t="n"/>
      <c r="K794" s="154" t="n"/>
    </row>
    <row r="795" ht="15.75" customHeight="1" s="201">
      <c r="B795" s="154" t="n"/>
      <c r="C795" s="154" t="n"/>
      <c r="D795" s="154" t="n"/>
      <c r="E795" s="154" t="n"/>
      <c r="F795" s="154" t="n"/>
      <c r="G795" s="154" t="n"/>
      <c r="H795" s="154" t="n"/>
      <c r="I795" s="154" t="n"/>
      <c r="J795" s="154" t="n"/>
      <c r="K795" s="154" t="n"/>
    </row>
    <row r="796" ht="15.75" customHeight="1" s="201">
      <c r="B796" s="154" t="n"/>
      <c r="C796" s="154" t="n"/>
      <c r="D796" s="154" t="n"/>
      <c r="E796" s="154" t="n"/>
      <c r="F796" s="154" t="n"/>
      <c r="G796" s="154" t="n"/>
      <c r="H796" s="154" t="n"/>
      <c r="I796" s="154" t="n"/>
      <c r="J796" s="154" t="n"/>
      <c r="K796" s="154" t="n"/>
    </row>
    <row r="797" ht="15.75" customHeight="1" s="201">
      <c r="B797" s="154" t="n"/>
      <c r="C797" s="154" t="n"/>
      <c r="D797" s="154" t="n"/>
      <c r="E797" s="154" t="n"/>
      <c r="F797" s="154" t="n"/>
      <c r="G797" s="154" t="n"/>
      <c r="H797" s="154" t="n"/>
      <c r="I797" s="154" t="n"/>
      <c r="J797" s="154" t="n"/>
      <c r="K797" s="154" t="n"/>
    </row>
    <row r="798" ht="15.75" customHeight="1" s="201">
      <c r="B798" s="154" t="n"/>
      <c r="C798" s="154" t="n"/>
      <c r="D798" s="154" t="n"/>
      <c r="E798" s="154" t="n"/>
      <c r="F798" s="154" t="n"/>
      <c r="G798" s="154" t="n"/>
      <c r="H798" s="154" t="n"/>
      <c r="I798" s="154" t="n"/>
      <c r="J798" s="154" t="n"/>
      <c r="K798" s="154" t="n"/>
    </row>
    <row r="799" ht="15.75" customHeight="1" s="201">
      <c r="B799" s="154" t="n"/>
      <c r="C799" s="154" t="n"/>
      <c r="D799" s="154" t="n"/>
      <c r="E799" s="154" t="n"/>
      <c r="F799" s="154" t="n"/>
      <c r="G799" s="154" t="n"/>
      <c r="H799" s="154" t="n"/>
      <c r="I799" s="154" t="n"/>
      <c r="J799" s="154" t="n"/>
      <c r="K799" s="154" t="n"/>
    </row>
    <row r="800" ht="15.75" customHeight="1" s="201">
      <c r="B800" s="154" t="n"/>
      <c r="C800" s="154" t="n"/>
      <c r="D800" s="154" t="n"/>
      <c r="E800" s="154" t="n"/>
      <c r="F800" s="154" t="n"/>
      <c r="G800" s="154" t="n"/>
      <c r="H800" s="154" t="n"/>
      <c r="I800" s="154" t="n"/>
      <c r="J800" s="154" t="n"/>
      <c r="K800" s="154" t="n"/>
    </row>
    <row r="801" ht="15.75" customHeight="1" s="201">
      <c r="B801" s="154" t="n"/>
      <c r="C801" s="154" t="n"/>
      <c r="D801" s="154" t="n"/>
      <c r="E801" s="154" t="n"/>
      <c r="F801" s="154" t="n"/>
      <c r="G801" s="154" t="n"/>
      <c r="H801" s="154" t="n"/>
      <c r="I801" s="154" t="n"/>
      <c r="J801" s="154" t="n"/>
      <c r="K801" s="154" t="n"/>
    </row>
    <row r="802" ht="15.75" customHeight="1" s="201">
      <c r="B802" s="154" t="n"/>
      <c r="C802" s="154" t="n"/>
      <c r="D802" s="154" t="n"/>
      <c r="E802" s="154" t="n"/>
      <c r="F802" s="154" t="n"/>
      <c r="G802" s="154" t="n"/>
      <c r="H802" s="154" t="n"/>
      <c r="I802" s="154" t="n"/>
      <c r="J802" s="154" t="n"/>
      <c r="K802" s="154" t="n"/>
    </row>
    <row r="803" ht="15.75" customHeight="1" s="201">
      <c r="B803" s="154" t="n"/>
      <c r="C803" s="154" t="n"/>
      <c r="D803" s="154" t="n"/>
      <c r="E803" s="154" t="n"/>
      <c r="F803" s="154" t="n"/>
      <c r="G803" s="154" t="n"/>
      <c r="H803" s="154" t="n"/>
      <c r="I803" s="154" t="n"/>
      <c r="J803" s="154" t="n"/>
      <c r="K803" s="154" t="n"/>
    </row>
    <row r="804" ht="15.75" customHeight="1" s="201">
      <c r="B804" s="154" t="n"/>
      <c r="C804" s="154" t="n"/>
      <c r="D804" s="154" t="n"/>
      <c r="E804" s="154" t="n"/>
      <c r="F804" s="154" t="n"/>
      <c r="G804" s="154" t="n"/>
      <c r="H804" s="154" t="n"/>
      <c r="I804" s="154" t="n"/>
      <c r="J804" s="154" t="n"/>
      <c r="K804" s="154" t="n"/>
    </row>
    <row r="805" ht="15.75" customHeight="1" s="201">
      <c r="B805" s="154" t="n"/>
      <c r="C805" s="154" t="n"/>
      <c r="D805" s="154" t="n"/>
      <c r="E805" s="154" t="n"/>
      <c r="F805" s="154" t="n"/>
      <c r="G805" s="154" t="n"/>
      <c r="H805" s="154" t="n"/>
      <c r="I805" s="154" t="n"/>
      <c r="J805" s="154" t="n"/>
      <c r="K805" s="154" t="n"/>
    </row>
    <row r="806" ht="15.75" customHeight="1" s="201">
      <c r="B806" s="154" t="n"/>
      <c r="C806" s="154" t="n"/>
      <c r="D806" s="154" t="n"/>
      <c r="E806" s="154" t="n"/>
      <c r="F806" s="154" t="n"/>
      <c r="G806" s="154" t="n"/>
      <c r="H806" s="154" t="n"/>
      <c r="I806" s="154" t="n"/>
      <c r="J806" s="154" t="n"/>
      <c r="K806" s="154" t="n"/>
    </row>
    <row r="807" ht="15.75" customHeight="1" s="201">
      <c r="B807" s="154" t="n"/>
      <c r="C807" s="154" t="n"/>
      <c r="D807" s="154" t="n"/>
      <c r="E807" s="154" t="n"/>
      <c r="F807" s="154" t="n"/>
      <c r="G807" s="154" t="n"/>
      <c r="H807" s="154" t="n"/>
      <c r="I807" s="154" t="n"/>
      <c r="J807" s="154" t="n"/>
      <c r="K807" s="154" t="n"/>
    </row>
    <row r="808" ht="15.75" customHeight="1" s="201">
      <c r="B808" s="154" t="n"/>
      <c r="C808" s="154" t="n"/>
      <c r="D808" s="154" t="n"/>
      <c r="E808" s="154" t="n"/>
      <c r="F808" s="154" t="n"/>
      <c r="G808" s="154" t="n"/>
      <c r="H808" s="154" t="n"/>
      <c r="I808" s="154" t="n"/>
      <c r="J808" s="154" t="n"/>
      <c r="K808" s="154" t="n"/>
    </row>
    <row r="809" ht="15.75" customHeight="1" s="201">
      <c r="B809" s="154" t="n"/>
      <c r="C809" s="154" t="n"/>
      <c r="D809" s="154" t="n"/>
      <c r="E809" s="154" t="n"/>
      <c r="F809" s="154" t="n"/>
      <c r="G809" s="154" t="n"/>
      <c r="H809" s="154" t="n"/>
      <c r="I809" s="154" t="n"/>
      <c r="J809" s="154" t="n"/>
      <c r="K809" s="154" t="n"/>
    </row>
    <row r="810" ht="15.75" customHeight="1" s="201">
      <c r="B810" s="154" t="n"/>
      <c r="C810" s="154" t="n"/>
      <c r="D810" s="154" t="n"/>
      <c r="E810" s="154" t="n"/>
      <c r="F810" s="154" t="n"/>
      <c r="G810" s="154" t="n"/>
      <c r="H810" s="154" t="n"/>
      <c r="I810" s="154" t="n"/>
      <c r="J810" s="154" t="n"/>
      <c r="K810" s="154" t="n"/>
    </row>
    <row r="811" ht="15.75" customHeight="1" s="201">
      <c r="B811" s="154" t="n"/>
      <c r="C811" s="154" t="n"/>
      <c r="D811" s="154" t="n"/>
      <c r="E811" s="154" t="n"/>
      <c r="F811" s="154" t="n"/>
      <c r="G811" s="154" t="n"/>
      <c r="H811" s="154" t="n"/>
      <c r="I811" s="154" t="n"/>
      <c r="J811" s="154" t="n"/>
      <c r="K811" s="154" t="n"/>
    </row>
    <row r="812" ht="15.75" customHeight="1" s="201">
      <c r="B812" s="154" t="n"/>
      <c r="C812" s="154" t="n"/>
      <c r="D812" s="154" t="n"/>
      <c r="E812" s="154" t="n"/>
      <c r="F812" s="154" t="n"/>
      <c r="G812" s="154" t="n"/>
      <c r="H812" s="154" t="n"/>
      <c r="I812" s="154" t="n"/>
      <c r="J812" s="154" t="n"/>
      <c r="K812" s="154" t="n"/>
    </row>
    <row r="813" ht="15.75" customHeight="1" s="201">
      <c r="B813" s="154" t="n"/>
      <c r="C813" s="154" t="n"/>
      <c r="D813" s="154" t="n"/>
      <c r="E813" s="154" t="n"/>
      <c r="F813" s="154" t="n"/>
      <c r="G813" s="154" t="n"/>
      <c r="H813" s="154" t="n"/>
      <c r="I813" s="154" t="n"/>
      <c r="J813" s="154" t="n"/>
      <c r="K813" s="154" t="n"/>
    </row>
    <row r="814" ht="15.75" customHeight="1" s="201">
      <c r="B814" s="154" t="n"/>
      <c r="C814" s="154" t="n"/>
      <c r="D814" s="154" t="n"/>
      <c r="E814" s="154" t="n"/>
      <c r="F814" s="154" t="n"/>
      <c r="G814" s="154" t="n"/>
      <c r="H814" s="154" t="n"/>
      <c r="I814" s="154" t="n"/>
      <c r="J814" s="154" t="n"/>
      <c r="K814" s="154" t="n"/>
    </row>
    <row r="815" ht="15.75" customHeight="1" s="201">
      <c r="B815" s="154" t="n"/>
      <c r="C815" s="154" t="n"/>
      <c r="D815" s="154" t="n"/>
      <c r="E815" s="154" t="n"/>
      <c r="F815" s="154" t="n"/>
      <c r="G815" s="154" t="n"/>
      <c r="H815" s="154" t="n"/>
      <c r="I815" s="154" t="n"/>
      <c r="J815" s="154" t="n"/>
      <c r="K815" s="154" t="n"/>
    </row>
    <row r="816" ht="15.75" customHeight="1" s="201">
      <c r="B816" s="154" t="n"/>
      <c r="C816" s="154" t="n"/>
      <c r="D816" s="154" t="n"/>
      <c r="E816" s="154" t="n"/>
      <c r="F816" s="154" t="n"/>
      <c r="G816" s="154" t="n"/>
      <c r="H816" s="154" t="n"/>
      <c r="I816" s="154" t="n"/>
      <c r="J816" s="154" t="n"/>
      <c r="K816" s="154" t="n"/>
    </row>
    <row r="817" ht="15.75" customHeight="1" s="201">
      <c r="B817" s="154" t="n"/>
      <c r="C817" s="154" t="n"/>
      <c r="D817" s="154" t="n"/>
      <c r="E817" s="154" t="n"/>
      <c r="F817" s="154" t="n"/>
      <c r="G817" s="154" t="n"/>
      <c r="H817" s="154" t="n"/>
      <c r="I817" s="154" t="n"/>
      <c r="J817" s="154" t="n"/>
      <c r="K817" s="154" t="n"/>
    </row>
    <row r="818" ht="15.75" customHeight="1" s="201">
      <c r="B818" s="154" t="n"/>
      <c r="C818" s="154" t="n"/>
      <c r="D818" s="154" t="n"/>
      <c r="E818" s="154" t="n"/>
      <c r="F818" s="154" t="n"/>
      <c r="G818" s="154" t="n"/>
      <c r="H818" s="154" t="n"/>
      <c r="I818" s="154" t="n"/>
      <c r="J818" s="154" t="n"/>
      <c r="K818" s="154" t="n"/>
    </row>
    <row r="819" ht="15.75" customHeight="1" s="201">
      <c r="B819" s="154" t="n"/>
      <c r="C819" s="154" t="n"/>
      <c r="D819" s="154" t="n"/>
      <c r="E819" s="154" t="n"/>
      <c r="F819" s="154" t="n"/>
      <c r="G819" s="154" t="n"/>
      <c r="H819" s="154" t="n"/>
      <c r="I819" s="154" t="n"/>
      <c r="J819" s="154" t="n"/>
      <c r="K819" s="154" t="n"/>
    </row>
    <row r="820" ht="15.75" customHeight="1" s="201">
      <c r="B820" s="154" t="n"/>
      <c r="C820" s="154" t="n"/>
      <c r="D820" s="154" t="n"/>
      <c r="E820" s="154" t="n"/>
      <c r="F820" s="154" t="n"/>
      <c r="G820" s="154" t="n"/>
      <c r="H820" s="154" t="n"/>
      <c r="I820" s="154" t="n"/>
      <c r="J820" s="154" t="n"/>
      <c r="K820" s="154" t="n"/>
    </row>
    <row r="821" ht="15.75" customHeight="1" s="201">
      <c r="B821" s="154" t="n"/>
      <c r="C821" s="154" t="n"/>
      <c r="D821" s="154" t="n"/>
      <c r="E821" s="154" t="n"/>
      <c r="F821" s="154" t="n"/>
      <c r="G821" s="154" t="n"/>
      <c r="H821" s="154" t="n"/>
      <c r="I821" s="154" t="n"/>
      <c r="J821" s="154" t="n"/>
      <c r="K821" s="154" t="n"/>
    </row>
    <row r="822" ht="15.75" customHeight="1" s="201">
      <c r="B822" s="154" t="n"/>
      <c r="C822" s="154" t="n"/>
      <c r="D822" s="154" t="n"/>
      <c r="E822" s="154" t="n"/>
      <c r="F822" s="154" t="n"/>
      <c r="G822" s="154" t="n"/>
      <c r="H822" s="154" t="n"/>
      <c r="I822" s="154" t="n"/>
      <c r="J822" s="154" t="n"/>
      <c r="K822" s="154" t="n"/>
    </row>
    <row r="823" ht="15.75" customHeight="1" s="201">
      <c r="B823" s="154" t="n"/>
      <c r="C823" s="154" t="n"/>
      <c r="D823" s="154" t="n"/>
      <c r="E823" s="154" t="n"/>
      <c r="F823" s="154" t="n"/>
      <c r="G823" s="154" t="n"/>
      <c r="H823" s="154" t="n"/>
      <c r="I823" s="154" t="n"/>
      <c r="J823" s="154" t="n"/>
      <c r="K823" s="154" t="n"/>
    </row>
    <row r="824" ht="15.75" customHeight="1" s="201">
      <c r="B824" s="154" t="n"/>
      <c r="C824" s="154" t="n"/>
      <c r="D824" s="154" t="n"/>
      <c r="E824" s="154" t="n"/>
      <c r="F824" s="154" t="n"/>
      <c r="G824" s="154" t="n"/>
      <c r="H824" s="154" t="n"/>
      <c r="I824" s="154" t="n"/>
      <c r="J824" s="154" t="n"/>
      <c r="K824" s="154" t="n"/>
    </row>
    <row r="825" ht="15.75" customHeight="1" s="201">
      <c r="B825" s="154" t="n"/>
      <c r="C825" s="154" t="n"/>
      <c r="D825" s="154" t="n"/>
      <c r="E825" s="154" t="n"/>
      <c r="F825" s="154" t="n"/>
      <c r="G825" s="154" t="n"/>
      <c r="H825" s="154" t="n"/>
      <c r="I825" s="154" t="n"/>
      <c r="J825" s="154" t="n"/>
      <c r="K825" s="154" t="n"/>
    </row>
    <row r="826" ht="15.75" customHeight="1" s="201">
      <c r="B826" s="154" t="n"/>
      <c r="C826" s="154" t="n"/>
      <c r="D826" s="154" t="n"/>
      <c r="E826" s="154" t="n"/>
      <c r="F826" s="154" t="n"/>
      <c r="G826" s="154" t="n"/>
      <c r="H826" s="154" t="n"/>
      <c r="I826" s="154" t="n"/>
      <c r="J826" s="154" t="n"/>
      <c r="K826" s="154" t="n"/>
    </row>
    <row r="827" ht="15.75" customHeight="1" s="201">
      <c r="B827" s="154" t="n"/>
      <c r="C827" s="154" t="n"/>
      <c r="D827" s="154" t="n"/>
      <c r="E827" s="154" t="n"/>
      <c r="F827" s="154" t="n"/>
      <c r="G827" s="154" t="n"/>
      <c r="H827" s="154" t="n"/>
      <c r="I827" s="154" t="n"/>
      <c r="J827" s="154" t="n"/>
      <c r="K827" s="154" t="n"/>
    </row>
    <row r="828" ht="15.75" customHeight="1" s="201">
      <c r="B828" s="154" t="n"/>
      <c r="C828" s="154" t="n"/>
      <c r="D828" s="154" t="n"/>
      <c r="E828" s="154" t="n"/>
      <c r="F828" s="154" t="n"/>
      <c r="G828" s="154" t="n"/>
      <c r="H828" s="154" t="n"/>
      <c r="I828" s="154" t="n"/>
      <c r="J828" s="154" t="n"/>
      <c r="K828" s="154" t="n"/>
    </row>
    <row r="829" ht="15.75" customHeight="1" s="201">
      <c r="B829" s="154" t="n"/>
      <c r="C829" s="154" t="n"/>
      <c r="D829" s="154" t="n"/>
      <c r="E829" s="154" t="n"/>
      <c r="F829" s="154" t="n"/>
      <c r="G829" s="154" t="n"/>
      <c r="H829" s="154" t="n"/>
      <c r="I829" s="154" t="n"/>
      <c r="J829" s="154" t="n"/>
      <c r="K829" s="154" t="n"/>
    </row>
    <row r="830" ht="15.75" customHeight="1" s="201">
      <c r="B830" s="154" t="n"/>
      <c r="C830" s="154" t="n"/>
      <c r="D830" s="154" t="n"/>
      <c r="E830" s="154" t="n"/>
      <c r="F830" s="154" t="n"/>
      <c r="G830" s="154" t="n"/>
      <c r="H830" s="154" t="n"/>
      <c r="I830" s="154" t="n"/>
      <c r="J830" s="154" t="n"/>
      <c r="K830" s="154" t="n"/>
    </row>
    <row r="831" ht="15.75" customHeight="1" s="201">
      <c r="B831" s="154" t="n"/>
      <c r="C831" s="154" t="n"/>
      <c r="D831" s="154" t="n"/>
      <c r="E831" s="154" t="n"/>
      <c r="F831" s="154" t="n"/>
      <c r="G831" s="154" t="n"/>
      <c r="H831" s="154" t="n"/>
      <c r="I831" s="154" t="n"/>
      <c r="J831" s="154" t="n"/>
      <c r="K831" s="154" t="n"/>
    </row>
    <row r="832" ht="15.75" customHeight="1" s="201">
      <c r="B832" s="154" t="n"/>
      <c r="C832" s="154" t="n"/>
      <c r="D832" s="154" t="n"/>
      <c r="E832" s="154" t="n"/>
      <c r="F832" s="154" t="n"/>
      <c r="G832" s="154" t="n"/>
      <c r="H832" s="154" t="n"/>
      <c r="I832" s="154" t="n"/>
      <c r="J832" s="154" t="n"/>
      <c r="K832" s="154" t="n"/>
    </row>
    <row r="833" ht="15.75" customHeight="1" s="201">
      <c r="B833" s="154" t="n"/>
      <c r="C833" s="154" t="n"/>
      <c r="D833" s="154" t="n"/>
      <c r="E833" s="154" t="n"/>
      <c r="F833" s="154" t="n"/>
      <c r="G833" s="154" t="n"/>
      <c r="H833" s="154" t="n"/>
      <c r="I833" s="154" t="n"/>
      <c r="J833" s="154" t="n"/>
      <c r="K833" s="154" t="n"/>
    </row>
    <row r="834" ht="15.75" customHeight="1" s="201">
      <c r="B834" s="154" t="n"/>
      <c r="C834" s="154" t="n"/>
      <c r="D834" s="154" t="n"/>
      <c r="E834" s="154" t="n"/>
      <c r="F834" s="154" t="n"/>
      <c r="G834" s="154" t="n"/>
      <c r="H834" s="154" t="n"/>
      <c r="I834" s="154" t="n"/>
      <c r="J834" s="154" t="n"/>
      <c r="K834" s="154" t="n"/>
    </row>
    <row r="835" ht="15.75" customHeight="1" s="201">
      <c r="B835" s="154" t="n"/>
      <c r="C835" s="154" t="n"/>
      <c r="D835" s="154" t="n"/>
      <c r="E835" s="154" t="n"/>
      <c r="F835" s="154" t="n"/>
      <c r="G835" s="154" t="n"/>
      <c r="H835" s="154" t="n"/>
      <c r="I835" s="154" t="n"/>
      <c r="J835" s="154" t="n"/>
      <c r="K835" s="154" t="n"/>
    </row>
    <row r="836" ht="15.75" customHeight="1" s="201">
      <c r="B836" s="154" t="n"/>
      <c r="C836" s="154" t="n"/>
      <c r="D836" s="154" t="n"/>
      <c r="E836" s="154" t="n"/>
      <c r="F836" s="154" t="n"/>
      <c r="G836" s="154" t="n"/>
      <c r="H836" s="154" t="n"/>
      <c r="I836" s="154" t="n"/>
      <c r="J836" s="154" t="n"/>
      <c r="K836" s="154" t="n"/>
    </row>
    <row r="837" ht="15.75" customHeight="1" s="201">
      <c r="B837" s="154" t="n"/>
      <c r="C837" s="154" t="n"/>
      <c r="D837" s="154" t="n"/>
      <c r="E837" s="154" t="n"/>
      <c r="F837" s="154" t="n"/>
      <c r="G837" s="154" t="n"/>
      <c r="H837" s="154" t="n"/>
      <c r="I837" s="154" t="n"/>
      <c r="J837" s="154" t="n"/>
      <c r="K837" s="154" t="n"/>
    </row>
    <row r="838" ht="15.75" customHeight="1" s="201">
      <c r="B838" s="154" t="n"/>
      <c r="C838" s="154" t="n"/>
      <c r="D838" s="154" t="n"/>
      <c r="E838" s="154" t="n"/>
      <c r="F838" s="154" t="n"/>
      <c r="G838" s="154" t="n"/>
      <c r="H838" s="154" t="n"/>
      <c r="I838" s="154" t="n"/>
      <c r="J838" s="154" t="n"/>
      <c r="K838" s="154" t="n"/>
    </row>
    <row r="839" ht="15.75" customHeight="1" s="201">
      <c r="B839" s="154" t="n"/>
      <c r="C839" s="154" t="n"/>
      <c r="D839" s="154" t="n"/>
      <c r="E839" s="154" t="n"/>
      <c r="F839" s="154" t="n"/>
      <c r="G839" s="154" t="n"/>
      <c r="H839" s="154" t="n"/>
      <c r="I839" s="154" t="n"/>
      <c r="J839" s="154" t="n"/>
      <c r="K839" s="154" t="n"/>
    </row>
    <row r="840" ht="15.75" customHeight="1" s="201">
      <c r="B840" s="154" t="n"/>
      <c r="C840" s="154" t="n"/>
      <c r="D840" s="154" t="n"/>
      <c r="E840" s="154" t="n"/>
      <c r="F840" s="154" t="n"/>
      <c r="G840" s="154" t="n"/>
      <c r="H840" s="154" t="n"/>
      <c r="I840" s="154" t="n"/>
      <c r="J840" s="154" t="n"/>
      <c r="K840" s="154" t="n"/>
    </row>
    <row r="841" ht="15.75" customHeight="1" s="201">
      <c r="B841" s="154" t="n"/>
      <c r="C841" s="154" t="n"/>
      <c r="D841" s="154" t="n"/>
      <c r="E841" s="154" t="n"/>
      <c r="F841" s="154" t="n"/>
      <c r="G841" s="154" t="n"/>
      <c r="H841" s="154" t="n"/>
      <c r="I841" s="154" t="n"/>
      <c r="J841" s="154" t="n"/>
      <c r="K841" s="154" t="n"/>
    </row>
    <row r="842" ht="15.75" customHeight="1" s="201">
      <c r="B842" s="154" t="n"/>
      <c r="C842" s="154" t="n"/>
      <c r="D842" s="154" t="n"/>
      <c r="E842" s="154" t="n"/>
      <c r="F842" s="154" t="n"/>
      <c r="G842" s="154" t="n"/>
      <c r="H842" s="154" t="n"/>
      <c r="I842" s="154" t="n"/>
      <c r="J842" s="154" t="n"/>
      <c r="K842" s="154" t="n"/>
    </row>
    <row r="843" ht="15.75" customHeight="1" s="201">
      <c r="B843" s="154" t="n"/>
      <c r="C843" s="154" t="n"/>
      <c r="D843" s="154" t="n"/>
      <c r="E843" s="154" t="n"/>
      <c r="F843" s="154" t="n"/>
      <c r="G843" s="154" t="n"/>
      <c r="H843" s="154" t="n"/>
      <c r="I843" s="154" t="n"/>
      <c r="J843" s="154" t="n"/>
      <c r="K843" s="154" t="n"/>
    </row>
    <row r="844" ht="15.75" customHeight="1" s="201">
      <c r="B844" s="154" t="n"/>
      <c r="C844" s="154" t="n"/>
      <c r="D844" s="154" t="n"/>
      <c r="E844" s="154" t="n"/>
      <c r="F844" s="154" t="n"/>
      <c r="G844" s="154" t="n"/>
      <c r="H844" s="154" t="n"/>
      <c r="I844" s="154" t="n"/>
      <c r="J844" s="154" t="n"/>
      <c r="K844" s="154" t="n"/>
    </row>
    <row r="845" ht="15.75" customHeight="1" s="201">
      <c r="B845" s="154" t="n"/>
      <c r="C845" s="154" t="n"/>
      <c r="D845" s="154" t="n"/>
      <c r="E845" s="154" t="n"/>
      <c r="F845" s="154" t="n"/>
      <c r="G845" s="154" t="n"/>
      <c r="H845" s="154" t="n"/>
      <c r="I845" s="154" t="n"/>
      <c r="J845" s="154" t="n"/>
      <c r="K845" s="154" t="n"/>
    </row>
    <row r="846" ht="15.75" customHeight="1" s="201">
      <c r="B846" s="154" t="n"/>
      <c r="C846" s="154" t="n"/>
      <c r="D846" s="154" t="n"/>
      <c r="E846" s="154" t="n"/>
      <c r="F846" s="154" t="n"/>
      <c r="G846" s="154" t="n"/>
      <c r="H846" s="154" t="n"/>
      <c r="I846" s="154" t="n"/>
      <c r="J846" s="154" t="n"/>
      <c r="K846" s="154" t="n"/>
    </row>
    <row r="847" ht="15.75" customHeight="1" s="201">
      <c r="B847" s="154" t="n"/>
      <c r="C847" s="154" t="n"/>
      <c r="D847" s="154" t="n"/>
      <c r="E847" s="154" t="n"/>
      <c r="F847" s="154" t="n"/>
      <c r="G847" s="154" t="n"/>
      <c r="H847" s="154" t="n"/>
      <c r="I847" s="154" t="n"/>
      <c r="J847" s="154" t="n"/>
      <c r="K847" s="154" t="n"/>
    </row>
    <row r="848" ht="15.75" customHeight="1" s="201">
      <c r="B848" s="154" t="n"/>
      <c r="C848" s="154" t="n"/>
      <c r="D848" s="154" t="n"/>
      <c r="E848" s="154" t="n"/>
      <c r="F848" s="154" t="n"/>
      <c r="G848" s="154" t="n"/>
      <c r="H848" s="154" t="n"/>
      <c r="I848" s="154" t="n"/>
      <c r="J848" s="154" t="n"/>
      <c r="K848" s="154" t="n"/>
    </row>
    <row r="849" ht="15.75" customHeight="1" s="201">
      <c r="B849" s="154" t="n"/>
      <c r="C849" s="154" t="n"/>
      <c r="D849" s="154" t="n"/>
      <c r="E849" s="154" t="n"/>
      <c r="F849" s="154" t="n"/>
      <c r="G849" s="154" t="n"/>
      <c r="H849" s="154" t="n"/>
      <c r="I849" s="154" t="n"/>
      <c r="J849" s="154" t="n"/>
      <c r="K849" s="154" t="n"/>
    </row>
    <row r="850" ht="15.75" customHeight="1" s="201">
      <c r="B850" s="154" t="n"/>
      <c r="C850" s="154" t="n"/>
      <c r="D850" s="154" t="n"/>
      <c r="E850" s="154" t="n"/>
      <c r="F850" s="154" t="n"/>
      <c r="G850" s="154" t="n"/>
      <c r="H850" s="154" t="n"/>
      <c r="I850" s="154" t="n"/>
      <c r="J850" s="154" t="n"/>
      <c r="K850" s="154" t="n"/>
    </row>
    <row r="851" ht="15.75" customHeight="1" s="201">
      <c r="B851" s="154" t="n"/>
      <c r="C851" s="154" t="n"/>
      <c r="D851" s="154" t="n"/>
      <c r="E851" s="154" t="n"/>
      <c r="F851" s="154" t="n"/>
      <c r="G851" s="154" t="n"/>
      <c r="H851" s="154" t="n"/>
      <c r="I851" s="154" t="n"/>
      <c r="J851" s="154" t="n"/>
      <c r="K851" s="154" t="n"/>
    </row>
    <row r="852" ht="15.75" customHeight="1" s="201">
      <c r="B852" s="154" t="n"/>
      <c r="C852" s="154" t="n"/>
      <c r="D852" s="154" t="n"/>
      <c r="E852" s="154" t="n"/>
      <c r="F852" s="154" t="n"/>
      <c r="G852" s="154" t="n"/>
      <c r="H852" s="154" t="n"/>
      <c r="I852" s="154" t="n"/>
      <c r="J852" s="154" t="n"/>
      <c r="K852" s="154" t="n"/>
    </row>
    <row r="853" ht="15.75" customHeight="1" s="201">
      <c r="B853" s="154" t="n"/>
      <c r="C853" s="154" t="n"/>
      <c r="D853" s="154" t="n"/>
      <c r="E853" s="154" t="n"/>
      <c r="F853" s="154" t="n"/>
      <c r="G853" s="154" t="n"/>
      <c r="H853" s="154" t="n"/>
      <c r="I853" s="154" t="n"/>
      <c r="J853" s="154" t="n"/>
      <c r="K853" s="154" t="n"/>
    </row>
    <row r="854" ht="15.75" customHeight="1" s="201">
      <c r="B854" s="154" t="n"/>
      <c r="C854" s="154" t="n"/>
      <c r="D854" s="154" t="n"/>
      <c r="E854" s="154" t="n"/>
      <c r="F854" s="154" t="n"/>
      <c r="G854" s="154" t="n"/>
      <c r="H854" s="154" t="n"/>
      <c r="I854" s="154" t="n"/>
      <c r="J854" s="154" t="n"/>
      <c r="K854" s="154" t="n"/>
    </row>
    <row r="855" ht="15.75" customHeight="1" s="201">
      <c r="B855" s="154" t="n"/>
      <c r="C855" s="154" t="n"/>
      <c r="D855" s="154" t="n"/>
      <c r="E855" s="154" t="n"/>
      <c r="F855" s="154" t="n"/>
      <c r="G855" s="154" t="n"/>
      <c r="H855" s="154" t="n"/>
      <c r="I855" s="154" t="n"/>
      <c r="J855" s="154" t="n"/>
      <c r="K855" s="154" t="n"/>
    </row>
    <row r="856" ht="15.75" customHeight="1" s="201">
      <c r="B856" s="154" t="n"/>
      <c r="C856" s="154" t="n"/>
      <c r="D856" s="154" t="n"/>
      <c r="E856" s="154" t="n"/>
      <c r="F856" s="154" t="n"/>
      <c r="G856" s="154" t="n"/>
      <c r="H856" s="154" t="n"/>
      <c r="I856" s="154" t="n"/>
      <c r="J856" s="154" t="n"/>
      <c r="K856" s="154" t="n"/>
    </row>
    <row r="857" ht="15.75" customHeight="1" s="201">
      <c r="B857" s="154" t="n"/>
      <c r="C857" s="154" t="n"/>
      <c r="D857" s="154" t="n"/>
      <c r="E857" s="154" t="n"/>
      <c r="F857" s="154" t="n"/>
      <c r="G857" s="154" t="n"/>
      <c r="H857" s="154" t="n"/>
      <c r="I857" s="154" t="n"/>
      <c r="J857" s="154" t="n"/>
      <c r="K857" s="154" t="n"/>
    </row>
    <row r="858" ht="15.75" customHeight="1" s="201">
      <c r="B858" s="154" t="n"/>
      <c r="C858" s="154" t="n"/>
      <c r="D858" s="154" t="n"/>
      <c r="E858" s="154" t="n"/>
      <c r="F858" s="154" t="n"/>
      <c r="G858" s="154" t="n"/>
      <c r="H858" s="154" t="n"/>
      <c r="I858" s="154" t="n"/>
      <c r="J858" s="154" t="n"/>
      <c r="K858" s="154" t="n"/>
    </row>
    <row r="859" ht="15.75" customHeight="1" s="201">
      <c r="B859" s="154" t="n"/>
      <c r="C859" s="154" t="n"/>
      <c r="D859" s="154" t="n"/>
      <c r="E859" s="154" t="n"/>
      <c r="F859" s="154" t="n"/>
      <c r="G859" s="154" t="n"/>
      <c r="H859" s="154" t="n"/>
      <c r="I859" s="154" t="n"/>
      <c r="J859" s="154" t="n"/>
      <c r="K859" s="154" t="n"/>
    </row>
    <row r="860" ht="15.75" customHeight="1" s="201">
      <c r="B860" s="154" t="n"/>
      <c r="C860" s="154" t="n"/>
      <c r="D860" s="154" t="n"/>
      <c r="E860" s="154" t="n"/>
      <c r="F860" s="154" t="n"/>
      <c r="G860" s="154" t="n"/>
      <c r="H860" s="154" t="n"/>
      <c r="I860" s="154" t="n"/>
      <c r="J860" s="154" t="n"/>
      <c r="K860" s="154" t="n"/>
    </row>
    <row r="861" ht="15.75" customHeight="1" s="201">
      <c r="B861" s="154" t="n"/>
      <c r="C861" s="154" t="n"/>
      <c r="D861" s="154" t="n"/>
      <c r="E861" s="154" t="n"/>
      <c r="F861" s="154" t="n"/>
      <c r="G861" s="154" t="n"/>
      <c r="H861" s="154" t="n"/>
      <c r="I861" s="154" t="n"/>
      <c r="J861" s="154" t="n"/>
      <c r="K861" s="154" t="n"/>
    </row>
    <row r="862" ht="15.75" customHeight="1" s="201">
      <c r="B862" s="154" t="n"/>
      <c r="C862" s="154" t="n"/>
      <c r="D862" s="154" t="n"/>
      <c r="E862" s="154" t="n"/>
      <c r="F862" s="154" t="n"/>
      <c r="G862" s="154" t="n"/>
      <c r="H862" s="154" t="n"/>
      <c r="I862" s="154" t="n"/>
      <c r="J862" s="154" t="n"/>
      <c r="K862" s="154" t="n"/>
    </row>
    <row r="863" ht="15.75" customHeight="1" s="201">
      <c r="B863" s="154" t="n"/>
      <c r="C863" s="154" t="n"/>
      <c r="D863" s="154" t="n"/>
      <c r="E863" s="154" t="n"/>
      <c r="F863" s="154" t="n"/>
      <c r="G863" s="154" t="n"/>
      <c r="H863" s="154" t="n"/>
      <c r="I863" s="154" t="n"/>
      <c r="J863" s="154" t="n"/>
      <c r="K863" s="154" t="n"/>
    </row>
    <row r="864" ht="15.75" customHeight="1" s="201">
      <c r="B864" s="154" t="n"/>
      <c r="C864" s="154" t="n"/>
      <c r="D864" s="154" t="n"/>
      <c r="E864" s="154" t="n"/>
      <c r="F864" s="154" t="n"/>
      <c r="G864" s="154" t="n"/>
      <c r="H864" s="154" t="n"/>
      <c r="I864" s="154" t="n"/>
      <c r="J864" s="154" t="n"/>
      <c r="K864" s="154" t="n"/>
    </row>
    <row r="865" ht="15.75" customHeight="1" s="201">
      <c r="B865" s="154" t="n"/>
      <c r="C865" s="154" t="n"/>
      <c r="D865" s="154" t="n"/>
      <c r="E865" s="154" t="n"/>
      <c r="F865" s="154" t="n"/>
      <c r="G865" s="154" t="n"/>
      <c r="H865" s="154" t="n"/>
      <c r="I865" s="154" t="n"/>
      <c r="J865" s="154" t="n"/>
      <c r="K865" s="154" t="n"/>
    </row>
    <row r="866" ht="15.75" customHeight="1" s="201">
      <c r="B866" s="154" t="n"/>
      <c r="C866" s="154" t="n"/>
      <c r="D866" s="154" t="n"/>
      <c r="E866" s="154" t="n"/>
      <c r="F866" s="154" t="n"/>
      <c r="G866" s="154" t="n"/>
      <c r="H866" s="154" t="n"/>
      <c r="I866" s="154" t="n"/>
      <c r="J866" s="154" t="n"/>
      <c r="K866" s="154" t="n"/>
    </row>
    <row r="867" ht="15.75" customHeight="1" s="201">
      <c r="B867" s="154" t="n"/>
      <c r="C867" s="154" t="n"/>
      <c r="D867" s="154" t="n"/>
      <c r="E867" s="154" t="n"/>
      <c r="F867" s="154" t="n"/>
      <c r="G867" s="154" t="n"/>
      <c r="H867" s="154" t="n"/>
      <c r="I867" s="154" t="n"/>
      <c r="J867" s="154" t="n"/>
      <c r="K867" s="154" t="n"/>
    </row>
    <row r="868" ht="15.75" customHeight="1" s="201">
      <c r="B868" s="154" t="n"/>
      <c r="C868" s="154" t="n"/>
      <c r="D868" s="154" t="n"/>
      <c r="E868" s="154" t="n"/>
      <c r="F868" s="154" t="n"/>
      <c r="G868" s="154" t="n"/>
      <c r="H868" s="154" t="n"/>
      <c r="I868" s="154" t="n"/>
      <c r="J868" s="154" t="n"/>
      <c r="K868" s="154" t="n"/>
    </row>
    <row r="869" ht="15.75" customHeight="1" s="201">
      <c r="B869" s="154" t="n"/>
      <c r="C869" s="154" t="n"/>
      <c r="D869" s="154" t="n"/>
      <c r="E869" s="154" t="n"/>
      <c r="F869" s="154" t="n"/>
      <c r="G869" s="154" t="n"/>
      <c r="H869" s="154" t="n"/>
      <c r="I869" s="154" t="n"/>
      <c r="J869" s="154" t="n"/>
      <c r="K869" s="154" t="n"/>
    </row>
    <row r="870" ht="15.75" customHeight="1" s="201">
      <c r="B870" s="154" t="n"/>
      <c r="C870" s="154" t="n"/>
      <c r="D870" s="154" t="n"/>
      <c r="E870" s="154" t="n"/>
      <c r="F870" s="154" t="n"/>
      <c r="G870" s="154" t="n"/>
      <c r="H870" s="154" t="n"/>
      <c r="I870" s="154" t="n"/>
      <c r="J870" s="154" t="n"/>
      <c r="K870" s="154" t="n"/>
    </row>
    <row r="871" ht="15.75" customHeight="1" s="201">
      <c r="B871" s="154" t="n"/>
      <c r="C871" s="154" t="n"/>
      <c r="D871" s="154" t="n"/>
      <c r="E871" s="154" t="n"/>
      <c r="F871" s="154" t="n"/>
      <c r="G871" s="154" t="n"/>
      <c r="H871" s="154" t="n"/>
      <c r="I871" s="154" t="n"/>
      <c r="J871" s="154" t="n"/>
      <c r="K871" s="154" t="n"/>
    </row>
    <row r="872" ht="15.75" customHeight="1" s="201">
      <c r="B872" s="154" t="n"/>
      <c r="C872" s="154" t="n"/>
      <c r="D872" s="154" t="n"/>
      <c r="E872" s="154" t="n"/>
      <c r="F872" s="154" t="n"/>
      <c r="G872" s="154" t="n"/>
      <c r="H872" s="154" t="n"/>
      <c r="I872" s="154" t="n"/>
      <c r="J872" s="154" t="n"/>
      <c r="K872" s="154" t="n"/>
    </row>
    <row r="873" ht="15.75" customHeight="1" s="201">
      <c r="B873" s="154" t="n"/>
      <c r="C873" s="154" t="n"/>
      <c r="D873" s="154" t="n"/>
      <c r="E873" s="154" t="n"/>
      <c r="F873" s="154" t="n"/>
      <c r="G873" s="154" t="n"/>
      <c r="H873" s="154" t="n"/>
      <c r="I873" s="154" t="n"/>
      <c r="J873" s="154" t="n"/>
      <c r="K873" s="154" t="n"/>
    </row>
    <row r="874" ht="15.75" customHeight="1" s="201">
      <c r="B874" s="154" t="n"/>
      <c r="C874" s="154" t="n"/>
      <c r="D874" s="154" t="n"/>
      <c r="E874" s="154" t="n"/>
      <c r="F874" s="154" t="n"/>
      <c r="G874" s="154" t="n"/>
      <c r="H874" s="154" t="n"/>
      <c r="I874" s="154" t="n"/>
      <c r="J874" s="154" t="n"/>
      <c r="K874" s="154" t="n"/>
    </row>
    <row r="875" ht="15.75" customHeight="1" s="201">
      <c r="B875" s="154" t="n"/>
      <c r="C875" s="154" t="n"/>
      <c r="D875" s="154" t="n"/>
      <c r="E875" s="154" t="n"/>
      <c r="F875" s="154" t="n"/>
      <c r="G875" s="154" t="n"/>
      <c r="H875" s="154" t="n"/>
      <c r="I875" s="154" t="n"/>
      <c r="J875" s="154" t="n"/>
      <c r="K875" s="154" t="n"/>
    </row>
    <row r="876" ht="15.75" customHeight="1" s="201">
      <c r="B876" s="154" t="n"/>
      <c r="C876" s="154" t="n"/>
      <c r="D876" s="154" t="n"/>
      <c r="E876" s="154" t="n"/>
      <c r="F876" s="154" t="n"/>
      <c r="G876" s="154" t="n"/>
      <c r="H876" s="154" t="n"/>
      <c r="I876" s="154" t="n"/>
      <c r="J876" s="154" t="n"/>
      <c r="K876" s="154" t="n"/>
    </row>
    <row r="877" ht="15.75" customHeight="1" s="201">
      <c r="B877" s="154" t="n"/>
      <c r="C877" s="154" t="n"/>
      <c r="D877" s="154" t="n"/>
      <c r="E877" s="154" t="n"/>
      <c r="F877" s="154" t="n"/>
      <c r="G877" s="154" t="n"/>
      <c r="H877" s="154" t="n"/>
      <c r="I877" s="154" t="n"/>
      <c r="J877" s="154" t="n"/>
      <c r="K877" s="154" t="n"/>
    </row>
    <row r="878" ht="15.75" customHeight="1" s="201">
      <c r="B878" s="154" t="n"/>
      <c r="C878" s="154" t="n"/>
      <c r="D878" s="154" t="n"/>
      <c r="E878" s="154" t="n"/>
      <c r="F878" s="154" t="n"/>
      <c r="G878" s="154" t="n"/>
      <c r="H878" s="154" t="n"/>
      <c r="I878" s="154" t="n"/>
      <c r="J878" s="154" t="n"/>
      <c r="K878" s="154" t="n"/>
    </row>
    <row r="879" ht="15.75" customHeight="1" s="201">
      <c r="B879" s="154" t="n"/>
      <c r="C879" s="154" t="n"/>
      <c r="D879" s="154" t="n"/>
      <c r="E879" s="154" t="n"/>
      <c r="F879" s="154" t="n"/>
      <c r="G879" s="154" t="n"/>
      <c r="H879" s="154" t="n"/>
      <c r="I879" s="154" t="n"/>
      <c r="J879" s="154" t="n"/>
      <c r="K879" s="154" t="n"/>
    </row>
    <row r="880" ht="15.75" customHeight="1" s="201">
      <c r="B880" s="154" t="n"/>
      <c r="C880" s="154" t="n"/>
      <c r="D880" s="154" t="n"/>
      <c r="E880" s="154" t="n"/>
      <c r="F880" s="154" t="n"/>
      <c r="G880" s="154" t="n"/>
      <c r="H880" s="154" t="n"/>
      <c r="I880" s="154" t="n"/>
      <c r="J880" s="154" t="n"/>
      <c r="K880" s="154" t="n"/>
    </row>
    <row r="881" ht="15.75" customHeight="1" s="201">
      <c r="B881" s="154" t="n"/>
      <c r="C881" s="154" t="n"/>
      <c r="D881" s="154" t="n"/>
      <c r="E881" s="154" t="n"/>
      <c r="F881" s="154" t="n"/>
      <c r="G881" s="154" t="n"/>
      <c r="H881" s="154" t="n"/>
      <c r="I881" s="154" t="n"/>
      <c r="J881" s="154" t="n"/>
      <c r="K881" s="154" t="n"/>
    </row>
    <row r="882" ht="15.75" customHeight="1" s="201">
      <c r="B882" s="154" t="n"/>
      <c r="C882" s="154" t="n"/>
      <c r="D882" s="154" t="n"/>
      <c r="E882" s="154" t="n"/>
      <c r="F882" s="154" t="n"/>
      <c r="G882" s="154" t="n"/>
      <c r="H882" s="154" t="n"/>
      <c r="I882" s="154" t="n"/>
      <c r="J882" s="154" t="n"/>
      <c r="K882" s="154" t="n"/>
    </row>
    <row r="883" ht="15.75" customHeight="1" s="201">
      <c r="B883" s="154" t="n"/>
      <c r="C883" s="154" t="n"/>
      <c r="D883" s="154" t="n"/>
      <c r="E883" s="154" t="n"/>
      <c r="F883" s="154" t="n"/>
      <c r="G883" s="154" t="n"/>
      <c r="H883" s="154" t="n"/>
      <c r="I883" s="154" t="n"/>
      <c r="J883" s="154" t="n"/>
      <c r="K883" s="154" t="n"/>
    </row>
    <row r="884" ht="15.75" customHeight="1" s="201">
      <c r="B884" s="154" t="n"/>
      <c r="C884" s="154" t="n"/>
      <c r="D884" s="154" t="n"/>
      <c r="E884" s="154" t="n"/>
      <c r="F884" s="154" t="n"/>
      <c r="G884" s="154" t="n"/>
      <c r="H884" s="154" t="n"/>
      <c r="I884" s="154" t="n"/>
      <c r="J884" s="154" t="n"/>
      <c r="K884" s="154" t="n"/>
    </row>
    <row r="885" ht="15.75" customHeight="1" s="201">
      <c r="B885" s="154" t="n"/>
      <c r="C885" s="154" t="n"/>
      <c r="D885" s="154" t="n"/>
      <c r="E885" s="154" t="n"/>
      <c r="F885" s="154" t="n"/>
      <c r="G885" s="154" t="n"/>
      <c r="H885" s="154" t="n"/>
      <c r="I885" s="154" t="n"/>
      <c r="J885" s="154" t="n"/>
      <c r="K885" s="154" t="n"/>
    </row>
    <row r="886" ht="15.75" customHeight="1" s="201">
      <c r="B886" s="154" t="n"/>
      <c r="C886" s="154" t="n"/>
      <c r="D886" s="154" t="n"/>
      <c r="E886" s="154" t="n"/>
      <c r="F886" s="154" t="n"/>
      <c r="G886" s="154" t="n"/>
      <c r="H886" s="154" t="n"/>
      <c r="I886" s="154" t="n"/>
      <c r="J886" s="154" t="n"/>
      <c r="K886" s="154" t="n"/>
    </row>
    <row r="887" ht="15.75" customHeight="1" s="201">
      <c r="B887" s="154" t="n"/>
      <c r="C887" s="154" t="n"/>
      <c r="D887" s="154" t="n"/>
      <c r="E887" s="154" t="n"/>
      <c r="F887" s="154" t="n"/>
      <c r="G887" s="154" t="n"/>
      <c r="H887" s="154" t="n"/>
      <c r="I887" s="154" t="n"/>
      <c r="J887" s="154" t="n"/>
      <c r="K887" s="154" t="n"/>
    </row>
    <row r="888" ht="15.75" customHeight="1" s="201">
      <c r="B888" s="154" t="n"/>
      <c r="C888" s="154" t="n"/>
      <c r="D888" s="154" t="n"/>
      <c r="E888" s="154" t="n"/>
      <c r="F888" s="154" t="n"/>
      <c r="G888" s="154" t="n"/>
      <c r="H888" s="154" t="n"/>
      <c r="I888" s="154" t="n"/>
      <c r="J888" s="154" t="n"/>
      <c r="K888" s="154" t="n"/>
    </row>
    <row r="889" ht="15.75" customHeight="1" s="201">
      <c r="B889" s="154" t="n"/>
      <c r="C889" s="154" t="n"/>
      <c r="D889" s="154" t="n"/>
      <c r="E889" s="154" t="n"/>
      <c r="F889" s="154" t="n"/>
      <c r="G889" s="154" t="n"/>
      <c r="H889" s="154" t="n"/>
      <c r="I889" s="154" t="n"/>
      <c r="J889" s="154" t="n"/>
      <c r="K889" s="154" t="n"/>
    </row>
    <row r="890" ht="15.75" customHeight="1" s="201">
      <c r="B890" s="154" t="n"/>
      <c r="C890" s="154" t="n"/>
      <c r="D890" s="154" t="n"/>
      <c r="E890" s="154" t="n"/>
      <c r="F890" s="154" t="n"/>
      <c r="G890" s="154" t="n"/>
      <c r="H890" s="154" t="n"/>
      <c r="I890" s="154" t="n"/>
      <c r="J890" s="154" t="n"/>
      <c r="K890" s="154" t="n"/>
    </row>
    <row r="891" ht="15.75" customHeight="1" s="201">
      <c r="B891" s="154" t="n"/>
      <c r="C891" s="154" t="n"/>
      <c r="D891" s="154" t="n"/>
      <c r="E891" s="154" t="n"/>
      <c r="F891" s="154" t="n"/>
      <c r="G891" s="154" t="n"/>
      <c r="H891" s="154" t="n"/>
      <c r="I891" s="154" t="n"/>
      <c r="J891" s="154" t="n"/>
      <c r="K891" s="154" t="n"/>
    </row>
    <row r="892" ht="15.75" customHeight="1" s="201">
      <c r="B892" s="154" t="n"/>
      <c r="C892" s="154" t="n"/>
      <c r="D892" s="154" t="n"/>
      <c r="E892" s="154" t="n"/>
      <c r="F892" s="154" t="n"/>
      <c r="G892" s="154" t="n"/>
      <c r="H892" s="154" t="n"/>
      <c r="I892" s="154" t="n"/>
      <c r="J892" s="154" t="n"/>
      <c r="K892" s="154" t="n"/>
    </row>
    <row r="893" ht="15.75" customHeight="1" s="201">
      <c r="B893" s="154" t="n"/>
      <c r="C893" s="154" t="n"/>
      <c r="D893" s="154" t="n"/>
      <c r="E893" s="154" t="n"/>
      <c r="F893" s="154" t="n"/>
      <c r="G893" s="154" t="n"/>
      <c r="H893" s="154" t="n"/>
      <c r="I893" s="154" t="n"/>
      <c r="J893" s="154" t="n"/>
      <c r="K893" s="154" t="n"/>
    </row>
    <row r="894" ht="15.75" customHeight="1" s="201">
      <c r="B894" s="154" t="n"/>
      <c r="C894" s="154" t="n"/>
      <c r="D894" s="154" t="n"/>
      <c r="E894" s="154" t="n"/>
      <c r="F894" s="154" t="n"/>
      <c r="G894" s="154" t="n"/>
      <c r="H894" s="154" t="n"/>
      <c r="I894" s="154" t="n"/>
      <c r="J894" s="154" t="n"/>
      <c r="K894" s="154" t="n"/>
    </row>
    <row r="895" ht="15.75" customHeight="1" s="201">
      <c r="B895" s="154" t="n"/>
      <c r="C895" s="154" t="n"/>
      <c r="D895" s="154" t="n"/>
      <c r="E895" s="154" t="n"/>
      <c r="F895" s="154" t="n"/>
      <c r="G895" s="154" t="n"/>
      <c r="H895" s="154" t="n"/>
      <c r="I895" s="154" t="n"/>
      <c r="J895" s="154" t="n"/>
      <c r="K895" s="154" t="n"/>
    </row>
    <row r="896" ht="15.75" customHeight="1" s="201">
      <c r="B896" s="154" t="n"/>
      <c r="C896" s="154" t="n"/>
      <c r="D896" s="154" t="n"/>
      <c r="E896" s="154" t="n"/>
      <c r="F896" s="154" t="n"/>
      <c r="G896" s="154" t="n"/>
      <c r="H896" s="154" t="n"/>
      <c r="I896" s="154" t="n"/>
      <c r="J896" s="154" t="n"/>
      <c r="K896" s="154" t="n"/>
    </row>
    <row r="897" ht="15.75" customHeight="1" s="201">
      <c r="B897" s="154" t="n"/>
      <c r="C897" s="154" t="n"/>
      <c r="D897" s="154" t="n"/>
      <c r="E897" s="154" t="n"/>
      <c r="F897" s="154" t="n"/>
      <c r="G897" s="154" t="n"/>
      <c r="H897" s="154" t="n"/>
      <c r="I897" s="154" t="n"/>
      <c r="J897" s="154" t="n"/>
      <c r="K897" s="154" t="n"/>
    </row>
    <row r="898" ht="15.75" customHeight="1" s="201">
      <c r="B898" s="154" t="n"/>
      <c r="C898" s="154" t="n"/>
      <c r="D898" s="154" t="n"/>
      <c r="E898" s="154" t="n"/>
      <c r="F898" s="154" t="n"/>
      <c r="G898" s="154" t="n"/>
      <c r="H898" s="154" t="n"/>
      <c r="I898" s="154" t="n"/>
      <c r="J898" s="154" t="n"/>
      <c r="K898" s="154" t="n"/>
    </row>
    <row r="899" ht="15.75" customHeight="1" s="201">
      <c r="B899" s="154" t="n"/>
      <c r="C899" s="154" t="n"/>
      <c r="D899" s="154" t="n"/>
      <c r="E899" s="154" t="n"/>
      <c r="F899" s="154" t="n"/>
      <c r="G899" s="154" t="n"/>
      <c r="H899" s="154" t="n"/>
      <c r="I899" s="154" t="n"/>
      <c r="J899" s="154" t="n"/>
      <c r="K899" s="154" t="n"/>
    </row>
    <row r="900" ht="15.75" customHeight="1" s="201">
      <c r="B900" s="154" t="n"/>
      <c r="C900" s="154" t="n"/>
      <c r="D900" s="154" t="n"/>
      <c r="E900" s="154" t="n"/>
      <c r="F900" s="154" t="n"/>
      <c r="G900" s="154" t="n"/>
      <c r="H900" s="154" t="n"/>
      <c r="I900" s="154" t="n"/>
      <c r="J900" s="154" t="n"/>
      <c r="K900" s="154" t="n"/>
    </row>
    <row r="901" ht="15.75" customHeight="1" s="201">
      <c r="B901" s="154" t="n"/>
      <c r="C901" s="154" t="n"/>
      <c r="D901" s="154" t="n"/>
      <c r="E901" s="154" t="n"/>
      <c r="F901" s="154" t="n"/>
      <c r="G901" s="154" t="n"/>
      <c r="H901" s="154" t="n"/>
      <c r="I901" s="154" t="n"/>
      <c r="J901" s="154" t="n"/>
      <c r="K901" s="154" t="n"/>
    </row>
    <row r="902" ht="15.75" customHeight="1" s="201">
      <c r="B902" s="154" t="n"/>
      <c r="C902" s="154" t="n"/>
      <c r="D902" s="154" t="n"/>
      <c r="E902" s="154" t="n"/>
      <c r="F902" s="154" t="n"/>
      <c r="G902" s="154" t="n"/>
      <c r="H902" s="154" t="n"/>
      <c r="I902" s="154" t="n"/>
      <c r="J902" s="154" t="n"/>
      <c r="K902" s="154" t="n"/>
    </row>
    <row r="903" ht="15.75" customHeight="1" s="201">
      <c r="B903" s="154" t="n"/>
      <c r="C903" s="154" t="n"/>
      <c r="D903" s="154" t="n"/>
      <c r="E903" s="154" t="n"/>
      <c r="F903" s="154" t="n"/>
      <c r="G903" s="154" t="n"/>
      <c r="H903" s="154" t="n"/>
      <c r="I903" s="154" t="n"/>
      <c r="J903" s="154" t="n"/>
      <c r="K903" s="154" t="n"/>
    </row>
    <row r="904" ht="15.75" customHeight="1" s="201">
      <c r="B904" s="154" t="n"/>
      <c r="C904" s="154" t="n"/>
      <c r="D904" s="154" t="n"/>
      <c r="E904" s="154" t="n"/>
      <c r="F904" s="154" t="n"/>
      <c r="G904" s="154" t="n"/>
      <c r="H904" s="154" t="n"/>
      <c r="I904" s="154" t="n"/>
      <c r="J904" s="154" t="n"/>
      <c r="K904" s="154" t="n"/>
    </row>
    <row r="905" ht="15.75" customHeight="1" s="201">
      <c r="B905" s="154" t="n"/>
      <c r="C905" s="154" t="n"/>
      <c r="D905" s="154" t="n"/>
      <c r="E905" s="154" t="n"/>
      <c r="F905" s="154" t="n"/>
      <c r="G905" s="154" t="n"/>
      <c r="H905" s="154" t="n"/>
      <c r="I905" s="154" t="n"/>
      <c r="J905" s="154" t="n"/>
      <c r="K905" s="154" t="n"/>
    </row>
    <row r="906" ht="15.75" customHeight="1" s="201">
      <c r="B906" s="154" t="n"/>
      <c r="C906" s="154" t="n"/>
      <c r="D906" s="154" t="n"/>
      <c r="E906" s="154" t="n"/>
      <c r="F906" s="154" t="n"/>
      <c r="G906" s="154" t="n"/>
      <c r="H906" s="154" t="n"/>
      <c r="I906" s="154" t="n"/>
      <c r="J906" s="154" t="n"/>
      <c r="K906" s="154" t="n"/>
    </row>
    <row r="907" ht="15.75" customHeight="1" s="201">
      <c r="B907" s="154" t="n"/>
      <c r="C907" s="154" t="n"/>
      <c r="D907" s="154" t="n"/>
      <c r="E907" s="154" t="n"/>
      <c r="F907" s="154" t="n"/>
      <c r="G907" s="154" t="n"/>
      <c r="H907" s="154" t="n"/>
      <c r="I907" s="154" t="n"/>
      <c r="J907" s="154" t="n"/>
      <c r="K907" s="154" t="n"/>
    </row>
    <row r="908" ht="15.75" customHeight="1" s="201">
      <c r="B908" s="154" t="n"/>
      <c r="C908" s="154" t="n"/>
      <c r="D908" s="154" t="n"/>
      <c r="E908" s="154" t="n"/>
      <c r="F908" s="154" t="n"/>
      <c r="G908" s="154" t="n"/>
      <c r="H908" s="154" t="n"/>
      <c r="I908" s="154" t="n"/>
      <c r="J908" s="154" t="n"/>
      <c r="K908" s="154" t="n"/>
    </row>
    <row r="909" ht="15.75" customHeight="1" s="201">
      <c r="B909" s="154" t="n"/>
      <c r="C909" s="154" t="n"/>
      <c r="D909" s="154" t="n"/>
      <c r="E909" s="154" t="n"/>
      <c r="F909" s="154" t="n"/>
      <c r="G909" s="154" t="n"/>
      <c r="H909" s="154" t="n"/>
      <c r="I909" s="154" t="n"/>
      <c r="J909" s="154" t="n"/>
      <c r="K909" s="154" t="n"/>
    </row>
    <row r="910" ht="15.75" customHeight="1" s="201">
      <c r="B910" s="154" t="n"/>
      <c r="C910" s="154" t="n"/>
      <c r="D910" s="154" t="n"/>
      <c r="E910" s="154" t="n"/>
      <c r="F910" s="154" t="n"/>
      <c r="G910" s="154" t="n"/>
      <c r="H910" s="154" t="n"/>
      <c r="I910" s="154" t="n"/>
      <c r="J910" s="154" t="n"/>
      <c r="K910" s="154" t="n"/>
    </row>
    <row r="911" ht="15.75" customHeight="1" s="201">
      <c r="B911" s="154" t="n"/>
      <c r="C911" s="154" t="n"/>
      <c r="D911" s="154" t="n"/>
      <c r="E911" s="154" t="n"/>
      <c r="F911" s="154" t="n"/>
      <c r="G911" s="154" t="n"/>
      <c r="H911" s="154" t="n"/>
      <c r="I911" s="154" t="n"/>
      <c r="J911" s="154" t="n"/>
      <c r="K911" s="154" t="n"/>
    </row>
    <row r="912" ht="15.75" customHeight="1" s="201">
      <c r="B912" s="154" t="n"/>
      <c r="C912" s="154" t="n"/>
      <c r="D912" s="154" t="n"/>
      <c r="E912" s="154" t="n"/>
      <c r="F912" s="154" t="n"/>
      <c r="G912" s="154" t="n"/>
      <c r="H912" s="154" t="n"/>
      <c r="I912" s="154" t="n"/>
      <c r="J912" s="154" t="n"/>
      <c r="K912" s="154" t="n"/>
    </row>
    <row r="913" ht="15.75" customHeight="1" s="201">
      <c r="B913" s="154" t="n"/>
      <c r="C913" s="154" t="n"/>
      <c r="D913" s="154" t="n"/>
      <c r="E913" s="154" t="n"/>
      <c r="F913" s="154" t="n"/>
      <c r="G913" s="154" t="n"/>
      <c r="H913" s="154" t="n"/>
      <c r="I913" s="154" t="n"/>
      <c r="J913" s="154" t="n"/>
      <c r="K913" s="154" t="n"/>
    </row>
    <row r="914" ht="15.75" customHeight="1" s="201">
      <c r="B914" s="154" t="n"/>
      <c r="C914" s="154" t="n"/>
      <c r="D914" s="154" t="n"/>
      <c r="E914" s="154" t="n"/>
      <c r="F914" s="154" t="n"/>
      <c r="G914" s="154" t="n"/>
      <c r="H914" s="154" t="n"/>
      <c r="I914" s="154" t="n"/>
      <c r="J914" s="154" t="n"/>
      <c r="K914" s="154" t="n"/>
    </row>
    <row r="915" ht="15.75" customHeight="1" s="201">
      <c r="B915" s="154" t="n"/>
      <c r="C915" s="154" t="n"/>
      <c r="D915" s="154" t="n"/>
      <c r="E915" s="154" t="n"/>
      <c r="F915" s="154" t="n"/>
      <c r="G915" s="154" t="n"/>
      <c r="H915" s="154" t="n"/>
      <c r="I915" s="154" t="n"/>
      <c r="J915" s="154" t="n"/>
      <c r="K915" s="154" t="n"/>
    </row>
    <row r="916" ht="15.75" customHeight="1" s="201">
      <c r="B916" s="154" t="n"/>
      <c r="C916" s="154" t="n"/>
      <c r="D916" s="154" t="n"/>
      <c r="E916" s="154" t="n"/>
      <c r="F916" s="154" t="n"/>
      <c r="G916" s="154" t="n"/>
      <c r="H916" s="154" t="n"/>
      <c r="I916" s="154" t="n"/>
      <c r="J916" s="154" t="n"/>
      <c r="K916" s="154" t="n"/>
    </row>
    <row r="917" ht="15.75" customHeight="1" s="201">
      <c r="B917" s="154" t="n"/>
      <c r="C917" s="154" t="n"/>
      <c r="D917" s="154" t="n"/>
      <c r="E917" s="154" t="n"/>
      <c r="F917" s="154" t="n"/>
      <c r="G917" s="154" t="n"/>
      <c r="H917" s="154" t="n"/>
      <c r="I917" s="154" t="n"/>
      <c r="J917" s="154" t="n"/>
      <c r="K917" s="154" t="n"/>
    </row>
    <row r="918" ht="15.75" customHeight="1" s="201">
      <c r="B918" s="154" t="n"/>
      <c r="C918" s="154" t="n"/>
      <c r="D918" s="154" t="n"/>
      <c r="E918" s="154" t="n"/>
      <c r="F918" s="154" t="n"/>
      <c r="G918" s="154" t="n"/>
      <c r="H918" s="154" t="n"/>
      <c r="I918" s="154" t="n"/>
      <c r="J918" s="154" t="n"/>
      <c r="K918" s="154" t="n"/>
    </row>
    <row r="919" ht="15.75" customHeight="1" s="201">
      <c r="B919" s="154" t="n"/>
      <c r="C919" s="154" t="n"/>
      <c r="D919" s="154" t="n"/>
      <c r="E919" s="154" t="n"/>
      <c r="F919" s="154" t="n"/>
      <c r="G919" s="154" t="n"/>
      <c r="H919" s="154" t="n"/>
      <c r="I919" s="154" t="n"/>
      <c r="J919" s="154" t="n"/>
      <c r="K919" s="154" t="n"/>
    </row>
    <row r="920" ht="15.75" customHeight="1" s="201">
      <c r="B920" s="154" t="n"/>
      <c r="C920" s="154" t="n"/>
      <c r="D920" s="154" t="n"/>
      <c r="E920" s="154" t="n"/>
      <c r="F920" s="154" t="n"/>
      <c r="G920" s="154" t="n"/>
      <c r="H920" s="154" t="n"/>
      <c r="I920" s="154" t="n"/>
      <c r="J920" s="154" t="n"/>
      <c r="K920" s="154" t="n"/>
    </row>
    <row r="921" ht="15.75" customHeight="1" s="201">
      <c r="B921" s="154" t="n"/>
      <c r="C921" s="154" t="n"/>
      <c r="D921" s="154" t="n"/>
      <c r="E921" s="154" t="n"/>
      <c r="F921" s="154" t="n"/>
      <c r="G921" s="154" t="n"/>
      <c r="H921" s="154" t="n"/>
      <c r="I921" s="154" t="n"/>
      <c r="J921" s="154" t="n"/>
      <c r="K921" s="154" t="n"/>
    </row>
    <row r="922" ht="15.75" customHeight="1" s="201">
      <c r="B922" s="154" t="n"/>
      <c r="C922" s="154" t="n"/>
      <c r="D922" s="154" t="n"/>
      <c r="E922" s="154" t="n"/>
      <c r="F922" s="154" t="n"/>
      <c r="G922" s="154" t="n"/>
      <c r="H922" s="154" t="n"/>
      <c r="I922" s="154" t="n"/>
      <c r="J922" s="154" t="n"/>
      <c r="K922" s="154" t="n"/>
    </row>
    <row r="923" ht="15.75" customHeight="1" s="201">
      <c r="B923" s="154" t="n"/>
      <c r="C923" s="154" t="n"/>
      <c r="D923" s="154" t="n"/>
      <c r="E923" s="154" t="n"/>
      <c r="F923" s="154" t="n"/>
      <c r="G923" s="154" t="n"/>
      <c r="H923" s="154" t="n"/>
      <c r="I923" s="154" t="n"/>
      <c r="J923" s="154" t="n"/>
      <c r="K923" s="154" t="n"/>
    </row>
    <row r="924" ht="15.75" customHeight="1" s="201">
      <c r="B924" s="154" t="n"/>
      <c r="C924" s="154" t="n"/>
      <c r="D924" s="154" t="n"/>
      <c r="E924" s="154" t="n"/>
      <c r="F924" s="154" t="n"/>
      <c r="G924" s="154" t="n"/>
      <c r="H924" s="154" t="n"/>
      <c r="I924" s="154" t="n"/>
      <c r="J924" s="154" t="n"/>
      <c r="K924" s="154" t="n"/>
    </row>
    <row r="925" ht="15.75" customHeight="1" s="201">
      <c r="B925" s="154" t="n"/>
      <c r="C925" s="154" t="n"/>
      <c r="D925" s="154" t="n"/>
      <c r="E925" s="154" t="n"/>
      <c r="F925" s="154" t="n"/>
      <c r="G925" s="154" t="n"/>
      <c r="H925" s="154" t="n"/>
      <c r="I925" s="154" t="n"/>
      <c r="J925" s="154" t="n"/>
      <c r="K925" s="154" t="n"/>
    </row>
    <row r="926" ht="15.75" customHeight="1" s="201">
      <c r="B926" s="154" t="n"/>
      <c r="C926" s="154" t="n"/>
      <c r="D926" s="154" t="n"/>
      <c r="E926" s="154" t="n"/>
      <c r="F926" s="154" t="n"/>
      <c r="G926" s="154" t="n"/>
      <c r="H926" s="154" t="n"/>
      <c r="I926" s="154" t="n"/>
      <c r="J926" s="154" t="n"/>
      <c r="K926" s="154" t="n"/>
    </row>
    <row r="927" ht="15.75" customHeight="1" s="201">
      <c r="B927" s="154" t="n"/>
      <c r="C927" s="154" t="n"/>
      <c r="D927" s="154" t="n"/>
      <c r="E927" s="154" t="n"/>
      <c r="F927" s="154" t="n"/>
      <c r="G927" s="154" t="n"/>
      <c r="H927" s="154" t="n"/>
      <c r="I927" s="154" t="n"/>
      <c r="J927" s="154" t="n"/>
      <c r="K927" s="154" t="n"/>
    </row>
    <row r="928" ht="15.75" customHeight="1" s="201">
      <c r="B928" s="154" t="n"/>
      <c r="C928" s="154" t="n"/>
      <c r="D928" s="154" t="n"/>
      <c r="E928" s="154" t="n"/>
      <c r="F928" s="154" t="n"/>
      <c r="G928" s="154" t="n"/>
      <c r="H928" s="154" t="n"/>
      <c r="I928" s="154" t="n"/>
      <c r="J928" s="154" t="n"/>
      <c r="K928" s="154" t="n"/>
    </row>
    <row r="929" ht="15.75" customHeight="1" s="201">
      <c r="B929" s="154" t="n"/>
      <c r="C929" s="154" t="n"/>
      <c r="D929" s="154" t="n"/>
      <c r="E929" s="154" t="n"/>
      <c r="F929" s="154" t="n"/>
      <c r="G929" s="154" t="n"/>
      <c r="H929" s="154" t="n"/>
      <c r="I929" s="154" t="n"/>
      <c r="J929" s="154" t="n"/>
      <c r="K929" s="154" t="n"/>
    </row>
    <row r="930" ht="15.75" customHeight="1" s="201">
      <c r="B930" s="154" t="n"/>
      <c r="C930" s="154" t="n"/>
      <c r="D930" s="154" t="n"/>
      <c r="E930" s="154" t="n"/>
      <c r="F930" s="154" t="n"/>
      <c r="G930" s="154" t="n"/>
      <c r="H930" s="154" t="n"/>
      <c r="I930" s="154" t="n"/>
      <c r="J930" s="154" t="n"/>
      <c r="K930" s="154" t="n"/>
    </row>
    <row r="931" ht="15.75" customHeight="1" s="201">
      <c r="B931" s="154" t="n"/>
      <c r="C931" s="154" t="n"/>
      <c r="D931" s="154" t="n"/>
      <c r="E931" s="154" t="n"/>
      <c r="F931" s="154" t="n"/>
      <c r="G931" s="154" t="n"/>
      <c r="H931" s="154" t="n"/>
      <c r="I931" s="154" t="n"/>
      <c r="J931" s="154" t="n"/>
      <c r="K931" s="154" t="n"/>
    </row>
    <row r="932" ht="15.75" customHeight="1" s="201">
      <c r="B932" s="154" t="n"/>
      <c r="C932" s="154" t="n"/>
      <c r="D932" s="154" t="n"/>
      <c r="E932" s="154" t="n"/>
      <c r="F932" s="154" t="n"/>
      <c r="G932" s="154" t="n"/>
      <c r="H932" s="154" t="n"/>
      <c r="I932" s="154" t="n"/>
      <c r="J932" s="154" t="n"/>
      <c r="K932" s="154" t="n"/>
    </row>
    <row r="933" ht="15.75" customHeight="1" s="201">
      <c r="B933" s="154" t="n"/>
      <c r="C933" s="154" t="n"/>
      <c r="D933" s="154" t="n"/>
      <c r="E933" s="154" t="n"/>
      <c r="F933" s="154" t="n"/>
      <c r="G933" s="154" t="n"/>
      <c r="H933" s="154" t="n"/>
      <c r="I933" s="154" t="n"/>
      <c r="J933" s="154" t="n"/>
      <c r="K933" s="154" t="n"/>
    </row>
    <row r="934" ht="15.75" customHeight="1" s="201">
      <c r="B934" s="154" t="n"/>
      <c r="C934" s="154" t="n"/>
      <c r="D934" s="154" t="n"/>
      <c r="E934" s="154" t="n"/>
      <c r="F934" s="154" t="n"/>
      <c r="G934" s="154" t="n"/>
      <c r="H934" s="154" t="n"/>
      <c r="I934" s="154" t="n"/>
      <c r="J934" s="154" t="n"/>
      <c r="K934" s="154" t="n"/>
    </row>
    <row r="935" ht="15.75" customHeight="1" s="201">
      <c r="B935" s="154" t="n"/>
      <c r="C935" s="154" t="n"/>
      <c r="D935" s="154" t="n"/>
      <c r="E935" s="154" t="n"/>
      <c r="F935" s="154" t="n"/>
      <c r="G935" s="154" t="n"/>
      <c r="H935" s="154" t="n"/>
      <c r="I935" s="154" t="n"/>
      <c r="J935" s="154" t="n"/>
      <c r="K935" s="154" t="n"/>
    </row>
    <row r="936" ht="15.75" customHeight="1" s="201">
      <c r="B936" s="154" t="n"/>
      <c r="C936" s="154" t="n"/>
      <c r="D936" s="154" t="n"/>
      <c r="E936" s="154" t="n"/>
      <c r="F936" s="154" t="n"/>
      <c r="G936" s="154" t="n"/>
      <c r="H936" s="154" t="n"/>
      <c r="I936" s="154" t="n"/>
      <c r="J936" s="154" t="n"/>
      <c r="K936" s="154" t="n"/>
    </row>
    <row r="937" ht="15.75" customHeight="1" s="201">
      <c r="B937" s="154" t="n"/>
      <c r="C937" s="154" t="n"/>
      <c r="D937" s="154" t="n"/>
      <c r="E937" s="154" t="n"/>
      <c r="F937" s="154" t="n"/>
      <c r="G937" s="154" t="n"/>
      <c r="H937" s="154" t="n"/>
      <c r="I937" s="154" t="n"/>
      <c r="J937" s="154" t="n"/>
      <c r="K937" s="154" t="n"/>
    </row>
    <row r="938" ht="15.75" customHeight="1" s="201">
      <c r="B938" s="154" t="n"/>
      <c r="C938" s="154" t="n"/>
      <c r="D938" s="154" t="n"/>
      <c r="E938" s="154" t="n"/>
      <c r="F938" s="154" t="n"/>
      <c r="G938" s="154" t="n"/>
      <c r="H938" s="154" t="n"/>
      <c r="I938" s="154" t="n"/>
      <c r="J938" s="154" t="n"/>
      <c r="K938" s="154" t="n"/>
    </row>
    <row r="939" ht="15.75" customHeight="1" s="201">
      <c r="B939" s="154" t="n"/>
      <c r="C939" s="154" t="n"/>
      <c r="D939" s="154" t="n"/>
      <c r="E939" s="154" t="n"/>
      <c r="F939" s="154" t="n"/>
      <c r="G939" s="154" t="n"/>
      <c r="H939" s="154" t="n"/>
      <c r="I939" s="154" t="n"/>
      <c r="J939" s="154" t="n"/>
      <c r="K939" s="154" t="n"/>
    </row>
    <row r="940" ht="15.75" customHeight="1" s="201">
      <c r="B940" s="154" t="n"/>
      <c r="C940" s="154" t="n"/>
      <c r="D940" s="154" t="n"/>
      <c r="E940" s="154" t="n"/>
      <c r="F940" s="154" t="n"/>
      <c r="G940" s="154" t="n"/>
      <c r="H940" s="154" t="n"/>
      <c r="I940" s="154" t="n"/>
      <c r="J940" s="154" t="n"/>
      <c r="K940" s="154" t="n"/>
    </row>
    <row r="941" ht="15.75" customHeight="1" s="201">
      <c r="B941" s="154" t="n"/>
      <c r="C941" s="154" t="n"/>
      <c r="D941" s="154" t="n"/>
      <c r="E941" s="154" t="n"/>
      <c r="F941" s="154" t="n"/>
      <c r="G941" s="154" t="n"/>
      <c r="H941" s="154" t="n"/>
      <c r="I941" s="154" t="n"/>
      <c r="J941" s="154" t="n"/>
      <c r="K941" s="154" t="n"/>
    </row>
    <row r="942" ht="15.75" customHeight="1" s="201">
      <c r="B942" s="154" t="n"/>
      <c r="C942" s="154" t="n"/>
      <c r="D942" s="154" t="n"/>
      <c r="E942" s="154" t="n"/>
      <c r="F942" s="154" t="n"/>
      <c r="G942" s="154" t="n"/>
      <c r="H942" s="154" t="n"/>
      <c r="I942" s="154" t="n"/>
      <c r="J942" s="154" t="n"/>
      <c r="K942" s="154" t="n"/>
    </row>
    <row r="943" ht="15.75" customHeight="1" s="201">
      <c r="B943" s="154" t="n"/>
      <c r="C943" s="154" t="n"/>
      <c r="D943" s="154" t="n"/>
      <c r="E943" s="154" t="n"/>
      <c r="F943" s="154" t="n"/>
      <c r="G943" s="154" t="n"/>
      <c r="H943" s="154" t="n"/>
      <c r="I943" s="154" t="n"/>
      <c r="J943" s="154" t="n"/>
      <c r="K943" s="154" t="n"/>
    </row>
    <row r="944" ht="15.75" customHeight="1" s="201">
      <c r="B944" s="154" t="n"/>
      <c r="C944" s="154" t="n"/>
      <c r="D944" s="154" t="n"/>
      <c r="E944" s="154" t="n"/>
      <c r="F944" s="154" t="n"/>
      <c r="G944" s="154" t="n"/>
      <c r="H944" s="154" t="n"/>
      <c r="I944" s="154" t="n"/>
      <c r="J944" s="154" t="n"/>
      <c r="K944" s="154" t="n"/>
    </row>
    <row r="945" ht="15.75" customHeight="1" s="201">
      <c r="B945" s="154" t="n"/>
      <c r="C945" s="154" t="n"/>
      <c r="D945" s="154" t="n"/>
      <c r="E945" s="154" t="n"/>
      <c r="F945" s="154" t="n"/>
      <c r="G945" s="154" t="n"/>
      <c r="H945" s="154" t="n"/>
      <c r="I945" s="154" t="n"/>
      <c r="J945" s="154" t="n"/>
      <c r="K945" s="154" t="n"/>
    </row>
    <row r="946" ht="15.75" customHeight="1" s="201">
      <c r="B946" s="154" t="n"/>
      <c r="C946" s="154" t="n"/>
      <c r="D946" s="154" t="n"/>
      <c r="E946" s="154" t="n"/>
      <c r="F946" s="154" t="n"/>
      <c r="G946" s="154" t="n"/>
      <c r="H946" s="154" t="n"/>
      <c r="I946" s="154" t="n"/>
      <c r="J946" s="154" t="n"/>
      <c r="K946" s="154" t="n"/>
    </row>
    <row r="947" ht="15.75" customHeight="1" s="201">
      <c r="B947" s="154" t="n"/>
      <c r="C947" s="154" t="n"/>
      <c r="D947" s="154" t="n"/>
      <c r="E947" s="154" t="n"/>
      <c r="F947" s="154" t="n"/>
      <c r="G947" s="154" t="n"/>
      <c r="H947" s="154" t="n"/>
      <c r="I947" s="154" t="n"/>
      <c r="J947" s="154" t="n"/>
      <c r="K947" s="154" t="n"/>
    </row>
    <row r="948" ht="15.75" customHeight="1" s="201">
      <c r="B948" s="154" t="n"/>
      <c r="C948" s="154" t="n"/>
      <c r="D948" s="154" t="n"/>
      <c r="E948" s="154" t="n"/>
      <c r="F948" s="154" t="n"/>
      <c r="G948" s="154" t="n"/>
      <c r="H948" s="154" t="n"/>
      <c r="I948" s="154" t="n"/>
      <c r="J948" s="154" t="n"/>
      <c r="K948" s="154" t="n"/>
    </row>
    <row r="949" ht="15.75" customHeight="1" s="201">
      <c r="B949" s="154" t="n"/>
      <c r="C949" s="154" t="n"/>
      <c r="D949" s="154" t="n"/>
      <c r="E949" s="154" t="n"/>
      <c r="F949" s="154" t="n"/>
      <c r="G949" s="154" t="n"/>
      <c r="H949" s="154" t="n"/>
      <c r="I949" s="154" t="n"/>
      <c r="J949" s="154" t="n"/>
      <c r="K949" s="154" t="n"/>
    </row>
    <row r="950" ht="15.75" customHeight="1" s="201">
      <c r="B950" s="154" t="n"/>
      <c r="C950" s="154" t="n"/>
      <c r="D950" s="154" t="n"/>
      <c r="E950" s="154" t="n"/>
      <c r="F950" s="154" t="n"/>
      <c r="G950" s="154" t="n"/>
      <c r="H950" s="154" t="n"/>
      <c r="I950" s="154" t="n"/>
      <c r="J950" s="154" t="n"/>
      <c r="K950" s="154" t="n"/>
    </row>
    <row r="951" ht="15.75" customHeight="1" s="201">
      <c r="B951" s="154" t="n"/>
      <c r="C951" s="154" t="n"/>
      <c r="D951" s="154" t="n"/>
      <c r="E951" s="154" t="n"/>
      <c r="F951" s="154" t="n"/>
      <c r="G951" s="154" t="n"/>
      <c r="H951" s="154" t="n"/>
      <c r="I951" s="154" t="n"/>
      <c r="J951" s="154" t="n"/>
      <c r="K951" s="154" t="n"/>
    </row>
    <row r="952" ht="15.75" customHeight="1" s="201">
      <c r="B952" s="154" t="n"/>
      <c r="C952" s="154" t="n"/>
      <c r="D952" s="154" t="n"/>
      <c r="E952" s="154" t="n"/>
      <c r="F952" s="154" t="n"/>
      <c r="G952" s="154" t="n"/>
      <c r="H952" s="154" t="n"/>
      <c r="I952" s="154" t="n"/>
      <c r="J952" s="154" t="n"/>
      <c r="K952" s="154" t="n"/>
    </row>
    <row r="953" ht="15.75" customHeight="1" s="201">
      <c r="B953" s="154" t="n"/>
      <c r="C953" s="154" t="n"/>
      <c r="D953" s="154" t="n"/>
      <c r="E953" s="154" t="n"/>
      <c r="F953" s="154" t="n"/>
      <c r="G953" s="154" t="n"/>
      <c r="H953" s="154" t="n"/>
      <c r="I953" s="154" t="n"/>
      <c r="J953" s="154" t="n"/>
      <c r="K953" s="154" t="n"/>
    </row>
    <row r="954" ht="15.75" customHeight="1" s="201">
      <c r="B954" s="154" t="n"/>
      <c r="C954" s="154" t="n"/>
      <c r="D954" s="154" t="n"/>
      <c r="E954" s="154" t="n"/>
      <c r="F954" s="154" t="n"/>
      <c r="G954" s="154" t="n"/>
      <c r="H954" s="154" t="n"/>
      <c r="I954" s="154" t="n"/>
      <c r="J954" s="154" t="n"/>
      <c r="K954" s="154" t="n"/>
    </row>
    <row r="955" ht="15.75" customHeight="1" s="201">
      <c r="B955" s="154" t="n"/>
      <c r="C955" s="154" t="n"/>
      <c r="D955" s="154" t="n"/>
      <c r="E955" s="154" t="n"/>
      <c r="F955" s="154" t="n"/>
      <c r="G955" s="154" t="n"/>
      <c r="H955" s="154" t="n"/>
      <c r="I955" s="154" t="n"/>
      <c r="J955" s="154" t="n"/>
      <c r="K955" s="154" t="n"/>
    </row>
    <row r="956" ht="15.75" customHeight="1" s="201">
      <c r="B956" s="154" t="n"/>
      <c r="C956" s="154" t="n"/>
      <c r="D956" s="154" t="n"/>
      <c r="E956" s="154" t="n"/>
      <c r="F956" s="154" t="n"/>
      <c r="G956" s="154" t="n"/>
      <c r="H956" s="154" t="n"/>
      <c r="I956" s="154" t="n"/>
      <c r="J956" s="154" t="n"/>
      <c r="K956" s="154" t="n"/>
    </row>
    <row r="957" ht="15.75" customHeight="1" s="201">
      <c r="B957" s="154" t="n"/>
      <c r="C957" s="154" t="n"/>
      <c r="D957" s="154" t="n"/>
      <c r="E957" s="154" t="n"/>
      <c r="F957" s="154" t="n"/>
      <c r="G957" s="154" t="n"/>
      <c r="H957" s="154" t="n"/>
      <c r="I957" s="154" t="n"/>
      <c r="J957" s="154" t="n"/>
      <c r="K957" s="154" t="n"/>
    </row>
    <row r="958" ht="15.75" customHeight="1" s="201">
      <c r="B958" s="154" t="n"/>
      <c r="C958" s="154" t="n"/>
      <c r="D958" s="154" t="n"/>
      <c r="E958" s="154" t="n"/>
      <c r="F958" s="154" t="n"/>
      <c r="G958" s="154" t="n"/>
      <c r="H958" s="154" t="n"/>
      <c r="I958" s="154" t="n"/>
      <c r="J958" s="154" t="n"/>
      <c r="K958" s="154" t="n"/>
    </row>
    <row r="959" ht="15.75" customHeight="1" s="201">
      <c r="B959" s="154" t="n"/>
      <c r="C959" s="154" t="n"/>
      <c r="D959" s="154" t="n"/>
      <c r="E959" s="154" t="n"/>
      <c r="F959" s="154" t="n"/>
      <c r="G959" s="154" t="n"/>
      <c r="H959" s="154" t="n"/>
      <c r="I959" s="154" t="n"/>
      <c r="J959" s="154" t="n"/>
      <c r="K959" s="154" t="n"/>
    </row>
    <row r="960" ht="15.75" customHeight="1" s="201">
      <c r="B960" s="154" t="n"/>
      <c r="C960" s="154" t="n"/>
      <c r="D960" s="154" t="n"/>
      <c r="E960" s="154" t="n"/>
      <c r="F960" s="154" t="n"/>
      <c r="G960" s="154" t="n"/>
      <c r="H960" s="154" t="n"/>
      <c r="I960" s="154" t="n"/>
      <c r="J960" s="154" t="n"/>
      <c r="K960" s="154" t="n"/>
    </row>
    <row r="961" ht="15.75" customHeight="1" s="201">
      <c r="B961" s="154" t="n"/>
      <c r="C961" s="154" t="n"/>
      <c r="D961" s="154" t="n"/>
      <c r="E961" s="154" t="n"/>
      <c r="F961" s="154" t="n"/>
      <c r="G961" s="154" t="n"/>
      <c r="H961" s="154" t="n"/>
      <c r="I961" s="154" t="n"/>
      <c r="J961" s="154" t="n"/>
      <c r="K961" s="154" t="n"/>
    </row>
    <row r="962" ht="15.75" customHeight="1" s="201">
      <c r="B962" s="154" t="n"/>
      <c r="C962" s="154" t="n"/>
      <c r="D962" s="154" t="n"/>
      <c r="E962" s="154" t="n"/>
      <c r="F962" s="154" t="n"/>
      <c r="G962" s="154" t="n"/>
      <c r="H962" s="154" t="n"/>
      <c r="I962" s="154" t="n"/>
      <c r="J962" s="154" t="n"/>
      <c r="K962" s="154" t="n"/>
    </row>
    <row r="963" ht="15.75" customHeight="1" s="201">
      <c r="B963" s="154" t="n"/>
      <c r="C963" s="154" t="n"/>
      <c r="D963" s="154" t="n"/>
      <c r="E963" s="154" t="n"/>
      <c r="F963" s="154" t="n"/>
      <c r="G963" s="154" t="n"/>
      <c r="H963" s="154" t="n"/>
      <c r="I963" s="154" t="n"/>
      <c r="J963" s="154" t="n"/>
      <c r="K963" s="154" t="n"/>
    </row>
    <row r="964" ht="15.75" customHeight="1" s="201">
      <c r="B964" s="154" t="n"/>
      <c r="C964" s="154" t="n"/>
      <c r="D964" s="154" t="n"/>
      <c r="E964" s="154" t="n"/>
      <c r="F964" s="154" t="n"/>
      <c r="G964" s="154" t="n"/>
      <c r="H964" s="154" t="n"/>
      <c r="I964" s="154" t="n"/>
      <c r="J964" s="154" t="n"/>
      <c r="K964" s="154" t="n"/>
    </row>
    <row r="965" ht="15.75" customHeight="1" s="201">
      <c r="B965" s="154" t="n"/>
      <c r="C965" s="154" t="n"/>
      <c r="D965" s="154" t="n"/>
      <c r="E965" s="154" t="n"/>
      <c r="F965" s="154" t="n"/>
      <c r="G965" s="154" t="n"/>
      <c r="H965" s="154" t="n"/>
      <c r="I965" s="154" t="n"/>
      <c r="J965" s="154" t="n"/>
      <c r="K965" s="154" t="n"/>
    </row>
    <row r="966" ht="15.75" customHeight="1" s="201">
      <c r="B966" s="154" t="n"/>
      <c r="C966" s="154" t="n"/>
      <c r="D966" s="154" t="n"/>
      <c r="E966" s="154" t="n"/>
      <c r="F966" s="154" t="n"/>
      <c r="G966" s="154" t="n"/>
      <c r="H966" s="154" t="n"/>
      <c r="I966" s="154" t="n"/>
      <c r="J966" s="154" t="n"/>
      <c r="K966" s="154" t="n"/>
    </row>
    <row r="967" ht="15.75" customHeight="1" s="201">
      <c r="B967" s="154" t="n"/>
      <c r="C967" s="154" t="n"/>
      <c r="D967" s="154" t="n"/>
      <c r="E967" s="154" t="n"/>
      <c r="F967" s="154" t="n"/>
      <c r="G967" s="154" t="n"/>
      <c r="H967" s="154" t="n"/>
      <c r="I967" s="154" t="n"/>
      <c r="J967" s="154" t="n"/>
      <c r="K967" s="154" t="n"/>
    </row>
    <row r="968" ht="15.75" customHeight="1" s="201">
      <c r="B968" s="154" t="n"/>
      <c r="C968" s="154" t="n"/>
      <c r="D968" s="154" t="n"/>
      <c r="E968" s="154" t="n"/>
      <c r="F968" s="154" t="n"/>
      <c r="G968" s="154" t="n"/>
      <c r="H968" s="154" t="n"/>
      <c r="I968" s="154" t="n"/>
      <c r="J968" s="154" t="n"/>
      <c r="K968" s="154" t="n"/>
    </row>
    <row r="969" ht="15.75" customHeight="1" s="201">
      <c r="B969" s="154" t="n"/>
      <c r="C969" s="154" t="n"/>
      <c r="D969" s="154" t="n"/>
      <c r="E969" s="154" t="n"/>
      <c r="F969" s="154" t="n"/>
      <c r="G969" s="154" t="n"/>
      <c r="H969" s="154" t="n"/>
      <c r="I969" s="154" t="n"/>
      <c r="J969" s="154" t="n"/>
      <c r="K969" s="154" t="n"/>
    </row>
    <row r="970" ht="15.75" customHeight="1" s="201">
      <c r="B970" s="154" t="n"/>
      <c r="C970" s="154" t="n"/>
      <c r="D970" s="154" t="n"/>
      <c r="E970" s="154" t="n"/>
      <c r="F970" s="154" t="n"/>
      <c r="G970" s="154" t="n"/>
      <c r="H970" s="154" t="n"/>
      <c r="I970" s="154" t="n"/>
      <c r="J970" s="154" t="n"/>
      <c r="K970" s="154" t="n"/>
    </row>
    <row r="971" ht="15.75" customHeight="1" s="201">
      <c r="B971" s="154" t="n"/>
      <c r="C971" s="154" t="n"/>
      <c r="D971" s="154" t="n"/>
      <c r="E971" s="154" t="n"/>
      <c r="F971" s="154" t="n"/>
      <c r="G971" s="154" t="n"/>
      <c r="H971" s="154" t="n"/>
      <c r="I971" s="154" t="n"/>
      <c r="J971" s="154" t="n"/>
      <c r="K971" s="154" t="n"/>
    </row>
    <row r="972" ht="15.75" customHeight="1" s="201">
      <c r="B972" s="154" t="n"/>
      <c r="C972" s="154" t="n"/>
      <c r="D972" s="154" t="n"/>
      <c r="E972" s="154" t="n"/>
      <c r="F972" s="154" t="n"/>
      <c r="G972" s="154" t="n"/>
      <c r="H972" s="154" t="n"/>
      <c r="I972" s="154" t="n"/>
      <c r="J972" s="154" t="n"/>
      <c r="K972" s="154" t="n"/>
    </row>
    <row r="973" ht="15.75" customHeight="1" s="201">
      <c r="B973" s="154" t="n"/>
      <c r="C973" s="154" t="n"/>
      <c r="D973" s="154" t="n"/>
      <c r="E973" s="154" t="n"/>
      <c r="F973" s="154" t="n"/>
      <c r="G973" s="154" t="n"/>
      <c r="H973" s="154" t="n"/>
      <c r="I973" s="154" t="n"/>
      <c r="J973" s="154" t="n"/>
      <c r="K973" s="154" t="n"/>
    </row>
    <row r="974" ht="15.75" customHeight="1" s="201">
      <c r="B974" s="154" t="n"/>
      <c r="C974" s="154" t="n"/>
      <c r="D974" s="154" t="n"/>
      <c r="E974" s="154" t="n"/>
      <c r="F974" s="154" t="n"/>
      <c r="G974" s="154" t="n"/>
      <c r="H974" s="154" t="n"/>
      <c r="I974" s="154" t="n"/>
      <c r="J974" s="154" t="n"/>
      <c r="K974" s="154" t="n"/>
    </row>
    <row r="975" ht="15.75" customHeight="1" s="201">
      <c r="B975" s="154" t="n"/>
      <c r="C975" s="154" t="n"/>
      <c r="D975" s="154" t="n"/>
      <c r="E975" s="154" t="n"/>
      <c r="F975" s="154" t="n"/>
      <c r="G975" s="154" t="n"/>
      <c r="H975" s="154" t="n"/>
      <c r="I975" s="154" t="n"/>
      <c r="J975" s="154" t="n"/>
      <c r="K975" s="154" t="n"/>
    </row>
    <row r="976" ht="15.75" customHeight="1" s="201">
      <c r="B976" s="154" t="n"/>
      <c r="C976" s="154" t="n"/>
      <c r="D976" s="154" t="n"/>
      <c r="E976" s="154" t="n"/>
      <c r="F976" s="154" t="n"/>
      <c r="G976" s="154" t="n"/>
      <c r="H976" s="154" t="n"/>
      <c r="I976" s="154" t="n"/>
      <c r="J976" s="154" t="n"/>
      <c r="K976" s="154" t="n"/>
    </row>
    <row r="977" ht="15.75" customHeight="1" s="201">
      <c r="B977" s="154" t="n"/>
      <c r="C977" s="154" t="n"/>
      <c r="D977" s="154" t="n"/>
      <c r="E977" s="154" t="n"/>
      <c r="F977" s="154" t="n"/>
      <c r="G977" s="154" t="n"/>
      <c r="H977" s="154" t="n"/>
      <c r="I977" s="154" t="n"/>
      <c r="J977" s="154" t="n"/>
      <c r="K977" s="154" t="n"/>
    </row>
    <row r="978" ht="15.75" customHeight="1" s="201">
      <c r="B978" s="154" t="n"/>
      <c r="C978" s="154" t="n"/>
      <c r="D978" s="154" t="n"/>
      <c r="E978" s="154" t="n"/>
      <c r="F978" s="154" t="n"/>
      <c r="G978" s="154" t="n"/>
      <c r="H978" s="154" t="n"/>
      <c r="I978" s="154" t="n"/>
      <c r="J978" s="154" t="n"/>
      <c r="K978" s="154" t="n"/>
    </row>
    <row r="979" ht="15.75" customHeight="1" s="201">
      <c r="B979" s="154" t="n"/>
      <c r="C979" s="154" t="n"/>
      <c r="D979" s="154" t="n"/>
      <c r="E979" s="154" t="n"/>
      <c r="F979" s="154" t="n"/>
      <c r="G979" s="154" t="n"/>
      <c r="H979" s="154" t="n"/>
      <c r="I979" s="154" t="n"/>
      <c r="J979" s="154" t="n"/>
      <c r="K979" s="154" t="n"/>
    </row>
    <row r="980" ht="15.75" customHeight="1" s="201">
      <c r="B980" s="154" t="n"/>
      <c r="C980" s="154" t="n"/>
      <c r="D980" s="154" t="n"/>
      <c r="E980" s="154" t="n"/>
      <c r="F980" s="154" t="n"/>
      <c r="G980" s="154" t="n"/>
      <c r="H980" s="154" t="n"/>
      <c r="I980" s="154" t="n"/>
      <c r="J980" s="154" t="n"/>
      <c r="K980" s="154" t="n"/>
    </row>
    <row r="981" ht="15.75" customHeight="1" s="201">
      <c r="B981" s="154" t="n"/>
      <c r="C981" s="154" t="n"/>
      <c r="D981" s="154" t="n"/>
      <c r="E981" s="154" t="n"/>
      <c r="F981" s="154" t="n"/>
      <c r="G981" s="154" t="n"/>
      <c r="H981" s="154" t="n"/>
      <c r="I981" s="154" t="n"/>
      <c r="J981" s="154" t="n"/>
      <c r="K981" s="154" t="n"/>
    </row>
    <row r="982" ht="15.75" customHeight="1" s="201">
      <c r="B982" s="154" t="n"/>
      <c r="C982" s="154" t="n"/>
      <c r="D982" s="154" t="n"/>
      <c r="E982" s="154" t="n"/>
      <c r="F982" s="154" t="n"/>
      <c r="G982" s="154" t="n"/>
      <c r="H982" s="154" t="n"/>
      <c r="I982" s="154" t="n"/>
      <c r="J982" s="154" t="n"/>
      <c r="K982" s="154" t="n"/>
    </row>
    <row r="983" ht="15.75" customHeight="1" s="201">
      <c r="B983" s="154" t="n"/>
      <c r="C983" s="154" t="n"/>
      <c r="D983" s="154" t="n"/>
      <c r="E983" s="154" t="n"/>
      <c r="F983" s="154" t="n"/>
      <c r="G983" s="154" t="n"/>
      <c r="H983" s="154" t="n"/>
      <c r="I983" s="154" t="n"/>
      <c r="J983" s="154" t="n"/>
      <c r="K983" s="154" t="n"/>
    </row>
    <row r="984" ht="15.75" customHeight="1" s="201">
      <c r="B984" s="154" t="n"/>
      <c r="C984" s="154" t="n"/>
      <c r="D984" s="154" t="n"/>
      <c r="E984" s="154" t="n"/>
      <c r="F984" s="154" t="n"/>
      <c r="G984" s="154" t="n"/>
      <c r="H984" s="154" t="n"/>
      <c r="I984" s="154" t="n"/>
      <c r="J984" s="154" t="n"/>
      <c r="K984" s="154" t="n"/>
    </row>
    <row r="985" ht="15.75" customHeight="1" s="201">
      <c r="B985" s="154" t="n"/>
      <c r="C985" s="154" t="n"/>
      <c r="D985" s="154" t="n"/>
      <c r="E985" s="154" t="n"/>
      <c r="F985" s="154" t="n"/>
      <c r="G985" s="154" t="n"/>
      <c r="H985" s="154" t="n"/>
      <c r="I985" s="154" t="n"/>
      <c r="J985" s="154" t="n"/>
      <c r="K985" s="154" t="n"/>
    </row>
    <row r="986" ht="15.75" customHeight="1" s="201">
      <c r="B986" s="154" t="n"/>
      <c r="C986" s="154" t="n"/>
      <c r="D986" s="154" t="n"/>
      <c r="E986" s="154" t="n"/>
      <c r="F986" s="154" t="n"/>
      <c r="G986" s="154" t="n"/>
      <c r="H986" s="154" t="n"/>
      <c r="I986" s="154" t="n"/>
      <c r="J986" s="154" t="n"/>
      <c r="K986" s="154" t="n"/>
    </row>
    <row r="987" ht="15.75" customHeight="1" s="201">
      <c r="B987" s="154" t="n"/>
      <c r="C987" s="154" t="n"/>
      <c r="D987" s="154" t="n"/>
      <c r="E987" s="154" t="n"/>
      <c r="F987" s="154" t="n"/>
      <c r="G987" s="154" t="n"/>
      <c r="H987" s="154" t="n"/>
      <c r="I987" s="154" t="n"/>
      <c r="J987" s="154" t="n"/>
      <c r="K987" s="154" t="n"/>
    </row>
    <row r="988" ht="15.75" customHeight="1" s="201">
      <c r="B988" s="154" t="n"/>
      <c r="C988" s="154" t="n"/>
      <c r="D988" s="154" t="n"/>
      <c r="E988" s="154" t="n"/>
      <c r="F988" s="154" t="n"/>
      <c r="G988" s="154" t="n"/>
      <c r="H988" s="154" t="n"/>
      <c r="I988" s="154" t="n"/>
      <c r="J988" s="154" t="n"/>
      <c r="K988" s="154" t="n"/>
    </row>
    <row r="989" ht="15.75" customHeight="1" s="201">
      <c r="B989" s="154" t="n"/>
      <c r="C989" s="154" t="n"/>
      <c r="D989" s="154" t="n"/>
      <c r="E989" s="154" t="n"/>
      <c r="F989" s="154" t="n"/>
      <c r="G989" s="154" t="n"/>
      <c r="H989" s="154" t="n"/>
      <c r="I989" s="154" t="n"/>
      <c r="J989" s="154" t="n"/>
      <c r="K989" s="154" t="n"/>
    </row>
    <row r="990" ht="15.75" customHeight="1" s="201">
      <c r="B990" s="154" t="n"/>
      <c r="C990" s="154" t="n"/>
      <c r="D990" s="154" t="n"/>
      <c r="E990" s="154" t="n"/>
      <c r="F990" s="154" t="n"/>
      <c r="G990" s="154" t="n"/>
      <c r="H990" s="154" t="n"/>
      <c r="I990" s="154" t="n"/>
      <c r="J990" s="154" t="n"/>
      <c r="K990" s="154" t="n"/>
    </row>
    <row r="991" ht="15.75" customHeight="1" s="201">
      <c r="B991" s="154" t="n"/>
      <c r="C991" s="154" t="n"/>
      <c r="D991" s="154" t="n"/>
      <c r="E991" s="154" t="n"/>
      <c r="F991" s="154" t="n"/>
      <c r="G991" s="154" t="n"/>
      <c r="H991" s="154" t="n"/>
      <c r="I991" s="154" t="n"/>
      <c r="J991" s="154" t="n"/>
      <c r="K991" s="154" t="n"/>
    </row>
    <row r="992" ht="15.75" customHeight="1" s="201">
      <c r="B992" s="154" t="n"/>
      <c r="C992" s="154" t="n"/>
      <c r="D992" s="154" t="n"/>
      <c r="E992" s="154" t="n"/>
      <c r="F992" s="154" t="n"/>
      <c r="G992" s="154" t="n"/>
      <c r="H992" s="154" t="n"/>
      <c r="I992" s="154" t="n"/>
      <c r="J992" s="154" t="n"/>
      <c r="K992" s="154" t="n"/>
    </row>
    <row r="993" ht="15.75" customHeight="1" s="201">
      <c r="B993" s="154" t="n"/>
      <c r="C993" s="154" t="n"/>
      <c r="D993" s="154" t="n"/>
      <c r="E993" s="154" t="n"/>
      <c r="F993" s="154" t="n"/>
      <c r="G993" s="154" t="n"/>
      <c r="H993" s="154" t="n"/>
      <c r="I993" s="154" t="n"/>
      <c r="J993" s="154" t="n"/>
      <c r="K993" s="154" t="n"/>
    </row>
    <row r="994" ht="15.75" customHeight="1" s="201">
      <c r="B994" s="154" t="n"/>
      <c r="C994" s="154" t="n"/>
      <c r="D994" s="154" t="n"/>
      <c r="E994" s="154" t="n"/>
      <c r="F994" s="154" t="n"/>
      <c r="G994" s="154" t="n"/>
      <c r="H994" s="154" t="n"/>
      <c r="I994" s="154" t="n"/>
      <c r="J994" s="154" t="n"/>
      <c r="K994" s="154" t="n"/>
    </row>
    <row r="995" ht="15.75" customHeight="1" s="201">
      <c r="B995" s="154" t="n"/>
      <c r="C995" s="154" t="n"/>
      <c r="D995" s="154" t="n"/>
      <c r="E995" s="154" t="n"/>
      <c r="F995" s="154" t="n"/>
      <c r="G995" s="154" t="n"/>
      <c r="H995" s="154" t="n"/>
      <c r="I995" s="154" t="n"/>
      <c r="J995" s="154" t="n"/>
      <c r="K995" s="154" t="n"/>
    </row>
    <row r="996" ht="15.75" customHeight="1" s="201">
      <c r="B996" s="154" t="n"/>
      <c r="C996" s="154" t="n"/>
      <c r="D996" s="154" t="n"/>
      <c r="E996" s="154" t="n"/>
      <c r="F996" s="154" t="n"/>
      <c r="G996" s="154" t="n"/>
      <c r="H996" s="154" t="n"/>
      <c r="I996" s="154" t="n"/>
      <c r="J996" s="154" t="n"/>
      <c r="K996" s="154" t="n"/>
    </row>
    <row r="997" ht="15.75" customHeight="1" s="201">
      <c r="B997" s="154" t="n"/>
      <c r="C997" s="154" t="n"/>
      <c r="D997" s="154" t="n"/>
      <c r="E997" s="154" t="n"/>
      <c r="F997" s="154" t="n"/>
      <c r="G997" s="154" t="n"/>
      <c r="H997" s="154" t="n"/>
      <c r="I997" s="154" t="n"/>
      <c r="J997" s="154" t="n"/>
      <c r="K997" s="154" t="n"/>
    </row>
    <row r="998" ht="15.75" customHeight="1" s="201">
      <c r="B998" s="154" t="n"/>
      <c r="C998" s="154" t="n"/>
      <c r="D998" s="154" t="n"/>
      <c r="E998" s="154" t="n"/>
      <c r="F998" s="154" t="n"/>
      <c r="G998" s="154" t="n"/>
      <c r="H998" s="154" t="n"/>
      <c r="I998" s="154" t="n"/>
      <c r="J998" s="154" t="n"/>
      <c r="K998" s="154" t="n"/>
    </row>
    <row r="999" ht="15.75" customHeight="1" s="201">
      <c r="B999" s="154" t="n"/>
      <c r="C999" s="154" t="n"/>
      <c r="D999" s="154" t="n"/>
      <c r="E999" s="154" t="n"/>
      <c r="F999" s="154" t="n"/>
      <c r="G999" s="154" t="n"/>
      <c r="H999" s="154" t="n"/>
      <c r="I999" s="154" t="n"/>
      <c r="J999" s="154" t="n"/>
      <c r="K999" s="154" t="n"/>
    </row>
    <row r="1000" ht="15.75" customHeight="1" s="201">
      <c r="B1000" s="154" t="n"/>
      <c r="C1000" s="154" t="n"/>
      <c r="D1000" s="154" t="n"/>
      <c r="E1000" s="154" t="n"/>
      <c r="F1000" s="154" t="n"/>
      <c r="G1000" s="154" t="n"/>
      <c r="H1000" s="154" t="n"/>
      <c r="I1000" s="154" t="n"/>
      <c r="J1000" s="154" t="n"/>
      <c r="K1000" s="154" t="n"/>
    </row>
  </sheetData>
  <mergeCells count="3">
    <mergeCell ref="H2:L2"/>
    <mergeCell ref="C2:G2"/>
    <mergeCell ref="M2:Q2"/>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J321"/>
  <sheetViews>
    <sheetView workbookViewId="0">
      <selection activeCell="A1" sqref="A1"/>
    </sheetView>
  </sheetViews>
  <sheetFormatPr baseColWidth="8" defaultColWidth="12.63" defaultRowHeight="15" customHeight="1"/>
  <cols>
    <col width="18.5" customWidth="1" style="201" min="1" max="1"/>
    <col width="29.88" customWidth="1" style="201" min="2" max="2"/>
    <col width="33.5" customWidth="1" style="201" min="3" max="3"/>
    <col width="20.13" customWidth="1" style="201" min="4" max="4"/>
    <col width="16" customWidth="1" style="201" min="5" max="5"/>
    <col width="33.38" customWidth="1" style="201" min="6" max="6"/>
    <col width="33.5" customWidth="1" style="201" min="7" max="7"/>
    <col width="30.5" customWidth="1" style="201" min="8" max="8"/>
    <col width="36.5" customWidth="1" style="201" min="9" max="9"/>
    <col width="8.880000000000001" customWidth="1" style="201" min="10" max="26"/>
  </cols>
  <sheetData>
    <row r="1">
      <c r="A1" s="165" t="inlineStr">
        <is>
          <t> </t>
        </is>
      </c>
      <c r="B1" s="165" t="inlineStr">
        <is>
          <t>Food commodity ITEM</t>
        </is>
      </c>
      <c r="C1" s="167" t="inlineStr">
        <is>
          <t>Water Footprint liters water/kg o liter of food ITEM</t>
        </is>
      </c>
      <c r="D1" s="165" t="inlineStr">
        <is>
          <t>Uncertainty    low  (L)  high (H)</t>
        </is>
      </c>
      <c r="E1" s="165" t="inlineStr">
        <is>
          <t>Suggested WF value</t>
        </is>
      </c>
      <c r="F1" s="165" t="inlineStr">
        <is>
          <t>Food commodity TYPOLOGY</t>
        </is>
      </c>
      <c r="G1" s="167" t="inlineStr">
        <is>
          <t>Water Footprint cc water/g o cc of food TYPOLOGY</t>
        </is>
      </c>
      <c r="H1" s="165" t="inlineStr">
        <is>
          <t>Food commodity sub-TYPOLOGY</t>
        </is>
      </c>
      <c r="I1" s="168" t="inlineStr">
        <is>
          <t>Water Footprint cc water/g o cc of food sub-TYPOLOGY</t>
        </is>
      </c>
      <c r="J1" t="inlineStr">
        <is>
          <t>food_code</t>
        </is>
      </c>
    </row>
    <row r="2">
      <c r="A2" s="169" t="inlineStr">
        <is>
          <t>AGRICULTURAL PROCESSED</t>
        </is>
      </c>
      <c r="B2" s="169" t="inlineStr">
        <is>
          <t>APPLE JUICE</t>
        </is>
      </c>
      <c r="C2" s="169" t="n">
        <v>1140</v>
      </c>
      <c r="D2" s="170" t="inlineStr">
        <is>
          <t>L</t>
        </is>
      </c>
      <c r="E2" s="169" t="inlineStr">
        <is>
          <t>ok item</t>
        </is>
      </c>
      <c r="F2" s="169" t="inlineStr">
        <is>
          <t>JUICE</t>
        </is>
      </c>
      <c r="G2" s="169" t="n">
        <v>1019</v>
      </c>
      <c r="H2" s="171" t="inlineStr">
        <is>
          <t>-</t>
        </is>
      </c>
      <c r="I2" s="172" t="inlineStr">
        <is>
          <t>-</t>
        </is>
      </c>
      <c r="J2" t="n">
        <v>64100110</v>
      </c>
    </row>
    <row r="3">
      <c r="A3" s="5" t="inlineStr">
        <is>
          <t>AGRICULTURAL PROCESSED</t>
        </is>
      </c>
      <c r="B3" s="5" t="inlineStr">
        <is>
          <t>BARLEY FLAKES</t>
        </is>
      </c>
      <c r="C3" s="5" t="n">
        <v>1977</v>
      </c>
      <c r="D3" s="15" t="inlineStr">
        <is>
          <t>L</t>
        </is>
      </c>
      <c r="E3" s="5" t="inlineStr">
        <is>
          <t>ok item</t>
        </is>
      </c>
      <c r="F3" s="5" t="inlineStr">
        <is>
          <t>BREAKFAST CEREALS</t>
        </is>
      </c>
      <c r="G3" s="5" t="n">
        <v>2196</v>
      </c>
      <c r="H3" s="173" t="inlineStr">
        <is>
          <t>-</t>
        </is>
      </c>
      <c r="I3" s="174" t="inlineStr">
        <is>
          <t>-</t>
        </is>
      </c>
      <c r="J3" t="n">
        <v>58401010</v>
      </c>
    </row>
    <row r="4">
      <c r="A4" s="5" t="inlineStr">
        <is>
          <t>AGRICULTURAL PROCESSED</t>
        </is>
      </c>
      <c r="B4" s="5" t="inlineStr">
        <is>
          <t>BEANS (F)</t>
        </is>
      </c>
      <c r="C4" s="5" t="n">
        <v>801</v>
      </c>
      <c r="D4" s="175" t="inlineStr">
        <is>
          <t>L</t>
        </is>
      </c>
      <c r="E4" s="5" t="inlineStr">
        <is>
          <t>ok item</t>
        </is>
      </c>
      <c r="F4" s="5" t="inlineStr">
        <is>
          <t>VEGETABLES FROZEN</t>
        </is>
      </c>
      <c r="G4" s="5" t="n">
        <v>750</v>
      </c>
      <c r="H4" s="173" t="inlineStr">
        <is>
          <t>-</t>
        </is>
      </c>
      <c r="I4" s="174" t="inlineStr">
        <is>
          <t>-</t>
        </is>
      </c>
      <c r="J4" t="n">
        <v>41202510</v>
      </c>
    </row>
    <row r="5">
      <c r="A5" s="5" t="inlineStr">
        <is>
          <t>AGRICULTURAL PROCESSED</t>
        </is>
      </c>
      <c r="B5" s="5" t="inlineStr">
        <is>
          <t>BEER*</t>
        </is>
      </c>
      <c r="C5" s="5" t="n">
        <v>155</v>
      </c>
      <c r="D5" s="15" t="inlineStr">
        <is>
          <t>H</t>
        </is>
      </c>
      <c r="E5" s="5" t="inlineStr">
        <is>
          <t>item matching typology</t>
        </is>
      </c>
      <c r="F5" s="5" t="inlineStr">
        <is>
          <t>BEER*</t>
        </is>
      </c>
      <c r="G5" s="5" t="n">
        <v>155</v>
      </c>
      <c r="H5" s="173" t="inlineStr">
        <is>
          <t>-</t>
        </is>
      </c>
      <c r="I5" s="174" t="inlineStr">
        <is>
          <t>-</t>
        </is>
      </c>
      <c r="J5" t="n">
        <v>92803000</v>
      </c>
    </row>
    <row r="6">
      <c r="A6" s="5" t="inlineStr">
        <is>
          <t>AGRICULTURAL PROCESSED</t>
        </is>
      </c>
      <c r="B6" s="5" t="inlineStr">
        <is>
          <t>BEET SUGAR</t>
        </is>
      </c>
      <c r="C6" s="5" t="n">
        <v>865</v>
      </c>
      <c r="D6" s="175" t="inlineStr">
        <is>
          <t>L</t>
        </is>
      </c>
      <c r="E6" s="5" t="inlineStr">
        <is>
          <t>ok item</t>
        </is>
      </c>
      <c r="F6" s="5" t="inlineStr">
        <is>
          <t>SUGAR</t>
        </is>
      </c>
      <c r="G6" s="5" t="n">
        <v>1294</v>
      </c>
      <c r="H6" s="173" t="inlineStr">
        <is>
          <t>-</t>
        </is>
      </c>
      <c r="I6" s="174" t="inlineStr">
        <is>
          <t>-</t>
        </is>
      </c>
      <c r="J6" t="n">
        <v>42202100</v>
      </c>
    </row>
    <row r="7">
      <c r="A7" s="5" t="inlineStr">
        <is>
          <t>AGRICULTURAL PROCESSED</t>
        </is>
      </c>
      <c r="B7" s="5" t="inlineStr">
        <is>
          <t>BREAD</t>
        </is>
      </c>
      <c r="C7" s="5" t="n">
        <v>667</v>
      </c>
      <c r="D7" s="15" t="inlineStr">
        <is>
          <t>L</t>
        </is>
      </c>
      <c r="E7" s="5" t="inlineStr">
        <is>
          <t>ok item</t>
        </is>
      </c>
      <c r="F7" s="5" t="inlineStr">
        <is>
          <t>BREAD</t>
        </is>
      </c>
      <c r="G7" s="5" t="n">
        <v>902</v>
      </c>
      <c r="H7" s="173" t="inlineStr">
        <is>
          <t>-</t>
        </is>
      </c>
      <c r="I7" s="174" t="inlineStr">
        <is>
          <t>-</t>
        </is>
      </c>
      <c r="J7" t="n">
        <v>52405010</v>
      </c>
    </row>
    <row r="8">
      <c r="A8" s="5" t="inlineStr">
        <is>
          <t>AGRICULTURAL PROCESSED</t>
        </is>
      </c>
      <c r="B8" s="5" t="inlineStr">
        <is>
          <t>BREAD MULTICEREAL**</t>
        </is>
      </c>
      <c r="C8" s="5" t="n">
        <v>771</v>
      </c>
      <c r="D8" s="15" t="inlineStr">
        <is>
          <t>L</t>
        </is>
      </c>
      <c r="E8" s="5" t="inlineStr">
        <is>
          <t>better typology</t>
        </is>
      </c>
      <c r="F8" s="5" t="inlineStr">
        <is>
          <t>BREAD</t>
        </is>
      </c>
      <c r="G8" s="5" t="n">
        <v>902</v>
      </c>
      <c r="H8" s="173" t="inlineStr">
        <is>
          <t>-</t>
        </is>
      </c>
      <c r="I8" s="174" t="inlineStr">
        <is>
          <t>-</t>
        </is>
      </c>
      <c r="J8" t="n">
        <v>52405010</v>
      </c>
    </row>
    <row r="9">
      <c r="A9" s="5" t="inlineStr">
        <is>
          <t>AGRICULTURAL PROCESSED</t>
        </is>
      </c>
      <c r="B9" s="5" t="inlineStr">
        <is>
          <t>BREAD PLAIN**</t>
        </is>
      </c>
      <c r="C9" s="5" t="n">
        <v>1031</v>
      </c>
      <c r="D9" s="15" t="inlineStr">
        <is>
          <t>L</t>
        </is>
      </c>
      <c r="E9" s="5" t="inlineStr">
        <is>
          <t>ok item</t>
        </is>
      </c>
      <c r="F9" s="5" t="inlineStr">
        <is>
          <t>BREAD</t>
        </is>
      </c>
      <c r="G9" s="5" t="n">
        <v>902</v>
      </c>
      <c r="H9" s="173" t="inlineStr">
        <is>
          <t>-</t>
        </is>
      </c>
      <c r="I9" s="174" t="inlineStr">
        <is>
          <t>-</t>
        </is>
      </c>
      <c r="J9" t="n">
        <v>52405010</v>
      </c>
    </row>
    <row r="10">
      <c r="A10" s="5" t="inlineStr">
        <is>
          <t>AGRICULTURAL PROCESSED</t>
        </is>
      </c>
      <c r="B10" s="5" t="inlineStr">
        <is>
          <t>BREAD WHOLE**</t>
        </is>
      </c>
      <c r="C10" s="5" t="n">
        <v>887</v>
      </c>
      <c r="D10" s="15" t="inlineStr">
        <is>
          <t>L</t>
        </is>
      </c>
      <c r="E10" s="5" t="inlineStr">
        <is>
          <t>ok item</t>
        </is>
      </c>
      <c r="F10" s="5" t="inlineStr">
        <is>
          <t>BREAD</t>
        </is>
      </c>
      <c r="G10" s="5" t="n">
        <v>902</v>
      </c>
      <c r="H10" s="173" t="inlineStr">
        <is>
          <t>-</t>
        </is>
      </c>
      <c r="I10" s="174" t="inlineStr">
        <is>
          <t>-</t>
        </is>
      </c>
      <c r="J10" t="n">
        <v>14640006</v>
      </c>
    </row>
    <row r="11">
      <c r="A11" s="5" t="inlineStr">
        <is>
          <t>AGRICULTURAL PROCESSED</t>
        </is>
      </c>
      <c r="B11" s="5" t="inlineStr">
        <is>
          <t>CAKES AND CROISSANT**</t>
        </is>
      </c>
      <c r="C11" s="5" t="n">
        <v>1640</v>
      </c>
      <c r="D11" s="175" t="inlineStr">
        <is>
          <t>L</t>
        </is>
      </c>
      <c r="E11" s="5" t="inlineStr">
        <is>
          <t>ok item</t>
        </is>
      </c>
      <c r="F11" s="5" t="inlineStr">
        <is>
          <t>SWEETS</t>
        </is>
      </c>
      <c r="G11" s="5" t="n">
        <v>2158</v>
      </c>
      <c r="H11" s="173" t="inlineStr">
        <is>
          <t>-</t>
        </is>
      </c>
      <c r="I11" s="174" t="inlineStr">
        <is>
          <t>-</t>
        </is>
      </c>
      <c r="J11" t="n">
        <v>53109200</v>
      </c>
    </row>
    <row r="12">
      <c r="A12" s="5" t="inlineStr">
        <is>
          <t>AGRICULTURAL PROCESSED</t>
        </is>
      </c>
      <c r="B12" s="5" t="inlineStr">
        <is>
          <t>CANE MOLASSE</t>
        </is>
      </c>
      <c r="C12" s="5" t="n">
        <v>527</v>
      </c>
      <c r="D12" s="175" t="inlineStr">
        <is>
          <t>L</t>
        </is>
      </c>
      <c r="E12" s="5" t="inlineStr">
        <is>
          <t>ok item</t>
        </is>
      </c>
      <c r="F12" s="5" t="inlineStr">
        <is>
          <t>SUGAR</t>
        </is>
      </c>
      <c r="G12" s="5" t="n">
        <v>1294</v>
      </c>
      <c r="H12" s="173" t="inlineStr">
        <is>
          <t>-</t>
        </is>
      </c>
      <c r="I12" s="174" t="inlineStr">
        <is>
          <t>-</t>
        </is>
      </c>
      <c r="J12" t="n">
        <v>91300100</v>
      </c>
    </row>
    <row r="13">
      <c r="A13" s="5" t="inlineStr">
        <is>
          <t>AGRICULTURAL PROCESSED</t>
        </is>
      </c>
      <c r="B13" s="5" t="inlineStr">
        <is>
          <t>CANE SUGAR</t>
        </is>
      </c>
      <c r="C13" s="5" t="n">
        <v>1724</v>
      </c>
      <c r="D13" s="175" t="inlineStr">
        <is>
          <t>L</t>
        </is>
      </c>
      <c r="E13" s="5" t="inlineStr">
        <is>
          <t>ok item</t>
        </is>
      </c>
      <c r="F13" s="5" t="inlineStr">
        <is>
          <t>SUGAR</t>
        </is>
      </c>
      <c r="G13" s="5" t="n">
        <v>1294</v>
      </c>
      <c r="H13" s="173" t="inlineStr">
        <is>
          <t>-</t>
        </is>
      </c>
      <c r="I13" s="174" t="inlineStr">
        <is>
          <t>-</t>
        </is>
      </c>
      <c r="J13" t="n">
        <v>42202100</v>
      </c>
    </row>
    <row r="14">
      <c r="A14" s="5" t="inlineStr">
        <is>
          <t>AGRICULTURAL PROCESSED</t>
        </is>
      </c>
      <c r="B14" s="5" t="inlineStr">
        <is>
          <t>CASSAVA FLOUR</t>
        </is>
      </c>
      <c r="C14" s="5" t="n">
        <v>1878</v>
      </c>
      <c r="D14" s="175" t="inlineStr">
        <is>
          <t>L</t>
        </is>
      </c>
      <c r="E14" s="5" t="inlineStr">
        <is>
          <t>ok item</t>
        </is>
      </c>
      <c r="F14" s="5" t="inlineStr">
        <is>
          <t>STARCHY ROOT FLOUR</t>
        </is>
      </c>
      <c r="G14" s="5" t="n">
        <v>1657</v>
      </c>
      <c r="H14" s="173" t="inlineStr">
        <is>
          <t>-</t>
        </is>
      </c>
      <c r="I14" s="174" t="inlineStr">
        <is>
          <t>-</t>
        </is>
      </c>
      <c r="J14" t="n">
        <v>52215350</v>
      </c>
    </row>
    <row r="15">
      <c r="A15" s="5" t="inlineStr">
        <is>
          <t>AGRICULTURAL PROCESSED</t>
        </is>
      </c>
      <c r="B15" s="5" t="inlineStr">
        <is>
          <t>CHOCOLATE</t>
        </is>
      </c>
      <c r="C15" s="5" t="n">
        <v>17196</v>
      </c>
      <c r="D15" s="15" t="inlineStr">
        <is>
          <t>L</t>
        </is>
      </c>
      <c r="E15" s="5" t="inlineStr">
        <is>
          <t>ok item</t>
        </is>
      </c>
      <c r="F15" s="5" t="inlineStr">
        <is>
          <t>COCOA DERIVATES</t>
        </is>
      </c>
      <c r="G15" s="5" t="n">
        <v>20717</v>
      </c>
      <c r="H15" s="173" t="inlineStr">
        <is>
          <t>-</t>
        </is>
      </c>
      <c r="I15" s="174" t="inlineStr">
        <is>
          <t>-</t>
        </is>
      </c>
      <c r="J15" t="n">
        <v>53108200</v>
      </c>
    </row>
    <row r="16">
      <c r="A16" s="5" t="inlineStr">
        <is>
          <t>AGRICULTURAL PROCESSED</t>
        </is>
      </c>
      <c r="B16" s="5" t="inlineStr">
        <is>
          <t>CHOCOLATE OR CREAM FILLED COOKIES**</t>
        </is>
      </c>
      <c r="C16" s="5" t="n">
        <v>2902</v>
      </c>
      <c r="D16" s="15" t="inlineStr">
        <is>
          <t>L</t>
        </is>
      </c>
      <c r="E16" s="5" t="inlineStr">
        <is>
          <t>ok item</t>
        </is>
      </c>
      <c r="F16" s="5" t="inlineStr">
        <is>
          <t>BISCUITS</t>
        </is>
      </c>
      <c r="G16" s="5" t="n">
        <v>1870</v>
      </c>
      <c r="H16" s="173" t="inlineStr">
        <is>
          <t>-</t>
        </is>
      </c>
      <c r="I16" s="174" t="inlineStr">
        <is>
          <t>-</t>
        </is>
      </c>
      <c r="J16" t="n">
        <v>53108200</v>
      </c>
    </row>
    <row r="17">
      <c r="A17" s="5" t="inlineStr">
        <is>
          <t>AGRICULTURAL PROCESSED</t>
        </is>
      </c>
      <c r="B17" s="5" t="inlineStr">
        <is>
          <t>COCOA BUTTER</t>
        </is>
      </c>
      <c r="C17" s="5" t="n">
        <v>33938</v>
      </c>
      <c r="D17" s="15" t="inlineStr">
        <is>
          <t>L</t>
        </is>
      </c>
      <c r="E17" s="5" t="inlineStr">
        <is>
          <t>ok item</t>
        </is>
      </c>
      <c r="F17" s="5" t="inlineStr">
        <is>
          <t>COCOA DERIVATES</t>
        </is>
      </c>
      <c r="G17" s="5" t="n">
        <v>20717</v>
      </c>
      <c r="H17" s="173" t="inlineStr">
        <is>
          <t>-</t>
        </is>
      </c>
      <c r="I17" s="174" t="inlineStr">
        <is>
          <t>-</t>
        </is>
      </c>
      <c r="J17" t="n">
        <v>54328100</v>
      </c>
    </row>
    <row r="18">
      <c r="A18" s="5" t="inlineStr">
        <is>
          <t>AGRICULTURAL PROCESSED</t>
        </is>
      </c>
      <c r="B18" s="5" t="inlineStr">
        <is>
          <t>COCOA CAKES AND CROISSANT**</t>
        </is>
      </c>
      <c r="C18" s="5" t="n">
        <v>3468</v>
      </c>
      <c r="D18" s="175" t="inlineStr">
        <is>
          <t>L</t>
        </is>
      </c>
      <c r="E18" s="5" t="inlineStr">
        <is>
          <t>ok item</t>
        </is>
      </c>
      <c r="F18" s="5" t="inlineStr">
        <is>
          <t>SWEETS</t>
        </is>
      </c>
      <c r="G18" s="5" t="n">
        <v>2158</v>
      </c>
      <c r="H18" s="173" t="inlineStr">
        <is>
          <t>-</t>
        </is>
      </c>
      <c r="I18" s="174" t="inlineStr">
        <is>
          <t>-</t>
        </is>
      </c>
      <c r="J18" t="n">
        <v>53109200</v>
      </c>
    </row>
    <row r="19">
      <c r="A19" s="5" t="inlineStr">
        <is>
          <t>AGRICULTURAL PROCESSED</t>
        </is>
      </c>
      <c r="B19" s="5" t="inlineStr">
        <is>
          <t>COCOA PASTE</t>
        </is>
      </c>
      <c r="C19" s="5" t="n">
        <v>24238</v>
      </c>
      <c r="D19" s="15" t="inlineStr">
        <is>
          <t>L</t>
        </is>
      </c>
      <c r="E19" s="5" t="inlineStr">
        <is>
          <t>ok item</t>
        </is>
      </c>
      <c r="F19" s="5" t="inlineStr">
        <is>
          <t>COCOA DERIVATES</t>
        </is>
      </c>
      <c r="G19" s="5" t="n">
        <v>20717</v>
      </c>
      <c r="H19" s="173" t="inlineStr">
        <is>
          <t>-</t>
        </is>
      </c>
      <c r="I19" s="174" t="inlineStr">
        <is>
          <t>-</t>
        </is>
      </c>
      <c r="J19" t="n">
        <v>11514100</v>
      </c>
    </row>
    <row r="20">
      <c r="A20" s="5" t="inlineStr">
        <is>
          <t>AGRICULTURAL PROCESSED</t>
        </is>
      </c>
      <c r="B20" s="5" t="inlineStr">
        <is>
          <t>COCOA POWDER</t>
        </is>
      </c>
      <c r="C20" s="5" t="n">
        <v>15618</v>
      </c>
      <c r="D20" s="15" t="inlineStr">
        <is>
          <t>L</t>
        </is>
      </c>
      <c r="E20" s="5" t="inlineStr">
        <is>
          <t>ok item</t>
        </is>
      </c>
      <c r="F20" s="5" t="inlineStr">
        <is>
          <t>COCOA DERIVATES</t>
        </is>
      </c>
      <c r="G20" s="5" t="n">
        <v>20717</v>
      </c>
      <c r="H20" s="173" t="inlineStr">
        <is>
          <t>-</t>
        </is>
      </c>
      <c r="I20" s="174" t="inlineStr">
        <is>
          <t>-</t>
        </is>
      </c>
      <c r="J20" t="n">
        <v>11514100</v>
      </c>
    </row>
    <row r="21" ht="15.75" customHeight="1" s="201">
      <c r="A21" s="5" t="inlineStr">
        <is>
          <t>AGRICULTURAL PROCESSED</t>
        </is>
      </c>
      <c r="B21" s="5" t="inlineStr">
        <is>
          <t>COCONUT OIL</t>
        </is>
      </c>
      <c r="C21" s="5" t="n">
        <v>4490</v>
      </c>
      <c r="D21" s="175" t="inlineStr">
        <is>
          <t>L</t>
        </is>
      </c>
      <c r="E21" s="5" t="inlineStr">
        <is>
          <t>ok item</t>
        </is>
      </c>
      <c r="F21" s="5" t="inlineStr">
        <is>
          <t>OIL</t>
        </is>
      </c>
      <c r="G21" s="5" t="n">
        <v>6792</v>
      </c>
      <c r="H21" s="173" t="inlineStr">
        <is>
          <t>-</t>
        </is>
      </c>
      <c r="I21" s="174" t="inlineStr">
        <is>
          <t>-</t>
        </is>
      </c>
      <c r="J21" t="n">
        <v>82101500</v>
      </c>
    </row>
    <row r="22" ht="15.75" customHeight="1" s="201">
      <c r="A22" s="5" t="inlineStr">
        <is>
          <t>AGRICULTURAL PROCESSED</t>
        </is>
      </c>
      <c r="B22" s="5" t="inlineStr">
        <is>
          <t>COFFEE ROASTED</t>
        </is>
      </c>
      <c r="C22" s="5" t="n">
        <v>19956</v>
      </c>
      <c r="D22" s="175" t="inlineStr">
        <is>
          <t>H</t>
        </is>
      </c>
      <c r="E22" s="5" t="inlineStr">
        <is>
          <t>item matching typology</t>
        </is>
      </c>
      <c r="F22" s="5" t="inlineStr">
        <is>
          <t>COFFEE GROUND &amp; PARCHMENT* (coffee roasted)</t>
        </is>
      </c>
      <c r="G22" s="5" t="n">
        <v>19956</v>
      </c>
      <c r="H22" s="173" t="inlineStr">
        <is>
          <t>-</t>
        </is>
      </c>
      <c r="I22" s="174" t="inlineStr">
        <is>
          <t>-</t>
        </is>
      </c>
      <c r="J22" t="n">
        <v>53610100</v>
      </c>
    </row>
    <row r="23" ht="15.75" customHeight="1" s="201">
      <c r="A23" s="5" t="inlineStr">
        <is>
          <t>AGRICULTURAL PROCESSED</t>
        </is>
      </c>
      <c r="B23" s="5" t="inlineStr">
        <is>
          <t>COFFEE SOLUBLE</t>
        </is>
      </c>
      <c r="C23" s="5" t="n">
        <v>640</v>
      </c>
      <c r="D23" s="175" t="inlineStr">
        <is>
          <t>H</t>
        </is>
      </c>
      <c r="E23" s="5" t="inlineStr">
        <is>
          <t>better typology</t>
        </is>
      </c>
      <c r="F23" s="5" t="inlineStr">
        <is>
          <t>COFFEE LIQUID</t>
        </is>
      </c>
      <c r="G23" s="5" t="n">
        <v>960</v>
      </c>
      <c r="H23" s="173" t="inlineStr">
        <is>
          <t>-</t>
        </is>
      </c>
      <c r="I23" s="174" t="inlineStr">
        <is>
          <t>-</t>
        </is>
      </c>
      <c r="J23" t="n">
        <v>53610100</v>
      </c>
    </row>
    <row r="24" ht="15.75" customHeight="1" s="201">
      <c r="A24" s="5" t="inlineStr">
        <is>
          <t>AGRICULTURAL PROCESSED</t>
        </is>
      </c>
      <c r="B24" s="5" t="inlineStr">
        <is>
          <t>COFFEE STANDARD</t>
        </is>
      </c>
      <c r="C24" s="5" t="n">
        <v>1120</v>
      </c>
      <c r="D24" s="175" t="inlineStr">
        <is>
          <t>H</t>
        </is>
      </c>
      <c r="E24" s="5" t="inlineStr">
        <is>
          <t>better typology</t>
        </is>
      </c>
      <c r="F24" s="5" t="inlineStr">
        <is>
          <t>COFFEE LIQUID</t>
        </is>
      </c>
      <c r="G24" s="5" t="n">
        <v>960</v>
      </c>
      <c r="H24" s="173" t="inlineStr">
        <is>
          <t>-</t>
        </is>
      </c>
      <c r="I24" s="174" t="inlineStr">
        <is>
          <t>-</t>
        </is>
      </c>
      <c r="J24" t="n">
        <v>53610100</v>
      </c>
    </row>
    <row r="25" ht="15.75" customHeight="1" s="201">
      <c r="A25" s="5" t="inlineStr">
        <is>
          <t>AGRICULTURAL PROCESSED</t>
        </is>
      </c>
      <c r="B25" s="5" t="inlineStr">
        <is>
          <t>COFFEE STRONG</t>
        </is>
      </c>
      <c r="C25" s="5" t="n">
        <v>1600</v>
      </c>
      <c r="D25" s="175" t="inlineStr">
        <is>
          <t>H</t>
        </is>
      </c>
      <c r="E25" s="5" t="inlineStr">
        <is>
          <t>better typology</t>
        </is>
      </c>
      <c r="F25" s="5" t="inlineStr">
        <is>
          <t>COFFEE LIQUID</t>
        </is>
      </c>
      <c r="G25" s="5" t="n">
        <v>960</v>
      </c>
      <c r="H25" s="173" t="inlineStr">
        <is>
          <t>-</t>
        </is>
      </c>
      <c r="I25" s="174" t="inlineStr">
        <is>
          <t>-</t>
        </is>
      </c>
      <c r="J25" t="n">
        <v>53610100</v>
      </c>
    </row>
    <row r="26" ht="15.75" customHeight="1" s="201">
      <c r="A26" s="5" t="inlineStr">
        <is>
          <t>AGRICULTURAL PROCESSED</t>
        </is>
      </c>
      <c r="B26" s="5" t="inlineStr">
        <is>
          <t>COFFEE WEAK</t>
        </is>
      </c>
      <c r="C26" s="5" t="n">
        <v>800</v>
      </c>
      <c r="D26" s="175" t="inlineStr">
        <is>
          <t>H</t>
        </is>
      </c>
      <c r="E26" s="5" t="inlineStr">
        <is>
          <t>better typology</t>
        </is>
      </c>
      <c r="F26" s="5" t="inlineStr">
        <is>
          <t>COFFEE LIQUID</t>
        </is>
      </c>
      <c r="G26" s="5" t="n">
        <v>960</v>
      </c>
      <c r="H26" s="173" t="inlineStr">
        <is>
          <t>-</t>
        </is>
      </c>
      <c r="I26" s="174" t="inlineStr">
        <is>
          <t>-</t>
        </is>
      </c>
      <c r="J26" t="n">
        <v>53610100</v>
      </c>
    </row>
    <row r="27" ht="15.75" customHeight="1" s="201">
      <c r="A27" s="5" t="inlineStr">
        <is>
          <t>AGRICULTURAL PROCESSED</t>
        </is>
      </c>
      <c r="B27" s="5" t="inlineStr">
        <is>
          <t>CORN CANNED</t>
        </is>
      </c>
      <c r="C27" s="5" t="n">
        <v>807</v>
      </c>
      <c r="D27" s="175" t="inlineStr">
        <is>
          <t>H</t>
        </is>
      </c>
      <c r="E27" s="5" t="inlineStr">
        <is>
          <t>item matching typology</t>
        </is>
      </c>
      <c r="F27" s="5" t="inlineStr">
        <is>
          <t>VEGETABLES CANNED</t>
        </is>
      </c>
      <c r="G27" s="5" t="n">
        <v>807</v>
      </c>
      <c r="H27" s="173" t="inlineStr">
        <is>
          <t>-</t>
        </is>
      </c>
      <c r="I27" s="174" t="inlineStr">
        <is>
          <t>-</t>
        </is>
      </c>
      <c r="J27" t="n">
        <v>54401055</v>
      </c>
    </row>
    <row r="28" ht="15.75" customHeight="1" s="201">
      <c r="A28" s="5" t="inlineStr">
        <is>
          <t>AGRICULTURAL PROCESSED</t>
        </is>
      </c>
      <c r="B28" s="5" t="inlineStr">
        <is>
          <t>CRISPBREAD**</t>
        </is>
      </c>
      <c r="C28" s="5" t="n">
        <v>1423</v>
      </c>
      <c r="D28" s="175" t="inlineStr">
        <is>
          <t>L</t>
        </is>
      </c>
      <c r="E28" s="5" t="inlineStr">
        <is>
          <t>item matching typology</t>
        </is>
      </c>
      <c r="F28" s="5" t="inlineStr">
        <is>
          <t>CRISPBREAD**</t>
        </is>
      </c>
      <c r="G28" s="5" t="n">
        <v>1423</v>
      </c>
      <c r="H28" s="173" t="inlineStr">
        <is>
          <t>-</t>
        </is>
      </c>
      <c r="I28" s="174" t="inlineStr">
        <is>
          <t>-</t>
        </is>
      </c>
    </row>
    <row r="29" ht="15.75" customHeight="1" s="201">
      <c r="A29" s="5" t="inlineStr">
        <is>
          <t>AGRICULTURAL PROCESSED</t>
        </is>
      </c>
      <c r="B29" s="5" t="inlineStr">
        <is>
          <t>DRIED CASSAVA</t>
        </is>
      </c>
      <c r="C29" s="5" t="n">
        <v>1610</v>
      </c>
      <c r="D29" s="175" t="inlineStr">
        <is>
          <t>L</t>
        </is>
      </c>
      <c r="E29" s="5" t="inlineStr">
        <is>
          <t>ok item</t>
        </is>
      </c>
      <c r="F29" s="5" t="inlineStr">
        <is>
          <t>STARCHY TUBER</t>
        </is>
      </c>
      <c r="G29" s="5" t="n">
        <v>1523</v>
      </c>
      <c r="H29" s="173" t="inlineStr">
        <is>
          <t>-</t>
        </is>
      </c>
      <c r="I29" s="174" t="inlineStr">
        <is>
          <t>-</t>
        </is>
      </c>
      <c r="J29" t="n">
        <v>41301010</v>
      </c>
    </row>
    <row r="30" ht="15.75" customHeight="1" s="201">
      <c r="A30" s="5" t="inlineStr">
        <is>
          <t>AGRICULTURAL PROCESSED</t>
        </is>
      </c>
      <c r="B30" s="5" t="inlineStr">
        <is>
          <t>EGG PASTA*</t>
        </is>
      </c>
      <c r="C30" s="5" t="n">
        <v>4637</v>
      </c>
      <c r="D30" s="175" t="inlineStr">
        <is>
          <t>H</t>
        </is>
      </c>
      <c r="E30" s="5" t="inlineStr">
        <is>
          <t>item matching typology</t>
        </is>
      </c>
      <c r="F30" s="5" t="inlineStr">
        <is>
          <t>EGG PASTA*</t>
        </is>
      </c>
      <c r="G30" s="5" t="n">
        <v>4637</v>
      </c>
      <c r="H30" s="173" t="inlineStr">
        <is>
          <t>-</t>
        </is>
      </c>
      <c r="I30" s="174" t="inlineStr">
        <is>
          <t>-</t>
        </is>
      </c>
      <c r="J30" t="n">
        <v>58147510</v>
      </c>
    </row>
    <row r="31" ht="15.75" customHeight="1" s="201">
      <c r="A31" s="5" t="inlineStr">
        <is>
          <t>AGRICULTURAL PROCESSED</t>
        </is>
      </c>
      <c r="B31" s="5" t="inlineStr">
        <is>
          <t>FLAVORED CRACKERS**</t>
        </is>
      </c>
      <c r="C31" s="5" t="n">
        <v>1378</v>
      </c>
      <c r="D31" s="175" t="inlineStr">
        <is>
          <t>L</t>
        </is>
      </c>
      <c r="E31" s="5" t="inlineStr">
        <is>
          <t>ok item</t>
        </is>
      </c>
      <c r="F31" s="5" t="inlineStr">
        <is>
          <t>CRACKERS</t>
        </is>
      </c>
      <c r="G31" s="5" t="n">
        <v>1258</v>
      </c>
      <c r="H31" s="173" t="inlineStr">
        <is>
          <t>-</t>
        </is>
      </c>
      <c r="I31" s="174" t="inlineStr">
        <is>
          <t>-</t>
        </is>
      </c>
      <c r="J31" t="n">
        <v>54326000</v>
      </c>
    </row>
    <row r="32" ht="15.75" customHeight="1" s="201">
      <c r="A32" s="5" t="inlineStr">
        <is>
          <t>AGRICULTURAL PROCESSED</t>
        </is>
      </c>
      <c r="B32" s="5" t="inlineStr">
        <is>
          <t>FRUCTOSE</t>
        </is>
      </c>
      <c r="C32" s="5" t="n">
        <v>1782</v>
      </c>
      <c r="D32" s="175" t="inlineStr">
        <is>
          <t>L</t>
        </is>
      </c>
      <c r="E32" s="5" t="inlineStr">
        <is>
          <t>ok item</t>
        </is>
      </c>
      <c r="F32" s="5" t="inlineStr">
        <is>
          <t>SUGAR</t>
        </is>
      </c>
      <c r="G32" s="5" t="n">
        <v>1294</v>
      </c>
      <c r="H32" s="173" t="inlineStr">
        <is>
          <t>-</t>
        </is>
      </c>
      <c r="I32" s="174" t="inlineStr">
        <is>
          <t>-</t>
        </is>
      </c>
    </row>
    <row r="33" ht="15.75" customHeight="1" s="201">
      <c r="A33" s="5" t="inlineStr">
        <is>
          <t>AGRICULTURAL PROCESSED</t>
        </is>
      </c>
      <c r="B33" s="5" t="inlineStr">
        <is>
          <t>GRAPEFRUIT JUICE</t>
        </is>
      </c>
      <c r="C33" s="5" t="n">
        <v>675</v>
      </c>
      <c r="D33" s="175" t="inlineStr">
        <is>
          <t>L</t>
        </is>
      </c>
      <c r="E33" s="5" t="inlineStr">
        <is>
          <t>ok item</t>
        </is>
      </c>
      <c r="F33" s="5" t="inlineStr">
        <is>
          <t>JUICE</t>
        </is>
      </c>
      <c r="G33" s="5" t="n">
        <v>1019</v>
      </c>
      <c r="H33" s="173" t="inlineStr">
        <is>
          <t>-</t>
        </is>
      </c>
      <c r="I33" s="174" t="inlineStr">
        <is>
          <t>-</t>
        </is>
      </c>
      <c r="J33" t="n">
        <v>64100110</v>
      </c>
    </row>
    <row r="34" ht="15.75" customHeight="1" s="201">
      <c r="A34" s="5" t="inlineStr">
        <is>
          <t>AGRICULTURAL PROCESSED</t>
        </is>
      </c>
      <c r="B34" s="5" t="inlineStr">
        <is>
          <t>KETCHUP</t>
        </is>
      </c>
      <c r="C34" s="5" t="n">
        <v>534</v>
      </c>
      <c r="D34" s="175" t="inlineStr">
        <is>
          <t>L</t>
        </is>
      </c>
      <c r="E34" s="5" t="inlineStr">
        <is>
          <t>ok item</t>
        </is>
      </c>
      <c r="F34" s="5" t="inlineStr">
        <is>
          <t>DRESSING</t>
        </is>
      </c>
      <c r="G34" s="5" t="n">
        <v>572</v>
      </c>
      <c r="H34" s="173" t="inlineStr">
        <is>
          <t>-</t>
        </is>
      </c>
      <c r="I34" s="174" t="inlineStr">
        <is>
          <t>-</t>
        </is>
      </c>
      <c r="J34" t="n">
        <v>74401010</v>
      </c>
    </row>
    <row r="35" ht="15.75" customHeight="1" s="201">
      <c r="A35" s="5" t="inlineStr">
        <is>
          <t>AGRICULTURAL PROCESSED</t>
        </is>
      </c>
      <c r="B35" s="5" t="inlineStr">
        <is>
          <t>LINSEED OIL</t>
        </is>
      </c>
      <c r="C35" s="5" t="n">
        <v>9415</v>
      </c>
      <c r="D35" s="175" t="inlineStr">
        <is>
          <t>L</t>
        </is>
      </c>
      <c r="E35" s="5" t="inlineStr">
        <is>
          <t>ok item</t>
        </is>
      </c>
      <c r="F35" s="5" t="inlineStr">
        <is>
          <t>OIL</t>
        </is>
      </c>
      <c r="G35" s="5" t="n">
        <v>6792</v>
      </c>
      <c r="H35" s="173" t="inlineStr">
        <is>
          <t>-</t>
        </is>
      </c>
      <c r="I35" s="174" t="inlineStr">
        <is>
          <t>-</t>
        </is>
      </c>
    </row>
    <row r="36" ht="15.75" customHeight="1" s="201">
      <c r="A36" s="5" t="inlineStr">
        <is>
          <t>AGRICULTURAL PROCESSED</t>
        </is>
      </c>
      <c r="B36" s="5" t="inlineStr">
        <is>
          <t>MAIZE FLOUR &amp; MEAL</t>
        </is>
      </c>
      <c r="C36" s="5" t="n">
        <v>1167</v>
      </c>
      <c r="D36" s="175" t="inlineStr">
        <is>
          <t>L</t>
        </is>
      </c>
      <c r="E36" s="5" t="inlineStr">
        <is>
          <t>ok item</t>
        </is>
      </c>
      <c r="F36" s="5" t="inlineStr">
        <is>
          <t>GRAIN FLOUR</t>
        </is>
      </c>
      <c r="G36" s="5" t="n">
        <v>1889</v>
      </c>
      <c r="H36" s="173" t="inlineStr">
        <is>
          <t>-</t>
        </is>
      </c>
      <c r="I36" s="174" t="inlineStr">
        <is>
          <t>-</t>
        </is>
      </c>
      <c r="J36" t="n">
        <v>52215350</v>
      </c>
    </row>
    <row r="37" ht="15.75" customHeight="1" s="201">
      <c r="A37" s="5" t="inlineStr">
        <is>
          <t>AGRICULTURAL PROCESSED</t>
        </is>
      </c>
      <c r="B37" s="5" t="inlineStr">
        <is>
          <t>MAIZE GROATS</t>
        </is>
      </c>
      <c r="C37" s="5" t="n">
        <v>1081</v>
      </c>
      <c r="D37" s="175" t="inlineStr">
        <is>
          <t>L</t>
        </is>
      </c>
      <c r="E37" s="5" t="inlineStr">
        <is>
          <t>ok item</t>
        </is>
      </c>
      <c r="F37" s="5" t="inlineStr">
        <is>
          <t>PROCESSED GRAINS (grouts, malt)</t>
        </is>
      </c>
      <c r="G37" s="5" t="n">
        <v>2133</v>
      </c>
      <c r="H37" s="173" t="inlineStr">
        <is>
          <t>-</t>
        </is>
      </c>
      <c r="I37" s="174" t="inlineStr">
        <is>
          <t>-</t>
        </is>
      </c>
      <c r="J37" t="n">
        <v>56201600</v>
      </c>
    </row>
    <row r="38" ht="15.75" customHeight="1" s="201">
      <c r="A38" s="5" t="inlineStr">
        <is>
          <t>AGRICULTURAL PROCESSED</t>
        </is>
      </c>
      <c r="B38" s="5" t="inlineStr">
        <is>
          <t>MAIZE HULLED, PEARLED, SLICED OR KIBBLED</t>
        </is>
      </c>
      <c r="C38" s="5" t="n">
        <v>1314</v>
      </c>
      <c r="D38" s="175" t="inlineStr">
        <is>
          <t>L</t>
        </is>
      </c>
      <c r="E38" s="5" t="inlineStr">
        <is>
          <t>ok item</t>
        </is>
      </c>
      <c r="F38" s="5" t="inlineStr">
        <is>
          <t>PROCESSED GRAINS (grouts, malt)</t>
        </is>
      </c>
      <c r="G38" s="5" t="n">
        <v>2133</v>
      </c>
      <c r="H38" s="173" t="inlineStr">
        <is>
          <t>-</t>
        </is>
      </c>
      <c r="I38" s="174" t="inlineStr">
        <is>
          <t>-</t>
        </is>
      </c>
      <c r="J38" t="n">
        <v>51101000</v>
      </c>
    </row>
    <row r="39" ht="15.75" customHeight="1" s="201">
      <c r="A39" s="5" t="inlineStr">
        <is>
          <t>AGRICULTURAL PROCESSED</t>
        </is>
      </c>
      <c r="B39" s="5" t="inlineStr">
        <is>
          <t>MAIZE OIL</t>
        </is>
      </c>
      <c r="C39" s="5" t="n">
        <v>2575</v>
      </c>
      <c r="D39" s="175" t="inlineStr">
        <is>
          <t>L</t>
        </is>
      </c>
      <c r="E39" s="5" t="inlineStr">
        <is>
          <t>ok item</t>
        </is>
      </c>
      <c r="F39" s="5" t="inlineStr">
        <is>
          <t>OIL</t>
        </is>
      </c>
      <c r="G39" s="5" t="n">
        <v>6792</v>
      </c>
      <c r="H39" s="173" t="inlineStr">
        <is>
          <t>-</t>
        </is>
      </c>
      <c r="I39" s="174" t="inlineStr">
        <is>
          <t>-</t>
        </is>
      </c>
      <c r="J39" t="n">
        <v>56201600</v>
      </c>
    </row>
    <row r="40" ht="15.75" customHeight="1" s="201">
      <c r="A40" s="5" t="inlineStr">
        <is>
          <t>AGRICULTURAL PROCESSED</t>
        </is>
      </c>
      <c r="B40" s="5" t="inlineStr">
        <is>
          <t>MAIZE STARCH</t>
        </is>
      </c>
      <c r="C40" s="5" t="n">
        <v>1671</v>
      </c>
      <c r="D40" s="175" t="inlineStr">
        <is>
          <t>L</t>
        </is>
      </c>
      <c r="E40" s="5" t="inlineStr">
        <is>
          <t>ok item</t>
        </is>
      </c>
      <c r="F40" s="5" t="inlineStr">
        <is>
          <t>STARCH</t>
        </is>
      </c>
      <c r="G40" s="5" t="n">
        <v>1591</v>
      </c>
      <c r="H40" s="173" t="inlineStr">
        <is>
          <t>-</t>
        </is>
      </c>
      <c r="I40" s="174" t="inlineStr">
        <is>
          <t>-</t>
        </is>
      </c>
      <c r="J40" t="n">
        <v>56201600</v>
      </c>
    </row>
    <row r="41" ht="15.75" customHeight="1" s="201">
      <c r="A41" s="5" t="inlineStr">
        <is>
          <t>AGRICULTURAL PROCESSED</t>
        </is>
      </c>
      <c r="B41" s="5" t="inlineStr">
        <is>
          <t>MALT</t>
        </is>
      </c>
      <c r="C41" s="5" t="n">
        <v>1950</v>
      </c>
      <c r="D41" s="175" t="inlineStr">
        <is>
          <t>L</t>
        </is>
      </c>
      <c r="E41" s="5" t="inlineStr">
        <is>
          <t>ok item</t>
        </is>
      </c>
      <c r="F41" s="5" t="inlineStr">
        <is>
          <t>PROCESSED GRAINS (grouts, malt)</t>
        </is>
      </c>
      <c r="G41" s="5" t="n">
        <v>2133</v>
      </c>
      <c r="H41" s="173" t="inlineStr">
        <is>
          <t>-</t>
        </is>
      </c>
      <c r="I41" s="174" t="inlineStr">
        <is>
          <t>-</t>
        </is>
      </c>
      <c r="J41" t="n">
        <v>57305174</v>
      </c>
    </row>
    <row r="42" ht="15.75" customHeight="1" s="201">
      <c r="A42" s="5" t="inlineStr">
        <is>
          <t>AGRICULTURAL PROCESSED</t>
        </is>
      </c>
      <c r="B42" s="5" t="inlineStr">
        <is>
          <t>MALT, ROASTED</t>
        </is>
      </c>
      <c r="C42" s="5" t="n">
        <v>2437</v>
      </c>
      <c r="D42" s="175" t="inlineStr">
        <is>
          <t>L</t>
        </is>
      </c>
      <c r="E42" s="5" t="inlineStr">
        <is>
          <t>ok item</t>
        </is>
      </c>
      <c r="F42" s="5" t="inlineStr">
        <is>
          <t>PROCESSED GRAINS (grouts, malt)</t>
        </is>
      </c>
      <c r="G42" s="5" t="n">
        <v>2133</v>
      </c>
      <c r="H42" s="173" t="inlineStr">
        <is>
          <t>-</t>
        </is>
      </c>
      <c r="I42" s="174" t="inlineStr">
        <is>
          <t>-</t>
        </is>
      </c>
      <c r="J42" t="n">
        <v>57305174</v>
      </c>
    </row>
    <row r="43" ht="15.75" customHeight="1" s="201">
      <c r="A43" s="5" t="inlineStr">
        <is>
          <t>AGRICULTURAL PROCESSED</t>
        </is>
      </c>
      <c r="B43" s="5" t="inlineStr">
        <is>
          <t>MANIOC (CASSAVA) STARCH</t>
        </is>
      </c>
      <c r="C43" s="5" t="n">
        <v>2254</v>
      </c>
      <c r="D43" s="175" t="inlineStr">
        <is>
          <t>L</t>
        </is>
      </c>
      <c r="E43" s="5" t="inlineStr">
        <is>
          <t>ok item</t>
        </is>
      </c>
      <c r="F43" s="5" t="inlineStr">
        <is>
          <t>STARCH</t>
        </is>
      </c>
      <c r="G43" s="5" t="n">
        <v>1591</v>
      </c>
      <c r="H43" s="173" t="inlineStr">
        <is>
          <t>-</t>
        </is>
      </c>
      <c r="I43" s="174" t="inlineStr">
        <is>
          <t>-</t>
        </is>
      </c>
    </row>
    <row r="44" ht="15.75" customHeight="1" s="201">
      <c r="A44" s="5" t="inlineStr">
        <is>
          <t>AGRICULTURAL PROCESSED</t>
        </is>
      </c>
      <c r="B44" s="5" t="inlineStr">
        <is>
          <t>MARGARINE*</t>
        </is>
      </c>
      <c r="C44" s="5" t="n">
        <v>1324</v>
      </c>
      <c r="D44" s="175" t="inlineStr">
        <is>
          <t>L</t>
        </is>
      </c>
      <c r="E44" s="5" t="inlineStr">
        <is>
          <t>item matching typology</t>
        </is>
      </c>
      <c r="F44" s="5" t="inlineStr">
        <is>
          <t>MARGARINE*</t>
        </is>
      </c>
      <c r="G44" s="5" t="n">
        <v>1324</v>
      </c>
      <c r="H44" s="173" t="inlineStr">
        <is>
          <t>-</t>
        </is>
      </c>
      <c r="I44" s="174" t="inlineStr">
        <is>
          <t>-</t>
        </is>
      </c>
      <c r="J44" t="n">
        <v>81104010</v>
      </c>
    </row>
    <row r="45" ht="15.75" customHeight="1" s="201">
      <c r="A45" s="5" t="inlineStr">
        <is>
          <t>AGRICULTURAL PROCESSED</t>
        </is>
      </c>
      <c r="B45" s="5" t="inlineStr">
        <is>
          <t>MIXED VEGETABLES (F)</t>
        </is>
      </c>
      <c r="C45" s="5" t="n">
        <v>339</v>
      </c>
      <c r="D45" s="175" t="inlineStr">
        <is>
          <t>L</t>
        </is>
      </c>
      <c r="E45" s="5" t="inlineStr">
        <is>
          <t>ok item</t>
        </is>
      </c>
      <c r="F45" s="5" t="inlineStr">
        <is>
          <t>VEGETABLES FROZEN</t>
        </is>
      </c>
      <c r="G45" s="5" t="n">
        <v>750</v>
      </c>
      <c r="H45" s="173" t="inlineStr">
        <is>
          <t>-</t>
        </is>
      </c>
      <c r="I45" s="174" t="inlineStr">
        <is>
          <t>-</t>
        </is>
      </c>
      <c r="J45" t="n">
        <v>76407010</v>
      </c>
    </row>
    <row r="46" ht="15.75" customHeight="1" s="201">
      <c r="A46" s="5" t="inlineStr">
        <is>
          <t>AGRICULTURAL PROCESSED</t>
        </is>
      </c>
      <c r="B46" s="5" t="inlineStr">
        <is>
          <t>OAT FLAKES</t>
        </is>
      </c>
      <c r="C46" s="5" t="n">
        <v>2416</v>
      </c>
      <c r="D46" s="15" t="inlineStr">
        <is>
          <t>L</t>
        </is>
      </c>
      <c r="E46" s="5" t="inlineStr">
        <is>
          <t>ok item</t>
        </is>
      </c>
      <c r="F46" s="5" t="inlineStr">
        <is>
          <t>BREAKFAST CEREALS</t>
        </is>
      </c>
      <c r="G46" s="5" t="n">
        <v>2196</v>
      </c>
      <c r="H46" s="173" t="inlineStr">
        <is>
          <t>-</t>
        </is>
      </c>
      <c r="I46" s="174" t="inlineStr">
        <is>
          <t>-</t>
        </is>
      </c>
      <c r="J46" t="n">
        <v>53710600</v>
      </c>
    </row>
    <row r="47" ht="15.75" customHeight="1" s="201">
      <c r="A47" s="5" t="inlineStr">
        <is>
          <t>AGRICULTURAL PROCESSED</t>
        </is>
      </c>
      <c r="B47" s="5" t="inlineStr">
        <is>
          <t>OAT GROATS</t>
        </is>
      </c>
      <c r="C47" s="5" t="n">
        <v>2536</v>
      </c>
      <c r="D47" s="175" t="inlineStr">
        <is>
          <t>L</t>
        </is>
      </c>
      <c r="E47" s="5" t="inlineStr">
        <is>
          <t>ok item</t>
        </is>
      </c>
      <c r="F47" s="5" t="inlineStr">
        <is>
          <t>PROCESSED GRAINS (grouts, malt)</t>
        </is>
      </c>
      <c r="G47" s="5" t="n">
        <v>2133</v>
      </c>
      <c r="H47" s="173" t="inlineStr">
        <is>
          <t>-</t>
        </is>
      </c>
      <c r="I47" s="174" t="inlineStr">
        <is>
          <t>-</t>
        </is>
      </c>
      <c r="J47" t="n">
        <v>56200490</v>
      </c>
    </row>
    <row r="48" ht="15.75" customHeight="1" s="201">
      <c r="A48" s="5" t="inlineStr">
        <is>
          <t>AGRICULTURAL PROCESSED</t>
        </is>
      </c>
      <c r="B48" s="5" t="inlineStr">
        <is>
          <t>OAT MEAL</t>
        </is>
      </c>
      <c r="C48" s="5" t="n">
        <v>2536</v>
      </c>
      <c r="D48" s="175" t="inlineStr">
        <is>
          <t>L</t>
        </is>
      </c>
      <c r="E48" s="5" t="inlineStr">
        <is>
          <t>ok item</t>
        </is>
      </c>
      <c r="F48" s="5" t="inlineStr">
        <is>
          <t>GRAIN FLOUR</t>
        </is>
      </c>
      <c r="G48" s="5" t="n">
        <v>1889</v>
      </c>
      <c r="H48" s="173" t="inlineStr">
        <is>
          <t>-</t>
        </is>
      </c>
      <c r="I48" s="174" t="inlineStr">
        <is>
          <t>-</t>
        </is>
      </c>
      <c r="J48" t="n">
        <v>28110510</v>
      </c>
    </row>
    <row r="49" ht="15.75" customHeight="1" s="201">
      <c r="A49" s="5" t="inlineStr">
        <is>
          <t>AGRICULTURAL PROCESSED</t>
        </is>
      </c>
      <c r="B49" s="5" t="inlineStr">
        <is>
          <t>OLIVE OIL</t>
        </is>
      </c>
      <c r="C49" s="5" t="n">
        <v>14415</v>
      </c>
      <c r="D49" s="175" t="inlineStr">
        <is>
          <t>L</t>
        </is>
      </c>
      <c r="E49" s="5" t="inlineStr">
        <is>
          <t>ok item</t>
        </is>
      </c>
      <c r="F49" s="5" t="inlineStr">
        <is>
          <t>OIL</t>
        </is>
      </c>
      <c r="G49" s="5" t="n">
        <v>6792</v>
      </c>
      <c r="H49" s="173" t="inlineStr">
        <is>
          <t>-</t>
        </is>
      </c>
      <c r="I49" s="174" t="inlineStr">
        <is>
          <t>-</t>
        </is>
      </c>
      <c r="J49" t="n">
        <v>82104000</v>
      </c>
    </row>
    <row r="50" ht="15.75" customHeight="1" s="201">
      <c r="A50" s="5" t="inlineStr">
        <is>
          <t>AGRICULTURAL PROCESSED</t>
        </is>
      </c>
      <c r="B50" s="5" t="inlineStr">
        <is>
          <t>OLIVE OIL REFINED</t>
        </is>
      </c>
      <c r="C50" s="5" t="n">
        <v>14726</v>
      </c>
      <c r="D50" s="175" t="inlineStr">
        <is>
          <t>L</t>
        </is>
      </c>
      <c r="E50" s="5" t="inlineStr">
        <is>
          <t>ok item</t>
        </is>
      </c>
      <c r="F50" s="5" t="inlineStr">
        <is>
          <t>OIL</t>
        </is>
      </c>
      <c r="G50" s="5" t="n">
        <v>6792</v>
      </c>
      <c r="H50" s="173" t="inlineStr">
        <is>
          <t>-</t>
        </is>
      </c>
      <c r="I50" s="174" t="inlineStr">
        <is>
          <t>-</t>
        </is>
      </c>
      <c r="J50" t="n">
        <v>14420200</v>
      </c>
    </row>
    <row r="51" ht="15.75" customHeight="1" s="201">
      <c r="A51" s="5" t="inlineStr">
        <is>
          <t>AGRICULTURAL PROCESSED</t>
        </is>
      </c>
      <c r="B51" s="5" t="inlineStr">
        <is>
          <t>ORANGE JUICE</t>
        </is>
      </c>
      <c r="C51" s="5" t="n">
        <v>1019</v>
      </c>
      <c r="D51" s="175" t="inlineStr">
        <is>
          <t>L</t>
        </is>
      </c>
      <c r="E51" s="5" t="inlineStr">
        <is>
          <t>ok item</t>
        </is>
      </c>
      <c r="F51" s="5" t="inlineStr">
        <is>
          <t>JUICE</t>
        </is>
      </c>
      <c r="G51" s="5" t="n">
        <v>1019</v>
      </c>
      <c r="H51" s="173" t="inlineStr">
        <is>
          <t>-</t>
        </is>
      </c>
      <c r="I51" s="174" t="inlineStr">
        <is>
          <t>-</t>
        </is>
      </c>
      <c r="J51" t="n">
        <v>92550350</v>
      </c>
    </row>
    <row r="52" ht="15.75" customHeight="1" s="201">
      <c r="A52" s="5" t="inlineStr">
        <is>
          <t>AGRICULTURAL PROCESSED</t>
        </is>
      </c>
      <c r="B52" s="5" t="inlineStr">
        <is>
          <t>PALM OIL</t>
        </is>
      </c>
      <c r="C52" s="5" t="n">
        <v>4971</v>
      </c>
      <c r="D52" s="175" t="inlineStr">
        <is>
          <t>L</t>
        </is>
      </c>
      <c r="E52" s="5" t="inlineStr">
        <is>
          <t>ok item</t>
        </is>
      </c>
      <c r="F52" s="5" t="inlineStr">
        <is>
          <t>OIL</t>
        </is>
      </c>
      <c r="G52" s="5" t="n">
        <v>6792</v>
      </c>
      <c r="H52" s="173" t="inlineStr">
        <is>
          <t>-</t>
        </is>
      </c>
      <c r="I52" s="174" t="inlineStr">
        <is>
          <t>-</t>
        </is>
      </c>
      <c r="J52" t="n">
        <v>75221160</v>
      </c>
    </row>
    <row r="53" ht="15.75" customHeight="1" s="201">
      <c r="A53" s="5" t="inlineStr">
        <is>
          <t>AGRICULTURAL PROCESSED</t>
        </is>
      </c>
      <c r="B53" s="5" t="inlineStr">
        <is>
          <t>PASTA*</t>
        </is>
      </c>
      <c r="C53" s="5" t="n">
        <v>1508</v>
      </c>
      <c r="D53" s="175" t="inlineStr">
        <is>
          <t>L</t>
        </is>
      </c>
      <c r="E53" s="5" t="inlineStr">
        <is>
          <t>item matching typology</t>
        </is>
      </c>
      <c r="F53" s="5" t="inlineStr">
        <is>
          <t>PASTA*</t>
        </is>
      </c>
      <c r="G53" s="5" t="n">
        <v>1508</v>
      </c>
      <c r="H53" s="173" t="inlineStr">
        <is>
          <t>-</t>
        </is>
      </c>
      <c r="I53" s="174" t="inlineStr">
        <is>
          <t>-</t>
        </is>
      </c>
      <c r="J53" t="n">
        <v>58147510</v>
      </c>
    </row>
    <row r="54" ht="15.75" customHeight="1" s="201">
      <c r="A54" s="5" t="inlineStr">
        <is>
          <t>AGRICULTURAL PROCESSED</t>
        </is>
      </c>
      <c r="B54" s="5" t="inlineStr">
        <is>
          <t>PEANUT OIL</t>
        </is>
      </c>
      <c r="C54" s="5" t="n">
        <v>7529</v>
      </c>
      <c r="D54" s="175" t="inlineStr">
        <is>
          <t>L</t>
        </is>
      </c>
      <c r="E54" s="5" t="inlineStr">
        <is>
          <t>ok item</t>
        </is>
      </c>
      <c r="F54" s="5" t="inlineStr">
        <is>
          <t>OIL</t>
        </is>
      </c>
      <c r="G54" s="5" t="n">
        <v>6792</v>
      </c>
      <c r="H54" s="173" t="inlineStr">
        <is>
          <t>-</t>
        </is>
      </c>
      <c r="I54" s="174" t="inlineStr">
        <is>
          <t>-</t>
        </is>
      </c>
      <c r="J54" t="n">
        <v>91734000</v>
      </c>
    </row>
    <row r="55" ht="15.75" customHeight="1" s="201">
      <c r="A55" s="5" t="inlineStr">
        <is>
          <t>AGRICULTURAL PROCESSED</t>
        </is>
      </c>
      <c r="B55" s="5" t="inlineStr">
        <is>
          <t>PEAS (F)</t>
        </is>
      </c>
      <c r="C55" s="5" t="n">
        <v>850</v>
      </c>
      <c r="D55" s="175" t="inlineStr">
        <is>
          <t>L</t>
        </is>
      </c>
      <c r="E55" s="5" t="inlineStr">
        <is>
          <t>ok item</t>
        </is>
      </c>
      <c r="F55" s="5" t="inlineStr">
        <is>
          <t>VEGETABLES FROZEN</t>
        </is>
      </c>
      <c r="G55" s="5" t="n">
        <v>750</v>
      </c>
      <c r="H55" s="173" t="inlineStr">
        <is>
          <t>-</t>
        </is>
      </c>
      <c r="I55" s="174" t="inlineStr">
        <is>
          <t>-</t>
        </is>
      </c>
      <c r="J55" t="n">
        <v>76409010</v>
      </c>
    </row>
    <row r="56" ht="15.75" customHeight="1" s="201">
      <c r="A56" s="5" t="inlineStr">
        <is>
          <t>AGRICULTURAL PROCESSED</t>
        </is>
      </c>
      <c r="B56" s="5" t="inlineStr">
        <is>
          <t>PESTO</t>
        </is>
      </c>
      <c r="C56" s="5" t="n">
        <v>2099</v>
      </c>
      <c r="D56" s="175" t="inlineStr">
        <is>
          <t>H</t>
        </is>
      </c>
      <c r="E56" s="5" t="inlineStr">
        <is>
          <t>better typology</t>
        </is>
      </c>
      <c r="F56" s="5" t="inlineStr">
        <is>
          <t>PESTO</t>
        </is>
      </c>
      <c r="G56" s="5" t="n">
        <v>2174</v>
      </c>
      <c r="H56" s="173" t="inlineStr">
        <is>
          <t>-</t>
        </is>
      </c>
      <c r="I56" s="174" t="inlineStr">
        <is>
          <t>-</t>
        </is>
      </c>
      <c r="J56" t="n">
        <v>58146381</v>
      </c>
    </row>
    <row r="57" ht="15.75" customHeight="1" s="201">
      <c r="A57" s="5" t="inlineStr">
        <is>
          <t>AGRICULTURAL PROCESSED</t>
        </is>
      </c>
      <c r="B57" s="5" t="inlineStr">
        <is>
          <t>PESTO WITHOUT GARLIC</t>
        </is>
      </c>
      <c r="C57" s="5" t="n">
        <v>2249</v>
      </c>
      <c r="D57" s="175" t="inlineStr">
        <is>
          <t>H</t>
        </is>
      </c>
      <c r="E57" s="5" t="inlineStr">
        <is>
          <t>better typology</t>
        </is>
      </c>
      <c r="F57" s="5" t="inlineStr">
        <is>
          <t>PESTO</t>
        </is>
      </c>
      <c r="G57" s="5" t="n">
        <v>2174</v>
      </c>
      <c r="H57" s="173" t="inlineStr">
        <is>
          <t>-</t>
        </is>
      </c>
      <c r="I57" s="174" t="inlineStr">
        <is>
          <t>-</t>
        </is>
      </c>
      <c r="J57" t="n">
        <v>24164000</v>
      </c>
    </row>
    <row r="58" ht="15.75" customHeight="1" s="201">
      <c r="A58" s="5" t="inlineStr">
        <is>
          <t>AGRICULTURAL PROCESSED</t>
        </is>
      </c>
      <c r="B58" s="5" t="inlineStr">
        <is>
          <t>PINEAPPLE JUICE</t>
        </is>
      </c>
      <c r="C58" s="5" t="n">
        <v>1273</v>
      </c>
      <c r="D58" s="175" t="inlineStr">
        <is>
          <t>L</t>
        </is>
      </c>
      <c r="E58" s="5" t="inlineStr">
        <is>
          <t>ok item</t>
        </is>
      </c>
      <c r="F58" s="5" t="inlineStr">
        <is>
          <t>JUICE</t>
        </is>
      </c>
      <c r="G58" s="5" t="n">
        <v>1019</v>
      </c>
      <c r="H58" s="173" t="inlineStr">
        <is>
          <t>-</t>
        </is>
      </c>
      <c r="I58" s="174" t="inlineStr">
        <is>
          <t>-</t>
        </is>
      </c>
      <c r="J58" t="n">
        <v>64100110</v>
      </c>
    </row>
    <row r="59" ht="15.75" customHeight="1" s="201">
      <c r="A59" s="5" t="inlineStr">
        <is>
          <t>AGRICULTURAL PROCESSED</t>
        </is>
      </c>
      <c r="B59" s="5" t="inlineStr">
        <is>
          <t>PLAIN CRACKERS**</t>
        </is>
      </c>
      <c r="C59" s="5" t="n">
        <v>1447</v>
      </c>
      <c r="D59" s="175" t="inlineStr">
        <is>
          <t>L</t>
        </is>
      </c>
      <c r="E59" s="5" t="inlineStr">
        <is>
          <t>ok item</t>
        </is>
      </c>
      <c r="F59" s="5" t="inlineStr">
        <is>
          <t>CRACKERS</t>
        </is>
      </c>
      <c r="G59" s="5" t="n">
        <v>1258</v>
      </c>
      <c r="H59" s="173" t="inlineStr">
        <is>
          <t>-</t>
        </is>
      </c>
      <c r="I59" s="174" t="inlineStr">
        <is>
          <t>-</t>
        </is>
      </c>
      <c r="J59" t="n">
        <v>54326000</v>
      </c>
    </row>
    <row r="60" ht="15.75" customHeight="1" s="201">
      <c r="A60" s="5" t="inlineStr">
        <is>
          <t>AGRICULTURAL PROCESSED</t>
        </is>
      </c>
      <c r="B60" s="5" t="inlineStr">
        <is>
          <t>POTATO FLAKES</t>
        </is>
      </c>
      <c r="C60" s="5" t="n">
        <v>1044</v>
      </c>
      <c r="D60" s="175" t="inlineStr">
        <is>
          <t>L</t>
        </is>
      </c>
      <c r="E60" s="5" t="inlineStr">
        <is>
          <t>ok item</t>
        </is>
      </c>
      <c r="F60" s="5" t="inlineStr">
        <is>
          <t>STARCHY TUBER</t>
        </is>
      </c>
      <c r="G60" s="5" t="n">
        <v>1523</v>
      </c>
      <c r="H60" s="173" t="inlineStr">
        <is>
          <t>-</t>
        </is>
      </c>
      <c r="I60" s="174" t="inlineStr">
        <is>
          <t>-</t>
        </is>
      </c>
      <c r="J60" t="n">
        <v>71200300</v>
      </c>
    </row>
    <row r="61" ht="15.75" customHeight="1" s="201">
      <c r="A61" s="5" t="inlineStr">
        <is>
          <t>AGRICULTURAL PROCESSED</t>
        </is>
      </c>
      <c r="B61" s="5" t="inlineStr">
        <is>
          <t>POTATO FLOUR &amp; MEAL</t>
        </is>
      </c>
      <c r="C61" s="5" t="n">
        <v>1436</v>
      </c>
      <c r="D61" s="175" t="inlineStr">
        <is>
          <t>L</t>
        </is>
      </c>
      <c r="E61" s="5" t="inlineStr">
        <is>
          <t>ok item</t>
        </is>
      </c>
      <c r="F61" s="5" t="inlineStr">
        <is>
          <t>STARCHY ROOT FLOUR</t>
        </is>
      </c>
      <c r="G61" s="5" t="n">
        <v>1657</v>
      </c>
      <c r="H61" s="173" t="inlineStr">
        <is>
          <t>-</t>
        </is>
      </c>
      <c r="I61" s="174" t="inlineStr">
        <is>
          <t>-</t>
        </is>
      </c>
      <c r="J61" t="n">
        <v>71200300</v>
      </c>
    </row>
    <row r="62" ht="15.75" customHeight="1" s="201">
      <c r="A62" s="5" t="inlineStr">
        <is>
          <t>AGRICULTURAL PROCESSED</t>
        </is>
      </c>
      <c r="B62" s="5" t="inlineStr">
        <is>
          <t>POTATO STARCH</t>
        </is>
      </c>
      <c r="C62" s="5" t="n">
        <v>1512</v>
      </c>
      <c r="D62" s="175" t="inlineStr">
        <is>
          <t>L</t>
        </is>
      </c>
      <c r="E62" s="5" t="inlineStr">
        <is>
          <t>ok item</t>
        </is>
      </c>
      <c r="F62" s="5" t="inlineStr">
        <is>
          <t>STARCH</t>
        </is>
      </c>
      <c r="G62" s="5" t="n">
        <v>1591</v>
      </c>
      <c r="H62" s="173" t="inlineStr">
        <is>
          <t>-</t>
        </is>
      </c>
      <c r="I62" s="174" t="inlineStr">
        <is>
          <t>-</t>
        </is>
      </c>
      <c r="J62" t="n">
        <v>71200300</v>
      </c>
    </row>
    <row r="63" ht="15.75" customHeight="1" s="201">
      <c r="A63" s="5" t="inlineStr">
        <is>
          <t>AGRICULTURAL PROCESSED</t>
        </is>
      </c>
      <c r="B63" s="5" t="inlineStr">
        <is>
          <t>POTATOES (F)</t>
        </is>
      </c>
      <c r="C63" s="5" t="n">
        <v>575</v>
      </c>
      <c r="D63" s="175" t="inlineStr">
        <is>
          <t>L</t>
        </is>
      </c>
      <c r="E63" s="5" t="inlineStr">
        <is>
          <t>ok item</t>
        </is>
      </c>
      <c r="F63" s="5" t="inlineStr">
        <is>
          <t>VEGETABLES FROZEN</t>
        </is>
      </c>
      <c r="G63" s="5" t="n">
        <v>750</v>
      </c>
      <c r="H63" s="173" t="inlineStr">
        <is>
          <t>-</t>
        </is>
      </c>
      <c r="I63" s="174" t="inlineStr">
        <is>
          <t>-</t>
        </is>
      </c>
      <c r="J63" t="n">
        <v>27211100</v>
      </c>
    </row>
    <row r="64" ht="15.75" customHeight="1" s="201">
      <c r="A64" s="5" t="inlineStr">
        <is>
          <t>AGRICULTURAL PROCESSED</t>
        </is>
      </c>
      <c r="B64" s="5" t="inlineStr">
        <is>
          <t>QUORNE</t>
        </is>
      </c>
      <c r="C64" s="5" t="n">
        <v>2000</v>
      </c>
      <c r="D64" s="175" t="inlineStr">
        <is>
          <t>H</t>
        </is>
      </c>
      <c r="E64" s="5" t="inlineStr">
        <is>
          <t>better typology</t>
        </is>
      </c>
      <c r="F64" s="5" t="inlineStr">
        <is>
          <t>VEGETAL PROTEINS</t>
        </is>
      </c>
      <c r="G64" s="5" t="n">
        <v>1724</v>
      </c>
      <c r="H64" s="173" t="inlineStr">
        <is>
          <t>-</t>
        </is>
      </c>
      <c r="I64" s="174" t="inlineStr">
        <is>
          <t>-</t>
        </is>
      </c>
    </row>
    <row r="65" ht="15.75" customHeight="1" s="201">
      <c r="A65" s="5" t="inlineStr">
        <is>
          <t>AGRICULTURAL PROCESSED</t>
        </is>
      </c>
      <c r="B65" s="5" t="inlineStr">
        <is>
          <t>RAPESEED OIL</t>
        </is>
      </c>
      <c r="C65" s="5" t="n">
        <v>4301</v>
      </c>
      <c r="D65" s="175" t="inlineStr">
        <is>
          <t>L</t>
        </is>
      </c>
      <c r="E65" s="5" t="inlineStr">
        <is>
          <t>ok item</t>
        </is>
      </c>
      <c r="F65" s="5" t="inlineStr">
        <is>
          <t>OIL</t>
        </is>
      </c>
      <c r="G65" s="5" t="n">
        <v>6792</v>
      </c>
      <c r="H65" s="173" t="inlineStr">
        <is>
          <t>-</t>
        </is>
      </c>
      <c r="I65" s="174" t="inlineStr">
        <is>
          <t>-</t>
        </is>
      </c>
    </row>
    <row r="66" ht="15.75" customHeight="1" s="201">
      <c r="A66" s="5" t="inlineStr">
        <is>
          <t>AGRICULTURAL PROCESSED</t>
        </is>
      </c>
      <c r="B66" s="5" t="inlineStr">
        <is>
          <t>RICE FLOUR &amp; MEAL</t>
        </is>
      </c>
      <c r="C66" s="5" t="n">
        <v>2429</v>
      </c>
      <c r="D66" s="175" t="inlineStr">
        <is>
          <t>L</t>
        </is>
      </c>
      <c r="E66" s="5" t="inlineStr">
        <is>
          <t>ok item</t>
        </is>
      </c>
      <c r="F66" s="5" t="inlineStr">
        <is>
          <t>GRAIN FLOUR</t>
        </is>
      </c>
      <c r="G66" s="5" t="n">
        <v>1889</v>
      </c>
      <c r="H66" s="173" t="inlineStr">
        <is>
          <t>-</t>
        </is>
      </c>
      <c r="I66" s="174" t="inlineStr">
        <is>
          <t>-</t>
        </is>
      </c>
      <c r="J66" t="n">
        <v>54319000</v>
      </c>
    </row>
    <row r="67" ht="15.75" customHeight="1" s="201">
      <c r="A67" s="5" t="inlineStr">
        <is>
          <t>AGRICULTURAL PROCESSED</t>
        </is>
      </c>
      <c r="B67" s="5" t="inlineStr">
        <is>
          <t>RICE GROATS</t>
        </is>
      </c>
      <c r="C67" s="5" t="n">
        <v>2230</v>
      </c>
      <c r="D67" s="175" t="inlineStr">
        <is>
          <t>L</t>
        </is>
      </c>
      <c r="E67" s="5" t="inlineStr">
        <is>
          <t>ok item</t>
        </is>
      </c>
      <c r="F67" s="5" t="inlineStr">
        <is>
          <t>PROCESSED GRAINS (grouts, malt)</t>
        </is>
      </c>
      <c r="G67" s="5" t="n">
        <v>2133</v>
      </c>
      <c r="H67" s="173" t="inlineStr">
        <is>
          <t>-</t>
        </is>
      </c>
      <c r="I67" s="174" t="inlineStr">
        <is>
          <t>-</t>
        </is>
      </c>
      <c r="J67" t="n">
        <v>54319000</v>
      </c>
    </row>
    <row r="68" ht="15.75" customHeight="1" s="201">
      <c r="A68" s="5" t="inlineStr">
        <is>
          <t>AGRICULTURAL PROCESSED</t>
        </is>
      </c>
      <c r="B68" s="5" t="inlineStr">
        <is>
          <t>RYE FLOUR</t>
        </is>
      </c>
      <c r="C68" s="5" t="n">
        <v>1930</v>
      </c>
      <c r="D68" s="175" t="inlineStr">
        <is>
          <t>L</t>
        </is>
      </c>
      <c r="E68" s="5" t="inlineStr">
        <is>
          <t>ok item</t>
        </is>
      </c>
      <c r="F68" s="5" t="inlineStr">
        <is>
          <t>GRAIN FLOUR</t>
        </is>
      </c>
      <c r="G68" s="5" t="n">
        <v>1889</v>
      </c>
      <c r="H68" s="173" t="inlineStr">
        <is>
          <t>-</t>
        </is>
      </c>
      <c r="I68" s="174" t="inlineStr">
        <is>
          <t>-</t>
        </is>
      </c>
      <c r="J68" t="n">
        <v>52215350</v>
      </c>
    </row>
    <row r="69" ht="15.75" customHeight="1" s="201">
      <c r="A69" s="5" t="inlineStr">
        <is>
          <t>AGRICULTURAL PROCESSED</t>
        </is>
      </c>
      <c r="B69" s="5" t="inlineStr">
        <is>
          <t>SESAME OIL</t>
        </is>
      </c>
      <c r="C69" s="5" t="n">
        <v>21793</v>
      </c>
      <c r="D69" s="175" t="inlineStr">
        <is>
          <t>L</t>
        </is>
      </c>
      <c r="E69" s="5" t="inlineStr">
        <is>
          <t>ok item</t>
        </is>
      </c>
      <c r="F69" s="5" t="inlineStr">
        <is>
          <t>OIL</t>
        </is>
      </c>
      <c r="G69" s="5" t="n">
        <v>6792</v>
      </c>
      <c r="H69" s="173" t="inlineStr">
        <is>
          <t>-</t>
        </is>
      </c>
      <c r="I69" s="174" t="inlineStr">
        <is>
          <t>-</t>
        </is>
      </c>
      <c r="J69" t="n">
        <v>82107000</v>
      </c>
    </row>
    <row r="70" ht="15.75" customHeight="1" s="201">
      <c r="A70" s="5" t="inlineStr">
        <is>
          <t>AGRICULTURAL PROCESSED</t>
        </is>
      </c>
      <c r="B70" s="5" t="inlineStr">
        <is>
          <t>SIMPLE COOKIES**</t>
        </is>
      </c>
      <c r="C70" s="5" t="n">
        <v>1723</v>
      </c>
      <c r="D70" s="15" t="inlineStr">
        <is>
          <t>L</t>
        </is>
      </c>
      <c r="E70" s="5" t="inlineStr">
        <is>
          <t>ok item</t>
        </is>
      </c>
      <c r="F70" s="5" t="inlineStr">
        <is>
          <t>BISCUITS</t>
        </is>
      </c>
      <c r="G70" s="5" t="n">
        <v>1870</v>
      </c>
      <c r="H70" s="173" t="inlineStr">
        <is>
          <t>-</t>
        </is>
      </c>
      <c r="I70" s="174" t="inlineStr">
        <is>
          <t>-</t>
        </is>
      </c>
      <c r="J70" t="n">
        <v>53241500</v>
      </c>
    </row>
    <row r="71" ht="15.75" customHeight="1" s="201">
      <c r="A71" s="5" t="inlineStr">
        <is>
          <t>AGRICULTURAL PROCESSED</t>
        </is>
      </c>
      <c r="B71" s="5" t="inlineStr">
        <is>
          <t>SOY BURGER</t>
        </is>
      </c>
      <c r="C71" s="5" t="n">
        <v>1053</v>
      </c>
      <c r="D71" s="175" t="inlineStr">
        <is>
          <t>L</t>
        </is>
      </c>
      <c r="E71" s="5" t="inlineStr">
        <is>
          <t>ok item</t>
        </is>
      </c>
      <c r="F71" s="5" t="inlineStr">
        <is>
          <t>VEGETAL PROTEINS</t>
        </is>
      </c>
      <c r="G71" s="5" t="n">
        <v>1724</v>
      </c>
      <c r="H71" s="173" t="inlineStr">
        <is>
          <t>-</t>
        </is>
      </c>
      <c r="I71" s="174" t="inlineStr">
        <is>
          <t>-</t>
        </is>
      </c>
      <c r="J71" t="n">
        <v>41811890</v>
      </c>
    </row>
    <row r="72" ht="15.75" customHeight="1" s="201">
      <c r="A72" s="5" t="inlineStr">
        <is>
          <t>AGRICULTURAL PROCESSED</t>
        </is>
      </c>
      <c r="B72" s="5" t="inlineStr">
        <is>
          <t>SOY MILK*</t>
        </is>
      </c>
      <c r="C72" s="5" t="n">
        <v>2030</v>
      </c>
      <c r="D72" s="175" t="inlineStr">
        <is>
          <t>L</t>
        </is>
      </c>
      <c r="E72" s="5" t="inlineStr">
        <is>
          <t>item matching typology</t>
        </is>
      </c>
      <c r="F72" s="5" t="inlineStr">
        <is>
          <t>VEGETAL MILK* (soy milk)</t>
        </is>
      </c>
      <c r="G72" s="5" t="n">
        <v>2030</v>
      </c>
      <c r="H72" s="173" t="inlineStr">
        <is>
          <t>-</t>
        </is>
      </c>
      <c r="I72" s="174" t="inlineStr">
        <is>
          <t>-</t>
        </is>
      </c>
      <c r="J72" t="n">
        <v>11112110</v>
      </c>
    </row>
    <row r="73" ht="15.75" customHeight="1" s="201">
      <c r="A73" s="5" t="inlineStr">
        <is>
          <t>AGRICULTURAL PROCESSED</t>
        </is>
      </c>
      <c r="B73" s="5" t="inlineStr">
        <is>
          <t>SOY PASTE</t>
        </is>
      </c>
      <c r="C73" s="5" t="n">
        <v>572</v>
      </c>
      <c r="D73" s="175" t="inlineStr">
        <is>
          <t>L</t>
        </is>
      </c>
      <c r="E73" s="5" t="inlineStr">
        <is>
          <t>ok item</t>
        </is>
      </c>
      <c r="F73" s="5" t="inlineStr">
        <is>
          <t>DRESSING</t>
        </is>
      </c>
      <c r="G73" s="5" t="n">
        <v>572</v>
      </c>
      <c r="H73" s="173" t="inlineStr">
        <is>
          <t>-</t>
        </is>
      </c>
      <c r="I73" s="174" t="inlineStr">
        <is>
          <t>-</t>
        </is>
      </c>
      <c r="J73" t="n">
        <v>42200600</v>
      </c>
    </row>
    <row r="74" ht="15.75" customHeight="1" s="201">
      <c r="A74" s="5" t="inlineStr">
        <is>
          <t>AGRICULTURAL PROCESSED</t>
        </is>
      </c>
      <c r="B74" s="5" t="inlineStr">
        <is>
          <t>SOY SAUCE</t>
        </is>
      </c>
      <c r="C74" s="5" t="n">
        <v>613</v>
      </c>
      <c r="D74" s="175" t="inlineStr">
        <is>
          <t>L</t>
        </is>
      </c>
      <c r="E74" s="5" t="inlineStr">
        <is>
          <t>ok item</t>
        </is>
      </c>
      <c r="F74" s="5" t="inlineStr">
        <is>
          <t>DRESSING</t>
        </is>
      </c>
      <c r="G74" s="5" t="n">
        <v>572</v>
      </c>
      <c r="H74" s="173" t="inlineStr">
        <is>
          <t>-</t>
        </is>
      </c>
      <c r="I74" s="174" t="inlineStr">
        <is>
          <t>-</t>
        </is>
      </c>
      <c r="J74" t="n">
        <v>58146361</v>
      </c>
    </row>
    <row r="75" ht="15.75" customHeight="1" s="201">
      <c r="A75" s="5" t="inlineStr">
        <is>
          <t>AGRICULTURAL PROCESSED</t>
        </is>
      </c>
      <c r="B75" s="5" t="inlineStr">
        <is>
          <t>SOYBEAN FLOUR</t>
        </is>
      </c>
      <c r="C75" s="5" t="n">
        <v>2523</v>
      </c>
      <c r="D75" s="175" t="inlineStr">
        <is>
          <t>L</t>
        </is>
      </c>
      <c r="E75" s="5" t="inlineStr">
        <is>
          <t>ok item</t>
        </is>
      </c>
      <c r="F75" s="5" t="inlineStr">
        <is>
          <t>LEGUME FLOUR</t>
        </is>
      </c>
      <c r="G75" s="5" t="n">
        <v>2523</v>
      </c>
      <c r="H75" s="173" t="inlineStr">
        <is>
          <t>-</t>
        </is>
      </c>
      <c r="I75" s="174" t="inlineStr">
        <is>
          <t>-</t>
        </is>
      </c>
      <c r="J75" t="n">
        <v>52215350</v>
      </c>
    </row>
    <row r="76" ht="15.75" customHeight="1" s="201">
      <c r="A76" s="5" t="inlineStr">
        <is>
          <t>AGRICULTURAL PROCESSED</t>
        </is>
      </c>
      <c r="B76" s="5" t="inlineStr">
        <is>
          <t>SOYBEAN OIL</t>
        </is>
      </c>
      <c r="C76" s="5" t="n">
        <v>4190</v>
      </c>
      <c r="D76" s="175" t="inlineStr">
        <is>
          <t>L</t>
        </is>
      </c>
      <c r="E76" s="5" t="inlineStr">
        <is>
          <t>ok item</t>
        </is>
      </c>
      <c r="F76" s="5" t="inlineStr">
        <is>
          <t>OIL</t>
        </is>
      </c>
      <c r="G76" s="5" t="n">
        <v>6792</v>
      </c>
      <c r="H76" s="173" t="inlineStr">
        <is>
          <t>-</t>
        </is>
      </c>
      <c r="I76" s="174" t="inlineStr">
        <is>
          <t>-</t>
        </is>
      </c>
      <c r="J76" t="n">
        <v>41420010</v>
      </c>
    </row>
    <row r="77" ht="15.75" customHeight="1" s="201">
      <c r="A77" s="5" t="inlineStr">
        <is>
          <t>AGRICULTURAL PROCESSED</t>
        </is>
      </c>
      <c r="B77" s="5" t="inlineStr">
        <is>
          <t>SPINACH (F)</t>
        </is>
      </c>
      <c r="C77" s="5" t="n">
        <v>834</v>
      </c>
      <c r="D77" s="175" t="inlineStr">
        <is>
          <t>L</t>
        </is>
      </c>
      <c r="E77" s="5" t="inlineStr">
        <is>
          <t>ok item</t>
        </is>
      </c>
      <c r="F77" s="5" t="inlineStr">
        <is>
          <t>VEGETABLES FROZEN</t>
        </is>
      </c>
      <c r="G77" s="5" t="n">
        <v>750</v>
      </c>
      <c r="H77" s="173" t="inlineStr">
        <is>
          <t>-</t>
        </is>
      </c>
      <c r="I77" s="174" t="inlineStr">
        <is>
          <t>-</t>
        </is>
      </c>
      <c r="J77" t="n">
        <v>72125260</v>
      </c>
    </row>
    <row r="78" ht="15.75" customHeight="1" s="201">
      <c r="A78" s="5" t="inlineStr">
        <is>
          <t>AGRICULTURAL PROCESSED</t>
        </is>
      </c>
      <c r="B78" s="5" t="inlineStr">
        <is>
          <t>SUNFLOWER OIL</t>
        </is>
      </c>
      <c r="C78" s="5" t="n">
        <v>6792</v>
      </c>
      <c r="D78" s="175" t="inlineStr">
        <is>
          <t>L</t>
        </is>
      </c>
      <c r="E78" s="5" t="inlineStr">
        <is>
          <t>ok item</t>
        </is>
      </c>
      <c r="F78" s="5" t="inlineStr">
        <is>
          <t>OIL</t>
        </is>
      </c>
      <c r="G78" s="5" t="n">
        <v>6792</v>
      </c>
      <c r="H78" s="173" t="inlineStr">
        <is>
          <t>-</t>
        </is>
      </c>
      <c r="I78" s="174" t="inlineStr">
        <is>
          <t>-</t>
        </is>
      </c>
      <c r="J78" t="n">
        <v>43102000</v>
      </c>
    </row>
    <row r="79" ht="15.75" customHeight="1" s="201">
      <c r="A79" s="5" t="inlineStr">
        <is>
          <t>AGRICULTURAL PROCESSED</t>
        </is>
      </c>
      <c r="B79" s="5" t="inlineStr">
        <is>
          <t>SWEET CORN (F)</t>
        </is>
      </c>
      <c r="C79" s="5" t="n">
        <v>700</v>
      </c>
      <c r="D79" s="175" t="inlineStr">
        <is>
          <t>L</t>
        </is>
      </c>
      <c r="E79" s="5" t="inlineStr">
        <is>
          <t>ok item</t>
        </is>
      </c>
      <c r="F79" s="5" t="inlineStr">
        <is>
          <t>VEGETABLES FROZEN</t>
        </is>
      </c>
      <c r="G79" s="5" t="n">
        <v>750</v>
      </c>
      <c r="H79" s="173" t="inlineStr">
        <is>
          <t>-</t>
        </is>
      </c>
      <c r="I79" s="174" t="inlineStr">
        <is>
          <t>-</t>
        </is>
      </c>
      <c r="J79" t="n">
        <v>54401055</v>
      </c>
    </row>
    <row r="80" ht="15.75" customHeight="1" s="201">
      <c r="A80" s="5" t="inlineStr">
        <is>
          <t>AGRICULTURAL PROCESSED</t>
        </is>
      </c>
      <c r="B80" s="5" t="inlineStr">
        <is>
          <t>TAPIOCA OF CASSAVA</t>
        </is>
      </c>
      <c r="C80" s="5" t="n">
        <v>2818</v>
      </c>
      <c r="D80" s="175" t="inlineStr">
        <is>
          <t>L</t>
        </is>
      </c>
      <c r="E80" s="5" t="inlineStr">
        <is>
          <t>ok item</t>
        </is>
      </c>
      <c r="F80" s="5" t="inlineStr">
        <is>
          <t>STARCHY TUBER</t>
        </is>
      </c>
      <c r="G80" s="5" t="n">
        <v>1523</v>
      </c>
      <c r="H80" s="173" t="inlineStr">
        <is>
          <t>-</t>
        </is>
      </c>
      <c r="I80" s="174" t="inlineStr">
        <is>
          <t>-</t>
        </is>
      </c>
      <c r="J80" t="n">
        <v>13210520</v>
      </c>
    </row>
    <row r="81" ht="15.75" customHeight="1" s="201">
      <c r="A81" s="5" t="inlineStr">
        <is>
          <t>AGRICULTURAL PROCESSED</t>
        </is>
      </c>
      <c r="B81" s="5" t="inlineStr">
        <is>
          <t>TAPIOCA OF POTATOES</t>
        </is>
      </c>
      <c r="C81" s="5" t="n">
        <v>1436</v>
      </c>
      <c r="D81" s="175" t="inlineStr">
        <is>
          <t>L</t>
        </is>
      </c>
      <c r="E81" s="5" t="inlineStr">
        <is>
          <t>ok item</t>
        </is>
      </c>
      <c r="F81" s="5" t="inlineStr">
        <is>
          <t>STARCHY TUBER</t>
        </is>
      </c>
      <c r="G81" s="5" t="n">
        <v>1523</v>
      </c>
      <c r="H81" s="173" t="inlineStr">
        <is>
          <t>-</t>
        </is>
      </c>
      <c r="I81" s="174" t="inlineStr">
        <is>
          <t>-</t>
        </is>
      </c>
      <c r="J81" t="n">
        <v>13210520</v>
      </c>
    </row>
    <row r="82" ht="15.75" customHeight="1" s="201">
      <c r="A82" s="5" t="inlineStr">
        <is>
          <t>AGRICULTURAL PROCESSED</t>
        </is>
      </c>
      <c r="B82" s="5" t="inlineStr">
        <is>
          <t>TOFU</t>
        </is>
      </c>
      <c r="C82" s="5" t="n">
        <v>1724.5</v>
      </c>
      <c r="D82" s="175" t="inlineStr">
        <is>
          <t>H</t>
        </is>
      </c>
      <c r="E82" s="5" t="inlineStr">
        <is>
          <t>better typology</t>
        </is>
      </c>
      <c r="F82" s="5" t="inlineStr">
        <is>
          <t>VEGETAL PROTEINS</t>
        </is>
      </c>
      <c r="G82" s="5" t="n">
        <v>1724</v>
      </c>
      <c r="H82" s="173" t="inlineStr">
        <is>
          <t>-</t>
        </is>
      </c>
      <c r="I82" s="174" t="inlineStr">
        <is>
          <t>-</t>
        </is>
      </c>
      <c r="J82" t="n">
        <v>27415120</v>
      </c>
    </row>
    <row r="83" ht="15.75" customHeight="1" s="201">
      <c r="A83" s="5" t="inlineStr">
        <is>
          <t>AGRICULTURAL PROCESSED</t>
        </is>
      </c>
      <c r="B83" s="5" t="inlineStr">
        <is>
          <t>TOMATO &amp; BASIL</t>
        </is>
      </c>
      <c r="C83" s="5" t="n">
        <v>147</v>
      </c>
      <c r="D83" s="175" t="inlineStr">
        <is>
          <t>L</t>
        </is>
      </c>
      <c r="E83" s="5" t="inlineStr">
        <is>
          <t>ok item</t>
        </is>
      </c>
      <c r="F83" s="5" t="inlineStr">
        <is>
          <t>TOMATO SAUCE</t>
        </is>
      </c>
      <c r="G83" s="5" t="n">
        <v>151</v>
      </c>
      <c r="H83" s="173" t="inlineStr">
        <is>
          <t>-</t>
        </is>
      </c>
      <c r="I83" s="174" t="inlineStr">
        <is>
          <t>-</t>
        </is>
      </c>
      <c r="J83" t="n">
        <v>74601010</v>
      </c>
    </row>
    <row r="84" ht="15.75" customHeight="1" s="201">
      <c r="A84" s="5" t="inlineStr">
        <is>
          <t>AGRICULTURAL PROCESSED</t>
        </is>
      </c>
      <c r="B84" s="5" t="inlineStr">
        <is>
          <t>TOMATO ARRABBIATA</t>
        </is>
      </c>
      <c r="C84" s="5" t="n">
        <v>155</v>
      </c>
      <c r="D84" s="175" t="inlineStr">
        <is>
          <t>L</t>
        </is>
      </c>
      <c r="E84" s="5" t="inlineStr">
        <is>
          <t>ok item</t>
        </is>
      </c>
      <c r="F84" s="5" t="inlineStr">
        <is>
          <t>TOMATO SAUCE</t>
        </is>
      </c>
      <c r="G84" s="5" t="n">
        <v>151</v>
      </c>
      <c r="H84" s="173" t="inlineStr">
        <is>
          <t>-</t>
        </is>
      </c>
      <c r="I84" s="174" t="inlineStr">
        <is>
          <t>-</t>
        </is>
      </c>
      <c r="J84" t="n">
        <v>74601010</v>
      </c>
    </row>
    <row r="85" ht="15.75" customHeight="1" s="201">
      <c r="A85" s="5" t="inlineStr">
        <is>
          <t>AGRICULTURAL PROCESSED</t>
        </is>
      </c>
      <c r="B85" s="5" t="inlineStr">
        <is>
          <t>TOMATO JUICE</t>
        </is>
      </c>
      <c r="C85" s="5" t="n">
        <v>267</v>
      </c>
      <c r="D85" s="175" t="inlineStr">
        <is>
          <t>L</t>
        </is>
      </c>
      <c r="E85" s="5" t="inlineStr">
        <is>
          <t>ok item</t>
        </is>
      </c>
      <c r="F85" s="5" t="inlineStr">
        <is>
          <t>JUICE</t>
        </is>
      </c>
      <c r="G85" s="5" t="n">
        <v>1019</v>
      </c>
      <c r="H85" s="173" t="inlineStr">
        <is>
          <t>-</t>
        </is>
      </c>
      <c r="I85" s="174" t="inlineStr">
        <is>
          <t>-</t>
        </is>
      </c>
      <c r="J85" t="n">
        <v>64100110</v>
      </c>
    </row>
    <row r="86" ht="15.75" customHeight="1" s="201">
      <c r="A86" s="5" t="inlineStr">
        <is>
          <t>AGRICULTURAL PROCESSED</t>
        </is>
      </c>
      <c r="B86" s="5" t="inlineStr">
        <is>
          <t>TOMATO JUICE CONCENTRATED*</t>
        </is>
      </c>
      <c r="C86" s="5" t="n">
        <v>1069</v>
      </c>
      <c r="D86" s="175" t="inlineStr">
        <is>
          <t>L</t>
        </is>
      </c>
      <c r="E86" s="5" t="inlineStr">
        <is>
          <t>item matching typology</t>
        </is>
      </c>
      <c r="F86" s="5" t="inlineStr">
        <is>
          <t>JUICE CONCENTRATED* (tomato)</t>
        </is>
      </c>
      <c r="G86" s="5" t="n">
        <v>1069</v>
      </c>
      <c r="H86" s="173" t="inlineStr">
        <is>
          <t>-</t>
        </is>
      </c>
      <c r="I86" s="174" t="inlineStr">
        <is>
          <t>-</t>
        </is>
      </c>
      <c r="J86" t="n">
        <v>64100110</v>
      </c>
    </row>
    <row r="87" ht="15.75" customHeight="1" s="201">
      <c r="A87" s="5" t="inlineStr">
        <is>
          <t>AGRICULTURAL PROCESSED</t>
        </is>
      </c>
      <c r="B87" s="5" t="inlineStr">
        <is>
          <t>TOMATO PASTE</t>
        </is>
      </c>
      <c r="C87" s="5" t="n">
        <v>855</v>
      </c>
      <c r="D87" s="175" t="inlineStr">
        <is>
          <t>L</t>
        </is>
      </c>
      <c r="E87" s="5" t="inlineStr">
        <is>
          <t>ok item</t>
        </is>
      </c>
      <c r="F87" s="5" t="inlineStr">
        <is>
          <t>TOMATO PUREE,PEELED, CHOPPED</t>
        </is>
      </c>
      <c r="G87" s="5" t="n">
        <v>713</v>
      </c>
      <c r="H87" s="173" t="inlineStr">
        <is>
          <t>-</t>
        </is>
      </c>
      <c r="I87" s="174" t="inlineStr">
        <is>
          <t>-</t>
        </is>
      </c>
      <c r="J87" t="n">
        <v>74601010</v>
      </c>
    </row>
    <row r="88" ht="15.75" customHeight="1" s="201">
      <c r="A88" s="5" t="inlineStr">
        <is>
          <t>AGRICULTURAL PROCESSED</t>
        </is>
      </c>
      <c r="B88" s="5" t="inlineStr">
        <is>
          <t>TOMATO PEELED</t>
        </is>
      </c>
      <c r="C88" s="5" t="n">
        <v>267</v>
      </c>
      <c r="D88" s="175" t="inlineStr">
        <is>
          <t>L</t>
        </is>
      </c>
      <c r="E88" s="5" t="inlineStr">
        <is>
          <t>ok item</t>
        </is>
      </c>
      <c r="F88" s="5" t="inlineStr">
        <is>
          <t>TOMATO PUREE,PEELED, CHOPPED</t>
        </is>
      </c>
      <c r="G88" s="5" t="n">
        <v>713</v>
      </c>
      <c r="H88" s="173" t="inlineStr">
        <is>
          <t>-</t>
        </is>
      </c>
      <c r="I88" s="174" t="inlineStr">
        <is>
          <t>-</t>
        </is>
      </c>
      <c r="J88" t="n">
        <v>74601010</v>
      </c>
    </row>
    <row r="89" ht="15.75" customHeight="1" s="201">
      <c r="A89" s="5" t="inlineStr">
        <is>
          <t>AGRICULTURAL PROCESSED</t>
        </is>
      </c>
      <c r="B89" s="5" t="inlineStr">
        <is>
          <t>TOMATO PUREE</t>
        </is>
      </c>
      <c r="C89" s="5" t="n">
        <v>713</v>
      </c>
      <c r="D89" s="175" t="inlineStr">
        <is>
          <t>L</t>
        </is>
      </c>
      <c r="E89" s="5" t="inlineStr">
        <is>
          <t>ok item</t>
        </is>
      </c>
      <c r="F89" s="5" t="inlineStr">
        <is>
          <t>TOMATO PUREE,PEELED, CHOPPED</t>
        </is>
      </c>
      <c r="G89" s="5" t="n">
        <v>713</v>
      </c>
      <c r="H89" s="173" t="inlineStr">
        <is>
          <t>-</t>
        </is>
      </c>
      <c r="I89" s="174" t="inlineStr">
        <is>
          <t>-</t>
        </is>
      </c>
      <c r="J89" t="n">
        <v>74601010</v>
      </c>
    </row>
    <row r="90" ht="15.75" customHeight="1" s="201">
      <c r="A90" s="5" t="inlineStr">
        <is>
          <t>AGRICULTURAL PROCESSED</t>
        </is>
      </c>
      <c r="B90" s="5" t="inlineStr">
        <is>
          <t>WHEAT FLOUR</t>
        </is>
      </c>
      <c r="C90" s="5" t="n">
        <v>1849</v>
      </c>
      <c r="D90" s="175" t="inlineStr">
        <is>
          <t>L</t>
        </is>
      </c>
      <c r="E90" s="5" t="inlineStr">
        <is>
          <t>ok item</t>
        </is>
      </c>
      <c r="F90" s="5" t="inlineStr">
        <is>
          <t>GRAIN FLOUR</t>
        </is>
      </c>
      <c r="G90" s="5" t="n">
        <v>1889</v>
      </c>
      <c r="H90" s="173" t="inlineStr">
        <is>
          <t>-</t>
        </is>
      </c>
      <c r="I90" s="174" t="inlineStr">
        <is>
          <t>-</t>
        </is>
      </c>
      <c r="J90" t="n">
        <v>54338000</v>
      </c>
    </row>
    <row r="91" ht="15.75" customHeight="1" s="201">
      <c r="A91" s="5" t="inlineStr">
        <is>
          <t>AGRICULTURAL PROCESSED</t>
        </is>
      </c>
      <c r="B91" s="5" t="inlineStr">
        <is>
          <t>WHEAT GLUTEN</t>
        </is>
      </c>
      <c r="C91" s="5" t="n">
        <v>4189</v>
      </c>
      <c r="D91" s="175" t="inlineStr">
        <is>
          <t>L</t>
        </is>
      </c>
      <c r="E91" s="5" t="inlineStr">
        <is>
          <t>ok item</t>
        </is>
      </c>
      <c r="F91" s="5" t="inlineStr">
        <is>
          <t>PROCESSED GRAINS (grouts, malt)</t>
        </is>
      </c>
      <c r="G91" s="5" t="n">
        <v>2133</v>
      </c>
      <c r="H91" s="173" t="inlineStr">
        <is>
          <t>-</t>
        </is>
      </c>
      <c r="I91" s="174" t="inlineStr">
        <is>
          <t>-</t>
        </is>
      </c>
      <c r="J91" t="n">
        <v>54338000</v>
      </c>
    </row>
    <row r="92" ht="15.75" customHeight="1" s="201">
      <c r="A92" s="5" t="inlineStr">
        <is>
          <t>AGRICULTURAL PROCESSED</t>
        </is>
      </c>
      <c r="B92" s="5" t="inlineStr">
        <is>
          <t>WHEAT PELLETS</t>
        </is>
      </c>
      <c r="C92" s="5" t="n">
        <v>2036</v>
      </c>
      <c r="D92" s="175" t="inlineStr">
        <is>
          <t>L</t>
        </is>
      </c>
      <c r="E92" s="5" t="inlineStr">
        <is>
          <t>ok item</t>
        </is>
      </c>
      <c r="F92" s="5" t="inlineStr">
        <is>
          <t>PROCESSED GRAINS (grouts, malt)</t>
        </is>
      </c>
      <c r="G92" s="5" t="n">
        <v>2133</v>
      </c>
      <c r="H92" s="173" t="inlineStr">
        <is>
          <t>-</t>
        </is>
      </c>
      <c r="I92" s="174" t="inlineStr">
        <is>
          <t>-</t>
        </is>
      </c>
      <c r="J92" t="n">
        <v>54338000</v>
      </c>
    </row>
    <row r="93" ht="15.75" customHeight="1" s="201">
      <c r="A93" s="5" t="inlineStr">
        <is>
          <t>AGRICULTURAL PROCESSED</t>
        </is>
      </c>
      <c r="B93" s="5" t="inlineStr">
        <is>
          <t>WHEAT STARCH</t>
        </is>
      </c>
      <c r="C93" s="5" t="n">
        <v>1436</v>
      </c>
      <c r="D93" s="175" t="inlineStr">
        <is>
          <t>L</t>
        </is>
      </c>
      <c r="E93" s="5" t="inlineStr">
        <is>
          <t>ok item</t>
        </is>
      </c>
      <c r="F93" s="5" t="inlineStr">
        <is>
          <t>STARCH</t>
        </is>
      </c>
      <c r="G93" s="5" t="n">
        <v>1591</v>
      </c>
      <c r="H93" s="173" t="inlineStr">
        <is>
          <t>-</t>
        </is>
      </c>
      <c r="I93" s="174" t="inlineStr">
        <is>
          <t>-</t>
        </is>
      </c>
      <c r="J93" t="n">
        <v>54338000</v>
      </c>
    </row>
    <row r="94" ht="15.75" customHeight="1" s="201">
      <c r="A94" s="5" t="inlineStr">
        <is>
          <t>AGRICULTURAL PROCESSED</t>
        </is>
      </c>
      <c r="B94" s="5" t="inlineStr">
        <is>
          <t>WHOLEGRAIN CRACKERS**</t>
        </is>
      </c>
      <c r="C94" s="5" t="n">
        <v>617</v>
      </c>
      <c r="D94" s="175" t="inlineStr">
        <is>
          <t>L</t>
        </is>
      </c>
      <c r="E94" s="5" t="inlineStr">
        <is>
          <t>ok item</t>
        </is>
      </c>
      <c r="F94" s="5" t="inlineStr">
        <is>
          <t>CRACKERS</t>
        </is>
      </c>
      <c r="G94" s="5" t="n">
        <v>1258</v>
      </c>
      <c r="H94" s="173" t="inlineStr">
        <is>
          <t>-</t>
        </is>
      </c>
      <c r="I94" s="174" t="inlineStr">
        <is>
          <t>-</t>
        </is>
      </c>
      <c r="J94" t="n">
        <v>54326000</v>
      </c>
    </row>
    <row r="95" ht="15.75" customHeight="1" s="201">
      <c r="A95" s="5" t="inlineStr">
        <is>
          <t>AGRICULTURAL PROCESSED</t>
        </is>
      </c>
      <c r="B95" s="5" t="inlineStr">
        <is>
          <t>WINE*</t>
        </is>
      </c>
      <c r="C95" s="5" t="n">
        <v>524</v>
      </c>
      <c r="D95" s="175" t="inlineStr">
        <is>
          <t>L</t>
        </is>
      </c>
      <c r="E95" s="5" t="inlineStr">
        <is>
          <t>item matching typology</t>
        </is>
      </c>
      <c r="F95" s="5" t="inlineStr">
        <is>
          <t>WINE*</t>
        </is>
      </c>
      <c r="G95" s="5" t="n">
        <v>524</v>
      </c>
      <c r="H95" s="173" t="inlineStr">
        <is>
          <t>-</t>
        </is>
      </c>
      <c r="I95" s="174" t="inlineStr">
        <is>
          <t>-</t>
        </is>
      </c>
      <c r="J95" t="n">
        <v>93401100</v>
      </c>
    </row>
    <row r="96" ht="15.75" customHeight="1" s="201">
      <c r="A96" s="5" t="inlineStr">
        <is>
          <t>AGRICULTURAL PROCESSED</t>
        </is>
      </c>
      <c r="B96" s="5" t="inlineStr">
        <is>
          <t>YEAST COMPRESSED*</t>
        </is>
      </c>
      <c r="C96" s="5" t="n">
        <v>51</v>
      </c>
      <c r="D96" s="175" t="inlineStr">
        <is>
          <t>H</t>
        </is>
      </c>
      <c r="E96" s="5" t="inlineStr">
        <is>
          <t>item matching typology</t>
        </is>
      </c>
      <c r="F96" s="5" t="inlineStr">
        <is>
          <t>YEAST COMPRESSED*</t>
        </is>
      </c>
      <c r="G96" s="5" t="n">
        <v>51</v>
      </c>
      <c r="H96" s="176" t="inlineStr">
        <is>
          <t>
</t>
        </is>
      </c>
      <c r="I96" s="174" t="inlineStr">
        <is>
          <t>-</t>
        </is>
      </c>
      <c r="J96" t="n">
        <v>75236000</v>
      </c>
    </row>
    <row r="97" ht="15.75" customHeight="1" s="201">
      <c r="A97" s="5" t="inlineStr">
        <is>
          <t>ANIMAL HUSBANDRY</t>
        </is>
      </c>
      <c r="B97" s="5" t="inlineStr">
        <is>
          <t>ASS MEAT</t>
        </is>
      </c>
      <c r="C97" s="5" t="n">
        <v>50274</v>
      </c>
      <c r="D97" s="175" t="inlineStr">
        <is>
          <t>L</t>
        </is>
      </c>
      <c r="E97" s="5" t="inlineStr">
        <is>
          <t>ok item</t>
        </is>
      </c>
      <c r="F97" s="5" t="inlineStr">
        <is>
          <t>EQUINE MEAT</t>
        </is>
      </c>
      <c r="G97" s="5" t="n">
        <v>51779</v>
      </c>
      <c r="H97" s="173" t="inlineStr">
        <is>
          <t>-</t>
        </is>
      </c>
      <c r="I97" s="174" t="inlineStr">
        <is>
          <t>-</t>
        </is>
      </c>
      <c r="J97" t="n">
        <v>14620320</v>
      </c>
    </row>
    <row r="98" ht="15.75" customHeight="1" s="201">
      <c r="A98" s="5" t="inlineStr">
        <is>
          <t>ANIMAL HUSBANDRY</t>
        </is>
      </c>
      <c r="B98" s="5" t="inlineStr">
        <is>
          <t>ASS OFFAL</t>
        </is>
      </c>
      <c r="C98" s="5" t="n">
        <v>3152</v>
      </c>
      <c r="D98" s="175" t="inlineStr">
        <is>
          <t>L</t>
        </is>
      </c>
      <c r="E98" s="5" t="inlineStr">
        <is>
          <t>ok item</t>
        </is>
      </c>
      <c r="F98" s="5" t="inlineStr">
        <is>
          <t>OFFAL, FAT, LIVER</t>
        </is>
      </c>
      <c r="G98" s="5" t="n">
        <v>3152</v>
      </c>
      <c r="H98" s="173" t="inlineStr">
        <is>
          <t>-</t>
        </is>
      </c>
      <c r="I98" s="174" t="inlineStr">
        <is>
          <t>-</t>
        </is>
      </c>
    </row>
    <row r="99" ht="15.75" customHeight="1" s="201">
      <c r="A99" s="5" t="inlineStr">
        <is>
          <t>ANIMAL HUSBANDRY</t>
        </is>
      </c>
      <c r="B99" s="5" t="inlineStr">
        <is>
          <t>BACON</t>
        </is>
      </c>
      <c r="C99" s="5" t="n">
        <v>6116</v>
      </c>
      <c r="D99" s="175" t="inlineStr">
        <is>
          <t>L</t>
        </is>
      </c>
      <c r="E99" s="5" t="inlineStr">
        <is>
          <t>ok item</t>
        </is>
      </c>
      <c r="F99" s="5" t="inlineStr">
        <is>
          <t>PORK CURED MEAT</t>
        </is>
      </c>
      <c r="G99" s="5" t="n">
        <v>6177</v>
      </c>
      <c r="H99" s="173" t="inlineStr">
        <is>
          <t>-</t>
        </is>
      </c>
      <c r="I99" s="174" t="inlineStr">
        <is>
          <t>-</t>
        </is>
      </c>
      <c r="J99" t="n">
        <v>32202070</v>
      </c>
    </row>
    <row r="100" ht="15.75" customHeight="1" s="201">
      <c r="A100" s="5" t="inlineStr">
        <is>
          <t>ANIMAL HUSBANDRY</t>
        </is>
      </c>
      <c r="B100" s="5" t="inlineStr">
        <is>
          <t>BEEF BONE FREE MEAT*</t>
        </is>
      </c>
      <c r="C100" s="5" t="n">
        <v>15139</v>
      </c>
      <c r="D100" s="175" t="inlineStr">
        <is>
          <t>L</t>
        </is>
      </c>
      <c r="E100" s="5" t="inlineStr">
        <is>
          <t>item matching typology</t>
        </is>
      </c>
      <c r="F100" s="5" t="inlineStr">
        <is>
          <t>BEEF BONE FREE MEAT*</t>
        </is>
      </c>
      <c r="G100" s="5" t="n">
        <v>15139</v>
      </c>
      <c r="H100" s="176" t="inlineStr">
        <is>
          <t>
</t>
        </is>
      </c>
      <c r="I100" s="174" t="inlineStr">
        <is>
          <t>-</t>
        </is>
      </c>
      <c r="J100" t="n">
        <v>28110510</v>
      </c>
    </row>
    <row r="101" ht="15.75" customHeight="1" s="201">
      <c r="A101" s="5" t="inlineStr">
        <is>
          <t>ANIMAL HUSBANDRY</t>
        </is>
      </c>
      <c r="B101" s="5" t="inlineStr">
        <is>
          <t>BEEF CURED MEAT</t>
        </is>
      </c>
      <c r="C101" s="5" t="n">
        <v>23799</v>
      </c>
      <c r="D101" s="175" t="inlineStr">
        <is>
          <t>L</t>
        </is>
      </c>
      <c r="E101" s="5" t="inlineStr">
        <is>
          <t>ok item</t>
        </is>
      </c>
      <c r="F101" s="5" t="inlineStr">
        <is>
          <t>BEEF CURED MEAT</t>
        </is>
      </c>
      <c r="G101" s="5" t="n">
        <v>23799</v>
      </c>
      <c r="H101" s="176" t="inlineStr">
        <is>
          <t>
</t>
        </is>
      </c>
      <c r="I101" s="174" t="inlineStr">
        <is>
          <t>-</t>
        </is>
      </c>
      <c r="J101" t="n">
        <v>28110510</v>
      </c>
    </row>
    <row r="102" ht="15.75" customHeight="1" s="201">
      <c r="A102" s="5" t="inlineStr">
        <is>
          <t>ANIMAL HUSBANDRY</t>
        </is>
      </c>
      <c r="B102" s="5" t="inlineStr">
        <is>
          <t>BEEF LIVER</t>
        </is>
      </c>
      <c r="C102" s="5" t="n">
        <v>7746</v>
      </c>
      <c r="D102" s="175" t="inlineStr">
        <is>
          <t>L</t>
        </is>
      </c>
      <c r="E102" s="5" t="inlineStr">
        <is>
          <t>ok item</t>
        </is>
      </c>
      <c r="F102" s="5" t="inlineStr">
        <is>
          <t>OFFAL, FAT, LIVER</t>
        </is>
      </c>
      <c r="G102" s="5" t="n">
        <v>3152</v>
      </c>
      <c r="H102" s="173" t="inlineStr">
        <is>
          <t>-</t>
        </is>
      </c>
      <c r="I102" s="174" t="inlineStr">
        <is>
          <t>-</t>
        </is>
      </c>
      <c r="J102" t="n">
        <v>28110510</v>
      </c>
    </row>
    <row r="103" ht="15.75" customHeight="1" s="201">
      <c r="A103" s="5" t="inlineStr">
        <is>
          <t>ANIMAL HUSBANDRY</t>
        </is>
      </c>
      <c r="B103" s="5" t="inlineStr">
        <is>
          <t>BEEF MEAT WITH BONE</t>
        </is>
      </c>
      <c r="C103" s="5" t="n">
        <v>10943</v>
      </c>
      <c r="D103" s="175" t="inlineStr">
        <is>
          <t>L</t>
        </is>
      </c>
      <c r="E103" s="5" t="inlineStr">
        <is>
          <t>ok item</t>
        </is>
      </c>
      <c r="F103" s="5" t="inlineStr">
        <is>
          <t>BEEF MEAT WITH BONE</t>
        </is>
      </c>
      <c r="G103" s="5" t="n">
        <v>10943</v>
      </c>
      <c r="H103" s="176" t="inlineStr">
        <is>
          <t>
</t>
        </is>
      </c>
      <c r="I103" s="174" t="inlineStr">
        <is>
          <t>-</t>
        </is>
      </c>
      <c r="J103" t="n">
        <v>58128250</v>
      </c>
    </row>
    <row r="104" ht="15.75" customHeight="1" s="201">
      <c r="A104" s="5" t="inlineStr">
        <is>
          <t>ANIMAL HUSBANDRY</t>
        </is>
      </c>
      <c r="B104" s="5" t="inlineStr">
        <is>
          <t>BEEF OFFAL</t>
        </is>
      </c>
      <c r="C104" s="5" t="n">
        <v>11155</v>
      </c>
      <c r="D104" s="175" t="inlineStr">
        <is>
          <t>L</t>
        </is>
      </c>
      <c r="E104" s="5" t="inlineStr">
        <is>
          <t>ok item</t>
        </is>
      </c>
      <c r="F104" s="5" t="inlineStr">
        <is>
          <t>OFFAL, FAT, LIVER</t>
        </is>
      </c>
      <c r="G104" s="5" t="n">
        <v>3152</v>
      </c>
      <c r="H104" s="173" t="inlineStr">
        <is>
          <t>-</t>
        </is>
      </c>
      <c r="I104" s="174" t="inlineStr">
        <is>
          <t>-</t>
        </is>
      </c>
      <c r="J104" t="n">
        <v>28110510</v>
      </c>
    </row>
    <row r="105" ht="15.75" customHeight="1" s="201">
      <c r="A105" s="5" t="inlineStr">
        <is>
          <t>ANIMAL HUSBANDRY</t>
        </is>
      </c>
      <c r="B105" s="5" t="inlineStr">
        <is>
          <t>BUTTER*</t>
        </is>
      </c>
      <c r="C105" s="5" t="n">
        <v>5659</v>
      </c>
      <c r="D105" s="175" t="inlineStr">
        <is>
          <t>L</t>
        </is>
      </c>
      <c r="E105" s="5" t="inlineStr">
        <is>
          <t>item matching typology</t>
        </is>
      </c>
      <c r="F105" s="5" t="inlineStr">
        <is>
          <t>BUTTER*</t>
        </is>
      </c>
      <c r="G105" s="5" t="n">
        <v>5659</v>
      </c>
      <c r="H105" s="173" t="inlineStr">
        <is>
          <t>-</t>
        </is>
      </c>
      <c r="I105" s="174" t="inlineStr">
        <is>
          <t>-</t>
        </is>
      </c>
      <c r="J105" t="n">
        <v>54328100</v>
      </c>
    </row>
    <row r="106" ht="15.75" customHeight="1" s="201">
      <c r="A106" s="5" t="inlineStr">
        <is>
          <t>ANIMAL HUSBANDRY</t>
        </is>
      </c>
      <c r="B106" s="5" t="inlineStr">
        <is>
          <t>BUTTERED MILK</t>
        </is>
      </c>
      <c r="C106" s="5" t="n">
        <v>1599</v>
      </c>
      <c r="D106" s="175" t="inlineStr">
        <is>
          <t>L</t>
        </is>
      </c>
      <c r="E106" s="5" t="inlineStr">
        <is>
          <t>ok item</t>
        </is>
      </c>
      <c r="F106" s="5" t="inlineStr">
        <is>
          <t>MILK</t>
        </is>
      </c>
      <c r="G106" s="5" t="n">
        <v>1599</v>
      </c>
      <c r="H106" s="173" t="inlineStr">
        <is>
          <t>-</t>
        </is>
      </c>
      <c r="I106" s="174" t="inlineStr">
        <is>
          <t>-</t>
        </is>
      </c>
      <c r="J106" t="n">
        <v>11112110</v>
      </c>
    </row>
    <row r="107" ht="15.75" customHeight="1" s="201">
      <c r="A107" s="5" t="inlineStr">
        <is>
          <t>ANIMAL HUSBANDRY</t>
        </is>
      </c>
      <c r="B107" s="5" t="inlineStr">
        <is>
          <t>CHEESE</t>
        </is>
      </c>
      <c r="C107" s="5" t="n">
        <v>5253</v>
      </c>
      <c r="D107" s="175" t="inlineStr">
        <is>
          <t>L</t>
        </is>
      </c>
      <c r="E107" s="5" t="inlineStr">
        <is>
          <t>ok item</t>
        </is>
      </c>
      <c r="F107" s="5" t="inlineStr">
        <is>
          <t>CHEESE</t>
        </is>
      </c>
      <c r="G107" s="5" t="n">
        <v>5253</v>
      </c>
      <c r="H107" s="173" t="inlineStr">
        <is>
          <t>-</t>
        </is>
      </c>
      <c r="I107" s="174" t="inlineStr">
        <is>
          <t>-</t>
        </is>
      </c>
      <c r="J107" t="n">
        <v>14420100</v>
      </c>
    </row>
    <row r="108" ht="15.75" customHeight="1" s="201">
      <c r="A108" s="5" t="inlineStr">
        <is>
          <t>ANIMAL HUSBANDRY</t>
        </is>
      </c>
      <c r="B108" s="5" t="inlineStr">
        <is>
          <t>CHEESE BLUE-VEINED</t>
        </is>
      </c>
      <c r="C108" s="5" t="n">
        <v>5060</v>
      </c>
      <c r="D108" s="175" t="inlineStr">
        <is>
          <t>L</t>
        </is>
      </c>
      <c r="E108" s="5" t="inlineStr">
        <is>
          <t>ok item</t>
        </is>
      </c>
      <c r="F108" s="5" t="inlineStr">
        <is>
          <t>CHEESE</t>
        </is>
      </c>
      <c r="G108" s="5" t="n">
        <v>5253</v>
      </c>
      <c r="H108" s="173" t="inlineStr">
        <is>
          <t>-</t>
        </is>
      </c>
      <c r="I108" s="174" t="inlineStr">
        <is>
          <t>-</t>
        </is>
      </c>
      <c r="J108" t="n">
        <v>14420100</v>
      </c>
    </row>
    <row r="109" ht="15.75" customHeight="1" s="201">
      <c r="A109" s="5" t="inlineStr">
        <is>
          <t>ANIMAL HUSBANDRY</t>
        </is>
      </c>
      <c r="B109" s="5" t="inlineStr">
        <is>
          <t>CHEESE GRATED</t>
        </is>
      </c>
      <c r="C109" s="5" t="n">
        <v>5060</v>
      </c>
      <c r="D109" s="175" t="inlineStr">
        <is>
          <t>L</t>
        </is>
      </c>
      <c r="E109" s="5" t="inlineStr">
        <is>
          <t>ok item</t>
        </is>
      </c>
      <c r="F109" s="5" t="inlineStr">
        <is>
          <t>CHEESE</t>
        </is>
      </c>
      <c r="G109" s="5" t="n">
        <v>5253</v>
      </c>
      <c r="H109" s="173" t="inlineStr">
        <is>
          <t>-</t>
        </is>
      </c>
      <c r="I109" s="174" t="inlineStr">
        <is>
          <t>-</t>
        </is>
      </c>
      <c r="J109" t="n">
        <v>14420100</v>
      </c>
    </row>
    <row r="110" ht="15.75" customHeight="1" s="201">
      <c r="A110" s="5" t="inlineStr">
        <is>
          <t>ANIMAL HUSBANDRY</t>
        </is>
      </c>
      <c r="B110" s="5" t="inlineStr">
        <is>
          <t>CHICKEN BONE FREE MEAT</t>
        </is>
      </c>
      <c r="C110" s="5" t="n">
        <v>3960</v>
      </c>
      <c r="D110" s="175" t="inlineStr">
        <is>
          <t>L</t>
        </is>
      </c>
      <c r="E110" s="5" t="inlineStr">
        <is>
          <t>ok item</t>
        </is>
      </c>
      <c r="F110" s="5" t="inlineStr">
        <is>
          <t>POULTRY BONE FREE MEAT</t>
        </is>
      </c>
      <c r="G110" s="5" t="n">
        <v>4325</v>
      </c>
      <c r="H110" s="173" t="inlineStr">
        <is>
          <t>-</t>
        </is>
      </c>
      <c r="I110" s="174" t="inlineStr">
        <is>
          <t>-</t>
        </is>
      </c>
      <c r="J110" t="n">
        <v>27446260</v>
      </c>
    </row>
    <row r="111" ht="15.75" customHeight="1" s="201">
      <c r="A111" s="5" t="inlineStr">
        <is>
          <t>ANIMAL HUSBANDRY</t>
        </is>
      </c>
      <c r="B111" s="5" t="inlineStr">
        <is>
          <t>CHICKEN MEAT WITH BONE*</t>
        </is>
      </c>
      <c r="C111" s="5" t="n">
        <v>3330</v>
      </c>
      <c r="D111" s="175" t="inlineStr">
        <is>
          <t>L</t>
        </is>
      </c>
      <c r="E111" s="5" t="inlineStr">
        <is>
          <t>item matching typology</t>
        </is>
      </c>
      <c r="F111" s="5" t="inlineStr">
        <is>
          <t>POULTRY MEAT WITH BONE* (chicken)</t>
        </is>
      </c>
      <c r="G111" s="5" t="n">
        <v>3330</v>
      </c>
      <c r="H111" s="173" t="inlineStr">
        <is>
          <t>-</t>
        </is>
      </c>
      <c r="I111" s="174" t="inlineStr">
        <is>
          <t>-</t>
        </is>
      </c>
      <c r="J111" t="n">
        <v>27446315</v>
      </c>
    </row>
    <row r="112" ht="15.75" customHeight="1" s="201">
      <c r="A112" s="5" t="inlineStr">
        <is>
          <t>ANIMAL HUSBANDRY</t>
        </is>
      </c>
      <c r="B112" s="5" t="inlineStr">
        <is>
          <t>COW MILK</t>
        </is>
      </c>
      <c r="C112" s="5" t="n">
        <v>1260.5</v>
      </c>
      <c r="D112" s="175" t="inlineStr">
        <is>
          <t>L</t>
        </is>
      </c>
      <c r="E112" s="5" t="inlineStr">
        <is>
          <t>ok item</t>
        </is>
      </c>
      <c r="F112" s="5" t="inlineStr">
        <is>
          <t>MILK</t>
        </is>
      </c>
      <c r="G112" s="5" t="n">
        <v>1599</v>
      </c>
      <c r="H112" s="173" t="inlineStr">
        <is>
          <t>-</t>
        </is>
      </c>
      <c r="I112" s="174" t="inlineStr">
        <is>
          <t>-</t>
        </is>
      </c>
      <c r="J112" t="n">
        <v>11112110</v>
      </c>
    </row>
    <row r="113" ht="15.75" customHeight="1" s="201">
      <c r="A113" s="5" t="inlineStr">
        <is>
          <t>ANIMAL HUSBANDRY</t>
        </is>
      </c>
      <c r="B113" s="5" t="inlineStr">
        <is>
          <t>CREAM</t>
        </is>
      </c>
      <c r="C113" s="5" t="n">
        <v>3838</v>
      </c>
      <c r="D113" s="175" t="inlineStr">
        <is>
          <t>L</t>
        </is>
      </c>
      <c r="E113" s="5" t="inlineStr">
        <is>
          <t>ok item</t>
        </is>
      </c>
      <c r="F113" s="5" t="inlineStr">
        <is>
          <t>CHEESE</t>
        </is>
      </c>
      <c r="G113" s="5" t="n">
        <v>5253</v>
      </c>
      <c r="H113" s="173" t="inlineStr">
        <is>
          <t>-</t>
        </is>
      </c>
      <c r="I113" s="174" t="inlineStr">
        <is>
          <t>-</t>
        </is>
      </c>
      <c r="J113" t="n">
        <v>12110100</v>
      </c>
    </row>
    <row r="114" ht="15.75" customHeight="1" s="201">
      <c r="A114" s="5" t="inlineStr">
        <is>
          <t>ANIMAL HUSBANDRY</t>
        </is>
      </c>
      <c r="B114" s="5" t="inlineStr">
        <is>
          <t>CURED HAM BONE FREE</t>
        </is>
      </c>
      <c r="C114" s="5" t="n">
        <v>9850</v>
      </c>
      <c r="D114" s="175" t="inlineStr">
        <is>
          <t>H</t>
        </is>
      </c>
      <c r="E114" s="5" t="inlineStr">
        <is>
          <t>better typology</t>
        </is>
      </c>
      <c r="F114" s="5" t="inlineStr">
        <is>
          <t>PORK CURED MEAT</t>
        </is>
      </c>
      <c r="G114" s="5" t="n">
        <v>6177</v>
      </c>
      <c r="H114" s="173" t="inlineStr">
        <is>
          <t>-</t>
        </is>
      </c>
      <c r="I114" s="174" t="inlineStr">
        <is>
          <t>-</t>
        </is>
      </c>
      <c r="J114" t="n">
        <v>27446260</v>
      </c>
    </row>
    <row r="115" ht="15.75" customHeight="1" s="201">
      <c r="A115" s="5" t="inlineStr">
        <is>
          <t>ANIMAL HUSBANDRY</t>
        </is>
      </c>
      <c r="B115" s="5" t="inlineStr">
        <is>
          <t>CURED HAM WITH BONE</t>
        </is>
      </c>
      <c r="C115" s="5" t="n">
        <v>5798</v>
      </c>
      <c r="D115" s="175" t="inlineStr">
        <is>
          <t>L</t>
        </is>
      </c>
      <c r="E115" s="5" t="inlineStr">
        <is>
          <t>ok item</t>
        </is>
      </c>
      <c r="F115" s="5" t="inlineStr">
        <is>
          <t>PORK CURED MEAT</t>
        </is>
      </c>
      <c r="G115" s="5" t="n">
        <v>6177</v>
      </c>
      <c r="H115" s="173" t="inlineStr">
        <is>
          <t>-</t>
        </is>
      </c>
      <c r="I115" s="174" t="inlineStr">
        <is>
          <t>-</t>
        </is>
      </c>
      <c r="J115" t="n">
        <v>75142550</v>
      </c>
    </row>
    <row r="116" ht="15.75" customHeight="1" s="201">
      <c r="A116" s="5" t="inlineStr">
        <is>
          <t>ANIMAL HUSBANDRY</t>
        </is>
      </c>
      <c r="B116" s="5" t="inlineStr">
        <is>
          <t>CURED PORK BONE FREE</t>
        </is>
      </c>
      <c r="C116" s="5" t="n">
        <v>6238</v>
      </c>
      <c r="D116" s="175" t="inlineStr">
        <is>
          <t>L</t>
        </is>
      </c>
      <c r="E116" s="5" t="inlineStr">
        <is>
          <t>ok item</t>
        </is>
      </c>
      <c r="F116" s="5" t="inlineStr">
        <is>
          <t>PORK CURED MEAT</t>
        </is>
      </c>
      <c r="G116" s="5" t="n">
        <v>6177</v>
      </c>
      <c r="H116" s="173" t="inlineStr">
        <is>
          <t>-</t>
        </is>
      </c>
      <c r="I116" s="174" t="inlineStr">
        <is>
          <t>-</t>
        </is>
      </c>
      <c r="J116" t="n">
        <v>27446260</v>
      </c>
    </row>
    <row r="117" ht="15.75" customHeight="1" s="201">
      <c r="A117" s="5" t="inlineStr">
        <is>
          <t>ANIMAL HUSBANDRY</t>
        </is>
      </c>
      <c r="B117" s="5" t="inlineStr">
        <is>
          <t>CURED SHOULDERS WITH BONE</t>
        </is>
      </c>
      <c r="C117" s="5" t="n">
        <v>5798</v>
      </c>
      <c r="D117" s="175" t="inlineStr">
        <is>
          <t>L</t>
        </is>
      </c>
      <c r="E117" s="5" t="inlineStr">
        <is>
          <t>ok item</t>
        </is>
      </c>
      <c r="F117" s="5" t="inlineStr">
        <is>
          <t>PORK CURED MEAT</t>
        </is>
      </c>
      <c r="G117" s="5" t="n">
        <v>6177</v>
      </c>
      <c r="H117" s="173" t="inlineStr">
        <is>
          <t>-</t>
        </is>
      </c>
      <c r="I117" s="174" t="inlineStr">
        <is>
          <t>-</t>
        </is>
      </c>
      <c r="J117" t="n">
        <v>75142550</v>
      </c>
    </row>
    <row r="118" ht="15.75" customHeight="1" s="201">
      <c r="A118" s="5" t="inlineStr">
        <is>
          <t>ANIMAL HUSBANDRY</t>
        </is>
      </c>
      <c r="B118" s="5" t="inlineStr">
        <is>
          <t>DUCK BONE FREE MEAT</t>
        </is>
      </c>
      <c r="C118" s="5" t="n">
        <v>4325</v>
      </c>
      <c r="D118" s="175" t="inlineStr">
        <is>
          <t>L</t>
        </is>
      </c>
      <c r="E118" s="5" t="inlineStr">
        <is>
          <t>ok item</t>
        </is>
      </c>
      <c r="F118" s="5" t="inlineStr">
        <is>
          <t>POULTRY BONE FREE MEAT</t>
        </is>
      </c>
      <c r="G118" s="5" t="n">
        <v>4325</v>
      </c>
      <c r="H118" s="173" t="inlineStr">
        <is>
          <t>-</t>
        </is>
      </c>
      <c r="I118" s="174" t="inlineStr">
        <is>
          <t>-</t>
        </is>
      </c>
      <c r="J118" t="n">
        <v>27446260</v>
      </c>
    </row>
    <row r="119" ht="15.75" customHeight="1" s="201">
      <c r="A119" s="5" t="inlineStr">
        <is>
          <t>ANIMAL HUSBANDRY</t>
        </is>
      </c>
      <c r="B119" s="5" t="inlineStr">
        <is>
          <t>EGG YOLKS</t>
        </is>
      </c>
      <c r="C119" s="5" t="n">
        <v>3270</v>
      </c>
      <c r="D119" s="175" t="inlineStr">
        <is>
          <t>L</t>
        </is>
      </c>
      <c r="E119" s="5" t="inlineStr">
        <is>
          <t>ok item</t>
        </is>
      </c>
      <c r="F119" s="5" t="inlineStr">
        <is>
          <t>EGGS &amp; DERIVATES</t>
        </is>
      </c>
      <c r="G119" s="5" t="n">
        <v>3270</v>
      </c>
      <c r="H119" s="173" t="inlineStr">
        <is>
          <t>-</t>
        </is>
      </c>
      <c r="I119" s="174" t="inlineStr">
        <is>
          <t>-</t>
        </is>
      </c>
    </row>
    <row r="120" ht="15.75" customHeight="1" s="201">
      <c r="A120" s="5" t="inlineStr">
        <is>
          <t>ANIMAL HUSBANDRY</t>
        </is>
      </c>
      <c r="B120" s="5" t="inlineStr">
        <is>
          <t>EGGS</t>
        </is>
      </c>
      <c r="C120" s="5" t="n">
        <v>2562</v>
      </c>
      <c r="D120" s="175" t="inlineStr">
        <is>
          <t>L</t>
        </is>
      </c>
      <c r="E120" s="5" t="inlineStr">
        <is>
          <t>ok item</t>
        </is>
      </c>
      <c r="F120" s="5" t="inlineStr">
        <is>
          <t>EGGS &amp; DERIVATES</t>
        </is>
      </c>
      <c r="G120" s="5" t="n">
        <v>3270</v>
      </c>
      <c r="H120" s="173" t="inlineStr">
        <is>
          <t>-</t>
        </is>
      </c>
      <c r="I120" s="174" t="inlineStr">
        <is>
          <t>-</t>
        </is>
      </c>
      <c r="J120" t="n">
        <v>91705020</v>
      </c>
    </row>
    <row r="121" ht="15.75" customHeight="1" s="201">
      <c r="A121" s="5" t="inlineStr">
        <is>
          <t>ANIMAL HUSBANDRY</t>
        </is>
      </c>
      <c r="B121" s="5" t="inlineStr">
        <is>
          <t>EGGS SHELLED</t>
        </is>
      </c>
      <c r="C121" s="5" t="n">
        <v>3632</v>
      </c>
      <c r="D121" s="175" t="inlineStr">
        <is>
          <t>L</t>
        </is>
      </c>
      <c r="E121" s="5" t="inlineStr">
        <is>
          <t>ok item</t>
        </is>
      </c>
      <c r="F121" s="5" t="inlineStr">
        <is>
          <t>EGGS &amp; DERIVATES</t>
        </is>
      </c>
      <c r="G121" s="5" t="n">
        <v>3270</v>
      </c>
      <c r="H121" s="173" t="inlineStr">
        <is>
          <t>-</t>
        </is>
      </c>
      <c r="I121" s="174" t="inlineStr">
        <is>
          <t>-</t>
        </is>
      </c>
      <c r="J121" t="n">
        <v>91705020</v>
      </c>
    </row>
    <row r="122" ht="15.75" customHeight="1" s="201">
      <c r="A122" s="5" t="inlineStr">
        <is>
          <t>ANIMAL HUSBANDRY</t>
        </is>
      </c>
      <c r="B122" s="5" t="inlineStr">
        <is>
          <t>FRESH HAM WITH BONE</t>
        </is>
      </c>
      <c r="C122" s="5" t="n">
        <v>5677</v>
      </c>
      <c r="D122" s="175" t="inlineStr">
        <is>
          <t>L</t>
        </is>
      </c>
      <c r="E122" s="5" t="inlineStr">
        <is>
          <t>ok item</t>
        </is>
      </c>
      <c r="F122" s="5" t="inlineStr">
        <is>
          <t>PORK MEAT WITH BONE</t>
        </is>
      </c>
      <c r="G122" s="5" t="n">
        <v>5677</v>
      </c>
      <c r="H122" s="173" t="inlineStr">
        <is>
          <t>-</t>
        </is>
      </c>
      <c r="I122" s="174" t="inlineStr">
        <is>
          <t>-</t>
        </is>
      </c>
      <c r="J122" t="n">
        <v>75142550</v>
      </c>
    </row>
    <row r="123" ht="15.75" customHeight="1" s="201">
      <c r="A123" s="5" t="inlineStr">
        <is>
          <t>ANIMAL HUSBANDRY</t>
        </is>
      </c>
      <c r="B123" s="5" t="inlineStr">
        <is>
          <t>FRESH SHOULDERS WITH BONE</t>
        </is>
      </c>
      <c r="C123" s="5" t="n">
        <v>5677</v>
      </c>
      <c r="D123" s="175" t="inlineStr">
        <is>
          <t>L</t>
        </is>
      </c>
      <c r="E123" s="5" t="inlineStr">
        <is>
          <t>ok item</t>
        </is>
      </c>
      <c r="F123" s="5" t="inlineStr">
        <is>
          <t>PORK MEAT WITH BONE</t>
        </is>
      </c>
      <c r="G123" s="5" t="n">
        <v>5677</v>
      </c>
      <c r="H123" s="173" t="inlineStr">
        <is>
          <t>-</t>
        </is>
      </c>
      <c r="I123" s="174" t="inlineStr">
        <is>
          <t>-</t>
        </is>
      </c>
      <c r="J123" t="n">
        <v>75142550</v>
      </c>
    </row>
    <row r="124" ht="15.75" customHeight="1" s="201">
      <c r="A124" s="5" t="inlineStr">
        <is>
          <t>ANIMAL HUSBANDRY</t>
        </is>
      </c>
      <c r="B124" s="5" t="inlineStr">
        <is>
          <t>GOAT BONE FREE MEAT*</t>
        </is>
      </c>
      <c r="C124" s="5" t="n">
        <v>4160</v>
      </c>
      <c r="D124" s="175" t="inlineStr">
        <is>
          <t>L</t>
        </is>
      </c>
      <c r="E124" s="5" t="inlineStr">
        <is>
          <t>item matching typology</t>
        </is>
      </c>
      <c r="F124" s="5" t="inlineStr">
        <is>
          <t>GOAT BONE FREE MEAT*</t>
        </is>
      </c>
      <c r="G124" s="5" t="n">
        <v>4160</v>
      </c>
      <c r="H124" s="173" t="inlineStr">
        <is>
          <t>-</t>
        </is>
      </c>
      <c r="I124" s="174" t="inlineStr">
        <is>
          <t>-</t>
        </is>
      </c>
      <c r="J124" t="n">
        <v>27446260</v>
      </c>
    </row>
    <row r="125" ht="15.75" customHeight="1" s="201">
      <c r="A125" s="5" t="inlineStr">
        <is>
          <t>ANIMAL HUSBANDRY</t>
        </is>
      </c>
      <c r="B125" s="5" t="inlineStr">
        <is>
          <t>GOAT OFFAL</t>
        </is>
      </c>
      <c r="C125" s="5" t="n">
        <v>3152</v>
      </c>
      <c r="D125" s="175" t="inlineStr">
        <is>
          <t>L</t>
        </is>
      </c>
      <c r="E125" s="5" t="inlineStr">
        <is>
          <t>ok item</t>
        </is>
      </c>
      <c r="F125" s="5" t="inlineStr">
        <is>
          <t>OFFAL, FAT, LIVER</t>
        </is>
      </c>
      <c r="G125" s="5" t="n">
        <v>3152</v>
      </c>
      <c r="H125" s="173" t="inlineStr">
        <is>
          <t>-</t>
        </is>
      </c>
      <c r="I125" s="174" t="inlineStr">
        <is>
          <t>-</t>
        </is>
      </c>
      <c r="J125" t="n">
        <v>14104700</v>
      </c>
    </row>
    <row r="126" ht="15.75" customHeight="1" s="201">
      <c r="A126" s="5" t="inlineStr">
        <is>
          <t>ANIMAL HUSBANDRY</t>
        </is>
      </c>
      <c r="B126" s="5" t="inlineStr">
        <is>
          <t>GOOSE BONE FREE MEAT</t>
        </is>
      </c>
      <c r="C126" s="5" t="n">
        <v>4325</v>
      </c>
      <c r="D126" s="175" t="inlineStr">
        <is>
          <t>L</t>
        </is>
      </c>
      <c r="E126" s="5" t="inlineStr">
        <is>
          <t>ok item</t>
        </is>
      </c>
      <c r="F126" s="5" t="inlineStr">
        <is>
          <t>POULTRY BONE FREE MEAT</t>
        </is>
      </c>
      <c r="G126" s="5" t="n">
        <v>4325</v>
      </c>
      <c r="H126" s="173" t="inlineStr">
        <is>
          <t>-</t>
        </is>
      </c>
      <c r="I126" s="174" t="inlineStr">
        <is>
          <t>-</t>
        </is>
      </c>
      <c r="J126" t="n">
        <v>27446260</v>
      </c>
    </row>
    <row r="127" ht="15.75" customHeight="1" s="201">
      <c r="A127" s="5" t="inlineStr">
        <is>
          <t>ANIMAL HUSBANDRY</t>
        </is>
      </c>
      <c r="B127" s="5" t="inlineStr">
        <is>
          <t>GRAN MORAVIA</t>
        </is>
      </c>
      <c r="C127" s="5" t="n">
        <v>2067</v>
      </c>
      <c r="D127" s="175" t="inlineStr">
        <is>
          <t>H</t>
        </is>
      </c>
      <c r="E127" s="5" t="inlineStr">
        <is>
          <t>better typology</t>
        </is>
      </c>
      <c r="F127" s="5" t="inlineStr">
        <is>
          <t>CHEESE</t>
        </is>
      </c>
      <c r="G127" s="5" t="n">
        <v>5253</v>
      </c>
      <c r="H127" s="173" t="inlineStr">
        <is>
          <t>-</t>
        </is>
      </c>
      <c r="I127" s="174" t="inlineStr">
        <is>
          <t>-</t>
        </is>
      </c>
    </row>
    <row r="128" ht="15.75" customHeight="1" s="201">
      <c r="A128" s="5" t="inlineStr">
        <is>
          <t>ANIMAL HUSBANDRY</t>
        </is>
      </c>
      <c r="B128" s="5" t="inlineStr">
        <is>
          <t>GUINEA BONE FREE MEAT</t>
        </is>
      </c>
      <c r="C128" s="5" t="n">
        <v>4325</v>
      </c>
      <c r="D128" s="175" t="inlineStr">
        <is>
          <t>L</t>
        </is>
      </c>
      <c r="E128" s="5" t="inlineStr">
        <is>
          <t>ok item</t>
        </is>
      </c>
      <c r="F128" s="5" t="inlineStr">
        <is>
          <t>POULTRY BONE FREE MEAT</t>
        </is>
      </c>
      <c r="G128" s="5" t="n">
        <v>4325</v>
      </c>
      <c r="H128" s="173" t="inlineStr">
        <is>
          <t>-</t>
        </is>
      </c>
      <c r="I128" s="174" t="inlineStr">
        <is>
          <t>-</t>
        </is>
      </c>
      <c r="J128" t="n">
        <v>27446260</v>
      </c>
    </row>
    <row r="129" ht="15.75" customHeight="1" s="201">
      <c r="A129" s="5" t="inlineStr">
        <is>
          <t>ANIMAL HUSBANDRY</t>
        </is>
      </c>
      <c r="B129" s="5" t="inlineStr">
        <is>
          <t>HARD AND SEMI-HARD CHEESE</t>
        </is>
      </c>
      <c r="C129" s="5" t="n">
        <v>12139</v>
      </c>
      <c r="D129" s="175" t="inlineStr">
        <is>
          <t>H</t>
        </is>
      </c>
      <c r="E129" s="5" t="inlineStr">
        <is>
          <t>better typology</t>
        </is>
      </c>
      <c r="F129" s="5" t="inlineStr">
        <is>
          <t>CHEESE</t>
        </is>
      </c>
      <c r="G129" s="5" t="n">
        <v>5253</v>
      </c>
      <c r="H129" s="173" t="inlineStr">
        <is>
          <t>-</t>
        </is>
      </c>
      <c r="I129" s="174" t="inlineStr">
        <is>
          <t>-</t>
        </is>
      </c>
      <c r="J129" t="n">
        <v>93106000</v>
      </c>
    </row>
    <row r="130" ht="15.75" customHeight="1" s="201">
      <c r="A130" s="5" t="inlineStr">
        <is>
          <t>ANIMAL HUSBANDRY</t>
        </is>
      </c>
      <c r="B130" s="5" t="inlineStr">
        <is>
          <t>HINNY MEAT</t>
        </is>
      </c>
      <c r="C130" s="5" t="n">
        <v>50274</v>
      </c>
      <c r="D130" s="175" t="inlineStr">
        <is>
          <t>L</t>
        </is>
      </c>
      <c r="E130" s="5" t="inlineStr">
        <is>
          <t>ok item</t>
        </is>
      </c>
      <c r="F130" s="5" t="inlineStr">
        <is>
          <t>EQUINE MEAT</t>
        </is>
      </c>
      <c r="G130" s="5" t="n">
        <v>51779</v>
      </c>
      <c r="H130" s="173" t="inlineStr">
        <is>
          <t>-</t>
        </is>
      </c>
      <c r="I130" s="174" t="inlineStr">
        <is>
          <t>-</t>
        </is>
      </c>
      <c r="J130" t="n">
        <v>14620320</v>
      </c>
    </row>
    <row r="131" ht="15.75" customHeight="1" s="201">
      <c r="A131" s="5" t="inlineStr">
        <is>
          <t>ANIMAL HUSBANDRY</t>
        </is>
      </c>
      <c r="B131" s="5" t="inlineStr">
        <is>
          <t>HINNY OFFAL</t>
        </is>
      </c>
      <c r="C131" s="5" t="n">
        <v>3152</v>
      </c>
      <c r="D131" s="175" t="inlineStr">
        <is>
          <t>L</t>
        </is>
      </c>
      <c r="E131" s="5" t="inlineStr">
        <is>
          <t>ok item</t>
        </is>
      </c>
      <c r="F131" s="5" t="inlineStr">
        <is>
          <t>OFFAL, FAT, LIVER</t>
        </is>
      </c>
      <c r="G131" s="5" t="n">
        <v>3152</v>
      </c>
      <c r="H131" s="173" t="inlineStr">
        <is>
          <t>-</t>
        </is>
      </c>
      <c r="I131" s="174" t="inlineStr">
        <is>
          <t>-</t>
        </is>
      </c>
    </row>
    <row r="132" ht="15.75" customHeight="1" s="201">
      <c r="A132" s="5" t="inlineStr">
        <is>
          <t>ANIMAL HUSBANDRY</t>
        </is>
      </c>
      <c r="B132" s="5" t="inlineStr">
        <is>
          <t>HORSE MEAT</t>
        </is>
      </c>
      <c r="C132" s="5" t="n">
        <v>50274</v>
      </c>
      <c r="D132" s="175" t="inlineStr">
        <is>
          <t>L</t>
        </is>
      </c>
      <c r="E132" s="5" t="inlineStr">
        <is>
          <t>ok item</t>
        </is>
      </c>
      <c r="F132" s="5" t="inlineStr">
        <is>
          <t>EQUINE MEAT</t>
        </is>
      </c>
      <c r="G132" s="5" t="n">
        <v>51779</v>
      </c>
      <c r="H132" s="173" t="inlineStr">
        <is>
          <t>-</t>
        </is>
      </c>
      <c r="I132" s="174" t="inlineStr">
        <is>
          <t>-</t>
        </is>
      </c>
      <c r="J132" t="n">
        <v>14620320</v>
      </c>
    </row>
    <row r="133" ht="15.75" customHeight="1" s="201">
      <c r="A133" s="5" t="inlineStr">
        <is>
          <t>ANIMAL HUSBANDRY</t>
        </is>
      </c>
      <c r="B133" s="5" t="inlineStr">
        <is>
          <t>HORSE OFFAL</t>
        </is>
      </c>
      <c r="C133" s="5" t="n">
        <v>3152</v>
      </c>
      <c r="D133" s="175" t="inlineStr">
        <is>
          <t>L</t>
        </is>
      </c>
      <c r="E133" s="5" t="inlineStr">
        <is>
          <t>ok item</t>
        </is>
      </c>
      <c r="F133" s="5" t="inlineStr">
        <is>
          <t>OFFAL, FAT, LIVER</t>
        </is>
      </c>
      <c r="G133" s="5" t="n">
        <v>3152</v>
      </c>
      <c r="H133" s="173" t="inlineStr">
        <is>
          <t>-</t>
        </is>
      </c>
      <c r="I133" s="174" t="inlineStr">
        <is>
          <t>-</t>
        </is>
      </c>
    </row>
    <row r="134" ht="15.75" customHeight="1" s="201">
      <c r="A134" s="5" t="inlineStr">
        <is>
          <t>ANIMAL HUSBANDRY</t>
        </is>
      </c>
      <c r="B134" s="5" t="inlineStr">
        <is>
          <t>KEPHIR</t>
        </is>
      </c>
      <c r="C134" s="5" t="n">
        <v>1599</v>
      </c>
      <c r="D134" s="175" t="inlineStr">
        <is>
          <t>L</t>
        </is>
      </c>
      <c r="E134" s="5" t="inlineStr">
        <is>
          <t>ok item</t>
        </is>
      </c>
      <c r="F134" s="5" t="inlineStr">
        <is>
          <t>MILK</t>
        </is>
      </c>
      <c r="G134" s="5" t="n">
        <v>1599</v>
      </c>
      <c r="H134" s="173" t="inlineStr">
        <is>
          <t>-</t>
        </is>
      </c>
      <c r="I134" s="174" t="inlineStr">
        <is>
          <t>-</t>
        </is>
      </c>
    </row>
    <row r="135" ht="15.75" customHeight="1" s="201">
      <c r="A135" s="5" t="inlineStr">
        <is>
          <t>ANIMAL HUSBANDRY</t>
        </is>
      </c>
      <c r="B135" s="5" t="inlineStr">
        <is>
          <t>LAMB BONE FREE MEAT*</t>
        </is>
      </c>
      <c r="C135" s="5" t="n">
        <v>10412</v>
      </c>
      <c r="D135" s="175" t="inlineStr">
        <is>
          <t>L</t>
        </is>
      </c>
      <c r="E135" s="5" t="inlineStr">
        <is>
          <t>item matching typology</t>
        </is>
      </c>
      <c r="F135" s="5" t="inlineStr">
        <is>
          <t>LAMB BONE FREE MEAT*</t>
        </is>
      </c>
      <c r="G135" s="5" t="n">
        <v>10412</v>
      </c>
      <c r="H135" s="173" t="inlineStr">
        <is>
          <t>-</t>
        </is>
      </c>
      <c r="I135" s="174" t="inlineStr">
        <is>
          <t>-</t>
        </is>
      </c>
      <c r="J135" t="n">
        <v>27446260</v>
      </c>
    </row>
    <row r="136" ht="15.75" customHeight="1" s="201">
      <c r="A136" s="5" t="inlineStr">
        <is>
          <t>ANIMAL HUSBANDRY</t>
        </is>
      </c>
      <c r="B136" s="5" t="inlineStr">
        <is>
          <t>LAMB MEAT WITH BONE*</t>
        </is>
      </c>
      <c r="C136" s="5" t="n">
        <v>4362</v>
      </c>
      <c r="D136" s="175" t="inlineStr">
        <is>
          <t>L</t>
        </is>
      </c>
      <c r="E136" s="5" t="inlineStr">
        <is>
          <t>item matching typology</t>
        </is>
      </c>
      <c r="F136" s="5" t="inlineStr">
        <is>
          <t>LAMB MEAT WITH BONE*</t>
        </is>
      </c>
      <c r="G136" s="5" t="n">
        <v>4362</v>
      </c>
      <c r="H136" s="173" t="inlineStr">
        <is>
          <t>-</t>
        </is>
      </c>
      <c r="I136" s="174" t="inlineStr">
        <is>
          <t>-</t>
        </is>
      </c>
      <c r="J136" t="n">
        <v>75142550</v>
      </c>
    </row>
    <row r="137" ht="15.75" customHeight="1" s="201">
      <c r="A137" s="5" t="inlineStr">
        <is>
          <t>ANIMAL HUSBANDRY</t>
        </is>
      </c>
      <c r="B137" s="5" t="inlineStr">
        <is>
          <t>MASCARPONE</t>
        </is>
      </c>
      <c r="C137" s="5" t="n">
        <v>6100</v>
      </c>
      <c r="D137" s="175" t="inlineStr">
        <is>
          <t>H</t>
        </is>
      </c>
      <c r="E137" s="5" t="inlineStr">
        <is>
          <t>better typology</t>
        </is>
      </c>
      <c r="F137" s="5" t="inlineStr">
        <is>
          <t>CHEESE</t>
        </is>
      </c>
      <c r="G137" s="5" t="n">
        <v>5253</v>
      </c>
      <c r="H137" s="173" t="inlineStr">
        <is>
          <t>-</t>
        </is>
      </c>
      <c r="I137" s="174" t="inlineStr">
        <is>
          <t>-</t>
        </is>
      </c>
    </row>
    <row r="138" ht="15.75" customHeight="1" s="201">
      <c r="A138" s="5" t="inlineStr">
        <is>
          <t>ANIMAL HUSBANDRY</t>
        </is>
      </c>
      <c r="B138" s="5" t="inlineStr">
        <is>
          <t>MEALWORMS*</t>
        </is>
      </c>
      <c r="C138" s="5" t="n">
        <v>4341</v>
      </c>
      <c r="D138" s="175" t="inlineStr">
        <is>
          <t>H</t>
        </is>
      </c>
      <c r="E138" s="5" t="inlineStr">
        <is>
          <t>item matching typology</t>
        </is>
      </c>
      <c r="F138" s="5" t="inlineStr">
        <is>
          <t>EDIBLE INSECTS* (mealworms)</t>
        </is>
      </c>
      <c r="G138" s="5" t="n">
        <v>4341</v>
      </c>
      <c r="H138" s="173" t="inlineStr">
        <is>
          <t>-</t>
        </is>
      </c>
      <c r="I138" s="174" t="inlineStr">
        <is>
          <t>-</t>
        </is>
      </c>
    </row>
    <row r="139" ht="15.75" customHeight="1" s="201">
      <c r="A139" s="5" t="inlineStr">
        <is>
          <t>ANIMAL HUSBANDRY</t>
        </is>
      </c>
      <c r="B139" s="5" t="inlineStr">
        <is>
          <t>MILK ACID</t>
        </is>
      </c>
      <c r="C139" s="5" t="n">
        <v>1599</v>
      </c>
      <c r="D139" s="175" t="inlineStr">
        <is>
          <t>L</t>
        </is>
      </c>
      <c r="E139" s="5" t="inlineStr">
        <is>
          <t>ok item</t>
        </is>
      </c>
      <c r="F139" s="5" t="inlineStr">
        <is>
          <t>MILK</t>
        </is>
      </c>
      <c r="G139" s="5" t="n">
        <v>1599</v>
      </c>
      <c r="H139" s="173" t="inlineStr">
        <is>
          <t>-</t>
        </is>
      </c>
      <c r="I139" s="174" t="inlineStr">
        <is>
          <t>-</t>
        </is>
      </c>
      <c r="J139" t="n">
        <v>11112110</v>
      </c>
    </row>
    <row r="140" ht="15.75" customHeight="1" s="201">
      <c r="A140" s="5" t="inlineStr">
        <is>
          <t>ANIMAL HUSBANDRY</t>
        </is>
      </c>
      <c r="B140" s="5" t="inlineStr">
        <is>
          <t>MILK CREAMY</t>
        </is>
      </c>
      <c r="C140" s="5" t="n">
        <v>1898</v>
      </c>
      <c r="D140" s="175" t="inlineStr">
        <is>
          <t>L</t>
        </is>
      </c>
      <c r="E140" s="5" t="inlineStr">
        <is>
          <t>ok item</t>
        </is>
      </c>
      <c r="F140" s="5" t="inlineStr">
        <is>
          <t>MILK</t>
        </is>
      </c>
      <c r="G140" s="5" t="n">
        <v>1599</v>
      </c>
      <c r="H140" s="173" t="inlineStr">
        <is>
          <t>-</t>
        </is>
      </c>
      <c r="I140" s="174" t="inlineStr">
        <is>
          <t>-</t>
        </is>
      </c>
      <c r="J140" t="n">
        <v>83112500</v>
      </c>
    </row>
    <row r="141" ht="15.75" customHeight="1" s="201">
      <c r="A141" s="5" t="inlineStr">
        <is>
          <t>ANIMAL HUSBANDRY</t>
        </is>
      </c>
      <c r="B141" s="5" t="inlineStr">
        <is>
          <t>MILK POWDER</t>
        </is>
      </c>
      <c r="C141" s="5" t="n">
        <v>4750</v>
      </c>
      <c r="D141" s="175" t="inlineStr">
        <is>
          <t>L</t>
        </is>
      </c>
      <c r="E141" s="5" t="inlineStr">
        <is>
          <t>ok item</t>
        </is>
      </c>
      <c r="F141" s="5" t="inlineStr">
        <is>
          <t>MILK POWDER</t>
        </is>
      </c>
      <c r="G141" s="5" t="n">
        <v>4750</v>
      </c>
      <c r="H141" s="173" t="inlineStr">
        <is>
          <t>-</t>
        </is>
      </c>
      <c r="I141" s="174" t="inlineStr">
        <is>
          <t>-</t>
        </is>
      </c>
      <c r="J141" t="n">
        <v>11112110</v>
      </c>
    </row>
    <row r="142" ht="15.75" customHeight="1" s="201">
      <c r="A142" s="5" t="inlineStr">
        <is>
          <t>ANIMAL HUSBANDRY</t>
        </is>
      </c>
      <c r="B142" s="5" t="inlineStr">
        <is>
          <t>MOZZARELLA</t>
        </is>
      </c>
      <c r="C142" s="5" t="n">
        <v>9410</v>
      </c>
      <c r="D142" s="175" t="inlineStr">
        <is>
          <t>H</t>
        </is>
      </c>
      <c r="E142" s="5" t="inlineStr">
        <is>
          <t>better typology</t>
        </is>
      </c>
      <c r="F142" s="5" t="inlineStr">
        <is>
          <t>CHEESE</t>
        </is>
      </c>
      <c r="G142" s="5" t="n">
        <v>5253</v>
      </c>
      <c r="H142" s="173" t="inlineStr">
        <is>
          <t>-</t>
        </is>
      </c>
      <c r="I142" s="174" t="inlineStr">
        <is>
          <t>-</t>
        </is>
      </c>
      <c r="J142" t="n">
        <v>14660200</v>
      </c>
    </row>
    <row r="143" ht="15.75" customHeight="1" s="201">
      <c r="A143" s="5" t="inlineStr">
        <is>
          <t>ANIMAL HUSBANDRY</t>
        </is>
      </c>
      <c r="B143" s="5" t="inlineStr">
        <is>
          <t>MULE MEAT</t>
        </is>
      </c>
      <c r="C143" s="5" t="n">
        <v>50274</v>
      </c>
      <c r="D143" s="175" t="inlineStr">
        <is>
          <t>L</t>
        </is>
      </c>
      <c r="E143" s="5" t="inlineStr">
        <is>
          <t>ok item</t>
        </is>
      </c>
      <c r="F143" s="5" t="inlineStr">
        <is>
          <t>EQUINE MEAT</t>
        </is>
      </c>
      <c r="G143" s="5" t="n">
        <v>51779</v>
      </c>
      <c r="H143" s="173" t="inlineStr">
        <is>
          <t>-</t>
        </is>
      </c>
      <c r="I143" s="174" t="inlineStr">
        <is>
          <t>-</t>
        </is>
      </c>
      <c r="J143" t="n">
        <v>14620320</v>
      </c>
    </row>
    <row r="144" ht="15.75" customHeight="1" s="201">
      <c r="A144" s="5" t="inlineStr">
        <is>
          <t>ANIMAL HUSBANDRY</t>
        </is>
      </c>
      <c r="B144" s="5" t="inlineStr">
        <is>
          <t>MULE OFFAL</t>
        </is>
      </c>
      <c r="C144" s="5" t="n">
        <v>3152</v>
      </c>
      <c r="D144" s="175" t="inlineStr">
        <is>
          <t>L</t>
        </is>
      </c>
      <c r="E144" s="5" t="inlineStr">
        <is>
          <t>ok item</t>
        </is>
      </c>
      <c r="F144" s="5" t="inlineStr">
        <is>
          <t>OFFAL, FAT, LIVER</t>
        </is>
      </c>
      <c r="G144" s="5" t="n">
        <v>3152</v>
      </c>
      <c r="H144" s="173" t="inlineStr">
        <is>
          <t>-</t>
        </is>
      </c>
      <c r="I144" s="174" t="inlineStr">
        <is>
          <t>-</t>
        </is>
      </c>
    </row>
    <row r="145" ht="15.75" customHeight="1" s="201">
      <c r="A145" s="5" t="inlineStr">
        <is>
          <t>ANIMAL HUSBANDRY</t>
        </is>
      </c>
      <c r="B145" s="5" t="inlineStr">
        <is>
          <t>PARMIGIANO REGGIANO</t>
        </is>
      </c>
      <c r="C145" s="5" t="n">
        <v>10200</v>
      </c>
      <c r="D145" s="175" t="inlineStr">
        <is>
          <t>H</t>
        </is>
      </c>
      <c r="E145" s="5" t="inlineStr">
        <is>
          <t>better typology</t>
        </is>
      </c>
      <c r="F145" s="5" t="inlineStr">
        <is>
          <t>CHEESE</t>
        </is>
      </c>
      <c r="G145" s="5" t="n">
        <v>5253</v>
      </c>
      <c r="H145" s="173" t="inlineStr">
        <is>
          <t>-</t>
        </is>
      </c>
      <c r="I145" s="174" t="inlineStr">
        <is>
          <t>-</t>
        </is>
      </c>
    </row>
    <row r="146" ht="15.75" customHeight="1" s="201">
      <c r="A146" s="5" t="inlineStr">
        <is>
          <t>ANIMAL HUSBANDRY</t>
        </is>
      </c>
      <c r="B146" s="5" t="inlineStr">
        <is>
          <t>PORK BONE FREE MEAT*</t>
        </is>
      </c>
      <c r="C146" s="5" t="n">
        <v>6299</v>
      </c>
      <c r="D146" s="175" t="inlineStr">
        <is>
          <t>L</t>
        </is>
      </c>
      <c r="E146" s="5" t="inlineStr">
        <is>
          <t>item matching typology</t>
        </is>
      </c>
      <c r="F146" s="5" t="inlineStr">
        <is>
          <t>PORK BONE FREE MEAT*</t>
        </is>
      </c>
      <c r="G146" s="5" t="n">
        <v>6299</v>
      </c>
      <c r="H146" s="173" t="inlineStr">
        <is>
          <t>-</t>
        </is>
      </c>
      <c r="I146" s="174" t="inlineStr">
        <is>
          <t>-</t>
        </is>
      </c>
      <c r="J146" t="n">
        <v>27446260</v>
      </c>
    </row>
    <row r="147" ht="15.75" customHeight="1" s="201">
      <c r="A147" s="5" t="inlineStr">
        <is>
          <t>ANIMAL HUSBANDRY</t>
        </is>
      </c>
      <c r="B147" s="5" t="inlineStr">
        <is>
          <t>PORK CUTS WITH BONE</t>
        </is>
      </c>
      <c r="C147" s="5" t="n">
        <v>5798</v>
      </c>
      <c r="D147" s="175" t="inlineStr">
        <is>
          <t>L</t>
        </is>
      </c>
      <c r="E147" s="5" t="inlineStr">
        <is>
          <t>ok item</t>
        </is>
      </c>
      <c r="F147" s="5" t="inlineStr">
        <is>
          <t>PORK MEAT WITH BONE</t>
        </is>
      </c>
      <c r="G147" s="5" t="n">
        <v>5677</v>
      </c>
      <c r="H147" s="173" t="inlineStr">
        <is>
          <t>-</t>
        </is>
      </c>
      <c r="I147" s="174" t="inlineStr">
        <is>
          <t>-</t>
        </is>
      </c>
      <c r="J147" t="n">
        <v>75142550</v>
      </c>
    </row>
    <row r="148" ht="15.75" customHeight="1" s="201">
      <c r="A148" s="5" t="inlineStr">
        <is>
          <t>ANIMAL HUSBANDRY</t>
        </is>
      </c>
      <c r="B148" s="5" t="inlineStr">
        <is>
          <t>PORK FAT</t>
        </is>
      </c>
      <c r="C148" s="5" t="n">
        <v>4323</v>
      </c>
      <c r="D148" s="175" t="inlineStr">
        <is>
          <t>L</t>
        </is>
      </c>
      <c r="E148" s="5" t="inlineStr">
        <is>
          <t>ok item</t>
        </is>
      </c>
      <c r="F148" s="5" t="inlineStr">
        <is>
          <t>OFFAL, FAT, LIVER</t>
        </is>
      </c>
      <c r="G148" s="5" t="n">
        <v>3152</v>
      </c>
      <c r="H148" s="173" t="inlineStr">
        <is>
          <t>-</t>
        </is>
      </c>
      <c r="I148" s="174" t="inlineStr">
        <is>
          <t>-</t>
        </is>
      </c>
      <c r="J148" t="n">
        <v>27120030</v>
      </c>
    </row>
    <row r="149" ht="15.75" customHeight="1" s="201">
      <c r="A149" s="5" t="inlineStr">
        <is>
          <t>ANIMAL HUSBANDRY</t>
        </is>
      </c>
      <c r="B149" s="5" t="inlineStr">
        <is>
          <t>PORK LIVER</t>
        </is>
      </c>
      <c r="C149" s="5" t="n">
        <v>684</v>
      </c>
      <c r="D149" s="175" t="inlineStr">
        <is>
          <t>L</t>
        </is>
      </c>
      <c r="E149" s="5" t="inlineStr">
        <is>
          <t>ok item</t>
        </is>
      </c>
      <c r="F149" s="5" t="inlineStr">
        <is>
          <t>OFFAL, FAT, LIVER</t>
        </is>
      </c>
      <c r="G149" s="5" t="n">
        <v>3152</v>
      </c>
      <c r="H149" s="173" t="inlineStr">
        <is>
          <t>-</t>
        </is>
      </c>
      <c r="I149" s="174" t="inlineStr">
        <is>
          <t>-</t>
        </is>
      </c>
      <c r="J149" t="n">
        <v>25230560</v>
      </c>
    </row>
    <row r="150" ht="15.75" customHeight="1" s="201">
      <c r="A150" s="5" t="inlineStr">
        <is>
          <t>ANIMAL HUSBANDRY</t>
        </is>
      </c>
      <c r="B150" s="5" t="inlineStr">
        <is>
          <t>PORK MEAT WITH BONE</t>
        </is>
      </c>
      <c r="C150" s="5" t="n">
        <v>4361</v>
      </c>
      <c r="D150" s="175" t="inlineStr">
        <is>
          <t>L</t>
        </is>
      </c>
      <c r="E150" s="5" t="inlineStr">
        <is>
          <t>ok item</t>
        </is>
      </c>
      <c r="F150" s="5" t="inlineStr">
        <is>
          <t>PORK MEAT WITH BONE</t>
        </is>
      </c>
      <c r="G150" s="5" t="n">
        <v>5677</v>
      </c>
      <c r="H150" s="173" t="inlineStr">
        <is>
          <t>-</t>
        </is>
      </c>
      <c r="I150" s="174" t="inlineStr">
        <is>
          <t>-</t>
        </is>
      </c>
      <c r="J150" t="n">
        <v>75142550</v>
      </c>
    </row>
    <row r="151" ht="15.75" customHeight="1" s="201">
      <c r="A151" s="5" t="inlineStr">
        <is>
          <t>ANIMAL HUSBANDRY</t>
        </is>
      </c>
      <c r="B151" s="5" t="inlineStr">
        <is>
          <t>PORK OFFAL</t>
        </is>
      </c>
      <c r="C151" s="5" t="n">
        <v>1254</v>
      </c>
      <c r="D151" s="175" t="inlineStr">
        <is>
          <t>L</t>
        </is>
      </c>
      <c r="E151" s="5" t="inlineStr">
        <is>
          <t>ok item</t>
        </is>
      </c>
      <c r="F151" s="5" t="inlineStr">
        <is>
          <t>OFFAL, FAT, LIVER</t>
        </is>
      </c>
      <c r="G151" s="5" t="n">
        <v>3152</v>
      </c>
      <c r="H151" s="173" t="inlineStr">
        <is>
          <t>-</t>
        </is>
      </c>
      <c r="I151" s="174" t="inlineStr">
        <is>
          <t>-</t>
        </is>
      </c>
      <c r="J151" t="n">
        <v>27120030</v>
      </c>
    </row>
    <row r="152" ht="15.75" customHeight="1" s="201">
      <c r="A152" s="5" t="inlineStr">
        <is>
          <t>ANIMAL HUSBANDRY</t>
        </is>
      </c>
      <c r="B152" s="5" t="inlineStr">
        <is>
          <t>POULTRY FAT</t>
        </is>
      </c>
      <c r="C152" s="5" t="n">
        <v>4323</v>
      </c>
      <c r="D152" s="175" t="inlineStr">
        <is>
          <t>L</t>
        </is>
      </c>
      <c r="E152" s="5" t="inlineStr">
        <is>
          <t>ok item</t>
        </is>
      </c>
      <c r="F152" s="5" t="inlineStr">
        <is>
          <t>OFFAL, FAT, LIVER</t>
        </is>
      </c>
      <c r="G152" s="5" t="n">
        <v>3152</v>
      </c>
      <c r="H152" s="173" t="inlineStr">
        <is>
          <t>-</t>
        </is>
      </c>
      <c r="I152" s="174" t="inlineStr">
        <is>
          <t>-</t>
        </is>
      </c>
      <c r="J152" t="n">
        <v>14620320</v>
      </c>
    </row>
    <row r="153" ht="15.75" customHeight="1" s="201">
      <c r="A153" s="5" t="inlineStr">
        <is>
          <t>ANIMAL HUSBANDRY</t>
        </is>
      </c>
      <c r="B153" s="5" t="inlineStr">
        <is>
          <t>RICOTTA</t>
        </is>
      </c>
      <c r="C153" s="5" t="n">
        <v>2470.5</v>
      </c>
      <c r="D153" s="175" t="inlineStr">
        <is>
          <t>L</t>
        </is>
      </c>
      <c r="E153" s="5" t="inlineStr">
        <is>
          <t>ok item</t>
        </is>
      </c>
      <c r="F153" s="5" t="inlineStr">
        <is>
          <t>CHEESE</t>
        </is>
      </c>
      <c r="G153" s="5" t="n">
        <v>5253</v>
      </c>
      <c r="H153" s="173" t="inlineStr">
        <is>
          <t>-</t>
        </is>
      </c>
      <c r="I153" s="174" t="inlineStr">
        <is>
          <t>-</t>
        </is>
      </c>
      <c r="J153" t="n">
        <v>13252500</v>
      </c>
    </row>
    <row r="154" ht="15.75" customHeight="1" s="201">
      <c r="A154" s="5" t="inlineStr">
        <is>
          <t>ANIMAL HUSBANDRY</t>
        </is>
      </c>
      <c r="B154" s="5" t="inlineStr">
        <is>
          <t>SAUSAGES</t>
        </is>
      </c>
      <c r="C154" s="5" t="n">
        <v>15600</v>
      </c>
      <c r="D154" s="175" t="inlineStr">
        <is>
          <t>H</t>
        </is>
      </c>
      <c r="E154" s="5" t="inlineStr">
        <is>
          <t>better typology</t>
        </is>
      </c>
      <c r="F154" s="5" t="inlineStr">
        <is>
          <t>PORK CURED MEAT</t>
        </is>
      </c>
      <c r="G154" s="5" t="n">
        <v>6177</v>
      </c>
      <c r="H154" s="173" t="inlineStr">
        <is>
          <t>-</t>
        </is>
      </c>
      <c r="I154" s="174" t="inlineStr">
        <is>
          <t>-</t>
        </is>
      </c>
    </row>
    <row r="155" ht="15.75" customHeight="1" s="201">
      <c r="A155" s="5" t="inlineStr">
        <is>
          <t>ANIMAL HUSBANDRY</t>
        </is>
      </c>
      <c r="B155" s="5" t="inlineStr">
        <is>
          <t>SHEEP BONE FREE MEAT*</t>
        </is>
      </c>
      <c r="C155" s="5" t="n">
        <v>8705</v>
      </c>
      <c r="D155" s="175" t="inlineStr">
        <is>
          <t>L</t>
        </is>
      </c>
      <c r="E155" s="5" t="inlineStr">
        <is>
          <t>item matching typology</t>
        </is>
      </c>
      <c r="F155" s="5" t="inlineStr">
        <is>
          <t>SHEEP BONE FREE MEAT*</t>
        </is>
      </c>
      <c r="G155" s="5" t="n">
        <v>8705</v>
      </c>
      <c r="H155" s="173" t="inlineStr">
        <is>
          <t>-</t>
        </is>
      </c>
      <c r="I155" s="174" t="inlineStr">
        <is>
          <t>-</t>
        </is>
      </c>
      <c r="J155" t="n">
        <v>27446260</v>
      </c>
    </row>
    <row r="156" ht="15.75" customHeight="1" s="201">
      <c r="A156" s="5" t="inlineStr">
        <is>
          <t>ANIMAL HUSBANDRY</t>
        </is>
      </c>
      <c r="B156" s="5" t="inlineStr">
        <is>
          <t>SHEEP CARCASSE WITH BONE</t>
        </is>
      </c>
      <c r="C156" s="5" t="n">
        <v>8310</v>
      </c>
      <c r="D156" s="175" t="inlineStr">
        <is>
          <t>L</t>
        </is>
      </c>
      <c r="E156" s="5" t="inlineStr">
        <is>
          <t>ok item</t>
        </is>
      </c>
      <c r="F156" s="5" t="inlineStr">
        <is>
          <t>SHEEP MEAT WITH BONE</t>
        </is>
      </c>
      <c r="G156" s="5" t="n">
        <v>8315</v>
      </c>
      <c r="H156" s="173" t="inlineStr">
        <is>
          <t>-</t>
        </is>
      </c>
      <c r="I156" s="174" t="inlineStr">
        <is>
          <t>-</t>
        </is>
      </c>
      <c r="J156" t="n">
        <v>75142550</v>
      </c>
    </row>
    <row r="157" ht="15.75" customHeight="1" s="201">
      <c r="A157" s="5" t="inlineStr">
        <is>
          <t>ANIMAL HUSBANDRY</t>
        </is>
      </c>
      <c r="B157" s="5" t="inlineStr">
        <is>
          <t>SHEEP CUTS WITH BONE</t>
        </is>
      </c>
      <c r="C157" s="5" t="n">
        <v>8320</v>
      </c>
      <c r="D157" s="175" t="inlineStr">
        <is>
          <t>L</t>
        </is>
      </c>
      <c r="E157" s="5" t="inlineStr">
        <is>
          <t>ok item</t>
        </is>
      </c>
      <c r="F157" s="5" t="inlineStr">
        <is>
          <t>SHEEP MEAT WITH BONE</t>
        </is>
      </c>
      <c r="G157" s="5" t="n">
        <v>8315</v>
      </c>
      <c r="H157" s="173" t="inlineStr">
        <is>
          <t>-</t>
        </is>
      </c>
      <c r="I157" s="174" t="inlineStr">
        <is>
          <t>-</t>
        </is>
      </c>
      <c r="J157" t="n">
        <v>75142550</v>
      </c>
    </row>
    <row r="158" ht="15.75" customHeight="1" s="201">
      <c r="A158" s="5" t="inlineStr">
        <is>
          <t>ANIMAL HUSBANDRY</t>
        </is>
      </c>
      <c r="B158" s="5" t="inlineStr">
        <is>
          <t>SHEEP OFFAL</t>
        </is>
      </c>
      <c r="C158" s="5" t="n">
        <v>3152</v>
      </c>
      <c r="D158" s="175" t="inlineStr">
        <is>
          <t>L</t>
        </is>
      </c>
      <c r="E158" s="5" t="inlineStr">
        <is>
          <t>ok item</t>
        </is>
      </c>
      <c r="F158" s="5" t="inlineStr">
        <is>
          <t>OFFAL, FAT, LIVER</t>
        </is>
      </c>
      <c r="G158" s="5" t="n">
        <v>3152</v>
      </c>
      <c r="H158" s="173" t="inlineStr">
        <is>
          <t>-</t>
        </is>
      </c>
      <c r="I158" s="174" t="inlineStr">
        <is>
          <t>-</t>
        </is>
      </c>
    </row>
    <row r="159" ht="15.75" customHeight="1" s="201">
      <c r="A159" s="5" t="inlineStr">
        <is>
          <t>ANIMAL HUSBANDRY</t>
        </is>
      </c>
      <c r="B159" s="5" t="inlineStr">
        <is>
          <t>STRACCHINO</t>
        </is>
      </c>
      <c r="C159" s="5" t="n">
        <v>5600</v>
      </c>
      <c r="D159" s="175" t="inlineStr">
        <is>
          <t>H</t>
        </is>
      </c>
      <c r="E159" s="5" t="inlineStr">
        <is>
          <t>better typology</t>
        </is>
      </c>
      <c r="F159" s="5" t="inlineStr">
        <is>
          <t>CHEESE</t>
        </is>
      </c>
      <c r="G159" s="5" t="n">
        <v>5253</v>
      </c>
      <c r="H159" s="173" t="inlineStr">
        <is>
          <t>-</t>
        </is>
      </c>
      <c r="I159" s="174" t="inlineStr">
        <is>
          <t>-</t>
        </is>
      </c>
    </row>
    <row r="160" ht="15.75" customHeight="1" s="201">
      <c r="A160" s="5" t="inlineStr">
        <is>
          <t>ANIMAL HUSBANDRY</t>
        </is>
      </c>
      <c r="B160" s="5" t="inlineStr">
        <is>
          <t>TURKEY BONE FREE MEAT</t>
        </is>
      </c>
      <c r="C160" s="5" t="n">
        <v>4325</v>
      </c>
      <c r="D160" s="175" t="inlineStr">
        <is>
          <t>L</t>
        </is>
      </c>
      <c r="E160" s="5" t="inlineStr">
        <is>
          <t>ok item</t>
        </is>
      </c>
      <c r="F160" s="5" t="inlineStr">
        <is>
          <t>POULTRY BONE FREE MEAT</t>
        </is>
      </c>
      <c r="G160" s="5" t="n">
        <v>4325</v>
      </c>
      <c r="H160" s="173" t="inlineStr">
        <is>
          <t>-</t>
        </is>
      </c>
      <c r="I160" s="174" t="inlineStr">
        <is>
          <t>-</t>
        </is>
      </c>
      <c r="J160" t="n">
        <v>27446260</v>
      </c>
    </row>
    <row r="161" ht="15.75" customHeight="1" s="201">
      <c r="A161" s="5" t="inlineStr">
        <is>
          <t>ANIMAL HUSBANDRY</t>
        </is>
      </c>
      <c r="B161" s="5" t="inlineStr">
        <is>
          <t>YOGURT FLAVORED</t>
        </is>
      </c>
      <c r="C161" s="5" t="n">
        <v>1659</v>
      </c>
      <c r="D161" s="175" t="inlineStr">
        <is>
          <t>H</t>
        </is>
      </c>
      <c r="E161" s="5" t="inlineStr">
        <is>
          <t>better typology</t>
        </is>
      </c>
      <c r="F161" s="5" t="inlineStr">
        <is>
          <t>YOGURT</t>
        </is>
      </c>
      <c r="G161" s="5" t="n">
        <v>1540</v>
      </c>
      <c r="H161" s="173" t="inlineStr">
        <is>
          <t>-</t>
        </is>
      </c>
      <c r="I161" s="174" t="inlineStr">
        <is>
          <t>-</t>
        </is>
      </c>
      <c r="J161" t="n">
        <v>54401085</v>
      </c>
    </row>
    <row r="162" ht="15.75" customHeight="1" s="201">
      <c r="A162" s="5" t="inlineStr">
        <is>
          <t>ANIMAL HUSBANDRY</t>
        </is>
      </c>
      <c r="B162" s="5" t="inlineStr">
        <is>
          <t>YOGURT WHITE</t>
        </is>
      </c>
      <c r="C162" s="5" t="n">
        <v>1540</v>
      </c>
      <c r="D162" s="175" t="inlineStr">
        <is>
          <t>L</t>
        </is>
      </c>
      <c r="E162" s="5" t="inlineStr">
        <is>
          <t>ok item</t>
        </is>
      </c>
      <c r="F162" s="5" t="inlineStr">
        <is>
          <t>YOGURT</t>
        </is>
      </c>
      <c r="G162" s="5" t="n">
        <v>1540</v>
      </c>
      <c r="H162" s="173" t="inlineStr">
        <is>
          <t>-</t>
        </is>
      </c>
      <c r="I162" s="174" t="inlineStr">
        <is>
          <t>-</t>
        </is>
      </c>
      <c r="J162" t="n">
        <v>53109200</v>
      </c>
    </row>
    <row r="163" ht="15.75" customHeight="1" s="201">
      <c r="A163" s="5" t="inlineStr">
        <is>
          <t>ANIMAL HUSBANDRY</t>
        </is>
      </c>
      <c r="B163" s="5" t="inlineStr">
        <is>
          <t>YOGURT WHITE LACTOSE FREE</t>
        </is>
      </c>
      <c r="C163" s="5" t="n">
        <v>1040</v>
      </c>
      <c r="D163" s="175" t="inlineStr">
        <is>
          <t>L</t>
        </is>
      </c>
      <c r="E163" s="5" t="inlineStr">
        <is>
          <t>item or typology</t>
        </is>
      </c>
      <c r="F163" s="5" t="inlineStr">
        <is>
          <t>YOGURT</t>
        </is>
      </c>
      <c r="G163" s="5" t="n">
        <v>1540</v>
      </c>
      <c r="H163" s="173" t="inlineStr">
        <is>
          <t>-</t>
        </is>
      </c>
      <c r="I163" s="174" t="inlineStr">
        <is>
          <t>-</t>
        </is>
      </c>
      <c r="J163" t="n">
        <v>27446260</v>
      </c>
    </row>
    <row r="164" ht="15.75" customHeight="1" s="201">
      <c r="A164" s="5" t="inlineStr">
        <is>
          <t>CROPS</t>
        </is>
      </c>
      <c r="B164" s="5" t="inlineStr">
        <is>
          <t>ALMOND SHELLED</t>
        </is>
      </c>
      <c r="C164" s="5" t="n">
        <v>16095</v>
      </c>
      <c r="D164" s="175" t="inlineStr">
        <is>
          <t>L</t>
        </is>
      </c>
      <c r="E164" s="5" t="inlineStr">
        <is>
          <t>ok item</t>
        </is>
      </c>
      <c r="F164" s="5" t="inlineStr">
        <is>
          <t>NUTS SHELLED</t>
        </is>
      </c>
      <c r="G164" s="5" t="n">
        <v>11264</v>
      </c>
      <c r="H164" s="173" t="inlineStr">
        <is>
          <t>-</t>
        </is>
      </c>
      <c r="I164" s="174" t="inlineStr">
        <is>
          <t>-</t>
        </is>
      </c>
      <c r="J164" t="n">
        <v>11350030</v>
      </c>
    </row>
    <row r="165" ht="15.75" customHeight="1" s="201">
      <c r="A165" s="5" t="inlineStr">
        <is>
          <t>CROPS</t>
        </is>
      </c>
      <c r="B165" s="5" t="inlineStr">
        <is>
          <t>ALMOND WITH SHELL</t>
        </is>
      </c>
      <c r="C165" s="5" t="n">
        <v>8047</v>
      </c>
      <c r="D165" s="175" t="inlineStr">
        <is>
          <t>L</t>
        </is>
      </c>
      <c r="E165" s="5" t="inlineStr">
        <is>
          <t>ok item</t>
        </is>
      </c>
      <c r="F165" s="5" t="inlineStr">
        <is>
          <t>NUTS WITH SHELL</t>
        </is>
      </c>
      <c r="G165" s="5" t="n">
        <v>4918</v>
      </c>
      <c r="H165" s="173" t="inlineStr">
        <is>
          <t>-</t>
        </is>
      </c>
      <c r="I165" s="174" t="inlineStr">
        <is>
          <t>-</t>
        </is>
      </c>
      <c r="J165" t="n">
        <v>75142550</v>
      </c>
    </row>
    <row r="166" ht="15.75" customHeight="1" s="201">
      <c r="A166" s="5" t="inlineStr">
        <is>
          <t>CROPS</t>
        </is>
      </c>
      <c r="B166" s="5" t="inlineStr">
        <is>
          <t>ANISE</t>
        </is>
      </c>
      <c r="C166" s="5" t="n">
        <v>8280</v>
      </c>
      <c r="D166" s="175" t="inlineStr">
        <is>
          <t>L</t>
        </is>
      </c>
      <c r="E166" s="5" t="inlineStr">
        <is>
          <t>ok item</t>
        </is>
      </c>
      <c r="F166" s="5" t="inlineStr">
        <is>
          <t>SPICIES</t>
        </is>
      </c>
      <c r="G166" s="5" t="n">
        <v>8280</v>
      </c>
      <c r="H166" s="173" t="inlineStr">
        <is>
          <t>-</t>
        </is>
      </c>
      <c r="I166" s="174" t="inlineStr">
        <is>
          <t>-</t>
        </is>
      </c>
    </row>
    <row r="167" ht="15.75" customHeight="1" s="201">
      <c r="A167" s="5" t="inlineStr">
        <is>
          <t>CROPS</t>
        </is>
      </c>
      <c r="B167" s="5" t="inlineStr">
        <is>
          <t>APPLE</t>
        </is>
      </c>
      <c r="C167" s="5" t="n">
        <v>622</v>
      </c>
      <c r="D167" s="175" t="inlineStr">
        <is>
          <t>L</t>
        </is>
      </c>
      <c r="E167" s="5" t="inlineStr">
        <is>
          <t>ok item</t>
        </is>
      </c>
      <c r="F167" s="5" t="inlineStr">
        <is>
          <t>FRUIT</t>
        </is>
      </c>
      <c r="G167" s="5" t="n">
        <v>748</v>
      </c>
      <c r="H167" s="5" t="inlineStr">
        <is>
          <t>FRUIT (excluded citrus, wild berries and olives)</t>
        </is>
      </c>
      <c r="I167" s="177" t="n">
        <v>1506</v>
      </c>
      <c r="J167" t="n">
        <v>53301000</v>
      </c>
    </row>
    <row r="168" ht="15.75" customHeight="1" s="201">
      <c r="A168" s="5" t="inlineStr">
        <is>
          <t>CROPS</t>
        </is>
      </c>
      <c r="B168" s="5" t="inlineStr">
        <is>
          <t>APPLES</t>
        </is>
      </c>
      <c r="C168" s="5" t="n">
        <v>6847</v>
      </c>
      <c r="D168" s="175" t="inlineStr">
        <is>
          <t>L</t>
        </is>
      </c>
      <c r="E168" s="5" t="inlineStr">
        <is>
          <t>ok item</t>
        </is>
      </c>
      <c r="F168" s="5" t="inlineStr">
        <is>
          <t>DRIED FRUIT</t>
        </is>
      </c>
      <c r="G168" s="5" t="n">
        <v>2636</v>
      </c>
      <c r="H168" s="173" t="inlineStr">
        <is>
          <t>-</t>
        </is>
      </c>
      <c r="I168" s="174" t="inlineStr">
        <is>
          <t>-</t>
        </is>
      </c>
      <c r="J168" t="n">
        <v>62101050</v>
      </c>
    </row>
    <row r="169" ht="15.75" customHeight="1" s="201">
      <c r="A169" s="5" t="inlineStr">
        <is>
          <t>CROPS</t>
        </is>
      </c>
      <c r="B169" s="5" t="inlineStr">
        <is>
          <t>APRICOT</t>
        </is>
      </c>
      <c r="C169" s="5" t="n">
        <v>1287</v>
      </c>
      <c r="D169" s="175" t="inlineStr">
        <is>
          <t>L</t>
        </is>
      </c>
      <c r="E169" s="5" t="inlineStr">
        <is>
          <t>ok item</t>
        </is>
      </c>
      <c r="F169" s="5" t="inlineStr">
        <is>
          <t>FRUIT</t>
        </is>
      </c>
      <c r="G169" s="5" t="n">
        <v>748</v>
      </c>
      <c r="H169" s="5" t="inlineStr">
        <is>
          <t>FRUIT (excluded citrus, wild berries and olives)</t>
        </is>
      </c>
      <c r="I169" s="177" t="n">
        <v>1506</v>
      </c>
      <c r="J169" t="n">
        <v>63103010</v>
      </c>
    </row>
    <row r="170" ht="15.75" customHeight="1" s="201">
      <c r="A170" s="5" t="inlineStr">
        <is>
          <t>CROPS</t>
        </is>
      </c>
      <c r="B170" s="5" t="inlineStr">
        <is>
          <t>ARECA NUT</t>
        </is>
      </c>
      <c r="C170" s="5" t="n">
        <v>11165</v>
      </c>
      <c r="D170" s="175" t="inlineStr">
        <is>
          <t>L</t>
        </is>
      </c>
      <c r="E170" s="5" t="inlineStr">
        <is>
          <t>ok item</t>
        </is>
      </c>
      <c r="F170" s="5" t="inlineStr">
        <is>
          <t>NUTS SHELLED</t>
        </is>
      </c>
      <c r="G170" s="5" t="n">
        <v>11264</v>
      </c>
      <c r="H170" s="173" t="inlineStr">
        <is>
          <t>-</t>
        </is>
      </c>
      <c r="I170" s="174" t="inlineStr">
        <is>
          <t>-</t>
        </is>
      </c>
    </row>
    <row r="171" ht="15.75" customHeight="1" s="201">
      <c r="A171" s="5" t="inlineStr">
        <is>
          <t>CROPS</t>
        </is>
      </c>
      <c r="B171" s="5" t="inlineStr">
        <is>
          <t>ARTICHOKE</t>
        </is>
      </c>
      <c r="C171" s="5" t="n">
        <v>818</v>
      </c>
      <c r="D171" s="175" t="inlineStr">
        <is>
          <t>L</t>
        </is>
      </c>
      <c r="E171" s="5" t="inlineStr">
        <is>
          <t>ok item</t>
        </is>
      </c>
      <c r="F171" s="5" t="inlineStr">
        <is>
          <t>VEGETABLES</t>
        </is>
      </c>
      <c r="G171" s="5" t="n">
        <v>336</v>
      </c>
      <c r="H171" s="5" t="inlineStr">
        <is>
          <t>VEGETABLES (fruits, steems, flowers)</t>
        </is>
      </c>
      <c r="I171" s="177" t="n">
        <v>362</v>
      </c>
      <c r="J171" t="n">
        <v>14620110</v>
      </c>
    </row>
    <row r="172" ht="15.75" customHeight="1" s="201">
      <c r="A172" s="5" t="inlineStr">
        <is>
          <t>CROPS</t>
        </is>
      </c>
      <c r="B172" s="5" t="inlineStr">
        <is>
          <t xml:space="preserve">ASPARAGUS* </t>
        </is>
      </c>
      <c r="C172" s="5" t="n">
        <v>2150</v>
      </c>
      <c r="D172" s="175" t="inlineStr">
        <is>
          <t>L</t>
        </is>
      </c>
      <c r="E172" s="5" t="inlineStr">
        <is>
          <t>ok item</t>
        </is>
      </c>
      <c r="F172" s="5" t="inlineStr">
        <is>
          <t>VEGETABLES</t>
        </is>
      </c>
      <c r="G172" s="5" t="n">
        <v>336</v>
      </c>
      <c r="H172" s="5" t="inlineStr">
        <is>
          <t>ASPARAGUS*</t>
        </is>
      </c>
      <c r="I172" s="177" t="n">
        <v>2150</v>
      </c>
      <c r="J172" t="n">
        <v>75100800</v>
      </c>
    </row>
    <row r="173" ht="15.75" customHeight="1" s="201">
      <c r="A173" s="5" t="inlineStr">
        <is>
          <t>CROPS</t>
        </is>
      </c>
      <c r="B173" s="5" t="inlineStr">
        <is>
          <t>AVOCADO</t>
        </is>
      </c>
      <c r="C173" s="5" t="n">
        <v>1805</v>
      </c>
      <c r="D173" s="175" t="inlineStr">
        <is>
          <t>L</t>
        </is>
      </c>
      <c r="E173" s="5" t="inlineStr">
        <is>
          <t>ok item</t>
        </is>
      </c>
      <c r="F173" s="5" t="inlineStr">
        <is>
          <t>FRUIT</t>
        </is>
      </c>
      <c r="G173" s="5" t="n">
        <v>748</v>
      </c>
      <c r="H173" s="5" t="inlineStr">
        <is>
          <t>FRUIT (excluded citrus, wild berries and olives)</t>
        </is>
      </c>
      <c r="I173" s="177" t="n">
        <v>1506</v>
      </c>
      <c r="J173" t="n">
        <v>27540361</v>
      </c>
    </row>
    <row r="174" ht="15.75" customHeight="1" s="201">
      <c r="A174" s="5" t="inlineStr">
        <is>
          <t>CROPS</t>
        </is>
      </c>
      <c r="B174" s="5" t="inlineStr">
        <is>
          <t>BADIAN</t>
        </is>
      </c>
      <c r="C174" s="5" t="n">
        <v>8280</v>
      </c>
      <c r="D174" s="175" t="inlineStr">
        <is>
          <t>L</t>
        </is>
      </c>
      <c r="E174" s="5" t="inlineStr">
        <is>
          <t>ok item</t>
        </is>
      </c>
      <c r="F174" s="5" t="inlineStr">
        <is>
          <t>SPICIES</t>
        </is>
      </c>
      <c r="G174" s="5" t="n">
        <v>8280</v>
      </c>
      <c r="H174" s="173" t="inlineStr">
        <is>
          <t>-</t>
        </is>
      </c>
      <c r="I174" s="174" t="inlineStr">
        <is>
          <t>-</t>
        </is>
      </c>
    </row>
    <row r="175" ht="15.75" customHeight="1" s="201">
      <c r="A175" s="5" t="inlineStr">
        <is>
          <t>CROPS</t>
        </is>
      </c>
      <c r="B175" s="5" t="inlineStr">
        <is>
          <t>BANANA</t>
        </is>
      </c>
      <c r="C175" s="5" t="n">
        <v>500</v>
      </c>
      <c r="D175" s="175" t="inlineStr">
        <is>
          <t>H</t>
        </is>
      </c>
      <c r="E175" s="5" t="inlineStr">
        <is>
          <t>better typology</t>
        </is>
      </c>
      <c r="F175" s="5" t="inlineStr">
        <is>
          <t>FRUIT</t>
        </is>
      </c>
      <c r="G175" s="5" t="n">
        <v>748</v>
      </c>
      <c r="H175" s="5" t="inlineStr">
        <is>
          <t>FRUIT (excluded citrus, wild berries and olives)</t>
        </is>
      </c>
      <c r="I175" s="177" t="n">
        <v>1506</v>
      </c>
      <c r="J175" t="n">
        <v>52302010</v>
      </c>
    </row>
    <row r="176" ht="15.75" customHeight="1" s="201">
      <c r="A176" s="5" t="inlineStr">
        <is>
          <t>CROPS</t>
        </is>
      </c>
      <c r="B176" s="5" t="inlineStr">
        <is>
          <t>BARLEY</t>
        </is>
      </c>
      <c r="C176" s="5" t="n">
        <v>1423</v>
      </c>
      <c r="D176" s="175" t="inlineStr">
        <is>
          <t>L</t>
        </is>
      </c>
      <c r="E176" s="5" t="inlineStr">
        <is>
          <t>ok item</t>
        </is>
      </c>
      <c r="F176" s="5" t="inlineStr">
        <is>
          <t>GRAINS</t>
        </is>
      </c>
      <c r="G176" s="5" t="n">
        <v>1618</v>
      </c>
      <c r="H176" s="173" t="inlineStr">
        <is>
          <t>-</t>
        </is>
      </c>
      <c r="I176" s="174" t="inlineStr">
        <is>
          <t>-</t>
        </is>
      </c>
      <c r="J176" t="n">
        <v>58401010</v>
      </c>
    </row>
    <row r="177" ht="15.75" customHeight="1" s="201">
      <c r="A177" s="5" t="inlineStr">
        <is>
          <t>CROPS</t>
        </is>
      </c>
      <c r="B177" s="5" t="inlineStr">
        <is>
          <t>BEAN</t>
        </is>
      </c>
      <c r="C177" s="5" t="n">
        <v>5053</v>
      </c>
      <c r="D177" s="175" t="inlineStr">
        <is>
          <t>L</t>
        </is>
      </c>
      <c r="E177" s="5" t="inlineStr">
        <is>
          <t>ok item</t>
        </is>
      </c>
      <c r="F177" s="5" t="inlineStr">
        <is>
          <t>LEGUMES DRIED</t>
        </is>
      </c>
      <c r="G177" s="5" t="n">
        <v>4615</v>
      </c>
      <c r="H177" s="173" t="inlineStr">
        <is>
          <t>-</t>
        </is>
      </c>
      <c r="I177" s="174" t="inlineStr">
        <is>
          <t>-</t>
        </is>
      </c>
      <c r="J177" t="n">
        <v>41205050</v>
      </c>
    </row>
    <row r="178" ht="15.75" customHeight="1" s="201">
      <c r="A178" s="5" t="inlineStr">
        <is>
          <t>CROPS</t>
        </is>
      </c>
      <c r="B178" s="5" t="inlineStr">
        <is>
          <t>BEAN (fresh)</t>
        </is>
      </c>
      <c r="C178" s="5" t="n">
        <v>516</v>
      </c>
      <c r="D178" s="175" t="inlineStr">
        <is>
          <t>L</t>
        </is>
      </c>
      <c r="E178" s="5" t="inlineStr">
        <is>
          <t>ok item</t>
        </is>
      </c>
      <c r="F178" s="5" t="inlineStr">
        <is>
          <t>LEGUMES FRESH</t>
        </is>
      </c>
      <c r="G178" s="5" t="n">
        <v>555.5</v>
      </c>
      <c r="H178" s="173" t="inlineStr">
        <is>
          <t>-</t>
        </is>
      </c>
      <c r="I178" s="174" t="inlineStr">
        <is>
          <t>-</t>
        </is>
      </c>
      <c r="J178" t="n">
        <v>41205050</v>
      </c>
    </row>
    <row r="179" ht="15.75" customHeight="1" s="201">
      <c r="A179" s="5" t="inlineStr">
        <is>
          <t>CROPS</t>
        </is>
      </c>
      <c r="B179" s="5" t="inlineStr">
        <is>
          <t>BLACK TEA</t>
        </is>
      </c>
      <c r="C179" s="5" t="n">
        <v>8856</v>
      </c>
      <c r="D179" s="175" t="inlineStr">
        <is>
          <t>L</t>
        </is>
      </c>
      <c r="E179" s="5" t="inlineStr">
        <is>
          <t>ok item</t>
        </is>
      </c>
      <c r="F179" s="5" t="inlineStr">
        <is>
          <t>TEA</t>
        </is>
      </c>
      <c r="G179" s="5" t="n">
        <v>8856</v>
      </c>
      <c r="H179" s="173" t="inlineStr">
        <is>
          <t>-</t>
        </is>
      </c>
      <c r="I179" s="174" t="inlineStr">
        <is>
          <t>-</t>
        </is>
      </c>
      <c r="J179" t="n">
        <v>92302000</v>
      </c>
    </row>
    <row r="180" ht="15.75" customHeight="1" s="201">
      <c r="A180" s="5" t="inlineStr">
        <is>
          <t>CROPS</t>
        </is>
      </c>
      <c r="B180" s="5" t="inlineStr">
        <is>
          <t>BLACKBERRY</t>
        </is>
      </c>
      <c r="C180" s="5" t="n">
        <v>413</v>
      </c>
      <c r="D180" s="175" t="inlineStr">
        <is>
          <t>L</t>
        </is>
      </c>
      <c r="E180" s="5" t="inlineStr">
        <is>
          <t>ok item</t>
        </is>
      </c>
      <c r="F180" s="5" t="inlineStr">
        <is>
          <t>FRUIT</t>
        </is>
      </c>
      <c r="G180" s="5" t="n">
        <v>748</v>
      </c>
      <c r="H180" s="5" t="inlineStr">
        <is>
          <t>WILD BERRIES</t>
        </is>
      </c>
      <c r="I180" s="177" t="n">
        <v>413</v>
      </c>
      <c r="J180" t="n">
        <v>53102100</v>
      </c>
    </row>
    <row r="181" ht="15.75" customHeight="1" s="201">
      <c r="A181" s="5" t="inlineStr">
        <is>
          <t>CROPS</t>
        </is>
      </c>
      <c r="B181" s="5" t="inlineStr">
        <is>
          <t>BLUEBERRY</t>
        </is>
      </c>
      <c r="C181" s="5" t="n">
        <v>845</v>
      </c>
      <c r="D181" s="175" t="inlineStr">
        <is>
          <t>L</t>
        </is>
      </c>
      <c r="E181" s="5" t="inlineStr">
        <is>
          <t>ok item</t>
        </is>
      </c>
      <c r="F181" s="5" t="inlineStr">
        <is>
          <t>FRUIT</t>
        </is>
      </c>
      <c r="G181" s="5" t="n">
        <v>748</v>
      </c>
      <c r="H181" s="5" t="inlineStr">
        <is>
          <t>WILD BERRIES</t>
        </is>
      </c>
      <c r="I181" s="177" t="n">
        <v>413</v>
      </c>
      <c r="J181" t="n">
        <v>51180080</v>
      </c>
    </row>
    <row r="182" ht="15.75" customHeight="1" s="201">
      <c r="A182" s="5" t="inlineStr">
        <is>
          <t>CROPS</t>
        </is>
      </c>
      <c r="B182" s="5" t="inlineStr">
        <is>
          <t>BRASSICAS</t>
        </is>
      </c>
      <c r="C182" s="5" t="n">
        <v>280</v>
      </c>
      <c r="D182" s="175" t="inlineStr">
        <is>
          <t>L</t>
        </is>
      </c>
      <c r="E182" s="5" t="inlineStr">
        <is>
          <t>ok item</t>
        </is>
      </c>
      <c r="F182" s="5" t="inlineStr">
        <is>
          <t>SEEDS</t>
        </is>
      </c>
      <c r="G182" s="5" t="n">
        <v>3087</v>
      </c>
      <c r="H182" s="173" t="inlineStr">
        <is>
          <t>-</t>
        </is>
      </c>
      <c r="I182" s="174" t="inlineStr">
        <is>
          <t>-</t>
        </is>
      </c>
    </row>
    <row r="183" ht="15.75" customHeight="1" s="201">
      <c r="A183" s="5" t="inlineStr">
        <is>
          <t>CROPS</t>
        </is>
      </c>
      <c r="B183" s="5" t="inlineStr">
        <is>
          <t>BROCCOLI</t>
        </is>
      </c>
      <c r="C183" s="5" t="n">
        <v>325</v>
      </c>
      <c r="D183" s="175" t="inlineStr">
        <is>
          <t>H</t>
        </is>
      </c>
      <c r="E183" s="5" t="inlineStr">
        <is>
          <t>better typology</t>
        </is>
      </c>
      <c r="F183" s="5" t="inlineStr">
        <is>
          <t>VEGETABLES</t>
        </is>
      </c>
      <c r="G183" s="5" t="n">
        <v>336</v>
      </c>
      <c r="H183" s="5" t="inlineStr">
        <is>
          <t>VEGETABLES (fruits, steems, flowers)</t>
        </is>
      </c>
      <c r="I183" s="177" t="n">
        <v>362</v>
      </c>
      <c r="J183" t="n">
        <v>72103030</v>
      </c>
    </row>
    <row r="184" ht="15.75" customHeight="1" s="201">
      <c r="A184" s="5" t="inlineStr">
        <is>
          <t>CROPS</t>
        </is>
      </c>
      <c r="B184" s="5" t="inlineStr">
        <is>
          <t>BRUSSEL SPROUT</t>
        </is>
      </c>
      <c r="C184" s="5" t="n">
        <v>285</v>
      </c>
      <c r="D184" s="175" t="inlineStr">
        <is>
          <t>L</t>
        </is>
      </c>
      <c r="E184" s="5" t="inlineStr">
        <is>
          <t>ok item</t>
        </is>
      </c>
      <c r="F184" s="5" t="inlineStr">
        <is>
          <t>VEGETABLES</t>
        </is>
      </c>
      <c r="G184" s="5" t="n">
        <v>336</v>
      </c>
      <c r="H184" s="5" t="inlineStr">
        <is>
          <t>VEGETABLES (fruits, steems, flowers)</t>
        </is>
      </c>
      <c r="I184" s="177" t="n">
        <v>362</v>
      </c>
    </row>
    <row r="185" ht="15.75" customHeight="1" s="201">
      <c r="A185" s="5" t="inlineStr">
        <is>
          <t>CROPS</t>
        </is>
      </c>
      <c r="B185" s="5" t="inlineStr">
        <is>
          <t>CABAGGE</t>
        </is>
      </c>
      <c r="C185" s="5" t="n">
        <v>280</v>
      </c>
      <c r="D185" s="175" t="inlineStr">
        <is>
          <t>L</t>
        </is>
      </c>
      <c r="E185" s="5" t="inlineStr">
        <is>
          <t>ok item</t>
        </is>
      </c>
      <c r="F185" s="5" t="inlineStr">
        <is>
          <t>VEGETABLES</t>
        </is>
      </c>
      <c r="G185" s="5" t="n">
        <v>336</v>
      </c>
      <c r="H185" s="5" t="inlineStr">
        <is>
          <t>GREEN LEAFY VEGETABLES</t>
        </is>
      </c>
      <c r="I185" s="177" t="n">
        <v>280</v>
      </c>
    </row>
    <row r="186" ht="15.75" customHeight="1" s="201">
      <c r="A186" s="5" t="inlineStr">
        <is>
          <t>CROPS</t>
        </is>
      </c>
      <c r="B186" s="5" t="inlineStr">
        <is>
          <t>CAHSEW APPLE</t>
        </is>
      </c>
      <c r="C186" s="5" t="n">
        <v>3793</v>
      </c>
      <c r="D186" s="175" t="inlineStr">
        <is>
          <t>L</t>
        </is>
      </c>
      <c r="E186" s="5" t="inlineStr">
        <is>
          <t>ok item</t>
        </is>
      </c>
      <c r="F186" s="5" t="inlineStr">
        <is>
          <t>FRUIT</t>
        </is>
      </c>
      <c r="G186" s="5" t="n">
        <v>748</v>
      </c>
      <c r="H186" s="5" t="inlineStr">
        <is>
          <t>FRUIT (excluded citrus, wild berries and olives)</t>
        </is>
      </c>
      <c r="I186" s="177" t="n">
        <v>1506</v>
      </c>
      <c r="J186" t="n">
        <v>53301000</v>
      </c>
    </row>
    <row r="187" ht="15.75" customHeight="1" s="201">
      <c r="A187" s="5" t="inlineStr">
        <is>
          <t>CROPS</t>
        </is>
      </c>
      <c r="B187" s="5" t="inlineStr">
        <is>
          <t>CAHSEW NUT</t>
        </is>
      </c>
      <c r="C187" s="5" t="n">
        <v>14218</v>
      </c>
      <c r="D187" s="175" t="inlineStr">
        <is>
          <t>L</t>
        </is>
      </c>
      <c r="E187" s="5" t="inlineStr">
        <is>
          <t>ok item</t>
        </is>
      </c>
      <c r="F187" s="5" t="inlineStr">
        <is>
          <t>NUTS SHELLED</t>
        </is>
      </c>
      <c r="G187" s="5" t="n">
        <v>11264</v>
      </c>
      <c r="H187" s="173" t="inlineStr">
        <is>
          <t>-</t>
        </is>
      </c>
      <c r="I187" s="174" t="inlineStr">
        <is>
          <t>-</t>
        </is>
      </c>
    </row>
    <row r="188" ht="15.75" customHeight="1" s="201">
      <c r="A188" s="5" t="inlineStr">
        <is>
          <t>CROPS</t>
        </is>
      </c>
      <c r="B188" s="5" t="inlineStr">
        <is>
          <t>CARDAMOM</t>
        </is>
      </c>
      <c r="C188" s="5" t="n">
        <v>34319</v>
      </c>
      <c r="D188" s="175" t="inlineStr">
        <is>
          <t>L</t>
        </is>
      </c>
      <c r="E188" s="5" t="inlineStr">
        <is>
          <t>ok item</t>
        </is>
      </c>
      <c r="F188" s="5" t="inlineStr">
        <is>
          <t>SPICIES</t>
        </is>
      </c>
      <c r="G188" s="5" t="n">
        <v>8280</v>
      </c>
      <c r="H188" s="173" t="inlineStr">
        <is>
          <t>-</t>
        </is>
      </c>
      <c r="I188" s="174" t="inlineStr">
        <is>
          <t>-</t>
        </is>
      </c>
    </row>
    <row r="189" ht="15.75" customHeight="1" s="201">
      <c r="A189" s="5" t="inlineStr">
        <is>
          <t>CROPS</t>
        </is>
      </c>
      <c r="B189" s="5" t="inlineStr">
        <is>
          <t>CARROT</t>
        </is>
      </c>
      <c r="C189" s="5" t="n">
        <v>195</v>
      </c>
      <c r="D189" s="175" t="inlineStr">
        <is>
          <t>L</t>
        </is>
      </c>
      <c r="E189" s="5" t="inlineStr">
        <is>
          <t>ok item</t>
        </is>
      </c>
      <c r="F189" s="5" t="inlineStr">
        <is>
          <t>VEGETABLES</t>
        </is>
      </c>
      <c r="G189" s="5" t="n">
        <v>336</v>
      </c>
      <c r="H189" s="5" t="inlineStr">
        <is>
          <t>ROOTS &amp; BULBS</t>
        </is>
      </c>
      <c r="I189" s="177" t="n">
        <v>272</v>
      </c>
      <c r="J189" t="n">
        <v>53109200</v>
      </c>
    </row>
    <row r="190" ht="15.75" customHeight="1" s="201">
      <c r="A190" s="5" t="inlineStr">
        <is>
          <t>CROPS</t>
        </is>
      </c>
      <c r="B190" s="5" t="inlineStr">
        <is>
          <t>CAULIFLOWER</t>
        </is>
      </c>
      <c r="C190" s="5" t="n">
        <v>285</v>
      </c>
      <c r="D190" s="175" t="inlineStr">
        <is>
          <t>L</t>
        </is>
      </c>
      <c r="E190" s="5" t="inlineStr">
        <is>
          <t>ok item</t>
        </is>
      </c>
      <c r="F190" s="5" t="inlineStr">
        <is>
          <t>VEGETABLES</t>
        </is>
      </c>
      <c r="G190" s="5" t="n">
        <v>336</v>
      </c>
      <c r="H190" s="5" t="inlineStr">
        <is>
          <t>VEGETABLES (fruits, steems, flowers)</t>
        </is>
      </c>
      <c r="I190" s="177" t="n">
        <v>362</v>
      </c>
      <c r="J190" t="n">
        <v>75409020</v>
      </c>
    </row>
    <row r="191" ht="15.75" customHeight="1" s="201">
      <c r="A191" s="5" t="inlineStr">
        <is>
          <t>CROPS</t>
        </is>
      </c>
      <c r="B191" s="5" t="inlineStr">
        <is>
          <t>CHERRY SOUR</t>
        </is>
      </c>
      <c r="C191" s="5" t="n">
        <v>1411</v>
      </c>
      <c r="D191" s="175" t="inlineStr">
        <is>
          <t>L</t>
        </is>
      </c>
      <c r="E191" s="5" t="inlineStr">
        <is>
          <t>ok item</t>
        </is>
      </c>
      <c r="F191" s="5" t="inlineStr">
        <is>
          <t>FRUIT</t>
        </is>
      </c>
      <c r="G191" s="5" t="n">
        <v>748</v>
      </c>
      <c r="H191" s="5" t="inlineStr">
        <is>
          <t>FRUIT (excluded citrus, wild berries and olives)</t>
        </is>
      </c>
      <c r="I191" s="177" t="n">
        <v>1506</v>
      </c>
      <c r="J191" t="n">
        <v>92411510</v>
      </c>
    </row>
    <row r="192" ht="15.75" customHeight="1" s="201">
      <c r="A192" s="5" t="inlineStr">
        <is>
          <t>CROPS</t>
        </is>
      </c>
      <c r="B192" s="5" t="inlineStr">
        <is>
          <t>CHERRY SWEET</t>
        </is>
      </c>
      <c r="C192" s="5" t="n">
        <v>1604</v>
      </c>
      <c r="D192" s="175" t="inlineStr">
        <is>
          <t>L</t>
        </is>
      </c>
      <c r="E192" s="5" t="inlineStr">
        <is>
          <t>ok item</t>
        </is>
      </c>
      <c r="F192" s="5" t="inlineStr">
        <is>
          <t>FRUIT</t>
        </is>
      </c>
      <c r="G192" s="5" t="n">
        <v>748</v>
      </c>
      <c r="H192" s="5" t="inlineStr">
        <is>
          <t>FRUIT (excluded citrus, wild berries and olives)</t>
        </is>
      </c>
      <c r="I192" s="177" t="n">
        <v>1506</v>
      </c>
      <c r="J192" t="n">
        <v>92411510</v>
      </c>
    </row>
    <row r="193" ht="15.75" customHeight="1" s="201">
      <c r="A193" s="5" t="inlineStr">
        <is>
          <t>CROPS</t>
        </is>
      </c>
      <c r="B193" s="5" t="inlineStr">
        <is>
          <t>CHESTNUT</t>
        </is>
      </c>
      <c r="C193" s="5" t="n">
        <v>2750</v>
      </c>
      <c r="D193" s="175" t="inlineStr">
        <is>
          <t>L</t>
        </is>
      </c>
      <c r="E193" s="5" t="inlineStr">
        <is>
          <t>ok item</t>
        </is>
      </c>
      <c r="F193" s="5" t="inlineStr">
        <is>
          <t>NUTS WITH SHELL</t>
        </is>
      </c>
      <c r="G193" s="5" t="n">
        <v>4918</v>
      </c>
      <c r="H193" s="173" t="inlineStr">
        <is>
          <t>-</t>
        </is>
      </c>
      <c r="I193" s="174" t="inlineStr">
        <is>
          <t>-</t>
        </is>
      </c>
    </row>
    <row r="194" ht="15.75" customHeight="1" s="201">
      <c r="A194" s="5" t="inlineStr">
        <is>
          <t>CROPS</t>
        </is>
      </c>
      <c r="B194" s="5" t="inlineStr">
        <is>
          <t>CHICKPEA</t>
        </is>
      </c>
      <c r="C194" s="5" t="n">
        <v>4177</v>
      </c>
      <c r="D194" s="175" t="inlineStr">
        <is>
          <t>L</t>
        </is>
      </c>
      <c r="E194" s="5" t="inlineStr">
        <is>
          <t>ok item</t>
        </is>
      </c>
      <c r="F194" s="5" t="inlineStr">
        <is>
          <t>LEGUMES DRIED</t>
        </is>
      </c>
      <c r="G194" s="5" t="n">
        <v>4615</v>
      </c>
      <c r="H194" s="173" t="inlineStr">
        <is>
          <t>-</t>
        </is>
      </c>
      <c r="I194" s="174" t="inlineStr">
        <is>
          <t>-</t>
        </is>
      </c>
      <c r="J194" t="n">
        <v>41205070</v>
      </c>
    </row>
    <row r="195" ht="15.75" customHeight="1" s="201">
      <c r="A195" s="5" t="inlineStr">
        <is>
          <t>CROPS</t>
        </is>
      </c>
      <c r="B195" s="5" t="inlineStr">
        <is>
          <t>CHILLY</t>
        </is>
      </c>
      <c r="C195" s="5" t="n">
        <v>7365</v>
      </c>
      <c r="D195" s="175" t="inlineStr">
        <is>
          <t>L</t>
        </is>
      </c>
      <c r="E195" s="5" t="inlineStr">
        <is>
          <t>ok item</t>
        </is>
      </c>
      <c r="F195" s="5" t="inlineStr">
        <is>
          <t>SPICIES</t>
        </is>
      </c>
      <c r="G195" s="5" t="n">
        <v>8280</v>
      </c>
      <c r="H195" s="173" t="inlineStr">
        <is>
          <t>-</t>
        </is>
      </c>
      <c r="I195" s="174" t="inlineStr">
        <is>
          <t>-</t>
        </is>
      </c>
    </row>
    <row r="196" ht="15.75" customHeight="1" s="201">
      <c r="A196" s="5" t="inlineStr">
        <is>
          <t>CROPS</t>
        </is>
      </c>
      <c r="B196" s="5" t="inlineStr">
        <is>
          <t>CHILLY FRESH</t>
        </is>
      </c>
      <c r="C196" s="5" t="n">
        <v>379</v>
      </c>
      <c r="D196" s="175" t="inlineStr">
        <is>
          <t>L</t>
        </is>
      </c>
      <c r="E196" s="5" t="inlineStr">
        <is>
          <t>ok item</t>
        </is>
      </c>
      <c r="F196" s="5" t="inlineStr">
        <is>
          <t>VEGETABLES</t>
        </is>
      </c>
      <c r="G196" s="5" t="n">
        <v>336</v>
      </c>
      <c r="H196" s="5" t="inlineStr">
        <is>
          <t>VEGETABLES (fruits, steems, flowers)</t>
        </is>
      </c>
      <c r="I196" s="177" t="n">
        <v>362</v>
      </c>
      <c r="J196" t="n">
        <v>14108020</v>
      </c>
    </row>
    <row r="197" ht="15.75" customHeight="1" s="201">
      <c r="A197" s="5" t="inlineStr">
        <is>
          <t>CROPS</t>
        </is>
      </c>
      <c r="B197" s="5" t="inlineStr">
        <is>
          <t>CINNAMON</t>
        </is>
      </c>
      <c r="C197" s="5" t="n">
        <v>15526</v>
      </c>
      <c r="D197" s="175" t="inlineStr">
        <is>
          <t>L</t>
        </is>
      </c>
      <c r="E197" s="5" t="inlineStr">
        <is>
          <t>ok item</t>
        </is>
      </c>
      <c r="F197" s="5" t="inlineStr">
        <is>
          <t>SPICIES</t>
        </is>
      </c>
      <c r="G197" s="5" t="n">
        <v>8280</v>
      </c>
      <c r="H197" s="173" t="inlineStr">
        <is>
          <t>-</t>
        </is>
      </c>
      <c r="I197" s="174" t="inlineStr">
        <is>
          <t>-</t>
        </is>
      </c>
      <c r="J197" t="n">
        <v>51160110</v>
      </c>
    </row>
    <row r="198" ht="15.75" customHeight="1" s="201">
      <c r="A198" s="5" t="inlineStr">
        <is>
          <t>CROPS</t>
        </is>
      </c>
      <c r="B198" s="5" t="inlineStr">
        <is>
          <t>CITRUS</t>
        </is>
      </c>
      <c r="C198" s="5" t="n">
        <v>457</v>
      </c>
      <c r="D198" s="175" t="inlineStr">
        <is>
          <t>L</t>
        </is>
      </c>
      <c r="E198" s="5" t="inlineStr">
        <is>
          <t>ok item</t>
        </is>
      </c>
      <c r="F198" s="5" t="inlineStr">
        <is>
          <t>FRUIT</t>
        </is>
      </c>
      <c r="G198" s="5" t="n">
        <v>748</v>
      </c>
      <c r="H198" s="5" t="inlineStr">
        <is>
          <t>CITRUS FRUIT</t>
        </is>
      </c>
      <c r="I198" s="177" t="n">
        <v>654</v>
      </c>
      <c r="J198" t="n">
        <v>63311000</v>
      </c>
    </row>
    <row r="199" ht="15.75" customHeight="1" s="201">
      <c r="A199" s="5" t="inlineStr">
        <is>
          <t>CROPS</t>
        </is>
      </c>
      <c r="B199" s="5" t="inlineStr">
        <is>
          <t>CLEMENTINE</t>
        </is>
      </c>
      <c r="C199" s="5" t="n">
        <v>748</v>
      </c>
      <c r="D199" s="175" t="inlineStr">
        <is>
          <t>L</t>
        </is>
      </c>
      <c r="E199" s="5" t="inlineStr">
        <is>
          <t>ok item</t>
        </is>
      </c>
      <c r="F199" s="5" t="inlineStr">
        <is>
          <t>FRUIT</t>
        </is>
      </c>
      <c r="G199" s="5" t="n">
        <v>748</v>
      </c>
      <c r="H199" s="5" t="inlineStr">
        <is>
          <t>CITRUS FRUIT</t>
        </is>
      </c>
      <c r="I199" s="177" t="n">
        <v>654</v>
      </c>
      <c r="J199" t="n">
        <v>61100600</v>
      </c>
    </row>
    <row r="200" ht="15.75" customHeight="1" s="201">
      <c r="A200" s="5" t="inlineStr">
        <is>
          <t>CROPS</t>
        </is>
      </c>
      <c r="B200" s="5" t="inlineStr">
        <is>
          <t>CLOVE</t>
        </is>
      </c>
      <c r="C200" s="5" t="n">
        <v>61205</v>
      </c>
      <c r="D200" s="175" t="inlineStr">
        <is>
          <t>L</t>
        </is>
      </c>
      <c r="E200" s="5" t="inlineStr">
        <is>
          <t>ok item</t>
        </is>
      </c>
      <c r="F200" s="5" t="inlineStr">
        <is>
          <t>SPICIES</t>
        </is>
      </c>
      <c r="G200" s="5" t="n">
        <v>8280</v>
      </c>
      <c r="H200" s="173" t="inlineStr">
        <is>
          <t>-</t>
        </is>
      </c>
      <c r="I200" s="174" t="inlineStr">
        <is>
          <t>-</t>
        </is>
      </c>
    </row>
    <row r="201" ht="15.75" customHeight="1" s="201">
      <c r="A201" s="5" t="inlineStr">
        <is>
          <t>CROPS</t>
        </is>
      </c>
      <c r="B201" s="5" t="inlineStr">
        <is>
          <t>COCONUT</t>
        </is>
      </c>
      <c r="C201" s="5" t="n">
        <v>1971</v>
      </c>
      <c r="D201" s="175" t="inlineStr">
        <is>
          <t>L</t>
        </is>
      </c>
      <c r="E201" s="5" t="inlineStr">
        <is>
          <t>ok item</t>
        </is>
      </c>
      <c r="F201" s="5" t="inlineStr">
        <is>
          <t>FRUIT</t>
        </is>
      </c>
      <c r="G201" s="5" t="n">
        <v>748</v>
      </c>
      <c r="H201" s="5" t="inlineStr">
        <is>
          <t>FRUIT (excluded citrus, wild berries and olives)</t>
        </is>
      </c>
      <c r="I201" s="177" t="n">
        <v>1506</v>
      </c>
      <c r="J201" t="n">
        <v>42404010</v>
      </c>
    </row>
    <row r="202" ht="15.75" customHeight="1" s="201">
      <c r="A202" s="5" t="inlineStr">
        <is>
          <t>CROPS</t>
        </is>
      </c>
      <c r="B202" s="5" t="inlineStr">
        <is>
          <t>COCONUTS</t>
        </is>
      </c>
      <c r="C202" s="5" t="n">
        <v>2093</v>
      </c>
      <c r="D202" s="175" t="inlineStr">
        <is>
          <t>L</t>
        </is>
      </c>
      <c r="E202" s="5" t="inlineStr">
        <is>
          <t>ok item</t>
        </is>
      </c>
      <c r="F202" s="5" t="inlineStr">
        <is>
          <t>DRIED FRUIT</t>
        </is>
      </c>
      <c r="G202" s="5" t="n">
        <v>2636</v>
      </c>
      <c r="H202" s="173" t="inlineStr">
        <is>
          <t>-</t>
        </is>
      </c>
      <c r="I202" s="174" t="inlineStr">
        <is>
          <t>-</t>
        </is>
      </c>
    </row>
    <row r="203" ht="15.75" customHeight="1" s="201">
      <c r="A203" s="5" t="inlineStr">
        <is>
          <t>CROPS</t>
        </is>
      </c>
      <c r="B203" s="5" t="inlineStr">
        <is>
          <t>COFFEE BEAN</t>
        </is>
      </c>
      <c r="C203" s="5" t="n">
        <v>19928</v>
      </c>
      <c r="D203" s="175" t="inlineStr">
        <is>
          <t>L</t>
        </is>
      </c>
      <c r="E203" s="5" t="inlineStr">
        <is>
          <t>ok item</t>
        </is>
      </c>
      <c r="F203" s="5" t="inlineStr">
        <is>
          <t>COFFEE (GREEN)</t>
        </is>
      </c>
      <c r="G203" s="5" t="n">
        <v>17912</v>
      </c>
      <c r="H203" s="173" t="inlineStr">
        <is>
          <t>-</t>
        </is>
      </c>
      <c r="I203" s="174" t="inlineStr">
        <is>
          <t>-</t>
        </is>
      </c>
      <c r="J203" t="n">
        <v>53610100</v>
      </c>
    </row>
    <row r="204" ht="15.75" customHeight="1" s="201">
      <c r="A204" s="5" t="inlineStr">
        <is>
          <t>CROPS</t>
        </is>
      </c>
      <c r="B204" s="5" t="inlineStr">
        <is>
          <t>COFFEE GREEN</t>
        </is>
      </c>
      <c r="C204" s="5" t="n">
        <v>15897</v>
      </c>
      <c r="D204" s="175" t="inlineStr">
        <is>
          <t>L</t>
        </is>
      </c>
      <c r="E204" s="5" t="inlineStr">
        <is>
          <t>ok item</t>
        </is>
      </c>
      <c r="F204" s="5" t="inlineStr">
        <is>
          <t>COFFEE (GREEN)</t>
        </is>
      </c>
      <c r="G204" s="5" t="n">
        <v>17912</v>
      </c>
      <c r="H204" s="173" t="inlineStr">
        <is>
          <t>-</t>
        </is>
      </c>
      <c r="I204" s="174" t="inlineStr">
        <is>
          <t>-</t>
        </is>
      </c>
      <c r="J204" t="n">
        <v>53610100</v>
      </c>
    </row>
    <row r="205" ht="15.75" customHeight="1" s="201">
      <c r="A205" s="5" t="inlineStr">
        <is>
          <t>CROPS</t>
        </is>
      </c>
      <c r="B205" s="5" t="inlineStr">
        <is>
          <t>CORIANDER</t>
        </is>
      </c>
      <c r="C205" s="5" t="n">
        <v>8280</v>
      </c>
      <c r="D205" s="175" t="inlineStr">
        <is>
          <t>L</t>
        </is>
      </c>
      <c r="E205" s="5" t="inlineStr">
        <is>
          <t>ok item</t>
        </is>
      </c>
      <c r="F205" s="5" t="inlineStr">
        <is>
          <t>SPICIES</t>
        </is>
      </c>
      <c r="G205" s="5" t="n">
        <v>8280</v>
      </c>
      <c r="H205" s="173" t="inlineStr">
        <is>
          <t>-</t>
        </is>
      </c>
      <c r="I205" s="174" t="inlineStr">
        <is>
          <t>-</t>
        </is>
      </c>
      <c r="J205" t="n">
        <v>75109550</v>
      </c>
    </row>
    <row r="206" ht="15.75" customHeight="1" s="201">
      <c r="A206" s="5" t="inlineStr">
        <is>
          <t>CROPS</t>
        </is>
      </c>
      <c r="B206" s="5" t="inlineStr">
        <is>
          <t>COWPEA</t>
        </is>
      </c>
      <c r="C206" s="5" t="n">
        <v>6906</v>
      </c>
      <c r="D206" s="175" t="inlineStr">
        <is>
          <t>L</t>
        </is>
      </c>
      <c r="E206" s="5" t="inlineStr">
        <is>
          <t>ok item</t>
        </is>
      </c>
      <c r="F206" s="5" t="inlineStr">
        <is>
          <t>LEGUMES DRIED</t>
        </is>
      </c>
      <c r="G206" s="5" t="n">
        <v>4615</v>
      </c>
      <c r="H206" s="173" t="inlineStr">
        <is>
          <t>-</t>
        </is>
      </c>
      <c r="I206" s="174" t="inlineStr">
        <is>
          <t>-</t>
        </is>
      </c>
    </row>
    <row r="207" ht="15.75" customHeight="1" s="201">
      <c r="A207" s="5" t="inlineStr">
        <is>
          <t>CROPS</t>
        </is>
      </c>
      <c r="B207" s="5" t="inlineStr">
        <is>
          <t>CRANBERRY</t>
        </is>
      </c>
      <c r="C207" s="5" t="n">
        <v>276</v>
      </c>
      <c r="D207" s="175" t="inlineStr">
        <is>
          <t>L</t>
        </is>
      </c>
      <c r="E207" s="5" t="inlineStr">
        <is>
          <t>ok item</t>
        </is>
      </c>
      <c r="F207" s="5" t="inlineStr">
        <is>
          <t>FRUIT</t>
        </is>
      </c>
      <c r="G207" s="5" t="n">
        <v>748</v>
      </c>
      <c r="H207" s="5" t="inlineStr">
        <is>
          <t>WILD BERRIES</t>
        </is>
      </c>
      <c r="I207" s="177" t="n">
        <v>413</v>
      </c>
      <c r="J207" t="n">
        <v>92530510</v>
      </c>
    </row>
    <row r="208" ht="15.75" customHeight="1" s="201">
      <c r="A208" s="5" t="inlineStr">
        <is>
          <t>CROPS</t>
        </is>
      </c>
      <c r="B208" s="5" t="inlineStr">
        <is>
          <t>CUCUMBER</t>
        </is>
      </c>
      <c r="C208" s="5" t="n">
        <v>353</v>
      </c>
      <c r="D208" s="175" t="inlineStr">
        <is>
          <t>L</t>
        </is>
      </c>
      <c r="E208" s="5" t="inlineStr">
        <is>
          <t>ok item</t>
        </is>
      </c>
      <c r="F208" s="5" t="inlineStr">
        <is>
          <t>VEGETABLES</t>
        </is>
      </c>
      <c r="G208" s="5" t="n">
        <v>336</v>
      </c>
      <c r="H208" s="5" t="inlineStr">
        <is>
          <t>VEGETABLES (fruits, steems, flowers)</t>
        </is>
      </c>
      <c r="I208" s="177" t="n">
        <v>362</v>
      </c>
      <c r="J208" t="n">
        <v>74506000</v>
      </c>
    </row>
    <row r="209" ht="15.75" customHeight="1" s="201">
      <c r="A209" s="5" t="inlineStr">
        <is>
          <t>CROPS</t>
        </is>
      </c>
      <c r="B209" s="5" t="inlineStr">
        <is>
          <t>CURRANT</t>
        </is>
      </c>
      <c r="C209" s="5" t="n">
        <v>499</v>
      </c>
      <c r="D209" s="175" t="inlineStr">
        <is>
          <t>L</t>
        </is>
      </c>
      <c r="E209" s="5" t="inlineStr">
        <is>
          <t>ok item</t>
        </is>
      </c>
      <c r="F209" s="5" t="inlineStr">
        <is>
          <t>FRUIT</t>
        </is>
      </c>
      <c r="G209" s="5" t="n">
        <v>748</v>
      </c>
      <c r="H209" s="5" t="inlineStr">
        <is>
          <t>WILD BERRIES</t>
        </is>
      </c>
      <c r="I209" s="177" t="n">
        <v>413</v>
      </c>
    </row>
    <row r="210" ht="15.75" customHeight="1" s="201">
      <c r="A210" s="5" t="inlineStr">
        <is>
          <t>CROPS</t>
        </is>
      </c>
      <c r="B210" s="5" t="inlineStr">
        <is>
          <t>DATES</t>
        </is>
      </c>
      <c r="C210" s="5" t="n">
        <v>2840</v>
      </c>
      <c r="D210" s="175" t="inlineStr">
        <is>
          <t>L</t>
        </is>
      </c>
      <c r="E210" s="5" t="inlineStr">
        <is>
          <t>ok item</t>
        </is>
      </c>
      <c r="F210" s="5" t="inlineStr">
        <is>
          <t>DRIED FRUIT</t>
        </is>
      </c>
      <c r="G210" s="5" t="n">
        <v>2636</v>
      </c>
      <c r="H210" s="173" t="inlineStr">
        <is>
          <t>-</t>
        </is>
      </c>
      <c r="I210" s="174" t="inlineStr">
        <is>
          <t>-</t>
        </is>
      </c>
      <c r="J210" t="n">
        <v>53233010</v>
      </c>
    </row>
    <row r="211" ht="15.75" customHeight="1" s="201">
      <c r="A211" s="5" t="inlineStr">
        <is>
          <t>CROPS</t>
        </is>
      </c>
      <c r="B211" s="5" t="inlineStr">
        <is>
          <t>EGGPLANT</t>
        </is>
      </c>
      <c r="C211" s="5" t="n">
        <v>362</v>
      </c>
      <c r="D211" s="175" t="inlineStr">
        <is>
          <t>L</t>
        </is>
      </c>
      <c r="E211" s="5" t="inlineStr">
        <is>
          <t>ok item</t>
        </is>
      </c>
      <c r="F211" s="5" t="inlineStr">
        <is>
          <t>VEGETABLES</t>
        </is>
      </c>
      <c r="G211" s="5" t="n">
        <v>336</v>
      </c>
      <c r="H211" s="5" t="inlineStr">
        <is>
          <t>VEGETABLES (fruits, steems, flowers)</t>
        </is>
      </c>
      <c r="I211" s="177" t="n">
        <v>362</v>
      </c>
      <c r="J211" t="n">
        <v>75412070</v>
      </c>
    </row>
    <row r="212" ht="15.75" customHeight="1" s="201">
      <c r="A212" s="5" t="inlineStr">
        <is>
          <t>CROPS</t>
        </is>
      </c>
      <c r="B212" s="5" t="inlineStr">
        <is>
          <t>FABA BEAN</t>
        </is>
      </c>
      <c r="C212" s="5" t="n">
        <v>2018</v>
      </c>
      <c r="D212" s="175" t="inlineStr">
        <is>
          <t>L</t>
        </is>
      </c>
      <c r="E212" s="5" t="inlineStr">
        <is>
          <t>ok item</t>
        </is>
      </c>
      <c r="F212" s="5" t="inlineStr">
        <is>
          <t>LEGUMES DRIED</t>
        </is>
      </c>
      <c r="G212" s="5" t="n">
        <v>4615</v>
      </c>
      <c r="H212" s="173" t="inlineStr">
        <is>
          <t>-</t>
        </is>
      </c>
      <c r="I212" s="174" t="inlineStr">
        <is>
          <t>-</t>
        </is>
      </c>
      <c r="J212" t="n">
        <v>41205050</v>
      </c>
    </row>
    <row r="213" ht="15.75" customHeight="1" s="201">
      <c r="A213" s="5" t="inlineStr">
        <is>
          <t>CROPS</t>
        </is>
      </c>
      <c r="B213" s="5" t="inlineStr">
        <is>
          <t>FENNEL SEEDS</t>
        </is>
      </c>
      <c r="C213" s="5" t="n">
        <v>8280</v>
      </c>
      <c r="D213" s="175" t="inlineStr">
        <is>
          <t>L</t>
        </is>
      </c>
      <c r="E213" s="5" t="inlineStr">
        <is>
          <t>ok item</t>
        </is>
      </c>
      <c r="F213" s="5" t="inlineStr">
        <is>
          <t>SPICIES</t>
        </is>
      </c>
      <c r="G213" s="5" t="n">
        <v>8280</v>
      </c>
      <c r="H213" s="173" t="inlineStr">
        <is>
          <t>-</t>
        </is>
      </c>
      <c r="I213" s="174" t="inlineStr">
        <is>
          <t>-</t>
        </is>
      </c>
      <c r="J213" t="n">
        <v>43101100</v>
      </c>
    </row>
    <row r="214" ht="15.75" customHeight="1" s="201">
      <c r="A214" s="5" t="inlineStr">
        <is>
          <t>CROPS</t>
        </is>
      </c>
      <c r="B214" s="5" t="inlineStr">
        <is>
          <t>FIG</t>
        </is>
      </c>
      <c r="C214" s="5" t="n">
        <v>3350</v>
      </c>
      <c r="D214" s="175" t="inlineStr">
        <is>
          <t>L</t>
        </is>
      </c>
      <c r="E214" s="5" t="inlineStr">
        <is>
          <t>ok item</t>
        </is>
      </c>
      <c r="F214" s="5" t="inlineStr">
        <is>
          <t>FRUIT</t>
        </is>
      </c>
      <c r="G214" s="5" t="n">
        <v>748</v>
      </c>
      <c r="H214" s="5" t="inlineStr">
        <is>
          <t>FRUIT (excluded citrus, wild berries and olives)</t>
        </is>
      </c>
      <c r="I214" s="177" t="n">
        <v>1506</v>
      </c>
    </row>
    <row r="215" ht="15.75" customHeight="1" s="201">
      <c r="A215" s="5" t="inlineStr">
        <is>
          <t>CROPS</t>
        </is>
      </c>
      <c r="B215" s="5" t="inlineStr">
        <is>
          <t>GARLIC</t>
        </is>
      </c>
      <c r="C215" s="5" t="n">
        <v>589</v>
      </c>
      <c r="D215" s="175" t="inlineStr">
        <is>
          <t>L</t>
        </is>
      </c>
      <c r="E215" s="5" t="inlineStr">
        <is>
          <t>ok item</t>
        </is>
      </c>
      <c r="F215" s="5" t="inlineStr">
        <is>
          <t>VEGETABLES</t>
        </is>
      </c>
      <c r="G215" s="5" t="n">
        <v>336</v>
      </c>
      <c r="H215" s="5" t="inlineStr">
        <is>
          <t>ROOTS &amp; BULBS</t>
        </is>
      </c>
      <c r="I215" s="177" t="n">
        <v>272</v>
      </c>
      <c r="J215" t="n">
        <v>51121025</v>
      </c>
    </row>
    <row r="216" ht="15.75" customHeight="1" s="201">
      <c r="A216" s="5" t="inlineStr">
        <is>
          <t>CROPS</t>
        </is>
      </c>
      <c r="B216" s="5" t="inlineStr">
        <is>
          <t>GARLIC POWDER</t>
        </is>
      </c>
      <c r="C216" s="5" t="n">
        <v>2265</v>
      </c>
      <c r="D216" s="175" t="inlineStr">
        <is>
          <t>L</t>
        </is>
      </c>
      <c r="E216" s="5" t="inlineStr">
        <is>
          <t>ok item</t>
        </is>
      </c>
      <c r="F216" s="5" t="inlineStr">
        <is>
          <t>SPICIES</t>
        </is>
      </c>
      <c r="G216" s="5" t="n">
        <v>8280</v>
      </c>
      <c r="H216" s="173" t="inlineStr">
        <is>
          <t>-</t>
        </is>
      </c>
      <c r="I216" s="174" t="inlineStr">
        <is>
          <t>-</t>
        </is>
      </c>
      <c r="J216" t="n">
        <v>51121025</v>
      </c>
    </row>
    <row r="217" ht="15.75" customHeight="1" s="201">
      <c r="A217" s="5" t="inlineStr">
        <is>
          <t>CROPS</t>
        </is>
      </c>
      <c r="B217" s="5" t="inlineStr">
        <is>
          <t>GINGER</t>
        </is>
      </c>
      <c r="C217" s="5" t="n">
        <v>1657</v>
      </c>
      <c r="D217" s="175" t="inlineStr">
        <is>
          <t>L</t>
        </is>
      </c>
      <c r="E217" s="5" t="inlineStr">
        <is>
          <t>ok item</t>
        </is>
      </c>
      <c r="F217" s="5" t="inlineStr">
        <is>
          <t>SPICIES</t>
        </is>
      </c>
      <c r="G217" s="5" t="n">
        <v>8280</v>
      </c>
      <c r="H217" s="173" t="inlineStr">
        <is>
          <t>-</t>
        </is>
      </c>
      <c r="I217" s="174" t="inlineStr">
        <is>
          <t>-</t>
        </is>
      </c>
      <c r="J217" t="n">
        <v>75503085</v>
      </c>
    </row>
    <row r="218" ht="15.75" customHeight="1" s="201">
      <c r="A218" s="5" t="inlineStr">
        <is>
          <t>CROPS</t>
        </is>
      </c>
      <c r="B218" s="5" t="inlineStr">
        <is>
          <t>GOOSEBERRY</t>
        </is>
      </c>
      <c r="C218" s="5" t="n">
        <v>526</v>
      </c>
      <c r="D218" s="175" t="inlineStr">
        <is>
          <t>L</t>
        </is>
      </c>
      <c r="E218" s="5" t="inlineStr">
        <is>
          <t>ok item</t>
        </is>
      </c>
      <c r="F218" s="5" t="inlineStr">
        <is>
          <t>FRUIT</t>
        </is>
      </c>
      <c r="G218" s="5" t="n">
        <v>748</v>
      </c>
      <c r="H218" s="5" t="inlineStr">
        <is>
          <t>WILD BERRIES</t>
        </is>
      </c>
      <c r="I218" s="177" t="n">
        <v>413</v>
      </c>
      <c r="J218" t="n">
        <v>53303500</v>
      </c>
    </row>
    <row r="219" ht="15.75" customHeight="1" s="201">
      <c r="A219" s="5" t="inlineStr">
        <is>
          <t>CROPS</t>
        </is>
      </c>
      <c r="B219" s="5" t="inlineStr">
        <is>
          <t>GRAPES</t>
        </is>
      </c>
      <c r="C219" s="5" t="n">
        <v>608</v>
      </c>
      <c r="D219" s="175" t="inlineStr">
        <is>
          <t>L</t>
        </is>
      </c>
      <c r="E219" s="5" t="inlineStr">
        <is>
          <t>ok item</t>
        </is>
      </c>
      <c r="F219" s="5" t="inlineStr">
        <is>
          <t>FRUIT</t>
        </is>
      </c>
      <c r="G219" s="5" t="n">
        <v>748</v>
      </c>
      <c r="H219" s="5" t="inlineStr">
        <is>
          <t>FRUIT (excluded citrus, wild berries and olives)</t>
        </is>
      </c>
      <c r="I219" s="177" t="n">
        <v>1506</v>
      </c>
      <c r="J219" t="n">
        <v>63123000</v>
      </c>
    </row>
    <row r="220" ht="15.75" customHeight="1" s="201">
      <c r="A220" s="5" t="inlineStr">
        <is>
          <t>CROPS</t>
        </is>
      </c>
      <c r="B220" s="5" t="inlineStr">
        <is>
          <t>GREEN TEA</t>
        </is>
      </c>
      <c r="C220" s="5" t="n">
        <v>8856</v>
      </c>
      <c r="D220" s="175" t="inlineStr">
        <is>
          <t>L</t>
        </is>
      </c>
      <c r="E220" s="5" t="inlineStr">
        <is>
          <t>ok item</t>
        </is>
      </c>
      <c r="F220" s="5" t="inlineStr">
        <is>
          <t>TEA</t>
        </is>
      </c>
      <c r="G220" s="5" t="n">
        <v>8856</v>
      </c>
      <c r="H220" s="173" t="inlineStr">
        <is>
          <t>-</t>
        </is>
      </c>
      <c r="I220" s="174" t="inlineStr">
        <is>
          <t>-</t>
        </is>
      </c>
      <c r="J220" t="n">
        <v>92303010</v>
      </c>
    </row>
    <row r="221" ht="15.75" customHeight="1" s="201">
      <c r="A221" s="5" t="inlineStr">
        <is>
          <t>CROPS</t>
        </is>
      </c>
      <c r="B221" s="5" t="inlineStr">
        <is>
          <t>GUAVA</t>
        </is>
      </c>
      <c r="C221" s="5" t="n">
        <v>1800</v>
      </c>
      <c r="D221" s="175" t="inlineStr">
        <is>
          <t>L</t>
        </is>
      </c>
      <c r="E221" s="5" t="inlineStr">
        <is>
          <t>ok item</t>
        </is>
      </c>
      <c r="F221" s="5" t="inlineStr">
        <is>
          <t>FRUIT</t>
        </is>
      </c>
      <c r="G221" s="5" t="n">
        <v>748</v>
      </c>
      <c r="H221" s="5" t="inlineStr">
        <is>
          <t>FRUIT (excluded citrus, wild berries and olives)</t>
        </is>
      </c>
      <c r="I221" s="177" t="n">
        <v>1506</v>
      </c>
      <c r="J221" t="n">
        <v>53451500</v>
      </c>
    </row>
    <row r="222" ht="15.75" customHeight="1" s="201">
      <c r="A222" s="5" t="inlineStr">
        <is>
          <t>CROPS</t>
        </is>
      </c>
      <c r="B222" s="5" t="inlineStr">
        <is>
          <t>HAZELNUT SHELLED</t>
        </is>
      </c>
      <c r="C222" s="5" t="n">
        <v>10515</v>
      </c>
      <c r="D222" s="175" t="inlineStr">
        <is>
          <t>L</t>
        </is>
      </c>
      <c r="E222" s="5" t="inlineStr">
        <is>
          <t>ok item</t>
        </is>
      </c>
      <c r="F222" s="5" t="inlineStr">
        <is>
          <t>NUTS SHELLED</t>
        </is>
      </c>
      <c r="G222" s="5" t="n">
        <v>11264</v>
      </c>
      <c r="H222" s="173" t="inlineStr">
        <is>
          <t>-</t>
        </is>
      </c>
      <c r="I222" s="174" t="inlineStr">
        <is>
          <t>-</t>
        </is>
      </c>
      <c r="J222" t="n">
        <v>91705040</v>
      </c>
    </row>
    <row r="223" ht="15.75" customHeight="1" s="201">
      <c r="A223" s="5" t="inlineStr">
        <is>
          <t>CROPS</t>
        </is>
      </c>
      <c r="B223" s="5" t="inlineStr">
        <is>
          <t>HAZELNUT WITH SHELL</t>
        </is>
      </c>
      <c r="C223" s="5" t="n">
        <v>5258</v>
      </c>
      <c r="D223" s="175" t="inlineStr">
        <is>
          <t>L</t>
        </is>
      </c>
      <c r="E223" s="5" t="inlineStr">
        <is>
          <t>ok item</t>
        </is>
      </c>
      <c r="F223" s="5" t="inlineStr">
        <is>
          <t>NUTS WITH SHELL</t>
        </is>
      </c>
      <c r="G223" s="5" t="n">
        <v>4918</v>
      </c>
      <c r="H223" s="173" t="inlineStr">
        <is>
          <t>-</t>
        </is>
      </c>
      <c r="I223" s="174" t="inlineStr">
        <is>
          <t>-</t>
        </is>
      </c>
      <c r="J223" t="n">
        <v>75142550</v>
      </c>
    </row>
    <row r="224" ht="15.75" customHeight="1" s="201">
      <c r="A224" s="5" t="inlineStr">
        <is>
          <t>CROPS</t>
        </is>
      </c>
      <c r="B224" s="5" t="inlineStr">
        <is>
          <t>HEMPSEED</t>
        </is>
      </c>
      <c r="C224" s="5" t="n">
        <v>3685</v>
      </c>
      <c r="D224" s="175" t="inlineStr">
        <is>
          <t>L</t>
        </is>
      </c>
      <c r="E224" s="5" t="inlineStr">
        <is>
          <t>ok item</t>
        </is>
      </c>
      <c r="F224" s="5" t="inlineStr">
        <is>
          <t>SEEDS</t>
        </is>
      </c>
      <c r="G224" s="5" t="n">
        <v>3087</v>
      </c>
      <c r="H224" s="173" t="inlineStr">
        <is>
          <t>-</t>
        </is>
      </c>
      <c r="I224" s="174" t="inlineStr">
        <is>
          <t>-</t>
        </is>
      </c>
    </row>
    <row r="225" ht="15.75" customHeight="1" s="201">
      <c r="A225" s="5" t="inlineStr">
        <is>
          <t>CROPS</t>
        </is>
      </c>
      <c r="B225" s="5" t="inlineStr">
        <is>
          <t>HOP CONE</t>
        </is>
      </c>
      <c r="C225" s="5" t="n">
        <v>4065</v>
      </c>
      <c r="D225" s="175" t="inlineStr">
        <is>
          <t>L</t>
        </is>
      </c>
      <c r="E225" s="5" t="inlineStr">
        <is>
          <t>ok item</t>
        </is>
      </c>
      <c r="F225" s="5" t="inlineStr">
        <is>
          <t>SPICIES</t>
        </is>
      </c>
      <c r="G225" s="5" t="n">
        <v>8280</v>
      </c>
      <c r="H225" s="173" t="inlineStr">
        <is>
          <t>-</t>
        </is>
      </c>
      <c r="I225" s="174" t="inlineStr">
        <is>
          <t>-</t>
        </is>
      </c>
      <c r="J225" t="n">
        <v>13120790</v>
      </c>
    </row>
    <row r="226" ht="15.75" customHeight="1" s="201">
      <c r="A226" s="5" t="inlineStr">
        <is>
          <t>CROPS</t>
        </is>
      </c>
      <c r="B226" s="5" t="inlineStr">
        <is>
          <t>HOP EXTRACT</t>
        </is>
      </c>
      <c r="C226" s="5" t="n">
        <v>16259</v>
      </c>
      <c r="D226" s="175" t="inlineStr">
        <is>
          <t>L</t>
        </is>
      </c>
      <c r="E226" s="5" t="inlineStr">
        <is>
          <t>ok item</t>
        </is>
      </c>
      <c r="F226" s="5" t="inlineStr">
        <is>
          <t>SPICIES</t>
        </is>
      </c>
      <c r="G226" s="5" t="n">
        <v>8280</v>
      </c>
      <c r="H226" s="173" t="inlineStr">
        <is>
          <t>-</t>
        </is>
      </c>
      <c r="I226" s="174" t="inlineStr">
        <is>
          <t>-</t>
        </is>
      </c>
      <c r="J226" t="n">
        <v>75236500</v>
      </c>
    </row>
    <row r="227" ht="15.75" customHeight="1" s="201">
      <c r="A227" s="5" t="inlineStr">
        <is>
          <t>CROPS</t>
        </is>
      </c>
      <c r="B227" s="5" t="inlineStr">
        <is>
          <t>KIWI</t>
        </is>
      </c>
      <c r="C227" s="5" t="n">
        <v>514</v>
      </c>
      <c r="D227" s="175" t="inlineStr">
        <is>
          <t>L</t>
        </is>
      </c>
      <c r="E227" s="5" t="inlineStr">
        <is>
          <t>ok item</t>
        </is>
      </c>
      <c r="F227" s="5" t="inlineStr">
        <is>
          <t>FRUIT</t>
        </is>
      </c>
      <c r="G227" s="5" t="n">
        <v>748</v>
      </c>
      <c r="H227" s="5" t="inlineStr">
        <is>
          <t>FRUIT (excluded citrus, wild berries and olives)</t>
        </is>
      </c>
      <c r="I227" s="177" t="n">
        <v>1506</v>
      </c>
      <c r="J227" t="n">
        <v>63126500</v>
      </c>
    </row>
    <row r="228" ht="15.75" customHeight="1" s="201">
      <c r="A228" s="5" t="inlineStr">
        <is>
          <t>CROPS</t>
        </is>
      </c>
      <c r="B228" s="5" t="inlineStr">
        <is>
          <t>KOLA NUT</t>
        </is>
      </c>
      <c r="C228" s="5" t="n">
        <v>23391</v>
      </c>
      <c r="D228" s="175" t="inlineStr">
        <is>
          <t>L</t>
        </is>
      </c>
      <c r="E228" s="5" t="inlineStr">
        <is>
          <t>ok item</t>
        </is>
      </c>
      <c r="F228" s="5" t="inlineStr">
        <is>
          <t>NUTS SHELLED</t>
        </is>
      </c>
      <c r="G228" s="5" t="n">
        <v>11264</v>
      </c>
      <c r="H228" s="173" t="inlineStr">
        <is>
          <t>-</t>
        </is>
      </c>
      <c r="I228" s="174" t="inlineStr">
        <is>
          <t>-</t>
        </is>
      </c>
      <c r="J228" t="n">
        <v>92410550</v>
      </c>
    </row>
    <row r="229" ht="15.75" customHeight="1" s="201">
      <c r="A229" s="5" t="inlineStr">
        <is>
          <t>CROPS</t>
        </is>
      </c>
      <c r="B229" s="5" t="inlineStr">
        <is>
          <t>LEMON</t>
        </is>
      </c>
      <c r="C229" s="5" t="n">
        <v>642</v>
      </c>
      <c r="D229" s="175" t="inlineStr">
        <is>
          <t>L</t>
        </is>
      </c>
      <c r="E229" s="5" t="inlineStr">
        <is>
          <t>ok item</t>
        </is>
      </c>
      <c r="F229" s="5" t="inlineStr">
        <is>
          <t>FRUIT</t>
        </is>
      </c>
      <c r="G229" s="5" t="n">
        <v>748</v>
      </c>
      <c r="H229" s="5" t="inlineStr">
        <is>
          <t>CITRUS FRUIT</t>
        </is>
      </c>
      <c r="I229" s="177" t="n">
        <v>654</v>
      </c>
      <c r="J229" t="n">
        <v>53109200</v>
      </c>
    </row>
    <row r="230" ht="15.75" customHeight="1" s="201">
      <c r="A230" s="5" t="inlineStr">
        <is>
          <t>CROPS</t>
        </is>
      </c>
      <c r="B230" s="5" t="inlineStr">
        <is>
          <t>LENTIL</t>
        </is>
      </c>
      <c r="C230" s="5" t="n">
        <v>5874</v>
      </c>
      <c r="D230" s="175" t="inlineStr">
        <is>
          <t>L</t>
        </is>
      </c>
      <c r="E230" s="5" t="inlineStr">
        <is>
          <t>ok item</t>
        </is>
      </c>
      <c r="F230" s="5" t="inlineStr">
        <is>
          <t>LEGUMES DRIED</t>
        </is>
      </c>
      <c r="G230" s="5" t="n">
        <v>4615</v>
      </c>
      <c r="H230" s="173" t="inlineStr">
        <is>
          <t>-</t>
        </is>
      </c>
      <c r="I230" s="174" t="inlineStr">
        <is>
          <t>-</t>
        </is>
      </c>
      <c r="J230" t="n">
        <v>41311030</v>
      </c>
    </row>
    <row r="231" ht="15.75" customHeight="1" s="201">
      <c r="A231" s="5" t="inlineStr">
        <is>
          <t>CROPS</t>
        </is>
      </c>
      <c r="B231" s="5" t="inlineStr">
        <is>
          <t>LETTUCE</t>
        </is>
      </c>
      <c r="C231" s="5" t="n">
        <v>237</v>
      </c>
      <c r="D231" s="175" t="inlineStr">
        <is>
          <t>L</t>
        </is>
      </c>
      <c r="E231" s="5" t="inlineStr">
        <is>
          <t>ok item</t>
        </is>
      </c>
      <c r="F231" s="5" t="inlineStr">
        <is>
          <t>VEGETABLES</t>
        </is>
      </c>
      <c r="G231" s="5" t="n">
        <v>336</v>
      </c>
      <c r="H231" s="5" t="inlineStr">
        <is>
          <t>GREEN LEAFY VEGETABLES</t>
        </is>
      </c>
      <c r="I231" s="177" t="n">
        <v>280</v>
      </c>
      <c r="J231" t="n">
        <v>75113060</v>
      </c>
    </row>
    <row r="232" ht="15.75" customHeight="1" s="201">
      <c r="A232" s="5" t="inlineStr">
        <is>
          <t>CROPS</t>
        </is>
      </c>
      <c r="B232" s="5" t="inlineStr">
        <is>
          <t>LIME</t>
        </is>
      </c>
      <c r="C232" s="5" t="n">
        <v>642</v>
      </c>
      <c r="D232" s="175" t="inlineStr">
        <is>
          <t>L</t>
        </is>
      </c>
      <c r="E232" s="5" t="inlineStr">
        <is>
          <t>ok item</t>
        </is>
      </c>
      <c r="F232" s="5" t="inlineStr">
        <is>
          <t>FRUIT</t>
        </is>
      </c>
      <c r="G232" s="5" t="n">
        <v>748</v>
      </c>
      <c r="H232" s="5" t="inlineStr">
        <is>
          <t>CITRUS FRUIT</t>
        </is>
      </c>
      <c r="I232" s="177" t="n">
        <v>654</v>
      </c>
      <c r="J232" t="n">
        <v>61207200</v>
      </c>
    </row>
    <row r="233" ht="15.75" customHeight="1" s="201">
      <c r="A233" s="5" t="inlineStr">
        <is>
          <t>CROPS</t>
        </is>
      </c>
      <c r="B233" s="5" t="inlineStr">
        <is>
          <t>LINSEED</t>
        </is>
      </c>
      <c r="C233" s="5" t="n">
        <v>5168</v>
      </c>
      <c r="D233" s="175" t="inlineStr">
        <is>
          <t>L</t>
        </is>
      </c>
      <c r="E233" s="5" t="inlineStr">
        <is>
          <t>ok item</t>
        </is>
      </c>
      <c r="F233" s="5" t="inlineStr">
        <is>
          <t>SEEDS</t>
        </is>
      </c>
      <c r="G233" s="5" t="n">
        <v>3087</v>
      </c>
      <c r="H233" s="173" t="inlineStr">
        <is>
          <t>-</t>
        </is>
      </c>
      <c r="I233" s="174" t="inlineStr">
        <is>
          <t>-</t>
        </is>
      </c>
    </row>
    <row r="234" ht="15.75" customHeight="1" s="201">
      <c r="A234" s="5" t="inlineStr">
        <is>
          <t>CROPS</t>
        </is>
      </c>
      <c r="B234" s="5" t="inlineStr">
        <is>
          <t>LONGABERRY</t>
        </is>
      </c>
      <c r="C234" s="5" t="n">
        <v>413</v>
      </c>
      <c r="D234" s="175" t="inlineStr">
        <is>
          <t>L</t>
        </is>
      </c>
      <c r="E234" s="5" t="inlineStr">
        <is>
          <t>ok item</t>
        </is>
      </c>
      <c r="F234" s="5" t="inlineStr">
        <is>
          <t>FRUIT</t>
        </is>
      </c>
      <c r="G234" s="5" t="n">
        <v>748</v>
      </c>
      <c r="H234" s="5" t="inlineStr">
        <is>
          <t>WILD BERRIES</t>
        </is>
      </c>
      <c r="I234" s="177" t="n">
        <v>413</v>
      </c>
    </row>
    <row r="235" ht="15.75" customHeight="1" s="201">
      <c r="A235" s="5" t="inlineStr">
        <is>
          <t>CROPS</t>
        </is>
      </c>
      <c r="B235" s="5" t="inlineStr">
        <is>
          <t>MACE</t>
        </is>
      </c>
      <c r="C235" s="5" t="n">
        <v>34319</v>
      </c>
      <c r="D235" s="175" t="inlineStr">
        <is>
          <t>L</t>
        </is>
      </c>
      <c r="E235" s="5" t="inlineStr">
        <is>
          <t>ok item</t>
        </is>
      </c>
      <c r="F235" s="5" t="inlineStr">
        <is>
          <t>SPICIES</t>
        </is>
      </c>
      <c r="G235" s="5" t="n">
        <v>8280</v>
      </c>
      <c r="H235" s="173" t="inlineStr">
        <is>
          <t>-</t>
        </is>
      </c>
      <c r="I235" s="174" t="inlineStr">
        <is>
          <t>-</t>
        </is>
      </c>
    </row>
    <row r="236" ht="15.75" customHeight="1" s="201">
      <c r="A236" s="5" t="inlineStr">
        <is>
          <t>CROPS</t>
        </is>
      </c>
      <c r="B236" s="5" t="inlineStr">
        <is>
          <t>MAIZE</t>
        </is>
      </c>
      <c r="C236" s="5" t="n">
        <v>1191</v>
      </c>
      <c r="D236" s="175" t="inlineStr">
        <is>
          <t>L</t>
        </is>
      </c>
      <c r="E236" s="5" t="inlineStr">
        <is>
          <t>ok item</t>
        </is>
      </c>
      <c r="F236" s="5" t="inlineStr">
        <is>
          <t>GRAINS</t>
        </is>
      </c>
      <c r="G236" s="5" t="n">
        <v>1618</v>
      </c>
      <c r="H236" s="173" t="inlineStr">
        <is>
          <t>-</t>
        </is>
      </c>
      <c r="I236" s="174" t="inlineStr">
        <is>
          <t>-</t>
        </is>
      </c>
      <c r="J236" t="n">
        <v>56201600</v>
      </c>
    </row>
    <row r="237" ht="15.75" customHeight="1" s="201">
      <c r="A237" s="5" t="inlineStr">
        <is>
          <t>CROPS</t>
        </is>
      </c>
      <c r="B237" s="5" t="inlineStr">
        <is>
          <t>MAIZE GREEN</t>
        </is>
      </c>
      <c r="C237" s="5" t="n">
        <v>700</v>
      </c>
      <c r="D237" s="175" t="inlineStr">
        <is>
          <t>L</t>
        </is>
      </c>
      <c r="E237" s="5" t="inlineStr">
        <is>
          <t>ok item</t>
        </is>
      </c>
      <c r="F237" s="5" t="inlineStr">
        <is>
          <t>VEGETABLES</t>
        </is>
      </c>
      <c r="G237" s="5" t="n">
        <v>336</v>
      </c>
      <c r="H237" s="5" t="inlineStr">
        <is>
          <t>VEGETABLES (fruits, steems, flowers)</t>
        </is>
      </c>
      <c r="I237" s="177" t="n">
        <v>362</v>
      </c>
      <c r="J237" t="n">
        <v>92303010</v>
      </c>
    </row>
    <row r="238" ht="15.75" customHeight="1" s="201">
      <c r="A238" s="5" t="inlineStr">
        <is>
          <t>CROPS</t>
        </is>
      </c>
      <c r="B238" s="5" t="inlineStr">
        <is>
          <t>MANDARIN</t>
        </is>
      </c>
      <c r="C238" s="5" t="n">
        <v>748</v>
      </c>
      <c r="D238" s="175" t="inlineStr">
        <is>
          <t>L</t>
        </is>
      </c>
      <c r="E238" s="5" t="inlineStr">
        <is>
          <t>ok item</t>
        </is>
      </c>
      <c r="F238" s="5" t="inlineStr">
        <is>
          <t>FRUIT</t>
        </is>
      </c>
      <c r="G238" s="5" t="n">
        <v>748</v>
      </c>
      <c r="H238" s="5" t="inlineStr">
        <is>
          <t>CITRUS FRUIT</t>
        </is>
      </c>
      <c r="I238" s="177" t="n">
        <v>654</v>
      </c>
      <c r="J238" t="n">
        <v>61122300</v>
      </c>
    </row>
    <row r="239" ht="15.75" customHeight="1" s="201">
      <c r="A239" s="5" t="inlineStr">
        <is>
          <t>CROPS</t>
        </is>
      </c>
      <c r="B239" s="5" t="inlineStr">
        <is>
          <t>MANGO</t>
        </is>
      </c>
      <c r="C239" s="5" t="n">
        <v>1855</v>
      </c>
      <c r="D239" s="175" t="inlineStr">
        <is>
          <t>L</t>
        </is>
      </c>
      <c r="E239" s="5" t="inlineStr">
        <is>
          <t>ok item</t>
        </is>
      </c>
      <c r="F239" s="5" t="inlineStr">
        <is>
          <t>FRUIT</t>
        </is>
      </c>
      <c r="G239" s="5" t="n">
        <v>748</v>
      </c>
      <c r="H239" s="5" t="inlineStr">
        <is>
          <t>FRUIT (excluded citrus, wild berries and olives)</t>
        </is>
      </c>
      <c r="I239" s="177" t="n">
        <v>1506</v>
      </c>
      <c r="J239" t="n">
        <v>63129010</v>
      </c>
    </row>
    <row r="240" ht="15.75" customHeight="1" s="201">
      <c r="A240" s="5" t="inlineStr">
        <is>
          <t>CROPS</t>
        </is>
      </c>
      <c r="B240" s="5" t="inlineStr">
        <is>
          <t>MANGOSTEEN</t>
        </is>
      </c>
      <c r="C240" s="5" t="n">
        <v>1800</v>
      </c>
      <c r="D240" s="175" t="inlineStr">
        <is>
          <t>L</t>
        </is>
      </c>
      <c r="E240" s="5" t="inlineStr">
        <is>
          <t>ok item</t>
        </is>
      </c>
      <c r="F240" s="5" t="inlineStr">
        <is>
          <t>FRUIT</t>
        </is>
      </c>
      <c r="G240" s="5" t="n">
        <v>748</v>
      </c>
      <c r="H240" s="5" t="inlineStr">
        <is>
          <t>FRUIT (excluded citrus, wild berries and olives)</t>
        </is>
      </c>
      <c r="I240" s="177" t="n">
        <v>1506</v>
      </c>
    </row>
    <row r="241" ht="15.75" customHeight="1" s="201">
      <c r="A241" s="5" t="inlineStr">
        <is>
          <t>CROPS</t>
        </is>
      </c>
      <c r="B241" s="5" t="inlineStr">
        <is>
          <t>MANIOC</t>
        </is>
      </c>
      <c r="C241" s="5" t="n">
        <v>564</v>
      </c>
      <c r="D241" s="175" t="inlineStr">
        <is>
          <t>L</t>
        </is>
      </c>
      <c r="E241" s="5" t="inlineStr">
        <is>
          <t>ok item</t>
        </is>
      </c>
      <c r="F241" s="5" t="inlineStr">
        <is>
          <t>STARCHY TUBERS</t>
        </is>
      </c>
      <c r="G241" s="5" t="n">
        <v>555</v>
      </c>
      <c r="H241" s="173" t="inlineStr">
        <is>
          <t>-</t>
        </is>
      </c>
      <c r="I241" s="174" t="inlineStr">
        <is>
          <t>-</t>
        </is>
      </c>
    </row>
    <row r="242" ht="15.75" customHeight="1" s="201">
      <c r="A242" s="5" t="inlineStr">
        <is>
          <t>CROPS</t>
        </is>
      </c>
      <c r="B242" s="5" t="inlineStr">
        <is>
          <t>MILLET</t>
        </is>
      </c>
      <c r="C242" s="5" t="n">
        <v>4478</v>
      </c>
      <c r="D242" s="175" t="inlineStr">
        <is>
          <t>L</t>
        </is>
      </c>
      <c r="E242" s="5" t="inlineStr">
        <is>
          <t>ok item</t>
        </is>
      </c>
      <c r="F242" s="5" t="inlineStr">
        <is>
          <t>GRAINS</t>
        </is>
      </c>
      <c r="G242" s="5" t="n">
        <v>1618</v>
      </c>
      <c r="H242" s="173" t="inlineStr">
        <is>
          <t>-</t>
        </is>
      </c>
      <c r="I242" s="174" t="inlineStr">
        <is>
          <t>-</t>
        </is>
      </c>
      <c r="J242" t="n">
        <v>56202000</v>
      </c>
    </row>
    <row r="243" ht="15.75" customHeight="1" s="201">
      <c r="A243" s="5" t="inlineStr">
        <is>
          <t>CROPS</t>
        </is>
      </c>
      <c r="B243" s="5" t="inlineStr">
        <is>
          <t>MIXED NUTS</t>
        </is>
      </c>
      <c r="C243" s="5" t="n">
        <v>9063</v>
      </c>
      <c r="D243" s="175" t="inlineStr">
        <is>
          <t>L</t>
        </is>
      </c>
      <c r="E243" s="5" t="inlineStr">
        <is>
          <t>ok item</t>
        </is>
      </c>
      <c r="F243" s="5" t="inlineStr">
        <is>
          <t>NUTS SHELLED</t>
        </is>
      </c>
      <c r="G243" s="5" t="n">
        <v>11264</v>
      </c>
      <c r="H243" s="173" t="inlineStr">
        <is>
          <t>-</t>
        </is>
      </c>
      <c r="I243" s="174" t="inlineStr">
        <is>
          <t>-</t>
        </is>
      </c>
      <c r="J243" t="n">
        <v>76407010</v>
      </c>
    </row>
    <row r="244" ht="15.75" customHeight="1" s="201">
      <c r="A244" s="5" t="inlineStr">
        <is>
          <t>CROPS</t>
        </is>
      </c>
      <c r="B244" s="5" t="inlineStr">
        <is>
          <t>MULBERRY</t>
        </is>
      </c>
      <c r="C244" s="5" t="n">
        <v>413</v>
      </c>
      <c r="D244" s="175" t="inlineStr">
        <is>
          <t>L</t>
        </is>
      </c>
      <c r="E244" s="5" t="inlineStr">
        <is>
          <t>ok item</t>
        </is>
      </c>
      <c r="F244" s="5" t="inlineStr">
        <is>
          <t>FRUIT</t>
        </is>
      </c>
      <c r="G244" s="5" t="n">
        <v>748</v>
      </c>
      <c r="H244" s="5" t="inlineStr">
        <is>
          <t>WILD BERRIES</t>
        </is>
      </c>
      <c r="I244" s="177" t="n">
        <v>413</v>
      </c>
    </row>
    <row r="245" ht="15.75" customHeight="1" s="201">
      <c r="A245" s="5" t="inlineStr">
        <is>
          <t>CROPS</t>
        </is>
      </c>
      <c r="B245" s="5" t="inlineStr">
        <is>
          <t>MUSTARD SEED</t>
        </is>
      </c>
      <c r="C245" s="5" t="n">
        <v>2809</v>
      </c>
      <c r="D245" s="175" t="inlineStr">
        <is>
          <t>L</t>
        </is>
      </c>
      <c r="E245" s="5" t="inlineStr">
        <is>
          <t>ok item</t>
        </is>
      </c>
      <c r="F245" s="5" t="inlineStr">
        <is>
          <t>SEEDS</t>
        </is>
      </c>
      <c r="G245" s="5" t="n">
        <v>3087</v>
      </c>
      <c r="H245" s="173" t="inlineStr">
        <is>
          <t>-</t>
        </is>
      </c>
      <c r="I245" s="174" t="inlineStr">
        <is>
          <t>-</t>
        </is>
      </c>
      <c r="J245" t="n">
        <v>75506100</v>
      </c>
    </row>
    <row r="246" ht="15.75" customHeight="1" s="201">
      <c r="A246" s="5" t="inlineStr">
        <is>
          <t>CROPS</t>
        </is>
      </c>
      <c r="B246" s="5" t="inlineStr">
        <is>
          <t>NUTMEG</t>
        </is>
      </c>
      <c r="C246" s="5" t="n">
        <v>34319</v>
      </c>
      <c r="D246" s="175" t="inlineStr">
        <is>
          <t>L</t>
        </is>
      </c>
      <c r="E246" s="5" t="inlineStr">
        <is>
          <t>ok item</t>
        </is>
      </c>
      <c r="F246" s="5" t="inlineStr">
        <is>
          <t>SPICIES</t>
        </is>
      </c>
      <c r="G246" s="5" t="n">
        <v>8280</v>
      </c>
      <c r="H246" s="173" t="inlineStr">
        <is>
          <t>-</t>
        </is>
      </c>
      <c r="I246" s="174" t="inlineStr">
        <is>
          <t>-</t>
        </is>
      </c>
    </row>
    <row r="247" ht="15.75" customHeight="1" s="201">
      <c r="A247" s="5" t="inlineStr">
        <is>
          <t>CROPS</t>
        </is>
      </c>
      <c r="B247" s="5" t="inlineStr">
        <is>
          <t>OAT</t>
        </is>
      </c>
      <c r="C247" s="5" t="n">
        <v>1788</v>
      </c>
      <c r="D247" s="175" t="inlineStr">
        <is>
          <t>L</t>
        </is>
      </c>
      <c r="E247" s="5" t="inlineStr">
        <is>
          <t>ok item</t>
        </is>
      </c>
      <c r="F247" s="5" t="inlineStr">
        <is>
          <t>GRAINS</t>
        </is>
      </c>
      <c r="G247" s="5" t="n">
        <v>1618</v>
      </c>
      <c r="H247" s="173" t="inlineStr">
        <is>
          <t>-</t>
        </is>
      </c>
      <c r="I247" s="174" t="inlineStr">
        <is>
          <t>-</t>
        </is>
      </c>
    </row>
    <row r="248" ht="15.75" customHeight="1" s="201">
      <c r="A248" s="5" t="inlineStr">
        <is>
          <t>CROPS</t>
        </is>
      </c>
      <c r="B248" s="5" t="inlineStr">
        <is>
          <t>OKRA</t>
        </is>
      </c>
      <c r="C248" s="5" t="n">
        <v>576</v>
      </c>
      <c r="D248" s="175" t="inlineStr">
        <is>
          <t>L</t>
        </is>
      </c>
      <c r="E248" s="5" t="inlineStr">
        <is>
          <t>ok item</t>
        </is>
      </c>
      <c r="F248" s="5" t="inlineStr">
        <is>
          <t>VEGETABLES</t>
        </is>
      </c>
      <c r="G248" s="5" t="n">
        <v>336</v>
      </c>
      <c r="H248" s="5" t="inlineStr">
        <is>
          <t>VEGETABLES (fruits, steems, flowers)</t>
        </is>
      </c>
      <c r="I248" s="177" t="n">
        <v>362</v>
      </c>
      <c r="J248" t="n">
        <v>27363000</v>
      </c>
    </row>
    <row r="249" ht="15.75" customHeight="1" s="201">
      <c r="A249" s="5" t="inlineStr">
        <is>
          <t>CROPS</t>
        </is>
      </c>
      <c r="B249" s="5" t="inlineStr">
        <is>
          <t>OLIVES*</t>
        </is>
      </c>
      <c r="C249" s="5" t="n">
        <v>3015</v>
      </c>
      <c r="D249" s="175" t="inlineStr">
        <is>
          <t>L</t>
        </is>
      </c>
      <c r="E249" s="5" t="inlineStr">
        <is>
          <t>item matching typology</t>
        </is>
      </c>
      <c r="F249" s="5" t="inlineStr">
        <is>
          <t>FRUIT</t>
        </is>
      </c>
      <c r="G249" s="5" t="n">
        <v>748</v>
      </c>
      <c r="H249" s="5" t="inlineStr">
        <is>
          <t>OLIVES*</t>
        </is>
      </c>
      <c r="I249" s="177" t="n">
        <v>3015</v>
      </c>
      <c r="J249" t="n">
        <v>51135000</v>
      </c>
    </row>
    <row r="250" ht="15.75" customHeight="1" s="201">
      <c r="A250" s="5" t="inlineStr">
        <is>
          <t>CROPS</t>
        </is>
      </c>
      <c r="B250" s="5" t="inlineStr">
        <is>
          <t>ONION</t>
        </is>
      </c>
      <c r="C250" s="5" t="n">
        <v>290</v>
      </c>
      <c r="D250" s="175" t="inlineStr">
        <is>
          <t>L</t>
        </is>
      </c>
      <c r="E250" s="5" t="inlineStr">
        <is>
          <t>ok item</t>
        </is>
      </c>
      <c r="F250" s="5" t="inlineStr">
        <is>
          <t>VEGETABLES</t>
        </is>
      </c>
      <c r="G250" s="5" t="n">
        <v>336</v>
      </c>
      <c r="H250" s="5" t="inlineStr">
        <is>
          <t>ROOTS &amp; BULBS</t>
        </is>
      </c>
      <c r="I250" s="177" t="n">
        <v>272</v>
      </c>
      <c r="J250" t="n">
        <v>11440030</v>
      </c>
    </row>
    <row r="251" ht="15.75" customHeight="1" s="201">
      <c r="A251" s="5" t="inlineStr">
        <is>
          <t>CROPS</t>
        </is>
      </c>
      <c r="B251" s="5" t="inlineStr">
        <is>
          <t>ORANGE</t>
        </is>
      </c>
      <c r="C251" s="5" t="n">
        <v>654</v>
      </c>
      <c r="D251" s="175" t="inlineStr">
        <is>
          <t>L</t>
        </is>
      </c>
      <c r="E251" s="5" t="inlineStr">
        <is>
          <t>ok item</t>
        </is>
      </c>
      <c r="F251" s="5" t="inlineStr">
        <is>
          <t>FRUIT</t>
        </is>
      </c>
      <c r="G251" s="5" t="n">
        <v>748</v>
      </c>
      <c r="H251" s="5" t="inlineStr">
        <is>
          <t>CITRUS FRUIT</t>
        </is>
      </c>
      <c r="I251" s="177" t="n">
        <v>654</v>
      </c>
      <c r="J251" t="n">
        <v>92550350</v>
      </c>
    </row>
    <row r="252" ht="15.75" customHeight="1" s="201">
      <c r="A252" s="5" t="inlineStr">
        <is>
          <t>CROPS</t>
        </is>
      </c>
      <c r="B252" s="5" t="inlineStr">
        <is>
          <t>PALM NUT</t>
        </is>
      </c>
      <c r="C252" s="5" t="n">
        <v>2868</v>
      </c>
      <c r="D252" s="175" t="inlineStr">
        <is>
          <t>L</t>
        </is>
      </c>
      <c r="E252" s="5" t="inlineStr">
        <is>
          <t>ok item</t>
        </is>
      </c>
      <c r="F252" s="5" t="inlineStr">
        <is>
          <t>FRUIT</t>
        </is>
      </c>
      <c r="G252" s="5" t="n">
        <v>748</v>
      </c>
      <c r="H252" s="5" t="inlineStr">
        <is>
          <t>FRUIT (excluded citrus, wild berries and olives)</t>
        </is>
      </c>
      <c r="I252" s="177" t="n">
        <v>1506</v>
      </c>
      <c r="J252" t="n">
        <v>75221160</v>
      </c>
    </row>
    <row r="253" ht="15.75" customHeight="1" s="201">
      <c r="A253" s="5" t="inlineStr">
        <is>
          <t>CROPS</t>
        </is>
      </c>
      <c r="B253" s="5" t="inlineStr">
        <is>
          <t>PAPAYA</t>
        </is>
      </c>
      <c r="C253" s="5" t="n">
        <v>460</v>
      </c>
      <c r="D253" s="175" t="inlineStr">
        <is>
          <t>L</t>
        </is>
      </c>
      <c r="E253" s="5" t="inlineStr">
        <is>
          <t>ok item</t>
        </is>
      </c>
      <c r="F253" s="5" t="inlineStr">
        <is>
          <t>FRUIT</t>
        </is>
      </c>
      <c r="G253" s="5" t="n">
        <v>748</v>
      </c>
      <c r="H253" s="5" t="inlineStr">
        <is>
          <t>FRUIT (excluded citrus, wild berries and olives)</t>
        </is>
      </c>
      <c r="I253" s="177" t="n">
        <v>1506</v>
      </c>
      <c r="J253" t="n">
        <v>62101050</v>
      </c>
    </row>
    <row r="254" ht="15.75" customHeight="1" s="201">
      <c r="A254" s="5" t="inlineStr">
        <is>
          <t>CROPS</t>
        </is>
      </c>
      <c r="B254" s="5" t="inlineStr">
        <is>
          <t>PEA</t>
        </is>
      </c>
      <c r="C254" s="5" t="n">
        <v>1979</v>
      </c>
      <c r="D254" s="175" t="inlineStr">
        <is>
          <t>L</t>
        </is>
      </c>
      <c r="E254" s="5" t="inlineStr">
        <is>
          <t>ok item</t>
        </is>
      </c>
      <c r="F254" s="5" t="inlineStr">
        <is>
          <t>LEGUMES DRIED</t>
        </is>
      </c>
      <c r="G254" s="5" t="n">
        <v>4615</v>
      </c>
      <c r="H254" s="173" t="inlineStr">
        <is>
          <t>-</t>
        </is>
      </c>
      <c r="I254" s="174" t="inlineStr">
        <is>
          <t>-</t>
        </is>
      </c>
    </row>
    <row r="255" ht="15.75" customHeight="1" s="201">
      <c r="A255" s="5" t="inlineStr">
        <is>
          <t>CROPS</t>
        </is>
      </c>
      <c r="B255" s="5" t="inlineStr">
        <is>
          <t>PEA (fresh)</t>
        </is>
      </c>
      <c r="C255" s="5" t="n">
        <v>595</v>
      </c>
      <c r="D255" s="175" t="inlineStr">
        <is>
          <t>L</t>
        </is>
      </c>
      <c r="E255" s="5" t="inlineStr">
        <is>
          <t>ok item</t>
        </is>
      </c>
      <c r="F255" s="5" t="inlineStr">
        <is>
          <t>LEGUMES FRESH</t>
        </is>
      </c>
      <c r="G255" s="5" t="n">
        <v>555.5</v>
      </c>
      <c r="H255" s="173" t="inlineStr">
        <is>
          <t>-</t>
        </is>
      </c>
      <c r="I255" s="174" t="inlineStr">
        <is>
          <t>-</t>
        </is>
      </c>
      <c r="J255" t="n">
        <v>14108020</v>
      </c>
    </row>
    <row r="256" ht="15.75" customHeight="1" s="201">
      <c r="A256" s="5" t="inlineStr">
        <is>
          <t>CROPS</t>
        </is>
      </c>
      <c r="B256" s="5" t="inlineStr">
        <is>
          <t>PEACH</t>
        </is>
      </c>
      <c r="C256" s="5" t="n">
        <v>910</v>
      </c>
      <c r="D256" s="175" t="inlineStr">
        <is>
          <t>L</t>
        </is>
      </c>
      <c r="E256" s="5" t="inlineStr">
        <is>
          <t>ok item</t>
        </is>
      </c>
      <c r="F256" s="5" t="inlineStr">
        <is>
          <t>FRUIT</t>
        </is>
      </c>
      <c r="G256" s="5" t="n">
        <v>748</v>
      </c>
      <c r="H256" s="5" t="inlineStr">
        <is>
          <t>FRUIT (excluded citrus, wild berries and olives)</t>
        </is>
      </c>
      <c r="I256" s="177" t="n">
        <v>1506</v>
      </c>
      <c r="J256" t="n">
        <v>63135010</v>
      </c>
    </row>
    <row r="257" ht="15.75" customHeight="1" s="201">
      <c r="A257" s="5" t="inlineStr">
        <is>
          <t>CROPS</t>
        </is>
      </c>
      <c r="B257" s="5" t="inlineStr">
        <is>
          <t>PEANUT</t>
        </is>
      </c>
      <c r="C257" s="5" t="n">
        <v>2782</v>
      </c>
      <c r="D257" s="175" t="inlineStr">
        <is>
          <t>L</t>
        </is>
      </c>
      <c r="E257" s="5" t="inlineStr">
        <is>
          <t>ok item</t>
        </is>
      </c>
      <c r="F257" s="5" t="inlineStr">
        <is>
          <t>NUTS WITH SHELL</t>
        </is>
      </c>
      <c r="G257" s="5" t="n">
        <v>4918</v>
      </c>
      <c r="H257" s="173" t="inlineStr">
        <is>
          <t>-</t>
        </is>
      </c>
      <c r="I257" s="174" t="inlineStr">
        <is>
          <t>-</t>
        </is>
      </c>
      <c r="J257" t="n">
        <v>91734000</v>
      </c>
    </row>
    <row r="258" ht="15.75" customHeight="1" s="201">
      <c r="A258" s="5" t="inlineStr">
        <is>
          <t>CROPS</t>
        </is>
      </c>
      <c r="B258" s="5" t="inlineStr">
        <is>
          <t>PEAR</t>
        </is>
      </c>
      <c r="C258" s="5" t="n">
        <v>922</v>
      </c>
      <c r="D258" s="175" t="inlineStr">
        <is>
          <t>L</t>
        </is>
      </c>
      <c r="E258" s="5" t="inlineStr">
        <is>
          <t>ok item</t>
        </is>
      </c>
      <c r="F258" s="5" t="inlineStr">
        <is>
          <t>FRUIT</t>
        </is>
      </c>
      <c r="G258" s="5" t="n">
        <v>748</v>
      </c>
      <c r="H258" s="5" t="inlineStr">
        <is>
          <t>FRUIT (excluded citrus, wild berries and olives)</t>
        </is>
      </c>
      <c r="I258" s="177" t="n">
        <v>1506</v>
      </c>
      <c r="J258" t="n">
        <v>63137010</v>
      </c>
    </row>
    <row r="259" ht="15.75" customHeight="1" s="201">
      <c r="A259" s="5" t="inlineStr">
        <is>
          <t>CROPS</t>
        </is>
      </c>
      <c r="B259" s="5" t="inlineStr">
        <is>
          <t>PEPPER</t>
        </is>
      </c>
      <c r="C259" s="5" t="n">
        <v>379</v>
      </c>
      <c r="D259" s="175" t="inlineStr">
        <is>
          <t>L</t>
        </is>
      </c>
      <c r="E259" s="5" t="inlineStr">
        <is>
          <t>ok item</t>
        </is>
      </c>
      <c r="F259" s="5" t="inlineStr">
        <is>
          <t>VEGETABLES</t>
        </is>
      </c>
      <c r="G259" s="5" t="n">
        <v>336</v>
      </c>
      <c r="H259" s="5" t="inlineStr">
        <is>
          <t>VEGETABLES (fruits, steems, flowers)</t>
        </is>
      </c>
      <c r="I259" s="177" t="n">
        <v>362</v>
      </c>
      <c r="J259" t="n">
        <v>75511040</v>
      </c>
    </row>
    <row r="260" ht="15.75" customHeight="1" s="201">
      <c r="A260" s="5" t="inlineStr">
        <is>
          <t>CROPS</t>
        </is>
      </c>
      <c r="B260" s="5" t="inlineStr">
        <is>
          <t>PEPPER (PIPER SPP.)</t>
        </is>
      </c>
      <c r="C260" s="5" t="n">
        <v>7611</v>
      </c>
      <c r="D260" s="175" t="inlineStr">
        <is>
          <t>L</t>
        </is>
      </c>
      <c r="E260" s="5" t="inlineStr">
        <is>
          <t>ok item</t>
        </is>
      </c>
      <c r="F260" s="5" t="inlineStr">
        <is>
          <t>SPICIES</t>
        </is>
      </c>
      <c r="G260" s="5" t="n">
        <v>8280</v>
      </c>
      <c r="H260" s="173" t="inlineStr">
        <is>
          <t>-</t>
        </is>
      </c>
      <c r="I260" s="174" t="inlineStr">
        <is>
          <t>-</t>
        </is>
      </c>
      <c r="J260" t="n">
        <v>75511040</v>
      </c>
    </row>
    <row r="261" ht="15.75" customHeight="1" s="201">
      <c r="A261" s="5" t="inlineStr">
        <is>
          <t>CROPS</t>
        </is>
      </c>
      <c r="B261" s="5" t="inlineStr">
        <is>
          <t>PEPPERMINT</t>
        </is>
      </c>
      <c r="C261" s="5" t="n">
        <v>288</v>
      </c>
      <c r="D261" s="175" t="inlineStr">
        <is>
          <t>L</t>
        </is>
      </c>
      <c r="E261" s="5" t="inlineStr">
        <is>
          <t>ok item</t>
        </is>
      </c>
      <c r="F261" s="5" t="inlineStr">
        <is>
          <t>SPICIES</t>
        </is>
      </c>
      <c r="G261" s="5" t="n">
        <v>8280</v>
      </c>
      <c r="H261" s="173" t="inlineStr">
        <is>
          <t>-</t>
        </is>
      </c>
      <c r="I261" s="174" t="inlineStr">
        <is>
          <t>-</t>
        </is>
      </c>
      <c r="J261" t="n">
        <v>91707010</v>
      </c>
    </row>
    <row r="262" ht="15.75" customHeight="1" s="201">
      <c r="A262" s="5" t="inlineStr">
        <is>
          <t>CROPS</t>
        </is>
      </c>
      <c r="B262" s="5" t="inlineStr">
        <is>
          <t>PIGEON PEA</t>
        </is>
      </c>
      <c r="C262" s="5" t="n">
        <v>5494</v>
      </c>
      <c r="D262" s="175" t="inlineStr">
        <is>
          <t>L</t>
        </is>
      </c>
      <c r="E262" s="5" t="inlineStr">
        <is>
          <t>ok item</t>
        </is>
      </c>
      <c r="F262" s="5" t="inlineStr">
        <is>
          <t>LEGUMES DRIED</t>
        </is>
      </c>
      <c r="G262" s="5" t="n">
        <v>4615</v>
      </c>
      <c r="H262" s="173" t="inlineStr">
        <is>
          <t>-</t>
        </is>
      </c>
      <c r="I262" s="174" t="inlineStr">
        <is>
          <t>-</t>
        </is>
      </c>
    </row>
    <row r="263" ht="15.75" customHeight="1" s="201">
      <c r="A263" s="5" t="inlineStr">
        <is>
          <t>CROPS</t>
        </is>
      </c>
      <c r="B263" s="5" t="inlineStr">
        <is>
          <t>PINEAPPLE</t>
        </is>
      </c>
      <c r="C263" s="5" t="n">
        <v>255</v>
      </c>
      <c r="D263" s="175" t="inlineStr">
        <is>
          <t>L</t>
        </is>
      </c>
      <c r="E263" s="5" t="inlineStr">
        <is>
          <t>ok item</t>
        </is>
      </c>
      <c r="F263" s="5" t="inlineStr">
        <is>
          <t>FRUIT</t>
        </is>
      </c>
      <c r="G263" s="5" t="n">
        <v>748</v>
      </c>
      <c r="H263" s="5" t="inlineStr">
        <is>
          <t>FRUIT (excluded citrus, wild berries and olives)</t>
        </is>
      </c>
      <c r="I263" s="177" t="n">
        <v>1506</v>
      </c>
      <c r="J263" t="n">
        <v>63141010</v>
      </c>
    </row>
    <row r="264" ht="15.75" customHeight="1" s="201">
      <c r="A264" s="5" t="inlineStr">
        <is>
          <t>CROPS</t>
        </is>
      </c>
      <c r="B264" s="5" t="inlineStr">
        <is>
          <t>PISTACHIO</t>
        </is>
      </c>
      <c r="C264" s="5" t="n">
        <v>11363</v>
      </c>
      <c r="D264" s="175" t="inlineStr">
        <is>
          <t>L</t>
        </is>
      </c>
      <c r="E264" s="5" t="inlineStr">
        <is>
          <t>ok item</t>
        </is>
      </c>
      <c r="F264" s="5" t="inlineStr">
        <is>
          <t>NUTS SHELLED</t>
        </is>
      </c>
      <c r="G264" s="5" t="n">
        <v>11264</v>
      </c>
      <c r="H264" s="173" t="inlineStr">
        <is>
          <t>-</t>
        </is>
      </c>
      <c r="I264" s="174" t="inlineStr">
        <is>
          <t>-</t>
        </is>
      </c>
      <c r="J264" t="n">
        <v>42114130</v>
      </c>
    </row>
    <row r="265" ht="15.75" customHeight="1" s="201">
      <c r="A265" s="5" t="inlineStr">
        <is>
          <t>CROPS</t>
        </is>
      </c>
      <c r="B265" s="5" t="inlineStr">
        <is>
          <t>PLANTAIN</t>
        </is>
      </c>
      <c r="C265" s="5" t="n">
        <v>1602</v>
      </c>
      <c r="D265" s="175" t="inlineStr">
        <is>
          <t>L</t>
        </is>
      </c>
      <c r="E265" s="5" t="inlineStr">
        <is>
          <t>ok item</t>
        </is>
      </c>
      <c r="F265" s="5" t="inlineStr">
        <is>
          <t>FRUIT</t>
        </is>
      </c>
      <c r="G265" s="5" t="n">
        <v>748</v>
      </c>
      <c r="H265" s="5" t="inlineStr">
        <is>
          <t>FRUIT (excluded citrus, wild berries and olives)</t>
        </is>
      </c>
      <c r="I265" s="177" t="n">
        <v>1506</v>
      </c>
      <c r="J265" t="n">
        <v>71900200</v>
      </c>
    </row>
    <row r="266" ht="15.75" customHeight="1" s="201">
      <c r="A266" s="5" t="inlineStr">
        <is>
          <t>CROPS</t>
        </is>
      </c>
      <c r="B266" s="5" t="inlineStr">
        <is>
          <t>PLUM</t>
        </is>
      </c>
      <c r="C266" s="5" t="n">
        <v>2180</v>
      </c>
      <c r="D266" s="175" t="inlineStr">
        <is>
          <t>L</t>
        </is>
      </c>
      <c r="E266" s="5" t="inlineStr">
        <is>
          <t>ok item</t>
        </is>
      </c>
      <c r="F266" s="5" t="inlineStr">
        <is>
          <t>FRUIT</t>
        </is>
      </c>
      <c r="G266" s="5" t="n">
        <v>748</v>
      </c>
      <c r="H266" s="5" t="inlineStr">
        <is>
          <t>FRUIT (excluded citrus, wild berries and olives)</t>
        </is>
      </c>
      <c r="I266" s="177" t="n">
        <v>1506</v>
      </c>
      <c r="J266" t="n">
        <v>63143010</v>
      </c>
    </row>
    <row r="267" ht="15.75" customHeight="1" s="201">
      <c r="A267" s="5" t="inlineStr">
        <is>
          <t>CROPS</t>
        </is>
      </c>
      <c r="B267" s="5" t="inlineStr">
        <is>
          <t>POPPY SEED</t>
        </is>
      </c>
      <c r="C267" s="5" t="n">
        <v>2188</v>
      </c>
      <c r="D267" s="175" t="inlineStr">
        <is>
          <t>L</t>
        </is>
      </c>
      <c r="E267" s="5" t="inlineStr">
        <is>
          <t>ok item</t>
        </is>
      </c>
      <c r="F267" s="5" t="inlineStr">
        <is>
          <t>SEEDS</t>
        </is>
      </c>
      <c r="G267" s="5" t="n">
        <v>3087</v>
      </c>
      <c r="H267" s="173" t="inlineStr">
        <is>
          <t>-</t>
        </is>
      </c>
      <c r="I267" s="174" t="inlineStr">
        <is>
          <t>-</t>
        </is>
      </c>
      <c r="J267" t="n">
        <v>43103300</v>
      </c>
    </row>
    <row r="268" ht="15.75" customHeight="1" s="201">
      <c r="A268" s="5" t="inlineStr">
        <is>
          <t>CROPS</t>
        </is>
      </c>
      <c r="B268" s="5" t="inlineStr">
        <is>
          <t>POTATO</t>
        </is>
      </c>
      <c r="C268" s="5" t="n">
        <v>554.8</v>
      </c>
      <c r="D268" s="175" t="inlineStr">
        <is>
          <t>H</t>
        </is>
      </c>
      <c r="E268" s="5" t="inlineStr">
        <is>
          <t>better typology</t>
        </is>
      </c>
      <c r="F268" s="5" t="inlineStr">
        <is>
          <t>STARCHY TUBERS</t>
        </is>
      </c>
      <c r="G268" s="5" t="n">
        <v>555</v>
      </c>
      <c r="H268" s="173" t="inlineStr">
        <is>
          <t>-</t>
        </is>
      </c>
      <c r="I268" s="174" t="inlineStr">
        <is>
          <t>-</t>
        </is>
      </c>
      <c r="J268" t="n">
        <v>71200300</v>
      </c>
    </row>
    <row r="269" ht="15.75" customHeight="1" s="201">
      <c r="A269" s="5" t="inlineStr">
        <is>
          <t>CROPS</t>
        </is>
      </c>
      <c r="B269" s="5" t="inlineStr">
        <is>
          <t>PUMPKIN</t>
        </is>
      </c>
      <c r="C269" s="5" t="n">
        <v>400</v>
      </c>
      <c r="D269" s="175" t="inlineStr">
        <is>
          <t>H</t>
        </is>
      </c>
      <c r="E269" s="5" t="inlineStr">
        <is>
          <t>better typology</t>
        </is>
      </c>
      <c r="F269" s="5" t="inlineStr">
        <is>
          <t>VEGETABLES</t>
        </is>
      </c>
      <c r="G269" s="5" t="n">
        <v>336</v>
      </c>
      <c r="H269" s="5" t="inlineStr">
        <is>
          <t>VEGETABLES (fruits, steems, flowers)</t>
        </is>
      </c>
      <c r="I269" s="177" t="n">
        <v>362</v>
      </c>
      <c r="J269" t="n">
        <v>43101050</v>
      </c>
    </row>
    <row r="270" ht="15.75" customHeight="1" s="201">
      <c r="A270" s="5" t="inlineStr">
        <is>
          <t>CROPS</t>
        </is>
      </c>
      <c r="B270" s="5" t="inlineStr">
        <is>
          <t>RAISINS</t>
        </is>
      </c>
      <c r="C270" s="5" t="n">
        <v>2433</v>
      </c>
      <c r="D270" s="175" t="inlineStr">
        <is>
          <t>L</t>
        </is>
      </c>
      <c r="E270" s="5" t="inlineStr">
        <is>
          <t>ok item</t>
        </is>
      </c>
      <c r="F270" s="5" t="inlineStr">
        <is>
          <t>DRIED FRUIT</t>
        </is>
      </c>
      <c r="G270" s="5" t="n">
        <v>2636</v>
      </c>
      <c r="H270" s="173" t="inlineStr">
        <is>
          <t>-</t>
        </is>
      </c>
      <c r="I270" s="174" t="inlineStr">
        <is>
          <t>-</t>
        </is>
      </c>
      <c r="J270" t="n">
        <v>62125100</v>
      </c>
    </row>
    <row r="271" ht="15.75" customHeight="1" s="201">
      <c r="A271" s="5" t="inlineStr">
        <is>
          <t>CROPS</t>
        </is>
      </c>
      <c r="B271" s="5" t="inlineStr">
        <is>
          <t>RAPESEED</t>
        </is>
      </c>
      <c r="C271" s="5" t="n">
        <v>2271</v>
      </c>
      <c r="D271" s="175" t="inlineStr">
        <is>
          <t>L</t>
        </is>
      </c>
      <c r="E271" s="5" t="inlineStr">
        <is>
          <t>ok item</t>
        </is>
      </c>
      <c r="F271" s="5" t="inlineStr">
        <is>
          <t>SEEDS</t>
        </is>
      </c>
      <c r="G271" s="5" t="n">
        <v>3087</v>
      </c>
      <c r="H271" s="173" t="inlineStr">
        <is>
          <t>-</t>
        </is>
      </c>
      <c r="I271" s="174" t="inlineStr">
        <is>
          <t>-</t>
        </is>
      </c>
    </row>
    <row r="272" ht="15.75" customHeight="1" s="201">
      <c r="A272" s="5" t="inlineStr">
        <is>
          <t>CROPS</t>
        </is>
      </c>
      <c r="B272" s="5" t="inlineStr">
        <is>
          <t>RASPBERRY</t>
        </is>
      </c>
      <c r="C272" s="5" t="n">
        <v>413</v>
      </c>
      <c r="D272" s="175" t="inlineStr">
        <is>
          <t>L</t>
        </is>
      </c>
      <c r="E272" s="5" t="inlineStr">
        <is>
          <t>ok item</t>
        </is>
      </c>
      <c r="F272" s="5" t="inlineStr">
        <is>
          <t>FRUIT</t>
        </is>
      </c>
      <c r="G272" s="5" t="n">
        <v>748</v>
      </c>
      <c r="H272" s="5" t="inlineStr">
        <is>
          <t>WILD BERRIES</t>
        </is>
      </c>
      <c r="I272" s="177" t="n">
        <v>413</v>
      </c>
      <c r="J272" t="n">
        <v>27450066</v>
      </c>
    </row>
    <row r="273" ht="15.75" customHeight="1" s="201">
      <c r="A273" s="5" t="inlineStr">
        <is>
          <t>CROPS</t>
        </is>
      </c>
      <c r="B273" s="5" t="inlineStr">
        <is>
          <t>RICE</t>
        </is>
      </c>
      <c r="C273" s="5" t="n">
        <v>1597</v>
      </c>
      <c r="D273" s="175" t="inlineStr">
        <is>
          <t>L</t>
        </is>
      </c>
      <c r="E273" s="5" t="inlineStr">
        <is>
          <t>ok item</t>
        </is>
      </c>
      <c r="F273" s="5" t="inlineStr">
        <is>
          <t>GRAINS</t>
        </is>
      </c>
      <c r="G273" s="5" t="n">
        <v>1618</v>
      </c>
      <c r="H273" s="173" t="inlineStr">
        <is>
          <t>-</t>
        </is>
      </c>
      <c r="I273" s="174" t="inlineStr">
        <is>
          <t>-</t>
        </is>
      </c>
      <c r="J273" t="n">
        <v>54319000</v>
      </c>
    </row>
    <row r="274" ht="15.75" customHeight="1" s="201">
      <c r="A274" s="5" t="inlineStr">
        <is>
          <t>CROPS</t>
        </is>
      </c>
      <c r="B274" s="5" t="inlineStr">
        <is>
          <t>RYE</t>
        </is>
      </c>
      <c r="C274" s="5" t="n">
        <v>1554</v>
      </c>
      <c r="D274" s="175" t="inlineStr">
        <is>
          <t>L</t>
        </is>
      </c>
      <c r="E274" s="5" t="inlineStr">
        <is>
          <t>ok item</t>
        </is>
      </c>
      <c r="F274" s="5" t="inlineStr">
        <is>
          <t>GRAINS</t>
        </is>
      </c>
      <c r="G274" s="5" t="n">
        <v>1618</v>
      </c>
      <c r="H274" s="173" t="inlineStr">
        <is>
          <t>-</t>
        </is>
      </c>
      <c r="I274" s="174" t="inlineStr">
        <is>
          <t>-</t>
        </is>
      </c>
    </row>
    <row r="275" ht="15.75" customHeight="1" s="201">
      <c r="A275" s="5" t="inlineStr">
        <is>
          <t>CROPS</t>
        </is>
      </c>
      <c r="B275" s="5" t="inlineStr">
        <is>
          <t>SAFFRON</t>
        </is>
      </c>
      <c r="C275" s="5" t="n">
        <v>731000</v>
      </c>
      <c r="D275" s="175" t="inlineStr">
        <is>
          <t>L</t>
        </is>
      </c>
      <c r="E275" s="5" t="inlineStr">
        <is>
          <t>ok item</t>
        </is>
      </c>
      <c r="F275" s="5" t="inlineStr">
        <is>
          <t>SPICIES</t>
        </is>
      </c>
      <c r="G275" s="5" t="n">
        <v>8280</v>
      </c>
      <c r="H275" s="173" t="inlineStr">
        <is>
          <t>-</t>
        </is>
      </c>
      <c r="I275" s="174" t="inlineStr">
        <is>
          <t>-</t>
        </is>
      </c>
    </row>
    <row r="276" ht="15.75" customHeight="1" s="201">
      <c r="A276" s="5" t="inlineStr">
        <is>
          <t>CROPS</t>
        </is>
      </c>
      <c r="B276" s="5" t="inlineStr">
        <is>
          <t>SESAME SEED</t>
        </is>
      </c>
      <c r="C276" s="5" t="n">
        <v>9371</v>
      </c>
      <c r="D276" s="175" t="inlineStr">
        <is>
          <t>L</t>
        </is>
      </c>
      <c r="E276" s="5" t="inlineStr">
        <is>
          <t>ok item</t>
        </is>
      </c>
      <c r="F276" s="5" t="inlineStr">
        <is>
          <t>SEEDS</t>
        </is>
      </c>
      <c r="G276" s="5" t="n">
        <v>3087</v>
      </c>
      <c r="H276" s="173" t="inlineStr">
        <is>
          <t>-</t>
        </is>
      </c>
      <c r="I276" s="174" t="inlineStr">
        <is>
          <t>-</t>
        </is>
      </c>
      <c r="J276" t="n">
        <v>43103300</v>
      </c>
    </row>
    <row r="277" ht="15.75" customHeight="1" s="201">
      <c r="A277" s="5" t="inlineStr">
        <is>
          <t>CROPS</t>
        </is>
      </c>
      <c r="B277" s="5" t="inlineStr">
        <is>
          <t>SHALLOT</t>
        </is>
      </c>
      <c r="C277" s="5" t="n">
        <v>272</v>
      </c>
      <c r="D277" s="175" t="inlineStr">
        <is>
          <t>L</t>
        </is>
      </c>
      <c r="E277" s="5" t="inlineStr">
        <is>
          <t>ok item</t>
        </is>
      </c>
      <c r="F277" s="5" t="inlineStr">
        <is>
          <t>VEGETABLES</t>
        </is>
      </c>
      <c r="G277" s="5" t="n">
        <v>336</v>
      </c>
      <c r="H277" s="5" t="inlineStr">
        <is>
          <t>ROOTS &amp; BULBS</t>
        </is>
      </c>
      <c r="I277" s="177" t="n">
        <v>272</v>
      </c>
    </row>
    <row r="278" ht="15.75" customHeight="1" s="201">
      <c r="A278" s="5" t="inlineStr">
        <is>
          <t>CROPS</t>
        </is>
      </c>
      <c r="B278" s="5" t="inlineStr">
        <is>
          <t>SORGHUM</t>
        </is>
      </c>
      <c r="C278" s="5" t="n">
        <v>3048</v>
      </c>
      <c r="D278" s="175" t="inlineStr">
        <is>
          <t>L</t>
        </is>
      </c>
      <c r="E278" s="5" t="inlineStr">
        <is>
          <t>ok item</t>
        </is>
      </c>
      <c r="F278" s="5" t="inlineStr">
        <is>
          <t>GRAINS</t>
        </is>
      </c>
      <c r="G278" s="5" t="n">
        <v>1618</v>
      </c>
      <c r="H278" s="173" t="inlineStr">
        <is>
          <t>-</t>
        </is>
      </c>
      <c r="I278" s="174" t="inlineStr">
        <is>
          <t>-</t>
        </is>
      </c>
    </row>
    <row r="279" ht="15.75" customHeight="1" s="201">
      <c r="A279" s="5" t="inlineStr">
        <is>
          <t>CROPS</t>
        </is>
      </c>
      <c r="B279" s="5" t="inlineStr">
        <is>
          <t>SOYBEAN</t>
        </is>
      </c>
      <c r="C279" s="5" t="n">
        <v>1816.4</v>
      </c>
      <c r="D279" s="175" t="inlineStr">
        <is>
          <t>L</t>
        </is>
      </c>
      <c r="E279" s="5" t="inlineStr">
        <is>
          <t>better typology</t>
        </is>
      </c>
      <c r="F279" s="5" t="inlineStr">
        <is>
          <t>LEGUMES DRIED</t>
        </is>
      </c>
      <c r="G279" s="5" t="n">
        <v>4615</v>
      </c>
      <c r="H279" s="173" t="inlineStr">
        <is>
          <t>-</t>
        </is>
      </c>
      <c r="I279" s="174" t="inlineStr">
        <is>
          <t>-</t>
        </is>
      </c>
      <c r="J279" t="n">
        <v>41420010</v>
      </c>
    </row>
    <row r="280" ht="15.75" customHeight="1" s="201">
      <c r="A280" s="5" t="inlineStr">
        <is>
          <t>CROPS</t>
        </is>
      </c>
      <c r="B280" s="5" t="inlineStr">
        <is>
          <t>SPINACH</t>
        </is>
      </c>
      <c r="C280" s="5" t="n">
        <v>292</v>
      </c>
      <c r="D280" s="175" t="inlineStr">
        <is>
          <t>L</t>
        </is>
      </c>
      <c r="E280" s="5" t="inlineStr">
        <is>
          <t>ok item</t>
        </is>
      </c>
      <c r="F280" s="5" t="inlineStr">
        <is>
          <t>VEGETABLES</t>
        </is>
      </c>
      <c r="G280" s="5" t="n">
        <v>336</v>
      </c>
      <c r="H280" s="5" t="inlineStr">
        <is>
          <t>GREEN LEAFY VEGETABLES</t>
        </is>
      </c>
      <c r="I280" s="177" t="n">
        <v>280</v>
      </c>
      <c r="J280" t="n">
        <v>72125260</v>
      </c>
    </row>
    <row r="281" ht="15.75" customHeight="1" s="201">
      <c r="A281" s="5" t="inlineStr">
        <is>
          <t>CROPS</t>
        </is>
      </c>
      <c r="B281" s="5" t="inlineStr">
        <is>
          <t>SQUASH</t>
        </is>
      </c>
      <c r="C281" s="5" t="n">
        <v>336</v>
      </c>
      <c r="D281" s="175" t="inlineStr">
        <is>
          <t>L</t>
        </is>
      </c>
      <c r="E281" s="5" t="inlineStr">
        <is>
          <t>ok item</t>
        </is>
      </c>
      <c r="F281" s="5" t="inlineStr">
        <is>
          <t>VEGETABLES</t>
        </is>
      </c>
      <c r="G281" s="5" t="n">
        <v>336</v>
      </c>
      <c r="H281" s="5" t="inlineStr">
        <is>
          <t>VEGETABLES (fruits, steems, flowers)</t>
        </is>
      </c>
      <c r="I281" s="177" t="n">
        <v>362</v>
      </c>
      <c r="J281" t="n">
        <v>76205010</v>
      </c>
    </row>
    <row r="282" ht="15.75" customHeight="1" s="201">
      <c r="A282" s="5" t="inlineStr">
        <is>
          <t>CROPS</t>
        </is>
      </c>
      <c r="B282" s="5" t="inlineStr">
        <is>
          <t>STRAWBERRY</t>
        </is>
      </c>
      <c r="C282" s="5" t="n">
        <v>247.9</v>
      </c>
      <c r="D282" s="175" t="inlineStr">
        <is>
          <t>L</t>
        </is>
      </c>
      <c r="E282" s="5" t="inlineStr">
        <is>
          <t>better sub-typology</t>
        </is>
      </c>
      <c r="F282" s="5" t="inlineStr">
        <is>
          <t>FRUIT</t>
        </is>
      </c>
      <c r="G282" s="5" t="n">
        <v>748</v>
      </c>
      <c r="H282" s="5" t="inlineStr">
        <is>
          <t>WILD BERRIES</t>
        </is>
      </c>
      <c r="I282" s="177" t="n">
        <v>413</v>
      </c>
      <c r="J282" t="n">
        <v>53109200</v>
      </c>
    </row>
    <row r="283" ht="15.75" customHeight="1" s="201">
      <c r="A283" s="5" t="inlineStr">
        <is>
          <t>CROPS</t>
        </is>
      </c>
      <c r="B283" s="5" t="inlineStr">
        <is>
          <t>STRING BEAN</t>
        </is>
      </c>
      <c r="C283" s="5" t="n">
        <v>547</v>
      </c>
      <c r="D283" s="175" t="inlineStr">
        <is>
          <t>L</t>
        </is>
      </c>
      <c r="E283" s="5" t="inlineStr">
        <is>
          <t>ok item</t>
        </is>
      </c>
      <c r="F283" s="5" t="inlineStr">
        <is>
          <t>VEGETABLES</t>
        </is>
      </c>
      <c r="G283" s="5" t="n">
        <v>336</v>
      </c>
      <c r="H283" s="5" t="inlineStr">
        <is>
          <t>VEGETABLES (fruits, steems, flowers)</t>
        </is>
      </c>
      <c r="I283" s="177" t="n">
        <v>362</v>
      </c>
      <c r="J283" t="n">
        <v>75302080</v>
      </c>
    </row>
    <row r="284" ht="15.75" customHeight="1" s="201">
      <c r="A284" s="5" t="inlineStr">
        <is>
          <t>CROPS</t>
        </is>
      </c>
      <c r="B284" s="5" t="inlineStr">
        <is>
          <t>SUGAR BEET</t>
        </is>
      </c>
      <c r="C284" s="5" t="n">
        <v>132</v>
      </c>
      <c r="D284" s="175" t="inlineStr">
        <is>
          <t>L</t>
        </is>
      </c>
      <c r="E284" s="5" t="inlineStr">
        <is>
          <t>ok item</t>
        </is>
      </c>
      <c r="F284" s="5" t="inlineStr">
        <is>
          <t>SUGAR CROPS</t>
        </is>
      </c>
      <c r="G284" s="5" t="n">
        <v>171</v>
      </c>
      <c r="H284" s="173" t="inlineStr">
        <is>
          <t>-</t>
        </is>
      </c>
      <c r="I284" s="174" t="inlineStr">
        <is>
          <t>-</t>
        </is>
      </c>
      <c r="J284" t="n">
        <v>42202100</v>
      </c>
    </row>
    <row r="285" ht="15.75" customHeight="1" s="201">
      <c r="A285" s="5" t="inlineStr">
        <is>
          <t>CROPS</t>
        </is>
      </c>
      <c r="B285" s="5" t="inlineStr">
        <is>
          <t>SUGAR CANE</t>
        </is>
      </c>
      <c r="C285" s="5" t="n">
        <v>210</v>
      </c>
      <c r="D285" s="175" t="inlineStr">
        <is>
          <t>L</t>
        </is>
      </c>
      <c r="E285" s="5" t="inlineStr">
        <is>
          <t>ok item</t>
        </is>
      </c>
      <c r="F285" s="5" t="inlineStr">
        <is>
          <t>SUGAR CROPS</t>
        </is>
      </c>
      <c r="G285" s="5" t="n">
        <v>171</v>
      </c>
      <c r="H285" s="173" t="inlineStr">
        <is>
          <t>-</t>
        </is>
      </c>
      <c r="I285" s="174" t="inlineStr">
        <is>
          <t>-</t>
        </is>
      </c>
      <c r="J285" t="n">
        <v>42202100</v>
      </c>
    </row>
    <row r="286" ht="15.75" customHeight="1" s="201">
      <c r="A286" s="5" t="inlineStr">
        <is>
          <t>CROPS</t>
        </is>
      </c>
      <c r="B286" s="5" t="inlineStr">
        <is>
          <t>SUNFLOWER SEED</t>
        </is>
      </c>
      <c r="C286" s="5" t="n">
        <v>3366</v>
      </c>
      <c r="D286" s="175" t="inlineStr">
        <is>
          <t>L</t>
        </is>
      </c>
      <c r="E286" s="5" t="inlineStr">
        <is>
          <t>ok item</t>
        </is>
      </c>
      <c r="F286" s="5" t="inlineStr">
        <is>
          <t>SEEDS</t>
        </is>
      </c>
      <c r="G286" s="5" t="n">
        <v>3087</v>
      </c>
      <c r="H286" s="173" t="inlineStr">
        <is>
          <t>-</t>
        </is>
      </c>
      <c r="I286" s="174" t="inlineStr">
        <is>
          <t>-</t>
        </is>
      </c>
      <c r="J286" t="n">
        <v>43103300</v>
      </c>
    </row>
    <row r="287" ht="15.75" customHeight="1" s="201">
      <c r="A287" s="5" t="inlineStr">
        <is>
          <t>CROPS</t>
        </is>
      </c>
      <c r="B287" s="5" t="inlineStr">
        <is>
          <t>SWEET POTATO</t>
        </is>
      </c>
      <c r="C287" s="5" t="n">
        <v>383</v>
      </c>
      <c r="D287" s="175" t="inlineStr">
        <is>
          <t>L</t>
        </is>
      </c>
      <c r="E287" s="5" t="inlineStr">
        <is>
          <t>ok item</t>
        </is>
      </c>
      <c r="F287" s="5" t="inlineStr">
        <is>
          <t>STARCHY TUBERS</t>
        </is>
      </c>
      <c r="G287" s="5" t="n">
        <v>555</v>
      </c>
      <c r="H287" s="173" t="inlineStr">
        <is>
          <t>-</t>
        </is>
      </c>
      <c r="I287" s="174" t="inlineStr">
        <is>
          <t>-</t>
        </is>
      </c>
      <c r="J287" t="n">
        <v>73409000</v>
      </c>
    </row>
    <row r="288" ht="15.75" customHeight="1" s="201">
      <c r="A288" s="5" t="inlineStr">
        <is>
          <t>CROPS</t>
        </is>
      </c>
      <c r="B288" s="5" t="inlineStr">
        <is>
          <t>TANGERIN</t>
        </is>
      </c>
      <c r="C288" s="5" t="n">
        <v>748</v>
      </c>
      <c r="D288" s="175" t="inlineStr">
        <is>
          <t>L</t>
        </is>
      </c>
      <c r="E288" s="5" t="inlineStr">
        <is>
          <t>ok item</t>
        </is>
      </c>
      <c r="F288" s="5" t="inlineStr">
        <is>
          <t>FRUIT</t>
        </is>
      </c>
      <c r="G288" s="5" t="n">
        <v>748</v>
      </c>
      <c r="H288" s="5" t="inlineStr">
        <is>
          <t>CITRUS FRUIT</t>
        </is>
      </c>
      <c r="I288" s="177" t="n">
        <v>654</v>
      </c>
    </row>
    <row r="289" ht="15.75" customHeight="1" s="201">
      <c r="A289" s="5" t="inlineStr">
        <is>
          <t>CROPS</t>
        </is>
      </c>
      <c r="B289" s="5" t="inlineStr">
        <is>
          <t>TARO</t>
        </is>
      </c>
      <c r="C289" s="5" t="n">
        <v>606</v>
      </c>
      <c r="D289" s="175" t="inlineStr">
        <is>
          <t>L</t>
        </is>
      </c>
      <c r="E289" s="5" t="inlineStr">
        <is>
          <t>ok item</t>
        </is>
      </c>
      <c r="F289" s="5" t="inlineStr">
        <is>
          <t>STARCHY TUBERS</t>
        </is>
      </c>
      <c r="G289" s="5" t="n">
        <v>555</v>
      </c>
      <c r="H289" s="173" t="inlineStr">
        <is>
          <t>-</t>
        </is>
      </c>
      <c r="I289" s="174" t="inlineStr">
        <is>
          <t>-</t>
        </is>
      </c>
      <c r="J289" t="n">
        <v>71962040</v>
      </c>
    </row>
    <row r="290" ht="15.75" customHeight="1" s="201">
      <c r="A290" s="5" t="inlineStr">
        <is>
          <t>CROPS</t>
        </is>
      </c>
      <c r="B290" s="5" t="inlineStr">
        <is>
          <t>TOMATO</t>
        </is>
      </c>
      <c r="C290" s="5" t="n">
        <v>41</v>
      </c>
      <c r="D290" s="175" t="inlineStr">
        <is>
          <t>L</t>
        </is>
      </c>
      <c r="E290" s="5" t="inlineStr">
        <is>
          <t>ok item</t>
        </is>
      </c>
      <c r="F290" s="5" t="inlineStr">
        <is>
          <t>VEGETABLES</t>
        </is>
      </c>
      <c r="G290" s="5" t="n">
        <v>336</v>
      </c>
      <c r="H290" s="5" t="inlineStr">
        <is>
          <t>VEGETABLES (fruits, steems, flowers)</t>
        </is>
      </c>
      <c r="I290" s="177" t="n">
        <v>362</v>
      </c>
      <c r="J290" t="n">
        <v>74601010</v>
      </c>
    </row>
    <row r="291" ht="15.75" customHeight="1" s="201">
      <c r="A291" s="5" t="inlineStr">
        <is>
          <t>CROPS</t>
        </is>
      </c>
      <c r="B291" s="5" t="inlineStr">
        <is>
          <t>TOMATO DRIED*</t>
        </is>
      </c>
      <c r="C291" s="5" t="n">
        <v>4276</v>
      </c>
      <c r="D291" s="175" t="inlineStr">
        <is>
          <t>L</t>
        </is>
      </c>
      <c r="E291" s="5" t="inlineStr">
        <is>
          <t>item matching typology</t>
        </is>
      </c>
      <c r="F291" s="5" t="inlineStr">
        <is>
          <t>VEGETABLES DRIED* (tomato)</t>
        </is>
      </c>
      <c r="G291" s="5" t="n">
        <v>4276</v>
      </c>
      <c r="H291" s="173" t="inlineStr">
        <is>
          <t>-</t>
        </is>
      </c>
      <c r="I291" s="174" t="inlineStr">
        <is>
          <t>-</t>
        </is>
      </c>
      <c r="J291" t="n">
        <v>74601010</v>
      </c>
    </row>
    <row r="292" ht="15.75" customHeight="1" s="201">
      <c r="A292" s="5" t="inlineStr">
        <is>
          <t>CROPS</t>
        </is>
      </c>
      <c r="B292" s="5" t="inlineStr">
        <is>
          <t>TURNIP</t>
        </is>
      </c>
      <c r="C292" s="5" t="n">
        <v>195</v>
      </c>
      <c r="D292" s="175" t="inlineStr">
        <is>
          <t>L</t>
        </is>
      </c>
      <c r="E292" s="5" t="inlineStr">
        <is>
          <t>ok item</t>
        </is>
      </c>
      <c r="F292" s="5" t="inlineStr">
        <is>
          <t>VEGETABLES</t>
        </is>
      </c>
      <c r="G292" s="5" t="n">
        <v>336</v>
      </c>
      <c r="H292" s="5" t="inlineStr">
        <is>
          <t>ROOTS &amp; BULBS</t>
        </is>
      </c>
      <c r="I292" s="177" t="n">
        <v>272</v>
      </c>
      <c r="J292" t="n">
        <v>72128211</v>
      </c>
    </row>
    <row r="293" ht="15.75" customHeight="1" s="201">
      <c r="A293" s="5" t="inlineStr">
        <is>
          <t>CROPS</t>
        </is>
      </c>
      <c r="B293" s="5" t="inlineStr">
        <is>
          <t>VANILLA BEAN</t>
        </is>
      </c>
      <c r="C293" s="5" t="n">
        <v>126505</v>
      </c>
      <c r="D293" s="175" t="inlineStr">
        <is>
          <t>L</t>
        </is>
      </c>
      <c r="E293" s="5" t="inlineStr">
        <is>
          <t>ok item</t>
        </is>
      </c>
      <c r="F293" s="5" t="inlineStr">
        <is>
          <t>SPICIES</t>
        </is>
      </c>
      <c r="G293" s="5" t="n">
        <v>8280</v>
      </c>
      <c r="H293" s="173" t="inlineStr">
        <is>
          <t>-</t>
        </is>
      </c>
      <c r="I293" s="174" t="inlineStr">
        <is>
          <t>-</t>
        </is>
      </c>
      <c r="J293" t="n">
        <v>41205050</v>
      </c>
    </row>
    <row r="294" ht="15.75" customHeight="1" s="201">
      <c r="A294" s="5" t="inlineStr">
        <is>
          <t>CROPS</t>
        </is>
      </c>
      <c r="B294" s="5" t="inlineStr">
        <is>
          <t>WALNUT SHELLED</t>
        </is>
      </c>
      <c r="C294" s="5" t="n">
        <v>9172.5</v>
      </c>
      <c r="D294" s="175" t="inlineStr">
        <is>
          <t>L</t>
        </is>
      </c>
      <c r="E294" s="5" t="inlineStr">
        <is>
          <t>ok item</t>
        </is>
      </c>
      <c r="F294" s="5" t="inlineStr">
        <is>
          <t>NUTS SHELLED</t>
        </is>
      </c>
      <c r="G294" s="5" t="n">
        <v>11264</v>
      </c>
      <c r="H294" s="173" t="inlineStr">
        <is>
          <t>-</t>
        </is>
      </c>
      <c r="I294" s="174" t="inlineStr">
        <is>
          <t>-</t>
        </is>
      </c>
      <c r="J294" t="n">
        <v>52302010</v>
      </c>
    </row>
    <row r="295" ht="15.75" customHeight="1" s="201">
      <c r="A295" s="5" t="inlineStr">
        <is>
          <t>CROPS</t>
        </is>
      </c>
      <c r="B295" s="5" t="inlineStr">
        <is>
          <t>WALNUT WITH SHELL</t>
        </is>
      </c>
      <c r="C295" s="5" t="n">
        <v>4918</v>
      </c>
      <c r="D295" s="175" t="inlineStr">
        <is>
          <t>L</t>
        </is>
      </c>
      <c r="E295" s="5" t="inlineStr">
        <is>
          <t>ok item</t>
        </is>
      </c>
      <c r="F295" s="5" t="inlineStr">
        <is>
          <t>NUTS WITH SHELL</t>
        </is>
      </c>
      <c r="G295" s="5" t="n">
        <v>4918</v>
      </c>
      <c r="H295" s="173" t="inlineStr">
        <is>
          <t>-</t>
        </is>
      </c>
      <c r="I295" s="174" t="inlineStr">
        <is>
          <t>-</t>
        </is>
      </c>
      <c r="J295" t="n">
        <v>75142550</v>
      </c>
    </row>
    <row r="296" ht="15.75" customHeight="1" s="201">
      <c r="A296" s="5" t="inlineStr">
        <is>
          <t>CROPS</t>
        </is>
      </c>
      <c r="B296" s="5" t="inlineStr">
        <is>
          <t>WATERMELON</t>
        </is>
      </c>
      <c r="C296" s="5" t="n">
        <v>185</v>
      </c>
      <c r="D296" s="175" t="inlineStr">
        <is>
          <t>L</t>
        </is>
      </c>
      <c r="E296" s="5" t="inlineStr">
        <is>
          <t>ok item</t>
        </is>
      </c>
      <c r="F296" s="5" t="inlineStr">
        <is>
          <t>FRUIT</t>
        </is>
      </c>
      <c r="G296" s="5" t="n">
        <v>748</v>
      </c>
      <c r="H296" s="5" t="inlineStr">
        <is>
          <t>FRUIT (excluded citrus, wild berries and olives)</t>
        </is>
      </c>
      <c r="I296" s="177" t="n">
        <v>1506</v>
      </c>
      <c r="J296" t="n">
        <v>63149010</v>
      </c>
    </row>
    <row r="297" ht="15.75" customHeight="1" s="201">
      <c r="A297" s="5" t="inlineStr">
        <is>
          <t>CROPS</t>
        </is>
      </c>
      <c r="B297" s="5" t="inlineStr">
        <is>
          <t>WHEAT</t>
        </is>
      </c>
      <c r="C297" s="5" t="n">
        <v>1639</v>
      </c>
      <c r="D297" s="175" t="inlineStr">
        <is>
          <t>L</t>
        </is>
      </c>
      <c r="E297" s="5" t="inlineStr">
        <is>
          <t>ok item</t>
        </is>
      </c>
      <c r="F297" s="5" t="inlineStr">
        <is>
          <t>GRAINS</t>
        </is>
      </c>
      <c r="G297" s="5" t="n">
        <v>1618</v>
      </c>
      <c r="H297" s="173" t="inlineStr">
        <is>
          <t>-</t>
        </is>
      </c>
      <c r="I297" s="174" t="inlineStr">
        <is>
          <t>-</t>
        </is>
      </c>
      <c r="J297" t="n">
        <v>54338000</v>
      </c>
    </row>
    <row r="298" ht="15.75" customHeight="1" s="201">
      <c r="A298" s="5" t="inlineStr">
        <is>
          <t>CROPS</t>
        </is>
      </c>
      <c r="B298" s="5" t="inlineStr">
        <is>
          <t>YAM</t>
        </is>
      </c>
      <c r="C298" s="5" t="n">
        <v>343</v>
      </c>
      <c r="D298" s="175" t="inlineStr">
        <is>
          <t>L</t>
        </is>
      </c>
      <c r="E298" s="5" t="inlineStr">
        <is>
          <t>ok item</t>
        </is>
      </c>
      <c r="F298" s="5" t="inlineStr">
        <is>
          <t>STARCHY TUBERS</t>
        </is>
      </c>
      <c r="G298" s="5" t="n">
        <v>555</v>
      </c>
      <c r="H298" s="173" t="inlineStr">
        <is>
          <t>-</t>
        </is>
      </c>
      <c r="I298" s="174" t="inlineStr">
        <is>
          <t>-</t>
        </is>
      </c>
    </row>
    <row r="299" ht="15.75" customHeight="1" s="201">
      <c r="A299" s="5" t="inlineStr">
        <is>
          <t>CROPS</t>
        </is>
      </c>
      <c r="B299" s="5" t="inlineStr">
        <is>
          <t>ZUCCHINI</t>
        </is>
      </c>
      <c r="C299" s="5" t="n">
        <v>336</v>
      </c>
      <c r="D299" s="175" t="inlineStr">
        <is>
          <t>L</t>
        </is>
      </c>
      <c r="E299" s="5" t="inlineStr">
        <is>
          <t>ok item</t>
        </is>
      </c>
      <c r="F299" s="5" t="inlineStr">
        <is>
          <t>VEGETABLES</t>
        </is>
      </c>
      <c r="G299" s="5" t="n">
        <v>336</v>
      </c>
      <c r="H299" s="5" t="inlineStr">
        <is>
          <t>VEGETABLES (fruits, steems, flowers)</t>
        </is>
      </c>
      <c r="I299" s="177" t="n">
        <v>362</v>
      </c>
      <c r="J299" t="n">
        <v>52407000</v>
      </c>
    </row>
    <row r="300" ht="15.75" customHeight="1" s="201">
      <c r="A300" s="5" t="inlineStr">
        <is>
          <t>FISHING</t>
        </is>
      </c>
      <c r="B300" s="5" t="inlineStr">
        <is>
          <t>BLACK CARP</t>
        </is>
      </c>
      <c r="C300" s="5" t="n">
        <v>2555</v>
      </c>
      <c r="D300" s="175" t="inlineStr">
        <is>
          <t>L</t>
        </is>
      </c>
      <c r="E300" s="5" t="inlineStr">
        <is>
          <t>ok item</t>
        </is>
      </c>
      <c r="F300" s="5" t="inlineStr">
        <is>
          <t>FISH</t>
        </is>
      </c>
      <c r="G300" s="5" t="n">
        <v>2313</v>
      </c>
      <c r="H300" s="173" t="inlineStr">
        <is>
          <t>-</t>
        </is>
      </c>
      <c r="I300" s="174" t="inlineStr">
        <is>
          <t>-</t>
        </is>
      </c>
      <c r="J300" t="n">
        <v>92302000</v>
      </c>
    </row>
    <row r="301" ht="15.75" customHeight="1" s="201">
      <c r="A301" s="5" t="inlineStr">
        <is>
          <t>FISHING</t>
        </is>
      </c>
      <c r="B301" s="5" t="inlineStr">
        <is>
          <t>CARP</t>
        </is>
      </c>
      <c r="C301" s="5" t="n">
        <v>2364</v>
      </c>
      <c r="D301" s="175" t="inlineStr">
        <is>
          <t>L</t>
        </is>
      </c>
      <c r="E301" s="5" t="inlineStr">
        <is>
          <t>ok item</t>
        </is>
      </c>
      <c r="F301" s="5" t="inlineStr">
        <is>
          <t>FISH</t>
        </is>
      </c>
      <c r="G301" s="5" t="n">
        <v>2313</v>
      </c>
      <c r="H301" s="173" t="inlineStr">
        <is>
          <t>-</t>
        </is>
      </c>
      <c r="I301" s="174" t="inlineStr">
        <is>
          <t>-</t>
        </is>
      </c>
      <c r="J301" t="n">
        <v>26105120</v>
      </c>
    </row>
    <row r="302" ht="15.75" customHeight="1" s="201">
      <c r="A302" s="5" t="inlineStr">
        <is>
          <t>FISHING</t>
        </is>
      </c>
      <c r="B302" s="5" t="inlineStr">
        <is>
          <t>COD</t>
        </is>
      </c>
      <c r="C302" s="5" t="n">
        <v>2782</v>
      </c>
      <c r="D302" s="175" t="inlineStr">
        <is>
          <t>L</t>
        </is>
      </c>
      <c r="E302" s="5" t="inlineStr">
        <is>
          <t>ok item</t>
        </is>
      </c>
      <c r="F302" s="5" t="inlineStr">
        <is>
          <t>FISH</t>
        </is>
      </c>
      <c r="G302" s="5" t="n">
        <v>2313</v>
      </c>
      <c r="H302" s="173" t="inlineStr">
        <is>
          <t>-</t>
        </is>
      </c>
      <c r="I302" s="174" t="inlineStr">
        <is>
          <t>-</t>
        </is>
      </c>
    </row>
    <row r="303" ht="15.75" customHeight="1" s="201">
      <c r="A303" s="5" t="inlineStr">
        <is>
          <t>FISHING</t>
        </is>
      </c>
      <c r="B303" s="5" t="inlineStr">
        <is>
          <t>CRUSTACEAN</t>
        </is>
      </c>
      <c r="C303" s="5" t="n">
        <v>1974</v>
      </c>
      <c r="D303" s="175" t="inlineStr">
        <is>
          <t>L</t>
        </is>
      </c>
      <c r="E303" s="5" t="inlineStr">
        <is>
          <t>ok item</t>
        </is>
      </c>
      <c r="F303" s="5" t="inlineStr">
        <is>
          <t>SHELLFISH* (crustacean)</t>
        </is>
      </c>
      <c r="G303" s="5" t="n">
        <v>1856</v>
      </c>
      <c r="H303" s="5" t="inlineStr">
        <is>
          <t>CRUSTACEAN*</t>
        </is>
      </c>
      <c r="I303" s="177" t="n">
        <v>1856</v>
      </c>
    </row>
    <row r="304" ht="15.75" customHeight="1" s="201">
      <c r="A304" s="5" t="inlineStr">
        <is>
          <t>FISHING</t>
        </is>
      </c>
      <c r="B304" s="5" t="inlineStr">
        <is>
          <t>FLOUNDER</t>
        </is>
      </c>
      <c r="C304" s="5" t="n">
        <v>798</v>
      </c>
      <c r="D304" s="175" t="inlineStr">
        <is>
          <t>L</t>
        </is>
      </c>
      <c r="E304" s="5" t="inlineStr">
        <is>
          <t>ok item</t>
        </is>
      </c>
      <c r="F304" s="5" t="inlineStr">
        <is>
          <t>FISH</t>
        </is>
      </c>
      <c r="G304" s="5" t="n">
        <v>2313</v>
      </c>
      <c r="H304" s="173" t="inlineStr">
        <is>
          <t>-</t>
        </is>
      </c>
      <c r="I304" s="174" t="inlineStr">
        <is>
          <t>-</t>
        </is>
      </c>
      <c r="J304" t="n">
        <v>26115120</v>
      </c>
    </row>
    <row r="305" ht="15.75" customHeight="1" s="201">
      <c r="A305" s="5" t="inlineStr">
        <is>
          <t>FISHING</t>
        </is>
      </c>
      <c r="B305" s="5" t="inlineStr">
        <is>
          <t>GILSTHEAD SEABREAM</t>
        </is>
      </c>
      <c r="C305" s="5" t="n">
        <v>3543.5</v>
      </c>
      <c r="D305" s="175" t="inlineStr">
        <is>
          <t>L</t>
        </is>
      </c>
      <c r="E305" s="5" t="inlineStr">
        <is>
          <t>ok item</t>
        </is>
      </c>
      <c r="F305" s="5" t="inlineStr">
        <is>
          <t>FISH</t>
        </is>
      </c>
      <c r="G305" s="5" t="n">
        <v>2313</v>
      </c>
      <c r="H305" s="173" t="inlineStr">
        <is>
          <t>-</t>
        </is>
      </c>
      <c r="I305" s="174" t="inlineStr">
        <is>
          <t>-</t>
        </is>
      </c>
    </row>
    <row r="306" ht="15.75" customHeight="1" s="201">
      <c r="A306" s="5" t="inlineStr">
        <is>
          <t>FISHING</t>
        </is>
      </c>
      <c r="B306" s="5" t="inlineStr">
        <is>
          <t>GRASS CARP</t>
        </is>
      </c>
      <c r="C306" s="5" t="n">
        <v>2229</v>
      </c>
      <c r="D306" s="175" t="inlineStr">
        <is>
          <t>L</t>
        </is>
      </c>
      <c r="E306" s="5" t="inlineStr">
        <is>
          <t>ok item</t>
        </is>
      </c>
      <c r="F306" s="5" t="inlineStr">
        <is>
          <t>FISH</t>
        </is>
      </c>
      <c r="G306" s="5" t="n">
        <v>2313</v>
      </c>
      <c r="H306" s="173" t="inlineStr">
        <is>
          <t>-</t>
        </is>
      </c>
      <c r="I306" s="174" t="inlineStr">
        <is>
          <t>-</t>
        </is>
      </c>
      <c r="J306" t="n">
        <v>26105120</v>
      </c>
    </row>
    <row r="307" ht="15.75" customHeight="1" s="201">
      <c r="A307" s="5" t="inlineStr">
        <is>
          <t>FISHING</t>
        </is>
      </c>
      <c r="B307" s="5" t="inlineStr">
        <is>
          <t>GROUPER</t>
        </is>
      </c>
      <c r="C307" s="5" t="n">
        <v>360</v>
      </c>
      <c r="D307" s="175" t="inlineStr">
        <is>
          <t>L</t>
        </is>
      </c>
      <c r="E307" s="5" t="inlineStr">
        <is>
          <t>ok item</t>
        </is>
      </c>
      <c r="F307" s="5" t="inlineStr">
        <is>
          <t>FISH</t>
        </is>
      </c>
      <c r="G307" s="5" t="n">
        <v>2313</v>
      </c>
      <c r="H307" s="173" t="inlineStr">
        <is>
          <t>-</t>
        </is>
      </c>
      <c r="I307" s="174" t="inlineStr">
        <is>
          <t>-</t>
        </is>
      </c>
      <c r="J307" t="n">
        <v>26141120</v>
      </c>
    </row>
    <row r="308" ht="15.75" customHeight="1" s="201">
      <c r="A308" s="5" t="inlineStr">
        <is>
          <t>FISHING</t>
        </is>
      </c>
      <c r="B308" s="5" t="inlineStr">
        <is>
          <t>MAJOR CARP</t>
        </is>
      </c>
      <c r="C308" s="5" t="n">
        <v>3808</v>
      </c>
      <c r="D308" s="175" t="inlineStr">
        <is>
          <t>L</t>
        </is>
      </c>
      <c r="E308" s="5" t="inlineStr">
        <is>
          <t>ok item</t>
        </is>
      </c>
      <c r="F308" s="5" t="inlineStr">
        <is>
          <t>FISH</t>
        </is>
      </c>
      <c r="G308" s="5" t="n">
        <v>2313</v>
      </c>
      <c r="H308" s="173" t="inlineStr">
        <is>
          <t>-</t>
        </is>
      </c>
      <c r="I308" s="174" t="inlineStr">
        <is>
          <t>-</t>
        </is>
      </c>
      <c r="J308" t="n">
        <v>51000100</v>
      </c>
    </row>
    <row r="309" ht="15.75" customHeight="1" s="201">
      <c r="A309" s="5" t="inlineStr">
        <is>
          <t>FISHING</t>
        </is>
      </c>
      <c r="B309" s="5" t="inlineStr">
        <is>
          <t>MANDARIN FISH</t>
        </is>
      </c>
      <c r="C309" s="5" t="n">
        <v>88</v>
      </c>
      <c r="D309" s="175" t="inlineStr">
        <is>
          <t>L</t>
        </is>
      </c>
      <c r="E309" s="5" t="inlineStr">
        <is>
          <t>ok item</t>
        </is>
      </c>
      <c r="F309" s="5" t="inlineStr">
        <is>
          <t>FISH</t>
        </is>
      </c>
      <c r="G309" s="5" t="n">
        <v>2313</v>
      </c>
      <c r="H309" s="173" t="inlineStr">
        <is>
          <t>-</t>
        </is>
      </c>
      <c r="I309" s="174" t="inlineStr">
        <is>
          <t>-</t>
        </is>
      </c>
      <c r="J309" t="n">
        <v>61122300</v>
      </c>
    </row>
    <row r="310" ht="15.75" customHeight="1" s="201">
      <c r="A310" s="5" t="inlineStr">
        <is>
          <t>FISHING</t>
        </is>
      </c>
      <c r="B310" s="5" t="inlineStr">
        <is>
          <t>MILKFISH</t>
        </is>
      </c>
      <c r="C310" s="5" t="n">
        <v>2471.5</v>
      </c>
      <c r="D310" s="175" t="inlineStr">
        <is>
          <t>L</t>
        </is>
      </c>
      <c r="E310" s="5" t="inlineStr">
        <is>
          <t>ok item</t>
        </is>
      </c>
      <c r="F310" s="5" t="inlineStr">
        <is>
          <t>FISH</t>
        </is>
      </c>
      <c r="G310" s="5" t="n">
        <v>2313</v>
      </c>
      <c r="H310" s="173" t="inlineStr">
        <is>
          <t>-</t>
        </is>
      </c>
      <c r="I310" s="174" t="inlineStr">
        <is>
          <t>-</t>
        </is>
      </c>
      <c r="J310" t="n">
        <v>26119110</v>
      </c>
    </row>
    <row r="311" ht="15.75" customHeight="1" s="201">
      <c r="A311" s="5" t="inlineStr">
        <is>
          <t>FISHING</t>
        </is>
      </c>
      <c r="B311" s="5" t="inlineStr">
        <is>
          <t>PANGASIID</t>
        </is>
      </c>
      <c r="C311" s="5" t="n">
        <v>1909.5</v>
      </c>
      <c r="D311" s="175" t="inlineStr">
        <is>
          <t>L</t>
        </is>
      </c>
      <c r="E311" s="5" t="inlineStr">
        <is>
          <t>ok item</t>
        </is>
      </c>
      <c r="F311" s="5" t="inlineStr">
        <is>
          <t>FISH</t>
        </is>
      </c>
      <c r="G311" s="5" t="n">
        <v>2313</v>
      </c>
      <c r="H311" s="173" t="inlineStr">
        <is>
          <t>-</t>
        </is>
      </c>
      <c r="I311" s="174" t="inlineStr">
        <is>
          <t>-</t>
        </is>
      </c>
    </row>
    <row r="312" ht="15.75" customHeight="1" s="201">
      <c r="A312" s="5" t="inlineStr">
        <is>
          <t>FISHING</t>
        </is>
      </c>
      <c r="B312" s="5" t="inlineStr">
        <is>
          <t>PRAWNS GIANT</t>
        </is>
      </c>
      <c r="C312" s="5" t="n">
        <v>1738</v>
      </c>
      <c r="D312" s="175" t="inlineStr">
        <is>
          <t>L</t>
        </is>
      </c>
      <c r="E312" s="5" t="inlineStr">
        <is>
          <t>ok item</t>
        </is>
      </c>
      <c r="F312" s="5" t="inlineStr">
        <is>
          <t>SHELLFISH* (crustacean)</t>
        </is>
      </c>
      <c r="G312" s="5" t="n">
        <v>1856</v>
      </c>
      <c r="H312" s="5" t="inlineStr">
        <is>
          <t>CRUSTACEAN*</t>
        </is>
      </c>
      <c r="I312" s="177" t="n">
        <v>1856</v>
      </c>
      <c r="J312" t="n">
        <v>21602100</v>
      </c>
    </row>
    <row r="313" ht="15.75" customHeight="1" s="201">
      <c r="A313" s="5" t="inlineStr">
        <is>
          <t>FISHING</t>
        </is>
      </c>
      <c r="B313" s="5" t="inlineStr">
        <is>
          <t>RED DRUM</t>
        </is>
      </c>
      <c r="C313" s="5" t="n">
        <v>2202</v>
      </c>
      <c r="D313" s="175" t="inlineStr">
        <is>
          <t>L</t>
        </is>
      </c>
      <c r="E313" s="5" t="inlineStr">
        <is>
          <t>ok item</t>
        </is>
      </c>
      <c r="F313" s="5" t="inlineStr">
        <is>
          <t>FISH</t>
        </is>
      </c>
      <c r="G313" s="5" t="n">
        <v>2313</v>
      </c>
      <c r="H313" s="173" t="inlineStr">
        <is>
          <t>-</t>
        </is>
      </c>
      <c r="I313" s="174" t="inlineStr">
        <is>
          <t>-</t>
        </is>
      </c>
    </row>
    <row r="314" ht="15.75" customHeight="1" s="201">
      <c r="A314" s="5" t="inlineStr">
        <is>
          <t>FISHING</t>
        </is>
      </c>
      <c r="B314" s="5" t="inlineStr">
        <is>
          <t>SALMON</t>
        </is>
      </c>
      <c r="C314" s="5" t="n">
        <v>2193</v>
      </c>
      <c r="D314" s="175" t="inlineStr">
        <is>
          <t>L</t>
        </is>
      </c>
      <c r="E314" s="5" t="inlineStr">
        <is>
          <t>ok item</t>
        </is>
      </c>
      <c r="F314" s="5" t="inlineStr">
        <is>
          <t>FISH</t>
        </is>
      </c>
      <c r="G314" s="5" t="n">
        <v>2313</v>
      </c>
      <c r="H314" s="173" t="inlineStr">
        <is>
          <t>-</t>
        </is>
      </c>
      <c r="I314" s="174" t="inlineStr">
        <is>
          <t>-</t>
        </is>
      </c>
      <c r="J314" t="n">
        <v>27250070</v>
      </c>
    </row>
    <row r="315" ht="15.75" customHeight="1" s="201">
      <c r="A315" s="5" t="inlineStr">
        <is>
          <t>FISHING</t>
        </is>
      </c>
      <c r="B315" s="5" t="inlineStr">
        <is>
          <t>SEABASS</t>
        </is>
      </c>
      <c r="C315" s="5" t="n">
        <v>6524</v>
      </c>
      <c r="D315" s="175" t="inlineStr">
        <is>
          <t>L</t>
        </is>
      </c>
      <c r="E315" s="5" t="inlineStr">
        <is>
          <t>ok item</t>
        </is>
      </c>
      <c r="F315" s="5" t="inlineStr">
        <is>
          <t>FISH</t>
        </is>
      </c>
      <c r="G315" s="5" t="n">
        <v>2313</v>
      </c>
      <c r="H315" s="173" t="inlineStr">
        <is>
          <t>-</t>
        </is>
      </c>
      <c r="I315" s="174" t="inlineStr">
        <is>
          <t>-</t>
        </is>
      </c>
    </row>
    <row r="316" ht="15.75" customHeight="1" s="201">
      <c r="A316" s="5" t="inlineStr">
        <is>
          <t>FISHING</t>
        </is>
      </c>
      <c r="B316" s="5" t="inlineStr">
        <is>
          <t>SILVERBARB</t>
        </is>
      </c>
      <c r="C316" s="5" t="n">
        <v>2861.5</v>
      </c>
      <c r="D316" s="175" t="inlineStr">
        <is>
          <t>L</t>
        </is>
      </c>
      <c r="E316" s="5" t="inlineStr">
        <is>
          <t>ok item</t>
        </is>
      </c>
      <c r="F316" s="5" t="inlineStr">
        <is>
          <t>FISH</t>
        </is>
      </c>
      <c r="G316" s="5" t="n">
        <v>2313</v>
      </c>
      <c r="H316" s="173" t="inlineStr">
        <is>
          <t>-</t>
        </is>
      </c>
      <c r="I316" s="174" t="inlineStr">
        <is>
          <t>-</t>
        </is>
      </c>
    </row>
    <row r="317" ht="15.75" customHeight="1" s="201">
      <c r="A317" s="5" t="inlineStr">
        <is>
          <t>FISHING</t>
        </is>
      </c>
      <c r="B317" s="5" t="inlineStr">
        <is>
          <t>STURGEON</t>
        </is>
      </c>
      <c r="C317" s="5" t="n">
        <v>13420</v>
      </c>
      <c r="D317" s="175" t="inlineStr">
        <is>
          <t>L</t>
        </is>
      </c>
      <c r="E317" s="5" t="inlineStr">
        <is>
          <t>ok item</t>
        </is>
      </c>
      <c r="F317" s="5" t="inlineStr">
        <is>
          <t>FISH</t>
        </is>
      </c>
      <c r="G317" s="5" t="n">
        <v>2313</v>
      </c>
      <c r="H317" s="173" t="inlineStr">
        <is>
          <t>-</t>
        </is>
      </c>
      <c r="I317" s="174" t="inlineStr">
        <is>
          <t>-</t>
        </is>
      </c>
      <c r="J317" t="n">
        <v>26211100</v>
      </c>
    </row>
    <row r="318" ht="15.75" customHeight="1" s="201">
      <c r="A318" s="5" t="inlineStr">
        <is>
          <t>FISHING</t>
        </is>
      </c>
      <c r="B318" s="5" t="inlineStr">
        <is>
          <t>TILAPIA</t>
        </is>
      </c>
      <c r="C318" s="5" t="n">
        <v>2263</v>
      </c>
      <c r="D318" s="175" t="inlineStr">
        <is>
          <t>L</t>
        </is>
      </c>
      <c r="E318" s="5" t="inlineStr">
        <is>
          <t>ok item</t>
        </is>
      </c>
      <c r="F318" s="5" t="inlineStr">
        <is>
          <t>FISH</t>
        </is>
      </c>
      <c r="G318" s="5" t="n">
        <v>2313</v>
      </c>
      <c r="H318" s="173" t="inlineStr">
        <is>
          <t>-</t>
        </is>
      </c>
      <c r="I318" s="174" t="inlineStr">
        <is>
          <t>-</t>
        </is>
      </c>
      <c r="J318" t="n">
        <v>26158000</v>
      </c>
    </row>
    <row r="319" ht="15.75" customHeight="1" s="201">
      <c r="A319" s="5" t="inlineStr">
        <is>
          <t>FISHING</t>
        </is>
      </c>
      <c r="B319" s="5" t="inlineStr">
        <is>
          <t>TROUT</t>
        </is>
      </c>
      <c r="C319" s="5" t="n">
        <v>2188</v>
      </c>
      <c r="D319" s="175" t="inlineStr">
        <is>
          <t>L</t>
        </is>
      </c>
      <c r="E319" s="5" t="inlineStr">
        <is>
          <t>ok item</t>
        </is>
      </c>
      <c r="F319" s="5" t="inlineStr">
        <is>
          <t>FISH</t>
        </is>
      </c>
      <c r="G319" s="5" t="n">
        <v>2313</v>
      </c>
      <c r="H319" s="173" t="inlineStr">
        <is>
          <t>-</t>
        </is>
      </c>
      <c r="I319" s="174" t="inlineStr">
        <is>
          <t>-</t>
        </is>
      </c>
      <c r="J319" t="n">
        <v>26111120</v>
      </c>
    </row>
    <row r="320" ht="15.75" customHeight="1" s="201">
      <c r="A320" s="5" t="inlineStr">
        <is>
          <t>FISHING</t>
        </is>
      </c>
      <c r="B320" s="5" t="inlineStr">
        <is>
          <t>TURBOT</t>
        </is>
      </c>
      <c r="C320" s="5" t="n">
        <v>1504</v>
      </c>
      <c r="D320" s="175" t="inlineStr">
        <is>
          <t>L</t>
        </is>
      </c>
      <c r="E320" s="5" t="inlineStr">
        <is>
          <t>ok item</t>
        </is>
      </c>
      <c r="F320" s="5" t="inlineStr">
        <is>
          <t>FISH</t>
        </is>
      </c>
      <c r="G320" s="5" t="n">
        <v>2313</v>
      </c>
      <c r="H320" s="173" t="inlineStr">
        <is>
          <t>-</t>
        </is>
      </c>
      <c r="I320" s="174" t="inlineStr">
        <is>
          <t>-</t>
        </is>
      </c>
      <c r="J320" t="n">
        <v>26115120</v>
      </c>
    </row>
    <row r="321" ht="15.75" customHeight="1" s="201">
      <c r="A321" s="5" t="inlineStr">
        <is>
          <t>FISHING</t>
        </is>
      </c>
      <c r="B321" s="5" t="inlineStr">
        <is>
          <t>WUCHANG BREAM</t>
        </is>
      </c>
      <c r="C321" s="5" t="n">
        <v>10550</v>
      </c>
      <c r="D321" s="175" t="inlineStr">
        <is>
          <t>L</t>
        </is>
      </c>
      <c r="E321" s="5" t="inlineStr">
        <is>
          <t>ok item</t>
        </is>
      </c>
      <c r="F321" s="5" t="inlineStr">
        <is>
          <t>FISH</t>
        </is>
      </c>
      <c r="G321" s="5" t="n">
        <v>2313</v>
      </c>
      <c r="H321" s="173" t="inlineStr">
        <is>
          <t>-</t>
        </is>
      </c>
      <c r="I321" s="174" t="inlineStr">
        <is>
          <t>-</t>
        </is>
      </c>
      <c r="J321" t="n">
        <v>26105120</v>
      </c>
    </row>
    <row r="322" ht="15.75" customHeight="1" s="201"/>
    <row r="323" ht="15.75" customHeight="1" s="201"/>
    <row r="324" ht="15.75" customHeight="1" s="201"/>
    <row r="325" ht="15.75" customHeight="1" s="201"/>
    <row r="326" ht="15.75" customHeight="1" s="201"/>
    <row r="327" ht="15.75" customHeight="1" s="201"/>
    <row r="328" ht="15.75" customHeight="1" s="201"/>
    <row r="329" ht="15.75" customHeight="1" s="201"/>
    <row r="330" ht="15.75" customHeight="1" s="201"/>
    <row r="331" ht="15.75" customHeight="1" s="201"/>
    <row r="332" ht="15.75" customHeight="1" s="201"/>
    <row r="333" ht="15.75" customHeight="1" s="201"/>
    <row r="334" ht="15.75" customHeight="1" s="201"/>
    <row r="335" ht="15.75" customHeight="1" s="201"/>
    <row r="336" ht="15.75" customHeight="1" s="201"/>
    <row r="337" ht="15.75" customHeight="1" s="201"/>
    <row r="338" ht="15.75" customHeight="1" s="201"/>
    <row r="339" ht="15.75" customHeight="1" s="201"/>
    <row r="340" ht="15.75" customHeight="1" s="201"/>
    <row r="341" ht="15.75" customHeight="1" s="201"/>
    <row r="342" ht="15.75" customHeight="1" s="201"/>
    <row r="343" ht="15.75" customHeight="1" s="201"/>
    <row r="344" ht="15.75" customHeight="1" s="201"/>
    <row r="345" ht="15.75" customHeight="1" s="201"/>
    <row r="346" ht="15.75" customHeight="1" s="201"/>
    <row r="347" ht="15.75" customHeight="1" s="201"/>
    <row r="348" ht="15.75" customHeight="1" s="201"/>
    <row r="349" ht="15.75" customHeight="1" s="201"/>
    <row r="350" ht="15.75" customHeight="1" s="201"/>
    <row r="351" ht="15.75" customHeight="1" s="201"/>
    <row r="352" ht="15.75" customHeight="1" s="201"/>
    <row r="353" ht="15.75" customHeight="1" s="201"/>
    <row r="354" ht="15.75" customHeight="1" s="201"/>
    <row r="355" ht="15.75" customHeight="1" s="201"/>
    <row r="356" ht="15.75" customHeight="1" s="201"/>
    <row r="357" ht="15.75" customHeight="1" s="201"/>
    <row r="358" ht="15.75" customHeight="1" s="201"/>
    <row r="359" ht="15.75" customHeight="1" s="201"/>
    <row r="360" ht="15.75" customHeight="1" s="201"/>
    <row r="361" ht="15.75" customHeight="1" s="201"/>
    <row r="362" ht="15.75" customHeight="1" s="201"/>
    <row r="363" ht="15.75" customHeight="1" s="201"/>
    <row r="364" ht="15.75" customHeight="1" s="201"/>
    <row r="365" ht="15.75" customHeight="1" s="201"/>
    <row r="366" ht="15.75" customHeight="1" s="201"/>
    <row r="367" ht="15.75" customHeight="1" s="201"/>
    <row r="368" ht="15.75" customHeight="1" s="201"/>
    <row r="369" ht="15.75" customHeight="1" s="201"/>
    <row r="370" ht="15.75" customHeight="1" s="201"/>
    <row r="371" ht="15.75" customHeight="1" s="201"/>
    <row r="372" ht="15.75" customHeight="1" s="201"/>
    <row r="373" ht="15.75" customHeight="1" s="201"/>
    <row r="374" ht="15.75" customHeight="1" s="201"/>
    <row r="375" ht="15.75" customHeight="1" s="201"/>
    <row r="376" ht="15.75" customHeight="1" s="201"/>
    <row r="377" ht="15.75" customHeight="1" s="201"/>
    <row r="378" ht="15.75" customHeight="1" s="201"/>
    <row r="379" ht="15.75" customHeight="1" s="201"/>
    <row r="380" ht="15.75" customHeight="1" s="201"/>
    <row r="381" ht="15.75" customHeight="1" s="201"/>
    <row r="382" ht="15.75" customHeight="1" s="201"/>
    <row r="383" ht="15.75" customHeight="1" s="201"/>
    <row r="384" ht="15.75" customHeight="1" s="201"/>
    <row r="385" ht="15.75" customHeight="1" s="201"/>
    <row r="386" ht="15.75" customHeight="1" s="201"/>
    <row r="387" ht="15.75" customHeight="1" s="201"/>
    <row r="388" ht="15.75" customHeight="1" s="201"/>
    <row r="389" ht="15.75" customHeight="1" s="201"/>
    <row r="390" ht="15.75" customHeight="1" s="201"/>
    <row r="391" ht="15.75" customHeight="1" s="201"/>
    <row r="392" ht="15.75" customHeight="1" s="201"/>
    <row r="393" ht="15.75" customHeight="1" s="201"/>
    <row r="394" ht="15.75" customHeight="1" s="201"/>
    <row r="395" ht="15.75" customHeight="1" s="201"/>
    <row r="396" ht="15.75" customHeight="1" s="201"/>
    <row r="397" ht="15.75" customHeight="1" s="201"/>
    <row r="398" ht="15.75" customHeight="1" s="201"/>
    <row r="399" ht="15.75" customHeight="1" s="201"/>
    <row r="400" ht="15.75" customHeight="1" s="201"/>
    <row r="401" ht="15.75" customHeight="1" s="201"/>
    <row r="402" ht="15.75" customHeight="1" s="201"/>
    <row r="403" ht="15.75" customHeight="1" s="201"/>
    <row r="404" ht="15.75" customHeight="1" s="201"/>
    <row r="405" ht="15.75" customHeight="1" s="201"/>
    <row r="406" ht="15.75" customHeight="1" s="201"/>
    <row r="407" ht="15.75" customHeight="1" s="201"/>
    <row r="408" ht="15.75" customHeight="1" s="201"/>
    <row r="409" ht="15.75" customHeight="1" s="201"/>
    <row r="410" ht="15.75" customHeight="1" s="201"/>
    <row r="411" ht="15.75" customHeight="1" s="201"/>
    <row r="412" ht="15.75" customHeight="1" s="201"/>
    <row r="413" ht="15.75" customHeight="1" s="201"/>
    <row r="414" ht="15.75" customHeight="1" s="201"/>
    <row r="415" ht="15.75" customHeight="1" s="201"/>
    <row r="416" ht="15.75" customHeight="1" s="201"/>
    <row r="417" ht="15.75" customHeight="1" s="201"/>
    <row r="418" ht="15.75" customHeight="1" s="201"/>
    <row r="419" ht="15.75" customHeight="1" s="201"/>
    <row r="420" ht="15.75" customHeight="1" s="201"/>
    <row r="421" ht="15.75" customHeight="1" s="201"/>
    <row r="422" ht="15.75" customHeight="1" s="201"/>
    <row r="423" ht="15.75" customHeight="1" s="201"/>
    <row r="424" ht="15.75" customHeight="1" s="201"/>
    <row r="425" ht="15.75" customHeight="1" s="201"/>
    <row r="426" ht="15.75" customHeight="1" s="201"/>
    <row r="427" ht="15.75" customHeight="1" s="201"/>
    <row r="428" ht="15.75" customHeight="1" s="201"/>
    <row r="429" ht="15.75" customHeight="1" s="201"/>
    <row r="430" ht="15.75" customHeight="1" s="201"/>
    <row r="431" ht="15.75" customHeight="1" s="201"/>
    <row r="432" ht="15.75" customHeight="1" s="201"/>
    <row r="433" ht="15.75" customHeight="1" s="201"/>
    <row r="434" ht="15.75" customHeight="1" s="201"/>
    <row r="435" ht="15.75" customHeight="1" s="201"/>
    <row r="436" ht="15.75" customHeight="1" s="201"/>
    <row r="437" ht="15.75" customHeight="1" s="201"/>
    <row r="438" ht="15.75" customHeight="1" s="201"/>
    <row r="439" ht="15.75" customHeight="1" s="201"/>
    <row r="440" ht="15.75" customHeight="1" s="201"/>
    <row r="441" ht="15.75" customHeight="1" s="201"/>
    <row r="442" ht="15.75" customHeight="1" s="201"/>
    <row r="443" ht="15.75" customHeight="1" s="201"/>
    <row r="444" ht="15.75" customHeight="1" s="201"/>
    <row r="445" ht="15.75" customHeight="1" s="201"/>
    <row r="446" ht="15.75" customHeight="1" s="201"/>
    <row r="447" ht="15.75" customHeight="1" s="201"/>
    <row r="448" ht="15.75" customHeight="1" s="201"/>
    <row r="449" ht="15.75" customHeight="1" s="201"/>
    <row r="450" ht="15.75" customHeight="1" s="201"/>
    <row r="451" ht="15.75" customHeight="1" s="201"/>
    <row r="452" ht="15.75" customHeight="1" s="201"/>
    <row r="453" ht="15.75" customHeight="1" s="201"/>
    <row r="454" ht="15.75" customHeight="1" s="201"/>
    <row r="455" ht="15.75" customHeight="1" s="201"/>
    <row r="456" ht="15.75" customHeight="1" s="201"/>
    <row r="457" ht="15.75" customHeight="1" s="201"/>
    <row r="458" ht="15.75" customHeight="1" s="201"/>
    <row r="459" ht="15.75" customHeight="1" s="201"/>
    <row r="460" ht="15.75" customHeight="1" s="201"/>
    <row r="461" ht="15.75" customHeight="1" s="201"/>
    <row r="462" ht="15.75" customHeight="1" s="201"/>
    <row r="463" ht="15.75" customHeight="1" s="201"/>
    <row r="464" ht="15.75" customHeight="1" s="201"/>
    <row r="465" ht="15.75" customHeight="1" s="201"/>
    <row r="466" ht="15.75" customHeight="1" s="201"/>
    <row r="467" ht="15.75" customHeight="1" s="201"/>
    <row r="468" ht="15.75" customHeight="1" s="201"/>
    <row r="469" ht="15.75" customHeight="1" s="201"/>
    <row r="470" ht="15.75" customHeight="1" s="201"/>
    <row r="471" ht="15.75" customHeight="1" s="201"/>
    <row r="472" ht="15.75" customHeight="1" s="201"/>
    <row r="473" ht="15.75" customHeight="1" s="201"/>
    <row r="474" ht="15.75" customHeight="1" s="201"/>
    <row r="475" ht="15.75" customHeight="1" s="201"/>
    <row r="476" ht="15.75" customHeight="1" s="201"/>
    <row r="477" ht="15.75" customHeight="1" s="201"/>
    <row r="478" ht="15.75" customHeight="1" s="201"/>
    <row r="479" ht="15.75" customHeight="1" s="201"/>
    <row r="480" ht="15.75" customHeight="1" s="201"/>
    <row r="481" ht="15.75" customHeight="1" s="201"/>
    <row r="482" ht="15.75" customHeight="1" s="201"/>
    <row r="483" ht="15.75" customHeight="1" s="201"/>
    <row r="484" ht="15.75" customHeight="1" s="201"/>
    <row r="485" ht="15.75" customHeight="1" s="201"/>
    <row r="486" ht="15.75" customHeight="1" s="201"/>
    <row r="487" ht="15.75" customHeight="1" s="201"/>
    <row r="488" ht="15.75" customHeight="1" s="201"/>
    <row r="489" ht="15.75" customHeight="1" s="201"/>
    <row r="490" ht="15.75" customHeight="1" s="201"/>
    <row r="491" ht="15.75" customHeight="1" s="201"/>
    <row r="492" ht="15.75" customHeight="1" s="201"/>
    <row r="493" ht="15.75" customHeight="1" s="201"/>
    <row r="494" ht="15.75" customHeight="1" s="201"/>
    <row r="495" ht="15.75" customHeight="1" s="201"/>
    <row r="496" ht="15.75" customHeight="1" s="201"/>
    <row r="497" ht="15.75" customHeight="1" s="201"/>
    <row r="498" ht="15.75" customHeight="1" s="201"/>
    <row r="499" ht="15.75" customHeight="1" s="201"/>
    <row r="500" ht="15.75" customHeight="1" s="201"/>
    <row r="501" ht="15.75" customHeight="1" s="201"/>
    <row r="502" ht="15.75" customHeight="1" s="201"/>
    <row r="503" ht="15.75" customHeight="1" s="201"/>
    <row r="504" ht="15.75" customHeight="1" s="201"/>
    <row r="505" ht="15.75" customHeight="1" s="201"/>
    <row r="506" ht="15.75" customHeight="1" s="201"/>
    <row r="507" ht="15.75" customHeight="1" s="201"/>
    <row r="508" ht="15.75" customHeight="1" s="201"/>
    <row r="509" ht="15.75" customHeight="1" s="201"/>
    <row r="510" ht="15.75" customHeight="1" s="201"/>
    <row r="511" ht="15.75" customHeight="1" s="201"/>
    <row r="512" ht="15.75" customHeight="1" s="201"/>
    <row r="513" ht="15.75" customHeight="1" s="201"/>
    <row r="514" ht="15.75" customHeight="1" s="201"/>
    <row r="515" ht="15.75" customHeight="1" s="201"/>
    <row r="516" ht="15.75" customHeight="1" s="201"/>
    <row r="517" ht="15.75" customHeight="1" s="201"/>
    <row r="518" ht="15.75" customHeight="1" s="201"/>
    <row r="519" ht="15.75" customHeight="1" s="201"/>
    <row r="520" ht="15.75" customHeight="1" s="201"/>
    <row r="521" ht="15.75" customHeight="1" s="201"/>
    <row r="522" ht="15.75" customHeight="1" s="201"/>
    <row r="523" ht="15.75" customHeight="1" s="201"/>
    <row r="524" ht="15.75" customHeight="1" s="201"/>
    <row r="525" ht="15.75" customHeight="1" s="201"/>
    <row r="526" ht="15.75" customHeight="1" s="201"/>
    <row r="527" ht="15.75" customHeight="1" s="201"/>
    <row r="528" ht="15.75" customHeight="1" s="201"/>
    <row r="529" ht="15.75" customHeight="1" s="201"/>
    <row r="530" ht="15.75" customHeight="1" s="201"/>
    <row r="531" ht="15.75" customHeight="1" s="201"/>
    <row r="532" ht="15.75" customHeight="1" s="201"/>
    <row r="533" ht="15.75" customHeight="1" s="201"/>
    <row r="534" ht="15.75" customHeight="1" s="201"/>
    <row r="535" ht="15.75" customHeight="1" s="201"/>
    <row r="536" ht="15.75" customHeight="1" s="201"/>
    <row r="537" ht="15.75" customHeight="1" s="201"/>
    <row r="538" ht="15.75" customHeight="1" s="201"/>
    <row r="539" ht="15.75" customHeight="1" s="201"/>
    <row r="540" ht="15.75" customHeight="1" s="201"/>
    <row r="541" ht="15.75" customHeight="1" s="201"/>
    <row r="542" ht="15.75" customHeight="1" s="201"/>
    <row r="543" ht="15.75" customHeight="1" s="201"/>
    <row r="544" ht="15.75" customHeight="1" s="201"/>
    <row r="545" ht="15.75" customHeight="1" s="201"/>
    <row r="546" ht="15.75" customHeight="1" s="201"/>
    <row r="547" ht="15.75" customHeight="1" s="201"/>
    <row r="548" ht="15.75" customHeight="1" s="201"/>
    <row r="549" ht="15.75" customHeight="1" s="201"/>
    <row r="550" ht="15.75" customHeight="1" s="201"/>
    <row r="551" ht="15.75" customHeight="1" s="201"/>
    <row r="552" ht="15.75" customHeight="1" s="201"/>
    <row r="553" ht="15.75" customHeight="1" s="201"/>
    <row r="554" ht="15.75" customHeight="1" s="201"/>
    <row r="555" ht="15.75" customHeight="1" s="201"/>
    <row r="556" ht="15.75" customHeight="1" s="201"/>
    <row r="557" ht="15.75" customHeight="1" s="201"/>
    <row r="558" ht="15.75" customHeight="1" s="201"/>
    <row r="559" ht="15.75" customHeight="1" s="201"/>
    <row r="560" ht="15.75" customHeight="1" s="201"/>
    <row r="561" ht="15.75" customHeight="1" s="201"/>
    <row r="562" ht="15.75" customHeight="1" s="201"/>
    <row r="563" ht="15.75" customHeight="1" s="201"/>
    <row r="564" ht="15.75" customHeight="1" s="201"/>
    <row r="565" ht="15.75" customHeight="1" s="201"/>
    <row r="566" ht="15.75" customHeight="1" s="201"/>
    <row r="567" ht="15.75" customHeight="1" s="201"/>
    <row r="568" ht="15.75" customHeight="1" s="201"/>
    <row r="569" ht="15.75" customHeight="1" s="201"/>
    <row r="570" ht="15.75" customHeight="1" s="201"/>
    <row r="571" ht="15.75" customHeight="1" s="201"/>
    <row r="572" ht="15.75" customHeight="1" s="201"/>
    <row r="573" ht="15.75" customHeight="1" s="201"/>
    <row r="574" ht="15.75" customHeight="1" s="201"/>
    <row r="575" ht="15.75" customHeight="1" s="201"/>
    <row r="576" ht="15.75" customHeight="1" s="201"/>
    <row r="577" ht="15.75" customHeight="1" s="201"/>
    <row r="578" ht="15.75" customHeight="1" s="201"/>
    <row r="579" ht="15.75" customHeight="1" s="201"/>
    <row r="580" ht="15.75" customHeight="1" s="201"/>
    <row r="581" ht="15.75" customHeight="1" s="201"/>
    <row r="582" ht="15.75" customHeight="1" s="201"/>
    <row r="583" ht="15.75" customHeight="1" s="201"/>
    <row r="584" ht="15.75" customHeight="1" s="201"/>
    <row r="585" ht="15.75" customHeight="1" s="201"/>
    <row r="586" ht="15.75" customHeight="1" s="201"/>
    <row r="587" ht="15.75" customHeight="1" s="201"/>
    <row r="588" ht="15.75" customHeight="1" s="201"/>
    <row r="589" ht="15.75" customHeight="1" s="201"/>
    <row r="590" ht="15.75" customHeight="1" s="201"/>
    <row r="591" ht="15.75" customHeight="1" s="201"/>
    <row r="592" ht="15.75" customHeight="1" s="201"/>
    <row r="593" ht="15.75" customHeight="1" s="201"/>
    <row r="594" ht="15.75" customHeight="1" s="201"/>
    <row r="595" ht="15.75" customHeight="1" s="201"/>
    <row r="596" ht="15.75" customHeight="1" s="201"/>
    <row r="597" ht="15.75" customHeight="1" s="201"/>
    <row r="598" ht="15.75" customHeight="1" s="201"/>
    <row r="599" ht="15.75" customHeight="1" s="201"/>
    <row r="600" ht="15.75" customHeight="1" s="201"/>
    <row r="601" ht="15.75" customHeight="1" s="201"/>
    <row r="602" ht="15.75" customHeight="1" s="201"/>
    <row r="603" ht="15.75" customHeight="1" s="201"/>
    <row r="604" ht="15.75" customHeight="1" s="201"/>
    <row r="605" ht="15.75" customHeight="1" s="201"/>
    <row r="606" ht="15.75" customHeight="1" s="201"/>
    <row r="607" ht="15.75" customHeight="1" s="201"/>
    <row r="608" ht="15.75" customHeight="1" s="201"/>
    <row r="609" ht="15.75" customHeight="1" s="201"/>
    <row r="610" ht="15.75" customHeight="1" s="201"/>
    <row r="611" ht="15.75" customHeight="1" s="201"/>
    <row r="612" ht="15.75" customHeight="1" s="201"/>
    <row r="613" ht="15.75" customHeight="1" s="201"/>
    <row r="614" ht="15.75" customHeight="1" s="201"/>
    <row r="615" ht="15.75" customHeight="1" s="201"/>
    <row r="616" ht="15.75" customHeight="1" s="201"/>
    <row r="617" ht="15.75" customHeight="1" s="201"/>
    <row r="618" ht="15.75" customHeight="1" s="201"/>
    <row r="619" ht="15.75" customHeight="1" s="201"/>
    <row r="620" ht="15.75" customHeight="1" s="201"/>
    <row r="621" ht="15.75" customHeight="1" s="201"/>
    <row r="622" ht="15.75" customHeight="1" s="201"/>
    <row r="623" ht="15.75" customHeight="1" s="201"/>
    <row r="624" ht="15.75" customHeight="1" s="201"/>
    <row r="625" ht="15.75" customHeight="1" s="201"/>
    <row r="626" ht="15.75" customHeight="1" s="201"/>
    <row r="627" ht="15.75" customHeight="1" s="201"/>
    <row r="628" ht="15.75" customHeight="1" s="201"/>
    <row r="629" ht="15.75" customHeight="1" s="201"/>
    <row r="630" ht="15.75" customHeight="1" s="201"/>
    <row r="631" ht="15.75" customHeight="1" s="201"/>
    <row r="632" ht="15.75" customHeight="1" s="201"/>
    <row r="633" ht="15.75" customHeight="1" s="201"/>
    <row r="634" ht="15.75" customHeight="1" s="201"/>
    <row r="635" ht="15.75" customHeight="1" s="201"/>
    <row r="636" ht="15.75" customHeight="1" s="201"/>
    <row r="637" ht="15.75" customHeight="1" s="201"/>
    <row r="638" ht="15.75" customHeight="1" s="201"/>
    <row r="639" ht="15.75" customHeight="1" s="201"/>
    <row r="640" ht="15.75" customHeight="1" s="201"/>
    <row r="641" ht="15.75" customHeight="1" s="201"/>
    <row r="642" ht="15.75" customHeight="1" s="201"/>
    <row r="643" ht="15.75" customHeight="1" s="201"/>
    <row r="644" ht="15.75" customHeight="1" s="201"/>
    <row r="645" ht="15.75" customHeight="1" s="201"/>
    <row r="646" ht="15.75" customHeight="1" s="201"/>
    <row r="647" ht="15.75" customHeight="1" s="201"/>
    <row r="648" ht="15.75" customHeight="1" s="201"/>
    <row r="649" ht="15.75" customHeight="1" s="201"/>
    <row r="650" ht="15.75" customHeight="1" s="201"/>
    <row r="651" ht="15.75" customHeight="1" s="201"/>
    <row r="652" ht="15.75" customHeight="1" s="201"/>
    <row r="653" ht="15.75" customHeight="1" s="201"/>
    <row r="654" ht="15.75" customHeight="1" s="201"/>
    <row r="655" ht="15.75" customHeight="1" s="201"/>
    <row r="656" ht="15.75" customHeight="1" s="201"/>
    <row r="657" ht="15.75" customHeight="1" s="201"/>
    <row r="658" ht="15.75" customHeight="1" s="201"/>
    <row r="659" ht="15.75" customHeight="1" s="201"/>
    <row r="660" ht="15.75" customHeight="1" s="201"/>
    <row r="661" ht="15.75" customHeight="1" s="201"/>
    <row r="662" ht="15.75" customHeight="1" s="201"/>
    <row r="663" ht="15.75" customHeight="1" s="201"/>
    <row r="664" ht="15.75" customHeight="1" s="201"/>
    <row r="665" ht="15.75" customHeight="1" s="201"/>
    <row r="666" ht="15.75" customHeight="1" s="201"/>
    <row r="667" ht="15.75" customHeight="1" s="201"/>
    <row r="668" ht="15.75" customHeight="1" s="201"/>
    <row r="669" ht="15.75" customHeight="1" s="201"/>
    <row r="670" ht="15.75" customHeight="1" s="201"/>
    <row r="671" ht="15.75" customHeight="1" s="201"/>
    <row r="672" ht="15.75" customHeight="1" s="201"/>
    <row r="673" ht="15.75" customHeight="1" s="201"/>
    <row r="674" ht="15.75" customHeight="1" s="201"/>
    <row r="675" ht="15.75" customHeight="1" s="201"/>
    <row r="676" ht="15.75" customHeight="1" s="201"/>
    <row r="677" ht="15.75" customHeight="1" s="201"/>
    <row r="678" ht="15.75" customHeight="1" s="201"/>
    <row r="679" ht="15.75" customHeight="1" s="201"/>
    <row r="680" ht="15.75" customHeight="1" s="201"/>
    <row r="681" ht="15.75" customHeight="1" s="201"/>
    <row r="682" ht="15.75" customHeight="1" s="201"/>
    <row r="683" ht="15.75" customHeight="1" s="201"/>
    <row r="684" ht="15.75" customHeight="1" s="201"/>
    <row r="685" ht="15.75" customHeight="1" s="201"/>
    <row r="686" ht="15.75" customHeight="1" s="201"/>
    <row r="687" ht="15.75" customHeight="1" s="201"/>
    <row r="688" ht="15.75" customHeight="1" s="201"/>
    <row r="689" ht="15.75" customHeight="1" s="201"/>
    <row r="690" ht="15.75" customHeight="1" s="201"/>
    <row r="691" ht="15.75" customHeight="1" s="201"/>
    <row r="692" ht="15.75" customHeight="1" s="201"/>
    <row r="693" ht="15.75" customHeight="1" s="201"/>
    <row r="694" ht="15.75" customHeight="1" s="201"/>
    <row r="695" ht="15.75" customHeight="1" s="201"/>
    <row r="696" ht="15.75" customHeight="1" s="201"/>
    <row r="697" ht="15.75" customHeight="1" s="201"/>
    <row r="698" ht="15.75" customHeight="1" s="201"/>
    <row r="699" ht="15.75" customHeight="1" s="201"/>
    <row r="700" ht="15.75" customHeight="1" s="201"/>
    <row r="701" ht="15.75" customHeight="1" s="201"/>
    <row r="702" ht="15.75" customHeight="1" s="201"/>
    <row r="703" ht="15.75" customHeight="1" s="201"/>
    <row r="704" ht="15.75" customHeight="1" s="201"/>
    <row r="705" ht="15.75" customHeight="1" s="201"/>
    <row r="706" ht="15.75" customHeight="1" s="201"/>
    <row r="707" ht="15.75" customHeight="1" s="201"/>
    <row r="708" ht="15.75" customHeight="1" s="201"/>
    <row r="709" ht="15.75" customHeight="1" s="201"/>
    <row r="710" ht="15.75" customHeight="1" s="201"/>
    <row r="711" ht="15.75" customHeight="1" s="201"/>
    <row r="712" ht="15.75" customHeight="1" s="201"/>
    <row r="713" ht="15.75" customHeight="1" s="201"/>
    <row r="714" ht="15.75" customHeight="1" s="201"/>
    <row r="715" ht="15.75" customHeight="1" s="201"/>
    <row r="716" ht="15.75" customHeight="1" s="201"/>
    <row r="717" ht="15.75" customHeight="1" s="201"/>
    <row r="718" ht="15.75" customHeight="1" s="201"/>
    <row r="719" ht="15.75" customHeight="1" s="201"/>
    <row r="720" ht="15.75" customHeight="1" s="201"/>
    <row r="721" ht="15.75" customHeight="1" s="201"/>
    <row r="722" ht="15.75" customHeight="1" s="201"/>
    <row r="723" ht="15.75" customHeight="1" s="201"/>
    <row r="724" ht="15.75" customHeight="1" s="201"/>
    <row r="725" ht="15.75" customHeight="1" s="201"/>
    <row r="726" ht="15.75" customHeight="1" s="201"/>
    <row r="727" ht="15.75" customHeight="1" s="201"/>
    <row r="728" ht="15.75" customHeight="1" s="201"/>
    <row r="729" ht="15.75" customHeight="1" s="201"/>
    <row r="730" ht="15.75" customHeight="1" s="201"/>
    <row r="731" ht="15.75" customHeight="1" s="201"/>
    <row r="732" ht="15.75" customHeight="1" s="201"/>
    <row r="733" ht="15.75" customHeight="1" s="201"/>
    <row r="734" ht="15.75" customHeight="1" s="201"/>
    <row r="735" ht="15.75" customHeight="1" s="201"/>
    <row r="736" ht="15.75" customHeight="1" s="201"/>
    <row r="737" ht="15.75" customHeight="1" s="201"/>
    <row r="738" ht="15.75" customHeight="1" s="201"/>
    <row r="739" ht="15.75" customHeight="1" s="201"/>
    <row r="740" ht="15.75" customHeight="1" s="201"/>
    <row r="741" ht="15.75" customHeight="1" s="201"/>
    <row r="742" ht="15.75" customHeight="1" s="201"/>
    <row r="743" ht="15.75" customHeight="1" s="201"/>
    <row r="744" ht="15.75" customHeight="1" s="201"/>
    <row r="745" ht="15.75" customHeight="1" s="201"/>
    <row r="746" ht="15.75" customHeight="1" s="201"/>
    <row r="747" ht="15.75" customHeight="1" s="201"/>
    <row r="748" ht="15.75" customHeight="1" s="201"/>
    <row r="749" ht="15.75" customHeight="1" s="201"/>
    <row r="750" ht="15.75" customHeight="1" s="201"/>
    <row r="751" ht="15.75" customHeight="1" s="201"/>
    <row r="752" ht="15.75" customHeight="1" s="201"/>
    <row r="753" ht="15.75" customHeight="1" s="201"/>
    <row r="754" ht="15.75" customHeight="1" s="201"/>
    <row r="755" ht="15.75" customHeight="1" s="201"/>
    <row r="756" ht="15.75" customHeight="1" s="201"/>
    <row r="757" ht="15.75" customHeight="1" s="201"/>
    <row r="758" ht="15.75" customHeight="1" s="201"/>
    <row r="759" ht="15.75" customHeight="1" s="201"/>
    <row r="760" ht="15.75" customHeight="1" s="201"/>
    <row r="761" ht="15.75" customHeight="1" s="201"/>
    <row r="762" ht="15.75" customHeight="1" s="201"/>
    <row r="763" ht="15.75" customHeight="1" s="201"/>
    <row r="764" ht="15.75" customHeight="1" s="201"/>
    <row r="765" ht="15.75" customHeight="1" s="201"/>
    <row r="766" ht="15.75" customHeight="1" s="201"/>
    <row r="767" ht="15.75" customHeight="1" s="201"/>
    <row r="768" ht="15.75" customHeight="1" s="201"/>
    <row r="769" ht="15.75" customHeight="1" s="201"/>
    <row r="770" ht="15.75" customHeight="1" s="201"/>
    <row r="771" ht="15.75" customHeight="1" s="201"/>
    <row r="772" ht="15.75" customHeight="1" s="201"/>
    <row r="773" ht="15.75" customHeight="1" s="201"/>
    <row r="774" ht="15.75" customHeight="1" s="201"/>
    <row r="775" ht="15.75" customHeight="1" s="201"/>
    <row r="776" ht="15.75" customHeight="1" s="201"/>
    <row r="777" ht="15.75" customHeight="1" s="201"/>
    <row r="778" ht="15.75" customHeight="1" s="201"/>
    <row r="779" ht="15.75" customHeight="1" s="201"/>
    <row r="780" ht="15.75" customHeight="1" s="201"/>
    <row r="781" ht="15.75" customHeight="1" s="201"/>
    <row r="782" ht="15.75" customHeight="1" s="201"/>
    <row r="783" ht="15.75" customHeight="1" s="201"/>
    <row r="784" ht="15.75" customHeight="1" s="201"/>
    <row r="785" ht="15.75" customHeight="1" s="201"/>
    <row r="786" ht="15.75" customHeight="1" s="201"/>
    <row r="787" ht="15.75" customHeight="1" s="201"/>
    <row r="788" ht="15.75" customHeight="1" s="201"/>
    <row r="789" ht="15.75" customHeight="1" s="201"/>
    <row r="790" ht="15.75" customHeight="1" s="201"/>
    <row r="791" ht="15.75" customHeight="1" s="201"/>
    <row r="792" ht="15.75" customHeight="1" s="201"/>
    <row r="793" ht="15.75" customHeight="1" s="201"/>
    <row r="794" ht="15.75" customHeight="1" s="201"/>
    <row r="795" ht="15.75" customHeight="1" s="201"/>
    <row r="796" ht="15.75" customHeight="1" s="201"/>
    <row r="797" ht="15.75" customHeight="1" s="201"/>
    <row r="798" ht="15.75" customHeight="1" s="201"/>
    <row r="799" ht="15.75" customHeight="1" s="201"/>
    <row r="800" ht="15.75" customHeight="1" s="201"/>
    <row r="801" ht="15.75" customHeight="1" s="201"/>
    <row r="802" ht="15.75" customHeight="1" s="201"/>
    <row r="803" ht="15.75" customHeight="1" s="201"/>
    <row r="804" ht="15.75" customHeight="1" s="201"/>
    <row r="805" ht="15.75" customHeight="1" s="201"/>
    <row r="806" ht="15.75" customHeight="1" s="201"/>
    <row r="807" ht="15.75" customHeight="1" s="201"/>
    <row r="808" ht="15.75" customHeight="1" s="201"/>
    <row r="809" ht="15.75" customHeight="1" s="201"/>
    <row r="810" ht="15.75" customHeight="1" s="201"/>
    <row r="811" ht="15.75" customHeight="1" s="201"/>
    <row r="812" ht="15.75" customHeight="1" s="201"/>
    <row r="813" ht="15.75" customHeight="1" s="201"/>
    <row r="814" ht="15.75" customHeight="1" s="201"/>
    <row r="815" ht="15.75" customHeight="1" s="201"/>
    <row r="816" ht="15.75" customHeight="1" s="201"/>
    <row r="817" ht="15.75" customHeight="1" s="201"/>
    <row r="818" ht="15.75" customHeight="1" s="201"/>
    <row r="819" ht="15.75" customHeight="1" s="201"/>
    <row r="820" ht="15.75" customHeight="1" s="201"/>
    <row r="821" ht="15.75" customHeight="1" s="201"/>
    <row r="822" ht="15.75" customHeight="1" s="201"/>
    <row r="823" ht="15.75" customHeight="1" s="201"/>
    <row r="824" ht="15.75" customHeight="1" s="201"/>
    <row r="825" ht="15.75" customHeight="1" s="201"/>
    <row r="826" ht="15.75" customHeight="1" s="201"/>
    <row r="827" ht="15.75" customHeight="1" s="201"/>
    <row r="828" ht="15.75" customHeight="1" s="201"/>
    <row r="829" ht="15.75" customHeight="1" s="201"/>
    <row r="830" ht="15.75" customHeight="1" s="201"/>
    <row r="831" ht="15.75" customHeight="1" s="201"/>
    <row r="832" ht="15.75" customHeight="1" s="201"/>
    <row r="833" ht="15.75" customHeight="1" s="201"/>
    <row r="834" ht="15.75" customHeight="1" s="201"/>
    <row r="835" ht="15.75" customHeight="1" s="201"/>
    <row r="836" ht="15.75" customHeight="1" s="201"/>
    <row r="837" ht="15.75" customHeight="1" s="201"/>
    <row r="838" ht="15.75" customHeight="1" s="201"/>
    <row r="839" ht="15.75" customHeight="1" s="201"/>
    <row r="840" ht="15.75" customHeight="1" s="201"/>
    <row r="841" ht="15.75" customHeight="1" s="201"/>
    <row r="842" ht="15.75" customHeight="1" s="201"/>
    <row r="843" ht="15.75" customHeight="1" s="201"/>
    <row r="844" ht="15.75" customHeight="1" s="201"/>
    <row r="845" ht="15.75" customHeight="1" s="201"/>
    <row r="846" ht="15.75" customHeight="1" s="201"/>
    <row r="847" ht="15.75" customHeight="1" s="201"/>
    <row r="848" ht="15.75" customHeight="1" s="201"/>
    <row r="849" ht="15.75" customHeight="1" s="201"/>
    <row r="850" ht="15.75" customHeight="1" s="201"/>
    <row r="851" ht="15.75" customHeight="1" s="201"/>
    <row r="852" ht="15.75" customHeight="1" s="201"/>
    <row r="853" ht="15.75" customHeight="1" s="201"/>
    <row r="854" ht="15.75" customHeight="1" s="201"/>
    <row r="855" ht="15.75" customHeight="1" s="201"/>
    <row r="856" ht="15.75" customHeight="1" s="201"/>
    <row r="857" ht="15.75" customHeight="1" s="201"/>
    <row r="858" ht="15.75" customHeight="1" s="201"/>
    <row r="859" ht="15.75" customHeight="1" s="201"/>
    <row r="860" ht="15.75" customHeight="1" s="201"/>
    <row r="861" ht="15.75" customHeight="1" s="201"/>
    <row r="862" ht="15.75" customHeight="1" s="201"/>
    <row r="863" ht="15.75" customHeight="1" s="201"/>
    <row r="864" ht="15.75" customHeight="1" s="201"/>
    <row r="865" ht="15.75" customHeight="1" s="201"/>
    <row r="866" ht="15.75" customHeight="1" s="201"/>
    <row r="867" ht="15.75" customHeight="1" s="201"/>
    <row r="868" ht="15.75" customHeight="1" s="201"/>
    <row r="869" ht="15.75" customHeight="1" s="201"/>
    <row r="870" ht="15.75" customHeight="1" s="201"/>
    <row r="871" ht="15.75" customHeight="1" s="201"/>
    <row r="872" ht="15.75" customHeight="1" s="201"/>
    <row r="873" ht="15.75" customHeight="1" s="201"/>
    <row r="874" ht="15.75" customHeight="1" s="201"/>
    <row r="875" ht="15.75" customHeight="1" s="201"/>
    <row r="876" ht="15.75" customHeight="1" s="201"/>
    <row r="877" ht="15.75" customHeight="1" s="201"/>
    <row r="878" ht="15.75" customHeight="1" s="201"/>
    <row r="879" ht="15.75" customHeight="1" s="201"/>
    <row r="880" ht="15.75" customHeight="1" s="201"/>
    <row r="881" ht="15.75" customHeight="1" s="201"/>
    <row r="882" ht="15.75" customHeight="1" s="201"/>
    <row r="883" ht="15.75" customHeight="1" s="201"/>
    <row r="884" ht="15.75" customHeight="1" s="201"/>
    <row r="885" ht="15.75" customHeight="1" s="201"/>
    <row r="886" ht="15.75" customHeight="1" s="201"/>
    <row r="887" ht="15.75" customHeight="1" s="201"/>
    <row r="888" ht="15.75" customHeight="1" s="201"/>
    <row r="889" ht="15.75" customHeight="1" s="201"/>
    <row r="890" ht="15.75" customHeight="1" s="201"/>
    <row r="891" ht="15.75" customHeight="1" s="201"/>
    <row r="892" ht="15.75" customHeight="1" s="201"/>
    <row r="893" ht="15.75" customHeight="1" s="201"/>
    <row r="894" ht="15.75" customHeight="1" s="201"/>
    <row r="895" ht="15.75" customHeight="1" s="201"/>
    <row r="896" ht="15.75" customHeight="1" s="201"/>
    <row r="897" ht="15.75" customHeight="1" s="201"/>
    <row r="898" ht="15.75" customHeight="1" s="201"/>
    <row r="899" ht="15.75" customHeight="1" s="201"/>
    <row r="900" ht="15.75" customHeight="1" s="201"/>
    <row r="901" ht="15.75" customHeight="1" s="201"/>
    <row r="902" ht="15.75" customHeight="1" s="201"/>
    <row r="903" ht="15.75" customHeight="1" s="201"/>
    <row r="904" ht="15.75" customHeight="1" s="201"/>
    <row r="905" ht="15.75" customHeight="1" s="201"/>
    <row r="906" ht="15.75" customHeight="1" s="201"/>
    <row r="907" ht="15.75" customHeight="1" s="201"/>
    <row r="908" ht="15.75" customHeight="1" s="201"/>
    <row r="909" ht="15.75" customHeight="1" s="201"/>
    <row r="910" ht="15.75" customHeight="1" s="201"/>
    <row r="911" ht="15.75" customHeight="1" s="201"/>
    <row r="912" ht="15.75" customHeight="1" s="201"/>
    <row r="913" ht="15.75" customHeight="1" s="201"/>
    <row r="914" ht="15.75" customHeight="1" s="201"/>
    <row r="915" ht="15.75" customHeight="1" s="201"/>
    <row r="916" ht="15.75" customHeight="1" s="201"/>
    <row r="917" ht="15.75" customHeight="1" s="201"/>
    <row r="918" ht="15.75" customHeight="1" s="201"/>
    <row r="919" ht="15.75" customHeight="1" s="201"/>
    <row r="920" ht="15.75" customHeight="1" s="201"/>
    <row r="921" ht="15.75" customHeight="1" s="201"/>
    <row r="922" ht="15.75" customHeight="1" s="201"/>
    <row r="923" ht="15.75" customHeight="1" s="201"/>
    <row r="924" ht="15.75" customHeight="1" s="201"/>
    <row r="925" ht="15.75" customHeight="1" s="201"/>
    <row r="926" ht="15.75" customHeight="1" s="201"/>
    <row r="927" ht="15.75" customHeight="1" s="201"/>
    <row r="928" ht="15.75" customHeight="1" s="201"/>
    <row r="929" ht="15.75" customHeight="1" s="201"/>
    <row r="930" ht="15.75" customHeight="1" s="201"/>
    <row r="931" ht="15.75" customHeight="1" s="201"/>
    <row r="932" ht="15.75" customHeight="1" s="201"/>
    <row r="933" ht="15.75" customHeight="1" s="201"/>
    <row r="934" ht="15.75" customHeight="1" s="201"/>
    <row r="935" ht="15.75" customHeight="1" s="201"/>
    <row r="936" ht="15.75" customHeight="1" s="201"/>
    <row r="937" ht="15.75" customHeight="1" s="201"/>
    <row r="938" ht="15.75" customHeight="1" s="201"/>
    <row r="939" ht="15.75" customHeight="1" s="201"/>
    <row r="940" ht="15.75" customHeight="1" s="201"/>
    <row r="941" ht="15.75" customHeight="1" s="201"/>
    <row r="942" ht="15.75" customHeight="1" s="201"/>
    <row r="943" ht="15.75" customHeight="1" s="201"/>
    <row r="944" ht="15.75" customHeight="1" s="201"/>
    <row r="945" ht="15.75" customHeight="1" s="201"/>
    <row r="946" ht="15.75" customHeight="1" s="201"/>
    <row r="947" ht="15.75" customHeight="1" s="201"/>
    <row r="948" ht="15.75" customHeight="1" s="201"/>
    <row r="949" ht="15.75" customHeight="1" s="201"/>
    <row r="950" ht="15.75" customHeight="1" s="201"/>
    <row r="951" ht="15.75" customHeight="1" s="201"/>
    <row r="952" ht="15.75" customHeight="1" s="201"/>
    <row r="953" ht="15.75" customHeight="1" s="201"/>
    <row r="954" ht="15.75" customHeight="1" s="201"/>
    <row r="955" ht="15.75" customHeight="1" s="201"/>
    <row r="956" ht="15.75" customHeight="1" s="201"/>
    <row r="957" ht="15.75" customHeight="1" s="201"/>
    <row r="958" ht="15.75" customHeight="1" s="201"/>
    <row r="959" ht="15.75" customHeight="1" s="201"/>
    <row r="960" ht="15.75" customHeight="1" s="201"/>
    <row r="961" ht="15.75" customHeight="1" s="201"/>
    <row r="962" ht="15.75" customHeight="1" s="201"/>
    <row r="963" ht="15.75" customHeight="1" s="201"/>
    <row r="964" ht="15.75" customHeight="1" s="201"/>
    <row r="965" ht="15.75" customHeight="1" s="201"/>
    <row r="966" ht="15.75" customHeight="1" s="201"/>
    <row r="967" ht="15.75" customHeight="1" s="201"/>
    <row r="968" ht="15.75" customHeight="1" s="201"/>
    <row r="969" ht="15.75" customHeight="1" s="201"/>
    <row r="970" ht="15.75" customHeight="1" s="201"/>
    <row r="971" ht="15.75" customHeight="1" s="201"/>
    <row r="972" ht="15.75" customHeight="1" s="201"/>
    <row r="973" ht="15.75" customHeight="1" s="201"/>
    <row r="974" ht="15.75" customHeight="1" s="201"/>
    <row r="975" ht="15.75" customHeight="1" s="201"/>
    <row r="976" ht="15.75" customHeight="1" s="201"/>
    <row r="977" ht="15.75" customHeight="1" s="201"/>
    <row r="978" ht="15.75" customHeight="1" s="201"/>
    <row r="979" ht="15.75" customHeight="1" s="201"/>
    <row r="980" ht="15.75" customHeight="1" s="201"/>
    <row r="981" ht="15.75" customHeight="1" s="201"/>
    <row r="982" ht="15.75" customHeight="1" s="201"/>
    <row r="983" ht="15.75" customHeight="1" s="201"/>
    <row r="984" ht="15.75" customHeight="1" s="201"/>
    <row r="985" ht="15.75" customHeight="1" s="201"/>
    <row r="986" ht="15.75" customHeight="1" s="201"/>
    <row r="987" ht="15.75" customHeight="1" s="201"/>
    <row r="988" ht="15.75" customHeight="1" s="201"/>
    <row r="989" ht="15.75" customHeight="1" s="201"/>
    <row r="990" ht="15.75" customHeight="1" s="201"/>
    <row r="991" ht="15.75" customHeight="1" s="201"/>
    <row r="992" ht="15.75" customHeight="1" s="201"/>
    <row r="993" ht="15.75" customHeight="1" s="201"/>
    <row r="994" ht="15.75" customHeight="1" s="201"/>
    <row r="995" ht="15.75" customHeight="1" s="201"/>
    <row r="996" ht="15.75" customHeight="1" s="201"/>
    <row r="997" ht="15.75" customHeight="1" s="201"/>
    <row r="998" ht="15.75" customHeight="1" s="201"/>
    <row r="999" ht="15.75" customHeight="1" s="201"/>
    <row r="1000" ht="15.75" customHeight="1" s="201"/>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BC49"/>
  <sheetViews>
    <sheetView workbookViewId="0">
      <selection activeCell="A1" sqref="A1"/>
    </sheetView>
  </sheetViews>
  <sheetFormatPr baseColWidth="8" defaultColWidth="12.63" defaultRowHeight="15" customHeight="1"/>
  <cols>
    <col width="10.63" customWidth="1" style="201" min="1" max="55"/>
  </cols>
  <sheetData>
    <row r="1">
      <c r="A1" s="97" t="n"/>
      <c r="B1" s="178" t="inlineStr">
        <is>
          <t>Resampled, Randomized Data</t>
        </is>
      </c>
      <c r="C1" s="178" t="n"/>
      <c r="D1" s="178" t="n"/>
      <c r="E1" s="178" t="n"/>
      <c r="F1" s="178" t="n"/>
      <c r="G1" s="178" t="n"/>
      <c r="H1" s="178" t="n"/>
      <c r="I1" s="178" t="n"/>
      <c r="J1" s="178" t="n"/>
      <c r="K1" s="178" t="n"/>
      <c r="L1" s="178" t="n"/>
      <c r="M1" s="178" t="n"/>
      <c r="N1" s="178" t="n"/>
      <c r="O1" s="178" t="n"/>
      <c r="P1" s="178" t="n"/>
      <c r="Q1" s="178" t="n"/>
      <c r="R1" s="178" t="n"/>
      <c r="S1" s="178" t="n"/>
      <c r="T1" s="178" t="n"/>
      <c r="U1" s="178" t="n"/>
      <c r="V1" s="178" t="n"/>
      <c r="W1" s="178" t="n"/>
      <c r="X1" s="178" t="n"/>
      <c r="Y1" s="178" t="n"/>
      <c r="Z1" s="178" t="n"/>
      <c r="AA1" s="178" t="n"/>
      <c r="AB1" s="178" t="n"/>
      <c r="AC1" s="178" t="n"/>
      <c r="AD1" s="178" t="n"/>
      <c r="AE1" s="178" t="n"/>
      <c r="AF1" s="178" t="n"/>
      <c r="AG1" s="178" t="n"/>
      <c r="AH1" s="178" t="n"/>
      <c r="AI1" s="178" t="n"/>
      <c r="AJ1" s="178" t="n"/>
      <c r="AK1" s="178" t="n"/>
      <c r="AL1" s="178" t="n"/>
      <c r="AM1" s="178" t="n"/>
      <c r="AN1" s="178" t="n"/>
      <c r="AO1" s="178" t="n"/>
      <c r="AP1" s="178" t="n"/>
      <c r="AQ1" s="178" t="n"/>
      <c r="AR1" s="179" t="inlineStr">
        <is>
          <t>Data Without Resampling or Randomization (original study data, after harmonizing methodology)</t>
        </is>
      </c>
      <c r="AS1" s="180" t="n"/>
      <c r="AT1" s="180" t="n"/>
      <c r="AU1" s="180" t="n"/>
      <c r="AV1" s="180" t="n"/>
      <c r="AW1" s="180" t="n"/>
      <c r="AX1" s="180" t="n"/>
      <c r="AY1" s="180" t="n"/>
      <c r="AZ1" s="180" t="n"/>
      <c r="BA1" s="180" t="n"/>
      <c r="BB1" s="180" t="n"/>
      <c r="BC1" s="181" t="n"/>
    </row>
    <row r="2">
      <c r="A2" s="97" t="n"/>
      <c r="B2" s="182" t="inlineStr">
        <is>
          <t>Land Use (m2/FU)</t>
        </is>
      </c>
      <c r="C2" s="182" t="n"/>
      <c r="D2" s="183" t="n"/>
      <c r="E2" s="183" t="n"/>
      <c r="F2" s="183" t="n"/>
      <c r="G2" s="183" t="n"/>
      <c r="H2" s="184" t="inlineStr">
        <is>
          <t>GHG Emissions (kg CO2eq/FU, IPCC 2013 incl. CC feedbacks)</t>
        </is>
      </c>
      <c r="I2" s="182" t="n"/>
      <c r="J2" s="182" t="n"/>
      <c r="K2" s="182" t="n"/>
      <c r="L2" s="182" t="n"/>
      <c r="M2" s="185" t="n"/>
      <c r="N2" s="182" t="inlineStr">
        <is>
          <t>GHG Emissions (kg CO2eq/FU, IPCC 2007)</t>
        </is>
      </c>
      <c r="O2" s="182" t="n"/>
      <c r="P2" s="182" t="n"/>
      <c r="Q2" s="182" t="n"/>
      <c r="R2" s="183" t="n"/>
      <c r="S2" s="183" t="n"/>
      <c r="T2" s="184" t="inlineStr">
        <is>
          <t>Acidifying Emissions (g SO2eq/FU, CML2 Baseline)</t>
        </is>
      </c>
      <c r="U2" s="182" t="n"/>
      <c r="V2" s="182" t="n"/>
      <c r="W2" s="182" t="n"/>
      <c r="X2" s="182" t="n"/>
      <c r="Y2" s="185" t="n"/>
      <c r="Z2" s="184" t="inlineStr">
        <is>
          <t>Eutrophying Emissions (g PO43-eq/FU, CML2 Baseline)</t>
        </is>
      </c>
      <c r="AA2" s="182" t="n"/>
      <c r="AB2" s="182" t="n"/>
      <c r="AC2" s="182" t="n"/>
      <c r="AD2" s="182" t="n"/>
      <c r="AE2" s="185" t="n"/>
      <c r="AF2" s="182" t="inlineStr">
        <is>
          <t>Freshwater Withdrawals (L/FU)</t>
        </is>
      </c>
      <c r="AG2" s="182" t="n"/>
      <c r="AH2" s="182" t="n"/>
      <c r="AI2" s="183" t="n"/>
      <c r="AJ2" s="183" t="n"/>
      <c r="AK2" s="183" t="n"/>
      <c r="AL2" s="184" t="inlineStr">
        <is>
          <t>Stress-Weighted Water Use (L/FU)</t>
        </is>
      </c>
      <c r="AM2" s="182" t="n"/>
      <c r="AN2" s="182" t="n"/>
      <c r="AO2" s="183" t="n"/>
      <c r="AP2" s="183" t="n"/>
      <c r="AQ2" s="185" t="n"/>
      <c r="AR2" s="178" t="inlineStr">
        <is>
          <t>Land Use (m2/FU)</t>
        </is>
      </c>
      <c r="AS2" s="186" t="n"/>
      <c r="AT2" s="184" t="inlineStr">
        <is>
          <t>GHG (kg CO2eq/FU, IPCC 2013 incl. CC feedbacks)</t>
        </is>
      </c>
      <c r="AU2" s="187" t="n"/>
      <c r="AV2" s="184" t="inlineStr">
        <is>
          <t>Acid. (kg SO2eq/FU, CML2 Baseline)</t>
        </is>
      </c>
      <c r="AW2" s="187" t="n"/>
      <c r="AX2" s="184" t="inlineStr">
        <is>
          <t>Eutr. (kg PO43-eq/FU, CML2 Baseline)</t>
        </is>
      </c>
      <c r="AY2" s="187" t="n"/>
      <c r="AZ2" s="184" t="inlineStr">
        <is>
          <t>Fresh W. (L/FU)</t>
        </is>
      </c>
      <c r="BA2" s="187" t="n"/>
      <c r="BB2" s="184" t="inlineStr">
        <is>
          <t>Strs. W. WU (L/FU)</t>
        </is>
      </c>
      <c r="BC2" s="187" t="n"/>
    </row>
    <row r="3">
      <c r="A3" s="178" t="inlineStr">
        <is>
          <t>Product</t>
        </is>
      </c>
      <c r="B3" s="188" t="inlineStr">
        <is>
          <t>5th pctl</t>
        </is>
      </c>
      <c r="C3" s="188" t="inlineStr">
        <is>
          <t>10th pctl</t>
        </is>
      </c>
      <c r="D3" s="188" t="inlineStr">
        <is>
          <t>Mean</t>
        </is>
      </c>
      <c r="E3" s="188" t="inlineStr">
        <is>
          <t>Median</t>
        </is>
      </c>
      <c r="F3" s="188" t="inlineStr">
        <is>
          <t>90th pctl</t>
        </is>
      </c>
      <c r="G3" s="188" t="inlineStr">
        <is>
          <t>95th pctl</t>
        </is>
      </c>
      <c r="H3" s="189" t="inlineStr">
        <is>
          <t>5th pctl</t>
        </is>
      </c>
      <c r="I3" s="188" t="inlineStr">
        <is>
          <t>10th pctl</t>
        </is>
      </c>
      <c r="J3" s="188" t="inlineStr">
        <is>
          <t>Mean</t>
        </is>
      </c>
      <c r="K3" s="188" t="inlineStr">
        <is>
          <t>Median</t>
        </is>
      </c>
      <c r="L3" s="188" t="inlineStr">
        <is>
          <t>90th pctl</t>
        </is>
      </c>
      <c r="M3" s="190" t="inlineStr">
        <is>
          <t>95th pctl</t>
        </is>
      </c>
      <c r="N3" s="188" t="inlineStr">
        <is>
          <t>5th pctl</t>
        </is>
      </c>
      <c r="O3" s="188" t="inlineStr">
        <is>
          <t>10th pctl</t>
        </is>
      </c>
      <c r="P3" s="188" t="inlineStr">
        <is>
          <t>Mean</t>
        </is>
      </c>
      <c r="Q3" s="188" t="inlineStr">
        <is>
          <t>Median</t>
        </is>
      </c>
      <c r="R3" s="188" t="inlineStr">
        <is>
          <t>90th pctl</t>
        </is>
      </c>
      <c r="S3" s="188" t="inlineStr">
        <is>
          <t>95th pctl</t>
        </is>
      </c>
      <c r="T3" s="189" t="inlineStr">
        <is>
          <t>5th pctl</t>
        </is>
      </c>
      <c r="U3" s="188" t="inlineStr">
        <is>
          <t>10th pctl</t>
        </is>
      </c>
      <c r="V3" s="188" t="inlineStr">
        <is>
          <t>Mean</t>
        </is>
      </c>
      <c r="W3" s="188" t="inlineStr">
        <is>
          <t>Median</t>
        </is>
      </c>
      <c r="X3" s="188" t="inlineStr">
        <is>
          <t>90th pctl</t>
        </is>
      </c>
      <c r="Y3" s="190" t="inlineStr">
        <is>
          <t>95th pctl</t>
        </is>
      </c>
      <c r="Z3" s="188" t="inlineStr">
        <is>
          <t>5th pctl</t>
        </is>
      </c>
      <c r="AA3" s="188" t="inlineStr">
        <is>
          <t>10th pctl</t>
        </is>
      </c>
      <c r="AB3" s="188" t="inlineStr">
        <is>
          <t>Mean</t>
        </is>
      </c>
      <c r="AC3" s="188" t="inlineStr">
        <is>
          <t>Median</t>
        </is>
      </c>
      <c r="AD3" s="188" t="inlineStr">
        <is>
          <t>90th pctl</t>
        </is>
      </c>
      <c r="AE3" s="190" t="inlineStr">
        <is>
          <t>95th pctl</t>
        </is>
      </c>
      <c r="AF3" s="188" t="inlineStr">
        <is>
          <t>5th pctl</t>
        </is>
      </c>
      <c r="AG3" s="188" t="inlineStr">
        <is>
          <t>10th pctl</t>
        </is>
      </c>
      <c r="AH3" s="188" t="inlineStr">
        <is>
          <t>Mean</t>
        </is>
      </c>
      <c r="AI3" s="188" t="inlineStr">
        <is>
          <t>Median</t>
        </is>
      </c>
      <c r="AJ3" s="188" t="inlineStr">
        <is>
          <t>90th pctl</t>
        </is>
      </c>
      <c r="AK3" s="188" t="inlineStr">
        <is>
          <t>95th pctl</t>
        </is>
      </c>
      <c r="AL3" s="189" t="inlineStr">
        <is>
          <t>5th pctl</t>
        </is>
      </c>
      <c r="AM3" s="188" t="inlineStr">
        <is>
          <t>10th pctl</t>
        </is>
      </c>
      <c r="AN3" s="188" t="inlineStr">
        <is>
          <t>Mean</t>
        </is>
      </c>
      <c r="AO3" s="188" t="inlineStr">
        <is>
          <t>Median</t>
        </is>
      </c>
      <c r="AP3" s="188" t="inlineStr">
        <is>
          <t>90th pctl</t>
        </is>
      </c>
      <c r="AQ3" s="190" t="inlineStr">
        <is>
          <t>95th pctl</t>
        </is>
      </c>
      <c r="AR3" s="188" t="inlineStr">
        <is>
          <t>Min</t>
        </is>
      </c>
      <c r="AS3" s="190" t="inlineStr">
        <is>
          <t>Max</t>
        </is>
      </c>
      <c r="AT3" s="188" t="inlineStr">
        <is>
          <t>Min</t>
        </is>
      </c>
      <c r="AU3" s="190" t="inlineStr">
        <is>
          <t>Max</t>
        </is>
      </c>
      <c r="AV3" s="188" t="inlineStr">
        <is>
          <t>Min</t>
        </is>
      </c>
      <c r="AW3" s="190" t="inlineStr">
        <is>
          <t>Max</t>
        </is>
      </c>
      <c r="AX3" s="188" t="inlineStr">
        <is>
          <t>Min</t>
        </is>
      </c>
      <c r="AY3" s="190" t="inlineStr">
        <is>
          <t>Max</t>
        </is>
      </c>
      <c r="AZ3" s="188" t="inlineStr">
        <is>
          <t>Min</t>
        </is>
      </c>
      <c r="BA3" s="190" t="inlineStr">
        <is>
          <t>Max</t>
        </is>
      </c>
      <c r="BB3" s="188" t="inlineStr">
        <is>
          <t>Min</t>
        </is>
      </c>
      <c r="BC3" s="190" t="inlineStr">
        <is>
          <t>Max</t>
        </is>
      </c>
    </row>
    <row r="4">
      <c r="A4" s="180" t="inlineStr">
        <is>
          <t>Wheat &amp; Rye (Bread)</t>
        </is>
      </c>
      <c r="B4" s="191" t="n">
        <v>1</v>
      </c>
      <c r="C4" s="191" t="n">
        <v>1.1</v>
      </c>
      <c r="D4" s="191" t="n">
        <v>3.9</v>
      </c>
      <c r="E4" s="191" t="n">
        <v>2.7</v>
      </c>
      <c r="F4" s="191" t="n">
        <v>7.9</v>
      </c>
      <c r="G4" s="191" t="n">
        <v>10</v>
      </c>
      <c r="H4" s="192" t="n">
        <v>0.7</v>
      </c>
      <c r="I4" s="191" t="n">
        <v>0.8</v>
      </c>
      <c r="J4" s="191" t="n">
        <v>1.6</v>
      </c>
      <c r="K4" s="191" t="n">
        <v>1.3</v>
      </c>
      <c r="L4" s="191" t="n">
        <v>2.3</v>
      </c>
      <c r="M4" s="193" t="n">
        <v>3.1</v>
      </c>
      <c r="N4" s="191" t="n">
        <v>0.7</v>
      </c>
      <c r="O4" s="191" t="n">
        <v>0.8</v>
      </c>
      <c r="P4" s="191" t="n">
        <v>1.6</v>
      </c>
      <c r="Q4" s="191" t="n">
        <v>1.3</v>
      </c>
      <c r="R4" s="191" t="n">
        <v>2.4</v>
      </c>
      <c r="S4" s="191" t="n">
        <v>3.1</v>
      </c>
      <c r="T4" s="192" t="n">
        <v>5.9</v>
      </c>
      <c r="U4" s="191" t="n">
        <v>6.7</v>
      </c>
      <c r="V4" s="191" t="n">
        <v>13.4</v>
      </c>
      <c r="W4" s="191" t="n">
        <v>13.3</v>
      </c>
      <c r="X4" s="191" t="n">
        <v>20.2</v>
      </c>
      <c r="Y4" s="193" t="n">
        <v>25</v>
      </c>
      <c r="Z4" s="191" t="n">
        <v>1</v>
      </c>
      <c r="AA4" s="191" t="n">
        <v>2.3</v>
      </c>
      <c r="AB4" s="191" t="n">
        <v>7.2</v>
      </c>
      <c r="AC4" s="191" t="n">
        <v>5.4</v>
      </c>
      <c r="AD4" s="191" t="n">
        <v>13.4</v>
      </c>
      <c r="AE4" s="193" t="n">
        <v>18.2</v>
      </c>
      <c r="AF4" s="194" t="n">
        <v>2</v>
      </c>
      <c r="AG4" s="194" t="n">
        <v>2</v>
      </c>
      <c r="AH4" s="194" t="n">
        <v>648</v>
      </c>
      <c r="AI4" s="195" t="n">
        <v>419</v>
      </c>
      <c r="AJ4" s="194" t="n">
        <v>1081</v>
      </c>
      <c r="AK4" s="194" t="n">
        <v>3369</v>
      </c>
      <c r="AL4" s="196" t="n">
        <v>3</v>
      </c>
      <c r="AM4" s="194" t="n">
        <v>5</v>
      </c>
      <c r="AN4" s="194" t="n">
        <v>33386</v>
      </c>
      <c r="AO4" s="195" t="n">
        <v>12822</v>
      </c>
      <c r="AP4" s="194" t="n">
        <v>54986</v>
      </c>
      <c r="AQ4" s="197" t="n">
        <v>225768</v>
      </c>
      <c r="AR4" s="191" t="n">
        <v>0.4</v>
      </c>
      <c r="AS4" s="191" t="n">
        <v>36.5</v>
      </c>
      <c r="AT4" s="192" t="n">
        <v>0.4</v>
      </c>
      <c r="AU4" s="193" t="n">
        <v>56</v>
      </c>
      <c r="AV4" s="191" t="n">
        <v>3.4</v>
      </c>
      <c r="AW4" s="193" t="n">
        <v>33.5</v>
      </c>
      <c r="AX4" s="191" t="n">
        <v>0.2</v>
      </c>
      <c r="AY4" s="193" t="n">
        <v>77.40000000000001</v>
      </c>
      <c r="AZ4" s="194" t="n">
        <v>1</v>
      </c>
      <c r="BA4" s="194" t="n">
        <v>8675</v>
      </c>
      <c r="BB4" s="196" t="n">
        <v>1</v>
      </c>
      <c r="BC4" s="197" t="n">
        <v>333260</v>
      </c>
    </row>
    <row r="5">
      <c r="A5" s="180" t="inlineStr">
        <is>
          <t>Maize (Meal)</t>
        </is>
      </c>
      <c r="B5" s="191" t="n">
        <v>1</v>
      </c>
      <c r="C5" s="191" t="n">
        <v>1.1</v>
      </c>
      <c r="D5" s="191" t="n">
        <v>2.9</v>
      </c>
      <c r="E5" s="191" t="n">
        <v>1.8</v>
      </c>
      <c r="F5" s="191" t="n">
        <v>5.7</v>
      </c>
      <c r="G5" s="191" t="n">
        <v>9</v>
      </c>
      <c r="H5" s="192" t="n">
        <v>0.7</v>
      </c>
      <c r="I5" s="191" t="n">
        <v>0.7</v>
      </c>
      <c r="J5" s="191" t="n">
        <v>1.7</v>
      </c>
      <c r="K5" s="191" t="n">
        <v>1.2</v>
      </c>
      <c r="L5" s="191" t="n">
        <v>2.3</v>
      </c>
      <c r="M5" s="193" t="n">
        <v>3.5</v>
      </c>
      <c r="N5" s="191" t="n">
        <v>0.7</v>
      </c>
      <c r="O5" s="191" t="n">
        <v>0.7</v>
      </c>
      <c r="P5" s="191" t="n">
        <v>1.7</v>
      </c>
      <c r="Q5" s="191" t="n">
        <v>1.2</v>
      </c>
      <c r="R5" s="191" t="n">
        <v>2.3</v>
      </c>
      <c r="S5" s="191" t="n">
        <v>3.5</v>
      </c>
      <c r="T5" s="192" t="n">
        <v>5.6</v>
      </c>
      <c r="U5" s="191" t="n">
        <v>5.9</v>
      </c>
      <c r="V5" s="191" t="n">
        <v>11.7</v>
      </c>
      <c r="W5" s="191" t="n">
        <v>10.2</v>
      </c>
      <c r="X5" s="191" t="n">
        <v>20.9</v>
      </c>
      <c r="Y5" s="193" t="n">
        <v>22.8</v>
      </c>
      <c r="Z5" s="191" t="n">
        <v>1.2</v>
      </c>
      <c r="AA5" s="191" t="n">
        <v>1.3</v>
      </c>
      <c r="AB5" s="191" t="n">
        <v>4</v>
      </c>
      <c r="AC5" s="191" t="n">
        <v>2.4</v>
      </c>
      <c r="AD5" s="191" t="n">
        <v>8.1</v>
      </c>
      <c r="AE5" s="193" t="n">
        <v>12.6</v>
      </c>
      <c r="AF5" s="194" t="n">
        <v>0</v>
      </c>
      <c r="AG5" s="194" t="n">
        <v>0</v>
      </c>
      <c r="AH5" s="194" t="n">
        <v>216</v>
      </c>
      <c r="AI5" s="195" t="n">
        <v>44</v>
      </c>
      <c r="AJ5" s="194" t="n">
        <v>531</v>
      </c>
      <c r="AK5" s="194" t="n">
        <v>598</v>
      </c>
      <c r="AL5" s="196" t="n">
        <v>0</v>
      </c>
      <c r="AM5" s="194" t="n">
        <v>0</v>
      </c>
      <c r="AN5" s="194" t="n">
        <v>10863</v>
      </c>
      <c r="AO5" s="195" t="n">
        <v>350</v>
      </c>
      <c r="AP5" s="194" t="n">
        <v>24375</v>
      </c>
      <c r="AQ5" s="197" t="n">
        <v>28215</v>
      </c>
      <c r="AR5" s="191" t="n">
        <v>0.5</v>
      </c>
      <c r="AS5" s="191" t="n">
        <v>28.9</v>
      </c>
      <c r="AT5" s="192" t="n">
        <v>0.5</v>
      </c>
      <c r="AU5" s="193" t="n">
        <v>72.3</v>
      </c>
      <c r="AV5" s="191" t="n">
        <v>2.9</v>
      </c>
      <c r="AW5" s="193" t="n">
        <v>25.5</v>
      </c>
      <c r="AX5" s="191" t="n">
        <v>0.8</v>
      </c>
      <c r="AY5" s="193" t="n">
        <v>20.8</v>
      </c>
      <c r="AZ5" s="194" t="n">
        <v>0</v>
      </c>
      <c r="BA5" s="194" t="n">
        <v>7191</v>
      </c>
      <c r="BB5" s="196" t="n">
        <v>0</v>
      </c>
      <c r="BC5" s="197" t="n">
        <v>461216</v>
      </c>
    </row>
    <row r="6">
      <c r="A6" s="180" t="inlineStr">
        <is>
          <t>Barley (Beer)</t>
        </is>
      </c>
      <c r="B6" s="191" t="n">
        <v>0.2</v>
      </c>
      <c r="C6" s="191" t="n">
        <v>0.3</v>
      </c>
      <c r="D6" s="191" t="n">
        <v>1.1</v>
      </c>
      <c r="E6" s="191" t="n">
        <v>0.9</v>
      </c>
      <c r="F6" s="191" t="n">
        <v>2.4</v>
      </c>
      <c r="G6" s="191" t="n">
        <v>2.9</v>
      </c>
      <c r="H6" s="192" t="n">
        <v>0.6</v>
      </c>
      <c r="I6" s="191" t="n">
        <v>0.7</v>
      </c>
      <c r="J6" s="191" t="n">
        <v>1.2</v>
      </c>
      <c r="K6" s="191" t="n">
        <v>1.2</v>
      </c>
      <c r="L6" s="191" t="n">
        <v>1.6</v>
      </c>
      <c r="M6" s="193" t="n">
        <v>1.8</v>
      </c>
      <c r="N6" s="191" t="n">
        <v>0.6</v>
      </c>
      <c r="O6" s="191" t="n">
        <v>0.7</v>
      </c>
      <c r="P6" s="191" t="n">
        <v>1.2</v>
      </c>
      <c r="Q6" s="191" t="n">
        <v>1.2</v>
      </c>
      <c r="R6" s="191" t="n">
        <v>1.6</v>
      </c>
      <c r="S6" s="191" t="n">
        <v>1.8</v>
      </c>
      <c r="T6" s="192" t="n">
        <v>5.2</v>
      </c>
      <c r="U6" s="191" t="n">
        <v>5.4</v>
      </c>
      <c r="V6" s="191" t="n">
        <v>6.6</v>
      </c>
      <c r="W6" s="191" t="n">
        <v>6.1</v>
      </c>
      <c r="X6" s="191" t="n">
        <v>7.5</v>
      </c>
      <c r="Y6" s="193" t="n">
        <v>8.199999999999999</v>
      </c>
      <c r="Z6" s="191" t="n">
        <v>1.1</v>
      </c>
      <c r="AA6" s="191" t="n">
        <v>1.2</v>
      </c>
      <c r="AB6" s="191" t="n">
        <v>2.3</v>
      </c>
      <c r="AC6" s="191" t="n">
        <v>1.8</v>
      </c>
      <c r="AD6" s="191" t="n">
        <v>3.8</v>
      </c>
      <c r="AE6" s="193" t="n">
        <v>4.8</v>
      </c>
      <c r="AF6" s="194" t="n">
        <v>6</v>
      </c>
      <c r="AG6" s="194" t="n">
        <v>7</v>
      </c>
      <c r="AH6" s="194" t="n">
        <v>17</v>
      </c>
      <c r="AI6" s="195" t="n">
        <v>7</v>
      </c>
      <c r="AJ6" s="194" t="n">
        <v>11</v>
      </c>
      <c r="AK6" s="194" t="n">
        <v>48</v>
      </c>
      <c r="AL6" s="196" t="n">
        <v>8</v>
      </c>
      <c r="AM6" s="194" t="n">
        <v>10</v>
      </c>
      <c r="AN6" s="194" t="n">
        <v>696</v>
      </c>
      <c r="AO6" s="195" t="n">
        <v>27</v>
      </c>
      <c r="AP6" s="194" t="n">
        <v>291</v>
      </c>
      <c r="AQ6" s="197" t="n">
        <v>1621</v>
      </c>
      <c r="AR6" s="191" t="n">
        <v>0.2</v>
      </c>
      <c r="AS6" s="191" t="n">
        <v>3.8</v>
      </c>
      <c r="AT6" s="192" t="n">
        <v>0.4</v>
      </c>
      <c r="AU6" s="193" t="n">
        <v>2.6</v>
      </c>
      <c r="AV6" s="191" t="n">
        <v>4.8</v>
      </c>
      <c r="AW6" s="193" t="n">
        <v>38.4</v>
      </c>
      <c r="AX6" s="191" t="n">
        <v>1</v>
      </c>
      <c r="AY6" s="193" t="n">
        <v>12.4</v>
      </c>
      <c r="AZ6" s="194" t="n">
        <v>6</v>
      </c>
      <c r="BA6" s="194" t="n">
        <v>569</v>
      </c>
      <c r="BB6" s="196" t="n">
        <v>4</v>
      </c>
      <c r="BC6" s="197" t="n">
        <v>41484</v>
      </c>
    </row>
    <row r="7">
      <c r="A7" s="180" t="inlineStr">
        <is>
          <t>Oatmeal</t>
        </is>
      </c>
      <c r="B7" s="191" t="n">
        <v>2.6</v>
      </c>
      <c r="C7" s="191" t="n">
        <v>2.9</v>
      </c>
      <c r="D7" s="191" t="n">
        <v>7.6</v>
      </c>
      <c r="E7" s="191" t="n">
        <v>7.7</v>
      </c>
      <c r="F7" s="191" t="n">
        <v>12.9</v>
      </c>
      <c r="G7" s="191" t="n">
        <v>14</v>
      </c>
      <c r="H7" s="192" t="n">
        <v>0.8</v>
      </c>
      <c r="I7" s="191" t="n">
        <v>0.9</v>
      </c>
      <c r="J7" s="191" t="n">
        <v>2.5</v>
      </c>
      <c r="K7" s="191" t="n">
        <v>2.6</v>
      </c>
      <c r="L7" s="191" t="n">
        <v>4.1</v>
      </c>
      <c r="M7" s="193" t="n">
        <v>4.3</v>
      </c>
      <c r="N7" s="191" t="n">
        <v>0.8</v>
      </c>
      <c r="O7" s="191" t="n">
        <v>0.9</v>
      </c>
      <c r="P7" s="191" t="n">
        <v>2.5</v>
      </c>
      <c r="Q7" s="191" t="n">
        <v>2.6</v>
      </c>
      <c r="R7" s="191" t="n">
        <v>4.1</v>
      </c>
      <c r="S7" s="191" t="n">
        <v>4.3</v>
      </c>
      <c r="T7" s="192" t="n">
        <v>6.2</v>
      </c>
      <c r="U7" s="191" t="n">
        <v>7.5</v>
      </c>
      <c r="V7" s="191" t="n">
        <v>10.7</v>
      </c>
      <c r="W7" s="191" t="n">
        <v>9.6</v>
      </c>
      <c r="X7" s="191" t="n">
        <v>14.8</v>
      </c>
      <c r="Y7" s="193" t="n">
        <v>17.4</v>
      </c>
      <c r="Z7" s="191" t="n">
        <v>5.8</v>
      </c>
      <c r="AA7" s="191" t="n">
        <v>6.7</v>
      </c>
      <c r="AB7" s="191" t="n">
        <v>11.2</v>
      </c>
      <c r="AC7" s="191" t="n">
        <v>10.1</v>
      </c>
      <c r="AD7" s="191" t="n">
        <v>16.3</v>
      </c>
      <c r="AE7" s="193" t="n">
        <v>24.3</v>
      </c>
      <c r="AF7" s="194" t="n">
        <v>0</v>
      </c>
      <c r="AG7" s="194" t="n">
        <v>0</v>
      </c>
      <c r="AH7" s="194" t="n">
        <v>482</v>
      </c>
      <c r="AI7" s="194" t="n">
        <v>670</v>
      </c>
      <c r="AJ7" s="194" t="n">
        <v>804</v>
      </c>
      <c r="AK7" s="194" t="n">
        <v>850</v>
      </c>
      <c r="AL7" s="196" t="n">
        <v>0</v>
      </c>
      <c r="AM7" s="194" t="n">
        <v>0</v>
      </c>
      <c r="AN7" s="194" t="n">
        <v>18786</v>
      </c>
      <c r="AO7" s="194" t="n">
        <v>24456</v>
      </c>
      <c r="AP7" s="194" t="n">
        <v>29352</v>
      </c>
      <c r="AQ7" s="197" t="n">
        <v>31015</v>
      </c>
      <c r="AR7" s="191" t="n">
        <v>2.6</v>
      </c>
      <c r="AS7" s="191" t="n">
        <v>12.4</v>
      </c>
      <c r="AT7" s="192" t="n">
        <v>0.8</v>
      </c>
      <c r="AU7" s="193" t="n">
        <v>4.3</v>
      </c>
      <c r="AV7" s="191" t="n">
        <v>4.8</v>
      </c>
      <c r="AW7" s="193" t="n">
        <v>28.6</v>
      </c>
      <c r="AX7" s="191" t="n">
        <v>3.4</v>
      </c>
      <c r="AY7" s="193" t="n">
        <v>25.4</v>
      </c>
      <c r="AZ7" s="194" t="n">
        <v>0</v>
      </c>
      <c r="BA7" s="194" t="n">
        <v>1791</v>
      </c>
      <c r="BB7" s="196" t="n">
        <v>0</v>
      </c>
      <c r="BC7" s="197" t="n">
        <v>105304</v>
      </c>
    </row>
    <row r="8">
      <c r="A8" s="180" t="inlineStr">
        <is>
          <t>Rice</t>
        </is>
      </c>
      <c r="B8" s="191" t="n">
        <v>1</v>
      </c>
      <c r="C8" s="191" t="n">
        <v>1.1</v>
      </c>
      <c r="D8" s="191" t="n">
        <v>2.8</v>
      </c>
      <c r="E8" s="191" t="n">
        <v>2.2</v>
      </c>
      <c r="F8" s="191" t="n">
        <v>6.2</v>
      </c>
      <c r="G8" s="191" t="n">
        <v>7.2</v>
      </c>
      <c r="H8" s="192" t="n">
        <v>1.2</v>
      </c>
      <c r="I8" s="191" t="n">
        <v>1.5</v>
      </c>
      <c r="J8" s="191" t="n">
        <v>4.5</v>
      </c>
      <c r="K8" s="191" t="n">
        <v>3.7</v>
      </c>
      <c r="L8" s="191" t="n">
        <v>8.800000000000001</v>
      </c>
      <c r="M8" s="193" t="n">
        <v>10.3</v>
      </c>
      <c r="N8" s="191" t="n">
        <v>1.1</v>
      </c>
      <c r="O8" s="191" t="n">
        <v>1.3</v>
      </c>
      <c r="P8" s="191" t="n">
        <v>3.8</v>
      </c>
      <c r="Q8" s="191" t="n">
        <v>3.1</v>
      </c>
      <c r="R8" s="191" t="n">
        <v>7.4</v>
      </c>
      <c r="S8" s="191" t="n">
        <v>8.5</v>
      </c>
      <c r="T8" s="192" t="n">
        <v>8.800000000000001</v>
      </c>
      <c r="U8" s="191" t="n">
        <v>9.800000000000001</v>
      </c>
      <c r="V8" s="191" t="n">
        <v>27.2</v>
      </c>
      <c r="W8" s="191" t="n">
        <v>18.6</v>
      </c>
      <c r="X8" s="191" t="n">
        <v>62.8</v>
      </c>
      <c r="Y8" s="193" t="n">
        <v>75</v>
      </c>
      <c r="Z8" s="191" t="n">
        <v>2.9</v>
      </c>
      <c r="AA8" s="191" t="n">
        <v>3.4</v>
      </c>
      <c r="AB8" s="191" t="n">
        <v>35.1</v>
      </c>
      <c r="AC8" s="191" t="n">
        <v>9.300000000000001</v>
      </c>
      <c r="AD8" s="191" t="n">
        <v>135.8</v>
      </c>
      <c r="AE8" s="193" t="n">
        <v>156</v>
      </c>
      <c r="AF8" s="194" t="n">
        <v>0</v>
      </c>
      <c r="AG8" s="194" t="n">
        <v>0</v>
      </c>
      <c r="AH8" s="194" t="n">
        <v>2248</v>
      </c>
      <c r="AI8" s="194" t="n">
        <v>1575</v>
      </c>
      <c r="AJ8" s="194" t="n">
        <v>3936</v>
      </c>
      <c r="AK8" s="194" t="n">
        <v>10574</v>
      </c>
      <c r="AL8" s="196" t="n">
        <v>0</v>
      </c>
      <c r="AM8" s="194" t="n">
        <v>2</v>
      </c>
      <c r="AN8" s="194" t="n">
        <v>49576</v>
      </c>
      <c r="AO8" s="194" t="n">
        <v>4626</v>
      </c>
      <c r="AP8" s="194" t="n">
        <v>115317</v>
      </c>
      <c r="AQ8" s="197" t="n">
        <v>191274</v>
      </c>
      <c r="AR8" s="191" t="n">
        <v>1</v>
      </c>
      <c r="AS8" s="191" t="n">
        <v>8.1</v>
      </c>
      <c r="AT8" s="192" t="n">
        <v>1.1</v>
      </c>
      <c r="AU8" s="193" t="n">
        <v>14.4</v>
      </c>
      <c r="AV8" s="191" t="n">
        <v>5.9</v>
      </c>
      <c r="AW8" s="193" t="n">
        <v>88.90000000000001</v>
      </c>
      <c r="AX8" s="191" t="n">
        <v>2.1</v>
      </c>
      <c r="AY8" s="193" t="n">
        <v>172.1</v>
      </c>
      <c r="AZ8" s="194" t="n">
        <v>0</v>
      </c>
      <c r="BA8" s="194" t="n">
        <v>12407</v>
      </c>
      <c r="BB8" s="196" t="n">
        <v>0</v>
      </c>
      <c r="BC8" s="197" t="n">
        <v>832397</v>
      </c>
    </row>
    <row r="9">
      <c r="A9" s="180" t="inlineStr">
        <is>
          <t>Potatoes</t>
        </is>
      </c>
      <c r="B9" s="191" t="n">
        <v>0.4</v>
      </c>
      <c r="C9" s="191" t="n">
        <v>0.4</v>
      </c>
      <c r="D9" s="191" t="n">
        <v>0.9</v>
      </c>
      <c r="E9" s="191" t="n">
        <v>0.8</v>
      </c>
      <c r="F9" s="191" t="n">
        <v>1.4</v>
      </c>
      <c r="G9" s="191" t="n">
        <v>1.7</v>
      </c>
      <c r="H9" s="192" t="n">
        <v>0.1</v>
      </c>
      <c r="I9" s="191" t="n">
        <v>0.2</v>
      </c>
      <c r="J9" s="191" t="n">
        <v>0.5</v>
      </c>
      <c r="K9" s="191" t="n">
        <v>0.5</v>
      </c>
      <c r="L9" s="191" t="n">
        <v>0.6</v>
      </c>
      <c r="M9" s="193" t="n">
        <v>0.7</v>
      </c>
      <c r="N9" s="191" t="n">
        <v>0.1</v>
      </c>
      <c r="O9" s="191" t="n">
        <v>0.2</v>
      </c>
      <c r="P9" s="191" t="n">
        <v>0.5</v>
      </c>
      <c r="Q9" s="191" t="n">
        <v>0.5</v>
      </c>
      <c r="R9" s="191" t="n">
        <v>0.6</v>
      </c>
      <c r="S9" s="191" t="n">
        <v>0.7</v>
      </c>
      <c r="T9" s="192" t="n">
        <v>2.3</v>
      </c>
      <c r="U9" s="191" t="n">
        <v>2.6</v>
      </c>
      <c r="V9" s="191" t="n">
        <v>3.9</v>
      </c>
      <c r="W9" s="191" t="n">
        <v>3.6</v>
      </c>
      <c r="X9" s="191" t="n">
        <v>5.3</v>
      </c>
      <c r="Y9" s="193" t="n">
        <v>6.9</v>
      </c>
      <c r="Z9" s="191" t="n">
        <v>0.6</v>
      </c>
      <c r="AA9" s="191" t="n">
        <v>0.6</v>
      </c>
      <c r="AB9" s="191" t="n">
        <v>3.5</v>
      </c>
      <c r="AC9" s="191" t="n">
        <v>4.4</v>
      </c>
      <c r="AD9" s="191" t="n">
        <v>6.1</v>
      </c>
      <c r="AE9" s="193" t="n">
        <v>6.2</v>
      </c>
      <c r="AF9" s="194" t="n">
        <v>0</v>
      </c>
      <c r="AG9" s="194" t="n">
        <v>1</v>
      </c>
      <c r="AH9" s="194" t="n">
        <v>59</v>
      </c>
      <c r="AI9" s="194" t="n">
        <v>3</v>
      </c>
      <c r="AJ9" s="194" t="n">
        <v>133</v>
      </c>
      <c r="AK9" s="194" t="n">
        <v>236</v>
      </c>
      <c r="AL9" s="196" t="n">
        <v>0</v>
      </c>
      <c r="AM9" s="194" t="n">
        <v>8</v>
      </c>
      <c r="AN9" s="194" t="n">
        <v>2754</v>
      </c>
      <c r="AO9" s="194" t="n">
        <v>78</v>
      </c>
      <c r="AP9" s="194" t="n">
        <v>8910</v>
      </c>
      <c r="AQ9" s="197" t="n">
        <v>8978</v>
      </c>
      <c r="AR9" s="191" t="n">
        <v>0.2</v>
      </c>
      <c r="AS9" s="191" t="n">
        <v>4</v>
      </c>
      <c r="AT9" s="192" t="n">
        <v>0.1</v>
      </c>
      <c r="AU9" s="193" t="n">
        <v>1.6</v>
      </c>
      <c r="AV9" s="191" t="n">
        <v>2.1</v>
      </c>
      <c r="AW9" s="193" t="n">
        <v>10.9</v>
      </c>
      <c r="AX9" s="191" t="n">
        <v>0.6</v>
      </c>
      <c r="AY9" s="193" t="n">
        <v>12.1</v>
      </c>
      <c r="AZ9" s="194" t="n">
        <v>0</v>
      </c>
      <c r="BA9" s="194" t="n">
        <v>834</v>
      </c>
      <c r="BB9" s="196" t="n">
        <v>0</v>
      </c>
      <c r="BC9" s="197" t="n">
        <v>40554</v>
      </c>
    </row>
    <row r="10">
      <c r="A10" s="180" t="inlineStr">
        <is>
          <t>Cassava</t>
        </is>
      </c>
      <c r="B10" s="191" t="n">
        <v>0.7</v>
      </c>
      <c r="C10" s="191" t="n">
        <v>0.8</v>
      </c>
      <c r="D10" s="191" t="n">
        <v>1.8</v>
      </c>
      <c r="E10" s="191" t="n">
        <v>1.3</v>
      </c>
      <c r="F10" s="191" t="n">
        <v>3.2</v>
      </c>
      <c r="G10" s="191" t="n">
        <v>3.3</v>
      </c>
      <c r="H10" s="192" t="n">
        <v>0.3</v>
      </c>
      <c r="I10" s="191" t="n">
        <v>0.4</v>
      </c>
      <c r="J10" s="191" t="n">
        <v>1.3</v>
      </c>
      <c r="K10" s="191" t="n">
        <v>1.1</v>
      </c>
      <c r="L10" s="191" t="n">
        <v>2.1</v>
      </c>
      <c r="M10" s="193" t="n">
        <v>2.2</v>
      </c>
      <c r="N10" s="191" t="n">
        <v>0.3</v>
      </c>
      <c r="O10" s="191" t="n">
        <v>0.3</v>
      </c>
      <c r="P10" s="191" t="n">
        <v>1.3</v>
      </c>
      <c r="Q10" s="191" t="n">
        <v>1</v>
      </c>
      <c r="R10" s="191" t="n">
        <v>2.1</v>
      </c>
      <c r="S10" s="191" t="n">
        <v>2.2</v>
      </c>
      <c r="T10" s="192" t="n">
        <v>2.6</v>
      </c>
      <c r="U10" s="191" t="n">
        <v>2.7</v>
      </c>
      <c r="V10" s="191" t="n">
        <v>3.4</v>
      </c>
      <c r="W10" s="191" t="n">
        <v>3.2</v>
      </c>
      <c r="X10" s="191" t="n">
        <v>4.8</v>
      </c>
      <c r="Y10" s="193" t="n">
        <v>5.1</v>
      </c>
      <c r="Z10" s="191" t="n">
        <v>0.5</v>
      </c>
      <c r="AA10" s="191" t="n">
        <v>0.5</v>
      </c>
      <c r="AB10" s="191" t="n">
        <v>0.7</v>
      </c>
      <c r="AC10" s="191" t="n">
        <v>0.7</v>
      </c>
      <c r="AD10" s="191" t="n">
        <v>1</v>
      </c>
      <c r="AE10" s="193" t="n">
        <v>1</v>
      </c>
      <c r="AF10" s="194" t="n">
        <v>0</v>
      </c>
      <c r="AG10" s="194" t="n">
        <v>0</v>
      </c>
      <c r="AH10" s="194" t="n">
        <v>0</v>
      </c>
      <c r="AI10" s="194" t="n">
        <v>0</v>
      </c>
      <c r="AJ10" s="194" t="n">
        <v>0</v>
      </c>
      <c r="AK10" s="194" t="n">
        <v>0</v>
      </c>
      <c r="AL10" s="196" t="n">
        <v>0</v>
      </c>
      <c r="AM10" s="194" t="n">
        <v>0</v>
      </c>
      <c r="AN10" s="194" t="n">
        <v>0</v>
      </c>
      <c r="AO10" s="194" t="n">
        <v>0</v>
      </c>
      <c r="AP10" s="194" t="n">
        <v>0</v>
      </c>
      <c r="AQ10" s="197" t="n">
        <v>0</v>
      </c>
      <c r="AR10" s="191" t="n">
        <v>0.3</v>
      </c>
      <c r="AS10" s="191" t="n">
        <v>9.300000000000001</v>
      </c>
      <c r="AT10" s="192" t="n">
        <v>0.2</v>
      </c>
      <c r="AU10" s="193" t="n">
        <v>36.2</v>
      </c>
      <c r="AV10" s="191" t="n">
        <v>2.6</v>
      </c>
      <c r="AW10" s="193" t="n">
        <v>5.8</v>
      </c>
      <c r="AX10" s="191" t="n">
        <v>0.5</v>
      </c>
      <c r="AY10" s="193" t="n">
        <v>0.8</v>
      </c>
      <c r="AZ10" s="194" t="n">
        <v>0</v>
      </c>
      <c r="BA10" s="194" t="n">
        <v>0</v>
      </c>
      <c r="BB10" s="196" t="n">
        <v>0</v>
      </c>
      <c r="BC10" s="197" t="n">
        <v>0</v>
      </c>
    </row>
    <row r="11">
      <c r="A11" s="180" t="inlineStr">
        <is>
          <t>Cane Sugar</t>
        </is>
      </c>
      <c r="B11" s="191" t="n">
        <v>1.1</v>
      </c>
      <c r="C11" s="191" t="n">
        <v>1.2</v>
      </c>
      <c r="D11" s="191" t="n">
        <v>2</v>
      </c>
      <c r="E11" s="191" t="n">
        <v>1.8</v>
      </c>
      <c r="F11" s="191" t="n">
        <v>3.1</v>
      </c>
      <c r="G11" s="191" t="n">
        <v>3.5</v>
      </c>
      <c r="H11" s="192" t="n">
        <v>0.6</v>
      </c>
      <c r="I11" s="191" t="n">
        <v>0.9</v>
      </c>
      <c r="J11" s="191" t="n">
        <v>3.2</v>
      </c>
      <c r="K11" s="191" t="n">
        <v>3.2</v>
      </c>
      <c r="L11" s="191" t="n">
        <v>5.1</v>
      </c>
      <c r="M11" s="193" t="n">
        <v>5.6</v>
      </c>
      <c r="N11" s="191" t="n">
        <v>0.6</v>
      </c>
      <c r="O11" s="191" t="n">
        <v>0.9</v>
      </c>
      <c r="P11" s="191" t="n">
        <v>3.2</v>
      </c>
      <c r="Q11" s="191" t="n">
        <v>3.2</v>
      </c>
      <c r="R11" s="191" t="n">
        <v>5.1</v>
      </c>
      <c r="S11" s="191" t="n">
        <v>5.6</v>
      </c>
      <c r="T11" s="192" t="n">
        <v>5.4</v>
      </c>
      <c r="U11" s="191" t="n">
        <v>7.9</v>
      </c>
      <c r="V11" s="191" t="n">
        <v>18</v>
      </c>
      <c r="W11" s="191" t="n">
        <v>18</v>
      </c>
      <c r="X11" s="191" t="n">
        <v>28.1</v>
      </c>
      <c r="Y11" s="193" t="n">
        <v>30.8</v>
      </c>
      <c r="Z11" s="191" t="n">
        <v>3.3</v>
      </c>
      <c r="AA11" s="191" t="n">
        <v>4</v>
      </c>
      <c r="AB11" s="191" t="n">
        <v>16.9</v>
      </c>
      <c r="AC11" s="191" t="n">
        <v>11.2</v>
      </c>
      <c r="AD11" s="191" t="n">
        <v>40.9</v>
      </c>
      <c r="AE11" s="193" t="n">
        <v>42.2</v>
      </c>
      <c r="AF11" s="194" t="n">
        <v>7</v>
      </c>
      <c r="AG11" s="194" t="n">
        <v>8</v>
      </c>
      <c r="AH11" s="194" t="n">
        <v>620</v>
      </c>
      <c r="AI11" s="194" t="n">
        <v>8</v>
      </c>
      <c r="AJ11" s="194" t="n">
        <v>2520</v>
      </c>
      <c r="AK11" s="194" t="n">
        <v>3567</v>
      </c>
      <c r="AL11" s="196" t="n">
        <v>14</v>
      </c>
      <c r="AM11" s="194" t="n">
        <v>15</v>
      </c>
      <c r="AN11" s="194" t="n">
        <v>16439</v>
      </c>
      <c r="AO11" s="194" t="n">
        <v>15</v>
      </c>
      <c r="AP11" s="194" t="n">
        <v>34108</v>
      </c>
      <c r="AQ11" s="197" t="n">
        <v>34891</v>
      </c>
      <c r="AR11" s="191" t="n">
        <v>0.8</v>
      </c>
      <c r="AS11" s="191" t="n">
        <v>34.8</v>
      </c>
      <c r="AT11" s="192" t="n">
        <v>0.6</v>
      </c>
      <c r="AU11" s="193" t="n">
        <v>47.6</v>
      </c>
      <c r="AV11" s="191" t="n">
        <v>5</v>
      </c>
      <c r="AW11" s="193" t="n">
        <v>38</v>
      </c>
      <c r="AX11" s="191" t="n">
        <v>2.5</v>
      </c>
      <c r="AY11" s="193" t="n">
        <v>133.7</v>
      </c>
      <c r="AZ11" s="194" t="n">
        <v>7</v>
      </c>
      <c r="BA11" s="194" t="n">
        <v>7770</v>
      </c>
      <c r="BB11" s="196" t="n">
        <v>9</v>
      </c>
      <c r="BC11" s="197" t="n">
        <v>359239</v>
      </c>
    </row>
    <row r="12">
      <c r="A12" s="180" t="inlineStr">
        <is>
          <t>Beet Sugar</t>
        </is>
      </c>
      <c r="B12" s="191" t="n">
        <v>1.1</v>
      </c>
      <c r="C12" s="191" t="n">
        <v>1.2</v>
      </c>
      <c r="D12" s="191" t="n">
        <v>1.8</v>
      </c>
      <c r="E12" s="191" t="n">
        <v>1.5</v>
      </c>
      <c r="F12" s="191" t="n">
        <v>3.1</v>
      </c>
      <c r="G12" s="191" t="n">
        <v>3.3</v>
      </c>
      <c r="H12" s="192" t="n">
        <v>1</v>
      </c>
      <c r="I12" s="191" t="n">
        <v>1.2</v>
      </c>
      <c r="J12" s="191" t="n">
        <v>1.8</v>
      </c>
      <c r="K12" s="191" t="n">
        <v>1.8</v>
      </c>
      <c r="L12" s="191" t="n">
        <v>2.4</v>
      </c>
      <c r="M12" s="193" t="n">
        <v>2.6</v>
      </c>
      <c r="N12" s="191" t="n">
        <v>1</v>
      </c>
      <c r="O12" s="191" t="n">
        <v>1.2</v>
      </c>
      <c r="P12" s="191" t="n">
        <v>1.8</v>
      </c>
      <c r="Q12" s="191" t="n">
        <v>1.8</v>
      </c>
      <c r="R12" s="191" t="n">
        <v>2.4</v>
      </c>
      <c r="S12" s="191" t="n">
        <v>2.7</v>
      </c>
      <c r="T12" s="192" t="n">
        <v>4.4</v>
      </c>
      <c r="U12" s="191" t="n">
        <v>4.4</v>
      </c>
      <c r="V12" s="191" t="n">
        <v>12.6</v>
      </c>
      <c r="W12" s="191" t="n">
        <v>12.4</v>
      </c>
      <c r="X12" s="191" t="n">
        <v>18.3</v>
      </c>
      <c r="Y12" s="193" t="n">
        <v>20.6</v>
      </c>
      <c r="Z12" s="191" t="n">
        <v>2.1</v>
      </c>
      <c r="AA12" s="191" t="n">
        <v>2.1</v>
      </c>
      <c r="AB12" s="191" t="n">
        <v>5.4</v>
      </c>
      <c r="AC12" s="191" t="n">
        <v>4.3</v>
      </c>
      <c r="AD12" s="191" t="n">
        <v>14.1</v>
      </c>
      <c r="AE12" s="193" t="n">
        <v>16.9</v>
      </c>
      <c r="AF12" s="194" t="n">
        <v>10</v>
      </c>
      <c r="AG12" s="194" t="n">
        <v>12</v>
      </c>
      <c r="AH12" s="194" t="n">
        <v>218</v>
      </c>
      <c r="AI12" s="194" t="n">
        <v>12</v>
      </c>
      <c r="AJ12" s="194" t="n">
        <v>506</v>
      </c>
      <c r="AK12" s="194" t="n">
        <v>1656</v>
      </c>
      <c r="AL12" s="196" t="n">
        <v>12</v>
      </c>
      <c r="AM12" s="194" t="n">
        <v>15</v>
      </c>
      <c r="AN12" s="194" t="n">
        <v>9493</v>
      </c>
      <c r="AO12" s="194" t="n">
        <v>115</v>
      </c>
      <c r="AP12" s="194" t="n">
        <v>22816</v>
      </c>
      <c r="AQ12" s="197" t="n">
        <v>76242</v>
      </c>
      <c r="AR12" s="191" t="n">
        <v>0.7</v>
      </c>
      <c r="AS12" s="191" t="n">
        <v>4.5</v>
      </c>
      <c r="AT12" s="192" t="n">
        <v>0.9</v>
      </c>
      <c r="AU12" s="193" t="n">
        <v>3.5</v>
      </c>
      <c r="AV12" s="191" t="n">
        <v>4.4</v>
      </c>
      <c r="AW12" s="193" t="n">
        <v>68.59999999999999</v>
      </c>
      <c r="AX12" s="191" t="n">
        <v>2.1</v>
      </c>
      <c r="AY12" s="193" t="n">
        <v>16.6</v>
      </c>
      <c r="AZ12" s="194" t="n">
        <v>10</v>
      </c>
      <c r="BA12" s="194" t="n">
        <v>1900</v>
      </c>
      <c r="BB12" s="196" t="n">
        <v>10</v>
      </c>
      <c r="BC12" s="197" t="n">
        <v>87129</v>
      </c>
    </row>
    <row r="13">
      <c r="A13" s="180" t="inlineStr">
        <is>
          <t>Other Pulses</t>
        </is>
      </c>
      <c r="B13" s="191" t="n">
        <v>4.1</v>
      </c>
      <c r="C13" s="191" t="n">
        <v>9.9</v>
      </c>
      <c r="D13" s="191" t="n">
        <v>15.6</v>
      </c>
      <c r="E13" s="191" t="n">
        <v>12.2</v>
      </c>
      <c r="F13" s="191" t="n">
        <v>41.3</v>
      </c>
      <c r="G13" s="191" t="n">
        <v>41.9</v>
      </c>
      <c r="H13" s="192" t="n">
        <v>0.9</v>
      </c>
      <c r="I13" s="191" t="n">
        <v>1</v>
      </c>
      <c r="J13" s="191" t="n">
        <v>1.8</v>
      </c>
      <c r="K13" s="191" t="n">
        <v>1.4</v>
      </c>
      <c r="L13" s="191" t="n">
        <v>3.8</v>
      </c>
      <c r="M13" s="193" t="n">
        <v>4</v>
      </c>
      <c r="N13" s="191" t="n">
        <v>0.9</v>
      </c>
      <c r="O13" s="191" t="n">
        <v>1</v>
      </c>
      <c r="P13" s="191" t="n">
        <v>1.8</v>
      </c>
      <c r="Q13" s="191" t="n">
        <v>1.4</v>
      </c>
      <c r="R13" s="191" t="n">
        <v>3.7</v>
      </c>
      <c r="S13" s="191" t="n">
        <v>4</v>
      </c>
      <c r="T13" s="192" t="n">
        <v>5.7</v>
      </c>
      <c r="U13" s="191" t="n">
        <v>10.9</v>
      </c>
      <c r="V13" s="191" t="n">
        <v>22.1</v>
      </c>
      <c r="W13" s="191" t="n">
        <v>19</v>
      </c>
      <c r="X13" s="191" t="n">
        <v>33.8</v>
      </c>
      <c r="Y13" s="193" t="n">
        <v>36.7</v>
      </c>
      <c r="Z13" s="191" t="n">
        <v>1.6</v>
      </c>
      <c r="AA13" s="191" t="n">
        <v>1.6</v>
      </c>
      <c r="AB13" s="191" t="n">
        <v>17.1</v>
      </c>
      <c r="AC13" s="191" t="n">
        <v>13.8</v>
      </c>
      <c r="AD13" s="191" t="n">
        <v>46.6</v>
      </c>
      <c r="AE13" s="193" t="n">
        <v>50.2</v>
      </c>
      <c r="AF13" s="194" t="n">
        <v>0</v>
      </c>
      <c r="AG13" s="194" t="n">
        <v>0</v>
      </c>
      <c r="AH13" s="194" t="n">
        <v>436</v>
      </c>
      <c r="AI13" s="194" t="n">
        <v>0</v>
      </c>
      <c r="AJ13" s="194" t="n">
        <v>1250</v>
      </c>
      <c r="AK13" s="194" t="n">
        <v>2201</v>
      </c>
      <c r="AL13" s="196" t="n">
        <v>0</v>
      </c>
      <c r="AM13" s="194" t="n">
        <v>0</v>
      </c>
      <c r="AN13" s="194" t="n">
        <v>22477</v>
      </c>
      <c r="AO13" s="194" t="n">
        <v>0</v>
      </c>
      <c r="AP13" s="194" t="n">
        <v>45615</v>
      </c>
      <c r="AQ13" s="197" t="n">
        <v>106154</v>
      </c>
      <c r="AR13" s="191" t="n">
        <v>1</v>
      </c>
      <c r="AS13" s="191" t="n">
        <v>41.7</v>
      </c>
      <c r="AT13" s="192" t="n">
        <v>0.7</v>
      </c>
      <c r="AU13" s="193" t="n">
        <v>5.3</v>
      </c>
      <c r="AV13" s="191" t="n">
        <v>3.9</v>
      </c>
      <c r="AW13" s="193" t="n">
        <v>36.8</v>
      </c>
      <c r="AX13" s="191" t="n">
        <v>0.8</v>
      </c>
      <c r="AY13" s="193" t="n">
        <v>48.9</v>
      </c>
      <c r="AZ13" s="194" t="n">
        <v>0</v>
      </c>
      <c r="BA13" s="194" t="n">
        <v>7538</v>
      </c>
      <c r="BB13" s="196" t="n">
        <v>0</v>
      </c>
      <c r="BC13" s="197" t="n">
        <v>432637</v>
      </c>
    </row>
    <row r="14">
      <c r="A14" s="180" t="inlineStr">
        <is>
          <t>Peas</t>
        </is>
      </c>
      <c r="B14" s="191" t="n">
        <v>2.3</v>
      </c>
      <c r="C14" s="191" t="n">
        <v>2.8</v>
      </c>
      <c r="D14" s="191" t="n">
        <v>7.5</v>
      </c>
      <c r="E14" s="191" t="n">
        <v>6.7</v>
      </c>
      <c r="F14" s="191" t="n">
        <v>14.2</v>
      </c>
      <c r="G14" s="191" t="n">
        <v>20.5</v>
      </c>
      <c r="H14" s="192" t="n">
        <v>0.5</v>
      </c>
      <c r="I14" s="191" t="n">
        <v>0.6</v>
      </c>
      <c r="J14" s="191" t="n">
        <v>1</v>
      </c>
      <c r="K14" s="191" t="n">
        <v>0.8</v>
      </c>
      <c r="L14" s="191" t="n">
        <v>1.7</v>
      </c>
      <c r="M14" s="193" t="n">
        <v>1.9</v>
      </c>
      <c r="N14" s="191" t="n">
        <v>0.5</v>
      </c>
      <c r="O14" s="191" t="n">
        <v>0.6</v>
      </c>
      <c r="P14" s="191" t="n">
        <v>1</v>
      </c>
      <c r="Q14" s="191" t="n">
        <v>0.8</v>
      </c>
      <c r="R14" s="191" t="n">
        <v>1.7</v>
      </c>
      <c r="S14" s="191" t="n">
        <v>1.9</v>
      </c>
      <c r="T14" s="192" t="n">
        <v>3.2</v>
      </c>
      <c r="U14" s="191" t="n">
        <v>3.6</v>
      </c>
      <c r="V14" s="191" t="n">
        <v>8.5</v>
      </c>
      <c r="W14" s="191" t="n">
        <v>10.3</v>
      </c>
      <c r="X14" s="191" t="n">
        <v>10.9</v>
      </c>
      <c r="Y14" s="193" t="n">
        <v>11.1</v>
      </c>
      <c r="Z14" s="191" t="n">
        <v>0.7</v>
      </c>
      <c r="AA14" s="191" t="n">
        <v>0.8</v>
      </c>
      <c r="AB14" s="191" t="n">
        <v>7.5</v>
      </c>
      <c r="AC14" s="191" t="n">
        <v>1.7</v>
      </c>
      <c r="AD14" s="191" t="n">
        <v>33.6</v>
      </c>
      <c r="AE14" s="193" t="n">
        <v>33.7</v>
      </c>
      <c r="AF14" s="194" t="n">
        <v>0</v>
      </c>
      <c r="AG14" s="194" t="n">
        <v>0</v>
      </c>
      <c r="AH14" s="194" t="n">
        <v>397</v>
      </c>
      <c r="AI14" s="194" t="n">
        <v>0</v>
      </c>
      <c r="AJ14" s="194" t="n">
        <v>3100</v>
      </c>
      <c r="AK14" s="194" t="n">
        <v>3584</v>
      </c>
      <c r="AL14" s="196" t="n">
        <v>0</v>
      </c>
      <c r="AM14" s="194" t="n">
        <v>0</v>
      </c>
      <c r="AN14" s="194" t="n">
        <v>27948</v>
      </c>
      <c r="AO14" s="194" t="n">
        <v>0</v>
      </c>
      <c r="AP14" s="194" t="n">
        <v>228332</v>
      </c>
      <c r="AQ14" s="197" t="n">
        <v>263997</v>
      </c>
      <c r="AR14" s="191" t="n">
        <v>1.8</v>
      </c>
      <c r="AS14" s="191" t="n">
        <v>21.9</v>
      </c>
      <c r="AT14" s="192" t="n">
        <v>0.4</v>
      </c>
      <c r="AU14" s="193" t="n">
        <v>2.3</v>
      </c>
      <c r="AV14" s="191" t="n">
        <v>3.1</v>
      </c>
      <c r="AW14" s="193" t="n">
        <v>20.6</v>
      </c>
      <c r="AX14" s="191" t="n">
        <v>0.8</v>
      </c>
      <c r="AY14" s="193" t="n">
        <v>33.6</v>
      </c>
      <c r="AZ14" s="194" t="n">
        <v>0</v>
      </c>
      <c r="BA14" s="194" t="n">
        <v>4051</v>
      </c>
      <c r="BB14" s="196" t="n">
        <v>0</v>
      </c>
      <c r="BC14" s="197" t="n">
        <v>302950</v>
      </c>
    </row>
    <row r="15">
      <c r="A15" s="180" t="inlineStr">
        <is>
          <t>Nuts</t>
        </is>
      </c>
      <c r="B15" s="191" t="n">
        <v>4.2</v>
      </c>
      <c r="C15" s="191" t="n">
        <v>4.5</v>
      </c>
      <c r="D15" s="191" t="n">
        <v>13</v>
      </c>
      <c r="E15" s="191" t="n">
        <v>8.699999999999999</v>
      </c>
      <c r="F15" s="191" t="n">
        <v>26.6</v>
      </c>
      <c r="G15" s="191" t="n">
        <v>26.6</v>
      </c>
      <c r="H15" s="192" t="n">
        <v>-4</v>
      </c>
      <c r="I15" s="191" t="n">
        <v>-3.7</v>
      </c>
      <c r="J15" s="191" t="n">
        <v>0.4</v>
      </c>
      <c r="K15" s="191" t="n">
        <v>-1.3</v>
      </c>
      <c r="L15" s="191" t="n">
        <v>3.8</v>
      </c>
      <c r="M15" s="193" t="n">
        <v>10.8</v>
      </c>
      <c r="N15" s="191" t="n">
        <v>-4</v>
      </c>
      <c r="O15" s="191" t="n">
        <v>-3.7</v>
      </c>
      <c r="P15" s="191" t="n">
        <v>0.4</v>
      </c>
      <c r="Q15" s="191" t="n">
        <v>-1.3</v>
      </c>
      <c r="R15" s="191" t="n">
        <v>3.8</v>
      </c>
      <c r="S15" s="191" t="n">
        <v>10.2</v>
      </c>
      <c r="T15" s="192" t="n">
        <v>19.1</v>
      </c>
      <c r="U15" s="191" t="n">
        <v>20.6</v>
      </c>
      <c r="V15" s="191" t="n">
        <v>45.2</v>
      </c>
      <c r="W15" s="191" t="n">
        <v>35</v>
      </c>
      <c r="X15" s="191" t="n">
        <v>67</v>
      </c>
      <c r="Y15" s="193" t="n">
        <v>95.90000000000001</v>
      </c>
      <c r="Z15" s="191" t="n">
        <v>6.6</v>
      </c>
      <c r="AA15" s="191" t="n">
        <v>8</v>
      </c>
      <c r="AB15" s="191" t="n">
        <v>19.2</v>
      </c>
      <c r="AC15" s="191" t="n">
        <v>14.5</v>
      </c>
      <c r="AD15" s="191" t="n">
        <v>40</v>
      </c>
      <c r="AE15" s="193" t="n">
        <v>47.2</v>
      </c>
      <c r="AF15" s="194" t="n">
        <v>0</v>
      </c>
      <c r="AG15" s="194" t="n">
        <v>0</v>
      </c>
      <c r="AH15" s="194" t="n">
        <v>4134</v>
      </c>
      <c r="AI15" s="194" t="n">
        <v>1823</v>
      </c>
      <c r="AJ15" s="194" t="n">
        <v>9107</v>
      </c>
      <c r="AK15" s="194" t="n">
        <v>11384</v>
      </c>
      <c r="AL15" s="196" t="n">
        <v>0</v>
      </c>
      <c r="AM15" s="194" t="n">
        <v>0</v>
      </c>
      <c r="AN15" s="194" t="n">
        <v>229890</v>
      </c>
      <c r="AO15" s="194" t="n">
        <v>129364</v>
      </c>
      <c r="AP15" s="194" t="n">
        <v>646135</v>
      </c>
      <c r="AQ15" s="197" t="n">
        <v>807659</v>
      </c>
      <c r="AR15" s="191" t="n">
        <v>3.8</v>
      </c>
      <c r="AS15" s="191" t="n">
        <v>46</v>
      </c>
      <c r="AT15" s="192" t="n">
        <v>-8.1</v>
      </c>
      <c r="AU15" s="193" t="n">
        <v>23.7</v>
      </c>
      <c r="AV15" s="191" t="n">
        <v>10.9</v>
      </c>
      <c r="AW15" s="193" t="n">
        <v>119.2</v>
      </c>
      <c r="AX15" s="191" t="n">
        <v>5.3</v>
      </c>
      <c r="AY15" s="193" t="n">
        <v>90.7</v>
      </c>
      <c r="AZ15" s="194" t="n">
        <v>0</v>
      </c>
      <c r="BA15" s="194" t="n">
        <v>11384</v>
      </c>
      <c r="BB15" s="196" t="n">
        <v>0</v>
      </c>
      <c r="BC15" s="197" t="n">
        <v>807659</v>
      </c>
    </row>
    <row r="16">
      <c r="A16" s="180" t="inlineStr">
        <is>
          <t>Groundnuts</t>
        </is>
      </c>
      <c r="B16" s="191" t="n">
        <v>4.2</v>
      </c>
      <c r="C16" s="191" t="n">
        <v>4.7</v>
      </c>
      <c r="D16" s="191" t="n">
        <v>9.1</v>
      </c>
      <c r="E16" s="191" t="n">
        <v>7.9</v>
      </c>
      <c r="F16" s="191" t="n">
        <v>15.4</v>
      </c>
      <c r="G16" s="191" t="n">
        <v>15.4</v>
      </c>
      <c r="H16" s="192" t="n">
        <v>1.4</v>
      </c>
      <c r="I16" s="191" t="n">
        <v>1.6</v>
      </c>
      <c r="J16" s="191" t="n">
        <v>3.2</v>
      </c>
      <c r="K16" s="191" t="n">
        <v>3.3</v>
      </c>
      <c r="L16" s="191" t="n">
        <v>5.8</v>
      </c>
      <c r="M16" s="193" t="n">
        <v>6.2</v>
      </c>
      <c r="N16" s="191" t="n">
        <v>1.4</v>
      </c>
      <c r="O16" s="191" t="n">
        <v>1.6</v>
      </c>
      <c r="P16" s="191" t="n">
        <v>3.2</v>
      </c>
      <c r="Q16" s="191" t="n">
        <v>3.3</v>
      </c>
      <c r="R16" s="191" t="n">
        <v>5.8</v>
      </c>
      <c r="S16" s="191" t="n">
        <v>6.1</v>
      </c>
      <c r="T16" s="192" t="n">
        <v>10.1</v>
      </c>
      <c r="U16" s="191" t="n">
        <v>10.4</v>
      </c>
      <c r="V16" s="191" t="n">
        <v>22.6</v>
      </c>
      <c r="W16" s="191" t="n">
        <v>16.4</v>
      </c>
      <c r="X16" s="191" t="n">
        <v>55.7</v>
      </c>
      <c r="Y16" s="193" t="n">
        <v>56.8</v>
      </c>
      <c r="Z16" s="191" t="n">
        <v>5.7</v>
      </c>
      <c r="AA16" s="191" t="n">
        <v>5.8</v>
      </c>
      <c r="AB16" s="191" t="n">
        <v>14.1</v>
      </c>
      <c r="AC16" s="191" t="n">
        <v>17.1</v>
      </c>
      <c r="AD16" s="191" t="n">
        <v>19.7</v>
      </c>
      <c r="AE16" s="193" t="n">
        <v>21</v>
      </c>
      <c r="AF16" s="194" t="n">
        <v>54</v>
      </c>
      <c r="AG16" s="194" t="n">
        <v>694</v>
      </c>
      <c r="AH16" s="194" t="n">
        <v>1852</v>
      </c>
      <c r="AI16" s="194" t="n">
        <v>900</v>
      </c>
      <c r="AJ16" s="194" t="n">
        <v>6525</v>
      </c>
      <c r="AK16" s="194" t="n">
        <v>6525</v>
      </c>
      <c r="AL16" s="196" t="n">
        <v>2377</v>
      </c>
      <c r="AM16" s="194" t="n">
        <v>2435</v>
      </c>
      <c r="AN16" s="194" t="n">
        <v>61798</v>
      </c>
      <c r="AO16" s="194" t="n">
        <v>44352</v>
      </c>
      <c r="AP16" s="194" t="n">
        <v>195135</v>
      </c>
      <c r="AQ16" s="197" t="n">
        <v>195135</v>
      </c>
      <c r="AR16" s="191" t="n">
        <v>4.2</v>
      </c>
      <c r="AS16" s="191" t="n">
        <v>15.4</v>
      </c>
      <c r="AT16" s="192" t="n">
        <v>1.3</v>
      </c>
      <c r="AU16" s="193" t="n">
        <v>6.2</v>
      </c>
      <c r="AV16" s="191" t="n">
        <v>9.199999999999999</v>
      </c>
      <c r="AW16" s="193" t="n">
        <v>57</v>
      </c>
      <c r="AX16" s="191" t="n">
        <v>5.1</v>
      </c>
      <c r="AY16" s="193" t="n">
        <v>19.7</v>
      </c>
      <c r="AZ16" s="194" t="n">
        <v>0</v>
      </c>
      <c r="BA16" s="194" t="n">
        <v>6525</v>
      </c>
      <c r="BB16" s="196" t="n">
        <v>0</v>
      </c>
      <c r="BC16" s="197" t="n">
        <v>195135</v>
      </c>
    </row>
    <row r="17">
      <c r="A17" s="180" t="inlineStr">
        <is>
          <t>Soymilk</t>
        </is>
      </c>
      <c r="B17" s="191" t="n">
        <v>0.3</v>
      </c>
      <c r="C17" s="191" t="n">
        <v>0.3</v>
      </c>
      <c r="D17" s="191" t="n">
        <v>0.7</v>
      </c>
      <c r="E17" s="191" t="n">
        <v>0.6</v>
      </c>
      <c r="F17" s="191" t="n">
        <v>0.9</v>
      </c>
      <c r="G17" s="191" t="n">
        <v>1.1</v>
      </c>
      <c r="H17" s="192" t="n">
        <v>0.5</v>
      </c>
      <c r="I17" s="191" t="n">
        <v>0.6</v>
      </c>
      <c r="J17" s="191" t="n">
        <v>1</v>
      </c>
      <c r="K17" s="191" t="n">
        <v>0.9</v>
      </c>
      <c r="L17" s="191" t="n">
        <v>1.5</v>
      </c>
      <c r="M17" s="193" t="n">
        <v>1.7</v>
      </c>
      <c r="N17" s="191" t="n">
        <v>0.5</v>
      </c>
      <c r="O17" s="191" t="n">
        <v>0.6</v>
      </c>
      <c r="P17" s="191" t="n">
        <v>1</v>
      </c>
      <c r="Q17" s="191" t="n">
        <v>0.9</v>
      </c>
      <c r="R17" s="191" t="n">
        <v>1.5</v>
      </c>
      <c r="S17" s="191" t="n">
        <v>1.7</v>
      </c>
      <c r="T17" s="192" t="n">
        <v>2.1</v>
      </c>
      <c r="U17" s="191" t="n">
        <v>2.2</v>
      </c>
      <c r="V17" s="191" t="n">
        <v>2.6</v>
      </c>
      <c r="W17" s="191" t="n">
        <v>2.5</v>
      </c>
      <c r="X17" s="191" t="n">
        <v>3.1</v>
      </c>
      <c r="Y17" s="193" t="n">
        <v>3.3</v>
      </c>
      <c r="Z17" s="191" t="n">
        <v>0.5</v>
      </c>
      <c r="AA17" s="191" t="n">
        <v>0.5</v>
      </c>
      <c r="AB17" s="191" t="n">
        <v>1.1</v>
      </c>
      <c r="AC17" s="191" t="n">
        <v>1.2</v>
      </c>
      <c r="AD17" s="191" t="n">
        <v>1.6</v>
      </c>
      <c r="AE17" s="193" t="n">
        <v>1.6</v>
      </c>
      <c r="AF17" s="194" t="n">
        <v>1</v>
      </c>
      <c r="AG17" s="194" t="n">
        <v>1</v>
      </c>
      <c r="AH17" s="194" t="n">
        <v>28</v>
      </c>
      <c r="AI17" s="194" t="n">
        <v>1</v>
      </c>
      <c r="AJ17" s="194" t="n">
        <v>146</v>
      </c>
      <c r="AK17" s="194" t="n">
        <v>159</v>
      </c>
      <c r="AL17" s="196" t="n">
        <v>2</v>
      </c>
      <c r="AM17" s="194" t="n">
        <v>2</v>
      </c>
      <c r="AN17" s="194" t="n">
        <v>956</v>
      </c>
      <c r="AO17" s="194" t="n">
        <v>6</v>
      </c>
      <c r="AP17" s="194" t="n">
        <v>5301</v>
      </c>
      <c r="AQ17" s="197" t="n">
        <v>5769</v>
      </c>
      <c r="AR17" s="191" t="n">
        <v>0.3</v>
      </c>
      <c r="AS17" s="191" t="n">
        <v>1.7</v>
      </c>
      <c r="AT17" s="192" t="n">
        <v>0.7</v>
      </c>
      <c r="AU17" s="193" t="n">
        <v>1.9</v>
      </c>
      <c r="AV17" s="191" t="n">
        <v>3.2</v>
      </c>
      <c r="AW17" s="193" t="n">
        <v>4.8</v>
      </c>
      <c r="AX17" s="191" t="n">
        <v>0.5</v>
      </c>
      <c r="AY17" s="193" t="n">
        <v>4.3</v>
      </c>
      <c r="AZ17" s="194" t="n">
        <v>1</v>
      </c>
      <c r="BA17" s="194" t="n">
        <v>209</v>
      </c>
      <c r="BB17" s="196" t="n">
        <v>1</v>
      </c>
      <c r="BC17" s="197" t="n">
        <v>19425</v>
      </c>
    </row>
    <row r="18">
      <c r="A18" s="180" t="inlineStr">
        <is>
          <t>Tofu</t>
        </is>
      </c>
      <c r="B18" s="191" t="n">
        <v>1.6</v>
      </c>
      <c r="C18" s="191" t="n">
        <v>1.8</v>
      </c>
      <c r="D18" s="191" t="n">
        <v>3.5</v>
      </c>
      <c r="E18" s="191" t="n">
        <v>3.4</v>
      </c>
      <c r="F18" s="191" t="n">
        <v>4.9</v>
      </c>
      <c r="G18" s="191" t="n">
        <v>5.9</v>
      </c>
      <c r="H18" s="192" t="n">
        <v>1.4</v>
      </c>
      <c r="I18" s="191" t="n">
        <v>1.6</v>
      </c>
      <c r="J18" s="191" t="n">
        <v>3.2</v>
      </c>
      <c r="K18" s="191" t="n">
        <v>2.6</v>
      </c>
      <c r="L18" s="191" t="n">
        <v>5.6</v>
      </c>
      <c r="M18" s="193" t="n">
        <v>7.3</v>
      </c>
      <c r="N18" s="191" t="n">
        <v>1.4</v>
      </c>
      <c r="O18" s="191" t="n">
        <v>1.6</v>
      </c>
      <c r="P18" s="191" t="n">
        <v>3.1</v>
      </c>
      <c r="Q18" s="191" t="n">
        <v>2.6</v>
      </c>
      <c r="R18" s="191" t="n">
        <v>5.5</v>
      </c>
      <c r="S18" s="191" t="n">
        <v>7.2</v>
      </c>
      <c r="T18" s="192" t="n">
        <v>5</v>
      </c>
      <c r="U18" s="191" t="n">
        <v>5.1</v>
      </c>
      <c r="V18" s="191" t="n">
        <v>6.7</v>
      </c>
      <c r="W18" s="191" t="n">
        <v>6</v>
      </c>
      <c r="X18" s="191" t="n">
        <v>9</v>
      </c>
      <c r="Y18" s="193" t="n">
        <v>9.9</v>
      </c>
      <c r="Z18" s="191" t="n">
        <v>2.9</v>
      </c>
      <c r="AA18" s="191" t="n">
        <v>2.9</v>
      </c>
      <c r="AB18" s="191" t="n">
        <v>6.2</v>
      </c>
      <c r="AC18" s="191" t="n">
        <v>6.6</v>
      </c>
      <c r="AD18" s="191" t="n">
        <v>9.1</v>
      </c>
      <c r="AE18" s="193" t="n">
        <v>10.3</v>
      </c>
      <c r="AF18" s="194" t="n">
        <v>6</v>
      </c>
      <c r="AG18" s="194" t="n">
        <v>6</v>
      </c>
      <c r="AH18" s="194" t="n">
        <v>149</v>
      </c>
      <c r="AI18" s="194" t="n">
        <v>7</v>
      </c>
      <c r="AJ18" s="194" t="n">
        <v>778</v>
      </c>
      <c r="AK18" s="194" t="n">
        <v>864</v>
      </c>
      <c r="AL18" s="196" t="n">
        <v>12</v>
      </c>
      <c r="AM18" s="194" t="n">
        <v>12</v>
      </c>
      <c r="AN18" s="194" t="n">
        <v>5113</v>
      </c>
      <c r="AO18" s="194" t="n">
        <v>32</v>
      </c>
      <c r="AP18" s="194" t="n">
        <v>28227</v>
      </c>
      <c r="AQ18" s="197" t="n">
        <v>31484</v>
      </c>
      <c r="AR18" s="191" t="n">
        <v>1.5</v>
      </c>
      <c r="AS18" s="191" t="n">
        <v>9</v>
      </c>
      <c r="AT18" s="192" t="n">
        <v>1.7</v>
      </c>
      <c r="AU18" s="193" t="n">
        <v>8.1</v>
      </c>
      <c r="AV18" s="191" t="n">
        <v>8.800000000000001</v>
      </c>
      <c r="AW18" s="193" t="n">
        <v>17.4</v>
      </c>
      <c r="AX18" s="191" t="n">
        <v>2.9</v>
      </c>
      <c r="AY18" s="193" t="n">
        <v>23.1</v>
      </c>
      <c r="AZ18" s="194" t="n">
        <v>6</v>
      </c>
      <c r="BA18" s="194" t="n">
        <v>1124</v>
      </c>
      <c r="BB18" s="196" t="n">
        <v>5</v>
      </c>
      <c r="BC18" s="197" t="n">
        <v>104435</v>
      </c>
    </row>
    <row r="19">
      <c r="A19" s="180" t="inlineStr">
        <is>
          <t>Soybean Oil</t>
        </is>
      </c>
      <c r="B19" s="191" t="n">
        <v>4.8</v>
      </c>
      <c r="C19" s="191" t="n">
        <v>5.3</v>
      </c>
      <c r="D19" s="191" t="n">
        <v>10.5</v>
      </c>
      <c r="E19" s="191" t="n">
        <v>9.6</v>
      </c>
      <c r="F19" s="191" t="n">
        <v>14.6</v>
      </c>
      <c r="G19" s="191" t="n">
        <v>17.5</v>
      </c>
      <c r="H19" s="192" t="n">
        <v>2.2</v>
      </c>
      <c r="I19" s="191" t="n">
        <v>2.4</v>
      </c>
      <c r="J19" s="191" t="n">
        <v>6.3</v>
      </c>
      <c r="K19" s="191" t="n">
        <v>3.9</v>
      </c>
      <c r="L19" s="191" t="n">
        <v>13.4</v>
      </c>
      <c r="M19" s="193" t="n">
        <v>18.8</v>
      </c>
      <c r="N19" s="191" t="n">
        <v>2.2</v>
      </c>
      <c r="O19" s="191" t="n">
        <v>2.4</v>
      </c>
      <c r="P19" s="191" t="n">
        <v>6.2</v>
      </c>
      <c r="Q19" s="191" t="n">
        <v>3.8</v>
      </c>
      <c r="R19" s="191" t="n">
        <v>12.8</v>
      </c>
      <c r="S19" s="191" t="n">
        <v>18.6</v>
      </c>
      <c r="T19" s="192" t="n">
        <v>11.2</v>
      </c>
      <c r="U19" s="191" t="n">
        <v>11.6</v>
      </c>
      <c r="V19" s="191" t="n">
        <v>15.7</v>
      </c>
      <c r="W19" s="191" t="n">
        <v>15</v>
      </c>
      <c r="X19" s="191" t="n">
        <v>20.4</v>
      </c>
      <c r="Y19" s="193" t="n">
        <v>23</v>
      </c>
      <c r="Z19" s="191" t="n">
        <v>2.6</v>
      </c>
      <c r="AA19" s="191" t="n">
        <v>2.6</v>
      </c>
      <c r="AB19" s="191" t="n">
        <v>11.7</v>
      </c>
      <c r="AC19" s="191" t="n">
        <v>14.4</v>
      </c>
      <c r="AD19" s="191" t="n">
        <v>20.2</v>
      </c>
      <c r="AE19" s="193" t="n">
        <v>20.9</v>
      </c>
      <c r="AF19" s="194" t="n">
        <v>2</v>
      </c>
      <c r="AG19" s="194" t="n">
        <v>2</v>
      </c>
      <c r="AH19" s="194" t="n">
        <v>415</v>
      </c>
      <c r="AI19" s="194" t="n">
        <v>2</v>
      </c>
      <c r="AJ19" s="194" t="n">
        <v>2245</v>
      </c>
      <c r="AK19" s="194" t="n">
        <v>2487</v>
      </c>
      <c r="AL19" s="196" t="n">
        <v>3</v>
      </c>
      <c r="AM19" s="194" t="n">
        <v>3</v>
      </c>
      <c r="AN19" s="194" t="n">
        <v>14888</v>
      </c>
      <c r="AO19" s="194" t="n">
        <v>8</v>
      </c>
      <c r="AP19" s="194" t="n">
        <v>81881</v>
      </c>
      <c r="AQ19" s="197" t="n">
        <v>90941</v>
      </c>
      <c r="AR19" s="191" t="n">
        <v>4.4</v>
      </c>
      <c r="AS19" s="191" t="n">
        <v>135.1</v>
      </c>
      <c r="AT19" s="192" t="n">
        <v>2.2</v>
      </c>
      <c r="AU19" s="193" t="n">
        <v>21.3</v>
      </c>
      <c r="AV19" s="191" t="n">
        <v>11.4</v>
      </c>
      <c r="AW19" s="193" t="n">
        <v>36.2</v>
      </c>
      <c r="AX19" s="191" t="n">
        <v>2.6</v>
      </c>
      <c r="AY19" s="193" t="n">
        <v>61.1</v>
      </c>
      <c r="AZ19" s="194" t="n">
        <v>1</v>
      </c>
      <c r="BA19" s="194" t="n">
        <v>3294</v>
      </c>
      <c r="BB19" s="196" t="n">
        <v>1</v>
      </c>
      <c r="BC19" s="197" t="n">
        <v>307032</v>
      </c>
    </row>
    <row r="20">
      <c r="A20" s="180" t="inlineStr">
        <is>
          <t>Palm Oil</t>
        </is>
      </c>
      <c r="B20" s="191" t="n">
        <v>1.4</v>
      </c>
      <c r="C20" s="191" t="n">
        <v>1.7</v>
      </c>
      <c r="D20" s="191" t="n">
        <v>2.4</v>
      </c>
      <c r="E20" s="191" t="n">
        <v>2.4</v>
      </c>
      <c r="F20" s="191" t="n">
        <v>3</v>
      </c>
      <c r="G20" s="191" t="n">
        <v>3.3</v>
      </c>
      <c r="H20" s="192" t="n">
        <v>2.8</v>
      </c>
      <c r="I20" s="191" t="n">
        <v>3.6</v>
      </c>
      <c r="J20" s="191" t="n">
        <v>7.3</v>
      </c>
      <c r="K20" s="191" t="n">
        <v>7.2</v>
      </c>
      <c r="L20" s="191" t="n">
        <v>12</v>
      </c>
      <c r="M20" s="193" t="n">
        <v>13.1</v>
      </c>
      <c r="N20" s="191" t="n">
        <v>2.4</v>
      </c>
      <c r="O20" s="191" t="n">
        <v>3.4</v>
      </c>
      <c r="P20" s="191" t="n">
        <v>7.2</v>
      </c>
      <c r="Q20" s="191" t="n">
        <v>7</v>
      </c>
      <c r="R20" s="191" t="n">
        <v>12</v>
      </c>
      <c r="S20" s="191" t="n">
        <v>13</v>
      </c>
      <c r="T20" s="192" t="n">
        <v>7.5</v>
      </c>
      <c r="U20" s="191" t="n">
        <v>14.6</v>
      </c>
      <c r="V20" s="191" t="n">
        <v>17.5</v>
      </c>
      <c r="W20" s="191" t="n">
        <v>17.7</v>
      </c>
      <c r="X20" s="191" t="n">
        <v>22.1</v>
      </c>
      <c r="Y20" s="193" t="n">
        <v>22.9</v>
      </c>
      <c r="Z20" s="191" t="n">
        <v>2</v>
      </c>
      <c r="AA20" s="191" t="n">
        <v>5.2</v>
      </c>
      <c r="AB20" s="191" t="n">
        <v>10.7</v>
      </c>
      <c r="AC20" s="191" t="n">
        <v>10.3</v>
      </c>
      <c r="AD20" s="191" t="n">
        <v>17.1</v>
      </c>
      <c r="AE20" s="193" t="n">
        <v>17.1</v>
      </c>
      <c r="AF20" s="194" t="n">
        <v>6</v>
      </c>
      <c r="AG20" s="194" t="n">
        <v>6</v>
      </c>
      <c r="AH20" s="194" t="n">
        <v>6</v>
      </c>
      <c r="AI20" s="194" t="n">
        <v>6</v>
      </c>
      <c r="AJ20" s="194" t="n">
        <v>6</v>
      </c>
      <c r="AK20" s="194" t="n">
        <v>7</v>
      </c>
      <c r="AL20" s="196" t="n">
        <v>4</v>
      </c>
      <c r="AM20" s="194" t="n">
        <v>4</v>
      </c>
      <c r="AN20" s="194" t="n">
        <v>36</v>
      </c>
      <c r="AO20" s="194" t="n">
        <v>35</v>
      </c>
      <c r="AP20" s="194" t="n">
        <v>67</v>
      </c>
      <c r="AQ20" s="197" t="n">
        <v>67</v>
      </c>
      <c r="AR20" s="191" t="n">
        <v>1.4</v>
      </c>
      <c r="AS20" s="191" t="n">
        <v>4.7</v>
      </c>
      <c r="AT20" s="192" t="n">
        <v>-0.3</v>
      </c>
      <c r="AU20" s="193" t="n">
        <v>14.2</v>
      </c>
      <c r="AV20" s="191" t="n">
        <v>6.8</v>
      </c>
      <c r="AW20" s="193" t="n">
        <v>22.5</v>
      </c>
      <c r="AX20" s="191" t="n">
        <v>1.9</v>
      </c>
      <c r="AY20" s="193" t="n">
        <v>17.1</v>
      </c>
      <c r="AZ20" s="194" t="n">
        <v>6</v>
      </c>
      <c r="BA20" s="194" t="n">
        <v>7</v>
      </c>
      <c r="BB20" s="196" t="n">
        <v>4</v>
      </c>
      <c r="BC20" s="197" t="n">
        <v>67</v>
      </c>
    </row>
    <row r="21" ht="15.75" customHeight="1" s="201">
      <c r="A21" s="180" t="inlineStr">
        <is>
          <t>Sunflower Oil</t>
        </is>
      </c>
      <c r="B21" s="191" t="n">
        <v>7.5</v>
      </c>
      <c r="C21" s="191" t="n">
        <v>8.4</v>
      </c>
      <c r="D21" s="191" t="n">
        <v>17.7</v>
      </c>
      <c r="E21" s="191" t="n">
        <v>16.3</v>
      </c>
      <c r="F21" s="191" t="n">
        <v>27</v>
      </c>
      <c r="G21" s="191" t="n">
        <v>29.7</v>
      </c>
      <c r="H21" s="192" t="n">
        <v>2.2</v>
      </c>
      <c r="I21" s="191" t="n">
        <v>2.5</v>
      </c>
      <c r="J21" s="191" t="n">
        <v>3.6</v>
      </c>
      <c r="K21" s="191" t="n">
        <v>3.5</v>
      </c>
      <c r="L21" s="191" t="n">
        <v>4.6</v>
      </c>
      <c r="M21" s="193" t="n">
        <v>4.9</v>
      </c>
      <c r="N21" s="191" t="n">
        <v>2.2</v>
      </c>
      <c r="O21" s="191" t="n">
        <v>2.4</v>
      </c>
      <c r="P21" s="191" t="n">
        <v>3.6</v>
      </c>
      <c r="Q21" s="191" t="n">
        <v>3.5</v>
      </c>
      <c r="R21" s="191" t="n">
        <v>4.6</v>
      </c>
      <c r="S21" s="191" t="n">
        <v>4.9</v>
      </c>
      <c r="T21" s="192" t="n">
        <v>10.4</v>
      </c>
      <c r="U21" s="191" t="n">
        <v>10.8</v>
      </c>
      <c r="V21" s="191" t="n">
        <v>28</v>
      </c>
      <c r="W21" s="191" t="n">
        <v>19.3</v>
      </c>
      <c r="X21" s="191" t="n">
        <v>61.2</v>
      </c>
      <c r="Y21" s="193" t="n">
        <v>67.2</v>
      </c>
      <c r="Z21" s="191" t="n">
        <v>10.1</v>
      </c>
      <c r="AA21" s="191" t="n">
        <v>11.7</v>
      </c>
      <c r="AB21" s="191" t="n">
        <v>50.7</v>
      </c>
      <c r="AC21" s="191" t="n">
        <v>18.9</v>
      </c>
      <c r="AD21" s="191" t="n">
        <v>175.7</v>
      </c>
      <c r="AE21" s="193" t="n">
        <v>175.7</v>
      </c>
      <c r="AF21" s="194" t="n">
        <v>3</v>
      </c>
      <c r="AG21" s="194" t="n">
        <v>3</v>
      </c>
      <c r="AH21" s="194" t="n">
        <v>1008</v>
      </c>
      <c r="AI21" s="194" t="n">
        <v>10</v>
      </c>
      <c r="AJ21" s="194" t="n">
        <v>3841</v>
      </c>
      <c r="AK21" s="194" t="n">
        <v>4037</v>
      </c>
      <c r="AL21" s="196" t="n">
        <v>2</v>
      </c>
      <c r="AM21" s="194" t="n">
        <v>6</v>
      </c>
      <c r="AN21" s="194" t="n">
        <v>36369</v>
      </c>
      <c r="AO21" s="194" t="n">
        <v>237</v>
      </c>
      <c r="AP21" s="194" t="n">
        <v>158308</v>
      </c>
      <c r="AQ21" s="197" t="n">
        <v>178519</v>
      </c>
      <c r="AR21" s="191" t="n">
        <v>6.3</v>
      </c>
      <c r="AS21" s="191" t="n">
        <v>70</v>
      </c>
      <c r="AT21" s="192" t="n">
        <v>2.1</v>
      </c>
      <c r="AU21" s="193" t="n">
        <v>7.7</v>
      </c>
      <c r="AV21" s="191" t="n">
        <v>8.699999999999999</v>
      </c>
      <c r="AW21" s="193" t="n">
        <v>66.3</v>
      </c>
      <c r="AX21" s="191" t="n">
        <v>7.5</v>
      </c>
      <c r="AY21" s="193" t="n">
        <v>175.7</v>
      </c>
      <c r="AZ21" s="194" t="n">
        <v>3</v>
      </c>
      <c r="BA21" s="194" t="n">
        <v>5977</v>
      </c>
      <c r="BB21" s="196" t="n">
        <v>2</v>
      </c>
      <c r="BC21" s="197" t="n">
        <v>519841</v>
      </c>
    </row>
    <row r="22" ht="15.75" customHeight="1" s="201">
      <c r="A22" s="180" t="inlineStr">
        <is>
          <t>Rapeseed Oil</t>
        </is>
      </c>
      <c r="B22" s="191" t="n">
        <v>5</v>
      </c>
      <c r="C22" s="191" t="n">
        <v>5.2</v>
      </c>
      <c r="D22" s="191" t="n">
        <v>10.6</v>
      </c>
      <c r="E22" s="191" t="n">
        <v>9.4</v>
      </c>
      <c r="F22" s="191" t="n">
        <v>19</v>
      </c>
      <c r="G22" s="191" t="n">
        <v>21</v>
      </c>
      <c r="H22" s="192" t="n">
        <v>2.2</v>
      </c>
      <c r="I22" s="191" t="n">
        <v>2.5</v>
      </c>
      <c r="J22" s="191" t="n">
        <v>3.8</v>
      </c>
      <c r="K22" s="191" t="n">
        <v>3.5</v>
      </c>
      <c r="L22" s="191" t="n">
        <v>4.6</v>
      </c>
      <c r="M22" s="193" t="n">
        <v>7.2</v>
      </c>
      <c r="N22" s="191" t="n">
        <v>2.2</v>
      </c>
      <c r="O22" s="191" t="n">
        <v>2.5</v>
      </c>
      <c r="P22" s="191" t="n">
        <v>3.8</v>
      </c>
      <c r="Q22" s="191" t="n">
        <v>3.5</v>
      </c>
      <c r="R22" s="191" t="n">
        <v>4.7</v>
      </c>
      <c r="S22" s="191" t="n">
        <v>7.5</v>
      </c>
      <c r="T22" s="192" t="n">
        <v>14.7</v>
      </c>
      <c r="U22" s="191" t="n">
        <v>15.1</v>
      </c>
      <c r="V22" s="191" t="n">
        <v>28.5</v>
      </c>
      <c r="W22" s="191" t="n">
        <v>23.2</v>
      </c>
      <c r="X22" s="191" t="n">
        <v>49.5</v>
      </c>
      <c r="Y22" s="193" t="n">
        <v>61.1</v>
      </c>
      <c r="Z22" s="191" t="n">
        <v>6.4</v>
      </c>
      <c r="AA22" s="191" t="n">
        <v>7.2</v>
      </c>
      <c r="AB22" s="191" t="n">
        <v>19.2</v>
      </c>
      <c r="AC22" s="191" t="n">
        <v>16.4</v>
      </c>
      <c r="AD22" s="191" t="n">
        <v>35.5</v>
      </c>
      <c r="AE22" s="193" t="n">
        <v>55.7</v>
      </c>
      <c r="AF22" s="194" t="n">
        <v>1</v>
      </c>
      <c r="AG22" s="194" t="n">
        <v>1</v>
      </c>
      <c r="AH22" s="194" t="n">
        <v>238</v>
      </c>
      <c r="AI22" s="194" t="n">
        <v>1</v>
      </c>
      <c r="AJ22" s="194" t="n">
        <v>764</v>
      </c>
      <c r="AK22" s="194" t="n">
        <v>778</v>
      </c>
      <c r="AL22" s="196" t="n">
        <v>2</v>
      </c>
      <c r="AM22" s="194" t="n">
        <v>3</v>
      </c>
      <c r="AN22" s="194" t="n">
        <v>10594</v>
      </c>
      <c r="AO22" s="194" t="n">
        <v>14</v>
      </c>
      <c r="AP22" s="194" t="n">
        <v>34755</v>
      </c>
      <c r="AQ22" s="197" t="n">
        <v>35400</v>
      </c>
      <c r="AR22" s="191" t="n">
        <v>4.7</v>
      </c>
      <c r="AS22" s="191" t="n">
        <v>64</v>
      </c>
      <c r="AT22" s="192" t="n">
        <v>2</v>
      </c>
      <c r="AU22" s="193" t="n">
        <v>13.6</v>
      </c>
      <c r="AV22" s="191" t="n">
        <v>12</v>
      </c>
      <c r="AW22" s="193" t="n">
        <v>190.8</v>
      </c>
      <c r="AX22" s="191" t="n">
        <v>3.3</v>
      </c>
      <c r="AY22" s="193" t="n">
        <v>66.59999999999999</v>
      </c>
      <c r="AZ22" s="194" t="n">
        <v>1</v>
      </c>
      <c r="BA22" s="194" t="n">
        <v>12110</v>
      </c>
      <c r="BB22" s="196" t="n">
        <v>1</v>
      </c>
      <c r="BC22" s="197" t="n">
        <v>1044365</v>
      </c>
    </row>
    <row r="23" ht="15.75" customHeight="1" s="201">
      <c r="A23" s="180" t="inlineStr">
        <is>
          <t>Olive Oil</t>
        </is>
      </c>
      <c r="B23" s="191" t="n">
        <v>7.9</v>
      </c>
      <c r="C23" s="191" t="n">
        <v>7.9</v>
      </c>
      <c r="D23" s="191" t="n">
        <v>26.3</v>
      </c>
      <c r="E23" s="191" t="n">
        <v>17.3</v>
      </c>
      <c r="F23" s="191" t="n">
        <v>36.3</v>
      </c>
      <c r="G23" s="191" t="n">
        <v>36.3</v>
      </c>
      <c r="H23" s="192" t="n">
        <v>2.1</v>
      </c>
      <c r="I23" s="191" t="n">
        <v>2.9</v>
      </c>
      <c r="J23" s="191" t="n">
        <v>5.4</v>
      </c>
      <c r="K23" s="191" t="n">
        <v>5.1</v>
      </c>
      <c r="L23" s="191" t="n">
        <v>7.6</v>
      </c>
      <c r="M23" s="193" t="n">
        <v>10.8</v>
      </c>
      <c r="N23" s="191" t="n">
        <v>2.1</v>
      </c>
      <c r="O23" s="191" t="n">
        <v>2.9</v>
      </c>
      <c r="P23" s="191" t="n">
        <v>5.3</v>
      </c>
      <c r="Q23" s="191" t="n">
        <v>5</v>
      </c>
      <c r="R23" s="191" t="n">
        <v>7.7</v>
      </c>
      <c r="S23" s="191" t="n">
        <v>10.7</v>
      </c>
      <c r="T23" s="192" t="n">
        <v>18.8</v>
      </c>
      <c r="U23" s="191" t="n">
        <v>27.5</v>
      </c>
      <c r="V23" s="191" t="n">
        <v>37.6</v>
      </c>
      <c r="W23" s="191" t="n">
        <v>33.9</v>
      </c>
      <c r="X23" s="191" t="n">
        <v>57.9</v>
      </c>
      <c r="Y23" s="193" t="n">
        <v>62</v>
      </c>
      <c r="Z23" s="191" t="n">
        <v>5.8</v>
      </c>
      <c r="AA23" s="191" t="n">
        <v>17.1</v>
      </c>
      <c r="AB23" s="191" t="n">
        <v>37.3</v>
      </c>
      <c r="AC23" s="191" t="n">
        <v>39.1</v>
      </c>
      <c r="AD23" s="191" t="n">
        <v>56.3</v>
      </c>
      <c r="AE23" s="193" t="n">
        <v>61.2</v>
      </c>
      <c r="AF23" s="194" t="n">
        <v>9</v>
      </c>
      <c r="AG23" s="194" t="n">
        <v>9</v>
      </c>
      <c r="AH23" s="194" t="n">
        <v>2142</v>
      </c>
      <c r="AI23" s="194" t="n">
        <v>318</v>
      </c>
      <c r="AJ23" s="194" t="n">
        <v>6908</v>
      </c>
      <c r="AK23" s="194" t="n">
        <v>6908</v>
      </c>
      <c r="AL23" s="196" t="n">
        <v>130</v>
      </c>
      <c r="AM23" s="194" t="n">
        <v>130</v>
      </c>
      <c r="AN23" s="194" t="n">
        <v>177480</v>
      </c>
      <c r="AO23" s="194" t="n">
        <v>24396</v>
      </c>
      <c r="AP23" s="194" t="n">
        <v>621152</v>
      </c>
      <c r="AQ23" s="197" t="n">
        <v>621152</v>
      </c>
      <c r="AR23" s="191" t="n">
        <v>5.8</v>
      </c>
      <c r="AS23" s="191" t="n">
        <v>233.3</v>
      </c>
      <c r="AT23" s="192" t="n">
        <v>1.9</v>
      </c>
      <c r="AU23" s="193" t="n">
        <v>20.3</v>
      </c>
      <c r="AV23" s="191" t="n">
        <v>9.800000000000001</v>
      </c>
      <c r="AW23" s="193" t="n">
        <v>111.8</v>
      </c>
      <c r="AX23" s="191" t="n">
        <v>3.2</v>
      </c>
      <c r="AY23" s="193" t="n">
        <v>63.7</v>
      </c>
      <c r="AZ23" s="194" t="n">
        <v>3</v>
      </c>
      <c r="BA23" s="194" t="n">
        <v>6908</v>
      </c>
      <c r="BB23" s="196" t="n">
        <v>130</v>
      </c>
      <c r="BC23" s="197" t="n">
        <v>621152</v>
      </c>
    </row>
    <row r="24" ht="15.75" customHeight="1" s="201">
      <c r="A24" s="180" t="inlineStr">
        <is>
          <t>Tomatoes</t>
        </is>
      </c>
      <c r="B24" s="191" t="n">
        <v>0.1</v>
      </c>
      <c r="C24" s="191" t="n">
        <v>0.1</v>
      </c>
      <c r="D24" s="191" t="n">
        <v>0.8</v>
      </c>
      <c r="E24" s="191" t="n">
        <v>0.2</v>
      </c>
      <c r="F24" s="191" t="n">
        <v>0.9</v>
      </c>
      <c r="G24" s="191" t="n">
        <v>5.6</v>
      </c>
      <c r="H24" s="192" t="n">
        <v>0.4</v>
      </c>
      <c r="I24" s="191" t="n">
        <v>0.4</v>
      </c>
      <c r="J24" s="191" t="n">
        <v>2.1</v>
      </c>
      <c r="K24" s="191" t="n">
        <v>0.7</v>
      </c>
      <c r="L24" s="191" t="n">
        <v>6</v>
      </c>
      <c r="M24" s="193" t="n">
        <v>12.6</v>
      </c>
      <c r="N24" s="191" t="n">
        <v>0.4</v>
      </c>
      <c r="O24" s="191" t="n">
        <v>0.4</v>
      </c>
      <c r="P24" s="191" t="n">
        <v>2</v>
      </c>
      <c r="Q24" s="191" t="n">
        <v>0.7</v>
      </c>
      <c r="R24" s="191" t="n">
        <v>5.2</v>
      </c>
      <c r="S24" s="191" t="n">
        <v>12.3</v>
      </c>
      <c r="T24" s="192" t="n">
        <v>2.9</v>
      </c>
      <c r="U24" s="191" t="n">
        <v>3.2</v>
      </c>
      <c r="V24" s="191" t="n">
        <v>17.2</v>
      </c>
      <c r="W24" s="191" t="n">
        <v>5.2</v>
      </c>
      <c r="X24" s="191" t="n">
        <v>68</v>
      </c>
      <c r="Y24" s="193" t="n">
        <v>83.40000000000001</v>
      </c>
      <c r="Z24" s="191" t="n">
        <v>0.6</v>
      </c>
      <c r="AA24" s="191" t="n">
        <v>0.8</v>
      </c>
      <c r="AB24" s="191" t="n">
        <v>7.5</v>
      </c>
      <c r="AC24" s="191" t="n">
        <v>1.9</v>
      </c>
      <c r="AD24" s="191" t="n">
        <v>32.1</v>
      </c>
      <c r="AE24" s="193" t="n">
        <v>39.5</v>
      </c>
      <c r="AF24" s="194" t="n">
        <v>33</v>
      </c>
      <c r="AG24" s="194" t="n">
        <v>48</v>
      </c>
      <c r="AH24" s="194" t="n">
        <v>370</v>
      </c>
      <c r="AI24" s="194" t="n">
        <v>77</v>
      </c>
      <c r="AJ24" s="194" t="n">
        <v>1334</v>
      </c>
      <c r="AK24" s="194" t="n">
        <v>1994</v>
      </c>
      <c r="AL24" s="196" t="n">
        <v>270</v>
      </c>
      <c r="AM24" s="194" t="n">
        <v>385</v>
      </c>
      <c r="AN24" s="194" t="n">
        <v>5336</v>
      </c>
      <c r="AO24" s="194" t="n">
        <v>4481</v>
      </c>
      <c r="AP24" s="194" t="n">
        <v>8959</v>
      </c>
      <c r="AQ24" s="197" t="n">
        <v>11842</v>
      </c>
      <c r="AR24" s="191" t="n">
        <v>0</v>
      </c>
      <c r="AS24" s="191" t="n">
        <v>13.8</v>
      </c>
      <c r="AT24" s="192" t="n">
        <v>0.2</v>
      </c>
      <c r="AU24" s="193" t="n">
        <v>29</v>
      </c>
      <c r="AV24" s="191" t="n">
        <v>2.9</v>
      </c>
      <c r="AW24" s="193" t="n">
        <v>240.6</v>
      </c>
      <c r="AX24" s="191" t="n">
        <v>0.3</v>
      </c>
      <c r="AY24" s="193" t="n">
        <v>116.3</v>
      </c>
      <c r="AZ24" s="194" t="n">
        <v>4</v>
      </c>
      <c r="BA24" s="194" t="n">
        <v>4542</v>
      </c>
      <c r="BB24" s="196" t="n">
        <v>13</v>
      </c>
      <c r="BC24" s="197" t="n">
        <v>24103</v>
      </c>
    </row>
    <row r="25" ht="15.75" customHeight="1" s="201">
      <c r="A25" s="180" t="inlineStr">
        <is>
          <t>Onions &amp; Leeks</t>
        </is>
      </c>
      <c r="B25" s="191" t="n">
        <v>0.1</v>
      </c>
      <c r="C25" s="191" t="n">
        <v>0.1</v>
      </c>
      <c r="D25" s="191" t="n">
        <v>0.4</v>
      </c>
      <c r="E25" s="191" t="n">
        <v>0.3</v>
      </c>
      <c r="F25" s="191" t="n">
        <v>0.6</v>
      </c>
      <c r="G25" s="191" t="n">
        <v>0.6</v>
      </c>
      <c r="H25" s="192" t="n">
        <v>0.3</v>
      </c>
      <c r="I25" s="191" t="n">
        <v>0.3</v>
      </c>
      <c r="J25" s="191" t="n">
        <v>0.5</v>
      </c>
      <c r="K25" s="191" t="n">
        <v>0.4</v>
      </c>
      <c r="L25" s="191" t="n">
        <v>0.8</v>
      </c>
      <c r="M25" s="193" t="n">
        <v>0.8</v>
      </c>
      <c r="N25" s="191" t="n">
        <v>0.3</v>
      </c>
      <c r="O25" s="191" t="n">
        <v>0.3</v>
      </c>
      <c r="P25" s="191" t="n">
        <v>0.5</v>
      </c>
      <c r="Q25" s="191" t="n">
        <v>0.4</v>
      </c>
      <c r="R25" s="191" t="n">
        <v>0.8</v>
      </c>
      <c r="S25" s="191" t="n">
        <v>0.8</v>
      </c>
      <c r="T25" s="192" t="n">
        <v>2.7</v>
      </c>
      <c r="U25" s="191" t="n">
        <v>2.8</v>
      </c>
      <c r="V25" s="191" t="n">
        <v>3.6</v>
      </c>
      <c r="W25" s="191" t="n">
        <v>3.3</v>
      </c>
      <c r="X25" s="191" t="n">
        <v>4.9</v>
      </c>
      <c r="Y25" s="193" t="n">
        <v>5</v>
      </c>
      <c r="Z25" s="191" t="n">
        <v>1</v>
      </c>
      <c r="AA25" s="191" t="n">
        <v>1.5</v>
      </c>
      <c r="AB25" s="191" t="n">
        <v>3.2</v>
      </c>
      <c r="AC25" s="191" t="n">
        <v>1.6</v>
      </c>
      <c r="AD25" s="191" t="n">
        <v>7.5</v>
      </c>
      <c r="AE25" s="193" t="n">
        <v>7.5</v>
      </c>
      <c r="AF25" s="194" t="n">
        <v>1</v>
      </c>
      <c r="AG25" s="194" t="n">
        <v>1</v>
      </c>
      <c r="AH25" s="194" t="n">
        <v>14</v>
      </c>
      <c r="AI25" s="194" t="n">
        <v>2</v>
      </c>
      <c r="AJ25" s="194" t="n">
        <v>72</v>
      </c>
      <c r="AK25" s="194" t="n">
        <v>76</v>
      </c>
      <c r="AL25" s="196" t="n">
        <v>48</v>
      </c>
      <c r="AM25" s="194" t="n">
        <v>48</v>
      </c>
      <c r="AN25" s="194" t="n">
        <v>932</v>
      </c>
      <c r="AO25" s="194" t="n">
        <v>57</v>
      </c>
      <c r="AP25" s="194" t="n">
        <v>5007</v>
      </c>
      <c r="AQ25" s="197" t="n">
        <v>5222</v>
      </c>
      <c r="AR25" s="191" t="n">
        <v>0.1</v>
      </c>
      <c r="AS25" s="191" t="n">
        <v>1.4</v>
      </c>
      <c r="AT25" s="192" t="n">
        <v>0.2</v>
      </c>
      <c r="AU25" s="193" t="n">
        <v>0.9</v>
      </c>
      <c r="AV25" s="191" t="n">
        <v>2.5</v>
      </c>
      <c r="AW25" s="193" t="n">
        <v>4.8</v>
      </c>
      <c r="AX25" s="191" t="n">
        <v>0.7</v>
      </c>
      <c r="AY25" s="193" t="n">
        <v>7.4</v>
      </c>
      <c r="AZ25" s="194" t="n">
        <v>0</v>
      </c>
      <c r="BA25" s="194" t="n">
        <v>75</v>
      </c>
      <c r="BB25" s="196" t="n">
        <v>0</v>
      </c>
      <c r="BC25" s="197" t="n">
        <v>5222</v>
      </c>
    </row>
    <row r="26" ht="15.75" customHeight="1" s="201">
      <c r="A26" s="180" t="inlineStr">
        <is>
          <t>Root Vegetables</t>
        </is>
      </c>
      <c r="B26" s="191" t="n">
        <v>0.2</v>
      </c>
      <c r="C26" s="191" t="n">
        <v>0.2</v>
      </c>
      <c r="D26" s="191" t="n">
        <v>0.3</v>
      </c>
      <c r="E26" s="191" t="n">
        <v>0.3</v>
      </c>
      <c r="F26" s="191" t="n">
        <v>0.3</v>
      </c>
      <c r="G26" s="191" t="n">
        <v>0.5</v>
      </c>
      <c r="H26" s="192" t="n">
        <v>0.2</v>
      </c>
      <c r="I26" s="191" t="n">
        <v>0.2</v>
      </c>
      <c r="J26" s="191" t="n">
        <v>0.4</v>
      </c>
      <c r="K26" s="191" t="n">
        <v>0.4</v>
      </c>
      <c r="L26" s="191" t="n">
        <v>0.6</v>
      </c>
      <c r="M26" s="193" t="n">
        <v>0.6</v>
      </c>
      <c r="N26" s="191" t="n">
        <v>0.2</v>
      </c>
      <c r="O26" s="191" t="n">
        <v>0.2</v>
      </c>
      <c r="P26" s="191" t="n">
        <v>0.4</v>
      </c>
      <c r="Q26" s="191" t="n">
        <v>0.4</v>
      </c>
      <c r="R26" s="191" t="n">
        <v>0.6</v>
      </c>
      <c r="S26" s="191" t="n">
        <v>0.6</v>
      </c>
      <c r="T26" s="192" t="n">
        <v>2.2</v>
      </c>
      <c r="U26" s="191" t="n">
        <v>2.4</v>
      </c>
      <c r="V26" s="191" t="n">
        <v>2.9</v>
      </c>
      <c r="W26" s="191" t="n">
        <v>2.9</v>
      </c>
      <c r="X26" s="191" t="n">
        <v>3.3</v>
      </c>
      <c r="Y26" s="193" t="n">
        <v>3.4</v>
      </c>
      <c r="Z26" s="191" t="n">
        <v>0.5</v>
      </c>
      <c r="AA26" s="191" t="n">
        <v>0.5</v>
      </c>
      <c r="AB26" s="191" t="n">
        <v>1.6</v>
      </c>
      <c r="AC26" s="191" t="n">
        <v>1</v>
      </c>
      <c r="AD26" s="191" t="n">
        <v>2.5</v>
      </c>
      <c r="AE26" s="193" t="n">
        <v>9.300000000000001</v>
      </c>
      <c r="AF26" s="194" t="n">
        <v>0</v>
      </c>
      <c r="AG26" s="194" t="n">
        <v>0</v>
      </c>
      <c r="AH26" s="194" t="n">
        <v>28</v>
      </c>
      <c r="AI26" s="194" t="n">
        <v>10</v>
      </c>
      <c r="AJ26" s="194" t="n">
        <v>92</v>
      </c>
      <c r="AK26" s="194" t="n">
        <v>93</v>
      </c>
      <c r="AL26" s="196" t="n">
        <v>0</v>
      </c>
      <c r="AM26" s="194" t="n">
        <v>0</v>
      </c>
      <c r="AN26" s="194" t="n">
        <v>929</v>
      </c>
      <c r="AO26" s="194" t="n">
        <v>38</v>
      </c>
      <c r="AP26" s="194" t="n">
        <v>6785</v>
      </c>
      <c r="AQ26" s="197" t="n">
        <v>6826</v>
      </c>
      <c r="AR26" s="191" t="n">
        <v>0.2</v>
      </c>
      <c r="AS26" s="191" t="n">
        <v>2.4</v>
      </c>
      <c r="AT26" s="192" t="n">
        <v>0.2</v>
      </c>
      <c r="AU26" s="193" t="n">
        <v>1.5</v>
      </c>
      <c r="AV26" s="191" t="n">
        <v>2.3</v>
      </c>
      <c r="AW26" s="193" t="n">
        <v>4.3</v>
      </c>
      <c r="AX26" s="191" t="n">
        <v>0.5</v>
      </c>
      <c r="AY26" s="193" t="n">
        <v>9.9</v>
      </c>
      <c r="AZ26" s="194" t="n">
        <v>0</v>
      </c>
      <c r="BA26" s="194" t="n">
        <v>93</v>
      </c>
      <c r="BB26" s="196" t="n">
        <v>0</v>
      </c>
      <c r="BC26" s="197" t="n">
        <v>6816</v>
      </c>
    </row>
    <row r="27" ht="15.75" customHeight="1" s="201">
      <c r="A27" s="180" t="inlineStr">
        <is>
          <t>Brassicas</t>
        </is>
      </c>
      <c r="B27" s="191" t="n">
        <v>0.2</v>
      </c>
      <c r="C27" s="191" t="n">
        <v>0.2</v>
      </c>
      <c r="D27" s="191" t="n">
        <v>0.6</v>
      </c>
      <c r="E27" s="191" t="n">
        <v>0.3</v>
      </c>
      <c r="F27" s="191" t="n">
        <v>0.8</v>
      </c>
      <c r="G27" s="191" t="n">
        <v>2.3</v>
      </c>
      <c r="H27" s="192" t="n">
        <v>0.2</v>
      </c>
      <c r="I27" s="191" t="n">
        <v>0.2</v>
      </c>
      <c r="J27" s="191" t="n">
        <v>0.5</v>
      </c>
      <c r="K27" s="191" t="n">
        <v>0.4</v>
      </c>
      <c r="L27" s="191" t="n">
        <v>1</v>
      </c>
      <c r="M27" s="193" t="n">
        <v>1.2</v>
      </c>
      <c r="N27" s="191" t="n">
        <v>0.2</v>
      </c>
      <c r="O27" s="191" t="n">
        <v>0.2</v>
      </c>
      <c r="P27" s="191" t="n">
        <v>0.5</v>
      </c>
      <c r="Q27" s="191" t="n">
        <v>0.4</v>
      </c>
      <c r="R27" s="191" t="n">
        <v>1</v>
      </c>
      <c r="S27" s="191" t="n">
        <v>1.2</v>
      </c>
      <c r="T27" s="192" t="n">
        <v>3.9</v>
      </c>
      <c r="U27" s="191" t="n">
        <v>4.5</v>
      </c>
      <c r="V27" s="191" t="n">
        <v>8.199999999999999</v>
      </c>
      <c r="W27" s="191" t="n">
        <v>8.800000000000001</v>
      </c>
      <c r="X27" s="191" t="n">
        <v>10.8</v>
      </c>
      <c r="Y27" s="193" t="n">
        <v>11.3</v>
      </c>
      <c r="Z27" s="191" t="n">
        <v>1.2</v>
      </c>
      <c r="AA27" s="191" t="n">
        <v>1.6</v>
      </c>
      <c r="AB27" s="191" t="n">
        <v>5</v>
      </c>
      <c r="AC27" s="191" t="n">
        <v>5.7</v>
      </c>
      <c r="AD27" s="191" t="n">
        <v>7.8</v>
      </c>
      <c r="AE27" s="193" t="n">
        <v>8.1</v>
      </c>
      <c r="AF27" s="194" t="n">
        <v>0</v>
      </c>
      <c r="AG27" s="194" t="n">
        <v>0</v>
      </c>
      <c r="AH27" s="194" t="n">
        <v>119</v>
      </c>
      <c r="AI27" s="194" t="n">
        <v>55</v>
      </c>
      <c r="AJ27" s="194" t="n">
        <v>253</v>
      </c>
      <c r="AK27" s="194" t="n">
        <v>642</v>
      </c>
      <c r="AL27" s="196" t="n">
        <v>0</v>
      </c>
      <c r="AM27" s="194" t="n">
        <v>0</v>
      </c>
      <c r="AN27" s="194" t="n">
        <v>8455</v>
      </c>
      <c r="AO27" s="194" t="n">
        <v>2483</v>
      </c>
      <c r="AP27" s="194" t="n">
        <v>19799</v>
      </c>
      <c r="AQ27" s="197" t="n">
        <v>60921</v>
      </c>
      <c r="AR27" s="191" t="n">
        <v>0.1</v>
      </c>
      <c r="AS27" s="191" t="n">
        <v>4</v>
      </c>
      <c r="AT27" s="192" t="n">
        <v>0.2</v>
      </c>
      <c r="AU27" s="193" t="n">
        <v>2.4</v>
      </c>
      <c r="AV27" s="191" t="n">
        <v>1.9</v>
      </c>
      <c r="AW27" s="193" t="n">
        <v>10.6</v>
      </c>
      <c r="AX27" s="191" t="n">
        <v>0.9</v>
      </c>
      <c r="AY27" s="193" t="n">
        <v>6.6</v>
      </c>
      <c r="AZ27" s="194" t="n">
        <v>0</v>
      </c>
      <c r="BA27" s="194" t="n">
        <v>656</v>
      </c>
      <c r="BB27" s="196" t="n">
        <v>0</v>
      </c>
      <c r="BC27" s="197" t="n">
        <v>62329</v>
      </c>
    </row>
    <row r="28" ht="15.75" customHeight="1" s="201">
      <c r="A28" s="180" t="inlineStr">
        <is>
          <t>Other Vegetables</t>
        </is>
      </c>
      <c r="B28" s="191" t="n">
        <v>0.2</v>
      </c>
      <c r="C28" s="191" t="n">
        <v>0.2</v>
      </c>
      <c r="D28" s="191" t="n">
        <v>0.4</v>
      </c>
      <c r="E28" s="191" t="n">
        <v>0.2</v>
      </c>
      <c r="F28" s="191" t="n">
        <v>0.8</v>
      </c>
      <c r="G28" s="191" t="n">
        <v>1.1</v>
      </c>
      <c r="H28" s="192" t="n">
        <v>0.2</v>
      </c>
      <c r="I28" s="191" t="n">
        <v>0.2</v>
      </c>
      <c r="J28" s="191" t="n">
        <v>0.5</v>
      </c>
      <c r="K28" s="191" t="n">
        <v>0.4</v>
      </c>
      <c r="L28" s="191" t="n">
        <v>1</v>
      </c>
      <c r="M28" s="193" t="n">
        <v>1.1</v>
      </c>
      <c r="N28" s="191" t="n">
        <v>0.2</v>
      </c>
      <c r="O28" s="191" t="n">
        <v>0.2</v>
      </c>
      <c r="P28" s="191" t="n">
        <v>0.5</v>
      </c>
      <c r="Q28" s="191" t="n">
        <v>0.4</v>
      </c>
      <c r="R28" s="191" t="n">
        <v>1</v>
      </c>
      <c r="S28" s="191" t="n">
        <v>1.1</v>
      </c>
      <c r="T28" s="192" t="n">
        <v>2.6</v>
      </c>
      <c r="U28" s="191" t="n">
        <v>2.9</v>
      </c>
      <c r="V28" s="191" t="n">
        <v>6.4</v>
      </c>
      <c r="W28" s="191" t="n">
        <v>3.7</v>
      </c>
      <c r="X28" s="191" t="n">
        <v>6.6</v>
      </c>
      <c r="Y28" s="193" t="n">
        <v>9.699999999999999</v>
      </c>
      <c r="Z28" s="191" t="n">
        <v>0.9</v>
      </c>
      <c r="AA28" s="191" t="n">
        <v>1.1</v>
      </c>
      <c r="AB28" s="191" t="n">
        <v>2.3</v>
      </c>
      <c r="AC28" s="191" t="n">
        <v>1.8</v>
      </c>
      <c r="AD28" s="191" t="n">
        <v>2.5</v>
      </c>
      <c r="AE28" s="193" t="n">
        <v>4.9</v>
      </c>
      <c r="AF28" s="194" t="n">
        <v>56</v>
      </c>
      <c r="AG28" s="194" t="n">
        <v>56</v>
      </c>
      <c r="AH28" s="194" t="n">
        <v>103</v>
      </c>
      <c r="AI28" s="194" t="n">
        <v>81</v>
      </c>
      <c r="AJ28" s="194" t="n">
        <v>168</v>
      </c>
      <c r="AK28" s="194" t="n">
        <v>360</v>
      </c>
      <c r="AL28" s="196" t="n">
        <v>900</v>
      </c>
      <c r="AM28" s="194" t="n">
        <v>2568</v>
      </c>
      <c r="AN28" s="194" t="n">
        <v>4911</v>
      </c>
      <c r="AO28" s="194" t="n">
        <v>2940</v>
      </c>
      <c r="AP28" s="194" t="n">
        <v>11098</v>
      </c>
      <c r="AQ28" s="197" t="n">
        <v>14549</v>
      </c>
      <c r="AR28" s="191" t="n">
        <v>0</v>
      </c>
      <c r="AS28" s="191" t="n">
        <v>3.7</v>
      </c>
      <c r="AT28" s="192" t="n">
        <v>0.1</v>
      </c>
      <c r="AU28" s="193" t="n">
        <v>12.3</v>
      </c>
      <c r="AV28" s="191" t="n">
        <v>1.5</v>
      </c>
      <c r="AW28" s="193" t="n">
        <v>62.9</v>
      </c>
      <c r="AX28" s="191" t="n">
        <v>0.3</v>
      </c>
      <c r="AY28" s="193" t="n">
        <v>15.5</v>
      </c>
      <c r="AZ28" s="194" t="n">
        <v>0</v>
      </c>
      <c r="BA28" s="194" t="n">
        <v>1436</v>
      </c>
      <c r="BB28" s="196" t="n">
        <v>0</v>
      </c>
      <c r="BC28" s="197" t="n">
        <v>78312</v>
      </c>
    </row>
    <row r="29" ht="15.75" customHeight="1" s="201">
      <c r="A29" s="180" t="inlineStr">
        <is>
          <t>Citrus Fruit</t>
        </is>
      </c>
      <c r="B29" s="191" t="n">
        <v>0.3</v>
      </c>
      <c r="C29" s="191" t="n">
        <v>0.4</v>
      </c>
      <c r="D29" s="191" t="n">
        <v>0.9</v>
      </c>
      <c r="E29" s="191" t="n">
        <v>0.7</v>
      </c>
      <c r="F29" s="191" t="n">
        <v>1.8</v>
      </c>
      <c r="G29" s="191" t="n">
        <v>1.8</v>
      </c>
      <c r="H29" s="192" t="n">
        <v>0</v>
      </c>
      <c r="I29" s="191" t="n">
        <v>0.1</v>
      </c>
      <c r="J29" s="191" t="n">
        <v>0.4</v>
      </c>
      <c r="K29" s="191" t="n">
        <v>0.3</v>
      </c>
      <c r="L29" s="191" t="n">
        <v>0.6</v>
      </c>
      <c r="M29" s="193" t="n">
        <v>0.7</v>
      </c>
      <c r="N29" s="191" t="n">
        <v>0</v>
      </c>
      <c r="O29" s="191" t="n">
        <v>0.1</v>
      </c>
      <c r="P29" s="191" t="n">
        <v>0.4</v>
      </c>
      <c r="Q29" s="191" t="n">
        <v>0.3</v>
      </c>
      <c r="R29" s="191" t="n">
        <v>0.6</v>
      </c>
      <c r="S29" s="191" t="n">
        <v>0.7</v>
      </c>
      <c r="T29" s="192" t="n">
        <v>2.2</v>
      </c>
      <c r="U29" s="191" t="n">
        <v>2.6</v>
      </c>
      <c r="V29" s="191" t="n">
        <v>4</v>
      </c>
      <c r="W29" s="191" t="n">
        <v>3.8</v>
      </c>
      <c r="X29" s="191" t="n">
        <v>6</v>
      </c>
      <c r="Y29" s="193" t="n">
        <v>6.2</v>
      </c>
      <c r="Z29" s="191" t="n">
        <v>0.3</v>
      </c>
      <c r="AA29" s="191" t="n">
        <v>0.3</v>
      </c>
      <c r="AB29" s="191" t="n">
        <v>2.2</v>
      </c>
      <c r="AC29" s="191" t="n">
        <v>1.7</v>
      </c>
      <c r="AD29" s="191" t="n">
        <v>6.5</v>
      </c>
      <c r="AE29" s="193" t="n">
        <v>6.5</v>
      </c>
      <c r="AF29" s="194" t="n">
        <v>0</v>
      </c>
      <c r="AG29" s="194" t="n">
        <v>0</v>
      </c>
      <c r="AH29" s="194" t="n">
        <v>83</v>
      </c>
      <c r="AI29" s="194" t="n">
        <v>37</v>
      </c>
      <c r="AJ29" s="194" t="n">
        <v>185</v>
      </c>
      <c r="AK29" s="194" t="n">
        <v>245</v>
      </c>
      <c r="AL29" s="196" t="n">
        <v>0</v>
      </c>
      <c r="AM29" s="194" t="n">
        <v>0</v>
      </c>
      <c r="AN29" s="194" t="n">
        <v>4663</v>
      </c>
      <c r="AO29" s="194" t="n">
        <v>1346</v>
      </c>
      <c r="AP29" s="194" t="n">
        <v>17561</v>
      </c>
      <c r="AQ29" s="197" t="n">
        <v>21647</v>
      </c>
      <c r="AR29" s="191" t="n">
        <v>0.3</v>
      </c>
      <c r="AS29" s="191" t="n">
        <v>1.8</v>
      </c>
      <c r="AT29" s="192" t="n">
        <v>0</v>
      </c>
      <c r="AU29" s="193" t="n">
        <v>2.7</v>
      </c>
      <c r="AV29" s="191" t="n">
        <v>1.7</v>
      </c>
      <c r="AW29" s="193" t="n">
        <v>6.4</v>
      </c>
      <c r="AX29" s="191" t="n">
        <v>0.3</v>
      </c>
      <c r="AY29" s="193" t="n">
        <v>6.5</v>
      </c>
      <c r="AZ29" s="194" t="n">
        <v>0</v>
      </c>
      <c r="BA29" s="194" t="n">
        <v>518</v>
      </c>
      <c r="BB29" s="196" t="n">
        <v>0</v>
      </c>
      <c r="BC29" s="197" t="n">
        <v>46579</v>
      </c>
    </row>
    <row r="30" ht="15.75" customHeight="1" s="201">
      <c r="A30" s="180" t="inlineStr">
        <is>
          <t>Bananas</t>
        </is>
      </c>
      <c r="B30" s="191" t="n">
        <v>0.2</v>
      </c>
      <c r="C30" s="191" t="n">
        <v>0.3</v>
      </c>
      <c r="D30" s="191" t="n">
        <v>1.9</v>
      </c>
      <c r="E30" s="191" t="n">
        <v>1.4</v>
      </c>
      <c r="F30" s="191" t="n">
        <v>3</v>
      </c>
      <c r="G30" s="191" t="n">
        <v>9.4</v>
      </c>
      <c r="H30" s="192" t="n">
        <v>0.6</v>
      </c>
      <c r="I30" s="191" t="n">
        <v>0.6</v>
      </c>
      <c r="J30" s="191" t="n">
        <v>0.9</v>
      </c>
      <c r="K30" s="191" t="n">
        <v>0.8</v>
      </c>
      <c r="L30" s="191" t="n">
        <v>1.2</v>
      </c>
      <c r="M30" s="193" t="n">
        <v>1.3</v>
      </c>
      <c r="N30" s="191" t="n">
        <v>0.6</v>
      </c>
      <c r="O30" s="191" t="n">
        <v>0.6</v>
      </c>
      <c r="P30" s="191" t="n">
        <v>0.9</v>
      </c>
      <c r="Q30" s="191" t="n">
        <v>0.8</v>
      </c>
      <c r="R30" s="191" t="n">
        <v>1.2</v>
      </c>
      <c r="S30" s="191" t="n">
        <v>1.3</v>
      </c>
      <c r="T30" s="192" t="n">
        <v>4.1</v>
      </c>
      <c r="U30" s="191" t="n">
        <v>4.5</v>
      </c>
      <c r="V30" s="191" t="n">
        <v>6.4</v>
      </c>
      <c r="W30" s="191" t="n">
        <v>6.1</v>
      </c>
      <c r="X30" s="191" t="n">
        <v>8.6</v>
      </c>
      <c r="Y30" s="193" t="n">
        <v>10</v>
      </c>
      <c r="Z30" s="191" t="n">
        <v>1.5</v>
      </c>
      <c r="AA30" s="191" t="n">
        <v>1.7</v>
      </c>
      <c r="AB30" s="191" t="n">
        <v>3.3</v>
      </c>
      <c r="AC30" s="191" t="n">
        <v>2.1</v>
      </c>
      <c r="AD30" s="191" t="n">
        <v>5.8</v>
      </c>
      <c r="AE30" s="193" t="n">
        <v>6.4</v>
      </c>
      <c r="AF30" s="194" t="n">
        <v>0</v>
      </c>
      <c r="AG30" s="194" t="n">
        <v>0</v>
      </c>
      <c r="AH30" s="194" t="n">
        <v>115</v>
      </c>
      <c r="AI30" s="194" t="n">
        <v>1</v>
      </c>
      <c r="AJ30" s="194" t="n">
        <v>320</v>
      </c>
      <c r="AK30" s="194" t="n">
        <v>376</v>
      </c>
      <c r="AL30" s="196" t="n">
        <v>0</v>
      </c>
      <c r="AM30" s="194" t="n">
        <v>1</v>
      </c>
      <c r="AN30" s="194" t="n">
        <v>662</v>
      </c>
      <c r="AO30" s="194" t="n">
        <v>31</v>
      </c>
      <c r="AP30" s="194" t="n">
        <v>1480</v>
      </c>
      <c r="AQ30" s="197" t="n">
        <v>4676</v>
      </c>
      <c r="AR30" s="191" t="n">
        <v>0.2</v>
      </c>
      <c r="AS30" s="191" t="n">
        <v>17.6</v>
      </c>
      <c r="AT30" s="192" t="n">
        <v>0.5</v>
      </c>
      <c r="AU30" s="193" t="n">
        <v>1.6</v>
      </c>
      <c r="AV30" s="191" t="n">
        <v>3.4</v>
      </c>
      <c r="AW30" s="193" t="n">
        <v>13.8</v>
      </c>
      <c r="AX30" s="191" t="n">
        <v>1.5</v>
      </c>
      <c r="AY30" s="193" t="n">
        <v>37.4</v>
      </c>
      <c r="AZ30" s="194" t="n">
        <v>0</v>
      </c>
      <c r="BA30" s="194" t="n">
        <v>855</v>
      </c>
      <c r="BB30" s="196" t="n">
        <v>0</v>
      </c>
      <c r="BC30" s="197" t="n">
        <v>6147</v>
      </c>
    </row>
    <row r="31" ht="15.75" customHeight="1" s="201">
      <c r="A31" s="180" t="inlineStr">
        <is>
          <t>Apples</t>
        </is>
      </c>
      <c r="B31" s="191" t="n">
        <v>0.3</v>
      </c>
      <c r="C31" s="191" t="n">
        <v>0.3</v>
      </c>
      <c r="D31" s="191" t="n">
        <v>0.6</v>
      </c>
      <c r="E31" s="191" t="n">
        <v>0.5</v>
      </c>
      <c r="F31" s="191" t="n">
        <v>1</v>
      </c>
      <c r="G31" s="191" t="n">
        <v>1</v>
      </c>
      <c r="H31" s="192" t="n">
        <v>0.3</v>
      </c>
      <c r="I31" s="191" t="n">
        <v>0.3</v>
      </c>
      <c r="J31" s="191" t="n">
        <v>0.4</v>
      </c>
      <c r="K31" s="191" t="n">
        <v>0.4</v>
      </c>
      <c r="L31" s="191" t="n">
        <v>0.6</v>
      </c>
      <c r="M31" s="193" t="n">
        <v>0.6</v>
      </c>
      <c r="N31" s="191" t="n">
        <v>0.3</v>
      </c>
      <c r="O31" s="191" t="n">
        <v>0.3</v>
      </c>
      <c r="P31" s="191" t="n">
        <v>0.4</v>
      </c>
      <c r="Q31" s="191" t="n">
        <v>0.4</v>
      </c>
      <c r="R31" s="191" t="n">
        <v>0.6</v>
      </c>
      <c r="S31" s="191" t="n">
        <v>0.6</v>
      </c>
      <c r="T31" s="192" t="n">
        <v>1.8</v>
      </c>
      <c r="U31" s="191" t="n">
        <v>2.1</v>
      </c>
      <c r="V31" s="191" t="n">
        <v>3.5</v>
      </c>
      <c r="W31" s="191" t="n">
        <v>4</v>
      </c>
      <c r="X31" s="191" t="n">
        <v>4.5</v>
      </c>
      <c r="Y31" s="193" t="n">
        <v>4.6</v>
      </c>
      <c r="Z31" s="191" t="n">
        <v>0.4</v>
      </c>
      <c r="AA31" s="191" t="n">
        <v>0.5</v>
      </c>
      <c r="AB31" s="191" t="n">
        <v>1.5</v>
      </c>
      <c r="AC31" s="191" t="n">
        <v>2</v>
      </c>
      <c r="AD31" s="191" t="n">
        <v>2</v>
      </c>
      <c r="AE31" s="193" t="n">
        <v>2.1</v>
      </c>
      <c r="AF31" s="194" t="n">
        <v>0</v>
      </c>
      <c r="AG31" s="194" t="n">
        <v>1</v>
      </c>
      <c r="AH31" s="194" t="n">
        <v>180</v>
      </c>
      <c r="AI31" s="194" t="n">
        <v>115</v>
      </c>
      <c r="AJ31" s="194" t="n">
        <v>585</v>
      </c>
      <c r="AK31" s="194" t="n">
        <v>585</v>
      </c>
      <c r="AL31" s="196" t="n">
        <v>0</v>
      </c>
      <c r="AM31" s="194" t="n">
        <v>26</v>
      </c>
      <c r="AN31" s="194" t="n">
        <v>12949</v>
      </c>
      <c r="AO31" s="194" t="n">
        <v>1025</v>
      </c>
      <c r="AP31" s="194" t="n">
        <v>52972</v>
      </c>
      <c r="AQ31" s="197" t="n">
        <v>52972</v>
      </c>
      <c r="AR31" s="191" t="n">
        <v>0.2</v>
      </c>
      <c r="AS31" s="191" t="n">
        <v>1.5</v>
      </c>
      <c r="AT31" s="192" t="n">
        <v>0.2</v>
      </c>
      <c r="AU31" s="193" t="n">
        <v>1.2</v>
      </c>
      <c r="AV31" s="191" t="n">
        <v>1.5</v>
      </c>
      <c r="AW31" s="193" t="n">
        <v>5.5</v>
      </c>
      <c r="AX31" s="191" t="n">
        <v>0.2</v>
      </c>
      <c r="AY31" s="193" t="n">
        <v>4.2</v>
      </c>
      <c r="AZ31" s="194" t="n">
        <v>0</v>
      </c>
      <c r="BA31" s="194" t="n">
        <v>1776</v>
      </c>
      <c r="BB31" s="196" t="n">
        <v>0</v>
      </c>
      <c r="BC31" s="197" t="n">
        <v>52972</v>
      </c>
    </row>
    <row r="32" ht="15.75" customHeight="1" s="201">
      <c r="A32" s="180" t="inlineStr">
        <is>
          <t>Berries &amp; Grapes</t>
        </is>
      </c>
      <c r="B32" s="191" t="n">
        <v>0.2</v>
      </c>
      <c r="C32" s="191" t="n">
        <v>0.3</v>
      </c>
      <c r="D32" s="191" t="n">
        <v>2.4</v>
      </c>
      <c r="E32" s="191" t="n">
        <v>2.6</v>
      </c>
      <c r="F32" s="191" t="n">
        <v>6.9</v>
      </c>
      <c r="G32" s="191" t="n">
        <v>6.9</v>
      </c>
      <c r="H32" s="192" t="n">
        <v>0.6</v>
      </c>
      <c r="I32" s="191" t="n">
        <v>0.8</v>
      </c>
      <c r="J32" s="191" t="n">
        <v>1.5</v>
      </c>
      <c r="K32" s="191" t="n">
        <v>1.4</v>
      </c>
      <c r="L32" s="191" t="n">
        <v>2.7</v>
      </c>
      <c r="M32" s="193" t="n">
        <v>2.9</v>
      </c>
      <c r="N32" s="191" t="n">
        <v>0.7</v>
      </c>
      <c r="O32" s="191" t="n">
        <v>0.8</v>
      </c>
      <c r="P32" s="191" t="n">
        <v>1.5</v>
      </c>
      <c r="Q32" s="191" t="n">
        <v>1.4</v>
      </c>
      <c r="R32" s="191" t="n">
        <v>2.7</v>
      </c>
      <c r="S32" s="191" t="n">
        <v>2.9</v>
      </c>
      <c r="T32" s="192" t="n">
        <v>4.1</v>
      </c>
      <c r="U32" s="191" t="n">
        <v>4.8</v>
      </c>
      <c r="V32" s="191" t="n">
        <v>12.3</v>
      </c>
      <c r="W32" s="191" t="n">
        <v>6.9</v>
      </c>
      <c r="X32" s="191" t="n">
        <v>38.7</v>
      </c>
      <c r="Y32" s="193" t="n">
        <v>39.4</v>
      </c>
      <c r="Z32" s="191" t="n">
        <v>0.6</v>
      </c>
      <c r="AA32" s="191" t="n">
        <v>0.7</v>
      </c>
      <c r="AB32" s="191" t="n">
        <v>6.1</v>
      </c>
      <c r="AC32" s="191" t="n">
        <v>1</v>
      </c>
      <c r="AD32" s="191" t="n">
        <v>17.4</v>
      </c>
      <c r="AE32" s="193" t="n">
        <v>17.4</v>
      </c>
      <c r="AF32" s="194" t="n">
        <v>134</v>
      </c>
      <c r="AG32" s="194" t="n">
        <v>134</v>
      </c>
      <c r="AH32" s="194" t="n">
        <v>420</v>
      </c>
      <c r="AI32" s="194" t="n">
        <v>404</v>
      </c>
      <c r="AJ32" s="194" t="n">
        <v>1027</v>
      </c>
      <c r="AK32" s="194" t="n">
        <v>1027</v>
      </c>
      <c r="AL32" s="196" t="n">
        <v>325</v>
      </c>
      <c r="AM32" s="194" t="n">
        <v>7867</v>
      </c>
      <c r="AN32" s="194" t="n">
        <v>21162</v>
      </c>
      <c r="AO32" s="194" t="n">
        <v>16245</v>
      </c>
      <c r="AP32" s="194" t="n">
        <v>43005</v>
      </c>
      <c r="AQ32" s="197" t="n">
        <v>43007</v>
      </c>
      <c r="AR32" s="191" t="n">
        <v>0.2</v>
      </c>
      <c r="AS32" s="191" t="n">
        <v>6.9</v>
      </c>
      <c r="AT32" s="192" t="n">
        <v>0.4</v>
      </c>
      <c r="AU32" s="193" t="n">
        <v>8.4</v>
      </c>
      <c r="AV32" s="191" t="n">
        <v>2.8</v>
      </c>
      <c r="AW32" s="193" t="n">
        <v>87.7</v>
      </c>
      <c r="AX32" s="191" t="n">
        <v>0.6</v>
      </c>
      <c r="AY32" s="193" t="n">
        <v>17.4</v>
      </c>
      <c r="AZ32" s="194" t="n">
        <v>11</v>
      </c>
      <c r="BA32" s="194" t="n">
        <v>1027</v>
      </c>
      <c r="BB32" s="196" t="n">
        <v>20</v>
      </c>
      <c r="BC32" s="197" t="n">
        <v>43007</v>
      </c>
    </row>
    <row r="33" ht="15.75" customHeight="1" s="201">
      <c r="A33" s="180" t="inlineStr">
        <is>
          <t>Wine</t>
        </is>
      </c>
      <c r="B33" s="191" t="n">
        <v>0.9</v>
      </c>
      <c r="C33" s="191" t="n">
        <v>0.9</v>
      </c>
      <c r="D33" s="191" t="n">
        <v>1.8</v>
      </c>
      <c r="E33" s="191" t="n">
        <v>1.6</v>
      </c>
      <c r="F33" s="191" t="n">
        <v>2.8</v>
      </c>
      <c r="G33" s="191" t="n">
        <v>3.5</v>
      </c>
      <c r="H33" s="192" t="n">
        <v>0.7</v>
      </c>
      <c r="I33" s="191" t="n">
        <v>0.9</v>
      </c>
      <c r="J33" s="191" t="n">
        <v>1.8</v>
      </c>
      <c r="K33" s="191" t="n">
        <v>1.6</v>
      </c>
      <c r="L33" s="191" t="n">
        <v>2.7</v>
      </c>
      <c r="M33" s="193" t="n">
        <v>4.7</v>
      </c>
      <c r="N33" s="191" t="n">
        <v>0.7</v>
      </c>
      <c r="O33" s="191" t="n">
        <v>0.8</v>
      </c>
      <c r="P33" s="191" t="n">
        <v>1.8</v>
      </c>
      <c r="Q33" s="191" t="n">
        <v>1.6</v>
      </c>
      <c r="R33" s="191" t="n">
        <v>2.7</v>
      </c>
      <c r="S33" s="191" t="n">
        <v>4.7</v>
      </c>
      <c r="T33" s="192" t="n">
        <v>8.800000000000001</v>
      </c>
      <c r="U33" s="191" t="n">
        <v>9</v>
      </c>
      <c r="V33" s="191" t="n">
        <v>12.8</v>
      </c>
      <c r="W33" s="191" t="n">
        <v>10.9</v>
      </c>
      <c r="X33" s="191" t="n">
        <v>23.9</v>
      </c>
      <c r="Y33" s="193" t="n">
        <v>32</v>
      </c>
      <c r="Z33" s="191" t="n">
        <v>0.5</v>
      </c>
      <c r="AA33" s="191" t="n">
        <v>2.2</v>
      </c>
      <c r="AB33" s="191" t="n">
        <v>4.6</v>
      </c>
      <c r="AC33" s="191" t="n">
        <v>3.8</v>
      </c>
      <c r="AD33" s="191" t="n">
        <v>10.3</v>
      </c>
      <c r="AE33" s="193" t="n">
        <v>12.4</v>
      </c>
      <c r="AF33" s="194" t="n">
        <v>2</v>
      </c>
      <c r="AG33" s="194" t="n">
        <v>2</v>
      </c>
      <c r="AH33" s="194" t="n">
        <v>79</v>
      </c>
      <c r="AI33" s="194" t="n">
        <v>5</v>
      </c>
      <c r="AJ33" s="194" t="n">
        <v>328</v>
      </c>
      <c r="AK33" s="194" t="n">
        <v>349</v>
      </c>
      <c r="AL33" s="196" t="n">
        <v>7</v>
      </c>
      <c r="AM33" s="194" t="n">
        <v>29</v>
      </c>
      <c r="AN33" s="194" t="n">
        <v>1149</v>
      </c>
      <c r="AO33" s="194" t="n">
        <v>60</v>
      </c>
      <c r="AP33" s="194" t="n">
        <v>1739</v>
      </c>
      <c r="AQ33" s="197" t="n">
        <v>1865</v>
      </c>
      <c r="AR33" s="191" t="n">
        <v>1</v>
      </c>
      <c r="AS33" s="191" t="n">
        <v>4.5</v>
      </c>
      <c r="AT33" s="192" t="n">
        <v>1</v>
      </c>
      <c r="AU33" s="193" t="n">
        <v>4.7</v>
      </c>
      <c r="AV33" s="191" t="n">
        <v>5.6</v>
      </c>
      <c r="AW33" s="193" t="n">
        <v>35.7</v>
      </c>
      <c r="AX33" s="191" t="n">
        <v>0.4</v>
      </c>
      <c r="AY33" s="193" t="n">
        <v>12.4</v>
      </c>
      <c r="AZ33" s="194" t="n">
        <v>2</v>
      </c>
      <c r="BA33" s="194" t="n">
        <v>594</v>
      </c>
      <c r="BB33" s="196" t="n">
        <v>1</v>
      </c>
      <c r="BC33" s="197" t="n">
        <v>36973</v>
      </c>
    </row>
    <row r="34" ht="15.75" customHeight="1" s="201">
      <c r="A34" s="180" t="inlineStr">
        <is>
          <t>Other Fruit</t>
        </is>
      </c>
      <c r="B34" s="191" t="n">
        <v>0.2</v>
      </c>
      <c r="C34" s="191" t="n">
        <v>0.2</v>
      </c>
      <c r="D34" s="191" t="n">
        <v>0.9</v>
      </c>
      <c r="E34" s="191" t="n">
        <v>0.9</v>
      </c>
      <c r="F34" s="191" t="n">
        <v>1.4</v>
      </c>
      <c r="G34" s="191" t="n">
        <v>1.9</v>
      </c>
      <c r="H34" s="192" t="n">
        <v>0.3</v>
      </c>
      <c r="I34" s="191" t="n">
        <v>0.4</v>
      </c>
      <c r="J34" s="191" t="n">
        <v>1.1</v>
      </c>
      <c r="K34" s="191" t="n">
        <v>0.7</v>
      </c>
      <c r="L34" s="191" t="n">
        <v>2.9</v>
      </c>
      <c r="M34" s="193" t="n">
        <v>3</v>
      </c>
      <c r="N34" s="191" t="n">
        <v>0.3</v>
      </c>
      <c r="O34" s="191" t="n">
        <v>0.3</v>
      </c>
      <c r="P34" s="191" t="n">
        <v>1.1</v>
      </c>
      <c r="Q34" s="191" t="n">
        <v>0.7</v>
      </c>
      <c r="R34" s="191" t="n">
        <v>2.9</v>
      </c>
      <c r="S34" s="191" t="n">
        <v>2.9</v>
      </c>
      <c r="T34" s="192" t="n">
        <v>3.2</v>
      </c>
      <c r="U34" s="191" t="n">
        <v>3.6</v>
      </c>
      <c r="V34" s="191" t="n">
        <v>5.8</v>
      </c>
      <c r="W34" s="191" t="n">
        <v>5.4</v>
      </c>
      <c r="X34" s="191" t="n">
        <v>8.1</v>
      </c>
      <c r="Y34" s="193" t="n">
        <v>9</v>
      </c>
      <c r="Z34" s="191" t="n">
        <v>0.8</v>
      </c>
      <c r="AA34" s="191" t="n">
        <v>1</v>
      </c>
      <c r="AB34" s="191" t="n">
        <v>2.4</v>
      </c>
      <c r="AC34" s="191" t="n">
        <v>2.1</v>
      </c>
      <c r="AD34" s="191" t="n">
        <v>4.2</v>
      </c>
      <c r="AE34" s="193" t="n">
        <v>5.2</v>
      </c>
      <c r="AF34" s="194" t="n">
        <v>0</v>
      </c>
      <c r="AG34" s="194" t="n">
        <v>0</v>
      </c>
      <c r="AH34" s="194" t="n">
        <v>154</v>
      </c>
      <c r="AI34" s="194" t="n">
        <v>4</v>
      </c>
      <c r="AJ34" s="194" t="n">
        <v>701</v>
      </c>
      <c r="AK34" s="194" t="n">
        <v>798</v>
      </c>
      <c r="AL34" s="196" t="n">
        <v>0</v>
      </c>
      <c r="AM34" s="194" t="n">
        <v>0</v>
      </c>
      <c r="AN34" s="194" t="n">
        <v>9533</v>
      </c>
      <c r="AO34" s="194" t="n">
        <v>5</v>
      </c>
      <c r="AP34" s="194" t="n">
        <v>19158</v>
      </c>
      <c r="AQ34" s="197" t="n">
        <v>76052</v>
      </c>
      <c r="AR34" s="191" t="n">
        <v>0.2</v>
      </c>
      <c r="AS34" s="191" t="n">
        <v>6.9</v>
      </c>
      <c r="AT34" s="192" t="n">
        <v>0</v>
      </c>
      <c r="AU34" s="193" t="n">
        <v>4.9</v>
      </c>
      <c r="AV34" s="191" t="n">
        <v>3.1</v>
      </c>
      <c r="AW34" s="193" t="n">
        <v>22.1</v>
      </c>
      <c r="AX34" s="191" t="n">
        <v>0.7</v>
      </c>
      <c r="AY34" s="193" t="n">
        <v>20.1</v>
      </c>
      <c r="AZ34" s="194" t="n">
        <v>0</v>
      </c>
      <c r="BA34" s="194" t="n">
        <v>2507</v>
      </c>
      <c r="BB34" s="196" t="n">
        <v>0</v>
      </c>
      <c r="BC34" s="197" t="n">
        <v>142269</v>
      </c>
    </row>
    <row r="35" ht="15.75" customHeight="1" s="201">
      <c r="A35" s="180" t="inlineStr">
        <is>
          <t>Coffee</t>
        </is>
      </c>
      <c r="B35" s="191" t="n">
        <v>8.300000000000001</v>
      </c>
      <c r="C35" s="191" t="n">
        <v>8.4</v>
      </c>
      <c r="D35" s="191" t="n">
        <v>21.6</v>
      </c>
      <c r="E35" s="191" t="n">
        <v>11.9</v>
      </c>
      <c r="F35" s="191" t="n">
        <v>40.3</v>
      </c>
      <c r="G35" s="191" t="n">
        <v>40.7</v>
      </c>
      <c r="H35" s="192" t="n">
        <v>4.4</v>
      </c>
      <c r="I35" s="191" t="n">
        <v>5.2</v>
      </c>
      <c r="J35" s="191" t="n">
        <v>28.5</v>
      </c>
      <c r="K35" s="191" t="n">
        <v>8.199999999999999</v>
      </c>
      <c r="L35" s="191" t="n">
        <v>84.90000000000001</v>
      </c>
      <c r="M35" s="193" t="n">
        <v>85.7</v>
      </c>
      <c r="N35" s="191" t="n">
        <v>4.5</v>
      </c>
      <c r="O35" s="191" t="n">
        <v>5.2</v>
      </c>
      <c r="P35" s="191" t="n">
        <v>27.7</v>
      </c>
      <c r="Q35" s="191" t="n">
        <v>8.199999999999999</v>
      </c>
      <c r="R35" s="191" t="n">
        <v>84</v>
      </c>
      <c r="S35" s="191" t="n">
        <v>84.8</v>
      </c>
      <c r="T35" s="192" t="n">
        <v>52.1</v>
      </c>
      <c r="U35" s="191" t="n">
        <v>52.7</v>
      </c>
      <c r="V35" s="191" t="n">
        <v>83.09999999999999</v>
      </c>
      <c r="W35" s="191" t="n">
        <v>87.2</v>
      </c>
      <c r="X35" s="191" t="n">
        <v>105.7</v>
      </c>
      <c r="Y35" s="193" t="n">
        <v>106.4</v>
      </c>
      <c r="Z35" s="191" t="n">
        <v>40.6</v>
      </c>
      <c r="AA35" s="191" t="n">
        <v>41.1</v>
      </c>
      <c r="AB35" s="191" t="n">
        <v>110.5</v>
      </c>
      <c r="AC35" s="191" t="n">
        <v>49.9</v>
      </c>
      <c r="AD35" s="191" t="n">
        <v>270.3</v>
      </c>
      <c r="AE35" s="193" t="n">
        <v>272.2</v>
      </c>
      <c r="AF35" s="194" t="n">
        <v>10</v>
      </c>
      <c r="AG35" s="194" t="n">
        <v>10</v>
      </c>
      <c r="AH35" s="194" t="n">
        <v>26</v>
      </c>
      <c r="AI35" s="194" t="n">
        <v>33</v>
      </c>
      <c r="AJ35" s="194" t="n">
        <v>38</v>
      </c>
      <c r="AK35" s="194" t="n">
        <v>39</v>
      </c>
      <c r="AL35" s="196" t="n">
        <v>8</v>
      </c>
      <c r="AM35" s="194" t="n">
        <v>8</v>
      </c>
      <c r="AN35" s="194" t="n">
        <v>337</v>
      </c>
      <c r="AO35" s="194" t="n">
        <v>341</v>
      </c>
      <c r="AP35" s="194" t="n">
        <v>813</v>
      </c>
      <c r="AQ35" s="197" t="n">
        <v>819</v>
      </c>
      <c r="AR35" s="191" t="n">
        <v>8.4</v>
      </c>
      <c r="AS35" s="191" t="n">
        <v>230.1</v>
      </c>
      <c r="AT35" s="192" t="n">
        <v>4.7</v>
      </c>
      <c r="AU35" s="193" t="n">
        <v>84.59999999999999</v>
      </c>
      <c r="AV35" s="191" t="n">
        <v>33.4</v>
      </c>
      <c r="AW35" s="193" t="n">
        <v>181.6</v>
      </c>
      <c r="AX35" s="191" t="n">
        <v>15.6</v>
      </c>
      <c r="AY35" s="193" t="n">
        <v>268.8</v>
      </c>
      <c r="AZ35" s="194" t="n">
        <v>10</v>
      </c>
      <c r="BA35" s="194" t="n">
        <v>38</v>
      </c>
      <c r="BB35" s="196" t="n">
        <v>5</v>
      </c>
      <c r="BC35" s="197" t="n">
        <v>811</v>
      </c>
    </row>
    <row r="36" ht="15.75" customHeight="1" s="201">
      <c r="A36" s="180" t="inlineStr">
        <is>
          <t>Dark Chocolate</t>
        </is>
      </c>
      <c r="B36" s="191" t="n">
        <v>21.6</v>
      </c>
      <c r="C36" s="191" t="n">
        <v>34.7</v>
      </c>
      <c r="D36" s="191" t="n">
        <v>69</v>
      </c>
      <c r="E36" s="191" t="n">
        <v>53.8</v>
      </c>
      <c r="F36" s="191" t="n">
        <v>123.3</v>
      </c>
      <c r="G36" s="191" t="n">
        <v>144.7</v>
      </c>
      <c r="H36" s="192" t="n">
        <v>-4</v>
      </c>
      <c r="I36" s="191" t="n">
        <v>-0.1</v>
      </c>
      <c r="J36" s="191" t="n">
        <v>46.7</v>
      </c>
      <c r="K36" s="191" t="n">
        <v>5</v>
      </c>
      <c r="L36" s="191" t="n">
        <v>134.7</v>
      </c>
      <c r="M36" s="193" t="n">
        <v>257.5</v>
      </c>
      <c r="N36" s="191" t="n">
        <v>-3.6</v>
      </c>
      <c r="O36" s="191" t="n">
        <v>-0.1</v>
      </c>
      <c r="P36" s="191" t="n">
        <v>46.3</v>
      </c>
      <c r="Q36" s="191" t="n">
        <v>5</v>
      </c>
      <c r="R36" s="191" t="n">
        <v>132.8</v>
      </c>
      <c r="S36" s="191" t="n">
        <v>252.4</v>
      </c>
      <c r="T36" s="192" t="n">
        <v>6</v>
      </c>
      <c r="U36" s="191" t="n">
        <v>6.4</v>
      </c>
      <c r="V36" s="191" t="n">
        <v>46.3</v>
      </c>
      <c r="W36" s="191" t="n">
        <v>29</v>
      </c>
      <c r="X36" s="191" t="n">
        <v>123</v>
      </c>
      <c r="Y36" s="193" t="n">
        <v>167.1</v>
      </c>
      <c r="Z36" s="191" t="n">
        <v>3.5</v>
      </c>
      <c r="AA36" s="191" t="n">
        <v>4.5</v>
      </c>
      <c r="AB36" s="191" t="n">
        <v>87.09999999999999</v>
      </c>
      <c r="AC36" s="191" t="n">
        <v>67.3</v>
      </c>
      <c r="AD36" s="191" t="n">
        <v>237.5</v>
      </c>
      <c r="AE36" s="193" t="n">
        <v>238.1</v>
      </c>
      <c r="AF36" s="194" t="n">
        <v>7</v>
      </c>
      <c r="AG36" s="194" t="n">
        <v>7</v>
      </c>
      <c r="AH36" s="194" t="n">
        <v>541</v>
      </c>
      <c r="AI36" s="194" t="n">
        <v>25</v>
      </c>
      <c r="AJ36" s="194" t="n">
        <v>68</v>
      </c>
      <c r="AK36" s="194" t="n">
        <v>265</v>
      </c>
      <c r="AL36" s="196" t="n">
        <v>9</v>
      </c>
      <c r="AM36" s="194" t="n">
        <v>73</v>
      </c>
      <c r="AN36" s="194" t="n">
        <v>2879</v>
      </c>
      <c r="AO36" s="194" t="n">
        <v>220</v>
      </c>
      <c r="AP36" s="194" t="n">
        <v>1623</v>
      </c>
      <c r="AQ36" s="197" t="n">
        <v>5914</v>
      </c>
      <c r="AR36" s="191" t="n">
        <v>20.4</v>
      </c>
      <c r="AS36" s="191" t="n">
        <v>159</v>
      </c>
      <c r="AT36" s="192" t="n">
        <v>-3.9</v>
      </c>
      <c r="AU36" s="193" t="n">
        <v>257.9</v>
      </c>
      <c r="AV36" s="191" t="n">
        <v>6</v>
      </c>
      <c r="AW36" s="193" t="n">
        <v>167.5</v>
      </c>
      <c r="AX36" s="191" t="n">
        <v>3.4</v>
      </c>
      <c r="AY36" s="193" t="n">
        <v>237.7</v>
      </c>
      <c r="AZ36" s="194" t="n">
        <v>7</v>
      </c>
      <c r="BA36" s="194" t="n">
        <v>35511</v>
      </c>
      <c r="BB36" s="196" t="n">
        <v>5</v>
      </c>
      <c r="BC36" s="197" t="n">
        <v>164086</v>
      </c>
    </row>
    <row r="37" ht="15.75" customHeight="1" s="201">
      <c r="A37" s="180" t="inlineStr">
        <is>
          <t>Bovine Meat (beef herd)</t>
        </is>
      </c>
      <c r="B37" s="191" t="n">
        <v>70.40000000000001</v>
      </c>
      <c r="C37" s="191" t="n">
        <v>82.8</v>
      </c>
      <c r="D37" s="191" t="n">
        <v>326.2</v>
      </c>
      <c r="E37" s="191" t="n">
        <v>170.4</v>
      </c>
      <c r="F37" s="191" t="n">
        <v>735.1</v>
      </c>
      <c r="G37" s="191" t="n">
        <v>910.1</v>
      </c>
      <c r="H37" s="192" t="n">
        <v>37.6</v>
      </c>
      <c r="I37" s="191" t="n">
        <v>40.4</v>
      </c>
      <c r="J37" s="191" t="n">
        <v>99.5</v>
      </c>
      <c r="K37" s="191" t="n">
        <v>60.4</v>
      </c>
      <c r="L37" s="191" t="n">
        <v>209.9</v>
      </c>
      <c r="M37" s="193" t="n">
        <v>269.2</v>
      </c>
      <c r="N37" s="191" t="n">
        <v>30.8</v>
      </c>
      <c r="O37" s="191" t="n">
        <v>33</v>
      </c>
      <c r="P37" s="191" t="n">
        <v>85.2</v>
      </c>
      <c r="Q37" s="191" t="n">
        <v>51.7</v>
      </c>
      <c r="R37" s="191" t="n">
        <v>180</v>
      </c>
      <c r="S37" s="191" t="n">
        <v>242</v>
      </c>
      <c r="T37" s="192" t="n">
        <v>59.8</v>
      </c>
      <c r="U37" s="191" t="n">
        <v>76.09999999999999</v>
      </c>
      <c r="V37" s="191" t="n">
        <v>318.8</v>
      </c>
      <c r="W37" s="191" t="n">
        <v>270.9</v>
      </c>
      <c r="X37" s="191" t="n">
        <v>656.9</v>
      </c>
      <c r="Y37" s="193" t="n">
        <v>683.5</v>
      </c>
      <c r="Z37" s="191" t="n">
        <v>101.8</v>
      </c>
      <c r="AA37" s="191" t="n">
        <v>113.4</v>
      </c>
      <c r="AB37" s="191" t="n">
        <v>301.4</v>
      </c>
      <c r="AC37" s="191" t="n">
        <v>320.7</v>
      </c>
      <c r="AD37" s="191" t="n">
        <v>412.8</v>
      </c>
      <c r="AE37" s="193" t="n">
        <v>657.9</v>
      </c>
      <c r="AF37" s="194" t="n">
        <v>216</v>
      </c>
      <c r="AG37" s="194" t="n">
        <v>269</v>
      </c>
      <c r="AH37" s="194" t="n">
        <v>1451</v>
      </c>
      <c r="AI37" s="194" t="n">
        <v>740</v>
      </c>
      <c r="AJ37" s="194" t="n">
        <v>2586</v>
      </c>
      <c r="AK37" s="194" t="n">
        <v>5241</v>
      </c>
      <c r="AL37" s="196" t="n">
        <v>205</v>
      </c>
      <c r="AM37" s="194" t="n">
        <v>242</v>
      </c>
      <c r="AN37" s="194" t="n">
        <v>34733</v>
      </c>
      <c r="AO37" s="194" t="n">
        <v>441</v>
      </c>
      <c r="AP37" s="194" t="n">
        <v>89872</v>
      </c>
      <c r="AQ37" s="197" t="n">
        <v>190796</v>
      </c>
      <c r="AR37" s="191" t="n">
        <v>49</v>
      </c>
      <c r="AS37" s="191" t="n">
        <v>1971.9</v>
      </c>
      <c r="AT37" s="192" t="n">
        <v>35.1</v>
      </c>
      <c r="AU37" s="193" t="n">
        <v>432</v>
      </c>
      <c r="AV37" s="191" t="n">
        <v>59.8</v>
      </c>
      <c r="AW37" s="193" t="n">
        <v>807.6</v>
      </c>
      <c r="AX37" s="191" t="n">
        <v>80.8</v>
      </c>
      <c r="AY37" s="193" t="n">
        <v>669.5</v>
      </c>
      <c r="AZ37" s="194" t="n">
        <v>101</v>
      </c>
      <c r="BA37" s="194" t="n">
        <v>26951</v>
      </c>
      <c r="BB37" s="196" t="n">
        <v>170</v>
      </c>
      <c r="BC37" s="197" t="n">
        <v>1569706</v>
      </c>
    </row>
    <row r="38" ht="15.75" customHeight="1" s="201">
      <c r="A38" s="180" t="inlineStr">
        <is>
          <t>Bovine Meat (dairy herd)</t>
        </is>
      </c>
      <c r="B38" s="191" t="n">
        <v>12.3</v>
      </c>
      <c r="C38" s="191" t="n">
        <v>14.4</v>
      </c>
      <c r="D38" s="191" t="n">
        <v>43.2</v>
      </c>
      <c r="E38" s="191" t="n">
        <v>25.9</v>
      </c>
      <c r="F38" s="191" t="n">
        <v>64.09999999999999</v>
      </c>
      <c r="G38" s="191" t="n">
        <v>106.4</v>
      </c>
      <c r="H38" s="192" t="n">
        <v>14.9</v>
      </c>
      <c r="I38" s="191" t="n">
        <v>17.9</v>
      </c>
      <c r="J38" s="191" t="n">
        <v>33.3</v>
      </c>
      <c r="K38" s="191" t="n">
        <v>34.1</v>
      </c>
      <c r="L38" s="191" t="n">
        <v>50.9</v>
      </c>
      <c r="M38" s="193" t="n">
        <v>56.7</v>
      </c>
      <c r="N38" s="191" t="n">
        <v>12.8</v>
      </c>
      <c r="O38" s="191" t="n">
        <v>15.8</v>
      </c>
      <c r="P38" s="191" t="n">
        <v>28.8</v>
      </c>
      <c r="Q38" s="191" t="n">
        <v>28.9</v>
      </c>
      <c r="R38" s="191" t="n">
        <v>45</v>
      </c>
      <c r="S38" s="191" t="n">
        <v>49.9</v>
      </c>
      <c r="T38" s="192" t="n">
        <v>165.2</v>
      </c>
      <c r="U38" s="191" t="n">
        <v>219</v>
      </c>
      <c r="V38" s="191" t="n">
        <v>343.6</v>
      </c>
      <c r="W38" s="191" t="n">
        <v>289.1</v>
      </c>
      <c r="X38" s="191" t="n">
        <v>497.2</v>
      </c>
      <c r="Y38" s="193" t="n">
        <v>1099.2</v>
      </c>
      <c r="Z38" s="191" t="n">
        <v>79.8</v>
      </c>
      <c r="AA38" s="191" t="n">
        <v>81.40000000000001</v>
      </c>
      <c r="AB38" s="191" t="n">
        <v>365.3</v>
      </c>
      <c r="AC38" s="191" t="n">
        <v>140.9</v>
      </c>
      <c r="AD38" s="191" t="n">
        <v>1515.7</v>
      </c>
      <c r="AE38" s="193" t="n">
        <v>2509.4</v>
      </c>
      <c r="AF38" s="194" t="n">
        <v>188</v>
      </c>
      <c r="AG38" s="194" t="n">
        <v>192</v>
      </c>
      <c r="AH38" s="194" t="n">
        <v>2714</v>
      </c>
      <c r="AI38" s="194" t="n">
        <v>2614</v>
      </c>
      <c r="AJ38" s="194" t="n">
        <v>5799</v>
      </c>
      <c r="AK38" s="194" t="n">
        <v>8744</v>
      </c>
      <c r="AL38" s="196" t="n">
        <v>42175</v>
      </c>
      <c r="AM38" s="194" t="n">
        <v>46309</v>
      </c>
      <c r="AN38" s="194" t="n">
        <v>119805</v>
      </c>
      <c r="AO38" s="194" t="n">
        <v>122177</v>
      </c>
      <c r="AP38" s="194" t="n">
        <v>181963</v>
      </c>
      <c r="AQ38" s="197" t="n">
        <v>214221</v>
      </c>
      <c r="AR38" s="191" t="n">
        <v>10.7</v>
      </c>
      <c r="AS38" s="191" t="n">
        <v>353.4</v>
      </c>
      <c r="AT38" s="192" t="n">
        <v>9.6</v>
      </c>
      <c r="AU38" s="193" t="n">
        <v>73.90000000000001</v>
      </c>
      <c r="AV38" s="191" t="n">
        <v>136.3</v>
      </c>
      <c r="AW38" s="193" t="n">
        <v>1155.2</v>
      </c>
      <c r="AX38" s="191" t="n">
        <v>83.2</v>
      </c>
      <c r="AY38" s="193" t="n">
        <v>2637.3</v>
      </c>
      <c r="AZ38" s="194" t="n">
        <v>187</v>
      </c>
      <c r="BA38" s="194" t="n">
        <v>9329</v>
      </c>
      <c r="BB38" s="196" t="n">
        <v>267</v>
      </c>
      <c r="BC38" s="197" t="n">
        <v>233168</v>
      </c>
    </row>
    <row r="39" ht="15.75" customHeight="1" s="201">
      <c r="A39" s="180" t="inlineStr">
        <is>
          <t>Lamb &amp; Mutton</t>
        </is>
      </c>
      <c r="B39" s="191" t="n">
        <v>47.9</v>
      </c>
      <c r="C39" s="191" t="n">
        <v>60.1</v>
      </c>
      <c r="D39" s="191" t="n">
        <v>369.8</v>
      </c>
      <c r="E39" s="191" t="n">
        <v>127.4</v>
      </c>
      <c r="F39" s="191" t="n">
        <v>442.3</v>
      </c>
      <c r="G39" s="191" t="n">
        <v>724.7</v>
      </c>
      <c r="H39" s="192" t="n">
        <v>23.7</v>
      </c>
      <c r="I39" s="191" t="n">
        <v>24.5</v>
      </c>
      <c r="J39" s="191" t="n">
        <v>39.7</v>
      </c>
      <c r="K39" s="191" t="n">
        <v>40.6</v>
      </c>
      <c r="L39" s="191" t="n">
        <v>54.4</v>
      </c>
      <c r="M39" s="193" t="n">
        <v>60.2</v>
      </c>
      <c r="N39" s="191" t="n">
        <v>20.5</v>
      </c>
      <c r="O39" s="191" t="n">
        <v>21.3</v>
      </c>
      <c r="P39" s="191" t="n">
        <v>32.7</v>
      </c>
      <c r="Q39" s="191" t="n">
        <v>33</v>
      </c>
      <c r="R39" s="191" t="n">
        <v>43.2</v>
      </c>
      <c r="S39" s="191" t="n">
        <v>50.5</v>
      </c>
      <c r="T39" s="192" t="n">
        <v>79.2</v>
      </c>
      <c r="U39" s="191" t="n">
        <v>81.8</v>
      </c>
      <c r="V39" s="191" t="n">
        <v>139</v>
      </c>
      <c r="W39" s="191" t="n">
        <v>135.2</v>
      </c>
      <c r="X39" s="191" t="n">
        <v>149.8</v>
      </c>
      <c r="Y39" s="193" t="n">
        <v>273.6</v>
      </c>
      <c r="Z39" s="191" t="n">
        <v>22</v>
      </c>
      <c r="AA39" s="191" t="n">
        <v>24.6</v>
      </c>
      <c r="AB39" s="191" t="n">
        <v>97.09999999999999</v>
      </c>
      <c r="AC39" s="191" t="n">
        <v>101.9</v>
      </c>
      <c r="AD39" s="191" t="n">
        <v>128.7</v>
      </c>
      <c r="AE39" s="193" t="n">
        <v>133.4</v>
      </c>
      <c r="AF39" s="194" t="n">
        <v>88</v>
      </c>
      <c r="AG39" s="194" t="n">
        <v>98</v>
      </c>
      <c r="AH39" s="194" t="n">
        <v>1803</v>
      </c>
      <c r="AI39" s="194" t="n">
        <v>461</v>
      </c>
      <c r="AJ39" s="194" t="n">
        <v>7133</v>
      </c>
      <c r="AK39" s="194" t="n">
        <v>7826</v>
      </c>
      <c r="AL39" s="196" t="n">
        <v>259</v>
      </c>
      <c r="AM39" s="194" t="n">
        <v>259</v>
      </c>
      <c r="AN39" s="194" t="n">
        <v>141925</v>
      </c>
      <c r="AO39" s="194" t="n">
        <v>259</v>
      </c>
      <c r="AP39" s="194" t="n">
        <v>540906</v>
      </c>
      <c r="AQ39" s="197" t="n">
        <v>595278</v>
      </c>
      <c r="AR39" s="191" t="n">
        <v>19.3</v>
      </c>
      <c r="AS39" s="191" t="n">
        <v>10310.1</v>
      </c>
      <c r="AT39" s="192" t="n">
        <v>21.8</v>
      </c>
      <c r="AU39" s="193" t="n">
        <v>72.09999999999999</v>
      </c>
      <c r="AV39" s="191" t="n">
        <v>81.40000000000001</v>
      </c>
      <c r="AW39" s="193" t="n">
        <v>478.5</v>
      </c>
      <c r="AX39" s="191" t="n">
        <v>23.5</v>
      </c>
      <c r="AY39" s="193" t="n">
        <v>205.5</v>
      </c>
      <c r="AZ39" s="194" t="n">
        <v>86</v>
      </c>
      <c r="BA39" s="194" t="n">
        <v>9338</v>
      </c>
      <c r="BB39" s="196" t="n">
        <v>995</v>
      </c>
      <c r="BC39" s="197" t="n">
        <v>689108</v>
      </c>
    </row>
    <row r="40" ht="15.75" customHeight="1" s="201">
      <c r="A40" s="180" t="inlineStr">
        <is>
          <t>Pig Meat</t>
        </is>
      </c>
      <c r="B40" s="191" t="n">
        <v>7.4</v>
      </c>
      <c r="C40" s="191" t="n">
        <v>7.8</v>
      </c>
      <c r="D40" s="191" t="n">
        <v>17.4</v>
      </c>
      <c r="E40" s="191" t="n">
        <v>13.4</v>
      </c>
      <c r="F40" s="191" t="n">
        <v>31.1</v>
      </c>
      <c r="G40" s="191" t="n">
        <v>34.1</v>
      </c>
      <c r="H40" s="192" t="n">
        <v>6.9</v>
      </c>
      <c r="I40" s="191" t="n">
        <v>7.4</v>
      </c>
      <c r="J40" s="191" t="n">
        <v>12.3</v>
      </c>
      <c r="K40" s="191" t="n">
        <v>10.6</v>
      </c>
      <c r="L40" s="191" t="n">
        <v>22.3</v>
      </c>
      <c r="M40" s="193" t="n">
        <v>23.8</v>
      </c>
      <c r="N40" s="191" t="n">
        <v>6.6</v>
      </c>
      <c r="O40" s="191" t="n">
        <v>7</v>
      </c>
      <c r="P40" s="191" t="n">
        <v>11.5</v>
      </c>
      <c r="Q40" s="191" t="n">
        <v>9.800000000000001</v>
      </c>
      <c r="R40" s="191" t="n">
        <v>21.4</v>
      </c>
      <c r="S40" s="191" t="n">
        <v>23</v>
      </c>
      <c r="T40" s="192" t="n">
        <v>63.2</v>
      </c>
      <c r="U40" s="191" t="n">
        <v>69</v>
      </c>
      <c r="V40" s="191" t="n">
        <v>142.7</v>
      </c>
      <c r="W40" s="191" t="n">
        <v>114.8</v>
      </c>
      <c r="X40" s="191" t="n">
        <v>434.1</v>
      </c>
      <c r="Y40" s="193" t="n">
        <v>469</v>
      </c>
      <c r="Z40" s="191" t="n">
        <v>29.5</v>
      </c>
      <c r="AA40" s="191" t="n">
        <v>31.6</v>
      </c>
      <c r="AB40" s="191" t="n">
        <v>76.40000000000001</v>
      </c>
      <c r="AC40" s="191" t="n">
        <v>53.5</v>
      </c>
      <c r="AD40" s="191" t="n">
        <v>219.7</v>
      </c>
      <c r="AE40" s="193" t="n">
        <v>237.6</v>
      </c>
      <c r="AF40" s="194" t="n">
        <v>83</v>
      </c>
      <c r="AG40" s="194" t="n">
        <v>88</v>
      </c>
      <c r="AH40" s="194" t="n">
        <v>1796</v>
      </c>
      <c r="AI40" s="194" t="n">
        <v>1810</v>
      </c>
      <c r="AJ40" s="194" t="n">
        <v>3315</v>
      </c>
      <c r="AK40" s="194" t="n">
        <v>3556</v>
      </c>
      <c r="AL40" s="196" t="n">
        <v>51</v>
      </c>
      <c r="AM40" s="194" t="n">
        <v>54</v>
      </c>
      <c r="AN40" s="194" t="n">
        <v>66867</v>
      </c>
      <c r="AO40" s="194" t="n">
        <v>54243</v>
      </c>
      <c r="AP40" s="194" t="n">
        <v>134395</v>
      </c>
      <c r="AQ40" s="197" t="n">
        <v>152330</v>
      </c>
      <c r="AR40" s="191" t="n">
        <v>7.4</v>
      </c>
      <c r="AS40" s="191" t="n">
        <v>286.7</v>
      </c>
      <c r="AT40" s="192" t="n">
        <v>6.6</v>
      </c>
      <c r="AU40" s="193" t="n">
        <v>27.6</v>
      </c>
      <c r="AV40" s="191" t="n">
        <v>57.9</v>
      </c>
      <c r="AW40" s="193" t="n">
        <v>467.3</v>
      </c>
      <c r="AX40" s="191" t="n">
        <v>29.4</v>
      </c>
      <c r="AY40" s="193" t="n">
        <v>236.7</v>
      </c>
      <c r="AZ40" s="194" t="n">
        <v>67</v>
      </c>
      <c r="BA40" s="194" t="n">
        <v>6318</v>
      </c>
      <c r="BB40" s="196" t="n">
        <v>52</v>
      </c>
      <c r="BC40" s="197" t="n">
        <v>236071</v>
      </c>
    </row>
    <row r="41" ht="15.75" customHeight="1" s="201">
      <c r="A41" s="180" t="inlineStr">
        <is>
          <t>Poultry Meat</t>
        </is>
      </c>
      <c r="B41" s="191" t="n">
        <v>6.5</v>
      </c>
      <c r="C41" s="191" t="n">
        <v>6.7</v>
      </c>
      <c r="D41" s="191" t="n">
        <v>12.2</v>
      </c>
      <c r="E41" s="191" t="n">
        <v>11</v>
      </c>
      <c r="F41" s="191" t="n">
        <v>16</v>
      </c>
      <c r="G41" s="191" t="n">
        <v>20.4</v>
      </c>
      <c r="H41" s="192" t="n">
        <v>4</v>
      </c>
      <c r="I41" s="191" t="n">
        <v>4.2</v>
      </c>
      <c r="J41" s="191" t="n">
        <v>9.9</v>
      </c>
      <c r="K41" s="191" t="n">
        <v>7.5</v>
      </c>
      <c r="L41" s="191" t="n">
        <v>20.1</v>
      </c>
      <c r="M41" s="193" t="n">
        <v>20.8</v>
      </c>
      <c r="N41" s="191" t="n">
        <v>3.8</v>
      </c>
      <c r="O41" s="191" t="n">
        <v>4.1</v>
      </c>
      <c r="P41" s="191" t="n">
        <v>9.800000000000001</v>
      </c>
      <c r="Q41" s="191" t="n">
        <v>7.8</v>
      </c>
      <c r="R41" s="191" t="n">
        <v>19.9</v>
      </c>
      <c r="S41" s="191" t="n">
        <v>20.7</v>
      </c>
      <c r="T41" s="192" t="n">
        <v>39.9</v>
      </c>
      <c r="U41" s="191" t="n">
        <v>43.1</v>
      </c>
      <c r="V41" s="191" t="n">
        <v>102.4</v>
      </c>
      <c r="W41" s="191" t="n">
        <v>64.7</v>
      </c>
      <c r="X41" s="191" t="n">
        <v>192.8</v>
      </c>
      <c r="Y41" s="193" t="n">
        <v>197.1</v>
      </c>
      <c r="Z41" s="191" t="n">
        <v>22.7</v>
      </c>
      <c r="AA41" s="191" t="n">
        <v>25</v>
      </c>
      <c r="AB41" s="191" t="n">
        <v>48.7</v>
      </c>
      <c r="AC41" s="191" t="n">
        <v>34.5</v>
      </c>
      <c r="AD41" s="191" t="n">
        <v>101.5</v>
      </c>
      <c r="AE41" s="193" t="n">
        <v>101.5</v>
      </c>
      <c r="AF41" s="194" t="n">
        <v>19</v>
      </c>
      <c r="AG41" s="194" t="n">
        <v>19</v>
      </c>
      <c r="AH41" s="194" t="n">
        <v>660</v>
      </c>
      <c r="AI41" s="194" t="n">
        <v>370</v>
      </c>
      <c r="AJ41" s="194" t="n">
        <v>1662</v>
      </c>
      <c r="AK41" s="194" t="n">
        <v>1694</v>
      </c>
      <c r="AL41" s="196" t="n">
        <v>21</v>
      </c>
      <c r="AM41" s="194" t="n">
        <v>21</v>
      </c>
      <c r="AN41" s="194" t="n">
        <v>14178</v>
      </c>
      <c r="AO41" s="194" t="n">
        <v>334</v>
      </c>
      <c r="AP41" s="194" t="n">
        <v>49727</v>
      </c>
      <c r="AQ41" s="197" t="n">
        <v>66045</v>
      </c>
      <c r="AR41" s="191" t="n">
        <v>6.4</v>
      </c>
      <c r="AS41" s="191" t="n">
        <v>61.8</v>
      </c>
      <c r="AT41" s="192" t="n">
        <v>4</v>
      </c>
      <c r="AU41" s="193" t="n">
        <v>47.7</v>
      </c>
      <c r="AV41" s="191" t="n">
        <v>30</v>
      </c>
      <c r="AW41" s="193" t="n">
        <v>591.8</v>
      </c>
      <c r="AX41" s="191" t="n">
        <v>22.9</v>
      </c>
      <c r="AY41" s="193" t="n">
        <v>305.7</v>
      </c>
      <c r="AZ41" s="194" t="n">
        <v>19</v>
      </c>
      <c r="BA41" s="194" t="n">
        <v>4710</v>
      </c>
      <c r="BB41" s="196" t="n">
        <v>21</v>
      </c>
      <c r="BC41" s="197" t="n">
        <v>214879</v>
      </c>
    </row>
    <row r="42" ht="15.75" customHeight="1" s="201">
      <c r="A42" s="180" t="inlineStr">
        <is>
          <t>Milk</t>
        </is>
      </c>
      <c r="B42" s="191" t="n">
        <v>0.8</v>
      </c>
      <c r="C42" s="191" t="n">
        <v>1.1</v>
      </c>
      <c r="D42" s="191" t="n">
        <v>9</v>
      </c>
      <c r="E42" s="191" t="n">
        <v>2.1</v>
      </c>
      <c r="F42" s="191" t="n">
        <v>9.300000000000001</v>
      </c>
      <c r="G42" s="191" t="n">
        <v>32.2</v>
      </c>
      <c r="H42" s="192" t="n">
        <v>1.5</v>
      </c>
      <c r="I42" s="191" t="n">
        <v>1.7</v>
      </c>
      <c r="J42" s="191" t="n">
        <v>3.2</v>
      </c>
      <c r="K42" s="191" t="n">
        <v>2.7</v>
      </c>
      <c r="L42" s="191" t="n">
        <v>4.8</v>
      </c>
      <c r="M42" s="193" t="n">
        <v>7</v>
      </c>
      <c r="N42" s="191" t="n">
        <v>1.3</v>
      </c>
      <c r="O42" s="191" t="n">
        <v>1.5</v>
      </c>
      <c r="P42" s="191" t="n">
        <v>2.8</v>
      </c>
      <c r="Q42" s="191" t="n">
        <v>2.3</v>
      </c>
      <c r="R42" s="191" t="n">
        <v>4.5</v>
      </c>
      <c r="S42" s="191" t="n">
        <v>7.1</v>
      </c>
      <c r="T42" s="192" t="n">
        <v>6.6</v>
      </c>
      <c r="U42" s="191" t="n">
        <v>8</v>
      </c>
      <c r="V42" s="191" t="n">
        <v>20</v>
      </c>
      <c r="W42" s="191" t="n">
        <v>20.6</v>
      </c>
      <c r="X42" s="191" t="n">
        <v>31.8</v>
      </c>
      <c r="Y42" s="193" t="n">
        <v>35.2</v>
      </c>
      <c r="Z42" s="191" t="n">
        <v>2.9</v>
      </c>
      <c r="AA42" s="191" t="n">
        <v>3</v>
      </c>
      <c r="AB42" s="191" t="n">
        <v>10.7</v>
      </c>
      <c r="AC42" s="191" t="n">
        <v>10.7</v>
      </c>
      <c r="AD42" s="191" t="n">
        <v>18.6</v>
      </c>
      <c r="AE42" s="193" t="n">
        <v>21.2</v>
      </c>
      <c r="AF42" s="194" t="n">
        <v>19</v>
      </c>
      <c r="AG42" s="194" t="n">
        <v>19</v>
      </c>
      <c r="AH42" s="194" t="n">
        <v>628</v>
      </c>
      <c r="AI42" s="194" t="n">
        <v>197</v>
      </c>
      <c r="AJ42" s="194" t="n">
        <v>2593</v>
      </c>
      <c r="AK42" s="194" t="n">
        <v>2664</v>
      </c>
      <c r="AL42" s="196" t="n">
        <v>201</v>
      </c>
      <c r="AM42" s="194" t="n">
        <v>208</v>
      </c>
      <c r="AN42" s="194" t="n">
        <v>19786</v>
      </c>
      <c r="AO42" s="194" t="n">
        <v>9776</v>
      </c>
      <c r="AP42" s="194" t="n">
        <v>79193</v>
      </c>
      <c r="AQ42" s="197" t="n">
        <v>81421</v>
      </c>
      <c r="AR42" s="191" t="n">
        <v>0.7</v>
      </c>
      <c r="AS42" s="191" t="n">
        <v>242.1</v>
      </c>
      <c r="AT42" s="192" t="n">
        <v>1.3</v>
      </c>
      <c r="AU42" s="193" t="n">
        <v>14.6</v>
      </c>
      <c r="AV42" s="191" t="n">
        <v>5.6</v>
      </c>
      <c r="AW42" s="193" t="n">
        <v>33.5</v>
      </c>
      <c r="AX42" s="191" t="n">
        <v>2.2</v>
      </c>
      <c r="AY42" s="193" t="n">
        <v>27.9</v>
      </c>
      <c r="AZ42" s="194" t="n">
        <v>8</v>
      </c>
      <c r="BA42" s="194" t="n">
        <v>4234</v>
      </c>
      <c r="BB42" s="196" t="n">
        <v>16</v>
      </c>
      <c r="BC42" s="197" t="n">
        <v>90838</v>
      </c>
    </row>
    <row r="43" ht="15.75" customHeight="1" s="201">
      <c r="A43" s="180" t="inlineStr">
        <is>
          <t>Cheese</t>
        </is>
      </c>
      <c r="B43" s="191" t="n">
        <v>7.9</v>
      </c>
      <c r="C43" s="191" t="n">
        <v>9.6</v>
      </c>
      <c r="D43" s="191" t="n">
        <v>87.8</v>
      </c>
      <c r="E43" s="191" t="n">
        <v>20.2</v>
      </c>
      <c r="F43" s="191" t="n">
        <v>239.2</v>
      </c>
      <c r="G43" s="191" t="n">
        <v>323.5</v>
      </c>
      <c r="H43" s="192" t="n">
        <v>10.2</v>
      </c>
      <c r="I43" s="191" t="n">
        <v>10.9</v>
      </c>
      <c r="J43" s="191" t="n">
        <v>23.9</v>
      </c>
      <c r="K43" s="191" t="n">
        <v>18.6</v>
      </c>
      <c r="L43" s="191" t="n">
        <v>39.3</v>
      </c>
      <c r="M43" s="193" t="n">
        <v>58.8</v>
      </c>
      <c r="N43" s="191" t="n">
        <v>8.5</v>
      </c>
      <c r="O43" s="191" t="n">
        <v>9.4</v>
      </c>
      <c r="P43" s="191" t="n">
        <v>21.4</v>
      </c>
      <c r="Q43" s="191" t="n">
        <v>16.2</v>
      </c>
      <c r="R43" s="191" t="n">
        <v>36.6</v>
      </c>
      <c r="S43" s="191" t="n">
        <v>57.4</v>
      </c>
      <c r="T43" s="192" t="n">
        <v>45.6</v>
      </c>
      <c r="U43" s="191" t="n">
        <v>57.6</v>
      </c>
      <c r="V43" s="191" t="n">
        <v>165.5</v>
      </c>
      <c r="W43" s="191" t="n">
        <v>173</v>
      </c>
      <c r="X43" s="191" t="n">
        <v>267.2</v>
      </c>
      <c r="Y43" s="193" t="n">
        <v>304.8</v>
      </c>
      <c r="Z43" s="191" t="n">
        <v>26.3</v>
      </c>
      <c r="AA43" s="191" t="n">
        <v>29.5</v>
      </c>
      <c r="AB43" s="191" t="n">
        <v>98.40000000000001</v>
      </c>
      <c r="AC43" s="191" t="n">
        <v>99.5</v>
      </c>
      <c r="AD43" s="191" t="n">
        <v>167.9</v>
      </c>
      <c r="AE43" s="193" t="n">
        <v>192.3</v>
      </c>
      <c r="AF43" s="194" t="n">
        <v>158</v>
      </c>
      <c r="AG43" s="194" t="n">
        <v>178</v>
      </c>
      <c r="AH43" s="194" t="n">
        <v>5605</v>
      </c>
      <c r="AI43" s="194" t="n">
        <v>1559</v>
      </c>
      <c r="AJ43" s="194" t="n">
        <v>23449</v>
      </c>
      <c r="AK43" s="194" t="n">
        <v>25756</v>
      </c>
      <c r="AL43" s="196" t="n">
        <v>1738</v>
      </c>
      <c r="AM43" s="194" t="n">
        <v>1930</v>
      </c>
      <c r="AN43" s="194" t="n">
        <v>180851</v>
      </c>
      <c r="AO43" s="194" t="n">
        <v>80463</v>
      </c>
      <c r="AP43" s="194" t="n">
        <v>718942</v>
      </c>
      <c r="AQ43" s="197" t="n">
        <v>790842</v>
      </c>
      <c r="AR43" s="191" t="n">
        <v>6.2</v>
      </c>
      <c r="AS43" s="191" t="n">
        <v>2111.5</v>
      </c>
      <c r="AT43" s="192" t="n">
        <v>9</v>
      </c>
      <c r="AU43" s="193" t="n">
        <v>150.5</v>
      </c>
      <c r="AV43" s="191" t="n">
        <v>37.5</v>
      </c>
      <c r="AW43" s="193" t="n">
        <v>290.4</v>
      </c>
      <c r="AX43" s="191" t="n">
        <v>20.4</v>
      </c>
      <c r="AY43" s="193" t="n">
        <v>248.5</v>
      </c>
      <c r="AZ43" s="194" t="n">
        <v>60</v>
      </c>
      <c r="BA43" s="194" t="n">
        <v>45167</v>
      </c>
      <c r="BB43" s="196" t="n">
        <v>137</v>
      </c>
      <c r="BC43" s="197" t="n">
        <v>969210</v>
      </c>
    </row>
    <row r="44" ht="15.75" customHeight="1" s="201">
      <c r="A44" s="180" t="inlineStr">
        <is>
          <t>Eggs</t>
        </is>
      </c>
      <c r="B44" s="191" t="n">
        <v>4.3</v>
      </c>
      <c r="C44" s="191" t="n">
        <v>4.4</v>
      </c>
      <c r="D44" s="191" t="n">
        <v>6.3</v>
      </c>
      <c r="E44" s="191" t="n">
        <v>5.7</v>
      </c>
      <c r="F44" s="191" t="n">
        <v>8.800000000000001</v>
      </c>
      <c r="G44" s="191" t="n">
        <v>8.800000000000001</v>
      </c>
      <c r="H44" s="192" t="n">
        <v>2.9</v>
      </c>
      <c r="I44" s="191" t="n">
        <v>2.9</v>
      </c>
      <c r="J44" s="191" t="n">
        <v>4.7</v>
      </c>
      <c r="K44" s="191" t="n">
        <v>4.2</v>
      </c>
      <c r="L44" s="191" t="n">
        <v>8.4</v>
      </c>
      <c r="M44" s="193" t="n">
        <v>8.5</v>
      </c>
      <c r="N44" s="191" t="n">
        <v>2.8</v>
      </c>
      <c r="O44" s="191" t="n">
        <v>2.9</v>
      </c>
      <c r="P44" s="191" t="n">
        <v>4.6</v>
      </c>
      <c r="Q44" s="191" t="n">
        <v>4.2</v>
      </c>
      <c r="R44" s="191" t="n">
        <v>8.300000000000001</v>
      </c>
      <c r="S44" s="191" t="n">
        <v>8.5</v>
      </c>
      <c r="T44" s="192" t="n">
        <v>20.3</v>
      </c>
      <c r="U44" s="191" t="n">
        <v>21.4</v>
      </c>
      <c r="V44" s="191" t="n">
        <v>53.7</v>
      </c>
      <c r="W44" s="191" t="n">
        <v>54.2</v>
      </c>
      <c r="X44" s="191" t="n">
        <v>78.09999999999999</v>
      </c>
      <c r="Y44" s="193" t="n">
        <v>78.3</v>
      </c>
      <c r="Z44" s="191" t="n">
        <v>12</v>
      </c>
      <c r="AA44" s="191" t="n">
        <v>14.3</v>
      </c>
      <c r="AB44" s="191" t="n">
        <v>21.8</v>
      </c>
      <c r="AC44" s="191" t="n">
        <v>21.3</v>
      </c>
      <c r="AD44" s="191" t="n">
        <v>31.6</v>
      </c>
      <c r="AE44" s="193" t="n">
        <v>33.6</v>
      </c>
      <c r="AF44" s="194" t="n">
        <v>139</v>
      </c>
      <c r="AG44" s="194" t="n">
        <v>140</v>
      </c>
      <c r="AH44" s="194" t="n">
        <v>578</v>
      </c>
      <c r="AI44" s="194" t="n">
        <v>633</v>
      </c>
      <c r="AJ44" s="194" t="n">
        <v>965</v>
      </c>
      <c r="AK44" s="194" t="n">
        <v>1033</v>
      </c>
      <c r="AL44" s="196" t="n">
        <v>410</v>
      </c>
      <c r="AM44" s="194" t="n">
        <v>413</v>
      </c>
      <c r="AN44" s="194" t="n">
        <v>17983</v>
      </c>
      <c r="AO44" s="194" t="n">
        <v>18621</v>
      </c>
      <c r="AP44" s="194" t="n">
        <v>36532</v>
      </c>
      <c r="AQ44" s="197" t="n">
        <v>38759</v>
      </c>
      <c r="AR44" s="191" t="n">
        <v>3.7</v>
      </c>
      <c r="AS44" s="191" t="n">
        <v>24.1</v>
      </c>
      <c r="AT44" s="192" t="n">
        <v>2.6</v>
      </c>
      <c r="AU44" s="193" t="n">
        <v>8.4</v>
      </c>
      <c r="AV44" s="191" t="n">
        <v>20.3</v>
      </c>
      <c r="AW44" s="193" t="n">
        <v>88.7</v>
      </c>
      <c r="AX44" s="191" t="n">
        <v>12</v>
      </c>
      <c r="AY44" s="193" t="n">
        <v>40.6</v>
      </c>
      <c r="AZ44" s="194" t="n">
        <v>140</v>
      </c>
      <c r="BA44" s="194" t="n">
        <v>2145</v>
      </c>
      <c r="BB44" s="196" t="n">
        <v>412</v>
      </c>
      <c r="BC44" s="197" t="n">
        <v>97887</v>
      </c>
    </row>
    <row r="45" ht="15.75" customHeight="1" s="201">
      <c r="A45" s="180" t="inlineStr">
        <is>
          <t>Fish (farmed)</t>
        </is>
      </c>
      <c r="B45" s="191" t="n">
        <v>0.3</v>
      </c>
      <c r="C45" s="191" t="n">
        <v>0.8</v>
      </c>
      <c r="D45" s="191" t="n">
        <v>8.4</v>
      </c>
      <c r="E45" s="191" t="n">
        <v>5.6</v>
      </c>
      <c r="F45" s="191" t="n">
        <v>10.5</v>
      </c>
      <c r="G45" s="191" t="n">
        <v>26.3</v>
      </c>
      <c r="H45" s="192" t="n">
        <v>5.4</v>
      </c>
      <c r="I45" s="191" t="n">
        <v>5.7</v>
      </c>
      <c r="J45" s="191" t="n">
        <v>13.6</v>
      </c>
      <c r="K45" s="191" t="n">
        <v>7.9</v>
      </c>
      <c r="L45" s="191" t="n">
        <v>26.5</v>
      </c>
      <c r="M45" s="193" t="n">
        <v>32.6</v>
      </c>
      <c r="N45" s="191" t="n">
        <v>5.4</v>
      </c>
      <c r="O45" s="191" t="n">
        <v>5.6</v>
      </c>
      <c r="P45" s="191" t="n">
        <v>12.5</v>
      </c>
      <c r="Q45" s="191" t="n">
        <v>7.6</v>
      </c>
      <c r="R45" s="191" t="n">
        <v>25</v>
      </c>
      <c r="S45" s="191" t="n">
        <v>30.7</v>
      </c>
      <c r="T45" s="192" t="n">
        <v>34.7</v>
      </c>
      <c r="U45" s="191" t="n">
        <v>34.8</v>
      </c>
      <c r="V45" s="191" t="n">
        <v>65.90000000000001</v>
      </c>
      <c r="W45" s="191" t="n">
        <v>40.2</v>
      </c>
      <c r="X45" s="191" t="n">
        <v>108.8</v>
      </c>
      <c r="Y45" s="193" t="n">
        <v>193.2</v>
      </c>
      <c r="Z45" s="191" t="n">
        <v>58.3</v>
      </c>
      <c r="AA45" s="191" t="n">
        <v>70.8</v>
      </c>
      <c r="AB45" s="191" t="n">
        <v>235.1</v>
      </c>
      <c r="AC45" s="191" t="n">
        <v>243.6</v>
      </c>
      <c r="AD45" s="191" t="n">
        <v>365.7</v>
      </c>
      <c r="AE45" s="193" t="n">
        <v>420.9</v>
      </c>
      <c r="AF45" s="194" t="n">
        <v>604</v>
      </c>
      <c r="AG45" s="194" t="n">
        <v>1117</v>
      </c>
      <c r="AH45" s="194" t="n">
        <v>3691</v>
      </c>
      <c r="AI45" s="194" t="n">
        <v>1581</v>
      </c>
      <c r="AJ45" s="194" t="n">
        <v>10473</v>
      </c>
      <c r="AK45" s="194" t="n">
        <v>12190</v>
      </c>
      <c r="AL45" s="196" t="n">
        <v>5511</v>
      </c>
      <c r="AM45" s="194" t="n">
        <v>5601</v>
      </c>
      <c r="AN45" s="194" t="n">
        <v>41572</v>
      </c>
      <c r="AO45" s="194" t="n">
        <v>8483</v>
      </c>
      <c r="AP45" s="194" t="n">
        <v>122598</v>
      </c>
      <c r="AQ45" s="197" t="n">
        <v>133853</v>
      </c>
      <c r="AR45" s="191" t="n">
        <v>0.3</v>
      </c>
      <c r="AS45" s="191" t="n">
        <v>173.6</v>
      </c>
      <c r="AT45" s="192" t="n">
        <v>5.2</v>
      </c>
      <c r="AU45" s="193" t="n">
        <v>87.8</v>
      </c>
      <c r="AV45" s="191" t="n">
        <v>27.8</v>
      </c>
      <c r="AW45" s="193" t="n">
        <v>239.1</v>
      </c>
      <c r="AX45" s="191" t="n">
        <v>18.4</v>
      </c>
      <c r="AY45" s="193" t="n">
        <v>3505.6</v>
      </c>
      <c r="AZ45" s="194" t="n">
        <v>136</v>
      </c>
      <c r="BA45" s="194" t="n">
        <v>110940</v>
      </c>
      <c r="BB45" s="196" t="n">
        <v>787</v>
      </c>
      <c r="BC45" s="197" t="n">
        <v>182625</v>
      </c>
    </row>
    <row r="46" ht="15.75" customHeight="1" s="201">
      <c r="A46" s="180" t="inlineStr">
        <is>
          <t>Crustaceans (farmed)</t>
        </is>
      </c>
      <c r="B46" s="191" t="n">
        <v>0.6</v>
      </c>
      <c r="C46" s="191" t="n">
        <v>0.6</v>
      </c>
      <c r="D46" s="191" t="n">
        <v>3</v>
      </c>
      <c r="E46" s="191" t="n">
        <v>0.8</v>
      </c>
      <c r="F46" s="191" t="n">
        <v>5.2</v>
      </c>
      <c r="G46" s="191" t="n">
        <v>5.2</v>
      </c>
      <c r="H46" s="192" t="n">
        <v>7.4</v>
      </c>
      <c r="I46" s="191" t="n">
        <v>8</v>
      </c>
      <c r="J46" s="191" t="n">
        <v>26.9</v>
      </c>
      <c r="K46" s="191" t="n">
        <v>14.7</v>
      </c>
      <c r="L46" s="191" t="n">
        <v>52.1</v>
      </c>
      <c r="M46" s="193" t="n">
        <v>115.1</v>
      </c>
      <c r="N46" s="191" t="n">
        <v>7.4</v>
      </c>
      <c r="O46" s="191" t="n">
        <v>8</v>
      </c>
      <c r="P46" s="191" t="n">
        <v>24</v>
      </c>
      <c r="Q46" s="191" t="n">
        <v>14.7</v>
      </c>
      <c r="R46" s="191" t="n">
        <v>46.9</v>
      </c>
      <c r="S46" s="191" t="n">
        <v>96.59999999999999</v>
      </c>
      <c r="T46" s="192" t="n">
        <v>49</v>
      </c>
      <c r="U46" s="191" t="n">
        <v>57.6</v>
      </c>
      <c r="V46" s="191" t="n">
        <v>133.1</v>
      </c>
      <c r="W46" s="191" t="n">
        <v>107.1</v>
      </c>
      <c r="X46" s="191" t="n">
        <v>307.2</v>
      </c>
      <c r="Y46" s="193" t="n">
        <v>393.5</v>
      </c>
      <c r="Z46" s="191" t="n">
        <v>61.9</v>
      </c>
      <c r="AA46" s="191" t="n">
        <v>70.90000000000001</v>
      </c>
      <c r="AB46" s="191" t="n">
        <v>227.2</v>
      </c>
      <c r="AC46" s="191" t="n">
        <v>141.3</v>
      </c>
      <c r="AD46" s="191" t="n">
        <v>703.8</v>
      </c>
      <c r="AE46" s="193" t="n">
        <v>900.4</v>
      </c>
      <c r="AF46" s="194" t="n">
        <v>654</v>
      </c>
      <c r="AG46" s="194" t="n">
        <v>663</v>
      </c>
      <c r="AH46" s="194" t="n">
        <v>3515</v>
      </c>
      <c r="AI46" s="194" t="n">
        <v>1208</v>
      </c>
      <c r="AJ46" s="194" t="n">
        <v>4388</v>
      </c>
      <c r="AK46" s="194" t="n">
        <v>28905</v>
      </c>
      <c r="AL46" s="196" t="n">
        <v>22998</v>
      </c>
      <c r="AM46" s="194" t="n">
        <v>23508</v>
      </c>
      <c r="AN46" s="194" t="n">
        <v>127259</v>
      </c>
      <c r="AO46" s="194" t="n">
        <v>48738</v>
      </c>
      <c r="AP46" s="194" t="n">
        <v>134117</v>
      </c>
      <c r="AQ46" s="197" t="n">
        <v>984747</v>
      </c>
      <c r="AR46" s="191" t="n">
        <v>0.1</v>
      </c>
      <c r="AS46" s="191" t="n">
        <v>93.5</v>
      </c>
      <c r="AT46" s="192" t="n">
        <v>8.300000000000001</v>
      </c>
      <c r="AU46" s="193" t="n">
        <v>99</v>
      </c>
      <c r="AV46" s="191" t="n">
        <v>63.8</v>
      </c>
      <c r="AW46" s="193" t="n">
        <v>487.8</v>
      </c>
      <c r="AX46" s="191" t="n">
        <v>68.59999999999999</v>
      </c>
      <c r="AY46" s="193" t="n">
        <v>1147.5</v>
      </c>
      <c r="AZ46" s="194" t="n">
        <v>0</v>
      </c>
      <c r="BA46" s="194" t="n">
        <v>34807</v>
      </c>
      <c r="BB46" s="196" t="n">
        <v>0</v>
      </c>
      <c r="BC46" s="197" t="n">
        <v>1308548</v>
      </c>
    </row>
    <row r="47" ht="15.75" customHeight="1" s="201">
      <c r="A47" s="180" t="n"/>
      <c r="B47" s="180" t="n"/>
      <c r="C47" s="180" t="n"/>
      <c r="D47" s="180" t="n"/>
      <c r="E47" s="180" t="n"/>
      <c r="F47" s="180" t="n"/>
      <c r="G47" s="180" t="n"/>
      <c r="H47" s="180" t="n"/>
      <c r="I47" s="180" t="n"/>
      <c r="J47" s="180" t="n"/>
      <c r="K47" s="180" t="n"/>
      <c r="L47" s="180" t="n"/>
      <c r="M47" s="180" t="n"/>
      <c r="N47" s="180" t="n"/>
      <c r="O47" s="180" t="n"/>
      <c r="P47" s="180" t="n"/>
      <c r="Q47" s="180" t="n"/>
      <c r="R47" s="180" t="n"/>
      <c r="S47" s="180" t="n"/>
      <c r="T47" s="180" t="n"/>
      <c r="U47" s="180" t="n"/>
      <c r="V47" s="180" t="n"/>
      <c r="W47" s="180" t="n"/>
      <c r="X47" s="180" t="n"/>
      <c r="Y47" s="180" t="n"/>
      <c r="Z47" s="180" t="n"/>
      <c r="AA47" s="180" t="n"/>
      <c r="AB47" s="180" t="n"/>
      <c r="AC47" s="180" t="n"/>
      <c r="AD47" s="180" t="n"/>
      <c r="AE47" s="180" t="n"/>
      <c r="AF47" s="180" t="n"/>
      <c r="AG47" s="180" t="n"/>
      <c r="AH47" s="180" t="n"/>
      <c r="AI47" s="180" t="n"/>
      <c r="AJ47" s="180" t="n"/>
      <c r="AK47" s="180" t="n"/>
      <c r="AL47" s="180" t="n"/>
      <c r="AM47" s="180" t="n"/>
      <c r="AN47" s="180" t="n"/>
      <c r="AO47" s="180" t="n"/>
      <c r="AP47" s="180" t="n"/>
      <c r="AQ47" s="180" t="n"/>
      <c r="AR47" s="180" t="n"/>
      <c r="AS47" s="180" t="n"/>
      <c r="AT47" s="180" t="n"/>
      <c r="AU47" s="180" t="n"/>
      <c r="AV47" s="180" t="n"/>
      <c r="AW47" s="180" t="n"/>
      <c r="AX47" s="180" t="n"/>
      <c r="AY47" s="180" t="n"/>
      <c r="AZ47" s="180" t="n"/>
      <c r="BA47" s="180" t="n"/>
      <c r="BB47" s="180" t="n"/>
      <c r="BC47" s="180" t="n"/>
    </row>
    <row r="48" ht="15.75" customHeight="1" s="201">
      <c r="A48" s="198" t="inlineStr">
        <is>
          <t>Note: See table S1 for definitions of retail weight functional units; table S2 for definitions of indicators; Materials and Methods Section 9 for a summary of the resampling and randomization; and 'LCA Meta-Analysis of Food Products - Full Model v0' available from the link in the manuscript</t>
        </is>
      </c>
      <c r="B48" s="221" t="n"/>
      <c r="C48" s="221" t="n"/>
      <c r="D48" s="221" t="n"/>
      <c r="E48" s="221" t="n"/>
      <c r="F48" s="221" t="n"/>
      <c r="G48" s="221" t="n"/>
      <c r="H48" s="221" t="n"/>
      <c r="I48" s="221" t="n"/>
      <c r="J48" s="221" t="n"/>
      <c r="K48" s="221" t="n"/>
      <c r="L48" s="180" t="n"/>
      <c r="M48" s="180" t="n"/>
      <c r="N48" s="180" t="n"/>
      <c r="O48" s="180" t="n"/>
      <c r="P48" s="180" t="n"/>
      <c r="Q48" s="180" t="n"/>
      <c r="R48" s="180" t="n"/>
      <c r="S48" s="180" t="n"/>
      <c r="T48" s="180" t="n"/>
      <c r="U48" s="180" t="n"/>
      <c r="V48" s="180" t="n"/>
      <c r="W48" s="180" t="n"/>
      <c r="X48" s="180" t="n"/>
      <c r="Y48" s="180" t="n"/>
      <c r="Z48" s="180" t="n"/>
      <c r="AA48" s="180" t="n"/>
      <c r="AB48" s="180" t="n"/>
      <c r="AC48" s="180" t="n"/>
      <c r="AD48" s="180" t="n"/>
      <c r="AE48" s="180" t="n"/>
      <c r="AF48" s="180" t="n"/>
      <c r="AG48" s="180" t="n"/>
      <c r="AH48" s="180" t="n"/>
      <c r="AI48" s="180" t="n"/>
      <c r="AJ48" s="180" t="n"/>
      <c r="AK48" s="180" t="n"/>
      <c r="AL48" s="180" t="n"/>
      <c r="AM48" s="180" t="n"/>
      <c r="AN48" s="180" t="n"/>
      <c r="AO48" s="180" t="n"/>
      <c r="AP48" s="180" t="n"/>
      <c r="AQ48" s="180" t="n"/>
      <c r="AR48" s="180" t="n"/>
      <c r="AS48" s="180" t="n"/>
      <c r="AT48" s="180" t="n"/>
      <c r="AU48" s="180" t="n"/>
      <c r="AV48" s="180" t="n"/>
      <c r="AW48" s="180" t="n"/>
      <c r="AX48" s="180" t="n"/>
      <c r="AY48" s="180" t="n"/>
      <c r="AZ48" s="180" t="n"/>
      <c r="BA48" s="180" t="n"/>
      <c r="BB48" s="180" t="n"/>
      <c r="BC48" s="180" t="n"/>
    </row>
    <row r="49" ht="15.75" customHeight="1" s="201">
      <c r="L49" s="180" t="n"/>
      <c r="M49" s="180" t="n"/>
      <c r="N49" s="180" t="n"/>
      <c r="O49" s="180" t="n"/>
      <c r="P49" s="180" t="n"/>
      <c r="Q49" s="180" t="n"/>
      <c r="R49" s="180" t="n"/>
      <c r="S49" s="180" t="n"/>
      <c r="T49" s="180" t="n"/>
      <c r="U49" s="180" t="n"/>
      <c r="V49" s="180" t="n"/>
      <c r="W49" s="180" t="n"/>
      <c r="X49" s="180" t="n"/>
      <c r="Y49" s="180" t="n"/>
      <c r="Z49" s="180" t="n"/>
      <c r="AA49" s="180" t="n"/>
      <c r="AB49" s="180" t="n"/>
      <c r="AC49" s="180" t="n"/>
      <c r="AD49" s="180" t="n"/>
      <c r="AE49" s="180" t="n"/>
      <c r="AF49" s="180" t="n"/>
      <c r="AG49" s="180" t="n"/>
      <c r="AH49" s="180" t="n"/>
      <c r="AI49" s="180" t="n"/>
      <c r="AJ49" s="180" t="n"/>
      <c r="AK49" s="180" t="n"/>
      <c r="AL49" s="180" t="n"/>
      <c r="AM49" s="180" t="n"/>
      <c r="AN49" s="180" t="n"/>
      <c r="AO49" s="180" t="n"/>
      <c r="AP49" s="180" t="n"/>
      <c r="AQ49" s="180" t="n"/>
      <c r="AR49" s="180" t="n"/>
      <c r="AS49" s="180" t="n"/>
      <c r="AT49" s="180" t="n"/>
      <c r="AU49" s="180" t="n"/>
      <c r="AV49" s="180" t="n"/>
      <c r="AW49" s="180" t="n"/>
      <c r="AX49" s="180" t="n"/>
      <c r="AY49" s="180" t="n"/>
      <c r="AZ49" s="180" t="n"/>
      <c r="BA49" s="180" t="n"/>
      <c r="BB49" s="180" t="n"/>
      <c r="BC49" s="180" t="n"/>
    </row>
    <row r="50" ht="15.75" customHeight="1" s="201"/>
    <row r="51" ht="15.75" customHeight="1" s="201"/>
    <row r="52" ht="15.75" customHeight="1" s="201"/>
    <row r="53" ht="15.75" customHeight="1" s="201"/>
    <row r="54" ht="15.75" customHeight="1" s="201"/>
    <row r="55" ht="15.75" customHeight="1" s="201"/>
    <row r="56" ht="15.75" customHeight="1" s="201"/>
    <row r="57" ht="15.75" customHeight="1" s="201"/>
    <row r="58" ht="15.75" customHeight="1" s="201"/>
    <row r="59" ht="15.75" customHeight="1" s="201"/>
    <row r="60" ht="15.75" customHeight="1" s="201"/>
    <row r="61" ht="15.75" customHeight="1" s="201"/>
    <row r="62" ht="15.75" customHeight="1" s="201"/>
    <row r="63" ht="15.75" customHeight="1" s="201"/>
    <row r="64" ht="15.75" customHeight="1" s="201"/>
    <row r="65" ht="15.75" customHeight="1" s="201"/>
    <row r="66" ht="15.75" customHeight="1" s="201"/>
    <row r="67" ht="15.75" customHeight="1" s="201"/>
    <row r="68" ht="15.75" customHeight="1" s="201"/>
    <row r="69" ht="15.75" customHeight="1" s="201"/>
    <row r="70" ht="15.75" customHeight="1" s="201"/>
    <row r="71" ht="15.75" customHeight="1" s="201"/>
    <row r="72" ht="15.75" customHeight="1" s="201"/>
    <row r="73" ht="15.75" customHeight="1" s="201"/>
    <row r="74" ht="15.75" customHeight="1" s="201"/>
    <row r="75" ht="15.75" customHeight="1" s="201"/>
    <row r="76" ht="15.75" customHeight="1" s="201"/>
    <row r="77" ht="15.75" customHeight="1" s="201"/>
    <row r="78" ht="15.75" customHeight="1" s="201"/>
    <row r="79" ht="15.75" customHeight="1" s="201"/>
    <row r="80" ht="15.75" customHeight="1" s="201"/>
    <row r="81" ht="15.75" customHeight="1" s="201"/>
    <row r="82" ht="15.75" customHeight="1" s="201"/>
    <row r="83" ht="15.75" customHeight="1" s="201"/>
    <row r="84" ht="15.75" customHeight="1" s="201"/>
    <row r="85" ht="15.75" customHeight="1" s="201"/>
    <row r="86" ht="15.75" customHeight="1" s="201"/>
    <row r="87" ht="15.75" customHeight="1" s="201"/>
    <row r="88" ht="15.75" customHeight="1" s="201"/>
    <row r="89" ht="15.75" customHeight="1" s="201"/>
    <row r="90" ht="15.75" customHeight="1" s="201"/>
    <row r="91" ht="15.75" customHeight="1" s="201"/>
    <row r="92" ht="15.75" customHeight="1" s="201"/>
    <row r="93" ht="15.75" customHeight="1" s="201"/>
    <row r="94" ht="15.75" customHeight="1" s="201"/>
    <row r="95" ht="15.75" customHeight="1" s="201"/>
    <row r="96" ht="15.75" customHeight="1" s="201"/>
    <row r="97" ht="15.75" customHeight="1" s="201"/>
    <row r="98" ht="15.75" customHeight="1" s="201"/>
    <row r="99" ht="15.75" customHeight="1" s="201"/>
    <row r="100" ht="15.75" customHeight="1" s="201"/>
    <row r="101" ht="15.75" customHeight="1" s="201"/>
    <row r="102" ht="15.75" customHeight="1" s="201"/>
    <row r="103" ht="15.75" customHeight="1" s="201"/>
    <row r="104" ht="15.75" customHeight="1" s="201"/>
    <row r="105" ht="15.75" customHeight="1" s="201"/>
    <row r="106" ht="15.75" customHeight="1" s="201"/>
    <row r="107" ht="15.75" customHeight="1" s="201"/>
    <row r="108" ht="15.75" customHeight="1" s="201"/>
    <row r="109" ht="15.75" customHeight="1" s="201"/>
    <row r="110" ht="15.75" customHeight="1" s="201"/>
    <row r="111" ht="15.75" customHeight="1" s="201"/>
    <row r="112" ht="15.75" customHeight="1" s="201"/>
    <row r="113" ht="15.75" customHeight="1" s="201"/>
    <row r="114" ht="15.75" customHeight="1" s="201"/>
    <row r="115" ht="15.75" customHeight="1" s="201"/>
    <row r="116" ht="15.75" customHeight="1" s="201"/>
    <row r="117" ht="15.75" customHeight="1" s="201"/>
    <row r="118" ht="15.75" customHeight="1" s="201"/>
    <row r="119" ht="15.75" customHeight="1" s="201"/>
    <row r="120" ht="15.75" customHeight="1" s="201"/>
    <row r="121" ht="15.75" customHeight="1" s="201"/>
    <row r="122" ht="15.75" customHeight="1" s="201"/>
    <row r="123" ht="15.75" customHeight="1" s="201"/>
    <row r="124" ht="15.75" customHeight="1" s="201"/>
    <row r="125" ht="15.75" customHeight="1" s="201"/>
    <row r="126" ht="15.75" customHeight="1" s="201"/>
    <row r="127" ht="15.75" customHeight="1" s="201"/>
    <row r="128" ht="15.75" customHeight="1" s="201"/>
    <row r="129" ht="15.75" customHeight="1" s="201"/>
    <row r="130" ht="15.75" customHeight="1" s="201"/>
    <row r="131" ht="15.75" customHeight="1" s="201"/>
    <row r="132" ht="15.75" customHeight="1" s="201"/>
    <row r="133" ht="15.75" customHeight="1" s="201"/>
    <row r="134" ht="15.75" customHeight="1" s="201"/>
    <row r="135" ht="15.75" customHeight="1" s="201"/>
    <row r="136" ht="15.75" customHeight="1" s="201"/>
    <row r="137" ht="15.75" customHeight="1" s="201"/>
    <row r="138" ht="15.75" customHeight="1" s="201"/>
    <row r="139" ht="15.75" customHeight="1" s="201"/>
    <row r="140" ht="15.75" customHeight="1" s="201"/>
    <row r="141" ht="15.75" customHeight="1" s="201"/>
    <row r="142" ht="15.75" customHeight="1" s="201"/>
    <row r="143" ht="15.75" customHeight="1" s="201"/>
    <row r="144" ht="15.75" customHeight="1" s="201"/>
    <row r="145" ht="15.75" customHeight="1" s="201"/>
    <row r="146" ht="15.75" customHeight="1" s="201"/>
    <row r="147" ht="15.75" customHeight="1" s="201"/>
    <row r="148" ht="15.75" customHeight="1" s="201"/>
    <row r="149" ht="15.75" customHeight="1" s="201"/>
    <row r="150" ht="15.75" customHeight="1" s="201"/>
    <row r="151" ht="15.75" customHeight="1" s="201"/>
    <row r="152" ht="15.75" customHeight="1" s="201"/>
    <row r="153" ht="15.75" customHeight="1" s="201"/>
    <row r="154" ht="15.75" customHeight="1" s="201"/>
    <row r="155" ht="15.75" customHeight="1" s="201"/>
    <row r="156" ht="15.75" customHeight="1" s="201"/>
    <row r="157" ht="15.75" customHeight="1" s="201"/>
    <row r="158" ht="15.75" customHeight="1" s="201"/>
    <row r="159" ht="15.75" customHeight="1" s="201"/>
    <row r="160" ht="15.75" customHeight="1" s="201"/>
    <row r="161" ht="15.75" customHeight="1" s="201"/>
    <row r="162" ht="15.75" customHeight="1" s="201"/>
    <row r="163" ht="15.75" customHeight="1" s="201"/>
    <row r="164" ht="15.75" customHeight="1" s="201"/>
    <row r="165" ht="15.75" customHeight="1" s="201"/>
    <row r="166" ht="15.75" customHeight="1" s="201"/>
    <row r="167" ht="15.75" customHeight="1" s="201"/>
    <row r="168" ht="15.75" customHeight="1" s="201"/>
    <row r="169" ht="15.75" customHeight="1" s="201"/>
    <row r="170" ht="15.75" customHeight="1" s="201"/>
    <row r="171" ht="15.75" customHeight="1" s="201"/>
    <row r="172" ht="15.75" customHeight="1" s="201"/>
    <row r="173" ht="15.75" customHeight="1" s="201"/>
    <row r="174" ht="15.75" customHeight="1" s="201"/>
    <row r="175" ht="15.75" customHeight="1" s="201"/>
    <row r="176" ht="15.75" customHeight="1" s="201"/>
    <row r="177" ht="15.75" customHeight="1" s="201"/>
    <row r="178" ht="15.75" customHeight="1" s="201"/>
    <row r="179" ht="15.75" customHeight="1" s="201"/>
    <row r="180" ht="15.75" customHeight="1" s="201"/>
    <row r="181" ht="15.75" customHeight="1" s="201"/>
    <row r="182" ht="15.75" customHeight="1" s="201"/>
    <row r="183" ht="15.75" customHeight="1" s="201"/>
    <row r="184" ht="15.75" customHeight="1" s="201"/>
    <row r="185" ht="15.75" customHeight="1" s="201"/>
    <row r="186" ht="15.75" customHeight="1" s="201"/>
    <row r="187" ht="15.75" customHeight="1" s="201"/>
    <row r="188" ht="15.75" customHeight="1" s="201"/>
    <row r="189" ht="15.75" customHeight="1" s="201"/>
    <row r="190" ht="15.75" customHeight="1" s="201"/>
    <row r="191" ht="15.75" customHeight="1" s="201"/>
    <row r="192" ht="15.75" customHeight="1" s="201"/>
    <row r="193" ht="15.75" customHeight="1" s="201"/>
    <row r="194" ht="15.75" customHeight="1" s="201"/>
    <row r="195" ht="15.75" customHeight="1" s="201"/>
    <row r="196" ht="15.75" customHeight="1" s="201"/>
    <row r="197" ht="15.75" customHeight="1" s="201"/>
    <row r="198" ht="15.75" customHeight="1" s="201"/>
    <row r="199" ht="15.75" customHeight="1" s="201"/>
    <row r="200" ht="15.75" customHeight="1" s="201"/>
    <row r="201" ht="15.75" customHeight="1" s="201"/>
    <row r="202" ht="15.75" customHeight="1" s="201"/>
    <row r="203" ht="15.75" customHeight="1" s="201"/>
    <row r="204" ht="15.75" customHeight="1" s="201"/>
    <row r="205" ht="15.75" customHeight="1" s="201"/>
    <row r="206" ht="15.75" customHeight="1" s="201"/>
    <row r="207" ht="15.75" customHeight="1" s="201"/>
    <row r="208" ht="15.75" customHeight="1" s="201"/>
    <row r="209" ht="15.75" customHeight="1" s="201"/>
    <row r="210" ht="15.75" customHeight="1" s="201"/>
    <row r="211" ht="15.75" customHeight="1" s="201"/>
    <row r="212" ht="15.75" customHeight="1" s="201"/>
    <row r="213" ht="15.75" customHeight="1" s="201"/>
    <row r="214" ht="15.75" customHeight="1" s="201"/>
    <row r="215" ht="15.75" customHeight="1" s="201"/>
    <row r="216" ht="15.75" customHeight="1" s="201"/>
    <row r="217" ht="15.75" customHeight="1" s="201"/>
    <row r="218" ht="15.75" customHeight="1" s="201"/>
    <row r="219" ht="15.75" customHeight="1" s="201"/>
    <row r="220" ht="15.75" customHeight="1" s="201"/>
    <row r="221" ht="15.75" customHeight="1" s="201"/>
    <row r="222" ht="15.75" customHeight="1" s="201"/>
    <row r="223" ht="15.75" customHeight="1" s="201"/>
    <row r="224" ht="15.75" customHeight="1" s="201"/>
    <row r="225" ht="15.75" customHeight="1" s="201"/>
    <row r="226" ht="15.75" customHeight="1" s="201"/>
    <row r="227" ht="15.75" customHeight="1" s="201"/>
    <row r="228" ht="15.75" customHeight="1" s="201"/>
    <row r="229" ht="15.75" customHeight="1" s="201"/>
    <row r="230" ht="15.75" customHeight="1" s="201"/>
    <row r="231" ht="15.75" customHeight="1" s="201"/>
    <row r="232" ht="15.75" customHeight="1" s="201"/>
    <row r="233" ht="15.75" customHeight="1" s="201"/>
    <row r="234" ht="15.75" customHeight="1" s="201"/>
    <row r="235" ht="15.75" customHeight="1" s="201"/>
    <row r="236" ht="15.75" customHeight="1" s="201"/>
    <row r="237" ht="15.75" customHeight="1" s="201"/>
    <row r="238" ht="15.75" customHeight="1" s="201"/>
    <row r="239" ht="15.75" customHeight="1" s="201"/>
    <row r="240" ht="15.75" customHeight="1" s="201"/>
    <row r="241" ht="15.75" customHeight="1" s="201"/>
    <row r="242" ht="15.75" customHeight="1" s="201"/>
    <row r="243" ht="15.75" customHeight="1" s="201"/>
    <row r="244" ht="15.75" customHeight="1" s="201"/>
    <row r="245" ht="15.75" customHeight="1" s="201"/>
    <row r="246" ht="15.75" customHeight="1" s="201"/>
    <row r="247" ht="15.75" customHeight="1" s="201"/>
    <row r="248" ht="15.75" customHeight="1" s="201"/>
    <row r="249" ht="15.75" customHeight="1" s="201"/>
    <row r="250" ht="15.75" customHeight="1" s="201"/>
    <row r="251" ht="15.75" customHeight="1" s="201"/>
    <row r="252" ht="15.75" customHeight="1" s="201"/>
    <row r="253" ht="15.75" customHeight="1" s="201"/>
    <row r="254" ht="15.75" customHeight="1" s="201"/>
    <row r="255" ht="15.75" customHeight="1" s="201"/>
    <row r="256" ht="15.75" customHeight="1" s="201"/>
    <row r="257" ht="15.75" customHeight="1" s="201"/>
    <row r="258" ht="15.75" customHeight="1" s="201"/>
    <row r="259" ht="15.75" customHeight="1" s="201"/>
    <row r="260" ht="15.75" customHeight="1" s="201"/>
    <row r="261" ht="15.75" customHeight="1" s="201"/>
    <row r="262" ht="15.75" customHeight="1" s="201"/>
    <row r="263" ht="15.75" customHeight="1" s="201"/>
    <row r="264" ht="15.75" customHeight="1" s="201"/>
    <row r="265" ht="15.75" customHeight="1" s="201"/>
    <row r="266" ht="15.75" customHeight="1" s="201"/>
    <row r="267" ht="15.75" customHeight="1" s="201"/>
    <row r="268" ht="15.75" customHeight="1" s="201"/>
    <row r="269" ht="15.75" customHeight="1" s="201"/>
    <row r="270" ht="15.75" customHeight="1" s="201"/>
    <row r="271" ht="15.75" customHeight="1" s="201"/>
    <row r="272" ht="15.75" customHeight="1" s="201"/>
    <row r="273" ht="15.75" customHeight="1" s="201"/>
    <row r="274" ht="15.75" customHeight="1" s="201"/>
    <row r="275" ht="15.75" customHeight="1" s="201"/>
    <row r="276" ht="15.75" customHeight="1" s="201"/>
    <row r="277" ht="15.75" customHeight="1" s="201"/>
    <row r="278" ht="15.75" customHeight="1" s="201"/>
    <row r="279" ht="15.75" customHeight="1" s="201"/>
    <row r="280" ht="15.75" customHeight="1" s="201"/>
    <row r="281" ht="15.75" customHeight="1" s="201"/>
    <row r="282" ht="15.75" customHeight="1" s="201"/>
    <row r="283" ht="15.75" customHeight="1" s="201"/>
    <row r="284" ht="15.75" customHeight="1" s="201"/>
    <row r="285" ht="15.75" customHeight="1" s="201"/>
    <row r="286" ht="15.75" customHeight="1" s="201"/>
    <row r="287" ht="15.75" customHeight="1" s="201"/>
    <row r="288" ht="15.75" customHeight="1" s="201"/>
    <row r="289" ht="15.75" customHeight="1" s="201"/>
    <row r="290" ht="15.75" customHeight="1" s="201"/>
    <row r="291" ht="15.75" customHeight="1" s="201"/>
    <row r="292" ht="15.75" customHeight="1" s="201"/>
    <row r="293" ht="15.75" customHeight="1" s="201"/>
    <row r="294" ht="15.75" customHeight="1" s="201"/>
    <row r="295" ht="15.75" customHeight="1" s="201"/>
    <row r="296" ht="15.75" customHeight="1" s="201"/>
    <row r="297" ht="15.75" customHeight="1" s="201"/>
    <row r="298" ht="15.75" customHeight="1" s="201"/>
    <row r="299" ht="15.75" customHeight="1" s="201"/>
    <row r="300" ht="15.75" customHeight="1" s="201"/>
    <row r="301" ht="15.75" customHeight="1" s="201"/>
    <row r="302" ht="15.75" customHeight="1" s="201"/>
    <row r="303" ht="15.75" customHeight="1" s="201"/>
    <row r="304" ht="15.75" customHeight="1" s="201"/>
    <row r="305" ht="15.75" customHeight="1" s="201"/>
    <row r="306" ht="15.75" customHeight="1" s="201"/>
    <row r="307" ht="15.75" customHeight="1" s="201"/>
    <row r="308" ht="15.75" customHeight="1" s="201"/>
    <row r="309" ht="15.75" customHeight="1" s="201"/>
    <row r="310" ht="15.75" customHeight="1" s="201"/>
    <row r="311" ht="15.75" customHeight="1" s="201"/>
    <row r="312" ht="15.75" customHeight="1" s="201"/>
    <row r="313" ht="15.75" customHeight="1" s="201"/>
    <row r="314" ht="15.75" customHeight="1" s="201"/>
    <row r="315" ht="15.75" customHeight="1" s="201"/>
    <row r="316" ht="15.75" customHeight="1" s="201"/>
    <row r="317" ht="15.75" customHeight="1" s="201"/>
    <row r="318" ht="15.75" customHeight="1" s="201"/>
    <row r="319" ht="15.75" customHeight="1" s="201"/>
    <row r="320" ht="15.75" customHeight="1" s="201"/>
    <row r="321" ht="15.75" customHeight="1" s="201"/>
    <row r="322" ht="15.75" customHeight="1" s="201"/>
    <row r="323" ht="15.75" customHeight="1" s="201"/>
    <row r="324" ht="15.75" customHeight="1" s="201"/>
    <row r="325" ht="15.75" customHeight="1" s="201"/>
    <row r="326" ht="15.75" customHeight="1" s="201"/>
    <row r="327" ht="15.75" customHeight="1" s="201"/>
    <row r="328" ht="15.75" customHeight="1" s="201"/>
    <row r="329" ht="15.75" customHeight="1" s="201"/>
    <row r="330" ht="15.75" customHeight="1" s="201"/>
    <row r="331" ht="15.75" customHeight="1" s="201"/>
    <row r="332" ht="15.75" customHeight="1" s="201"/>
    <row r="333" ht="15.75" customHeight="1" s="201"/>
    <row r="334" ht="15.75" customHeight="1" s="201"/>
    <row r="335" ht="15.75" customHeight="1" s="201"/>
    <row r="336" ht="15.75" customHeight="1" s="201"/>
    <row r="337" ht="15.75" customHeight="1" s="201"/>
    <row r="338" ht="15.75" customHeight="1" s="201"/>
    <row r="339" ht="15.75" customHeight="1" s="201"/>
    <row r="340" ht="15.75" customHeight="1" s="201"/>
    <row r="341" ht="15.75" customHeight="1" s="201"/>
    <row r="342" ht="15.75" customHeight="1" s="201"/>
    <row r="343" ht="15.75" customHeight="1" s="201"/>
    <row r="344" ht="15.75" customHeight="1" s="201"/>
    <row r="345" ht="15.75" customHeight="1" s="201"/>
    <row r="346" ht="15.75" customHeight="1" s="201"/>
    <row r="347" ht="15.75" customHeight="1" s="201"/>
    <row r="348" ht="15.75" customHeight="1" s="201"/>
    <row r="349" ht="15.75" customHeight="1" s="201"/>
    <row r="350" ht="15.75" customHeight="1" s="201"/>
    <row r="351" ht="15.75" customHeight="1" s="201"/>
    <row r="352" ht="15.75" customHeight="1" s="201"/>
    <row r="353" ht="15.75" customHeight="1" s="201"/>
    <row r="354" ht="15.75" customHeight="1" s="201"/>
    <row r="355" ht="15.75" customHeight="1" s="201"/>
    <row r="356" ht="15.75" customHeight="1" s="201"/>
    <row r="357" ht="15.75" customHeight="1" s="201"/>
    <row r="358" ht="15.75" customHeight="1" s="201"/>
    <row r="359" ht="15.75" customHeight="1" s="201"/>
    <row r="360" ht="15.75" customHeight="1" s="201"/>
    <row r="361" ht="15.75" customHeight="1" s="201"/>
    <row r="362" ht="15.75" customHeight="1" s="201"/>
    <row r="363" ht="15.75" customHeight="1" s="201"/>
    <row r="364" ht="15.75" customHeight="1" s="201"/>
    <row r="365" ht="15.75" customHeight="1" s="201"/>
    <row r="366" ht="15.75" customHeight="1" s="201"/>
    <row r="367" ht="15.75" customHeight="1" s="201"/>
    <row r="368" ht="15.75" customHeight="1" s="201"/>
    <row r="369" ht="15.75" customHeight="1" s="201"/>
    <row r="370" ht="15.75" customHeight="1" s="201"/>
    <row r="371" ht="15.75" customHeight="1" s="201"/>
    <row r="372" ht="15.75" customHeight="1" s="201"/>
    <row r="373" ht="15.75" customHeight="1" s="201"/>
    <row r="374" ht="15.75" customHeight="1" s="201"/>
    <row r="375" ht="15.75" customHeight="1" s="201"/>
    <row r="376" ht="15.75" customHeight="1" s="201"/>
    <row r="377" ht="15.75" customHeight="1" s="201"/>
    <row r="378" ht="15.75" customHeight="1" s="201"/>
    <row r="379" ht="15.75" customHeight="1" s="201"/>
    <row r="380" ht="15.75" customHeight="1" s="201"/>
    <row r="381" ht="15.75" customHeight="1" s="201"/>
    <row r="382" ht="15.75" customHeight="1" s="201"/>
    <row r="383" ht="15.75" customHeight="1" s="201"/>
    <row r="384" ht="15.75" customHeight="1" s="201"/>
    <row r="385" ht="15.75" customHeight="1" s="201"/>
    <row r="386" ht="15.75" customHeight="1" s="201"/>
    <row r="387" ht="15.75" customHeight="1" s="201"/>
    <row r="388" ht="15.75" customHeight="1" s="201"/>
    <row r="389" ht="15.75" customHeight="1" s="201"/>
    <row r="390" ht="15.75" customHeight="1" s="201"/>
    <row r="391" ht="15.75" customHeight="1" s="201"/>
    <row r="392" ht="15.75" customHeight="1" s="201"/>
    <row r="393" ht="15.75" customHeight="1" s="201"/>
    <row r="394" ht="15.75" customHeight="1" s="201"/>
    <row r="395" ht="15.75" customHeight="1" s="201"/>
    <row r="396" ht="15.75" customHeight="1" s="201"/>
    <row r="397" ht="15.75" customHeight="1" s="201"/>
    <row r="398" ht="15.75" customHeight="1" s="201"/>
    <row r="399" ht="15.75" customHeight="1" s="201"/>
    <row r="400" ht="15.75" customHeight="1" s="201"/>
    <row r="401" ht="15.75" customHeight="1" s="201"/>
    <row r="402" ht="15.75" customHeight="1" s="201"/>
    <row r="403" ht="15.75" customHeight="1" s="201"/>
    <row r="404" ht="15.75" customHeight="1" s="201"/>
    <row r="405" ht="15.75" customHeight="1" s="201"/>
    <row r="406" ht="15.75" customHeight="1" s="201"/>
    <row r="407" ht="15.75" customHeight="1" s="201"/>
    <row r="408" ht="15.75" customHeight="1" s="201"/>
    <row r="409" ht="15.75" customHeight="1" s="201"/>
    <row r="410" ht="15.75" customHeight="1" s="201"/>
    <row r="411" ht="15.75" customHeight="1" s="201"/>
    <row r="412" ht="15.75" customHeight="1" s="201"/>
    <row r="413" ht="15.75" customHeight="1" s="201"/>
    <row r="414" ht="15.75" customHeight="1" s="201"/>
    <row r="415" ht="15.75" customHeight="1" s="201"/>
    <row r="416" ht="15.75" customHeight="1" s="201"/>
    <row r="417" ht="15.75" customHeight="1" s="201"/>
    <row r="418" ht="15.75" customHeight="1" s="201"/>
    <row r="419" ht="15.75" customHeight="1" s="201"/>
    <row r="420" ht="15.75" customHeight="1" s="201"/>
    <row r="421" ht="15.75" customHeight="1" s="201"/>
    <row r="422" ht="15.75" customHeight="1" s="201"/>
    <row r="423" ht="15.75" customHeight="1" s="201"/>
    <row r="424" ht="15.75" customHeight="1" s="201"/>
    <row r="425" ht="15.75" customHeight="1" s="201"/>
    <row r="426" ht="15.75" customHeight="1" s="201"/>
    <row r="427" ht="15.75" customHeight="1" s="201"/>
    <row r="428" ht="15.75" customHeight="1" s="201"/>
    <row r="429" ht="15.75" customHeight="1" s="201"/>
    <row r="430" ht="15.75" customHeight="1" s="201"/>
    <row r="431" ht="15.75" customHeight="1" s="201"/>
    <row r="432" ht="15.75" customHeight="1" s="201"/>
    <row r="433" ht="15.75" customHeight="1" s="201"/>
    <row r="434" ht="15.75" customHeight="1" s="201"/>
    <row r="435" ht="15.75" customHeight="1" s="201"/>
    <row r="436" ht="15.75" customHeight="1" s="201"/>
    <row r="437" ht="15.75" customHeight="1" s="201"/>
    <row r="438" ht="15.75" customHeight="1" s="201"/>
    <row r="439" ht="15.75" customHeight="1" s="201"/>
    <row r="440" ht="15.75" customHeight="1" s="201"/>
    <row r="441" ht="15.75" customHeight="1" s="201"/>
    <row r="442" ht="15.75" customHeight="1" s="201"/>
    <row r="443" ht="15.75" customHeight="1" s="201"/>
    <row r="444" ht="15.75" customHeight="1" s="201"/>
    <row r="445" ht="15.75" customHeight="1" s="201"/>
    <row r="446" ht="15.75" customHeight="1" s="201"/>
    <row r="447" ht="15.75" customHeight="1" s="201"/>
    <row r="448" ht="15.75" customHeight="1" s="201"/>
    <row r="449" ht="15.75" customHeight="1" s="201"/>
    <row r="450" ht="15.75" customHeight="1" s="201"/>
    <row r="451" ht="15.75" customHeight="1" s="201"/>
    <row r="452" ht="15.75" customHeight="1" s="201"/>
    <row r="453" ht="15.75" customHeight="1" s="201"/>
    <row r="454" ht="15.75" customHeight="1" s="201"/>
    <row r="455" ht="15.75" customHeight="1" s="201"/>
    <row r="456" ht="15.75" customHeight="1" s="201"/>
    <row r="457" ht="15.75" customHeight="1" s="201"/>
    <row r="458" ht="15.75" customHeight="1" s="201"/>
    <row r="459" ht="15.75" customHeight="1" s="201"/>
    <row r="460" ht="15.75" customHeight="1" s="201"/>
    <row r="461" ht="15.75" customHeight="1" s="201"/>
    <row r="462" ht="15.75" customHeight="1" s="201"/>
    <row r="463" ht="15.75" customHeight="1" s="201"/>
    <row r="464" ht="15.75" customHeight="1" s="201"/>
    <row r="465" ht="15.75" customHeight="1" s="201"/>
    <row r="466" ht="15.75" customHeight="1" s="201"/>
    <row r="467" ht="15.75" customHeight="1" s="201"/>
    <row r="468" ht="15.75" customHeight="1" s="201"/>
    <row r="469" ht="15.75" customHeight="1" s="201"/>
    <row r="470" ht="15.75" customHeight="1" s="201"/>
    <row r="471" ht="15.75" customHeight="1" s="201"/>
    <row r="472" ht="15.75" customHeight="1" s="201"/>
    <row r="473" ht="15.75" customHeight="1" s="201"/>
    <row r="474" ht="15.75" customHeight="1" s="201"/>
    <row r="475" ht="15.75" customHeight="1" s="201"/>
    <row r="476" ht="15.75" customHeight="1" s="201"/>
    <row r="477" ht="15.75" customHeight="1" s="201"/>
    <row r="478" ht="15.75" customHeight="1" s="201"/>
    <row r="479" ht="15.75" customHeight="1" s="201"/>
    <row r="480" ht="15.75" customHeight="1" s="201"/>
    <row r="481" ht="15.75" customHeight="1" s="201"/>
    <row r="482" ht="15.75" customHeight="1" s="201"/>
    <row r="483" ht="15.75" customHeight="1" s="201"/>
    <row r="484" ht="15.75" customHeight="1" s="201"/>
    <row r="485" ht="15.75" customHeight="1" s="201"/>
    <row r="486" ht="15.75" customHeight="1" s="201"/>
    <row r="487" ht="15.75" customHeight="1" s="201"/>
    <row r="488" ht="15.75" customHeight="1" s="201"/>
    <row r="489" ht="15.75" customHeight="1" s="201"/>
    <row r="490" ht="15.75" customHeight="1" s="201"/>
    <row r="491" ht="15.75" customHeight="1" s="201"/>
    <row r="492" ht="15.75" customHeight="1" s="201"/>
    <row r="493" ht="15.75" customHeight="1" s="201"/>
    <row r="494" ht="15.75" customHeight="1" s="201"/>
    <row r="495" ht="15.75" customHeight="1" s="201"/>
    <row r="496" ht="15.75" customHeight="1" s="201"/>
    <row r="497" ht="15.75" customHeight="1" s="201"/>
    <row r="498" ht="15.75" customHeight="1" s="201"/>
    <row r="499" ht="15.75" customHeight="1" s="201"/>
    <row r="500" ht="15.75" customHeight="1" s="201"/>
    <row r="501" ht="15.75" customHeight="1" s="201"/>
    <row r="502" ht="15.75" customHeight="1" s="201"/>
    <row r="503" ht="15.75" customHeight="1" s="201"/>
    <row r="504" ht="15.75" customHeight="1" s="201"/>
    <row r="505" ht="15.75" customHeight="1" s="201"/>
    <row r="506" ht="15.75" customHeight="1" s="201"/>
    <row r="507" ht="15.75" customHeight="1" s="201"/>
    <row r="508" ht="15.75" customHeight="1" s="201"/>
    <row r="509" ht="15.75" customHeight="1" s="201"/>
    <row r="510" ht="15.75" customHeight="1" s="201"/>
    <row r="511" ht="15.75" customHeight="1" s="201"/>
    <row r="512" ht="15.75" customHeight="1" s="201"/>
    <row r="513" ht="15.75" customHeight="1" s="201"/>
    <row r="514" ht="15.75" customHeight="1" s="201"/>
    <row r="515" ht="15.75" customHeight="1" s="201"/>
    <row r="516" ht="15.75" customHeight="1" s="201"/>
    <row r="517" ht="15.75" customHeight="1" s="201"/>
    <row r="518" ht="15.75" customHeight="1" s="201"/>
    <row r="519" ht="15.75" customHeight="1" s="201"/>
    <row r="520" ht="15.75" customHeight="1" s="201"/>
    <row r="521" ht="15.75" customHeight="1" s="201"/>
    <row r="522" ht="15.75" customHeight="1" s="201"/>
    <row r="523" ht="15.75" customHeight="1" s="201"/>
    <row r="524" ht="15.75" customHeight="1" s="201"/>
    <row r="525" ht="15.75" customHeight="1" s="201"/>
    <row r="526" ht="15.75" customHeight="1" s="201"/>
    <row r="527" ht="15.75" customHeight="1" s="201"/>
    <row r="528" ht="15.75" customHeight="1" s="201"/>
    <row r="529" ht="15.75" customHeight="1" s="201"/>
    <row r="530" ht="15.75" customHeight="1" s="201"/>
    <row r="531" ht="15.75" customHeight="1" s="201"/>
    <row r="532" ht="15.75" customHeight="1" s="201"/>
    <row r="533" ht="15.75" customHeight="1" s="201"/>
    <row r="534" ht="15.75" customHeight="1" s="201"/>
    <row r="535" ht="15.75" customHeight="1" s="201"/>
    <row r="536" ht="15.75" customHeight="1" s="201"/>
    <row r="537" ht="15.75" customHeight="1" s="201"/>
    <row r="538" ht="15.75" customHeight="1" s="201"/>
    <row r="539" ht="15.75" customHeight="1" s="201"/>
    <row r="540" ht="15.75" customHeight="1" s="201"/>
    <row r="541" ht="15.75" customHeight="1" s="201"/>
    <row r="542" ht="15.75" customHeight="1" s="201"/>
    <row r="543" ht="15.75" customHeight="1" s="201"/>
    <row r="544" ht="15.75" customHeight="1" s="201"/>
    <row r="545" ht="15.75" customHeight="1" s="201"/>
    <row r="546" ht="15.75" customHeight="1" s="201"/>
    <row r="547" ht="15.75" customHeight="1" s="201"/>
    <row r="548" ht="15.75" customHeight="1" s="201"/>
    <row r="549" ht="15.75" customHeight="1" s="201"/>
    <row r="550" ht="15.75" customHeight="1" s="201"/>
    <row r="551" ht="15.75" customHeight="1" s="201"/>
    <row r="552" ht="15.75" customHeight="1" s="201"/>
    <row r="553" ht="15.75" customHeight="1" s="201"/>
    <row r="554" ht="15.75" customHeight="1" s="201"/>
    <row r="555" ht="15.75" customHeight="1" s="201"/>
    <row r="556" ht="15.75" customHeight="1" s="201"/>
    <row r="557" ht="15.75" customHeight="1" s="201"/>
    <row r="558" ht="15.75" customHeight="1" s="201"/>
    <row r="559" ht="15.75" customHeight="1" s="201"/>
    <row r="560" ht="15.75" customHeight="1" s="201"/>
    <row r="561" ht="15.75" customHeight="1" s="201"/>
    <row r="562" ht="15.75" customHeight="1" s="201"/>
    <row r="563" ht="15.75" customHeight="1" s="201"/>
    <row r="564" ht="15.75" customHeight="1" s="201"/>
    <row r="565" ht="15.75" customHeight="1" s="201"/>
    <row r="566" ht="15.75" customHeight="1" s="201"/>
    <row r="567" ht="15.75" customHeight="1" s="201"/>
    <row r="568" ht="15.75" customHeight="1" s="201"/>
    <row r="569" ht="15.75" customHeight="1" s="201"/>
    <row r="570" ht="15.75" customHeight="1" s="201"/>
    <row r="571" ht="15.75" customHeight="1" s="201"/>
    <row r="572" ht="15.75" customHeight="1" s="201"/>
    <row r="573" ht="15.75" customHeight="1" s="201"/>
    <row r="574" ht="15.75" customHeight="1" s="201"/>
    <row r="575" ht="15.75" customHeight="1" s="201"/>
    <row r="576" ht="15.75" customHeight="1" s="201"/>
    <row r="577" ht="15.75" customHeight="1" s="201"/>
    <row r="578" ht="15.75" customHeight="1" s="201"/>
    <row r="579" ht="15.75" customHeight="1" s="201"/>
    <row r="580" ht="15.75" customHeight="1" s="201"/>
    <row r="581" ht="15.75" customHeight="1" s="201"/>
    <row r="582" ht="15.75" customHeight="1" s="201"/>
    <row r="583" ht="15.75" customHeight="1" s="201"/>
    <row r="584" ht="15.75" customHeight="1" s="201"/>
    <row r="585" ht="15.75" customHeight="1" s="201"/>
    <row r="586" ht="15.75" customHeight="1" s="201"/>
    <row r="587" ht="15.75" customHeight="1" s="201"/>
    <row r="588" ht="15.75" customHeight="1" s="201"/>
    <row r="589" ht="15.75" customHeight="1" s="201"/>
    <row r="590" ht="15.75" customHeight="1" s="201"/>
    <row r="591" ht="15.75" customHeight="1" s="201"/>
    <row r="592" ht="15.75" customHeight="1" s="201"/>
    <row r="593" ht="15.75" customHeight="1" s="201"/>
    <row r="594" ht="15.75" customHeight="1" s="201"/>
    <row r="595" ht="15.75" customHeight="1" s="201"/>
    <row r="596" ht="15.75" customHeight="1" s="201"/>
    <row r="597" ht="15.75" customHeight="1" s="201"/>
    <row r="598" ht="15.75" customHeight="1" s="201"/>
    <row r="599" ht="15.75" customHeight="1" s="201"/>
    <row r="600" ht="15.75" customHeight="1" s="201"/>
    <row r="601" ht="15.75" customHeight="1" s="201"/>
    <row r="602" ht="15.75" customHeight="1" s="201"/>
    <row r="603" ht="15.75" customHeight="1" s="201"/>
    <row r="604" ht="15.75" customHeight="1" s="201"/>
    <row r="605" ht="15.75" customHeight="1" s="201"/>
    <row r="606" ht="15.75" customHeight="1" s="201"/>
    <row r="607" ht="15.75" customHeight="1" s="201"/>
    <row r="608" ht="15.75" customHeight="1" s="201"/>
    <row r="609" ht="15.75" customHeight="1" s="201"/>
    <row r="610" ht="15.75" customHeight="1" s="201"/>
    <row r="611" ht="15.75" customHeight="1" s="201"/>
    <row r="612" ht="15.75" customHeight="1" s="201"/>
    <row r="613" ht="15.75" customHeight="1" s="201"/>
    <row r="614" ht="15.75" customHeight="1" s="201"/>
    <row r="615" ht="15.75" customHeight="1" s="201"/>
    <row r="616" ht="15.75" customHeight="1" s="201"/>
    <row r="617" ht="15.75" customHeight="1" s="201"/>
    <row r="618" ht="15.75" customHeight="1" s="201"/>
    <row r="619" ht="15.75" customHeight="1" s="201"/>
    <row r="620" ht="15.75" customHeight="1" s="201"/>
    <row r="621" ht="15.75" customHeight="1" s="201"/>
    <row r="622" ht="15.75" customHeight="1" s="201"/>
    <row r="623" ht="15.75" customHeight="1" s="201"/>
    <row r="624" ht="15.75" customHeight="1" s="201"/>
    <row r="625" ht="15.75" customHeight="1" s="201"/>
    <row r="626" ht="15.75" customHeight="1" s="201"/>
    <row r="627" ht="15.75" customHeight="1" s="201"/>
    <row r="628" ht="15.75" customHeight="1" s="201"/>
    <row r="629" ht="15.75" customHeight="1" s="201"/>
    <row r="630" ht="15.75" customHeight="1" s="201"/>
    <row r="631" ht="15.75" customHeight="1" s="201"/>
    <row r="632" ht="15.75" customHeight="1" s="201"/>
    <row r="633" ht="15.75" customHeight="1" s="201"/>
    <row r="634" ht="15.75" customHeight="1" s="201"/>
    <row r="635" ht="15.75" customHeight="1" s="201"/>
    <row r="636" ht="15.75" customHeight="1" s="201"/>
    <row r="637" ht="15.75" customHeight="1" s="201"/>
    <row r="638" ht="15.75" customHeight="1" s="201"/>
    <row r="639" ht="15.75" customHeight="1" s="201"/>
    <row r="640" ht="15.75" customHeight="1" s="201"/>
    <row r="641" ht="15.75" customHeight="1" s="201"/>
    <row r="642" ht="15.75" customHeight="1" s="201"/>
    <row r="643" ht="15.75" customHeight="1" s="201"/>
    <row r="644" ht="15.75" customHeight="1" s="201"/>
    <row r="645" ht="15.75" customHeight="1" s="201"/>
    <row r="646" ht="15.75" customHeight="1" s="201"/>
    <row r="647" ht="15.75" customHeight="1" s="201"/>
    <row r="648" ht="15.75" customHeight="1" s="201"/>
    <row r="649" ht="15.75" customHeight="1" s="201"/>
    <row r="650" ht="15.75" customHeight="1" s="201"/>
    <row r="651" ht="15.75" customHeight="1" s="201"/>
    <row r="652" ht="15.75" customHeight="1" s="201"/>
    <row r="653" ht="15.75" customHeight="1" s="201"/>
    <row r="654" ht="15.75" customHeight="1" s="201"/>
    <row r="655" ht="15.75" customHeight="1" s="201"/>
    <row r="656" ht="15.75" customHeight="1" s="201"/>
    <row r="657" ht="15.75" customHeight="1" s="201"/>
    <row r="658" ht="15.75" customHeight="1" s="201"/>
    <row r="659" ht="15.75" customHeight="1" s="201"/>
    <row r="660" ht="15.75" customHeight="1" s="201"/>
    <row r="661" ht="15.75" customHeight="1" s="201"/>
    <row r="662" ht="15.75" customHeight="1" s="201"/>
    <row r="663" ht="15.75" customHeight="1" s="201"/>
    <row r="664" ht="15.75" customHeight="1" s="201"/>
    <row r="665" ht="15.75" customHeight="1" s="201"/>
    <row r="666" ht="15.75" customHeight="1" s="201"/>
    <row r="667" ht="15.75" customHeight="1" s="201"/>
    <row r="668" ht="15.75" customHeight="1" s="201"/>
    <row r="669" ht="15.75" customHeight="1" s="201"/>
    <row r="670" ht="15.75" customHeight="1" s="201"/>
    <row r="671" ht="15.75" customHeight="1" s="201"/>
    <row r="672" ht="15.75" customHeight="1" s="201"/>
    <row r="673" ht="15.75" customHeight="1" s="201"/>
    <row r="674" ht="15.75" customHeight="1" s="201"/>
    <row r="675" ht="15.75" customHeight="1" s="201"/>
    <row r="676" ht="15.75" customHeight="1" s="201"/>
    <row r="677" ht="15.75" customHeight="1" s="201"/>
    <row r="678" ht="15.75" customHeight="1" s="201"/>
    <row r="679" ht="15.75" customHeight="1" s="201"/>
    <row r="680" ht="15.75" customHeight="1" s="201"/>
    <row r="681" ht="15.75" customHeight="1" s="201"/>
    <row r="682" ht="15.75" customHeight="1" s="201"/>
    <row r="683" ht="15.75" customHeight="1" s="201"/>
    <row r="684" ht="15.75" customHeight="1" s="201"/>
    <row r="685" ht="15.75" customHeight="1" s="201"/>
    <row r="686" ht="15.75" customHeight="1" s="201"/>
    <row r="687" ht="15.75" customHeight="1" s="201"/>
    <row r="688" ht="15.75" customHeight="1" s="201"/>
    <row r="689" ht="15.75" customHeight="1" s="201"/>
    <row r="690" ht="15.75" customHeight="1" s="201"/>
    <row r="691" ht="15.75" customHeight="1" s="201"/>
    <row r="692" ht="15.75" customHeight="1" s="201"/>
    <row r="693" ht="15.75" customHeight="1" s="201"/>
    <row r="694" ht="15.75" customHeight="1" s="201"/>
    <row r="695" ht="15.75" customHeight="1" s="201"/>
    <row r="696" ht="15.75" customHeight="1" s="201"/>
    <row r="697" ht="15.75" customHeight="1" s="201"/>
    <row r="698" ht="15.75" customHeight="1" s="201"/>
    <row r="699" ht="15.75" customHeight="1" s="201"/>
    <row r="700" ht="15.75" customHeight="1" s="201"/>
    <row r="701" ht="15.75" customHeight="1" s="201"/>
    <row r="702" ht="15.75" customHeight="1" s="201"/>
    <row r="703" ht="15.75" customHeight="1" s="201"/>
    <row r="704" ht="15.75" customHeight="1" s="201"/>
    <row r="705" ht="15.75" customHeight="1" s="201"/>
    <row r="706" ht="15.75" customHeight="1" s="201"/>
    <row r="707" ht="15.75" customHeight="1" s="201"/>
    <row r="708" ht="15.75" customHeight="1" s="201"/>
    <row r="709" ht="15.75" customHeight="1" s="201"/>
    <row r="710" ht="15.75" customHeight="1" s="201"/>
    <row r="711" ht="15.75" customHeight="1" s="201"/>
    <row r="712" ht="15.75" customHeight="1" s="201"/>
    <row r="713" ht="15.75" customHeight="1" s="201"/>
    <row r="714" ht="15.75" customHeight="1" s="201"/>
    <row r="715" ht="15.75" customHeight="1" s="201"/>
    <row r="716" ht="15.75" customHeight="1" s="201"/>
    <row r="717" ht="15.75" customHeight="1" s="201"/>
    <row r="718" ht="15.75" customHeight="1" s="201"/>
    <row r="719" ht="15.75" customHeight="1" s="201"/>
    <row r="720" ht="15.75" customHeight="1" s="201"/>
    <row r="721" ht="15.75" customHeight="1" s="201"/>
    <row r="722" ht="15.75" customHeight="1" s="201"/>
    <row r="723" ht="15.75" customHeight="1" s="201"/>
    <row r="724" ht="15.75" customHeight="1" s="201"/>
    <row r="725" ht="15.75" customHeight="1" s="201"/>
    <row r="726" ht="15.75" customHeight="1" s="201"/>
    <row r="727" ht="15.75" customHeight="1" s="201"/>
    <row r="728" ht="15.75" customHeight="1" s="201"/>
    <row r="729" ht="15.75" customHeight="1" s="201"/>
    <row r="730" ht="15.75" customHeight="1" s="201"/>
    <row r="731" ht="15.75" customHeight="1" s="201"/>
    <row r="732" ht="15.75" customHeight="1" s="201"/>
    <row r="733" ht="15.75" customHeight="1" s="201"/>
    <row r="734" ht="15.75" customHeight="1" s="201"/>
    <row r="735" ht="15.75" customHeight="1" s="201"/>
    <row r="736" ht="15.75" customHeight="1" s="201"/>
    <row r="737" ht="15.75" customHeight="1" s="201"/>
    <row r="738" ht="15.75" customHeight="1" s="201"/>
    <row r="739" ht="15.75" customHeight="1" s="201"/>
    <row r="740" ht="15.75" customHeight="1" s="201"/>
    <row r="741" ht="15.75" customHeight="1" s="201"/>
    <row r="742" ht="15.75" customHeight="1" s="201"/>
    <row r="743" ht="15.75" customHeight="1" s="201"/>
    <row r="744" ht="15.75" customHeight="1" s="201"/>
    <row r="745" ht="15.75" customHeight="1" s="201"/>
    <row r="746" ht="15.75" customHeight="1" s="201"/>
    <row r="747" ht="15.75" customHeight="1" s="201"/>
    <row r="748" ht="15.75" customHeight="1" s="201"/>
    <row r="749" ht="15.75" customHeight="1" s="201"/>
    <row r="750" ht="15.75" customHeight="1" s="201"/>
    <row r="751" ht="15.75" customHeight="1" s="201"/>
    <row r="752" ht="15.75" customHeight="1" s="201"/>
    <row r="753" ht="15.75" customHeight="1" s="201"/>
    <row r="754" ht="15.75" customHeight="1" s="201"/>
    <row r="755" ht="15.75" customHeight="1" s="201"/>
    <row r="756" ht="15.75" customHeight="1" s="201"/>
    <row r="757" ht="15.75" customHeight="1" s="201"/>
    <row r="758" ht="15.75" customHeight="1" s="201"/>
    <row r="759" ht="15.75" customHeight="1" s="201"/>
    <row r="760" ht="15.75" customHeight="1" s="201"/>
    <row r="761" ht="15.75" customHeight="1" s="201"/>
    <row r="762" ht="15.75" customHeight="1" s="201"/>
    <row r="763" ht="15.75" customHeight="1" s="201"/>
    <row r="764" ht="15.75" customHeight="1" s="201"/>
    <row r="765" ht="15.75" customHeight="1" s="201"/>
    <row r="766" ht="15.75" customHeight="1" s="201"/>
    <row r="767" ht="15.75" customHeight="1" s="201"/>
    <row r="768" ht="15.75" customHeight="1" s="201"/>
    <row r="769" ht="15.75" customHeight="1" s="201"/>
    <row r="770" ht="15.75" customHeight="1" s="201"/>
    <row r="771" ht="15.75" customHeight="1" s="201"/>
    <row r="772" ht="15.75" customHeight="1" s="201"/>
    <row r="773" ht="15.75" customHeight="1" s="201"/>
    <row r="774" ht="15.75" customHeight="1" s="201"/>
    <row r="775" ht="15.75" customHeight="1" s="201"/>
    <row r="776" ht="15.75" customHeight="1" s="201"/>
    <row r="777" ht="15.75" customHeight="1" s="201"/>
    <row r="778" ht="15.75" customHeight="1" s="201"/>
    <row r="779" ht="15.75" customHeight="1" s="201"/>
    <row r="780" ht="15.75" customHeight="1" s="201"/>
    <row r="781" ht="15.75" customHeight="1" s="201"/>
    <row r="782" ht="15.75" customHeight="1" s="201"/>
    <row r="783" ht="15.75" customHeight="1" s="201"/>
    <row r="784" ht="15.75" customHeight="1" s="201"/>
    <row r="785" ht="15.75" customHeight="1" s="201"/>
    <row r="786" ht="15.75" customHeight="1" s="201"/>
    <row r="787" ht="15.75" customHeight="1" s="201"/>
    <row r="788" ht="15.75" customHeight="1" s="201"/>
    <row r="789" ht="15.75" customHeight="1" s="201"/>
    <row r="790" ht="15.75" customHeight="1" s="201"/>
    <row r="791" ht="15.75" customHeight="1" s="201"/>
    <row r="792" ht="15.75" customHeight="1" s="201"/>
    <row r="793" ht="15.75" customHeight="1" s="201"/>
    <row r="794" ht="15.75" customHeight="1" s="201"/>
    <row r="795" ht="15.75" customHeight="1" s="201"/>
    <row r="796" ht="15.75" customHeight="1" s="201"/>
    <row r="797" ht="15.75" customHeight="1" s="201"/>
    <row r="798" ht="15.75" customHeight="1" s="201"/>
    <row r="799" ht="15.75" customHeight="1" s="201"/>
    <row r="800" ht="15.75" customHeight="1" s="201"/>
    <row r="801" ht="15.75" customHeight="1" s="201"/>
    <row r="802" ht="15.75" customHeight="1" s="201"/>
    <row r="803" ht="15.75" customHeight="1" s="201"/>
    <row r="804" ht="15.75" customHeight="1" s="201"/>
    <row r="805" ht="15.75" customHeight="1" s="201"/>
    <row r="806" ht="15.75" customHeight="1" s="201"/>
    <row r="807" ht="15.75" customHeight="1" s="201"/>
    <row r="808" ht="15.75" customHeight="1" s="201"/>
    <row r="809" ht="15.75" customHeight="1" s="201"/>
    <row r="810" ht="15.75" customHeight="1" s="201"/>
    <row r="811" ht="15.75" customHeight="1" s="201"/>
    <row r="812" ht="15.75" customHeight="1" s="201"/>
    <row r="813" ht="15.75" customHeight="1" s="201"/>
    <row r="814" ht="15.75" customHeight="1" s="201"/>
    <row r="815" ht="15.75" customHeight="1" s="201"/>
    <row r="816" ht="15.75" customHeight="1" s="201"/>
    <row r="817" ht="15.75" customHeight="1" s="201"/>
    <row r="818" ht="15.75" customHeight="1" s="201"/>
    <row r="819" ht="15.75" customHeight="1" s="201"/>
    <row r="820" ht="15.75" customHeight="1" s="201"/>
    <row r="821" ht="15.75" customHeight="1" s="201"/>
    <row r="822" ht="15.75" customHeight="1" s="201"/>
    <row r="823" ht="15.75" customHeight="1" s="201"/>
    <row r="824" ht="15.75" customHeight="1" s="201"/>
    <row r="825" ht="15.75" customHeight="1" s="201"/>
    <row r="826" ht="15.75" customHeight="1" s="201"/>
    <row r="827" ht="15.75" customHeight="1" s="201"/>
    <row r="828" ht="15.75" customHeight="1" s="201"/>
    <row r="829" ht="15.75" customHeight="1" s="201"/>
    <row r="830" ht="15.75" customHeight="1" s="201"/>
    <row r="831" ht="15.75" customHeight="1" s="201"/>
    <row r="832" ht="15.75" customHeight="1" s="201"/>
    <row r="833" ht="15.75" customHeight="1" s="201"/>
    <row r="834" ht="15.75" customHeight="1" s="201"/>
    <row r="835" ht="15.75" customHeight="1" s="201"/>
    <row r="836" ht="15.75" customHeight="1" s="201"/>
    <row r="837" ht="15.75" customHeight="1" s="201"/>
    <row r="838" ht="15.75" customHeight="1" s="201"/>
    <row r="839" ht="15.75" customHeight="1" s="201"/>
    <row r="840" ht="15.75" customHeight="1" s="201"/>
    <row r="841" ht="15.75" customHeight="1" s="201"/>
    <row r="842" ht="15.75" customHeight="1" s="201"/>
    <row r="843" ht="15.75" customHeight="1" s="201"/>
    <row r="844" ht="15.75" customHeight="1" s="201"/>
    <row r="845" ht="15.75" customHeight="1" s="201"/>
    <row r="846" ht="15.75" customHeight="1" s="201"/>
    <row r="847" ht="15.75" customHeight="1" s="201"/>
    <row r="848" ht="15.75" customHeight="1" s="201"/>
    <row r="849" ht="15.75" customHeight="1" s="201"/>
    <row r="850" ht="15.75" customHeight="1" s="201"/>
    <row r="851" ht="15.75" customHeight="1" s="201"/>
    <row r="852" ht="15.75" customHeight="1" s="201"/>
    <row r="853" ht="15.75" customHeight="1" s="201"/>
    <row r="854" ht="15.75" customHeight="1" s="201"/>
    <row r="855" ht="15.75" customHeight="1" s="201"/>
    <row r="856" ht="15.75" customHeight="1" s="201"/>
    <row r="857" ht="15.75" customHeight="1" s="201"/>
    <row r="858" ht="15.75" customHeight="1" s="201"/>
    <row r="859" ht="15.75" customHeight="1" s="201"/>
    <row r="860" ht="15.75" customHeight="1" s="201"/>
    <row r="861" ht="15.75" customHeight="1" s="201"/>
    <row r="862" ht="15.75" customHeight="1" s="201"/>
    <row r="863" ht="15.75" customHeight="1" s="201"/>
    <row r="864" ht="15.75" customHeight="1" s="201"/>
    <row r="865" ht="15.75" customHeight="1" s="201"/>
    <row r="866" ht="15.75" customHeight="1" s="201"/>
    <row r="867" ht="15.75" customHeight="1" s="201"/>
    <row r="868" ht="15.75" customHeight="1" s="201"/>
    <row r="869" ht="15.75" customHeight="1" s="201"/>
    <row r="870" ht="15.75" customHeight="1" s="201"/>
    <row r="871" ht="15.75" customHeight="1" s="201"/>
    <row r="872" ht="15.75" customHeight="1" s="201"/>
    <row r="873" ht="15.75" customHeight="1" s="201"/>
    <row r="874" ht="15.75" customHeight="1" s="201"/>
    <row r="875" ht="15.75" customHeight="1" s="201"/>
    <row r="876" ht="15.75" customHeight="1" s="201"/>
    <row r="877" ht="15.75" customHeight="1" s="201"/>
    <row r="878" ht="15.75" customHeight="1" s="201"/>
    <row r="879" ht="15.75" customHeight="1" s="201"/>
    <row r="880" ht="15.75" customHeight="1" s="201"/>
    <row r="881" ht="15.75" customHeight="1" s="201"/>
    <row r="882" ht="15.75" customHeight="1" s="201"/>
    <row r="883" ht="15.75" customHeight="1" s="201"/>
    <row r="884" ht="15.75" customHeight="1" s="201"/>
    <row r="885" ht="15.75" customHeight="1" s="201"/>
    <row r="886" ht="15.75" customHeight="1" s="201"/>
    <row r="887" ht="15.75" customHeight="1" s="201"/>
    <row r="888" ht="15.75" customHeight="1" s="201"/>
    <row r="889" ht="15.75" customHeight="1" s="201"/>
    <row r="890" ht="15.75" customHeight="1" s="201"/>
    <row r="891" ht="15.75" customHeight="1" s="201"/>
    <row r="892" ht="15.75" customHeight="1" s="201"/>
    <row r="893" ht="15.75" customHeight="1" s="201"/>
    <row r="894" ht="15.75" customHeight="1" s="201"/>
    <row r="895" ht="15.75" customHeight="1" s="201"/>
    <row r="896" ht="15.75" customHeight="1" s="201"/>
    <row r="897" ht="15.75" customHeight="1" s="201"/>
    <row r="898" ht="15.75" customHeight="1" s="201"/>
    <row r="899" ht="15.75" customHeight="1" s="201"/>
    <row r="900" ht="15.75" customHeight="1" s="201"/>
    <row r="901" ht="15.75" customHeight="1" s="201"/>
    <row r="902" ht="15.75" customHeight="1" s="201"/>
    <row r="903" ht="15.75" customHeight="1" s="201"/>
    <row r="904" ht="15.75" customHeight="1" s="201"/>
    <row r="905" ht="15.75" customHeight="1" s="201"/>
    <row r="906" ht="15.75" customHeight="1" s="201"/>
    <row r="907" ht="15.75" customHeight="1" s="201"/>
    <row r="908" ht="15.75" customHeight="1" s="201"/>
    <row r="909" ht="15.75" customHeight="1" s="201"/>
    <row r="910" ht="15.75" customHeight="1" s="201"/>
    <row r="911" ht="15.75" customHeight="1" s="201"/>
    <row r="912" ht="15.75" customHeight="1" s="201"/>
    <row r="913" ht="15.75" customHeight="1" s="201"/>
    <row r="914" ht="15.75" customHeight="1" s="201"/>
    <row r="915" ht="15.75" customHeight="1" s="201"/>
    <row r="916" ht="15.75" customHeight="1" s="201"/>
    <row r="917" ht="15.75" customHeight="1" s="201"/>
    <row r="918" ht="15.75" customHeight="1" s="201"/>
    <row r="919" ht="15.75" customHeight="1" s="201"/>
    <row r="920" ht="15.75" customHeight="1" s="201"/>
    <row r="921" ht="15.75" customHeight="1" s="201"/>
    <row r="922" ht="15.75" customHeight="1" s="201"/>
    <row r="923" ht="15.75" customHeight="1" s="201"/>
    <row r="924" ht="15.75" customHeight="1" s="201"/>
    <row r="925" ht="15.75" customHeight="1" s="201"/>
    <row r="926" ht="15.75" customHeight="1" s="201"/>
    <row r="927" ht="15.75" customHeight="1" s="201"/>
    <row r="928" ht="15.75" customHeight="1" s="201"/>
    <row r="929" ht="15.75" customHeight="1" s="201"/>
    <row r="930" ht="15.75" customHeight="1" s="201"/>
    <row r="931" ht="15.75" customHeight="1" s="201"/>
    <row r="932" ht="15.75" customHeight="1" s="201"/>
    <row r="933" ht="15.75" customHeight="1" s="201"/>
    <row r="934" ht="15.75" customHeight="1" s="201"/>
    <row r="935" ht="15.75" customHeight="1" s="201"/>
    <row r="936" ht="15.75" customHeight="1" s="201"/>
    <row r="937" ht="15.75" customHeight="1" s="201"/>
    <row r="938" ht="15.75" customHeight="1" s="201"/>
    <row r="939" ht="15.75" customHeight="1" s="201"/>
    <row r="940" ht="15.75" customHeight="1" s="201"/>
    <row r="941" ht="15.75" customHeight="1" s="201"/>
    <row r="942" ht="15.75" customHeight="1" s="201"/>
    <row r="943" ht="15.75" customHeight="1" s="201"/>
    <row r="944" ht="15.75" customHeight="1" s="201"/>
    <row r="945" ht="15.75" customHeight="1" s="201"/>
    <row r="946" ht="15.75" customHeight="1" s="201"/>
    <row r="947" ht="15.75" customHeight="1" s="201"/>
    <row r="948" ht="15.75" customHeight="1" s="201"/>
    <row r="949" ht="15.75" customHeight="1" s="201"/>
    <row r="950" ht="15.75" customHeight="1" s="201"/>
    <row r="951" ht="15.75" customHeight="1" s="201"/>
    <row r="952" ht="15.75" customHeight="1" s="201"/>
    <row r="953" ht="15.75" customHeight="1" s="201"/>
    <row r="954" ht="15.75" customHeight="1" s="201"/>
    <row r="955" ht="15.75" customHeight="1" s="201"/>
    <row r="956" ht="15.75" customHeight="1" s="201"/>
    <row r="957" ht="15.75" customHeight="1" s="201"/>
    <row r="958" ht="15.75" customHeight="1" s="201"/>
    <row r="959" ht="15.75" customHeight="1" s="201"/>
    <row r="960" ht="15.75" customHeight="1" s="201"/>
    <row r="961" ht="15.75" customHeight="1" s="201"/>
    <row r="962" ht="15.75" customHeight="1" s="201"/>
    <row r="963" ht="15.75" customHeight="1" s="201"/>
    <row r="964" ht="15.75" customHeight="1" s="201"/>
    <row r="965" ht="15.75" customHeight="1" s="201"/>
    <row r="966" ht="15.75" customHeight="1" s="201"/>
    <row r="967" ht="15.75" customHeight="1" s="201"/>
    <row r="968" ht="15.75" customHeight="1" s="201"/>
    <row r="969" ht="15.75" customHeight="1" s="201"/>
    <row r="970" ht="15.75" customHeight="1" s="201"/>
    <row r="971" ht="15.75" customHeight="1" s="201"/>
    <row r="972" ht="15.75" customHeight="1" s="201"/>
    <row r="973" ht="15.75" customHeight="1" s="201"/>
    <row r="974" ht="15.75" customHeight="1" s="201"/>
    <row r="975" ht="15.75" customHeight="1" s="201"/>
    <row r="976" ht="15.75" customHeight="1" s="201"/>
    <row r="977" ht="15.75" customHeight="1" s="201"/>
    <row r="978" ht="15.75" customHeight="1" s="201"/>
    <row r="979" ht="15.75" customHeight="1" s="201"/>
    <row r="980" ht="15.75" customHeight="1" s="201"/>
    <row r="981" ht="15.75" customHeight="1" s="201"/>
    <row r="982" ht="15.75" customHeight="1" s="201"/>
    <row r="983" ht="15.75" customHeight="1" s="201"/>
    <row r="984" ht="15.75" customHeight="1" s="201"/>
    <row r="985" ht="15.75" customHeight="1" s="201"/>
    <row r="986" ht="15.75" customHeight="1" s="201"/>
    <row r="987" ht="15.75" customHeight="1" s="201"/>
    <row r="988" ht="15.75" customHeight="1" s="201"/>
    <row r="989" ht="15.75" customHeight="1" s="201"/>
    <row r="990" ht="15.75" customHeight="1" s="201"/>
    <row r="991" ht="15.75" customHeight="1" s="201"/>
    <row r="992" ht="15.75" customHeight="1" s="201"/>
    <row r="993" ht="15.75" customHeight="1" s="201"/>
    <row r="994" ht="15.75" customHeight="1" s="201"/>
    <row r="995" ht="15.75" customHeight="1" s="201"/>
    <row r="996" ht="15.75" customHeight="1" s="201"/>
    <row r="997" ht="15.75" customHeight="1" s="201"/>
    <row r="998" ht="15.75" customHeight="1" s="201"/>
    <row r="999" ht="15.75" customHeight="1" s="201"/>
    <row r="1000" ht="15.75" customHeight="1" s="201"/>
  </sheetData>
  <mergeCells count="1">
    <mergeCell ref="A48:K49"/>
  </mergeCell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F4436"/>
  <sheetViews>
    <sheetView workbookViewId="0">
      <selection activeCell="A1" sqref="A1"/>
    </sheetView>
  </sheetViews>
  <sheetFormatPr baseColWidth="8" defaultColWidth="12.63" defaultRowHeight="15" customHeight="1"/>
  <cols>
    <col width="10.38" customWidth="1" style="201" min="1" max="1"/>
    <col width="150.13" customWidth="1" style="201" min="2" max="2"/>
    <col width="8" customWidth="1" style="201" min="3" max="3"/>
    <col width="45.63" customWidth="1" style="201" min="4" max="4"/>
    <col width="7.38" customWidth="1" style="201" min="5" max="5"/>
    <col width="12.13" customWidth="1" style="201" min="6" max="6"/>
  </cols>
  <sheetData>
    <row r="1">
      <c r="A1" s="200" t="inlineStr">
        <is>
          <t>food_code</t>
        </is>
      </c>
      <c r="B1" s="200" t="inlineStr">
        <is>
          <t>food_description</t>
        </is>
      </c>
      <c r="C1" s="200" t="inlineStr">
        <is>
          <t>method</t>
        </is>
      </c>
      <c r="D1" s="200" t="inlineStr">
        <is>
          <t>method_description</t>
        </is>
      </c>
      <c r="E1" s="200" t="inlineStr">
        <is>
          <t>nhanes</t>
        </is>
      </c>
      <c r="F1" s="200" t="inlineStr">
        <is>
          <t>price_100gm</t>
        </is>
      </c>
    </row>
    <row r="2">
      <c r="A2" s="1" t="n">
        <v>11100000</v>
      </c>
      <c r="B2" s="1" t="inlineStr">
        <is>
          <t>Milk, NFS</t>
        </is>
      </c>
      <c r="C2" s="1" t="n">
        <v>2</v>
      </c>
      <c r="D2" s="1" t="inlineStr">
        <is>
          <t>Links to altEC</t>
        </is>
      </c>
      <c r="E2" s="1" t="inlineStr">
        <is>
          <t>Base</t>
        </is>
      </c>
      <c r="F2" s="1" t="n">
        <v>0.100484</v>
      </c>
    </row>
    <row r="3">
      <c r="A3" s="1" t="n">
        <v>11111000</v>
      </c>
      <c r="B3" s="1" t="inlineStr">
        <is>
          <t>Milk, whole (Includes 3.5% or 3.8% fat milk; leche fresca)</t>
        </is>
      </c>
      <c r="C3" s="1" t="n">
        <v>1</v>
      </c>
      <c r="D3" s="1" t="inlineStr">
        <is>
          <t>Links to FNDDS</t>
        </is>
      </c>
      <c r="E3" s="1" t="inlineStr">
        <is>
          <t>Base</t>
        </is>
      </c>
      <c r="F3" s="1" t="n">
        <v>0.09828000000000001</v>
      </c>
    </row>
    <row r="4">
      <c r="A4" s="1" t="n">
        <v>11112110</v>
      </c>
      <c r="B4" s="1" t="inlineStr">
        <is>
          <t>Milk, reduced fat (2%) (Includes Hi-Protein milk; fortified milk; 1.5% fat milk)</t>
        </is>
      </c>
      <c r="C4" s="1" t="n">
        <v>1</v>
      </c>
      <c r="D4" s="1" t="inlineStr">
        <is>
          <t>Links to FNDDS</t>
        </is>
      </c>
      <c r="E4" s="1" t="inlineStr">
        <is>
          <t>Base</t>
        </is>
      </c>
      <c r="F4" s="1" t="n">
        <v>0.092085</v>
      </c>
    </row>
    <row r="5">
      <c r="A5" s="1" t="n">
        <v>11112210</v>
      </c>
      <c r="B5" s="1" t="inlineStr">
        <is>
          <t>Milk, low fat (1%)</t>
        </is>
      </c>
      <c r="C5" s="1" t="n">
        <v>1</v>
      </c>
      <c r="D5" s="1" t="inlineStr">
        <is>
          <t>Links to FNDDS</t>
        </is>
      </c>
      <c r="E5" s="1" t="inlineStr">
        <is>
          <t>Base</t>
        </is>
      </c>
      <c r="F5" s="1" t="n">
        <v>0.09091399999999999</v>
      </c>
    </row>
    <row r="6">
      <c r="A6" s="1" t="n">
        <v>11113000</v>
      </c>
      <c r="B6" s="1" t="inlineStr">
        <is>
          <t>Milk, fat free (skim) (Includes nonfat milk; 0.5% or less fat)</t>
        </is>
      </c>
      <c r="C6" s="1" t="n">
        <v>1</v>
      </c>
      <c r="D6" s="1" t="inlineStr">
        <is>
          <t>Links to FNDDS</t>
        </is>
      </c>
      <c r="E6" s="1" t="inlineStr">
        <is>
          <t>Base</t>
        </is>
      </c>
      <c r="F6" s="1" t="n">
        <v>0.092441</v>
      </c>
    </row>
    <row r="7">
      <c r="A7" s="1" t="n">
        <v>11114300</v>
      </c>
      <c r="B7" s="1" t="inlineStr">
        <is>
          <t>Milk, lactose free, low fat (1%) (Includes Lactaid; Lactaid, NS as to fat content; lactose reduced)</t>
        </is>
      </c>
      <c r="C7" s="1" t="n">
        <v>1</v>
      </c>
      <c r="D7" s="1" t="inlineStr">
        <is>
          <t>Links to FNDDS</t>
        </is>
      </c>
      <c r="E7" s="1" t="inlineStr">
        <is>
          <t>Base</t>
        </is>
      </c>
      <c r="F7" s="1" t="n">
        <v>0.202032</v>
      </c>
    </row>
    <row r="8">
      <c r="A8" s="1" t="n">
        <v>11114330</v>
      </c>
      <c r="B8" s="1" t="inlineStr">
        <is>
          <t>Milk, lactose free, reduced fat (2%) (Includes Lactaid; lactose reduced)</t>
        </is>
      </c>
      <c r="C8" s="1" t="n">
        <v>1</v>
      </c>
      <c r="D8" s="1" t="inlineStr">
        <is>
          <t>Links to FNDDS</t>
        </is>
      </c>
      <c r="E8" s="1" t="inlineStr">
        <is>
          <t>Base</t>
        </is>
      </c>
      <c r="F8" s="1" t="n">
        <v>0.203736</v>
      </c>
    </row>
    <row r="9">
      <c r="A9" s="1" t="n">
        <v>11114350</v>
      </c>
      <c r="B9" s="1" t="inlineStr">
        <is>
          <t>Milk, lactose free, whole (Includes Lactaid whole milk; lactose reduced)</t>
        </is>
      </c>
      <c r="C9" s="1" t="n">
        <v>1</v>
      </c>
      <c r="D9" s="1" t="inlineStr">
        <is>
          <t>Links to FNDDS</t>
        </is>
      </c>
      <c r="E9" s="1" t="inlineStr">
        <is>
          <t>Base</t>
        </is>
      </c>
      <c r="F9" s="1" t="n">
        <v>0.201889</v>
      </c>
    </row>
    <row r="10">
      <c r="A10" s="1" t="n">
        <v>11115000</v>
      </c>
      <c r="B10" s="1" t="inlineStr">
        <is>
          <t>Buttermilk, fat free (skim) (Includes nonfat buttermilk)</t>
        </is>
      </c>
      <c r="C10" s="1" t="n">
        <v>1</v>
      </c>
      <c r="D10" s="1" t="inlineStr">
        <is>
          <t>Links to FNDDS</t>
        </is>
      </c>
      <c r="E10" s="1" t="inlineStr">
        <is>
          <t>Base</t>
        </is>
      </c>
      <c r="F10" s="1" t="n">
        <v>0.210548</v>
      </c>
    </row>
    <row r="11">
      <c r="A11" s="1" t="n">
        <v>11115100</v>
      </c>
      <c r="B11" s="1" t="inlineStr">
        <is>
          <t>Buttermilk, low fat (1%) (Includes buttermilk, NS as to fat)</t>
        </is>
      </c>
      <c r="C11" s="1" t="n">
        <v>1</v>
      </c>
      <c r="D11" s="1" t="inlineStr">
        <is>
          <t>Links to FNDDS</t>
        </is>
      </c>
      <c r="E11" s="1" t="inlineStr">
        <is>
          <t>Base</t>
        </is>
      </c>
      <c r="F11" s="1" t="n">
        <v>0.173914</v>
      </c>
    </row>
    <row r="12">
      <c r="A12" s="1" t="n">
        <v>11115200</v>
      </c>
      <c r="B12" s="1" t="inlineStr">
        <is>
          <t>Buttermilk, reduced fat (2%) (Includes 2% fat, made with nonfat milk solids)</t>
        </is>
      </c>
      <c r="C12" s="1" t="n">
        <v>1</v>
      </c>
      <c r="D12" s="1" t="inlineStr">
        <is>
          <t>Links to FNDDS</t>
        </is>
      </c>
      <c r="E12" s="1" t="inlineStr">
        <is>
          <t>Base</t>
        </is>
      </c>
      <c r="F12" s="1" t="n">
        <v>0.25371</v>
      </c>
    </row>
    <row r="13">
      <c r="A13" s="1" t="n">
        <v>11115300</v>
      </c>
      <c r="B13" s="1" t="inlineStr">
        <is>
          <t>Buttermilk, whole</t>
        </is>
      </c>
      <c r="C13" s="1" t="n">
        <v>1</v>
      </c>
      <c r="D13" s="1" t="inlineStr">
        <is>
          <t>Links to FNDDS</t>
        </is>
      </c>
      <c r="E13" s="1" t="inlineStr">
        <is>
          <t>Base</t>
        </is>
      </c>
      <c r="F13" s="1" t="n">
        <v>0.179582</v>
      </c>
    </row>
    <row r="14">
      <c r="A14" s="1" t="n">
        <v>11115400</v>
      </c>
      <c r="B14" s="1" t="inlineStr">
        <is>
          <t>Kefir, NS as to fat content (Includes fermented milk drink; plain; all flavors)</t>
        </is>
      </c>
      <c r="C14" s="1" t="n">
        <v>1</v>
      </c>
      <c r="D14" s="1" t="inlineStr">
        <is>
          <t>Links to FNDDS</t>
        </is>
      </c>
      <c r="E14" s="1" t="inlineStr">
        <is>
          <t>Base</t>
        </is>
      </c>
      <c r="F14" s="1" t="n">
        <v>0.345625</v>
      </c>
    </row>
    <row r="15">
      <c r="A15" s="1" t="n">
        <v>11120000</v>
      </c>
      <c r="B15" s="1" t="inlineStr">
        <is>
          <t>Milk, dry, reconstituted, NS as to fat content</t>
        </is>
      </c>
      <c r="C15" s="1" t="n">
        <v>2</v>
      </c>
      <c r="D15" s="1" t="inlineStr">
        <is>
          <t>Links to altEC</t>
        </is>
      </c>
      <c r="E15" s="1" t="inlineStr">
        <is>
          <t>Base</t>
        </is>
      </c>
      <c r="F15" s="1" t="n">
        <v>0.043593</v>
      </c>
    </row>
    <row r="16">
      <c r="A16" s="1" t="n">
        <v>11121100</v>
      </c>
      <c r="B16" s="1" t="inlineStr">
        <is>
          <t>Milk, dry, reconstituted, whole</t>
        </is>
      </c>
      <c r="C16" s="1" t="n">
        <v>2</v>
      </c>
      <c r="D16" s="1" t="inlineStr">
        <is>
          <t>Links to altEC</t>
        </is>
      </c>
      <c r="E16" s="1" t="inlineStr">
        <is>
          <t>Base</t>
        </is>
      </c>
      <c r="F16" s="1" t="n">
        <v>0.043593</v>
      </c>
    </row>
    <row r="17">
      <c r="A17" s="1" t="n">
        <v>11121210</v>
      </c>
      <c r="B17" s="1" t="inlineStr">
        <is>
          <t>Milk, dry, reconstituted, low fat (1%)</t>
        </is>
      </c>
      <c r="C17" s="1" t="n">
        <v>2</v>
      </c>
      <c r="D17" s="1" t="inlineStr">
        <is>
          <t>Links to altEC</t>
        </is>
      </c>
      <c r="E17" s="1" t="inlineStr">
        <is>
          <t>Base</t>
        </is>
      </c>
      <c r="F17" s="1" t="n">
        <v>0.043593</v>
      </c>
    </row>
    <row r="18">
      <c r="A18" s="1" t="n">
        <v>11121300</v>
      </c>
      <c r="B18" s="1" t="inlineStr">
        <is>
          <t>Milk, dry, reconstituted, fat free (skim) (Includes nonfat milk)</t>
        </is>
      </c>
      <c r="C18" s="1" t="n">
        <v>2</v>
      </c>
      <c r="D18" s="1" t="inlineStr">
        <is>
          <t>Links to altEC</t>
        </is>
      </c>
      <c r="E18" s="1" t="inlineStr">
        <is>
          <t>Base</t>
        </is>
      </c>
      <c r="F18" s="1" t="n">
        <v>0.043593</v>
      </c>
    </row>
    <row r="19">
      <c r="A19" s="1" t="n">
        <v>11210050</v>
      </c>
      <c r="B19" s="1" t="inlineStr">
        <is>
          <t>Milk, evaporated, NS as to fat content</t>
        </is>
      </c>
      <c r="C19" s="1" t="n">
        <v>1</v>
      </c>
      <c r="D19" s="1" t="inlineStr">
        <is>
          <t>Links to FNDDS</t>
        </is>
      </c>
      <c r="E19" s="1" t="inlineStr">
        <is>
          <t>Base</t>
        </is>
      </c>
      <c r="F19" s="1" t="n">
        <v>0.267001</v>
      </c>
    </row>
    <row r="20">
      <c r="A20" s="1" t="n">
        <v>11211050</v>
      </c>
      <c r="B20" s="1" t="inlineStr">
        <is>
          <t>Milk, evaporated, whole</t>
        </is>
      </c>
      <c r="C20" s="1" t="n">
        <v>1</v>
      </c>
      <c r="D20" s="1" t="inlineStr">
        <is>
          <t>Links to FNDDS</t>
        </is>
      </c>
      <c r="E20" s="1" t="inlineStr">
        <is>
          <t>Base</t>
        </is>
      </c>
      <c r="F20" s="1" t="n">
        <v>0.257601</v>
      </c>
    </row>
    <row r="21" ht="15.75" customHeight="1" s="201">
      <c r="A21" s="1" t="n">
        <v>11211400</v>
      </c>
      <c r="B21" s="1" t="inlineStr">
        <is>
          <t>Milk, evaporated, reduced fat (2%)</t>
        </is>
      </c>
      <c r="C21" s="1" t="n">
        <v>1</v>
      </c>
      <c r="D21" s="1" t="inlineStr">
        <is>
          <t>Links to FNDDS</t>
        </is>
      </c>
      <c r="E21" s="1" t="inlineStr">
        <is>
          <t>Base</t>
        </is>
      </c>
      <c r="F21" s="1" t="n">
        <v>0.358374</v>
      </c>
    </row>
    <row r="22" ht="15.75" customHeight="1" s="201">
      <c r="A22" s="1" t="n">
        <v>11212050</v>
      </c>
      <c r="B22" s="1" t="inlineStr">
        <is>
          <t>Milk, evaporated, fat free (skim) (Includes nonfat milk)</t>
        </is>
      </c>
      <c r="C22" s="1" t="n">
        <v>1</v>
      </c>
      <c r="D22" s="1" t="inlineStr">
        <is>
          <t>Links to FNDDS</t>
        </is>
      </c>
      <c r="E22" s="1" t="inlineStr">
        <is>
          <t>Base</t>
        </is>
      </c>
      <c r="F22" s="1" t="n">
        <v>0.333665</v>
      </c>
    </row>
    <row r="23" ht="15.75" customHeight="1" s="201">
      <c r="A23" s="1" t="n">
        <v>11220000</v>
      </c>
      <c r="B23" s="1" t="inlineStr">
        <is>
          <t>Milk, condensed, sweetened</t>
        </is>
      </c>
      <c r="C23" s="1" t="n">
        <v>1</v>
      </c>
      <c r="D23" s="1" t="inlineStr">
        <is>
          <t>Links to FNDDS</t>
        </is>
      </c>
      <c r="E23" s="1" t="inlineStr">
        <is>
          <t>Base</t>
        </is>
      </c>
      <c r="F23" s="1" t="n">
        <v>0.369704</v>
      </c>
    </row>
    <row r="24" ht="15.75" customHeight="1" s="201">
      <c r="A24" s="1" t="n">
        <v>11320000</v>
      </c>
      <c r="B24" s="1" t="inlineStr">
        <is>
          <t>Soy milk (Includes Edensoy; vanilla flavored; Silk; West Soy; Soymilk; NS as to type; Vitasoy)</t>
        </is>
      </c>
      <c r="C24" s="1" t="n">
        <v>1</v>
      </c>
      <c r="D24" s="1" t="inlineStr">
        <is>
          <t>Links to FNDDS</t>
        </is>
      </c>
      <c r="E24" s="1" t="inlineStr">
        <is>
          <t>Base</t>
        </is>
      </c>
      <c r="F24" s="1" t="n">
        <v>0.169213</v>
      </c>
    </row>
    <row r="25" ht="15.75" customHeight="1" s="201">
      <c r="A25" s="1" t="n">
        <v>11320100</v>
      </c>
      <c r="B25" s="1" t="inlineStr">
        <is>
          <t>Soy milk, light (Includes vanilla flavored; Silk; Vitasoy; West Soy; Soymilk)</t>
        </is>
      </c>
      <c r="C25" s="1" t="n">
        <v>1</v>
      </c>
      <c r="D25" s="1" t="inlineStr">
        <is>
          <t>Links to FNDDS</t>
        </is>
      </c>
      <c r="E25" s="1" t="inlineStr">
        <is>
          <t>Base</t>
        </is>
      </c>
      <c r="F25" s="1" t="n">
        <v>0.124155</v>
      </c>
    </row>
    <row r="26" ht="15.75" customHeight="1" s="201">
      <c r="A26" s="1" t="n">
        <v>11320200</v>
      </c>
      <c r="B26" s="1" t="inlineStr">
        <is>
          <t>Soy milk, nonfat (Includes vanilla flavored; West Soy; Soymilk)</t>
        </is>
      </c>
      <c r="C26" s="1" t="n">
        <v>2</v>
      </c>
      <c r="D26" s="1" t="inlineStr">
        <is>
          <t>Links to altEC</t>
        </is>
      </c>
      <c r="E26" s="1" t="inlineStr">
        <is>
          <t>Base</t>
        </is>
      </c>
      <c r="F26" s="1" t="n">
        <v>0.124155</v>
      </c>
    </row>
    <row r="27" ht="15.75" customHeight="1" s="201">
      <c r="A27" s="1" t="n">
        <v>11321000</v>
      </c>
      <c r="B27" s="1" t="inlineStr">
        <is>
          <t>Soy milk, chocolate (Includes Silk; Belsoy; Soymilk)</t>
        </is>
      </c>
      <c r="C27" s="1" t="n">
        <v>1</v>
      </c>
      <c r="D27" s="1" t="inlineStr">
        <is>
          <t>Links to FNDDS</t>
        </is>
      </c>
      <c r="E27" s="1" t="inlineStr">
        <is>
          <t>Base</t>
        </is>
      </c>
      <c r="F27" s="1" t="n">
        <v>0.179923</v>
      </c>
    </row>
    <row r="28" ht="15.75" customHeight="1" s="201">
      <c r="A28" s="1" t="n">
        <v>11321100</v>
      </c>
      <c r="B28" s="1" t="inlineStr">
        <is>
          <t>Soy milk, light, chocolate (Includes Silk; Vitasoy; Soymilk)</t>
        </is>
      </c>
      <c r="C28" s="1" t="n">
        <v>2</v>
      </c>
      <c r="D28" s="1" t="inlineStr">
        <is>
          <t>Links to altEC</t>
        </is>
      </c>
      <c r="E28" s="1" t="inlineStr">
        <is>
          <t>Base</t>
        </is>
      </c>
      <c r="F28" s="1" t="n">
        <v>0.124155</v>
      </c>
    </row>
    <row r="29" ht="15.75" customHeight="1" s="201">
      <c r="A29" s="1" t="n">
        <v>11321200</v>
      </c>
      <c r="B29" s="1" t="inlineStr">
        <is>
          <t>Soy milk, nonfat, chocolate (Includes Soymilk)</t>
        </is>
      </c>
      <c r="C29" s="1" t="n">
        <v>2</v>
      </c>
      <c r="D29" s="1" t="inlineStr">
        <is>
          <t>Links to altEC</t>
        </is>
      </c>
      <c r="E29" s="1" t="inlineStr">
        <is>
          <t>Base</t>
        </is>
      </c>
      <c r="F29" s="1" t="n">
        <v>0.124155</v>
      </c>
    </row>
    <row r="30" ht="15.75" customHeight="1" s="201">
      <c r="A30" s="1" t="n">
        <v>11350000</v>
      </c>
      <c r="B30" s="1" t="inlineStr">
        <is>
          <t>Almond milk, sweetened (Includes vanilla flavored; NS as to sweetened; cashew)</t>
        </is>
      </c>
      <c r="C30" s="1" t="n">
        <v>1</v>
      </c>
      <c r="D30" s="1" t="inlineStr">
        <is>
          <t>Links to FNDDS</t>
        </is>
      </c>
      <c r="E30" s="1" t="inlineStr">
        <is>
          <t>Base</t>
        </is>
      </c>
      <c r="F30" s="1" t="n">
        <v>0.169743</v>
      </c>
    </row>
    <row r="31" ht="15.75" customHeight="1" s="201">
      <c r="A31" s="1" t="n">
        <v>11350010</v>
      </c>
      <c r="B31" s="1" t="inlineStr">
        <is>
          <t>Almond milk, sweetened, chocolate (Includes NS as to sweetened; cashew)</t>
        </is>
      </c>
      <c r="C31" s="1" t="n">
        <v>1</v>
      </c>
      <c r="D31" s="1" t="inlineStr">
        <is>
          <t>Links to FNDDS</t>
        </is>
      </c>
      <c r="E31" s="1" t="inlineStr">
        <is>
          <t>Base</t>
        </is>
      </c>
      <c r="F31" s="1" t="n">
        <v>0.170165</v>
      </c>
    </row>
    <row r="32" ht="15.75" customHeight="1" s="201">
      <c r="A32" s="1" t="n">
        <v>11350020</v>
      </c>
      <c r="B32" s="1" t="inlineStr">
        <is>
          <t>Almond milk, unsweetened (Includes unsweetened vanilla; flavors other than chocolate; cashew)</t>
        </is>
      </c>
      <c r="C32" s="1" t="n">
        <v>1</v>
      </c>
      <c r="D32" s="1" t="inlineStr">
        <is>
          <t>Links to FNDDS</t>
        </is>
      </c>
      <c r="E32" s="1" t="inlineStr">
        <is>
          <t>Base</t>
        </is>
      </c>
      <c r="F32" s="1" t="n">
        <v>0.15624</v>
      </c>
    </row>
    <row r="33" ht="15.75" customHeight="1" s="201">
      <c r="A33" s="1" t="n">
        <v>11350030</v>
      </c>
      <c r="B33" s="1" t="inlineStr">
        <is>
          <t>Almond milk, unsweetened, chocolate (Includes Blue Diamond Almond Breeze; Silk PureAlmond; Almond Dream)</t>
        </is>
      </c>
      <c r="C33" s="1" t="n">
        <v>2</v>
      </c>
      <c r="D33" s="1" t="inlineStr">
        <is>
          <t>Links to altEC</t>
        </is>
      </c>
      <c r="E33" s="1" t="inlineStr">
        <is>
          <t>Base</t>
        </is>
      </c>
      <c r="F33" s="1" t="n">
        <v>0.15624</v>
      </c>
    </row>
    <row r="34" ht="15.75" customHeight="1" s="201">
      <c r="A34" s="1" t="n">
        <v>11360000</v>
      </c>
      <c r="B34" s="1" t="inlineStr">
        <is>
          <t>Rice milk (Includes Rice Dream beverage)</t>
        </is>
      </c>
      <c r="C34" s="1" t="n">
        <v>1</v>
      </c>
      <c r="D34" s="1" t="inlineStr">
        <is>
          <t>Links to FNDDS</t>
        </is>
      </c>
      <c r="E34" s="1" t="inlineStr">
        <is>
          <t>Base</t>
        </is>
      </c>
      <c r="F34" s="1" t="n">
        <v>0.212532</v>
      </c>
    </row>
    <row r="35" ht="15.75" customHeight="1" s="201">
      <c r="A35" s="1" t="n">
        <v>11370000</v>
      </c>
      <c r="B35" s="1" t="inlineStr">
        <is>
          <t>Coconut milk (Includes Silk PureCoconut beverage; So Delicious)</t>
        </is>
      </c>
      <c r="C35" s="1" t="n">
        <v>1</v>
      </c>
      <c r="D35" s="1" t="inlineStr">
        <is>
          <t>Links to FNDDS</t>
        </is>
      </c>
      <c r="E35" s="1" t="inlineStr">
        <is>
          <t>Base</t>
        </is>
      </c>
      <c r="F35" s="1" t="n">
        <v>0.264438</v>
      </c>
    </row>
    <row r="36" ht="15.75" customHeight="1" s="201">
      <c r="A36" s="1" t="n">
        <v>11400000</v>
      </c>
      <c r="B36" s="1" t="inlineStr">
        <is>
          <t>Yogurt, NFS</t>
        </is>
      </c>
      <c r="C36" s="1" t="n">
        <v>2</v>
      </c>
      <c r="D36" s="1" t="inlineStr">
        <is>
          <t>Links to altEC</t>
        </is>
      </c>
      <c r="E36" s="1" t="inlineStr">
        <is>
          <t>Base</t>
        </is>
      </c>
      <c r="F36" s="1" t="n">
        <v>0.5121790000000001</v>
      </c>
    </row>
    <row r="37" ht="15.75" customHeight="1" s="201">
      <c r="A37" s="1" t="n">
        <v>11400010</v>
      </c>
      <c r="B37" s="1" t="inlineStr">
        <is>
          <t>Yogurt, Greek, NS as to type of milk or flavor</t>
        </is>
      </c>
      <c r="C37" s="1" t="n">
        <v>2</v>
      </c>
      <c r="D37" s="1" t="inlineStr">
        <is>
          <t>Links to altEC</t>
        </is>
      </c>
      <c r="E37" s="1" t="inlineStr">
        <is>
          <t>Base</t>
        </is>
      </c>
      <c r="F37" s="1" t="n">
        <v>0.583603</v>
      </c>
    </row>
    <row r="38" ht="15.75" customHeight="1" s="201">
      <c r="A38" s="1" t="n">
        <v>11410000</v>
      </c>
      <c r="B38" s="1" t="inlineStr">
        <is>
          <t>Yogurt, NS as to type of milk or flavor</t>
        </is>
      </c>
      <c r="C38" s="1" t="n">
        <v>2</v>
      </c>
      <c r="D38" s="1" t="inlineStr">
        <is>
          <t>Links to altEC</t>
        </is>
      </c>
      <c r="E38" s="1" t="inlineStr">
        <is>
          <t>Base</t>
        </is>
      </c>
      <c r="F38" s="1" t="n">
        <v>0.443067</v>
      </c>
    </row>
    <row r="39" ht="15.75" customHeight="1" s="201">
      <c r="A39" s="1" t="n">
        <v>11411010</v>
      </c>
      <c r="B39" s="1" t="inlineStr">
        <is>
          <t>Yogurt, NS as to type of milk, plain</t>
        </is>
      </c>
      <c r="C39" s="1" t="n">
        <v>2</v>
      </c>
      <c r="D39" s="1" t="inlineStr">
        <is>
          <t>Links to altEC</t>
        </is>
      </c>
      <c r="E39" s="1" t="inlineStr">
        <is>
          <t>Base</t>
        </is>
      </c>
      <c r="F39" s="1" t="n">
        <v>0.412198</v>
      </c>
    </row>
    <row r="40" ht="15.75" customHeight="1" s="201">
      <c r="A40" s="1" t="n">
        <v>11411100</v>
      </c>
      <c r="B40" s="1" t="inlineStr">
        <is>
          <t>Yogurt, whole milk, plain</t>
        </is>
      </c>
      <c r="C40" s="1" t="n">
        <v>2</v>
      </c>
      <c r="D40" s="1" t="inlineStr">
        <is>
          <t>Links to altEC</t>
        </is>
      </c>
      <c r="E40" s="1" t="inlineStr">
        <is>
          <t>Base</t>
        </is>
      </c>
      <c r="F40" s="1" t="n">
        <v>0.412198</v>
      </c>
    </row>
    <row r="41" ht="15.75" customHeight="1" s="201">
      <c r="A41" s="1" t="n">
        <v>11411200</v>
      </c>
      <c r="B41" s="1" t="inlineStr">
        <is>
          <t>Yogurt, low fat milk, plain (Includes 1% fat; 2% fat; 99% fat free; light)</t>
        </is>
      </c>
      <c r="C41" s="1" t="n">
        <v>2</v>
      </c>
      <c r="D41" s="1" t="inlineStr">
        <is>
          <t>Links to altEC</t>
        </is>
      </c>
      <c r="E41" s="1" t="inlineStr">
        <is>
          <t>Base</t>
        </is>
      </c>
      <c r="F41" s="1" t="n">
        <v>0.412198</v>
      </c>
    </row>
    <row r="42" ht="15.75" customHeight="1" s="201">
      <c r="A42" s="1" t="n">
        <v>11411300</v>
      </c>
      <c r="B42" s="1" t="inlineStr">
        <is>
          <t>Yogurt, nonfat milk, plain (Includes 0% fat; fat free; light; light, NFS)</t>
        </is>
      </c>
      <c r="C42" s="1" t="n">
        <v>2</v>
      </c>
      <c r="D42" s="1" t="inlineStr">
        <is>
          <t>Links to altEC</t>
        </is>
      </c>
      <c r="E42" s="1" t="inlineStr">
        <is>
          <t>Base</t>
        </is>
      </c>
      <c r="F42" s="1" t="n">
        <v>0.412198</v>
      </c>
    </row>
    <row r="43" ht="15.75" customHeight="1" s="201">
      <c r="A43" s="1" t="n">
        <v>11411390</v>
      </c>
      <c r="B43" s="1" t="inlineStr">
        <is>
          <t>Yogurt, Greek, NS as to type of milk, plain</t>
        </is>
      </c>
      <c r="C43" s="1" t="n">
        <v>2</v>
      </c>
      <c r="D43" s="1" t="inlineStr">
        <is>
          <t>Links to altEC</t>
        </is>
      </c>
      <c r="E43" s="1" t="inlineStr">
        <is>
          <t>Base</t>
        </is>
      </c>
      <c r="F43" s="1" t="n">
        <v>0.605436</v>
      </c>
    </row>
    <row r="44" ht="15.75" customHeight="1" s="201">
      <c r="A44" s="1" t="n">
        <v>11411400</v>
      </c>
      <c r="B44" s="1" t="inlineStr">
        <is>
          <t>Yogurt, Greek, whole milk, plain</t>
        </is>
      </c>
      <c r="C44" s="1" t="n">
        <v>2</v>
      </c>
      <c r="D44" s="1" t="inlineStr">
        <is>
          <t>Links to altEC</t>
        </is>
      </c>
      <c r="E44" s="1" t="inlineStr">
        <is>
          <t>Base</t>
        </is>
      </c>
      <c r="F44" s="1" t="n">
        <v>0.605436</v>
      </c>
    </row>
    <row r="45" ht="15.75" customHeight="1" s="201">
      <c r="A45" s="1" t="n">
        <v>11411410</v>
      </c>
      <c r="B45" s="1" t="inlineStr">
        <is>
          <t>Yogurt, Greek, low fat milk, plain (Includes 2% fat; 1% fat; 99% fat free; light)</t>
        </is>
      </c>
      <c r="C45" s="1" t="n">
        <v>2</v>
      </c>
      <c r="D45" s="1" t="inlineStr">
        <is>
          <t>Links to altEC</t>
        </is>
      </c>
      <c r="E45" s="1" t="inlineStr">
        <is>
          <t>Base</t>
        </is>
      </c>
      <c r="F45" s="1" t="n">
        <v>0.605436</v>
      </c>
    </row>
    <row r="46" ht="15.75" customHeight="1" s="201">
      <c r="A46" s="1" t="n">
        <v>11411420</v>
      </c>
      <c r="B46" s="1" t="inlineStr">
        <is>
          <t>Yogurt, Greek, nonfat milk, plain (Includes 0% fat; fat free; light; light, NFS)</t>
        </is>
      </c>
      <c r="C46" s="1" t="n">
        <v>2</v>
      </c>
      <c r="D46" s="1" t="inlineStr">
        <is>
          <t>Links to altEC</t>
        </is>
      </c>
      <c r="E46" s="1" t="inlineStr">
        <is>
          <t>Base</t>
        </is>
      </c>
      <c r="F46" s="1" t="n">
        <v>0.605436</v>
      </c>
    </row>
    <row r="47" ht="15.75" customHeight="1" s="201">
      <c r="A47" s="1" t="n">
        <v>11430000</v>
      </c>
      <c r="B47" s="1" t="inlineStr">
        <is>
          <t>Yogurt, NS as to type of milk, fruit</t>
        </is>
      </c>
      <c r="C47" s="1" t="n">
        <v>2</v>
      </c>
      <c r="D47" s="1" t="inlineStr">
        <is>
          <t>Links to altEC</t>
        </is>
      </c>
      <c r="E47" s="1" t="inlineStr">
        <is>
          <t>Base</t>
        </is>
      </c>
      <c r="F47" s="1" t="n">
        <v>0.435241</v>
      </c>
    </row>
    <row r="48" ht="15.75" customHeight="1" s="201">
      <c r="A48" s="1" t="n">
        <v>11431000</v>
      </c>
      <c r="B48" s="1" t="inlineStr">
        <is>
          <t>Yogurt, whole milk, fruit</t>
        </is>
      </c>
      <c r="C48" s="1" t="n">
        <v>2</v>
      </c>
      <c r="D48" s="1" t="inlineStr">
        <is>
          <t>Links to altEC</t>
        </is>
      </c>
      <c r="E48" s="1" t="inlineStr">
        <is>
          <t>Base</t>
        </is>
      </c>
      <c r="F48" s="1" t="n">
        <v>0.435241</v>
      </c>
    </row>
    <row r="49" ht="15.75" customHeight="1" s="201">
      <c r="A49" s="1" t="n">
        <v>11432000</v>
      </c>
      <c r="B49" s="1" t="inlineStr">
        <is>
          <t>Yogurt, low fat milk, fruit (Includes Go-Gurt Portable Yogurt tube; 1% fat; 2% fat; 99% fat free; light)</t>
        </is>
      </c>
      <c r="C49" s="1" t="n">
        <v>2</v>
      </c>
      <c r="D49" s="1" t="inlineStr">
        <is>
          <t>Links to altEC</t>
        </is>
      </c>
      <c r="E49" s="1" t="inlineStr">
        <is>
          <t>Base</t>
        </is>
      </c>
      <c r="F49" s="1" t="n">
        <v>0.435241</v>
      </c>
    </row>
    <row r="50" ht="15.75" customHeight="1" s="201">
      <c r="A50" s="1" t="n">
        <v>11433000</v>
      </c>
      <c r="B50" s="1" t="inlineStr">
        <is>
          <t>Yogurt, nonfat milk, fruit (Includes 0% fat; fat free; light; light, NFS)</t>
        </is>
      </c>
      <c r="C50" s="1" t="n">
        <v>2</v>
      </c>
      <c r="D50" s="1" t="inlineStr">
        <is>
          <t>Links to altEC</t>
        </is>
      </c>
      <c r="E50" s="1" t="inlineStr">
        <is>
          <t>Base</t>
        </is>
      </c>
      <c r="F50" s="1" t="n">
        <v>0.435241</v>
      </c>
    </row>
    <row r="51" ht="15.75" customHeight="1" s="201">
      <c r="A51" s="1" t="n">
        <v>11433990</v>
      </c>
      <c r="B51" s="1" t="inlineStr">
        <is>
          <t>Yogurt, Greek, NS as to type of milk, fruit</t>
        </is>
      </c>
      <c r="C51" s="1" t="n">
        <v>2</v>
      </c>
      <c r="D51" s="1" t="inlineStr">
        <is>
          <t>Links to altEC</t>
        </is>
      </c>
      <c r="E51" s="1" t="inlineStr">
        <is>
          <t>Base</t>
        </is>
      </c>
      <c r="F51" s="1" t="n">
        <v>0.628099</v>
      </c>
    </row>
    <row r="52" ht="15.75" customHeight="1" s="201">
      <c r="A52" s="1" t="n">
        <v>11434000</v>
      </c>
      <c r="B52" s="1" t="inlineStr">
        <is>
          <t>Yogurt, Greek, whole milk, fruit</t>
        </is>
      </c>
      <c r="C52" s="1" t="n">
        <v>2</v>
      </c>
      <c r="D52" s="1" t="inlineStr">
        <is>
          <t>Links to altEC</t>
        </is>
      </c>
      <c r="E52" s="1" t="inlineStr">
        <is>
          <t>Base</t>
        </is>
      </c>
      <c r="F52" s="1" t="n">
        <v>0.628099</v>
      </c>
    </row>
    <row r="53" ht="15.75" customHeight="1" s="201">
      <c r="A53" s="1" t="n">
        <v>11434010</v>
      </c>
      <c r="B53" s="1" t="inlineStr">
        <is>
          <t>Yogurt, Greek, low fat milk, fruit (Includes 2% fat; 1% fat; 99% fat free; light; Chobani Kids Greek Yogurt Tubes)</t>
        </is>
      </c>
      <c r="C53" s="1" t="n">
        <v>2</v>
      </c>
      <c r="D53" s="1" t="inlineStr">
        <is>
          <t>Links to altEC</t>
        </is>
      </c>
      <c r="E53" s="1" t="inlineStr">
        <is>
          <t>Base</t>
        </is>
      </c>
      <c r="F53" s="1" t="n">
        <v>0.628099</v>
      </c>
    </row>
    <row r="54" ht="15.75" customHeight="1" s="201">
      <c r="A54" s="1" t="n">
        <v>11434020</v>
      </c>
      <c r="B54" s="1" t="inlineStr">
        <is>
          <t>Yogurt, Greek, nonfat milk, fruit (Includes 0% fat; fat free; light; light, NFS)</t>
        </is>
      </c>
      <c r="C54" s="1" t="n">
        <v>2</v>
      </c>
      <c r="D54" s="1" t="inlineStr">
        <is>
          <t>Links to altEC</t>
        </is>
      </c>
      <c r="E54" s="1" t="inlineStr">
        <is>
          <t>Base</t>
        </is>
      </c>
      <c r="F54" s="1" t="n">
        <v>0.628099</v>
      </c>
    </row>
    <row r="55" ht="15.75" customHeight="1" s="201">
      <c r="A55" s="1" t="n">
        <v>11434090</v>
      </c>
      <c r="B55" s="1" t="inlineStr">
        <is>
          <t>Yogurt, NS as to type of milk, flavors other than fruit</t>
        </is>
      </c>
      <c r="C55" s="1" t="n">
        <v>2</v>
      </c>
      <c r="D55" s="1" t="inlineStr">
        <is>
          <t>Links to altEC</t>
        </is>
      </c>
      <c r="E55" s="1" t="inlineStr">
        <is>
          <t>Base</t>
        </is>
      </c>
      <c r="F55" s="1" t="n">
        <v>0.528725</v>
      </c>
    </row>
    <row r="56" ht="15.75" customHeight="1" s="201">
      <c r="A56" s="1" t="n">
        <v>11434100</v>
      </c>
      <c r="B56" s="1" t="inlineStr">
        <is>
          <t>Yogurt, whole milk, flavors other than fruit</t>
        </is>
      </c>
      <c r="C56" s="1" t="n">
        <v>2</v>
      </c>
      <c r="D56" s="1" t="inlineStr">
        <is>
          <t>Links to altEC</t>
        </is>
      </c>
      <c r="E56" s="1" t="inlineStr">
        <is>
          <t>Base</t>
        </is>
      </c>
      <c r="F56" s="1" t="n">
        <v>0.528725</v>
      </c>
    </row>
    <row r="57" ht="15.75" customHeight="1" s="201">
      <c r="A57" s="1" t="n">
        <v>11434200</v>
      </c>
      <c r="B57" s="1" t="inlineStr">
        <is>
          <t>Yogurt, low fat milk, flavors other than fruit (Includes 1% fat; 2% fat; 99% fat free; light; Go-Gurt Portable Yogurt tube)</t>
        </is>
      </c>
      <c r="C57" s="1" t="n">
        <v>2</v>
      </c>
      <c r="D57" s="1" t="inlineStr">
        <is>
          <t>Links to altEC</t>
        </is>
      </c>
      <c r="E57" s="1" t="inlineStr">
        <is>
          <t>Base</t>
        </is>
      </c>
      <c r="F57" s="1" t="n">
        <v>0.528725</v>
      </c>
    </row>
    <row r="58" ht="15.75" customHeight="1" s="201">
      <c r="A58" s="1" t="n">
        <v>11434300</v>
      </c>
      <c r="B58" s="1" t="inlineStr">
        <is>
          <t>Yogurt, nonfat milk, flavors other than fruit (Includes 0% fat; fat free; light; light, NFS)</t>
        </is>
      </c>
      <c r="C58" s="1" t="n">
        <v>2</v>
      </c>
      <c r="D58" s="1" t="inlineStr">
        <is>
          <t>Links to altEC</t>
        </is>
      </c>
      <c r="E58" s="1" t="inlineStr">
        <is>
          <t>Base</t>
        </is>
      </c>
      <c r="F58" s="1" t="n">
        <v>0.528725</v>
      </c>
    </row>
    <row r="59" ht="15.75" customHeight="1" s="201">
      <c r="A59" s="1" t="n">
        <v>11435000</v>
      </c>
      <c r="B59" s="1" t="inlineStr">
        <is>
          <t>Yogurt, Greek, NS as to type of milk, flavors other than fruit</t>
        </is>
      </c>
      <c r="C59" s="1" t="n">
        <v>2</v>
      </c>
      <c r="D59" s="1" t="inlineStr">
        <is>
          <t>Links to altEC</t>
        </is>
      </c>
      <c r="E59" s="1" t="inlineStr">
        <is>
          <t>Base</t>
        </is>
      </c>
      <c r="F59" s="1" t="n">
        <v>0.530098</v>
      </c>
    </row>
    <row r="60" ht="15.75" customHeight="1" s="201">
      <c r="A60" s="1" t="n">
        <v>11435010</v>
      </c>
      <c r="B60" s="1" t="inlineStr">
        <is>
          <t>Yogurt, Greek, whole milk, flavors other than fruit</t>
        </is>
      </c>
      <c r="C60" s="1" t="n">
        <v>2</v>
      </c>
      <c r="D60" s="1" t="inlineStr">
        <is>
          <t>Links to altEC</t>
        </is>
      </c>
      <c r="E60" s="1" t="inlineStr">
        <is>
          <t>Base</t>
        </is>
      </c>
      <c r="F60" s="1" t="n">
        <v>0.530098</v>
      </c>
    </row>
    <row r="61" ht="15.75" customHeight="1" s="201">
      <c r="A61" s="1" t="n">
        <v>11435020</v>
      </c>
      <c r="B61" s="1" t="inlineStr">
        <is>
          <t>Yogurt, Greek, low fat milk, flavors other than fruit (Includes 1% fat; 2% fat; 99% fat free; light; Chobani Kids Greek Yogurt Tubes)</t>
        </is>
      </c>
      <c r="C61" s="1" t="n">
        <v>2</v>
      </c>
      <c r="D61" s="1" t="inlineStr">
        <is>
          <t>Links to altEC</t>
        </is>
      </c>
      <c r="E61" s="1" t="inlineStr">
        <is>
          <t>Base</t>
        </is>
      </c>
      <c r="F61" s="1" t="n">
        <v>0.530098</v>
      </c>
    </row>
    <row r="62" ht="15.75" customHeight="1" s="201">
      <c r="A62" s="1" t="n">
        <v>11435030</v>
      </c>
      <c r="B62" s="1" t="inlineStr">
        <is>
          <t>Yogurt, Greek, nonfat milk, flavors other than fruit (Includes 0% fat; fat free)</t>
        </is>
      </c>
      <c r="C62" s="1" t="n">
        <v>2</v>
      </c>
      <c r="D62" s="1" t="inlineStr">
        <is>
          <t>Links to altEC</t>
        </is>
      </c>
      <c r="E62" s="1" t="inlineStr">
        <is>
          <t>Base</t>
        </is>
      </c>
      <c r="F62" s="1" t="n">
        <v>0.530098</v>
      </c>
    </row>
    <row r="63" ht="15.75" customHeight="1" s="201">
      <c r="A63" s="1" t="n">
        <v>11435100</v>
      </c>
      <c r="B63" s="1" t="inlineStr">
        <is>
          <t>Yogurt, Greek, with oats (Includes all types; with granola)</t>
        </is>
      </c>
      <c r="C63" s="1" t="n">
        <v>1</v>
      </c>
      <c r="D63" s="1" t="inlineStr">
        <is>
          <t>Links to FNDDS</t>
        </is>
      </c>
      <c r="E63" s="1" t="inlineStr">
        <is>
          <t>Base</t>
        </is>
      </c>
      <c r="F63" s="1" t="n">
        <v>0.719278</v>
      </c>
    </row>
    <row r="64" ht="15.75" customHeight="1" s="201">
      <c r="A64" s="1" t="n">
        <v>11436000</v>
      </c>
      <c r="B64" s="1" t="inlineStr">
        <is>
          <t>Yogurt, liquid (Includes all types and flavors)</t>
        </is>
      </c>
      <c r="C64" s="1" t="n">
        <v>1</v>
      </c>
      <c r="D64" s="1" t="inlineStr">
        <is>
          <t>Links to FNDDS</t>
        </is>
      </c>
      <c r="E64" s="1" t="inlineStr">
        <is>
          <t>Base</t>
        </is>
      </c>
      <c r="F64" s="1" t="n">
        <v>0.441197</v>
      </c>
    </row>
    <row r="65" ht="15.75" customHeight="1" s="201">
      <c r="A65" s="1" t="n">
        <v>11440010</v>
      </c>
      <c r="B65" s="1" t="inlineStr">
        <is>
          <t>Chipotle dip, yogurt based (Includes jalapeno dip; Southwest dip; greek yogurt based; regular or light)</t>
        </is>
      </c>
      <c r="C65" s="1" t="n">
        <v>1</v>
      </c>
      <c r="D65" s="1" t="inlineStr">
        <is>
          <t>Links to FNDDS</t>
        </is>
      </c>
      <c r="E65" s="1" t="inlineStr">
        <is>
          <t>Base</t>
        </is>
      </c>
      <c r="F65" s="1" t="n">
        <v>1.082506</v>
      </c>
    </row>
    <row r="66" ht="15.75" customHeight="1" s="201">
      <c r="A66" s="1" t="n">
        <v>11440020</v>
      </c>
      <c r="B66" s="1" t="inlineStr">
        <is>
          <t>Dill dip, yogurt based (Includes cucumber dill dip; greek yogurt based; regular or light)</t>
        </is>
      </c>
      <c r="C66" s="1" t="n">
        <v>1</v>
      </c>
      <c r="D66" s="1" t="inlineStr">
        <is>
          <t>Links to FNDDS</t>
        </is>
      </c>
      <c r="E66" s="1" t="inlineStr">
        <is>
          <t>Base</t>
        </is>
      </c>
      <c r="F66" s="1" t="n">
        <v>1.071189</v>
      </c>
    </row>
    <row r="67" ht="15.75" customHeight="1" s="201">
      <c r="A67" s="1" t="n">
        <v>11440030</v>
      </c>
      <c r="B67" s="1" t="inlineStr">
        <is>
          <t>Onion dip, yogurt based (Includes French onion dip; toasted onion dip; green onion dip; greek yogurt based; regular or light)</t>
        </is>
      </c>
      <c r="C67" s="1" t="n">
        <v>1</v>
      </c>
      <c r="D67" s="1" t="inlineStr">
        <is>
          <t>Links to FNDDS</t>
        </is>
      </c>
      <c r="E67" s="1" t="inlineStr">
        <is>
          <t>Base</t>
        </is>
      </c>
      <c r="F67" s="1" t="n">
        <v>1.117195</v>
      </c>
    </row>
    <row r="68" ht="15.75" customHeight="1" s="201">
      <c r="A68" s="1" t="n">
        <v>11440040</v>
      </c>
      <c r="B68" s="1" t="inlineStr">
        <is>
          <t>Ranch dip, yogurt based (Includes greek yogurt based; regular or light)</t>
        </is>
      </c>
      <c r="C68" s="1" t="n">
        <v>1</v>
      </c>
      <c r="D68" s="1" t="inlineStr">
        <is>
          <t>Links to FNDDS</t>
        </is>
      </c>
      <c r="E68" s="1" t="inlineStr">
        <is>
          <t>Base</t>
        </is>
      </c>
      <c r="F68" s="1" t="n">
        <v>1.049106</v>
      </c>
    </row>
    <row r="69" ht="15.75" customHeight="1" s="201">
      <c r="A69" s="1" t="n">
        <v>11440050</v>
      </c>
      <c r="B69" s="1" t="inlineStr">
        <is>
          <t>Spinach dip, yogurt based (Includes greek yogurt based; regular or light)</t>
        </is>
      </c>
      <c r="C69" s="1" t="n">
        <v>1</v>
      </c>
      <c r="D69" s="1" t="inlineStr">
        <is>
          <t>Links to FNDDS</t>
        </is>
      </c>
      <c r="E69" s="1" t="inlineStr">
        <is>
          <t>Base</t>
        </is>
      </c>
      <c r="F69" s="1" t="n">
        <v>0.940725</v>
      </c>
    </row>
    <row r="70" ht="15.75" customHeight="1" s="201">
      <c r="A70" s="1" t="n">
        <v>11440060</v>
      </c>
      <c r="B70" s="1" t="inlineStr">
        <is>
          <t>Tzatziki dip (Includes Greek dip)</t>
        </is>
      </c>
      <c r="C70" s="1" t="n">
        <v>1</v>
      </c>
      <c r="D70" s="1" t="inlineStr">
        <is>
          <t>Links to FNDDS</t>
        </is>
      </c>
      <c r="E70" s="1" t="inlineStr">
        <is>
          <t>Base</t>
        </is>
      </c>
      <c r="F70" s="1" t="n">
        <v>1.217789</v>
      </c>
    </row>
    <row r="71" ht="15.75" customHeight="1" s="201">
      <c r="A71" s="1" t="n">
        <v>11440070</v>
      </c>
      <c r="B71" s="1" t="inlineStr">
        <is>
          <t>Vegetable dip, yogurt based (Includes greek yogurt based; regular or light)</t>
        </is>
      </c>
      <c r="C71" s="1" t="n">
        <v>2</v>
      </c>
      <c r="D71" s="1" t="inlineStr">
        <is>
          <t>Links to altEC</t>
        </is>
      </c>
      <c r="E71" s="1" t="inlineStr">
        <is>
          <t>Base</t>
        </is>
      </c>
      <c r="F71" s="1" t="n">
        <v>0.9986159999999999</v>
      </c>
    </row>
    <row r="72" ht="15.75" customHeight="1" s="201">
      <c r="A72" s="1" t="n">
        <v>11446000</v>
      </c>
      <c r="B72" s="1" t="inlineStr">
        <is>
          <t>Yogurt parfait, low fat, with fruit (Includes McDonald's Fruit 'n Yogurt Parfait; with granola)</t>
        </is>
      </c>
      <c r="C72" s="1" t="n">
        <v>1</v>
      </c>
      <c r="D72" s="1" t="inlineStr">
        <is>
          <t>Links to FNDDS</t>
        </is>
      </c>
      <c r="E72" s="1" t="inlineStr">
        <is>
          <t>Base</t>
        </is>
      </c>
      <c r="F72" s="1" t="n">
        <v>1.186322</v>
      </c>
    </row>
    <row r="73" ht="15.75" customHeight="1" s="201">
      <c r="A73" s="1" t="n">
        <v>11459990</v>
      </c>
      <c r="B73" s="1" t="inlineStr">
        <is>
          <t>Frozen yogurt, NFS</t>
        </is>
      </c>
      <c r="C73" s="1" t="n">
        <v>2</v>
      </c>
      <c r="D73" s="1" t="inlineStr">
        <is>
          <t>Links to altEC</t>
        </is>
      </c>
      <c r="E73" s="1" t="inlineStr">
        <is>
          <t>Base</t>
        </is>
      </c>
      <c r="F73" s="1" t="n">
        <v>0.329057</v>
      </c>
    </row>
    <row r="74" ht="15.75" customHeight="1" s="201">
      <c r="A74" s="1" t="n">
        <v>11460000</v>
      </c>
      <c r="B74" s="1" t="inlineStr">
        <is>
          <t>Frozen yogurt, vanilla (Includes other flavors; swirl; in a cup; scoop)</t>
        </is>
      </c>
      <c r="C74" s="1" t="n">
        <v>1</v>
      </c>
      <c r="D74" s="1" t="inlineStr">
        <is>
          <t>Links to FNDDS</t>
        </is>
      </c>
      <c r="E74" s="1" t="inlineStr">
        <is>
          <t>Base</t>
        </is>
      </c>
      <c r="F74" s="1" t="n">
        <v>0.334977</v>
      </c>
    </row>
    <row r="75" ht="15.75" customHeight="1" s="201">
      <c r="A75" s="1" t="n">
        <v>11460100</v>
      </c>
      <c r="B75" s="1" t="inlineStr">
        <is>
          <t>Frozen yogurt, chocolate (Includes in a cup; scoop)</t>
        </is>
      </c>
      <c r="C75" s="1" t="n">
        <v>1</v>
      </c>
      <c r="D75" s="1" t="inlineStr">
        <is>
          <t>Links to FNDDS</t>
        </is>
      </c>
      <c r="E75" s="1" t="inlineStr">
        <is>
          <t>Base</t>
        </is>
      </c>
      <c r="F75" s="1" t="n">
        <v>0.298724</v>
      </c>
    </row>
    <row r="76" ht="15.75" customHeight="1" s="201">
      <c r="A76" s="1" t="n">
        <v>11460500</v>
      </c>
      <c r="B76" s="1" t="inlineStr">
        <is>
          <t>Frozen yogurt, soft serve, vanilla (Includes other flavors; swirl; NS as to flavor; in a cup)</t>
        </is>
      </c>
      <c r="C76" s="1" t="n">
        <v>2</v>
      </c>
      <c r="D76" s="1" t="inlineStr">
        <is>
          <t>Links to altEC</t>
        </is>
      </c>
      <c r="E76" s="1" t="inlineStr">
        <is>
          <t>Base</t>
        </is>
      </c>
      <c r="F76" s="1" t="n">
        <v>0.334977</v>
      </c>
    </row>
    <row r="77" ht="15.75" customHeight="1" s="201">
      <c r="A77" s="1" t="n">
        <v>11460510</v>
      </c>
      <c r="B77" s="1" t="inlineStr">
        <is>
          <t>Frozen yogurt, soft serve, chocolate (Includes in a cup)</t>
        </is>
      </c>
      <c r="C77" s="1" t="n">
        <v>2</v>
      </c>
      <c r="D77" s="1" t="inlineStr">
        <is>
          <t>Links to altEC</t>
        </is>
      </c>
      <c r="E77" s="1" t="inlineStr">
        <is>
          <t>Base</t>
        </is>
      </c>
      <c r="F77" s="1" t="n">
        <v>0.298724</v>
      </c>
    </row>
    <row r="78" ht="15.75" customHeight="1" s="201">
      <c r="A78" s="1" t="n">
        <v>11461200</v>
      </c>
      <c r="B78" s="1" t="inlineStr">
        <is>
          <t>Frozen yogurt sandwich (Includes all flavors; prepackaged frozen yogurt cone)</t>
        </is>
      </c>
      <c r="C78" s="1" t="n">
        <v>1</v>
      </c>
      <c r="D78" s="1" t="inlineStr">
        <is>
          <t>Links to FNDDS</t>
        </is>
      </c>
      <c r="E78" s="1" t="inlineStr">
        <is>
          <t>Base</t>
        </is>
      </c>
      <c r="F78" s="1" t="n">
        <v>1.182591</v>
      </c>
    </row>
    <row r="79" ht="15.75" customHeight="1" s="201">
      <c r="A79" s="1" t="n">
        <v>11461210</v>
      </c>
      <c r="B79" s="1" t="inlineStr">
        <is>
          <t>Frozen yogurt bar, vanilla (Includes frozen yogurt bar, NFS; stick; other flavors; swirl; with or without coating)</t>
        </is>
      </c>
      <c r="C79" s="1" t="n">
        <v>2</v>
      </c>
      <c r="D79" s="1" t="inlineStr">
        <is>
          <t>Links to altEC</t>
        </is>
      </c>
      <c r="E79" s="1" t="inlineStr">
        <is>
          <t>Base</t>
        </is>
      </c>
      <c r="F79" s="1" t="n">
        <v>1.0936</v>
      </c>
    </row>
    <row r="80" ht="15.75" customHeight="1" s="201">
      <c r="A80" s="1" t="n">
        <v>11461220</v>
      </c>
      <c r="B80" s="1" t="inlineStr">
        <is>
          <t>Frozen yogurt bar, chocolate (Includes stick; with or without coating)</t>
        </is>
      </c>
      <c r="C80" s="1" t="n">
        <v>1</v>
      </c>
      <c r="D80" s="1" t="inlineStr">
        <is>
          <t>Links to FNDDS</t>
        </is>
      </c>
      <c r="E80" s="1" t="inlineStr">
        <is>
          <t>Base</t>
        </is>
      </c>
      <c r="F80" s="1" t="n">
        <v>1.056545</v>
      </c>
    </row>
    <row r="81" ht="15.75" customHeight="1" s="201">
      <c r="A81" s="1" t="n">
        <v>11461250</v>
      </c>
      <c r="B81" s="1" t="inlineStr">
        <is>
          <t>Frozen yogurt cone, chocolate (Includes scooped or soft serve)</t>
        </is>
      </c>
      <c r="C81" s="1" t="n">
        <v>2</v>
      </c>
      <c r="D81" s="1" t="inlineStr">
        <is>
          <t>Links to altEC</t>
        </is>
      </c>
      <c r="E81" s="1" t="inlineStr">
        <is>
          <t>Base</t>
        </is>
      </c>
      <c r="F81" s="1" t="n">
        <v>1.182591</v>
      </c>
    </row>
    <row r="82" ht="15.75" customHeight="1" s="201">
      <c r="A82" s="1" t="n">
        <v>11461260</v>
      </c>
      <c r="B82" s="1" t="inlineStr">
        <is>
          <t>Frozen yogurt cone, vanilla (Includes other flavors; swirl; scooped or soft serve)</t>
        </is>
      </c>
      <c r="C82" s="1" t="n">
        <v>2</v>
      </c>
      <c r="D82" s="1" t="inlineStr">
        <is>
          <t>Links to altEC</t>
        </is>
      </c>
      <c r="E82" s="1" t="inlineStr">
        <is>
          <t>Base</t>
        </is>
      </c>
      <c r="F82" s="1" t="n">
        <v>1.182591</v>
      </c>
    </row>
    <row r="83" ht="15.75" customHeight="1" s="201">
      <c r="A83" s="1" t="n">
        <v>11461300</v>
      </c>
      <c r="B83" s="1" t="inlineStr">
        <is>
          <t>Frozen yogurt cone, vanilla, waffle cone (Includes other flavors; swirl; scooped or soft serve)</t>
        </is>
      </c>
      <c r="C83" s="1" t="n">
        <v>2</v>
      </c>
      <c r="D83" s="1" t="inlineStr">
        <is>
          <t>Links to altEC</t>
        </is>
      </c>
      <c r="E83" s="1" t="inlineStr">
        <is>
          <t>Base</t>
        </is>
      </c>
      <c r="F83" s="1" t="n">
        <v>1.182591</v>
      </c>
    </row>
    <row r="84" ht="15.75" customHeight="1" s="201">
      <c r="A84" s="1" t="n">
        <v>11461320</v>
      </c>
      <c r="B84" s="1" t="inlineStr">
        <is>
          <t>Frozen yogurt cone, chocolate, waffle cone (Includes scooped or soft serve)</t>
        </is>
      </c>
      <c r="C84" s="1" t="n">
        <v>2</v>
      </c>
      <c r="D84" s="1" t="inlineStr">
        <is>
          <t>Links to altEC</t>
        </is>
      </c>
      <c r="E84" s="1" t="inlineStr">
        <is>
          <t>Base</t>
        </is>
      </c>
      <c r="F84" s="1" t="n">
        <v>1.182591</v>
      </c>
    </row>
    <row r="85" ht="15.75" customHeight="1" s="201">
      <c r="A85" s="1" t="n">
        <v>11480010</v>
      </c>
      <c r="B85" s="1" t="inlineStr">
        <is>
          <t>Yogurt, whole milk, baby food (Includes YoBaby Original, all flavors)</t>
        </is>
      </c>
      <c r="C85" s="1" t="n">
        <v>1</v>
      </c>
      <c r="D85" s="1" t="inlineStr">
        <is>
          <t>Links to FNDDS</t>
        </is>
      </c>
      <c r="E85" s="1" t="inlineStr">
        <is>
          <t>Base</t>
        </is>
      </c>
      <c r="F85" s="1" t="n">
        <v>0.595216</v>
      </c>
    </row>
    <row r="86" ht="15.75" customHeight="1" s="201">
      <c r="A86" s="1" t="n">
        <v>11511000</v>
      </c>
      <c r="B86" s="1" t="inlineStr">
        <is>
          <t>Chocolate milk, NFS (Includes NS as to milk or drink)</t>
        </is>
      </c>
      <c r="C86" s="1" t="n">
        <v>2</v>
      </c>
      <c r="D86" s="1" t="inlineStr">
        <is>
          <t>Links to altEC</t>
        </is>
      </c>
      <c r="E86" s="1" t="inlineStr">
        <is>
          <t>Base</t>
        </is>
      </c>
      <c r="F86" s="1" t="n">
        <v>0.173113</v>
      </c>
    </row>
    <row r="87" ht="15.75" customHeight="1" s="201">
      <c r="A87" s="1" t="n">
        <v>11511100</v>
      </c>
      <c r="B87" s="1" t="inlineStr">
        <is>
          <t>Chocolate milk, ready to drink, whole</t>
        </is>
      </c>
      <c r="C87" s="1" t="n">
        <v>1</v>
      </c>
      <c r="D87" s="1" t="inlineStr">
        <is>
          <t>Links to FNDDS</t>
        </is>
      </c>
      <c r="E87" s="1" t="inlineStr">
        <is>
          <t>Base</t>
        </is>
      </c>
      <c r="F87" s="1" t="n">
        <v>0.203481</v>
      </c>
    </row>
    <row r="88" ht="15.75" customHeight="1" s="201">
      <c r="A88" s="1" t="n">
        <v>11511200</v>
      </c>
      <c r="B88" s="1" t="inlineStr">
        <is>
          <t>Chocolate milk, ready to drink, reduced fat (Includes 2% fat)</t>
        </is>
      </c>
      <c r="C88" s="1" t="n">
        <v>1</v>
      </c>
      <c r="D88" s="1" t="inlineStr">
        <is>
          <t>Links to FNDDS</t>
        </is>
      </c>
      <c r="E88" s="1" t="inlineStr">
        <is>
          <t>Base</t>
        </is>
      </c>
      <c r="F88" s="1" t="n">
        <v>0.215182</v>
      </c>
    </row>
    <row r="89" ht="15.75" customHeight="1" s="201">
      <c r="A89" s="1" t="n">
        <v>11511300</v>
      </c>
      <c r="B89" s="1" t="inlineStr">
        <is>
          <t>Chocolate milk, ready to drink, fat free (Includes nonfat milk; skim)</t>
        </is>
      </c>
      <c r="C89" s="1" t="n">
        <v>1</v>
      </c>
      <c r="D89" s="1" t="inlineStr">
        <is>
          <t>Links to FNDDS</t>
        </is>
      </c>
      <c r="E89" s="1" t="inlineStr">
        <is>
          <t>Base</t>
        </is>
      </c>
      <c r="F89" s="1" t="n">
        <v>0.174174</v>
      </c>
    </row>
    <row r="90" ht="15.75" customHeight="1" s="201">
      <c r="A90" s="1" t="n">
        <v>11511400</v>
      </c>
      <c r="B90" s="1" t="inlineStr">
        <is>
          <t>Chocolate milk, ready to drink, low fat (Includes Hershey's Chocolate milk; 1% fat)</t>
        </is>
      </c>
      <c r="C90" s="1" t="n">
        <v>1</v>
      </c>
      <c r="D90" s="1" t="inlineStr">
        <is>
          <t>Links to FNDDS</t>
        </is>
      </c>
      <c r="E90" s="1" t="inlineStr">
        <is>
          <t>Base</t>
        </is>
      </c>
      <c r="F90" s="1" t="n">
        <v>0.132357</v>
      </c>
    </row>
    <row r="91" ht="15.75" customHeight="1" s="201">
      <c r="A91" s="1" t="n">
        <v>11511550</v>
      </c>
      <c r="B91" s="1" t="inlineStr">
        <is>
          <t>Chocolate milk, ready to drink, reduced sugar, NS as to milk (Includes TruMoo; less sugar)</t>
        </is>
      </c>
      <c r="C91" s="1" t="n">
        <v>2</v>
      </c>
      <c r="D91" s="1" t="inlineStr">
        <is>
          <t>Links to altEC</t>
        </is>
      </c>
      <c r="E91" s="1" t="inlineStr">
        <is>
          <t>Base</t>
        </is>
      </c>
      <c r="F91" s="1" t="n">
        <v>0.172976</v>
      </c>
    </row>
    <row r="92" ht="15.75" customHeight="1" s="201">
      <c r="A92" s="1" t="n">
        <v>11511600</v>
      </c>
      <c r="B92" s="1" t="inlineStr">
        <is>
          <t>Chocolate milk, ready to drink, low fat (Nesquik) (Includes NS as to type of milk; regular, reduced, or less sugar; 1% fat)</t>
        </is>
      </c>
      <c r="C92" s="1" t="n">
        <v>1</v>
      </c>
      <c r="D92" s="1" t="inlineStr">
        <is>
          <t>Links to FNDDS</t>
        </is>
      </c>
      <c r="E92" s="1" t="inlineStr">
        <is>
          <t>Base</t>
        </is>
      </c>
      <c r="F92" s="1" t="n">
        <v>0.345884</v>
      </c>
    </row>
    <row r="93" ht="15.75" customHeight="1" s="201">
      <c r="A93" s="1" t="n">
        <v>11511610</v>
      </c>
      <c r="B93" s="1" t="inlineStr">
        <is>
          <t>Chocolate milk, ready to drink, fat free (Nesquik) (Includes regular, reduced, or less sugar; skim)</t>
        </is>
      </c>
      <c r="C93" s="1" t="n">
        <v>1</v>
      </c>
      <c r="D93" s="1" t="inlineStr">
        <is>
          <t>Links to FNDDS</t>
        </is>
      </c>
      <c r="E93" s="1" t="inlineStr">
        <is>
          <t>Base</t>
        </is>
      </c>
      <c r="F93" s="1" t="n">
        <v>0.363218</v>
      </c>
    </row>
    <row r="94" ht="15.75" customHeight="1" s="201">
      <c r="A94" s="1" t="n">
        <v>11511700</v>
      </c>
      <c r="B94" s="1" t="inlineStr">
        <is>
          <t>Chocolate milk, ready to drink, low fat, no sugar added (Nesquik) (Includes NS as to type of milk; 1% fat)</t>
        </is>
      </c>
      <c r="C94" s="1" t="n">
        <v>2</v>
      </c>
      <c r="D94" s="1" t="inlineStr">
        <is>
          <t>Links to altEC</t>
        </is>
      </c>
      <c r="E94" s="1" t="inlineStr">
        <is>
          <t>Base</t>
        </is>
      </c>
      <c r="F94" s="1" t="n">
        <v>0.345884</v>
      </c>
    </row>
    <row r="95" ht="15.75" customHeight="1" s="201">
      <c r="A95" s="1" t="n">
        <v>11512010</v>
      </c>
      <c r="B95" s="1" t="inlineStr">
        <is>
          <t>Hot chocolate / Cocoa, ready to drink (Includes whole, 2%, or reduced fat milk; NS as to milk; evaporated milk; chocolate espanol; chocolate caliente; McDonald's; Starbucks; Dunkin Donuts; made from syrup, tablet, or bar)</t>
        </is>
      </c>
      <c r="C95" s="1" t="n">
        <v>2</v>
      </c>
      <c r="D95" s="1" t="inlineStr">
        <is>
          <t>Links to altEC</t>
        </is>
      </c>
      <c r="E95" s="1" t="inlineStr">
        <is>
          <t>Base</t>
        </is>
      </c>
      <c r="F95" s="1" t="n">
        <v>0.136549</v>
      </c>
    </row>
    <row r="96" ht="15.75" customHeight="1" s="201">
      <c r="A96" s="1" t="n">
        <v>11512020</v>
      </c>
      <c r="B96" s="1" t="inlineStr">
        <is>
          <t>Hot chocolate / Cocoa, ready to drink, made with nonfat milk (Includes low fat, fat free, skim, or 1% milk; chocolate espanol; chocolate caliente; Starbucks; made from syrup, tablet, or bar)</t>
        </is>
      </c>
      <c r="C96" s="1" t="n">
        <v>2</v>
      </c>
      <c r="D96" s="1" t="inlineStr">
        <is>
          <t>Links to altEC</t>
        </is>
      </c>
      <c r="E96" s="1" t="inlineStr">
        <is>
          <t>Base</t>
        </is>
      </c>
      <c r="F96" s="1" t="n">
        <v>0.136549</v>
      </c>
    </row>
    <row r="97" ht="15.75" customHeight="1" s="201">
      <c r="A97" s="1" t="n">
        <v>11512030</v>
      </c>
      <c r="B97" s="1" t="inlineStr">
        <is>
          <t>Hot chocolate / Cocoa, ready to drink, made with non-dairy milk (Includes almond, coconut, rice, or soy milk; chocolate espanol; chocolate caliente; Starbucks; made from syrup, tablet, or bar)</t>
        </is>
      </c>
      <c r="C97" s="1" t="n">
        <v>2</v>
      </c>
      <c r="D97" s="1" t="inlineStr">
        <is>
          <t>Links to altEC</t>
        </is>
      </c>
      <c r="E97" s="1" t="inlineStr">
        <is>
          <t>Base</t>
        </is>
      </c>
      <c r="F97" s="1" t="n">
        <v>0.136549</v>
      </c>
    </row>
    <row r="98" ht="15.75" customHeight="1" s="201">
      <c r="A98" s="1" t="n">
        <v>11513000</v>
      </c>
      <c r="B98" s="1" t="inlineStr">
        <is>
          <t>Chocolate milk, made from dry mix, NS as to type of milk</t>
        </is>
      </c>
      <c r="C98" s="1" t="n">
        <v>4</v>
      </c>
      <c r="D98" s="1" t="inlineStr">
        <is>
          <t>FNDDS recipe with replaced or modified SR codes</t>
        </is>
      </c>
      <c r="E98" s="1" t="inlineStr">
        <is>
          <t>Base</t>
        </is>
      </c>
      <c r="F98" s="1" t="n">
        <v>0.154594</v>
      </c>
    </row>
    <row r="99" ht="15.75" customHeight="1" s="201">
      <c r="A99" s="1" t="n">
        <v>11513100</v>
      </c>
      <c r="B99" s="1" t="inlineStr">
        <is>
          <t>Chocolate milk, made from dry mix with whole milk</t>
        </is>
      </c>
      <c r="C99" s="1" t="n">
        <v>4</v>
      </c>
      <c r="D99" s="1" t="inlineStr">
        <is>
          <t>FNDDS recipe with replaced or modified SR codes</t>
        </is>
      </c>
      <c r="E99" s="1" t="inlineStr">
        <is>
          <t>Base</t>
        </is>
      </c>
      <c r="F99" s="1" t="n">
        <v>0.156405</v>
      </c>
    </row>
    <row r="100" ht="15.75" customHeight="1" s="201">
      <c r="A100" s="1" t="n">
        <v>11513150</v>
      </c>
      <c r="B100" s="1" t="inlineStr">
        <is>
          <t>Chocolate milk, made from dry mix with reduced fat milk (Includes 2% fat)</t>
        </is>
      </c>
      <c r="C100" s="1" t="n">
        <v>4</v>
      </c>
      <c r="D100" s="1" t="inlineStr">
        <is>
          <t>FNDDS recipe with replaced or modified SR codes</t>
        </is>
      </c>
      <c r="E100" s="1" t="inlineStr">
        <is>
          <t>Base</t>
        </is>
      </c>
      <c r="F100" s="1" t="n">
        <v>0.153951</v>
      </c>
    </row>
    <row r="101" ht="15.75" customHeight="1" s="201">
      <c r="A101" s="1" t="n">
        <v>11513200</v>
      </c>
      <c r="B101" s="1" t="inlineStr">
        <is>
          <t>Chocolate milk, made from dry mix with low fat milk (Includes 1% fat)</t>
        </is>
      </c>
      <c r="C101" s="1" t="n">
        <v>4</v>
      </c>
      <c r="D101" s="1" t="inlineStr">
        <is>
          <t>FNDDS recipe with replaced or modified SR codes</t>
        </is>
      </c>
      <c r="E101" s="1" t="inlineStr">
        <is>
          <t>Base</t>
        </is>
      </c>
      <c r="F101" s="1" t="n">
        <v>0.149328</v>
      </c>
    </row>
    <row r="102" ht="15.75" customHeight="1" s="201">
      <c r="A102" s="1" t="n">
        <v>11513300</v>
      </c>
      <c r="B102" s="1" t="inlineStr">
        <is>
          <t>Chocolate milk, made from dry mix with fat free milk (Includes nonfat milk; skim milk)</t>
        </is>
      </c>
      <c r="C102" s="1" t="n">
        <v>4</v>
      </c>
      <c r="D102" s="1" t="inlineStr">
        <is>
          <t>FNDDS recipe with replaced or modified SR codes</t>
        </is>
      </c>
      <c r="E102" s="1" t="inlineStr">
        <is>
          <t>Base</t>
        </is>
      </c>
      <c r="F102" s="1" t="n">
        <v>0.158246</v>
      </c>
    </row>
    <row r="103" ht="15.75" customHeight="1" s="201">
      <c r="A103" s="1" t="n">
        <v>11513310</v>
      </c>
      <c r="B103" s="1" t="inlineStr">
        <is>
          <t>Chocolate milk, made from dry mix with non-dairy milk (Includes almond, coconut, rice, or soy milk)</t>
        </is>
      </c>
      <c r="C103" s="1" t="n">
        <v>4</v>
      </c>
      <c r="D103" s="1" t="inlineStr">
        <is>
          <t>FNDDS recipe with replaced or modified SR codes</t>
        </is>
      </c>
      <c r="E103" s="1" t="inlineStr">
        <is>
          <t>Base</t>
        </is>
      </c>
      <c r="F103" s="1" t="n">
        <v>0.221726</v>
      </c>
    </row>
    <row r="104" ht="15.75" customHeight="1" s="201">
      <c r="A104" s="1" t="n">
        <v>11513350</v>
      </c>
      <c r="B104" s="1" t="inlineStr">
        <is>
          <t>Chocolate milk, made from reduced sugar mix, NS as to type of milk (Includes less sugar, sugar free, or fat free mix)</t>
        </is>
      </c>
      <c r="C104" s="1" t="n">
        <v>4</v>
      </c>
      <c r="D104" s="1" t="inlineStr">
        <is>
          <t>FNDDS recipe with replaced or modified SR codes</t>
        </is>
      </c>
      <c r="E104" s="1" t="inlineStr">
        <is>
          <t>Base</t>
        </is>
      </c>
      <c r="F104" s="1" t="n">
        <v>0.150187</v>
      </c>
    </row>
    <row r="105" ht="15.75" customHeight="1" s="201">
      <c r="A105" s="1" t="n">
        <v>11513355</v>
      </c>
      <c r="B105" s="1" t="inlineStr">
        <is>
          <t>Chocolate milk, made from reduced sugar mix with whole milk (Includes less sugar, sugar free, or fat free mix)</t>
        </is>
      </c>
      <c r="C105" s="1" t="n">
        <v>4</v>
      </c>
      <c r="D105" s="1" t="inlineStr">
        <is>
          <t>FNDDS recipe with replaced or modified SR codes</t>
        </is>
      </c>
      <c r="E105" s="1" t="inlineStr">
        <is>
          <t>Base</t>
        </is>
      </c>
      <c r="F105" s="1" t="n">
        <v>0.152034</v>
      </c>
    </row>
    <row r="106" ht="15.75" customHeight="1" s="201">
      <c r="A106" s="1" t="n">
        <v>11513360</v>
      </c>
      <c r="B106" s="1" t="inlineStr">
        <is>
          <t>Chocolate milk, made from reduced sugar mix with reduced fat milk (Includes less sugar, sugar free, or fat free mix; 2% fat)</t>
        </is>
      </c>
      <c r="C106" s="1" t="n">
        <v>4</v>
      </c>
      <c r="D106" s="1" t="inlineStr">
        <is>
          <t>FNDDS recipe with replaced or modified SR codes</t>
        </is>
      </c>
      <c r="E106" s="1" t="inlineStr">
        <is>
          <t>Base</t>
        </is>
      </c>
      <c r="F106" s="1" t="n">
        <v>0.149532</v>
      </c>
    </row>
    <row r="107" ht="15.75" customHeight="1" s="201">
      <c r="A107" s="1" t="n">
        <v>11513365</v>
      </c>
      <c r="B107" s="1" t="inlineStr">
        <is>
          <t>Chocolate milk, made from reduced sugar mix with low fat milk (Includes less sugar, sugar free, or fat free mix; 1% fat)</t>
        </is>
      </c>
      <c r="C107" s="1" t="n">
        <v>4</v>
      </c>
      <c r="D107" s="1" t="inlineStr">
        <is>
          <t>FNDDS recipe with replaced or modified SR codes</t>
        </is>
      </c>
      <c r="E107" s="1" t="inlineStr">
        <is>
          <t>Base</t>
        </is>
      </c>
      <c r="F107" s="1" t="n">
        <v>0.144818</v>
      </c>
    </row>
    <row r="108" ht="15.75" customHeight="1" s="201">
      <c r="A108" s="1" t="n">
        <v>11513370</v>
      </c>
      <c r="B108" s="1" t="inlineStr">
        <is>
          <t>Chocolate milk, made from reduced sugar mix with fat free milk (Includes less sugar, sugar free, or fat free mix; nonfat milk; skim)</t>
        </is>
      </c>
      <c r="C108" s="1" t="n">
        <v>4</v>
      </c>
      <c r="D108" s="1" t="inlineStr">
        <is>
          <t>FNDDS recipe with replaced or modified SR codes</t>
        </is>
      </c>
      <c r="E108" s="1" t="inlineStr">
        <is>
          <t>Base</t>
        </is>
      </c>
      <c r="F108" s="1" t="n">
        <v>0.153911</v>
      </c>
    </row>
    <row r="109" ht="15.75" customHeight="1" s="201">
      <c r="A109" s="1" t="n">
        <v>11513375</v>
      </c>
      <c r="B109" s="1" t="inlineStr">
        <is>
          <t>Chocolate milk, made from reduced sugar mix with non-dairy milk (Includes almond, coconut, rice, or soy milk)</t>
        </is>
      </c>
      <c r="C109" s="1" t="n">
        <v>4</v>
      </c>
      <c r="D109" s="1" t="inlineStr">
        <is>
          <t>FNDDS recipe with replaced or modified SR codes</t>
        </is>
      </c>
      <c r="E109" s="1" t="inlineStr">
        <is>
          <t>Base</t>
        </is>
      </c>
      <c r="F109" s="1" t="n">
        <v>0.218636</v>
      </c>
    </row>
    <row r="110" ht="15.75" customHeight="1" s="201">
      <c r="A110" s="1" t="n">
        <v>11513380</v>
      </c>
      <c r="B110" s="1" t="inlineStr">
        <is>
          <t>Chocolate milk, made from dry mix, NS as to type of milk (Nesquik) (Includes regular, reduced, or less sugar; 25% less sugar)</t>
        </is>
      </c>
      <c r="C110" s="1" t="n">
        <v>4</v>
      </c>
      <c r="D110" s="1" t="inlineStr">
        <is>
          <t>FNDDS recipe with replaced or modified SR codes</t>
        </is>
      </c>
      <c r="E110" s="1" t="inlineStr">
        <is>
          <t>Base</t>
        </is>
      </c>
      <c r="F110" s="1" t="n">
        <v>0.154594</v>
      </c>
    </row>
    <row r="111" ht="15.75" customHeight="1" s="201">
      <c r="A111" s="1" t="n">
        <v>11513381</v>
      </c>
      <c r="B111" s="1" t="inlineStr">
        <is>
          <t>Chocolate milk, made from dry mix with whole milk (Nesquik) (Includes regular, reduced, or less sugar; 25% less sugar)</t>
        </is>
      </c>
      <c r="C111" s="1" t="n">
        <v>4</v>
      </c>
      <c r="D111" s="1" t="inlineStr">
        <is>
          <t>FNDDS recipe with replaced or modified SR codes</t>
        </is>
      </c>
      <c r="E111" s="1" t="inlineStr">
        <is>
          <t>Base</t>
        </is>
      </c>
      <c r="F111" s="1" t="n">
        <v>0.156405</v>
      </c>
    </row>
    <row r="112" ht="15.75" customHeight="1" s="201">
      <c r="A112" s="1" t="n">
        <v>11513382</v>
      </c>
      <c r="B112" s="1" t="inlineStr">
        <is>
          <t>Chocolate milk, made from dry mix with reduced fat milk (Nesquik) (Includes regular, reduced, or less sugar; 25% less sugar; 2% fat)</t>
        </is>
      </c>
      <c r="C112" s="1" t="n">
        <v>4</v>
      </c>
      <c r="D112" s="1" t="inlineStr">
        <is>
          <t>FNDDS recipe with replaced or modified SR codes</t>
        </is>
      </c>
      <c r="E112" s="1" t="inlineStr">
        <is>
          <t>Base</t>
        </is>
      </c>
      <c r="F112" s="1" t="n">
        <v>0.153951</v>
      </c>
    </row>
    <row r="113" ht="15.75" customHeight="1" s="201">
      <c r="A113" s="1" t="n">
        <v>11513383</v>
      </c>
      <c r="B113" s="1" t="inlineStr">
        <is>
          <t>Chocolate milk, made from dry mix with low fat milk (Nesquik) (Includes regular, reduced, or less sugar; 25% less sugar; 1% fat)</t>
        </is>
      </c>
      <c r="C113" s="1" t="n">
        <v>4</v>
      </c>
      <c r="D113" s="1" t="inlineStr">
        <is>
          <t>FNDDS recipe with replaced or modified SR codes</t>
        </is>
      </c>
      <c r="E113" s="1" t="inlineStr">
        <is>
          <t>Base</t>
        </is>
      </c>
      <c r="F113" s="1" t="n">
        <v>0.149328</v>
      </c>
    </row>
    <row r="114" ht="15.75" customHeight="1" s="201">
      <c r="A114" s="1" t="n">
        <v>11513384</v>
      </c>
      <c r="B114" s="1" t="inlineStr">
        <is>
          <t>Chocolate milk, made from dry mix with fat free milk (Nesquik) (Includes nonfat milk; regular, reduced, or less sugar; 25% less sugar; skim)</t>
        </is>
      </c>
      <c r="C114" s="1" t="n">
        <v>4</v>
      </c>
      <c r="D114" s="1" t="inlineStr">
        <is>
          <t>FNDDS recipe with replaced or modified SR codes</t>
        </is>
      </c>
      <c r="E114" s="1" t="inlineStr">
        <is>
          <t>Base</t>
        </is>
      </c>
      <c r="F114" s="1" t="n">
        <v>0.158246</v>
      </c>
    </row>
    <row r="115" ht="15.75" customHeight="1" s="201">
      <c r="A115" s="1" t="n">
        <v>11513385</v>
      </c>
      <c r="B115" s="1" t="inlineStr">
        <is>
          <t>Chocolate milk, made from dry mix with non-dairy milk (Nesquik) (Includes almond, coconut, rice, or soy milk)</t>
        </is>
      </c>
      <c r="C115" s="1" t="n">
        <v>4</v>
      </c>
      <c r="D115" s="1" t="inlineStr">
        <is>
          <t>FNDDS recipe with replaced or modified SR codes</t>
        </is>
      </c>
      <c r="E115" s="1" t="inlineStr">
        <is>
          <t>Base</t>
        </is>
      </c>
      <c r="F115" s="1" t="n">
        <v>0.221726</v>
      </c>
    </row>
    <row r="116" ht="15.75" customHeight="1" s="201">
      <c r="A116" s="1" t="n">
        <v>11513390</v>
      </c>
      <c r="B116" s="1" t="inlineStr">
        <is>
          <t>Chocolate milk, made from no sugar added dry mix, NS as to type of milk (Nesquik) (Includes sugar free mix)</t>
        </is>
      </c>
      <c r="C116" s="1" t="n">
        <v>4</v>
      </c>
      <c r="D116" s="1" t="inlineStr">
        <is>
          <t>FNDDS recipe with replaced or modified SR codes</t>
        </is>
      </c>
      <c r="E116" s="1" t="inlineStr">
        <is>
          <t>Base</t>
        </is>
      </c>
      <c r="F116" s="1" t="n">
        <v>0.150187</v>
      </c>
    </row>
    <row r="117" ht="15.75" customHeight="1" s="201">
      <c r="A117" s="1" t="n">
        <v>11513391</v>
      </c>
      <c r="B117" s="1" t="inlineStr">
        <is>
          <t>Chocolate milk, made from no sugar added dry mix with whole milk (Nesquik) (Includes sugar free mix)</t>
        </is>
      </c>
      <c r="C117" s="1" t="n">
        <v>4</v>
      </c>
      <c r="D117" s="1" t="inlineStr">
        <is>
          <t>FNDDS recipe with replaced or modified SR codes</t>
        </is>
      </c>
      <c r="E117" s="1" t="inlineStr">
        <is>
          <t>Base</t>
        </is>
      </c>
      <c r="F117" s="1" t="n">
        <v>0.152034</v>
      </c>
    </row>
    <row r="118" ht="15.75" customHeight="1" s="201">
      <c r="A118" s="1" t="n">
        <v>11513392</v>
      </c>
      <c r="B118" s="1" t="inlineStr">
        <is>
          <t>Chocolate milk, made from no sugar added dry mix with reduced fat milk (Nesquik) (Includes sugar free mix; 2% fat)</t>
        </is>
      </c>
      <c r="C118" s="1" t="n">
        <v>4</v>
      </c>
      <c r="D118" s="1" t="inlineStr">
        <is>
          <t>FNDDS recipe with replaced or modified SR codes</t>
        </is>
      </c>
      <c r="E118" s="1" t="inlineStr">
        <is>
          <t>Base</t>
        </is>
      </c>
      <c r="F118" s="1" t="n">
        <v>0.149532</v>
      </c>
    </row>
    <row r="119" ht="15.75" customHeight="1" s="201">
      <c r="A119" s="1" t="n">
        <v>11513393</v>
      </c>
      <c r="B119" s="1" t="inlineStr">
        <is>
          <t>Chocolate milk, made from no sugar added dry mix with low fat milk (Nesquik) (Includes sugar free mix; 1% fat)</t>
        </is>
      </c>
      <c r="C119" s="1" t="n">
        <v>4</v>
      </c>
      <c r="D119" s="1" t="inlineStr">
        <is>
          <t>FNDDS recipe with replaced or modified SR codes</t>
        </is>
      </c>
      <c r="E119" s="1" t="inlineStr">
        <is>
          <t>Base</t>
        </is>
      </c>
      <c r="F119" s="1" t="n">
        <v>0.144818</v>
      </c>
    </row>
    <row r="120" ht="15.75" customHeight="1" s="201">
      <c r="A120" s="1" t="n">
        <v>11513394</v>
      </c>
      <c r="B120" s="1" t="inlineStr">
        <is>
          <t>Chocolate milk, made from no sugar added dry mix with fat free milk  (Nesquik) (Includes nonfat milk; sugar free mix; skim)</t>
        </is>
      </c>
      <c r="C120" s="1" t="n">
        <v>4</v>
      </c>
      <c r="D120" s="1" t="inlineStr">
        <is>
          <t>FNDDS recipe with replaced or modified SR codes</t>
        </is>
      </c>
      <c r="E120" s="1" t="inlineStr">
        <is>
          <t>Base</t>
        </is>
      </c>
      <c r="F120" s="1" t="n">
        <v>0.153911</v>
      </c>
    </row>
    <row r="121" ht="15.75" customHeight="1" s="201">
      <c r="A121" s="1" t="n">
        <v>11513395</v>
      </c>
      <c r="B121" s="1" t="inlineStr">
        <is>
          <t>Chocolate milk, made from no sugar added dry mix with non-dairy milk (Nesquik) (Includes almond, coconut, rice, or soy milk)</t>
        </is>
      </c>
      <c r="C121" s="1" t="n">
        <v>4</v>
      </c>
      <c r="D121" s="1" t="inlineStr">
        <is>
          <t>FNDDS recipe with replaced or modified SR codes</t>
        </is>
      </c>
      <c r="E121" s="1" t="inlineStr">
        <is>
          <t>Base</t>
        </is>
      </c>
      <c r="F121" s="1" t="n">
        <v>0.218636</v>
      </c>
    </row>
    <row r="122" ht="15.75" customHeight="1" s="201">
      <c r="A122" s="1" t="n">
        <v>11513400</v>
      </c>
      <c r="B122" s="1" t="inlineStr">
        <is>
          <t>Chocolate milk, made from syrup, NS as to type of milk (Includes Nesquik; Hershey's)</t>
        </is>
      </c>
      <c r="C122" s="1" t="n">
        <v>4</v>
      </c>
      <c r="D122" s="1" t="inlineStr">
        <is>
          <t>FNDDS recipe with replaced or modified SR codes</t>
        </is>
      </c>
      <c r="E122" s="1" t="inlineStr">
        <is>
          <t>Base</t>
        </is>
      </c>
      <c r="F122" s="1" t="n">
        <v>0.133719</v>
      </c>
    </row>
    <row r="123" ht="15.75" customHeight="1" s="201">
      <c r="A123" s="1" t="n">
        <v>11513500</v>
      </c>
      <c r="B123" s="1" t="inlineStr">
        <is>
          <t>Chocolate milk, made from syrup with whole milk (Includes Nesquik; Hershey's)</t>
        </is>
      </c>
      <c r="C123" s="1" t="n">
        <v>4</v>
      </c>
      <c r="D123" s="1" t="inlineStr">
        <is>
          <t>FNDDS recipe with replaced or modified SR codes</t>
        </is>
      </c>
      <c r="E123" s="1" t="inlineStr">
        <is>
          <t>Base</t>
        </is>
      </c>
      <c r="F123" s="1" t="n">
        <v>0.135392</v>
      </c>
    </row>
    <row r="124" ht="15.75" customHeight="1" s="201">
      <c r="A124" s="1" t="n">
        <v>11513550</v>
      </c>
      <c r="B124" s="1" t="inlineStr">
        <is>
          <t>Chocolate milk, made from syrup with reduced fat milk (Includes Nesquik; Hershey's; 2% fat)</t>
        </is>
      </c>
      <c r="C124" s="1" t="n">
        <v>4</v>
      </c>
      <c r="D124" s="1" t="inlineStr">
        <is>
          <t>FNDDS recipe with replaced or modified SR codes</t>
        </is>
      </c>
      <c r="E124" s="1" t="inlineStr">
        <is>
          <t>Base</t>
        </is>
      </c>
      <c r="F124" s="1" t="n">
        <v>0.133126</v>
      </c>
    </row>
    <row r="125" ht="15.75" customHeight="1" s="201">
      <c r="A125" s="1" t="n">
        <v>11513600</v>
      </c>
      <c r="B125" s="1" t="inlineStr">
        <is>
          <t>Chocolate milk, made from syrup with low fat milk (Includes Nesquik; Hershey's; 1% fat)</t>
        </is>
      </c>
      <c r="C125" s="1" t="n">
        <v>4</v>
      </c>
      <c r="D125" s="1" t="inlineStr">
        <is>
          <t>FNDDS recipe with replaced or modified SR codes</t>
        </is>
      </c>
      <c r="E125" s="1" t="inlineStr">
        <is>
          <t>Base</t>
        </is>
      </c>
      <c r="F125" s="1" t="n">
        <v>0.128856</v>
      </c>
    </row>
    <row r="126" ht="15.75" customHeight="1" s="201">
      <c r="A126" s="1" t="n">
        <v>11513700</v>
      </c>
      <c r="B126" s="1" t="inlineStr">
        <is>
          <t>Chocolate milk, made from syrup with fat free milk (Includes nonfat milk; Nesquik; Hershey's; skim)</t>
        </is>
      </c>
      <c r="C126" s="1" t="n">
        <v>4</v>
      </c>
      <c r="D126" s="1" t="inlineStr">
        <is>
          <t>FNDDS recipe with replaced or modified SR codes</t>
        </is>
      </c>
      <c r="E126" s="1" t="inlineStr">
        <is>
          <t>Base</t>
        </is>
      </c>
      <c r="F126" s="1" t="n">
        <v>0.137093</v>
      </c>
    </row>
    <row r="127" ht="15.75" customHeight="1" s="201">
      <c r="A127" s="1" t="n">
        <v>11513750</v>
      </c>
      <c r="B127" s="1" t="inlineStr">
        <is>
          <t>Chocolate milk, made from syrup with non-dairy milk (Includes almond, coconut, rice, or soy milk)</t>
        </is>
      </c>
      <c r="C127" s="1" t="n">
        <v>4</v>
      </c>
      <c r="D127" s="1" t="inlineStr">
        <is>
          <t>FNDDS recipe with replaced or modified SR codes</t>
        </is>
      </c>
      <c r="E127" s="1" t="inlineStr">
        <is>
          <t>Base</t>
        </is>
      </c>
      <c r="F127" s="1" t="n">
        <v>0.195724</v>
      </c>
    </row>
    <row r="128" ht="15.75" customHeight="1" s="201">
      <c r="A128" s="1" t="n">
        <v>11513800</v>
      </c>
      <c r="B128" s="1" t="inlineStr">
        <is>
          <t>Chocolate milk, made from light syrup, NS as to type of milk (Includes Hershey's Lite)</t>
        </is>
      </c>
      <c r="C128" s="1" t="n">
        <v>4</v>
      </c>
      <c r="D128" s="1" t="inlineStr">
        <is>
          <t>FNDDS recipe with replaced or modified SR codes</t>
        </is>
      </c>
      <c r="E128" s="1" t="inlineStr">
        <is>
          <t>Base</t>
        </is>
      </c>
      <c r="F128" s="1" t="n">
        <v>0.131773</v>
      </c>
    </row>
    <row r="129" ht="15.75" customHeight="1" s="201">
      <c r="A129" s="1" t="n">
        <v>11513801</v>
      </c>
      <c r="B129" s="1" t="inlineStr">
        <is>
          <t>Chocolate milk, made from light syrup with whole milk (Includes Hershey's Lite)</t>
        </is>
      </c>
      <c r="C129" s="1" t="n">
        <v>4</v>
      </c>
      <c r="D129" s="1" t="inlineStr">
        <is>
          <t>FNDDS recipe with replaced or modified SR codes</t>
        </is>
      </c>
      <c r="E129" s="1" t="inlineStr">
        <is>
          <t>Base</t>
        </is>
      </c>
      <c r="F129" s="1" t="n">
        <v>0.133461</v>
      </c>
    </row>
    <row r="130" ht="15.75" customHeight="1" s="201">
      <c r="A130" s="1" t="n">
        <v>11513802</v>
      </c>
      <c r="B130" s="1" t="inlineStr">
        <is>
          <t>Chocolate milk, made from light syrup with reduced fat milk (Includes Hershey's Lite; 2% fat)</t>
        </is>
      </c>
      <c r="C130" s="1" t="n">
        <v>4</v>
      </c>
      <c r="D130" s="1" t="inlineStr">
        <is>
          <t>FNDDS recipe with replaced or modified SR codes</t>
        </is>
      </c>
      <c r="E130" s="1" t="inlineStr">
        <is>
          <t>Base</t>
        </is>
      </c>
      <c r="F130" s="1" t="n">
        <v>0.131174</v>
      </c>
    </row>
    <row r="131" ht="15.75" customHeight="1" s="201">
      <c r="A131" s="1" t="n">
        <v>11513803</v>
      </c>
      <c r="B131" s="1" t="inlineStr">
        <is>
          <t>Chocolate milk, made from light syrup with low fat milk (Includes Hershey's Lite; 1% fat)</t>
        </is>
      </c>
      <c r="C131" s="1" t="n">
        <v>4</v>
      </c>
      <c r="D131" s="1" t="inlineStr">
        <is>
          <t>FNDDS recipe with replaced or modified SR codes</t>
        </is>
      </c>
      <c r="E131" s="1" t="inlineStr">
        <is>
          <t>Base</t>
        </is>
      </c>
      <c r="F131" s="1" t="n">
        <v>0.126866</v>
      </c>
    </row>
    <row r="132" ht="15.75" customHeight="1" s="201">
      <c r="A132" s="1" t="n">
        <v>11513804</v>
      </c>
      <c r="B132" s="1" t="inlineStr">
        <is>
          <t>Chocolate milk, made from light syrup with fat free milk (Includes nonfat milk; Hershey's Lite; skim fat)</t>
        </is>
      </c>
      <c r="C132" s="1" t="n">
        <v>4</v>
      </c>
      <c r="D132" s="1" t="inlineStr">
        <is>
          <t>FNDDS recipe with replaced or modified SR codes</t>
        </is>
      </c>
      <c r="E132" s="1" t="inlineStr">
        <is>
          <t>Base</t>
        </is>
      </c>
      <c r="F132" s="1" t="n">
        <v>0.135176</v>
      </c>
    </row>
    <row r="133" ht="15.75" customHeight="1" s="201">
      <c r="A133" s="1" t="n">
        <v>11513805</v>
      </c>
      <c r="B133" s="1" t="inlineStr">
        <is>
          <t>Chocolate milk, made from light syrup with non-dairy milk (Includes almond, coconut, rice, or soy milk)</t>
        </is>
      </c>
      <c r="C133" s="1" t="n">
        <v>4</v>
      </c>
      <c r="D133" s="1" t="inlineStr">
        <is>
          <t>FNDDS recipe with replaced or modified SR codes</t>
        </is>
      </c>
      <c r="E133" s="1" t="inlineStr">
        <is>
          <t>Base</t>
        </is>
      </c>
      <c r="F133" s="1" t="n">
        <v>0.194333</v>
      </c>
    </row>
    <row r="134" ht="15.75" customHeight="1" s="201">
      <c r="A134" s="1" t="n">
        <v>11513850</v>
      </c>
      <c r="B134" s="1" t="inlineStr">
        <is>
          <t>Chocolate milk, made from sugar free syrup, NS as to type of milk (Includes Hershey's)</t>
        </is>
      </c>
      <c r="C134" s="1" t="n">
        <v>4</v>
      </c>
      <c r="D134" s="1" t="inlineStr">
        <is>
          <t>FNDDS recipe with replaced or modified SR codes</t>
        </is>
      </c>
      <c r="E134" s="1" t="inlineStr">
        <is>
          <t>Base</t>
        </is>
      </c>
      <c r="F134" s="1" t="n">
        <v>0.131773</v>
      </c>
    </row>
    <row r="135" ht="15.75" customHeight="1" s="201">
      <c r="A135" s="1" t="n">
        <v>11513851</v>
      </c>
      <c r="B135" s="1" t="inlineStr">
        <is>
          <t>Chocolate milk, made from sugar free syrup with whole milk (Includes Hershey's)</t>
        </is>
      </c>
      <c r="C135" s="1" t="n">
        <v>4</v>
      </c>
      <c r="D135" s="1" t="inlineStr">
        <is>
          <t>FNDDS recipe with replaced or modified SR codes</t>
        </is>
      </c>
      <c r="E135" s="1" t="inlineStr">
        <is>
          <t>Base</t>
        </is>
      </c>
      <c r="F135" s="1" t="n">
        <v>0.133461</v>
      </c>
    </row>
    <row r="136" ht="15.75" customHeight="1" s="201">
      <c r="A136" s="1" t="n">
        <v>11513852</v>
      </c>
      <c r="B136" s="1" t="inlineStr">
        <is>
          <t>Chocolate milk, made from sugar free syrup with reduced fat milk (Includes Hershey's; 2% fat)</t>
        </is>
      </c>
      <c r="C136" s="1" t="n">
        <v>4</v>
      </c>
      <c r="D136" s="1" t="inlineStr">
        <is>
          <t>FNDDS recipe with replaced or modified SR codes</t>
        </is>
      </c>
      <c r="E136" s="1" t="inlineStr">
        <is>
          <t>Base</t>
        </is>
      </c>
      <c r="F136" s="1" t="n">
        <v>0.131174</v>
      </c>
    </row>
    <row r="137" ht="15.75" customHeight="1" s="201">
      <c r="A137" s="1" t="n">
        <v>11513853</v>
      </c>
      <c r="B137" s="1" t="inlineStr">
        <is>
          <t>Chocolate milk, made from sugar free syrup with low fat milk (Includes Hershey's; 1% fat)</t>
        </is>
      </c>
      <c r="C137" s="1" t="n">
        <v>4</v>
      </c>
      <c r="D137" s="1" t="inlineStr">
        <is>
          <t>FNDDS recipe with replaced or modified SR codes</t>
        </is>
      </c>
      <c r="E137" s="1" t="inlineStr">
        <is>
          <t>Base</t>
        </is>
      </c>
      <c r="F137" s="1" t="n">
        <v>0.126866</v>
      </c>
    </row>
    <row r="138" ht="15.75" customHeight="1" s="201">
      <c r="A138" s="1" t="n">
        <v>11513854</v>
      </c>
      <c r="B138" s="1" t="inlineStr">
        <is>
          <t>Chocolate milk, made from sugar free syrup with fat free milk (Includes nonfat milk; Hershey's; skim)</t>
        </is>
      </c>
      <c r="C138" s="1" t="n">
        <v>4</v>
      </c>
      <c r="D138" s="1" t="inlineStr">
        <is>
          <t>FNDDS recipe with replaced or modified SR codes</t>
        </is>
      </c>
      <c r="E138" s="1" t="inlineStr">
        <is>
          <t>Base</t>
        </is>
      </c>
      <c r="F138" s="1" t="n">
        <v>0.135176</v>
      </c>
    </row>
    <row r="139" ht="15.75" customHeight="1" s="201">
      <c r="A139" s="1" t="n">
        <v>11513855</v>
      </c>
      <c r="B139" s="1" t="inlineStr">
        <is>
          <t>Chocolate milk, made from sugar free syrup with non-dairy milk (Includes almond, coconut, rice, or soy milk)</t>
        </is>
      </c>
      <c r="C139" s="1" t="n">
        <v>4</v>
      </c>
      <c r="D139" s="1" t="inlineStr">
        <is>
          <t>FNDDS recipe with replaced or modified SR codes</t>
        </is>
      </c>
      <c r="E139" s="1" t="inlineStr">
        <is>
          <t>Base</t>
        </is>
      </c>
      <c r="F139" s="1" t="n">
        <v>0.194333</v>
      </c>
    </row>
    <row r="140" ht="15.75" customHeight="1" s="201">
      <c r="A140" s="1" t="n">
        <v>11514100</v>
      </c>
      <c r="B140" s="1" t="inlineStr">
        <is>
          <t>Hot chocolate / Cocoa, made with dry mix and water (Includes cocoa mix, NFS; Swiss Miss; Hershey's; Nestle's; Carnation; mint flavored)</t>
        </is>
      </c>
      <c r="C140" s="1" t="n">
        <v>4</v>
      </c>
      <c r="D140" s="1" t="inlineStr">
        <is>
          <t>FNDDS recipe with replaced or modified SR codes</t>
        </is>
      </c>
      <c r="E140" s="1" t="inlineStr">
        <is>
          <t>Base</t>
        </is>
      </c>
      <c r="F140" s="1" t="n">
        <v>0.133747</v>
      </c>
    </row>
    <row r="141" ht="15.75" customHeight="1" s="201">
      <c r="A141" s="1" t="n">
        <v>11514110</v>
      </c>
      <c r="B141" s="1" t="inlineStr">
        <is>
          <t>Hot chocolate / Cocoa, made with dry mix and whole milk (Includes cocoa mix, NFS; Swiss Miss; Hershey's; Nestle's; Carnation)</t>
        </is>
      </c>
      <c r="C141" s="1" t="n">
        <v>4</v>
      </c>
      <c r="D141" s="1" t="inlineStr">
        <is>
          <t>FNDDS recipe with replaced or modified SR codes</t>
        </is>
      </c>
      <c r="E141" s="1" t="inlineStr">
        <is>
          <t>Base</t>
        </is>
      </c>
      <c r="F141" s="1" t="n">
        <v>0.219016</v>
      </c>
    </row>
    <row r="142" ht="15.75" customHeight="1" s="201">
      <c r="A142" s="1" t="n">
        <v>11514120</v>
      </c>
      <c r="B142" s="1" t="inlineStr">
        <is>
          <t>Hot chocolate / Cocoa, made with dry mix and reduced fat milk (Includes cocoa mix, NFS; Swiss Miss; Hershey's; Nestle's; Carnation; NS as to type of milk; 2% fat)</t>
        </is>
      </c>
      <c r="C142" s="1" t="n">
        <v>4</v>
      </c>
      <c r="D142" s="1" t="inlineStr">
        <is>
          <t>FNDDS recipe with replaced or modified SR codes</t>
        </is>
      </c>
      <c r="E142" s="1" t="inlineStr">
        <is>
          <t>Base</t>
        </is>
      </c>
      <c r="F142" s="1" t="n">
        <v>0.216748</v>
      </c>
    </row>
    <row r="143" ht="15.75" customHeight="1" s="201">
      <c r="A143" s="1" t="n">
        <v>11514130</v>
      </c>
      <c r="B143" s="1" t="inlineStr">
        <is>
          <t>Hot chocolate / Cocoa, made with dry mix and low fat milk (Includes cocoa mix, NFS; Swiss Miss; Hershey's; Nestle's; Carnation; 1% fat)</t>
        </is>
      </c>
      <c r="C143" s="1" t="n">
        <v>4</v>
      </c>
      <c r="D143" s="1" t="inlineStr">
        <is>
          <t>FNDDS recipe with replaced or modified SR codes</t>
        </is>
      </c>
      <c r="E143" s="1" t="inlineStr">
        <is>
          <t>Base</t>
        </is>
      </c>
      <c r="F143" s="1" t="n">
        <v>0.212476</v>
      </c>
    </row>
    <row r="144" ht="15.75" customHeight="1" s="201">
      <c r="A144" s="1" t="n">
        <v>11514140</v>
      </c>
      <c r="B144" s="1" t="inlineStr">
        <is>
          <t>Hot chocolate / Cocoa, made with dry mix and fat free milk (Includes nonfat milk; cocoa mix, NFS; Swiss Miss; Hershey's; Nestle's; Carnation; skim)</t>
        </is>
      </c>
      <c r="C144" s="1" t="n">
        <v>4</v>
      </c>
      <c r="D144" s="1" t="inlineStr">
        <is>
          <t>FNDDS recipe with replaced or modified SR codes</t>
        </is>
      </c>
      <c r="E144" s="1" t="inlineStr">
        <is>
          <t>Base</t>
        </is>
      </c>
      <c r="F144" s="1" t="n">
        <v>0.220717</v>
      </c>
    </row>
    <row r="145" ht="15.75" customHeight="1" s="201">
      <c r="A145" s="1" t="n">
        <v>11514150</v>
      </c>
      <c r="B145" s="1" t="inlineStr">
        <is>
          <t>Hot chocolate / Cocoa, made with dry mix and non-dairy milk (Includes almond, coconut, rice, and soy milk; cocoa mix, NFS; Swiss Miss; Hershey's; Nestle's; Carnation)</t>
        </is>
      </c>
      <c r="C145" s="1" t="n">
        <v>4</v>
      </c>
      <c r="D145" s="1" t="inlineStr">
        <is>
          <t>FNDDS recipe with replaced or modified SR codes</t>
        </is>
      </c>
      <c r="E145" s="1" t="inlineStr">
        <is>
          <t>Base</t>
        </is>
      </c>
      <c r="F145" s="1" t="n">
        <v>0.278876</v>
      </c>
    </row>
    <row r="146" ht="15.75" customHeight="1" s="201">
      <c r="A146" s="1" t="n">
        <v>11514310</v>
      </c>
      <c r="B146" s="1" t="inlineStr">
        <is>
          <t>Hot chocolate / Cocoa, made with no sugar added dry mix and water (Includes fat free, light, diet or sugar free mix; Swiss Miss; Hershey's; Nestle's; Carnation)</t>
        </is>
      </c>
      <c r="C146" s="1" t="n">
        <v>4</v>
      </c>
      <c r="D146" s="1" t="inlineStr">
        <is>
          <t>FNDDS recipe with replaced or modified SR codes</t>
        </is>
      </c>
      <c r="E146" s="1" t="inlineStr">
        <is>
          <t>Base</t>
        </is>
      </c>
      <c r="F146" s="1" t="n">
        <v>0.081164</v>
      </c>
    </row>
    <row r="147" ht="15.75" customHeight="1" s="201">
      <c r="A147" s="1" t="n">
        <v>11514320</v>
      </c>
      <c r="B147" s="1" t="inlineStr">
        <is>
          <t>Hot chocolate / Cocoa, made with no sugar added dry mix and whole milk (Includes fat free, light, diet or sugar free; Swiss Miss; Hershey's; Nestle's; Carnation)</t>
        </is>
      </c>
      <c r="C147" s="1" t="n">
        <v>4</v>
      </c>
      <c r="D147" s="1" t="inlineStr">
        <is>
          <t>FNDDS recipe with replaced or modified SR codes</t>
        </is>
      </c>
      <c r="E147" s="1" t="inlineStr">
        <is>
          <t>Base</t>
        </is>
      </c>
      <c r="F147" s="1" t="n">
        <v>0.173001</v>
      </c>
    </row>
    <row r="148" ht="15.75" customHeight="1" s="201">
      <c r="A148" s="1" t="n">
        <v>11514330</v>
      </c>
      <c r="B148" s="1" t="inlineStr">
        <is>
          <t>Hot chocolate / Cocoa, made with no sugar added dry mix and reduced fat milk (Includes fat free, light, diet or sugar free mix; Swiss Miss; Hershey's; Nestle's; Carnation; NS as to type of milk; 2% fat)</t>
        </is>
      </c>
      <c r="C148" s="1" t="n">
        <v>4</v>
      </c>
      <c r="D148" s="1" t="inlineStr">
        <is>
          <t>FNDDS recipe with replaced or modified SR codes</t>
        </is>
      </c>
      <c r="E148" s="1" t="inlineStr">
        <is>
          <t>Base</t>
        </is>
      </c>
      <c r="F148" s="1" t="n">
        <v>0.170597</v>
      </c>
    </row>
    <row r="149" ht="15.75" customHeight="1" s="201">
      <c r="A149" s="1" t="n">
        <v>11514340</v>
      </c>
      <c r="B149" s="1" t="inlineStr">
        <is>
          <t>Hot chocolate / Cocoa, made with no sugar added dry mix and low fat milk (Includes fat free, light, diet or sugar free mix; Swiss Miss; Nestle's; Carnation; H ershey's; 1% fat)</t>
        </is>
      </c>
      <c r="C149" s="1" t="n">
        <v>4</v>
      </c>
      <c r="D149" s="1" t="inlineStr">
        <is>
          <t>FNDDS recipe with replaced or modified SR codes</t>
        </is>
      </c>
      <c r="E149" s="1" t="inlineStr">
        <is>
          <t>Base</t>
        </is>
      </c>
      <c r="F149" s="1" t="n">
        <v>0.166067</v>
      </c>
    </row>
    <row r="150" ht="15.75" customHeight="1" s="201">
      <c r="A150" s="1" t="n">
        <v>11514350</v>
      </c>
      <c r="B150" s="1" t="inlineStr">
        <is>
          <t>Hot chocolate / Cocoa, made with no sugar added dry mix and fat free milk (Includes nonfat milk; fat free, light, diet or sugar free mix; Swiss Miss; Hershey's; Nestle's; Carnation; skim)</t>
        </is>
      </c>
      <c r="C150" s="1" t="n">
        <v>4</v>
      </c>
      <c r="D150" s="1" t="inlineStr">
        <is>
          <t>FNDDS recipe with replaced or modified SR codes</t>
        </is>
      </c>
      <c r="E150" s="1" t="inlineStr">
        <is>
          <t>Base</t>
        </is>
      </c>
      <c r="F150" s="1" t="n">
        <v>0.174805</v>
      </c>
    </row>
    <row r="151" ht="15.75" customHeight="1" s="201">
      <c r="A151" s="1" t="n">
        <v>11514360</v>
      </c>
      <c r="B151" s="1" t="inlineStr">
        <is>
          <t>Hot chocolate / Cocoa, made with no sugar added dry mix and non-dairy milk (Includes almond, coconut, rice, and soy milk; fat free, light, diet or sugar free mix; Swiss Miss; Hershey's; Nestle's; Carnation)</t>
        </is>
      </c>
      <c r="C151" s="1" t="n">
        <v>4</v>
      </c>
      <c r="D151" s="1" t="inlineStr">
        <is>
          <t>FNDDS recipe with replaced or modified SR codes</t>
        </is>
      </c>
      <c r="E151" s="1" t="inlineStr">
        <is>
          <t>Base</t>
        </is>
      </c>
      <c r="F151" s="1" t="n">
        <v>0.236684</v>
      </c>
    </row>
    <row r="152" ht="15.75" customHeight="1" s="201">
      <c r="A152" s="1" t="n">
        <v>11519040</v>
      </c>
      <c r="B152" s="1" t="inlineStr">
        <is>
          <t>Strawberry milk, NFS (Includes NS as to milk or drink; vanilla; flavors other than chocolate)</t>
        </is>
      </c>
      <c r="C152" s="1" t="n">
        <v>2</v>
      </c>
      <c r="D152" s="1" t="inlineStr">
        <is>
          <t>Links to altEC</t>
        </is>
      </c>
      <c r="E152" s="1" t="inlineStr">
        <is>
          <t>Base</t>
        </is>
      </c>
      <c r="F152" s="1" t="n">
        <v>0.336382</v>
      </c>
    </row>
    <row r="153" ht="15.75" customHeight="1" s="201">
      <c r="A153" s="1" t="n">
        <v>11519050</v>
      </c>
      <c r="B153" s="1" t="inlineStr">
        <is>
          <t>Strawberry milk, whole (Includes flavors other than chocolate; vanilla)</t>
        </is>
      </c>
      <c r="C153" s="1" t="n">
        <v>4</v>
      </c>
      <c r="D153" s="1" t="inlineStr">
        <is>
          <t>FNDDS recipe with replaced or modified SR codes</t>
        </is>
      </c>
      <c r="E153" s="1" t="inlineStr">
        <is>
          <t>Base</t>
        </is>
      </c>
      <c r="F153" s="1" t="n">
        <v>0.170409</v>
      </c>
    </row>
    <row r="154" ht="15.75" customHeight="1" s="201">
      <c r="A154" s="1" t="n">
        <v>11519105</v>
      </c>
      <c r="B154" s="1" t="inlineStr">
        <is>
          <t>Strawberry milk, reduced fat (Includes vanilla; flavors other than chocolate; 2% fat)</t>
        </is>
      </c>
      <c r="C154" s="1" t="n">
        <v>1</v>
      </c>
      <c r="D154" s="1" t="inlineStr">
        <is>
          <t>Links to FNDDS</t>
        </is>
      </c>
      <c r="E154" s="1" t="inlineStr">
        <is>
          <t>Base</t>
        </is>
      </c>
      <c r="F154" s="1" t="n">
        <v>0.264285</v>
      </c>
    </row>
    <row r="155" ht="15.75" customHeight="1" s="201">
      <c r="A155" s="1" t="n">
        <v>11519200</v>
      </c>
      <c r="B155" s="1" t="inlineStr">
        <is>
          <t>Strawberry milk, low fat (Includes vanilla; flavors other than chocolate; 1% fat)</t>
        </is>
      </c>
      <c r="C155" s="1" t="n">
        <v>1</v>
      </c>
      <c r="D155" s="1" t="inlineStr">
        <is>
          <t>Links to FNDDS</t>
        </is>
      </c>
      <c r="E155" s="1" t="inlineStr">
        <is>
          <t>Base</t>
        </is>
      </c>
      <c r="F155" s="1" t="n">
        <v>0.352169</v>
      </c>
    </row>
    <row r="156" ht="15.75" customHeight="1" s="201">
      <c r="A156" s="1" t="n">
        <v>11519205</v>
      </c>
      <c r="B156" s="1" t="inlineStr">
        <is>
          <t>Strawberry milk, fat free (Includes nonfat milk; vanilla; flavors other than chocolate; skim)</t>
        </is>
      </c>
      <c r="C156" s="1" t="n">
        <v>1</v>
      </c>
      <c r="D156" s="1" t="inlineStr">
        <is>
          <t>Links to FNDDS</t>
        </is>
      </c>
      <c r="E156" s="1" t="inlineStr">
        <is>
          <t>Base</t>
        </is>
      </c>
      <c r="F156" s="1" t="n">
        <v>0.190582</v>
      </c>
    </row>
    <row r="157" ht="15.75" customHeight="1" s="201">
      <c r="A157" s="1" t="n">
        <v>11519210</v>
      </c>
      <c r="B157" s="1" t="inlineStr">
        <is>
          <t>Strawberry milk, reduced sugar (Includes vanilla; flavors other than chocolate)</t>
        </is>
      </c>
      <c r="C157" s="1" t="n">
        <v>2</v>
      </c>
      <c r="D157" s="1" t="inlineStr">
        <is>
          <t>Links to altEC</t>
        </is>
      </c>
      <c r="E157" s="1" t="inlineStr">
        <is>
          <t>Base</t>
        </is>
      </c>
      <c r="F157" s="1" t="n">
        <v>0.253212</v>
      </c>
    </row>
    <row r="158" ht="15.75" customHeight="1" s="201">
      <c r="A158" s="1" t="n">
        <v>11519215</v>
      </c>
      <c r="B158" s="1" t="inlineStr">
        <is>
          <t>Strawberry milk, non-dairy (Includes almond, coconut, rice, or soy milk)</t>
        </is>
      </c>
      <c r="C158" s="1" t="n">
        <v>1</v>
      </c>
      <c r="D158" s="1" t="inlineStr">
        <is>
          <t>Links to FNDDS</t>
        </is>
      </c>
      <c r="E158" s="1" t="inlineStr">
        <is>
          <t>Base</t>
        </is>
      </c>
      <c r="F158" s="1" t="n">
        <v>0.510846</v>
      </c>
    </row>
    <row r="159" ht="15.75" customHeight="1" s="201">
      <c r="A159" s="1" t="n">
        <v>11526000</v>
      </c>
      <c r="B159" s="1" t="inlineStr">
        <is>
          <t>Milk, malted (Includes Ovaltine; NS as to flavor; all flavors)</t>
        </is>
      </c>
      <c r="C159" s="1" t="n">
        <v>4</v>
      </c>
      <c r="D159" s="1" t="inlineStr">
        <is>
          <t>FNDDS recipe with replaced or modified SR codes</t>
        </is>
      </c>
      <c r="E159" s="1" t="inlineStr">
        <is>
          <t>Base</t>
        </is>
      </c>
      <c r="F159" s="1" t="n">
        <v>0.144952</v>
      </c>
    </row>
    <row r="160" ht="15.75" customHeight="1" s="201">
      <c r="A160" s="1" t="n">
        <v>11531000</v>
      </c>
      <c r="B160" s="1" t="inlineStr">
        <is>
          <t>Eggnog (Includes eggnog, NFS; made with whole milk)</t>
        </is>
      </c>
      <c r="C160" s="1" t="n">
        <v>1</v>
      </c>
      <c r="D160" s="1" t="inlineStr">
        <is>
          <t>Links to FNDDS</t>
        </is>
      </c>
      <c r="E160" s="1" t="inlineStr">
        <is>
          <t>Base</t>
        </is>
      </c>
      <c r="F160" s="1" t="n">
        <v>0.237901</v>
      </c>
    </row>
    <row r="161" ht="15.75" customHeight="1" s="201">
      <c r="A161" s="1" t="n">
        <v>11541110</v>
      </c>
      <c r="B161" s="1" t="inlineStr">
        <is>
          <t>Milk shake, home recipe, chocolate (Includes regular ice cream and/or whole or 2% reduced fat milk; restaurant or ice cream shop; frozen mix)</t>
        </is>
      </c>
      <c r="C161" s="1" t="n">
        <v>4</v>
      </c>
      <c r="D161" s="1" t="inlineStr">
        <is>
          <t>FNDDS recipe with replaced or modified SR codes</t>
        </is>
      </c>
      <c r="E161" s="1" t="inlineStr">
        <is>
          <t>Base</t>
        </is>
      </c>
      <c r="F161" s="1" t="n">
        <v>0.252965</v>
      </c>
    </row>
    <row r="162" ht="15.75" customHeight="1" s="201">
      <c r="A162" s="1" t="n">
        <v>11541120</v>
      </c>
      <c r="B162" s="1" t="inlineStr">
        <is>
          <t>Milk shake, home recipe, flavors other than chocolate (Includes regular ice cream and/or whole or 2% reduced fat milk; restaurant or ice cream shop; frozen mix; NS as to flavor)</t>
        </is>
      </c>
      <c r="C162" s="1" t="n">
        <v>4</v>
      </c>
      <c r="D162" s="1" t="inlineStr">
        <is>
          <t>FNDDS recipe with replaced or modified SR codes</t>
        </is>
      </c>
      <c r="E162" s="1" t="inlineStr">
        <is>
          <t>Base</t>
        </is>
      </c>
      <c r="F162" s="1" t="n">
        <v>0.251574</v>
      </c>
    </row>
    <row r="163" ht="15.75" customHeight="1" s="201">
      <c r="A163" s="1" t="n">
        <v>11541130</v>
      </c>
      <c r="B163" s="1" t="inlineStr">
        <is>
          <t>Milk shake, home recipe, chocolate, light (Includes reduced fat ice cream and/or 1% low fat, skim, nonfat, or fat free milk; restaurant or ice cream shop)</t>
        </is>
      </c>
      <c r="C163" s="1" t="n">
        <v>4</v>
      </c>
      <c r="D163" s="1" t="inlineStr">
        <is>
          <t>FNDDS recipe with replaced or modified SR codes</t>
        </is>
      </c>
      <c r="E163" s="1" t="inlineStr">
        <is>
          <t>Base</t>
        </is>
      </c>
      <c r="F163" s="1" t="n">
        <v>0.248272</v>
      </c>
    </row>
    <row r="164" ht="15.75" customHeight="1" s="201">
      <c r="A164" s="1" t="n">
        <v>11541135</v>
      </c>
      <c r="B164" s="1" t="inlineStr">
        <is>
          <t>Milk shake, home recipe, flavors other than chocolate, light (Includes reduced fat ice cream and/or 1% low fat, skim, nonfat, fat free milk; restaurant or ice cream shop; NS as to flavor)</t>
        </is>
      </c>
      <c r="C164" s="1" t="n">
        <v>4</v>
      </c>
      <c r="D164" s="1" t="inlineStr">
        <is>
          <t>FNDDS recipe with replaced or modified SR codes</t>
        </is>
      </c>
      <c r="E164" s="1" t="inlineStr">
        <is>
          <t>Base</t>
        </is>
      </c>
      <c r="F164" s="1" t="n">
        <v>0.329657</v>
      </c>
    </row>
    <row r="165" ht="15.75" customHeight="1" s="201">
      <c r="A165" s="1" t="n">
        <v>11542100</v>
      </c>
      <c r="B165" s="1" t="inlineStr">
        <is>
          <t>Milk shake, fast food, chocolate (Includes Burger King; Dairy Queen; McDonald's; Wendy's Frosty Shakes; Jack in the Box; Arby's; Dunkin Donuts; Sonic; from other place)</t>
        </is>
      </c>
      <c r="C165" s="1" t="n">
        <v>1</v>
      </c>
      <c r="D165" s="1" t="inlineStr">
        <is>
          <t>Links to FNDDS</t>
        </is>
      </c>
      <c r="E165" s="1" t="inlineStr">
        <is>
          <t>Base</t>
        </is>
      </c>
      <c r="F165" s="1" t="n">
        <v>1.0326</v>
      </c>
    </row>
    <row r="166" ht="15.75" customHeight="1" s="201">
      <c r="A166" s="1" t="n">
        <v>11542200</v>
      </c>
      <c r="B166" s="1" t="inlineStr">
        <is>
          <t>Milk shake, fast food, flavors other than chocolate (Includes Burger King; Dairy Queen; McDonald's; Wendy's Frosty Shakes; Jack in the Box; Arby's; Dunkin Donuts; Sonic; from other place; NS as to flavor or type)</t>
        </is>
      </c>
      <c r="C166" s="1" t="n">
        <v>1</v>
      </c>
      <c r="D166" s="1" t="inlineStr">
        <is>
          <t>Links to FNDDS</t>
        </is>
      </c>
      <c r="E166" s="1" t="inlineStr">
        <is>
          <t>Base</t>
        </is>
      </c>
      <c r="F166" s="1" t="n">
        <v>1.011292</v>
      </c>
    </row>
    <row r="167" ht="15.75" customHeight="1" s="201">
      <c r="A167" s="1" t="n">
        <v>11543000</v>
      </c>
      <c r="B167" s="1" t="inlineStr">
        <is>
          <t>Milk shake, bottled, chocolate (Includes canned; reconstituted dry mix; Hershey's; Chug)</t>
        </is>
      </c>
      <c r="C167" s="1" t="n">
        <v>1</v>
      </c>
      <c r="D167" s="1" t="inlineStr">
        <is>
          <t>Links to FNDDS</t>
        </is>
      </c>
      <c r="E167" s="1" t="inlineStr">
        <is>
          <t>Base</t>
        </is>
      </c>
      <c r="F167" s="1" t="n">
        <v>0.365229</v>
      </c>
    </row>
    <row r="168" ht="15.75" customHeight="1" s="201">
      <c r="A168" s="1" t="n">
        <v>11543010</v>
      </c>
      <c r="B168" s="1" t="inlineStr">
        <is>
          <t>Milk shake, bottled, flavors other than chocolate (Includes canned; reconstituted dry mix; Hershey's; Chug)</t>
        </is>
      </c>
      <c r="C168" s="1" t="n">
        <v>1</v>
      </c>
      <c r="D168" s="1" t="inlineStr">
        <is>
          <t>Links to FNDDS</t>
        </is>
      </c>
      <c r="E168" s="1" t="inlineStr">
        <is>
          <t>Base</t>
        </is>
      </c>
      <c r="F168" s="1" t="n">
        <v>0.41686</v>
      </c>
    </row>
    <row r="169" ht="15.75" customHeight="1" s="201">
      <c r="A169" s="1" t="n">
        <v>11551050</v>
      </c>
      <c r="B169" s="1" t="inlineStr">
        <is>
          <t>Licuado or Batido (Includes milk fruit drink)</t>
        </is>
      </c>
      <c r="C169" s="1" t="n">
        <v>4</v>
      </c>
      <c r="D169" s="1" t="inlineStr">
        <is>
          <t>FNDDS recipe with replaced or modified SR codes</t>
        </is>
      </c>
      <c r="E169" s="1" t="inlineStr">
        <is>
          <t>Base</t>
        </is>
      </c>
      <c r="F169" s="1" t="n">
        <v>0.189099</v>
      </c>
    </row>
    <row r="170" ht="15.75" customHeight="1" s="201">
      <c r="A170" s="1" t="n">
        <v>11553100</v>
      </c>
      <c r="B170" s="1" t="inlineStr">
        <is>
          <t>Fruit smoothie, NFS</t>
        </is>
      </c>
      <c r="C170" s="1" t="n">
        <v>2</v>
      </c>
      <c r="D170" s="1" t="inlineStr">
        <is>
          <t>Links to altEC</t>
        </is>
      </c>
      <c r="E170" s="1" t="inlineStr">
        <is>
          <t>Base</t>
        </is>
      </c>
      <c r="F170" s="1" t="n">
        <v>0.462558</v>
      </c>
    </row>
    <row r="171" ht="15.75" customHeight="1" s="201">
      <c r="A171" s="1" t="n">
        <v>11553110</v>
      </c>
      <c r="B171" s="1" t="inlineStr">
        <is>
          <t>Fruit smoothie, with whole fruit and dairy (Includes with milk, yogurt, ice cream, or sherbet; home recipe; restaurant; smoothie shop; juice bar; Jamba Juice; Smoothie King)</t>
        </is>
      </c>
      <c r="C171" s="1" t="n">
        <v>4</v>
      </c>
      <c r="D171" s="1" t="inlineStr">
        <is>
          <t>FNDDS recipe with replaced or modified SR codes</t>
        </is>
      </c>
      <c r="E171" s="1" t="inlineStr">
        <is>
          <t>Base</t>
        </is>
      </c>
      <c r="F171" s="1" t="n">
        <v>0.402191</v>
      </c>
    </row>
    <row r="172" ht="15.75" customHeight="1" s="201">
      <c r="A172" s="1" t="n">
        <v>11553120</v>
      </c>
      <c r="B172" s="1" t="inlineStr">
        <is>
          <t>Fruit smoothie, with whole fruit and dairy, added protein (Includes with milk, yogurt, ice cream, or sherbet; home recipe; restaurant; smoothie shop; juice bar; Jamba Juice; Smoothie King)</t>
        </is>
      </c>
      <c r="C172" s="1" t="n">
        <v>4</v>
      </c>
      <c r="D172" s="1" t="inlineStr">
        <is>
          <t>FNDDS recipe with replaced or modified SR codes</t>
        </is>
      </c>
      <c r="E172" s="1" t="inlineStr">
        <is>
          <t>Base</t>
        </is>
      </c>
      <c r="F172" s="1" t="n">
        <v>0.492617</v>
      </c>
    </row>
    <row r="173" ht="15.75" customHeight="1" s="201">
      <c r="A173" s="1" t="n">
        <v>11553130</v>
      </c>
      <c r="B173" s="1" t="inlineStr">
        <is>
          <t>Fruit smoothie juice drink, with dairy (Includes milk, yogurt, ice cream, or sherbet; fast food smoothie, NFS; Dairy Queen; Jack-in-the-Box; frozen mix; Orange Julius; Julius, all flavors; from other place; McDonald's Smoothies, NFS)</t>
        </is>
      </c>
      <c r="C173" s="1" t="n">
        <v>2</v>
      </c>
      <c r="D173" s="1" t="inlineStr">
        <is>
          <t>Links to altEC</t>
        </is>
      </c>
      <c r="E173" s="1" t="inlineStr">
        <is>
          <t>Base</t>
        </is>
      </c>
      <c r="F173" s="1" t="n">
        <v>0.447597</v>
      </c>
    </row>
    <row r="174" ht="15.75" customHeight="1" s="201">
      <c r="A174" s="1" t="n">
        <v>11560000</v>
      </c>
      <c r="B174" s="1" t="inlineStr">
        <is>
          <t>Chocolate milk drink (Includes Yoo-hoo; other flavors)</t>
        </is>
      </c>
      <c r="C174" s="1" t="n">
        <v>1</v>
      </c>
      <c r="D174" s="1" t="inlineStr">
        <is>
          <t>Links to FNDDS</t>
        </is>
      </c>
      <c r="E174" s="1" t="inlineStr">
        <is>
          <t>Base</t>
        </is>
      </c>
      <c r="F174" s="1" t="n">
        <v>0.154453</v>
      </c>
    </row>
    <row r="175" ht="15.75" customHeight="1" s="201">
      <c r="A175" s="1" t="n">
        <v>11710051</v>
      </c>
      <c r="B175" s="1" t="inlineStr">
        <is>
          <t>Infant formula, ready-to-feed (Similac Expert Care Alimentum) (Includes Similac Alimentum)</t>
        </is>
      </c>
      <c r="C175" s="1" t="n">
        <v>1</v>
      </c>
      <c r="D175" s="1" t="inlineStr">
        <is>
          <t>Links to FNDDS</t>
        </is>
      </c>
      <c r="E175" s="1" t="inlineStr">
        <is>
          <t>Base</t>
        </is>
      </c>
      <c r="F175" s="1" t="n">
        <v>1.074909</v>
      </c>
    </row>
    <row r="176" ht="15.75" customHeight="1" s="201">
      <c r="A176" s="1" t="n">
        <v>11710055</v>
      </c>
      <c r="B176" s="1" t="inlineStr">
        <is>
          <t>Infant formula, powder, made with plain bottled water (Similac Expert Care Alimentum) (Includes Similac Alimentum; made with bottled spring water)</t>
        </is>
      </c>
      <c r="C176" s="1" t="n">
        <v>2</v>
      </c>
      <c r="D176" s="1" t="inlineStr">
        <is>
          <t>Links to altEC</t>
        </is>
      </c>
      <c r="E176" s="1" t="inlineStr">
        <is>
          <t>Base</t>
        </is>
      </c>
      <c r="F176" s="1" t="n">
        <v>1.074909</v>
      </c>
    </row>
    <row r="177" ht="15.75" customHeight="1" s="201">
      <c r="A177" s="1" t="n">
        <v>11710056</v>
      </c>
      <c r="B177" s="1" t="inlineStr">
        <is>
          <t>Infant formula, powder, made with baby water (Similac Expert Care Alimentum) (Includes Similac Alimentum; made with Nursery water; Gerber Pure Water; Beech Nut Spring Water)</t>
        </is>
      </c>
      <c r="C177" s="1" t="n">
        <v>2</v>
      </c>
      <c r="D177" s="1" t="inlineStr">
        <is>
          <t>Links to altEC</t>
        </is>
      </c>
      <c r="E177" s="1" t="inlineStr">
        <is>
          <t>Base</t>
        </is>
      </c>
      <c r="F177" s="1" t="n">
        <v>1.074909</v>
      </c>
    </row>
    <row r="178" ht="15.75" customHeight="1" s="201">
      <c r="A178" s="1" t="n">
        <v>11710357</v>
      </c>
      <c r="B178" s="1" t="inlineStr">
        <is>
          <t>Infant formula, powder, made with tap water (Similac Advance) (Includes Similac Advance EarlyShield; made with filtered tap water or well water)</t>
        </is>
      </c>
      <c r="C178" s="1" t="n">
        <v>3</v>
      </c>
      <c r="D178" s="1" t="inlineStr">
        <is>
          <t>Original FNDDS recipe</t>
        </is>
      </c>
      <c r="E178" s="1" t="inlineStr">
        <is>
          <t>Base</t>
        </is>
      </c>
      <c r="F178" s="1" t="n">
        <v>0.591244</v>
      </c>
    </row>
    <row r="179" ht="15.75" customHeight="1" s="201">
      <c r="A179" s="1" t="n">
        <v>11710358</v>
      </c>
      <c r="B179" s="1" t="inlineStr">
        <is>
          <t>Infant formula, powder, made with plain bottled water (Similac Advance) (Includes Similac Advance EarlyShield; made with bottled spring water)</t>
        </is>
      </c>
      <c r="C179" s="1" t="n">
        <v>3</v>
      </c>
      <c r="D179" s="1" t="inlineStr">
        <is>
          <t>Original FNDDS recipe</t>
        </is>
      </c>
      <c r="E179" s="1" t="inlineStr">
        <is>
          <t>Base</t>
        </is>
      </c>
      <c r="F179" s="1" t="n">
        <v>0.622404</v>
      </c>
    </row>
    <row r="180" ht="15.75" customHeight="1" s="201">
      <c r="A180" s="1" t="n">
        <v>11710359</v>
      </c>
      <c r="B180" s="1" t="inlineStr">
        <is>
          <t>Infant formula, powder, made with baby water (Similac Advance) (Includes Similac Advance EarlyShield; made with Nursery water; Gerber Pure water; Beech-Nut Spring water; NS as to Similac variety)</t>
        </is>
      </c>
      <c r="C180" s="1" t="n">
        <v>4</v>
      </c>
      <c r="D180" s="1" t="inlineStr">
        <is>
          <t>FNDDS recipe with replaced or modified SR codes</t>
        </is>
      </c>
      <c r="E180" s="1" t="inlineStr">
        <is>
          <t>Base</t>
        </is>
      </c>
      <c r="F180" s="1" t="n">
        <v>0.622404</v>
      </c>
    </row>
    <row r="181" ht="15.75" customHeight="1" s="201">
      <c r="A181" s="1" t="n">
        <v>11710377</v>
      </c>
      <c r="B181" s="1" t="inlineStr">
        <is>
          <t>Infant formula, powder, made with tap water (Similac Sensitive) (Includes made with filtered tap water or well water)</t>
        </is>
      </c>
      <c r="C181" s="1" t="n">
        <v>3</v>
      </c>
      <c r="D181" s="1" t="inlineStr">
        <is>
          <t>Original FNDDS recipe</t>
        </is>
      </c>
      <c r="E181" s="1" t="inlineStr">
        <is>
          <t>Base</t>
        </is>
      </c>
      <c r="F181" s="1" t="n">
        <v>0.552507</v>
      </c>
    </row>
    <row r="182" ht="15.75" customHeight="1" s="201">
      <c r="A182" s="1" t="n">
        <v>11710378</v>
      </c>
      <c r="B182" s="1" t="inlineStr">
        <is>
          <t>Infant formula, powder, made with plain bottled water (Similac Sensitive) (Includes made with bottled spring water)</t>
        </is>
      </c>
      <c r="C182" s="1" t="n">
        <v>3</v>
      </c>
      <c r="D182" s="1" t="inlineStr">
        <is>
          <t>Original FNDDS recipe</t>
        </is>
      </c>
      <c r="E182" s="1" t="inlineStr">
        <is>
          <t>Base</t>
        </is>
      </c>
      <c r="F182" s="1" t="n">
        <v>0.583667</v>
      </c>
    </row>
    <row r="183" ht="15.75" customHeight="1" s="201">
      <c r="A183" s="1" t="n">
        <v>11710379</v>
      </c>
      <c r="B183" s="1" t="inlineStr">
        <is>
          <t>Infant formula, powder, made with baby water (Similac Sensitive) (Includes made with Nursery water; Gerber Pure water; Beech-Nut Spring water)</t>
        </is>
      </c>
      <c r="C183" s="1" t="n">
        <v>4</v>
      </c>
      <c r="D183" s="1" t="inlineStr">
        <is>
          <t>FNDDS recipe with replaced or modified SR codes</t>
        </is>
      </c>
      <c r="E183" s="1" t="inlineStr">
        <is>
          <t>Base</t>
        </is>
      </c>
      <c r="F183" s="1" t="n">
        <v>0.583667</v>
      </c>
    </row>
    <row r="184" ht="15.75" customHeight="1" s="201">
      <c r="A184" s="1" t="n">
        <v>11710383</v>
      </c>
      <c r="B184" s="1" t="inlineStr">
        <is>
          <t>Infant formula, powder, made with water, NFS (Similac for Spit-Up) (Includes Similac Sensitive RS; Similac Sensitive for Spit-Up; made with filtered tap water, well water, bottled water, or baby water)</t>
        </is>
      </c>
      <c r="C184" s="1" t="n">
        <v>4</v>
      </c>
      <c r="D184" s="1" t="inlineStr">
        <is>
          <t>FNDDS recipe with replaced or modified SR codes</t>
        </is>
      </c>
      <c r="E184" s="1" t="inlineStr">
        <is>
          <t>Base</t>
        </is>
      </c>
      <c r="F184" s="1" t="n">
        <v>0.552507</v>
      </c>
    </row>
    <row r="185" ht="15.75" customHeight="1" s="201">
      <c r="A185" s="1" t="n">
        <v>11710471</v>
      </c>
      <c r="B185" s="1" t="inlineStr">
        <is>
          <t>Infant formula, ready-to-feed (Similac Expert Care NeoSure) (Includes Similac NeoSure)</t>
        </is>
      </c>
      <c r="C185" s="1" t="n">
        <v>2</v>
      </c>
      <c r="D185" s="1" t="inlineStr">
        <is>
          <t>Links to altEC</t>
        </is>
      </c>
      <c r="E185" s="1" t="inlineStr">
        <is>
          <t>Base</t>
        </is>
      </c>
      <c r="F185" s="1" t="n">
        <v>0.931239</v>
      </c>
    </row>
    <row r="186" ht="15.75" customHeight="1" s="201">
      <c r="A186" s="1" t="n">
        <v>11710477</v>
      </c>
      <c r="B186" s="1" t="inlineStr">
        <is>
          <t>Infant formula, powder, made with tap water (Similac Expert Care NeoSure) (Includes Similac Neosure; made with filtered tap water or well water)</t>
        </is>
      </c>
      <c r="C186" s="1" t="n">
        <v>2</v>
      </c>
      <c r="D186" s="1" t="inlineStr">
        <is>
          <t>Links to altEC</t>
        </is>
      </c>
      <c r="E186" s="1" t="inlineStr">
        <is>
          <t>Base</t>
        </is>
      </c>
      <c r="F186" s="1" t="n">
        <v>0.656935</v>
      </c>
    </row>
    <row r="187" ht="15.75" customHeight="1" s="201">
      <c r="A187" s="1" t="n">
        <v>11710479</v>
      </c>
      <c r="B187" s="1" t="inlineStr">
        <is>
          <t>Infant formula, powder, made with baby water (Similac Expert Care NeoSure) (Includes Similac Neosure; made with Nursery water; Gerber Pure water; Beech-Nut Spring water)</t>
        </is>
      </c>
      <c r="C187" s="1" t="n">
        <v>2</v>
      </c>
      <c r="D187" s="1" t="inlineStr">
        <is>
          <t>Links to altEC</t>
        </is>
      </c>
      <c r="E187" s="1" t="inlineStr">
        <is>
          <t>Base</t>
        </is>
      </c>
      <c r="F187" s="1" t="n">
        <v>0.656935</v>
      </c>
    </row>
    <row r="188" ht="15.75" customHeight="1" s="201">
      <c r="A188" s="1" t="n">
        <v>11710629</v>
      </c>
      <c r="B188" s="1" t="inlineStr">
        <is>
          <t>Infant formula, powder, made with baby water (Enfamil Newborn) (Includes made with Nursery water; Gerber Pure water; Beech-Nut Spring water; Enfamil PREMIUM Newborn)</t>
        </is>
      </c>
      <c r="C188" s="1" t="n">
        <v>2</v>
      </c>
      <c r="D188" s="1" t="inlineStr">
        <is>
          <t>Links to altEC</t>
        </is>
      </c>
      <c r="E188" s="1" t="inlineStr">
        <is>
          <t>Base</t>
        </is>
      </c>
      <c r="F188" s="1" t="n">
        <v>0.5989409999999999</v>
      </c>
    </row>
    <row r="189" ht="15.75" customHeight="1" s="201">
      <c r="A189" s="1" t="n">
        <v>11710631</v>
      </c>
      <c r="B189" s="1" t="inlineStr">
        <is>
          <t>Infant formula, ready-to-feed (Enfamil Infant) (Includes Enfamil PREMIUM Infant; Enfamil LIPIL; Enfamil PREMIUM LIPIL)</t>
        </is>
      </c>
      <c r="C189" s="1" t="n">
        <v>1</v>
      </c>
      <c r="D189" s="1" t="inlineStr">
        <is>
          <t>Links to FNDDS</t>
        </is>
      </c>
      <c r="E189" s="1" t="inlineStr">
        <is>
          <t>Base</t>
        </is>
      </c>
      <c r="F189" s="1" t="n">
        <v>0.940385</v>
      </c>
    </row>
    <row r="190" ht="15.75" customHeight="1" s="201">
      <c r="A190" s="1" t="n">
        <v>11710637</v>
      </c>
      <c r="B190" s="1" t="inlineStr">
        <is>
          <t>Infant formula, powder, made with tap water (Enfamil Infant) (Includes made with filtered tap water or well water; Enfamil PREMIUM Infant; Enfamil LIPIL; Enfamil PREMIUM LIPIL)</t>
        </is>
      </c>
      <c r="C190" s="1" t="n">
        <v>3</v>
      </c>
      <c r="D190" s="1" t="inlineStr">
        <is>
          <t>Original FNDDS recipe</t>
        </is>
      </c>
      <c r="E190" s="1" t="inlineStr">
        <is>
          <t>Base</t>
        </is>
      </c>
      <c r="F190" s="1" t="n">
        <v>0.596231</v>
      </c>
    </row>
    <row r="191" ht="15.75" customHeight="1" s="201">
      <c r="A191" s="1" t="n">
        <v>11710638</v>
      </c>
      <c r="B191" s="1" t="inlineStr">
        <is>
          <t>Infant formula, powder, made with plain bottled water (Enfamil Infant) (Includes made with bottled spring water; Enfamil PREMIUM Infant; Enfamil LIPIL; Enfamil PREMIUM LIPIL)</t>
        </is>
      </c>
      <c r="C191" s="1" t="n">
        <v>3</v>
      </c>
      <c r="D191" s="1" t="inlineStr">
        <is>
          <t>Original FNDDS recipe</t>
        </is>
      </c>
      <c r="E191" s="1" t="inlineStr">
        <is>
          <t>Base</t>
        </is>
      </c>
      <c r="F191" s="1" t="n">
        <v>0.627254</v>
      </c>
    </row>
    <row r="192" ht="15.75" customHeight="1" s="201">
      <c r="A192" s="1" t="n">
        <v>11710639</v>
      </c>
      <c r="B192" s="1" t="inlineStr">
        <is>
          <t>Infant formula, powder, made with baby water (Enfamil Infant) (Includes made with Nursery water; Gerber Pure water; Beech-Nut Spring water; Enfamil PREMIUM Infant; Enfamil LIPIL; Enfamil PREMIUM LIPIL; NS as to Enfamil variety)</t>
        </is>
      </c>
      <c r="C192" s="1" t="n">
        <v>4</v>
      </c>
      <c r="D192" s="1" t="inlineStr">
        <is>
          <t>FNDDS recipe with replaced or modified SR codes</t>
        </is>
      </c>
      <c r="E192" s="1" t="inlineStr">
        <is>
          <t>Base</t>
        </is>
      </c>
      <c r="F192" s="1" t="n">
        <v>0.627254</v>
      </c>
    </row>
    <row r="193" ht="15.75" customHeight="1" s="201">
      <c r="A193" s="1" t="n">
        <v>11710669</v>
      </c>
      <c r="B193" s="1" t="inlineStr">
        <is>
          <t>Infant formula, powder, made with baby water (Enfamil A.R.) (Includes made with Nursery water; Gerber Pure water; Beech-Nut Spring water; Enfamil A.R. LIPIL)</t>
        </is>
      </c>
      <c r="C193" s="1" t="n">
        <v>4</v>
      </c>
      <c r="D193" s="1" t="inlineStr">
        <is>
          <t>FNDDS recipe with replaced or modified SR codes</t>
        </is>
      </c>
      <c r="E193" s="1" t="inlineStr">
        <is>
          <t>Base</t>
        </is>
      </c>
      <c r="F193" s="1" t="n">
        <v>0.642026</v>
      </c>
    </row>
    <row r="194" ht="15.75" customHeight="1" s="201">
      <c r="A194" s="1" t="n">
        <v>11710674</v>
      </c>
      <c r="B194" s="1" t="inlineStr">
        <is>
          <t>Infant formula, powder, made with tap water (Enfamil EnfaCare) (Includes made with filtered tap water or well water; Enfamil EnfaCare LIPIL)</t>
        </is>
      </c>
      <c r="C194" s="1" t="n">
        <v>2</v>
      </c>
      <c r="D194" s="1" t="inlineStr">
        <is>
          <t>Links to altEC</t>
        </is>
      </c>
      <c r="E194" s="1" t="inlineStr">
        <is>
          <t>Base</t>
        </is>
      </c>
      <c r="F194" s="1" t="n">
        <v>0.420635</v>
      </c>
    </row>
    <row r="195" ht="15.75" customHeight="1" s="201">
      <c r="A195" s="1" t="n">
        <v>11710675</v>
      </c>
      <c r="B195" s="1" t="inlineStr">
        <is>
          <t>Infant formula, powder, made with plain bottled water (Enfamil EnfaCare) (Includes made with bottled spring water; Enfamil EnfaCare LIPIL)</t>
        </is>
      </c>
      <c r="C195" s="1" t="n">
        <v>2</v>
      </c>
      <c r="D195" s="1" t="inlineStr">
        <is>
          <t>Links to altEC</t>
        </is>
      </c>
      <c r="E195" s="1" t="inlineStr">
        <is>
          <t>Base</t>
        </is>
      </c>
      <c r="F195" s="1" t="n">
        <v>0.943819</v>
      </c>
    </row>
    <row r="196" ht="15.75" customHeight="1" s="201">
      <c r="A196" s="1" t="n">
        <v>11710677</v>
      </c>
      <c r="B196" s="1" t="inlineStr">
        <is>
          <t>Infant formula, powder, made with tap water (Enfamil Gentlease) (Includes made with filtered tap water or well water; Enfamil Gentlease Lipil)</t>
        </is>
      </c>
      <c r="C196" s="1" t="n">
        <v>3</v>
      </c>
      <c r="D196" s="1" t="inlineStr">
        <is>
          <t>Original FNDDS recipe</t>
        </is>
      </c>
      <c r="E196" s="1" t="inlineStr">
        <is>
          <t>Base</t>
        </is>
      </c>
      <c r="F196" s="1" t="n">
        <v>0.620946</v>
      </c>
    </row>
    <row r="197" ht="15.75" customHeight="1" s="201">
      <c r="A197" s="1" t="n">
        <v>11710678</v>
      </c>
      <c r="B197" s="1" t="inlineStr">
        <is>
          <t>Infant formula, powder, made with plain bottled water (Enfamil Gentlease) (Includes Enfamil Gentlease Lipil; made with bottled spring water)</t>
        </is>
      </c>
      <c r="C197" s="1" t="n">
        <v>3</v>
      </c>
      <c r="D197" s="1" t="inlineStr">
        <is>
          <t>Original FNDDS recipe</t>
        </is>
      </c>
      <c r="E197" s="1" t="inlineStr">
        <is>
          <t>Base</t>
        </is>
      </c>
      <c r="F197" s="1" t="n">
        <v>0.651969</v>
      </c>
    </row>
    <row r="198" ht="15.75" customHeight="1" s="201">
      <c r="A198" s="1" t="n">
        <v>11710679</v>
      </c>
      <c r="B198" s="1" t="inlineStr">
        <is>
          <t>Infant formula, powder, made with baby water (Enfamil Gentlease) (Includes Enfamil Gentlease Lipil; made with Nursery water; Gerber Pure water; Beech-Nut Spring water)</t>
        </is>
      </c>
      <c r="C198" s="1" t="n">
        <v>4</v>
      </c>
      <c r="D198" s="1" t="inlineStr">
        <is>
          <t>FNDDS recipe with replaced or modified SR codes</t>
        </is>
      </c>
      <c r="E198" s="1" t="inlineStr">
        <is>
          <t>Base</t>
        </is>
      </c>
      <c r="F198" s="1" t="n">
        <v>0.651969</v>
      </c>
    </row>
    <row r="199" ht="15.75" customHeight="1" s="201">
      <c r="A199" s="1" t="n">
        <v>11710687</v>
      </c>
      <c r="B199" s="1" t="inlineStr">
        <is>
          <t>Infant formula, powder, made with tap water (Enfamil Enfagrow Toddler Transitions) (Includes made with filtered tap water or well water; Enfamil PREMIUM Next Step LIPIL; Enfagrow PREMIUM)</t>
        </is>
      </c>
      <c r="C199" s="1" t="n">
        <v>2</v>
      </c>
      <c r="D199" s="1" t="inlineStr">
        <is>
          <t>Links to altEC</t>
        </is>
      </c>
      <c r="E199" s="1" t="inlineStr">
        <is>
          <t>Base</t>
        </is>
      </c>
      <c r="F199" s="1" t="n">
        <v>0.383931</v>
      </c>
    </row>
    <row r="200" ht="15.75" customHeight="1" s="201">
      <c r="A200" s="1" t="n">
        <v>11710801</v>
      </c>
      <c r="B200" s="1" t="inlineStr">
        <is>
          <t>Infant formula, ready-to-feed (PediaSure) (Includes all flavors)</t>
        </is>
      </c>
      <c r="C200" s="1" t="n">
        <v>2</v>
      </c>
      <c r="D200" s="1" t="inlineStr">
        <is>
          <t>Links to altEC</t>
        </is>
      </c>
      <c r="E200" s="1" t="inlineStr">
        <is>
          <t>Base</t>
        </is>
      </c>
      <c r="F200" s="1" t="n">
        <v>1.074909</v>
      </c>
    </row>
    <row r="201" ht="15.75" customHeight="1" s="201">
      <c r="A201" s="1" t="n">
        <v>11710917</v>
      </c>
      <c r="B201" s="1" t="inlineStr">
        <is>
          <t>Infant formula, powder, made with tap water (Gerber Good Start Gentle) (Includes made with filtered tap water or well water; Gerber Good Start Gentle Plus)</t>
        </is>
      </c>
      <c r="C201" s="1" t="n">
        <v>4</v>
      </c>
      <c r="D201" s="1" t="inlineStr">
        <is>
          <t>FNDDS recipe with replaced or modified SR codes</t>
        </is>
      </c>
      <c r="E201" s="1" t="inlineStr">
        <is>
          <t>Base</t>
        </is>
      </c>
      <c r="F201" s="1" t="n">
        <v>0.588274</v>
      </c>
    </row>
    <row r="202" ht="15.75" customHeight="1" s="201">
      <c r="A202" s="1" t="n">
        <v>11710918</v>
      </c>
      <c r="B202" s="1" t="inlineStr">
        <is>
          <t>Infant formula, powder, made with plain bottled water (Gerber Good Start Gentle) (Includes made with bottled spring water; Gerber Good Start Gentle Plus)</t>
        </is>
      </c>
      <c r="C202" s="1" t="n">
        <v>4</v>
      </c>
      <c r="D202" s="1" t="inlineStr">
        <is>
          <t>FNDDS recipe with replaced or modified SR codes</t>
        </is>
      </c>
      <c r="E202" s="1" t="inlineStr">
        <is>
          <t>Base</t>
        </is>
      </c>
      <c r="F202" s="1" t="n">
        <v>0.619251</v>
      </c>
    </row>
    <row r="203" ht="15.75" customHeight="1" s="201">
      <c r="A203" s="1" t="n">
        <v>11710919</v>
      </c>
      <c r="B203" s="1" t="inlineStr">
        <is>
          <t>Infant formula, powder, made with baby water (Gerber Good Start Gentle) (Includes made with Nursery water; Gerber Pure water; Beech-Nut Spring water; Gerber Good Start Gentle Plus; NS as to Gerber variety)</t>
        </is>
      </c>
      <c r="C203" s="1" t="n">
        <v>4</v>
      </c>
      <c r="D203" s="1" t="inlineStr">
        <is>
          <t>FNDDS recipe with replaced or modified SR codes</t>
        </is>
      </c>
      <c r="E203" s="1" t="inlineStr">
        <is>
          <t>Base</t>
        </is>
      </c>
      <c r="F203" s="1" t="n">
        <v>0.619251</v>
      </c>
    </row>
    <row r="204" ht="15.75" customHeight="1" s="201">
      <c r="A204" s="1" t="n">
        <v>11710930</v>
      </c>
      <c r="B204" s="1" t="inlineStr">
        <is>
          <t>Infant formula, NS as to form (Gerber Graduates Gentle) (Includes Gerber Good Start 2 Gentle Plus; prepared from powder; made with tap water, well water, bottled water, or baby water)</t>
        </is>
      </c>
      <c r="C204" s="1" t="n">
        <v>2</v>
      </c>
      <c r="D204" s="1" t="inlineStr">
        <is>
          <t>Links to altEC</t>
        </is>
      </c>
      <c r="E204" s="1" t="inlineStr">
        <is>
          <t>Base</t>
        </is>
      </c>
      <c r="F204" s="1" t="n">
        <v>0.585168</v>
      </c>
    </row>
    <row r="205" ht="15.75" customHeight="1" s="201">
      <c r="A205" s="1" t="n">
        <v>11710967</v>
      </c>
      <c r="B205" s="1" t="inlineStr">
        <is>
          <t>Infant formula, powder, made with tap water (Store Brand) (Includes Parents' Choice; made with filtered tap water or well water)</t>
        </is>
      </c>
      <c r="C205" s="1" t="n">
        <v>3</v>
      </c>
      <c r="D205" s="1" t="inlineStr">
        <is>
          <t>Original FNDDS recipe</t>
        </is>
      </c>
      <c r="E205" s="1" t="inlineStr">
        <is>
          <t>Base</t>
        </is>
      </c>
      <c r="F205" s="1" t="n">
        <v>0.593743</v>
      </c>
    </row>
    <row r="206" ht="15.75" customHeight="1" s="201">
      <c r="A206" s="1" t="n">
        <v>11710968</v>
      </c>
      <c r="B206" s="1" t="inlineStr">
        <is>
          <t>Infant formula, powder, made with plain bottled water (Store Brand) (Includes Parents' Choice; made with bottled spring water)</t>
        </is>
      </c>
      <c r="C206" s="1" t="n">
        <v>3</v>
      </c>
      <c r="D206" s="1" t="inlineStr">
        <is>
          <t>Original FNDDS recipe</t>
        </is>
      </c>
      <c r="E206" s="1" t="inlineStr">
        <is>
          <t>Base</t>
        </is>
      </c>
      <c r="F206" s="1" t="n">
        <v>0.624834</v>
      </c>
    </row>
    <row r="207" ht="15.75" customHeight="1" s="201">
      <c r="A207" s="1" t="n">
        <v>11720617</v>
      </c>
      <c r="B207" s="1" t="inlineStr">
        <is>
          <t>Infant formula, powder, made with tap water (Gerber Good Start Soy) (Includes made with filtered tap water or well water; Gerber Good Start Soy Plus)</t>
        </is>
      </c>
      <c r="C207" s="1" t="n">
        <v>2</v>
      </c>
      <c r="D207" s="1" t="inlineStr">
        <is>
          <t>Links to altEC</t>
        </is>
      </c>
      <c r="E207" s="1" t="inlineStr">
        <is>
          <t>Base</t>
        </is>
      </c>
      <c r="F207" s="1" t="n">
        <v>0.579959</v>
      </c>
    </row>
    <row r="208" ht="15.75" customHeight="1" s="201">
      <c r="A208" s="1" t="n">
        <v>11720619</v>
      </c>
      <c r="B208" s="1" t="inlineStr">
        <is>
          <t>Infant formula, powder, made with baby water (Gerber Good Start Soy) (Includes made with Nursery water; Gerber Pure water; Beech-Nut Spring water; Gerber Good Start soy Plus)</t>
        </is>
      </c>
      <c r="C208" s="1" t="n">
        <v>2</v>
      </c>
      <c r="D208" s="1" t="inlineStr">
        <is>
          <t>Links to altEC</t>
        </is>
      </c>
      <c r="E208" s="1" t="inlineStr">
        <is>
          <t>Base</t>
        </is>
      </c>
      <c r="F208" s="1" t="n">
        <v>0.579959</v>
      </c>
    </row>
    <row r="209" ht="15.75" customHeight="1" s="201">
      <c r="A209" s="1" t="n">
        <v>11740312</v>
      </c>
      <c r="B209" s="1" t="inlineStr">
        <is>
          <t>Infant formula, liquid concentrate, made with water, NFS (Enfamil Nutramigen) (Includes Enfamil Nutramigen Lipil; Enfamil Nutramigen with Enflora LGG; made with filtered tap water or well water; made with bottled spring water, bottled water, or baby water)</t>
        </is>
      </c>
      <c r="C209" s="1" t="n">
        <v>2</v>
      </c>
      <c r="D209" s="1" t="inlineStr">
        <is>
          <t>Links to altEC</t>
        </is>
      </c>
      <c r="E209" s="1" t="inlineStr">
        <is>
          <t>Base</t>
        </is>
      </c>
      <c r="F209" s="1" t="n">
        <v>0.91125</v>
      </c>
    </row>
    <row r="210" ht="15.75" customHeight="1" s="201">
      <c r="A210" s="1" t="n">
        <v>11740313</v>
      </c>
      <c r="B210" s="1" t="inlineStr">
        <is>
          <t>Infant formula, powder, made with water, NFS (Enfamil Nutramigen) (Includes Enfamil Nutramigen Lipil; Enfamil Nutramigen with Enflora LGG; made with filtered tap water or well water; made with bottled spring water, bottled water, or baby water)</t>
        </is>
      </c>
      <c r="C210" s="1" t="n">
        <v>3</v>
      </c>
      <c r="D210" s="1" t="inlineStr">
        <is>
          <t>Original FNDDS recipe</t>
        </is>
      </c>
      <c r="E210" s="1" t="inlineStr">
        <is>
          <t>Base</t>
        </is>
      </c>
      <c r="F210" s="1" t="n">
        <v>0.907127</v>
      </c>
    </row>
    <row r="211" ht="15.75" customHeight="1" s="201">
      <c r="A211" s="1" t="n">
        <v>11740323</v>
      </c>
      <c r="B211" s="1" t="inlineStr">
        <is>
          <t>Infant formula, powder, made with water, NFS (PurAmino) (Includes Enfamil Nutramigen AA LIPIL; made with filtered tap water, well water, bottled water, or baby water)</t>
        </is>
      </c>
      <c r="C211" s="1" t="n">
        <v>4</v>
      </c>
      <c r="D211" s="1" t="inlineStr">
        <is>
          <t>FNDDS recipe with replaced or modified SR codes</t>
        </is>
      </c>
      <c r="E211" s="1" t="inlineStr">
        <is>
          <t>Base</t>
        </is>
      </c>
      <c r="F211" s="1" t="n">
        <v>0.907127</v>
      </c>
    </row>
    <row r="212" ht="15.75" customHeight="1" s="201">
      <c r="A212" s="1" t="n">
        <v>11810000</v>
      </c>
      <c r="B212" s="1" t="inlineStr">
        <is>
          <t>Milk, dry, not reconstituted, NS as to fat content</t>
        </is>
      </c>
      <c r="C212" s="1" t="n">
        <v>1</v>
      </c>
      <c r="D212" s="1" t="inlineStr">
        <is>
          <t>Links to FNDDS</t>
        </is>
      </c>
      <c r="E212" s="1" t="inlineStr">
        <is>
          <t>Base</t>
        </is>
      </c>
      <c r="F212" s="1" t="n">
        <v>0.17871</v>
      </c>
    </row>
    <row r="213" ht="15.75" customHeight="1" s="201">
      <c r="A213" s="1" t="n">
        <v>11830150</v>
      </c>
      <c r="B213" s="1" t="inlineStr">
        <is>
          <t>Cocoa powder, not reconstituted (Includes no dry milk)</t>
        </is>
      </c>
      <c r="C213" s="1" t="n">
        <v>1</v>
      </c>
      <c r="D213" s="1" t="inlineStr">
        <is>
          <t>Links to FNDDS</t>
        </is>
      </c>
      <c r="E213" s="1" t="inlineStr">
        <is>
          <t>Base</t>
        </is>
      </c>
      <c r="F213" s="1" t="n">
        <v>1.512475</v>
      </c>
    </row>
    <row r="214" ht="15.75" customHeight="1" s="201">
      <c r="A214" s="1" t="n">
        <v>11830160</v>
      </c>
      <c r="B214" s="1" t="inlineStr">
        <is>
          <t>Chocolate beverage powder, dry mix, not reconstituted (Includes all types; hot chocolate / cocoa dry mix)</t>
        </is>
      </c>
      <c r="C214" s="1" t="n">
        <v>1</v>
      </c>
      <c r="D214" s="1" t="inlineStr">
        <is>
          <t>Links to FNDDS</t>
        </is>
      </c>
      <c r="E214" s="1" t="inlineStr">
        <is>
          <t>Base</t>
        </is>
      </c>
      <c r="F214" s="1" t="n">
        <v>0.975347</v>
      </c>
    </row>
    <row r="215" ht="15.75" customHeight="1" s="201">
      <c r="A215" s="1" t="n">
        <v>11830260</v>
      </c>
      <c r="B215" s="1" t="inlineStr">
        <is>
          <t>Milk, malted, dry mix, not reconstituted (Includes Ovaltine; NS as to flavor)</t>
        </is>
      </c>
      <c r="C215" s="1" t="n">
        <v>1</v>
      </c>
      <c r="D215" s="1" t="inlineStr">
        <is>
          <t>Links to FNDDS</t>
        </is>
      </c>
      <c r="E215" s="1" t="inlineStr">
        <is>
          <t>Base</t>
        </is>
      </c>
      <c r="F215" s="1" t="n">
        <v>1.134696</v>
      </c>
    </row>
    <row r="216" ht="15.75" customHeight="1" s="201">
      <c r="A216" s="1" t="n">
        <v>12100100</v>
      </c>
      <c r="B216" s="1" t="inlineStr">
        <is>
          <t>Cream, NS as to light, heavy, or half and half</t>
        </is>
      </c>
      <c r="C216" s="1" t="n">
        <v>2</v>
      </c>
      <c r="D216" s="1" t="inlineStr">
        <is>
          <t>Links to altEC</t>
        </is>
      </c>
      <c r="E216" s="1" t="inlineStr">
        <is>
          <t>Base</t>
        </is>
      </c>
      <c r="F216" s="1" t="n">
        <v>0.37888</v>
      </c>
    </row>
    <row r="217" ht="15.75" customHeight="1" s="201">
      <c r="A217" s="1" t="n">
        <v>12110100</v>
      </c>
      <c r="B217" s="1" t="inlineStr">
        <is>
          <t>Cream, light (Includes coffee cream; table cream)</t>
        </is>
      </c>
      <c r="C217" s="1" t="n">
        <v>1</v>
      </c>
      <c r="D217" s="1" t="inlineStr">
        <is>
          <t>Links to FNDDS</t>
        </is>
      </c>
      <c r="E217" s="1" t="inlineStr">
        <is>
          <t>Base</t>
        </is>
      </c>
      <c r="F217" s="1" t="n">
        <v>0.471868</v>
      </c>
    </row>
    <row r="218" ht="15.75" customHeight="1" s="201">
      <c r="A218" s="1" t="n">
        <v>12120100</v>
      </c>
      <c r="B218" s="1" t="inlineStr">
        <is>
          <t>Cream, half and half (Includes plain)</t>
        </is>
      </c>
      <c r="C218" s="1" t="n">
        <v>1</v>
      </c>
      <c r="D218" s="1" t="inlineStr">
        <is>
          <t>Links to FNDDS</t>
        </is>
      </c>
      <c r="E218" s="1" t="inlineStr">
        <is>
          <t>Base</t>
        </is>
      </c>
      <c r="F218" s="1" t="n">
        <v>0.306065</v>
      </c>
    </row>
    <row r="219" ht="15.75" customHeight="1" s="201">
      <c r="A219" s="1" t="n">
        <v>12120106</v>
      </c>
      <c r="B219" s="1" t="inlineStr">
        <is>
          <t>Cream, half and half, flavored</t>
        </is>
      </c>
      <c r="C219" s="1" t="n">
        <v>1</v>
      </c>
      <c r="D219" s="1" t="inlineStr">
        <is>
          <t>Links to FNDDS</t>
        </is>
      </c>
      <c r="E219" s="1" t="inlineStr">
        <is>
          <t>Base</t>
        </is>
      </c>
      <c r="F219" s="1" t="n">
        <v>0.535788</v>
      </c>
    </row>
    <row r="220" ht="15.75" customHeight="1" s="201">
      <c r="A220" s="1" t="n">
        <v>12120110</v>
      </c>
      <c r="B220" s="1" t="inlineStr">
        <is>
          <t>Cream, half and half, fat free (Includes low fat; plain or flavored)</t>
        </is>
      </c>
      <c r="C220" s="1" t="n">
        <v>1</v>
      </c>
      <c r="D220" s="1" t="inlineStr">
        <is>
          <t>Links to FNDDS</t>
        </is>
      </c>
      <c r="E220" s="1" t="inlineStr">
        <is>
          <t>Base</t>
        </is>
      </c>
      <c r="F220" s="1" t="n">
        <v>0.294802</v>
      </c>
    </row>
    <row r="221" ht="15.75" customHeight="1" s="201">
      <c r="A221" s="1" t="n">
        <v>12130100</v>
      </c>
      <c r="B221" s="1" t="inlineStr">
        <is>
          <t>Cream, heavy (Includes whipping cream; NS as to heavy or light)</t>
        </is>
      </c>
      <c r="C221" s="1" t="n">
        <v>1</v>
      </c>
      <c r="D221" s="1" t="inlineStr">
        <is>
          <t>Links to FNDDS</t>
        </is>
      </c>
      <c r="E221" s="1" t="inlineStr">
        <is>
          <t>Base</t>
        </is>
      </c>
      <c r="F221" s="1" t="n">
        <v>0.620648</v>
      </c>
    </row>
    <row r="222" ht="15.75" customHeight="1" s="201">
      <c r="A222" s="1" t="n">
        <v>12140000</v>
      </c>
      <c r="B222" s="1" t="inlineStr">
        <is>
          <t>Cream, whipped (Includes heavy; light; Reddiwip; real whipped cream; plain or flavored)</t>
        </is>
      </c>
      <c r="C222" s="1" t="n">
        <v>1</v>
      </c>
      <c r="D222" s="1" t="inlineStr">
        <is>
          <t>Links to FNDDS</t>
        </is>
      </c>
      <c r="E222" s="1" t="inlineStr">
        <is>
          <t>Base</t>
        </is>
      </c>
      <c r="F222" s="1" t="n">
        <v>0.580133</v>
      </c>
    </row>
    <row r="223" ht="15.75" customHeight="1" s="201">
      <c r="A223" s="1" t="n">
        <v>12200100</v>
      </c>
      <c r="B223" s="1" t="inlineStr">
        <is>
          <t>Coffee creamer, NFS</t>
        </is>
      </c>
      <c r="C223" s="1" t="n">
        <v>2</v>
      </c>
      <c r="D223" s="1" t="inlineStr">
        <is>
          <t>Links to altEC</t>
        </is>
      </c>
      <c r="E223" s="1" t="inlineStr">
        <is>
          <t>Base</t>
        </is>
      </c>
      <c r="F223" s="1" t="n">
        <v>0.320914</v>
      </c>
    </row>
    <row r="224" ht="15.75" customHeight="1" s="201">
      <c r="A224" s="1" t="n">
        <v>12210200</v>
      </c>
      <c r="B224" s="1" t="inlineStr">
        <is>
          <t>Coffee creamer, liquid (Includes frozen; Coffee Mate; Carnation; Coffee Rich; Dunkin Donuts; International Delight; plain)</t>
        </is>
      </c>
      <c r="C224" s="1" t="n">
        <v>1</v>
      </c>
      <c r="D224" s="1" t="inlineStr">
        <is>
          <t>Links to FNDDS</t>
        </is>
      </c>
      <c r="E224" s="1" t="inlineStr">
        <is>
          <t>Base</t>
        </is>
      </c>
      <c r="F224" s="1" t="n">
        <v>0.320914</v>
      </c>
    </row>
    <row r="225" ht="15.75" customHeight="1" s="201">
      <c r="A225" s="1" t="n">
        <v>12210210</v>
      </c>
      <c r="B225" s="1" t="inlineStr">
        <is>
          <t>Coffee creamer, liquid, flavored (Includes Coffee Mate; Bailey's; Bliss; Carnation; Coffee Rich; Dunkin Donuts; International Delight; Mocha Mix)</t>
        </is>
      </c>
      <c r="C225" s="1" t="n">
        <v>1</v>
      </c>
      <c r="D225" s="1" t="inlineStr">
        <is>
          <t>Links to FNDDS</t>
        </is>
      </c>
      <c r="E225" s="1" t="inlineStr">
        <is>
          <t>Base</t>
        </is>
      </c>
      <c r="F225" s="1" t="n">
        <v>0.332876</v>
      </c>
    </row>
    <row r="226" ht="15.75" customHeight="1" s="201">
      <c r="A226" s="1" t="n">
        <v>12210260</v>
      </c>
      <c r="B226" s="1" t="inlineStr">
        <is>
          <t>Coffee creamer, liquid, fat free (Includes low fat; light; lite; Coffee Mate; Carnation; Coffee Rich; Dunkin Donuts; International Delight; plain)</t>
        </is>
      </c>
      <c r="C226" s="1" t="n">
        <v>1</v>
      </c>
      <c r="D226" s="1" t="inlineStr">
        <is>
          <t>Links to FNDDS</t>
        </is>
      </c>
      <c r="E226" s="1" t="inlineStr">
        <is>
          <t>Base</t>
        </is>
      </c>
      <c r="F226" s="1" t="n">
        <v>1.03877</v>
      </c>
    </row>
    <row r="227" ht="15.75" customHeight="1" s="201">
      <c r="A227" s="1" t="n">
        <v>12210270</v>
      </c>
      <c r="B227" s="1" t="inlineStr">
        <is>
          <t>Coffee creamer, liquid, fat free, flavored (Includes light; lite; Coffee Mate; low fat; Carnation; Coffee Rich; Dunkin Donuts; International Delight; Mocha Mix)</t>
        </is>
      </c>
      <c r="C227" s="1" t="n">
        <v>1</v>
      </c>
      <c r="D227" s="1" t="inlineStr">
        <is>
          <t>Links to FNDDS</t>
        </is>
      </c>
      <c r="E227" s="1" t="inlineStr">
        <is>
          <t>Base</t>
        </is>
      </c>
      <c r="F227" s="1" t="n">
        <v>1.031078</v>
      </c>
    </row>
    <row r="228" ht="15.75" customHeight="1" s="201">
      <c r="A228" s="1" t="n">
        <v>12210280</v>
      </c>
      <c r="B228" s="1" t="inlineStr">
        <is>
          <t>Coffee creamer, liquid, fat free, sugar free, flavored (Includes low fat; light; lite; Coffee Mate; Carnation; International Delight; Mocha Mix)</t>
        </is>
      </c>
      <c r="C228" s="1" t="n">
        <v>1</v>
      </c>
      <c r="D228" s="1" t="inlineStr">
        <is>
          <t>Links to FNDDS</t>
        </is>
      </c>
      <c r="E228" s="1" t="inlineStr">
        <is>
          <t>Base</t>
        </is>
      </c>
      <c r="F228" s="1" t="n">
        <v>0.345801</v>
      </c>
    </row>
    <row r="229" ht="15.75" customHeight="1" s="201">
      <c r="A229" s="1" t="n">
        <v>12210310</v>
      </c>
      <c r="B229" s="1" t="inlineStr">
        <is>
          <t>Coffee creamer, liquid, sugar free, flavored (Includes Coffee Mate; Carnation; International Delight; Mocha Mix)</t>
        </is>
      </c>
      <c r="C229" s="1" t="n">
        <v>2</v>
      </c>
      <c r="D229" s="1" t="inlineStr">
        <is>
          <t>Links to altEC</t>
        </is>
      </c>
      <c r="E229" s="1" t="inlineStr">
        <is>
          <t>Base</t>
        </is>
      </c>
      <c r="F229" s="1" t="n">
        <v>0.332876</v>
      </c>
    </row>
    <row r="230" ht="15.75" customHeight="1" s="201">
      <c r="A230" s="1" t="n">
        <v>12210400</v>
      </c>
      <c r="B230" s="1" t="inlineStr">
        <is>
          <t>Coffee creamer, powder (Includes Coffee Mate; Cremora; Carnation; plain)</t>
        </is>
      </c>
      <c r="C230" s="1" t="n">
        <v>1</v>
      </c>
      <c r="D230" s="1" t="inlineStr">
        <is>
          <t>Links to FNDDS</t>
        </is>
      </c>
      <c r="E230" s="1" t="inlineStr">
        <is>
          <t>Base</t>
        </is>
      </c>
      <c r="F230" s="1" t="n">
        <v>0.506807</v>
      </c>
    </row>
    <row r="231" ht="15.75" customHeight="1" s="201">
      <c r="A231" s="1" t="n">
        <v>12210420</v>
      </c>
      <c r="B231" s="1" t="inlineStr">
        <is>
          <t>Coffee creamer, powder, flavored (Includes Coffee Mate powder, flavored; Carnation)</t>
        </is>
      </c>
      <c r="C231" s="1" t="n">
        <v>1</v>
      </c>
      <c r="D231" s="1" t="inlineStr">
        <is>
          <t>Links to FNDDS</t>
        </is>
      </c>
      <c r="E231" s="1" t="inlineStr">
        <is>
          <t>Base</t>
        </is>
      </c>
      <c r="F231" s="1" t="n">
        <v>0.710534</v>
      </c>
    </row>
    <row r="232" ht="15.75" customHeight="1" s="201">
      <c r="A232" s="1" t="n">
        <v>12210430</v>
      </c>
      <c r="B232" s="1" t="inlineStr">
        <is>
          <t>Coffee creamer, powder, fat free (Includes light; lite; low fat; Coffee Mate; Carnation; Cremora; plain)</t>
        </is>
      </c>
      <c r="C232" s="1" t="n">
        <v>1</v>
      </c>
      <c r="D232" s="1" t="inlineStr">
        <is>
          <t>Links to FNDDS</t>
        </is>
      </c>
      <c r="E232" s="1" t="inlineStr">
        <is>
          <t>Base</t>
        </is>
      </c>
      <c r="F232" s="1" t="n">
        <v>0.711165</v>
      </c>
    </row>
    <row r="233" ht="15.75" customHeight="1" s="201">
      <c r="A233" s="1" t="n">
        <v>12210505</v>
      </c>
      <c r="B233" s="1" t="inlineStr">
        <is>
          <t>Coffee creamer,powder, sugar free, flavored (Includes fat free; light; lite; low fat; Coffee Mate; Carnation)</t>
        </is>
      </c>
      <c r="C233" s="1" t="n">
        <v>2</v>
      </c>
      <c r="D233" s="1" t="inlineStr">
        <is>
          <t>Links to altEC</t>
        </is>
      </c>
      <c r="E233" s="1" t="inlineStr">
        <is>
          <t>Base</t>
        </is>
      </c>
      <c r="F233" s="1" t="n">
        <v>0.58466</v>
      </c>
    </row>
    <row r="234" ht="15.75" customHeight="1" s="201">
      <c r="A234" s="1" t="n">
        <v>12210520</v>
      </c>
      <c r="B234" s="1" t="inlineStr">
        <is>
          <t>Coffee creamer, soy, liquid (Includes almond; Silk; So Delicious; coconut milk creamer)</t>
        </is>
      </c>
      <c r="C234" s="1" t="n">
        <v>1</v>
      </c>
      <c r="D234" s="1" t="inlineStr">
        <is>
          <t>Links to FNDDS</t>
        </is>
      </c>
      <c r="E234" s="1" t="inlineStr">
        <is>
          <t>Base</t>
        </is>
      </c>
      <c r="F234" s="1" t="n">
        <v>0.425444</v>
      </c>
    </row>
    <row r="235" ht="15.75" customHeight="1" s="201">
      <c r="A235" s="1" t="n">
        <v>12220200</v>
      </c>
      <c r="B235" s="1" t="inlineStr">
        <is>
          <t>Whipped topping (Includes Cool Whip; non-dairy; plain or flavored; frozen; Rich's Richwhip; Dream Whip; whipped topping, NFS)</t>
        </is>
      </c>
      <c r="C235" s="1" t="n">
        <v>2</v>
      </c>
      <c r="D235" s="1" t="inlineStr">
        <is>
          <t>Links to altEC</t>
        </is>
      </c>
      <c r="E235" s="1" t="inlineStr">
        <is>
          <t>Base</t>
        </is>
      </c>
      <c r="F235" s="1" t="n">
        <v>0.65108</v>
      </c>
    </row>
    <row r="236" ht="15.75" customHeight="1" s="201">
      <c r="A236" s="1" t="n">
        <v>12220280</v>
      </c>
      <c r="B236" s="1" t="inlineStr">
        <is>
          <t>Whipped topping, sugar free (Includes Cool Whip; non-dairy; plain or flavored; frozen; Rich's Richwhip)</t>
        </is>
      </c>
      <c r="C236" s="1" t="n">
        <v>2</v>
      </c>
      <c r="D236" s="1" t="inlineStr">
        <is>
          <t>Links to altEC</t>
        </is>
      </c>
      <c r="E236" s="1" t="inlineStr">
        <is>
          <t>Base</t>
        </is>
      </c>
      <c r="F236" s="1" t="n">
        <v>0.660014</v>
      </c>
    </row>
    <row r="237" ht="15.75" customHeight="1" s="201">
      <c r="A237" s="1" t="n">
        <v>12310100</v>
      </c>
      <c r="B237" s="1" t="inlineStr">
        <is>
          <t>Sour cream, regular</t>
        </is>
      </c>
      <c r="C237" s="1" t="n">
        <v>1</v>
      </c>
      <c r="D237" s="1" t="inlineStr">
        <is>
          <t>Links to FNDDS</t>
        </is>
      </c>
      <c r="E237" s="1" t="inlineStr">
        <is>
          <t>Base</t>
        </is>
      </c>
      <c r="F237" s="1" t="n">
        <v>0.434684</v>
      </c>
    </row>
    <row r="238" ht="15.75" customHeight="1" s="201">
      <c r="A238" s="1" t="n">
        <v>12310350</v>
      </c>
      <c r="B238" s="1" t="inlineStr">
        <is>
          <t>Sour cream, light (Includes low fat; reduced fat)</t>
        </is>
      </c>
      <c r="C238" s="1" t="n">
        <v>1</v>
      </c>
      <c r="D238" s="1" t="inlineStr">
        <is>
          <t>Links to FNDDS</t>
        </is>
      </c>
      <c r="E238" s="1" t="inlineStr">
        <is>
          <t>Base</t>
        </is>
      </c>
      <c r="F238" s="1" t="n">
        <v>0.447777</v>
      </c>
    </row>
    <row r="239" ht="15.75" customHeight="1" s="201">
      <c r="A239" s="1" t="n">
        <v>12310370</v>
      </c>
      <c r="B239" s="1" t="inlineStr">
        <is>
          <t>Sour cream, fat free (Includes nonfat)</t>
        </is>
      </c>
      <c r="C239" s="1" t="n">
        <v>1</v>
      </c>
      <c r="D239" s="1" t="inlineStr">
        <is>
          <t>Links to FNDDS</t>
        </is>
      </c>
      <c r="E239" s="1" t="inlineStr">
        <is>
          <t>Base</t>
        </is>
      </c>
      <c r="F239" s="1" t="n">
        <v>0.370576</v>
      </c>
    </row>
    <row r="240" ht="15.75" customHeight="1" s="201">
      <c r="A240" s="1" t="n">
        <v>12320100</v>
      </c>
      <c r="B240" s="1" t="inlineStr">
        <is>
          <t>Sour cream, imitation (Includes nondairy)</t>
        </is>
      </c>
      <c r="C240" s="1" t="n">
        <v>1</v>
      </c>
      <c r="D240" s="1" t="inlineStr">
        <is>
          <t>Links to FNDDS</t>
        </is>
      </c>
      <c r="E240" s="1" t="inlineStr">
        <is>
          <t>Base</t>
        </is>
      </c>
      <c r="F240" s="1" t="n">
        <v>0.93819</v>
      </c>
    </row>
    <row r="241" ht="15.75" customHeight="1" s="201">
      <c r="A241" s="1" t="n">
        <v>12350010</v>
      </c>
      <c r="B241" s="1" t="inlineStr">
        <is>
          <t>Dip, NFS (Includes NS as to kind of dip)</t>
        </is>
      </c>
      <c r="C241" s="1" t="n">
        <v>2</v>
      </c>
      <c r="D241" s="1" t="inlineStr">
        <is>
          <t>Links to altEC</t>
        </is>
      </c>
      <c r="E241" s="1" t="inlineStr">
        <is>
          <t>Base</t>
        </is>
      </c>
      <c r="F241" s="1" t="n">
        <v>0.905543</v>
      </c>
    </row>
    <row r="242" ht="15.75" customHeight="1" s="201">
      <c r="A242" s="1" t="n">
        <v>12350200</v>
      </c>
      <c r="B242" s="1" t="inlineStr">
        <is>
          <t>Chipotle dip, regular (Includes jalapeno dip; Southwest dip)</t>
        </is>
      </c>
      <c r="C242" s="1" t="n">
        <v>1</v>
      </c>
      <c r="D242" s="1" t="inlineStr">
        <is>
          <t>Links to FNDDS</t>
        </is>
      </c>
      <c r="E242" s="1" t="inlineStr">
        <is>
          <t>Base</t>
        </is>
      </c>
      <c r="F242" s="1" t="n">
        <v>0.5839299999999999</v>
      </c>
    </row>
    <row r="243" ht="15.75" customHeight="1" s="201">
      <c r="A243" s="1" t="n">
        <v>12350205</v>
      </c>
      <c r="B243" s="1" t="inlineStr">
        <is>
          <t>Chipotle dip, light (Includes jalapeno dip; Southwest dip; fat free; low fat; nonfat; reduced fat)</t>
        </is>
      </c>
      <c r="C243" s="1" t="n">
        <v>2</v>
      </c>
      <c r="D243" s="1" t="inlineStr">
        <is>
          <t>Links to altEC</t>
        </is>
      </c>
      <c r="E243" s="1" t="inlineStr">
        <is>
          <t>Base</t>
        </is>
      </c>
      <c r="F243" s="1" t="n">
        <v>0.5839299999999999</v>
      </c>
    </row>
    <row r="244" ht="15.75" customHeight="1" s="201">
      <c r="A244" s="1" t="n">
        <v>12350210</v>
      </c>
      <c r="B244" s="1" t="inlineStr">
        <is>
          <t>Dill dip, regular (Includes cucumber dill dip)</t>
        </is>
      </c>
      <c r="C244" s="1" t="n">
        <v>1</v>
      </c>
      <c r="D244" s="1" t="inlineStr">
        <is>
          <t>Links to FNDDS</t>
        </is>
      </c>
      <c r="E244" s="1" t="inlineStr">
        <is>
          <t>Base</t>
        </is>
      </c>
      <c r="F244" s="1" t="n">
        <v>0.885013</v>
      </c>
    </row>
    <row r="245" ht="15.75" customHeight="1" s="201">
      <c r="A245" s="1" t="n">
        <v>12350215</v>
      </c>
      <c r="B245" s="1" t="inlineStr">
        <is>
          <t>Dill dip, light (Includes light cucumber dill dip; fat free; low fat; nonfat; reduced fat)</t>
        </is>
      </c>
      <c r="C245" s="1" t="n">
        <v>2</v>
      </c>
      <c r="D245" s="1" t="inlineStr">
        <is>
          <t>Links to altEC</t>
        </is>
      </c>
      <c r="E245" s="1" t="inlineStr">
        <is>
          <t>Base</t>
        </is>
      </c>
      <c r="F245" s="1" t="n">
        <v>0.885013</v>
      </c>
    </row>
    <row r="246" ht="15.75" customHeight="1" s="201">
      <c r="A246" s="1" t="n">
        <v>12350220</v>
      </c>
      <c r="B246" s="1" t="inlineStr">
        <is>
          <t>Onion dip, regular (Includes French onion dip; toasted onion dip; green onion dip)</t>
        </is>
      </c>
      <c r="C246" s="1" t="n">
        <v>1</v>
      </c>
      <c r="D246" s="1" t="inlineStr">
        <is>
          <t>Links to FNDDS</t>
        </is>
      </c>
      <c r="E246" s="1" t="inlineStr">
        <is>
          <t>Base</t>
        </is>
      </c>
      <c r="F246" s="1" t="n">
        <v>0.544509</v>
      </c>
    </row>
    <row r="247" ht="15.75" customHeight="1" s="201">
      <c r="A247" s="1" t="n">
        <v>12350225</v>
      </c>
      <c r="B247" s="1" t="inlineStr">
        <is>
          <t>Onion dip, light (Includes French onion dip; toasted onion dip; green onion dip; fat free; low fat; nonfat; reduced fat)</t>
        </is>
      </c>
      <c r="C247" s="1" t="n">
        <v>2</v>
      </c>
      <c r="D247" s="1" t="inlineStr">
        <is>
          <t>Links to altEC</t>
        </is>
      </c>
      <c r="E247" s="1" t="inlineStr">
        <is>
          <t>Base</t>
        </is>
      </c>
      <c r="F247" s="1" t="n">
        <v>0.544509</v>
      </c>
    </row>
    <row r="248" ht="15.75" customHeight="1" s="201">
      <c r="A248" s="1" t="n">
        <v>12350230</v>
      </c>
      <c r="B248" s="1" t="inlineStr">
        <is>
          <t>Ranch dip, regular</t>
        </is>
      </c>
      <c r="C248" s="1" t="n">
        <v>1</v>
      </c>
      <c r="D248" s="1" t="inlineStr">
        <is>
          <t>Links to FNDDS</t>
        </is>
      </c>
      <c r="E248" s="1" t="inlineStr">
        <is>
          <t>Base</t>
        </is>
      </c>
      <c r="F248" s="1" t="n">
        <v>0.787624</v>
      </c>
    </row>
    <row r="249" ht="15.75" customHeight="1" s="201">
      <c r="A249" s="1" t="n">
        <v>12350235</v>
      </c>
      <c r="B249" s="1" t="inlineStr">
        <is>
          <t>Ranch dip, light (Includes fat free; low fat; nonfat; reduced fat)</t>
        </is>
      </c>
      <c r="C249" s="1" t="n">
        <v>2</v>
      </c>
      <c r="D249" s="1" t="inlineStr">
        <is>
          <t>Links to altEC</t>
        </is>
      </c>
      <c r="E249" s="1" t="inlineStr">
        <is>
          <t>Base</t>
        </is>
      </c>
      <c r="F249" s="1" t="n">
        <v>0.787624</v>
      </c>
    </row>
    <row r="250" ht="15.75" customHeight="1" s="201">
      <c r="A250" s="1" t="n">
        <v>12350240</v>
      </c>
      <c r="B250" s="1" t="inlineStr">
        <is>
          <t>Spinach dip, regular</t>
        </is>
      </c>
      <c r="C250" s="1" t="n">
        <v>1</v>
      </c>
      <c r="D250" s="1" t="inlineStr">
        <is>
          <t>Links to FNDDS</t>
        </is>
      </c>
      <c r="E250" s="1" t="inlineStr">
        <is>
          <t>Base</t>
        </is>
      </c>
      <c r="F250" s="1" t="n">
        <v>0.876685</v>
      </c>
    </row>
    <row r="251" ht="15.75" customHeight="1" s="201">
      <c r="A251" s="1" t="n">
        <v>12350245</v>
      </c>
      <c r="B251" s="1" t="inlineStr">
        <is>
          <t>Spinach dip, light (Includes fat free; low fat; nonfat; reduced fat)</t>
        </is>
      </c>
      <c r="C251" s="1" t="n">
        <v>2</v>
      </c>
      <c r="D251" s="1" t="inlineStr">
        <is>
          <t>Links to altEC</t>
        </is>
      </c>
      <c r="E251" s="1" t="inlineStr">
        <is>
          <t>Base</t>
        </is>
      </c>
      <c r="F251" s="1" t="n">
        <v>0.876685</v>
      </c>
    </row>
    <row r="252" ht="15.75" customHeight="1" s="201">
      <c r="A252" s="1" t="n">
        <v>12350250</v>
      </c>
      <c r="B252" s="1" t="inlineStr">
        <is>
          <t>Vegetable dip, regular</t>
        </is>
      </c>
      <c r="C252" s="1" t="n">
        <v>1</v>
      </c>
      <c r="D252" s="1" t="inlineStr">
        <is>
          <t>Links to FNDDS</t>
        </is>
      </c>
      <c r="E252" s="1" t="inlineStr">
        <is>
          <t>Base</t>
        </is>
      </c>
      <c r="F252" s="1" t="n">
        <v>0.989849</v>
      </c>
    </row>
    <row r="253" ht="15.75" customHeight="1" s="201">
      <c r="A253" s="1" t="n">
        <v>12350255</v>
      </c>
      <c r="B253" s="1" t="inlineStr">
        <is>
          <t>Vegetable dip, light (Includes fat free; low fat; nonfat; reduced fat)</t>
        </is>
      </c>
      <c r="C253" s="1" t="n">
        <v>2</v>
      </c>
      <c r="D253" s="1" t="inlineStr">
        <is>
          <t>Links to altEC</t>
        </is>
      </c>
      <c r="E253" s="1" t="inlineStr">
        <is>
          <t>Base</t>
        </is>
      </c>
      <c r="F253" s="1" t="n">
        <v>0.989849</v>
      </c>
    </row>
    <row r="254" ht="15.75" customHeight="1" s="201">
      <c r="A254" s="1" t="n">
        <v>13110000</v>
      </c>
      <c r="B254" s="1" t="inlineStr">
        <is>
          <t>Ice cream, NFS (Includes NS as to flavor)</t>
        </is>
      </c>
      <c r="C254" s="1" t="n">
        <v>2</v>
      </c>
      <c r="D254" s="1" t="inlineStr">
        <is>
          <t>Links to altEC</t>
        </is>
      </c>
      <c r="E254" s="1" t="inlineStr">
        <is>
          <t>Base</t>
        </is>
      </c>
      <c r="F254" s="1" t="n">
        <v>0.529172</v>
      </c>
    </row>
    <row r="255" ht="15.75" customHeight="1" s="201">
      <c r="A255" s="1" t="n">
        <v>13110100</v>
      </c>
      <c r="B255" s="1" t="inlineStr">
        <is>
          <t>Ice cream, vanilla (Includes other flavors; swirl; in a cup; scoop)</t>
        </is>
      </c>
      <c r="C255" s="1" t="n">
        <v>1</v>
      </c>
      <c r="D255" s="1" t="inlineStr">
        <is>
          <t>Links to FNDDS</t>
        </is>
      </c>
      <c r="E255" s="1" t="inlineStr">
        <is>
          <t>Base</t>
        </is>
      </c>
      <c r="F255" s="1" t="n">
        <v>0.468552</v>
      </c>
    </row>
    <row r="256" ht="15.75" customHeight="1" s="201">
      <c r="A256" s="1" t="n">
        <v>13110102</v>
      </c>
      <c r="B256" s="1" t="inlineStr">
        <is>
          <t>Ice cream, vanilla, with additional ingredients (Includes nuts, candy, cookies, chocolate or other ingredients within the ice cream; other flavors; swirl; in a cup; scoop)</t>
        </is>
      </c>
      <c r="C256" s="1" t="n">
        <v>1</v>
      </c>
      <c r="D256" s="1" t="inlineStr">
        <is>
          <t>Links to FNDDS</t>
        </is>
      </c>
      <c r="E256" s="1" t="inlineStr">
        <is>
          <t>Base</t>
        </is>
      </c>
      <c r="F256" s="1" t="n">
        <v>0.6859459999999999</v>
      </c>
    </row>
    <row r="257" ht="15.75" customHeight="1" s="201">
      <c r="A257" s="1" t="n">
        <v>13110110</v>
      </c>
      <c r="B257" s="1" t="inlineStr">
        <is>
          <t>Ice cream, chocolate (Includes in a cup; scoop)</t>
        </is>
      </c>
      <c r="C257" s="1" t="n">
        <v>1</v>
      </c>
      <c r="D257" s="1" t="inlineStr">
        <is>
          <t>Links to FNDDS</t>
        </is>
      </c>
      <c r="E257" s="1" t="inlineStr">
        <is>
          <t>Base</t>
        </is>
      </c>
      <c r="F257" s="1" t="n">
        <v>0.486638</v>
      </c>
    </row>
    <row r="258" ht="15.75" customHeight="1" s="201">
      <c r="A258" s="1" t="n">
        <v>13110112</v>
      </c>
      <c r="B258" s="1" t="inlineStr">
        <is>
          <t>Ice cream, chocolate, with additional ingredients (Includes nuts, candy, cookies, chocolate, or other ingredients within the ice cream; in a cup; scoop)</t>
        </is>
      </c>
      <c r="C258" s="1" t="n">
        <v>1</v>
      </c>
      <c r="D258" s="1" t="inlineStr">
        <is>
          <t>Links to FNDDS</t>
        </is>
      </c>
      <c r="E258" s="1" t="inlineStr">
        <is>
          <t>Base</t>
        </is>
      </c>
      <c r="F258" s="1" t="n">
        <v>0.535033</v>
      </c>
    </row>
    <row r="259" ht="15.75" customHeight="1" s="201">
      <c r="A259" s="1" t="n">
        <v>13110200</v>
      </c>
      <c r="B259" s="1" t="inlineStr">
        <is>
          <t>Ice cream, soft serve, vanilla (Includes soft serve, NFS; frozen custard, NFS; other flavors; swirl; NS as to ice cream or frozen yogurt; in a cup)</t>
        </is>
      </c>
      <c r="C259" s="1" t="n">
        <v>2</v>
      </c>
      <c r="D259" s="1" t="inlineStr">
        <is>
          <t>Links to altEC</t>
        </is>
      </c>
      <c r="E259" s="1" t="inlineStr">
        <is>
          <t>Base</t>
        </is>
      </c>
      <c r="F259" s="1" t="n">
        <v>0.753897</v>
      </c>
    </row>
    <row r="260" ht="15.75" customHeight="1" s="201">
      <c r="A260" s="1" t="n">
        <v>13110210</v>
      </c>
      <c r="B260" s="1" t="inlineStr">
        <is>
          <t>Ice cream, soft serve, chocolate (Includes frozen custard; NS as to ice cream or frozen yogurt; in a cup)</t>
        </is>
      </c>
      <c r="C260" s="1" t="n">
        <v>1</v>
      </c>
      <c r="D260" s="1" t="inlineStr">
        <is>
          <t>Links to FNDDS</t>
        </is>
      </c>
      <c r="E260" s="1" t="inlineStr">
        <is>
          <t>Base</t>
        </is>
      </c>
      <c r="F260" s="1" t="n">
        <v>1.018286</v>
      </c>
    </row>
    <row r="261" ht="15.75" customHeight="1" s="201">
      <c r="A261" s="1" t="n">
        <v>13110460</v>
      </c>
      <c r="B261" s="1" t="inlineStr">
        <is>
          <t>Gelato, vanilla (Includes other flavors; swirl)</t>
        </is>
      </c>
      <c r="C261" s="1" t="n">
        <v>1</v>
      </c>
      <c r="D261" s="1" t="inlineStr">
        <is>
          <t>Links to FNDDS</t>
        </is>
      </c>
      <c r="E261" s="1" t="inlineStr">
        <is>
          <t>Base</t>
        </is>
      </c>
      <c r="F261" s="1" t="n">
        <v>1.023516</v>
      </c>
    </row>
    <row r="262" ht="15.75" customHeight="1" s="201">
      <c r="A262" s="1" t="n">
        <v>13110470</v>
      </c>
      <c r="B262" s="1" t="inlineStr">
        <is>
          <t>Gelato, chocolate</t>
        </is>
      </c>
      <c r="C262" s="1" t="n">
        <v>1</v>
      </c>
      <c r="D262" s="1" t="inlineStr">
        <is>
          <t>Links to FNDDS</t>
        </is>
      </c>
      <c r="E262" s="1" t="inlineStr">
        <is>
          <t>Base</t>
        </is>
      </c>
      <c r="F262" s="1" t="n">
        <v>1.001132</v>
      </c>
    </row>
    <row r="263" ht="15.75" customHeight="1" s="201">
      <c r="A263" s="1" t="n">
        <v>13120050</v>
      </c>
      <c r="B263" s="1" t="inlineStr">
        <is>
          <t>Ice cream bar, vanilla (Includes stick; other flavors; coatings other than chocolate)</t>
        </is>
      </c>
      <c r="C263" s="1" t="n">
        <v>1</v>
      </c>
      <c r="D263" s="1" t="inlineStr">
        <is>
          <t>Links to FNDDS</t>
        </is>
      </c>
      <c r="E263" s="1" t="inlineStr">
        <is>
          <t>Base</t>
        </is>
      </c>
      <c r="F263" s="1" t="n">
        <v>0.550036</v>
      </c>
    </row>
    <row r="264" ht="15.75" customHeight="1" s="201">
      <c r="A264" s="1" t="n">
        <v>13120100</v>
      </c>
      <c r="B264" s="1" t="inlineStr">
        <is>
          <t>Ice cream bar, vanilla, chocolate coated (Includes ice cream bar, NFS; stick; other flavors; Klondike bar, NFS; Dove Bar, NFS; with nuts)</t>
        </is>
      </c>
      <c r="C264" s="1" t="n">
        <v>2</v>
      </c>
      <c r="D264" s="1" t="inlineStr">
        <is>
          <t>Links to altEC</t>
        </is>
      </c>
      <c r="E264" s="1" t="inlineStr">
        <is>
          <t>Base</t>
        </is>
      </c>
      <c r="F264" s="1" t="n">
        <v>0.663757</v>
      </c>
    </row>
    <row r="265" ht="15.75" customHeight="1" s="201">
      <c r="A265" s="1" t="n">
        <v>13120110</v>
      </c>
      <c r="B265" s="1" t="inlineStr">
        <is>
          <t>Ice cream candy bar (Includes all flavors; light ice cream candy bar; Snickers; Butterfinger)</t>
        </is>
      </c>
      <c r="C265" s="1" t="n">
        <v>1</v>
      </c>
      <c r="D265" s="1" t="inlineStr">
        <is>
          <t>Links to FNDDS</t>
        </is>
      </c>
      <c r="E265" s="1" t="inlineStr">
        <is>
          <t>Base</t>
        </is>
      </c>
      <c r="F265" s="1" t="n">
        <v>1.136636</v>
      </c>
    </row>
    <row r="266" ht="15.75" customHeight="1" s="201">
      <c r="A266" s="1" t="n">
        <v>13120140</v>
      </c>
      <c r="B266" s="1" t="inlineStr">
        <is>
          <t>Ice cream bar, chocolate (Includes stick; Klondike Bar; Dove Bar; with nuts; with or without chocolate coating)</t>
        </is>
      </c>
      <c r="C266" s="1" t="n">
        <v>1</v>
      </c>
      <c r="D266" s="1" t="inlineStr">
        <is>
          <t>Links to FNDDS</t>
        </is>
      </c>
      <c r="E266" s="1" t="inlineStr">
        <is>
          <t>Base</t>
        </is>
      </c>
      <c r="F266" s="1" t="n">
        <v>0.583207</v>
      </c>
    </row>
    <row r="267" ht="15.75" customHeight="1" s="201">
      <c r="A267" s="1" t="n">
        <v>13120500</v>
      </c>
      <c r="B267" s="1" t="inlineStr">
        <is>
          <t>Ice cream sandwich, vanilla (Includes other flavors; NS as to flavor)</t>
        </is>
      </c>
      <c r="C267" s="1" t="n">
        <v>1</v>
      </c>
      <c r="D267" s="1" t="inlineStr">
        <is>
          <t>Links to FNDDS</t>
        </is>
      </c>
      <c r="E267" s="1" t="inlineStr">
        <is>
          <t>Base</t>
        </is>
      </c>
      <c r="F267" s="1" t="n">
        <v>0.389239</v>
      </c>
    </row>
    <row r="268" ht="15.75" customHeight="1" s="201">
      <c r="A268" s="1" t="n">
        <v>13120510</v>
      </c>
      <c r="B268" s="1" t="inlineStr">
        <is>
          <t>Ice cream sandwich, chocolate</t>
        </is>
      </c>
      <c r="C268" s="1" t="n">
        <v>1</v>
      </c>
      <c r="D268" s="1" t="inlineStr">
        <is>
          <t>Links to FNDDS</t>
        </is>
      </c>
      <c r="E268" s="1" t="inlineStr">
        <is>
          <t>Base</t>
        </is>
      </c>
      <c r="F268" s="1" t="n">
        <v>0.476828</v>
      </c>
    </row>
    <row r="269" ht="15.75" customHeight="1" s="201">
      <c r="A269" s="1" t="n">
        <v>13120550</v>
      </c>
      <c r="B269" s="1" t="inlineStr">
        <is>
          <t>Ice cream cookie sandwich (Includes Chipwich)</t>
        </is>
      </c>
      <c r="C269" s="1" t="n">
        <v>1</v>
      </c>
      <c r="D269" s="1" t="inlineStr">
        <is>
          <t>Links to FNDDS</t>
        </is>
      </c>
      <c r="E269" s="1" t="inlineStr">
        <is>
          <t>Base</t>
        </is>
      </c>
      <c r="F269" s="1" t="n">
        <v>0.84227</v>
      </c>
    </row>
    <row r="270" ht="15.75" customHeight="1" s="201">
      <c r="A270" s="1" t="n">
        <v>13120730</v>
      </c>
      <c r="B270" s="1" t="inlineStr">
        <is>
          <t>Ice cream cone, scooped, vanilla (Includes other flavors; swirl)</t>
        </is>
      </c>
      <c r="C270" s="1" t="n">
        <v>2</v>
      </c>
      <c r="D270" s="1" t="inlineStr">
        <is>
          <t>Links to altEC</t>
        </is>
      </c>
      <c r="E270" s="1" t="inlineStr">
        <is>
          <t>Base</t>
        </is>
      </c>
      <c r="F270" s="1" t="n">
        <v>0.672601</v>
      </c>
    </row>
    <row r="271" ht="15.75" customHeight="1" s="201">
      <c r="A271" s="1" t="n">
        <v>13120735</v>
      </c>
      <c r="B271" s="1" t="inlineStr">
        <is>
          <t>Ice cream cone, scooped, vanilla, waffle cone (Includes other flavors; swirl)</t>
        </is>
      </c>
      <c r="C271" s="1" t="n">
        <v>2</v>
      </c>
      <c r="D271" s="1" t="inlineStr">
        <is>
          <t>Links to altEC</t>
        </is>
      </c>
      <c r="E271" s="1" t="inlineStr">
        <is>
          <t>Base</t>
        </is>
      </c>
      <c r="F271" s="1" t="n">
        <v>0.672601</v>
      </c>
    </row>
    <row r="272" ht="15.75" customHeight="1" s="201">
      <c r="A272" s="1" t="n">
        <v>13120740</v>
      </c>
      <c r="B272" s="1" t="inlineStr">
        <is>
          <t>Ice cream cone, NFS</t>
        </is>
      </c>
      <c r="C272" s="1" t="n">
        <v>2</v>
      </c>
      <c r="D272" s="1" t="inlineStr">
        <is>
          <t>Links to altEC</t>
        </is>
      </c>
      <c r="E272" s="1" t="inlineStr">
        <is>
          <t>Base</t>
        </is>
      </c>
      <c r="F272" s="1" t="n">
        <v>0.685497</v>
      </c>
    </row>
    <row r="273" ht="15.75" customHeight="1" s="201">
      <c r="A273" s="1" t="n">
        <v>13120770</v>
      </c>
      <c r="B273" s="1" t="inlineStr">
        <is>
          <t>Ice cream cone, scooped, chocolate</t>
        </is>
      </c>
      <c r="C273" s="1" t="n">
        <v>2</v>
      </c>
      <c r="D273" s="1" t="inlineStr">
        <is>
          <t>Links to altEC</t>
        </is>
      </c>
      <c r="E273" s="1" t="inlineStr">
        <is>
          <t>Base</t>
        </is>
      </c>
      <c r="F273" s="1" t="n">
        <v>0.901209</v>
      </c>
    </row>
    <row r="274" ht="15.75" customHeight="1" s="201">
      <c r="A274" s="1" t="n">
        <v>13120775</v>
      </c>
      <c r="B274" s="1" t="inlineStr">
        <is>
          <t>Ice cream cone, scooped, chocolate, waffle cone</t>
        </is>
      </c>
      <c r="C274" s="1" t="n">
        <v>2</v>
      </c>
      <c r="D274" s="1" t="inlineStr">
        <is>
          <t>Links to altEC</t>
        </is>
      </c>
      <c r="E274" s="1" t="inlineStr">
        <is>
          <t>Base</t>
        </is>
      </c>
      <c r="F274" s="1" t="n">
        <v>0.872869</v>
      </c>
    </row>
    <row r="275" ht="15.75" customHeight="1" s="201">
      <c r="A275" s="1" t="n">
        <v>13120782</v>
      </c>
      <c r="B275" s="1" t="inlineStr">
        <is>
          <t>Ice cream cone, soft serve, vanilla (Includes other flavors; swirl; McDonald's Cone)</t>
        </is>
      </c>
      <c r="C275" s="1" t="n">
        <v>2</v>
      </c>
      <c r="D275" s="1" t="inlineStr">
        <is>
          <t>Links to altEC</t>
        </is>
      </c>
      <c r="E275" s="1" t="inlineStr">
        <is>
          <t>Base</t>
        </is>
      </c>
      <c r="F275" s="1" t="n">
        <v>0.672601</v>
      </c>
    </row>
    <row r="276" ht="15.75" customHeight="1" s="201">
      <c r="A276" s="1" t="n">
        <v>13120784</v>
      </c>
      <c r="B276" s="1" t="inlineStr">
        <is>
          <t>Ice cream cone, soft serve, chocolate</t>
        </is>
      </c>
      <c r="C276" s="1" t="n">
        <v>2</v>
      </c>
      <c r="D276" s="1" t="inlineStr">
        <is>
          <t>Links to altEC</t>
        </is>
      </c>
      <c r="E276" s="1" t="inlineStr">
        <is>
          <t>Base</t>
        </is>
      </c>
      <c r="F276" s="1" t="n">
        <v>0.872869</v>
      </c>
    </row>
    <row r="277" ht="15.75" customHeight="1" s="201">
      <c r="A277" s="1" t="n">
        <v>13120786</v>
      </c>
      <c r="B277" s="1" t="inlineStr">
        <is>
          <t>Ice cream cone, soft serve, vanilla, waffle cone (Includes other flavors; swirl)</t>
        </is>
      </c>
      <c r="C277" s="1" t="n">
        <v>2</v>
      </c>
      <c r="D277" s="1" t="inlineStr">
        <is>
          <t>Links to altEC</t>
        </is>
      </c>
      <c r="E277" s="1" t="inlineStr">
        <is>
          <t>Base</t>
        </is>
      </c>
      <c r="F277" s="1" t="n">
        <v>0.672601</v>
      </c>
    </row>
    <row r="278" ht="15.75" customHeight="1" s="201">
      <c r="A278" s="1" t="n">
        <v>13120788</v>
      </c>
      <c r="B278" s="1" t="inlineStr">
        <is>
          <t>Ice cream cone, soft serve, chocolate, waffle cone</t>
        </is>
      </c>
      <c r="C278" s="1" t="n">
        <v>2</v>
      </c>
      <c r="D278" s="1" t="inlineStr">
        <is>
          <t>Links to altEC</t>
        </is>
      </c>
      <c r="E278" s="1" t="inlineStr">
        <is>
          <t>Base</t>
        </is>
      </c>
      <c r="F278" s="1" t="n">
        <v>0.872869</v>
      </c>
    </row>
    <row r="279" ht="15.75" customHeight="1" s="201">
      <c r="A279" s="1" t="n">
        <v>13120790</v>
      </c>
      <c r="B279" s="1" t="inlineStr">
        <is>
          <t>Ice cream cone, vanilla, prepackaged (Includes Drumstick, all flavors; prepackaged cone, NFS; other flavors; swirl; with nuts; sundae cone; Nutty Buddy)</t>
        </is>
      </c>
      <c r="C279" s="1" t="n">
        <v>1</v>
      </c>
      <c r="D279" s="1" t="inlineStr">
        <is>
          <t>Links to FNDDS</t>
        </is>
      </c>
      <c r="E279" s="1" t="inlineStr">
        <is>
          <t>Base</t>
        </is>
      </c>
      <c r="F279" s="1" t="n">
        <v>0.67296</v>
      </c>
    </row>
    <row r="280" ht="15.75" customHeight="1" s="201">
      <c r="A280" s="1" t="n">
        <v>13120792</v>
      </c>
      <c r="B280" s="1" t="inlineStr">
        <is>
          <t>Ice cream cone, chocolate, prepackaged (Includes with nuts)</t>
        </is>
      </c>
      <c r="C280" s="1" t="n">
        <v>1</v>
      </c>
      <c r="D280" s="1" t="inlineStr">
        <is>
          <t>Links to FNDDS</t>
        </is>
      </c>
      <c r="E280" s="1" t="inlineStr">
        <is>
          <t>Base</t>
        </is>
      </c>
      <c r="F280" s="1" t="n">
        <v>0.901209</v>
      </c>
    </row>
    <row r="281" ht="15.75" customHeight="1" s="201">
      <c r="A281" s="1" t="n">
        <v>13120800</v>
      </c>
      <c r="B281" s="1" t="inlineStr">
        <is>
          <t>Ice cream soda, flavors other than chocolate (Includes root beer float)</t>
        </is>
      </c>
      <c r="C281" s="1" t="n">
        <v>4</v>
      </c>
      <c r="D281" s="1" t="inlineStr">
        <is>
          <t>FNDDS recipe with replaced or modified SR codes</t>
        </is>
      </c>
      <c r="E281" s="1" t="inlineStr">
        <is>
          <t>Base</t>
        </is>
      </c>
      <c r="F281" s="1" t="n">
        <v>0.204945</v>
      </c>
    </row>
    <row r="282" ht="15.75" customHeight="1" s="201">
      <c r="A282" s="1" t="n">
        <v>13120810</v>
      </c>
      <c r="B282" s="1" t="inlineStr">
        <is>
          <t>Ice cream soda, chocolate (Includes root beer float)</t>
        </is>
      </c>
      <c r="C282" s="1" t="n">
        <v>4</v>
      </c>
      <c r="D282" s="1" t="inlineStr">
        <is>
          <t>FNDDS recipe with replaced or modified SR codes</t>
        </is>
      </c>
      <c r="E282" s="1" t="inlineStr">
        <is>
          <t>Base</t>
        </is>
      </c>
      <c r="F282" s="1" t="n">
        <v>0.199676</v>
      </c>
    </row>
    <row r="283" ht="15.75" customHeight="1" s="201">
      <c r="A283" s="1" t="n">
        <v>13121000</v>
      </c>
      <c r="B283" s="1" t="inlineStr">
        <is>
          <t>Ice cream sundae, NFS</t>
        </is>
      </c>
      <c r="C283" s="1" t="n">
        <v>2</v>
      </c>
      <c r="D283" s="1" t="inlineStr">
        <is>
          <t>Links to altEC</t>
        </is>
      </c>
      <c r="E283" s="1" t="inlineStr">
        <is>
          <t>Base</t>
        </is>
      </c>
      <c r="F283" s="1" t="n">
        <v>0.67296</v>
      </c>
    </row>
    <row r="284" ht="15.75" customHeight="1" s="201">
      <c r="A284" s="1" t="n">
        <v>13121100</v>
      </c>
      <c r="B284" s="1" t="inlineStr">
        <is>
          <t>Ice cream sundae, fruit topping (Includes ice cream parfait)</t>
        </is>
      </c>
      <c r="C284" s="1" t="n">
        <v>2</v>
      </c>
      <c r="D284" s="1" t="inlineStr">
        <is>
          <t>Links to altEC</t>
        </is>
      </c>
      <c r="E284" s="1" t="inlineStr">
        <is>
          <t>Base</t>
        </is>
      </c>
      <c r="F284" s="1" t="n">
        <v>0.67296</v>
      </c>
    </row>
    <row r="285" ht="15.75" customHeight="1" s="201">
      <c r="A285" s="1" t="n">
        <v>13121120</v>
      </c>
      <c r="B285" s="1" t="inlineStr">
        <is>
          <t>Banana split</t>
        </is>
      </c>
      <c r="C285" s="1" t="n">
        <v>2</v>
      </c>
      <c r="D285" s="1" t="inlineStr">
        <is>
          <t>Links to altEC</t>
        </is>
      </c>
      <c r="E285" s="1" t="inlineStr">
        <is>
          <t>Base</t>
        </is>
      </c>
      <c r="F285" s="1" t="n">
        <v>0.67296</v>
      </c>
    </row>
    <row r="286" ht="15.75" customHeight="1" s="201">
      <c r="A286" s="1" t="n">
        <v>13121300</v>
      </c>
      <c r="B286" s="1" t="inlineStr">
        <is>
          <t>Ice cream sundae, hot fudge topping (Includes chocolate sauce or syrup)</t>
        </is>
      </c>
      <c r="C286" s="1" t="n">
        <v>2</v>
      </c>
      <c r="D286" s="1" t="inlineStr">
        <is>
          <t>Links to altEC</t>
        </is>
      </c>
      <c r="E286" s="1" t="inlineStr">
        <is>
          <t>Base</t>
        </is>
      </c>
      <c r="F286" s="1" t="n">
        <v>0.67296</v>
      </c>
    </row>
    <row r="287" ht="15.75" customHeight="1" s="201">
      <c r="A287" s="1" t="n">
        <v>13121400</v>
      </c>
      <c r="B287" s="1" t="inlineStr">
        <is>
          <t>Ice cream sundae, caramel topping (Includes butterscotch topping)</t>
        </is>
      </c>
      <c r="C287" s="1" t="n">
        <v>2</v>
      </c>
      <c r="D287" s="1" t="inlineStr">
        <is>
          <t>Links to altEC</t>
        </is>
      </c>
      <c r="E287" s="1" t="inlineStr">
        <is>
          <t>Base</t>
        </is>
      </c>
      <c r="F287" s="1" t="n">
        <v>0.67296</v>
      </c>
    </row>
    <row r="288" ht="15.75" customHeight="1" s="201">
      <c r="A288" s="1" t="n">
        <v>13126000</v>
      </c>
      <c r="B288" s="1" t="inlineStr">
        <is>
          <t>Ice cream, fried</t>
        </is>
      </c>
      <c r="C288" s="1" t="n">
        <v>2</v>
      </c>
      <c r="D288" s="1" t="inlineStr">
        <is>
          <t>Links to altEC</t>
        </is>
      </c>
      <c r="E288" s="1" t="inlineStr">
        <is>
          <t>Base</t>
        </is>
      </c>
      <c r="F288" s="1" t="n">
        <v>0.67296</v>
      </c>
    </row>
    <row r="289" ht="15.75" customHeight="1" s="201">
      <c r="A289" s="1" t="n">
        <v>13130100</v>
      </c>
      <c r="B289" s="1" t="inlineStr">
        <is>
          <t>Light ice cream, NFS</t>
        </is>
      </c>
      <c r="C289" s="1" t="n">
        <v>2</v>
      </c>
      <c r="D289" s="1" t="inlineStr">
        <is>
          <t>Links to altEC</t>
        </is>
      </c>
      <c r="E289" s="1" t="inlineStr">
        <is>
          <t>Base</t>
        </is>
      </c>
      <c r="F289" s="1" t="n">
        <v>0.474189</v>
      </c>
    </row>
    <row r="290" ht="15.75" customHeight="1" s="201">
      <c r="A290" s="1" t="n">
        <v>13130300</v>
      </c>
      <c r="B290" s="1" t="inlineStr">
        <is>
          <t>Light ice cream, vanilla (Includes other flavors; swirl; ice cream with sorbet or sherbet; fat or sugar free; reduced fat or sugar; in a cup; scoop)</t>
        </is>
      </c>
      <c r="C290" s="1" t="n">
        <v>1</v>
      </c>
      <c r="D290" s="1" t="inlineStr">
        <is>
          <t>Links to FNDDS</t>
        </is>
      </c>
      <c r="E290" s="1" t="inlineStr">
        <is>
          <t>Base</t>
        </is>
      </c>
      <c r="F290" s="1" t="n">
        <v>0.478891</v>
      </c>
    </row>
    <row r="291" ht="15.75" customHeight="1" s="201">
      <c r="A291" s="1" t="n">
        <v>13130310</v>
      </c>
      <c r="B291" s="1" t="inlineStr">
        <is>
          <t>Light ice cream, chocolate (Includes fat or sugar free; reduced fat or sugar; in a cup; scoop)</t>
        </is>
      </c>
      <c r="C291" s="1" t="n">
        <v>1</v>
      </c>
      <c r="D291" s="1" t="inlineStr">
        <is>
          <t>Links to FNDDS</t>
        </is>
      </c>
      <c r="E291" s="1" t="inlineStr">
        <is>
          <t>Base</t>
        </is>
      </c>
      <c r="F291" s="1" t="n">
        <v>0.449714</v>
      </c>
    </row>
    <row r="292" ht="15.75" customHeight="1" s="201">
      <c r="A292" s="1" t="n">
        <v>13130700</v>
      </c>
      <c r="B292" s="1" t="inlineStr">
        <is>
          <t>Soft serve, blended with candy or cookies, from fast food (Includes all flavors; McDonald's McFlurry; Dairy Queen Blizzard)</t>
        </is>
      </c>
      <c r="C292" s="1" t="n">
        <v>2</v>
      </c>
      <c r="D292" s="1" t="inlineStr">
        <is>
          <t>Links to altEC</t>
        </is>
      </c>
      <c r="E292" s="1" t="inlineStr">
        <is>
          <t>Base</t>
        </is>
      </c>
      <c r="F292" s="1" t="n">
        <v>0.478891</v>
      </c>
    </row>
    <row r="293" ht="15.75" customHeight="1" s="201">
      <c r="A293" s="1" t="n">
        <v>13135000</v>
      </c>
      <c r="B293" s="1" t="inlineStr">
        <is>
          <t>Light ice cream sandwich, vanilla (Includes Skinny Cow; Weight Watchers; other flavors; NS as to flavor; fat or sugar free; reduced fat or sugar)</t>
        </is>
      </c>
      <c r="C293" s="1" t="n">
        <v>1</v>
      </c>
      <c r="D293" s="1" t="inlineStr">
        <is>
          <t>Links to FNDDS</t>
        </is>
      </c>
      <c r="E293" s="1" t="inlineStr">
        <is>
          <t>Base</t>
        </is>
      </c>
      <c r="F293" s="1" t="n">
        <v>0.706949</v>
      </c>
    </row>
    <row r="294" ht="15.75" customHeight="1" s="201">
      <c r="A294" s="1" t="n">
        <v>13135010</v>
      </c>
      <c r="B294" s="1" t="inlineStr">
        <is>
          <t>Light ice cream sandwich, chocolate (Includes Skinny Cow; Weight Watchers; fat or sugar free; reduced fat or sugar)</t>
        </is>
      </c>
      <c r="C294" s="1" t="n">
        <v>1</v>
      </c>
      <c r="D294" s="1" t="inlineStr">
        <is>
          <t>Links to FNDDS</t>
        </is>
      </c>
      <c r="E294" s="1" t="inlineStr">
        <is>
          <t>Base</t>
        </is>
      </c>
      <c r="F294" s="1" t="n">
        <v>1.150331</v>
      </c>
    </row>
    <row r="295" ht="15.75" customHeight="1" s="201">
      <c r="A295" s="1" t="n">
        <v>13140000</v>
      </c>
      <c r="B295" s="1" t="inlineStr">
        <is>
          <t>Light ice cream bar, vanilla (Includes stick; other flavors; fat or sugar free; reduced fat or sugar; coatings other than chocolate)</t>
        </is>
      </c>
      <c r="C295" s="1" t="n">
        <v>2</v>
      </c>
      <c r="D295" s="1" t="inlineStr">
        <is>
          <t>Links to altEC</t>
        </is>
      </c>
      <c r="E295" s="1" t="inlineStr">
        <is>
          <t>Base</t>
        </is>
      </c>
      <c r="F295" s="1" t="n">
        <v>0.754194</v>
      </c>
    </row>
    <row r="296" ht="15.75" customHeight="1" s="201">
      <c r="A296" s="1" t="n">
        <v>13140100</v>
      </c>
      <c r="B296" s="1" t="inlineStr">
        <is>
          <t>Light ice cream bar, vanilla, chocolate coated (Includes stick; other flavors; fat or sugar free; reduced fat or sugar; light Klondike Bar; with nuts)</t>
        </is>
      </c>
      <c r="C296" s="1" t="n">
        <v>2</v>
      </c>
      <c r="D296" s="1" t="inlineStr">
        <is>
          <t>Links to altEC</t>
        </is>
      </c>
      <c r="E296" s="1" t="inlineStr">
        <is>
          <t>Base</t>
        </is>
      </c>
      <c r="F296" s="1" t="n">
        <v>0.754194</v>
      </c>
    </row>
    <row r="297" ht="15.75" customHeight="1" s="201">
      <c r="A297" s="1" t="n">
        <v>13140115</v>
      </c>
      <c r="B297" s="1" t="inlineStr">
        <is>
          <t>Light ice cream bar, chocolate (Includes stick; other flavors; fat or sugar free; reduced fat or sugar; with nuts; with or without chocolate coating)</t>
        </is>
      </c>
      <c r="C297" s="1" t="n">
        <v>2</v>
      </c>
      <c r="D297" s="1" t="inlineStr">
        <is>
          <t>Links to altEC</t>
        </is>
      </c>
      <c r="E297" s="1" t="inlineStr">
        <is>
          <t>Base</t>
        </is>
      </c>
      <c r="F297" s="1" t="n">
        <v>0.754194</v>
      </c>
    </row>
    <row r="298" ht="15.75" customHeight="1" s="201">
      <c r="A298" s="1" t="n">
        <v>13140700</v>
      </c>
      <c r="B298" s="1" t="inlineStr">
        <is>
          <t>Creamsicle (Includes Dreamsicle)</t>
        </is>
      </c>
      <c r="C298" s="1" t="n">
        <v>1</v>
      </c>
      <c r="D298" s="1" t="inlineStr">
        <is>
          <t>Links to FNDDS</t>
        </is>
      </c>
      <c r="E298" s="1" t="inlineStr">
        <is>
          <t>Base</t>
        </is>
      </c>
      <c r="F298" s="1" t="n">
        <v>0.436862</v>
      </c>
    </row>
    <row r="299" ht="15.75" customHeight="1" s="201">
      <c r="A299" s="1" t="n">
        <v>13140710</v>
      </c>
      <c r="B299" s="1" t="inlineStr">
        <is>
          <t>Creamsicle, light (Includes sugar free; Dreamsicle)</t>
        </is>
      </c>
      <c r="C299" s="1" t="n">
        <v>2</v>
      </c>
      <c r="D299" s="1" t="inlineStr">
        <is>
          <t>Links to altEC</t>
        </is>
      </c>
      <c r="E299" s="1" t="inlineStr">
        <is>
          <t>Base</t>
        </is>
      </c>
      <c r="F299" s="1" t="n">
        <v>0.436862</v>
      </c>
    </row>
    <row r="300" ht="15.75" customHeight="1" s="201">
      <c r="A300" s="1" t="n">
        <v>13140900</v>
      </c>
      <c r="B300" s="1" t="inlineStr">
        <is>
          <t>Fudgesicle</t>
        </is>
      </c>
      <c r="C300" s="1" t="n">
        <v>1</v>
      </c>
      <c r="D300" s="1" t="inlineStr">
        <is>
          <t>Links to FNDDS</t>
        </is>
      </c>
      <c r="E300" s="1" t="inlineStr">
        <is>
          <t>Base</t>
        </is>
      </c>
      <c r="F300" s="1" t="n">
        <v>0.443646</v>
      </c>
    </row>
    <row r="301" ht="15.75" customHeight="1" s="201">
      <c r="A301" s="1" t="n">
        <v>13142100</v>
      </c>
      <c r="B301" s="1" t="inlineStr">
        <is>
          <t>Light ice cream cone, vanilla, prepackaged (Includes light sundae cone; other flavors; swirl; any topping; fat or sugar free; reduced fat or sugar)</t>
        </is>
      </c>
      <c r="C301" s="1" t="n">
        <v>1</v>
      </c>
      <c r="D301" s="1" t="inlineStr">
        <is>
          <t>Links to FNDDS</t>
        </is>
      </c>
      <c r="E301" s="1" t="inlineStr">
        <is>
          <t>Base</t>
        </is>
      </c>
      <c r="F301" s="1" t="n">
        <v>1.092647</v>
      </c>
    </row>
    <row r="302" ht="15.75" customHeight="1" s="201">
      <c r="A302" s="1" t="n">
        <v>13142110</v>
      </c>
      <c r="B302" s="1" t="inlineStr">
        <is>
          <t>Light ice cream cone, chocolate, prepackaged (Includes any topping; fat or sugar free; reduced fat or sugar)</t>
        </is>
      </c>
      <c r="C302" s="1" t="n">
        <v>1</v>
      </c>
      <c r="D302" s="1" t="inlineStr">
        <is>
          <t>Links to FNDDS</t>
        </is>
      </c>
      <c r="E302" s="1" t="inlineStr">
        <is>
          <t>Base</t>
        </is>
      </c>
      <c r="F302" s="1" t="n">
        <v>1.061506</v>
      </c>
    </row>
    <row r="303" ht="15.75" customHeight="1" s="201">
      <c r="A303" s="1" t="n">
        <v>13150000</v>
      </c>
      <c r="B303" s="1" t="inlineStr">
        <is>
          <t>Sherbet, all flavors (Includes sherbet push pop)</t>
        </is>
      </c>
      <c r="C303" s="1" t="n">
        <v>1</v>
      </c>
      <c r="D303" s="1" t="inlineStr">
        <is>
          <t>Links to FNDDS</t>
        </is>
      </c>
      <c r="E303" s="1" t="inlineStr">
        <is>
          <t>Base</t>
        </is>
      </c>
      <c r="F303" s="1" t="n">
        <v>0.332002</v>
      </c>
    </row>
    <row r="304" ht="15.75" customHeight="1" s="201">
      <c r="A304" s="1" t="n">
        <v>13161600</v>
      </c>
      <c r="B304" s="1" t="inlineStr">
        <is>
          <t>Fudgesicle, light (Includes sugar free Fudgesicle)</t>
        </is>
      </c>
      <c r="C304" s="1" t="n">
        <v>1</v>
      </c>
      <c r="D304" s="1" t="inlineStr">
        <is>
          <t>Links to FNDDS</t>
        </is>
      </c>
      <c r="E304" s="1" t="inlineStr">
        <is>
          <t>Base</t>
        </is>
      </c>
      <c r="F304" s="1" t="n">
        <v>0.773248</v>
      </c>
    </row>
    <row r="305" ht="15.75" customHeight="1" s="201">
      <c r="A305" s="1" t="n">
        <v>13200110</v>
      </c>
      <c r="B305" s="1" t="inlineStr">
        <is>
          <t>Pudding, chocolate, NFS (Includes pudding, NFS)</t>
        </is>
      </c>
      <c r="C305" s="1" t="n">
        <v>2</v>
      </c>
      <c r="D305" s="1" t="inlineStr">
        <is>
          <t>Links to altEC</t>
        </is>
      </c>
      <c r="E305" s="1" t="inlineStr">
        <is>
          <t>Base</t>
        </is>
      </c>
      <c r="F305" s="1" t="n">
        <v>0.362599</v>
      </c>
    </row>
    <row r="306" ht="15.75" customHeight="1" s="201">
      <c r="A306" s="1" t="n">
        <v>13210110</v>
      </c>
      <c r="B306" s="1" t="inlineStr">
        <is>
          <t>Pudding, bread (Includes with raisins)</t>
        </is>
      </c>
      <c r="C306" s="1" t="n">
        <v>1</v>
      </c>
      <c r="D306" s="1" t="inlineStr">
        <is>
          <t>Links to FNDDS</t>
        </is>
      </c>
      <c r="E306" s="1" t="inlineStr">
        <is>
          <t>Base</t>
        </is>
      </c>
      <c r="F306" s="1" t="n">
        <v>0.823798</v>
      </c>
    </row>
    <row r="307" ht="15.75" customHeight="1" s="201">
      <c r="A307" s="1" t="n">
        <v>13210280</v>
      </c>
      <c r="B307" s="1" t="inlineStr">
        <is>
          <t>Pudding, flavors other than chocolate, NFS</t>
        </is>
      </c>
      <c r="C307" s="1" t="n">
        <v>2</v>
      </c>
      <c r="D307" s="1" t="inlineStr">
        <is>
          <t>Links to altEC</t>
        </is>
      </c>
      <c r="E307" s="1" t="inlineStr">
        <is>
          <t>Base</t>
        </is>
      </c>
      <c r="F307" s="1" t="n">
        <v>0.341891</v>
      </c>
    </row>
    <row r="308" ht="15.75" customHeight="1" s="201">
      <c r="A308" s="1" t="n">
        <v>13210300</v>
      </c>
      <c r="B308" s="1" t="inlineStr">
        <is>
          <t>Custard</t>
        </is>
      </c>
      <c r="C308" s="1" t="n">
        <v>1</v>
      </c>
      <c r="D308" s="1" t="inlineStr">
        <is>
          <t>Links to FNDDS</t>
        </is>
      </c>
      <c r="E308" s="1" t="inlineStr">
        <is>
          <t>Base</t>
        </is>
      </c>
      <c r="F308" s="1" t="n">
        <v>1.24981</v>
      </c>
    </row>
    <row r="309" ht="15.75" customHeight="1" s="201">
      <c r="A309" s="1" t="n">
        <v>13210350</v>
      </c>
      <c r="B309" s="1" t="inlineStr">
        <is>
          <t>Flan (Includes Leche flan)</t>
        </is>
      </c>
      <c r="C309" s="1" t="n">
        <v>1</v>
      </c>
      <c r="D309" s="1" t="inlineStr">
        <is>
          <t>Links to FNDDS</t>
        </is>
      </c>
      <c r="E309" s="1" t="inlineStr">
        <is>
          <t>Base</t>
        </is>
      </c>
      <c r="F309" s="1" t="n">
        <v>0.531667</v>
      </c>
    </row>
    <row r="310" ht="15.75" customHeight="1" s="201">
      <c r="A310" s="1" t="n">
        <v>13210410</v>
      </c>
      <c r="B310" s="1" t="inlineStr">
        <is>
          <t>Pudding, rice</t>
        </is>
      </c>
      <c r="C310" s="1" t="n">
        <v>1</v>
      </c>
      <c r="D310" s="1" t="inlineStr">
        <is>
          <t>Links to FNDDS</t>
        </is>
      </c>
      <c r="E310" s="1" t="inlineStr">
        <is>
          <t>Base</t>
        </is>
      </c>
      <c r="F310" s="1" t="n">
        <v>0.47686</v>
      </c>
    </row>
    <row r="311" ht="15.75" customHeight="1" s="201">
      <c r="A311" s="1" t="n">
        <v>13210520</v>
      </c>
      <c r="B311" s="1" t="inlineStr">
        <is>
          <t>Pudding, tapioca, made from dry mix (Includes tapioca, NFS; home recipe; sugar free)</t>
        </is>
      </c>
      <c r="C311" s="1" t="n">
        <v>2</v>
      </c>
      <c r="D311" s="1" t="inlineStr">
        <is>
          <t>Links to altEC</t>
        </is>
      </c>
      <c r="E311" s="1" t="inlineStr">
        <is>
          <t>Base</t>
        </is>
      </c>
      <c r="F311" s="1" t="n">
        <v>0.45234</v>
      </c>
    </row>
    <row r="312" ht="15.75" customHeight="1" s="201">
      <c r="A312" s="1" t="n">
        <v>13220110</v>
      </c>
      <c r="B312" s="1" t="inlineStr">
        <is>
          <t>Pudding, flavors other than chocolate, made from dry mix (Includes home recipe)</t>
        </is>
      </c>
      <c r="C312" s="1" t="n">
        <v>2</v>
      </c>
      <c r="D312" s="1" t="inlineStr">
        <is>
          <t>Links to altEC</t>
        </is>
      </c>
      <c r="E312" s="1" t="inlineStr">
        <is>
          <t>Base</t>
        </is>
      </c>
      <c r="F312" s="1" t="n">
        <v>0.341891</v>
      </c>
    </row>
    <row r="313" ht="15.75" customHeight="1" s="201">
      <c r="A313" s="1" t="n">
        <v>13220120</v>
      </c>
      <c r="B313" s="1" t="inlineStr">
        <is>
          <t>Pudding, chocolate, made from dry mix (Includes home recipe)</t>
        </is>
      </c>
      <c r="C313" s="1" t="n">
        <v>2</v>
      </c>
      <c r="D313" s="1" t="inlineStr">
        <is>
          <t>Links to altEC</t>
        </is>
      </c>
      <c r="E313" s="1" t="inlineStr">
        <is>
          <t>Base</t>
        </is>
      </c>
      <c r="F313" s="1" t="n">
        <v>0.333849</v>
      </c>
    </row>
    <row r="314" ht="15.75" customHeight="1" s="201">
      <c r="A314" s="1" t="n">
        <v>13220210</v>
      </c>
      <c r="B314" s="1" t="inlineStr">
        <is>
          <t>Pudding, flavors other than chocolate, made from dry mix, sugar free (Includes home recipe)</t>
        </is>
      </c>
      <c r="C314" s="1" t="n">
        <v>2</v>
      </c>
      <c r="D314" s="1" t="inlineStr">
        <is>
          <t>Links to altEC</t>
        </is>
      </c>
      <c r="E314" s="1" t="inlineStr">
        <is>
          <t>Base</t>
        </is>
      </c>
      <c r="F314" s="1" t="n">
        <v>0.532443</v>
      </c>
    </row>
    <row r="315" ht="15.75" customHeight="1" s="201">
      <c r="A315" s="1" t="n">
        <v>13220220</v>
      </c>
      <c r="B315" s="1" t="inlineStr">
        <is>
          <t>Pudding, chocolate, made from dry mix, sugar free (Includes home recipe)</t>
        </is>
      </c>
      <c r="C315" s="1" t="n">
        <v>2</v>
      </c>
      <c r="D315" s="1" t="inlineStr">
        <is>
          <t>Links to altEC</t>
        </is>
      </c>
      <c r="E315" s="1" t="inlineStr">
        <is>
          <t>Base</t>
        </is>
      </c>
      <c r="F315" s="1" t="n">
        <v>0.511646</v>
      </c>
    </row>
    <row r="316" ht="15.75" customHeight="1" s="201">
      <c r="A316" s="1" t="n">
        <v>13230110</v>
      </c>
      <c r="B316" s="1" t="inlineStr">
        <is>
          <t>Pudding, flavors other than chocolate, ready-to-eat (Includes canned)</t>
        </is>
      </c>
      <c r="C316" s="1" t="n">
        <v>1</v>
      </c>
      <c r="D316" s="1" t="inlineStr">
        <is>
          <t>Links to FNDDS</t>
        </is>
      </c>
      <c r="E316" s="1" t="inlineStr">
        <is>
          <t>Base</t>
        </is>
      </c>
      <c r="F316" s="1" t="n">
        <v>0.341891</v>
      </c>
    </row>
    <row r="317" ht="15.75" customHeight="1" s="201">
      <c r="A317" s="1" t="n">
        <v>13230120</v>
      </c>
      <c r="B317" s="1" t="inlineStr">
        <is>
          <t>Pudding, flavors other than chocolate, ready-to-eat, sugar free (Includes canned)</t>
        </is>
      </c>
      <c r="C317" s="1" t="n">
        <v>1</v>
      </c>
      <c r="D317" s="1" t="inlineStr">
        <is>
          <t>Links to FNDDS</t>
        </is>
      </c>
      <c r="E317" s="1" t="inlineStr">
        <is>
          <t>Base</t>
        </is>
      </c>
      <c r="F317" s="1" t="n">
        <v>0.532443</v>
      </c>
    </row>
    <row r="318" ht="15.75" customHeight="1" s="201">
      <c r="A318" s="1" t="n">
        <v>13230130</v>
      </c>
      <c r="B318" s="1" t="inlineStr">
        <is>
          <t>Pudding, chocolate, ready-to-eat (Includes chocolate and nonchocolate flavor, canned)</t>
        </is>
      </c>
      <c r="C318" s="1" t="n">
        <v>1</v>
      </c>
      <c r="D318" s="1" t="inlineStr">
        <is>
          <t>Links to FNDDS</t>
        </is>
      </c>
      <c r="E318" s="1" t="inlineStr">
        <is>
          <t>Base</t>
        </is>
      </c>
      <c r="F318" s="1" t="n">
        <v>0.333849</v>
      </c>
    </row>
    <row r="319" ht="15.75" customHeight="1" s="201">
      <c r="A319" s="1" t="n">
        <v>13230140</v>
      </c>
      <c r="B319" s="1" t="inlineStr">
        <is>
          <t>Pudding, chocolate, ready-to-eat, sugar free (Includes chocolate and nonchocolate flavor, canned)</t>
        </is>
      </c>
      <c r="C319" s="1" t="n">
        <v>1</v>
      </c>
      <c r="D319" s="1" t="inlineStr">
        <is>
          <t>Links to FNDDS</t>
        </is>
      </c>
      <c r="E319" s="1" t="inlineStr">
        <is>
          <t>Base</t>
        </is>
      </c>
      <c r="F319" s="1" t="n">
        <v>0.511646</v>
      </c>
    </row>
    <row r="320" ht="15.75" customHeight="1" s="201">
      <c r="A320" s="1" t="n">
        <v>13230500</v>
      </c>
      <c r="B320" s="1" t="inlineStr">
        <is>
          <t>Pudding, tapioca, ready-to-eat (Includes canned; sugar free)</t>
        </is>
      </c>
      <c r="C320" s="1" t="n">
        <v>1</v>
      </c>
      <c r="D320" s="1" t="inlineStr">
        <is>
          <t>Links to FNDDS</t>
        </is>
      </c>
      <c r="E320" s="1" t="inlineStr">
        <is>
          <t>Base</t>
        </is>
      </c>
      <c r="F320" s="1" t="n">
        <v>0.45234</v>
      </c>
    </row>
    <row r="321" ht="15.75" customHeight="1" s="201">
      <c r="A321" s="1" t="n">
        <v>13241000</v>
      </c>
      <c r="B321" s="1" t="inlineStr">
        <is>
          <t>Banana pudding</t>
        </is>
      </c>
      <c r="C321" s="1" t="n">
        <v>1</v>
      </c>
      <c r="D321" s="1" t="inlineStr">
        <is>
          <t>Links to FNDDS</t>
        </is>
      </c>
      <c r="E321" s="1" t="inlineStr">
        <is>
          <t>Base</t>
        </is>
      </c>
      <c r="F321" s="1" t="n">
        <v>0.523181</v>
      </c>
    </row>
    <row r="322" ht="15.75" customHeight="1" s="201">
      <c r="A322" s="1" t="n">
        <v>13250000</v>
      </c>
      <c r="B322" s="1" t="inlineStr">
        <is>
          <t>Mousse (Includes all flavors)</t>
        </is>
      </c>
      <c r="C322" s="1" t="n">
        <v>1</v>
      </c>
      <c r="D322" s="1" t="inlineStr">
        <is>
          <t>Links to FNDDS</t>
        </is>
      </c>
      <c r="E322" s="1" t="inlineStr">
        <is>
          <t>Base</t>
        </is>
      </c>
      <c r="F322" s="1" t="n">
        <v>2.742365</v>
      </c>
    </row>
    <row r="323" ht="15.75" customHeight="1" s="201">
      <c r="A323" s="1" t="n">
        <v>13252200</v>
      </c>
      <c r="B323" s="1" t="inlineStr">
        <is>
          <t>Milk dessert or milk candy, Puerto Rican style (Includes Dulce de leche)</t>
        </is>
      </c>
      <c r="C323" s="1" t="n">
        <v>1</v>
      </c>
      <c r="D323" s="1" t="inlineStr">
        <is>
          <t>Links to FNDDS</t>
        </is>
      </c>
      <c r="E323" s="1" t="inlineStr">
        <is>
          <t>Base</t>
        </is>
      </c>
      <c r="F323" s="1" t="n">
        <v>0.922339</v>
      </c>
    </row>
    <row r="324" ht="15.75" customHeight="1" s="201">
      <c r="A324" s="1" t="n">
        <v>13252500</v>
      </c>
      <c r="B324" s="1" t="inlineStr">
        <is>
          <t>Barfi or Burfi, Indian dessert (Includes with nuts; made from milk and/or cream and/or Ricotta cheese)</t>
        </is>
      </c>
      <c r="C324" s="1" t="n">
        <v>2</v>
      </c>
      <c r="D324" s="1" t="inlineStr">
        <is>
          <t>Links to altEC</t>
        </is>
      </c>
      <c r="E324" s="1" t="inlineStr">
        <is>
          <t>Base</t>
        </is>
      </c>
      <c r="F324" s="1" t="n">
        <v>1.323729</v>
      </c>
    </row>
    <row r="325" ht="15.75" customHeight="1" s="201">
      <c r="A325" s="1" t="n">
        <v>13252600</v>
      </c>
      <c r="B325" s="1" t="inlineStr">
        <is>
          <t>Tiramisu</t>
        </is>
      </c>
      <c r="C325" s="1" t="n">
        <v>1</v>
      </c>
      <c r="D325" s="1" t="inlineStr">
        <is>
          <t>Links to FNDDS</t>
        </is>
      </c>
      <c r="E325" s="1" t="inlineStr">
        <is>
          <t>Base</t>
        </is>
      </c>
      <c r="F325" s="1" t="n">
        <v>1.702548</v>
      </c>
    </row>
    <row r="326" ht="15.75" customHeight="1" s="201">
      <c r="A326" s="1" t="n">
        <v>13411000</v>
      </c>
      <c r="B326" s="1" t="inlineStr">
        <is>
          <t>White sauce or gravy (Includes cream; milk)</t>
        </is>
      </c>
      <c r="C326" s="1" t="n">
        <v>1</v>
      </c>
      <c r="D326" s="1" t="inlineStr">
        <is>
          <t>Links to FNDDS</t>
        </is>
      </c>
      <c r="E326" s="1" t="inlineStr">
        <is>
          <t>Base</t>
        </is>
      </c>
      <c r="F326" s="1" t="n">
        <v>0.40242</v>
      </c>
    </row>
    <row r="327" ht="15.75" customHeight="1" s="201">
      <c r="A327" s="1" t="n">
        <v>14010000</v>
      </c>
      <c r="B327" s="1" t="inlineStr">
        <is>
          <t>Cheese, NFS</t>
        </is>
      </c>
      <c r="C327" s="1" t="n">
        <v>2</v>
      </c>
      <c r="D327" s="1" t="inlineStr">
        <is>
          <t>Links to altEC</t>
        </is>
      </c>
      <c r="E327" s="1" t="inlineStr">
        <is>
          <t>Base</t>
        </is>
      </c>
      <c r="F327" s="1" t="n">
        <v>1.171549</v>
      </c>
    </row>
    <row r="328" ht="15.75" customHeight="1" s="201">
      <c r="A328" s="1" t="n">
        <v>14101010</v>
      </c>
      <c r="B328" s="1" t="inlineStr">
        <is>
          <t>Cheese, Blue or Roquefort (Includes Gorgonzola; Stilton)</t>
        </is>
      </c>
      <c r="C328" s="1" t="n">
        <v>1</v>
      </c>
      <c r="D328" s="1" t="inlineStr">
        <is>
          <t>Links to FNDDS</t>
        </is>
      </c>
      <c r="E328" s="1" t="inlineStr">
        <is>
          <t>Base</t>
        </is>
      </c>
      <c r="F328" s="1" t="n">
        <v>2.717194</v>
      </c>
    </row>
    <row r="329" ht="15.75" customHeight="1" s="201">
      <c r="A329" s="1" t="n">
        <v>14102010</v>
      </c>
      <c r="B329" s="1" t="inlineStr">
        <is>
          <t>Cheese, Brick (Includes Beer; Elbinger; Zweizeitige; Wilstermarsch; Bondost; Oka; Havarti; Tilsit)</t>
        </is>
      </c>
      <c r="C329" s="1" t="n">
        <v>1</v>
      </c>
      <c r="D329" s="1" t="inlineStr">
        <is>
          <t>Links to FNDDS</t>
        </is>
      </c>
      <c r="E329" s="1" t="inlineStr">
        <is>
          <t>Base</t>
        </is>
      </c>
      <c r="F329" s="1" t="n">
        <v>1.740263</v>
      </c>
    </row>
    <row r="330" ht="15.75" customHeight="1" s="201">
      <c r="A330" s="1" t="n">
        <v>14104100</v>
      </c>
      <c r="B330" s="1" t="inlineStr">
        <is>
          <t>Cheese, Cheddar (Includes Coon; sharp cheese; Tillamook; Hoop; Pioneer; New York; Wisconsin; Longhorn)</t>
        </is>
      </c>
      <c r="C330" s="1" t="n">
        <v>1</v>
      </c>
      <c r="D330" s="1" t="inlineStr">
        <is>
          <t>Links to FNDDS</t>
        </is>
      </c>
      <c r="E330" s="1" t="inlineStr">
        <is>
          <t>Base</t>
        </is>
      </c>
      <c r="F330" s="1" t="n">
        <v>1.123084</v>
      </c>
    </row>
    <row r="331" ht="15.75" customHeight="1" s="201">
      <c r="A331" s="1" t="n">
        <v>14104110</v>
      </c>
      <c r="B331" s="1" t="inlineStr">
        <is>
          <t>Cheese, Cheddar, reduced fat (Includes lowfat; part skim; made from 2% milk; Kraft natural reduced fat cheese; Weight Watchers reduced fat cheddar cheese; Colby/Colby Jack, reduced fat)</t>
        </is>
      </c>
      <c r="C331" s="1" t="n">
        <v>1</v>
      </c>
      <c r="D331" s="1" t="inlineStr">
        <is>
          <t>Links to FNDDS</t>
        </is>
      </c>
      <c r="E331" s="1" t="inlineStr">
        <is>
          <t>Base</t>
        </is>
      </c>
      <c r="F331" s="1" t="n">
        <v>1.173477</v>
      </c>
    </row>
    <row r="332" ht="15.75" customHeight="1" s="201">
      <c r="A332" s="1" t="n">
        <v>14104115</v>
      </c>
      <c r="B332" s="1" t="inlineStr">
        <is>
          <t>Cheese, Cheddar, nonfat or fat free (Includes Kraft nonfat natural cheese)</t>
        </is>
      </c>
      <c r="C332" s="1" t="n">
        <v>1</v>
      </c>
      <c r="D332" s="1" t="inlineStr">
        <is>
          <t>Links to FNDDS</t>
        </is>
      </c>
      <c r="E332" s="1" t="inlineStr">
        <is>
          <t>Base</t>
        </is>
      </c>
      <c r="F332" s="1" t="n">
        <v>1.555151</v>
      </c>
    </row>
    <row r="333" ht="15.75" customHeight="1" s="201">
      <c r="A333" s="1" t="n">
        <v>14104200</v>
      </c>
      <c r="B333" s="1" t="inlineStr">
        <is>
          <t>Cheese, Colby</t>
        </is>
      </c>
      <c r="C333" s="1" t="n">
        <v>1</v>
      </c>
      <c r="D333" s="1" t="inlineStr">
        <is>
          <t>Links to FNDDS</t>
        </is>
      </c>
      <c r="E333" s="1" t="inlineStr">
        <is>
          <t>Base</t>
        </is>
      </c>
      <c r="F333" s="1" t="n">
        <v>1.227593</v>
      </c>
    </row>
    <row r="334" ht="15.75" customHeight="1" s="201">
      <c r="A334" s="1" t="n">
        <v>14104250</v>
      </c>
      <c r="B334" s="1" t="inlineStr">
        <is>
          <t>Cheese, Colby Jack</t>
        </is>
      </c>
      <c r="C334" s="1" t="n">
        <v>1</v>
      </c>
      <c r="D334" s="1" t="inlineStr">
        <is>
          <t>Links to FNDDS</t>
        </is>
      </c>
      <c r="E334" s="1" t="inlineStr">
        <is>
          <t>Base</t>
        </is>
      </c>
      <c r="F334" s="1" t="n">
        <v>1.159355</v>
      </c>
    </row>
    <row r="335" ht="15.75" customHeight="1" s="201">
      <c r="A335" s="1" t="n">
        <v>14104400</v>
      </c>
      <c r="B335" s="1" t="inlineStr">
        <is>
          <t>Cheese, Feta</t>
        </is>
      </c>
      <c r="C335" s="1" t="n">
        <v>1</v>
      </c>
      <c r="D335" s="1" t="inlineStr">
        <is>
          <t>Links to FNDDS</t>
        </is>
      </c>
      <c r="E335" s="1" t="inlineStr">
        <is>
          <t>Base</t>
        </is>
      </c>
      <c r="F335" s="1" t="n">
        <v>2.02222</v>
      </c>
    </row>
    <row r="336" ht="15.75" customHeight="1" s="201">
      <c r="A336" s="1" t="n">
        <v>14104600</v>
      </c>
      <c r="B336" s="1" t="inlineStr">
        <is>
          <t>Cheese, Fontina</t>
        </is>
      </c>
      <c r="C336" s="1" t="n">
        <v>1</v>
      </c>
      <c r="D336" s="1" t="inlineStr">
        <is>
          <t>Links to FNDDS</t>
        </is>
      </c>
      <c r="E336" s="1" t="inlineStr">
        <is>
          <t>Base</t>
        </is>
      </c>
      <c r="F336" s="1" t="n">
        <v>2.40417</v>
      </c>
    </row>
    <row r="337" ht="15.75" customHeight="1" s="201">
      <c r="A337" s="1" t="n">
        <v>14104700</v>
      </c>
      <c r="B337" s="1" t="inlineStr">
        <is>
          <t>Cheese, goat (Includes Chevres)</t>
        </is>
      </c>
      <c r="C337" s="1" t="n">
        <v>1</v>
      </c>
      <c r="D337" s="1" t="inlineStr">
        <is>
          <t>Links to FNDDS</t>
        </is>
      </c>
      <c r="E337" s="1" t="inlineStr">
        <is>
          <t>Base</t>
        </is>
      </c>
      <c r="F337" s="1" t="n">
        <v>3.626171</v>
      </c>
    </row>
    <row r="338" ht="15.75" customHeight="1" s="201">
      <c r="A338" s="1" t="n">
        <v>14105010</v>
      </c>
      <c r="B338" s="1" t="inlineStr">
        <is>
          <t>Cheese, Gouda or Edam (Includes Caciocavallo; Delft)</t>
        </is>
      </c>
      <c r="C338" s="1" t="n">
        <v>1</v>
      </c>
      <c r="D338" s="1" t="inlineStr">
        <is>
          <t>Links to FNDDS</t>
        </is>
      </c>
      <c r="E338" s="1" t="inlineStr">
        <is>
          <t>Base</t>
        </is>
      </c>
      <c r="F338" s="1" t="n">
        <v>1.960811</v>
      </c>
    </row>
    <row r="339" ht="15.75" customHeight="1" s="201">
      <c r="A339" s="1" t="n">
        <v>14106200</v>
      </c>
      <c r="B339" s="1" t="inlineStr">
        <is>
          <t>Cheese, Monterey (Includes Monterey Jack cheese; Pepper Jack cheese)</t>
        </is>
      </c>
      <c r="C339" s="1" t="n">
        <v>1</v>
      </c>
      <c r="D339" s="1" t="inlineStr">
        <is>
          <t>Links to FNDDS</t>
        </is>
      </c>
      <c r="E339" s="1" t="inlineStr">
        <is>
          <t>Base</t>
        </is>
      </c>
      <c r="F339" s="1" t="n">
        <v>1.12833</v>
      </c>
    </row>
    <row r="340" ht="15.75" customHeight="1" s="201">
      <c r="A340" s="1" t="n">
        <v>14106500</v>
      </c>
      <c r="B340" s="1" t="inlineStr">
        <is>
          <t>Cheese, Monterey, reduced fat (Includes Kraft Light Naturals Monterey Jack Cheese; lowfat; part skim; made from 2% milk; Pepper Jack cheese, reduced fat)</t>
        </is>
      </c>
      <c r="C340" s="1" t="n">
        <v>1</v>
      </c>
      <c r="D340" s="1" t="inlineStr">
        <is>
          <t>Links to FNDDS</t>
        </is>
      </c>
      <c r="E340" s="1" t="inlineStr">
        <is>
          <t>Base</t>
        </is>
      </c>
      <c r="F340" s="1" t="n">
        <v>1.566594</v>
      </c>
    </row>
    <row r="341" ht="15.75" customHeight="1" s="201">
      <c r="A341" s="1" t="n">
        <v>14107010</v>
      </c>
      <c r="B341" s="1" t="inlineStr">
        <is>
          <t>Cheese, Mozzarella, NFS (Includes pizza cheese; cheese curds)</t>
        </is>
      </c>
      <c r="C341" s="1" t="n">
        <v>2</v>
      </c>
      <c r="D341" s="1" t="inlineStr">
        <is>
          <t>Links to altEC</t>
        </is>
      </c>
      <c r="E341" s="1" t="inlineStr">
        <is>
          <t>Base</t>
        </is>
      </c>
      <c r="F341" s="1" t="n">
        <v>1.06708</v>
      </c>
    </row>
    <row r="342" ht="15.75" customHeight="1" s="201">
      <c r="A342" s="1" t="n">
        <v>14107030</v>
      </c>
      <c r="B342" s="1" t="inlineStr">
        <is>
          <t>Cheese, Mozzarella, part skim (Includes Chedarella Cheese; string cheese; cheese sticks, NS as to type of cheese; Poly-O; Stringsters; County Line; Richfood; Mootown Snackers; Sorrento; lowfat; reduced fat; made with 2% milk)</t>
        </is>
      </c>
      <c r="C342" s="1" t="n">
        <v>1</v>
      </c>
      <c r="D342" s="1" t="inlineStr">
        <is>
          <t>Links to FNDDS</t>
        </is>
      </c>
      <c r="E342" s="1" t="inlineStr">
        <is>
          <t>Base</t>
        </is>
      </c>
      <c r="F342" s="1" t="n">
        <v>1.064843</v>
      </c>
    </row>
    <row r="343" ht="15.75" customHeight="1" s="201">
      <c r="A343" s="1" t="n">
        <v>14107040</v>
      </c>
      <c r="B343" s="1" t="inlineStr">
        <is>
          <t>Cheese, Mozzarella, reduced sodium (Includes Sorrento Reduced Sodium String Cheese; less or lower sodium products)</t>
        </is>
      </c>
      <c r="C343" s="1" t="n">
        <v>1</v>
      </c>
      <c r="D343" s="1" t="inlineStr">
        <is>
          <t>Links to FNDDS</t>
        </is>
      </c>
      <c r="E343" s="1" t="inlineStr">
        <is>
          <t>Base</t>
        </is>
      </c>
      <c r="F343" s="1" t="n">
        <v>2.184955</v>
      </c>
    </row>
    <row r="344" ht="15.75" customHeight="1" s="201">
      <c r="A344" s="1" t="n">
        <v>14107060</v>
      </c>
      <c r="B344" s="1" t="inlineStr">
        <is>
          <t>Cheese, Mozzarella, nonfat or fat free (Includes fat free cheese sticks; fat free string cheese)</t>
        </is>
      </c>
      <c r="C344" s="1" t="n">
        <v>1</v>
      </c>
      <c r="D344" s="1" t="inlineStr">
        <is>
          <t>Links to FNDDS</t>
        </is>
      </c>
      <c r="E344" s="1" t="inlineStr">
        <is>
          <t>Base</t>
        </is>
      </c>
      <c r="F344" s="1" t="n">
        <v>1.450967</v>
      </c>
    </row>
    <row r="345" ht="15.75" customHeight="1" s="201">
      <c r="A345" s="1" t="n">
        <v>14107200</v>
      </c>
      <c r="B345" s="1" t="inlineStr">
        <is>
          <t>Cheese, Muenster</t>
        </is>
      </c>
      <c r="C345" s="1" t="n">
        <v>1</v>
      </c>
      <c r="D345" s="1" t="inlineStr">
        <is>
          <t>Links to FNDDS</t>
        </is>
      </c>
      <c r="E345" s="1" t="inlineStr">
        <is>
          <t>Base</t>
        </is>
      </c>
      <c r="F345" s="1" t="n">
        <v>1.294968</v>
      </c>
    </row>
    <row r="346" ht="15.75" customHeight="1" s="201">
      <c r="A346" s="1" t="n">
        <v>14107250</v>
      </c>
      <c r="B346" s="1" t="inlineStr">
        <is>
          <t>Cheese, Muenster, reduced fat (Includes lowfat; part skim; made with 2% milk)</t>
        </is>
      </c>
      <c r="C346" s="1" t="n">
        <v>1</v>
      </c>
      <c r="D346" s="1" t="inlineStr">
        <is>
          <t>Links to FNDDS</t>
        </is>
      </c>
      <c r="E346" s="1" t="inlineStr">
        <is>
          <t>Base</t>
        </is>
      </c>
      <c r="F346" s="1" t="n">
        <v>3.243369</v>
      </c>
    </row>
    <row r="347" ht="15.75" customHeight="1" s="201">
      <c r="A347" s="1" t="n">
        <v>14108010</v>
      </c>
      <c r="B347" s="1" t="inlineStr">
        <is>
          <t>Cheese, Parmesan, dry grated (Includes Romano, grated; Asiago, aged)</t>
        </is>
      </c>
      <c r="C347" s="1" t="n">
        <v>1</v>
      </c>
      <c r="D347" s="1" t="inlineStr">
        <is>
          <t>Links to FNDDS</t>
        </is>
      </c>
      <c r="E347" s="1" t="inlineStr">
        <is>
          <t>Base</t>
        </is>
      </c>
      <c r="F347" s="1" t="n">
        <v>1.91342</v>
      </c>
    </row>
    <row r="348" ht="15.75" customHeight="1" s="201">
      <c r="A348" s="1" t="n">
        <v>14108015</v>
      </c>
      <c r="B348" s="1" t="inlineStr">
        <is>
          <t>Cheese, Parmesan, dry grated, reduced fat (Includes Kraft Reduced Fat Grated Topping; lowfat; part skim; made with 2% milk)</t>
        </is>
      </c>
      <c r="C348" s="1" t="n">
        <v>1</v>
      </c>
      <c r="D348" s="1" t="inlineStr">
        <is>
          <t>Links to FNDDS</t>
        </is>
      </c>
      <c r="E348" s="1" t="inlineStr">
        <is>
          <t>Base</t>
        </is>
      </c>
      <c r="F348" s="1" t="n">
        <v>1.573746</v>
      </c>
    </row>
    <row r="349" ht="15.75" customHeight="1" s="201">
      <c r="A349" s="1" t="n">
        <v>14108020</v>
      </c>
      <c r="B349" s="1" t="inlineStr">
        <is>
          <t>Cheese, Parmesan, hard (Includes Romano; Asiago, fresh; fresh grated)</t>
        </is>
      </c>
      <c r="C349" s="1" t="n">
        <v>2</v>
      </c>
      <c r="D349" s="1" t="inlineStr">
        <is>
          <t>Links to altEC</t>
        </is>
      </c>
      <c r="E349" s="1" t="inlineStr">
        <is>
          <t>Base</t>
        </is>
      </c>
      <c r="F349" s="1" t="n">
        <v>1.91342</v>
      </c>
    </row>
    <row r="350" ht="15.75" customHeight="1" s="201">
      <c r="A350" s="1" t="n">
        <v>14108060</v>
      </c>
      <c r="B350" s="1" t="inlineStr">
        <is>
          <t>Cheese, Parmesan, dry grated, fat free (Includes Kraft Free Nonfat Grated Topping)</t>
        </is>
      </c>
      <c r="C350" s="1" t="n">
        <v>2</v>
      </c>
      <c r="D350" s="1" t="inlineStr">
        <is>
          <t>Links to altEC</t>
        </is>
      </c>
      <c r="E350" s="1" t="inlineStr">
        <is>
          <t>Base</t>
        </is>
      </c>
      <c r="F350" s="1" t="n">
        <v>1.573746</v>
      </c>
    </row>
    <row r="351" ht="15.75" customHeight="1" s="201">
      <c r="A351" s="1" t="n">
        <v>14108400</v>
      </c>
      <c r="B351" s="1" t="inlineStr">
        <is>
          <t>Cheese, Provolone</t>
        </is>
      </c>
      <c r="C351" s="1" t="n">
        <v>1</v>
      </c>
      <c r="D351" s="1" t="inlineStr">
        <is>
          <t>Links to FNDDS</t>
        </is>
      </c>
      <c r="E351" s="1" t="inlineStr">
        <is>
          <t>Base</t>
        </is>
      </c>
      <c r="F351" s="1" t="n">
        <v>1.418032</v>
      </c>
    </row>
    <row r="352" ht="15.75" customHeight="1" s="201">
      <c r="A352" s="1" t="n">
        <v>14108420</v>
      </c>
      <c r="B352" s="1" t="inlineStr">
        <is>
          <t>Cheese, provolone, reduced fat (Includes lowfat; part skim; made from 2% milk)</t>
        </is>
      </c>
      <c r="C352" s="1" t="n">
        <v>1</v>
      </c>
      <c r="D352" s="1" t="inlineStr">
        <is>
          <t>Links to FNDDS</t>
        </is>
      </c>
      <c r="E352" s="1" t="inlineStr">
        <is>
          <t>Base</t>
        </is>
      </c>
      <c r="F352" s="1" t="n">
        <v>1.303977</v>
      </c>
    </row>
    <row r="353" ht="15.75" customHeight="1" s="201">
      <c r="A353" s="1" t="n">
        <v>14109010</v>
      </c>
      <c r="B353" s="1" t="inlineStr">
        <is>
          <t>Cheese, Swiss (Includes Emmentaler; Jarlsburg; Samsoe; Danbo; Sweitzer; Sapsago)</t>
        </is>
      </c>
      <c r="C353" s="1" t="n">
        <v>1</v>
      </c>
      <c r="D353" s="1" t="inlineStr">
        <is>
          <t>Links to FNDDS</t>
        </is>
      </c>
      <c r="E353" s="1" t="inlineStr">
        <is>
          <t>Base</t>
        </is>
      </c>
      <c r="F353" s="1" t="n">
        <v>1.597817</v>
      </c>
    </row>
    <row r="354" ht="15.75" customHeight="1" s="201">
      <c r="A354" s="1" t="n">
        <v>14109020</v>
      </c>
      <c r="B354" s="1" t="inlineStr">
        <is>
          <t>Cheese, Swiss, reduced sodium (Includes less or lower sodium products)</t>
        </is>
      </c>
      <c r="C354" s="1" t="n">
        <v>1</v>
      </c>
      <c r="D354" s="1" t="inlineStr">
        <is>
          <t>Links to FNDDS</t>
        </is>
      </c>
      <c r="E354" s="1" t="inlineStr">
        <is>
          <t>Base</t>
        </is>
      </c>
      <c r="F354" s="1" t="n">
        <v>1.811302</v>
      </c>
    </row>
    <row r="355" ht="15.75" customHeight="1" s="201">
      <c r="A355" s="1" t="n">
        <v>14109030</v>
      </c>
      <c r="B355" s="1" t="inlineStr">
        <is>
          <t>Cheese, Swiss, reduced fat (Includes lowfat; part skim; made from 2% milk)</t>
        </is>
      </c>
      <c r="C355" s="1" t="n">
        <v>1</v>
      </c>
      <c r="D355" s="1" t="inlineStr">
        <is>
          <t>Links to FNDDS</t>
        </is>
      </c>
      <c r="E355" s="1" t="inlineStr">
        <is>
          <t>Base</t>
        </is>
      </c>
      <c r="F355" s="1" t="n">
        <v>1.458695</v>
      </c>
    </row>
    <row r="356" ht="15.75" customHeight="1" s="201">
      <c r="A356" s="1" t="n">
        <v>14109040</v>
      </c>
      <c r="B356" s="1" t="inlineStr">
        <is>
          <t>Cheese, Swiss, nonfat or fat free (Includes made from skim milk)</t>
        </is>
      </c>
      <c r="C356" s="1" t="n">
        <v>1</v>
      </c>
      <c r="D356" s="1" t="inlineStr">
        <is>
          <t>Links to FNDDS</t>
        </is>
      </c>
      <c r="E356" s="1" t="inlineStr">
        <is>
          <t>Base</t>
        </is>
      </c>
      <c r="F356" s="1" t="n">
        <v>1.767565</v>
      </c>
    </row>
    <row r="357" ht="15.75" customHeight="1" s="201">
      <c r="A357" s="1" t="n">
        <v>14110010</v>
      </c>
      <c r="B357" s="1" t="inlineStr">
        <is>
          <t>Cheese, Cheddar, reduced sodium (Includes less or lower sodium products; Colby, reduced sodium)</t>
        </is>
      </c>
      <c r="C357" s="1" t="n">
        <v>2</v>
      </c>
      <c r="D357" s="1" t="inlineStr">
        <is>
          <t>Links to altEC</t>
        </is>
      </c>
      <c r="E357" s="1" t="inlineStr">
        <is>
          <t>Base</t>
        </is>
      </c>
      <c r="F357" s="1" t="n">
        <v>1.123084</v>
      </c>
    </row>
    <row r="358" ht="15.75" customHeight="1" s="201">
      <c r="A358" s="1" t="n">
        <v>14120010</v>
      </c>
      <c r="B358" s="1" t="inlineStr">
        <is>
          <t>Cheese, Mexican blend (Includes Kraft Mexican Four Cheese; Sargento Mexican 4 Cheese)</t>
        </is>
      </c>
      <c r="C358" s="1" t="n">
        <v>1</v>
      </c>
      <c r="D358" s="1" t="inlineStr">
        <is>
          <t>Links to FNDDS</t>
        </is>
      </c>
      <c r="E358" s="1" t="inlineStr">
        <is>
          <t>Base</t>
        </is>
      </c>
      <c r="F358" s="1" t="n">
        <v>0.938715</v>
      </c>
    </row>
    <row r="359" ht="15.75" customHeight="1" s="201">
      <c r="A359" s="1" t="n">
        <v>14120020</v>
      </c>
      <c r="B359" s="1" t="inlineStr">
        <is>
          <t>Cheese, Mexican blend, reduced fat (Includes Kraft Mexican Four Cheese made with 2% Milk; Sargento Mexican 4 Cheese Reduced Fat; lowfat; part skim; made from 2% milk)</t>
        </is>
      </c>
      <c r="C359" s="1" t="n">
        <v>1</v>
      </c>
      <c r="D359" s="1" t="inlineStr">
        <is>
          <t>Links to FNDDS</t>
        </is>
      </c>
      <c r="E359" s="1" t="inlineStr">
        <is>
          <t>Base</t>
        </is>
      </c>
      <c r="F359" s="1" t="n">
        <v>1.108112</v>
      </c>
    </row>
    <row r="360" ht="15.75" customHeight="1" s="201">
      <c r="A360" s="1" t="n">
        <v>14131000</v>
      </c>
      <c r="B360" s="1" t="inlineStr">
        <is>
          <t>Queso Anejo, aged Mexican cheese (Includes Queso Ranchero Seco)</t>
        </is>
      </c>
      <c r="C360" s="1" t="n">
        <v>2</v>
      </c>
      <c r="D360" s="1" t="inlineStr">
        <is>
          <t>Links to altEC</t>
        </is>
      </c>
      <c r="E360" s="1" t="inlineStr">
        <is>
          <t>Base</t>
        </is>
      </c>
      <c r="F360" s="1" t="n">
        <v>1.018872</v>
      </c>
    </row>
    <row r="361" ht="15.75" customHeight="1" s="201">
      <c r="A361" s="1" t="n">
        <v>14131500</v>
      </c>
      <c r="B361" s="1" t="inlineStr">
        <is>
          <t>Queso Asadero (Includes Oaxacan-style string cheese)</t>
        </is>
      </c>
      <c r="C361" s="1" t="n">
        <v>1</v>
      </c>
      <c r="D361" s="1" t="inlineStr">
        <is>
          <t>Links to FNDDS</t>
        </is>
      </c>
      <c r="E361" s="1" t="inlineStr">
        <is>
          <t>Base</t>
        </is>
      </c>
      <c r="F361" s="1" t="n">
        <v>1.018872</v>
      </c>
    </row>
    <row r="362" ht="15.75" customHeight="1" s="201">
      <c r="A362" s="1" t="n">
        <v>14133000</v>
      </c>
      <c r="B362" s="1" t="inlineStr">
        <is>
          <t>Queso Fresco (Includes Mexican style farmer cheese; Queso Ranchero)</t>
        </is>
      </c>
      <c r="C362" s="1" t="n">
        <v>1</v>
      </c>
      <c r="D362" s="1" t="inlineStr">
        <is>
          <t>Links to FNDDS</t>
        </is>
      </c>
      <c r="E362" s="1" t="inlineStr">
        <is>
          <t>Base</t>
        </is>
      </c>
      <c r="F362" s="1" t="n">
        <v>0.93133</v>
      </c>
    </row>
    <row r="363" ht="15.75" customHeight="1" s="201">
      <c r="A363" s="1" t="n">
        <v>14134000</v>
      </c>
      <c r="B363" s="1" t="inlineStr">
        <is>
          <t>Queso cotija</t>
        </is>
      </c>
      <c r="C363" s="1" t="n">
        <v>1</v>
      </c>
      <c r="D363" s="1" t="inlineStr">
        <is>
          <t>Links to FNDDS</t>
        </is>
      </c>
      <c r="E363" s="1" t="inlineStr">
        <is>
          <t>Base</t>
        </is>
      </c>
      <c r="F363" s="1" t="n">
        <v>1.322663</v>
      </c>
    </row>
    <row r="364" ht="15.75" customHeight="1" s="201">
      <c r="A364" s="1" t="n">
        <v>14200100</v>
      </c>
      <c r="B364" s="1" t="inlineStr">
        <is>
          <t>Cheese, cottage, NFS</t>
        </is>
      </c>
      <c r="C364" s="1" t="n">
        <v>2</v>
      </c>
      <c r="D364" s="1" t="inlineStr">
        <is>
          <t>Links to altEC</t>
        </is>
      </c>
      <c r="E364" s="1" t="inlineStr">
        <is>
          <t>Base</t>
        </is>
      </c>
      <c r="F364" s="1" t="n">
        <v>0.462937</v>
      </c>
    </row>
    <row r="365" ht="15.75" customHeight="1" s="201">
      <c r="A365" s="1" t="n">
        <v>14201010</v>
      </c>
      <c r="B365" s="1" t="inlineStr">
        <is>
          <t>Cheese, cottage, creamed, large or small curd (Includes regular (4% fat) cottage cheese)</t>
        </is>
      </c>
      <c r="C365" s="1" t="n">
        <v>1</v>
      </c>
      <c r="D365" s="1" t="inlineStr">
        <is>
          <t>Links to FNDDS</t>
        </is>
      </c>
      <c r="E365" s="1" t="inlineStr">
        <is>
          <t>Base</t>
        </is>
      </c>
      <c r="F365" s="1" t="n">
        <v>0.439217</v>
      </c>
    </row>
    <row r="366" ht="15.75" customHeight="1" s="201">
      <c r="A366" s="1" t="n">
        <v>14201200</v>
      </c>
      <c r="B366" s="1" t="inlineStr">
        <is>
          <t>Cottage cheese, farmer's (Includes pressed cheese)</t>
        </is>
      </c>
      <c r="C366" s="1" t="n">
        <v>1</v>
      </c>
      <c r="D366" s="1" t="inlineStr">
        <is>
          <t>Links to FNDDS</t>
        </is>
      </c>
      <c r="E366" s="1" t="inlineStr">
        <is>
          <t>Base</t>
        </is>
      </c>
      <c r="F366" s="1" t="n">
        <v>1.329782</v>
      </c>
    </row>
    <row r="367" ht="15.75" customHeight="1" s="201">
      <c r="A367" s="1" t="n">
        <v>14201500</v>
      </c>
      <c r="B367" s="1" t="inlineStr">
        <is>
          <t>Cheese, Ricotta</t>
        </is>
      </c>
      <c r="C367" s="1" t="n">
        <v>1</v>
      </c>
      <c r="D367" s="1" t="inlineStr">
        <is>
          <t>Links to FNDDS</t>
        </is>
      </c>
      <c r="E367" s="1" t="inlineStr">
        <is>
          <t>Base</t>
        </is>
      </c>
      <c r="F367" s="1" t="n">
        <v>0.520844</v>
      </c>
    </row>
    <row r="368" ht="15.75" customHeight="1" s="201">
      <c r="A368" s="1" t="n">
        <v>14202010</v>
      </c>
      <c r="B368" s="1" t="inlineStr">
        <is>
          <t>Cheese, cottage, with fruit (Includes creamed or uncreamed; large or small curd; cottage cheese salad, NFS)</t>
        </is>
      </c>
      <c r="C368" s="1" t="n">
        <v>1</v>
      </c>
      <c r="D368" s="1" t="inlineStr">
        <is>
          <t>Links to FNDDS</t>
        </is>
      </c>
      <c r="E368" s="1" t="inlineStr">
        <is>
          <t>Base</t>
        </is>
      </c>
      <c r="F368" s="1" t="n">
        <v>0.566377</v>
      </c>
    </row>
    <row r="369" ht="15.75" customHeight="1" s="201">
      <c r="A369" s="1" t="n">
        <v>14202020</v>
      </c>
      <c r="B369" s="1" t="inlineStr">
        <is>
          <t>Cheese, cottage, with vegetables</t>
        </is>
      </c>
      <c r="C369" s="1" t="n">
        <v>1</v>
      </c>
      <c r="D369" s="1" t="inlineStr">
        <is>
          <t>Links to FNDDS</t>
        </is>
      </c>
      <c r="E369" s="1" t="inlineStr">
        <is>
          <t>Base</t>
        </is>
      </c>
      <c r="F369" s="1" t="n">
        <v>0.553387</v>
      </c>
    </row>
    <row r="370" ht="15.75" customHeight="1" s="201">
      <c r="A370" s="1" t="n">
        <v>14203020</v>
      </c>
      <c r="B370" s="1" t="inlineStr">
        <is>
          <t>Cheese, cottage, salted, dry curd (Includes Friendship Nonfat Cottage Cheese; nonfat cottage cheese; Light N Lively Free Nonfat Cottage Cheese)</t>
        </is>
      </c>
      <c r="C370" s="1" t="n">
        <v>2</v>
      </c>
      <c r="D370" s="1" t="inlineStr">
        <is>
          <t>Links to altEC</t>
        </is>
      </c>
      <c r="E370" s="1" t="inlineStr">
        <is>
          <t>Base</t>
        </is>
      </c>
      <c r="F370" s="1" t="n">
        <v>0.425695</v>
      </c>
    </row>
    <row r="371" ht="15.75" customHeight="1" s="201">
      <c r="A371" s="1" t="n">
        <v>14203510</v>
      </c>
      <c r="B371" s="1" t="inlineStr">
        <is>
          <t>Puerto Rican white cheese (Includes Queso del pais, Blanco)</t>
        </is>
      </c>
      <c r="C371" s="1" t="n">
        <v>2</v>
      </c>
      <c r="D371" s="1" t="inlineStr">
        <is>
          <t>Links to altEC</t>
        </is>
      </c>
      <c r="E371" s="1" t="inlineStr">
        <is>
          <t>Base</t>
        </is>
      </c>
      <c r="F371" s="1" t="n">
        <v>0.93133</v>
      </c>
    </row>
    <row r="372" ht="15.75" customHeight="1" s="201">
      <c r="A372" s="1" t="n">
        <v>14204010</v>
      </c>
      <c r="B372" s="1" t="inlineStr">
        <is>
          <t>Cheese, cottage, low fat (Includes 1-2% fat)</t>
        </is>
      </c>
      <c r="C372" s="1" t="n">
        <v>1</v>
      </c>
      <c r="D372" s="1" t="inlineStr">
        <is>
          <t>Links to FNDDS</t>
        </is>
      </c>
      <c r="E372" s="1" t="inlineStr">
        <is>
          <t>Base</t>
        </is>
      </c>
      <c r="F372" s="1" t="n">
        <v>0.489471</v>
      </c>
    </row>
    <row r="373" ht="15.75" customHeight="1" s="201">
      <c r="A373" s="1" t="n">
        <v>14204020</v>
      </c>
      <c r="B373" s="1" t="inlineStr">
        <is>
          <t>Cheese, cottage, lowfat, with fruit</t>
        </is>
      </c>
      <c r="C373" s="1" t="n">
        <v>1</v>
      </c>
      <c r="D373" s="1" t="inlineStr">
        <is>
          <t>Links to FNDDS</t>
        </is>
      </c>
      <c r="E373" s="1" t="inlineStr">
        <is>
          <t>Base</t>
        </is>
      </c>
      <c r="F373" s="1" t="n">
        <v>0.733355</v>
      </c>
    </row>
    <row r="374" ht="15.75" customHeight="1" s="201">
      <c r="A374" s="1" t="n">
        <v>14206010</v>
      </c>
      <c r="B374" s="1" t="inlineStr">
        <is>
          <t>Cheese, cottage, lowfat, low sodium (Includes no salt added)</t>
        </is>
      </c>
      <c r="C374" s="1" t="n">
        <v>2</v>
      </c>
      <c r="D374" s="1" t="inlineStr">
        <is>
          <t>Links to altEC</t>
        </is>
      </c>
      <c r="E374" s="1" t="inlineStr">
        <is>
          <t>Base</t>
        </is>
      </c>
      <c r="F374" s="1" t="n">
        <v>0.489471</v>
      </c>
    </row>
    <row r="375" ht="15.75" customHeight="1" s="201">
      <c r="A375" s="1" t="n">
        <v>14207010</v>
      </c>
      <c r="B375" s="1" t="inlineStr">
        <is>
          <t>Cheese, cottage, lowfat, lactose reduced (Includes Lactaid)</t>
        </is>
      </c>
      <c r="C375" s="1" t="n">
        <v>2</v>
      </c>
      <c r="D375" s="1" t="inlineStr">
        <is>
          <t>Links to altEC</t>
        </is>
      </c>
      <c r="E375" s="1" t="inlineStr">
        <is>
          <t>Base</t>
        </is>
      </c>
      <c r="F375" s="1" t="n">
        <v>0.489471</v>
      </c>
    </row>
    <row r="376" ht="15.75" customHeight="1" s="201">
      <c r="A376" s="1" t="n">
        <v>14301010</v>
      </c>
      <c r="B376" s="1" t="inlineStr">
        <is>
          <t>Cream cheese, regular, plain</t>
        </is>
      </c>
      <c r="C376" s="1" t="n">
        <v>1</v>
      </c>
      <c r="D376" s="1" t="inlineStr">
        <is>
          <t>Links to FNDDS</t>
        </is>
      </c>
      <c r="E376" s="1" t="inlineStr">
        <is>
          <t>Base</t>
        </is>
      </c>
      <c r="F376" s="1" t="n">
        <v>0.834458</v>
      </c>
    </row>
    <row r="377" ht="15.75" customHeight="1" s="201">
      <c r="A377" s="1" t="n">
        <v>14301100</v>
      </c>
      <c r="B377" s="1" t="inlineStr">
        <is>
          <t>Cream cheese, regular, flavored</t>
        </is>
      </c>
      <c r="C377" s="1" t="n">
        <v>1</v>
      </c>
      <c r="D377" s="1" t="inlineStr">
        <is>
          <t>Links to FNDDS</t>
        </is>
      </c>
      <c r="E377" s="1" t="inlineStr">
        <is>
          <t>Base</t>
        </is>
      </c>
      <c r="F377" s="1" t="n">
        <v>0.996969</v>
      </c>
    </row>
    <row r="378" ht="15.75" customHeight="1" s="201">
      <c r="A378" s="1" t="n">
        <v>14303010</v>
      </c>
      <c r="B378" s="1" t="inlineStr">
        <is>
          <t>Cream cheese, light (Includes Neufchatel; reduced fat; 1/3 less fat; plain or flavored)</t>
        </is>
      </c>
      <c r="C378" s="1" t="n">
        <v>1</v>
      </c>
      <c r="D378" s="1" t="inlineStr">
        <is>
          <t>Links to FNDDS</t>
        </is>
      </c>
      <c r="E378" s="1" t="inlineStr">
        <is>
          <t>Base</t>
        </is>
      </c>
      <c r="F378" s="1" t="n">
        <v>0.844446</v>
      </c>
    </row>
    <row r="379" ht="15.75" customHeight="1" s="201">
      <c r="A379" s="1" t="n">
        <v>14410100</v>
      </c>
      <c r="B379" s="1" t="inlineStr">
        <is>
          <t>Cheese, American and Swiss blends</t>
        </is>
      </c>
      <c r="C379" s="1" t="n">
        <v>1</v>
      </c>
      <c r="D379" s="1" t="inlineStr">
        <is>
          <t>Links to FNDDS</t>
        </is>
      </c>
      <c r="E379" s="1" t="inlineStr">
        <is>
          <t>Base</t>
        </is>
      </c>
      <c r="F379" s="1" t="n">
        <v>0.828276</v>
      </c>
    </row>
    <row r="380" ht="15.75" customHeight="1" s="201">
      <c r="A380" s="1" t="n">
        <v>14410110</v>
      </c>
      <c r="B380" s="1" t="inlineStr">
        <is>
          <t>Cheese, American</t>
        </is>
      </c>
      <c r="C380" s="1" t="n">
        <v>1</v>
      </c>
      <c r="D380" s="1" t="inlineStr">
        <is>
          <t>Links to FNDDS</t>
        </is>
      </c>
      <c r="E380" s="1" t="inlineStr">
        <is>
          <t>Base</t>
        </is>
      </c>
      <c r="F380" s="1" t="n">
        <v>0.967407</v>
      </c>
    </row>
    <row r="381" ht="15.75" customHeight="1" s="201">
      <c r="A381" s="1" t="n">
        <v>14410120</v>
      </c>
      <c r="B381" s="1" t="inlineStr">
        <is>
          <t>Cheese, American, reduced fat (Includes lowfat; part skim; made from 2% milk)</t>
        </is>
      </c>
      <c r="C381" s="1" t="n">
        <v>1</v>
      </c>
      <c r="D381" s="1" t="inlineStr">
        <is>
          <t>Links to FNDDS</t>
        </is>
      </c>
      <c r="E381" s="1" t="inlineStr">
        <is>
          <t>Base</t>
        </is>
      </c>
      <c r="F381" s="1" t="n">
        <v>1.096666</v>
      </c>
    </row>
    <row r="382" ht="15.75" customHeight="1" s="201">
      <c r="A382" s="1" t="n">
        <v>14410130</v>
      </c>
      <c r="B382" s="1" t="inlineStr">
        <is>
          <t>Cheese, American, nonfat or fat free</t>
        </is>
      </c>
      <c r="C382" s="1" t="n">
        <v>1</v>
      </c>
      <c r="D382" s="1" t="inlineStr">
        <is>
          <t>Links to FNDDS</t>
        </is>
      </c>
      <c r="E382" s="1" t="inlineStr">
        <is>
          <t>Base</t>
        </is>
      </c>
      <c r="F382" s="1" t="n">
        <v>0.91784</v>
      </c>
    </row>
    <row r="383" ht="15.75" customHeight="1" s="201">
      <c r="A383" s="1" t="n">
        <v>14410210</v>
      </c>
      <c r="B383" s="1" t="inlineStr">
        <is>
          <t>Cheese, American, reduced sodium (Includes less or lower sodium products)</t>
        </is>
      </c>
      <c r="C383" s="1" t="n">
        <v>1</v>
      </c>
      <c r="D383" s="1" t="inlineStr">
        <is>
          <t>Links to FNDDS</t>
        </is>
      </c>
      <c r="E383" s="1" t="inlineStr">
        <is>
          <t>Base</t>
        </is>
      </c>
      <c r="F383" s="1" t="n">
        <v>1.518666</v>
      </c>
    </row>
    <row r="384" ht="15.75" customHeight="1" s="201">
      <c r="A384" s="1" t="n">
        <v>14410330</v>
      </c>
      <c r="B384" s="1" t="inlineStr">
        <is>
          <t>Cheese spread, American or Cheddar cheese base, reduced fat (Includes Velveeta 2% milk or light; Laughing Cow Spreadable Cheese Wedges &amp; Bites; lowfat; part skim; made with 2% milk)</t>
        </is>
      </c>
      <c r="C384" s="1" t="n">
        <v>1</v>
      </c>
      <c r="D384" s="1" t="inlineStr">
        <is>
          <t>Links to FNDDS</t>
        </is>
      </c>
      <c r="E384" s="1" t="inlineStr">
        <is>
          <t>Base</t>
        </is>
      </c>
      <c r="F384" s="1" t="n">
        <v>0.907104</v>
      </c>
    </row>
    <row r="385" ht="15.75" customHeight="1" s="201">
      <c r="A385" s="1" t="n">
        <v>14410380</v>
      </c>
      <c r="B385" s="1" t="inlineStr">
        <is>
          <t>Cream cheese spread, fat free (Includes cream cheese, fat free; plain or flavored)</t>
        </is>
      </c>
      <c r="C385" s="1" t="n">
        <v>1</v>
      </c>
      <c r="D385" s="1" t="inlineStr">
        <is>
          <t>Links to FNDDS</t>
        </is>
      </c>
      <c r="E385" s="1" t="inlineStr">
        <is>
          <t>Base</t>
        </is>
      </c>
      <c r="F385" s="1" t="n">
        <v>0.740614</v>
      </c>
    </row>
    <row r="386" ht="15.75" customHeight="1" s="201">
      <c r="A386" s="1" t="n">
        <v>14410500</v>
      </c>
      <c r="B386" s="1" t="inlineStr">
        <is>
          <t>Cheese, processed cheese food (Includes Handi-Snack cheese container)</t>
        </is>
      </c>
      <c r="C386" s="1" t="n">
        <v>1</v>
      </c>
      <c r="D386" s="1" t="inlineStr">
        <is>
          <t>Links to FNDDS</t>
        </is>
      </c>
      <c r="E386" s="1" t="inlineStr">
        <is>
          <t>Base</t>
        </is>
      </c>
      <c r="F386" s="1" t="n">
        <v>0.90662</v>
      </c>
    </row>
    <row r="387" ht="15.75" customHeight="1" s="201">
      <c r="A387" s="1" t="n">
        <v>14410600</v>
      </c>
      <c r="B387" s="1" t="inlineStr">
        <is>
          <t>Cheese, processed, with vegetables (Includes pepper cheese; pimiento)</t>
        </is>
      </c>
      <c r="C387" s="1" t="n">
        <v>1</v>
      </c>
      <c r="D387" s="1" t="inlineStr">
        <is>
          <t>Links to FNDDS</t>
        </is>
      </c>
      <c r="E387" s="1" t="inlineStr">
        <is>
          <t>Base</t>
        </is>
      </c>
      <c r="F387" s="1" t="n">
        <v>1.108138</v>
      </c>
    </row>
    <row r="388" ht="15.75" customHeight="1" s="201">
      <c r="A388" s="1" t="n">
        <v>14410620</v>
      </c>
      <c r="B388" s="1" t="inlineStr">
        <is>
          <t>Cheese,  with wine</t>
        </is>
      </c>
      <c r="C388" s="1" t="n">
        <v>1</v>
      </c>
      <c r="D388" s="1" t="inlineStr">
        <is>
          <t>Links to FNDDS</t>
        </is>
      </c>
      <c r="E388" s="1" t="inlineStr">
        <is>
          <t>Base</t>
        </is>
      </c>
      <c r="F388" s="1" t="n">
        <v>1.51945</v>
      </c>
    </row>
    <row r="389" ht="15.75" customHeight="1" s="201">
      <c r="A389" s="1" t="n">
        <v>14420100</v>
      </c>
      <c r="B389" s="1" t="inlineStr">
        <is>
          <t>Cheese spread, American or Cheddar cheese base (Includes Velveeta; Cheez Whiz (all flavors); cheese spread, NFS; Kraft Cheese Spreads; Kraft Bacon Cheese Spread; Original Laughing Cow Cheese Wedges &amp; Bites)</t>
        </is>
      </c>
      <c r="C389" s="1" t="n">
        <v>2</v>
      </c>
      <c r="D389" s="1" t="inlineStr">
        <is>
          <t>Links to altEC</t>
        </is>
      </c>
      <c r="E389" s="1" t="inlineStr">
        <is>
          <t>Base</t>
        </is>
      </c>
      <c r="F389" s="1" t="n">
        <v>0.965912</v>
      </c>
    </row>
    <row r="390" ht="15.75" customHeight="1" s="201">
      <c r="A390" s="1" t="n">
        <v>14420160</v>
      </c>
      <c r="B390" s="1" t="inlineStr">
        <is>
          <t>Cheese spread, Swiss cheese base (Includes Swiss Almond cold pack cheese food)</t>
        </is>
      </c>
      <c r="C390" s="1" t="n">
        <v>1</v>
      </c>
      <c r="D390" s="1" t="inlineStr">
        <is>
          <t>Links to FNDDS</t>
        </is>
      </c>
      <c r="E390" s="1" t="inlineStr">
        <is>
          <t>Base</t>
        </is>
      </c>
      <c r="F390" s="1" t="n">
        <v>1.707778</v>
      </c>
    </row>
    <row r="391" ht="15.75" customHeight="1" s="201">
      <c r="A391" s="1" t="n">
        <v>14420200</v>
      </c>
      <c r="B391" s="1" t="inlineStr">
        <is>
          <t>Cheese spread, cream cheese, regular (Includes olive; pimiento; onion; clam; roka; relish; Rondele Cheese Spread; smoked salmon; fruit flavors)</t>
        </is>
      </c>
      <c r="C391" s="1" t="n">
        <v>1</v>
      </c>
      <c r="D391" s="1" t="inlineStr">
        <is>
          <t>Links to FNDDS</t>
        </is>
      </c>
      <c r="E391" s="1" t="inlineStr">
        <is>
          <t>Base</t>
        </is>
      </c>
      <c r="F391" s="1" t="n">
        <v>1.233662</v>
      </c>
    </row>
    <row r="392" ht="15.75" customHeight="1" s="201">
      <c r="A392" s="1" t="n">
        <v>14420210</v>
      </c>
      <c r="B392" s="1" t="inlineStr">
        <is>
          <t>Cheese spread, cream cheese, light (Includes vegetable; chives &amp; onion; salmon)</t>
        </is>
      </c>
      <c r="C392" s="1" t="n">
        <v>1</v>
      </c>
      <c r="D392" s="1" t="inlineStr">
        <is>
          <t>Links to FNDDS</t>
        </is>
      </c>
      <c r="E392" s="1" t="inlineStr">
        <is>
          <t>Base</t>
        </is>
      </c>
      <c r="F392" s="1" t="n">
        <v>1.273032</v>
      </c>
    </row>
    <row r="393" ht="15.75" customHeight="1" s="201">
      <c r="A393" s="1" t="n">
        <v>14420300</v>
      </c>
      <c r="B393" s="1" t="inlineStr">
        <is>
          <t>Cheese spread, pressurized can (Includes Easy Cheese)</t>
        </is>
      </c>
      <c r="C393" s="1" t="n">
        <v>1</v>
      </c>
      <c r="D393" s="1" t="inlineStr">
        <is>
          <t>Links to FNDDS</t>
        </is>
      </c>
      <c r="E393" s="1" t="inlineStr">
        <is>
          <t>Base</t>
        </is>
      </c>
      <c r="F393" s="1" t="n">
        <v>1.778613</v>
      </c>
    </row>
    <row r="394" ht="15.75" customHeight="1" s="201">
      <c r="A394" s="1" t="n">
        <v>14502000</v>
      </c>
      <c r="B394" s="1" t="inlineStr">
        <is>
          <t>Imitation cheese (Includes American; cheddar; mozzarella; imitation cheese, NFS)</t>
        </is>
      </c>
      <c r="C394" s="1" t="n">
        <v>1</v>
      </c>
      <c r="D394" s="1" t="inlineStr">
        <is>
          <t>Links to FNDDS</t>
        </is>
      </c>
      <c r="E394" s="1" t="inlineStr">
        <is>
          <t>Base</t>
        </is>
      </c>
      <c r="F394" s="1" t="n">
        <v>1.174982</v>
      </c>
    </row>
    <row r="395" ht="15.75" customHeight="1" s="201">
      <c r="A395" s="1" t="n">
        <v>14620110</v>
      </c>
      <c r="B395" s="1" t="inlineStr">
        <is>
          <t>Artichoke dip</t>
        </is>
      </c>
      <c r="C395" s="1" t="n">
        <v>1</v>
      </c>
      <c r="D395" s="1" t="inlineStr">
        <is>
          <t>Links to FNDDS</t>
        </is>
      </c>
      <c r="E395" s="1" t="inlineStr">
        <is>
          <t>Base</t>
        </is>
      </c>
      <c r="F395" s="1" t="n">
        <v>1.452674</v>
      </c>
    </row>
    <row r="396" ht="15.75" customHeight="1" s="201">
      <c r="A396" s="1" t="n">
        <v>14620115</v>
      </c>
      <c r="B396" s="1" t="inlineStr">
        <is>
          <t>Spinach and artichoke dip</t>
        </is>
      </c>
      <c r="C396" s="1" t="n">
        <v>1</v>
      </c>
      <c r="D396" s="1" t="inlineStr">
        <is>
          <t>Links to FNDDS</t>
        </is>
      </c>
      <c r="E396" s="1" t="inlineStr">
        <is>
          <t>Base</t>
        </is>
      </c>
      <c r="F396" s="1" t="n">
        <v>1.324017</v>
      </c>
    </row>
    <row r="397" ht="15.75" customHeight="1" s="201">
      <c r="A397" s="1" t="n">
        <v>14620130</v>
      </c>
      <c r="B397" s="1" t="inlineStr">
        <is>
          <t>Seafood dip (Includes clam dip; crab dip; shrimp dip; tuna dip)</t>
        </is>
      </c>
      <c r="C397" s="1" t="n">
        <v>1</v>
      </c>
      <c r="D397" s="1" t="inlineStr">
        <is>
          <t>Links to FNDDS</t>
        </is>
      </c>
      <c r="E397" s="1" t="inlineStr">
        <is>
          <t>Base</t>
        </is>
      </c>
      <c r="F397" s="1" t="n">
        <v>1.422079</v>
      </c>
    </row>
    <row r="398" ht="15.75" customHeight="1" s="201">
      <c r="A398" s="1" t="n">
        <v>14620150</v>
      </c>
      <c r="B398" s="1" t="inlineStr">
        <is>
          <t>Cheese dip with chili pepper (Includes chili con queso; jalapeno cheddar; salsa con queso)</t>
        </is>
      </c>
      <c r="C398" s="1" t="n">
        <v>1</v>
      </c>
      <c r="D398" s="1" t="inlineStr">
        <is>
          <t>Links to FNDDS</t>
        </is>
      </c>
      <c r="E398" s="1" t="inlineStr">
        <is>
          <t>Base</t>
        </is>
      </c>
      <c r="F398" s="1" t="n">
        <v>0.812158</v>
      </c>
    </row>
    <row r="399" ht="15.75" customHeight="1" s="201">
      <c r="A399" s="1" t="n">
        <v>14620200</v>
      </c>
      <c r="B399" s="1" t="inlineStr">
        <is>
          <t>Cheese dip (Includes cheese other than blue or cream cheese)</t>
        </is>
      </c>
      <c r="C399" s="1" t="n">
        <v>1</v>
      </c>
      <c r="D399" s="1" t="inlineStr">
        <is>
          <t>Links to FNDDS</t>
        </is>
      </c>
      <c r="E399" s="1" t="inlineStr">
        <is>
          <t>Base</t>
        </is>
      </c>
      <c r="F399" s="1" t="n">
        <v>0.94279</v>
      </c>
    </row>
    <row r="400" ht="15.75" customHeight="1" s="201">
      <c r="A400" s="1" t="n">
        <v>14620300</v>
      </c>
      <c r="B400" s="1" t="inlineStr">
        <is>
          <t>Topping from cheese pizza (Includes cheese and tomato sauce from pizza crust of any thickness)</t>
        </is>
      </c>
      <c r="C400" s="1" t="n">
        <v>4</v>
      </c>
      <c r="D400" s="1" t="inlineStr">
        <is>
          <t>FNDDS recipe with replaced or modified SR codes</t>
        </is>
      </c>
      <c r="E400" s="1" t="inlineStr">
        <is>
          <t>Base</t>
        </is>
      </c>
      <c r="F400" s="1" t="n">
        <v>0.896832</v>
      </c>
    </row>
    <row r="401" ht="15.75" customHeight="1" s="201">
      <c r="A401" s="1" t="n">
        <v>14620310</v>
      </c>
      <c r="B401" s="1" t="inlineStr">
        <is>
          <t>Topping from vegetable pizza (Includes cheese, tomato sauce, and vegetables from pizza crust of any thickness)</t>
        </is>
      </c>
      <c r="C401" s="1" t="n">
        <v>4</v>
      </c>
      <c r="D401" s="1" t="inlineStr">
        <is>
          <t>FNDDS recipe with replaced or modified SR codes</t>
        </is>
      </c>
      <c r="E401" s="1" t="inlineStr">
        <is>
          <t>Base</t>
        </is>
      </c>
      <c r="F401" s="1" t="n">
        <v>1.546513</v>
      </c>
    </row>
    <row r="402" ht="15.75" customHeight="1" s="201">
      <c r="A402" s="1" t="n">
        <v>14620320</v>
      </c>
      <c r="B402" s="1" t="inlineStr">
        <is>
          <t>Topping from meat pizza (Includes cheese, tomato sauce, and meat from pizza crust of any thickness; all meat, poultry or seafood including pepperoni)</t>
        </is>
      </c>
      <c r="C402" s="1" t="n">
        <v>4</v>
      </c>
      <c r="D402" s="1" t="inlineStr">
        <is>
          <t>FNDDS recipe with replaced or modified SR codes</t>
        </is>
      </c>
      <c r="E402" s="1" t="inlineStr">
        <is>
          <t>Base</t>
        </is>
      </c>
      <c r="F402" s="1" t="n">
        <v>1.152333</v>
      </c>
    </row>
    <row r="403" ht="15.75" customHeight="1" s="201">
      <c r="A403" s="1" t="n">
        <v>14630200</v>
      </c>
      <c r="B403" s="1" t="inlineStr">
        <is>
          <t>Cheese souffle</t>
        </is>
      </c>
      <c r="C403" s="1" t="n">
        <v>4</v>
      </c>
      <c r="D403" s="1" t="inlineStr">
        <is>
          <t>FNDDS recipe with replaced or modified SR codes</t>
        </is>
      </c>
      <c r="E403" s="1" t="inlineStr">
        <is>
          <t>Base</t>
        </is>
      </c>
      <c r="F403" s="1" t="n">
        <v>0.418973</v>
      </c>
    </row>
    <row r="404" ht="15.75" customHeight="1" s="201">
      <c r="A404" s="1" t="n">
        <v>14640000</v>
      </c>
      <c r="B404" s="1" t="inlineStr">
        <is>
          <t>Cheese sandwich, NFS</t>
        </is>
      </c>
      <c r="C404" s="1" t="n">
        <v>4</v>
      </c>
      <c r="D404" s="1" t="inlineStr">
        <is>
          <t>FNDDS recipe with replaced or modified SR codes</t>
        </is>
      </c>
      <c r="E404" s="1" t="inlineStr">
        <is>
          <t>Base</t>
        </is>
      </c>
      <c r="F404" s="1" t="n">
        <v>0.623878</v>
      </c>
    </row>
    <row r="405" ht="15.75" customHeight="1" s="201">
      <c r="A405" s="1" t="n">
        <v>14640002</v>
      </c>
      <c r="B405" s="1" t="inlineStr">
        <is>
          <t>Cheese sandwich, American cheese, on white bread, no spread (Includes other bread such as potato, Italian, and rye; bread, NFS)</t>
        </is>
      </c>
      <c r="C405" s="1" t="n">
        <v>4</v>
      </c>
      <c r="D405" s="1" t="inlineStr">
        <is>
          <t>FNDDS recipe with replaced or modified SR codes</t>
        </is>
      </c>
      <c r="E405" s="1" t="inlineStr">
        <is>
          <t>Base</t>
        </is>
      </c>
      <c r="F405" s="1" t="n">
        <v>0.623878</v>
      </c>
    </row>
    <row r="406" ht="15.75" customHeight="1" s="201">
      <c r="A406" s="1" t="n">
        <v>14640004</v>
      </c>
      <c r="B406" s="1" t="inlineStr">
        <is>
          <t>Cheese sandwich, American cheese, on wheat bread, no spread</t>
        </is>
      </c>
      <c r="C406" s="1" t="n">
        <v>4</v>
      </c>
      <c r="D406" s="1" t="inlineStr">
        <is>
          <t>FNDDS recipe with replaced or modified SR codes</t>
        </is>
      </c>
      <c r="E406" s="1" t="inlineStr">
        <is>
          <t>Base</t>
        </is>
      </c>
      <c r="F406" s="1" t="n">
        <v>0.632166</v>
      </c>
    </row>
    <row r="407" ht="15.75" customHeight="1" s="201">
      <c r="A407" s="1" t="n">
        <v>14640006</v>
      </c>
      <c r="B407" s="1" t="inlineStr">
        <is>
          <t>Cheese sandwich, American cheese, on whole wheat bread, no spread (Includes whole grain bread; multigrain bread)</t>
        </is>
      </c>
      <c r="C407" s="1" t="n">
        <v>4</v>
      </c>
      <c r="D407" s="1" t="inlineStr">
        <is>
          <t>FNDDS recipe with replaced or modified SR codes</t>
        </is>
      </c>
      <c r="E407" s="1" t="inlineStr">
        <is>
          <t>Base</t>
        </is>
      </c>
      <c r="F407" s="1" t="n">
        <v>0.632166</v>
      </c>
    </row>
    <row r="408" ht="15.75" customHeight="1" s="201">
      <c r="A408" s="1" t="n">
        <v>14640008</v>
      </c>
      <c r="B408" s="1" t="inlineStr">
        <is>
          <t>Cheese sandwich, Cheddar cheese, on white bread, no spread (Includes other bread such as potato, Italian, and rye; bread, NFS; other cheese such as Swiss, mozzarella, provolone)</t>
        </is>
      </c>
      <c r="C408" s="1" t="n">
        <v>4</v>
      </c>
      <c r="D408" s="1" t="inlineStr">
        <is>
          <t>FNDDS recipe with replaced or modified SR codes</t>
        </is>
      </c>
      <c r="E408" s="1" t="inlineStr">
        <is>
          <t>Base</t>
        </is>
      </c>
      <c r="F408" s="1" t="n">
        <v>0.68629</v>
      </c>
    </row>
    <row r="409" ht="15.75" customHeight="1" s="201">
      <c r="A409" s="1" t="n">
        <v>14640010</v>
      </c>
      <c r="B409" s="1" t="inlineStr">
        <is>
          <t>Cheese sandwich, Cheddar cheese, on wheat bread, no spread (Includes other cheese such as Swiss, mozzarella, provolone)</t>
        </is>
      </c>
      <c r="C409" s="1" t="n">
        <v>4</v>
      </c>
      <c r="D409" s="1" t="inlineStr">
        <is>
          <t>FNDDS recipe with replaced or modified SR codes</t>
        </is>
      </c>
      <c r="E409" s="1" t="inlineStr">
        <is>
          <t>Base</t>
        </is>
      </c>
      <c r="F409" s="1" t="n">
        <v>0.694578</v>
      </c>
    </row>
    <row r="410" ht="15.75" customHeight="1" s="201">
      <c r="A410" s="1" t="n">
        <v>14640014</v>
      </c>
      <c r="B410" s="1" t="inlineStr">
        <is>
          <t>Cheese sandwich, reduced fat American cheese, on white bread, no spread (Includes other bread such as potato, Italian, and rye; bread, NFS; low fat, part skim, or cheese made with 2% milk)</t>
        </is>
      </c>
      <c r="C410" s="1" t="n">
        <v>3</v>
      </c>
      <c r="D410" s="1" t="inlineStr">
        <is>
          <t>Original FNDDS recipe</t>
        </is>
      </c>
      <c r="E410" s="1" t="inlineStr">
        <is>
          <t>Base</t>
        </is>
      </c>
      <c r="F410" s="1" t="n">
        <v>0.673874</v>
      </c>
    </row>
    <row r="411" ht="15.75" customHeight="1" s="201">
      <c r="A411" s="1" t="n">
        <v>14640018</v>
      </c>
      <c r="B411" s="1" t="inlineStr">
        <is>
          <t>Cheese sandwich, reduced fat American cheese, on whole wheat bread, no spread (Includes whole grain bread; low fat, part skim, or cheese made with 2% milk; multigrain bread)</t>
        </is>
      </c>
      <c r="C411" s="1" t="n">
        <v>4</v>
      </c>
      <c r="D411" s="1" t="inlineStr">
        <is>
          <t>FNDDS recipe with replaced or modified SR codes</t>
        </is>
      </c>
      <c r="E411" s="1" t="inlineStr">
        <is>
          <t>Base</t>
        </is>
      </c>
      <c r="F411" s="1" t="n">
        <v>0.682162</v>
      </c>
    </row>
    <row r="412" ht="15.75" customHeight="1" s="201">
      <c r="A412" s="1" t="n">
        <v>14640024</v>
      </c>
      <c r="B412" s="1" t="inlineStr">
        <is>
          <t>Cheese sandwich, reduced fat Cheddar cheese, on whole wheat bread, no spread (Includes lowfat, part skim, or cheese made with 2% milk; whole grain bread; multigrain bread)</t>
        </is>
      </c>
      <c r="C412" s="1" t="n">
        <v>4</v>
      </c>
      <c r="D412" s="1" t="inlineStr">
        <is>
          <t>FNDDS recipe with replaced or modified SR codes</t>
        </is>
      </c>
      <c r="E412" s="1" t="inlineStr">
        <is>
          <t>Base</t>
        </is>
      </c>
      <c r="F412" s="1" t="n">
        <v>0.71379</v>
      </c>
    </row>
    <row r="413" ht="15.75" customHeight="1" s="201">
      <c r="A413" s="1" t="n">
        <v>14640026</v>
      </c>
      <c r="B413" s="1" t="inlineStr">
        <is>
          <t>Cheese sandwich, American cheese, on white bread, with mayonnaise (Includes other bread such as potato, Italian, and rye; bread, NFS; with Miracle Whip)</t>
        </is>
      </c>
      <c r="C413" s="1" t="n">
        <v>4</v>
      </c>
      <c r="D413" s="1" t="inlineStr">
        <is>
          <t>FNDDS recipe with replaced or modified SR codes</t>
        </is>
      </c>
      <c r="E413" s="1" t="inlineStr">
        <is>
          <t>Base</t>
        </is>
      </c>
      <c r="F413" s="1" t="n">
        <v>0.60458</v>
      </c>
    </row>
    <row r="414" ht="15.75" customHeight="1" s="201">
      <c r="A414" s="1" t="n">
        <v>14640032</v>
      </c>
      <c r="B414" s="1" t="inlineStr">
        <is>
          <t>Cheese sandwich, Cheddar cheese, on white bread, with mayonnaise (Includes other bread such as potato, Italian, and rye; bread, NFS; with Miracle Whip; other cheese such as Swiss, mozzarella, provolone)</t>
        </is>
      </c>
      <c r="C414" s="1" t="n">
        <v>4</v>
      </c>
      <c r="D414" s="1" t="inlineStr">
        <is>
          <t>FNDDS recipe with replaced or modified SR codes</t>
        </is>
      </c>
      <c r="E414" s="1" t="inlineStr">
        <is>
          <t>Base</t>
        </is>
      </c>
      <c r="F414" s="1" t="n">
        <v>0.659459</v>
      </c>
    </row>
    <row r="415" ht="15.75" customHeight="1" s="201">
      <c r="A415" s="1" t="n">
        <v>14640034</v>
      </c>
      <c r="B415" s="1" t="inlineStr">
        <is>
          <t>Cheese sandwich, Cheddar cheese, on wheat bread, with mayonnaise (Includes with Miracle Whip; other cheese such as Swiss, mozzarella, provolone)</t>
        </is>
      </c>
      <c r="C415" s="1" t="n">
        <v>4</v>
      </c>
      <c r="D415" s="1" t="inlineStr">
        <is>
          <t>FNDDS recipe with replaced or modified SR codes</t>
        </is>
      </c>
      <c r="E415" s="1" t="inlineStr">
        <is>
          <t>Base</t>
        </is>
      </c>
      <c r="F415" s="1" t="n">
        <v>0.666747</v>
      </c>
    </row>
    <row r="416" ht="15.75" customHeight="1" s="201">
      <c r="A416" s="1" t="n">
        <v>14640048</v>
      </c>
      <c r="B416" s="1" t="inlineStr">
        <is>
          <t>Cheese sandwich, reduced fat Cheddar cheese, on whole wheat bread, with mayonnaise (Includes whole grain bread; with Miracle Whip; low fat, part skim, or cheese made with 2% milk; multigrain bread)</t>
        </is>
      </c>
      <c r="C416" s="1" t="n">
        <v>4</v>
      </c>
      <c r="D416" s="1" t="inlineStr">
        <is>
          <t>FNDDS recipe with replaced or modified SR codes</t>
        </is>
      </c>
      <c r="E416" s="1" t="inlineStr">
        <is>
          <t>Base</t>
        </is>
      </c>
      <c r="F416" s="1" t="n">
        <v>0.68364</v>
      </c>
    </row>
    <row r="417" ht="15.75" customHeight="1" s="201">
      <c r="A417" s="1" t="n">
        <v>14640050</v>
      </c>
      <c r="B417" s="1" t="inlineStr">
        <is>
          <t>Cheese sandwich, American cheese, on white bread, with butter (Includes other bread such as potato, Italian, and rye; bread, NFS; with margarine)</t>
        </is>
      </c>
      <c r="C417" s="1" t="n">
        <v>4</v>
      </c>
      <c r="D417" s="1" t="inlineStr">
        <is>
          <t>FNDDS recipe with replaced or modified SR codes</t>
        </is>
      </c>
      <c r="E417" s="1" t="inlineStr">
        <is>
          <t>Base</t>
        </is>
      </c>
      <c r="F417" s="1" t="n">
        <v>0.617326</v>
      </c>
    </row>
    <row r="418" ht="15.75" customHeight="1" s="201">
      <c r="A418" s="1" t="n">
        <v>14640056</v>
      </c>
      <c r="B418" s="1" t="inlineStr">
        <is>
          <t>Cheese sandwich, Cheddar cheese, on white bread, with butter (Includes other bread such as potato, Italian, and rye; bread, NFS; with margarine; other cheese such as Swiss, mozzarella, provolone)</t>
        </is>
      </c>
      <c r="C418" s="1" t="n">
        <v>4</v>
      </c>
      <c r="D418" s="1" t="inlineStr">
        <is>
          <t>FNDDS recipe with replaced or modified SR codes</t>
        </is>
      </c>
      <c r="E418" s="1" t="inlineStr">
        <is>
          <t>Base</t>
        </is>
      </c>
      <c r="F418" s="1" t="n">
        <v>0.6722050000000001</v>
      </c>
    </row>
    <row r="419" ht="15.75" customHeight="1" s="201">
      <c r="A419" s="1" t="n">
        <v>14640060</v>
      </c>
      <c r="B419" s="1" t="inlineStr">
        <is>
          <t>Cheese sandwich, Cheddar cheese, on whole wheat bread, with butter (Includes whole grain bread; with margarine; multigrain bread; other cheese such as Swiss, mozzarella, provolone)</t>
        </is>
      </c>
      <c r="C419" s="1" t="n">
        <v>4</v>
      </c>
      <c r="D419" s="1" t="inlineStr">
        <is>
          <t>FNDDS recipe with replaced or modified SR codes</t>
        </is>
      </c>
      <c r="E419" s="1" t="inlineStr">
        <is>
          <t>Base</t>
        </is>
      </c>
      <c r="F419" s="1" t="n">
        <v>0.679493</v>
      </c>
    </row>
    <row r="420" ht="15.75" customHeight="1" s="201">
      <c r="A420" s="1" t="n">
        <v>14640100</v>
      </c>
      <c r="B420" s="1" t="inlineStr">
        <is>
          <t>Grilled cheese sandwich, NFS</t>
        </is>
      </c>
      <c r="C420" s="1" t="n">
        <v>4</v>
      </c>
      <c r="D420" s="1" t="inlineStr">
        <is>
          <t>FNDDS recipe with replaced or modified SR codes</t>
        </is>
      </c>
      <c r="E420" s="1" t="inlineStr">
        <is>
          <t>Base</t>
        </is>
      </c>
      <c r="F420" s="1" t="n">
        <v>0.617326</v>
      </c>
    </row>
    <row r="421" ht="15.75" customHeight="1" s="201">
      <c r="A421" s="1" t="n">
        <v>14640105</v>
      </c>
      <c r="B421" s="1" t="inlineStr">
        <is>
          <t>Grilled cheese sandwich, American cheese, on white bread (Includes other bread such as potato, Italian, and rye; bread, NFS)</t>
        </is>
      </c>
      <c r="C421" s="1" t="n">
        <v>4</v>
      </c>
      <c r="D421" s="1" t="inlineStr">
        <is>
          <t>FNDDS recipe with replaced or modified SR codes</t>
        </is>
      </c>
      <c r="E421" s="1" t="inlineStr">
        <is>
          <t>Base</t>
        </is>
      </c>
      <c r="F421" s="1" t="n">
        <v>0.617326</v>
      </c>
    </row>
    <row r="422" ht="15.75" customHeight="1" s="201">
      <c r="A422" s="1" t="n">
        <v>14640110</v>
      </c>
      <c r="B422" s="1" t="inlineStr">
        <is>
          <t>Grilled cheese sandwich, American cheese, on wheat bread</t>
        </is>
      </c>
      <c r="C422" s="1" t="n">
        <v>4</v>
      </c>
      <c r="D422" s="1" t="inlineStr">
        <is>
          <t>FNDDS recipe with replaced or modified SR codes</t>
        </is>
      </c>
      <c r="E422" s="1" t="inlineStr">
        <is>
          <t>Base</t>
        </is>
      </c>
      <c r="F422" s="1" t="n">
        <v>0.624613</v>
      </c>
    </row>
    <row r="423" ht="15.75" customHeight="1" s="201">
      <c r="A423" s="1" t="n">
        <v>14640115</v>
      </c>
      <c r="B423" s="1" t="inlineStr">
        <is>
          <t>Grilled cheese sandwich, American cheese, on whole wheat bread (Includes whole grain bread; multigrain bread)</t>
        </is>
      </c>
      <c r="C423" s="1" t="n">
        <v>4</v>
      </c>
      <c r="D423" s="1" t="inlineStr">
        <is>
          <t>FNDDS recipe with replaced or modified SR codes</t>
        </is>
      </c>
      <c r="E423" s="1" t="inlineStr">
        <is>
          <t>Base</t>
        </is>
      </c>
      <c r="F423" s="1" t="n">
        <v>0.624613</v>
      </c>
    </row>
    <row r="424" ht="15.75" customHeight="1" s="201">
      <c r="A424" s="1" t="n">
        <v>14640125</v>
      </c>
      <c r="B424" s="1" t="inlineStr">
        <is>
          <t>Grilled cheese sandwich, Cheddar cheese, on white bread (Includes other bread such as potato, Italian, and rye; bread, NFS; other cheese such as Swiss, mozzarella, provolone)</t>
        </is>
      </c>
      <c r="C424" s="1" t="n">
        <v>4</v>
      </c>
      <c r="D424" s="1" t="inlineStr">
        <is>
          <t>FNDDS recipe with replaced or modified SR codes</t>
        </is>
      </c>
      <c r="E424" s="1" t="inlineStr">
        <is>
          <t>Base</t>
        </is>
      </c>
      <c r="F424" s="1" t="n">
        <v>0.6722050000000001</v>
      </c>
    </row>
    <row r="425" ht="15.75" customHeight="1" s="201">
      <c r="A425" s="1" t="n">
        <v>14640130</v>
      </c>
      <c r="B425" s="1" t="inlineStr">
        <is>
          <t>Grilled cheese sandwich, Cheddar cheese, on wheat bread (Includes other cheese such as Swiss, mozzarella, provolone)</t>
        </is>
      </c>
      <c r="C425" s="1" t="n">
        <v>4</v>
      </c>
      <c r="D425" s="1" t="inlineStr">
        <is>
          <t>FNDDS recipe with replaced or modified SR codes</t>
        </is>
      </c>
      <c r="E425" s="1" t="inlineStr">
        <is>
          <t>Base</t>
        </is>
      </c>
      <c r="F425" s="1" t="n">
        <v>0.679493</v>
      </c>
    </row>
    <row r="426" ht="15.75" customHeight="1" s="201">
      <c r="A426" s="1" t="n">
        <v>14640135</v>
      </c>
      <c r="B426" s="1" t="inlineStr">
        <is>
          <t>Grilled cheese sandwich, Cheddar cheese, on whole wheat bread (Includes whole grain bread; multigrain bread; other cheese such as Swiss, mozzarella, provolone)</t>
        </is>
      </c>
      <c r="C426" s="1" t="n">
        <v>4</v>
      </c>
      <c r="D426" s="1" t="inlineStr">
        <is>
          <t>FNDDS recipe with replaced or modified SR codes</t>
        </is>
      </c>
      <c r="E426" s="1" t="inlineStr">
        <is>
          <t>Base</t>
        </is>
      </c>
      <c r="F426" s="1" t="n">
        <v>0.679493</v>
      </c>
    </row>
    <row r="427" ht="15.75" customHeight="1" s="201">
      <c r="A427" s="1" t="n">
        <v>14640165</v>
      </c>
      <c r="B427" s="1" t="inlineStr">
        <is>
          <t>Grilled cheese sandwich, reduced fat American cheese, on whole wheat bread (Includes whole grain bread; low fat, part skim, or cheese made with 2% milk; multigrain bread)</t>
        </is>
      </c>
      <c r="C427" s="1" t="n">
        <v>4</v>
      </c>
      <c r="D427" s="1" t="inlineStr">
        <is>
          <t>FNDDS recipe with replaced or modified SR codes</t>
        </is>
      </c>
      <c r="E427" s="1" t="inlineStr">
        <is>
          <t>Base</t>
        </is>
      </c>
      <c r="F427" s="1" t="n">
        <v>0.668575</v>
      </c>
    </row>
    <row r="428" ht="15.75" customHeight="1" s="201">
      <c r="A428" s="1" t="n">
        <v>14640185</v>
      </c>
      <c r="B428" s="1" t="inlineStr">
        <is>
          <t>Grilled cheese sandwich, reduced fat Cheddar cheese, on white bread (Includes other bread such as potato, Italian, and rye; bread, NFS; low fat, part skim, or cheese made with 2% milk)</t>
        </is>
      </c>
      <c r="C428" s="1" t="n">
        <v>4</v>
      </c>
      <c r="D428" s="1" t="inlineStr">
        <is>
          <t>FNDDS recipe with replaced or modified SR codes</t>
        </is>
      </c>
      <c r="E428" s="1" t="inlineStr">
        <is>
          <t>Base</t>
        </is>
      </c>
      <c r="F428" s="1" t="n">
        <v>0.689099</v>
      </c>
    </row>
    <row r="429" ht="15.75" customHeight="1" s="201">
      <c r="A429" s="1" t="n">
        <v>14640190</v>
      </c>
      <c r="B429" s="1" t="inlineStr">
        <is>
          <t>Grilled cheese sandwich, reduced fat Cheddar cheese, on wheat bread (Includes low fat, part skim, or cheese made with 2% milk)</t>
        </is>
      </c>
      <c r="C429" s="1" t="n">
        <v>4</v>
      </c>
      <c r="D429" s="1" t="inlineStr">
        <is>
          <t>FNDDS recipe with replaced or modified SR codes</t>
        </is>
      </c>
      <c r="E429" s="1" t="inlineStr">
        <is>
          <t>Base</t>
        </is>
      </c>
      <c r="F429" s="1" t="n">
        <v>0.6963859999999999</v>
      </c>
    </row>
    <row r="430" ht="15.75" customHeight="1" s="201">
      <c r="A430" s="1" t="n">
        <v>14640195</v>
      </c>
      <c r="B430" s="1" t="inlineStr">
        <is>
          <t>Grilled cheese sandwich, reduced fat Cheddar cheese, on whole wheat bread (Includes whole grain bread; low fat, part skim, or cheese made with 2% milk; multigrain bread)</t>
        </is>
      </c>
      <c r="C430" s="1" t="n">
        <v>4</v>
      </c>
      <c r="D430" s="1" t="inlineStr">
        <is>
          <t>FNDDS recipe with replaced or modified SR codes</t>
        </is>
      </c>
      <c r="E430" s="1" t="inlineStr">
        <is>
          <t>Base</t>
        </is>
      </c>
      <c r="F430" s="1" t="n">
        <v>0.6963859999999999</v>
      </c>
    </row>
    <row r="431" ht="15.75" customHeight="1" s="201">
      <c r="A431" s="1" t="n">
        <v>14650100</v>
      </c>
      <c r="B431" s="1" t="inlineStr">
        <is>
          <t>Cheese sauce</t>
        </is>
      </c>
      <c r="C431" s="1" t="n">
        <v>1</v>
      </c>
      <c r="D431" s="1" t="inlineStr">
        <is>
          <t>Links to FNDDS</t>
        </is>
      </c>
      <c r="E431" s="1" t="inlineStr">
        <is>
          <t>Base</t>
        </is>
      </c>
      <c r="F431" s="1" t="n">
        <v>0.388832</v>
      </c>
    </row>
    <row r="432" ht="15.75" customHeight="1" s="201">
      <c r="A432" s="1" t="n">
        <v>14650160</v>
      </c>
      <c r="B432" s="1" t="inlineStr">
        <is>
          <t>Alfredo sauce</t>
        </is>
      </c>
      <c r="C432" s="1" t="n">
        <v>1</v>
      </c>
      <c r="D432" s="1" t="inlineStr">
        <is>
          <t>Links to FNDDS</t>
        </is>
      </c>
      <c r="E432" s="1" t="inlineStr">
        <is>
          <t>Base</t>
        </is>
      </c>
      <c r="F432" s="1" t="n">
        <v>0.50362</v>
      </c>
    </row>
    <row r="433" ht="15.75" customHeight="1" s="201">
      <c r="A433" s="1" t="n">
        <v>14660200</v>
      </c>
      <c r="B433" s="1" t="inlineStr">
        <is>
          <t>Mozzarella sticks, breaded, baked, or fried (Includes fried cheese served in a restaurant; mozzarella en carossa; Banquet; fried mozzarella; any cheese)</t>
        </is>
      </c>
      <c r="C433" s="1" t="n">
        <v>1</v>
      </c>
      <c r="D433" s="1" t="inlineStr">
        <is>
          <t>Links to FNDDS</t>
        </is>
      </c>
      <c r="E433" s="1" t="inlineStr">
        <is>
          <t>Base</t>
        </is>
      </c>
      <c r="F433" s="1" t="n">
        <v>0.91508</v>
      </c>
    </row>
    <row r="434" ht="15.75" customHeight="1" s="201">
      <c r="A434" s="1" t="n">
        <v>14710100</v>
      </c>
      <c r="B434" s="1" t="inlineStr">
        <is>
          <t>Cheddar cheese soup, home recipe, canned or ready-to-serve</t>
        </is>
      </c>
      <c r="C434" s="1" t="n">
        <v>1</v>
      </c>
      <c r="D434" s="1" t="inlineStr">
        <is>
          <t>Links to FNDDS</t>
        </is>
      </c>
      <c r="E434" s="1" t="inlineStr">
        <is>
          <t>Base</t>
        </is>
      </c>
      <c r="F434" s="1" t="n">
        <v>0.967349</v>
      </c>
    </row>
    <row r="435" ht="15.75" customHeight="1" s="201">
      <c r="A435" s="1" t="n">
        <v>20000000</v>
      </c>
      <c r="B435" s="1" t="inlineStr">
        <is>
          <t>Meat, NFS</t>
        </is>
      </c>
      <c r="C435" s="1" t="n">
        <v>2</v>
      </c>
      <c r="D435" s="1" t="inlineStr">
        <is>
          <t>Links to altEC</t>
        </is>
      </c>
      <c r="E435" s="1" t="inlineStr">
        <is>
          <t>Base</t>
        </is>
      </c>
      <c r="F435" s="1" t="n">
        <v>1.921412</v>
      </c>
    </row>
    <row r="436" ht="15.75" customHeight="1" s="201">
      <c r="A436" s="1" t="n">
        <v>21000100</v>
      </c>
      <c r="B436" s="1" t="inlineStr">
        <is>
          <t>Beef, NS as to cut, cooked, NS as to fat eaten</t>
        </is>
      </c>
      <c r="C436" s="1" t="n">
        <v>2</v>
      </c>
      <c r="D436" s="1" t="inlineStr">
        <is>
          <t>Links to altEC</t>
        </is>
      </c>
      <c r="E436" s="1" t="inlineStr">
        <is>
          <t>Base</t>
        </is>
      </c>
      <c r="F436" s="1" t="n">
        <v>1.851547</v>
      </c>
    </row>
    <row r="437" ht="15.75" customHeight="1" s="201">
      <c r="A437" s="1" t="n">
        <v>21000110</v>
      </c>
      <c r="B437" s="1" t="inlineStr">
        <is>
          <t>Beef, NS as to cut, cooked, lean and fat eaten</t>
        </is>
      </c>
      <c r="C437" s="1" t="n">
        <v>2</v>
      </c>
      <c r="D437" s="1" t="inlineStr">
        <is>
          <t>Links to altEC</t>
        </is>
      </c>
      <c r="E437" s="1" t="inlineStr">
        <is>
          <t>Base</t>
        </is>
      </c>
      <c r="F437" s="1" t="n">
        <v>1.851052</v>
      </c>
    </row>
    <row r="438" ht="15.75" customHeight="1" s="201">
      <c r="A438" s="1" t="n">
        <v>21000120</v>
      </c>
      <c r="B438" s="1" t="inlineStr">
        <is>
          <t>Beef, NS as to cut, cooked, lean only eaten</t>
        </is>
      </c>
      <c r="C438" s="1" t="n">
        <v>2</v>
      </c>
      <c r="D438" s="1" t="inlineStr">
        <is>
          <t>Links to altEC</t>
        </is>
      </c>
      <c r="E438" s="1" t="inlineStr">
        <is>
          <t>Base</t>
        </is>
      </c>
      <c r="F438" s="1" t="n">
        <v>1.851547</v>
      </c>
    </row>
    <row r="439" ht="15.75" customHeight="1" s="201">
      <c r="A439" s="1" t="n">
        <v>21001000</v>
      </c>
      <c r="B439" s="1" t="inlineStr">
        <is>
          <t>Steak, NS as to type of meat, cooked, NS as to fat eaten</t>
        </is>
      </c>
      <c r="C439" s="1" t="n">
        <v>2</v>
      </c>
      <c r="D439" s="1" t="inlineStr">
        <is>
          <t>Links to altEC</t>
        </is>
      </c>
      <c r="E439" s="1" t="inlineStr">
        <is>
          <t>Base</t>
        </is>
      </c>
      <c r="F439" s="1" t="n">
        <v>2.131723</v>
      </c>
    </row>
    <row r="440" ht="15.75" customHeight="1" s="201">
      <c r="A440" s="1" t="n">
        <v>21003000</v>
      </c>
      <c r="B440" s="1" t="inlineStr">
        <is>
          <t>Beef, NS as to cut, fried, NS to fat eaten</t>
        </is>
      </c>
      <c r="C440" s="1" t="n">
        <v>2</v>
      </c>
      <c r="D440" s="1" t="inlineStr">
        <is>
          <t>Links to altEC</t>
        </is>
      </c>
      <c r="E440" s="1" t="inlineStr">
        <is>
          <t>Base</t>
        </is>
      </c>
      <c r="F440" s="1" t="n">
        <v>1.851547</v>
      </c>
    </row>
    <row r="441" ht="15.75" customHeight="1" s="201">
      <c r="A441" s="1" t="n">
        <v>21101000</v>
      </c>
      <c r="B441" s="1" t="inlineStr">
        <is>
          <t>Beef steak, NS as to cooking method, NS as to fat eaten</t>
        </is>
      </c>
      <c r="C441" s="1" t="n">
        <v>2</v>
      </c>
      <c r="D441" s="1" t="inlineStr">
        <is>
          <t>Links to altEC</t>
        </is>
      </c>
      <c r="E441" s="1" t="inlineStr">
        <is>
          <t>Base</t>
        </is>
      </c>
      <c r="F441" s="1" t="n">
        <v>2.131758</v>
      </c>
    </row>
    <row r="442" ht="15.75" customHeight="1" s="201">
      <c r="A442" s="1" t="n">
        <v>21101010</v>
      </c>
      <c r="B442" s="1" t="inlineStr">
        <is>
          <t>Beef steak, NS as to cooking method, lean and fat eaten</t>
        </is>
      </c>
      <c r="C442" s="1" t="n">
        <v>2</v>
      </c>
      <c r="D442" s="1" t="inlineStr">
        <is>
          <t>Links to altEC</t>
        </is>
      </c>
      <c r="E442" s="1" t="inlineStr">
        <is>
          <t>Base</t>
        </is>
      </c>
      <c r="F442" s="1" t="n">
        <v>2.131758</v>
      </c>
    </row>
    <row r="443" ht="15.75" customHeight="1" s="201">
      <c r="A443" s="1" t="n">
        <v>21101020</v>
      </c>
      <c r="B443" s="1" t="inlineStr">
        <is>
          <t>Beef steak, NS as to cooking method, lean only eaten</t>
        </is>
      </c>
      <c r="C443" s="1" t="n">
        <v>2</v>
      </c>
      <c r="D443" s="1" t="inlineStr">
        <is>
          <t>Links to altEC</t>
        </is>
      </c>
      <c r="E443" s="1" t="inlineStr">
        <is>
          <t>Base</t>
        </is>
      </c>
      <c r="F443" s="1" t="n">
        <v>2.133542</v>
      </c>
    </row>
    <row r="444" ht="15.75" customHeight="1" s="201">
      <c r="A444" s="1" t="n">
        <v>21101110</v>
      </c>
      <c r="B444" s="1" t="inlineStr">
        <is>
          <t>Beef steak, broiled or baked, NS as to fat eaten</t>
        </is>
      </c>
      <c r="C444" s="1" t="n">
        <v>2</v>
      </c>
      <c r="D444" s="1" t="inlineStr">
        <is>
          <t>Links to altEC</t>
        </is>
      </c>
      <c r="E444" s="1" t="inlineStr">
        <is>
          <t>Base</t>
        </is>
      </c>
      <c r="F444" s="1" t="n">
        <v>2.131758</v>
      </c>
    </row>
    <row r="445" ht="15.75" customHeight="1" s="201">
      <c r="A445" s="1" t="n">
        <v>21101120</v>
      </c>
      <c r="B445" s="1" t="inlineStr">
        <is>
          <t>Beef steak, broiled or baked, lean and fat eaten</t>
        </is>
      </c>
      <c r="C445" s="1" t="n">
        <v>2</v>
      </c>
      <c r="D445" s="1" t="inlineStr">
        <is>
          <t>Links to altEC</t>
        </is>
      </c>
      <c r="E445" s="1" t="inlineStr">
        <is>
          <t>Base</t>
        </is>
      </c>
      <c r="F445" s="1" t="n">
        <v>2.131758</v>
      </c>
    </row>
    <row r="446" ht="15.75" customHeight="1" s="201">
      <c r="A446" s="1" t="n">
        <v>21101130</v>
      </c>
      <c r="B446" s="1" t="inlineStr">
        <is>
          <t>Beef steak, broiled or baked, lean only eaten</t>
        </is>
      </c>
      <c r="C446" s="1" t="n">
        <v>2</v>
      </c>
      <c r="D446" s="1" t="inlineStr">
        <is>
          <t>Links to altEC</t>
        </is>
      </c>
      <c r="E446" s="1" t="inlineStr">
        <is>
          <t>Base</t>
        </is>
      </c>
      <c r="F446" s="1" t="n">
        <v>2.133542</v>
      </c>
    </row>
    <row r="447" ht="15.75" customHeight="1" s="201">
      <c r="A447" s="1" t="n">
        <v>21102110</v>
      </c>
      <c r="B447" s="1" t="inlineStr">
        <is>
          <t>Beef steak, fried, NS as to fat eaten</t>
        </is>
      </c>
      <c r="C447" s="1" t="n">
        <v>2</v>
      </c>
      <c r="D447" s="1" t="inlineStr">
        <is>
          <t>Links to altEC</t>
        </is>
      </c>
      <c r="E447" s="1" t="inlineStr">
        <is>
          <t>Base</t>
        </is>
      </c>
      <c r="F447" s="1" t="n">
        <v>2.131758</v>
      </c>
    </row>
    <row r="448" ht="15.75" customHeight="1" s="201">
      <c r="A448" s="1" t="n">
        <v>21102120</v>
      </c>
      <c r="B448" s="1" t="inlineStr">
        <is>
          <t>Beef steak, fried, lean and fat eaten</t>
        </is>
      </c>
      <c r="C448" s="1" t="n">
        <v>2</v>
      </c>
      <c r="D448" s="1" t="inlineStr">
        <is>
          <t>Links to altEC</t>
        </is>
      </c>
      <c r="E448" s="1" t="inlineStr">
        <is>
          <t>Base</t>
        </is>
      </c>
      <c r="F448" s="1" t="n">
        <v>2.131758</v>
      </c>
    </row>
    <row r="449" ht="15.75" customHeight="1" s="201">
      <c r="A449" s="1" t="n">
        <v>21102130</v>
      </c>
      <c r="B449" s="1" t="inlineStr">
        <is>
          <t>Beef steak, fried, lean only eaten</t>
        </is>
      </c>
      <c r="C449" s="1" t="n">
        <v>2</v>
      </c>
      <c r="D449" s="1" t="inlineStr">
        <is>
          <t>Links to altEC</t>
        </is>
      </c>
      <c r="E449" s="1" t="inlineStr">
        <is>
          <t>Base</t>
        </is>
      </c>
      <c r="F449" s="1" t="n">
        <v>2.133542</v>
      </c>
    </row>
    <row r="450" ht="15.75" customHeight="1" s="201">
      <c r="A450" s="1" t="n">
        <v>21103120</v>
      </c>
      <c r="B450" s="1" t="inlineStr">
        <is>
          <t>Beef steak, breaded or floured, baked or fried, lean and fat eaten</t>
        </is>
      </c>
      <c r="C450" s="1" t="n">
        <v>4</v>
      </c>
      <c r="D450" s="1" t="inlineStr">
        <is>
          <t>FNDDS recipe with replaced or modified SR codes</t>
        </is>
      </c>
      <c r="E450" s="1" t="inlineStr">
        <is>
          <t>Base</t>
        </is>
      </c>
      <c r="F450" s="1" t="n">
        <v>1.373915</v>
      </c>
    </row>
    <row r="451" ht="15.75" customHeight="1" s="201">
      <c r="A451" s="1" t="n">
        <v>21103130</v>
      </c>
      <c r="B451" s="1" t="inlineStr">
        <is>
          <t>Beef steak, breaded or floured, baked or fried, lean only eaten</t>
        </is>
      </c>
      <c r="C451" s="1" t="n">
        <v>4</v>
      </c>
      <c r="D451" s="1" t="inlineStr">
        <is>
          <t>FNDDS recipe with replaced or modified SR codes</t>
        </is>
      </c>
      <c r="E451" s="1" t="inlineStr">
        <is>
          <t>Base</t>
        </is>
      </c>
      <c r="F451" s="1" t="n">
        <v>1.393918</v>
      </c>
    </row>
    <row r="452" ht="15.75" customHeight="1" s="201">
      <c r="A452" s="1" t="n">
        <v>21104110</v>
      </c>
      <c r="B452" s="1" t="inlineStr">
        <is>
          <t>Beef steak, battered, fried, NS as to fat eaten (Includes country fried steak; chicken fried steak)</t>
        </is>
      </c>
      <c r="C452" s="1" t="n">
        <v>4</v>
      </c>
      <c r="D452" s="1" t="inlineStr">
        <is>
          <t>FNDDS recipe with replaced or modified SR codes</t>
        </is>
      </c>
      <c r="E452" s="1" t="inlineStr">
        <is>
          <t>Base</t>
        </is>
      </c>
      <c r="F452" s="1" t="n">
        <v>1.124482</v>
      </c>
    </row>
    <row r="453" ht="15.75" customHeight="1" s="201">
      <c r="A453" s="1" t="n">
        <v>21104130</v>
      </c>
      <c r="B453" s="1" t="inlineStr">
        <is>
          <t>Beef steak, battered, fried, lean only eaten (Includes country fried steak; chicken fried steak)</t>
        </is>
      </c>
      <c r="C453" s="1" t="n">
        <v>4</v>
      </c>
      <c r="D453" s="1" t="inlineStr">
        <is>
          <t>FNDDS recipe with replaced or modified SR codes</t>
        </is>
      </c>
      <c r="E453" s="1" t="inlineStr">
        <is>
          <t>Base</t>
        </is>
      </c>
      <c r="F453" s="1" t="n">
        <v>1.070152</v>
      </c>
    </row>
    <row r="454" ht="15.75" customHeight="1" s="201">
      <c r="A454" s="1" t="n">
        <v>21105110</v>
      </c>
      <c r="B454" s="1" t="inlineStr">
        <is>
          <t>Beef steak, braised, NS as to fat eaten</t>
        </is>
      </c>
      <c r="C454" s="1" t="n">
        <v>2</v>
      </c>
      <c r="D454" s="1" t="inlineStr">
        <is>
          <t>Links to altEC</t>
        </is>
      </c>
      <c r="E454" s="1" t="inlineStr">
        <is>
          <t>Base</t>
        </is>
      </c>
      <c r="F454" s="1" t="n">
        <v>2.131758</v>
      </c>
    </row>
    <row r="455" ht="15.75" customHeight="1" s="201">
      <c r="A455" s="1" t="n">
        <v>21105130</v>
      </c>
      <c r="B455" s="1" t="inlineStr">
        <is>
          <t>Beef steak, braised, lean only eaten</t>
        </is>
      </c>
      <c r="C455" s="1" t="n">
        <v>2</v>
      </c>
      <c r="D455" s="1" t="inlineStr">
        <is>
          <t>Links to altEC</t>
        </is>
      </c>
      <c r="E455" s="1" t="inlineStr">
        <is>
          <t>Base</t>
        </is>
      </c>
      <c r="F455" s="1" t="n">
        <v>2.133542</v>
      </c>
    </row>
    <row r="456" ht="15.75" customHeight="1" s="201">
      <c r="A456" s="1" t="n">
        <v>21304110</v>
      </c>
      <c r="B456" s="1" t="inlineStr">
        <is>
          <t>Beef, shortribs, cooked, lean and fat eaten (Includes beef rib tips)</t>
        </is>
      </c>
      <c r="C456" s="1" t="n">
        <v>2</v>
      </c>
      <c r="D456" s="1" t="inlineStr">
        <is>
          <t>Links to altEC</t>
        </is>
      </c>
      <c r="E456" s="1" t="inlineStr">
        <is>
          <t>Base</t>
        </is>
      </c>
      <c r="F456" s="1" t="n">
        <v>3.955762</v>
      </c>
    </row>
    <row r="457" ht="15.75" customHeight="1" s="201">
      <c r="A457" s="1" t="n">
        <v>21304120</v>
      </c>
      <c r="B457" s="1" t="inlineStr">
        <is>
          <t>Beef, shortribs, cooked, lean only eaten (Includes beef rib tips)</t>
        </is>
      </c>
      <c r="C457" s="1" t="n">
        <v>2</v>
      </c>
      <c r="D457" s="1" t="inlineStr">
        <is>
          <t>Links to altEC</t>
        </is>
      </c>
      <c r="E457" s="1" t="inlineStr">
        <is>
          <t>Base</t>
        </is>
      </c>
      <c r="F457" s="1" t="n">
        <v>4.15355</v>
      </c>
    </row>
    <row r="458" ht="15.75" customHeight="1" s="201">
      <c r="A458" s="1" t="n">
        <v>21304210</v>
      </c>
      <c r="B458" s="1" t="inlineStr">
        <is>
          <t>Beef, shortribs, barbecued, with sauce, lean and fat eaten (Includes beef rib tips)</t>
        </is>
      </c>
      <c r="C458" s="1" t="n">
        <v>4</v>
      </c>
      <c r="D458" s="1" t="inlineStr">
        <is>
          <t>FNDDS recipe with replaced or modified SR codes</t>
        </is>
      </c>
      <c r="E458" s="1" t="inlineStr">
        <is>
          <t>Base</t>
        </is>
      </c>
      <c r="F458" s="1" t="n">
        <v>1.511501</v>
      </c>
    </row>
    <row r="459" ht="15.75" customHeight="1" s="201">
      <c r="A459" s="1" t="n">
        <v>21304220</v>
      </c>
      <c r="B459" s="1" t="inlineStr">
        <is>
          <t>Beef, shortribs, barbecued, with sauce, lean only eaten (Includes beef rib tips)</t>
        </is>
      </c>
      <c r="C459" s="1" t="n">
        <v>4</v>
      </c>
      <c r="D459" s="1" t="inlineStr">
        <is>
          <t>FNDDS recipe with replaced or modified SR codes</t>
        </is>
      </c>
      <c r="E459" s="1" t="inlineStr">
        <is>
          <t>Base</t>
        </is>
      </c>
      <c r="F459" s="1" t="n">
        <v>1.490678</v>
      </c>
    </row>
    <row r="460" ht="15.75" customHeight="1" s="201">
      <c r="A460" s="1" t="n">
        <v>21305000</v>
      </c>
      <c r="B460" s="1" t="inlineStr">
        <is>
          <t>Beef, cow head, cooked (Includes barbecued, no sauce added; "barbacoa de cabeza carne derez sin salsa")</t>
        </is>
      </c>
      <c r="C460" s="1" t="n">
        <v>2</v>
      </c>
      <c r="D460" s="1" t="inlineStr">
        <is>
          <t>Links to altEC</t>
        </is>
      </c>
      <c r="E460" s="1" t="inlineStr">
        <is>
          <t>Base</t>
        </is>
      </c>
      <c r="F460" s="1" t="n">
        <v>0.88186</v>
      </c>
    </row>
    <row r="461" ht="15.75" customHeight="1" s="201">
      <c r="A461" s="1" t="n">
        <v>21401000</v>
      </c>
      <c r="B461" s="1" t="inlineStr">
        <is>
          <t>Beef, roast, roasted, NS as to fat eaten (Includes prime ribs; rib roast)</t>
        </is>
      </c>
      <c r="C461" s="1" t="n">
        <v>2</v>
      </c>
      <c r="D461" s="1" t="inlineStr">
        <is>
          <t>Links to altEC</t>
        </is>
      </c>
      <c r="E461" s="1" t="inlineStr">
        <is>
          <t>Base</t>
        </is>
      </c>
      <c r="F461" s="1" t="n">
        <v>1.612947</v>
      </c>
    </row>
    <row r="462" ht="15.75" customHeight="1" s="201">
      <c r="A462" s="1" t="n">
        <v>21401110</v>
      </c>
      <c r="B462" s="1" t="inlineStr">
        <is>
          <t>Beef, roast, roasted, lean and fat eaten (Includes prime ribs; rib roast)</t>
        </is>
      </c>
      <c r="C462" s="1" t="n">
        <v>2</v>
      </c>
      <c r="D462" s="1" t="inlineStr">
        <is>
          <t>Links to altEC</t>
        </is>
      </c>
      <c r="E462" s="1" t="inlineStr">
        <is>
          <t>Base</t>
        </is>
      </c>
      <c r="F462" s="1" t="n">
        <v>1.507276</v>
      </c>
    </row>
    <row r="463" ht="15.75" customHeight="1" s="201">
      <c r="A463" s="1" t="n">
        <v>21401120</v>
      </c>
      <c r="B463" s="1" t="inlineStr">
        <is>
          <t>Beef, roast, roasted, lean only eaten (Includes prime ribs; rib roast)</t>
        </is>
      </c>
      <c r="C463" s="1" t="n">
        <v>2</v>
      </c>
      <c r="D463" s="1" t="inlineStr">
        <is>
          <t>Links to altEC</t>
        </is>
      </c>
      <c r="E463" s="1" t="inlineStr">
        <is>
          <t>Base</t>
        </is>
      </c>
      <c r="F463" s="1" t="n">
        <v>1.612947</v>
      </c>
    </row>
    <row r="464" ht="15.75" customHeight="1" s="201">
      <c r="A464" s="1" t="n">
        <v>21407000</v>
      </c>
      <c r="B464" s="1" t="inlineStr">
        <is>
          <t>Beef, pot roast, braised or boiled, NS as to fat eaten (Includes chuck roast; arm roast; blade roast; shoulder roast)</t>
        </is>
      </c>
      <c r="C464" s="1" t="n">
        <v>2</v>
      </c>
      <c r="D464" s="1" t="inlineStr">
        <is>
          <t>Links to altEC</t>
        </is>
      </c>
      <c r="E464" s="1" t="inlineStr">
        <is>
          <t>Base</t>
        </is>
      </c>
      <c r="F464" s="1" t="n">
        <v>1.637792</v>
      </c>
    </row>
    <row r="465" ht="15.75" customHeight="1" s="201">
      <c r="A465" s="1" t="n">
        <v>21407110</v>
      </c>
      <c r="B465" s="1" t="inlineStr">
        <is>
          <t>Beef, pot roast, braised or boiled, lean and fat eaten (Includes chuck roast; arm roast; blade roast; shoulder roast)</t>
        </is>
      </c>
      <c r="C465" s="1" t="n">
        <v>2</v>
      </c>
      <c r="D465" s="1" t="inlineStr">
        <is>
          <t>Links to altEC</t>
        </is>
      </c>
      <c r="E465" s="1" t="inlineStr">
        <is>
          <t>Base</t>
        </is>
      </c>
      <c r="F465" s="1" t="n">
        <v>1.637792</v>
      </c>
    </row>
    <row r="466" ht="15.75" customHeight="1" s="201">
      <c r="A466" s="1" t="n">
        <v>21407120</v>
      </c>
      <c r="B466" s="1" t="inlineStr">
        <is>
          <t>Beef, pot roast, braised or boiled, lean only eaten (Includes chuck roast; arm roast; blade roast; shoulder roast)</t>
        </is>
      </c>
      <c r="C466" s="1" t="n">
        <v>2</v>
      </c>
      <c r="D466" s="1" t="inlineStr">
        <is>
          <t>Links to altEC</t>
        </is>
      </c>
      <c r="E466" s="1" t="inlineStr">
        <is>
          <t>Base</t>
        </is>
      </c>
      <c r="F466" s="1" t="n">
        <v>1.507442</v>
      </c>
    </row>
    <row r="467" ht="15.75" customHeight="1" s="201">
      <c r="A467" s="1" t="n">
        <v>21410000</v>
      </c>
      <c r="B467" s="1" t="inlineStr">
        <is>
          <t>Beef, stew meat, cooked, NS as to fat eaten</t>
        </is>
      </c>
      <c r="C467" s="1" t="n">
        <v>2</v>
      </c>
      <c r="D467" s="1" t="inlineStr">
        <is>
          <t>Links to altEC</t>
        </is>
      </c>
      <c r="E467" s="1" t="inlineStr">
        <is>
          <t>Base</t>
        </is>
      </c>
      <c r="F467" s="1" t="n">
        <v>1.580078</v>
      </c>
    </row>
    <row r="468" ht="15.75" customHeight="1" s="201">
      <c r="A468" s="1" t="n">
        <v>21410120</v>
      </c>
      <c r="B468" s="1" t="inlineStr">
        <is>
          <t>Beef, stew meat, cooked, lean only eaten</t>
        </is>
      </c>
      <c r="C468" s="1" t="n">
        <v>2</v>
      </c>
      <c r="D468" s="1" t="inlineStr">
        <is>
          <t>Links to altEC</t>
        </is>
      </c>
      <c r="E468" s="1" t="inlineStr">
        <is>
          <t>Base</t>
        </is>
      </c>
      <c r="F468" s="1" t="n">
        <v>1.602186</v>
      </c>
    </row>
    <row r="469" ht="15.75" customHeight="1" s="201">
      <c r="A469" s="1" t="n">
        <v>21416000</v>
      </c>
      <c r="B469" s="1" t="inlineStr">
        <is>
          <t>Corned beef, cooked, NS as to fat eaten</t>
        </is>
      </c>
      <c r="C469" s="1" t="n">
        <v>2</v>
      </c>
      <c r="D469" s="1" t="inlineStr">
        <is>
          <t>Links to altEC</t>
        </is>
      </c>
      <c r="E469" s="1" t="inlineStr">
        <is>
          <t>Base</t>
        </is>
      </c>
      <c r="F469" s="1" t="n">
        <v>1.455038</v>
      </c>
    </row>
    <row r="470" ht="15.75" customHeight="1" s="201">
      <c r="A470" s="1" t="n">
        <v>21416110</v>
      </c>
      <c r="B470" s="1" t="inlineStr">
        <is>
          <t>Corned beef, cooked, lean and fat eaten</t>
        </is>
      </c>
      <c r="C470" s="1" t="n">
        <v>2</v>
      </c>
      <c r="D470" s="1" t="inlineStr">
        <is>
          <t>Links to altEC</t>
        </is>
      </c>
      <c r="E470" s="1" t="inlineStr">
        <is>
          <t>Base</t>
        </is>
      </c>
      <c r="F470" s="1" t="n">
        <v>1.455038</v>
      </c>
    </row>
    <row r="471" ht="15.75" customHeight="1" s="201">
      <c r="A471" s="1" t="n">
        <v>21416120</v>
      </c>
      <c r="B471" s="1" t="inlineStr">
        <is>
          <t>Corned beef, cooked, lean only eaten</t>
        </is>
      </c>
      <c r="C471" s="1" t="n">
        <v>2</v>
      </c>
      <c r="D471" s="1" t="inlineStr">
        <is>
          <t>Links to altEC</t>
        </is>
      </c>
      <c r="E471" s="1" t="inlineStr">
        <is>
          <t>Base</t>
        </is>
      </c>
      <c r="F471" s="1" t="n">
        <v>1.498518</v>
      </c>
    </row>
    <row r="472" ht="15.75" customHeight="1" s="201">
      <c r="A472" s="1" t="n">
        <v>21416150</v>
      </c>
      <c r="B472" s="1" t="inlineStr">
        <is>
          <t>Corned beef, canned, ready-to-eat (Includes corned beef luncheon meat)</t>
        </is>
      </c>
      <c r="C472" s="1" t="n">
        <v>1</v>
      </c>
      <c r="D472" s="1" t="inlineStr">
        <is>
          <t>Links to FNDDS</t>
        </is>
      </c>
      <c r="E472" s="1" t="inlineStr">
        <is>
          <t>Base</t>
        </is>
      </c>
      <c r="F472" s="1" t="n">
        <v>1.261757</v>
      </c>
    </row>
    <row r="473" ht="15.75" customHeight="1" s="201">
      <c r="A473" s="1" t="n">
        <v>21417100</v>
      </c>
      <c r="B473" s="1" t="inlineStr">
        <is>
          <t>Beef brisket, cooked, NS as to fat eaten</t>
        </is>
      </c>
      <c r="C473" s="1" t="n">
        <v>2</v>
      </c>
      <c r="D473" s="1" t="inlineStr">
        <is>
          <t>Links to altEC</t>
        </is>
      </c>
      <c r="E473" s="1" t="inlineStr">
        <is>
          <t>Base</t>
        </is>
      </c>
      <c r="F473" s="1" t="n">
        <v>1.106967</v>
      </c>
    </row>
    <row r="474" ht="15.75" customHeight="1" s="201">
      <c r="A474" s="1" t="n">
        <v>21417110</v>
      </c>
      <c r="B474" s="1" t="inlineStr">
        <is>
          <t>Beef brisket, cooked, lean and fat eaten</t>
        </is>
      </c>
      <c r="C474" s="1" t="n">
        <v>2</v>
      </c>
      <c r="D474" s="1" t="inlineStr">
        <is>
          <t>Links to altEC</t>
        </is>
      </c>
      <c r="E474" s="1" t="inlineStr">
        <is>
          <t>Base</t>
        </is>
      </c>
      <c r="F474" s="1" t="n">
        <v>1.106967</v>
      </c>
    </row>
    <row r="475" ht="15.75" customHeight="1" s="201">
      <c r="A475" s="1" t="n">
        <v>21420100</v>
      </c>
      <c r="B475" s="1" t="inlineStr">
        <is>
          <t>Beef, sandwich steak, flaked, formed, thinly sliced (Includes Steak-umms)</t>
        </is>
      </c>
      <c r="C475" s="1" t="n">
        <v>1</v>
      </c>
      <c r="D475" s="1" t="inlineStr">
        <is>
          <t>Links to FNDDS</t>
        </is>
      </c>
      <c r="E475" s="1" t="inlineStr">
        <is>
          <t>Base</t>
        </is>
      </c>
      <c r="F475" s="1" t="n">
        <v>1.488157</v>
      </c>
    </row>
    <row r="476" ht="15.75" customHeight="1" s="201">
      <c r="A476" s="1" t="n">
        <v>21500100</v>
      </c>
      <c r="B476" s="1" t="inlineStr">
        <is>
          <t>Ground beef, cooked</t>
        </is>
      </c>
      <c r="C476" s="1" t="n">
        <v>2</v>
      </c>
      <c r="D476" s="1" t="inlineStr">
        <is>
          <t>Links to altEC</t>
        </is>
      </c>
      <c r="E476" s="1" t="inlineStr">
        <is>
          <t>Base</t>
        </is>
      </c>
      <c r="F476" s="1" t="n">
        <v>1.279787</v>
      </c>
    </row>
    <row r="477" ht="15.75" customHeight="1" s="201">
      <c r="A477" s="1" t="n">
        <v>21500310</v>
      </c>
      <c r="B477" s="1" t="inlineStr">
        <is>
          <t>Ground beef patty, cooked (Includes for hamburgers or cheeseburgers from all sources)</t>
        </is>
      </c>
      <c r="C477" s="1" t="n">
        <v>2</v>
      </c>
      <c r="D477" s="1" t="inlineStr">
        <is>
          <t>Links to altEC</t>
        </is>
      </c>
      <c r="E477" s="1" t="inlineStr">
        <is>
          <t>Base</t>
        </is>
      </c>
      <c r="F477" s="1" t="n">
        <v>1.279787</v>
      </c>
    </row>
    <row r="478" ht="15.75" customHeight="1" s="201">
      <c r="A478" s="1" t="n">
        <v>21601000</v>
      </c>
      <c r="B478" s="1" t="inlineStr">
        <is>
          <t>Beef, bacon, cooked</t>
        </is>
      </c>
      <c r="C478" s="1" t="n">
        <v>2</v>
      </c>
      <c r="D478" s="1" t="inlineStr">
        <is>
          <t>Links to altEC</t>
        </is>
      </c>
      <c r="E478" s="1" t="inlineStr">
        <is>
          <t>Base</t>
        </is>
      </c>
      <c r="F478" s="1" t="n">
        <v>1.921233</v>
      </c>
    </row>
    <row r="479" ht="15.75" customHeight="1" s="201">
      <c r="A479" s="1" t="n">
        <v>21601010</v>
      </c>
      <c r="B479" s="1" t="inlineStr">
        <is>
          <t>Beef, bacon, reduced sodium, cooked (Includes less or lower sodium)</t>
        </is>
      </c>
      <c r="C479" s="1" t="n">
        <v>2</v>
      </c>
      <c r="D479" s="1" t="inlineStr">
        <is>
          <t>Links to altEC</t>
        </is>
      </c>
      <c r="E479" s="1" t="inlineStr">
        <is>
          <t>Base</t>
        </is>
      </c>
      <c r="F479" s="1" t="n">
        <v>1.921233</v>
      </c>
    </row>
    <row r="480" ht="15.75" customHeight="1" s="201">
      <c r="A480" s="1" t="n">
        <v>21602100</v>
      </c>
      <c r="B480" s="1" t="inlineStr">
        <is>
          <t>Beef jerky (Includes Slim Jim; Big Jerk; Super Jerk; Giant Jerk)</t>
        </is>
      </c>
      <c r="C480" s="1" t="n">
        <v>1</v>
      </c>
      <c r="D480" s="1" t="inlineStr">
        <is>
          <t>Links to FNDDS</t>
        </is>
      </c>
      <c r="E480" s="1" t="inlineStr">
        <is>
          <t>Base</t>
        </is>
      </c>
      <c r="F480" s="1" t="n">
        <v>4.554454</v>
      </c>
    </row>
    <row r="481" ht="15.75" customHeight="1" s="201">
      <c r="A481" s="1" t="n">
        <v>22000100</v>
      </c>
      <c r="B481" s="1" t="inlineStr">
        <is>
          <t>Pork, NS as to cut, cooked, NS as to fat eaten</t>
        </is>
      </c>
      <c r="C481" s="1" t="n">
        <v>2</v>
      </c>
      <c r="D481" s="1" t="inlineStr">
        <is>
          <t>Links to altEC</t>
        </is>
      </c>
      <c r="E481" s="1" t="inlineStr">
        <is>
          <t>Base</t>
        </is>
      </c>
      <c r="F481" s="1" t="n">
        <v>1.019402</v>
      </c>
    </row>
    <row r="482" ht="15.75" customHeight="1" s="201">
      <c r="A482" s="1" t="n">
        <v>22000110</v>
      </c>
      <c r="B482" s="1" t="inlineStr">
        <is>
          <t>Pork, NS as to cut, cooked, lean and fat eaten</t>
        </is>
      </c>
      <c r="C482" s="1" t="n">
        <v>2</v>
      </c>
      <c r="D482" s="1" t="inlineStr">
        <is>
          <t>Links to altEC</t>
        </is>
      </c>
      <c r="E482" s="1" t="inlineStr">
        <is>
          <t>Base</t>
        </is>
      </c>
      <c r="F482" s="1" t="n">
        <v>1.019402</v>
      </c>
    </row>
    <row r="483" ht="15.75" customHeight="1" s="201">
      <c r="A483" s="1" t="n">
        <v>22000120</v>
      </c>
      <c r="B483" s="1" t="inlineStr">
        <is>
          <t>Pork, NS as to cut, cooked, lean only eaten</t>
        </is>
      </c>
      <c r="C483" s="1" t="n">
        <v>4</v>
      </c>
      <c r="D483" s="1" t="inlineStr">
        <is>
          <t>FNDDS recipe with replaced or modified SR codes</t>
        </is>
      </c>
      <c r="E483" s="1" t="inlineStr">
        <is>
          <t>Base</t>
        </is>
      </c>
      <c r="F483" s="1" t="n">
        <v>0.9090819999999999</v>
      </c>
    </row>
    <row r="484" ht="15.75" customHeight="1" s="201">
      <c r="A484" s="1" t="n">
        <v>22000200</v>
      </c>
      <c r="B484" s="1" t="inlineStr">
        <is>
          <t>Pork, NS as to cut, fried, NS as to fat eaten (Includes sauteed; stir fry)</t>
        </is>
      </c>
      <c r="C484" s="1" t="n">
        <v>2</v>
      </c>
      <c r="D484" s="1" t="inlineStr">
        <is>
          <t>Links to altEC</t>
        </is>
      </c>
      <c r="E484" s="1" t="inlineStr">
        <is>
          <t>Base</t>
        </is>
      </c>
      <c r="F484" s="1" t="n">
        <v>1.019402</v>
      </c>
    </row>
    <row r="485" ht="15.75" customHeight="1" s="201">
      <c r="A485" s="1" t="n">
        <v>22000220</v>
      </c>
      <c r="B485" s="1" t="inlineStr">
        <is>
          <t>Pork, NS as to cut, fried, lean only eaten (Includes sauteed; stir fry)</t>
        </is>
      </c>
      <c r="C485" s="1" t="n">
        <v>2</v>
      </c>
      <c r="D485" s="1" t="inlineStr">
        <is>
          <t>Links to altEC</t>
        </is>
      </c>
      <c r="E485" s="1" t="inlineStr">
        <is>
          <t>Base</t>
        </is>
      </c>
      <c r="F485" s="1" t="n">
        <v>1.020099</v>
      </c>
    </row>
    <row r="486" ht="15.75" customHeight="1" s="201">
      <c r="A486" s="1" t="n">
        <v>22002000</v>
      </c>
      <c r="B486" s="1" t="inlineStr">
        <is>
          <t>Pork, ground or patty, cooked</t>
        </is>
      </c>
      <c r="C486" s="1" t="n">
        <v>2</v>
      </c>
      <c r="D486" s="1" t="inlineStr">
        <is>
          <t>Links to altEC</t>
        </is>
      </c>
      <c r="E486" s="1" t="inlineStr">
        <is>
          <t>Base</t>
        </is>
      </c>
      <c r="F486" s="1" t="n">
        <v>1.000337</v>
      </c>
    </row>
    <row r="487" ht="15.75" customHeight="1" s="201">
      <c r="A487" s="1" t="n">
        <v>22002800</v>
      </c>
      <c r="B487" s="1" t="inlineStr">
        <is>
          <t>Pork jerky</t>
        </is>
      </c>
      <c r="C487" s="1" t="n">
        <v>1</v>
      </c>
      <c r="D487" s="1" t="inlineStr">
        <is>
          <t>Links to FNDDS</t>
        </is>
      </c>
      <c r="E487" s="1" t="inlineStr">
        <is>
          <t>Base</t>
        </is>
      </c>
      <c r="F487" s="1" t="n">
        <v>3.810997</v>
      </c>
    </row>
    <row r="488" ht="15.75" customHeight="1" s="201">
      <c r="A488" s="1" t="n">
        <v>22101000</v>
      </c>
      <c r="B488" s="1" t="inlineStr">
        <is>
          <t>Pork chop, NS as to cooking method, NS as to fat eaten</t>
        </is>
      </c>
      <c r="C488" s="1" t="n">
        <v>2</v>
      </c>
      <c r="D488" s="1" t="inlineStr">
        <is>
          <t>Links to altEC</t>
        </is>
      </c>
      <c r="E488" s="1" t="inlineStr">
        <is>
          <t>Base</t>
        </is>
      </c>
      <c r="F488" s="1" t="n">
        <v>1.048169</v>
      </c>
    </row>
    <row r="489" ht="15.75" customHeight="1" s="201">
      <c r="A489" s="1" t="n">
        <v>22101010</v>
      </c>
      <c r="B489" s="1" t="inlineStr">
        <is>
          <t>Pork chop, NS as to cooking method, lean and fat eaten</t>
        </is>
      </c>
      <c r="C489" s="1" t="n">
        <v>2</v>
      </c>
      <c r="D489" s="1" t="inlineStr">
        <is>
          <t>Links to altEC</t>
        </is>
      </c>
      <c r="E489" s="1" t="inlineStr">
        <is>
          <t>Base</t>
        </is>
      </c>
      <c r="F489" s="1" t="n">
        <v>1.048169</v>
      </c>
    </row>
    <row r="490" ht="15.75" customHeight="1" s="201">
      <c r="A490" s="1" t="n">
        <v>22101020</v>
      </c>
      <c r="B490" s="1" t="inlineStr">
        <is>
          <t>Pork chop, NS as to cooking method, lean only eaten</t>
        </is>
      </c>
      <c r="C490" s="1" t="n">
        <v>2</v>
      </c>
      <c r="D490" s="1" t="inlineStr">
        <is>
          <t>Links to altEC</t>
        </is>
      </c>
      <c r="E490" s="1" t="inlineStr">
        <is>
          <t>Base</t>
        </is>
      </c>
      <c r="F490" s="1" t="n">
        <v>1.072578</v>
      </c>
    </row>
    <row r="491" ht="15.75" customHeight="1" s="201">
      <c r="A491" s="1" t="n">
        <v>22101100</v>
      </c>
      <c r="B491" s="1" t="inlineStr">
        <is>
          <t>Pork chop, broiled or baked, NS as to fat eaten</t>
        </is>
      </c>
      <c r="C491" s="1" t="n">
        <v>2</v>
      </c>
      <c r="D491" s="1" t="inlineStr">
        <is>
          <t>Links to altEC</t>
        </is>
      </c>
      <c r="E491" s="1" t="inlineStr">
        <is>
          <t>Base</t>
        </is>
      </c>
      <c r="F491" s="1" t="n">
        <v>1.048169</v>
      </c>
    </row>
    <row r="492" ht="15.75" customHeight="1" s="201">
      <c r="A492" s="1" t="n">
        <v>22101110</v>
      </c>
      <c r="B492" s="1" t="inlineStr">
        <is>
          <t>Pork chop, broiled or baked, lean and fat eaten</t>
        </is>
      </c>
      <c r="C492" s="1" t="n">
        <v>2</v>
      </c>
      <c r="D492" s="1" t="inlineStr">
        <is>
          <t>Links to altEC</t>
        </is>
      </c>
      <c r="E492" s="1" t="inlineStr">
        <is>
          <t>Base</t>
        </is>
      </c>
      <c r="F492" s="1" t="n">
        <v>1.048169</v>
      </c>
    </row>
    <row r="493" ht="15.75" customHeight="1" s="201">
      <c r="A493" s="1" t="n">
        <v>22101120</v>
      </c>
      <c r="B493" s="1" t="inlineStr">
        <is>
          <t>Pork chop, broiled or baked, lean only eaten</t>
        </is>
      </c>
      <c r="C493" s="1" t="n">
        <v>2</v>
      </c>
      <c r="D493" s="1" t="inlineStr">
        <is>
          <t>Links to altEC</t>
        </is>
      </c>
      <c r="E493" s="1" t="inlineStr">
        <is>
          <t>Base</t>
        </is>
      </c>
      <c r="F493" s="1" t="n">
        <v>1.072578</v>
      </c>
    </row>
    <row r="494" ht="15.75" customHeight="1" s="201">
      <c r="A494" s="1" t="n">
        <v>22101140</v>
      </c>
      <c r="B494" s="1" t="inlineStr">
        <is>
          <t>Pork chop, breaded or floured, broiled or baked, lean and fat eaten (Includes Shake-n-Bake; breaded, NS as to cooking method)</t>
        </is>
      </c>
      <c r="C494" s="1" t="n">
        <v>4</v>
      </c>
      <c r="D494" s="1" t="inlineStr">
        <is>
          <t>FNDDS recipe with replaced or modified SR codes</t>
        </is>
      </c>
      <c r="E494" s="1" t="inlineStr">
        <is>
          <t>Base</t>
        </is>
      </c>
      <c r="F494" s="1" t="n">
        <v>0.837436</v>
      </c>
    </row>
    <row r="495" ht="15.75" customHeight="1" s="201">
      <c r="A495" s="1" t="n">
        <v>22101150</v>
      </c>
      <c r="B495" s="1" t="inlineStr">
        <is>
          <t>Pork chop, breaded or floured, broiled or baked, lean only eaten (Includes Shake-n-Bake; breaded, NS as to cooking method)</t>
        </is>
      </c>
      <c r="C495" s="1" t="n">
        <v>4</v>
      </c>
      <c r="D495" s="1" t="inlineStr">
        <is>
          <t>FNDDS recipe with replaced or modified SR codes</t>
        </is>
      </c>
      <c r="E495" s="1" t="inlineStr">
        <is>
          <t>Base</t>
        </is>
      </c>
      <c r="F495" s="1" t="n">
        <v>0.897711</v>
      </c>
    </row>
    <row r="496" ht="15.75" customHeight="1" s="201">
      <c r="A496" s="1" t="n">
        <v>22101200</v>
      </c>
      <c r="B496" s="1" t="inlineStr">
        <is>
          <t>Pork chop, fried, NS as to fat eaten</t>
        </is>
      </c>
      <c r="C496" s="1" t="n">
        <v>2</v>
      </c>
      <c r="D496" s="1" t="inlineStr">
        <is>
          <t>Links to altEC</t>
        </is>
      </c>
      <c r="E496" s="1" t="inlineStr">
        <is>
          <t>Base</t>
        </is>
      </c>
      <c r="F496" s="1" t="n">
        <v>1.048169</v>
      </c>
    </row>
    <row r="497" ht="15.75" customHeight="1" s="201">
      <c r="A497" s="1" t="n">
        <v>22101210</v>
      </c>
      <c r="B497" s="1" t="inlineStr">
        <is>
          <t>Pork chop, fried, lean and fat eaten</t>
        </is>
      </c>
      <c r="C497" s="1" t="n">
        <v>2</v>
      </c>
      <c r="D497" s="1" t="inlineStr">
        <is>
          <t>Links to altEC</t>
        </is>
      </c>
      <c r="E497" s="1" t="inlineStr">
        <is>
          <t>Base</t>
        </is>
      </c>
      <c r="F497" s="1" t="n">
        <v>1.048169</v>
      </c>
    </row>
    <row r="498" ht="15.75" customHeight="1" s="201">
      <c r="A498" s="1" t="n">
        <v>22101220</v>
      </c>
      <c r="B498" s="1" t="inlineStr">
        <is>
          <t>Pork chop, fried, lean only eaten</t>
        </is>
      </c>
      <c r="C498" s="1" t="n">
        <v>2</v>
      </c>
      <c r="D498" s="1" t="inlineStr">
        <is>
          <t>Links to altEC</t>
        </is>
      </c>
      <c r="E498" s="1" t="inlineStr">
        <is>
          <t>Base</t>
        </is>
      </c>
      <c r="F498" s="1" t="n">
        <v>1.072578</v>
      </c>
    </row>
    <row r="499" ht="15.75" customHeight="1" s="201">
      <c r="A499" s="1" t="n">
        <v>22101300</v>
      </c>
      <c r="B499" s="1" t="inlineStr">
        <is>
          <t>Pork chop, breaded or floured, fried, NS as to fat eaten</t>
        </is>
      </c>
      <c r="C499" s="1" t="n">
        <v>4</v>
      </c>
      <c r="D499" s="1" t="inlineStr">
        <is>
          <t>FNDDS recipe with replaced or modified SR codes</t>
        </is>
      </c>
      <c r="E499" s="1" t="inlineStr">
        <is>
          <t>Base</t>
        </is>
      </c>
      <c r="F499" s="1" t="n">
        <v>0.796347</v>
      </c>
    </row>
    <row r="500" ht="15.75" customHeight="1" s="201">
      <c r="A500" s="1" t="n">
        <v>22101310</v>
      </c>
      <c r="B500" s="1" t="inlineStr">
        <is>
          <t>Pork chop, breaded or floured, fried, lean and fat eaten</t>
        </is>
      </c>
      <c r="C500" s="1" t="n">
        <v>4</v>
      </c>
      <c r="D500" s="1" t="inlineStr">
        <is>
          <t>FNDDS recipe with replaced or modified SR codes</t>
        </is>
      </c>
      <c r="E500" s="1" t="inlineStr">
        <is>
          <t>Base</t>
        </is>
      </c>
      <c r="F500" s="1" t="n">
        <v>0.796347</v>
      </c>
    </row>
    <row r="501" ht="15.75" customHeight="1" s="201">
      <c r="A501" s="1" t="n">
        <v>22101320</v>
      </c>
      <c r="B501" s="1" t="inlineStr">
        <is>
          <t>Pork chop, breaded or floured, fried, lean only eaten</t>
        </is>
      </c>
      <c r="C501" s="1" t="n">
        <v>4</v>
      </c>
      <c r="D501" s="1" t="inlineStr">
        <is>
          <t>FNDDS recipe with replaced or modified SR codes</t>
        </is>
      </c>
      <c r="E501" s="1" t="inlineStr">
        <is>
          <t>Base</t>
        </is>
      </c>
      <c r="F501" s="1" t="n">
        <v>0.843523</v>
      </c>
    </row>
    <row r="502" ht="15.75" customHeight="1" s="201">
      <c r="A502" s="1" t="n">
        <v>22101420</v>
      </c>
      <c r="B502" s="1" t="inlineStr">
        <is>
          <t>Pork chop, battered, fried, lean only eaten</t>
        </is>
      </c>
      <c r="C502" s="1" t="n">
        <v>4</v>
      </c>
      <c r="D502" s="1" t="inlineStr">
        <is>
          <t>FNDDS recipe with replaced or modified SR codes</t>
        </is>
      </c>
      <c r="E502" s="1" t="inlineStr">
        <is>
          <t>Base</t>
        </is>
      </c>
      <c r="F502" s="1" t="n">
        <v>0.7468360000000001</v>
      </c>
    </row>
    <row r="503" ht="15.75" customHeight="1" s="201">
      <c r="A503" s="1" t="n">
        <v>22101500</v>
      </c>
      <c r="B503" s="1" t="inlineStr">
        <is>
          <t>Pork chop, stewed, NS as to fat eaten</t>
        </is>
      </c>
      <c r="C503" s="1" t="n">
        <v>2</v>
      </c>
      <c r="D503" s="1" t="inlineStr">
        <is>
          <t>Links to altEC</t>
        </is>
      </c>
      <c r="E503" s="1" t="inlineStr">
        <is>
          <t>Base</t>
        </is>
      </c>
      <c r="F503" s="1" t="n">
        <v>1.048169</v>
      </c>
    </row>
    <row r="504" ht="15.75" customHeight="1" s="201">
      <c r="A504" s="1" t="n">
        <v>22101510</v>
      </c>
      <c r="B504" s="1" t="inlineStr">
        <is>
          <t>Pork chop, stewed, lean and fat eaten</t>
        </is>
      </c>
      <c r="C504" s="1" t="n">
        <v>2</v>
      </c>
      <c r="D504" s="1" t="inlineStr">
        <is>
          <t>Links to altEC</t>
        </is>
      </c>
      <c r="E504" s="1" t="inlineStr">
        <is>
          <t>Base</t>
        </is>
      </c>
      <c r="F504" s="1" t="n">
        <v>1.048169</v>
      </c>
    </row>
    <row r="505" ht="15.75" customHeight="1" s="201">
      <c r="A505" s="1" t="n">
        <v>22101520</v>
      </c>
      <c r="B505" s="1" t="inlineStr">
        <is>
          <t>Pork chop, stewed, lean only eaten</t>
        </is>
      </c>
      <c r="C505" s="1" t="n">
        <v>2</v>
      </c>
      <c r="D505" s="1" t="inlineStr">
        <is>
          <t>Links to altEC</t>
        </is>
      </c>
      <c r="E505" s="1" t="inlineStr">
        <is>
          <t>Base</t>
        </is>
      </c>
      <c r="F505" s="1" t="n">
        <v>1.072578</v>
      </c>
    </row>
    <row r="506" ht="15.75" customHeight="1" s="201">
      <c r="A506" s="1" t="n">
        <v>22107010</v>
      </c>
      <c r="B506" s="1" t="inlineStr">
        <is>
          <t>Pork chop, smoked or cured, cooked, lean and fat eaten</t>
        </is>
      </c>
      <c r="C506" s="1" t="n">
        <v>2</v>
      </c>
      <c r="D506" s="1" t="inlineStr">
        <is>
          <t>Links to altEC</t>
        </is>
      </c>
      <c r="E506" s="1" t="inlineStr">
        <is>
          <t>Base</t>
        </is>
      </c>
      <c r="F506" s="1" t="n">
        <v>1.540212</v>
      </c>
    </row>
    <row r="507" ht="15.75" customHeight="1" s="201">
      <c r="A507" s="1" t="n">
        <v>22107020</v>
      </c>
      <c r="B507" s="1" t="inlineStr">
        <is>
          <t>Pork chop, smoked or cured, cooked, lean only eaten</t>
        </is>
      </c>
      <c r="C507" s="1" t="n">
        <v>2</v>
      </c>
      <c r="D507" s="1" t="inlineStr">
        <is>
          <t>Links to altEC</t>
        </is>
      </c>
      <c r="E507" s="1" t="inlineStr">
        <is>
          <t>Base</t>
        </is>
      </c>
      <c r="F507" s="1" t="n">
        <v>1.540212</v>
      </c>
    </row>
    <row r="508" ht="15.75" customHeight="1" s="201">
      <c r="A508" s="1" t="n">
        <v>22201010</v>
      </c>
      <c r="B508" s="1" t="inlineStr">
        <is>
          <t>Pork steak or cutlet, NS as to cooking method, lean and fat eaten</t>
        </is>
      </c>
      <c r="C508" s="1" t="n">
        <v>2</v>
      </c>
      <c r="D508" s="1" t="inlineStr">
        <is>
          <t>Links to altEC</t>
        </is>
      </c>
      <c r="E508" s="1" t="inlineStr">
        <is>
          <t>Base</t>
        </is>
      </c>
      <c r="F508" s="1" t="n">
        <v>0.804911</v>
      </c>
    </row>
    <row r="509" ht="15.75" customHeight="1" s="201">
      <c r="A509" s="1" t="n">
        <v>22201020</v>
      </c>
      <c r="B509" s="1" t="inlineStr">
        <is>
          <t>Pork steak or cutlet, NS as to cooking method, lean only eaten</t>
        </is>
      </c>
      <c r="C509" s="1" t="n">
        <v>2</v>
      </c>
      <c r="D509" s="1" t="inlineStr">
        <is>
          <t>Links to altEC</t>
        </is>
      </c>
      <c r="E509" s="1" t="inlineStr">
        <is>
          <t>Base</t>
        </is>
      </c>
      <c r="F509" s="1" t="n">
        <v>0.857263</v>
      </c>
    </row>
    <row r="510" ht="15.75" customHeight="1" s="201">
      <c r="A510" s="1" t="n">
        <v>22201060</v>
      </c>
      <c r="B510" s="1" t="inlineStr">
        <is>
          <t>Pork steak or cutlet, battered, fried, lean and fat eaten</t>
        </is>
      </c>
      <c r="C510" s="1" t="n">
        <v>4</v>
      </c>
      <c r="D510" s="1" t="inlineStr">
        <is>
          <t>FNDDS recipe with replaced or modified SR codes</t>
        </is>
      </c>
      <c r="E510" s="1" t="inlineStr">
        <is>
          <t>Base</t>
        </is>
      </c>
      <c r="F510" s="1" t="n">
        <v>0.7297709999999999</v>
      </c>
    </row>
    <row r="511" ht="15.75" customHeight="1" s="201">
      <c r="A511" s="1" t="n">
        <v>22201070</v>
      </c>
      <c r="B511" s="1" t="inlineStr">
        <is>
          <t>Pork steak or cutlet, battered, fried, lean only eaten</t>
        </is>
      </c>
      <c r="C511" s="1" t="n">
        <v>4</v>
      </c>
      <c r="D511" s="1" t="inlineStr">
        <is>
          <t>FNDDS recipe with replaced or modified SR codes</t>
        </is>
      </c>
      <c r="E511" s="1" t="inlineStr">
        <is>
          <t>Base</t>
        </is>
      </c>
      <c r="F511" s="1" t="n">
        <v>0.782922</v>
      </c>
    </row>
    <row r="512" ht="15.75" customHeight="1" s="201">
      <c r="A512" s="1" t="n">
        <v>22201100</v>
      </c>
      <c r="B512" s="1" t="inlineStr">
        <is>
          <t>Pork steak or cutlet, broiled or baked, NS as to fat eaten</t>
        </is>
      </c>
      <c r="C512" s="1" t="n">
        <v>2</v>
      </c>
      <c r="D512" s="1" t="inlineStr">
        <is>
          <t>Links to altEC</t>
        </is>
      </c>
      <c r="E512" s="1" t="inlineStr">
        <is>
          <t>Base</t>
        </is>
      </c>
      <c r="F512" s="1" t="n">
        <v>0.804911</v>
      </c>
    </row>
    <row r="513" ht="15.75" customHeight="1" s="201">
      <c r="A513" s="1" t="n">
        <v>22201210</v>
      </c>
      <c r="B513" s="1" t="inlineStr">
        <is>
          <t>Pork steak or cutlet, fried, lean and fat eaten</t>
        </is>
      </c>
      <c r="C513" s="1" t="n">
        <v>2</v>
      </c>
      <c r="D513" s="1" t="inlineStr">
        <is>
          <t>Links to altEC</t>
        </is>
      </c>
      <c r="E513" s="1" t="inlineStr">
        <is>
          <t>Base</t>
        </is>
      </c>
      <c r="F513" s="1" t="n">
        <v>0.804911</v>
      </c>
    </row>
    <row r="514" ht="15.75" customHeight="1" s="201">
      <c r="A514" s="1" t="n">
        <v>22201320</v>
      </c>
      <c r="B514" s="1" t="inlineStr">
        <is>
          <t>Pork steak or cutlet, breaded or floured, broiled or baked, lean only eaten</t>
        </is>
      </c>
      <c r="C514" s="1" t="n">
        <v>4</v>
      </c>
      <c r="D514" s="1" t="inlineStr">
        <is>
          <t>FNDDS recipe with replaced or modified SR codes</t>
        </is>
      </c>
      <c r="E514" s="1" t="inlineStr">
        <is>
          <t>Base</t>
        </is>
      </c>
      <c r="F514" s="1" t="n">
        <v>0.869551</v>
      </c>
    </row>
    <row r="515" ht="15.75" customHeight="1" s="201">
      <c r="A515" s="1" t="n">
        <v>22201420</v>
      </c>
      <c r="B515" s="1" t="inlineStr">
        <is>
          <t>Pork steak or cutlet, breaded or floured, fried, lean only eaten</t>
        </is>
      </c>
      <c r="C515" s="1" t="n">
        <v>4</v>
      </c>
      <c r="D515" s="1" t="inlineStr">
        <is>
          <t>FNDDS recipe with replaced or modified SR codes</t>
        </is>
      </c>
      <c r="E515" s="1" t="inlineStr">
        <is>
          <t>Base</t>
        </is>
      </c>
      <c r="F515" s="1" t="n">
        <v>0.843523</v>
      </c>
    </row>
    <row r="516" ht="15.75" customHeight="1" s="201">
      <c r="A516" s="1" t="n">
        <v>22210310</v>
      </c>
      <c r="B516" s="1" t="inlineStr">
        <is>
          <t>Pork, tenderloin, breaded, fried (Includes floured)</t>
        </is>
      </c>
      <c r="C516" s="1" t="n">
        <v>2</v>
      </c>
      <c r="D516" s="1" t="inlineStr">
        <is>
          <t>Links to altEC</t>
        </is>
      </c>
      <c r="E516" s="1" t="inlineStr">
        <is>
          <t>Base</t>
        </is>
      </c>
      <c r="F516" s="1" t="n">
        <v>0.762382</v>
      </c>
    </row>
    <row r="517" ht="15.75" customHeight="1" s="201">
      <c r="A517" s="1" t="n">
        <v>22210350</v>
      </c>
      <c r="B517" s="1" t="inlineStr">
        <is>
          <t>Pork, tenderloin, braised</t>
        </is>
      </c>
      <c r="C517" s="1" t="n">
        <v>2</v>
      </c>
      <c r="D517" s="1" t="inlineStr">
        <is>
          <t>Links to altEC</t>
        </is>
      </c>
      <c r="E517" s="1" t="inlineStr">
        <is>
          <t>Base</t>
        </is>
      </c>
      <c r="F517" s="1" t="n">
        <v>1.32237</v>
      </c>
    </row>
    <row r="518" ht="15.75" customHeight="1" s="201">
      <c r="A518" s="1" t="n">
        <v>22300120</v>
      </c>
      <c r="B518" s="1" t="inlineStr">
        <is>
          <t>Ham, fried, NS as to fat eaten (Includes smoked; cured; canned)</t>
        </is>
      </c>
      <c r="C518" s="1" t="n">
        <v>2</v>
      </c>
      <c r="D518" s="1" t="inlineStr">
        <is>
          <t>Links to altEC</t>
        </is>
      </c>
      <c r="E518" s="1" t="inlineStr">
        <is>
          <t>Base</t>
        </is>
      </c>
      <c r="F518" s="1" t="n">
        <v>1.435164</v>
      </c>
    </row>
    <row r="519" ht="15.75" customHeight="1" s="201">
      <c r="A519" s="1" t="n">
        <v>22300130</v>
      </c>
      <c r="B519" s="1" t="inlineStr">
        <is>
          <t>Ham, fried, lean and fat eaten (Includes smoked; cured; canned)</t>
        </is>
      </c>
      <c r="C519" s="1" t="n">
        <v>2</v>
      </c>
      <c r="D519" s="1" t="inlineStr">
        <is>
          <t>Links to altEC</t>
        </is>
      </c>
      <c r="E519" s="1" t="inlineStr">
        <is>
          <t>Base</t>
        </is>
      </c>
      <c r="F519" s="1" t="n">
        <v>1.435164</v>
      </c>
    </row>
    <row r="520" ht="15.75" customHeight="1" s="201">
      <c r="A520" s="1" t="n">
        <v>22311000</v>
      </c>
      <c r="B520" s="1" t="inlineStr">
        <is>
          <t>Ham, smoked or cured, cooked, NS as to fat eaten (Includes country ham; cottage ham; picnic ham; ham or baked ham, NS as to fresh, smoked, or cured)</t>
        </is>
      </c>
      <c r="C520" s="1" t="n">
        <v>2</v>
      </c>
      <c r="D520" s="1" t="inlineStr">
        <is>
          <t>Links to altEC</t>
        </is>
      </c>
      <c r="E520" s="1" t="inlineStr">
        <is>
          <t>Base</t>
        </is>
      </c>
      <c r="F520" s="1" t="n">
        <v>0.9830140000000001</v>
      </c>
    </row>
    <row r="521" ht="15.75" customHeight="1" s="201">
      <c r="A521" s="1" t="n">
        <v>22311010</v>
      </c>
      <c r="B521" s="1" t="inlineStr">
        <is>
          <t>Ham, smoked or cured, cooked, lean and fat eaten (Includes country ham; cottage ham; picnic ham; ham or baked ham, NS as to fresh, smoked, or cured)</t>
        </is>
      </c>
      <c r="C521" s="1" t="n">
        <v>2</v>
      </c>
      <c r="D521" s="1" t="inlineStr">
        <is>
          <t>Links to altEC</t>
        </is>
      </c>
      <c r="E521" s="1" t="inlineStr">
        <is>
          <t>Base</t>
        </is>
      </c>
      <c r="F521" s="1" t="n">
        <v>0.862722</v>
      </c>
    </row>
    <row r="522" ht="15.75" customHeight="1" s="201">
      <c r="A522" s="1" t="n">
        <v>22311020</v>
      </c>
      <c r="B522" s="1" t="inlineStr">
        <is>
          <t>Ham, smoked or cured, cooked, lean only eaten (Includes country ham; cottage ham; picnic ham; ham or baked ham, NS as to fresh, smoked, or cured)</t>
        </is>
      </c>
      <c r="C522" s="1" t="n">
        <v>2</v>
      </c>
      <c r="D522" s="1" t="inlineStr">
        <is>
          <t>Links to altEC</t>
        </is>
      </c>
      <c r="E522" s="1" t="inlineStr">
        <is>
          <t>Base</t>
        </is>
      </c>
      <c r="F522" s="1" t="n">
        <v>0.9830140000000001</v>
      </c>
    </row>
    <row r="523" ht="15.75" customHeight="1" s="201">
      <c r="A523" s="1" t="n">
        <v>22311450</v>
      </c>
      <c r="B523" s="1" t="inlineStr">
        <is>
          <t>Ham, prosciutto</t>
        </is>
      </c>
      <c r="C523" s="1" t="n">
        <v>1</v>
      </c>
      <c r="D523" s="1" t="inlineStr">
        <is>
          <t>Links to FNDDS</t>
        </is>
      </c>
      <c r="E523" s="1" t="inlineStr">
        <is>
          <t>Base</t>
        </is>
      </c>
      <c r="F523" s="1" t="n">
        <v>3.318495</v>
      </c>
    </row>
    <row r="524" ht="15.75" customHeight="1" s="201">
      <c r="A524" s="1" t="n">
        <v>22321110</v>
      </c>
      <c r="B524" s="1" t="inlineStr">
        <is>
          <t>Ham, smoked or cured, ground patty</t>
        </is>
      </c>
      <c r="C524" s="1" t="n">
        <v>1</v>
      </c>
      <c r="D524" s="1" t="inlineStr">
        <is>
          <t>Links to FNDDS</t>
        </is>
      </c>
      <c r="E524" s="1" t="inlineStr">
        <is>
          <t>Base</t>
        </is>
      </c>
      <c r="F524" s="1" t="n">
        <v>0.685984</v>
      </c>
    </row>
    <row r="525" ht="15.75" customHeight="1" s="201">
      <c r="A525" s="1" t="n">
        <v>22400100</v>
      </c>
      <c r="B525" s="1" t="inlineStr">
        <is>
          <t>Pork roast, NS as to cut, cooked, NS as to fat eaten</t>
        </is>
      </c>
      <c r="C525" s="1" t="n">
        <v>2</v>
      </c>
      <c r="D525" s="1" t="inlineStr">
        <is>
          <t>Links to altEC</t>
        </is>
      </c>
      <c r="E525" s="1" t="inlineStr">
        <is>
          <t>Base</t>
        </is>
      </c>
      <c r="F525" s="1" t="n">
        <v>0.958364</v>
      </c>
    </row>
    <row r="526" ht="15.75" customHeight="1" s="201">
      <c r="A526" s="1" t="n">
        <v>22400110</v>
      </c>
      <c r="B526" s="1" t="inlineStr">
        <is>
          <t>Pork roast, NS as to cut, cooked, lean and fat eaten</t>
        </is>
      </c>
      <c r="C526" s="1" t="n">
        <v>2</v>
      </c>
      <c r="D526" s="1" t="inlineStr">
        <is>
          <t>Links to altEC</t>
        </is>
      </c>
      <c r="E526" s="1" t="inlineStr">
        <is>
          <t>Base</t>
        </is>
      </c>
      <c r="F526" s="1" t="n">
        <v>0.958364</v>
      </c>
    </row>
    <row r="527" ht="15.75" customHeight="1" s="201">
      <c r="A527" s="1" t="n">
        <v>22400120</v>
      </c>
      <c r="B527" s="1" t="inlineStr">
        <is>
          <t>Pork roast, NS as to cut, cooked, lean only eaten</t>
        </is>
      </c>
      <c r="C527" s="1" t="n">
        <v>2</v>
      </c>
      <c r="D527" s="1" t="inlineStr">
        <is>
          <t>Links to altEC</t>
        </is>
      </c>
      <c r="E527" s="1" t="inlineStr">
        <is>
          <t>Base</t>
        </is>
      </c>
      <c r="F527" s="1" t="n">
        <v>0.959167</v>
      </c>
    </row>
    <row r="528" ht="15.75" customHeight="1" s="201">
      <c r="A528" s="1" t="n">
        <v>22401010</v>
      </c>
      <c r="B528" s="1" t="inlineStr">
        <is>
          <t>Pork roast, loin, cooked, lean and fat eaten</t>
        </is>
      </c>
      <c r="C528" s="1" t="n">
        <v>2</v>
      </c>
      <c r="D528" s="1" t="inlineStr">
        <is>
          <t>Links to altEC</t>
        </is>
      </c>
      <c r="E528" s="1" t="inlineStr">
        <is>
          <t>Base</t>
        </is>
      </c>
      <c r="F528" s="1" t="n">
        <v>0.9567639999999999</v>
      </c>
    </row>
    <row r="529" ht="15.75" customHeight="1" s="201">
      <c r="A529" s="1" t="n">
        <v>22401020</v>
      </c>
      <c r="B529" s="1" t="inlineStr">
        <is>
          <t>Pork roast, loin, cooked, lean only eaten</t>
        </is>
      </c>
      <c r="C529" s="1" t="n">
        <v>2</v>
      </c>
      <c r="D529" s="1" t="inlineStr">
        <is>
          <t>Links to altEC</t>
        </is>
      </c>
      <c r="E529" s="1" t="inlineStr">
        <is>
          <t>Base</t>
        </is>
      </c>
      <c r="F529" s="1" t="n">
        <v>1.021176</v>
      </c>
    </row>
    <row r="530" ht="15.75" customHeight="1" s="201">
      <c r="A530" s="1" t="n">
        <v>22411010</v>
      </c>
      <c r="B530" s="1" t="inlineStr">
        <is>
          <t>Pork roast, shoulder, cooked, lean and fat eaten</t>
        </is>
      </c>
      <c r="C530" s="1" t="n">
        <v>2</v>
      </c>
      <c r="D530" s="1" t="inlineStr">
        <is>
          <t>Links to altEC</t>
        </is>
      </c>
      <c r="E530" s="1" t="inlineStr">
        <is>
          <t>Base</t>
        </is>
      </c>
      <c r="F530" s="1" t="n">
        <v>0.5954660000000001</v>
      </c>
    </row>
    <row r="531" ht="15.75" customHeight="1" s="201">
      <c r="A531" s="1" t="n">
        <v>22411020</v>
      </c>
      <c r="B531" s="1" t="inlineStr">
        <is>
          <t>Pork roast, shoulder, cooked, lean only eaten</t>
        </is>
      </c>
      <c r="C531" s="1" t="n">
        <v>2</v>
      </c>
      <c r="D531" s="1" t="inlineStr">
        <is>
          <t>Links to altEC</t>
        </is>
      </c>
      <c r="E531" s="1" t="inlineStr">
        <is>
          <t>Base</t>
        </is>
      </c>
      <c r="F531" s="1" t="n">
        <v>0.637115</v>
      </c>
    </row>
    <row r="532" ht="15.75" customHeight="1" s="201">
      <c r="A532" s="1" t="n">
        <v>22421000</v>
      </c>
      <c r="B532" s="1" t="inlineStr">
        <is>
          <t>Pork roast, smoked or cured, cooked, NS as to fat eaten</t>
        </is>
      </c>
      <c r="C532" s="1" t="n">
        <v>2</v>
      </c>
      <c r="D532" s="1" t="inlineStr">
        <is>
          <t>Links to altEC</t>
        </is>
      </c>
      <c r="E532" s="1" t="inlineStr">
        <is>
          <t>Base</t>
        </is>
      </c>
      <c r="F532" s="1" t="n">
        <v>0.630684</v>
      </c>
    </row>
    <row r="533" ht="15.75" customHeight="1" s="201">
      <c r="A533" s="1" t="n">
        <v>22421010</v>
      </c>
      <c r="B533" s="1" t="inlineStr">
        <is>
          <t>Pork roast, smoked or cured, cooked, lean and fat eaten</t>
        </is>
      </c>
      <c r="C533" s="1" t="n">
        <v>2</v>
      </c>
      <c r="D533" s="1" t="inlineStr">
        <is>
          <t>Links to altEC</t>
        </is>
      </c>
      <c r="E533" s="1" t="inlineStr">
        <is>
          <t>Base</t>
        </is>
      </c>
      <c r="F533" s="1" t="n">
        <v>0.630684</v>
      </c>
    </row>
    <row r="534" ht="15.75" customHeight="1" s="201">
      <c r="A534" s="1" t="n">
        <v>22431000</v>
      </c>
      <c r="B534" s="1" t="inlineStr">
        <is>
          <t>Pork roll, cured, fried</t>
        </is>
      </c>
      <c r="C534" s="1" t="n">
        <v>2</v>
      </c>
      <c r="D534" s="1" t="inlineStr">
        <is>
          <t>Links to altEC</t>
        </is>
      </c>
      <c r="E534" s="1" t="inlineStr">
        <is>
          <t>Base</t>
        </is>
      </c>
      <c r="F534" s="1" t="n">
        <v>0.775845</v>
      </c>
    </row>
    <row r="535" ht="15.75" customHeight="1" s="201">
      <c r="A535" s="1" t="n">
        <v>22501010</v>
      </c>
      <c r="B535" s="1" t="inlineStr">
        <is>
          <t>Canadian bacon, cooked</t>
        </is>
      </c>
      <c r="C535" s="1" t="n">
        <v>1</v>
      </c>
      <c r="D535" s="1" t="inlineStr">
        <is>
          <t>Links to FNDDS</t>
        </is>
      </c>
      <c r="E535" s="1" t="inlineStr">
        <is>
          <t>Base</t>
        </is>
      </c>
      <c r="F535" s="1" t="n">
        <v>2.195423</v>
      </c>
    </row>
    <row r="536" ht="15.75" customHeight="1" s="201">
      <c r="A536" s="1" t="n">
        <v>22600100</v>
      </c>
      <c r="B536" s="1" t="inlineStr">
        <is>
          <t>Bacon, NS as to type of meat, cooked</t>
        </is>
      </c>
      <c r="C536" s="1" t="n">
        <v>2</v>
      </c>
      <c r="D536" s="1" t="inlineStr">
        <is>
          <t>Links to altEC</t>
        </is>
      </c>
      <c r="E536" s="1" t="inlineStr">
        <is>
          <t>Base</t>
        </is>
      </c>
      <c r="F536" s="1" t="n">
        <v>3.863503</v>
      </c>
    </row>
    <row r="537" ht="15.75" customHeight="1" s="201">
      <c r="A537" s="1" t="n">
        <v>22600200</v>
      </c>
      <c r="B537" s="1" t="inlineStr">
        <is>
          <t>Pork bacon, NS as to fresh, smoked or cured, cooked</t>
        </is>
      </c>
      <c r="C537" s="1" t="n">
        <v>2</v>
      </c>
      <c r="D537" s="1" t="inlineStr">
        <is>
          <t>Links to altEC</t>
        </is>
      </c>
      <c r="E537" s="1" t="inlineStr">
        <is>
          <t>Base</t>
        </is>
      </c>
      <c r="F537" s="1" t="n">
        <v>3.863861</v>
      </c>
    </row>
    <row r="538" ht="15.75" customHeight="1" s="201">
      <c r="A538" s="1" t="n">
        <v>22600210</v>
      </c>
      <c r="B538" s="1" t="inlineStr">
        <is>
          <t>Pork bacon, NS as to fresh, smoked or cured, reduced sodium, cooked (Includes less or lower sodium)</t>
        </is>
      </c>
      <c r="C538" s="1" t="n">
        <v>2</v>
      </c>
      <c r="D538" s="1" t="inlineStr">
        <is>
          <t>Links to altEC</t>
        </is>
      </c>
      <c r="E538" s="1" t="inlineStr">
        <is>
          <t>Base</t>
        </is>
      </c>
      <c r="F538" s="1" t="n">
        <v>3.863861</v>
      </c>
    </row>
    <row r="539" ht="15.75" customHeight="1" s="201">
      <c r="A539" s="1" t="n">
        <v>22601040</v>
      </c>
      <c r="B539" s="1" t="inlineStr">
        <is>
          <t>Bacon or side pork, fresh, cooked</t>
        </is>
      </c>
      <c r="C539" s="1" t="n">
        <v>2</v>
      </c>
      <c r="D539" s="1" t="inlineStr">
        <is>
          <t>Links to altEC</t>
        </is>
      </c>
      <c r="E539" s="1" t="inlineStr">
        <is>
          <t>Base</t>
        </is>
      </c>
      <c r="F539" s="1" t="n">
        <v>3.863861</v>
      </c>
    </row>
    <row r="540" ht="15.75" customHeight="1" s="201">
      <c r="A540" s="1" t="n">
        <v>22602010</v>
      </c>
      <c r="B540" s="1" t="inlineStr">
        <is>
          <t>Pork bacon, smoked or cured, reduced sodium, cooked (Includes less or lower sodium)</t>
        </is>
      </c>
      <c r="C540" s="1" t="n">
        <v>2</v>
      </c>
      <c r="D540" s="1" t="inlineStr">
        <is>
          <t>Links to altEC</t>
        </is>
      </c>
      <c r="E540" s="1" t="inlineStr">
        <is>
          <t>Base</t>
        </is>
      </c>
      <c r="F540" s="1" t="n">
        <v>3.863861</v>
      </c>
    </row>
    <row r="541" ht="15.75" customHeight="1" s="201">
      <c r="A541" s="1" t="n">
        <v>22621100</v>
      </c>
      <c r="B541" s="1" t="inlineStr">
        <is>
          <t>Fat back, cooked (Includes hog jowl)</t>
        </is>
      </c>
      <c r="C541" s="1" t="n">
        <v>1</v>
      </c>
      <c r="D541" s="1" t="inlineStr">
        <is>
          <t>Links to FNDDS</t>
        </is>
      </c>
      <c r="E541" s="1" t="inlineStr">
        <is>
          <t>Base</t>
        </is>
      </c>
      <c r="F541" s="1" t="n">
        <v>0.494732</v>
      </c>
    </row>
    <row r="542" ht="15.75" customHeight="1" s="201">
      <c r="A542" s="1" t="n">
        <v>22701000</v>
      </c>
      <c r="B542" s="1" t="inlineStr">
        <is>
          <t>Pork, spareribs, cooked, NS as to fat eaten (Includes flank end; ribs, NFS)</t>
        </is>
      </c>
      <c r="C542" s="1" t="n">
        <v>2</v>
      </c>
      <c r="D542" s="1" t="inlineStr">
        <is>
          <t>Links to altEC</t>
        </is>
      </c>
      <c r="E542" s="1" t="inlineStr">
        <is>
          <t>Base</t>
        </is>
      </c>
      <c r="F542" s="1" t="n">
        <v>1.262398</v>
      </c>
    </row>
    <row r="543" ht="15.75" customHeight="1" s="201">
      <c r="A543" s="1" t="n">
        <v>22701010</v>
      </c>
      <c r="B543" s="1" t="inlineStr">
        <is>
          <t>Pork, spareribs, cooked, lean and fat eaten (Includes flank end)</t>
        </is>
      </c>
      <c r="C543" s="1" t="n">
        <v>2</v>
      </c>
      <c r="D543" s="1" t="inlineStr">
        <is>
          <t>Links to altEC</t>
        </is>
      </c>
      <c r="E543" s="1" t="inlineStr">
        <is>
          <t>Base</t>
        </is>
      </c>
      <c r="F543" s="1" t="n">
        <v>1.262398</v>
      </c>
    </row>
    <row r="544" ht="15.75" customHeight="1" s="201">
      <c r="A544" s="1" t="n">
        <v>22701020</v>
      </c>
      <c r="B544" s="1" t="inlineStr">
        <is>
          <t>Pork, spareribs, cooked, lean only eaten (Includes flank end)</t>
        </is>
      </c>
      <c r="C544" s="1" t="n">
        <v>2</v>
      </c>
      <c r="D544" s="1" t="inlineStr">
        <is>
          <t>Links to altEC</t>
        </is>
      </c>
      <c r="E544" s="1" t="inlineStr">
        <is>
          <t>Base</t>
        </is>
      </c>
      <c r="F544" s="1" t="n">
        <v>1.348199</v>
      </c>
    </row>
    <row r="545" ht="15.75" customHeight="1" s="201">
      <c r="A545" s="1" t="n">
        <v>22701030</v>
      </c>
      <c r="B545" s="1" t="inlineStr">
        <is>
          <t>Pork, spareribs, barbecued, with sauce, NS as to fat eaten (Includes barbecue ribs, NFS)</t>
        </is>
      </c>
      <c r="C545" s="1" t="n">
        <v>2</v>
      </c>
      <c r="D545" s="1" t="inlineStr">
        <is>
          <t>Links to altEC</t>
        </is>
      </c>
      <c r="E545" s="1" t="inlineStr">
        <is>
          <t>Base</t>
        </is>
      </c>
      <c r="F545" s="1" t="n">
        <v>1.259314</v>
      </c>
    </row>
    <row r="546" ht="15.75" customHeight="1" s="201">
      <c r="A546" s="1" t="n">
        <v>22701040</v>
      </c>
      <c r="B546" s="1" t="inlineStr">
        <is>
          <t>Pork, spareribs, barbecued, with sauce, lean and fat eaten</t>
        </is>
      </c>
      <c r="C546" s="1" t="n">
        <v>2</v>
      </c>
      <c r="D546" s="1" t="inlineStr">
        <is>
          <t>Links to altEC</t>
        </is>
      </c>
      <c r="E546" s="1" t="inlineStr">
        <is>
          <t>Base</t>
        </is>
      </c>
      <c r="F546" s="1" t="n">
        <v>1.259314</v>
      </c>
    </row>
    <row r="547" ht="15.75" customHeight="1" s="201">
      <c r="A547" s="1" t="n">
        <v>22701050</v>
      </c>
      <c r="B547" s="1" t="inlineStr">
        <is>
          <t>Pork, spareribs, barbecued, with sauce, lean only eaten</t>
        </is>
      </c>
      <c r="C547" s="1" t="n">
        <v>2</v>
      </c>
      <c r="D547" s="1" t="inlineStr">
        <is>
          <t>Links to altEC</t>
        </is>
      </c>
      <c r="E547" s="1" t="inlineStr">
        <is>
          <t>Base</t>
        </is>
      </c>
      <c r="F547" s="1" t="n">
        <v>1.334755</v>
      </c>
    </row>
    <row r="548" ht="15.75" customHeight="1" s="201">
      <c r="A548" s="1" t="n">
        <v>22704010</v>
      </c>
      <c r="B548" s="1" t="inlineStr">
        <is>
          <t>Pork, cracklings, cooked</t>
        </is>
      </c>
      <c r="C548" s="1" t="n">
        <v>1</v>
      </c>
      <c r="D548" s="1" t="inlineStr">
        <is>
          <t>Links to FNDDS</t>
        </is>
      </c>
      <c r="E548" s="1" t="inlineStr">
        <is>
          <t>Base</t>
        </is>
      </c>
      <c r="F548" s="1" t="n">
        <v>1.149765</v>
      </c>
    </row>
    <row r="549" ht="15.75" customHeight="1" s="201">
      <c r="A549" s="1" t="n">
        <v>22705010</v>
      </c>
      <c r="B549" s="1" t="inlineStr">
        <is>
          <t>Pork ears, tail, head, snout, miscellaneous parts, cooked</t>
        </is>
      </c>
      <c r="C549" s="1" t="n">
        <v>1</v>
      </c>
      <c r="D549" s="1" t="inlineStr">
        <is>
          <t>Links to FNDDS</t>
        </is>
      </c>
      <c r="E549" s="1" t="inlineStr">
        <is>
          <t>Base</t>
        </is>
      </c>
      <c r="F549" s="1" t="n">
        <v>0.69657</v>
      </c>
    </row>
    <row r="550" ht="15.75" customHeight="1" s="201">
      <c r="A550" s="1" t="n">
        <v>22706010</v>
      </c>
      <c r="B550" s="1" t="inlineStr">
        <is>
          <t>Pork, neck bones, cooked (Includes neck bones, NFS; pork back bone)</t>
        </is>
      </c>
      <c r="C550" s="1" t="n">
        <v>1</v>
      </c>
      <c r="D550" s="1" t="inlineStr">
        <is>
          <t>Links to FNDDS</t>
        </is>
      </c>
      <c r="E550" s="1" t="inlineStr">
        <is>
          <t>Base</t>
        </is>
      </c>
      <c r="F550" s="1" t="n">
        <v>1.259067</v>
      </c>
    </row>
    <row r="551" ht="15.75" customHeight="1" s="201">
      <c r="A551" s="1" t="n">
        <v>22707010</v>
      </c>
      <c r="B551" s="1" t="inlineStr">
        <is>
          <t>Pork, pig's feet, cooked</t>
        </is>
      </c>
      <c r="C551" s="1" t="n">
        <v>2</v>
      </c>
      <c r="D551" s="1" t="inlineStr">
        <is>
          <t>Links to altEC</t>
        </is>
      </c>
      <c r="E551" s="1" t="inlineStr">
        <is>
          <t>Base</t>
        </is>
      </c>
      <c r="F551" s="1" t="n">
        <v>1.361626</v>
      </c>
    </row>
    <row r="552" ht="15.75" customHeight="1" s="201">
      <c r="A552" s="1" t="n">
        <v>22707020</v>
      </c>
      <c r="B552" s="1" t="inlineStr">
        <is>
          <t>Pork, pig's feet, pickled</t>
        </is>
      </c>
      <c r="C552" s="1" t="n">
        <v>1</v>
      </c>
      <c r="D552" s="1" t="inlineStr">
        <is>
          <t>Links to FNDDS</t>
        </is>
      </c>
      <c r="E552" s="1" t="inlineStr">
        <is>
          <t>Base</t>
        </is>
      </c>
      <c r="F552" s="1" t="n">
        <v>1.584088</v>
      </c>
    </row>
    <row r="553" ht="15.75" customHeight="1" s="201">
      <c r="A553" s="1" t="n">
        <v>22709010</v>
      </c>
      <c r="B553" s="1" t="inlineStr">
        <is>
          <t>Pork skin rinds (Includes snack type)</t>
        </is>
      </c>
      <c r="C553" s="1" t="n">
        <v>1</v>
      </c>
      <c r="D553" s="1" t="inlineStr">
        <is>
          <t>Links to FNDDS</t>
        </is>
      </c>
      <c r="E553" s="1" t="inlineStr">
        <is>
          <t>Base</t>
        </is>
      </c>
      <c r="F553" s="1" t="n">
        <v>1.731872</v>
      </c>
    </row>
    <row r="554" ht="15.75" customHeight="1" s="201">
      <c r="A554" s="1" t="n">
        <v>23000100</v>
      </c>
      <c r="B554" s="1" t="inlineStr">
        <is>
          <t>Lamb, NS as to cut, cooked (Includes mutton, NS as to cut)</t>
        </is>
      </c>
      <c r="C554" s="1" t="n">
        <v>2</v>
      </c>
      <c r="D554" s="1" t="inlineStr">
        <is>
          <t>Links to altEC</t>
        </is>
      </c>
      <c r="E554" s="1" t="inlineStr">
        <is>
          <t>Base</t>
        </is>
      </c>
      <c r="F554" s="1" t="n">
        <v>2.671856</v>
      </c>
    </row>
    <row r="555" ht="15.75" customHeight="1" s="201">
      <c r="A555" s="1" t="n">
        <v>23101000</v>
      </c>
      <c r="B555" s="1" t="inlineStr">
        <is>
          <t>Lamb chop, NS as to cut, cooked, NS as to fat eaten (Includes mutton chop, NS as to cut)</t>
        </is>
      </c>
      <c r="C555" s="1" t="n">
        <v>2</v>
      </c>
      <c r="D555" s="1" t="inlineStr">
        <is>
          <t>Links to altEC</t>
        </is>
      </c>
      <c r="E555" s="1" t="inlineStr">
        <is>
          <t>Base</t>
        </is>
      </c>
      <c r="F555" s="1" t="n">
        <v>2.671856</v>
      </c>
    </row>
    <row r="556" ht="15.75" customHeight="1" s="201">
      <c r="A556" s="1" t="n">
        <v>23101010</v>
      </c>
      <c r="B556" s="1" t="inlineStr">
        <is>
          <t>Lamb chop, NS as to cut, cooked, lean and fat eaten (Includes mutton chop, NS as to cut)</t>
        </is>
      </c>
      <c r="C556" s="1" t="n">
        <v>2</v>
      </c>
      <c r="D556" s="1" t="inlineStr">
        <is>
          <t>Links to altEC</t>
        </is>
      </c>
      <c r="E556" s="1" t="inlineStr">
        <is>
          <t>Base</t>
        </is>
      </c>
      <c r="F556" s="1" t="n">
        <v>2.671856</v>
      </c>
    </row>
    <row r="557" ht="15.75" customHeight="1" s="201">
      <c r="A557" s="1" t="n">
        <v>23101020</v>
      </c>
      <c r="B557" s="1" t="inlineStr">
        <is>
          <t>Lamb chop, NS as to cut, cooked, lean only eaten (Includes mutton chop, NS as to cut)</t>
        </is>
      </c>
      <c r="C557" s="1" t="n">
        <v>2</v>
      </c>
      <c r="D557" s="1" t="inlineStr">
        <is>
          <t>Links to altEC</t>
        </is>
      </c>
      <c r="E557" s="1" t="inlineStr">
        <is>
          <t>Base</t>
        </is>
      </c>
      <c r="F557" s="1" t="n">
        <v>2.671856</v>
      </c>
    </row>
    <row r="558" ht="15.75" customHeight="1" s="201">
      <c r="A558" s="1" t="n">
        <v>23104000</v>
      </c>
      <c r="B558" s="1" t="inlineStr">
        <is>
          <t>Lamb, loin chop, cooked, NS as to fat eaten (Includes lamb steak; mutton loin chop; mutton steak)</t>
        </is>
      </c>
      <c r="C558" s="1" t="n">
        <v>2</v>
      </c>
      <c r="D558" s="1" t="inlineStr">
        <is>
          <t>Links to altEC</t>
        </is>
      </c>
      <c r="E558" s="1" t="inlineStr">
        <is>
          <t>Base</t>
        </is>
      </c>
      <c r="F558" s="1" t="n">
        <v>2.671856</v>
      </c>
    </row>
    <row r="559" ht="15.75" customHeight="1" s="201">
      <c r="A559" s="1" t="n">
        <v>23104010</v>
      </c>
      <c r="B559" s="1" t="inlineStr">
        <is>
          <t>Lamb, loin chop, cooked, lean and fat eaten (Includes lamb steak; mutton loin chop; mutton steak)</t>
        </is>
      </c>
      <c r="C559" s="1" t="n">
        <v>2</v>
      </c>
      <c r="D559" s="1" t="inlineStr">
        <is>
          <t>Links to altEC</t>
        </is>
      </c>
      <c r="E559" s="1" t="inlineStr">
        <is>
          <t>Base</t>
        </is>
      </c>
      <c r="F559" s="1" t="n">
        <v>2.671856</v>
      </c>
    </row>
    <row r="560" ht="15.75" customHeight="1" s="201">
      <c r="A560" s="1" t="n">
        <v>23104020</v>
      </c>
      <c r="B560" s="1" t="inlineStr">
        <is>
          <t>Lamb, loin chop, cooked, lean only eaten (Includes lamb steak; mutton loin chop; mutton steak)</t>
        </is>
      </c>
      <c r="C560" s="1" t="n">
        <v>2</v>
      </c>
      <c r="D560" s="1" t="inlineStr">
        <is>
          <t>Links to altEC</t>
        </is>
      </c>
      <c r="E560" s="1" t="inlineStr">
        <is>
          <t>Base</t>
        </is>
      </c>
      <c r="F560" s="1" t="n">
        <v>3.611203</v>
      </c>
    </row>
    <row r="561" ht="15.75" customHeight="1" s="201">
      <c r="A561" s="1" t="n">
        <v>23107000</v>
      </c>
      <c r="B561" s="1" t="inlineStr">
        <is>
          <t>Lamb, shoulder chop, cooked, NS as to fat eaten (Includes mutton shoulder chop)</t>
        </is>
      </c>
      <c r="C561" s="1" t="n">
        <v>2</v>
      </c>
      <c r="D561" s="1" t="inlineStr">
        <is>
          <t>Links to altEC</t>
        </is>
      </c>
      <c r="E561" s="1" t="inlineStr">
        <is>
          <t>Base</t>
        </is>
      </c>
      <c r="F561" s="1" t="n">
        <v>2.671856</v>
      </c>
    </row>
    <row r="562" ht="15.75" customHeight="1" s="201">
      <c r="A562" s="1" t="n">
        <v>23107010</v>
      </c>
      <c r="B562" s="1" t="inlineStr">
        <is>
          <t>Lamb, shoulder chop, cooked, lean and fat eaten (Includes mutton shoulder chop)</t>
        </is>
      </c>
      <c r="C562" s="1" t="n">
        <v>2</v>
      </c>
      <c r="D562" s="1" t="inlineStr">
        <is>
          <t>Links to altEC</t>
        </is>
      </c>
      <c r="E562" s="1" t="inlineStr">
        <is>
          <t>Base</t>
        </is>
      </c>
      <c r="F562" s="1" t="n">
        <v>2.671856</v>
      </c>
    </row>
    <row r="563" ht="15.75" customHeight="1" s="201">
      <c r="A563" s="1" t="n">
        <v>23107020</v>
      </c>
      <c r="B563" s="1" t="inlineStr">
        <is>
          <t>Lamb, shoulder chop, cooked, lean only eaten (Includes mutton shoulder chop)</t>
        </is>
      </c>
      <c r="C563" s="1" t="n">
        <v>2</v>
      </c>
      <c r="D563" s="1" t="inlineStr">
        <is>
          <t>Links to altEC</t>
        </is>
      </c>
      <c r="E563" s="1" t="inlineStr">
        <is>
          <t>Base</t>
        </is>
      </c>
      <c r="F563" s="1" t="n">
        <v>3.611203</v>
      </c>
    </row>
    <row r="564" ht="15.75" customHeight="1" s="201">
      <c r="A564" s="1" t="n">
        <v>23110000</v>
      </c>
      <c r="B564" s="1" t="inlineStr">
        <is>
          <t>Lamb, ribs, cooked, lean only eaten (Includes mutton ribs)</t>
        </is>
      </c>
      <c r="C564" s="1" t="n">
        <v>2</v>
      </c>
      <c r="D564" s="1" t="inlineStr">
        <is>
          <t>Links to altEC</t>
        </is>
      </c>
      <c r="E564" s="1" t="inlineStr">
        <is>
          <t>Base</t>
        </is>
      </c>
      <c r="F564" s="1" t="n">
        <v>3.611203</v>
      </c>
    </row>
    <row r="565" ht="15.75" customHeight="1" s="201">
      <c r="A565" s="1" t="n">
        <v>23110010</v>
      </c>
      <c r="B565" s="1" t="inlineStr">
        <is>
          <t>Lamb, ribs, cooked, NS as to fat eaten (Includes mutton ribs)</t>
        </is>
      </c>
      <c r="C565" s="1" t="n">
        <v>2</v>
      </c>
      <c r="D565" s="1" t="inlineStr">
        <is>
          <t>Links to altEC</t>
        </is>
      </c>
      <c r="E565" s="1" t="inlineStr">
        <is>
          <t>Base</t>
        </is>
      </c>
      <c r="F565" s="1" t="n">
        <v>2.671856</v>
      </c>
    </row>
    <row r="566" ht="15.75" customHeight="1" s="201">
      <c r="A566" s="1" t="n">
        <v>23110050</v>
      </c>
      <c r="B566" s="1" t="inlineStr">
        <is>
          <t>Lamb, ribs, cooked, lean and fat eaten (Includes mutton ribs)</t>
        </is>
      </c>
      <c r="C566" s="1" t="n">
        <v>2</v>
      </c>
      <c r="D566" s="1" t="inlineStr">
        <is>
          <t>Links to altEC</t>
        </is>
      </c>
      <c r="E566" s="1" t="inlineStr">
        <is>
          <t>Base</t>
        </is>
      </c>
      <c r="F566" s="1" t="n">
        <v>2.671856</v>
      </c>
    </row>
    <row r="567" ht="15.75" customHeight="1" s="201">
      <c r="A567" s="1" t="n">
        <v>23111010</v>
      </c>
      <c r="B567" s="1" t="inlineStr">
        <is>
          <t>Lamb hocks, cooked (Includes mutton hocks)</t>
        </is>
      </c>
      <c r="C567" s="1" t="n">
        <v>2</v>
      </c>
      <c r="D567" s="1" t="inlineStr">
        <is>
          <t>Links to altEC</t>
        </is>
      </c>
      <c r="E567" s="1" t="inlineStr">
        <is>
          <t>Base</t>
        </is>
      </c>
      <c r="F567" s="1" t="n">
        <v>2.671856</v>
      </c>
    </row>
    <row r="568" ht="15.75" customHeight="1" s="201">
      <c r="A568" s="1" t="n">
        <v>23120100</v>
      </c>
      <c r="B568" s="1" t="inlineStr">
        <is>
          <t>Lamb, roast, cooked, NS as to fat eaten (Includes mutton roast; lamb leg; mutton leg)</t>
        </is>
      </c>
      <c r="C568" s="1" t="n">
        <v>2</v>
      </c>
      <c r="D568" s="1" t="inlineStr">
        <is>
          <t>Links to altEC</t>
        </is>
      </c>
      <c r="E568" s="1" t="inlineStr">
        <is>
          <t>Base</t>
        </is>
      </c>
      <c r="F568" s="1" t="n">
        <v>2.671856</v>
      </c>
    </row>
    <row r="569" ht="15.75" customHeight="1" s="201">
      <c r="A569" s="1" t="n">
        <v>23120110</v>
      </c>
      <c r="B569" s="1" t="inlineStr">
        <is>
          <t>Lamb, roast, cooked, lean and fat eaten (Includes mutton roast; lamb leg; mutton leg)</t>
        </is>
      </c>
      <c r="C569" s="1" t="n">
        <v>2</v>
      </c>
      <c r="D569" s="1" t="inlineStr">
        <is>
          <t>Links to altEC</t>
        </is>
      </c>
      <c r="E569" s="1" t="inlineStr">
        <is>
          <t>Base</t>
        </is>
      </c>
      <c r="F569" s="1" t="n">
        <v>2.671856</v>
      </c>
    </row>
    <row r="570" ht="15.75" customHeight="1" s="201">
      <c r="A570" s="1" t="n">
        <v>23120120</v>
      </c>
      <c r="B570" s="1" t="inlineStr">
        <is>
          <t>Lamb, roast, cooked, lean only eaten (Includes mutton roast; lamb leg; mutton leg)</t>
        </is>
      </c>
      <c r="C570" s="1" t="n">
        <v>2</v>
      </c>
      <c r="D570" s="1" t="inlineStr">
        <is>
          <t>Links to altEC</t>
        </is>
      </c>
      <c r="E570" s="1" t="inlineStr">
        <is>
          <t>Base</t>
        </is>
      </c>
      <c r="F570" s="1" t="n">
        <v>3.611203</v>
      </c>
    </row>
    <row r="571" ht="15.75" customHeight="1" s="201">
      <c r="A571" s="1" t="n">
        <v>23132000</v>
      </c>
      <c r="B571" s="1" t="inlineStr">
        <is>
          <t>Lamb, ground or patty, cooked (Includes mutton, ground or patty)</t>
        </is>
      </c>
      <c r="C571" s="1" t="n">
        <v>2</v>
      </c>
      <c r="D571" s="1" t="inlineStr">
        <is>
          <t>Links to altEC</t>
        </is>
      </c>
      <c r="E571" s="1" t="inlineStr">
        <is>
          <t>Base</t>
        </is>
      </c>
      <c r="F571" s="1" t="n">
        <v>2.349756</v>
      </c>
    </row>
    <row r="572" ht="15.75" customHeight="1" s="201">
      <c r="A572" s="1" t="n">
        <v>23150100</v>
      </c>
      <c r="B572" s="1" t="inlineStr">
        <is>
          <t>Goat, boiled</t>
        </is>
      </c>
      <c r="C572" s="1" t="n">
        <v>2</v>
      </c>
      <c r="D572" s="1" t="inlineStr">
        <is>
          <t>Links to altEC</t>
        </is>
      </c>
      <c r="E572" s="1" t="inlineStr">
        <is>
          <t>Base</t>
        </is>
      </c>
      <c r="F572" s="1" t="n">
        <v>1.75611</v>
      </c>
    </row>
    <row r="573" ht="15.75" customHeight="1" s="201">
      <c r="A573" s="1" t="n">
        <v>23150200</v>
      </c>
      <c r="B573" s="1" t="inlineStr">
        <is>
          <t>Goat, fried</t>
        </is>
      </c>
      <c r="C573" s="1" t="n">
        <v>2</v>
      </c>
      <c r="D573" s="1" t="inlineStr">
        <is>
          <t>Links to altEC</t>
        </is>
      </c>
      <c r="E573" s="1" t="inlineStr">
        <is>
          <t>Base</t>
        </is>
      </c>
      <c r="F573" s="1" t="n">
        <v>1.75611</v>
      </c>
    </row>
    <row r="574" ht="15.75" customHeight="1" s="201">
      <c r="A574" s="1" t="n">
        <v>23150250</v>
      </c>
      <c r="B574" s="1" t="inlineStr">
        <is>
          <t>Goat, baked</t>
        </is>
      </c>
      <c r="C574" s="1" t="n">
        <v>2</v>
      </c>
      <c r="D574" s="1" t="inlineStr">
        <is>
          <t>Links to altEC</t>
        </is>
      </c>
      <c r="E574" s="1" t="inlineStr">
        <is>
          <t>Base</t>
        </is>
      </c>
      <c r="F574" s="1" t="n">
        <v>1.75611</v>
      </c>
    </row>
    <row r="575" ht="15.75" customHeight="1" s="201">
      <c r="A575" s="1" t="n">
        <v>23203030</v>
      </c>
      <c r="B575" s="1" t="inlineStr">
        <is>
          <t>Veal chop, fried, lean only eaten (Includes breaded or floured)</t>
        </is>
      </c>
      <c r="C575" s="1" t="n">
        <v>2</v>
      </c>
      <c r="D575" s="1" t="inlineStr">
        <is>
          <t>Links to altEC</t>
        </is>
      </c>
      <c r="E575" s="1" t="inlineStr">
        <is>
          <t>Base</t>
        </is>
      </c>
      <c r="F575" s="1" t="n">
        <v>3.914307</v>
      </c>
    </row>
    <row r="576" ht="15.75" customHeight="1" s="201">
      <c r="A576" s="1" t="n">
        <v>23205020</v>
      </c>
      <c r="B576" s="1" t="inlineStr">
        <is>
          <t>Veal cutlet or steak, fried, lean and fat eaten (Includes breaded or floured)</t>
        </is>
      </c>
      <c r="C576" s="1" t="n">
        <v>2</v>
      </c>
      <c r="D576" s="1" t="inlineStr">
        <is>
          <t>Links to altEC</t>
        </is>
      </c>
      <c r="E576" s="1" t="inlineStr">
        <is>
          <t>Base</t>
        </is>
      </c>
      <c r="F576" s="1" t="n">
        <v>3.260075</v>
      </c>
    </row>
    <row r="577" ht="15.75" customHeight="1" s="201">
      <c r="A577" s="1" t="n">
        <v>23220030</v>
      </c>
      <c r="B577" s="1" t="inlineStr">
        <is>
          <t>Veal patty, breaded, cooked</t>
        </is>
      </c>
      <c r="C577" s="1" t="n">
        <v>4</v>
      </c>
      <c r="D577" s="1" t="inlineStr">
        <is>
          <t>FNDDS recipe with replaced or modified SR codes</t>
        </is>
      </c>
      <c r="E577" s="1" t="inlineStr">
        <is>
          <t>Base</t>
        </is>
      </c>
      <c r="F577" s="1" t="n">
        <v>2.17867</v>
      </c>
    </row>
    <row r="578" ht="15.75" customHeight="1" s="201">
      <c r="A578" s="1" t="n">
        <v>23321000</v>
      </c>
      <c r="B578" s="1" t="inlineStr">
        <is>
          <t>Venison/deer, NFS (Includes elk, NFS)</t>
        </is>
      </c>
      <c r="C578" s="1" t="n">
        <v>2</v>
      </c>
      <c r="D578" s="1" t="inlineStr">
        <is>
          <t>Links to altEC</t>
        </is>
      </c>
      <c r="E578" s="1" t="inlineStr">
        <is>
          <t>Base</t>
        </is>
      </c>
      <c r="F578" s="1" t="n">
        <v>2.569816</v>
      </c>
    </row>
    <row r="579" ht="15.75" customHeight="1" s="201">
      <c r="A579" s="1" t="n">
        <v>23321100</v>
      </c>
      <c r="B579" s="1" t="inlineStr">
        <is>
          <t>Venison/deer, roasted (Includes roast antelope; elk)</t>
        </is>
      </c>
      <c r="C579" s="1" t="n">
        <v>2</v>
      </c>
      <c r="D579" s="1" t="inlineStr">
        <is>
          <t>Links to altEC</t>
        </is>
      </c>
      <c r="E579" s="1" t="inlineStr">
        <is>
          <t>Base</t>
        </is>
      </c>
      <c r="F579" s="1" t="n">
        <v>2.569816</v>
      </c>
    </row>
    <row r="580" ht="15.75" customHeight="1" s="201">
      <c r="A580" s="1" t="n">
        <v>23321200</v>
      </c>
      <c r="B580" s="1" t="inlineStr">
        <is>
          <t>Venison/deer steak, cooked, NS as to cooking method (Includes fried venison; ground venison; elk; ground elk)</t>
        </is>
      </c>
      <c r="C580" s="1" t="n">
        <v>2</v>
      </c>
      <c r="D580" s="1" t="inlineStr">
        <is>
          <t>Links to altEC</t>
        </is>
      </c>
      <c r="E580" s="1" t="inlineStr">
        <is>
          <t>Base</t>
        </is>
      </c>
      <c r="F580" s="1" t="n">
        <v>2.569816</v>
      </c>
    </row>
    <row r="581" ht="15.75" customHeight="1" s="201">
      <c r="A581" s="1" t="n">
        <v>23321250</v>
      </c>
      <c r="B581" s="1" t="inlineStr">
        <is>
          <t>Venison/deer steak, breaded or floured, cooked, NS as to cooking method (Includes fried venison; elk)</t>
        </is>
      </c>
      <c r="C581" s="1" t="n">
        <v>2</v>
      </c>
      <c r="D581" s="1" t="inlineStr">
        <is>
          <t>Links to altEC</t>
        </is>
      </c>
      <c r="E581" s="1" t="inlineStr">
        <is>
          <t>Base</t>
        </is>
      </c>
      <c r="F581" s="1" t="n">
        <v>2.569816</v>
      </c>
    </row>
    <row r="582" ht="15.75" customHeight="1" s="201">
      <c r="A582" s="1" t="n">
        <v>23321900</v>
      </c>
      <c r="B582" s="1" t="inlineStr">
        <is>
          <t>Venison/deer jerky</t>
        </is>
      </c>
      <c r="C582" s="1" t="n">
        <v>1</v>
      </c>
      <c r="D582" s="1" t="inlineStr">
        <is>
          <t>Links to FNDDS</t>
        </is>
      </c>
      <c r="E582" s="1" t="inlineStr">
        <is>
          <t>Base</t>
        </is>
      </c>
      <c r="F582" s="1" t="n">
        <v>3.839049</v>
      </c>
    </row>
    <row r="583" ht="15.75" customHeight="1" s="201">
      <c r="A583" s="1" t="n">
        <v>23322100</v>
      </c>
      <c r="B583" s="1" t="inlineStr">
        <is>
          <t>Deer sausage (Includes venison sausage; caribou sausage)</t>
        </is>
      </c>
      <c r="C583" s="1" t="n">
        <v>1</v>
      </c>
      <c r="D583" s="1" t="inlineStr">
        <is>
          <t>Links to FNDDS</t>
        </is>
      </c>
      <c r="E583" s="1" t="inlineStr">
        <is>
          <t>Base</t>
        </is>
      </c>
      <c r="F583" s="1" t="n">
        <v>1.10022</v>
      </c>
    </row>
    <row r="584" ht="15.75" customHeight="1" s="201">
      <c r="A584" s="1" t="n">
        <v>23322300</v>
      </c>
      <c r="B584" s="1" t="inlineStr">
        <is>
          <t>Deer chop, cooked (Includes venison chop)</t>
        </is>
      </c>
      <c r="C584" s="1" t="n">
        <v>2</v>
      </c>
      <c r="D584" s="1" t="inlineStr">
        <is>
          <t>Links to altEC</t>
        </is>
      </c>
      <c r="E584" s="1" t="inlineStr">
        <is>
          <t>Base</t>
        </is>
      </c>
      <c r="F584" s="1" t="n">
        <v>2.569816</v>
      </c>
    </row>
    <row r="585" ht="15.75" customHeight="1" s="201">
      <c r="A585" s="1" t="n">
        <v>23322350</v>
      </c>
      <c r="B585" s="1" t="inlineStr">
        <is>
          <t>Venison/deer ribs, cooked</t>
        </is>
      </c>
      <c r="C585" s="1" t="n">
        <v>2</v>
      </c>
      <c r="D585" s="1" t="inlineStr">
        <is>
          <t>Links to altEC</t>
        </is>
      </c>
      <c r="E585" s="1" t="inlineStr">
        <is>
          <t>Base</t>
        </is>
      </c>
      <c r="F585" s="1" t="n">
        <v>2.569816</v>
      </c>
    </row>
    <row r="586" ht="15.75" customHeight="1" s="201">
      <c r="A586" s="1" t="n">
        <v>23322400</v>
      </c>
      <c r="B586" s="1" t="inlineStr">
        <is>
          <t>Venison/deer, stewed</t>
        </is>
      </c>
      <c r="C586" s="1" t="n">
        <v>2</v>
      </c>
      <c r="D586" s="1" t="inlineStr">
        <is>
          <t>Links to altEC</t>
        </is>
      </c>
      <c r="E586" s="1" t="inlineStr">
        <is>
          <t>Base</t>
        </is>
      </c>
      <c r="F586" s="1" t="n">
        <v>2.569816</v>
      </c>
    </row>
    <row r="587" ht="15.75" customHeight="1" s="201">
      <c r="A587" s="1" t="n">
        <v>23326100</v>
      </c>
      <c r="B587" s="1" t="inlineStr">
        <is>
          <t>Bison, cooked (Includes American buffalo)</t>
        </is>
      </c>
      <c r="C587" s="1" t="n">
        <v>2</v>
      </c>
      <c r="D587" s="1" t="inlineStr">
        <is>
          <t>Links to altEC</t>
        </is>
      </c>
      <c r="E587" s="1" t="inlineStr">
        <is>
          <t>Base</t>
        </is>
      </c>
      <c r="F587" s="1" t="n">
        <v>2.987962</v>
      </c>
    </row>
    <row r="588" ht="15.75" customHeight="1" s="201">
      <c r="A588" s="1" t="n">
        <v>24100000</v>
      </c>
      <c r="B588" s="1" t="inlineStr">
        <is>
          <t>Chicken, NS as to part and cooking method, NS as to skin eaten (Includes any source)</t>
        </is>
      </c>
      <c r="C588" s="1" t="n">
        <v>2</v>
      </c>
      <c r="D588" s="1" t="inlineStr">
        <is>
          <t>Links to altEC</t>
        </is>
      </c>
      <c r="E588" s="1" t="inlineStr">
        <is>
          <t>Base</t>
        </is>
      </c>
      <c r="F588" s="1" t="n">
        <v>0.974085</v>
      </c>
    </row>
    <row r="589" ht="15.75" customHeight="1" s="201">
      <c r="A589" s="1" t="n">
        <v>24100010</v>
      </c>
      <c r="B589" s="1" t="inlineStr">
        <is>
          <t>Chicken, NS as to part and cooking method, skin eaten (Includes any source)</t>
        </is>
      </c>
      <c r="C589" s="1" t="n">
        <v>2</v>
      </c>
      <c r="D589" s="1" t="inlineStr">
        <is>
          <t>Links to altEC</t>
        </is>
      </c>
      <c r="E589" s="1" t="inlineStr">
        <is>
          <t>Base</t>
        </is>
      </c>
      <c r="F589" s="1" t="n">
        <v>0.90817</v>
      </c>
    </row>
    <row r="590" ht="15.75" customHeight="1" s="201">
      <c r="A590" s="1" t="n">
        <v>24100020</v>
      </c>
      <c r="B590" s="1" t="inlineStr">
        <is>
          <t>Chicken, NS as to part and cooking method, skin not eaten (Includes any source)</t>
        </is>
      </c>
      <c r="C590" s="1" t="n">
        <v>2</v>
      </c>
      <c r="D590" s="1" t="inlineStr">
        <is>
          <t>Links to altEC</t>
        </is>
      </c>
      <c r="E590" s="1" t="inlineStr">
        <is>
          <t>Base</t>
        </is>
      </c>
      <c r="F590" s="1" t="n">
        <v>0.974085</v>
      </c>
    </row>
    <row r="591" ht="15.75" customHeight="1" s="201">
      <c r="A591" s="1" t="n">
        <v>24102020</v>
      </c>
      <c r="B591" s="1" t="inlineStr">
        <is>
          <t>Chicken, NS as to part, baked, broiled, or roasted, skin not eaten (Includes any source)</t>
        </is>
      </c>
      <c r="C591" s="1" t="n">
        <v>2</v>
      </c>
      <c r="D591" s="1" t="inlineStr">
        <is>
          <t>Links to altEC</t>
        </is>
      </c>
      <c r="E591" s="1" t="inlineStr">
        <is>
          <t>Base</t>
        </is>
      </c>
      <c r="F591" s="1" t="n">
        <v>0.974085</v>
      </c>
    </row>
    <row r="592" ht="15.75" customHeight="1" s="201">
      <c r="A592" s="1" t="n">
        <v>24102050</v>
      </c>
      <c r="B592" s="1" t="inlineStr">
        <is>
          <t>Chicken, NS as to part, rotisserie, NS as to skin eaten (Includes roasted and pre-cooked, ready-to-eat, ready-to-heat; fast food, restaurant, school, or other place; rotisserie from any source)</t>
        </is>
      </c>
      <c r="C592" s="1" t="n">
        <v>2</v>
      </c>
      <c r="D592" s="1" t="inlineStr">
        <is>
          <t>Links to altEC</t>
        </is>
      </c>
      <c r="E592" s="1" t="inlineStr">
        <is>
          <t>Base</t>
        </is>
      </c>
      <c r="F592" s="1" t="n">
        <v>0.974085</v>
      </c>
    </row>
    <row r="593" ht="15.75" customHeight="1" s="201">
      <c r="A593" s="1" t="n">
        <v>24102060</v>
      </c>
      <c r="B593" s="1" t="inlineStr">
        <is>
          <t>Chicken, NS as to part, rotisserie, skin eaten (Includes roasted and pre-cooked, ready-to-eat, ready-to-heat; fast food, restaurant, school, or other place; rotisserie from any source; NS as to skin eaten)</t>
        </is>
      </c>
      <c r="C593" s="1" t="n">
        <v>2</v>
      </c>
      <c r="D593" s="1" t="inlineStr">
        <is>
          <t>Links to altEC</t>
        </is>
      </c>
      <c r="E593" s="1" t="inlineStr">
        <is>
          <t>Base</t>
        </is>
      </c>
      <c r="F593" s="1" t="n">
        <v>0.944396</v>
      </c>
    </row>
    <row r="594" ht="15.75" customHeight="1" s="201">
      <c r="A594" s="1" t="n">
        <v>24103000</v>
      </c>
      <c r="B594" s="1" t="inlineStr">
        <is>
          <t>Chicken, NS as to part, stewed, NS as to skin eaten (Includes braised; any source)</t>
        </is>
      </c>
      <c r="C594" s="1" t="n">
        <v>2</v>
      </c>
      <c r="D594" s="1" t="inlineStr">
        <is>
          <t>Links to altEC</t>
        </is>
      </c>
      <c r="E594" s="1" t="inlineStr">
        <is>
          <t>Base</t>
        </is>
      </c>
      <c r="F594" s="1" t="n">
        <v>0.974085</v>
      </c>
    </row>
    <row r="595" ht="15.75" customHeight="1" s="201">
      <c r="A595" s="1" t="n">
        <v>24103010</v>
      </c>
      <c r="B595" s="1" t="inlineStr">
        <is>
          <t>Chicken, NS as to part, stewed, skin eaten (Includes braised; any source)</t>
        </is>
      </c>
      <c r="C595" s="1" t="n">
        <v>2</v>
      </c>
      <c r="D595" s="1" t="inlineStr">
        <is>
          <t>Links to altEC</t>
        </is>
      </c>
      <c r="E595" s="1" t="inlineStr">
        <is>
          <t>Base</t>
        </is>
      </c>
      <c r="F595" s="1" t="n">
        <v>0.944396</v>
      </c>
    </row>
    <row r="596" ht="15.75" customHeight="1" s="201">
      <c r="A596" s="1" t="n">
        <v>24103020</v>
      </c>
      <c r="B596" s="1" t="inlineStr">
        <is>
          <t>Chicken, NS as to part, stewed, skin not eaten (Includes braised; any source)</t>
        </is>
      </c>
      <c r="C596" s="1" t="n">
        <v>2</v>
      </c>
      <c r="D596" s="1" t="inlineStr">
        <is>
          <t>Links to altEC</t>
        </is>
      </c>
      <c r="E596" s="1" t="inlineStr">
        <is>
          <t>Base</t>
        </is>
      </c>
      <c r="F596" s="1" t="n">
        <v>0.974085</v>
      </c>
    </row>
    <row r="597" ht="15.75" customHeight="1" s="201">
      <c r="A597" s="1" t="n">
        <v>24103050</v>
      </c>
      <c r="B597" s="1" t="inlineStr">
        <is>
          <t>Chicken, NS as to part, grilled without sauce, NS as to skin eaten (Includes barbecued without sauce; any source)</t>
        </is>
      </c>
      <c r="C597" s="1" t="n">
        <v>2</v>
      </c>
      <c r="D597" s="1" t="inlineStr">
        <is>
          <t>Links to altEC</t>
        </is>
      </c>
      <c r="E597" s="1" t="inlineStr">
        <is>
          <t>Base</t>
        </is>
      </c>
      <c r="F597" s="1" t="n">
        <v>0.974085</v>
      </c>
    </row>
    <row r="598" ht="15.75" customHeight="1" s="201">
      <c r="A598" s="1" t="n">
        <v>24103060</v>
      </c>
      <c r="B598" s="1" t="inlineStr">
        <is>
          <t>Chicken, NS as to part, grilled without sauce, skin not eaten (Includes barbecued without sauce; any source)</t>
        </is>
      </c>
      <c r="C598" s="1" t="n">
        <v>2</v>
      </c>
      <c r="D598" s="1" t="inlineStr">
        <is>
          <t>Links to altEC</t>
        </is>
      </c>
      <c r="E598" s="1" t="inlineStr">
        <is>
          <t>Base</t>
        </is>
      </c>
      <c r="F598" s="1" t="n">
        <v>0.974085</v>
      </c>
    </row>
    <row r="599" ht="15.75" customHeight="1" s="201">
      <c r="A599" s="1" t="n">
        <v>24103070</v>
      </c>
      <c r="B599" s="1" t="inlineStr">
        <is>
          <t>Chicken, NS as to part, grilled with sauce, NS as to skin eaten (Includes barbecued with sauce; with barbecue sauce or marinade; any source)</t>
        </is>
      </c>
      <c r="C599" s="1" t="n">
        <v>2</v>
      </c>
      <c r="D599" s="1" t="inlineStr">
        <is>
          <t>Links to altEC</t>
        </is>
      </c>
      <c r="E599" s="1" t="inlineStr">
        <is>
          <t>Base</t>
        </is>
      </c>
      <c r="F599" s="1" t="n">
        <v>0.974085</v>
      </c>
    </row>
    <row r="600" ht="15.75" customHeight="1" s="201">
      <c r="A600" s="1" t="n">
        <v>24103075</v>
      </c>
      <c r="B600" s="1" t="inlineStr">
        <is>
          <t>Chicken, NS as to part, grilled with sauce, skin eaten (Includes barbecued with sauce; with barbecue sauce or marinade; any source)</t>
        </is>
      </c>
      <c r="C600" s="1" t="n">
        <v>3</v>
      </c>
      <c r="D600" s="1" t="inlineStr">
        <is>
          <t>Original FNDDS recipe</t>
        </is>
      </c>
      <c r="E600" s="1" t="inlineStr">
        <is>
          <t>Base</t>
        </is>
      </c>
      <c r="F600" s="1" t="n">
        <v>0.842337</v>
      </c>
    </row>
    <row r="601" ht="15.75" customHeight="1" s="201">
      <c r="A601" s="1" t="n">
        <v>24103080</v>
      </c>
      <c r="B601" s="1" t="inlineStr">
        <is>
          <t>Chicken, NS as to part, grilled with sauce, skin not eaten (Includes barbecued with sauce; with barbecue sauce or marinade; any source)</t>
        </is>
      </c>
      <c r="C601" s="1" t="n">
        <v>4</v>
      </c>
      <c r="D601" s="1" t="inlineStr">
        <is>
          <t>FNDDS recipe with replaced or modified SR codes</t>
        </is>
      </c>
      <c r="E601" s="1" t="inlineStr">
        <is>
          <t>Base</t>
        </is>
      </c>
      <c r="F601" s="1" t="n">
        <v>0.8426709999999999</v>
      </c>
    </row>
    <row r="602" ht="15.75" customHeight="1" s="201">
      <c r="A602" s="1" t="n">
        <v>24104051</v>
      </c>
      <c r="B602" s="1" t="inlineStr">
        <is>
          <t>Chicken, NS as to part, sauteed, skin not eaten (Includes any source; NS as to skin eaten; with or without fat)</t>
        </is>
      </c>
      <c r="C602" s="1" t="n">
        <v>2</v>
      </c>
      <c r="D602" s="1" t="inlineStr">
        <is>
          <t>Links to altEC</t>
        </is>
      </c>
      <c r="E602" s="1" t="inlineStr">
        <is>
          <t>Base</t>
        </is>
      </c>
      <c r="F602" s="1" t="n">
        <v>0.974085</v>
      </c>
    </row>
    <row r="603" ht="15.75" customHeight="1" s="201">
      <c r="A603" s="1" t="n">
        <v>24107070</v>
      </c>
      <c r="B603" s="1" t="inlineStr">
        <is>
          <t>Chicken, NS as to part, fried, coated, skin / coating eaten (Includes sauteed with coating; NS as to prepared with skin; NS as to coated or uncoated; any source; prepared skinless)</t>
        </is>
      </c>
      <c r="C603" s="1" t="n">
        <v>2</v>
      </c>
      <c r="D603" s="1" t="inlineStr">
        <is>
          <t>Links to altEC</t>
        </is>
      </c>
      <c r="E603" s="1" t="inlineStr">
        <is>
          <t>Base</t>
        </is>
      </c>
      <c r="F603" s="1" t="n">
        <v>0.839865</v>
      </c>
    </row>
    <row r="604" ht="15.75" customHeight="1" s="201">
      <c r="A604" s="1" t="n">
        <v>24107071</v>
      </c>
      <c r="B604" s="1" t="inlineStr">
        <is>
          <t>Chicken, NS as to part, fried, coated, skin / coating not eaten (Includes sauteed with coating; NS as to skin / coating eaten; any source)</t>
        </is>
      </c>
      <c r="C604" s="1" t="n">
        <v>2</v>
      </c>
      <c r="D604" s="1" t="inlineStr">
        <is>
          <t>Links to altEC</t>
        </is>
      </c>
      <c r="E604" s="1" t="inlineStr">
        <is>
          <t>Base</t>
        </is>
      </c>
      <c r="F604" s="1" t="n">
        <v>0.929749</v>
      </c>
    </row>
    <row r="605" ht="15.75" customHeight="1" s="201">
      <c r="A605" s="1" t="n">
        <v>24120110</v>
      </c>
      <c r="B605" s="1" t="inlineStr">
        <is>
          <t>Chicken breast, NS as to cooking method, skin eaten (Includes any source)</t>
        </is>
      </c>
      <c r="C605" s="1" t="n">
        <v>2</v>
      </c>
      <c r="D605" s="1" t="inlineStr">
        <is>
          <t>Links to altEC</t>
        </is>
      </c>
      <c r="E605" s="1" t="inlineStr">
        <is>
          <t>Base</t>
        </is>
      </c>
      <c r="F605" s="1" t="n">
        <v>1.056482</v>
      </c>
    </row>
    <row r="606" ht="15.75" customHeight="1" s="201">
      <c r="A606" s="1" t="n">
        <v>24120120</v>
      </c>
      <c r="B606" s="1" t="inlineStr">
        <is>
          <t>Chicken breast, NS as to cooking method, skin not eaten (Includes NS as to skin eaten; any source)</t>
        </is>
      </c>
      <c r="C606" s="1" t="n">
        <v>2</v>
      </c>
      <c r="D606" s="1" t="inlineStr">
        <is>
          <t>Links to altEC</t>
        </is>
      </c>
      <c r="E606" s="1" t="inlineStr">
        <is>
          <t>Base</t>
        </is>
      </c>
      <c r="F606" s="1" t="n">
        <v>1.057152</v>
      </c>
    </row>
    <row r="607" ht="15.75" customHeight="1" s="201">
      <c r="A607" s="1" t="n">
        <v>24122130</v>
      </c>
      <c r="B607" s="1" t="inlineStr">
        <is>
          <t>Chicken breast, baked, broiled, or roasted, skin eaten, from raw</t>
        </is>
      </c>
      <c r="C607" s="1" t="n">
        <v>2</v>
      </c>
      <c r="D607" s="1" t="inlineStr">
        <is>
          <t>Links to altEC</t>
        </is>
      </c>
      <c r="E607" s="1" t="inlineStr">
        <is>
          <t>Base</t>
        </is>
      </c>
      <c r="F607" s="1" t="n">
        <v>1.060141</v>
      </c>
    </row>
    <row r="608" ht="15.75" customHeight="1" s="201">
      <c r="A608" s="1" t="n">
        <v>24122131</v>
      </c>
      <c r="B608" s="1" t="inlineStr">
        <is>
          <t>Chicken breast, baked, broiled, or roasted, skin not eaten, from raw (Includes NS as to skin eaten)</t>
        </is>
      </c>
      <c r="C608" s="1" t="n">
        <v>2</v>
      </c>
      <c r="D608" s="1" t="inlineStr">
        <is>
          <t>Links to altEC</t>
        </is>
      </c>
      <c r="E608" s="1" t="inlineStr">
        <is>
          <t>Base</t>
        </is>
      </c>
      <c r="F608" s="1" t="n">
        <v>1.060141</v>
      </c>
    </row>
    <row r="609" ht="15.75" customHeight="1" s="201">
      <c r="A609" s="1" t="n">
        <v>24122140</v>
      </c>
      <c r="B609" s="1" t="inlineStr">
        <is>
          <t>Chicken breast, baked or broiled, skin eaten, from pre-cooked (Includes ready-to-eat; ready-to-heat; from school or other place)</t>
        </is>
      </c>
      <c r="C609" s="1" t="n">
        <v>2</v>
      </c>
      <c r="D609" s="1" t="inlineStr">
        <is>
          <t>Links to altEC</t>
        </is>
      </c>
      <c r="E609" s="1" t="inlineStr">
        <is>
          <t>Base</t>
        </is>
      </c>
      <c r="F609" s="1" t="n">
        <v>1.059607</v>
      </c>
    </row>
    <row r="610" ht="15.75" customHeight="1" s="201">
      <c r="A610" s="1" t="n">
        <v>24122141</v>
      </c>
      <c r="B610" s="1" t="inlineStr">
        <is>
          <t>Chicken breast, baked or broiled, skin not eaten, from pre-cooked (Includes ready-to-eat; ready-to heat; NS as to skin eaten; from school or other place)</t>
        </is>
      </c>
      <c r="C610" s="1" t="n">
        <v>2</v>
      </c>
      <c r="D610" s="1" t="inlineStr">
        <is>
          <t>Links to altEC</t>
        </is>
      </c>
      <c r="E610" s="1" t="inlineStr">
        <is>
          <t>Base</t>
        </is>
      </c>
      <c r="F610" s="1" t="n">
        <v>1.060141</v>
      </c>
    </row>
    <row r="611" ht="15.75" customHeight="1" s="201">
      <c r="A611" s="1" t="n">
        <v>24122150</v>
      </c>
      <c r="B611" s="1" t="inlineStr">
        <is>
          <t>Chicken breast, baked or broiled, skin eaten, from fast food / restaurant</t>
        </is>
      </c>
      <c r="C611" s="1" t="n">
        <v>2</v>
      </c>
      <c r="D611" s="1" t="inlineStr">
        <is>
          <t>Links to altEC</t>
        </is>
      </c>
      <c r="E611" s="1" t="inlineStr">
        <is>
          <t>Base</t>
        </is>
      </c>
      <c r="F611" s="1" t="n">
        <v>1.059607</v>
      </c>
    </row>
    <row r="612" ht="15.75" customHeight="1" s="201">
      <c r="A612" s="1" t="n">
        <v>24122151</v>
      </c>
      <c r="B612" s="1" t="inlineStr">
        <is>
          <t>Chicken breast, baked or broiled, skin not eaten, from fast food / restaurant (Includes NS as to skin eaten)</t>
        </is>
      </c>
      <c r="C612" s="1" t="n">
        <v>2</v>
      </c>
      <c r="D612" s="1" t="inlineStr">
        <is>
          <t>Links to altEC</t>
        </is>
      </c>
      <c r="E612" s="1" t="inlineStr">
        <is>
          <t>Base</t>
        </is>
      </c>
      <c r="F612" s="1" t="n">
        <v>1.060141</v>
      </c>
    </row>
    <row r="613" ht="15.75" customHeight="1" s="201">
      <c r="A613" s="1" t="n">
        <v>24122160</v>
      </c>
      <c r="B613" s="1" t="inlineStr">
        <is>
          <t>Chicken breast, baked, broiled, or roasted with marinade, skin eaten, from raw (Includes any source)</t>
        </is>
      </c>
      <c r="C613" s="1" t="n">
        <v>2</v>
      </c>
      <c r="D613" s="1" t="inlineStr">
        <is>
          <t>Links to altEC</t>
        </is>
      </c>
      <c r="E613" s="1" t="inlineStr">
        <is>
          <t>Base</t>
        </is>
      </c>
      <c r="F613" s="1" t="n">
        <v>1.059607</v>
      </c>
    </row>
    <row r="614" ht="15.75" customHeight="1" s="201">
      <c r="A614" s="1" t="n">
        <v>24122161</v>
      </c>
      <c r="B614" s="1" t="inlineStr">
        <is>
          <t>Chicken breast, baked, broiled, or roasted with marinade, skin not eaten, from raw (Includes NS as to skin eaten; any source)</t>
        </is>
      </c>
      <c r="C614" s="1" t="n">
        <v>2</v>
      </c>
      <c r="D614" s="1" t="inlineStr">
        <is>
          <t>Links to altEC</t>
        </is>
      </c>
      <c r="E614" s="1" t="inlineStr">
        <is>
          <t>Base</t>
        </is>
      </c>
      <c r="F614" s="1" t="n">
        <v>1.059607</v>
      </c>
    </row>
    <row r="615" ht="15.75" customHeight="1" s="201">
      <c r="A615" s="1" t="n">
        <v>24122170</v>
      </c>
      <c r="B615" s="1" t="inlineStr">
        <is>
          <t>Chicken breast, rotisserie, skin eaten (Includes roasted and pre-cooked, ready-to-eat, ready-to-heat; fast food, restaurant, school, or other place; NS as to skin eaten; rotisserie from any source)</t>
        </is>
      </c>
      <c r="C615" s="1" t="n">
        <v>2</v>
      </c>
      <c r="D615" s="1" t="inlineStr">
        <is>
          <t>Links to altEC</t>
        </is>
      </c>
      <c r="E615" s="1" t="inlineStr">
        <is>
          <t>Base</t>
        </is>
      </c>
      <c r="F615" s="1" t="n">
        <v>1.059607</v>
      </c>
    </row>
    <row r="616" ht="15.75" customHeight="1" s="201">
      <c r="A616" s="1" t="n">
        <v>24122171</v>
      </c>
      <c r="B616" s="1" t="inlineStr">
        <is>
          <t>Chicken breast, rotisserie, skin not eaten (Includes rotisserie chicken, NFS; roasted and pre-cooked, ready-to-eat, ready-to-heat; fast food, restaurant, school, or other place; rotisserie from any source)</t>
        </is>
      </c>
      <c r="C616" s="1" t="n">
        <v>2</v>
      </c>
      <c r="D616" s="1" t="inlineStr">
        <is>
          <t>Links to altEC</t>
        </is>
      </c>
      <c r="E616" s="1" t="inlineStr">
        <is>
          <t>Base</t>
        </is>
      </c>
      <c r="F616" s="1" t="n">
        <v>1.060141</v>
      </c>
    </row>
    <row r="617" ht="15.75" customHeight="1" s="201">
      <c r="A617" s="1" t="n">
        <v>24123110</v>
      </c>
      <c r="B617" s="1" t="inlineStr">
        <is>
          <t>Chicken breast, stewed, skin eaten (Includes braised; any source)</t>
        </is>
      </c>
      <c r="C617" s="1" t="n">
        <v>2</v>
      </c>
      <c r="D617" s="1" t="inlineStr">
        <is>
          <t>Links to altEC</t>
        </is>
      </c>
      <c r="E617" s="1" t="inlineStr">
        <is>
          <t>Base</t>
        </is>
      </c>
      <c r="F617" s="1" t="n">
        <v>1.059607</v>
      </c>
    </row>
    <row r="618" ht="15.75" customHeight="1" s="201">
      <c r="A618" s="1" t="n">
        <v>24123120</v>
      </c>
      <c r="B618" s="1" t="inlineStr">
        <is>
          <t>Chicken breast, stewed, skin not eaten (Includes braised; NS as to skin eaten; any source)</t>
        </is>
      </c>
      <c r="C618" s="1" t="n">
        <v>2</v>
      </c>
      <c r="D618" s="1" t="inlineStr">
        <is>
          <t>Links to altEC</t>
        </is>
      </c>
      <c r="E618" s="1" t="inlineStr">
        <is>
          <t>Base</t>
        </is>
      </c>
      <c r="F618" s="1" t="n">
        <v>1.060141</v>
      </c>
    </row>
    <row r="619" ht="15.75" customHeight="1" s="201">
      <c r="A619" s="1" t="n">
        <v>24123301</v>
      </c>
      <c r="B619" s="1" t="inlineStr">
        <is>
          <t>Chicken breast, grilled without sauce, skin not eaten (Includes barbecued without sauce; NS as to skin eaten; any source)</t>
        </is>
      </c>
      <c r="C619" s="1" t="n">
        <v>2</v>
      </c>
      <c r="D619" s="1" t="inlineStr">
        <is>
          <t>Links to altEC</t>
        </is>
      </c>
      <c r="E619" s="1" t="inlineStr">
        <is>
          <t>Base</t>
        </is>
      </c>
      <c r="F619" s="1" t="n">
        <v>1.059939</v>
      </c>
    </row>
    <row r="620" ht="15.75" customHeight="1" s="201">
      <c r="A620" s="1" t="n">
        <v>24123310</v>
      </c>
      <c r="B620" s="1" t="inlineStr">
        <is>
          <t>Chicken breast, grilled with sauce, skin eaten (Includes barbecued with sauce; with barbecue sauce or marinade; any source)</t>
        </is>
      </c>
      <c r="C620" s="1" t="n">
        <v>2</v>
      </c>
      <c r="D620" s="1" t="inlineStr">
        <is>
          <t>Links to altEC</t>
        </is>
      </c>
      <c r="E620" s="1" t="inlineStr">
        <is>
          <t>Base</t>
        </is>
      </c>
      <c r="F620" s="1" t="n">
        <v>1.059673</v>
      </c>
    </row>
    <row r="621" ht="15.75" customHeight="1" s="201">
      <c r="A621" s="1" t="n">
        <v>24123311</v>
      </c>
      <c r="B621" s="1" t="inlineStr">
        <is>
          <t>Chicken breast, grilled with sauce, skin not eaten (Includes barbecued with sauce; with barbecue sauce or marinade; any source)</t>
        </is>
      </c>
      <c r="C621" s="1" t="n">
        <v>2</v>
      </c>
      <c r="D621" s="1" t="inlineStr">
        <is>
          <t>Links to altEC</t>
        </is>
      </c>
      <c r="E621" s="1" t="inlineStr">
        <is>
          <t>Base</t>
        </is>
      </c>
      <c r="F621" s="1" t="n">
        <v>1.06026</v>
      </c>
    </row>
    <row r="622" ht="15.75" customHeight="1" s="201">
      <c r="A622" s="1" t="n">
        <v>24124200</v>
      </c>
      <c r="B622" s="1" t="inlineStr">
        <is>
          <t>Chicken breast, sauteed, skin eaten (Includes any source; with or without fat)</t>
        </is>
      </c>
      <c r="C622" s="1" t="n">
        <v>2</v>
      </c>
      <c r="D622" s="1" t="inlineStr">
        <is>
          <t>Links to altEC</t>
        </is>
      </c>
      <c r="E622" s="1" t="inlineStr">
        <is>
          <t>Base</t>
        </is>
      </c>
      <c r="F622" s="1" t="n">
        <v>1.059607</v>
      </c>
    </row>
    <row r="623" ht="15.75" customHeight="1" s="201">
      <c r="A623" s="1" t="n">
        <v>24124201</v>
      </c>
      <c r="B623" s="1" t="inlineStr">
        <is>
          <t>Chicken breast, sauteed, skin not eaten (Includes any source; NS as to skin eaten; with or without fat)</t>
        </is>
      </c>
      <c r="C623" s="1" t="n">
        <v>2</v>
      </c>
      <c r="D623" s="1" t="inlineStr">
        <is>
          <t>Links to altEC</t>
        </is>
      </c>
      <c r="E623" s="1" t="inlineStr">
        <is>
          <t>Base</t>
        </is>
      </c>
      <c r="F623" s="1" t="n">
        <v>1.060141</v>
      </c>
    </row>
    <row r="624" ht="15.75" customHeight="1" s="201">
      <c r="A624" s="1" t="n">
        <v>24127200</v>
      </c>
      <c r="B624" s="1" t="inlineStr">
        <is>
          <t>Chicken breast, fried, coated, skin / coating eaten, from raw (Includes sauteed with coating; NS as to prepared with skin; NS as to coated or uncoated)</t>
        </is>
      </c>
      <c r="C624" s="1" t="n">
        <v>2</v>
      </c>
      <c r="D624" s="1" t="inlineStr">
        <is>
          <t>Links to altEC</t>
        </is>
      </c>
      <c r="E624" s="1" t="inlineStr">
        <is>
          <t>Base</t>
        </is>
      </c>
      <c r="F624" s="1" t="n">
        <v>0.766096</v>
      </c>
    </row>
    <row r="625" ht="15.75" customHeight="1" s="201">
      <c r="A625" s="1" t="n">
        <v>24127201</v>
      </c>
      <c r="B625" s="1" t="inlineStr">
        <is>
          <t>Chicken breast, fried, coated, skin / coating not eaten, from raw (Includes sauteed with coating; NS as to prepared with skin; NS as to coated or uncoated)</t>
        </is>
      </c>
      <c r="C625" s="1" t="n">
        <v>2</v>
      </c>
      <c r="D625" s="1" t="inlineStr">
        <is>
          <t>Links to altEC</t>
        </is>
      </c>
      <c r="E625" s="1" t="inlineStr">
        <is>
          <t>Base</t>
        </is>
      </c>
      <c r="F625" s="1" t="n">
        <v>0.766096</v>
      </c>
    </row>
    <row r="626" ht="15.75" customHeight="1" s="201">
      <c r="A626" s="1" t="n">
        <v>24127202</v>
      </c>
      <c r="B626" s="1" t="inlineStr">
        <is>
          <t>Chicken breast, fried, coated, prepared skinless, coating eaten, from raw (Includes sauteed with coating; NS as to skin / coating eaten)</t>
        </is>
      </c>
      <c r="C626" s="1" t="n">
        <v>2</v>
      </c>
      <c r="D626" s="1" t="inlineStr">
        <is>
          <t>Links to altEC</t>
        </is>
      </c>
      <c r="E626" s="1" t="inlineStr">
        <is>
          <t>Base</t>
        </is>
      </c>
      <c r="F626" s="1" t="n">
        <v>0.766096</v>
      </c>
    </row>
    <row r="627" ht="15.75" customHeight="1" s="201">
      <c r="A627" s="1" t="n">
        <v>24127210</v>
      </c>
      <c r="B627" s="1" t="inlineStr">
        <is>
          <t>Chicken breast, fried, coated, skin / coating eaten, from pre-cooked (Includes sauteed with coating; ready-to-eat; ready-to-heat; NS as to prepared with skin; NS as to coated or uncoated; from school or other place; prepared skinless)</t>
        </is>
      </c>
      <c r="C627" s="1" t="n">
        <v>2</v>
      </c>
      <c r="D627" s="1" t="inlineStr">
        <is>
          <t>Links to altEC</t>
        </is>
      </c>
      <c r="E627" s="1" t="inlineStr">
        <is>
          <t>Base</t>
        </is>
      </c>
      <c r="F627" s="1" t="n">
        <v>0.766096</v>
      </c>
    </row>
    <row r="628" ht="15.75" customHeight="1" s="201">
      <c r="A628" s="1" t="n">
        <v>24127220</v>
      </c>
      <c r="B628" s="1" t="inlineStr">
        <is>
          <t>Chicken breast, fried, coated, skin / coating eaten, from fast food / restaurant (Includes sauteed with coating; NS as to prepared with skin; NS as to coated or uncoated; prepared skinless)</t>
        </is>
      </c>
      <c r="C628" s="1" t="n">
        <v>2</v>
      </c>
      <c r="D628" s="1" t="inlineStr">
        <is>
          <t>Links to altEC</t>
        </is>
      </c>
      <c r="E628" s="1" t="inlineStr">
        <is>
          <t>Base</t>
        </is>
      </c>
      <c r="F628" s="1" t="n">
        <v>0.766096</v>
      </c>
    </row>
    <row r="629" ht="15.75" customHeight="1" s="201">
      <c r="A629" s="1" t="n">
        <v>24127221</v>
      </c>
      <c r="B629" s="1" t="inlineStr">
        <is>
          <t>Chicken breast, fried, coated, skin / coating not eaten, from fast food / restaurant (Includes sauteed with coating; NS as to prepared with skin; NS as to coated or uncoated)</t>
        </is>
      </c>
      <c r="C629" s="1" t="n">
        <v>2</v>
      </c>
      <c r="D629" s="1" t="inlineStr">
        <is>
          <t>Links to altEC</t>
        </is>
      </c>
      <c r="E629" s="1" t="inlineStr">
        <is>
          <t>Base</t>
        </is>
      </c>
      <c r="F629" s="1" t="n">
        <v>0.766096</v>
      </c>
    </row>
    <row r="630" ht="15.75" customHeight="1" s="201">
      <c r="A630" s="1" t="n">
        <v>24127500</v>
      </c>
      <c r="B630" s="1" t="inlineStr">
        <is>
          <t>Chicken breast, baked, coated, skin / coating eaten (Includes broiled or roasted with coating; NS as to prepared with skin; NS as to coated or uncoated; any source; prepared skinless)</t>
        </is>
      </c>
      <c r="C630" s="1" t="n">
        <v>2</v>
      </c>
      <c r="D630" s="1" t="inlineStr">
        <is>
          <t>Links to altEC</t>
        </is>
      </c>
      <c r="E630" s="1" t="inlineStr">
        <is>
          <t>Base</t>
        </is>
      </c>
      <c r="F630" s="1" t="n">
        <v>0.766096</v>
      </c>
    </row>
    <row r="631" ht="15.75" customHeight="1" s="201">
      <c r="A631" s="1" t="n">
        <v>24127501</v>
      </c>
      <c r="B631" s="1" t="inlineStr">
        <is>
          <t>Chicken breast, baked, coated, skin / coating not eaten (Includes broiled or roasted with coating; NS as to prepared with skin; NS as to coated or uncoated; any source)</t>
        </is>
      </c>
      <c r="C631" s="1" t="n">
        <v>2</v>
      </c>
      <c r="D631" s="1" t="inlineStr">
        <is>
          <t>Links to altEC</t>
        </is>
      </c>
      <c r="E631" s="1" t="inlineStr">
        <is>
          <t>Base</t>
        </is>
      </c>
      <c r="F631" s="1" t="n">
        <v>0.766096</v>
      </c>
    </row>
    <row r="632" ht="15.75" customHeight="1" s="201">
      <c r="A632" s="1" t="n">
        <v>24130210</v>
      </c>
      <c r="B632" s="1" t="inlineStr">
        <is>
          <t>Chicken leg, drumstick and thigh, NS as to cooking method, skin eaten (Includes NS as to skin eaten; any source)</t>
        </is>
      </c>
      <c r="C632" s="1" t="n">
        <v>2</v>
      </c>
      <c r="D632" s="1" t="inlineStr">
        <is>
          <t>Links to altEC</t>
        </is>
      </c>
      <c r="E632" s="1" t="inlineStr">
        <is>
          <t>Base</t>
        </is>
      </c>
      <c r="F632" s="1" t="n">
        <v>0.296117</v>
      </c>
    </row>
    <row r="633" ht="15.75" customHeight="1" s="201">
      <c r="A633" s="1" t="n">
        <v>24132240</v>
      </c>
      <c r="B633" s="1" t="inlineStr">
        <is>
          <t>Chicken leg, drumstick and thigh, rotisserie, skin eaten (Includes roasted and pre-cooked, ready-to-eat, ready-to-heat; fast food, restaurant, school, or other place; rotisserie from any source; NS as to skin eaten)</t>
        </is>
      </c>
      <c r="C633" s="1" t="n">
        <v>2</v>
      </c>
      <c r="D633" s="1" t="inlineStr">
        <is>
          <t>Links to altEC</t>
        </is>
      </c>
      <c r="E633" s="1" t="inlineStr">
        <is>
          <t>Base</t>
        </is>
      </c>
      <c r="F633" s="1" t="n">
        <v>0.51272</v>
      </c>
    </row>
    <row r="634" ht="15.75" customHeight="1" s="201">
      <c r="A634" s="1" t="n">
        <v>24133220</v>
      </c>
      <c r="B634" s="1" t="inlineStr">
        <is>
          <t>Chicken leg, drumstick and thigh, stewed, skin not eaten (Includes braised; any source)</t>
        </is>
      </c>
      <c r="C634" s="1" t="n">
        <v>2</v>
      </c>
      <c r="D634" s="1" t="inlineStr">
        <is>
          <t>Links to altEC</t>
        </is>
      </c>
      <c r="E634" s="1" t="inlineStr">
        <is>
          <t>Base</t>
        </is>
      </c>
      <c r="F634" s="1" t="n">
        <v>0.29684</v>
      </c>
    </row>
    <row r="635" ht="15.75" customHeight="1" s="201">
      <c r="A635" s="1" t="n">
        <v>24134100</v>
      </c>
      <c r="B635" s="1" t="inlineStr">
        <is>
          <t>Chicken leg, drumstick and thigh, grilled without sauce, skin eaten (Includes barbecued without sauce; NS as to skin eaten; any source)</t>
        </is>
      </c>
      <c r="C635" s="1" t="n">
        <v>2</v>
      </c>
      <c r="D635" s="1" t="inlineStr">
        <is>
          <t>Links to altEC</t>
        </is>
      </c>
      <c r="E635" s="1" t="inlineStr">
        <is>
          <t>Base</t>
        </is>
      </c>
      <c r="F635" s="1" t="n">
        <v>0.296117</v>
      </c>
    </row>
    <row r="636" ht="15.75" customHeight="1" s="201">
      <c r="A636" s="1" t="n">
        <v>24134101</v>
      </c>
      <c r="B636" s="1" t="inlineStr">
        <is>
          <t>Chicken leg, drumstick and thigh, grilled without sauce, skin not eaten (Includes barbecued without sauce; any source)</t>
        </is>
      </c>
      <c r="C636" s="1" t="n">
        <v>2</v>
      </c>
      <c r="D636" s="1" t="inlineStr">
        <is>
          <t>Links to altEC</t>
        </is>
      </c>
      <c r="E636" s="1" t="inlineStr">
        <is>
          <t>Base</t>
        </is>
      </c>
      <c r="F636" s="1" t="n">
        <v>0.337573</v>
      </c>
    </row>
    <row r="637" ht="15.75" customHeight="1" s="201">
      <c r="A637" s="1" t="n">
        <v>24134150</v>
      </c>
      <c r="B637" s="1" t="inlineStr">
        <is>
          <t>Chicken leg, drumstick and thigh, grilled with sauce, skin eaten (Includes barbecued with sauce; with barbecue sauce or marinade; any source)</t>
        </is>
      </c>
      <c r="C637" s="1" t="n">
        <v>4</v>
      </c>
      <c r="D637" s="1" t="inlineStr">
        <is>
          <t>FNDDS recipe with replaced or modified SR codes</t>
        </is>
      </c>
      <c r="E637" s="1" t="inlineStr">
        <is>
          <t>Base</t>
        </is>
      </c>
      <c r="F637" s="1" t="n">
        <v>0.58989</v>
      </c>
    </row>
    <row r="638" ht="15.75" customHeight="1" s="201">
      <c r="A638" s="1" t="n">
        <v>24134300</v>
      </c>
      <c r="B638" s="1" t="inlineStr">
        <is>
          <t>Chicken leg, drumstick and thigh, sauteed, skin eaten (Includes any source; with or without fat)</t>
        </is>
      </c>
      <c r="C638" s="1" t="n">
        <v>2</v>
      </c>
      <c r="D638" s="1" t="inlineStr">
        <is>
          <t>Links to altEC</t>
        </is>
      </c>
      <c r="E638" s="1" t="inlineStr">
        <is>
          <t>Base</t>
        </is>
      </c>
      <c r="F638" s="1" t="n">
        <v>0.296117</v>
      </c>
    </row>
    <row r="639" ht="15.75" customHeight="1" s="201">
      <c r="A639" s="1" t="n">
        <v>24134301</v>
      </c>
      <c r="B639" s="1" t="inlineStr">
        <is>
          <t>Chicken leg, drumstick and thigh, sauteed, skin not eaten (Includes any source; NS as to skin eaten; with or without fat)</t>
        </is>
      </c>
      <c r="C639" s="1" t="n">
        <v>2</v>
      </c>
      <c r="D639" s="1" t="inlineStr">
        <is>
          <t>Links to altEC</t>
        </is>
      </c>
      <c r="E639" s="1" t="inlineStr">
        <is>
          <t>Base</t>
        </is>
      </c>
      <c r="F639" s="1" t="n">
        <v>0.337573</v>
      </c>
    </row>
    <row r="640" ht="15.75" customHeight="1" s="201">
      <c r="A640" s="1" t="n">
        <v>24137300</v>
      </c>
      <c r="B640" s="1" t="inlineStr">
        <is>
          <t>Chicken leg, drumstick and thigh, fried, coated, skin / coating eaten (Includes sauteed with coating; NS as to prepared with skin; NS as to coated or uncoated; NS as to skin / coating eaten; any source; prepared skinless)</t>
        </is>
      </c>
      <c r="C640" s="1" t="n">
        <v>2</v>
      </c>
      <c r="D640" s="1" t="inlineStr">
        <is>
          <t>Links to altEC</t>
        </is>
      </c>
      <c r="E640" s="1" t="inlineStr">
        <is>
          <t>Base</t>
        </is>
      </c>
      <c r="F640" s="1" t="n">
        <v>1.003446</v>
      </c>
    </row>
    <row r="641" ht="15.75" customHeight="1" s="201">
      <c r="A641" s="1" t="n">
        <v>24137301</v>
      </c>
      <c r="B641" s="1" t="inlineStr">
        <is>
          <t>Chicken leg, drumstick and thigh, fried, coated, skin / coating not eaten (Includes sauteed with coating; NS as to prepared with skin; NS as to coated or uncoated; any source)</t>
        </is>
      </c>
      <c r="C641" s="1" t="n">
        <v>2</v>
      </c>
      <c r="D641" s="1" t="inlineStr">
        <is>
          <t>Links to altEC</t>
        </is>
      </c>
      <c r="E641" s="1" t="inlineStr">
        <is>
          <t>Base</t>
        </is>
      </c>
      <c r="F641" s="1" t="n">
        <v>1.003446</v>
      </c>
    </row>
    <row r="642" ht="15.75" customHeight="1" s="201">
      <c r="A642" s="1" t="n">
        <v>24137310</v>
      </c>
      <c r="B642" s="1" t="inlineStr">
        <is>
          <t>Chicken leg, drumstick and thigh, baked, coated, skin / coating eaten (Includes broiled or roasted with coating; NS as to prepared with skin; NS as to coated or uncoated; NS as to skin / coating eaten; any source; prepared skinless)</t>
        </is>
      </c>
      <c r="C642" s="1" t="n">
        <v>2</v>
      </c>
      <c r="D642" s="1" t="inlineStr">
        <is>
          <t>Links to altEC</t>
        </is>
      </c>
      <c r="E642" s="1" t="inlineStr">
        <is>
          <t>Base</t>
        </is>
      </c>
      <c r="F642" s="1" t="n">
        <v>1.299597</v>
      </c>
    </row>
    <row r="643" ht="15.75" customHeight="1" s="201">
      <c r="A643" s="1" t="n">
        <v>24137311</v>
      </c>
      <c r="B643" s="1" t="inlineStr">
        <is>
          <t>Chicken leg, drumstick and thigh, baked, coated, skin / coating not eaten (Includes broiled or roasted with coating; NS as to prepared with skin; NS as to coated or uncoated; any source)</t>
        </is>
      </c>
      <c r="C643" s="1" t="n">
        <v>2</v>
      </c>
      <c r="D643" s="1" t="inlineStr">
        <is>
          <t>Links to altEC</t>
        </is>
      </c>
      <c r="E643" s="1" t="inlineStr">
        <is>
          <t>Base</t>
        </is>
      </c>
      <c r="F643" s="1" t="n">
        <v>1.299597</v>
      </c>
    </row>
    <row r="644" ht="15.75" customHeight="1" s="201">
      <c r="A644" s="1" t="n">
        <v>24140210</v>
      </c>
      <c r="B644" s="1" t="inlineStr">
        <is>
          <t>Chicken drumstick, NS as to cooking method, skin eaten (Includes NS as to skin eaten; any source)</t>
        </is>
      </c>
      <c r="C644" s="1" t="n">
        <v>2</v>
      </c>
      <c r="D644" s="1" t="inlineStr">
        <is>
          <t>Links to altEC</t>
        </is>
      </c>
      <c r="E644" s="1" t="inlineStr">
        <is>
          <t>Base</t>
        </is>
      </c>
      <c r="F644" s="1" t="n">
        <v>0.43085</v>
      </c>
    </row>
    <row r="645" ht="15.75" customHeight="1" s="201">
      <c r="A645" s="1" t="n">
        <v>24140220</v>
      </c>
      <c r="B645" s="1" t="inlineStr">
        <is>
          <t>Chicken drumstick, NS as to cooking method, skin not eaten (Includes any source)</t>
        </is>
      </c>
      <c r="C645" s="1" t="n">
        <v>2</v>
      </c>
      <c r="D645" s="1" t="inlineStr">
        <is>
          <t>Links to altEC</t>
        </is>
      </c>
      <c r="E645" s="1" t="inlineStr">
        <is>
          <t>Base</t>
        </is>
      </c>
      <c r="F645" s="1" t="n">
        <v>0.491169</v>
      </c>
    </row>
    <row r="646" ht="15.75" customHeight="1" s="201">
      <c r="A646" s="1" t="n">
        <v>24142300</v>
      </c>
      <c r="B646" s="1" t="inlineStr">
        <is>
          <t>Chicken drumstick, baked, broiled, or roasted, skin eaten, from raw (Includes NS as to skin eaten)</t>
        </is>
      </c>
      <c r="C646" s="1" t="n">
        <v>2</v>
      </c>
      <c r="D646" s="1" t="inlineStr">
        <is>
          <t>Links to altEC</t>
        </is>
      </c>
      <c r="E646" s="1" t="inlineStr">
        <is>
          <t>Base</t>
        </is>
      </c>
      <c r="F646" s="1" t="n">
        <v>0.43085</v>
      </c>
    </row>
    <row r="647" ht="15.75" customHeight="1" s="201">
      <c r="A647" s="1" t="n">
        <v>24142301</v>
      </c>
      <c r="B647" s="1" t="inlineStr">
        <is>
          <t>Chicken drumstick, baked, broiled, or roasted, skin not eaten, from raw</t>
        </is>
      </c>
      <c r="C647" s="1" t="n">
        <v>2</v>
      </c>
      <c r="D647" s="1" t="inlineStr">
        <is>
          <t>Links to altEC</t>
        </is>
      </c>
      <c r="E647" s="1" t="inlineStr">
        <is>
          <t>Base</t>
        </is>
      </c>
      <c r="F647" s="1" t="n">
        <v>0.491169</v>
      </c>
    </row>
    <row r="648" ht="15.75" customHeight="1" s="201">
      <c r="A648" s="1" t="n">
        <v>24142320</v>
      </c>
      <c r="B648" s="1" t="inlineStr">
        <is>
          <t>Chicken drumstick, baked or broiled, skin eaten, from fast food / restaurant (Includes NS as to skin eaten)</t>
        </is>
      </c>
      <c r="C648" s="1" t="n">
        <v>2</v>
      </c>
      <c r="D648" s="1" t="inlineStr">
        <is>
          <t>Links to altEC</t>
        </is>
      </c>
      <c r="E648" s="1" t="inlineStr">
        <is>
          <t>Base</t>
        </is>
      </c>
      <c r="F648" s="1" t="n">
        <v>0.43085</v>
      </c>
    </row>
    <row r="649" ht="15.75" customHeight="1" s="201">
      <c r="A649" s="1" t="n">
        <v>24142321</v>
      </c>
      <c r="B649" s="1" t="inlineStr">
        <is>
          <t>Chicken drumstick, baked or broiled, skin not eaten, from fast food / restaurant</t>
        </is>
      </c>
      <c r="C649" s="1" t="n">
        <v>2</v>
      </c>
      <c r="D649" s="1" t="inlineStr">
        <is>
          <t>Links to altEC</t>
        </is>
      </c>
      <c r="E649" s="1" t="inlineStr">
        <is>
          <t>Base</t>
        </is>
      </c>
      <c r="F649" s="1" t="n">
        <v>0.491169</v>
      </c>
    </row>
    <row r="650" ht="15.75" customHeight="1" s="201">
      <c r="A650" s="1" t="n">
        <v>24142400</v>
      </c>
      <c r="B650" s="1" t="inlineStr">
        <is>
          <t>Chicken drumstick, rotisserie, skin eaten (Includes roasted and pre-cooked, ready-to-eat, ready-to-heat; fast food, restaurant, school, or other place; rotisserie from any source; NS as to skin eaten)</t>
        </is>
      </c>
      <c r="C650" s="1" t="n">
        <v>2</v>
      </c>
      <c r="D650" s="1" t="inlineStr">
        <is>
          <t>Links to altEC</t>
        </is>
      </c>
      <c r="E650" s="1" t="inlineStr">
        <is>
          <t>Base</t>
        </is>
      </c>
      <c r="F650" s="1" t="n">
        <v>0.43085</v>
      </c>
    </row>
    <row r="651" ht="15.75" customHeight="1" s="201">
      <c r="A651" s="1" t="n">
        <v>24142401</v>
      </c>
      <c r="B651" s="1" t="inlineStr">
        <is>
          <t>Chicken drumstick, rotisserie, skin not eaten (Includes roasted and pre-cooked, ready-to-eat, ready-to-heat; fast food, restaurant, school, or other place; rotisserie from any source)</t>
        </is>
      </c>
      <c r="C651" s="1" t="n">
        <v>2</v>
      </c>
      <c r="D651" s="1" t="inlineStr">
        <is>
          <t>Links to altEC</t>
        </is>
      </c>
      <c r="E651" s="1" t="inlineStr">
        <is>
          <t>Base</t>
        </is>
      </c>
      <c r="F651" s="1" t="n">
        <v>0.491169</v>
      </c>
    </row>
    <row r="652" ht="15.75" customHeight="1" s="201">
      <c r="A652" s="1" t="n">
        <v>24142500</v>
      </c>
      <c r="B652" s="1" t="inlineStr">
        <is>
          <t>Chicken drumstick, grilled without sauce, skin eaten (Includes barbecued without sauce; NS as to skin eaten; any source)</t>
        </is>
      </c>
      <c r="C652" s="1" t="n">
        <v>2</v>
      </c>
      <c r="D652" s="1" t="inlineStr">
        <is>
          <t>Links to altEC</t>
        </is>
      </c>
      <c r="E652" s="1" t="inlineStr">
        <is>
          <t>Base</t>
        </is>
      </c>
      <c r="F652" s="1" t="n">
        <v>0.43085</v>
      </c>
    </row>
    <row r="653" ht="15.75" customHeight="1" s="201">
      <c r="A653" s="1" t="n">
        <v>24142501</v>
      </c>
      <c r="B653" s="1" t="inlineStr">
        <is>
          <t>Chicken drumstick, grilled without sauce, skin not eaten (Includes barbecued without sauce; any source)</t>
        </is>
      </c>
      <c r="C653" s="1" t="n">
        <v>2</v>
      </c>
      <c r="D653" s="1" t="inlineStr">
        <is>
          <t>Links to altEC</t>
        </is>
      </c>
      <c r="E653" s="1" t="inlineStr">
        <is>
          <t>Base</t>
        </is>
      </c>
      <c r="F653" s="1" t="n">
        <v>0.491169</v>
      </c>
    </row>
    <row r="654" ht="15.75" customHeight="1" s="201">
      <c r="A654" s="1" t="n">
        <v>24142510</v>
      </c>
      <c r="B654" s="1" t="inlineStr">
        <is>
          <t>Chicken drumstick, grilled with sauce, skin eaten (Includes barbecued with sauce; with barbecue sauce or marinade; any source)</t>
        </is>
      </c>
      <c r="C654" s="1" t="n">
        <v>2</v>
      </c>
      <c r="D654" s="1" t="inlineStr">
        <is>
          <t>Links to altEC</t>
        </is>
      </c>
      <c r="E654" s="1" t="inlineStr">
        <is>
          <t>Base</t>
        </is>
      </c>
      <c r="F654" s="1" t="n">
        <v>0.431226</v>
      </c>
    </row>
    <row r="655" ht="15.75" customHeight="1" s="201">
      <c r="A655" s="1" t="n">
        <v>24142511</v>
      </c>
      <c r="B655" s="1" t="inlineStr">
        <is>
          <t>Chicken drumstick, grilled with sauce, skin not eaten (Includes barbecued with sauce; with barbecue sauce or marinade; any source)</t>
        </is>
      </c>
      <c r="C655" s="1" t="n">
        <v>2</v>
      </c>
      <c r="D655" s="1" t="inlineStr">
        <is>
          <t>Links to altEC</t>
        </is>
      </c>
      <c r="E655" s="1" t="inlineStr">
        <is>
          <t>Base</t>
        </is>
      </c>
      <c r="F655" s="1" t="n">
        <v>0.491598</v>
      </c>
    </row>
    <row r="656" ht="15.75" customHeight="1" s="201">
      <c r="A656" s="1" t="n">
        <v>24143210</v>
      </c>
      <c r="B656" s="1" t="inlineStr">
        <is>
          <t>Chicken drumstick, stewed, skin eaten (Includes braised; NS as to skin eaten; any source)</t>
        </is>
      </c>
      <c r="C656" s="1" t="n">
        <v>2</v>
      </c>
      <c r="D656" s="1" t="inlineStr">
        <is>
          <t>Links to altEC</t>
        </is>
      </c>
      <c r="E656" s="1" t="inlineStr">
        <is>
          <t>Base</t>
        </is>
      </c>
      <c r="F656" s="1" t="n">
        <v>0.43085</v>
      </c>
    </row>
    <row r="657" ht="15.75" customHeight="1" s="201">
      <c r="A657" s="1" t="n">
        <v>24143220</v>
      </c>
      <c r="B657" s="1" t="inlineStr">
        <is>
          <t>Chicken drumstick, stewed, skin not eaten (Includes braised; any source)</t>
        </is>
      </c>
      <c r="C657" s="1" t="n">
        <v>2</v>
      </c>
      <c r="D657" s="1" t="inlineStr">
        <is>
          <t>Links to altEC</t>
        </is>
      </c>
      <c r="E657" s="1" t="inlineStr">
        <is>
          <t>Base</t>
        </is>
      </c>
      <c r="F657" s="1" t="n">
        <v>0.491169</v>
      </c>
    </row>
    <row r="658" ht="15.75" customHeight="1" s="201">
      <c r="A658" s="1" t="n">
        <v>24144300</v>
      </c>
      <c r="B658" s="1" t="inlineStr">
        <is>
          <t>Chicken drumstick, sauteed, skin eaten (Includes any source; with or without fat)</t>
        </is>
      </c>
      <c r="C658" s="1" t="n">
        <v>2</v>
      </c>
      <c r="D658" s="1" t="inlineStr">
        <is>
          <t>Links to altEC</t>
        </is>
      </c>
      <c r="E658" s="1" t="inlineStr">
        <is>
          <t>Base</t>
        </is>
      </c>
      <c r="F658" s="1" t="n">
        <v>0.43085</v>
      </c>
    </row>
    <row r="659" ht="15.75" customHeight="1" s="201">
      <c r="A659" s="1" t="n">
        <v>24144301</v>
      </c>
      <c r="B659" s="1" t="inlineStr">
        <is>
          <t>Chicken drumstick, sauteed, skin not eaten (Includes any source; NS as to skin eaten; with or without fat)</t>
        </is>
      </c>
      <c r="C659" s="1" t="n">
        <v>2</v>
      </c>
      <c r="D659" s="1" t="inlineStr">
        <is>
          <t>Links to altEC</t>
        </is>
      </c>
      <c r="E659" s="1" t="inlineStr">
        <is>
          <t>Base</t>
        </is>
      </c>
      <c r="F659" s="1" t="n">
        <v>0.491169</v>
      </c>
    </row>
    <row r="660" ht="15.75" customHeight="1" s="201">
      <c r="A660" s="1" t="n">
        <v>24147300</v>
      </c>
      <c r="B660" s="1" t="inlineStr">
        <is>
          <t>Chicken drumstick, fried, coated, skin / coating eaten, from raw (Includes sauteed with coating; NS as to prepared with skin; NS as to coated or uncoated; NS as to skin / coating eaten)</t>
        </is>
      </c>
      <c r="C660" s="1" t="n">
        <v>2</v>
      </c>
      <c r="D660" s="1" t="inlineStr">
        <is>
          <t>Links to altEC</t>
        </is>
      </c>
      <c r="E660" s="1" t="inlineStr">
        <is>
          <t>Base</t>
        </is>
      </c>
      <c r="F660" s="1" t="n">
        <v>1.003446</v>
      </c>
    </row>
    <row r="661" ht="15.75" customHeight="1" s="201">
      <c r="A661" s="1" t="n">
        <v>24147310</v>
      </c>
      <c r="B661" s="1" t="inlineStr">
        <is>
          <t>Chicken drumstick, fried, coated, skin / coating eaten, from pre-cooked (Includes sauteed with coating; ready-to-eat; ready-to-heat; NS as to prepared with skin; NS as to coated or uncoated; NS as to skin / coating eaten; from school or other place; prepared skinless)</t>
        </is>
      </c>
      <c r="C661" s="1" t="n">
        <v>2</v>
      </c>
      <c r="D661" s="1" t="inlineStr">
        <is>
          <t>Links to altEC</t>
        </is>
      </c>
      <c r="E661" s="1" t="inlineStr">
        <is>
          <t>Base</t>
        </is>
      </c>
      <c r="F661" s="1" t="n">
        <v>1.003446</v>
      </c>
    </row>
    <row r="662" ht="15.75" customHeight="1" s="201">
      <c r="A662" s="1" t="n">
        <v>24147311</v>
      </c>
      <c r="B662" s="1" t="inlineStr">
        <is>
          <t>Chicken drumstick, fried, coated, skin / coating not eaten, from pre-cooked (Includes sauteed with coating; ready-to-eat; ready-to-heat; NS as to prepared with skin; NS as to coated or uncoated; from school or other place)</t>
        </is>
      </c>
      <c r="C662" s="1" t="n">
        <v>2</v>
      </c>
      <c r="D662" s="1" t="inlineStr">
        <is>
          <t>Links to altEC</t>
        </is>
      </c>
      <c r="E662" s="1" t="inlineStr">
        <is>
          <t>Base</t>
        </is>
      </c>
      <c r="F662" s="1" t="n">
        <v>1.003446</v>
      </c>
    </row>
    <row r="663" ht="15.75" customHeight="1" s="201">
      <c r="A663" s="1" t="n">
        <v>24147320</v>
      </c>
      <c r="B663" s="1" t="inlineStr">
        <is>
          <t>Chicken drumstick, fried, coated, skin / coating eaten, from fast food / restaurant (Includes sauteed with coating; NS as to prepared with skin; NS as to coated or uncoated; NS as to skin / coating eaten; prepared skinless)</t>
        </is>
      </c>
      <c r="C663" s="1" t="n">
        <v>2</v>
      </c>
      <c r="D663" s="1" t="inlineStr">
        <is>
          <t>Links to altEC</t>
        </is>
      </c>
      <c r="E663" s="1" t="inlineStr">
        <is>
          <t>Base</t>
        </is>
      </c>
      <c r="F663" s="1" t="n">
        <v>1.003446</v>
      </c>
    </row>
    <row r="664" ht="15.75" customHeight="1" s="201">
      <c r="A664" s="1" t="n">
        <v>24147321</v>
      </c>
      <c r="B664" s="1" t="inlineStr">
        <is>
          <t>Chicken drumstick, fried, coated, skin / coating not eaten, from fast food / restaurant (Includes sauteed with coating; NS as to prepared with skin; NS as to coated or uncoated)</t>
        </is>
      </c>
      <c r="C664" s="1" t="n">
        <v>2</v>
      </c>
      <c r="D664" s="1" t="inlineStr">
        <is>
          <t>Links to altEC</t>
        </is>
      </c>
      <c r="E664" s="1" t="inlineStr">
        <is>
          <t>Base</t>
        </is>
      </c>
      <c r="F664" s="1" t="n">
        <v>1.143929</v>
      </c>
    </row>
    <row r="665" ht="15.75" customHeight="1" s="201">
      <c r="A665" s="1" t="n">
        <v>24147400</v>
      </c>
      <c r="B665" s="1" t="inlineStr">
        <is>
          <t>Chicken drumstick, baked, coated, skin / coating eaten (Includes broiled or roasted with coating; NS as to prepared with skin; NS as to coated or uncoated; NS as skin / coating eaten; any source; prepared skinless)</t>
        </is>
      </c>
      <c r="C665" s="1" t="n">
        <v>2</v>
      </c>
      <c r="D665" s="1" t="inlineStr">
        <is>
          <t>Links to altEC</t>
        </is>
      </c>
      <c r="E665" s="1" t="inlineStr">
        <is>
          <t>Base</t>
        </is>
      </c>
      <c r="F665" s="1" t="n">
        <v>1.003446</v>
      </c>
    </row>
    <row r="666" ht="15.75" customHeight="1" s="201">
      <c r="A666" s="1" t="n">
        <v>24147401</v>
      </c>
      <c r="B666" s="1" t="inlineStr">
        <is>
          <t>Chicken drumstick, baked, coated, skin / coating not eaten (Includes broiled or roasted with coating; NS as to prepared with skin; NS as to coated or uncoated; any source)</t>
        </is>
      </c>
      <c r="C666" s="1" t="n">
        <v>2</v>
      </c>
      <c r="D666" s="1" t="inlineStr">
        <is>
          <t>Links to altEC</t>
        </is>
      </c>
      <c r="E666" s="1" t="inlineStr">
        <is>
          <t>Base</t>
        </is>
      </c>
      <c r="F666" s="1" t="n">
        <v>1.299597</v>
      </c>
    </row>
    <row r="667" ht="15.75" customHeight="1" s="201">
      <c r="A667" s="1" t="n">
        <v>24150210</v>
      </c>
      <c r="B667" s="1" t="inlineStr">
        <is>
          <t>Chicken thigh, NS as to cooking method, skin eaten (Includes NS as to skin eaten; any source)</t>
        </is>
      </c>
      <c r="C667" s="1" t="n">
        <v>2</v>
      </c>
      <c r="D667" s="1" t="inlineStr">
        <is>
          <t>Links to altEC</t>
        </is>
      </c>
      <c r="E667" s="1" t="inlineStr">
        <is>
          <t>Base</t>
        </is>
      </c>
      <c r="F667" s="1" t="n">
        <v>0.7531679999999999</v>
      </c>
    </row>
    <row r="668" ht="15.75" customHeight="1" s="201">
      <c r="A668" s="1" t="n">
        <v>24150220</v>
      </c>
      <c r="B668" s="1" t="inlineStr">
        <is>
          <t>Chicken thigh, NS as to cooking method, skin not eaten (Includes any source)</t>
        </is>
      </c>
      <c r="C668" s="1" t="n">
        <v>2</v>
      </c>
      <c r="D668" s="1" t="inlineStr">
        <is>
          <t>Links to altEC</t>
        </is>
      </c>
      <c r="E668" s="1" t="inlineStr">
        <is>
          <t>Base</t>
        </is>
      </c>
      <c r="F668" s="1" t="n">
        <v>0.8441610000000001</v>
      </c>
    </row>
    <row r="669" ht="15.75" customHeight="1" s="201">
      <c r="A669" s="1" t="n">
        <v>24152230</v>
      </c>
      <c r="B669" s="1" t="inlineStr">
        <is>
          <t>Chicken thigh, baked, broiled, or roasted, skin eaten, from raw (Includes NS as to skin eaten)</t>
        </is>
      </c>
      <c r="C669" s="1" t="n">
        <v>2</v>
      </c>
      <c r="D669" s="1" t="inlineStr">
        <is>
          <t>Links to altEC</t>
        </is>
      </c>
      <c r="E669" s="1" t="inlineStr">
        <is>
          <t>Base</t>
        </is>
      </c>
      <c r="F669" s="1" t="n">
        <v>0.7531679999999999</v>
      </c>
    </row>
    <row r="670" ht="15.75" customHeight="1" s="201">
      <c r="A670" s="1" t="n">
        <v>24152231</v>
      </c>
      <c r="B670" s="1" t="inlineStr">
        <is>
          <t>Chicken thigh, baked, broiled, or roasted, skin not eaten, from raw</t>
        </is>
      </c>
      <c r="C670" s="1" t="n">
        <v>2</v>
      </c>
      <c r="D670" s="1" t="inlineStr">
        <is>
          <t>Links to altEC</t>
        </is>
      </c>
      <c r="E670" s="1" t="inlineStr">
        <is>
          <t>Base</t>
        </is>
      </c>
      <c r="F670" s="1" t="n">
        <v>0.8441610000000001</v>
      </c>
    </row>
    <row r="671" ht="15.75" customHeight="1" s="201">
      <c r="A671" s="1" t="n">
        <v>24152240</v>
      </c>
      <c r="B671" s="1" t="inlineStr">
        <is>
          <t>Chicken thigh, baked or broiled, skin eaten, from pre-cooked (Includes ready-to-eat; ready-to-heat; NS as to skin eaten; from school or other place)</t>
        </is>
      </c>
      <c r="C671" s="1" t="n">
        <v>2</v>
      </c>
      <c r="D671" s="1" t="inlineStr">
        <is>
          <t>Links to altEC</t>
        </is>
      </c>
      <c r="E671" s="1" t="inlineStr">
        <is>
          <t>Base</t>
        </is>
      </c>
      <c r="F671" s="1" t="n">
        <v>0.7531679999999999</v>
      </c>
    </row>
    <row r="672" ht="15.75" customHeight="1" s="201">
      <c r="A672" s="1" t="n">
        <v>24152250</v>
      </c>
      <c r="B672" s="1" t="inlineStr">
        <is>
          <t>Chicken thigh, baked or broiled, skin eaten, from fast food / restaurant (Includes NS as to skin eaten)</t>
        </is>
      </c>
      <c r="C672" s="1" t="n">
        <v>2</v>
      </c>
      <c r="D672" s="1" t="inlineStr">
        <is>
          <t>Links to altEC</t>
        </is>
      </c>
      <c r="E672" s="1" t="inlineStr">
        <is>
          <t>Base</t>
        </is>
      </c>
      <c r="F672" s="1" t="n">
        <v>0.7531679999999999</v>
      </c>
    </row>
    <row r="673" ht="15.75" customHeight="1" s="201">
      <c r="A673" s="1" t="n">
        <v>24152251</v>
      </c>
      <c r="B673" s="1" t="inlineStr">
        <is>
          <t>Chicken thigh, baked or broiled, skin not eaten, from fast food / restaurant</t>
        </is>
      </c>
      <c r="C673" s="1" t="n">
        <v>2</v>
      </c>
      <c r="D673" s="1" t="inlineStr">
        <is>
          <t>Links to altEC</t>
        </is>
      </c>
      <c r="E673" s="1" t="inlineStr">
        <is>
          <t>Base</t>
        </is>
      </c>
      <c r="F673" s="1" t="n">
        <v>0.8441610000000001</v>
      </c>
    </row>
    <row r="674" ht="15.75" customHeight="1" s="201">
      <c r="A674" s="1" t="n">
        <v>24152300</v>
      </c>
      <c r="B674" s="1" t="inlineStr">
        <is>
          <t>Chicken thigh, rotisserie, skin eaten (Includes roasted and pre-cooked, ready-to-eat, ready-to-heat; fast food, restaurant, school, or other place; rotisserie from any source; NS as to skin eaten)</t>
        </is>
      </c>
      <c r="C674" s="1" t="n">
        <v>2</v>
      </c>
      <c r="D674" s="1" t="inlineStr">
        <is>
          <t>Links to altEC</t>
        </is>
      </c>
      <c r="E674" s="1" t="inlineStr">
        <is>
          <t>Base</t>
        </is>
      </c>
      <c r="F674" s="1" t="n">
        <v>0.7531679999999999</v>
      </c>
    </row>
    <row r="675" ht="15.75" customHeight="1" s="201">
      <c r="A675" s="1" t="n">
        <v>24152301</v>
      </c>
      <c r="B675" s="1" t="inlineStr">
        <is>
          <t>Chicken thigh, rotisserie, skin not eaten (Includes roasted and pre-cooked, ready-to-eat, ready-to-heat; fast food, restaurant, school, or other place; rotisserie from any source)</t>
        </is>
      </c>
      <c r="C675" s="1" t="n">
        <v>2</v>
      </c>
      <c r="D675" s="1" t="inlineStr">
        <is>
          <t>Links to altEC</t>
        </is>
      </c>
      <c r="E675" s="1" t="inlineStr">
        <is>
          <t>Base</t>
        </is>
      </c>
      <c r="F675" s="1" t="n">
        <v>0.8441610000000001</v>
      </c>
    </row>
    <row r="676" ht="15.75" customHeight="1" s="201">
      <c r="A676" s="1" t="n">
        <v>24153220</v>
      </c>
      <c r="B676" s="1" t="inlineStr">
        <is>
          <t>Chicken thigh, stewed, skin not eaten (Includes braised; any source)</t>
        </is>
      </c>
      <c r="C676" s="1" t="n">
        <v>2</v>
      </c>
      <c r="D676" s="1" t="inlineStr">
        <is>
          <t>Links to altEC</t>
        </is>
      </c>
      <c r="E676" s="1" t="inlineStr">
        <is>
          <t>Base</t>
        </is>
      </c>
      <c r="F676" s="1" t="n">
        <v>0.8441610000000001</v>
      </c>
    </row>
    <row r="677" ht="15.75" customHeight="1" s="201">
      <c r="A677" s="1" t="n">
        <v>24154010</v>
      </c>
      <c r="B677" s="1" t="inlineStr">
        <is>
          <t>Chicken thigh, grilled without sauce, skin eaten (Includes barbecued without sauce; NS as to skin eaten; any source)</t>
        </is>
      </c>
      <c r="C677" s="1" t="n">
        <v>2</v>
      </c>
      <c r="D677" s="1" t="inlineStr">
        <is>
          <t>Links to altEC</t>
        </is>
      </c>
      <c r="E677" s="1" t="inlineStr">
        <is>
          <t>Base</t>
        </is>
      </c>
      <c r="F677" s="1" t="n">
        <v>0.7531679999999999</v>
      </c>
    </row>
    <row r="678" ht="15.75" customHeight="1" s="201">
      <c r="A678" s="1" t="n">
        <v>24154011</v>
      </c>
      <c r="B678" s="1" t="inlineStr">
        <is>
          <t>Chicken thigh, grilled without sauce, skin not eaten (Includes barbecued without sauce; any source)</t>
        </is>
      </c>
      <c r="C678" s="1" t="n">
        <v>2</v>
      </c>
      <c r="D678" s="1" t="inlineStr">
        <is>
          <t>Links to altEC</t>
        </is>
      </c>
      <c r="E678" s="1" t="inlineStr">
        <is>
          <t>Base</t>
        </is>
      </c>
      <c r="F678" s="1" t="n">
        <v>0.8441610000000001</v>
      </c>
    </row>
    <row r="679" ht="15.75" customHeight="1" s="201">
      <c r="A679" s="1" t="n">
        <v>24154020</v>
      </c>
      <c r="B679" s="1" t="inlineStr">
        <is>
          <t>Chicken thigh, grilled with sauce, skin eaten (Includes barbecued with sauce; with barbecue sauce or marinade; any source)</t>
        </is>
      </c>
      <c r="C679" s="1" t="n">
        <v>2</v>
      </c>
      <c r="D679" s="1" t="inlineStr">
        <is>
          <t>Links to altEC</t>
        </is>
      </c>
      <c r="E679" s="1" t="inlineStr">
        <is>
          <t>Base</t>
        </is>
      </c>
      <c r="F679" s="1" t="n">
        <v>0.753217</v>
      </c>
    </row>
    <row r="680" ht="15.75" customHeight="1" s="201">
      <c r="A680" s="1" t="n">
        <v>24154021</v>
      </c>
      <c r="B680" s="1" t="inlineStr">
        <is>
          <t>Chicken thigh, grilled with sauce, skin not eaten (Includes barbecued with sauce; with barbecue sauce or marinade; any source)</t>
        </is>
      </c>
      <c r="C680" s="1" t="n">
        <v>2</v>
      </c>
      <c r="D680" s="1" t="inlineStr">
        <is>
          <t>Links to altEC</t>
        </is>
      </c>
      <c r="E680" s="1" t="inlineStr">
        <is>
          <t>Base</t>
        </is>
      </c>
      <c r="F680" s="1" t="n">
        <v>0.844218</v>
      </c>
    </row>
    <row r="681" ht="15.75" customHeight="1" s="201">
      <c r="A681" s="1" t="n">
        <v>24154300</v>
      </c>
      <c r="B681" s="1" t="inlineStr">
        <is>
          <t>Chicken thigh, sauteed, skin eaten (Includes any source; with or without fat)</t>
        </is>
      </c>
      <c r="C681" s="1" t="n">
        <v>2</v>
      </c>
      <c r="D681" s="1" t="inlineStr">
        <is>
          <t>Links to altEC</t>
        </is>
      </c>
      <c r="E681" s="1" t="inlineStr">
        <is>
          <t>Base</t>
        </is>
      </c>
      <c r="F681" s="1" t="n">
        <v>0.7531679999999999</v>
      </c>
    </row>
    <row r="682" ht="15.75" customHeight="1" s="201">
      <c r="A682" s="1" t="n">
        <v>24154301</v>
      </c>
      <c r="B682" s="1" t="inlineStr">
        <is>
          <t>Chicken thigh, sauteed, skin not eaten (Includes any source; NS as to skin eaten; with or without fat)</t>
        </is>
      </c>
      <c r="C682" s="1" t="n">
        <v>2</v>
      </c>
      <c r="D682" s="1" t="inlineStr">
        <is>
          <t>Links to altEC</t>
        </is>
      </c>
      <c r="E682" s="1" t="inlineStr">
        <is>
          <t>Base</t>
        </is>
      </c>
      <c r="F682" s="1" t="n">
        <v>0.8441610000000001</v>
      </c>
    </row>
    <row r="683" ht="15.75" customHeight="1" s="201">
      <c r="A683" s="1" t="n">
        <v>24157300</v>
      </c>
      <c r="B683" s="1" t="inlineStr">
        <is>
          <t>Chicken thigh, fried, coated, skin / coating eaten, from raw (Includes sauteed with coating; NS as to prepared with skin; NS as to coated or uncoated; NS as to skin / coating eaten)</t>
        </is>
      </c>
      <c r="C683" s="1" t="n">
        <v>2</v>
      </c>
      <c r="D683" s="1" t="inlineStr">
        <is>
          <t>Links to altEC</t>
        </is>
      </c>
      <c r="E683" s="1" t="inlineStr">
        <is>
          <t>Base</t>
        </is>
      </c>
      <c r="F683" s="1" t="n">
        <v>1.003446</v>
      </c>
    </row>
    <row r="684" ht="15.75" customHeight="1" s="201">
      <c r="A684" s="1" t="n">
        <v>24157302</v>
      </c>
      <c r="B684" s="1" t="inlineStr">
        <is>
          <t>Chicken thigh, fried, coated, prepared skinless, coating eaten, from raw (Includes sauteed with coating)</t>
        </is>
      </c>
      <c r="C684" s="1" t="n">
        <v>2</v>
      </c>
      <c r="D684" s="1" t="inlineStr">
        <is>
          <t>Links to altEC</t>
        </is>
      </c>
      <c r="E684" s="1" t="inlineStr">
        <is>
          <t>Base</t>
        </is>
      </c>
      <c r="F684" s="1" t="n">
        <v>1.003446</v>
      </c>
    </row>
    <row r="685" ht="15.75" customHeight="1" s="201">
      <c r="A685" s="1" t="n">
        <v>24157310</v>
      </c>
      <c r="B685" s="1" t="inlineStr">
        <is>
          <t>Chicken thigh, fried, coated, skin / coating eaten, from pre-cooked (Includes sauteed with coating; ready-to-eat; ready-to-heat; NS as to prepared with skin; NS as to coated or uncoated; NS as to skin / coating eaten; from school or other place; prepared skinless)</t>
        </is>
      </c>
      <c r="C685" s="1" t="n">
        <v>2</v>
      </c>
      <c r="D685" s="1" t="inlineStr">
        <is>
          <t>Links to altEC</t>
        </is>
      </c>
      <c r="E685" s="1" t="inlineStr">
        <is>
          <t>Base</t>
        </is>
      </c>
      <c r="F685" s="1" t="n">
        <v>1.003446</v>
      </c>
    </row>
    <row r="686" ht="15.75" customHeight="1" s="201">
      <c r="A686" s="1" t="n">
        <v>24157311</v>
      </c>
      <c r="B686" s="1" t="inlineStr">
        <is>
          <t>Chicken thigh, fried, coated, skin / coating not eaten, from pre-cooked (Includes sauteed with coating; ready-to-eat; ready-to-heat; NS as to prepared with skin; NS as to coated or uncoated; from school or other place)</t>
        </is>
      </c>
      <c r="C686" s="1" t="n">
        <v>2</v>
      </c>
      <c r="D686" s="1" t="inlineStr">
        <is>
          <t>Links to altEC</t>
        </is>
      </c>
      <c r="E686" s="1" t="inlineStr">
        <is>
          <t>Base</t>
        </is>
      </c>
      <c r="F686" s="1" t="n">
        <v>1.003446</v>
      </c>
    </row>
    <row r="687" ht="15.75" customHeight="1" s="201">
      <c r="A687" s="1" t="n">
        <v>24157320</v>
      </c>
      <c r="B687" s="1" t="inlineStr">
        <is>
          <t>Chicken thigh, fried, coated, skin / coating eaten, from fast food (Includes sauteed with coating; NS as to prepared with skin; NS as to coated or uncoated; NS as to skin / coating eaten; prepared skinless)</t>
        </is>
      </c>
      <c r="C687" s="1" t="n">
        <v>2</v>
      </c>
      <c r="D687" s="1" t="inlineStr">
        <is>
          <t>Links to altEC</t>
        </is>
      </c>
      <c r="E687" s="1" t="inlineStr">
        <is>
          <t>Base</t>
        </is>
      </c>
      <c r="F687" s="1" t="n">
        <v>1.003446</v>
      </c>
    </row>
    <row r="688" ht="15.75" customHeight="1" s="201">
      <c r="A688" s="1" t="n">
        <v>24157321</v>
      </c>
      <c r="B688" s="1" t="inlineStr">
        <is>
          <t>Chicken thigh, fried, coated, skin / coating not eaten, from fast food (Includes sauteed with coating; NS as to prepared with skin; NS as to coated or uncoated)</t>
        </is>
      </c>
      <c r="C688" s="1" t="n">
        <v>2</v>
      </c>
      <c r="D688" s="1" t="inlineStr">
        <is>
          <t>Links to altEC</t>
        </is>
      </c>
      <c r="E688" s="1" t="inlineStr">
        <is>
          <t>Base</t>
        </is>
      </c>
      <c r="F688" s="1" t="n">
        <v>1.003446</v>
      </c>
    </row>
    <row r="689" ht="15.75" customHeight="1" s="201">
      <c r="A689" s="1" t="n">
        <v>24157330</v>
      </c>
      <c r="B689" s="1" t="inlineStr">
        <is>
          <t>Chicken thigh, fried, coated, skin / coating eaten, from restaurant (Includes sauteed with coating; NS as to prepared with skin; NS as to coated or uncoated; NS as to skin / coating eaten; prepared skinless)</t>
        </is>
      </c>
      <c r="C689" s="1" t="n">
        <v>2</v>
      </c>
      <c r="D689" s="1" t="inlineStr">
        <is>
          <t>Links to altEC</t>
        </is>
      </c>
      <c r="E689" s="1" t="inlineStr">
        <is>
          <t>Base</t>
        </is>
      </c>
      <c r="F689" s="1" t="n">
        <v>1.003446</v>
      </c>
    </row>
    <row r="690" ht="15.75" customHeight="1" s="201">
      <c r="A690" s="1" t="n">
        <v>24157331</v>
      </c>
      <c r="B690" s="1" t="inlineStr">
        <is>
          <t>Chicken thigh, fried, coated, skin / coating not eaten, from restaurant (Includes sauteed with coating; NS as to prepared with skin; NS as to coated or uncoated)</t>
        </is>
      </c>
      <c r="C690" s="1" t="n">
        <v>2</v>
      </c>
      <c r="D690" s="1" t="inlineStr">
        <is>
          <t>Links to altEC</t>
        </is>
      </c>
      <c r="E690" s="1" t="inlineStr">
        <is>
          <t>Base</t>
        </is>
      </c>
      <c r="F690" s="1" t="n">
        <v>1.003446</v>
      </c>
    </row>
    <row r="691" ht="15.75" customHeight="1" s="201">
      <c r="A691" s="1" t="n">
        <v>24157400</v>
      </c>
      <c r="B691" s="1" t="inlineStr">
        <is>
          <t>Chicken thigh, baked, coated, skin / coating eaten (Includes broiled or roasted with coating; NS as to prepared with skin; NS as to coated or uncoated; NS as to skin / coating eaten; any source; prepared skinless)</t>
        </is>
      </c>
      <c r="C691" s="1" t="n">
        <v>2</v>
      </c>
      <c r="D691" s="1" t="inlineStr">
        <is>
          <t>Links to altEC</t>
        </is>
      </c>
      <c r="E691" s="1" t="inlineStr">
        <is>
          <t>Base</t>
        </is>
      </c>
      <c r="F691" s="1" t="n">
        <v>1.003446</v>
      </c>
    </row>
    <row r="692" ht="15.75" customHeight="1" s="201">
      <c r="A692" s="1" t="n">
        <v>24157401</v>
      </c>
      <c r="B692" s="1" t="inlineStr">
        <is>
          <t>Chicken thigh, baked, coated, skin / coating not eaten (Includes broiled or roasted with coating; NS as to prepared with skin; NS as to coated or uncoated; any source)</t>
        </is>
      </c>
      <c r="C692" s="1" t="n">
        <v>2</v>
      </c>
      <c r="D692" s="1" t="inlineStr">
        <is>
          <t>Links to altEC</t>
        </is>
      </c>
      <c r="E692" s="1" t="inlineStr">
        <is>
          <t>Base</t>
        </is>
      </c>
      <c r="F692" s="1" t="n">
        <v>1.299597</v>
      </c>
    </row>
    <row r="693" ht="15.75" customHeight="1" s="201">
      <c r="A693" s="1" t="n">
        <v>24160110</v>
      </c>
      <c r="B693" s="1" t="inlineStr">
        <is>
          <t>Chicken wing, NS as to cooking method (Includes drummette without sauce or seasoning; any source)</t>
        </is>
      </c>
      <c r="C693" s="1" t="n">
        <v>2</v>
      </c>
      <c r="D693" s="1" t="inlineStr">
        <is>
          <t>Links to altEC</t>
        </is>
      </c>
      <c r="E693" s="1" t="inlineStr">
        <is>
          <t>Base</t>
        </is>
      </c>
      <c r="F693" s="1" t="n">
        <v>1.48433</v>
      </c>
    </row>
    <row r="694" ht="15.75" customHeight="1" s="201">
      <c r="A694" s="1" t="n">
        <v>24162130</v>
      </c>
      <c r="B694" s="1" t="inlineStr">
        <is>
          <t>Chicken wing, baked, broiled, or roasted, from raw (Includes drummette without sauce or seasoning, from raw)</t>
        </is>
      </c>
      <c r="C694" s="1" t="n">
        <v>2</v>
      </c>
      <c r="D694" s="1" t="inlineStr">
        <is>
          <t>Links to altEC</t>
        </is>
      </c>
      <c r="E694" s="1" t="inlineStr">
        <is>
          <t>Base</t>
        </is>
      </c>
      <c r="F694" s="1" t="n">
        <v>1.48433</v>
      </c>
    </row>
    <row r="695" ht="15.75" customHeight="1" s="201">
      <c r="A695" s="1" t="n">
        <v>24162200</v>
      </c>
      <c r="B695" s="1" t="inlineStr">
        <is>
          <t>Chicken wing, rotisserie (Includes roasted and pre-cooked, ready-to-eat; fast food, restaurant, school, or other place; rotisserie from any source)</t>
        </is>
      </c>
      <c r="C695" s="1" t="n">
        <v>2</v>
      </c>
      <c r="D695" s="1" t="inlineStr">
        <is>
          <t>Links to altEC</t>
        </is>
      </c>
      <c r="E695" s="1" t="inlineStr">
        <is>
          <t>Base</t>
        </is>
      </c>
      <c r="F695" s="1" t="n">
        <v>1.48433</v>
      </c>
    </row>
    <row r="696" ht="15.75" customHeight="1" s="201">
      <c r="A696" s="1" t="n">
        <v>24163110</v>
      </c>
      <c r="B696" s="1" t="inlineStr">
        <is>
          <t>Chicken wing, stewed (Includes braised; stewed drummette, from raw; stewed wings from any source)</t>
        </is>
      </c>
      <c r="C696" s="1" t="n">
        <v>2</v>
      </c>
      <c r="D696" s="1" t="inlineStr">
        <is>
          <t>Links to altEC</t>
        </is>
      </c>
      <c r="E696" s="1" t="inlineStr">
        <is>
          <t>Base</t>
        </is>
      </c>
      <c r="F696" s="1" t="n">
        <v>1.48433</v>
      </c>
    </row>
    <row r="697" ht="15.75" customHeight="1" s="201">
      <c r="A697" s="1" t="n">
        <v>24164000</v>
      </c>
      <c r="B697" s="1" t="inlineStr">
        <is>
          <t>Chicken wing, grilled without sauce (Includes barbecued without sauce; drummette without sauce or seasoning, from raw; grilled wings from any source)</t>
        </is>
      </c>
      <c r="C697" s="1" t="n">
        <v>2</v>
      </c>
      <c r="D697" s="1" t="inlineStr">
        <is>
          <t>Links to altEC</t>
        </is>
      </c>
      <c r="E697" s="1" t="inlineStr">
        <is>
          <t>Base</t>
        </is>
      </c>
      <c r="F697" s="1" t="n">
        <v>1.48433</v>
      </c>
    </row>
    <row r="698" ht="15.75" customHeight="1" s="201">
      <c r="A698" s="1" t="n">
        <v>24164010</v>
      </c>
      <c r="B698" s="1" t="inlineStr">
        <is>
          <t>Chicken wing, grilled with sauce (Includes barbecued with sauce; with barbecue sauce or marinade; any source)</t>
        </is>
      </c>
      <c r="C698" s="1" t="n">
        <v>2</v>
      </c>
      <c r="D698" s="1" t="inlineStr">
        <is>
          <t>Links to altEC</t>
        </is>
      </c>
      <c r="E698" s="1" t="inlineStr">
        <is>
          <t>Base</t>
        </is>
      </c>
      <c r="F698" s="1" t="n">
        <v>1.495503</v>
      </c>
    </row>
    <row r="699" ht="15.75" customHeight="1" s="201">
      <c r="A699" s="1" t="n">
        <v>24164200</v>
      </c>
      <c r="B699" s="1" t="inlineStr">
        <is>
          <t>Chicken wing, sauteed (Includes with or without fat added in cooking; sauteed wings from any source; sauteed drummette, from raw)</t>
        </is>
      </c>
      <c r="C699" s="1" t="n">
        <v>2</v>
      </c>
      <c r="D699" s="1" t="inlineStr">
        <is>
          <t>Links to altEC</t>
        </is>
      </c>
      <c r="E699" s="1" t="inlineStr">
        <is>
          <t>Base</t>
        </is>
      </c>
      <c r="F699" s="1" t="n">
        <v>1.48433</v>
      </c>
    </row>
    <row r="700" ht="15.75" customHeight="1" s="201">
      <c r="A700" s="1" t="n">
        <v>24167200</v>
      </c>
      <c r="B700" s="1" t="inlineStr">
        <is>
          <t>Chicken wing, fried, coated, from raw (Includes sauteed with coating; drummette without sauce or seasoning, from raw; NS as to coated or uncoated)</t>
        </is>
      </c>
      <c r="C700" s="1" t="n">
        <v>2</v>
      </c>
      <c r="D700" s="1" t="inlineStr">
        <is>
          <t>Links to altEC</t>
        </is>
      </c>
      <c r="E700" s="1" t="inlineStr">
        <is>
          <t>Base</t>
        </is>
      </c>
      <c r="F700" s="1" t="n">
        <v>1.434172</v>
      </c>
    </row>
    <row r="701" ht="15.75" customHeight="1" s="201">
      <c r="A701" s="1" t="n">
        <v>24167220</v>
      </c>
      <c r="B701" s="1" t="inlineStr">
        <is>
          <t>Chicken wing, fried, coated, from fast food (Includes sauteed with coating; NS as to coated or uncoated)</t>
        </is>
      </c>
      <c r="C701" s="1" t="n">
        <v>2</v>
      </c>
      <c r="D701" s="1" t="inlineStr">
        <is>
          <t>Links to altEC</t>
        </is>
      </c>
      <c r="E701" s="1" t="inlineStr">
        <is>
          <t>Base</t>
        </is>
      </c>
      <c r="F701" s="1" t="n">
        <v>1.434172</v>
      </c>
    </row>
    <row r="702" ht="15.75" customHeight="1" s="201">
      <c r="A702" s="1" t="n">
        <v>24167230</v>
      </c>
      <c r="B702" s="1" t="inlineStr">
        <is>
          <t>Chicken wing, fried, coated, from restaurant (Includes sauteed with coating; NS as to coated or uncoated)</t>
        </is>
      </c>
      <c r="C702" s="1" t="n">
        <v>2</v>
      </c>
      <c r="D702" s="1" t="inlineStr">
        <is>
          <t>Links to altEC</t>
        </is>
      </c>
      <c r="E702" s="1" t="inlineStr">
        <is>
          <t>Base</t>
        </is>
      </c>
      <c r="F702" s="1" t="n">
        <v>1.434172</v>
      </c>
    </row>
    <row r="703" ht="15.75" customHeight="1" s="201">
      <c r="A703" s="1" t="n">
        <v>24167300</v>
      </c>
      <c r="B703" s="1" t="inlineStr">
        <is>
          <t>Chicken wing, baked, coated (Includes broiled or roasted with coating; drummette without sauce or seasoning, from raw; NS as to coated or uncoated; any source)</t>
        </is>
      </c>
      <c r="C703" s="1" t="n">
        <v>2</v>
      </c>
      <c r="D703" s="1" t="inlineStr">
        <is>
          <t>Links to altEC</t>
        </is>
      </c>
      <c r="E703" s="1" t="inlineStr">
        <is>
          <t>Base</t>
        </is>
      </c>
      <c r="F703" s="1" t="n">
        <v>1.434172</v>
      </c>
    </row>
    <row r="704" ht="15.75" customHeight="1" s="201">
      <c r="A704" s="1" t="n">
        <v>24168000</v>
      </c>
      <c r="B704" s="1" t="inlineStr">
        <is>
          <t>Chicken "wings" with hot sauce, from fast food / restaurant (Includes drummette; "buffalo wing"; hot chicken wings; chicken wing dings; wingster; with buffalo sauce)</t>
        </is>
      </c>
      <c r="C704" s="1" t="n">
        <v>2</v>
      </c>
      <c r="D704" s="1" t="inlineStr">
        <is>
          <t>Links to altEC</t>
        </is>
      </c>
      <c r="E704" s="1" t="inlineStr">
        <is>
          <t>Base</t>
        </is>
      </c>
      <c r="F704" s="1" t="n">
        <v>1.653577</v>
      </c>
    </row>
    <row r="705" ht="15.75" customHeight="1" s="201">
      <c r="A705" s="1" t="n">
        <v>24168001</v>
      </c>
      <c r="B705" s="1" t="inlineStr">
        <is>
          <t>Chicken "wings" with other sauces or seasoning, from fast food / restaurant (Includes drummette; with any sauce, excluding hot or buffalo; include barbecue, BBQ,  teriyaki, sweet and sour, parmesan; any seasoning; wingster)</t>
        </is>
      </c>
      <c r="C705" s="1" t="n">
        <v>2</v>
      </c>
      <c r="D705" s="1" t="inlineStr">
        <is>
          <t>Links to altEC</t>
        </is>
      </c>
      <c r="E705" s="1" t="inlineStr">
        <is>
          <t>Base</t>
        </is>
      </c>
      <c r="F705" s="1" t="n">
        <v>1.239995</v>
      </c>
    </row>
    <row r="706" ht="15.75" customHeight="1" s="201">
      <c r="A706" s="1" t="n">
        <v>24168002</v>
      </c>
      <c r="B706" s="1" t="inlineStr">
        <is>
          <t>Chicken "wings", plain, from fast food / restaurant (Includes drummette's with no sauce or seasoning; wingster)</t>
        </is>
      </c>
      <c r="C706" s="1" t="n">
        <v>2</v>
      </c>
      <c r="D706" s="1" t="inlineStr">
        <is>
          <t>Links to altEC</t>
        </is>
      </c>
      <c r="E706" s="1" t="inlineStr">
        <is>
          <t>Base</t>
        </is>
      </c>
      <c r="F706" s="1" t="n">
        <v>1.224256</v>
      </c>
    </row>
    <row r="707" ht="15.75" customHeight="1" s="201">
      <c r="A707" s="1" t="n">
        <v>24168010</v>
      </c>
      <c r="B707" s="1" t="inlineStr">
        <is>
          <t>Chicken "wings" with hot sauce, from precooked (Includes drummette; ready-to-eat; ready-to-heat; "buffalo wing"; hot chicken wings; chicken wing dings; wingster; with buffalo sauce)</t>
        </is>
      </c>
      <c r="C707" s="1" t="n">
        <v>2</v>
      </c>
      <c r="D707" s="1" t="inlineStr">
        <is>
          <t>Links to altEC</t>
        </is>
      </c>
      <c r="E707" s="1" t="inlineStr">
        <is>
          <t>Base</t>
        </is>
      </c>
      <c r="F707" s="1" t="n">
        <v>1.40135</v>
      </c>
    </row>
    <row r="708" ht="15.75" customHeight="1" s="201">
      <c r="A708" s="1" t="n">
        <v>24168012</v>
      </c>
      <c r="B708" s="1" t="inlineStr">
        <is>
          <t>Chicken "wings", plain, from precooked (Includes drummette; ready-to-eat; ready-to-heat)</t>
        </is>
      </c>
      <c r="C708" s="1" t="n">
        <v>2</v>
      </c>
      <c r="D708" s="1" t="inlineStr">
        <is>
          <t>Links to altEC</t>
        </is>
      </c>
      <c r="E708" s="1" t="inlineStr">
        <is>
          <t>Base</t>
        </is>
      </c>
      <c r="F708" s="1" t="n">
        <v>1.434172</v>
      </c>
    </row>
    <row r="709" ht="15.75" customHeight="1" s="201">
      <c r="A709" s="1" t="n">
        <v>24168020</v>
      </c>
      <c r="B709" s="1" t="inlineStr">
        <is>
          <t>Chicken "wings" with hot sauce, from other sources (Includes drummette; from raw, school, or other place; "buffalo wing"; hot chicken wings; chicken wing ding; wingster; with buffalo sauce)</t>
        </is>
      </c>
      <c r="C709" s="1" t="n">
        <v>2</v>
      </c>
      <c r="D709" s="1" t="inlineStr">
        <is>
          <t>Links to altEC</t>
        </is>
      </c>
      <c r="E709" s="1" t="inlineStr">
        <is>
          <t>Base</t>
        </is>
      </c>
      <c r="F709" s="1" t="n">
        <v>1.653577</v>
      </c>
    </row>
    <row r="710" ht="15.75" customHeight="1" s="201">
      <c r="A710" s="1" t="n">
        <v>24168021</v>
      </c>
      <c r="B710" s="1" t="inlineStr">
        <is>
          <t>Chicken "wings" with other sauces or seasoning, from other sources (Includes drummette; from raw, school, or other place; any sauce, excluding hot or buffalo; include barbecue, BBQ, teriyaki, sweet and sour, parmesan; any seasoning; wingster)</t>
        </is>
      </c>
      <c r="C710" s="1" t="n">
        <v>2</v>
      </c>
      <c r="D710" s="1" t="inlineStr">
        <is>
          <t>Links to altEC</t>
        </is>
      </c>
      <c r="E710" s="1" t="inlineStr">
        <is>
          <t>Base</t>
        </is>
      </c>
      <c r="F710" s="1" t="n">
        <v>1.239995</v>
      </c>
    </row>
    <row r="711" ht="15.75" customHeight="1" s="201">
      <c r="A711" s="1" t="n">
        <v>24168022</v>
      </c>
      <c r="B711" s="1" t="inlineStr">
        <is>
          <t>Chicken "wings", plain, from other sources (Includes drummette; from school or other place; excludes from raw)</t>
        </is>
      </c>
      <c r="C711" s="1" t="n">
        <v>2</v>
      </c>
      <c r="D711" s="1" t="inlineStr">
        <is>
          <t>Links to altEC</t>
        </is>
      </c>
      <c r="E711" s="1" t="inlineStr">
        <is>
          <t>Base</t>
        </is>
      </c>
      <c r="F711" s="1" t="n">
        <v>1.224256</v>
      </c>
    </row>
    <row r="712" ht="15.75" customHeight="1" s="201">
      <c r="A712" s="1" t="n">
        <v>24168030</v>
      </c>
      <c r="B712" s="1" t="inlineStr">
        <is>
          <t>Chicken "wings", boneless, with hot sauce, from fast food / restaurant (Includes any sauce; boneless "buffalo wings"; boneless hot chicken wings)</t>
        </is>
      </c>
      <c r="C712" s="1" t="n">
        <v>2</v>
      </c>
      <c r="D712" s="1" t="inlineStr">
        <is>
          <t>Links to altEC</t>
        </is>
      </c>
      <c r="E712" s="1" t="inlineStr">
        <is>
          <t>Base</t>
        </is>
      </c>
      <c r="F712" s="1" t="n">
        <v>1.270695</v>
      </c>
    </row>
    <row r="713" ht="15.75" customHeight="1" s="201">
      <c r="A713" s="1" t="n">
        <v>24168031</v>
      </c>
      <c r="B713" s="1" t="inlineStr">
        <is>
          <t>Chicken "wings", boneless, with hot sauce, from other sources (Includes any sauce; boneless "buffalo wings"; boneless hot chicken wings; from frozen, school, or other place)</t>
        </is>
      </c>
      <c r="C713" s="1" t="n">
        <v>2</v>
      </c>
      <c r="D713" s="1" t="inlineStr">
        <is>
          <t>Links to altEC</t>
        </is>
      </c>
      <c r="E713" s="1" t="inlineStr">
        <is>
          <t>Base</t>
        </is>
      </c>
      <c r="F713" s="1" t="n">
        <v>1.40135</v>
      </c>
    </row>
    <row r="714" ht="15.75" customHeight="1" s="201">
      <c r="A714" s="1" t="n">
        <v>24170200</v>
      </c>
      <c r="B714" s="1" t="inlineStr">
        <is>
          <t>Chicken, back</t>
        </is>
      </c>
      <c r="C714" s="1" t="n">
        <v>2</v>
      </c>
      <c r="D714" s="1" t="inlineStr">
        <is>
          <t>Links to altEC</t>
        </is>
      </c>
      <c r="E714" s="1" t="inlineStr">
        <is>
          <t>Base</t>
        </is>
      </c>
      <c r="F714" s="1" t="n">
        <v>0.486693</v>
      </c>
    </row>
    <row r="715" ht="15.75" customHeight="1" s="201">
      <c r="A715" s="1" t="n">
        <v>24180200</v>
      </c>
      <c r="B715" s="1" t="inlineStr">
        <is>
          <t>Chicken, neck or ribs</t>
        </is>
      </c>
      <c r="C715" s="1" t="n">
        <v>2</v>
      </c>
      <c r="D715" s="1" t="inlineStr">
        <is>
          <t>Links to altEC</t>
        </is>
      </c>
      <c r="E715" s="1" t="inlineStr">
        <is>
          <t>Base</t>
        </is>
      </c>
      <c r="F715" s="1" t="n">
        <v>0.486693</v>
      </c>
    </row>
    <row r="716" ht="15.75" customHeight="1" s="201">
      <c r="A716" s="1" t="n">
        <v>24198440</v>
      </c>
      <c r="B716" s="1" t="inlineStr">
        <is>
          <t>Chicken skin</t>
        </is>
      </c>
      <c r="C716" s="1" t="n">
        <v>2</v>
      </c>
      <c r="D716" s="1" t="inlineStr">
        <is>
          <t>Links to altEC</t>
        </is>
      </c>
      <c r="E716" s="1" t="inlineStr">
        <is>
          <t>Base</t>
        </is>
      </c>
      <c r="F716" s="1" t="n">
        <v>0.486693</v>
      </c>
    </row>
    <row r="717" ht="15.75" customHeight="1" s="201">
      <c r="A717" s="1" t="n">
        <v>24198500</v>
      </c>
      <c r="B717" s="1" t="inlineStr">
        <is>
          <t>Chicken feet</t>
        </is>
      </c>
      <c r="C717" s="1" t="n">
        <v>2</v>
      </c>
      <c r="D717" s="1" t="inlineStr">
        <is>
          <t>Links to altEC</t>
        </is>
      </c>
      <c r="E717" s="1" t="inlineStr">
        <is>
          <t>Base</t>
        </is>
      </c>
      <c r="F717" s="1" t="n">
        <v>0.486693</v>
      </c>
    </row>
    <row r="718" ht="15.75" customHeight="1" s="201">
      <c r="A718" s="1" t="n">
        <v>24198570</v>
      </c>
      <c r="B718" s="1" t="inlineStr">
        <is>
          <t>Chicken, canned, meat only</t>
        </is>
      </c>
      <c r="C718" s="1" t="n">
        <v>1</v>
      </c>
      <c r="D718" s="1" t="inlineStr">
        <is>
          <t>Links to FNDDS</t>
        </is>
      </c>
      <c r="E718" s="1" t="inlineStr">
        <is>
          <t>Base</t>
        </is>
      </c>
      <c r="F718" s="1" t="n">
        <v>0.799643</v>
      </c>
    </row>
    <row r="719" ht="15.75" customHeight="1" s="201">
      <c r="A719" s="1" t="n">
        <v>24198671</v>
      </c>
      <c r="B719" s="1" t="inlineStr">
        <is>
          <t>Chicken patty, breaded (Includes all sources; from fast food, restaurant, school, frozen, homemade, or other sources)</t>
        </is>
      </c>
      <c r="C719" s="1" t="n">
        <v>1</v>
      </c>
      <c r="D719" s="1" t="inlineStr">
        <is>
          <t>Links to FNDDS</t>
        </is>
      </c>
      <c r="E719" s="1" t="inlineStr">
        <is>
          <t>Base</t>
        </is>
      </c>
      <c r="F719" s="1" t="n">
        <v>0.670324</v>
      </c>
    </row>
    <row r="720" ht="15.75" customHeight="1" s="201">
      <c r="A720" s="1" t="n">
        <v>24198677</v>
      </c>
      <c r="B720" s="1" t="inlineStr">
        <is>
          <t>Chicken fillet, breaded (Includes all sources; from fast food, restaurant, school, frozen, homemade, or other sources)</t>
        </is>
      </c>
      <c r="C720" s="1" t="n">
        <v>1</v>
      </c>
      <c r="D720" s="1" t="inlineStr">
        <is>
          <t>Links to FNDDS</t>
        </is>
      </c>
      <c r="E720" s="1" t="inlineStr">
        <is>
          <t>Base</t>
        </is>
      </c>
      <c r="F720" s="1" t="n">
        <v>1.064992</v>
      </c>
    </row>
    <row r="721" ht="15.75" customHeight="1" s="201">
      <c r="A721" s="1" t="n">
        <v>24198683</v>
      </c>
      <c r="B721" s="1" t="inlineStr">
        <is>
          <t>Chicken fillet, grilled (Includes all sources; from fast food, restaurant, school, frozen, homemade, or other sources; chicken fillet without breading; chicken nugget, tender, patty without breading)</t>
        </is>
      </c>
      <c r="C721" s="1" t="n">
        <v>2</v>
      </c>
      <c r="D721" s="1" t="inlineStr">
        <is>
          <t>Links to altEC</t>
        </is>
      </c>
      <c r="E721" s="1" t="inlineStr">
        <is>
          <t>Base</t>
        </is>
      </c>
      <c r="F721" s="1" t="n">
        <v>1.062789</v>
      </c>
    </row>
    <row r="722" ht="15.75" customHeight="1" s="201">
      <c r="A722" s="1" t="n">
        <v>24198729</v>
      </c>
      <c r="B722" s="1" t="inlineStr">
        <is>
          <t>Chicken nuggets, NFS</t>
        </is>
      </c>
      <c r="C722" s="1" t="n">
        <v>2</v>
      </c>
      <c r="D722" s="1" t="inlineStr">
        <is>
          <t>Links to altEC</t>
        </is>
      </c>
      <c r="E722" s="1" t="inlineStr">
        <is>
          <t>Base</t>
        </is>
      </c>
      <c r="F722" s="1" t="n">
        <v>0.732277</v>
      </c>
    </row>
    <row r="723" ht="15.75" customHeight="1" s="201">
      <c r="A723" s="1" t="n">
        <v>24198731</v>
      </c>
      <c r="B723" s="1" t="inlineStr">
        <is>
          <t>Chicken nuggets, from fast food (Includes McDonald's Chicken McNuggets; Burger King; Wendy's; KFC Bites)</t>
        </is>
      </c>
      <c r="C723" s="1" t="n">
        <v>2</v>
      </c>
      <c r="D723" s="1" t="inlineStr">
        <is>
          <t>Links to altEC</t>
        </is>
      </c>
      <c r="E723" s="1" t="inlineStr">
        <is>
          <t>Base</t>
        </is>
      </c>
      <c r="F723" s="1" t="n">
        <v>0.732277</v>
      </c>
    </row>
    <row r="724" ht="15.75" customHeight="1" s="201">
      <c r="A724" s="1" t="n">
        <v>24198732</v>
      </c>
      <c r="B724" s="1" t="inlineStr">
        <is>
          <t>Chicken nuggets, from restaurant</t>
        </is>
      </c>
      <c r="C724" s="1" t="n">
        <v>2</v>
      </c>
      <c r="D724" s="1" t="inlineStr">
        <is>
          <t>Links to altEC</t>
        </is>
      </c>
      <c r="E724" s="1" t="inlineStr">
        <is>
          <t>Base</t>
        </is>
      </c>
      <c r="F724" s="1" t="n">
        <v>0.732277</v>
      </c>
    </row>
    <row r="725" ht="15.75" customHeight="1" s="201">
      <c r="A725" s="1" t="n">
        <v>24198735</v>
      </c>
      <c r="B725" s="1" t="inlineStr">
        <is>
          <t>Chicken nuggets, from school lunch</t>
        </is>
      </c>
      <c r="C725" s="1" t="n">
        <v>2</v>
      </c>
      <c r="D725" s="1" t="inlineStr">
        <is>
          <t>Links to altEC</t>
        </is>
      </c>
      <c r="E725" s="1" t="inlineStr">
        <is>
          <t>Base</t>
        </is>
      </c>
      <c r="F725" s="1" t="n">
        <v>0.732277</v>
      </c>
    </row>
    <row r="726" ht="15.75" customHeight="1" s="201">
      <c r="A726" s="1" t="n">
        <v>24198736</v>
      </c>
      <c r="B726" s="1" t="inlineStr">
        <is>
          <t>Chicken nuggets, from frozen (Includes chicken sticks; chicken bites; Banquet; Tyson; Weaver)</t>
        </is>
      </c>
      <c r="C726" s="1" t="n">
        <v>2</v>
      </c>
      <c r="D726" s="1" t="inlineStr">
        <is>
          <t>Links to altEC</t>
        </is>
      </c>
      <c r="E726" s="1" t="inlineStr">
        <is>
          <t>Base</t>
        </is>
      </c>
      <c r="F726" s="1" t="n">
        <v>0.732277</v>
      </c>
    </row>
    <row r="727" ht="15.75" customHeight="1" s="201">
      <c r="A727" s="1" t="n">
        <v>24198737</v>
      </c>
      <c r="B727" s="1" t="inlineStr">
        <is>
          <t>Chicken nuggets, from other sources (Includes from other place; homemade)</t>
        </is>
      </c>
      <c r="C727" s="1" t="n">
        <v>2</v>
      </c>
      <c r="D727" s="1" t="inlineStr">
        <is>
          <t>Links to altEC</t>
        </is>
      </c>
      <c r="E727" s="1" t="inlineStr">
        <is>
          <t>Base</t>
        </is>
      </c>
      <c r="F727" s="1" t="n">
        <v>0.732277</v>
      </c>
    </row>
    <row r="728" ht="15.75" customHeight="1" s="201">
      <c r="A728" s="1" t="n">
        <v>24198739</v>
      </c>
      <c r="B728" s="1" t="inlineStr">
        <is>
          <t>Chicken tenders or strips, NFS (Includes chicken fingers, NFS)</t>
        </is>
      </c>
      <c r="C728" s="1" t="n">
        <v>2</v>
      </c>
      <c r="D728" s="1" t="inlineStr">
        <is>
          <t>Links to altEC</t>
        </is>
      </c>
      <c r="E728" s="1" t="inlineStr">
        <is>
          <t>Base</t>
        </is>
      </c>
      <c r="F728" s="1" t="n">
        <v>0.968525</v>
      </c>
    </row>
    <row r="729" ht="15.75" customHeight="1" s="201">
      <c r="A729" s="1" t="n">
        <v>24198741</v>
      </c>
      <c r="B729" s="1" t="inlineStr">
        <is>
          <t>Chicken tenders or strips, breaded, from fast food (Includes chicken fingers; Burger King; KFC; Carl's Jr.; McDonald's McBites; chicken fries; popcorn chicken)</t>
        </is>
      </c>
      <c r="C729" s="1" t="n">
        <v>2</v>
      </c>
      <c r="D729" s="1" t="inlineStr">
        <is>
          <t>Links to altEC</t>
        </is>
      </c>
      <c r="E729" s="1" t="inlineStr">
        <is>
          <t>Base</t>
        </is>
      </c>
      <c r="F729" s="1" t="n">
        <v>0.968525</v>
      </c>
    </row>
    <row r="730" ht="15.75" customHeight="1" s="201">
      <c r="A730" s="1" t="n">
        <v>24198742</v>
      </c>
      <c r="B730" s="1" t="inlineStr">
        <is>
          <t>Chicken tenders or strips, breaded, from restaurant (Includes chicken fingers; popcorn chicken)</t>
        </is>
      </c>
      <c r="C730" s="1" t="n">
        <v>2</v>
      </c>
      <c r="D730" s="1" t="inlineStr">
        <is>
          <t>Links to altEC</t>
        </is>
      </c>
      <c r="E730" s="1" t="inlineStr">
        <is>
          <t>Base</t>
        </is>
      </c>
      <c r="F730" s="1" t="n">
        <v>0.968525</v>
      </c>
    </row>
    <row r="731" ht="15.75" customHeight="1" s="201">
      <c r="A731" s="1" t="n">
        <v>24198745</v>
      </c>
      <c r="B731" s="1" t="inlineStr">
        <is>
          <t>Chicken tenders or strips, breaded, from school lunch (Includes chicken fingers; popcorn chicken)</t>
        </is>
      </c>
      <c r="C731" s="1" t="n">
        <v>1</v>
      </c>
      <c r="D731" s="1" t="inlineStr">
        <is>
          <t>Links to FNDDS</t>
        </is>
      </c>
      <c r="E731" s="1" t="inlineStr">
        <is>
          <t>Base</t>
        </is>
      </c>
      <c r="F731" s="1" t="n">
        <v>0.881664</v>
      </c>
    </row>
    <row r="732" ht="15.75" customHeight="1" s="201">
      <c r="A732" s="1" t="n">
        <v>24198746</v>
      </c>
      <c r="B732" s="1" t="inlineStr">
        <is>
          <t>Chicken tenders or strips, breaded, from frozen (Includes chicken fingers; popcorn chicken; chicken fries; chicken breast tenders; Banquet; Tyson; Weaver)</t>
        </is>
      </c>
      <c r="C732" s="1" t="n">
        <v>1</v>
      </c>
      <c r="D732" s="1" t="inlineStr">
        <is>
          <t>Links to FNDDS</t>
        </is>
      </c>
      <c r="E732" s="1" t="inlineStr">
        <is>
          <t>Base</t>
        </is>
      </c>
      <c r="F732" s="1" t="n">
        <v>0.969407</v>
      </c>
    </row>
    <row r="733" ht="15.75" customHeight="1" s="201">
      <c r="A733" s="1" t="n">
        <v>24198747</v>
      </c>
      <c r="B733" s="1" t="inlineStr">
        <is>
          <t>Chicken tenders or strips, breaded, from other sources (Includes chicken fingers; from other place; homemade; popcorn chicken)</t>
        </is>
      </c>
      <c r="C733" s="1" t="n">
        <v>2</v>
      </c>
      <c r="D733" s="1" t="inlineStr">
        <is>
          <t>Links to altEC</t>
        </is>
      </c>
      <c r="E733" s="1" t="inlineStr">
        <is>
          <t>Base</t>
        </is>
      </c>
      <c r="F733" s="1" t="n">
        <v>0.968525</v>
      </c>
    </row>
    <row r="734" ht="15.75" customHeight="1" s="201">
      <c r="A734" s="1" t="n">
        <v>24201000</v>
      </c>
      <c r="B734" s="1" t="inlineStr">
        <is>
          <t>Turkey, NFS</t>
        </is>
      </c>
      <c r="C734" s="1" t="n">
        <v>2</v>
      </c>
      <c r="D734" s="1" t="inlineStr">
        <is>
          <t>Links to altEC</t>
        </is>
      </c>
      <c r="E734" s="1" t="inlineStr">
        <is>
          <t>Base</t>
        </is>
      </c>
      <c r="F734" s="1" t="n">
        <v>0.844469</v>
      </c>
    </row>
    <row r="735" ht="15.75" customHeight="1" s="201">
      <c r="A735" s="1" t="n">
        <v>24201020</v>
      </c>
      <c r="B735" s="1" t="inlineStr">
        <is>
          <t>Turkey, light meat, skin not eaten (Includes turkey cutlet; NS as to skin eaten; any source)</t>
        </is>
      </c>
      <c r="C735" s="1" t="n">
        <v>2</v>
      </c>
      <c r="D735" s="1" t="inlineStr">
        <is>
          <t>Links to altEC</t>
        </is>
      </c>
      <c r="E735" s="1" t="inlineStr">
        <is>
          <t>Base</t>
        </is>
      </c>
      <c r="F735" s="1" t="n">
        <v>1.741834</v>
      </c>
    </row>
    <row r="736" ht="15.75" customHeight="1" s="201">
      <c r="A736" s="1" t="n">
        <v>24201030</v>
      </c>
      <c r="B736" s="1" t="inlineStr">
        <is>
          <t>Turkey, light meat, skin eaten (Includes any source)</t>
        </is>
      </c>
      <c r="C736" s="1" t="n">
        <v>2</v>
      </c>
      <c r="D736" s="1" t="inlineStr">
        <is>
          <t>Links to altEC</t>
        </is>
      </c>
      <c r="E736" s="1" t="inlineStr">
        <is>
          <t>Base</t>
        </is>
      </c>
      <c r="F736" s="1" t="n">
        <v>1.689235</v>
      </c>
    </row>
    <row r="737" ht="15.75" customHeight="1" s="201">
      <c r="A737" s="1" t="n">
        <v>24201120</v>
      </c>
      <c r="B737" s="1" t="inlineStr">
        <is>
          <t>Turkey, light meat, roasted, skin not eaten (Includes any source)</t>
        </is>
      </c>
      <c r="C737" s="1" t="n">
        <v>2</v>
      </c>
      <c r="D737" s="1" t="inlineStr">
        <is>
          <t>Links to altEC</t>
        </is>
      </c>
      <c r="E737" s="1" t="inlineStr">
        <is>
          <t>Base</t>
        </is>
      </c>
      <c r="F737" s="1" t="n">
        <v>1.741834</v>
      </c>
    </row>
    <row r="738" ht="15.75" customHeight="1" s="201">
      <c r="A738" s="1" t="n">
        <v>24201130</v>
      </c>
      <c r="B738" s="1" t="inlineStr">
        <is>
          <t>Turkey, light meat, roasted, skin eaten (Includes NS as to skin eaten; any source)</t>
        </is>
      </c>
      <c r="C738" s="1" t="n">
        <v>2</v>
      </c>
      <c r="D738" s="1" t="inlineStr">
        <is>
          <t>Links to altEC</t>
        </is>
      </c>
      <c r="E738" s="1" t="inlineStr">
        <is>
          <t>Base</t>
        </is>
      </c>
      <c r="F738" s="1" t="n">
        <v>1.683707</v>
      </c>
    </row>
    <row r="739" ht="15.75" customHeight="1" s="201">
      <c r="A739" s="1" t="n">
        <v>24201220</v>
      </c>
      <c r="B739" s="1" t="inlineStr">
        <is>
          <t>Turkey, dark meat, roasted, skin not eaten (Includes any source)</t>
        </is>
      </c>
      <c r="C739" s="1" t="n">
        <v>2</v>
      </c>
      <c r="D739" s="1" t="inlineStr">
        <is>
          <t>Links to altEC</t>
        </is>
      </c>
      <c r="E739" s="1" t="inlineStr">
        <is>
          <t>Base</t>
        </is>
      </c>
      <c r="F739" s="1" t="n">
        <v>1.418633</v>
      </c>
    </row>
    <row r="740" ht="15.75" customHeight="1" s="201">
      <c r="A740" s="1" t="n">
        <v>24201330</v>
      </c>
      <c r="B740" s="1" t="inlineStr">
        <is>
          <t>Turkey, light and dark meat, roasted, skin eaten (Includes NS as to skin eaten; any source)</t>
        </is>
      </c>
      <c r="C740" s="1" t="n">
        <v>2</v>
      </c>
      <c r="D740" s="1" t="inlineStr">
        <is>
          <t>Links to altEC</t>
        </is>
      </c>
      <c r="E740" s="1" t="inlineStr">
        <is>
          <t>Base</t>
        </is>
      </c>
      <c r="F740" s="1" t="n">
        <v>0.789919</v>
      </c>
    </row>
    <row r="741" ht="15.75" customHeight="1" s="201">
      <c r="A741" s="1" t="n">
        <v>24201370</v>
      </c>
      <c r="B741" s="1" t="inlineStr">
        <is>
          <t>Turkey, light or dark meat, fried, coated, skin eaten (Includes sauteed with coating; NS as to coated or uncoated; NS as to skin eaten; any source)</t>
        </is>
      </c>
      <c r="C741" s="1" t="n">
        <v>1</v>
      </c>
      <c r="D741" s="1" t="inlineStr">
        <is>
          <t>Links to FNDDS</t>
        </is>
      </c>
      <c r="E741" s="1" t="inlineStr">
        <is>
          <t>Base</t>
        </is>
      </c>
      <c r="F741" s="1" t="n">
        <v>1.147852</v>
      </c>
    </row>
    <row r="742" ht="15.75" customHeight="1" s="201">
      <c r="A742" s="1" t="n">
        <v>24201410</v>
      </c>
      <c r="B742" s="1" t="inlineStr">
        <is>
          <t>Turkey, light or dark meat, stewed, skin not eaten (Includes braised; any source)</t>
        </is>
      </c>
      <c r="C742" s="1" t="n">
        <v>2</v>
      </c>
      <c r="D742" s="1" t="inlineStr">
        <is>
          <t>Links to altEC</t>
        </is>
      </c>
      <c r="E742" s="1" t="inlineStr">
        <is>
          <t>Base</t>
        </is>
      </c>
      <c r="F742" s="1" t="n">
        <v>0.7941550000000001</v>
      </c>
    </row>
    <row r="743" ht="15.75" customHeight="1" s="201">
      <c r="A743" s="1" t="n">
        <v>24201420</v>
      </c>
      <c r="B743" s="1" t="inlineStr">
        <is>
          <t>Turkey light or dark meat, stewed, skin eaten (Includes braised; NS as to skin eaten; any source)</t>
        </is>
      </c>
      <c r="C743" s="1" t="n">
        <v>2</v>
      </c>
      <c r="D743" s="1" t="inlineStr">
        <is>
          <t>Links to altEC</t>
        </is>
      </c>
      <c r="E743" s="1" t="inlineStr">
        <is>
          <t>Base</t>
        </is>
      </c>
      <c r="F743" s="1" t="n">
        <v>0.777126</v>
      </c>
    </row>
    <row r="744" ht="15.75" customHeight="1" s="201">
      <c r="A744" s="1" t="n">
        <v>24201510</v>
      </c>
      <c r="B744" s="1" t="inlineStr">
        <is>
          <t>Turkey, light or dark meat, smoked, skin eaten (Includes NS as to skin eaten; any source)</t>
        </is>
      </c>
      <c r="C744" s="1" t="n">
        <v>1</v>
      </c>
      <c r="D744" s="1" t="inlineStr">
        <is>
          <t>Links to FNDDS</t>
        </is>
      </c>
      <c r="E744" s="1" t="inlineStr">
        <is>
          <t>Base</t>
        </is>
      </c>
      <c r="F744" s="1" t="n">
        <v>1.755048</v>
      </c>
    </row>
    <row r="745" ht="15.75" customHeight="1" s="201">
      <c r="A745" s="1" t="n">
        <v>24201520</v>
      </c>
      <c r="B745" s="1" t="inlineStr">
        <is>
          <t>Turkey, light or dark meat, smoked, skin not eaten (Includes any source)</t>
        </is>
      </c>
      <c r="C745" s="1" t="n">
        <v>2</v>
      </c>
      <c r="D745" s="1" t="inlineStr">
        <is>
          <t>Links to altEC</t>
        </is>
      </c>
      <c r="E745" s="1" t="inlineStr">
        <is>
          <t>Base</t>
        </is>
      </c>
      <c r="F745" s="1" t="n">
        <v>1.913003</v>
      </c>
    </row>
    <row r="746" ht="15.75" customHeight="1" s="201">
      <c r="A746" s="1" t="n">
        <v>24202010</v>
      </c>
      <c r="B746" s="1" t="inlineStr">
        <is>
          <t>Turkey, drumstick, cooked, skin not eaten (Includes any source)</t>
        </is>
      </c>
      <c r="C746" s="1" t="n">
        <v>2</v>
      </c>
      <c r="D746" s="1" t="inlineStr">
        <is>
          <t>Links to altEC</t>
        </is>
      </c>
      <c r="E746" s="1" t="inlineStr">
        <is>
          <t>Base</t>
        </is>
      </c>
      <c r="F746" s="1" t="n">
        <v>0.917462</v>
      </c>
    </row>
    <row r="747" ht="15.75" customHeight="1" s="201">
      <c r="A747" s="1" t="n">
        <v>24202020</v>
      </c>
      <c r="B747" s="1" t="inlineStr">
        <is>
          <t>Turkey, drumstick, cooked, skin eaten (Includes NS as to skin eaten; any source)</t>
        </is>
      </c>
      <c r="C747" s="1" t="n">
        <v>2</v>
      </c>
      <c r="D747" s="1" t="inlineStr">
        <is>
          <t>Links to altEC</t>
        </is>
      </c>
      <c r="E747" s="1" t="inlineStr">
        <is>
          <t>Base</t>
        </is>
      </c>
      <c r="F747" s="1" t="n">
        <v>0.874376</v>
      </c>
    </row>
    <row r="748" ht="15.75" customHeight="1" s="201">
      <c r="A748" s="1" t="n">
        <v>24202060</v>
      </c>
      <c r="B748" s="1" t="inlineStr">
        <is>
          <t>Turkey, drumstick, roasted, skin not eaten (Includes any source)</t>
        </is>
      </c>
      <c r="C748" s="1" t="n">
        <v>2</v>
      </c>
      <c r="D748" s="1" t="inlineStr">
        <is>
          <t>Links to altEC</t>
        </is>
      </c>
      <c r="E748" s="1" t="inlineStr">
        <is>
          <t>Base</t>
        </is>
      </c>
      <c r="F748" s="1" t="n">
        <v>0.917462</v>
      </c>
    </row>
    <row r="749" ht="15.75" customHeight="1" s="201">
      <c r="A749" s="1" t="n">
        <v>24202070</v>
      </c>
      <c r="B749" s="1" t="inlineStr">
        <is>
          <t>Turkey, drumstick, roasted, skin eaten (Includes NS as to skin eaten; any source)</t>
        </is>
      </c>
      <c r="C749" s="1" t="n">
        <v>2</v>
      </c>
      <c r="D749" s="1" t="inlineStr">
        <is>
          <t>Links to altEC</t>
        </is>
      </c>
      <c r="E749" s="1" t="inlineStr">
        <is>
          <t>Base</t>
        </is>
      </c>
      <c r="F749" s="1" t="n">
        <v>0.874376</v>
      </c>
    </row>
    <row r="750" ht="15.75" customHeight="1" s="201">
      <c r="A750" s="1" t="n">
        <v>24202460</v>
      </c>
      <c r="B750" s="1" t="inlineStr">
        <is>
          <t>Turkey, thigh, cooked, skin eaten (Includes NS as to skin eaten; any source)</t>
        </is>
      </c>
      <c r="C750" s="1" t="n">
        <v>2</v>
      </c>
      <c r="D750" s="1" t="inlineStr">
        <is>
          <t>Links to altEC</t>
        </is>
      </c>
      <c r="E750" s="1" t="inlineStr">
        <is>
          <t>Base</t>
        </is>
      </c>
      <c r="F750" s="1" t="n">
        <v>0.988201</v>
      </c>
    </row>
    <row r="751" ht="15.75" customHeight="1" s="201">
      <c r="A751" s="1" t="n">
        <v>24202500</v>
      </c>
      <c r="B751" s="1" t="inlineStr">
        <is>
          <t>Turkey, thigh, cooked, skin not eaten (Includes any source)</t>
        </is>
      </c>
      <c r="C751" s="1" t="n">
        <v>2</v>
      </c>
      <c r="D751" s="1" t="inlineStr">
        <is>
          <t>Links to altEC</t>
        </is>
      </c>
      <c r="E751" s="1" t="inlineStr">
        <is>
          <t>Base</t>
        </is>
      </c>
      <c r="F751" s="1" t="n">
        <v>0.988201</v>
      </c>
    </row>
    <row r="752" ht="15.75" customHeight="1" s="201">
      <c r="A752" s="1" t="n">
        <v>24202600</v>
      </c>
      <c r="B752" s="1" t="inlineStr">
        <is>
          <t>Turkey, neck</t>
        </is>
      </c>
      <c r="C752" s="1" t="n">
        <v>2</v>
      </c>
      <c r="D752" s="1" t="inlineStr">
        <is>
          <t>Links to altEC</t>
        </is>
      </c>
      <c r="E752" s="1" t="inlineStr">
        <is>
          <t>Base</t>
        </is>
      </c>
      <c r="F752" s="1" t="n">
        <v>0.9027579999999999</v>
      </c>
    </row>
    <row r="753" ht="15.75" customHeight="1" s="201">
      <c r="A753" s="1" t="n">
        <v>24203010</v>
      </c>
      <c r="B753" s="1" t="inlineStr">
        <is>
          <t>Turkey, wing, cooked, skin not eaten (Includes any source)</t>
        </is>
      </c>
      <c r="C753" s="1" t="n">
        <v>2</v>
      </c>
      <c r="D753" s="1" t="inlineStr">
        <is>
          <t>Links to altEC</t>
        </is>
      </c>
      <c r="E753" s="1" t="inlineStr">
        <is>
          <t>Base</t>
        </is>
      </c>
      <c r="F753" s="1" t="n">
        <v>1.089488</v>
      </c>
    </row>
    <row r="754" ht="15.75" customHeight="1" s="201">
      <c r="A754" s="1" t="n">
        <v>24203020</v>
      </c>
      <c r="B754" s="1" t="inlineStr">
        <is>
          <t>Turkey, wing, cooked, skin eaten (Includes NS as to skin eaten; any source)</t>
        </is>
      </c>
      <c r="C754" s="1" t="n">
        <v>2</v>
      </c>
      <c r="D754" s="1" t="inlineStr">
        <is>
          <t>Links to altEC</t>
        </is>
      </c>
      <c r="E754" s="1" t="inlineStr">
        <is>
          <t>Base</t>
        </is>
      </c>
      <c r="F754" s="1" t="n">
        <v>1.060809</v>
      </c>
    </row>
    <row r="755" ht="15.75" customHeight="1" s="201">
      <c r="A755" s="1" t="n">
        <v>24207000</v>
      </c>
      <c r="B755" s="1" t="inlineStr">
        <is>
          <t>Turkey, ground</t>
        </is>
      </c>
      <c r="C755" s="1" t="n">
        <v>2</v>
      </c>
      <c r="D755" s="1" t="inlineStr">
        <is>
          <t>Links to altEC</t>
        </is>
      </c>
      <c r="E755" s="1" t="inlineStr">
        <is>
          <t>Base</t>
        </is>
      </c>
      <c r="F755" s="1" t="n">
        <v>1.424761</v>
      </c>
    </row>
    <row r="756" ht="15.75" customHeight="1" s="201">
      <c r="A756" s="1" t="n">
        <v>24208500</v>
      </c>
      <c r="B756" s="1" t="inlineStr">
        <is>
          <t>Turkey bacon, cooked</t>
        </is>
      </c>
      <c r="C756" s="1" t="n">
        <v>1</v>
      </c>
      <c r="D756" s="1" t="inlineStr">
        <is>
          <t>Links to FNDDS</t>
        </is>
      </c>
      <c r="E756" s="1" t="inlineStr">
        <is>
          <t>Base</t>
        </is>
      </c>
      <c r="F756" s="1" t="n">
        <v>3.085465</v>
      </c>
    </row>
    <row r="757" ht="15.75" customHeight="1" s="201">
      <c r="A757" s="1" t="n">
        <v>24208510</v>
      </c>
      <c r="B757" s="1" t="inlineStr">
        <is>
          <t>Turkey bacon, reduced sodium, cooked (Includes less or lower sodium)</t>
        </is>
      </c>
      <c r="C757" s="1" t="n">
        <v>2</v>
      </c>
      <c r="D757" s="1" t="inlineStr">
        <is>
          <t>Links to altEC</t>
        </is>
      </c>
      <c r="E757" s="1" t="inlineStr">
        <is>
          <t>Base</t>
        </is>
      </c>
      <c r="F757" s="1" t="n">
        <v>3.085465</v>
      </c>
    </row>
    <row r="758" ht="15.75" customHeight="1" s="201">
      <c r="A758" s="1" t="n">
        <v>24209000</v>
      </c>
      <c r="B758" s="1" t="inlineStr">
        <is>
          <t>Turkey with barbecue sauce, skin eaten (Includes honey barbecue; NS as to skin eaten)</t>
        </is>
      </c>
      <c r="C758" s="1" t="n">
        <v>2</v>
      </c>
      <c r="D758" s="1" t="inlineStr">
        <is>
          <t>Links to altEC</t>
        </is>
      </c>
      <c r="E758" s="1" t="inlineStr">
        <is>
          <t>Base</t>
        </is>
      </c>
      <c r="F758" s="1" t="n">
        <v>1.346159</v>
      </c>
    </row>
    <row r="759" ht="15.75" customHeight="1" s="201">
      <c r="A759" s="1" t="n">
        <v>24209001</v>
      </c>
      <c r="B759" s="1" t="inlineStr">
        <is>
          <t>Turkey with barbecue sauce, skin not eaten (Includes prepared without skin)</t>
        </is>
      </c>
      <c r="C759" s="1" t="n">
        <v>4</v>
      </c>
      <c r="D759" s="1" t="inlineStr">
        <is>
          <t>FNDDS recipe with replaced or modified SR codes</t>
        </is>
      </c>
      <c r="E759" s="1" t="inlineStr">
        <is>
          <t>Base</t>
        </is>
      </c>
      <c r="F759" s="1" t="n">
        <v>0.918223</v>
      </c>
    </row>
    <row r="760" ht="15.75" customHeight="1" s="201">
      <c r="A760" s="1" t="n">
        <v>24300110</v>
      </c>
      <c r="B760" s="1" t="inlineStr">
        <is>
          <t>Duck, cooked, skin eaten (Includes NS as to skin eaten; any source)</t>
        </is>
      </c>
      <c r="C760" s="1" t="n">
        <v>2</v>
      </c>
      <c r="D760" s="1" t="inlineStr">
        <is>
          <t>Links to altEC</t>
        </is>
      </c>
      <c r="E760" s="1" t="inlineStr">
        <is>
          <t>Base</t>
        </is>
      </c>
      <c r="F760" s="1" t="n">
        <v>1.711188</v>
      </c>
    </row>
    <row r="761" ht="15.75" customHeight="1" s="201">
      <c r="A761" s="1" t="n">
        <v>24300120</v>
      </c>
      <c r="B761" s="1" t="inlineStr">
        <is>
          <t>Duck, cooked, skin not eaten (Includes any source)</t>
        </is>
      </c>
      <c r="C761" s="1" t="n">
        <v>2</v>
      </c>
      <c r="D761" s="1" t="inlineStr">
        <is>
          <t>Links to altEC</t>
        </is>
      </c>
      <c r="E761" s="1" t="inlineStr">
        <is>
          <t>Base</t>
        </is>
      </c>
      <c r="F761" s="1" t="n">
        <v>1.849556</v>
      </c>
    </row>
    <row r="762" ht="15.75" customHeight="1" s="201">
      <c r="A762" s="1" t="n">
        <v>24301010</v>
      </c>
      <c r="B762" s="1" t="inlineStr">
        <is>
          <t>Duck, roasted, skin eaten (Includes NS as to skin eaten; any source)</t>
        </is>
      </c>
      <c r="C762" s="1" t="n">
        <v>2</v>
      </c>
      <c r="D762" s="1" t="inlineStr">
        <is>
          <t>Links to altEC</t>
        </is>
      </c>
      <c r="E762" s="1" t="inlineStr">
        <is>
          <t>Base</t>
        </is>
      </c>
      <c r="F762" s="1" t="n">
        <v>1.711188</v>
      </c>
    </row>
    <row r="763" ht="15.75" customHeight="1" s="201">
      <c r="A763" s="1" t="n">
        <v>24401010</v>
      </c>
      <c r="B763" s="1" t="inlineStr">
        <is>
          <t>Cornish game hen, roasted, skin eaten (Includes NS as to skin eaten; any source)</t>
        </is>
      </c>
      <c r="C763" s="1" t="n">
        <v>2</v>
      </c>
      <c r="D763" s="1" t="inlineStr">
        <is>
          <t>Links to altEC</t>
        </is>
      </c>
      <c r="E763" s="1" t="inlineStr">
        <is>
          <t>Base</t>
        </is>
      </c>
      <c r="F763" s="1" t="n">
        <v>1.028119</v>
      </c>
    </row>
    <row r="764" ht="15.75" customHeight="1" s="201">
      <c r="A764" s="1" t="n">
        <v>25110120</v>
      </c>
      <c r="B764" s="1" t="inlineStr">
        <is>
          <t>Beef liver, braised (Includes calves or veal liver; goat liver; lamb liver)</t>
        </is>
      </c>
      <c r="C764" s="1" t="n">
        <v>2</v>
      </c>
      <c r="D764" s="1" t="inlineStr">
        <is>
          <t>Links to altEC</t>
        </is>
      </c>
      <c r="E764" s="1" t="inlineStr">
        <is>
          <t>Base</t>
        </is>
      </c>
      <c r="F764" s="1" t="n">
        <v>0.93884</v>
      </c>
    </row>
    <row r="765" ht="15.75" customHeight="1" s="201">
      <c r="A765" s="1" t="n">
        <v>25110140</v>
      </c>
      <c r="B765" s="1" t="inlineStr">
        <is>
          <t>Beef liver, fried (Includes calves or veal liver; liver, NFS; broiled; sauteed; NS as to cooking method)</t>
        </is>
      </c>
      <c r="C765" s="1" t="n">
        <v>2</v>
      </c>
      <c r="D765" s="1" t="inlineStr">
        <is>
          <t>Links to altEC</t>
        </is>
      </c>
      <c r="E765" s="1" t="inlineStr">
        <is>
          <t>Base</t>
        </is>
      </c>
      <c r="F765" s="1" t="n">
        <v>0.93884</v>
      </c>
    </row>
    <row r="766" ht="15.75" customHeight="1" s="201">
      <c r="A766" s="1" t="n">
        <v>25110420</v>
      </c>
      <c r="B766" s="1" t="inlineStr">
        <is>
          <t>Chicken liver, braised (Includes turkey; other poultry liver)</t>
        </is>
      </c>
      <c r="C766" s="1" t="n">
        <v>2</v>
      </c>
      <c r="D766" s="1" t="inlineStr">
        <is>
          <t>Links to altEC</t>
        </is>
      </c>
      <c r="E766" s="1" t="inlineStr">
        <is>
          <t>Base</t>
        </is>
      </c>
      <c r="F766" s="1" t="n">
        <v>0.469032</v>
      </c>
    </row>
    <row r="767" ht="15.75" customHeight="1" s="201">
      <c r="A767" s="1" t="n">
        <v>25110450</v>
      </c>
      <c r="B767" s="1" t="inlineStr">
        <is>
          <t>Chicken liver, fried (Includes turkey; other poultry liver; sauteed; NS as to cooking method)</t>
        </is>
      </c>
      <c r="C767" s="1" t="n">
        <v>2</v>
      </c>
      <c r="D767" s="1" t="inlineStr">
        <is>
          <t>Links to altEC</t>
        </is>
      </c>
      <c r="E767" s="1" t="inlineStr">
        <is>
          <t>Base</t>
        </is>
      </c>
      <c r="F767" s="1" t="n">
        <v>0.469032</v>
      </c>
    </row>
    <row r="768" ht="15.75" customHeight="1" s="201">
      <c r="A768" s="1" t="n">
        <v>25112200</v>
      </c>
      <c r="B768" s="1" t="inlineStr">
        <is>
          <t>Liver paste or pate, chicken (Includes pate, NFS; pork and/or calves liver pate)</t>
        </is>
      </c>
      <c r="C768" s="1" t="n">
        <v>1</v>
      </c>
      <c r="D768" s="1" t="inlineStr">
        <is>
          <t>Links to FNDDS</t>
        </is>
      </c>
      <c r="E768" s="1" t="inlineStr">
        <is>
          <t>Base</t>
        </is>
      </c>
      <c r="F768" s="1" t="n">
        <v>3.208497</v>
      </c>
    </row>
    <row r="769" ht="15.75" customHeight="1" s="201">
      <c r="A769" s="1" t="n">
        <v>25140110</v>
      </c>
      <c r="B769" s="1" t="inlineStr">
        <is>
          <t>Sweetbreads, cooked</t>
        </is>
      </c>
      <c r="C769" s="1" t="n">
        <v>1</v>
      </c>
      <c r="D769" s="1" t="inlineStr">
        <is>
          <t>Links to FNDDS</t>
        </is>
      </c>
      <c r="E769" s="1" t="inlineStr">
        <is>
          <t>Base</t>
        </is>
      </c>
      <c r="F769" s="1" t="n">
        <v>0.873924</v>
      </c>
    </row>
    <row r="770" ht="15.75" customHeight="1" s="201">
      <c r="A770" s="1" t="n">
        <v>25160000</v>
      </c>
      <c r="B770" s="1" t="inlineStr">
        <is>
          <t>Tongue, cooked (Includes beef; pork; lamb; veal)</t>
        </is>
      </c>
      <c r="C770" s="1" t="n">
        <v>2</v>
      </c>
      <c r="D770" s="1" t="inlineStr">
        <is>
          <t>Links to altEC</t>
        </is>
      </c>
      <c r="E770" s="1" t="inlineStr">
        <is>
          <t>Base</t>
        </is>
      </c>
      <c r="F770" s="1" t="n">
        <v>2.207691</v>
      </c>
    </row>
    <row r="771" ht="15.75" customHeight="1" s="201">
      <c r="A771" s="1" t="n">
        <v>25170110</v>
      </c>
      <c r="B771" s="1" t="inlineStr">
        <is>
          <t>Tripe, cooked</t>
        </is>
      </c>
      <c r="C771" s="1" t="n">
        <v>1</v>
      </c>
      <c r="D771" s="1" t="inlineStr">
        <is>
          <t>Links to FNDDS</t>
        </is>
      </c>
      <c r="E771" s="1" t="inlineStr">
        <is>
          <t>Base</t>
        </is>
      </c>
      <c r="F771" s="1" t="n">
        <v>1.036904</v>
      </c>
    </row>
    <row r="772" ht="15.75" customHeight="1" s="201">
      <c r="A772" s="1" t="n">
        <v>25170210</v>
      </c>
      <c r="B772" s="1" t="inlineStr">
        <is>
          <t>Chitterlings, cooked</t>
        </is>
      </c>
      <c r="C772" s="1" t="n">
        <v>1</v>
      </c>
      <c r="D772" s="1" t="inlineStr">
        <is>
          <t>Links to FNDDS</t>
        </is>
      </c>
      <c r="E772" s="1" t="inlineStr">
        <is>
          <t>Base</t>
        </is>
      </c>
      <c r="F772" s="1" t="n">
        <v>0.487983</v>
      </c>
    </row>
    <row r="773" ht="15.75" customHeight="1" s="201">
      <c r="A773" s="1" t="n">
        <v>25170310</v>
      </c>
      <c r="B773" s="1" t="inlineStr">
        <is>
          <t>Hog maws, cooked (Includes pig stomach; pork stomach)</t>
        </is>
      </c>
      <c r="C773" s="1" t="n">
        <v>1</v>
      </c>
      <c r="D773" s="1" t="inlineStr">
        <is>
          <t>Links to FNDDS</t>
        </is>
      </c>
      <c r="E773" s="1" t="inlineStr">
        <is>
          <t>Base</t>
        </is>
      </c>
      <c r="F773" s="1" t="n">
        <v>0.751525</v>
      </c>
    </row>
    <row r="774" ht="15.75" customHeight="1" s="201">
      <c r="A774" s="1" t="n">
        <v>25170420</v>
      </c>
      <c r="B774" s="1" t="inlineStr">
        <is>
          <t>Gizzard, cooked (Includes giblets (excluding liver))</t>
        </is>
      </c>
      <c r="C774" s="1" t="n">
        <v>2</v>
      </c>
      <c r="D774" s="1" t="inlineStr">
        <is>
          <t>Links to altEC</t>
        </is>
      </c>
      <c r="E774" s="1" t="inlineStr">
        <is>
          <t>Base</t>
        </is>
      </c>
      <c r="F774" s="1" t="n">
        <v>0.5616100000000001</v>
      </c>
    </row>
    <row r="775" ht="15.75" customHeight="1" s="201">
      <c r="A775" s="1" t="n">
        <v>25210110</v>
      </c>
      <c r="B775" s="1" t="inlineStr">
        <is>
          <t>Frankfurter or hot dog, NFS</t>
        </is>
      </c>
      <c r="C775" s="1" t="n">
        <v>2</v>
      </c>
      <c r="D775" s="1" t="inlineStr">
        <is>
          <t>Links to altEC</t>
        </is>
      </c>
      <c r="E775" s="1" t="inlineStr">
        <is>
          <t>Base</t>
        </is>
      </c>
      <c r="F775" s="1" t="n">
        <v>0.634665</v>
      </c>
    </row>
    <row r="776" ht="15.75" customHeight="1" s="201">
      <c r="A776" s="1" t="n">
        <v>25210150</v>
      </c>
      <c r="B776" s="1" t="inlineStr">
        <is>
          <t>Frankfurter or hot dog, cheese-filled (Includes all meats / poultry)</t>
        </is>
      </c>
      <c r="C776" s="1" t="n">
        <v>1</v>
      </c>
      <c r="D776" s="1" t="inlineStr">
        <is>
          <t>Links to FNDDS</t>
        </is>
      </c>
      <c r="E776" s="1" t="inlineStr">
        <is>
          <t>Base</t>
        </is>
      </c>
      <c r="F776" s="1" t="n">
        <v>0.837818</v>
      </c>
    </row>
    <row r="777" ht="15.75" customHeight="1" s="201">
      <c r="A777" s="1" t="n">
        <v>25210210</v>
      </c>
      <c r="B777" s="1" t="inlineStr">
        <is>
          <t>Frankfurter or hot dog, beef</t>
        </is>
      </c>
      <c r="C777" s="1" t="n">
        <v>2</v>
      </c>
      <c r="D777" s="1" t="inlineStr">
        <is>
          <t>Links to altEC</t>
        </is>
      </c>
      <c r="E777" s="1" t="inlineStr">
        <is>
          <t>Base</t>
        </is>
      </c>
      <c r="F777" s="1" t="n">
        <v>0.9383550000000001</v>
      </c>
    </row>
    <row r="778" ht="15.75" customHeight="1" s="201">
      <c r="A778" s="1" t="n">
        <v>25210220</v>
      </c>
      <c r="B778" s="1" t="inlineStr">
        <is>
          <t>Frankfurter or hot dog, beef and pork (Includes "pork" hot dog)</t>
        </is>
      </c>
      <c r="C778" s="1" t="n">
        <v>2</v>
      </c>
      <c r="D778" s="1" t="inlineStr">
        <is>
          <t>Links to altEC</t>
        </is>
      </c>
      <c r="E778" s="1" t="inlineStr">
        <is>
          <t>Base</t>
        </is>
      </c>
      <c r="F778" s="1" t="n">
        <v>0.417762</v>
      </c>
    </row>
    <row r="779" ht="15.75" customHeight="1" s="201">
      <c r="A779" s="1" t="n">
        <v>25210240</v>
      </c>
      <c r="B779" s="1" t="inlineStr">
        <is>
          <t>Frankfurter or hot dog, beef and pork, reduced fat or light (Includes 90% or more fat free)</t>
        </is>
      </c>
      <c r="C779" s="1" t="n">
        <v>2</v>
      </c>
      <c r="D779" s="1" t="inlineStr">
        <is>
          <t>Links to altEC</t>
        </is>
      </c>
      <c r="E779" s="1" t="inlineStr">
        <is>
          <t>Base</t>
        </is>
      </c>
      <c r="F779" s="1" t="n">
        <v>1.967418</v>
      </c>
    </row>
    <row r="780" ht="15.75" customHeight="1" s="201">
      <c r="A780" s="1" t="n">
        <v>25210250</v>
      </c>
      <c r="B780" s="1" t="inlineStr">
        <is>
          <t>Frankfurter or hot dog, meat and poultry, fat free (Includes any combination of chicken and/or turkey with beef and/or pork)</t>
        </is>
      </c>
      <c r="C780" s="1" t="n">
        <v>2</v>
      </c>
      <c r="D780" s="1" t="inlineStr">
        <is>
          <t>Links to altEC</t>
        </is>
      </c>
      <c r="E780" s="1" t="inlineStr">
        <is>
          <t>Base</t>
        </is>
      </c>
      <c r="F780" s="1" t="n">
        <v>1.967418</v>
      </c>
    </row>
    <row r="781" ht="15.75" customHeight="1" s="201">
      <c r="A781" s="1" t="n">
        <v>25210280</v>
      </c>
      <c r="B781" s="1" t="inlineStr">
        <is>
          <t>Frankfurter or hot dog, meat and poultry (Includes any combination of chicken and/or turkey with beef and/or pork)</t>
        </is>
      </c>
      <c r="C781" s="1" t="n">
        <v>2</v>
      </c>
      <c r="D781" s="1" t="inlineStr">
        <is>
          <t>Links to altEC</t>
        </is>
      </c>
      <c r="E781" s="1" t="inlineStr">
        <is>
          <t>Base</t>
        </is>
      </c>
      <c r="F781" s="1" t="n">
        <v>0.375261</v>
      </c>
    </row>
    <row r="782" ht="15.75" customHeight="1" s="201">
      <c r="A782" s="1" t="n">
        <v>25210290</v>
      </c>
      <c r="B782" s="1" t="inlineStr">
        <is>
          <t>Frankfurter or hot dog, meat and poultry, reduced fat or light (Includes any combination of chicken and/or turkey with beef and/or pork)</t>
        </is>
      </c>
      <c r="C782" s="1" t="n">
        <v>2</v>
      </c>
      <c r="D782" s="1" t="inlineStr">
        <is>
          <t>Links to altEC</t>
        </is>
      </c>
      <c r="E782" s="1" t="inlineStr">
        <is>
          <t>Base</t>
        </is>
      </c>
      <c r="F782" s="1" t="n">
        <v>1.967418</v>
      </c>
    </row>
    <row r="783" ht="15.75" customHeight="1" s="201">
      <c r="A783" s="1" t="n">
        <v>25210410</v>
      </c>
      <c r="B783" s="1" t="inlineStr">
        <is>
          <t>Frankfurter or hot dog, turkey</t>
        </is>
      </c>
      <c r="C783" s="1" t="n">
        <v>2</v>
      </c>
      <c r="D783" s="1" t="inlineStr">
        <is>
          <t>Links to altEC</t>
        </is>
      </c>
      <c r="E783" s="1" t="inlineStr">
        <is>
          <t>Base</t>
        </is>
      </c>
      <c r="F783" s="1" t="n">
        <v>0.530433</v>
      </c>
    </row>
    <row r="784" ht="15.75" customHeight="1" s="201">
      <c r="A784" s="1" t="n">
        <v>25220105</v>
      </c>
      <c r="B784" s="1" t="inlineStr">
        <is>
          <t>Beef sausage (Includes fresh, smoked, heat and serve, brown and serve, pre-cooked, or NFS; bulk, crumbled, link, patty, or stick; breakfast sausage; half smoke)</t>
        </is>
      </c>
      <c r="C784" s="1" t="n">
        <v>1</v>
      </c>
      <c r="D784" s="1" t="inlineStr">
        <is>
          <t>Links to FNDDS</t>
        </is>
      </c>
      <c r="E784" s="1" t="inlineStr">
        <is>
          <t>Base</t>
        </is>
      </c>
      <c r="F784" s="1" t="n">
        <v>0.865278</v>
      </c>
    </row>
    <row r="785" ht="15.75" customHeight="1" s="201">
      <c r="A785" s="1" t="n">
        <v>25220106</v>
      </c>
      <c r="B785" s="1" t="inlineStr">
        <is>
          <t>Beef sausage, reduced fat (Includes fresh, smoked, heat and serve, brown and serve, pre-cooked, or NFS; bulk, crumbled, link, patty, or stick; breakfast sausage; lowfat or low fat; light or lite)</t>
        </is>
      </c>
      <c r="C785" s="1" t="n">
        <v>2</v>
      </c>
      <c r="D785" s="1" t="inlineStr">
        <is>
          <t>Links to altEC</t>
        </is>
      </c>
      <c r="E785" s="1" t="inlineStr">
        <is>
          <t>Base</t>
        </is>
      </c>
      <c r="F785" s="1" t="n">
        <v>0.761832</v>
      </c>
    </row>
    <row r="786" ht="15.75" customHeight="1" s="201">
      <c r="A786" s="1" t="n">
        <v>25220108</v>
      </c>
      <c r="B786" s="1" t="inlineStr">
        <is>
          <t>Beef sausage, reduced sodium (Includes fresh, smoked, heat and serve, brown and serve, pre-cooked, or NFS; bulk, crumbled, link, patty, or stick; breakfast sausage; half smoke; less or lower sodium)</t>
        </is>
      </c>
      <c r="C786" s="1" t="n">
        <v>2</v>
      </c>
      <c r="D786" s="1" t="inlineStr">
        <is>
          <t>Links to altEC</t>
        </is>
      </c>
      <c r="E786" s="1" t="inlineStr">
        <is>
          <t>Base</t>
        </is>
      </c>
      <c r="F786" s="1" t="n">
        <v>0.758263</v>
      </c>
    </row>
    <row r="787" ht="15.75" customHeight="1" s="201">
      <c r="A787" s="1" t="n">
        <v>25220150</v>
      </c>
      <c r="B787" s="1" t="inlineStr">
        <is>
          <t>Beef sausage with cheese</t>
        </is>
      </c>
      <c r="C787" s="1" t="n">
        <v>1</v>
      </c>
      <c r="D787" s="1" t="inlineStr">
        <is>
          <t>Links to FNDDS</t>
        </is>
      </c>
      <c r="E787" s="1" t="inlineStr">
        <is>
          <t>Base</t>
        </is>
      </c>
      <c r="F787" s="1" t="n">
        <v>2.562618</v>
      </c>
    </row>
    <row r="788" ht="15.75" customHeight="1" s="201">
      <c r="A788" s="1" t="n">
        <v>25220350</v>
      </c>
      <c r="B788" s="1" t="inlineStr">
        <is>
          <t>Bratwurst (Includes all meats (pork, beef, chicken, turkey))</t>
        </is>
      </c>
      <c r="C788" s="1" t="n">
        <v>1</v>
      </c>
      <c r="D788" s="1" t="inlineStr">
        <is>
          <t>Links to FNDDS</t>
        </is>
      </c>
      <c r="E788" s="1" t="inlineStr">
        <is>
          <t>Base</t>
        </is>
      </c>
      <c r="F788" s="1" t="n">
        <v>0.960876</v>
      </c>
    </row>
    <row r="789" ht="15.75" customHeight="1" s="201">
      <c r="A789" s="1" t="n">
        <v>25220360</v>
      </c>
      <c r="B789" s="1" t="inlineStr">
        <is>
          <t>Bratwurst, with cheese</t>
        </is>
      </c>
      <c r="C789" s="1" t="n">
        <v>2</v>
      </c>
      <c r="D789" s="1" t="inlineStr">
        <is>
          <t>Links to altEC</t>
        </is>
      </c>
      <c r="E789" s="1" t="inlineStr">
        <is>
          <t>Base</t>
        </is>
      </c>
      <c r="F789" s="1" t="n">
        <v>0.960876</v>
      </c>
    </row>
    <row r="790" ht="15.75" customHeight="1" s="201">
      <c r="A790" s="1" t="n">
        <v>25220410</v>
      </c>
      <c r="B790" s="1" t="inlineStr">
        <is>
          <t>Bologna, NFS (Includes made from any kind of meat)</t>
        </is>
      </c>
      <c r="C790" s="1" t="n">
        <v>2</v>
      </c>
      <c r="D790" s="1" t="inlineStr">
        <is>
          <t>Links to altEC</t>
        </is>
      </c>
      <c r="E790" s="1" t="inlineStr">
        <is>
          <t>Base</t>
        </is>
      </c>
      <c r="F790" s="1" t="n">
        <v>0.616441</v>
      </c>
    </row>
    <row r="791" ht="15.75" customHeight="1" s="201">
      <c r="A791" s="1" t="n">
        <v>25220425</v>
      </c>
      <c r="B791" s="1" t="inlineStr">
        <is>
          <t>Bologna, made from any kind of meat, reduced fat (Includes light; low fat; fat free)</t>
        </is>
      </c>
      <c r="C791" s="1" t="n">
        <v>2</v>
      </c>
      <c r="D791" s="1" t="inlineStr">
        <is>
          <t>Links to altEC</t>
        </is>
      </c>
      <c r="E791" s="1" t="inlineStr">
        <is>
          <t>Base</t>
        </is>
      </c>
      <c r="F791" s="1" t="n">
        <v>0.616441</v>
      </c>
    </row>
    <row r="792" ht="15.75" customHeight="1" s="201">
      <c r="A792" s="1" t="n">
        <v>25220710</v>
      </c>
      <c r="B792" s="1" t="inlineStr">
        <is>
          <t>Chorizo (Includes Spanish sausage; lenguica; Portuguese sausage; all meats / poultry)</t>
        </is>
      </c>
      <c r="C792" s="1" t="n">
        <v>1</v>
      </c>
      <c r="D792" s="1" t="inlineStr">
        <is>
          <t>Links to FNDDS</t>
        </is>
      </c>
      <c r="E792" s="1" t="inlineStr">
        <is>
          <t>Base</t>
        </is>
      </c>
      <c r="F792" s="1" t="n">
        <v>1.182205</v>
      </c>
    </row>
    <row r="793" ht="15.75" customHeight="1" s="201">
      <c r="A793" s="1" t="n">
        <v>25221210</v>
      </c>
      <c r="B793" s="1" t="inlineStr">
        <is>
          <t>Mortadella</t>
        </is>
      </c>
      <c r="C793" s="1" t="n">
        <v>1</v>
      </c>
      <c r="D793" s="1" t="inlineStr">
        <is>
          <t>Links to FNDDS</t>
        </is>
      </c>
      <c r="E793" s="1" t="inlineStr">
        <is>
          <t>Base</t>
        </is>
      </c>
      <c r="F793" s="1" t="n">
        <v>1.650326</v>
      </c>
    </row>
    <row r="794" ht="15.75" customHeight="1" s="201">
      <c r="A794" s="1" t="n">
        <v>25221215</v>
      </c>
      <c r="B794" s="1" t="inlineStr">
        <is>
          <t>Pastrami, NFS (Includes made from any kind of meat)</t>
        </is>
      </c>
      <c r="C794" s="1" t="n">
        <v>1</v>
      </c>
      <c r="D794" s="1" t="inlineStr">
        <is>
          <t>Links to FNDDS</t>
        </is>
      </c>
      <c r="E794" s="1" t="inlineStr">
        <is>
          <t>Base</t>
        </is>
      </c>
      <c r="F794" s="1" t="n">
        <v>1.973123</v>
      </c>
    </row>
    <row r="795" ht="15.75" customHeight="1" s="201">
      <c r="A795" s="1" t="n">
        <v>25221250</v>
      </c>
      <c r="B795" s="1" t="inlineStr">
        <is>
          <t>Pepperoni, NFS</t>
        </is>
      </c>
      <c r="C795" s="1" t="n">
        <v>1</v>
      </c>
      <c r="D795" s="1" t="inlineStr">
        <is>
          <t>Links to FNDDS</t>
        </is>
      </c>
      <c r="E795" s="1" t="inlineStr">
        <is>
          <t>Base</t>
        </is>
      </c>
      <c r="F795" s="1" t="n">
        <v>1.84307</v>
      </c>
    </row>
    <row r="796" ht="15.75" customHeight="1" s="201">
      <c r="A796" s="1" t="n">
        <v>25221255</v>
      </c>
      <c r="B796" s="1" t="inlineStr">
        <is>
          <t>Pepperoni, reduced fat (Includes low fat; lean; fat free)</t>
        </is>
      </c>
      <c r="C796" s="1" t="n">
        <v>2</v>
      </c>
      <c r="D796" s="1" t="inlineStr">
        <is>
          <t>Links to altEC</t>
        </is>
      </c>
      <c r="E796" s="1" t="inlineStr">
        <is>
          <t>Base</t>
        </is>
      </c>
      <c r="F796" s="1" t="n">
        <v>1.84307</v>
      </c>
    </row>
    <row r="797" ht="15.75" customHeight="1" s="201">
      <c r="A797" s="1" t="n">
        <v>25221310</v>
      </c>
      <c r="B797" s="1" t="inlineStr">
        <is>
          <t>Polish sausage (Includes Kielbasa; all meats / poultry)</t>
        </is>
      </c>
      <c r="C797" s="1" t="n">
        <v>1</v>
      </c>
      <c r="D797" s="1" t="inlineStr">
        <is>
          <t>Links to FNDDS</t>
        </is>
      </c>
      <c r="E797" s="1" t="inlineStr">
        <is>
          <t>Base</t>
        </is>
      </c>
      <c r="F797" s="1" t="n">
        <v>0.745887</v>
      </c>
    </row>
    <row r="798" ht="15.75" customHeight="1" s="201">
      <c r="A798" s="1" t="n">
        <v>25221350</v>
      </c>
      <c r="B798" s="1" t="inlineStr">
        <is>
          <t>Italian sausage (Includes hot links; all meats / poultry)</t>
        </is>
      </c>
      <c r="C798" s="1" t="n">
        <v>1</v>
      </c>
      <c r="D798" s="1" t="inlineStr">
        <is>
          <t>Links to FNDDS</t>
        </is>
      </c>
      <c r="E798" s="1" t="inlineStr">
        <is>
          <t>Base</t>
        </is>
      </c>
      <c r="F798" s="1" t="n">
        <v>0.969637</v>
      </c>
    </row>
    <row r="799" ht="15.75" customHeight="1" s="201">
      <c r="A799" s="1" t="n">
        <v>25221400</v>
      </c>
      <c r="B799" s="1" t="inlineStr">
        <is>
          <t>Sausage, NFS (Includes not cold cut)</t>
        </is>
      </c>
      <c r="C799" s="1" t="n">
        <v>2</v>
      </c>
      <c r="D799" s="1" t="inlineStr">
        <is>
          <t>Links to altEC</t>
        </is>
      </c>
      <c r="E799" s="1" t="inlineStr">
        <is>
          <t>Base</t>
        </is>
      </c>
      <c r="F799" s="1" t="n">
        <v>0.884445</v>
      </c>
    </row>
    <row r="800" ht="15.75" customHeight="1" s="201">
      <c r="A800" s="1" t="n">
        <v>25221405</v>
      </c>
      <c r="B800" s="1" t="inlineStr">
        <is>
          <t>Pork sausage (Includes fresh, smoked, heat and serve, brown and serve, pre-cooked, or NFS; bulk, crumbled, link, patty, or stick; breakfast sausage, NS as to meat; brown and serve sausage, NFS; smoked sausage, NFS; Half smoke)</t>
        </is>
      </c>
      <c r="C800" s="1" t="n">
        <v>1</v>
      </c>
      <c r="D800" s="1" t="inlineStr">
        <is>
          <t>Links to FNDDS</t>
        </is>
      </c>
      <c r="E800" s="1" t="inlineStr">
        <is>
          <t>Base</t>
        </is>
      </c>
      <c r="F800" s="1" t="n">
        <v>0.953211</v>
      </c>
    </row>
    <row r="801" ht="15.75" customHeight="1" s="201">
      <c r="A801" s="1" t="n">
        <v>25221406</v>
      </c>
      <c r="B801" s="1" t="inlineStr">
        <is>
          <t>Pork sausage, reduced fat (Includes fresh, smoked, heat and serve, brown and serve, pre-cooked, or NFS; bulk, crumbled, link, patty, or stick; breakfast sausage; lowfat or low fat; light or lite)</t>
        </is>
      </c>
      <c r="C801" s="1" t="n">
        <v>2</v>
      </c>
      <c r="D801" s="1" t="inlineStr">
        <is>
          <t>Links to altEC</t>
        </is>
      </c>
      <c r="E801" s="1" t="inlineStr">
        <is>
          <t>Base</t>
        </is>
      </c>
      <c r="F801" s="1" t="n">
        <v>0.884647</v>
      </c>
    </row>
    <row r="802" ht="15.75" customHeight="1" s="201">
      <c r="A802" s="1" t="n">
        <v>25221408</v>
      </c>
      <c r="B802" s="1" t="inlineStr">
        <is>
          <t>Pork sausage, reduced sodium (Includes fresh, smoked, heat and serve, brown and serve, pre-cooked, or NFS; bulk, crumbled, link, patty, or stick; breakfast sausage, NS as to meat; brown and serve sausage, NFS; smoked sausage, NFS; Half smoke; less or lower sodium)</t>
        </is>
      </c>
      <c r="C802" s="1" t="n">
        <v>2</v>
      </c>
      <c r="D802" s="1" t="inlineStr">
        <is>
          <t>Links to altEC</t>
        </is>
      </c>
      <c r="E802" s="1" t="inlineStr">
        <is>
          <t>Base</t>
        </is>
      </c>
      <c r="F802" s="1" t="n">
        <v>0.884647</v>
      </c>
    </row>
    <row r="803" ht="15.75" customHeight="1" s="201">
      <c r="A803" s="1" t="n">
        <v>25221450</v>
      </c>
      <c r="B803" s="1" t="inlineStr">
        <is>
          <t>Pork sausage rice links (Includes Jones Dairy Farm light links; fresh, smoked, heat and serve, brown and serve, pre-cooked, or NFS; bulk, crumbled, link, patty, or stick; breakfast sausage)</t>
        </is>
      </c>
      <c r="C803" s="1" t="n">
        <v>1</v>
      </c>
      <c r="D803" s="1" t="inlineStr">
        <is>
          <t>Links to FNDDS</t>
        </is>
      </c>
      <c r="E803" s="1" t="inlineStr">
        <is>
          <t>Base</t>
        </is>
      </c>
      <c r="F803" s="1" t="n">
        <v>1.19611</v>
      </c>
    </row>
    <row r="804" ht="15.75" customHeight="1" s="201">
      <c r="A804" s="1" t="n">
        <v>25221460</v>
      </c>
      <c r="B804" s="1" t="inlineStr">
        <is>
          <t>Pork and beef sausage (Includes fresh, smoked, heat and serve, brown and serve, pre-cooked, or NFS; bulk, crumbled, link, patty, or stick; breakfast sausage; Half smoke)</t>
        </is>
      </c>
      <c r="C804" s="1" t="n">
        <v>1</v>
      </c>
      <c r="D804" s="1" t="inlineStr">
        <is>
          <t>Links to FNDDS</t>
        </is>
      </c>
      <c r="E804" s="1" t="inlineStr">
        <is>
          <t>Base</t>
        </is>
      </c>
      <c r="F804" s="1" t="n">
        <v>0.793582</v>
      </c>
    </row>
    <row r="805" ht="15.75" customHeight="1" s="201">
      <c r="A805" s="1" t="n">
        <v>25221500</v>
      </c>
      <c r="B805" s="1" t="inlineStr">
        <is>
          <t>Salami, NFS (Includes any kind or variety; made from any type of meat)</t>
        </is>
      </c>
      <c r="C805" s="1" t="n">
        <v>2</v>
      </c>
      <c r="D805" s="1" t="inlineStr">
        <is>
          <t>Links to altEC</t>
        </is>
      </c>
      <c r="E805" s="1" t="inlineStr">
        <is>
          <t>Base</t>
        </is>
      </c>
      <c r="F805" s="1" t="n">
        <v>1.675282</v>
      </c>
    </row>
    <row r="806" ht="15.75" customHeight="1" s="201">
      <c r="A806" s="1" t="n">
        <v>25221505</v>
      </c>
      <c r="B806" s="1" t="inlineStr">
        <is>
          <t>Salami, made from any type of meat, reduced fat (Includes any kind or variety; low fat; lean; fat free)</t>
        </is>
      </c>
      <c r="C806" s="1" t="n">
        <v>1</v>
      </c>
      <c r="D806" s="1" t="inlineStr">
        <is>
          <t>Links to FNDDS</t>
        </is>
      </c>
      <c r="E806" s="1" t="inlineStr">
        <is>
          <t>Base</t>
        </is>
      </c>
      <c r="F806" s="1" t="n">
        <v>1.281691</v>
      </c>
    </row>
    <row r="807" ht="15.75" customHeight="1" s="201">
      <c r="A807" s="1" t="n">
        <v>25221515</v>
      </c>
      <c r="B807" s="1" t="inlineStr">
        <is>
          <t>Salami, made from any type of meat, reduced sodium (Includes any kind or variety; lightly salted; unsalted; no salt added)</t>
        </is>
      </c>
      <c r="C807" s="1" t="n">
        <v>1</v>
      </c>
      <c r="D807" s="1" t="inlineStr">
        <is>
          <t>Links to FNDDS</t>
        </is>
      </c>
      <c r="E807" s="1" t="inlineStr">
        <is>
          <t>Base</t>
        </is>
      </c>
      <c r="F807" s="1" t="n">
        <v>1.238936</v>
      </c>
    </row>
    <row r="808" ht="15.75" customHeight="1" s="201">
      <c r="A808" s="1" t="n">
        <v>25221610</v>
      </c>
      <c r="B808" s="1" t="inlineStr">
        <is>
          <t>Scrapple, cooked</t>
        </is>
      </c>
      <c r="C808" s="1" t="n">
        <v>2</v>
      </c>
      <c r="D808" s="1" t="inlineStr">
        <is>
          <t>Links to altEC</t>
        </is>
      </c>
      <c r="E808" s="1" t="inlineStr">
        <is>
          <t>Base</t>
        </is>
      </c>
      <c r="F808" s="1" t="n">
        <v>0.603145</v>
      </c>
    </row>
    <row r="809" ht="15.75" customHeight="1" s="201">
      <c r="A809" s="1" t="n">
        <v>25221810</v>
      </c>
      <c r="B809" s="1" t="inlineStr">
        <is>
          <t>Thuringer (Includes summer sausage)</t>
        </is>
      </c>
      <c r="C809" s="1" t="n">
        <v>1</v>
      </c>
      <c r="D809" s="1" t="inlineStr">
        <is>
          <t>Links to FNDDS</t>
        </is>
      </c>
      <c r="E809" s="1" t="inlineStr">
        <is>
          <t>Base</t>
        </is>
      </c>
      <c r="F809" s="1" t="n">
        <v>1.136687</v>
      </c>
    </row>
    <row r="810" ht="15.75" customHeight="1" s="201">
      <c r="A810" s="1" t="n">
        <v>25221830</v>
      </c>
      <c r="B810" s="1" t="inlineStr">
        <is>
          <t>Turkey or chicken sausage (Includes fresh, smoked, heat and serve, brown and serve, pre-cooked, or NFS; bulk, crumbled, link, patty, or stick; breakfast sausage)</t>
        </is>
      </c>
      <c r="C810" s="1" t="n">
        <v>1</v>
      </c>
      <c r="D810" s="1" t="inlineStr">
        <is>
          <t>Links to FNDDS</t>
        </is>
      </c>
      <c r="E810" s="1" t="inlineStr">
        <is>
          <t>Base</t>
        </is>
      </c>
      <c r="F810" s="1" t="n">
        <v>1.055667</v>
      </c>
    </row>
    <row r="811" ht="15.75" customHeight="1" s="201">
      <c r="A811" s="1" t="n">
        <v>25221855</v>
      </c>
      <c r="B811" s="1" t="inlineStr">
        <is>
          <t>Turkey or chicken sausage, reduced sodium (Includes fresh, smoked, heat and serve, brown and serve, pre-cooked, or NFS; bulk, crumbled, link, patty, or stick; breakfast sausage; less or lower sodium)</t>
        </is>
      </c>
      <c r="C811" s="1" t="n">
        <v>2</v>
      </c>
      <c r="D811" s="1" t="inlineStr">
        <is>
          <t>Links to altEC</t>
        </is>
      </c>
      <c r="E811" s="1" t="inlineStr">
        <is>
          <t>Base</t>
        </is>
      </c>
      <c r="F811" s="1" t="n">
        <v>0.844288</v>
      </c>
    </row>
    <row r="812" ht="15.75" customHeight="1" s="201">
      <c r="A812" s="1" t="n">
        <v>25221860</v>
      </c>
      <c r="B812" s="1" t="inlineStr">
        <is>
          <t>Turkey or chicken sausage, reduced fat (Includes fresh, smoked, heat and serve, brown and serve, pre-cooked, or NFS; bulk, crumbled, link, patty, or stick; breakfast sausage; lowfat or low fat; light or lite)</t>
        </is>
      </c>
      <c r="C812" s="1" t="n">
        <v>2</v>
      </c>
      <c r="D812" s="1" t="inlineStr">
        <is>
          <t>Links to altEC</t>
        </is>
      </c>
      <c r="E812" s="1" t="inlineStr">
        <is>
          <t>Base</t>
        </is>
      </c>
      <c r="F812" s="1" t="n">
        <v>0.844288</v>
      </c>
    </row>
    <row r="813" ht="15.75" customHeight="1" s="201">
      <c r="A813" s="1" t="n">
        <v>25221870</v>
      </c>
      <c r="B813" s="1" t="inlineStr">
        <is>
          <t>Turkey or chicken and pork sausage (Includes Jimmy Dean Light Turkey and Pork, 77% Fat Free, Sausage; fresh, smoked, heat and serve, brown and serve, pre-cooked, or NFS; bulk, crumbled, link, patty, or stick; breakfast sausage)</t>
        </is>
      </c>
      <c r="C813" s="1" t="n">
        <v>1</v>
      </c>
      <c r="D813" s="1" t="inlineStr">
        <is>
          <t>Links to FNDDS</t>
        </is>
      </c>
      <c r="E813" s="1" t="inlineStr">
        <is>
          <t>Base</t>
        </is>
      </c>
      <c r="F813" s="1" t="n">
        <v>0.683292</v>
      </c>
    </row>
    <row r="814" ht="15.75" customHeight="1" s="201">
      <c r="A814" s="1" t="n">
        <v>25221875</v>
      </c>
      <c r="B814" s="1" t="inlineStr">
        <is>
          <t>Turkey or chicken, pork, and beef sausage, reduced sodium (Includes fresh, smoked, heat and serve, brown and serve, pre-cooked, or NFS; bulk, crumbled, link, patty, or stick; breakfast sausage; less or lower sodium)</t>
        </is>
      </c>
      <c r="C814" s="1" t="n">
        <v>1</v>
      </c>
      <c r="D814" s="1" t="inlineStr">
        <is>
          <t>Links to FNDDS</t>
        </is>
      </c>
      <c r="E814" s="1" t="inlineStr">
        <is>
          <t>Base</t>
        </is>
      </c>
      <c r="F814" s="1" t="n">
        <v>0.644797</v>
      </c>
    </row>
    <row r="815" ht="15.75" customHeight="1" s="201">
      <c r="A815" s="1" t="n">
        <v>25221910</v>
      </c>
      <c r="B815" s="1" t="inlineStr">
        <is>
          <t>Vienna sausage, canned (Includes beef, pork, and chicken)</t>
        </is>
      </c>
      <c r="C815" s="1" t="n">
        <v>1</v>
      </c>
      <c r="D815" s="1" t="inlineStr">
        <is>
          <t>Links to FNDDS</t>
        </is>
      </c>
      <c r="E815" s="1" t="inlineStr">
        <is>
          <t>Base</t>
        </is>
      </c>
      <c r="F815" s="1" t="n">
        <v>0.507061</v>
      </c>
    </row>
    <row r="816" ht="15.75" customHeight="1" s="201">
      <c r="A816" s="1" t="n">
        <v>25221950</v>
      </c>
      <c r="B816" s="1" t="inlineStr">
        <is>
          <t>Pickled sausage (Includes Penrose hot or firecracker sausage)</t>
        </is>
      </c>
      <c r="C816" s="1" t="n">
        <v>2</v>
      </c>
      <c r="D816" s="1" t="inlineStr">
        <is>
          <t>Links to altEC</t>
        </is>
      </c>
      <c r="E816" s="1" t="inlineStr">
        <is>
          <t>Base</t>
        </is>
      </c>
      <c r="F816" s="1" t="n">
        <v>0.969637</v>
      </c>
    </row>
    <row r="817" ht="15.75" customHeight="1" s="201">
      <c r="A817" s="1" t="n">
        <v>25230210</v>
      </c>
      <c r="B817" s="1" t="inlineStr">
        <is>
          <t>Ham, prepackaged or deli, luncheon meat (Includes boiled ham; all fat levels - regular, reduced fat, low fat or fat free; lean or extra lean; ham lunch meat, NFS)</t>
        </is>
      </c>
      <c r="C817" s="1" t="n">
        <v>2</v>
      </c>
      <c r="D817" s="1" t="inlineStr">
        <is>
          <t>Links to altEC</t>
        </is>
      </c>
      <c r="E817" s="1" t="inlineStr">
        <is>
          <t>Base</t>
        </is>
      </c>
      <c r="F817" s="1" t="n">
        <v>1.213302</v>
      </c>
    </row>
    <row r="818" ht="15.75" customHeight="1" s="201">
      <c r="A818" s="1" t="n">
        <v>25230220</v>
      </c>
      <c r="B818" s="1" t="inlineStr">
        <is>
          <t>Ham, prepackaged or deli, luncheon meat, reduced sodium (Includes low salt boiled ham; lightly salted; unsalted; no salt added; all fat levels - regular, reduced fat, low fat, or fat free; lean or extra lean)</t>
        </is>
      </c>
      <c r="C818" s="1" t="n">
        <v>1</v>
      </c>
      <c r="D818" s="1" t="inlineStr">
        <is>
          <t>Links to FNDDS</t>
        </is>
      </c>
      <c r="E818" s="1" t="inlineStr">
        <is>
          <t>Base</t>
        </is>
      </c>
      <c r="F818" s="1" t="n">
        <v>1.785429</v>
      </c>
    </row>
    <row r="819" ht="15.75" customHeight="1" s="201">
      <c r="A819" s="1" t="n">
        <v>25230320</v>
      </c>
      <c r="B819" s="1" t="inlineStr">
        <is>
          <t>Chicken, prepackaged or deli, luncheon meat (Includes breast, loaf, chicken lunch meat, NFS; all fat levels - regular, reduced fat, low fat, or fat free; lean or extra lean)</t>
        </is>
      </c>
      <c r="C819" s="1" t="n">
        <v>1</v>
      </c>
      <c r="D819" s="1" t="inlineStr">
        <is>
          <t>Links to FNDDS</t>
        </is>
      </c>
      <c r="E819" s="1" t="inlineStr">
        <is>
          <t>Base</t>
        </is>
      </c>
      <c r="F819" s="1" t="n">
        <v>1.411748</v>
      </c>
    </row>
    <row r="820" ht="15.75" customHeight="1" s="201">
      <c r="A820" s="1" t="n">
        <v>25230340</v>
      </c>
      <c r="B820" s="1" t="inlineStr">
        <is>
          <t>Chicken, prepackaged or deli, luncheon meat, reduced sodium (Includes lightly salted; unsalted; no salt added; all fat levels - regular, reduced fat, low fat, or fat free; lean or extra lean)</t>
        </is>
      </c>
      <c r="C820" s="1" t="n">
        <v>1</v>
      </c>
      <c r="D820" s="1" t="inlineStr">
        <is>
          <t>Links to FNDDS</t>
        </is>
      </c>
      <c r="E820" s="1" t="inlineStr">
        <is>
          <t>Base</t>
        </is>
      </c>
      <c r="F820" s="1" t="n">
        <v>1.779508</v>
      </c>
    </row>
    <row r="821" ht="15.75" customHeight="1" s="201">
      <c r="A821" s="1" t="n">
        <v>25230420</v>
      </c>
      <c r="B821" s="1" t="inlineStr">
        <is>
          <t>Ham luncheon meat, loaf type (Includes ham loaf; ham and cheese loaf; ham sausage; hamettes; chopped, minced, pressed, spiced ham, not canned)</t>
        </is>
      </c>
      <c r="C821" s="1" t="n">
        <v>1</v>
      </c>
      <c r="D821" s="1" t="inlineStr">
        <is>
          <t>Links to FNDDS</t>
        </is>
      </c>
      <c r="E821" s="1" t="inlineStr">
        <is>
          <t>Base</t>
        </is>
      </c>
      <c r="F821" s="1" t="n">
        <v>0.72382</v>
      </c>
    </row>
    <row r="822" ht="15.75" customHeight="1" s="201">
      <c r="A822" s="1" t="n">
        <v>25230530</v>
      </c>
      <c r="B822" s="1" t="inlineStr">
        <is>
          <t>Ham and pork, canned luncheon meat, chopped, minced, pressed, spiced (Includes Spam; Treet)</t>
        </is>
      </c>
      <c r="C822" s="1" t="n">
        <v>1</v>
      </c>
      <c r="D822" s="1" t="inlineStr">
        <is>
          <t>Links to FNDDS</t>
        </is>
      </c>
      <c r="E822" s="1" t="inlineStr">
        <is>
          <t>Base</t>
        </is>
      </c>
      <c r="F822" s="1" t="n">
        <v>0.775845</v>
      </c>
    </row>
    <row r="823" ht="15.75" customHeight="1" s="201">
      <c r="A823" s="1" t="n">
        <v>25230540</v>
      </c>
      <c r="B823" s="1" t="inlineStr">
        <is>
          <t>Ham, pork and chicken, canned luncheon meat, chopped, minced, pressed, spiced, reduced fat and reduced sodium (Includes Spam Lite; Treet Lite)</t>
        </is>
      </c>
      <c r="C823" s="1" t="n">
        <v>1</v>
      </c>
      <c r="D823" s="1" t="inlineStr">
        <is>
          <t>Links to FNDDS</t>
        </is>
      </c>
      <c r="E823" s="1" t="inlineStr">
        <is>
          <t>Base</t>
        </is>
      </c>
      <c r="F823" s="1" t="n">
        <v>0.80553</v>
      </c>
    </row>
    <row r="824" ht="15.75" customHeight="1" s="201">
      <c r="A824" s="1" t="n">
        <v>25230550</v>
      </c>
      <c r="B824" s="1" t="inlineStr">
        <is>
          <t>Ham, pork, and chicken, canned luncheon meat, chopped, minced, pressed, spiced, reduced sodium (Includes Spam 25% Less Sodium)</t>
        </is>
      </c>
      <c r="C824" s="1" t="n">
        <v>2</v>
      </c>
      <c r="D824" s="1" t="inlineStr">
        <is>
          <t>Links to altEC</t>
        </is>
      </c>
      <c r="E824" s="1" t="inlineStr">
        <is>
          <t>Base</t>
        </is>
      </c>
      <c r="F824" s="1" t="n">
        <v>0.80553</v>
      </c>
    </row>
    <row r="825" ht="15.75" customHeight="1" s="201">
      <c r="A825" s="1" t="n">
        <v>25230560</v>
      </c>
      <c r="B825" s="1" t="inlineStr">
        <is>
          <t>Liverwurst (Includes liver cheese; Braunschweiger; liver sausage; liver loaf; liver  pudding; liver bacon; goose bacon; goose liver sausage; liver mush)</t>
        </is>
      </c>
      <c r="C825" s="1" t="n">
        <v>1</v>
      </c>
      <c r="D825" s="1" t="inlineStr">
        <is>
          <t>Links to FNDDS</t>
        </is>
      </c>
      <c r="E825" s="1" t="inlineStr">
        <is>
          <t>Base</t>
        </is>
      </c>
      <c r="F825" s="1" t="n">
        <v>0.837952</v>
      </c>
    </row>
    <row r="826" ht="15.75" customHeight="1" s="201">
      <c r="A826" s="1" t="n">
        <v>25230610</v>
      </c>
      <c r="B826" s="1" t="inlineStr">
        <is>
          <t>Luncheon meat, loaf type (Includes olive, pickle, or pimiento loaf; old fashioned loaf, Dutch loaf, pepperloaf, praski, honey loaf, veal loaf)</t>
        </is>
      </c>
      <c r="C826" s="1" t="n">
        <v>1</v>
      </c>
      <c r="D826" s="1" t="inlineStr">
        <is>
          <t>Links to FNDDS</t>
        </is>
      </c>
      <c r="E826" s="1" t="inlineStr">
        <is>
          <t>Base</t>
        </is>
      </c>
      <c r="F826" s="1" t="n">
        <v>0.988366</v>
      </c>
    </row>
    <row r="827" ht="15.75" customHeight="1" s="201">
      <c r="A827" s="1" t="n">
        <v>25230780</v>
      </c>
      <c r="B827" s="1" t="inlineStr">
        <is>
          <t>Turkey, prepackaged or deli, luncheon meat (Includes breast, loaf, turkey lunch meat, NFS; all fat levels - regular, reduced fat, low fat, or fat free; lean or extra lean)</t>
        </is>
      </c>
      <c r="C827" s="1" t="n">
        <v>1</v>
      </c>
      <c r="D827" s="1" t="inlineStr">
        <is>
          <t>Links to FNDDS</t>
        </is>
      </c>
      <c r="E827" s="1" t="inlineStr">
        <is>
          <t>Base</t>
        </is>
      </c>
      <c r="F827" s="1" t="n">
        <v>1.305621</v>
      </c>
    </row>
    <row r="828" ht="15.75" customHeight="1" s="201">
      <c r="A828" s="1" t="n">
        <v>25230785</v>
      </c>
      <c r="B828" s="1" t="inlineStr">
        <is>
          <t>Turkey, prepackaged or deli, luncheon meat, reduced sodium (Includes lightly salted; unsalted; no salt added; all fat levels - regular, reduced fat, low fat, or fat free; lean or extra lean)</t>
        </is>
      </c>
      <c r="C828" s="1" t="n">
        <v>1</v>
      </c>
      <c r="D828" s="1" t="inlineStr">
        <is>
          <t>Links to FNDDS</t>
        </is>
      </c>
      <c r="E828" s="1" t="inlineStr">
        <is>
          <t>Base</t>
        </is>
      </c>
      <c r="F828" s="1" t="n">
        <v>1.986735</v>
      </c>
    </row>
    <row r="829" ht="15.75" customHeight="1" s="201">
      <c r="A829" s="1" t="n">
        <v>25230800</v>
      </c>
      <c r="B829" s="1" t="inlineStr">
        <is>
          <t>Turkey ham, prepackaged or deli, luncheon meat (Includes all fat levels - regular, reduced fat, low fat, or fat free; lean or extra lean)</t>
        </is>
      </c>
      <c r="C829" s="1" t="n">
        <v>1</v>
      </c>
      <c r="D829" s="1" t="inlineStr">
        <is>
          <t>Links to FNDDS</t>
        </is>
      </c>
      <c r="E829" s="1" t="inlineStr">
        <is>
          <t>Base</t>
        </is>
      </c>
      <c r="F829" s="1" t="n">
        <v>0.741834</v>
      </c>
    </row>
    <row r="830" ht="15.75" customHeight="1" s="201">
      <c r="A830" s="1" t="n">
        <v>25231110</v>
      </c>
      <c r="B830" s="1" t="inlineStr">
        <is>
          <t>Beef, prepackaged or deli, luncheon meat (Includes deli roast beef)</t>
        </is>
      </c>
      <c r="C830" s="1" t="n">
        <v>1</v>
      </c>
      <c r="D830" s="1" t="inlineStr">
        <is>
          <t>Links to FNDDS</t>
        </is>
      </c>
      <c r="E830" s="1" t="inlineStr">
        <is>
          <t>Base</t>
        </is>
      </c>
      <c r="F830" s="1" t="n">
        <v>2.095888</v>
      </c>
    </row>
    <row r="831" ht="15.75" customHeight="1" s="201">
      <c r="A831" s="1" t="n">
        <v>25240110</v>
      </c>
      <c r="B831" s="1" t="inlineStr">
        <is>
          <t>Chicken salad spread</t>
        </is>
      </c>
      <c r="C831" s="1" t="n">
        <v>1</v>
      </c>
      <c r="D831" s="1" t="inlineStr">
        <is>
          <t>Links to FNDDS</t>
        </is>
      </c>
      <c r="E831" s="1" t="inlineStr">
        <is>
          <t>Base</t>
        </is>
      </c>
      <c r="F831" s="1" t="n">
        <v>1.240877</v>
      </c>
    </row>
    <row r="832" ht="15.75" customHeight="1" s="201">
      <c r="A832" s="1" t="n">
        <v>25240220</v>
      </c>
      <c r="B832" s="1" t="inlineStr">
        <is>
          <t>Ham salad spread</t>
        </is>
      </c>
      <c r="C832" s="1" t="n">
        <v>1</v>
      </c>
      <c r="D832" s="1" t="inlineStr">
        <is>
          <t>Links to FNDDS</t>
        </is>
      </c>
      <c r="E832" s="1" t="inlineStr">
        <is>
          <t>Base</t>
        </is>
      </c>
      <c r="F832" s="1" t="n">
        <v>1.188389</v>
      </c>
    </row>
    <row r="833" ht="15.75" customHeight="1" s="201">
      <c r="A833" s="1" t="n">
        <v>26100100</v>
      </c>
      <c r="B833" s="1" t="inlineStr">
        <is>
          <t>Fish, NS as to type, raw</t>
        </is>
      </c>
      <c r="C833" s="1" t="n">
        <v>2</v>
      </c>
      <c r="D833" s="1" t="inlineStr">
        <is>
          <t>Links to altEC</t>
        </is>
      </c>
      <c r="E833" s="1" t="inlineStr">
        <is>
          <t>Base</t>
        </is>
      </c>
      <c r="F833" s="1" t="n">
        <v>1.29255</v>
      </c>
    </row>
    <row r="834" ht="15.75" customHeight="1" s="201">
      <c r="A834" s="1" t="n">
        <v>26100110</v>
      </c>
      <c r="B834" s="1" t="inlineStr">
        <is>
          <t>Fish, NS as to type, cooked, NS as to cooking method</t>
        </is>
      </c>
      <c r="C834" s="1" t="n">
        <v>4</v>
      </c>
      <c r="D834" s="1" t="inlineStr">
        <is>
          <t>FNDDS recipe with replaced or modified SR codes</t>
        </is>
      </c>
      <c r="E834" s="1" t="inlineStr">
        <is>
          <t>Base</t>
        </is>
      </c>
      <c r="F834" s="1" t="n">
        <v>1.941547</v>
      </c>
    </row>
    <row r="835" ht="15.75" customHeight="1" s="201">
      <c r="A835" s="1" t="n">
        <v>26100120</v>
      </c>
      <c r="B835" s="1" t="inlineStr">
        <is>
          <t>Fish, NS as to type, baked or broiled, made with oil (Includes sauteed; fried with no coating; NS as to fat type; NS as to fat)</t>
        </is>
      </c>
      <c r="C835" s="1" t="n">
        <v>4</v>
      </c>
      <c r="D835" s="1" t="inlineStr">
        <is>
          <t>FNDDS recipe with replaced or modified SR codes</t>
        </is>
      </c>
      <c r="E835" s="1" t="inlineStr">
        <is>
          <t>Base</t>
        </is>
      </c>
      <c r="F835" s="1" t="n">
        <v>1.941547</v>
      </c>
    </row>
    <row r="836" ht="15.75" customHeight="1" s="201">
      <c r="A836" s="1" t="n">
        <v>26100121</v>
      </c>
      <c r="B836" s="1" t="inlineStr">
        <is>
          <t>Fish, NS as to type, baked or broiled, made with butter (Includes sauteed; fried with no coating; made with animal fat or meat drippings)</t>
        </is>
      </c>
      <c r="C836" s="1" t="n">
        <v>4</v>
      </c>
      <c r="D836" s="1" t="inlineStr">
        <is>
          <t>FNDDS recipe with replaced or modified SR codes</t>
        </is>
      </c>
      <c r="E836" s="1" t="inlineStr">
        <is>
          <t>Base</t>
        </is>
      </c>
      <c r="F836" s="1" t="n">
        <v>1.958537</v>
      </c>
    </row>
    <row r="837" ht="15.75" customHeight="1" s="201">
      <c r="A837" s="1" t="n">
        <v>26100122</v>
      </c>
      <c r="B837" s="1" t="inlineStr">
        <is>
          <t>Fish, NS as to type, baked or broiled, made with margarine (Includes sauteed; fried with no coating; made with shortening)</t>
        </is>
      </c>
      <c r="C837" s="1" t="n">
        <v>4</v>
      </c>
      <c r="D837" s="1" t="inlineStr">
        <is>
          <t>FNDDS recipe with replaced or modified SR codes</t>
        </is>
      </c>
      <c r="E837" s="1" t="inlineStr">
        <is>
          <t>Base</t>
        </is>
      </c>
      <c r="F837" s="1" t="n">
        <v>1.939711</v>
      </c>
    </row>
    <row r="838" ht="15.75" customHeight="1" s="201">
      <c r="A838" s="1" t="n">
        <v>26100123</v>
      </c>
      <c r="B838" s="1" t="inlineStr">
        <is>
          <t>Fish, NS as to type, baked or broiled, no added fat (Includes sauteed; fried with no coating)</t>
        </is>
      </c>
      <c r="C838" s="1" t="n">
        <v>4</v>
      </c>
      <c r="D838" s="1" t="inlineStr">
        <is>
          <t>FNDDS recipe with replaced or modified SR codes</t>
        </is>
      </c>
      <c r="E838" s="1" t="inlineStr">
        <is>
          <t>Base</t>
        </is>
      </c>
      <c r="F838" s="1" t="n">
        <v>1.984153</v>
      </c>
    </row>
    <row r="839" ht="15.75" customHeight="1" s="201">
      <c r="A839" s="1" t="n">
        <v>26100124</v>
      </c>
      <c r="B839" s="1" t="inlineStr">
        <is>
          <t>Fish, NS as to type, baked or broiled, made with cooking spray (Includes sauteed; fried with no coating)</t>
        </is>
      </c>
      <c r="C839" s="1" t="n">
        <v>4</v>
      </c>
      <c r="D839" s="1" t="inlineStr">
        <is>
          <t>FNDDS recipe with replaced or modified SR codes</t>
        </is>
      </c>
      <c r="E839" s="1" t="inlineStr">
        <is>
          <t>Base</t>
        </is>
      </c>
      <c r="F839" s="1" t="n">
        <v>1.984602</v>
      </c>
    </row>
    <row r="840" ht="15.75" customHeight="1" s="201">
      <c r="A840" s="1" t="n">
        <v>26100130</v>
      </c>
      <c r="B840" s="1" t="inlineStr">
        <is>
          <t>Fish, NS as to type, coated, baked or broiled, made with oil (Includes NS as to fat; NS as to fat type)</t>
        </is>
      </c>
      <c r="C840" s="1" t="n">
        <v>2</v>
      </c>
      <c r="D840" s="1" t="inlineStr">
        <is>
          <t>Links to altEC</t>
        </is>
      </c>
      <c r="E840" s="1" t="inlineStr">
        <is>
          <t>Base</t>
        </is>
      </c>
      <c r="F840" s="1" t="n">
        <v>1.118007</v>
      </c>
    </row>
    <row r="841" ht="15.75" customHeight="1" s="201">
      <c r="A841" s="1" t="n">
        <v>26100131</v>
      </c>
      <c r="B841" s="1" t="inlineStr">
        <is>
          <t>Fish, NS as to type, coated, baked or broiled, made with butter (Includes made with animal fat or meat drippings)</t>
        </is>
      </c>
      <c r="C841" s="1" t="n">
        <v>4</v>
      </c>
      <c r="D841" s="1" t="inlineStr">
        <is>
          <t>FNDDS recipe with replaced or modified SR codes</t>
        </is>
      </c>
      <c r="E841" s="1" t="inlineStr">
        <is>
          <t>Base</t>
        </is>
      </c>
      <c r="F841" s="1" t="n">
        <v>1.574321</v>
      </c>
    </row>
    <row r="842" ht="15.75" customHeight="1" s="201">
      <c r="A842" s="1" t="n">
        <v>26100132</v>
      </c>
      <c r="B842" s="1" t="inlineStr">
        <is>
          <t>Fish, NS as to type, coated, baked or broiled, made with margarine (Includes made with shortening)</t>
        </is>
      </c>
      <c r="C842" s="1" t="n">
        <v>4</v>
      </c>
      <c r="D842" s="1" t="inlineStr">
        <is>
          <t>FNDDS recipe with replaced or modified SR codes</t>
        </is>
      </c>
      <c r="E842" s="1" t="inlineStr">
        <is>
          <t>Base</t>
        </is>
      </c>
      <c r="F842" s="1" t="n">
        <v>1.545591</v>
      </c>
    </row>
    <row r="843" ht="15.75" customHeight="1" s="201">
      <c r="A843" s="1" t="n">
        <v>26100133</v>
      </c>
      <c r="B843" s="1" t="inlineStr">
        <is>
          <t>Fish, NS as to type, coated, baked or broiled, no added fat</t>
        </is>
      </c>
      <c r="C843" s="1" t="n">
        <v>4</v>
      </c>
      <c r="D843" s="1" t="inlineStr">
        <is>
          <t>FNDDS recipe with replaced or modified SR codes</t>
        </is>
      </c>
      <c r="E843" s="1" t="inlineStr">
        <is>
          <t>Base</t>
        </is>
      </c>
      <c r="F843" s="1" t="n">
        <v>1.595981</v>
      </c>
    </row>
    <row r="844" ht="15.75" customHeight="1" s="201">
      <c r="A844" s="1" t="n">
        <v>26100134</v>
      </c>
      <c r="B844" s="1" t="inlineStr">
        <is>
          <t>Fish, NS as to type, coated, baked or broiled, made with cooking spray</t>
        </is>
      </c>
      <c r="C844" s="1" t="n">
        <v>4</v>
      </c>
      <c r="D844" s="1" t="inlineStr">
        <is>
          <t>FNDDS recipe with replaced or modified SR codes</t>
        </is>
      </c>
      <c r="E844" s="1" t="inlineStr">
        <is>
          <t>Base</t>
        </is>
      </c>
      <c r="F844" s="1" t="n">
        <v>1.597499</v>
      </c>
    </row>
    <row r="845" ht="15.75" customHeight="1" s="201">
      <c r="A845" s="1" t="n">
        <v>26100140</v>
      </c>
      <c r="B845" s="1" t="inlineStr">
        <is>
          <t>Fish, NS as to type, coated, fried, made with oil (Includes fried, NS as to coating; NS as to fat; NS as to fat type)</t>
        </is>
      </c>
      <c r="C845" s="1" t="n">
        <v>4</v>
      </c>
      <c r="D845" s="1" t="inlineStr">
        <is>
          <t>FNDDS recipe with replaced or modified SR codes</t>
        </is>
      </c>
      <c r="E845" s="1" t="inlineStr">
        <is>
          <t>Base</t>
        </is>
      </c>
      <c r="F845" s="1" t="n">
        <v>1.487174</v>
      </c>
    </row>
    <row r="846" ht="15.75" customHeight="1" s="201">
      <c r="A846" s="1" t="n">
        <v>26100141</v>
      </c>
      <c r="B846" s="1" t="inlineStr">
        <is>
          <t>Fish, NS as to type, coated, fried, made with butter (Includes fried, NS as to coating; made with animal fat or meat drippings)</t>
        </is>
      </c>
      <c r="C846" s="1" t="n">
        <v>4</v>
      </c>
      <c r="D846" s="1" t="inlineStr">
        <is>
          <t>FNDDS recipe with replaced or modified SR codes</t>
        </is>
      </c>
      <c r="E846" s="1" t="inlineStr">
        <is>
          <t>Base</t>
        </is>
      </c>
      <c r="F846" s="1" t="n">
        <v>1.526413</v>
      </c>
    </row>
    <row r="847" ht="15.75" customHeight="1" s="201">
      <c r="A847" s="1" t="n">
        <v>26100142</v>
      </c>
      <c r="B847" s="1" t="inlineStr">
        <is>
          <t>Fish, NS as to type, coated, fried, made with margarine (Includes fried, NS as to coating; made with shortening)</t>
        </is>
      </c>
      <c r="C847" s="1" t="n">
        <v>4</v>
      </c>
      <c r="D847" s="1" t="inlineStr">
        <is>
          <t>FNDDS recipe with replaced or modified SR codes</t>
        </is>
      </c>
      <c r="E847" s="1" t="inlineStr">
        <is>
          <t>Base</t>
        </is>
      </c>
      <c r="F847" s="1" t="n">
        <v>1.482933</v>
      </c>
    </row>
    <row r="848" ht="15.75" customHeight="1" s="201">
      <c r="A848" s="1" t="n">
        <v>26100143</v>
      </c>
      <c r="B848" s="1" t="inlineStr">
        <is>
          <t>Fish, NS as to type, coated, fried, no added fat (Includes fried, NS as to coating)</t>
        </is>
      </c>
      <c r="C848" s="1" t="n">
        <v>4</v>
      </c>
      <c r="D848" s="1" t="inlineStr">
        <is>
          <t>FNDDS recipe with replaced or modified SR codes</t>
        </is>
      </c>
      <c r="E848" s="1" t="inlineStr">
        <is>
          <t>Base</t>
        </is>
      </c>
      <c r="F848" s="1" t="n">
        <v>1.70737</v>
      </c>
    </row>
    <row r="849" ht="15.75" customHeight="1" s="201">
      <c r="A849" s="1" t="n">
        <v>26100144</v>
      </c>
      <c r="B849" s="1" t="inlineStr">
        <is>
          <t>Fish, NS as to type, coated, fried, made with cooking spray (Includes fried, NS as to coating)</t>
        </is>
      </c>
      <c r="C849" s="1" t="n">
        <v>4</v>
      </c>
      <c r="D849" s="1" t="inlineStr">
        <is>
          <t>FNDDS recipe with replaced or modified SR codes</t>
        </is>
      </c>
      <c r="E849" s="1" t="inlineStr">
        <is>
          <t>Base</t>
        </is>
      </c>
      <c r="F849" s="1" t="n">
        <v>1.708586</v>
      </c>
    </row>
    <row r="850" ht="15.75" customHeight="1" s="201">
      <c r="A850" s="1" t="n">
        <v>26100160</v>
      </c>
      <c r="B850" s="1" t="inlineStr">
        <is>
          <t>Fish, NS as to type, steamed</t>
        </is>
      </c>
      <c r="C850" s="1" t="n">
        <v>2</v>
      </c>
      <c r="D850" s="1" t="inlineStr">
        <is>
          <t>Links to altEC</t>
        </is>
      </c>
      <c r="E850" s="1" t="inlineStr">
        <is>
          <t>Base</t>
        </is>
      </c>
      <c r="F850" s="1" t="n">
        <v>1.03479</v>
      </c>
    </row>
    <row r="851" ht="15.75" customHeight="1" s="201">
      <c r="A851" s="1" t="n">
        <v>26100170</v>
      </c>
      <c r="B851" s="1" t="inlineStr">
        <is>
          <t>Fish, NS as to type, dried</t>
        </is>
      </c>
      <c r="C851" s="1" t="n">
        <v>2</v>
      </c>
      <c r="D851" s="1" t="inlineStr">
        <is>
          <t>Links to altEC</t>
        </is>
      </c>
      <c r="E851" s="1" t="inlineStr">
        <is>
          <t>Base</t>
        </is>
      </c>
      <c r="F851" s="1" t="n">
        <v>1.857528</v>
      </c>
    </row>
    <row r="852" ht="15.75" customHeight="1" s="201">
      <c r="A852" s="1" t="n">
        <v>26100180</v>
      </c>
      <c r="B852" s="1" t="inlineStr">
        <is>
          <t>Fish, NS as to type, canned</t>
        </is>
      </c>
      <c r="C852" s="1" t="n">
        <v>2</v>
      </c>
      <c r="D852" s="1" t="inlineStr">
        <is>
          <t>Links to altEC</t>
        </is>
      </c>
      <c r="E852" s="1" t="inlineStr">
        <is>
          <t>Base</t>
        </is>
      </c>
      <c r="F852" s="1" t="n">
        <v>1.060274</v>
      </c>
    </row>
    <row r="853" ht="15.75" customHeight="1" s="201">
      <c r="A853" s="1" t="n">
        <v>26100190</v>
      </c>
      <c r="B853" s="1" t="inlineStr">
        <is>
          <t>Fish, NS as to type, smoked</t>
        </is>
      </c>
      <c r="C853" s="1" t="n">
        <v>2</v>
      </c>
      <c r="D853" s="1" t="inlineStr">
        <is>
          <t>Links to altEC</t>
        </is>
      </c>
      <c r="E853" s="1" t="inlineStr">
        <is>
          <t>Base</t>
        </is>
      </c>
      <c r="F853" s="1" t="n">
        <v>3.916882</v>
      </c>
    </row>
    <row r="854" ht="15.75" customHeight="1" s="201">
      <c r="A854" s="1" t="n">
        <v>26100200</v>
      </c>
      <c r="B854" s="1" t="inlineStr">
        <is>
          <t>Fish, NS as to type, from fast food (Includes Captain D’s, Long John Silver, Arthur Treacher’s)</t>
        </is>
      </c>
      <c r="C854" s="1" t="n">
        <v>2</v>
      </c>
      <c r="D854" s="1" t="inlineStr">
        <is>
          <t>Links to altEC</t>
        </is>
      </c>
      <c r="E854" s="1" t="inlineStr">
        <is>
          <t>Base</t>
        </is>
      </c>
      <c r="F854" s="1" t="n">
        <v>1.104495</v>
      </c>
    </row>
    <row r="855" ht="15.75" customHeight="1" s="201">
      <c r="A855" s="1" t="n">
        <v>26100260</v>
      </c>
      <c r="B855" s="1" t="inlineStr">
        <is>
          <t>Fish stick, patty or nugget from fast food</t>
        </is>
      </c>
      <c r="C855" s="1" t="n">
        <v>2</v>
      </c>
      <c r="D855" s="1" t="inlineStr">
        <is>
          <t>Links to altEC</t>
        </is>
      </c>
      <c r="E855" s="1" t="inlineStr">
        <is>
          <t>Base</t>
        </is>
      </c>
      <c r="F855" s="1" t="n">
        <v>0.740784</v>
      </c>
    </row>
    <row r="856" ht="15.75" customHeight="1" s="201">
      <c r="A856" s="1" t="n">
        <v>26100270</v>
      </c>
      <c r="B856" s="1" t="inlineStr">
        <is>
          <t>Fish stick, patty or nugget from restaurant, home, or other place</t>
        </is>
      </c>
      <c r="C856" s="1" t="n">
        <v>1</v>
      </c>
      <c r="D856" s="1" t="inlineStr">
        <is>
          <t>Links to FNDDS</t>
        </is>
      </c>
      <c r="E856" s="1" t="inlineStr">
        <is>
          <t>Base</t>
        </is>
      </c>
      <c r="F856" s="1" t="n">
        <v>0.740784</v>
      </c>
    </row>
    <row r="857" ht="15.75" customHeight="1" s="201">
      <c r="A857" s="1" t="n">
        <v>26101110</v>
      </c>
      <c r="B857" s="1" t="inlineStr">
        <is>
          <t>Anchovy, cooked, NS as to cooking method</t>
        </is>
      </c>
      <c r="C857" s="1" t="n">
        <v>2</v>
      </c>
      <c r="D857" s="1" t="inlineStr">
        <is>
          <t>Links to altEC</t>
        </is>
      </c>
      <c r="E857" s="1" t="inlineStr">
        <is>
          <t>Base</t>
        </is>
      </c>
      <c r="F857" s="1" t="n">
        <v>4.014027</v>
      </c>
    </row>
    <row r="858" ht="15.75" customHeight="1" s="201">
      <c r="A858" s="1" t="n">
        <v>26101180</v>
      </c>
      <c r="B858" s="1" t="inlineStr">
        <is>
          <t>Anchovy, canned</t>
        </is>
      </c>
      <c r="C858" s="1" t="n">
        <v>1</v>
      </c>
      <c r="D858" s="1" t="inlineStr">
        <is>
          <t>Links to FNDDS</t>
        </is>
      </c>
      <c r="E858" s="1" t="inlineStr">
        <is>
          <t>Base</t>
        </is>
      </c>
      <c r="F858" s="1" t="n">
        <v>4.014027</v>
      </c>
    </row>
    <row r="859" ht="15.75" customHeight="1" s="201">
      <c r="A859" s="1" t="n">
        <v>26105120</v>
      </c>
      <c r="B859" s="1" t="inlineStr">
        <is>
          <t>Carp, baked or broiled, fat added (Includes sauteed; fried with no coating; bream; buffalofish; sucker; NS as to fat)</t>
        </is>
      </c>
      <c r="C859" s="1" t="n">
        <v>4</v>
      </c>
      <c r="D859" s="1" t="inlineStr">
        <is>
          <t>FNDDS recipe with replaced or modified SR codes</t>
        </is>
      </c>
      <c r="E859" s="1" t="inlineStr">
        <is>
          <t>Base</t>
        </is>
      </c>
      <c r="F859" s="1" t="n">
        <v>1.241814</v>
      </c>
    </row>
    <row r="860" ht="15.75" customHeight="1" s="201">
      <c r="A860" s="1" t="n">
        <v>26105160</v>
      </c>
      <c r="B860" s="1" t="inlineStr">
        <is>
          <t>Carp, steamed or poached (Includes bream; buffalofish; sucker)</t>
        </is>
      </c>
      <c r="C860" s="1" t="n">
        <v>2</v>
      </c>
      <c r="D860" s="1" t="inlineStr">
        <is>
          <t>Links to altEC</t>
        </is>
      </c>
      <c r="E860" s="1" t="inlineStr">
        <is>
          <t>Base</t>
        </is>
      </c>
      <c r="F860" s="1" t="n">
        <v>0.782609</v>
      </c>
    </row>
    <row r="861" ht="15.75" customHeight="1" s="201">
      <c r="A861" s="1" t="n">
        <v>26107110</v>
      </c>
      <c r="B861" s="1" t="inlineStr">
        <is>
          <t>Catfish, cooked, NS as to cooking method (Includes bullhead)</t>
        </is>
      </c>
      <c r="C861" s="1" t="n">
        <v>4</v>
      </c>
      <c r="D861" s="1" t="inlineStr">
        <is>
          <t>FNDDS recipe with replaced or modified SR codes</t>
        </is>
      </c>
      <c r="E861" s="1" t="inlineStr">
        <is>
          <t>Base</t>
        </is>
      </c>
      <c r="F861" s="1" t="n">
        <v>1.126021</v>
      </c>
    </row>
    <row r="862" ht="15.75" customHeight="1" s="201">
      <c r="A862" s="1" t="n">
        <v>26107120</v>
      </c>
      <c r="B862" s="1" t="inlineStr">
        <is>
          <t>Catfish, baked or broiled, made with oil (Includes sauteed; fried with no coating; bullhead; NS as to fat; NS as to fat type)</t>
        </is>
      </c>
      <c r="C862" s="1" t="n">
        <v>4</v>
      </c>
      <c r="D862" s="1" t="inlineStr">
        <is>
          <t>FNDDS recipe with replaced or modified SR codes</t>
        </is>
      </c>
      <c r="E862" s="1" t="inlineStr">
        <is>
          <t>Base</t>
        </is>
      </c>
      <c r="F862" s="1" t="n">
        <v>1.424428</v>
      </c>
    </row>
    <row r="863" ht="15.75" customHeight="1" s="201">
      <c r="A863" s="1" t="n">
        <v>26107123</v>
      </c>
      <c r="B863" s="1" t="inlineStr">
        <is>
          <t>Catfish, baked or broiled, no added fat (Includes sauteed; fried with no coating; bullhead)</t>
        </is>
      </c>
      <c r="C863" s="1" t="n">
        <v>2</v>
      </c>
      <c r="D863" s="1" t="inlineStr">
        <is>
          <t>Links to altEC</t>
        </is>
      </c>
      <c r="E863" s="1" t="inlineStr">
        <is>
          <t>Base</t>
        </is>
      </c>
      <c r="F863" s="1" t="n">
        <v>0.886224</v>
      </c>
    </row>
    <row r="864" ht="15.75" customHeight="1" s="201">
      <c r="A864" s="1" t="n">
        <v>26107130</v>
      </c>
      <c r="B864" s="1" t="inlineStr">
        <is>
          <t>Catfish, coated, baked or broiled, made with oil (Includes bullhead; NS as to fat; NS as to fat type)</t>
        </is>
      </c>
      <c r="C864" s="1" t="n">
        <v>4</v>
      </c>
      <c r="D864" s="1" t="inlineStr">
        <is>
          <t>FNDDS recipe with replaced or modified SR codes</t>
        </is>
      </c>
      <c r="E864" s="1" t="inlineStr">
        <is>
          <t>Base</t>
        </is>
      </c>
      <c r="F864" s="1" t="n">
        <v>1.153817</v>
      </c>
    </row>
    <row r="865" ht="15.75" customHeight="1" s="201">
      <c r="A865" s="1" t="n">
        <v>26107140</v>
      </c>
      <c r="B865" s="1" t="inlineStr">
        <is>
          <t>Catfish, coated, fried, made with oil (Includes fried, NS as to coating; bullhead; NS as to fat; NS as to fat type)</t>
        </is>
      </c>
      <c r="C865" s="1" t="n">
        <v>4</v>
      </c>
      <c r="D865" s="1" t="inlineStr">
        <is>
          <t>FNDDS recipe with replaced or modified SR codes</t>
        </is>
      </c>
      <c r="E865" s="1" t="inlineStr">
        <is>
          <t>Base</t>
        </is>
      </c>
      <c r="F865" s="1" t="n">
        <v>1.126045</v>
      </c>
    </row>
    <row r="866" ht="15.75" customHeight="1" s="201">
      <c r="A866" s="1" t="n">
        <v>26107143</v>
      </c>
      <c r="B866" s="1" t="inlineStr">
        <is>
          <t>Catfish, coated, fried, no added fat (Includes fried, NS as to coating; bullhead)</t>
        </is>
      </c>
      <c r="C866" s="1" t="n">
        <v>3</v>
      </c>
      <c r="D866" s="1" t="inlineStr">
        <is>
          <t>Original FNDDS recipe</t>
        </is>
      </c>
      <c r="E866" s="1" t="inlineStr">
        <is>
          <t>Base</t>
        </is>
      </c>
      <c r="F866" s="1" t="n">
        <v>1.282356</v>
      </c>
    </row>
    <row r="867" ht="15.75" customHeight="1" s="201">
      <c r="A867" s="1" t="n">
        <v>26107160</v>
      </c>
      <c r="B867" s="1" t="inlineStr">
        <is>
          <t>Catfish, steamed or poached (Includes bullhead)</t>
        </is>
      </c>
      <c r="C867" s="1" t="n">
        <v>2</v>
      </c>
      <c r="D867" s="1" t="inlineStr">
        <is>
          <t>Links to altEC</t>
        </is>
      </c>
      <c r="E867" s="1" t="inlineStr">
        <is>
          <t>Base</t>
        </is>
      </c>
      <c r="F867" s="1" t="n">
        <v>1.439995</v>
      </c>
    </row>
    <row r="868" ht="15.75" customHeight="1" s="201">
      <c r="A868" s="1" t="n">
        <v>26109110</v>
      </c>
      <c r="B868" s="1" t="inlineStr">
        <is>
          <t>Cod, cooked, NS as to cooking method</t>
        </is>
      </c>
      <c r="C868" s="1" t="n">
        <v>4</v>
      </c>
      <c r="D868" s="1" t="inlineStr">
        <is>
          <t>FNDDS recipe with replaced or modified SR codes</t>
        </is>
      </c>
      <c r="E868" s="1" t="inlineStr">
        <is>
          <t>Base</t>
        </is>
      </c>
      <c r="F868" s="1" t="n">
        <v>1.990167</v>
      </c>
    </row>
    <row r="869" ht="15.75" customHeight="1" s="201">
      <c r="A869" s="1" t="n">
        <v>26109120</v>
      </c>
      <c r="B869" s="1" t="inlineStr">
        <is>
          <t>Cod, baked or broiled, made with oil (Includes sauteed; fried with no coating; NS as to fat; NS as to fat type)</t>
        </is>
      </c>
      <c r="C869" s="1" t="n">
        <v>4</v>
      </c>
      <c r="D869" s="1" t="inlineStr">
        <is>
          <t>FNDDS recipe with replaced or modified SR codes</t>
        </is>
      </c>
      <c r="E869" s="1" t="inlineStr">
        <is>
          <t>Base</t>
        </is>
      </c>
      <c r="F869" s="1" t="n">
        <v>1.990167</v>
      </c>
    </row>
    <row r="870" ht="15.75" customHeight="1" s="201">
      <c r="A870" s="1" t="n">
        <v>26109121</v>
      </c>
      <c r="B870" s="1" t="inlineStr">
        <is>
          <t>Cod, baked or broiled, made with butter (Includes sauteed; fried with no coating; made with animal fat or meat drippings)</t>
        </is>
      </c>
      <c r="C870" s="1" t="n">
        <v>4</v>
      </c>
      <c r="D870" s="1" t="inlineStr">
        <is>
          <t>FNDDS recipe with replaced or modified SR codes</t>
        </is>
      </c>
      <c r="E870" s="1" t="inlineStr">
        <is>
          <t>Base</t>
        </is>
      </c>
      <c r="F870" s="1" t="n">
        <v>2.007158</v>
      </c>
    </row>
    <row r="871" ht="15.75" customHeight="1" s="201">
      <c r="A871" s="1" t="n">
        <v>26109130</v>
      </c>
      <c r="B871" s="1" t="inlineStr">
        <is>
          <t>Cod, coated, baked or broiled, made with oil (Includes NS as to fat; NS as to fat type)</t>
        </is>
      </c>
      <c r="C871" s="1" t="n">
        <v>4</v>
      </c>
      <c r="D871" s="1" t="inlineStr">
        <is>
          <t>FNDDS recipe with replaced or modified SR codes</t>
        </is>
      </c>
      <c r="E871" s="1" t="inlineStr">
        <is>
          <t>Base</t>
        </is>
      </c>
      <c r="F871" s="1" t="n">
        <v>1.585492</v>
      </c>
    </row>
    <row r="872" ht="15.75" customHeight="1" s="201">
      <c r="A872" s="1" t="n">
        <v>26109133</v>
      </c>
      <c r="B872" s="1" t="inlineStr">
        <is>
          <t>Cod, coated, baked or broiled, no added fat</t>
        </is>
      </c>
      <c r="C872" s="1" t="n">
        <v>4</v>
      </c>
      <c r="D872" s="1" t="inlineStr">
        <is>
          <t>FNDDS recipe with replaced or modified SR codes</t>
        </is>
      </c>
      <c r="E872" s="1" t="inlineStr">
        <is>
          <t>Base</t>
        </is>
      </c>
      <c r="F872" s="1" t="n">
        <v>1.634824</v>
      </c>
    </row>
    <row r="873" ht="15.75" customHeight="1" s="201">
      <c r="A873" s="1" t="n">
        <v>26109134</v>
      </c>
      <c r="B873" s="1" t="inlineStr">
        <is>
          <t>Cod, coated, baked or broiled, made with cooking spray</t>
        </is>
      </c>
      <c r="C873" s="1" t="n">
        <v>4</v>
      </c>
      <c r="D873" s="1" t="inlineStr">
        <is>
          <t>FNDDS recipe with replaced or modified SR codes</t>
        </is>
      </c>
      <c r="E873" s="1" t="inlineStr">
        <is>
          <t>Base</t>
        </is>
      </c>
      <c r="F873" s="1" t="n">
        <v>1.636225</v>
      </c>
    </row>
    <row r="874" ht="15.75" customHeight="1" s="201">
      <c r="A874" s="1" t="n">
        <v>26109140</v>
      </c>
      <c r="B874" s="1" t="inlineStr">
        <is>
          <t>Cod, coated, fried, made with oil (Includes fried, NS as to coating; NS as to fat; NS as to fat type)</t>
        </is>
      </c>
      <c r="C874" s="1" t="n">
        <v>4</v>
      </c>
      <c r="D874" s="1" t="inlineStr">
        <is>
          <t>FNDDS recipe with replaced or modified SR codes</t>
        </is>
      </c>
      <c r="E874" s="1" t="inlineStr">
        <is>
          <t>Base</t>
        </is>
      </c>
      <c r="F874" s="1" t="n">
        <v>1.521128</v>
      </c>
    </row>
    <row r="875" ht="15.75" customHeight="1" s="201">
      <c r="A875" s="1" t="n">
        <v>26109144</v>
      </c>
      <c r="B875" s="1" t="inlineStr">
        <is>
          <t>Cod, coated, fried, made with cooking spray (Includes fried, NS as to coating)</t>
        </is>
      </c>
      <c r="C875" s="1" t="n">
        <v>3</v>
      </c>
      <c r="D875" s="1" t="inlineStr">
        <is>
          <t>Original FNDDS recipe</t>
        </is>
      </c>
      <c r="E875" s="1" t="inlineStr">
        <is>
          <t>Base</t>
        </is>
      </c>
      <c r="F875" s="1" t="n">
        <v>1.748423</v>
      </c>
    </row>
    <row r="876" ht="15.75" customHeight="1" s="201">
      <c r="A876" s="1" t="n">
        <v>26109160</v>
      </c>
      <c r="B876" s="1" t="inlineStr">
        <is>
          <t>Cod, steamed or poached</t>
        </is>
      </c>
      <c r="C876" s="1" t="n">
        <v>3</v>
      </c>
      <c r="D876" s="1" t="inlineStr">
        <is>
          <t>Original FNDDS recipe</t>
        </is>
      </c>
      <c r="E876" s="1" t="inlineStr">
        <is>
          <t>Base</t>
        </is>
      </c>
      <c r="F876" s="1" t="n">
        <v>2.011456</v>
      </c>
    </row>
    <row r="877" ht="15.75" customHeight="1" s="201">
      <c r="A877" s="1" t="n">
        <v>26109170</v>
      </c>
      <c r="B877" s="1" t="inlineStr">
        <is>
          <t>Cod, dried, salted</t>
        </is>
      </c>
      <c r="C877" s="1" t="n">
        <v>1</v>
      </c>
      <c r="D877" s="1" t="inlineStr">
        <is>
          <t>Links to FNDDS</t>
        </is>
      </c>
      <c r="E877" s="1" t="inlineStr">
        <is>
          <t>Base</t>
        </is>
      </c>
      <c r="F877" s="1" t="n">
        <v>1.788737</v>
      </c>
    </row>
    <row r="878" ht="15.75" customHeight="1" s="201">
      <c r="A878" s="1" t="n">
        <v>26109180</v>
      </c>
      <c r="B878" s="1" t="inlineStr">
        <is>
          <t>Cod, dried, salted, salt removed in water</t>
        </is>
      </c>
      <c r="C878" s="1" t="n">
        <v>2</v>
      </c>
      <c r="D878" s="1" t="inlineStr">
        <is>
          <t>Links to altEC</t>
        </is>
      </c>
      <c r="E878" s="1" t="inlineStr">
        <is>
          <t>Base</t>
        </is>
      </c>
      <c r="F878" s="1" t="n">
        <v>1.788737</v>
      </c>
    </row>
    <row r="879" ht="15.75" customHeight="1" s="201">
      <c r="A879" s="1" t="n">
        <v>26111120</v>
      </c>
      <c r="B879" s="1" t="inlineStr">
        <is>
          <t>Croaker, baked or broiled, fat added (Includes sauteed; fried with no coating; angelfish; butterflyfish; drumfish; goatfish; kingfish; sea trout; freshwater sheepshead; spadefish; spot; surgeonfish; weakfish; weke; goo; gaspergou; NS as to fat)</t>
        </is>
      </c>
      <c r="C879" s="1" t="n">
        <v>4</v>
      </c>
      <c r="D879" s="1" t="inlineStr">
        <is>
          <t>FNDDS recipe with replaced or modified SR codes</t>
        </is>
      </c>
      <c r="E879" s="1" t="inlineStr">
        <is>
          <t>Base</t>
        </is>
      </c>
      <c r="F879" s="1" t="n">
        <v>1.19566</v>
      </c>
    </row>
    <row r="880" ht="15.75" customHeight="1" s="201">
      <c r="A880" s="1" t="n">
        <v>26111140</v>
      </c>
      <c r="B880" s="1" t="inlineStr">
        <is>
          <t>Croaker, coated, fried (Includes fried, NS as to coating; angelfish; butterflyfish; drumfish; goatfish; kingfish; sea trout; freshwater sheepshead; spadefish; spot; surgeonfish; weakfish; weke; goo; gaspergou)</t>
        </is>
      </c>
      <c r="C880" s="1" t="n">
        <v>4</v>
      </c>
      <c r="D880" s="1" t="inlineStr">
        <is>
          <t>FNDDS recipe with replaced or modified SR codes</t>
        </is>
      </c>
      <c r="E880" s="1" t="inlineStr">
        <is>
          <t>Base</t>
        </is>
      </c>
      <c r="F880" s="1" t="n">
        <v>0.966286</v>
      </c>
    </row>
    <row r="881" ht="15.75" customHeight="1" s="201">
      <c r="A881" s="1" t="n">
        <v>26115120</v>
      </c>
      <c r="B881" s="1" t="inlineStr">
        <is>
          <t>Flounder, baked or broiled, made with oil (Includes sauteed; fried with no coating; dab; fluke; sole; turbot; NS as to fat; NS as to fat type)</t>
        </is>
      </c>
      <c r="C881" s="1" t="n">
        <v>4</v>
      </c>
      <c r="D881" s="1" t="inlineStr">
        <is>
          <t>FNDDS recipe with replaced or modified SR codes</t>
        </is>
      </c>
      <c r="E881" s="1" t="inlineStr">
        <is>
          <t>Base</t>
        </is>
      </c>
      <c r="F881" s="1" t="n">
        <v>1.919668</v>
      </c>
    </row>
    <row r="882" ht="15.75" customHeight="1" s="201">
      <c r="A882" s="1" t="n">
        <v>26115123</v>
      </c>
      <c r="B882" s="1" t="inlineStr">
        <is>
          <t>Flounder, baked or broiled, no added fat (Includes sauteed; fried with no coating; dab; fluke; sole; turbot)</t>
        </is>
      </c>
      <c r="C882" s="1" t="n">
        <v>4</v>
      </c>
      <c r="D882" s="1" t="inlineStr">
        <is>
          <t>FNDDS recipe with replaced or modified SR codes</t>
        </is>
      </c>
      <c r="E882" s="1" t="inlineStr">
        <is>
          <t>Base</t>
        </is>
      </c>
      <c r="F882" s="1" t="n">
        <v>1.961611</v>
      </c>
    </row>
    <row r="883" ht="15.75" customHeight="1" s="201">
      <c r="A883" s="1" t="n">
        <v>26115130</v>
      </c>
      <c r="B883" s="1" t="inlineStr">
        <is>
          <t>Flounder, coated, baked or broiled, made with oil (Includes dab; fluke; sole; turbot; NS as to fat; NS as to fat type)</t>
        </is>
      </c>
      <c r="C883" s="1" t="n">
        <v>4</v>
      </c>
      <c r="D883" s="1" t="inlineStr">
        <is>
          <t>FNDDS recipe with replaced or modified SR codes</t>
        </is>
      </c>
      <c r="E883" s="1" t="inlineStr">
        <is>
          <t>Base</t>
        </is>
      </c>
      <c r="F883" s="1" t="n">
        <v>1.531699</v>
      </c>
    </row>
    <row r="884" ht="15.75" customHeight="1" s="201">
      <c r="A884" s="1" t="n">
        <v>26115140</v>
      </c>
      <c r="B884" s="1" t="inlineStr">
        <is>
          <t>Flounder, coated, fried, made with oil (Includes fried, NS as to coating; dab; fluke; sole; turbot; NS as to fat; NS as to fat type)</t>
        </is>
      </c>
      <c r="C884" s="1" t="n">
        <v>4</v>
      </c>
      <c r="D884" s="1" t="inlineStr">
        <is>
          <t>FNDDS recipe with replaced or modified SR codes</t>
        </is>
      </c>
      <c r="E884" s="1" t="inlineStr">
        <is>
          <t>Base</t>
        </is>
      </c>
      <c r="F884" s="1" t="n">
        <v>1.471895</v>
      </c>
    </row>
    <row r="885" ht="15.75" customHeight="1" s="201">
      <c r="A885" s="1" t="n">
        <v>26115160</v>
      </c>
      <c r="B885" s="1" t="inlineStr">
        <is>
          <t>Flounder, steamed or poached (Includes dab; fluke; sole; turbot)</t>
        </is>
      </c>
      <c r="C885" s="1" t="n">
        <v>2</v>
      </c>
      <c r="D885" s="1" t="inlineStr">
        <is>
          <t>Links to altEC</t>
        </is>
      </c>
      <c r="E885" s="1" t="inlineStr">
        <is>
          <t>Base</t>
        </is>
      </c>
      <c r="F885" s="1" t="n">
        <v>1.939805</v>
      </c>
    </row>
    <row r="886" ht="15.75" customHeight="1" s="201">
      <c r="A886" s="1" t="n">
        <v>26117120</v>
      </c>
      <c r="B886" s="1" t="inlineStr">
        <is>
          <t>Haddock, baked or broiled, fat added (Includes sauteed; fried with no coating; burbot; cusk; hake; ling; monkfish; pollock; scrod; NS as to fat)</t>
        </is>
      </c>
      <c r="C886" s="1" t="n">
        <v>4</v>
      </c>
      <c r="D886" s="1" t="inlineStr">
        <is>
          <t>FNDDS recipe with replaced or modified SR codes</t>
        </is>
      </c>
      <c r="E886" s="1" t="inlineStr">
        <is>
          <t>Base</t>
        </is>
      </c>
      <c r="F886" s="1" t="n">
        <v>1.980895</v>
      </c>
    </row>
    <row r="887" ht="15.75" customHeight="1" s="201">
      <c r="A887" s="1" t="n">
        <v>26117140</v>
      </c>
      <c r="B887" s="1" t="inlineStr">
        <is>
          <t>Haddock, coated, fried (Includes fried, NS as to coating; burbot; cusk; hake; ling; monkfish; pollock; scrod)</t>
        </is>
      </c>
      <c r="C887" s="1" t="n">
        <v>4</v>
      </c>
      <c r="D887" s="1" t="inlineStr">
        <is>
          <t>FNDDS recipe with replaced or modified SR codes</t>
        </is>
      </c>
      <c r="E887" s="1" t="inlineStr">
        <is>
          <t>Base</t>
        </is>
      </c>
      <c r="F887" s="1" t="n">
        <v>1.514652</v>
      </c>
    </row>
    <row r="888" ht="15.75" customHeight="1" s="201">
      <c r="A888" s="1" t="n">
        <v>26118020</v>
      </c>
      <c r="B888" s="1" t="inlineStr">
        <is>
          <t>Halibut, baked or broiled, made with oil (Includes sauteed; fried with no coating; NS as to fat; NS as to fat type)</t>
        </is>
      </c>
      <c r="C888" s="1" t="n">
        <v>4</v>
      </c>
      <c r="D888" s="1" t="inlineStr">
        <is>
          <t>FNDDS recipe with replaced or modified SR codes</t>
        </is>
      </c>
      <c r="E888" s="1" t="inlineStr">
        <is>
          <t>Base</t>
        </is>
      </c>
      <c r="F888" s="1" t="n">
        <v>5.288666</v>
      </c>
    </row>
    <row r="889" ht="15.75" customHeight="1" s="201">
      <c r="A889" s="1" t="n">
        <v>26118030</v>
      </c>
      <c r="B889" s="1" t="inlineStr">
        <is>
          <t>Halibut, coated, baked or broiled, made with oil (Includes NS as to fat; NS as to fat type)</t>
        </is>
      </c>
      <c r="C889" s="1" t="n">
        <v>4</v>
      </c>
      <c r="D889" s="1" t="inlineStr">
        <is>
          <t>FNDDS recipe with replaced or modified SR codes</t>
        </is>
      </c>
      <c r="E889" s="1" t="inlineStr">
        <is>
          <t>Base</t>
        </is>
      </c>
      <c r="F889" s="1" t="n">
        <v>4.102334</v>
      </c>
    </row>
    <row r="890" ht="15.75" customHeight="1" s="201">
      <c r="A890" s="1" t="n">
        <v>26118040</v>
      </c>
      <c r="B890" s="1" t="inlineStr">
        <is>
          <t>Halibut, coated, fried, made with oil (Includes fried, NS as to coating; NS as to fat; NS as to fat type)</t>
        </is>
      </c>
      <c r="C890" s="1" t="n">
        <v>4</v>
      </c>
      <c r="D890" s="1" t="inlineStr">
        <is>
          <t>FNDDS recipe with replaced or modified SR codes</t>
        </is>
      </c>
      <c r="E890" s="1" t="inlineStr">
        <is>
          <t>Base</t>
        </is>
      </c>
      <c r="F890" s="1" t="n">
        <v>3.824624</v>
      </c>
    </row>
    <row r="891" ht="15.75" customHeight="1" s="201">
      <c r="A891" s="1" t="n">
        <v>26119110</v>
      </c>
      <c r="B891" s="1" t="inlineStr">
        <is>
          <t>Herring, cooked, NS as to cooking method (Includes alewife; milkfish; shad)</t>
        </is>
      </c>
      <c r="C891" s="1" t="n">
        <v>1</v>
      </c>
      <c r="D891" s="1" t="inlineStr">
        <is>
          <t>Links to FNDDS</t>
        </is>
      </c>
      <c r="E891" s="1" t="inlineStr">
        <is>
          <t>Base</t>
        </is>
      </c>
      <c r="F891" s="1" t="n">
        <v>1.367835</v>
      </c>
    </row>
    <row r="892" ht="15.75" customHeight="1" s="201">
      <c r="A892" s="1" t="n">
        <v>26119120</v>
      </c>
      <c r="B892" s="1" t="inlineStr">
        <is>
          <t>Herring, baked or broiled, fat added (Includes sauteed; fried with no coating; alewife; milkfish; shad; NS as to fat)</t>
        </is>
      </c>
      <c r="C892" s="1" t="n">
        <v>4</v>
      </c>
      <c r="D892" s="1" t="inlineStr">
        <is>
          <t>FNDDS recipe with replaced or modified SR codes</t>
        </is>
      </c>
      <c r="E892" s="1" t="inlineStr">
        <is>
          <t>Base</t>
        </is>
      </c>
      <c r="F892" s="1" t="n">
        <v>1.810625</v>
      </c>
    </row>
    <row r="893" ht="15.75" customHeight="1" s="201">
      <c r="A893" s="1" t="n">
        <v>26121110</v>
      </c>
      <c r="B893" s="1" t="inlineStr">
        <is>
          <t>Mackerel, cooked, NS as to cooking method (Includes enenui; garfish; ono; needlefish; wahoo)</t>
        </is>
      </c>
      <c r="C893" s="1" t="n">
        <v>4</v>
      </c>
      <c r="D893" s="1" t="inlineStr">
        <is>
          <t>FNDDS recipe with replaced or modified SR codes</t>
        </is>
      </c>
      <c r="E893" s="1" t="inlineStr">
        <is>
          <t>Base</t>
        </is>
      </c>
      <c r="F893" s="1" t="n">
        <v>2.089509</v>
      </c>
    </row>
    <row r="894" ht="15.75" customHeight="1" s="201">
      <c r="A894" s="1" t="n">
        <v>26121120</v>
      </c>
      <c r="B894" s="1" t="inlineStr">
        <is>
          <t>Mackerel, baked or broiled, fat added (Includes sauteed; fried with no coating; enenui; garfish; ono; needlefish; wahoo; NS as to fat)</t>
        </is>
      </c>
      <c r="C894" s="1" t="n">
        <v>4</v>
      </c>
      <c r="D894" s="1" t="inlineStr">
        <is>
          <t>FNDDS recipe with replaced or modified SR codes</t>
        </is>
      </c>
      <c r="E894" s="1" t="inlineStr">
        <is>
          <t>Base</t>
        </is>
      </c>
      <c r="F894" s="1" t="n">
        <v>2.089502</v>
      </c>
    </row>
    <row r="895" ht="15.75" customHeight="1" s="201">
      <c r="A895" s="1" t="n">
        <v>26121180</v>
      </c>
      <c r="B895" s="1" t="inlineStr">
        <is>
          <t>Mackerel, canned</t>
        </is>
      </c>
      <c r="C895" s="1" t="n">
        <v>1</v>
      </c>
      <c r="D895" s="1" t="inlineStr">
        <is>
          <t>Links to FNDDS</t>
        </is>
      </c>
      <c r="E895" s="1" t="inlineStr">
        <is>
          <t>Base</t>
        </is>
      </c>
      <c r="F895" s="1" t="n">
        <v>0.594039</v>
      </c>
    </row>
    <row r="896" ht="15.75" customHeight="1" s="201">
      <c r="A896" s="1" t="n">
        <v>26123120</v>
      </c>
      <c r="B896" s="1" t="inlineStr">
        <is>
          <t>Mullet, baked or broiled, fat added (Includes sauteed; fried with no coating; NS as to fat)</t>
        </is>
      </c>
      <c r="C896" s="1" t="n">
        <v>4</v>
      </c>
      <c r="D896" s="1" t="inlineStr">
        <is>
          <t>FNDDS recipe with replaced or modified SR codes</t>
        </is>
      </c>
      <c r="E896" s="1" t="inlineStr">
        <is>
          <t>Base</t>
        </is>
      </c>
      <c r="F896" s="1" t="n">
        <v>3.113446</v>
      </c>
    </row>
    <row r="897" ht="15.75" customHeight="1" s="201">
      <c r="A897" s="1" t="n">
        <v>26123160</v>
      </c>
      <c r="B897" s="1" t="inlineStr">
        <is>
          <t>Mullet, steamed or poached</t>
        </is>
      </c>
      <c r="C897" s="1" t="n">
        <v>2</v>
      </c>
      <c r="D897" s="1" t="inlineStr">
        <is>
          <t>Links to altEC</t>
        </is>
      </c>
      <c r="E897" s="1" t="inlineStr">
        <is>
          <t>Base</t>
        </is>
      </c>
      <c r="F897" s="1" t="n">
        <v>3.193868</v>
      </c>
    </row>
    <row r="898" ht="15.75" customHeight="1" s="201">
      <c r="A898" s="1" t="n">
        <v>26125120</v>
      </c>
      <c r="B898" s="1" t="inlineStr">
        <is>
          <t>Ocean perch, baked or broiled, fat added (Includes sauteed; fried with no coating; bocaccio; menpachi; orange roughy; redfish; rockfish; NS as to fat)</t>
        </is>
      </c>
      <c r="C898" s="1" t="n">
        <v>4</v>
      </c>
      <c r="D898" s="1" t="inlineStr">
        <is>
          <t>FNDDS recipe with replaced or modified SR codes</t>
        </is>
      </c>
      <c r="E898" s="1" t="inlineStr">
        <is>
          <t>Base</t>
        </is>
      </c>
      <c r="F898" s="1" t="n">
        <v>3.075534</v>
      </c>
    </row>
    <row r="899" ht="15.75" customHeight="1" s="201">
      <c r="A899" s="1" t="n">
        <v>26125121</v>
      </c>
      <c r="B899" s="1" t="inlineStr">
        <is>
          <t>Ocean perch, baked or broiled, no added fat (Includes sauteed; fried with no coating; bocaccio; menpachi; orange roughy; redfish; rockfish)</t>
        </is>
      </c>
      <c r="C899" s="1" t="n">
        <v>4</v>
      </c>
      <c r="D899" s="1" t="inlineStr">
        <is>
          <t>FNDDS recipe with replaced or modified SR codes</t>
        </is>
      </c>
      <c r="E899" s="1" t="inlineStr">
        <is>
          <t>Base</t>
        </is>
      </c>
      <c r="F899" s="1" t="n">
        <v>3.15252</v>
      </c>
    </row>
    <row r="900" ht="15.75" customHeight="1" s="201">
      <c r="A900" s="1" t="n">
        <v>26127110</v>
      </c>
      <c r="B900" s="1" t="inlineStr">
        <is>
          <t>Perch, cooked, NS as to cooking method (Includes freshwater bass; bluegill; crappie; sunfish; walleye)</t>
        </is>
      </c>
      <c r="C900" s="1" t="n">
        <v>4</v>
      </c>
      <c r="D900" s="1" t="inlineStr">
        <is>
          <t>FNDDS recipe with replaced or modified SR codes</t>
        </is>
      </c>
      <c r="E900" s="1" t="inlineStr">
        <is>
          <t>Base</t>
        </is>
      </c>
      <c r="F900" s="1" t="n">
        <v>1.60222</v>
      </c>
    </row>
    <row r="901" ht="15.75" customHeight="1" s="201">
      <c r="A901" s="1" t="n">
        <v>26127120</v>
      </c>
      <c r="B901" s="1" t="inlineStr">
        <is>
          <t>Perch, baked or broiled, made with oil (Includes sauteed; fried with no coating; freshwater bass; bluegill; crappie; sunfish; walleye; NS as to fat; NS as to fat type)</t>
        </is>
      </c>
      <c r="C901" s="1" t="n">
        <v>4</v>
      </c>
      <c r="D901" s="1" t="inlineStr">
        <is>
          <t>FNDDS recipe with replaced or modified SR codes</t>
        </is>
      </c>
      <c r="E901" s="1" t="inlineStr">
        <is>
          <t>Base</t>
        </is>
      </c>
      <c r="F901" s="1" t="n">
        <v>2.106358</v>
      </c>
    </row>
    <row r="902" ht="15.75" customHeight="1" s="201">
      <c r="A902" s="1" t="n">
        <v>26127130</v>
      </c>
      <c r="B902" s="1" t="inlineStr">
        <is>
          <t>Perch, coated, baked or broiled, made with oil (Includes freshwater bass; bluegill; crappie; sunfish; walleye; NS as to fat; NS as to fat type)</t>
        </is>
      </c>
      <c r="C902" s="1" t="n">
        <v>4</v>
      </c>
      <c r="D902" s="1" t="inlineStr">
        <is>
          <t>FNDDS recipe with replaced or modified SR codes</t>
        </is>
      </c>
      <c r="E902" s="1" t="inlineStr">
        <is>
          <t>Base</t>
        </is>
      </c>
      <c r="F902" s="1" t="n">
        <v>1.674148</v>
      </c>
    </row>
    <row r="903" ht="15.75" customHeight="1" s="201">
      <c r="A903" s="1" t="n">
        <v>26127140</v>
      </c>
      <c r="B903" s="1" t="inlineStr">
        <is>
          <t>Perch, coated, fried, made with oil (Includes fried, NS as to coating; freshwater bass; bluegill; crappie; sunfish; walleye; NS as to fat; NS as to fat type)</t>
        </is>
      </c>
      <c r="C903" s="1" t="n">
        <v>4</v>
      </c>
      <c r="D903" s="1" t="inlineStr">
        <is>
          <t>FNDDS recipe with replaced or modified SR codes</t>
        </is>
      </c>
      <c r="E903" s="1" t="inlineStr">
        <is>
          <t>Base</t>
        </is>
      </c>
      <c r="F903" s="1" t="n">
        <v>1.602269</v>
      </c>
    </row>
    <row r="904" ht="15.75" customHeight="1" s="201">
      <c r="A904" s="1" t="n">
        <v>26127160</v>
      </c>
      <c r="B904" s="1" t="inlineStr">
        <is>
          <t>Perch, steamed or poached</t>
        </is>
      </c>
      <c r="C904" s="1" t="n">
        <v>2</v>
      </c>
      <c r="D904" s="1" t="inlineStr">
        <is>
          <t>Links to altEC</t>
        </is>
      </c>
      <c r="E904" s="1" t="inlineStr">
        <is>
          <t>Base</t>
        </is>
      </c>
      <c r="F904" s="1" t="n">
        <v>2.150061</v>
      </c>
    </row>
    <row r="905" ht="15.75" customHeight="1" s="201">
      <c r="A905" s="1" t="n">
        <v>26129120</v>
      </c>
      <c r="B905" s="1" t="inlineStr">
        <is>
          <t>Pike, baked or broiled, fat added (Includes sauteed; fried with no coating; muskellunge; pickerel; NS as to fat)</t>
        </is>
      </c>
      <c r="C905" s="1" t="n">
        <v>4</v>
      </c>
      <c r="D905" s="1" t="inlineStr">
        <is>
          <t>FNDDS recipe with replaced or modified SR codes</t>
        </is>
      </c>
      <c r="E905" s="1" t="inlineStr">
        <is>
          <t>Base</t>
        </is>
      </c>
      <c r="F905" s="1" t="n">
        <v>3.716209</v>
      </c>
    </row>
    <row r="906" ht="15.75" customHeight="1" s="201">
      <c r="A906" s="1" t="n">
        <v>26131120</v>
      </c>
      <c r="B906" s="1" t="inlineStr">
        <is>
          <t>Pompano, baked or broiled, fat added (Includes sauteed; fried with no coating; akule; blackfish; bluefish; butterfish; dolphinfish; jack; mahimahi; paplo; parrot fish; sablefish; scad; tilefish; ulva; yellowtail; NS as to fat)</t>
        </is>
      </c>
      <c r="C906" s="1" t="n">
        <v>4</v>
      </c>
      <c r="D906" s="1" t="inlineStr">
        <is>
          <t>FNDDS recipe with replaced or modified SR codes</t>
        </is>
      </c>
      <c r="E906" s="1" t="inlineStr">
        <is>
          <t>Base</t>
        </is>
      </c>
      <c r="F906" s="1" t="n">
        <v>3.281425</v>
      </c>
    </row>
    <row r="907" ht="15.75" customHeight="1" s="201">
      <c r="A907" s="1" t="n">
        <v>26131121</v>
      </c>
      <c r="B907" s="1" t="inlineStr">
        <is>
          <t>Pompano, baked or broiled, no added fat (Includes sauteed; fried with no coating; akule; blackfish; bluefish; butterfish; dolphinfish; jack; mahimahi; paplo; parrot fish; sablefish; scad; tilefish; ulva; yellowtail)</t>
        </is>
      </c>
      <c r="C907" s="1" t="n">
        <v>4</v>
      </c>
      <c r="D907" s="1" t="inlineStr">
        <is>
          <t>FNDDS recipe with replaced or modified SR codes</t>
        </is>
      </c>
      <c r="E907" s="1" t="inlineStr">
        <is>
          <t>Base</t>
        </is>
      </c>
      <c r="F907" s="1" t="n">
        <v>3.364653</v>
      </c>
    </row>
    <row r="908" ht="15.75" customHeight="1" s="201">
      <c r="A908" s="1" t="n">
        <v>26131140</v>
      </c>
      <c r="B908" s="1" t="inlineStr">
        <is>
          <t>Pompano, coated, fried (Includes fried, NS as to coating; akule; blackfish; bluefish; butterfish; dolphinfish; jack; mahimahi; paplo; parrot fish; sablefish; scad; tilefish; ulva; yellowtail)</t>
        </is>
      </c>
      <c r="C908" s="1" t="n">
        <v>4</v>
      </c>
      <c r="D908" s="1" t="inlineStr">
        <is>
          <t>FNDDS recipe with replaced or modified SR codes</t>
        </is>
      </c>
      <c r="E908" s="1" t="inlineStr">
        <is>
          <t>Base</t>
        </is>
      </c>
      <c r="F908" s="1" t="n">
        <v>2.422873</v>
      </c>
    </row>
    <row r="909" ht="15.75" customHeight="1" s="201">
      <c r="A909" s="1" t="n">
        <v>26131160</v>
      </c>
      <c r="B909" s="1" t="inlineStr">
        <is>
          <t>Pompano, steamed or poached (Includes akule; blackfish; bluefish; butterfish; dolphinfish; jack; mahimahi; paplo; parrot fish; sablefish; scad; tilefish; ulva; yellowtail)</t>
        </is>
      </c>
      <c r="C909" s="1" t="n">
        <v>3</v>
      </c>
      <c r="D909" s="1" t="inlineStr">
        <is>
          <t>Original FNDDS recipe</t>
        </is>
      </c>
      <c r="E909" s="1" t="inlineStr">
        <is>
          <t>Base</t>
        </is>
      </c>
      <c r="F909" s="1" t="n">
        <v>3.339885</v>
      </c>
    </row>
    <row r="910" ht="15.75" customHeight="1" s="201">
      <c r="A910" s="1" t="n">
        <v>26133110</v>
      </c>
      <c r="B910" s="1" t="inlineStr">
        <is>
          <t>Porgy, cooked, NS as to cooking method (Includes scup; sea bream; marine sheepshead; snapper; onaga)</t>
        </is>
      </c>
      <c r="C910" s="1" t="n">
        <v>4</v>
      </c>
      <c r="D910" s="1" t="inlineStr">
        <is>
          <t>FNDDS recipe with replaced or modified SR codes</t>
        </is>
      </c>
      <c r="E910" s="1" t="inlineStr">
        <is>
          <t>Base</t>
        </is>
      </c>
      <c r="F910" s="1" t="n">
        <v>1.705631</v>
      </c>
    </row>
    <row r="911" ht="15.75" customHeight="1" s="201">
      <c r="A911" s="1" t="n">
        <v>26133120</v>
      </c>
      <c r="B911" s="1" t="inlineStr">
        <is>
          <t>Porgy, baked or broiled, fat added (Includes sauteed; fried with no coating; scup; sea bream; marine sheepshead; snapper; onaga; NS as to fat)</t>
        </is>
      </c>
      <c r="C911" s="1" t="n">
        <v>4</v>
      </c>
      <c r="D911" s="1" t="inlineStr">
        <is>
          <t>FNDDS recipe with replaced or modified SR codes</t>
        </is>
      </c>
      <c r="E911" s="1" t="inlineStr">
        <is>
          <t>Base</t>
        </is>
      </c>
      <c r="F911" s="1" t="n">
        <v>1.705631</v>
      </c>
    </row>
    <row r="912" ht="15.75" customHeight="1" s="201">
      <c r="A912" s="1" t="n">
        <v>26133121</v>
      </c>
      <c r="B912" s="1" t="inlineStr">
        <is>
          <t>Porgy, baked or broiled, no added fat (Includes sauteed; fried with no coating; scup; sea bream; marine sheepshead; snapper; onaga)</t>
        </is>
      </c>
      <c r="C912" s="1" t="n">
        <v>4</v>
      </c>
      <c r="D912" s="1" t="inlineStr">
        <is>
          <t>FNDDS recipe with replaced or modified SR codes</t>
        </is>
      </c>
      <c r="E912" s="1" t="inlineStr">
        <is>
          <t>Base</t>
        </is>
      </c>
      <c r="F912" s="1" t="n">
        <v>1.741085</v>
      </c>
    </row>
    <row r="913" ht="15.75" customHeight="1" s="201">
      <c r="A913" s="1" t="n">
        <v>26133130</v>
      </c>
      <c r="B913" s="1" t="inlineStr">
        <is>
          <t>Porgy, coated, baked or broiled, fat added (Includes scup; sea bream; marine sheepshead; snapper; onaga; NS as to fat)</t>
        </is>
      </c>
      <c r="C913" s="1" t="n">
        <v>4</v>
      </c>
      <c r="D913" s="1" t="inlineStr">
        <is>
          <t>FNDDS recipe with replaced or modified SR codes</t>
        </is>
      </c>
      <c r="E913" s="1" t="inlineStr">
        <is>
          <t>Base</t>
        </is>
      </c>
      <c r="F913" s="1" t="n">
        <v>1.368383</v>
      </c>
    </row>
    <row r="914" ht="15.75" customHeight="1" s="201">
      <c r="A914" s="1" t="n">
        <v>26133160</v>
      </c>
      <c r="B914" s="1" t="inlineStr">
        <is>
          <t>Porgy, steamed or poached (Includes scup; sea bream; marine sheepshead; snapper; onaga)</t>
        </is>
      </c>
      <c r="C914" s="1" t="n">
        <v>4</v>
      </c>
      <c r="D914" s="1" t="inlineStr">
        <is>
          <t>FNDDS recipe with replaced or modified SR codes</t>
        </is>
      </c>
      <c r="E914" s="1" t="inlineStr">
        <is>
          <t>Base</t>
        </is>
      </c>
      <c r="F914" s="1" t="n">
        <v>1.718729</v>
      </c>
    </row>
    <row r="915" ht="15.75" customHeight="1" s="201">
      <c r="A915" s="1" t="n">
        <v>26135120</v>
      </c>
      <c r="B915" s="1" t="inlineStr">
        <is>
          <t>Ray, baked or broiled, fat added (Includes sauteed; fried with no coating; skate; NS at to fat added)</t>
        </is>
      </c>
      <c r="C915" s="1" t="n">
        <v>4</v>
      </c>
      <c r="D915" s="1" t="inlineStr">
        <is>
          <t>FNDDS recipe with replaced or modified SR codes</t>
        </is>
      </c>
      <c r="E915" s="1" t="inlineStr">
        <is>
          <t>Base</t>
        </is>
      </c>
      <c r="F915" s="1" t="n">
        <v>2.320015</v>
      </c>
    </row>
    <row r="916" ht="15.75" customHeight="1" s="201">
      <c r="A916" s="1" t="n">
        <v>26137100</v>
      </c>
      <c r="B916" s="1" t="inlineStr">
        <is>
          <t>Salmon, raw (Includes saltwater trout; sashimi)</t>
        </is>
      </c>
      <c r="C916" s="1" t="n">
        <v>1</v>
      </c>
      <c r="D916" s="1" t="inlineStr">
        <is>
          <t>Links to FNDDS</t>
        </is>
      </c>
      <c r="E916" s="1" t="inlineStr">
        <is>
          <t>Base</t>
        </is>
      </c>
      <c r="F916" s="1" t="n">
        <v>1.96811</v>
      </c>
    </row>
    <row r="917" ht="15.75" customHeight="1" s="201">
      <c r="A917" s="1" t="n">
        <v>26137110</v>
      </c>
      <c r="B917" s="1" t="inlineStr">
        <is>
          <t>Salmon, cooked, NS as to cooking method (Includes saltwater trout)</t>
        </is>
      </c>
      <c r="C917" s="1" t="n">
        <v>4</v>
      </c>
      <c r="D917" s="1" t="inlineStr">
        <is>
          <t>FNDDS recipe with replaced or modified SR codes</t>
        </is>
      </c>
      <c r="E917" s="1" t="inlineStr">
        <is>
          <t>Base</t>
        </is>
      </c>
      <c r="F917" s="1" t="n">
        <v>2.442677</v>
      </c>
    </row>
    <row r="918" ht="15.75" customHeight="1" s="201">
      <c r="A918" s="1" t="n">
        <v>26137120</v>
      </c>
      <c r="B918" s="1" t="inlineStr">
        <is>
          <t>Salmon, baked or broiled, made with oil (Includes sauteed; fried with no coating; saltwater trout; NS as to fat; NS as to fat type)</t>
        </is>
      </c>
      <c r="C918" s="1" t="n">
        <v>4</v>
      </c>
      <c r="D918" s="1" t="inlineStr">
        <is>
          <t>FNDDS recipe with replaced or modified SR codes</t>
        </is>
      </c>
      <c r="E918" s="1" t="inlineStr">
        <is>
          <t>Base</t>
        </is>
      </c>
      <c r="F918" s="1" t="n">
        <v>2.442677</v>
      </c>
    </row>
    <row r="919" ht="15.75" customHeight="1" s="201">
      <c r="A919" s="1" t="n">
        <v>26137121</v>
      </c>
      <c r="B919" s="1" t="inlineStr">
        <is>
          <t>Salmon, baked or broiled, made with butter (Includes sauteed; fried with no coating; made with animal fat or meat drippings; saltwater trout)</t>
        </is>
      </c>
      <c r="C919" s="1" t="n">
        <v>4</v>
      </c>
      <c r="D919" s="1" t="inlineStr">
        <is>
          <t>FNDDS recipe with replaced or modified SR codes</t>
        </is>
      </c>
      <c r="E919" s="1" t="inlineStr">
        <is>
          <t>Base</t>
        </is>
      </c>
      <c r="F919" s="1" t="n">
        <v>2.459667</v>
      </c>
    </row>
    <row r="920" ht="15.75" customHeight="1" s="201">
      <c r="A920" s="1" t="n">
        <v>26137122</v>
      </c>
      <c r="B920" s="1" t="inlineStr">
        <is>
          <t>Salmon, baked or broiled, made with margarine (Includes sauteed; fried with no coating; made with shortening; saltwater trout)</t>
        </is>
      </c>
      <c r="C920" s="1" t="n">
        <v>4</v>
      </c>
      <c r="D920" s="1" t="inlineStr">
        <is>
          <t>FNDDS recipe with replaced or modified SR codes</t>
        </is>
      </c>
      <c r="E920" s="1" t="inlineStr">
        <is>
          <t>Base</t>
        </is>
      </c>
      <c r="F920" s="1" t="n">
        <v>2.440841</v>
      </c>
    </row>
    <row r="921" ht="15.75" customHeight="1" s="201">
      <c r="A921" s="1" t="n">
        <v>26137123</v>
      </c>
      <c r="B921" s="1" t="inlineStr">
        <is>
          <t>Salmon, baked or broiled, no added fat (Includes sauteed; fried with no coating; saltwater trout)</t>
        </is>
      </c>
      <c r="C921" s="1" t="n">
        <v>4</v>
      </c>
      <c r="D921" s="1" t="inlineStr">
        <is>
          <t>FNDDS recipe with replaced or modified SR codes</t>
        </is>
      </c>
      <c r="E921" s="1" t="inlineStr">
        <is>
          <t>Base</t>
        </is>
      </c>
      <c r="F921" s="1" t="n">
        <v>2.500476</v>
      </c>
    </row>
    <row r="922" ht="15.75" customHeight="1" s="201">
      <c r="A922" s="1" t="n">
        <v>26137124</v>
      </c>
      <c r="B922" s="1" t="inlineStr">
        <is>
          <t>Salmon, baked or broiled, made with cooking spray (Includes sauteed; fried with no coating; saltwater trout)</t>
        </is>
      </c>
      <c r="C922" s="1" t="n">
        <v>4</v>
      </c>
      <c r="D922" s="1" t="inlineStr">
        <is>
          <t>FNDDS recipe with replaced or modified SR codes</t>
        </is>
      </c>
      <c r="E922" s="1" t="inlineStr">
        <is>
          <t>Base</t>
        </is>
      </c>
      <c r="F922" s="1" t="n">
        <v>2.49892</v>
      </c>
    </row>
    <row r="923" ht="15.75" customHeight="1" s="201">
      <c r="A923" s="1" t="n">
        <v>26137130</v>
      </c>
      <c r="B923" s="1" t="inlineStr">
        <is>
          <t>Salmon, coated, baked or broiled, made with oil (Includes saltwater trout; NS as to fat; NS as to fat type)</t>
        </is>
      </c>
      <c r="C923" s="1" t="n">
        <v>4</v>
      </c>
      <c r="D923" s="1" t="inlineStr">
        <is>
          <t>FNDDS recipe with replaced or modified SR codes</t>
        </is>
      </c>
      <c r="E923" s="1" t="inlineStr">
        <is>
          <t>Base</t>
        </is>
      </c>
      <c r="F923" s="1" t="n">
        <v>1.930768</v>
      </c>
    </row>
    <row r="924" ht="15.75" customHeight="1" s="201">
      <c r="A924" s="1" t="n">
        <v>26137131</v>
      </c>
      <c r="B924" s="1" t="inlineStr">
        <is>
          <t>Salmon, coated, baked or broiled, made with butter (Includes made with animal fat or meat drippings; saltwater trout)</t>
        </is>
      </c>
      <c r="C924" s="1" t="n">
        <v>4</v>
      </c>
      <c r="D924" s="1" t="inlineStr">
        <is>
          <t>FNDDS recipe with replaced or modified SR codes</t>
        </is>
      </c>
      <c r="E924" s="1" t="inlineStr">
        <is>
          <t>Base</t>
        </is>
      </c>
      <c r="F924" s="1" t="n">
        <v>1.956697</v>
      </c>
    </row>
    <row r="925" ht="15.75" customHeight="1" s="201">
      <c r="A925" s="1" t="n">
        <v>26137133</v>
      </c>
      <c r="B925" s="1" t="inlineStr">
        <is>
          <t>Salmon, coated, baked or broiled, no added fat (Includes saltwater trout)</t>
        </is>
      </c>
      <c r="C925" s="1" t="n">
        <v>4</v>
      </c>
      <c r="D925" s="1" t="inlineStr">
        <is>
          <t>FNDDS recipe with replaced or modified SR codes</t>
        </is>
      </c>
      <c r="E925" s="1" t="inlineStr">
        <is>
          <t>Base</t>
        </is>
      </c>
      <c r="F925" s="1" t="n">
        <v>1.996334</v>
      </c>
    </row>
    <row r="926" ht="15.75" customHeight="1" s="201">
      <c r="A926" s="1" t="n">
        <v>26137140</v>
      </c>
      <c r="B926" s="1" t="inlineStr">
        <is>
          <t>Salmon, coated, fried, made with oil (Includes fried, NS as to coating; saltwater trout; NS as to fat; NS as to fat type)</t>
        </is>
      </c>
      <c r="C926" s="1" t="n">
        <v>4</v>
      </c>
      <c r="D926" s="1" t="inlineStr">
        <is>
          <t>FNDDS recipe with replaced or modified SR codes</t>
        </is>
      </c>
      <c r="E926" s="1" t="inlineStr">
        <is>
          <t>Base</t>
        </is>
      </c>
      <c r="F926" s="1" t="n">
        <v>1.837136</v>
      </c>
    </row>
    <row r="927" ht="15.75" customHeight="1" s="201">
      <c r="A927" s="1" t="n">
        <v>26137160</v>
      </c>
      <c r="B927" s="1" t="inlineStr">
        <is>
          <t>Salmon, steamed or poached (Includes saltwater trout)</t>
        </is>
      </c>
      <c r="C927" s="1" t="n">
        <v>2</v>
      </c>
      <c r="D927" s="1" t="inlineStr">
        <is>
          <t>Links to altEC</t>
        </is>
      </c>
      <c r="E927" s="1" t="inlineStr">
        <is>
          <t>Base</t>
        </is>
      </c>
      <c r="F927" s="1" t="n">
        <v>2.498464</v>
      </c>
    </row>
    <row r="928" ht="15.75" customHeight="1" s="201">
      <c r="A928" s="1" t="n">
        <v>26137180</v>
      </c>
      <c r="B928" s="1" t="inlineStr">
        <is>
          <t>Salmon, canned</t>
        </is>
      </c>
      <c r="C928" s="1" t="n">
        <v>1</v>
      </c>
      <c r="D928" s="1" t="inlineStr">
        <is>
          <t>Links to FNDDS</t>
        </is>
      </c>
      <c r="E928" s="1" t="inlineStr">
        <is>
          <t>Base</t>
        </is>
      </c>
      <c r="F928" s="1" t="n">
        <v>1.657025</v>
      </c>
    </row>
    <row r="929" ht="15.75" customHeight="1" s="201">
      <c r="A929" s="1" t="n">
        <v>26137190</v>
      </c>
      <c r="B929" s="1" t="inlineStr">
        <is>
          <t>Salmon, smoked (Includes lox)</t>
        </is>
      </c>
      <c r="C929" s="1" t="n">
        <v>1</v>
      </c>
      <c r="D929" s="1" t="inlineStr">
        <is>
          <t>Links to FNDDS</t>
        </is>
      </c>
      <c r="E929" s="1" t="inlineStr">
        <is>
          <t>Base</t>
        </is>
      </c>
      <c r="F929" s="1" t="n">
        <v>4.662739</v>
      </c>
    </row>
    <row r="930" ht="15.75" customHeight="1" s="201">
      <c r="A930" s="1" t="n">
        <v>26139110</v>
      </c>
      <c r="B930" s="1" t="inlineStr">
        <is>
          <t>Sardines, cooked</t>
        </is>
      </c>
      <c r="C930" s="1" t="n">
        <v>2</v>
      </c>
      <c r="D930" s="1" t="inlineStr">
        <is>
          <t>Links to altEC</t>
        </is>
      </c>
      <c r="E930" s="1" t="inlineStr">
        <is>
          <t>Base</t>
        </is>
      </c>
      <c r="F930" s="1" t="n">
        <v>1.326808</v>
      </c>
    </row>
    <row r="931" ht="15.75" customHeight="1" s="201">
      <c r="A931" s="1" t="n">
        <v>26139180</v>
      </c>
      <c r="B931" s="1" t="inlineStr">
        <is>
          <t>Sardines, canned in oil</t>
        </is>
      </c>
      <c r="C931" s="1" t="n">
        <v>1</v>
      </c>
      <c r="D931" s="1" t="inlineStr">
        <is>
          <t>Links to FNDDS</t>
        </is>
      </c>
      <c r="E931" s="1" t="inlineStr">
        <is>
          <t>Base</t>
        </is>
      </c>
      <c r="F931" s="1" t="n">
        <v>1.326808</v>
      </c>
    </row>
    <row r="932" ht="15.75" customHeight="1" s="201">
      <c r="A932" s="1" t="n">
        <v>26139190</v>
      </c>
      <c r="B932" s="1" t="inlineStr">
        <is>
          <t>Sardines, skinless, boneless, packed in water</t>
        </is>
      </c>
      <c r="C932" s="1" t="n">
        <v>2</v>
      </c>
      <c r="D932" s="1" t="inlineStr">
        <is>
          <t>Links to altEC</t>
        </is>
      </c>
      <c r="E932" s="1" t="inlineStr">
        <is>
          <t>Base</t>
        </is>
      </c>
      <c r="F932" s="1" t="n">
        <v>1.326808</v>
      </c>
    </row>
    <row r="933" ht="15.75" customHeight="1" s="201">
      <c r="A933" s="1" t="n">
        <v>26141120</v>
      </c>
      <c r="B933" s="1" t="inlineStr">
        <is>
          <t>Sea bass, baked or broiled, fat added (Includes sauteed; fried with no coating; grouper; striped bass; wreakfish; bass, NFS; NS as to fat)</t>
        </is>
      </c>
      <c r="C933" s="1" t="n">
        <v>4</v>
      </c>
      <c r="D933" s="1" t="inlineStr">
        <is>
          <t>FNDDS recipe with replaced or modified SR codes</t>
        </is>
      </c>
      <c r="E933" s="1" t="inlineStr">
        <is>
          <t>Base</t>
        </is>
      </c>
      <c r="F933" s="1" t="n">
        <v>3.6915</v>
      </c>
    </row>
    <row r="934" ht="15.75" customHeight="1" s="201">
      <c r="A934" s="1" t="n">
        <v>26141140</v>
      </c>
      <c r="B934" s="1" t="inlineStr">
        <is>
          <t>Sea bass, coated, fried (Includes fried, NS as to coating; grouper; striped bass; wreakfish; bass. NFS)</t>
        </is>
      </c>
      <c r="C934" s="1" t="n">
        <v>4</v>
      </c>
      <c r="D934" s="1" t="inlineStr">
        <is>
          <t>FNDDS recipe with replaced or modified SR codes</t>
        </is>
      </c>
      <c r="E934" s="1" t="inlineStr">
        <is>
          <t>Base</t>
        </is>
      </c>
      <c r="F934" s="1" t="n">
        <v>2.709248</v>
      </c>
    </row>
    <row r="935" ht="15.75" customHeight="1" s="201">
      <c r="A935" s="1" t="n">
        <v>26141160</v>
      </c>
      <c r="B935" s="1" t="inlineStr">
        <is>
          <t>Sea bass, steamed or poached (Includes grouper; striped bass; wreakfish; bass. NFS)</t>
        </is>
      </c>
      <c r="C935" s="1" t="n">
        <v>2</v>
      </c>
      <c r="D935" s="1" t="inlineStr">
        <is>
          <t>Links to altEC</t>
        </is>
      </c>
      <c r="E935" s="1" t="inlineStr">
        <is>
          <t>Base</t>
        </is>
      </c>
      <c r="F935" s="1" t="n">
        <v>3.797166</v>
      </c>
    </row>
    <row r="936" ht="15.75" customHeight="1" s="201">
      <c r="A936" s="1" t="n">
        <v>26143120</v>
      </c>
      <c r="B936" s="1" t="inlineStr">
        <is>
          <t>Shark, baked or broiled, fat added (Includes sauteed; fried with no coating; dogfish; grayfish; NS as to fat)</t>
        </is>
      </c>
      <c r="C936" s="1" t="n">
        <v>4</v>
      </c>
      <c r="D936" s="1" t="inlineStr">
        <is>
          <t>FNDDS recipe with replaced or modified SR codes</t>
        </is>
      </c>
      <c r="E936" s="1" t="inlineStr">
        <is>
          <t>Base</t>
        </is>
      </c>
      <c r="F936" s="1" t="n">
        <v>2.320015</v>
      </c>
    </row>
    <row r="937" ht="15.75" customHeight="1" s="201">
      <c r="A937" s="1" t="n">
        <v>26149120</v>
      </c>
      <c r="B937" s="1" t="inlineStr">
        <is>
          <t>Swordfish, baked or broiled, fat added (Includes sauteed; fried with no coating; marlin; NS as to fat)</t>
        </is>
      </c>
      <c r="C937" s="1" t="n">
        <v>4</v>
      </c>
      <c r="D937" s="1" t="inlineStr">
        <is>
          <t>FNDDS recipe with replaced or modified SR codes</t>
        </is>
      </c>
      <c r="E937" s="1" t="inlineStr">
        <is>
          <t>Base</t>
        </is>
      </c>
      <c r="F937" s="1" t="n">
        <v>3.113446</v>
      </c>
    </row>
    <row r="938" ht="15.75" customHeight="1" s="201">
      <c r="A938" s="1" t="n">
        <v>26149160</v>
      </c>
      <c r="B938" s="1" t="inlineStr">
        <is>
          <t>Swordfish, steamed or poached (Includes marlin)</t>
        </is>
      </c>
      <c r="C938" s="1" t="n">
        <v>2</v>
      </c>
      <c r="D938" s="1" t="inlineStr">
        <is>
          <t>Links to altEC</t>
        </is>
      </c>
      <c r="E938" s="1" t="inlineStr">
        <is>
          <t>Base</t>
        </is>
      </c>
      <c r="F938" s="1" t="n">
        <v>3.196562</v>
      </c>
    </row>
    <row r="939" ht="15.75" customHeight="1" s="201">
      <c r="A939" s="1" t="n">
        <v>26151110</v>
      </c>
      <c r="B939" s="1" t="inlineStr">
        <is>
          <t>Trout, cooked, NS as to cooking method (Includes cisco; lake herring; steelhead; whitefish)</t>
        </is>
      </c>
      <c r="C939" s="1" t="n">
        <v>4</v>
      </c>
      <c r="D939" s="1" t="inlineStr">
        <is>
          <t>FNDDS recipe with replaced or modified SR codes</t>
        </is>
      </c>
      <c r="E939" s="1" t="inlineStr">
        <is>
          <t>Base</t>
        </is>
      </c>
      <c r="F939" s="1" t="n">
        <v>2.516858</v>
      </c>
    </row>
    <row r="940" ht="15.75" customHeight="1" s="201">
      <c r="A940" s="1" t="n">
        <v>26151120</v>
      </c>
      <c r="B940" s="1" t="inlineStr">
        <is>
          <t>Trout, baked or broiled, made with oil (Includes sauteed; fried with no coating; cisco; lake herring; steelhead; whitefish; NS as to fat; NS as to fat type)</t>
        </is>
      </c>
      <c r="C940" s="1" t="n">
        <v>4</v>
      </c>
      <c r="D940" s="1" t="inlineStr">
        <is>
          <t>FNDDS recipe with replaced or modified SR codes</t>
        </is>
      </c>
      <c r="E940" s="1" t="inlineStr">
        <is>
          <t>Base</t>
        </is>
      </c>
      <c r="F940" s="1" t="n">
        <v>2.516858</v>
      </c>
    </row>
    <row r="941" ht="15.75" customHeight="1" s="201">
      <c r="A941" s="1" t="n">
        <v>26151130</v>
      </c>
      <c r="B941" s="1" t="inlineStr">
        <is>
          <t>Trout, coated, baked or broiled, made with oil (Includes cisco; lake herring; steelhead; whitefish; NS as to fat; NS as to fat type)</t>
        </is>
      </c>
      <c r="C941" s="1" t="n">
        <v>4</v>
      </c>
      <c r="D941" s="1" t="inlineStr">
        <is>
          <t>FNDDS recipe with replaced or modified SR codes</t>
        </is>
      </c>
      <c r="E941" s="1" t="inlineStr">
        <is>
          <t>Base</t>
        </is>
      </c>
      <c r="F941" s="1" t="n">
        <v>1.987371</v>
      </c>
    </row>
    <row r="942" ht="15.75" customHeight="1" s="201">
      <c r="A942" s="1" t="n">
        <v>26151140</v>
      </c>
      <c r="B942" s="1" t="inlineStr">
        <is>
          <t>Trout, coated, fried, made with oil (Includes fried, NS as to coating; cisco; lake herring; steelhead; whitefish; NS as to fat; NS as to fat type)</t>
        </is>
      </c>
      <c r="C942" s="1" t="n">
        <v>4</v>
      </c>
      <c r="D942" s="1" t="inlineStr">
        <is>
          <t>FNDDS recipe with replaced or modified SR codes</t>
        </is>
      </c>
      <c r="E942" s="1" t="inlineStr">
        <is>
          <t>Base</t>
        </is>
      </c>
      <c r="F942" s="1" t="n">
        <v>1.88894</v>
      </c>
    </row>
    <row r="943" ht="15.75" customHeight="1" s="201">
      <c r="A943" s="1" t="n">
        <v>26151160</v>
      </c>
      <c r="B943" s="1" t="inlineStr">
        <is>
          <t>Trout, steamed or poached (Includes cisco; lake herring; steelhead; whitefish)</t>
        </is>
      </c>
      <c r="C943" s="1" t="n">
        <v>2</v>
      </c>
      <c r="D943" s="1" t="inlineStr">
        <is>
          <t>Links to altEC</t>
        </is>
      </c>
      <c r="E943" s="1" t="inlineStr">
        <is>
          <t>Base</t>
        </is>
      </c>
      <c r="F943" s="1" t="n">
        <v>2.580723</v>
      </c>
    </row>
    <row r="944" ht="15.75" customHeight="1" s="201">
      <c r="A944" s="1" t="n">
        <v>26151190</v>
      </c>
      <c r="B944" s="1" t="inlineStr">
        <is>
          <t>Trout, smoked (Includes chub; cisco; lake herring; steelhead; whitefish)</t>
        </is>
      </c>
      <c r="C944" s="1" t="n">
        <v>1</v>
      </c>
      <c r="D944" s="1" t="inlineStr">
        <is>
          <t>Links to FNDDS</t>
        </is>
      </c>
      <c r="E944" s="1" t="inlineStr">
        <is>
          <t>Base</t>
        </is>
      </c>
      <c r="F944" s="1" t="n">
        <v>3.950084</v>
      </c>
    </row>
    <row r="945" ht="15.75" customHeight="1" s="201">
      <c r="A945" s="1" t="n">
        <v>26153100</v>
      </c>
      <c r="B945" s="1" t="inlineStr">
        <is>
          <t>Tuna, fresh, raw (Includes ahi; aku; bonito; sashimi)</t>
        </is>
      </c>
      <c r="C945" s="1" t="n">
        <v>1</v>
      </c>
      <c r="D945" s="1" t="inlineStr">
        <is>
          <t>Links to FNDDS</t>
        </is>
      </c>
      <c r="E945" s="1" t="inlineStr">
        <is>
          <t>Base</t>
        </is>
      </c>
      <c r="F945" s="1" t="n">
        <v>2.203144</v>
      </c>
    </row>
    <row r="946" ht="15.75" customHeight="1" s="201">
      <c r="A946" s="1" t="n">
        <v>26153120</v>
      </c>
      <c r="B946" s="1" t="inlineStr">
        <is>
          <t>Tuna, fresh, baked or broiled, fat added (Includes sauteed; fried with no coating; ahi; aku; bonito; NS as to fat)</t>
        </is>
      </c>
      <c r="C946" s="1" t="n">
        <v>4</v>
      </c>
      <c r="D946" s="1" t="inlineStr">
        <is>
          <t>FNDDS recipe with replaced or modified SR codes</t>
        </is>
      </c>
      <c r="E946" s="1" t="inlineStr">
        <is>
          <t>Base</t>
        </is>
      </c>
      <c r="F946" s="1" t="n">
        <v>2.729964</v>
      </c>
    </row>
    <row r="947" ht="15.75" customHeight="1" s="201">
      <c r="A947" s="1" t="n">
        <v>26153122</v>
      </c>
      <c r="B947" s="1" t="inlineStr">
        <is>
          <t>Tuna, fresh, baked or broiled, no added fat (Includes sauteed; fried with no coating; ahi; aku; bonito)</t>
        </is>
      </c>
      <c r="C947" s="1" t="n">
        <v>4</v>
      </c>
      <c r="D947" s="1" t="inlineStr">
        <is>
          <t>FNDDS recipe with replaced or modified SR codes</t>
        </is>
      </c>
      <c r="E947" s="1" t="inlineStr">
        <is>
          <t>Base</t>
        </is>
      </c>
      <c r="F947" s="1" t="n">
        <v>2.796474</v>
      </c>
    </row>
    <row r="948" ht="15.75" customHeight="1" s="201">
      <c r="A948" s="1" t="n">
        <v>26155110</v>
      </c>
      <c r="B948" s="1" t="inlineStr">
        <is>
          <t>Tuna, canned, NS as to oil or water pack (Includes tuna, NFS; low sodium)</t>
        </is>
      </c>
      <c r="C948" s="1" t="n">
        <v>2</v>
      </c>
      <c r="D948" s="1" t="inlineStr">
        <is>
          <t>Links to altEC</t>
        </is>
      </c>
      <c r="E948" s="1" t="inlineStr">
        <is>
          <t>Base</t>
        </is>
      </c>
      <c r="F948" s="1" t="n">
        <v>1.258852</v>
      </c>
    </row>
    <row r="949" ht="15.75" customHeight="1" s="201">
      <c r="A949" s="1" t="n">
        <v>26157110</v>
      </c>
      <c r="B949" s="1" t="inlineStr">
        <is>
          <t>Whiting, cooked, NS as to cooking method</t>
        </is>
      </c>
      <c r="C949" s="1" t="n">
        <v>4</v>
      </c>
      <c r="D949" s="1" t="inlineStr">
        <is>
          <t>FNDDS recipe with replaced or modified SR codes</t>
        </is>
      </c>
      <c r="E949" s="1" t="inlineStr">
        <is>
          <t>Base</t>
        </is>
      </c>
      <c r="F949" s="1" t="n">
        <v>0.737804</v>
      </c>
    </row>
    <row r="950" ht="15.75" customHeight="1" s="201">
      <c r="A950" s="1" t="n">
        <v>26157120</v>
      </c>
      <c r="B950" s="1" t="inlineStr">
        <is>
          <t>Whiting, baked or broiled, made with oil (Includes sauteed; fried with no coating; NS as to fat; NS as to fat type)</t>
        </is>
      </c>
      <c r="C950" s="1" t="n">
        <v>4</v>
      </c>
      <c r="D950" s="1" t="inlineStr">
        <is>
          <t>FNDDS recipe with replaced or modified SR codes</t>
        </is>
      </c>
      <c r="E950" s="1" t="inlineStr">
        <is>
          <t>Base</t>
        </is>
      </c>
      <c r="F950" s="1" t="n">
        <v>0.86849</v>
      </c>
    </row>
    <row r="951" ht="15.75" customHeight="1" s="201">
      <c r="A951" s="1" t="n">
        <v>26157130</v>
      </c>
      <c r="B951" s="1" t="inlineStr">
        <is>
          <t>Whiting, coated, baked or broiled, made with oil (Includes NS as to fat; NS as to fat type)</t>
        </is>
      </c>
      <c r="C951" s="1" t="n">
        <v>4</v>
      </c>
      <c r="D951" s="1" t="inlineStr">
        <is>
          <t>FNDDS recipe with replaced or modified SR codes</t>
        </is>
      </c>
      <c r="E951" s="1" t="inlineStr">
        <is>
          <t>Base</t>
        </is>
      </c>
      <c r="F951" s="1" t="n">
        <v>0.729622</v>
      </c>
    </row>
    <row r="952" ht="15.75" customHeight="1" s="201">
      <c r="A952" s="1" t="n">
        <v>26157133</v>
      </c>
      <c r="B952" s="1" t="inlineStr">
        <is>
          <t>Whiting, coated, baked or broiled, no added fat</t>
        </is>
      </c>
      <c r="C952" s="1" t="n">
        <v>4</v>
      </c>
      <c r="D952" s="1" t="inlineStr">
        <is>
          <t>FNDDS recipe with replaced or modified SR codes</t>
        </is>
      </c>
      <c r="E952" s="1" t="inlineStr">
        <is>
          <t>Base</t>
        </is>
      </c>
      <c r="F952" s="1" t="n">
        <v>0.738713</v>
      </c>
    </row>
    <row r="953" ht="15.75" customHeight="1" s="201">
      <c r="A953" s="1" t="n">
        <v>26157140</v>
      </c>
      <c r="B953" s="1" t="inlineStr">
        <is>
          <t>Whiting, coated, fried, made with oil (Includes fried, NS as to coating; NS as to fat; NS as to fat type)</t>
        </is>
      </c>
      <c r="C953" s="1" t="n">
        <v>4</v>
      </c>
      <c r="D953" s="1" t="inlineStr">
        <is>
          <t>FNDDS recipe with replaced or modified SR codes</t>
        </is>
      </c>
      <c r="E953" s="1" t="inlineStr">
        <is>
          <t>Base</t>
        </is>
      </c>
      <c r="F953" s="1" t="n">
        <v>0.737807</v>
      </c>
    </row>
    <row r="954" ht="15.75" customHeight="1" s="201">
      <c r="A954" s="1" t="n">
        <v>26158000</v>
      </c>
      <c r="B954" s="1" t="inlineStr">
        <is>
          <t>Tilapia, cooked, NS as to cooking method (Includes mojarra)</t>
        </is>
      </c>
      <c r="C954" s="1" t="n">
        <v>4</v>
      </c>
      <c r="D954" s="1" t="inlineStr">
        <is>
          <t>FNDDS recipe with replaced or modified SR codes</t>
        </is>
      </c>
      <c r="E954" s="1" t="inlineStr">
        <is>
          <t>Base</t>
        </is>
      </c>
      <c r="F954" s="1" t="n">
        <v>1.301613</v>
      </c>
    </row>
    <row r="955" ht="15.75" customHeight="1" s="201">
      <c r="A955" s="1" t="n">
        <v>26158010</v>
      </c>
      <c r="B955" s="1" t="inlineStr">
        <is>
          <t>Tilapia, baked or broiled, made with oil (Includes sauteed; fried with no coating; mojarra; NS as to fat; NS as to fat type)</t>
        </is>
      </c>
      <c r="C955" s="1" t="n">
        <v>4</v>
      </c>
      <c r="D955" s="1" t="inlineStr">
        <is>
          <t>FNDDS recipe with replaced or modified SR codes</t>
        </is>
      </c>
      <c r="E955" s="1" t="inlineStr">
        <is>
          <t>Base</t>
        </is>
      </c>
      <c r="F955" s="1" t="n">
        <v>1.301613</v>
      </c>
    </row>
    <row r="956" ht="15.75" customHeight="1" s="201">
      <c r="A956" s="1" t="n">
        <v>26158011</v>
      </c>
      <c r="B956" s="1" t="inlineStr">
        <is>
          <t>Tilapia, baked or broiled, made with butter (Includes sauteed; fried with no coating; made with animal fat or meat drippings; mojarra)</t>
        </is>
      </c>
      <c r="C956" s="1" t="n">
        <v>4</v>
      </c>
      <c r="D956" s="1" t="inlineStr">
        <is>
          <t>FNDDS recipe with replaced or modified SR codes</t>
        </is>
      </c>
      <c r="E956" s="1" t="inlineStr">
        <is>
          <t>Base</t>
        </is>
      </c>
      <c r="F956" s="1" t="n">
        <v>1.318603</v>
      </c>
    </row>
    <row r="957" ht="15.75" customHeight="1" s="201">
      <c r="A957" s="1" t="n">
        <v>26158012</v>
      </c>
      <c r="B957" s="1" t="inlineStr">
        <is>
          <t>Tilapia, baked or broiled, made with margarine (Includes sauteed; fried with no coating; made with shortening; mojarra)</t>
        </is>
      </c>
      <c r="C957" s="1" t="n">
        <v>4</v>
      </c>
      <c r="D957" s="1" t="inlineStr">
        <is>
          <t>FNDDS recipe with replaced or modified SR codes</t>
        </is>
      </c>
      <c r="E957" s="1" t="inlineStr">
        <is>
          <t>Base</t>
        </is>
      </c>
      <c r="F957" s="1" t="n">
        <v>1.299777</v>
      </c>
    </row>
    <row r="958" ht="15.75" customHeight="1" s="201">
      <c r="A958" s="1" t="n">
        <v>26158013</v>
      </c>
      <c r="B958" s="1" t="inlineStr">
        <is>
          <t>Tilapia, baked or broiled, no added fat (Includes sauteed; fried with no coating; mojarra)</t>
        </is>
      </c>
      <c r="C958" s="1" t="n">
        <v>4</v>
      </c>
      <c r="D958" s="1" t="inlineStr">
        <is>
          <t>FNDDS recipe with replaced or modified SR codes</t>
        </is>
      </c>
      <c r="E958" s="1" t="inlineStr">
        <is>
          <t>Base</t>
        </is>
      </c>
      <c r="F958" s="1" t="n">
        <v>1.324817</v>
      </c>
    </row>
    <row r="959" ht="15.75" customHeight="1" s="201">
      <c r="A959" s="1" t="n">
        <v>26158014</v>
      </c>
      <c r="B959" s="1" t="inlineStr">
        <is>
          <t>Tilapia, baked or broiled, made with cooking spray (Includes sauteed; fried with no coating; mojarra)</t>
        </is>
      </c>
      <c r="C959" s="1" t="n">
        <v>4</v>
      </c>
      <c r="D959" s="1" t="inlineStr">
        <is>
          <t>FNDDS recipe with replaced or modified SR codes</t>
        </is>
      </c>
      <c r="E959" s="1" t="inlineStr">
        <is>
          <t>Base</t>
        </is>
      </c>
      <c r="F959" s="1" t="n">
        <v>1.327826</v>
      </c>
    </row>
    <row r="960" ht="15.75" customHeight="1" s="201">
      <c r="A960" s="1" t="n">
        <v>26158020</v>
      </c>
      <c r="B960" s="1" t="inlineStr">
        <is>
          <t>Tilapia, coated, baked or broiled, made with oil (Includes mojarra; NS as to fat; NS as to fat type)</t>
        </is>
      </c>
      <c r="C960" s="1" t="n">
        <v>4</v>
      </c>
      <c r="D960" s="1" t="inlineStr">
        <is>
          <t>FNDDS recipe with replaced or modified SR codes</t>
        </is>
      </c>
      <c r="E960" s="1" t="inlineStr">
        <is>
          <t>Base</t>
        </is>
      </c>
      <c r="F960" s="1" t="n">
        <v>1.060106</v>
      </c>
    </row>
    <row r="961" ht="15.75" customHeight="1" s="201">
      <c r="A961" s="1" t="n">
        <v>26158021</v>
      </c>
      <c r="B961" s="1" t="inlineStr">
        <is>
          <t>Tilapia, coated, baked or broiled, made with butter (Includes made with animal fat or meat drippings; mojarra)</t>
        </is>
      </c>
      <c r="C961" s="1" t="n">
        <v>4</v>
      </c>
      <c r="D961" s="1" t="inlineStr">
        <is>
          <t>FNDDS recipe with replaced or modified SR codes</t>
        </is>
      </c>
      <c r="E961" s="1" t="inlineStr">
        <is>
          <t>Base</t>
        </is>
      </c>
      <c r="F961" s="1" t="n">
        <v>1.086035</v>
      </c>
    </row>
    <row r="962" ht="15.75" customHeight="1" s="201">
      <c r="A962" s="1" t="n">
        <v>26158023</v>
      </c>
      <c r="B962" s="1" t="inlineStr">
        <is>
          <t>Tilapia, coated, baked or broiled, no added fat (Includes mojarra)</t>
        </is>
      </c>
      <c r="C962" s="1" t="n">
        <v>4</v>
      </c>
      <c r="D962" s="1" t="inlineStr">
        <is>
          <t>FNDDS recipe with replaced or modified SR codes</t>
        </is>
      </c>
      <c r="E962" s="1" t="inlineStr">
        <is>
          <t>Base</t>
        </is>
      </c>
      <c r="F962" s="1" t="n">
        <v>1.084736</v>
      </c>
    </row>
    <row r="963" ht="15.75" customHeight="1" s="201">
      <c r="A963" s="1" t="n">
        <v>26158024</v>
      </c>
      <c r="B963" s="1" t="inlineStr">
        <is>
          <t>Tilapia, coated, baked or broiled, made with cooking spray (Includes mojarra)</t>
        </is>
      </c>
      <c r="C963" s="1" t="n">
        <v>4</v>
      </c>
      <c r="D963" s="1" t="inlineStr">
        <is>
          <t>FNDDS recipe with replaced or modified SR codes</t>
        </is>
      </c>
      <c r="E963" s="1" t="inlineStr">
        <is>
          <t>Base</t>
        </is>
      </c>
      <c r="F963" s="1" t="n">
        <v>1.087795</v>
      </c>
    </row>
    <row r="964" ht="15.75" customHeight="1" s="201">
      <c r="A964" s="1" t="n">
        <v>26158030</v>
      </c>
      <c r="B964" s="1" t="inlineStr">
        <is>
          <t>Tilapia, coated, fried, made with oil (Includes fried, NS as to coating; mojarra; NS as to fat; NS as to fat type)</t>
        </is>
      </c>
      <c r="C964" s="1" t="n">
        <v>4</v>
      </c>
      <c r="D964" s="1" t="inlineStr">
        <is>
          <t>FNDDS recipe with replaced or modified SR codes</t>
        </is>
      </c>
      <c r="E964" s="1" t="inlineStr">
        <is>
          <t>Base</t>
        </is>
      </c>
      <c r="F964" s="1" t="n">
        <v>1.040278</v>
      </c>
    </row>
    <row r="965" ht="15.75" customHeight="1" s="201">
      <c r="A965" s="1" t="n">
        <v>26158031</v>
      </c>
      <c r="B965" s="1" t="inlineStr">
        <is>
          <t>Tilapia, coated, fried, made with butter (Includes fried, NS as to coating; made with animal fat or meat drippings; mojarra)</t>
        </is>
      </c>
      <c r="C965" s="1" t="n">
        <v>4</v>
      </c>
      <c r="D965" s="1" t="inlineStr">
        <is>
          <t>FNDDS recipe with replaced or modified SR codes</t>
        </is>
      </c>
      <c r="E965" s="1" t="inlineStr">
        <is>
          <t>Base</t>
        </is>
      </c>
      <c r="F965" s="1" t="n">
        <v>1.079518</v>
      </c>
    </row>
    <row r="966" ht="15.75" customHeight="1" s="201">
      <c r="A966" s="1" t="n">
        <v>26158032</v>
      </c>
      <c r="B966" s="1" t="inlineStr">
        <is>
          <t>Tilapia, coated, fried, made with margarine (Includes fried, NS as to coating; made with shortening; mojarra)</t>
        </is>
      </c>
      <c r="C966" s="1" t="n">
        <v>4</v>
      </c>
      <c r="D966" s="1" t="inlineStr">
        <is>
          <t>FNDDS recipe with replaced or modified SR codes</t>
        </is>
      </c>
      <c r="E966" s="1" t="inlineStr">
        <is>
          <t>Base</t>
        </is>
      </c>
      <c r="F966" s="1" t="n">
        <v>1.036037</v>
      </c>
    </row>
    <row r="967" ht="15.75" customHeight="1" s="201">
      <c r="A967" s="1" t="n">
        <v>26158033</v>
      </c>
      <c r="B967" s="1" t="inlineStr">
        <is>
          <t>Tilapia, coated, fried, no added fat (Includes fried, NS as to coating; mojarra)</t>
        </is>
      </c>
      <c r="C967" s="1" t="n">
        <v>3</v>
      </c>
      <c r="D967" s="1" t="inlineStr">
        <is>
          <t>Original FNDDS recipe</t>
        </is>
      </c>
      <c r="E967" s="1" t="inlineStr">
        <is>
          <t>Base</t>
        </is>
      </c>
      <c r="F967" s="1" t="n">
        <v>1.181416</v>
      </c>
    </row>
    <row r="968" ht="15.75" customHeight="1" s="201">
      <c r="A968" s="1" t="n">
        <v>26158034</v>
      </c>
      <c r="B968" s="1" t="inlineStr">
        <is>
          <t>Tilapia, coated, fried, made with cooking spray (Includes fried, NS as to coating; mojarra)</t>
        </is>
      </c>
      <c r="C968" s="1" t="n">
        <v>3</v>
      </c>
      <c r="D968" s="1" t="inlineStr">
        <is>
          <t>Original FNDDS recipe</t>
        </is>
      </c>
      <c r="E968" s="1" t="inlineStr">
        <is>
          <t>Base</t>
        </is>
      </c>
      <c r="F968" s="1" t="n">
        <v>1.184263</v>
      </c>
    </row>
    <row r="969" ht="15.75" customHeight="1" s="201">
      <c r="A969" s="1" t="n">
        <v>26158050</v>
      </c>
      <c r="B969" s="1" t="inlineStr">
        <is>
          <t>Tilapia, steamed or poached (Includes mojarra)</t>
        </is>
      </c>
      <c r="C969" s="1" t="n">
        <v>2</v>
      </c>
      <c r="D969" s="1" t="inlineStr">
        <is>
          <t>Links to altEC</t>
        </is>
      </c>
      <c r="E969" s="1" t="inlineStr">
        <is>
          <t>Base</t>
        </is>
      </c>
      <c r="F969" s="1" t="n">
        <v>1.313921</v>
      </c>
    </row>
    <row r="970" ht="15.75" customHeight="1" s="201">
      <c r="A970" s="1" t="n">
        <v>26205110</v>
      </c>
      <c r="B970" s="1" t="inlineStr">
        <is>
          <t>Octopus, cooked, NS as to cooking method</t>
        </is>
      </c>
      <c r="C970" s="1" t="n">
        <v>1</v>
      </c>
      <c r="D970" s="1" t="inlineStr">
        <is>
          <t>Links to FNDDS</t>
        </is>
      </c>
      <c r="E970" s="1" t="inlineStr">
        <is>
          <t>Base</t>
        </is>
      </c>
      <c r="F970" s="1" t="n">
        <v>1.215063</v>
      </c>
    </row>
    <row r="971" ht="15.75" customHeight="1" s="201">
      <c r="A971" s="1" t="n">
        <v>26205160</v>
      </c>
      <c r="B971" s="1" t="inlineStr">
        <is>
          <t>Octopus, steamed</t>
        </is>
      </c>
      <c r="C971" s="1" t="n">
        <v>1</v>
      </c>
      <c r="D971" s="1" t="inlineStr">
        <is>
          <t>Links to FNDDS</t>
        </is>
      </c>
      <c r="E971" s="1" t="inlineStr">
        <is>
          <t>Base</t>
        </is>
      </c>
      <c r="F971" s="1" t="n">
        <v>2.468446</v>
      </c>
    </row>
    <row r="972" ht="15.75" customHeight="1" s="201">
      <c r="A972" s="1" t="n">
        <v>26211100</v>
      </c>
      <c r="B972" s="1" t="inlineStr">
        <is>
          <t>Roe, sturgeon (Includes caviar)</t>
        </is>
      </c>
      <c r="C972" s="1" t="n">
        <v>1</v>
      </c>
      <c r="D972" s="1" t="inlineStr">
        <is>
          <t>Links to FNDDS</t>
        </is>
      </c>
      <c r="E972" s="1" t="inlineStr">
        <is>
          <t>Base</t>
        </is>
      </c>
      <c r="F972" s="1" t="n">
        <v>12.283283</v>
      </c>
    </row>
    <row r="973" ht="15.75" customHeight="1" s="201">
      <c r="A973" s="1" t="n">
        <v>26213120</v>
      </c>
      <c r="B973" s="1" t="inlineStr">
        <is>
          <t>Squid, baked or broiled, fat added (Includes sauteed; cuttlefish; calamari; fried with no coating; NS as to fat)</t>
        </is>
      </c>
      <c r="C973" s="1" t="n">
        <v>4</v>
      </c>
      <c r="D973" s="1" t="inlineStr">
        <is>
          <t>FNDDS recipe with replaced or modified SR codes</t>
        </is>
      </c>
      <c r="E973" s="1" t="inlineStr">
        <is>
          <t>Base</t>
        </is>
      </c>
      <c r="F973" s="1" t="n">
        <v>2.169802</v>
      </c>
    </row>
    <row r="974" ht="15.75" customHeight="1" s="201">
      <c r="A974" s="1" t="n">
        <v>26213140</v>
      </c>
      <c r="B974" s="1" t="inlineStr">
        <is>
          <t>Squid, coated, fried (Includes cuttlefish; calamari; fried, NS as to coating)</t>
        </is>
      </c>
      <c r="C974" s="1" t="n">
        <v>4</v>
      </c>
      <c r="D974" s="1" t="inlineStr">
        <is>
          <t>FNDDS recipe with replaced or modified SR codes</t>
        </is>
      </c>
      <c r="E974" s="1" t="inlineStr">
        <is>
          <t>Base</t>
        </is>
      </c>
      <c r="F974" s="1" t="n">
        <v>1.747092</v>
      </c>
    </row>
    <row r="975" ht="15.75" customHeight="1" s="201">
      <c r="A975" s="1" t="n">
        <v>26213160</v>
      </c>
      <c r="B975" s="1" t="inlineStr">
        <is>
          <t>Squid, steamed or boiled (Includes cuttlefish; calamari)</t>
        </is>
      </c>
      <c r="C975" s="1" t="n">
        <v>1</v>
      </c>
      <c r="D975" s="1" t="inlineStr">
        <is>
          <t>Links to FNDDS</t>
        </is>
      </c>
      <c r="E975" s="1" t="inlineStr">
        <is>
          <t>Base</t>
        </is>
      </c>
      <c r="F975" s="1" t="n">
        <v>1.366583</v>
      </c>
    </row>
    <row r="976" ht="15.75" customHeight="1" s="201">
      <c r="A976" s="1" t="n">
        <v>26213190</v>
      </c>
      <c r="B976" s="1" t="inlineStr">
        <is>
          <t>Squid, canned (Includes calamares en su tinta, squid in its own ink)</t>
        </is>
      </c>
      <c r="C976" s="1" t="n">
        <v>1</v>
      </c>
      <c r="D976" s="1" t="inlineStr">
        <is>
          <t>Links to FNDDS</t>
        </is>
      </c>
      <c r="E976" s="1" t="inlineStr">
        <is>
          <t>Base</t>
        </is>
      </c>
      <c r="F976" s="1" t="n">
        <v>2.475728</v>
      </c>
    </row>
    <row r="977" ht="15.75" customHeight="1" s="201">
      <c r="A977" s="1" t="n">
        <v>26215120</v>
      </c>
      <c r="B977" s="1" t="inlineStr">
        <is>
          <t>Turtle, cooked, NS as to cooking method (Includes terrapin)</t>
        </is>
      </c>
      <c r="C977" s="1" t="n">
        <v>4</v>
      </c>
      <c r="D977" s="1" t="inlineStr">
        <is>
          <t>FNDDS recipe with replaced or modified SR codes</t>
        </is>
      </c>
      <c r="E977" s="1" t="inlineStr">
        <is>
          <t>Base</t>
        </is>
      </c>
      <c r="F977" s="1" t="n">
        <v>15.645947</v>
      </c>
    </row>
    <row r="978" ht="15.75" customHeight="1" s="201">
      <c r="A978" s="1" t="n">
        <v>26303110</v>
      </c>
      <c r="B978" s="1" t="inlineStr">
        <is>
          <t>Clams, cooked, NS as to cooking method</t>
        </is>
      </c>
      <c r="C978" s="1" t="n">
        <v>2</v>
      </c>
      <c r="D978" s="1" t="inlineStr">
        <is>
          <t>Links to altEC</t>
        </is>
      </c>
      <c r="E978" s="1" t="inlineStr">
        <is>
          <t>Base</t>
        </is>
      </c>
      <c r="F978" s="1" t="n">
        <v>3.541951</v>
      </c>
    </row>
    <row r="979" ht="15.75" customHeight="1" s="201">
      <c r="A979" s="1" t="n">
        <v>26303120</v>
      </c>
      <c r="B979" s="1" t="inlineStr">
        <is>
          <t>Clams, baked or broiled, fat added (Includes sauteed; fried with no coating; NS as to fat)</t>
        </is>
      </c>
      <c r="C979" s="1" t="n">
        <v>2</v>
      </c>
      <c r="D979" s="1" t="inlineStr">
        <is>
          <t>Links to altEC</t>
        </is>
      </c>
      <c r="E979" s="1" t="inlineStr">
        <is>
          <t>Base</t>
        </is>
      </c>
      <c r="F979" s="1" t="n">
        <v>5.12996</v>
      </c>
    </row>
    <row r="980" ht="15.75" customHeight="1" s="201">
      <c r="A980" s="1" t="n">
        <v>26303140</v>
      </c>
      <c r="B980" s="1" t="inlineStr">
        <is>
          <t>Clams, coated, fried (Includes baked; fried, NS as to coating)</t>
        </is>
      </c>
      <c r="C980" s="1" t="n">
        <v>1</v>
      </c>
      <c r="D980" s="1" t="inlineStr">
        <is>
          <t>Links to FNDDS</t>
        </is>
      </c>
      <c r="E980" s="1" t="inlineStr">
        <is>
          <t>Base</t>
        </is>
      </c>
      <c r="F980" s="1" t="n">
        <v>1.980956</v>
      </c>
    </row>
    <row r="981" ht="15.75" customHeight="1" s="201">
      <c r="A981" s="1" t="n">
        <v>26303160</v>
      </c>
      <c r="B981" s="1" t="inlineStr">
        <is>
          <t>Clams, steamed or boiled</t>
        </is>
      </c>
      <c r="C981" s="1" t="n">
        <v>2</v>
      </c>
      <c r="D981" s="1" t="inlineStr">
        <is>
          <t>Links to altEC</t>
        </is>
      </c>
      <c r="E981" s="1" t="inlineStr">
        <is>
          <t>Base</t>
        </is>
      </c>
      <c r="F981" s="1" t="n">
        <v>5.206822</v>
      </c>
    </row>
    <row r="982" ht="15.75" customHeight="1" s="201">
      <c r="A982" s="1" t="n">
        <v>26305110</v>
      </c>
      <c r="B982" s="1" t="inlineStr">
        <is>
          <t>Crab, cooked, NS as to cooking method</t>
        </is>
      </c>
      <c r="C982" s="1" t="n">
        <v>2</v>
      </c>
      <c r="D982" s="1" t="inlineStr">
        <is>
          <t>Links to altEC</t>
        </is>
      </c>
      <c r="E982" s="1" t="inlineStr">
        <is>
          <t>Base</t>
        </is>
      </c>
      <c r="F982" s="1" t="n">
        <v>7.449015</v>
      </c>
    </row>
    <row r="983" ht="15.75" customHeight="1" s="201">
      <c r="A983" s="1" t="n">
        <v>26305120</v>
      </c>
      <c r="B983" s="1" t="inlineStr">
        <is>
          <t>Crab, baked or broiled, fat added (Includes sauteed; fried with no coating; NS as to fat)</t>
        </is>
      </c>
      <c r="C983" s="1" t="n">
        <v>2</v>
      </c>
      <c r="D983" s="1" t="inlineStr">
        <is>
          <t>Links to altEC</t>
        </is>
      </c>
      <c r="E983" s="1" t="inlineStr">
        <is>
          <t>Base</t>
        </is>
      </c>
      <c r="F983" s="1" t="n">
        <v>10.272624</v>
      </c>
    </row>
    <row r="984" ht="15.75" customHeight="1" s="201">
      <c r="A984" s="1" t="n">
        <v>26305130</v>
      </c>
      <c r="B984" s="1" t="inlineStr">
        <is>
          <t>Crab, coated, baked or broiled, fat added (Includes NS as to fat)</t>
        </is>
      </c>
      <c r="C984" s="1" t="n">
        <v>1</v>
      </c>
      <c r="D984" s="1" t="inlineStr">
        <is>
          <t>Links to FNDDS</t>
        </is>
      </c>
      <c r="E984" s="1" t="inlineStr">
        <is>
          <t>Base</t>
        </is>
      </c>
      <c r="F984" s="1" t="n">
        <v>1.679875</v>
      </c>
    </row>
    <row r="985" ht="15.75" customHeight="1" s="201">
      <c r="A985" s="1" t="n">
        <v>26305160</v>
      </c>
      <c r="B985" s="1" t="inlineStr">
        <is>
          <t>Crab, hard shell, steamed (Includes boiled)</t>
        </is>
      </c>
      <c r="C985" s="1" t="n">
        <v>2</v>
      </c>
      <c r="D985" s="1" t="inlineStr">
        <is>
          <t>Links to altEC</t>
        </is>
      </c>
      <c r="E985" s="1" t="inlineStr">
        <is>
          <t>Base</t>
        </is>
      </c>
      <c r="F985" s="1" t="n">
        <v>7.449015</v>
      </c>
    </row>
    <row r="986" ht="15.75" customHeight="1" s="201">
      <c r="A986" s="1" t="n">
        <v>26309160</v>
      </c>
      <c r="B986" s="1" t="inlineStr">
        <is>
          <t>Crayfish, boiled or steamed (Includes crawfish)</t>
        </is>
      </c>
      <c r="C986" s="1" t="n">
        <v>1</v>
      </c>
      <c r="D986" s="1" t="inlineStr">
        <is>
          <t>Links to FNDDS</t>
        </is>
      </c>
      <c r="E986" s="1" t="inlineStr">
        <is>
          <t>Base</t>
        </is>
      </c>
      <c r="F986" s="1" t="n">
        <v>1.85421</v>
      </c>
    </row>
    <row r="987" ht="15.75" customHeight="1" s="201">
      <c r="A987" s="1" t="n">
        <v>26311110</v>
      </c>
      <c r="B987" s="1" t="inlineStr">
        <is>
          <t>Lobster, cooked, NS as to cooking method (Includes spiny lobster; rock lobster)</t>
        </is>
      </c>
      <c r="C987" s="1" t="n">
        <v>1</v>
      </c>
      <c r="D987" s="1" t="inlineStr">
        <is>
          <t>Links to FNDDS</t>
        </is>
      </c>
      <c r="E987" s="1" t="inlineStr">
        <is>
          <t>Base</t>
        </is>
      </c>
      <c r="F987" s="1" t="n">
        <v>5.0819</v>
      </c>
    </row>
    <row r="988" ht="15.75" customHeight="1" s="201">
      <c r="A988" s="1" t="n">
        <v>26311120</v>
      </c>
      <c r="B988" s="1" t="inlineStr">
        <is>
          <t>Lobster, baked or broiled, fat added (Includes sauteed; fried with no coating; spiny lobster; rock lobster; NS as to fat)</t>
        </is>
      </c>
      <c r="C988" s="1" t="n">
        <v>4</v>
      </c>
      <c r="D988" s="1" t="inlineStr">
        <is>
          <t>FNDDS recipe with replaced or modified SR codes</t>
        </is>
      </c>
      <c r="E988" s="1" t="inlineStr">
        <is>
          <t>Base</t>
        </is>
      </c>
      <c r="F988" s="1" t="n">
        <v>3.053235</v>
      </c>
    </row>
    <row r="989" ht="15.75" customHeight="1" s="201">
      <c r="A989" s="1" t="n">
        <v>26311121</v>
      </c>
      <c r="B989" s="1" t="inlineStr">
        <is>
          <t>Lobster, baked or broiled, no added fat (Includes sauteed; fried with no coating; spiny lobster; rock lobster)</t>
        </is>
      </c>
      <c r="C989" s="1" t="n">
        <v>2</v>
      </c>
      <c r="D989" s="1" t="inlineStr">
        <is>
          <t>Links to altEC</t>
        </is>
      </c>
      <c r="E989" s="1" t="inlineStr">
        <is>
          <t>Base</t>
        </is>
      </c>
      <c r="F989" s="1" t="n">
        <v>5.0819</v>
      </c>
    </row>
    <row r="990" ht="15.75" customHeight="1" s="201">
      <c r="A990" s="1" t="n">
        <v>26311160</v>
      </c>
      <c r="B990" s="1" t="inlineStr">
        <is>
          <t>Lobster, steamed or boiled (Includes spiny lobster; rock lobster)</t>
        </is>
      </c>
      <c r="C990" s="1" t="n">
        <v>2</v>
      </c>
      <c r="D990" s="1" t="inlineStr">
        <is>
          <t>Links to altEC</t>
        </is>
      </c>
      <c r="E990" s="1" t="inlineStr">
        <is>
          <t>Base</t>
        </is>
      </c>
      <c r="F990" s="1" t="n">
        <v>5.0819</v>
      </c>
    </row>
    <row r="991" ht="15.75" customHeight="1" s="201">
      <c r="A991" s="1" t="n">
        <v>26313100</v>
      </c>
      <c r="B991" s="1" t="inlineStr">
        <is>
          <t>Mussels, raw</t>
        </is>
      </c>
      <c r="C991" s="1" t="n">
        <v>1</v>
      </c>
      <c r="D991" s="1" t="inlineStr">
        <is>
          <t>Links to FNDDS</t>
        </is>
      </c>
      <c r="E991" s="1" t="inlineStr">
        <is>
          <t>Base</t>
        </is>
      </c>
      <c r="F991" s="1" t="n">
        <v>1.836111</v>
      </c>
    </row>
    <row r="992" ht="15.75" customHeight="1" s="201">
      <c r="A992" s="1" t="n">
        <v>26313110</v>
      </c>
      <c r="B992" s="1" t="inlineStr">
        <is>
          <t>Mussels, cooked, NS as to cooking method</t>
        </is>
      </c>
      <c r="C992" s="1" t="n">
        <v>2</v>
      </c>
      <c r="D992" s="1" t="inlineStr">
        <is>
          <t>Links to altEC</t>
        </is>
      </c>
      <c r="E992" s="1" t="inlineStr">
        <is>
          <t>Base</t>
        </is>
      </c>
      <c r="F992" s="1" t="n">
        <v>2.408023</v>
      </c>
    </row>
    <row r="993" ht="15.75" customHeight="1" s="201">
      <c r="A993" s="1" t="n">
        <v>26313160</v>
      </c>
      <c r="B993" s="1" t="inlineStr">
        <is>
          <t>Mussels, steamed or poached</t>
        </is>
      </c>
      <c r="C993" s="1" t="n">
        <v>2</v>
      </c>
      <c r="D993" s="1" t="inlineStr">
        <is>
          <t>Links to altEC</t>
        </is>
      </c>
      <c r="E993" s="1" t="inlineStr">
        <is>
          <t>Base</t>
        </is>
      </c>
      <c r="F993" s="1" t="n">
        <v>2.408023</v>
      </c>
    </row>
    <row r="994" ht="15.75" customHeight="1" s="201">
      <c r="A994" s="1" t="n">
        <v>26315100</v>
      </c>
      <c r="B994" s="1" t="inlineStr">
        <is>
          <t>Oysters, raw</t>
        </is>
      </c>
      <c r="C994" s="1" t="n">
        <v>1</v>
      </c>
      <c r="D994" s="1" t="inlineStr">
        <is>
          <t>Links to FNDDS</t>
        </is>
      </c>
      <c r="E994" s="1" t="inlineStr">
        <is>
          <t>Base</t>
        </is>
      </c>
      <c r="F994" s="1" t="n">
        <v>2.085569</v>
      </c>
    </row>
    <row r="995" ht="15.75" customHeight="1" s="201">
      <c r="A995" s="1" t="n">
        <v>26315110</v>
      </c>
      <c r="B995" s="1" t="inlineStr">
        <is>
          <t>Oysters, cooked, NS as to cooking method</t>
        </is>
      </c>
      <c r="C995" s="1" t="n">
        <v>2</v>
      </c>
      <c r="D995" s="1" t="inlineStr">
        <is>
          <t>Links to altEC</t>
        </is>
      </c>
      <c r="E995" s="1" t="inlineStr">
        <is>
          <t>Base</t>
        </is>
      </c>
      <c r="F995" s="1" t="n">
        <v>2.66577</v>
      </c>
    </row>
    <row r="996" ht="15.75" customHeight="1" s="201">
      <c r="A996" s="1" t="n">
        <v>26315130</v>
      </c>
      <c r="B996" s="1" t="inlineStr">
        <is>
          <t>Oysters, steamed</t>
        </is>
      </c>
      <c r="C996" s="1" t="n">
        <v>2</v>
      </c>
      <c r="D996" s="1" t="inlineStr">
        <is>
          <t>Links to altEC</t>
        </is>
      </c>
      <c r="E996" s="1" t="inlineStr">
        <is>
          <t>Base</t>
        </is>
      </c>
      <c r="F996" s="1" t="n">
        <v>2.66577</v>
      </c>
    </row>
    <row r="997" ht="15.75" customHeight="1" s="201">
      <c r="A997" s="1" t="n">
        <v>26315140</v>
      </c>
      <c r="B997" s="1" t="inlineStr">
        <is>
          <t>Oysters, coated, fried (Includes fried, NS as to coating)</t>
        </is>
      </c>
      <c r="C997" s="1" t="n">
        <v>4</v>
      </c>
      <c r="D997" s="1" t="inlineStr">
        <is>
          <t>FNDDS recipe with replaced or modified SR codes</t>
        </is>
      </c>
      <c r="E997" s="1" t="inlineStr">
        <is>
          <t>Base</t>
        </is>
      </c>
      <c r="F997" s="1" t="n">
        <v>2.00828</v>
      </c>
    </row>
    <row r="998" ht="15.75" customHeight="1" s="201">
      <c r="A998" s="1" t="n">
        <v>26317110</v>
      </c>
      <c r="B998" s="1" t="inlineStr">
        <is>
          <t>Scallops, cooked, NS as to cooking method</t>
        </is>
      </c>
      <c r="C998" s="1" t="n">
        <v>2</v>
      </c>
      <c r="D998" s="1" t="inlineStr">
        <is>
          <t>Links to altEC</t>
        </is>
      </c>
      <c r="E998" s="1" t="inlineStr">
        <is>
          <t>Base</t>
        </is>
      </c>
      <c r="F998" s="1" t="n">
        <v>3.402135</v>
      </c>
    </row>
    <row r="999" ht="15.75" customHeight="1" s="201">
      <c r="A999" s="1" t="n">
        <v>26317120</v>
      </c>
      <c r="B999" s="1" t="inlineStr">
        <is>
          <t>Scallops, baked or broiled, fat added (Includes sauteed; stir fry; fried with no coating; NS as to fat)</t>
        </is>
      </c>
      <c r="C999" s="1" t="n">
        <v>2</v>
      </c>
      <c r="D999" s="1" t="inlineStr">
        <is>
          <t>Links to altEC</t>
        </is>
      </c>
      <c r="E999" s="1" t="inlineStr">
        <is>
          <t>Base</t>
        </is>
      </c>
      <c r="F999" s="1" t="n">
        <v>3.402135</v>
      </c>
    </row>
    <row r="1000" ht="15.75" customHeight="1" s="201">
      <c r="A1000" s="1" t="n">
        <v>26317121</v>
      </c>
      <c r="B1000" s="1" t="inlineStr">
        <is>
          <t>Scallops, baked or broiled, no added fat (Includes sauteed; stir fry; fried with no coating)</t>
        </is>
      </c>
      <c r="C1000" s="1" t="n">
        <v>2</v>
      </c>
      <c r="D1000" s="1" t="inlineStr">
        <is>
          <t>Links to altEC</t>
        </is>
      </c>
      <c r="E1000" s="1" t="inlineStr">
        <is>
          <t>Base</t>
        </is>
      </c>
      <c r="F1000" s="1" t="n">
        <v>3.402135</v>
      </c>
    </row>
    <row r="1001" ht="15.75" customHeight="1" s="201">
      <c r="A1001" s="1" t="n">
        <v>26317140</v>
      </c>
      <c r="B1001" s="1" t="inlineStr">
        <is>
          <t>Scallops, coated, fried (Includes fried, NS as to coating)</t>
        </is>
      </c>
      <c r="C1001" s="1" t="n">
        <v>2</v>
      </c>
      <c r="D1001" s="1" t="inlineStr">
        <is>
          <t>Links to altEC</t>
        </is>
      </c>
      <c r="E1001" s="1" t="inlineStr">
        <is>
          <t>Base</t>
        </is>
      </c>
      <c r="F1001" s="1" t="n">
        <v>1.819217</v>
      </c>
    </row>
    <row r="1002" ht="15.75" customHeight="1" s="201">
      <c r="A1002" s="1" t="n">
        <v>26319110</v>
      </c>
      <c r="B1002" s="1" t="inlineStr">
        <is>
          <t>Shrimp, cooked, NS as to cooking method (Includes prawn)</t>
        </is>
      </c>
      <c r="C1002" s="1" t="n">
        <v>4</v>
      </c>
      <c r="D1002" s="1" t="inlineStr">
        <is>
          <t>FNDDS recipe with replaced or modified SR codes</t>
        </is>
      </c>
      <c r="E1002" s="1" t="inlineStr">
        <is>
          <t>Base</t>
        </is>
      </c>
      <c r="F1002" s="1" t="n">
        <v>2.368521</v>
      </c>
    </row>
    <row r="1003" ht="15.75" customHeight="1" s="201">
      <c r="A1003" s="1" t="n">
        <v>26319120</v>
      </c>
      <c r="B1003" s="1" t="inlineStr">
        <is>
          <t>Shrimp, baked or broiled, made with oil (Includes sauteed; prawn; stir fry; fried with no coating; NS as to fat; NS as to fat type)</t>
        </is>
      </c>
      <c r="C1003" s="1" t="n">
        <v>4</v>
      </c>
      <c r="D1003" s="1" t="inlineStr">
        <is>
          <t>FNDDS recipe with replaced or modified SR codes</t>
        </is>
      </c>
      <c r="E1003" s="1" t="inlineStr">
        <is>
          <t>Base</t>
        </is>
      </c>
      <c r="F1003" s="1" t="n">
        <v>3.00679</v>
      </c>
    </row>
    <row r="1004" ht="15.75" customHeight="1" s="201">
      <c r="A1004" s="1" t="n">
        <v>26319121</v>
      </c>
      <c r="B1004" s="1" t="inlineStr">
        <is>
          <t>Shrimp, baked or broiled, made with butter (Includes sauteed; stir fry; fried with no coating; made with animal fat or meat drippings)</t>
        </is>
      </c>
      <c r="C1004" s="1" t="n">
        <v>4</v>
      </c>
      <c r="D1004" s="1" t="inlineStr">
        <is>
          <t>FNDDS recipe with replaced or modified SR codes</t>
        </is>
      </c>
      <c r="E1004" s="1" t="inlineStr">
        <is>
          <t>Base</t>
        </is>
      </c>
      <c r="F1004" s="1" t="n">
        <v>3.023355</v>
      </c>
    </row>
    <row r="1005" ht="15.75" customHeight="1" s="201">
      <c r="A1005" s="1" t="n">
        <v>26319123</v>
      </c>
      <c r="B1005" s="1" t="inlineStr">
        <is>
          <t>Shrimp, baked or broiled, no added fat (Includes sauteed; stir fry; fried with no coating)</t>
        </is>
      </c>
      <c r="C1005" s="1" t="n">
        <v>4</v>
      </c>
      <c r="D1005" s="1" t="inlineStr">
        <is>
          <t>FNDDS recipe with replaced or modified SR codes</t>
        </is>
      </c>
      <c r="E1005" s="1" t="inlineStr">
        <is>
          <t>Base</t>
        </is>
      </c>
      <c r="F1005" s="1" t="n">
        <v>3.082098</v>
      </c>
    </row>
    <row r="1006" ht="15.75" customHeight="1" s="201">
      <c r="A1006" s="1" t="n">
        <v>26319130</v>
      </c>
      <c r="B1006" s="1" t="inlineStr">
        <is>
          <t>Shrimp, steamed or boiled (Includes prawn)</t>
        </is>
      </c>
      <c r="C1006" s="1" t="n">
        <v>2</v>
      </c>
      <c r="D1006" s="1" t="inlineStr">
        <is>
          <t>Links to altEC</t>
        </is>
      </c>
      <c r="E1006" s="1" t="inlineStr">
        <is>
          <t>Base</t>
        </is>
      </c>
      <c r="F1006" s="1" t="n">
        <v>3.299288</v>
      </c>
    </row>
    <row r="1007" ht="15.75" customHeight="1" s="201">
      <c r="A1007" s="1" t="n">
        <v>26319140</v>
      </c>
      <c r="B1007" s="1" t="inlineStr">
        <is>
          <t>Shrimp, coated, fried, made with oil (Includes fried, NS as to coating; prawn; fried shrimp; shrimp tempura; NS as to fat; NS as to fat type)</t>
        </is>
      </c>
      <c r="C1007" s="1" t="n">
        <v>4</v>
      </c>
      <c r="D1007" s="1" t="inlineStr">
        <is>
          <t>FNDDS recipe with replaced or modified SR codes</t>
        </is>
      </c>
      <c r="E1007" s="1" t="inlineStr">
        <is>
          <t>Base</t>
        </is>
      </c>
      <c r="F1007" s="1" t="n">
        <v>2.368521</v>
      </c>
    </row>
    <row r="1008" ht="15.75" customHeight="1" s="201">
      <c r="A1008" s="1" t="n">
        <v>26319143</v>
      </c>
      <c r="B1008" s="1" t="inlineStr">
        <is>
          <t>Shrimp, coated, fried, no added fat (Includes fried, NS as to coating; prawn; fried shrimp; shrimp tempura)</t>
        </is>
      </c>
      <c r="C1008" s="1" t="n">
        <v>3</v>
      </c>
      <c r="D1008" s="1" t="inlineStr">
        <is>
          <t>Original FNDDS recipe</t>
        </is>
      </c>
      <c r="E1008" s="1" t="inlineStr">
        <is>
          <t>Base</t>
        </is>
      </c>
      <c r="F1008" s="1" t="n">
        <v>2.58009</v>
      </c>
    </row>
    <row r="1009" ht="15.75" customHeight="1" s="201">
      <c r="A1009" s="1" t="n">
        <v>26319145</v>
      </c>
      <c r="B1009" s="1" t="inlineStr">
        <is>
          <t>Shrimp, coated, fried, from fast food / restaurant (Includes fast food shrimp, NS as to coated or fried; prawn; fried shrimp; Arthur Treacher's shrimp; shrimp tempura)</t>
        </is>
      </c>
      <c r="C1009" s="1" t="n">
        <v>2</v>
      </c>
      <c r="D1009" s="1" t="inlineStr">
        <is>
          <t>Links to altEC</t>
        </is>
      </c>
      <c r="E1009" s="1" t="inlineStr">
        <is>
          <t>Base</t>
        </is>
      </c>
      <c r="F1009" s="1" t="n">
        <v>2.045931</v>
      </c>
    </row>
    <row r="1010" ht="15.75" customHeight="1" s="201">
      <c r="A1010" s="1" t="n">
        <v>26319160</v>
      </c>
      <c r="B1010" s="1" t="inlineStr">
        <is>
          <t>Shrimp, coated, baked or broiled, made with oil (Includes prawn; NS as to fat; NS as to fat type)</t>
        </is>
      </c>
      <c r="C1010" s="1" t="n">
        <v>4</v>
      </c>
      <c r="D1010" s="1" t="inlineStr">
        <is>
          <t>FNDDS recipe with replaced or modified SR codes</t>
        </is>
      </c>
      <c r="E1010" s="1" t="inlineStr">
        <is>
          <t>Base</t>
        </is>
      </c>
      <c r="F1010" s="1" t="n">
        <v>2.35953</v>
      </c>
    </row>
    <row r="1011" ht="15.75" customHeight="1" s="201">
      <c r="A1011" s="1" t="n">
        <v>26319163</v>
      </c>
      <c r="B1011" s="1" t="inlineStr">
        <is>
          <t>Shrimp, coated, baked or broiled, no added fat (Includes prawn)</t>
        </is>
      </c>
      <c r="C1011" s="1" t="n">
        <v>4</v>
      </c>
      <c r="D1011" s="1" t="inlineStr">
        <is>
          <t>FNDDS recipe with replaced or modified SR codes</t>
        </is>
      </c>
      <c r="E1011" s="1" t="inlineStr">
        <is>
          <t>Base</t>
        </is>
      </c>
      <c r="F1011" s="1" t="n">
        <v>2.445885</v>
      </c>
    </row>
    <row r="1012" ht="15.75" customHeight="1" s="201">
      <c r="A1012" s="1" t="n">
        <v>26319170</v>
      </c>
      <c r="B1012" s="1" t="inlineStr">
        <is>
          <t>Shrimp, dried</t>
        </is>
      </c>
      <c r="C1012" s="1" t="n">
        <v>2</v>
      </c>
      <c r="D1012" s="1" t="inlineStr">
        <is>
          <t>Links to altEC</t>
        </is>
      </c>
      <c r="E1012" s="1" t="inlineStr">
        <is>
          <t>Base</t>
        </is>
      </c>
      <c r="F1012" s="1" t="n">
        <v>4.161635</v>
      </c>
    </row>
    <row r="1013" ht="15.75" customHeight="1" s="201">
      <c r="A1013" s="1" t="n">
        <v>26321110</v>
      </c>
      <c r="B1013" s="1" t="inlineStr">
        <is>
          <t>Snails, cooked, NS as to cooking method</t>
        </is>
      </c>
      <c r="C1013" s="1" t="n">
        <v>2</v>
      </c>
      <c r="D1013" s="1" t="inlineStr">
        <is>
          <t>Links to altEC</t>
        </is>
      </c>
      <c r="E1013" s="1" t="inlineStr">
        <is>
          <t>Base</t>
        </is>
      </c>
      <c r="F1013" s="1" t="n">
        <v>3.040584</v>
      </c>
    </row>
    <row r="1014" ht="15.75" customHeight="1" s="201">
      <c r="A1014" s="1" t="n">
        <v>27111000</v>
      </c>
      <c r="B1014" s="1" t="inlineStr">
        <is>
          <t>Beef with tomato-based sauce (Includes beef with tomatoes)</t>
        </is>
      </c>
      <c r="C1014" s="1" t="n">
        <v>4</v>
      </c>
      <c r="D1014" s="1" t="inlineStr">
        <is>
          <t>FNDDS recipe with replaced or modified SR codes</t>
        </is>
      </c>
      <c r="E1014" s="1" t="inlineStr">
        <is>
          <t>Base</t>
        </is>
      </c>
      <c r="F1014" s="1" t="n">
        <v>1.403965</v>
      </c>
    </row>
    <row r="1015" ht="15.75" customHeight="1" s="201">
      <c r="A1015" s="1" t="n">
        <v>27111100</v>
      </c>
      <c r="B1015" s="1" t="inlineStr">
        <is>
          <t>Beef goulash</t>
        </is>
      </c>
      <c r="C1015" s="1" t="n">
        <v>4</v>
      </c>
      <c r="D1015" s="1" t="inlineStr">
        <is>
          <t>FNDDS recipe with replaced or modified SR codes</t>
        </is>
      </c>
      <c r="E1015" s="1" t="inlineStr">
        <is>
          <t>Base</t>
        </is>
      </c>
      <c r="F1015" s="1" t="n">
        <v>0.841703</v>
      </c>
    </row>
    <row r="1016" ht="15.75" customHeight="1" s="201">
      <c r="A1016" s="1" t="n">
        <v>27111300</v>
      </c>
      <c r="B1016" s="1" t="inlineStr">
        <is>
          <t>Beef stew, no potatoes, tomato-based sauce, Mexican style (Includes Carne guisada sin papas)</t>
        </is>
      </c>
      <c r="C1016" s="1" t="n">
        <v>4</v>
      </c>
      <c r="D1016" s="1" t="inlineStr">
        <is>
          <t>FNDDS recipe with replaced or modified SR codes</t>
        </is>
      </c>
      <c r="E1016" s="1" t="inlineStr">
        <is>
          <t>Base</t>
        </is>
      </c>
      <c r="F1016" s="1" t="n">
        <v>0.917363</v>
      </c>
    </row>
    <row r="1017" ht="15.75" customHeight="1" s="201">
      <c r="A1017" s="1" t="n">
        <v>27111400</v>
      </c>
      <c r="B1017" s="1" t="inlineStr">
        <is>
          <t>Chili con carne, NS as to beans</t>
        </is>
      </c>
      <c r="C1017" s="1" t="n">
        <v>1</v>
      </c>
      <c r="D1017" s="1" t="inlineStr">
        <is>
          <t>Links to FNDDS</t>
        </is>
      </c>
      <c r="E1017" s="1" t="inlineStr">
        <is>
          <t>Base</t>
        </is>
      </c>
      <c r="F1017" s="1" t="n">
        <v>0.811264</v>
      </c>
    </row>
    <row r="1018" ht="15.75" customHeight="1" s="201">
      <c r="A1018" s="1" t="n">
        <v>27111405</v>
      </c>
      <c r="B1018" s="1" t="inlineStr">
        <is>
          <t>Chili con carne with beans, from restaurant (Includes fast food; other place)</t>
        </is>
      </c>
      <c r="C1018" s="1" t="n">
        <v>2</v>
      </c>
      <c r="D1018" s="1" t="inlineStr">
        <is>
          <t>Links to altEC</t>
        </is>
      </c>
      <c r="E1018" s="1" t="inlineStr">
        <is>
          <t>Base</t>
        </is>
      </c>
      <c r="F1018" s="1" t="n">
        <v>0.429912</v>
      </c>
    </row>
    <row r="1019" ht="15.75" customHeight="1" s="201">
      <c r="A1019" s="1" t="n">
        <v>27111406</v>
      </c>
      <c r="B1019" s="1" t="inlineStr">
        <is>
          <t>Chili con carne with beans, home recipe</t>
        </is>
      </c>
      <c r="C1019" s="1" t="n">
        <v>4</v>
      </c>
      <c r="D1019" s="1" t="inlineStr">
        <is>
          <t>FNDDS recipe with replaced or modified SR codes</t>
        </is>
      </c>
      <c r="E1019" s="1" t="inlineStr">
        <is>
          <t>Base</t>
        </is>
      </c>
      <c r="F1019" s="1" t="n">
        <v>0.577941</v>
      </c>
    </row>
    <row r="1020" ht="15.75" customHeight="1" s="201">
      <c r="A1020" s="1" t="n">
        <v>27111407</v>
      </c>
      <c r="B1020" s="1" t="inlineStr">
        <is>
          <t>Chili con carne with beans, canned (Includes microwavable tub; frozen; chili beef soup, regular or chunky style)</t>
        </is>
      </c>
      <c r="C1020" s="1" t="n">
        <v>2</v>
      </c>
      <c r="D1020" s="1" t="inlineStr">
        <is>
          <t>Links to altEC</t>
        </is>
      </c>
      <c r="E1020" s="1" t="inlineStr">
        <is>
          <t>Base</t>
        </is>
      </c>
      <c r="F1020" s="1" t="n">
        <v>0.429912</v>
      </c>
    </row>
    <row r="1021" ht="15.75" customHeight="1" s="201">
      <c r="A1021" s="1" t="n">
        <v>27111410</v>
      </c>
      <c r="B1021" s="1" t="inlineStr">
        <is>
          <t>Chili con carne with beans (Includes kidney beans and hamburger with tomato sauce; chili, NFS)</t>
        </is>
      </c>
      <c r="C1021" s="1" t="n">
        <v>2</v>
      </c>
      <c r="D1021" s="1" t="inlineStr">
        <is>
          <t>Links to altEC</t>
        </is>
      </c>
      <c r="E1021" s="1" t="inlineStr">
        <is>
          <t>Base</t>
        </is>
      </c>
      <c r="F1021" s="1" t="n">
        <v>0.429912</v>
      </c>
    </row>
    <row r="1022" ht="15.75" customHeight="1" s="201">
      <c r="A1022" s="1" t="n">
        <v>27111420</v>
      </c>
      <c r="B1022" s="1" t="inlineStr">
        <is>
          <t>Chili con carne without beans (Includes coney island sauce; chili served on hot dogs, hamburgers or french fries)</t>
        </is>
      </c>
      <c r="C1022" s="1" t="n">
        <v>1</v>
      </c>
      <c r="D1022" s="1" t="inlineStr">
        <is>
          <t>Links to FNDDS</t>
        </is>
      </c>
      <c r="E1022" s="1" t="inlineStr">
        <is>
          <t>Base</t>
        </is>
      </c>
      <c r="F1022" s="1" t="n">
        <v>0.461463</v>
      </c>
    </row>
    <row r="1023" ht="15.75" customHeight="1" s="201">
      <c r="A1023" s="1" t="n">
        <v>27111430</v>
      </c>
      <c r="B1023" s="1" t="inlineStr">
        <is>
          <t>Chili con carne, NS as to beans, with cheese</t>
        </is>
      </c>
      <c r="C1023" s="1" t="n">
        <v>4</v>
      </c>
      <c r="D1023" s="1" t="inlineStr">
        <is>
          <t>FNDDS recipe with replaced or modified SR codes</t>
        </is>
      </c>
      <c r="E1023" s="1" t="inlineStr">
        <is>
          <t>Base</t>
        </is>
      </c>
      <c r="F1023" s="1" t="n">
        <v>0.477047</v>
      </c>
    </row>
    <row r="1024" ht="15.75" customHeight="1" s="201">
      <c r="A1024" s="1" t="n">
        <v>27111440</v>
      </c>
      <c r="B1024" s="1" t="inlineStr">
        <is>
          <t>Chili con carne with beans and cheese</t>
        </is>
      </c>
      <c r="C1024" s="1" t="n">
        <v>4</v>
      </c>
      <c r="D1024" s="1" t="inlineStr">
        <is>
          <t>FNDDS recipe with replaced or modified SR codes</t>
        </is>
      </c>
      <c r="E1024" s="1" t="inlineStr">
        <is>
          <t>Base</t>
        </is>
      </c>
      <c r="F1024" s="1" t="n">
        <v>0.477047</v>
      </c>
    </row>
    <row r="1025" ht="15.75" customHeight="1" s="201">
      <c r="A1025" s="1" t="n">
        <v>27111500</v>
      </c>
      <c r="B1025" s="1" t="inlineStr">
        <is>
          <t>Beef sloppy joe, no bun (Includes Manwich prepared with beef)</t>
        </is>
      </c>
      <c r="C1025" s="1" t="n">
        <v>5</v>
      </c>
      <c r="D1025" s="1" t="inlineStr">
        <is>
          <t>Modified FNDDS recipe</t>
        </is>
      </c>
      <c r="E1025" s="1" t="inlineStr">
        <is>
          <t>Base</t>
        </is>
      </c>
      <c r="F1025" s="1" t="n">
        <v>0.743466</v>
      </c>
    </row>
    <row r="1026" ht="15.75" customHeight="1" s="201">
      <c r="A1026" s="1" t="n">
        <v>27112000</v>
      </c>
      <c r="B1026" s="1" t="inlineStr">
        <is>
          <t>Beef with gravy (Includes country style)</t>
        </is>
      </c>
      <c r="C1026" s="1" t="n">
        <v>4</v>
      </c>
      <c r="D1026" s="1" t="inlineStr">
        <is>
          <t>FNDDS recipe with replaced or modified SR codes</t>
        </is>
      </c>
      <c r="E1026" s="1" t="inlineStr">
        <is>
          <t>Base</t>
        </is>
      </c>
      <c r="F1026" s="1" t="n">
        <v>1.479585</v>
      </c>
    </row>
    <row r="1027" ht="15.75" customHeight="1" s="201">
      <c r="A1027" s="1" t="n">
        <v>27112010</v>
      </c>
      <c r="B1027" s="1" t="inlineStr">
        <is>
          <t>Salisbury steak with gravy (Includes Banquet Salisbury Steak with Gravy)</t>
        </is>
      </c>
      <c r="C1027" s="1" t="n">
        <v>1</v>
      </c>
      <c r="D1027" s="1" t="inlineStr">
        <is>
          <t>Links to FNDDS</t>
        </is>
      </c>
      <c r="E1027" s="1" t="inlineStr">
        <is>
          <t>Base</t>
        </is>
      </c>
      <c r="F1027" s="1" t="n">
        <v>0.959384</v>
      </c>
    </row>
    <row r="1028" ht="15.75" customHeight="1" s="201">
      <c r="A1028" s="1" t="n">
        <v>27113100</v>
      </c>
      <c r="B1028" s="1" t="inlineStr">
        <is>
          <t>Beef stroganoff</t>
        </is>
      </c>
      <c r="C1028" s="1" t="n">
        <v>1</v>
      </c>
      <c r="D1028" s="1" t="inlineStr">
        <is>
          <t>Links to FNDDS</t>
        </is>
      </c>
      <c r="E1028" s="1" t="inlineStr">
        <is>
          <t>Base</t>
        </is>
      </c>
      <c r="F1028" s="1" t="n">
        <v>1.813188</v>
      </c>
    </row>
    <row r="1029" ht="15.75" customHeight="1" s="201">
      <c r="A1029" s="1" t="n">
        <v>27113200</v>
      </c>
      <c r="B1029" s="1" t="inlineStr">
        <is>
          <t>Creamed chipped or dried beef</t>
        </is>
      </c>
      <c r="C1029" s="1" t="n">
        <v>1</v>
      </c>
      <c r="D1029" s="1" t="inlineStr">
        <is>
          <t>Links to FNDDS</t>
        </is>
      </c>
      <c r="E1029" s="1" t="inlineStr">
        <is>
          <t>Base</t>
        </is>
      </c>
      <c r="F1029" s="1" t="n">
        <v>0.939079</v>
      </c>
    </row>
    <row r="1030" ht="15.75" customHeight="1" s="201">
      <c r="A1030" s="1" t="n">
        <v>27113300</v>
      </c>
      <c r="B1030" s="1" t="inlineStr">
        <is>
          <t>Swedish meatballs with cream or white sauce</t>
        </is>
      </c>
      <c r="C1030" s="1" t="n">
        <v>1</v>
      </c>
      <c r="D1030" s="1" t="inlineStr">
        <is>
          <t>Links to FNDDS</t>
        </is>
      </c>
      <c r="E1030" s="1" t="inlineStr">
        <is>
          <t>Base</t>
        </is>
      </c>
      <c r="F1030" s="1" t="n">
        <v>0.691516</v>
      </c>
    </row>
    <row r="1031" ht="15.75" customHeight="1" s="201">
      <c r="A1031" s="1" t="n">
        <v>27114000</v>
      </c>
      <c r="B1031" s="1" t="inlineStr">
        <is>
          <t>Beef with mushroom sauce</t>
        </is>
      </c>
      <c r="C1031" s="1" t="n">
        <v>4</v>
      </c>
      <c r="D1031" s="1" t="inlineStr">
        <is>
          <t>FNDDS recipe with replaced or modified SR codes</t>
        </is>
      </c>
      <c r="E1031" s="1" t="inlineStr">
        <is>
          <t>Base</t>
        </is>
      </c>
      <c r="F1031" s="1" t="n">
        <v>1.443447</v>
      </c>
    </row>
    <row r="1032" ht="15.75" customHeight="1" s="201">
      <c r="A1032" s="1" t="n">
        <v>27115000</v>
      </c>
      <c r="B1032" s="1" t="inlineStr">
        <is>
          <t>Beef with soy-based sauce</t>
        </is>
      </c>
      <c r="C1032" s="1" t="n">
        <v>1</v>
      </c>
      <c r="D1032" s="1" t="inlineStr">
        <is>
          <t>Links to FNDDS</t>
        </is>
      </c>
      <c r="E1032" s="1" t="inlineStr">
        <is>
          <t>Base</t>
        </is>
      </c>
      <c r="F1032" s="1" t="n">
        <v>1.191769</v>
      </c>
    </row>
    <row r="1033" ht="15.75" customHeight="1" s="201">
      <c r="A1033" s="1" t="n">
        <v>27115100</v>
      </c>
      <c r="B1033" s="1" t="inlineStr">
        <is>
          <t>Steak teriyaki (Includes soy-based sauce)</t>
        </is>
      </c>
      <c r="C1033" s="1" t="n">
        <v>1</v>
      </c>
      <c r="D1033" s="1" t="inlineStr">
        <is>
          <t>Links to FNDDS</t>
        </is>
      </c>
      <c r="E1033" s="1" t="inlineStr">
        <is>
          <t>Base</t>
        </is>
      </c>
      <c r="F1033" s="1" t="n">
        <v>1.990335</v>
      </c>
    </row>
    <row r="1034" ht="15.75" customHeight="1" s="201">
      <c r="A1034" s="1" t="n">
        <v>27116100</v>
      </c>
      <c r="B1034" s="1" t="inlineStr">
        <is>
          <t>Beef curry (Includes lamb; mutton; goat; pork)</t>
        </is>
      </c>
      <c r="C1034" s="1" t="n">
        <v>4</v>
      </c>
      <c r="D1034" s="1" t="inlineStr">
        <is>
          <t>FNDDS recipe with replaced or modified SR codes</t>
        </is>
      </c>
      <c r="E1034" s="1" t="inlineStr">
        <is>
          <t>Base</t>
        </is>
      </c>
      <c r="F1034" s="1" t="n">
        <v>0.966477</v>
      </c>
    </row>
    <row r="1035" ht="15.75" customHeight="1" s="201">
      <c r="A1035" s="1" t="n">
        <v>27116110</v>
      </c>
      <c r="B1035" s="1" t="inlineStr">
        <is>
          <t>Beef curry with rice (Includes lamb; mutton; goat; pork)</t>
        </is>
      </c>
      <c r="C1035" s="1" t="n">
        <v>4</v>
      </c>
      <c r="D1035" s="1" t="inlineStr">
        <is>
          <t>FNDDS recipe with replaced or modified SR codes</t>
        </is>
      </c>
      <c r="E1035" s="1" t="inlineStr">
        <is>
          <t>Base</t>
        </is>
      </c>
      <c r="F1035" s="1" t="n">
        <v>0.61725</v>
      </c>
    </row>
    <row r="1036" ht="15.75" customHeight="1" s="201">
      <c r="A1036" s="1" t="n">
        <v>27116200</v>
      </c>
      <c r="B1036" s="1" t="inlineStr">
        <is>
          <t>Beef with barbecue sauce</t>
        </is>
      </c>
      <c r="C1036" s="1" t="n">
        <v>4</v>
      </c>
      <c r="D1036" s="1" t="inlineStr">
        <is>
          <t>FNDDS recipe with replaced or modified SR codes</t>
        </is>
      </c>
      <c r="E1036" s="1" t="inlineStr">
        <is>
          <t>Base</t>
        </is>
      </c>
      <c r="F1036" s="1" t="n">
        <v>1.394079</v>
      </c>
    </row>
    <row r="1037" ht="15.75" customHeight="1" s="201">
      <c r="A1037" s="1" t="n">
        <v>27116300</v>
      </c>
      <c r="B1037" s="1" t="inlineStr">
        <is>
          <t>Beef with sweet and sour sauce</t>
        </is>
      </c>
      <c r="C1037" s="1" t="n">
        <v>5</v>
      </c>
      <c r="D1037" s="1" t="inlineStr">
        <is>
          <t>Modified FNDDS recipe</t>
        </is>
      </c>
      <c r="E1037" s="1" t="inlineStr">
        <is>
          <t>Base</t>
        </is>
      </c>
      <c r="F1037" s="1" t="n">
        <v>1.144653</v>
      </c>
    </row>
    <row r="1038" ht="15.75" customHeight="1" s="201">
      <c r="A1038" s="1" t="n">
        <v>27116350</v>
      </c>
      <c r="B1038" s="1" t="inlineStr">
        <is>
          <t>Stewed seasoned ground beef, Mexican style (Includes Picadillo de carne de rez)</t>
        </is>
      </c>
      <c r="C1038" s="1" t="n">
        <v>4</v>
      </c>
      <c r="D1038" s="1" t="inlineStr">
        <is>
          <t>FNDDS recipe with replaced or modified SR codes</t>
        </is>
      </c>
      <c r="E1038" s="1" t="inlineStr">
        <is>
          <t>Base</t>
        </is>
      </c>
      <c r="F1038" s="1" t="n">
        <v>0.732309</v>
      </c>
    </row>
    <row r="1039" ht="15.75" customHeight="1" s="201">
      <c r="A1039" s="1" t="n">
        <v>27116400</v>
      </c>
      <c r="B1039" s="1" t="inlineStr">
        <is>
          <t>Steak tartare (Includes raw ground beef)</t>
        </is>
      </c>
      <c r="C1039" s="1" t="n">
        <v>4</v>
      </c>
      <c r="D1039" s="1" t="inlineStr">
        <is>
          <t>FNDDS recipe with replaced or modified SR codes</t>
        </is>
      </c>
      <c r="E1039" s="1" t="inlineStr">
        <is>
          <t>Base</t>
        </is>
      </c>
      <c r="F1039" s="1" t="n">
        <v>0.877719</v>
      </c>
    </row>
    <row r="1040" ht="15.75" customHeight="1" s="201">
      <c r="A1040" s="1" t="n">
        <v>27118120</v>
      </c>
      <c r="B1040" s="1" t="inlineStr">
        <is>
          <t>Stewed seasoned ground beef, Puerto Rican style (Includes Carne molida guisada; Picadillo guisado; Picadillo de carne; Picadillo para relleno)</t>
        </is>
      </c>
      <c r="C1040" s="1" t="n">
        <v>4</v>
      </c>
      <c r="D1040" s="1" t="inlineStr">
        <is>
          <t>FNDDS recipe with replaced or modified SR codes</t>
        </is>
      </c>
      <c r="E1040" s="1" t="inlineStr">
        <is>
          <t>Base</t>
        </is>
      </c>
      <c r="F1040" s="1" t="n">
        <v>0.902486</v>
      </c>
    </row>
    <row r="1041" ht="15.75" customHeight="1" s="201">
      <c r="A1041" s="1" t="n">
        <v>27118130</v>
      </c>
      <c r="B1041" s="1" t="inlineStr">
        <is>
          <t>Stewed dried beef, Puerto Rican style (Includes Ropa vieja; Tasajo guisado; Carne cecina guisada)</t>
        </is>
      </c>
      <c r="C1041" s="1" t="n">
        <v>3</v>
      </c>
      <c r="D1041" s="1" t="inlineStr">
        <is>
          <t>Original FNDDS recipe</t>
        </is>
      </c>
      <c r="E1041" s="1" t="inlineStr">
        <is>
          <t>Base</t>
        </is>
      </c>
      <c r="F1041" s="1" t="n">
        <v>2.451555</v>
      </c>
    </row>
    <row r="1042" ht="15.75" customHeight="1" s="201">
      <c r="A1042" s="1" t="n">
        <v>27118180</v>
      </c>
      <c r="B1042" s="1" t="inlineStr">
        <is>
          <t>Beef stew, meat with gravy, no potatoes, Puerto Rican style (Includes Carne guisada)</t>
        </is>
      </c>
      <c r="C1042" s="1" t="n">
        <v>4</v>
      </c>
      <c r="D1042" s="1" t="inlineStr">
        <is>
          <t>FNDDS recipe with replaced or modified SR codes</t>
        </is>
      </c>
      <c r="E1042" s="1" t="inlineStr">
        <is>
          <t>Base</t>
        </is>
      </c>
      <c r="F1042" s="1" t="n">
        <v>1.160764</v>
      </c>
    </row>
    <row r="1043" ht="15.75" customHeight="1" s="201">
      <c r="A1043" s="1" t="n">
        <v>27120020</v>
      </c>
      <c r="B1043" s="1" t="inlineStr">
        <is>
          <t>Ham or pork with gravy</t>
        </is>
      </c>
      <c r="C1043" s="1" t="n">
        <v>4</v>
      </c>
      <c r="D1043" s="1" t="inlineStr">
        <is>
          <t>FNDDS recipe with replaced or modified SR codes</t>
        </is>
      </c>
      <c r="E1043" s="1" t="inlineStr">
        <is>
          <t>Base</t>
        </is>
      </c>
      <c r="F1043" s="1" t="n">
        <v>0.832994</v>
      </c>
    </row>
    <row r="1044" ht="15.75" customHeight="1" s="201">
      <c r="A1044" s="1" t="n">
        <v>27120030</v>
      </c>
      <c r="B1044" s="1" t="inlineStr">
        <is>
          <t>Ham or pork with barbecue sauce (Includes Asian barbecue pork; Char siu pork)</t>
        </is>
      </c>
      <c r="C1044" s="1" t="n">
        <v>1</v>
      </c>
      <c r="D1044" s="1" t="inlineStr">
        <is>
          <t>Links to FNDDS</t>
        </is>
      </c>
      <c r="E1044" s="1" t="inlineStr">
        <is>
          <t>Base</t>
        </is>
      </c>
      <c r="F1044" s="1" t="n">
        <v>1.26677</v>
      </c>
    </row>
    <row r="1045" ht="15.75" customHeight="1" s="201">
      <c r="A1045" s="1" t="n">
        <v>27120060</v>
      </c>
      <c r="B1045" s="1" t="inlineStr">
        <is>
          <t>Sweet and sour pork</t>
        </is>
      </c>
      <c r="C1045" s="1" t="n">
        <v>5</v>
      </c>
      <c r="D1045" s="1" t="inlineStr">
        <is>
          <t>Modified FNDDS recipe</t>
        </is>
      </c>
      <c r="E1045" s="1" t="inlineStr">
        <is>
          <t>Base</t>
        </is>
      </c>
      <c r="F1045" s="1" t="n">
        <v>0.651338</v>
      </c>
    </row>
    <row r="1046" ht="15.75" customHeight="1" s="201">
      <c r="A1046" s="1" t="n">
        <v>27120110</v>
      </c>
      <c r="B1046" s="1" t="inlineStr">
        <is>
          <t>Sausage with tomato-based sauce</t>
        </is>
      </c>
      <c r="C1046" s="1" t="n">
        <v>4</v>
      </c>
      <c r="D1046" s="1" t="inlineStr">
        <is>
          <t>FNDDS recipe with replaced or modified SR codes</t>
        </is>
      </c>
      <c r="E1046" s="1" t="inlineStr">
        <is>
          <t>Base</t>
        </is>
      </c>
      <c r="F1046" s="1" t="n">
        <v>0.678932</v>
      </c>
    </row>
    <row r="1047" ht="15.75" customHeight="1" s="201">
      <c r="A1047" s="1" t="n">
        <v>27120120</v>
      </c>
      <c r="B1047" s="1" t="inlineStr">
        <is>
          <t>Sausage gravy</t>
        </is>
      </c>
      <c r="C1047" s="1" t="n">
        <v>1</v>
      </c>
      <c r="D1047" s="1" t="inlineStr">
        <is>
          <t>Links to FNDDS</t>
        </is>
      </c>
      <c r="E1047" s="1" t="inlineStr">
        <is>
          <t>Base</t>
        </is>
      </c>
      <c r="F1047" s="1" t="n">
        <v>0.331156</v>
      </c>
    </row>
    <row r="1048" ht="15.75" customHeight="1" s="201">
      <c r="A1048" s="1" t="n">
        <v>27120130</v>
      </c>
      <c r="B1048" s="1" t="inlineStr">
        <is>
          <t>Pork stew, no potatoes, tomato-based sauce, Mexican style (Includes Cerdo guisado sin papas)</t>
        </is>
      </c>
      <c r="C1048" s="1" t="n">
        <v>4</v>
      </c>
      <c r="D1048" s="1" t="inlineStr">
        <is>
          <t>FNDDS recipe with replaced or modified SR codes</t>
        </is>
      </c>
      <c r="E1048" s="1" t="inlineStr">
        <is>
          <t>Base</t>
        </is>
      </c>
      <c r="F1048" s="1" t="n">
        <v>0.520029</v>
      </c>
    </row>
    <row r="1049" ht="15.75" customHeight="1" s="201">
      <c r="A1049" s="1" t="n">
        <v>27120150</v>
      </c>
      <c r="B1049" s="1" t="inlineStr">
        <is>
          <t>Pork or ham with soy-based sauce</t>
        </is>
      </c>
      <c r="C1049" s="1" t="n">
        <v>1</v>
      </c>
      <c r="D1049" s="1" t="inlineStr">
        <is>
          <t>Links to FNDDS</t>
        </is>
      </c>
      <c r="E1049" s="1" t="inlineStr">
        <is>
          <t>Base</t>
        </is>
      </c>
      <c r="F1049" s="1" t="n">
        <v>1.704871</v>
      </c>
    </row>
    <row r="1050" ht="15.75" customHeight="1" s="201">
      <c r="A1050" s="1" t="n">
        <v>27120210</v>
      </c>
      <c r="B1050" s="1" t="inlineStr">
        <is>
          <t>Frankfurter or hot dog, with chili, no bun (Includes Chili dog, no bun)</t>
        </is>
      </c>
      <c r="C1050" s="1" t="n">
        <v>4</v>
      </c>
      <c r="D1050" s="1" t="inlineStr">
        <is>
          <t>FNDDS recipe with replaced or modified SR codes</t>
        </is>
      </c>
      <c r="E1050" s="1" t="inlineStr">
        <is>
          <t>Base</t>
        </is>
      </c>
      <c r="F1050" s="1" t="n">
        <v>0.516631</v>
      </c>
    </row>
    <row r="1051" ht="15.75" customHeight="1" s="201">
      <c r="A1051" s="1" t="n">
        <v>27120250</v>
      </c>
      <c r="B1051" s="1" t="inlineStr">
        <is>
          <t>Frankfurters or hot dogs with tomato-based sauce (Includes frankfurters or hot dogs with barbecue sauce or chili sauce)</t>
        </is>
      </c>
      <c r="C1051" s="1" t="n">
        <v>4</v>
      </c>
      <c r="D1051" s="1" t="inlineStr">
        <is>
          <t>FNDDS recipe with replaced or modified SR codes</t>
        </is>
      </c>
      <c r="E1051" s="1" t="inlineStr">
        <is>
          <t>Base</t>
        </is>
      </c>
      <c r="F1051" s="1" t="n">
        <v>0.481497</v>
      </c>
    </row>
    <row r="1052" ht="15.75" customHeight="1" s="201">
      <c r="A1052" s="1" t="n">
        <v>27121000</v>
      </c>
      <c r="B1052" s="1" t="inlineStr">
        <is>
          <t>Pork with chili and tomatoes (Includes Puerco con chile)</t>
        </is>
      </c>
      <c r="C1052" s="1" t="n">
        <v>1</v>
      </c>
      <c r="D1052" s="1" t="inlineStr">
        <is>
          <t>Links to FNDDS</t>
        </is>
      </c>
      <c r="E1052" s="1" t="inlineStr">
        <is>
          <t>Base</t>
        </is>
      </c>
      <c r="F1052" s="1" t="n">
        <v>1.678835</v>
      </c>
    </row>
    <row r="1053" ht="15.75" customHeight="1" s="201">
      <c r="A1053" s="1" t="n">
        <v>27121410</v>
      </c>
      <c r="B1053" s="1" t="inlineStr">
        <is>
          <t>Chili con carne with beans, made with pork</t>
        </is>
      </c>
      <c r="C1053" s="1" t="n">
        <v>4</v>
      </c>
      <c r="D1053" s="1" t="inlineStr">
        <is>
          <t>FNDDS recipe with replaced or modified SR codes</t>
        </is>
      </c>
      <c r="E1053" s="1" t="inlineStr">
        <is>
          <t>Base</t>
        </is>
      </c>
      <c r="F1053" s="1" t="n">
        <v>0.50808</v>
      </c>
    </row>
    <row r="1054" ht="15.75" customHeight="1" s="201">
      <c r="A1054" s="1" t="n">
        <v>27133010</v>
      </c>
      <c r="B1054" s="1" t="inlineStr">
        <is>
          <t>Stewed goat, Puerto Rican style (Includes Puerto Rican stewed kid; Fricase de cabro; Cabrito en fricase; Chilindron de chivo)</t>
        </is>
      </c>
      <c r="C1054" s="1" t="n">
        <v>4</v>
      </c>
      <c r="D1054" s="1" t="inlineStr">
        <is>
          <t>FNDDS recipe with replaced or modified SR codes</t>
        </is>
      </c>
      <c r="E1054" s="1" t="inlineStr">
        <is>
          <t>Base</t>
        </is>
      </c>
      <c r="F1054" s="1" t="n">
        <v>1.741992</v>
      </c>
    </row>
    <row r="1055" ht="15.75" customHeight="1" s="201">
      <c r="A1055" s="1" t="n">
        <v>27136050</v>
      </c>
      <c r="B1055" s="1" t="inlineStr">
        <is>
          <t>Venison or deer with tomato-based sauce</t>
        </is>
      </c>
      <c r="C1055" s="1" t="n">
        <v>3</v>
      </c>
      <c r="D1055" s="1" t="inlineStr">
        <is>
          <t>Original FNDDS recipe</t>
        </is>
      </c>
      <c r="E1055" s="1" t="inlineStr">
        <is>
          <t>Base</t>
        </is>
      </c>
      <c r="F1055" s="1" t="n">
        <v>1.807122</v>
      </c>
    </row>
    <row r="1056" ht="15.75" customHeight="1" s="201">
      <c r="A1056" s="1" t="n">
        <v>27136080</v>
      </c>
      <c r="B1056" s="1" t="inlineStr">
        <is>
          <t>Venison or deer with gravy</t>
        </is>
      </c>
      <c r="C1056" s="1" t="n">
        <v>3</v>
      </c>
      <c r="D1056" s="1" t="inlineStr">
        <is>
          <t>Original FNDDS recipe</t>
        </is>
      </c>
      <c r="E1056" s="1" t="inlineStr">
        <is>
          <t>Base</t>
        </is>
      </c>
      <c r="F1056" s="1" t="n">
        <v>1.882545</v>
      </c>
    </row>
    <row r="1057" ht="15.75" customHeight="1" s="201">
      <c r="A1057" s="1" t="n">
        <v>27141000</v>
      </c>
      <c r="B1057" s="1" t="inlineStr">
        <is>
          <t>Chicken or turkey cacciatore (Includes chicken or turkey with tomato-based sauce; chicken or turkey with tomatoes)</t>
        </is>
      </c>
      <c r="C1057" s="1" t="n">
        <v>5</v>
      </c>
      <c r="D1057" s="1" t="inlineStr">
        <is>
          <t>Modified FNDDS recipe</t>
        </is>
      </c>
      <c r="E1057" s="1" t="inlineStr">
        <is>
          <t>Base</t>
        </is>
      </c>
      <c r="F1057" s="1" t="n">
        <v>0.621192</v>
      </c>
    </row>
    <row r="1058" ht="15.75" customHeight="1" s="201">
      <c r="A1058" s="1" t="n">
        <v>27141030</v>
      </c>
      <c r="B1058" s="1" t="inlineStr">
        <is>
          <t>Spaghetti sauce with poultry (Includes tomato-based, marinara, or red sauce)</t>
        </is>
      </c>
      <c r="C1058" s="1" t="n">
        <v>2</v>
      </c>
      <c r="D1058" s="1" t="inlineStr">
        <is>
          <t>Links to altEC</t>
        </is>
      </c>
      <c r="E1058" s="1" t="inlineStr">
        <is>
          <t>Base</t>
        </is>
      </c>
      <c r="F1058" s="1" t="n">
        <v>0.297165</v>
      </c>
    </row>
    <row r="1059" ht="15.75" customHeight="1" s="201">
      <c r="A1059" s="1" t="n">
        <v>27141035</v>
      </c>
      <c r="B1059" s="1" t="inlineStr">
        <is>
          <t>Spaghetti sauce with poultry and added vegetables (Includes tomato-based, marinara, or red sauce; vegetables other than tomatoes and onions)</t>
        </is>
      </c>
      <c r="C1059" s="1" t="n">
        <v>2</v>
      </c>
      <c r="D1059" s="1" t="inlineStr">
        <is>
          <t>Links to altEC</t>
        </is>
      </c>
      <c r="E1059" s="1" t="inlineStr">
        <is>
          <t>Base</t>
        </is>
      </c>
      <c r="F1059" s="1" t="n">
        <v>0.26188</v>
      </c>
    </row>
    <row r="1060" ht="15.75" customHeight="1" s="201">
      <c r="A1060" s="1" t="n">
        <v>27141050</v>
      </c>
      <c r="B1060" s="1" t="inlineStr">
        <is>
          <t>Stewed chicken with tomato-based sauce, Mexican style (Includes Pollo guisado con tomate)</t>
        </is>
      </c>
      <c r="C1060" s="1" t="n">
        <v>1</v>
      </c>
      <c r="D1060" s="1" t="inlineStr">
        <is>
          <t>Links to FNDDS</t>
        </is>
      </c>
      <c r="E1060" s="1" t="inlineStr">
        <is>
          <t>Base</t>
        </is>
      </c>
      <c r="F1060" s="1" t="n">
        <v>1.439504</v>
      </c>
    </row>
    <row r="1061" ht="15.75" customHeight="1" s="201">
      <c r="A1061" s="1" t="n">
        <v>27141500</v>
      </c>
      <c r="B1061" s="1" t="inlineStr">
        <is>
          <t>Chili con carne with chicken or turkey and beans</t>
        </is>
      </c>
      <c r="C1061" s="1" t="n">
        <v>4</v>
      </c>
      <c r="D1061" s="1" t="inlineStr">
        <is>
          <t>FNDDS recipe with replaced or modified SR codes</t>
        </is>
      </c>
      <c r="E1061" s="1" t="inlineStr">
        <is>
          <t>Base</t>
        </is>
      </c>
      <c r="F1061" s="1" t="n">
        <v>0.59956</v>
      </c>
    </row>
    <row r="1062" ht="15.75" customHeight="1" s="201">
      <c r="A1062" s="1" t="n">
        <v>27142000</v>
      </c>
      <c r="B1062" s="1" t="inlineStr">
        <is>
          <t>Chicken with gravy</t>
        </is>
      </c>
      <c r="C1062" s="1" t="n">
        <v>4</v>
      </c>
      <c r="D1062" s="1" t="inlineStr">
        <is>
          <t>FNDDS recipe with replaced or modified SR codes</t>
        </is>
      </c>
      <c r="E1062" s="1" t="inlineStr">
        <is>
          <t>Base</t>
        </is>
      </c>
      <c r="F1062" s="1" t="n">
        <v>0.706024</v>
      </c>
    </row>
    <row r="1063" ht="15.75" customHeight="1" s="201">
      <c r="A1063" s="1" t="n">
        <v>27142200</v>
      </c>
      <c r="B1063" s="1" t="inlineStr">
        <is>
          <t>Turkey with gravy</t>
        </is>
      </c>
      <c r="C1063" s="1" t="n">
        <v>4</v>
      </c>
      <c r="D1063" s="1" t="inlineStr">
        <is>
          <t>FNDDS recipe with replaced or modified SR codes</t>
        </is>
      </c>
      <c r="E1063" s="1" t="inlineStr">
        <is>
          <t>Base</t>
        </is>
      </c>
      <c r="F1063" s="1" t="n">
        <v>0.816945</v>
      </c>
    </row>
    <row r="1064" ht="15.75" customHeight="1" s="201">
      <c r="A1064" s="1" t="n">
        <v>27143000</v>
      </c>
      <c r="B1064" s="1" t="inlineStr">
        <is>
          <t>Chicken or turkey with cream sauce</t>
        </is>
      </c>
      <c r="C1064" s="1" t="n">
        <v>4</v>
      </c>
      <c r="D1064" s="1" t="inlineStr">
        <is>
          <t>FNDDS recipe with replaced or modified SR codes</t>
        </is>
      </c>
      <c r="E1064" s="1" t="inlineStr">
        <is>
          <t>Base</t>
        </is>
      </c>
      <c r="F1064" s="1" t="n">
        <v>0.688558</v>
      </c>
    </row>
    <row r="1065" ht="15.75" customHeight="1" s="201">
      <c r="A1065" s="1" t="n">
        <v>27144000</v>
      </c>
      <c r="B1065" s="1" t="inlineStr">
        <is>
          <t>Chicken or turkey with mushroom sauce (Includes chicken or turkey marsala)</t>
        </is>
      </c>
      <c r="C1065" s="1" t="n">
        <v>4</v>
      </c>
      <c r="D1065" s="1" t="inlineStr">
        <is>
          <t>FNDDS recipe with replaced or modified SR codes</t>
        </is>
      </c>
      <c r="E1065" s="1" t="inlineStr">
        <is>
          <t>Base</t>
        </is>
      </c>
      <c r="F1065" s="1" t="n">
        <v>0.669227</v>
      </c>
    </row>
    <row r="1066" ht="15.75" customHeight="1" s="201">
      <c r="A1066" s="1" t="n">
        <v>27145000</v>
      </c>
      <c r="B1066" s="1" t="inlineStr">
        <is>
          <t>Chicken or turkey with teriyaki (Includes soy-based sauce)</t>
        </is>
      </c>
      <c r="C1066" s="1" t="n">
        <v>4</v>
      </c>
      <c r="D1066" s="1" t="inlineStr">
        <is>
          <t>FNDDS recipe with replaced or modified SR codes</t>
        </is>
      </c>
      <c r="E1066" s="1" t="inlineStr">
        <is>
          <t>Base</t>
        </is>
      </c>
      <c r="F1066" s="1" t="n">
        <v>0.839139</v>
      </c>
    </row>
    <row r="1067" ht="15.75" customHeight="1" s="201">
      <c r="A1067" s="1" t="n">
        <v>27146011</v>
      </c>
      <c r="B1067" s="1" t="inlineStr">
        <is>
          <t>Chicken, shredded or pulled, with barbecue sauce (Includes any source)</t>
        </is>
      </c>
      <c r="C1067" s="1" t="n">
        <v>4</v>
      </c>
      <c r="D1067" s="1" t="inlineStr">
        <is>
          <t>FNDDS recipe with replaced or modified SR codes</t>
        </is>
      </c>
      <c r="E1067" s="1" t="inlineStr">
        <is>
          <t>Base</t>
        </is>
      </c>
      <c r="F1067" s="1" t="n">
        <v>0.672602</v>
      </c>
    </row>
    <row r="1068" ht="15.75" customHeight="1" s="201">
      <c r="A1068" s="1" t="n">
        <v>27146100</v>
      </c>
      <c r="B1068" s="1" t="inlineStr">
        <is>
          <t>Sweet and sour chicken or turkey (Includes with vegetables; sweet and sour chicken or turkey, NFS)</t>
        </is>
      </c>
      <c r="C1068" s="1" t="n">
        <v>1</v>
      </c>
      <c r="D1068" s="1" t="inlineStr">
        <is>
          <t>Links to FNDDS</t>
        </is>
      </c>
      <c r="E1068" s="1" t="inlineStr">
        <is>
          <t>Base</t>
        </is>
      </c>
      <c r="F1068" s="1" t="n">
        <v>0.925562</v>
      </c>
    </row>
    <row r="1069" ht="15.75" customHeight="1" s="201">
      <c r="A1069" s="1" t="n">
        <v>27146110</v>
      </c>
      <c r="B1069" s="1" t="inlineStr">
        <is>
          <t>Sweet and sour chicken or turkey, without vegetables</t>
        </is>
      </c>
      <c r="C1069" s="1" t="n">
        <v>2</v>
      </c>
      <c r="D1069" s="1" t="inlineStr">
        <is>
          <t>Links to altEC</t>
        </is>
      </c>
      <c r="E1069" s="1" t="inlineStr">
        <is>
          <t>Base</t>
        </is>
      </c>
      <c r="F1069" s="1" t="n">
        <v>0.925562</v>
      </c>
    </row>
    <row r="1070" ht="15.75" customHeight="1" s="201">
      <c r="A1070" s="1" t="n">
        <v>27146150</v>
      </c>
      <c r="B1070" s="1" t="inlineStr">
        <is>
          <t>Chicken curry (Includes other poultry)</t>
        </is>
      </c>
      <c r="C1070" s="1" t="n">
        <v>4</v>
      </c>
      <c r="D1070" s="1" t="inlineStr">
        <is>
          <t>FNDDS recipe with replaced or modified SR codes</t>
        </is>
      </c>
      <c r="E1070" s="1" t="inlineStr">
        <is>
          <t>Base</t>
        </is>
      </c>
      <c r="F1070" s="1" t="n">
        <v>0.749978</v>
      </c>
    </row>
    <row r="1071" ht="15.75" customHeight="1" s="201">
      <c r="A1071" s="1" t="n">
        <v>27146155</v>
      </c>
      <c r="B1071" s="1" t="inlineStr">
        <is>
          <t>Chicken curry with rice (Includes other poultry)</t>
        </is>
      </c>
      <c r="C1071" s="1" t="n">
        <v>4</v>
      </c>
      <c r="D1071" s="1" t="inlineStr">
        <is>
          <t>FNDDS recipe with replaced or modified SR codes</t>
        </is>
      </c>
      <c r="E1071" s="1" t="inlineStr">
        <is>
          <t>Base</t>
        </is>
      </c>
      <c r="F1071" s="1" t="n">
        <v>0.487402</v>
      </c>
    </row>
    <row r="1072" ht="15.75" customHeight="1" s="201">
      <c r="A1072" s="1" t="n">
        <v>27146160</v>
      </c>
      <c r="B1072" s="1" t="inlineStr">
        <is>
          <t>Chicken with mole sauce (Includes chicken mole)</t>
        </is>
      </c>
      <c r="C1072" s="1" t="n">
        <v>4</v>
      </c>
      <c r="D1072" s="1" t="inlineStr">
        <is>
          <t>FNDDS recipe with replaced or modified SR codes</t>
        </is>
      </c>
      <c r="E1072" s="1" t="inlineStr">
        <is>
          <t>Base</t>
        </is>
      </c>
      <c r="F1072" s="1" t="n">
        <v>0.7742019999999999</v>
      </c>
    </row>
    <row r="1073" ht="15.75" customHeight="1" s="201">
      <c r="A1073" s="1" t="n">
        <v>27146200</v>
      </c>
      <c r="B1073" s="1" t="inlineStr">
        <is>
          <t>Chicken or turkey with cheese sauce</t>
        </is>
      </c>
      <c r="C1073" s="1" t="n">
        <v>4</v>
      </c>
      <c r="D1073" s="1" t="inlineStr">
        <is>
          <t>FNDDS recipe with replaced or modified SR codes</t>
        </is>
      </c>
      <c r="E1073" s="1" t="inlineStr">
        <is>
          <t>Base</t>
        </is>
      </c>
      <c r="F1073" s="1" t="n">
        <v>0.68489</v>
      </c>
    </row>
    <row r="1074" ht="15.75" customHeight="1" s="201">
      <c r="A1074" s="1" t="n">
        <v>27146250</v>
      </c>
      <c r="B1074" s="1" t="inlineStr">
        <is>
          <t>Chicken or turkey cordon bleu</t>
        </is>
      </c>
      <c r="C1074" s="1" t="n">
        <v>1</v>
      </c>
      <c r="D1074" s="1" t="inlineStr">
        <is>
          <t>Links to FNDDS</t>
        </is>
      </c>
      <c r="E1074" s="1" t="inlineStr">
        <is>
          <t>Base</t>
        </is>
      </c>
      <c r="F1074" s="1" t="n">
        <v>1.450286</v>
      </c>
    </row>
    <row r="1075" ht="15.75" customHeight="1" s="201">
      <c r="A1075" s="1" t="n">
        <v>27146300</v>
      </c>
      <c r="B1075" s="1" t="inlineStr">
        <is>
          <t>Chicken or turkey parmigiana</t>
        </is>
      </c>
      <c r="C1075" s="1" t="n">
        <v>4</v>
      </c>
      <c r="D1075" s="1" t="inlineStr">
        <is>
          <t>FNDDS recipe with replaced or modified SR codes</t>
        </is>
      </c>
      <c r="E1075" s="1" t="inlineStr">
        <is>
          <t>Base</t>
        </is>
      </c>
      <c r="F1075" s="1" t="n">
        <v>0.604653</v>
      </c>
    </row>
    <row r="1076" ht="15.75" customHeight="1" s="201">
      <c r="A1076" s="1" t="n">
        <v>27146350</v>
      </c>
      <c r="B1076" s="1" t="inlineStr">
        <is>
          <t>Orange chicken (Includes Lemon chicken)</t>
        </is>
      </c>
      <c r="C1076" s="1" t="n">
        <v>1</v>
      </c>
      <c r="D1076" s="1" t="inlineStr">
        <is>
          <t>Links to FNDDS</t>
        </is>
      </c>
      <c r="E1076" s="1" t="inlineStr">
        <is>
          <t>Base</t>
        </is>
      </c>
      <c r="F1076" s="1" t="n">
        <v>1.017032</v>
      </c>
    </row>
    <row r="1077" ht="15.75" customHeight="1" s="201">
      <c r="A1077" s="1" t="n">
        <v>27146360</v>
      </c>
      <c r="B1077" s="1" t="inlineStr">
        <is>
          <t>Sesame chicken</t>
        </is>
      </c>
      <c r="C1077" s="1" t="n">
        <v>1</v>
      </c>
      <c r="D1077" s="1" t="inlineStr">
        <is>
          <t>Links to FNDDS</t>
        </is>
      </c>
      <c r="E1077" s="1" t="inlineStr">
        <is>
          <t>Base</t>
        </is>
      </c>
      <c r="F1077" s="1" t="n">
        <v>0.98009</v>
      </c>
    </row>
    <row r="1078" ht="15.75" customHeight="1" s="201">
      <c r="A1078" s="1" t="n">
        <v>27150060</v>
      </c>
      <c r="B1078" s="1" t="inlineStr">
        <is>
          <t>Lobster newburg (Includes lobster thermidor; lobster with cream or white sauce)</t>
        </is>
      </c>
      <c r="C1078" s="1" t="n">
        <v>4</v>
      </c>
      <c r="D1078" s="1" t="inlineStr">
        <is>
          <t>FNDDS recipe with replaced or modified SR codes</t>
        </is>
      </c>
      <c r="E1078" s="1" t="inlineStr">
        <is>
          <t>Base</t>
        </is>
      </c>
      <c r="F1078" s="1" t="n">
        <v>2.718879</v>
      </c>
    </row>
    <row r="1079" ht="15.75" customHeight="1" s="201">
      <c r="A1079" s="1" t="n">
        <v>27150110</v>
      </c>
      <c r="B1079" s="1" t="inlineStr">
        <is>
          <t>Shrimp cocktail (Includes shrimp with cocktail sauce)</t>
        </is>
      </c>
      <c r="C1079" s="1" t="n">
        <v>1</v>
      </c>
      <c r="D1079" s="1" t="inlineStr">
        <is>
          <t>Links to FNDDS</t>
        </is>
      </c>
      <c r="E1079" s="1" t="inlineStr">
        <is>
          <t>Base</t>
        </is>
      </c>
      <c r="F1079" s="1" t="n">
        <v>2.434393</v>
      </c>
    </row>
    <row r="1080" ht="15.75" customHeight="1" s="201">
      <c r="A1080" s="1" t="n">
        <v>27150130</v>
      </c>
      <c r="B1080" s="1" t="inlineStr">
        <is>
          <t>Seafood newburg (Includes shrimp newburg; crab meat thermidor)</t>
        </is>
      </c>
      <c r="C1080" s="1" t="n">
        <v>1</v>
      </c>
      <c r="D1080" s="1" t="inlineStr">
        <is>
          <t>Links to FNDDS</t>
        </is>
      </c>
      <c r="E1080" s="1" t="inlineStr">
        <is>
          <t>Base</t>
        </is>
      </c>
      <c r="F1080" s="1" t="n">
        <v>2.366425</v>
      </c>
    </row>
    <row r="1081" ht="15.75" customHeight="1" s="201">
      <c r="A1081" s="1" t="n">
        <v>27150151</v>
      </c>
      <c r="B1081" s="1" t="inlineStr">
        <is>
          <t>Spaghetti sauce with seafood (Includes tomato-based, marinara, or red sauce; red clam sauce)</t>
        </is>
      </c>
      <c r="C1081" s="1" t="n">
        <v>2</v>
      </c>
      <c r="D1081" s="1" t="inlineStr">
        <is>
          <t>Links to altEC</t>
        </is>
      </c>
      <c r="E1081" s="1" t="inlineStr">
        <is>
          <t>Base</t>
        </is>
      </c>
      <c r="F1081" s="1" t="n">
        <v>0.297165</v>
      </c>
    </row>
    <row r="1082" ht="15.75" customHeight="1" s="201">
      <c r="A1082" s="1" t="n">
        <v>27150155</v>
      </c>
      <c r="B1082" s="1" t="inlineStr">
        <is>
          <t>Spaghetti sauce with seafood and added vegetables (Includes tomato-based, marinara, or red sauce; red clam sauce; any vegetables other than tomatoes and onions)</t>
        </is>
      </c>
      <c r="C1082" s="1" t="n">
        <v>2</v>
      </c>
      <c r="D1082" s="1" t="inlineStr">
        <is>
          <t>Links to altEC</t>
        </is>
      </c>
      <c r="E1082" s="1" t="inlineStr">
        <is>
          <t>Base</t>
        </is>
      </c>
      <c r="F1082" s="1" t="n">
        <v>0.26188</v>
      </c>
    </row>
    <row r="1083" ht="15.75" customHeight="1" s="201">
      <c r="A1083" s="1" t="n">
        <v>27150170</v>
      </c>
      <c r="B1083" s="1" t="inlineStr">
        <is>
          <t>Sweet and sour shrimp</t>
        </is>
      </c>
      <c r="C1083" s="1" t="n">
        <v>1</v>
      </c>
      <c r="D1083" s="1" t="inlineStr">
        <is>
          <t>Links to FNDDS</t>
        </is>
      </c>
      <c r="E1083" s="1" t="inlineStr">
        <is>
          <t>Base</t>
        </is>
      </c>
      <c r="F1083" s="1" t="n">
        <v>1.069627</v>
      </c>
    </row>
    <row r="1084" ht="15.75" customHeight="1" s="201">
      <c r="A1084" s="1" t="n">
        <v>27150210</v>
      </c>
      <c r="B1084" s="1" t="inlineStr">
        <is>
          <t>Fish sauce (Includes Bagoong; shrimp sauce)</t>
        </is>
      </c>
      <c r="C1084" s="1" t="n">
        <v>1</v>
      </c>
      <c r="D1084" s="1" t="inlineStr">
        <is>
          <t>Links to FNDDS</t>
        </is>
      </c>
      <c r="E1084" s="1" t="inlineStr">
        <is>
          <t>Base</t>
        </is>
      </c>
      <c r="F1084" s="1" t="n">
        <v>1.402549</v>
      </c>
    </row>
    <row r="1085" ht="15.75" customHeight="1" s="201">
      <c r="A1085" s="1" t="n">
        <v>27150230</v>
      </c>
      <c r="B1085" s="1" t="inlineStr">
        <is>
          <t>Shrimp scampi (Includes shrimp in butter sauce)</t>
        </is>
      </c>
      <c r="C1085" s="1" t="n">
        <v>4</v>
      </c>
      <c r="D1085" s="1" t="inlineStr">
        <is>
          <t>FNDDS recipe with replaced or modified SR codes</t>
        </is>
      </c>
      <c r="E1085" s="1" t="inlineStr">
        <is>
          <t>Base</t>
        </is>
      </c>
      <c r="F1085" s="1" t="n">
        <v>2.685192</v>
      </c>
    </row>
    <row r="1086" ht="15.75" customHeight="1" s="201">
      <c r="A1086" s="1" t="n">
        <v>27150310</v>
      </c>
      <c r="B1086" s="1" t="inlineStr">
        <is>
          <t>Fish with tomato-based sauce (Includes fish with tomatoes)</t>
        </is>
      </c>
      <c r="C1086" s="1" t="n">
        <v>4</v>
      </c>
      <c r="D1086" s="1" t="inlineStr">
        <is>
          <t>FNDDS recipe with replaced or modified SR codes</t>
        </is>
      </c>
      <c r="E1086" s="1" t="inlineStr">
        <is>
          <t>Base</t>
        </is>
      </c>
      <c r="F1086" s="1" t="n">
        <v>1.43516</v>
      </c>
    </row>
    <row r="1087" ht="15.75" customHeight="1" s="201">
      <c r="A1087" s="1" t="n">
        <v>27150320</v>
      </c>
      <c r="B1087" s="1" t="inlineStr">
        <is>
          <t>Fish curry (Includes shrimp; other seafood)</t>
        </is>
      </c>
      <c r="C1087" s="1" t="n">
        <v>4</v>
      </c>
      <c r="D1087" s="1" t="inlineStr">
        <is>
          <t>FNDDS recipe with replaced or modified SR codes</t>
        </is>
      </c>
      <c r="E1087" s="1" t="inlineStr">
        <is>
          <t>Base</t>
        </is>
      </c>
      <c r="F1087" s="1" t="n">
        <v>1.035956</v>
      </c>
    </row>
    <row r="1088" ht="15.75" customHeight="1" s="201">
      <c r="A1088" s="1" t="n">
        <v>27150325</v>
      </c>
      <c r="B1088" s="1" t="inlineStr">
        <is>
          <t>Fish curry with rice (Includes shrimp; other seafood)</t>
        </is>
      </c>
      <c r="C1088" s="1" t="n">
        <v>4</v>
      </c>
      <c r="D1088" s="1" t="inlineStr">
        <is>
          <t>FNDDS recipe with replaced or modified SR codes</t>
        </is>
      </c>
      <c r="E1088" s="1" t="inlineStr">
        <is>
          <t>Base</t>
        </is>
      </c>
      <c r="F1088" s="1" t="n">
        <v>0.658986</v>
      </c>
    </row>
    <row r="1089" ht="15.75" customHeight="1" s="201">
      <c r="A1089" s="1" t="n">
        <v>27150370</v>
      </c>
      <c r="B1089" s="1" t="inlineStr">
        <is>
          <t>Sardines with mustard sauce</t>
        </is>
      </c>
      <c r="C1089" s="1" t="n">
        <v>2</v>
      </c>
      <c r="D1089" s="1" t="inlineStr">
        <is>
          <t>Links to altEC</t>
        </is>
      </c>
      <c r="E1089" s="1" t="inlineStr">
        <is>
          <t>Base</t>
        </is>
      </c>
      <c r="F1089" s="1" t="n">
        <v>1.326808</v>
      </c>
    </row>
    <row r="1090" ht="15.75" customHeight="1" s="201">
      <c r="A1090" s="1" t="n">
        <v>27150410</v>
      </c>
      <c r="B1090" s="1" t="inlineStr">
        <is>
          <t>Shrimp teriyaki (Includes soy-based sauce)</t>
        </is>
      </c>
      <c r="C1090" s="1" t="n">
        <v>1</v>
      </c>
      <c r="D1090" s="1" t="inlineStr">
        <is>
          <t>Links to FNDDS</t>
        </is>
      </c>
      <c r="E1090" s="1" t="inlineStr">
        <is>
          <t>Base</t>
        </is>
      </c>
      <c r="F1090" s="1" t="n">
        <v>1.50768</v>
      </c>
    </row>
    <row r="1091" ht="15.75" customHeight="1" s="201">
      <c r="A1091" s="1" t="n">
        <v>27151030</v>
      </c>
      <c r="B1091" s="1" t="inlineStr">
        <is>
          <t>Ceviche (Includes Marinated fish or sea food)</t>
        </is>
      </c>
      <c r="C1091" s="1" t="n">
        <v>2</v>
      </c>
      <c r="D1091" s="1" t="inlineStr">
        <is>
          <t>Links to altEC</t>
        </is>
      </c>
      <c r="E1091" s="1" t="inlineStr">
        <is>
          <t>Base</t>
        </is>
      </c>
      <c r="F1091" s="1" t="n">
        <v>4.623862</v>
      </c>
    </row>
    <row r="1092" ht="15.75" customHeight="1" s="201">
      <c r="A1092" s="1" t="n">
        <v>27160010</v>
      </c>
      <c r="B1092" s="1" t="inlineStr">
        <is>
          <t>Meat with barbecue sauce, NS as to type of meat (Includes with Sloppy Joe mix)</t>
        </is>
      </c>
      <c r="C1092" s="1" t="n">
        <v>4</v>
      </c>
      <c r="D1092" s="1" t="inlineStr">
        <is>
          <t>FNDDS recipe with replaced or modified SR codes</t>
        </is>
      </c>
      <c r="E1092" s="1" t="inlineStr">
        <is>
          <t>Base</t>
        </is>
      </c>
      <c r="F1092" s="1" t="n">
        <v>1.490678</v>
      </c>
    </row>
    <row r="1093" ht="15.75" customHeight="1" s="201">
      <c r="A1093" s="1" t="n">
        <v>27160100</v>
      </c>
      <c r="B1093" s="1" t="inlineStr">
        <is>
          <t>Meatballs, NS as to type of meat, with sauce</t>
        </is>
      </c>
      <c r="C1093" s="1" t="n">
        <v>4</v>
      </c>
      <c r="D1093" s="1" t="inlineStr">
        <is>
          <t>FNDDS recipe with replaced or modified SR codes</t>
        </is>
      </c>
      <c r="E1093" s="1" t="inlineStr">
        <is>
          <t>Base</t>
        </is>
      </c>
      <c r="F1093" s="1" t="n">
        <v>0.9608</v>
      </c>
    </row>
    <row r="1094" ht="15.75" customHeight="1" s="201">
      <c r="A1094" s="1" t="n">
        <v>27161010</v>
      </c>
      <c r="B1094" s="1" t="inlineStr">
        <is>
          <t>Meat loaf, Puerto Rican style (Includes Rollo de carne; Albondigon)</t>
        </is>
      </c>
      <c r="C1094" s="1" t="n">
        <v>4</v>
      </c>
      <c r="D1094" s="1" t="inlineStr">
        <is>
          <t>FNDDS recipe with replaced or modified SR codes</t>
        </is>
      </c>
      <c r="E1094" s="1" t="inlineStr">
        <is>
          <t>Base</t>
        </is>
      </c>
      <c r="F1094" s="1" t="n">
        <v>0.866879</v>
      </c>
    </row>
    <row r="1095" ht="15.75" customHeight="1" s="201">
      <c r="A1095" s="1" t="n">
        <v>27162010</v>
      </c>
      <c r="B1095" s="1" t="inlineStr">
        <is>
          <t>Meat with tomato-based sauce (Includes NS as to type of meat)</t>
        </is>
      </c>
      <c r="C1095" s="1" t="n">
        <v>4</v>
      </c>
      <c r="D1095" s="1" t="inlineStr">
        <is>
          <t>FNDDS recipe with replaced or modified SR codes</t>
        </is>
      </c>
      <c r="E1095" s="1" t="inlineStr">
        <is>
          <t>Base</t>
        </is>
      </c>
      <c r="F1095" s="1" t="n">
        <v>1.404195</v>
      </c>
    </row>
    <row r="1096" ht="15.75" customHeight="1" s="201">
      <c r="A1096" s="1" t="n">
        <v>27162040</v>
      </c>
      <c r="B1096" s="1" t="inlineStr">
        <is>
          <t>Spaghetti sauce with meat (Includes tomato-based, marinara, or red sauce)</t>
        </is>
      </c>
      <c r="C1096" s="1" t="n">
        <v>1</v>
      </c>
      <c r="D1096" s="1" t="inlineStr">
        <is>
          <t>Links to FNDDS</t>
        </is>
      </c>
      <c r="E1096" s="1" t="inlineStr">
        <is>
          <t>Base</t>
        </is>
      </c>
      <c r="F1096" s="1" t="n">
        <v>0.255495</v>
      </c>
    </row>
    <row r="1097" ht="15.75" customHeight="1" s="201">
      <c r="A1097" s="1" t="n">
        <v>27162060</v>
      </c>
      <c r="B1097" s="1" t="inlineStr">
        <is>
          <t>Spaghetti sauce with meat and added vegetables (Includes tomato-based, marinara, or red sauce; vegetables other than tomatoes and onions)</t>
        </is>
      </c>
      <c r="C1097" s="1" t="n">
        <v>2</v>
      </c>
      <c r="D1097" s="1" t="inlineStr">
        <is>
          <t>Links to altEC</t>
        </is>
      </c>
      <c r="E1097" s="1" t="inlineStr">
        <is>
          <t>Base</t>
        </is>
      </c>
      <c r="F1097" s="1" t="n">
        <v>0.26188</v>
      </c>
    </row>
    <row r="1098" ht="15.75" customHeight="1" s="201">
      <c r="A1098" s="1" t="n">
        <v>27162500</v>
      </c>
      <c r="B1098" s="1" t="inlineStr">
        <is>
          <t>Stewed, seasoned, ground beef and pork, Mexican style (Includes Picadillo de carne de rez y puerco)</t>
        </is>
      </c>
      <c r="C1098" s="1" t="n">
        <v>4</v>
      </c>
      <c r="D1098" s="1" t="inlineStr">
        <is>
          <t>FNDDS recipe with replaced or modified SR codes</t>
        </is>
      </c>
      <c r="E1098" s="1" t="inlineStr">
        <is>
          <t>Base</t>
        </is>
      </c>
      <c r="F1098" s="1" t="n">
        <v>0.754915</v>
      </c>
    </row>
    <row r="1099" ht="15.75" customHeight="1" s="201">
      <c r="A1099" s="1" t="n">
        <v>27211000</v>
      </c>
      <c r="B1099" s="1" t="inlineStr">
        <is>
          <t>Beef and potatoes, no sauce</t>
        </is>
      </c>
      <c r="C1099" s="1" t="n">
        <v>1</v>
      </c>
      <c r="D1099" s="1" t="inlineStr">
        <is>
          <t>Links to FNDDS</t>
        </is>
      </c>
      <c r="E1099" s="1" t="inlineStr">
        <is>
          <t>Base</t>
        </is>
      </c>
      <c r="F1099" s="1" t="n">
        <v>0.878573</v>
      </c>
    </row>
    <row r="1100" ht="15.75" customHeight="1" s="201">
      <c r="A1100" s="1" t="n">
        <v>27211100</v>
      </c>
      <c r="B1100" s="1" t="inlineStr">
        <is>
          <t>Beef stew with potatoes, tomato-based sauce (Includes beef stew with potatoes, NS as to base)</t>
        </is>
      </c>
      <c r="C1100" s="1" t="n">
        <v>4</v>
      </c>
      <c r="D1100" s="1" t="inlineStr">
        <is>
          <t>FNDDS recipe with replaced or modified SR codes</t>
        </is>
      </c>
      <c r="E1100" s="1" t="inlineStr">
        <is>
          <t>Base</t>
        </is>
      </c>
      <c r="F1100" s="1" t="n">
        <v>0.599198</v>
      </c>
    </row>
    <row r="1101" ht="15.75" customHeight="1" s="201">
      <c r="A1101" s="1" t="n">
        <v>27211110</v>
      </c>
      <c r="B1101" s="1" t="inlineStr">
        <is>
          <t>Beef stew with potatoes, tomato-based sauce, Mexican style (Includes Carne guisada con papas)</t>
        </is>
      </c>
      <c r="C1101" s="1" t="n">
        <v>4</v>
      </c>
      <c r="D1101" s="1" t="inlineStr">
        <is>
          <t>FNDDS recipe with replaced or modified SR codes</t>
        </is>
      </c>
      <c r="E1101" s="1" t="inlineStr">
        <is>
          <t>Base</t>
        </is>
      </c>
      <c r="F1101" s="1" t="n">
        <v>0.791866</v>
      </c>
    </row>
    <row r="1102" ht="15.75" customHeight="1" s="201">
      <c r="A1102" s="1" t="n">
        <v>27211200</v>
      </c>
      <c r="B1102" s="1" t="inlineStr">
        <is>
          <t>Beef stew with potatoes, gravy</t>
        </is>
      </c>
      <c r="C1102" s="1" t="n">
        <v>4</v>
      </c>
      <c r="D1102" s="1" t="inlineStr">
        <is>
          <t>FNDDS recipe with replaced or modified SR codes</t>
        </is>
      </c>
      <c r="E1102" s="1" t="inlineStr">
        <is>
          <t>Base</t>
        </is>
      </c>
      <c r="F1102" s="1" t="n">
        <v>0.5891729999999999</v>
      </c>
    </row>
    <row r="1103" ht="15.75" customHeight="1" s="201">
      <c r="A1103" s="1" t="n">
        <v>27211300</v>
      </c>
      <c r="B1103" s="1" t="inlineStr">
        <is>
          <t>Beef, roast, hash</t>
        </is>
      </c>
      <c r="C1103" s="1" t="n">
        <v>1</v>
      </c>
      <c r="D1103" s="1" t="inlineStr">
        <is>
          <t>Links to FNDDS</t>
        </is>
      </c>
      <c r="E1103" s="1" t="inlineStr">
        <is>
          <t>Base</t>
        </is>
      </c>
      <c r="F1103" s="1" t="n">
        <v>0.628899</v>
      </c>
    </row>
    <row r="1104" ht="15.75" customHeight="1" s="201">
      <c r="A1104" s="1" t="n">
        <v>27211400</v>
      </c>
      <c r="B1104" s="1" t="inlineStr">
        <is>
          <t>Corned beef hash</t>
        </is>
      </c>
      <c r="C1104" s="1" t="n">
        <v>1</v>
      </c>
      <c r="D1104" s="1" t="inlineStr">
        <is>
          <t>Links to FNDDS</t>
        </is>
      </c>
      <c r="E1104" s="1" t="inlineStr">
        <is>
          <t>Base</t>
        </is>
      </c>
      <c r="F1104" s="1" t="n">
        <v>0.591581</v>
      </c>
    </row>
    <row r="1105" ht="15.75" customHeight="1" s="201">
      <c r="A1105" s="1" t="n">
        <v>27211500</v>
      </c>
      <c r="B1105" s="1" t="inlineStr">
        <is>
          <t>Beef and potatoes with cheese sauce</t>
        </is>
      </c>
      <c r="C1105" s="1" t="n">
        <v>2</v>
      </c>
      <c r="D1105" s="1" t="inlineStr">
        <is>
          <t>Links to altEC</t>
        </is>
      </c>
      <c r="E1105" s="1" t="inlineStr">
        <is>
          <t>Base</t>
        </is>
      </c>
      <c r="F1105" s="1" t="n">
        <v>0.878573</v>
      </c>
    </row>
    <row r="1106" ht="15.75" customHeight="1" s="201">
      <c r="A1106" s="1" t="n">
        <v>27211550</v>
      </c>
      <c r="B1106" s="1" t="inlineStr">
        <is>
          <t>Stewed, seasoned, ground beef with potatoes, Mexican style (Includes Picadillo de carne de rez con papas)</t>
        </is>
      </c>
      <c r="C1106" s="1" t="n">
        <v>4</v>
      </c>
      <c r="D1106" s="1" t="inlineStr">
        <is>
          <t>FNDDS recipe with replaced or modified SR codes</t>
        </is>
      </c>
      <c r="E1106" s="1" t="inlineStr">
        <is>
          <t>Base</t>
        </is>
      </c>
      <c r="F1106" s="1" t="n">
        <v>0.598371</v>
      </c>
    </row>
    <row r="1107" ht="15.75" customHeight="1" s="201">
      <c r="A1107" s="1" t="n">
        <v>27212000</v>
      </c>
      <c r="B1107" s="1" t="inlineStr">
        <is>
          <t>Beef and noodles, no sauce (Includes Hamburger Helper Beef Noodle)</t>
        </is>
      </c>
      <c r="C1107" s="1" t="n">
        <v>4</v>
      </c>
      <c r="D1107" s="1" t="inlineStr">
        <is>
          <t>FNDDS recipe with replaced or modified SR codes</t>
        </is>
      </c>
      <c r="E1107" s="1" t="inlineStr">
        <is>
          <t>Base</t>
        </is>
      </c>
      <c r="F1107" s="1" t="n">
        <v>0.60109</v>
      </c>
    </row>
    <row r="1108" ht="15.75" customHeight="1" s="201">
      <c r="A1108" s="1" t="n">
        <v>27212050</v>
      </c>
      <c r="B1108" s="1" t="inlineStr">
        <is>
          <t>Beef and macaroni with cheese sauce (Includes Hamburger Helper Cheddar'n Bacon; Hamburger Helper Nacho Cheese)</t>
        </is>
      </c>
      <c r="C1108" s="1" t="n">
        <v>5</v>
      </c>
      <c r="D1108" s="1" t="inlineStr">
        <is>
          <t>Modified FNDDS recipe</t>
        </is>
      </c>
      <c r="E1108" s="1" t="inlineStr">
        <is>
          <t>Base</t>
        </is>
      </c>
      <c r="F1108" s="1" t="n">
        <v>0.44873</v>
      </c>
    </row>
    <row r="1109" ht="15.75" customHeight="1" s="201">
      <c r="A1109" s="1" t="n">
        <v>27212100</v>
      </c>
      <c r="B1109" s="1" t="inlineStr">
        <is>
          <t>Beef and noodles with tomato-based sauce (Includes beef casserole, NFS; Hamburger Helper, NFS; Hamburger Helper Chili Tomato; Hamburger Helper Lasagna; Hamburger Helper Zesty Italian)</t>
        </is>
      </c>
      <c r="C1109" s="1" t="n">
        <v>4</v>
      </c>
      <c r="D1109" s="1" t="inlineStr">
        <is>
          <t>FNDDS recipe with replaced or modified SR codes</t>
        </is>
      </c>
      <c r="E1109" s="1" t="inlineStr">
        <is>
          <t>Base</t>
        </is>
      </c>
      <c r="F1109" s="1" t="n">
        <v>0.413696</v>
      </c>
    </row>
    <row r="1110" ht="15.75" customHeight="1" s="201">
      <c r="A1110" s="1" t="n">
        <v>27212120</v>
      </c>
      <c r="B1110" s="1" t="inlineStr">
        <is>
          <t>Chili con carne with beans and macaroni</t>
        </is>
      </c>
      <c r="C1110" s="1" t="n">
        <v>1</v>
      </c>
      <c r="D1110" s="1" t="inlineStr">
        <is>
          <t>Links to FNDDS</t>
        </is>
      </c>
      <c r="E1110" s="1" t="inlineStr">
        <is>
          <t>Base</t>
        </is>
      </c>
      <c r="F1110" s="1" t="n">
        <v>0.906605</v>
      </c>
    </row>
    <row r="1111" ht="15.75" customHeight="1" s="201">
      <c r="A1111" s="1" t="n">
        <v>27212150</v>
      </c>
      <c r="B1111" s="1" t="inlineStr">
        <is>
          <t>Beef goulash with noodles</t>
        </is>
      </c>
      <c r="C1111" s="1" t="n">
        <v>4</v>
      </c>
      <c r="D1111" s="1" t="inlineStr">
        <is>
          <t>FNDDS recipe with replaced or modified SR codes</t>
        </is>
      </c>
      <c r="E1111" s="1" t="inlineStr">
        <is>
          <t>Base</t>
        </is>
      </c>
      <c r="F1111" s="1" t="n">
        <v>0.749775</v>
      </c>
    </row>
    <row r="1112" ht="15.75" customHeight="1" s="201">
      <c r="A1112" s="1" t="n">
        <v>27212200</v>
      </c>
      <c r="B1112" s="1" t="inlineStr">
        <is>
          <t>Beef and noodles with gravy</t>
        </is>
      </c>
      <c r="C1112" s="1" t="n">
        <v>4</v>
      </c>
      <c r="D1112" s="1" t="inlineStr">
        <is>
          <t>FNDDS recipe with replaced or modified SR codes</t>
        </is>
      </c>
      <c r="E1112" s="1" t="inlineStr">
        <is>
          <t>Base</t>
        </is>
      </c>
      <c r="F1112" s="1" t="n">
        <v>0.6093460000000001</v>
      </c>
    </row>
    <row r="1113" ht="15.75" customHeight="1" s="201">
      <c r="A1113" s="1" t="n">
        <v>27212300</v>
      </c>
      <c r="B1113" s="1" t="inlineStr">
        <is>
          <t>Beef and noodles with cream or white sauce</t>
        </is>
      </c>
      <c r="C1113" s="1" t="n">
        <v>4</v>
      </c>
      <c r="D1113" s="1" t="inlineStr">
        <is>
          <t>FNDDS recipe with replaced or modified SR codes</t>
        </is>
      </c>
      <c r="E1113" s="1" t="inlineStr">
        <is>
          <t>Base</t>
        </is>
      </c>
      <c r="F1113" s="1" t="n">
        <v>0.526228</v>
      </c>
    </row>
    <row r="1114" ht="15.75" customHeight="1" s="201">
      <c r="A1114" s="1" t="n">
        <v>27212350</v>
      </c>
      <c r="B1114" s="1" t="inlineStr">
        <is>
          <t>Beef stroganoff with noodles (Includes Hamburger Helper Beef Stroganoff)</t>
        </is>
      </c>
      <c r="C1114" s="1" t="n">
        <v>5</v>
      </c>
      <c r="D1114" s="1" t="inlineStr">
        <is>
          <t>Modified FNDDS recipe</t>
        </is>
      </c>
      <c r="E1114" s="1" t="inlineStr">
        <is>
          <t>Base</t>
        </is>
      </c>
      <c r="F1114" s="1" t="n">
        <v>0.725842</v>
      </c>
    </row>
    <row r="1115" ht="15.75" customHeight="1" s="201">
      <c r="A1115" s="1" t="n">
        <v>27212400</v>
      </c>
      <c r="B1115" s="1" t="inlineStr">
        <is>
          <t>Beef and noodles with mushroom sauce</t>
        </is>
      </c>
      <c r="C1115" s="1" t="n">
        <v>4</v>
      </c>
      <c r="D1115" s="1" t="inlineStr">
        <is>
          <t>FNDDS recipe with replaced or modified SR codes</t>
        </is>
      </c>
      <c r="E1115" s="1" t="inlineStr">
        <is>
          <t>Base</t>
        </is>
      </c>
      <c r="F1115" s="1" t="n">
        <v>0.561385</v>
      </c>
    </row>
    <row r="1116" ht="15.75" customHeight="1" s="201">
      <c r="A1116" s="1" t="n">
        <v>27213000</v>
      </c>
      <c r="B1116" s="1" t="inlineStr">
        <is>
          <t>Beef and rice, no sauce</t>
        </is>
      </c>
      <c r="C1116" s="1" t="n">
        <v>4</v>
      </c>
      <c r="D1116" s="1" t="inlineStr">
        <is>
          <t>FNDDS recipe with replaced or modified SR codes</t>
        </is>
      </c>
      <c r="E1116" s="1" t="inlineStr">
        <is>
          <t>Base</t>
        </is>
      </c>
      <c r="F1116" s="1" t="n">
        <v>0.419214</v>
      </c>
    </row>
    <row r="1117" ht="15.75" customHeight="1" s="201">
      <c r="A1117" s="1" t="n">
        <v>27213010</v>
      </c>
      <c r="B1117" s="1" t="inlineStr">
        <is>
          <t>Biryani with meat (Includes beef, pork, goat, lamb and/or mutton; Indian rice with meat)</t>
        </is>
      </c>
      <c r="C1117" s="1" t="n">
        <v>4</v>
      </c>
      <c r="D1117" s="1" t="inlineStr">
        <is>
          <t>FNDDS recipe with replaced or modified SR codes</t>
        </is>
      </c>
      <c r="E1117" s="1" t="inlineStr">
        <is>
          <t>Base</t>
        </is>
      </c>
      <c r="F1117" s="1" t="n">
        <v>0.938485</v>
      </c>
    </row>
    <row r="1118" ht="15.75" customHeight="1" s="201">
      <c r="A1118" s="1" t="n">
        <v>27213100</v>
      </c>
      <c r="B1118" s="1" t="inlineStr">
        <is>
          <t>Beef and rice with tomato-based sauce</t>
        </is>
      </c>
      <c r="C1118" s="1" t="n">
        <v>1</v>
      </c>
      <c r="D1118" s="1" t="inlineStr">
        <is>
          <t>Links to FNDDS</t>
        </is>
      </c>
      <c r="E1118" s="1" t="inlineStr">
        <is>
          <t>Base</t>
        </is>
      </c>
      <c r="F1118" s="1" t="n">
        <v>0.761205</v>
      </c>
    </row>
    <row r="1119" ht="15.75" customHeight="1" s="201">
      <c r="A1119" s="1" t="n">
        <v>27213120</v>
      </c>
      <c r="B1119" s="1" t="inlineStr">
        <is>
          <t>Porcupine balls with tomato-based sauce (Includes beef and rice balls)</t>
        </is>
      </c>
      <c r="C1119" s="1" t="n">
        <v>4</v>
      </c>
      <c r="D1119" s="1" t="inlineStr">
        <is>
          <t>FNDDS recipe with replaced or modified SR codes</t>
        </is>
      </c>
      <c r="E1119" s="1" t="inlineStr">
        <is>
          <t>Base</t>
        </is>
      </c>
      <c r="F1119" s="1" t="n">
        <v>0.614455</v>
      </c>
    </row>
    <row r="1120" ht="15.75" customHeight="1" s="201">
      <c r="A1120" s="1" t="n">
        <v>27213150</v>
      </c>
      <c r="B1120" s="1" t="inlineStr">
        <is>
          <t>Chili con carne with beans and rice</t>
        </is>
      </c>
      <c r="C1120" s="1" t="n">
        <v>4</v>
      </c>
      <c r="D1120" s="1" t="inlineStr">
        <is>
          <t>FNDDS recipe with replaced or modified SR codes</t>
        </is>
      </c>
      <c r="E1120" s="1" t="inlineStr">
        <is>
          <t>Base</t>
        </is>
      </c>
      <c r="F1120" s="1" t="n">
        <v>0.356617</v>
      </c>
    </row>
    <row r="1121" ht="15.75" customHeight="1" s="201">
      <c r="A1121" s="1" t="n">
        <v>27213500</v>
      </c>
      <c r="B1121" s="1" t="inlineStr">
        <is>
          <t>Beef and rice with soy-based sauce (Includes Asian Helper Beef Fried Rice)</t>
        </is>
      </c>
      <c r="C1121" s="1" t="n">
        <v>4</v>
      </c>
      <c r="D1121" s="1" t="inlineStr">
        <is>
          <t>FNDDS recipe with replaced or modified SR codes</t>
        </is>
      </c>
      <c r="E1121" s="1" t="inlineStr">
        <is>
          <t>Base</t>
        </is>
      </c>
      <c r="F1121" s="1" t="n">
        <v>0.97632</v>
      </c>
    </row>
    <row r="1122" ht="15.75" customHeight="1" s="201">
      <c r="A1122" s="1" t="n">
        <v>27213600</v>
      </c>
      <c r="B1122" s="1" t="inlineStr">
        <is>
          <t>Beef and rice with cheese sauce (Includes Hamburger Helper Cheesy Enchilada)</t>
        </is>
      </c>
      <c r="C1122" s="1" t="n">
        <v>5</v>
      </c>
      <c r="D1122" s="1" t="inlineStr">
        <is>
          <t>Modified FNDDS recipe</t>
        </is>
      </c>
      <c r="E1122" s="1" t="inlineStr">
        <is>
          <t>Base</t>
        </is>
      </c>
      <c r="F1122" s="1" t="n">
        <v>0.364643</v>
      </c>
    </row>
    <row r="1123" ht="15.75" customHeight="1" s="201">
      <c r="A1123" s="1" t="n">
        <v>27214100</v>
      </c>
      <c r="B1123" s="1" t="inlineStr">
        <is>
          <t>Meat loaf made with beef (Includes beef meat loaf or meatball, with breading or NS as to breading, no sauce; meat patty)</t>
        </is>
      </c>
      <c r="C1123" s="1" t="n">
        <v>4</v>
      </c>
      <c r="D1123" s="1" t="inlineStr">
        <is>
          <t>FNDDS recipe with replaced or modified SR codes</t>
        </is>
      </c>
      <c r="E1123" s="1" t="inlineStr">
        <is>
          <t>Base</t>
        </is>
      </c>
      <c r="F1123" s="1" t="n">
        <v>0.837237</v>
      </c>
    </row>
    <row r="1124" ht="15.75" customHeight="1" s="201">
      <c r="A1124" s="1" t="n">
        <v>27214110</v>
      </c>
      <c r="B1124" s="1" t="inlineStr">
        <is>
          <t>Meat loaf made with beef, with tomato-based sauce (Includes meatball; meat patty, with beef, breading, tomato-based sauce)</t>
        </is>
      </c>
      <c r="C1124" s="1" t="n">
        <v>4</v>
      </c>
      <c r="D1124" s="1" t="inlineStr">
        <is>
          <t>FNDDS recipe with replaced or modified SR codes</t>
        </is>
      </c>
      <c r="E1124" s="1" t="inlineStr">
        <is>
          <t>Base</t>
        </is>
      </c>
      <c r="F1124" s="1" t="n">
        <v>0.693619</v>
      </c>
    </row>
    <row r="1125" ht="15.75" customHeight="1" s="201">
      <c r="A1125" s="1" t="n">
        <v>27218210</v>
      </c>
      <c r="B1125" s="1" t="inlineStr">
        <is>
          <t>Beef stew with potatoes, Puerto Rican style (Includes Carne guisada con papas)</t>
        </is>
      </c>
      <c r="C1125" s="1" t="n">
        <v>4</v>
      </c>
      <c r="D1125" s="1" t="inlineStr">
        <is>
          <t>FNDDS recipe with replaced or modified SR codes</t>
        </is>
      </c>
      <c r="E1125" s="1" t="inlineStr">
        <is>
          <t>Base</t>
        </is>
      </c>
      <c r="F1125" s="1" t="n">
        <v>1.041146</v>
      </c>
    </row>
    <row r="1126" ht="15.75" customHeight="1" s="201">
      <c r="A1126" s="1" t="n">
        <v>27220010</v>
      </c>
      <c r="B1126" s="1" t="inlineStr">
        <is>
          <t>Meat loaf made with ham (Includes pork meatball, with breading, no sauce, not a luncheon meat)</t>
        </is>
      </c>
      <c r="C1126" s="1" t="n">
        <v>4</v>
      </c>
      <c r="D1126" s="1" t="inlineStr">
        <is>
          <t>FNDDS recipe with replaced or modified SR codes</t>
        </is>
      </c>
      <c r="E1126" s="1" t="inlineStr">
        <is>
          <t>Base</t>
        </is>
      </c>
      <c r="F1126" s="1" t="n">
        <v>0.8434469999999999</v>
      </c>
    </row>
    <row r="1127" ht="15.75" customHeight="1" s="201">
      <c r="A1127" s="1" t="n">
        <v>27220080</v>
      </c>
      <c r="B1127" s="1" t="inlineStr">
        <is>
          <t>Ham croquette</t>
        </is>
      </c>
      <c r="C1127" s="1" t="n">
        <v>1</v>
      </c>
      <c r="D1127" s="1" t="inlineStr">
        <is>
          <t>Links to FNDDS</t>
        </is>
      </c>
      <c r="E1127" s="1" t="inlineStr">
        <is>
          <t>Base</t>
        </is>
      </c>
      <c r="F1127" s="1" t="n">
        <v>0.740581</v>
      </c>
    </row>
    <row r="1128" ht="15.75" customHeight="1" s="201">
      <c r="A1128" s="1" t="n">
        <v>27220110</v>
      </c>
      <c r="B1128" s="1" t="inlineStr">
        <is>
          <t>Pork and rice with tomato-based sauce</t>
        </is>
      </c>
      <c r="C1128" s="1" t="n">
        <v>4</v>
      </c>
      <c r="D1128" s="1" t="inlineStr">
        <is>
          <t>FNDDS recipe with replaced or modified SR codes</t>
        </is>
      </c>
      <c r="E1128" s="1" t="inlineStr">
        <is>
          <t>Base</t>
        </is>
      </c>
      <c r="F1128" s="1" t="n">
        <v>0.284361</v>
      </c>
    </row>
    <row r="1129" ht="15.75" customHeight="1" s="201">
      <c r="A1129" s="1" t="n">
        <v>27220120</v>
      </c>
      <c r="B1129" s="1" t="inlineStr">
        <is>
          <t>Sausage and rice with tomato-based sauce</t>
        </is>
      </c>
      <c r="C1129" s="1" t="n">
        <v>4</v>
      </c>
      <c r="D1129" s="1" t="inlineStr">
        <is>
          <t>FNDDS recipe with replaced or modified SR codes</t>
        </is>
      </c>
      <c r="E1129" s="1" t="inlineStr">
        <is>
          <t>Base</t>
        </is>
      </c>
      <c r="F1129" s="1" t="n">
        <v>0.249869</v>
      </c>
    </row>
    <row r="1130" ht="15.75" customHeight="1" s="201">
      <c r="A1130" s="1" t="n">
        <v>27220210</v>
      </c>
      <c r="B1130" s="1" t="inlineStr">
        <is>
          <t>Ham and noodles, no sauce</t>
        </is>
      </c>
      <c r="C1130" s="1" t="n">
        <v>4</v>
      </c>
      <c r="D1130" s="1" t="inlineStr">
        <is>
          <t>FNDDS recipe with replaced or modified SR codes</t>
        </is>
      </c>
      <c r="E1130" s="1" t="inlineStr">
        <is>
          <t>Base</t>
        </is>
      </c>
      <c r="F1130" s="1" t="n">
        <v>0.342201</v>
      </c>
    </row>
    <row r="1131" ht="15.75" customHeight="1" s="201">
      <c r="A1131" s="1" t="n">
        <v>27220310</v>
      </c>
      <c r="B1131" s="1" t="inlineStr">
        <is>
          <t>Ham or pork and rice, no sauce</t>
        </is>
      </c>
      <c r="C1131" s="1" t="n">
        <v>1</v>
      </c>
      <c r="D1131" s="1" t="inlineStr">
        <is>
          <t>Links to FNDDS</t>
        </is>
      </c>
      <c r="E1131" s="1" t="inlineStr">
        <is>
          <t>Base</t>
        </is>
      </c>
      <c r="F1131" s="1" t="n">
        <v>2.698191</v>
      </c>
    </row>
    <row r="1132" ht="15.75" customHeight="1" s="201">
      <c r="A1132" s="1" t="n">
        <v>27220510</v>
      </c>
      <c r="B1132" s="1" t="inlineStr">
        <is>
          <t>Ham or pork and potatoes with gravy</t>
        </is>
      </c>
      <c r="C1132" s="1" t="n">
        <v>4</v>
      </c>
      <c r="D1132" s="1" t="inlineStr">
        <is>
          <t>FNDDS recipe with replaced or modified SR codes</t>
        </is>
      </c>
      <c r="E1132" s="1" t="inlineStr">
        <is>
          <t>Base</t>
        </is>
      </c>
      <c r="F1132" s="1" t="n">
        <v>0.449228</v>
      </c>
    </row>
    <row r="1133" ht="15.75" customHeight="1" s="201">
      <c r="A1133" s="1" t="n">
        <v>27220520</v>
      </c>
      <c r="B1133" s="1" t="inlineStr">
        <is>
          <t>Ham or pork and potatoes with cheese sauce</t>
        </is>
      </c>
      <c r="C1133" s="1" t="n">
        <v>4</v>
      </c>
      <c r="D1133" s="1" t="inlineStr">
        <is>
          <t>FNDDS recipe with replaced or modified SR codes</t>
        </is>
      </c>
      <c r="E1133" s="1" t="inlineStr">
        <is>
          <t>Base</t>
        </is>
      </c>
      <c r="F1133" s="1" t="n">
        <v>0.388356</v>
      </c>
    </row>
    <row r="1134" ht="15.75" customHeight="1" s="201">
      <c r="A1134" s="1" t="n">
        <v>27221150</v>
      </c>
      <c r="B1134" s="1" t="inlineStr">
        <is>
          <t>Pork stew, with potatoes, tomato-based sauce, Mexican style (Includes Cerdo guisado con papas)</t>
        </is>
      </c>
      <c r="C1134" s="1" t="n">
        <v>4</v>
      </c>
      <c r="D1134" s="1" t="inlineStr">
        <is>
          <t>FNDDS recipe with replaced or modified SR codes</t>
        </is>
      </c>
      <c r="E1134" s="1" t="inlineStr">
        <is>
          <t>Base</t>
        </is>
      </c>
      <c r="F1134" s="1" t="n">
        <v>0.492244</v>
      </c>
    </row>
    <row r="1135" ht="15.75" customHeight="1" s="201">
      <c r="A1135" s="1" t="n">
        <v>27235000</v>
      </c>
      <c r="B1135" s="1" t="inlineStr">
        <is>
          <t>Meat loaf made with venison/deer (Includes venison meatball, with breading, no sauce)</t>
        </is>
      </c>
      <c r="C1135" s="1" t="n">
        <v>4</v>
      </c>
      <c r="D1135" s="1" t="inlineStr">
        <is>
          <t>FNDDS recipe with replaced or modified SR codes</t>
        </is>
      </c>
      <c r="E1135" s="1" t="inlineStr">
        <is>
          <t>Base</t>
        </is>
      </c>
      <c r="F1135" s="1" t="n">
        <v>1.786945</v>
      </c>
    </row>
    <row r="1136" ht="15.75" customHeight="1" s="201">
      <c r="A1136" s="1" t="n">
        <v>27241010</v>
      </c>
      <c r="B1136" s="1" t="inlineStr">
        <is>
          <t>Chicken or turkey and potatoes with gravy (Includes Chicken Helper, Potatoes, and Gravy)</t>
        </is>
      </c>
      <c r="C1136" s="1" t="n">
        <v>1</v>
      </c>
      <c r="D1136" s="1" t="inlineStr">
        <is>
          <t>Links to FNDDS</t>
        </is>
      </c>
      <c r="E1136" s="1" t="inlineStr">
        <is>
          <t>Base</t>
        </is>
      </c>
      <c r="F1136" s="1" t="n">
        <v>0.98668</v>
      </c>
    </row>
    <row r="1137" ht="15.75" customHeight="1" s="201">
      <c r="A1137" s="1" t="n">
        <v>27242000</v>
      </c>
      <c r="B1137" s="1" t="inlineStr">
        <is>
          <t>Chicken or turkey and noodles, no sauce</t>
        </is>
      </c>
      <c r="C1137" s="1" t="n">
        <v>4</v>
      </c>
      <c r="D1137" s="1" t="inlineStr">
        <is>
          <t>FNDDS recipe with replaced or modified SR codes</t>
        </is>
      </c>
      <c r="E1137" s="1" t="inlineStr">
        <is>
          <t>Base</t>
        </is>
      </c>
      <c r="F1137" s="1" t="n">
        <v>0.323014</v>
      </c>
    </row>
    <row r="1138" ht="15.75" customHeight="1" s="201">
      <c r="A1138" s="1" t="n">
        <v>27242300</v>
      </c>
      <c r="B1138" s="1" t="inlineStr">
        <is>
          <t>Chicken or turkey and noodles with cream or white sauce (Includes chicken or turkey casserole, NFS)</t>
        </is>
      </c>
      <c r="C1138" s="1" t="n">
        <v>1</v>
      </c>
      <c r="D1138" s="1" t="inlineStr">
        <is>
          <t>Links to FNDDS</t>
        </is>
      </c>
      <c r="E1138" s="1" t="inlineStr">
        <is>
          <t>Base</t>
        </is>
      </c>
      <c r="F1138" s="1" t="n">
        <v>0.815935</v>
      </c>
    </row>
    <row r="1139" ht="15.75" customHeight="1" s="201">
      <c r="A1139" s="1" t="n">
        <v>27242310</v>
      </c>
      <c r="B1139" s="1" t="inlineStr">
        <is>
          <t>Chicken or turkey and noodles with cheese sauce</t>
        </is>
      </c>
      <c r="C1139" s="1" t="n">
        <v>2</v>
      </c>
      <c r="D1139" s="1" t="inlineStr">
        <is>
          <t>Links to altEC</t>
        </is>
      </c>
      <c r="E1139" s="1" t="inlineStr">
        <is>
          <t>Base</t>
        </is>
      </c>
      <c r="F1139" s="1" t="n">
        <v>0.535029</v>
      </c>
    </row>
    <row r="1140" ht="15.75" customHeight="1" s="201">
      <c r="A1140" s="1" t="n">
        <v>27242400</v>
      </c>
      <c r="B1140" s="1" t="inlineStr">
        <is>
          <t>Chicken or turkey and noodles with tomato-based sauce</t>
        </is>
      </c>
      <c r="C1140" s="1" t="n">
        <v>1</v>
      </c>
      <c r="D1140" s="1" t="inlineStr">
        <is>
          <t>Links to FNDDS</t>
        </is>
      </c>
      <c r="E1140" s="1" t="inlineStr">
        <is>
          <t>Base</t>
        </is>
      </c>
      <c r="F1140" s="1" t="n">
        <v>0.694842</v>
      </c>
    </row>
    <row r="1141" ht="15.75" customHeight="1" s="201">
      <c r="A1141" s="1" t="n">
        <v>27243000</v>
      </c>
      <c r="B1141" s="1" t="inlineStr">
        <is>
          <t>Chicken or turkey and rice, no sauce</t>
        </is>
      </c>
      <c r="C1141" s="1" t="n">
        <v>4</v>
      </c>
      <c r="D1141" s="1" t="inlineStr">
        <is>
          <t>FNDDS recipe with replaced or modified SR codes</t>
        </is>
      </c>
      <c r="E1141" s="1" t="inlineStr">
        <is>
          <t>Base</t>
        </is>
      </c>
      <c r="F1141" s="1" t="n">
        <v>0.217596</v>
      </c>
    </row>
    <row r="1142" ht="15.75" customHeight="1" s="201">
      <c r="A1142" s="1" t="n">
        <v>27243100</v>
      </c>
      <c r="B1142" s="1" t="inlineStr">
        <is>
          <t>Biryani with chicken (Includes Indian rice with chicken)</t>
        </is>
      </c>
      <c r="C1142" s="1" t="n">
        <v>1</v>
      </c>
      <c r="D1142" s="1" t="inlineStr">
        <is>
          <t>Links to FNDDS</t>
        </is>
      </c>
      <c r="E1142" s="1" t="inlineStr">
        <is>
          <t>Base</t>
        </is>
      </c>
      <c r="F1142" s="1" t="n">
        <v>1.588466</v>
      </c>
    </row>
    <row r="1143" ht="15.75" customHeight="1" s="201">
      <c r="A1143" s="1" t="n">
        <v>27243300</v>
      </c>
      <c r="B1143" s="1" t="inlineStr">
        <is>
          <t>Chicken or turkey and rice with cream sauce (Includes Chicken Helper Mushroom Chicken with Long Grain and Wild Rice)</t>
        </is>
      </c>
      <c r="C1143" s="1" t="n">
        <v>2</v>
      </c>
      <c r="D1143" s="1" t="inlineStr">
        <is>
          <t>Links to altEC</t>
        </is>
      </c>
      <c r="E1143" s="1" t="inlineStr">
        <is>
          <t>Base</t>
        </is>
      </c>
      <c r="F1143" s="1" t="n">
        <v>1.356398</v>
      </c>
    </row>
    <row r="1144" ht="15.75" customHeight="1" s="201">
      <c r="A1144" s="1" t="n">
        <v>27246100</v>
      </c>
      <c r="B1144" s="1" t="inlineStr">
        <is>
          <t>Chicken or turkey with dumplings (Includes Chicken Helper Chicken and Dumplings)</t>
        </is>
      </c>
      <c r="C1144" s="1" t="n">
        <v>5</v>
      </c>
      <c r="D1144" s="1" t="inlineStr">
        <is>
          <t>Modified FNDDS recipe</t>
        </is>
      </c>
      <c r="E1144" s="1" t="inlineStr">
        <is>
          <t>Base</t>
        </is>
      </c>
      <c r="F1144" s="1" t="n">
        <v>0.561439</v>
      </c>
    </row>
    <row r="1145" ht="15.75" customHeight="1" s="201">
      <c r="A1145" s="1" t="n">
        <v>27246200</v>
      </c>
      <c r="B1145" s="1" t="inlineStr">
        <is>
          <t>Chicken or turkey with stuffing (Includes Chicken Helper Chicken and Stuffing)</t>
        </is>
      </c>
      <c r="C1145" s="1" t="n">
        <v>1</v>
      </c>
      <c r="D1145" s="1" t="inlineStr">
        <is>
          <t>Links to FNDDS</t>
        </is>
      </c>
      <c r="E1145" s="1" t="inlineStr">
        <is>
          <t>Base</t>
        </is>
      </c>
      <c r="F1145" s="1" t="n">
        <v>1.587901</v>
      </c>
    </row>
    <row r="1146" ht="15.75" customHeight="1" s="201">
      <c r="A1146" s="1" t="n">
        <v>27246500</v>
      </c>
      <c r="B1146" s="1" t="inlineStr">
        <is>
          <t>Meat loaf made with chicken or turkey (Includes with breading or NS as to breading, no sauce; chicken or turkey meatball, with breading or NS as to breading, no sauce)</t>
        </is>
      </c>
      <c r="C1146" s="1" t="n">
        <v>4</v>
      </c>
      <c r="D1146" s="1" t="inlineStr">
        <is>
          <t>FNDDS recipe with replaced or modified SR codes</t>
        </is>
      </c>
      <c r="E1146" s="1" t="inlineStr">
        <is>
          <t>Base</t>
        </is>
      </c>
      <c r="F1146" s="1" t="n">
        <v>1.035629</v>
      </c>
    </row>
    <row r="1147" ht="15.75" customHeight="1" s="201">
      <c r="A1147" s="1" t="n">
        <v>27246505</v>
      </c>
      <c r="B1147" s="1" t="inlineStr">
        <is>
          <t>Meat loaf made with chicken or turkey, with tomato-based sauce (Includes with breading or NS as to breading; chicken or turkey meatball, with breading or NS as to breading, tomato sauce)</t>
        </is>
      </c>
      <c r="C1147" s="1" t="n">
        <v>4</v>
      </c>
      <c r="D1147" s="1" t="inlineStr">
        <is>
          <t>FNDDS recipe with replaced or modified SR codes</t>
        </is>
      </c>
      <c r="E1147" s="1" t="inlineStr">
        <is>
          <t>Base</t>
        </is>
      </c>
      <c r="F1147" s="1" t="n">
        <v>0.882572</v>
      </c>
    </row>
    <row r="1148" ht="15.75" customHeight="1" s="201">
      <c r="A1148" s="1" t="n">
        <v>27250030</v>
      </c>
      <c r="B1148" s="1" t="inlineStr">
        <is>
          <t>Codfish ball or cake (Includes fish ball, NFS)</t>
        </is>
      </c>
      <c r="C1148" s="1" t="n">
        <v>1</v>
      </c>
      <c r="D1148" s="1" t="inlineStr">
        <is>
          <t>Links to FNDDS</t>
        </is>
      </c>
      <c r="E1148" s="1" t="inlineStr">
        <is>
          <t>Base</t>
        </is>
      </c>
      <c r="F1148" s="1" t="n">
        <v>0.433339</v>
      </c>
    </row>
    <row r="1149" ht="15.75" customHeight="1" s="201">
      <c r="A1149" s="1" t="n">
        <v>27250040</v>
      </c>
      <c r="B1149" s="1" t="inlineStr">
        <is>
          <t>Crab cake</t>
        </is>
      </c>
      <c r="C1149" s="1" t="n">
        <v>1</v>
      </c>
      <c r="D1149" s="1" t="inlineStr">
        <is>
          <t>Links to FNDDS</t>
        </is>
      </c>
      <c r="E1149" s="1" t="inlineStr">
        <is>
          <t>Base</t>
        </is>
      </c>
      <c r="F1149" s="1" t="n">
        <v>1.31695</v>
      </c>
    </row>
    <row r="1150" ht="15.75" customHeight="1" s="201">
      <c r="A1150" s="1" t="n">
        <v>27250050</v>
      </c>
      <c r="B1150" s="1" t="inlineStr">
        <is>
          <t>Fish cake or patty, NS as to fish</t>
        </is>
      </c>
      <c r="C1150" s="1" t="n">
        <v>1</v>
      </c>
      <c r="D1150" s="1" t="inlineStr">
        <is>
          <t>Links to FNDDS</t>
        </is>
      </c>
      <c r="E1150" s="1" t="inlineStr">
        <is>
          <t>Base</t>
        </is>
      </c>
      <c r="F1150" s="1" t="n">
        <v>0.917618</v>
      </c>
    </row>
    <row r="1151" ht="15.75" customHeight="1" s="201">
      <c r="A1151" s="1" t="n">
        <v>27250070</v>
      </c>
      <c r="B1151" s="1" t="inlineStr">
        <is>
          <t>Salmon cake or patty (Includes salmon croquette)</t>
        </is>
      </c>
      <c r="C1151" s="1" t="n">
        <v>1</v>
      </c>
      <c r="D1151" s="1" t="inlineStr">
        <is>
          <t>Links to FNDDS</t>
        </is>
      </c>
      <c r="E1151" s="1" t="inlineStr">
        <is>
          <t>Base</t>
        </is>
      </c>
      <c r="F1151" s="1" t="n">
        <v>1.293175</v>
      </c>
    </row>
    <row r="1152" ht="15.75" customHeight="1" s="201">
      <c r="A1152" s="1" t="n">
        <v>27250120</v>
      </c>
      <c r="B1152" s="1" t="inlineStr">
        <is>
          <t>Shrimp and noodles, no sauce</t>
        </is>
      </c>
      <c r="C1152" s="1" t="n">
        <v>4</v>
      </c>
      <c r="D1152" s="1" t="inlineStr">
        <is>
          <t>FNDDS recipe with replaced or modified SR codes</t>
        </is>
      </c>
      <c r="E1152" s="1" t="inlineStr">
        <is>
          <t>Base</t>
        </is>
      </c>
      <c r="F1152" s="1" t="n">
        <v>0.747552</v>
      </c>
    </row>
    <row r="1153" ht="15.75" customHeight="1" s="201">
      <c r="A1153" s="1" t="n">
        <v>27250126</v>
      </c>
      <c r="B1153" s="1" t="inlineStr">
        <is>
          <t>Shrimp and noodles with cream or white sauce</t>
        </is>
      </c>
      <c r="C1153" s="1" t="n">
        <v>1</v>
      </c>
      <c r="D1153" s="1" t="inlineStr">
        <is>
          <t>Links to FNDDS</t>
        </is>
      </c>
      <c r="E1153" s="1" t="inlineStr">
        <is>
          <t>Base</t>
        </is>
      </c>
      <c r="F1153" s="1" t="n">
        <v>1.107333</v>
      </c>
    </row>
    <row r="1154" ht="15.75" customHeight="1" s="201">
      <c r="A1154" s="1" t="n">
        <v>27250128</v>
      </c>
      <c r="B1154" s="1" t="inlineStr">
        <is>
          <t>Shrimp and noodles with soy-based sauce</t>
        </is>
      </c>
      <c r="C1154" s="1" t="n">
        <v>4</v>
      </c>
      <c r="D1154" s="1" t="inlineStr">
        <is>
          <t>FNDDS recipe with replaced or modified SR codes</t>
        </is>
      </c>
      <c r="E1154" s="1" t="inlineStr">
        <is>
          <t>Base</t>
        </is>
      </c>
      <c r="F1154" s="1" t="n">
        <v>1.394301</v>
      </c>
    </row>
    <row r="1155" ht="15.75" customHeight="1" s="201">
      <c r="A1155" s="1" t="n">
        <v>27250130</v>
      </c>
      <c r="B1155" s="1" t="inlineStr">
        <is>
          <t>Shrimp and noodles with cheese sauce</t>
        </is>
      </c>
      <c r="C1155" s="1" t="n">
        <v>4</v>
      </c>
      <c r="D1155" s="1" t="inlineStr">
        <is>
          <t>FNDDS recipe with replaced or modified SR codes</t>
        </is>
      </c>
      <c r="E1155" s="1" t="inlineStr">
        <is>
          <t>Base</t>
        </is>
      </c>
      <c r="F1155" s="1" t="n">
        <v>0.638818</v>
      </c>
    </row>
    <row r="1156" ht="15.75" customHeight="1" s="201">
      <c r="A1156" s="1" t="n">
        <v>27250132</v>
      </c>
      <c r="B1156" s="1" t="inlineStr">
        <is>
          <t>Shrimp and noodles with tomato sauce</t>
        </is>
      </c>
      <c r="C1156" s="1" t="n">
        <v>1</v>
      </c>
      <c r="D1156" s="1" t="inlineStr">
        <is>
          <t>Links to FNDDS</t>
        </is>
      </c>
      <c r="E1156" s="1" t="inlineStr">
        <is>
          <t>Base</t>
        </is>
      </c>
      <c r="F1156" s="1" t="n">
        <v>1.575029</v>
      </c>
    </row>
    <row r="1157" ht="15.75" customHeight="1" s="201">
      <c r="A1157" s="1" t="n">
        <v>27250400</v>
      </c>
      <c r="B1157" s="1" t="inlineStr">
        <is>
          <t>Shrimp cake or patty (Includes shrimp burger; shrimp stick, battered)</t>
        </is>
      </c>
      <c r="C1157" s="1" t="n">
        <v>1</v>
      </c>
      <c r="D1157" s="1" t="inlineStr">
        <is>
          <t>Links to FNDDS</t>
        </is>
      </c>
      <c r="E1157" s="1" t="inlineStr">
        <is>
          <t>Base</t>
        </is>
      </c>
      <c r="F1157" s="1" t="n">
        <v>0.594642</v>
      </c>
    </row>
    <row r="1158" ht="15.75" customHeight="1" s="201">
      <c r="A1158" s="1" t="n">
        <v>27250410</v>
      </c>
      <c r="B1158" s="1" t="inlineStr">
        <is>
          <t>Shrimp with crab stuffing</t>
        </is>
      </c>
      <c r="C1158" s="1" t="n">
        <v>1</v>
      </c>
      <c r="D1158" s="1" t="inlineStr">
        <is>
          <t>Links to FNDDS</t>
        </is>
      </c>
      <c r="E1158" s="1" t="inlineStr">
        <is>
          <t>Base</t>
        </is>
      </c>
      <c r="F1158" s="1" t="n">
        <v>0.445641</v>
      </c>
    </row>
    <row r="1159" ht="15.75" customHeight="1" s="201">
      <c r="A1159" s="1" t="n">
        <v>27250520</v>
      </c>
      <c r="B1159" s="1" t="inlineStr">
        <is>
          <t>Seafood restructured (Includes Delicaseas; Sea Tails; Sea Stix; imitation crab meat)</t>
        </is>
      </c>
      <c r="C1159" s="1" t="n">
        <v>1</v>
      </c>
      <c r="D1159" s="1" t="inlineStr">
        <is>
          <t>Links to FNDDS</t>
        </is>
      </c>
      <c r="E1159" s="1" t="inlineStr">
        <is>
          <t>Base</t>
        </is>
      </c>
      <c r="F1159" s="1" t="n">
        <v>0.902524</v>
      </c>
    </row>
    <row r="1160" ht="15.75" customHeight="1" s="201">
      <c r="A1160" s="1" t="n">
        <v>27250610</v>
      </c>
      <c r="B1160" s="1" t="inlineStr">
        <is>
          <t>Tuna noodle casserole with cream or white sauce (Includes tuna noodle casserole, NS as to sauce)</t>
        </is>
      </c>
      <c r="C1160" s="1" t="n">
        <v>1</v>
      </c>
      <c r="D1160" s="1" t="inlineStr">
        <is>
          <t>Links to FNDDS</t>
        </is>
      </c>
      <c r="E1160" s="1" t="inlineStr">
        <is>
          <t>Base</t>
        </is>
      </c>
      <c r="F1160" s="1" t="n">
        <v>0.8362889999999999</v>
      </c>
    </row>
    <row r="1161" ht="15.75" customHeight="1" s="201">
      <c r="A1161" s="1" t="n">
        <v>27250630</v>
      </c>
      <c r="B1161" s="1" t="inlineStr">
        <is>
          <t>Tuna noodle casserole with mushroom sauce</t>
        </is>
      </c>
      <c r="C1161" s="1" t="n">
        <v>4</v>
      </c>
      <c r="D1161" s="1" t="inlineStr">
        <is>
          <t>FNDDS recipe with replaced or modified SR codes</t>
        </is>
      </c>
      <c r="E1161" s="1" t="inlineStr">
        <is>
          <t>Base</t>
        </is>
      </c>
      <c r="F1161" s="1" t="n">
        <v>0.630487</v>
      </c>
    </row>
    <row r="1162" ht="15.75" customHeight="1" s="201">
      <c r="A1162" s="1" t="n">
        <v>27250810</v>
      </c>
      <c r="B1162" s="1" t="inlineStr">
        <is>
          <t>Fish and rice with tomato-based sauce</t>
        </is>
      </c>
      <c r="C1162" s="1" t="n">
        <v>4</v>
      </c>
      <c r="D1162" s="1" t="inlineStr">
        <is>
          <t>FNDDS recipe with replaced or modified SR codes</t>
        </is>
      </c>
      <c r="E1162" s="1" t="inlineStr">
        <is>
          <t>Base</t>
        </is>
      </c>
      <c r="F1162" s="1" t="n">
        <v>0.440466</v>
      </c>
    </row>
    <row r="1163" ht="15.75" customHeight="1" s="201">
      <c r="A1163" s="1" t="n">
        <v>27260010</v>
      </c>
      <c r="B1163" s="1" t="inlineStr">
        <is>
          <t>Meat loaf, NS as to type of meat (Includes meatball, NS as to type of meat, with breading, no sauce)</t>
        </is>
      </c>
      <c r="C1163" s="1" t="n">
        <v>4</v>
      </c>
      <c r="D1163" s="1" t="inlineStr">
        <is>
          <t>FNDDS recipe with replaced or modified SR codes</t>
        </is>
      </c>
      <c r="E1163" s="1" t="inlineStr">
        <is>
          <t>Base</t>
        </is>
      </c>
      <c r="F1163" s="1" t="n">
        <v>0.837096</v>
      </c>
    </row>
    <row r="1164" ht="15.75" customHeight="1" s="201">
      <c r="A1164" s="1" t="n">
        <v>27260080</v>
      </c>
      <c r="B1164" s="1" t="inlineStr">
        <is>
          <t>Meat loaf made with beef and pork (Includes meatball or meat patty, made with beef and pork, with breading, no sauce)</t>
        </is>
      </c>
      <c r="C1164" s="1" t="n">
        <v>4</v>
      </c>
      <c r="D1164" s="1" t="inlineStr">
        <is>
          <t>FNDDS recipe with replaced or modified SR codes</t>
        </is>
      </c>
      <c r="E1164" s="1" t="inlineStr">
        <is>
          <t>Base</t>
        </is>
      </c>
      <c r="F1164" s="1" t="n">
        <v>0.794014</v>
      </c>
    </row>
    <row r="1165" ht="15.75" customHeight="1" s="201">
      <c r="A1165" s="1" t="n">
        <v>27260100</v>
      </c>
      <c r="B1165" s="1" t="inlineStr">
        <is>
          <t>Meat loaf made with beef and pork, with tomato-based sauce (Includes meatball / meat patty, with beef and pork, breading, tomato-based sauce)</t>
        </is>
      </c>
      <c r="C1165" s="1" t="n">
        <v>1</v>
      </c>
      <c r="D1165" s="1" t="inlineStr">
        <is>
          <t>Links to FNDDS</t>
        </is>
      </c>
      <c r="E1165" s="1" t="inlineStr">
        <is>
          <t>Base</t>
        </is>
      </c>
      <c r="F1165" s="1" t="n">
        <v>0.535475</v>
      </c>
    </row>
    <row r="1166" ht="15.75" customHeight="1" s="201">
      <c r="A1166" s="1" t="n">
        <v>27260110</v>
      </c>
      <c r="B1166" s="1" t="inlineStr">
        <is>
          <t>Hash, NS as to type of meat</t>
        </is>
      </c>
      <c r="C1166" s="1" t="n">
        <v>1</v>
      </c>
      <c r="D1166" s="1" t="inlineStr">
        <is>
          <t>Links to FNDDS</t>
        </is>
      </c>
      <c r="E1166" s="1" t="inlineStr">
        <is>
          <t>Base</t>
        </is>
      </c>
      <c r="F1166" s="1" t="n">
        <v>0.581981</v>
      </c>
    </row>
    <row r="1167" ht="15.75" customHeight="1" s="201">
      <c r="A1167" s="1" t="n">
        <v>27311120</v>
      </c>
      <c r="B1167" s="1" t="inlineStr">
        <is>
          <t>Beef, potatoes, and vegetables, excluding carrots, broccoli, and dark-green leafy; no sauce</t>
        </is>
      </c>
      <c r="C1167" s="1" t="n">
        <v>4</v>
      </c>
      <c r="D1167" s="1" t="inlineStr">
        <is>
          <t>FNDDS recipe with replaced or modified SR codes</t>
        </is>
      </c>
      <c r="E1167" s="1" t="inlineStr">
        <is>
          <t>Base</t>
        </is>
      </c>
      <c r="F1167" s="1" t="n">
        <v>0.627841</v>
      </c>
    </row>
    <row r="1168" ht="15.75" customHeight="1" s="201">
      <c r="A1168" s="1" t="n">
        <v>27311210</v>
      </c>
      <c r="B1168" s="1" t="inlineStr">
        <is>
          <t>Corned beef, potatoes, and vegetables including carrots, broccoli, and/or dark-green leafy; no sauce</t>
        </is>
      </c>
      <c r="C1168" s="1" t="n">
        <v>4</v>
      </c>
      <c r="D1168" s="1" t="inlineStr">
        <is>
          <t>FNDDS recipe with replaced or modified SR codes</t>
        </is>
      </c>
      <c r="E1168" s="1" t="inlineStr">
        <is>
          <t>Base</t>
        </is>
      </c>
      <c r="F1168" s="1" t="n">
        <v>0.562961</v>
      </c>
    </row>
    <row r="1169" ht="15.75" customHeight="1" s="201">
      <c r="A1169" s="1" t="n">
        <v>27311310</v>
      </c>
      <c r="B1169" s="1" t="inlineStr">
        <is>
          <t>Beef stew with potatoes and vegetables including carrots, broccoli, and/or dark-green leafy; tomato-based sauce (Includes meatball stew, NFS; beef stew, NFS; canned or ready to serve; Dinty Moore Beef Stew)</t>
        </is>
      </c>
      <c r="C1169" s="1" t="n">
        <v>4</v>
      </c>
      <c r="D1169" s="1" t="inlineStr">
        <is>
          <t>FNDDS recipe with replaced or modified SR codes</t>
        </is>
      </c>
      <c r="E1169" s="1" t="inlineStr">
        <is>
          <t>Base</t>
        </is>
      </c>
      <c r="F1169" s="1" t="n">
        <v>0.487811</v>
      </c>
    </row>
    <row r="1170" ht="15.75" customHeight="1" s="201">
      <c r="A1170" s="1" t="n">
        <v>27311320</v>
      </c>
      <c r="B1170" s="1" t="inlineStr">
        <is>
          <t>Beef stew with potatoes and vegetables excluding carrots, broccoli, and dark-green leafy; tomato-based sauce</t>
        </is>
      </c>
      <c r="C1170" s="1" t="n">
        <v>4</v>
      </c>
      <c r="D1170" s="1" t="inlineStr">
        <is>
          <t>FNDDS recipe with replaced or modified SR codes</t>
        </is>
      </c>
      <c r="E1170" s="1" t="inlineStr">
        <is>
          <t>Base</t>
        </is>
      </c>
      <c r="F1170" s="1" t="n">
        <v>0.477144</v>
      </c>
    </row>
    <row r="1171" ht="15.75" customHeight="1" s="201">
      <c r="A1171" s="1" t="n">
        <v>27311410</v>
      </c>
      <c r="B1171" s="1" t="inlineStr">
        <is>
          <t>Beef stew with potatoes and vegetables including carrots, broccoli, and/or dark-green leafy; gravy</t>
        </is>
      </c>
      <c r="C1171" s="1" t="n">
        <v>4</v>
      </c>
      <c r="D1171" s="1" t="inlineStr">
        <is>
          <t>FNDDS recipe with replaced or modified SR codes</t>
        </is>
      </c>
      <c r="E1171" s="1" t="inlineStr">
        <is>
          <t>Base</t>
        </is>
      </c>
      <c r="F1171" s="1" t="n">
        <v>0.43981</v>
      </c>
    </row>
    <row r="1172" ht="15.75" customHeight="1" s="201">
      <c r="A1172" s="1" t="n">
        <v>27311420</v>
      </c>
      <c r="B1172" s="1" t="inlineStr">
        <is>
          <t>Beef stew with potatoes and vegetables excluding carrots, broccoli, and dark-green leafy; gravy</t>
        </is>
      </c>
      <c r="C1172" s="1" t="n">
        <v>4</v>
      </c>
      <c r="D1172" s="1" t="inlineStr">
        <is>
          <t>FNDDS recipe with replaced or modified SR codes</t>
        </is>
      </c>
      <c r="E1172" s="1" t="inlineStr">
        <is>
          <t>Base</t>
        </is>
      </c>
      <c r="F1172" s="1" t="n">
        <v>0.453786</v>
      </c>
    </row>
    <row r="1173" ht="15.75" customHeight="1" s="201">
      <c r="A1173" s="1" t="n">
        <v>27311510</v>
      </c>
      <c r="B1173" s="1" t="inlineStr">
        <is>
          <t>Shepherd's pie with beef</t>
        </is>
      </c>
      <c r="C1173" s="1" t="n">
        <v>1</v>
      </c>
      <c r="D1173" s="1" t="inlineStr">
        <is>
          <t>Links to FNDDS</t>
        </is>
      </c>
      <c r="E1173" s="1" t="inlineStr">
        <is>
          <t>Base</t>
        </is>
      </c>
      <c r="F1173" s="1" t="n">
        <v>1.517642</v>
      </c>
    </row>
    <row r="1174" ht="15.75" customHeight="1" s="201">
      <c r="A1174" s="1" t="n">
        <v>27311600</v>
      </c>
      <c r="B1174" s="1" t="inlineStr">
        <is>
          <t>Beef, potatoes, and vegetables including carrots, broccoli, and/or dark-green leafy; gravy</t>
        </is>
      </c>
      <c r="C1174" s="1" t="n">
        <v>4</v>
      </c>
      <c r="D1174" s="1" t="inlineStr">
        <is>
          <t>FNDDS recipe with replaced or modified SR codes</t>
        </is>
      </c>
      <c r="E1174" s="1" t="inlineStr">
        <is>
          <t>Base</t>
        </is>
      </c>
      <c r="F1174" s="1" t="n">
        <v>0.60021</v>
      </c>
    </row>
    <row r="1175" ht="15.75" customHeight="1" s="201">
      <c r="A1175" s="1" t="n">
        <v>27311610</v>
      </c>
      <c r="B1175" s="1" t="inlineStr">
        <is>
          <t>Beef, potatoes, and vegetables including carrots, broccoli, and/or dark-green leafy; cream sauce, white sauce, or mushroom sauce</t>
        </is>
      </c>
      <c r="C1175" s="1" t="n">
        <v>4</v>
      </c>
      <c r="D1175" s="1" t="inlineStr">
        <is>
          <t>FNDDS recipe with replaced or modified SR codes</t>
        </is>
      </c>
      <c r="E1175" s="1" t="inlineStr">
        <is>
          <t>Base</t>
        </is>
      </c>
      <c r="F1175" s="1" t="n">
        <v>0.561936</v>
      </c>
    </row>
    <row r="1176" ht="15.75" customHeight="1" s="201">
      <c r="A1176" s="1" t="n">
        <v>27311620</v>
      </c>
      <c r="B1176" s="1" t="inlineStr">
        <is>
          <t>Beef, potatoes, and vegetables excluding carrots, broccoli, and dark-green leafy; cream sauce, white sauce, or mushroom sauce</t>
        </is>
      </c>
      <c r="C1176" s="1" t="n">
        <v>4</v>
      </c>
      <c r="D1176" s="1" t="inlineStr">
        <is>
          <t>FNDDS recipe with replaced or modified SR codes</t>
        </is>
      </c>
      <c r="E1176" s="1" t="inlineStr">
        <is>
          <t>Base</t>
        </is>
      </c>
      <c r="F1176" s="1" t="n">
        <v>0.55092</v>
      </c>
    </row>
    <row r="1177" ht="15.75" customHeight="1" s="201">
      <c r="A1177" s="1" t="n">
        <v>27311630</v>
      </c>
      <c r="B1177" s="1" t="inlineStr">
        <is>
          <t>Beef, potatoes, and vegetables excluding carrots, broccoli, and dark-green leafy; tomato-based sauce</t>
        </is>
      </c>
      <c r="C1177" s="1" t="n">
        <v>4</v>
      </c>
      <c r="D1177" s="1" t="inlineStr">
        <is>
          <t>FNDDS recipe with replaced or modified SR codes</t>
        </is>
      </c>
      <c r="E1177" s="1" t="inlineStr">
        <is>
          <t>Base</t>
        </is>
      </c>
      <c r="F1177" s="1" t="n">
        <v>0.521529</v>
      </c>
    </row>
    <row r="1178" ht="15.75" customHeight="1" s="201">
      <c r="A1178" s="1" t="n">
        <v>27311635</v>
      </c>
      <c r="B1178" s="1" t="inlineStr">
        <is>
          <t>Beef, potatoes, and vegetables including carrots, broccoli, and/or dark-green leafy; cheese sauce</t>
        </is>
      </c>
      <c r="C1178" s="1" t="n">
        <v>4</v>
      </c>
      <c r="D1178" s="1" t="inlineStr">
        <is>
          <t>FNDDS recipe with replaced or modified SR codes</t>
        </is>
      </c>
      <c r="E1178" s="1" t="inlineStr">
        <is>
          <t>Base</t>
        </is>
      </c>
      <c r="F1178" s="1" t="n">
        <v>0.589198</v>
      </c>
    </row>
    <row r="1179" ht="15.75" customHeight="1" s="201">
      <c r="A1179" s="1" t="n">
        <v>27313010</v>
      </c>
      <c r="B1179" s="1" t="inlineStr">
        <is>
          <t>Beef, noodles, and vegetables including carrots, broccoli, and/or dark-green leafy; no sauce</t>
        </is>
      </c>
      <c r="C1179" s="1" t="n">
        <v>4</v>
      </c>
      <c r="D1179" s="1" t="inlineStr">
        <is>
          <t>FNDDS recipe with replaced or modified SR codes</t>
        </is>
      </c>
      <c r="E1179" s="1" t="inlineStr">
        <is>
          <t>Base</t>
        </is>
      </c>
      <c r="F1179" s="1" t="n">
        <v>0.630589</v>
      </c>
    </row>
    <row r="1180" ht="15.75" customHeight="1" s="201">
      <c r="A1180" s="1" t="n">
        <v>27313020</v>
      </c>
      <c r="B1180" s="1" t="inlineStr">
        <is>
          <t>Beef, noodles, and vegetables excluding carrots, broccoli, and dark-green leafy; no sauce</t>
        </is>
      </c>
      <c r="C1180" s="1" t="n">
        <v>4</v>
      </c>
      <c r="D1180" s="1" t="inlineStr">
        <is>
          <t>FNDDS recipe with replaced or modified SR codes</t>
        </is>
      </c>
      <c r="E1180" s="1" t="inlineStr">
        <is>
          <t>Base</t>
        </is>
      </c>
      <c r="F1180" s="1" t="n">
        <v>0.614055</v>
      </c>
    </row>
    <row r="1181" ht="15.75" customHeight="1" s="201">
      <c r="A1181" s="1" t="n">
        <v>27313160</v>
      </c>
      <c r="B1181" s="1" t="inlineStr">
        <is>
          <t>Beef, noodles, and vegetables excluding carrots, broccoli, and dark-green leafy; soy-based sauce</t>
        </is>
      </c>
      <c r="C1181" s="1" t="n">
        <v>2</v>
      </c>
      <c r="D1181" s="1" t="inlineStr">
        <is>
          <t>Links to altEC</t>
        </is>
      </c>
      <c r="E1181" s="1" t="inlineStr">
        <is>
          <t>Base</t>
        </is>
      </c>
      <c r="F1181" s="1" t="n">
        <v>0.521224</v>
      </c>
    </row>
    <row r="1182" ht="15.75" customHeight="1" s="201">
      <c r="A1182" s="1" t="n">
        <v>27313220</v>
      </c>
      <c r="B1182" s="1" t="inlineStr">
        <is>
          <t>Beef, noodles, and vegetables excluding carrots, broccoli, and dark-green leafy; tomato-based sauce</t>
        </is>
      </c>
      <c r="C1182" s="1" t="n">
        <v>4</v>
      </c>
      <c r="D1182" s="1" t="inlineStr">
        <is>
          <t>FNDDS recipe with replaced or modified SR codes</t>
        </is>
      </c>
      <c r="E1182" s="1" t="inlineStr">
        <is>
          <t>Base</t>
        </is>
      </c>
      <c r="F1182" s="1" t="n">
        <v>0.511429</v>
      </c>
    </row>
    <row r="1183" ht="15.75" customHeight="1" s="201">
      <c r="A1183" s="1" t="n">
        <v>27313310</v>
      </c>
      <c r="B1183" s="1" t="inlineStr">
        <is>
          <t>Beef, noodles, and vegetables including carrots, broccoli, and/or dark-green leafy; mushroom sauce</t>
        </is>
      </c>
      <c r="C1183" s="1" t="n">
        <v>4</v>
      </c>
      <c r="D1183" s="1" t="inlineStr">
        <is>
          <t>FNDDS recipe with replaced or modified SR codes</t>
        </is>
      </c>
      <c r="E1183" s="1" t="inlineStr">
        <is>
          <t>Base</t>
        </is>
      </c>
      <c r="F1183" s="1" t="n">
        <v>0.554239</v>
      </c>
    </row>
    <row r="1184" ht="15.75" customHeight="1" s="201">
      <c r="A1184" s="1" t="n">
        <v>27313410</v>
      </c>
      <c r="B1184" s="1" t="inlineStr">
        <is>
          <t>Beef, noodles, and vegetables including carrots, broccoli, and/or dark-green leafy; gravy</t>
        </is>
      </c>
      <c r="C1184" s="1" t="n">
        <v>4</v>
      </c>
      <c r="D1184" s="1" t="inlineStr">
        <is>
          <t>FNDDS recipe with replaced or modified SR codes</t>
        </is>
      </c>
      <c r="E1184" s="1" t="inlineStr">
        <is>
          <t>Base</t>
        </is>
      </c>
      <c r="F1184" s="1" t="n">
        <v>0.592983</v>
      </c>
    </row>
    <row r="1185" ht="15.75" customHeight="1" s="201">
      <c r="A1185" s="1" t="n">
        <v>27313420</v>
      </c>
      <c r="B1185" s="1" t="inlineStr">
        <is>
          <t>Beef, noodles, and vegetables excluding carrots, broccoli, and dark-green leafy; gravy</t>
        </is>
      </c>
      <c r="C1185" s="1" t="n">
        <v>4</v>
      </c>
      <c r="D1185" s="1" t="inlineStr">
        <is>
          <t>FNDDS recipe with replaced or modified SR codes</t>
        </is>
      </c>
      <c r="E1185" s="1" t="inlineStr">
        <is>
          <t>Base</t>
        </is>
      </c>
      <c r="F1185" s="1" t="n">
        <v>0.580233</v>
      </c>
    </row>
    <row r="1186" ht="15.75" customHeight="1" s="201">
      <c r="A1186" s="1" t="n">
        <v>27315010</v>
      </c>
      <c r="B1186" s="1" t="inlineStr">
        <is>
          <t>Beef, rice, and vegetables including carrots, broccoli, and/or dark-green leafy; no sauce</t>
        </is>
      </c>
      <c r="C1186" s="1" t="n">
        <v>4</v>
      </c>
      <c r="D1186" s="1" t="inlineStr">
        <is>
          <t>FNDDS recipe with replaced or modified SR codes</t>
        </is>
      </c>
      <c r="E1186" s="1" t="inlineStr">
        <is>
          <t>Base</t>
        </is>
      </c>
      <c r="F1186" s="1" t="n">
        <v>0.527374</v>
      </c>
    </row>
    <row r="1187" ht="15.75" customHeight="1" s="201">
      <c r="A1187" s="1" t="n">
        <v>27315020</v>
      </c>
      <c r="B1187" s="1" t="inlineStr">
        <is>
          <t>Beef, rice, and vegetables excluding carrots, broccoli, and dark-green leafy; no sauce</t>
        </is>
      </c>
      <c r="C1187" s="1" t="n">
        <v>4</v>
      </c>
      <c r="D1187" s="1" t="inlineStr">
        <is>
          <t>FNDDS recipe with replaced or modified SR codes</t>
        </is>
      </c>
      <c r="E1187" s="1" t="inlineStr">
        <is>
          <t>Base</t>
        </is>
      </c>
      <c r="F1187" s="1" t="n">
        <v>0.510616</v>
      </c>
    </row>
    <row r="1188" ht="15.75" customHeight="1" s="201">
      <c r="A1188" s="1" t="n">
        <v>27315210</v>
      </c>
      <c r="B1188" s="1" t="inlineStr">
        <is>
          <t>Beef, rice, and vegetables including carrots, broccoli, and/or dark-green leafy; tomato-based sauce</t>
        </is>
      </c>
      <c r="C1188" s="1" t="n">
        <v>4</v>
      </c>
      <c r="D1188" s="1" t="inlineStr">
        <is>
          <t>FNDDS recipe with replaced or modified SR codes</t>
        </is>
      </c>
      <c r="E1188" s="1" t="inlineStr">
        <is>
          <t>Base</t>
        </is>
      </c>
      <c r="F1188" s="1" t="n">
        <v>0.448325</v>
      </c>
    </row>
    <row r="1189" ht="15.75" customHeight="1" s="201">
      <c r="A1189" s="1" t="n">
        <v>27315220</v>
      </c>
      <c r="B1189" s="1" t="inlineStr">
        <is>
          <t>Beef, rice, and vegetables excluding carrots, broccoli, and/or dark-green leafy; tomato-based sauce</t>
        </is>
      </c>
      <c r="C1189" s="1" t="n">
        <v>4</v>
      </c>
      <c r="D1189" s="1" t="inlineStr">
        <is>
          <t>FNDDS recipe with replaced or modified SR codes</t>
        </is>
      </c>
      <c r="E1189" s="1" t="inlineStr">
        <is>
          <t>Base</t>
        </is>
      </c>
      <c r="F1189" s="1" t="n">
        <v>0.435829</v>
      </c>
    </row>
    <row r="1190" ht="15.75" customHeight="1" s="201">
      <c r="A1190" s="1" t="n">
        <v>27315250</v>
      </c>
      <c r="B1190" s="1" t="inlineStr">
        <is>
          <t>Stuffed cabbage rolls with beef and rice</t>
        </is>
      </c>
      <c r="C1190" s="1" t="n">
        <v>1</v>
      </c>
      <c r="D1190" s="1" t="inlineStr">
        <is>
          <t>Links to FNDDS</t>
        </is>
      </c>
      <c r="E1190" s="1" t="inlineStr">
        <is>
          <t>Base</t>
        </is>
      </c>
      <c r="F1190" s="1" t="n">
        <v>1.053792</v>
      </c>
    </row>
    <row r="1191" ht="15.75" customHeight="1" s="201">
      <c r="A1191" s="1" t="n">
        <v>27315340</v>
      </c>
      <c r="B1191" s="1" t="inlineStr">
        <is>
          <t>Beef, rice, and vegetables excluding carrots, broccoli, and dark-green leafy; cheese sauce</t>
        </is>
      </c>
      <c r="C1191" s="1" t="n">
        <v>4</v>
      </c>
      <c r="D1191" s="1" t="inlineStr">
        <is>
          <t>FNDDS recipe with replaced or modified SR codes</t>
        </is>
      </c>
      <c r="E1191" s="1" t="inlineStr">
        <is>
          <t>Base</t>
        </is>
      </c>
      <c r="F1191" s="1" t="n">
        <v>0.461648</v>
      </c>
    </row>
    <row r="1192" ht="15.75" customHeight="1" s="201">
      <c r="A1192" s="1" t="n">
        <v>27315410</v>
      </c>
      <c r="B1192" s="1" t="inlineStr">
        <is>
          <t>Beef, rice, and vegetables including carrots, broccoli, and/or dark-green leafy; gravy</t>
        </is>
      </c>
      <c r="C1192" s="1" t="n">
        <v>4</v>
      </c>
      <c r="D1192" s="1" t="inlineStr">
        <is>
          <t>FNDDS recipe with replaced or modified SR codes</t>
        </is>
      </c>
      <c r="E1192" s="1" t="inlineStr">
        <is>
          <t>Base</t>
        </is>
      </c>
      <c r="F1192" s="1" t="n">
        <v>0.516143</v>
      </c>
    </row>
    <row r="1193" ht="15.75" customHeight="1" s="201">
      <c r="A1193" s="1" t="n">
        <v>27315510</v>
      </c>
      <c r="B1193" s="1" t="inlineStr">
        <is>
          <t>Beef, rice, and vegetables including carrots, broccoli, and/or dark-green leafy; soy-based sauce</t>
        </is>
      </c>
      <c r="C1193" s="1" t="n">
        <v>1</v>
      </c>
      <c r="D1193" s="1" t="inlineStr">
        <is>
          <t>Links to FNDDS</t>
        </is>
      </c>
      <c r="E1193" s="1" t="inlineStr">
        <is>
          <t>Base</t>
        </is>
      </c>
      <c r="F1193" s="1" t="n">
        <v>0.848877</v>
      </c>
    </row>
    <row r="1194" ht="15.75" customHeight="1" s="201">
      <c r="A1194" s="1" t="n">
        <v>27317010</v>
      </c>
      <c r="B1194" s="1" t="inlineStr">
        <is>
          <t>Beef pot pie (Includes Greek meat pie; sirloin burger pie)</t>
        </is>
      </c>
      <c r="C1194" s="1" t="n">
        <v>1</v>
      </c>
      <c r="D1194" s="1" t="inlineStr">
        <is>
          <t>Links to FNDDS</t>
        </is>
      </c>
      <c r="E1194" s="1" t="inlineStr">
        <is>
          <t>Base</t>
        </is>
      </c>
      <c r="F1194" s="1" t="n">
        <v>0.602826</v>
      </c>
    </row>
    <row r="1195" ht="15.75" customHeight="1" s="201">
      <c r="A1195" s="1" t="n">
        <v>27320025</v>
      </c>
      <c r="B1195" s="1" t="inlineStr">
        <is>
          <t>Ham or pork, noodles and vegetables excluding carrots, broccoli, and dark-green leafy; no sauce</t>
        </is>
      </c>
      <c r="C1195" s="1" t="n">
        <v>4</v>
      </c>
      <c r="D1195" s="1" t="inlineStr">
        <is>
          <t>FNDDS recipe with replaced or modified SR codes</t>
        </is>
      </c>
      <c r="E1195" s="1" t="inlineStr">
        <is>
          <t>Base</t>
        </is>
      </c>
      <c r="F1195" s="1" t="n">
        <v>0.445775</v>
      </c>
    </row>
    <row r="1196" ht="15.75" customHeight="1" s="201">
      <c r="A1196" s="1" t="n">
        <v>27320027</v>
      </c>
      <c r="B1196" s="1" t="inlineStr">
        <is>
          <t>Ham or pork, noodles, and vegetables including carrots, broccoli, and/or dark-green leafy; no sauce</t>
        </is>
      </c>
      <c r="C1196" s="1" t="n">
        <v>4</v>
      </c>
      <c r="D1196" s="1" t="inlineStr">
        <is>
          <t>FNDDS recipe with replaced or modified SR codes</t>
        </is>
      </c>
      <c r="E1196" s="1" t="inlineStr">
        <is>
          <t>Base</t>
        </is>
      </c>
      <c r="F1196" s="1" t="n">
        <v>0.462982</v>
      </c>
    </row>
    <row r="1197" ht="15.75" customHeight="1" s="201">
      <c r="A1197" s="1" t="n">
        <v>27320040</v>
      </c>
      <c r="B1197" s="1" t="inlineStr">
        <is>
          <t>Pork, potatoes, and vegetables including carrots, broccoli, and/or dark-green leafy; no sauce</t>
        </is>
      </c>
      <c r="C1197" s="1" t="n">
        <v>4</v>
      </c>
      <c r="D1197" s="1" t="inlineStr">
        <is>
          <t>FNDDS recipe with replaced or modified SR codes</t>
        </is>
      </c>
      <c r="E1197" s="1" t="inlineStr">
        <is>
          <t>Base</t>
        </is>
      </c>
      <c r="F1197" s="1" t="n">
        <v>0.478761</v>
      </c>
    </row>
    <row r="1198" ht="15.75" customHeight="1" s="201">
      <c r="A1198" s="1" t="n">
        <v>27320100</v>
      </c>
      <c r="B1198" s="1" t="inlineStr">
        <is>
          <t>Pork, potatoes, and vegetables including carrots, broccoli, and/or dark-green leafy; tomato-based sauce</t>
        </is>
      </c>
      <c r="C1198" s="1" t="n">
        <v>4</v>
      </c>
      <c r="D1198" s="1" t="inlineStr">
        <is>
          <t>FNDDS recipe with replaced or modified SR codes</t>
        </is>
      </c>
      <c r="E1198" s="1" t="inlineStr">
        <is>
          <t>Base</t>
        </is>
      </c>
      <c r="F1198" s="1" t="n">
        <v>0.413231</v>
      </c>
    </row>
    <row r="1199" ht="15.75" customHeight="1" s="201">
      <c r="A1199" s="1" t="n">
        <v>27320110</v>
      </c>
      <c r="B1199" s="1" t="inlineStr">
        <is>
          <t>Pork, potatoes, and vegetables excluding carrots, broccoli, and dark-green leafy; tomato-based sauce</t>
        </is>
      </c>
      <c r="C1199" s="1" t="n">
        <v>4</v>
      </c>
      <c r="D1199" s="1" t="inlineStr">
        <is>
          <t>FNDDS recipe with replaced or modified SR codes</t>
        </is>
      </c>
      <c r="E1199" s="1" t="inlineStr">
        <is>
          <t>Base</t>
        </is>
      </c>
      <c r="F1199" s="1" t="n">
        <v>0.400795</v>
      </c>
    </row>
    <row r="1200" ht="15.75" customHeight="1" s="201">
      <c r="A1200" s="1" t="n">
        <v>27320120</v>
      </c>
      <c r="B1200" s="1" t="inlineStr">
        <is>
          <t>Sausage, potatoes, and vegetables including carrots, broccoli, and/or dark-green leafy; gravy</t>
        </is>
      </c>
      <c r="C1200" s="1" t="n">
        <v>4</v>
      </c>
      <c r="D1200" s="1" t="inlineStr">
        <is>
          <t>FNDDS recipe with replaced or modified SR codes</t>
        </is>
      </c>
      <c r="E1200" s="1" t="inlineStr">
        <is>
          <t>Base</t>
        </is>
      </c>
      <c r="F1200" s="1" t="n">
        <v>0.465711</v>
      </c>
    </row>
    <row r="1201" ht="15.75" customHeight="1" s="201">
      <c r="A1201" s="1" t="n">
        <v>27320130</v>
      </c>
      <c r="B1201" s="1" t="inlineStr">
        <is>
          <t>Sausage, potatoes, and vegetables excluding carrots, broccoli, and dark-green leafy; gravy</t>
        </is>
      </c>
      <c r="C1201" s="1" t="n">
        <v>4</v>
      </c>
      <c r="D1201" s="1" t="inlineStr">
        <is>
          <t>FNDDS recipe with replaced or modified SR codes</t>
        </is>
      </c>
      <c r="E1201" s="1" t="inlineStr">
        <is>
          <t>Base</t>
        </is>
      </c>
      <c r="F1201" s="1" t="n">
        <v>0.453171</v>
      </c>
    </row>
    <row r="1202" ht="15.75" customHeight="1" s="201">
      <c r="A1202" s="1" t="n">
        <v>27320210</v>
      </c>
      <c r="B1202" s="1" t="inlineStr">
        <is>
          <t>Pork, potatoes, and vegetables excluding carrots, broccoli, and dark-green leafy; no sauce</t>
        </is>
      </c>
      <c r="C1202" s="1" t="n">
        <v>4</v>
      </c>
      <c r="D1202" s="1" t="inlineStr">
        <is>
          <t>FNDDS recipe with replaced or modified SR codes</t>
        </is>
      </c>
      <c r="E1202" s="1" t="inlineStr">
        <is>
          <t>Base</t>
        </is>
      </c>
      <c r="F1202" s="1" t="n">
        <v>0.461869</v>
      </c>
    </row>
    <row r="1203" ht="15.75" customHeight="1" s="201">
      <c r="A1203" s="1" t="n">
        <v>27320310</v>
      </c>
      <c r="B1203" s="1" t="inlineStr">
        <is>
          <t>Pork chow mein or chop suey with noodles</t>
        </is>
      </c>
      <c r="C1203" s="1" t="n">
        <v>2</v>
      </c>
      <c r="D1203" s="1" t="inlineStr">
        <is>
          <t>Links to altEC</t>
        </is>
      </c>
      <c r="E1203" s="1" t="inlineStr">
        <is>
          <t>Base</t>
        </is>
      </c>
      <c r="F1203" s="1" t="n">
        <v>0.297306</v>
      </c>
    </row>
    <row r="1204" ht="15.75" customHeight="1" s="201">
      <c r="A1204" s="1" t="n">
        <v>27320320</v>
      </c>
      <c r="B1204" s="1" t="inlineStr">
        <is>
          <t>Pork, rice, and vegetables including carrots, broccoli, and/or dark-green leafy; soy-based sauce</t>
        </is>
      </c>
      <c r="C1204" s="1" t="n">
        <v>4</v>
      </c>
      <c r="D1204" s="1" t="inlineStr">
        <is>
          <t>FNDDS recipe with replaced or modified SR codes</t>
        </is>
      </c>
      <c r="E1204" s="1" t="inlineStr">
        <is>
          <t>Base</t>
        </is>
      </c>
      <c r="F1204" s="1" t="n">
        <v>0.5857520000000001</v>
      </c>
    </row>
    <row r="1205" ht="15.75" customHeight="1" s="201">
      <c r="A1205" s="1" t="n">
        <v>27320330</v>
      </c>
      <c r="B1205" s="1" t="inlineStr">
        <is>
          <t>Pork, rice, and vegetables excluding carrots, broccoli, and dark-green leafy; soy-based sauce (Includes pork chow mein or chop suey with rice)</t>
        </is>
      </c>
      <c r="C1205" s="1" t="n">
        <v>4</v>
      </c>
      <c r="D1205" s="1" t="inlineStr">
        <is>
          <t>FNDDS recipe with replaced or modified SR codes</t>
        </is>
      </c>
      <c r="E1205" s="1" t="inlineStr">
        <is>
          <t>Base</t>
        </is>
      </c>
      <c r="F1205" s="1" t="n">
        <v>0.605969</v>
      </c>
    </row>
    <row r="1206" ht="15.75" customHeight="1" s="201">
      <c r="A1206" s="1" t="n">
        <v>27320340</v>
      </c>
      <c r="B1206" s="1" t="inlineStr">
        <is>
          <t>Pork, rice, and vegetables including carrots, broccoli, and/or dark-green leafy; tomato-based sauce</t>
        </is>
      </c>
      <c r="C1206" s="1" t="n">
        <v>4</v>
      </c>
      <c r="D1206" s="1" t="inlineStr">
        <is>
          <t>FNDDS recipe with replaced or modified SR codes</t>
        </is>
      </c>
      <c r="E1206" s="1" t="inlineStr">
        <is>
          <t>Base</t>
        </is>
      </c>
      <c r="F1206" s="1" t="n">
        <v>0.325562</v>
      </c>
    </row>
    <row r="1207" ht="15.75" customHeight="1" s="201">
      <c r="A1207" s="1" t="n">
        <v>27320350</v>
      </c>
      <c r="B1207" s="1" t="inlineStr">
        <is>
          <t>Pork, rice, and vegetables excluding carrots, broccoli, and dark-green leafy; tomato-based sauce</t>
        </is>
      </c>
      <c r="C1207" s="1" t="n">
        <v>4</v>
      </c>
      <c r="D1207" s="1" t="inlineStr">
        <is>
          <t>FNDDS recipe with replaced or modified SR codes</t>
        </is>
      </c>
      <c r="E1207" s="1" t="inlineStr">
        <is>
          <t>Base</t>
        </is>
      </c>
      <c r="F1207" s="1" t="n">
        <v>0.313031</v>
      </c>
    </row>
    <row r="1208" ht="15.75" customHeight="1" s="201">
      <c r="A1208" s="1" t="n">
        <v>27330030</v>
      </c>
      <c r="B1208" s="1" t="inlineStr">
        <is>
          <t>Lamb or mutton stew with potatoes and vegetables including carrots, broccoli, and/or dark-green leafy; gravy (Includes lamb or mutton stew, NFS)</t>
        </is>
      </c>
      <c r="C1208" s="1" t="n">
        <v>4</v>
      </c>
      <c r="D1208" s="1" t="inlineStr">
        <is>
          <t>FNDDS recipe with replaced or modified SR codes</t>
        </is>
      </c>
      <c r="E1208" s="1" t="inlineStr">
        <is>
          <t>Base</t>
        </is>
      </c>
      <c r="F1208" s="1" t="n">
        <v>0.840479</v>
      </c>
    </row>
    <row r="1209" ht="15.75" customHeight="1" s="201">
      <c r="A1209" s="1" t="n">
        <v>27330170</v>
      </c>
      <c r="B1209" s="1" t="inlineStr">
        <is>
          <t>Stuffed grape leaves with lamb and rice</t>
        </is>
      </c>
      <c r="C1209" s="1" t="n">
        <v>1</v>
      </c>
      <c r="D1209" s="1" t="inlineStr">
        <is>
          <t>Links to FNDDS</t>
        </is>
      </c>
      <c r="E1209" s="1" t="inlineStr">
        <is>
          <t>Base</t>
        </is>
      </c>
      <c r="F1209" s="1" t="n">
        <v>2.48542</v>
      </c>
    </row>
    <row r="1210" ht="15.75" customHeight="1" s="201">
      <c r="A1210" s="1" t="n">
        <v>27330210</v>
      </c>
      <c r="B1210" s="1" t="inlineStr">
        <is>
          <t>Lamb or mutton stew with potatoes and vegetables including carrots, broccoli, and/or dark-green leafy; tomato-based sauce</t>
        </is>
      </c>
      <c r="C1210" s="1" t="n">
        <v>4</v>
      </c>
      <c r="D1210" s="1" t="inlineStr">
        <is>
          <t>FNDDS recipe with replaced or modified SR codes</t>
        </is>
      </c>
      <c r="E1210" s="1" t="inlineStr">
        <is>
          <t>Base</t>
        </is>
      </c>
      <c r="F1210" s="1" t="n">
        <v>0.779468</v>
      </c>
    </row>
    <row r="1211" ht="15.75" customHeight="1" s="201">
      <c r="A1211" s="1" t="n">
        <v>27330220</v>
      </c>
      <c r="B1211" s="1" t="inlineStr">
        <is>
          <t>Lamb or mutton stew with potatoes and vegetables excluding carrots, broccoli, and dark-green leafy; tomato-based sauce</t>
        </is>
      </c>
      <c r="C1211" s="1" t="n">
        <v>4</v>
      </c>
      <c r="D1211" s="1" t="inlineStr">
        <is>
          <t>FNDDS recipe with replaced or modified SR codes</t>
        </is>
      </c>
      <c r="E1211" s="1" t="inlineStr">
        <is>
          <t>Base</t>
        </is>
      </c>
      <c r="F1211" s="1" t="n">
        <v>0.788679</v>
      </c>
    </row>
    <row r="1212" ht="15.75" customHeight="1" s="201">
      <c r="A1212" s="1" t="n">
        <v>27336100</v>
      </c>
      <c r="B1212" s="1" t="inlineStr">
        <is>
          <t>Venison or deer stew with potatoes and vegetables including carrots, broccoli, and/or dark-green leafy; tomato-based sauce (Includes venison/deer stew, NFS)</t>
        </is>
      </c>
      <c r="C1212" s="1" t="n">
        <v>4</v>
      </c>
      <c r="D1212" s="1" t="inlineStr">
        <is>
          <t>FNDDS recipe with replaced or modified SR codes</t>
        </is>
      </c>
      <c r="E1212" s="1" t="inlineStr">
        <is>
          <t>Base</t>
        </is>
      </c>
      <c r="F1212" s="1" t="n">
        <v>0.685119</v>
      </c>
    </row>
    <row r="1213" ht="15.75" customHeight="1" s="201">
      <c r="A1213" s="1" t="n">
        <v>27336150</v>
      </c>
      <c r="B1213" s="1" t="inlineStr">
        <is>
          <t>Venison or deer stew with potatoes and vegetables excluding carrots, broccoli, and dark-green leafy; tomato-based sauce</t>
        </is>
      </c>
      <c r="C1213" s="1" t="n">
        <v>4</v>
      </c>
      <c r="D1213" s="1" t="inlineStr">
        <is>
          <t>FNDDS recipe with replaced or modified SR codes</t>
        </is>
      </c>
      <c r="E1213" s="1" t="inlineStr">
        <is>
          <t>Base</t>
        </is>
      </c>
      <c r="F1213" s="1" t="n">
        <v>0.720137</v>
      </c>
    </row>
    <row r="1214" ht="15.75" customHeight="1" s="201">
      <c r="A1214" s="1" t="n">
        <v>27341000</v>
      </c>
      <c r="B1214" s="1" t="inlineStr">
        <is>
          <t>Chicken or turkey, potatoes, corn, and cheese, with gravy (Includes KFC Mashed Potato Bowl with Gravy)</t>
        </is>
      </c>
      <c r="C1214" s="1" t="n">
        <v>4</v>
      </c>
      <c r="D1214" s="1" t="inlineStr">
        <is>
          <t>FNDDS recipe with replaced or modified SR codes</t>
        </is>
      </c>
      <c r="E1214" s="1" t="inlineStr">
        <is>
          <t>Base</t>
        </is>
      </c>
      <c r="F1214" s="1" t="n">
        <v>0.532196</v>
      </c>
    </row>
    <row r="1215" ht="15.75" customHeight="1" s="201">
      <c r="A1215" s="1" t="n">
        <v>27341010</v>
      </c>
      <c r="B1215" s="1" t="inlineStr">
        <is>
          <t>Chicken or turkey, potatoes, and vegetables including carrots, broccoli, and/or dark-green leafy; no sauce</t>
        </is>
      </c>
      <c r="C1215" s="1" t="n">
        <v>1</v>
      </c>
      <c r="D1215" s="1" t="inlineStr">
        <is>
          <t>Links to FNDDS</t>
        </is>
      </c>
      <c r="E1215" s="1" t="inlineStr">
        <is>
          <t>Base</t>
        </is>
      </c>
      <c r="F1215" s="1" t="n">
        <v>0.834467</v>
      </c>
    </row>
    <row r="1216" ht="15.75" customHeight="1" s="201">
      <c r="A1216" s="1" t="n">
        <v>27341020</v>
      </c>
      <c r="B1216" s="1" t="inlineStr">
        <is>
          <t>Chicken or turkey, potatoes, and vegetables excluding carrots, broccoli, and dark-green leafy; no sauce</t>
        </is>
      </c>
      <c r="C1216" s="1" t="n">
        <v>4</v>
      </c>
      <c r="D1216" s="1" t="inlineStr">
        <is>
          <t>FNDDS recipe with replaced or modified SR codes</t>
        </is>
      </c>
      <c r="E1216" s="1" t="inlineStr">
        <is>
          <t>Base</t>
        </is>
      </c>
      <c r="F1216" s="1" t="n">
        <v>0.429417</v>
      </c>
    </row>
    <row r="1217" ht="15.75" customHeight="1" s="201">
      <c r="A1217" s="1" t="n">
        <v>27341025</v>
      </c>
      <c r="B1217" s="1" t="inlineStr">
        <is>
          <t>Chicken or turkey, potatoes, and vegetables including carrots, broccoli, and/or dark-green leafy; gravy</t>
        </is>
      </c>
      <c r="C1217" s="1" t="n">
        <v>4</v>
      </c>
      <c r="D1217" s="1" t="inlineStr">
        <is>
          <t>FNDDS recipe with replaced or modified SR codes</t>
        </is>
      </c>
      <c r="E1217" s="1" t="inlineStr">
        <is>
          <t>Base</t>
        </is>
      </c>
      <c r="F1217" s="1" t="n">
        <v>0.455764</v>
      </c>
    </row>
    <row r="1218" ht="15.75" customHeight="1" s="201">
      <c r="A1218" s="1" t="n">
        <v>27341030</v>
      </c>
      <c r="B1218" s="1" t="inlineStr">
        <is>
          <t>Chicken or turkey, potatoes, and vegetables excluding carrots, broccoli, and dark-green leafy; gravy</t>
        </is>
      </c>
      <c r="C1218" s="1" t="n">
        <v>4</v>
      </c>
      <c r="D1218" s="1" t="inlineStr">
        <is>
          <t>FNDDS recipe with replaced or modified SR codes</t>
        </is>
      </c>
      <c r="E1218" s="1" t="inlineStr">
        <is>
          <t>Base</t>
        </is>
      </c>
      <c r="F1218" s="1" t="n">
        <v>0.443446</v>
      </c>
    </row>
    <row r="1219" ht="15.75" customHeight="1" s="201">
      <c r="A1219" s="1" t="n">
        <v>27341035</v>
      </c>
      <c r="B1219" s="1" t="inlineStr">
        <is>
          <t>Chicken or turkey, potatoes, and vegetables including carrots, broccoli, and/or dark-green leafy; cream sauce, white sauce, or mushroom sauce</t>
        </is>
      </c>
      <c r="C1219" s="1" t="n">
        <v>4</v>
      </c>
      <c r="D1219" s="1" t="inlineStr">
        <is>
          <t>FNDDS recipe with replaced or modified SR codes</t>
        </is>
      </c>
      <c r="E1219" s="1" t="inlineStr">
        <is>
          <t>Base</t>
        </is>
      </c>
      <c r="F1219" s="1" t="n">
        <v>0.427845</v>
      </c>
    </row>
    <row r="1220" ht="15.75" customHeight="1" s="201">
      <c r="A1220" s="1" t="n">
        <v>27341040</v>
      </c>
      <c r="B1220" s="1" t="inlineStr">
        <is>
          <t>Chicken or turkey, potatoes, and vegetables excluding carrots, broccoli, and dark-green leafy; cream sauce, white sauce, or mushroom sauce</t>
        </is>
      </c>
      <c r="C1220" s="1" t="n">
        <v>4</v>
      </c>
      <c r="D1220" s="1" t="inlineStr">
        <is>
          <t>FNDDS recipe with replaced or modified SR codes</t>
        </is>
      </c>
      <c r="E1220" s="1" t="inlineStr">
        <is>
          <t>Base</t>
        </is>
      </c>
      <c r="F1220" s="1" t="n">
        <v>0.416359</v>
      </c>
    </row>
    <row r="1221" ht="15.75" customHeight="1" s="201">
      <c r="A1221" s="1" t="n">
        <v>27341045</v>
      </c>
      <c r="B1221" s="1" t="inlineStr">
        <is>
          <t>Chicken or turkey, potatoes, and vegetables including carrots, broccoli, and/or dark-green leafy; cheese sauce</t>
        </is>
      </c>
      <c r="C1221" s="1" t="n">
        <v>4</v>
      </c>
      <c r="D1221" s="1" t="inlineStr">
        <is>
          <t>FNDDS recipe with replaced or modified SR codes</t>
        </is>
      </c>
      <c r="E1221" s="1" t="inlineStr">
        <is>
          <t>Base</t>
        </is>
      </c>
      <c r="F1221" s="1" t="n">
        <v>0.437122</v>
      </c>
    </row>
    <row r="1222" ht="15.75" customHeight="1" s="201">
      <c r="A1222" s="1" t="n">
        <v>27341050</v>
      </c>
      <c r="B1222" s="1" t="inlineStr">
        <is>
          <t>Chicken or turkey, potatoes, and vegetables excluding carrots, broccoli, and dark-green leafy; cheese sauce</t>
        </is>
      </c>
      <c r="C1222" s="1" t="n">
        <v>4</v>
      </c>
      <c r="D1222" s="1" t="inlineStr">
        <is>
          <t>FNDDS recipe with replaced or modified SR codes</t>
        </is>
      </c>
      <c r="E1222" s="1" t="inlineStr">
        <is>
          <t>Base</t>
        </is>
      </c>
      <c r="F1222" s="1" t="n">
        <v>0.424263</v>
      </c>
    </row>
    <row r="1223" ht="15.75" customHeight="1" s="201">
      <c r="A1223" s="1" t="n">
        <v>27341055</v>
      </c>
      <c r="B1223" s="1" t="inlineStr">
        <is>
          <t>Chicken or turkey, potatoes, and vegetables including carrots, broccoli, and/or dark-green leafy; tomato-based sauce</t>
        </is>
      </c>
      <c r="C1223" s="1" t="n">
        <v>4</v>
      </c>
      <c r="D1223" s="1" t="inlineStr">
        <is>
          <t>FNDDS recipe with replaced or modified SR codes</t>
        </is>
      </c>
      <c r="E1223" s="1" t="inlineStr">
        <is>
          <t>Base</t>
        </is>
      </c>
      <c r="F1223" s="1" t="n">
        <v>0.389795</v>
      </c>
    </row>
    <row r="1224" ht="15.75" customHeight="1" s="201">
      <c r="A1224" s="1" t="n">
        <v>27341060</v>
      </c>
      <c r="B1224" s="1" t="inlineStr">
        <is>
          <t>Chicken or turkey, potatoes, and vegetables excluding carrots, broccoli, and dark-green leafy; tomato-based sauce</t>
        </is>
      </c>
      <c r="C1224" s="1" t="n">
        <v>4</v>
      </c>
      <c r="D1224" s="1" t="inlineStr">
        <is>
          <t>FNDDS recipe with replaced or modified SR codes</t>
        </is>
      </c>
      <c r="E1224" s="1" t="inlineStr">
        <is>
          <t>Base</t>
        </is>
      </c>
      <c r="F1224" s="1" t="n">
        <v>0.377571</v>
      </c>
    </row>
    <row r="1225" ht="15.75" customHeight="1" s="201">
      <c r="A1225" s="1" t="n">
        <v>27341310</v>
      </c>
      <c r="B1225" s="1" t="inlineStr">
        <is>
          <t>Chicken or turkey stew with potatoes and vegetables including carrots, broccoli, and/or dark-green leafy; gravy (Includes chicken or turkey stew, NFS)</t>
        </is>
      </c>
      <c r="C1225" s="1" t="n">
        <v>4</v>
      </c>
      <c r="D1225" s="1" t="inlineStr">
        <is>
          <t>FNDDS recipe with replaced or modified SR codes</t>
        </is>
      </c>
      <c r="E1225" s="1" t="inlineStr">
        <is>
          <t>Base</t>
        </is>
      </c>
      <c r="F1225" s="1" t="n">
        <v>0.344324</v>
      </c>
    </row>
    <row r="1226" ht="15.75" customHeight="1" s="201">
      <c r="A1226" s="1" t="n">
        <v>27341320</v>
      </c>
      <c r="B1226" s="1" t="inlineStr">
        <is>
          <t>Chicken or turkey stew with potatoes and vegetables excluding carrots, broccoli, and dark-green leafy; gravy</t>
        </is>
      </c>
      <c r="C1226" s="1" t="n">
        <v>4</v>
      </c>
      <c r="D1226" s="1" t="inlineStr">
        <is>
          <t>FNDDS recipe with replaced or modified SR codes</t>
        </is>
      </c>
      <c r="E1226" s="1" t="inlineStr">
        <is>
          <t>Base</t>
        </is>
      </c>
      <c r="F1226" s="1" t="n">
        <v>0.361036</v>
      </c>
    </row>
    <row r="1227" ht="15.75" customHeight="1" s="201">
      <c r="A1227" s="1" t="n">
        <v>27341510</v>
      </c>
      <c r="B1227" s="1" t="inlineStr">
        <is>
          <t>Chicken or turkey stew with potatoes and vegetables including carrots, broccoli, and/or dark-green leafy; tomato-based sauce</t>
        </is>
      </c>
      <c r="C1227" s="1" t="n">
        <v>4</v>
      </c>
      <c r="D1227" s="1" t="inlineStr">
        <is>
          <t>FNDDS recipe with replaced or modified SR codes</t>
        </is>
      </c>
      <c r="E1227" s="1" t="inlineStr">
        <is>
          <t>Base</t>
        </is>
      </c>
      <c r="F1227" s="1" t="n">
        <v>0.513642</v>
      </c>
    </row>
    <row r="1228" ht="15.75" customHeight="1" s="201">
      <c r="A1228" s="1" t="n">
        <v>27341520</v>
      </c>
      <c r="B1228" s="1" t="inlineStr">
        <is>
          <t>Chicken or turkey stew with potatoes and vegetables excluding carrots, broccoli, and dark-green leafy; tomato- based sauce</t>
        </is>
      </c>
      <c r="C1228" s="1" t="n">
        <v>4</v>
      </c>
      <c r="D1228" s="1" t="inlineStr">
        <is>
          <t>FNDDS recipe with replaced or modified SR codes</t>
        </is>
      </c>
      <c r="E1228" s="1" t="inlineStr">
        <is>
          <t>Base</t>
        </is>
      </c>
      <c r="F1228" s="1" t="n">
        <v>0.524933</v>
      </c>
    </row>
    <row r="1229" ht="15.75" customHeight="1" s="201">
      <c r="A1229" s="1" t="n">
        <v>27343010</v>
      </c>
      <c r="B1229" s="1" t="inlineStr">
        <is>
          <t>Chicken or turkey, noodles, and vegetables including carrots, broccoli, and/or dark-green leafy; no sauce</t>
        </is>
      </c>
      <c r="C1229" s="1" t="n">
        <v>2</v>
      </c>
      <c r="D1229" s="1" t="inlineStr">
        <is>
          <t>Links to altEC</t>
        </is>
      </c>
      <c r="E1229" s="1" t="inlineStr">
        <is>
          <t>Base</t>
        </is>
      </c>
      <c r="F1229" s="1" t="n">
        <v>0.535029</v>
      </c>
    </row>
    <row r="1230" ht="15.75" customHeight="1" s="201">
      <c r="A1230" s="1" t="n">
        <v>27343020</v>
      </c>
      <c r="B1230" s="1" t="inlineStr">
        <is>
          <t>Chicken or turkey, noodles, and vegetables excluding carrots, broccoli, and dark-green leafy; no sauce</t>
        </is>
      </c>
      <c r="C1230" s="1" t="n">
        <v>4</v>
      </c>
      <c r="D1230" s="1" t="inlineStr">
        <is>
          <t>FNDDS recipe with replaced or modified SR codes</t>
        </is>
      </c>
      <c r="E1230" s="1" t="inlineStr">
        <is>
          <t>Base</t>
        </is>
      </c>
      <c r="F1230" s="1" t="n">
        <v>0.413002</v>
      </c>
    </row>
    <row r="1231" ht="15.75" customHeight="1" s="201">
      <c r="A1231" s="1" t="n">
        <v>27343410</v>
      </c>
      <c r="B1231" s="1" t="inlineStr">
        <is>
          <t>Chicken or turkey, noodles, and vegetables including carrots, broccoli, and/or dark-green leafy; gravy</t>
        </is>
      </c>
      <c r="C1231" s="1" t="n">
        <v>4</v>
      </c>
      <c r="D1231" s="1" t="inlineStr">
        <is>
          <t>FNDDS recipe with replaced or modified SR codes</t>
        </is>
      </c>
      <c r="E1231" s="1" t="inlineStr">
        <is>
          <t>Base</t>
        </is>
      </c>
      <c r="F1231" s="1" t="n">
        <v>0.444099</v>
      </c>
    </row>
    <row r="1232" ht="15.75" customHeight="1" s="201">
      <c r="A1232" s="1" t="n">
        <v>27343420</v>
      </c>
      <c r="B1232" s="1" t="inlineStr">
        <is>
          <t>Chicken or turkey, noodles, and vegetables excluding carrots, broccoli, and dark-green leafy; gravy</t>
        </is>
      </c>
      <c r="C1232" s="1" t="n">
        <v>4</v>
      </c>
      <c r="D1232" s="1" t="inlineStr">
        <is>
          <t>FNDDS recipe with replaced or modified SR codes</t>
        </is>
      </c>
      <c r="E1232" s="1" t="inlineStr">
        <is>
          <t>Base</t>
        </is>
      </c>
      <c r="F1232" s="1" t="n">
        <v>0.431424</v>
      </c>
    </row>
    <row r="1233" ht="15.75" customHeight="1" s="201">
      <c r="A1233" s="1" t="n">
        <v>27343470</v>
      </c>
      <c r="B1233" s="1" t="inlineStr">
        <is>
          <t>Chicken or turkey, noodles, and vegetables including carrots, broccoli, and/or dark-green leafy; cream sauce, white sauce, or mushroom sauce</t>
        </is>
      </c>
      <c r="C1233" s="1" t="n">
        <v>4</v>
      </c>
      <c r="D1233" s="1" t="inlineStr">
        <is>
          <t>FNDDS recipe with replaced or modified SR codes</t>
        </is>
      </c>
      <c r="E1233" s="1" t="inlineStr">
        <is>
          <t>Base</t>
        </is>
      </c>
      <c r="F1233" s="1" t="n">
        <v>0.416428</v>
      </c>
    </row>
    <row r="1234" ht="15.75" customHeight="1" s="201">
      <c r="A1234" s="1" t="n">
        <v>27343480</v>
      </c>
      <c r="B1234" s="1" t="inlineStr">
        <is>
          <t>Chicken or turkey, noodles, and vegetables excluding carrots, broccoli, and/or dark-green leafy; cream sauce, white sauce, or mushroom sauce</t>
        </is>
      </c>
      <c r="C1234" s="1" t="n">
        <v>4</v>
      </c>
      <c r="D1234" s="1" t="inlineStr">
        <is>
          <t>FNDDS recipe with replaced or modified SR codes</t>
        </is>
      </c>
      <c r="E1234" s="1" t="inlineStr">
        <is>
          <t>Base</t>
        </is>
      </c>
      <c r="F1234" s="1" t="n">
        <v>0.404718</v>
      </c>
    </row>
    <row r="1235" ht="15.75" customHeight="1" s="201">
      <c r="A1235" s="1" t="n">
        <v>27343510</v>
      </c>
      <c r="B1235" s="1" t="inlineStr">
        <is>
          <t>Chicken or turkey, noodles, and vegetables including carrots, broccoli, and/or dark-green leafy; tomato-based sauce</t>
        </is>
      </c>
      <c r="C1235" s="1" t="n">
        <v>4</v>
      </c>
      <c r="D1235" s="1" t="inlineStr">
        <is>
          <t>FNDDS recipe with replaced or modified SR codes</t>
        </is>
      </c>
      <c r="E1235" s="1" t="inlineStr">
        <is>
          <t>Base</t>
        </is>
      </c>
      <c r="F1235" s="1" t="n">
        <v>0.376786</v>
      </c>
    </row>
    <row r="1236" ht="15.75" customHeight="1" s="201">
      <c r="A1236" s="1" t="n">
        <v>27343520</v>
      </c>
      <c r="B1236" s="1" t="inlineStr">
        <is>
          <t>Chicken or turkey, noodles, and vegetables excluding carrots, broccoli, and dark-green leafy; tomato-based sauce</t>
        </is>
      </c>
      <c r="C1236" s="1" t="n">
        <v>4</v>
      </c>
      <c r="D1236" s="1" t="inlineStr">
        <is>
          <t>FNDDS recipe with replaced or modified SR codes</t>
        </is>
      </c>
      <c r="E1236" s="1" t="inlineStr">
        <is>
          <t>Base</t>
        </is>
      </c>
      <c r="F1236" s="1" t="n">
        <v>0.364308</v>
      </c>
    </row>
    <row r="1237" ht="15.75" customHeight="1" s="201">
      <c r="A1237" s="1" t="n">
        <v>27343910</v>
      </c>
      <c r="B1237" s="1" t="inlineStr">
        <is>
          <t>Chicken or turkey chow mein or chop suey with noodles</t>
        </is>
      </c>
      <c r="C1237" s="1" t="n">
        <v>2</v>
      </c>
      <c r="D1237" s="1" t="inlineStr">
        <is>
          <t>Links to altEC</t>
        </is>
      </c>
      <c r="E1237" s="1" t="inlineStr">
        <is>
          <t>Base</t>
        </is>
      </c>
      <c r="F1237" s="1" t="n">
        <v>0.297306</v>
      </c>
    </row>
    <row r="1238" ht="15.75" customHeight="1" s="201">
      <c r="A1238" s="1" t="n">
        <v>27343950</v>
      </c>
      <c r="B1238" s="1" t="inlineStr">
        <is>
          <t>Chicken or turkey, noodles, and vegetables including carrots, broccoli, and/or dark-green leafy; cheese sauce</t>
        </is>
      </c>
      <c r="C1238" s="1" t="n">
        <v>2</v>
      </c>
      <c r="D1238" s="1" t="inlineStr">
        <is>
          <t>Links to altEC</t>
        </is>
      </c>
      <c r="E1238" s="1" t="inlineStr">
        <is>
          <t>Base</t>
        </is>
      </c>
      <c r="F1238" s="1" t="n">
        <v>0.535029</v>
      </c>
    </row>
    <row r="1239" ht="15.75" customHeight="1" s="201">
      <c r="A1239" s="1" t="n">
        <v>27343960</v>
      </c>
      <c r="B1239" s="1" t="inlineStr">
        <is>
          <t>Chicken or turkey, noodles, and vegetables excluding carrots, broccoli, and dark-green leafy; cheese sauce</t>
        </is>
      </c>
      <c r="C1239" s="1" t="n">
        <v>4</v>
      </c>
      <c r="D1239" s="1" t="inlineStr">
        <is>
          <t>FNDDS recipe with replaced or modified SR codes</t>
        </is>
      </c>
      <c r="E1239" s="1" t="inlineStr">
        <is>
          <t>Base</t>
        </is>
      </c>
      <c r="F1239" s="1" t="n">
        <v>0.411695</v>
      </c>
    </row>
    <row r="1240" ht="15.75" customHeight="1" s="201">
      <c r="A1240" s="1" t="n">
        <v>27345010</v>
      </c>
      <c r="B1240" s="1" t="inlineStr">
        <is>
          <t>Chicken or turkey, rice, and vegetables including carrots, broccoli, and/or dark-green leafy; no sauce</t>
        </is>
      </c>
      <c r="C1240" s="1" t="n">
        <v>4</v>
      </c>
      <c r="D1240" s="1" t="inlineStr">
        <is>
          <t>FNDDS recipe with replaced or modified SR codes</t>
        </is>
      </c>
      <c r="E1240" s="1" t="inlineStr">
        <is>
          <t>Base</t>
        </is>
      </c>
      <c r="F1240" s="1" t="n">
        <v>0.329383</v>
      </c>
    </row>
    <row r="1241" ht="15.75" customHeight="1" s="201">
      <c r="A1241" s="1" t="n">
        <v>27345020</v>
      </c>
      <c r="B1241" s="1" t="inlineStr">
        <is>
          <t>Chicken or turkey, rice, and vegetables excluding carrots, broccoli, and dark-green leafy; no sauce</t>
        </is>
      </c>
      <c r="C1241" s="1" t="n">
        <v>4</v>
      </c>
      <c r="D1241" s="1" t="inlineStr">
        <is>
          <t>FNDDS recipe with replaced or modified SR codes</t>
        </is>
      </c>
      <c r="E1241" s="1" t="inlineStr">
        <is>
          <t>Base</t>
        </is>
      </c>
      <c r="F1241" s="1" t="n">
        <v>0.311899</v>
      </c>
    </row>
    <row r="1242" ht="15.75" customHeight="1" s="201">
      <c r="A1242" s="1" t="n">
        <v>27345410</v>
      </c>
      <c r="B1242" s="1" t="inlineStr">
        <is>
          <t>Chicken or turkey, rice, and vegetables including carrots, broccoli, and/or dark-green leafy; cream sauce, white sauce, or mushroom sauce</t>
        </is>
      </c>
      <c r="C1242" s="1" t="n">
        <v>1</v>
      </c>
      <c r="D1242" s="1" t="inlineStr">
        <is>
          <t>Links to FNDDS</t>
        </is>
      </c>
      <c r="E1242" s="1" t="inlineStr">
        <is>
          <t>Base</t>
        </is>
      </c>
      <c r="F1242" s="1" t="n">
        <v>1.356398</v>
      </c>
    </row>
    <row r="1243" ht="15.75" customHeight="1" s="201">
      <c r="A1243" s="1" t="n">
        <v>27345420</v>
      </c>
      <c r="B1243" s="1" t="inlineStr">
        <is>
          <t>Chicken or turkey, rice, and vegetables excluding carrots, broccoli, and dark-green leafy; cream sauce, white sauce, or mushroom sauce</t>
        </is>
      </c>
      <c r="C1243" s="1" t="n">
        <v>4</v>
      </c>
      <c r="D1243" s="1" t="inlineStr">
        <is>
          <t>FNDDS recipe with replaced or modified SR codes</t>
        </is>
      </c>
      <c r="E1243" s="1" t="inlineStr">
        <is>
          <t>Base</t>
        </is>
      </c>
      <c r="F1243" s="1" t="n">
        <v>0.335236</v>
      </c>
    </row>
    <row r="1244" ht="15.75" customHeight="1" s="201">
      <c r="A1244" s="1" t="n">
        <v>27345440</v>
      </c>
      <c r="B1244" s="1" t="inlineStr">
        <is>
          <t>Chicken or turkey, rice, and vegetables including carrots, broccoli, and/or dark-green leafy; cheese sauce</t>
        </is>
      </c>
      <c r="C1244" s="1" t="n">
        <v>1</v>
      </c>
      <c r="D1244" s="1" t="inlineStr">
        <is>
          <t>Links to FNDDS</t>
        </is>
      </c>
      <c r="E1244" s="1" t="inlineStr">
        <is>
          <t>Base</t>
        </is>
      </c>
      <c r="F1244" s="1" t="n">
        <v>0.8305399999999999</v>
      </c>
    </row>
    <row r="1245" ht="15.75" customHeight="1" s="201">
      <c r="A1245" s="1" t="n">
        <v>27345450</v>
      </c>
      <c r="B1245" s="1" t="inlineStr">
        <is>
          <t>Chicken or turkey, rice, and vegetables excluding carrots, broccoli, and dark-green leafy; cheese sauce</t>
        </is>
      </c>
      <c r="C1245" s="1" t="n">
        <v>4</v>
      </c>
      <c r="D1245" s="1" t="inlineStr">
        <is>
          <t>FNDDS recipe with replaced or modified SR codes</t>
        </is>
      </c>
      <c r="E1245" s="1" t="inlineStr">
        <is>
          <t>Base</t>
        </is>
      </c>
      <c r="F1245" s="1" t="n">
        <v>0.333958</v>
      </c>
    </row>
    <row r="1246" ht="15.75" customHeight="1" s="201">
      <c r="A1246" s="1" t="n">
        <v>27345510</v>
      </c>
      <c r="B1246" s="1" t="inlineStr">
        <is>
          <t>Chicken or turkey, rice, and vegetables including carrots, broccoli, and/or dark-green leafy; tomato-based sauce</t>
        </is>
      </c>
      <c r="C1246" s="1" t="n">
        <v>4</v>
      </c>
      <c r="D1246" s="1" t="inlineStr">
        <is>
          <t>FNDDS recipe with replaced or modified SR codes</t>
        </is>
      </c>
      <c r="E1246" s="1" t="inlineStr">
        <is>
          <t>Base</t>
        </is>
      </c>
      <c r="F1246" s="1" t="n">
        <v>0.302576</v>
      </c>
    </row>
    <row r="1247" ht="15.75" customHeight="1" s="201">
      <c r="A1247" s="1" t="n">
        <v>27345520</v>
      </c>
      <c r="B1247" s="1" t="inlineStr">
        <is>
          <t>Chicken or turkey, rice, and vegetables excluding carrots, broccoli, and dark-green leafy; tomato-based sauce</t>
        </is>
      </c>
      <c r="C1247" s="1" t="n">
        <v>4</v>
      </c>
      <c r="D1247" s="1" t="inlineStr">
        <is>
          <t>FNDDS recipe with replaced or modified SR codes</t>
        </is>
      </c>
      <c r="E1247" s="1" t="inlineStr">
        <is>
          <t>Base</t>
        </is>
      </c>
      <c r="F1247" s="1" t="n">
        <v>0.29015</v>
      </c>
    </row>
    <row r="1248" ht="15.75" customHeight="1" s="201">
      <c r="A1248" s="1" t="n">
        <v>27347100</v>
      </c>
      <c r="B1248" s="1" t="inlineStr">
        <is>
          <t>Chicken or turkey pot pie</t>
        </is>
      </c>
      <c r="C1248" s="1" t="n">
        <v>1</v>
      </c>
      <c r="D1248" s="1" t="inlineStr">
        <is>
          <t>Links to FNDDS</t>
        </is>
      </c>
      <c r="E1248" s="1" t="inlineStr">
        <is>
          <t>Base</t>
        </is>
      </c>
      <c r="F1248" s="1" t="n">
        <v>0.658151</v>
      </c>
    </row>
    <row r="1249" ht="15.75" customHeight="1" s="201">
      <c r="A1249" s="1" t="n">
        <v>27347240</v>
      </c>
      <c r="B1249" s="1" t="inlineStr">
        <is>
          <t>Chicken or turkey, dumplings, and vegetables including carrots, broccoli, and/or dark green leafy; gravy</t>
        </is>
      </c>
      <c r="C1249" s="1" t="n">
        <v>1</v>
      </c>
      <c r="D1249" s="1" t="inlineStr">
        <is>
          <t>Links to FNDDS</t>
        </is>
      </c>
      <c r="E1249" s="1" t="inlineStr">
        <is>
          <t>Base</t>
        </is>
      </c>
      <c r="F1249" s="1" t="n">
        <v>0.923644</v>
      </c>
    </row>
    <row r="1250" ht="15.75" customHeight="1" s="201">
      <c r="A1250" s="1" t="n">
        <v>27347250</v>
      </c>
      <c r="B1250" s="1" t="inlineStr">
        <is>
          <t>Chicken or turkey, dumplings, and vegetables excluding carrots, broccoli, and dark green leafy; gravy</t>
        </is>
      </c>
      <c r="C1250" s="1" t="n">
        <v>4</v>
      </c>
      <c r="D1250" s="1" t="inlineStr">
        <is>
          <t>FNDDS recipe with replaced or modified SR codes</t>
        </is>
      </c>
      <c r="E1250" s="1" t="inlineStr">
        <is>
          <t>Base</t>
        </is>
      </c>
      <c r="F1250" s="1" t="n">
        <v>0.595462</v>
      </c>
    </row>
    <row r="1251" ht="15.75" customHeight="1" s="201">
      <c r="A1251" s="1" t="n">
        <v>27350050</v>
      </c>
      <c r="B1251" s="1" t="inlineStr">
        <is>
          <t>Shrimp chow mein or chop suey with noodles</t>
        </is>
      </c>
      <c r="C1251" s="1" t="n">
        <v>1</v>
      </c>
      <c r="D1251" s="1" t="inlineStr">
        <is>
          <t>Links to FNDDS</t>
        </is>
      </c>
      <c r="E1251" s="1" t="inlineStr">
        <is>
          <t>Base</t>
        </is>
      </c>
      <c r="F1251" s="1" t="n">
        <v>1.077812</v>
      </c>
    </row>
    <row r="1252" ht="15.75" customHeight="1" s="201">
      <c r="A1252" s="1" t="n">
        <v>27350060</v>
      </c>
      <c r="B1252" s="1" t="inlineStr">
        <is>
          <t>Shrimp creole, with rice (Includes shrimp jambalaya)</t>
        </is>
      </c>
      <c r="C1252" s="1" t="n">
        <v>1</v>
      </c>
      <c r="D1252" s="1" t="inlineStr">
        <is>
          <t>Links to FNDDS</t>
        </is>
      </c>
      <c r="E1252" s="1" t="inlineStr">
        <is>
          <t>Base</t>
        </is>
      </c>
      <c r="F1252" s="1" t="n">
        <v>1.404666</v>
      </c>
    </row>
    <row r="1253" ht="15.75" customHeight="1" s="201">
      <c r="A1253" s="1" t="n">
        <v>27350080</v>
      </c>
      <c r="B1253" s="1" t="inlineStr">
        <is>
          <t>Tuna noodle casserole with vegetables, cream or white sauce</t>
        </is>
      </c>
      <c r="C1253" s="1" t="n">
        <v>4</v>
      </c>
      <c r="D1253" s="1" t="inlineStr">
        <is>
          <t>FNDDS recipe with replaced or modified SR codes</t>
        </is>
      </c>
      <c r="E1253" s="1" t="inlineStr">
        <is>
          <t>Base</t>
        </is>
      </c>
      <c r="F1253" s="1" t="n">
        <v>0.709157</v>
      </c>
    </row>
    <row r="1254" ht="15.75" customHeight="1" s="201">
      <c r="A1254" s="1" t="n">
        <v>27350090</v>
      </c>
      <c r="B1254" s="1" t="inlineStr">
        <is>
          <t>Fish, noodles, and vegetables including carrots, broccoli, and/or dark green leafy; cheese sauce</t>
        </is>
      </c>
      <c r="C1254" s="1" t="n">
        <v>4</v>
      </c>
      <c r="D1254" s="1" t="inlineStr">
        <is>
          <t>FNDDS recipe with replaced or modified SR codes</t>
        </is>
      </c>
      <c r="E1254" s="1" t="inlineStr">
        <is>
          <t>Base</t>
        </is>
      </c>
      <c r="F1254" s="1" t="n">
        <v>0.582663</v>
      </c>
    </row>
    <row r="1255" ht="15.75" customHeight="1" s="201">
      <c r="A1255" s="1" t="n">
        <v>27350100</v>
      </c>
      <c r="B1255" s="1" t="inlineStr">
        <is>
          <t>Fish, noodles, and vegetables excluding carrots, broccoli, and dark-green leafy; cheese sauce</t>
        </is>
      </c>
      <c r="C1255" s="1" t="n">
        <v>4</v>
      </c>
      <c r="D1255" s="1" t="inlineStr">
        <is>
          <t>FNDDS recipe with replaced or modified SR codes</t>
        </is>
      </c>
      <c r="E1255" s="1" t="inlineStr">
        <is>
          <t>Base</t>
        </is>
      </c>
      <c r="F1255" s="1" t="n">
        <v>0.569692</v>
      </c>
    </row>
    <row r="1256" ht="15.75" customHeight="1" s="201">
      <c r="A1256" s="1" t="n">
        <v>27350110</v>
      </c>
      <c r="B1256" s="1" t="inlineStr">
        <is>
          <t>Bouillabaisse (Includes seafood stew made with tomato, fish, &amp; shellfish such as clams, scallops, shrimp)</t>
        </is>
      </c>
      <c r="C1256" s="1" t="n">
        <v>3</v>
      </c>
      <c r="D1256" s="1" t="inlineStr">
        <is>
          <t>Original FNDDS recipe</t>
        </is>
      </c>
      <c r="E1256" s="1" t="inlineStr">
        <is>
          <t>Base</t>
        </is>
      </c>
      <c r="F1256" s="1" t="n">
        <v>2.518452</v>
      </c>
    </row>
    <row r="1257" ht="15.75" customHeight="1" s="201">
      <c r="A1257" s="1" t="n">
        <v>27350410</v>
      </c>
      <c r="B1257" s="1" t="inlineStr">
        <is>
          <t>Tuna noodle casserole with vegetables and mushroom sauce</t>
        </is>
      </c>
      <c r="C1257" s="1" t="n">
        <v>4</v>
      </c>
      <c r="D1257" s="1" t="inlineStr">
        <is>
          <t>FNDDS recipe with replaced or modified SR codes</t>
        </is>
      </c>
      <c r="E1257" s="1" t="inlineStr">
        <is>
          <t>Base</t>
        </is>
      </c>
      <c r="F1257" s="1" t="n">
        <v>0.6796450000000001</v>
      </c>
    </row>
    <row r="1258" ht="15.75" customHeight="1" s="201">
      <c r="A1258" s="1" t="n">
        <v>27351010</v>
      </c>
      <c r="B1258" s="1" t="inlineStr">
        <is>
          <t>Codfish with starchy vegetables, Puerto Rican style (Includes Serenata de bacalao)</t>
        </is>
      </c>
      <c r="C1258" s="1" t="n">
        <v>4</v>
      </c>
      <c r="D1258" s="1" t="inlineStr">
        <is>
          <t>FNDDS recipe with replaced or modified SR codes</t>
        </is>
      </c>
      <c r="E1258" s="1" t="inlineStr">
        <is>
          <t>Base</t>
        </is>
      </c>
      <c r="F1258" s="1" t="n">
        <v>0.650087</v>
      </c>
    </row>
    <row r="1259" ht="15.75" customHeight="1" s="201">
      <c r="A1259" s="1" t="n">
        <v>27351040</v>
      </c>
      <c r="B1259" s="1" t="inlineStr">
        <is>
          <t>Biscayne codfish, Puerto Rican style (Includes Bacalao a la Vizcaina)</t>
        </is>
      </c>
      <c r="C1259" s="1" t="n">
        <v>4</v>
      </c>
      <c r="D1259" s="1" t="inlineStr">
        <is>
          <t>FNDDS recipe with replaced or modified SR codes</t>
        </is>
      </c>
      <c r="E1259" s="1" t="inlineStr">
        <is>
          <t>Base</t>
        </is>
      </c>
      <c r="F1259" s="1" t="n">
        <v>1.303895</v>
      </c>
    </row>
    <row r="1260" ht="15.75" customHeight="1" s="201">
      <c r="A1260" s="1" t="n">
        <v>27360000</v>
      </c>
      <c r="B1260" s="1" t="inlineStr">
        <is>
          <t>Stew, NFS</t>
        </is>
      </c>
      <c r="C1260" s="1" t="n">
        <v>2</v>
      </c>
      <c r="D1260" s="1" t="inlineStr">
        <is>
          <t>Links to altEC</t>
        </is>
      </c>
      <c r="E1260" s="1" t="inlineStr">
        <is>
          <t>Base</t>
        </is>
      </c>
      <c r="F1260" s="1" t="n">
        <v>0.506281</v>
      </c>
    </row>
    <row r="1261" ht="15.75" customHeight="1" s="201">
      <c r="A1261" s="1" t="n">
        <v>27360010</v>
      </c>
      <c r="B1261" s="1" t="inlineStr">
        <is>
          <t>Goulash, NFS</t>
        </is>
      </c>
      <c r="C1261" s="1" t="n">
        <v>4</v>
      </c>
      <c r="D1261" s="1" t="inlineStr">
        <is>
          <t>FNDDS recipe with replaced or modified SR codes</t>
        </is>
      </c>
      <c r="E1261" s="1" t="inlineStr">
        <is>
          <t>Base</t>
        </is>
      </c>
      <c r="F1261" s="1" t="n">
        <v>1.060294</v>
      </c>
    </row>
    <row r="1262" ht="15.75" customHeight="1" s="201">
      <c r="A1262" s="1" t="n">
        <v>27360090</v>
      </c>
      <c r="B1262" s="1" t="inlineStr">
        <is>
          <t>Paella, NFS</t>
        </is>
      </c>
      <c r="C1262" s="1" t="n">
        <v>4</v>
      </c>
      <c r="D1262" s="1" t="inlineStr">
        <is>
          <t>FNDDS recipe with replaced or modified SR codes</t>
        </is>
      </c>
      <c r="E1262" s="1" t="inlineStr">
        <is>
          <t>Base</t>
        </is>
      </c>
      <c r="F1262" s="1" t="n">
        <v>1.035098</v>
      </c>
    </row>
    <row r="1263" ht="15.75" customHeight="1" s="201">
      <c r="A1263" s="1" t="n">
        <v>27362000</v>
      </c>
      <c r="B1263" s="1" t="inlineStr">
        <is>
          <t>Stewed tripe, with potatoes, Puerto Rican style (Includes Mondongo)</t>
        </is>
      </c>
      <c r="C1263" s="1" t="n">
        <v>4</v>
      </c>
      <c r="D1263" s="1" t="inlineStr">
        <is>
          <t>FNDDS recipe with replaced or modified SR codes</t>
        </is>
      </c>
      <c r="E1263" s="1" t="inlineStr">
        <is>
          <t>Base</t>
        </is>
      </c>
      <c r="F1263" s="1" t="n">
        <v>0.502923</v>
      </c>
    </row>
    <row r="1264" ht="15.75" customHeight="1" s="201">
      <c r="A1264" s="1" t="n">
        <v>27363000</v>
      </c>
      <c r="B1264" s="1" t="inlineStr">
        <is>
          <t>Gumbo with rice (Includes shellfish, pork, poultry, tomatoes, and okra)</t>
        </is>
      </c>
      <c r="C1264" s="1" t="n">
        <v>4</v>
      </c>
      <c r="D1264" s="1" t="inlineStr">
        <is>
          <t>FNDDS recipe with replaced or modified SR codes</t>
        </is>
      </c>
      <c r="E1264" s="1" t="inlineStr">
        <is>
          <t>Base</t>
        </is>
      </c>
      <c r="F1264" s="1" t="n">
        <v>0.634045</v>
      </c>
    </row>
    <row r="1265" ht="15.75" customHeight="1" s="201">
      <c r="A1265" s="1" t="n">
        <v>27363100</v>
      </c>
      <c r="B1265" s="1" t="inlineStr">
        <is>
          <t>Jambalaya with meat and rice (Includes chicken and sausage jambalaya)</t>
        </is>
      </c>
      <c r="C1265" s="1" t="n">
        <v>4</v>
      </c>
      <c r="D1265" s="1" t="inlineStr">
        <is>
          <t>FNDDS recipe with replaced or modified SR codes</t>
        </is>
      </c>
      <c r="E1265" s="1" t="inlineStr">
        <is>
          <t>Base</t>
        </is>
      </c>
      <c r="F1265" s="1" t="n">
        <v>0.645235</v>
      </c>
    </row>
    <row r="1266" ht="15.75" customHeight="1" s="201">
      <c r="A1266" s="1" t="n">
        <v>27410210</v>
      </c>
      <c r="B1266" s="1" t="inlineStr">
        <is>
          <t>Beef and vegetables including carrots, broccoli, and/or dark-green leafy; no potatoes, no sauce</t>
        </is>
      </c>
      <c r="C1266" s="1" t="n">
        <v>4</v>
      </c>
      <c r="D1266" s="1" t="inlineStr">
        <is>
          <t>FNDDS recipe with replaced or modified SR codes</t>
        </is>
      </c>
      <c r="E1266" s="1" t="inlineStr">
        <is>
          <t>Base</t>
        </is>
      </c>
      <c r="F1266" s="1" t="n">
        <v>0.908204</v>
      </c>
    </row>
    <row r="1267" ht="15.75" customHeight="1" s="201">
      <c r="A1267" s="1" t="n">
        <v>27410220</v>
      </c>
      <c r="B1267" s="1" t="inlineStr">
        <is>
          <t>Beef and vegetables excluding carrots, broccoli, and dark-green leafy; no potatoes, no sauce</t>
        </is>
      </c>
      <c r="C1267" s="1" t="n">
        <v>4</v>
      </c>
      <c r="D1267" s="1" t="inlineStr">
        <is>
          <t>FNDDS recipe with replaced or modified SR codes</t>
        </is>
      </c>
      <c r="E1267" s="1" t="inlineStr">
        <is>
          <t>Base</t>
        </is>
      </c>
      <c r="F1267" s="1" t="n">
        <v>0.769558</v>
      </c>
    </row>
    <row r="1268" ht="15.75" customHeight="1" s="201">
      <c r="A1268" s="1" t="n">
        <v>27410250</v>
      </c>
      <c r="B1268" s="1" t="inlineStr">
        <is>
          <t>Beef shish kabob with vegetables, excluding potatoes</t>
        </is>
      </c>
      <c r="C1268" s="1" t="n">
        <v>4</v>
      </c>
      <c r="D1268" s="1" t="inlineStr">
        <is>
          <t>FNDDS recipe with replaced or modified SR codes</t>
        </is>
      </c>
      <c r="E1268" s="1" t="inlineStr">
        <is>
          <t>Base</t>
        </is>
      </c>
      <c r="F1268" s="1" t="n">
        <v>1.17484</v>
      </c>
    </row>
    <row r="1269" ht="15.75" customHeight="1" s="201">
      <c r="A1269" s="1" t="n">
        <v>27411100</v>
      </c>
      <c r="B1269" s="1" t="inlineStr">
        <is>
          <t>Beef with vegetables including carrots, broccoli, and/or dark-green leafy; no potatoes, tomato-based sauce (Includes beef stew without potatoes)</t>
        </is>
      </c>
      <c r="C1269" s="1" t="n">
        <v>4</v>
      </c>
      <c r="D1269" s="1" t="inlineStr">
        <is>
          <t>FNDDS recipe with replaced or modified SR codes</t>
        </is>
      </c>
      <c r="E1269" s="1" t="inlineStr">
        <is>
          <t>Base</t>
        </is>
      </c>
      <c r="F1269" s="1" t="n">
        <v>0.714963</v>
      </c>
    </row>
    <row r="1270" ht="15.75" customHeight="1" s="201">
      <c r="A1270" s="1" t="n">
        <v>27411200</v>
      </c>
      <c r="B1270" s="1" t="inlineStr">
        <is>
          <t>Beef with vegetables excluding carrots, broccoli, and dark-green leafy; no potatoes, tomato-based sauce</t>
        </is>
      </c>
      <c r="C1270" s="1" t="n">
        <v>4</v>
      </c>
      <c r="D1270" s="1" t="inlineStr">
        <is>
          <t>FNDDS recipe with replaced or modified SR codes</t>
        </is>
      </c>
      <c r="E1270" s="1" t="inlineStr">
        <is>
          <t>Base</t>
        </is>
      </c>
      <c r="F1270" s="1" t="n">
        <v>0.643871</v>
      </c>
    </row>
    <row r="1271" ht="15.75" customHeight="1" s="201">
      <c r="A1271" s="1" t="n">
        <v>27415100</v>
      </c>
      <c r="B1271" s="1" t="inlineStr">
        <is>
          <t>Beef and vegetables including carrots, broccoli, and/or dark-green leafy; no potatoes, soy-based sauce</t>
        </is>
      </c>
      <c r="C1271" s="1" t="n">
        <v>4</v>
      </c>
      <c r="D1271" s="1" t="inlineStr">
        <is>
          <t>FNDDS recipe with replaced or modified SR codes</t>
        </is>
      </c>
      <c r="E1271" s="1" t="inlineStr">
        <is>
          <t>Base</t>
        </is>
      </c>
      <c r="F1271" s="1" t="n">
        <v>0.975871</v>
      </c>
    </row>
    <row r="1272" ht="15.75" customHeight="1" s="201">
      <c r="A1272" s="1" t="n">
        <v>27415110</v>
      </c>
      <c r="B1272" s="1" t="inlineStr">
        <is>
          <t>Beef and broccoli</t>
        </is>
      </c>
      <c r="C1272" s="1" t="n">
        <v>1</v>
      </c>
      <c r="D1272" s="1" t="inlineStr">
        <is>
          <t>Links to FNDDS</t>
        </is>
      </c>
      <c r="E1272" s="1" t="inlineStr">
        <is>
          <t>Base</t>
        </is>
      </c>
      <c r="F1272" s="1" t="n">
        <v>1.20986</v>
      </c>
    </row>
    <row r="1273" ht="15.75" customHeight="1" s="201">
      <c r="A1273" s="1" t="n">
        <v>27415120</v>
      </c>
      <c r="B1273" s="1" t="inlineStr">
        <is>
          <t>Beef, tofu, and vegetables including carrots, broccoli, and/or dark-green leafy; no potatoes, soy-based sauce</t>
        </is>
      </c>
      <c r="C1273" s="1" t="n">
        <v>4</v>
      </c>
      <c r="D1273" s="1" t="inlineStr">
        <is>
          <t>FNDDS recipe with replaced or modified SR codes</t>
        </is>
      </c>
      <c r="E1273" s="1" t="inlineStr">
        <is>
          <t>Base</t>
        </is>
      </c>
      <c r="F1273" s="1" t="n">
        <v>0.721911</v>
      </c>
    </row>
    <row r="1274" ht="15.75" customHeight="1" s="201">
      <c r="A1274" s="1" t="n">
        <v>27415170</v>
      </c>
      <c r="B1274" s="1" t="inlineStr">
        <is>
          <t>Kung Pao beef</t>
        </is>
      </c>
      <c r="C1274" s="1" t="n">
        <v>4</v>
      </c>
      <c r="D1274" s="1" t="inlineStr">
        <is>
          <t>FNDDS recipe with replaced or modified SR codes</t>
        </is>
      </c>
      <c r="E1274" s="1" t="inlineStr">
        <is>
          <t>Base</t>
        </is>
      </c>
      <c r="F1274" s="1" t="n">
        <v>1.232208</v>
      </c>
    </row>
    <row r="1275" ht="15.75" customHeight="1" s="201">
      <c r="A1275" s="1" t="n">
        <v>27415200</v>
      </c>
      <c r="B1275" s="1" t="inlineStr">
        <is>
          <t>Beef and vegetables excluding carrots, broccoli, and dark-green leafy; no potatoes, soy-based sauce</t>
        </is>
      </c>
      <c r="C1275" s="1" t="n">
        <v>1</v>
      </c>
      <c r="D1275" s="1" t="inlineStr">
        <is>
          <t>Links to FNDDS</t>
        </is>
      </c>
      <c r="E1275" s="1" t="inlineStr">
        <is>
          <t>Base</t>
        </is>
      </c>
      <c r="F1275" s="1" t="n">
        <v>1.125242</v>
      </c>
    </row>
    <row r="1276" ht="15.75" customHeight="1" s="201">
      <c r="A1276" s="1" t="n">
        <v>27416150</v>
      </c>
      <c r="B1276" s="1" t="inlineStr">
        <is>
          <t>Pepper steak</t>
        </is>
      </c>
      <c r="C1276" s="1" t="n">
        <v>4</v>
      </c>
      <c r="D1276" s="1" t="inlineStr">
        <is>
          <t>FNDDS recipe with replaced or modified SR codes</t>
        </is>
      </c>
      <c r="E1276" s="1" t="inlineStr">
        <is>
          <t>Base</t>
        </is>
      </c>
      <c r="F1276" s="1" t="n">
        <v>0.965216</v>
      </c>
    </row>
    <row r="1277" ht="15.75" customHeight="1" s="201">
      <c r="A1277" s="1" t="n">
        <v>27416200</v>
      </c>
      <c r="B1277" s="1" t="inlineStr">
        <is>
          <t>Beef, ground, with egg and onion</t>
        </is>
      </c>
      <c r="C1277" s="1" t="n">
        <v>4</v>
      </c>
      <c r="D1277" s="1" t="inlineStr">
        <is>
          <t>FNDDS recipe with replaced or modified SR codes</t>
        </is>
      </c>
      <c r="E1277" s="1" t="inlineStr">
        <is>
          <t>Base</t>
        </is>
      </c>
      <c r="F1277" s="1" t="n">
        <v>1.123314</v>
      </c>
    </row>
    <row r="1278" ht="15.75" customHeight="1" s="201">
      <c r="A1278" s="1" t="n">
        <v>27416400</v>
      </c>
      <c r="B1278" s="1" t="inlineStr">
        <is>
          <t>Stir fried beef and vegetables in soy sauce (Includes Sukiyaki)</t>
        </is>
      </c>
      <c r="C1278" s="1" t="n">
        <v>4</v>
      </c>
      <c r="D1278" s="1" t="inlineStr">
        <is>
          <t>FNDDS recipe with replaced or modified SR codes</t>
        </is>
      </c>
      <c r="E1278" s="1" t="inlineStr">
        <is>
          <t>Base</t>
        </is>
      </c>
      <c r="F1278" s="1" t="n">
        <v>0.971699</v>
      </c>
    </row>
    <row r="1279" ht="15.75" customHeight="1" s="201">
      <c r="A1279" s="1" t="n">
        <v>27416450</v>
      </c>
      <c r="B1279" s="1" t="inlineStr">
        <is>
          <t>Beef and vegetables including carrots, broccoli, and/or dark-green leafy; no potatoes, gravy</t>
        </is>
      </c>
      <c r="C1279" s="1" t="n">
        <v>4</v>
      </c>
      <c r="D1279" s="1" t="inlineStr">
        <is>
          <t>FNDDS recipe with replaced or modified SR codes</t>
        </is>
      </c>
      <c r="E1279" s="1" t="inlineStr">
        <is>
          <t>Base</t>
        </is>
      </c>
      <c r="F1279" s="1" t="n">
        <v>0.835805</v>
      </c>
    </row>
    <row r="1280" ht="15.75" customHeight="1" s="201">
      <c r="A1280" s="1" t="n">
        <v>27416500</v>
      </c>
      <c r="B1280" s="1" t="inlineStr">
        <is>
          <t>Beef and vegetables excluding carrots, broccoli, and dark-green leafy; no potatoes, gravy</t>
        </is>
      </c>
      <c r="C1280" s="1" t="n">
        <v>4</v>
      </c>
      <c r="D1280" s="1" t="inlineStr">
        <is>
          <t>FNDDS recipe with replaced or modified SR codes</t>
        </is>
      </c>
      <c r="E1280" s="1" t="inlineStr">
        <is>
          <t>Base</t>
        </is>
      </c>
      <c r="F1280" s="1" t="n">
        <v>0.813518</v>
      </c>
    </row>
    <row r="1281" ht="15.75" customHeight="1" s="201">
      <c r="A1281" s="1" t="n">
        <v>27418110</v>
      </c>
      <c r="B1281" s="1" t="inlineStr">
        <is>
          <t>Seasoned shredded soup meat (Includes Ropa vieja; Sopa de carne ripiada)</t>
        </is>
      </c>
      <c r="C1281" s="1" t="n">
        <v>4</v>
      </c>
      <c r="D1281" s="1" t="inlineStr">
        <is>
          <t>FNDDS recipe with replaced or modified SR codes</t>
        </is>
      </c>
      <c r="E1281" s="1" t="inlineStr">
        <is>
          <t>Base</t>
        </is>
      </c>
      <c r="F1281" s="1" t="n">
        <v>1.437289</v>
      </c>
    </row>
    <row r="1282" ht="15.75" customHeight="1" s="201">
      <c r="A1282" s="1" t="n">
        <v>27418310</v>
      </c>
      <c r="B1282" s="1" t="inlineStr">
        <is>
          <t>Corned beef with tomato sauce and onion, Puerto Rican style (Includes "Corned beef" con salsa de tomate y cebolla)</t>
        </is>
      </c>
      <c r="C1282" s="1" t="n">
        <v>4</v>
      </c>
      <c r="D1282" s="1" t="inlineStr">
        <is>
          <t>FNDDS recipe with replaced or modified SR codes</t>
        </is>
      </c>
      <c r="E1282" s="1" t="inlineStr">
        <is>
          <t>Base</t>
        </is>
      </c>
      <c r="F1282" s="1" t="n">
        <v>1.084928</v>
      </c>
    </row>
    <row r="1283" ht="15.75" customHeight="1" s="201">
      <c r="A1283" s="1" t="n">
        <v>27420020</v>
      </c>
      <c r="B1283" s="1" t="inlineStr">
        <is>
          <t>Ham or pork salad</t>
        </is>
      </c>
      <c r="C1283" s="1" t="n">
        <v>4</v>
      </c>
      <c r="D1283" s="1" t="inlineStr">
        <is>
          <t>FNDDS recipe with replaced or modified SR codes</t>
        </is>
      </c>
      <c r="E1283" s="1" t="inlineStr">
        <is>
          <t>Base</t>
        </is>
      </c>
      <c r="F1283" s="1" t="n">
        <v>0.6645759999999999</v>
      </c>
    </row>
    <row r="1284" ht="15.75" customHeight="1" s="201">
      <c r="A1284" s="1" t="n">
        <v>27420060</v>
      </c>
      <c r="B1284" s="1" t="inlineStr">
        <is>
          <t>Pork and vegetables including carrots, broccoli, and/or dark-green leafy; no potatoes, no sauce (Includes chow yuk)</t>
        </is>
      </c>
      <c r="C1284" s="1" t="n">
        <v>4</v>
      </c>
      <c r="D1284" s="1" t="inlineStr">
        <is>
          <t>FNDDS recipe with replaced or modified SR codes</t>
        </is>
      </c>
      <c r="E1284" s="1" t="inlineStr">
        <is>
          <t>Base</t>
        </is>
      </c>
      <c r="F1284" s="1" t="n">
        <v>0.614939</v>
      </c>
    </row>
    <row r="1285" ht="15.75" customHeight="1" s="201">
      <c r="A1285" s="1" t="n">
        <v>27420080</v>
      </c>
      <c r="B1285" s="1" t="inlineStr">
        <is>
          <t>Greens with ham or pork</t>
        </is>
      </c>
      <c r="C1285" s="1" t="n">
        <v>4</v>
      </c>
      <c r="D1285" s="1" t="inlineStr">
        <is>
          <t>FNDDS recipe with replaced or modified SR codes</t>
        </is>
      </c>
      <c r="E1285" s="1" t="inlineStr">
        <is>
          <t>Base</t>
        </is>
      </c>
      <c r="F1285" s="1" t="n">
        <v>0.641838</v>
      </c>
    </row>
    <row r="1286" ht="15.75" customHeight="1" s="201">
      <c r="A1286" s="1" t="n">
        <v>27420160</v>
      </c>
      <c r="B1286" s="1" t="inlineStr">
        <is>
          <t>Moo Shu pork, without Chinese pancake (Includes Mu Shi pork)</t>
        </is>
      </c>
      <c r="C1286" s="1" t="n">
        <v>4</v>
      </c>
      <c r="D1286" s="1" t="inlineStr">
        <is>
          <t>FNDDS recipe with replaced or modified SR codes</t>
        </is>
      </c>
      <c r="E1286" s="1" t="inlineStr">
        <is>
          <t>Base</t>
        </is>
      </c>
      <c r="F1286" s="1" t="n">
        <v>0.696627</v>
      </c>
    </row>
    <row r="1287" ht="15.75" customHeight="1" s="201">
      <c r="A1287" s="1" t="n">
        <v>27420170</v>
      </c>
      <c r="B1287" s="1" t="inlineStr">
        <is>
          <t>Pork and onions with soy-based sauce (Includes Pork Scallion; Onion Pork)</t>
        </is>
      </c>
      <c r="C1287" s="1" t="n">
        <v>4</v>
      </c>
      <c r="D1287" s="1" t="inlineStr">
        <is>
          <t>FNDDS recipe with replaced or modified SR codes</t>
        </is>
      </c>
      <c r="E1287" s="1" t="inlineStr">
        <is>
          <t>Base</t>
        </is>
      </c>
      <c r="F1287" s="1" t="n">
        <v>0.614743</v>
      </c>
    </row>
    <row r="1288" ht="15.75" customHeight="1" s="201">
      <c r="A1288" s="1" t="n">
        <v>27420350</v>
      </c>
      <c r="B1288" s="1" t="inlineStr">
        <is>
          <t>Pork and vegetables excluding carrots, broccoli, and dark-green leafy; no potatoes, no sauce</t>
        </is>
      </c>
      <c r="C1288" s="1" t="n">
        <v>4</v>
      </c>
      <c r="D1288" s="1" t="inlineStr">
        <is>
          <t>FNDDS recipe with replaced or modified SR codes</t>
        </is>
      </c>
      <c r="E1288" s="1" t="inlineStr">
        <is>
          <t>Base</t>
        </is>
      </c>
      <c r="F1288" s="1" t="n">
        <v>0.520517</v>
      </c>
    </row>
    <row r="1289" ht="15.75" customHeight="1" s="201">
      <c r="A1289" s="1" t="n">
        <v>27420370</v>
      </c>
      <c r="B1289" s="1" t="inlineStr">
        <is>
          <t>Pork, tofu, and vegetables, excluding carrots, broccoli, and dark-green leafy; no potatoes, soy-based sauce</t>
        </is>
      </c>
      <c r="C1289" s="1" t="n">
        <v>4</v>
      </c>
      <c r="D1289" s="1" t="inlineStr">
        <is>
          <t>FNDDS recipe with replaced or modified SR codes</t>
        </is>
      </c>
      <c r="E1289" s="1" t="inlineStr">
        <is>
          <t>Base</t>
        </is>
      </c>
      <c r="F1289" s="1" t="n">
        <v>0.609142</v>
      </c>
    </row>
    <row r="1290" ht="15.75" customHeight="1" s="201">
      <c r="A1290" s="1" t="n">
        <v>27420400</v>
      </c>
      <c r="B1290" s="1" t="inlineStr">
        <is>
          <t>Pork and vegetables including carrots, broccoli, and/or dark-green leafy; no potatoes, tomato-based sauce</t>
        </is>
      </c>
      <c r="C1290" s="1" t="n">
        <v>4</v>
      </c>
      <c r="D1290" s="1" t="inlineStr">
        <is>
          <t>FNDDS recipe with replaced or modified SR codes</t>
        </is>
      </c>
      <c r="E1290" s="1" t="inlineStr">
        <is>
          <t>Base</t>
        </is>
      </c>
      <c r="F1290" s="1" t="n">
        <v>0.499481</v>
      </c>
    </row>
    <row r="1291" ht="15.75" customHeight="1" s="201">
      <c r="A1291" s="1" t="n">
        <v>27420410</v>
      </c>
      <c r="B1291" s="1" t="inlineStr">
        <is>
          <t>Pork and vegetables excluding  carrots, broccoli, and dark-green leafy; no potatoes, tomato-based sauce</t>
        </is>
      </c>
      <c r="C1291" s="1" t="n">
        <v>4</v>
      </c>
      <c r="D1291" s="1" t="inlineStr">
        <is>
          <t>FNDDS recipe with replaced or modified SR codes</t>
        </is>
      </c>
      <c r="E1291" s="1" t="inlineStr">
        <is>
          <t>Base</t>
        </is>
      </c>
      <c r="F1291" s="1" t="n">
        <v>0.477431</v>
      </c>
    </row>
    <row r="1292" ht="15.75" customHeight="1" s="201">
      <c r="A1292" s="1" t="n">
        <v>27420450</v>
      </c>
      <c r="B1292" s="1" t="inlineStr">
        <is>
          <t>Sausage and vegetables including  carrots, broccoli, and/or dark-green leafy; no potatoes, tomato-based sauce</t>
        </is>
      </c>
      <c r="C1292" s="1" t="n">
        <v>4</v>
      </c>
      <c r="D1292" s="1" t="inlineStr">
        <is>
          <t>FNDDS recipe with replaced or modified SR codes</t>
        </is>
      </c>
      <c r="E1292" s="1" t="inlineStr">
        <is>
          <t>Base</t>
        </is>
      </c>
      <c r="F1292" s="1" t="n">
        <v>0.473522</v>
      </c>
    </row>
    <row r="1293" ht="15.75" customHeight="1" s="201">
      <c r="A1293" s="1" t="n">
        <v>27420460</v>
      </c>
      <c r="B1293" s="1" t="inlineStr">
        <is>
          <t>Sausage and vegetables, excluding carrots, broccoli, and dark-green leafy; no potatoes, tomato-based sauce</t>
        </is>
      </c>
      <c r="C1293" s="1" t="n">
        <v>4</v>
      </c>
      <c r="D1293" s="1" t="inlineStr">
        <is>
          <t>FNDDS recipe with replaced or modified SR codes</t>
        </is>
      </c>
      <c r="E1293" s="1" t="inlineStr">
        <is>
          <t>Base</t>
        </is>
      </c>
      <c r="F1293" s="1" t="n">
        <v>0.450971</v>
      </c>
    </row>
    <row r="1294" ht="15.75" customHeight="1" s="201">
      <c r="A1294" s="1" t="n">
        <v>27420500</v>
      </c>
      <c r="B1294" s="1" t="inlineStr">
        <is>
          <t>Pork and vegetables including carrots, broccoli, and/or dark-green leafy; no potatoes, soy-based sauce (Includes Szechuan pork; Hunan pork)</t>
        </is>
      </c>
      <c r="C1294" s="1" t="n">
        <v>4</v>
      </c>
      <c r="D1294" s="1" t="inlineStr">
        <is>
          <t>FNDDS recipe with replaced or modified SR codes</t>
        </is>
      </c>
      <c r="E1294" s="1" t="inlineStr">
        <is>
          <t>Base</t>
        </is>
      </c>
      <c r="F1294" s="1" t="n">
        <v>0.660453</v>
      </c>
    </row>
    <row r="1295" ht="15.75" customHeight="1" s="201">
      <c r="A1295" s="1" t="n">
        <v>27420520</v>
      </c>
      <c r="B1295" s="1" t="inlineStr">
        <is>
          <t>Pork shish kabob with vegetables, excluding potatoes</t>
        </is>
      </c>
      <c r="C1295" s="1" t="n">
        <v>4</v>
      </c>
      <c r="D1295" s="1" t="inlineStr">
        <is>
          <t>FNDDS recipe with replaced or modified SR codes</t>
        </is>
      </c>
      <c r="E1295" s="1" t="inlineStr">
        <is>
          <t>Base</t>
        </is>
      </c>
      <c r="F1295" s="1" t="n">
        <v>0.755257</v>
      </c>
    </row>
    <row r="1296" ht="15.75" customHeight="1" s="201">
      <c r="A1296" s="1" t="n">
        <v>27430400</v>
      </c>
      <c r="B1296" s="1" t="inlineStr">
        <is>
          <t>Lamb or mutton stew with vegetables including carrots, broccoli, and/or dark-green leafy; no potatoes, gravy</t>
        </is>
      </c>
      <c r="C1296" s="1" t="n">
        <v>4</v>
      </c>
      <c r="D1296" s="1" t="inlineStr">
        <is>
          <t>FNDDS recipe with replaced or modified SR codes</t>
        </is>
      </c>
      <c r="E1296" s="1" t="inlineStr">
        <is>
          <t>Base</t>
        </is>
      </c>
      <c r="F1296" s="1" t="n">
        <v>1.235589</v>
      </c>
    </row>
    <row r="1297" ht="15.75" customHeight="1" s="201">
      <c r="A1297" s="1" t="n">
        <v>27430410</v>
      </c>
      <c r="B1297" s="1" t="inlineStr">
        <is>
          <t>Lamb or mutton stew with vegetables excluding carrots, broccoli, and dark-green leafy; no potatoes, gravy</t>
        </is>
      </c>
      <c r="C1297" s="1" t="n">
        <v>4</v>
      </c>
      <c r="D1297" s="1" t="inlineStr">
        <is>
          <t>FNDDS recipe with replaced or modified SR codes</t>
        </is>
      </c>
      <c r="E1297" s="1" t="inlineStr">
        <is>
          <t>Base</t>
        </is>
      </c>
      <c r="F1297" s="1" t="n">
        <v>1.250685</v>
      </c>
    </row>
    <row r="1298" ht="15.75" customHeight="1" s="201">
      <c r="A1298" s="1" t="n">
        <v>27430610</v>
      </c>
      <c r="B1298" s="1" t="inlineStr">
        <is>
          <t>Lamb shish kabob with vegetables, excluding potatoes</t>
        </is>
      </c>
      <c r="C1298" s="1" t="n">
        <v>4</v>
      </c>
      <c r="D1298" s="1" t="inlineStr">
        <is>
          <t>FNDDS recipe with replaced or modified SR codes</t>
        </is>
      </c>
      <c r="E1298" s="1" t="inlineStr">
        <is>
          <t>Base</t>
        </is>
      </c>
      <c r="F1298" s="1" t="n">
        <v>1.547397</v>
      </c>
    </row>
    <row r="1299" ht="15.75" customHeight="1" s="201">
      <c r="A1299" s="1" t="n">
        <v>27440110</v>
      </c>
      <c r="B1299" s="1" t="inlineStr">
        <is>
          <t>Chicken or turkey and vegetables including carrots, broccoli, and/or dark-green leafy; no potatoes, no sauce</t>
        </is>
      </c>
      <c r="C1299" s="1" t="n">
        <v>4</v>
      </c>
      <c r="D1299" s="1" t="inlineStr">
        <is>
          <t>FNDDS recipe with replaced or modified SR codes</t>
        </is>
      </c>
      <c r="E1299" s="1" t="inlineStr">
        <is>
          <t>Base</t>
        </is>
      </c>
      <c r="F1299" s="1" t="n">
        <v>0.512346</v>
      </c>
    </row>
    <row r="1300" ht="15.75" customHeight="1" s="201">
      <c r="A1300" s="1" t="n">
        <v>27440120</v>
      </c>
      <c r="B1300" s="1" t="inlineStr">
        <is>
          <t>Chicken or turkey and vegetables excluding carrots, broccoli, and dark-green leafy; no potatoes, no sauce</t>
        </is>
      </c>
      <c r="C1300" s="1" t="n">
        <v>4</v>
      </c>
      <c r="D1300" s="1" t="inlineStr">
        <is>
          <t>FNDDS recipe with replaced or modified SR codes</t>
        </is>
      </c>
      <c r="E1300" s="1" t="inlineStr">
        <is>
          <t>Base</t>
        </is>
      </c>
      <c r="F1300" s="1" t="n">
        <v>0.435321</v>
      </c>
    </row>
    <row r="1301" ht="15.75" customHeight="1" s="201">
      <c r="A1301" s="1" t="n">
        <v>27440130</v>
      </c>
      <c r="B1301" s="1" t="inlineStr">
        <is>
          <t>Chicken or turkey shish kabob with vegetables, excluding potatoes</t>
        </is>
      </c>
      <c r="C1301" s="1" t="n">
        <v>4</v>
      </c>
      <c r="D1301" s="1" t="inlineStr">
        <is>
          <t>FNDDS recipe with replaced or modified SR codes</t>
        </is>
      </c>
      <c r="E1301" s="1" t="inlineStr">
        <is>
          <t>Base</t>
        </is>
      </c>
      <c r="F1301" s="1" t="n">
        <v>0.672781</v>
      </c>
    </row>
    <row r="1302" ht="15.75" customHeight="1" s="201">
      <c r="A1302" s="1" t="n">
        <v>27442110</v>
      </c>
      <c r="B1302" s="1" t="inlineStr">
        <is>
          <t>Chicken or turkey and vegetables including carrots, broccoli, and/or dark-green leafy; no potatoes, gravy</t>
        </is>
      </c>
      <c r="C1302" s="1" t="n">
        <v>4</v>
      </c>
      <c r="D1302" s="1" t="inlineStr">
        <is>
          <t>FNDDS recipe with replaced or modified SR codes</t>
        </is>
      </c>
      <c r="E1302" s="1" t="inlineStr">
        <is>
          <t>Base</t>
        </is>
      </c>
      <c r="F1302" s="1" t="n">
        <v>0.57546</v>
      </c>
    </row>
    <row r="1303" ht="15.75" customHeight="1" s="201">
      <c r="A1303" s="1" t="n">
        <v>27442120</v>
      </c>
      <c r="B1303" s="1" t="inlineStr">
        <is>
          <t>Chicken or turkey and vegetables excluding carrots, broccoli, and dark-green leafy; no potatoes, gravy</t>
        </is>
      </c>
      <c r="C1303" s="1" t="n">
        <v>4</v>
      </c>
      <c r="D1303" s="1" t="inlineStr">
        <is>
          <t>FNDDS recipe with replaced or modified SR codes</t>
        </is>
      </c>
      <c r="E1303" s="1" t="inlineStr">
        <is>
          <t>Base</t>
        </is>
      </c>
      <c r="F1303" s="1" t="n">
        <v>0.553407</v>
      </c>
    </row>
    <row r="1304" ht="15.75" customHeight="1" s="201">
      <c r="A1304" s="1" t="n">
        <v>27443110</v>
      </c>
      <c r="B1304" s="1" t="inlineStr">
        <is>
          <t>Chicken or turkey a la king with vegetables including carrots, broccoli, and/or dark-green leafy; no potatoes, cream, white, or soup-based sauce (Includes Banquet's Cookin' Bag White Sauce with Vegetables and Chicken)</t>
        </is>
      </c>
      <c r="C1304" s="1" t="n">
        <v>1</v>
      </c>
      <c r="D1304" s="1" t="inlineStr">
        <is>
          <t>Links to FNDDS</t>
        </is>
      </c>
      <c r="E1304" s="1" t="inlineStr">
        <is>
          <t>Base</t>
        </is>
      </c>
      <c r="F1304" s="1" t="n">
        <v>0.625082</v>
      </c>
    </row>
    <row r="1305" ht="15.75" customHeight="1" s="201">
      <c r="A1305" s="1" t="n">
        <v>27443120</v>
      </c>
      <c r="B1305" s="1" t="inlineStr">
        <is>
          <t>Chicken or turkey a la king with vegetables excluding carrorts, broccoli, and dark-green leafy; no potatoes, cream, white, or soup-based sauce</t>
        </is>
      </c>
      <c r="C1305" s="1" t="n">
        <v>2</v>
      </c>
      <c r="D1305" s="1" t="inlineStr">
        <is>
          <t>Links to altEC</t>
        </is>
      </c>
      <c r="E1305" s="1" t="inlineStr">
        <is>
          <t>Base</t>
        </is>
      </c>
      <c r="F1305" s="1" t="n">
        <v>0.625082</v>
      </c>
    </row>
    <row r="1306" ht="15.75" customHeight="1" s="201">
      <c r="A1306" s="1" t="n">
        <v>27443150</v>
      </c>
      <c r="B1306" s="1" t="inlineStr">
        <is>
          <t>Chicken or turkey divan (Includes breaded chicken or turkey and broccoli in cheese sauce)</t>
        </is>
      </c>
      <c r="C1306" s="1" t="n">
        <v>1</v>
      </c>
      <c r="D1306" s="1" t="inlineStr">
        <is>
          <t>Links to FNDDS</t>
        </is>
      </c>
      <c r="E1306" s="1" t="inlineStr">
        <is>
          <t>Base</t>
        </is>
      </c>
      <c r="F1306" s="1" t="n">
        <v>1.49015</v>
      </c>
    </row>
    <row r="1307" ht="15.75" customHeight="1" s="201">
      <c r="A1307" s="1" t="n">
        <v>27445110</v>
      </c>
      <c r="B1307" s="1" t="inlineStr">
        <is>
          <t>Chicken or turkey and vegetables including carrots, broccoli, and/or dark-green leafy; no potatoes, soy-based sauce (Includes Szechuan chicken; Hunan chicken)</t>
        </is>
      </c>
      <c r="C1307" s="1" t="n">
        <v>1</v>
      </c>
      <c r="D1307" s="1" t="inlineStr">
        <is>
          <t>Links to FNDDS</t>
        </is>
      </c>
      <c r="E1307" s="1" t="inlineStr">
        <is>
          <t>Base</t>
        </is>
      </c>
      <c r="F1307" s="1" t="n">
        <v>1.007079</v>
      </c>
    </row>
    <row r="1308" ht="15.75" customHeight="1" s="201">
      <c r="A1308" s="1" t="n">
        <v>27445120</v>
      </c>
      <c r="B1308" s="1" t="inlineStr">
        <is>
          <t>Chicken or turkey and vegetables excluding carrots, broccoli, and dark-green leafy; no potatoes, soy-based sauce (Includes Chinese garlic chicken)</t>
        </is>
      </c>
      <c r="C1308" s="1" t="n">
        <v>4</v>
      </c>
      <c r="D1308" s="1" t="inlineStr">
        <is>
          <t>FNDDS recipe with replaced or modified SR codes</t>
        </is>
      </c>
      <c r="E1308" s="1" t="inlineStr">
        <is>
          <t>Base</t>
        </is>
      </c>
      <c r="F1308" s="1" t="n">
        <v>0.606144</v>
      </c>
    </row>
    <row r="1309" ht="15.75" customHeight="1" s="201">
      <c r="A1309" s="1" t="n">
        <v>27445125</v>
      </c>
      <c r="B1309" s="1" t="inlineStr">
        <is>
          <t>Chicken or turkey and vegetables including carrots, broccoli, and/or dark-green leafy; no potatoes, tomato-based sauce</t>
        </is>
      </c>
      <c r="C1309" s="1" t="n">
        <v>4</v>
      </c>
      <c r="D1309" s="1" t="inlineStr">
        <is>
          <t>FNDDS recipe with replaced or modified SR codes</t>
        </is>
      </c>
      <c r="E1309" s="1" t="inlineStr">
        <is>
          <t>Base</t>
        </is>
      </c>
      <c r="F1309" s="1" t="n">
        <v>0.456881</v>
      </c>
    </row>
    <row r="1310" ht="15.75" customHeight="1" s="201">
      <c r="A1310" s="1" t="n">
        <v>27445130</v>
      </c>
      <c r="B1310" s="1" t="inlineStr">
        <is>
          <t>Chicken or turkey and vegetables excluding carrots, broccoli, and dark-green leafy; no potatoes, tomato-based sauce</t>
        </is>
      </c>
      <c r="C1310" s="1" t="n">
        <v>4</v>
      </c>
      <c r="D1310" s="1" t="inlineStr">
        <is>
          <t>FNDDS recipe with replaced or modified SR codes</t>
        </is>
      </c>
      <c r="E1310" s="1" t="inlineStr">
        <is>
          <t>Base</t>
        </is>
      </c>
      <c r="F1310" s="1" t="n">
        <v>0.435162</v>
      </c>
    </row>
    <row r="1311" ht="15.75" customHeight="1" s="201">
      <c r="A1311" s="1" t="n">
        <v>27445150</v>
      </c>
      <c r="B1311" s="1" t="inlineStr">
        <is>
          <t>General Tso chicken (Includes fried chicken with vegetables in spicy soy sauce)</t>
        </is>
      </c>
      <c r="C1311" s="1" t="n">
        <v>1</v>
      </c>
      <c r="D1311" s="1" t="inlineStr">
        <is>
          <t>Links to FNDDS</t>
        </is>
      </c>
      <c r="E1311" s="1" t="inlineStr">
        <is>
          <t>Base</t>
        </is>
      </c>
      <c r="F1311" s="1" t="n">
        <v>1.057223</v>
      </c>
    </row>
    <row r="1312" ht="15.75" customHeight="1" s="201">
      <c r="A1312" s="1" t="n">
        <v>27445220</v>
      </c>
      <c r="B1312" s="1" t="inlineStr">
        <is>
          <t>Kung pao chicken (Includes cashew chicken)</t>
        </is>
      </c>
      <c r="C1312" s="1" t="n">
        <v>1</v>
      </c>
      <c r="D1312" s="1" t="inlineStr">
        <is>
          <t>Links to FNDDS</t>
        </is>
      </c>
      <c r="E1312" s="1" t="inlineStr">
        <is>
          <t>Base</t>
        </is>
      </c>
      <c r="F1312" s="1" t="n">
        <v>1.278684</v>
      </c>
    </row>
    <row r="1313" ht="15.75" customHeight="1" s="201">
      <c r="A1313" s="1" t="n">
        <v>27446100</v>
      </c>
      <c r="B1313" s="1" t="inlineStr">
        <is>
          <t>Chicken or turkey chow mein or chop suey, no noodles</t>
        </is>
      </c>
      <c r="C1313" s="1" t="n">
        <v>1</v>
      </c>
      <c r="D1313" s="1" t="inlineStr">
        <is>
          <t>Links to FNDDS</t>
        </is>
      </c>
      <c r="E1313" s="1" t="inlineStr">
        <is>
          <t>Base</t>
        </is>
      </c>
      <c r="F1313" s="1" t="n">
        <v>0.35692</v>
      </c>
    </row>
    <row r="1314" ht="15.75" customHeight="1" s="201">
      <c r="A1314" s="1" t="n">
        <v>27446200</v>
      </c>
      <c r="B1314" s="1" t="inlineStr">
        <is>
          <t>Chicken or turkey salad, made with mayonnaise (Includes NS as to type of dressing)</t>
        </is>
      </c>
      <c r="C1314" s="1" t="n">
        <v>4</v>
      </c>
      <c r="D1314" s="1" t="inlineStr">
        <is>
          <t>FNDDS recipe with replaced or modified SR codes</t>
        </is>
      </c>
      <c r="E1314" s="1" t="inlineStr">
        <is>
          <t>Base</t>
        </is>
      </c>
      <c r="F1314" s="1" t="n">
        <v>0.615692</v>
      </c>
    </row>
    <row r="1315" ht="15.75" customHeight="1" s="201">
      <c r="A1315" s="1" t="n">
        <v>27446205</v>
      </c>
      <c r="B1315" s="1" t="inlineStr">
        <is>
          <t>Chicken or turkey salad with nuts and/or fruits (Includes made with any dressing)</t>
        </is>
      </c>
      <c r="C1315" s="1" t="n">
        <v>4</v>
      </c>
      <c r="D1315" s="1" t="inlineStr">
        <is>
          <t>FNDDS recipe with replaced or modified SR codes</t>
        </is>
      </c>
      <c r="E1315" s="1" t="inlineStr">
        <is>
          <t>Base</t>
        </is>
      </c>
      <c r="F1315" s="1" t="n">
        <v>0.667279</v>
      </c>
    </row>
    <row r="1316" ht="15.75" customHeight="1" s="201">
      <c r="A1316" s="1" t="n">
        <v>27446220</v>
      </c>
      <c r="B1316" s="1" t="inlineStr">
        <is>
          <t>Chicken or turkey salad with egg (Includes made with any dressing)</t>
        </is>
      </c>
      <c r="C1316" s="1" t="n">
        <v>4</v>
      </c>
      <c r="D1316" s="1" t="inlineStr">
        <is>
          <t>FNDDS recipe with replaced or modified SR codes</t>
        </is>
      </c>
      <c r="E1316" s="1" t="inlineStr">
        <is>
          <t>Base</t>
        </is>
      </c>
      <c r="F1316" s="1" t="n">
        <v>0.601698</v>
      </c>
    </row>
    <row r="1317" ht="15.75" customHeight="1" s="201">
      <c r="A1317" s="1" t="n">
        <v>27446225</v>
      </c>
      <c r="B1317" s="1" t="inlineStr">
        <is>
          <t>Chicken or turkey salad, made with light mayonnaise (Includes diet, low calorie, low fat, reduced calorie, or reduced fat dressing)</t>
        </is>
      </c>
      <c r="C1317" s="1" t="n">
        <v>4</v>
      </c>
      <c r="D1317" s="1" t="inlineStr">
        <is>
          <t>FNDDS recipe with replaced or modified SR codes</t>
        </is>
      </c>
      <c r="E1317" s="1" t="inlineStr">
        <is>
          <t>Base</t>
        </is>
      </c>
      <c r="F1317" s="1" t="n">
        <v>0.616198</v>
      </c>
    </row>
    <row r="1318" ht="15.75" customHeight="1" s="201">
      <c r="A1318" s="1" t="n">
        <v>27446230</v>
      </c>
      <c r="B1318" s="1" t="inlineStr">
        <is>
          <t>Chicken or turkey salad, made with mayonnaise-type salad dressing (Includes Miracle Whip; imitation mayonnaise; coleslaw dressing; "slaw" dressing)</t>
        </is>
      </c>
      <c r="C1318" s="1" t="n">
        <v>4</v>
      </c>
      <c r="D1318" s="1" t="inlineStr">
        <is>
          <t>FNDDS recipe with replaced or modified SR codes</t>
        </is>
      </c>
      <c r="E1318" s="1" t="inlineStr">
        <is>
          <t>Base</t>
        </is>
      </c>
      <c r="F1318" s="1" t="n">
        <v>0.617271</v>
      </c>
    </row>
    <row r="1319" ht="15.75" customHeight="1" s="201">
      <c r="A1319" s="1" t="n">
        <v>27446235</v>
      </c>
      <c r="B1319" s="1" t="inlineStr">
        <is>
          <t>Chicken or turkey salad, made with light mayonnaise-type salad dressing (Includes diet, low calorie, low fat, reduced calorie, or reduced fat dressing; Miracle Whip Light; light imitation mayonnaise; Hellmann's Dijonnaise; light coleslaw dressing; "slaw" dressing)</t>
        </is>
      </c>
      <c r="C1319" s="1" t="n">
        <v>4</v>
      </c>
      <c r="D1319" s="1" t="inlineStr">
        <is>
          <t>FNDDS recipe with replaced or modified SR codes</t>
        </is>
      </c>
      <c r="E1319" s="1" t="inlineStr">
        <is>
          <t>Base</t>
        </is>
      </c>
      <c r="F1319" s="1" t="n">
        <v>0.616198</v>
      </c>
    </row>
    <row r="1320" ht="15.75" customHeight="1" s="201">
      <c r="A1320" s="1" t="n">
        <v>27446240</v>
      </c>
      <c r="B1320" s="1" t="inlineStr">
        <is>
          <t>Chicken or turkey salad, made with creamy dressing (Includes ranch dressing; ranch dip; peppercorn dressing; creamy Italian; French made with sour cream; creamy bacon dressing; creamy parmesan; cream cheese dressing; sour cream; blue cheese or roquefort cheese dressing; caesar dressing)</t>
        </is>
      </c>
      <c r="C1320" s="1" t="n">
        <v>4</v>
      </c>
      <c r="D1320" s="1" t="inlineStr">
        <is>
          <t>FNDDS recipe with replaced or modified SR codes</t>
        </is>
      </c>
      <c r="E1320" s="1" t="inlineStr">
        <is>
          <t>Base</t>
        </is>
      </c>
      <c r="F1320" s="1" t="n">
        <v>0.629036</v>
      </c>
    </row>
    <row r="1321" ht="15.75" customHeight="1" s="201">
      <c r="A1321" s="1" t="n">
        <v>27446245</v>
      </c>
      <c r="B1321" s="1" t="inlineStr">
        <is>
          <t>Chicken or turkey salad, made with light creamy dressing (Includes diet, low calorie, low fat, reduced calorie, or reduced fat dressing; light ranch dressing; light ranch dip; light caesar dressing; light peppercorn dressing; light creamy Italian; light French made with sour cream; light creamy bacon dressing; light creamy parmesan; light cream cheese dressing; light blue or roquefort cheese dressing; light sour cream)</t>
        </is>
      </c>
      <c r="C1321" s="1" t="n">
        <v>4</v>
      </c>
      <c r="D1321" s="1" t="inlineStr">
        <is>
          <t>FNDDS recipe with replaced or modified SR codes</t>
        </is>
      </c>
      <c r="E1321" s="1" t="inlineStr">
        <is>
          <t>Base</t>
        </is>
      </c>
      <c r="F1321" s="1" t="n">
        <v>0.630027</v>
      </c>
    </row>
    <row r="1322" ht="15.75" customHeight="1" s="201">
      <c r="A1322" s="1" t="n">
        <v>27446260</v>
      </c>
      <c r="B1322" s="1" t="inlineStr">
        <is>
          <t>Chicken or turkey salad, made with any type of fat free dressing (Includes fat free mayonnaise; fat free mayonnaise-type salad dressing; fat free Italian dressing; any fat free creamy dressing; vinegar, sugar, and water dressing; fat free vinaigrette; with no dressing)</t>
        </is>
      </c>
      <c r="C1322" s="1" t="n">
        <v>4</v>
      </c>
      <c r="D1322" s="1" t="inlineStr">
        <is>
          <t>FNDDS recipe with replaced or modified SR codes</t>
        </is>
      </c>
      <c r="E1322" s="1" t="inlineStr">
        <is>
          <t>Base</t>
        </is>
      </c>
      <c r="F1322" s="1" t="n">
        <v>0.614668</v>
      </c>
    </row>
    <row r="1323" ht="15.75" customHeight="1" s="201">
      <c r="A1323" s="1" t="n">
        <v>27446315</v>
      </c>
      <c r="B1323" s="1" t="inlineStr">
        <is>
          <t>Chicken or turkey garden salad with bacon and cheese, chicken and/or turkey, bacon, cheese, lettuce and/or greens, tomato and/or carrots, other vegetables, no dressing (Includes McDonald's Bacon Ranch Salad with Grilled Chicken; Wendy's Chicken BLT Salad with Grilled Chicken; Wendy's Chicken BLT Salad)</t>
        </is>
      </c>
      <c r="C1323" s="1" t="n">
        <v>4</v>
      </c>
      <c r="D1323" s="1" t="inlineStr">
        <is>
          <t>FNDDS recipe with replaced or modified SR codes</t>
        </is>
      </c>
      <c r="E1323" s="1" t="inlineStr">
        <is>
          <t>Base</t>
        </is>
      </c>
      <c r="F1323" s="1" t="n">
        <v>1.073396</v>
      </c>
    </row>
    <row r="1324" ht="15.75" customHeight="1" s="201">
      <c r="A1324" s="1" t="n">
        <v>27446320</v>
      </c>
      <c r="B1324" s="1" t="inlineStr">
        <is>
          <t>Chicken or turkey, breaded, fried, garden salad with bacon and cheese, chicken and/or turkey, bacon, cheese, lettuce and/or greens, tomato and/or carrots, other vegetables, no dressing (Includes McDonald's Bacon Ranch Salad with Crispy Chicken; Wendy's Chicken BLT Salad with Crispy Chicken; Wendy's Chicken BLT Salad)</t>
        </is>
      </c>
      <c r="C1324" s="1" t="n">
        <v>4</v>
      </c>
      <c r="D1324" s="1" t="inlineStr">
        <is>
          <t>FNDDS recipe with replaced or modified SR codes</t>
        </is>
      </c>
      <c r="E1324" s="1" t="inlineStr">
        <is>
          <t>Base</t>
        </is>
      </c>
      <c r="F1324" s="1" t="n">
        <v>1.105476</v>
      </c>
    </row>
    <row r="1325" ht="15.75" customHeight="1" s="201">
      <c r="A1325" s="1" t="n">
        <v>27446350</v>
      </c>
      <c r="B1325" s="1" t="inlineStr">
        <is>
          <t>Asian chicken or turkey garden salad, chicken and/or turkey, lettuce, fruit, nuts, no dressing</t>
        </is>
      </c>
      <c r="C1325" s="1" t="n">
        <v>4</v>
      </c>
      <c r="D1325" s="1" t="inlineStr">
        <is>
          <t>FNDDS recipe with replaced or modified SR codes</t>
        </is>
      </c>
      <c r="E1325" s="1" t="inlineStr">
        <is>
          <t>Base</t>
        </is>
      </c>
      <c r="F1325" s="1" t="n">
        <v>0.974869</v>
      </c>
    </row>
    <row r="1326" ht="15.75" customHeight="1" s="201">
      <c r="A1326" s="1" t="n">
        <v>27446355</v>
      </c>
      <c r="B1326" s="1" t="inlineStr">
        <is>
          <t>Asian chicken or turkey garden salad with crispy noodles, chicken and/or turkey, lettuce, fruit, nuts, crispy noodles, no dressing (Includes Wendy's Mandarin Chicken Salad)</t>
        </is>
      </c>
      <c r="C1326" s="1" t="n">
        <v>4</v>
      </c>
      <c r="D1326" s="1" t="inlineStr">
        <is>
          <t>FNDDS recipe with replaced or modified SR codes</t>
        </is>
      </c>
      <c r="E1326" s="1" t="inlineStr">
        <is>
          <t>Base</t>
        </is>
      </c>
      <c r="F1326" s="1" t="n">
        <v>1.020255</v>
      </c>
    </row>
    <row r="1327" ht="15.75" customHeight="1" s="201">
      <c r="A1327" s="1" t="n">
        <v>27450010</v>
      </c>
      <c r="B1327" s="1" t="inlineStr">
        <is>
          <t>Crab salad (Includes made with any dressing)</t>
        </is>
      </c>
      <c r="C1327" s="1" t="n">
        <v>1</v>
      </c>
      <c r="D1327" s="1" t="inlineStr">
        <is>
          <t>Links to FNDDS</t>
        </is>
      </c>
      <c r="E1327" s="1" t="inlineStr">
        <is>
          <t>Base</t>
        </is>
      </c>
      <c r="F1327" s="1" t="n">
        <v>1.058241</v>
      </c>
    </row>
    <row r="1328" ht="15.75" customHeight="1" s="201">
      <c r="A1328" s="1" t="n">
        <v>27450040</v>
      </c>
      <c r="B1328" s="1" t="inlineStr">
        <is>
          <t>Shrimp chow mein or chop suey, no noodles</t>
        </is>
      </c>
      <c r="C1328" s="1" t="n">
        <v>2</v>
      </c>
      <c r="D1328" s="1" t="inlineStr">
        <is>
          <t>Links to altEC</t>
        </is>
      </c>
      <c r="E1328" s="1" t="inlineStr">
        <is>
          <t>Base</t>
        </is>
      </c>
      <c r="F1328" s="1" t="n">
        <v>0.394583</v>
      </c>
    </row>
    <row r="1329" ht="15.75" customHeight="1" s="201">
      <c r="A1329" s="1" t="n">
        <v>27450060</v>
      </c>
      <c r="B1329" s="1" t="inlineStr">
        <is>
          <t>Tuna salad, made with mayonnaise (Includes sandwich spread; NS as to type of dressing)</t>
        </is>
      </c>
      <c r="C1329" s="1" t="n">
        <v>4</v>
      </c>
      <c r="D1329" s="1" t="inlineStr">
        <is>
          <t>FNDDS recipe with replaced or modified SR codes</t>
        </is>
      </c>
      <c r="E1329" s="1" t="inlineStr">
        <is>
          <t>Base</t>
        </is>
      </c>
      <c r="F1329" s="1" t="n">
        <v>0.766154</v>
      </c>
    </row>
    <row r="1330" ht="15.75" customHeight="1" s="201">
      <c r="A1330" s="1" t="n">
        <v>27450061</v>
      </c>
      <c r="B1330" s="1" t="inlineStr">
        <is>
          <t>Tuna salad, made with light mayonnaise (Includes diet, low calorie, low fat, reduced calorie, or reduced fat dressing)</t>
        </is>
      </c>
      <c r="C1330" s="1" t="n">
        <v>4</v>
      </c>
      <c r="D1330" s="1" t="inlineStr">
        <is>
          <t>FNDDS recipe with replaced or modified SR codes</t>
        </is>
      </c>
      <c r="E1330" s="1" t="inlineStr">
        <is>
          <t>Base</t>
        </is>
      </c>
      <c r="F1330" s="1" t="n">
        <v>0.76391</v>
      </c>
    </row>
    <row r="1331" ht="15.75" customHeight="1" s="201">
      <c r="A1331" s="1" t="n">
        <v>27450062</v>
      </c>
      <c r="B1331" s="1" t="inlineStr">
        <is>
          <t>Tuna salad, made with mayonnaise-type salad dressing (Includes Miracle Whip; imitation mayonnaise; coleslaw dressing; "slaw" dressing)</t>
        </is>
      </c>
      <c r="C1331" s="1" t="n">
        <v>4</v>
      </c>
      <c r="D1331" s="1" t="inlineStr">
        <is>
          <t>FNDDS recipe with replaced or modified SR codes</t>
        </is>
      </c>
      <c r="E1331" s="1" t="inlineStr">
        <is>
          <t>Base</t>
        </is>
      </c>
      <c r="F1331" s="1" t="n">
        <v>0.765647</v>
      </c>
    </row>
    <row r="1332" ht="15.75" customHeight="1" s="201">
      <c r="A1332" s="1" t="n">
        <v>27450063</v>
      </c>
      <c r="B1332" s="1" t="inlineStr">
        <is>
          <t>Tuna salad, made with light mayonnaise-type salad dressing (Includes diet, low calorie, low fat, reduced calorie, or reduced fat dressing; Miracle Whip Light; light imitation mayonnaise; light coleslaw dressing; light "slaw" dressing; Hellmann's Dijonnaise)</t>
        </is>
      </c>
      <c r="C1332" s="1" t="n">
        <v>4</v>
      </c>
      <c r="D1332" s="1" t="inlineStr">
        <is>
          <t>FNDDS recipe with replaced or modified SR codes</t>
        </is>
      </c>
      <c r="E1332" s="1" t="inlineStr">
        <is>
          <t>Base</t>
        </is>
      </c>
      <c r="F1332" s="1" t="n">
        <v>0.76391</v>
      </c>
    </row>
    <row r="1333" ht="15.75" customHeight="1" s="201">
      <c r="A1333" s="1" t="n">
        <v>27450066</v>
      </c>
      <c r="B1333" s="1" t="inlineStr">
        <is>
          <t>Tuna salad, made with Italian dressing (Includes vinegar and oil; vinaigrette; Greek dressing; onion or Vidalia onion dressing; Champagne dressing; celery seed dressing; red wine, balsamic, or raspberry vinegar dressing)</t>
        </is>
      </c>
      <c r="C1333" s="1" t="n">
        <v>4</v>
      </c>
      <c r="D1333" s="1" t="inlineStr">
        <is>
          <t>FNDDS recipe with replaced or modified SR codes</t>
        </is>
      </c>
      <c r="E1333" s="1" t="inlineStr">
        <is>
          <t>Base</t>
        </is>
      </c>
      <c r="F1333" s="1" t="n">
        <v>0.787667</v>
      </c>
    </row>
    <row r="1334" ht="15.75" customHeight="1" s="201">
      <c r="A1334" s="1" t="n">
        <v>27450068</v>
      </c>
      <c r="B1334" s="1" t="inlineStr">
        <is>
          <t>Tuna salad, made with any type of fat free dressing (Includes fat free mayonnaise; fat free mayonnaise-type salad dressing; fat free Italian dressing; any fat free creamy dressing; fat free vinaigrette; with no dressing)</t>
        </is>
      </c>
      <c r="C1334" s="1" t="n">
        <v>4</v>
      </c>
      <c r="D1334" s="1" t="inlineStr">
        <is>
          <t>FNDDS recipe with replaced or modified SR codes</t>
        </is>
      </c>
      <c r="E1334" s="1" t="inlineStr">
        <is>
          <t>Base</t>
        </is>
      </c>
      <c r="F1334" s="1" t="n">
        <v>0.760271</v>
      </c>
    </row>
    <row r="1335" ht="15.75" customHeight="1" s="201">
      <c r="A1335" s="1" t="n">
        <v>27450070</v>
      </c>
      <c r="B1335" s="1" t="inlineStr">
        <is>
          <t>Shrimp salad (Includes made with any dressing)</t>
        </is>
      </c>
      <c r="C1335" s="1" t="n">
        <v>1</v>
      </c>
      <c r="D1335" s="1" t="inlineStr">
        <is>
          <t>Links to FNDDS</t>
        </is>
      </c>
      <c r="E1335" s="1" t="inlineStr">
        <is>
          <t>Base</t>
        </is>
      </c>
      <c r="F1335" s="1" t="n">
        <v>2.182154</v>
      </c>
    </row>
    <row r="1336" ht="15.75" customHeight="1" s="201">
      <c r="A1336" s="1" t="n">
        <v>27450080</v>
      </c>
      <c r="B1336" s="1" t="inlineStr">
        <is>
          <t>Seafood salad (Includes made with any dressing)</t>
        </is>
      </c>
      <c r="C1336" s="1" t="n">
        <v>1</v>
      </c>
      <c r="D1336" s="1" t="inlineStr">
        <is>
          <t>Links to FNDDS</t>
        </is>
      </c>
      <c r="E1336" s="1" t="inlineStr">
        <is>
          <t>Base</t>
        </is>
      </c>
      <c r="F1336" s="1" t="n">
        <v>1.195081</v>
      </c>
    </row>
    <row r="1337" ht="15.75" customHeight="1" s="201">
      <c r="A1337" s="1" t="n">
        <v>27450090</v>
      </c>
      <c r="B1337" s="1" t="inlineStr">
        <is>
          <t>Tuna salad with cheese (Includes made with any dressing)</t>
        </is>
      </c>
      <c r="C1337" s="1" t="n">
        <v>4</v>
      </c>
      <c r="D1337" s="1" t="inlineStr">
        <is>
          <t>FNDDS recipe with replaced or modified SR codes</t>
        </is>
      </c>
      <c r="E1337" s="1" t="inlineStr">
        <is>
          <t>Base</t>
        </is>
      </c>
      <c r="F1337" s="1" t="n">
        <v>0.8005330000000001</v>
      </c>
    </row>
    <row r="1338" ht="15.75" customHeight="1" s="201">
      <c r="A1338" s="1" t="n">
        <v>27450100</v>
      </c>
      <c r="B1338" s="1" t="inlineStr">
        <is>
          <t>Tuna salad with egg (Includes made with any dressing)</t>
        </is>
      </c>
      <c r="C1338" s="1" t="n">
        <v>4</v>
      </c>
      <c r="D1338" s="1" t="inlineStr">
        <is>
          <t>FNDDS recipe with replaced or modified SR codes</t>
        </is>
      </c>
      <c r="E1338" s="1" t="inlineStr">
        <is>
          <t>Base</t>
        </is>
      </c>
      <c r="F1338" s="1" t="n">
        <v>0.739511</v>
      </c>
    </row>
    <row r="1339" ht="15.75" customHeight="1" s="201">
      <c r="A1339" s="1" t="n">
        <v>27450130</v>
      </c>
      <c r="B1339" s="1" t="inlineStr">
        <is>
          <t>Crab salad made with imitation crab (Includes made with any dressing)</t>
        </is>
      </c>
      <c r="C1339" s="1" t="n">
        <v>1</v>
      </c>
      <c r="D1339" s="1" t="inlineStr">
        <is>
          <t>Links to FNDDS</t>
        </is>
      </c>
      <c r="E1339" s="1" t="inlineStr">
        <is>
          <t>Base</t>
        </is>
      </c>
      <c r="F1339" s="1" t="n">
        <v>1.168726</v>
      </c>
    </row>
    <row r="1340" ht="15.75" customHeight="1" s="201">
      <c r="A1340" s="1" t="n">
        <v>27450250</v>
      </c>
      <c r="B1340" s="1" t="inlineStr">
        <is>
          <t>Oysters Rockefeller</t>
        </is>
      </c>
      <c r="C1340" s="1" t="n">
        <v>4</v>
      </c>
      <c r="D1340" s="1" t="inlineStr">
        <is>
          <t>FNDDS recipe with replaced or modified SR codes</t>
        </is>
      </c>
      <c r="E1340" s="1" t="inlineStr">
        <is>
          <t>Base</t>
        </is>
      </c>
      <c r="F1340" s="1" t="n">
        <v>1.706892</v>
      </c>
    </row>
    <row r="1341" ht="15.75" customHeight="1" s="201">
      <c r="A1341" s="1" t="n">
        <v>27450310</v>
      </c>
      <c r="B1341" s="1" t="inlineStr">
        <is>
          <t>Lomi salmon</t>
        </is>
      </c>
      <c r="C1341" s="1" t="n">
        <v>3</v>
      </c>
      <c r="D1341" s="1" t="inlineStr">
        <is>
          <t>Original FNDDS recipe</t>
        </is>
      </c>
      <c r="E1341" s="1" t="inlineStr">
        <is>
          <t>Base</t>
        </is>
      </c>
      <c r="F1341" s="1" t="n">
        <v>0.6354649999999999</v>
      </c>
    </row>
    <row r="1342" ht="15.75" customHeight="1" s="201">
      <c r="A1342" s="1" t="n">
        <v>27450400</v>
      </c>
      <c r="B1342" s="1" t="inlineStr">
        <is>
          <t>Shrimp and vegetables including carrots, broccoli, and/or dark-green leafy; no potatoes, no sauce</t>
        </is>
      </c>
      <c r="C1342" s="1" t="n">
        <v>4</v>
      </c>
      <c r="D1342" s="1" t="inlineStr">
        <is>
          <t>FNDDS recipe with replaced or modified SR codes</t>
        </is>
      </c>
      <c r="E1342" s="1" t="inlineStr">
        <is>
          <t>Base</t>
        </is>
      </c>
      <c r="F1342" s="1" t="n">
        <v>1.366882</v>
      </c>
    </row>
    <row r="1343" ht="15.75" customHeight="1" s="201">
      <c r="A1343" s="1" t="n">
        <v>27450405</v>
      </c>
      <c r="B1343" s="1" t="inlineStr">
        <is>
          <t>Shrimp and vegetables excluding carrots, broccoli, and dark-green leafy; no potatoes, no sauce</t>
        </is>
      </c>
      <c r="C1343" s="1" t="n">
        <v>4</v>
      </c>
      <c r="D1343" s="1" t="inlineStr">
        <is>
          <t>FNDDS recipe with replaced or modified SR codes</t>
        </is>
      </c>
      <c r="E1343" s="1" t="inlineStr">
        <is>
          <t>Base</t>
        </is>
      </c>
      <c r="F1343" s="1" t="n">
        <v>1.303167</v>
      </c>
    </row>
    <row r="1344" ht="15.75" customHeight="1" s="201">
      <c r="A1344" s="1" t="n">
        <v>27450410</v>
      </c>
      <c r="B1344" s="1" t="inlineStr">
        <is>
          <t>Shrimp and vegetables including carrots, broccoli, and/or dark-green leafy; no potatoes, soy-based sauce (Includes Szechuan shrimp; Hunan shrimp)</t>
        </is>
      </c>
      <c r="C1344" s="1" t="n">
        <v>4</v>
      </c>
      <c r="D1344" s="1" t="inlineStr">
        <is>
          <t>FNDDS recipe with replaced or modified SR codes</t>
        </is>
      </c>
      <c r="E1344" s="1" t="inlineStr">
        <is>
          <t>Base</t>
        </is>
      </c>
      <c r="F1344" s="1" t="n">
        <v>1.326164</v>
      </c>
    </row>
    <row r="1345" ht="15.75" customHeight="1" s="201">
      <c r="A1345" s="1" t="n">
        <v>27450420</v>
      </c>
      <c r="B1345" s="1" t="inlineStr">
        <is>
          <t>Shrimp and vegetables excluding carrots, broccoli, and dark-green leafy; no potatoes, soy-based sauce</t>
        </is>
      </c>
      <c r="C1345" s="1" t="n">
        <v>4</v>
      </c>
      <c r="D1345" s="1" t="inlineStr">
        <is>
          <t>FNDDS recipe with replaced or modified SR codes</t>
        </is>
      </c>
      <c r="E1345" s="1" t="inlineStr">
        <is>
          <t>Base</t>
        </is>
      </c>
      <c r="F1345" s="1" t="n">
        <v>1.378756</v>
      </c>
    </row>
    <row r="1346" ht="15.75" customHeight="1" s="201">
      <c r="A1346" s="1" t="n">
        <v>27450450</v>
      </c>
      <c r="B1346" s="1" t="inlineStr">
        <is>
          <t>Shrimp creole, no rice</t>
        </is>
      </c>
      <c r="C1346" s="1" t="n">
        <v>4</v>
      </c>
      <c r="D1346" s="1" t="inlineStr">
        <is>
          <t>FNDDS recipe with replaced or modified SR codes</t>
        </is>
      </c>
      <c r="E1346" s="1" t="inlineStr">
        <is>
          <t>Base</t>
        </is>
      </c>
      <c r="F1346" s="1" t="n">
        <v>2.023533</v>
      </c>
    </row>
    <row r="1347" ht="15.75" customHeight="1" s="201">
      <c r="A1347" s="1" t="n">
        <v>27450600</v>
      </c>
      <c r="B1347" s="1" t="inlineStr">
        <is>
          <t>Shellfish mixture and vegetables including carrots, broccoli, and/or dark-green leafy; no potatoes, soy-based sauce</t>
        </is>
      </c>
      <c r="C1347" s="1" t="n">
        <v>4</v>
      </c>
      <c r="D1347" s="1" t="inlineStr">
        <is>
          <t>FNDDS recipe with replaced or modified SR codes</t>
        </is>
      </c>
      <c r="E1347" s="1" t="inlineStr">
        <is>
          <t>Base</t>
        </is>
      </c>
      <c r="F1347" s="1" t="n">
        <v>1.406537</v>
      </c>
    </row>
    <row r="1348" ht="15.75" customHeight="1" s="201">
      <c r="A1348" s="1" t="n">
        <v>27450660</v>
      </c>
      <c r="B1348" s="1" t="inlineStr">
        <is>
          <t>Shellfish mixture and vegetables excluding carrots, broccoli, and dark-green leafy; no potatoes, mushroom sauce</t>
        </is>
      </c>
      <c r="C1348" s="1" t="n">
        <v>4</v>
      </c>
      <c r="D1348" s="1" t="inlineStr">
        <is>
          <t>FNDDS recipe with replaced or modified SR codes</t>
        </is>
      </c>
      <c r="E1348" s="1" t="inlineStr">
        <is>
          <t>Base</t>
        </is>
      </c>
      <c r="F1348" s="1" t="n">
        <v>0.975178</v>
      </c>
    </row>
    <row r="1349" ht="15.75" customHeight="1" s="201">
      <c r="A1349" s="1" t="n">
        <v>27450700</v>
      </c>
      <c r="B1349" s="1" t="inlineStr">
        <is>
          <t>Fish and vegetables including carrots, broccoli, and/or dark-green leafy; no potatoes, tomato-based sauce</t>
        </is>
      </c>
      <c r="C1349" s="1" t="n">
        <v>4</v>
      </c>
      <c r="D1349" s="1" t="inlineStr">
        <is>
          <t>FNDDS recipe with replaced or modified SR codes</t>
        </is>
      </c>
      <c r="E1349" s="1" t="inlineStr">
        <is>
          <t>Base</t>
        </is>
      </c>
      <c r="F1349" s="1" t="n">
        <v>0.71882</v>
      </c>
    </row>
    <row r="1350" ht="15.75" customHeight="1" s="201">
      <c r="A1350" s="1" t="n">
        <v>27450710</v>
      </c>
      <c r="B1350" s="1" t="inlineStr">
        <is>
          <t>Fish and vegetables excluding carrots, broccoli, and dark- green leafy; no potatoes, tomato-based sauce</t>
        </is>
      </c>
      <c r="C1350" s="1" t="n">
        <v>4</v>
      </c>
      <c r="D1350" s="1" t="inlineStr">
        <is>
          <t>FNDDS recipe with replaced or modified SR codes</t>
        </is>
      </c>
      <c r="E1350" s="1" t="inlineStr">
        <is>
          <t>Base</t>
        </is>
      </c>
      <c r="F1350" s="1" t="n">
        <v>0.6971810000000001</v>
      </c>
    </row>
    <row r="1351" ht="15.75" customHeight="1" s="201">
      <c r="A1351" s="1" t="n">
        <v>27450750</v>
      </c>
      <c r="B1351" s="1" t="inlineStr">
        <is>
          <t>Fish and vegetables excluding  carrots, broccoli, and dark-green leafy; no potatoes, soy-based sauce</t>
        </is>
      </c>
      <c r="C1351" s="1" t="n">
        <v>4</v>
      </c>
      <c r="D1351" s="1" t="inlineStr">
        <is>
          <t>FNDDS recipe with replaced or modified SR codes</t>
        </is>
      </c>
      <c r="E1351" s="1" t="inlineStr">
        <is>
          <t>Base</t>
        </is>
      </c>
      <c r="F1351" s="1" t="n">
        <v>1.032295</v>
      </c>
    </row>
    <row r="1352" ht="15.75" customHeight="1" s="201">
      <c r="A1352" s="1" t="n">
        <v>27460510</v>
      </c>
      <c r="B1352" s="1" t="inlineStr">
        <is>
          <t>Antipasto with ham, fish, cheese, vegetables</t>
        </is>
      </c>
      <c r="C1352" s="1" t="n">
        <v>1</v>
      </c>
      <c r="D1352" s="1" t="inlineStr">
        <is>
          <t>Links to FNDDS</t>
        </is>
      </c>
      <c r="E1352" s="1" t="inlineStr">
        <is>
          <t>Base</t>
        </is>
      </c>
      <c r="F1352" s="1" t="n">
        <v>2.832959</v>
      </c>
    </row>
    <row r="1353" ht="15.75" customHeight="1" s="201">
      <c r="A1353" s="1" t="n">
        <v>27460750</v>
      </c>
      <c r="B1353" s="1" t="inlineStr">
        <is>
          <t>Liver, beef or calves, and onions</t>
        </is>
      </c>
      <c r="C1353" s="1" t="n">
        <v>4</v>
      </c>
      <c r="D1353" s="1" t="inlineStr">
        <is>
          <t>FNDDS recipe with replaced or modified SR codes</t>
        </is>
      </c>
      <c r="E1353" s="1" t="inlineStr">
        <is>
          <t>Base</t>
        </is>
      </c>
      <c r="F1353" s="1" t="n">
        <v>0.916175</v>
      </c>
    </row>
    <row r="1354" ht="15.75" customHeight="1" s="201">
      <c r="A1354" s="1" t="n">
        <v>27464000</v>
      </c>
      <c r="B1354" s="1" t="inlineStr">
        <is>
          <t>Gumbo, no rice (Includes shellfish, pork, poultry, tomatoes, and okra)</t>
        </is>
      </c>
      <c r="C1354" s="1" t="n">
        <v>4</v>
      </c>
      <c r="D1354" s="1" t="inlineStr">
        <is>
          <t>FNDDS recipe with replaced or modified SR codes</t>
        </is>
      </c>
      <c r="E1354" s="1" t="inlineStr">
        <is>
          <t>Base</t>
        </is>
      </c>
      <c r="F1354" s="1" t="n">
        <v>0.676695</v>
      </c>
    </row>
    <row r="1355" ht="15.75" customHeight="1" s="201">
      <c r="A1355" s="1" t="n">
        <v>27500050</v>
      </c>
      <c r="B1355" s="1" t="inlineStr">
        <is>
          <t>Sandwich, NFS</t>
        </is>
      </c>
      <c r="C1355" s="1" t="n">
        <v>2</v>
      </c>
      <c r="D1355" s="1" t="inlineStr">
        <is>
          <t>Links to altEC</t>
        </is>
      </c>
      <c r="E1355" s="1" t="inlineStr">
        <is>
          <t>Base</t>
        </is>
      </c>
      <c r="F1355" s="1" t="n">
        <v>1.298164</v>
      </c>
    </row>
    <row r="1356" ht="15.75" customHeight="1" s="201">
      <c r="A1356" s="1" t="n">
        <v>27500300</v>
      </c>
      <c r="B1356" s="1" t="inlineStr">
        <is>
          <t>Wrap sandwich, NFS</t>
        </is>
      </c>
      <c r="C1356" s="1" t="n">
        <v>2</v>
      </c>
      <c r="D1356" s="1" t="inlineStr">
        <is>
          <t>Links to altEC</t>
        </is>
      </c>
      <c r="E1356" s="1" t="inlineStr">
        <is>
          <t>Base</t>
        </is>
      </c>
      <c r="F1356" s="1" t="n">
        <v>1.697092</v>
      </c>
    </row>
    <row r="1357" ht="15.75" customHeight="1" s="201">
      <c r="A1357" s="1" t="n">
        <v>27510130</v>
      </c>
      <c r="B1357" s="1" t="inlineStr">
        <is>
          <t>Beef barbecue submarine sandwich, on bun (Includes Sloppy Joe, on bun, NS as to type of meat; Manwich prepared with beef, on bun)</t>
        </is>
      </c>
      <c r="C1357" s="1" t="n">
        <v>4</v>
      </c>
      <c r="D1357" s="1" t="inlineStr">
        <is>
          <t>FNDDS recipe with replaced or modified SR codes</t>
        </is>
      </c>
      <c r="E1357" s="1" t="inlineStr">
        <is>
          <t>Base</t>
        </is>
      </c>
      <c r="F1357" s="1" t="n">
        <v>0.950999</v>
      </c>
    </row>
    <row r="1358" ht="15.75" customHeight="1" s="201">
      <c r="A1358" s="1" t="n">
        <v>27510140</v>
      </c>
      <c r="B1358" s="1" t="inlineStr">
        <is>
          <t>Cheeseburger slider, from fast food (Includes White Castle Cheese Slider; slider)</t>
        </is>
      </c>
      <c r="C1358" s="1" t="n">
        <v>4</v>
      </c>
      <c r="D1358" s="1" t="inlineStr">
        <is>
          <t>FNDDS recipe with replaced or modified SR codes</t>
        </is>
      </c>
      <c r="E1358" s="1" t="inlineStr">
        <is>
          <t>Base</t>
        </is>
      </c>
      <c r="F1358" s="1" t="n">
        <v>0.870471</v>
      </c>
    </row>
    <row r="1359" ht="15.75" customHeight="1" s="201">
      <c r="A1359" s="1" t="n">
        <v>27510160</v>
      </c>
      <c r="B1359" s="1" t="inlineStr">
        <is>
          <t>Cheeseburger, from fast food, 1 small patty (Includes junior patty)</t>
        </is>
      </c>
      <c r="C1359" s="1" t="n">
        <v>2</v>
      </c>
      <c r="D1359" s="1" t="inlineStr">
        <is>
          <t>Links to altEC</t>
        </is>
      </c>
      <c r="E1359" s="1" t="inlineStr">
        <is>
          <t>Base</t>
        </is>
      </c>
      <c r="F1359" s="1" t="n">
        <v>1.001962</v>
      </c>
    </row>
    <row r="1360" ht="15.75" customHeight="1" s="201">
      <c r="A1360" s="1" t="n">
        <v>27510170</v>
      </c>
      <c r="B1360" s="1" t="inlineStr">
        <is>
          <t>Cheeseburger (Burger King)</t>
        </is>
      </c>
      <c r="C1360" s="1" t="n">
        <v>2</v>
      </c>
      <c r="D1360" s="1" t="inlineStr">
        <is>
          <t>Links to altEC</t>
        </is>
      </c>
      <c r="E1360" s="1" t="inlineStr">
        <is>
          <t>Base</t>
        </is>
      </c>
      <c r="F1360" s="1" t="n">
        <v>1.001962</v>
      </c>
    </row>
    <row r="1361" ht="15.75" customHeight="1" s="201">
      <c r="A1361" s="1" t="n">
        <v>27510171</v>
      </c>
      <c r="B1361" s="1" t="inlineStr">
        <is>
          <t>Whopper Jr with cheese (Burger King)</t>
        </is>
      </c>
      <c r="C1361" s="1" t="n">
        <v>2</v>
      </c>
      <c r="D1361" s="1" t="inlineStr">
        <is>
          <t>Links to altEC</t>
        </is>
      </c>
      <c r="E1361" s="1" t="inlineStr">
        <is>
          <t>Base</t>
        </is>
      </c>
      <c r="F1361" s="1" t="n">
        <v>1.001962</v>
      </c>
    </row>
    <row r="1362" ht="15.75" customHeight="1" s="201">
      <c r="A1362" s="1" t="n">
        <v>27510172</v>
      </c>
      <c r="B1362" s="1" t="inlineStr">
        <is>
          <t>Cheeseburger (McDonalds)</t>
        </is>
      </c>
      <c r="C1362" s="1" t="n">
        <v>2</v>
      </c>
      <c r="D1362" s="1" t="inlineStr">
        <is>
          <t>Links to altEC</t>
        </is>
      </c>
      <c r="E1362" s="1" t="inlineStr">
        <is>
          <t>Base</t>
        </is>
      </c>
      <c r="F1362" s="1" t="n">
        <v>1.001962</v>
      </c>
    </row>
    <row r="1363" ht="15.75" customHeight="1" s="201">
      <c r="A1363" s="1" t="n">
        <v>27510190</v>
      </c>
      <c r="B1363" s="1" t="inlineStr">
        <is>
          <t>Cheeseburger, from school cafeteria (Includes school cheeseburger, nfs; any size patty, excluding miniature; plain or with condiments)</t>
        </is>
      </c>
      <c r="C1363" s="1" t="n">
        <v>2</v>
      </c>
      <c r="D1363" s="1" t="inlineStr">
        <is>
          <t>Links to altEC</t>
        </is>
      </c>
      <c r="E1363" s="1" t="inlineStr">
        <is>
          <t>Base</t>
        </is>
      </c>
      <c r="F1363" s="1" t="n">
        <v>1.001962</v>
      </c>
    </row>
    <row r="1364" ht="15.75" customHeight="1" s="201">
      <c r="A1364" s="1" t="n">
        <v>27510195</v>
      </c>
      <c r="B1364" s="1" t="inlineStr">
        <is>
          <t>Cheeseburger, on white bun, 1 small patty (Includes homemade; bun, NFS; junior patty)</t>
        </is>
      </c>
      <c r="C1364" s="1" t="n">
        <v>2</v>
      </c>
      <c r="D1364" s="1" t="inlineStr">
        <is>
          <t>Links to altEC</t>
        </is>
      </c>
      <c r="E1364" s="1" t="inlineStr">
        <is>
          <t>Base</t>
        </is>
      </c>
      <c r="F1364" s="1" t="n">
        <v>1.001962</v>
      </c>
    </row>
    <row r="1365" ht="15.75" customHeight="1" s="201">
      <c r="A1365" s="1" t="n">
        <v>27510215</v>
      </c>
      <c r="B1365" s="1" t="inlineStr">
        <is>
          <t>Cheeseburger, from fast food, 1 medium patty (Includes quarter pound patty)</t>
        </is>
      </c>
      <c r="C1365" s="1" t="n">
        <v>2</v>
      </c>
      <c r="D1365" s="1" t="inlineStr">
        <is>
          <t>Links to altEC</t>
        </is>
      </c>
      <c r="E1365" s="1" t="inlineStr">
        <is>
          <t>Base</t>
        </is>
      </c>
      <c r="F1365" s="1" t="n">
        <v>1.001962</v>
      </c>
    </row>
    <row r="1366" ht="15.75" customHeight="1" s="201">
      <c r="A1366" s="1" t="n">
        <v>27510231</v>
      </c>
      <c r="B1366" s="1" t="inlineStr">
        <is>
          <t>Whopper with cheese (Burger King)</t>
        </is>
      </c>
      <c r="C1366" s="1" t="n">
        <v>2</v>
      </c>
      <c r="D1366" s="1" t="inlineStr">
        <is>
          <t>Links to altEC</t>
        </is>
      </c>
      <c r="E1366" s="1" t="inlineStr">
        <is>
          <t>Base</t>
        </is>
      </c>
      <c r="F1366" s="1" t="n">
        <v>1.001962</v>
      </c>
    </row>
    <row r="1367" ht="15.75" customHeight="1" s="201">
      <c r="A1367" s="1" t="n">
        <v>27510232</v>
      </c>
      <c r="B1367" s="1" t="inlineStr">
        <is>
          <t>Quarter Pounder with cheese (McDonalds)</t>
        </is>
      </c>
      <c r="C1367" s="1" t="n">
        <v>2</v>
      </c>
      <c r="D1367" s="1" t="inlineStr">
        <is>
          <t>Links to altEC</t>
        </is>
      </c>
      <c r="E1367" s="1" t="inlineStr">
        <is>
          <t>Base</t>
        </is>
      </c>
      <c r="F1367" s="1" t="n">
        <v>1.001962</v>
      </c>
    </row>
    <row r="1368" ht="15.75" customHeight="1" s="201">
      <c r="A1368" s="1" t="n">
        <v>27510235</v>
      </c>
      <c r="B1368" s="1" t="inlineStr">
        <is>
          <t>Cheeseburger submarine sandwich with lettuce, tomato and spread (Includes Jerry's Cheeseburger Sub)</t>
        </is>
      </c>
      <c r="C1368" s="1" t="n">
        <v>2</v>
      </c>
      <c r="D1368" s="1" t="inlineStr">
        <is>
          <t>Links to altEC</t>
        </is>
      </c>
      <c r="E1368" s="1" t="inlineStr">
        <is>
          <t>Base</t>
        </is>
      </c>
      <c r="F1368" s="1" t="n">
        <v>1.199634</v>
      </c>
    </row>
    <row r="1369" ht="15.75" customHeight="1" s="201">
      <c r="A1369" s="1" t="n">
        <v>27510241</v>
      </c>
      <c r="B1369" s="1" t="inlineStr">
        <is>
          <t>Cheeseburger, on white bun, 1 medium patty (Includes homemade; bun, NFS; quarter pound patty)</t>
        </is>
      </c>
      <c r="C1369" s="1" t="n">
        <v>1</v>
      </c>
      <c r="D1369" s="1" t="inlineStr">
        <is>
          <t>Links to FNDDS</t>
        </is>
      </c>
      <c r="E1369" s="1" t="inlineStr">
        <is>
          <t>Base</t>
        </is>
      </c>
      <c r="F1369" s="1" t="n">
        <v>1.488133</v>
      </c>
    </row>
    <row r="1370" ht="15.75" customHeight="1" s="201">
      <c r="A1370" s="1" t="n">
        <v>27510242</v>
      </c>
      <c r="B1370" s="1" t="inlineStr">
        <is>
          <t>Cheeseburger, on wheat bun, 1 medium patty (Includes homemade; wheat bread; quarter pound patty; any amount of cheese slices)</t>
        </is>
      </c>
      <c r="C1370" s="1" t="n">
        <v>2</v>
      </c>
      <c r="D1370" s="1" t="inlineStr">
        <is>
          <t>Links to altEC</t>
        </is>
      </c>
      <c r="E1370" s="1" t="inlineStr">
        <is>
          <t>Base</t>
        </is>
      </c>
      <c r="F1370" s="1" t="n">
        <v>1.001962</v>
      </c>
    </row>
    <row r="1371" ht="15.75" customHeight="1" s="201">
      <c r="A1371" s="1" t="n">
        <v>27510245</v>
      </c>
      <c r="B1371" s="1" t="inlineStr">
        <is>
          <t>Cheeseburger, on white bun, 1 large patty (Includes on bread or roll; NS as to grain; third pound size patty)</t>
        </is>
      </c>
      <c r="C1371" s="1" t="n">
        <v>2</v>
      </c>
      <c r="D1371" s="1" t="inlineStr">
        <is>
          <t>Links to altEC</t>
        </is>
      </c>
      <c r="E1371" s="1" t="inlineStr">
        <is>
          <t>Base</t>
        </is>
      </c>
      <c r="F1371" s="1" t="n">
        <v>1.001962</v>
      </c>
    </row>
    <row r="1372" ht="15.75" customHeight="1" s="201">
      <c r="A1372" s="1" t="n">
        <v>27510257</v>
      </c>
      <c r="B1372" s="1" t="inlineStr">
        <is>
          <t>Double cheeseburger, on white bun, 2 medium patties (Includes on bread or roll; NS as to grain; quarter pound or regular size patty)</t>
        </is>
      </c>
      <c r="C1372" s="1" t="n">
        <v>2</v>
      </c>
      <c r="D1372" s="1" t="inlineStr">
        <is>
          <t>Links to altEC</t>
        </is>
      </c>
      <c r="E1372" s="1" t="inlineStr">
        <is>
          <t>Base</t>
        </is>
      </c>
      <c r="F1372" s="1" t="n">
        <v>1.001962</v>
      </c>
    </row>
    <row r="1373" ht="15.75" customHeight="1" s="201">
      <c r="A1373" s="1" t="n">
        <v>27510386</v>
      </c>
      <c r="B1373" s="1" t="inlineStr">
        <is>
          <t>Double cheeseburger (Burger King)</t>
        </is>
      </c>
      <c r="C1373" s="1" t="n">
        <v>2</v>
      </c>
      <c r="D1373" s="1" t="inlineStr">
        <is>
          <t>Links to altEC</t>
        </is>
      </c>
      <c r="E1373" s="1" t="inlineStr">
        <is>
          <t>Base</t>
        </is>
      </c>
      <c r="F1373" s="1" t="n">
        <v>1.001962</v>
      </c>
    </row>
    <row r="1374" ht="15.75" customHeight="1" s="201">
      <c r="A1374" s="1" t="n">
        <v>27510387</v>
      </c>
      <c r="B1374" s="1" t="inlineStr">
        <is>
          <t>Double cheeseburger (McDonalds)</t>
        </is>
      </c>
      <c r="C1374" s="1" t="n">
        <v>2</v>
      </c>
      <c r="D1374" s="1" t="inlineStr">
        <is>
          <t>Links to altEC</t>
        </is>
      </c>
      <c r="E1374" s="1" t="inlineStr">
        <is>
          <t>Base</t>
        </is>
      </c>
      <c r="F1374" s="1" t="n">
        <v>1.001962</v>
      </c>
    </row>
    <row r="1375" ht="15.75" customHeight="1" s="201">
      <c r="A1375" s="1" t="n">
        <v>27510388</v>
      </c>
      <c r="B1375" s="1" t="inlineStr">
        <is>
          <t>McDouble (McDonalds)</t>
        </is>
      </c>
      <c r="C1375" s="1" t="n">
        <v>2</v>
      </c>
      <c r="D1375" s="1" t="inlineStr">
        <is>
          <t>Links to altEC</t>
        </is>
      </c>
      <c r="E1375" s="1" t="inlineStr">
        <is>
          <t>Base</t>
        </is>
      </c>
      <c r="F1375" s="1" t="n">
        <v>1.001962</v>
      </c>
    </row>
    <row r="1376" ht="15.75" customHeight="1" s="201">
      <c r="A1376" s="1" t="n">
        <v>27510389</v>
      </c>
      <c r="B1376" s="1" t="inlineStr">
        <is>
          <t>Big Mac (McDonalds) (Includes Mac Jr; Grand Mac)</t>
        </is>
      </c>
      <c r="C1376" s="1" t="n">
        <v>2</v>
      </c>
      <c r="D1376" s="1" t="inlineStr">
        <is>
          <t>Links to altEC</t>
        </is>
      </c>
      <c r="E1376" s="1" t="inlineStr">
        <is>
          <t>Base</t>
        </is>
      </c>
      <c r="F1376" s="1" t="n">
        <v>1.001962</v>
      </c>
    </row>
    <row r="1377" ht="15.75" customHeight="1" s="201">
      <c r="A1377" s="1" t="n">
        <v>27510401</v>
      </c>
      <c r="B1377" s="1" t="inlineStr">
        <is>
          <t>Double cheeseburger, from fast food, 2 medium patties (Includes quarter pound patty)</t>
        </is>
      </c>
      <c r="C1377" s="1" t="n">
        <v>2</v>
      </c>
      <c r="D1377" s="1" t="inlineStr">
        <is>
          <t>Links to altEC</t>
        </is>
      </c>
      <c r="E1377" s="1" t="inlineStr">
        <is>
          <t>Base</t>
        </is>
      </c>
      <c r="F1377" s="1" t="n">
        <v>1.001962</v>
      </c>
    </row>
    <row r="1378" ht="15.75" customHeight="1" s="201">
      <c r="A1378" s="1" t="n">
        <v>27510501</v>
      </c>
      <c r="B1378" s="1" t="inlineStr">
        <is>
          <t>Hamburger slider, from fast food (Includes White Castle Original Slider; slider)</t>
        </is>
      </c>
      <c r="C1378" s="1" t="n">
        <v>2</v>
      </c>
      <c r="D1378" s="1" t="inlineStr">
        <is>
          <t>Links to altEC</t>
        </is>
      </c>
      <c r="E1378" s="1" t="inlineStr">
        <is>
          <t>Base</t>
        </is>
      </c>
      <c r="F1378" s="1" t="n">
        <v>1.569467</v>
      </c>
    </row>
    <row r="1379" ht="15.75" customHeight="1" s="201">
      <c r="A1379" s="1" t="n">
        <v>27510531</v>
      </c>
      <c r="B1379" s="1" t="inlineStr">
        <is>
          <t>Hamburger, from fast food, 1 small patty (Includes junior patty)</t>
        </is>
      </c>
      <c r="C1379" s="1" t="n">
        <v>2</v>
      </c>
      <c r="D1379" s="1" t="inlineStr">
        <is>
          <t>Links to altEC</t>
        </is>
      </c>
      <c r="E1379" s="1" t="inlineStr">
        <is>
          <t>Base</t>
        </is>
      </c>
      <c r="F1379" s="1" t="n">
        <v>1.570383</v>
      </c>
    </row>
    <row r="1380" ht="15.75" customHeight="1" s="201">
      <c r="A1380" s="1" t="n">
        <v>27510551</v>
      </c>
      <c r="B1380" s="1" t="inlineStr">
        <is>
          <t>Hamburger (Burger King)</t>
        </is>
      </c>
      <c r="C1380" s="1" t="n">
        <v>2</v>
      </c>
      <c r="D1380" s="1" t="inlineStr">
        <is>
          <t>Links to altEC</t>
        </is>
      </c>
      <c r="E1380" s="1" t="inlineStr">
        <is>
          <t>Base</t>
        </is>
      </c>
      <c r="F1380" s="1" t="n">
        <v>2.164548</v>
      </c>
    </row>
    <row r="1381" ht="15.75" customHeight="1" s="201">
      <c r="A1381" s="1" t="n">
        <v>27510552</v>
      </c>
      <c r="B1381" s="1" t="inlineStr">
        <is>
          <t>Whopper Jr (Burger King)</t>
        </is>
      </c>
      <c r="C1381" s="1" t="n">
        <v>2</v>
      </c>
      <c r="D1381" s="1" t="inlineStr">
        <is>
          <t>Links to altEC</t>
        </is>
      </c>
      <c r="E1381" s="1" t="inlineStr">
        <is>
          <t>Base</t>
        </is>
      </c>
      <c r="F1381" s="1" t="n">
        <v>2.164548</v>
      </c>
    </row>
    <row r="1382" ht="15.75" customHeight="1" s="201">
      <c r="A1382" s="1" t="n">
        <v>27510553</v>
      </c>
      <c r="B1382" s="1" t="inlineStr">
        <is>
          <t>Hamburger (McDonalds)</t>
        </is>
      </c>
      <c r="C1382" s="1" t="n">
        <v>2</v>
      </c>
      <c r="D1382" s="1" t="inlineStr">
        <is>
          <t>Links to altEC</t>
        </is>
      </c>
      <c r="E1382" s="1" t="inlineStr">
        <is>
          <t>Base</t>
        </is>
      </c>
      <c r="F1382" s="1" t="n">
        <v>2.164548</v>
      </c>
    </row>
    <row r="1383" ht="15.75" customHeight="1" s="201">
      <c r="A1383" s="1" t="n">
        <v>27510565</v>
      </c>
      <c r="B1383" s="1" t="inlineStr">
        <is>
          <t>Hamburger, from school cafeteria (Includes school hamburger, nfs; any size patty, excluding miniature; plain or with condiments)</t>
        </is>
      </c>
      <c r="C1383" s="1" t="n">
        <v>2</v>
      </c>
      <c r="D1383" s="1" t="inlineStr">
        <is>
          <t>Links to altEC</t>
        </is>
      </c>
      <c r="E1383" s="1" t="inlineStr">
        <is>
          <t>Base</t>
        </is>
      </c>
      <c r="F1383" s="1" t="n">
        <v>2.164548</v>
      </c>
    </row>
    <row r="1384" ht="15.75" customHeight="1" s="201">
      <c r="A1384" s="1" t="n">
        <v>27510575</v>
      </c>
      <c r="B1384" s="1" t="inlineStr">
        <is>
          <t>Hamburger, on white bun, 1 small patty (Includes homemade; bun, NFS; junior patty)</t>
        </is>
      </c>
      <c r="C1384" s="1" t="n">
        <v>2</v>
      </c>
      <c r="D1384" s="1" t="inlineStr">
        <is>
          <t>Links to altEC</t>
        </is>
      </c>
      <c r="E1384" s="1" t="inlineStr">
        <is>
          <t>Base</t>
        </is>
      </c>
      <c r="F1384" s="1" t="n">
        <v>1.570383</v>
      </c>
    </row>
    <row r="1385" ht="15.75" customHeight="1" s="201">
      <c r="A1385" s="1" t="n">
        <v>27510601</v>
      </c>
      <c r="B1385" s="1" t="inlineStr">
        <is>
          <t>Hamburger, from fast food, 1 medium patty (Includes quarter pound patty)</t>
        </is>
      </c>
      <c r="C1385" s="1" t="n">
        <v>2</v>
      </c>
      <c r="D1385" s="1" t="inlineStr">
        <is>
          <t>Links to altEC</t>
        </is>
      </c>
      <c r="E1385" s="1" t="inlineStr">
        <is>
          <t>Base</t>
        </is>
      </c>
      <c r="F1385" s="1" t="n">
        <v>2.164548</v>
      </c>
    </row>
    <row r="1386" ht="15.75" customHeight="1" s="201">
      <c r="A1386" s="1" t="n">
        <v>27510615</v>
      </c>
      <c r="B1386" s="1" t="inlineStr">
        <is>
          <t>Whopper (Burger King)</t>
        </is>
      </c>
      <c r="C1386" s="1" t="n">
        <v>2</v>
      </c>
      <c r="D1386" s="1" t="inlineStr">
        <is>
          <t>Links to altEC</t>
        </is>
      </c>
      <c r="E1386" s="1" t="inlineStr">
        <is>
          <t>Base</t>
        </is>
      </c>
      <c r="F1386" s="1" t="n">
        <v>2.164548</v>
      </c>
    </row>
    <row r="1387" ht="15.75" customHeight="1" s="201">
      <c r="A1387" s="1" t="n">
        <v>27510631</v>
      </c>
      <c r="B1387" s="1" t="inlineStr">
        <is>
          <t>Hamburger, on white bun, 1 medium patty (Includes homemade; bun, NFS; white and other bread such as potato, Italian, and rye; bread, nfs; quarter pound patty)</t>
        </is>
      </c>
      <c r="C1387" s="1" t="n">
        <v>4</v>
      </c>
      <c r="D1387" s="1" t="inlineStr">
        <is>
          <t>FNDDS recipe with replaced or modified SR codes</t>
        </is>
      </c>
      <c r="E1387" s="1" t="inlineStr">
        <is>
          <t>Base</t>
        </is>
      </c>
      <c r="F1387" s="1" t="n">
        <v>0.949758</v>
      </c>
    </row>
    <row r="1388" ht="15.75" customHeight="1" s="201">
      <c r="A1388" s="1" t="n">
        <v>27510632</v>
      </c>
      <c r="B1388" s="1" t="inlineStr">
        <is>
          <t>Hamburger, on wheat bun, 1 medium patty (Includes homemade; wheat bread; quarter pound patty)</t>
        </is>
      </c>
      <c r="C1388" s="1" t="n">
        <v>2</v>
      </c>
      <c r="D1388" s="1" t="inlineStr">
        <is>
          <t>Links to altEC</t>
        </is>
      </c>
      <c r="E1388" s="1" t="inlineStr">
        <is>
          <t>Base</t>
        </is>
      </c>
      <c r="F1388" s="1" t="n">
        <v>2.164548</v>
      </c>
    </row>
    <row r="1389" ht="15.75" customHeight="1" s="201">
      <c r="A1389" s="1" t="n">
        <v>27510635</v>
      </c>
      <c r="B1389" s="1" t="inlineStr">
        <is>
          <t>Hamburger, on white bun, 1 large patty (Includes on bread or roll; NS as to grain; third pound size patty)</t>
        </is>
      </c>
      <c r="C1389" s="1" t="n">
        <v>2</v>
      </c>
      <c r="D1389" s="1" t="inlineStr">
        <is>
          <t>Links to altEC</t>
        </is>
      </c>
      <c r="E1389" s="1" t="inlineStr">
        <is>
          <t>Base</t>
        </is>
      </c>
      <c r="F1389" s="1" t="n">
        <v>2.164548</v>
      </c>
    </row>
    <row r="1390" ht="15.75" customHeight="1" s="201">
      <c r="A1390" s="1" t="n">
        <v>27510671</v>
      </c>
      <c r="B1390" s="1" t="inlineStr">
        <is>
          <t>Double hamburger, from fast food, 2 medium patties (Includes quarter pound patty)</t>
        </is>
      </c>
      <c r="C1390" s="1" t="n">
        <v>2</v>
      </c>
      <c r="D1390" s="1" t="inlineStr">
        <is>
          <t>Links to altEC</t>
        </is>
      </c>
      <c r="E1390" s="1" t="inlineStr">
        <is>
          <t>Base</t>
        </is>
      </c>
      <c r="F1390" s="1" t="n">
        <v>2.164548</v>
      </c>
    </row>
    <row r="1391" ht="15.75" customHeight="1" s="201">
      <c r="A1391" s="1" t="n">
        <v>27510700</v>
      </c>
      <c r="B1391" s="1" t="inlineStr">
        <is>
          <t>Meatball and spaghetti sauce submarine sandwich (Includes Subway Meatball Sub; Jerry's Meatball Sub)</t>
        </is>
      </c>
      <c r="C1391" s="1" t="n">
        <v>2</v>
      </c>
      <c r="D1391" s="1" t="inlineStr">
        <is>
          <t>Links to altEC</t>
        </is>
      </c>
      <c r="E1391" s="1" t="inlineStr">
        <is>
          <t>Base</t>
        </is>
      </c>
      <c r="F1391" s="1" t="n">
        <v>1.199634</v>
      </c>
    </row>
    <row r="1392" ht="15.75" customHeight="1" s="201">
      <c r="A1392" s="1" t="n">
        <v>27510705</v>
      </c>
      <c r="B1392" s="1" t="inlineStr">
        <is>
          <t>Chiliburger, with or without cheese, on bun (Includes hamburger with chili; taco burger, any size patty; any source)</t>
        </is>
      </c>
      <c r="C1392" s="1" t="n">
        <v>2</v>
      </c>
      <c r="D1392" s="1" t="inlineStr">
        <is>
          <t>Links to altEC</t>
        </is>
      </c>
      <c r="E1392" s="1" t="inlineStr">
        <is>
          <t>Base</t>
        </is>
      </c>
      <c r="F1392" s="1" t="n">
        <v>0.461463</v>
      </c>
    </row>
    <row r="1393" ht="15.75" customHeight="1" s="201">
      <c r="A1393" s="1" t="n">
        <v>27510910</v>
      </c>
      <c r="B1393" s="1" t="inlineStr">
        <is>
          <t>Corned beef sandwich</t>
        </is>
      </c>
      <c r="C1393" s="1" t="n">
        <v>4</v>
      </c>
      <c r="D1393" s="1" t="inlineStr">
        <is>
          <t>FNDDS recipe with replaced or modified SR codes</t>
        </is>
      </c>
      <c r="E1393" s="1" t="inlineStr">
        <is>
          <t>Base</t>
        </is>
      </c>
      <c r="F1393" s="1" t="n">
        <v>0.813848</v>
      </c>
    </row>
    <row r="1394" ht="15.75" customHeight="1" s="201">
      <c r="A1394" s="1" t="n">
        <v>27510950</v>
      </c>
      <c r="B1394" s="1" t="inlineStr">
        <is>
          <t>Reuben sandwich, corned beef sandwich with sauerkraut and cheese, with spread</t>
        </is>
      </c>
      <c r="C1394" s="1" t="n">
        <v>1</v>
      </c>
      <c r="D1394" s="1" t="inlineStr">
        <is>
          <t>Links to FNDDS</t>
        </is>
      </c>
      <c r="E1394" s="1" t="inlineStr">
        <is>
          <t>Base</t>
        </is>
      </c>
      <c r="F1394" s="1" t="n">
        <v>2.336273</v>
      </c>
    </row>
    <row r="1395" ht="15.75" customHeight="1" s="201">
      <c r="A1395" s="1" t="n">
        <v>27513010</v>
      </c>
      <c r="B1395" s="1" t="inlineStr">
        <is>
          <t>Roast beef sandwich (Includes Arby's Roast Beef Sandwich; Arby's Junior Roast Beef Sandwich; Hardee's Roast Beef Sandwich; RAX Roast Beef Sandwich; Roy Rogers Roast Beef Sandwich)</t>
        </is>
      </c>
      <c r="C1395" s="1" t="n">
        <v>1</v>
      </c>
      <c r="D1395" s="1" t="inlineStr">
        <is>
          <t>Links to FNDDS</t>
        </is>
      </c>
      <c r="E1395" s="1" t="inlineStr">
        <is>
          <t>Base</t>
        </is>
      </c>
      <c r="F1395" s="1" t="n">
        <v>1.567199</v>
      </c>
    </row>
    <row r="1396" ht="15.75" customHeight="1" s="201">
      <c r="A1396" s="1" t="n">
        <v>27513040</v>
      </c>
      <c r="B1396" s="1" t="inlineStr">
        <is>
          <t>Roast beef submarine sandwich, with lettuce, tomato and spread (Includes Arby's Super Roast Beef; Subway Roast Beef Sub; Jerry's Steak Sub)</t>
        </is>
      </c>
      <c r="C1396" s="1" t="n">
        <v>2</v>
      </c>
      <c r="D1396" s="1" t="inlineStr">
        <is>
          <t>Links to altEC</t>
        </is>
      </c>
      <c r="E1396" s="1" t="inlineStr">
        <is>
          <t>Base</t>
        </is>
      </c>
      <c r="F1396" s="1" t="n">
        <v>1.897441</v>
      </c>
    </row>
    <row r="1397" ht="15.75" customHeight="1" s="201">
      <c r="A1397" s="1" t="n">
        <v>27513041</v>
      </c>
      <c r="B1397" s="1" t="inlineStr">
        <is>
          <t>Roast beef submarine sandwich, with cheese, lettuce, tomato and spread (Includes Subway Roast Beef Sub with cheese)</t>
        </is>
      </c>
      <c r="C1397" s="1" t="n">
        <v>2</v>
      </c>
      <c r="D1397" s="1" t="inlineStr">
        <is>
          <t>Links to altEC</t>
        </is>
      </c>
      <c r="E1397" s="1" t="inlineStr">
        <is>
          <t>Base</t>
        </is>
      </c>
      <c r="F1397" s="1" t="n">
        <v>1.199634</v>
      </c>
    </row>
    <row r="1398" ht="15.75" customHeight="1" s="201">
      <c r="A1398" s="1" t="n">
        <v>27513050</v>
      </c>
      <c r="B1398" s="1" t="inlineStr">
        <is>
          <t>Roast beef sandwich with cheese (Includes Arby's Beef and Cheddar; Arby's Beef 'N Swiss; Jack-in-the-Box Sirloin Cheesesteak)</t>
        </is>
      </c>
      <c r="C1398" s="1" t="n">
        <v>1</v>
      </c>
      <c r="D1398" s="1" t="inlineStr">
        <is>
          <t>Links to FNDDS</t>
        </is>
      </c>
      <c r="E1398" s="1" t="inlineStr">
        <is>
          <t>Base</t>
        </is>
      </c>
      <c r="F1398" s="1" t="n">
        <v>1.373383</v>
      </c>
    </row>
    <row r="1399" ht="15.75" customHeight="1" s="201">
      <c r="A1399" s="1" t="n">
        <v>27515010</v>
      </c>
      <c r="B1399" s="1" t="inlineStr">
        <is>
          <t>Steak sandwich, plain, on roll</t>
        </is>
      </c>
      <c r="C1399" s="1" t="n">
        <v>4</v>
      </c>
      <c r="D1399" s="1" t="inlineStr">
        <is>
          <t>FNDDS recipe with replaced or modified SR codes</t>
        </is>
      </c>
      <c r="E1399" s="1" t="inlineStr">
        <is>
          <t>Base</t>
        </is>
      </c>
      <c r="F1399" s="1" t="n">
        <v>1.436269</v>
      </c>
    </row>
    <row r="1400" ht="15.75" customHeight="1" s="201">
      <c r="A1400" s="1" t="n">
        <v>27515020</v>
      </c>
      <c r="B1400" s="1" t="inlineStr">
        <is>
          <t>Steak and cheese submarine sandwich, with lettuce and tomato (Includes Subway Steak &amp; Cheese Sub; Jerry's Steak Sub with cheese)</t>
        </is>
      </c>
      <c r="C1400" s="1" t="n">
        <v>1</v>
      </c>
      <c r="D1400" s="1" t="inlineStr">
        <is>
          <t>Links to FNDDS</t>
        </is>
      </c>
      <c r="E1400" s="1" t="inlineStr">
        <is>
          <t>Base</t>
        </is>
      </c>
      <c r="F1400" s="1" t="n">
        <v>1.199634</v>
      </c>
    </row>
    <row r="1401" ht="15.75" customHeight="1" s="201">
      <c r="A1401" s="1" t="n">
        <v>27515030</v>
      </c>
      <c r="B1401" s="1" t="inlineStr">
        <is>
          <t>Steak and cheese sandwich, plain, on roll</t>
        </is>
      </c>
      <c r="C1401" s="1" t="n">
        <v>4</v>
      </c>
      <c r="D1401" s="1" t="inlineStr">
        <is>
          <t>FNDDS recipe with replaced or modified SR codes</t>
        </is>
      </c>
      <c r="E1401" s="1" t="inlineStr">
        <is>
          <t>Base</t>
        </is>
      </c>
      <c r="F1401" s="1" t="n">
        <v>1.275411</v>
      </c>
    </row>
    <row r="1402" ht="15.75" customHeight="1" s="201">
      <c r="A1402" s="1" t="n">
        <v>27515040</v>
      </c>
      <c r="B1402" s="1" t="inlineStr">
        <is>
          <t>Steak and cheese submarine sandwich, plain, on roll</t>
        </is>
      </c>
      <c r="C1402" s="1" t="n">
        <v>4</v>
      </c>
      <c r="D1402" s="1" t="inlineStr">
        <is>
          <t>FNDDS recipe with replaced or modified SR codes</t>
        </is>
      </c>
      <c r="E1402" s="1" t="inlineStr">
        <is>
          <t>Base</t>
        </is>
      </c>
      <c r="F1402" s="1" t="n">
        <v>1.184742</v>
      </c>
    </row>
    <row r="1403" ht="15.75" customHeight="1" s="201">
      <c r="A1403" s="1" t="n">
        <v>27515070</v>
      </c>
      <c r="B1403" s="1" t="inlineStr">
        <is>
          <t>Steak and cheese submarine sandwich, with fried peppers and onions, on roll (Includes Philadelphia-style cheese steak submarine sandwich; Arby's Philly Beef N' Swiss; Subway's Big Philly Cheesesteak)</t>
        </is>
      </c>
      <c r="C1403" s="1" t="n">
        <v>4</v>
      </c>
      <c r="D1403" s="1" t="inlineStr">
        <is>
          <t>FNDDS recipe with replaced or modified SR codes</t>
        </is>
      </c>
      <c r="E1403" s="1" t="inlineStr">
        <is>
          <t>Base</t>
        </is>
      </c>
      <c r="F1403" s="1" t="n">
        <v>1.059209</v>
      </c>
    </row>
    <row r="1404" ht="15.75" customHeight="1" s="201">
      <c r="A1404" s="1" t="n">
        <v>27515080</v>
      </c>
      <c r="B1404" s="1" t="inlineStr">
        <is>
          <t>Steak sandwich, plain, on biscuit (Includes Jimmy Dean Steak Biscuit; Mom 'N' Pops Steak Biscuit; McDonald's Steak Biscuit; Hardee's Steak Biscuit)</t>
        </is>
      </c>
      <c r="C1404" s="1" t="n">
        <v>1</v>
      </c>
      <c r="D1404" s="1" t="inlineStr">
        <is>
          <t>Links to FNDDS</t>
        </is>
      </c>
      <c r="E1404" s="1" t="inlineStr">
        <is>
          <t>Base</t>
        </is>
      </c>
      <c r="F1404" s="1" t="n">
        <v>0.892418</v>
      </c>
    </row>
    <row r="1405" ht="15.75" customHeight="1" s="201">
      <c r="A1405" s="1" t="n">
        <v>27516010</v>
      </c>
      <c r="B1405" s="1" t="inlineStr">
        <is>
          <t>Gyro sandwich (pita bread, beef, lamb, onion, condiments), with tomato and spread</t>
        </is>
      </c>
      <c r="C1405" s="1" t="n">
        <v>1</v>
      </c>
      <c r="D1405" s="1" t="inlineStr">
        <is>
          <t>Links to FNDDS</t>
        </is>
      </c>
      <c r="E1405" s="1" t="inlineStr">
        <is>
          <t>Base</t>
        </is>
      </c>
      <c r="F1405" s="1" t="n">
        <v>1.121336</v>
      </c>
    </row>
    <row r="1406" ht="15.75" customHeight="1" s="201">
      <c r="A1406" s="1" t="n">
        <v>27517000</v>
      </c>
      <c r="B1406" s="1" t="inlineStr">
        <is>
          <t>Hamburger wrap sandwich, from fast food (Includes on tortilla; with or without cheese; homemade or other place)</t>
        </is>
      </c>
      <c r="C1406" s="1" t="n">
        <v>1</v>
      </c>
      <c r="D1406" s="1" t="inlineStr">
        <is>
          <t>Links to FNDDS</t>
        </is>
      </c>
      <c r="E1406" s="1" t="inlineStr">
        <is>
          <t>Base</t>
        </is>
      </c>
      <c r="F1406" s="1" t="n">
        <v>1.972522</v>
      </c>
    </row>
    <row r="1407" ht="15.75" customHeight="1" s="201">
      <c r="A1407" s="1" t="n">
        <v>27520150</v>
      </c>
      <c r="B1407" s="1" t="inlineStr">
        <is>
          <t>Bacon, lettuce, and tomato sandwich with spread</t>
        </is>
      </c>
      <c r="C1407" s="1" t="n">
        <v>4</v>
      </c>
      <c r="D1407" s="1" t="inlineStr">
        <is>
          <t>FNDDS recipe with replaced or modified SR codes</t>
        </is>
      </c>
      <c r="E1407" s="1" t="inlineStr">
        <is>
          <t>Base</t>
        </is>
      </c>
      <c r="F1407" s="1" t="n">
        <v>0.851989</v>
      </c>
    </row>
    <row r="1408" ht="15.75" customHeight="1" s="201">
      <c r="A1408" s="1" t="n">
        <v>27520155</v>
      </c>
      <c r="B1408" s="1" t="inlineStr">
        <is>
          <t>Bacon, lettuce, and tomato submarine sandwich, with spread (Includes Subway B.L.T Sub)</t>
        </is>
      </c>
      <c r="C1408" s="1" t="n">
        <v>2</v>
      </c>
      <c r="D1408" s="1" t="inlineStr">
        <is>
          <t>Links to altEC</t>
        </is>
      </c>
      <c r="E1408" s="1" t="inlineStr">
        <is>
          <t>Base</t>
        </is>
      </c>
      <c r="F1408" s="1" t="n">
        <v>1.96235</v>
      </c>
    </row>
    <row r="1409" ht="15.75" customHeight="1" s="201">
      <c r="A1409" s="1" t="n">
        <v>27520156</v>
      </c>
      <c r="B1409" s="1" t="inlineStr">
        <is>
          <t>Bacon, lettuce, tomato, and cheese submarine sandwich, with spread (Includes Subway B.L.T Sub with cheese)</t>
        </is>
      </c>
      <c r="C1409" s="1" t="n">
        <v>4</v>
      </c>
      <c r="D1409" s="1" t="inlineStr">
        <is>
          <t>FNDDS recipe with replaced or modified SR codes</t>
        </is>
      </c>
      <c r="E1409" s="1" t="inlineStr">
        <is>
          <t>Base</t>
        </is>
      </c>
      <c r="F1409" s="1" t="n">
        <v>1.212305</v>
      </c>
    </row>
    <row r="1410" ht="15.75" customHeight="1" s="201">
      <c r="A1410" s="1" t="n">
        <v>27520170</v>
      </c>
      <c r="B1410" s="1" t="inlineStr">
        <is>
          <t>Bacon on biscuit (Includes Hardee's Bacon Biscuit)</t>
        </is>
      </c>
      <c r="C1410" s="1" t="n">
        <v>4</v>
      </c>
      <c r="D1410" s="1" t="inlineStr">
        <is>
          <t>FNDDS recipe with replaced or modified SR codes</t>
        </is>
      </c>
      <c r="E1410" s="1" t="inlineStr">
        <is>
          <t>Base</t>
        </is>
      </c>
      <c r="F1410" s="1" t="n">
        <v>1.112118</v>
      </c>
    </row>
    <row r="1411" ht="15.75" customHeight="1" s="201">
      <c r="A1411" s="1" t="n">
        <v>27520250</v>
      </c>
      <c r="B1411" s="1" t="inlineStr">
        <is>
          <t>Ham on biscuit (Includes Hardee's Ham Biscuit; Hardee's Country Ham Biscuit)</t>
        </is>
      </c>
      <c r="C1411" s="1" t="n">
        <v>2</v>
      </c>
      <c r="D1411" s="1" t="inlineStr">
        <is>
          <t>Links to altEC</t>
        </is>
      </c>
      <c r="E1411" s="1" t="inlineStr">
        <is>
          <t>Base</t>
        </is>
      </c>
      <c r="F1411" s="1" t="n">
        <v>0.985908</v>
      </c>
    </row>
    <row r="1412" ht="15.75" customHeight="1" s="201">
      <c r="A1412" s="1" t="n">
        <v>27520320</v>
      </c>
      <c r="B1412" s="1" t="inlineStr">
        <is>
          <t>Ham and cheese sandwich, with lettuce and spread</t>
        </is>
      </c>
      <c r="C1412" s="1" t="n">
        <v>1</v>
      </c>
      <c r="D1412" s="1" t="inlineStr">
        <is>
          <t>Links to FNDDS</t>
        </is>
      </c>
      <c r="E1412" s="1" t="inlineStr">
        <is>
          <t>Base</t>
        </is>
      </c>
      <c r="F1412" s="1" t="n">
        <v>1.992367</v>
      </c>
    </row>
    <row r="1413" ht="15.75" customHeight="1" s="201">
      <c r="A1413" s="1" t="n">
        <v>27520370</v>
      </c>
      <c r="B1413" s="1" t="inlineStr">
        <is>
          <t>Hot ham and cheese sandwich, on bun (Includes Arby's Hot Ham and Cheese Sandwich; Burger King Hot Ham and Cheese Sandwich; Hardee's Hot Ham and Cheese Sandwich; Hardee's Big Hot Ham 'N' Cheese Sandwich)</t>
        </is>
      </c>
      <c r="C1413" s="1" t="n">
        <v>4</v>
      </c>
      <c r="D1413" s="1" t="inlineStr">
        <is>
          <t>FNDDS recipe with replaced or modified SR codes</t>
        </is>
      </c>
      <c r="E1413" s="1" t="inlineStr">
        <is>
          <t>Base</t>
        </is>
      </c>
      <c r="F1413" s="1" t="n">
        <v>0.789859</v>
      </c>
    </row>
    <row r="1414" ht="15.75" customHeight="1" s="201">
      <c r="A1414" s="1" t="n">
        <v>27520390</v>
      </c>
      <c r="B1414" s="1" t="inlineStr">
        <is>
          <t>Ham and cheese submarine sandwich, with lettuce, tomato and spread (Includes Jerry's Ham &amp; Cheese Sub; Subway Ham Sub with cheese)</t>
        </is>
      </c>
      <c r="C1414" s="1" t="n">
        <v>1</v>
      </c>
      <c r="D1414" s="1" t="inlineStr">
        <is>
          <t>Links to FNDDS</t>
        </is>
      </c>
      <c r="E1414" s="1" t="inlineStr">
        <is>
          <t>Base</t>
        </is>
      </c>
      <c r="F1414" s="1" t="n">
        <v>1.96235</v>
      </c>
    </row>
    <row r="1415" ht="15.75" customHeight="1" s="201">
      <c r="A1415" s="1" t="n">
        <v>27520410</v>
      </c>
      <c r="B1415" s="1" t="inlineStr">
        <is>
          <t>Cuban sandwich, with spread (Includes Sandwich cubano)</t>
        </is>
      </c>
      <c r="C1415" s="1" t="n">
        <v>4</v>
      </c>
      <c r="D1415" s="1" t="inlineStr">
        <is>
          <t>FNDDS recipe with replaced or modified SR codes</t>
        </is>
      </c>
      <c r="E1415" s="1" t="inlineStr">
        <is>
          <t>Base</t>
        </is>
      </c>
      <c r="F1415" s="1" t="n">
        <v>0.717014</v>
      </c>
    </row>
    <row r="1416" ht="15.75" customHeight="1" s="201">
      <c r="A1416" s="1" t="n">
        <v>27520500</v>
      </c>
      <c r="B1416" s="1" t="inlineStr">
        <is>
          <t>Pork sandwich, on white roll, with onions, dill pickles and barbecue sauce (Includes McDonald's McRib sandwich)</t>
        </is>
      </c>
      <c r="C1416" s="1" t="n">
        <v>1</v>
      </c>
      <c r="D1416" s="1" t="inlineStr">
        <is>
          <t>Links to FNDDS</t>
        </is>
      </c>
      <c r="E1416" s="1" t="inlineStr">
        <is>
          <t>Base</t>
        </is>
      </c>
      <c r="F1416" s="1" t="n">
        <v>1.186951</v>
      </c>
    </row>
    <row r="1417" ht="15.75" customHeight="1" s="201">
      <c r="A1417" s="1" t="n">
        <v>27520510</v>
      </c>
      <c r="B1417" s="1" t="inlineStr">
        <is>
          <t>Pork barbecue sandwich or Sloppy Joe, on bun</t>
        </is>
      </c>
      <c r="C1417" s="1" t="n">
        <v>4</v>
      </c>
      <c r="D1417" s="1" t="inlineStr">
        <is>
          <t>FNDDS recipe with replaced or modified SR codes</t>
        </is>
      </c>
      <c r="E1417" s="1" t="inlineStr">
        <is>
          <t>Base</t>
        </is>
      </c>
      <c r="F1417" s="1" t="n">
        <v>0.571924</v>
      </c>
    </row>
    <row r="1418" ht="15.75" customHeight="1" s="201">
      <c r="A1418" s="1" t="n">
        <v>27540110</v>
      </c>
      <c r="B1418" s="1" t="inlineStr">
        <is>
          <t>Sliced chicken sandwich, with spread (Includes with lettuce and tomato; roast chicken sandwich)</t>
        </is>
      </c>
      <c r="C1418" s="1" t="n">
        <v>1</v>
      </c>
      <c r="D1418" s="1" t="inlineStr">
        <is>
          <t>Links to FNDDS</t>
        </is>
      </c>
      <c r="E1418" s="1" t="inlineStr">
        <is>
          <t>Base</t>
        </is>
      </c>
      <c r="F1418" s="1" t="n">
        <v>1.337897</v>
      </c>
    </row>
    <row r="1419" ht="15.75" customHeight="1" s="201">
      <c r="A1419" s="1" t="n">
        <v>27540139</v>
      </c>
      <c r="B1419" s="1" t="inlineStr">
        <is>
          <t>Chicken fillet sandwich, from school cafeteria (Includes chicken patty)</t>
        </is>
      </c>
      <c r="C1419" s="1" t="n">
        <v>2</v>
      </c>
      <c r="D1419" s="1" t="inlineStr">
        <is>
          <t>Links to altEC</t>
        </is>
      </c>
      <c r="E1419" s="1" t="inlineStr">
        <is>
          <t>Base</t>
        </is>
      </c>
      <c r="F1419" s="1" t="n">
        <v>1.208974</v>
      </c>
    </row>
    <row r="1420" ht="15.75" customHeight="1" s="201">
      <c r="A1420" s="1" t="n">
        <v>27540145</v>
      </c>
      <c r="B1420" s="1" t="inlineStr">
        <is>
          <t>Chicken fillet biscuit, from fast food (Includes homemade or other place)</t>
        </is>
      </c>
      <c r="C1420" s="1" t="n">
        <v>1</v>
      </c>
      <c r="D1420" s="1" t="inlineStr">
        <is>
          <t>Links to FNDDS</t>
        </is>
      </c>
      <c r="E1420" s="1" t="inlineStr">
        <is>
          <t>Base</t>
        </is>
      </c>
      <c r="F1420" s="1" t="n">
        <v>1.235314</v>
      </c>
    </row>
    <row r="1421" ht="15.75" customHeight="1" s="201">
      <c r="A1421" s="1" t="n">
        <v>27540146</v>
      </c>
      <c r="B1421" s="1" t="inlineStr">
        <is>
          <t>Chicken fillet sandwich, fried, from fast food (Includes patty; crispy; breaded; on bun, bread or roll)</t>
        </is>
      </c>
      <c r="C1421" s="1" t="n">
        <v>2</v>
      </c>
      <c r="D1421" s="1" t="inlineStr">
        <is>
          <t>Links to altEC</t>
        </is>
      </c>
      <c r="E1421" s="1" t="inlineStr">
        <is>
          <t>Base</t>
        </is>
      </c>
      <c r="F1421" s="1" t="n">
        <v>1.208974</v>
      </c>
    </row>
    <row r="1422" ht="15.75" customHeight="1" s="201">
      <c r="A1422" s="1" t="n">
        <v>27540147</v>
      </c>
      <c r="B1422" s="1" t="inlineStr">
        <is>
          <t>Chicken fillet sandwich, fried, from fast food, with cheese (Includes patty; crispy; breaded; on bun, bread or roll; NS as to cheese)</t>
        </is>
      </c>
      <c r="C1422" s="1" t="n">
        <v>2</v>
      </c>
      <c r="D1422" s="1" t="inlineStr">
        <is>
          <t>Links to altEC</t>
        </is>
      </c>
      <c r="E1422" s="1" t="inlineStr">
        <is>
          <t>Base</t>
        </is>
      </c>
      <c r="F1422" s="1" t="n">
        <v>1.208974</v>
      </c>
    </row>
    <row r="1423" ht="15.75" customHeight="1" s="201">
      <c r="A1423" s="1" t="n">
        <v>27540152</v>
      </c>
      <c r="B1423" s="1" t="inlineStr">
        <is>
          <t>Chicken fillet sandwich, grilled, from fast food (Includes patty; on bun, bread or roll)</t>
        </is>
      </c>
      <c r="C1423" s="1" t="n">
        <v>2</v>
      </c>
      <c r="D1423" s="1" t="inlineStr">
        <is>
          <t>Links to altEC</t>
        </is>
      </c>
      <c r="E1423" s="1" t="inlineStr">
        <is>
          <t>Base</t>
        </is>
      </c>
      <c r="F1423" s="1" t="n">
        <v>1.208974</v>
      </c>
    </row>
    <row r="1424" ht="15.75" customHeight="1" s="201">
      <c r="A1424" s="1" t="n">
        <v>27540153</v>
      </c>
      <c r="B1424" s="1" t="inlineStr">
        <is>
          <t>Chicken fillet sandwich, grilled, from fast food, with cheese (Includes patty; on bun, bread or roll; NS as to cheese)</t>
        </is>
      </c>
      <c r="C1424" s="1" t="n">
        <v>2</v>
      </c>
      <c r="D1424" s="1" t="inlineStr">
        <is>
          <t>Links to altEC</t>
        </is>
      </c>
      <c r="E1424" s="1" t="inlineStr">
        <is>
          <t>Base</t>
        </is>
      </c>
      <c r="F1424" s="1" t="n">
        <v>1.208974</v>
      </c>
    </row>
    <row r="1425" ht="15.75" customHeight="1" s="201">
      <c r="A1425" s="1" t="n">
        <v>27540175</v>
      </c>
      <c r="B1425" s="1" t="inlineStr">
        <is>
          <t>Chicken fillet sandwich, fried, on white bun (Includes patty; crispy; breaded; on bread or roll; NS as to grain)</t>
        </is>
      </c>
      <c r="C1425" s="1" t="n">
        <v>2</v>
      </c>
      <c r="D1425" s="1" t="inlineStr">
        <is>
          <t>Links to altEC</t>
        </is>
      </c>
      <c r="E1425" s="1" t="inlineStr">
        <is>
          <t>Base</t>
        </is>
      </c>
      <c r="F1425" s="1" t="n">
        <v>1.208974</v>
      </c>
    </row>
    <row r="1426" ht="15.75" customHeight="1" s="201">
      <c r="A1426" s="1" t="n">
        <v>27540176</v>
      </c>
      <c r="B1426" s="1" t="inlineStr">
        <is>
          <t>Chicken fillet sandwich, fried, on white bun; with cheese (Includes patty; crispy; breaded; on bread or roll; NS as to grain; NS as to cheese)</t>
        </is>
      </c>
      <c r="C1426" s="1" t="n">
        <v>2</v>
      </c>
      <c r="D1426" s="1" t="inlineStr">
        <is>
          <t>Links to altEC</t>
        </is>
      </c>
      <c r="E1426" s="1" t="inlineStr">
        <is>
          <t>Base</t>
        </is>
      </c>
      <c r="F1426" s="1" t="n">
        <v>1.208974</v>
      </c>
    </row>
    <row r="1427" ht="15.75" customHeight="1" s="201">
      <c r="A1427" s="1" t="n">
        <v>27540195</v>
      </c>
      <c r="B1427" s="1" t="inlineStr">
        <is>
          <t>Chicken fillet sandwich, grilled, on white bun (Includes patty; on bread or roll; NS as to grain)</t>
        </is>
      </c>
      <c r="C1427" s="1" t="n">
        <v>2</v>
      </c>
      <c r="D1427" s="1" t="inlineStr">
        <is>
          <t>Links to altEC</t>
        </is>
      </c>
      <c r="E1427" s="1" t="inlineStr">
        <is>
          <t>Base</t>
        </is>
      </c>
      <c r="F1427" s="1" t="n">
        <v>1.208974</v>
      </c>
    </row>
    <row r="1428" ht="15.75" customHeight="1" s="201">
      <c r="A1428" s="1" t="n">
        <v>27540196</v>
      </c>
      <c r="B1428" s="1" t="inlineStr">
        <is>
          <t>Chicken fillet sandwich, grilled, on white bun, with cheese (Includes patty; on bread or roll; NS as to grain; NS as to cheese)</t>
        </is>
      </c>
      <c r="C1428" s="1" t="n">
        <v>2</v>
      </c>
      <c r="D1428" s="1" t="inlineStr">
        <is>
          <t>Links to altEC</t>
        </is>
      </c>
      <c r="E1428" s="1" t="inlineStr">
        <is>
          <t>Base</t>
        </is>
      </c>
      <c r="F1428" s="1" t="n">
        <v>1.208974</v>
      </c>
    </row>
    <row r="1429" ht="15.75" customHeight="1" s="201">
      <c r="A1429" s="1" t="n">
        <v>27540205</v>
      </c>
      <c r="B1429" s="1" t="inlineStr">
        <is>
          <t>Chicken fillet sandwich, grilled, on wheat bun (Includes patty; on bread or roll; multigrain, whole grain, or whole wheat)</t>
        </is>
      </c>
      <c r="C1429" s="1" t="n">
        <v>2</v>
      </c>
      <c r="D1429" s="1" t="inlineStr">
        <is>
          <t>Links to altEC</t>
        </is>
      </c>
      <c r="E1429" s="1" t="inlineStr">
        <is>
          <t>Base</t>
        </is>
      </c>
      <c r="F1429" s="1" t="n">
        <v>1.208974</v>
      </c>
    </row>
    <row r="1430" ht="15.75" customHeight="1" s="201">
      <c r="A1430" s="1" t="n">
        <v>27540210</v>
      </c>
      <c r="B1430" s="1" t="inlineStr">
        <is>
          <t>Chicken fillet wrap sandwich, fried, from fast food (Includes patty; crispy; breaded; on tortilla; with or without cheese; homemade or other place; NS as to fried or grilled)</t>
        </is>
      </c>
      <c r="C1430" s="1" t="n">
        <v>2</v>
      </c>
      <c r="D1430" s="1" t="inlineStr">
        <is>
          <t>Links to altEC</t>
        </is>
      </c>
      <c r="E1430" s="1" t="inlineStr">
        <is>
          <t>Base</t>
        </is>
      </c>
      <c r="F1430" s="1" t="n">
        <v>1.810945</v>
      </c>
    </row>
    <row r="1431" ht="15.75" customHeight="1" s="201">
      <c r="A1431" s="1" t="n">
        <v>27540285</v>
      </c>
      <c r="B1431" s="1" t="inlineStr">
        <is>
          <t>Chicken, bacon, and tomato club sandwich, with lettuce and spread (Includes Subway Turkey and Ham Sub; Jerry's Club Sub; Subway's Chicken and Bacon Ranch Melt)</t>
        </is>
      </c>
      <c r="C1431" s="1" t="n">
        <v>1</v>
      </c>
      <c r="D1431" s="1" t="inlineStr">
        <is>
          <t>Links to FNDDS</t>
        </is>
      </c>
      <c r="E1431" s="1" t="inlineStr">
        <is>
          <t>Base</t>
        </is>
      </c>
      <c r="F1431" s="1" t="n">
        <v>1.345414</v>
      </c>
    </row>
    <row r="1432" ht="15.75" customHeight="1" s="201">
      <c r="A1432" s="1" t="n">
        <v>27540290</v>
      </c>
      <c r="B1432" s="1" t="inlineStr">
        <is>
          <t>Chicken submarine sandwich, with lettuce, tomato and spread (Includes Subway Oven Roasted Chicken Breast; Subway Sweet Onion Chicken Teriyaki; Jerry's Grilled Chicken)</t>
        </is>
      </c>
      <c r="C1432" s="1" t="n">
        <v>2</v>
      </c>
      <c r="D1432" s="1" t="inlineStr">
        <is>
          <t>Links to altEC</t>
        </is>
      </c>
      <c r="E1432" s="1" t="inlineStr">
        <is>
          <t>Base</t>
        </is>
      </c>
      <c r="F1432" s="1" t="n">
        <v>1.897441</v>
      </c>
    </row>
    <row r="1433" ht="15.75" customHeight="1" s="201">
      <c r="A1433" s="1" t="n">
        <v>27540291</v>
      </c>
      <c r="B1433" s="1" t="inlineStr">
        <is>
          <t>Chicken submarine sandwich, with cheese, lettuce, tomato and spread (Includes Subway Oven Roasted Chicken Breast with cheese; Subway Sweet Onion Chicken Teriyaki with cheese; Jerry's Grilled Chicken with cheese)</t>
        </is>
      </c>
      <c r="C1433" s="1" t="n">
        <v>2</v>
      </c>
      <c r="D1433" s="1" t="inlineStr">
        <is>
          <t>Links to altEC</t>
        </is>
      </c>
      <c r="E1433" s="1" t="inlineStr">
        <is>
          <t>Base</t>
        </is>
      </c>
      <c r="F1433" s="1" t="n">
        <v>1.897441</v>
      </c>
    </row>
    <row r="1434" ht="15.75" customHeight="1" s="201">
      <c r="A1434" s="1" t="n">
        <v>27540295</v>
      </c>
      <c r="B1434" s="1" t="inlineStr">
        <is>
          <t>Buffalo chicken submarine sandwich (Includes Subway's Buffalo Chicken)</t>
        </is>
      </c>
      <c r="C1434" s="1" t="n">
        <v>2</v>
      </c>
      <c r="D1434" s="1" t="inlineStr">
        <is>
          <t>Links to altEC</t>
        </is>
      </c>
      <c r="E1434" s="1" t="inlineStr">
        <is>
          <t>Base</t>
        </is>
      </c>
      <c r="F1434" s="1" t="n">
        <v>1.897441</v>
      </c>
    </row>
    <row r="1435" ht="15.75" customHeight="1" s="201">
      <c r="A1435" s="1" t="n">
        <v>27540296</v>
      </c>
      <c r="B1435" s="1" t="inlineStr">
        <is>
          <t>Buffalo chicken submarine sandwich with cheese (Includes Subway's Buffalo Chicken with cheese)</t>
        </is>
      </c>
      <c r="C1435" s="1" t="n">
        <v>2</v>
      </c>
      <c r="D1435" s="1" t="inlineStr">
        <is>
          <t>Links to altEC</t>
        </is>
      </c>
      <c r="E1435" s="1" t="inlineStr">
        <is>
          <t>Base</t>
        </is>
      </c>
      <c r="F1435" s="1" t="n">
        <v>1.897441</v>
      </c>
    </row>
    <row r="1436" ht="15.75" customHeight="1" s="201">
      <c r="A1436" s="1" t="n">
        <v>27540300</v>
      </c>
      <c r="B1436" s="1" t="inlineStr">
        <is>
          <t>Chicken fillet wrap sandwich, grilled, from fast food (Includes patty; on tortilla; with or without cheese; homemade or other place)</t>
        </is>
      </c>
      <c r="C1436" s="1" t="n">
        <v>1</v>
      </c>
      <c r="D1436" s="1" t="inlineStr">
        <is>
          <t>Links to FNDDS</t>
        </is>
      </c>
      <c r="E1436" s="1" t="inlineStr">
        <is>
          <t>Base</t>
        </is>
      </c>
      <c r="F1436" s="1" t="n">
        <v>1.810945</v>
      </c>
    </row>
    <row r="1437" ht="15.75" customHeight="1" s="201">
      <c r="A1437" s="1" t="n">
        <v>27540310</v>
      </c>
      <c r="B1437" s="1" t="inlineStr">
        <is>
          <t>Turkey sandwich, with spread (Includes sliced, roast turkey sandwich)</t>
        </is>
      </c>
      <c r="C1437" s="1" t="n">
        <v>1</v>
      </c>
      <c r="D1437" s="1" t="inlineStr">
        <is>
          <t>Links to FNDDS</t>
        </is>
      </c>
      <c r="E1437" s="1" t="inlineStr">
        <is>
          <t>Base</t>
        </is>
      </c>
      <c r="F1437" s="1" t="n">
        <v>1.60521</v>
      </c>
    </row>
    <row r="1438" ht="15.75" customHeight="1" s="201">
      <c r="A1438" s="1" t="n">
        <v>27540350</v>
      </c>
      <c r="B1438" s="1" t="inlineStr">
        <is>
          <t>Turkey submarine sandwich, with cheese, lettuce, tomato and spread (Includes Arby's Turkey Sub; Subway Turkey Breast Sub; Jerry's Turkey Breast Sub)</t>
        </is>
      </c>
      <c r="C1438" s="1" t="n">
        <v>1</v>
      </c>
      <c r="D1438" s="1" t="inlineStr">
        <is>
          <t>Links to FNDDS</t>
        </is>
      </c>
      <c r="E1438" s="1" t="inlineStr">
        <is>
          <t>Base</t>
        </is>
      </c>
      <c r="F1438" s="1" t="n">
        <v>1.897441</v>
      </c>
    </row>
    <row r="1439" ht="15.75" customHeight="1" s="201">
      <c r="A1439" s="1" t="n">
        <v>27540361</v>
      </c>
      <c r="B1439" s="1" t="inlineStr">
        <is>
          <t>Turkey and bacon submarine sandwich, with cheese, lettuce, tomato and spread (Includes Subway's Turkey and Bacon Avocado with cheese; Subway Melt)</t>
        </is>
      </c>
      <c r="C1439" s="1" t="n">
        <v>2</v>
      </c>
      <c r="D1439" s="1" t="inlineStr">
        <is>
          <t>Links to altEC</t>
        </is>
      </c>
      <c r="E1439" s="1" t="inlineStr">
        <is>
          <t>Base</t>
        </is>
      </c>
      <c r="F1439" s="1" t="n">
        <v>1.897441</v>
      </c>
    </row>
    <row r="1440" ht="15.75" customHeight="1" s="201">
      <c r="A1440" s="1" t="n">
        <v>27541000</v>
      </c>
      <c r="B1440" s="1" t="inlineStr">
        <is>
          <t>Turkey, ham, and roast beef club sandwich, with lettuce, tomato and spread (Includes Subway Club)</t>
        </is>
      </c>
      <c r="C1440" s="1" t="n">
        <v>4</v>
      </c>
      <c r="D1440" s="1" t="inlineStr">
        <is>
          <t>FNDDS recipe with replaced or modified SR codes</t>
        </is>
      </c>
      <c r="E1440" s="1" t="inlineStr">
        <is>
          <t>Base</t>
        </is>
      </c>
      <c r="F1440" s="1" t="n">
        <v>0.738363</v>
      </c>
    </row>
    <row r="1441" ht="15.75" customHeight="1" s="201">
      <c r="A1441" s="1" t="n">
        <v>27541001</v>
      </c>
      <c r="B1441" s="1" t="inlineStr">
        <is>
          <t>Turkey, ham, and roast beef club sandwich with cheese, lettuce, tomato, and spread (Includes Subway Club with cheese)</t>
        </is>
      </c>
      <c r="C1441" s="1" t="n">
        <v>2</v>
      </c>
      <c r="D1441" s="1" t="inlineStr">
        <is>
          <t>Links to altEC</t>
        </is>
      </c>
      <c r="E1441" s="1" t="inlineStr">
        <is>
          <t>Base</t>
        </is>
      </c>
      <c r="F1441" s="1" t="n">
        <v>1.778178</v>
      </c>
    </row>
    <row r="1442" ht="15.75" customHeight="1" s="201">
      <c r="A1442" s="1" t="n">
        <v>27545100</v>
      </c>
      <c r="B1442" s="1" t="inlineStr">
        <is>
          <t>Turkey or chicken burger, on white bun (Includes homemade; bun, NFS)</t>
        </is>
      </c>
      <c r="C1442" s="1" t="n">
        <v>2</v>
      </c>
      <c r="D1442" s="1" t="inlineStr">
        <is>
          <t>Links to altEC</t>
        </is>
      </c>
      <c r="E1442" s="1" t="inlineStr">
        <is>
          <t>Base</t>
        </is>
      </c>
      <c r="F1442" s="1" t="n">
        <v>2.164548</v>
      </c>
    </row>
    <row r="1443" ht="15.75" customHeight="1" s="201">
      <c r="A1443" s="1" t="n">
        <v>27545110</v>
      </c>
      <c r="B1443" s="1" t="inlineStr">
        <is>
          <t>Turkey or chicken burger, on wheat bun (Includes homemade; any size patty)</t>
        </is>
      </c>
      <c r="C1443" s="1" t="n">
        <v>2</v>
      </c>
      <c r="D1443" s="1" t="inlineStr">
        <is>
          <t>Links to altEC</t>
        </is>
      </c>
      <c r="E1443" s="1" t="inlineStr">
        <is>
          <t>Base</t>
        </is>
      </c>
      <c r="F1443" s="1" t="n">
        <v>2.164548</v>
      </c>
    </row>
    <row r="1444" ht="15.75" customHeight="1" s="201">
      <c r="A1444" s="1" t="n">
        <v>27550000</v>
      </c>
      <c r="B1444" s="1" t="inlineStr">
        <is>
          <t>Fish sandwich, fried, from fast food (Includes fillet; crispy; breaded)</t>
        </is>
      </c>
      <c r="C1444" s="1" t="n">
        <v>1</v>
      </c>
      <c r="D1444" s="1" t="inlineStr">
        <is>
          <t>Links to FNDDS</t>
        </is>
      </c>
      <c r="E1444" s="1" t="inlineStr">
        <is>
          <t>Base</t>
        </is>
      </c>
      <c r="F1444" s="1" t="n">
        <v>0.814755</v>
      </c>
    </row>
    <row r="1445" ht="15.75" customHeight="1" s="201">
      <c r="A1445" s="1" t="n">
        <v>27550100</v>
      </c>
      <c r="B1445" s="1" t="inlineStr">
        <is>
          <t>Fish sandwich, fried, from fast food, with cheese (Includes fillet; crispy; breaded; NS as to cheese; McDonalds Fish sandwich)</t>
        </is>
      </c>
      <c r="C1445" s="1" t="n">
        <v>2</v>
      </c>
      <c r="D1445" s="1" t="inlineStr">
        <is>
          <t>Links to altEC</t>
        </is>
      </c>
      <c r="E1445" s="1" t="inlineStr">
        <is>
          <t>Base</t>
        </is>
      </c>
      <c r="F1445" s="1" t="n">
        <v>0.814755</v>
      </c>
    </row>
    <row r="1446" ht="15.75" customHeight="1" s="201">
      <c r="A1446" s="1" t="n">
        <v>27550720</v>
      </c>
      <c r="B1446" s="1" t="inlineStr">
        <is>
          <t>Tuna salad sandwich, on bread (Includes tuna fish; English muffin)</t>
        </is>
      </c>
      <c r="C1446" s="1" t="n">
        <v>1</v>
      </c>
      <c r="D1446" s="1" t="inlineStr">
        <is>
          <t>Links to FNDDS</t>
        </is>
      </c>
      <c r="E1446" s="1" t="inlineStr">
        <is>
          <t>Base</t>
        </is>
      </c>
      <c r="F1446" s="1" t="n">
        <v>2.131354</v>
      </c>
    </row>
    <row r="1447" ht="15.75" customHeight="1" s="201">
      <c r="A1447" s="1" t="n">
        <v>27550730</v>
      </c>
      <c r="B1447" s="1" t="inlineStr">
        <is>
          <t>Tuna salad sandwich, on bread, with cheese (Includes tuna melt; tuna fish; English muffin)</t>
        </is>
      </c>
      <c r="C1447" s="1" t="n">
        <v>2</v>
      </c>
      <c r="D1447" s="1" t="inlineStr">
        <is>
          <t>Links to altEC</t>
        </is>
      </c>
      <c r="E1447" s="1" t="inlineStr">
        <is>
          <t>Base</t>
        </is>
      </c>
      <c r="F1447" s="1" t="n">
        <v>2.131354</v>
      </c>
    </row>
    <row r="1448" ht="15.75" customHeight="1" s="201">
      <c r="A1448" s="1" t="n">
        <v>27550740</v>
      </c>
      <c r="B1448" s="1" t="inlineStr">
        <is>
          <t>Tuna salad sandwich, on bun (Includes tuna fish; roll; submarine; Subway Tuna Sub)</t>
        </is>
      </c>
      <c r="C1448" s="1" t="n">
        <v>2</v>
      </c>
      <c r="D1448" s="1" t="inlineStr">
        <is>
          <t>Links to altEC</t>
        </is>
      </c>
      <c r="E1448" s="1" t="inlineStr">
        <is>
          <t>Base</t>
        </is>
      </c>
      <c r="F1448" s="1" t="n">
        <v>2.131354</v>
      </c>
    </row>
    <row r="1449" ht="15.75" customHeight="1" s="201">
      <c r="A1449" s="1" t="n">
        <v>27550745</v>
      </c>
      <c r="B1449" s="1" t="inlineStr">
        <is>
          <t>Tuna salad sandwich, on bun, with cheese (Includes tuna fish; roll; submarine; Subway Tuna Sub with cheese)</t>
        </is>
      </c>
      <c r="C1449" s="1" t="n">
        <v>2</v>
      </c>
      <c r="D1449" s="1" t="inlineStr">
        <is>
          <t>Links to altEC</t>
        </is>
      </c>
      <c r="E1449" s="1" t="inlineStr">
        <is>
          <t>Base</t>
        </is>
      </c>
      <c r="F1449" s="1" t="n">
        <v>2.131354</v>
      </c>
    </row>
    <row r="1450" ht="15.75" customHeight="1" s="201">
      <c r="A1450" s="1" t="n">
        <v>27560300</v>
      </c>
      <c r="B1450" s="1" t="inlineStr">
        <is>
          <t>Corn dog, frankfurter or hot dog with cornbread coating (Includes all meats / poultry)</t>
        </is>
      </c>
      <c r="C1450" s="1" t="n">
        <v>1</v>
      </c>
      <c r="D1450" s="1" t="inlineStr">
        <is>
          <t>Links to FNDDS</t>
        </is>
      </c>
      <c r="E1450" s="1" t="inlineStr">
        <is>
          <t>Base</t>
        </is>
      </c>
      <c r="F1450" s="1" t="n">
        <v>0.740335</v>
      </c>
    </row>
    <row r="1451" ht="15.75" customHeight="1" s="201">
      <c r="A1451" s="1" t="n">
        <v>27560350</v>
      </c>
      <c r="B1451" s="1" t="inlineStr">
        <is>
          <t>Pig in a blanket, frankfurter or hot dog wrapped in dough</t>
        </is>
      </c>
      <c r="C1451" s="1" t="n">
        <v>4</v>
      </c>
      <c r="D1451" s="1" t="inlineStr">
        <is>
          <t>FNDDS recipe with replaced or modified SR codes</t>
        </is>
      </c>
      <c r="E1451" s="1" t="inlineStr">
        <is>
          <t>Base</t>
        </is>
      </c>
      <c r="F1451" s="1" t="n">
        <v>0.621346</v>
      </c>
    </row>
    <row r="1452" ht="15.75" customHeight="1" s="201">
      <c r="A1452" s="1" t="n">
        <v>27560500</v>
      </c>
      <c r="B1452" s="1" t="inlineStr">
        <is>
          <t>Pepperoni and salami submarine sandwich, with lettuce, tomato and spread (Includes Subway Spicy Italian Sub)</t>
        </is>
      </c>
      <c r="C1452" s="1" t="n">
        <v>4</v>
      </c>
      <c r="D1452" s="1" t="inlineStr">
        <is>
          <t>FNDDS recipe with replaced or modified SR codes</t>
        </is>
      </c>
      <c r="E1452" s="1" t="inlineStr">
        <is>
          <t>Base</t>
        </is>
      </c>
      <c r="F1452" s="1" t="n">
        <v>0.6641049999999999</v>
      </c>
    </row>
    <row r="1453" ht="15.75" customHeight="1" s="201">
      <c r="A1453" s="1" t="n">
        <v>27560650</v>
      </c>
      <c r="B1453" s="1" t="inlineStr">
        <is>
          <t>Sausage on biscuit (Includes Jimmy Dean Sausage Biscuit; McDonald's Sausage Biscuit; Hardee's Sausage Biscuit)</t>
        </is>
      </c>
      <c r="C1453" s="1" t="n">
        <v>1</v>
      </c>
      <c r="D1453" s="1" t="inlineStr">
        <is>
          <t>Links to FNDDS</t>
        </is>
      </c>
      <c r="E1453" s="1" t="inlineStr">
        <is>
          <t>Base</t>
        </is>
      </c>
      <c r="F1453" s="1" t="n">
        <v>0.985908</v>
      </c>
    </row>
    <row r="1454" ht="15.75" customHeight="1" s="201">
      <c r="A1454" s="1" t="n">
        <v>27560660</v>
      </c>
      <c r="B1454" s="1" t="inlineStr">
        <is>
          <t>Sausage griddle cake sandwich (Includes McDonald's Sausage McGriddles)</t>
        </is>
      </c>
      <c r="C1454" s="1" t="n">
        <v>1</v>
      </c>
      <c r="D1454" s="1" t="inlineStr">
        <is>
          <t>Links to FNDDS</t>
        </is>
      </c>
      <c r="E1454" s="1" t="inlineStr">
        <is>
          <t>Base</t>
        </is>
      </c>
      <c r="F1454" s="1" t="n">
        <v>1.081161</v>
      </c>
    </row>
    <row r="1455" ht="15.75" customHeight="1" s="201">
      <c r="A1455" s="1" t="n">
        <v>27560670</v>
      </c>
      <c r="B1455" s="1" t="inlineStr">
        <is>
          <t>Sausage and cheese on English muffin (Includes McDonald's Sausage McMuffin)</t>
        </is>
      </c>
      <c r="C1455" s="1" t="n">
        <v>1</v>
      </c>
      <c r="D1455" s="1" t="inlineStr">
        <is>
          <t>Links to FNDDS</t>
        </is>
      </c>
      <c r="E1455" s="1" t="inlineStr">
        <is>
          <t>Base</t>
        </is>
      </c>
      <c r="F1455" s="1" t="n">
        <v>1.064393</v>
      </c>
    </row>
    <row r="1456" ht="15.75" customHeight="1" s="201">
      <c r="A1456" s="1" t="n">
        <v>27560705</v>
      </c>
      <c r="B1456" s="1" t="inlineStr">
        <is>
          <t>Sausage balls, made with biscuit mix and cheese</t>
        </is>
      </c>
      <c r="C1456" s="1" t="n">
        <v>4</v>
      </c>
      <c r="D1456" s="1" t="inlineStr">
        <is>
          <t>FNDDS recipe with replaced or modified SR codes</t>
        </is>
      </c>
      <c r="E1456" s="1" t="inlineStr">
        <is>
          <t>Base</t>
        </is>
      </c>
      <c r="F1456" s="1" t="n">
        <v>0.834209</v>
      </c>
    </row>
    <row r="1457" ht="15.75" customHeight="1" s="201">
      <c r="A1457" s="1" t="n">
        <v>27560710</v>
      </c>
      <c r="B1457" s="1" t="inlineStr">
        <is>
          <t>Sausage sandwich</t>
        </is>
      </c>
      <c r="C1457" s="1" t="n">
        <v>4</v>
      </c>
      <c r="D1457" s="1" t="inlineStr">
        <is>
          <t>FNDDS recipe with replaced or modified SR codes</t>
        </is>
      </c>
      <c r="E1457" s="1" t="inlineStr">
        <is>
          <t>Base</t>
        </is>
      </c>
      <c r="F1457" s="1" t="n">
        <v>0.632788</v>
      </c>
    </row>
    <row r="1458" ht="15.75" customHeight="1" s="201">
      <c r="A1458" s="1" t="n">
        <v>27560910</v>
      </c>
      <c r="B1458" s="1" t="inlineStr">
        <is>
          <t>Cold cut sumarine sandwich, with cheese, lettuce, tomato and spread (Includes grinder; Subway Cold Cut Combo; Jerry's Italian Cold Cut Sub; Jerry's Italian Cold Cut Jr Sub; Subway Classic Italian BMT)</t>
        </is>
      </c>
      <c r="C1458" s="1" t="n">
        <v>1</v>
      </c>
      <c r="D1458" s="1" t="inlineStr">
        <is>
          <t>Links to FNDDS</t>
        </is>
      </c>
      <c r="E1458" s="1" t="inlineStr">
        <is>
          <t>Base</t>
        </is>
      </c>
      <c r="F1458" s="1" t="n">
        <v>1.488148</v>
      </c>
    </row>
    <row r="1459" ht="15.75" customHeight="1" s="201">
      <c r="A1459" s="1" t="n">
        <v>27564000</v>
      </c>
      <c r="B1459" s="1" t="inlineStr">
        <is>
          <t>Frankfurter or hot dog sandwich, NFS, plain, on white bun (Includes bun, NFS)</t>
        </is>
      </c>
      <c r="C1459" s="1" t="n">
        <v>4</v>
      </c>
      <c r="D1459" s="1" t="inlineStr">
        <is>
          <t>FNDDS recipe with replaced or modified SR codes</t>
        </is>
      </c>
      <c r="E1459" s="1" t="inlineStr">
        <is>
          <t>Base</t>
        </is>
      </c>
      <c r="F1459" s="1" t="n">
        <v>0.538337</v>
      </c>
    </row>
    <row r="1460" ht="15.75" customHeight="1" s="201">
      <c r="A1460" s="1" t="n">
        <v>27564001</v>
      </c>
      <c r="B1460" s="1" t="inlineStr">
        <is>
          <t>Frankfurter or hot dog sandwich, NFS, plain, on wheat bun</t>
        </is>
      </c>
      <c r="C1460" s="1" t="n">
        <v>4</v>
      </c>
      <c r="D1460" s="1" t="inlineStr">
        <is>
          <t>FNDDS recipe with replaced or modified SR codes</t>
        </is>
      </c>
      <c r="E1460" s="1" t="inlineStr">
        <is>
          <t>Base</t>
        </is>
      </c>
      <c r="F1460" s="1" t="n">
        <v>0.575639</v>
      </c>
    </row>
    <row r="1461" ht="15.75" customHeight="1" s="201">
      <c r="A1461" s="1" t="n">
        <v>27564010</v>
      </c>
      <c r="B1461" s="1" t="inlineStr">
        <is>
          <t>Frankfurter or hot dog sandwich, NFS, plain, on white bread (Includes other bread such as potato, Italian, and rye)</t>
        </is>
      </c>
      <c r="C1461" s="1" t="n">
        <v>4</v>
      </c>
      <c r="D1461" s="1" t="inlineStr">
        <is>
          <t>FNDDS recipe with replaced or modified SR codes</t>
        </is>
      </c>
      <c r="E1461" s="1" t="inlineStr">
        <is>
          <t>Base</t>
        </is>
      </c>
      <c r="F1461" s="1" t="n">
        <v>0.527737</v>
      </c>
    </row>
    <row r="1462" ht="15.75" customHeight="1" s="201">
      <c r="A1462" s="1" t="n">
        <v>27564020</v>
      </c>
      <c r="B1462" s="1" t="inlineStr">
        <is>
          <t>Frankfurter or hot dog sandwich, NFS, plain, on wheat bread</t>
        </is>
      </c>
      <c r="C1462" s="1" t="n">
        <v>4</v>
      </c>
      <c r="D1462" s="1" t="inlineStr">
        <is>
          <t>FNDDS recipe with replaced or modified SR codes</t>
        </is>
      </c>
      <c r="E1462" s="1" t="inlineStr">
        <is>
          <t>Base</t>
        </is>
      </c>
      <c r="F1462" s="1" t="n">
        <v>0.532378</v>
      </c>
    </row>
    <row r="1463" ht="15.75" customHeight="1" s="201">
      <c r="A1463" s="1" t="n">
        <v>27564030</v>
      </c>
      <c r="B1463" s="1" t="inlineStr">
        <is>
          <t>Frankfurter or hot dog sandwich, NFS, plain, on whole wheat bread (Includes whole grain bread)</t>
        </is>
      </c>
      <c r="C1463" s="1" t="n">
        <v>4</v>
      </c>
      <c r="D1463" s="1" t="inlineStr">
        <is>
          <t>FNDDS recipe with replaced or modified SR codes</t>
        </is>
      </c>
      <c r="E1463" s="1" t="inlineStr">
        <is>
          <t>Base</t>
        </is>
      </c>
      <c r="F1463" s="1" t="n">
        <v>0.558385</v>
      </c>
    </row>
    <row r="1464" ht="15.75" customHeight="1" s="201">
      <c r="A1464" s="1" t="n">
        <v>27564060</v>
      </c>
      <c r="B1464" s="1" t="inlineStr">
        <is>
          <t>Frankfurter or hot dog sandwich, beef, plain, on white bun (Includes bun, NFS)</t>
        </is>
      </c>
      <c r="C1464" s="1" t="n">
        <v>4</v>
      </c>
      <c r="D1464" s="1" t="inlineStr">
        <is>
          <t>FNDDS recipe with replaced or modified SR codes</t>
        </is>
      </c>
      <c r="E1464" s="1" t="inlineStr">
        <is>
          <t>Base</t>
        </is>
      </c>
      <c r="F1464" s="1" t="n">
        <v>0.538337</v>
      </c>
    </row>
    <row r="1465" ht="15.75" customHeight="1" s="201">
      <c r="A1465" s="1" t="n">
        <v>27564061</v>
      </c>
      <c r="B1465" s="1" t="inlineStr">
        <is>
          <t>Frankfurter or hot dog sandwich, beef, plain, on wheat bun</t>
        </is>
      </c>
      <c r="C1465" s="1" t="n">
        <v>4</v>
      </c>
      <c r="D1465" s="1" t="inlineStr">
        <is>
          <t>FNDDS recipe with replaced or modified SR codes</t>
        </is>
      </c>
      <c r="E1465" s="1" t="inlineStr">
        <is>
          <t>Base</t>
        </is>
      </c>
      <c r="F1465" s="1" t="n">
        <v>0.575639</v>
      </c>
    </row>
    <row r="1466" ht="15.75" customHeight="1" s="201">
      <c r="A1466" s="1" t="n">
        <v>27564062</v>
      </c>
      <c r="B1466" s="1" t="inlineStr">
        <is>
          <t>Frankfurter or hot dog sandwich, beef, plain, on whole wheat bun (Includes whole grain bun)</t>
        </is>
      </c>
      <c r="C1466" s="1" t="n">
        <v>4</v>
      </c>
      <c r="D1466" s="1" t="inlineStr">
        <is>
          <t>FNDDS recipe with replaced or modified SR codes</t>
        </is>
      </c>
      <c r="E1466" s="1" t="inlineStr">
        <is>
          <t>Base</t>
        </is>
      </c>
      <c r="F1466" s="1" t="n">
        <v>0.608815</v>
      </c>
    </row>
    <row r="1467" ht="15.75" customHeight="1" s="201">
      <c r="A1467" s="1" t="n">
        <v>27564070</v>
      </c>
      <c r="B1467" s="1" t="inlineStr">
        <is>
          <t>Frankfurter or hot dog sandwich, beef, plain, on white bread (Includes other bread such as potato, Italian, and rye)</t>
        </is>
      </c>
      <c r="C1467" s="1" t="n">
        <v>4</v>
      </c>
      <c r="D1467" s="1" t="inlineStr">
        <is>
          <t>FNDDS recipe with replaced or modified SR codes</t>
        </is>
      </c>
      <c r="E1467" s="1" t="inlineStr">
        <is>
          <t>Base</t>
        </is>
      </c>
      <c r="F1467" s="1" t="n">
        <v>0.527737</v>
      </c>
    </row>
    <row r="1468" ht="15.75" customHeight="1" s="201">
      <c r="A1468" s="1" t="n">
        <v>27564080</v>
      </c>
      <c r="B1468" s="1" t="inlineStr">
        <is>
          <t>Frankfurter or hot dog sandwich, beef, plain, on wheat bread</t>
        </is>
      </c>
      <c r="C1468" s="1" t="n">
        <v>4</v>
      </c>
      <c r="D1468" s="1" t="inlineStr">
        <is>
          <t>FNDDS recipe with replaced or modified SR codes</t>
        </is>
      </c>
      <c r="E1468" s="1" t="inlineStr">
        <is>
          <t>Base</t>
        </is>
      </c>
      <c r="F1468" s="1" t="n">
        <v>0.532378</v>
      </c>
    </row>
    <row r="1469" ht="15.75" customHeight="1" s="201">
      <c r="A1469" s="1" t="n">
        <v>27564090</v>
      </c>
      <c r="B1469" s="1" t="inlineStr">
        <is>
          <t>Frankfurter or hot dog sandwich, beef, plain, on whole wheat bread (Includes whole grain bread)</t>
        </is>
      </c>
      <c r="C1469" s="1" t="n">
        <v>4</v>
      </c>
      <c r="D1469" s="1" t="inlineStr">
        <is>
          <t>FNDDS recipe with replaced or modified SR codes</t>
        </is>
      </c>
      <c r="E1469" s="1" t="inlineStr">
        <is>
          <t>Base</t>
        </is>
      </c>
      <c r="F1469" s="1" t="n">
        <v>0.558385</v>
      </c>
    </row>
    <row r="1470" ht="15.75" customHeight="1" s="201">
      <c r="A1470" s="1" t="n">
        <v>27564120</v>
      </c>
      <c r="B1470" s="1" t="inlineStr">
        <is>
          <t>Frankfurter or hot dog sandwich, beef and pork, plain, on white bun (Includes bun, NFS)</t>
        </is>
      </c>
      <c r="C1470" s="1" t="n">
        <v>4</v>
      </c>
      <c r="D1470" s="1" t="inlineStr">
        <is>
          <t>FNDDS recipe with replaced or modified SR codes</t>
        </is>
      </c>
      <c r="E1470" s="1" t="inlineStr">
        <is>
          <t>Base</t>
        </is>
      </c>
      <c r="F1470" s="1" t="n">
        <v>0.566671</v>
      </c>
    </row>
    <row r="1471" ht="15.75" customHeight="1" s="201">
      <c r="A1471" s="1" t="n">
        <v>27564121</v>
      </c>
      <c r="B1471" s="1" t="inlineStr">
        <is>
          <t>Frankfurter or hot dog sandwich, beef and pork, plain, on wheat bun</t>
        </is>
      </c>
      <c r="C1471" s="1" t="n">
        <v>4</v>
      </c>
      <c r="D1471" s="1" t="inlineStr">
        <is>
          <t>FNDDS recipe with replaced or modified SR codes</t>
        </is>
      </c>
      <c r="E1471" s="1" t="inlineStr">
        <is>
          <t>Base</t>
        </is>
      </c>
      <c r="F1471" s="1" t="n">
        <v>0.605936</v>
      </c>
    </row>
    <row r="1472" ht="15.75" customHeight="1" s="201">
      <c r="A1472" s="1" t="n">
        <v>27564130</v>
      </c>
      <c r="B1472" s="1" t="inlineStr">
        <is>
          <t>Frankfurter or hot dog sandwich, beef and pork, plain, on white bread (Includes other bread such as potato, Italian, and rye)</t>
        </is>
      </c>
      <c r="C1472" s="1" t="n">
        <v>4</v>
      </c>
      <c r="D1472" s="1" t="inlineStr">
        <is>
          <t>FNDDS recipe with replaced or modified SR codes</t>
        </is>
      </c>
      <c r="E1472" s="1" t="inlineStr">
        <is>
          <t>Base</t>
        </is>
      </c>
      <c r="F1472" s="1" t="n">
        <v>0.555513</v>
      </c>
    </row>
    <row r="1473" ht="15.75" customHeight="1" s="201">
      <c r="A1473" s="1" t="n">
        <v>27564140</v>
      </c>
      <c r="B1473" s="1" t="inlineStr">
        <is>
          <t>Frankfurter or hot dog sandwich, beef and pork, plain, on wheat bread</t>
        </is>
      </c>
      <c r="C1473" s="1" t="n">
        <v>4</v>
      </c>
      <c r="D1473" s="1" t="inlineStr">
        <is>
          <t>FNDDS recipe with replaced or modified SR codes</t>
        </is>
      </c>
      <c r="E1473" s="1" t="inlineStr">
        <is>
          <t>Base</t>
        </is>
      </c>
      <c r="F1473" s="1" t="n">
        <v>0.560398</v>
      </c>
    </row>
    <row r="1474" ht="15.75" customHeight="1" s="201">
      <c r="A1474" s="1" t="n">
        <v>27564150</v>
      </c>
      <c r="B1474" s="1" t="inlineStr">
        <is>
          <t>Frankfurter or hot dog sandwich, beef and pork, plain, on whole wheat bread (Includes whole grain bread)</t>
        </is>
      </c>
      <c r="C1474" s="1" t="n">
        <v>4</v>
      </c>
      <c r="D1474" s="1" t="inlineStr">
        <is>
          <t>FNDDS recipe with replaced or modified SR codes</t>
        </is>
      </c>
      <c r="E1474" s="1" t="inlineStr">
        <is>
          <t>Base</t>
        </is>
      </c>
      <c r="F1474" s="1" t="n">
        <v>0.587774</v>
      </c>
    </row>
    <row r="1475" ht="15.75" customHeight="1" s="201">
      <c r="A1475" s="1" t="n">
        <v>27564180</v>
      </c>
      <c r="B1475" s="1" t="inlineStr">
        <is>
          <t>Frankfurter or hot dog sandwich, meat and poultry, plain, on white bun (Includes any combination of chicken and/or turkey with beef and/or pork; bun, NFS)</t>
        </is>
      </c>
      <c r="C1475" s="1" t="n">
        <v>4</v>
      </c>
      <c r="D1475" s="1" t="inlineStr">
        <is>
          <t>FNDDS recipe with replaced or modified SR codes</t>
        </is>
      </c>
      <c r="E1475" s="1" t="inlineStr">
        <is>
          <t>Base</t>
        </is>
      </c>
      <c r="F1475" s="1" t="n">
        <v>0.538337</v>
      </c>
    </row>
    <row r="1476" ht="15.75" customHeight="1" s="201">
      <c r="A1476" s="1" t="n">
        <v>27564181</v>
      </c>
      <c r="B1476" s="1" t="inlineStr">
        <is>
          <t>Frankfurter or hot dog sandwich, meat and poultry, plain, on wheat bun (Includes any combination of chicken and/or turkey with beef and/or pork)</t>
        </is>
      </c>
      <c r="C1476" s="1" t="n">
        <v>4</v>
      </c>
      <c r="D1476" s="1" t="inlineStr">
        <is>
          <t>FNDDS recipe with replaced or modified SR codes</t>
        </is>
      </c>
      <c r="E1476" s="1" t="inlineStr">
        <is>
          <t>Base</t>
        </is>
      </c>
      <c r="F1476" s="1" t="n">
        <v>0.575639</v>
      </c>
    </row>
    <row r="1477" ht="15.75" customHeight="1" s="201">
      <c r="A1477" s="1" t="n">
        <v>27564190</v>
      </c>
      <c r="B1477" s="1" t="inlineStr">
        <is>
          <t>Frankfurter or hot dog sandwich, meat and poultry, plain, on white bread (Includes any combination of chicken and/or turkey with beef and/or pork; other bread such as potato, Italian, and rye)</t>
        </is>
      </c>
      <c r="C1477" s="1" t="n">
        <v>4</v>
      </c>
      <c r="D1477" s="1" t="inlineStr">
        <is>
          <t>FNDDS recipe with replaced or modified SR codes</t>
        </is>
      </c>
      <c r="E1477" s="1" t="inlineStr">
        <is>
          <t>Base</t>
        </is>
      </c>
      <c r="F1477" s="1" t="n">
        <v>0.527737</v>
      </c>
    </row>
    <row r="1478" ht="15.75" customHeight="1" s="201">
      <c r="A1478" s="1" t="n">
        <v>27564200</v>
      </c>
      <c r="B1478" s="1" t="inlineStr">
        <is>
          <t>Frankfurter or hot dog sandwich, meat and poultry, plain, on wheat bread (Includes any combination of chicken and/or turkey with beef and/or pork)</t>
        </is>
      </c>
      <c r="C1478" s="1" t="n">
        <v>4</v>
      </c>
      <c r="D1478" s="1" t="inlineStr">
        <is>
          <t>FNDDS recipe with replaced or modified SR codes</t>
        </is>
      </c>
      <c r="E1478" s="1" t="inlineStr">
        <is>
          <t>Base</t>
        </is>
      </c>
      <c r="F1478" s="1" t="n">
        <v>0.532378</v>
      </c>
    </row>
    <row r="1479" ht="15.75" customHeight="1" s="201">
      <c r="A1479" s="1" t="n">
        <v>27564210</v>
      </c>
      <c r="B1479" s="1" t="inlineStr">
        <is>
          <t>Frankfurter or hot dog sandwich, meat and poultry, plain, on whole wheat bread (Includes any combination of chicken and/or turkey with beef and/or pork; whole grain bread)</t>
        </is>
      </c>
      <c r="C1479" s="1" t="n">
        <v>4</v>
      </c>
      <c r="D1479" s="1" t="inlineStr">
        <is>
          <t>FNDDS recipe with replaced or modified SR codes</t>
        </is>
      </c>
      <c r="E1479" s="1" t="inlineStr">
        <is>
          <t>Base</t>
        </is>
      </c>
      <c r="F1479" s="1" t="n">
        <v>0.558385</v>
      </c>
    </row>
    <row r="1480" ht="15.75" customHeight="1" s="201">
      <c r="A1480" s="1" t="n">
        <v>27564220</v>
      </c>
      <c r="B1480" s="1" t="inlineStr">
        <is>
          <t>Frankfurter or hot dog sandwich, meat and poultry, plain, on whole grain white bread (Includes any combination of chicken and/or turkey with beef and/or pork)</t>
        </is>
      </c>
      <c r="C1480" s="1" t="n">
        <v>4</v>
      </c>
      <c r="D1480" s="1" t="inlineStr">
        <is>
          <t>FNDDS recipe with replaced or modified SR codes</t>
        </is>
      </c>
      <c r="E1480" s="1" t="inlineStr">
        <is>
          <t>Base</t>
        </is>
      </c>
      <c r="F1480" s="1" t="n">
        <v>0.52674</v>
      </c>
    </row>
    <row r="1481" ht="15.75" customHeight="1" s="201">
      <c r="A1481" s="1" t="n">
        <v>27564240</v>
      </c>
      <c r="B1481" s="1" t="inlineStr">
        <is>
          <t>Frankfurter or hot dog sandwich, chicken and/or turkey, plain, on white bun (Includes bun, NFS)</t>
        </is>
      </c>
      <c r="C1481" s="1" t="n">
        <v>4</v>
      </c>
      <c r="D1481" s="1" t="inlineStr">
        <is>
          <t>FNDDS recipe with replaced or modified SR codes</t>
        </is>
      </c>
      <c r="E1481" s="1" t="inlineStr">
        <is>
          <t>Base</t>
        </is>
      </c>
      <c r="F1481" s="1" t="n">
        <v>0.538337</v>
      </c>
    </row>
    <row r="1482" ht="15.75" customHeight="1" s="201">
      <c r="A1482" s="1" t="n">
        <v>27564241</v>
      </c>
      <c r="B1482" s="1" t="inlineStr">
        <is>
          <t>Frankfurter or hot dog sandwich, chicken and/or turkey, plain, on wheat bun</t>
        </is>
      </c>
      <c r="C1482" s="1" t="n">
        <v>4</v>
      </c>
      <c r="D1482" s="1" t="inlineStr">
        <is>
          <t>FNDDS recipe with replaced or modified SR codes</t>
        </is>
      </c>
      <c r="E1482" s="1" t="inlineStr">
        <is>
          <t>Base</t>
        </is>
      </c>
      <c r="F1482" s="1" t="n">
        <v>0.575639</v>
      </c>
    </row>
    <row r="1483" ht="15.75" customHeight="1" s="201">
      <c r="A1483" s="1" t="n">
        <v>27564243</v>
      </c>
      <c r="B1483" s="1" t="inlineStr">
        <is>
          <t>Frankfurter or hot dog sandwich, chicken and/or turkey, plain, on whole grain white bun</t>
        </is>
      </c>
      <c r="C1483" s="1" t="n">
        <v>4</v>
      </c>
      <c r="D1483" s="1" t="inlineStr">
        <is>
          <t>FNDDS recipe with replaced or modified SR codes</t>
        </is>
      </c>
      <c r="E1483" s="1" t="inlineStr">
        <is>
          <t>Base</t>
        </is>
      </c>
      <c r="F1483" s="1" t="n">
        <v>0.6898300000000001</v>
      </c>
    </row>
    <row r="1484" ht="15.75" customHeight="1" s="201">
      <c r="A1484" s="1" t="n">
        <v>27564250</v>
      </c>
      <c r="B1484" s="1" t="inlineStr">
        <is>
          <t>Frankfurter or hot dog sandwich, chicken and/or turkey, plain, on white bread (Includes other bread such as potato, Italian, and rye)</t>
        </is>
      </c>
      <c r="C1484" s="1" t="n">
        <v>4</v>
      </c>
      <c r="D1484" s="1" t="inlineStr">
        <is>
          <t>FNDDS recipe with replaced or modified SR codes</t>
        </is>
      </c>
      <c r="E1484" s="1" t="inlineStr">
        <is>
          <t>Base</t>
        </is>
      </c>
      <c r="F1484" s="1" t="n">
        <v>0.527737</v>
      </c>
    </row>
    <row r="1485" ht="15.75" customHeight="1" s="201">
      <c r="A1485" s="1" t="n">
        <v>27564260</v>
      </c>
      <c r="B1485" s="1" t="inlineStr">
        <is>
          <t>Frankfurter or hot dog sandwich, chicken and/or turkey, plain, on wheat bread</t>
        </is>
      </c>
      <c r="C1485" s="1" t="n">
        <v>4</v>
      </c>
      <c r="D1485" s="1" t="inlineStr">
        <is>
          <t>FNDDS recipe with replaced or modified SR codes</t>
        </is>
      </c>
      <c r="E1485" s="1" t="inlineStr">
        <is>
          <t>Base</t>
        </is>
      </c>
      <c r="F1485" s="1" t="n">
        <v>0.532378</v>
      </c>
    </row>
    <row r="1486" ht="15.75" customHeight="1" s="201">
      <c r="A1486" s="1" t="n">
        <v>27564300</v>
      </c>
      <c r="B1486" s="1" t="inlineStr">
        <is>
          <t>Frankfurter or hot dog sandwich, reduced fat or light, plain, on white bun (Includes all meats / poultry; bun, NFS)</t>
        </is>
      </c>
      <c r="C1486" s="1" t="n">
        <v>4</v>
      </c>
      <c r="D1486" s="1" t="inlineStr">
        <is>
          <t>FNDDS recipe with replaced or modified SR codes</t>
        </is>
      </c>
      <c r="E1486" s="1" t="inlineStr">
        <is>
          <t>Base</t>
        </is>
      </c>
      <c r="F1486" s="1" t="n">
        <v>0.538337</v>
      </c>
    </row>
    <row r="1487" ht="15.75" customHeight="1" s="201">
      <c r="A1487" s="1" t="n">
        <v>27564301</v>
      </c>
      <c r="B1487" s="1" t="inlineStr">
        <is>
          <t>Frankfurter or hot dog sandwich, reduced fat or light, plain, on wheat bun (Includes all meats / poultry)</t>
        </is>
      </c>
      <c r="C1487" s="1" t="n">
        <v>4</v>
      </c>
      <c r="D1487" s="1" t="inlineStr">
        <is>
          <t>FNDDS recipe with replaced or modified SR codes</t>
        </is>
      </c>
      <c r="E1487" s="1" t="inlineStr">
        <is>
          <t>Base</t>
        </is>
      </c>
      <c r="F1487" s="1" t="n">
        <v>0.575639</v>
      </c>
    </row>
    <row r="1488" ht="15.75" customHeight="1" s="201">
      <c r="A1488" s="1" t="n">
        <v>27564310</v>
      </c>
      <c r="B1488" s="1" t="inlineStr">
        <is>
          <t>Frankfurter or hot dog sandwich, reduced fat or light, plain, on white bread (Includes all meats / poultry; other bread such as potato, Italian, and rye)</t>
        </is>
      </c>
      <c r="C1488" s="1" t="n">
        <v>4</v>
      </c>
      <c r="D1488" s="1" t="inlineStr">
        <is>
          <t>FNDDS recipe with replaced or modified SR codes</t>
        </is>
      </c>
      <c r="E1488" s="1" t="inlineStr">
        <is>
          <t>Base</t>
        </is>
      </c>
      <c r="F1488" s="1" t="n">
        <v>0.527737</v>
      </c>
    </row>
    <row r="1489" ht="15.75" customHeight="1" s="201">
      <c r="A1489" s="1" t="n">
        <v>27564320</v>
      </c>
      <c r="B1489" s="1" t="inlineStr">
        <is>
          <t>Frankfurter or hot dog sandwich, reduced fat or light, plain, on wheat bread (Includes all meats / poultry)</t>
        </is>
      </c>
      <c r="C1489" s="1" t="n">
        <v>4</v>
      </c>
      <c r="D1489" s="1" t="inlineStr">
        <is>
          <t>FNDDS recipe with replaced or modified SR codes</t>
        </is>
      </c>
      <c r="E1489" s="1" t="inlineStr">
        <is>
          <t>Base</t>
        </is>
      </c>
      <c r="F1489" s="1" t="n">
        <v>0.532378</v>
      </c>
    </row>
    <row r="1490" ht="15.75" customHeight="1" s="201">
      <c r="A1490" s="1" t="n">
        <v>27564360</v>
      </c>
      <c r="B1490" s="1" t="inlineStr">
        <is>
          <t>Frankfurter or hot dog sandwich, fat free, plain, on white bun (Includes all meats / poultry)</t>
        </is>
      </c>
      <c r="C1490" s="1" t="n">
        <v>4</v>
      </c>
      <c r="D1490" s="1" t="inlineStr">
        <is>
          <t>FNDDS recipe with replaced or modified SR codes</t>
        </is>
      </c>
      <c r="E1490" s="1" t="inlineStr">
        <is>
          <t>Base</t>
        </is>
      </c>
      <c r="F1490" s="1" t="n">
        <v>0.538337</v>
      </c>
    </row>
    <row r="1491" ht="15.75" customHeight="1" s="201">
      <c r="A1491" s="1" t="n">
        <v>27564361</v>
      </c>
      <c r="B1491" s="1" t="inlineStr">
        <is>
          <t>Frankfurter or hot dog sandwich, fat free, plain, on wheat bun (Includes all meats / poultry)</t>
        </is>
      </c>
      <c r="C1491" s="1" t="n">
        <v>4</v>
      </c>
      <c r="D1491" s="1" t="inlineStr">
        <is>
          <t>FNDDS recipe with replaced or modified SR codes</t>
        </is>
      </c>
      <c r="E1491" s="1" t="inlineStr">
        <is>
          <t>Base</t>
        </is>
      </c>
      <c r="F1491" s="1" t="n">
        <v>0.575639</v>
      </c>
    </row>
    <row r="1492" ht="15.75" customHeight="1" s="201">
      <c r="A1492" s="1" t="n">
        <v>27564370</v>
      </c>
      <c r="B1492" s="1" t="inlineStr">
        <is>
          <t>Frankfurter or hot dog sandwich, fat free, plain, on white bread (Includes all meats / poultry; other bread such as potato, Italian, and rye)</t>
        </is>
      </c>
      <c r="C1492" s="1" t="n">
        <v>4</v>
      </c>
      <c r="D1492" s="1" t="inlineStr">
        <is>
          <t>FNDDS recipe with replaced or modified SR codes</t>
        </is>
      </c>
      <c r="E1492" s="1" t="inlineStr">
        <is>
          <t>Base</t>
        </is>
      </c>
      <c r="F1492" s="1" t="n">
        <v>0.527737</v>
      </c>
    </row>
    <row r="1493" ht="15.75" customHeight="1" s="201">
      <c r="A1493" s="1" t="n">
        <v>27564380</v>
      </c>
      <c r="B1493" s="1" t="inlineStr">
        <is>
          <t>Frankfurter or hot dog sandwich, fat free, plain, on wheat bread (Includes all meats / poultry)</t>
        </is>
      </c>
      <c r="C1493" s="1" t="n">
        <v>4</v>
      </c>
      <c r="D1493" s="1" t="inlineStr">
        <is>
          <t>FNDDS recipe with replaced or modified SR codes</t>
        </is>
      </c>
      <c r="E1493" s="1" t="inlineStr">
        <is>
          <t>Base</t>
        </is>
      </c>
      <c r="F1493" s="1" t="n">
        <v>0.532378</v>
      </c>
    </row>
    <row r="1494" ht="15.75" customHeight="1" s="201">
      <c r="A1494" s="1" t="n">
        <v>27564430</v>
      </c>
      <c r="B1494" s="1" t="inlineStr">
        <is>
          <t>Frankfurter or hot dog sandwich, meatless, plain, on bread (Includes meat substitute; vegetarian; any type of bread; tofu dog)</t>
        </is>
      </c>
      <c r="C1494" s="1" t="n">
        <v>3</v>
      </c>
      <c r="D1494" s="1" t="inlineStr">
        <is>
          <t>Original FNDDS recipe</t>
        </is>
      </c>
      <c r="E1494" s="1" t="inlineStr">
        <is>
          <t>Base</t>
        </is>
      </c>
      <c r="F1494" s="1" t="n">
        <v>1.000939</v>
      </c>
    </row>
    <row r="1495" ht="15.75" customHeight="1" s="201">
      <c r="A1495" s="1" t="n">
        <v>27564440</v>
      </c>
      <c r="B1495" s="1" t="inlineStr">
        <is>
          <t>Frankfurter or hot dog sandwich, with chili, on white bun (Includes chili dog; all meats / poultry; chili with meat; bun, NFS)</t>
        </is>
      </c>
      <c r="C1495" s="1" t="n">
        <v>4</v>
      </c>
      <c r="D1495" s="1" t="inlineStr">
        <is>
          <t>FNDDS recipe with replaced or modified SR codes</t>
        </is>
      </c>
      <c r="E1495" s="1" t="inlineStr">
        <is>
          <t>Base</t>
        </is>
      </c>
      <c r="F1495" s="1" t="n">
        <v>0.500885</v>
      </c>
    </row>
    <row r="1496" ht="15.75" customHeight="1" s="201">
      <c r="A1496" s="1" t="n">
        <v>27564441</v>
      </c>
      <c r="B1496" s="1" t="inlineStr">
        <is>
          <t>Frankfurter or hot dog sandwich, with chili, on wheat bun (Includes chili dog; all meats / poultry; chili with meat)</t>
        </is>
      </c>
      <c r="C1496" s="1" t="n">
        <v>4</v>
      </c>
      <c r="D1496" s="1" t="inlineStr">
        <is>
          <t>FNDDS recipe with replaced or modified SR codes</t>
        </is>
      </c>
      <c r="E1496" s="1" t="inlineStr">
        <is>
          <t>Base</t>
        </is>
      </c>
      <c r="F1496" s="1" t="n">
        <v>0.523805</v>
      </c>
    </row>
    <row r="1497" ht="15.75" customHeight="1" s="201">
      <c r="A1497" s="1" t="n">
        <v>27564442</v>
      </c>
      <c r="B1497" s="1" t="inlineStr">
        <is>
          <t>Frankfurter or hot dog sandwich, with chili, on whole wheat bun (Includes chili dog; all meats / poultry; chili with meat; whole grain bun)</t>
        </is>
      </c>
      <c r="C1497" s="1" t="n">
        <v>4</v>
      </c>
      <c r="D1497" s="1" t="inlineStr">
        <is>
          <t>FNDDS recipe with replaced or modified SR codes</t>
        </is>
      </c>
      <c r="E1497" s="1" t="inlineStr">
        <is>
          <t>Base</t>
        </is>
      </c>
      <c r="F1497" s="1" t="n">
        <v>0.523805</v>
      </c>
    </row>
    <row r="1498" ht="15.75" customHeight="1" s="201">
      <c r="A1498" s="1" t="n">
        <v>27564450</v>
      </c>
      <c r="B1498" s="1" t="inlineStr">
        <is>
          <t>Frankfurter or hot dog sandwich, with chili, on white bread (Includes chili dog; all meats / poultry; chili with meat; other bread such as potato, Italian, and rye)</t>
        </is>
      </c>
      <c r="C1498" s="1" t="n">
        <v>4</v>
      </c>
      <c r="D1498" s="1" t="inlineStr">
        <is>
          <t>FNDDS recipe with replaced or modified SR codes</t>
        </is>
      </c>
      <c r="E1498" s="1" t="inlineStr">
        <is>
          <t>Base</t>
        </is>
      </c>
      <c r="F1498" s="1" t="n">
        <v>0.490565</v>
      </c>
    </row>
    <row r="1499" ht="15.75" customHeight="1" s="201">
      <c r="A1499" s="1" t="n">
        <v>27564460</v>
      </c>
      <c r="B1499" s="1" t="inlineStr">
        <is>
          <t>Frankfurter or hot dog sandwich, with chili, on wheat bread (Includes chili dog; all meats / poultry; chili with meat)</t>
        </is>
      </c>
      <c r="C1499" s="1" t="n">
        <v>4</v>
      </c>
      <c r="D1499" s="1" t="inlineStr">
        <is>
          <t>FNDDS recipe with replaced or modified SR codes</t>
        </is>
      </c>
      <c r="E1499" s="1" t="inlineStr">
        <is>
          <t>Base</t>
        </is>
      </c>
      <c r="F1499" s="1" t="n">
        <v>0.493212</v>
      </c>
    </row>
    <row r="1500" ht="15.75" customHeight="1" s="201">
      <c r="A1500" s="1" t="n">
        <v>27564500</v>
      </c>
      <c r="B1500" s="1" t="inlineStr">
        <is>
          <t>Frankfurter or hot dog sandwich, with meatless chili, on white bun (Includes chili dog; all meats / poultry; vegetarian chili; bun, NFS)</t>
        </is>
      </c>
      <c r="C1500" s="1" t="n">
        <v>4</v>
      </c>
      <c r="D1500" s="1" t="inlineStr">
        <is>
          <t>FNDDS recipe with replaced or modified SR codes</t>
        </is>
      </c>
      <c r="E1500" s="1" t="inlineStr">
        <is>
          <t>Base</t>
        </is>
      </c>
      <c r="F1500" s="1" t="n">
        <v>0.500885</v>
      </c>
    </row>
    <row r="1501" ht="15.75" customHeight="1" s="201">
      <c r="A1501" s="1" t="n">
        <v>27564501</v>
      </c>
      <c r="B1501" s="1" t="inlineStr">
        <is>
          <t>Frankfurter or hot dog sandwich, with meatless chili, on wheat bun (Includes chili dog; all meats / poultry; vegetarian chili)</t>
        </is>
      </c>
      <c r="C1501" s="1" t="n">
        <v>4</v>
      </c>
      <c r="D1501" s="1" t="inlineStr">
        <is>
          <t>FNDDS recipe with replaced or modified SR codes</t>
        </is>
      </c>
      <c r="E1501" s="1" t="inlineStr">
        <is>
          <t>Base</t>
        </is>
      </c>
      <c r="F1501" s="1" t="n">
        <v>0.523805</v>
      </c>
    </row>
    <row r="1502" ht="15.75" customHeight="1" s="201">
      <c r="A1502" s="1" t="n">
        <v>27564510</v>
      </c>
      <c r="B1502" s="1" t="inlineStr">
        <is>
          <t>Frankfurter or hot dog sandwich, with meatless chili, on white bread (Includes chili dog; all meats / poultry; vegetarian chili; other bread such as potato, Italian, and rye)</t>
        </is>
      </c>
      <c r="C1502" s="1" t="n">
        <v>4</v>
      </c>
      <c r="D1502" s="1" t="inlineStr">
        <is>
          <t>FNDDS recipe with replaced or modified SR codes</t>
        </is>
      </c>
      <c r="E1502" s="1" t="inlineStr">
        <is>
          <t>Base</t>
        </is>
      </c>
      <c r="F1502" s="1" t="n">
        <v>0.490565</v>
      </c>
    </row>
    <row r="1503" ht="15.75" customHeight="1" s="201">
      <c r="A1503" s="1" t="n">
        <v>27564520</v>
      </c>
      <c r="B1503" s="1" t="inlineStr">
        <is>
          <t>Frankfurter or hot dog sandwich, with meatless chili, on wheat bread (Includes chili dog; all meats / poultry; vegetarian chili)</t>
        </is>
      </c>
      <c r="C1503" s="1" t="n">
        <v>4</v>
      </c>
      <c r="D1503" s="1" t="inlineStr">
        <is>
          <t>FNDDS recipe with replaced or modified SR codes</t>
        </is>
      </c>
      <c r="E1503" s="1" t="inlineStr">
        <is>
          <t>Base</t>
        </is>
      </c>
      <c r="F1503" s="1" t="n">
        <v>0.493212</v>
      </c>
    </row>
    <row r="1504" ht="15.75" customHeight="1" s="201">
      <c r="A1504" s="1" t="n">
        <v>27642110</v>
      </c>
      <c r="B1504" s="1" t="inlineStr">
        <is>
          <t>Turkey, rice and vegetables, baby food, strained (Includes Gerber Second Foods Turkey Rice Dinner; Beech-Nut Stage 2 Turkey Rice Dinner)</t>
        </is>
      </c>
      <c r="C1504" s="1" t="n">
        <v>1</v>
      </c>
      <c r="D1504" s="1" t="inlineStr">
        <is>
          <t>Links to FNDDS</t>
        </is>
      </c>
      <c r="E1504" s="1" t="inlineStr">
        <is>
          <t>Base</t>
        </is>
      </c>
      <c r="F1504" s="1" t="n">
        <v>0.631852</v>
      </c>
    </row>
    <row r="1505" ht="15.75" customHeight="1" s="201">
      <c r="A1505" s="1" t="n">
        <v>28110220</v>
      </c>
      <c r="B1505" s="1" t="inlineStr">
        <is>
          <t>Sirloin, chopped, with gravy, mashed potatoes, vegetable, frozen meal (Includes Le Menu Chopped Sirloin Beef; Swanson Chopped Sirloin Beef Steak Dinner)</t>
        </is>
      </c>
      <c r="C1505" s="1" t="n">
        <v>1</v>
      </c>
      <c r="D1505" s="1" t="inlineStr">
        <is>
          <t>Links to FNDDS</t>
        </is>
      </c>
      <c r="E1505" s="1" t="inlineStr">
        <is>
          <t>Base</t>
        </is>
      </c>
      <c r="F1505" s="1" t="n">
        <v>0.661451</v>
      </c>
    </row>
    <row r="1506" ht="15.75" customHeight="1" s="201">
      <c r="A1506" s="1" t="n">
        <v>28110250</v>
      </c>
      <c r="B1506" s="1" t="inlineStr">
        <is>
          <t>Sirloin tips, with gravy, potatoes, vegetable, frozen meal (Includes Budget Gourmet Sirloin Tips with Country Style Vegetables)</t>
        </is>
      </c>
      <c r="C1506" s="1" t="n">
        <v>2</v>
      </c>
      <c r="D1506" s="1" t="inlineStr">
        <is>
          <t>Links to altEC</t>
        </is>
      </c>
      <c r="E1506" s="1" t="inlineStr">
        <is>
          <t>Base</t>
        </is>
      </c>
      <c r="F1506" s="1" t="n">
        <v>1.442152</v>
      </c>
    </row>
    <row r="1507" ht="15.75" customHeight="1" s="201">
      <c r="A1507" s="1" t="n">
        <v>28110270</v>
      </c>
      <c r="B1507" s="1" t="inlineStr">
        <is>
          <t>Sirloin beef, with gravy, potatoes, vegetable, frozen meal</t>
        </is>
      </c>
      <c r="C1507" s="1" t="n">
        <v>1</v>
      </c>
      <c r="D1507" s="1" t="inlineStr">
        <is>
          <t>Links to FNDDS</t>
        </is>
      </c>
      <c r="E1507" s="1" t="inlineStr">
        <is>
          <t>Base</t>
        </is>
      </c>
      <c r="F1507" s="1" t="n">
        <v>1.442152</v>
      </c>
    </row>
    <row r="1508" ht="15.75" customHeight="1" s="201">
      <c r="A1508" s="1" t="n">
        <v>28110300</v>
      </c>
      <c r="B1508" s="1" t="inlineStr">
        <is>
          <t>Salisbury steak dinner, NFS, frozen meal</t>
        </is>
      </c>
      <c r="C1508" s="1" t="n">
        <v>2</v>
      </c>
      <c r="D1508" s="1" t="inlineStr">
        <is>
          <t>Links to altEC</t>
        </is>
      </c>
      <c r="E1508" s="1" t="inlineStr">
        <is>
          <t>Base</t>
        </is>
      </c>
      <c r="F1508" s="1" t="n">
        <v>0.559872</v>
      </c>
    </row>
    <row r="1509" ht="15.75" customHeight="1" s="201">
      <c r="A1509" s="1" t="n">
        <v>28110310</v>
      </c>
      <c r="B1509" s="1" t="inlineStr">
        <is>
          <t>Salisbury steak with gravy, potatoes, vegetable, frozen meal (Includes Armour Dinner Classics Salisbury Steak; Kraft Sirloin Salisbury Steak with Gravy)</t>
        </is>
      </c>
      <c r="C1509" s="1" t="n">
        <v>1</v>
      </c>
      <c r="D1509" s="1" t="inlineStr">
        <is>
          <t>Links to FNDDS</t>
        </is>
      </c>
      <c r="E1509" s="1" t="inlineStr">
        <is>
          <t>Base</t>
        </is>
      </c>
      <c r="F1509" s="1" t="n">
        <v>0.634588</v>
      </c>
    </row>
    <row r="1510" ht="15.75" customHeight="1" s="201">
      <c r="A1510" s="1" t="n">
        <v>28110330</v>
      </c>
      <c r="B1510" s="1" t="inlineStr">
        <is>
          <t>Salisbury steak with gravy, whipped potatoes, vegetable, dessert, frozen meal (Includes Swanson Salisbury Steak Dinner; Morton Salisbury Steak Dinner)</t>
        </is>
      </c>
      <c r="C1510" s="1" t="n">
        <v>1</v>
      </c>
      <c r="D1510" s="1" t="inlineStr">
        <is>
          <t>Links to FNDDS</t>
        </is>
      </c>
      <c r="E1510" s="1" t="inlineStr">
        <is>
          <t>Base</t>
        </is>
      </c>
      <c r="F1510" s="1" t="n">
        <v>0.773212</v>
      </c>
    </row>
    <row r="1511" ht="15.75" customHeight="1" s="201">
      <c r="A1511" s="1" t="n">
        <v>28110350</v>
      </c>
      <c r="B1511" s="1" t="inlineStr">
        <is>
          <t>Salisbury steak with gravy, potatoes, vegetable, dessert, frozen meal (Includes Swanson Hungry Man Salisbury Steak Dinner)</t>
        </is>
      </c>
      <c r="C1511" s="1" t="n">
        <v>1</v>
      </c>
      <c r="D1511" s="1" t="inlineStr">
        <is>
          <t>Links to FNDDS</t>
        </is>
      </c>
      <c r="E1511" s="1" t="inlineStr">
        <is>
          <t>Base</t>
        </is>
      </c>
      <c r="F1511" s="1" t="n">
        <v>0.486158</v>
      </c>
    </row>
    <row r="1512" ht="15.75" customHeight="1" s="201">
      <c r="A1512" s="1" t="n">
        <v>28110380</v>
      </c>
      <c r="B1512" s="1" t="inlineStr">
        <is>
          <t>Salisbury steak with gravy, macaroni and cheese, frozen meal (Includes Swanson Salisbury Steak in Gravy with Macaroni and Cheese)</t>
        </is>
      </c>
      <c r="C1512" s="1" t="n">
        <v>1</v>
      </c>
      <c r="D1512" s="1" t="inlineStr">
        <is>
          <t>Links to FNDDS</t>
        </is>
      </c>
      <c r="E1512" s="1" t="inlineStr">
        <is>
          <t>Base</t>
        </is>
      </c>
      <c r="F1512" s="1" t="n">
        <v>0.784788</v>
      </c>
    </row>
    <row r="1513" ht="15.75" customHeight="1" s="201">
      <c r="A1513" s="1" t="n">
        <v>28110390</v>
      </c>
      <c r="B1513" s="1" t="inlineStr">
        <is>
          <t>Salisbury steak, potatoes, vegetable, dessert, diet frozen meal (Includes Healthy Choice Salisbury Steak Dinner)</t>
        </is>
      </c>
      <c r="C1513" s="1" t="n">
        <v>1</v>
      </c>
      <c r="D1513" s="1" t="inlineStr">
        <is>
          <t>Links to FNDDS</t>
        </is>
      </c>
      <c r="E1513" s="1" t="inlineStr">
        <is>
          <t>Base</t>
        </is>
      </c>
      <c r="F1513" s="1" t="n">
        <v>0.8772489999999999</v>
      </c>
    </row>
    <row r="1514" ht="15.75" customHeight="1" s="201">
      <c r="A1514" s="1" t="n">
        <v>28110510</v>
      </c>
      <c r="B1514" s="1" t="inlineStr">
        <is>
          <t>Beef, sliced, with gravy, potatoes, vegetable, frozen meal (Includes Banquet Yankee Pot Roast Meal; Marie Callender's Roast Beef dinner; Michelina's Beef Pot Roast dinner; Swanson Beef Pot Roast dinner; Stouffer's Homestyle Slow Roasted Beef &amp; Gravy dinner; Stouffer's Beef Pot Roast meal; Stouffer's Homestyle Slow Roasted Beef &amp; Gravy dinne)</t>
        </is>
      </c>
      <c r="C1514" s="1" t="n">
        <v>1</v>
      </c>
      <c r="D1514" s="1" t="inlineStr">
        <is>
          <t>Links to FNDDS</t>
        </is>
      </c>
      <c r="E1514" s="1" t="inlineStr">
        <is>
          <t>Base</t>
        </is>
      </c>
      <c r="F1514" s="1" t="n">
        <v>0.76825</v>
      </c>
    </row>
    <row r="1515" ht="15.75" customHeight="1" s="201">
      <c r="A1515" s="1" t="n">
        <v>28110620</v>
      </c>
      <c r="B1515" s="1" t="inlineStr">
        <is>
          <t>Beef short ribs, boneless, with barbecue sauce, potatoes, vegetable, frozen meal (Includes Armour Dinner Classics Boneless Beef Short Ribs)</t>
        </is>
      </c>
      <c r="C1515" s="1" t="n">
        <v>2</v>
      </c>
      <c r="D1515" s="1" t="inlineStr">
        <is>
          <t>Links to altEC</t>
        </is>
      </c>
      <c r="E1515" s="1" t="inlineStr">
        <is>
          <t>Base</t>
        </is>
      </c>
      <c r="F1515" s="1" t="n">
        <v>1.442152</v>
      </c>
    </row>
    <row r="1516" ht="15.75" customHeight="1" s="201">
      <c r="A1516" s="1" t="n">
        <v>28110660</v>
      </c>
      <c r="B1516" s="1" t="inlineStr">
        <is>
          <t>Meatballs, Swedish, in gravy, with noodles, diet frozen meal (Includes Lean Cuisine Swedish Meatballs with Pasta; Weight Watchers Smart Ones; Michelina's Lean Gourmet)</t>
        </is>
      </c>
      <c r="C1516" s="1" t="n">
        <v>1</v>
      </c>
      <c r="D1516" s="1" t="inlineStr">
        <is>
          <t>Links to FNDDS</t>
        </is>
      </c>
      <c r="E1516" s="1" t="inlineStr">
        <is>
          <t>Base</t>
        </is>
      </c>
      <c r="F1516" s="1" t="n">
        <v>0.7890239999999999</v>
      </c>
    </row>
    <row r="1517" ht="15.75" customHeight="1" s="201">
      <c r="A1517" s="1" t="n">
        <v>28140320</v>
      </c>
      <c r="B1517" s="1" t="inlineStr">
        <is>
          <t>Chicken and noodles with vegetable, dessert, frozen meal</t>
        </is>
      </c>
      <c r="C1517" s="1" t="n">
        <v>2</v>
      </c>
      <c r="D1517" s="1" t="inlineStr">
        <is>
          <t>Links to altEC</t>
        </is>
      </c>
      <c r="E1517" s="1" t="inlineStr">
        <is>
          <t>Base</t>
        </is>
      </c>
      <c r="F1517" s="1" t="n">
        <v>0.836255</v>
      </c>
    </row>
    <row r="1518" ht="15.75" customHeight="1" s="201">
      <c r="A1518" s="1" t="n">
        <v>28140710</v>
      </c>
      <c r="B1518" s="1" t="inlineStr">
        <is>
          <t>Chicken, fried, with potatoes, vegetable, frozen meal (Includes Banquet Fried Chicken Dinner)</t>
        </is>
      </c>
      <c r="C1518" s="1" t="n">
        <v>1</v>
      </c>
      <c r="D1518" s="1" t="inlineStr">
        <is>
          <t>Links to FNDDS</t>
        </is>
      </c>
      <c r="E1518" s="1" t="inlineStr">
        <is>
          <t>Base</t>
        </is>
      </c>
      <c r="F1518" s="1" t="n">
        <v>0.560759</v>
      </c>
    </row>
    <row r="1519" ht="15.75" customHeight="1" s="201">
      <c r="A1519" s="1" t="n">
        <v>28140720</v>
      </c>
      <c r="B1519" s="1" t="inlineStr">
        <is>
          <t>Chicken patty, or nuggets, boneless, breaded, potatoes, vegetable, frozen meal (Includes Banquet Select Chicken Nuggets meal)</t>
        </is>
      </c>
      <c r="C1519" s="1" t="n">
        <v>1</v>
      </c>
      <c r="D1519" s="1" t="inlineStr">
        <is>
          <t>Links to FNDDS</t>
        </is>
      </c>
      <c r="E1519" s="1" t="inlineStr">
        <is>
          <t>Base</t>
        </is>
      </c>
      <c r="F1519" s="1" t="n">
        <v>0.868104</v>
      </c>
    </row>
    <row r="1520" ht="15.75" customHeight="1" s="201">
      <c r="A1520" s="1" t="n">
        <v>28140740</v>
      </c>
      <c r="B1520" s="1" t="inlineStr">
        <is>
          <t>Chicken patty or nuggets, boneless, breaded, with pasta and tomato sauce, fruit, dessert, frozen meal (Includes Kid Cuisine Chicken Nuggets Meal)</t>
        </is>
      </c>
      <c r="C1520" s="1" t="n">
        <v>1</v>
      </c>
      <c r="D1520" s="1" t="inlineStr">
        <is>
          <t>Links to FNDDS</t>
        </is>
      </c>
      <c r="E1520" s="1" t="inlineStr">
        <is>
          <t>Base</t>
        </is>
      </c>
      <c r="F1520" s="1" t="n">
        <v>0.955083</v>
      </c>
    </row>
    <row r="1521" ht="15.75" customHeight="1" s="201">
      <c r="A1521" s="1" t="n">
        <v>28140810</v>
      </c>
      <c r="B1521" s="1" t="inlineStr">
        <is>
          <t>Chicken, fried, with potatoes, vegetable, dessert, frozen meal (Includes Swanson Fried Chicken Dinner)</t>
        </is>
      </c>
      <c r="C1521" s="1" t="n">
        <v>1</v>
      </c>
      <c r="D1521" s="1" t="inlineStr">
        <is>
          <t>Links to FNDDS</t>
        </is>
      </c>
      <c r="E1521" s="1" t="inlineStr">
        <is>
          <t>Base</t>
        </is>
      </c>
      <c r="F1521" s="1" t="n">
        <v>0.722541</v>
      </c>
    </row>
    <row r="1522" ht="15.75" customHeight="1" s="201">
      <c r="A1522" s="1" t="n">
        <v>28141010</v>
      </c>
      <c r="B1522" s="1" t="inlineStr">
        <is>
          <t>Chicken, fried, with potatoes, vegetable, dessert, frozen meal, large meat portion (Includes Banquet Hearty Ones; Swanson Hungry Man Boneless White Meat Fried Chicken; Swanson Hungry Man Classic Fried Chicken)</t>
        </is>
      </c>
      <c r="C1522" s="1" t="n">
        <v>1</v>
      </c>
      <c r="D1522" s="1" t="inlineStr">
        <is>
          <t>Links to FNDDS</t>
        </is>
      </c>
      <c r="E1522" s="1" t="inlineStr">
        <is>
          <t>Base</t>
        </is>
      </c>
      <c r="F1522" s="1" t="n">
        <v>0.72544</v>
      </c>
    </row>
    <row r="1523" ht="15.75" customHeight="1" s="201">
      <c r="A1523" s="1" t="n">
        <v>28141201</v>
      </c>
      <c r="B1523" s="1" t="inlineStr">
        <is>
          <t>Teriyaki chicken with rice and vegetable, diet frozen meal (Includes Lean Cuisine Chicken Teriyaki; Weight Watchers Smart Ones Teriyaki Chicken and Vegetable Bowl; Uncle Ben's Rice Bowl Teriyaki Chicken)</t>
        </is>
      </c>
      <c r="C1523" s="1" t="n">
        <v>1</v>
      </c>
      <c r="D1523" s="1" t="inlineStr">
        <is>
          <t>Links to FNDDS</t>
        </is>
      </c>
      <c r="E1523" s="1" t="inlineStr">
        <is>
          <t>Base</t>
        </is>
      </c>
      <c r="F1523" s="1" t="n">
        <v>0.934728</v>
      </c>
    </row>
    <row r="1524" ht="15.75" customHeight="1" s="201">
      <c r="A1524" s="1" t="n">
        <v>28141250</v>
      </c>
      <c r="B1524" s="1" t="inlineStr">
        <is>
          <t>Chicken with rice and vegetable, diet frozen meal (Includes Lean Cuisine Glazed Chicken with Vegetable Rice)</t>
        </is>
      </c>
      <c r="C1524" s="1" t="n">
        <v>1</v>
      </c>
      <c r="D1524" s="1" t="inlineStr">
        <is>
          <t>Links to FNDDS</t>
        </is>
      </c>
      <c r="E1524" s="1" t="inlineStr">
        <is>
          <t>Base</t>
        </is>
      </c>
      <c r="F1524" s="1" t="n">
        <v>1.131485</v>
      </c>
    </row>
    <row r="1525" ht="15.75" customHeight="1" s="201">
      <c r="A1525" s="1" t="n">
        <v>28141650</v>
      </c>
      <c r="B1525" s="1" t="inlineStr">
        <is>
          <t>Chicken and vegetables au gratin with rice, diet frozen entree (Includes Budget Gourmet Chicken au Gratin)</t>
        </is>
      </c>
      <c r="C1525" s="1" t="n">
        <v>2</v>
      </c>
      <c r="D1525" s="1" t="inlineStr">
        <is>
          <t>Links to altEC</t>
        </is>
      </c>
      <c r="E1525" s="1" t="inlineStr">
        <is>
          <t>Base</t>
        </is>
      </c>
      <c r="F1525" s="1" t="n">
        <v>1.02641</v>
      </c>
    </row>
    <row r="1526" ht="15.75" customHeight="1" s="201">
      <c r="A1526" s="1" t="n">
        <v>28143020</v>
      </c>
      <c r="B1526" s="1" t="inlineStr">
        <is>
          <t>Chicken and vegetable entree with rice, diet frozen meal (Includes Weight Watchers; Lean Cuisine; Asian)</t>
        </is>
      </c>
      <c r="C1526" s="1" t="n">
        <v>1</v>
      </c>
      <c r="D1526" s="1" t="inlineStr">
        <is>
          <t>Links to FNDDS</t>
        </is>
      </c>
      <c r="E1526" s="1" t="inlineStr">
        <is>
          <t>Base</t>
        </is>
      </c>
      <c r="F1526" s="1" t="n">
        <v>1.113893</v>
      </c>
    </row>
    <row r="1527" ht="15.75" customHeight="1" s="201">
      <c r="A1527" s="1" t="n">
        <v>28143080</v>
      </c>
      <c r="B1527" s="1" t="inlineStr">
        <is>
          <t>Chicken with noodles and cheese sauce, diet frozen meal (Includes Healthy Choice Chicken Fettucini Alfredo; Weight Watchers' Smart Ones Chicken Fettucini; Lean Cuisine Chicken Fettucini)</t>
        </is>
      </c>
      <c r="C1527" s="1" t="n">
        <v>1</v>
      </c>
      <c r="D1527" s="1" t="inlineStr">
        <is>
          <t>Links to FNDDS</t>
        </is>
      </c>
      <c r="E1527" s="1" t="inlineStr">
        <is>
          <t>Base</t>
        </is>
      </c>
      <c r="F1527" s="1" t="n">
        <v>0.905572</v>
      </c>
    </row>
    <row r="1528" ht="15.75" customHeight="1" s="201">
      <c r="A1528" s="1" t="n">
        <v>28143130</v>
      </c>
      <c r="B1528" s="1" t="inlineStr">
        <is>
          <t>Chicken and vegetable entree with noodles, frozen meal (Includes Banquet Gourmet Chicken Cacciatore and Vermicelli)</t>
        </is>
      </c>
      <c r="C1528" s="1" t="n">
        <v>1</v>
      </c>
      <c r="D1528" s="1" t="inlineStr">
        <is>
          <t>Links to FNDDS</t>
        </is>
      </c>
      <c r="E1528" s="1" t="inlineStr">
        <is>
          <t>Base</t>
        </is>
      </c>
      <c r="F1528" s="1" t="n">
        <v>0.773311</v>
      </c>
    </row>
    <row r="1529" ht="15.75" customHeight="1" s="201">
      <c r="A1529" s="1" t="n">
        <v>28143150</v>
      </c>
      <c r="B1529" s="1" t="inlineStr">
        <is>
          <t>Chicken and vegetable entree with noodles, diet frozen meal (Includes Lean Cuisine Chicken and Vegetables with Vermicelli; Jenny's Cuisine Chicken Golden Gate)</t>
        </is>
      </c>
      <c r="C1529" s="1" t="n">
        <v>1</v>
      </c>
      <c r="D1529" s="1" t="inlineStr">
        <is>
          <t>Links to FNDDS</t>
        </is>
      </c>
      <c r="E1529" s="1" t="inlineStr">
        <is>
          <t>Base</t>
        </is>
      </c>
      <c r="F1529" s="1" t="n">
        <v>1.038788</v>
      </c>
    </row>
    <row r="1530" ht="15.75" customHeight="1" s="201">
      <c r="A1530" s="1" t="n">
        <v>28143170</v>
      </c>
      <c r="B1530" s="1" t="inlineStr">
        <is>
          <t>Chicken in cream sauce with noodles and vegetable, frozen meal (Includes Budget Gourmet Chicken Fricassee Dinner)</t>
        </is>
      </c>
      <c r="C1530" s="1" t="n">
        <v>1</v>
      </c>
      <c r="D1530" s="1" t="inlineStr">
        <is>
          <t>Links to FNDDS</t>
        </is>
      </c>
      <c r="E1530" s="1" t="inlineStr">
        <is>
          <t>Base</t>
        </is>
      </c>
      <c r="F1530" s="1" t="n">
        <v>0.743094</v>
      </c>
    </row>
    <row r="1531" ht="15.75" customHeight="1" s="201">
      <c r="A1531" s="1" t="n">
        <v>28145100</v>
      </c>
      <c r="B1531" s="1" t="inlineStr">
        <is>
          <t>Turkey with gravy, dressing, vegetable and fruit, diet frozen meal (Includes Healthy Choice Breast of Turkey Dinner)</t>
        </is>
      </c>
      <c r="C1531" s="1" t="n">
        <v>1</v>
      </c>
      <c r="D1531" s="1" t="inlineStr">
        <is>
          <t>Links to FNDDS</t>
        </is>
      </c>
      <c r="E1531" s="1" t="inlineStr">
        <is>
          <t>Base</t>
        </is>
      </c>
      <c r="F1531" s="1" t="n">
        <v>1.007015</v>
      </c>
    </row>
    <row r="1532" ht="15.75" customHeight="1" s="201">
      <c r="A1532" s="1" t="n">
        <v>28145110</v>
      </c>
      <c r="B1532" s="1" t="inlineStr">
        <is>
          <t>Turkey with vegetable, stuffing, diet frozen meal (Includes Weight Watchers Sliced Breast of Turkey; Healthy Choice Classics Sliced Turkey Breast with Gravy and Dressing)</t>
        </is>
      </c>
      <c r="C1532" s="1" t="n">
        <v>1</v>
      </c>
      <c r="D1532" s="1" t="inlineStr">
        <is>
          <t>Links to FNDDS</t>
        </is>
      </c>
      <c r="E1532" s="1" t="inlineStr">
        <is>
          <t>Base</t>
        </is>
      </c>
      <c r="F1532" s="1" t="n">
        <v>1.076854</v>
      </c>
    </row>
    <row r="1533" ht="15.75" customHeight="1" s="201">
      <c r="A1533" s="1" t="n">
        <v>28145210</v>
      </c>
      <c r="B1533" s="1" t="inlineStr">
        <is>
          <t>Turkey with gravy, dressing, potatoes, vegetable, frozen meal (Includes Banquet Value Turkey (Mostly White Meat) Meal; Swanson Turkey Breast Dinner)</t>
        </is>
      </c>
      <c r="C1533" s="1" t="n">
        <v>1</v>
      </c>
      <c r="D1533" s="1" t="inlineStr">
        <is>
          <t>Links to FNDDS</t>
        </is>
      </c>
      <c r="E1533" s="1" t="inlineStr">
        <is>
          <t>Base</t>
        </is>
      </c>
      <c r="F1533" s="1" t="n">
        <v>0.734229</v>
      </c>
    </row>
    <row r="1534" ht="15.75" customHeight="1" s="201">
      <c r="A1534" s="1" t="n">
        <v>28150510</v>
      </c>
      <c r="B1534" s="1" t="inlineStr">
        <is>
          <t>Fish in lemon-butter sauce with starch item, vegetable, frozen meal</t>
        </is>
      </c>
      <c r="C1534" s="1" t="n">
        <v>1</v>
      </c>
      <c r="D1534" s="1" t="inlineStr">
        <is>
          <t>Links to FNDDS</t>
        </is>
      </c>
      <c r="E1534" s="1" t="inlineStr">
        <is>
          <t>Base</t>
        </is>
      </c>
      <c r="F1534" s="1" t="n">
        <v>1.171119</v>
      </c>
    </row>
    <row r="1535" ht="15.75" customHeight="1" s="201">
      <c r="A1535" s="1" t="n">
        <v>28153010</v>
      </c>
      <c r="B1535" s="1" t="inlineStr">
        <is>
          <t>Shrimp and clams in tomato-based sauce, with noodles, frozen meal (Includes Budget Gourmet Linguini with Shrimp and Clams Marinara)</t>
        </is>
      </c>
      <c r="C1535" s="1" t="n">
        <v>2</v>
      </c>
      <c r="D1535" s="1" t="inlineStr">
        <is>
          <t>Links to altEC</t>
        </is>
      </c>
      <c r="E1535" s="1" t="inlineStr">
        <is>
          <t>Base</t>
        </is>
      </c>
      <c r="F1535" s="1" t="n">
        <v>1.08085</v>
      </c>
    </row>
    <row r="1536" ht="15.75" customHeight="1" s="201">
      <c r="A1536" s="1" t="n">
        <v>28154010</v>
      </c>
      <c r="B1536" s="1" t="inlineStr">
        <is>
          <t>Shrimp and vegetables in sauce with noodles, diet frozen meal (Includes Mrs. Paul's Shrimp Primavera with Fettucini Pasta)</t>
        </is>
      </c>
      <c r="C1536" s="1" t="n">
        <v>1</v>
      </c>
      <c r="D1536" s="1" t="inlineStr">
        <is>
          <t>Links to FNDDS</t>
        </is>
      </c>
      <c r="E1536" s="1" t="inlineStr">
        <is>
          <t>Base</t>
        </is>
      </c>
      <c r="F1536" s="1" t="n">
        <v>1.025706</v>
      </c>
    </row>
    <row r="1537" ht="15.75" customHeight="1" s="201">
      <c r="A1537" s="1" t="n">
        <v>28160310</v>
      </c>
      <c r="B1537" s="1" t="inlineStr">
        <is>
          <t>Meat loaf with potatoes, vegetable, frozen meal (Includes meatloaf with tomato or other sauce; meatloaf with gravy, any kind; Banquet Meat Loaf Meal; Marie Callender's Meat Loaf Dinner; Stouffer's Home Style Meatloaf with Potatoes)</t>
        </is>
      </c>
      <c r="C1537" s="1" t="n">
        <v>1</v>
      </c>
      <c r="D1537" s="1" t="inlineStr">
        <is>
          <t>Links to FNDDS</t>
        </is>
      </c>
      <c r="E1537" s="1" t="inlineStr">
        <is>
          <t>Base</t>
        </is>
      </c>
      <c r="F1537" s="1" t="n">
        <v>0.7409</v>
      </c>
    </row>
    <row r="1538" ht="15.75" customHeight="1" s="201">
      <c r="A1538" s="1" t="n">
        <v>28310150</v>
      </c>
      <c r="B1538" s="1" t="inlineStr">
        <is>
          <t>Oxtail soup</t>
        </is>
      </c>
      <c r="C1538" s="1" t="n">
        <v>4</v>
      </c>
      <c r="D1538" s="1" t="inlineStr">
        <is>
          <t>FNDDS recipe with replaced or modified SR codes</t>
        </is>
      </c>
      <c r="E1538" s="1" t="inlineStr">
        <is>
          <t>Base</t>
        </is>
      </c>
      <c r="F1538" s="1" t="n">
        <v>0.586962</v>
      </c>
    </row>
    <row r="1539" ht="15.75" customHeight="1" s="201">
      <c r="A1539" s="1" t="n">
        <v>28310160</v>
      </c>
      <c r="B1539" s="1" t="inlineStr">
        <is>
          <t>Beef broth, with tomato, home recipe</t>
        </is>
      </c>
      <c r="C1539" s="1" t="n">
        <v>4</v>
      </c>
      <c r="D1539" s="1" t="inlineStr">
        <is>
          <t>FNDDS recipe with replaced or modified SR codes</t>
        </is>
      </c>
      <c r="E1539" s="1" t="inlineStr">
        <is>
          <t>Base</t>
        </is>
      </c>
      <c r="F1539" s="1" t="n">
        <v>0.464177</v>
      </c>
    </row>
    <row r="1540" ht="15.75" customHeight="1" s="201">
      <c r="A1540" s="1" t="n">
        <v>28310170</v>
      </c>
      <c r="B1540" s="1" t="inlineStr">
        <is>
          <t>Beef broth, without tomato, home recipe</t>
        </is>
      </c>
      <c r="C1540" s="1" t="n">
        <v>2</v>
      </c>
      <c r="D1540" s="1" t="inlineStr">
        <is>
          <t>Links to altEC</t>
        </is>
      </c>
      <c r="E1540" s="1" t="inlineStr">
        <is>
          <t>Base</t>
        </is>
      </c>
      <c r="F1540" s="1" t="n">
        <v>0.255004</v>
      </c>
    </row>
    <row r="1541" ht="15.75" customHeight="1" s="201">
      <c r="A1541" s="1" t="n">
        <v>28310330</v>
      </c>
      <c r="B1541" s="1" t="inlineStr">
        <is>
          <t>Pho (Includes beef; chicken; Pho Bo; Pho Ga; Vietnamese; Meat and rice noodle soup)</t>
        </is>
      </c>
      <c r="C1541" s="1" t="n">
        <v>4</v>
      </c>
      <c r="D1541" s="1" t="inlineStr">
        <is>
          <t>FNDDS recipe with replaced or modified SR codes</t>
        </is>
      </c>
      <c r="E1541" s="1" t="inlineStr">
        <is>
          <t>Base</t>
        </is>
      </c>
      <c r="F1541" s="1" t="n">
        <v>0.581336</v>
      </c>
    </row>
    <row r="1542" ht="15.75" customHeight="1" s="201">
      <c r="A1542" s="1" t="n">
        <v>28311010</v>
      </c>
      <c r="B1542" s="1" t="inlineStr">
        <is>
          <t>Pepperpot soup (Includes tripe soup)</t>
        </is>
      </c>
      <c r="C1542" s="1" t="n">
        <v>2</v>
      </c>
      <c r="D1542" s="1" t="inlineStr">
        <is>
          <t>Links to altEC</t>
        </is>
      </c>
      <c r="E1542" s="1" t="inlineStr">
        <is>
          <t>Base</t>
        </is>
      </c>
      <c r="F1542" s="1" t="n">
        <v>0.240373</v>
      </c>
    </row>
    <row r="1543" ht="15.75" customHeight="1" s="201">
      <c r="A1543" s="1" t="n">
        <v>28311020</v>
      </c>
      <c r="B1543" s="1" t="inlineStr">
        <is>
          <t>Menudo soup, home recipe</t>
        </is>
      </c>
      <c r="C1543" s="1" t="n">
        <v>4</v>
      </c>
      <c r="D1543" s="1" t="inlineStr">
        <is>
          <t>FNDDS recipe with replaced or modified SR codes</t>
        </is>
      </c>
      <c r="E1543" s="1" t="inlineStr">
        <is>
          <t>Base</t>
        </is>
      </c>
      <c r="F1543" s="1" t="n">
        <v>0.44357</v>
      </c>
    </row>
    <row r="1544" ht="15.75" customHeight="1" s="201">
      <c r="A1544" s="1" t="n">
        <v>28311030</v>
      </c>
      <c r="B1544" s="1" t="inlineStr">
        <is>
          <t>Menudo soup, canned, prepared with water or ready-to-serve</t>
        </is>
      </c>
      <c r="C1544" s="1" t="n">
        <v>1</v>
      </c>
      <c r="D1544" s="1" t="inlineStr">
        <is>
          <t>Links to FNDDS</t>
        </is>
      </c>
      <c r="E1544" s="1" t="inlineStr">
        <is>
          <t>Base</t>
        </is>
      </c>
      <c r="F1544" s="1" t="n">
        <v>0.394992</v>
      </c>
    </row>
    <row r="1545" ht="15.75" customHeight="1" s="201">
      <c r="A1545" s="1" t="n">
        <v>28315050</v>
      </c>
      <c r="B1545" s="1" t="inlineStr">
        <is>
          <t>Beef vegetable soup with potato, pasta, or rice, chunky style, canned, or ready-to-serve (Includes Campbell's Chunky beef and vegetable soups)</t>
        </is>
      </c>
      <c r="C1545" s="1" t="n">
        <v>1</v>
      </c>
      <c r="D1545" s="1" t="inlineStr">
        <is>
          <t>Links to FNDDS</t>
        </is>
      </c>
      <c r="E1545" s="1" t="inlineStr">
        <is>
          <t>Base</t>
        </is>
      </c>
      <c r="F1545" s="1" t="n">
        <v>0.338339</v>
      </c>
    </row>
    <row r="1546" ht="15.75" customHeight="1" s="201">
      <c r="A1546" s="1" t="n">
        <v>28315140</v>
      </c>
      <c r="B1546" s="1" t="inlineStr">
        <is>
          <t>Beef vegetable soup, home recipe, Mexican style (Includes Cocido de Res; Sopa or Caldo de Res)</t>
        </is>
      </c>
      <c r="C1546" s="1" t="n">
        <v>2</v>
      </c>
      <c r="D1546" s="1" t="inlineStr">
        <is>
          <t>Links to altEC</t>
        </is>
      </c>
      <c r="E1546" s="1" t="inlineStr">
        <is>
          <t>Base</t>
        </is>
      </c>
      <c r="F1546" s="1" t="n">
        <v>0.313778</v>
      </c>
    </row>
    <row r="1547" ht="15.75" customHeight="1" s="201">
      <c r="A1547" s="1" t="n">
        <v>28315150</v>
      </c>
      <c r="B1547" s="1" t="inlineStr">
        <is>
          <t>Meat and corn hominy soup, home recipe, Mexican style (Includes made with pork and beef; Pozole)</t>
        </is>
      </c>
      <c r="C1547" s="1" t="n">
        <v>1</v>
      </c>
      <c r="D1547" s="1" t="inlineStr">
        <is>
          <t>Links to FNDDS</t>
        </is>
      </c>
      <c r="E1547" s="1" t="inlineStr">
        <is>
          <t>Base</t>
        </is>
      </c>
      <c r="F1547" s="1" t="n">
        <v>0.409966</v>
      </c>
    </row>
    <row r="1548" ht="15.75" customHeight="1" s="201">
      <c r="A1548" s="1" t="n">
        <v>28315160</v>
      </c>
      <c r="B1548" s="1" t="inlineStr">
        <is>
          <t>Italian Wedding Soup (Includes canned, ready-to-serve; home recipe)</t>
        </is>
      </c>
      <c r="C1548" s="1" t="n">
        <v>1</v>
      </c>
      <c r="D1548" s="1" t="inlineStr">
        <is>
          <t>Links to FNDDS</t>
        </is>
      </c>
      <c r="E1548" s="1" t="inlineStr">
        <is>
          <t>Base</t>
        </is>
      </c>
      <c r="F1548" s="1" t="n">
        <v>0.363665</v>
      </c>
    </row>
    <row r="1549" ht="15.75" customHeight="1" s="201">
      <c r="A1549" s="1" t="n">
        <v>28317010</v>
      </c>
      <c r="B1549" s="1" t="inlineStr">
        <is>
          <t>Beef stroganoff soup, chunky style, home recipe, canned or ready-to-serve (Includes creamed beef soup)</t>
        </is>
      </c>
      <c r="C1549" s="1" t="n">
        <v>1</v>
      </c>
      <c r="D1549" s="1" t="inlineStr">
        <is>
          <t>Links to FNDDS</t>
        </is>
      </c>
      <c r="E1549" s="1" t="inlineStr">
        <is>
          <t>Base</t>
        </is>
      </c>
      <c r="F1549" s="1" t="n">
        <v>0.661038</v>
      </c>
    </row>
    <row r="1550" ht="15.75" customHeight="1" s="201">
      <c r="A1550" s="1" t="n">
        <v>28320140</v>
      </c>
      <c r="B1550" s="1" t="inlineStr">
        <is>
          <t>Ham, noodle, and vegetable soup, Puerto Rican style (Includes Sopa de jamon, fideos y vegetales)</t>
        </is>
      </c>
      <c r="C1550" s="1" t="n">
        <v>4</v>
      </c>
      <c r="D1550" s="1" t="inlineStr">
        <is>
          <t>FNDDS recipe with replaced or modified SR codes</t>
        </is>
      </c>
      <c r="E1550" s="1" t="inlineStr">
        <is>
          <t>Base</t>
        </is>
      </c>
      <c r="F1550" s="1" t="n">
        <v>0.352409</v>
      </c>
    </row>
    <row r="1551" ht="15.75" customHeight="1" s="201">
      <c r="A1551" s="1" t="n">
        <v>28320300</v>
      </c>
      <c r="B1551" s="1" t="inlineStr">
        <is>
          <t>Pork with vegetable excluding carrots, broccoli and/or dark-green leafy; soup, Asian Style (Includes Pork Ribs and Bamboo Shoot Soup)</t>
        </is>
      </c>
      <c r="C1551" s="1" t="n">
        <v>4</v>
      </c>
      <c r="D1551" s="1" t="inlineStr">
        <is>
          <t>FNDDS recipe with replaced or modified SR codes</t>
        </is>
      </c>
      <c r="E1551" s="1" t="inlineStr">
        <is>
          <t>Base</t>
        </is>
      </c>
      <c r="F1551" s="1" t="n">
        <v>0.56002</v>
      </c>
    </row>
    <row r="1552" ht="15.75" customHeight="1" s="201">
      <c r="A1552" s="1" t="n">
        <v>28340110</v>
      </c>
      <c r="B1552" s="1" t="inlineStr">
        <is>
          <t>Chicken or turkey broth, bouillon, or consomme (Includes chicken broth powder, reconstituted; canned or ready-to-serve)</t>
        </is>
      </c>
      <c r="C1552" s="1" t="n">
        <v>2</v>
      </c>
      <c r="D1552" s="1" t="inlineStr">
        <is>
          <t>Links to altEC</t>
        </is>
      </c>
      <c r="E1552" s="1" t="inlineStr">
        <is>
          <t>Base</t>
        </is>
      </c>
      <c r="F1552" s="1" t="n">
        <v>0.151265</v>
      </c>
    </row>
    <row r="1553" ht="15.75" customHeight="1" s="201">
      <c r="A1553" s="1" t="n">
        <v>28340120</v>
      </c>
      <c r="B1553" s="1" t="inlineStr">
        <is>
          <t>Chicken or turkey broth, without tomato, home recipe</t>
        </is>
      </c>
      <c r="C1553" s="1" t="n">
        <v>2</v>
      </c>
      <c r="D1553" s="1" t="inlineStr">
        <is>
          <t>Links to altEC</t>
        </is>
      </c>
      <c r="E1553" s="1" t="inlineStr">
        <is>
          <t>Base</t>
        </is>
      </c>
      <c r="F1553" s="1" t="n">
        <v>0.152148</v>
      </c>
    </row>
    <row r="1554" ht="15.75" customHeight="1" s="201">
      <c r="A1554" s="1" t="n">
        <v>28340150</v>
      </c>
      <c r="B1554" s="1" t="inlineStr">
        <is>
          <t>Mexican style chicken broth soup stock (Includes chicken broth stock with vegetables, without chicken or rice, for Caldo de Pollo)</t>
        </is>
      </c>
      <c r="C1554" s="1" t="n">
        <v>4</v>
      </c>
      <c r="D1554" s="1" t="inlineStr">
        <is>
          <t>FNDDS recipe with replaced or modified SR codes</t>
        </is>
      </c>
      <c r="E1554" s="1" t="inlineStr">
        <is>
          <t>Base</t>
        </is>
      </c>
      <c r="F1554" s="1" t="n">
        <v>0.297125</v>
      </c>
    </row>
    <row r="1555" ht="15.75" customHeight="1" s="201">
      <c r="A1555" s="1" t="n">
        <v>28340180</v>
      </c>
      <c r="B1555" s="1" t="inlineStr">
        <is>
          <t>Chicken or turkey broth, less or reduced sodium, canned or ready-to-serve (Includes chicken or turkey bouillon or consomme; lower sodium)</t>
        </is>
      </c>
      <c r="C1555" s="1" t="n">
        <v>2</v>
      </c>
      <c r="D1555" s="1" t="inlineStr">
        <is>
          <t>Links to altEC</t>
        </is>
      </c>
      <c r="E1555" s="1" t="inlineStr">
        <is>
          <t>Base</t>
        </is>
      </c>
      <c r="F1555" s="1" t="n">
        <v>0.242034</v>
      </c>
    </row>
    <row r="1556" ht="15.75" customHeight="1" s="201">
      <c r="A1556" s="1" t="n">
        <v>28340210</v>
      </c>
      <c r="B1556" s="1" t="inlineStr">
        <is>
          <t>Chicken rice soup, Puerto Rican style (Includes Asopao de pollo; Sopa de pollo con arroz)</t>
        </is>
      </c>
      <c r="C1556" s="1" t="n">
        <v>4</v>
      </c>
      <c r="D1556" s="1" t="inlineStr">
        <is>
          <t>FNDDS recipe with replaced or modified SR codes</t>
        </is>
      </c>
      <c r="E1556" s="1" t="inlineStr">
        <is>
          <t>Base</t>
        </is>
      </c>
      <c r="F1556" s="1" t="n">
        <v>0.292546</v>
      </c>
    </row>
    <row r="1557" ht="15.75" customHeight="1" s="201">
      <c r="A1557" s="1" t="n">
        <v>28340220</v>
      </c>
      <c r="B1557" s="1" t="inlineStr">
        <is>
          <t>Chicken soup with noodles and potatoes, Puerto Rican style (Includes Sopa de pollo con fideos y arroz)</t>
        </is>
      </c>
      <c r="C1557" s="1" t="n">
        <v>4</v>
      </c>
      <c r="D1557" s="1" t="inlineStr">
        <is>
          <t>FNDDS recipe with replaced or modified SR codes</t>
        </is>
      </c>
      <c r="E1557" s="1" t="inlineStr">
        <is>
          <t>Base</t>
        </is>
      </c>
      <c r="F1557" s="1" t="n">
        <v>0.277047</v>
      </c>
    </row>
    <row r="1558" ht="15.75" customHeight="1" s="201">
      <c r="A1558" s="1" t="n">
        <v>28340310</v>
      </c>
      <c r="B1558" s="1" t="inlineStr">
        <is>
          <t>Chicken or turkey gumbo soup, home recipe, canned or ready-to-serve</t>
        </is>
      </c>
      <c r="C1558" s="1" t="n">
        <v>1</v>
      </c>
      <c r="D1558" s="1" t="inlineStr">
        <is>
          <t>Links to FNDDS</t>
        </is>
      </c>
      <c r="E1558" s="1" t="inlineStr">
        <is>
          <t>Base</t>
        </is>
      </c>
      <c r="F1558" s="1" t="n">
        <v>0.328179</v>
      </c>
    </row>
    <row r="1559" ht="15.75" customHeight="1" s="201">
      <c r="A1559" s="1" t="n">
        <v>28340550</v>
      </c>
      <c r="B1559" s="1" t="inlineStr">
        <is>
          <t>Sweet and sour soup</t>
        </is>
      </c>
      <c r="C1559" s="1" t="n">
        <v>4</v>
      </c>
      <c r="D1559" s="1" t="inlineStr">
        <is>
          <t>FNDDS recipe with replaced or modified SR codes</t>
        </is>
      </c>
      <c r="E1559" s="1" t="inlineStr">
        <is>
          <t>Base</t>
        </is>
      </c>
      <c r="F1559" s="1" t="n">
        <v>1.077808</v>
      </c>
    </row>
    <row r="1560" ht="15.75" customHeight="1" s="201">
      <c r="A1560" s="1" t="n">
        <v>28340580</v>
      </c>
      <c r="B1560" s="1" t="inlineStr">
        <is>
          <t>Chicken or turkey soup with vegetables, broccoli, carrots, celery, potatoes and onions, Asian style (Includes Chinese Chicken Soup)</t>
        </is>
      </c>
      <c r="C1560" s="1" t="n">
        <v>4</v>
      </c>
      <c r="D1560" s="1" t="inlineStr">
        <is>
          <t>FNDDS recipe with replaced or modified SR codes</t>
        </is>
      </c>
      <c r="E1560" s="1" t="inlineStr">
        <is>
          <t>Base</t>
        </is>
      </c>
      <c r="F1560" s="1" t="n">
        <v>0.37518</v>
      </c>
    </row>
    <row r="1561" ht="15.75" customHeight="1" s="201">
      <c r="A1561" s="1" t="n">
        <v>28340590</v>
      </c>
      <c r="B1561" s="1" t="inlineStr">
        <is>
          <t>Chicken or turkey corn soup with noodles, home recipe (Includes Pennsylvania Dutch style)</t>
        </is>
      </c>
      <c r="C1561" s="1" t="n">
        <v>4</v>
      </c>
      <c r="D1561" s="1" t="inlineStr">
        <is>
          <t>FNDDS recipe with replaced or modified SR codes</t>
        </is>
      </c>
      <c r="E1561" s="1" t="inlineStr">
        <is>
          <t>Base</t>
        </is>
      </c>
      <c r="F1561" s="1" t="n">
        <v>0.294972</v>
      </c>
    </row>
    <row r="1562" ht="15.75" customHeight="1" s="201">
      <c r="A1562" s="1" t="n">
        <v>28340600</v>
      </c>
      <c r="B1562" s="1" t="inlineStr">
        <is>
          <t>Chicken or turkey vegetable soup, canned, prepared with water or ready-to-serve</t>
        </is>
      </c>
      <c r="C1562" s="1" t="n">
        <v>1</v>
      </c>
      <c r="D1562" s="1" t="inlineStr">
        <is>
          <t>Links to FNDDS</t>
        </is>
      </c>
      <c r="E1562" s="1" t="inlineStr">
        <is>
          <t>Base</t>
        </is>
      </c>
      <c r="F1562" s="1" t="n">
        <v>0.341698</v>
      </c>
    </row>
    <row r="1563" ht="15.75" customHeight="1" s="201">
      <c r="A1563" s="1" t="n">
        <v>28340630</v>
      </c>
      <c r="B1563" s="1" t="inlineStr">
        <is>
          <t>Chicken or turkey vegetable soup with rice, stew type, chunky style (Includes Campbell's Chunky Chicken Rice; turkey vegetable soup with rice)</t>
        </is>
      </c>
      <c r="C1563" s="1" t="n">
        <v>1</v>
      </c>
      <c r="D1563" s="1" t="inlineStr">
        <is>
          <t>Links to FNDDS</t>
        </is>
      </c>
      <c r="E1563" s="1" t="inlineStr">
        <is>
          <t>Base</t>
        </is>
      </c>
      <c r="F1563" s="1" t="n">
        <v>0.373945</v>
      </c>
    </row>
    <row r="1564" ht="15.75" customHeight="1" s="201">
      <c r="A1564" s="1" t="n">
        <v>28340640</v>
      </c>
      <c r="B1564" s="1" t="inlineStr">
        <is>
          <t>Chicken or turkey vegetable soup with noodles, stew type, chunky style, canned or ready-to-serve</t>
        </is>
      </c>
      <c r="C1564" s="1" t="n">
        <v>1</v>
      </c>
      <c r="D1564" s="1" t="inlineStr">
        <is>
          <t>Links to FNDDS</t>
        </is>
      </c>
      <c r="E1564" s="1" t="inlineStr">
        <is>
          <t>Base</t>
        </is>
      </c>
      <c r="F1564" s="1" t="n">
        <v>0.327509</v>
      </c>
    </row>
    <row r="1565" ht="15.75" customHeight="1" s="201">
      <c r="A1565" s="1" t="n">
        <v>28340660</v>
      </c>
      <c r="B1565" s="1" t="inlineStr">
        <is>
          <t>Chicken or turkey vegetable soup, home recipe</t>
        </is>
      </c>
      <c r="C1565" s="1" t="n">
        <v>2</v>
      </c>
      <c r="D1565" s="1" t="inlineStr">
        <is>
          <t>Links to altEC</t>
        </is>
      </c>
      <c r="E1565" s="1" t="inlineStr">
        <is>
          <t>Base</t>
        </is>
      </c>
      <c r="F1565" s="1" t="n">
        <v>0.356386</v>
      </c>
    </row>
    <row r="1566" ht="15.75" customHeight="1" s="201">
      <c r="A1566" s="1" t="n">
        <v>28340670</v>
      </c>
      <c r="B1566" s="1" t="inlineStr">
        <is>
          <t>Chicken or turkey vegetable soup with rice, home recipe, Mexican style (Includes Sopa or Caldo de Pollo with rice, potato or NFS; with or without noodles)</t>
        </is>
      </c>
      <c r="C1566" s="1" t="n">
        <v>2</v>
      </c>
      <c r="D1566" s="1" t="inlineStr">
        <is>
          <t>Links to altEC</t>
        </is>
      </c>
      <c r="E1566" s="1" t="inlineStr">
        <is>
          <t>Base</t>
        </is>
      </c>
      <c r="F1566" s="1" t="n">
        <v>0.390556</v>
      </c>
    </row>
    <row r="1567" ht="15.75" customHeight="1" s="201">
      <c r="A1567" s="1" t="n">
        <v>28340680</v>
      </c>
      <c r="B1567" s="1" t="inlineStr">
        <is>
          <t>Chicken or turkey and corn hominy soup,  home recipe, Mexican style (Includes Pozole de pollo; Pozole)</t>
        </is>
      </c>
      <c r="C1567" s="1" t="n">
        <v>4</v>
      </c>
      <c r="D1567" s="1" t="inlineStr">
        <is>
          <t>FNDDS recipe with replaced or modified SR codes</t>
        </is>
      </c>
      <c r="E1567" s="1" t="inlineStr">
        <is>
          <t>Base</t>
        </is>
      </c>
      <c r="F1567" s="1" t="n">
        <v>0.31777</v>
      </c>
    </row>
    <row r="1568" ht="15.75" customHeight="1" s="201">
      <c r="A1568" s="1" t="n">
        <v>28340690</v>
      </c>
      <c r="B1568" s="1" t="inlineStr">
        <is>
          <t>Chicken or turkey vegetable soup with potato and cheese, chunky style, canned or ready-to-serve (Includes Campbell's Chunky Chicken, Broccoli, Cheese, and Potato Soup)</t>
        </is>
      </c>
      <c r="C1568" s="1" t="n">
        <v>2</v>
      </c>
      <c r="D1568" s="1" t="inlineStr">
        <is>
          <t>Links to altEC</t>
        </is>
      </c>
      <c r="E1568" s="1" t="inlineStr">
        <is>
          <t>Base</t>
        </is>
      </c>
      <c r="F1568" s="1" t="n">
        <v>0.364259</v>
      </c>
    </row>
    <row r="1569" ht="15.75" customHeight="1" s="201">
      <c r="A1569" s="1" t="n">
        <v>28340700</v>
      </c>
      <c r="B1569" s="1" t="inlineStr">
        <is>
          <t>Bird's nest soup (Includes chicken, ham, and noodles)</t>
        </is>
      </c>
      <c r="C1569" s="1" t="n">
        <v>4</v>
      </c>
      <c r="D1569" s="1" t="inlineStr">
        <is>
          <t>FNDDS recipe with replaced or modified SR codes</t>
        </is>
      </c>
      <c r="E1569" s="1" t="inlineStr">
        <is>
          <t>Base</t>
        </is>
      </c>
      <c r="F1569" s="1" t="n">
        <v>0.415255</v>
      </c>
    </row>
    <row r="1570" ht="15.75" customHeight="1" s="201">
      <c r="A1570" s="1" t="n">
        <v>28340750</v>
      </c>
      <c r="B1570" s="1" t="inlineStr">
        <is>
          <t>Hot and sour soup (Includes hot and spicy Chinese soup)</t>
        </is>
      </c>
      <c r="C1570" s="1" t="n">
        <v>2</v>
      </c>
      <c r="D1570" s="1" t="inlineStr">
        <is>
          <t>Links to altEC</t>
        </is>
      </c>
      <c r="E1570" s="1" t="inlineStr">
        <is>
          <t>Base</t>
        </is>
      </c>
      <c r="F1570" s="1" t="n">
        <v>0.617147</v>
      </c>
    </row>
    <row r="1571" ht="15.75" customHeight="1" s="201">
      <c r="A1571" s="1" t="n">
        <v>28340800</v>
      </c>
      <c r="B1571" s="1" t="inlineStr">
        <is>
          <t>Chicken or turkey soup with vegetables and fruit, Asian Style (Includes Chicken Somlaw; Vietnamese Sweet and Sour Soup)</t>
        </is>
      </c>
      <c r="C1571" s="1" t="n">
        <v>4</v>
      </c>
      <c r="D1571" s="1" t="inlineStr">
        <is>
          <t>FNDDS recipe with replaced or modified SR codes</t>
        </is>
      </c>
      <c r="E1571" s="1" t="inlineStr">
        <is>
          <t>Base</t>
        </is>
      </c>
      <c r="F1571" s="1" t="n">
        <v>0.410212</v>
      </c>
    </row>
    <row r="1572" ht="15.75" customHeight="1" s="201">
      <c r="A1572" s="1" t="n">
        <v>28345110</v>
      </c>
      <c r="B1572" s="1" t="inlineStr">
        <is>
          <t>Chicken or turkey soup, cream of, NS as to prepared with milk or water (Includes from home recipe or canned)</t>
        </is>
      </c>
      <c r="C1572" s="1" t="n">
        <v>1</v>
      </c>
      <c r="D1572" s="1" t="inlineStr">
        <is>
          <t>Links to FNDDS</t>
        </is>
      </c>
      <c r="E1572" s="1" t="inlineStr">
        <is>
          <t>Base</t>
        </is>
      </c>
      <c r="F1572" s="1" t="n">
        <v>0.342756</v>
      </c>
    </row>
    <row r="1573" ht="15.75" customHeight="1" s="201">
      <c r="A1573" s="1" t="n">
        <v>28345160</v>
      </c>
      <c r="B1573" s="1" t="inlineStr">
        <is>
          <t>Chicken or turkey mushroom soup, cream of, prepared with milk (Includes from home recipe or canned)</t>
        </is>
      </c>
      <c r="C1573" s="1" t="n">
        <v>4</v>
      </c>
      <c r="D1573" s="1" t="inlineStr">
        <is>
          <t>FNDDS recipe with replaced or modified SR codes</t>
        </is>
      </c>
      <c r="E1573" s="1" t="inlineStr">
        <is>
          <t>Base</t>
        </is>
      </c>
      <c r="F1573" s="1" t="n">
        <v>0.303127</v>
      </c>
    </row>
    <row r="1574" ht="15.75" customHeight="1" s="201">
      <c r="A1574" s="1" t="n">
        <v>28350040</v>
      </c>
      <c r="B1574" s="1" t="inlineStr">
        <is>
          <t>Fish stock, home recipe</t>
        </is>
      </c>
      <c r="C1574" s="1" t="n">
        <v>2</v>
      </c>
      <c r="D1574" s="1" t="inlineStr">
        <is>
          <t>Links to altEC</t>
        </is>
      </c>
      <c r="E1574" s="1" t="inlineStr">
        <is>
          <t>Base</t>
        </is>
      </c>
      <c r="F1574" s="1" t="n">
        <v>0.311812</v>
      </c>
    </row>
    <row r="1575" ht="15.75" customHeight="1" s="201">
      <c r="A1575" s="1" t="n">
        <v>28350050</v>
      </c>
      <c r="B1575" s="1" t="inlineStr">
        <is>
          <t>Fish chowder (Includes fisherman's soup; seafood chowder)</t>
        </is>
      </c>
      <c r="C1575" s="1" t="n">
        <v>1</v>
      </c>
      <c r="D1575" s="1" t="inlineStr">
        <is>
          <t>Links to FNDDS</t>
        </is>
      </c>
      <c r="E1575" s="1" t="inlineStr">
        <is>
          <t>Base</t>
        </is>
      </c>
      <c r="F1575" s="1" t="n">
        <v>1.272874</v>
      </c>
    </row>
    <row r="1576" ht="15.75" customHeight="1" s="201">
      <c r="A1576" s="1" t="n">
        <v>28350220</v>
      </c>
      <c r="B1576" s="1" t="inlineStr">
        <is>
          <t>Clam chowder, Manhattan (Includes chunky style)</t>
        </is>
      </c>
      <c r="C1576" s="1" t="n">
        <v>1</v>
      </c>
      <c r="D1576" s="1" t="inlineStr">
        <is>
          <t>Links to FNDDS</t>
        </is>
      </c>
      <c r="E1576" s="1" t="inlineStr">
        <is>
          <t>Base</t>
        </is>
      </c>
      <c r="F1576" s="1" t="n">
        <v>0.330166</v>
      </c>
    </row>
    <row r="1577" ht="15.75" customHeight="1" s="201">
      <c r="A1577" s="1" t="n">
        <v>28351110</v>
      </c>
      <c r="B1577" s="1" t="inlineStr">
        <is>
          <t>Fish and vegetable soup, no potatoes, Mexican style (Includes fish soup with tomatoes; Sopa de pescado y mariscos)</t>
        </is>
      </c>
      <c r="C1577" s="1" t="n">
        <v>4</v>
      </c>
      <c r="D1577" s="1" t="inlineStr">
        <is>
          <t>FNDDS recipe with replaced or modified SR codes</t>
        </is>
      </c>
      <c r="E1577" s="1" t="inlineStr">
        <is>
          <t>Base</t>
        </is>
      </c>
      <c r="F1577" s="1" t="n">
        <v>0.683748</v>
      </c>
    </row>
    <row r="1578" ht="15.75" customHeight="1" s="201">
      <c r="A1578" s="1" t="n">
        <v>28355110</v>
      </c>
      <c r="B1578" s="1" t="inlineStr">
        <is>
          <t>Clam chowder, New England, NS as to prepared with water or milk (Includes home recipe, canned, or ready-to-serve)</t>
        </is>
      </c>
      <c r="C1578" s="1" t="n">
        <v>2</v>
      </c>
      <c r="D1578" s="1" t="inlineStr">
        <is>
          <t>Links to altEC</t>
        </is>
      </c>
      <c r="E1578" s="1" t="inlineStr">
        <is>
          <t>Base</t>
        </is>
      </c>
      <c r="F1578" s="1" t="n">
        <v>0.357519</v>
      </c>
    </row>
    <row r="1579" ht="15.75" customHeight="1" s="201">
      <c r="A1579" s="1" t="n">
        <v>28355210</v>
      </c>
      <c r="B1579" s="1" t="inlineStr">
        <is>
          <t>Crab soup, cream of, prepared with milk (Includes crab bisque; seafood bisque)</t>
        </is>
      </c>
      <c r="C1579" s="1" t="n">
        <v>1</v>
      </c>
      <c r="D1579" s="1" t="inlineStr">
        <is>
          <t>Links to FNDDS</t>
        </is>
      </c>
      <c r="E1579" s="1" t="inlineStr">
        <is>
          <t>Base</t>
        </is>
      </c>
      <c r="F1579" s="1" t="n">
        <v>0.793848</v>
      </c>
    </row>
    <row r="1580" ht="15.75" customHeight="1" s="201">
      <c r="A1580" s="1" t="n">
        <v>28355250</v>
      </c>
      <c r="B1580" s="1" t="inlineStr">
        <is>
          <t>Lobster bisque</t>
        </is>
      </c>
      <c r="C1580" s="1" t="n">
        <v>1</v>
      </c>
      <c r="D1580" s="1" t="inlineStr">
        <is>
          <t>Links to FNDDS</t>
        </is>
      </c>
      <c r="E1580" s="1" t="inlineStr">
        <is>
          <t>Base</t>
        </is>
      </c>
      <c r="F1580" s="1" t="n">
        <v>0.99028</v>
      </c>
    </row>
    <row r="1581" ht="15.75" customHeight="1" s="201">
      <c r="A1581" s="1" t="n">
        <v>28355260</v>
      </c>
      <c r="B1581" s="1" t="inlineStr">
        <is>
          <t>Lobster gumbo</t>
        </is>
      </c>
      <c r="C1581" s="1" t="n">
        <v>4</v>
      </c>
      <c r="D1581" s="1" t="inlineStr">
        <is>
          <t>FNDDS recipe with replaced or modified SR codes</t>
        </is>
      </c>
      <c r="E1581" s="1" t="inlineStr">
        <is>
          <t>Base</t>
        </is>
      </c>
      <c r="F1581" s="1" t="n">
        <v>1.483529</v>
      </c>
    </row>
    <row r="1582" ht="15.75" customHeight="1" s="201">
      <c r="A1582" s="1" t="n">
        <v>28355410</v>
      </c>
      <c r="B1582" s="1" t="inlineStr">
        <is>
          <t>Shrimp soup, cream of, NS as to prepared with milk or water (Includes shrimp chowder)</t>
        </is>
      </c>
      <c r="C1582" s="1" t="n">
        <v>1</v>
      </c>
      <c r="D1582" s="1" t="inlineStr">
        <is>
          <t>Links to FNDDS</t>
        </is>
      </c>
      <c r="E1582" s="1" t="inlineStr">
        <is>
          <t>Base</t>
        </is>
      </c>
      <c r="F1582" s="1" t="n">
        <v>0.495446</v>
      </c>
    </row>
    <row r="1583" ht="15.75" customHeight="1" s="201">
      <c r="A1583" s="1" t="n">
        <v>28355430</v>
      </c>
      <c r="B1583" s="1" t="inlineStr">
        <is>
          <t>Shrimp soup, cream of, prepared with water</t>
        </is>
      </c>
      <c r="C1583" s="1" t="n">
        <v>2</v>
      </c>
      <c r="D1583" s="1" t="inlineStr">
        <is>
          <t>Links to altEC</t>
        </is>
      </c>
      <c r="E1583" s="1" t="inlineStr">
        <is>
          <t>Base</t>
        </is>
      </c>
      <c r="F1583" s="1" t="n">
        <v>0.495446</v>
      </c>
    </row>
    <row r="1584" ht="15.75" customHeight="1" s="201">
      <c r="A1584" s="1" t="n">
        <v>28355440</v>
      </c>
      <c r="B1584" s="1" t="inlineStr">
        <is>
          <t>Shrimp gumbo</t>
        </is>
      </c>
      <c r="C1584" s="1" t="n">
        <v>4</v>
      </c>
      <c r="D1584" s="1" t="inlineStr">
        <is>
          <t>FNDDS recipe with replaced or modified SR codes</t>
        </is>
      </c>
      <c r="E1584" s="1" t="inlineStr">
        <is>
          <t>Base</t>
        </is>
      </c>
      <c r="F1584" s="1" t="n">
        <v>0.9911799999999999</v>
      </c>
    </row>
    <row r="1585" ht="15.75" customHeight="1" s="201">
      <c r="A1585" s="1" t="n">
        <v>28355450</v>
      </c>
      <c r="B1585" s="1" t="inlineStr">
        <is>
          <t>Seafood soup with potatoes and vegetables including carrots, broccoli, and/or dark-green leafy (Includes soup made with fish and/or shellfish)</t>
        </is>
      </c>
      <c r="C1585" s="1" t="n">
        <v>4</v>
      </c>
      <c r="D1585" s="1" t="inlineStr">
        <is>
          <t>FNDDS recipe with replaced or modified SR codes</t>
        </is>
      </c>
      <c r="E1585" s="1" t="inlineStr">
        <is>
          <t>Base</t>
        </is>
      </c>
      <c r="F1585" s="1" t="n">
        <v>0.6074349999999999</v>
      </c>
    </row>
    <row r="1586" ht="15.75" customHeight="1" s="201">
      <c r="A1586" s="1" t="n">
        <v>28355470</v>
      </c>
      <c r="B1586" s="1" t="inlineStr">
        <is>
          <t>Seafood soup with vegetables including carrots, broccoli, and/or dark-green leafy; no potatoes (Includes soup made with fish and/or shellfish)</t>
        </is>
      </c>
      <c r="C1586" s="1" t="n">
        <v>2</v>
      </c>
      <c r="D1586" s="1" t="inlineStr">
        <is>
          <t>Links to altEC</t>
        </is>
      </c>
      <c r="E1586" s="1" t="inlineStr">
        <is>
          <t>Base</t>
        </is>
      </c>
      <c r="F1586" s="1" t="n">
        <v>0.357519</v>
      </c>
    </row>
    <row r="1587" ht="15.75" customHeight="1" s="201">
      <c r="A1587" s="1" t="n">
        <v>28355480</v>
      </c>
      <c r="B1587" s="1" t="inlineStr">
        <is>
          <t>Seafood soup with vegetables excluding carrots, broccoli, and dark-green leafy; no potatoes (Includes soup made with fish and/or shellfish)</t>
        </is>
      </c>
      <c r="C1587" s="1" t="n">
        <v>4</v>
      </c>
      <c r="D1587" s="1" t="inlineStr">
        <is>
          <t>FNDDS recipe with replaced or modified SR codes</t>
        </is>
      </c>
      <c r="E1587" s="1" t="inlineStr">
        <is>
          <t>Base</t>
        </is>
      </c>
      <c r="F1587" s="1" t="n">
        <v>0.637078</v>
      </c>
    </row>
    <row r="1588" ht="15.75" customHeight="1" s="201">
      <c r="A1588" s="1" t="n">
        <v>28500000</v>
      </c>
      <c r="B1588" s="1" t="inlineStr">
        <is>
          <t>Gravy, poultry (Includes chicken; turkey; giblet)</t>
        </is>
      </c>
      <c r="C1588" s="1" t="n">
        <v>1</v>
      </c>
      <c r="D1588" s="1" t="inlineStr">
        <is>
          <t>Links to FNDDS</t>
        </is>
      </c>
      <c r="E1588" s="1" t="inlineStr">
        <is>
          <t>Base</t>
        </is>
      </c>
      <c r="F1588" s="1" t="n">
        <v>0.460749</v>
      </c>
    </row>
    <row r="1589" ht="15.75" customHeight="1" s="201">
      <c r="A1589" s="1" t="n">
        <v>28500040</v>
      </c>
      <c r="B1589" s="1" t="inlineStr">
        <is>
          <t>Gravy, beef (Includes brown; meat; mushroom)</t>
        </is>
      </c>
      <c r="C1589" s="1" t="n">
        <v>1</v>
      </c>
      <c r="D1589" s="1" t="inlineStr">
        <is>
          <t>Links to FNDDS</t>
        </is>
      </c>
      <c r="E1589" s="1" t="inlineStr">
        <is>
          <t>Base</t>
        </is>
      </c>
      <c r="F1589" s="1" t="n">
        <v>0.505809</v>
      </c>
    </row>
    <row r="1590" ht="15.75" customHeight="1" s="201">
      <c r="A1590" s="1" t="n">
        <v>28501010</v>
      </c>
      <c r="B1590" s="1" t="inlineStr">
        <is>
          <t>Gravy, beef, fat free (Includes brown; meat; mushroom; reduced fat or sodium)</t>
        </is>
      </c>
      <c r="C1590" s="1" t="n">
        <v>2</v>
      </c>
      <c r="D1590" s="1" t="inlineStr">
        <is>
          <t>Links to altEC</t>
        </is>
      </c>
      <c r="E1590" s="1" t="inlineStr">
        <is>
          <t>Base</t>
        </is>
      </c>
      <c r="F1590" s="1" t="n">
        <v>0.505809</v>
      </c>
    </row>
    <row r="1591" ht="15.75" customHeight="1" s="201">
      <c r="A1591" s="1" t="n">
        <v>28501110</v>
      </c>
      <c r="B1591" s="1" t="inlineStr">
        <is>
          <t>Gravy, poultry, fat free (Includes turkey; chicken; giblet; reduced fat or sodium)</t>
        </is>
      </c>
      <c r="C1591" s="1" t="n">
        <v>2</v>
      </c>
      <c r="D1591" s="1" t="inlineStr">
        <is>
          <t>Links to altEC</t>
        </is>
      </c>
      <c r="E1591" s="1" t="inlineStr">
        <is>
          <t>Base</t>
        </is>
      </c>
      <c r="F1591" s="1" t="n">
        <v>0.460749</v>
      </c>
    </row>
    <row r="1592" ht="15.75" customHeight="1" s="201">
      <c r="A1592" s="1" t="n">
        <v>28520000</v>
      </c>
      <c r="B1592" s="1" t="inlineStr">
        <is>
          <t>Gravy, made with soy sauce (Includes Chinese sauce; brown sauce)</t>
        </is>
      </c>
      <c r="C1592" s="1" t="n">
        <v>2</v>
      </c>
      <c r="D1592" s="1" t="inlineStr">
        <is>
          <t>Links to altEC</t>
        </is>
      </c>
      <c r="E1592" s="1" t="inlineStr">
        <is>
          <t>Base</t>
        </is>
      </c>
      <c r="F1592" s="1" t="n">
        <v>0.40242</v>
      </c>
    </row>
    <row r="1593" ht="15.75" customHeight="1" s="201">
      <c r="A1593" s="1" t="n">
        <v>28520010</v>
      </c>
      <c r="B1593" s="1" t="inlineStr">
        <is>
          <t>Gravy, NFS</t>
        </is>
      </c>
      <c r="C1593" s="1" t="n">
        <v>2</v>
      </c>
      <c r="D1593" s="1" t="inlineStr">
        <is>
          <t>Links to altEC</t>
        </is>
      </c>
      <c r="E1593" s="1" t="inlineStr">
        <is>
          <t>Base</t>
        </is>
      </c>
      <c r="F1593" s="1" t="n">
        <v>0.453762</v>
      </c>
    </row>
    <row r="1594" ht="15.75" customHeight="1" s="201">
      <c r="A1594" s="1" t="n">
        <v>28520100</v>
      </c>
      <c r="B1594" s="1" t="inlineStr">
        <is>
          <t>Oyster sauce</t>
        </is>
      </c>
      <c r="C1594" s="1" t="n">
        <v>1</v>
      </c>
      <c r="D1594" s="1" t="inlineStr">
        <is>
          <t>Links to FNDDS</t>
        </is>
      </c>
      <c r="E1594" s="1" t="inlineStr">
        <is>
          <t>Base</t>
        </is>
      </c>
      <c r="F1594" s="1" t="n">
        <v>0.868327</v>
      </c>
    </row>
    <row r="1595" ht="15.75" customHeight="1" s="201">
      <c r="A1595" s="1" t="n">
        <v>28522000</v>
      </c>
      <c r="B1595" s="1" t="inlineStr">
        <is>
          <t>Mole sauce (Includes mole, NFS; poblano; rojo; verde)</t>
        </is>
      </c>
      <c r="C1595" s="1" t="n">
        <v>1</v>
      </c>
      <c r="D1595" s="1" t="inlineStr">
        <is>
          <t>Links to FNDDS</t>
        </is>
      </c>
      <c r="E1595" s="1" t="inlineStr">
        <is>
          <t>Base</t>
        </is>
      </c>
      <c r="F1595" s="1" t="n">
        <v>0.68831</v>
      </c>
    </row>
    <row r="1596" ht="15.75" customHeight="1" s="201">
      <c r="A1596" s="1" t="n">
        <v>31102000</v>
      </c>
      <c r="B1596" s="1" t="inlineStr">
        <is>
          <t>Egg, whole, cooked, NS as to cooking method</t>
        </is>
      </c>
      <c r="C1596" s="1" t="n">
        <v>4</v>
      </c>
      <c r="D1596" s="1" t="inlineStr">
        <is>
          <t>FNDDS recipe with replaced or modified SR codes</t>
        </is>
      </c>
      <c r="E1596" s="1" t="inlineStr">
        <is>
          <t>Base</t>
        </is>
      </c>
      <c r="F1596" s="1" t="n">
        <v>0.416484</v>
      </c>
    </row>
    <row r="1597" ht="15.75" customHeight="1" s="201">
      <c r="A1597" s="1" t="n">
        <v>31103010</v>
      </c>
      <c r="B1597" s="1" t="inlineStr">
        <is>
          <t>Egg, whole, boiled or poached (Includes soft boiled or hard boiled egg; egg, cooked, no fat or milk added)</t>
        </is>
      </c>
      <c r="C1597" s="1" t="n">
        <v>2</v>
      </c>
      <c r="D1597" s="1" t="inlineStr">
        <is>
          <t>Links to altEC</t>
        </is>
      </c>
      <c r="E1597" s="1" t="inlineStr">
        <is>
          <t>Base</t>
        </is>
      </c>
      <c r="F1597" s="1" t="n">
        <v>0.45241</v>
      </c>
    </row>
    <row r="1598" ht="15.75" customHeight="1" s="201">
      <c r="A1598" s="1" t="n">
        <v>31105005</v>
      </c>
      <c r="B1598" s="1" t="inlineStr">
        <is>
          <t>Egg, whole, fried, NS as to fat (Includes over easy, medium, or hard; sunny side up)</t>
        </is>
      </c>
      <c r="C1598" s="1" t="n">
        <v>4</v>
      </c>
      <c r="D1598" s="1" t="inlineStr">
        <is>
          <t>FNDDS recipe with replaced or modified SR codes</t>
        </is>
      </c>
      <c r="E1598" s="1" t="inlineStr">
        <is>
          <t>Base</t>
        </is>
      </c>
      <c r="F1598" s="1" t="n">
        <v>0.403279</v>
      </c>
    </row>
    <row r="1599" ht="15.75" customHeight="1" s="201">
      <c r="A1599" s="1" t="n">
        <v>31105010</v>
      </c>
      <c r="B1599" s="1" t="inlineStr">
        <is>
          <t>Egg, whole, fried no added fat (Includes scrambled egg, no milk or fat added; over easy, medium, or hard; sunny side up)</t>
        </is>
      </c>
      <c r="C1599" s="1" t="n">
        <v>3</v>
      </c>
      <c r="D1599" s="1" t="inlineStr">
        <is>
          <t>Original FNDDS recipe</t>
        </is>
      </c>
      <c r="E1599" s="1" t="inlineStr">
        <is>
          <t>Base</t>
        </is>
      </c>
      <c r="F1599" s="1" t="n">
        <v>0.396952</v>
      </c>
    </row>
    <row r="1600" ht="15.75" customHeight="1" s="201">
      <c r="A1600" s="1" t="n">
        <v>31105020</v>
      </c>
      <c r="B1600" s="1" t="inlineStr">
        <is>
          <t>Egg, whole, fried with margarine (Includes made with shortening; over easy, medium, or hard; sunny side up)</t>
        </is>
      </c>
      <c r="C1600" s="1" t="n">
        <v>4</v>
      </c>
      <c r="D1600" s="1" t="inlineStr">
        <is>
          <t>FNDDS recipe with replaced or modified SR codes</t>
        </is>
      </c>
      <c r="E1600" s="1" t="inlineStr">
        <is>
          <t>Base</t>
        </is>
      </c>
      <c r="F1600" s="1" t="n">
        <v>0.395168</v>
      </c>
    </row>
    <row r="1601" ht="15.75" customHeight="1" s="201">
      <c r="A1601" s="1" t="n">
        <v>31105030</v>
      </c>
      <c r="B1601" s="1" t="inlineStr">
        <is>
          <t>Egg, whole, fried with oil (Includes over easy, medium, or hard; sunny side up)</t>
        </is>
      </c>
      <c r="C1601" s="1" t="n">
        <v>4</v>
      </c>
      <c r="D1601" s="1" t="inlineStr">
        <is>
          <t>FNDDS recipe with replaced or modified SR codes</t>
        </is>
      </c>
      <c r="E1601" s="1" t="inlineStr">
        <is>
          <t>Base</t>
        </is>
      </c>
      <c r="F1601" s="1" t="n">
        <v>0.398344</v>
      </c>
    </row>
    <row r="1602" ht="15.75" customHeight="1" s="201">
      <c r="A1602" s="1" t="n">
        <v>31105040</v>
      </c>
      <c r="B1602" s="1" t="inlineStr">
        <is>
          <t>Egg, whole, fried with butter (Includes over easy, medium, or hard; sunny side up)</t>
        </is>
      </c>
      <c r="C1602" s="1" t="n">
        <v>4</v>
      </c>
      <c r="D1602" s="1" t="inlineStr">
        <is>
          <t>FNDDS recipe with replaced or modified SR codes</t>
        </is>
      </c>
      <c r="E1602" s="1" t="inlineStr">
        <is>
          <t>Base</t>
        </is>
      </c>
      <c r="F1602" s="1" t="n">
        <v>0.427724</v>
      </c>
    </row>
    <row r="1603" ht="15.75" customHeight="1" s="201">
      <c r="A1603" s="1" t="n">
        <v>31105060</v>
      </c>
      <c r="B1603" s="1" t="inlineStr">
        <is>
          <t>Egg, whole, fried with animal fat or meat drippings (Includes over easy, medium, or hard; sunny side up)</t>
        </is>
      </c>
      <c r="C1603" s="1" t="n">
        <v>3</v>
      </c>
      <c r="D1603" s="1" t="inlineStr">
        <is>
          <t>Original FNDDS recipe</t>
        </is>
      </c>
      <c r="E1603" s="1" t="inlineStr">
        <is>
          <t>Base</t>
        </is>
      </c>
      <c r="F1603" s="1" t="n">
        <v>0.428006</v>
      </c>
    </row>
    <row r="1604" ht="15.75" customHeight="1" s="201">
      <c r="A1604" s="1" t="n">
        <v>31105080</v>
      </c>
      <c r="B1604" s="1" t="inlineStr">
        <is>
          <t>Egg, whole, fried with cooking spray (Includes fried with nonstick spray; over easy, medium, or hard; sunny side up)</t>
        </is>
      </c>
      <c r="C1604" s="1" t="n">
        <v>3</v>
      </c>
      <c r="D1604" s="1" t="inlineStr">
        <is>
          <t>Original FNDDS recipe</t>
        </is>
      </c>
      <c r="E1604" s="1" t="inlineStr">
        <is>
          <t>Base</t>
        </is>
      </c>
      <c r="F1604" s="1" t="n">
        <v>0.409201</v>
      </c>
    </row>
    <row r="1605" ht="15.75" customHeight="1" s="201">
      <c r="A1605" s="1" t="n">
        <v>31105085</v>
      </c>
      <c r="B1605" s="1" t="inlineStr">
        <is>
          <t>Egg, whole, fried, NS as to fat type (Includes over easy, medium, or hard; sunny side up)</t>
        </is>
      </c>
      <c r="C1605" s="1" t="n">
        <v>4</v>
      </c>
      <c r="D1605" s="1" t="inlineStr">
        <is>
          <t>FNDDS recipe with replaced or modified SR codes</t>
        </is>
      </c>
      <c r="E1605" s="1" t="inlineStr">
        <is>
          <t>Base</t>
        </is>
      </c>
      <c r="F1605" s="1" t="n">
        <v>0.403279</v>
      </c>
    </row>
    <row r="1606" ht="15.75" customHeight="1" s="201">
      <c r="A1606" s="1" t="n">
        <v>31105090</v>
      </c>
      <c r="B1606" s="1" t="inlineStr">
        <is>
          <t>Egg, whole, fried, from fast food / restaurant (Includes over easy, medium, or hard; sunny side up; other place)</t>
        </is>
      </c>
      <c r="C1606" s="1" t="n">
        <v>2</v>
      </c>
      <c r="D1606" s="1" t="inlineStr">
        <is>
          <t>Links to altEC</t>
        </is>
      </c>
      <c r="E1606" s="1" t="inlineStr">
        <is>
          <t>Base</t>
        </is>
      </c>
      <c r="F1606" s="1" t="n">
        <v>1.245531</v>
      </c>
    </row>
    <row r="1607" ht="15.75" customHeight="1" s="201">
      <c r="A1607" s="1" t="n">
        <v>31106000</v>
      </c>
      <c r="B1607" s="1" t="inlineStr">
        <is>
          <t>Egg, whole, baked, NS as to fat</t>
        </is>
      </c>
      <c r="C1607" s="1" t="n">
        <v>4</v>
      </c>
      <c r="D1607" s="1" t="inlineStr">
        <is>
          <t>FNDDS recipe with replaced or modified SR codes</t>
        </is>
      </c>
      <c r="E1607" s="1" t="inlineStr">
        <is>
          <t>Base</t>
        </is>
      </c>
      <c r="F1607" s="1" t="n">
        <v>0.403279</v>
      </c>
    </row>
    <row r="1608" ht="15.75" customHeight="1" s="201">
      <c r="A1608" s="1" t="n">
        <v>31106020</v>
      </c>
      <c r="B1608" s="1" t="inlineStr">
        <is>
          <t>Egg, whole, baked, fat added (Includes nonstick or cooking spray)</t>
        </is>
      </c>
      <c r="C1608" s="1" t="n">
        <v>4</v>
      </c>
      <c r="D1608" s="1" t="inlineStr">
        <is>
          <t>FNDDS recipe with replaced or modified SR codes</t>
        </is>
      </c>
      <c r="E1608" s="1" t="inlineStr">
        <is>
          <t>Base</t>
        </is>
      </c>
      <c r="F1608" s="1" t="n">
        <v>0.403279</v>
      </c>
    </row>
    <row r="1609" ht="15.75" customHeight="1" s="201">
      <c r="A1609" s="1" t="n">
        <v>31108010</v>
      </c>
      <c r="B1609" s="1" t="inlineStr">
        <is>
          <t>Egg, white only, raw</t>
        </is>
      </c>
      <c r="C1609" s="1" t="n">
        <v>2</v>
      </c>
      <c r="D1609" s="1" t="inlineStr">
        <is>
          <t>Links to altEC</t>
        </is>
      </c>
      <c r="E1609" s="1" t="inlineStr">
        <is>
          <t>Base</t>
        </is>
      </c>
      <c r="F1609" s="1" t="n">
        <v>0.397392</v>
      </c>
    </row>
    <row r="1610" ht="15.75" customHeight="1" s="201">
      <c r="A1610" s="1" t="n">
        <v>31108100</v>
      </c>
      <c r="B1610" s="1" t="inlineStr">
        <is>
          <t>Egg, white, cooked, NS as to fat (Includes boiled; poached; baked; NS as to cooking method)</t>
        </is>
      </c>
      <c r="C1610" s="1" t="n">
        <v>4</v>
      </c>
      <c r="D1610" s="1" t="inlineStr">
        <is>
          <t>FNDDS recipe with replaced or modified SR codes</t>
        </is>
      </c>
      <c r="E1610" s="1" t="inlineStr">
        <is>
          <t>Base</t>
        </is>
      </c>
      <c r="F1610" s="1" t="n">
        <v>0.403279</v>
      </c>
    </row>
    <row r="1611" ht="15.75" customHeight="1" s="201">
      <c r="A1611" s="1" t="n">
        <v>31108120</v>
      </c>
      <c r="B1611" s="1" t="inlineStr">
        <is>
          <t>Egg, white, cooked, fat added (Includes boiled; poached; baked; NS as to cooking method)</t>
        </is>
      </c>
      <c r="C1611" s="1" t="n">
        <v>4</v>
      </c>
      <c r="D1611" s="1" t="inlineStr">
        <is>
          <t>FNDDS recipe with replaced or modified SR codes</t>
        </is>
      </c>
      <c r="E1611" s="1" t="inlineStr">
        <is>
          <t>Base</t>
        </is>
      </c>
      <c r="F1611" s="1" t="n">
        <v>0.403279</v>
      </c>
    </row>
    <row r="1612" ht="15.75" customHeight="1" s="201">
      <c r="A1612" s="1" t="n">
        <v>31110010</v>
      </c>
      <c r="B1612" s="1" t="inlineStr">
        <is>
          <t>Egg, yolk only, raw</t>
        </is>
      </c>
      <c r="C1612" s="1" t="n">
        <v>2</v>
      </c>
      <c r="D1612" s="1" t="inlineStr">
        <is>
          <t>Links to altEC</t>
        </is>
      </c>
      <c r="E1612" s="1" t="inlineStr">
        <is>
          <t>Base</t>
        </is>
      </c>
      <c r="F1612" s="1" t="n">
        <v>0.397392</v>
      </c>
    </row>
    <row r="1613" ht="15.75" customHeight="1" s="201">
      <c r="A1613" s="1" t="n">
        <v>31111000</v>
      </c>
      <c r="B1613" s="1" t="inlineStr">
        <is>
          <t>Egg, yolk only, cooked, NS as to fat</t>
        </is>
      </c>
      <c r="C1613" s="1" t="n">
        <v>4</v>
      </c>
      <c r="D1613" s="1" t="inlineStr">
        <is>
          <t>FNDDS recipe with replaced or modified SR codes</t>
        </is>
      </c>
      <c r="E1613" s="1" t="inlineStr">
        <is>
          <t>Base</t>
        </is>
      </c>
      <c r="F1613" s="1" t="n">
        <v>0.403279</v>
      </c>
    </row>
    <row r="1614" ht="15.75" customHeight="1" s="201">
      <c r="A1614" s="1" t="n">
        <v>32101500</v>
      </c>
      <c r="B1614" s="1" t="inlineStr">
        <is>
          <t>Egg, Benedict</t>
        </is>
      </c>
      <c r="C1614" s="1" t="n">
        <v>4</v>
      </c>
      <c r="D1614" s="1" t="inlineStr">
        <is>
          <t>FNDDS recipe with replaced or modified SR codes</t>
        </is>
      </c>
      <c r="E1614" s="1" t="inlineStr">
        <is>
          <t>Base</t>
        </is>
      </c>
      <c r="F1614" s="1" t="n">
        <v>1.340132</v>
      </c>
    </row>
    <row r="1615" ht="15.75" customHeight="1" s="201">
      <c r="A1615" s="1" t="n">
        <v>32102000</v>
      </c>
      <c r="B1615" s="1" t="inlineStr">
        <is>
          <t>Egg, deviled</t>
        </is>
      </c>
      <c r="C1615" s="1" t="n">
        <v>4</v>
      </c>
      <c r="D1615" s="1" t="inlineStr">
        <is>
          <t>FNDDS recipe with replaced or modified SR codes</t>
        </is>
      </c>
      <c r="E1615" s="1" t="inlineStr">
        <is>
          <t>Base</t>
        </is>
      </c>
      <c r="F1615" s="1" t="n">
        <v>0.452318</v>
      </c>
    </row>
    <row r="1616" ht="15.75" customHeight="1" s="201">
      <c r="A1616" s="1" t="n">
        <v>32103000</v>
      </c>
      <c r="B1616" s="1" t="inlineStr">
        <is>
          <t>Egg salad, made with mayonnaise (Includes NS as to type of dressing)</t>
        </is>
      </c>
      <c r="C1616" s="1" t="n">
        <v>4</v>
      </c>
      <c r="D1616" s="1" t="inlineStr">
        <is>
          <t>FNDDS recipe with replaced or modified SR codes</t>
        </is>
      </c>
      <c r="E1616" s="1" t="inlineStr">
        <is>
          <t>Base</t>
        </is>
      </c>
      <c r="F1616" s="1" t="n">
        <v>0.454147</v>
      </c>
    </row>
    <row r="1617" ht="15.75" customHeight="1" s="201">
      <c r="A1617" s="1" t="n">
        <v>32103050</v>
      </c>
      <c r="B1617" s="1" t="inlineStr">
        <is>
          <t>Egg Salad, made with any type of fat free dressing (Includes fat free mayonnaise; fat free mayonnaise-type salad dressing; fat free Italian dressing; any fat free creamy dressing; fat free vinaigrette; with no dressing)</t>
        </is>
      </c>
      <c r="C1617" s="1" t="n">
        <v>4</v>
      </c>
      <c r="D1617" s="1" t="inlineStr">
        <is>
          <t>FNDDS recipe with replaced or modified SR codes</t>
        </is>
      </c>
      <c r="E1617" s="1" t="inlineStr">
        <is>
          <t>Base</t>
        </is>
      </c>
      <c r="F1617" s="1" t="n">
        <v>0.458188</v>
      </c>
    </row>
    <row r="1618" ht="15.75" customHeight="1" s="201">
      <c r="A1618" s="1" t="n">
        <v>32105180</v>
      </c>
      <c r="B1618" s="1" t="inlineStr">
        <is>
          <t>Huevos rancheros</t>
        </is>
      </c>
      <c r="C1618" s="1" t="n">
        <v>4</v>
      </c>
      <c r="D1618" s="1" t="inlineStr">
        <is>
          <t>FNDDS recipe with replaced or modified SR codes</t>
        </is>
      </c>
      <c r="E1618" s="1" t="inlineStr">
        <is>
          <t>Base</t>
        </is>
      </c>
      <c r="F1618" s="1" t="n">
        <v>0.496981</v>
      </c>
    </row>
    <row r="1619" ht="15.75" customHeight="1" s="201">
      <c r="A1619" s="1" t="n">
        <v>32105220</v>
      </c>
      <c r="B1619" s="1" t="inlineStr">
        <is>
          <t>Pork egg foo yung (Includes young)</t>
        </is>
      </c>
      <c r="C1619" s="1" t="n">
        <v>4</v>
      </c>
      <c r="D1619" s="1" t="inlineStr">
        <is>
          <t>FNDDS recipe with replaced or modified SR codes</t>
        </is>
      </c>
      <c r="E1619" s="1" t="inlineStr">
        <is>
          <t>Base</t>
        </is>
      </c>
      <c r="F1619" s="1" t="n">
        <v>0.534458</v>
      </c>
    </row>
    <row r="1620" ht="15.75" customHeight="1" s="201">
      <c r="A1620" s="1" t="n">
        <v>32105230</v>
      </c>
      <c r="B1620" s="1" t="inlineStr">
        <is>
          <t>Shrimp egg foo yung (Includes young)</t>
        </is>
      </c>
      <c r="C1620" s="1" t="n">
        <v>4</v>
      </c>
      <c r="D1620" s="1" t="inlineStr">
        <is>
          <t>FNDDS recipe with replaced or modified SR codes</t>
        </is>
      </c>
      <c r="E1620" s="1" t="inlineStr">
        <is>
          <t>Base</t>
        </is>
      </c>
      <c r="F1620" s="1" t="n">
        <v>1.045816</v>
      </c>
    </row>
    <row r="1621" ht="15.75" customHeight="1" s="201">
      <c r="A1621" s="1" t="n">
        <v>32105240</v>
      </c>
      <c r="B1621" s="1" t="inlineStr">
        <is>
          <t>Beef egg foo yung (Includes young)</t>
        </is>
      </c>
      <c r="C1621" s="1" t="n">
        <v>4</v>
      </c>
      <c r="D1621" s="1" t="inlineStr">
        <is>
          <t>FNDDS recipe with replaced or modified SR codes</t>
        </is>
      </c>
      <c r="E1621" s="1" t="inlineStr">
        <is>
          <t>Base</t>
        </is>
      </c>
      <c r="F1621" s="1" t="n">
        <v>0.780694</v>
      </c>
    </row>
    <row r="1622" ht="15.75" customHeight="1" s="201">
      <c r="A1622" s="1" t="n">
        <v>32129990</v>
      </c>
      <c r="B1622" s="1" t="inlineStr">
        <is>
          <t>Egg omelet or scrambled egg, NS as to fat</t>
        </is>
      </c>
      <c r="C1622" s="1" t="n">
        <v>4</v>
      </c>
      <c r="D1622" s="1" t="inlineStr">
        <is>
          <t>FNDDS recipe with replaced or modified SR codes</t>
        </is>
      </c>
      <c r="E1622" s="1" t="inlineStr">
        <is>
          <t>Base</t>
        </is>
      </c>
      <c r="F1622" s="1" t="n">
        <v>0.403279</v>
      </c>
    </row>
    <row r="1623" ht="15.75" customHeight="1" s="201">
      <c r="A1623" s="1" t="n">
        <v>32130000</v>
      </c>
      <c r="B1623" s="1" t="inlineStr">
        <is>
          <t>Egg omelet or scrambled egg, made with margarine (Includes made with shortening)</t>
        </is>
      </c>
      <c r="C1623" s="1" t="n">
        <v>4</v>
      </c>
      <c r="D1623" s="1" t="inlineStr">
        <is>
          <t>FNDDS recipe with replaced or modified SR codes</t>
        </is>
      </c>
      <c r="E1623" s="1" t="inlineStr">
        <is>
          <t>Base</t>
        </is>
      </c>
      <c r="F1623" s="1" t="n">
        <v>0.395168</v>
      </c>
    </row>
    <row r="1624" ht="15.75" customHeight="1" s="201">
      <c r="A1624" s="1" t="n">
        <v>32130010</v>
      </c>
      <c r="B1624" s="1" t="inlineStr">
        <is>
          <t>Egg omelet or scrambled egg, made with oil</t>
        </is>
      </c>
      <c r="C1624" s="1" t="n">
        <v>4</v>
      </c>
      <c r="D1624" s="1" t="inlineStr">
        <is>
          <t>FNDDS recipe with replaced or modified SR codes</t>
        </is>
      </c>
      <c r="E1624" s="1" t="inlineStr">
        <is>
          <t>Base</t>
        </is>
      </c>
      <c r="F1624" s="1" t="n">
        <v>0.398344</v>
      </c>
    </row>
    <row r="1625" ht="15.75" customHeight="1" s="201">
      <c r="A1625" s="1" t="n">
        <v>32130020</v>
      </c>
      <c r="B1625" s="1" t="inlineStr">
        <is>
          <t>Egg omelet or scrambled egg, made with butter</t>
        </is>
      </c>
      <c r="C1625" s="1" t="n">
        <v>4</v>
      </c>
      <c r="D1625" s="1" t="inlineStr">
        <is>
          <t>FNDDS recipe with replaced or modified SR codes</t>
        </is>
      </c>
      <c r="E1625" s="1" t="inlineStr">
        <is>
          <t>Base</t>
        </is>
      </c>
      <c r="F1625" s="1" t="n">
        <v>0.427724</v>
      </c>
    </row>
    <row r="1626" ht="15.75" customHeight="1" s="201">
      <c r="A1626" s="1" t="n">
        <v>32130040</v>
      </c>
      <c r="B1626" s="1" t="inlineStr">
        <is>
          <t>Egg omelet or scrambled egg, made with animal fat or meat drippings</t>
        </is>
      </c>
      <c r="C1626" s="1" t="n">
        <v>3</v>
      </c>
      <c r="D1626" s="1" t="inlineStr">
        <is>
          <t>Original FNDDS recipe</t>
        </is>
      </c>
      <c r="E1626" s="1" t="inlineStr">
        <is>
          <t>Base</t>
        </is>
      </c>
      <c r="F1626" s="1" t="n">
        <v>0.428006</v>
      </c>
    </row>
    <row r="1627" ht="15.75" customHeight="1" s="201">
      <c r="A1627" s="1" t="n">
        <v>32130060</v>
      </c>
      <c r="B1627" s="1" t="inlineStr">
        <is>
          <t>Egg omelet or scrambled egg, made with cooking spray (Includes made with nonstick spray)</t>
        </is>
      </c>
      <c r="C1627" s="1" t="n">
        <v>3</v>
      </c>
      <c r="D1627" s="1" t="inlineStr">
        <is>
          <t>Original FNDDS recipe</t>
        </is>
      </c>
      <c r="E1627" s="1" t="inlineStr">
        <is>
          <t>Base</t>
        </is>
      </c>
      <c r="F1627" s="1" t="n">
        <v>0.409201</v>
      </c>
    </row>
    <row r="1628" ht="15.75" customHeight="1" s="201">
      <c r="A1628" s="1" t="n">
        <v>32130065</v>
      </c>
      <c r="B1628" s="1" t="inlineStr">
        <is>
          <t>Egg omelet or scrambled egg, NS as to fat type</t>
        </is>
      </c>
      <c r="C1628" s="1" t="n">
        <v>4</v>
      </c>
      <c r="D1628" s="1" t="inlineStr">
        <is>
          <t>FNDDS recipe with replaced or modified SR codes</t>
        </is>
      </c>
      <c r="E1628" s="1" t="inlineStr">
        <is>
          <t>Base</t>
        </is>
      </c>
      <c r="F1628" s="1" t="n">
        <v>0.403279</v>
      </c>
    </row>
    <row r="1629" ht="15.75" customHeight="1" s="201">
      <c r="A1629" s="1" t="n">
        <v>32130070</v>
      </c>
      <c r="B1629" s="1" t="inlineStr">
        <is>
          <t>Egg omelet or scrambled egg, no added fat</t>
        </is>
      </c>
      <c r="C1629" s="1" t="n">
        <v>3</v>
      </c>
      <c r="D1629" s="1" t="inlineStr">
        <is>
          <t>Original FNDDS recipe</t>
        </is>
      </c>
      <c r="E1629" s="1" t="inlineStr">
        <is>
          <t>Base</t>
        </is>
      </c>
      <c r="F1629" s="1" t="n">
        <v>0.396952</v>
      </c>
    </row>
    <row r="1630" ht="15.75" customHeight="1" s="201">
      <c r="A1630" s="1" t="n">
        <v>32130080</v>
      </c>
      <c r="B1630" s="1" t="inlineStr">
        <is>
          <t>Egg omelet or scrambled egg, from fast food / restaurant (Includes other place)</t>
        </is>
      </c>
      <c r="C1630" s="1" t="n">
        <v>2</v>
      </c>
      <c r="D1630" s="1" t="inlineStr">
        <is>
          <t>Links to altEC</t>
        </is>
      </c>
      <c r="E1630" s="1" t="inlineStr">
        <is>
          <t>Base</t>
        </is>
      </c>
      <c r="F1630" s="1" t="n">
        <v>1.245531</v>
      </c>
    </row>
    <row r="1631" ht="15.75" customHeight="1" s="201">
      <c r="A1631" s="1" t="n">
        <v>32130100</v>
      </c>
      <c r="B1631" s="1" t="inlineStr">
        <is>
          <t>Egg omelet or scrambled egg, with cheese, made with margarine (Includes made with shortening)</t>
        </is>
      </c>
      <c r="C1631" s="1" t="n">
        <v>4</v>
      </c>
      <c r="D1631" s="1" t="inlineStr">
        <is>
          <t>FNDDS recipe with replaced or modified SR codes</t>
        </is>
      </c>
      <c r="E1631" s="1" t="inlineStr">
        <is>
          <t>Base</t>
        </is>
      </c>
      <c r="F1631" s="1" t="n">
        <v>0.490377</v>
      </c>
    </row>
    <row r="1632" ht="15.75" customHeight="1" s="201">
      <c r="A1632" s="1" t="n">
        <v>32130110</v>
      </c>
      <c r="B1632" s="1" t="inlineStr">
        <is>
          <t>Egg omelet or scrambled egg, with cheese, made with oil (Includes NS as to fat; NS as to fat type)</t>
        </is>
      </c>
      <c r="C1632" s="1" t="n">
        <v>4</v>
      </c>
      <c r="D1632" s="1" t="inlineStr">
        <is>
          <t>FNDDS recipe with replaced or modified SR codes</t>
        </is>
      </c>
      <c r="E1632" s="1" t="inlineStr">
        <is>
          <t>Base</t>
        </is>
      </c>
      <c r="F1632" s="1" t="n">
        <v>0.493163</v>
      </c>
    </row>
    <row r="1633" ht="15.75" customHeight="1" s="201">
      <c r="A1633" s="1" t="n">
        <v>32130120</v>
      </c>
      <c r="B1633" s="1" t="inlineStr">
        <is>
          <t>Egg omelet or scrambled egg, with cheese, made with butter</t>
        </is>
      </c>
      <c r="C1633" s="1" t="n">
        <v>4</v>
      </c>
      <c r="D1633" s="1" t="inlineStr">
        <is>
          <t>FNDDS recipe with replaced or modified SR codes</t>
        </is>
      </c>
      <c r="E1633" s="1" t="inlineStr">
        <is>
          <t>Base</t>
        </is>
      </c>
      <c r="F1633" s="1" t="n">
        <v>0.51894</v>
      </c>
    </row>
    <row r="1634" ht="15.75" customHeight="1" s="201">
      <c r="A1634" s="1" t="n">
        <v>32130140</v>
      </c>
      <c r="B1634" s="1" t="inlineStr">
        <is>
          <t>Egg omelet or scrambled egg, with cheese, made with animal fat or meat drippings</t>
        </is>
      </c>
      <c r="C1634" s="1" t="n">
        <v>4</v>
      </c>
      <c r="D1634" s="1" t="inlineStr">
        <is>
          <t>FNDDS recipe with replaced or modified SR codes</t>
        </is>
      </c>
      <c r="E1634" s="1" t="inlineStr">
        <is>
          <t>Base</t>
        </is>
      </c>
      <c r="F1634" s="1" t="n">
        <v>0.519187</v>
      </c>
    </row>
    <row r="1635" ht="15.75" customHeight="1" s="201">
      <c r="A1635" s="1" t="n">
        <v>32130160</v>
      </c>
      <c r="B1635" s="1" t="inlineStr">
        <is>
          <t>Egg omelet or scrambled egg, with cheese, made with cooking spray (Includes made with nonstick spray)</t>
        </is>
      </c>
      <c r="C1635" s="1" t="n">
        <v>4</v>
      </c>
      <c r="D1635" s="1" t="inlineStr">
        <is>
          <t>FNDDS recipe with replaced or modified SR codes</t>
        </is>
      </c>
      <c r="E1635" s="1" t="inlineStr">
        <is>
          <t>Base</t>
        </is>
      </c>
      <c r="F1635" s="1" t="n">
        <v>0.507511</v>
      </c>
    </row>
    <row r="1636" ht="15.75" customHeight="1" s="201">
      <c r="A1636" s="1" t="n">
        <v>32130170</v>
      </c>
      <c r="B1636" s="1" t="inlineStr">
        <is>
          <t>Egg omelet or scrambled egg, with cheese, no added fat</t>
        </is>
      </c>
      <c r="C1636" s="1" t="n">
        <v>4</v>
      </c>
      <c r="D1636" s="1" t="inlineStr">
        <is>
          <t>FNDDS recipe with replaced or modified SR codes</t>
        </is>
      </c>
      <c r="E1636" s="1" t="inlineStr">
        <is>
          <t>Base</t>
        </is>
      </c>
      <c r="F1636" s="1" t="n">
        <v>0.497709</v>
      </c>
    </row>
    <row r="1637" ht="15.75" customHeight="1" s="201">
      <c r="A1637" s="1" t="n">
        <v>32130200</v>
      </c>
      <c r="B1637" s="1" t="inlineStr">
        <is>
          <t>Egg omelet or scrambled egg, with meat, made with margarine (Includes made with shortening; all meat, poultry, and seafood)</t>
        </is>
      </c>
      <c r="C1637" s="1" t="n">
        <v>4</v>
      </c>
      <c r="D1637" s="1" t="inlineStr">
        <is>
          <t>FNDDS recipe with replaced or modified SR codes</t>
        </is>
      </c>
      <c r="E1637" s="1" t="inlineStr">
        <is>
          <t>Base</t>
        </is>
      </c>
      <c r="F1637" s="1" t="n">
        <v>0.568737</v>
      </c>
    </row>
    <row r="1638" ht="15.75" customHeight="1" s="201">
      <c r="A1638" s="1" t="n">
        <v>32130210</v>
      </c>
      <c r="B1638" s="1" t="inlineStr">
        <is>
          <t>Egg omelet or scrambled egg, with meat, made with oil (Includes all meat, poultry, and seafood)</t>
        </is>
      </c>
      <c r="C1638" s="1" t="n">
        <v>4</v>
      </c>
      <c r="D1638" s="1" t="inlineStr">
        <is>
          <t>FNDDS recipe with replaced or modified SR codes</t>
        </is>
      </c>
      <c r="E1638" s="1" t="inlineStr">
        <is>
          <t>Base</t>
        </is>
      </c>
      <c r="F1638" s="1" t="n">
        <v>0.571522</v>
      </c>
    </row>
    <row r="1639" ht="15.75" customHeight="1" s="201">
      <c r="A1639" s="1" t="n">
        <v>32130220</v>
      </c>
      <c r="B1639" s="1" t="inlineStr">
        <is>
          <t>Egg omelet or scrambled egg, with meat, made with butter (Includes all meat, poultry, and seafood)</t>
        </is>
      </c>
      <c r="C1639" s="1" t="n">
        <v>4</v>
      </c>
      <c r="D1639" s="1" t="inlineStr">
        <is>
          <t>FNDDS recipe with replaced or modified SR codes</t>
        </is>
      </c>
      <c r="E1639" s="1" t="inlineStr">
        <is>
          <t>Base</t>
        </is>
      </c>
      <c r="F1639" s="1" t="n">
        <v>0.597299</v>
      </c>
    </row>
    <row r="1640" ht="15.75" customHeight="1" s="201">
      <c r="A1640" s="1" t="n">
        <v>32130240</v>
      </c>
      <c r="B1640" s="1" t="inlineStr">
        <is>
          <t>Egg omelet or scrambled egg, with meat, made with animal fat or meat drippings (Includes all meat, poultry, and seafood)</t>
        </is>
      </c>
      <c r="C1640" s="1" t="n">
        <v>4</v>
      </c>
      <c r="D1640" s="1" t="inlineStr">
        <is>
          <t>FNDDS recipe with replaced or modified SR codes</t>
        </is>
      </c>
      <c r="E1640" s="1" t="inlineStr">
        <is>
          <t>Base</t>
        </is>
      </c>
      <c r="F1640" s="1" t="n">
        <v>0.597546</v>
      </c>
    </row>
    <row r="1641" ht="15.75" customHeight="1" s="201">
      <c r="A1641" s="1" t="n">
        <v>32130265</v>
      </c>
      <c r="B1641" s="1" t="inlineStr">
        <is>
          <t>Egg omelet or scrambled egg, with meat, NS as to fat type (Includes all meat, poultry, and seafood)</t>
        </is>
      </c>
      <c r="C1641" s="1" t="n">
        <v>4</v>
      </c>
      <c r="D1641" s="1" t="inlineStr">
        <is>
          <t>FNDDS recipe with replaced or modified SR codes</t>
        </is>
      </c>
      <c r="E1641" s="1" t="inlineStr">
        <is>
          <t>Base</t>
        </is>
      </c>
      <c r="F1641" s="1" t="n">
        <v>0.575852</v>
      </c>
    </row>
    <row r="1642" ht="15.75" customHeight="1" s="201">
      <c r="A1642" s="1" t="n">
        <v>32130270</v>
      </c>
      <c r="B1642" s="1" t="inlineStr">
        <is>
          <t>Egg omelet or scrambled egg, with meat, no added fat (Includes all meat, poultry, and seafood)</t>
        </is>
      </c>
      <c r="C1642" s="1" t="n">
        <v>4</v>
      </c>
      <c r="D1642" s="1" t="inlineStr">
        <is>
          <t>FNDDS recipe with replaced or modified SR codes</t>
        </is>
      </c>
      <c r="E1642" s="1" t="inlineStr">
        <is>
          <t>Base</t>
        </is>
      </c>
      <c r="F1642" s="1" t="n">
        <v>0.580826</v>
      </c>
    </row>
    <row r="1643" ht="15.75" customHeight="1" s="201">
      <c r="A1643" s="1" t="n">
        <v>32130290</v>
      </c>
      <c r="B1643" s="1" t="inlineStr">
        <is>
          <t>Egg omelet or scrambled egg, with cheese and meat, NS as to fat (Includes all meat, poultry, and seafood)</t>
        </is>
      </c>
      <c r="C1643" s="1" t="n">
        <v>4</v>
      </c>
      <c r="D1643" s="1" t="inlineStr">
        <is>
          <t>FNDDS recipe with replaced or modified SR codes</t>
        </is>
      </c>
      <c r="E1643" s="1" t="inlineStr">
        <is>
          <t>Base</t>
        </is>
      </c>
      <c r="F1643" s="1" t="n">
        <v>0.596724</v>
      </c>
    </row>
    <row r="1644" ht="15.75" customHeight="1" s="201">
      <c r="A1644" s="1" t="n">
        <v>32130300</v>
      </c>
      <c r="B1644" s="1" t="inlineStr">
        <is>
          <t>Egg omelet or scrambled egg, with cheese and meat, made with margarine (Includes made with shortening; all meat, poultry, and seafood)</t>
        </is>
      </c>
      <c r="C1644" s="1" t="n">
        <v>4</v>
      </c>
      <c r="D1644" s="1" t="inlineStr">
        <is>
          <t>FNDDS recipe with replaced or modified SR codes</t>
        </is>
      </c>
      <c r="E1644" s="1" t="inlineStr">
        <is>
          <t>Base</t>
        </is>
      </c>
      <c r="F1644" s="1" t="n">
        <v>0.5901459999999999</v>
      </c>
    </row>
    <row r="1645" ht="15.75" customHeight="1" s="201">
      <c r="A1645" s="1" t="n">
        <v>32130320</v>
      </c>
      <c r="B1645" s="1" t="inlineStr">
        <is>
          <t>Egg omelet or scrambled egg, with cheese and meat, made with butter (Includes all meat, poultry, and seafood)</t>
        </is>
      </c>
      <c r="C1645" s="1" t="n">
        <v>4</v>
      </c>
      <c r="D1645" s="1" t="inlineStr">
        <is>
          <t>FNDDS recipe with replaced or modified SR codes</t>
        </is>
      </c>
      <c r="E1645" s="1" t="inlineStr">
        <is>
          <t>Base</t>
        </is>
      </c>
      <c r="F1645" s="1" t="n">
        <v>0.61655</v>
      </c>
    </row>
    <row r="1646" ht="15.75" customHeight="1" s="201">
      <c r="A1646" s="1" t="n">
        <v>32130360</v>
      </c>
      <c r="B1646" s="1" t="inlineStr">
        <is>
          <t>Egg omelet or scrambled egg, with cheese and meat, made with cooking spray (Includes made with nonstick spray; all meat, poultry, and seafood)</t>
        </is>
      </c>
      <c r="C1646" s="1" t="n">
        <v>4</v>
      </c>
      <c r="D1646" s="1" t="inlineStr">
        <is>
          <t>FNDDS recipe with replaced or modified SR codes</t>
        </is>
      </c>
      <c r="E1646" s="1" t="inlineStr">
        <is>
          <t>Base</t>
        </is>
      </c>
      <c r="F1646" s="1" t="n">
        <v>0.610664</v>
      </c>
    </row>
    <row r="1647" ht="15.75" customHeight="1" s="201">
      <c r="A1647" s="1" t="n">
        <v>32130400</v>
      </c>
      <c r="B1647" s="1" t="inlineStr">
        <is>
          <t>Egg omelet or scrambled egg, with tomatoes, fat added (Includes peppers, onions, and other vegetables; nonstick or cooking spray)</t>
        </is>
      </c>
      <c r="C1647" s="1" t="n">
        <v>4</v>
      </c>
      <c r="D1647" s="1" t="inlineStr">
        <is>
          <t>FNDDS recipe with replaced or modified SR codes</t>
        </is>
      </c>
      <c r="E1647" s="1" t="inlineStr">
        <is>
          <t>Base</t>
        </is>
      </c>
      <c r="F1647" s="1" t="n">
        <v>0.41302</v>
      </c>
    </row>
    <row r="1648" ht="15.75" customHeight="1" s="201">
      <c r="A1648" s="1" t="n">
        <v>32130420</v>
      </c>
      <c r="B1648" s="1" t="inlineStr">
        <is>
          <t>Egg omelet or scrambled egg, with tomatoes, NS as to fat (Includes peppers, onions, and other vegetables)</t>
        </is>
      </c>
      <c r="C1648" s="1" t="n">
        <v>4</v>
      </c>
      <c r="D1648" s="1" t="inlineStr">
        <is>
          <t>FNDDS recipe with replaced or modified SR codes</t>
        </is>
      </c>
      <c r="E1648" s="1" t="inlineStr">
        <is>
          <t>Base</t>
        </is>
      </c>
      <c r="F1648" s="1" t="n">
        <v>0.41302</v>
      </c>
    </row>
    <row r="1649" ht="15.75" customHeight="1" s="201">
      <c r="A1649" s="1" t="n">
        <v>32130430</v>
      </c>
      <c r="B1649" s="1" t="inlineStr">
        <is>
          <t>Egg omelet or scrambled egg, with dark-green vegetables, fat added (Includes broccoli, spinach, peppers, onions, and other vegetables; nonstick or cooking spray)</t>
        </is>
      </c>
      <c r="C1649" s="1" t="n">
        <v>4</v>
      </c>
      <c r="D1649" s="1" t="inlineStr">
        <is>
          <t>FNDDS recipe with replaced or modified SR codes</t>
        </is>
      </c>
      <c r="E1649" s="1" t="inlineStr">
        <is>
          <t>Base</t>
        </is>
      </c>
      <c r="F1649" s="1" t="n">
        <v>0.45025</v>
      </c>
    </row>
    <row r="1650" ht="15.75" customHeight="1" s="201">
      <c r="A1650" s="1" t="n">
        <v>32130450</v>
      </c>
      <c r="B1650" s="1" t="inlineStr">
        <is>
          <t>Egg omelet or scrambled egg, with dark-green vegetables, NS as to fat (Includes broccoli, spinach, peppers, onions, and other vegetables)</t>
        </is>
      </c>
      <c r="C1650" s="1" t="n">
        <v>4</v>
      </c>
      <c r="D1650" s="1" t="inlineStr">
        <is>
          <t>FNDDS recipe with replaced or modified SR codes</t>
        </is>
      </c>
      <c r="E1650" s="1" t="inlineStr">
        <is>
          <t>Base</t>
        </is>
      </c>
      <c r="F1650" s="1" t="n">
        <v>0.45025</v>
      </c>
    </row>
    <row r="1651" ht="15.75" customHeight="1" s="201">
      <c r="A1651" s="1" t="n">
        <v>32130460</v>
      </c>
      <c r="B1651" s="1" t="inlineStr">
        <is>
          <t>Egg omelet or scrambled egg, with tomatoes and dark-green vegetables, fat added (Includes broccoli, spinach, peppers, onions, and other vegetables; nonstick or cooking spray)</t>
        </is>
      </c>
      <c r="C1651" s="1" t="n">
        <v>4</v>
      </c>
      <c r="D1651" s="1" t="inlineStr">
        <is>
          <t>FNDDS recipe with replaced or modified SR codes</t>
        </is>
      </c>
      <c r="E1651" s="1" t="inlineStr">
        <is>
          <t>Base</t>
        </is>
      </c>
      <c r="F1651" s="1" t="n">
        <v>0.433281</v>
      </c>
    </row>
    <row r="1652" ht="15.75" customHeight="1" s="201">
      <c r="A1652" s="1" t="n">
        <v>32130490</v>
      </c>
      <c r="B1652" s="1" t="inlineStr">
        <is>
          <t>Egg omelet or scrambled egg, with vegetables other than dark green and/or tomatoes, fat added (Includes peppers, onions, and other vegetables; nonstick or cooking spray)</t>
        </is>
      </c>
      <c r="C1652" s="1" t="n">
        <v>4</v>
      </c>
      <c r="D1652" s="1" t="inlineStr">
        <is>
          <t>FNDDS recipe with replaced or modified SR codes</t>
        </is>
      </c>
      <c r="E1652" s="1" t="inlineStr">
        <is>
          <t>Base</t>
        </is>
      </c>
      <c r="F1652" s="1" t="n">
        <v>0.505733</v>
      </c>
    </row>
    <row r="1653" ht="15.75" customHeight="1" s="201">
      <c r="A1653" s="1" t="n">
        <v>32130500</v>
      </c>
      <c r="B1653" s="1" t="inlineStr">
        <is>
          <t>Egg omelet or scrambled egg, with vegetables other than dark green and/or tomatoes, no added fat (Includes peppers, onions, and other vegetables)</t>
        </is>
      </c>
      <c r="C1653" s="1" t="n">
        <v>4</v>
      </c>
      <c r="D1653" s="1" t="inlineStr">
        <is>
          <t>FNDDS recipe with replaced or modified SR codes</t>
        </is>
      </c>
      <c r="E1653" s="1" t="inlineStr">
        <is>
          <t>Base</t>
        </is>
      </c>
      <c r="F1653" s="1" t="n">
        <v>0.506449</v>
      </c>
    </row>
    <row r="1654" ht="15.75" customHeight="1" s="201">
      <c r="A1654" s="1" t="n">
        <v>32130510</v>
      </c>
      <c r="B1654" s="1" t="inlineStr">
        <is>
          <t>Egg omelet or scrambled egg, with vegetables other than dark green and/or tomatoes, NS as to fat (Includes peppers, onions, and other vegetables)</t>
        </is>
      </c>
      <c r="C1654" s="1" t="n">
        <v>4</v>
      </c>
      <c r="D1654" s="1" t="inlineStr">
        <is>
          <t>FNDDS recipe with replaced or modified SR codes</t>
        </is>
      </c>
      <c r="E1654" s="1" t="inlineStr">
        <is>
          <t>Base</t>
        </is>
      </c>
      <c r="F1654" s="1" t="n">
        <v>0.505733</v>
      </c>
    </row>
    <row r="1655" ht="15.75" customHeight="1" s="201">
      <c r="A1655" s="1" t="n">
        <v>32130600</v>
      </c>
      <c r="B1655" s="1" t="inlineStr">
        <is>
          <t>Egg omelet or scrambled egg, with cheese and tomatoes, fat added (Includes peppers, onions, and other vegetables; nonstick or cooking spray)</t>
        </is>
      </c>
      <c r="C1655" s="1" t="n">
        <v>4</v>
      </c>
      <c r="D1655" s="1" t="inlineStr">
        <is>
          <t>FNDDS recipe with replaced or modified SR codes</t>
        </is>
      </c>
      <c r="E1655" s="1" t="inlineStr">
        <is>
          <t>Base</t>
        </is>
      </c>
      <c r="F1655" s="1" t="n">
        <v>0.495877</v>
      </c>
    </row>
    <row r="1656" ht="15.75" customHeight="1" s="201">
      <c r="A1656" s="1" t="n">
        <v>32130610</v>
      </c>
      <c r="B1656" s="1" t="inlineStr">
        <is>
          <t>Egg omelet or scrambled egg, with cheese and tomatoes, no added fat (Includes peppers, onions, and other vegetables)</t>
        </is>
      </c>
      <c r="C1656" s="1" t="n">
        <v>4</v>
      </c>
      <c r="D1656" s="1" t="inlineStr">
        <is>
          <t>FNDDS recipe with replaced or modified SR codes</t>
        </is>
      </c>
      <c r="E1656" s="1" t="inlineStr">
        <is>
          <t>Base</t>
        </is>
      </c>
      <c r="F1656" s="1" t="n">
        <v>0.495981</v>
      </c>
    </row>
    <row r="1657" ht="15.75" customHeight="1" s="201">
      <c r="A1657" s="1" t="n">
        <v>32130620</v>
      </c>
      <c r="B1657" s="1" t="inlineStr">
        <is>
          <t>Egg omelet or scrambled egg, with cheese and tomatoes, NS as to fat (Includes peppers, onions, and other vegetables)</t>
        </is>
      </c>
      <c r="C1657" s="1" t="n">
        <v>4</v>
      </c>
      <c r="D1657" s="1" t="inlineStr">
        <is>
          <t>FNDDS recipe with replaced or modified SR codes</t>
        </is>
      </c>
      <c r="E1657" s="1" t="inlineStr">
        <is>
          <t>Base</t>
        </is>
      </c>
      <c r="F1657" s="1" t="n">
        <v>0.495877</v>
      </c>
    </row>
    <row r="1658" ht="15.75" customHeight="1" s="201">
      <c r="A1658" s="1" t="n">
        <v>32130630</v>
      </c>
      <c r="B1658" s="1" t="inlineStr">
        <is>
          <t>Egg omelet or scrambled egg, with cheese and dark-green vegetables, fat added (Includes broccoli, spinach, peppers, onions, and other vegetables; nonstick or cooking spray)</t>
        </is>
      </c>
      <c r="C1658" s="1" t="n">
        <v>4</v>
      </c>
      <c r="D1658" s="1" t="inlineStr">
        <is>
          <t>FNDDS recipe with replaced or modified SR codes</t>
        </is>
      </c>
      <c r="E1658" s="1" t="inlineStr">
        <is>
          <t>Base</t>
        </is>
      </c>
      <c r="F1658" s="1" t="n">
        <v>0.52904</v>
      </c>
    </row>
    <row r="1659" ht="15.75" customHeight="1" s="201">
      <c r="A1659" s="1" t="n">
        <v>32130650</v>
      </c>
      <c r="B1659" s="1" t="inlineStr">
        <is>
          <t>Egg omelet or scrambled egg, with cheese and dark-green vegetables, NS as to fat (Includes broccoli, spinach, peppers, onions, and other vegetables)</t>
        </is>
      </c>
      <c r="C1659" s="1" t="n">
        <v>4</v>
      </c>
      <c r="D1659" s="1" t="inlineStr">
        <is>
          <t>FNDDS recipe with replaced or modified SR codes</t>
        </is>
      </c>
      <c r="E1659" s="1" t="inlineStr">
        <is>
          <t>Base</t>
        </is>
      </c>
      <c r="F1659" s="1" t="n">
        <v>0.52904</v>
      </c>
    </row>
    <row r="1660" ht="15.75" customHeight="1" s="201">
      <c r="A1660" s="1" t="n">
        <v>32130660</v>
      </c>
      <c r="B1660" s="1" t="inlineStr">
        <is>
          <t>Egg omelet or scrambled egg, with cheese, tomatoes, and dark-green vegetables, fat added (Includes broccoli, spinach, peppers, onions, and other vegetables; nonstick or cooking spray)</t>
        </is>
      </c>
      <c r="C1660" s="1" t="n">
        <v>4</v>
      </c>
      <c r="D1660" s="1" t="inlineStr">
        <is>
          <t>FNDDS recipe with replaced or modified SR codes</t>
        </is>
      </c>
      <c r="E1660" s="1" t="inlineStr">
        <is>
          <t>Base</t>
        </is>
      </c>
      <c r="F1660" s="1" t="n">
        <v>0.513341</v>
      </c>
    </row>
    <row r="1661" ht="15.75" customHeight="1" s="201">
      <c r="A1661" s="1" t="n">
        <v>32130680</v>
      </c>
      <c r="B1661" s="1" t="inlineStr">
        <is>
          <t>Egg omelet or scrambled egg, with cheese, tomatoes, and dark-green vegetables, NS as to fat (Includes broccoli, spinach, peppers, onions, and other vegetables)</t>
        </is>
      </c>
      <c r="C1661" s="1" t="n">
        <v>4</v>
      </c>
      <c r="D1661" s="1" t="inlineStr">
        <is>
          <t>FNDDS recipe with replaced or modified SR codes</t>
        </is>
      </c>
      <c r="E1661" s="1" t="inlineStr">
        <is>
          <t>Base</t>
        </is>
      </c>
      <c r="F1661" s="1" t="n">
        <v>0.513341</v>
      </c>
    </row>
    <row r="1662" ht="15.75" customHeight="1" s="201">
      <c r="A1662" s="1" t="n">
        <v>32130690</v>
      </c>
      <c r="B1662" s="1" t="inlineStr">
        <is>
          <t>Egg omelet or scrambled egg, with cheese and vegetables other than dark green and/or tomatoes, fat added (Includes peppers, onions, and other vegetables; nonstick or cooking spray)</t>
        </is>
      </c>
      <c r="C1662" s="1" t="n">
        <v>4</v>
      </c>
      <c r="D1662" s="1" t="inlineStr">
        <is>
          <t>FNDDS recipe with replaced or modified SR codes</t>
        </is>
      </c>
      <c r="E1662" s="1" t="inlineStr">
        <is>
          <t>Base</t>
        </is>
      </c>
      <c r="F1662" s="1" t="n">
        <v>0.578461</v>
      </c>
    </row>
    <row r="1663" ht="15.75" customHeight="1" s="201">
      <c r="A1663" s="1" t="n">
        <v>32130700</v>
      </c>
      <c r="B1663" s="1" t="inlineStr">
        <is>
          <t>Egg omelet or scrambled egg, with cheese and vegetables other than dark green and/or tomatoes, no added fat (Includes peppers, onions, and other vegetables)</t>
        </is>
      </c>
      <c r="C1663" s="1" t="n">
        <v>4</v>
      </c>
      <c r="D1663" s="1" t="inlineStr">
        <is>
          <t>FNDDS recipe with replaced or modified SR codes</t>
        </is>
      </c>
      <c r="E1663" s="1" t="inlineStr">
        <is>
          <t>Base</t>
        </is>
      </c>
      <c r="F1663" s="1" t="n">
        <v>0.583001</v>
      </c>
    </row>
    <row r="1664" ht="15.75" customHeight="1" s="201">
      <c r="A1664" s="1" t="n">
        <v>32130800</v>
      </c>
      <c r="B1664" s="1" t="inlineStr">
        <is>
          <t>Egg omelet or scrambled egg, with meat and tomatoes, fat added (Includes peppers, onions, and other vegetables; nonstick or cooking spray; all meat, poultry, and seafood)</t>
        </is>
      </c>
      <c r="C1664" s="1" t="n">
        <v>4</v>
      </c>
      <c r="D1664" s="1" t="inlineStr">
        <is>
          <t>FNDDS recipe with replaced or modified SR codes</t>
        </is>
      </c>
      <c r="E1664" s="1" t="inlineStr">
        <is>
          <t>Base</t>
        </is>
      </c>
      <c r="F1664" s="1" t="n">
        <v>0.518637</v>
      </c>
    </row>
    <row r="1665" ht="15.75" customHeight="1" s="201">
      <c r="A1665" s="1" t="n">
        <v>32130810</v>
      </c>
      <c r="B1665" s="1" t="inlineStr">
        <is>
          <t>Egg omelet or scrambled egg, with meat and tomatoes, no added fat (Includes peppers, onions, and other vegetables; all meat, poultry, and seafood)</t>
        </is>
      </c>
      <c r="C1665" s="1" t="n">
        <v>4</v>
      </c>
      <c r="D1665" s="1" t="inlineStr">
        <is>
          <t>FNDDS recipe with replaced or modified SR codes</t>
        </is>
      </c>
      <c r="E1665" s="1" t="inlineStr">
        <is>
          <t>Base</t>
        </is>
      </c>
      <c r="F1665" s="1" t="n">
        <v>0.520017</v>
      </c>
    </row>
    <row r="1666" ht="15.75" customHeight="1" s="201">
      <c r="A1666" s="1" t="n">
        <v>32130820</v>
      </c>
      <c r="B1666" s="1" t="inlineStr">
        <is>
          <t>Egg omelet or scrambled egg, with meat and tomatoes, NS as to fat (Includes peppers, onions, and other vegetables; all meat, poultry, and seafood)</t>
        </is>
      </c>
      <c r="C1666" s="1" t="n">
        <v>4</v>
      </c>
      <c r="D1666" s="1" t="inlineStr">
        <is>
          <t>FNDDS recipe with replaced or modified SR codes</t>
        </is>
      </c>
      <c r="E1666" s="1" t="inlineStr">
        <is>
          <t>Base</t>
        </is>
      </c>
      <c r="F1666" s="1" t="n">
        <v>0.518637</v>
      </c>
    </row>
    <row r="1667" ht="15.75" customHeight="1" s="201">
      <c r="A1667" s="1" t="n">
        <v>32130830</v>
      </c>
      <c r="B1667" s="1" t="inlineStr">
        <is>
          <t>Egg omelet or scrambled egg, with meat and dark-green vegetables, fat added (Includes broccoli, spinach, peppers, onions, and other vegetables; nonstick or cooking spray; all meat, poultry, and seafood)</t>
        </is>
      </c>
      <c r="C1667" s="1" t="n">
        <v>4</v>
      </c>
      <c r="D1667" s="1" t="inlineStr">
        <is>
          <t>FNDDS recipe with replaced or modified SR codes</t>
        </is>
      </c>
      <c r="E1667" s="1" t="inlineStr">
        <is>
          <t>Base</t>
        </is>
      </c>
      <c r="F1667" s="1" t="n">
        <v>0.553053</v>
      </c>
    </row>
    <row r="1668" ht="15.75" customHeight="1" s="201">
      <c r="A1668" s="1" t="n">
        <v>32130840</v>
      </c>
      <c r="B1668" s="1" t="inlineStr">
        <is>
          <t>Egg omelet or scrambled egg, with meat and dark-green vegetables, no added fat (Includes broccoli, spinach, peppers, onions, and other vegetables; all meat, poultry, and seafood)</t>
        </is>
      </c>
      <c r="C1668" s="1" t="n">
        <v>4</v>
      </c>
      <c r="D1668" s="1" t="inlineStr">
        <is>
          <t>FNDDS recipe with replaced or modified SR codes</t>
        </is>
      </c>
      <c r="E1668" s="1" t="inlineStr">
        <is>
          <t>Base</t>
        </is>
      </c>
      <c r="F1668" s="1" t="n">
        <v>0.556356</v>
      </c>
    </row>
    <row r="1669" ht="15.75" customHeight="1" s="201">
      <c r="A1669" s="1" t="n">
        <v>32130850</v>
      </c>
      <c r="B1669" s="1" t="inlineStr">
        <is>
          <t>Egg omelet or scrambled egg, with meat and dark-green vegetables, NS as to fat (Includes broccoli, spinach, peppers, onions, and other vegetables; all meat, poultry, and seafood)</t>
        </is>
      </c>
      <c r="C1669" s="1" t="n">
        <v>4</v>
      </c>
      <c r="D1669" s="1" t="inlineStr">
        <is>
          <t>FNDDS recipe with replaced or modified SR codes</t>
        </is>
      </c>
      <c r="E1669" s="1" t="inlineStr">
        <is>
          <t>Base</t>
        </is>
      </c>
      <c r="F1669" s="1" t="n">
        <v>0.553053</v>
      </c>
    </row>
    <row r="1670" ht="15.75" customHeight="1" s="201">
      <c r="A1670" s="1" t="n">
        <v>32130890</v>
      </c>
      <c r="B1670" s="1" t="inlineStr">
        <is>
          <t>Egg omelet or scrambled egg, with meat and vegetables other than dark-green and/or tomatoes, fat added (Includes peppers, onions, and other vegetables; nonstick or cooking spray; all meat, poultry, and seafood)</t>
        </is>
      </c>
      <c r="C1670" s="1" t="n">
        <v>4</v>
      </c>
      <c r="D1670" s="1" t="inlineStr">
        <is>
          <t>FNDDS recipe with replaced or modified SR codes</t>
        </is>
      </c>
      <c r="E1670" s="1" t="inlineStr">
        <is>
          <t>Base</t>
        </is>
      </c>
      <c r="F1670" s="1" t="n">
        <v>0.604342</v>
      </c>
    </row>
    <row r="1671" ht="15.75" customHeight="1" s="201">
      <c r="A1671" s="1" t="n">
        <v>32130900</v>
      </c>
      <c r="B1671" s="1" t="inlineStr">
        <is>
          <t>Egg omelet or scrambled egg, with meat and vegetables other than dark-green and/or tomatoes, no added fat (Includes peppers, onions, and other vegetables; all meat, poultry, and seafood)</t>
        </is>
      </c>
      <c r="C1671" s="1" t="n">
        <v>4</v>
      </c>
      <c r="D1671" s="1" t="inlineStr">
        <is>
          <t>FNDDS recipe with replaced or modified SR codes</t>
        </is>
      </c>
      <c r="E1671" s="1" t="inlineStr">
        <is>
          <t>Base</t>
        </is>
      </c>
      <c r="F1671" s="1" t="n">
        <v>0.610509</v>
      </c>
    </row>
    <row r="1672" ht="15.75" customHeight="1" s="201">
      <c r="A1672" s="1" t="n">
        <v>32130910</v>
      </c>
      <c r="B1672" s="1" t="inlineStr">
        <is>
          <t>Egg omelet or scrambled egg, with meat and vegetables other than dark-green and/or tomatoes, NS as to fat (Includes peppers, onions, and other vegetables; Western omelet; all meat, poultry, and seafood)</t>
        </is>
      </c>
      <c r="C1672" s="1" t="n">
        <v>4</v>
      </c>
      <c r="D1672" s="1" t="inlineStr">
        <is>
          <t>FNDDS recipe with replaced or modified SR codes</t>
        </is>
      </c>
      <c r="E1672" s="1" t="inlineStr">
        <is>
          <t>Base</t>
        </is>
      </c>
      <c r="F1672" s="1" t="n">
        <v>0.604342</v>
      </c>
    </row>
    <row r="1673" ht="15.75" customHeight="1" s="201">
      <c r="A1673" s="1" t="n">
        <v>32131000</v>
      </c>
      <c r="B1673" s="1" t="inlineStr">
        <is>
          <t>Egg omelet or scrambled egg, with cheese, meat, and tomatoes, fat added (Includes peppers, onions, and other vegetables; nonstick or cooking spray; all meat, poultry, and seafood)</t>
        </is>
      </c>
      <c r="C1673" s="1" t="n">
        <v>4</v>
      </c>
      <c r="D1673" s="1" t="inlineStr">
        <is>
          <t>FNDDS recipe with replaced or modified SR codes</t>
        </is>
      </c>
      <c r="E1673" s="1" t="inlineStr">
        <is>
          <t>Base</t>
        </is>
      </c>
      <c r="F1673" s="1" t="n">
        <v>0.5902230000000001</v>
      </c>
    </row>
    <row r="1674" ht="15.75" customHeight="1" s="201">
      <c r="A1674" s="1" t="n">
        <v>32131010</v>
      </c>
      <c r="B1674" s="1" t="inlineStr">
        <is>
          <t>Egg omelet or scrambled egg, with cheese, meat, and tomatoes, no added fat (Includes peppers, onions, and other vegetables; all meat, poultry, and seafood)</t>
        </is>
      </c>
      <c r="C1674" s="1" t="n">
        <v>4</v>
      </c>
      <c r="D1674" s="1" t="inlineStr">
        <is>
          <t>FNDDS recipe with replaced or modified SR codes</t>
        </is>
      </c>
      <c r="E1674" s="1" t="inlineStr">
        <is>
          <t>Base</t>
        </is>
      </c>
      <c r="F1674" s="1" t="n">
        <v>0.595279</v>
      </c>
    </row>
    <row r="1675" ht="15.75" customHeight="1" s="201">
      <c r="A1675" s="1" t="n">
        <v>32131020</v>
      </c>
      <c r="B1675" s="1" t="inlineStr">
        <is>
          <t>Egg omelet or scrambled egg, with cheese, meat, and tomatoes, NS as to fat (Includes peppers, onions, and other vegetables; all meat, poultry, and seafood)</t>
        </is>
      </c>
      <c r="C1675" s="1" t="n">
        <v>4</v>
      </c>
      <c r="D1675" s="1" t="inlineStr">
        <is>
          <t>FNDDS recipe with replaced or modified SR codes</t>
        </is>
      </c>
      <c r="E1675" s="1" t="inlineStr">
        <is>
          <t>Base</t>
        </is>
      </c>
      <c r="F1675" s="1" t="n">
        <v>0.5902230000000001</v>
      </c>
    </row>
    <row r="1676" ht="15.75" customHeight="1" s="201">
      <c r="A1676" s="1" t="n">
        <v>32131030</v>
      </c>
      <c r="B1676" s="1" t="inlineStr">
        <is>
          <t>Egg omelet or scrambled egg, with cheese, meat, and dark-green vegetables, fat added (Includes broccoli, spinach, peppers, onions, and other vegetables; nonstick or cooking spray; all meat, poultry, and seafood)</t>
        </is>
      </c>
      <c r="C1676" s="1" t="n">
        <v>4</v>
      </c>
      <c r="D1676" s="1" t="inlineStr">
        <is>
          <t>FNDDS recipe with replaced or modified SR codes</t>
        </is>
      </c>
      <c r="E1676" s="1" t="inlineStr">
        <is>
          <t>Base</t>
        </is>
      </c>
      <c r="F1676" s="1" t="n">
        <v>0.607531</v>
      </c>
    </row>
    <row r="1677" ht="15.75" customHeight="1" s="201">
      <c r="A1677" s="1" t="n">
        <v>32131060</v>
      </c>
      <c r="B1677" s="1" t="inlineStr">
        <is>
          <t>Egg omelet or scrambled egg, with cheese, meat, tomatoes, and dark-green vegetables, fat added (Includes broccoli, spinach, peppers, onions, and other vegetables; nonstick or cooking spray; all meat, poultry, and seafood; nonstick or
cooking spray)</t>
        </is>
      </c>
      <c r="C1677" s="1" t="n">
        <v>4</v>
      </c>
      <c r="D1677" s="1" t="inlineStr">
        <is>
          <t>FNDDS recipe with replaced or modified SR codes</t>
        </is>
      </c>
      <c r="E1677" s="1" t="inlineStr">
        <is>
          <t>Base</t>
        </is>
      </c>
      <c r="F1677" s="1" t="n">
        <v>0.6007980000000001</v>
      </c>
    </row>
    <row r="1678" ht="15.75" customHeight="1" s="201">
      <c r="A1678" s="1" t="n">
        <v>32131080</v>
      </c>
      <c r="B1678" s="1" t="inlineStr">
        <is>
          <t>Egg omelet or scrambled egg, with cheese, meat, tomatoes, and dark-green vegetables, NS as to fat (Includes broccoli, spinach, peppers, onions, and other vegetables; all meat, poultry, and seafood)</t>
        </is>
      </c>
      <c r="C1678" s="1" t="n">
        <v>4</v>
      </c>
      <c r="D1678" s="1" t="inlineStr">
        <is>
          <t>FNDDS recipe with replaced or modified SR codes</t>
        </is>
      </c>
      <c r="E1678" s="1" t="inlineStr">
        <is>
          <t>Base</t>
        </is>
      </c>
      <c r="F1678" s="1" t="n">
        <v>0.6007980000000001</v>
      </c>
    </row>
    <row r="1679" ht="15.75" customHeight="1" s="201">
      <c r="A1679" s="1" t="n">
        <v>32131090</v>
      </c>
      <c r="B1679" s="1" t="inlineStr">
        <is>
          <t>Egg omelet or scrambled egg, with cheese, meat, and vegetables other than dark-green and/or tomatoes, fat added (Includes peppers, onions, and other vegetables; nonstick or cooking spray; all meat, poultry, and seafood)</t>
        </is>
      </c>
      <c r="C1679" s="1" t="n">
        <v>4</v>
      </c>
      <c r="D1679" s="1" t="inlineStr">
        <is>
          <t>FNDDS recipe with replaced or modified SR codes</t>
        </is>
      </c>
      <c r="E1679" s="1" t="inlineStr">
        <is>
          <t>Base</t>
        </is>
      </c>
      <c r="F1679" s="1" t="n">
        <v>0.6333259999999999</v>
      </c>
    </row>
    <row r="1680" ht="15.75" customHeight="1" s="201">
      <c r="A1680" s="1" t="n">
        <v>32131100</v>
      </c>
      <c r="B1680" s="1" t="inlineStr">
        <is>
          <t>Egg omelet or scrambled egg, with cheese, meat, and vegetables other than dark-green and/or tomatoes, no added fat (Includes peppers, onions, and other vegetables; all meat, poultry, and seafood)</t>
        </is>
      </c>
      <c r="C1680" s="1" t="n">
        <v>4</v>
      </c>
      <c r="D1680" s="1" t="inlineStr">
        <is>
          <t>FNDDS recipe with replaced or modified SR codes</t>
        </is>
      </c>
      <c r="E1680" s="1" t="inlineStr">
        <is>
          <t>Base</t>
        </is>
      </c>
      <c r="F1680" s="1" t="n">
        <v>0.640645</v>
      </c>
    </row>
    <row r="1681" ht="15.75" customHeight="1" s="201">
      <c r="A1681" s="1" t="n">
        <v>32131110</v>
      </c>
      <c r="B1681" s="1" t="inlineStr">
        <is>
          <t>Egg omelet or scrambled egg, with cheese, meat, and vegetables other than dark-green and/or tomatoes, NS as to fat (Includes peppers, onions, and other vegetables; Western omelet with meat and cheese; all meat, poultry, and seafood)</t>
        </is>
      </c>
      <c r="C1681" s="1" t="n">
        <v>4</v>
      </c>
      <c r="D1681" s="1" t="inlineStr">
        <is>
          <t>FNDDS recipe with replaced or modified SR codes</t>
        </is>
      </c>
      <c r="E1681" s="1" t="inlineStr">
        <is>
          <t>Base</t>
        </is>
      </c>
      <c r="F1681" s="1" t="n">
        <v>0.6333259999999999</v>
      </c>
    </row>
    <row r="1682" ht="15.75" customHeight="1" s="201">
      <c r="A1682" s="1" t="n">
        <v>32131220</v>
      </c>
      <c r="B1682" s="1" t="inlineStr">
        <is>
          <t>Egg omelet or scrambled egg, with potatoes and/or onions, NS as to fat (Includes Tortilla Espanola)</t>
        </is>
      </c>
      <c r="C1682" s="1" t="n">
        <v>4</v>
      </c>
      <c r="D1682" s="1" t="inlineStr">
        <is>
          <t>FNDDS recipe with replaced or modified SR codes</t>
        </is>
      </c>
      <c r="E1682" s="1" t="inlineStr">
        <is>
          <t>Base</t>
        </is>
      </c>
      <c r="F1682" s="1" t="n">
        <v>0.386361</v>
      </c>
    </row>
    <row r="1683" ht="15.75" customHeight="1" s="201">
      <c r="A1683" s="1" t="n">
        <v>32202010</v>
      </c>
      <c r="B1683" s="1" t="inlineStr">
        <is>
          <t>Egg, cheese, and ham on English muffin (Includes McDonald's Egg McMuffin; Swanson Great Starts Egg, Canadian Style Bacon/Cheese on Muffin brkfst sandwich; Dunkin' Donuts Egg, Ham and Cheese breakfast sandwich; Jack-in-the-Box Breakfast Jack)</t>
        </is>
      </c>
      <c r="C1683" s="1" t="n">
        <v>1</v>
      </c>
      <c r="D1683" s="1" t="inlineStr">
        <is>
          <t>Links to FNDDS</t>
        </is>
      </c>
      <c r="E1683" s="1" t="inlineStr">
        <is>
          <t>Base</t>
        </is>
      </c>
      <c r="F1683" s="1" t="n">
        <v>1.059899</v>
      </c>
    </row>
    <row r="1684" ht="15.75" customHeight="1" s="201">
      <c r="A1684" s="1" t="n">
        <v>32202025</v>
      </c>
      <c r="B1684" s="1" t="inlineStr">
        <is>
          <t>Egg, cheese and ham on bagel (Includes McDonald's Bagel Ham, Egg and Cheese breakfast sandwich; Dunkin Donuts Egg, Ham and Cheese breakfast sandwich)</t>
        </is>
      </c>
      <c r="C1684" s="1" t="n">
        <v>4</v>
      </c>
      <c r="D1684" s="1" t="inlineStr">
        <is>
          <t>FNDDS recipe with replaced or modified SR codes</t>
        </is>
      </c>
      <c r="E1684" s="1" t="inlineStr">
        <is>
          <t>Base</t>
        </is>
      </c>
      <c r="F1684" s="1" t="n">
        <v>0.803693</v>
      </c>
    </row>
    <row r="1685" ht="15.75" customHeight="1" s="201">
      <c r="A1685" s="1" t="n">
        <v>32202030</v>
      </c>
      <c r="B1685" s="1" t="inlineStr">
        <is>
          <t>Egg, cheese, and sausage on English muffin (Includes McDonald's Sausage McMuffin with Egg; Burger King Breakfast Buddy)</t>
        </is>
      </c>
      <c r="C1685" s="1" t="n">
        <v>1</v>
      </c>
      <c r="D1685" s="1" t="inlineStr">
        <is>
          <t>Links to FNDDS</t>
        </is>
      </c>
      <c r="E1685" s="1" t="inlineStr">
        <is>
          <t>Base</t>
        </is>
      </c>
      <c r="F1685" s="1" t="n">
        <v>0.958203</v>
      </c>
    </row>
    <row r="1686" ht="15.75" customHeight="1" s="201">
      <c r="A1686" s="1" t="n">
        <v>32202045</v>
      </c>
      <c r="B1686" s="1" t="inlineStr">
        <is>
          <t>Egg, cheese, and steak on bagel</t>
        </is>
      </c>
      <c r="C1686" s="1" t="n">
        <v>1</v>
      </c>
      <c r="D1686" s="1" t="inlineStr">
        <is>
          <t>Links to FNDDS</t>
        </is>
      </c>
      <c r="E1686" s="1" t="inlineStr">
        <is>
          <t>Base</t>
        </is>
      </c>
      <c r="F1686" s="1" t="n">
        <v>2.397308</v>
      </c>
    </row>
    <row r="1687" ht="15.75" customHeight="1" s="201">
      <c r="A1687" s="1" t="n">
        <v>32202050</v>
      </c>
      <c r="B1687" s="1" t="inlineStr">
        <is>
          <t>Egg, cheese, and sausage on biscuit (Includes Swanson Great Starts Sausage, Egg and Cheese on a Biscuit breakfast sandwich; Burger King Biscuit with Sausage, Egg and Cheese; Jimmy Dean sandwich)</t>
        </is>
      </c>
      <c r="C1687" s="1" t="n">
        <v>1</v>
      </c>
      <c r="D1687" s="1" t="inlineStr">
        <is>
          <t>Links to FNDDS</t>
        </is>
      </c>
      <c r="E1687" s="1" t="inlineStr">
        <is>
          <t>Base</t>
        </is>
      </c>
      <c r="F1687" s="1" t="n">
        <v>0.999821</v>
      </c>
    </row>
    <row r="1688" ht="15.75" customHeight="1" s="201">
      <c r="A1688" s="1" t="n">
        <v>32202055</v>
      </c>
      <c r="B1688" s="1" t="inlineStr">
        <is>
          <t>Egg, cheese, and sausage griddle cake sandwich (Includes McDonald's Sausage, Egg &amp; Cheese McGriddles)</t>
        </is>
      </c>
      <c r="C1688" s="1" t="n">
        <v>1</v>
      </c>
      <c r="D1688" s="1" t="inlineStr">
        <is>
          <t>Links to FNDDS</t>
        </is>
      </c>
      <c r="E1688" s="1" t="inlineStr">
        <is>
          <t>Base</t>
        </is>
      </c>
      <c r="F1688" s="1" t="n">
        <v>1.252309</v>
      </c>
    </row>
    <row r="1689" ht="15.75" customHeight="1" s="201">
      <c r="A1689" s="1" t="n">
        <v>32202070</v>
      </c>
      <c r="B1689" s="1" t="inlineStr">
        <is>
          <t>Egg, cheese, and bacon on biscuit (Includes Swanson Great Starts Egg, Cheese &amp; Bacon on a Biscuit breakfast sandwich; McDonald's Bacon, Egg, &amp; Cheese Biscuit; Hardee's Bacon, Egg, &amp; Cheese Biscuit)</t>
        </is>
      </c>
      <c r="C1689" s="1" t="n">
        <v>1</v>
      </c>
      <c r="D1689" s="1" t="inlineStr">
        <is>
          <t>Links to FNDDS</t>
        </is>
      </c>
      <c r="E1689" s="1" t="inlineStr">
        <is>
          <t>Base</t>
        </is>
      </c>
      <c r="F1689" s="1" t="n">
        <v>1.300891</v>
      </c>
    </row>
    <row r="1690" ht="15.75" customHeight="1" s="201">
      <c r="A1690" s="1" t="n">
        <v>32202075</v>
      </c>
      <c r="B1690" s="1" t="inlineStr">
        <is>
          <t>Egg, cheese, and bacon griddle cake sandwich (Includes McDonald's Bacon, Egg, &amp; Cheese McGriddles)</t>
        </is>
      </c>
      <c r="C1690" s="1" t="n">
        <v>2</v>
      </c>
      <c r="D1690" s="1" t="inlineStr">
        <is>
          <t>Links to altEC</t>
        </is>
      </c>
      <c r="E1690" s="1" t="inlineStr">
        <is>
          <t>Base</t>
        </is>
      </c>
      <c r="F1690" s="1" t="n">
        <v>1.252309</v>
      </c>
    </row>
    <row r="1691" ht="15.75" customHeight="1" s="201">
      <c r="A1691" s="1" t="n">
        <v>32202080</v>
      </c>
      <c r="B1691" s="1" t="inlineStr">
        <is>
          <t>Egg, cheese, and bacon on English muffin (Includes Burger King; Dunkin' Donuts Breakfast Sandwich; Dunkin' Donuts English Muffin Bacon and Cheddar Omwich)</t>
        </is>
      </c>
      <c r="C1691" s="1" t="n">
        <v>1</v>
      </c>
      <c r="D1691" s="1" t="inlineStr">
        <is>
          <t>Links to FNDDS</t>
        </is>
      </c>
      <c r="E1691" s="1" t="inlineStr">
        <is>
          <t>Base</t>
        </is>
      </c>
      <c r="F1691" s="1" t="n">
        <v>1.14659</v>
      </c>
    </row>
    <row r="1692" ht="15.75" customHeight="1" s="201">
      <c r="A1692" s="1" t="n">
        <v>32202085</v>
      </c>
      <c r="B1692" s="1" t="inlineStr">
        <is>
          <t>Egg, cheese and bacon on bagel (Includes Dunkin' Donuts Bacon Cheddar Omwich; bagel sandwich with bacon, egg and cheese)</t>
        </is>
      </c>
      <c r="C1692" s="1" t="n">
        <v>4</v>
      </c>
      <c r="D1692" s="1" t="inlineStr">
        <is>
          <t>FNDDS recipe with replaced or modified SR codes</t>
        </is>
      </c>
      <c r="E1692" s="1" t="inlineStr">
        <is>
          <t>Base</t>
        </is>
      </c>
      <c r="F1692" s="1" t="n">
        <v>0.826411</v>
      </c>
    </row>
    <row r="1693" ht="15.75" customHeight="1" s="201">
      <c r="A1693" s="1" t="n">
        <v>32202090</v>
      </c>
      <c r="B1693" s="1" t="inlineStr">
        <is>
          <t>Egg and bacon on biscuit (Includes Hardee's Bacon &amp; Egg Biscuit)</t>
        </is>
      </c>
      <c r="C1693" s="1" t="n">
        <v>2</v>
      </c>
      <c r="D1693" s="1" t="inlineStr">
        <is>
          <t>Links to altEC</t>
        </is>
      </c>
      <c r="E1693" s="1" t="inlineStr">
        <is>
          <t>Base</t>
        </is>
      </c>
      <c r="F1693" s="1" t="n">
        <v>1.300891</v>
      </c>
    </row>
    <row r="1694" ht="15.75" customHeight="1" s="201">
      <c r="A1694" s="1" t="n">
        <v>32202120</v>
      </c>
      <c r="B1694" s="1" t="inlineStr">
        <is>
          <t>Egg, cheese and sausage on bagel (Includes McDonald's Spanish Omelet breakfast sandwich)</t>
        </is>
      </c>
      <c r="C1694" s="1" t="n">
        <v>1</v>
      </c>
      <c r="D1694" s="1" t="inlineStr">
        <is>
          <t>Links to FNDDS</t>
        </is>
      </c>
      <c r="E1694" s="1" t="inlineStr">
        <is>
          <t>Base</t>
        </is>
      </c>
      <c r="F1694" s="1" t="n">
        <v>1.696118</v>
      </c>
    </row>
    <row r="1695" ht="15.75" customHeight="1" s="201">
      <c r="A1695" s="1" t="n">
        <v>32202130</v>
      </c>
      <c r="B1695" s="1" t="inlineStr">
        <is>
          <t>Egg and steak on biscuit (Includes Hardee's Steak &amp; Egg Biscuit)</t>
        </is>
      </c>
      <c r="C1695" s="1" t="n">
        <v>4</v>
      </c>
      <c r="D1695" s="1" t="inlineStr">
        <is>
          <t>FNDDS recipe with replaced or modified SR codes</t>
        </is>
      </c>
      <c r="E1695" s="1" t="inlineStr">
        <is>
          <t>Base</t>
        </is>
      </c>
      <c r="F1695" s="1" t="n">
        <v>0.823353</v>
      </c>
    </row>
    <row r="1696" ht="15.75" customHeight="1" s="201">
      <c r="A1696" s="1" t="n">
        <v>32300100</v>
      </c>
      <c r="B1696" s="1" t="inlineStr">
        <is>
          <t>Egg drop soup</t>
        </is>
      </c>
      <c r="C1696" s="1" t="n">
        <v>2</v>
      </c>
      <c r="D1696" s="1" t="inlineStr">
        <is>
          <t>Links to altEC</t>
        </is>
      </c>
      <c r="E1696" s="1" t="inlineStr">
        <is>
          <t>Base</t>
        </is>
      </c>
      <c r="F1696" s="1" t="n">
        <v>1.539973</v>
      </c>
    </row>
    <row r="1697" ht="15.75" customHeight="1" s="201">
      <c r="A1697" s="1" t="n">
        <v>32400055</v>
      </c>
      <c r="B1697" s="1" t="inlineStr">
        <is>
          <t>Egg white omelet, scrambled, or fried, NS as to fat</t>
        </is>
      </c>
      <c r="C1697" s="1" t="n">
        <v>4</v>
      </c>
      <c r="D1697" s="1" t="inlineStr">
        <is>
          <t>FNDDS recipe with replaced or modified SR codes</t>
        </is>
      </c>
      <c r="E1697" s="1" t="inlineStr">
        <is>
          <t>Base</t>
        </is>
      </c>
      <c r="F1697" s="1" t="n">
        <v>0.403279</v>
      </c>
    </row>
    <row r="1698" ht="15.75" customHeight="1" s="201">
      <c r="A1698" s="1" t="n">
        <v>32400060</v>
      </c>
      <c r="B1698" s="1" t="inlineStr">
        <is>
          <t>Egg white omelet, scrambled, or fried, made with margarine (Includes made with shortening)</t>
        </is>
      </c>
      <c r="C1698" s="1" t="n">
        <v>4</v>
      </c>
      <c r="D1698" s="1" t="inlineStr">
        <is>
          <t>FNDDS recipe with replaced or modified SR codes</t>
        </is>
      </c>
      <c r="E1698" s="1" t="inlineStr">
        <is>
          <t>Base</t>
        </is>
      </c>
      <c r="F1698" s="1" t="n">
        <v>0.395168</v>
      </c>
    </row>
    <row r="1699" ht="15.75" customHeight="1" s="201">
      <c r="A1699" s="1" t="n">
        <v>32400065</v>
      </c>
      <c r="B1699" s="1" t="inlineStr">
        <is>
          <t>Egg white omelet, scrambled, or fried, made with oil</t>
        </is>
      </c>
      <c r="C1699" s="1" t="n">
        <v>4</v>
      </c>
      <c r="D1699" s="1" t="inlineStr">
        <is>
          <t>FNDDS recipe with replaced or modified SR codes</t>
        </is>
      </c>
      <c r="E1699" s="1" t="inlineStr">
        <is>
          <t>Base</t>
        </is>
      </c>
      <c r="F1699" s="1" t="n">
        <v>0.398344</v>
      </c>
    </row>
    <row r="1700" ht="15.75" customHeight="1" s="201">
      <c r="A1700" s="1" t="n">
        <v>32400075</v>
      </c>
      <c r="B1700" s="1" t="inlineStr">
        <is>
          <t>Egg white omelet, scrambled, or fried, made with cooking spray (Includes made with nonstick spray)</t>
        </is>
      </c>
      <c r="C1700" s="1" t="n">
        <v>3</v>
      </c>
      <c r="D1700" s="1" t="inlineStr">
        <is>
          <t>Original FNDDS recipe</t>
        </is>
      </c>
      <c r="E1700" s="1" t="inlineStr">
        <is>
          <t>Base</t>
        </is>
      </c>
      <c r="F1700" s="1" t="n">
        <v>0.409201</v>
      </c>
    </row>
    <row r="1701" ht="15.75" customHeight="1" s="201">
      <c r="A1701" s="1" t="n">
        <v>32400080</v>
      </c>
      <c r="B1701" s="1" t="inlineStr">
        <is>
          <t>Egg white omelet, scrambled, or fried, no added fat</t>
        </is>
      </c>
      <c r="C1701" s="1" t="n">
        <v>3</v>
      </c>
      <c r="D1701" s="1" t="inlineStr">
        <is>
          <t>Original FNDDS recipe</t>
        </is>
      </c>
      <c r="E1701" s="1" t="inlineStr">
        <is>
          <t>Base</t>
        </is>
      </c>
      <c r="F1701" s="1" t="n">
        <v>0.396952</v>
      </c>
    </row>
    <row r="1702" ht="15.75" customHeight="1" s="201">
      <c r="A1702" s="1" t="n">
        <v>32400100</v>
      </c>
      <c r="B1702" s="1" t="inlineStr">
        <is>
          <t>Egg white, omelet, scrambled, or fried, with cheese (Includes with or without fat)</t>
        </is>
      </c>
      <c r="C1702" s="1" t="n">
        <v>4</v>
      </c>
      <c r="D1702" s="1" t="inlineStr">
        <is>
          <t>FNDDS recipe with replaced or modified SR codes</t>
        </is>
      </c>
      <c r="E1702" s="1" t="inlineStr">
        <is>
          <t>Base</t>
        </is>
      </c>
      <c r="F1702" s="1" t="n">
        <v>0.497493</v>
      </c>
    </row>
    <row r="1703" ht="15.75" customHeight="1" s="201">
      <c r="A1703" s="1" t="n">
        <v>32400200</v>
      </c>
      <c r="B1703" s="1" t="inlineStr">
        <is>
          <t>Egg white, omelet, scrambled, or fried, with meat (Includes all meat, poultry, and seafood; with or without fat)</t>
        </is>
      </c>
      <c r="C1703" s="1" t="n">
        <v>4</v>
      </c>
      <c r="D1703" s="1" t="inlineStr">
        <is>
          <t>FNDDS recipe with replaced or modified SR codes</t>
        </is>
      </c>
      <c r="E1703" s="1" t="inlineStr">
        <is>
          <t>Base</t>
        </is>
      </c>
      <c r="F1703" s="1" t="n">
        <v>0.575852</v>
      </c>
    </row>
    <row r="1704" ht="15.75" customHeight="1" s="201">
      <c r="A1704" s="1" t="n">
        <v>32400300</v>
      </c>
      <c r="B1704" s="1" t="inlineStr">
        <is>
          <t>Egg white, omelet, scrambled, or fried, with vegetables (Includes any type of vegetable; with or without fat)</t>
        </is>
      </c>
      <c r="C1704" s="1" t="n">
        <v>4</v>
      </c>
      <c r="D1704" s="1" t="inlineStr">
        <is>
          <t>FNDDS recipe with replaced or modified SR codes</t>
        </is>
      </c>
      <c r="E1704" s="1" t="inlineStr">
        <is>
          <t>Base</t>
        </is>
      </c>
      <c r="F1704" s="1" t="n">
        <v>0.45025</v>
      </c>
    </row>
    <row r="1705" ht="15.75" customHeight="1" s="201">
      <c r="A1705" s="1" t="n">
        <v>32400400</v>
      </c>
      <c r="B1705" s="1" t="inlineStr">
        <is>
          <t>Egg white, omelet, scrambled, or fried, with cheese and meat (Includes all meat, poultry, and seafood; with or without fat)</t>
        </is>
      </c>
      <c r="C1705" s="1" t="n">
        <v>4</v>
      </c>
      <c r="D1705" s="1" t="inlineStr">
        <is>
          <t>FNDDS recipe with replaced or modified SR codes</t>
        </is>
      </c>
      <c r="E1705" s="1" t="inlineStr">
        <is>
          <t>Base</t>
        </is>
      </c>
      <c r="F1705" s="1" t="n">
        <v>0.596724</v>
      </c>
    </row>
    <row r="1706" ht="15.75" customHeight="1" s="201">
      <c r="A1706" s="1" t="n">
        <v>32400500</v>
      </c>
      <c r="B1706" s="1" t="inlineStr">
        <is>
          <t>Egg white, omelet, scrambled, or fried, with cheese and vegetables (Includes any type of vegetable; with or without fat)</t>
        </is>
      </c>
      <c r="C1706" s="1" t="n">
        <v>4</v>
      </c>
      <c r="D1706" s="1" t="inlineStr">
        <is>
          <t>FNDDS recipe with replaced or modified SR codes</t>
        </is>
      </c>
      <c r="E1706" s="1" t="inlineStr">
        <is>
          <t>Base</t>
        </is>
      </c>
      <c r="F1706" s="1" t="n">
        <v>0.52904</v>
      </c>
    </row>
    <row r="1707" ht="15.75" customHeight="1" s="201">
      <c r="A1707" s="1" t="n">
        <v>32400600</v>
      </c>
      <c r="B1707" s="1" t="inlineStr">
        <is>
          <t>Egg white, omelet, scrambled, or fried, with meat and vegetables (Includes all meat, poultry, and seafood; any type of vegetable; with or without fat)</t>
        </is>
      </c>
      <c r="C1707" s="1" t="n">
        <v>4</v>
      </c>
      <c r="D1707" s="1" t="inlineStr">
        <is>
          <t>FNDDS recipe with replaced or modified SR codes</t>
        </is>
      </c>
      <c r="E1707" s="1" t="inlineStr">
        <is>
          <t>Base</t>
        </is>
      </c>
      <c r="F1707" s="1" t="n">
        <v>0.553053</v>
      </c>
    </row>
    <row r="1708" ht="15.75" customHeight="1" s="201">
      <c r="A1708" s="1" t="n">
        <v>32400700</v>
      </c>
      <c r="B1708" s="1" t="inlineStr">
        <is>
          <t>Egg white, omelet, scrambled, or fried, with cheese, meat, and vegetables (Includes all meat, poultry, and seafood; any type of vegetable; with or without fat)</t>
        </is>
      </c>
      <c r="C1708" s="1" t="n">
        <v>4</v>
      </c>
      <c r="D1708" s="1" t="inlineStr">
        <is>
          <t>FNDDS recipe with replaced or modified SR codes</t>
        </is>
      </c>
      <c r="E1708" s="1" t="inlineStr">
        <is>
          <t>Base</t>
        </is>
      </c>
      <c r="F1708" s="1" t="n">
        <v>0.607531</v>
      </c>
    </row>
    <row r="1709" ht="15.75" customHeight="1" s="201">
      <c r="A1709" s="1" t="n">
        <v>32401000</v>
      </c>
      <c r="B1709" s="1" t="inlineStr">
        <is>
          <t>Meringues</t>
        </is>
      </c>
      <c r="C1709" s="1" t="n">
        <v>2</v>
      </c>
      <c r="D1709" s="1" t="inlineStr">
        <is>
          <t>Links to altEC</t>
        </is>
      </c>
      <c r="E1709" s="1" t="inlineStr">
        <is>
          <t>Base</t>
        </is>
      </c>
      <c r="F1709" s="1" t="n">
        <v>1.449537</v>
      </c>
    </row>
    <row r="1710" ht="15.75" customHeight="1" s="201">
      <c r="A1710" s="1" t="n">
        <v>33001010</v>
      </c>
      <c r="B1710" s="1" t="inlineStr">
        <is>
          <t>Egg substitute, omelet, scrambled, or fried, fat added (Includes Egg Beaters)</t>
        </is>
      </c>
      <c r="C1710" s="1" t="n">
        <v>4</v>
      </c>
      <c r="D1710" s="1" t="inlineStr">
        <is>
          <t>FNDDS recipe with replaced or modified SR codes</t>
        </is>
      </c>
      <c r="E1710" s="1" t="inlineStr">
        <is>
          <t>Base</t>
        </is>
      </c>
      <c r="F1710" s="1" t="n">
        <v>0.57726</v>
      </c>
    </row>
    <row r="1711" ht="15.75" customHeight="1" s="201">
      <c r="A1711" s="1" t="n">
        <v>33001050</v>
      </c>
      <c r="B1711" s="1" t="inlineStr">
        <is>
          <t>Egg substitute, omelet, scrambled, or fried, no added fat (Includes Egg Beaters; cooking spray)</t>
        </is>
      </c>
      <c r="C1711" s="1" t="n">
        <v>3</v>
      </c>
      <c r="D1711" s="1" t="inlineStr">
        <is>
          <t>Original FNDDS recipe</t>
        </is>
      </c>
      <c r="E1711" s="1" t="inlineStr">
        <is>
          <t>Base</t>
        </is>
      </c>
      <c r="F1711" s="1" t="n">
        <v>0.583075</v>
      </c>
    </row>
    <row r="1712" ht="15.75" customHeight="1" s="201">
      <c r="A1712" s="1" t="n">
        <v>33401000</v>
      </c>
      <c r="B1712" s="1" t="inlineStr">
        <is>
          <t>Egg substitute, omelet, scrambled, or fried, with cheese (Includes Egg Beaters; with or without fat)</t>
        </is>
      </c>
      <c r="C1712" s="1" t="n">
        <v>4</v>
      </c>
      <c r="D1712" s="1" t="inlineStr">
        <is>
          <t>FNDDS recipe with replaced or modified SR codes</t>
        </is>
      </c>
      <c r="E1712" s="1" t="inlineStr">
        <is>
          <t>Base</t>
        </is>
      </c>
      <c r="F1712" s="1" t="n">
        <v>0.650135</v>
      </c>
    </row>
    <row r="1713" ht="15.75" customHeight="1" s="201">
      <c r="A1713" s="1" t="n">
        <v>33401400</v>
      </c>
      <c r="B1713" s="1" t="inlineStr">
        <is>
          <t>Egg substitute, omelet, scrambled, or fried, with cheese and vegetables (Includes Egg Beaters; any type of vegetable; with or without fat)</t>
        </is>
      </c>
      <c r="C1713" s="1" t="n">
        <v>4</v>
      </c>
      <c r="D1713" s="1" t="inlineStr">
        <is>
          <t>FNDDS recipe with replaced or modified SR codes</t>
        </is>
      </c>
      <c r="E1713" s="1" t="inlineStr">
        <is>
          <t>Base</t>
        </is>
      </c>
      <c r="F1713" s="1" t="n">
        <v>0.665006</v>
      </c>
    </row>
    <row r="1714" ht="15.75" customHeight="1" s="201">
      <c r="A1714" s="1" t="n">
        <v>33401500</v>
      </c>
      <c r="B1714" s="1" t="inlineStr">
        <is>
          <t>Egg substitute, omelet, scrambled, or fried, with meat and vegetables (Includes Egg Beaters; all meat, poultry, and seafood; any type of vegetable; with or without fat)</t>
        </is>
      </c>
      <c r="C1714" s="1" t="n">
        <v>4</v>
      </c>
      <c r="D1714" s="1" t="inlineStr">
        <is>
          <t>FNDDS recipe with replaced or modified SR codes</t>
        </is>
      </c>
      <c r="E1714" s="1" t="inlineStr">
        <is>
          <t>Base</t>
        </is>
      </c>
      <c r="F1714" s="1" t="n">
        <v>0.6941580000000001</v>
      </c>
    </row>
    <row r="1715" ht="15.75" customHeight="1" s="201">
      <c r="A1715" s="1" t="n">
        <v>41100990</v>
      </c>
      <c r="B1715" s="1" t="inlineStr">
        <is>
          <t>Beans, NFS</t>
        </is>
      </c>
      <c r="C1715" s="1" t="n">
        <v>2</v>
      </c>
      <c r="D1715" s="1" t="inlineStr">
        <is>
          <t>Links to altEC</t>
        </is>
      </c>
      <c r="E1715" s="1" t="inlineStr">
        <is>
          <t>Base</t>
        </is>
      </c>
      <c r="F1715" s="1" t="n">
        <v>0.219299</v>
      </c>
    </row>
    <row r="1716" ht="15.75" customHeight="1" s="201">
      <c r="A1716" s="1" t="n">
        <v>41101010</v>
      </c>
      <c r="B1716" s="1" t="inlineStr">
        <is>
          <t>Beans, from dried, NS as to type, fat added (Includes NS as to fat; NS as to meat; frozen)</t>
        </is>
      </c>
      <c r="C1716" s="1" t="n">
        <v>4</v>
      </c>
      <c r="D1716" s="1" t="inlineStr">
        <is>
          <t>FNDDS recipe with replaced or modified SR codes</t>
        </is>
      </c>
      <c r="E1716" s="1" t="inlineStr">
        <is>
          <t>Base</t>
        </is>
      </c>
      <c r="F1716" s="1" t="n">
        <v>0.246977</v>
      </c>
    </row>
    <row r="1717" ht="15.75" customHeight="1" s="201">
      <c r="A1717" s="1" t="n">
        <v>41101060</v>
      </c>
      <c r="B1717" s="1" t="inlineStr">
        <is>
          <t>Beans, from canned, NS as to type, fat added (Includes NS as to fat; NS as to meat)</t>
        </is>
      </c>
      <c r="C1717" s="1" t="n">
        <v>3</v>
      </c>
      <c r="D1717" s="1" t="inlineStr">
        <is>
          <t>Original FNDDS recipe</t>
        </is>
      </c>
      <c r="E1717" s="1" t="inlineStr">
        <is>
          <t>Base</t>
        </is>
      </c>
      <c r="F1717" s="1" t="n">
        <v>0.292552</v>
      </c>
    </row>
    <row r="1718" ht="15.75" customHeight="1" s="201">
      <c r="A1718" s="1" t="n">
        <v>41101070</v>
      </c>
      <c r="B1718" s="1" t="inlineStr">
        <is>
          <t>Beans, from canned, NS as to type, no added fat</t>
        </is>
      </c>
      <c r="C1718" s="1" t="n">
        <v>2</v>
      </c>
      <c r="D1718" s="1" t="inlineStr">
        <is>
          <t>Links to altEC</t>
        </is>
      </c>
      <c r="E1718" s="1" t="inlineStr">
        <is>
          <t>Base</t>
        </is>
      </c>
      <c r="F1718" s="1" t="n">
        <v>0.252847</v>
      </c>
    </row>
    <row r="1719" ht="15.75" customHeight="1" s="201">
      <c r="A1719" s="1" t="n">
        <v>41101110</v>
      </c>
      <c r="B1719" s="1" t="inlineStr">
        <is>
          <t>White beans, from dried, fat added (Includes Great Northern; Navy; Cannellini; NS as to fat; NS as to meat; frozen)</t>
        </is>
      </c>
      <c r="C1719" s="1" t="n">
        <v>4</v>
      </c>
      <c r="D1719" s="1" t="inlineStr">
        <is>
          <t>FNDDS recipe with replaced or modified SR codes</t>
        </is>
      </c>
      <c r="E1719" s="1" t="inlineStr">
        <is>
          <t>Base</t>
        </is>
      </c>
      <c r="F1719" s="1" t="n">
        <v>0.270638</v>
      </c>
    </row>
    <row r="1720" ht="15.75" customHeight="1" s="201">
      <c r="A1720" s="1" t="n">
        <v>41101990</v>
      </c>
      <c r="B1720" s="1" t="inlineStr">
        <is>
          <t>Black beans, NFS</t>
        </is>
      </c>
      <c r="C1720" s="1" t="n">
        <v>2</v>
      </c>
      <c r="D1720" s="1" t="inlineStr">
        <is>
          <t>Links to altEC</t>
        </is>
      </c>
      <c r="E1720" s="1" t="inlineStr">
        <is>
          <t>Base</t>
        </is>
      </c>
      <c r="F1720" s="1" t="n">
        <v>0.313588</v>
      </c>
    </row>
    <row r="1721" ht="15.75" customHeight="1" s="201">
      <c r="A1721" s="1" t="n">
        <v>41102010</v>
      </c>
      <c r="B1721" s="1" t="inlineStr">
        <is>
          <t>Black beans, from dried, fat added (Includes NS as to fat; NS as to meat; frozen)</t>
        </is>
      </c>
      <c r="C1721" s="1" t="n">
        <v>4</v>
      </c>
      <c r="D1721" s="1" t="inlineStr">
        <is>
          <t>FNDDS recipe with replaced or modified SR codes</t>
        </is>
      </c>
      <c r="E1721" s="1" t="inlineStr">
        <is>
          <t>Base</t>
        </is>
      </c>
      <c r="F1721" s="1" t="n">
        <v>0.320401</v>
      </c>
    </row>
    <row r="1722" ht="15.75" customHeight="1" s="201">
      <c r="A1722" s="1" t="n">
        <v>41102020</v>
      </c>
      <c r="B1722" s="1" t="inlineStr">
        <is>
          <t>Black beans, from dried, no added fat (Includes frozen)</t>
        </is>
      </c>
      <c r="C1722" s="1" t="n">
        <v>2</v>
      </c>
      <c r="D1722" s="1" t="inlineStr">
        <is>
          <t>Links to altEC</t>
        </is>
      </c>
      <c r="E1722" s="1" t="inlineStr">
        <is>
          <t>Base</t>
        </is>
      </c>
      <c r="F1722" s="1" t="n">
        <v>0.313588</v>
      </c>
    </row>
    <row r="1723" ht="15.75" customHeight="1" s="201">
      <c r="A1723" s="1" t="n">
        <v>41102040</v>
      </c>
      <c r="B1723" s="1" t="inlineStr">
        <is>
          <t>Black beans, from canned, fat added (Includes NS as to fat added; NS as to meat)</t>
        </is>
      </c>
      <c r="C1723" s="1" t="n">
        <v>4</v>
      </c>
      <c r="D1723" s="1" t="inlineStr">
        <is>
          <t>FNDDS recipe with replaced or modified SR codes</t>
        </is>
      </c>
      <c r="E1723" s="1" t="inlineStr">
        <is>
          <t>Base</t>
        </is>
      </c>
      <c r="F1723" s="1" t="n">
        <v>0.467461</v>
      </c>
    </row>
    <row r="1724" ht="15.75" customHeight="1" s="201">
      <c r="A1724" s="1" t="n">
        <v>41102080</v>
      </c>
      <c r="B1724" s="1" t="inlineStr">
        <is>
          <t>Black beans, from canned, no added fat</t>
        </is>
      </c>
      <c r="C1724" s="1" t="n">
        <v>2</v>
      </c>
      <c r="D1724" s="1" t="inlineStr">
        <is>
          <t>Links to altEC</t>
        </is>
      </c>
      <c r="E1724" s="1" t="inlineStr">
        <is>
          <t>Base</t>
        </is>
      </c>
      <c r="F1724" s="1" t="n">
        <v>0.313588</v>
      </c>
    </row>
    <row r="1725" ht="15.75" customHeight="1" s="201">
      <c r="A1725" s="1" t="n">
        <v>41102110</v>
      </c>
      <c r="B1725" s="1" t="inlineStr">
        <is>
          <t>Black beans, from canned, reduced sodium (Includes with or without fat; NS as to meat)</t>
        </is>
      </c>
      <c r="C1725" s="1" t="n">
        <v>2</v>
      </c>
      <c r="D1725" s="1" t="inlineStr">
        <is>
          <t>Links to altEC</t>
        </is>
      </c>
      <c r="E1725" s="1" t="inlineStr">
        <is>
          <t>Base</t>
        </is>
      </c>
      <c r="F1725" s="1" t="n">
        <v>0.313588</v>
      </c>
    </row>
    <row r="1726" ht="15.75" customHeight="1" s="201">
      <c r="A1726" s="1" t="n">
        <v>41102150</v>
      </c>
      <c r="B1726" s="1" t="inlineStr">
        <is>
          <t>Black beans, from fast food / restaurant</t>
        </is>
      </c>
      <c r="C1726" s="1" t="n">
        <v>2</v>
      </c>
      <c r="D1726" s="1" t="inlineStr">
        <is>
          <t>Links to altEC</t>
        </is>
      </c>
      <c r="E1726" s="1" t="inlineStr">
        <is>
          <t>Base</t>
        </is>
      </c>
      <c r="F1726" s="1" t="n">
        <v>0.313588</v>
      </c>
    </row>
    <row r="1727" ht="15.75" customHeight="1" s="201">
      <c r="A1727" s="1" t="n">
        <v>41102210</v>
      </c>
      <c r="B1727" s="1" t="inlineStr">
        <is>
          <t>Fava beans, cooked (Includes broad; with or without fat; NS as to meat)</t>
        </is>
      </c>
      <c r="C1727" s="1" t="n">
        <v>1</v>
      </c>
      <c r="D1727" s="1" t="inlineStr">
        <is>
          <t>Links to FNDDS</t>
        </is>
      </c>
      <c r="E1727" s="1" t="inlineStr">
        <is>
          <t>Base</t>
        </is>
      </c>
      <c r="F1727" s="1" t="n">
        <v>0.513629</v>
      </c>
    </row>
    <row r="1728" ht="15.75" customHeight="1" s="201">
      <c r="A1728" s="1" t="n">
        <v>41102990</v>
      </c>
      <c r="B1728" s="1" t="inlineStr">
        <is>
          <t>Lima beans, NFS (Includes butter beans)</t>
        </is>
      </c>
      <c r="C1728" s="1" t="n">
        <v>2</v>
      </c>
      <c r="D1728" s="1" t="inlineStr">
        <is>
          <t>Links to altEC</t>
        </is>
      </c>
      <c r="E1728" s="1" t="inlineStr">
        <is>
          <t>Base</t>
        </is>
      </c>
      <c r="F1728" s="1" t="n">
        <v>0.324732</v>
      </c>
    </row>
    <row r="1729" ht="15.75" customHeight="1" s="201">
      <c r="A1729" s="1" t="n">
        <v>41103010</v>
      </c>
      <c r="B1729" s="1" t="inlineStr">
        <is>
          <t>Lima beans, from dried (Includes butter beans; with or without fat; NS as to meat)</t>
        </is>
      </c>
      <c r="C1729" s="1" t="n">
        <v>2</v>
      </c>
      <c r="D1729" s="1" t="inlineStr">
        <is>
          <t>Links to altEC</t>
        </is>
      </c>
      <c r="E1729" s="1" t="inlineStr">
        <is>
          <t>Base</t>
        </is>
      </c>
      <c r="F1729" s="1" t="n">
        <v>0.322022</v>
      </c>
    </row>
    <row r="1730" ht="15.75" customHeight="1" s="201">
      <c r="A1730" s="1" t="n">
        <v>41103070</v>
      </c>
      <c r="B1730" s="1" t="inlineStr">
        <is>
          <t>Pink beans, cooked (Includes with or without fat; NS as to meat)</t>
        </is>
      </c>
      <c r="C1730" s="1" t="n">
        <v>1</v>
      </c>
      <c r="D1730" s="1" t="inlineStr">
        <is>
          <t>Links to FNDDS</t>
        </is>
      </c>
      <c r="E1730" s="1" t="inlineStr">
        <is>
          <t>Base</t>
        </is>
      </c>
      <c r="F1730" s="1" t="n">
        <v>0.290049</v>
      </c>
    </row>
    <row r="1731" ht="15.75" customHeight="1" s="201">
      <c r="A1731" s="1" t="n">
        <v>41103990</v>
      </c>
      <c r="B1731" s="1" t="inlineStr">
        <is>
          <t>Pinto beans, NFS (Includes calico)</t>
        </is>
      </c>
      <c r="C1731" s="1" t="n">
        <v>2</v>
      </c>
      <c r="D1731" s="1" t="inlineStr">
        <is>
          <t>Links to altEC</t>
        </is>
      </c>
      <c r="E1731" s="1" t="inlineStr">
        <is>
          <t>Base</t>
        </is>
      </c>
      <c r="F1731" s="1" t="n">
        <v>0.285413</v>
      </c>
    </row>
    <row r="1732" ht="15.75" customHeight="1" s="201">
      <c r="A1732" s="1" t="n">
        <v>41104010</v>
      </c>
      <c r="B1732" s="1" t="inlineStr">
        <is>
          <t>Pinto beans, from dried, fat added (Includes calico; NS as to fat; NS as to meat; frozen)</t>
        </is>
      </c>
      <c r="C1732" s="1" t="n">
        <v>4</v>
      </c>
      <c r="D1732" s="1" t="inlineStr">
        <is>
          <t>FNDDS recipe with replaced or modified SR codes</t>
        </is>
      </c>
      <c r="E1732" s="1" t="inlineStr">
        <is>
          <t>Base</t>
        </is>
      </c>
      <c r="F1732" s="1" t="n">
        <v>0.237387</v>
      </c>
    </row>
    <row r="1733" ht="15.75" customHeight="1" s="201">
      <c r="A1733" s="1" t="n">
        <v>41104020</v>
      </c>
      <c r="B1733" s="1" t="inlineStr">
        <is>
          <t>Pinto beans, from dried, no added fat (Includes calico; frozen)</t>
        </is>
      </c>
      <c r="C1733" s="1" t="n">
        <v>2</v>
      </c>
      <c r="D1733" s="1" t="inlineStr">
        <is>
          <t>Links to altEC</t>
        </is>
      </c>
      <c r="E1733" s="1" t="inlineStr">
        <is>
          <t>Base</t>
        </is>
      </c>
      <c r="F1733" s="1" t="n">
        <v>0.285413</v>
      </c>
    </row>
    <row r="1734" ht="15.75" customHeight="1" s="201">
      <c r="A1734" s="1" t="n">
        <v>41104040</v>
      </c>
      <c r="B1734" s="1" t="inlineStr">
        <is>
          <t>Pinto beans, from canned, fat added (Includes calico; NS as to fat; NS as to meat)</t>
        </is>
      </c>
      <c r="C1734" s="1" t="n">
        <v>4</v>
      </c>
      <c r="D1734" s="1" t="inlineStr">
        <is>
          <t>FNDDS recipe with replaced or modified SR codes</t>
        </is>
      </c>
      <c r="E1734" s="1" t="inlineStr">
        <is>
          <t>Base</t>
        </is>
      </c>
      <c r="F1734" s="1" t="n">
        <v>0.386524</v>
      </c>
    </row>
    <row r="1735" ht="15.75" customHeight="1" s="201">
      <c r="A1735" s="1" t="n">
        <v>41104080</v>
      </c>
      <c r="B1735" s="1" t="inlineStr">
        <is>
          <t>Pinto beans, from canned, no added fat (Includes calico)</t>
        </is>
      </c>
      <c r="C1735" s="1" t="n">
        <v>1</v>
      </c>
      <c r="D1735" s="1" t="inlineStr">
        <is>
          <t>Links to FNDDS</t>
        </is>
      </c>
      <c r="E1735" s="1" t="inlineStr">
        <is>
          <t>Base</t>
        </is>
      </c>
      <c r="F1735" s="1" t="n">
        <v>0.285413</v>
      </c>
    </row>
    <row r="1736" ht="15.75" customHeight="1" s="201">
      <c r="A1736" s="1" t="n">
        <v>41104110</v>
      </c>
      <c r="B1736" s="1" t="inlineStr">
        <is>
          <t>Pinto beans, from canned, reduced sodium (Includes calico; with or without fat; NS as to meat)</t>
        </is>
      </c>
      <c r="C1736" s="1" t="n">
        <v>2</v>
      </c>
      <c r="D1736" s="1" t="inlineStr">
        <is>
          <t>Links to altEC</t>
        </is>
      </c>
      <c r="E1736" s="1" t="inlineStr">
        <is>
          <t>Base</t>
        </is>
      </c>
      <c r="F1736" s="1" t="n">
        <v>0.285413</v>
      </c>
    </row>
    <row r="1737" ht="15.75" customHeight="1" s="201">
      <c r="A1737" s="1" t="n">
        <v>41104200</v>
      </c>
      <c r="B1737" s="1" t="inlineStr">
        <is>
          <t>Pinto beans, from fast food / restaurant (Includes calico)</t>
        </is>
      </c>
      <c r="C1737" s="1" t="n">
        <v>2</v>
      </c>
      <c r="D1737" s="1" t="inlineStr">
        <is>
          <t>Links to altEC</t>
        </is>
      </c>
      <c r="E1737" s="1" t="inlineStr">
        <is>
          <t>Base</t>
        </is>
      </c>
      <c r="F1737" s="1" t="n">
        <v>0.285413</v>
      </c>
    </row>
    <row r="1738" ht="15.75" customHeight="1" s="201">
      <c r="A1738" s="1" t="n">
        <v>41104250</v>
      </c>
      <c r="B1738" s="1" t="inlineStr">
        <is>
          <t>Pinto beans with meat (Includes calico)</t>
        </is>
      </c>
      <c r="C1738" s="1" t="n">
        <v>2</v>
      </c>
      <c r="D1738" s="1" t="inlineStr">
        <is>
          <t>Links to altEC</t>
        </is>
      </c>
      <c r="E1738" s="1" t="inlineStr">
        <is>
          <t>Base</t>
        </is>
      </c>
      <c r="F1738" s="1" t="n">
        <v>1.235069</v>
      </c>
    </row>
    <row r="1739" ht="15.75" customHeight="1" s="201">
      <c r="A1739" s="1" t="n">
        <v>41105990</v>
      </c>
      <c r="B1739" s="1" t="inlineStr">
        <is>
          <t>Kidney beans, NFS (Includes red)</t>
        </is>
      </c>
      <c r="C1739" s="1" t="n">
        <v>2</v>
      </c>
      <c r="D1739" s="1" t="inlineStr">
        <is>
          <t>Links to altEC</t>
        </is>
      </c>
      <c r="E1739" s="1" t="inlineStr">
        <is>
          <t>Base</t>
        </is>
      </c>
      <c r="F1739" s="1" t="n">
        <v>0.263622</v>
      </c>
    </row>
    <row r="1740" ht="15.75" customHeight="1" s="201">
      <c r="A1740" s="1" t="n">
        <v>41106010</v>
      </c>
      <c r="B1740" s="1" t="inlineStr">
        <is>
          <t>Kidney beans, from dried, fat added (Includes red; NS as to fat; NS as to meat; frozen)</t>
        </is>
      </c>
      <c r="C1740" s="1" t="n">
        <v>4</v>
      </c>
      <c r="D1740" s="1" t="inlineStr">
        <is>
          <t>FNDDS recipe with replaced or modified SR codes</t>
        </is>
      </c>
      <c r="E1740" s="1" t="inlineStr">
        <is>
          <t>Base</t>
        </is>
      </c>
      <c r="F1740" s="1" t="n">
        <v>0.183994</v>
      </c>
    </row>
    <row r="1741" ht="15.75" customHeight="1" s="201">
      <c r="A1741" s="1" t="n">
        <v>41106020</v>
      </c>
      <c r="B1741" s="1" t="inlineStr">
        <is>
          <t>Kidney beans, from dried, no added fat (Includes red; frozen)</t>
        </is>
      </c>
      <c r="C1741" s="1" t="n">
        <v>2</v>
      </c>
      <c r="D1741" s="1" t="inlineStr">
        <is>
          <t>Links to altEC</t>
        </is>
      </c>
      <c r="E1741" s="1" t="inlineStr">
        <is>
          <t>Base</t>
        </is>
      </c>
      <c r="F1741" s="1" t="n">
        <v>0.263622</v>
      </c>
    </row>
    <row r="1742" ht="15.75" customHeight="1" s="201">
      <c r="A1742" s="1" t="n">
        <v>41106080</v>
      </c>
      <c r="B1742" s="1" t="inlineStr">
        <is>
          <t>Kidney beans, from canned, no added fat (Includes red)</t>
        </is>
      </c>
      <c r="C1742" s="1" t="n">
        <v>2</v>
      </c>
      <c r="D1742" s="1" t="inlineStr">
        <is>
          <t>Links to altEC</t>
        </is>
      </c>
      <c r="E1742" s="1" t="inlineStr">
        <is>
          <t>Base</t>
        </is>
      </c>
      <c r="F1742" s="1" t="n">
        <v>0.263622</v>
      </c>
    </row>
    <row r="1743" ht="15.75" customHeight="1" s="201">
      <c r="A1743" s="1" t="n">
        <v>41106110</v>
      </c>
      <c r="B1743" s="1" t="inlineStr">
        <is>
          <t>Kidney beans, from canned, reduced sodium (Includes red; with or without fat; NS as to meat)</t>
        </is>
      </c>
      <c r="C1743" s="1" t="n">
        <v>2</v>
      </c>
      <c r="D1743" s="1" t="inlineStr">
        <is>
          <t>Links to altEC</t>
        </is>
      </c>
      <c r="E1743" s="1" t="inlineStr">
        <is>
          <t>Base</t>
        </is>
      </c>
      <c r="F1743" s="1" t="n">
        <v>0.263622</v>
      </c>
    </row>
    <row r="1744" ht="15.75" customHeight="1" s="201">
      <c r="A1744" s="1" t="n">
        <v>41106510</v>
      </c>
      <c r="B1744" s="1" t="inlineStr">
        <is>
          <t>Peruvian beans, from dried (Includes Peruano; with or without fat; NS as to meat; frozen)</t>
        </is>
      </c>
      <c r="C1744" s="1" t="n">
        <v>4</v>
      </c>
      <c r="D1744" s="1" t="inlineStr">
        <is>
          <t>FNDDS recipe with replaced or modified SR codes</t>
        </is>
      </c>
      <c r="E1744" s="1" t="inlineStr">
        <is>
          <t>Base</t>
        </is>
      </c>
      <c r="F1744" s="1" t="n">
        <v>0.172938</v>
      </c>
    </row>
    <row r="1745" ht="15.75" customHeight="1" s="201">
      <c r="A1745" s="1" t="n">
        <v>41107010</v>
      </c>
      <c r="B1745" s="1" t="inlineStr">
        <is>
          <t>Soybeans, cooked (Includes with or without fat; NS as to meat)</t>
        </is>
      </c>
      <c r="C1745" s="1" t="n">
        <v>1</v>
      </c>
      <c r="D1745" s="1" t="inlineStr">
        <is>
          <t>Links to FNDDS</t>
        </is>
      </c>
      <c r="E1745" s="1" t="inlineStr">
        <is>
          <t>Base</t>
        </is>
      </c>
      <c r="F1745" s="1" t="n">
        <v>0.929607</v>
      </c>
    </row>
    <row r="1746" ht="15.75" customHeight="1" s="201">
      <c r="A1746" s="1" t="n">
        <v>41108010</v>
      </c>
      <c r="B1746" s="1" t="inlineStr">
        <is>
          <t>Mung beans, cooked (Includes with or without fat; NS as to meat)</t>
        </is>
      </c>
      <c r="C1746" s="1" t="n">
        <v>4</v>
      </c>
      <c r="D1746" s="1" t="inlineStr">
        <is>
          <t>FNDDS recipe with replaced or modified SR codes</t>
        </is>
      </c>
      <c r="E1746" s="1" t="inlineStr">
        <is>
          <t>Base</t>
        </is>
      </c>
      <c r="F1746" s="1" t="n">
        <v>0.267658</v>
      </c>
    </row>
    <row r="1747" ht="15.75" customHeight="1" s="201">
      <c r="A1747" s="1" t="n">
        <v>41201010</v>
      </c>
      <c r="B1747" s="1" t="inlineStr">
        <is>
          <t>Baked beans (Includes chili; barbecue; baked beans, NFS)</t>
        </is>
      </c>
      <c r="C1747" s="1" t="n">
        <v>2</v>
      </c>
      <c r="D1747" s="1" t="inlineStr">
        <is>
          <t>Links to altEC</t>
        </is>
      </c>
      <c r="E1747" s="1" t="inlineStr">
        <is>
          <t>Base</t>
        </is>
      </c>
      <c r="F1747" s="1" t="n">
        <v>0.254266</v>
      </c>
    </row>
    <row r="1748" ht="15.75" customHeight="1" s="201">
      <c r="A1748" s="1" t="n">
        <v>41201050</v>
      </c>
      <c r="B1748" s="1" t="inlineStr">
        <is>
          <t>Baked beans from fast food / restaurant</t>
        </is>
      </c>
      <c r="C1748" s="1" t="n">
        <v>4</v>
      </c>
      <c r="D1748" s="1" t="inlineStr">
        <is>
          <t>FNDDS recipe with replaced or modified SR codes</t>
        </is>
      </c>
      <c r="E1748" s="1" t="inlineStr">
        <is>
          <t>Base</t>
        </is>
      </c>
      <c r="F1748" s="1" t="n">
        <v>0.252038</v>
      </c>
    </row>
    <row r="1749" ht="15.75" customHeight="1" s="201">
      <c r="A1749" s="1" t="n">
        <v>41202510</v>
      </c>
      <c r="B1749" s="1" t="inlineStr">
        <is>
          <t>Beans and tomatoes, fat added (Includes beans with tomato sauce; dried beans, all kinds; NS as to fat)</t>
        </is>
      </c>
      <c r="C1749" s="1" t="n">
        <v>4</v>
      </c>
      <c r="D1749" s="1" t="inlineStr">
        <is>
          <t>FNDDS recipe with replaced or modified SR codes</t>
        </is>
      </c>
      <c r="E1749" s="1" t="inlineStr">
        <is>
          <t>Base</t>
        </is>
      </c>
      <c r="F1749" s="1" t="n">
        <v>0.242699</v>
      </c>
    </row>
    <row r="1750" ht="15.75" customHeight="1" s="201">
      <c r="A1750" s="1" t="n">
        <v>41203030</v>
      </c>
      <c r="B1750" s="1" t="inlineStr">
        <is>
          <t>Black bean salad</t>
        </is>
      </c>
      <c r="C1750" s="1" t="n">
        <v>1</v>
      </c>
      <c r="D1750" s="1" t="inlineStr">
        <is>
          <t>Links to FNDDS</t>
        </is>
      </c>
      <c r="E1750" s="1" t="inlineStr">
        <is>
          <t>Base</t>
        </is>
      </c>
      <c r="F1750" s="1" t="n">
        <v>0.977719</v>
      </c>
    </row>
    <row r="1751" ht="15.75" customHeight="1" s="201">
      <c r="A1751" s="1" t="n">
        <v>41205010</v>
      </c>
      <c r="B1751" s="1" t="inlineStr">
        <is>
          <t>Refried beans (Includes canned; with or without fat; NS as to meat; refried beans, NFS)</t>
        </is>
      </c>
      <c r="C1751" s="1" t="n">
        <v>1</v>
      </c>
      <c r="D1751" s="1" t="inlineStr">
        <is>
          <t>Links to FNDDS</t>
        </is>
      </c>
      <c r="E1751" s="1" t="inlineStr">
        <is>
          <t>Base</t>
        </is>
      </c>
      <c r="F1751" s="1" t="n">
        <v>0.260791</v>
      </c>
    </row>
    <row r="1752" ht="15.75" customHeight="1" s="201">
      <c r="A1752" s="1" t="n">
        <v>41205017</v>
      </c>
      <c r="B1752" s="1" t="inlineStr">
        <is>
          <t>Refried beans, from fast food / restaurant</t>
        </is>
      </c>
      <c r="C1752" s="1" t="n">
        <v>2</v>
      </c>
      <c r="D1752" s="1" t="inlineStr">
        <is>
          <t>Links to altEC</t>
        </is>
      </c>
      <c r="E1752" s="1" t="inlineStr">
        <is>
          <t>Base</t>
        </is>
      </c>
      <c r="F1752" s="1" t="n">
        <v>0.260791</v>
      </c>
    </row>
    <row r="1753" ht="15.75" customHeight="1" s="201">
      <c r="A1753" s="1" t="n">
        <v>41205030</v>
      </c>
      <c r="B1753" s="1" t="inlineStr">
        <is>
          <t>Refried beans with meat</t>
        </is>
      </c>
      <c r="C1753" s="1" t="n">
        <v>4</v>
      </c>
      <c r="D1753" s="1" t="inlineStr">
        <is>
          <t>FNDDS recipe with replaced or modified SR codes</t>
        </is>
      </c>
      <c r="E1753" s="1" t="inlineStr">
        <is>
          <t>Base</t>
        </is>
      </c>
      <c r="F1753" s="1" t="n">
        <v>0.422214</v>
      </c>
    </row>
    <row r="1754" ht="15.75" customHeight="1" s="201">
      <c r="A1754" s="1" t="n">
        <v>41205040</v>
      </c>
      <c r="B1754" s="1" t="inlineStr">
        <is>
          <t>Refried beans, from canned, reduced sodium (Includes with or without fat)</t>
        </is>
      </c>
      <c r="C1754" s="1" t="n">
        <v>2</v>
      </c>
      <c r="D1754" s="1" t="inlineStr">
        <is>
          <t>Links to altEC</t>
        </is>
      </c>
      <c r="E1754" s="1" t="inlineStr">
        <is>
          <t>Base</t>
        </is>
      </c>
      <c r="F1754" s="1" t="n">
        <v>0.260791</v>
      </c>
    </row>
    <row r="1755" ht="15.75" customHeight="1" s="201">
      <c r="A1755" s="1" t="n">
        <v>41205050</v>
      </c>
      <c r="B1755" s="1" t="inlineStr">
        <is>
          <t>Bean dip, made with refried beans (Includes Jalapeno pepper bean dip; bean dip, NFS)</t>
        </is>
      </c>
      <c r="C1755" s="1" t="n">
        <v>1</v>
      </c>
      <c r="D1755" s="1" t="inlineStr">
        <is>
          <t>Links to FNDDS</t>
        </is>
      </c>
      <c r="E1755" s="1" t="inlineStr">
        <is>
          <t>Base</t>
        </is>
      </c>
      <c r="F1755" s="1" t="n">
        <v>1.063078</v>
      </c>
    </row>
    <row r="1756" ht="15.75" customHeight="1" s="201">
      <c r="A1756" s="1" t="n">
        <v>41205070</v>
      </c>
      <c r="B1756" s="1" t="inlineStr">
        <is>
          <t>Hummus, plain (Includes chickpea or garbanzo bean dip)</t>
        </is>
      </c>
      <c r="C1756" s="1" t="n">
        <v>1</v>
      </c>
      <c r="D1756" s="1" t="inlineStr">
        <is>
          <t>Links to FNDDS</t>
        </is>
      </c>
      <c r="E1756" s="1" t="inlineStr">
        <is>
          <t>Base</t>
        </is>
      </c>
      <c r="F1756" s="1" t="n">
        <v>1.14818</v>
      </c>
    </row>
    <row r="1757" ht="15.75" customHeight="1" s="201">
      <c r="A1757" s="1" t="n">
        <v>41205075</v>
      </c>
      <c r="B1757" s="1" t="inlineStr">
        <is>
          <t>Hummus, flavored (Includes all flavors; flavored chickpea or garbanzo bean dip)</t>
        </is>
      </c>
      <c r="C1757" s="1" t="n">
        <v>1</v>
      </c>
      <c r="D1757" s="1" t="inlineStr">
        <is>
          <t>Links to FNDDS</t>
        </is>
      </c>
      <c r="E1757" s="1" t="inlineStr">
        <is>
          <t>Base</t>
        </is>
      </c>
      <c r="F1757" s="1" t="n">
        <v>1.143646</v>
      </c>
    </row>
    <row r="1758" ht="15.75" customHeight="1" s="201">
      <c r="A1758" s="1" t="n">
        <v>41205100</v>
      </c>
      <c r="B1758" s="1" t="inlineStr">
        <is>
          <t>Black bean sauce</t>
        </is>
      </c>
      <c r="C1758" s="1" t="n">
        <v>1</v>
      </c>
      <c r="D1758" s="1" t="inlineStr">
        <is>
          <t>Links to FNDDS</t>
        </is>
      </c>
      <c r="E1758" s="1" t="inlineStr">
        <is>
          <t>Base</t>
        </is>
      </c>
      <c r="F1758" s="1" t="n">
        <v>1.465065</v>
      </c>
    </row>
    <row r="1759" ht="15.75" customHeight="1" s="201">
      <c r="A1759" s="1" t="n">
        <v>41206030</v>
      </c>
      <c r="B1759" s="1" t="inlineStr">
        <is>
          <t>Beans and franks</t>
        </is>
      </c>
      <c r="C1759" s="1" t="n">
        <v>1</v>
      </c>
      <c r="D1759" s="1" t="inlineStr">
        <is>
          <t>Links to FNDDS</t>
        </is>
      </c>
      <c r="E1759" s="1" t="inlineStr">
        <is>
          <t>Base</t>
        </is>
      </c>
      <c r="F1759" s="1" t="n">
        <v>0.487357</v>
      </c>
    </row>
    <row r="1760" ht="15.75" customHeight="1" s="201">
      <c r="A1760" s="1" t="n">
        <v>41208030</v>
      </c>
      <c r="B1760" s="1" t="inlineStr">
        <is>
          <t>Pork and beans</t>
        </is>
      </c>
      <c r="C1760" s="1" t="n">
        <v>1</v>
      </c>
      <c r="D1760" s="1" t="inlineStr">
        <is>
          <t>Links to FNDDS</t>
        </is>
      </c>
      <c r="E1760" s="1" t="inlineStr">
        <is>
          <t>Base</t>
        </is>
      </c>
      <c r="F1760" s="1" t="n">
        <v>0.221807</v>
      </c>
    </row>
    <row r="1761" ht="15.75" customHeight="1" s="201">
      <c r="A1761" s="1" t="n">
        <v>41208100</v>
      </c>
      <c r="B1761" s="1" t="inlineStr">
        <is>
          <t>Beans with meat, NS as to type (Includes dried peas; all beans excluding pinto, black, kidney, and refried)</t>
        </is>
      </c>
      <c r="C1761" s="1" t="n">
        <v>4</v>
      </c>
      <c r="D1761" s="1" t="inlineStr">
        <is>
          <t>FNDDS recipe with replaced or modified SR codes</t>
        </is>
      </c>
      <c r="E1761" s="1" t="inlineStr">
        <is>
          <t>Base</t>
        </is>
      </c>
      <c r="F1761" s="1" t="n">
        <v>0.386612</v>
      </c>
    </row>
    <row r="1762" ht="15.75" customHeight="1" s="201">
      <c r="A1762" s="1" t="n">
        <v>41209000</v>
      </c>
      <c r="B1762" s="1" t="inlineStr">
        <is>
          <t>Falafel</t>
        </is>
      </c>
      <c r="C1762" s="1" t="n">
        <v>1</v>
      </c>
      <c r="D1762" s="1" t="inlineStr">
        <is>
          <t>Links to FNDDS</t>
        </is>
      </c>
      <c r="E1762" s="1" t="inlineStr">
        <is>
          <t>Base</t>
        </is>
      </c>
      <c r="F1762" s="1" t="n">
        <v>1.694779</v>
      </c>
    </row>
    <row r="1763" ht="15.75" customHeight="1" s="201">
      <c r="A1763" s="1" t="n">
        <v>41221020</v>
      </c>
      <c r="B1763" s="1" t="inlineStr">
        <is>
          <t>Chili with beans, without meat</t>
        </is>
      </c>
      <c r="C1763" s="1" t="n">
        <v>1</v>
      </c>
      <c r="D1763" s="1" t="inlineStr">
        <is>
          <t>Links to FNDDS</t>
        </is>
      </c>
      <c r="E1763" s="1" t="inlineStr">
        <is>
          <t>Base</t>
        </is>
      </c>
      <c r="F1763" s="1" t="n">
        <v>0.522414</v>
      </c>
    </row>
    <row r="1764" ht="15.75" customHeight="1" s="201">
      <c r="A1764" s="1" t="n">
        <v>41300990</v>
      </c>
      <c r="B1764" s="1" t="inlineStr">
        <is>
          <t>Blackeyed peas, NFS (Includes all other dried peas)</t>
        </is>
      </c>
      <c r="C1764" s="1" t="n">
        <v>2</v>
      </c>
      <c r="D1764" s="1" t="inlineStr">
        <is>
          <t>Links to altEC</t>
        </is>
      </c>
      <c r="E1764" s="1" t="inlineStr">
        <is>
          <t>Base</t>
        </is>
      </c>
      <c r="F1764" s="1" t="n">
        <v>0.280443</v>
      </c>
    </row>
    <row r="1765" ht="15.75" customHeight="1" s="201">
      <c r="A1765" s="1" t="n">
        <v>41301010</v>
      </c>
      <c r="B1765" s="1" t="inlineStr">
        <is>
          <t>Blackeyed peas, from dried (Includes all other dried peas; with or without fat; NS as to meat)</t>
        </is>
      </c>
      <c r="C1765" s="1" t="n">
        <v>4</v>
      </c>
      <c r="D1765" s="1" t="inlineStr">
        <is>
          <t>FNDDS recipe with replaced or modified SR codes</t>
        </is>
      </c>
      <c r="E1765" s="1" t="inlineStr">
        <is>
          <t>Base</t>
        </is>
      </c>
      <c r="F1765" s="1" t="n">
        <v>0.170202</v>
      </c>
    </row>
    <row r="1766" ht="15.75" customHeight="1" s="201">
      <c r="A1766" s="1" t="n">
        <v>41301990</v>
      </c>
      <c r="B1766" s="1" t="inlineStr">
        <is>
          <t>Chickpeas, NFS (Includes garbanzos; ceci)</t>
        </is>
      </c>
      <c r="C1766" s="1" t="n">
        <v>2</v>
      </c>
      <c r="D1766" s="1" t="inlineStr">
        <is>
          <t>Links to altEC</t>
        </is>
      </c>
      <c r="E1766" s="1" t="inlineStr">
        <is>
          <t>Base</t>
        </is>
      </c>
      <c r="F1766" s="1" t="n">
        <v>0.32108</v>
      </c>
    </row>
    <row r="1767" ht="15.75" customHeight="1" s="201">
      <c r="A1767" s="1" t="n">
        <v>41302010</v>
      </c>
      <c r="B1767" s="1" t="inlineStr">
        <is>
          <t>Chickpeas, from dried, fat added (Includes NS as to fat; NS as to meat; frozen)</t>
        </is>
      </c>
      <c r="C1767" s="1" t="n">
        <v>4</v>
      </c>
      <c r="D1767" s="1" t="inlineStr">
        <is>
          <t>FNDDS recipe with replaced or modified SR codes</t>
        </is>
      </c>
      <c r="E1767" s="1" t="inlineStr">
        <is>
          <t>Base</t>
        </is>
      </c>
      <c r="F1767" s="1" t="n">
        <v>0.7898230000000001</v>
      </c>
    </row>
    <row r="1768" ht="15.75" customHeight="1" s="201">
      <c r="A1768" s="1" t="n">
        <v>41302020</v>
      </c>
      <c r="B1768" s="1" t="inlineStr">
        <is>
          <t>Chickpeas, from dried, no added fat (Includes garbanzos; ceci; frozen)</t>
        </is>
      </c>
      <c r="C1768" s="1" t="n">
        <v>2</v>
      </c>
      <c r="D1768" s="1" t="inlineStr">
        <is>
          <t>Links to altEC</t>
        </is>
      </c>
      <c r="E1768" s="1" t="inlineStr">
        <is>
          <t>Base</t>
        </is>
      </c>
      <c r="F1768" s="1" t="n">
        <v>0.32108</v>
      </c>
    </row>
    <row r="1769" ht="15.75" customHeight="1" s="201">
      <c r="A1769" s="1" t="n">
        <v>41302040</v>
      </c>
      <c r="B1769" s="1" t="inlineStr">
        <is>
          <t>Chickpeas, from canned, fat added (Includes garbanzos; ceci; NS as to fat; NS as to meat)</t>
        </is>
      </c>
      <c r="C1769" s="1" t="n">
        <v>4</v>
      </c>
      <c r="D1769" s="1" t="inlineStr">
        <is>
          <t>FNDDS recipe with replaced or modified SR codes</t>
        </is>
      </c>
      <c r="E1769" s="1" t="inlineStr">
        <is>
          <t>Base</t>
        </is>
      </c>
      <c r="F1769" s="1" t="n">
        <v>0.5405720000000001</v>
      </c>
    </row>
    <row r="1770" ht="15.75" customHeight="1" s="201">
      <c r="A1770" s="1" t="n">
        <v>41302080</v>
      </c>
      <c r="B1770" s="1" t="inlineStr">
        <is>
          <t>Chickpeas, from canned, no added fat (Includes garbanzos; ceci)</t>
        </is>
      </c>
      <c r="C1770" s="1" t="n">
        <v>1</v>
      </c>
      <c r="D1770" s="1" t="inlineStr">
        <is>
          <t>Links to FNDDS</t>
        </is>
      </c>
      <c r="E1770" s="1" t="inlineStr">
        <is>
          <t>Base</t>
        </is>
      </c>
      <c r="F1770" s="1" t="n">
        <v>0.320813</v>
      </c>
    </row>
    <row r="1771" ht="15.75" customHeight="1" s="201">
      <c r="A1771" s="1" t="n">
        <v>41303010</v>
      </c>
      <c r="B1771" s="1" t="inlineStr">
        <is>
          <t>Split peas, from dried, fat added (Includes NS as to fat; NS as to meat; frozen)</t>
        </is>
      </c>
      <c r="C1771" s="1" t="n">
        <v>4</v>
      </c>
      <c r="D1771" s="1" t="inlineStr">
        <is>
          <t>FNDDS recipe with replaced or modified SR codes</t>
        </is>
      </c>
      <c r="E1771" s="1" t="inlineStr">
        <is>
          <t>Base</t>
        </is>
      </c>
      <c r="F1771" s="1" t="n">
        <v>0.140336</v>
      </c>
    </row>
    <row r="1772" ht="15.75" customHeight="1" s="201">
      <c r="A1772" s="1" t="n">
        <v>41304000</v>
      </c>
      <c r="B1772" s="1" t="inlineStr">
        <is>
          <t>Wasabi peas</t>
        </is>
      </c>
      <c r="C1772" s="1" t="n">
        <v>1</v>
      </c>
      <c r="D1772" s="1" t="inlineStr">
        <is>
          <t>Links to FNDDS</t>
        </is>
      </c>
      <c r="E1772" s="1" t="inlineStr">
        <is>
          <t>Base</t>
        </is>
      </c>
      <c r="F1772" s="1" t="n">
        <v>1.584858</v>
      </c>
    </row>
    <row r="1773" ht="15.75" customHeight="1" s="201">
      <c r="A1773" s="1" t="n">
        <v>41304970</v>
      </c>
      <c r="B1773" s="1" t="inlineStr">
        <is>
          <t>Lentils, NFS</t>
        </is>
      </c>
      <c r="C1773" s="1" t="n">
        <v>2</v>
      </c>
      <c r="D1773" s="1" t="inlineStr">
        <is>
          <t>Links to altEC</t>
        </is>
      </c>
      <c r="E1773" s="1" t="inlineStr">
        <is>
          <t>Base</t>
        </is>
      </c>
      <c r="F1773" s="1" t="n">
        <v>0.482452</v>
      </c>
    </row>
    <row r="1774" ht="15.75" customHeight="1" s="201">
      <c r="A1774" s="1" t="n">
        <v>41304990</v>
      </c>
      <c r="B1774" s="1" t="inlineStr">
        <is>
          <t>Lentils, from dried, fat added (Includes NS as to fat; NS as to meat; frozen)</t>
        </is>
      </c>
      <c r="C1774" s="1" t="n">
        <v>4</v>
      </c>
      <c r="D1774" s="1" t="inlineStr">
        <is>
          <t>FNDDS recipe with replaced or modified SR codes</t>
        </is>
      </c>
      <c r="E1774" s="1" t="inlineStr">
        <is>
          <t>Base</t>
        </is>
      </c>
      <c r="F1774" s="1" t="n">
        <v>0.188086</v>
      </c>
    </row>
    <row r="1775" ht="15.75" customHeight="1" s="201">
      <c r="A1775" s="1" t="n">
        <v>41305000</v>
      </c>
      <c r="B1775" s="1" t="inlineStr">
        <is>
          <t>Lentils, from dried, no added fat (Includes frozen)</t>
        </is>
      </c>
      <c r="C1775" s="1" t="n">
        <v>2</v>
      </c>
      <c r="D1775" s="1" t="inlineStr">
        <is>
          <t>Links to altEC</t>
        </is>
      </c>
      <c r="E1775" s="1" t="inlineStr">
        <is>
          <t>Base</t>
        </is>
      </c>
      <c r="F1775" s="1" t="n">
        <v>0.482452</v>
      </c>
    </row>
    <row r="1776" ht="15.75" customHeight="1" s="201">
      <c r="A1776" s="1" t="n">
        <v>41311000</v>
      </c>
      <c r="B1776" s="1" t="inlineStr">
        <is>
          <t>Papad, grilled or broiled (Includes pappad; papar; and papadum; Indian appetizer)</t>
        </is>
      </c>
      <c r="C1776" s="1" t="n">
        <v>2</v>
      </c>
      <c r="D1776" s="1" t="inlineStr">
        <is>
          <t>Links to altEC</t>
        </is>
      </c>
      <c r="E1776" s="1" t="inlineStr">
        <is>
          <t>Base</t>
        </is>
      </c>
      <c r="F1776" s="1" t="n">
        <v>1.163934</v>
      </c>
    </row>
    <row r="1777" ht="15.75" customHeight="1" s="201">
      <c r="A1777" s="1" t="n">
        <v>41311030</v>
      </c>
      <c r="B1777" s="1" t="inlineStr">
        <is>
          <t>Lentil curry (Includes chickpea; other beans; tofu; with vegetables)</t>
        </is>
      </c>
      <c r="C1777" s="1" t="n">
        <v>4</v>
      </c>
      <c r="D1777" s="1" t="inlineStr">
        <is>
          <t>FNDDS recipe with replaced or modified SR codes</t>
        </is>
      </c>
      <c r="E1777" s="1" t="inlineStr">
        <is>
          <t>Base</t>
        </is>
      </c>
      <c r="F1777" s="1" t="n">
        <v>0.695439</v>
      </c>
    </row>
    <row r="1778" ht="15.75" customHeight="1" s="201">
      <c r="A1778" s="1" t="n">
        <v>41311040</v>
      </c>
      <c r="B1778" s="1" t="inlineStr">
        <is>
          <t>Lentil curry with rice (Includes chickpea; other beans; tofu; with vegetables)</t>
        </is>
      </c>
      <c r="C1778" s="1" t="n">
        <v>4</v>
      </c>
      <c r="D1778" s="1" t="inlineStr">
        <is>
          <t>FNDDS recipe with replaced or modified SR codes</t>
        </is>
      </c>
      <c r="E1778" s="1" t="inlineStr">
        <is>
          <t>Base</t>
        </is>
      </c>
      <c r="F1778" s="1" t="n">
        <v>0.454678</v>
      </c>
    </row>
    <row r="1779" ht="15.75" customHeight="1" s="201">
      <c r="A1779" s="1" t="n">
        <v>41420010</v>
      </c>
      <c r="B1779" s="1" t="inlineStr">
        <is>
          <t>Soybean curd (Includes stir fried; bean curd; tofu)</t>
        </is>
      </c>
      <c r="C1779" s="1" t="n">
        <v>1</v>
      </c>
      <c r="D1779" s="1" t="inlineStr">
        <is>
          <t>Links to FNDDS</t>
        </is>
      </c>
      <c r="E1779" s="1" t="inlineStr">
        <is>
          <t>Base</t>
        </is>
      </c>
      <c r="F1779" s="1" t="n">
        <v>0.598821</v>
      </c>
    </row>
    <row r="1780" ht="15.75" customHeight="1" s="201">
      <c r="A1780" s="1" t="n">
        <v>41420020</v>
      </c>
      <c r="B1780" s="1" t="inlineStr">
        <is>
          <t>Edamame, cooked (Includes with or without fat)</t>
        </is>
      </c>
      <c r="C1780" s="1" t="n">
        <v>2</v>
      </c>
      <c r="D1780" s="1" t="inlineStr">
        <is>
          <t>Links to altEC</t>
        </is>
      </c>
      <c r="E1780" s="1" t="inlineStr">
        <is>
          <t>Base</t>
        </is>
      </c>
      <c r="F1780" s="1" t="n">
        <v>0.691402</v>
      </c>
    </row>
    <row r="1781" ht="15.75" customHeight="1" s="201">
      <c r="A1781" s="1" t="n">
        <v>41420050</v>
      </c>
      <c r="B1781" s="1" t="inlineStr">
        <is>
          <t>Soybean curd cheese</t>
        </is>
      </c>
      <c r="C1781" s="1" t="n">
        <v>1</v>
      </c>
      <c r="D1781" s="1" t="inlineStr">
        <is>
          <t>Links to FNDDS</t>
        </is>
      </c>
      <c r="E1781" s="1" t="inlineStr">
        <is>
          <t>Base</t>
        </is>
      </c>
      <c r="F1781" s="1" t="n">
        <v>1.649491</v>
      </c>
    </row>
    <row r="1782" ht="15.75" customHeight="1" s="201">
      <c r="A1782" s="1" t="n">
        <v>41420100</v>
      </c>
      <c r="B1782" s="1" t="inlineStr">
        <is>
          <t>Miso sauce</t>
        </is>
      </c>
      <c r="C1782" s="1" t="n">
        <v>1</v>
      </c>
      <c r="D1782" s="1" t="inlineStr">
        <is>
          <t>Links to FNDDS</t>
        </is>
      </c>
      <c r="E1782" s="1" t="inlineStr">
        <is>
          <t>Base</t>
        </is>
      </c>
      <c r="F1782" s="1" t="n">
        <v>1.135676</v>
      </c>
    </row>
    <row r="1783" ht="15.75" customHeight="1" s="201">
      <c r="A1783" s="1" t="n">
        <v>41420110</v>
      </c>
      <c r="B1783" s="1" t="inlineStr">
        <is>
          <t>Miso (Includes fermented soybean paste)</t>
        </is>
      </c>
      <c r="C1783" s="1" t="n">
        <v>1</v>
      </c>
      <c r="D1783" s="1" t="inlineStr">
        <is>
          <t>Links to FNDDS</t>
        </is>
      </c>
      <c r="E1783" s="1" t="inlineStr">
        <is>
          <t>Base</t>
        </is>
      </c>
      <c r="F1783" s="1" t="n">
        <v>5.421199</v>
      </c>
    </row>
    <row r="1784" ht="15.75" customHeight="1" s="201">
      <c r="A1784" s="1" t="n">
        <v>41420200</v>
      </c>
      <c r="B1784" s="1" t="inlineStr">
        <is>
          <t>Natto (Includes fermented soybean product)</t>
        </is>
      </c>
      <c r="C1784" s="1" t="n">
        <v>2</v>
      </c>
      <c r="D1784" s="1" t="inlineStr">
        <is>
          <t>Links to altEC</t>
        </is>
      </c>
      <c r="E1784" s="1" t="inlineStr">
        <is>
          <t>Base</t>
        </is>
      </c>
      <c r="F1784" s="1" t="n">
        <v>5.421199</v>
      </c>
    </row>
    <row r="1785" ht="15.75" customHeight="1" s="201">
      <c r="A1785" s="1" t="n">
        <v>41420250</v>
      </c>
      <c r="B1785" s="1" t="inlineStr">
        <is>
          <t>Hoisin sauce</t>
        </is>
      </c>
      <c r="C1785" s="1" t="n">
        <v>1</v>
      </c>
      <c r="D1785" s="1" t="inlineStr">
        <is>
          <t>Links to FNDDS</t>
        </is>
      </c>
      <c r="E1785" s="1" t="inlineStr">
        <is>
          <t>Base</t>
        </is>
      </c>
      <c r="F1785" s="1" t="n">
        <v>0.843256</v>
      </c>
    </row>
    <row r="1786" ht="15.75" customHeight="1" s="201">
      <c r="A1786" s="1" t="n">
        <v>41420300</v>
      </c>
      <c r="B1786" s="1" t="inlineStr">
        <is>
          <t>Soy sauce (Includes shoyu; tamari)</t>
        </is>
      </c>
      <c r="C1786" s="1" t="n">
        <v>1</v>
      </c>
      <c r="D1786" s="1" t="inlineStr">
        <is>
          <t>Links to FNDDS</t>
        </is>
      </c>
      <c r="E1786" s="1" t="inlineStr">
        <is>
          <t>Base</t>
        </is>
      </c>
      <c r="F1786" s="1" t="n">
        <v>0.5864</v>
      </c>
    </row>
    <row r="1787" ht="15.75" customHeight="1" s="201">
      <c r="A1787" s="1" t="n">
        <v>41420350</v>
      </c>
      <c r="B1787" s="1" t="inlineStr">
        <is>
          <t>Soy sauce, reduced sodium (Includes shoyu; tamari)</t>
        </is>
      </c>
      <c r="C1787" s="1" t="n">
        <v>2</v>
      </c>
      <c r="D1787" s="1" t="inlineStr">
        <is>
          <t>Links to altEC</t>
        </is>
      </c>
      <c r="E1787" s="1" t="inlineStr">
        <is>
          <t>Base</t>
        </is>
      </c>
      <c r="F1787" s="1" t="n">
        <v>0.5864</v>
      </c>
    </row>
    <row r="1788" ht="15.75" customHeight="1" s="201">
      <c r="A1788" s="1" t="n">
        <v>41420380</v>
      </c>
      <c r="B1788" s="1" t="inlineStr">
        <is>
          <t>Yogurt, soy (Includes all types and flavors)</t>
        </is>
      </c>
      <c r="C1788" s="1" t="n">
        <v>1</v>
      </c>
      <c r="D1788" s="1" t="inlineStr">
        <is>
          <t>Links to FNDDS</t>
        </is>
      </c>
      <c r="E1788" s="1" t="inlineStr">
        <is>
          <t>Base</t>
        </is>
      </c>
      <c r="F1788" s="1" t="n">
        <v>0.919396</v>
      </c>
    </row>
    <row r="1789" ht="15.75" customHeight="1" s="201">
      <c r="A1789" s="1" t="n">
        <v>41420400</v>
      </c>
      <c r="B1789" s="1" t="inlineStr">
        <is>
          <t>Teriyaki sauce (Includes Asian barbecue sauce; eel sauce)</t>
        </is>
      </c>
      <c r="C1789" s="1" t="n">
        <v>1</v>
      </c>
      <c r="D1789" s="1" t="inlineStr">
        <is>
          <t>Links to FNDDS</t>
        </is>
      </c>
      <c r="E1789" s="1" t="inlineStr">
        <is>
          <t>Base</t>
        </is>
      </c>
      <c r="F1789" s="1" t="n">
        <v>0.729678</v>
      </c>
    </row>
    <row r="1790" ht="15.75" customHeight="1" s="201">
      <c r="A1790" s="1" t="n">
        <v>41420410</v>
      </c>
      <c r="B1790" s="1" t="inlineStr">
        <is>
          <t>Teriyaki sauce, reduced sodium (Includes Asian barbecue sauce; eel sauce)</t>
        </is>
      </c>
      <c r="C1790" s="1" t="n">
        <v>2</v>
      </c>
      <c r="D1790" s="1" t="inlineStr">
        <is>
          <t>Links to altEC</t>
        </is>
      </c>
      <c r="E1790" s="1" t="inlineStr">
        <is>
          <t>Base</t>
        </is>
      </c>
      <c r="F1790" s="1" t="n">
        <v>0.729678</v>
      </c>
    </row>
    <row r="1791" ht="15.75" customHeight="1" s="201">
      <c r="A1791" s="1" t="n">
        <v>41420450</v>
      </c>
      <c r="B1791" s="1" t="inlineStr">
        <is>
          <t>Worcestershire sauce</t>
        </is>
      </c>
      <c r="C1791" s="1" t="n">
        <v>1</v>
      </c>
      <c r="D1791" s="1" t="inlineStr">
        <is>
          <t>Links to FNDDS</t>
        </is>
      </c>
      <c r="E1791" s="1" t="inlineStr">
        <is>
          <t>Base</t>
        </is>
      </c>
      <c r="F1791" s="1" t="n">
        <v>0.818159</v>
      </c>
    </row>
    <row r="1792" ht="15.75" customHeight="1" s="201">
      <c r="A1792" s="1" t="n">
        <v>41421010</v>
      </c>
      <c r="B1792" s="1" t="inlineStr">
        <is>
          <t>Soybean curd, deep fried (Includes aburage; tofu; bean curd)</t>
        </is>
      </c>
      <c r="C1792" s="1" t="n">
        <v>2</v>
      </c>
      <c r="D1792" s="1" t="inlineStr">
        <is>
          <t>Links to altEC</t>
        </is>
      </c>
      <c r="E1792" s="1" t="inlineStr">
        <is>
          <t>Base</t>
        </is>
      </c>
      <c r="F1792" s="1" t="n">
        <v>0.598821</v>
      </c>
    </row>
    <row r="1793" ht="15.75" customHeight="1" s="201">
      <c r="A1793" s="1" t="n">
        <v>41425010</v>
      </c>
      <c r="B1793" s="1" t="inlineStr">
        <is>
          <t>Vermicelli, made from soybeans (Includes bean thread, cellophane, glass, or crystal noodles)</t>
        </is>
      </c>
      <c r="C1793" s="1" t="n">
        <v>2</v>
      </c>
      <c r="D1793" s="1" t="inlineStr">
        <is>
          <t>Links to altEC</t>
        </is>
      </c>
      <c r="E1793" s="1" t="inlineStr">
        <is>
          <t>Base</t>
        </is>
      </c>
      <c r="F1793" s="1" t="n">
        <v>0.243763</v>
      </c>
    </row>
    <row r="1794" ht="15.75" customHeight="1" s="201">
      <c r="A1794" s="1" t="n">
        <v>41440000</v>
      </c>
      <c r="B1794" s="1" t="inlineStr">
        <is>
          <t>Textured vegetable protein, dry</t>
        </is>
      </c>
      <c r="C1794" s="1" t="n">
        <v>2</v>
      </c>
      <c r="D1794" s="1" t="inlineStr">
        <is>
          <t>Links to altEC</t>
        </is>
      </c>
      <c r="E1794" s="1" t="inlineStr">
        <is>
          <t>Base</t>
        </is>
      </c>
      <c r="F1794" s="1" t="n">
        <v>0.9231279999999999</v>
      </c>
    </row>
    <row r="1795" ht="15.75" customHeight="1" s="201">
      <c r="A1795" s="1" t="n">
        <v>41480020</v>
      </c>
      <c r="B1795" s="1" t="inlineStr">
        <is>
          <t>Frozen dessert, non-dairy (Includes non-dairy ice cream; tofu, nut or rice based; Tofutti; all flavors; NS as to form)</t>
        </is>
      </c>
      <c r="C1795" s="1" t="n">
        <v>1</v>
      </c>
      <c r="D1795" s="1" t="inlineStr">
        <is>
          <t>Links to FNDDS</t>
        </is>
      </c>
      <c r="E1795" s="1" t="inlineStr">
        <is>
          <t>Base</t>
        </is>
      </c>
      <c r="F1795" s="1" t="n">
        <v>1.389649</v>
      </c>
    </row>
    <row r="1796" ht="15.75" customHeight="1" s="201">
      <c r="A1796" s="1" t="n">
        <v>41601010</v>
      </c>
      <c r="B1796" s="1" t="inlineStr">
        <is>
          <t>Bean soup, NFS (Includes Navy bean soup)</t>
        </is>
      </c>
      <c r="C1796" s="1" t="n">
        <v>2</v>
      </c>
      <c r="D1796" s="1" t="inlineStr">
        <is>
          <t>Links to altEC</t>
        </is>
      </c>
      <c r="E1796" s="1" t="inlineStr">
        <is>
          <t>Base</t>
        </is>
      </c>
      <c r="F1796" s="1" t="n">
        <v>0.336015</v>
      </c>
    </row>
    <row r="1797" ht="15.75" customHeight="1" s="201">
      <c r="A1797" s="1" t="n">
        <v>41601020</v>
      </c>
      <c r="B1797" s="1" t="inlineStr">
        <is>
          <t>Bean with bacon or ham soup, canned or ready-to-serve (Includes bean with pork soup)</t>
        </is>
      </c>
      <c r="C1797" s="1" t="n">
        <v>1</v>
      </c>
      <c r="D1797" s="1" t="inlineStr">
        <is>
          <t>Links to FNDDS</t>
        </is>
      </c>
      <c r="E1797" s="1" t="inlineStr">
        <is>
          <t>Base</t>
        </is>
      </c>
      <c r="F1797" s="1" t="n">
        <v>0.336065</v>
      </c>
    </row>
    <row r="1798" ht="15.75" customHeight="1" s="201">
      <c r="A1798" s="1" t="n">
        <v>41601030</v>
      </c>
      <c r="B1798" s="1" t="inlineStr">
        <is>
          <t>Black bean soup, home recipe, canned or ready-to-serve</t>
        </is>
      </c>
      <c r="C1798" s="1" t="n">
        <v>1</v>
      </c>
      <c r="D1798" s="1" t="inlineStr">
        <is>
          <t>Links to FNDDS</t>
        </is>
      </c>
      <c r="E1798" s="1" t="inlineStr">
        <is>
          <t>Base</t>
        </is>
      </c>
      <c r="F1798" s="1" t="n">
        <v>0.441086</v>
      </c>
    </row>
    <row r="1799" ht="15.75" customHeight="1" s="201">
      <c r="A1799" s="1" t="n">
        <v>41601070</v>
      </c>
      <c r="B1799" s="1" t="inlineStr">
        <is>
          <t>Soybean soup, miso broth (Includes bean curd soup; tofu soup)</t>
        </is>
      </c>
      <c r="C1799" s="1" t="n">
        <v>1</v>
      </c>
      <c r="D1799" s="1" t="inlineStr">
        <is>
          <t>Links to FNDDS</t>
        </is>
      </c>
      <c r="E1799" s="1" t="inlineStr">
        <is>
          <t>Base</t>
        </is>
      </c>
      <c r="F1799" s="1" t="n">
        <v>0.617147</v>
      </c>
    </row>
    <row r="1800" ht="15.75" customHeight="1" s="201">
      <c r="A1800" s="1" t="n">
        <v>41601130</v>
      </c>
      <c r="B1800" s="1" t="inlineStr">
        <is>
          <t>Bean soup, mixed beans, home recipe, canned or ready-to-serve (Includes 15-bean soup)</t>
        </is>
      </c>
      <c r="C1800" s="1" t="n">
        <v>1</v>
      </c>
      <c r="D1800" s="1" t="inlineStr">
        <is>
          <t>Links to FNDDS</t>
        </is>
      </c>
      <c r="E1800" s="1" t="inlineStr">
        <is>
          <t>Base</t>
        </is>
      </c>
      <c r="F1800" s="1" t="n">
        <v>0.354916</v>
      </c>
    </row>
    <row r="1801" ht="15.75" customHeight="1" s="201">
      <c r="A1801" s="1" t="n">
        <v>41601140</v>
      </c>
      <c r="B1801" s="1" t="inlineStr">
        <is>
          <t>Bean soup, home recipe</t>
        </is>
      </c>
      <c r="C1801" s="1" t="n">
        <v>2</v>
      </c>
      <c r="D1801" s="1" t="inlineStr">
        <is>
          <t>Links to altEC</t>
        </is>
      </c>
      <c r="E1801" s="1" t="inlineStr">
        <is>
          <t>Base</t>
        </is>
      </c>
      <c r="F1801" s="1" t="n">
        <v>0.336015</v>
      </c>
    </row>
    <row r="1802" ht="15.75" customHeight="1" s="201">
      <c r="A1802" s="1" t="n">
        <v>41601180</v>
      </c>
      <c r="B1802" s="1" t="inlineStr">
        <is>
          <t>Bean and ham soup, home recipe (Includes bean with bacon or pork soup, home recipe)</t>
        </is>
      </c>
      <c r="C1802" s="1" t="n">
        <v>2</v>
      </c>
      <c r="D1802" s="1" t="inlineStr">
        <is>
          <t>Links to altEC</t>
        </is>
      </c>
      <c r="E1802" s="1" t="inlineStr">
        <is>
          <t>Base</t>
        </is>
      </c>
      <c r="F1802" s="1" t="n">
        <v>0.336065</v>
      </c>
    </row>
    <row r="1803" ht="15.75" customHeight="1" s="201">
      <c r="A1803" s="1" t="n">
        <v>41601200</v>
      </c>
      <c r="B1803" s="1" t="inlineStr">
        <is>
          <t>Liquid from stewed kidney beans, Puerto Rican style (Includes caldo de habichuelas coloradas)</t>
        </is>
      </c>
      <c r="C1803" s="1" t="n">
        <v>2</v>
      </c>
      <c r="D1803" s="1" t="inlineStr">
        <is>
          <t>Links to altEC</t>
        </is>
      </c>
      <c r="E1803" s="1" t="inlineStr">
        <is>
          <t>Base</t>
        </is>
      </c>
      <c r="F1803" s="1" t="n">
        <v>0.263622</v>
      </c>
    </row>
    <row r="1804" ht="15.75" customHeight="1" s="201">
      <c r="A1804" s="1" t="n">
        <v>41602020</v>
      </c>
      <c r="B1804" s="1" t="inlineStr">
        <is>
          <t>Garbanzo bean or chickpea soup, home recipe, canned or ready-to-serve</t>
        </is>
      </c>
      <c r="C1804" s="1" t="n">
        <v>4</v>
      </c>
      <c r="D1804" s="1" t="inlineStr">
        <is>
          <t>FNDDS recipe with replaced or modified SR codes</t>
        </is>
      </c>
      <c r="E1804" s="1" t="inlineStr">
        <is>
          <t>Base</t>
        </is>
      </c>
      <c r="F1804" s="1" t="n">
        <v>0.436829</v>
      </c>
    </row>
    <row r="1805" ht="15.75" customHeight="1" s="201">
      <c r="A1805" s="1" t="n">
        <v>41602030</v>
      </c>
      <c r="B1805" s="1" t="inlineStr">
        <is>
          <t>Split pea and ham soup</t>
        </is>
      </c>
      <c r="C1805" s="1" t="n">
        <v>1</v>
      </c>
      <c r="D1805" s="1" t="inlineStr">
        <is>
          <t>Links to FNDDS</t>
        </is>
      </c>
      <c r="E1805" s="1" t="inlineStr">
        <is>
          <t>Base</t>
        </is>
      </c>
      <c r="F1805" s="1" t="n">
        <v>0.306293</v>
      </c>
    </row>
    <row r="1806" ht="15.75" customHeight="1" s="201">
      <c r="A1806" s="1" t="n">
        <v>41602070</v>
      </c>
      <c r="B1806" s="1" t="inlineStr">
        <is>
          <t>Split pea soup, canned, reduced sodium, prepared with water or ready-to-serve (Includes Progresso 99% Fat Free Split Pea Soup)</t>
        </is>
      </c>
      <c r="C1806" s="1" t="n">
        <v>2</v>
      </c>
      <c r="D1806" s="1" t="inlineStr">
        <is>
          <t>Links to altEC</t>
        </is>
      </c>
      <c r="E1806" s="1" t="inlineStr">
        <is>
          <t>Base</t>
        </is>
      </c>
      <c r="F1806" s="1" t="n">
        <v>0.345055</v>
      </c>
    </row>
    <row r="1807" ht="15.75" customHeight="1" s="201">
      <c r="A1807" s="1" t="n">
        <v>41603010</v>
      </c>
      <c r="B1807" s="1" t="inlineStr">
        <is>
          <t>Lentil soup, home recipe, canned, or ready-to-serve</t>
        </is>
      </c>
      <c r="C1807" s="1" t="n">
        <v>1</v>
      </c>
      <c r="D1807" s="1" t="inlineStr">
        <is>
          <t>Links to FNDDS</t>
        </is>
      </c>
      <c r="E1807" s="1" t="inlineStr">
        <is>
          <t>Base</t>
        </is>
      </c>
      <c r="F1807" s="1" t="n">
        <v>0.452767</v>
      </c>
    </row>
    <row r="1808" ht="15.75" customHeight="1" s="201">
      <c r="A1808" s="1" t="n">
        <v>41810200</v>
      </c>
      <c r="B1808" s="1" t="inlineStr">
        <is>
          <t>Bacon strip, meatless (Includes Morning Star Breakfast Strip; Stripple; meat substitute; vegetarian)</t>
        </is>
      </c>
      <c r="C1808" s="1" t="n">
        <v>1</v>
      </c>
      <c r="D1808" s="1" t="inlineStr">
        <is>
          <t>Links to FNDDS</t>
        </is>
      </c>
      <c r="E1808" s="1" t="inlineStr">
        <is>
          <t>Base</t>
        </is>
      </c>
      <c r="F1808" s="1" t="n">
        <v>2.78714</v>
      </c>
    </row>
    <row r="1809" ht="15.75" customHeight="1" s="201">
      <c r="A1809" s="1" t="n">
        <v>41810250</v>
      </c>
      <c r="B1809" s="1" t="inlineStr">
        <is>
          <t>Bacon bits (Includes meatless or meat)</t>
        </is>
      </c>
      <c r="C1809" s="1" t="n">
        <v>1</v>
      </c>
      <c r="D1809" s="1" t="inlineStr">
        <is>
          <t>Links to FNDDS</t>
        </is>
      </c>
      <c r="E1809" s="1" t="inlineStr">
        <is>
          <t>Base</t>
        </is>
      </c>
      <c r="F1809" s="1" t="n">
        <v>2.504788</v>
      </c>
    </row>
    <row r="1810" ht="15.75" customHeight="1" s="201">
      <c r="A1810" s="1" t="n">
        <v>41810400</v>
      </c>
      <c r="B1810" s="1" t="inlineStr">
        <is>
          <t>Breakfast link, pattie, or slice, meatless (Includes Prosage; Morningstar; Green Giant; meat substitute; vegetarian)</t>
        </is>
      </c>
      <c r="C1810" s="1" t="n">
        <v>1</v>
      </c>
      <c r="D1810" s="1" t="inlineStr">
        <is>
          <t>Links to FNDDS</t>
        </is>
      </c>
      <c r="E1810" s="1" t="inlineStr">
        <is>
          <t>Base</t>
        </is>
      </c>
      <c r="F1810" s="1" t="n">
        <v>1.448084</v>
      </c>
    </row>
    <row r="1811" ht="15.75" customHeight="1" s="201">
      <c r="A1811" s="1" t="n">
        <v>41810600</v>
      </c>
      <c r="B1811" s="1" t="inlineStr">
        <is>
          <t>Chicken, meatless, NFS (Includes meat substitute; vegetarian)</t>
        </is>
      </c>
      <c r="C1811" s="1" t="n">
        <v>1</v>
      </c>
      <c r="D1811" s="1" t="inlineStr">
        <is>
          <t>Links to FNDDS</t>
        </is>
      </c>
      <c r="E1811" s="1" t="inlineStr">
        <is>
          <t>Base</t>
        </is>
      </c>
      <c r="F1811" s="1" t="n">
        <v>1.483868</v>
      </c>
    </row>
    <row r="1812" ht="15.75" customHeight="1" s="201">
      <c r="A1812" s="1" t="n">
        <v>41810610</v>
      </c>
      <c r="B1812" s="1" t="inlineStr">
        <is>
          <t>Chicken, meatless, breaded, fried (Includes Loma Linda brand; meat substitiute; vegetarian)</t>
        </is>
      </c>
      <c r="C1812" s="1" t="n">
        <v>1</v>
      </c>
      <c r="D1812" s="1" t="inlineStr">
        <is>
          <t>Links to FNDDS</t>
        </is>
      </c>
      <c r="E1812" s="1" t="inlineStr">
        <is>
          <t>Base</t>
        </is>
      </c>
      <c r="F1812" s="1" t="n">
        <v>1.474145</v>
      </c>
    </row>
    <row r="1813" ht="15.75" customHeight="1" s="201">
      <c r="A1813" s="1" t="n">
        <v>41811400</v>
      </c>
      <c r="B1813" s="1" t="inlineStr">
        <is>
          <t>Frankfurter or hot dog, meatless (Includes meat substitute; vegetarian; tofu dog)</t>
        </is>
      </c>
      <c r="C1813" s="1" t="n">
        <v>1</v>
      </c>
      <c r="D1813" s="1" t="inlineStr">
        <is>
          <t>Links to FNDDS</t>
        </is>
      </c>
      <c r="E1813" s="1" t="inlineStr">
        <is>
          <t>Base</t>
        </is>
      </c>
      <c r="F1813" s="1" t="n">
        <v>1.250146</v>
      </c>
    </row>
    <row r="1814" ht="15.75" customHeight="1" s="201">
      <c r="A1814" s="1" t="n">
        <v>41811800</v>
      </c>
      <c r="B1814" s="1" t="inlineStr">
        <is>
          <t>Meatball, meatless (Includes meat substitute; vegetarian)</t>
        </is>
      </c>
      <c r="C1814" s="1" t="n">
        <v>1</v>
      </c>
      <c r="D1814" s="1" t="inlineStr">
        <is>
          <t>Links to FNDDS</t>
        </is>
      </c>
      <c r="E1814" s="1" t="inlineStr">
        <is>
          <t>Base</t>
        </is>
      </c>
      <c r="F1814" s="1" t="n">
        <v>1.348664</v>
      </c>
    </row>
    <row r="1815" ht="15.75" customHeight="1" s="201">
      <c r="A1815" s="1" t="n">
        <v>41811890</v>
      </c>
      <c r="B1815" s="1" t="inlineStr">
        <is>
          <t>Vegetarian burger or patty, meatless, no bun (Includes veggie burger, made with soy and/or vegetables and grains; soyburger; bean burger; meat substitute; Boca burger; Gardenburger; Morningstar Farms; Worthington FriPats)</t>
        </is>
      </c>
      <c r="C1815" s="1" t="n">
        <v>1</v>
      </c>
      <c r="D1815" s="1" t="inlineStr">
        <is>
          <t>Links to FNDDS</t>
        </is>
      </c>
      <c r="E1815" s="1" t="inlineStr">
        <is>
          <t>Base</t>
        </is>
      </c>
      <c r="F1815" s="1" t="n">
        <v>1.431342</v>
      </c>
    </row>
    <row r="1816" ht="15.75" customHeight="1" s="201">
      <c r="A1816" s="1" t="n">
        <v>41812000</v>
      </c>
      <c r="B1816" s="1" t="inlineStr">
        <is>
          <t>Sandwich spread, meat substitute type (Includes vegetarian)</t>
        </is>
      </c>
      <c r="C1816" s="1" t="n">
        <v>2</v>
      </c>
      <c r="D1816" s="1" t="inlineStr">
        <is>
          <t>Links to altEC</t>
        </is>
      </c>
      <c r="E1816" s="1" t="inlineStr">
        <is>
          <t>Base</t>
        </is>
      </c>
      <c r="F1816" s="1" t="n">
        <v>0.629907</v>
      </c>
    </row>
    <row r="1817" ht="15.75" customHeight="1" s="201">
      <c r="A1817" s="1" t="n">
        <v>41812450</v>
      </c>
      <c r="B1817" s="1" t="inlineStr">
        <is>
          <t>Vegetarian chili, made with meat substitute</t>
        </is>
      </c>
      <c r="C1817" s="1" t="n">
        <v>1</v>
      </c>
      <c r="D1817" s="1" t="inlineStr">
        <is>
          <t>Links to FNDDS</t>
        </is>
      </c>
      <c r="E1817" s="1" t="inlineStr">
        <is>
          <t>Base</t>
        </is>
      </c>
      <c r="F1817" s="1" t="n">
        <v>0.571468</v>
      </c>
    </row>
    <row r="1818" ht="15.75" customHeight="1" s="201">
      <c r="A1818" s="1" t="n">
        <v>41812510</v>
      </c>
      <c r="B1818" s="1" t="inlineStr">
        <is>
          <t>Tofu and vegetables excluding carrots, broccoli, and dark-green leafy; no potatoes, with soy-based sauce</t>
        </is>
      </c>
      <c r="C1818" s="1" t="n">
        <v>4</v>
      </c>
      <c r="D1818" s="1" t="inlineStr">
        <is>
          <t>FNDDS recipe with replaced or modified SR codes</t>
        </is>
      </c>
      <c r="E1818" s="1" t="inlineStr">
        <is>
          <t>Base</t>
        </is>
      </c>
      <c r="F1818" s="1" t="n">
        <v>0.5540620000000001</v>
      </c>
    </row>
    <row r="1819" ht="15.75" customHeight="1" s="201">
      <c r="A1819" s="1" t="n">
        <v>41812800</v>
      </c>
      <c r="B1819" s="1" t="inlineStr">
        <is>
          <t>Vegetarian stew (Includes meatless)</t>
        </is>
      </c>
      <c r="C1819" s="1" t="n">
        <v>4</v>
      </c>
      <c r="D1819" s="1" t="inlineStr">
        <is>
          <t>FNDDS recipe with replaced or modified SR codes</t>
        </is>
      </c>
      <c r="E1819" s="1" t="inlineStr">
        <is>
          <t>Base</t>
        </is>
      </c>
      <c r="F1819" s="1" t="n">
        <v>0.267429</v>
      </c>
    </row>
    <row r="1820" ht="15.75" customHeight="1" s="201">
      <c r="A1820" s="1" t="n">
        <v>42100050</v>
      </c>
      <c r="B1820" s="1" t="inlineStr">
        <is>
          <t>Nuts, NFS</t>
        </is>
      </c>
      <c r="C1820" s="1" t="n">
        <v>2</v>
      </c>
      <c r="D1820" s="1" t="inlineStr">
        <is>
          <t>Links to altEC</t>
        </is>
      </c>
      <c r="E1820" s="1" t="inlineStr">
        <is>
          <t>Base</t>
        </is>
      </c>
      <c r="F1820" s="1" t="n">
        <v>1.335744</v>
      </c>
    </row>
    <row r="1821" ht="15.75" customHeight="1" s="201">
      <c r="A1821" s="1" t="n">
        <v>42100100</v>
      </c>
      <c r="B1821" s="1" t="inlineStr">
        <is>
          <t>Almonds, NFS</t>
        </is>
      </c>
      <c r="C1821" s="1" t="n">
        <v>2</v>
      </c>
      <c r="D1821" s="1" t="inlineStr">
        <is>
          <t>Links to altEC</t>
        </is>
      </c>
      <c r="E1821" s="1" t="inlineStr">
        <is>
          <t>Base</t>
        </is>
      </c>
      <c r="F1821" s="1" t="n">
        <v>1.86759</v>
      </c>
    </row>
    <row r="1822" ht="15.75" customHeight="1" s="201">
      <c r="A1822" s="1" t="n">
        <v>42101000</v>
      </c>
      <c r="B1822" s="1" t="inlineStr">
        <is>
          <t>Almonds, unroasted (Includes raw)</t>
        </is>
      </c>
      <c r="C1822" s="1" t="n">
        <v>1</v>
      </c>
      <c r="D1822" s="1" t="inlineStr">
        <is>
          <t>Links to FNDDS</t>
        </is>
      </c>
      <c r="E1822" s="1" t="inlineStr">
        <is>
          <t>Base</t>
        </is>
      </c>
      <c r="F1822" s="1" t="n">
        <v>1.92994</v>
      </c>
    </row>
    <row r="1823" ht="15.75" customHeight="1" s="201">
      <c r="A1823" s="1" t="n">
        <v>42101110</v>
      </c>
      <c r="B1823" s="1" t="inlineStr">
        <is>
          <t>Almonds, salted (Includes NS as to salt; plain; roasted; not coated; sea salt)</t>
        </is>
      </c>
      <c r="C1823" s="1" t="n">
        <v>1</v>
      </c>
      <c r="D1823" s="1" t="inlineStr">
        <is>
          <t>Links to FNDDS</t>
        </is>
      </c>
      <c r="E1823" s="1" t="inlineStr">
        <is>
          <t>Base</t>
        </is>
      </c>
      <c r="F1823" s="1" t="n">
        <v>1.835493</v>
      </c>
    </row>
    <row r="1824" ht="15.75" customHeight="1" s="201">
      <c r="A1824" s="1" t="n">
        <v>42101120</v>
      </c>
      <c r="B1824" s="1" t="inlineStr">
        <is>
          <t>Almonds, lightly salted (Includes plain; roasted; not coated)</t>
        </is>
      </c>
      <c r="C1824" s="1" t="n">
        <v>1</v>
      </c>
      <c r="D1824" s="1" t="inlineStr">
        <is>
          <t>Links to FNDDS</t>
        </is>
      </c>
      <c r="E1824" s="1" t="inlineStr">
        <is>
          <t>Base</t>
        </is>
      </c>
      <c r="F1824" s="1" t="n">
        <v>1.720467</v>
      </c>
    </row>
    <row r="1825" ht="15.75" customHeight="1" s="201">
      <c r="A1825" s="1" t="n">
        <v>42101130</v>
      </c>
      <c r="B1825" s="1" t="inlineStr">
        <is>
          <t>Almonds, unsalted (Includes plain; roasted; not coated)</t>
        </is>
      </c>
      <c r="C1825" s="1" t="n">
        <v>2</v>
      </c>
      <c r="D1825" s="1" t="inlineStr">
        <is>
          <t>Links to altEC</t>
        </is>
      </c>
      <c r="E1825" s="1" t="inlineStr">
        <is>
          <t>Base</t>
        </is>
      </c>
      <c r="F1825" s="1" t="n">
        <v>1.843931</v>
      </c>
    </row>
    <row r="1826" ht="15.75" customHeight="1" s="201">
      <c r="A1826" s="1" t="n">
        <v>42101300</v>
      </c>
      <c r="B1826" s="1" t="inlineStr">
        <is>
          <t>Almonds, flavored (Includes all flavors other than honey roasted)</t>
        </is>
      </c>
      <c r="C1826" s="1" t="n">
        <v>1</v>
      </c>
      <c r="D1826" s="1" t="inlineStr">
        <is>
          <t>Links to FNDDS</t>
        </is>
      </c>
      <c r="E1826" s="1" t="inlineStr">
        <is>
          <t>Base</t>
        </is>
      </c>
      <c r="F1826" s="1" t="n">
        <v>1.959495</v>
      </c>
    </row>
    <row r="1827" ht="15.75" customHeight="1" s="201">
      <c r="A1827" s="1" t="n">
        <v>42101350</v>
      </c>
      <c r="B1827" s="1" t="inlineStr">
        <is>
          <t>Almonds, honey roasted</t>
        </is>
      </c>
      <c r="C1827" s="1" t="n">
        <v>1</v>
      </c>
      <c r="D1827" s="1" t="inlineStr">
        <is>
          <t>Links to FNDDS</t>
        </is>
      </c>
      <c r="E1827" s="1" t="inlineStr">
        <is>
          <t>Base</t>
        </is>
      </c>
      <c r="F1827" s="1" t="n">
        <v>2.406457</v>
      </c>
    </row>
    <row r="1828" ht="15.75" customHeight="1" s="201">
      <c r="A1828" s="1" t="n">
        <v>42102000</v>
      </c>
      <c r="B1828" s="1" t="inlineStr">
        <is>
          <t>Brazil nuts</t>
        </is>
      </c>
      <c r="C1828" s="1" t="n">
        <v>1</v>
      </c>
      <c r="D1828" s="1" t="inlineStr">
        <is>
          <t>Links to FNDDS</t>
        </is>
      </c>
      <c r="E1828" s="1" t="inlineStr">
        <is>
          <t>Base</t>
        </is>
      </c>
      <c r="F1828" s="1" t="n">
        <v>2.563292</v>
      </c>
    </row>
    <row r="1829" ht="15.75" customHeight="1" s="201">
      <c r="A1829" s="1" t="n">
        <v>42104050</v>
      </c>
      <c r="B1829" s="1" t="inlineStr">
        <is>
          <t>Cashews, unroasted (Includes raw)</t>
        </is>
      </c>
      <c r="C1829" s="1" t="n">
        <v>1</v>
      </c>
      <c r="D1829" s="1" t="inlineStr">
        <is>
          <t>Links to FNDDS</t>
        </is>
      </c>
      <c r="E1829" s="1" t="inlineStr">
        <is>
          <t>Base</t>
        </is>
      </c>
      <c r="F1829" s="1" t="n">
        <v>2.508193</v>
      </c>
    </row>
    <row r="1830" ht="15.75" customHeight="1" s="201">
      <c r="A1830" s="1" t="n">
        <v>42104100</v>
      </c>
      <c r="B1830" s="1" t="inlineStr">
        <is>
          <t>Cashews, salted (Includes NS as to salt; plain; roasted; not coated; sea salt)</t>
        </is>
      </c>
      <c r="C1830" s="1" t="n">
        <v>1</v>
      </c>
      <c r="D1830" s="1" t="inlineStr">
        <is>
          <t>Links to FNDDS</t>
        </is>
      </c>
      <c r="E1830" s="1" t="inlineStr">
        <is>
          <t>Base</t>
        </is>
      </c>
      <c r="F1830" s="1" t="n">
        <v>1.88279</v>
      </c>
    </row>
    <row r="1831" ht="15.75" customHeight="1" s="201">
      <c r="A1831" s="1" t="n">
        <v>42104105</v>
      </c>
      <c r="B1831" s="1" t="inlineStr">
        <is>
          <t>Cashews, lightly salted (Includes plain; roasted; not coated)</t>
        </is>
      </c>
      <c r="C1831" s="1" t="n">
        <v>1</v>
      </c>
      <c r="D1831" s="1" t="inlineStr">
        <is>
          <t>Links to FNDDS</t>
        </is>
      </c>
      <c r="E1831" s="1" t="inlineStr">
        <is>
          <t>Base</t>
        </is>
      </c>
      <c r="F1831" s="1" t="n">
        <v>2.045382</v>
      </c>
    </row>
    <row r="1832" ht="15.75" customHeight="1" s="201">
      <c r="A1832" s="1" t="n">
        <v>42104110</v>
      </c>
      <c r="B1832" s="1" t="inlineStr">
        <is>
          <t>Cashews, unsalted (Includes plain; roasted; not coated)</t>
        </is>
      </c>
      <c r="C1832" s="1" t="n">
        <v>1</v>
      </c>
      <c r="D1832" s="1" t="inlineStr">
        <is>
          <t>Links to FNDDS</t>
        </is>
      </c>
      <c r="E1832" s="1" t="inlineStr">
        <is>
          <t>Base</t>
        </is>
      </c>
      <c r="F1832" s="1" t="n">
        <v>1.872872</v>
      </c>
    </row>
    <row r="1833" ht="15.75" customHeight="1" s="201">
      <c r="A1833" s="1" t="n">
        <v>42104500</v>
      </c>
      <c r="B1833" s="1" t="inlineStr">
        <is>
          <t>Cashews, honey roasted</t>
        </is>
      </c>
      <c r="C1833" s="1" t="n">
        <v>1</v>
      </c>
      <c r="D1833" s="1" t="inlineStr">
        <is>
          <t>Links to FNDDS</t>
        </is>
      </c>
      <c r="E1833" s="1" t="inlineStr">
        <is>
          <t>Base</t>
        </is>
      </c>
      <c r="F1833" s="1" t="n">
        <v>2.243683</v>
      </c>
    </row>
    <row r="1834" ht="15.75" customHeight="1" s="201">
      <c r="A1834" s="1" t="n">
        <v>42105000</v>
      </c>
      <c r="B1834" s="1" t="inlineStr">
        <is>
          <t>Chestnuts (Includes roasted)</t>
        </is>
      </c>
      <c r="C1834" s="1" t="n">
        <v>1</v>
      </c>
      <c r="D1834" s="1" t="inlineStr">
        <is>
          <t>Links to FNDDS</t>
        </is>
      </c>
      <c r="E1834" s="1" t="inlineStr">
        <is>
          <t>Base</t>
        </is>
      </c>
      <c r="F1834" s="1" t="n">
        <v>1.530603</v>
      </c>
    </row>
    <row r="1835" ht="15.75" customHeight="1" s="201">
      <c r="A1835" s="1" t="n">
        <v>42106020</v>
      </c>
      <c r="B1835" s="1" t="inlineStr">
        <is>
          <t>Coconut, packaged (Includes flaked or shredded)</t>
        </is>
      </c>
      <c r="C1835" s="1" t="n">
        <v>1</v>
      </c>
      <c r="D1835" s="1" t="inlineStr">
        <is>
          <t>Links to FNDDS</t>
        </is>
      </c>
      <c r="E1835" s="1" t="inlineStr">
        <is>
          <t>Base</t>
        </is>
      </c>
      <c r="F1835" s="1" t="n">
        <v>0.8741409999999999</v>
      </c>
    </row>
    <row r="1836" ht="15.75" customHeight="1" s="201">
      <c r="A1836" s="1" t="n">
        <v>42107000</v>
      </c>
      <c r="B1836" s="1" t="inlineStr">
        <is>
          <t>Hazelnuts (Includes filberts)</t>
        </is>
      </c>
      <c r="C1836" s="1" t="n">
        <v>1</v>
      </c>
      <c r="D1836" s="1" t="inlineStr">
        <is>
          <t>Links to FNDDS</t>
        </is>
      </c>
      <c r="E1836" s="1" t="inlineStr">
        <is>
          <t>Base</t>
        </is>
      </c>
      <c r="F1836" s="1" t="n">
        <v>1.80066</v>
      </c>
    </row>
    <row r="1837" ht="15.75" customHeight="1" s="201">
      <c r="A1837" s="1" t="n">
        <v>42109100</v>
      </c>
      <c r="B1837" s="1" t="inlineStr">
        <is>
          <t>Macadamia nuts (Includes all; NFS)</t>
        </is>
      </c>
      <c r="C1837" s="1" t="n">
        <v>1</v>
      </c>
      <c r="D1837" s="1" t="inlineStr">
        <is>
          <t>Links to FNDDS</t>
        </is>
      </c>
      <c r="E1837" s="1" t="inlineStr">
        <is>
          <t>Base</t>
        </is>
      </c>
      <c r="F1837" s="1" t="n">
        <v>3.604103</v>
      </c>
    </row>
    <row r="1838" ht="15.75" customHeight="1" s="201">
      <c r="A1838" s="1" t="n">
        <v>42110000</v>
      </c>
      <c r="B1838" s="1" t="inlineStr">
        <is>
          <t>Mixed nuts, NFS</t>
        </is>
      </c>
      <c r="C1838" s="1" t="n">
        <v>2</v>
      </c>
      <c r="D1838" s="1" t="inlineStr">
        <is>
          <t>Links to altEC</t>
        </is>
      </c>
      <c r="E1838" s="1" t="inlineStr">
        <is>
          <t>Base</t>
        </is>
      </c>
      <c r="F1838" s="1" t="n">
        <v>1.672309</v>
      </c>
    </row>
    <row r="1839" ht="15.75" customHeight="1" s="201">
      <c r="A1839" s="1" t="n">
        <v>42110050</v>
      </c>
      <c r="B1839" s="1" t="inlineStr">
        <is>
          <t>Mixed nuts, unroasted (Includes raw; with or without peanuts)</t>
        </is>
      </c>
      <c r="C1839" s="1" t="n">
        <v>1</v>
      </c>
      <c r="D1839" s="1" t="inlineStr">
        <is>
          <t>Links to FNDDS</t>
        </is>
      </c>
      <c r="E1839" s="1" t="inlineStr">
        <is>
          <t>Base</t>
        </is>
      </c>
      <c r="F1839" s="1" t="n">
        <v>1.811504</v>
      </c>
    </row>
    <row r="1840" ht="15.75" customHeight="1" s="201">
      <c r="A1840" s="1" t="n">
        <v>42110100</v>
      </c>
      <c r="B1840" s="1" t="inlineStr">
        <is>
          <t>Mixed nuts, with peanuts, salted (Includes plain; NS as to salt; roasted; not coated; sea salt)</t>
        </is>
      </c>
      <c r="C1840" s="1" t="n">
        <v>1</v>
      </c>
      <c r="D1840" s="1" t="inlineStr">
        <is>
          <t>Links to FNDDS</t>
        </is>
      </c>
      <c r="E1840" s="1" t="inlineStr">
        <is>
          <t>Base</t>
        </is>
      </c>
      <c r="F1840" s="1" t="n">
        <v>1.24985</v>
      </c>
    </row>
    <row r="1841" ht="15.75" customHeight="1" s="201">
      <c r="A1841" s="1" t="n">
        <v>42110110</v>
      </c>
      <c r="B1841" s="1" t="inlineStr">
        <is>
          <t>Mixed nuts, with peanuts, lightly salted (Includes plain; roasted; not coated)</t>
        </is>
      </c>
      <c r="C1841" s="1" t="n">
        <v>1</v>
      </c>
      <c r="D1841" s="1" t="inlineStr">
        <is>
          <t>Links to FNDDS</t>
        </is>
      </c>
      <c r="E1841" s="1" t="inlineStr">
        <is>
          <t>Base</t>
        </is>
      </c>
      <c r="F1841" s="1" t="n">
        <v>1.613164</v>
      </c>
    </row>
    <row r="1842" ht="15.75" customHeight="1" s="201">
      <c r="A1842" s="1" t="n">
        <v>42110120</v>
      </c>
      <c r="B1842" s="1" t="inlineStr">
        <is>
          <t>Mixed nuts, with peanuts, unsalted (Includes plain; roasted; not coated)</t>
        </is>
      </c>
      <c r="C1842" s="1" t="n">
        <v>1</v>
      </c>
      <c r="D1842" s="1" t="inlineStr">
        <is>
          <t>Links to FNDDS</t>
        </is>
      </c>
      <c r="E1842" s="1" t="inlineStr">
        <is>
          <t>Base</t>
        </is>
      </c>
      <c r="F1842" s="1" t="n">
        <v>1.466719</v>
      </c>
    </row>
    <row r="1843" ht="15.75" customHeight="1" s="201">
      <c r="A1843" s="1" t="n">
        <v>42110150</v>
      </c>
      <c r="B1843" s="1" t="inlineStr">
        <is>
          <t>Mixed nuts, without peanuts, salted (Includes plain; lightly salted; NS as to salt; roasted; not coated; sea salt)</t>
        </is>
      </c>
      <c r="C1843" s="1" t="n">
        <v>1</v>
      </c>
      <c r="D1843" s="1" t="inlineStr">
        <is>
          <t>Links to FNDDS</t>
        </is>
      </c>
      <c r="E1843" s="1" t="inlineStr">
        <is>
          <t>Base</t>
        </is>
      </c>
      <c r="F1843" s="1" t="n">
        <v>2.055168</v>
      </c>
    </row>
    <row r="1844" ht="15.75" customHeight="1" s="201">
      <c r="A1844" s="1" t="n">
        <v>42110160</v>
      </c>
      <c r="B1844" s="1" t="inlineStr">
        <is>
          <t>Mixed nuts, without peanuts, unsalted (Includes plain; roasted; not coated)</t>
        </is>
      </c>
      <c r="C1844" s="1" t="n">
        <v>1</v>
      </c>
      <c r="D1844" s="1" t="inlineStr">
        <is>
          <t>Links to FNDDS</t>
        </is>
      </c>
      <c r="E1844" s="1" t="inlineStr">
        <is>
          <t>Base</t>
        </is>
      </c>
      <c r="F1844" s="1" t="n">
        <v>1.717543</v>
      </c>
    </row>
    <row r="1845" ht="15.75" customHeight="1" s="201">
      <c r="A1845" s="1" t="n">
        <v>42110300</v>
      </c>
      <c r="B1845" s="1" t="inlineStr">
        <is>
          <t>Mixed nuts, honey roasted (Includes with or without peanuts)</t>
        </is>
      </c>
      <c r="C1845" s="1" t="n">
        <v>1</v>
      </c>
      <c r="D1845" s="1" t="inlineStr">
        <is>
          <t>Links to FNDDS</t>
        </is>
      </c>
      <c r="E1845" s="1" t="inlineStr">
        <is>
          <t>Base</t>
        </is>
      </c>
      <c r="F1845" s="1" t="n">
        <v>1.734169</v>
      </c>
    </row>
    <row r="1846" ht="15.75" customHeight="1" s="201">
      <c r="A1846" s="1" t="n">
        <v>42111000</v>
      </c>
      <c r="B1846" s="1" t="inlineStr">
        <is>
          <t>Peanuts, NFS</t>
        </is>
      </c>
      <c r="C1846" s="1" t="n">
        <v>2</v>
      </c>
      <c r="D1846" s="1" t="inlineStr">
        <is>
          <t>Links to altEC</t>
        </is>
      </c>
      <c r="E1846" s="1" t="inlineStr">
        <is>
          <t>Base</t>
        </is>
      </c>
      <c r="F1846" s="1" t="n">
        <v>0.585108</v>
      </c>
    </row>
    <row r="1847" ht="15.75" customHeight="1" s="201">
      <c r="A1847" s="1" t="n">
        <v>42111030</v>
      </c>
      <c r="B1847" s="1" t="inlineStr">
        <is>
          <t>Peanuts, boiled</t>
        </is>
      </c>
      <c r="C1847" s="1" t="n">
        <v>1</v>
      </c>
      <c r="D1847" s="1" t="inlineStr">
        <is>
          <t>Links to FNDDS</t>
        </is>
      </c>
      <c r="E1847" s="1" t="inlineStr">
        <is>
          <t>Base</t>
        </is>
      </c>
      <c r="F1847" s="1" t="n">
        <v>0.359267</v>
      </c>
    </row>
    <row r="1848" ht="15.75" customHeight="1" s="201">
      <c r="A1848" s="1" t="n">
        <v>42111040</v>
      </c>
      <c r="B1848" s="1" t="inlineStr">
        <is>
          <t>Peanuts, unroasted (Includes raw)</t>
        </is>
      </c>
      <c r="C1848" s="1" t="n">
        <v>1</v>
      </c>
      <c r="D1848" s="1" t="inlineStr">
        <is>
          <t>Links to FNDDS</t>
        </is>
      </c>
      <c r="E1848" s="1" t="inlineStr">
        <is>
          <t>Base</t>
        </is>
      </c>
      <c r="F1848" s="1" t="n">
        <v>0.466486</v>
      </c>
    </row>
    <row r="1849" ht="15.75" customHeight="1" s="201">
      <c r="A1849" s="1" t="n">
        <v>42111100</v>
      </c>
      <c r="B1849" s="1" t="inlineStr">
        <is>
          <t>Peanuts, roasted, salted (Includes plain; lightly salted; NS as to salt; sea salt; not coated)</t>
        </is>
      </c>
      <c r="C1849" s="1" t="n">
        <v>1</v>
      </c>
      <c r="D1849" s="1" t="inlineStr">
        <is>
          <t>Links to FNDDS</t>
        </is>
      </c>
      <c r="E1849" s="1" t="inlineStr">
        <is>
          <t>Base</t>
        </is>
      </c>
      <c r="F1849" s="1" t="n">
        <v>0.570727</v>
      </c>
    </row>
    <row r="1850" ht="15.75" customHeight="1" s="201">
      <c r="A1850" s="1" t="n">
        <v>42111110</v>
      </c>
      <c r="B1850" s="1" t="inlineStr">
        <is>
          <t>Peanuts, roasted, unsalted (Includes not coated)</t>
        </is>
      </c>
      <c r="C1850" s="1" t="n">
        <v>2</v>
      </c>
      <c r="D1850" s="1" t="inlineStr">
        <is>
          <t>Links to altEC</t>
        </is>
      </c>
      <c r="E1850" s="1" t="inlineStr">
        <is>
          <t>Base</t>
        </is>
      </c>
      <c r="F1850" s="1" t="n">
        <v>0.608337</v>
      </c>
    </row>
    <row r="1851" ht="15.75" customHeight="1" s="201">
      <c r="A1851" s="1" t="n">
        <v>42111200</v>
      </c>
      <c r="B1851" s="1" t="inlineStr">
        <is>
          <t>Peanuts, dry roasted, salted (Includes NS as to salt; plain; not coated; sea salt)</t>
        </is>
      </c>
      <c r="C1851" s="1" t="n">
        <v>1</v>
      </c>
      <c r="D1851" s="1" t="inlineStr">
        <is>
          <t>Links to FNDDS</t>
        </is>
      </c>
      <c r="E1851" s="1" t="inlineStr">
        <is>
          <t>Base</t>
        </is>
      </c>
      <c r="F1851" s="1" t="n">
        <v>0.627553</v>
      </c>
    </row>
    <row r="1852" ht="15.75" customHeight="1" s="201">
      <c r="A1852" s="1" t="n">
        <v>42111205</v>
      </c>
      <c r="B1852" s="1" t="inlineStr">
        <is>
          <t>Peanuts, dry roasted, lightly salted (Includes plain; not coated)</t>
        </is>
      </c>
      <c r="C1852" s="1" t="n">
        <v>2</v>
      </c>
      <c r="D1852" s="1" t="inlineStr">
        <is>
          <t>Links to altEC</t>
        </is>
      </c>
      <c r="E1852" s="1" t="inlineStr">
        <is>
          <t>Base</t>
        </is>
      </c>
      <c r="F1852" s="1" t="n">
        <v>0.63733</v>
      </c>
    </row>
    <row r="1853" ht="15.75" customHeight="1" s="201">
      <c r="A1853" s="1" t="n">
        <v>42111210</v>
      </c>
      <c r="B1853" s="1" t="inlineStr">
        <is>
          <t>Peanuts, dry roasted, unsalted (Includes plain)</t>
        </is>
      </c>
      <c r="C1853" s="1" t="n">
        <v>1</v>
      </c>
      <c r="D1853" s="1" t="inlineStr">
        <is>
          <t>Links to FNDDS</t>
        </is>
      </c>
      <c r="E1853" s="1" t="inlineStr">
        <is>
          <t>Base</t>
        </is>
      </c>
      <c r="F1853" s="1" t="n">
        <v>0.610885</v>
      </c>
    </row>
    <row r="1854" ht="15.75" customHeight="1" s="201">
      <c r="A1854" s="1" t="n">
        <v>42111500</v>
      </c>
      <c r="B1854" s="1" t="inlineStr">
        <is>
          <t>Peanuts, honey roasted (Includes beer nuts)</t>
        </is>
      </c>
      <c r="C1854" s="1" t="n">
        <v>1</v>
      </c>
      <c r="D1854" s="1" t="inlineStr">
        <is>
          <t>Links to FNDDS</t>
        </is>
      </c>
      <c r="E1854" s="1" t="inlineStr">
        <is>
          <t>Base</t>
        </is>
      </c>
      <c r="F1854" s="1" t="n">
        <v>0.748135</v>
      </c>
    </row>
    <row r="1855" ht="15.75" customHeight="1" s="201">
      <c r="A1855" s="1" t="n">
        <v>42112000</v>
      </c>
      <c r="B1855" s="1" t="inlineStr">
        <is>
          <t>Pecans, NFS</t>
        </is>
      </c>
      <c r="C1855" s="1" t="n">
        <v>2</v>
      </c>
      <c r="D1855" s="1" t="inlineStr">
        <is>
          <t>Links to altEC</t>
        </is>
      </c>
      <c r="E1855" s="1" t="inlineStr">
        <is>
          <t>Base</t>
        </is>
      </c>
      <c r="F1855" s="1" t="n">
        <v>2.465712</v>
      </c>
    </row>
    <row r="1856" ht="15.75" customHeight="1" s="201">
      <c r="A1856" s="1" t="n">
        <v>42112100</v>
      </c>
      <c r="B1856" s="1" t="inlineStr">
        <is>
          <t>Pecans, unroasted (Includes raw)</t>
        </is>
      </c>
      <c r="C1856" s="1" t="n">
        <v>1</v>
      </c>
      <c r="D1856" s="1" t="inlineStr">
        <is>
          <t>Links to FNDDS</t>
        </is>
      </c>
      <c r="E1856" s="1" t="inlineStr">
        <is>
          <t>Base</t>
        </is>
      </c>
      <c r="F1856" s="1" t="n">
        <v>2.465712</v>
      </c>
    </row>
    <row r="1857" ht="15.75" customHeight="1" s="201">
      <c r="A1857" s="1" t="n">
        <v>42112200</v>
      </c>
      <c r="B1857" s="1" t="inlineStr">
        <is>
          <t>Pecans, salted (Includes plain; lightly salted; NS as to salt; roasted; not coated; sea salt)</t>
        </is>
      </c>
      <c r="C1857" s="1" t="n">
        <v>1</v>
      </c>
      <c r="D1857" s="1" t="inlineStr">
        <is>
          <t>Links to FNDDS</t>
        </is>
      </c>
      <c r="E1857" s="1" t="inlineStr">
        <is>
          <t>Base</t>
        </is>
      </c>
      <c r="F1857" s="1" t="n">
        <v>2.917534</v>
      </c>
    </row>
    <row r="1858" ht="15.75" customHeight="1" s="201">
      <c r="A1858" s="1" t="n">
        <v>42112210</v>
      </c>
      <c r="B1858" s="1" t="inlineStr">
        <is>
          <t>Pecans, unsalted (Includes plain; roasted; not coated)</t>
        </is>
      </c>
      <c r="C1858" s="1" t="n">
        <v>2</v>
      </c>
      <c r="D1858" s="1" t="inlineStr">
        <is>
          <t>Links to altEC</t>
        </is>
      </c>
      <c r="E1858" s="1" t="inlineStr">
        <is>
          <t>Base</t>
        </is>
      </c>
      <c r="F1858" s="1" t="n">
        <v>2.465712</v>
      </c>
    </row>
    <row r="1859" ht="15.75" customHeight="1" s="201">
      <c r="A1859" s="1" t="n">
        <v>42112300</v>
      </c>
      <c r="B1859" s="1" t="inlineStr">
        <is>
          <t>Pecans, honey roasted</t>
        </is>
      </c>
      <c r="C1859" s="1" t="n">
        <v>1</v>
      </c>
      <c r="D1859" s="1" t="inlineStr">
        <is>
          <t>Links to FNDDS</t>
        </is>
      </c>
      <c r="E1859" s="1" t="inlineStr">
        <is>
          <t>Base</t>
        </is>
      </c>
      <c r="F1859" s="1" t="n">
        <v>3.151615</v>
      </c>
    </row>
    <row r="1860" ht="15.75" customHeight="1" s="201">
      <c r="A1860" s="1" t="n">
        <v>42113000</v>
      </c>
      <c r="B1860" s="1" t="inlineStr">
        <is>
          <t>Pine nuts (Includes pignolias)</t>
        </is>
      </c>
      <c r="C1860" s="1" t="n">
        <v>1</v>
      </c>
      <c r="D1860" s="1" t="inlineStr">
        <is>
          <t>Links to FNDDS</t>
        </is>
      </c>
      <c r="E1860" s="1" t="inlineStr">
        <is>
          <t>Base</t>
        </is>
      </c>
      <c r="F1860" s="1" t="n">
        <v>6.669122</v>
      </c>
    </row>
    <row r="1861" ht="15.75" customHeight="1" s="201">
      <c r="A1861" s="1" t="n">
        <v>42114130</v>
      </c>
      <c r="B1861" s="1" t="inlineStr">
        <is>
          <t>Pistachio nuts, NFS</t>
        </is>
      </c>
      <c r="C1861" s="1" t="n">
        <v>2</v>
      </c>
      <c r="D1861" s="1" t="inlineStr">
        <is>
          <t>Links to altEC</t>
        </is>
      </c>
      <c r="E1861" s="1" t="inlineStr">
        <is>
          <t>Base</t>
        </is>
      </c>
      <c r="F1861" s="1" t="n">
        <v>1.950908</v>
      </c>
    </row>
    <row r="1862" ht="15.75" customHeight="1" s="201">
      <c r="A1862" s="1" t="n">
        <v>42114140</v>
      </c>
      <c r="B1862" s="1" t="inlineStr">
        <is>
          <t>Pistachio nuts, salted (Includes NS as to salt; sea salt)</t>
        </is>
      </c>
      <c r="C1862" s="1" t="n">
        <v>1</v>
      </c>
      <c r="D1862" s="1" t="inlineStr">
        <is>
          <t>Links to FNDDS</t>
        </is>
      </c>
      <c r="E1862" s="1" t="inlineStr">
        <is>
          <t>Base</t>
        </is>
      </c>
      <c r="F1862" s="1" t="n">
        <v>1.975905</v>
      </c>
    </row>
    <row r="1863" ht="15.75" customHeight="1" s="201">
      <c r="A1863" s="1" t="n">
        <v>42114142</v>
      </c>
      <c r="B1863" s="1" t="inlineStr">
        <is>
          <t>Pistachio nuts, lightly salted</t>
        </is>
      </c>
      <c r="C1863" s="1" t="n">
        <v>1</v>
      </c>
      <c r="D1863" s="1" t="inlineStr">
        <is>
          <t>Links to FNDDS</t>
        </is>
      </c>
      <c r="E1863" s="1" t="inlineStr">
        <is>
          <t>Base</t>
        </is>
      </c>
      <c r="F1863" s="1" t="n">
        <v>1.641372</v>
      </c>
    </row>
    <row r="1864" ht="15.75" customHeight="1" s="201">
      <c r="A1864" s="1" t="n">
        <v>42114145</v>
      </c>
      <c r="B1864" s="1" t="inlineStr">
        <is>
          <t>Pistachio nuts, unsalted</t>
        </is>
      </c>
      <c r="C1864" s="1" t="n">
        <v>1</v>
      </c>
      <c r="D1864" s="1" t="inlineStr">
        <is>
          <t>Links to FNDDS</t>
        </is>
      </c>
      <c r="E1864" s="1" t="inlineStr">
        <is>
          <t>Base</t>
        </is>
      </c>
      <c r="F1864" s="1" t="n">
        <v>2.584255</v>
      </c>
    </row>
    <row r="1865" ht="15.75" customHeight="1" s="201">
      <c r="A1865" s="1" t="n">
        <v>42116000</v>
      </c>
      <c r="B1865" s="1" t="inlineStr">
        <is>
          <t>Walnuts, excluding honey roasted (Includes NFS)</t>
        </is>
      </c>
      <c r="C1865" s="1" t="n">
        <v>2</v>
      </c>
      <c r="D1865" s="1" t="inlineStr">
        <is>
          <t>Links to altEC</t>
        </is>
      </c>
      <c r="E1865" s="1" t="inlineStr">
        <is>
          <t>Base</t>
        </is>
      </c>
      <c r="F1865" s="1" t="n">
        <v>1.741183</v>
      </c>
    </row>
    <row r="1866" ht="15.75" customHeight="1" s="201">
      <c r="A1866" s="1" t="n">
        <v>42116100</v>
      </c>
      <c r="B1866" s="1" t="inlineStr">
        <is>
          <t>Walnuts, honey roasted</t>
        </is>
      </c>
      <c r="C1866" s="1" t="n">
        <v>1</v>
      </c>
      <c r="D1866" s="1" t="inlineStr">
        <is>
          <t>Links to FNDDS</t>
        </is>
      </c>
      <c r="E1866" s="1" t="inlineStr">
        <is>
          <t>Base</t>
        </is>
      </c>
      <c r="F1866" s="1" t="n">
        <v>3.556921</v>
      </c>
    </row>
    <row r="1867" ht="15.75" customHeight="1" s="201">
      <c r="A1867" s="1" t="n">
        <v>42200500</v>
      </c>
      <c r="B1867" s="1" t="inlineStr">
        <is>
          <t>Almond butter (Includes NS as to type)</t>
        </is>
      </c>
      <c r="C1867" s="1" t="n">
        <v>1</v>
      </c>
      <c r="D1867" s="1" t="inlineStr">
        <is>
          <t>Links to FNDDS</t>
        </is>
      </c>
      <c r="E1867" s="1" t="inlineStr">
        <is>
          <t>Base</t>
        </is>
      </c>
      <c r="F1867" s="1" t="n">
        <v>1.766285</v>
      </c>
    </row>
    <row r="1868" ht="15.75" customHeight="1" s="201">
      <c r="A1868" s="1" t="n">
        <v>42200600</v>
      </c>
      <c r="B1868" s="1" t="inlineStr">
        <is>
          <t>Almond paste (Includes Marzipan paste)</t>
        </is>
      </c>
      <c r="C1868" s="1" t="n">
        <v>1</v>
      </c>
      <c r="D1868" s="1" t="inlineStr">
        <is>
          <t>Links to FNDDS</t>
        </is>
      </c>
      <c r="E1868" s="1" t="inlineStr">
        <is>
          <t>Base</t>
        </is>
      </c>
      <c r="F1868" s="1" t="n">
        <v>1.507795</v>
      </c>
    </row>
    <row r="1869" ht="15.75" customHeight="1" s="201">
      <c r="A1869" s="1" t="n">
        <v>42201000</v>
      </c>
      <c r="B1869" s="1" t="inlineStr">
        <is>
          <t>Cashew butter</t>
        </is>
      </c>
      <c r="C1869" s="1" t="n">
        <v>1</v>
      </c>
      <c r="D1869" s="1" t="inlineStr">
        <is>
          <t>Links to FNDDS</t>
        </is>
      </c>
      <c r="E1869" s="1" t="inlineStr">
        <is>
          <t>Base</t>
        </is>
      </c>
      <c r="F1869" s="1" t="n">
        <v>2.069454</v>
      </c>
    </row>
    <row r="1870" ht="15.75" customHeight="1" s="201">
      <c r="A1870" s="1" t="n">
        <v>42202000</v>
      </c>
      <c r="B1870" s="1" t="inlineStr">
        <is>
          <t>Peanut butter (Includes NS as to type)</t>
        </is>
      </c>
      <c r="C1870" s="1" t="n">
        <v>1</v>
      </c>
      <c r="D1870" s="1" t="inlineStr">
        <is>
          <t>Links to FNDDS</t>
        </is>
      </c>
      <c r="E1870" s="1" t="inlineStr">
        <is>
          <t>Base</t>
        </is>
      </c>
      <c r="F1870" s="1" t="n">
        <v>0.51391</v>
      </c>
    </row>
    <row r="1871" ht="15.75" customHeight="1" s="201">
      <c r="A1871" s="1" t="n">
        <v>42202010</v>
      </c>
      <c r="B1871" s="1" t="inlineStr">
        <is>
          <t>Peanut butter, lower sodium (Includes unsalted; reduced sodium; low sodium)</t>
        </is>
      </c>
      <c r="C1871" s="1" t="n">
        <v>2</v>
      </c>
      <c r="D1871" s="1" t="inlineStr">
        <is>
          <t>Links to altEC</t>
        </is>
      </c>
      <c r="E1871" s="1" t="inlineStr">
        <is>
          <t>Base</t>
        </is>
      </c>
      <c r="F1871" s="1" t="n">
        <v>0.51391</v>
      </c>
    </row>
    <row r="1872" ht="15.75" customHeight="1" s="201">
      <c r="A1872" s="1" t="n">
        <v>42202100</v>
      </c>
      <c r="B1872" s="1" t="inlineStr">
        <is>
          <t>Peanut butter, lower sodium and lower sugar (Includes low salt / low sodium / reduced sodium; reduced sugar / low sugar / less sugar)</t>
        </is>
      </c>
      <c r="C1872" s="1" t="n">
        <v>2</v>
      </c>
      <c r="D1872" s="1" t="inlineStr">
        <is>
          <t>Links to altEC</t>
        </is>
      </c>
      <c r="E1872" s="1" t="inlineStr">
        <is>
          <t>Base</t>
        </is>
      </c>
      <c r="F1872" s="1" t="n">
        <v>0.51391</v>
      </c>
    </row>
    <row r="1873" ht="15.75" customHeight="1" s="201">
      <c r="A1873" s="1" t="n">
        <v>42202130</v>
      </c>
      <c r="B1873" s="1" t="inlineStr">
        <is>
          <t>Peanut butter, lower sugar (Includes reduced sugar; low sugar)</t>
        </is>
      </c>
      <c r="C1873" s="1" t="n">
        <v>2</v>
      </c>
      <c r="D1873" s="1" t="inlineStr">
        <is>
          <t>Links to altEC</t>
        </is>
      </c>
      <c r="E1873" s="1" t="inlineStr">
        <is>
          <t>Base</t>
        </is>
      </c>
      <c r="F1873" s="1" t="n">
        <v>0.51391</v>
      </c>
    </row>
    <row r="1874" ht="15.75" customHeight="1" s="201">
      <c r="A1874" s="1" t="n">
        <v>42202150</v>
      </c>
      <c r="B1874" s="1" t="inlineStr">
        <is>
          <t>Peanut butter, reduced fat (Includes peanut butter having 25%-49% less fat than regular peanut butter)</t>
        </is>
      </c>
      <c r="C1874" s="1" t="n">
        <v>2</v>
      </c>
      <c r="D1874" s="1" t="inlineStr">
        <is>
          <t>Links to altEC</t>
        </is>
      </c>
      <c r="E1874" s="1" t="inlineStr">
        <is>
          <t>Base</t>
        </is>
      </c>
      <c r="F1874" s="1" t="n">
        <v>0.51391</v>
      </c>
    </row>
    <row r="1875" ht="15.75" customHeight="1" s="201">
      <c r="A1875" s="1" t="n">
        <v>42203000</v>
      </c>
      <c r="B1875" s="1" t="inlineStr">
        <is>
          <t>Peanut butter and jelly (Includes Smucker's Goober PB &amp; J Stripes)</t>
        </is>
      </c>
      <c r="C1875" s="1" t="n">
        <v>1</v>
      </c>
      <c r="D1875" s="1" t="inlineStr">
        <is>
          <t>Links to FNDDS</t>
        </is>
      </c>
      <c r="E1875" s="1" t="inlineStr">
        <is>
          <t>Base</t>
        </is>
      </c>
      <c r="F1875" s="1" t="n">
        <v>0.520552</v>
      </c>
    </row>
    <row r="1876" ht="15.75" customHeight="1" s="201">
      <c r="A1876" s="1" t="n">
        <v>42204050</v>
      </c>
      <c r="B1876" s="1" t="inlineStr">
        <is>
          <t>Peanut sauce</t>
        </is>
      </c>
      <c r="C1876" s="1" t="n">
        <v>1</v>
      </c>
      <c r="D1876" s="1" t="inlineStr">
        <is>
          <t>Links to FNDDS</t>
        </is>
      </c>
      <c r="E1876" s="1" t="inlineStr">
        <is>
          <t>Base</t>
        </is>
      </c>
      <c r="F1876" s="1" t="n">
        <v>1.219443</v>
      </c>
    </row>
    <row r="1877" ht="15.75" customHeight="1" s="201">
      <c r="A1877" s="1" t="n">
        <v>42204100</v>
      </c>
      <c r="B1877" s="1" t="inlineStr">
        <is>
          <t>Gravy, vegetarian</t>
        </is>
      </c>
      <c r="C1877" s="1" t="n">
        <v>2</v>
      </c>
      <c r="D1877" s="1" t="inlineStr">
        <is>
          <t>Links to altEC</t>
        </is>
      </c>
      <c r="E1877" s="1" t="inlineStr">
        <is>
          <t>Base</t>
        </is>
      </c>
      <c r="F1877" s="1" t="n">
        <v>0.40242</v>
      </c>
    </row>
    <row r="1878" ht="15.75" customHeight="1" s="201">
      <c r="A1878" s="1" t="n">
        <v>42301015</v>
      </c>
      <c r="B1878" s="1" t="inlineStr">
        <is>
          <t>Peanut butter sandwich, with regular peanut butter, on white bread (Includes NS as to type of peanut butter; other bread such as potato, Italian, and rye; bread, NFS)</t>
        </is>
      </c>
      <c r="C1878" s="1" t="n">
        <v>3</v>
      </c>
      <c r="D1878" s="1" t="inlineStr">
        <is>
          <t>Original FNDDS recipe</t>
        </is>
      </c>
      <c r="E1878" s="1" t="inlineStr">
        <is>
          <t>Base</t>
        </is>
      </c>
      <c r="F1878" s="1" t="n">
        <v>0.425221</v>
      </c>
    </row>
    <row r="1879" ht="15.75" customHeight="1" s="201">
      <c r="A1879" s="1" t="n">
        <v>42301020</v>
      </c>
      <c r="B1879" s="1" t="inlineStr">
        <is>
          <t>Peanut butter sandwich, with regular peanut butter, on wheat bread (Includes NS as to type of peanut butter)</t>
        </is>
      </c>
      <c r="C1879" s="1" t="n">
        <v>4</v>
      </c>
      <c r="D1879" s="1" t="inlineStr">
        <is>
          <t>FNDDS recipe with replaced or modified SR codes</t>
        </is>
      </c>
      <c r="E1879" s="1" t="inlineStr">
        <is>
          <t>Base</t>
        </is>
      </c>
      <c r="F1879" s="1" t="n">
        <v>0.43441</v>
      </c>
    </row>
    <row r="1880" ht="15.75" customHeight="1" s="201">
      <c r="A1880" s="1" t="n">
        <v>42301025</v>
      </c>
      <c r="B1880" s="1" t="inlineStr">
        <is>
          <t>Peanut butter sandwich, with regular peanut butter, on whole wheat bread (Includes NS as to type of peanut butter; whole grain bread; multigrain bread)</t>
        </is>
      </c>
      <c r="C1880" s="1" t="n">
        <v>4</v>
      </c>
      <c r="D1880" s="1" t="inlineStr">
        <is>
          <t>FNDDS recipe with replaced or modified SR codes</t>
        </is>
      </c>
      <c r="E1880" s="1" t="inlineStr">
        <is>
          <t>Base</t>
        </is>
      </c>
      <c r="F1880" s="1" t="n">
        <v>0.43441</v>
      </c>
    </row>
    <row r="1881" ht="15.75" customHeight="1" s="201">
      <c r="A1881" s="1" t="n">
        <v>42301125</v>
      </c>
      <c r="B1881" s="1" t="inlineStr">
        <is>
          <t>Peanut butter sandwich, with reduced fat peanut butter, on whole wheat bread (Includes whole grain bread; multigrain bread)</t>
        </is>
      </c>
      <c r="C1881" s="1" t="n">
        <v>4</v>
      </c>
      <c r="D1881" s="1" t="inlineStr">
        <is>
          <t>FNDDS recipe with replaced or modified SR codes</t>
        </is>
      </c>
      <c r="E1881" s="1" t="inlineStr">
        <is>
          <t>Base</t>
        </is>
      </c>
      <c r="F1881" s="1" t="n">
        <v>0.43441</v>
      </c>
    </row>
    <row r="1882" ht="15.75" customHeight="1" s="201">
      <c r="A1882" s="1" t="n">
        <v>42302010</v>
      </c>
      <c r="B1882" s="1" t="inlineStr">
        <is>
          <t>Peanut butter and jelly sandwich, NFS</t>
        </is>
      </c>
      <c r="C1882" s="1" t="n">
        <v>3</v>
      </c>
      <c r="D1882" s="1" t="inlineStr">
        <is>
          <t>Original FNDDS recipe</t>
        </is>
      </c>
      <c r="E1882" s="1" t="inlineStr">
        <is>
          <t>Base</t>
        </is>
      </c>
      <c r="F1882" s="1" t="n">
        <v>0.409246</v>
      </c>
    </row>
    <row r="1883" ht="15.75" customHeight="1" s="201">
      <c r="A1883" s="1" t="n">
        <v>42302015</v>
      </c>
      <c r="B1883" s="1" t="inlineStr">
        <is>
          <t>Peanut butter and jelly sandwich, with regular peanut butter, regular jelly, on white bread (Includes NS to type of peanut butter; jam, marmalade, preserve, honey, fruit butter, fruit paste; all flavors; NS as to type of jelly; other bread such as potato, Italian, and rye; bread, NFS)</t>
        </is>
      </c>
      <c r="C1883" s="1" t="n">
        <v>3</v>
      </c>
      <c r="D1883" s="1" t="inlineStr">
        <is>
          <t>Original FNDDS recipe</t>
        </is>
      </c>
      <c r="E1883" s="1" t="inlineStr">
        <is>
          <t>Base</t>
        </is>
      </c>
      <c r="F1883" s="1" t="n">
        <v>0.409246</v>
      </c>
    </row>
    <row r="1884" ht="15.75" customHeight="1" s="201">
      <c r="A1884" s="1" t="n">
        <v>42302020</v>
      </c>
      <c r="B1884" s="1" t="inlineStr">
        <is>
          <t>Peanut butter and jelly sandwich, with regular peanut butter, regular jelly, on wheat bread (Includes NS to type of peanut butter; jam, marmalade, preserve, honey, fruit butter, fruit paste; all flavors; NS as to type of jelly)</t>
        </is>
      </c>
      <c r="C1884" s="1" t="n">
        <v>4</v>
      </c>
      <c r="D1884" s="1" t="inlineStr">
        <is>
          <t>FNDDS recipe with replaced or modified SR codes</t>
        </is>
      </c>
      <c r="E1884" s="1" t="inlineStr">
        <is>
          <t>Base</t>
        </is>
      </c>
      <c r="F1884" s="1" t="n">
        <v>0.416793</v>
      </c>
    </row>
    <row r="1885" ht="15.75" customHeight="1" s="201">
      <c r="A1885" s="1" t="n">
        <v>42302025</v>
      </c>
      <c r="B1885" s="1" t="inlineStr">
        <is>
          <t>Peanut butter and jelly sandwich, with regular peanut butter, regular jelly, on whole wheat bread (Includes NS to type of peanut butter; jam, marmalade, preserve, honey, fruit butter, fruit paste; all flavors; NS as to type of jelly; whole grain bread; multigrain bread)</t>
        </is>
      </c>
      <c r="C1885" s="1" t="n">
        <v>4</v>
      </c>
      <c r="D1885" s="1" t="inlineStr">
        <is>
          <t>FNDDS recipe with replaced or modified SR codes</t>
        </is>
      </c>
      <c r="E1885" s="1" t="inlineStr">
        <is>
          <t>Base</t>
        </is>
      </c>
      <c r="F1885" s="1" t="n">
        <v>0.416793</v>
      </c>
    </row>
    <row r="1886" ht="15.75" customHeight="1" s="201">
      <c r="A1886" s="1" t="n">
        <v>42302055</v>
      </c>
      <c r="B1886" s="1" t="inlineStr">
        <is>
          <t>Peanut butter and jelly sandwich, with reduced fat peanut butter, regular jelly, on white bread (Includes jam, marmalade, preserve, honey, fruit butter, fruit paste; all flavors; NS as to type of jelly; other bread such as  potato, Italian, and rye; bread, NFS)</t>
        </is>
      </c>
      <c r="C1886" s="1" t="n">
        <v>4</v>
      </c>
      <c r="D1886" s="1" t="inlineStr">
        <is>
          <t>FNDDS recipe with replaced or modified SR codes</t>
        </is>
      </c>
      <c r="E1886" s="1" t="inlineStr">
        <is>
          <t>Base</t>
        </is>
      </c>
      <c r="F1886" s="1" t="n">
        <v>0.409246</v>
      </c>
    </row>
    <row r="1887" ht="15.75" customHeight="1" s="201">
      <c r="A1887" s="1" t="n">
        <v>42302060</v>
      </c>
      <c r="B1887" s="1" t="inlineStr">
        <is>
          <t>Peanut butter and jelly sandwich, with reduced fat peanut butter, regular jelly, on wheat bread (Includes jam, marmalade, preserve, honey, fruit butter, fruit paste; all flavors; NS as to type of jelly)</t>
        </is>
      </c>
      <c r="C1887" s="1" t="n">
        <v>4</v>
      </c>
      <c r="D1887" s="1" t="inlineStr">
        <is>
          <t>FNDDS recipe with replaced or modified SR codes</t>
        </is>
      </c>
      <c r="E1887" s="1" t="inlineStr">
        <is>
          <t>Base</t>
        </is>
      </c>
      <c r="F1887" s="1" t="n">
        <v>0.416793</v>
      </c>
    </row>
    <row r="1888" ht="15.75" customHeight="1" s="201">
      <c r="A1888" s="1" t="n">
        <v>42302065</v>
      </c>
      <c r="B1888" s="1" t="inlineStr">
        <is>
          <t>Peanut butter and jelly sandwich, with reduced fat peanut butter, regular jelly, on whole wheat bread (Includes jam, marmalade, preserve, honey, fruit butter, fruit paste; all flavors; NS as to type of jelly; whole grain bread; multigrain bread)</t>
        </is>
      </c>
      <c r="C1888" s="1" t="n">
        <v>4</v>
      </c>
      <c r="D1888" s="1" t="inlineStr">
        <is>
          <t>FNDDS recipe with replaced or modified SR codes</t>
        </is>
      </c>
      <c r="E1888" s="1" t="inlineStr">
        <is>
          <t>Base</t>
        </is>
      </c>
      <c r="F1888" s="1" t="n">
        <v>0.416793</v>
      </c>
    </row>
    <row r="1889" ht="15.75" customHeight="1" s="201">
      <c r="A1889" s="1" t="n">
        <v>42302105</v>
      </c>
      <c r="B1889" s="1" t="inlineStr">
        <is>
          <t>Peanut butter and jelly sandwich, with regular peanut butter, reduced sugar jelly, on white bread (Includes NS as to type of peanut butter; jam, marmalade, preserve, spreadable fruit, all fruit; all flavors; no sugar added, dietetic, fruit juice sweetened; other bread such as  potato, Italian, and rye; bread, NFS)</t>
        </is>
      </c>
      <c r="C1889" s="1" t="n">
        <v>4</v>
      </c>
      <c r="D1889" s="1" t="inlineStr">
        <is>
          <t>FNDDS recipe with replaced or modified SR codes</t>
        </is>
      </c>
      <c r="E1889" s="1" t="inlineStr">
        <is>
          <t>Base</t>
        </is>
      </c>
      <c r="F1889" s="1" t="n">
        <v>0.454381</v>
      </c>
    </row>
    <row r="1890" ht="15.75" customHeight="1" s="201">
      <c r="A1890" s="1" t="n">
        <v>42302110</v>
      </c>
      <c r="B1890" s="1" t="inlineStr">
        <is>
          <t>Peanut butter and jelly sandwich, with regular peanut butter, reduced sugar jelly, on wheat bread (Includes NS as to type of peanut butter; jam, marmalade, preserve, spreadable fruit, all fruit; all flavors; no sugar added, dietetic, fruit juice sweetened)</t>
        </is>
      </c>
      <c r="C1890" s="1" t="n">
        <v>4</v>
      </c>
      <c r="D1890" s="1" t="inlineStr">
        <is>
          <t>FNDDS recipe with replaced or modified SR codes</t>
        </is>
      </c>
      <c r="E1890" s="1" t="inlineStr">
        <is>
          <t>Base</t>
        </is>
      </c>
      <c r="F1890" s="1" t="n">
        <v>0.461929</v>
      </c>
    </row>
    <row r="1891" ht="15.75" customHeight="1" s="201">
      <c r="A1891" s="1" t="n">
        <v>42302115</v>
      </c>
      <c r="B1891" s="1" t="inlineStr">
        <is>
          <t>Peanut butter and jelly sandwich, with regular peanut butter, reduced sugar jelly, on whole wheat bread (Includes NS as to type of peanut butter; jam, marmalade, preserve, spreadable fruit, all fruit; all flavors; no sugar added, dietetic, fruit juice sweetened; whole grain bread; multigrain bread)</t>
        </is>
      </c>
      <c r="C1891" s="1" t="n">
        <v>4</v>
      </c>
      <c r="D1891" s="1" t="inlineStr">
        <is>
          <t>FNDDS recipe with replaced or modified SR codes</t>
        </is>
      </c>
      <c r="E1891" s="1" t="inlineStr">
        <is>
          <t>Base</t>
        </is>
      </c>
      <c r="F1891" s="1" t="n">
        <v>0.461929</v>
      </c>
    </row>
    <row r="1892" ht="15.75" customHeight="1" s="201">
      <c r="A1892" s="1" t="n">
        <v>42302155</v>
      </c>
      <c r="B1892" s="1" t="inlineStr">
        <is>
          <t>Peanut butter and jelly sandwich, with reduced fat peanut butter, reduced sugar jelly, on white bread (Includes jam, marmalade, preserve, spreadable fruit, all fruit; all flavors; no sugar added, dietetic, fruit juice sweetened; other bread such as potato, Italian, and rye; bread, NFS)</t>
        </is>
      </c>
      <c r="C1892" s="1" t="n">
        <v>4</v>
      </c>
      <c r="D1892" s="1" t="inlineStr">
        <is>
          <t>FNDDS recipe with replaced or modified SR codes</t>
        </is>
      </c>
      <c r="E1892" s="1" t="inlineStr">
        <is>
          <t>Base</t>
        </is>
      </c>
      <c r="F1892" s="1" t="n">
        <v>0.454381</v>
      </c>
    </row>
    <row r="1893" ht="15.75" customHeight="1" s="201">
      <c r="A1893" s="1" t="n">
        <v>42302160</v>
      </c>
      <c r="B1893" s="1" t="inlineStr">
        <is>
          <t>Peanut butter and jelly sandwich, with reduced fat peanut butter, reduced sugar jelly, on wheat bread (Includes jam, marmalade, preserve, spreadable fruit, all fruit; all flavors; no sugar added, dietetic, fruit juice sweetened)</t>
        </is>
      </c>
      <c r="C1893" s="1" t="n">
        <v>4</v>
      </c>
      <c r="D1893" s="1" t="inlineStr">
        <is>
          <t>FNDDS recipe with replaced or modified SR codes</t>
        </is>
      </c>
      <c r="E1893" s="1" t="inlineStr">
        <is>
          <t>Base</t>
        </is>
      </c>
      <c r="F1893" s="1" t="n">
        <v>0.461929</v>
      </c>
    </row>
    <row r="1894" ht="15.75" customHeight="1" s="201">
      <c r="A1894" s="1" t="n">
        <v>42302165</v>
      </c>
      <c r="B1894" s="1" t="inlineStr">
        <is>
          <t>Peanut butter and jelly sandwich, with reduced fat peanut butter, reduced sugar jelly, on whole wheat bread (Includes jam, marmalade, preserve, spreadable fruit, all fruit; all flavors; no sugar added, dietetic, fruit juice sweetened; whole grain bread; multigrain bread)</t>
        </is>
      </c>
      <c r="C1894" s="1" t="n">
        <v>4</v>
      </c>
      <c r="D1894" s="1" t="inlineStr">
        <is>
          <t>FNDDS recipe with replaced or modified SR codes</t>
        </is>
      </c>
      <c r="E1894" s="1" t="inlineStr">
        <is>
          <t>Base</t>
        </is>
      </c>
      <c r="F1894" s="1" t="n">
        <v>0.461929</v>
      </c>
    </row>
    <row r="1895" ht="15.75" customHeight="1" s="201">
      <c r="A1895" s="1" t="n">
        <v>42303100</v>
      </c>
      <c r="B1895" s="1" t="inlineStr">
        <is>
          <t>Peanut butter and jelly sandwich, frozen commercial product without crusts (Includes Smucker's Uncrustables, NFS; any type of peanut butter; any type of jelly / fruit spread, all flavors; any type of bread)</t>
        </is>
      </c>
      <c r="C1895" s="1" t="n">
        <v>3</v>
      </c>
      <c r="D1895" s="1" t="inlineStr">
        <is>
          <t>Original FNDDS recipe</t>
        </is>
      </c>
      <c r="E1895" s="1" t="inlineStr">
        <is>
          <t>Base</t>
        </is>
      </c>
      <c r="F1895" s="1" t="n">
        <v>0.409246</v>
      </c>
    </row>
    <row r="1896" ht="15.75" customHeight="1" s="201">
      <c r="A1896" s="1" t="n">
        <v>42402010</v>
      </c>
      <c r="B1896" s="1" t="inlineStr">
        <is>
          <t>Coconut cream, canned, sweetened (Includes Coco Lopez)</t>
        </is>
      </c>
      <c r="C1896" s="1" t="n">
        <v>1</v>
      </c>
      <c r="D1896" s="1" t="inlineStr">
        <is>
          <t>Links to FNDDS</t>
        </is>
      </c>
      <c r="E1896" s="1" t="inlineStr">
        <is>
          <t>Base</t>
        </is>
      </c>
      <c r="F1896" s="1" t="n">
        <v>0.559206</v>
      </c>
    </row>
    <row r="1897" ht="15.75" customHeight="1" s="201">
      <c r="A1897" s="1" t="n">
        <v>42403010</v>
      </c>
      <c r="B1897" s="1" t="inlineStr">
        <is>
          <t>Coconut water, unsweetened (Includes 100% coconut water or juice)</t>
        </is>
      </c>
      <c r="C1897" s="1" t="n">
        <v>1</v>
      </c>
      <c r="D1897" s="1" t="inlineStr">
        <is>
          <t>Links to FNDDS</t>
        </is>
      </c>
      <c r="E1897" s="1" t="inlineStr">
        <is>
          <t>Base</t>
        </is>
      </c>
      <c r="F1897" s="1" t="n">
        <v>0.417913</v>
      </c>
    </row>
    <row r="1898" ht="15.75" customHeight="1" s="201">
      <c r="A1898" s="1" t="n">
        <v>42404010</v>
      </c>
      <c r="B1898" s="1" t="inlineStr">
        <is>
          <t>Coconut water, sweetened (Includes coconut juice; less than 100% coconut water or juice; NS as to 100% coconut water or juice; Refresco de coco; all flavors)</t>
        </is>
      </c>
      <c r="C1898" s="1" t="n">
        <v>1</v>
      </c>
      <c r="D1898" s="1" t="inlineStr">
        <is>
          <t>Links to FNDDS</t>
        </is>
      </c>
      <c r="E1898" s="1" t="inlineStr">
        <is>
          <t>Base</t>
        </is>
      </c>
      <c r="F1898" s="1" t="n">
        <v>0.344508</v>
      </c>
    </row>
    <row r="1899" ht="15.75" customHeight="1" s="201">
      <c r="A1899" s="1" t="n">
        <v>42500000</v>
      </c>
      <c r="B1899" s="1" t="inlineStr">
        <is>
          <t>Trail mix, NFS</t>
        </is>
      </c>
      <c r="C1899" s="1" t="n">
        <v>2</v>
      </c>
      <c r="D1899" s="1" t="inlineStr">
        <is>
          <t>Links to altEC</t>
        </is>
      </c>
      <c r="E1899" s="1" t="inlineStr">
        <is>
          <t>Base</t>
        </is>
      </c>
      <c r="F1899" s="1" t="n">
        <v>1.369083</v>
      </c>
    </row>
    <row r="1900" ht="15.75" customHeight="1" s="201">
      <c r="A1900" s="1" t="n">
        <v>42500100</v>
      </c>
      <c r="B1900" s="1" t="inlineStr">
        <is>
          <t>Trail mix with nuts (Includes seeds)</t>
        </is>
      </c>
      <c r="C1900" s="1" t="n">
        <v>1</v>
      </c>
      <c r="D1900" s="1" t="inlineStr">
        <is>
          <t>Links to FNDDS</t>
        </is>
      </c>
      <c r="E1900" s="1" t="inlineStr">
        <is>
          <t>Base</t>
        </is>
      </c>
      <c r="F1900" s="1" t="n">
        <v>1.405574</v>
      </c>
    </row>
    <row r="1901" ht="15.75" customHeight="1" s="201">
      <c r="A1901" s="1" t="n">
        <v>42501000</v>
      </c>
      <c r="B1901" s="1" t="inlineStr">
        <is>
          <t>Trail mix with nuts and fruit (Includes gorp; seeds)</t>
        </is>
      </c>
      <c r="C1901" s="1" t="n">
        <v>1</v>
      </c>
      <c r="D1901" s="1" t="inlineStr">
        <is>
          <t>Links to FNDDS</t>
        </is>
      </c>
      <c r="E1901" s="1" t="inlineStr">
        <is>
          <t>Base</t>
        </is>
      </c>
      <c r="F1901" s="1" t="n">
        <v>1.402448</v>
      </c>
    </row>
    <row r="1902" ht="15.75" customHeight="1" s="201">
      <c r="A1902" s="1" t="n">
        <v>42501500</v>
      </c>
      <c r="B1902" s="1" t="inlineStr">
        <is>
          <t>Trail mix with chocolate (Includes any nuts, fruits, or seeds)</t>
        </is>
      </c>
      <c r="C1902" s="1" t="n">
        <v>1</v>
      </c>
      <c r="D1902" s="1" t="inlineStr">
        <is>
          <t>Links to FNDDS</t>
        </is>
      </c>
      <c r="E1902" s="1" t="inlineStr">
        <is>
          <t>Base</t>
        </is>
      </c>
      <c r="F1902" s="1" t="n">
        <v>1.257435</v>
      </c>
    </row>
    <row r="1903" ht="15.75" customHeight="1" s="201">
      <c r="A1903" s="1" t="n">
        <v>42502100</v>
      </c>
      <c r="B1903" s="1" t="inlineStr">
        <is>
          <t>Trail mix with pretzels, cereal, or granola (Includes any nuts, fruits, or seeds)</t>
        </is>
      </c>
      <c r="C1903" s="1" t="n">
        <v>1</v>
      </c>
      <c r="D1903" s="1" t="inlineStr">
        <is>
          <t>Links to FNDDS</t>
        </is>
      </c>
      <c r="E1903" s="1" t="inlineStr">
        <is>
          <t>Base</t>
        </is>
      </c>
      <c r="F1903" s="1" t="n">
        <v>1.698111</v>
      </c>
    </row>
    <row r="1904" ht="15.75" customHeight="1" s="201">
      <c r="A1904" s="1" t="n">
        <v>43101050</v>
      </c>
      <c r="B1904" s="1" t="inlineStr">
        <is>
          <t>Pumpkin seeds, NFS</t>
        </is>
      </c>
      <c r="C1904" s="1" t="n">
        <v>1</v>
      </c>
      <c r="D1904" s="1" t="inlineStr">
        <is>
          <t>Links to FNDDS</t>
        </is>
      </c>
      <c r="E1904" s="1" t="inlineStr">
        <is>
          <t>Base</t>
        </is>
      </c>
      <c r="F1904" s="1" t="n">
        <v>3.15901</v>
      </c>
    </row>
    <row r="1905" ht="15.75" customHeight="1" s="201">
      <c r="A1905" s="1" t="n">
        <v>43101100</v>
      </c>
      <c r="B1905" s="1" t="inlineStr">
        <is>
          <t>Pumpkin seeds, salted (Includes squash seeds; sea salt; lightly salted)</t>
        </is>
      </c>
      <c r="C1905" s="1" t="n">
        <v>2</v>
      </c>
      <c r="D1905" s="1" t="inlineStr">
        <is>
          <t>Links to altEC</t>
        </is>
      </c>
      <c r="E1905" s="1" t="inlineStr">
        <is>
          <t>Base</t>
        </is>
      </c>
      <c r="F1905" s="1" t="n">
        <v>1.062699</v>
      </c>
    </row>
    <row r="1906" ht="15.75" customHeight="1" s="201">
      <c r="A1906" s="1" t="n">
        <v>43101150</v>
      </c>
      <c r="B1906" s="1" t="inlineStr">
        <is>
          <t>Pumpkin seeds, unsalted</t>
        </is>
      </c>
      <c r="C1906" s="1" t="n">
        <v>2</v>
      </c>
      <c r="D1906" s="1" t="inlineStr">
        <is>
          <t>Links to altEC</t>
        </is>
      </c>
      <c r="E1906" s="1" t="inlineStr">
        <is>
          <t>Base</t>
        </is>
      </c>
      <c r="F1906" s="1" t="n">
        <v>1.062699</v>
      </c>
    </row>
    <row r="1907" ht="15.75" customHeight="1" s="201">
      <c r="A1907" s="1" t="n">
        <v>43102000</v>
      </c>
      <c r="B1907" s="1" t="inlineStr">
        <is>
          <t>Sunflower seeds, plain, unsalted</t>
        </is>
      </c>
      <c r="C1907" s="1" t="n">
        <v>2</v>
      </c>
      <c r="D1907" s="1" t="inlineStr">
        <is>
          <t>Links to altEC</t>
        </is>
      </c>
      <c r="E1907" s="1" t="inlineStr">
        <is>
          <t>Base</t>
        </is>
      </c>
      <c r="F1907" s="1" t="n">
        <v>1.076177</v>
      </c>
    </row>
    <row r="1908" ht="15.75" customHeight="1" s="201">
      <c r="A1908" s="1" t="n">
        <v>43102100</v>
      </c>
      <c r="B1908" s="1" t="inlineStr">
        <is>
          <t>Sunflower seeds, plain, salted (Includes sea salt; lightly salted)</t>
        </is>
      </c>
      <c r="C1908" s="1" t="n">
        <v>1</v>
      </c>
      <c r="D1908" s="1" t="inlineStr">
        <is>
          <t>Links to FNDDS</t>
        </is>
      </c>
      <c r="E1908" s="1" t="inlineStr">
        <is>
          <t>Base</t>
        </is>
      </c>
      <c r="F1908" s="1" t="n">
        <v>1.586395</v>
      </c>
    </row>
    <row r="1909" ht="15.75" customHeight="1" s="201">
      <c r="A1909" s="1" t="n">
        <v>43102300</v>
      </c>
      <c r="B1909" s="1" t="inlineStr">
        <is>
          <t>Sunflower seeds, flavored</t>
        </is>
      </c>
      <c r="C1909" s="1" t="n">
        <v>1</v>
      </c>
      <c r="D1909" s="1" t="inlineStr">
        <is>
          <t>Links to FNDDS</t>
        </is>
      </c>
      <c r="E1909" s="1" t="inlineStr">
        <is>
          <t>Base</t>
        </is>
      </c>
      <c r="F1909" s="1" t="n">
        <v>1.073222</v>
      </c>
    </row>
    <row r="1910" ht="15.75" customHeight="1" s="201">
      <c r="A1910" s="1" t="n">
        <v>43102400</v>
      </c>
      <c r="B1910" s="1" t="inlineStr">
        <is>
          <t>Sunflower seeds, NFS</t>
        </is>
      </c>
      <c r="C1910" s="1" t="n">
        <v>2</v>
      </c>
      <c r="D1910" s="1" t="inlineStr">
        <is>
          <t>Links to altEC</t>
        </is>
      </c>
      <c r="E1910" s="1" t="inlineStr">
        <is>
          <t>Base</t>
        </is>
      </c>
      <c r="F1910" s="1" t="n">
        <v>1.076177</v>
      </c>
    </row>
    <row r="1911" ht="15.75" customHeight="1" s="201">
      <c r="A1911" s="1" t="n">
        <v>43103000</v>
      </c>
      <c r="B1911" s="1" t="inlineStr">
        <is>
          <t>Sesame seeds</t>
        </is>
      </c>
      <c r="C1911" s="1" t="n">
        <v>1</v>
      </c>
      <c r="D1911" s="1" t="inlineStr">
        <is>
          <t>Links to FNDDS</t>
        </is>
      </c>
      <c r="E1911" s="1" t="inlineStr">
        <is>
          <t>Base</t>
        </is>
      </c>
      <c r="F1911" s="1" t="n">
        <v>4.405306</v>
      </c>
    </row>
    <row r="1912" ht="15.75" customHeight="1" s="201">
      <c r="A1912" s="1" t="n">
        <v>43103300</v>
      </c>
      <c r="B1912" s="1" t="inlineStr">
        <is>
          <t>Tahini (Includes sesame seed butter; sesame seed paste)</t>
        </is>
      </c>
      <c r="C1912" s="1" t="n">
        <v>1</v>
      </c>
      <c r="D1912" s="1" t="inlineStr">
        <is>
          <t>Links to FNDDS</t>
        </is>
      </c>
      <c r="E1912" s="1" t="inlineStr">
        <is>
          <t>Base</t>
        </is>
      </c>
      <c r="F1912" s="1" t="n">
        <v>1.538477</v>
      </c>
    </row>
    <row r="1913" ht="15.75" customHeight="1" s="201">
      <c r="A1913" s="1" t="n">
        <v>43104000</v>
      </c>
      <c r="B1913" s="1" t="inlineStr">
        <is>
          <t>Flax seeds</t>
        </is>
      </c>
      <c r="C1913" s="1" t="n">
        <v>1</v>
      </c>
      <c r="D1913" s="1" t="inlineStr">
        <is>
          <t>Links to FNDDS</t>
        </is>
      </c>
      <c r="E1913" s="1" t="inlineStr">
        <is>
          <t>Base</t>
        </is>
      </c>
      <c r="F1913" s="1" t="n">
        <v>0.860962</v>
      </c>
    </row>
    <row r="1914" ht="15.75" customHeight="1" s="201">
      <c r="A1914" s="1" t="n">
        <v>43107000</v>
      </c>
      <c r="B1914" s="1" t="inlineStr">
        <is>
          <t>Mixed seeds</t>
        </is>
      </c>
      <c r="C1914" s="1" t="n">
        <v>1</v>
      </c>
      <c r="D1914" s="1" t="inlineStr">
        <is>
          <t>Links to FNDDS</t>
        </is>
      </c>
      <c r="E1914" s="1" t="inlineStr">
        <is>
          <t>Base</t>
        </is>
      </c>
      <c r="F1914" s="1" t="n">
        <v>1.062699</v>
      </c>
    </row>
    <row r="1915" ht="15.75" customHeight="1" s="201">
      <c r="A1915" s="1" t="n">
        <v>43108010</v>
      </c>
      <c r="B1915" s="1" t="inlineStr">
        <is>
          <t>Chia seeds</t>
        </is>
      </c>
      <c r="C1915" s="1" t="n">
        <v>1</v>
      </c>
      <c r="D1915" s="1" t="inlineStr">
        <is>
          <t>Links to FNDDS</t>
        </is>
      </c>
      <c r="E1915" s="1" t="inlineStr">
        <is>
          <t>Base</t>
        </is>
      </c>
      <c r="F1915" s="1" t="n">
        <v>1.251176</v>
      </c>
    </row>
    <row r="1916" ht="15.75" customHeight="1" s="201">
      <c r="A1916" s="1" t="n">
        <v>51000100</v>
      </c>
      <c r="B1916" s="1" t="inlineStr">
        <is>
          <t>Bread, NS as to major flour (Includes pre-sliced, commercial)</t>
        </is>
      </c>
      <c r="C1916" s="1" t="n">
        <v>2</v>
      </c>
      <c r="D1916" s="1" t="inlineStr">
        <is>
          <t>Links to altEC</t>
        </is>
      </c>
      <c r="E1916" s="1" t="inlineStr">
        <is>
          <t>Base</t>
        </is>
      </c>
      <c r="F1916" s="1" t="n">
        <v>0.4049</v>
      </c>
    </row>
    <row r="1917" ht="15.75" customHeight="1" s="201">
      <c r="A1917" s="1" t="n">
        <v>51000110</v>
      </c>
      <c r="B1917" s="1" t="inlineStr">
        <is>
          <t>Bread, NS as to major flour, toasted (Includes pre-sliced, commercial)</t>
        </is>
      </c>
      <c r="C1917" s="1" t="n">
        <v>2</v>
      </c>
      <c r="D1917" s="1" t="inlineStr">
        <is>
          <t>Links to altEC</t>
        </is>
      </c>
      <c r="E1917" s="1" t="inlineStr">
        <is>
          <t>Base</t>
        </is>
      </c>
      <c r="F1917" s="1" t="n">
        <v>0.44539</v>
      </c>
    </row>
    <row r="1918" ht="15.75" customHeight="1" s="201">
      <c r="A1918" s="1" t="n">
        <v>51000180</v>
      </c>
      <c r="B1918" s="1" t="inlineStr">
        <is>
          <t>Bread, made from home recipe or purchased at a bakery, NS as to major flour (Includes not pre-sliced)</t>
        </is>
      </c>
      <c r="C1918" s="1" t="n">
        <v>2</v>
      </c>
      <c r="D1918" s="1" t="inlineStr">
        <is>
          <t>Links to altEC</t>
        </is>
      </c>
      <c r="E1918" s="1" t="inlineStr">
        <is>
          <t>Base</t>
        </is>
      </c>
      <c r="F1918" s="1" t="n">
        <v>0.4049</v>
      </c>
    </row>
    <row r="1919" ht="15.75" customHeight="1" s="201">
      <c r="A1919" s="1" t="n">
        <v>51000200</v>
      </c>
      <c r="B1919" s="1" t="inlineStr">
        <is>
          <t>Roll, NS as to major flour</t>
        </is>
      </c>
      <c r="C1919" s="1" t="n">
        <v>1</v>
      </c>
      <c r="D1919" s="1" t="inlineStr">
        <is>
          <t>Links to FNDDS</t>
        </is>
      </c>
      <c r="E1919" s="1" t="inlineStr">
        <is>
          <t>Base</t>
        </is>
      </c>
      <c r="F1919" s="1" t="n">
        <v>0.709869</v>
      </c>
    </row>
    <row r="1920" ht="15.75" customHeight="1" s="201">
      <c r="A1920" s="1" t="n">
        <v>51000300</v>
      </c>
      <c r="B1920" s="1" t="inlineStr">
        <is>
          <t>Roll, hard, NS as to major flour</t>
        </is>
      </c>
      <c r="C1920" s="1" t="n">
        <v>1</v>
      </c>
      <c r="D1920" s="1" t="inlineStr">
        <is>
          <t>Links to FNDDS</t>
        </is>
      </c>
      <c r="E1920" s="1" t="inlineStr">
        <is>
          <t>Base</t>
        </is>
      </c>
      <c r="F1920" s="1" t="n">
        <v>0.486864</v>
      </c>
    </row>
    <row r="1921" ht="15.75" customHeight="1" s="201">
      <c r="A1921" s="1" t="n">
        <v>51101000</v>
      </c>
      <c r="B1921" s="1" t="inlineStr">
        <is>
          <t>Bread, white (Includes diet sliced or very thin sliced; English muffin bread; pre-sliced, commercial; pretzel bun)</t>
        </is>
      </c>
      <c r="C1921" s="1" t="n">
        <v>1</v>
      </c>
      <c r="D1921" s="1" t="inlineStr">
        <is>
          <t>Links to FNDDS</t>
        </is>
      </c>
      <c r="E1921" s="1" t="inlineStr">
        <is>
          <t>Base</t>
        </is>
      </c>
      <c r="F1921" s="1" t="n">
        <v>0.37792</v>
      </c>
    </row>
    <row r="1922" ht="15.75" customHeight="1" s="201">
      <c r="A1922" s="1" t="n">
        <v>51101010</v>
      </c>
      <c r="B1922" s="1" t="inlineStr">
        <is>
          <t>Bread, white, toasted (Includes diet sliced or very thin sliced; English muffin bread; pre-sliced, commercial)</t>
        </is>
      </c>
      <c r="C1922" s="1" t="n">
        <v>2</v>
      </c>
      <c r="D1922" s="1" t="inlineStr">
        <is>
          <t>Links to altEC</t>
        </is>
      </c>
      <c r="E1922" s="1" t="inlineStr">
        <is>
          <t>Base</t>
        </is>
      </c>
      <c r="F1922" s="1" t="n">
        <v>0.415712</v>
      </c>
    </row>
    <row r="1923" ht="15.75" customHeight="1" s="201">
      <c r="A1923" s="1" t="n">
        <v>51101050</v>
      </c>
      <c r="B1923" s="1" t="inlineStr">
        <is>
          <t>Bread, white, made from home recipe or purchased at a bakery (Includes not pre-sliced)</t>
        </is>
      </c>
      <c r="C1923" s="1" t="n">
        <v>2</v>
      </c>
      <c r="D1923" s="1" t="inlineStr">
        <is>
          <t>Links to altEC</t>
        </is>
      </c>
      <c r="E1923" s="1" t="inlineStr">
        <is>
          <t>Base</t>
        </is>
      </c>
      <c r="F1923" s="1" t="n">
        <v>0.37792</v>
      </c>
    </row>
    <row r="1924" ht="15.75" customHeight="1" s="201">
      <c r="A1924" s="1" t="n">
        <v>51101060</v>
      </c>
      <c r="B1924" s="1" t="inlineStr">
        <is>
          <t>Bread, white, made from home recipe or purchased at a bakery, toasted (Includes not pre-sliced)</t>
        </is>
      </c>
      <c r="C1924" s="1" t="n">
        <v>2</v>
      </c>
      <c r="D1924" s="1" t="inlineStr">
        <is>
          <t>Links to altEC</t>
        </is>
      </c>
      <c r="E1924" s="1" t="inlineStr">
        <is>
          <t>Base</t>
        </is>
      </c>
      <c r="F1924" s="1" t="n">
        <v>0.415712</v>
      </c>
    </row>
    <row r="1925" ht="15.75" customHeight="1" s="201">
      <c r="A1925" s="1" t="n">
        <v>51105040</v>
      </c>
      <c r="B1925" s="1" t="inlineStr">
        <is>
          <t>Bread, Cuban, toasted (Includes Spanish; Portuguese; pre-sliced or not)</t>
        </is>
      </c>
      <c r="C1925" s="1" t="n">
        <v>2</v>
      </c>
      <c r="D1925" s="1" t="inlineStr">
        <is>
          <t>Links to altEC</t>
        </is>
      </c>
      <c r="E1925" s="1" t="inlineStr">
        <is>
          <t>Base</t>
        </is>
      </c>
      <c r="F1925" s="1" t="n">
        <v>0.688785</v>
      </c>
    </row>
    <row r="1926" ht="15.75" customHeight="1" s="201">
      <c r="A1926" s="1" t="n">
        <v>51106010</v>
      </c>
      <c r="B1926" s="1" t="inlineStr">
        <is>
          <t>Bread, native, water, Puerto Rican style (Includes Pan de agua; Pan Criollo)</t>
        </is>
      </c>
      <c r="C1926" s="1" t="n">
        <v>2</v>
      </c>
      <c r="D1926" s="1" t="inlineStr">
        <is>
          <t>Links to altEC</t>
        </is>
      </c>
      <c r="E1926" s="1" t="inlineStr">
        <is>
          <t>Base</t>
        </is>
      </c>
      <c r="F1926" s="1" t="n">
        <v>0.37792</v>
      </c>
    </row>
    <row r="1927" ht="15.75" customHeight="1" s="201">
      <c r="A1927" s="1" t="n">
        <v>51107010</v>
      </c>
      <c r="B1927" s="1" t="inlineStr">
        <is>
          <t>Bread, French or Vienna (Includes baguette; pre-sliced or not)</t>
        </is>
      </c>
      <c r="C1927" s="1" t="n">
        <v>1</v>
      </c>
      <c r="D1927" s="1" t="inlineStr">
        <is>
          <t>Links to FNDDS</t>
        </is>
      </c>
      <c r="E1927" s="1" t="inlineStr">
        <is>
          <t>Base</t>
        </is>
      </c>
      <c r="F1927" s="1" t="n">
        <v>0.552128</v>
      </c>
    </row>
    <row r="1928" ht="15.75" customHeight="1" s="201">
      <c r="A1928" s="1" t="n">
        <v>51108010</v>
      </c>
      <c r="B1928" s="1" t="inlineStr">
        <is>
          <t>Focaccia, Italian flatbread, plain (Includes Parmalat Focaccia; Boboli pizza crust; focaccia bread, NFS)</t>
        </is>
      </c>
      <c r="C1928" s="1" t="n">
        <v>1</v>
      </c>
      <c r="D1928" s="1" t="inlineStr">
        <is>
          <t>Links to FNDDS</t>
        </is>
      </c>
      <c r="E1928" s="1" t="inlineStr">
        <is>
          <t>Base</t>
        </is>
      </c>
      <c r="F1928" s="1" t="n">
        <v>0.804324</v>
      </c>
    </row>
    <row r="1929" ht="15.75" customHeight="1" s="201">
      <c r="A1929" s="1" t="n">
        <v>51108100</v>
      </c>
      <c r="B1929" s="1" t="inlineStr">
        <is>
          <t>Naan, Indian flatbread (Includes Nan bread)</t>
        </is>
      </c>
      <c r="C1929" s="1" t="n">
        <v>2</v>
      </c>
      <c r="D1929" s="1" t="inlineStr">
        <is>
          <t>Links to altEC</t>
        </is>
      </c>
      <c r="E1929" s="1" t="inlineStr">
        <is>
          <t>Base</t>
        </is>
      </c>
      <c r="F1929" s="1" t="n">
        <v>1.163982</v>
      </c>
    </row>
    <row r="1930" ht="15.75" customHeight="1" s="201">
      <c r="A1930" s="1" t="n">
        <v>51109010</v>
      </c>
      <c r="B1930" s="1" t="inlineStr">
        <is>
          <t>Bread, Italian, Grecian, Armenian (Includes sesame bread; pre-sliced or not; ciabatta bread)</t>
        </is>
      </c>
      <c r="C1930" s="1" t="n">
        <v>1</v>
      </c>
      <c r="D1930" s="1" t="inlineStr">
        <is>
          <t>Links to FNDDS</t>
        </is>
      </c>
      <c r="E1930" s="1" t="inlineStr">
        <is>
          <t>Base</t>
        </is>
      </c>
      <c r="F1930" s="1" t="n">
        <v>0.470139</v>
      </c>
    </row>
    <row r="1931" ht="15.75" customHeight="1" s="201">
      <c r="A1931" s="1" t="n">
        <v>51109040</v>
      </c>
      <c r="B1931" s="1" t="inlineStr">
        <is>
          <t>Bread, Italian, Grecian, Armenian, toasted (Includes sesame bread; pre-sliced or not; ciabatta bread)</t>
        </is>
      </c>
      <c r="C1931" s="1" t="n">
        <v>2</v>
      </c>
      <c r="D1931" s="1" t="inlineStr">
        <is>
          <t>Links to altEC</t>
        </is>
      </c>
      <c r="E1931" s="1" t="inlineStr">
        <is>
          <t>Base</t>
        </is>
      </c>
      <c r="F1931" s="1" t="n">
        <v>0.517153</v>
      </c>
    </row>
    <row r="1932" ht="15.75" customHeight="1" s="201">
      <c r="A1932" s="1" t="n">
        <v>51109100</v>
      </c>
      <c r="B1932" s="1" t="inlineStr">
        <is>
          <t>Bread, pita (Includes Greek; Syrian flat bread; Sahara; Arab; pocket)</t>
        </is>
      </c>
      <c r="C1932" s="1" t="n">
        <v>1</v>
      </c>
      <c r="D1932" s="1" t="inlineStr">
        <is>
          <t>Links to FNDDS</t>
        </is>
      </c>
      <c r="E1932" s="1" t="inlineStr">
        <is>
          <t>Base</t>
        </is>
      </c>
      <c r="F1932" s="1" t="n">
        <v>0.625877</v>
      </c>
    </row>
    <row r="1933" ht="15.75" customHeight="1" s="201">
      <c r="A1933" s="1" t="n">
        <v>51109150</v>
      </c>
      <c r="B1933" s="1" t="inlineStr">
        <is>
          <t>Bread, pita with fruit (Includes cinnamon-raisin pita)</t>
        </is>
      </c>
      <c r="C1933" s="1" t="n">
        <v>2</v>
      </c>
      <c r="D1933" s="1" t="inlineStr">
        <is>
          <t>Links to altEC</t>
        </is>
      </c>
      <c r="E1933" s="1" t="inlineStr">
        <is>
          <t>Base</t>
        </is>
      </c>
      <c r="F1933" s="1" t="n">
        <v>0.625877</v>
      </c>
    </row>
    <row r="1934" ht="15.75" customHeight="1" s="201">
      <c r="A1934" s="1" t="n">
        <v>51111010</v>
      </c>
      <c r="B1934" s="1" t="inlineStr">
        <is>
          <t>Bread, cheese (Includes onion cheese; pre-sliced or not)</t>
        </is>
      </c>
      <c r="C1934" s="1" t="n">
        <v>1</v>
      </c>
      <c r="D1934" s="1" t="inlineStr">
        <is>
          <t>Links to FNDDS</t>
        </is>
      </c>
      <c r="E1934" s="1" t="inlineStr">
        <is>
          <t>Base</t>
        </is>
      </c>
      <c r="F1934" s="1" t="n">
        <v>0.9314170000000001</v>
      </c>
    </row>
    <row r="1935" ht="15.75" customHeight="1" s="201">
      <c r="A1935" s="1" t="n">
        <v>51113010</v>
      </c>
      <c r="B1935" s="1" t="inlineStr">
        <is>
          <t>Bread, cinnamon (Includes pre-sliced or not)</t>
        </is>
      </c>
      <c r="C1935" s="1" t="n">
        <v>1</v>
      </c>
      <c r="D1935" s="1" t="inlineStr">
        <is>
          <t>Links to FNDDS</t>
        </is>
      </c>
      <c r="E1935" s="1" t="inlineStr">
        <is>
          <t>Base</t>
        </is>
      </c>
      <c r="F1935" s="1" t="n">
        <v>0.691819</v>
      </c>
    </row>
    <row r="1936" ht="15.75" customHeight="1" s="201">
      <c r="A1936" s="1" t="n">
        <v>51113100</v>
      </c>
      <c r="B1936" s="1" t="inlineStr">
        <is>
          <t>Bread, cinnamon, toasted (Includes pre-sliced or not)</t>
        </is>
      </c>
      <c r="C1936" s="1" t="n">
        <v>2</v>
      </c>
      <c r="D1936" s="1" t="inlineStr">
        <is>
          <t>Links to altEC</t>
        </is>
      </c>
      <c r="E1936" s="1" t="inlineStr">
        <is>
          <t>Base</t>
        </is>
      </c>
      <c r="F1936" s="1" t="n">
        <v>0.761</v>
      </c>
    </row>
    <row r="1937" ht="15.75" customHeight="1" s="201">
      <c r="A1937" s="1" t="n">
        <v>51119010</v>
      </c>
      <c r="B1937" s="1" t="inlineStr">
        <is>
          <t>Bread, egg, Challah (Includes pre-sliced or not)</t>
        </is>
      </c>
      <c r="C1937" s="1" t="n">
        <v>1</v>
      </c>
      <c r="D1937" s="1" t="inlineStr">
        <is>
          <t>Links to FNDDS</t>
        </is>
      </c>
      <c r="E1937" s="1" t="inlineStr">
        <is>
          <t>Base</t>
        </is>
      </c>
      <c r="F1937" s="1" t="n">
        <v>0.875593</v>
      </c>
    </row>
    <row r="1938" ht="15.75" customHeight="1" s="201">
      <c r="A1938" s="1" t="n">
        <v>51121015</v>
      </c>
      <c r="B1938" s="1" t="inlineStr">
        <is>
          <t>Garlic bread, NFS</t>
        </is>
      </c>
      <c r="C1938" s="1" t="n">
        <v>2</v>
      </c>
      <c r="D1938" s="1" t="inlineStr">
        <is>
          <t>Links to altEC</t>
        </is>
      </c>
      <c r="E1938" s="1" t="inlineStr">
        <is>
          <t>Base</t>
        </is>
      </c>
      <c r="F1938" s="1" t="n">
        <v>0.712875</v>
      </c>
    </row>
    <row r="1939" ht="15.75" customHeight="1" s="201">
      <c r="A1939" s="1" t="n">
        <v>51121025</v>
      </c>
      <c r="B1939" s="1" t="inlineStr">
        <is>
          <t>Garlic bread, from fast food / restaurant (Includes from other place; garlic toast; Texas toast; made from all bread types)</t>
        </is>
      </c>
      <c r="C1939" s="1" t="n">
        <v>2</v>
      </c>
      <c r="D1939" s="1" t="inlineStr">
        <is>
          <t>Links to altEC</t>
        </is>
      </c>
      <c r="E1939" s="1" t="inlineStr">
        <is>
          <t>Base</t>
        </is>
      </c>
      <c r="F1939" s="1" t="n">
        <v>0.712875</v>
      </c>
    </row>
    <row r="1940" ht="15.75" customHeight="1" s="201">
      <c r="A1940" s="1" t="n">
        <v>51121035</v>
      </c>
      <c r="B1940" s="1" t="inlineStr">
        <is>
          <t>Garlic bread, from frozen (Includes homemade; school cafeteria (K-12); garlic toast; Texas toast; made from all bread types)</t>
        </is>
      </c>
      <c r="C1940" s="1" t="n">
        <v>2</v>
      </c>
      <c r="D1940" s="1" t="inlineStr">
        <is>
          <t>Links to altEC</t>
        </is>
      </c>
      <c r="E1940" s="1" t="inlineStr">
        <is>
          <t>Base</t>
        </is>
      </c>
      <c r="F1940" s="1" t="n">
        <v>0.712875</v>
      </c>
    </row>
    <row r="1941" ht="15.75" customHeight="1" s="201">
      <c r="A1941" s="1" t="n">
        <v>51121045</v>
      </c>
      <c r="B1941" s="1" t="inlineStr">
        <is>
          <t>Garlic bread, with parmesan cheese, from fast food / restaurant (Includes from other place; garlic parmesan toast; cheese bread with parmesan; Texas toast with parmesan; made from all bread types)</t>
        </is>
      </c>
      <c r="C1941" s="1" t="n">
        <v>2</v>
      </c>
      <c r="D1941" s="1" t="inlineStr">
        <is>
          <t>Links to altEC</t>
        </is>
      </c>
      <c r="E1941" s="1" t="inlineStr">
        <is>
          <t>Base</t>
        </is>
      </c>
      <c r="F1941" s="1" t="n">
        <v>0.748909</v>
      </c>
    </row>
    <row r="1942" ht="15.75" customHeight="1" s="201">
      <c r="A1942" s="1" t="n">
        <v>51121055</v>
      </c>
      <c r="B1942" s="1" t="inlineStr">
        <is>
          <t>Garlic bread, with parmesan cheese, from frozen (Includes homemade; school cafeteria (K-12); garlic parmesan toast; cheese bread with parmesan; Texas toast with parmesan; made from all bread types)</t>
        </is>
      </c>
      <c r="C1942" s="1" t="n">
        <v>2</v>
      </c>
      <c r="D1942" s="1" t="inlineStr">
        <is>
          <t>Links to altEC</t>
        </is>
      </c>
      <c r="E1942" s="1" t="inlineStr">
        <is>
          <t>Base</t>
        </is>
      </c>
      <c r="F1942" s="1" t="n">
        <v>0.712875</v>
      </c>
    </row>
    <row r="1943" ht="15.75" customHeight="1" s="201">
      <c r="A1943" s="1" t="n">
        <v>51121065</v>
      </c>
      <c r="B1943" s="1" t="inlineStr">
        <is>
          <t>Garlic bread, with melted cheese, from fast food / restaurant (Includes from other place; garlic cheese toast, NFS; cheese bread, NFS; cheese bread with melted cheese; Texas toast with cheese, NFS; made from all bread types)</t>
        </is>
      </c>
      <c r="C1943" s="1" t="n">
        <v>2</v>
      </c>
      <c r="D1943" s="1" t="inlineStr">
        <is>
          <t>Links to altEC</t>
        </is>
      </c>
      <c r="E1943" s="1" t="inlineStr">
        <is>
          <t>Base</t>
        </is>
      </c>
      <c r="F1943" s="1" t="n">
        <v>0.748909</v>
      </c>
    </row>
    <row r="1944" ht="15.75" customHeight="1" s="201">
      <c r="A1944" s="1" t="n">
        <v>51121075</v>
      </c>
      <c r="B1944" s="1" t="inlineStr">
        <is>
          <t>Garlic bread, with melted cheese, from frozen (Includes homemade; school cafeteria (K-12); garlic cheese toast; cheese bread; Texas toast with cheese; made from all bread types)</t>
        </is>
      </c>
      <c r="C1944" s="1" t="n">
        <v>1</v>
      </c>
      <c r="D1944" s="1" t="inlineStr">
        <is>
          <t>Links to FNDDS</t>
        </is>
      </c>
      <c r="E1944" s="1" t="inlineStr">
        <is>
          <t>Base</t>
        </is>
      </c>
      <c r="F1944" s="1" t="n">
        <v>0.83991</v>
      </c>
    </row>
    <row r="1945" ht="15.75" customHeight="1" s="201">
      <c r="A1945" s="1" t="n">
        <v>51122100</v>
      </c>
      <c r="B1945" s="1" t="inlineStr">
        <is>
          <t>Bread, reduced calorie and/or high fiber, white or NFS, with fruit and/or nuts (Includes light or lite; pre-sliced or not)</t>
        </is>
      </c>
      <c r="C1945" s="1" t="n">
        <v>2</v>
      </c>
      <c r="D1945" s="1" t="inlineStr">
        <is>
          <t>Links to altEC</t>
        </is>
      </c>
      <c r="E1945" s="1" t="inlineStr">
        <is>
          <t>Base</t>
        </is>
      </c>
      <c r="F1945" s="1" t="n">
        <v>0.448568</v>
      </c>
    </row>
    <row r="1946" ht="15.75" customHeight="1" s="201">
      <c r="A1946" s="1" t="n">
        <v>51127010</v>
      </c>
      <c r="B1946" s="1" t="inlineStr">
        <is>
          <t>Bread, potato (Includes pre-sliced or not)</t>
        </is>
      </c>
      <c r="C1946" s="1" t="n">
        <v>1</v>
      </c>
      <c r="D1946" s="1" t="inlineStr">
        <is>
          <t>Links to FNDDS</t>
        </is>
      </c>
      <c r="E1946" s="1" t="inlineStr">
        <is>
          <t>Base</t>
        </is>
      </c>
      <c r="F1946" s="1" t="n">
        <v>0.492983</v>
      </c>
    </row>
    <row r="1947" ht="15.75" customHeight="1" s="201">
      <c r="A1947" s="1" t="n">
        <v>51127020</v>
      </c>
      <c r="B1947" s="1" t="inlineStr">
        <is>
          <t>Bread, potato, toasted (Includes pre-sliced or not)</t>
        </is>
      </c>
      <c r="C1947" s="1" t="n">
        <v>2</v>
      </c>
      <c r="D1947" s="1" t="inlineStr">
        <is>
          <t>Links to altEC</t>
        </is>
      </c>
      <c r="E1947" s="1" t="inlineStr">
        <is>
          <t>Base</t>
        </is>
      </c>
      <c r="F1947" s="1" t="n">
        <v>0.542282</v>
      </c>
    </row>
    <row r="1948" ht="15.75" customHeight="1" s="201">
      <c r="A1948" s="1" t="n">
        <v>51129010</v>
      </c>
      <c r="B1948" s="1" t="inlineStr">
        <is>
          <t>Bread, raisin (Includes with or without nuts; cinnamon-raisin; pre-sliced or not)</t>
        </is>
      </c>
      <c r="C1948" s="1" t="n">
        <v>1</v>
      </c>
      <c r="D1948" s="1" t="inlineStr">
        <is>
          <t>Links to FNDDS</t>
        </is>
      </c>
      <c r="E1948" s="1" t="inlineStr">
        <is>
          <t>Base</t>
        </is>
      </c>
      <c r="F1948" s="1" t="n">
        <v>0.685954</v>
      </c>
    </row>
    <row r="1949" ht="15.75" customHeight="1" s="201">
      <c r="A1949" s="1" t="n">
        <v>51129020</v>
      </c>
      <c r="B1949" s="1" t="inlineStr">
        <is>
          <t>Bread, raisin, toasted (Includes with or without nuts; cinnamon-raisin; pre-sliced or not)</t>
        </is>
      </c>
      <c r="C1949" s="1" t="n">
        <v>2</v>
      </c>
      <c r="D1949" s="1" t="inlineStr">
        <is>
          <t>Links to altEC</t>
        </is>
      </c>
      <c r="E1949" s="1" t="inlineStr">
        <is>
          <t>Base</t>
        </is>
      </c>
      <c r="F1949" s="1" t="n">
        <v>0.754549</v>
      </c>
    </row>
    <row r="1950" ht="15.75" customHeight="1" s="201">
      <c r="A1950" s="1" t="n">
        <v>51133010</v>
      </c>
      <c r="B1950" s="1" t="inlineStr">
        <is>
          <t>Bread, sour dough (Includes pre-sliced or not)</t>
        </is>
      </c>
      <c r="C1950" s="1" t="n">
        <v>1</v>
      </c>
      <c r="D1950" s="1" t="inlineStr">
        <is>
          <t>Links to FNDDS</t>
        </is>
      </c>
      <c r="E1950" s="1" t="inlineStr">
        <is>
          <t>Base</t>
        </is>
      </c>
      <c r="F1950" s="1" t="n">
        <v>0.55892</v>
      </c>
    </row>
    <row r="1951" ht="15.75" customHeight="1" s="201">
      <c r="A1951" s="1" t="n">
        <v>51133020</v>
      </c>
      <c r="B1951" s="1" t="inlineStr">
        <is>
          <t>Bread, sour dough, toasted (Includes pre-sliced or not)</t>
        </is>
      </c>
      <c r="C1951" s="1" t="n">
        <v>2</v>
      </c>
      <c r="D1951" s="1" t="inlineStr">
        <is>
          <t>Links to altEC</t>
        </is>
      </c>
      <c r="E1951" s="1" t="inlineStr">
        <is>
          <t>Base</t>
        </is>
      </c>
      <c r="F1951" s="1" t="n">
        <v>0.614812</v>
      </c>
    </row>
    <row r="1952" ht="15.75" customHeight="1" s="201">
      <c r="A1952" s="1" t="n">
        <v>51135000</v>
      </c>
      <c r="B1952" s="1" t="inlineStr">
        <is>
          <t>Bread, vegetable (Includes bread with vegetables such as tomatoes, carrots, spinach, broccoli, olives; with or without cheese; pre-sliced or not)</t>
        </is>
      </c>
      <c r="C1952" s="1" t="n">
        <v>1</v>
      </c>
      <c r="D1952" s="1" t="inlineStr">
        <is>
          <t>Links to FNDDS</t>
        </is>
      </c>
      <c r="E1952" s="1" t="inlineStr">
        <is>
          <t>Base</t>
        </is>
      </c>
      <c r="F1952" s="1" t="n">
        <v>0.8057879999999999</v>
      </c>
    </row>
    <row r="1953" ht="15.75" customHeight="1" s="201">
      <c r="A1953" s="1" t="n">
        <v>51136000</v>
      </c>
      <c r="B1953" s="1" t="inlineStr">
        <is>
          <t>Bruschetta</t>
        </is>
      </c>
      <c r="C1953" s="1" t="n">
        <v>4</v>
      </c>
      <c r="D1953" s="1" t="inlineStr">
        <is>
          <t>FNDDS recipe with replaced or modified SR codes</t>
        </is>
      </c>
      <c r="E1953" s="1" t="inlineStr">
        <is>
          <t>Base</t>
        </is>
      </c>
      <c r="F1953" s="1" t="n">
        <v>0.580023</v>
      </c>
    </row>
    <row r="1954" ht="15.75" customHeight="1" s="201">
      <c r="A1954" s="1" t="n">
        <v>51140100</v>
      </c>
      <c r="B1954" s="1" t="inlineStr">
        <is>
          <t>Bread, dough, fried (Includes American Indian fry bread)</t>
        </is>
      </c>
      <c r="C1954" s="1" t="n">
        <v>2</v>
      </c>
      <c r="D1954" s="1" t="inlineStr">
        <is>
          <t>Links to altEC</t>
        </is>
      </c>
      <c r="E1954" s="1" t="inlineStr">
        <is>
          <t>Base</t>
        </is>
      </c>
      <c r="F1954" s="1" t="n">
        <v>0.37792</v>
      </c>
    </row>
    <row r="1955" ht="15.75" customHeight="1" s="201">
      <c r="A1955" s="1" t="n">
        <v>51150000</v>
      </c>
      <c r="B1955" s="1" t="inlineStr">
        <is>
          <t>Roll, white, soft (Includes potato roll; onion roll; roll made from mix; soft, seeded roll; brown 'n' serve; white roll, NS as to soft or hard; dinner roll)</t>
        </is>
      </c>
      <c r="C1955" s="1" t="n">
        <v>1</v>
      </c>
      <c r="D1955" s="1" t="inlineStr">
        <is>
          <t>Links to FNDDS</t>
        </is>
      </c>
      <c r="E1955" s="1" t="inlineStr">
        <is>
          <t>Base</t>
        </is>
      </c>
      <c r="F1955" s="1" t="n">
        <v>0.65252</v>
      </c>
    </row>
    <row r="1956" ht="15.75" customHeight="1" s="201">
      <c r="A1956" s="1" t="n">
        <v>51153000</v>
      </c>
      <c r="B1956" s="1" t="inlineStr">
        <is>
          <t>Roll, white, hard (Includes Kaiser; Pan de sal / Pandisal Filipino bread)</t>
        </is>
      </c>
      <c r="C1956" s="1" t="n">
        <v>1</v>
      </c>
      <c r="D1956" s="1" t="inlineStr">
        <is>
          <t>Links to FNDDS</t>
        </is>
      </c>
      <c r="E1956" s="1" t="inlineStr">
        <is>
          <t>Base</t>
        </is>
      </c>
      <c r="F1956" s="1" t="n">
        <v>0.644114</v>
      </c>
    </row>
    <row r="1957" ht="15.75" customHeight="1" s="201">
      <c r="A1957" s="1" t="n">
        <v>51154010</v>
      </c>
      <c r="B1957" s="1" t="inlineStr">
        <is>
          <t>Roll, white, hot dog bun (Includes frankfurter bun; potato bun)</t>
        </is>
      </c>
      <c r="C1957" s="1" t="n">
        <v>1</v>
      </c>
      <c r="D1957" s="1" t="inlineStr">
        <is>
          <t>Links to FNDDS</t>
        </is>
      </c>
      <c r="E1957" s="1" t="inlineStr">
        <is>
          <t>Base</t>
        </is>
      </c>
      <c r="F1957" s="1" t="n">
        <v>0.475447</v>
      </c>
    </row>
    <row r="1958" ht="15.75" customHeight="1" s="201">
      <c r="A1958" s="1" t="n">
        <v>51154100</v>
      </c>
      <c r="B1958" s="1" t="inlineStr">
        <is>
          <t>Roll, white, hamburger bun (Includes potato bun)</t>
        </is>
      </c>
      <c r="C1958" s="1" t="n">
        <v>1</v>
      </c>
      <c r="D1958" s="1" t="inlineStr">
        <is>
          <t>Links to FNDDS</t>
        </is>
      </c>
      <c r="E1958" s="1" t="inlineStr">
        <is>
          <t>Base</t>
        </is>
      </c>
      <c r="F1958" s="1" t="n">
        <v>0.443382</v>
      </c>
    </row>
    <row r="1959" ht="15.75" customHeight="1" s="201">
      <c r="A1959" s="1" t="n">
        <v>51154550</v>
      </c>
      <c r="B1959" s="1" t="inlineStr">
        <is>
          <t>Roll, egg bread</t>
        </is>
      </c>
      <c r="C1959" s="1" t="n">
        <v>1</v>
      </c>
      <c r="D1959" s="1" t="inlineStr">
        <is>
          <t>Links to FNDDS</t>
        </is>
      </c>
      <c r="E1959" s="1" t="inlineStr">
        <is>
          <t>Base</t>
        </is>
      </c>
      <c r="F1959" s="1" t="n">
        <v>0.690126</v>
      </c>
    </row>
    <row r="1960" ht="15.75" customHeight="1" s="201">
      <c r="A1960" s="1" t="n">
        <v>51154600</v>
      </c>
      <c r="B1960" s="1" t="inlineStr">
        <is>
          <t>Roll, cheese</t>
        </is>
      </c>
      <c r="C1960" s="1" t="n">
        <v>1</v>
      </c>
      <c r="D1960" s="1" t="inlineStr">
        <is>
          <t>Links to FNDDS</t>
        </is>
      </c>
      <c r="E1960" s="1" t="inlineStr">
        <is>
          <t>Base</t>
        </is>
      </c>
      <c r="F1960" s="1" t="n">
        <v>1.161968</v>
      </c>
    </row>
    <row r="1961" ht="15.75" customHeight="1" s="201">
      <c r="A1961" s="1" t="n">
        <v>51155000</v>
      </c>
      <c r="B1961" s="1" t="inlineStr">
        <is>
          <t>Roll, French or Vienna</t>
        </is>
      </c>
      <c r="C1961" s="1" t="n">
        <v>1</v>
      </c>
      <c r="D1961" s="1" t="inlineStr">
        <is>
          <t>Links to FNDDS</t>
        </is>
      </c>
      <c r="E1961" s="1" t="inlineStr">
        <is>
          <t>Base</t>
        </is>
      </c>
      <c r="F1961" s="1" t="n">
        <v>0.757437</v>
      </c>
    </row>
    <row r="1962" ht="15.75" customHeight="1" s="201">
      <c r="A1962" s="1" t="n">
        <v>51156500</v>
      </c>
      <c r="B1962" s="1" t="inlineStr">
        <is>
          <t>Roll, garlic</t>
        </is>
      </c>
      <c r="C1962" s="1" t="n">
        <v>1</v>
      </c>
      <c r="D1962" s="1" t="inlineStr">
        <is>
          <t>Links to FNDDS</t>
        </is>
      </c>
      <c r="E1962" s="1" t="inlineStr">
        <is>
          <t>Base</t>
        </is>
      </c>
      <c r="F1962" s="1" t="n">
        <v>2.037825</v>
      </c>
    </row>
    <row r="1963" ht="15.75" customHeight="1" s="201">
      <c r="A1963" s="1" t="n">
        <v>51157000</v>
      </c>
      <c r="B1963" s="1" t="inlineStr">
        <is>
          <t>Roll, white, hoagie, submarine (Includes steak roll; torpedo roll)</t>
        </is>
      </c>
      <c r="C1963" s="1" t="n">
        <v>1</v>
      </c>
      <c r="D1963" s="1" t="inlineStr">
        <is>
          <t>Links to FNDDS</t>
        </is>
      </c>
      <c r="E1963" s="1" t="inlineStr">
        <is>
          <t>Base</t>
        </is>
      </c>
      <c r="F1963" s="1" t="n">
        <v>0.640154</v>
      </c>
    </row>
    <row r="1964" ht="15.75" customHeight="1" s="201">
      <c r="A1964" s="1" t="n">
        <v>51158100</v>
      </c>
      <c r="B1964" s="1" t="inlineStr">
        <is>
          <t>Roll, Mexican, bolillo</t>
        </is>
      </c>
      <c r="C1964" s="1" t="n">
        <v>1</v>
      </c>
      <c r="D1964" s="1" t="inlineStr">
        <is>
          <t>Links to FNDDS</t>
        </is>
      </c>
      <c r="E1964" s="1" t="inlineStr">
        <is>
          <t>Base</t>
        </is>
      </c>
      <c r="F1964" s="1" t="n">
        <v>0.318484</v>
      </c>
    </row>
    <row r="1965" ht="15.75" customHeight="1" s="201">
      <c r="A1965" s="1" t="n">
        <v>51159000</v>
      </c>
      <c r="B1965" s="1" t="inlineStr">
        <is>
          <t>Roll, sour dough</t>
        </is>
      </c>
      <c r="C1965" s="1" t="n">
        <v>1</v>
      </c>
      <c r="D1965" s="1" t="inlineStr">
        <is>
          <t>Links to FNDDS</t>
        </is>
      </c>
      <c r="E1965" s="1" t="inlineStr">
        <is>
          <t>Base</t>
        </is>
      </c>
      <c r="F1965" s="1" t="n">
        <v>0.567137</v>
      </c>
    </row>
    <row r="1966" ht="15.75" customHeight="1" s="201">
      <c r="A1966" s="1" t="n">
        <v>51160000</v>
      </c>
      <c r="B1966" s="1" t="inlineStr">
        <is>
          <t>Roll, sweet, no frosting (Includes butterhorn; Portuguese sweet bread; sweet roll, NFS; Hawaiian bread; with or without nuts)</t>
        </is>
      </c>
      <c r="C1966" s="1" t="n">
        <v>2</v>
      </c>
      <c r="D1966" s="1" t="inlineStr">
        <is>
          <t>Links to altEC</t>
        </is>
      </c>
      <c r="E1966" s="1" t="inlineStr">
        <is>
          <t>Base</t>
        </is>
      </c>
      <c r="F1966" s="1" t="n">
        <v>0.745038</v>
      </c>
    </row>
    <row r="1967" ht="15.75" customHeight="1" s="201">
      <c r="A1967" s="1" t="n">
        <v>51160100</v>
      </c>
      <c r="B1967" s="1" t="inlineStr">
        <is>
          <t>Roll, sweet, cinnamon bun, no frosting (Includes cinnamon bun, NS as to frosting)</t>
        </is>
      </c>
      <c r="C1967" s="1" t="n">
        <v>1</v>
      </c>
      <c r="D1967" s="1" t="inlineStr">
        <is>
          <t>Links to FNDDS</t>
        </is>
      </c>
      <c r="E1967" s="1" t="inlineStr">
        <is>
          <t>Base</t>
        </is>
      </c>
      <c r="F1967" s="1" t="n">
        <v>0.710916</v>
      </c>
    </row>
    <row r="1968" ht="15.75" customHeight="1" s="201">
      <c r="A1968" s="1" t="n">
        <v>51160110</v>
      </c>
      <c r="B1968" s="1" t="inlineStr">
        <is>
          <t>Roll, sweet, cinnamon bun, frosted (Includes honey bun; Little Debbie Honey Bun; Cinnabon; Pizza Hut Cinnamon Stick; Papa John’s Cinnapie; cinnamon breadstick)</t>
        </is>
      </c>
      <c r="C1968" s="1" t="n">
        <v>1</v>
      </c>
      <c r="D1968" s="1" t="inlineStr">
        <is>
          <t>Links to FNDDS</t>
        </is>
      </c>
      <c r="E1968" s="1" t="inlineStr">
        <is>
          <t>Base</t>
        </is>
      </c>
      <c r="F1968" s="1" t="n">
        <v>0.626668</v>
      </c>
    </row>
    <row r="1969" ht="15.75" customHeight="1" s="201">
      <c r="A1969" s="1" t="n">
        <v>51161000</v>
      </c>
      <c r="B1969" s="1" t="inlineStr">
        <is>
          <t>Pan Dulce, with fruit, no frosting (Includes with jelly; Mexican sweet bread with fruit; Apple roll; Kolach; with or without nuts; sweet roll)</t>
        </is>
      </c>
      <c r="C1969" s="1" t="n">
        <v>1</v>
      </c>
      <c r="D1969" s="1" t="inlineStr">
        <is>
          <t>Links to FNDDS</t>
        </is>
      </c>
      <c r="E1969" s="1" t="inlineStr">
        <is>
          <t>Base</t>
        </is>
      </c>
      <c r="F1969" s="1" t="n">
        <v>1.031984</v>
      </c>
    </row>
    <row r="1970" ht="15.75" customHeight="1" s="201">
      <c r="A1970" s="1" t="n">
        <v>51161050</v>
      </c>
      <c r="B1970" s="1" t="inlineStr">
        <is>
          <t>Roll, sweet, frosted (Includes caramel roll; sweet roll with nuts, NS as to frosting; sticky bun; with or without nuts)</t>
        </is>
      </c>
      <c r="C1970" s="1" t="n">
        <v>1</v>
      </c>
      <c r="D1970" s="1" t="inlineStr">
        <is>
          <t>Links to FNDDS</t>
        </is>
      </c>
      <c r="E1970" s="1" t="inlineStr">
        <is>
          <t>Base</t>
        </is>
      </c>
      <c r="F1970" s="1" t="n">
        <v>0.943824</v>
      </c>
    </row>
    <row r="1971" ht="15.75" customHeight="1" s="201">
      <c r="A1971" s="1" t="n">
        <v>51161250</v>
      </c>
      <c r="B1971" s="1" t="inlineStr">
        <is>
          <t>Pan Dulce, no topping (Includes Pan de Huevo, no topping; cuerno; Mexican; sweet roll)</t>
        </is>
      </c>
      <c r="C1971" s="1" t="n">
        <v>1</v>
      </c>
      <c r="D1971" s="1" t="inlineStr">
        <is>
          <t>Links to FNDDS</t>
        </is>
      </c>
      <c r="E1971" s="1" t="inlineStr">
        <is>
          <t>Base</t>
        </is>
      </c>
      <c r="F1971" s="1" t="n">
        <v>0.874333</v>
      </c>
    </row>
    <row r="1972" ht="15.75" customHeight="1" s="201">
      <c r="A1972" s="1" t="n">
        <v>51161270</v>
      </c>
      <c r="B1972" s="1" t="inlineStr">
        <is>
          <t>Pan Dulce, with sugar topping (Includes Pan de Huevo, sugar topping; Pan de Huevo, crumb topping; Pan de Huevo, NFS; Pan Dulce, NFS; Mexican sweet bread, NFS; pan dulce with icing, all flavors; sweet roll)</t>
        </is>
      </c>
      <c r="C1972" s="1" t="n">
        <v>2</v>
      </c>
      <c r="D1972" s="1" t="inlineStr">
        <is>
          <t>Links to altEC</t>
        </is>
      </c>
      <c r="E1972" s="1" t="inlineStr">
        <is>
          <t>Base</t>
        </is>
      </c>
      <c r="F1972" s="1" t="n">
        <v>0.865891</v>
      </c>
    </row>
    <row r="1973" ht="15.75" customHeight="1" s="201">
      <c r="A1973" s="1" t="n">
        <v>51166000</v>
      </c>
      <c r="B1973" s="1" t="inlineStr">
        <is>
          <t>Croissant (Includes Sara Lee Wheat 'n' Honey; crescent roll)</t>
        </is>
      </c>
      <c r="C1973" s="1" t="n">
        <v>1</v>
      </c>
      <c r="D1973" s="1" t="inlineStr">
        <is>
          <t>Links to FNDDS</t>
        </is>
      </c>
      <c r="E1973" s="1" t="inlineStr">
        <is>
          <t>Base</t>
        </is>
      </c>
      <c r="F1973" s="1" t="n">
        <v>1.009775</v>
      </c>
    </row>
    <row r="1974" ht="15.75" customHeight="1" s="201">
      <c r="A1974" s="1" t="n">
        <v>51166100</v>
      </c>
      <c r="B1974" s="1" t="inlineStr">
        <is>
          <t>Croissant, cheese</t>
        </is>
      </c>
      <c r="C1974" s="1" t="n">
        <v>1</v>
      </c>
      <c r="D1974" s="1" t="inlineStr">
        <is>
          <t>Links to FNDDS</t>
        </is>
      </c>
      <c r="E1974" s="1" t="inlineStr">
        <is>
          <t>Base</t>
        </is>
      </c>
      <c r="F1974" s="1" t="n">
        <v>1.364617</v>
      </c>
    </row>
    <row r="1975" ht="15.75" customHeight="1" s="201">
      <c r="A1975" s="1" t="n">
        <v>51166200</v>
      </c>
      <c r="B1975" s="1" t="inlineStr">
        <is>
          <t>Croissant, chocolate (Includes danish pastry with chocolate)</t>
        </is>
      </c>
      <c r="C1975" s="1" t="n">
        <v>1</v>
      </c>
      <c r="D1975" s="1" t="inlineStr">
        <is>
          <t>Links to FNDDS</t>
        </is>
      </c>
      <c r="E1975" s="1" t="inlineStr">
        <is>
          <t>Base</t>
        </is>
      </c>
      <c r="F1975" s="1" t="n">
        <v>0.971877</v>
      </c>
    </row>
    <row r="1976" ht="15.75" customHeight="1" s="201">
      <c r="A1976" s="1" t="n">
        <v>51167000</v>
      </c>
      <c r="B1976" s="1" t="inlineStr">
        <is>
          <t>Brioche</t>
        </is>
      </c>
      <c r="C1976" s="1" t="n">
        <v>1</v>
      </c>
      <c r="D1976" s="1" t="inlineStr">
        <is>
          <t>Links to FNDDS</t>
        </is>
      </c>
      <c r="E1976" s="1" t="inlineStr">
        <is>
          <t>Base</t>
        </is>
      </c>
      <c r="F1976" s="1" t="n">
        <v>0.946619</v>
      </c>
    </row>
    <row r="1977" ht="15.75" customHeight="1" s="201">
      <c r="A1977" s="1" t="n">
        <v>51180010</v>
      </c>
      <c r="B1977" s="1" t="inlineStr">
        <is>
          <t>Bagel (Includes water bagel; flavored bagel; egg bagel; bialy; Bagel Thins)</t>
        </is>
      </c>
      <c r="C1977" s="1" t="n">
        <v>1</v>
      </c>
      <c r="D1977" s="1" t="inlineStr">
        <is>
          <t>Links to FNDDS</t>
        </is>
      </c>
      <c r="E1977" s="1" t="inlineStr">
        <is>
          <t>Base</t>
        </is>
      </c>
      <c r="F1977" s="1" t="n">
        <v>0.5556950000000001</v>
      </c>
    </row>
    <row r="1978" ht="15.75" customHeight="1" s="201">
      <c r="A1978" s="1" t="n">
        <v>51180030</v>
      </c>
      <c r="B1978" s="1" t="inlineStr">
        <is>
          <t>Bagel, with raisins (Includes Bagel Thins)</t>
        </is>
      </c>
      <c r="C1978" s="1" t="n">
        <v>1</v>
      </c>
      <c r="D1978" s="1" t="inlineStr">
        <is>
          <t>Links to FNDDS</t>
        </is>
      </c>
      <c r="E1978" s="1" t="inlineStr">
        <is>
          <t>Base</t>
        </is>
      </c>
      <c r="F1978" s="1" t="n">
        <v>0.542396</v>
      </c>
    </row>
    <row r="1979" ht="15.75" customHeight="1" s="201">
      <c r="A1979" s="1" t="n">
        <v>51180080</v>
      </c>
      <c r="B1979" s="1" t="inlineStr">
        <is>
          <t>Bagel, with fruit other than raisins (Includes blueberry bagels; Bagel Thins)</t>
        </is>
      </c>
      <c r="C1979" s="1" t="n">
        <v>1</v>
      </c>
      <c r="D1979" s="1" t="inlineStr">
        <is>
          <t>Links to FNDDS</t>
        </is>
      </c>
      <c r="E1979" s="1" t="inlineStr">
        <is>
          <t>Base</t>
        </is>
      </c>
      <c r="F1979" s="1" t="n">
        <v>0.491783</v>
      </c>
    </row>
    <row r="1980" ht="15.75" customHeight="1" s="201">
      <c r="A1980" s="1" t="n">
        <v>51182010</v>
      </c>
      <c r="B1980" s="1" t="inlineStr">
        <is>
          <t>Bread stuffing (Includes homemade; stuffing, NFS)</t>
        </is>
      </c>
      <c r="C1980" s="1" t="n">
        <v>4</v>
      </c>
      <c r="D1980" s="1" t="inlineStr">
        <is>
          <t>FNDDS recipe with replaced or modified SR codes</t>
        </is>
      </c>
      <c r="E1980" s="1" t="inlineStr">
        <is>
          <t>Base</t>
        </is>
      </c>
      <c r="F1980" s="1" t="n">
        <v>0.268207</v>
      </c>
    </row>
    <row r="1981" ht="15.75" customHeight="1" s="201">
      <c r="A1981" s="1" t="n">
        <v>51182020</v>
      </c>
      <c r="B1981" s="1" t="inlineStr">
        <is>
          <t>Bread stuffing made with egg</t>
        </is>
      </c>
      <c r="C1981" s="1" t="n">
        <v>4</v>
      </c>
      <c r="D1981" s="1" t="inlineStr">
        <is>
          <t>FNDDS recipe with replaced or modified SR codes</t>
        </is>
      </c>
      <c r="E1981" s="1" t="inlineStr">
        <is>
          <t>Base</t>
        </is>
      </c>
      <c r="F1981" s="1" t="n">
        <v>0.716538</v>
      </c>
    </row>
    <row r="1982" ht="15.75" customHeight="1" s="201">
      <c r="A1982" s="1" t="n">
        <v>51183990</v>
      </c>
      <c r="B1982" s="1" t="inlineStr">
        <is>
          <t>Breadsticks, NFS</t>
        </is>
      </c>
      <c r="C1982" s="1" t="n">
        <v>2</v>
      </c>
      <c r="D1982" s="1" t="inlineStr">
        <is>
          <t>Links to altEC</t>
        </is>
      </c>
      <c r="E1982" s="1" t="inlineStr">
        <is>
          <t>Base</t>
        </is>
      </c>
      <c r="F1982" s="1" t="n">
        <v>1.180513</v>
      </c>
    </row>
    <row r="1983" ht="15.75" customHeight="1" s="201">
      <c r="A1983" s="1" t="n">
        <v>51184000</v>
      </c>
      <c r="B1983" s="1" t="inlineStr">
        <is>
          <t>Breadsticks, hard, NFS (Includes sesame sticks; Handi-Snack breadsticks)</t>
        </is>
      </c>
      <c r="C1983" s="1" t="n">
        <v>1</v>
      </c>
      <c r="D1983" s="1" t="inlineStr">
        <is>
          <t>Links to FNDDS</t>
        </is>
      </c>
      <c r="E1983" s="1" t="inlineStr">
        <is>
          <t>Base</t>
        </is>
      </c>
      <c r="F1983" s="1" t="n">
        <v>2.065926</v>
      </c>
    </row>
    <row r="1984" ht="15.75" customHeight="1" s="201">
      <c r="A1984" s="1" t="n">
        <v>51184200</v>
      </c>
      <c r="B1984" s="1" t="inlineStr">
        <is>
          <t>Breadsticks, soft, NFS</t>
        </is>
      </c>
      <c r="C1984" s="1" t="n">
        <v>2</v>
      </c>
      <c r="D1984" s="1" t="inlineStr">
        <is>
          <t>Links to altEC</t>
        </is>
      </c>
      <c r="E1984" s="1" t="inlineStr">
        <is>
          <t>Base</t>
        </is>
      </c>
      <c r="F1984" s="1" t="n">
        <v>1.180513</v>
      </c>
    </row>
    <row r="1985" ht="15.75" customHeight="1" s="201">
      <c r="A1985" s="1" t="n">
        <v>51184210</v>
      </c>
      <c r="B1985" s="1" t="inlineStr">
        <is>
          <t>Breadsticks, soft, from fast food / restaurant (Includes from other place; Papa John's; Olive Garden; garlic breadsticks; garlic knot, NFS)</t>
        </is>
      </c>
      <c r="C1985" s="1" t="n">
        <v>2</v>
      </c>
      <c r="D1985" s="1" t="inlineStr">
        <is>
          <t>Links to altEC</t>
        </is>
      </c>
      <c r="E1985" s="1" t="inlineStr">
        <is>
          <t>Base</t>
        </is>
      </c>
      <c r="F1985" s="1" t="n">
        <v>1.180513</v>
      </c>
    </row>
    <row r="1986" ht="15.75" customHeight="1" s="201">
      <c r="A1986" s="1" t="n">
        <v>51184220</v>
      </c>
      <c r="B1986" s="1" t="inlineStr">
        <is>
          <t>Breadsticks, soft, from frozen (Includes homemade; school cafeteria (K-12); garlic knot)</t>
        </is>
      </c>
      <c r="C1986" s="1" t="n">
        <v>2</v>
      </c>
      <c r="D1986" s="1" t="inlineStr">
        <is>
          <t>Links to altEC</t>
        </is>
      </c>
      <c r="E1986" s="1" t="inlineStr">
        <is>
          <t>Base</t>
        </is>
      </c>
      <c r="F1986" s="1" t="n">
        <v>0.872391</v>
      </c>
    </row>
    <row r="1987" ht="15.75" customHeight="1" s="201">
      <c r="A1987" s="1" t="n">
        <v>51184230</v>
      </c>
      <c r="B1987" s="1" t="inlineStr">
        <is>
          <t>Breadsticks, soft, with parmesan cheese, from fast food / restaurant (Includes from other place; with garlic; cheese focaccia; Little Caesars "Crazy Bread"; Pizza Hut; Domino's Parmesan Bread Bites; Papa John's)</t>
        </is>
      </c>
      <c r="C1987" s="1" t="n">
        <v>2</v>
      </c>
      <c r="D1987" s="1" t="inlineStr">
        <is>
          <t>Links to altEC</t>
        </is>
      </c>
      <c r="E1987" s="1" t="inlineStr">
        <is>
          <t>Base</t>
        </is>
      </c>
      <c r="F1987" s="1" t="n">
        <v>0.781478</v>
      </c>
    </row>
    <row r="1988" ht="15.75" customHeight="1" s="201">
      <c r="A1988" s="1" t="n">
        <v>51184240</v>
      </c>
      <c r="B1988" s="1" t="inlineStr">
        <is>
          <t>Breadsticks, soft, with parmesan cheese, from frozen (Includes homemade; school cafeteria (K-12); NS as to cheese kind)</t>
        </is>
      </c>
      <c r="C1988" s="1" t="n">
        <v>1</v>
      </c>
      <c r="D1988" s="1" t="inlineStr">
        <is>
          <t>Links to FNDDS</t>
        </is>
      </c>
      <c r="E1988" s="1" t="inlineStr">
        <is>
          <t>Base</t>
        </is>
      </c>
      <c r="F1988" s="1" t="n">
        <v>0.781478</v>
      </c>
    </row>
    <row r="1989" ht="15.75" customHeight="1" s="201">
      <c r="A1989" s="1" t="n">
        <v>51184250</v>
      </c>
      <c r="B1989" s="1" t="inlineStr">
        <is>
          <t>Breadsticks, soft, topped with melted cheese (Includes from all sources; with garlic; with parmesan and melted cheese; Pizza Hut; Little Caesars; Papa John's; Domino's; DiGiorno)</t>
        </is>
      </c>
      <c r="C1989" s="1" t="n">
        <v>2</v>
      </c>
      <c r="D1989" s="1" t="inlineStr">
        <is>
          <t>Links to altEC</t>
        </is>
      </c>
      <c r="E1989" s="1" t="inlineStr">
        <is>
          <t>Base</t>
        </is>
      </c>
      <c r="F1989" s="1" t="n">
        <v>0.781478</v>
      </c>
    </row>
    <row r="1990" ht="15.75" customHeight="1" s="201">
      <c r="A1990" s="1" t="n">
        <v>51184260</v>
      </c>
      <c r="B1990" s="1" t="inlineStr">
        <is>
          <t>Breadsticks, soft, stuffed with melted cheese (Includes from all sources; with garlic; stuffed and topped with cheese; Pizza Hut; Domino's; stuffed cheesy bread)</t>
        </is>
      </c>
      <c r="C1990" s="1" t="n">
        <v>2</v>
      </c>
      <c r="D1990" s="1" t="inlineStr">
        <is>
          <t>Links to altEC</t>
        </is>
      </c>
      <c r="E1990" s="1" t="inlineStr">
        <is>
          <t>Base</t>
        </is>
      </c>
      <c r="F1990" s="1" t="n">
        <v>0.781478</v>
      </c>
    </row>
    <row r="1991" ht="15.75" customHeight="1" s="201">
      <c r="A1991" s="1" t="n">
        <v>51185000</v>
      </c>
      <c r="B1991" s="1" t="inlineStr">
        <is>
          <t>Croutons (Includes seasoned bread crumbs)</t>
        </is>
      </c>
      <c r="C1991" s="1" t="n">
        <v>1</v>
      </c>
      <c r="D1991" s="1" t="inlineStr">
        <is>
          <t>Links to FNDDS</t>
        </is>
      </c>
      <c r="E1991" s="1" t="inlineStr">
        <is>
          <t>Base</t>
        </is>
      </c>
      <c r="F1991" s="1" t="n">
        <v>0.699408</v>
      </c>
    </row>
    <row r="1992" ht="15.75" customHeight="1" s="201">
      <c r="A1992" s="1" t="n">
        <v>51186010</v>
      </c>
      <c r="B1992" s="1" t="inlineStr">
        <is>
          <t>Muffin, English (Includes sour dough)</t>
        </is>
      </c>
      <c r="C1992" s="1" t="n">
        <v>1</v>
      </c>
      <c r="D1992" s="1" t="inlineStr">
        <is>
          <t>Links to FNDDS</t>
        </is>
      </c>
      <c r="E1992" s="1" t="inlineStr">
        <is>
          <t>Base</t>
        </is>
      </c>
      <c r="F1992" s="1" t="n">
        <v>0.677177</v>
      </c>
    </row>
    <row r="1993" ht="15.75" customHeight="1" s="201">
      <c r="A1993" s="1" t="n">
        <v>51186100</v>
      </c>
      <c r="B1993" s="1" t="inlineStr">
        <is>
          <t>Muffin, English, with raisins</t>
        </is>
      </c>
      <c r="C1993" s="1" t="n">
        <v>1</v>
      </c>
      <c r="D1993" s="1" t="inlineStr">
        <is>
          <t>Links to FNDDS</t>
        </is>
      </c>
      <c r="E1993" s="1" t="inlineStr">
        <is>
          <t>Base</t>
        </is>
      </c>
      <c r="F1993" s="1" t="n">
        <v>0.711002</v>
      </c>
    </row>
    <row r="1994" ht="15.75" customHeight="1" s="201">
      <c r="A1994" s="1" t="n">
        <v>51186160</v>
      </c>
      <c r="B1994" s="1" t="inlineStr">
        <is>
          <t>Muffin, English, with fruit other than raisins</t>
        </is>
      </c>
      <c r="C1994" s="1" t="n">
        <v>1</v>
      </c>
      <c r="D1994" s="1" t="inlineStr">
        <is>
          <t>Links to FNDDS</t>
        </is>
      </c>
      <c r="E1994" s="1" t="inlineStr">
        <is>
          <t>Base</t>
        </is>
      </c>
      <c r="F1994" s="1" t="n">
        <v>0.762317</v>
      </c>
    </row>
    <row r="1995" ht="15.75" customHeight="1" s="201">
      <c r="A1995" s="1" t="n">
        <v>51187000</v>
      </c>
      <c r="B1995" s="1" t="inlineStr">
        <is>
          <t>Melba toast (Includes all flavors; Old London; Devonsheer; mini toast crackers; crostini toast)</t>
        </is>
      </c>
      <c r="C1995" s="1" t="n">
        <v>1</v>
      </c>
      <c r="D1995" s="1" t="inlineStr">
        <is>
          <t>Links to FNDDS</t>
        </is>
      </c>
      <c r="E1995" s="1" t="inlineStr">
        <is>
          <t>Base</t>
        </is>
      </c>
      <c r="F1995" s="1" t="n">
        <v>1.025507</v>
      </c>
    </row>
    <row r="1996" ht="15.75" customHeight="1" s="201">
      <c r="A1996" s="1" t="n">
        <v>51187020</v>
      </c>
      <c r="B1996" s="1" t="inlineStr">
        <is>
          <t>Anisette toast (Includes almond toast; Stella D'oro)</t>
        </is>
      </c>
      <c r="C1996" s="1" t="n">
        <v>2</v>
      </c>
      <c r="D1996" s="1" t="inlineStr">
        <is>
          <t>Links to altEC</t>
        </is>
      </c>
      <c r="E1996" s="1" t="inlineStr">
        <is>
          <t>Base</t>
        </is>
      </c>
      <c r="F1996" s="1" t="n">
        <v>1.590295</v>
      </c>
    </row>
    <row r="1997" ht="15.75" customHeight="1" s="201">
      <c r="A1997" s="1" t="n">
        <v>51188100</v>
      </c>
      <c r="B1997" s="1" t="inlineStr">
        <is>
          <t>Pannetone (Includes Italian style sweet bread)</t>
        </is>
      </c>
      <c r="C1997" s="1" t="n">
        <v>1</v>
      </c>
      <c r="D1997" s="1" t="inlineStr">
        <is>
          <t>Links to FNDDS</t>
        </is>
      </c>
      <c r="E1997" s="1" t="inlineStr">
        <is>
          <t>Base</t>
        </is>
      </c>
      <c r="F1997" s="1" t="n">
        <v>0.762385</v>
      </c>
    </row>
    <row r="1998" ht="15.75" customHeight="1" s="201">
      <c r="A1998" s="1" t="n">
        <v>51300050</v>
      </c>
      <c r="B1998" s="1" t="inlineStr">
        <is>
          <t>Bread, whole grain white (Includes whole wheat white; pre-sliced or not)</t>
        </is>
      </c>
      <c r="C1998" s="1" t="n">
        <v>1</v>
      </c>
      <c r="D1998" s="1" t="inlineStr">
        <is>
          <t>Links to FNDDS</t>
        </is>
      </c>
      <c r="E1998" s="1" t="inlineStr">
        <is>
          <t>Base</t>
        </is>
      </c>
      <c r="F1998" s="1" t="n">
        <v>0.408638</v>
      </c>
    </row>
    <row r="1999" ht="15.75" customHeight="1" s="201">
      <c r="A1999" s="1" t="n">
        <v>51300060</v>
      </c>
      <c r="B1999" s="1" t="inlineStr">
        <is>
          <t>Bread, whole grain white, toasted (Includes whole wheat white; pre-sliced or not)</t>
        </is>
      </c>
      <c r="C1999" s="1" t="n">
        <v>2</v>
      </c>
      <c r="D1999" s="1" t="inlineStr">
        <is>
          <t>Links to altEC</t>
        </is>
      </c>
      <c r="E1999" s="1" t="inlineStr">
        <is>
          <t>Base</t>
        </is>
      </c>
      <c r="F1999" s="1" t="n">
        <v>0.449501</v>
      </c>
    </row>
    <row r="2000" ht="15.75" customHeight="1" s="201">
      <c r="A2000" s="1" t="n">
        <v>51300100</v>
      </c>
      <c r="B2000" s="1" t="inlineStr">
        <is>
          <t>Bagel, whole grain white (Includes Bagel Thins)</t>
        </is>
      </c>
      <c r="C2000" s="1" t="n">
        <v>2</v>
      </c>
      <c r="D2000" s="1" t="inlineStr">
        <is>
          <t>Links to altEC</t>
        </is>
      </c>
      <c r="E2000" s="1" t="inlineStr">
        <is>
          <t>Base</t>
        </is>
      </c>
      <c r="F2000" s="1" t="n">
        <v>0.631692</v>
      </c>
    </row>
    <row r="2001" ht="15.75" customHeight="1" s="201">
      <c r="A2001" s="1" t="n">
        <v>51300110</v>
      </c>
      <c r="B2001" s="1" t="inlineStr">
        <is>
          <t>Bread, whole wheat (Includes pre-sliced, commercial; whole grain)</t>
        </is>
      </c>
      <c r="C2001" s="1" t="n">
        <v>1</v>
      </c>
      <c r="D2001" s="1" t="inlineStr">
        <is>
          <t>Links to FNDDS</t>
        </is>
      </c>
      <c r="E2001" s="1" t="inlineStr">
        <is>
          <t>Base</t>
        </is>
      </c>
      <c r="F2001" s="1" t="n">
        <v>0.490388</v>
      </c>
    </row>
    <row r="2002" ht="15.75" customHeight="1" s="201">
      <c r="A2002" s="1" t="n">
        <v>51300120</v>
      </c>
      <c r="B2002" s="1" t="inlineStr">
        <is>
          <t>Bread, whole wheat, toasted (Includes pre-sliced, commercial; whole grain)</t>
        </is>
      </c>
      <c r="C2002" s="1" t="n">
        <v>2</v>
      </c>
      <c r="D2002" s="1" t="inlineStr">
        <is>
          <t>Links to altEC</t>
        </is>
      </c>
      <c r="E2002" s="1" t="inlineStr">
        <is>
          <t>Base</t>
        </is>
      </c>
      <c r="F2002" s="1" t="n">
        <v>0.539426</v>
      </c>
    </row>
    <row r="2003" ht="15.75" customHeight="1" s="201">
      <c r="A2003" s="1" t="n">
        <v>51300140</v>
      </c>
      <c r="B2003" s="1" t="inlineStr">
        <is>
          <t>Bread, whole wheat, made from home recipe or purchased at bakery (Includes not pre-sliced; whole grain)</t>
        </is>
      </c>
      <c r="C2003" s="1" t="n">
        <v>2</v>
      </c>
      <c r="D2003" s="1" t="inlineStr">
        <is>
          <t>Links to altEC</t>
        </is>
      </c>
      <c r="E2003" s="1" t="inlineStr">
        <is>
          <t>Base</t>
        </is>
      </c>
      <c r="F2003" s="1" t="n">
        <v>0.490388</v>
      </c>
    </row>
    <row r="2004" ht="15.75" customHeight="1" s="201">
      <c r="A2004" s="1" t="n">
        <v>51300175</v>
      </c>
      <c r="B2004" s="1" t="inlineStr">
        <is>
          <t>Bread, chappatti or roti, wheat (Includes Indian bread)</t>
        </is>
      </c>
      <c r="C2004" s="1" t="n">
        <v>2</v>
      </c>
      <c r="D2004" s="1" t="inlineStr">
        <is>
          <t>Links to altEC</t>
        </is>
      </c>
      <c r="E2004" s="1" t="inlineStr">
        <is>
          <t>Base</t>
        </is>
      </c>
      <c r="F2004" s="1" t="n">
        <v>1.051783</v>
      </c>
    </row>
    <row r="2005" ht="15.75" customHeight="1" s="201">
      <c r="A2005" s="1" t="n">
        <v>51300180</v>
      </c>
      <c r="B2005" s="1" t="inlineStr">
        <is>
          <t>Bread, puri, wheat (Includes Indian puffed bread; poori)</t>
        </is>
      </c>
      <c r="C2005" s="1" t="n">
        <v>2</v>
      </c>
      <c r="D2005" s="1" t="inlineStr">
        <is>
          <t>Links to altEC</t>
        </is>
      </c>
      <c r="E2005" s="1" t="inlineStr">
        <is>
          <t>Base</t>
        </is>
      </c>
      <c r="F2005" s="1" t="n">
        <v>0.485535</v>
      </c>
    </row>
    <row r="2006" ht="15.75" customHeight="1" s="201">
      <c r="A2006" s="1" t="n">
        <v>51300185</v>
      </c>
      <c r="B2006" s="1" t="inlineStr">
        <is>
          <t>Bread, paratha, wheat (Includes Indian flat bread)</t>
        </is>
      </c>
      <c r="C2006" s="1" t="n">
        <v>1</v>
      </c>
      <c r="D2006" s="1" t="inlineStr">
        <is>
          <t>Links to FNDDS</t>
        </is>
      </c>
      <c r="E2006" s="1" t="inlineStr">
        <is>
          <t>Base</t>
        </is>
      </c>
      <c r="F2006" s="1" t="n">
        <v>0.485535</v>
      </c>
    </row>
    <row r="2007" ht="15.75" customHeight="1" s="201">
      <c r="A2007" s="1" t="n">
        <v>51300210</v>
      </c>
      <c r="B2007" s="1" t="inlineStr">
        <is>
          <t>Bread, whole wheat, with raisins (Includes pre-sliced or not; whole grain)</t>
        </is>
      </c>
      <c r="C2007" s="1" t="n">
        <v>1</v>
      </c>
      <c r="D2007" s="1" t="inlineStr">
        <is>
          <t>Links to FNDDS</t>
        </is>
      </c>
      <c r="E2007" s="1" t="inlineStr">
        <is>
          <t>Base</t>
        </is>
      </c>
      <c r="F2007" s="1" t="n">
        <v>0.713875</v>
      </c>
    </row>
    <row r="2008" ht="15.75" customHeight="1" s="201">
      <c r="A2008" s="1" t="n">
        <v>51300300</v>
      </c>
      <c r="B2008" s="1" t="inlineStr">
        <is>
          <t>Bread, sprouted wheat (Includes pre-sliced or not)</t>
        </is>
      </c>
      <c r="C2008" s="1" t="n">
        <v>1</v>
      </c>
      <c r="D2008" s="1" t="inlineStr">
        <is>
          <t>Links to FNDDS</t>
        </is>
      </c>
      <c r="E2008" s="1" t="inlineStr">
        <is>
          <t>Base</t>
        </is>
      </c>
      <c r="F2008" s="1" t="n">
        <v>0.704889</v>
      </c>
    </row>
    <row r="2009" ht="15.75" customHeight="1" s="201">
      <c r="A2009" s="1" t="n">
        <v>51300310</v>
      </c>
      <c r="B2009" s="1" t="inlineStr">
        <is>
          <t>Bread, sprouted wheat, toasted (Includes pre-sliced or not)</t>
        </is>
      </c>
      <c r="C2009" s="1" t="n">
        <v>2</v>
      </c>
      <c r="D2009" s="1" t="inlineStr">
        <is>
          <t>Links to altEC</t>
        </is>
      </c>
      <c r="E2009" s="1" t="inlineStr">
        <is>
          <t>Base</t>
        </is>
      </c>
      <c r="F2009" s="1" t="n">
        <v>0.775378</v>
      </c>
    </row>
    <row r="2010" ht="15.75" customHeight="1" s="201">
      <c r="A2010" s="1" t="n">
        <v>51301010</v>
      </c>
      <c r="B2010" s="1" t="inlineStr">
        <is>
          <t>Bread, wheat or cracked wheat (Includes honey wheat; Roman Meal, NFS; wheatberry; crushed wheat; spelt bread; pre-sliced, commercial; buckwheat; wheat bran; wheat germ; branola; granola; honey bran)</t>
        </is>
      </c>
      <c r="C2010" s="1" t="n">
        <v>1</v>
      </c>
      <c r="D2010" s="1" t="inlineStr">
        <is>
          <t>Links to FNDDS</t>
        </is>
      </c>
      <c r="E2010" s="1" t="inlineStr">
        <is>
          <t>Base</t>
        </is>
      </c>
      <c r="F2010" s="1" t="n">
        <v>0.392009</v>
      </c>
    </row>
    <row r="2011" ht="15.75" customHeight="1" s="201">
      <c r="A2011" s="1" t="n">
        <v>51301020</v>
      </c>
      <c r="B2011" s="1" t="inlineStr">
        <is>
          <t>Bread, wheat or cracked wheat, toasted (Includes honey wheat; Roman Meal, NFS; wheatberry; spelt bread; pre-sliced, commercial; crushed wheat; buckwheat; wheat bran; wheat germ; branola; granola; honey bran)</t>
        </is>
      </c>
      <c r="C2011" s="1" t="n">
        <v>2</v>
      </c>
      <c r="D2011" s="1" t="inlineStr">
        <is>
          <t>Links to altEC</t>
        </is>
      </c>
      <c r="E2011" s="1" t="inlineStr">
        <is>
          <t>Base</t>
        </is>
      </c>
      <c r="F2011" s="1" t="n">
        <v>0.43121</v>
      </c>
    </row>
    <row r="2012" ht="15.75" customHeight="1" s="201">
      <c r="A2012" s="1" t="n">
        <v>51301040</v>
      </c>
      <c r="B2012" s="1" t="inlineStr">
        <is>
          <t>Bread, wheat or cracked wheat, made from home recipe or purchased at bakery (Includes not pre-sliced)</t>
        </is>
      </c>
      <c r="C2012" s="1" t="n">
        <v>2</v>
      </c>
      <c r="D2012" s="1" t="inlineStr">
        <is>
          <t>Links to altEC</t>
        </is>
      </c>
      <c r="E2012" s="1" t="inlineStr">
        <is>
          <t>Base</t>
        </is>
      </c>
      <c r="F2012" s="1" t="n">
        <v>0.392009</v>
      </c>
    </row>
    <row r="2013" ht="15.75" customHeight="1" s="201">
      <c r="A2013" s="1" t="n">
        <v>51301050</v>
      </c>
      <c r="B2013" s="1" t="inlineStr">
        <is>
          <t>Bread, wheat or cracked wheat, made from home recipe or purchased at bakery, toasted (Includes not pre-sliced)</t>
        </is>
      </c>
      <c r="C2013" s="1" t="n">
        <v>2</v>
      </c>
      <c r="D2013" s="1" t="inlineStr">
        <is>
          <t>Links to altEC</t>
        </is>
      </c>
      <c r="E2013" s="1" t="inlineStr">
        <is>
          <t>Base</t>
        </is>
      </c>
      <c r="F2013" s="1" t="n">
        <v>0.43121</v>
      </c>
    </row>
    <row r="2014" ht="15.75" customHeight="1" s="201">
      <c r="A2014" s="1" t="n">
        <v>51301120</v>
      </c>
      <c r="B2014" s="1" t="inlineStr">
        <is>
          <t>Bread, wheat or cracked wheat, with raisins (Includes wheat bran with raisins; pre-sliced or not)</t>
        </is>
      </c>
      <c r="C2014" s="1" t="n">
        <v>1</v>
      </c>
      <c r="D2014" s="1" t="inlineStr">
        <is>
          <t>Links to FNDDS</t>
        </is>
      </c>
      <c r="E2014" s="1" t="inlineStr">
        <is>
          <t>Base</t>
        </is>
      </c>
      <c r="F2014" s="1" t="n">
        <v>1.00927</v>
      </c>
    </row>
    <row r="2015" ht="15.75" customHeight="1" s="201">
      <c r="A2015" s="1" t="n">
        <v>51301510</v>
      </c>
      <c r="B2015" s="1" t="inlineStr">
        <is>
          <t>Bread, wheat or cracked wheat, reduced calorie and/or high fiber (Includes light or lite; pre-sliced or not)</t>
        </is>
      </c>
      <c r="C2015" s="1" t="n">
        <v>1</v>
      </c>
      <c r="D2015" s="1" t="inlineStr">
        <is>
          <t>Links to FNDDS</t>
        </is>
      </c>
      <c r="E2015" s="1" t="inlineStr">
        <is>
          <t>Base</t>
        </is>
      </c>
      <c r="F2015" s="1" t="n">
        <v>0.562768</v>
      </c>
    </row>
    <row r="2016" ht="15.75" customHeight="1" s="201">
      <c r="A2016" s="1" t="n">
        <v>51301540</v>
      </c>
      <c r="B2016" s="1" t="inlineStr">
        <is>
          <t>Bread, French or Vienna, whole wheat (Includes pre-sliced or not; whole grain)</t>
        </is>
      </c>
      <c r="C2016" s="1" t="n">
        <v>2</v>
      </c>
      <c r="D2016" s="1" t="inlineStr">
        <is>
          <t>Links to altEC</t>
        </is>
      </c>
      <c r="E2016" s="1" t="inlineStr">
        <is>
          <t>Base</t>
        </is>
      </c>
      <c r="F2016" s="1" t="n">
        <v>0.502488</v>
      </c>
    </row>
    <row r="2017" ht="15.75" customHeight="1" s="201">
      <c r="A2017" s="1" t="n">
        <v>51301600</v>
      </c>
      <c r="B2017" s="1" t="inlineStr">
        <is>
          <t>Bread, pita, whole wheat (Includes whole grain)</t>
        </is>
      </c>
      <c r="C2017" s="1" t="n">
        <v>1</v>
      </c>
      <c r="D2017" s="1" t="inlineStr">
        <is>
          <t>Links to FNDDS</t>
        </is>
      </c>
      <c r="E2017" s="1" t="inlineStr">
        <is>
          <t>Base</t>
        </is>
      </c>
      <c r="F2017" s="1" t="n">
        <v>0.8731139999999999</v>
      </c>
    </row>
    <row r="2018" ht="15.75" customHeight="1" s="201">
      <c r="A2018" s="1" t="n">
        <v>51301620</v>
      </c>
      <c r="B2018" s="1" t="inlineStr">
        <is>
          <t>Bread, pita, wheat or cracked wheat</t>
        </is>
      </c>
      <c r="C2018" s="1" t="n">
        <v>1</v>
      </c>
      <c r="D2018" s="1" t="inlineStr">
        <is>
          <t>Links to FNDDS</t>
        </is>
      </c>
      <c r="E2018" s="1" t="inlineStr">
        <is>
          <t>Base</t>
        </is>
      </c>
      <c r="F2018" s="1" t="n">
        <v>1.051783</v>
      </c>
    </row>
    <row r="2019" ht="15.75" customHeight="1" s="201">
      <c r="A2019" s="1" t="n">
        <v>51301700</v>
      </c>
      <c r="B2019" s="1" t="inlineStr">
        <is>
          <t>Bagel, wheat (Includes Bagel Thins)</t>
        </is>
      </c>
      <c r="C2019" s="1" t="n">
        <v>1</v>
      </c>
      <c r="D2019" s="1" t="inlineStr">
        <is>
          <t>Links to FNDDS</t>
        </is>
      </c>
      <c r="E2019" s="1" t="inlineStr">
        <is>
          <t>Base</t>
        </is>
      </c>
      <c r="F2019" s="1" t="n">
        <v>0.493465</v>
      </c>
    </row>
    <row r="2020" ht="15.75" customHeight="1" s="201">
      <c r="A2020" s="1" t="n">
        <v>51301750</v>
      </c>
      <c r="B2020" s="1" t="inlineStr">
        <is>
          <t>Bagel, whole wheat (Includes whole grain; Bagel Thins)</t>
        </is>
      </c>
      <c r="C2020" s="1" t="n">
        <v>1</v>
      </c>
      <c r="D2020" s="1" t="inlineStr">
        <is>
          <t>Links to FNDDS</t>
        </is>
      </c>
      <c r="E2020" s="1" t="inlineStr">
        <is>
          <t>Base</t>
        </is>
      </c>
      <c r="F2020" s="1" t="n">
        <v>0.631692</v>
      </c>
    </row>
    <row r="2021" ht="15.75" customHeight="1" s="201">
      <c r="A2021" s="1" t="n">
        <v>51301800</v>
      </c>
      <c r="B2021" s="1" t="inlineStr">
        <is>
          <t>Bagel, wheat, with raisins (Includes Bagel Thins)</t>
        </is>
      </c>
      <c r="C2021" s="1" t="n">
        <v>2</v>
      </c>
      <c r="D2021" s="1" t="inlineStr">
        <is>
          <t>Links to altEC</t>
        </is>
      </c>
      <c r="E2021" s="1" t="inlineStr">
        <is>
          <t>Base</t>
        </is>
      </c>
      <c r="F2021" s="1" t="n">
        <v>0.541391</v>
      </c>
    </row>
    <row r="2022" ht="15.75" customHeight="1" s="201">
      <c r="A2022" s="1" t="n">
        <v>51301805</v>
      </c>
      <c r="B2022" s="1" t="inlineStr">
        <is>
          <t>Bagel, whole wheat, with raisins (Includes whole grain; Bagel Thins)</t>
        </is>
      </c>
      <c r="C2022" s="1" t="n">
        <v>2</v>
      </c>
      <c r="D2022" s="1" t="inlineStr">
        <is>
          <t>Links to altEC</t>
        </is>
      </c>
      <c r="E2022" s="1" t="inlineStr">
        <is>
          <t>Base</t>
        </is>
      </c>
      <c r="F2022" s="1" t="n">
        <v>0.562065</v>
      </c>
    </row>
    <row r="2023" ht="15.75" customHeight="1" s="201">
      <c r="A2023" s="1" t="n">
        <v>51301820</v>
      </c>
      <c r="B2023" s="1" t="inlineStr">
        <is>
          <t>Bagel, wheat, with fruit and nuts (Includes California Energy Bar; Bagel Thins)</t>
        </is>
      </c>
      <c r="C2023" s="1" t="n">
        <v>2</v>
      </c>
      <c r="D2023" s="1" t="inlineStr">
        <is>
          <t>Links to altEC</t>
        </is>
      </c>
      <c r="E2023" s="1" t="inlineStr">
        <is>
          <t>Base</t>
        </is>
      </c>
      <c r="F2023" s="1" t="n">
        <v>0.491828</v>
      </c>
    </row>
    <row r="2024" ht="15.75" customHeight="1" s="201">
      <c r="A2024" s="1" t="n">
        <v>51303010</v>
      </c>
      <c r="B2024" s="1" t="inlineStr">
        <is>
          <t>Muffin, English, wheat or cracked wheat (Includes Roman Meal; Honey Wheat)</t>
        </is>
      </c>
      <c r="C2024" s="1" t="n">
        <v>1</v>
      </c>
      <c r="D2024" s="1" t="inlineStr">
        <is>
          <t>Links to FNDDS</t>
        </is>
      </c>
      <c r="E2024" s="1" t="inlineStr">
        <is>
          <t>Base</t>
        </is>
      </c>
      <c r="F2024" s="1" t="n">
        <v>0.715967</v>
      </c>
    </row>
    <row r="2025" ht="15.75" customHeight="1" s="201">
      <c r="A2025" s="1" t="n">
        <v>51303030</v>
      </c>
      <c r="B2025" s="1" t="inlineStr">
        <is>
          <t>Muffin, English, whole wheat (Includes whole grain)</t>
        </is>
      </c>
      <c r="C2025" s="1" t="n">
        <v>1</v>
      </c>
      <c r="D2025" s="1" t="inlineStr">
        <is>
          <t>Links to FNDDS</t>
        </is>
      </c>
      <c r="E2025" s="1" t="inlineStr">
        <is>
          <t>Base</t>
        </is>
      </c>
      <c r="F2025" s="1" t="n">
        <v>0.7860549999999999</v>
      </c>
    </row>
    <row r="2026" ht="15.75" customHeight="1" s="201">
      <c r="A2026" s="1" t="n">
        <v>51303100</v>
      </c>
      <c r="B2026" s="1" t="inlineStr">
        <is>
          <t>Muffin, English, whole grain white</t>
        </is>
      </c>
      <c r="C2026" s="1" t="n">
        <v>2</v>
      </c>
      <c r="D2026" s="1" t="inlineStr">
        <is>
          <t>Links to altEC</t>
        </is>
      </c>
      <c r="E2026" s="1" t="inlineStr">
        <is>
          <t>Base</t>
        </is>
      </c>
      <c r="F2026" s="1" t="n">
        <v>0.715967</v>
      </c>
    </row>
    <row r="2027" ht="15.75" customHeight="1" s="201">
      <c r="A2027" s="1" t="n">
        <v>51320010</v>
      </c>
      <c r="B2027" s="1" t="inlineStr">
        <is>
          <t>Roll, wheat or cracked wheat (Includes dinner roll; submarine roll)</t>
        </is>
      </c>
      <c r="C2027" s="1" t="n">
        <v>1</v>
      </c>
      <c r="D2027" s="1" t="inlineStr">
        <is>
          <t>Links to FNDDS</t>
        </is>
      </c>
      <c r="E2027" s="1" t="inlineStr">
        <is>
          <t>Base</t>
        </is>
      </c>
      <c r="F2027" s="1" t="n">
        <v>0.665099</v>
      </c>
    </row>
    <row r="2028" ht="15.75" customHeight="1" s="201">
      <c r="A2028" s="1" t="n">
        <v>51320060</v>
      </c>
      <c r="B2028" s="1" t="inlineStr">
        <is>
          <t>Roll, wheat or cracked wheat, hot dog bun (Includes frankfurter bun)</t>
        </is>
      </c>
      <c r="C2028" s="1" t="n">
        <v>1</v>
      </c>
      <c r="D2028" s="1" t="inlineStr">
        <is>
          <t>Links to FNDDS</t>
        </is>
      </c>
      <c r="E2028" s="1" t="inlineStr">
        <is>
          <t>Base</t>
        </is>
      </c>
      <c r="F2028" s="1" t="n">
        <v>0.640873</v>
      </c>
    </row>
    <row r="2029" ht="15.75" customHeight="1" s="201">
      <c r="A2029" s="1" t="n">
        <v>51320070</v>
      </c>
      <c r="B2029" s="1" t="inlineStr">
        <is>
          <t>Roll, wheat or cracked wheat, hamburger bun</t>
        </is>
      </c>
      <c r="C2029" s="1" t="n">
        <v>1</v>
      </c>
      <c r="D2029" s="1" t="inlineStr">
        <is>
          <t>Links to FNDDS</t>
        </is>
      </c>
      <c r="E2029" s="1" t="inlineStr">
        <is>
          <t>Base</t>
        </is>
      </c>
      <c r="F2029" s="1" t="n">
        <v>0.543096</v>
      </c>
    </row>
    <row r="2030" ht="15.75" customHeight="1" s="201">
      <c r="A2030" s="1" t="n">
        <v>51320500</v>
      </c>
      <c r="B2030" s="1" t="inlineStr">
        <is>
          <t>Roll, whole wheat (Includes dinner roll; submarine roll; whole grain)</t>
        </is>
      </c>
      <c r="C2030" s="1" t="n">
        <v>1</v>
      </c>
      <c r="D2030" s="1" t="inlineStr">
        <is>
          <t>Links to FNDDS</t>
        </is>
      </c>
      <c r="E2030" s="1" t="inlineStr">
        <is>
          <t>Base</t>
        </is>
      </c>
      <c r="F2030" s="1" t="n">
        <v>0.780936</v>
      </c>
    </row>
    <row r="2031" ht="15.75" customHeight="1" s="201">
      <c r="A2031" s="1" t="n">
        <v>51320550</v>
      </c>
      <c r="B2031" s="1" t="inlineStr">
        <is>
          <t>Roll, whole wheat, hot dog bun (Includes frankfurter bun; whole grain)</t>
        </is>
      </c>
      <c r="C2031" s="1" t="n">
        <v>1</v>
      </c>
      <c r="D2031" s="1" t="inlineStr">
        <is>
          <t>Links to FNDDS</t>
        </is>
      </c>
      <c r="E2031" s="1" t="inlineStr">
        <is>
          <t>Base</t>
        </is>
      </c>
      <c r="F2031" s="1" t="n">
        <v>0.665361</v>
      </c>
    </row>
    <row r="2032" ht="15.75" customHeight="1" s="201">
      <c r="A2032" s="1" t="n">
        <v>51320560</v>
      </c>
      <c r="B2032" s="1" t="inlineStr">
        <is>
          <t>Roll, whole wheat, hamburger bun (Includes whole grain)</t>
        </is>
      </c>
      <c r="C2032" s="1" t="n">
        <v>1</v>
      </c>
      <c r="D2032" s="1" t="inlineStr">
        <is>
          <t>Links to FNDDS</t>
        </is>
      </c>
      <c r="E2032" s="1" t="inlineStr">
        <is>
          <t>Base</t>
        </is>
      </c>
      <c r="F2032" s="1" t="n">
        <v>0.618293</v>
      </c>
    </row>
    <row r="2033" ht="15.75" customHeight="1" s="201">
      <c r="A2033" s="1" t="n">
        <v>51320700</v>
      </c>
      <c r="B2033" s="1" t="inlineStr">
        <is>
          <t>Roll, whole grain white</t>
        </is>
      </c>
      <c r="C2033" s="1" t="n">
        <v>1</v>
      </c>
      <c r="D2033" s="1" t="inlineStr">
        <is>
          <t>Links to FNDDS</t>
        </is>
      </c>
      <c r="E2033" s="1" t="inlineStr">
        <is>
          <t>Base</t>
        </is>
      </c>
      <c r="F2033" s="1" t="n">
        <v>0.461647</v>
      </c>
    </row>
    <row r="2034" ht="15.75" customHeight="1" s="201">
      <c r="A2034" s="1" t="n">
        <v>51320710</v>
      </c>
      <c r="B2034" s="1" t="inlineStr">
        <is>
          <t>Roll, whole grain white, hot dog bun (Includes frankfurter bun)</t>
        </is>
      </c>
      <c r="C2034" s="1" t="n">
        <v>1</v>
      </c>
      <c r="D2034" s="1" t="inlineStr">
        <is>
          <t>Links to FNDDS</t>
        </is>
      </c>
      <c r="E2034" s="1" t="inlineStr">
        <is>
          <t>Base</t>
        </is>
      </c>
      <c r="F2034" s="1" t="n">
        <v>0.752194</v>
      </c>
    </row>
    <row r="2035" ht="15.75" customHeight="1" s="201">
      <c r="A2035" s="1" t="n">
        <v>51320720</v>
      </c>
      <c r="B2035" s="1" t="inlineStr">
        <is>
          <t>Roll, whole grain white, hamburger bun</t>
        </is>
      </c>
      <c r="C2035" s="1" t="n">
        <v>1</v>
      </c>
      <c r="D2035" s="1" t="inlineStr">
        <is>
          <t>Links to FNDDS</t>
        </is>
      </c>
      <c r="E2035" s="1" t="inlineStr">
        <is>
          <t>Base</t>
        </is>
      </c>
      <c r="F2035" s="1" t="n">
        <v>0.801929</v>
      </c>
    </row>
    <row r="2036" ht="15.75" customHeight="1" s="201">
      <c r="A2036" s="1" t="n">
        <v>51401010</v>
      </c>
      <c r="B2036" s="1" t="inlineStr">
        <is>
          <t>Bread, rye (Includes corn rye; Russian bread; pre-sliced or not)</t>
        </is>
      </c>
      <c r="C2036" s="1" t="n">
        <v>1</v>
      </c>
      <c r="D2036" s="1" t="inlineStr">
        <is>
          <t>Links to FNDDS</t>
        </is>
      </c>
      <c r="E2036" s="1" t="inlineStr">
        <is>
          <t>Base</t>
        </is>
      </c>
      <c r="F2036" s="1" t="n">
        <v>0.673841</v>
      </c>
    </row>
    <row r="2037" ht="15.75" customHeight="1" s="201">
      <c r="A2037" s="1" t="n">
        <v>51401020</v>
      </c>
      <c r="B2037" s="1" t="inlineStr">
        <is>
          <t>Bread, rye, toasted (Includes corn rye; Russian bread; pre-sliced or not)</t>
        </is>
      </c>
      <c r="C2037" s="1" t="n">
        <v>2</v>
      </c>
      <c r="D2037" s="1" t="inlineStr">
        <is>
          <t>Links to altEC</t>
        </is>
      </c>
      <c r="E2037" s="1" t="inlineStr">
        <is>
          <t>Base</t>
        </is>
      </c>
      <c r="F2037" s="1" t="n">
        <v>0.741225</v>
      </c>
    </row>
    <row r="2038" ht="15.75" customHeight="1" s="201">
      <c r="A2038" s="1" t="n">
        <v>51420000</v>
      </c>
      <c r="B2038" s="1" t="inlineStr">
        <is>
          <t>Roll, rye</t>
        </is>
      </c>
      <c r="C2038" s="1" t="n">
        <v>2</v>
      </c>
      <c r="D2038" s="1" t="inlineStr">
        <is>
          <t>Links to altEC</t>
        </is>
      </c>
      <c r="E2038" s="1" t="inlineStr">
        <is>
          <t>Base</t>
        </is>
      </c>
      <c r="F2038" s="1" t="n">
        <v>0.9187689999999999</v>
      </c>
    </row>
    <row r="2039" ht="15.75" customHeight="1" s="201">
      <c r="A2039" s="1" t="n">
        <v>51421000</v>
      </c>
      <c r="B2039" s="1" t="inlineStr">
        <is>
          <t>Roll, pumpernickel</t>
        </is>
      </c>
      <c r="C2039" s="1" t="n">
        <v>2</v>
      </c>
      <c r="D2039" s="1" t="inlineStr">
        <is>
          <t>Links to altEC</t>
        </is>
      </c>
      <c r="E2039" s="1" t="inlineStr">
        <is>
          <t>Base</t>
        </is>
      </c>
      <c r="F2039" s="1" t="n">
        <v>0.709869</v>
      </c>
    </row>
    <row r="2040" ht="15.75" customHeight="1" s="201">
      <c r="A2040" s="1" t="n">
        <v>51501010</v>
      </c>
      <c r="B2040" s="1" t="inlineStr">
        <is>
          <t>Bread, oatmeal (Includes pre-sliced or not)</t>
        </is>
      </c>
      <c r="C2040" s="1" t="n">
        <v>1</v>
      </c>
      <c r="D2040" s="1" t="inlineStr">
        <is>
          <t>Links to FNDDS</t>
        </is>
      </c>
      <c r="E2040" s="1" t="inlineStr">
        <is>
          <t>Base</t>
        </is>
      </c>
      <c r="F2040" s="1" t="n">
        <v>0.458262</v>
      </c>
    </row>
    <row r="2041" ht="15.75" customHeight="1" s="201">
      <c r="A2041" s="1" t="n">
        <v>51501020</v>
      </c>
      <c r="B2041" s="1" t="inlineStr">
        <is>
          <t>Bread, oatmeal, toasted (Includes pre-sliced or not)</t>
        </is>
      </c>
      <c r="C2041" s="1" t="n">
        <v>2</v>
      </c>
      <c r="D2041" s="1" t="inlineStr">
        <is>
          <t>Links to altEC</t>
        </is>
      </c>
      <c r="E2041" s="1" t="inlineStr">
        <is>
          <t>Base</t>
        </is>
      </c>
      <c r="F2041" s="1" t="n">
        <v>0.504089</v>
      </c>
    </row>
    <row r="2042" ht="15.75" customHeight="1" s="201">
      <c r="A2042" s="1" t="n">
        <v>51501040</v>
      </c>
      <c r="B2042" s="1" t="inlineStr">
        <is>
          <t>Bread, oat bran (Includes pre-sliced or not)</t>
        </is>
      </c>
      <c r="C2042" s="1" t="n">
        <v>1</v>
      </c>
      <c r="D2042" s="1" t="inlineStr">
        <is>
          <t>Links to FNDDS</t>
        </is>
      </c>
      <c r="E2042" s="1" t="inlineStr">
        <is>
          <t>Base</t>
        </is>
      </c>
      <c r="F2042" s="1" t="n">
        <v>0.394803</v>
      </c>
    </row>
    <row r="2043" ht="15.75" customHeight="1" s="201">
      <c r="A2043" s="1" t="n">
        <v>51501050</v>
      </c>
      <c r="B2043" s="1" t="inlineStr">
        <is>
          <t>Bread, oat bran, toasted (Includes pre-sliced or not)</t>
        </is>
      </c>
      <c r="C2043" s="1" t="n">
        <v>2</v>
      </c>
      <c r="D2043" s="1" t="inlineStr">
        <is>
          <t>Links to altEC</t>
        </is>
      </c>
      <c r="E2043" s="1" t="inlineStr">
        <is>
          <t>Base</t>
        </is>
      </c>
      <c r="F2043" s="1" t="n">
        <v>0.434283</v>
      </c>
    </row>
    <row r="2044" ht="15.75" customHeight="1" s="201">
      <c r="A2044" s="1" t="n">
        <v>51502010</v>
      </c>
      <c r="B2044" s="1" t="inlineStr">
        <is>
          <t>Roll, oatmeal</t>
        </is>
      </c>
      <c r="C2044" s="1" t="n">
        <v>2</v>
      </c>
      <c r="D2044" s="1" t="inlineStr">
        <is>
          <t>Links to altEC</t>
        </is>
      </c>
      <c r="E2044" s="1" t="inlineStr">
        <is>
          <t>Base</t>
        </is>
      </c>
      <c r="F2044" s="1" t="n">
        <v>0.65252</v>
      </c>
    </row>
    <row r="2045" ht="15.75" customHeight="1" s="201">
      <c r="A2045" s="1" t="n">
        <v>51601010</v>
      </c>
      <c r="B2045" s="1" t="inlineStr">
        <is>
          <t>Bread, multigrain, toasted (Includes pre-sliced or not)</t>
        </is>
      </c>
      <c r="C2045" s="1" t="n">
        <v>2</v>
      </c>
      <c r="D2045" s="1" t="inlineStr">
        <is>
          <t>Links to altEC</t>
        </is>
      </c>
      <c r="E2045" s="1" t="inlineStr">
        <is>
          <t>Base</t>
        </is>
      </c>
      <c r="F2045" s="1" t="n">
        <v>0.560346</v>
      </c>
    </row>
    <row r="2046" ht="15.75" customHeight="1" s="201">
      <c r="A2046" s="1" t="n">
        <v>51601020</v>
      </c>
      <c r="B2046" s="1" t="inlineStr">
        <is>
          <t>Bread, multigrain (Includes pre-sliced or not; Sandwich Thins)</t>
        </is>
      </c>
      <c r="C2046" s="1" t="n">
        <v>1</v>
      </c>
      <c r="D2046" s="1" t="inlineStr">
        <is>
          <t>Links to FNDDS</t>
        </is>
      </c>
      <c r="E2046" s="1" t="inlineStr">
        <is>
          <t>Base</t>
        </is>
      </c>
      <c r="F2046" s="1" t="n">
        <v>0.509405</v>
      </c>
    </row>
    <row r="2047" ht="15.75" customHeight="1" s="201">
      <c r="A2047" s="1" t="n">
        <v>51601210</v>
      </c>
      <c r="B2047" s="1" t="inlineStr">
        <is>
          <t>Bread, multigrain, with raisins (Includes pre-sliced or not)</t>
        </is>
      </c>
      <c r="C2047" s="1" t="n">
        <v>1</v>
      </c>
      <c r="D2047" s="1" t="inlineStr">
        <is>
          <t>Links to FNDDS</t>
        </is>
      </c>
      <c r="E2047" s="1" t="inlineStr">
        <is>
          <t>Base</t>
        </is>
      </c>
      <c r="F2047" s="1" t="n">
        <v>0.778342</v>
      </c>
    </row>
    <row r="2048" ht="15.75" customHeight="1" s="201">
      <c r="A2048" s="1" t="n">
        <v>51620030</v>
      </c>
      <c r="B2048" s="1" t="inlineStr">
        <is>
          <t>Roll, multigrain, hamburger bun (Includes oat bran roll)</t>
        </is>
      </c>
      <c r="C2048" s="1" t="n">
        <v>1</v>
      </c>
      <c r="D2048" s="1" t="inlineStr">
        <is>
          <t>Links to FNDDS</t>
        </is>
      </c>
      <c r="E2048" s="1" t="inlineStr">
        <is>
          <t>Base</t>
        </is>
      </c>
      <c r="F2048" s="1" t="n">
        <v>0.627656</v>
      </c>
    </row>
    <row r="2049" ht="15.75" customHeight="1" s="201">
      <c r="A2049" s="1" t="n">
        <v>51630000</v>
      </c>
      <c r="B2049" s="1" t="inlineStr">
        <is>
          <t>Bagel, multigrain (Includes Bagel Thins)</t>
        </is>
      </c>
      <c r="C2049" s="1" t="n">
        <v>1</v>
      </c>
      <c r="D2049" s="1" t="inlineStr">
        <is>
          <t>Links to FNDDS</t>
        </is>
      </c>
      <c r="E2049" s="1" t="inlineStr">
        <is>
          <t>Base</t>
        </is>
      </c>
      <c r="F2049" s="1" t="n">
        <v>0.537622</v>
      </c>
    </row>
    <row r="2050" ht="15.75" customHeight="1" s="201">
      <c r="A2050" s="1" t="n">
        <v>51630100</v>
      </c>
      <c r="B2050" s="1" t="inlineStr">
        <is>
          <t>Bagel, multigrain, with raisins (Includes Bagel Thins)</t>
        </is>
      </c>
      <c r="C2050" s="1" t="n">
        <v>2</v>
      </c>
      <c r="D2050" s="1" t="inlineStr">
        <is>
          <t>Links to altEC</t>
        </is>
      </c>
      <c r="E2050" s="1" t="inlineStr">
        <is>
          <t>Base</t>
        </is>
      </c>
      <c r="F2050" s="1" t="n">
        <v>0.542317</v>
      </c>
    </row>
    <row r="2051" ht="15.75" customHeight="1" s="201">
      <c r="A2051" s="1" t="n">
        <v>51806010</v>
      </c>
      <c r="B2051" s="1" t="inlineStr">
        <is>
          <t>Bread, rice (Includes pre-sliced or not)</t>
        </is>
      </c>
      <c r="C2051" s="1" t="n">
        <v>1</v>
      </c>
      <c r="D2051" s="1" t="inlineStr">
        <is>
          <t>Links to FNDDS</t>
        </is>
      </c>
      <c r="E2051" s="1" t="inlineStr">
        <is>
          <t>Base</t>
        </is>
      </c>
      <c r="F2051" s="1" t="n">
        <v>1.129641</v>
      </c>
    </row>
    <row r="2052" ht="15.75" customHeight="1" s="201">
      <c r="A2052" s="1" t="n">
        <v>51808000</v>
      </c>
      <c r="B2052" s="1" t="inlineStr">
        <is>
          <t>Bread, gluten free (Includes Feather Light; pre-sliced or not)</t>
        </is>
      </c>
      <c r="C2052" s="1" t="n">
        <v>1</v>
      </c>
      <c r="D2052" s="1" t="inlineStr">
        <is>
          <t>Links to FNDDS</t>
        </is>
      </c>
      <c r="E2052" s="1" t="inlineStr">
        <is>
          <t>Base</t>
        </is>
      </c>
      <c r="F2052" s="1" t="n">
        <v>1.288162</v>
      </c>
    </row>
    <row r="2053" ht="15.75" customHeight="1" s="201">
      <c r="A2053" s="1" t="n">
        <v>51808010</v>
      </c>
      <c r="B2053" s="1" t="inlineStr">
        <is>
          <t>Bread, gluten free, toasted (Includes Feather Light)</t>
        </is>
      </c>
      <c r="C2053" s="1" t="n">
        <v>2</v>
      </c>
      <c r="D2053" s="1" t="inlineStr">
        <is>
          <t>Links to altEC</t>
        </is>
      </c>
      <c r="E2053" s="1" t="inlineStr">
        <is>
          <t>Base</t>
        </is>
      </c>
      <c r="F2053" s="1" t="n">
        <v>1.860403</v>
      </c>
    </row>
    <row r="2054" ht="15.75" customHeight="1" s="201">
      <c r="A2054" s="1" t="n">
        <v>51808100</v>
      </c>
      <c r="B2054" s="1" t="inlineStr">
        <is>
          <t>Roll, gluten free</t>
        </is>
      </c>
      <c r="C2054" s="1" t="n">
        <v>1</v>
      </c>
      <c r="D2054" s="1" t="inlineStr">
        <is>
          <t>Links to FNDDS</t>
        </is>
      </c>
      <c r="E2054" s="1" t="inlineStr">
        <is>
          <t>Base</t>
        </is>
      </c>
      <c r="F2054" s="1" t="n">
        <v>1.691275</v>
      </c>
    </row>
    <row r="2055" ht="15.75" customHeight="1" s="201">
      <c r="A2055" s="1" t="n">
        <v>52101000</v>
      </c>
      <c r="B2055" s="1" t="inlineStr">
        <is>
          <t>Biscuit, NFS (Includes regular; plain; buttermilk; NS as to source)</t>
        </is>
      </c>
      <c r="C2055" s="1" t="n">
        <v>2</v>
      </c>
      <c r="D2055" s="1" t="inlineStr">
        <is>
          <t>Links to altEC</t>
        </is>
      </c>
      <c r="E2055" s="1" t="inlineStr">
        <is>
          <t>Base</t>
        </is>
      </c>
      <c r="F2055" s="1" t="n">
        <v>0.419498</v>
      </c>
    </row>
    <row r="2056" ht="15.75" customHeight="1" s="201">
      <c r="A2056" s="1" t="n">
        <v>52102040</v>
      </c>
      <c r="B2056" s="1" t="inlineStr">
        <is>
          <t>Biscuit, from refrigerated dough (Includes regular; plain; buttermilk; frozen)</t>
        </is>
      </c>
      <c r="C2056" s="1" t="n">
        <v>1</v>
      </c>
      <c r="D2056" s="1" t="inlineStr">
        <is>
          <t>Links to FNDDS</t>
        </is>
      </c>
      <c r="E2056" s="1" t="inlineStr">
        <is>
          <t>Base</t>
        </is>
      </c>
      <c r="F2056" s="1" t="n">
        <v>0.416143</v>
      </c>
    </row>
    <row r="2057" ht="15.75" customHeight="1" s="201">
      <c r="A2057" s="1" t="n">
        <v>52103000</v>
      </c>
      <c r="B2057" s="1" t="inlineStr">
        <is>
          <t>Biscuit, from fast food / restaurant (Includes regular; plain; buttermilk; ready-to-eat)</t>
        </is>
      </c>
      <c r="C2057" s="1" t="n">
        <v>1</v>
      </c>
      <c r="D2057" s="1" t="inlineStr">
        <is>
          <t>Links to FNDDS</t>
        </is>
      </c>
      <c r="E2057" s="1" t="inlineStr">
        <is>
          <t>Base</t>
        </is>
      </c>
      <c r="F2057" s="1" t="n">
        <v>0.684119</v>
      </c>
    </row>
    <row r="2058" ht="15.75" customHeight="1" s="201">
      <c r="A2058" s="1" t="n">
        <v>52104010</v>
      </c>
      <c r="B2058" s="1" t="inlineStr">
        <is>
          <t>Biscuit, home recipe (Includes regular; plain; buttermilk; dry mix)</t>
        </is>
      </c>
      <c r="C2058" s="1" t="n">
        <v>2</v>
      </c>
      <c r="D2058" s="1" t="inlineStr">
        <is>
          <t>Links to altEC</t>
        </is>
      </c>
      <c r="E2058" s="1" t="inlineStr">
        <is>
          <t>Base</t>
        </is>
      </c>
      <c r="F2058" s="1" t="n">
        <v>0.416868</v>
      </c>
    </row>
    <row r="2059" ht="15.75" customHeight="1" s="201">
      <c r="A2059" s="1" t="n">
        <v>52104100</v>
      </c>
      <c r="B2059" s="1" t="inlineStr">
        <is>
          <t>Biscuit, cheese</t>
        </is>
      </c>
      <c r="C2059" s="1" t="n">
        <v>1</v>
      </c>
      <c r="D2059" s="1" t="inlineStr">
        <is>
          <t>Links to FNDDS</t>
        </is>
      </c>
      <c r="E2059" s="1" t="inlineStr">
        <is>
          <t>Base</t>
        </is>
      </c>
      <c r="F2059" s="1" t="n">
        <v>0.942392</v>
      </c>
    </row>
    <row r="2060" ht="15.75" customHeight="1" s="201">
      <c r="A2060" s="1" t="n">
        <v>52104200</v>
      </c>
      <c r="B2060" s="1" t="inlineStr">
        <is>
          <t>Biscuit with fruit (Includes raisin)</t>
        </is>
      </c>
      <c r="C2060" s="1" t="n">
        <v>2</v>
      </c>
      <c r="D2060" s="1" t="inlineStr">
        <is>
          <t>Links to altEC</t>
        </is>
      </c>
      <c r="E2060" s="1" t="inlineStr">
        <is>
          <t>Base</t>
        </is>
      </c>
      <c r="F2060" s="1" t="n">
        <v>0.416143</v>
      </c>
    </row>
    <row r="2061" ht="15.75" customHeight="1" s="201">
      <c r="A2061" s="1" t="n">
        <v>52105100</v>
      </c>
      <c r="B2061" s="1" t="inlineStr">
        <is>
          <t>Scone (Includes NS as to fruit)</t>
        </is>
      </c>
      <c r="C2061" s="1" t="n">
        <v>1</v>
      </c>
      <c r="D2061" s="1" t="inlineStr">
        <is>
          <t>Links to FNDDS</t>
        </is>
      </c>
      <c r="E2061" s="1" t="inlineStr">
        <is>
          <t>Base</t>
        </is>
      </c>
      <c r="F2061" s="1" t="n">
        <v>1.204819</v>
      </c>
    </row>
    <row r="2062" ht="15.75" customHeight="1" s="201">
      <c r="A2062" s="1" t="n">
        <v>52201000</v>
      </c>
      <c r="B2062" s="1" t="inlineStr">
        <is>
          <t>Cornbread, prepared from mix (Includes cornbread, NS as to from mix or home recipe)</t>
        </is>
      </c>
      <c r="C2062" s="1" t="n">
        <v>1</v>
      </c>
      <c r="D2062" s="1" t="inlineStr">
        <is>
          <t>Links to FNDDS</t>
        </is>
      </c>
      <c r="E2062" s="1" t="inlineStr">
        <is>
          <t>Base</t>
        </is>
      </c>
      <c r="F2062" s="1" t="n">
        <v>0.802134</v>
      </c>
    </row>
    <row r="2063" ht="15.75" customHeight="1" s="201">
      <c r="A2063" s="1" t="n">
        <v>52202060</v>
      </c>
      <c r="B2063" s="1" t="inlineStr">
        <is>
          <t>Cornbread, made from home recipe (Includes Jalapeno cornbread)</t>
        </is>
      </c>
      <c r="C2063" s="1" t="n">
        <v>2</v>
      </c>
      <c r="D2063" s="1" t="inlineStr">
        <is>
          <t>Links to altEC</t>
        </is>
      </c>
      <c r="E2063" s="1" t="inlineStr">
        <is>
          <t>Base</t>
        </is>
      </c>
      <c r="F2063" s="1" t="n">
        <v>0.802134</v>
      </c>
    </row>
    <row r="2064" ht="15.75" customHeight="1" s="201">
      <c r="A2064" s="1" t="n">
        <v>52204000</v>
      </c>
      <c r="B2064" s="1" t="inlineStr">
        <is>
          <t>Cornbread stuffing (Includes plain cornbread dressing)</t>
        </is>
      </c>
      <c r="C2064" s="1" t="n">
        <v>1</v>
      </c>
      <c r="D2064" s="1" t="inlineStr">
        <is>
          <t>Links to FNDDS</t>
        </is>
      </c>
      <c r="E2064" s="1" t="inlineStr">
        <is>
          <t>Base</t>
        </is>
      </c>
      <c r="F2064" s="1" t="n">
        <v>0.6633829999999999</v>
      </c>
    </row>
    <row r="2065" ht="15.75" customHeight="1" s="201">
      <c r="A2065" s="1" t="n">
        <v>52206010</v>
      </c>
      <c r="B2065" s="1" t="inlineStr">
        <is>
          <t>Cornbread muffin, stick, round</t>
        </is>
      </c>
      <c r="C2065" s="1" t="n">
        <v>1</v>
      </c>
      <c r="D2065" s="1" t="inlineStr">
        <is>
          <t>Links to FNDDS</t>
        </is>
      </c>
      <c r="E2065" s="1" t="inlineStr">
        <is>
          <t>Base</t>
        </is>
      </c>
      <c r="F2065" s="1" t="n">
        <v>1.173642</v>
      </c>
    </row>
    <row r="2066" ht="15.75" customHeight="1" s="201">
      <c r="A2066" s="1" t="n">
        <v>52208010</v>
      </c>
      <c r="B2066" s="1" t="inlineStr">
        <is>
          <t>Corn pone, baked (Includes hoe cake; NS as to baked or fried)</t>
        </is>
      </c>
      <c r="C2066" s="1" t="n">
        <v>2</v>
      </c>
      <c r="D2066" s="1" t="inlineStr">
        <is>
          <t>Links to altEC</t>
        </is>
      </c>
      <c r="E2066" s="1" t="inlineStr">
        <is>
          <t>Base</t>
        </is>
      </c>
      <c r="F2066" s="1" t="n">
        <v>0.802134</v>
      </c>
    </row>
    <row r="2067" ht="15.75" customHeight="1" s="201">
      <c r="A2067" s="1" t="n">
        <v>52209010</v>
      </c>
      <c r="B2067" s="1" t="inlineStr">
        <is>
          <t>Hush puppy (Includes fried cornbread)</t>
        </is>
      </c>
      <c r="C2067" s="1" t="n">
        <v>1</v>
      </c>
      <c r="D2067" s="1" t="inlineStr">
        <is>
          <t>Links to FNDDS</t>
        </is>
      </c>
      <c r="E2067" s="1" t="inlineStr">
        <is>
          <t>Base</t>
        </is>
      </c>
      <c r="F2067" s="1" t="n">
        <v>0.60954</v>
      </c>
    </row>
    <row r="2068" ht="15.75" customHeight="1" s="201">
      <c r="A2068" s="1" t="n">
        <v>52215000</v>
      </c>
      <c r="B2068" s="1" t="inlineStr">
        <is>
          <t>Tortilla, NFS</t>
        </is>
      </c>
      <c r="C2068" s="1" t="n">
        <v>2</v>
      </c>
      <c r="D2068" s="1" t="inlineStr">
        <is>
          <t>Links to altEC</t>
        </is>
      </c>
      <c r="E2068" s="1" t="inlineStr">
        <is>
          <t>Base</t>
        </is>
      </c>
      <c r="F2068" s="1" t="n">
        <v>0.367301</v>
      </c>
    </row>
    <row r="2069" ht="15.75" customHeight="1" s="201">
      <c r="A2069" s="1" t="n">
        <v>52215100</v>
      </c>
      <c r="B2069" s="1" t="inlineStr">
        <is>
          <t>Tortilla, corn</t>
        </is>
      </c>
      <c r="C2069" s="1" t="n">
        <v>1</v>
      </c>
      <c r="D2069" s="1" t="inlineStr">
        <is>
          <t>Links to FNDDS</t>
        </is>
      </c>
      <c r="E2069" s="1" t="inlineStr">
        <is>
          <t>Base</t>
        </is>
      </c>
      <c r="F2069" s="1" t="n">
        <v>0.192818</v>
      </c>
    </row>
    <row r="2070" ht="15.75" customHeight="1" s="201">
      <c r="A2070" s="1" t="n">
        <v>52215200</v>
      </c>
      <c r="B2070" s="1" t="inlineStr">
        <is>
          <t>Tortilla, flour (Includes spinach, tomato, and other flavors)</t>
        </is>
      </c>
      <c r="C2070" s="1" t="n">
        <v>1</v>
      </c>
      <c r="D2070" s="1" t="inlineStr">
        <is>
          <t>Links to FNDDS</t>
        </is>
      </c>
      <c r="E2070" s="1" t="inlineStr">
        <is>
          <t>Base</t>
        </is>
      </c>
      <c r="F2070" s="1" t="n">
        <v>0.466047</v>
      </c>
    </row>
    <row r="2071" ht="15.75" customHeight="1" s="201">
      <c r="A2071" s="1" t="n">
        <v>52215260</v>
      </c>
      <c r="B2071" s="1" t="inlineStr">
        <is>
          <t>Tortilla, whole wheat</t>
        </is>
      </c>
      <c r="C2071" s="1" t="n">
        <v>1</v>
      </c>
      <c r="D2071" s="1" t="inlineStr">
        <is>
          <t>Links to FNDDS</t>
        </is>
      </c>
      <c r="E2071" s="1" t="inlineStr">
        <is>
          <t>Base</t>
        </is>
      </c>
      <c r="F2071" s="1" t="n">
        <v>0.704766</v>
      </c>
    </row>
    <row r="2072" ht="15.75" customHeight="1" s="201">
      <c r="A2072" s="1" t="n">
        <v>52215300</v>
      </c>
      <c r="B2072" s="1" t="inlineStr">
        <is>
          <t>Taco shell, corn (Includes corn tostada shell; fried corn tortilla)</t>
        </is>
      </c>
      <c r="C2072" s="1" t="n">
        <v>1</v>
      </c>
      <c r="D2072" s="1" t="inlineStr">
        <is>
          <t>Links to FNDDS</t>
        </is>
      </c>
      <c r="E2072" s="1" t="inlineStr">
        <is>
          <t>Base</t>
        </is>
      </c>
      <c r="F2072" s="1" t="n">
        <v>0.881756</v>
      </c>
    </row>
    <row r="2073" ht="15.75" customHeight="1" s="201">
      <c r="A2073" s="1" t="n">
        <v>52215350</v>
      </c>
      <c r="B2073" s="1" t="inlineStr">
        <is>
          <t>Taco shell, flour (Includes flour tostada shell; fried flour tortilla; taco salad shell)</t>
        </is>
      </c>
      <c r="C2073" s="1" t="n">
        <v>1</v>
      </c>
      <c r="D2073" s="1" t="inlineStr">
        <is>
          <t>Links to FNDDS</t>
        </is>
      </c>
      <c r="E2073" s="1" t="inlineStr">
        <is>
          <t>Base</t>
        </is>
      </c>
      <c r="F2073" s="1" t="n">
        <v>1.342126</v>
      </c>
    </row>
    <row r="2074" ht="15.75" customHeight="1" s="201">
      <c r="A2074" s="1" t="n">
        <v>52220110</v>
      </c>
      <c r="B2074" s="1" t="inlineStr">
        <is>
          <t>Arepa Dominicana (Includes Cornmeal bread; Dominican style)</t>
        </is>
      </c>
      <c r="C2074" s="1" t="n">
        <v>2</v>
      </c>
      <c r="D2074" s="1" t="inlineStr">
        <is>
          <t>Links to altEC</t>
        </is>
      </c>
      <c r="E2074" s="1" t="inlineStr">
        <is>
          <t>Base</t>
        </is>
      </c>
      <c r="F2074" s="1" t="n">
        <v>0.802134</v>
      </c>
    </row>
    <row r="2075" ht="15.75" customHeight="1" s="201">
      <c r="A2075" s="1" t="n">
        <v>52301000</v>
      </c>
      <c r="B2075" s="1" t="inlineStr">
        <is>
          <t>Muffin, NFS</t>
        </is>
      </c>
      <c r="C2075" s="1" t="n">
        <v>2</v>
      </c>
      <c r="D2075" s="1" t="inlineStr">
        <is>
          <t>Links to altEC</t>
        </is>
      </c>
      <c r="E2075" s="1" t="inlineStr">
        <is>
          <t>Base</t>
        </is>
      </c>
      <c r="F2075" s="1" t="n">
        <v>0.989528</v>
      </c>
    </row>
    <row r="2076" ht="15.75" customHeight="1" s="201">
      <c r="A2076" s="1" t="n">
        <v>52302010</v>
      </c>
      <c r="B2076" s="1" t="inlineStr">
        <is>
          <t>Muffin, fruit (Includes blueberry; cranberry nut; Hostess Banana Walnut Mini Muffins; Little Debbie Banana Nut Muffins; with or without nuts)</t>
        </is>
      </c>
      <c r="C2076" s="1" t="n">
        <v>1</v>
      </c>
      <c r="D2076" s="1" t="inlineStr">
        <is>
          <t>Links to FNDDS</t>
        </is>
      </c>
      <c r="E2076" s="1" t="inlineStr">
        <is>
          <t>Base</t>
        </is>
      </c>
      <c r="F2076" s="1" t="n">
        <v>1.075614</v>
      </c>
    </row>
    <row r="2077" ht="15.75" customHeight="1" s="201">
      <c r="A2077" s="1" t="n">
        <v>52302020</v>
      </c>
      <c r="B2077" s="1" t="inlineStr">
        <is>
          <t>Muffin, fruit, low fat (Includes Betty Crocker Low Fat Wild Blueberry Muffins; with or without nuts)</t>
        </is>
      </c>
      <c r="C2077" s="1" t="n">
        <v>2</v>
      </c>
      <c r="D2077" s="1" t="inlineStr">
        <is>
          <t>Links to altEC</t>
        </is>
      </c>
      <c r="E2077" s="1" t="inlineStr">
        <is>
          <t>Base</t>
        </is>
      </c>
      <c r="F2077" s="1" t="n">
        <v>1.075614</v>
      </c>
    </row>
    <row r="2078" ht="15.75" customHeight="1" s="201">
      <c r="A2078" s="1" t="n">
        <v>52302500</v>
      </c>
      <c r="B2078" s="1" t="inlineStr">
        <is>
          <t>Muffin, chocolate chip</t>
        </is>
      </c>
      <c r="C2078" s="1" t="n">
        <v>1</v>
      </c>
      <c r="D2078" s="1" t="inlineStr">
        <is>
          <t>Links to FNDDS</t>
        </is>
      </c>
      <c r="E2078" s="1" t="inlineStr">
        <is>
          <t>Base</t>
        </is>
      </c>
      <c r="F2078" s="1" t="n">
        <v>1.094324</v>
      </c>
    </row>
    <row r="2079" ht="15.75" customHeight="1" s="201">
      <c r="A2079" s="1" t="n">
        <v>52302600</v>
      </c>
      <c r="B2079" s="1" t="inlineStr">
        <is>
          <t>Muffin, chocolate</t>
        </is>
      </c>
      <c r="C2079" s="1" t="n">
        <v>1</v>
      </c>
      <c r="D2079" s="1" t="inlineStr">
        <is>
          <t>Links to FNDDS</t>
        </is>
      </c>
      <c r="E2079" s="1" t="inlineStr">
        <is>
          <t>Base</t>
        </is>
      </c>
      <c r="F2079" s="1" t="n">
        <v>1.375359</v>
      </c>
    </row>
    <row r="2080" ht="15.75" customHeight="1" s="201">
      <c r="A2080" s="1" t="n">
        <v>52304000</v>
      </c>
      <c r="B2080" s="1" t="inlineStr">
        <is>
          <t>Muffin, whole grain (Includes with nuts; with raisins; with fruit; Fiber One Muffin, all flavors)</t>
        </is>
      </c>
      <c r="C2080" s="1" t="n">
        <v>1</v>
      </c>
      <c r="D2080" s="1" t="inlineStr">
        <is>
          <t>Links to FNDDS</t>
        </is>
      </c>
      <c r="E2080" s="1" t="inlineStr">
        <is>
          <t>Base</t>
        </is>
      </c>
      <c r="F2080" s="1" t="n">
        <v>1.305537</v>
      </c>
    </row>
    <row r="2081" ht="15.75" customHeight="1" s="201">
      <c r="A2081" s="1" t="n">
        <v>52304010</v>
      </c>
      <c r="B2081" s="1" t="inlineStr">
        <is>
          <t>Muffin, wheat bran (Includes with raisins and nuts; bran muffin, NFS)</t>
        </is>
      </c>
      <c r="C2081" s="1" t="n">
        <v>2</v>
      </c>
      <c r="D2081" s="1" t="inlineStr">
        <is>
          <t>Links to altEC</t>
        </is>
      </c>
      <c r="E2081" s="1" t="inlineStr">
        <is>
          <t>Base</t>
        </is>
      </c>
      <c r="F2081" s="1" t="n">
        <v>0.845002</v>
      </c>
    </row>
    <row r="2082" ht="15.75" customHeight="1" s="201">
      <c r="A2082" s="1" t="n">
        <v>52304100</v>
      </c>
      <c r="B2082" s="1" t="inlineStr">
        <is>
          <t>Muffin, oatmeal (Includes Granola)</t>
        </is>
      </c>
      <c r="C2082" s="1" t="n">
        <v>2</v>
      </c>
      <c r="D2082" s="1" t="inlineStr">
        <is>
          <t>Links to altEC</t>
        </is>
      </c>
      <c r="E2082" s="1" t="inlineStr">
        <is>
          <t>Base</t>
        </is>
      </c>
      <c r="F2082" s="1" t="n">
        <v>0.776116</v>
      </c>
    </row>
    <row r="2083" ht="15.75" customHeight="1" s="201">
      <c r="A2083" s="1" t="n">
        <v>52306010</v>
      </c>
      <c r="B2083" s="1" t="inlineStr">
        <is>
          <t>Muffin, plain (Includes Matzo Meal; spiced; poppyseed)</t>
        </is>
      </c>
      <c r="C2083" s="1" t="n">
        <v>1</v>
      </c>
      <c r="D2083" s="1" t="inlineStr">
        <is>
          <t>Links to FNDDS</t>
        </is>
      </c>
      <c r="E2083" s="1" t="inlineStr">
        <is>
          <t>Base</t>
        </is>
      </c>
      <c r="F2083" s="1" t="n">
        <v>0.927817</v>
      </c>
    </row>
    <row r="2084" ht="15.75" customHeight="1" s="201">
      <c r="A2084" s="1" t="n">
        <v>52306500</v>
      </c>
      <c r="B2084" s="1" t="inlineStr">
        <is>
          <t>Muffin, pumpkin (Includes with raisins; with nuts)</t>
        </is>
      </c>
      <c r="C2084" s="1" t="n">
        <v>1</v>
      </c>
      <c r="D2084" s="1" t="inlineStr">
        <is>
          <t>Links to FNDDS</t>
        </is>
      </c>
      <c r="E2084" s="1" t="inlineStr">
        <is>
          <t>Base</t>
        </is>
      </c>
      <c r="F2084" s="1" t="n">
        <v>0.894777</v>
      </c>
    </row>
    <row r="2085" ht="15.75" customHeight="1" s="201">
      <c r="A2085" s="1" t="n">
        <v>52306700</v>
      </c>
      <c r="B2085" s="1" t="inlineStr">
        <is>
          <t>Muffin, carrot (Includes with raisins; with nuts)</t>
        </is>
      </c>
      <c r="C2085" s="1" t="n">
        <v>1</v>
      </c>
      <c r="D2085" s="1" t="inlineStr">
        <is>
          <t>Links to FNDDS</t>
        </is>
      </c>
      <c r="E2085" s="1" t="inlineStr">
        <is>
          <t>Base</t>
        </is>
      </c>
      <c r="F2085" s="1" t="n">
        <v>1.015087</v>
      </c>
    </row>
    <row r="2086" ht="15.75" customHeight="1" s="201">
      <c r="A2086" s="1" t="n">
        <v>52401000</v>
      </c>
      <c r="B2086" s="1" t="inlineStr">
        <is>
          <t>Bread, Boston Brown</t>
        </is>
      </c>
      <c r="C2086" s="1" t="n">
        <v>1</v>
      </c>
      <c r="D2086" s="1" t="inlineStr">
        <is>
          <t>Links to FNDDS</t>
        </is>
      </c>
      <c r="E2086" s="1" t="inlineStr">
        <is>
          <t>Base</t>
        </is>
      </c>
      <c r="F2086" s="1" t="n">
        <v>0.568033</v>
      </c>
    </row>
    <row r="2087" ht="15.75" customHeight="1" s="201">
      <c r="A2087" s="1" t="n">
        <v>52403000</v>
      </c>
      <c r="B2087" s="1" t="inlineStr">
        <is>
          <t>Bread, nut</t>
        </is>
      </c>
      <c r="C2087" s="1" t="n">
        <v>1</v>
      </c>
      <c r="D2087" s="1" t="inlineStr">
        <is>
          <t>Links to FNDDS</t>
        </is>
      </c>
      <c r="E2087" s="1" t="inlineStr">
        <is>
          <t>Base</t>
        </is>
      </c>
      <c r="F2087" s="1" t="n">
        <v>0.460723</v>
      </c>
    </row>
    <row r="2088" ht="15.75" customHeight="1" s="201">
      <c r="A2088" s="1" t="n">
        <v>52404060</v>
      </c>
      <c r="B2088" s="1" t="inlineStr">
        <is>
          <t>Bread, pumpkin (Includes with raisins and/or nuts; carrot bread with raisins and / or nuts)</t>
        </is>
      </c>
      <c r="C2088" s="1" t="n">
        <v>1</v>
      </c>
      <c r="D2088" s="1" t="inlineStr">
        <is>
          <t>Links to FNDDS</t>
        </is>
      </c>
      <c r="E2088" s="1" t="inlineStr">
        <is>
          <t>Base</t>
        </is>
      </c>
      <c r="F2088" s="1" t="n">
        <v>0.9651189999999999</v>
      </c>
    </row>
    <row r="2089" ht="15.75" customHeight="1" s="201">
      <c r="A2089" s="1" t="n">
        <v>52405010</v>
      </c>
      <c r="B2089" s="1" t="inlineStr">
        <is>
          <t>Bread, fruit (Includes lemon bread; banana bread; banana nut bread; date nut bread; with or without nuts)</t>
        </is>
      </c>
      <c r="C2089" s="1" t="n">
        <v>1</v>
      </c>
      <c r="D2089" s="1" t="inlineStr">
        <is>
          <t>Links to FNDDS</t>
        </is>
      </c>
      <c r="E2089" s="1" t="inlineStr">
        <is>
          <t>Base</t>
        </is>
      </c>
      <c r="F2089" s="1" t="n">
        <v>0.989397</v>
      </c>
    </row>
    <row r="2090" ht="15.75" customHeight="1" s="201">
      <c r="A2090" s="1" t="n">
        <v>52407000</v>
      </c>
      <c r="B2090" s="1" t="inlineStr">
        <is>
          <t>Bread, zucchini (Includes squash bread; with nuts)</t>
        </is>
      </c>
      <c r="C2090" s="1" t="n">
        <v>1</v>
      </c>
      <c r="D2090" s="1" t="inlineStr">
        <is>
          <t>Links to FNDDS</t>
        </is>
      </c>
      <c r="E2090" s="1" t="inlineStr">
        <is>
          <t>Base</t>
        </is>
      </c>
      <c r="F2090" s="1" t="n">
        <v>0.842807</v>
      </c>
    </row>
    <row r="2091" ht="15.75" customHeight="1" s="201">
      <c r="A2091" s="1" t="n">
        <v>52408000</v>
      </c>
      <c r="B2091" s="1" t="inlineStr">
        <is>
          <t>Bread, Irish soda</t>
        </is>
      </c>
      <c r="C2091" s="1" t="n">
        <v>1</v>
      </c>
      <c r="D2091" s="1" t="inlineStr">
        <is>
          <t>Links to FNDDS</t>
        </is>
      </c>
      <c r="E2091" s="1" t="inlineStr">
        <is>
          <t>Base</t>
        </is>
      </c>
      <c r="F2091" s="1" t="n">
        <v>0.675138</v>
      </c>
    </row>
    <row r="2092" ht="15.75" customHeight="1" s="201">
      <c r="A2092" s="1" t="n">
        <v>53100100</v>
      </c>
      <c r="B2092" s="1" t="inlineStr">
        <is>
          <t>Cake or cupcake, NS as to type (Includes with or without icing or filling; NS as to icing or filling)</t>
        </is>
      </c>
      <c r="C2092" s="1" t="n">
        <v>1</v>
      </c>
      <c r="D2092" s="1" t="inlineStr">
        <is>
          <t>Links to FNDDS</t>
        </is>
      </c>
      <c r="E2092" s="1" t="inlineStr">
        <is>
          <t>Base</t>
        </is>
      </c>
      <c r="F2092" s="1" t="n">
        <v>1.30581</v>
      </c>
    </row>
    <row r="2093" ht="15.75" customHeight="1" s="201">
      <c r="A2093" s="1" t="n">
        <v>53101250</v>
      </c>
      <c r="B2093" s="1" t="inlineStr">
        <is>
          <t>Cake, angel food, with fruit and icing or filling</t>
        </is>
      </c>
      <c r="C2093" s="1" t="n">
        <v>1</v>
      </c>
      <c r="D2093" s="1" t="inlineStr">
        <is>
          <t>Links to FNDDS</t>
        </is>
      </c>
      <c r="E2093" s="1" t="inlineStr">
        <is>
          <t>Base</t>
        </is>
      </c>
      <c r="F2093" s="1" t="n">
        <v>1.222058</v>
      </c>
    </row>
    <row r="2094" ht="15.75" customHeight="1" s="201">
      <c r="A2094" s="1" t="n">
        <v>53102100</v>
      </c>
      <c r="B2094" s="1" t="inlineStr">
        <is>
          <t>Cake or cupcake, applesauce, without icing or filling (Includes with nuts; rhubarb; blueberry; apricot; blackberry; apple crunch cake; NS as to icing or filling; with raisins; apple nut loaf)</t>
        </is>
      </c>
      <c r="C2094" s="1" t="n">
        <v>1</v>
      </c>
      <c r="D2094" s="1" t="inlineStr">
        <is>
          <t>Links to FNDDS</t>
        </is>
      </c>
      <c r="E2094" s="1" t="inlineStr">
        <is>
          <t>Base</t>
        </is>
      </c>
      <c r="F2094" s="1" t="n">
        <v>1.136026</v>
      </c>
    </row>
    <row r="2095" ht="15.75" customHeight="1" s="201">
      <c r="A2095" s="1" t="n">
        <v>53102200</v>
      </c>
      <c r="B2095" s="1" t="inlineStr">
        <is>
          <t>Cake or cupcake, applesauce, with icing or filling (Includes with nuts)</t>
        </is>
      </c>
      <c r="C2095" s="1" t="n">
        <v>1</v>
      </c>
      <c r="D2095" s="1" t="inlineStr">
        <is>
          <t>Links to FNDDS</t>
        </is>
      </c>
      <c r="E2095" s="1" t="inlineStr">
        <is>
          <t>Base</t>
        </is>
      </c>
      <c r="F2095" s="1" t="n">
        <v>1.130762</v>
      </c>
    </row>
    <row r="2096" ht="15.75" customHeight="1" s="201">
      <c r="A2096" s="1" t="n">
        <v>53102700</v>
      </c>
      <c r="B2096" s="1" t="inlineStr">
        <is>
          <t>Cake or cupcake, banana, with icing or filling (Includes NS as to icing or filling)</t>
        </is>
      </c>
      <c r="C2096" s="1" t="n">
        <v>1</v>
      </c>
      <c r="D2096" s="1" t="inlineStr">
        <is>
          <t>Links to FNDDS</t>
        </is>
      </c>
      <c r="E2096" s="1" t="inlineStr">
        <is>
          <t>Base</t>
        </is>
      </c>
      <c r="F2096" s="1" t="n">
        <v>1.084852</v>
      </c>
    </row>
    <row r="2097" ht="15.75" customHeight="1" s="201">
      <c r="A2097" s="1" t="n">
        <v>53104100</v>
      </c>
      <c r="B2097" s="1" t="inlineStr">
        <is>
          <t>Cake or cupcake, carrot, without icing or filling</t>
        </is>
      </c>
      <c r="C2097" s="1" t="n">
        <v>1</v>
      </c>
      <c r="D2097" s="1" t="inlineStr">
        <is>
          <t>Links to FNDDS</t>
        </is>
      </c>
      <c r="E2097" s="1" t="inlineStr">
        <is>
          <t>Base</t>
        </is>
      </c>
      <c r="F2097" s="1" t="n">
        <v>1.725373</v>
      </c>
    </row>
    <row r="2098" ht="15.75" customHeight="1" s="201">
      <c r="A2098" s="1" t="n">
        <v>53104260</v>
      </c>
      <c r="B2098" s="1" t="inlineStr">
        <is>
          <t>Cake or cupcake, carrot, with icing or filling (Includes NS as to icing or filling)</t>
        </is>
      </c>
      <c r="C2098" s="1" t="n">
        <v>1</v>
      </c>
      <c r="D2098" s="1" t="inlineStr">
        <is>
          <t>Links to FNDDS</t>
        </is>
      </c>
      <c r="E2098" s="1" t="inlineStr">
        <is>
          <t>Base</t>
        </is>
      </c>
      <c r="F2098" s="1" t="n">
        <v>1.024015</v>
      </c>
    </row>
    <row r="2099" ht="15.75" customHeight="1" s="201">
      <c r="A2099" s="1" t="n">
        <v>53104500</v>
      </c>
      <c r="B2099" s="1" t="inlineStr">
        <is>
          <t>Cheesecake (Includes cream cheese pie)</t>
        </is>
      </c>
      <c r="C2099" s="1" t="n">
        <v>1</v>
      </c>
      <c r="D2099" s="1" t="inlineStr">
        <is>
          <t>Links to FNDDS</t>
        </is>
      </c>
      <c r="E2099" s="1" t="inlineStr">
        <is>
          <t>Base</t>
        </is>
      </c>
      <c r="F2099" s="1" t="n">
        <v>1.361719</v>
      </c>
    </row>
    <row r="2100" ht="15.75" customHeight="1" s="201">
      <c r="A2100" s="1" t="n">
        <v>53104600</v>
      </c>
      <c r="B2100" s="1" t="inlineStr">
        <is>
          <t>Cheesecake, chocolate</t>
        </is>
      </c>
      <c r="C2100" s="1" t="n">
        <v>1</v>
      </c>
      <c r="D2100" s="1" t="inlineStr">
        <is>
          <t>Links to FNDDS</t>
        </is>
      </c>
      <c r="E2100" s="1" t="inlineStr">
        <is>
          <t>Base</t>
        </is>
      </c>
      <c r="F2100" s="1" t="n">
        <v>1.616931</v>
      </c>
    </row>
    <row r="2101" ht="15.75" customHeight="1" s="201">
      <c r="A2101" s="1" t="n">
        <v>53105270</v>
      </c>
      <c r="B2101" s="1" t="inlineStr">
        <is>
          <t>Cake or cupcake, chocolate, devil's food or fudge, with icing or filling (Includes NS as to icing or filling; Jack-in-the-Box chocolate cake)</t>
        </is>
      </c>
      <c r="C2101" s="1" t="n">
        <v>1</v>
      </c>
      <c r="D2101" s="1" t="inlineStr">
        <is>
          <t>Links to FNDDS</t>
        </is>
      </c>
      <c r="E2101" s="1" t="inlineStr">
        <is>
          <t>Base</t>
        </is>
      </c>
      <c r="F2101" s="1" t="n">
        <v>1.090263</v>
      </c>
    </row>
    <row r="2102" ht="15.75" customHeight="1" s="201">
      <c r="A2102" s="1" t="n">
        <v>53105275</v>
      </c>
      <c r="B2102" s="1" t="inlineStr">
        <is>
          <t>Cake or cupcake, chocolate, devil's food or fudge, without icing or filling</t>
        </is>
      </c>
      <c r="C2102" s="1" t="n">
        <v>1</v>
      </c>
      <c r="D2102" s="1" t="inlineStr">
        <is>
          <t>Links to FNDDS</t>
        </is>
      </c>
      <c r="E2102" s="1" t="inlineStr">
        <is>
          <t>Base</t>
        </is>
      </c>
      <c r="F2102" s="1" t="n">
        <v>1.016205</v>
      </c>
    </row>
    <row r="2103" ht="15.75" customHeight="1" s="201">
      <c r="A2103" s="1" t="n">
        <v>53105300</v>
      </c>
      <c r="B2103" s="1" t="inlineStr">
        <is>
          <t>Cake or cupcake, German chocolate, with icing or filling</t>
        </is>
      </c>
      <c r="C2103" s="1" t="n">
        <v>1</v>
      </c>
      <c r="D2103" s="1" t="inlineStr">
        <is>
          <t>Links to FNDDS</t>
        </is>
      </c>
      <c r="E2103" s="1" t="inlineStr">
        <is>
          <t>Base</t>
        </is>
      </c>
      <c r="F2103" s="1" t="n">
        <v>0.919744</v>
      </c>
    </row>
    <row r="2104" ht="15.75" customHeight="1" s="201">
      <c r="A2104" s="1" t="n">
        <v>53106500</v>
      </c>
      <c r="B2104" s="1" t="inlineStr">
        <is>
          <t>Cake, cream, without icing or topping (Includes Italian rum-cream)</t>
        </is>
      </c>
      <c r="C2104" s="1" t="n">
        <v>1</v>
      </c>
      <c r="D2104" s="1" t="inlineStr">
        <is>
          <t>Links to FNDDS</t>
        </is>
      </c>
      <c r="E2104" s="1" t="inlineStr">
        <is>
          <t>Base</t>
        </is>
      </c>
      <c r="F2104" s="1" t="n">
        <v>0.982998</v>
      </c>
    </row>
    <row r="2105" ht="15.75" customHeight="1" s="201">
      <c r="A2105" s="1" t="n">
        <v>53108200</v>
      </c>
      <c r="B2105" s="1" t="inlineStr">
        <is>
          <t>Snack cake, chocolate, with icing or filling (Includes Ho Ho's; Ding Dongs; Swiss Cake Roll; Tastykake Chocolate Kandy Kakes; Tastykake chocolate cupcakes; Drake's Yodels; Drake's Yankee Doodles; Little Debbie Chocolate Devil Squares; Tastykake Chocolate Kreamies; Drake's Ring Dings; Drake's Funny Bones; Drake's Devil Dogs; Hostess Chocolate Cupcakes; Little Debbie Chocolate Dessert Cakes; Little Debbie Swiss Roll; Tastykake Junior Chocolate Cakes; Hostess Suzy Q; Hostess Chocolate Zinger; Oreo Cakesters; Drake's Peanut Butter Creme Filled Devil's Food Cakes; Little Debbie Chocolate Zebra Cakes; Little Debbie Frosted Fudge Cake; Little Debbie Chocolate Chip Snack Cakes; Little Debbie Creme-Filled Chocolate Cupcakes; Little Debbie Devil Cremes; Little Debbie Chocolate Fudge Swirls; Hostess 100 Calorie Pack Chocolate Cupcakes; Little Debbie 100 Calories Chocolate Cakes; Oreo Cakesters 100 Calorie Pack; Hostess Snowballs; double chocolate swiss roll)</t>
        </is>
      </c>
      <c r="C2105" s="1" t="n">
        <v>1</v>
      </c>
      <c r="D2105" s="1" t="inlineStr">
        <is>
          <t>Links to FNDDS</t>
        </is>
      </c>
      <c r="E2105" s="1" t="inlineStr">
        <is>
          <t>Base</t>
        </is>
      </c>
      <c r="F2105" s="1" t="n">
        <v>0.754497</v>
      </c>
    </row>
    <row r="2106" ht="15.75" customHeight="1" s="201">
      <c r="A2106" s="1" t="n">
        <v>53109200</v>
      </c>
      <c r="B2106" s="1" t="inlineStr">
        <is>
          <t>Snack cake, not chocolate, with icing or filling (Includes Snackin' Cakes; Tastykake white or yellow cupcakes; Tastykake Krimpets; Hostess Twinkies; Hostess Cupcakes, not chocolate; Little Debbie Zebra Cakes, white or yellow; Hostess Raspberry or Vanilla Zinger; Tastykake junior cakes, white, yellow, coconut or coffee flavor; Petit Fours; Little Debbie Strawberry Shortcake Rolls; Little Debbie Boston Creme Roll; Little Debbie Fancy Cake; Little Debbie Banana Twins; Little Debbie Golden Cremes; Little Debbie Yellow Dessert Cakes; Drake's Sunny Doodles; Tastykake Doublicious Peanut Butter Kandy Kakes; Tastykake Coconut Junior; Hostess 100 Calorie Pack Twinkie Bites; Little Debbie 100 Calorie Yellow Cakes; Little Debbie 100 Calorie Lemon Snack Cake; Hostess 100 Calorie Pack Mini Lemon Cupcakes; Hostess 100 Calorie Pack Mini Golden Cupcakes; Hostess 100 Calorie Pack Mini Strawberry Cupcakes; Hostess 100 Calorie Pack Mini Carrot Cakes; Tastykake 100 Calorie Carrot Cake Finger Cakes; orange cake; golden cake; Snack cake, NS as to type)</t>
        </is>
      </c>
      <c r="C2106" s="1" t="n">
        <v>1</v>
      </c>
      <c r="D2106" s="1" t="inlineStr">
        <is>
          <t>Links to FNDDS</t>
        </is>
      </c>
      <c r="E2106" s="1" t="inlineStr">
        <is>
          <t>Base</t>
        </is>
      </c>
      <c r="F2106" s="1" t="n">
        <v>0.751938</v>
      </c>
    </row>
    <row r="2107" ht="15.75" customHeight="1" s="201">
      <c r="A2107" s="1" t="n">
        <v>53110000</v>
      </c>
      <c r="B2107" s="1" t="inlineStr">
        <is>
          <t>Cake, fruit cake, light or dark, holiday type cake</t>
        </is>
      </c>
      <c r="C2107" s="1" t="n">
        <v>1</v>
      </c>
      <c r="D2107" s="1" t="inlineStr">
        <is>
          <t>Links to FNDDS</t>
        </is>
      </c>
      <c r="E2107" s="1" t="inlineStr">
        <is>
          <t>Base</t>
        </is>
      </c>
      <c r="F2107" s="1" t="n">
        <v>0.925696</v>
      </c>
    </row>
    <row r="2108" ht="15.75" customHeight="1" s="201">
      <c r="A2108" s="1" t="n">
        <v>53112100</v>
      </c>
      <c r="B2108" s="1" t="inlineStr">
        <is>
          <t>Ice cream cake (Includes any flavor; pie; roll; Baked Alaska; frozen yogurt cake)</t>
        </is>
      </c>
      <c r="C2108" s="1" t="n">
        <v>1</v>
      </c>
      <c r="D2108" s="1" t="inlineStr">
        <is>
          <t>Links to FNDDS</t>
        </is>
      </c>
      <c r="E2108" s="1" t="inlineStr">
        <is>
          <t>Base</t>
        </is>
      </c>
      <c r="F2108" s="1" t="n">
        <v>1.072624</v>
      </c>
    </row>
    <row r="2109" ht="15.75" customHeight="1" s="201">
      <c r="A2109" s="1" t="n">
        <v>53114000</v>
      </c>
      <c r="B2109" s="1" t="inlineStr">
        <is>
          <t>Cake or cupcake, lemon, without icing or filling</t>
        </is>
      </c>
      <c r="C2109" s="1" t="n">
        <v>1</v>
      </c>
      <c r="D2109" s="1" t="inlineStr">
        <is>
          <t>Links to FNDDS</t>
        </is>
      </c>
      <c r="E2109" s="1" t="inlineStr">
        <is>
          <t>Base</t>
        </is>
      </c>
      <c r="F2109" s="1" t="n">
        <v>1.328971</v>
      </c>
    </row>
    <row r="2110" ht="15.75" customHeight="1" s="201">
      <c r="A2110" s="1" t="n">
        <v>53114100</v>
      </c>
      <c r="B2110" s="1" t="inlineStr">
        <is>
          <t>Cake or cupcake, lemon, with icing or filling (Includes NS as to icing or filling)</t>
        </is>
      </c>
      <c r="C2110" s="1" t="n">
        <v>1</v>
      </c>
      <c r="D2110" s="1" t="inlineStr">
        <is>
          <t>Links to FNDDS</t>
        </is>
      </c>
      <c r="E2110" s="1" t="inlineStr">
        <is>
          <t>Base</t>
        </is>
      </c>
      <c r="F2110" s="1" t="n">
        <v>0.796058</v>
      </c>
    </row>
    <row r="2111" ht="15.75" customHeight="1" s="201">
      <c r="A2111" s="1" t="n">
        <v>53115100</v>
      </c>
      <c r="B2111" s="1" t="inlineStr">
        <is>
          <t>Cake or cupcake, marble, without icing or filling</t>
        </is>
      </c>
      <c r="C2111" s="1" t="n">
        <v>1</v>
      </c>
      <c r="D2111" s="1" t="inlineStr">
        <is>
          <t>Links to FNDDS</t>
        </is>
      </c>
      <c r="E2111" s="1" t="inlineStr">
        <is>
          <t>Base</t>
        </is>
      </c>
      <c r="F2111" s="1" t="n">
        <v>1.658663</v>
      </c>
    </row>
    <row r="2112" ht="15.75" customHeight="1" s="201">
      <c r="A2112" s="1" t="n">
        <v>53115200</v>
      </c>
      <c r="B2112" s="1" t="inlineStr">
        <is>
          <t>Cake or cupcake, marble, with icing or filling (Includes NS as to icing or filling)</t>
        </is>
      </c>
      <c r="C2112" s="1" t="n">
        <v>1</v>
      </c>
      <c r="D2112" s="1" t="inlineStr">
        <is>
          <t>Links to FNDDS</t>
        </is>
      </c>
      <c r="E2112" s="1" t="inlineStr">
        <is>
          <t>Base</t>
        </is>
      </c>
      <c r="F2112" s="1" t="n">
        <v>1.354036</v>
      </c>
    </row>
    <row r="2113" ht="15.75" customHeight="1" s="201">
      <c r="A2113" s="1" t="n">
        <v>53115310</v>
      </c>
      <c r="B2113" s="1" t="inlineStr">
        <is>
          <t>Cake or cupcake, nut, without icing or filling (Includes butter pecan cake; pistachio cake)</t>
        </is>
      </c>
      <c r="C2113" s="1" t="n">
        <v>2</v>
      </c>
      <c r="D2113" s="1" t="inlineStr">
        <is>
          <t>Links to altEC</t>
        </is>
      </c>
      <c r="E2113" s="1" t="inlineStr">
        <is>
          <t>Base</t>
        </is>
      </c>
      <c r="F2113" s="1" t="n">
        <v>0.685596</v>
      </c>
    </row>
    <row r="2114" ht="15.75" customHeight="1" s="201">
      <c r="A2114" s="1" t="n">
        <v>53115320</v>
      </c>
      <c r="B2114" s="1" t="inlineStr">
        <is>
          <t>Cake or cupcake, nut, with icing or filling (Includes butter pecan cake; pistachio cake; NS as to icing or filling)</t>
        </is>
      </c>
      <c r="C2114" s="1" t="n">
        <v>1</v>
      </c>
      <c r="D2114" s="1" t="inlineStr">
        <is>
          <t>Links to FNDDS</t>
        </is>
      </c>
      <c r="E2114" s="1" t="inlineStr">
        <is>
          <t>Base</t>
        </is>
      </c>
      <c r="F2114" s="1" t="n">
        <v>1.35782</v>
      </c>
    </row>
    <row r="2115" ht="15.75" customHeight="1" s="201">
      <c r="A2115" s="1" t="n">
        <v>53115410</v>
      </c>
      <c r="B2115" s="1" t="inlineStr">
        <is>
          <t>Cake or cupcake, oatmeal (Includes with or without icing or filling; NS as to icing or filling)</t>
        </is>
      </c>
      <c r="C2115" s="1" t="n">
        <v>2</v>
      </c>
      <c r="D2115" s="1" t="inlineStr">
        <is>
          <t>Links to altEC</t>
        </is>
      </c>
      <c r="E2115" s="1" t="inlineStr">
        <is>
          <t>Base</t>
        </is>
      </c>
      <c r="F2115" s="1" t="n">
        <v>1.264892</v>
      </c>
    </row>
    <row r="2116" ht="15.75" customHeight="1" s="201">
      <c r="A2116" s="1" t="n">
        <v>53115450</v>
      </c>
      <c r="B2116" s="1" t="inlineStr">
        <is>
          <t>Cake or cupcake, peanut butter (Includes with or without icing or filling; NS as to icing or filling)</t>
        </is>
      </c>
      <c r="C2116" s="1" t="n">
        <v>1</v>
      </c>
      <c r="D2116" s="1" t="inlineStr">
        <is>
          <t>Links to FNDDS</t>
        </is>
      </c>
      <c r="E2116" s="1" t="inlineStr">
        <is>
          <t>Base</t>
        </is>
      </c>
      <c r="F2116" s="1" t="n">
        <v>1.112089</v>
      </c>
    </row>
    <row r="2117" ht="15.75" customHeight="1" s="201">
      <c r="A2117" s="1" t="n">
        <v>53116000</v>
      </c>
      <c r="B2117" s="1" t="inlineStr">
        <is>
          <t>Cake, pound, without icing or filling (Includes toasted cake; yogurt honey pound cake; butter rum cake; whiskey cake; lemon pound cake with glaze; strawberry swirl pound cake; butter cake; cream cheese cake; NS as to icing or filling)</t>
        </is>
      </c>
      <c r="C2117" s="1" t="n">
        <v>1</v>
      </c>
      <c r="D2117" s="1" t="inlineStr">
        <is>
          <t>Links to FNDDS</t>
        </is>
      </c>
      <c r="E2117" s="1" t="inlineStr">
        <is>
          <t>Base</t>
        </is>
      </c>
      <c r="F2117" s="1" t="n">
        <v>0.941894</v>
      </c>
    </row>
    <row r="2118" ht="15.75" customHeight="1" s="201">
      <c r="A2118" s="1" t="n">
        <v>53116020</v>
      </c>
      <c r="B2118" s="1" t="inlineStr">
        <is>
          <t>Cake, pound, with icing or filling (Includes butter cake)</t>
        </is>
      </c>
      <c r="C2118" s="1" t="n">
        <v>1</v>
      </c>
      <c r="D2118" s="1" t="inlineStr">
        <is>
          <t>Links to FNDDS</t>
        </is>
      </c>
      <c r="E2118" s="1" t="inlineStr">
        <is>
          <t>Base</t>
        </is>
      </c>
      <c r="F2118" s="1" t="n">
        <v>1.083251</v>
      </c>
    </row>
    <row r="2119" ht="15.75" customHeight="1" s="201">
      <c r="A2119" s="1" t="n">
        <v>53116500</v>
      </c>
      <c r="B2119" s="1" t="inlineStr">
        <is>
          <t>Cake or cupcake, pumpkin, without icing or filling (Includes sweet potato)</t>
        </is>
      </c>
      <c r="C2119" s="1" t="n">
        <v>1</v>
      </c>
      <c r="D2119" s="1" t="inlineStr">
        <is>
          <t>Links to FNDDS</t>
        </is>
      </c>
      <c r="E2119" s="1" t="inlineStr">
        <is>
          <t>Base</t>
        </is>
      </c>
      <c r="F2119" s="1" t="n">
        <v>1.141082</v>
      </c>
    </row>
    <row r="2120" ht="15.75" customHeight="1" s="201">
      <c r="A2120" s="1" t="n">
        <v>53116510</v>
      </c>
      <c r="B2120" s="1" t="inlineStr">
        <is>
          <t>Cake or cupcake, pumpkin, with icing or filling (Includes NS as to icing or filling; sweet potato)</t>
        </is>
      </c>
      <c r="C2120" s="1" t="n">
        <v>1</v>
      </c>
      <c r="D2120" s="1" t="inlineStr">
        <is>
          <t>Links to FNDDS</t>
        </is>
      </c>
      <c r="E2120" s="1" t="inlineStr">
        <is>
          <t>Base</t>
        </is>
      </c>
      <c r="F2120" s="1" t="n">
        <v>1.120182</v>
      </c>
    </row>
    <row r="2121" ht="15.75" customHeight="1" s="201">
      <c r="A2121" s="1" t="n">
        <v>53116600</v>
      </c>
      <c r="B2121" s="1" t="inlineStr">
        <is>
          <t>Cake, rice flour, without icing or filling (Includes coconut mochiko; Filipino cake)</t>
        </is>
      </c>
      <c r="C2121" s="1" t="n">
        <v>2</v>
      </c>
      <c r="D2121" s="1" t="inlineStr">
        <is>
          <t>Links to altEC</t>
        </is>
      </c>
      <c r="E2121" s="1" t="inlineStr">
        <is>
          <t>Base</t>
        </is>
      </c>
      <c r="F2121" s="1" t="n">
        <v>1.511199</v>
      </c>
    </row>
    <row r="2122" ht="15.75" customHeight="1" s="201">
      <c r="A2122" s="1" t="n">
        <v>53116650</v>
      </c>
      <c r="B2122" s="1" t="inlineStr">
        <is>
          <t>Cake, Quezadilla, El Salvadorian style</t>
        </is>
      </c>
      <c r="C2122" s="1" t="n">
        <v>2</v>
      </c>
      <c r="D2122" s="1" t="inlineStr">
        <is>
          <t>Links to altEC</t>
        </is>
      </c>
      <c r="E2122" s="1" t="inlineStr">
        <is>
          <t>Base</t>
        </is>
      </c>
      <c r="F2122" s="1" t="n">
        <v>0.874333</v>
      </c>
    </row>
    <row r="2123" ht="15.75" customHeight="1" s="201">
      <c r="A2123" s="1" t="n">
        <v>53117100</v>
      </c>
      <c r="B2123" s="1" t="inlineStr">
        <is>
          <t>Cake or cupcake, spice, without icing or filling (Includes with raisins)</t>
        </is>
      </c>
      <c r="C2123" s="1" t="n">
        <v>1</v>
      </c>
      <c r="D2123" s="1" t="inlineStr">
        <is>
          <t>Links to FNDDS</t>
        </is>
      </c>
      <c r="E2123" s="1" t="inlineStr">
        <is>
          <t>Base</t>
        </is>
      </c>
      <c r="F2123" s="1" t="n">
        <v>1.01377</v>
      </c>
    </row>
    <row r="2124" ht="15.75" customHeight="1" s="201">
      <c r="A2124" s="1" t="n">
        <v>53117200</v>
      </c>
      <c r="B2124" s="1" t="inlineStr">
        <is>
          <t>Cake or cupcake, spice, with icing or filling (Includes walnut cake with whipped cream; with raisins; NS as to icing or filling)</t>
        </is>
      </c>
      <c r="C2124" s="1" t="n">
        <v>1</v>
      </c>
      <c r="D2124" s="1" t="inlineStr">
        <is>
          <t>Links to FNDDS</t>
        </is>
      </c>
      <c r="E2124" s="1" t="inlineStr">
        <is>
          <t>Base</t>
        </is>
      </c>
      <c r="F2124" s="1" t="n">
        <v>0.86917</v>
      </c>
    </row>
    <row r="2125" ht="15.75" customHeight="1" s="201">
      <c r="A2125" s="1" t="n">
        <v>53118100</v>
      </c>
      <c r="B2125" s="1" t="inlineStr">
        <is>
          <t>Cake, sponge, without icing or filling (Includes shortcake, sponge type, plain; NS as to icing or filling)</t>
        </is>
      </c>
      <c r="C2125" s="1" t="n">
        <v>1</v>
      </c>
      <c r="D2125" s="1" t="inlineStr">
        <is>
          <t>Links to FNDDS</t>
        </is>
      </c>
      <c r="E2125" s="1" t="inlineStr">
        <is>
          <t>Base</t>
        </is>
      </c>
      <c r="F2125" s="1" t="n">
        <v>1.223675</v>
      </c>
    </row>
    <row r="2126" ht="15.75" customHeight="1" s="201">
      <c r="A2126" s="1" t="n">
        <v>53118200</v>
      </c>
      <c r="B2126" s="1" t="inlineStr">
        <is>
          <t>Cake, sponge, with icing or filling</t>
        </is>
      </c>
      <c r="C2126" s="1" t="n">
        <v>1</v>
      </c>
      <c r="D2126" s="1" t="inlineStr">
        <is>
          <t>Links to FNDDS</t>
        </is>
      </c>
      <c r="E2126" s="1" t="inlineStr">
        <is>
          <t>Base</t>
        </is>
      </c>
      <c r="F2126" s="1" t="n">
        <v>1.355454</v>
      </c>
    </row>
    <row r="2127" ht="15.75" customHeight="1" s="201">
      <c r="A2127" s="1" t="n">
        <v>53118300</v>
      </c>
      <c r="B2127" s="1" t="inlineStr">
        <is>
          <t>Cake, sponge, chocolate (Includes chocolate sponge cake, NS as to icing; with or without icing or filling)</t>
        </is>
      </c>
      <c r="C2127" s="1" t="n">
        <v>1</v>
      </c>
      <c r="D2127" s="1" t="inlineStr">
        <is>
          <t>Links to FNDDS</t>
        </is>
      </c>
      <c r="E2127" s="1" t="inlineStr">
        <is>
          <t>Base</t>
        </is>
      </c>
      <c r="F2127" s="1" t="n">
        <v>1.485964</v>
      </c>
    </row>
    <row r="2128" ht="15.75" customHeight="1" s="201">
      <c r="A2128" s="1" t="n">
        <v>53118410</v>
      </c>
      <c r="B2128" s="1" t="inlineStr">
        <is>
          <t>Rum cake, without icing (Includes Sopa Borracha)</t>
        </is>
      </c>
      <c r="C2128" s="1" t="n">
        <v>2</v>
      </c>
      <c r="D2128" s="1" t="inlineStr">
        <is>
          <t>Links to altEC</t>
        </is>
      </c>
      <c r="E2128" s="1" t="inlineStr">
        <is>
          <t>Base</t>
        </is>
      </c>
      <c r="F2128" s="1" t="n">
        <v>0.967283</v>
      </c>
    </row>
    <row r="2129" ht="15.75" customHeight="1" s="201">
      <c r="A2129" s="1" t="n">
        <v>53118500</v>
      </c>
      <c r="B2129" s="1" t="inlineStr">
        <is>
          <t>Cake, torte (Includes fruit tortes)</t>
        </is>
      </c>
      <c r="C2129" s="1" t="n">
        <v>1</v>
      </c>
      <c r="D2129" s="1" t="inlineStr">
        <is>
          <t>Links to FNDDS</t>
        </is>
      </c>
      <c r="E2129" s="1" t="inlineStr">
        <is>
          <t>Base</t>
        </is>
      </c>
      <c r="F2129" s="1" t="n">
        <v>1.766022</v>
      </c>
    </row>
    <row r="2130" ht="15.75" customHeight="1" s="201">
      <c r="A2130" s="1" t="n">
        <v>53118550</v>
      </c>
      <c r="B2130" s="1" t="inlineStr">
        <is>
          <t>Cake, tres leche (Includes three milks cake; pastel tres leches)</t>
        </is>
      </c>
      <c r="C2130" s="1" t="n">
        <v>1</v>
      </c>
      <c r="D2130" s="1" t="inlineStr">
        <is>
          <t>Links to FNDDS</t>
        </is>
      </c>
      <c r="E2130" s="1" t="inlineStr">
        <is>
          <t>Base</t>
        </is>
      </c>
      <c r="F2130" s="1" t="n">
        <v>1.094184</v>
      </c>
    </row>
    <row r="2131" ht="15.75" customHeight="1" s="201">
      <c r="A2131" s="1" t="n">
        <v>53120270</v>
      </c>
      <c r="B2131" s="1" t="inlineStr">
        <is>
          <t>Cake or cupcake, white, with icing or filling (Includes flavors other than chocolate)</t>
        </is>
      </c>
      <c r="C2131" s="1" t="n">
        <v>1</v>
      </c>
      <c r="D2131" s="1" t="inlineStr">
        <is>
          <t>Links to FNDDS</t>
        </is>
      </c>
      <c r="E2131" s="1" t="inlineStr">
        <is>
          <t>Base</t>
        </is>
      </c>
      <c r="F2131" s="1" t="n">
        <v>1.233089</v>
      </c>
    </row>
    <row r="2132" ht="15.75" customHeight="1" s="201">
      <c r="A2132" s="1" t="n">
        <v>53120275</v>
      </c>
      <c r="B2132" s="1" t="inlineStr">
        <is>
          <t>Cake or cupcake, white, without icing or filling (Includes flavors other than chocolate)</t>
        </is>
      </c>
      <c r="C2132" s="1" t="n">
        <v>1</v>
      </c>
      <c r="D2132" s="1" t="inlineStr">
        <is>
          <t>Links to FNDDS</t>
        </is>
      </c>
      <c r="E2132" s="1" t="inlineStr">
        <is>
          <t>Base</t>
        </is>
      </c>
      <c r="F2132" s="1" t="n">
        <v>1.21343</v>
      </c>
    </row>
    <row r="2133" ht="15.75" customHeight="1" s="201">
      <c r="A2133" s="1" t="n">
        <v>53121270</v>
      </c>
      <c r="B2133" s="1" t="inlineStr">
        <is>
          <t>Cake or cupcake, yellow, with icing or filling (Includes poppyseed; Louisiana crunch cake)</t>
        </is>
      </c>
      <c r="C2133" s="1" t="n">
        <v>1</v>
      </c>
      <c r="D2133" s="1" t="inlineStr">
        <is>
          <t>Links to FNDDS</t>
        </is>
      </c>
      <c r="E2133" s="1" t="inlineStr">
        <is>
          <t>Base</t>
        </is>
      </c>
      <c r="F2133" s="1" t="n">
        <v>0.839264</v>
      </c>
    </row>
    <row r="2134" ht="15.75" customHeight="1" s="201">
      <c r="A2134" s="1" t="n">
        <v>53121275</v>
      </c>
      <c r="B2134" s="1" t="inlineStr">
        <is>
          <t>Cake or cupcake, yellow, without icing or filling (Includes poppyseed)</t>
        </is>
      </c>
      <c r="C2134" s="1" t="n">
        <v>2</v>
      </c>
      <c r="D2134" s="1" t="inlineStr">
        <is>
          <t>Links to altEC</t>
        </is>
      </c>
      <c r="E2134" s="1" t="inlineStr">
        <is>
          <t>Base</t>
        </is>
      </c>
      <c r="F2134" s="1" t="n">
        <v>1.15411</v>
      </c>
    </row>
    <row r="2135" ht="15.75" customHeight="1" s="201">
      <c r="A2135" s="1" t="n">
        <v>53122080</v>
      </c>
      <c r="B2135" s="1" t="inlineStr">
        <is>
          <t>Cake, shortcake, biscuit type, with fruit</t>
        </is>
      </c>
      <c r="C2135" s="1" t="n">
        <v>2</v>
      </c>
      <c r="D2135" s="1" t="inlineStr">
        <is>
          <t>Links to altEC</t>
        </is>
      </c>
      <c r="E2135" s="1" t="inlineStr">
        <is>
          <t>Base</t>
        </is>
      </c>
      <c r="F2135" s="1" t="n">
        <v>1.275765</v>
      </c>
    </row>
    <row r="2136" ht="15.75" customHeight="1" s="201">
      <c r="A2136" s="1" t="n">
        <v>53123070</v>
      </c>
      <c r="B2136" s="1" t="inlineStr">
        <is>
          <t>Cake, shortcake, sponge type, with whipped cream and fruit (Includes strawberry cake; shortcake, NS as to biscuit or sponge cake type)</t>
        </is>
      </c>
      <c r="C2136" s="1" t="n">
        <v>1</v>
      </c>
      <c r="D2136" s="1" t="inlineStr">
        <is>
          <t>Links to FNDDS</t>
        </is>
      </c>
      <c r="E2136" s="1" t="inlineStr">
        <is>
          <t>Base</t>
        </is>
      </c>
      <c r="F2136" s="1" t="n">
        <v>1.276052</v>
      </c>
    </row>
    <row r="2137" ht="15.75" customHeight="1" s="201">
      <c r="A2137" s="1" t="n">
        <v>53123080</v>
      </c>
      <c r="B2137" s="1" t="inlineStr">
        <is>
          <t>Cake, shortcake, sponge type, with fruit</t>
        </is>
      </c>
      <c r="C2137" s="1" t="n">
        <v>1</v>
      </c>
      <c r="D2137" s="1" t="inlineStr">
        <is>
          <t>Links to FNDDS</t>
        </is>
      </c>
      <c r="E2137" s="1" t="inlineStr">
        <is>
          <t>Base</t>
        </is>
      </c>
      <c r="F2137" s="1" t="n">
        <v>1.275162</v>
      </c>
    </row>
    <row r="2138" ht="15.75" customHeight="1" s="201">
      <c r="A2138" s="1" t="n">
        <v>53124110</v>
      </c>
      <c r="B2138" s="1" t="inlineStr">
        <is>
          <t>Cake or cupcake, zucchini (Includes with or without icing or filling; NS as to icing or filling)</t>
        </is>
      </c>
      <c r="C2138" s="1" t="n">
        <v>1</v>
      </c>
      <c r="D2138" s="1" t="inlineStr">
        <is>
          <t>Links to FNDDS</t>
        </is>
      </c>
      <c r="E2138" s="1" t="inlineStr">
        <is>
          <t>Base</t>
        </is>
      </c>
      <c r="F2138" s="1" t="n">
        <v>1.032179</v>
      </c>
    </row>
    <row r="2139" ht="15.75" customHeight="1" s="201">
      <c r="A2139" s="1" t="n">
        <v>53200100</v>
      </c>
      <c r="B2139" s="1" t="inlineStr">
        <is>
          <t>Cookie, batter or dough, raw (Includes any type of cookie dough)</t>
        </is>
      </c>
      <c r="C2139" s="1" t="n">
        <v>1</v>
      </c>
      <c r="D2139" s="1" t="inlineStr">
        <is>
          <t>Links to FNDDS</t>
        </is>
      </c>
      <c r="E2139" s="1" t="inlineStr">
        <is>
          <t>Base</t>
        </is>
      </c>
      <c r="F2139" s="1" t="n">
        <v>0.6486960000000001</v>
      </c>
    </row>
    <row r="2140" ht="15.75" customHeight="1" s="201">
      <c r="A2140" s="1" t="n">
        <v>53201000</v>
      </c>
      <c r="B2140" s="1" t="inlineStr">
        <is>
          <t>Cookie, NFS</t>
        </is>
      </c>
      <c r="C2140" s="1" t="n">
        <v>2</v>
      </c>
      <c r="D2140" s="1" t="inlineStr">
        <is>
          <t>Links to altEC</t>
        </is>
      </c>
      <c r="E2140" s="1" t="inlineStr">
        <is>
          <t>Base</t>
        </is>
      </c>
      <c r="F2140" s="1" t="n">
        <v>0.798999</v>
      </c>
    </row>
    <row r="2141" ht="15.75" customHeight="1" s="201">
      <c r="A2141" s="1" t="n">
        <v>53203000</v>
      </c>
      <c r="B2141" s="1" t="inlineStr">
        <is>
          <t>Cookie, applesauce (Includes apple snacks; Dutch apple)</t>
        </is>
      </c>
      <c r="C2141" s="1" t="n">
        <v>2</v>
      </c>
      <c r="D2141" s="1" t="inlineStr">
        <is>
          <t>Links to altEC</t>
        </is>
      </c>
      <c r="E2141" s="1" t="inlineStr">
        <is>
          <t>Base</t>
        </is>
      </c>
      <c r="F2141" s="1" t="n">
        <v>0.924448</v>
      </c>
    </row>
    <row r="2142" ht="15.75" customHeight="1" s="201">
      <c r="A2142" s="1" t="n">
        <v>53203500</v>
      </c>
      <c r="B2142" s="1" t="inlineStr">
        <is>
          <t>Cookie, biscotti (Includes with nuts; Italian sugar cookie)</t>
        </is>
      </c>
      <c r="C2142" s="1" t="n">
        <v>1</v>
      </c>
      <c r="D2142" s="1" t="inlineStr">
        <is>
          <t>Links to FNDDS</t>
        </is>
      </c>
      <c r="E2142" s="1" t="inlineStr">
        <is>
          <t>Base</t>
        </is>
      </c>
      <c r="F2142" s="1" t="n">
        <v>1.45389</v>
      </c>
    </row>
    <row r="2143" ht="15.75" customHeight="1" s="201">
      <c r="A2143" s="1" t="n">
        <v>53204000</v>
      </c>
      <c r="B2143" s="1" t="inlineStr">
        <is>
          <t>Cookie, brownie, NS as to icing (Includes with nuts)</t>
        </is>
      </c>
      <c r="C2143" s="1" t="n">
        <v>1</v>
      </c>
      <c r="D2143" s="1" t="inlineStr">
        <is>
          <t>Links to FNDDS</t>
        </is>
      </c>
      <c r="E2143" s="1" t="inlineStr">
        <is>
          <t>Base</t>
        </is>
      </c>
      <c r="F2143" s="1" t="n">
        <v>1.590423</v>
      </c>
    </row>
    <row r="2144" ht="15.75" customHeight="1" s="201">
      <c r="A2144" s="1" t="n">
        <v>53204010</v>
      </c>
      <c r="B2144" s="1" t="inlineStr">
        <is>
          <t>Cookie, brownie, without icing (Includes with nuts; Entenmann's Fudge Brownie; brownie bites)</t>
        </is>
      </c>
      <c r="C2144" s="1" t="n">
        <v>1</v>
      </c>
      <c r="D2144" s="1" t="inlineStr">
        <is>
          <t>Links to FNDDS</t>
        </is>
      </c>
      <c r="E2144" s="1" t="inlineStr">
        <is>
          <t>Base</t>
        </is>
      </c>
      <c r="F2144" s="1" t="n">
        <v>0.775335</v>
      </c>
    </row>
    <row r="2145" ht="15.75" customHeight="1" s="201">
      <c r="A2145" s="1" t="n">
        <v>53204100</v>
      </c>
      <c r="B2145" s="1" t="inlineStr">
        <is>
          <t>Cookie, brownie, with icing or filling (Includes with nuts; Little Debbie Fudge Brownie or Cosmic Brownie; all flavors icing or filling)</t>
        </is>
      </c>
      <c r="C2145" s="1" t="n">
        <v>1</v>
      </c>
      <c r="D2145" s="1" t="inlineStr">
        <is>
          <t>Links to FNDDS</t>
        </is>
      </c>
      <c r="E2145" s="1" t="inlineStr">
        <is>
          <t>Base</t>
        </is>
      </c>
      <c r="F2145" s="1" t="n">
        <v>0.989104</v>
      </c>
    </row>
    <row r="2146" ht="15.75" customHeight="1" s="201">
      <c r="A2146" s="1" t="n">
        <v>53204840</v>
      </c>
      <c r="B2146" s="1" t="inlineStr">
        <is>
          <t>Cookie, brownie, reduced fat, NS as to icing (Includes Betty Crocker Low Fat Fudge Brownie Mix; Weight Watchers Chocolate Brownie; lowfat; Fiber One brownie)</t>
        </is>
      </c>
      <c r="C2146" s="1" t="n">
        <v>1</v>
      </c>
      <c r="D2146" s="1" t="inlineStr">
        <is>
          <t>Links to FNDDS</t>
        </is>
      </c>
      <c r="E2146" s="1" t="inlineStr">
        <is>
          <t>Base</t>
        </is>
      </c>
      <c r="F2146" s="1" t="n">
        <v>1.661943</v>
      </c>
    </row>
    <row r="2147" ht="15.75" customHeight="1" s="201">
      <c r="A2147" s="1" t="n">
        <v>53205260</v>
      </c>
      <c r="B2147" s="1" t="inlineStr">
        <is>
          <t>Cookie, bar, with chocolate (Includes Cookie bar with M&amp;M's)</t>
        </is>
      </c>
      <c r="C2147" s="1" t="n">
        <v>1</v>
      </c>
      <c r="D2147" s="1" t="inlineStr">
        <is>
          <t>Links to FNDDS</t>
        </is>
      </c>
      <c r="E2147" s="1" t="inlineStr">
        <is>
          <t>Base</t>
        </is>
      </c>
      <c r="F2147" s="1" t="n">
        <v>0.861971</v>
      </c>
    </row>
    <row r="2148" ht="15.75" customHeight="1" s="201">
      <c r="A2148" s="1" t="n">
        <v>53206000</v>
      </c>
      <c r="B2148" s="1" t="inlineStr">
        <is>
          <t>Cookie, chocolate chip (Includes with nuts; Pepperidge Farm Chocolate Chunk; Nabisco Mini Chips Ahoy!; Nabisco Chips Ahoy!; Grandma; Keebler Rainbow Chips Deluxe; Subway chocolate chip cookie; McDonald's chocolate chip cookie; white chocolate)</t>
        </is>
      </c>
      <c r="C2148" s="1" t="n">
        <v>1</v>
      </c>
      <c r="D2148" s="1" t="inlineStr">
        <is>
          <t>Links to FNDDS</t>
        </is>
      </c>
      <c r="E2148" s="1" t="inlineStr">
        <is>
          <t>Base</t>
        </is>
      </c>
      <c r="F2148" s="1" t="n">
        <v>0.775915</v>
      </c>
    </row>
    <row r="2149" ht="15.75" customHeight="1" s="201">
      <c r="A2149" s="1" t="n">
        <v>53206020</v>
      </c>
      <c r="B2149" s="1" t="inlineStr">
        <is>
          <t>Cookie, chocolate chip, made from home recipe or purchased at a bakery (Includes Toll House; made with M&amp;M's; with nuts; all chip/chunk flavors)</t>
        </is>
      </c>
      <c r="C2149" s="1" t="n">
        <v>2</v>
      </c>
      <c r="D2149" s="1" t="inlineStr">
        <is>
          <t>Links to altEC</t>
        </is>
      </c>
      <c r="E2149" s="1" t="inlineStr">
        <is>
          <t>Base</t>
        </is>
      </c>
      <c r="F2149" s="1" t="n">
        <v>0.775915</v>
      </c>
    </row>
    <row r="2150" ht="15.75" customHeight="1" s="201">
      <c r="A2150" s="1" t="n">
        <v>53206030</v>
      </c>
      <c r="B2150" s="1" t="inlineStr">
        <is>
          <t>Cookie, chocolate chip, reduced fat (Includes Nabisco Reduced Fat Chips Ahoy!; Nabisco 100 Calorie Chips Ahoy Thin Crisps; Keebler 100 Calorie Right Bites Chips Deluxe; low fat or fat free)</t>
        </is>
      </c>
      <c r="C2150" s="1" t="n">
        <v>1</v>
      </c>
      <c r="D2150" s="1" t="inlineStr">
        <is>
          <t>Links to FNDDS</t>
        </is>
      </c>
      <c r="E2150" s="1" t="inlineStr">
        <is>
          <t>Base</t>
        </is>
      </c>
      <c r="F2150" s="1" t="n">
        <v>2.12569</v>
      </c>
    </row>
    <row r="2151" ht="15.75" customHeight="1" s="201">
      <c r="A2151" s="1" t="n">
        <v>53206100</v>
      </c>
      <c r="B2151" s="1" t="inlineStr">
        <is>
          <t>Cookie, chocolate chip sandwich (Includes any filling or icing; Little Debbie Chocolate Chip Creme Pies)</t>
        </is>
      </c>
      <c r="C2151" s="1" t="n">
        <v>1</v>
      </c>
      <c r="D2151" s="1" t="inlineStr">
        <is>
          <t>Links to FNDDS</t>
        </is>
      </c>
      <c r="E2151" s="1" t="inlineStr">
        <is>
          <t>Base</t>
        </is>
      </c>
      <c r="F2151" s="1" t="n">
        <v>0.948843</v>
      </c>
    </row>
    <row r="2152" ht="15.75" customHeight="1" s="201">
      <c r="A2152" s="1" t="n">
        <v>53206500</v>
      </c>
      <c r="B2152" s="1" t="inlineStr">
        <is>
          <t>Cookie, chocolate, made with rice cereal (Includes Little Debbie Star Crunch)</t>
        </is>
      </c>
      <c r="C2152" s="1" t="n">
        <v>1</v>
      </c>
      <c r="D2152" s="1" t="inlineStr">
        <is>
          <t>Links to FNDDS</t>
        </is>
      </c>
      <c r="E2152" s="1" t="inlineStr">
        <is>
          <t>Base</t>
        </is>
      </c>
      <c r="F2152" s="1" t="n">
        <v>0.510228</v>
      </c>
    </row>
    <row r="2153" ht="15.75" customHeight="1" s="201">
      <c r="A2153" s="1" t="n">
        <v>53206550</v>
      </c>
      <c r="B2153" s="1" t="inlineStr">
        <is>
          <t>Cookie, chocolate, made with oatmeal and coconut, no bake</t>
        </is>
      </c>
      <c r="C2153" s="1" t="n">
        <v>2</v>
      </c>
      <c r="D2153" s="1" t="inlineStr">
        <is>
          <t>Links to altEC</t>
        </is>
      </c>
      <c r="E2153" s="1" t="inlineStr">
        <is>
          <t>Base</t>
        </is>
      </c>
      <c r="F2153" s="1" t="n">
        <v>1.530397</v>
      </c>
    </row>
    <row r="2154" ht="15.75" customHeight="1" s="201">
      <c r="A2154" s="1" t="n">
        <v>53207000</v>
      </c>
      <c r="B2154" s="1" t="inlineStr">
        <is>
          <t>Cookie, chocolate or fudge (Includes chocolate cookie, NFS; chocolate-jelly cookies; with nuts; with chips)</t>
        </is>
      </c>
      <c r="C2154" s="1" t="n">
        <v>2</v>
      </c>
      <c r="D2154" s="1" t="inlineStr">
        <is>
          <t>Links to altEC</t>
        </is>
      </c>
      <c r="E2154" s="1" t="inlineStr">
        <is>
          <t>Base</t>
        </is>
      </c>
      <c r="F2154" s="1" t="n">
        <v>0.731811</v>
      </c>
    </row>
    <row r="2155" ht="15.75" customHeight="1" s="201">
      <c r="A2155" s="1" t="n">
        <v>53208000</v>
      </c>
      <c r="B2155" s="1" t="inlineStr">
        <is>
          <t>Cookie, marshmallow, chocolate-covered (Includes marshmallow puff; pinwheel; Fudge Marshmallow (Keebler))</t>
        </is>
      </c>
      <c r="C2155" s="1" t="n">
        <v>2</v>
      </c>
      <c r="D2155" s="1" t="inlineStr">
        <is>
          <t>Links to altEC</t>
        </is>
      </c>
      <c r="E2155" s="1" t="inlineStr">
        <is>
          <t>Base</t>
        </is>
      </c>
      <c r="F2155" s="1" t="n">
        <v>0.833767</v>
      </c>
    </row>
    <row r="2156" ht="15.75" customHeight="1" s="201">
      <c r="A2156" s="1" t="n">
        <v>53209005</v>
      </c>
      <c r="B2156" s="1" t="inlineStr">
        <is>
          <t>Cookie, chocolate, with icing or coating (Includes Grasshopper (Keebler); Keebler 100 Calorie Right Bites Grasshopper; Girl Scout Thin Mints; Little Debbie Fudge Rounds)</t>
        </is>
      </c>
      <c r="C2156" s="1" t="n">
        <v>1</v>
      </c>
      <c r="D2156" s="1" t="inlineStr">
        <is>
          <t>Links to FNDDS</t>
        </is>
      </c>
      <c r="E2156" s="1" t="inlineStr">
        <is>
          <t>Base</t>
        </is>
      </c>
      <c r="F2156" s="1" t="n">
        <v>0.863004</v>
      </c>
    </row>
    <row r="2157" ht="15.75" customHeight="1" s="201">
      <c r="A2157" s="1" t="n">
        <v>53209010</v>
      </c>
      <c r="B2157" s="1" t="inlineStr">
        <is>
          <t>Cookie, sugar wafer, chocolate-covered (Includes Little Debbie Fudge Crispy Bar; Little Debbie Cookie Bars with Caramel; Keebler Fudge Sticks; creme or caramel filled)</t>
        </is>
      </c>
      <c r="C2157" s="1" t="n">
        <v>1</v>
      </c>
      <c r="D2157" s="1" t="inlineStr">
        <is>
          <t>Links to FNDDS</t>
        </is>
      </c>
      <c r="E2157" s="1" t="inlineStr">
        <is>
          <t>Base</t>
        </is>
      </c>
      <c r="F2157" s="1" t="n">
        <v>0.959302</v>
      </c>
    </row>
    <row r="2158" ht="15.75" customHeight="1" s="201">
      <c r="A2158" s="1" t="n">
        <v>53209015</v>
      </c>
      <c r="B2158" s="1" t="inlineStr">
        <is>
          <t>Cookie, chocolate sandwich (Includes Oreo)</t>
        </is>
      </c>
      <c r="C2158" s="1" t="n">
        <v>1</v>
      </c>
      <c r="D2158" s="1" t="inlineStr">
        <is>
          <t>Links to FNDDS</t>
        </is>
      </c>
      <c r="E2158" s="1" t="inlineStr">
        <is>
          <t>Base</t>
        </is>
      </c>
      <c r="F2158" s="1" t="n">
        <v>0.7433689999999999</v>
      </c>
    </row>
    <row r="2159" ht="15.75" customHeight="1" s="201">
      <c r="A2159" s="1" t="n">
        <v>53209020</v>
      </c>
      <c r="B2159" s="1" t="inlineStr">
        <is>
          <t>Cookie, chocolate sandwich, reduced fat (Includes Reduced Fat Oreo Sandwich Cookies)</t>
        </is>
      </c>
      <c r="C2159" s="1" t="n">
        <v>1</v>
      </c>
      <c r="D2159" s="1" t="inlineStr">
        <is>
          <t>Links to FNDDS</t>
        </is>
      </c>
      <c r="E2159" s="1" t="inlineStr">
        <is>
          <t>Base</t>
        </is>
      </c>
      <c r="F2159" s="1" t="n">
        <v>2.168662</v>
      </c>
    </row>
    <row r="2160" ht="15.75" customHeight="1" s="201">
      <c r="A2160" s="1" t="n">
        <v>53209100</v>
      </c>
      <c r="B2160" s="1" t="inlineStr">
        <is>
          <t>Cookie, chocolate, sandwich, with extra filling (Includes Double Stuff Oreo; Fudge covered Oreos; chocolate sandwich with coating)</t>
        </is>
      </c>
      <c r="C2160" s="1" t="n">
        <v>1</v>
      </c>
      <c r="D2160" s="1" t="inlineStr">
        <is>
          <t>Links to FNDDS</t>
        </is>
      </c>
      <c r="E2160" s="1" t="inlineStr">
        <is>
          <t>Base</t>
        </is>
      </c>
      <c r="F2160" s="1" t="n">
        <v>0.6587229999999999</v>
      </c>
    </row>
    <row r="2161" ht="15.75" customHeight="1" s="201">
      <c r="A2161" s="1" t="n">
        <v>53209500</v>
      </c>
      <c r="B2161" s="1" t="inlineStr">
        <is>
          <t>Cookie, chocolate and vanilla sandwich (Includes sandwich cookie, NS as to type)</t>
        </is>
      </c>
      <c r="C2161" s="1" t="n">
        <v>1</v>
      </c>
      <c r="D2161" s="1" t="inlineStr">
        <is>
          <t>Links to FNDDS</t>
        </is>
      </c>
      <c r="E2161" s="1" t="inlineStr">
        <is>
          <t>Base</t>
        </is>
      </c>
      <c r="F2161" s="1" t="n">
        <v>0.306924</v>
      </c>
    </row>
    <row r="2162" ht="15.75" customHeight="1" s="201">
      <c r="A2162" s="1" t="n">
        <v>53210000</v>
      </c>
      <c r="B2162" s="1" t="inlineStr">
        <is>
          <t>Cookie, chocolate wafer (Includes chocolate snap; Famous Brand Cookie Wafers; 100 Calorie Oreo Thin Crisps)</t>
        </is>
      </c>
      <c r="C2162" s="1" t="n">
        <v>2</v>
      </c>
      <c r="D2162" s="1" t="inlineStr">
        <is>
          <t>Links to altEC</t>
        </is>
      </c>
      <c r="E2162" s="1" t="inlineStr">
        <is>
          <t>Base</t>
        </is>
      </c>
      <c r="F2162" s="1" t="n">
        <v>1.107756</v>
      </c>
    </row>
    <row r="2163" ht="15.75" customHeight="1" s="201">
      <c r="A2163" s="1" t="n">
        <v>53210900</v>
      </c>
      <c r="B2163" s="1" t="inlineStr">
        <is>
          <t>Cookie, graham cracker with chocolate and marshmallow (Includes Suddenly S'mores; homemade S'mores; Golden Grahams Treats bar)</t>
        </is>
      </c>
      <c r="C2163" s="1" t="n">
        <v>4</v>
      </c>
      <c r="D2163" s="1" t="inlineStr">
        <is>
          <t>FNDDS recipe with replaced or modified SR codes</t>
        </is>
      </c>
      <c r="E2163" s="1" t="inlineStr">
        <is>
          <t>Base</t>
        </is>
      </c>
      <c r="F2163" s="1" t="n">
        <v>0.93952</v>
      </c>
    </row>
    <row r="2164" ht="15.75" customHeight="1" s="201">
      <c r="A2164" s="1" t="n">
        <v>53215500</v>
      </c>
      <c r="B2164" s="1" t="inlineStr">
        <is>
          <t>Cookie, coconut (Includes with nuts)</t>
        </is>
      </c>
      <c r="C2164" s="1" t="n">
        <v>1</v>
      </c>
      <c r="D2164" s="1" t="inlineStr">
        <is>
          <t>Links to FNDDS</t>
        </is>
      </c>
      <c r="E2164" s="1" t="inlineStr">
        <is>
          <t>Base</t>
        </is>
      </c>
      <c r="F2164" s="1" t="n">
        <v>0.8657010000000001</v>
      </c>
    </row>
    <row r="2165" ht="15.75" customHeight="1" s="201">
      <c r="A2165" s="1" t="n">
        <v>53220030</v>
      </c>
      <c r="B2165" s="1" t="inlineStr">
        <is>
          <t>Cookie, fig bar (Includes Fig Newton; Little Debbie Fig Bars; Newton Minis; date bar)</t>
        </is>
      </c>
      <c r="C2165" s="1" t="n">
        <v>1</v>
      </c>
      <c r="D2165" s="1" t="inlineStr">
        <is>
          <t>Links to FNDDS</t>
        </is>
      </c>
      <c r="E2165" s="1" t="inlineStr">
        <is>
          <t>Base</t>
        </is>
      </c>
      <c r="F2165" s="1" t="n">
        <v>0.833813</v>
      </c>
    </row>
    <row r="2166" ht="15.75" customHeight="1" s="201">
      <c r="A2166" s="1" t="n">
        <v>53220040</v>
      </c>
      <c r="B2166" s="1" t="inlineStr">
        <is>
          <t>Cookie, fig bar, fat free (Includes Nabisco Fat Free Fig Newtons)</t>
        </is>
      </c>
      <c r="C2166" s="1" t="n">
        <v>2</v>
      </c>
      <c r="D2166" s="1" t="inlineStr">
        <is>
          <t>Links to altEC</t>
        </is>
      </c>
      <c r="E2166" s="1" t="inlineStr">
        <is>
          <t>Base</t>
        </is>
      </c>
      <c r="F2166" s="1" t="n">
        <v>0.833813</v>
      </c>
    </row>
    <row r="2167" ht="15.75" customHeight="1" s="201">
      <c r="A2167" s="1" t="n">
        <v>53222010</v>
      </c>
      <c r="B2167" s="1" t="inlineStr">
        <is>
          <t>Cookie, fortune</t>
        </is>
      </c>
      <c r="C2167" s="1" t="n">
        <v>1</v>
      </c>
      <c r="D2167" s="1" t="inlineStr">
        <is>
          <t>Links to FNDDS</t>
        </is>
      </c>
      <c r="E2167" s="1" t="inlineStr">
        <is>
          <t>Base</t>
        </is>
      </c>
      <c r="F2167" s="1" t="n">
        <v>1.859899</v>
      </c>
    </row>
    <row r="2168" ht="15.75" customHeight="1" s="201">
      <c r="A2168" s="1" t="n">
        <v>53222020</v>
      </c>
      <c r="B2168" s="1" t="inlineStr">
        <is>
          <t>Cookie, cone shell, ice cream type, wafer or cake (Includes cone shell, NFS)</t>
        </is>
      </c>
      <c r="C2168" s="1" t="n">
        <v>2</v>
      </c>
      <c r="D2168" s="1" t="inlineStr">
        <is>
          <t>Links to altEC</t>
        </is>
      </c>
      <c r="E2168" s="1" t="inlineStr">
        <is>
          <t>Base</t>
        </is>
      </c>
      <c r="F2168" s="1" t="n">
        <v>1.819221</v>
      </c>
    </row>
    <row r="2169" ht="15.75" customHeight="1" s="201">
      <c r="A2169" s="1" t="n">
        <v>53223100</v>
      </c>
      <c r="B2169" s="1" t="inlineStr">
        <is>
          <t>Cookie, granola (Includes Pepperidge Farm Granola)</t>
        </is>
      </c>
      <c r="C2169" s="1" t="n">
        <v>2</v>
      </c>
      <c r="D2169" s="1" t="inlineStr">
        <is>
          <t>Links to altEC</t>
        </is>
      </c>
      <c r="E2169" s="1" t="inlineStr">
        <is>
          <t>Base</t>
        </is>
      </c>
      <c r="F2169" s="1" t="n">
        <v>1.504903</v>
      </c>
    </row>
    <row r="2170" ht="15.75" customHeight="1" s="201">
      <c r="A2170" s="1" t="n">
        <v>53224000</v>
      </c>
      <c r="B2170" s="1" t="inlineStr">
        <is>
          <t>Cookie, ladyfinger (Includes anisette sponge; Stella D'Oro Egg Jumbo; Stella D'Oro Breakfast Treat)</t>
        </is>
      </c>
      <c r="C2170" s="1" t="n">
        <v>1</v>
      </c>
      <c r="D2170" s="1" t="inlineStr">
        <is>
          <t>Links to FNDDS</t>
        </is>
      </c>
      <c r="E2170" s="1" t="inlineStr">
        <is>
          <t>Base</t>
        </is>
      </c>
      <c r="F2170" s="1" t="n">
        <v>1.321149</v>
      </c>
    </row>
    <row r="2171" ht="15.75" customHeight="1" s="201">
      <c r="A2171" s="1" t="n">
        <v>53224250</v>
      </c>
      <c r="B2171" s="1" t="inlineStr">
        <is>
          <t>Cookie, lemon bar</t>
        </is>
      </c>
      <c r="C2171" s="1" t="n">
        <v>1</v>
      </c>
      <c r="D2171" s="1" t="inlineStr">
        <is>
          <t>Links to FNDDS</t>
        </is>
      </c>
      <c r="E2171" s="1" t="inlineStr">
        <is>
          <t>Base</t>
        </is>
      </c>
      <c r="F2171" s="1" t="n">
        <v>1.382802</v>
      </c>
    </row>
    <row r="2172" ht="15.75" customHeight="1" s="201">
      <c r="A2172" s="1" t="n">
        <v>53225000</v>
      </c>
      <c r="B2172" s="1" t="inlineStr">
        <is>
          <t>Cookie, macaroon (Includes coconut-meringue type)</t>
        </is>
      </c>
      <c r="C2172" s="1" t="n">
        <v>1</v>
      </c>
      <c r="D2172" s="1" t="inlineStr">
        <is>
          <t>Links to FNDDS</t>
        </is>
      </c>
      <c r="E2172" s="1" t="inlineStr">
        <is>
          <t>Base</t>
        </is>
      </c>
      <c r="F2172" s="1" t="n">
        <v>1.449537</v>
      </c>
    </row>
    <row r="2173" ht="15.75" customHeight="1" s="201">
      <c r="A2173" s="1" t="n">
        <v>53226000</v>
      </c>
      <c r="B2173" s="1" t="inlineStr">
        <is>
          <t>Cookie, marshmallow, with coconut</t>
        </is>
      </c>
      <c r="C2173" s="1" t="n">
        <v>1</v>
      </c>
      <c r="D2173" s="1" t="inlineStr">
        <is>
          <t>Links to FNDDS</t>
        </is>
      </c>
      <c r="E2173" s="1" t="inlineStr">
        <is>
          <t>Base</t>
        </is>
      </c>
      <c r="F2173" s="1" t="n">
        <v>0.643691</v>
      </c>
    </row>
    <row r="2174" ht="15.75" customHeight="1" s="201">
      <c r="A2174" s="1" t="n">
        <v>53226500</v>
      </c>
      <c r="B2174" s="1" t="inlineStr">
        <is>
          <t>Cookie, marshmallow, with rice cereal, no bake (Includes rice Krispies Treats bar cookie)</t>
        </is>
      </c>
      <c r="C2174" s="1" t="n">
        <v>1</v>
      </c>
      <c r="D2174" s="1" t="inlineStr">
        <is>
          <t>Links to FNDDS</t>
        </is>
      </c>
      <c r="E2174" s="1" t="inlineStr">
        <is>
          <t>Base</t>
        </is>
      </c>
      <c r="F2174" s="1" t="n">
        <v>1.124654</v>
      </c>
    </row>
    <row r="2175" ht="15.75" customHeight="1" s="201">
      <c r="A2175" s="1" t="n">
        <v>53226550</v>
      </c>
      <c r="B2175" s="1" t="inlineStr">
        <is>
          <t>Cookie, marshmallow, with rice cereal and chocolate chips (Includes Campfire Chocolate Chip Marshmallow Munchie; chocolate Rice Krispies Treat bar)</t>
        </is>
      </c>
      <c r="C2175" s="1" t="n">
        <v>2</v>
      </c>
      <c r="D2175" s="1" t="inlineStr">
        <is>
          <t>Links to altEC</t>
        </is>
      </c>
      <c r="E2175" s="1" t="inlineStr">
        <is>
          <t>Base</t>
        </is>
      </c>
      <c r="F2175" s="1" t="n">
        <v>1.124654</v>
      </c>
    </row>
    <row r="2176" ht="15.75" customHeight="1" s="201">
      <c r="A2176" s="1" t="n">
        <v>53230000</v>
      </c>
      <c r="B2176" s="1" t="inlineStr">
        <is>
          <t>Cookie, molasses (Includes hermits; gingerbread man; Little Debbie Ginger Cookies)</t>
        </is>
      </c>
      <c r="C2176" s="1" t="n">
        <v>1</v>
      </c>
      <c r="D2176" s="1" t="inlineStr">
        <is>
          <t>Links to FNDDS</t>
        </is>
      </c>
      <c r="E2176" s="1" t="inlineStr">
        <is>
          <t>Base</t>
        </is>
      </c>
      <c r="F2176" s="1" t="n">
        <v>1.046484</v>
      </c>
    </row>
    <row r="2177" ht="15.75" customHeight="1" s="201">
      <c r="A2177" s="1" t="n">
        <v>53231400</v>
      </c>
      <c r="B2177" s="1" t="inlineStr">
        <is>
          <t>Cookie, multigrain, high fiber (Includes Fibbers High Fiber Cookies)</t>
        </is>
      </c>
      <c r="C2177" s="1" t="n">
        <v>1</v>
      </c>
      <c r="D2177" s="1" t="inlineStr">
        <is>
          <t>Links to FNDDS</t>
        </is>
      </c>
      <c r="E2177" s="1" t="inlineStr">
        <is>
          <t>Base</t>
        </is>
      </c>
      <c r="F2177" s="1" t="n">
        <v>1.504903</v>
      </c>
    </row>
    <row r="2178" ht="15.75" customHeight="1" s="201">
      <c r="A2178" s="1" t="n">
        <v>53233000</v>
      </c>
      <c r="B2178" s="1" t="inlineStr">
        <is>
          <t>Cookie, oatmeal (Includes with or without icing)</t>
        </is>
      </c>
      <c r="C2178" s="1" t="n">
        <v>2</v>
      </c>
      <c r="D2178" s="1" t="inlineStr">
        <is>
          <t>Links to altEC</t>
        </is>
      </c>
      <c r="E2178" s="1" t="inlineStr">
        <is>
          <t>Base</t>
        </is>
      </c>
      <c r="F2178" s="1" t="n">
        <v>0.858086</v>
      </c>
    </row>
    <row r="2179" ht="15.75" customHeight="1" s="201">
      <c r="A2179" s="1" t="n">
        <v>53233010</v>
      </c>
      <c r="B2179" s="1" t="inlineStr">
        <is>
          <t>Cookie, oatmeal, with raisins (Includes with dates; with nuts; Tastykake Oatmeal Raisin Bars; with fruit filling; with or without icing)</t>
        </is>
      </c>
      <c r="C2179" s="1" t="n">
        <v>1</v>
      </c>
      <c r="D2179" s="1" t="inlineStr">
        <is>
          <t>Links to FNDDS</t>
        </is>
      </c>
      <c r="E2179" s="1" t="inlineStr">
        <is>
          <t>Base</t>
        </is>
      </c>
      <c r="F2179" s="1" t="n">
        <v>0.858086</v>
      </c>
    </row>
    <row r="2180" ht="15.75" customHeight="1" s="201">
      <c r="A2180" s="1" t="n">
        <v>53233040</v>
      </c>
      <c r="B2180" s="1" t="inlineStr">
        <is>
          <t>Cookie, oatmeal, reduced fat, NS as to raisins (Includes fat free oatmeal)</t>
        </is>
      </c>
      <c r="C2180" s="1" t="n">
        <v>2</v>
      </c>
      <c r="D2180" s="1" t="inlineStr">
        <is>
          <t>Links to altEC</t>
        </is>
      </c>
      <c r="E2180" s="1" t="inlineStr">
        <is>
          <t>Base</t>
        </is>
      </c>
      <c r="F2180" s="1" t="n">
        <v>0.858086</v>
      </c>
    </row>
    <row r="2181" ht="15.75" customHeight="1" s="201">
      <c r="A2181" s="1" t="n">
        <v>53233050</v>
      </c>
      <c r="B2181" s="1" t="inlineStr">
        <is>
          <t>Cookie, oatmeal sandwich, with creme filling (Includes Little Debbie Oatmeal Creme Pie)</t>
        </is>
      </c>
      <c r="C2181" s="1" t="n">
        <v>1</v>
      </c>
      <c r="D2181" s="1" t="inlineStr">
        <is>
          <t>Links to FNDDS</t>
        </is>
      </c>
      <c r="E2181" s="1" t="inlineStr">
        <is>
          <t>Base</t>
        </is>
      </c>
      <c r="F2181" s="1" t="n">
        <v>0.376699</v>
      </c>
    </row>
    <row r="2182" ht="15.75" customHeight="1" s="201">
      <c r="A2182" s="1" t="n">
        <v>53233100</v>
      </c>
      <c r="B2182" s="1" t="inlineStr">
        <is>
          <t>Cookie, oatmeal, with chocolate and peanut butter, no bake</t>
        </is>
      </c>
      <c r="C2182" s="1" t="n">
        <v>2</v>
      </c>
      <c r="D2182" s="1" t="inlineStr">
        <is>
          <t>Links to altEC</t>
        </is>
      </c>
      <c r="E2182" s="1" t="inlineStr">
        <is>
          <t>Base</t>
        </is>
      </c>
      <c r="F2182" s="1" t="n">
        <v>0.909091</v>
      </c>
    </row>
    <row r="2183" ht="15.75" customHeight="1" s="201">
      <c r="A2183" s="1" t="n">
        <v>53234000</v>
      </c>
      <c r="B2183" s="1" t="inlineStr">
        <is>
          <t>Cookie, peanut butter (Includes peanut butter wafers)</t>
        </is>
      </c>
      <c r="C2183" s="1" t="n">
        <v>1</v>
      </c>
      <c r="D2183" s="1" t="inlineStr">
        <is>
          <t>Links to FNDDS</t>
        </is>
      </c>
      <c r="E2183" s="1" t="inlineStr">
        <is>
          <t>Base</t>
        </is>
      </c>
      <c r="F2183" s="1" t="n">
        <v>0.811848</v>
      </c>
    </row>
    <row r="2184" ht="15.75" customHeight="1" s="201">
      <c r="A2184" s="1" t="n">
        <v>53234100</v>
      </c>
      <c r="B2184" s="1" t="inlineStr">
        <is>
          <t>Cookie, peanut butter, with chocolate (Includes chocolate covered Nutter Butter; peanut cookie with icing)</t>
        </is>
      </c>
      <c r="C2184" s="1" t="n">
        <v>1</v>
      </c>
      <c r="D2184" s="1" t="inlineStr">
        <is>
          <t>Links to FNDDS</t>
        </is>
      </c>
      <c r="E2184" s="1" t="inlineStr">
        <is>
          <t>Base</t>
        </is>
      </c>
      <c r="F2184" s="1" t="n">
        <v>0.870414</v>
      </c>
    </row>
    <row r="2185" ht="15.75" customHeight="1" s="201">
      <c r="A2185" s="1" t="n">
        <v>53235000</v>
      </c>
      <c r="B2185" s="1" t="inlineStr">
        <is>
          <t>Cookie, peanut butter sandwich (Includes chocolate peanut bar; peanut sandwich cookie; Nutter Butter (Nabisco); Girl Scout Do-si-dos; with oatmeal)</t>
        </is>
      </c>
      <c r="C2185" s="1" t="n">
        <v>1</v>
      </c>
      <c r="D2185" s="1" t="inlineStr">
        <is>
          <t>Links to FNDDS</t>
        </is>
      </c>
      <c r="E2185" s="1" t="inlineStr">
        <is>
          <t>Base</t>
        </is>
      </c>
      <c r="F2185" s="1" t="n">
        <v>0.814746</v>
      </c>
    </row>
    <row r="2186" ht="15.75" customHeight="1" s="201">
      <c r="A2186" s="1" t="n">
        <v>53235500</v>
      </c>
      <c r="B2186" s="1" t="inlineStr">
        <is>
          <t>Cookie, with peanut butter filling, chocolate-coated (Includes Girl Scout Tagalong Peanut Butter Patty; Little Debbie Nutty Bar; Lance Peanut Butter Creme Filled Wafer)</t>
        </is>
      </c>
      <c r="C2186" s="1" t="n">
        <v>1</v>
      </c>
      <c r="D2186" s="1" t="inlineStr">
        <is>
          <t>Links to FNDDS</t>
        </is>
      </c>
      <c r="E2186" s="1" t="inlineStr">
        <is>
          <t>Base</t>
        </is>
      </c>
      <c r="F2186" s="1" t="n">
        <v>0.5114610000000001</v>
      </c>
    </row>
    <row r="2187" ht="15.75" customHeight="1" s="201">
      <c r="A2187" s="1" t="n">
        <v>53237010</v>
      </c>
      <c r="B2187" s="1" t="inlineStr">
        <is>
          <t>Cookie, raisin sandwich, cream-filled (Includes Little Debbie Raisin Creme Pie)</t>
        </is>
      </c>
      <c r="C2187" s="1" t="n">
        <v>2</v>
      </c>
      <c r="D2187" s="1" t="inlineStr">
        <is>
          <t>Links to altEC</t>
        </is>
      </c>
      <c r="E2187" s="1" t="inlineStr">
        <is>
          <t>Base</t>
        </is>
      </c>
      <c r="F2187" s="1" t="n">
        <v>0.376699</v>
      </c>
    </row>
    <row r="2188" ht="15.75" customHeight="1" s="201">
      <c r="A2188" s="1" t="n">
        <v>53238000</v>
      </c>
      <c r="B2188" s="1" t="inlineStr">
        <is>
          <t>Cookie, sandwich-type, not chocolate or vanilla (Includes banana cream-filled; Girl Scout Lemon Chalet Cremes)</t>
        </is>
      </c>
      <c r="C2188" s="1" t="n">
        <v>1</v>
      </c>
      <c r="D2188" s="1" t="inlineStr">
        <is>
          <t>Links to FNDDS</t>
        </is>
      </c>
      <c r="E2188" s="1" t="inlineStr">
        <is>
          <t>Base</t>
        </is>
      </c>
      <c r="F2188" s="1" t="n">
        <v>0.454899</v>
      </c>
    </row>
    <row r="2189" ht="15.75" customHeight="1" s="201">
      <c r="A2189" s="1" t="n">
        <v>53239000</v>
      </c>
      <c r="B2189" s="1" t="inlineStr">
        <is>
          <t>Cookie, shortbread (Includes Lorna Doone; Pecan Sandies; Greek cookies; Girl Scout Trefoils)</t>
        </is>
      </c>
      <c r="C2189" s="1" t="n">
        <v>1</v>
      </c>
      <c r="D2189" s="1" t="inlineStr">
        <is>
          <t>Links to FNDDS</t>
        </is>
      </c>
      <c r="E2189" s="1" t="inlineStr">
        <is>
          <t>Base</t>
        </is>
      </c>
      <c r="F2189" s="1" t="n">
        <v>1.050138</v>
      </c>
    </row>
    <row r="2190" ht="15.75" customHeight="1" s="201">
      <c r="A2190" s="1" t="n">
        <v>53239010</v>
      </c>
      <c r="B2190" s="1" t="inlineStr">
        <is>
          <t>Cookie, shortbread, reduced fat (Includes Reduced Fat Pecan Sandies; Keebler 100 Calorie Right Bites Sandies Shortbread Cookies; Nabisco 100 Calorie Lorna Doone Shortbread Cookie Crisps; butter or sugar cookie; low fat)</t>
        </is>
      </c>
      <c r="C2190" s="1" t="n">
        <v>1</v>
      </c>
      <c r="D2190" s="1" t="inlineStr">
        <is>
          <t>Links to FNDDS</t>
        </is>
      </c>
      <c r="E2190" s="1" t="inlineStr">
        <is>
          <t>Base</t>
        </is>
      </c>
      <c r="F2190" s="1" t="n">
        <v>2.387791</v>
      </c>
    </row>
    <row r="2191" ht="15.75" customHeight="1" s="201">
      <c r="A2191" s="1" t="n">
        <v>53239050</v>
      </c>
      <c r="B2191" s="1" t="inlineStr">
        <is>
          <t>Cookie, shortbread, with icing or filling (Includes Keebler Middles, all flavors; Berger Cookies; Girl Scout Lemonades; Girl Scout Lemon Chalet Cremes)</t>
        </is>
      </c>
      <c r="C2191" s="1" t="n">
        <v>2</v>
      </c>
      <c r="D2191" s="1" t="inlineStr">
        <is>
          <t>Links to altEC</t>
        </is>
      </c>
      <c r="E2191" s="1" t="inlineStr">
        <is>
          <t>Base</t>
        </is>
      </c>
      <c r="F2191" s="1" t="n">
        <v>0.97862</v>
      </c>
    </row>
    <row r="2192" ht="15.75" customHeight="1" s="201">
      <c r="A2192" s="1" t="n">
        <v>53239100</v>
      </c>
      <c r="B2192" s="1" t="inlineStr">
        <is>
          <t>Pocky (Includes biscuit sticks, coated; all flavors; Japanese snack)</t>
        </is>
      </c>
      <c r="C2192" s="1" t="n">
        <v>1</v>
      </c>
      <c r="D2192" s="1" t="inlineStr">
        <is>
          <t>Links to FNDDS</t>
        </is>
      </c>
      <c r="E2192" s="1" t="inlineStr">
        <is>
          <t>Base</t>
        </is>
      </c>
      <c r="F2192" s="1" t="n">
        <v>3.083747</v>
      </c>
    </row>
    <row r="2193" ht="15.75" customHeight="1" s="201">
      <c r="A2193" s="1" t="n">
        <v>53240000</v>
      </c>
      <c r="B2193" s="1" t="inlineStr">
        <is>
          <t>Cookie, animal (Includes animal cracker; sweet crackers, NFS; Arrowroot cookie or biscuit; animal crackers labeled as "lowfat")</t>
        </is>
      </c>
      <c r="C2193" s="1" t="n">
        <v>1</v>
      </c>
      <c r="D2193" s="1" t="inlineStr">
        <is>
          <t>Links to FNDDS</t>
        </is>
      </c>
      <c r="E2193" s="1" t="inlineStr">
        <is>
          <t>Base</t>
        </is>
      </c>
      <c r="F2193" s="1" t="n">
        <v>0.50512</v>
      </c>
    </row>
    <row r="2194" ht="15.75" customHeight="1" s="201">
      <c r="A2194" s="1" t="n">
        <v>53240010</v>
      </c>
      <c r="B2194" s="1" t="inlineStr">
        <is>
          <t>Cookie, animal, with frosting or icing (Includes Keebler Iced or Frosted Animal Cookies; iced animal crackers)</t>
        </is>
      </c>
      <c r="C2194" s="1" t="n">
        <v>1</v>
      </c>
      <c r="D2194" s="1" t="inlineStr">
        <is>
          <t>Links to FNDDS</t>
        </is>
      </c>
      <c r="E2194" s="1" t="inlineStr">
        <is>
          <t>Base</t>
        </is>
      </c>
      <c r="F2194" s="1" t="n">
        <v>0.720383</v>
      </c>
    </row>
    <row r="2195" ht="15.75" customHeight="1" s="201">
      <c r="A2195" s="1" t="n">
        <v>53241500</v>
      </c>
      <c r="B2195" s="1" t="inlineStr">
        <is>
          <t>Cookie, butter or sugar (Includes jelly topped; sesame cookies; wedding cookies; Social Tea Biscuits (Nabisco); Pepperidge Farm Bordeaux; Pepperidge Farm Chessman; Pepperidge Farm Pirouette; Vanilla Margherite (Stella D'Oro); Snickerdoodles; butterfly wings; Lemon Cooler; tea cakes; Russian tea cakes)</t>
        </is>
      </c>
      <c r="C2195" s="1" t="n">
        <v>1</v>
      </c>
      <c r="D2195" s="1" t="inlineStr">
        <is>
          <t>Links to FNDDS</t>
        </is>
      </c>
      <c r="E2195" s="1" t="inlineStr">
        <is>
          <t>Base</t>
        </is>
      </c>
      <c r="F2195" s="1" t="n">
        <v>0.924448</v>
      </c>
    </row>
    <row r="2196" ht="15.75" customHeight="1" s="201">
      <c r="A2196" s="1" t="n">
        <v>53241510</v>
      </c>
      <c r="B2196" s="1" t="inlineStr">
        <is>
          <t>Marie biscuit (Includes Rich tea biscuit; Maria)</t>
        </is>
      </c>
      <c r="C2196" s="1" t="n">
        <v>2</v>
      </c>
      <c r="D2196" s="1" t="inlineStr">
        <is>
          <t>Links to altEC</t>
        </is>
      </c>
      <c r="E2196" s="1" t="inlineStr">
        <is>
          <t>Base</t>
        </is>
      </c>
      <c r="F2196" s="1" t="n">
        <v>0.885949</v>
      </c>
    </row>
    <row r="2197" ht="15.75" customHeight="1" s="201">
      <c r="A2197" s="1" t="n">
        <v>53241600</v>
      </c>
      <c r="B2197" s="1" t="inlineStr">
        <is>
          <t>Cookie, butter or sugar, with fruit and/or nuts (Includes with coconut; Pepperidge Farm Distinctive Chantilly; Pepperidge Farm Cappucino)</t>
        </is>
      </c>
      <c r="C2197" s="1" t="n">
        <v>1</v>
      </c>
      <c r="D2197" s="1" t="inlineStr">
        <is>
          <t>Links to FNDDS</t>
        </is>
      </c>
      <c r="E2197" s="1" t="inlineStr">
        <is>
          <t>Base</t>
        </is>
      </c>
      <c r="F2197" s="1" t="n">
        <v>0.68049</v>
      </c>
    </row>
    <row r="2198" ht="15.75" customHeight="1" s="201">
      <c r="A2198" s="1" t="n">
        <v>53242000</v>
      </c>
      <c r="B2198" s="1" t="inlineStr">
        <is>
          <t>Cookie, sugar wafer (Includes vanilla cream wafers; strawberry cream wafers; chocolate cream wafers; all flavors)</t>
        </is>
      </c>
      <c r="C2198" s="1" t="n">
        <v>1</v>
      </c>
      <c r="D2198" s="1" t="inlineStr">
        <is>
          <t>Links to FNDDS</t>
        </is>
      </c>
      <c r="E2198" s="1" t="inlineStr">
        <is>
          <t>Base</t>
        </is>
      </c>
      <c r="F2198" s="1" t="n">
        <v>0.811891</v>
      </c>
    </row>
    <row r="2199" ht="15.75" customHeight="1" s="201">
      <c r="A2199" s="1" t="n">
        <v>53243000</v>
      </c>
      <c r="B2199" s="1" t="inlineStr">
        <is>
          <t>Cookie, vanilla sandwich (Includes Vienna Fingers; Cameos; butter sandwich cookie; Golden Oreos; Keebler EL Fudge (Elfin) sanwich cookie)</t>
        </is>
      </c>
      <c r="C2199" s="1" t="n">
        <v>1</v>
      </c>
      <c r="D2199" s="1" t="inlineStr">
        <is>
          <t>Links to FNDDS</t>
        </is>
      </c>
      <c r="E2199" s="1" t="inlineStr">
        <is>
          <t>Base</t>
        </is>
      </c>
      <c r="F2199" s="1" t="n">
        <v>0.609004</v>
      </c>
    </row>
    <row r="2200" ht="15.75" customHeight="1" s="201">
      <c r="A2200" s="1" t="n">
        <v>53243050</v>
      </c>
      <c r="B2200" s="1" t="inlineStr">
        <is>
          <t>Cookie, vanilla sandwich, reduced fat (Includes Nabisco Snackwell's Creme Sandwich cookies; Reduced Fat Vienna Fingers)</t>
        </is>
      </c>
      <c r="C2200" s="1" t="n">
        <v>1</v>
      </c>
      <c r="D2200" s="1" t="inlineStr">
        <is>
          <t>Links to FNDDS</t>
        </is>
      </c>
      <c r="E2200" s="1" t="inlineStr">
        <is>
          <t>Base</t>
        </is>
      </c>
      <c r="F2200" s="1" t="n">
        <v>2.165996</v>
      </c>
    </row>
    <row r="2201" ht="15.75" customHeight="1" s="201">
      <c r="A2201" s="1" t="n">
        <v>53244010</v>
      </c>
      <c r="B2201" s="1" t="inlineStr">
        <is>
          <t>Cookie, butter or sugar, with chocolate icing or filling (Includes Brussels Mint (Pepperidge Farm); Milano (Pepperidge Farm); Geneva (Pepperidge Farm); Keebler Fudge Stripes)</t>
        </is>
      </c>
      <c r="C2201" s="1" t="n">
        <v>1</v>
      </c>
      <c r="D2201" s="1" t="inlineStr">
        <is>
          <t>Links to FNDDS</t>
        </is>
      </c>
      <c r="E2201" s="1" t="inlineStr">
        <is>
          <t>Base</t>
        </is>
      </c>
      <c r="F2201" s="1" t="n">
        <v>1.137292</v>
      </c>
    </row>
    <row r="2202" ht="15.75" customHeight="1" s="201">
      <c r="A2202" s="1" t="n">
        <v>53244020</v>
      </c>
      <c r="B2202" s="1" t="inlineStr">
        <is>
          <t>Cookie, butter or sugar, with icing or filling other than chocolate (Includes spice and other flavors; Nabisco's Made'em Myself Ready to Decorate Cookies)</t>
        </is>
      </c>
      <c r="C2202" s="1" t="n">
        <v>1</v>
      </c>
      <c r="D2202" s="1" t="inlineStr">
        <is>
          <t>Links to FNDDS</t>
        </is>
      </c>
      <c r="E2202" s="1" t="inlineStr">
        <is>
          <t>Base</t>
        </is>
      </c>
      <c r="F2202" s="1" t="n">
        <v>0.918451</v>
      </c>
    </row>
    <row r="2203" ht="15.75" customHeight="1" s="201">
      <c r="A2203" s="1" t="n">
        <v>53247000</v>
      </c>
      <c r="B2203" s="1" t="inlineStr">
        <is>
          <t>Cookie, vanilla wafer (Includes vanilla cookie, NS as to type; wafer, NS as to type; Nabisco Nilla Wafers)</t>
        </is>
      </c>
      <c r="C2203" s="1" t="n">
        <v>1</v>
      </c>
      <c r="D2203" s="1" t="inlineStr">
        <is>
          <t>Links to FNDDS</t>
        </is>
      </c>
      <c r="E2203" s="1" t="inlineStr">
        <is>
          <t>Base</t>
        </is>
      </c>
      <c r="F2203" s="1" t="n">
        <v>0.949678</v>
      </c>
    </row>
    <row r="2204" ht="15.75" customHeight="1" s="201">
      <c r="A2204" s="1" t="n">
        <v>53247050</v>
      </c>
      <c r="B2204" s="1" t="inlineStr">
        <is>
          <t>Cookie, vanilla wafer, reduced fat (Includes Reduced Fat Nilla Wafers)</t>
        </is>
      </c>
      <c r="C2204" s="1" t="n">
        <v>2</v>
      </c>
      <c r="D2204" s="1" t="inlineStr">
        <is>
          <t>Links to altEC</t>
        </is>
      </c>
      <c r="E2204" s="1" t="inlineStr">
        <is>
          <t>Base</t>
        </is>
      </c>
      <c r="F2204" s="1" t="n">
        <v>0.949678</v>
      </c>
    </row>
    <row r="2205" ht="15.75" customHeight="1" s="201">
      <c r="A2205" s="1" t="n">
        <v>53247500</v>
      </c>
      <c r="B2205" s="1" t="inlineStr">
        <is>
          <t>Cookie, vanilla with caramel, coconut, and chocolate coating (Includes Girl Scout Samoas or Caramel deLites)</t>
        </is>
      </c>
      <c r="C2205" s="1" t="n">
        <v>1</v>
      </c>
      <c r="D2205" s="1" t="inlineStr">
        <is>
          <t>Links to FNDDS</t>
        </is>
      </c>
      <c r="E2205" s="1" t="inlineStr">
        <is>
          <t>Base</t>
        </is>
      </c>
      <c r="F2205" s="1" t="n">
        <v>0.971514</v>
      </c>
    </row>
    <row r="2206" ht="15.75" customHeight="1" s="201">
      <c r="A2206" s="1" t="n">
        <v>53260030</v>
      </c>
      <c r="B2206" s="1" t="inlineStr">
        <is>
          <t>Cookie, chocolate chip, sugar free (Includes Murray Sugar Free Cookies; with nuts; white chocolate)</t>
        </is>
      </c>
      <c r="C2206" s="1" t="n">
        <v>1</v>
      </c>
      <c r="D2206" s="1" t="inlineStr">
        <is>
          <t>Links to FNDDS</t>
        </is>
      </c>
      <c r="E2206" s="1" t="inlineStr">
        <is>
          <t>Base</t>
        </is>
      </c>
      <c r="F2206" s="1" t="n">
        <v>1.427501</v>
      </c>
    </row>
    <row r="2207" ht="15.75" customHeight="1" s="201">
      <c r="A2207" s="1" t="n">
        <v>53260200</v>
      </c>
      <c r="B2207" s="1" t="inlineStr">
        <is>
          <t>Cookie, oatmeal, sugar free (Includes Murray Sugar Free Cookies; with raisins)</t>
        </is>
      </c>
      <c r="C2207" s="1" t="n">
        <v>2</v>
      </c>
      <c r="D2207" s="1" t="inlineStr">
        <is>
          <t>Links to altEC</t>
        </is>
      </c>
      <c r="E2207" s="1" t="inlineStr">
        <is>
          <t>Base</t>
        </is>
      </c>
      <c r="F2207" s="1" t="n">
        <v>0.930903</v>
      </c>
    </row>
    <row r="2208" ht="15.75" customHeight="1" s="201">
      <c r="A2208" s="1" t="n">
        <v>53260300</v>
      </c>
      <c r="B2208" s="1" t="inlineStr">
        <is>
          <t>Cookie, sandwich, sugar free (Includes Murray Sugar Free Cookies)</t>
        </is>
      </c>
      <c r="C2208" s="1" t="n">
        <v>1</v>
      </c>
      <c r="D2208" s="1" t="inlineStr">
        <is>
          <t>Links to FNDDS</t>
        </is>
      </c>
      <c r="E2208" s="1" t="inlineStr">
        <is>
          <t>Base</t>
        </is>
      </c>
      <c r="F2208" s="1" t="n">
        <v>1.557479</v>
      </c>
    </row>
    <row r="2209" ht="15.75" customHeight="1" s="201">
      <c r="A2209" s="1" t="n">
        <v>53260400</v>
      </c>
      <c r="B2209" s="1" t="inlineStr">
        <is>
          <t>Cookie, sugar or plain, sugar free (Includes Murray Sugar Free Cookies)</t>
        </is>
      </c>
      <c r="C2209" s="1" t="n">
        <v>1</v>
      </c>
      <c r="D2209" s="1" t="inlineStr">
        <is>
          <t>Links to FNDDS</t>
        </is>
      </c>
      <c r="E2209" s="1" t="inlineStr">
        <is>
          <t>Base</t>
        </is>
      </c>
      <c r="F2209" s="1" t="n">
        <v>1.291601</v>
      </c>
    </row>
    <row r="2210" ht="15.75" customHeight="1" s="201">
      <c r="A2210" s="1" t="n">
        <v>53260500</v>
      </c>
      <c r="B2210" s="1" t="inlineStr">
        <is>
          <t>Cookie, sugar wafer, sugar free (Includes Murray Sugar Free Wafers Vanilla Creme; all flavors)</t>
        </is>
      </c>
      <c r="C2210" s="1" t="n">
        <v>1</v>
      </c>
      <c r="D2210" s="1" t="inlineStr">
        <is>
          <t>Links to FNDDS</t>
        </is>
      </c>
      <c r="E2210" s="1" t="inlineStr">
        <is>
          <t>Base</t>
        </is>
      </c>
      <c r="F2210" s="1" t="n">
        <v>1.082933</v>
      </c>
    </row>
    <row r="2211" ht="15.75" customHeight="1" s="201">
      <c r="A2211" s="1" t="n">
        <v>53260600</v>
      </c>
      <c r="B2211" s="1" t="inlineStr">
        <is>
          <t>Cookie, peanut butter, sugar free (Includes Murray Sugar Free Cookies)</t>
        </is>
      </c>
      <c r="C2211" s="1" t="n">
        <v>2</v>
      </c>
      <c r="D2211" s="1" t="inlineStr">
        <is>
          <t>Links to altEC</t>
        </is>
      </c>
      <c r="E2211" s="1" t="inlineStr">
        <is>
          <t>Base</t>
        </is>
      </c>
      <c r="F2211" s="1" t="n">
        <v>0.947867</v>
      </c>
    </row>
    <row r="2212" ht="15.75" customHeight="1" s="201">
      <c r="A2212" s="1" t="n">
        <v>53261000</v>
      </c>
      <c r="B2212" s="1" t="inlineStr">
        <is>
          <t>Cookie, gluten free (Includes any type)</t>
        </is>
      </c>
      <c r="C2212" s="1" t="n">
        <v>1</v>
      </c>
      <c r="D2212" s="1" t="inlineStr">
        <is>
          <t>Links to FNDDS</t>
        </is>
      </c>
      <c r="E2212" s="1" t="inlineStr">
        <is>
          <t>Base</t>
        </is>
      </c>
      <c r="F2212" s="1" t="n">
        <v>1.944021</v>
      </c>
    </row>
    <row r="2213" ht="15.75" customHeight="1" s="201">
      <c r="A2213" s="1" t="n">
        <v>53270100</v>
      </c>
      <c r="B2213" s="1" t="inlineStr">
        <is>
          <t>Cookies, Puerto Rican style (Includes Mantecaditos polvorones)</t>
        </is>
      </c>
      <c r="C2213" s="1" t="n">
        <v>2</v>
      </c>
      <c r="D2213" s="1" t="inlineStr">
        <is>
          <t>Links to altEC</t>
        </is>
      </c>
      <c r="E2213" s="1" t="inlineStr">
        <is>
          <t>Base</t>
        </is>
      </c>
      <c r="F2213" s="1" t="n">
        <v>0.710808</v>
      </c>
    </row>
    <row r="2214" ht="15.75" customHeight="1" s="201">
      <c r="A2214" s="1" t="n">
        <v>53300100</v>
      </c>
      <c r="B2214" s="1" t="inlineStr">
        <is>
          <t>Pie, NFS (Includes fruit pie, NS as to fruit)</t>
        </is>
      </c>
      <c r="C2214" s="1" t="n">
        <v>2</v>
      </c>
      <c r="D2214" s="1" t="inlineStr">
        <is>
          <t>Links to altEC</t>
        </is>
      </c>
      <c r="E2214" s="1" t="inlineStr">
        <is>
          <t>Base</t>
        </is>
      </c>
      <c r="F2214" s="1" t="n">
        <v>0.6304999999999999</v>
      </c>
    </row>
    <row r="2215" ht="15.75" customHeight="1" s="201">
      <c r="A2215" s="1" t="n">
        <v>53300170</v>
      </c>
      <c r="B2215" s="1" t="inlineStr">
        <is>
          <t>Pie, individual size or tart, NFS (Includes individual size fruit pie or tart, NS as to fruit)</t>
        </is>
      </c>
      <c r="C2215" s="1" t="n">
        <v>2</v>
      </c>
      <c r="D2215" s="1" t="inlineStr">
        <is>
          <t>Links to altEC</t>
        </is>
      </c>
      <c r="E2215" s="1" t="inlineStr">
        <is>
          <t>Base</t>
        </is>
      </c>
      <c r="F2215" s="1" t="n">
        <v>0.78737</v>
      </c>
    </row>
    <row r="2216" ht="15.75" customHeight="1" s="201">
      <c r="A2216" s="1" t="n">
        <v>53301000</v>
      </c>
      <c r="B2216" s="1" t="inlineStr">
        <is>
          <t>Pie, apple, two crust (Includes apple-peach; apple-berry)</t>
        </is>
      </c>
      <c r="C2216" s="1" t="n">
        <v>1</v>
      </c>
      <c r="D2216" s="1" t="inlineStr">
        <is>
          <t>Links to FNDDS</t>
        </is>
      </c>
      <c r="E2216" s="1" t="inlineStr">
        <is>
          <t>Base</t>
        </is>
      </c>
      <c r="F2216" s="1" t="n">
        <v>0.562645</v>
      </c>
    </row>
    <row r="2217" ht="15.75" customHeight="1" s="201">
      <c r="A2217" s="1" t="n">
        <v>53301070</v>
      </c>
      <c r="B2217" s="1" t="inlineStr">
        <is>
          <t>Pie, apple, individual size or tart (Includes McDonald's Baked Hot Apple Pie)</t>
        </is>
      </c>
      <c r="C2217" s="1" t="n">
        <v>1</v>
      </c>
      <c r="D2217" s="1" t="inlineStr">
        <is>
          <t>Links to FNDDS</t>
        </is>
      </c>
      <c r="E2217" s="1" t="inlineStr">
        <is>
          <t>Base</t>
        </is>
      </c>
      <c r="F2217" s="1" t="n">
        <v>0.776552</v>
      </c>
    </row>
    <row r="2218" ht="15.75" customHeight="1" s="201">
      <c r="A2218" s="1" t="n">
        <v>53301080</v>
      </c>
      <c r="B2218" s="1" t="inlineStr">
        <is>
          <t>Pie, apple, fried pie</t>
        </is>
      </c>
      <c r="C2218" s="1" t="n">
        <v>2</v>
      </c>
      <c r="D2218" s="1" t="inlineStr">
        <is>
          <t>Links to altEC</t>
        </is>
      </c>
      <c r="E2218" s="1" t="inlineStr">
        <is>
          <t>Base</t>
        </is>
      </c>
      <c r="F2218" s="1" t="n">
        <v>0.776552</v>
      </c>
    </row>
    <row r="2219" ht="15.75" customHeight="1" s="201">
      <c r="A2219" s="1" t="n">
        <v>53301500</v>
      </c>
      <c r="B2219" s="1" t="inlineStr">
        <is>
          <t>Pie, apple, one crust (Includes apple pie with crumb topping)</t>
        </is>
      </c>
      <c r="C2219" s="1" t="n">
        <v>1</v>
      </c>
      <c r="D2219" s="1" t="inlineStr">
        <is>
          <t>Links to FNDDS</t>
        </is>
      </c>
      <c r="E2219" s="1" t="inlineStr">
        <is>
          <t>Base</t>
        </is>
      </c>
      <c r="F2219" s="1" t="n">
        <v>0.890296</v>
      </c>
    </row>
    <row r="2220" ht="15.75" customHeight="1" s="201">
      <c r="A2220" s="1" t="n">
        <v>53303000</v>
      </c>
      <c r="B2220" s="1" t="inlineStr">
        <is>
          <t>Pie, blackberry, two crust (Includes boysenberry)</t>
        </is>
      </c>
      <c r="C2220" s="1" t="n">
        <v>1</v>
      </c>
      <c r="D2220" s="1" t="inlineStr">
        <is>
          <t>Links to FNDDS</t>
        </is>
      </c>
      <c r="E2220" s="1" t="inlineStr">
        <is>
          <t>Base</t>
        </is>
      </c>
      <c r="F2220" s="1" t="n">
        <v>0.610837</v>
      </c>
    </row>
    <row r="2221" ht="15.75" customHeight="1" s="201">
      <c r="A2221" s="1" t="n">
        <v>53303500</v>
      </c>
      <c r="B2221" s="1" t="inlineStr">
        <is>
          <t>Pie, berry, not blackberry, blueberry, boysenberry, huckleberry, raspberry, or strawberry; two crust (Includes cranberry; Juneberry; gooseberry; berry pie, NS as to berry)</t>
        </is>
      </c>
      <c r="C2221" s="1" t="n">
        <v>1</v>
      </c>
      <c r="D2221" s="1" t="inlineStr">
        <is>
          <t>Links to FNDDS</t>
        </is>
      </c>
      <c r="E2221" s="1" t="inlineStr">
        <is>
          <t>Base</t>
        </is>
      </c>
      <c r="F2221" s="1" t="n">
        <v>0.5895</v>
      </c>
    </row>
    <row r="2222" ht="15.75" customHeight="1" s="201">
      <c r="A2222" s="1" t="n">
        <v>53304000</v>
      </c>
      <c r="B2222" s="1" t="inlineStr">
        <is>
          <t>Pie, blueberry, two crust (Includes huckleberry)</t>
        </is>
      </c>
      <c r="C2222" s="1" t="n">
        <v>1</v>
      </c>
      <c r="D2222" s="1" t="inlineStr">
        <is>
          <t>Links to FNDDS</t>
        </is>
      </c>
      <c r="E2222" s="1" t="inlineStr">
        <is>
          <t>Base</t>
        </is>
      </c>
      <c r="F2222" s="1" t="n">
        <v>0.682299</v>
      </c>
    </row>
    <row r="2223" ht="15.75" customHeight="1" s="201">
      <c r="A2223" s="1" t="n">
        <v>53305000</v>
      </c>
      <c r="B2223" s="1" t="inlineStr">
        <is>
          <t>Pie, cherry, two crust</t>
        </is>
      </c>
      <c r="C2223" s="1" t="n">
        <v>1</v>
      </c>
      <c r="D2223" s="1" t="inlineStr">
        <is>
          <t>Links to FNDDS</t>
        </is>
      </c>
      <c r="E2223" s="1" t="inlineStr">
        <is>
          <t>Base</t>
        </is>
      </c>
      <c r="F2223" s="1" t="n">
        <v>0.592348</v>
      </c>
    </row>
    <row r="2224" ht="15.75" customHeight="1" s="201">
      <c r="A2224" s="1" t="n">
        <v>53305010</v>
      </c>
      <c r="B2224" s="1" t="inlineStr">
        <is>
          <t>Pie, cherry, one crust</t>
        </is>
      </c>
      <c r="C2224" s="1" t="n">
        <v>1</v>
      </c>
      <c r="D2224" s="1" t="inlineStr">
        <is>
          <t>Links to FNDDS</t>
        </is>
      </c>
      <c r="E2224" s="1" t="inlineStr">
        <is>
          <t>Base</t>
        </is>
      </c>
      <c r="F2224" s="1" t="n">
        <v>0.755591</v>
      </c>
    </row>
    <row r="2225" ht="15.75" customHeight="1" s="201">
      <c r="A2225" s="1" t="n">
        <v>53307000</v>
      </c>
      <c r="B2225" s="1" t="inlineStr">
        <is>
          <t>Pie, peach, two crust</t>
        </is>
      </c>
      <c r="C2225" s="1" t="n">
        <v>1</v>
      </c>
      <c r="D2225" s="1" t="inlineStr">
        <is>
          <t>Links to FNDDS</t>
        </is>
      </c>
      <c r="E2225" s="1" t="inlineStr">
        <is>
          <t>Base</t>
        </is>
      </c>
      <c r="F2225" s="1" t="n">
        <v>0.582665</v>
      </c>
    </row>
    <row r="2226" ht="15.75" customHeight="1" s="201">
      <c r="A2226" s="1" t="n">
        <v>53307050</v>
      </c>
      <c r="B2226" s="1" t="inlineStr">
        <is>
          <t>Pie, peach, one crust</t>
        </is>
      </c>
      <c r="C2226" s="1" t="n">
        <v>1</v>
      </c>
      <c r="D2226" s="1" t="inlineStr">
        <is>
          <t>Links to FNDDS</t>
        </is>
      </c>
      <c r="E2226" s="1" t="inlineStr">
        <is>
          <t>Base</t>
        </is>
      </c>
      <c r="F2226" s="1" t="n">
        <v>0.640475</v>
      </c>
    </row>
    <row r="2227" ht="15.75" customHeight="1" s="201">
      <c r="A2227" s="1" t="n">
        <v>53310050</v>
      </c>
      <c r="B2227" s="1" t="inlineStr">
        <is>
          <t>Pie, raspberry, two crust</t>
        </is>
      </c>
      <c r="C2227" s="1" t="n">
        <v>1</v>
      </c>
      <c r="D2227" s="1" t="inlineStr">
        <is>
          <t>Links to FNDDS</t>
        </is>
      </c>
      <c r="E2227" s="1" t="inlineStr">
        <is>
          <t>Base</t>
        </is>
      </c>
      <c r="F2227" s="1" t="n">
        <v>0.8754420000000001</v>
      </c>
    </row>
    <row r="2228" ht="15.75" customHeight="1" s="201">
      <c r="A2228" s="1" t="n">
        <v>53312000</v>
      </c>
      <c r="B2228" s="1" t="inlineStr">
        <is>
          <t>Pie, strawberry, one crust</t>
        </is>
      </c>
      <c r="C2228" s="1" t="n">
        <v>1</v>
      </c>
      <c r="D2228" s="1" t="inlineStr">
        <is>
          <t>Links to FNDDS</t>
        </is>
      </c>
      <c r="E2228" s="1" t="inlineStr">
        <is>
          <t>Base</t>
        </is>
      </c>
      <c r="F2228" s="1" t="n">
        <v>1.456024</v>
      </c>
    </row>
    <row r="2229" ht="15.75" customHeight="1" s="201">
      <c r="A2229" s="1" t="n">
        <v>53314000</v>
      </c>
      <c r="B2229" s="1" t="inlineStr">
        <is>
          <t>Pie, strawberry, individual size or tart</t>
        </is>
      </c>
      <c r="C2229" s="1" t="n">
        <v>1</v>
      </c>
      <c r="D2229" s="1" t="inlineStr">
        <is>
          <t>Links to FNDDS</t>
        </is>
      </c>
      <c r="E2229" s="1" t="inlineStr">
        <is>
          <t>Base</t>
        </is>
      </c>
      <c r="F2229" s="1" t="n">
        <v>1.251227</v>
      </c>
    </row>
    <row r="2230" ht="15.75" customHeight="1" s="201">
      <c r="A2230" s="1" t="n">
        <v>53341000</v>
      </c>
      <c r="B2230" s="1" t="inlineStr">
        <is>
          <t>Pie, banana cream</t>
        </is>
      </c>
      <c r="C2230" s="1" t="n">
        <v>1</v>
      </c>
      <c r="D2230" s="1" t="inlineStr">
        <is>
          <t>Links to FNDDS</t>
        </is>
      </c>
      <c r="E2230" s="1" t="inlineStr">
        <is>
          <t>Base</t>
        </is>
      </c>
      <c r="F2230" s="1" t="n">
        <v>0.702767</v>
      </c>
    </row>
    <row r="2231" ht="15.75" customHeight="1" s="201">
      <c r="A2231" s="1" t="n">
        <v>53341750</v>
      </c>
      <c r="B2231" s="1" t="inlineStr">
        <is>
          <t>Pie, chess (Includes lemon chess pie)</t>
        </is>
      </c>
      <c r="C2231" s="1" t="n">
        <v>1</v>
      </c>
      <c r="D2231" s="1" t="inlineStr">
        <is>
          <t>Links to FNDDS</t>
        </is>
      </c>
      <c r="E2231" s="1" t="inlineStr">
        <is>
          <t>Base</t>
        </is>
      </c>
      <c r="F2231" s="1" t="n">
        <v>1.066681</v>
      </c>
    </row>
    <row r="2232" ht="15.75" customHeight="1" s="201">
      <c r="A2232" s="1" t="n">
        <v>53342000</v>
      </c>
      <c r="B2232" s="1" t="inlineStr">
        <is>
          <t>Pie, chocolate cream (Includes chocolate pie, NFS; chocolate meringue; chocolate ice box dessert; chocolate pudding pie; Jell-O chocolate mousse pie)</t>
        </is>
      </c>
      <c r="C2232" s="1" t="n">
        <v>1</v>
      </c>
      <c r="D2232" s="1" t="inlineStr">
        <is>
          <t>Links to FNDDS</t>
        </is>
      </c>
      <c r="E2232" s="1" t="inlineStr">
        <is>
          <t>Base</t>
        </is>
      </c>
      <c r="F2232" s="1" t="n">
        <v>0.903013</v>
      </c>
    </row>
    <row r="2233" ht="15.75" customHeight="1" s="201">
      <c r="A2233" s="1" t="n">
        <v>53343000</v>
      </c>
      <c r="B2233" s="1" t="inlineStr">
        <is>
          <t>Pie, coconut cream (Includes coconut pie, NFS; coconut custard)</t>
        </is>
      </c>
      <c r="C2233" s="1" t="n">
        <v>1</v>
      </c>
      <c r="D2233" s="1" t="inlineStr">
        <is>
          <t>Links to FNDDS</t>
        </is>
      </c>
      <c r="E2233" s="1" t="inlineStr">
        <is>
          <t>Base</t>
        </is>
      </c>
      <c r="F2233" s="1" t="n">
        <v>0.684181</v>
      </c>
    </row>
    <row r="2234" ht="15.75" customHeight="1" s="201">
      <c r="A2234" s="1" t="n">
        <v>53344200</v>
      </c>
      <c r="B2234" s="1" t="inlineStr">
        <is>
          <t>Mixed fruit tart filled with custard or cream cheese</t>
        </is>
      </c>
      <c r="C2234" s="1" t="n">
        <v>1</v>
      </c>
      <c r="D2234" s="1" t="inlineStr">
        <is>
          <t>Links to FNDDS</t>
        </is>
      </c>
      <c r="E2234" s="1" t="inlineStr">
        <is>
          <t>Base</t>
        </is>
      </c>
      <c r="F2234" s="1" t="n">
        <v>1.787429</v>
      </c>
    </row>
    <row r="2235" ht="15.75" customHeight="1" s="201">
      <c r="A2235" s="1" t="n">
        <v>53344300</v>
      </c>
      <c r="B2235" s="1" t="inlineStr">
        <is>
          <t>Dessert pizza (Includes fruit pizza)</t>
        </is>
      </c>
      <c r="C2235" s="1" t="n">
        <v>2</v>
      </c>
      <c r="D2235" s="1" t="inlineStr">
        <is>
          <t>Links to altEC</t>
        </is>
      </c>
      <c r="E2235" s="1" t="inlineStr">
        <is>
          <t>Base</t>
        </is>
      </c>
      <c r="F2235" s="1" t="n">
        <v>1.011637</v>
      </c>
    </row>
    <row r="2236" ht="15.75" customHeight="1" s="201">
      <c r="A2236" s="1" t="n">
        <v>53346000</v>
      </c>
      <c r="B2236" s="1" t="inlineStr">
        <is>
          <t>Pie, peanut butter cream</t>
        </is>
      </c>
      <c r="C2236" s="1" t="n">
        <v>1</v>
      </c>
      <c r="D2236" s="1" t="inlineStr">
        <is>
          <t>Links to FNDDS</t>
        </is>
      </c>
      <c r="E2236" s="1" t="inlineStr">
        <is>
          <t>Base</t>
        </is>
      </c>
      <c r="F2236" s="1" t="n">
        <v>0.953445</v>
      </c>
    </row>
    <row r="2237" ht="15.75" customHeight="1" s="201">
      <c r="A2237" s="1" t="n">
        <v>53346500</v>
      </c>
      <c r="B2237" s="1" t="inlineStr">
        <is>
          <t>Pie, pineapple cream (Includes millionaire's pie; Hawaiian pie; sunshine pie)</t>
        </is>
      </c>
      <c r="C2237" s="1" t="n">
        <v>2</v>
      </c>
      <c r="D2237" s="1" t="inlineStr">
        <is>
          <t>Links to altEC</t>
        </is>
      </c>
      <c r="E2237" s="1" t="inlineStr">
        <is>
          <t>Base</t>
        </is>
      </c>
      <c r="F2237" s="1" t="n">
        <v>0.727152</v>
      </c>
    </row>
    <row r="2238" ht="15.75" customHeight="1" s="201">
      <c r="A2238" s="1" t="n">
        <v>53347000</v>
      </c>
      <c r="B2238" s="1" t="inlineStr">
        <is>
          <t>Pie, pumpkin</t>
        </is>
      </c>
      <c r="C2238" s="1" t="n">
        <v>1</v>
      </c>
      <c r="D2238" s="1" t="inlineStr">
        <is>
          <t>Links to FNDDS</t>
        </is>
      </c>
      <c r="E2238" s="1" t="inlineStr">
        <is>
          <t>Base</t>
        </is>
      </c>
      <c r="F2238" s="1" t="n">
        <v>0.5760150000000001</v>
      </c>
    </row>
    <row r="2239" ht="15.75" customHeight="1" s="201">
      <c r="A2239" s="1" t="n">
        <v>53347600</v>
      </c>
      <c r="B2239" s="1" t="inlineStr">
        <is>
          <t>Pie, squash</t>
        </is>
      </c>
      <c r="C2239" s="1" t="n">
        <v>2</v>
      </c>
      <c r="D2239" s="1" t="inlineStr">
        <is>
          <t>Links to altEC</t>
        </is>
      </c>
      <c r="E2239" s="1" t="inlineStr">
        <is>
          <t>Base</t>
        </is>
      </c>
      <c r="F2239" s="1" t="n">
        <v>0.56453</v>
      </c>
    </row>
    <row r="2240" ht="15.75" customHeight="1" s="201">
      <c r="A2240" s="1" t="n">
        <v>53348000</v>
      </c>
      <c r="B2240" s="1" t="inlineStr">
        <is>
          <t>Pie, strawberry cream</t>
        </is>
      </c>
      <c r="C2240" s="1" t="n">
        <v>1</v>
      </c>
      <c r="D2240" s="1" t="inlineStr">
        <is>
          <t>Links to FNDDS</t>
        </is>
      </c>
      <c r="E2240" s="1" t="inlineStr">
        <is>
          <t>Base</t>
        </is>
      </c>
      <c r="F2240" s="1" t="n">
        <v>0.809129</v>
      </c>
    </row>
    <row r="2241" ht="15.75" customHeight="1" s="201">
      <c r="A2241" s="1" t="n">
        <v>53360000</v>
      </c>
      <c r="B2241" s="1" t="inlineStr">
        <is>
          <t>Pie, sweet potato</t>
        </is>
      </c>
      <c r="C2241" s="1" t="n">
        <v>1</v>
      </c>
      <c r="D2241" s="1" t="inlineStr">
        <is>
          <t>Links to FNDDS</t>
        </is>
      </c>
      <c r="E2241" s="1" t="inlineStr">
        <is>
          <t>Base</t>
        </is>
      </c>
      <c r="F2241" s="1" t="n">
        <v>0.520177</v>
      </c>
    </row>
    <row r="2242" ht="15.75" customHeight="1" s="201">
      <c r="A2242" s="1" t="n">
        <v>53381000</v>
      </c>
      <c r="B2242" s="1" t="inlineStr">
        <is>
          <t>Pie, lemon meringue (Includes key lime pie; Burger King Lemon Pie)</t>
        </is>
      </c>
      <c r="C2242" s="1" t="n">
        <v>1</v>
      </c>
      <c r="D2242" s="1" t="inlineStr">
        <is>
          <t>Links to FNDDS</t>
        </is>
      </c>
      <c r="E2242" s="1" t="inlineStr">
        <is>
          <t>Base</t>
        </is>
      </c>
      <c r="F2242" s="1" t="n">
        <v>0.731515</v>
      </c>
    </row>
    <row r="2243" ht="15.75" customHeight="1" s="201">
      <c r="A2243" s="1" t="n">
        <v>53385000</v>
      </c>
      <c r="B2243" s="1" t="inlineStr">
        <is>
          <t>Pie, pecan (Includes coconut-pecan pie; walnut pie)</t>
        </is>
      </c>
      <c r="C2243" s="1" t="n">
        <v>1</v>
      </c>
      <c r="D2243" s="1" t="inlineStr">
        <is>
          <t>Links to FNDDS</t>
        </is>
      </c>
      <c r="E2243" s="1" t="inlineStr">
        <is>
          <t>Base</t>
        </is>
      </c>
      <c r="F2243" s="1" t="n">
        <v>0.776485</v>
      </c>
    </row>
    <row r="2244" ht="15.75" customHeight="1" s="201">
      <c r="A2244" s="1" t="n">
        <v>53385500</v>
      </c>
      <c r="B2244" s="1" t="inlineStr">
        <is>
          <t>Pie, oatmeal</t>
        </is>
      </c>
      <c r="C2244" s="1" t="n">
        <v>2</v>
      </c>
      <c r="D2244" s="1" t="inlineStr">
        <is>
          <t>Links to altEC</t>
        </is>
      </c>
      <c r="E2244" s="1" t="inlineStr">
        <is>
          <t>Base</t>
        </is>
      </c>
      <c r="F2244" s="1" t="n">
        <v>1.10592</v>
      </c>
    </row>
    <row r="2245" ht="15.75" customHeight="1" s="201">
      <c r="A2245" s="1" t="n">
        <v>53386000</v>
      </c>
      <c r="B2245" s="1" t="inlineStr">
        <is>
          <t>Pie, pudding, flavors other than chocolate</t>
        </is>
      </c>
      <c r="C2245" s="1" t="n">
        <v>1</v>
      </c>
      <c r="D2245" s="1" t="inlineStr">
        <is>
          <t>Links to FNDDS</t>
        </is>
      </c>
      <c r="E2245" s="1" t="inlineStr">
        <is>
          <t>Base</t>
        </is>
      </c>
      <c r="F2245" s="1" t="n">
        <v>0.496043</v>
      </c>
    </row>
    <row r="2246" ht="15.75" customHeight="1" s="201">
      <c r="A2246" s="1" t="n">
        <v>53391000</v>
      </c>
      <c r="B2246" s="1" t="inlineStr">
        <is>
          <t>Pie shell (Includes pie crust)</t>
        </is>
      </c>
      <c r="C2246" s="1" t="n">
        <v>1</v>
      </c>
      <c r="D2246" s="1" t="inlineStr">
        <is>
          <t>Links to FNDDS</t>
        </is>
      </c>
      <c r="E2246" s="1" t="inlineStr">
        <is>
          <t>Base</t>
        </is>
      </c>
      <c r="F2246" s="1" t="n">
        <v>0.923518</v>
      </c>
    </row>
    <row r="2247" ht="15.75" customHeight="1" s="201">
      <c r="A2247" s="1" t="n">
        <v>53391100</v>
      </c>
      <c r="B2247" s="1" t="inlineStr">
        <is>
          <t>Pie shell, graham cracker (Includes pie crust)</t>
        </is>
      </c>
      <c r="C2247" s="1" t="n">
        <v>1</v>
      </c>
      <c r="D2247" s="1" t="inlineStr">
        <is>
          <t>Links to FNDDS</t>
        </is>
      </c>
      <c r="E2247" s="1" t="inlineStr">
        <is>
          <t>Base</t>
        </is>
      </c>
      <c r="F2247" s="1" t="n">
        <v>1.048387</v>
      </c>
    </row>
    <row r="2248" ht="15.75" customHeight="1" s="201">
      <c r="A2248" s="1" t="n">
        <v>53400200</v>
      </c>
      <c r="B2248" s="1" t="inlineStr">
        <is>
          <t>Blintz, cheese-filled (Includes blintzes, NS as to filling)</t>
        </is>
      </c>
      <c r="C2248" s="1" t="n">
        <v>1</v>
      </c>
      <c r="D2248" s="1" t="inlineStr">
        <is>
          <t>Links to FNDDS</t>
        </is>
      </c>
      <c r="E2248" s="1" t="inlineStr">
        <is>
          <t>Base</t>
        </is>
      </c>
      <c r="F2248" s="1" t="n">
        <v>1.269174</v>
      </c>
    </row>
    <row r="2249" ht="15.75" customHeight="1" s="201">
      <c r="A2249" s="1" t="n">
        <v>53410100</v>
      </c>
      <c r="B2249" s="1" t="inlineStr">
        <is>
          <t>Cobbler, apple (Includes fruit cobbler, NS as to type of fruit)</t>
        </is>
      </c>
      <c r="C2249" s="1" t="n">
        <v>1</v>
      </c>
      <c r="D2249" s="1" t="inlineStr">
        <is>
          <t>Links to FNDDS</t>
        </is>
      </c>
      <c r="E2249" s="1" t="inlineStr">
        <is>
          <t>Base</t>
        </is>
      </c>
      <c r="F2249" s="1" t="n">
        <v>0.702983</v>
      </c>
    </row>
    <row r="2250" ht="15.75" customHeight="1" s="201">
      <c r="A2250" s="1" t="n">
        <v>53410500</v>
      </c>
      <c r="B2250" s="1" t="inlineStr">
        <is>
          <t>Cobbler, cherry</t>
        </is>
      </c>
      <c r="C2250" s="1" t="n">
        <v>1</v>
      </c>
      <c r="D2250" s="1" t="inlineStr">
        <is>
          <t>Links to FNDDS</t>
        </is>
      </c>
      <c r="E2250" s="1" t="inlineStr">
        <is>
          <t>Base</t>
        </is>
      </c>
      <c r="F2250" s="1" t="n">
        <v>0.625159</v>
      </c>
    </row>
    <row r="2251" ht="15.75" customHeight="1" s="201">
      <c r="A2251" s="1" t="n">
        <v>53410800</v>
      </c>
      <c r="B2251" s="1" t="inlineStr">
        <is>
          <t>Cobbler, peach</t>
        </is>
      </c>
      <c r="C2251" s="1" t="n">
        <v>1</v>
      </c>
      <c r="D2251" s="1" t="inlineStr">
        <is>
          <t>Links to FNDDS</t>
        </is>
      </c>
      <c r="E2251" s="1" t="inlineStr">
        <is>
          <t>Base</t>
        </is>
      </c>
      <c r="F2251" s="1" t="n">
        <v>0.674726</v>
      </c>
    </row>
    <row r="2252" ht="15.75" customHeight="1" s="201">
      <c r="A2252" s="1" t="n">
        <v>53410900</v>
      </c>
      <c r="B2252" s="1" t="inlineStr">
        <is>
          <t>Cobbler, rhubarb</t>
        </is>
      </c>
      <c r="C2252" s="1" t="n">
        <v>2</v>
      </c>
      <c r="D2252" s="1" t="inlineStr">
        <is>
          <t>Links to altEC</t>
        </is>
      </c>
      <c r="E2252" s="1" t="inlineStr">
        <is>
          <t>Base</t>
        </is>
      </c>
      <c r="F2252" s="1" t="n">
        <v>0.660466</v>
      </c>
    </row>
    <row r="2253" ht="15.75" customHeight="1" s="201">
      <c r="A2253" s="1" t="n">
        <v>53415120</v>
      </c>
      <c r="B2253" s="1" t="inlineStr">
        <is>
          <t>Fritter, apple</t>
        </is>
      </c>
      <c r="C2253" s="1" t="n">
        <v>1</v>
      </c>
      <c r="D2253" s="1" t="inlineStr">
        <is>
          <t>Links to FNDDS</t>
        </is>
      </c>
      <c r="E2253" s="1" t="inlineStr">
        <is>
          <t>Base</t>
        </is>
      </c>
      <c r="F2253" s="1" t="n">
        <v>0.891378</v>
      </c>
    </row>
    <row r="2254" ht="15.75" customHeight="1" s="201">
      <c r="A2254" s="1" t="n">
        <v>53415220</v>
      </c>
      <c r="B2254" s="1" t="inlineStr">
        <is>
          <t>Fritter, berry</t>
        </is>
      </c>
      <c r="C2254" s="1" t="n">
        <v>1</v>
      </c>
      <c r="D2254" s="1" t="inlineStr">
        <is>
          <t>Links to FNDDS</t>
        </is>
      </c>
      <c r="E2254" s="1" t="inlineStr">
        <is>
          <t>Base</t>
        </is>
      </c>
      <c r="F2254" s="1" t="n">
        <v>0.584501</v>
      </c>
    </row>
    <row r="2255" ht="15.75" customHeight="1" s="201">
      <c r="A2255" s="1" t="n">
        <v>53420100</v>
      </c>
      <c r="B2255" s="1" t="inlineStr">
        <is>
          <t>Cream puff, eclair, custard or cream filled, not iced</t>
        </is>
      </c>
      <c r="C2255" s="1" t="n">
        <v>1</v>
      </c>
      <c r="D2255" s="1" t="inlineStr">
        <is>
          <t>Links to FNDDS</t>
        </is>
      </c>
      <c r="E2255" s="1" t="inlineStr">
        <is>
          <t>Base</t>
        </is>
      </c>
      <c r="F2255" s="1" t="n">
        <v>0.997432</v>
      </c>
    </row>
    <row r="2256" ht="15.75" customHeight="1" s="201">
      <c r="A2256" s="1" t="n">
        <v>53420310</v>
      </c>
      <c r="B2256" s="1" t="inlineStr">
        <is>
          <t>Wheat flour fritter, without syrup</t>
        </is>
      </c>
      <c r="C2256" s="1" t="n">
        <v>2</v>
      </c>
      <c r="D2256" s="1" t="inlineStr">
        <is>
          <t>Links to altEC</t>
        </is>
      </c>
      <c r="E2256" s="1" t="inlineStr">
        <is>
          <t>Base</t>
        </is>
      </c>
      <c r="F2256" s="1" t="n">
        <v>0.788722</v>
      </c>
    </row>
    <row r="2257" ht="15.75" customHeight="1" s="201">
      <c r="A2257" s="1" t="n">
        <v>53430000</v>
      </c>
      <c r="B2257" s="1" t="inlineStr">
        <is>
          <t>Crepe, NS as to filling (Includes any source)</t>
        </is>
      </c>
      <c r="C2257" s="1" t="n">
        <v>5</v>
      </c>
      <c r="D2257" s="1" t="inlineStr">
        <is>
          <t>Modified FNDDS recipe</t>
        </is>
      </c>
      <c r="E2257" s="1" t="inlineStr">
        <is>
          <t>Base</t>
        </is>
      </c>
      <c r="F2257" s="1" t="n">
        <v>2.588018</v>
      </c>
    </row>
    <row r="2258" ht="15.75" customHeight="1" s="201">
      <c r="A2258" s="1" t="n">
        <v>53430100</v>
      </c>
      <c r="B2258" s="1" t="inlineStr">
        <is>
          <t>Crepe, chocolate filled (Includes any source)</t>
        </is>
      </c>
      <c r="C2258" s="1" t="n">
        <v>5</v>
      </c>
      <c r="D2258" s="1" t="inlineStr">
        <is>
          <t>Modified FNDDS recipe</t>
        </is>
      </c>
      <c r="E2258" s="1" t="inlineStr">
        <is>
          <t>Base</t>
        </is>
      </c>
      <c r="F2258" s="1" t="n">
        <v>1.781035</v>
      </c>
    </row>
    <row r="2259" ht="15.75" customHeight="1" s="201">
      <c r="A2259" s="1" t="n">
        <v>53430200</v>
      </c>
      <c r="B2259" s="1" t="inlineStr">
        <is>
          <t>Crepe, fruit filled (Includes any source)</t>
        </is>
      </c>
      <c r="C2259" s="1" t="n">
        <v>1</v>
      </c>
      <c r="D2259" s="1" t="inlineStr">
        <is>
          <t>Links to FNDDS</t>
        </is>
      </c>
      <c r="E2259" s="1" t="inlineStr">
        <is>
          <t>Base</t>
        </is>
      </c>
      <c r="F2259" s="1" t="n">
        <v>1.96298</v>
      </c>
    </row>
    <row r="2260" ht="15.75" customHeight="1" s="201">
      <c r="A2260" s="1" t="n">
        <v>53430700</v>
      </c>
      <c r="B2260" s="1" t="inlineStr">
        <is>
          <t>Tamale, sweet (Includes with sugar and spices)</t>
        </is>
      </c>
      <c r="C2260" s="1" t="n">
        <v>2</v>
      </c>
      <c r="D2260" s="1" t="inlineStr">
        <is>
          <t>Links to altEC</t>
        </is>
      </c>
      <c r="E2260" s="1" t="inlineStr">
        <is>
          <t>Base</t>
        </is>
      </c>
      <c r="F2260" s="1" t="n">
        <v>0.671566</v>
      </c>
    </row>
    <row r="2261" ht="15.75" customHeight="1" s="201">
      <c r="A2261" s="1" t="n">
        <v>53440000</v>
      </c>
      <c r="B2261" s="1" t="inlineStr">
        <is>
          <t>Strudel, apple (Includes strudel, NS as to filling)</t>
        </is>
      </c>
      <c r="C2261" s="1" t="n">
        <v>1</v>
      </c>
      <c r="D2261" s="1" t="inlineStr">
        <is>
          <t>Links to FNDDS</t>
        </is>
      </c>
      <c r="E2261" s="1" t="inlineStr">
        <is>
          <t>Base</t>
        </is>
      </c>
      <c r="F2261" s="1" t="n">
        <v>0.971099</v>
      </c>
    </row>
    <row r="2262" ht="15.75" customHeight="1" s="201">
      <c r="A2262" s="1" t="n">
        <v>53440300</v>
      </c>
      <c r="B2262" s="1" t="inlineStr">
        <is>
          <t>Strudel, berry</t>
        </is>
      </c>
      <c r="C2262" s="1" t="n">
        <v>1</v>
      </c>
      <c r="D2262" s="1" t="inlineStr">
        <is>
          <t>Links to FNDDS</t>
        </is>
      </c>
      <c r="E2262" s="1" t="inlineStr">
        <is>
          <t>Base</t>
        </is>
      </c>
      <c r="F2262" s="1" t="n">
        <v>1.201748</v>
      </c>
    </row>
    <row r="2263" ht="15.75" customHeight="1" s="201">
      <c r="A2263" s="1" t="n">
        <v>53441110</v>
      </c>
      <c r="B2263" s="1" t="inlineStr">
        <is>
          <t>Baklava (Includes Kadayif)</t>
        </is>
      </c>
      <c r="C2263" s="1" t="n">
        <v>1</v>
      </c>
      <c r="D2263" s="1" t="inlineStr">
        <is>
          <t>Links to FNDDS</t>
        </is>
      </c>
      <c r="E2263" s="1" t="inlineStr">
        <is>
          <t>Base</t>
        </is>
      </c>
      <c r="F2263" s="1" t="n">
        <v>1.533326</v>
      </c>
    </row>
    <row r="2264" ht="15.75" customHeight="1" s="201">
      <c r="A2264" s="1" t="n">
        <v>53450000</v>
      </c>
      <c r="B2264" s="1" t="inlineStr">
        <is>
          <t>Turnover or dumpling, apple (Includes Drake's Apple Fruit Pies)</t>
        </is>
      </c>
      <c r="C2264" s="1" t="n">
        <v>1</v>
      </c>
      <c r="D2264" s="1" t="inlineStr">
        <is>
          <t>Links to FNDDS</t>
        </is>
      </c>
      <c r="E2264" s="1" t="inlineStr">
        <is>
          <t>Base</t>
        </is>
      </c>
      <c r="F2264" s="1" t="n">
        <v>1.062635</v>
      </c>
    </row>
    <row r="2265" ht="15.75" customHeight="1" s="201">
      <c r="A2265" s="1" t="n">
        <v>53451500</v>
      </c>
      <c r="B2265" s="1" t="inlineStr">
        <is>
          <t>Turnover, guava</t>
        </is>
      </c>
      <c r="C2265" s="1" t="n">
        <v>1</v>
      </c>
      <c r="D2265" s="1" t="inlineStr">
        <is>
          <t>Links to FNDDS</t>
        </is>
      </c>
      <c r="E2265" s="1" t="inlineStr">
        <is>
          <t>Base</t>
        </is>
      </c>
      <c r="F2265" s="1" t="n">
        <v>1.040606</v>
      </c>
    </row>
    <row r="2266" ht="15.75" customHeight="1" s="201">
      <c r="A2266" s="1" t="n">
        <v>53452100</v>
      </c>
      <c r="B2266" s="1" t="inlineStr">
        <is>
          <t>Pastry, fruit-filled (Includes hamantaschen)</t>
        </is>
      </c>
      <c r="C2266" s="1" t="n">
        <v>1</v>
      </c>
      <c r="D2266" s="1" t="inlineStr">
        <is>
          <t>Links to FNDDS</t>
        </is>
      </c>
      <c r="E2266" s="1" t="inlineStr">
        <is>
          <t>Base</t>
        </is>
      </c>
      <c r="F2266" s="1" t="n">
        <v>1.011637</v>
      </c>
    </row>
    <row r="2267" ht="15.75" customHeight="1" s="201">
      <c r="A2267" s="1" t="n">
        <v>53452120</v>
      </c>
      <c r="B2267" s="1" t="inlineStr">
        <is>
          <t>Pastry, made with bean or lotus seed paste filling, baked (Includes Chinese Moon Cake; Banh Trung Thu; Asian style)</t>
        </is>
      </c>
      <c r="C2267" s="1" t="n">
        <v>2</v>
      </c>
      <c r="D2267" s="1" t="inlineStr">
        <is>
          <t>Links to altEC</t>
        </is>
      </c>
      <c r="E2267" s="1" t="inlineStr">
        <is>
          <t>Base</t>
        </is>
      </c>
      <c r="F2267" s="1" t="n">
        <v>1.224373</v>
      </c>
    </row>
    <row r="2268" ht="15.75" customHeight="1" s="201">
      <c r="A2268" s="1" t="n">
        <v>53452200</v>
      </c>
      <c r="B2268" s="1" t="inlineStr">
        <is>
          <t>Pastry, Italian, with cheese (Includes cannoli)</t>
        </is>
      </c>
      <c r="C2268" s="1" t="n">
        <v>1</v>
      </c>
      <c r="D2268" s="1" t="inlineStr">
        <is>
          <t>Links to FNDDS</t>
        </is>
      </c>
      <c r="E2268" s="1" t="inlineStr">
        <is>
          <t>Base</t>
        </is>
      </c>
      <c r="F2268" s="1" t="n">
        <v>2.221211</v>
      </c>
    </row>
    <row r="2269" ht="15.75" customHeight="1" s="201">
      <c r="A2269" s="1" t="n">
        <v>53452400</v>
      </c>
      <c r="B2269" s="1" t="inlineStr">
        <is>
          <t>Pastry, puff (Includes angel wings; flaky pastry; patty shell)</t>
        </is>
      </c>
      <c r="C2269" s="1" t="n">
        <v>1</v>
      </c>
      <c r="D2269" s="1" t="inlineStr">
        <is>
          <t>Links to FNDDS</t>
        </is>
      </c>
      <c r="E2269" s="1" t="inlineStr">
        <is>
          <t>Base</t>
        </is>
      </c>
      <c r="F2269" s="1" t="n">
        <v>0.767022</v>
      </c>
    </row>
    <row r="2270" ht="15.75" customHeight="1" s="201">
      <c r="A2270" s="1" t="n">
        <v>53452420</v>
      </c>
      <c r="B2270" s="1" t="inlineStr">
        <is>
          <t>Pastry, puff, custard or cream filled, iced or not iced (Includes cream horn; Napoleon)</t>
        </is>
      </c>
      <c r="C2270" s="1" t="n">
        <v>1</v>
      </c>
      <c r="D2270" s="1" t="inlineStr">
        <is>
          <t>Links to FNDDS</t>
        </is>
      </c>
      <c r="E2270" s="1" t="inlineStr">
        <is>
          <t>Base</t>
        </is>
      </c>
      <c r="F2270" s="1" t="n">
        <v>1.245742</v>
      </c>
    </row>
    <row r="2271" ht="15.75" customHeight="1" s="201">
      <c r="A2271" s="1" t="n">
        <v>53452500</v>
      </c>
      <c r="B2271" s="1" t="inlineStr">
        <is>
          <t>Pastry, mainly flour and water, fried (Includes Keebler Chacho's Flour Tortilla Chips; Taco Bell Cinnamon Twist; Elephant Ears)</t>
        </is>
      </c>
      <c r="C2271" s="1" t="n">
        <v>1</v>
      </c>
      <c r="D2271" s="1" t="inlineStr">
        <is>
          <t>Links to FNDDS</t>
        </is>
      </c>
      <c r="E2271" s="1" t="inlineStr">
        <is>
          <t>Base</t>
        </is>
      </c>
      <c r="F2271" s="1" t="n">
        <v>1.202619</v>
      </c>
    </row>
    <row r="2272" ht="15.75" customHeight="1" s="201">
      <c r="A2272" s="1" t="n">
        <v>53453150</v>
      </c>
      <c r="B2272" s="1" t="inlineStr">
        <is>
          <t>Empanada, Mexican turnover, fruit-filled</t>
        </is>
      </c>
      <c r="C2272" s="1" t="n">
        <v>2</v>
      </c>
      <c r="D2272" s="1" t="inlineStr">
        <is>
          <t>Links to altEC</t>
        </is>
      </c>
      <c r="E2272" s="1" t="inlineStr">
        <is>
          <t>Base</t>
        </is>
      </c>
      <c r="F2272" s="1" t="n">
        <v>1.166089</v>
      </c>
    </row>
    <row r="2273" ht="15.75" customHeight="1" s="201">
      <c r="A2273" s="1" t="n">
        <v>53453170</v>
      </c>
      <c r="B2273" s="1" t="inlineStr">
        <is>
          <t>Empanada,  Mexican turnover, pumpkin (Includes squash empanada; sweet potato empanada)</t>
        </is>
      </c>
      <c r="C2273" s="1" t="n">
        <v>2</v>
      </c>
      <c r="D2273" s="1" t="inlineStr">
        <is>
          <t>Links to altEC</t>
        </is>
      </c>
      <c r="E2273" s="1" t="inlineStr">
        <is>
          <t>Base</t>
        </is>
      </c>
      <c r="F2273" s="1" t="n">
        <v>0.926108</v>
      </c>
    </row>
    <row r="2274" ht="15.75" customHeight="1" s="201">
      <c r="A2274" s="1" t="n">
        <v>53510000</v>
      </c>
      <c r="B2274" s="1" t="inlineStr">
        <is>
          <t>Danish pastry, plain or spice (Includes snail danish; with icing; Babka; bear claw; Pillsbury Cinnamon Toaster Strudel; pecan swirls; with or without nuts)</t>
        </is>
      </c>
      <c r="C2274" s="1" t="n">
        <v>1</v>
      </c>
      <c r="D2274" s="1" t="inlineStr">
        <is>
          <t>Links to FNDDS</t>
        </is>
      </c>
      <c r="E2274" s="1" t="inlineStr">
        <is>
          <t>Base</t>
        </is>
      </c>
      <c r="F2274" s="1" t="n">
        <v>0.811763</v>
      </c>
    </row>
    <row r="2275" ht="15.75" customHeight="1" s="201">
      <c r="A2275" s="1" t="n">
        <v>53510100</v>
      </c>
      <c r="B2275" s="1" t="inlineStr">
        <is>
          <t>Danish pastry, with fruit (Includes with icing; Pillsbury Apple, Blueberry, Cherry, or Strawberry Toaster Strudel; toaster strudel, NFS)</t>
        </is>
      </c>
      <c r="C2275" s="1" t="n">
        <v>2</v>
      </c>
      <c r="D2275" s="1" t="inlineStr">
        <is>
          <t>Links to altEC</t>
        </is>
      </c>
      <c r="E2275" s="1" t="inlineStr">
        <is>
          <t>Base</t>
        </is>
      </c>
      <c r="F2275" s="1" t="n">
        <v>0.752735</v>
      </c>
    </row>
    <row r="2276" ht="15.75" customHeight="1" s="201">
      <c r="A2276" s="1" t="n">
        <v>53511000</v>
      </c>
      <c r="B2276" s="1" t="inlineStr">
        <is>
          <t>Danish pastry, with cheese</t>
        </is>
      </c>
      <c r="C2276" s="1" t="n">
        <v>1</v>
      </c>
      <c r="D2276" s="1" t="inlineStr">
        <is>
          <t>Links to FNDDS</t>
        </is>
      </c>
      <c r="E2276" s="1" t="inlineStr">
        <is>
          <t>Base</t>
        </is>
      </c>
      <c r="F2276" s="1" t="n">
        <v>0.9020860000000001</v>
      </c>
    </row>
    <row r="2277" ht="15.75" customHeight="1" s="201">
      <c r="A2277" s="1" t="n">
        <v>53520000</v>
      </c>
      <c r="B2277" s="1" t="inlineStr">
        <is>
          <t>Doughnut, NFS (Includes NS as to cake or yeast)</t>
        </is>
      </c>
      <c r="C2277" s="1" t="n">
        <v>2</v>
      </c>
      <c r="D2277" s="1" t="inlineStr">
        <is>
          <t>Links to altEC</t>
        </is>
      </c>
      <c r="E2277" s="1" t="inlineStr">
        <is>
          <t>Base</t>
        </is>
      </c>
      <c r="F2277" s="1" t="n">
        <v>0.781485</v>
      </c>
    </row>
    <row r="2278" ht="15.75" customHeight="1" s="201">
      <c r="A2278" s="1" t="n">
        <v>53520100</v>
      </c>
      <c r="B2278" s="1" t="inlineStr">
        <is>
          <t>Doughnut, cake type, plain (Includes without icing)</t>
        </is>
      </c>
      <c r="C2278" s="1" t="n">
        <v>1</v>
      </c>
      <c r="D2278" s="1" t="inlineStr">
        <is>
          <t>Links to FNDDS</t>
        </is>
      </c>
      <c r="E2278" s="1" t="inlineStr">
        <is>
          <t>Base</t>
        </is>
      </c>
      <c r="F2278" s="1" t="n">
        <v>0.811262</v>
      </c>
    </row>
    <row r="2279" ht="15.75" customHeight="1" s="201">
      <c r="A2279" s="1" t="n">
        <v>53520120</v>
      </c>
      <c r="B2279" s="1" t="inlineStr">
        <is>
          <t>Doughnut, chocolate (Includes glazed; with non-chocolate icing; cake or yeast type; chocolate donut, NFS; without icing; twist)</t>
        </is>
      </c>
      <c r="C2279" s="1" t="n">
        <v>2</v>
      </c>
      <c r="D2279" s="1" t="inlineStr">
        <is>
          <t>Links to altEC</t>
        </is>
      </c>
      <c r="E2279" s="1" t="inlineStr">
        <is>
          <t>Base</t>
        </is>
      </c>
      <c r="F2279" s="1" t="n">
        <v>0.804682</v>
      </c>
    </row>
    <row r="2280" ht="15.75" customHeight="1" s="201">
      <c r="A2280" s="1" t="n">
        <v>53520130</v>
      </c>
      <c r="B2280" s="1" t="inlineStr">
        <is>
          <t>Doughnut, cake type, powdered sugar (Includes cinnamon; cinnamon sugar)</t>
        </is>
      </c>
      <c r="C2280" s="1" t="n">
        <v>1</v>
      </c>
      <c r="D2280" s="1" t="inlineStr">
        <is>
          <t>Links to FNDDS</t>
        </is>
      </c>
      <c r="E2280" s="1" t="inlineStr">
        <is>
          <t>Base</t>
        </is>
      </c>
      <c r="F2280" s="1" t="n">
        <v>0.7534650000000001</v>
      </c>
    </row>
    <row r="2281" ht="15.75" customHeight="1" s="201">
      <c r="A2281" s="1" t="n">
        <v>53520135</v>
      </c>
      <c r="B2281" s="1" t="inlineStr">
        <is>
          <t>Doughnut, cake type, with icing (Includes with non-chocolate icing; glazed; donut stick, NFS; twist; coconut, NFS; blueberry; strawberry)</t>
        </is>
      </c>
      <c r="C2281" s="1" t="n">
        <v>2</v>
      </c>
      <c r="D2281" s="1" t="inlineStr">
        <is>
          <t>Links to altEC</t>
        </is>
      </c>
      <c r="E2281" s="1" t="inlineStr">
        <is>
          <t>Base</t>
        </is>
      </c>
      <c r="F2281" s="1" t="n">
        <v>0.761783</v>
      </c>
    </row>
    <row r="2282" ht="15.75" customHeight="1" s="201">
      <c r="A2282" s="1" t="n">
        <v>53520140</v>
      </c>
      <c r="B2282" s="1" t="inlineStr">
        <is>
          <t>Doughnut, cake type, chocolate icing (Includes twist)</t>
        </is>
      </c>
      <c r="C2282" s="1" t="n">
        <v>1</v>
      </c>
      <c r="D2282" s="1" t="inlineStr">
        <is>
          <t>Links to FNDDS</t>
        </is>
      </c>
      <c r="E2282" s="1" t="inlineStr">
        <is>
          <t>Base</t>
        </is>
      </c>
      <c r="F2282" s="1" t="n">
        <v>0.904182</v>
      </c>
    </row>
    <row r="2283" ht="15.75" customHeight="1" s="201">
      <c r="A2283" s="1" t="n">
        <v>53520160</v>
      </c>
      <c r="B2283" s="1" t="inlineStr">
        <is>
          <t>Doughnut, chocolate, with chocolate icing (Includes cake or yeast type; twist)</t>
        </is>
      </c>
      <c r="C2283" s="1" t="n">
        <v>1</v>
      </c>
      <c r="D2283" s="1" t="inlineStr">
        <is>
          <t>Links to FNDDS</t>
        </is>
      </c>
      <c r="E2283" s="1" t="inlineStr">
        <is>
          <t>Base</t>
        </is>
      </c>
      <c r="F2283" s="1" t="n">
        <v>0.685961</v>
      </c>
    </row>
    <row r="2284" ht="15.75" customHeight="1" s="201">
      <c r="A2284" s="1" t="n">
        <v>53520170</v>
      </c>
      <c r="B2284" s="1" t="inlineStr">
        <is>
          <t>Doughnut holes (Includes Munchkins)</t>
        </is>
      </c>
      <c r="C2284" s="1" t="n">
        <v>1</v>
      </c>
      <c r="D2284" s="1" t="inlineStr">
        <is>
          <t>Links to FNDDS</t>
        </is>
      </c>
      <c r="E2284" s="1" t="inlineStr">
        <is>
          <t>Base</t>
        </is>
      </c>
      <c r="F2284" s="1" t="n">
        <v>0.788722</v>
      </c>
    </row>
    <row r="2285" ht="15.75" customHeight="1" s="201">
      <c r="A2285" s="1" t="n">
        <v>53520200</v>
      </c>
      <c r="B2285" s="1" t="inlineStr">
        <is>
          <t>Churros (Includes Mexican crullers)</t>
        </is>
      </c>
      <c r="C2285" s="1" t="n">
        <v>2</v>
      </c>
      <c r="D2285" s="1" t="inlineStr">
        <is>
          <t>Links to altEC</t>
        </is>
      </c>
      <c r="E2285" s="1" t="inlineStr">
        <is>
          <t>Base</t>
        </is>
      </c>
      <c r="F2285" s="1" t="n">
        <v>0.785042</v>
      </c>
    </row>
    <row r="2286" ht="15.75" customHeight="1" s="201">
      <c r="A2286" s="1" t="n">
        <v>53521110</v>
      </c>
      <c r="B2286" s="1" t="inlineStr">
        <is>
          <t>Doughnut, yeast type (Includes honey dip; with non-chocolate icing; NS as to type of icing; without icing; donut stick; sprinkle, NFS; glazed, NFS; maple; coconut; twist, NFS; cruller)</t>
        </is>
      </c>
      <c r="C2286" s="1" t="n">
        <v>1</v>
      </c>
      <c r="D2286" s="1" t="inlineStr">
        <is>
          <t>Links to FNDDS</t>
        </is>
      </c>
      <c r="E2286" s="1" t="inlineStr">
        <is>
          <t>Base</t>
        </is>
      </c>
      <c r="F2286" s="1" t="n">
        <v>0.5798179999999999</v>
      </c>
    </row>
    <row r="2287" ht="15.75" customHeight="1" s="201">
      <c r="A2287" s="1" t="n">
        <v>53521130</v>
      </c>
      <c r="B2287" s="1" t="inlineStr">
        <is>
          <t>Doughnut, yeast type, with chocolate icing (Includes sprinkle; twist)</t>
        </is>
      </c>
      <c r="C2287" s="1" t="n">
        <v>2</v>
      </c>
      <c r="D2287" s="1" t="inlineStr">
        <is>
          <t>Links to altEC</t>
        </is>
      </c>
      <c r="E2287" s="1" t="inlineStr">
        <is>
          <t>Base</t>
        </is>
      </c>
      <c r="F2287" s="1" t="n">
        <v>0.5798179999999999</v>
      </c>
    </row>
    <row r="2288" ht="15.75" customHeight="1" s="201">
      <c r="A2288" s="1" t="n">
        <v>53521210</v>
      </c>
      <c r="B2288" s="1" t="inlineStr">
        <is>
          <t>Doughnut, custard-filled (Includes cream or chocolate filled; without icing)</t>
        </is>
      </c>
      <c r="C2288" s="1" t="n">
        <v>2</v>
      </c>
      <c r="D2288" s="1" t="inlineStr">
        <is>
          <t>Links to altEC</t>
        </is>
      </c>
      <c r="E2288" s="1" t="inlineStr">
        <is>
          <t>Base</t>
        </is>
      </c>
      <c r="F2288" s="1" t="n">
        <v>0.718101</v>
      </c>
    </row>
    <row r="2289" ht="15.75" customHeight="1" s="201">
      <c r="A2289" s="1" t="n">
        <v>53521230</v>
      </c>
      <c r="B2289" s="1" t="inlineStr">
        <is>
          <t>Doughnut, custard-filled, with icing (Includes Boston Creme; cream or chocolate filled; filled, NS as to type; icing, all flavors; Boston cream)</t>
        </is>
      </c>
      <c r="C2289" s="1" t="n">
        <v>1</v>
      </c>
      <c r="D2289" s="1" t="inlineStr">
        <is>
          <t>Links to FNDDS</t>
        </is>
      </c>
      <c r="E2289" s="1" t="inlineStr">
        <is>
          <t>Base</t>
        </is>
      </c>
      <c r="F2289" s="1" t="n">
        <v>0.95932</v>
      </c>
    </row>
    <row r="2290" ht="15.75" customHeight="1" s="201">
      <c r="A2290" s="1" t="n">
        <v>53530000</v>
      </c>
      <c r="B2290" s="1" t="inlineStr">
        <is>
          <t>Breakfast tart (Includes Pop Tart; with or without frosting; pasrty crisp)</t>
        </is>
      </c>
      <c r="C2290" s="1" t="n">
        <v>1</v>
      </c>
      <c r="D2290" s="1" t="inlineStr">
        <is>
          <t>Links to FNDDS</t>
        </is>
      </c>
      <c r="E2290" s="1" t="inlineStr">
        <is>
          <t>Base</t>
        </is>
      </c>
      <c r="F2290" s="1" t="n">
        <v>0.471733</v>
      </c>
    </row>
    <row r="2291" ht="15.75" customHeight="1" s="201">
      <c r="A2291" s="1" t="n">
        <v>53530010</v>
      </c>
      <c r="B2291" s="1" t="inlineStr">
        <is>
          <t>Breakfast tart, lowfat (Includes Low Fat Pop Tart; with or without frosting)</t>
        </is>
      </c>
      <c r="C2291" s="1" t="n">
        <v>2</v>
      </c>
      <c r="D2291" s="1" t="inlineStr">
        <is>
          <t>Links to altEC</t>
        </is>
      </c>
      <c r="E2291" s="1" t="inlineStr">
        <is>
          <t>Base</t>
        </is>
      </c>
      <c r="F2291" s="1" t="n">
        <v>0.471733</v>
      </c>
    </row>
    <row r="2292" ht="15.75" customHeight="1" s="201">
      <c r="A2292" s="1" t="n">
        <v>53610100</v>
      </c>
      <c r="B2292" s="1" t="inlineStr">
        <is>
          <t>Coffee cake, crumb or quick-bread type (Includes cinnamon cake; Drake's Coffee Cakes; made from Bisquick; with icing; with nuts; Tastykake Koffee Kake Juniors; Hostess 100 calorie cinnamon coffee cakes; coffee cake, NFS)</t>
        </is>
      </c>
      <c r="C2292" s="1" t="n">
        <v>2</v>
      </c>
      <c r="D2292" s="1" t="inlineStr">
        <is>
          <t>Links to altEC</t>
        </is>
      </c>
      <c r="E2292" s="1" t="inlineStr">
        <is>
          <t>Base</t>
        </is>
      </c>
      <c r="F2292" s="1" t="n">
        <v>1.059678</v>
      </c>
    </row>
    <row r="2293" ht="15.75" customHeight="1" s="201">
      <c r="A2293" s="1" t="n">
        <v>53610170</v>
      </c>
      <c r="B2293" s="1" t="inlineStr">
        <is>
          <t>Coffee cake, crumb or quick-bread type, with fruit (Includes apple pastry cake)</t>
        </is>
      </c>
      <c r="C2293" s="1" t="n">
        <v>1</v>
      </c>
      <c r="D2293" s="1" t="inlineStr">
        <is>
          <t>Links to FNDDS</t>
        </is>
      </c>
      <c r="E2293" s="1" t="inlineStr">
        <is>
          <t>Base</t>
        </is>
      </c>
      <c r="F2293" s="1" t="n">
        <v>1.032527</v>
      </c>
    </row>
    <row r="2294" ht="15.75" customHeight="1" s="201">
      <c r="A2294" s="1" t="n">
        <v>53610200</v>
      </c>
      <c r="B2294" s="1" t="inlineStr">
        <is>
          <t>Coffee cake, crumb or quick-bread type, cheese-filled</t>
        </is>
      </c>
      <c r="C2294" s="1" t="n">
        <v>1</v>
      </c>
      <c r="D2294" s="1" t="inlineStr">
        <is>
          <t>Links to FNDDS</t>
        </is>
      </c>
      <c r="E2294" s="1" t="inlineStr">
        <is>
          <t>Base</t>
        </is>
      </c>
      <c r="F2294" s="1" t="n">
        <v>1.112668</v>
      </c>
    </row>
    <row r="2295" ht="15.75" customHeight="1" s="201">
      <c r="A2295" s="1" t="n">
        <v>53710400</v>
      </c>
      <c r="B2295" s="1" t="inlineStr">
        <is>
          <t>Cereal or granola bar (General Mills Fiber One Chewy Bar) (Includes all flavors)</t>
        </is>
      </c>
      <c r="C2295" s="1" t="n">
        <v>1</v>
      </c>
      <c r="D2295" s="1" t="inlineStr">
        <is>
          <t>Links to FNDDS</t>
        </is>
      </c>
      <c r="E2295" s="1" t="inlineStr">
        <is>
          <t>Base</t>
        </is>
      </c>
      <c r="F2295" s="1" t="n">
        <v>1.453956</v>
      </c>
    </row>
    <row r="2296" ht="15.75" customHeight="1" s="201">
      <c r="A2296" s="1" t="n">
        <v>53710500</v>
      </c>
      <c r="B2296" s="1" t="inlineStr">
        <is>
          <t>Cereal or granola bar (Kellogg's Nutri-Grain Cereal Bar) (Includes all flavors)</t>
        </is>
      </c>
      <c r="C2296" s="1" t="n">
        <v>1</v>
      </c>
      <c r="D2296" s="1" t="inlineStr">
        <is>
          <t>Links to FNDDS</t>
        </is>
      </c>
      <c r="E2296" s="1" t="inlineStr">
        <is>
          <t>Base</t>
        </is>
      </c>
      <c r="F2296" s="1" t="n">
        <v>0.822729</v>
      </c>
    </row>
    <row r="2297" ht="15.75" customHeight="1" s="201">
      <c r="A2297" s="1" t="n">
        <v>53710504</v>
      </c>
      <c r="B2297" s="1" t="inlineStr">
        <is>
          <t>Cereal or granola bar (Kellogg's Nutri-Grain Fruit and Nut Bar) (Includes all flavors)</t>
        </is>
      </c>
      <c r="C2297" s="1" t="n">
        <v>2</v>
      </c>
      <c r="D2297" s="1" t="inlineStr">
        <is>
          <t>Links to altEC</t>
        </is>
      </c>
      <c r="E2297" s="1" t="inlineStr">
        <is>
          <t>Base</t>
        </is>
      </c>
      <c r="F2297" s="1" t="n">
        <v>1.123426</v>
      </c>
    </row>
    <row r="2298" ht="15.75" customHeight="1" s="201">
      <c r="A2298" s="1" t="n">
        <v>53710600</v>
      </c>
      <c r="B2298" s="1" t="inlineStr">
        <is>
          <t>Milk 'n Cereal bar (Includes General Mills Honey Nut Cheerios; General Mills Chex; General Mills Cinnamon Toast Crunch; Kellogg's Frosted Flakes; Kellogg's Froot Loops)</t>
        </is>
      </c>
      <c r="C2298" s="1" t="n">
        <v>1</v>
      </c>
      <c r="D2298" s="1" t="inlineStr">
        <is>
          <t>Links to FNDDS</t>
        </is>
      </c>
      <c r="E2298" s="1" t="inlineStr">
        <is>
          <t>Base</t>
        </is>
      </c>
      <c r="F2298" s="1" t="n">
        <v>1.741384</v>
      </c>
    </row>
    <row r="2299" ht="15.75" customHeight="1" s="201">
      <c r="A2299" s="1" t="n">
        <v>53710700</v>
      </c>
      <c r="B2299" s="1" t="inlineStr">
        <is>
          <t>Cereal or granola bar (Kellogg's Special K bar) (Includes all flavors)</t>
        </is>
      </c>
      <c r="C2299" s="1" t="n">
        <v>1</v>
      </c>
      <c r="D2299" s="1" t="inlineStr">
        <is>
          <t>Links to FNDDS</t>
        </is>
      </c>
      <c r="E2299" s="1" t="inlineStr">
        <is>
          <t>Base</t>
        </is>
      </c>
      <c r="F2299" s="1" t="n">
        <v>1.839087</v>
      </c>
    </row>
    <row r="2300" ht="15.75" customHeight="1" s="201">
      <c r="A2300" s="1" t="n">
        <v>53710800</v>
      </c>
      <c r="B2300" s="1" t="inlineStr">
        <is>
          <t>Cereal or granola bar (Kashi Chewy) (Includes chocolate coated; all flavors; GOLEAN; TLC)</t>
        </is>
      </c>
      <c r="C2300" s="1" t="n">
        <v>1</v>
      </c>
      <c r="D2300" s="1" t="inlineStr">
        <is>
          <t>Links to FNDDS</t>
        </is>
      </c>
      <c r="E2300" s="1" t="inlineStr">
        <is>
          <t>Base</t>
        </is>
      </c>
      <c r="F2300" s="1" t="n">
        <v>1.569683</v>
      </c>
    </row>
    <row r="2301" ht="15.75" customHeight="1" s="201">
      <c r="A2301" s="1" t="n">
        <v>53710810</v>
      </c>
      <c r="B2301" s="1" t="inlineStr">
        <is>
          <t>Cereal or granola bar (KIND Fruit and Nut Bar) (Includes all flavors)</t>
        </is>
      </c>
      <c r="C2301" s="1" t="n">
        <v>1</v>
      </c>
      <c r="D2301" s="1" t="inlineStr">
        <is>
          <t>Links to FNDDS</t>
        </is>
      </c>
      <c r="E2301" s="1" t="inlineStr">
        <is>
          <t>Base</t>
        </is>
      </c>
      <c r="F2301" s="1" t="n">
        <v>3.205633</v>
      </c>
    </row>
    <row r="2302" ht="15.75" customHeight="1" s="201">
      <c r="A2302" s="1" t="n">
        <v>53710900</v>
      </c>
      <c r="B2302" s="1" t="inlineStr">
        <is>
          <t>Cereal or granola bar (General Mills Nature Valley Chewy Trail Mix) (Includes all flavors)</t>
        </is>
      </c>
      <c r="C2302" s="1" t="n">
        <v>1</v>
      </c>
      <c r="D2302" s="1" t="inlineStr">
        <is>
          <t>Links to FNDDS</t>
        </is>
      </c>
      <c r="E2302" s="1" t="inlineStr">
        <is>
          <t>Base</t>
        </is>
      </c>
      <c r="F2302" s="1" t="n">
        <v>1.077222</v>
      </c>
    </row>
    <row r="2303" ht="15.75" customHeight="1" s="201">
      <c r="A2303" s="1" t="n">
        <v>53710902</v>
      </c>
      <c r="B2303" s="1" t="inlineStr">
        <is>
          <t>Cereal or granola bar, with yogurt coating (General Mills Nature Valley Chewy Granola Bar) (Includes all flavors)</t>
        </is>
      </c>
      <c r="C2303" s="1" t="n">
        <v>1</v>
      </c>
      <c r="D2303" s="1" t="inlineStr">
        <is>
          <t>Links to FNDDS</t>
        </is>
      </c>
      <c r="E2303" s="1" t="inlineStr">
        <is>
          <t>Base</t>
        </is>
      </c>
      <c r="F2303" s="1" t="n">
        <v>1.136167</v>
      </c>
    </row>
    <row r="2304" ht="15.75" customHeight="1" s="201">
      <c r="A2304" s="1" t="n">
        <v>53710904</v>
      </c>
      <c r="B2304" s="1" t="inlineStr">
        <is>
          <t>Cereal or granola bar (General Mills Nature Valley Sweet and Salty Granola Bar) (Includes all flavors)</t>
        </is>
      </c>
      <c r="C2304" s="1" t="n">
        <v>1</v>
      </c>
      <c r="D2304" s="1" t="inlineStr">
        <is>
          <t>Links to FNDDS</t>
        </is>
      </c>
      <c r="E2304" s="1" t="inlineStr">
        <is>
          <t>Base</t>
        </is>
      </c>
      <c r="F2304" s="1" t="n">
        <v>1.132357</v>
      </c>
    </row>
    <row r="2305" ht="15.75" customHeight="1" s="201">
      <c r="A2305" s="1" t="n">
        <v>53710906</v>
      </c>
      <c r="B2305" s="1" t="inlineStr">
        <is>
          <t>Cereal or granola bar (General Mills Nature Valley Crunchy Granola Bar) (Includes all flavors; Nature Valley Granola Bar, NFS)</t>
        </is>
      </c>
      <c r="C2305" s="1" t="n">
        <v>1</v>
      </c>
      <c r="D2305" s="1" t="inlineStr">
        <is>
          <t>Links to FNDDS</t>
        </is>
      </c>
      <c r="E2305" s="1" t="inlineStr">
        <is>
          <t>Base</t>
        </is>
      </c>
      <c r="F2305" s="1" t="n">
        <v>0.9847320000000001</v>
      </c>
    </row>
    <row r="2306" ht="15.75" customHeight="1" s="201">
      <c r="A2306" s="1" t="n">
        <v>53711000</v>
      </c>
      <c r="B2306" s="1" t="inlineStr">
        <is>
          <t>Cereal or granola bar (Quaker Chewy Granola Bar) (Includes all flavors; Quaker Oats bar, NFS)</t>
        </is>
      </c>
      <c r="C2306" s="1" t="n">
        <v>1</v>
      </c>
      <c r="D2306" s="1" t="inlineStr">
        <is>
          <t>Links to FNDDS</t>
        </is>
      </c>
      <c r="E2306" s="1" t="inlineStr">
        <is>
          <t>Base</t>
        </is>
      </c>
      <c r="F2306" s="1" t="n">
        <v>0.946308</v>
      </c>
    </row>
    <row r="2307" ht="15.75" customHeight="1" s="201">
      <c r="A2307" s="1" t="n">
        <v>53711002</v>
      </c>
      <c r="B2307" s="1" t="inlineStr">
        <is>
          <t>Cereal or granola bar (Quaker Chewy 90 Calorie Granola Bar) (Includes all flavors; Quaker Lowfat Chewy Granola Bars)</t>
        </is>
      </c>
      <c r="C2307" s="1" t="n">
        <v>2</v>
      </c>
      <c r="D2307" s="1" t="inlineStr">
        <is>
          <t>Links to altEC</t>
        </is>
      </c>
      <c r="E2307" s="1" t="inlineStr">
        <is>
          <t>Base</t>
        </is>
      </c>
      <c r="F2307" s="1" t="n">
        <v>0.946308</v>
      </c>
    </row>
    <row r="2308" ht="15.75" customHeight="1" s="201">
      <c r="A2308" s="1" t="n">
        <v>53711004</v>
      </c>
      <c r="B2308" s="1" t="inlineStr">
        <is>
          <t>Cereal or granola bar (Quaker Chewy 25% Less Sugar Granola Bar) (Includes all flavors; Quaker Chewy Reduced Sugar Granola Bar)</t>
        </is>
      </c>
      <c r="C2308" s="1" t="n">
        <v>2</v>
      </c>
      <c r="D2308" s="1" t="inlineStr">
        <is>
          <t>Links to altEC</t>
        </is>
      </c>
      <c r="E2308" s="1" t="inlineStr">
        <is>
          <t>Base</t>
        </is>
      </c>
      <c r="F2308" s="1" t="n">
        <v>4.316554</v>
      </c>
    </row>
    <row r="2309" ht="15.75" customHeight="1" s="201">
      <c r="A2309" s="1" t="n">
        <v>53711006</v>
      </c>
      <c r="B2309" s="1" t="inlineStr">
        <is>
          <t>Cereal or granola bar (Quaker Chewy Dipps Granola Bar) (Includes all flavors)</t>
        </is>
      </c>
      <c r="C2309" s="1" t="n">
        <v>1</v>
      </c>
      <c r="D2309" s="1" t="inlineStr">
        <is>
          <t>Links to FNDDS</t>
        </is>
      </c>
      <c r="E2309" s="1" t="inlineStr">
        <is>
          <t>Base</t>
        </is>
      </c>
      <c r="F2309" s="1" t="n">
        <v>0.933192</v>
      </c>
    </row>
    <row r="2310" ht="15.75" customHeight="1" s="201">
      <c r="A2310" s="1" t="n">
        <v>53712000</v>
      </c>
      <c r="B2310" s="1" t="inlineStr">
        <is>
          <t>Snack bar, oatmeal (Includes Quaker Oatmeal To Go, all flavors; Quaker Breakfast Cookie, all flavors)</t>
        </is>
      </c>
      <c r="C2310" s="1" t="n">
        <v>1</v>
      </c>
      <c r="D2310" s="1" t="inlineStr">
        <is>
          <t>Links to FNDDS</t>
        </is>
      </c>
      <c r="E2310" s="1" t="inlineStr">
        <is>
          <t>Base</t>
        </is>
      </c>
      <c r="F2310" s="1" t="n">
        <v>1.256415</v>
      </c>
    </row>
    <row r="2311" ht="15.75" customHeight="1" s="201">
      <c r="A2311" s="1" t="n">
        <v>53712100</v>
      </c>
      <c r="B2311" s="1" t="inlineStr">
        <is>
          <t>Cereal or Granola bar, NFS (Includes with chocolate chips; New Trail Granola Bars; with oats, sugar, raisins, coconut; Sunbelt Granola Bar, all flavors)</t>
        </is>
      </c>
      <c r="C2311" s="1" t="n">
        <v>2</v>
      </c>
      <c r="D2311" s="1" t="inlineStr">
        <is>
          <t>Links to altEC</t>
        </is>
      </c>
      <c r="E2311" s="1" t="inlineStr">
        <is>
          <t>Base</t>
        </is>
      </c>
      <c r="F2311" s="1" t="n">
        <v>1.107601</v>
      </c>
    </row>
    <row r="2312" ht="15.75" customHeight="1" s="201">
      <c r="A2312" s="1" t="n">
        <v>53712200</v>
      </c>
      <c r="B2312" s="1" t="inlineStr">
        <is>
          <t>Cereal or granola bar, lowfat, NFS (Includes all flavors; with oats, fruit and nuts, lowfat; Sunbelt Lowfat Chewy Granola Bar)</t>
        </is>
      </c>
      <c r="C2312" s="1" t="n">
        <v>2</v>
      </c>
      <c r="D2312" s="1" t="inlineStr">
        <is>
          <t>Links to altEC</t>
        </is>
      </c>
      <c r="E2312" s="1" t="inlineStr">
        <is>
          <t>Base</t>
        </is>
      </c>
      <c r="F2312" s="1" t="n">
        <v>1.25088</v>
      </c>
    </row>
    <row r="2313" ht="15.75" customHeight="1" s="201">
      <c r="A2313" s="1" t="n">
        <v>53712210</v>
      </c>
      <c r="B2313" s="1" t="inlineStr">
        <is>
          <t>Cereal or granola bar, nonfat (Includes all fruit and nut flavors; Health Valley Fat-Free Granola Bars)</t>
        </is>
      </c>
      <c r="C2313" s="1" t="n">
        <v>2</v>
      </c>
      <c r="D2313" s="1" t="inlineStr">
        <is>
          <t>Links to altEC</t>
        </is>
      </c>
      <c r="E2313" s="1" t="inlineStr">
        <is>
          <t>Base</t>
        </is>
      </c>
      <c r="F2313" s="1" t="n">
        <v>1.25088</v>
      </c>
    </row>
    <row r="2314" ht="15.75" customHeight="1" s="201">
      <c r="A2314" s="1" t="n">
        <v>53713100</v>
      </c>
      <c r="B2314" s="1" t="inlineStr">
        <is>
          <t>Cereal or granola bar, peanuts , oats, sugar, wheat germ</t>
        </is>
      </c>
      <c r="C2314" s="1" t="n">
        <v>2</v>
      </c>
      <c r="D2314" s="1" t="inlineStr">
        <is>
          <t>Links to altEC</t>
        </is>
      </c>
      <c r="E2314" s="1" t="inlineStr">
        <is>
          <t>Base</t>
        </is>
      </c>
      <c r="F2314" s="1" t="n">
        <v>1.25088</v>
      </c>
    </row>
    <row r="2315" ht="15.75" customHeight="1" s="201">
      <c r="A2315" s="1" t="n">
        <v>53714200</v>
      </c>
      <c r="B2315" s="1" t="inlineStr">
        <is>
          <t>Cereal or granola bar, chocolate coated, NFS (Includes Kudos Granola Bars, all flavors; Nestle Sweet Success Bar)</t>
        </is>
      </c>
      <c r="C2315" s="1" t="n">
        <v>2</v>
      </c>
      <c r="D2315" s="1" t="inlineStr">
        <is>
          <t>Links to altEC</t>
        </is>
      </c>
      <c r="E2315" s="1" t="inlineStr">
        <is>
          <t>Base</t>
        </is>
      </c>
      <c r="F2315" s="1" t="n">
        <v>1.246318</v>
      </c>
    </row>
    <row r="2316" ht="15.75" customHeight="1" s="201">
      <c r="A2316" s="1" t="n">
        <v>53714210</v>
      </c>
      <c r="B2316" s="1" t="inlineStr">
        <is>
          <t>Cereal or granola bar, with coconut, chocolate coated (Includes Little Debbie Macaroo Fudge Dipped Chewy Granola Bar; Sunbelt Fudge Dipped Chewy Granola Bar, all flavors)</t>
        </is>
      </c>
      <c r="C2316" s="1" t="n">
        <v>2</v>
      </c>
      <c r="D2316" s="1" t="inlineStr">
        <is>
          <t>Links to altEC</t>
        </is>
      </c>
      <c r="E2316" s="1" t="inlineStr">
        <is>
          <t>Base</t>
        </is>
      </c>
      <c r="F2316" s="1" t="n">
        <v>1.245612</v>
      </c>
    </row>
    <row r="2317" ht="15.75" customHeight="1" s="201">
      <c r="A2317" s="1" t="n">
        <v>53714220</v>
      </c>
      <c r="B2317" s="1" t="inlineStr">
        <is>
          <t>Cereal or granola bar with nuts, chocolate coated (Includes Kudos Crunchy Nut Snack)</t>
        </is>
      </c>
      <c r="C2317" s="1" t="n">
        <v>1</v>
      </c>
      <c r="D2317" s="1" t="inlineStr">
        <is>
          <t>Links to FNDDS</t>
        </is>
      </c>
      <c r="E2317" s="1" t="inlineStr">
        <is>
          <t>Base</t>
        </is>
      </c>
      <c r="F2317" s="1" t="n">
        <v>1.429447</v>
      </c>
    </row>
    <row r="2318" ht="15.75" customHeight="1" s="201">
      <c r="A2318" s="1" t="n">
        <v>53714250</v>
      </c>
      <c r="B2318" s="1" t="inlineStr">
        <is>
          <t>Cereal or granola bar, coated with non-chocolate coating (Includes all flavors; Quaker Oats Peanut Butter Whipps; Jenny's Cuisine Fruit and Nut Snack Bar)</t>
        </is>
      </c>
      <c r="C2318" s="1" t="n">
        <v>1</v>
      </c>
      <c r="D2318" s="1" t="inlineStr">
        <is>
          <t>Links to FNDDS</t>
        </is>
      </c>
      <c r="E2318" s="1" t="inlineStr">
        <is>
          <t>Base</t>
        </is>
      </c>
      <c r="F2318" s="1" t="n">
        <v>0.930301</v>
      </c>
    </row>
    <row r="2319" ht="15.75" customHeight="1" s="201">
      <c r="A2319" s="1" t="n">
        <v>53714300</v>
      </c>
      <c r="B2319" s="1" t="inlineStr">
        <is>
          <t>Cereal or granola bar, high fiber, coated with non-chocolate yogurt coating (Includes lemon Fi-bar; raspberry Fi-bar; Ultra Slim Fast Vanilla Almond Crunch Snack Bar)</t>
        </is>
      </c>
      <c r="C2319" s="1" t="n">
        <v>1</v>
      </c>
      <c r="D2319" s="1" t="inlineStr">
        <is>
          <t>Links to FNDDS</t>
        </is>
      </c>
      <c r="E2319" s="1" t="inlineStr">
        <is>
          <t>Base</t>
        </is>
      </c>
      <c r="F2319" s="1" t="n">
        <v>0.99905</v>
      </c>
    </row>
    <row r="2320" ht="15.75" customHeight="1" s="201">
      <c r="A2320" s="1" t="n">
        <v>53714400</v>
      </c>
      <c r="B2320" s="1" t="inlineStr">
        <is>
          <t>Cereal or granola bar, with rice cereal (Includes Kellogg's Rice Krispies Bar)</t>
        </is>
      </c>
      <c r="C2320" s="1" t="n">
        <v>2</v>
      </c>
      <c r="D2320" s="1" t="inlineStr">
        <is>
          <t>Links to altEC</t>
        </is>
      </c>
      <c r="E2320" s="1" t="inlineStr">
        <is>
          <t>Base</t>
        </is>
      </c>
      <c r="F2320" s="1" t="n">
        <v>1.124654</v>
      </c>
    </row>
    <row r="2321" ht="15.75" customHeight="1" s="201">
      <c r="A2321" s="1" t="n">
        <v>53714500</v>
      </c>
      <c r="B2321" s="1" t="inlineStr">
        <is>
          <t>Breakfast bar, NFS</t>
        </is>
      </c>
      <c r="C2321" s="1" t="n">
        <v>2</v>
      </c>
      <c r="D2321" s="1" t="inlineStr">
        <is>
          <t>Links to altEC</t>
        </is>
      </c>
      <c r="E2321" s="1" t="inlineStr">
        <is>
          <t>Base</t>
        </is>
      </c>
      <c r="F2321" s="1" t="n">
        <v>0.878227</v>
      </c>
    </row>
    <row r="2322" ht="15.75" customHeight="1" s="201">
      <c r="A2322" s="1" t="n">
        <v>53714520</v>
      </c>
      <c r="B2322" s="1" t="inlineStr">
        <is>
          <t>Breakfast bar, cereal crust with fruit filling, lowfat</t>
        </is>
      </c>
      <c r="C2322" s="1" t="n">
        <v>2</v>
      </c>
      <c r="D2322" s="1" t="inlineStr">
        <is>
          <t>Links to altEC</t>
        </is>
      </c>
      <c r="E2322" s="1" t="inlineStr">
        <is>
          <t>Base</t>
        </is>
      </c>
      <c r="F2322" s="1" t="n">
        <v>0.875289</v>
      </c>
    </row>
    <row r="2323" ht="15.75" customHeight="1" s="201">
      <c r="A2323" s="1" t="n">
        <v>53720100</v>
      </c>
      <c r="B2323" s="1" t="inlineStr">
        <is>
          <t>Nutrition bar (Balance Original Bar) (Includes all flavors)</t>
        </is>
      </c>
      <c r="C2323" s="1" t="n">
        <v>1</v>
      </c>
      <c r="D2323" s="1" t="inlineStr">
        <is>
          <t>Links to FNDDS</t>
        </is>
      </c>
      <c r="E2323" s="1" t="inlineStr">
        <is>
          <t>Base</t>
        </is>
      </c>
      <c r="F2323" s="1" t="n">
        <v>1.945055</v>
      </c>
    </row>
    <row r="2324" ht="15.75" customHeight="1" s="201">
      <c r="A2324" s="1" t="n">
        <v>53720200</v>
      </c>
      <c r="B2324" s="1" t="inlineStr">
        <is>
          <t>Nutrition bar (Clif Bar) (Includes all flavors; Clif Minis)</t>
        </is>
      </c>
      <c r="C2324" s="1" t="n">
        <v>1</v>
      </c>
      <c r="D2324" s="1" t="inlineStr">
        <is>
          <t>Links to FNDDS</t>
        </is>
      </c>
      <c r="E2324" s="1" t="inlineStr">
        <is>
          <t>Base</t>
        </is>
      </c>
      <c r="F2324" s="1" t="n">
        <v>1.652011</v>
      </c>
    </row>
    <row r="2325" ht="15.75" customHeight="1" s="201">
      <c r="A2325" s="1" t="n">
        <v>53720300</v>
      </c>
      <c r="B2325" s="1" t="inlineStr">
        <is>
          <t>Nutrition bar (PowerBar) (Includes all flavors; PowerBar energy bar)</t>
        </is>
      </c>
      <c r="C2325" s="1" t="n">
        <v>1</v>
      </c>
      <c r="D2325" s="1" t="inlineStr">
        <is>
          <t>Links to FNDDS</t>
        </is>
      </c>
      <c r="E2325" s="1" t="inlineStr">
        <is>
          <t>Base</t>
        </is>
      </c>
      <c r="F2325" s="1" t="n">
        <v>2.28629</v>
      </c>
    </row>
    <row r="2326" ht="15.75" customHeight="1" s="201">
      <c r="A2326" s="1" t="n">
        <v>53720500</v>
      </c>
      <c r="B2326" s="1" t="inlineStr">
        <is>
          <t>Nutrition bar (Snickers Marathon Protein Bar)</t>
        </is>
      </c>
      <c r="C2326" s="1" t="n">
        <v>2</v>
      </c>
      <c r="D2326" s="1" t="inlineStr">
        <is>
          <t>Links to altEC</t>
        </is>
      </c>
      <c r="E2326" s="1" t="inlineStr">
        <is>
          <t>Base</t>
        </is>
      </c>
      <c r="F2326" s="1" t="n">
        <v>2.038668</v>
      </c>
    </row>
    <row r="2327" ht="15.75" customHeight="1" s="201">
      <c r="A2327" s="1" t="n">
        <v>53720610</v>
      </c>
      <c r="B2327" s="1" t="inlineStr">
        <is>
          <t>Nutrition bar (South Beach Living High Protein Bar) (Includes all flavors)</t>
        </is>
      </c>
      <c r="C2327" s="1" t="n">
        <v>2</v>
      </c>
      <c r="D2327" s="1" t="inlineStr">
        <is>
          <t>Links to altEC</t>
        </is>
      </c>
      <c r="E2327" s="1" t="inlineStr">
        <is>
          <t>Base</t>
        </is>
      </c>
      <c r="F2327" s="1" t="n">
        <v>2.181423</v>
      </c>
    </row>
    <row r="2328" ht="15.75" customHeight="1" s="201">
      <c r="A2328" s="1" t="n">
        <v>53720800</v>
      </c>
      <c r="B2328" s="1" t="inlineStr">
        <is>
          <t>Nutrition bar (Zone Perfect Classic Crunch) (Includes all flavors)</t>
        </is>
      </c>
      <c r="C2328" s="1" t="n">
        <v>1</v>
      </c>
      <c r="D2328" s="1" t="inlineStr">
        <is>
          <t>Links to FNDDS</t>
        </is>
      </c>
      <c r="E2328" s="1" t="inlineStr">
        <is>
          <t>Base</t>
        </is>
      </c>
      <c r="F2328" s="1" t="n">
        <v>1.857626</v>
      </c>
    </row>
    <row r="2329" ht="15.75" customHeight="1" s="201">
      <c r="A2329" s="1" t="n">
        <v>53729000</v>
      </c>
      <c r="B2329" s="1" t="inlineStr">
        <is>
          <t>Nutrition bar or meal replacement bar, NFS</t>
        </is>
      </c>
      <c r="C2329" s="1" t="n">
        <v>2</v>
      </c>
      <c r="D2329" s="1" t="inlineStr">
        <is>
          <t>Links to altEC</t>
        </is>
      </c>
      <c r="E2329" s="1" t="inlineStr">
        <is>
          <t>Base</t>
        </is>
      </c>
      <c r="F2329" s="1" t="n">
        <v>2.038668</v>
      </c>
    </row>
    <row r="2330" ht="15.75" customHeight="1" s="201">
      <c r="A2330" s="1" t="n">
        <v>53803100</v>
      </c>
      <c r="B2330" s="1" t="inlineStr">
        <is>
          <t>Cookie, baby food (Includes Gerber animal-shaped cookies)</t>
        </is>
      </c>
      <c r="C2330" s="1" t="n">
        <v>1</v>
      </c>
      <c r="D2330" s="1" t="inlineStr">
        <is>
          <t>Links to FNDDS</t>
        </is>
      </c>
      <c r="E2330" s="1" t="inlineStr">
        <is>
          <t>Base</t>
        </is>
      </c>
      <c r="F2330" s="1" t="n">
        <v>1.600807</v>
      </c>
    </row>
    <row r="2331" ht="15.75" customHeight="1" s="201">
      <c r="A2331" s="1" t="n">
        <v>53803250</v>
      </c>
      <c r="B2331" s="1" t="inlineStr">
        <is>
          <t>Cookie, teething, baby (Includes Gerber Toddler Biter Biscuits)</t>
        </is>
      </c>
      <c r="C2331" s="1" t="n">
        <v>2</v>
      </c>
      <c r="D2331" s="1" t="inlineStr">
        <is>
          <t>Links to altEC</t>
        </is>
      </c>
      <c r="E2331" s="1" t="inlineStr">
        <is>
          <t>Base</t>
        </is>
      </c>
      <c r="F2331" s="1" t="n">
        <v>1.829553</v>
      </c>
    </row>
    <row r="2332" ht="15.75" customHeight="1" s="201">
      <c r="A2332" s="1" t="n">
        <v>54001000</v>
      </c>
      <c r="B2332" s="1" t="inlineStr">
        <is>
          <t>Crackers, NFS (Includes NS as to kind, type, or brand)</t>
        </is>
      </c>
      <c r="C2332" s="1" t="n">
        <v>2</v>
      </c>
      <c r="D2332" s="1" t="inlineStr">
        <is>
          <t>Links to altEC</t>
        </is>
      </c>
      <c r="E2332" s="1" t="inlineStr">
        <is>
          <t>Base</t>
        </is>
      </c>
      <c r="F2332" s="1" t="n">
        <v>0.854908</v>
      </c>
    </row>
    <row r="2333" ht="15.75" customHeight="1" s="201">
      <c r="A2333" s="1" t="n">
        <v>54102010</v>
      </c>
      <c r="B2333" s="1" t="inlineStr">
        <is>
          <t>Graham crackers (Includes Honeymaid Sticks; all flavors; graham crackers, NFS; Honeymaid Lil' Squares; Keebler Grahams; Keebler Elfin Crackers; Keebler Scooby Doo Cracker Sticks; Goldfish Grahams)</t>
        </is>
      </c>
      <c r="C2333" s="1" t="n">
        <v>2</v>
      </c>
      <c r="D2333" s="1" t="inlineStr">
        <is>
          <t>Links to altEC</t>
        </is>
      </c>
      <c r="E2333" s="1" t="inlineStr">
        <is>
          <t>Base</t>
        </is>
      </c>
      <c r="F2333" s="1" t="n">
        <v>0.79576</v>
      </c>
    </row>
    <row r="2334" ht="15.75" customHeight="1" s="201">
      <c r="A2334" s="1" t="n">
        <v>54102015</v>
      </c>
      <c r="B2334" s="1" t="inlineStr">
        <is>
          <t>Graham crackers (Teddy Grahams) (Includes all flavors; Teddy Grahams, NFS)</t>
        </is>
      </c>
      <c r="C2334" s="1" t="n">
        <v>1</v>
      </c>
      <c r="D2334" s="1" t="inlineStr">
        <is>
          <t>Links to FNDDS</t>
        </is>
      </c>
      <c r="E2334" s="1" t="inlineStr">
        <is>
          <t>Base</t>
        </is>
      </c>
      <c r="F2334" s="1" t="n">
        <v>1.044355</v>
      </c>
    </row>
    <row r="2335" ht="15.75" customHeight="1" s="201">
      <c r="A2335" s="1" t="n">
        <v>54102020</v>
      </c>
      <c r="B2335" s="1" t="inlineStr">
        <is>
          <t>Graham crackers, chocolate covered (Includes Keebler Deluxe Grahams; Homekist Fudge Covered Graham Crackers; homemade)</t>
        </is>
      </c>
      <c r="C2335" s="1" t="n">
        <v>1</v>
      </c>
      <c r="D2335" s="1" t="inlineStr">
        <is>
          <t>Links to FNDDS</t>
        </is>
      </c>
      <c r="E2335" s="1" t="inlineStr">
        <is>
          <t>Base</t>
        </is>
      </c>
      <c r="F2335" s="1" t="n">
        <v>0.932273</v>
      </c>
    </row>
    <row r="2336" ht="15.75" customHeight="1" s="201">
      <c r="A2336" s="1" t="n">
        <v>54102050</v>
      </c>
      <c r="B2336" s="1" t="inlineStr">
        <is>
          <t>Crackers, oatmeal (Includes oat crackers)</t>
        </is>
      </c>
      <c r="C2336" s="1" t="n">
        <v>2</v>
      </c>
      <c r="D2336" s="1" t="inlineStr">
        <is>
          <t>Links to altEC</t>
        </is>
      </c>
      <c r="E2336" s="1" t="inlineStr">
        <is>
          <t>Base</t>
        </is>
      </c>
      <c r="F2336" s="1" t="n">
        <v>0.876915</v>
      </c>
    </row>
    <row r="2337" ht="15.75" customHeight="1" s="201">
      <c r="A2337" s="1" t="n">
        <v>54102060</v>
      </c>
      <c r="B2337" s="1" t="inlineStr">
        <is>
          <t>Crackers, Cuban</t>
        </is>
      </c>
      <c r="C2337" s="1" t="n">
        <v>2</v>
      </c>
      <c r="D2337" s="1" t="inlineStr">
        <is>
          <t>Links to altEC</t>
        </is>
      </c>
      <c r="E2337" s="1" t="inlineStr">
        <is>
          <t>Base</t>
        </is>
      </c>
      <c r="F2337" s="1" t="n">
        <v>1.046484</v>
      </c>
    </row>
    <row r="2338" ht="15.75" customHeight="1" s="201">
      <c r="A2338" s="1" t="n">
        <v>54102100</v>
      </c>
      <c r="B2338" s="1" t="inlineStr">
        <is>
          <t>Graham crackers, reduced fat (Includes Nabisco 100 Calorie Honey Maid Cinnamon Thin Crisps; Nabisco Honey Maid Low Fat Grahams; low fat graham crackers; fat free)</t>
        </is>
      </c>
      <c r="C2338" s="1" t="n">
        <v>2</v>
      </c>
      <c r="D2338" s="1" t="inlineStr">
        <is>
          <t>Links to altEC</t>
        </is>
      </c>
      <c r="E2338" s="1" t="inlineStr">
        <is>
          <t>Base</t>
        </is>
      </c>
      <c r="F2338" s="1" t="n">
        <v>0.7573569999999999</v>
      </c>
    </row>
    <row r="2339" ht="15.75" customHeight="1" s="201">
      <c r="A2339" s="1" t="n">
        <v>54102200</v>
      </c>
      <c r="B2339" s="1" t="inlineStr">
        <is>
          <t>Graham crackers, sandwich, with filling (Includes Keebler Fudge Graham Cracker Sandwiches; Honey Maid Grahamfuls, all flavors)</t>
        </is>
      </c>
      <c r="C2339" s="1" t="n">
        <v>1</v>
      </c>
      <c r="D2339" s="1" t="inlineStr">
        <is>
          <t>Links to FNDDS</t>
        </is>
      </c>
      <c r="E2339" s="1" t="inlineStr">
        <is>
          <t>Base</t>
        </is>
      </c>
      <c r="F2339" s="1" t="n">
        <v>1.08954</v>
      </c>
    </row>
    <row r="2340" ht="15.75" customHeight="1" s="201">
      <c r="A2340" s="1" t="n">
        <v>54103000</v>
      </c>
      <c r="B2340" s="1" t="inlineStr">
        <is>
          <t>Crackers, breakfast biscuit (Includes BelVita, all flavors; Belvita Soft Baked)</t>
        </is>
      </c>
      <c r="C2340" s="1" t="n">
        <v>1</v>
      </c>
      <c r="D2340" s="1" t="inlineStr">
        <is>
          <t>Links to FNDDS</t>
        </is>
      </c>
      <c r="E2340" s="1" t="inlineStr">
        <is>
          <t>Base</t>
        </is>
      </c>
      <c r="F2340" s="1" t="n">
        <v>1.122329</v>
      </c>
    </row>
    <row r="2341" ht="15.75" customHeight="1" s="201">
      <c r="A2341" s="1" t="n">
        <v>54200100</v>
      </c>
      <c r="B2341" s="1" t="inlineStr">
        <is>
          <t>Crackers, butter, reduced sodium (Includes lightly salted; hint of salt; low sodium; Low Sodium Ritz)</t>
        </is>
      </c>
      <c r="C2341" s="1" t="n">
        <v>1</v>
      </c>
      <c r="D2341" s="1" t="inlineStr">
        <is>
          <t>Links to FNDDS</t>
        </is>
      </c>
      <c r="E2341" s="1" t="inlineStr">
        <is>
          <t>Base</t>
        </is>
      </c>
      <c r="F2341" s="1" t="n">
        <v>0.634693</v>
      </c>
    </row>
    <row r="2342" ht="15.75" customHeight="1" s="201">
      <c r="A2342" s="1" t="n">
        <v>54202020</v>
      </c>
      <c r="B2342" s="1" t="inlineStr">
        <is>
          <t>Crackers, saltine, reduced sodium (Includes unsalted tops; Premium; low sodium; low sodium soda crackers; low sodium oyster crackers; low salt; low sodium oyster or chowder crackers; hint of salt)</t>
        </is>
      </c>
      <c r="C2342" s="1" t="n">
        <v>1</v>
      </c>
      <c r="D2342" s="1" t="inlineStr">
        <is>
          <t>Links to FNDDS</t>
        </is>
      </c>
      <c r="E2342" s="1" t="inlineStr">
        <is>
          <t>Base</t>
        </is>
      </c>
      <c r="F2342" s="1" t="n">
        <v>0.522056</v>
      </c>
    </row>
    <row r="2343" ht="15.75" customHeight="1" s="201">
      <c r="A2343" s="1" t="n">
        <v>54204020</v>
      </c>
      <c r="B2343" s="1" t="inlineStr">
        <is>
          <t>Crackers, wheat, reduced sodium (Includes low sodium; Wheat Thins Crackers, Wheat Thins Hint of Salt)</t>
        </is>
      </c>
      <c r="C2343" s="1" t="n">
        <v>1</v>
      </c>
      <c r="D2343" s="1" t="inlineStr">
        <is>
          <t>Links to FNDDS</t>
        </is>
      </c>
      <c r="E2343" s="1" t="inlineStr">
        <is>
          <t>Base</t>
        </is>
      </c>
      <c r="F2343" s="1" t="n">
        <v>0.9610649999999999</v>
      </c>
    </row>
    <row r="2344" ht="15.75" customHeight="1" s="201">
      <c r="A2344" s="1" t="n">
        <v>54204030</v>
      </c>
      <c r="B2344" s="1" t="inlineStr">
        <is>
          <t>Crackers, woven wheat, reduced sodium (Includes reduced sodium woven wheat crackers; whole grain and reduced sodium; low sodium 100% stoned wheat wafer; low sodium woven wheat crackers; whole grain and low sodium; Triscuit, whole wheat, low sodium; Triscuit Hint of Salt, whole grain)</t>
        </is>
      </c>
      <c r="C2344" s="1" t="n">
        <v>1</v>
      </c>
      <c r="D2344" s="1" t="inlineStr">
        <is>
          <t>Links to FNDDS</t>
        </is>
      </c>
      <c r="E2344" s="1" t="inlineStr">
        <is>
          <t>Base</t>
        </is>
      </c>
      <c r="F2344" s="1" t="n">
        <v>1.026586</v>
      </c>
    </row>
    <row r="2345" ht="15.75" customHeight="1" s="201">
      <c r="A2345" s="1" t="n">
        <v>54301010</v>
      </c>
      <c r="B2345" s="1" t="inlineStr">
        <is>
          <t>Crackers, butter, plain (Includes sesame seed crackers; Keebler Toasteds; Chicken in a Biskit; cracker sticks; Keebler Club Crackers, all flavors; Keebler Club Minis; Keebler Town House Original; Town House Toppers; Town House, NFS; Club, NFS)</t>
        </is>
      </c>
      <c r="C2345" s="1" t="n">
        <v>1</v>
      </c>
      <c r="D2345" s="1" t="inlineStr">
        <is>
          <t>Links to FNDDS</t>
        </is>
      </c>
      <c r="E2345" s="1" t="inlineStr">
        <is>
          <t>Base</t>
        </is>
      </c>
      <c r="F2345" s="1" t="n">
        <v>0.763548</v>
      </c>
    </row>
    <row r="2346" ht="15.75" customHeight="1" s="201">
      <c r="A2346" s="1" t="n">
        <v>54301020</v>
      </c>
      <c r="B2346" s="1" t="inlineStr">
        <is>
          <t>Crackers, butter, flavored (Includes vegetable crackers; Sociables; Pringles Cracker Stix; Keebler Town House Flipsides, all flavors; butter and pretzel crackers)</t>
        </is>
      </c>
      <c r="C2346" s="1" t="n">
        <v>1</v>
      </c>
      <c r="D2346" s="1" t="inlineStr">
        <is>
          <t>Links to FNDDS</t>
        </is>
      </c>
      <c r="E2346" s="1" t="inlineStr">
        <is>
          <t>Base</t>
        </is>
      </c>
      <c r="F2346" s="1" t="n">
        <v>1.654302</v>
      </c>
    </row>
    <row r="2347" ht="15.75" customHeight="1" s="201">
      <c r="A2347" s="1" t="n">
        <v>54301030</v>
      </c>
      <c r="B2347" s="1" t="inlineStr">
        <is>
          <t>Crackers, butter (Ritz) (Includes Ritz, all flavors; Ritz Minis; Ritz, NFS; Handi Snack Ritz crackers)</t>
        </is>
      </c>
      <c r="C2347" s="1" t="n">
        <v>1</v>
      </c>
      <c r="D2347" s="1" t="inlineStr">
        <is>
          <t>Links to FNDDS</t>
        </is>
      </c>
      <c r="E2347" s="1" t="inlineStr">
        <is>
          <t>Base</t>
        </is>
      </c>
      <c r="F2347" s="1" t="n">
        <v>0.653089</v>
      </c>
    </row>
    <row r="2348" ht="15.75" customHeight="1" s="201">
      <c r="A2348" s="1" t="n">
        <v>54301100</v>
      </c>
      <c r="B2348" s="1" t="inlineStr">
        <is>
          <t>Crackers, butter, reduced fat (Includes Keebler Reduced Fat Town House; Nabisco Reduced Fat Ritz; Kebbler Club Crackers, reduced fat; fat free; reduced fat and reduced sodium)</t>
        </is>
      </c>
      <c r="C2348" s="1" t="n">
        <v>2</v>
      </c>
      <c r="D2348" s="1" t="inlineStr">
        <is>
          <t>Links to altEC</t>
        </is>
      </c>
      <c r="E2348" s="1" t="inlineStr">
        <is>
          <t>Base</t>
        </is>
      </c>
      <c r="F2348" s="1" t="n">
        <v>0.763548</v>
      </c>
    </row>
    <row r="2349" ht="15.75" customHeight="1" s="201">
      <c r="A2349" s="1" t="n">
        <v>54304000</v>
      </c>
      <c r="B2349" s="1" t="inlineStr">
        <is>
          <t>Crackers, cheese (Includes cheese sticks; Better Cheddar; Cheese Nips; cheese crackers, NFS; Annie's Cheddar Bunnies)</t>
        </is>
      </c>
      <c r="C2349" s="1" t="n">
        <v>2</v>
      </c>
      <c r="D2349" s="1" t="inlineStr">
        <is>
          <t>Links to altEC</t>
        </is>
      </c>
      <c r="E2349" s="1" t="inlineStr">
        <is>
          <t>Base</t>
        </is>
      </c>
      <c r="F2349" s="1" t="n">
        <v>0.921615</v>
      </c>
    </row>
    <row r="2350" ht="15.75" customHeight="1" s="201">
      <c r="A2350" s="1" t="n">
        <v>54304005</v>
      </c>
      <c r="B2350" s="1" t="inlineStr">
        <is>
          <t>Crackers, cheese (Cheez-It) (Includes all flavors; 100 Calorie Cheez-It; Cheez-It Zingz; Cheez-It, NFS)</t>
        </is>
      </c>
      <c r="C2350" s="1" t="n">
        <v>1</v>
      </c>
      <c r="D2350" s="1" t="inlineStr">
        <is>
          <t>Links to FNDDS</t>
        </is>
      </c>
      <c r="E2350" s="1" t="inlineStr">
        <is>
          <t>Base</t>
        </is>
      </c>
      <c r="F2350" s="1" t="n">
        <v>0.853491</v>
      </c>
    </row>
    <row r="2351" ht="15.75" customHeight="1" s="201">
      <c r="A2351" s="1" t="n">
        <v>54304020</v>
      </c>
      <c r="B2351" s="1" t="inlineStr">
        <is>
          <t>Crackers, cheese (Goldfish) (Includes all flavors; Flavor Blasted; Goldfish Cracker Puffs)</t>
        </is>
      </c>
      <c r="C2351" s="1" t="n">
        <v>1</v>
      </c>
      <c r="D2351" s="1" t="inlineStr">
        <is>
          <t>Links to FNDDS</t>
        </is>
      </c>
      <c r="E2351" s="1" t="inlineStr">
        <is>
          <t>Base</t>
        </is>
      </c>
      <c r="F2351" s="1" t="n">
        <v>0.980649</v>
      </c>
    </row>
    <row r="2352" ht="15.75" customHeight="1" s="201">
      <c r="A2352" s="1" t="n">
        <v>54304100</v>
      </c>
      <c r="B2352" s="1" t="inlineStr">
        <is>
          <t>Crackers, cheese, reduced fat (Includes Cheez-It Reduced Fat Crackers, all flavors; Reduced Fat Cheese Nips)</t>
        </is>
      </c>
      <c r="C2352" s="1" t="n">
        <v>2</v>
      </c>
      <c r="D2352" s="1" t="inlineStr">
        <is>
          <t>Links to altEC</t>
        </is>
      </c>
      <c r="E2352" s="1" t="inlineStr">
        <is>
          <t>Base</t>
        </is>
      </c>
      <c r="F2352" s="1" t="n">
        <v>1.010361</v>
      </c>
    </row>
    <row r="2353" ht="15.75" customHeight="1" s="201">
      <c r="A2353" s="1" t="n">
        <v>54304150</v>
      </c>
      <c r="B2353" s="1" t="inlineStr">
        <is>
          <t>Crackers, cheese, whole grain (Includes Cheez-It Whole Grain Crackers; Kashi Cheese Crackers; Whole Grain Cheddar Goldfish; Annie's Whole Wheat Bunnies)</t>
        </is>
      </c>
      <c r="C2353" s="1" t="n">
        <v>1</v>
      </c>
      <c r="D2353" s="1" t="inlineStr">
        <is>
          <t>Links to FNDDS</t>
        </is>
      </c>
      <c r="E2353" s="1" t="inlineStr">
        <is>
          <t>Base</t>
        </is>
      </c>
      <c r="F2353" s="1" t="n">
        <v>1.483414</v>
      </c>
    </row>
    <row r="2354" ht="15.75" customHeight="1" s="201">
      <c r="A2354" s="1" t="n">
        <v>54305020</v>
      </c>
      <c r="B2354" s="1" t="inlineStr">
        <is>
          <t>Crackers, flatbread (Includes any grain; flatbread cracker, NFS; Wheat Thins Flatbread; Keebler Town House Flatbread Crisps; RyVita Thins; Lavosh/Lahvosh cracker)</t>
        </is>
      </c>
      <c r="C2354" s="1" t="n">
        <v>2</v>
      </c>
      <c r="D2354" s="1" t="inlineStr">
        <is>
          <t>Links to altEC</t>
        </is>
      </c>
      <c r="E2354" s="1" t="inlineStr">
        <is>
          <t>Base</t>
        </is>
      </c>
      <c r="F2354" s="1" t="n">
        <v>1.22368</v>
      </c>
    </row>
    <row r="2355" ht="15.75" customHeight="1" s="201">
      <c r="A2355" s="1" t="n">
        <v>54307000</v>
      </c>
      <c r="B2355" s="1" t="inlineStr">
        <is>
          <t>Crackers, matzo (Includes matzo farfel)</t>
        </is>
      </c>
      <c r="C2355" s="1" t="n">
        <v>1</v>
      </c>
      <c r="D2355" s="1" t="inlineStr">
        <is>
          <t>Links to FNDDS</t>
        </is>
      </c>
      <c r="E2355" s="1" t="inlineStr">
        <is>
          <t>Base</t>
        </is>
      </c>
      <c r="F2355" s="1" t="n">
        <v>0.658326</v>
      </c>
    </row>
    <row r="2356" ht="15.75" customHeight="1" s="201">
      <c r="A2356" s="1" t="n">
        <v>54308000</v>
      </c>
      <c r="B2356" s="1" t="inlineStr">
        <is>
          <t>Crackers, milk</t>
        </is>
      </c>
      <c r="C2356" s="1" t="n">
        <v>2</v>
      </c>
      <c r="D2356" s="1" t="inlineStr">
        <is>
          <t>Links to altEC</t>
        </is>
      </c>
      <c r="E2356" s="1" t="inlineStr">
        <is>
          <t>Base</t>
        </is>
      </c>
      <c r="F2356" s="1" t="n">
        <v>1.332586</v>
      </c>
    </row>
    <row r="2357" ht="15.75" customHeight="1" s="201">
      <c r="A2357" s="1" t="n">
        <v>54313000</v>
      </c>
      <c r="B2357" s="1" t="inlineStr">
        <is>
          <t>Crackers, oyster (Includes chowder cracker)</t>
        </is>
      </c>
      <c r="C2357" s="1" t="n">
        <v>1</v>
      </c>
      <c r="D2357" s="1" t="inlineStr">
        <is>
          <t>Links to FNDDS</t>
        </is>
      </c>
      <c r="E2357" s="1" t="inlineStr">
        <is>
          <t>Base</t>
        </is>
      </c>
      <c r="F2357" s="1" t="n">
        <v>0.750367</v>
      </c>
    </row>
    <row r="2358" ht="15.75" customHeight="1" s="201">
      <c r="A2358" s="1" t="n">
        <v>54318000</v>
      </c>
      <c r="B2358" s="1" t="inlineStr">
        <is>
          <t>Chips, rice (Includes all flavors; brown rice crisp; Blue Ginger Multi-Grain; Riceworks)</t>
        </is>
      </c>
      <c r="C2358" s="1" t="n">
        <v>1</v>
      </c>
      <c r="D2358" s="1" t="inlineStr">
        <is>
          <t>Links to FNDDS</t>
        </is>
      </c>
      <c r="E2358" s="1" t="inlineStr">
        <is>
          <t>Base</t>
        </is>
      </c>
      <c r="F2358" s="1" t="n">
        <v>1.779588</v>
      </c>
    </row>
    <row r="2359" ht="15.75" customHeight="1" s="201">
      <c r="A2359" s="1" t="n">
        <v>54318500</v>
      </c>
      <c r="B2359" s="1" t="inlineStr">
        <is>
          <t>Rice cake (Includes all flavors; puffed rice cake with seeds and other grains; mini rice cakes, NFS; Quaker Popped; gluten free; Quaker, lightly salted; low sodium; salt free; Quaker salt free; unsalted rice cake with seeds and other grains)</t>
        </is>
      </c>
      <c r="C2359" s="1" t="n">
        <v>1</v>
      </c>
      <c r="D2359" s="1" t="inlineStr">
        <is>
          <t>Links to FNDDS</t>
        </is>
      </c>
      <c r="E2359" s="1" t="inlineStr">
        <is>
          <t>Base</t>
        </is>
      </c>
      <c r="F2359" s="1" t="n">
        <v>1.535776</v>
      </c>
    </row>
    <row r="2360" ht="15.75" customHeight="1" s="201">
      <c r="A2360" s="1" t="n">
        <v>54319000</v>
      </c>
      <c r="B2360" s="1" t="inlineStr">
        <is>
          <t>Crackers, rice (Includes gluten free rice crackers; rice thins; Crunchmaster; Edward and Sons; Hot Kid; KA-ME (Kame); Nabisco Rice Thins; San-J; Sesmark; brown rice cracker)</t>
        </is>
      </c>
      <c r="C2360" s="1" t="n">
        <v>1</v>
      </c>
      <c r="D2360" s="1" t="inlineStr">
        <is>
          <t>Links to FNDDS</t>
        </is>
      </c>
      <c r="E2360" s="1" t="inlineStr">
        <is>
          <t>Base</t>
        </is>
      </c>
      <c r="F2360" s="1" t="n">
        <v>2.31897</v>
      </c>
    </row>
    <row r="2361" ht="15.75" customHeight="1" s="201">
      <c r="A2361" s="1" t="n">
        <v>54319005</v>
      </c>
      <c r="B2361" s="1" t="inlineStr">
        <is>
          <t>Crackers, rice and nuts (Includes Blue Diamond Nut Thins)</t>
        </is>
      </c>
      <c r="C2361" s="1" t="n">
        <v>1</v>
      </c>
      <c r="D2361" s="1" t="inlineStr">
        <is>
          <t>Links to FNDDS</t>
        </is>
      </c>
      <c r="E2361" s="1" t="inlineStr">
        <is>
          <t>Base</t>
        </is>
      </c>
      <c r="F2361" s="1" t="n">
        <v>2.434843</v>
      </c>
    </row>
    <row r="2362" ht="15.75" customHeight="1" s="201">
      <c r="A2362" s="1" t="n">
        <v>54319020</v>
      </c>
      <c r="B2362" s="1" t="inlineStr">
        <is>
          <t>Popcorn cake (Includes puffed corn and rice cake; Quaker Caramel Corn Cake; Quaker Popped Kettle Corn popcorn cakes)</t>
        </is>
      </c>
      <c r="C2362" s="1" t="n">
        <v>1</v>
      </c>
      <c r="D2362" s="1" t="inlineStr">
        <is>
          <t>Links to FNDDS</t>
        </is>
      </c>
      <c r="E2362" s="1" t="inlineStr">
        <is>
          <t>Base</t>
        </is>
      </c>
      <c r="F2362" s="1" t="n">
        <v>1.699089</v>
      </c>
    </row>
    <row r="2363" ht="15.75" customHeight="1" s="201">
      <c r="A2363" s="1" t="n">
        <v>54319500</v>
      </c>
      <c r="B2363" s="1" t="inlineStr">
        <is>
          <t>Rice paper (Includes rice paper wrappers or banh trang)</t>
        </is>
      </c>
      <c r="C2363" s="1" t="n">
        <v>1</v>
      </c>
      <c r="D2363" s="1" t="inlineStr">
        <is>
          <t>Links to FNDDS</t>
        </is>
      </c>
      <c r="E2363" s="1" t="inlineStr">
        <is>
          <t>Base</t>
        </is>
      </c>
      <c r="F2363" s="1" t="n">
        <v>1.113959</v>
      </c>
    </row>
    <row r="2364" ht="15.75" customHeight="1" s="201">
      <c r="A2364" s="1" t="n">
        <v>54325000</v>
      </c>
      <c r="B2364" s="1" t="inlineStr">
        <is>
          <t>Crackers, saltine (Includes soda crackers; Premium; Zesta; saltine, NFS)</t>
        </is>
      </c>
      <c r="C2364" s="1" t="n">
        <v>2</v>
      </c>
      <c r="D2364" s="1" t="inlineStr">
        <is>
          <t>Links to altEC</t>
        </is>
      </c>
      <c r="E2364" s="1" t="inlineStr">
        <is>
          <t>Base</t>
        </is>
      </c>
      <c r="F2364" s="1" t="n">
        <v>0.541724</v>
      </c>
    </row>
    <row r="2365" ht="15.75" customHeight="1" s="201">
      <c r="A2365" s="1" t="n">
        <v>54325010</v>
      </c>
      <c r="B2365" s="1" t="inlineStr">
        <is>
          <t>Crackers, saltine, reduced fat (Includes fat free soda crackers; Premium; fat free)</t>
        </is>
      </c>
      <c r="C2365" s="1" t="n">
        <v>2</v>
      </c>
      <c r="D2365" s="1" t="inlineStr">
        <is>
          <t>Links to altEC</t>
        </is>
      </c>
      <c r="E2365" s="1" t="inlineStr">
        <is>
          <t>Base</t>
        </is>
      </c>
      <c r="F2365" s="1" t="n">
        <v>0.5476569999999999</v>
      </c>
    </row>
    <row r="2366" ht="15.75" customHeight="1" s="201">
      <c r="A2366" s="1" t="n">
        <v>54325060</v>
      </c>
      <c r="B2366" s="1" t="inlineStr">
        <is>
          <t>Crackers, saltine, multigrain (Includes wheat; whole grain; Zesta Whole Wheat; Premium; Krispy Wheat)</t>
        </is>
      </c>
      <c r="C2366" s="1" t="n">
        <v>1</v>
      </c>
      <c r="D2366" s="1" t="inlineStr">
        <is>
          <t>Links to FNDDS</t>
        </is>
      </c>
      <c r="E2366" s="1" t="inlineStr">
        <is>
          <t>Base</t>
        </is>
      </c>
      <c r="F2366" s="1" t="n">
        <v>0.453195</v>
      </c>
    </row>
    <row r="2367" ht="15.75" customHeight="1" s="201">
      <c r="A2367" s="1" t="n">
        <v>54326000</v>
      </c>
      <c r="B2367" s="1" t="inlineStr">
        <is>
          <t>Crackers, multigrain (Includes Special K Multigrain Snack Crackers; Multigrain Town House Toppers; Wheat Thins Crackers, multigrain; Club Crackers, multigrain; Keebler Multi-Grain Club Crackers; Keebler Club Minis Multi-Grain; low sodium; salt free; reduced fat)</t>
        </is>
      </c>
      <c r="C2367" s="1" t="n">
        <v>1</v>
      </c>
      <c r="D2367" s="1" t="inlineStr">
        <is>
          <t>Links to FNDDS</t>
        </is>
      </c>
      <c r="E2367" s="1" t="inlineStr">
        <is>
          <t>Base</t>
        </is>
      </c>
      <c r="F2367" s="1" t="n">
        <v>1.013956</v>
      </c>
    </row>
    <row r="2368" ht="15.75" customHeight="1" s="201">
      <c r="A2368" s="1" t="n">
        <v>54328100</v>
      </c>
      <c r="B2368" s="1" t="inlineStr">
        <is>
          <t>Crackers, sandwich, peanut butter filled (Includes butter crackers; wheat crackers; Nabs Peanut Butter Sandwiches; peanut butter and jelly filled; Austin; Keebler; Lance; Munchies Peanut Butter on Toast; peanut butter sandwich crackers, NFS; Combos; Lance Toast Chee; Munchies Peanut Butter on Cheese)</t>
        </is>
      </c>
      <c r="C2368" s="1" t="n">
        <v>2</v>
      </c>
      <c r="D2368" s="1" t="inlineStr">
        <is>
          <t>Links to altEC</t>
        </is>
      </c>
      <c r="E2368" s="1" t="inlineStr">
        <is>
          <t>Base</t>
        </is>
      </c>
      <c r="F2368" s="1" t="n">
        <v>0.7158639999999999</v>
      </c>
    </row>
    <row r="2369" ht="15.75" customHeight="1" s="201">
      <c r="A2369" s="1" t="n">
        <v>54328105</v>
      </c>
      <c r="B2369" s="1" t="inlineStr">
        <is>
          <t>Crackers, sandwich, peanut butter filled (Ritz) (Includes Crackerfuls; Ritz Bits; Ritz, NFS)</t>
        </is>
      </c>
      <c r="C2369" s="1" t="n">
        <v>1</v>
      </c>
      <c r="D2369" s="1" t="inlineStr">
        <is>
          <t>Links to FNDDS</t>
        </is>
      </c>
      <c r="E2369" s="1" t="inlineStr">
        <is>
          <t>Base</t>
        </is>
      </c>
      <c r="F2369" s="1" t="n">
        <v>0.877544</v>
      </c>
    </row>
    <row r="2370" ht="15.75" customHeight="1" s="201">
      <c r="A2370" s="1" t="n">
        <v>54328110</v>
      </c>
      <c r="B2370" s="1" t="inlineStr">
        <is>
          <t>Crackers, sandwich, reduced fat, peanut butter filled (Includes Austin; Lance Reduced Fat Toast Chee; low fat sandwich cracker)</t>
        </is>
      </c>
      <c r="C2370" s="1" t="n">
        <v>2</v>
      </c>
      <c r="D2370" s="1" t="inlineStr">
        <is>
          <t>Links to altEC</t>
        </is>
      </c>
      <c r="E2370" s="1" t="inlineStr">
        <is>
          <t>Base</t>
        </is>
      </c>
      <c r="F2370" s="1" t="n">
        <v>0.679588</v>
      </c>
    </row>
    <row r="2371" ht="15.75" customHeight="1" s="201">
      <c r="A2371" s="1" t="n">
        <v>54328120</v>
      </c>
      <c r="B2371" s="1" t="inlineStr">
        <is>
          <t>Crackers, whole grain, sandwich, peanut butter filled (Includes Lance)</t>
        </is>
      </c>
      <c r="C2371" s="1" t="n">
        <v>1</v>
      </c>
      <c r="D2371" s="1" t="inlineStr">
        <is>
          <t>Links to FNDDS</t>
        </is>
      </c>
      <c r="E2371" s="1" t="inlineStr">
        <is>
          <t>Base</t>
        </is>
      </c>
      <c r="F2371" s="1" t="n">
        <v>0.724835</v>
      </c>
    </row>
    <row r="2372" ht="15.75" customHeight="1" s="201">
      <c r="A2372" s="1" t="n">
        <v>54328200</v>
      </c>
      <c r="B2372" s="1" t="inlineStr">
        <is>
          <t>Crackers, sandwich, cheese filled (Includes butter crackers; rye crackers; wheat crackers; Austin; Keebler; Lance; Munchies Cheese on Toast; Nabs Cheese Sandwiches; cheese sandwich crackers, NFS; Combos; Austin; Keebler; Munchies Cheese on Cheese)</t>
        </is>
      </c>
      <c r="C2372" s="1" t="n">
        <v>2</v>
      </c>
      <c r="D2372" s="1" t="inlineStr">
        <is>
          <t>Links to altEC</t>
        </is>
      </c>
      <c r="E2372" s="1" t="inlineStr">
        <is>
          <t>Base</t>
        </is>
      </c>
      <c r="F2372" s="1" t="n">
        <v>0.855115</v>
      </c>
    </row>
    <row r="2373" ht="15.75" customHeight="1" s="201">
      <c r="A2373" s="1" t="n">
        <v>54328210</v>
      </c>
      <c r="B2373" s="1" t="inlineStr">
        <is>
          <t>Crackers, sandwich, cheese filled (Ritz) (Includes Crackerfuls; Ritz Bits)</t>
        </is>
      </c>
      <c r="C2373" s="1" t="n">
        <v>1</v>
      </c>
      <c r="D2373" s="1" t="inlineStr">
        <is>
          <t>Links to FNDDS</t>
        </is>
      </c>
      <c r="E2373" s="1" t="inlineStr">
        <is>
          <t>Base</t>
        </is>
      </c>
      <c r="F2373" s="1" t="n">
        <v>1.013151</v>
      </c>
    </row>
    <row r="2374" ht="15.75" customHeight="1" s="201">
      <c r="A2374" s="1" t="n">
        <v>54336000</v>
      </c>
      <c r="B2374" s="1" t="inlineStr">
        <is>
          <t>Crackers, water (Includes Carr's; table water crackers; water biscuits)</t>
        </is>
      </c>
      <c r="C2374" s="1" t="n">
        <v>1</v>
      </c>
      <c r="D2374" s="1" t="inlineStr">
        <is>
          <t>Links to FNDDS</t>
        </is>
      </c>
      <c r="E2374" s="1" t="inlineStr">
        <is>
          <t>Base</t>
        </is>
      </c>
      <c r="F2374" s="1" t="n">
        <v>2.190421</v>
      </c>
    </row>
    <row r="2375" ht="15.75" customHeight="1" s="201">
      <c r="A2375" s="1" t="n">
        <v>54336100</v>
      </c>
      <c r="B2375" s="1" t="inlineStr">
        <is>
          <t>Crackers, wonton (Includes won ton chips; wonton crackers)</t>
        </is>
      </c>
      <c r="C2375" s="1" t="n">
        <v>1</v>
      </c>
      <c r="D2375" s="1" t="inlineStr">
        <is>
          <t>Links to FNDDS</t>
        </is>
      </c>
      <c r="E2375" s="1" t="inlineStr">
        <is>
          <t>Base</t>
        </is>
      </c>
      <c r="F2375" s="1" t="n">
        <v>1.927598</v>
      </c>
    </row>
    <row r="2376" ht="15.75" customHeight="1" s="201">
      <c r="A2376" s="1" t="n">
        <v>54337010</v>
      </c>
      <c r="B2376" s="1" t="inlineStr">
        <is>
          <t>Crackers, woven wheat (Includes all flavors; whole grain; whole wheat)</t>
        </is>
      </c>
      <c r="C2376" s="1" t="n">
        <v>1</v>
      </c>
      <c r="D2376" s="1" t="inlineStr">
        <is>
          <t>Links to FNDDS</t>
        </is>
      </c>
      <c r="E2376" s="1" t="inlineStr">
        <is>
          <t>Base</t>
        </is>
      </c>
      <c r="F2376" s="1" t="n">
        <v>1.139611</v>
      </c>
    </row>
    <row r="2377" ht="15.75" customHeight="1" s="201">
      <c r="A2377" s="1" t="n">
        <v>54337020</v>
      </c>
      <c r="B2377" s="1" t="inlineStr">
        <is>
          <t>Crackers, woven wheat, plain (Triscuit) (Includes Triscuit, original; Triscuit Minis; Triscuit Thin Crisps Original; Triscuit, NFS; whole grain)</t>
        </is>
      </c>
      <c r="C2377" s="1" t="n">
        <v>1</v>
      </c>
      <c r="D2377" s="1" t="inlineStr">
        <is>
          <t>Links to FNDDS</t>
        </is>
      </c>
      <c r="E2377" s="1" t="inlineStr">
        <is>
          <t>Base</t>
        </is>
      </c>
      <c r="F2377" s="1" t="n">
        <v>1.028961</v>
      </c>
    </row>
    <row r="2378" ht="15.75" customHeight="1" s="201">
      <c r="A2378" s="1" t="n">
        <v>54337030</v>
      </c>
      <c r="B2378" s="1" t="inlineStr">
        <is>
          <t>Crackers, woven wheat, flavored (Triscuit) (Includes Triscuit or Triscuit Thin Crisps, all flavors excluding Original; whole grain)</t>
        </is>
      </c>
      <c r="C2378" s="1" t="n">
        <v>1</v>
      </c>
      <c r="D2378" s="1" t="inlineStr">
        <is>
          <t>Links to FNDDS</t>
        </is>
      </c>
      <c r="E2378" s="1" t="inlineStr">
        <is>
          <t>Base</t>
        </is>
      </c>
      <c r="F2378" s="1" t="n">
        <v>1.030703</v>
      </c>
    </row>
    <row r="2379" ht="15.75" customHeight="1" s="201">
      <c r="A2379" s="1" t="n">
        <v>54337060</v>
      </c>
      <c r="B2379" s="1" t="inlineStr">
        <is>
          <t>Crackers, woven wheat, reduced fat (Includes reduced fat woven wheat crackers; whole grain and reduced fat; Triscuit crackers, whole wheat, reduced fat)</t>
        </is>
      </c>
      <c r="C2379" s="1" t="n">
        <v>2</v>
      </c>
      <c r="D2379" s="1" t="inlineStr">
        <is>
          <t>Links to altEC</t>
        </is>
      </c>
      <c r="E2379" s="1" t="inlineStr">
        <is>
          <t>Base</t>
        </is>
      </c>
      <c r="F2379" s="1" t="n">
        <v>1.026586</v>
      </c>
    </row>
    <row r="2380" ht="15.75" customHeight="1" s="201">
      <c r="A2380" s="1" t="n">
        <v>54338000</v>
      </c>
      <c r="B2380" s="1" t="inlineStr">
        <is>
          <t>Crackers, wheat (Includes Wheatsworth; Wheatables, all flavors; toasted wheat; cracked wheat; stoned wheat; Harvest Wheats; Ritz Crackers with Whole Wheat; Toasteds Wheat; Ritz Honey Wheat; Keebler Town House Wheat)</t>
        </is>
      </c>
      <c r="C2380" s="1" t="n">
        <v>1</v>
      </c>
      <c r="D2380" s="1" t="inlineStr">
        <is>
          <t>Links to FNDDS</t>
        </is>
      </c>
      <c r="E2380" s="1" t="inlineStr">
        <is>
          <t>Base</t>
        </is>
      </c>
      <c r="F2380" s="1" t="n">
        <v>0.876915</v>
      </c>
    </row>
    <row r="2381" ht="15.75" customHeight="1" s="201">
      <c r="A2381" s="1" t="n">
        <v>54338010</v>
      </c>
      <c r="B2381" s="1" t="inlineStr">
        <is>
          <t>Crackers, wheat, plain (Wheat Thins) (Includes Wheat Thins Original; Wheat Thins Big; Wheat Thins Stix; Wheat Thins, NFS)</t>
        </is>
      </c>
      <c r="C2381" s="1" t="n">
        <v>1</v>
      </c>
      <c r="D2381" s="1" t="inlineStr">
        <is>
          <t>Links to FNDDS</t>
        </is>
      </c>
      <c r="E2381" s="1" t="inlineStr">
        <is>
          <t>Base</t>
        </is>
      </c>
      <c r="F2381" s="1" t="n">
        <v>0.9320040000000001</v>
      </c>
    </row>
    <row r="2382" ht="15.75" customHeight="1" s="201">
      <c r="A2382" s="1" t="n">
        <v>54338020</v>
      </c>
      <c r="B2382" s="1" t="inlineStr">
        <is>
          <t>Crackers, wheat, flavored (Wheat Thins) (Includes all flavors; Wheat Thins Flavored Stix)</t>
        </is>
      </c>
      <c r="C2382" s="1" t="n">
        <v>1</v>
      </c>
      <c r="D2382" s="1" t="inlineStr">
        <is>
          <t>Links to FNDDS</t>
        </is>
      </c>
      <c r="E2382" s="1" t="inlineStr">
        <is>
          <t>Base</t>
        </is>
      </c>
      <c r="F2382" s="1" t="n">
        <v>1.037463</v>
      </c>
    </row>
    <row r="2383" ht="15.75" customHeight="1" s="201">
      <c r="A2383" s="1" t="n">
        <v>54338100</v>
      </c>
      <c r="B2383" s="1" t="inlineStr">
        <is>
          <t>Crackers, wheat, reduced fat (Includes Reduced Fat Wheat Thins; reduced fat and reduced sodium)</t>
        </is>
      </c>
      <c r="C2383" s="1" t="n">
        <v>2</v>
      </c>
      <c r="D2383" s="1" t="inlineStr">
        <is>
          <t>Links to altEC</t>
        </is>
      </c>
      <c r="E2383" s="1" t="inlineStr">
        <is>
          <t>Base</t>
        </is>
      </c>
      <c r="F2383" s="1" t="n">
        <v>0.9610649999999999</v>
      </c>
    </row>
    <row r="2384" ht="15.75" customHeight="1" s="201">
      <c r="A2384" s="1" t="n">
        <v>54340100</v>
      </c>
      <c r="B2384" s="1" t="inlineStr">
        <is>
          <t>Crackers, gluten free, plain (Includes Glutino; Van's; multigrain)</t>
        </is>
      </c>
      <c r="C2384" s="1" t="n">
        <v>1</v>
      </c>
      <c r="D2384" s="1" t="inlineStr">
        <is>
          <t>Links to FNDDS</t>
        </is>
      </c>
      <c r="E2384" s="1" t="inlineStr">
        <is>
          <t>Base</t>
        </is>
      </c>
      <c r="F2384" s="1" t="n">
        <v>2.240472</v>
      </c>
    </row>
    <row r="2385" ht="15.75" customHeight="1" s="201">
      <c r="A2385" s="1" t="n">
        <v>54340110</v>
      </c>
      <c r="B2385" s="1" t="inlineStr">
        <is>
          <t>Crackers, gluten free, flavored (Includes Glutino; Van's; cheese flavored)</t>
        </is>
      </c>
      <c r="C2385" s="1" t="n">
        <v>1</v>
      </c>
      <c r="D2385" s="1" t="inlineStr">
        <is>
          <t>Links to FNDDS</t>
        </is>
      </c>
      <c r="E2385" s="1" t="inlineStr">
        <is>
          <t>Base</t>
        </is>
      </c>
      <c r="F2385" s="1" t="n">
        <v>2.592586</v>
      </c>
    </row>
    <row r="2386" ht="15.75" customHeight="1" s="201">
      <c r="A2386" s="1" t="n">
        <v>54350010</v>
      </c>
      <c r="B2386" s="1" t="inlineStr">
        <is>
          <t>Gerber Finger Foods, Puffs, baby food (Includes Gerber Fruit Puffs, all flavors; Gerber Veggie Puffs)</t>
        </is>
      </c>
      <c r="C2386" s="1" t="n">
        <v>1</v>
      </c>
      <c r="D2386" s="1" t="inlineStr">
        <is>
          <t>Links to FNDDS</t>
        </is>
      </c>
      <c r="E2386" s="1" t="inlineStr">
        <is>
          <t>Base</t>
        </is>
      </c>
      <c r="F2386" s="1" t="n">
        <v>4.778193</v>
      </c>
    </row>
    <row r="2387" ht="15.75" customHeight="1" s="201">
      <c r="A2387" s="1" t="n">
        <v>54350020</v>
      </c>
      <c r="B2387" s="1" t="inlineStr">
        <is>
          <t>Finger Foods, Puffs, baby food (Includes store brand fruit or veggie puffs, all flavors; baby food puff, NFS)</t>
        </is>
      </c>
      <c r="C2387" s="1" t="n">
        <v>2</v>
      </c>
      <c r="D2387" s="1" t="inlineStr">
        <is>
          <t>Links to altEC</t>
        </is>
      </c>
      <c r="E2387" s="1" t="inlineStr">
        <is>
          <t>Base</t>
        </is>
      </c>
      <c r="F2387" s="1" t="n">
        <v>4.871279</v>
      </c>
    </row>
    <row r="2388" ht="15.75" customHeight="1" s="201">
      <c r="A2388" s="1" t="n">
        <v>54360000</v>
      </c>
      <c r="B2388" s="1" t="inlineStr">
        <is>
          <t>Crunchy snacks, corn based, baby food (Includes Gerber Graduate Lil' Crunchies Snacks)</t>
        </is>
      </c>
      <c r="C2388" s="1" t="n">
        <v>1</v>
      </c>
      <c r="D2388" s="1" t="inlineStr">
        <is>
          <t>Links to FNDDS</t>
        </is>
      </c>
      <c r="E2388" s="1" t="inlineStr">
        <is>
          <t>Base</t>
        </is>
      </c>
      <c r="F2388" s="1" t="n">
        <v>4.71095</v>
      </c>
    </row>
    <row r="2389" ht="15.75" customHeight="1" s="201">
      <c r="A2389" s="1" t="n">
        <v>54401011</v>
      </c>
      <c r="B2389" s="1" t="inlineStr">
        <is>
          <t>Corn nuts (Includes corn nuggets; plain or flavored)</t>
        </is>
      </c>
      <c r="C2389" s="1" t="n">
        <v>1</v>
      </c>
      <c r="D2389" s="1" t="inlineStr">
        <is>
          <t>Links to FNDDS</t>
        </is>
      </c>
      <c r="E2389" s="1" t="inlineStr">
        <is>
          <t>Base</t>
        </is>
      </c>
      <c r="F2389" s="1" t="n">
        <v>1.161282</v>
      </c>
    </row>
    <row r="2390" ht="15.75" customHeight="1" s="201">
      <c r="A2390" s="1" t="n">
        <v>54401021</v>
      </c>
      <c r="B2390" s="1" t="inlineStr">
        <is>
          <t>Corn chips, plain (Includes Dipsy Doodles; Bugles; corn chips, NFS)</t>
        </is>
      </c>
      <c r="C2390" s="1" t="n">
        <v>2</v>
      </c>
      <c r="D2390" s="1" t="inlineStr">
        <is>
          <t>Links to altEC</t>
        </is>
      </c>
      <c r="E2390" s="1" t="inlineStr">
        <is>
          <t>Base</t>
        </is>
      </c>
      <c r="F2390" s="1" t="n">
        <v>1.022315</v>
      </c>
    </row>
    <row r="2391" ht="15.75" customHeight="1" s="201">
      <c r="A2391" s="1" t="n">
        <v>54401026</v>
      </c>
      <c r="B2391" s="1" t="inlineStr">
        <is>
          <t>Corn chips, flavored (Includes all flavors; corn-cheese chips; Dipsy Doodles, flavored)</t>
        </is>
      </c>
      <c r="C2391" s="1" t="n">
        <v>1</v>
      </c>
      <c r="D2391" s="1" t="inlineStr">
        <is>
          <t>Links to FNDDS</t>
        </is>
      </c>
      <c r="E2391" s="1" t="inlineStr">
        <is>
          <t>Base</t>
        </is>
      </c>
      <c r="F2391" s="1" t="n">
        <v>1.136418</v>
      </c>
    </row>
    <row r="2392" ht="15.75" customHeight="1" s="201">
      <c r="A2392" s="1" t="n">
        <v>54401031</v>
      </c>
      <c r="B2392" s="1" t="inlineStr">
        <is>
          <t>Corn chips, plain (Fritos) (Includes original; scoops; Fritos, NFS)</t>
        </is>
      </c>
      <c r="C2392" s="1" t="n">
        <v>1</v>
      </c>
      <c r="D2392" s="1" t="inlineStr">
        <is>
          <t>Links to FNDDS</t>
        </is>
      </c>
      <c r="E2392" s="1" t="inlineStr">
        <is>
          <t>Base</t>
        </is>
      </c>
      <c r="F2392" s="1" t="n">
        <v>0.981886</v>
      </c>
    </row>
    <row r="2393" ht="15.75" customHeight="1" s="201">
      <c r="A2393" s="1" t="n">
        <v>54401035</v>
      </c>
      <c r="B2393" s="1" t="inlineStr">
        <is>
          <t>Corn chips, flavored (Fritos) (Includes all flavors)</t>
        </is>
      </c>
      <c r="C2393" s="1" t="n">
        <v>1</v>
      </c>
      <c r="D2393" s="1" t="inlineStr">
        <is>
          <t>Links to FNDDS</t>
        </is>
      </c>
      <c r="E2393" s="1" t="inlineStr">
        <is>
          <t>Base</t>
        </is>
      </c>
      <c r="F2393" s="1" t="n">
        <v>1.113548</v>
      </c>
    </row>
    <row r="2394" ht="15.75" customHeight="1" s="201">
      <c r="A2394" s="1" t="n">
        <v>54401055</v>
      </c>
      <c r="B2394" s="1" t="inlineStr">
        <is>
          <t>Cheese flavored corn snacks (Includes corn-cheese puffs, curls, or twists; all flavors; Cheez Doodles; puffed corn; corn puffs, NFS)</t>
        </is>
      </c>
      <c r="C2394" s="1" t="n">
        <v>2</v>
      </c>
      <c r="D2394" s="1" t="inlineStr">
        <is>
          <t>Links to altEC</t>
        </is>
      </c>
      <c r="E2394" s="1" t="inlineStr">
        <is>
          <t>Base</t>
        </is>
      </c>
      <c r="F2394" s="1" t="n">
        <v>1.224842</v>
      </c>
    </row>
    <row r="2395" ht="15.75" customHeight="1" s="201">
      <c r="A2395" s="1" t="n">
        <v>54401065</v>
      </c>
      <c r="B2395" s="1" t="inlineStr">
        <is>
          <t>Cheese flavored corn snacks, reduced fat (Includes all flavors; baked; low fat corn cheese puffs, curls, or twists; reduced fat; light; Cheetos Oven Baked; Cheetos Puff Reduced Fat; Pirate's Booty; Smartfood; puffed corn)</t>
        </is>
      </c>
      <c r="C2395" s="1" t="n">
        <v>1</v>
      </c>
      <c r="D2395" s="1" t="inlineStr">
        <is>
          <t>Links to FNDDS</t>
        </is>
      </c>
      <c r="E2395" s="1" t="inlineStr">
        <is>
          <t>Base</t>
        </is>
      </c>
      <c r="F2395" s="1" t="n">
        <v>1.312447</v>
      </c>
    </row>
    <row r="2396" ht="15.75" customHeight="1" s="201">
      <c r="A2396" s="1" t="n">
        <v>54401075</v>
      </c>
      <c r="B2396" s="1" t="inlineStr">
        <is>
          <t>Tortilla chips, plain (Includes original; Tostitos; tostada chips; multigrain; plain nacho chips)</t>
        </is>
      </c>
      <c r="C2396" s="1" t="n">
        <v>1</v>
      </c>
      <c r="D2396" s="1" t="inlineStr">
        <is>
          <t>Links to FNDDS</t>
        </is>
      </c>
      <c r="E2396" s="1" t="inlineStr">
        <is>
          <t>Base</t>
        </is>
      </c>
      <c r="F2396" s="1" t="n">
        <v>0.771015</v>
      </c>
    </row>
    <row r="2397" ht="15.75" customHeight="1" s="201">
      <c r="A2397" s="1" t="n">
        <v>54401081</v>
      </c>
      <c r="B2397" s="1" t="inlineStr">
        <is>
          <t>Cheese flavored corn snacks (Cheetos) (Includes Cheetos, puffs; Cheetos, crunchy; Cheetos Mix-Ups)</t>
        </is>
      </c>
      <c r="C2397" s="1" t="n">
        <v>1</v>
      </c>
      <c r="D2397" s="1" t="inlineStr">
        <is>
          <t>Links to FNDDS</t>
        </is>
      </c>
      <c r="E2397" s="1" t="inlineStr">
        <is>
          <t>Base</t>
        </is>
      </c>
      <c r="F2397" s="1" t="n">
        <v>1.159858</v>
      </c>
    </row>
    <row r="2398" ht="15.75" customHeight="1" s="201">
      <c r="A2398" s="1" t="n">
        <v>54401085</v>
      </c>
      <c r="B2398" s="1" t="inlineStr">
        <is>
          <t>Tortilla chips, flavored (Includes all flavors; nacho tortilla chips; Takis; rolled tortilla chips; flavored nacho chips; flavored Tostitos)</t>
        </is>
      </c>
      <c r="C2398" s="1" t="n">
        <v>1</v>
      </c>
      <c r="D2398" s="1" t="inlineStr">
        <is>
          <t>Links to FNDDS</t>
        </is>
      </c>
      <c r="E2398" s="1" t="inlineStr">
        <is>
          <t>Base</t>
        </is>
      </c>
      <c r="F2398" s="1" t="n">
        <v>0.934681</v>
      </c>
    </row>
    <row r="2399" ht="15.75" customHeight="1" s="201">
      <c r="A2399" s="1" t="n">
        <v>54401090</v>
      </c>
      <c r="B2399" s="1" t="inlineStr">
        <is>
          <t>Corn chips, reduced sodium (Includes all flavors; corn-cheese chips; unsalted; Fritos lightly salted)</t>
        </is>
      </c>
      <c r="C2399" s="1" t="n">
        <v>2</v>
      </c>
      <c r="D2399" s="1" t="inlineStr">
        <is>
          <t>Links to altEC</t>
        </is>
      </c>
      <c r="E2399" s="1" t="inlineStr">
        <is>
          <t>Base</t>
        </is>
      </c>
      <c r="F2399" s="1" t="n">
        <v>0.914234</v>
      </c>
    </row>
    <row r="2400" ht="15.75" customHeight="1" s="201">
      <c r="A2400" s="1" t="n">
        <v>54401110</v>
      </c>
      <c r="B2400" s="1" t="inlineStr">
        <is>
          <t>Tortilla chips, nacho cheese flavor (Doritos)</t>
        </is>
      </c>
      <c r="C2400" s="1" t="n">
        <v>1</v>
      </c>
      <c r="D2400" s="1" t="inlineStr">
        <is>
          <t>Links to FNDDS</t>
        </is>
      </c>
      <c r="E2400" s="1" t="inlineStr">
        <is>
          <t>Base</t>
        </is>
      </c>
      <c r="F2400" s="1" t="n">
        <v>1.025807</v>
      </c>
    </row>
    <row r="2401" ht="15.75" customHeight="1" s="201">
      <c r="A2401" s="1" t="n">
        <v>54401111</v>
      </c>
      <c r="B2401" s="1" t="inlineStr">
        <is>
          <t>Tortilla chips, cool ranch flavor (Doritos)</t>
        </is>
      </c>
      <c r="C2401" s="1" t="n">
        <v>1</v>
      </c>
      <c r="D2401" s="1" t="inlineStr">
        <is>
          <t>Links to FNDDS</t>
        </is>
      </c>
      <c r="E2401" s="1" t="inlineStr">
        <is>
          <t>Base</t>
        </is>
      </c>
      <c r="F2401" s="1" t="n">
        <v>1.03667</v>
      </c>
    </row>
    <row r="2402" ht="15.75" customHeight="1" s="201">
      <c r="A2402" s="1" t="n">
        <v>54401112</v>
      </c>
      <c r="B2402" s="1" t="inlineStr">
        <is>
          <t>Tortilla chips, other flavors (Doritos) (Includes all other flavors, excluding cool ranch; all cheese flavors excluding nacho cheese; Doritos, NFS; Doritos Jacked; rolled Doritos; Doritos Dinamita; Doritos toasted corn)</t>
        </is>
      </c>
      <c r="C2402" s="1" t="n">
        <v>1</v>
      </c>
      <c r="D2402" s="1" t="inlineStr">
        <is>
          <t>Links to FNDDS</t>
        </is>
      </c>
      <c r="E2402" s="1" t="inlineStr">
        <is>
          <t>Base</t>
        </is>
      </c>
      <c r="F2402" s="1" t="n">
        <v>1.074186</v>
      </c>
    </row>
    <row r="2403" ht="15.75" customHeight="1" s="201">
      <c r="A2403" s="1" t="n">
        <v>54401121</v>
      </c>
      <c r="B2403" s="1" t="inlineStr">
        <is>
          <t>Tortilla chips, reduced fat, plain (Includes baked tortilla chips, NFS; baked tortilla chips, original; Guiltless Gourmet; Baked Tostitos; low fat; fat free; baked or reduced fat nacho chips)</t>
        </is>
      </c>
      <c r="C2403" s="1" t="n">
        <v>1</v>
      </c>
      <c r="D2403" s="1" t="inlineStr">
        <is>
          <t>Links to FNDDS</t>
        </is>
      </c>
      <c r="E2403" s="1" t="inlineStr">
        <is>
          <t>Base</t>
        </is>
      </c>
      <c r="F2403" s="1" t="n">
        <v>1.624812</v>
      </c>
    </row>
    <row r="2404" ht="15.75" customHeight="1" s="201">
      <c r="A2404" s="1" t="n">
        <v>54401122</v>
      </c>
      <c r="B2404" s="1" t="inlineStr">
        <is>
          <t>Tortilla chips, reduced fat, flavored (Includes Baked Doritos; baked tortilla chips, flavored, NFS; nacho chip; reduced fat Doritos; low fat; fat free)</t>
        </is>
      </c>
      <c r="C2404" s="1" t="n">
        <v>1</v>
      </c>
      <c r="D2404" s="1" t="inlineStr">
        <is>
          <t>Links to FNDDS</t>
        </is>
      </c>
      <c r="E2404" s="1" t="inlineStr">
        <is>
          <t>Base</t>
        </is>
      </c>
      <c r="F2404" s="1" t="n">
        <v>1.300621</v>
      </c>
    </row>
    <row r="2405" ht="15.75" customHeight="1" s="201">
      <c r="A2405" s="1" t="n">
        <v>54402080</v>
      </c>
      <c r="B2405" s="1" t="inlineStr">
        <is>
          <t>Tortilla chips, reduced sodium (Includes all flavors; unsalted)</t>
        </is>
      </c>
      <c r="C2405" s="1" t="n">
        <v>2</v>
      </c>
      <c r="D2405" s="1" t="inlineStr">
        <is>
          <t>Links to altEC</t>
        </is>
      </c>
      <c r="E2405" s="1" t="inlineStr">
        <is>
          <t>Base</t>
        </is>
      </c>
      <c r="F2405" s="1" t="n">
        <v>0.771015</v>
      </c>
    </row>
    <row r="2406" ht="15.75" customHeight="1" s="201">
      <c r="A2406" s="1" t="n">
        <v>54402200</v>
      </c>
      <c r="B2406" s="1" t="inlineStr">
        <is>
          <t>Snack mix (Includes Frito Lay Munchies Snack Mix; Party Mix; SunChip, Cheetos, Doritos, Pretzel; Chip mixtures, NFS; oriental snack mix; snack mix, multigrain; Gardetto's Original Snak-ens)</t>
        </is>
      </c>
      <c r="C2406" s="1" t="n">
        <v>1</v>
      </c>
      <c r="D2406" s="1" t="inlineStr">
        <is>
          <t>Links to FNDDS</t>
        </is>
      </c>
      <c r="E2406" s="1" t="inlineStr">
        <is>
          <t>Base</t>
        </is>
      </c>
      <c r="F2406" s="1" t="n">
        <v>1.090002</v>
      </c>
    </row>
    <row r="2407" ht="15.75" customHeight="1" s="201">
      <c r="A2407" s="1" t="n">
        <v>54402700</v>
      </c>
      <c r="B2407" s="1" t="inlineStr">
        <is>
          <t>Pita chips (Includes all flavors; salted; pita crackers; Stacy's Pita Chips; multigrain; plain)</t>
        </is>
      </c>
      <c r="C2407" s="1" t="n">
        <v>1</v>
      </c>
      <c r="D2407" s="1" t="inlineStr">
        <is>
          <t>Links to FNDDS</t>
        </is>
      </c>
      <c r="E2407" s="1" t="inlineStr">
        <is>
          <t>Base</t>
        </is>
      </c>
      <c r="F2407" s="1" t="n">
        <v>1.221089</v>
      </c>
    </row>
    <row r="2408" ht="15.75" customHeight="1" s="201">
      <c r="A2408" s="1" t="n">
        <v>54403001</v>
      </c>
      <c r="B2408" s="1" t="inlineStr">
        <is>
          <t>Popcorn, NFS</t>
        </is>
      </c>
      <c r="C2408" s="1" t="n">
        <v>2</v>
      </c>
      <c r="D2408" s="1" t="inlineStr">
        <is>
          <t>Links to altEC</t>
        </is>
      </c>
      <c r="E2408" s="1" t="inlineStr">
        <is>
          <t>Base</t>
        </is>
      </c>
      <c r="F2408" s="1" t="n">
        <v>0.594568</v>
      </c>
    </row>
    <row r="2409" ht="15.75" customHeight="1" s="201">
      <c r="A2409" s="1" t="n">
        <v>54403005</v>
      </c>
      <c r="B2409" s="1" t="inlineStr">
        <is>
          <t>Popcorn, movie theater, with added butter (Includes from a stadium, school, restaurant, sport or entertainment facility)</t>
        </is>
      </c>
      <c r="C2409" s="1" t="n">
        <v>2</v>
      </c>
      <c r="D2409" s="1" t="inlineStr">
        <is>
          <t>Links to altEC</t>
        </is>
      </c>
      <c r="E2409" s="1" t="inlineStr">
        <is>
          <t>Base</t>
        </is>
      </c>
      <c r="F2409" s="1" t="n">
        <v>0.627232</v>
      </c>
    </row>
    <row r="2410" ht="15.75" customHeight="1" s="201">
      <c r="A2410" s="1" t="n">
        <v>54403006</v>
      </c>
      <c r="B2410" s="1" t="inlineStr">
        <is>
          <t>Popcorn, movie theater, unbuttered (Includes from a stadium, school, restaurant, sport or entertainment facility; no butter added)</t>
        </is>
      </c>
      <c r="C2410" s="1" t="n">
        <v>2</v>
      </c>
      <c r="D2410" s="1" t="inlineStr">
        <is>
          <t>Links to altEC</t>
        </is>
      </c>
      <c r="E2410" s="1" t="inlineStr">
        <is>
          <t>Base</t>
        </is>
      </c>
      <c r="F2410" s="1" t="n">
        <v>0.9771840000000001</v>
      </c>
    </row>
    <row r="2411" ht="15.75" customHeight="1" s="201">
      <c r="A2411" s="1" t="n">
        <v>54403010</v>
      </c>
      <c r="B2411" s="1" t="inlineStr">
        <is>
          <t>Popcorn, air-popped, unbuttered (Includes popped without oil)</t>
        </is>
      </c>
      <c r="C2411" s="1" t="n">
        <v>1</v>
      </c>
      <c r="D2411" s="1" t="inlineStr">
        <is>
          <t>Links to FNDDS</t>
        </is>
      </c>
      <c r="E2411" s="1" t="inlineStr">
        <is>
          <t>Base</t>
        </is>
      </c>
      <c r="F2411" s="1" t="n">
        <v>0.492606</v>
      </c>
    </row>
    <row r="2412" ht="15.75" customHeight="1" s="201">
      <c r="A2412" s="1" t="n">
        <v>54403040</v>
      </c>
      <c r="B2412" s="1" t="inlineStr">
        <is>
          <t>Popcorn, air-popped, with added butter or margarine (Includes popped without oil; NS as to added fat)</t>
        </is>
      </c>
      <c r="C2412" s="1" t="n">
        <v>1</v>
      </c>
      <c r="D2412" s="1" t="inlineStr">
        <is>
          <t>Links to FNDDS</t>
        </is>
      </c>
      <c r="E2412" s="1" t="inlineStr">
        <is>
          <t>Base</t>
        </is>
      </c>
      <c r="F2412" s="1" t="n">
        <v>1.513204</v>
      </c>
    </row>
    <row r="2413" ht="15.75" customHeight="1" s="201">
      <c r="A2413" s="1" t="n">
        <v>54403045</v>
      </c>
      <c r="B2413" s="1" t="inlineStr">
        <is>
          <t>Popcorn, popped in oil, unbuttered</t>
        </is>
      </c>
      <c r="C2413" s="1" t="n">
        <v>2</v>
      </c>
      <c r="D2413" s="1" t="inlineStr">
        <is>
          <t>Links to altEC</t>
        </is>
      </c>
      <c r="E2413" s="1" t="inlineStr">
        <is>
          <t>Base</t>
        </is>
      </c>
      <c r="F2413" s="1" t="n">
        <v>0.9771840000000001</v>
      </c>
    </row>
    <row r="2414" ht="15.75" customHeight="1" s="201">
      <c r="A2414" s="1" t="n">
        <v>54403046</v>
      </c>
      <c r="B2414" s="1" t="inlineStr">
        <is>
          <t>Popcorn, popped in oil, with added butter or margarine (Includes NS as to added fat)</t>
        </is>
      </c>
      <c r="C2414" s="1" t="n">
        <v>2</v>
      </c>
      <c r="D2414" s="1" t="inlineStr">
        <is>
          <t>Links to altEC</t>
        </is>
      </c>
      <c r="E2414" s="1" t="inlineStr">
        <is>
          <t>Base</t>
        </is>
      </c>
      <c r="F2414" s="1" t="n">
        <v>0.627232</v>
      </c>
    </row>
    <row r="2415" ht="15.75" customHeight="1" s="201">
      <c r="A2415" s="1" t="n">
        <v>54403051</v>
      </c>
      <c r="B2415" s="1" t="inlineStr">
        <is>
          <t>Popcorn, microwave, NFS</t>
        </is>
      </c>
      <c r="C2415" s="1" t="n">
        <v>2</v>
      </c>
      <c r="D2415" s="1" t="inlineStr">
        <is>
          <t>Links to altEC</t>
        </is>
      </c>
      <c r="E2415" s="1" t="inlineStr">
        <is>
          <t>Base</t>
        </is>
      </c>
      <c r="F2415" s="1" t="n">
        <v>0.594568</v>
      </c>
    </row>
    <row r="2416" ht="15.75" customHeight="1" s="201">
      <c r="A2416" s="1" t="n">
        <v>54403052</v>
      </c>
      <c r="B2416" s="1" t="inlineStr">
        <is>
          <t>Popcorn, microwave, plain (Includes salted popcorn)</t>
        </is>
      </c>
      <c r="C2416" s="1" t="n">
        <v>1</v>
      </c>
      <c r="D2416" s="1" t="inlineStr">
        <is>
          <t>Links to FNDDS</t>
        </is>
      </c>
      <c r="E2416" s="1" t="inlineStr">
        <is>
          <t>Base</t>
        </is>
      </c>
      <c r="F2416" s="1" t="n">
        <v>0.717218</v>
      </c>
    </row>
    <row r="2417" ht="15.75" customHeight="1" s="201">
      <c r="A2417" s="1" t="n">
        <v>54403054</v>
      </c>
      <c r="B2417" s="1" t="inlineStr">
        <is>
          <t>Popcorn, microwave, low sodium (Includes lightly salted; regular, light, reduced fat, or fat free popcorn; plain or flavored popcorn; flavors such as butter, cheese, kettle)</t>
        </is>
      </c>
      <c r="C2417" s="1" t="n">
        <v>2</v>
      </c>
      <c r="D2417" s="1" t="inlineStr">
        <is>
          <t>Links to altEC</t>
        </is>
      </c>
      <c r="E2417" s="1" t="inlineStr">
        <is>
          <t>Base</t>
        </is>
      </c>
      <c r="F2417" s="1" t="n">
        <v>0.774178</v>
      </c>
    </row>
    <row r="2418" ht="15.75" customHeight="1" s="201">
      <c r="A2418" s="1" t="n">
        <v>54403056</v>
      </c>
      <c r="B2418" s="1" t="inlineStr">
        <is>
          <t>Popcorn, microwave, butter flavored (Includes microwave movie theater style)</t>
        </is>
      </c>
      <c r="C2418" s="1" t="n">
        <v>1</v>
      </c>
      <c r="D2418" s="1" t="inlineStr">
        <is>
          <t>Links to FNDDS</t>
        </is>
      </c>
      <c r="E2418" s="1" t="inlineStr">
        <is>
          <t>Base</t>
        </is>
      </c>
      <c r="F2418" s="1" t="n">
        <v>0.594568</v>
      </c>
    </row>
    <row r="2419" ht="15.75" customHeight="1" s="201">
      <c r="A2419" s="1" t="n">
        <v>54403057</v>
      </c>
      <c r="B2419" s="1" t="inlineStr">
        <is>
          <t>Popcorn, microwave, butter flavored, light (Includes light butter; low fat; reduced fat; fat free; 94% fat free; 100 calorie packs)</t>
        </is>
      </c>
      <c r="C2419" s="1" t="n">
        <v>1</v>
      </c>
      <c r="D2419" s="1" t="inlineStr">
        <is>
          <t>Links to FNDDS</t>
        </is>
      </c>
      <c r="E2419" s="1" t="inlineStr">
        <is>
          <t>Base</t>
        </is>
      </c>
      <c r="F2419" s="1" t="n">
        <v>0.852988</v>
      </c>
    </row>
    <row r="2420" ht="15.75" customHeight="1" s="201">
      <c r="A2420" s="1" t="n">
        <v>54403059</v>
      </c>
      <c r="B2420" s="1" t="inlineStr">
        <is>
          <t>Popcorn, microwave, kettle corn (Includes sugar flavored)</t>
        </is>
      </c>
      <c r="C2420" s="1" t="n">
        <v>1</v>
      </c>
      <c r="D2420" s="1" t="inlineStr">
        <is>
          <t>Links to FNDDS</t>
        </is>
      </c>
      <c r="E2420" s="1" t="inlineStr">
        <is>
          <t>Base</t>
        </is>
      </c>
      <c r="F2420" s="1" t="n">
        <v>0.71935</v>
      </c>
    </row>
    <row r="2421" ht="15.75" customHeight="1" s="201">
      <c r="A2421" s="1" t="n">
        <v>54403062</v>
      </c>
      <c r="B2421" s="1" t="inlineStr">
        <is>
          <t>Popcorn, microwave, other flavored (Includes flavors such as lime, salt and vinegar, jalapeno, hot sauce, or spicy flavors; all flavors other than butter, cheese, sugar, or kettle)</t>
        </is>
      </c>
      <c r="C2421" s="1" t="n">
        <v>1</v>
      </c>
      <c r="D2421" s="1" t="inlineStr">
        <is>
          <t>Links to FNDDS</t>
        </is>
      </c>
      <c r="E2421" s="1" t="inlineStr">
        <is>
          <t>Base</t>
        </is>
      </c>
      <c r="F2421" s="1" t="n">
        <v>0.722894</v>
      </c>
    </row>
    <row r="2422" ht="15.75" customHeight="1" s="201">
      <c r="A2422" s="1" t="n">
        <v>54403080</v>
      </c>
      <c r="B2422" s="1" t="inlineStr">
        <is>
          <t>Popcorn, ready-to-eat packaged, NFS</t>
        </is>
      </c>
      <c r="C2422" s="1" t="n">
        <v>2</v>
      </c>
      <c r="D2422" s="1" t="inlineStr">
        <is>
          <t>Links to altEC</t>
        </is>
      </c>
      <c r="E2422" s="1" t="inlineStr">
        <is>
          <t>Base</t>
        </is>
      </c>
      <c r="F2422" s="1" t="n">
        <v>1.682038</v>
      </c>
    </row>
    <row r="2423" ht="15.75" customHeight="1" s="201">
      <c r="A2423" s="1" t="n">
        <v>54403081</v>
      </c>
      <c r="B2423" s="1" t="inlineStr">
        <is>
          <t>Popcorn, ready-to-eat packaged, plain (Includes salted popcorn)</t>
        </is>
      </c>
      <c r="C2423" s="1" t="n">
        <v>1</v>
      </c>
      <c r="D2423" s="1" t="inlineStr">
        <is>
          <t>Links to FNDDS</t>
        </is>
      </c>
      <c r="E2423" s="1" t="inlineStr">
        <is>
          <t>Base</t>
        </is>
      </c>
      <c r="F2423" s="1" t="n">
        <v>1.997548</v>
      </c>
    </row>
    <row r="2424" ht="15.75" customHeight="1" s="201">
      <c r="A2424" s="1" t="n">
        <v>54403082</v>
      </c>
      <c r="B2424" s="1" t="inlineStr">
        <is>
          <t>Popcorn, ready-to-eat packaged, plain, light (Includes low fat; reduced fat; fat free; 94% fat free; salted popcorn)</t>
        </is>
      </c>
      <c r="C2424" s="1" t="n">
        <v>1</v>
      </c>
      <c r="D2424" s="1" t="inlineStr">
        <is>
          <t>Links to FNDDS</t>
        </is>
      </c>
      <c r="E2424" s="1" t="inlineStr">
        <is>
          <t>Base</t>
        </is>
      </c>
      <c r="F2424" s="1" t="n">
        <v>2.619613</v>
      </c>
    </row>
    <row r="2425" ht="15.75" customHeight="1" s="201">
      <c r="A2425" s="1" t="n">
        <v>54403083</v>
      </c>
      <c r="B2425" s="1" t="inlineStr">
        <is>
          <t>Popcorn, ready-to-eat packaged, low sodium (Includes lightly salted; regular, light, reduced fat, or fat free popcorn; plain or flavored popcorn; flavors such as butter, cheese, kettle)</t>
        </is>
      </c>
      <c r="C2425" s="1" t="n">
        <v>2</v>
      </c>
      <c r="D2425" s="1" t="inlineStr">
        <is>
          <t>Links to altEC</t>
        </is>
      </c>
      <c r="E2425" s="1" t="inlineStr">
        <is>
          <t>Base</t>
        </is>
      </c>
      <c r="F2425" s="1" t="n">
        <v>1.997548</v>
      </c>
    </row>
    <row r="2426" ht="15.75" customHeight="1" s="201">
      <c r="A2426" s="1" t="n">
        <v>54403085</v>
      </c>
      <c r="B2426" s="1" t="inlineStr">
        <is>
          <t>Popcorn, ready-to-eat packaged, butter flavored (Includes movie theater style)</t>
        </is>
      </c>
      <c r="C2426" s="1" t="n">
        <v>1</v>
      </c>
      <c r="D2426" s="1" t="inlineStr">
        <is>
          <t>Links to FNDDS</t>
        </is>
      </c>
      <c r="E2426" s="1" t="inlineStr">
        <is>
          <t>Base</t>
        </is>
      </c>
      <c r="F2426" s="1" t="n">
        <v>1.42482</v>
      </c>
    </row>
    <row r="2427" ht="15.75" customHeight="1" s="201">
      <c r="A2427" s="1" t="n">
        <v>54403086</v>
      </c>
      <c r="B2427" s="1" t="inlineStr">
        <is>
          <t>Popcorn, ready-to-eat packaged, butter flavored, light (Includes light butter; low fat; reduced fat; fat free; 94% fat free)</t>
        </is>
      </c>
      <c r="C2427" s="1" t="n">
        <v>1</v>
      </c>
      <c r="D2427" s="1" t="inlineStr">
        <is>
          <t>Links to FNDDS</t>
        </is>
      </c>
      <c r="E2427" s="1" t="inlineStr">
        <is>
          <t>Base</t>
        </is>
      </c>
      <c r="F2427" s="1" t="n">
        <v>2.266565</v>
      </c>
    </row>
    <row r="2428" ht="15.75" customHeight="1" s="201">
      <c r="A2428" s="1" t="n">
        <v>54403087</v>
      </c>
      <c r="B2428" s="1" t="inlineStr">
        <is>
          <t>Popcorn, ready-to-eat packaged, cheese flavored</t>
        </is>
      </c>
      <c r="C2428" s="1" t="n">
        <v>1</v>
      </c>
      <c r="D2428" s="1" t="inlineStr">
        <is>
          <t>Links to FNDDS</t>
        </is>
      </c>
      <c r="E2428" s="1" t="inlineStr">
        <is>
          <t>Base</t>
        </is>
      </c>
      <c r="F2428" s="1" t="n">
        <v>1.501474</v>
      </c>
    </row>
    <row r="2429" ht="15.75" customHeight="1" s="201">
      <c r="A2429" s="1" t="n">
        <v>54403088</v>
      </c>
      <c r="B2429" s="1" t="inlineStr">
        <is>
          <t>Popcorn, ready-to-eat packaged, cheese flavored, light (Includes low fat; reduced fat; fat free; 94% fat free)</t>
        </is>
      </c>
      <c r="C2429" s="1" t="n">
        <v>2</v>
      </c>
      <c r="D2429" s="1" t="inlineStr">
        <is>
          <t>Links to altEC</t>
        </is>
      </c>
      <c r="E2429" s="1" t="inlineStr">
        <is>
          <t>Base</t>
        </is>
      </c>
      <c r="F2429" s="1" t="n">
        <v>1.539921</v>
      </c>
    </row>
    <row r="2430" ht="15.75" customHeight="1" s="201">
      <c r="A2430" s="1" t="n">
        <v>54403089</v>
      </c>
      <c r="B2430" s="1" t="inlineStr">
        <is>
          <t>Popcorn, ready-to-eat-packaged, kettle corn (Includes sugar flavored)</t>
        </is>
      </c>
      <c r="C2430" s="1" t="n">
        <v>1</v>
      </c>
      <c r="D2430" s="1" t="inlineStr">
        <is>
          <t>Links to FNDDS</t>
        </is>
      </c>
      <c r="E2430" s="1" t="inlineStr">
        <is>
          <t>Base</t>
        </is>
      </c>
      <c r="F2430" s="1" t="n">
        <v>1.378469</v>
      </c>
    </row>
    <row r="2431" ht="15.75" customHeight="1" s="201">
      <c r="A2431" s="1" t="n">
        <v>54403091</v>
      </c>
      <c r="B2431" s="1" t="inlineStr">
        <is>
          <t>Popcorn, ready-to-eat packaged, kettle corn, light (Includes sugar flavored; low fat; reduced fat; fat free; 94% fat free)</t>
        </is>
      </c>
      <c r="C2431" s="1" t="n">
        <v>1</v>
      </c>
      <c r="D2431" s="1" t="inlineStr">
        <is>
          <t>Links to FNDDS</t>
        </is>
      </c>
      <c r="E2431" s="1" t="inlineStr">
        <is>
          <t>Base</t>
        </is>
      </c>
      <c r="F2431" s="1" t="n">
        <v>1.993483</v>
      </c>
    </row>
    <row r="2432" ht="15.75" customHeight="1" s="201">
      <c r="A2432" s="1" t="n">
        <v>54403110</v>
      </c>
      <c r="B2432" s="1" t="inlineStr">
        <is>
          <t>Popcorn, caramel coated (Includes popcorn balls; sugar syrup coated; cinnamon sugar coated)</t>
        </is>
      </c>
      <c r="C2432" s="1" t="n">
        <v>1</v>
      </c>
      <c r="D2432" s="1" t="inlineStr">
        <is>
          <t>Links to FNDDS</t>
        </is>
      </c>
      <c r="E2432" s="1" t="inlineStr">
        <is>
          <t>Base</t>
        </is>
      </c>
      <c r="F2432" s="1" t="n">
        <v>1.035382</v>
      </c>
    </row>
    <row r="2433" ht="15.75" customHeight="1" s="201">
      <c r="A2433" s="1" t="n">
        <v>54403120</v>
      </c>
      <c r="B2433" s="1" t="inlineStr">
        <is>
          <t>Popcorn, caramel coated, with nuts (Includes Cracker Jacks; Fiddle Faddle; Crunch 'N Munch; Poppycock; sugar syrup coated with nuts)</t>
        </is>
      </c>
      <c r="C2433" s="1" t="n">
        <v>1</v>
      </c>
      <c r="D2433" s="1" t="inlineStr">
        <is>
          <t>Links to FNDDS</t>
        </is>
      </c>
      <c r="E2433" s="1" t="inlineStr">
        <is>
          <t>Base</t>
        </is>
      </c>
      <c r="F2433" s="1" t="n">
        <v>0.9062480000000001</v>
      </c>
    </row>
    <row r="2434" ht="15.75" customHeight="1" s="201">
      <c r="A2434" s="1" t="n">
        <v>54403160</v>
      </c>
      <c r="B2434" s="1" t="inlineStr">
        <is>
          <t>Popcorn, chocolate coated</t>
        </is>
      </c>
      <c r="C2434" s="1" t="n">
        <v>1</v>
      </c>
      <c r="D2434" s="1" t="inlineStr">
        <is>
          <t>Links to FNDDS</t>
        </is>
      </c>
      <c r="E2434" s="1" t="inlineStr">
        <is>
          <t>Base</t>
        </is>
      </c>
      <c r="F2434" s="1" t="n">
        <v>1.419682</v>
      </c>
    </row>
    <row r="2435" ht="15.75" customHeight="1" s="201">
      <c r="A2435" s="1" t="n">
        <v>54404010</v>
      </c>
      <c r="B2435" s="1" t="inlineStr">
        <is>
          <t>Popcorn chips, other flavors (Includes all other flavors, excluding sweet; Special K; Popcorn Indiana Chip'ins; popcorn chips, flavored, NFS; PopCorners)</t>
        </is>
      </c>
      <c r="C2435" s="1" t="n">
        <v>1</v>
      </c>
      <c r="D2435" s="1" t="inlineStr">
        <is>
          <t>Links to FNDDS</t>
        </is>
      </c>
      <c r="E2435" s="1" t="inlineStr">
        <is>
          <t>Base</t>
        </is>
      </c>
      <c r="F2435" s="1" t="n">
        <v>1.372354</v>
      </c>
    </row>
    <row r="2436" ht="15.75" customHeight="1" s="201">
      <c r="A2436" s="1" t="n">
        <v>54406010</v>
      </c>
      <c r="B2436" s="1" t="inlineStr">
        <is>
          <t>Onion flavored rings (Includes all flavors; Funyuns)</t>
        </is>
      </c>
      <c r="C2436" s="1" t="n">
        <v>1</v>
      </c>
      <c r="D2436" s="1" t="inlineStr">
        <is>
          <t>Links to FNDDS</t>
        </is>
      </c>
      <c r="E2436" s="1" t="inlineStr">
        <is>
          <t>Base</t>
        </is>
      </c>
      <c r="F2436" s="1" t="n">
        <v>2.046362</v>
      </c>
    </row>
    <row r="2437" ht="15.75" customHeight="1" s="201">
      <c r="A2437" s="1" t="n">
        <v>54408000</v>
      </c>
      <c r="B2437" s="1" t="inlineStr">
        <is>
          <t>Pretzels, NFS</t>
        </is>
      </c>
      <c r="C2437" s="1" t="n">
        <v>2</v>
      </c>
      <c r="D2437" s="1" t="inlineStr">
        <is>
          <t>Links to altEC</t>
        </is>
      </c>
      <c r="E2437" s="1" t="inlineStr">
        <is>
          <t>Base</t>
        </is>
      </c>
      <c r="F2437" s="1" t="n">
        <v>0.786595</v>
      </c>
    </row>
    <row r="2438" ht="15.75" customHeight="1" s="201">
      <c r="A2438" s="1" t="n">
        <v>54408016</v>
      </c>
      <c r="B2438" s="1" t="inlineStr">
        <is>
          <t>Pretzels, hard, plain, salted (Includes original)</t>
        </is>
      </c>
      <c r="C2438" s="1" t="n">
        <v>1</v>
      </c>
      <c r="D2438" s="1" t="inlineStr">
        <is>
          <t>Links to FNDDS</t>
        </is>
      </c>
      <c r="E2438" s="1" t="inlineStr">
        <is>
          <t>Base</t>
        </is>
      </c>
      <c r="F2438" s="1" t="n">
        <v>0.6443759999999999</v>
      </c>
    </row>
    <row r="2439" ht="15.75" customHeight="1" s="201">
      <c r="A2439" s="1" t="n">
        <v>54408017</v>
      </c>
      <c r="B2439" s="1" t="inlineStr">
        <is>
          <t>Pretzels, hard, plain, lightly salted</t>
        </is>
      </c>
      <c r="C2439" s="1" t="n">
        <v>2</v>
      </c>
      <c r="D2439" s="1" t="inlineStr">
        <is>
          <t>Links to altEC</t>
        </is>
      </c>
      <c r="E2439" s="1" t="inlineStr">
        <is>
          <t>Base</t>
        </is>
      </c>
      <c r="F2439" s="1" t="n">
        <v>0.6443759999999999</v>
      </c>
    </row>
    <row r="2440" ht="15.75" customHeight="1" s="201">
      <c r="A2440" s="1" t="n">
        <v>54408030</v>
      </c>
      <c r="B2440" s="1" t="inlineStr">
        <is>
          <t>Pretzels, hard, plain, unsalted</t>
        </is>
      </c>
      <c r="C2440" s="1" t="n">
        <v>2</v>
      </c>
      <c r="D2440" s="1" t="inlineStr">
        <is>
          <t>Links to altEC</t>
        </is>
      </c>
      <c r="E2440" s="1" t="inlineStr">
        <is>
          <t>Base</t>
        </is>
      </c>
      <c r="F2440" s="1" t="n">
        <v>0.6443759999999999</v>
      </c>
    </row>
    <row r="2441" ht="15.75" customHeight="1" s="201">
      <c r="A2441" s="1" t="n">
        <v>54408070</v>
      </c>
      <c r="B2441" s="1" t="inlineStr">
        <is>
          <t>Pretzels, hard, multigrain (Includes whole wheat; whole grain)</t>
        </is>
      </c>
      <c r="C2441" s="1" t="n">
        <v>1</v>
      </c>
      <c r="D2441" s="1" t="inlineStr">
        <is>
          <t>Links to FNDDS</t>
        </is>
      </c>
      <c r="E2441" s="1" t="inlineStr">
        <is>
          <t>Base</t>
        </is>
      </c>
      <c r="F2441" s="1" t="n">
        <v>0.795055</v>
      </c>
    </row>
    <row r="2442" ht="15.75" customHeight="1" s="201">
      <c r="A2442" s="1" t="n">
        <v>54408081</v>
      </c>
      <c r="B2442" s="1" t="inlineStr">
        <is>
          <t>Pretzels, hard, plain, gluten free (Includes original; NS as to salted)</t>
        </is>
      </c>
      <c r="C2442" s="1" t="n">
        <v>1</v>
      </c>
      <c r="D2442" s="1" t="inlineStr">
        <is>
          <t>Links to FNDDS</t>
        </is>
      </c>
      <c r="E2442" s="1" t="inlineStr">
        <is>
          <t>Base</t>
        </is>
      </c>
      <c r="F2442" s="1" t="n">
        <v>1.409774</v>
      </c>
    </row>
    <row r="2443" ht="15.75" customHeight="1" s="201">
      <c r="A2443" s="1" t="n">
        <v>54408105</v>
      </c>
      <c r="B2443" s="1" t="inlineStr">
        <is>
          <t>Pretzel chips, hard, plain (Includes crisps; thins; NS as to salted)</t>
        </is>
      </c>
      <c r="C2443" s="1" t="n">
        <v>1</v>
      </c>
      <c r="D2443" s="1" t="inlineStr">
        <is>
          <t>Links to FNDDS</t>
        </is>
      </c>
      <c r="E2443" s="1" t="inlineStr">
        <is>
          <t>Base</t>
        </is>
      </c>
      <c r="F2443" s="1" t="n">
        <v>1.167487</v>
      </c>
    </row>
    <row r="2444" ht="15.75" customHeight="1" s="201">
      <c r="A2444" s="1" t="n">
        <v>54408110</v>
      </c>
      <c r="B2444" s="1" t="inlineStr">
        <is>
          <t>Pretzel chips, hard, flavored (Includes all flavors; crisps; thins)</t>
        </is>
      </c>
      <c r="C2444" s="1" t="n">
        <v>1</v>
      </c>
      <c r="D2444" s="1" t="inlineStr">
        <is>
          <t>Links to FNDDS</t>
        </is>
      </c>
      <c r="E2444" s="1" t="inlineStr">
        <is>
          <t>Base</t>
        </is>
      </c>
      <c r="F2444" s="1" t="n">
        <v>1.272592</v>
      </c>
    </row>
    <row r="2445" ht="15.75" customHeight="1" s="201">
      <c r="A2445" s="1" t="n">
        <v>54408190</v>
      </c>
      <c r="B2445" s="1" t="inlineStr">
        <is>
          <t>Pretzels, hard, coated, NFS</t>
        </is>
      </c>
      <c r="C2445" s="1" t="n">
        <v>2</v>
      </c>
      <c r="D2445" s="1" t="inlineStr">
        <is>
          <t>Links to altEC</t>
        </is>
      </c>
      <c r="E2445" s="1" t="inlineStr">
        <is>
          <t>Base</t>
        </is>
      </c>
      <c r="F2445" s="1" t="n">
        <v>1.533158</v>
      </c>
    </row>
    <row r="2446" ht="15.75" customHeight="1" s="201">
      <c r="A2446" s="1" t="n">
        <v>54408200</v>
      </c>
      <c r="B2446" s="1" t="inlineStr">
        <is>
          <t>Pretzels, hard, chocolate coated (Includes mint chocolate)</t>
        </is>
      </c>
      <c r="C2446" s="1" t="n">
        <v>1</v>
      </c>
      <c r="D2446" s="1" t="inlineStr">
        <is>
          <t>Links to FNDDS</t>
        </is>
      </c>
      <c r="E2446" s="1" t="inlineStr">
        <is>
          <t>Base</t>
        </is>
      </c>
      <c r="F2446" s="1" t="n">
        <v>1.619812</v>
      </c>
    </row>
    <row r="2447" ht="15.75" customHeight="1" s="201">
      <c r="A2447" s="1" t="n">
        <v>54408210</v>
      </c>
      <c r="B2447" s="1" t="inlineStr">
        <is>
          <t>Pretzels, hard, white chocolate coated (Includes white fudge; white creme)</t>
        </is>
      </c>
      <c r="C2447" s="1" t="n">
        <v>1</v>
      </c>
      <c r="D2447" s="1" t="inlineStr">
        <is>
          <t>Links to FNDDS</t>
        </is>
      </c>
      <c r="E2447" s="1" t="inlineStr">
        <is>
          <t>Base</t>
        </is>
      </c>
      <c r="F2447" s="1" t="n">
        <v>1.441725</v>
      </c>
    </row>
    <row r="2448" ht="15.75" customHeight="1" s="201">
      <c r="A2448" s="1" t="n">
        <v>54408250</v>
      </c>
      <c r="B2448" s="1" t="inlineStr">
        <is>
          <t>Pretzels, hard, yogurt coated</t>
        </is>
      </c>
      <c r="C2448" s="1" t="n">
        <v>1</v>
      </c>
      <c r="D2448" s="1" t="inlineStr">
        <is>
          <t>Links to FNDDS</t>
        </is>
      </c>
      <c r="E2448" s="1" t="inlineStr">
        <is>
          <t>Base</t>
        </is>
      </c>
      <c r="F2448" s="1" t="n">
        <v>1.258517</v>
      </c>
    </row>
    <row r="2449" ht="15.75" customHeight="1" s="201">
      <c r="A2449" s="1" t="n">
        <v>54408300</v>
      </c>
      <c r="B2449" s="1" t="inlineStr">
        <is>
          <t>Pretzels, hard, cheese filled (Includes Combos, all flavors; nuggets)</t>
        </is>
      </c>
      <c r="C2449" s="1" t="n">
        <v>1</v>
      </c>
      <c r="D2449" s="1" t="inlineStr">
        <is>
          <t>Links to FNDDS</t>
        </is>
      </c>
      <c r="E2449" s="1" t="inlineStr">
        <is>
          <t>Base</t>
        </is>
      </c>
      <c r="F2449" s="1" t="n">
        <v>1.227291</v>
      </c>
    </row>
    <row r="2450" ht="15.75" customHeight="1" s="201">
      <c r="A2450" s="1" t="n">
        <v>54408310</v>
      </c>
      <c r="B2450" s="1" t="inlineStr">
        <is>
          <t>Pretzels, hard, peanut butter filled (Includes nuggets)</t>
        </is>
      </c>
      <c r="C2450" s="1" t="n">
        <v>1</v>
      </c>
      <c r="D2450" s="1" t="inlineStr">
        <is>
          <t>Links to FNDDS</t>
        </is>
      </c>
      <c r="E2450" s="1" t="inlineStr">
        <is>
          <t>Base</t>
        </is>
      </c>
      <c r="F2450" s="1" t="n">
        <v>0.842921</v>
      </c>
    </row>
    <row r="2451" ht="15.75" customHeight="1" s="201">
      <c r="A2451" s="1" t="n">
        <v>54408405</v>
      </c>
      <c r="B2451" s="1" t="inlineStr">
        <is>
          <t>Pretzels, soft, ready-to-eat, NFS</t>
        </is>
      </c>
      <c r="C2451" s="1" t="n">
        <v>2</v>
      </c>
      <c r="D2451" s="1" t="inlineStr">
        <is>
          <t>Links to altEC</t>
        </is>
      </c>
      <c r="E2451" s="1" t="inlineStr">
        <is>
          <t>Base</t>
        </is>
      </c>
      <c r="F2451" s="1" t="n">
        <v>0.5990259999999999</v>
      </c>
    </row>
    <row r="2452" ht="15.75" customHeight="1" s="201">
      <c r="A2452" s="1" t="n">
        <v>54408410</v>
      </c>
      <c r="B2452" s="1" t="inlineStr">
        <is>
          <t>Pretzels, soft, ready-to-eat, salted, buttered (Includes from fast food, restaurant, or other place; lightly salted)</t>
        </is>
      </c>
      <c r="C2452" s="1" t="n">
        <v>2</v>
      </c>
      <c r="D2452" s="1" t="inlineStr">
        <is>
          <t>Links to altEC</t>
        </is>
      </c>
      <c r="E2452" s="1" t="inlineStr">
        <is>
          <t>Base</t>
        </is>
      </c>
      <c r="F2452" s="1" t="n">
        <v>0.667083</v>
      </c>
    </row>
    <row r="2453" ht="15.75" customHeight="1" s="201">
      <c r="A2453" s="1" t="n">
        <v>54408415</v>
      </c>
      <c r="B2453" s="1" t="inlineStr">
        <is>
          <t>Pretzels, soft, ready-to-eat, salted, no butter (Includes from fast food, restaurant, or other place; lightly salted)</t>
        </is>
      </c>
      <c r="C2453" s="1" t="n">
        <v>2</v>
      </c>
      <c r="D2453" s="1" t="inlineStr">
        <is>
          <t>Links to altEC</t>
        </is>
      </c>
      <c r="E2453" s="1" t="inlineStr">
        <is>
          <t>Base</t>
        </is>
      </c>
      <c r="F2453" s="1" t="n">
        <v>0.667083</v>
      </c>
    </row>
    <row r="2454" ht="15.75" customHeight="1" s="201">
      <c r="A2454" s="1" t="n">
        <v>54408420</v>
      </c>
      <c r="B2454" s="1" t="inlineStr">
        <is>
          <t>Pretzels, soft, ready-to-eat, cinnamon sugar coated (Includes Sweet Almond; sugar; from fast food, restaurant, or other place)</t>
        </is>
      </c>
      <c r="C2454" s="1" t="n">
        <v>2</v>
      </c>
      <c r="D2454" s="1" t="inlineStr">
        <is>
          <t>Links to altEC</t>
        </is>
      </c>
      <c r="E2454" s="1" t="inlineStr">
        <is>
          <t>Base</t>
        </is>
      </c>
      <c r="F2454" s="1" t="n">
        <v>0.667083</v>
      </c>
    </row>
    <row r="2455" ht="15.75" customHeight="1" s="201">
      <c r="A2455" s="1" t="n">
        <v>54408422</v>
      </c>
      <c r="B2455" s="1" t="inlineStr">
        <is>
          <t>Pretzels, soft, ready-to-eat, coated or flavored (Includes all flavors; all coatings excluding cinnamon sugar or sugar; from fast food, restaurant, or other place; roasted garlic parmesan; sour cream and onion)</t>
        </is>
      </c>
      <c r="C2455" s="1" t="n">
        <v>2</v>
      </c>
      <c r="D2455" s="1" t="inlineStr">
        <is>
          <t>Links to altEC</t>
        </is>
      </c>
      <c r="E2455" s="1" t="inlineStr">
        <is>
          <t>Base</t>
        </is>
      </c>
      <c r="F2455" s="1" t="n">
        <v>0.667083</v>
      </c>
    </row>
    <row r="2456" ht="15.75" customHeight="1" s="201">
      <c r="A2456" s="1" t="n">
        <v>54408456</v>
      </c>
      <c r="B2456" s="1" t="inlineStr">
        <is>
          <t>Pretzels, soft, from frozen, unsalted (Includes homemade)</t>
        </is>
      </c>
      <c r="C2456" s="1" t="n">
        <v>2</v>
      </c>
      <c r="D2456" s="1" t="inlineStr">
        <is>
          <t>Links to altEC</t>
        </is>
      </c>
      <c r="E2456" s="1" t="inlineStr">
        <is>
          <t>Base</t>
        </is>
      </c>
      <c r="F2456" s="1" t="n">
        <v>0.667083</v>
      </c>
    </row>
    <row r="2457" ht="15.75" customHeight="1" s="201">
      <c r="A2457" s="1" t="n">
        <v>54408470</v>
      </c>
      <c r="B2457" s="1" t="inlineStr">
        <is>
          <t>Pretzels, soft, filled with cheese (Includes from any source; stuffed with cheese)</t>
        </is>
      </c>
      <c r="C2457" s="1" t="n">
        <v>1</v>
      </c>
      <c r="D2457" s="1" t="inlineStr">
        <is>
          <t>Links to FNDDS</t>
        </is>
      </c>
      <c r="E2457" s="1" t="inlineStr">
        <is>
          <t>Base</t>
        </is>
      </c>
      <c r="F2457" s="1" t="n">
        <v>1.0355</v>
      </c>
    </row>
    <row r="2458" ht="15.75" customHeight="1" s="201">
      <c r="A2458" s="1" t="n">
        <v>54408475</v>
      </c>
      <c r="B2458" s="1" t="inlineStr">
        <is>
          <t>Pretzels, soft, from school lunch (Includes school cafeteria (K-12))</t>
        </is>
      </c>
      <c r="C2458" s="1" t="n">
        <v>2</v>
      </c>
      <c r="D2458" s="1" t="inlineStr">
        <is>
          <t>Links to altEC</t>
        </is>
      </c>
      <c r="E2458" s="1" t="inlineStr">
        <is>
          <t>Base</t>
        </is>
      </c>
      <c r="F2458" s="1" t="n">
        <v>0.667083</v>
      </c>
    </row>
    <row r="2459" ht="15.75" customHeight="1" s="201">
      <c r="A2459" s="1" t="n">
        <v>54408485</v>
      </c>
      <c r="B2459" s="1" t="inlineStr">
        <is>
          <t>Pretzels, soft, gluten free (Includes from any source; NS as to salted)</t>
        </is>
      </c>
      <c r="C2459" s="1" t="n">
        <v>2</v>
      </c>
      <c r="D2459" s="1" t="inlineStr">
        <is>
          <t>Links to altEC</t>
        </is>
      </c>
      <c r="E2459" s="1" t="inlineStr">
        <is>
          <t>Base</t>
        </is>
      </c>
      <c r="F2459" s="1" t="n">
        <v>0.667083</v>
      </c>
    </row>
    <row r="2460" ht="15.75" customHeight="1" s="201">
      <c r="A2460" s="1" t="n">
        <v>54408487</v>
      </c>
      <c r="B2460" s="1" t="inlineStr">
        <is>
          <t>Pretzels, soft, gluten free, coated or flavored (Includes from any source; all flavors; all coatings or toppings excluding cinnamon sugar or sugar)</t>
        </is>
      </c>
      <c r="C2460" s="1" t="n">
        <v>2</v>
      </c>
      <c r="D2460" s="1" t="inlineStr">
        <is>
          <t>Links to altEC</t>
        </is>
      </c>
      <c r="E2460" s="1" t="inlineStr">
        <is>
          <t>Base</t>
        </is>
      </c>
      <c r="F2460" s="1" t="n">
        <v>0.321907</v>
      </c>
    </row>
    <row r="2461" ht="15.75" customHeight="1" s="201">
      <c r="A2461" s="1" t="n">
        <v>54420210</v>
      </c>
      <c r="B2461" s="1" t="inlineStr">
        <is>
          <t>Multigrain chips (Sun Chips) (Includes all flavors; plain)</t>
        </is>
      </c>
      <c r="C2461" s="1" t="n">
        <v>1</v>
      </c>
      <c r="D2461" s="1" t="inlineStr">
        <is>
          <t>Links to FNDDS</t>
        </is>
      </c>
      <c r="E2461" s="1" t="inlineStr">
        <is>
          <t>Base</t>
        </is>
      </c>
      <c r="F2461" s="1" t="n">
        <v>1.374798</v>
      </c>
    </row>
    <row r="2462" ht="15.75" customHeight="1" s="201">
      <c r="A2462" s="1" t="n">
        <v>54420220</v>
      </c>
      <c r="B2462" s="1" t="inlineStr">
        <is>
          <t>Snack mix, plain (Chex Mix) (Includes Chex Party Mix; plain or flavored)</t>
        </is>
      </c>
      <c r="C2462" s="1" t="n">
        <v>1</v>
      </c>
      <c r="D2462" s="1" t="inlineStr">
        <is>
          <t>Links to FNDDS</t>
        </is>
      </c>
      <c r="E2462" s="1" t="inlineStr">
        <is>
          <t>Base</t>
        </is>
      </c>
      <c r="F2462" s="1" t="n">
        <v>0.831175</v>
      </c>
    </row>
    <row r="2463" ht="15.75" customHeight="1" s="201">
      <c r="A2463" s="1" t="n">
        <v>54440010</v>
      </c>
      <c r="B2463" s="1" t="inlineStr">
        <is>
          <t>Bagel chips (Includes all flavors)</t>
        </is>
      </c>
      <c r="C2463" s="1" t="n">
        <v>1</v>
      </c>
      <c r="D2463" s="1" t="inlineStr">
        <is>
          <t>Links to FNDDS</t>
        </is>
      </c>
      <c r="E2463" s="1" t="inlineStr">
        <is>
          <t>Base</t>
        </is>
      </c>
      <c r="F2463" s="1" t="n">
        <v>1.448634</v>
      </c>
    </row>
    <row r="2464" ht="15.75" customHeight="1" s="201">
      <c r="A2464" s="1" t="n">
        <v>54440020</v>
      </c>
      <c r="B2464" s="1" t="inlineStr">
        <is>
          <t>Cracker chips (Includes all flavors; Pepperidge Farm Cracker Chips; Ritz Chips; Special K Cracker Chips; Wheat Thins Toasted Chips; multigrain Ritz Chips; Pepperidge Farm Multi-Grain Chips)</t>
        </is>
      </c>
      <c r="C2464" s="1" t="n">
        <v>1</v>
      </c>
      <c r="D2464" s="1" t="inlineStr">
        <is>
          <t>Links to FNDDS</t>
        </is>
      </c>
      <c r="E2464" s="1" t="inlineStr">
        <is>
          <t>Base</t>
        </is>
      </c>
      <c r="F2464" s="1" t="n">
        <v>1.360725</v>
      </c>
    </row>
    <row r="2465" ht="15.75" customHeight="1" s="201">
      <c r="A2465" s="1" t="n">
        <v>55100005</v>
      </c>
      <c r="B2465" s="1" t="inlineStr">
        <is>
          <t>Pancakes, NFS (Includes hot cakes; flapjacks)</t>
        </is>
      </c>
      <c r="C2465" s="1" t="n">
        <v>2</v>
      </c>
      <c r="D2465" s="1" t="inlineStr">
        <is>
          <t>Links to altEC</t>
        </is>
      </c>
      <c r="E2465" s="1" t="inlineStr">
        <is>
          <t>Base</t>
        </is>
      </c>
      <c r="F2465" s="1" t="n">
        <v>0.521425</v>
      </c>
    </row>
    <row r="2466" ht="15.75" customHeight="1" s="201">
      <c r="A2466" s="1" t="n">
        <v>55100010</v>
      </c>
      <c r="B2466" s="1" t="inlineStr">
        <is>
          <t>Pancakes, plain, from frozen (Includes pancakes, frozen, NFS; buttermilk; homestyle; hot cakes; flapjacks; Eggo)</t>
        </is>
      </c>
      <c r="C2466" s="1" t="n">
        <v>2</v>
      </c>
      <c r="D2466" s="1" t="inlineStr">
        <is>
          <t>Links to altEC</t>
        </is>
      </c>
      <c r="E2466" s="1" t="inlineStr">
        <is>
          <t>Base</t>
        </is>
      </c>
      <c r="F2466" s="1" t="n">
        <v>0.525517</v>
      </c>
    </row>
    <row r="2467" ht="15.75" customHeight="1" s="201">
      <c r="A2467" s="1" t="n">
        <v>55100020</v>
      </c>
      <c r="B2467" s="1" t="inlineStr">
        <is>
          <t>Pancakes, with fruit, from frozen (Includes blueberry; raisin; hot cakes; flapjacks; Eggo)</t>
        </is>
      </c>
      <c r="C2467" s="1" t="n">
        <v>1</v>
      </c>
      <c r="D2467" s="1" t="inlineStr">
        <is>
          <t>Links to FNDDS</t>
        </is>
      </c>
      <c r="E2467" s="1" t="inlineStr">
        <is>
          <t>Base</t>
        </is>
      </c>
      <c r="F2467" s="1" t="n">
        <v>0.466894</v>
      </c>
    </row>
    <row r="2468" ht="15.75" customHeight="1" s="201">
      <c r="A2468" s="1" t="n">
        <v>55100025</v>
      </c>
      <c r="B2468" s="1" t="inlineStr">
        <is>
          <t>Pancakes, with chocolate, from frozen (Includes chocolate chips; hot cakes; flapjacks; Eggo)</t>
        </is>
      </c>
      <c r="C2468" s="1" t="n">
        <v>1</v>
      </c>
      <c r="D2468" s="1" t="inlineStr">
        <is>
          <t>Links to FNDDS</t>
        </is>
      </c>
      <c r="E2468" s="1" t="inlineStr">
        <is>
          <t>Base</t>
        </is>
      </c>
      <c r="F2468" s="1" t="n">
        <v>0.588517</v>
      </c>
    </row>
    <row r="2469" ht="15.75" customHeight="1" s="201">
      <c r="A2469" s="1" t="n">
        <v>55100030</v>
      </c>
      <c r="B2469" s="1" t="inlineStr">
        <is>
          <t>Pancakes, whole grain, from frozen (Includes whole wheat; multigrain; hot cakes; flapjacks)</t>
        </is>
      </c>
      <c r="C2469" s="1" t="n">
        <v>4</v>
      </c>
      <c r="D2469" s="1" t="inlineStr">
        <is>
          <t>FNDDS recipe with replaced or modified SR codes</t>
        </is>
      </c>
      <c r="E2469" s="1" t="inlineStr">
        <is>
          <t>Base</t>
        </is>
      </c>
      <c r="F2469" s="1" t="n">
        <v>0.526745</v>
      </c>
    </row>
    <row r="2470" ht="15.75" customHeight="1" s="201">
      <c r="A2470" s="1" t="n">
        <v>55100035</v>
      </c>
      <c r="B2470" s="1" t="inlineStr">
        <is>
          <t>Pancakes, whole grain, reduced fat, from frozen (Includes whole wheat; multigrain; hot cakes; flapjacks; low fat; fat free)</t>
        </is>
      </c>
      <c r="C2470" s="1" t="n">
        <v>2</v>
      </c>
      <c r="D2470" s="1" t="inlineStr">
        <is>
          <t>Links to altEC</t>
        </is>
      </c>
      <c r="E2470" s="1" t="inlineStr">
        <is>
          <t>Base</t>
        </is>
      </c>
      <c r="F2470" s="1" t="n">
        <v>0.521425</v>
      </c>
    </row>
    <row r="2471" ht="15.75" customHeight="1" s="201">
      <c r="A2471" s="1" t="n">
        <v>55100050</v>
      </c>
      <c r="B2471" s="1" t="inlineStr">
        <is>
          <t>Pancakes, plain, from fast food / restaurant (Includes pancakes, from fast food / restaurant, NFS; buttermilk; hot cakes; flapjacks)</t>
        </is>
      </c>
      <c r="C2471" s="1" t="n">
        <v>2</v>
      </c>
      <c r="D2471" s="1" t="inlineStr">
        <is>
          <t>Links to altEC</t>
        </is>
      </c>
      <c r="E2471" s="1" t="inlineStr">
        <is>
          <t>Base</t>
        </is>
      </c>
      <c r="F2471" s="1" t="n">
        <v>0.521425</v>
      </c>
    </row>
    <row r="2472" ht="15.75" customHeight="1" s="201">
      <c r="A2472" s="1" t="n">
        <v>55100060</v>
      </c>
      <c r="B2472" s="1" t="inlineStr">
        <is>
          <t>Pancakes, with chocolate, from fast food / restaurant (Includes chocolate chips; hot cakes; flapjacks)</t>
        </is>
      </c>
      <c r="C2472" s="1" t="n">
        <v>4</v>
      </c>
      <c r="D2472" s="1" t="inlineStr">
        <is>
          <t>FNDDS recipe with replaced or modified SR codes</t>
        </is>
      </c>
      <c r="E2472" s="1" t="inlineStr">
        <is>
          <t>Base</t>
        </is>
      </c>
      <c r="F2472" s="1" t="n">
        <v>0.465156</v>
      </c>
    </row>
    <row r="2473" ht="15.75" customHeight="1" s="201">
      <c r="A2473" s="1" t="n">
        <v>55100065</v>
      </c>
      <c r="B2473" s="1" t="inlineStr">
        <is>
          <t>Pancakes, whole grain, from fast food / restaurant (Includes whole wheat; multigrain; hot cakes; flapjacks)</t>
        </is>
      </c>
      <c r="C2473" s="1" t="n">
        <v>4</v>
      </c>
      <c r="D2473" s="1" t="inlineStr">
        <is>
          <t>FNDDS recipe with replaced or modified SR codes</t>
        </is>
      </c>
      <c r="E2473" s="1" t="inlineStr">
        <is>
          <t>Base</t>
        </is>
      </c>
      <c r="F2473" s="1" t="n">
        <v>0.29593</v>
      </c>
    </row>
    <row r="2474" ht="15.75" customHeight="1" s="201">
      <c r="A2474" s="1" t="n">
        <v>55100080</v>
      </c>
      <c r="B2474" s="1" t="inlineStr">
        <is>
          <t>Pancakes, from school, NFS (Includes hot cakes; flapjacks)</t>
        </is>
      </c>
      <c r="C2474" s="1" t="n">
        <v>2</v>
      </c>
      <c r="D2474" s="1" t="inlineStr">
        <is>
          <t>Links to altEC</t>
        </is>
      </c>
      <c r="E2474" s="1" t="inlineStr">
        <is>
          <t>Base</t>
        </is>
      </c>
      <c r="F2474" s="1" t="n">
        <v>0.521425</v>
      </c>
    </row>
    <row r="2475" ht="15.75" customHeight="1" s="201">
      <c r="A2475" s="1" t="n">
        <v>55101000</v>
      </c>
      <c r="B2475" s="1" t="inlineStr">
        <is>
          <t>Pancakes, plain (Includes buttermilk; hot cakes; flapjacks; from home, store, or other place (excluding frozen))</t>
        </is>
      </c>
      <c r="C2475" s="1" t="n">
        <v>2</v>
      </c>
      <c r="D2475" s="1" t="inlineStr">
        <is>
          <t>Links to altEC</t>
        </is>
      </c>
      <c r="E2475" s="1" t="inlineStr">
        <is>
          <t>Base</t>
        </is>
      </c>
      <c r="F2475" s="1" t="n">
        <v>0.521425</v>
      </c>
    </row>
    <row r="2476" ht="15.75" customHeight="1" s="201">
      <c r="A2476" s="1" t="n">
        <v>55101015</v>
      </c>
      <c r="B2476" s="1" t="inlineStr">
        <is>
          <t>Pancakes, plain, reduced fat (Includes low fat; buttermilk; hot cakes; flapjacks; fat free; from home, store, or other place (excluding frozen))</t>
        </is>
      </c>
      <c r="C2476" s="1" t="n">
        <v>2</v>
      </c>
      <c r="D2476" s="1" t="inlineStr">
        <is>
          <t>Links to altEC</t>
        </is>
      </c>
      <c r="E2476" s="1" t="inlineStr">
        <is>
          <t>Base</t>
        </is>
      </c>
      <c r="F2476" s="1" t="n">
        <v>0.521425</v>
      </c>
    </row>
    <row r="2477" ht="15.75" customHeight="1" s="201">
      <c r="A2477" s="1" t="n">
        <v>55103000</v>
      </c>
      <c r="B2477" s="1" t="inlineStr">
        <is>
          <t>Pancakes, with fruit (Includes blueberry; raisin; hot cakes; flapjacks; from home, store, or other place (excluding frozen))</t>
        </is>
      </c>
      <c r="C2477" s="1" t="n">
        <v>2</v>
      </c>
      <c r="D2477" s="1" t="inlineStr">
        <is>
          <t>Links to altEC</t>
        </is>
      </c>
      <c r="E2477" s="1" t="inlineStr">
        <is>
          <t>Base</t>
        </is>
      </c>
      <c r="F2477" s="1" t="n">
        <v>0.466894</v>
      </c>
    </row>
    <row r="2478" ht="15.75" customHeight="1" s="201">
      <c r="A2478" s="1" t="n">
        <v>55103020</v>
      </c>
      <c r="B2478" s="1" t="inlineStr">
        <is>
          <t>Pancakes, pumpkin (Includes sweet potato; hot cakes; flapjacks; from home, store, or other place)</t>
        </is>
      </c>
      <c r="C2478" s="1" t="n">
        <v>4</v>
      </c>
      <c r="D2478" s="1" t="inlineStr">
        <is>
          <t>FNDDS recipe with replaced or modified SR codes</t>
        </is>
      </c>
      <c r="E2478" s="1" t="inlineStr">
        <is>
          <t>Base</t>
        </is>
      </c>
      <c r="F2478" s="1" t="n">
        <v>0.317427</v>
      </c>
    </row>
    <row r="2479" ht="15.75" customHeight="1" s="201">
      <c r="A2479" s="1" t="n">
        <v>55105200</v>
      </c>
      <c r="B2479" s="1" t="inlineStr">
        <is>
          <t>Pancakes, whole grain (Includes whole wheat; multigrain; hot cakes; flapjacks; from home, store, or other place (excluding frozen))</t>
        </is>
      </c>
      <c r="C2479" s="1" t="n">
        <v>4</v>
      </c>
      <c r="D2479" s="1" t="inlineStr">
        <is>
          <t>FNDDS recipe with replaced or modified SR codes</t>
        </is>
      </c>
      <c r="E2479" s="1" t="inlineStr">
        <is>
          <t>Base</t>
        </is>
      </c>
      <c r="F2479" s="1" t="n">
        <v>0.289134</v>
      </c>
    </row>
    <row r="2480" ht="15.75" customHeight="1" s="201">
      <c r="A2480" s="1" t="n">
        <v>55106000</v>
      </c>
      <c r="B2480" s="1" t="inlineStr">
        <is>
          <t>Pancakes, gluten free (Includes hot cakes; flapjacks; from home, store, or other place (excluding frozen))</t>
        </is>
      </c>
      <c r="C2480" s="1" t="n">
        <v>2</v>
      </c>
      <c r="D2480" s="1" t="inlineStr">
        <is>
          <t>Links to altEC</t>
        </is>
      </c>
      <c r="E2480" s="1" t="inlineStr">
        <is>
          <t>Base</t>
        </is>
      </c>
      <c r="F2480" s="1" t="n">
        <v>0.521425</v>
      </c>
    </row>
    <row r="2481" ht="15.75" customHeight="1" s="201">
      <c r="A2481" s="1" t="n">
        <v>55200010</v>
      </c>
      <c r="B2481" s="1" t="inlineStr">
        <is>
          <t>Waffle, NFS</t>
        </is>
      </c>
      <c r="C2481" s="1" t="n">
        <v>2</v>
      </c>
      <c r="D2481" s="1" t="inlineStr">
        <is>
          <t>Links to altEC</t>
        </is>
      </c>
      <c r="E2481" s="1" t="inlineStr">
        <is>
          <t>Base</t>
        </is>
      </c>
      <c r="F2481" s="1" t="n">
        <v>0.738198</v>
      </c>
    </row>
    <row r="2482" ht="15.75" customHeight="1" s="201">
      <c r="A2482" s="1" t="n">
        <v>55200020</v>
      </c>
      <c r="B2482" s="1" t="inlineStr">
        <is>
          <t>Waffle, plain, from frozen (Includes waffle, from frozen, NFS; Belgian; buttermilk; homestyle waffle; Eggo)</t>
        </is>
      </c>
      <c r="C2482" s="1" t="n">
        <v>2</v>
      </c>
      <c r="D2482" s="1" t="inlineStr">
        <is>
          <t>Links to altEC</t>
        </is>
      </c>
      <c r="E2482" s="1" t="inlineStr">
        <is>
          <t>Base</t>
        </is>
      </c>
      <c r="F2482" s="1" t="n">
        <v>0.738063</v>
      </c>
    </row>
    <row r="2483" ht="15.75" customHeight="1" s="201">
      <c r="A2483" s="1" t="n">
        <v>55200030</v>
      </c>
      <c r="B2483" s="1" t="inlineStr">
        <is>
          <t>Waffle, plain, reduced fat, from frozen (Includes Belgian; buttermilk; homestyle; low fat; fat free)</t>
        </is>
      </c>
      <c r="C2483" s="1" t="n">
        <v>4</v>
      </c>
      <c r="D2483" s="1" t="inlineStr">
        <is>
          <t>FNDDS recipe with replaced or modified SR codes</t>
        </is>
      </c>
      <c r="E2483" s="1" t="inlineStr">
        <is>
          <t>Base</t>
        </is>
      </c>
      <c r="F2483" s="1" t="n">
        <v>0.203789</v>
      </c>
    </row>
    <row r="2484" ht="15.75" customHeight="1" s="201">
      <c r="A2484" s="1" t="n">
        <v>55200040</v>
      </c>
      <c r="B2484" s="1" t="inlineStr">
        <is>
          <t>Waffle, fruit, from frozen (Includes blueberry; strawberry; raisin; Eggo)</t>
        </is>
      </c>
      <c r="C2484" s="1" t="n">
        <v>1</v>
      </c>
      <c r="D2484" s="1" t="inlineStr">
        <is>
          <t>Links to FNDDS</t>
        </is>
      </c>
      <c r="E2484" s="1" t="inlineStr">
        <is>
          <t>Base</t>
        </is>
      </c>
      <c r="F2484" s="1" t="n">
        <v>0.769778</v>
      </c>
    </row>
    <row r="2485" ht="15.75" customHeight="1" s="201">
      <c r="A2485" s="1" t="n">
        <v>55200050</v>
      </c>
      <c r="B2485" s="1" t="inlineStr">
        <is>
          <t>Waffle, chocolate, from frozen (Includes chocolate chips; Eggo)</t>
        </is>
      </c>
      <c r="C2485" s="1" t="n">
        <v>1</v>
      </c>
      <c r="D2485" s="1" t="inlineStr">
        <is>
          <t>Links to FNDDS</t>
        </is>
      </c>
      <c r="E2485" s="1" t="inlineStr">
        <is>
          <t>Base</t>
        </is>
      </c>
      <c r="F2485" s="1" t="n">
        <v>0.727777</v>
      </c>
    </row>
    <row r="2486" ht="15.75" customHeight="1" s="201">
      <c r="A2486" s="1" t="n">
        <v>55200060</v>
      </c>
      <c r="B2486" s="1" t="inlineStr">
        <is>
          <t>Waffle, whole grain, from frozen (Includes whole wheat; multigrain; bran)</t>
        </is>
      </c>
      <c r="C2486" s="1" t="n">
        <v>1</v>
      </c>
      <c r="D2486" s="1" t="inlineStr">
        <is>
          <t>Links to FNDDS</t>
        </is>
      </c>
      <c r="E2486" s="1" t="inlineStr">
        <is>
          <t>Base</t>
        </is>
      </c>
      <c r="F2486" s="1" t="n">
        <v>0.925796</v>
      </c>
    </row>
    <row r="2487" ht="15.75" customHeight="1" s="201">
      <c r="A2487" s="1" t="n">
        <v>55200070</v>
      </c>
      <c r="B2487" s="1" t="inlineStr">
        <is>
          <t>Waffle, whole grain, reduced fat, from frozen (Includes whole wheat; multigrain; bran; low fat; fat free; Eggo Nutri-Grain)</t>
        </is>
      </c>
      <c r="C2487" s="1" t="n">
        <v>2</v>
      </c>
      <c r="D2487" s="1" t="inlineStr">
        <is>
          <t>Links to altEC</t>
        </is>
      </c>
      <c r="E2487" s="1" t="inlineStr">
        <is>
          <t>Base</t>
        </is>
      </c>
      <c r="F2487" s="1" t="n">
        <v>0.925796</v>
      </c>
    </row>
    <row r="2488" ht="15.75" customHeight="1" s="201">
      <c r="A2488" s="1" t="n">
        <v>55200090</v>
      </c>
      <c r="B2488" s="1" t="inlineStr">
        <is>
          <t>Waffle, gluten free, from frozen</t>
        </is>
      </c>
      <c r="C2488" s="1" t="n">
        <v>2</v>
      </c>
      <c r="D2488" s="1" t="inlineStr">
        <is>
          <t>Links to altEC</t>
        </is>
      </c>
      <c r="E2488" s="1" t="inlineStr">
        <is>
          <t>Base</t>
        </is>
      </c>
      <c r="F2488" s="1" t="n">
        <v>0.7180879999999999</v>
      </c>
    </row>
    <row r="2489" ht="15.75" customHeight="1" s="201">
      <c r="A2489" s="1" t="n">
        <v>55200100</v>
      </c>
      <c r="B2489" s="1" t="inlineStr">
        <is>
          <t>Waffle, plain, from fast food / restaurant (Includes waffle, from fast food / restaurant, NFS; Belgian; buttermilk)</t>
        </is>
      </c>
      <c r="C2489" s="1" t="n">
        <v>2</v>
      </c>
      <c r="D2489" s="1" t="inlineStr">
        <is>
          <t>Links to altEC</t>
        </is>
      </c>
      <c r="E2489" s="1" t="inlineStr">
        <is>
          <t>Base</t>
        </is>
      </c>
      <c r="F2489" s="1" t="n">
        <v>0.718295</v>
      </c>
    </row>
    <row r="2490" ht="15.75" customHeight="1" s="201">
      <c r="A2490" s="1" t="n">
        <v>55200110</v>
      </c>
      <c r="B2490" s="1" t="inlineStr">
        <is>
          <t>Waffle, chocolate, from fast food / restaurant (Includes chocolate chips)</t>
        </is>
      </c>
      <c r="C2490" s="1" t="n">
        <v>4</v>
      </c>
      <c r="D2490" s="1" t="inlineStr">
        <is>
          <t>FNDDS recipe with replaced or modified SR codes</t>
        </is>
      </c>
      <c r="E2490" s="1" t="inlineStr">
        <is>
          <t>Base</t>
        </is>
      </c>
      <c r="F2490" s="1" t="n">
        <v>0.566515</v>
      </c>
    </row>
    <row r="2491" ht="15.75" customHeight="1" s="201">
      <c r="A2491" s="1" t="n">
        <v>55200120</v>
      </c>
      <c r="B2491" s="1" t="inlineStr">
        <is>
          <t>Waffle, fruit, from fast food / restaurant (Includes blueberry; strawberry; raisin)</t>
        </is>
      </c>
      <c r="C2491" s="1" t="n">
        <v>4</v>
      </c>
      <c r="D2491" s="1" t="inlineStr">
        <is>
          <t>FNDDS recipe with replaced or modified SR codes</t>
        </is>
      </c>
      <c r="E2491" s="1" t="inlineStr">
        <is>
          <t>Base</t>
        </is>
      </c>
      <c r="F2491" s="1" t="n">
        <v>0.533806</v>
      </c>
    </row>
    <row r="2492" ht="15.75" customHeight="1" s="201">
      <c r="A2492" s="1" t="n">
        <v>55200130</v>
      </c>
      <c r="B2492" s="1" t="inlineStr">
        <is>
          <t>Waffle, whole grain, from fast food / restaurant (Includes whole wheat; multigrain; bran)</t>
        </is>
      </c>
      <c r="C2492" s="1" t="n">
        <v>4</v>
      </c>
      <c r="D2492" s="1" t="inlineStr">
        <is>
          <t>FNDDS recipe with replaced or modified SR codes</t>
        </is>
      </c>
      <c r="E2492" s="1" t="inlineStr">
        <is>
          <t>Base</t>
        </is>
      </c>
      <c r="F2492" s="1" t="n">
        <v>0.374281</v>
      </c>
    </row>
    <row r="2493" ht="15.75" customHeight="1" s="201">
      <c r="A2493" s="1" t="n">
        <v>55200200</v>
      </c>
      <c r="B2493" s="1" t="inlineStr">
        <is>
          <t>Waffle, from school, NFS</t>
        </is>
      </c>
      <c r="C2493" s="1" t="n">
        <v>2</v>
      </c>
      <c r="D2493" s="1" t="inlineStr">
        <is>
          <t>Links to altEC</t>
        </is>
      </c>
      <c r="E2493" s="1" t="inlineStr">
        <is>
          <t>Base</t>
        </is>
      </c>
      <c r="F2493" s="1" t="n">
        <v>0.718295</v>
      </c>
    </row>
    <row r="2494" ht="15.75" customHeight="1" s="201">
      <c r="A2494" s="1" t="n">
        <v>55201000</v>
      </c>
      <c r="B2494" s="1" t="inlineStr">
        <is>
          <t>Waffle, plain (Includes Belgian; buttermilk; homestyle; from home, store, or other place (excluding frozen))</t>
        </is>
      </c>
      <c r="C2494" s="1" t="n">
        <v>4</v>
      </c>
      <c r="D2494" s="1" t="inlineStr">
        <is>
          <t>FNDDS recipe with replaced or modified SR codes</t>
        </is>
      </c>
      <c r="E2494" s="1" t="inlineStr">
        <is>
          <t>Base</t>
        </is>
      </c>
      <c r="F2494" s="1" t="n">
        <v>0.34998</v>
      </c>
    </row>
    <row r="2495" ht="15.75" customHeight="1" s="201">
      <c r="A2495" s="1" t="n">
        <v>55203000</v>
      </c>
      <c r="B2495" s="1" t="inlineStr">
        <is>
          <t>Waffle, fruit (Includes blueberry; strawberry; raisin; from home, store, or other place (excluding frozen))</t>
        </is>
      </c>
      <c r="C2495" s="1" t="n">
        <v>4</v>
      </c>
      <c r="D2495" s="1" t="inlineStr">
        <is>
          <t>FNDDS recipe with replaced or modified SR codes</t>
        </is>
      </c>
      <c r="E2495" s="1" t="inlineStr">
        <is>
          <t>Base</t>
        </is>
      </c>
      <c r="F2495" s="1" t="n">
        <v>0.5307269999999999</v>
      </c>
    </row>
    <row r="2496" ht="15.75" customHeight="1" s="201">
      <c r="A2496" s="1" t="n">
        <v>55203700</v>
      </c>
      <c r="B2496" s="1" t="inlineStr">
        <is>
          <t>Waffle, cinnamon (Includes from home, store, or other place; Eggo)</t>
        </is>
      </c>
      <c r="C2496" s="1" t="n">
        <v>4</v>
      </c>
      <c r="D2496" s="1" t="inlineStr">
        <is>
          <t>FNDDS recipe with replaced or modified SR codes</t>
        </is>
      </c>
      <c r="E2496" s="1" t="inlineStr">
        <is>
          <t>Base</t>
        </is>
      </c>
      <c r="F2496" s="1" t="n">
        <v>0.360375</v>
      </c>
    </row>
    <row r="2497" ht="15.75" customHeight="1" s="201">
      <c r="A2497" s="1" t="n">
        <v>55205000</v>
      </c>
      <c r="B2497" s="1" t="inlineStr">
        <is>
          <t>Waffle, whole grain (Includes whole wheat; multigrain; bran; from, home, store, or other place (excluding frozen))</t>
        </is>
      </c>
      <c r="C2497" s="1" t="n">
        <v>4</v>
      </c>
      <c r="D2497" s="1" t="inlineStr">
        <is>
          <t>FNDDS recipe with replaced or modified SR codes</t>
        </is>
      </c>
      <c r="E2497" s="1" t="inlineStr">
        <is>
          <t>Base</t>
        </is>
      </c>
      <c r="F2497" s="1" t="n">
        <v>0.359346</v>
      </c>
    </row>
    <row r="2498" ht="15.75" customHeight="1" s="201">
      <c r="A2498" s="1" t="n">
        <v>55211050</v>
      </c>
      <c r="B2498" s="1" t="inlineStr">
        <is>
          <t>Waffle, plain, reduced fat (Includes Belgian; buttermilk; homestyle; low fat; fat free; from home, store, or other place (excluding frozen))</t>
        </is>
      </c>
      <c r="C2498" s="1" t="n">
        <v>4</v>
      </c>
      <c r="D2498" s="1" t="inlineStr">
        <is>
          <t>FNDDS recipe with replaced or modified SR codes</t>
        </is>
      </c>
      <c r="E2498" s="1" t="inlineStr">
        <is>
          <t>Base</t>
        </is>
      </c>
      <c r="F2498" s="1" t="n">
        <v>0.341668</v>
      </c>
    </row>
    <row r="2499" ht="15.75" customHeight="1" s="201">
      <c r="A2499" s="1" t="n">
        <v>55212000</v>
      </c>
      <c r="B2499" s="1" t="inlineStr">
        <is>
          <t>Waffle, whole grain, reduced fat (Includes whole wheat; multigrain; bran; low fat; fat free; from home, store, or other place (excluding frozen))</t>
        </is>
      </c>
      <c r="C2499" s="1" t="n">
        <v>4</v>
      </c>
      <c r="D2499" s="1" t="inlineStr">
        <is>
          <t>FNDDS recipe with replaced or modified SR codes</t>
        </is>
      </c>
      <c r="E2499" s="1" t="inlineStr">
        <is>
          <t>Base</t>
        </is>
      </c>
      <c r="F2499" s="1" t="n">
        <v>0.351091</v>
      </c>
    </row>
    <row r="2500" ht="15.75" customHeight="1" s="201">
      <c r="A2500" s="1" t="n">
        <v>55300010</v>
      </c>
      <c r="B2500" s="1" t="inlineStr">
        <is>
          <t>French toast, NFS</t>
        </is>
      </c>
      <c r="C2500" s="1" t="n">
        <v>2</v>
      </c>
      <c r="D2500" s="1" t="inlineStr">
        <is>
          <t>Links to altEC</t>
        </is>
      </c>
      <c r="E2500" s="1" t="inlineStr">
        <is>
          <t>Base</t>
        </is>
      </c>
      <c r="F2500" s="1" t="n">
        <v>0.673328</v>
      </c>
    </row>
    <row r="2501" ht="15.75" customHeight="1" s="201">
      <c r="A2501" s="1" t="n">
        <v>55300020</v>
      </c>
      <c r="B2501" s="1" t="inlineStr">
        <is>
          <t>French toast, plain, from frozen (Includes french toast, from frozen, NFS; Bites; regular; Eggo)</t>
        </is>
      </c>
      <c r="C2501" s="1" t="n">
        <v>1</v>
      </c>
      <c r="D2501" s="1" t="inlineStr">
        <is>
          <t>Links to FNDDS</t>
        </is>
      </c>
      <c r="E2501" s="1" t="inlineStr">
        <is>
          <t>Base</t>
        </is>
      </c>
      <c r="F2501" s="1" t="n">
        <v>0.66292</v>
      </c>
    </row>
    <row r="2502" ht="15.75" customHeight="1" s="201">
      <c r="A2502" s="1" t="n">
        <v>55300050</v>
      </c>
      <c r="B2502" s="1" t="inlineStr">
        <is>
          <t>French toast, plain, from fast food / restaurant (Includes french toast, from fast food / restaurant, NFS; regular)</t>
        </is>
      </c>
      <c r="C2502" s="1" t="n">
        <v>2</v>
      </c>
      <c r="D2502" s="1" t="inlineStr">
        <is>
          <t>Links to altEC</t>
        </is>
      </c>
      <c r="E2502" s="1" t="inlineStr">
        <is>
          <t>Base</t>
        </is>
      </c>
      <c r="F2502" s="1" t="n">
        <v>0.66292</v>
      </c>
    </row>
    <row r="2503" ht="15.75" customHeight="1" s="201">
      <c r="A2503" s="1" t="n">
        <v>55300060</v>
      </c>
      <c r="B2503" s="1" t="inlineStr">
        <is>
          <t>French toast, from school, NFS</t>
        </is>
      </c>
      <c r="C2503" s="1" t="n">
        <v>4</v>
      </c>
      <c r="D2503" s="1" t="inlineStr">
        <is>
          <t>FNDDS recipe with replaced or modified SR codes</t>
        </is>
      </c>
      <c r="E2503" s="1" t="inlineStr">
        <is>
          <t>Base</t>
        </is>
      </c>
      <c r="F2503" s="1" t="n">
        <v>0.3371</v>
      </c>
    </row>
    <row r="2504" ht="15.75" customHeight="1" s="201">
      <c r="A2504" s="1" t="n">
        <v>55301000</v>
      </c>
      <c r="B2504" s="1" t="inlineStr">
        <is>
          <t>French toast, plain (Includes regular; from home, store, or other place (excluding frozen))</t>
        </is>
      </c>
      <c r="C2504" s="1" t="n">
        <v>2</v>
      </c>
      <c r="D2504" s="1" t="inlineStr">
        <is>
          <t>Links to altEC</t>
        </is>
      </c>
      <c r="E2504" s="1" t="inlineStr">
        <is>
          <t>Base</t>
        </is>
      </c>
      <c r="F2504" s="1" t="n">
        <v>0.66292</v>
      </c>
    </row>
    <row r="2505" ht="15.75" customHeight="1" s="201">
      <c r="A2505" s="1" t="n">
        <v>55301015</v>
      </c>
      <c r="B2505" s="1" t="inlineStr">
        <is>
          <t>French toast, whole grain (Includes whole wheat; multigrain; from home, store, or other place (excluding frozen))</t>
        </is>
      </c>
      <c r="C2505" s="1" t="n">
        <v>2</v>
      </c>
      <c r="D2505" s="1" t="inlineStr">
        <is>
          <t>Links to altEC</t>
        </is>
      </c>
      <c r="E2505" s="1" t="inlineStr">
        <is>
          <t>Base</t>
        </is>
      </c>
      <c r="F2505" s="1" t="n">
        <v>0.66292</v>
      </c>
    </row>
    <row r="2506" ht="15.75" customHeight="1" s="201">
      <c r="A2506" s="1" t="n">
        <v>55301031</v>
      </c>
      <c r="B2506" s="1" t="inlineStr">
        <is>
          <t>French toast sticks, plain, from frozen (Includes french toast sticks, from frozen, NFS; regular; Eggo)</t>
        </is>
      </c>
      <c r="C2506" s="1" t="n">
        <v>1</v>
      </c>
      <c r="D2506" s="1" t="inlineStr">
        <is>
          <t>Links to FNDDS</t>
        </is>
      </c>
      <c r="E2506" s="1" t="inlineStr">
        <is>
          <t>Base</t>
        </is>
      </c>
      <c r="F2506" s="1" t="n">
        <v>0.738259</v>
      </c>
    </row>
    <row r="2507" ht="15.75" customHeight="1" s="201">
      <c r="A2507" s="1" t="n">
        <v>55301040</v>
      </c>
      <c r="B2507" s="1" t="inlineStr">
        <is>
          <t>French toast sticks, plain, from fast food / restaurant (Includes french toast sticks, from fast food / restaurant, NFS; regular)</t>
        </is>
      </c>
      <c r="C2507" s="1" t="n">
        <v>2</v>
      </c>
      <c r="D2507" s="1" t="inlineStr">
        <is>
          <t>Links to altEC</t>
        </is>
      </c>
      <c r="E2507" s="1" t="inlineStr">
        <is>
          <t>Base</t>
        </is>
      </c>
      <c r="F2507" s="1" t="n">
        <v>0.673328</v>
      </c>
    </row>
    <row r="2508" ht="15.75" customHeight="1" s="201">
      <c r="A2508" s="1" t="n">
        <v>55301055</v>
      </c>
      <c r="B2508" s="1" t="inlineStr">
        <is>
          <t>French toast sticks, whole grain (Includes whole wheat; multigrain; from home, store, or other place (excluding frozen))</t>
        </is>
      </c>
      <c r="C2508" s="1" t="n">
        <v>1</v>
      </c>
      <c r="D2508" s="1" t="inlineStr">
        <is>
          <t>Links to FNDDS</t>
        </is>
      </c>
      <c r="E2508" s="1" t="inlineStr">
        <is>
          <t>Base</t>
        </is>
      </c>
      <c r="F2508" s="1" t="n">
        <v>0.9307839999999999</v>
      </c>
    </row>
    <row r="2509" ht="15.75" customHeight="1" s="201">
      <c r="A2509" s="1" t="n">
        <v>55401000</v>
      </c>
      <c r="B2509" s="1" t="inlineStr">
        <is>
          <t>Crepe, plain (Includes French pancake; Swedish pancake; any source)</t>
        </is>
      </c>
      <c r="C2509" s="1" t="n">
        <v>1</v>
      </c>
      <c r="D2509" s="1" t="inlineStr">
        <is>
          <t>Links to FNDDS</t>
        </is>
      </c>
      <c r="E2509" s="1" t="inlineStr">
        <is>
          <t>Base</t>
        </is>
      </c>
      <c r="F2509" s="1" t="n">
        <v>3.089229</v>
      </c>
    </row>
    <row r="2510" ht="15.75" customHeight="1" s="201">
      <c r="A2510" s="1" t="n">
        <v>55501000</v>
      </c>
      <c r="B2510" s="1" t="inlineStr">
        <is>
          <t>Chinese pancake (Includes flour and water patty)</t>
        </is>
      </c>
      <c r="C2510" s="1" t="n">
        <v>3</v>
      </c>
      <c r="D2510" s="1" t="inlineStr">
        <is>
          <t>Original FNDDS recipe</t>
        </is>
      </c>
      <c r="E2510" s="1" t="inlineStr">
        <is>
          <t>Base</t>
        </is>
      </c>
      <c r="F2510" s="1" t="n">
        <v>0.121931</v>
      </c>
    </row>
    <row r="2511" ht="15.75" customHeight="1" s="201">
      <c r="A2511" s="1" t="n">
        <v>55610300</v>
      </c>
      <c r="B2511" s="1" t="inlineStr">
        <is>
          <t>Dumpling, plain (Includes steamed bun)</t>
        </is>
      </c>
      <c r="C2511" s="1" t="n">
        <v>1</v>
      </c>
      <c r="D2511" s="1" t="inlineStr">
        <is>
          <t>Links to FNDDS</t>
        </is>
      </c>
      <c r="E2511" s="1" t="inlineStr">
        <is>
          <t>Base</t>
        </is>
      </c>
      <c r="F2511" s="1" t="n">
        <v>0.620507</v>
      </c>
    </row>
    <row r="2512" ht="15.75" customHeight="1" s="201">
      <c r="A2512" s="1" t="n">
        <v>55701000</v>
      </c>
      <c r="B2512" s="1" t="inlineStr">
        <is>
          <t>Cake made with glutinous rice (Includes Japanese rice cake Mochi; Chinese Nian gao / gau or New Year Cake; Filipino Puto cake; Korean Tteok or Duk cake)</t>
        </is>
      </c>
      <c r="C2512" s="1" t="n">
        <v>1</v>
      </c>
      <c r="D2512" s="1" t="inlineStr">
        <is>
          <t>Links to FNDDS</t>
        </is>
      </c>
      <c r="E2512" s="1" t="inlineStr">
        <is>
          <t>Base</t>
        </is>
      </c>
      <c r="F2512" s="1" t="n">
        <v>1.511199</v>
      </c>
    </row>
    <row r="2513" ht="15.75" customHeight="1" s="201">
      <c r="A2513" s="1" t="n">
        <v>55702000</v>
      </c>
      <c r="B2513" s="1" t="inlineStr">
        <is>
          <t>Cake or pancake made with rice flour and/or dried beans (Includes Indian steamed rice cake (Idli))</t>
        </is>
      </c>
      <c r="C2513" s="1" t="n">
        <v>4</v>
      </c>
      <c r="D2513" s="1" t="inlineStr">
        <is>
          <t>FNDDS recipe with replaced or modified SR codes</t>
        </is>
      </c>
      <c r="E2513" s="1" t="inlineStr">
        <is>
          <t>Base</t>
        </is>
      </c>
      <c r="F2513" s="1" t="n">
        <v>0.156059</v>
      </c>
    </row>
    <row r="2514" ht="15.75" customHeight="1" s="201">
      <c r="A2514" s="1" t="n">
        <v>55702100</v>
      </c>
      <c r="B2514" s="1" t="inlineStr">
        <is>
          <t>Dosa (Indian), plain (Includes Indian pancake or crepe; any source)</t>
        </is>
      </c>
      <c r="C2514" s="1" t="n">
        <v>2</v>
      </c>
      <c r="D2514" s="1" t="inlineStr">
        <is>
          <t>Links to altEC</t>
        </is>
      </c>
      <c r="E2514" s="1" t="inlineStr">
        <is>
          <t>Base</t>
        </is>
      </c>
      <c r="F2514" s="1" t="n">
        <v>0.521425</v>
      </c>
    </row>
    <row r="2515" ht="15.75" customHeight="1" s="201">
      <c r="A2515" s="1" t="n">
        <v>55703000</v>
      </c>
      <c r="B2515" s="1" t="inlineStr">
        <is>
          <t>Cake made with glutinous rice and dried beans (Includes Korean Cake 'Injolmi')</t>
        </is>
      </c>
      <c r="C2515" s="1" t="n">
        <v>4</v>
      </c>
      <c r="D2515" s="1" t="inlineStr">
        <is>
          <t>FNDDS recipe with replaced or modified SR codes</t>
        </is>
      </c>
      <c r="E2515" s="1" t="inlineStr">
        <is>
          <t>Base</t>
        </is>
      </c>
      <c r="F2515" s="1" t="n">
        <v>0.472155</v>
      </c>
    </row>
    <row r="2516" ht="15.75" customHeight="1" s="201">
      <c r="A2516" s="1" t="n">
        <v>55801000</v>
      </c>
      <c r="B2516" s="1" t="inlineStr">
        <is>
          <t>Funnel cake with sugar</t>
        </is>
      </c>
      <c r="C2516" s="1" t="n">
        <v>2</v>
      </c>
      <c r="D2516" s="1" t="inlineStr">
        <is>
          <t>Links to altEC</t>
        </is>
      </c>
      <c r="E2516" s="1" t="inlineStr">
        <is>
          <t>Base</t>
        </is>
      </c>
      <c r="F2516" s="1" t="n">
        <v>0.761876</v>
      </c>
    </row>
    <row r="2517" ht="15.75" customHeight="1" s="201">
      <c r="A2517" s="1" t="n">
        <v>55801010</v>
      </c>
      <c r="B2517" s="1" t="inlineStr">
        <is>
          <t>Funnel cake with sugar and fruit</t>
        </is>
      </c>
      <c r="C2517" s="1" t="n">
        <v>2</v>
      </c>
      <c r="D2517" s="1" t="inlineStr">
        <is>
          <t>Links to altEC</t>
        </is>
      </c>
      <c r="E2517" s="1" t="inlineStr">
        <is>
          <t>Base</t>
        </is>
      </c>
      <c r="F2517" s="1" t="n">
        <v>1.011637</v>
      </c>
    </row>
    <row r="2518" ht="15.75" customHeight="1" s="201">
      <c r="A2518" s="1" t="n">
        <v>56104000</v>
      </c>
      <c r="B2518" s="1" t="inlineStr">
        <is>
          <t>Pasta, vegetable, cooked (Includes spinach, tomato, tri-color or other vegetable pasta; macaroni, spaghetti, any shape of pasta)</t>
        </is>
      </c>
      <c r="C2518" s="1" t="n">
        <v>1</v>
      </c>
      <c r="D2518" s="1" t="inlineStr">
        <is>
          <t>Links to FNDDS</t>
        </is>
      </c>
      <c r="E2518" s="1" t="inlineStr">
        <is>
          <t>Base</t>
        </is>
      </c>
      <c r="F2518" s="1" t="n">
        <v>0.756342</v>
      </c>
    </row>
    <row r="2519" ht="15.75" customHeight="1" s="201">
      <c r="A2519" s="1" t="n">
        <v>56112000</v>
      </c>
      <c r="B2519" s="1" t="inlineStr">
        <is>
          <t>Noodles, cooked (Includes pastina; egg noodles; NS as to grain type)</t>
        </is>
      </c>
      <c r="C2519" s="1" t="n">
        <v>2</v>
      </c>
      <c r="D2519" s="1" t="inlineStr">
        <is>
          <t>Links to altEC</t>
        </is>
      </c>
      <c r="E2519" s="1" t="inlineStr">
        <is>
          <t>Base</t>
        </is>
      </c>
      <c r="F2519" s="1" t="n">
        <v>0.496566</v>
      </c>
    </row>
    <row r="2520" ht="15.75" customHeight="1" s="201">
      <c r="A2520" s="1" t="n">
        <v>56113000</v>
      </c>
      <c r="B2520" s="1" t="inlineStr">
        <is>
          <t>Noodles, whole grain, cooked (Includes whole wheat)</t>
        </is>
      </c>
      <c r="C2520" s="1" t="n">
        <v>1</v>
      </c>
      <c r="D2520" s="1" t="inlineStr">
        <is>
          <t>Links to FNDDS</t>
        </is>
      </c>
      <c r="E2520" s="1" t="inlineStr">
        <is>
          <t>Base</t>
        </is>
      </c>
      <c r="F2520" s="1" t="n">
        <v>0.803597</v>
      </c>
    </row>
    <row r="2521" ht="15.75" customHeight="1" s="201">
      <c r="A2521" s="1" t="n">
        <v>56113990</v>
      </c>
      <c r="B2521" s="1" t="inlineStr">
        <is>
          <t>Noodles, vegetable, cooked (Includes spinach noodles)</t>
        </is>
      </c>
      <c r="C2521" s="1" t="n">
        <v>4</v>
      </c>
      <c r="D2521" s="1" t="inlineStr">
        <is>
          <t>FNDDS recipe with replaced or modified SR codes</t>
        </is>
      </c>
      <c r="E2521" s="1" t="inlineStr">
        <is>
          <t>Base</t>
        </is>
      </c>
      <c r="F2521" s="1" t="n">
        <v>0.25303</v>
      </c>
    </row>
    <row r="2522" ht="15.75" customHeight="1" s="201">
      <c r="A2522" s="1" t="n">
        <v>56116000</v>
      </c>
      <c r="B2522" s="1" t="inlineStr">
        <is>
          <t>Noodles, chow mein (Includes Chinese noodles)</t>
        </is>
      </c>
      <c r="C2522" s="1" t="n">
        <v>1</v>
      </c>
      <c r="D2522" s="1" t="inlineStr">
        <is>
          <t>Links to FNDDS</t>
        </is>
      </c>
      <c r="E2522" s="1" t="inlineStr">
        <is>
          <t>Base</t>
        </is>
      </c>
      <c r="F2522" s="1" t="n">
        <v>0.795127</v>
      </c>
    </row>
    <row r="2523" ht="15.75" customHeight="1" s="201">
      <c r="A2523" s="1" t="n">
        <v>56116990</v>
      </c>
      <c r="B2523" s="1" t="inlineStr">
        <is>
          <t>Long rice noodles, made from mung beans, cooked (Includes transparent noodles; cellophane noodles)</t>
        </is>
      </c>
      <c r="C2523" s="1" t="n">
        <v>3</v>
      </c>
      <c r="D2523" s="1" t="inlineStr">
        <is>
          <t>Original FNDDS recipe</t>
        </is>
      </c>
      <c r="E2523" s="1" t="inlineStr">
        <is>
          <t>Base</t>
        </is>
      </c>
      <c r="F2523" s="1" t="n">
        <v>0.268128</v>
      </c>
    </row>
    <row r="2524" ht="15.75" customHeight="1" s="201">
      <c r="A2524" s="1" t="n">
        <v>56117090</v>
      </c>
      <c r="B2524" s="1" t="inlineStr">
        <is>
          <t>Rice noodles, cooked (Includes Chow fun rice noodles)</t>
        </is>
      </c>
      <c r="C2524" s="1" t="n">
        <v>2</v>
      </c>
      <c r="D2524" s="1" t="inlineStr">
        <is>
          <t>Links to altEC</t>
        </is>
      </c>
      <c r="E2524" s="1" t="inlineStr">
        <is>
          <t>Base</t>
        </is>
      </c>
      <c r="F2524" s="1" t="n">
        <v>0.249779</v>
      </c>
    </row>
    <row r="2525" ht="15.75" customHeight="1" s="201">
      <c r="A2525" s="1" t="n">
        <v>56130000</v>
      </c>
      <c r="B2525" s="1" t="inlineStr">
        <is>
          <t>Pasta, cooked (Includes macaroni, spaghetti, any shape of pasta; NS as to grain type; pasta, NFS)</t>
        </is>
      </c>
      <c r="C2525" s="1" t="n">
        <v>2</v>
      </c>
      <c r="D2525" s="1" t="inlineStr">
        <is>
          <t>Links to altEC</t>
        </is>
      </c>
      <c r="E2525" s="1" t="inlineStr">
        <is>
          <t>Base</t>
        </is>
      </c>
      <c r="F2525" s="1" t="n">
        <v>0.256523</v>
      </c>
    </row>
    <row r="2526" ht="15.75" customHeight="1" s="201">
      <c r="A2526" s="1" t="n">
        <v>56132990</v>
      </c>
      <c r="B2526" s="1" t="inlineStr">
        <is>
          <t>Pasta, whole grain, cooked (Includes whole wheat; macaroni, spaghetti, any shape of pasta)</t>
        </is>
      </c>
      <c r="C2526" s="1" t="n">
        <v>2</v>
      </c>
      <c r="D2526" s="1" t="inlineStr">
        <is>
          <t>Links to altEC</t>
        </is>
      </c>
      <c r="E2526" s="1" t="inlineStr">
        <is>
          <t>Base</t>
        </is>
      </c>
      <c r="F2526" s="1" t="n">
        <v>0.121382</v>
      </c>
    </row>
    <row r="2527" ht="15.75" customHeight="1" s="201">
      <c r="A2527" s="1" t="n">
        <v>56140100</v>
      </c>
      <c r="B2527" s="1" t="inlineStr">
        <is>
          <t>Pasta, gluten free (Includes macaroni, spaghetti, any shape of pasta)</t>
        </is>
      </c>
      <c r="C2527" s="1" t="n">
        <v>2</v>
      </c>
      <c r="D2527" s="1" t="inlineStr">
        <is>
          <t>Links to altEC</t>
        </is>
      </c>
      <c r="E2527" s="1" t="inlineStr">
        <is>
          <t>Base</t>
        </is>
      </c>
      <c r="F2527" s="1" t="n">
        <v>0.114248</v>
      </c>
    </row>
    <row r="2528" ht="15.75" customHeight="1" s="201">
      <c r="A2528" s="1" t="n">
        <v>56200390</v>
      </c>
      <c r="B2528" s="1" t="inlineStr">
        <is>
          <t>Barley, NS as to fat (Includes all liquids)</t>
        </is>
      </c>
      <c r="C2528" s="1" t="n">
        <v>4</v>
      </c>
      <c r="D2528" s="1" t="inlineStr">
        <is>
          <t>FNDDS recipe with replaced or modified SR codes</t>
        </is>
      </c>
      <c r="E2528" s="1" t="inlineStr">
        <is>
          <t>Base</t>
        </is>
      </c>
      <c r="F2528" s="1" t="n">
        <v>0.108533</v>
      </c>
    </row>
    <row r="2529" ht="15.75" customHeight="1" s="201">
      <c r="A2529" s="1" t="n">
        <v>56200400</v>
      </c>
      <c r="B2529" s="1" t="inlineStr">
        <is>
          <t>Barley, no added fat (Includes all liquids)</t>
        </is>
      </c>
      <c r="C2529" s="1" t="n">
        <v>4</v>
      </c>
      <c r="D2529" s="1" t="inlineStr">
        <is>
          <t>FNDDS recipe with replaced or modified SR codes</t>
        </is>
      </c>
      <c r="E2529" s="1" t="inlineStr">
        <is>
          <t>Base</t>
        </is>
      </c>
      <c r="F2529" s="1" t="n">
        <v>0.108533</v>
      </c>
    </row>
    <row r="2530" ht="15.75" customHeight="1" s="201">
      <c r="A2530" s="1" t="n">
        <v>56200490</v>
      </c>
      <c r="B2530" s="1" t="inlineStr">
        <is>
          <t>Buckwheat groats, NS as to fat (Includes kasha; all liquids)</t>
        </is>
      </c>
      <c r="C2530" s="1" t="n">
        <v>3</v>
      </c>
      <c r="D2530" s="1" t="inlineStr">
        <is>
          <t>Original FNDDS recipe</t>
        </is>
      </c>
      <c r="E2530" s="1" t="inlineStr">
        <is>
          <t>Base</t>
        </is>
      </c>
      <c r="F2530" s="1" t="n">
        <v>0.356136</v>
      </c>
    </row>
    <row r="2531" ht="15.75" customHeight="1" s="201">
      <c r="A2531" s="1" t="n">
        <v>56200500</v>
      </c>
      <c r="B2531" s="1" t="inlineStr">
        <is>
          <t>Buckwheat groats, no added fat (Includes kasha; all liquids)</t>
        </is>
      </c>
      <c r="C2531" s="1" t="n">
        <v>3</v>
      </c>
      <c r="D2531" s="1" t="inlineStr">
        <is>
          <t>Original FNDDS recipe</t>
        </is>
      </c>
      <c r="E2531" s="1" t="inlineStr">
        <is>
          <t>Base</t>
        </is>
      </c>
      <c r="F2531" s="1" t="n">
        <v>0.356136</v>
      </c>
    </row>
    <row r="2532" ht="15.75" customHeight="1" s="201">
      <c r="A2532" s="1" t="n">
        <v>56200510</v>
      </c>
      <c r="B2532" s="1" t="inlineStr">
        <is>
          <t>Buckwheat groats, fat added (Includes kasha; all liquids)</t>
        </is>
      </c>
      <c r="C2532" s="1" t="n">
        <v>4</v>
      </c>
      <c r="D2532" s="1" t="inlineStr">
        <is>
          <t>FNDDS recipe with replaced or modified SR codes</t>
        </is>
      </c>
      <c r="E2532" s="1" t="inlineStr">
        <is>
          <t>Base</t>
        </is>
      </c>
      <c r="F2532" s="1" t="n">
        <v>0.356756</v>
      </c>
    </row>
    <row r="2533" ht="15.75" customHeight="1" s="201">
      <c r="A2533" s="1" t="n">
        <v>56200990</v>
      </c>
      <c r="B2533" s="1" t="inlineStr">
        <is>
          <t>Grits, NS as to regular, quick, or instant, NS as to fat (Includes all liquids)</t>
        </is>
      </c>
      <c r="C2533" s="1" t="n">
        <v>4</v>
      </c>
      <c r="D2533" s="1" t="inlineStr">
        <is>
          <t>FNDDS recipe with replaced or modified SR codes</t>
        </is>
      </c>
      <c r="E2533" s="1" t="inlineStr">
        <is>
          <t>Base</t>
        </is>
      </c>
      <c r="F2533" s="1" t="n">
        <v>0.043747</v>
      </c>
    </row>
    <row r="2534" ht="15.75" customHeight="1" s="201">
      <c r="A2534" s="1" t="n">
        <v>56201000</v>
      </c>
      <c r="B2534" s="1" t="inlineStr">
        <is>
          <t>Grits, NS as to regular, quick, or instant, no added fat (Includes all liquids)</t>
        </is>
      </c>
      <c r="C2534" s="1" t="n">
        <v>3</v>
      </c>
      <c r="D2534" s="1" t="inlineStr">
        <is>
          <t>Original FNDDS recipe</t>
        </is>
      </c>
      <c r="E2534" s="1" t="inlineStr">
        <is>
          <t>Base</t>
        </is>
      </c>
      <c r="F2534" s="1" t="n">
        <v>0.032458</v>
      </c>
    </row>
    <row r="2535" ht="15.75" customHeight="1" s="201">
      <c r="A2535" s="1" t="n">
        <v>56201040</v>
      </c>
      <c r="B2535" s="1" t="inlineStr">
        <is>
          <t>Grits, NS as to regular, quick, or instant, fat added (Includes all liquids)</t>
        </is>
      </c>
      <c r="C2535" s="1" t="n">
        <v>4</v>
      </c>
      <c r="D2535" s="1" t="inlineStr">
        <is>
          <t>FNDDS recipe with replaced or modified SR codes</t>
        </is>
      </c>
      <c r="E2535" s="1" t="inlineStr">
        <is>
          <t>Base</t>
        </is>
      </c>
      <c r="F2535" s="1" t="n">
        <v>0.043747</v>
      </c>
    </row>
    <row r="2536" ht="15.75" customHeight="1" s="201">
      <c r="A2536" s="1" t="n">
        <v>56201050</v>
      </c>
      <c r="B2536" s="1" t="inlineStr">
        <is>
          <t>Grits, regular or quick, made with water, NS as to fat (Includes NS as to liquid)</t>
        </is>
      </c>
      <c r="C2536" s="1" t="n">
        <v>4</v>
      </c>
      <c r="D2536" s="1" t="inlineStr">
        <is>
          <t>FNDDS recipe with replaced or modified SR codes</t>
        </is>
      </c>
      <c r="E2536" s="1" t="inlineStr">
        <is>
          <t>Base</t>
        </is>
      </c>
      <c r="F2536" s="1" t="n">
        <v>0.043747</v>
      </c>
    </row>
    <row r="2537" ht="15.75" customHeight="1" s="201">
      <c r="A2537" s="1" t="n">
        <v>56201051</v>
      </c>
      <c r="B2537" s="1" t="inlineStr">
        <is>
          <t>Grits, regular or quick, made with water, no added fat (Includes NS as to liquid)</t>
        </is>
      </c>
      <c r="C2537" s="1" t="n">
        <v>3</v>
      </c>
      <c r="D2537" s="1" t="inlineStr">
        <is>
          <t>Original FNDDS recipe</t>
        </is>
      </c>
      <c r="E2537" s="1" t="inlineStr">
        <is>
          <t>Base</t>
        </is>
      </c>
      <c r="F2537" s="1" t="n">
        <v>0.032458</v>
      </c>
    </row>
    <row r="2538" ht="15.75" customHeight="1" s="201">
      <c r="A2538" s="1" t="n">
        <v>56201052</v>
      </c>
      <c r="B2538" s="1" t="inlineStr">
        <is>
          <t>Grits, regular or quick, made with water, fat added (Includes NS as to liquid)</t>
        </is>
      </c>
      <c r="C2538" s="1" t="n">
        <v>4</v>
      </c>
      <c r="D2538" s="1" t="inlineStr">
        <is>
          <t>FNDDS recipe with replaced or modified SR codes</t>
        </is>
      </c>
      <c r="E2538" s="1" t="inlineStr">
        <is>
          <t>Base</t>
        </is>
      </c>
      <c r="F2538" s="1" t="n">
        <v>0.043747</v>
      </c>
    </row>
    <row r="2539" ht="15.75" customHeight="1" s="201">
      <c r="A2539" s="1" t="n">
        <v>56201055</v>
      </c>
      <c r="B2539" s="1" t="inlineStr">
        <is>
          <t>Grits, regular or quick, made with milk, NS as to fat</t>
        </is>
      </c>
      <c r="C2539" s="1" t="n">
        <v>4</v>
      </c>
      <c r="D2539" s="1" t="inlineStr">
        <is>
          <t>FNDDS recipe with replaced or modified SR codes</t>
        </is>
      </c>
      <c r="E2539" s="1" t="inlineStr">
        <is>
          <t>Base</t>
        </is>
      </c>
      <c r="F2539" s="1" t="n">
        <v>0.144063</v>
      </c>
    </row>
    <row r="2540" ht="15.75" customHeight="1" s="201">
      <c r="A2540" s="1" t="n">
        <v>56201056</v>
      </c>
      <c r="B2540" s="1" t="inlineStr">
        <is>
          <t>Grits, regular or quick, made with milk, no added fat</t>
        </is>
      </c>
      <c r="C2540" s="1" t="n">
        <v>4</v>
      </c>
      <c r="D2540" s="1" t="inlineStr">
        <is>
          <t>FNDDS recipe with replaced or modified SR codes</t>
        </is>
      </c>
      <c r="E2540" s="1" t="inlineStr">
        <is>
          <t>Base</t>
        </is>
      </c>
      <c r="F2540" s="1" t="n">
        <v>0.134581</v>
      </c>
    </row>
    <row r="2541" ht="15.75" customHeight="1" s="201">
      <c r="A2541" s="1" t="n">
        <v>56201090</v>
      </c>
      <c r="B2541" s="1" t="inlineStr">
        <is>
          <t>Grits, with cheese, NS as to fat (Includes all cooking types; all liquids)</t>
        </is>
      </c>
      <c r="C2541" s="1" t="n">
        <v>4</v>
      </c>
      <c r="D2541" s="1" t="inlineStr">
        <is>
          <t>FNDDS recipe with replaced or modified SR codes</t>
        </is>
      </c>
      <c r="E2541" s="1" t="inlineStr">
        <is>
          <t>Base</t>
        </is>
      </c>
      <c r="F2541" s="1" t="n">
        <v>0.159385</v>
      </c>
    </row>
    <row r="2542" ht="15.75" customHeight="1" s="201">
      <c r="A2542" s="1" t="n">
        <v>56201091</v>
      </c>
      <c r="B2542" s="1" t="inlineStr">
        <is>
          <t>Grits, with cheese, no added fat (Includes all cooking types; all liquids)</t>
        </is>
      </c>
      <c r="C2542" s="1" t="n">
        <v>4</v>
      </c>
      <c r="D2542" s="1" t="inlineStr">
        <is>
          <t>FNDDS recipe with replaced or modified SR codes</t>
        </is>
      </c>
      <c r="E2542" s="1" t="inlineStr">
        <is>
          <t>Base</t>
        </is>
      </c>
      <c r="F2542" s="1" t="n">
        <v>0.151023</v>
      </c>
    </row>
    <row r="2543" ht="15.75" customHeight="1" s="201">
      <c r="A2543" s="1" t="n">
        <v>56201092</v>
      </c>
      <c r="B2543" s="1" t="inlineStr">
        <is>
          <t>Grits, with cheese, fat added (Includes all cooking types; all liquids)</t>
        </is>
      </c>
      <c r="C2543" s="1" t="n">
        <v>4</v>
      </c>
      <c r="D2543" s="1" t="inlineStr">
        <is>
          <t>FNDDS recipe with replaced or modified SR codes</t>
        </is>
      </c>
      <c r="E2543" s="1" t="inlineStr">
        <is>
          <t>Base</t>
        </is>
      </c>
      <c r="F2543" s="1" t="n">
        <v>0.159385</v>
      </c>
    </row>
    <row r="2544" ht="15.75" customHeight="1" s="201">
      <c r="A2544" s="1" t="n">
        <v>56201210</v>
      </c>
      <c r="B2544" s="1" t="inlineStr">
        <is>
          <t>Grits, instant, made with water, no added fat (Includes NS as to liquid)</t>
        </is>
      </c>
      <c r="C2544" s="1" t="n">
        <v>3</v>
      </c>
      <c r="D2544" s="1" t="inlineStr">
        <is>
          <t>Original FNDDS recipe</t>
        </is>
      </c>
      <c r="E2544" s="1" t="inlineStr">
        <is>
          <t>Base</t>
        </is>
      </c>
      <c r="F2544" s="1" t="n">
        <v>0.131724</v>
      </c>
    </row>
    <row r="2545" ht="15.75" customHeight="1" s="201">
      <c r="A2545" s="1" t="n">
        <v>56201220</v>
      </c>
      <c r="B2545" s="1" t="inlineStr">
        <is>
          <t>Grits, instant, made with water, fat added (Includes NS as to liquid)</t>
        </is>
      </c>
      <c r="C2545" s="1" t="n">
        <v>4</v>
      </c>
      <c r="D2545" s="1" t="inlineStr">
        <is>
          <t>FNDDS recipe with replaced or modified SR codes</t>
        </is>
      </c>
      <c r="E2545" s="1" t="inlineStr">
        <is>
          <t>Base</t>
        </is>
      </c>
      <c r="F2545" s="1" t="n">
        <v>0.146033</v>
      </c>
    </row>
    <row r="2546" ht="15.75" customHeight="1" s="201">
      <c r="A2546" s="1" t="n">
        <v>56201342</v>
      </c>
      <c r="B2546" s="1" t="inlineStr">
        <is>
          <t>Grits, instant, made with milk, no added fat</t>
        </is>
      </c>
      <c r="C2546" s="1" t="n">
        <v>4</v>
      </c>
      <c r="D2546" s="1" t="inlineStr">
        <is>
          <t>FNDDS recipe with replaced or modified SR codes</t>
        </is>
      </c>
      <c r="E2546" s="1" t="inlineStr">
        <is>
          <t>Base</t>
        </is>
      </c>
      <c r="F2546" s="1" t="n">
        <v>0.213074</v>
      </c>
    </row>
    <row r="2547" ht="15.75" customHeight="1" s="201">
      <c r="A2547" s="1" t="n">
        <v>56201515</v>
      </c>
      <c r="B2547" s="1" t="inlineStr">
        <is>
          <t>Cornmeal mush, NS as to fat (Includes mush, NFS; polenta; all liquids)</t>
        </is>
      </c>
      <c r="C2547" s="1" t="n">
        <v>2</v>
      </c>
      <c r="D2547" s="1" t="inlineStr">
        <is>
          <t>Links to altEC</t>
        </is>
      </c>
      <c r="E2547" s="1" t="inlineStr">
        <is>
          <t>Base</t>
        </is>
      </c>
      <c r="F2547" s="1" t="n">
        <v>0.107814</v>
      </c>
    </row>
    <row r="2548" ht="15.75" customHeight="1" s="201">
      <c r="A2548" s="1" t="n">
        <v>56201517</v>
      </c>
      <c r="B2548" s="1" t="inlineStr">
        <is>
          <t>Cornmeal mush, fat added (Includes mush, NFS; polenta; all liquids)</t>
        </is>
      </c>
      <c r="C2548" s="1" t="n">
        <v>4</v>
      </c>
      <c r="D2548" s="1" t="inlineStr">
        <is>
          <t>FNDDS recipe with replaced or modified SR codes</t>
        </is>
      </c>
      <c r="E2548" s="1" t="inlineStr">
        <is>
          <t>Base</t>
        </is>
      </c>
      <c r="F2548" s="1" t="n">
        <v>0.041379</v>
      </c>
    </row>
    <row r="2549" ht="15.75" customHeight="1" s="201">
      <c r="A2549" s="1" t="n">
        <v>56201540</v>
      </c>
      <c r="B2549" s="1" t="inlineStr">
        <is>
          <t>Cornmeal, Puerto Rican Style (Includes Harina de maiz; made with milk and sugar)</t>
        </is>
      </c>
      <c r="C2549" s="1" t="n">
        <v>4</v>
      </c>
      <c r="D2549" s="1" t="inlineStr">
        <is>
          <t>FNDDS recipe with replaced or modified SR codes</t>
        </is>
      </c>
      <c r="E2549" s="1" t="inlineStr">
        <is>
          <t>Base</t>
        </is>
      </c>
      <c r="F2549" s="1" t="n">
        <v>0.139208</v>
      </c>
    </row>
    <row r="2550" ht="15.75" customHeight="1" s="201">
      <c r="A2550" s="1" t="n">
        <v>56201600</v>
      </c>
      <c r="B2550" s="1" t="inlineStr">
        <is>
          <t>Masa harina, cooked (Includes Harina de maize con leche)</t>
        </is>
      </c>
      <c r="C2550" s="1" t="n">
        <v>1</v>
      </c>
      <c r="D2550" s="1" t="inlineStr">
        <is>
          <t>Links to FNDDS</t>
        </is>
      </c>
      <c r="E2550" s="1" t="inlineStr">
        <is>
          <t>Base</t>
        </is>
      </c>
      <c r="F2550" s="1" t="n">
        <v>0.150622</v>
      </c>
    </row>
    <row r="2551" ht="15.75" customHeight="1" s="201">
      <c r="A2551" s="1" t="n">
        <v>56202000</v>
      </c>
      <c r="B2551" s="1" t="inlineStr">
        <is>
          <t>Millet, no added fat (Includes all liquids)</t>
        </is>
      </c>
      <c r="C2551" s="1" t="n">
        <v>3</v>
      </c>
      <c r="D2551" s="1" t="inlineStr">
        <is>
          <t>Original FNDDS recipe</t>
        </is>
      </c>
      <c r="E2551" s="1" t="inlineStr">
        <is>
          <t>Base</t>
        </is>
      </c>
      <c r="F2551" s="1" t="n">
        <v>0.061534</v>
      </c>
    </row>
    <row r="2552" ht="15.75" customHeight="1" s="201">
      <c r="A2552" s="1" t="n">
        <v>56202900</v>
      </c>
      <c r="B2552" s="1" t="inlineStr">
        <is>
          <t>Oatmeal, from fast food, plain</t>
        </is>
      </c>
      <c r="C2552" s="1" t="n">
        <v>4</v>
      </c>
      <c r="D2552" s="1" t="inlineStr">
        <is>
          <t>FNDDS recipe with replaced or modified SR codes</t>
        </is>
      </c>
      <c r="E2552" s="1" t="inlineStr">
        <is>
          <t>Base</t>
        </is>
      </c>
      <c r="F2552" s="1" t="n">
        <v>0.111546</v>
      </c>
    </row>
    <row r="2553" ht="15.75" customHeight="1" s="201">
      <c r="A2553" s="1" t="n">
        <v>56202905</v>
      </c>
      <c r="B2553" s="1" t="inlineStr">
        <is>
          <t>Oatmeal, from fast food, maple flavored (Includes brown sugar)</t>
        </is>
      </c>
      <c r="C2553" s="1" t="n">
        <v>4</v>
      </c>
      <c r="D2553" s="1" t="inlineStr">
        <is>
          <t>FNDDS recipe with replaced or modified SR codes</t>
        </is>
      </c>
      <c r="E2553" s="1" t="inlineStr">
        <is>
          <t>Base</t>
        </is>
      </c>
      <c r="F2553" s="1" t="n">
        <v>0.125542</v>
      </c>
    </row>
    <row r="2554" ht="15.75" customHeight="1" s="201">
      <c r="A2554" s="1" t="n">
        <v>56202910</v>
      </c>
      <c r="B2554" s="1" t="inlineStr">
        <is>
          <t>Oatmeal, from fast food, fruit flavored</t>
        </is>
      </c>
      <c r="C2554" s="1" t="n">
        <v>4</v>
      </c>
      <c r="D2554" s="1" t="inlineStr">
        <is>
          <t>FNDDS recipe with replaced or modified SR codes</t>
        </is>
      </c>
      <c r="E2554" s="1" t="inlineStr">
        <is>
          <t>Base</t>
        </is>
      </c>
      <c r="F2554" s="1" t="n">
        <v>0.201218</v>
      </c>
    </row>
    <row r="2555" ht="15.75" customHeight="1" s="201">
      <c r="A2555" s="1" t="n">
        <v>56203000</v>
      </c>
      <c r="B2555" s="1" t="inlineStr">
        <is>
          <t>Oatmeal, NS as to regular, quick, or instant, no added fat (Includes all liquids)</t>
        </is>
      </c>
      <c r="C2555" s="1" t="n">
        <v>3</v>
      </c>
      <c r="D2555" s="1" t="inlineStr">
        <is>
          <t>Original FNDDS recipe</t>
        </is>
      </c>
      <c r="E2555" s="1" t="inlineStr">
        <is>
          <t>Base</t>
        </is>
      </c>
      <c r="F2555" s="1" t="n">
        <v>0.073111</v>
      </c>
    </row>
    <row r="2556" ht="15.75" customHeight="1" s="201">
      <c r="A2556" s="1" t="n">
        <v>56203055</v>
      </c>
      <c r="B2556" s="1" t="inlineStr">
        <is>
          <t>Oatmeal, regular or quick, made with water, NS as to fat (Includes NS as to liquid)</t>
        </is>
      </c>
      <c r="C2556" s="1" t="n">
        <v>4</v>
      </c>
      <c r="D2556" s="1" t="inlineStr">
        <is>
          <t>FNDDS recipe with replaced or modified SR codes</t>
        </is>
      </c>
      <c r="E2556" s="1" t="inlineStr">
        <is>
          <t>Base</t>
        </is>
      </c>
      <c r="F2556" s="1" t="n">
        <v>0.08357000000000001</v>
      </c>
    </row>
    <row r="2557" ht="15.75" customHeight="1" s="201">
      <c r="A2557" s="1" t="n">
        <v>56203056</v>
      </c>
      <c r="B2557" s="1" t="inlineStr">
        <is>
          <t>Oatmeal, regular or quick, made with water, no added fat (Includes NS as to liquid)</t>
        </is>
      </c>
      <c r="C2557" s="1" t="n">
        <v>3</v>
      </c>
      <c r="D2557" s="1" t="inlineStr">
        <is>
          <t>Original FNDDS recipe</t>
        </is>
      </c>
      <c r="E2557" s="1" t="inlineStr">
        <is>
          <t>Base</t>
        </is>
      </c>
      <c r="F2557" s="1" t="n">
        <v>0.073111</v>
      </c>
    </row>
    <row r="2558" ht="15.75" customHeight="1" s="201">
      <c r="A2558" s="1" t="n">
        <v>56203057</v>
      </c>
      <c r="B2558" s="1" t="inlineStr">
        <is>
          <t>Oatmeal, regular or quick, made with water, fat added (Includes NS as to liquid)</t>
        </is>
      </c>
      <c r="C2558" s="1" t="n">
        <v>4</v>
      </c>
      <c r="D2558" s="1" t="inlineStr">
        <is>
          <t>FNDDS recipe with replaced or modified SR codes</t>
        </is>
      </c>
      <c r="E2558" s="1" t="inlineStr">
        <is>
          <t>Base</t>
        </is>
      </c>
      <c r="F2558" s="1" t="n">
        <v>0.08357000000000001</v>
      </c>
    </row>
    <row r="2559" ht="15.75" customHeight="1" s="201">
      <c r="A2559" s="1" t="n">
        <v>56203066</v>
      </c>
      <c r="B2559" s="1" t="inlineStr">
        <is>
          <t>Oatmeal, regular or quick, made with milk, no added fat</t>
        </is>
      </c>
      <c r="C2559" s="1" t="n">
        <v>4</v>
      </c>
      <c r="D2559" s="1" t="inlineStr">
        <is>
          <t>FNDDS recipe with replaced or modified SR codes</t>
        </is>
      </c>
      <c r="E2559" s="1" t="inlineStr">
        <is>
          <t>Base</t>
        </is>
      </c>
      <c r="F2559" s="1" t="n">
        <v>0.174142</v>
      </c>
    </row>
    <row r="2560" ht="15.75" customHeight="1" s="201">
      <c r="A2560" s="1" t="n">
        <v>56203067</v>
      </c>
      <c r="B2560" s="1" t="inlineStr">
        <is>
          <t>Oatmeal, regular or quick, made with milk, fat added</t>
        </is>
      </c>
      <c r="C2560" s="1" t="n">
        <v>4</v>
      </c>
      <c r="D2560" s="1" t="inlineStr">
        <is>
          <t>FNDDS recipe with replaced or modified SR codes</t>
        </is>
      </c>
      <c r="E2560" s="1" t="inlineStr">
        <is>
          <t>Base</t>
        </is>
      </c>
      <c r="F2560" s="1" t="n">
        <v>0.182831</v>
      </c>
    </row>
    <row r="2561" ht="15.75" customHeight="1" s="201">
      <c r="A2561" s="1" t="n">
        <v>56203076</v>
      </c>
      <c r="B2561" s="1" t="inlineStr">
        <is>
          <t>Oatmeal, regular or quick, made with non-dairy milk, no added fat (Includes almond milk; soy milk)</t>
        </is>
      </c>
      <c r="C2561" s="1" t="n">
        <v>4</v>
      </c>
      <c r="D2561" s="1" t="inlineStr">
        <is>
          <t>FNDDS recipe with replaced or modified SR codes</t>
        </is>
      </c>
      <c r="E2561" s="1" t="inlineStr">
        <is>
          <t>Base</t>
        </is>
      </c>
      <c r="F2561" s="1" t="n">
        <v>0.246175</v>
      </c>
    </row>
    <row r="2562" ht="15.75" customHeight="1" s="201">
      <c r="A2562" s="1" t="n">
        <v>56203077</v>
      </c>
      <c r="B2562" s="1" t="inlineStr">
        <is>
          <t>Oatmeal, regular or quick, made with non-dairy milk, fat added (Includes almond milk; soy milk)</t>
        </is>
      </c>
      <c r="C2562" s="1" t="n">
        <v>4</v>
      </c>
      <c r="D2562" s="1" t="inlineStr">
        <is>
          <t>FNDDS recipe with replaced or modified SR codes</t>
        </is>
      </c>
      <c r="E2562" s="1" t="inlineStr">
        <is>
          <t>Base</t>
        </is>
      </c>
      <c r="F2562" s="1" t="n">
        <v>0.253602</v>
      </c>
    </row>
    <row r="2563" ht="15.75" customHeight="1" s="201">
      <c r="A2563" s="1" t="n">
        <v>56203086</v>
      </c>
      <c r="B2563" s="1" t="inlineStr">
        <is>
          <t>Oatmeal, instant, plain, made with water, no added fat (Includes instant packet; NS as to liquid)</t>
        </is>
      </c>
      <c r="C2563" s="1" t="n">
        <v>3</v>
      </c>
      <c r="D2563" s="1" t="inlineStr">
        <is>
          <t>Original FNDDS recipe</t>
        </is>
      </c>
      <c r="E2563" s="1" t="inlineStr">
        <is>
          <t>Base</t>
        </is>
      </c>
      <c r="F2563" s="1" t="n">
        <v>0.146437</v>
      </c>
    </row>
    <row r="2564" ht="15.75" customHeight="1" s="201">
      <c r="A2564" s="1" t="n">
        <v>56203087</v>
      </c>
      <c r="B2564" s="1" t="inlineStr">
        <is>
          <t>Oatmeal, instant, plain, made with water, fat added (Includes instant packet; NS as to liquid)</t>
        </is>
      </c>
      <c r="C2564" s="1" t="n">
        <v>4</v>
      </c>
      <c r="D2564" s="1" t="inlineStr">
        <is>
          <t>FNDDS recipe with replaced or modified SR codes</t>
        </is>
      </c>
      <c r="E2564" s="1" t="inlineStr">
        <is>
          <t>Base</t>
        </is>
      </c>
      <c r="F2564" s="1" t="n">
        <v>0.160265</v>
      </c>
    </row>
    <row r="2565" ht="15.75" customHeight="1" s="201">
      <c r="A2565" s="1" t="n">
        <v>56203096</v>
      </c>
      <c r="B2565" s="1" t="inlineStr">
        <is>
          <t>Oatmeal, instant, plain, made with milk, no added fat (Includes instant packet)</t>
        </is>
      </c>
      <c r="C2565" s="1" t="n">
        <v>4</v>
      </c>
      <c r="D2565" s="1" t="inlineStr">
        <is>
          <t>FNDDS recipe with replaced or modified SR codes</t>
        </is>
      </c>
      <c r="E2565" s="1" t="inlineStr">
        <is>
          <t>Base</t>
        </is>
      </c>
      <c r="F2565" s="1" t="n">
        <v>0.227787</v>
      </c>
    </row>
    <row r="2566" ht="15.75" customHeight="1" s="201">
      <c r="A2566" s="1" t="n">
        <v>56203097</v>
      </c>
      <c r="B2566" s="1" t="inlineStr">
        <is>
          <t>Oatmeal,  instant, plain, made with milk, fat added (Includes instant packet)</t>
        </is>
      </c>
      <c r="C2566" s="1" t="n">
        <v>4</v>
      </c>
      <c r="D2566" s="1" t="inlineStr">
        <is>
          <t>FNDDS recipe with replaced or modified SR codes</t>
        </is>
      </c>
      <c r="E2566" s="1" t="inlineStr">
        <is>
          <t>Base</t>
        </is>
      </c>
      <c r="F2566" s="1" t="n">
        <v>0.238957</v>
      </c>
    </row>
    <row r="2567" ht="15.75" customHeight="1" s="201">
      <c r="A2567" s="1" t="n">
        <v>56203106</v>
      </c>
      <c r="B2567" s="1" t="inlineStr">
        <is>
          <t>Oatmeal, instant, plain, made with non-dairy milk, no added fat (Includes instant packet; almond milk; soy milk)</t>
        </is>
      </c>
      <c r="C2567" s="1" t="n">
        <v>4</v>
      </c>
      <c r="D2567" s="1" t="inlineStr">
        <is>
          <t>FNDDS recipe with replaced or modified SR codes</t>
        </is>
      </c>
      <c r="E2567" s="1" t="inlineStr">
        <is>
          <t>Base</t>
        </is>
      </c>
      <c r="F2567" s="1" t="n">
        <v>0.285788</v>
      </c>
    </row>
    <row r="2568" ht="15.75" customHeight="1" s="201">
      <c r="A2568" s="1" t="n">
        <v>56203125</v>
      </c>
      <c r="B2568" s="1" t="inlineStr">
        <is>
          <t>Oatmeal, instant, maple flavored, NS as to fat (Includes brown sugar; instant packet; all liquids)</t>
        </is>
      </c>
      <c r="C2568" s="1" t="n">
        <v>4</v>
      </c>
      <c r="D2568" s="1" t="inlineStr">
        <is>
          <t>FNDDS recipe with replaced or modified SR codes</t>
        </is>
      </c>
      <c r="E2568" s="1" t="inlineStr">
        <is>
          <t>Base</t>
        </is>
      </c>
      <c r="F2568" s="1" t="n">
        <v>0.195224</v>
      </c>
    </row>
    <row r="2569" ht="15.75" customHeight="1" s="201">
      <c r="A2569" s="1" t="n">
        <v>56203130</v>
      </c>
      <c r="B2569" s="1" t="inlineStr">
        <is>
          <t>Oatmeal, instant, maple flavored, no added fat (Includes brown sugar; instant packet; all liquids)</t>
        </is>
      </c>
      <c r="C2569" s="1" t="n">
        <v>3</v>
      </c>
      <c r="D2569" s="1" t="inlineStr">
        <is>
          <t>Original FNDDS recipe</t>
        </is>
      </c>
      <c r="E2569" s="1" t="inlineStr">
        <is>
          <t>Base</t>
        </is>
      </c>
      <c r="F2569" s="1" t="n">
        <v>0.183741</v>
      </c>
    </row>
    <row r="2570" ht="15.75" customHeight="1" s="201">
      <c r="A2570" s="1" t="n">
        <v>56203135</v>
      </c>
      <c r="B2570" s="1" t="inlineStr">
        <is>
          <t>Oatmeal, instant, maple flavored, fat added (Includes brown sugar; instant packet; all liquids)</t>
        </is>
      </c>
      <c r="C2570" s="1" t="n">
        <v>4</v>
      </c>
      <c r="D2570" s="1" t="inlineStr">
        <is>
          <t>FNDDS recipe with replaced or modified SR codes</t>
        </is>
      </c>
      <c r="E2570" s="1" t="inlineStr">
        <is>
          <t>Base</t>
        </is>
      </c>
      <c r="F2570" s="1" t="n">
        <v>0.195224</v>
      </c>
    </row>
    <row r="2571" ht="15.75" customHeight="1" s="201">
      <c r="A2571" s="1" t="n">
        <v>56203155</v>
      </c>
      <c r="B2571" s="1" t="inlineStr">
        <is>
          <t>Oatmeal, instant, fruit flavored, no added fat (Includes with fruit and cream; instant packet; all liquids)</t>
        </is>
      </c>
      <c r="C2571" s="1" t="n">
        <v>3</v>
      </c>
      <c r="D2571" s="1" t="inlineStr">
        <is>
          <t>Original FNDDS recipe</t>
        </is>
      </c>
      <c r="E2571" s="1" t="inlineStr">
        <is>
          <t>Base</t>
        </is>
      </c>
      <c r="F2571" s="1" t="n">
        <v>0.222179</v>
      </c>
    </row>
    <row r="2572" ht="15.75" customHeight="1" s="201">
      <c r="A2572" s="1" t="n">
        <v>56203160</v>
      </c>
      <c r="B2572" s="1" t="inlineStr">
        <is>
          <t>Oatmeal, instant, fruit flavored, fat added (Includes with fruit and cream; instant packet; all liquids)</t>
        </is>
      </c>
      <c r="C2572" s="1" t="n">
        <v>4</v>
      </c>
      <c r="D2572" s="1" t="inlineStr">
        <is>
          <t>FNDDS recipe with replaced or modified SR codes</t>
        </is>
      </c>
      <c r="E2572" s="1" t="inlineStr">
        <is>
          <t>Base</t>
        </is>
      </c>
      <c r="F2572" s="1" t="n">
        <v>0.232519</v>
      </c>
    </row>
    <row r="2573" ht="15.75" customHeight="1" s="201">
      <c r="A2573" s="1" t="n">
        <v>56203175</v>
      </c>
      <c r="B2573" s="1" t="inlineStr">
        <is>
          <t>Oatmeal, instant, other flavors, no added fat (Includes exclude fruit and maple; instant packet; all liquids)</t>
        </is>
      </c>
      <c r="C2573" s="1" t="n">
        <v>3</v>
      </c>
      <c r="D2573" s="1" t="inlineStr">
        <is>
          <t>Original FNDDS recipe</t>
        </is>
      </c>
      <c r="E2573" s="1" t="inlineStr">
        <is>
          <t>Base</t>
        </is>
      </c>
      <c r="F2573" s="1" t="n">
        <v>0.183741</v>
      </c>
    </row>
    <row r="2574" ht="15.75" customHeight="1" s="201">
      <c r="A2574" s="1" t="n">
        <v>56203180</v>
      </c>
      <c r="B2574" s="1" t="inlineStr">
        <is>
          <t>Oatmeal, instant, other flavors, fat added (Includes exclude fruit and maple; instant packet; all liquids)</t>
        </is>
      </c>
      <c r="C2574" s="1" t="n">
        <v>4</v>
      </c>
      <c r="D2574" s="1" t="inlineStr">
        <is>
          <t>FNDDS recipe with replaced or modified SR codes</t>
        </is>
      </c>
      <c r="E2574" s="1" t="inlineStr">
        <is>
          <t>Base</t>
        </is>
      </c>
      <c r="F2574" s="1" t="n">
        <v>0.195224</v>
      </c>
    </row>
    <row r="2575" ht="15.75" customHeight="1" s="201">
      <c r="A2575" s="1" t="n">
        <v>56203510</v>
      </c>
      <c r="B2575" s="1" t="inlineStr">
        <is>
          <t>Oatmeal, reduced sugar, plain, no added fat (Includes all cooking types; all liquids)</t>
        </is>
      </c>
      <c r="C2575" s="1" t="n">
        <v>3</v>
      </c>
      <c r="D2575" s="1" t="inlineStr">
        <is>
          <t>Original FNDDS recipe</t>
        </is>
      </c>
      <c r="E2575" s="1" t="inlineStr">
        <is>
          <t>Base</t>
        </is>
      </c>
      <c r="F2575" s="1" t="n">
        <v>0.164777</v>
      </c>
    </row>
    <row r="2576" ht="15.75" customHeight="1" s="201">
      <c r="A2576" s="1" t="n">
        <v>56203555</v>
      </c>
      <c r="B2576" s="1" t="inlineStr">
        <is>
          <t>Oatmeal, reduced sugar, flavored, no added fat (Includes all flavors; all cooking types; all liquids)</t>
        </is>
      </c>
      <c r="C2576" s="1" t="n">
        <v>3</v>
      </c>
      <c r="D2576" s="1" t="inlineStr">
        <is>
          <t>Original FNDDS recipe</t>
        </is>
      </c>
      <c r="E2576" s="1" t="inlineStr">
        <is>
          <t>Base</t>
        </is>
      </c>
      <c r="F2576" s="1" t="n">
        <v>0.164777</v>
      </c>
    </row>
    <row r="2577" ht="15.75" customHeight="1" s="201">
      <c r="A2577" s="1" t="n">
        <v>56203560</v>
      </c>
      <c r="B2577" s="1" t="inlineStr">
        <is>
          <t>Oatmeal, reduced sugar, flavored, fat added (Includes all flavors; all cooking types; all liquids)</t>
        </is>
      </c>
      <c r="C2577" s="1" t="n">
        <v>4</v>
      </c>
      <c r="D2577" s="1" t="inlineStr">
        <is>
          <t>FNDDS recipe with replaced or modified SR codes</t>
        </is>
      </c>
      <c r="E2577" s="1" t="inlineStr">
        <is>
          <t>Base</t>
        </is>
      </c>
      <c r="F2577" s="1" t="n">
        <v>0.177428</v>
      </c>
    </row>
    <row r="2578" ht="15.75" customHeight="1" s="201">
      <c r="A2578" s="1" t="n">
        <v>56203600</v>
      </c>
      <c r="B2578" s="1" t="inlineStr">
        <is>
          <t>Oatmeal, multigrain, NS as to fat (Includes high fiber; all cooking types; all liquids)</t>
        </is>
      </c>
      <c r="C2578" s="1" t="n">
        <v>4</v>
      </c>
      <c r="D2578" s="1" t="inlineStr">
        <is>
          <t>FNDDS recipe with replaced or modified SR codes</t>
        </is>
      </c>
      <c r="E2578" s="1" t="inlineStr">
        <is>
          <t>Base</t>
        </is>
      </c>
      <c r="F2578" s="1" t="n">
        <v>0.159752</v>
      </c>
    </row>
    <row r="2579" ht="15.75" customHeight="1" s="201">
      <c r="A2579" s="1" t="n">
        <v>56203610</v>
      </c>
      <c r="B2579" s="1" t="inlineStr">
        <is>
          <t>Oatmeal, multigrain, no added fat (Includes high fiber; all cooking types; all liquids)</t>
        </is>
      </c>
      <c r="C2579" s="1" t="n">
        <v>3</v>
      </c>
      <c r="D2579" s="1" t="inlineStr">
        <is>
          <t>Original FNDDS recipe</t>
        </is>
      </c>
      <c r="E2579" s="1" t="inlineStr">
        <is>
          <t>Base</t>
        </is>
      </c>
      <c r="F2579" s="1" t="n">
        <v>0.150651</v>
      </c>
    </row>
    <row r="2580" ht="15.75" customHeight="1" s="201">
      <c r="A2580" s="1" t="n">
        <v>56203620</v>
      </c>
      <c r="B2580" s="1" t="inlineStr">
        <is>
          <t>Oatmeal, multigrain, fat added (Includes high fiber; all cooking types; all liquids)</t>
        </is>
      </c>
      <c r="C2580" s="1" t="n">
        <v>4</v>
      </c>
      <c r="D2580" s="1" t="inlineStr">
        <is>
          <t>FNDDS recipe with replaced or modified SR codes</t>
        </is>
      </c>
      <c r="E2580" s="1" t="inlineStr">
        <is>
          <t>Base</t>
        </is>
      </c>
      <c r="F2580" s="1" t="n">
        <v>0.159752</v>
      </c>
    </row>
    <row r="2581" ht="15.75" customHeight="1" s="201">
      <c r="A2581" s="1" t="n">
        <v>56204000</v>
      </c>
      <c r="B2581" s="1" t="inlineStr">
        <is>
          <t>Quinoa, NS as to fat (Includes all liquids)</t>
        </is>
      </c>
      <c r="C2581" s="1" t="n">
        <v>4</v>
      </c>
      <c r="D2581" s="1" t="inlineStr">
        <is>
          <t>FNDDS recipe with replaced or modified SR codes</t>
        </is>
      </c>
      <c r="E2581" s="1" t="inlineStr">
        <is>
          <t>Base</t>
        </is>
      </c>
      <c r="F2581" s="1" t="n">
        <v>0.391699</v>
      </c>
    </row>
    <row r="2582" ht="15.75" customHeight="1" s="201">
      <c r="A2582" s="1" t="n">
        <v>56204005</v>
      </c>
      <c r="B2582" s="1" t="inlineStr">
        <is>
          <t>Quinoa, no added fat (Includes all liquids)</t>
        </is>
      </c>
      <c r="C2582" s="1" t="n">
        <v>2</v>
      </c>
      <c r="D2582" s="1" t="inlineStr">
        <is>
          <t>Links to altEC</t>
        </is>
      </c>
      <c r="E2582" s="1" t="inlineStr">
        <is>
          <t>Base</t>
        </is>
      </c>
      <c r="F2582" s="1" t="n">
        <v>0.393361</v>
      </c>
    </row>
    <row r="2583" ht="15.75" customHeight="1" s="201">
      <c r="A2583" s="1" t="n">
        <v>56204010</v>
      </c>
      <c r="B2583" s="1" t="inlineStr">
        <is>
          <t>Quinoa, fat added (Includes all liquids)</t>
        </is>
      </c>
      <c r="C2583" s="1" t="n">
        <v>4</v>
      </c>
      <c r="D2583" s="1" t="inlineStr">
        <is>
          <t>FNDDS recipe with replaced or modified SR codes</t>
        </is>
      </c>
      <c r="E2583" s="1" t="inlineStr">
        <is>
          <t>Base</t>
        </is>
      </c>
      <c r="F2583" s="1" t="n">
        <v>0.391699</v>
      </c>
    </row>
    <row r="2584" ht="15.75" customHeight="1" s="201">
      <c r="A2584" s="1" t="n">
        <v>56205000</v>
      </c>
      <c r="B2584" s="1" t="inlineStr">
        <is>
          <t>Rice, cooked, NFS</t>
        </is>
      </c>
      <c r="C2584" s="1" t="n">
        <v>2</v>
      </c>
      <c r="D2584" s="1" t="inlineStr">
        <is>
          <t>Links to altEC</t>
        </is>
      </c>
      <c r="E2584" s="1" t="inlineStr">
        <is>
          <t>Base</t>
        </is>
      </c>
      <c r="F2584" s="1" t="n">
        <v>0.110812</v>
      </c>
    </row>
    <row r="2585" ht="15.75" customHeight="1" s="201">
      <c r="A2585" s="1" t="n">
        <v>56205001</v>
      </c>
      <c r="B2585" s="1" t="inlineStr">
        <is>
          <t>Rice, white, cooked, NS as to fat (Includes basmati or jasmine rice)</t>
        </is>
      </c>
      <c r="C2585" s="1" t="n">
        <v>1</v>
      </c>
      <c r="D2585" s="1" t="inlineStr">
        <is>
          <t>Links to FNDDS</t>
        </is>
      </c>
      <c r="E2585" s="1" t="inlineStr">
        <is>
          <t>Base</t>
        </is>
      </c>
      <c r="F2585" s="1" t="n">
        <v>0.744832</v>
      </c>
    </row>
    <row r="2586" ht="15.75" customHeight="1" s="201">
      <c r="A2586" s="1" t="n">
        <v>56205002</v>
      </c>
      <c r="B2586" s="1" t="inlineStr">
        <is>
          <t>Rice, white, cooked, made with oil (Includes basmati or jasmine rice)</t>
        </is>
      </c>
      <c r="C2586" s="1" t="n">
        <v>4</v>
      </c>
      <c r="D2586" s="1" t="inlineStr">
        <is>
          <t>FNDDS recipe with replaced or modified SR codes</t>
        </is>
      </c>
      <c r="E2586" s="1" t="inlineStr">
        <is>
          <t>Base</t>
        </is>
      </c>
      <c r="F2586" s="1" t="n">
        <v>0.093141</v>
      </c>
    </row>
    <row r="2587" ht="15.75" customHeight="1" s="201">
      <c r="A2587" s="1" t="n">
        <v>56205004</v>
      </c>
      <c r="B2587" s="1" t="inlineStr">
        <is>
          <t>Rice, white, cooked, made with butter (Includes made with animal fat or meat drippings; basmati or jasmine rice)</t>
        </is>
      </c>
      <c r="C2587" s="1" t="n">
        <v>4</v>
      </c>
      <c r="D2587" s="1" t="inlineStr">
        <is>
          <t>FNDDS recipe with replaced or modified SR codes</t>
        </is>
      </c>
      <c r="E2587" s="1" t="inlineStr">
        <is>
          <t>Base</t>
        </is>
      </c>
      <c r="F2587" s="1" t="n">
        <v>0.105983</v>
      </c>
    </row>
    <row r="2588" ht="15.75" customHeight="1" s="201">
      <c r="A2588" s="1" t="n">
        <v>56205006</v>
      </c>
      <c r="B2588" s="1" t="inlineStr">
        <is>
          <t>Rice, white, cooked, made with margarine (Includes made with shortening; basmati or jasmine rice)</t>
        </is>
      </c>
      <c r="C2588" s="1" t="n">
        <v>4</v>
      </c>
      <c r="D2588" s="1" t="inlineStr">
        <is>
          <t>FNDDS recipe with replaced or modified SR codes</t>
        </is>
      </c>
      <c r="E2588" s="1" t="inlineStr">
        <is>
          <t>Base</t>
        </is>
      </c>
      <c r="F2588" s="1" t="n">
        <v>0.091753</v>
      </c>
    </row>
    <row r="2589" ht="15.75" customHeight="1" s="201">
      <c r="A2589" s="1" t="n">
        <v>56205007</v>
      </c>
      <c r="B2589" s="1" t="inlineStr">
        <is>
          <t>Rice, white, cooked, fat added, NS as to fat type (Includes basmati or jasmine rice)</t>
        </is>
      </c>
      <c r="C2589" s="1" t="n">
        <v>4</v>
      </c>
      <c r="D2589" s="1" t="inlineStr">
        <is>
          <t>FNDDS recipe with replaced or modified SR codes</t>
        </is>
      </c>
      <c r="E2589" s="1" t="inlineStr">
        <is>
          <t>Base</t>
        </is>
      </c>
      <c r="F2589" s="1" t="n">
        <v>0.095294</v>
      </c>
    </row>
    <row r="2590" ht="15.75" customHeight="1" s="201">
      <c r="A2590" s="1" t="n">
        <v>56205008</v>
      </c>
      <c r="B2590" s="1" t="inlineStr">
        <is>
          <t>Rice, white, cooked, no added fat (Includes basmati or jasmine rice)</t>
        </is>
      </c>
      <c r="C2590" s="1" t="n">
        <v>2</v>
      </c>
      <c r="D2590" s="1" t="inlineStr">
        <is>
          <t>Links to altEC</t>
        </is>
      </c>
      <c r="E2590" s="1" t="inlineStr">
        <is>
          <t>Base</t>
        </is>
      </c>
      <c r="F2590" s="1" t="n">
        <v>0.089641</v>
      </c>
    </row>
    <row r="2591" ht="15.75" customHeight="1" s="201">
      <c r="A2591" s="1" t="n">
        <v>56205011</v>
      </c>
      <c r="B2591" s="1" t="inlineStr">
        <is>
          <t>Rice, brown, cooked, NS as to fat</t>
        </is>
      </c>
      <c r="C2591" s="1" t="n">
        <v>2</v>
      </c>
      <c r="D2591" s="1" t="inlineStr">
        <is>
          <t>Links to altEC</t>
        </is>
      </c>
      <c r="E2591" s="1" t="inlineStr">
        <is>
          <t>Base</t>
        </is>
      </c>
      <c r="F2591" s="1" t="n">
        <v>0.241928</v>
      </c>
    </row>
    <row r="2592" ht="15.75" customHeight="1" s="201">
      <c r="A2592" s="1" t="n">
        <v>56205012</v>
      </c>
      <c r="B2592" s="1" t="inlineStr">
        <is>
          <t>Rice, brown, cooked, fat added, made with oil</t>
        </is>
      </c>
      <c r="C2592" s="1" t="n">
        <v>4</v>
      </c>
      <c r="D2592" s="1" t="inlineStr">
        <is>
          <t>FNDDS recipe with replaced or modified SR codes</t>
        </is>
      </c>
      <c r="E2592" s="1" t="inlineStr">
        <is>
          <t>Base</t>
        </is>
      </c>
      <c r="F2592" s="1" t="n">
        <v>0.212468</v>
      </c>
    </row>
    <row r="2593" ht="15.75" customHeight="1" s="201">
      <c r="A2593" s="1" t="n">
        <v>56205018</v>
      </c>
      <c r="B2593" s="1" t="inlineStr">
        <is>
          <t>Rice, brown, cooked, no added fat (Includes made without fat)</t>
        </is>
      </c>
      <c r="C2593" s="1" t="n">
        <v>1</v>
      </c>
      <c r="D2593" s="1" t="inlineStr">
        <is>
          <t>Links to FNDDS</t>
        </is>
      </c>
      <c r="E2593" s="1" t="inlineStr">
        <is>
          <t>Base</t>
        </is>
      </c>
      <c r="F2593" s="1" t="n">
        <v>0.743571</v>
      </c>
    </row>
    <row r="2594" ht="15.75" customHeight="1" s="201">
      <c r="A2594" s="1" t="n">
        <v>56205060</v>
      </c>
      <c r="B2594" s="1" t="inlineStr">
        <is>
          <t>Rice, cooked, with milk</t>
        </is>
      </c>
      <c r="C2594" s="1" t="n">
        <v>4</v>
      </c>
      <c r="D2594" s="1" t="inlineStr">
        <is>
          <t>FNDDS recipe with replaced or modified SR codes</t>
        </is>
      </c>
      <c r="E2594" s="1" t="inlineStr">
        <is>
          <t>Base</t>
        </is>
      </c>
      <c r="F2594" s="1" t="n">
        <v>0.156498</v>
      </c>
    </row>
    <row r="2595" ht="15.75" customHeight="1" s="201">
      <c r="A2595" s="1" t="n">
        <v>56205070</v>
      </c>
      <c r="B2595" s="1" t="inlineStr">
        <is>
          <t>Rice, sweet, cooked with honey</t>
        </is>
      </c>
      <c r="C2595" s="1" t="n">
        <v>4</v>
      </c>
      <c r="D2595" s="1" t="inlineStr">
        <is>
          <t>FNDDS recipe with replaced or modified SR codes</t>
        </is>
      </c>
      <c r="E2595" s="1" t="inlineStr">
        <is>
          <t>Base</t>
        </is>
      </c>
      <c r="F2595" s="1" t="n">
        <v>0.14005</v>
      </c>
    </row>
    <row r="2596" ht="15.75" customHeight="1" s="201">
      <c r="A2596" s="1" t="n">
        <v>56205080</v>
      </c>
      <c r="B2596" s="1" t="inlineStr">
        <is>
          <t>Rice, creamed, made with milk and sugar, Puerto Rican style (Includes cream o sopa de arroz con leche)</t>
        </is>
      </c>
      <c r="C2596" s="1" t="n">
        <v>4</v>
      </c>
      <c r="D2596" s="1" t="inlineStr">
        <is>
          <t>FNDDS recipe with replaced or modified SR codes</t>
        </is>
      </c>
      <c r="E2596" s="1" t="inlineStr">
        <is>
          <t>Base</t>
        </is>
      </c>
      <c r="F2596" s="1" t="n">
        <v>0.076875</v>
      </c>
    </row>
    <row r="2597" ht="15.75" customHeight="1" s="201">
      <c r="A2597" s="1" t="n">
        <v>56205090</v>
      </c>
      <c r="B2597" s="1" t="inlineStr">
        <is>
          <t>Rice, cream of, cooked, fat added</t>
        </is>
      </c>
      <c r="C2597" s="1" t="n">
        <v>4</v>
      </c>
      <c r="D2597" s="1" t="inlineStr">
        <is>
          <t>FNDDS recipe with replaced or modified SR codes</t>
        </is>
      </c>
      <c r="E2597" s="1" t="inlineStr">
        <is>
          <t>Base</t>
        </is>
      </c>
      <c r="F2597" s="1" t="n">
        <v>0.157355</v>
      </c>
    </row>
    <row r="2598" ht="15.75" customHeight="1" s="201">
      <c r="A2598" s="1" t="n">
        <v>56205101</v>
      </c>
      <c r="B2598" s="1" t="inlineStr">
        <is>
          <t>Congee (Includes Conjee; rice porridge or gruel; Asian)</t>
        </is>
      </c>
      <c r="C2598" s="1" t="n">
        <v>4</v>
      </c>
      <c r="D2598" s="1" t="inlineStr">
        <is>
          <t>FNDDS recipe with replaced or modified SR codes</t>
        </is>
      </c>
      <c r="E2598" s="1" t="inlineStr">
        <is>
          <t>Base</t>
        </is>
      </c>
      <c r="F2598" s="1" t="n">
        <v>0.022575</v>
      </c>
    </row>
    <row r="2599" ht="15.75" customHeight="1" s="201">
      <c r="A2599" s="1" t="n">
        <v>56205130</v>
      </c>
      <c r="B2599" s="1" t="inlineStr">
        <is>
          <t>Yellow rice, cooked, NS as to fat</t>
        </is>
      </c>
      <c r="C2599" s="1" t="n">
        <v>2</v>
      </c>
      <c r="D2599" s="1" t="inlineStr">
        <is>
          <t>Links to altEC</t>
        </is>
      </c>
      <c r="E2599" s="1" t="inlineStr">
        <is>
          <t>Base</t>
        </is>
      </c>
      <c r="F2599" s="1" t="n">
        <v>0.769666</v>
      </c>
    </row>
    <row r="2600" ht="15.75" customHeight="1" s="201">
      <c r="A2600" s="1" t="n">
        <v>56205150</v>
      </c>
      <c r="B2600" s="1" t="inlineStr">
        <is>
          <t>Yellow rice, cooked, no added fat</t>
        </is>
      </c>
      <c r="C2600" s="1" t="n">
        <v>3</v>
      </c>
      <c r="D2600" s="1" t="inlineStr">
        <is>
          <t>Original FNDDS recipe</t>
        </is>
      </c>
      <c r="E2600" s="1" t="inlineStr">
        <is>
          <t>Base</t>
        </is>
      </c>
      <c r="F2600" s="1" t="n">
        <v>0.139976</v>
      </c>
    </row>
    <row r="2601" ht="15.75" customHeight="1" s="201">
      <c r="A2601" s="1" t="n">
        <v>56205170</v>
      </c>
      <c r="B2601" s="1" t="inlineStr">
        <is>
          <t>Yellow rice, cooked, fat added</t>
        </is>
      </c>
      <c r="C2601" s="1" t="n">
        <v>4</v>
      </c>
      <c r="D2601" s="1" t="inlineStr">
        <is>
          <t>FNDDS recipe with replaced or modified SR codes</t>
        </is>
      </c>
      <c r="E2601" s="1" t="inlineStr">
        <is>
          <t>Base</t>
        </is>
      </c>
      <c r="F2601" s="1" t="n">
        <v>0.145994</v>
      </c>
    </row>
    <row r="2602" ht="15.75" customHeight="1" s="201">
      <c r="A2602" s="1" t="n">
        <v>56205190</v>
      </c>
      <c r="B2602" s="1" t="inlineStr">
        <is>
          <t>Rice, white, cooked, glutinous (Includes sticky rice; sushi rice)</t>
        </is>
      </c>
      <c r="C2602" s="1" t="n">
        <v>1</v>
      </c>
      <c r="D2602" s="1" t="inlineStr">
        <is>
          <t>Links to FNDDS</t>
        </is>
      </c>
      <c r="E2602" s="1" t="inlineStr">
        <is>
          <t>Base</t>
        </is>
      </c>
      <c r="F2602" s="1" t="n">
        <v>0.141963</v>
      </c>
    </row>
    <row r="2603" ht="15.75" customHeight="1" s="201">
      <c r="A2603" s="1" t="n">
        <v>56205205</v>
      </c>
      <c r="B2603" s="1" t="inlineStr">
        <is>
          <t>Rice, wild, 100%, cooked, NS as to fat</t>
        </is>
      </c>
      <c r="C2603" s="1" t="n">
        <v>4</v>
      </c>
      <c r="D2603" s="1" t="inlineStr">
        <is>
          <t>FNDDS recipe with replaced or modified SR codes</t>
        </is>
      </c>
      <c r="E2603" s="1" t="inlineStr">
        <is>
          <t>Base</t>
        </is>
      </c>
      <c r="F2603" s="1" t="n">
        <v>0.61633</v>
      </c>
    </row>
    <row r="2604" ht="15.75" customHeight="1" s="201">
      <c r="A2604" s="1" t="n">
        <v>56205210</v>
      </c>
      <c r="B2604" s="1" t="inlineStr">
        <is>
          <t>Rice, wild, 100%, cooked, no added fat</t>
        </is>
      </c>
      <c r="C2604" s="1" t="n">
        <v>1</v>
      </c>
      <c r="D2604" s="1" t="inlineStr">
        <is>
          <t>Links to FNDDS</t>
        </is>
      </c>
      <c r="E2604" s="1" t="inlineStr">
        <is>
          <t>Base</t>
        </is>
      </c>
      <c r="F2604" s="1" t="n">
        <v>0.738741</v>
      </c>
    </row>
    <row r="2605" ht="15.75" customHeight="1" s="201">
      <c r="A2605" s="1" t="n">
        <v>56205215</v>
      </c>
      <c r="B2605" s="1" t="inlineStr">
        <is>
          <t>Rice, wild, 100%, cooked, fat added</t>
        </is>
      </c>
      <c r="C2605" s="1" t="n">
        <v>4</v>
      </c>
      <c r="D2605" s="1" t="inlineStr">
        <is>
          <t>FNDDS recipe with replaced or modified SR codes</t>
        </is>
      </c>
      <c r="E2605" s="1" t="inlineStr">
        <is>
          <t>Base</t>
        </is>
      </c>
      <c r="F2605" s="1" t="n">
        <v>0.61633</v>
      </c>
    </row>
    <row r="2606" ht="15.75" customHeight="1" s="201">
      <c r="A2606" s="1" t="n">
        <v>56205300</v>
      </c>
      <c r="B2606" s="1" t="inlineStr">
        <is>
          <t>Rice, white and wild, cooked, no added fat (Includes Uncle Ben's Long Grain and Wild Rice flavored, all flavors)</t>
        </is>
      </c>
      <c r="C2606" s="1" t="n">
        <v>2</v>
      </c>
      <c r="D2606" s="1" t="inlineStr">
        <is>
          <t>Links to altEC</t>
        </is>
      </c>
      <c r="E2606" s="1" t="inlineStr">
        <is>
          <t>Base</t>
        </is>
      </c>
      <c r="F2606" s="1" t="n">
        <v>0.429349</v>
      </c>
    </row>
    <row r="2607" ht="15.75" customHeight="1" s="201">
      <c r="A2607" s="1" t="n">
        <v>56205320</v>
      </c>
      <c r="B2607" s="1" t="inlineStr">
        <is>
          <t>Rice, white and wild, cooked, fat added (Includes flavored white and wild rice, NFS; Uncle Ben's Long Grain and Wild Rice flavored, all flavors)</t>
        </is>
      </c>
      <c r="C2607" s="1" t="n">
        <v>4</v>
      </c>
      <c r="D2607" s="1" t="inlineStr">
        <is>
          <t>FNDDS recipe with replaced or modified SR codes</t>
        </is>
      </c>
      <c r="E2607" s="1" t="inlineStr">
        <is>
          <t>Base</t>
        </is>
      </c>
      <c r="F2607" s="1" t="n">
        <v>0.103095</v>
      </c>
    </row>
    <row r="2608" ht="15.75" customHeight="1" s="201">
      <c r="A2608" s="1" t="n">
        <v>56205330</v>
      </c>
      <c r="B2608" s="1" t="inlineStr">
        <is>
          <t>Rice, white and wild, cooked, NS as to fat (Includes Uncle Ben's Long Grain and Wild Rice flavored, all flavors)</t>
        </is>
      </c>
      <c r="C2608" s="1" t="n">
        <v>4</v>
      </c>
      <c r="D2608" s="1" t="inlineStr">
        <is>
          <t>FNDDS recipe with replaced or modified SR codes</t>
        </is>
      </c>
      <c r="E2608" s="1" t="inlineStr">
        <is>
          <t>Base</t>
        </is>
      </c>
      <c r="F2608" s="1" t="n">
        <v>0.103095</v>
      </c>
    </row>
    <row r="2609" ht="15.75" customHeight="1" s="201">
      <c r="A2609" s="1" t="n">
        <v>56205340</v>
      </c>
      <c r="B2609" s="1" t="inlineStr">
        <is>
          <t>Rice, brown and wild, cooked, fat added</t>
        </is>
      </c>
      <c r="C2609" s="1" t="n">
        <v>4</v>
      </c>
      <c r="D2609" s="1" t="inlineStr">
        <is>
          <t>FNDDS recipe with replaced or modified SR codes</t>
        </is>
      </c>
      <c r="E2609" s="1" t="inlineStr">
        <is>
          <t>Base</t>
        </is>
      </c>
      <c r="F2609" s="1" t="n">
        <v>0.264905</v>
      </c>
    </row>
    <row r="2610" ht="15.75" customHeight="1" s="201">
      <c r="A2610" s="1" t="n">
        <v>56207005</v>
      </c>
      <c r="B2610" s="1" t="inlineStr">
        <is>
          <t>Cream of wheat, NS as to regular, quick, or instant, fat added (Includes farina; all liquids)</t>
        </is>
      </c>
      <c r="C2610" s="1" t="n">
        <v>4</v>
      </c>
      <c r="D2610" s="1" t="inlineStr">
        <is>
          <t>FNDDS recipe with replaced or modified SR codes</t>
        </is>
      </c>
      <c r="E2610" s="1" t="inlineStr">
        <is>
          <t>Base</t>
        </is>
      </c>
      <c r="F2610" s="1" t="n">
        <v>0.081223</v>
      </c>
    </row>
    <row r="2611" ht="15.75" customHeight="1" s="201">
      <c r="A2611" s="1" t="n">
        <v>56207016</v>
      </c>
      <c r="B2611" s="1" t="inlineStr">
        <is>
          <t>Cream of wheat, regular or quick, made with water, no added fat (Includes farina; NS as to liquid)</t>
        </is>
      </c>
      <c r="C2611" s="1" t="n">
        <v>3</v>
      </c>
      <c r="D2611" s="1" t="inlineStr">
        <is>
          <t>Original FNDDS recipe</t>
        </is>
      </c>
      <c r="E2611" s="1" t="inlineStr">
        <is>
          <t>Base</t>
        </is>
      </c>
      <c r="F2611" s="1" t="n">
        <v>0.070414</v>
      </c>
    </row>
    <row r="2612" ht="15.75" customHeight="1" s="201">
      <c r="A2612" s="1" t="n">
        <v>56207017</v>
      </c>
      <c r="B2612" s="1" t="inlineStr">
        <is>
          <t>Cream of wheat, regular or quick, made with water, fat added (Includes farina; NS as to liquid)</t>
        </is>
      </c>
      <c r="C2612" s="1" t="n">
        <v>4</v>
      </c>
      <c r="D2612" s="1" t="inlineStr">
        <is>
          <t>FNDDS recipe with replaced or modified SR codes</t>
        </is>
      </c>
      <c r="E2612" s="1" t="inlineStr">
        <is>
          <t>Base</t>
        </is>
      </c>
      <c r="F2612" s="1" t="n">
        <v>0.081223</v>
      </c>
    </row>
    <row r="2613" ht="15.75" customHeight="1" s="201">
      <c r="A2613" s="1" t="n">
        <v>56207022</v>
      </c>
      <c r="B2613" s="1" t="inlineStr">
        <is>
          <t>Cream of wheat, regular or quick, made with milk, no added fat (Includes farina)</t>
        </is>
      </c>
      <c r="C2613" s="1" t="n">
        <v>4</v>
      </c>
      <c r="D2613" s="1" t="inlineStr">
        <is>
          <t>FNDDS recipe with replaced or modified SR codes</t>
        </is>
      </c>
      <c r="E2613" s="1" t="inlineStr">
        <is>
          <t>Base</t>
        </is>
      </c>
      <c r="F2613" s="1" t="n">
        <v>0.174412</v>
      </c>
    </row>
    <row r="2614" ht="15.75" customHeight="1" s="201">
      <c r="A2614" s="1" t="n">
        <v>56207023</v>
      </c>
      <c r="B2614" s="1" t="inlineStr">
        <is>
          <t>Cream of wheat, regular or quick, made with milk, fat added (Includes farina)</t>
        </is>
      </c>
      <c r="C2614" s="1" t="n">
        <v>4</v>
      </c>
      <c r="D2614" s="1" t="inlineStr">
        <is>
          <t>FNDDS recipe with replaced or modified SR codes</t>
        </is>
      </c>
      <c r="E2614" s="1" t="inlineStr">
        <is>
          <t>Base</t>
        </is>
      </c>
      <c r="F2614" s="1" t="n">
        <v>0.183347</v>
      </c>
    </row>
    <row r="2615" ht="15.75" customHeight="1" s="201">
      <c r="A2615" s="1" t="n">
        <v>56207027</v>
      </c>
      <c r="B2615" s="1" t="inlineStr">
        <is>
          <t>Cream of wheat, regular or quick, made with non-dairy milk, fat added (Includes farina; almond milk; soy milk)</t>
        </is>
      </c>
      <c r="C2615" s="1" t="n">
        <v>4</v>
      </c>
      <c r="D2615" s="1" t="inlineStr">
        <is>
          <t>FNDDS recipe with replaced or modified SR codes</t>
        </is>
      </c>
      <c r="E2615" s="1" t="inlineStr">
        <is>
          <t>Base</t>
        </is>
      </c>
      <c r="F2615" s="1" t="n">
        <v>0.256159</v>
      </c>
    </row>
    <row r="2616" ht="15.75" customHeight="1" s="201">
      <c r="A2616" s="1" t="n">
        <v>56207030</v>
      </c>
      <c r="B2616" s="1" t="inlineStr">
        <is>
          <t>Cream of wheat, instant, made with water, no added fat (Includes farina; NS as to liquid)</t>
        </is>
      </c>
      <c r="C2616" s="1" t="n">
        <v>1</v>
      </c>
      <c r="D2616" s="1" t="inlineStr">
        <is>
          <t>Links to FNDDS</t>
        </is>
      </c>
      <c r="E2616" s="1" t="inlineStr">
        <is>
          <t>Base</t>
        </is>
      </c>
      <c r="F2616" s="1" t="n">
        <v>0.095958</v>
      </c>
    </row>
    <row r="2617" ht="15.75" customHeight="1" s="201">
      <c r="A2617" s="1" t="n">
        <v>56207060</v>
      </c>
      <c r="B2617" s="1" t="inlineStr">
        <is>
          <t>Cream of wheat, instant, made with water, fat added (Includes farina; NS as to liquid)</t>
        </is>
      </c>
      <c r="C2617" s="1" t="n">
        <v>4</v>
      </c>
      <c r="D2617" s="1" t="inlineStr">
        <is>
          <t>FNDDS recipe with replaced or modified SR codes</t>
        </is>
      </c>
      <c r="E2617" s="1" t="inlineStr">
        <is>
          <t>Base</t>
        </is>
      </c>
      <c r="F2617" s="1" t="n">
        <v>0.115908</v>
      </c>
    </row>
    <row r="2618" ht="15.75" customHeight="1" s="201">
      <c r="A2618" s="1" t="n">
        <v>56207094</v>
      </c>
      <c r="B2618" s="1" t="inlineStr">
        <is>
          <t>Cream of wheat, instant, made with milk, fat added (Includes farina)</t>
        </is>
      </c>
      <c r="C2618" s="1" t="n">
        <v>4</v>
      </c>
      <c r="D2618" s="1" t="inlineStr">
        <is>
          <t>FNDDS recipe with replaced or modified SR codes</t>
        </is>
      </c>
      <c r="E2618" s="1" t="inlineStr">
        <is>
          <t>Base</t>
        </is>
      </c>
      <c r="F2618" s="1" t="n">
        <v>0.196174</v>
      </c>
    </row>
    <row r="2619" ht="15.75" customHeight="1" s="201">
      <c r="A2619" s="1" t="n">
        <v>56207095</v>
      </c>
      <c r="B2619" s="1" t="inlineStr">
        <is>
          <t>Cream of wheat, instant, made with milk, no added fat (Includes farina)</t>
        </is>
      </c>
      <c r="C2619" s="1" t="n">
        <v>4</v>
      </c>
      <c r="D2619" s="1" t="inlineStr">
        <is>
          <t>FNDDS recipe with replaced or modified SR codes</t>
        </is>
      </c>
      <c r="E2619" s="1" t="inlineStr">
        <is>
          <t>Base</t>
        </is>
      </c>
      <c r="F2619" s="1" t="n">
        <v>0.186599</v>
      </c>
    </row>
    <row r="2620" ht="15.75" customHeight="1" s="201">
      <c r="A2620" s="1" t="n">
        <v>56207110</v>
      </c>
      <c r="B2620" s="1" t="inlineStr">
        <is>
          <t>Bulgur, no added fat (Includes wheat pilaf; all liquids)</t>
        </is>
      </c>
      <c r="C2620" s="1" t="n">
        <v>4</v>
      </c>
      <c r="D2620" s="1" t="inlineStr">
        <is>
          <t>FNDDS recipe with replaced or modified SR codes</t>
        </is>
      </c>
      <c r="E2620" s="1" t="inlineStr">
        <is>
          <t>Base</t>
        </is>
      </c>
      <c r="F2620" s="1" t="n">
        <v>0.205169</v>
      </c>
    </row>
    <row r="2621" ht="15.75" customHeight="1" s="201">
      <c r="A2621" s="1" t="n">
        <v>56207120</v>
      </c>
      <c r="B2621" s="1" t="inlineStr">
        <is>
          <t>Bulgur, fat added (Includes wheat pilaf; all liquids)</t>
        </is>
      </c>
      <c r="C2621" s="1" t="n">
        <v>4</v>
      </c>
      <c r="D2621" s="1" t="inlineStr">
        <is>
          <t>FNDDS recipe with replaced or modified SR codes</t>
        </is>
      </c>
      <c r="E2621" s="1" t="inlineStr">
        <is>
          <t>Base</t>
        </is>
      </c>
      <c r="F2621" s="1" t="n">
        <v>0.216012</v>
      </c>
    </row>
    <row r="2622" ht="15.75" customHeight="1" s="201">
      <c r="A2622" s="1" t="n">
        <v>56207130</v>
      </c>
      <c r="B2622" s="1" t="inlineStr">
        <is>
          <t>Bulgur, NS as to fat (Includes wheat pilaf; all liquids)</t>
        </is>
      </c>
      <c r="C2622" s="1" t="n">
        <v>4</v>
      </c>
      <c r="D2622" s="1" t="inlineStr">
        <is>
          <t>FNDDS recipe with replaced or modified SR codes</t>
        </is>
      </c>
      <c r="E2622" s="1" t="inlineStr">
        <is>
          <t>Base</t>
        </is>
      </c>
      <c r="F2622" s="1" t="n">
        <v>0.205169</v>
      </c>
    </row>
    <row r="2623" ht="15.75" customHeight="1" s="201">
      <c r="A2623" s="1" t="n">
        <v>56207160</v>
      </c>
      <c r="B2623" s="1" t="inlineStr">
        <is>
          <t>Couscous, plain, cooked</t>
        </is>
      </c>
      <c r="C2623" s="1" t="n">
        <v>2</v>
      </c>
      <c r="D2623" s="1" t="inlineStr">
        <is>
          <t>Links to altEC</t>
        </is>
      </c>
      <c r="E2623" s="1" t="inlineStr">
        <is>
          <t>Base</t>
        </is>
      </c>
      <c r="F2623" s="1" t="n">
        <v>0.461614</v>
      </c>
    </row>
    <row r="2624" ht="15.75" customHeight="1" s="201">
      <c r="A2624" s="1" t="n">
        <v>56207200</v>
      </c>
      <c r="B2624" s="1" t="inlineStr">
        <is>
          <t>Whole wheat cereal, cooked, no added fat (Includes Wheatena; Zoom; Roman Meal; Maltex; Malt-O-Meal; all liquids)</t>
        </is>
      </c>
      <c r="C2624" s="1" t="n">
        <v>3</v>
      </c>
      <c r="D2624" s="1" t="inlineStr">
        <is>
          <t>Original FNDDS recipe</t>
        </is>
      </c>
      <c r="E2624" s="1" t="inlineStr">
        <is>
          <t>Base</t>
        </is>
      </c>
      <c r="F2624" s="1" t="n">
        <v>0.064303</v>
      </c>
    </row>
    <row r="2625" ht="15.75" customHeight="1" s="201">
      <c r="A2625" s="1" t="n">
        <v>56207210</v>
      </c>
      <c r="B2625" s="1" t="inlineStr">
        <is>
          <t>Whole wheat cereal, cooked, fat added (Includes Wheatena; Zoom; Roman Meal; Maltex; Malt-O-Meal; all liquids)</t>
        </is>
      </c>
      <c r="C2625" s="1" t="n">
        <v>4</v>
      </c>
      <c r="D2625" s="1" t="inlineStr">
        <is>
          <t>FNDDS recipe with replaced or modified SR codes</t>
        </is>
      </c>
      <c r="E2625" s="1" t="inlineStr">
        <is>
          <t>Base</t>
        </is>
      </c>
      <c r="F2625" s="1" t="n">
        <v>0.075222</v>
      </c>
    </row>
    <row r="2626" ht="15.75" customHeight="1" s="201">
      <c r="A2626" s="1" t="n">
        <v>56208500</v>
      </c>
      <c r="B2626" s="1" t="inlineStr">
        <is>
          <t>Oat bran cereal, cooked, no added fat (Includes all liquids)</t>
        </is>
      </c>
      <c r="C2626" s="1" t="n">
        <v>3</v>
      </c>
      <c r="D2626" s="1" t="inlineStr">
        <is>
          <t>Original FNDDS recipe</t>
        </is>
      </c>
      <c r="E2626" s="1" t="inlineStr">
        <is>
          <t>Base</t>
        </is>
      </c>
      <c r="F2626" s="1" t="n">
        <v>0.117815</v>
      </c>
    </row>
    <row r="2627" ht="15.75" customHeight="1" s="201">
      <c r="A2627" s="1" t="n">
        <v>56208510</v>
      </c>
      <c r="B2627" s="1" t="inlineStr">
        <is>
          <t>Oat bran cereal, cooked, fat added (Includes all liquids)</t>
        </is>
      </c>
      <c r="C2627" s="1" t="n">
        <v>4</v>
      </c>
      <c r="D2627" s="1" t="inlineStr">
        <is>
          <t>FNDDS recipe with replaced or modified SR codes</t>
        </is>
      </c>
      <c r="E2627" s="1" t="inlineStr">
        <is>
          <t>Base</t>
        </is>
      </c>
      <c r="F2627" s="1" t="n">
        <v>0.127324</v>
      </c>
    </row>
    <row r="2628" ht="15.75" customHeight="1" s="201">
      <c r="A2628" s="1" t="n">
        <v>57000100</v>
      </c>
      <c r="B2628" s="1" t="inlineStr">
        <is>
          <t>Cereal, oat, NFS</t>
        </is>
      </c>
      <c r="C2628" s="1" t="n">
        <v>2</v>
      </c>
      <c r="D2628" s="1" t="inlineStr">
        <is>
          <t>Links to altEC</t>
        </is>
      </c>
      <c r="E2628" s="1" t="inlineStr">
        <is>
          <t>Base</t>
        </is>
      </c>
      <c r="F2628" s="1" t="n">
        <v>0.688898</v>
      </c>
    </row>
    <row r="2629" ht="15.75" customHeight="1" s="201">
      <c r="A2629" s="1" t="n">
        <v>57100100</v>
      </c>
      <c r="B2629" s="1" t="inlineStr">
        <is>
          <t>Cereal, ready-to-eat, NFS (Includes NS as to cooked or ready-to-eat)</t>
        </is>
      </c>
      <c r="C2629" s="1" t="n">
        <v>2</v>
      </c>
      <c r="D2629" s="1" t="inlineStr">
        <is>
          <t>Links to altEC</t>
        </is>
      </c>
      <c r="E2629" s="1" t="inlineStr">
        <is>
          <t>Base</t>
        </is>
      </c>
      <c r="F2629" s="1" t="n">
        <v>0.669138</v>
      </c>
    </row>
    <row r="2630" ht="15.75" customHeight="1" s="201">
      <c r="A2630" s="1" t="n">
        <v>57101000</v>
      </c>
      <c r="B2630" s="1" t="inlineStr">
        <is>
          <t>Cereal (Kellogg's All-Bran)</t>
        </is>
      </c>
      <c r="C2630" s="1" t="n">
        <v>1</v>
      </c>
      <c r="D2630" s="1" t="inlineStr">
        <is>
          <t>Links to FNDDS</t>
        </is>
      </c>
      <c r="E2630" s="1" t="inlineStr">
        <is>
          <t>Base</t>
        </is>
      </c>
      <c r="F2630" s="1" t="n">
        <v>0.785878</v>
      </c>
    </row>
    <row r="2631" ht="15.75" customHeight="1" s="201">
      <c r="A2631" s="1" t="n">
        <v>57103000</v>
      </c>
      <c r="B2631" s="1" t="inlineStr">
        <is>
          <t>Cereal (Post Alpha-Bits) (Includes Alpha-Bits with marshmallow)</t>
        </is>
      </c>
      <c r="C2631" s="1" t="n">
        <v>1</v>
      </c>
      <c r="D2631" s="1" t="inlineStr">
        <is>
          <t>Links to FNDDS</t>
        </is>
      </c>
      <c r="E2631" s="1" t="inlineStr">
        <is>
          <t>Base</t>
        </is>
      </c>
      <c r="F2631" s="1" t="n">
        <v>0.79845</v>
      </c>
    </row>
    <row r="2632" ht="15.75" customHeight="1" s="201">
      <c r="A2632" s="1" t="n">
        <v>57104000</v>
      </c>
      <c r="B2632" s="1" t="inlineStr">
        <is>
          <t>Cereal (Kellogg's Apple Jacks)</t>
        </is>
      </c>
      <c r="C2632" s="1" t="n">
        <v>1</v>
      </c>
      <c r="D2632" s="1" t="inlineStr">
        <is>
          <t>Links to FNDDS</t>
        </is>
      </c>
      <c r="E2632" s="1" t="inlineStr">
        <is>
          <t>Base</t>
        </is>
      </c>
      <c r="F2632" s="1" t="n">
        <v>0.724265</v>
      </c>
    </row>
    <row r="2633" ht="15.75" customHeight="1" s="201">
      <c r="A2633" s="1" t="n">
        <v>57106050</v>
      </c>
      <c r="B2633" s="1" t="inlineStr">
        <is>
          <t>Cereal (Post Great Grains Banana Nut Crunch)</t>
        </is>
      </c>
      <c r="C2633" s="1" t="n">
        <v>2</v>
      </c>
      <c r="D2633" s="1" t="inlineStr">
        <is>
          <t>Links to altEC</t>
        </is>
      </c>
      <c r="E2633" s="1" t="inlineStr">
        <is>
          <t>Base</t>
        </is>
      </c>
      <c r="F2633" s="1" t="n">
        <v>0.827992</v>
      </c>
    </row>
    <row r="2634" ht="15.75" customHeight="1" s="201">
      <c r="A2634" s="1" t="n">
        <v>57106260</v>
      </c>
      <c r="B2634" s="1" t="inlineStr">
        <is>
          <t>Cereal (General Mills Cheerios Berry Burst) (Includes all flavors; Triple Berry)</t>
        </is>
      </c>
      <c r="C2634" s="1" t="n">
        <v>1</v>
      </c>
      <c r="D2634" s="1" t="inlineStr">
        <is>
          <t>Links to FNDDS</t>
        </is>
      </c>
      <c r="E2634" s="1" t="inlineStr">
        <is>
          <t>Base</t>
        </is>
      </c>
      <c r="F2634" s="1" t="n">
        <v>0.768682</v>
      </c>
    </row>
    <row r="2635" ht="15.75" customHeight="1" s="201">
      <c r="A2635" s="1" t="n">
        <v>57117000</v>
      </c>
      <c r="B2635" s="1" t="inlineStr">
        <is>
          <t>Cereal (Quaker Cap'n Crunch)</t>
        </is>
      </c>
      <c r="C2635" s="1" t="n">
        <v>1</v>
      </c>
      <c r="D2635" s="1" t="inlineStr">
        <is>
          <t>Links to FNDDS</t>
        </is>
      </c>
      <c r="E2635" s="1" t="inlineStr">
        <is>
          <t>Base</t>
        </is>
      </c>
      <c r="F2635" s="1" t="n">
        <v>0.560351</v>
      </c>
    </row>
    <row r="2636" ht="15.75" customHeight="1" s="201">
      <c r="A2636" s="1" t="n">
        <v>57119000</v>
      </c>
      <c r="B2636" s="1" t="inlineStr">
        <is>
          <t>Cereal (Quaker Cap'n Crunch's Crunchberries)</t>
        </is>
      </c>
      <c r="C2636" s="1" t="n">
        <v>1</v>
      </c>
      <c r="D2636" s="1" t="inlineStr">
        <is>
          <t>Links to FNDDS</t>
        </is>
      </c>
      <c r="E2636" s="1" t="inlineStr">
        <is>
          <t>Base</t>
        </is>
      </c>
      <c r="F2636" s="1" t="n">
        <v>0.589634</v>
      </c>
    </row>
    <row r="2637" ht="15.75" customHeight="1" s="201">
      <c r="A2637" s="1" t="n">
        <v>57120000</v>
      </c>
      <c r="B2637" s="1" t="inlineStr">
        <is>
          <t>Cereal (Quaker Cap'n Crunch's Peanut Butter Crunch)</t>
        </is>
      </c>
      <c r="C2637" s="1" t="n">
        <v>1</v>
      </c>
      <c r="D2637" s="1" t="inlineStr">
        <is>
          <t>Links to FNDDS</t>
        </is>
      </c>
      <c r="E2637" s="1" t="inlineStr">
        <is>
          <t>Base</t>
        </is>
      </c>
      <c r="F2637" s="1" t="n">
        <v>0.625936</v>
      </c>
    </row>
    <row r="2638" ht="15.75" customHeight="1" s="201">
      <c r="A2638" s="1" t="n">
        <v>57123000</v>
      </c>
      <c r="B2638" s="1" t="inlineStr">
        <is>
          <t>Cereal (General Mills Cheerios)</t>
        </is>
      </c>
      <c r="C2638" s="1" t="n">
        <v>1</v>
      </c>
      <c r="D2638" s="1" t="inlineStr">
        <is>
          <t>Links to FNDDS</t>
        </is>
      </c>
      <c r="E2638" s="1" t="inlineStr">
        <is>
          <t>Base</t>
        </is>
      </c>
      <c r="F2638" s="1" t="n">
        <v>0.755575</v>
      </c>
    </row>
    <row r="2639" ht="15.75" customHeight="1" s="201">
      <c r="A2639" s="1" t="n">
        <v>57124050</v>
      </c>
      <c r="B2639" s="1" t="inlineStr">
        <is>
          <t>Cereal (General Mills Chex Cinnamon)</t>
        </is>
      </c>
      <c r="C2639" s="1" t="n">
        <v>1</v>
      </c>
      <c r="D2639" s="1" t="inlineStr">
        <is>
          <t>Links to FNDDS</t>
        </is>
      </c>
      <c r="E2639" s="1" t="inlineStr">
        <is>
          <t>Base</t>
        </is>
      </c>
      <c r="F2639" s="1" t="n">
        <v>0.8812489999999999</v>
      </c>
    </row>
    <row r="2640" ht="15.75" customHeight="1" s="201">
      <c r="A2640" s="1" t="n">
        <v>57124200</v>
      </c>
      <c r="B2640" s="1" t="inlineStr">
        <is>
          <t>Cereal, chocolate flavored, frosted, puffed corn (Includes store brands; Cocoa Comets)</t>
        </is>
      </c>
      <c r="C2640" s="1" t="n">
        <v>1</v>
      </c>
      <c r="D2640" s="1" t="inlineStr">
        <is>
          <t>Links to FNDDS</t>
        </is>
      </c>
      <c r="E2640" s="1" t="inlineStr">
        <is>
          <t>Base</t>
        </is>
      </c>
      <c r="F2640" s="1" t="n">
        <v>0.650474</v>
      </c>
    </row>
    <row r="2641" ht="15.75" customHeight="1" s="201">
      <c r="A2641" s="1" t="n">
        <v>57125000</v>
      </c>
      <c r="B2641" s="1" t="inlineStr">
        <is>
          <t>Cereal (General Mills Cinnamon Toast Crunch) (Includes French Toast Crunch)</t>
        </is>
      </c>
      <c r="C2641" s="1" t="n">
        <v>1</v>
      </c>
      <c r="D2641" s="1" t="inlineStr">
        <is>
          <t>Links to FNDDS</t>
        </is>
      </c>
      <c r="E2641" s="1" t="inlineStr">
        <is>
          <t>Base</t>
        </is>
      </c>
      <c r="F2641" s="1" t="n">
        <v>0.676973</v>
      </c>
    </row>
    <row r="2642" ht="15.75" customHeight="1" s="201">
      <c r="A2642" s="1" t="n">
        <v>57125010</v>
      </c>
      <c r="B2642" s="1" t="inlineStr">
        <is>
          <t>Cereal (General Mills 25% Less Sugar Cinnamon Toast Crunch) (Includes reduced sugar)</t>
        </is>
      </c>
      <c r="C2642" s="1" t="n">
        <v>1</v>
      </c>
      <c r="D2642" s="1" t="inlineStr">
        <is>
          <t>Links to FNDDS</t>
        </is>
      </c>
      <c r="E2642" s="1" t="inlineStr">
        <is>
          <t>Base</t>
        </is>
      </c>
      <c r="F2642" s="1" t="n">
        <v>1.228155</v>
      </c>
    </row>
    <row r="2643" ht="15.75" customHeight="1" s="201">
      <c r="A2643" s="1" t="n">
        <v>57126000</v>
      </c>
      <c r="B2643" s="1" t="inlineStr">
        <is>
          <t>Cereal (Kellogg's Cocoa Krispies)</t>
        </is>
      </c>
      <c r="C2643" s="1" t="n">
        <v>1</v>
      </c>
      <c r="D2643" s="1" t="inlineStr">
        <is>
          <t>Links to FNDDS</t>
        </is>
      </c>
      <c r="E2643" s="1" t="inlineStr">
        <is>
          <t>Base</t>
        </is>
      </c>
      <c r="F2643" s="1" t="n">
        <v>0.667818</v>
      </c>
    </row>
    <row r="2644" ht="15.75" customHeight="1" s="201">
      <c r="A2644" s="1" t="n">
        <v>57127000</v>
      </c>
      <c r="B2644" s="1" t="inlineStr">
        <is>
          <t>Cereal (Post Cocoa Pebbles)</t>
        </is>
      </c>
      <c r="C2644" s="1" t="n">
        <v>1</v>
      </c>
      <c r="D2644" s="1" t="inlineStr">
        <is>
          <t>Links to FNDDS</t>
        </is>
      </c>
      <c r="E2644" s="1" t="inlineStr">
        <is>
          <t>Base</t>
        </is>
      </c>
      <c r="F2644" s="1" t="n">
        <v>0.667555</v>
      </c>
    </row>
    <row r="2645" ht="15.75" customHeight="1" s="201">
      <c r="A2645" s="1" t="n">
        <v>57128000</v>
      </c>
      <c r="B2645" s="1" t="inlineStr">
        <is>
          <t>Cereal (General Mills Cocoa Puffs)</t>
        </is>
      </c>
      <c r="C2645" s="1" t="n">
        <v>1</v>
      </c>
      <c r="D2645" s="1" t="inlineStr">
        <is>
          <t>Links to FNDDS</t>
        </is>
      </c>
      <c r="E2645" s="1" t="inlineStr">
        <is>
          <t>Base</t>
        </is>
      </c>
      <c r="F2645" s="1" t="n">
        <v>0.6664369999999999</v>
      </c>
    </row>
    <row r="2646" ht="15.75" customHeight="1" s="201">
      <c r="A2646" s="1" t="n">
        <v>57130000</v>
      </c>
      <c r="B2646" s="1" t="inlineStr">
        <is>
          <t>Cereal (General Mills Cookie Crisp) (Includes all flavors)</t>
        </is>
      </c>
      <c r="C2646" s="1" t="n">
        <v>1</v>
      </c>
      <c r="D2646" s="1" t="inlineStr">
        <is>
          <t>Links to FNDDS</t>
        </is>
      </c>
      <c r="E2646" s="1" t="inlineStr">
        <is>
          <t>Base</t>
        </is>
      </c>
      <c r="F2646" s="1" t="n">
        <v>0.690133</v>
      </c>
    </row>
    <row r="2647" ht="15.75" customHeight="1" s="201">
      <c r="A2647" s="1" t="n">
        <v>57134000</v>
      </c>
      <c r="B2647" s="1" t="inlineStr">
        <is>
          <t>Cereal, corn flakes (Includes store brands; NFS)</t>
        </is>
      </c>
      <c r="C2647" s="1" t="n">
        <v>2</v>
      </c>
      <c r="D2647" s="1" t="inlineStr">
        <is>
          <t>Links to altEC</t>
        </is>
      </c>
      <c r="E2647" s="1" t="inlineStr">
        <is>
          <t>Base</t>
        </is>
      </c>
      <c r="F2647" s="1" t="n">
        <v>0.623314</v>
      </c>
    </row>
    <row r="2648" ht="15.75" customHeight="1" s="201">
      <c r="A2648" s="1" t="n">
        <v>57135000</v>
      </c>
      <c r="B2648" s="1" t="inlineStr">
        <is>
          <t>Cereal (Kellogg's Corn Flakes)</t>
        </is>
      </c>
      <c r="C2648" s="1" t="n">
        <v>1</v>
      </c>
      <c r="D2648" s="1" t="inlineStr">
        <is>
          <t>Links to FNDDS</t>
        </is>
      </c>
      <c r="E2648" s="1" t="inlineStr">
        <is>
          <t>Base</t>
        </is>
      </c>
      <c r="F2648" s="1" t="n">
        <v>0.623314</v>
      </c>
    </row>
    <row r="2649" ht="15.75" customHeight="1" s="201">
      <c r="A2649" s="1" t="n">
        <v>57137000</v>
      </c>
      <c r="B2649" s="1" t="inlineStr">
        <is>
          <t>Cereal, corn puffs</t>
        </is>
      </c>
      <c r="C2649" s="1" t="n">
        <v>2</v>
      </c>
      <c r="D2649" s="1" t="inlineStr">
        <is>
          <t>Links to altEC</t>
        </is>
      </c>
      <c r="E2649" s="1" t="inlineStr">
        <is>
          <t>Base</t>
        </is>
      </c>
      <c r="F2649" s="1" t="n">
        <v>0.866744</v>
      </c>
    </row>
    <row r="2650" ht="15.75" customHeight="1" s="201">
      <c r="A2650" s="1" t="n">
        <v>57143000</v>
      </c>
      <c r="B2650" s="1" t="inlineStr">
        <is>
          <t>Cereal (Kellogg's Cracklin' Oat Bran)</t>
        </is>
      </c>
      <c r="C2650" s="1" t="n">
        <v>1</v>
      </c>
      <c r="D2650" s="1" t="inlineStr">
        <is>
          <t>Links to FNDDS</t>
        </is>
      </c>
      <c r="E2650" s="1" t="inlineStr">
        <is>
          <t>Base</t>
        </is>
      </c>
      <c r="F2650" s="1" t="n">
        <v>0.8890940000000001</v>
      </c>
    </row>
    <row r="2651" ht="15.75" customHeight="1" s="201">
      <c r="A2651" s="1" t="n">
        <v>57143500</v>
      </c>
      <c r="B2651" s="1" t="inlineStr">
        <is>
          <t>Cereal (Post Great Grains, Cranberry Almond Crunch)</t>
        </is>
      </c>
      <c r="C2651" s="1" t="n">
        <v>1</v>
      </c>
      <c r="D2651" s="1" t="inlineStr">
        <is>
          <t>Links to FNDDS</t>
        </is>
      </c>
      <c r="E2651" s="1" t="inlineStr">
        <is>
          <t>Base</t>
        </is>
      </c>
      <c r="F2651" s="1" t="n">
        <v>0.827992</v>
      </c>
    </row>
    <row r="2652" ht="15.75" customHeight="1" s="201">
      <c r="A2652" s="1" t="n">
        <v>57148000</v>
      </c>
      <c r="B2652" s="1" t="inlineStr">
        <is>
          <t>Cereal (Kellogg's Crispix)</t>
        </is>
      </c>
      <c r="C2652" s="1" t="n">
        <v>1</v>
      </c>
      <c r="D2652" s="1" t="inlineStr">
        <is>
          <t>Links to FNDDS</t>
        </is>
      </c>
      <c r="E2652" s="1" t="inlineStr">
        <is>
          <t>Base</t>
        </is>
      </c>
      <c r="F2652" s="1" t="n">
        <v>0.937412</v>
      </c>
    </row>
    <row r="2653" ht="15.75" customHeight="1" s="201">
      <c r="A2653" s="1" t="n">
        <v>57206700</v>
      </c>
      <c r="B2653" s="1" t="inlineStr">
        <is>
          <t>Cereal (General Mills Fiber One)</t>
        </is>
      </c>
      <c r="C2653" s="1" t="n">
        <v>1</v>
      </c>
      <c r="D2653" s="1" t="inlineStr">
        <is>
          <t>Links to FNDDS</t>
        </is>
      </c>
      <c r="E2653" s="1" t="inlineStr">
        <is>
          <t>Base</t>
        </is>
      </c>
      <c r="F2653" s="1" t="n">
        <v>0.879744</v>
      </c>
    </row>
    <row r="2654" ht="15.75" customHeight="1" s="201">
      <c r="A2654" s="1" t="n">
        <v>57206715</v>
      </c>
      <c r="B2654" s="1" t="inlineStr">
        <is>
          <t>Cereal (General Mills Fiber One Raisin Bran Clusters)</t>
        </is>
      </c>
      <c r="C2654" s="1" t="n">
        <v>2</v>
      </c>
      <c r="D2654" s="1" t="inlineStr">
        <is>
          <t>Links to altEC</t>
        </is>
      </c>
      <c r="E2654" s="1" t="inlineStr">
        <is>
          <t>Base</t>
        </is>
      </c>
      <c r="F2654" s="1" t="n">
        <v>1.009071</v>
      </c>
    </row>
    <row r="2655" ht="15.75" customHeight="1" s="201">
      <c r="A2655" s="1" t="n">
        <v>57207000</v>
      </c>
      <c r="B2655" s="1" t="inlineStr">
        <is>
          <t>Cereal, bran flakes (Includes store brands; NFS)</t>
        </is>
      </c>
      <c r="C2655" s="1" t="n">
        <v>1</v>
      </c>
      <c r="D2655" s="1" t="inlineStr">
        <is>
          <t>Links to FNDDS</t>
        </is>
      </c>
      <c r="E2655" s="1" t="inlineStr">
        <is>
          <t>Base</t>
        </is>
      </c>
      <c r="F2655" s="1" t="n">
        <v>0.482207</v>
      </c>
    </row>
    <row r="2656" ht="15.75" customHeight="1" s="201">
      <c r="A2656" s="1" t="n">
        <v>57208000</v>
      </c>
      <c r="B2656" s="1" t="inlineStr">
        <is>
          <t>Cereal (Kellogg's All-Bran Complete Wheat Flakes)</t>
        </is>
      </c>
      <c r="C2656" s="1" t="n">
        <v>1</v>
      </c>
      <c r="D2656" s="1" t="inlineStr">
        <is>
          <t>Links to FNDDS</t>
        </is>
      </c>
      <c r="E2656" s="1" t="inlineStr">
        <is>
          <t>Base</t>
        </is>
      </c>
      <c r="F2656" s="1" t="n">
        <v>0.843843</v>
      </c>
    </row>
    <row r="2657" ht="15.75" customHeight="1" s="201">
      <c r="A2657" s="1" t="n">
        <v>57213000</v>
      </c>
      <c r="B2657" s="1" t="inlineStr">
        <is>
          <t>Cereal (Kellogg's Froot Loops)</t>
        </is>
      </c>
      <c r="C2657" s="1" t="n">
        <v>1</v>
      </c>
      <c r="D2657" s="1" t="inlineStr">
        <is>
          <t>Links to FNDDS</t>
        </is>
      </c>
      <c r="E2657" s="1" t="inlineStr">
        <is>
          <t>Base</t>
        </is>
      </c>
      <c r="F2657" s="1" t="n">
        <v>0.724208</v>
      </c>
    </row>
    <row r="2658" ht="15.75" customHeight="1" s="201">
      <c r="A2658" s="1" t="n">
        <v>57213010</v>
      </c>
      <c r="B2658" s="1" t="inlineStr">
        <is>
          <t>Cereal (Kellogg's Froot Loops Marshmallow)</t>
        </is>
      </c>
      <c r="C2658" s="1" t="n">
        <v>1</v>
      </c>
      <c r="D2658" s="1" t="inlineStr">
        <is>
          <t>Links to FNDDS</t>
        </is>
      </c>
      <c r="E2658" s="1" t="inlineStr">
        <is>
          <t>Base</t>
        </is>
      </c>
      <c r="F2658" s="1" t="n">
        <v>1.23975</v>
      </c>
    </row>
    <row r="2659" ht="15.75" customHeight="1" s="201">
      <c r="A2659" s="1" t="n">
        <v>57213850</v>
      </c>
      <c r="B2659" s="1" t="inlineStr">
        <is>
          <t>Cereal (General Mills Cheerios Frosted)</t>
        </is>
      </c>
      <c r="C2659" s="1" t="n">
        <v>2</v>
      </c>
      <c r="D2659" s="1" t="inlineStr">
        <is>
          <t>Links to altEC</t>
        </is>
      </c>
      <c r="E2659" s="1" t="inlineStr">
        <is>
          <t>Base</t>
        </is>
      </c>
      <c r="F2659" s="1" t="n">
        <v>0.681873</v>
      </c>
    </row>
    <row r="2660" ht="15.75" customHeight="1" s="201">
      <c r="A2660" s="1" t="n">
        <v>57214000</v>
      </c>
      <c r="B2660" s="1" t="inlineStr">
        <is>
          <t>Cereal (Kellogg's Frosted Mini-Wheats) (Includes all flavors; frosted wheat bites)</t>
        </is>
      </c>
      <c r="C2660" s="1" t="n">
        <v>1</v>
      </c>
      <c r="D2660" s="1" t="inlineStr">
        <is>
          <t>Links to FNDDS</t>
        </is>
      </c>
      <c r="E2660" s="1" t="inlineStr">
        <is>
          <t>Base</t>
        </is>
      </c>
      <c r="F2660" s="1" t="n">
        <v>0.576763</v>
      </c>
    </row>
    <row r="2661" ht="15.75" customHeight="1" s="201">
      <c r="A2661" s="1" t="n">
        <v>57221700</v>
      </c>
      <c r="B2661" s="1" t="inlineStr">
        <is>
          <t>Cereal, fruit rings (Includes store brands; Frosted Fruit Rings; NFS)</t>
        </is>
      </c>
      <c r="C2661" s="1" t="n">
        <v>1</v>
      </c>
      <c r="D2661" s="1" t="inlineStr">
        <is>
          <t>Links to FNDDS</t>
        </is>
      </c>
      <c r="E2661" s="1" t="inlineStr">
        <is>
          <t>Base</t>
        </is>
      </c>
      <c r="F2661" s="1" t="n">
        <v>0.397504</v>
      </c>
    </row>
    <row r="2662" ht="15.75" customHeight="1" s="201">
      <c r="A2662" s="1" t="n">
        <v>57221810</v>
      </c>
      <c r="B2662" s="1" t="inlineStr">
        <is>
          <t>Cereal (General Mills Cheerios Fruity) (Includes Very Berry Cheerios)</t>
        </is>
      </c>
      <c r="C2662" s="1" t="n">
        <v>1</v>
      </c>
      <c r="D2662" s="1" t="inlineStr">
        <is>
          <t>Links to FNDDS</t>
        </is>
      </c>
      <c r="E2662" s="1" t="inlineStr">
        <is>
          <t>Base</t>
        </is>
      </c>
      <c r="F2662" s="1" t="n">
        <v>0.61972</v>
      </c>
    </row>
    <row r="2663" ht="15.75" customHeight="1" s="201">
      <c r="A2663" s="1" t="n">
        <v>57223000</v>
      </c>
      <c r="B2663" s="1" t="inlineStr">
        <is>
          <t>Cereal (Post Fruity Pebbles)</t>
        </is>
      </c>
      <c r="C2663" s="1" t="n">
        <v>1</v>
      </c>
      <c r="D2663" s="1" t="inlineStr">
        <is>
          <t>Links to FNDDS</t>
        </is>
      </c>
      <c r="E2663" s="1" t="inlineStr">
        <is>
          <t>Base</t>
        </is>
      </c>
      <c r="F2663" s="1" t="n">
        <v>0.6415419999999999</v>
      </c>
    </row>
    <row r="2664" ht="15.75" customHeight="1" s="201">
      <c r="A2664" s="1" t="n">
        <v>57227000</v>
      </c>
      <c r="B2664" s="1" t="inlineStr">
        <is>
          <t>Cereal, granola (Includes store brands; NFS)</t>
        </is>
      </c>
      <c r="C2664" s="1" t="n">
        <v>1</v>
      </c>
      <c r="D2664" s="1" t="inlineStr">
        <is>
          <t>Links to FNDDS</t>
        </is>
      </c>
      <c r="E2664" s="1" t="inlineStr">
        <is>
          <t>Base</t>
        </is>
      </c>
      <c r="F2664" s="1" t="n">
        <v>1.009722</v>
      </c>
    </row>
    <row r="2665" ht="15.75" customHeight="1" s="201">
      <c r="A2665" s="1" t="n">
        <v>57228000</v>
      </c>
      <c r="B2665" s="1" t="inlineStr">
        <is>
          <t>Granola, homemade</t>
        </is>
      </c>
      <c r="C2665" s="1" t="n">
        <v>2</v>
      </c>
      <c r="D2665" s="1" t="inlineStr">
        <is>
          <t>Links to altEC</t>
        </is>
      </c>
      <c r="E2665" s="1" t="inlineStr">
        <is>
          <t>Base</t>
        </is>
      </c>
      <c r="F2665" s="1" t="n">
        <v>1.009722</v>
      </c>
    </row>
    <row r="2666" ht="15.75" customHeight="1" s="201">
      <c r="A2666" s="1" t="n">
        <v>57229000</v>
      </c>
      <c r="B2666" s="1" t="inlineStr">
        <is>
          <t>Cereal (Kellogg's Low Fat Granola)</t>
        </is>
      </c>
      <c r="C2666" s="1" t="n">
        <v>2</v>
      </c>
      <c r="D2666" s="1" t="inlineStr">
        <is>
          <t>Links to altEC</t>
        </is>
      </c>
      <c r="E2666" s="1" t="inlineStr">
        <is>
          <t>Base</t>
        </is>
      </c>
      <c r="F2666" s="1" t="n">
        <v>0.686831</v>
      </c>
    </row>
    <row r="2667" ht="15.75" customHeight="1" s="201">
      <c r="A2667" s="1" t="n">
        <v>57237100</v>
      </c>
      <c r="B2667" s="1" t="inlineStr">
        <is>
          <t>Cereal (Post Honey Bunches of Oats Honey Roasted) (Includes Honey Bunches of Oats with Real Strawberries; Honey Bunches of Oats with Cinnamon Bunches; Honey Bunches of Oats with Chocolate Bunches; Honey Bunches of Oats with Real Peaches)</t>
        </is>
      </c>
      <c r="C2667" s="1" t="n">
        <v>1</v>
      </c>
      <c r="D2667" s="1" t="inlineStr">
        <is>
          <t>Links to FNDDS</t>
        </is>
      </c>
      <c r="E2667" s="1" t="inlineStr">
        <is>
          <t>Base</t>
        </is>
      </c>
      <c r="F2667" s="1" t="n">
        <v>0.623858</v>
      </c>
    </row>
    <row r="2668" ht="15.75" customHeight="1" s="201">
      <c r="A2668" s="1" t="n">
        <v>57237200</v>
      </c>
      <c r="B2668" s="1" t="inlineStr">
        <is>
          <t>Cereal (Post Honey Bunches of Oats with Vanilla Bunches) (Includes with multi-grain flakes; vanilla clusters)</t>
        </is>
      </c>
      <c r="C2668" s="1" t="n">
        <v>1</v>
      </c>
      <c r="D2668" s="1" t="inlineStr">
        <is>
          <t>Links to FNDDS</t>
        </is>
      </c>
      <c r="E2668" s="1" t="inlineStr">
        <is>
          <t>Base</t>
        </is>
      </c>
      <c r="F2668" s="1" t="n">
        <v>0.599773</v>
      </c>
    </row>
    <row r="2669" ht="15.75" customHeight="1" s="201">
      <c r="A2669" s="1" t="n">
        <v>57237300</v>
      </c>
      <c r="B2669" s="1" t="inlineStr">
        <is>
          <t>Cereal (Post Honey Bunches of Oats with Almonds)</t>
        </is>
      </c>
      <c r="C2669" s="1" t="n">
        <v>2</v>
      </c>
      <c r="D2669" s="1" t="inlineStr">
        <is>
          <t>Links to altEC</t>
        </is>
      </c>
      <c r="E2669" s="1" t="inlineStr">
        <is>
          <t>Base</t>
        </is>
      </c>
      <c r="F2669" s="1" t="n">
        <v>0.599773</v>
      </c>
    </row>
    <row r="2670" ht="15.75" customHeight="1" s="201">
      <c r="A2670" s="1" t="n">
        <v>57238000</v>
      </c>
      <c r="B2670" s="1" t="inlineStr">
        <is>
          <t>Cereal (Post Honeycomb) (Includes strawberry Honeycomb)</t>
        </is>
      </c>
      <c r="C2670" s="1" t="n">
        <v>1</v>
      </c>
      <c r="D2670" s="1" t="inlineStr">
        <is>
          <t>Links to FNDDS</t>
        </is>
      </c>
      <c r="E2670" s="1" t="inlineStr">
        <is>
          <t>Base</t>
        </is>
      </c>
      <c r="F2670" s="1" t="n">
        <v>0.66362</v>
      </c>
    </row>
    <row r="2671" ht="15.75" customHeight="1" s="201">
      <c r="A2671" s="1" t="n">
        <v>57241000</v>
      </c>
      <c r="B2671" s="1" t="inlineStr">
        <is>
          <t>Cereal (General Mills Cheerios Honey Nut)</t>
        </is>
      </c>
      <c r="C2671" s="1" t="n">
        <v>1</v>
      </c>
      <c r="D2671" s="1" t="inlineStr">
        <is>
          <t>Links to FNDDS</t>
        </is>
      </c>
      <c r="E2671" s="1" t="inlineStr">
        <is>
          <t>Base</t>
        </is>
      </c>
      <c r="F2671" s="1" t="n">
        <v>0.6764289999999999</v>
      </c>
    </row>
    <row r="2672" ht="15.75" customHeight="1" s="201">
      <c r="A2672" s="1" t="n">
        <v>57243000</v>
      </c>
      <c r="B2672" s="1" t="inlineStr">
        <is>
          <t>Cereal (Kellogg's Honey Smacks)</t>
        </is>
      </c>
      <c r="C2672" s="1" t="n">
        <v>1</v>
      </c>
      <c r="D2672" s="1" t="inlineStr">
        <is>
          <t>Links to FNDDS</t>
        </is>
      </c>
      <c r="E2672" s="1" t="inlineStr">
        <is>
          <t>Base</t>
        </is>
      </c>
      <c r="F2672" s="1" t="n">
        <v>0.679512</v>
      </c>
    </row>
    <row r="2673" ht="15.75" customHeight="1" s="201">
      <c r="A2673" s="1" t="n">
        <v>57301500</v>
      </c>
      <c r="B2673" s="1" t="inlineStr">
        <is>
          <t>Cereal (Kashi 7 Whole Grain Puffs) (Includes flakes; nuggets; Kashi, NS as to ready to eat or cooked)</t>
        </is>
      </c>
      <c r="C2673" s="1" t="n">
        <v>1</v>
      </c>
      <c r="D2673" s="1" t="inlineStr">
        <is>
          <t>Links to FNDDS</t>
        </is>
      </c>
      <c r="E2673" s="1" t="inlineStr">
        <is>
          <t>Base</t>
        </is>
      </c>
      <c r="F2673" s="1" t="n">
        <v>1.189181</v>
      </c>
    </row>
    <row r="2674" ht="15.75" customHeight="1" s="201">
      <c r="A2674" s="1" t="n">
        <v>57301505</v>
      </c>
      <c r="B2674" s="1" t="inlineStr">
        <is>
          <t>Cereal (Kashi Autumn Wheat) (Includes Kashi Cinnamon Harvest; Organic Promise)</t>
        </is>
      </c>
      <c r="C2674" s="1" t="n">
        <v>1</v>
      </c>
      <c r="D2674" s="1" t="inlineStr">
        <is>
          <t>Links to FNDDS</t>
        </is>
      </c>
      <c r="E2674" s="1" t="inlineStr">
        <is>
          <t>Base</t>
        </is>
      </c>
      <c r="F2674" s="1" t="n">
        <v>0.757148</v>
      </c>
    </row>
    <row r="2675" ht="15.75" customHeight="1" s="201">
      <c r="A2675" s="1" t="n">
        <v>57301511</v>
      </c>
      <c r="B2675" s="1" t="inlineStr">
        <is>
          <t>Cereal (Kashi GOLEAN Crunch)</t>
        </is>
      </c>
      <c r="C2675" s="1" t="n">
        <v>1</v>
      </c>
      <c r="D2675" s="1" t="inlineStr">
        <is>
          <t>Links to FNDDS</t>
        </is>
      </c>
      <c r="E2675" s="1" t="inlineStr">
        <is>
          <t>Base</t>
        </is>
      </c>
      <c r="F2675" s="1" t="n">
        <v>0.79603</v>
      </c>
    </row>
    <row r="2676" ht="15.75" customHeight="1" s="201">
      <c r="A2676" s="1" t="n">
        <v>57301512</v>
      </c>
      <c r="B2676" s="1" t="inlineStr">
        <is>
          <t>Cereal (Kashi GOLEAN Crunch Honey Almond Flax)</t>
        </is>
      </c>
      <c r="C2676" s="1" t="n">
        <v>2</v>
      </c>
      <c r="D2676" s="1" t="inlineStr">
        <is>
          <t>Links to altEC</t>
        </is>
      </c>
      <c r="E2676" s="1" t="inlineStr">
        <is>
          <t>Base</t>
        </is>
      </c>
      <c r="F2676" s="1" t="n">
        <v>0.79603</v>
      </c>
    </row>
    <row r="2677" ht="15.75" customHeight="1" s="201">
      <c r="A2677" s="1" t="n">
        <v>57301530</v>
      </c>
      <c r="B2677" s="1" t="inlineStr">
        <is>
          <t>Cereal (Kashi Heart to Heart Honey Toasted Oat) (Includes Kashi Heart to Heart Warm Cinnamon)</t>
        </is>
      </c>
      <c r="C2677" s="1" t="n">
        <v>1</v>
      </c>
      <c r="D2677" s="1" t="inlineStr">
        <is>
          <t>Links to FNDDS</t>
        </is>
      </c>
      <c r="E2677" s="1" t="inlineStr">
        <is>
          <t>Base</t>
        </is>
      </c>
      <c r="F2677" s="1" t="n">
        <v>0.906183</v>
      </c>
    </row>
    <row r="2678" ht="15.75" customHeight="1" s="201">
      <c r="A2678" s="1" t="n">
        <v>57303100</v>
      </c>
      <c r="B2678" s="1" t="inlineStr">
        <is>
          <t>Cereal (General Mills Kix)</t>
        </is>
      </c>
      <c r="C2678" s="1" t="n">
        <v>1</v>
      </c>
      <c r="D2678" s="1" t="inlineStr">
        <is>
          <t>Links to FNDDS</t>
        </is>
      </c>
      <c r="E2678" s="1" t="inlineStr">
        <is>
          <t>Base</t>
        </is>
      </c>
      <c r="F2678" s="1" t="n">
        <v>0.866744</v>
      </c>
    </row>
    <row r="2679" ht="15.75" customHeight="1" s="201">
      <c r="A2679" s="1" t="n">
        <v>57303105</v>
      </c>
      <c r="B2679" s="1" t="inlineStr">
        <is>
          <t>Cereal (General Mills Honey Kix)</t>
        </is>
      </c>
      <c r="C2679" s="1" t="n">
        <v>1</v>
      </c>
      <c r="D2679" s="1" t="inlineStr">
        <is>
          <t>Links to FNDDS</t>
        </is>
      </c>
      <c r="E2679" s="1" t="inlineStr">
        <is>
          <t>Base</t>
        </is>
      </c>
      <c r="F2679" s="1" t="n">
        <v>0.943871</v>
      </c>
    </row>
    <row r="2680" ht="15.75" customHeight="1" s="201">
      <c r="A2680" s="1" t="n">
        <v>57303200</v>
      </c>
      <c r="B2680" s="1" t="inlineStr">
        <is>
          <t>Cereal (Kellogg's Krave)</t>
        </is>
      </c>
      <c r="C2680" s="1" t="n">
        <v>1</v>
      </c>
      <c r="D2680" s="1" t="inlineStr">
        <is>
          <t>Links to FNDDS</t>
        </is>
      </c>
      <c r="E2680" s="1" t="inlineStr">
        <is>
          <t>Base</t>
        </is>
      </c>
      <c r="F2680" s="1" t="n">
        <v>0.825364</v>
      </c>
    </row>
    <row r="2681" ht="15.75" customHeight="1" s="201">
      <c r="A2681" s="1" t="n">
        <v>57304100</v>
      </c>
      <c r="B2681" s="1" t="inlineStr">
        <is>
          <t>Cereal (Quaker Life) (Includes plain; cinnamon)</t>
        </is>
      </c>
      <c r="C2681" s="1" t="n">
        <v>1</v>
      </c>
      <c r="D2681" s="1" t="inlineStr">
        <is>
          <t>Links to FNDDS</t>
        </is>
      </c>
      <c r="E2681" s="1" t="inlineStr">
        <is>
          <t>Base</t>
        </is>
      </c>
      <c r="F2681" s="1" t="n">
        <v>0.61472</v>
      </c>
    </row>
    <row r="2682" ht="15.75" customHeight="1" s="201">
      <c r="A2682" s="1" t="n">
        <v>57305100</v>
      </c>
      <c r="B2682" s="1" t="inlineStr">
        <is>
          <t>Cereal (General Mills Lucky Charms)</t>
        </is>
      </c>
      <c r="C2682" s="1" t="n">
        <v>1</v>
      </c>
      <c r="D2682" s="1" t="inlineStr">
        <is>
          <t>Links to FNDDS</t>
        </is>
      </c>
      <c r="E2682" s="1" t="inlineStr">
        <is>
          <t>Base</t>
        </is>
      </c>
      <c r="F2682" s="1" t="n">
        <v>0.71716</v>
      </c>
    </row>
    <row r="2683" ht="15.75" customHeight="1" s="201">
      <c r="A2683" s="1" t="n">
        <v>57305150</v>
      </c>
      <c r="B2683" s="1" t="inlineStr">
        <is>
          <t>Cereal, frosted oat cereal with marshmallows (Includes Magic Stars; store brands)</t>
        </is>
      </c>
      <c r="C2683" s="1" t="n">
        <v>2</v>
      </c>
      <c r="D2683" s="1" t="inlineStr">
        <is>
          <t>Links to altEC</t>
        </is>
      </c>
      <c r="E2683" s="1" t="inlineStr">
        <is>
          <t>Base</t>
        </is>
      </c>
      <c r="F2683" s="1" t="n">
        <v>0.54413</v>
      </c>
    </row>
    <row r="2684" ht="15.75" customHeight="1" s="201">
      <c r="A2684" s="1" t="n">
        <v>57305165</v>
      </c>
      <c r="B2684" s="1" t="inlineStr">
        <is>
          <t>Cereal (Malt-O-Meal Cinnamon Toasters)</t>
        </is>
      </c>
      <c r="C2684" s="1" t="n">
        <v>1</v>
      </c>
      <c r="D2684" s="1" t="inlineStr">
        <is>
          <t>Links to FNDDS</t>
        </is>
      </c>
      <c r="E2684" s="1" t="inlineStr">
        <is>
          <t>Base</t>
        </is>
      </c>
      <c r="F2684" s="1" t="n">
        <v>0.51733</v>
      </c>
    </row>
    <row r="2685" ht="15.75" customHeight="1" s="201">
      <c r="A2685" s="1" t="n">
        <v>57305170</v>
      </c>
      <c r="B2685" s="1" t="inlineStr">
        <is>
          <t>Cereal (Malt-O-Meal Coco-Roos)</t>
        </is>
      </c>
      <c r="C2685" s="1" t="n">
        <v>1</v>
      </c>
      <c r="D2685" s="1" t="inlineStr">
        <is>
          <t>Links to FNDDS</t>
        </is>
      </c>
      <c r="E2685" s="1" t="inlineStr">
        <is>
          <t>Base</t>
        </is>
      </c>
      <c r="F2685" s="1" t="n">
        <v>0.548484</v>
      </c>
    </row>
    <row r="2686" ht="15.75" customHeight="1" s="201">
      <c r="A2686" s="1" t="n">
        <v>57305174</v>
      </c>
      <c r="B2686" s="1" t="inlineStr">
        <is>
          <t>Cereal (Malt-O-Meal Colossal Crunch) (Includes Malt-O-Meal Berry Colossal Crunch)</t>
        </is>
      </c>
      <c r="C2686" s="1" t="n">
        <v>1</v>
      </c>
      <c r="D2686" s="1" t="inlineStr">
        <is>
          <t>Links to FNDDS</t>
        </is>
      </c>
      <c r="E2686" s="1" t="inlineStr">
        <is>
          <t>Base</t>
        </is>
      </c>
      <c r="F2686" s="1" t="n">
        <v>0.464291</v>
      </c>
    </row>
    <row r="2687" ht="15.75" customHeight="1" s="201">
      <c r="A2687" s="1" t="n">
        <v>57305175</v>
      </c>
      <c r="B2687" s="1" t="inlineStr">
        <is>
          <t>Cereal (Malt-O-Meal Cocoa Dyno-Bites)</t>
        </is>
      </c>
      <c r="C2687" s="1" t="n">
        <v>1</v>
      </c>
      <c r="D2687" s="1" t="inlineStr">
        <is>
          <t>Links to FNDDS</t>
        </is>
      </c>
      <c r="E2687" s="1" t="inlineStr">
        <is>
          <t>Base</t>
        </is>
      </c>
      <c r="F2687" s="1" t="n">
        <v>0.520443</v>
      </c>
    </row>
    <row r="2688" ht="15.75" customHeight="1" s="201">
      <c r="A2688" s="1" t="n">
        <v>57305210</v>
      </c>
      <c r="B2688" s="1" t="inlineStr">
        <is>
          <t>Cereal (Malt-O-Meal Frosted Flakes)</t>
        </is>
      </c>
      <c r="C2688" s="1" t="n">
        <v>1</v>
      </c>
      <c r="D2688" s="1" t="inlineStr">
        <is>
          <t>Links to FNDDS</t>
        </is>
      </c>
      <c r="E2688" s="1" t="inlineStr">
        <is>
          <t>Base</t>
        </is>
      </c>
      <c r="F2688" s="1" t="n">
        <v>0.440977</v>
      </c>
    </row>
    <row r="2689" ht="15.75" customHeight="1" s="201">
      <c r="A2689" s="1" t="n">
        <v>57305300</v>
      </c>
      <c r="B2689" s="1" t="inlineStr">
        <is>
          <t>Cereal (Malt-O-Meal Fruity Dyno-Bites)</t>
        </is>
      </c>
      <c r="C2689" s="1" t="n">
        <v>1</v>
      </c>
      <c r="D2689" s="1" t="inlineStr">
        <is>
          <t>Links to FNDDS</t>
        </is>
      </c>
      <c r="E2689" s="1" t="inlineStr">
        <is>
          <t>Base</t>
        </is>
      </c>
      <c r="F2689" s="1" t="n">
        <v>0.51995</v>
      </c>
    </row>
    <row r="2690" ht="15.75" customHeight="1" s="201">
      <c r="A2690" s="1" t="n">
        <v>57305400</v>
      </c>
      <c r="B2690" s="1" t="inlineStr">
        <is>
          <t>Cereal (Malt-O-Meal Honey Graham Squares)</t>
        </is>
      </c>
      <c r="C2690" s="1" t="n">
        <v>1</v>
      </c>
      <c r="D2690" s="1" t="inlineStr">
        <is>
          <t>Links to FNDDS</t>
        </is>
      </c>
      <c r="E2690" s="1" t="inlineStr">
        <is>
          <t>Base</t>
        </is>
      </c>
      <c r="F2690" s="1" t="n">
        <v>0.609345</v>
      </c>
    </row>
    <row r="2691" ht="15.75" customHeight="1" s="201">
      <c r="A2691" s="1" t="n">
        <v>57305600</v>
      </c>
      <c r="B2691" s="1" t="inlineStr">
        <is>
          <t>Cereal (Malt-O-Meal Marshmallow Mateys)</t>
        </is>
      </c>
      <c r="C2691" s="1" t="n">
        <v>1</v>
      </c>
      <c r="D2691" s="1" t="inlineStr">
        <is>
          <t>Links to FNDDS</t>
        </is>
      </c>
      <c r="E2691" s="1" t="inlineStr">
        <is>
          <t>Base</t>
        </is>
      </c>
      <c r="F2691" s="1" t="n">
        <v>0.54413</v>
      </c>
    </row>
    <row r="2692" ht="15.75" customHeight="1" s="201">
      <c r="A2692" s="1" t="n">
        <v>57306500</v>
      </c>
      <c r="B2692" s="1" t="inlineStr">
        <is>
          <t>Cereal (Malt-O-Meal Golden Puffs)</t>
        </is>
      </c>
      <c r="C2692" s="1" t="n">
        <v>1</v>
      </c>
      <c r="D2692" s="1" t="inlineStr">
        <is>
          <t>Links to FNDDS</t>
        </is>
      </c>
      <c r="E2692" s="1" t="inlineStr">
        <is>
          <t>Base</t>
        </is>
      </c>
      <c r="F2692" s="1" t="n">
        <v>0.473597</v>
      </c>
    </row>
    <row r="2693" ht="15.75" customHeight="1" s="201">
      <c r="A2693" s="1" t="n">
        <v>57306800</v>
      </c>
      <c r="B2693" s="1" t="inlineStr">
        <is>
          <t>Cereal (Malt-O-Meal Tootie Fruities)</t>
        </is>
      </c>
      <c r="C2693" s="1" t="n">
        <v>1</v>
      </c>
      <c r="D2693" s="1" t="inlineStr">
        <is>
          <t>Links to FNDDS</t>
        </is>
      </c>
      <c r="E2693" s="1" t="inlineStr">
        <is>
          <t>Base</t>
        </is>
      </c>
      <c r="F2693" s="1" t="n">
        <v>0.533625</v>
      </c>
    </row>
    <row r="2694" ht="15.75" customHeight="1" s="201">
      <c r="A2694" s="1" t="n">
        <v>57308190</v>
      </c>
      <c r="B2694" s="1" t="inlineStr">
        <is>
          <t>Cereal, muesli (Includes with fruits and nuts; mueslix)</t>
        </is>
      </c>
      <c r="C2694" s="1" t="n">
        <v>1</v>
      </c>
      <c r="D2694" s="1" t="inlineStr">
        <is>
          <t>Links to FNDDS</t>
        </is>
      </c>
      <c r="E2694" s="1" t="inlineStr">
        <is>
          <t>Base</t>
        </is>
      </c>
      <c r="F2694" s="1" t="n">
        <v>0.801797</v>
      </c>
    </row>
    <row r="2695" ht="15.75" customHeight="1" s="201">
      <c r="A2695" s="1" t="n">
        <v>57308400</v>
      </c>
      <c r="B2695" s="1" t="inlineStr">
        <is>
          <t>Cereal (General Mills Cheerios Multigrain)</t>
        </is>
      </c>
      <c r="C2695" s="1" t="n">
        <v>1</v>
      </c>
      <c r="D2695" s="1" t="inlineStr">
        <is>
          <t>Links to FNDDS</t>
        </is>
      </c>
      <c r="E2695" s="1" t="inlineStr">
        <is>
          <t>Base</t>
        </is>
      </c>
      <c r="F2695" s="1" t="n">
        <v>0.856413</v>
      </c>
    </row>
    <row r="2696" ht="15.75" customHeight="1" s="201">
      <c r="A2696" s="1" t="n">
        <v>57309100</v>
      </c>
      <c r="B2696" s="1" t="inlineStr">
        <is>
          <t>Cereal (Nature Valley Granola) (Includes with fruit and nuts; low fat)</t>
        </is>
      </c>
      <c r="C2696" s="1" t="n">
        <v>2</v>
      </c>
      <c r="D2696" s="1" t="inlineStr">
        <is>
          <t>Links to altEC</t>
        </is>
      </c>
      <c r="E2696" s="1" t="inlineStr">
        <is>
          <t>Base</t>
        </is>
      </c>
      <c r="F2696" s="1" t="n">
        <v>1.009722</v>
      </c>
    </row>
    <row r="2697" ht="15.75" customHeight="1" s="201">
      <c r="A2697" s="1" t="n">
        <v>57316385</v>
      </c>
      <c r="B2697" s="1" t="inlineStr">
        <is>
          <t>Cereal (General Mills Cheerios Protein) (Includes all flavors)</t>
        </is>
      </c>
      <c r="C2697" s="1" t="n">
        <v>1</v>
      </c>
      <c r="D2697" s="1" t="inlineStr">
        <is>
          <t>Links to FNDDS</t>
        </is>
      </c>
      <c r="E2697" s="1" t="inlineStr">
        <is>
          <t>Base</t>
        </is>
      </c>
      <c r="F2697" s="1" t="n">
        <v>0.804791</v>
      </c>
    </row>
    <row r="2698" ht="15.75" customHeight="1" s="201">
      <c r="A2698" s="1" t="n">
        <v>57316450</v>
      </c>
      <c r="B2698" s="1" t="inlineStr">
        <is>
          <t>Cereal (General Mills Oatmeal Crisp with Almonds)</t>
        </is>
      </c>
      <c r="C2698" s="1" t="n">
        <v>1</v>
      </c>
      <c r="D2698" s="1" t="inlineStr">
        <is>
          <t>Links to FNDDS</t>
        </is>
      </c>
      <c r="E2698" s="1" t="inlineStr">
        <is>
          <t>Base</t>
        </is>
      </c>
      <c r="F2698" s="1" t="n">
        <v>0.817154</v>
      </c>
    </row>
    <row r="2699" ht="15.75" customHeight="1" s="201">
      <c r="A2699" s="1" t="n">
        <v>57316710</v>
      </c>
      <c r="B2699" s="1" t="inlineStr">
        <is>
          <t>Cereal (Quaker Honey Graham Oh's)</t>
        </is>
      </c>
      <c r="C2699" s="1" t="n">
        <v>1</v>
      </c>
      <c r="D2699" s="1" t="inlineStr">
        <is>
          <t>Links to FNDDS</t>
        </is>
      </c>
      <c r="E2699" s="1" t="inlineStr">
        <is>
          <t>Base</t>
        </is>
      </c>
      <c r="F2699" s="1" t="n">
        <v>0.775954</v>
      </c>
    </row>
    <row r="2700" ht="15.75" customHeight="1" s="201">
      <c r="A2700" s="1" t="n">
        <v>57327500</v>
      </c>
      <c r="B2700" s="1" t="inlineStr">
        <is>
          <t>Cereal (Quaker Oatmeal Squares)</t>
        </is>
      </c>
      <c r="C2700" s="1" t="n">
        <v>1</v>
      </c>
      <c r="D2700" s="1" t="inlineStr">
        <is>
          <t>Links to FNDDS</t>
        </is>
      </c>
      <c r="E2700" s="1" t="inlineStr">
        <is>
          <t>Base</t>
        </is>
      </c>
      <c r="F2700" s="1" t="n">
        <v>0.725162</v>
      </c>
    </row>
    <row r="2701" ht="15.75" customHeight="1" s="201">
      <c r="A2701" s="1" t="n">
        <v>57329000</v>
      </c>
      <c r="B2701" s="1" t="inlineStr">
        <is>
          <t>Cereal, raisin bran (Includes store brands; NFS)</t>
        </is>
      </c>
      <c r="C2701" s="1" t="n">
        <v>1</v>
      </c>
      <c r="D2701" s="1" t="inlineStr">
        <is>
          <t>Links to FNDDS</t>
        </is>
      </c>
      <c r="E2701" s="1" t="inlineStr">
        <is>
          <t>Base</t>
        </is>
      </c>
      <c r="F2701" s="1" t="n">
        <v>0.586297</v>
      </c>
    </row>
    <row r="2702" ht="15.75" customHeight="1" s="201">
      <c r="A2702" s="1" t="n">
        <v>57330000</v>
      </c>
      <c r="B2702" s="1" t="inlineStr">
        <is>
          <t>Cereal (Kellogg's Raisin Bran)</t>
        </is>
      </c>
      <c r="C2702" s="1" t="n">
        <v>1</v>
      </c>
      <c r="D2702" s="1" t="inlineStr">
        <is>
          <t>Links to FNDDS</t>
        </is>
      </c>
      <c r="E2702" s="1" t="inlineStr">
        <is>
          <t>Base</t>
        </is>
      </c>
      <c r="F2702" s="1" t="n">
        <v>0.524177</v>
      </c>
    </row>
    <row r="2703" ht="15.75" customHeight="1" s="201">
      <c r="A2703" s="1" t="n">
        <v>57330010</v>
      </c>
      <c r="B2703" s="1" t="inlineStr">
        <is>
          <t>Cereal (Kellogg's Raisin Bran Crunch)</t>
        </is>
      </c>
      <c r="C2703" s="1" t="n">
        <v>1</v>
      </c>
      <c r="D2703" s="1" t="inlineStr">
        <is>
          <t>Links to FNDDS</t>
        </is>
      </c>
      <c r="E2703" s="1" t="inlineStr">
        <is>
          <t>Base</t>
        </is>
      </c>
      <c r="F2703" s="1" t="n">
        <v>0.5914</v>
      </c>
    </row>
    <row r="2704" ht="15.75" customHeight="1" s="201">
      <c r="A2704" s="1" t="n">
        <v>57331000</v>
      </c>
      <c r="B2704" s="1" t="inlineStr">
        <is>
          <t>Cereal (Post Raisin Bran)</t>
        </is>
      </c>
      <c r="C2704" s="1" t="n">
        <v>1</v>
      </c>
      <c r="D2704" s="1" t="inlineStr">
        <is>
          <t>Links to FNDDS</t>
        </is>
      </c>
      <c r="E2704" s="1" t="inlineStr">
        <is>
          <t>Base</t>
        </is>
      </c>
      <c r="F2704" s="1" t="n">
        <v>0.485567</v>
      </c>
    </row>
    <row r="2705" ht="15.75" customHeight="1" s="201">
      <c r="A2705" s="1" t="n">
        <v>57332100</v>
      </c>
      <c r="B2705" s="1" t="inlineStr">
        <is>
          <t>Cereal (General Mills Raisin Nut Bran)</t>
        </is>
      </c>
      <c r="C2705" s="1" t="n">
        <v>1</v>
      </c>
      <c r="D2705" s="1" t="inlineStr">
        <is>
          <t>Links to FNDDS</t>
        </is>
      </c>
      <c r="E2705" s="1" t="inlineStr">
        <is>
          <t>Base</t>
        </is>
      </c>
      <c r="F2705" s="1" t="n">
        <v>0.813387</v>
      </c>
    </row>
    <row r="2706" ht="15.75" customHeight="1" s="201">
      <c r="A2706" s="1" t="n">
        <v>57335550</v>
      </c>
      <c r="B2706" s="1" t="inlineStr">
        <is>
          <t>Cereal (General Mills Reese's Puffs) (Includes Reese's Peanut Butter Puffs)</t>
        </is>
      </c>
      <c r="C2706" s="1" t="n">
        <v>1</v>
      </c>
      <c r="D2706" s="1" t="inlineStr">
        <is>
          <t>Links to FNDDS</t>
        </is>
      </c>
      <c r="E2706" s="1" t="inlineStr">
        <is>
          <t>Base</t>
        </is>
      </c>
      <c r="F2706" s="1" t="n">
        <v>0.64569</v>
      </c>
    </row>
    <row r="2707" ht="15.75" customHeight="1" s="201">
      <c r="A2707" s="1" t="n">
        <v>57336000</v>
      </c>
      <c r="B2707" s="1" t="inlineStr">
        <is>
          <t>Cereal (General Mills Chex Rice) (Includes Chex, NFS)</t>
        </is>
      </c>
      <c r="C2707" s="1" t="n">
        <v>1</v>
      </c>
      <c r="D2707" s="1" t="inlineStr">
        <is>
          <t>Links to FNDDS</t>
        </is>
      </c>
      <c r="E2707" s="1" t="inlineStr">
        <is>
          <t>Base</t>
        </is>
      </c>
      <c r="F2707" s="1" t="n">
        <v>0.82781</v>
      </c>
    </row>
    <row r="2708" ht="15.75" customHeight="1" s="201">
      <c r="A2708" s="1" t="n">
        <v>57337000</v>
      </c>
      <c r="B2708" s="1" t="inlineStr">
        <is>
          <t>Cereal, rice flakes (Includes store brands; NFS)</t>
        </is>
      </c>
      <c r="C2708" s="1" t="n">
        <v>1</v>
      </c>
      <c r="D2708" s="1" t="inlineStr">
        <is>
          <t>Links to FNDDS</t>
        </is>
      </c>
      <c r="E2708" s="1" t="inlineStr">
        <is>
          <t>Base</t>
        </is>
      </c>
      <c r="F2708" s="1" t="n">
        <v>0.416582</v>
      </c>
    </row>
    <row r="2709" ht="15.75" customHeight="1" s="201">
      <c r="A2709" s="1" t="n">
        <v>57339000</v>
      </c>
      <c r="B2709" s="1" t="inlineStr">
        <is>
          <t>Cereal (Kellogg's Rice Krispies)</t>
        </is>
      </c>
      <c r="C2709" s="1" t="n">
        <v>1</v>
      </c>
      <c r="D2709" s="1" t="inlineStr">
        <is>
          <t>Links to FNDDS</t>
        </is>
      </c>
      <c r="E2709" s="1" t="inlineStr">
        <is>
          <t>Base</t>
        </is>
      </c>
      <c r="F2709" s="1" t="n">
        <v>0.786786</v>
      </c>
    </row>
    <row r="2710" ht="15.75" customHeight="1" s="201">
      <c r="A2710" s="1" t="n">
        <v>57339500</v>
      </c>
      <c r="B2710" s="1" t="inlineStr">
        <is>
          <t>Cereal (Kellogg's Rice Krispies Treats Cereal)</t>
        </is>
      </c>
      <c r="C2710" s="1" t="n">
        <v>1</v>
      </c>
      <c r="D2710" s="1" t="inlineStr">
        <is>
          <t>Links to FNDDS</t>
        </is>
      </c>
      <c r="E2710" s="1" t="inlineStr">
        <is>
          <t>Base</t>
        </is>
      </c>
      <c r="F2710" s="1" t="n">
        <v>0.822786</v>
      </c>
    </row>
    <row r="2711" ht="15.75" customHeight="1" s="201">
      <c r="A2711" s="1" t="n">
        <v>57340000</v>
      </c>
      <c r="B2711" s="1" t="inlineStr">
        <is>
          <t>Cereal, puffed rice (Includes all brands)</t>
        </is>
      </c>
      <c r="C2711" s="1" t="n">
        <v>1</v>
      </c>
      <c r="D2711" s="1" t="inlineStr">
        <is>
          <t>Links to FNDDS</t>
        </is>
      </c>
      <c r="E2711" s="1" t="inlineStr">
        <is>
          <t>Base</t>
        </is>
      </c>
      <c r="F2711" s="1" t="n">
        <v>1.573289</v>
      </c>
    </row>
    <row r="2712" ht="15.75" customHeight="1" s="201">
      <c r="A2712" s="1" t="n">
        <v>57341300</v>
      </c>
      <c r="B2712" s="1" t="inlineStr">
        <is>
          <t>Cereal (Kellogg's Smorz)</t>
        </is>
      </c>
      <c r="C2712" s="1" t="n">
        <v>1</v>
      </c>
      <c r="D2712" s="1" t="inlineStr">
        <is>
          <t>Links to FNDDS</t>
        </is>
      </c>
      <c r="E2712" s="1" t="inlineStr">
        <is>
          <t>Base</t>
        </is>
      </c>
      <c r="F2712" s="1" t="n">
        <v>1.089237</v>
      </c>
    </row>
    <row r="2713" ht="15.75" customHeight="1" s="201">
      <c r="A2713" s="1" t="n">
        <v>57344000</v>
      </c>
      <c r="B2713" s="1" t="inlineStr">
        <is>
          <t>Cereal (Kellogg's Special K)</t>
        </is>
      </c>
      <c r="C2713" s="1" t="n">
        <v>1</v>
      </c>
      <c r="D2713" s="1" t="inlineStr">
        <is>
          <t>Links to FNDDS</t>
        </is>
      </c>
      <c r="E2713" s="1" t="inlineStr">
        <is>
          <t>Base</t>
        </is>
      </c>
      <c r="F2713" s="1" t="n">
        <v>0.800496</v>
      </c>
    </row>
    <row r="2714" ht="15.75" customHeight="1" s="201">
      <c r="A2714" s="1" t="n">
        <v>57344005</v>
      </c>
      <c r="B2714" s="1" t="inlineStr">
        <is>
          <t>Cereal (Kellogg's Special K Chocolatey Delight)</t>
        </is>
      </c>
      <c r="C2714" s="1" t="n">
        <v>1</v>
      </c>
      <c r="D2714" s="1" t="inlineStr">
        <is>
          <t>Links to FNDDS</t>
        </is>
      </c>
      <c r="E2714" s="1" t="inlineStr">
        <is>
          <t>Base</t>
        </is>
      </c>
      <c r="F2714" s="1" t="n">
        <v>0.774625</v>
      </c>
    </row>
    <row r="2715" ht="15.75" customHeight="1" s="201">
      <c r="A2715" s="1" t="n">
        <v>57344010</v>
      </c>
      <c r="B2715" s="1" t="inlineStr">
        <is>
          <t>Cereal (Kellogg's Special K Red Berries)</t>
        </is>
      </c>
      <c r="C2715" s="1" t="n">
        <v>1</v>
      </c>
      <c r="D2715" s="1" t="inlineStr">
        <is>
          <t>Links to FNDDS</t>
        </is>
      </c>
      <c r="E2715" s="1" t="inlineStr">
        <is>
          <t>Base</t>
        </is>
      </c>
      <c r="F2715" s="1" t="n">
        <v>0.8625930000000001</v>
      </c>
    </row>
    <row r="2716" ht="15.75" customHeight="1" s="201">
      <c r="A2716" s="1" t="n">
        <v>57344025</v>
      </c>
      <c r="B2716" s="1" t="inlineStr">
        <is>
          <t>Cereal (Kellogg's Special K Cinnamon Pecan)</t>
        </is>
      </c>
      <c r="C2716" s="1" t="n">
        <v>1</v>
      </c>
      <c r="D2716" s="1" t="inlineStr">
        <is>
          <t>Links to FNDDS</t>
        </is>
      </c>
      <c r="E2716" s="1" t="inlineStr">
        <is>
          <t>Base</t>
        </is>
      </c>
      <c r="F2716" s="1" t="n">
        <v>0.793461</v>
      </c>
    </row>
    <row r="2717" ht="15.75" customHeight="1" s="201">
      <c r="A2717" s="1" t="n">
        <v>57347000</v>
      </c>
      <c r="B2717" s="1" t="inlineStr">
        <is>
          <t>Cereal (Kellogg's Corn Pops)</t>
        </is>
      </c>
      <c r="C2717" s="1" t="n">
        <v>1</v>
      </c>
      <c r="D2717" s="1" t="inlineStr">
        <is>
          <t>Links to FNDDS</t>
        </is>
      </c>
      <c r="E2717" s="1" t="inlineStr">
        <is>
          <t>Base</t>
        </is>
      </c>
      <c r="F2717" s="1" t="n">
        <v>0.75278</v>
      </c>
    </row>
    <row r="2718" ht="15.75" customHeight="1" s="201">
      <c r="A2718" s="1" t="n">
        <v>57348000</v>
      </c>
      <c r="B2718" s="1" t="inlineStr">
        <is>
          <t>Cereal, frosted corn flakes (Includes store brands; NFS)</t>
        </is>
      </c>
      <c r="C2718" s="1" t="n">
        <v>1</v>
      </c>
      <c r="D2718" s="1" t="inlineStr">
        <is>
          <t>Links to FNDDS</t>
        </is>
      </c>
      <c r="E2718" s="1" t="inlineStr">
        <is>
          <t>Base</t>
        </is>
      </c>
      <c r="F2718" s="1" t="n">
        <v>0.388996</v>
      </c>
    </row>
    <row r="2719" ht="15.75" customHeight="1" s="201">
      <c r="A2719" s="1" t="n">
        <v>57349000</v>
      </c>
      <c r="B2719" s="1" t="inlineStr">
        <is>
          <t>Cereal (Kellogg's Frosted Flakes) (Includes Kellogg's Zucaritas; all flavors; with marshmallows)</t>
        </is>
      </c>
      <c r="C2719" s="1" t="n">
        <v>1</v>
      </c>
      <c r="D2719" s="1" t="inlineStr">
        <is>
          <t>Links to FNDDS</t>
        </is>
      </c>
      <c r="E2719" s="1" t="inlineStr">
        <is>
          <t>Base</t>
        </is>
      </c>
      <c r="F2719" s="1" t="n">
        <v>0.591923</v>
      </c>
    </row>
    <row r="2720" ht="15.75" customHeight="1" s="201">
      <c r="A2720" s="1" t="n">
        <v>57355000</v>
      </c>
      <c r="B2720" s="1" t="inlineStr">
        <is>
          <t>Cereal (Post Golden Crisp)</t>
        </is>
      </c>
      <c r="C2720" s="1" t="n">
        <v>1</v>
      </c>
      <c r="D2720" s="1" t="inlineStr">
        <is>
          <t>Links to FNDDS</t>
        </is>
      </c>
      <c r="E2720" s="1" t="inlineStr">
        <is>
          <t>Base</t>
        </is>
      </c>
      <c r="F2720" s="1" t="n">
        <v>0.598681</v>
      </c>
    </row>
    <row r="2721" ht="15.75" customHeight="1" s="201">
      <c r="A2721" s="1" t="n">
        <v>57401100</v>
      </c>
      <c r="B2721" s="1" t="inlineStr">
        <is>
          <t>Cereal, toasted oat (Includes Tasteeos; store brands)</t>
        </is>
      </c>
      <c r="C2721" s="1" t="n">
        <v>1</v>
      </c>
      <c r="D2721" s="1" t="inlineStr">
        <is>
          <t>Links to FNDDS</t>
        </is>
      </c>
      <c r="E2721" s="1" t="inlineStr">
        <is>
          <t>Base</t>
        </is>
      </c>
      <c r="F2721" s="1" t="n">
        <v>0.510873</v>
      </c>
    </row>
    <row r="2722" ht="15.75" customHeight="1" s="201">
      <c r="A2722" s="1" t="n">
        <v>57407100</v>
      </c>
      <c r="B2722" s="1" t="inlineStr">
        <is>
          <t>Cereal (General Mills Trix)</t>
        </is>
      </c>
      <c r="C2722" s="1" t="n">
        <v>1</v>
      </c>
      <c r="D2722" s="1" t="inlineStr">
        <is>
          <t>Links to FNDDS</t>
        </is>
      </c>
      <c r="E2722" s="1" t="inlineStr">
        <is>
          <t>Base</t>
        </is>
      </c>
      <c r="F2722" s="1" t="n">
        <v>0.79256</v>
      </c>
    </row>
    <row r="2723" ht="15.75" customHeight="1" s="201">
      <c r="A2723" s="1" t="n">
        <v>57411000</v>
      </c>
      <c r="B2723" s="1" t="inlineStr">
        <is>
          <t>Cereal (General Mills Chex Wheat)</t>
        </is>
      </c>
      <c r="C2723" s="1" t="n">
        <v>1</v>
      </c>
      <c r="D2723" s="1" t="inlineStr">
        <is>
          <t>Links to FNDDS</t>
        </is>
      </c>
      <c r="E2723" s="1" t="inlineStr">
        <is>
          <t>Base</t>
        </is>
      </c>
      <c r="F2723" s="1" t="n">
        <v>0.744391</v>
      </c>
    </row>
    <row r="2724" ht="15.75" customHeight="1" s="201">
      <c r="A2724" s="1" t="n">
        <v>57412000</v>
      </c>
      <c r="B2724" s="1" t="inlineStr">
        <is>
          <t>Wheat germ, plain</t>
        </is>
      </c>
      <c r="C2724" s="1" t="n">
        <v>1</v>
      </c>
      <c r="D2724" s="1" t="inlineStr">
        <is>
          <t>Links to FNDDS</t>
        </is>
      </c>
      <c r="E2724" s="1" t="inlineStr">
        <is>
          <t>Base</t>
        </is>
      </c>
      <c r="F2724" s="1" t="n">
        <v>1.297135</v>
      </c>
    </row>
    <row r="2725" ht="15.75" customHeight="1" s="201">
      <c r="A2725" s="1" t="n">
        <v>57416000</v>
      </c>
      <c r="B2725" s="1" t="inlineStr">
        <is>
          <t>Cereal, puffed wheat, plain (Includes all brands)</t>
        </is>
      </c>
      <c r="C2725" s="1" t="n">
        <v>1</v>
      </c>
      <c r="D2725" s="1" t="inlineStr">
        <is>
          <t>Links to FNDDS</t>
        </is>
      </c>
      <c r="E2725" s="1" t="inlineStr">
        <is>
          <t>Base</t>
        </is>
      </c>
      <c r="F2725" s="1" t="n">
        <v>1.946129</v>
      </c>
    </row>
    <row r="2726" ht="15.75" customHeight="1" s="201">
      <c r="A2726" s="1" t="n">
        <v>57416010</v>
      </c>
      <c r="B2726" s="1" t="inlineStr">
        <is>
          <t>Cereal, puffed wheat, sweetened (Includes store brands)</t>
        </is>
      </c>
      <c r="C2726" s="1" t="n">
        <v>2</v>
      </c>
      <c r="D2726" s="1" t="inlineStr">
        <is>
          <t>Links to altEC</t>
        </is>
      </c>
      <c r="E2726" s="1" t="inlineStr">
        <is>
          <t>Base</t>
        </is>
      </c>
      <c r="F2726" s="1" t="n">
        <v>0.679512</v>
      </c>
    </row>
    <row r="2727" ht="15.75" customHeight="1" s="201">
      <c r="A2727" s="1" t="n">
        <v>57417000</v>
      </c>
      <c r="B2727" s="1" t="inlineStr">
        <is>
          <t>Cereal (Post Shredded Wheat) (Includes spoon size shredded wheat)</t>
        </is>
      </c>
      <c r="C2727" s="1" t="n">
        <v>1</v>
      </c>
      <c r="D2727" s="1" t="inlineStr">
        <is>
          <t>Links to FNDDS</t>
        </is>
      </c>
      <c r="E2727" s="1" t="inlineStr">
        <is>
          <t>Base</t>
        </is>
      </c>
      <c r="F2727" s="1" t="n">
        <v>0.565677</v>
      </c>
    </row>
    <row r="2728" ht="15.75" customHeight="1" s="201">
      <c r="A2728" s="1" t="n">
        <v>57418000</v>
      </c>
      <c r="B2728" s="1" t="inlineStr">
        <is>
          <t>Cereal (General Mills Wheaties)</t>
        </is>
      </c>
      <c r="C2728" s="1" t="n">
        <v>1</v>
      </c>
      <c r="D2728" s="1" t="inlineStr">
        <is>
          <t>Links to FNDDS</t>
        </is>
      </c>
      <c r="E2728" s="1" t="inlineStr">
        <is>
          <t>Base</t>
        </is>
      </c>
      <c r="F2728" s="1" t="n">
        <v>0.950491</v>
      </c>
    </row>
    <row r="2729" ht="15.75" customHeight="1" s="201">
      <c r="A2729" s="1" t="n">
        <v>57601100</v>
      </c>
      <c r="B2729" s="1" t="inlineStr">
        <is>
          <t>Wheat bran, unprocessed (Includes miller's bran)</t>
        </is>
      </c>
      <c r="C2729" s="1" t="n">
        <v>1</v>
      </c>
      <c r="D2729" s="1" t="inlineStr">
        <is>
          <t>Links to FNDDS</t>
        </is>
      </c>
      <c r="E2729" s="1" t="inlineStr">
        <is>
          <t>Base</t>
        </is>
      </c>
      <c r="F2729" s="1" t="n">
        <v>0.5749339999999999</v>
      </c>
    </row>
    <row r="2730" ht="15.75" customHeight="1" s="201">
      <c r="A2730" s="1" t="n">
        <v>57602100</v>
      </c>
      <c r="B2730" s="1" t="inlineStr">
        <is>
          <t>Oats, raw</t>
        </is>
      </c>
      <c r="C2730" s="1" t="n">
        <v>1</v>
      </c>
      <c r="D2730" s="1" t="inlineStr">
        <is>
          <t>Links to FNDDS</t>
        </is>
      </c>
      <c r="E2730" s="1" t="inlineStr">
        <is>
          <t>Base</t>
        </is>
      </c>
      <c r="F2730" s="1" t="n">
        <v>0.433131</v>
      </c>
    </row>
    <row r="2731" ht="15.75" customHeight="1" s="201">
      <c r="A2731" s="1" t="n">
        <v>57602500</v>
      </c>
      <c r="B2731" s="1" t="inlineStr">
        <is>
          <t>Oat bran, uncooked</t>
        </is>
      </c>
      <c r="C2731" s="1" t="n">
        <v>1</v>
      </c>
      <c r="D2731" s="1" t="inlineStr">
        <is>
          <t>Links to FNDDS</t>
        </is>
      </c>
      <c r="E2731" s="1" t="inlineStr">
        <is>
          <t>Base</t>
        </is>
      </c>
      <c r="F2731" s="1" t="n">
        <v>0.632903</v>
      </c>
    </row>
    <row r="2732" ht="15.75" customHeight="1" s="201">
      <c r="A2732" s="1" t="n">
        <v>57803000</v>
      </c>
      <c r="B2732" s="1" t="inlineStr">
        <is>
          <t>Mixed cereal, baby food, dry, instant (Includes baby cereal, NFS; Gerber; Earth's Best; Beech-Nut Stage 2)</t>
        </is>
      </c>
      <c r="C2732" s="1" t="n">
        <v>2</v>
      </c>
      <c r="D2732" s="1" t="inlineStr">
        <is>
          <t>Links to altEC</t>
        </is>
      </c>
      <c r="E2732" s="1" t="inlineStr">
        <is>
          <t>Base</t>
        </is>
      </c>
      <c r="F2732" s="1" t="n">
        <v>1.080216</v>
      </c>
    </row>
    <row r="2733" ht="15.75" customHeight="1" s="201">
      <c r="A2733" s="1" t="n">
        <v>57804000</v>
      </c>
      <c r="B2733" s="1" t="inlineStr">
        <is>
          <t>Oatmeal cereal, baby food, dry, instant (Includes Beech-Nut Stage 1; Gerber First Foods)</t>
        </is>
      </c>
      <c r="C2733" s="1" t="n">
        <v>1</v>
      </c>
      <c r="D2733" s="1" t="inlineStr">
        <is>
          <t>Links to FNDDS</t>
        </is>
      </c>
      <c r="E2733" s="1" t="inlineStr">
        <is>
          <t>Base</t>
        </is>
      </c>
      <c r="F2733" s="1" t="n">
        <v>1.059358</v>
      </c>
    </row>
    <row r="2734" ht="15.75" customHeight="1" s="201">
      <c r="A2734" s="1" t="n">
        <v>57805000</v>
      </c>
      <c r="B2734" s="1" t="inlineStr">
        <is>
          <t>Rice cereal, baby food, dry, instant (Includes Beech-Nut Stage 1; Gerber First Foods)</t>
        </is>
      </c>
      <c r="C2734" s="1" t="n">
        <v>1</v>
      </c>
      <c r="D2734" s="1" t="inlineStr">
        <is>
          <t>Links to FNDDS</t>
        </is>
      </c>
      <c r="E2734" s="1" t="inlineStr">
        <is>
          <t>Base</t>
        </is>
      </c>
      <c r="F2734" s="1" t="n">
        <v>1.024092</v>
      </c>
    </row>
    <row r="2735" ht="15.75" customHeight="1" s="201">
      <c r="A2735" s="1" t="n">
        <v>57806050</v>
      </c>
      <c r="B2735" s="1" t="inlineStr">
        <is>
          <t>Multigrain, whole grain cereal, baby food, dry, instant (Includes Earth Best Whole Grain Multi-Grain Cereal)</t>
        </is>
      </c>
      <c r="C2735" s="1" t="n">
        <v>1</v>
      </c>
      <c r="D2735" s="1" t="inlineStr">
        <is>
          <t>Links to FNDDS</t>
        </is>
      </c>
      <c r="E2735" s="1" t="inlineStr">
        <is>
          <t>Base</t>
        </is>
      </c>
      <c r="F2735" s="1" t="n">
        <v>1.002761</v>
      </c>
    </row>
    <row r="2736" ht="15.75" customHeight="1" s="201">
      <c r="A2736" s="1" t="n">
        <v>57823000</v>
      </c>
      <c r="B2736" s="1" t="inlineStr">
        <is>
          <t>Oatmeal with applesauce and bananas, baby food, jarred (Includes Gerber Second foods; Gerber Third Foods)</t>
        </is>
      </c>
      <c r="C2736" s="1" t="n">
        <v>1</v>
      </c>
      <c r="D2736" s="1" t="inlineStr">
        <is>
          <t>Links to FNDDS</t>
        </is>
      </c>
      <c r="E2736" s="1" t="inlineStr">
        <is>
          <t>Base</t>
        </is>
      </c>
      <c r="F2736" s="1" t="n">
        <v>0.8848780000000001</v>
      </c>
    </row>
    <row r="2737" ht="15.75" customHeight="1" s="201">
      <c r="A2737" s="1" t="n">
        <v>58100000</v>
      </c>
      <c r="B2737" s="1" t="inlineStr">
        <is>
          <t>Burrito, taco, or quesadilla with egg (Includes breakfast burrito)</t>
        </is>
      </c>
      <c r="C2737" s="1" t="n">
        <v>4</v>
      </c>
      <c r="D2737" s="1" t="inlineStr">
        <is>
          <t>FNDDS recipe with replaced or modified SR codes</t>
        </is>
      </c>
      <c r="E2737" s="1" t="inlineStr">
        <is>
          <t>Base</t>
        </is>
      </c>
      <c r="F2737" s="1" t="n">
        <v>0.489494</v>
      </c>
    </row>
    <row r="2738" ht="15.75" customHeight="1" s="201">
      <c r="A2738" s="1" t="n">
        <v>58100010</v>
      </c>
      <c r="B2738" s="1" t="inlineStr">
        <is>
          <t>Burrito, taco, or quesadilla with egg and breakfast meat (Includes with bacon, beef, ham, sausage, and/or chorizo)</t>
        </is>
      </c>
      <c r="C2738" s="1" t="n">
        <v>4</v>
      </c>
      <c r="D2738" s="1" t="inlineStr">
        <is>
          <t>FNDDS recipe with replaced or modified SR codes</t>
        </is>
      </c>
      <c r="E2738" s="1" t="inlineStr">
        <is>
          <t>Base</t>
        </is>
      </c>
      <c r="F2738" s="1" t="n">
        <v>0.542817</v>
      </c>
    </row>
    <row r="2739" ht="15.75" customHeight="1" s="201">
      <c r="A2739" s="1" t="n">
        <v>58100013</v>
      </c>
      <c r="B2739" s="1" t="inlineStr">
        <is>
          <t>Burrito, taco, or quesadilla with egg and breakfast meat, from fast food (Includes McDonald's Breakfast Sausage Burrito; Chick-fil-A Sausage Breakfast Burrito; with bacon, beef, ham, sausage, and/or chorizo)</t>
        </is>
      </c>
      <c r="C2739" s="1" t="n">
        <v>2</v>
      </c>
      <c r="D2739" s="1" t="inlineStr">
        <is>
          <t>Links to altEC</t>
        </is>
      </c>
      <c r="E2739" s="1" t="inlineStr">
        <is>
          <t>Base</t>
        </is>
      </c>
      <c r="F2739" s="1" t="n">
        <v>0.891155</v>
      </c>
    </row>
    <row r="2740" ht="15.75" customHeight="1" s="201">
      <c r="A2740" s="1" t="n">
        <v>58100015</v>
      </c>
      <c r="B2740" s="1" t="inlineStr">
        <is>
          <t>Burrito, taco, or quesadilla with egg, potato, and breakfast meat (Includes with bacon, beef, ham, sausage, and/or chorizo)</t>
        </is>
      </c>
      <c r="C2740" s="1" t="n">
        <v>4</v>
      </c>
      <c r="D2740" s="1" t="inlineStr">
        <is>
          <t>FNDDS recipe with replaced or modified SR codes</t>
        </is>
      </c>
      <c r="E2740" s="1" t="inlineStr">
        <is>
          <t>Base</t>
        </is>
      </c>
      <c r="F2740" s="1" t="n">
        <v>0.52723</v>
      </c>
    </row>
    <row r="2741" ht="15.75" customHeight="1" s="201">
      <c r="A2741" s="1" t="n">
        <v>58100017</v>
      </c>
      <c r="B2741" s="1" t="inlineStr">
        <is>
          <t>Burrito, taco, or quesadilla with egg, potato, and breakfast meat, from fast food (Includes McDonald's McSkillet Burrito with Sausage; with bacon, beef, ham, sausage, and/or chorizo)</t>
        </is>
      </c>
      <c r="C2741" s="1" t="n">
        <v>4</v>
      </c>
      <c r="D2741" s="1" t="inlineStr">
        <is>
          <t>FNDDS recipe with replaced or modified SR codes</t>
        </is>
      </c>
      <c r="E2741" s="1" t="inlineStr">
        <is>
          <t>Base</t>
        </is>
      </c>
      <c r="F2741" s="1" t="n">
        <v>0.542755</v>
      </c>
    </row>
    <row r="2742" ht="15.75" customHeight="1" s="201">
      <c r="A2742" s="1" t="n">
        <v>58100020</v>
      </c>
      <c r="B2742" s="1" t="inlineStr">
        <is>
          <t>Burrito, taco, or quesadilla with egg, beans, and breakfast meat (Includes with bacon, beef, ham, sausage, and/or chorizo)</t>
        </is>
      </c>
      <c r="C2742" s="1" t="n">
        <v>4</v>
      </c>
      <c r="D2742" s="1" t="inlineStr">
        <is>
          <t>FNDDS recipe with replaced or modified SR codes</t>
        </is>
      </c>
      <c r="E2742" s="1" t="inlineStr">
        <is>
          <t>Base</t>
        </is>
      </c>
      <c r="F2742" s="1" t="n">
        <v>0.492081</v>
      </c>
    </row>
    <row r="2743" ht="15.75" customHeight="1" s="201">
      <c r="A2743" s="1" t="n">
        <v>58100100</v>
      </c>
      <c r="B2743" s="1" t="inlineStr">
        <is>
          <t>Burrito with meat (Includes with beef, steak, pork, sausage, and/or chorizo)</t>
        </is>
      </c>
      <c r="C2743" s="1" t="n">
        <v>4</v>
      </c>
      <c r="D2743" s="1" t="inlineStr">
        <is>
          <t>FNDDS recipe with replaced or modified SR codes</t>
        </is>
      </c>
      <c r="E2743" s="1" t="inlineStr">
        <is>
          <t>Base</t>
        </is>
      </c>
      <c r="F2743" s="1" t="n">
        <v>0.95848</v>
      </c>
    </row>
    <row r="2744" ht="15.75" customHeight="1" s="201">
      <c r="A2744" s="1" t="n">
        <v>58100120</v>
      </c>
      <c r="B2744" s="1" t="inlineStr">
        <is>
          <t>Burrito with meat and beans (Includes with beef, steak, pork, sausage, and/or chorizo; burrito, NFS)</t>
        </is>
      </c>
      <c r="C2744" s="1" t="n">
        <v>4</v>
      </c>
      <c r="D2744" s="1" t="inlineStr">
        <is>
          <t>FNDDS recipe with replaced or modified SR codes</t>
        </is>
      </c>
      <c r="E2744" s="1" t="inlineStr">
        <is>
          <t>Base</t>
        </is>
      </c>
      <c r="F2744" s="1" t="n">
        <v>0.72831</v>
      </c>
    </row>
    <row r="2745" ht="15.75" customHeight="1" s="201">
      <c r="A2745" s="1" t="n">
        <v>58100125</v>
      </c>
      <c r="B2745" s="1" t="inlineStr">
        <is>
          <t>Burrito with meat and beans, from fast food (Includes Taco Bell 1/2 lb Combo Burrito; with beef, steak, pork, sausage, and/or chorizo)</t>
        </is>
      </c>
      <c r="C2745" s="1" t="n">
        <v>2</v>
      </c>
      <c r="D2745" s="1" t="inlineStr">
        <is>
          <t>Links to altEC</t>
        </is>
      </c>
      <c r="E2745" s="1" t="inlineStr">
        <is>
          <t>Base</t>
        </is>
      </c>
      <c r="F2745" s="1" t="n">
        <v>0.411315</v>
      </c>
    </row>
    <row r="2746" ht="15.75" customHeight="1" s="201">
      <c r="A2746" s="1" t="n">
        <v>58100135</v>
      </c>
      <c r="B2746" s="1" t="inlineStr">
        <is>
          <t>Burrito with meat and sour cream (Includes with beef, steak, pork, sausage, and/or chorizo; Taco Bell Crunchwrap Supreme)</t>
        </is>
      </c>
      <c r="C2746" s="1" t="n">
        <v>4</v>
      </c>
      <c r="D2746" s="1" t="inlineStr">
        <is>
          <t>FNDDS recipe with replaced or modified SR codes</t>
        </is>
      </c>
      <c r="E2746" s="1" t="inlineStr">
        <is>
          <t>Base</t>
        </is>
      </c>
      <c r="F2746" s="1" t="n">
        <v>0.883815</v>
      </c>
    </row>
    <row r="2747" ht="15.75" customHeight="1" s="201">
      <c r="A2747" s="1" t="n">
        <v>58100140</v>
      </c>
      <c r="B2747" s="1" t="inlineStr">
        <is>
          <t>Burrito with meat, beans, and sour cream (Includes with beef, steak, pork, sausage, and/or chorizo)</t>
        </is>
      </c>
      <c r="C2747" s="1" t="n">
        <v>4</v>
      </c>
      <c r="D2747" s="1" t="inlineStr">
        <is>
          <t>FNDDS recipe with replaced or modified SR codes</t>
        </is>
      </c>
      <c r="E2747" s="1" t="inlineStr">
        <is>
          <t>Base</t>
        </is>
      </c>
      <c r="F2747" s="1" t="n">
        <v>0.687768</v>
      </c>
    </row>
    <row r="2748" ht="15.75" customHeight="1" s="201">
      <c r="A2748" s="1" t="n">
        <v>58100145</v>
      </c>
      <c r="B2748" s="1" t="inlineStr">
        <is>
          <t>Burrito with meat, beans, and sour cream, from fast food (Includes Taco Bell Burrito Supreme; with beef, steak, pork, sausage, and/or chorizo)</t>
        </is>
      </c>
      <c r="C2748" s="1" t="n">
        <v>4</v>
      </c>
      <c r="D2748" s="1" t="inlineStr">
        <is>
          <t>FNDDS recipe with replaced or modified SR codes</t>
        </is>
      </c>
      <c r="E2748" s="1" t="inlineStr">
        <is>
          <t>Base</t>
        </is>
      </c>
      <c r="F2748" s="1" t="n">
        <v>0.62856</v>
      </c>
    </row>
    <row r="2749" ht="15.75" customHeight="1" s="201">
      <c r="A2749" s="1" t="n">
        <v>58100160</v>
      </c>
      <c r="B2749" s="1" t="inlineStr">
        <is>
          <t>Burrito with meat, beans, and rice (Includes Taco Bell Grilled Stuft Burrito; with beef, steak, pork, sausage, and/or chorizo)</t>
        </is>
      </c>
      <c r="C2749" s="1" t="n">
        <v>4</v>
      </c>
      <c r="D2749" s="1" t="inlineStr">
        <is>
          <t>FNDDS recipe with replaced or modified SR codes</t>
        </is>
      </c>
      <c r="E2749" s="1" t="inlineStr">
        <is>
          <t>Base</t>
        </is>
      </c>
      <c r="F2749" s="1" t="n">
        <v>0.685665</v>
      </c>
    </row>
    <row r="2750" ht="15.75" customHeight="1" s="201">
      <c r="A2750" s="1" t="n">
        <v>58100165</v>
      </c>
      <c r="B2750" s="1" t="inlineStr">
        <is>
          <t>Burrito with meat, beans, rice, and sour cream (Includes with beef, steak, pork, sausage, and/or chorizo)</t>
        </is>
      </c>
      <c r="C2750" s="1" t="n">
        <v>4</v>
      </c>
      <c r="D2750" s="1" t="inlineStr">
        <is>
          <t>FNDDS recipe with replaced or modified SR codes</t>
        </is>
      </c>
      <c r="E2750" s="1" t="inlineStr">
        <is>
          <t>Base</t>
        </is>
      </c>
      <c r="F2750" s="1" t="n">
        <v>0.653027</v>
      </c>
    </row>
    <row r="2751" ht="15.75" customHeight="1" s="201">
      <c r="A2751" s="1" t="n">
        <v>58100200</v>
      </c>
      <c r="B2751" s="1" t="inlineStr">
        <is>
          <t>Burrito with chicken (Includes with turkey)</t>
        </is>
      </c>
      <c r="C2751" s="1" t="n">
        <v>4</v>
      </c>
      <c r="D2751" s="1" t="inlineStr">
        <is>
          <t>FNDDS recipe with replaced or modified SR codes</t>
        </is>
      </c>
      <c r="E2751" s="1" t="inlineStr">
        <is>
          <t>Base</t>
        </is>
      </c>
      <c r="F2751" s="1" t="n">
        <v>0.748</v>
      </c>
    </row>
    <row r="2752" ht="15.75" customHeight="1" s="201">
      <c r="A2752" s="1" t="n">
        <v>58100235</v>
      </c>
      <c r="B2752" s="1" t="inlineStr">
        <is>
          <t>Burrito with chicken and sour cream (Includes with turkey)</t>
        </is>
      </c>
      <c r="C2752" s="1" t="n">
        <v>4</v>
      </c>
      <c r="D2752" s="1" t="inlineStr">
        <is>
          <t>FNDDS recipe with replaced or modified SR codes</t>
        </is>
      </c>
      <c r="E2752" s="1" t="inlineStr">
        <is>
          <t>Base</t>
        </is>
      </c>
      <c r="F2752" s="1" t="n">
        <v>0.696272</v>
      </c>
    </row>
    <row r="2753" ht="15.75" customHeight="1" s="201">
      <c r="A2753" s="1" t="n">
        <v>58100255</v>
      </c>
      <c r="B2753" s="1" t="inlineStr">
        <is>
          <t>Burrito with chicken, beans, and rice (Includes Taco Bell Grilled Stuft Burrito; with turkey)</t>
        </is>
      </c>
      <c r="C2753" s="1" t="n">
        <v>4</v>
      </c>
      <c r="D2753" s="1" t="inlineStr">
        <is>
          <t>FNDDS recipe with replaced or modified SR codes</t>
        </is>
      </c>
      <c r="E2753" s="1" t="inlineStr">
        <is>
          <t>Base</t>
        </is>
      </c>
      <c r="F2753" s="1" t="n">
        <v>0.578382</v>
      </c>
    </row>
    <row r="2754" ht="15.75" customHeight="1" s="201">
      <c r="A2754" s="1" t="n">
        <v>58100300</v>
      </c>
      <c r="B2754" s="1" t="inlineStr">
        <is>
          <t>Burrito with beans and rice, meatless</t>
        </is>
      </c>
      <c r="C2754" s="1" t="n">
        <v>4</v>
      </c>
      <c r="D2754" s="1" t="inlineStr">
        <is>
          <t>FNDDS recipe with replaced or modified SR codes</t>
        </is>
      </c>
      <c r="E2754" s="1" t="inlineStr">
        <is>
          <t>Base</t>
        </is>
      </c>
      <c r="F2754" s="1" t="n">
        <v>0.485712</v>
      </c>
    </row>
    <row r="2755" ht="15.75" customHeight="1" s="201">
      <c r="A2755" s="1" t="n">
        <v>58100320</v>
      </c>
      <c r="B2755" s="1" t="inlineStr">
        <is>
          <t>Burrito with beans, meatless</t>
        </is>
      </c>
      <c r="C2755" s="1" t="n">
        <v>4</v>
      </c>
      <c r="D2755" s="1" t="inlineStr">
        <is>
          <t>FNDDS recipe with replaced or modified SR codes</t>
        </is>
      </c>
      <c r="E2755" s="1" t="inlineStr">
        <is>
          <t>Base</t>
        </is>
      </c>
      <c r="F2755" s="1" t="n">
        <v>0.513281</v>
      </c>
    </row>
    <row r="2756" ht="15.75" customHeight="1" s="201">
      <c r="A2756" s="1" t="n">
        <v>58100325</v>
      </c>
      <c r="B2756" s="1" t="inlineStr">
        <is>
          <t>Burrito with beans, meatless, from fast food (Includes Taco Bell Bean Burrito)</t>
        </is>
      </c>
      <c r="C2756" s="1" t="n">
        <v>2</v>
      </c>
      <c r="D2756" s="1" t="inlineStr">
        <is>
          <t>Links to altEC</t>
        </is>
      </c>
      <c r="E2756" s="1" t="inlineStr">
        <is>
          <t>Base</t>
        </is>
      </c>
      <c r="F2756" s="1" t="n">
        <v>0.576833</v>
      </c>
    </row>
    <row r="2757" ht="15.75" customHeight="1" s="201">
      <c r="A2757" s="1" t="n">
        <v>58100330</v>
      </c>
      <c r="B2757" s="1" t="inlineStr">
        <is>
          <t>Burrito with beans, rice, and sour cream, meatless (Includes Taco Bell 7 Layer Burrito)</t>
        </is>
      </c>
      <c r="C2757" s="1" t="n">
        <v>4</v>
      </c>
      <c r="D2757" s="1" t="inlineStr">
        <is>
          <t>FNDDS recipe with replaced or modified SR codes</t>
        </is>
      </c>
      <c r="E2757" s="1" t="inlineStr">
        <is>
          <t>Base</t>
        </is>
      </c>
      <c r="F2757" s="1" t="n">
        <v>0.479399</v>
      </c>
    </row>
    <row r="2758" ht="15.75" customHeight="1" s="201">
      <c r="A2758" s="1" t="n">
        <v>58100360</v>
      </c>
      <c r="B2758" s="1" t="inlineStr">
        <is>
          <t>Chilaquiles, tortilla casserole with salsa, cheese, and egg</t>
        </is>
      </c>
      <c r="C2758" s="1" t="n">
        <v>4</v>
      </c>
      <c r="D2758" s="1" t="inlineStr">
        <is>
          <t>FNDDS recipe with replaced or modified SR codes</t>
        </is>
      </c>
      <c r="E2758" s="1" t="inlineStr">
        <is>
          <t>Base</t>
        </is>
      </c>
      <c r="F2758" s="1" t="n">
        <v>0.734684</v>
      </c>
    </row>
    <row r="2759" ht="15.75" customHeight="1" s="201">
      <c r="A2759" s="1" t="n">
        <v>58100370</v>
      </c>
      <c r="B2759" s="1" t="inlineStr">
        <is>
          <t>Chilaquiles, tortilla casserole with salsa and cheese, no egg</t>
        </is>
      </c>
      <c r="C2759" s="1" t="n">
        <v>4</v>
      </c>
      <c r="D2759" s="1" t="inlineStr">
        <is>
          <t>FNDDS recipe with replaced or modified SR codes</t>
        </is>
      </c>
      <c r="E2759" s="1" t="inlineStr">
        <is>
          <t>Base</t>
        </is>
      </c>
      <c r="F2759" s="1" t="n">
        <v>0.7823909999999999</v>
      </c>
    </row>
    <row r="2760" ht="15.75" customHeight="1" s="201">
      <c r="A2760" s="1" t="n">
        <v>58100520</v>
      </c>
      <c r="B2760" s="1" t="inlineStr">
        <is>
          <t>Enchilada with meat and beans, red-chile or enchilada sauce (Includes Taco Bell enchirito; with beef, steak, pork, sausage, and/or chorizo; enchilada, NFS)</t>
        </is>
      </c>
      <c r="C2760" s="1" t="n">
        <v>2</v>
      </c>
      <c r="D2760" s="1" t="inlineStr">
        <is>
          <t>Links to altEC</t>
        </is>
      </c>
      <c r="E2760" s="1" t="inlineStr">
        <is>
          <t>Base</t>
        </is>
      </c>
      <c r="F2760" s="1" t="n">
        <v>1.089839</v>
      </c>
    </row>
    <row r="2761" ht="15.75" customHeight="1" s="201">
      <c r="A2761" s="1" t="n">
        <v>58100530</v>
      </c>
      <c r="B2761" s="1" t="inlineStr">
        <is>
          <t>Enchilada with meat, red-chile or enchilada sauce (Includes with beef, steak, pork, sausage, and/or chorizo)</t>
        </is>
      </c>
      <c r="C2761" s="1" t="n">
        <v>2</v>
      </c>
      <c r="D2761" s="1" t="inlineStr">
        <is>
          <t>Links to altEC</t>
        </is>
      </c>
      <c r="E2761" s="1" t="inlineStr">
        <is>
          <t>Base</t>
        </is>
      </c>
      <c r="F2761" s="1" t="n">
        <v>0.975375</v>
      </c>
    </row>
    <row r="2762" ht="15.75" customHeight="1" s="201">
      <c r="A2762" s="1" t="n">
        <v>58100535</v>
      </c>
      <c r="B2762" s="1" t="inlineStr">
        <is>
          <t>Enchilada with meat, green-chile or enchilada sauce (Includes with beef, steak, pork, sausage, and/or chorizo)</t>
        </is>
      </c>
      <c r="C2762" s="1" t="n">
        <v>1</v>
      </c>
      <c r="D2762" s="1" t="inlineStr">
        <is>
          <t>Links to FNDDS</t>
        </is>
      </c>
      <c r="E2762" s="1" t="inlineStr">
        <is>
          <t>Base</t>
        </is>
      </c>
      <c r="F2762" s="1" t="n">
        <v>1.024366</v>
      </c>
    </row>
    <row r="2763" ht="15.75" customHeight="1" s="201">
      <c r="A2763" s="1" t="n">
        <v>58100620</v>
      </c>
      <c r="B2763" s="1" t="inlineStr">
        <is>
          <t>Enchilada with chicken and beans, red-chile or enchilada sauce (Includes with turkey)</t>
        </is>
      </c>
      <c r="C2763" s="1" t="n">
        <v>2</v>
      </c>
      <c r="D2763" s="1" t="inlineStr">
        <is>
          <t>Links to altEC</t>
        </is>
      </c>
      <c r="E2763" s="1" t="inlineStr">
        <is>
          <t>Base</t>
        </is>
      </c>
      <c r="F2763" s="1" t="n">
        <v>1.084114</v>
      </c>
    </row>
    <row r="2764" ht="15.75" customHeight="1" s="201">
      <c r="A2764" s="1" t="n">
        <v>58100625</v>
      </c>
      <c r="B2764" s="1" t="inlineStr">
        <is>
          <t>Enchilada with chicken and beans, green-chile or enchilada sauce (Includes with turkey)</t>
        </is>
      </c>
      <c r="C2764" s="1" t="n">
        <v>4</v>
      </c>
      <c r="D2764" s="1" t="inlineStr">
        <is>
          <t>FNDDS recipe with replaced or modified SR codes</t>
        </is>
      </c>
      <c r="E2764" s="1" t="inlineStr">
        <is>
          <t>Base</t>
        </is>
      </c>
      <c r="F2764" s="1" t="n">
        <v>0.408392</v>
      </c>
    </row>
    <row r="2765" ht="15.75" customHeight="1" s="201">
      <c r="A2765" s="1" t="n">
        <v>58100630</v>
      </c>
      <c r="B2765" s="1" t="inlineStr">
        <is>
          <t>Enchilada with chicken, red-chile or enchilada sauce (Includes with turkey)</t>
        </is>
      </c>
      <c r="C2765" s="1" t="n">
        <v>1</v>
      </c>
      <c r="D2765" s="1" t="inlineStr">
        <is>
          <t>Links to FNDDS</t>
        </is>
      </c>
      <c r="E2765" s="1" t="inlineStr">
        <is>
          <t>Base</t>
        </is>
      </c>
      <c r="F2765" s="1" t="n">
        <v>0.967073</v>
      </c>
    </row>
    <row r="2766" ht="15.75" customHeight="1" s="201">
      <c r="A2766" s="1" t="n">
        <v>58100635</v>
      </c>
      <c r="B2766" s="1" t="inlineStr">
        <is>
          <t>Enchilada with chicken, green-chile or enchilada sauce (Includes with turkey)</t>
        </is>
      </c>
      <c r="C2766" s="1" t="n">
        <v>2</v>
      </c>
      <c r="D2766" s="1" t="inlineStr">
        <is>
          <t>Links to altEC</t>
        </is>
      </c>
      <c r="E2766" s="1" t="inlineStr">
        <is>
          <t>Base</t>
        </is>
      </c>
      <c r="F2766" s="1" t="n">
        <v>0.967129</v>
      </c>
    </row>
    <row r="2767" ht="15.75" customHeight="1" s="201">
      <c r="A2767" s="1" t="n">
        <v>58100720</v>
      </c>
      <c r="B2767" s="1" t="inlineStr">
        <is>
          <t>Enchilada with beans, meatless, red-chile or enchilada sauce</t>
        </is>
      </c>
      <c r="C2767" s="1" t="n">
        <v>1</v>
      </c>
      <c r="D2767" s="1" t="inlineStr">
        <is>
          <t>Links to FNDDS</t>
        </is>
      </c>
      <c r="E2767" s="1" t="inlineStr">
        <is>
          <t>Base</t>
        </is>
      </c>
      <c r="F2767" s="1" t="n">
        <v>1.583031</v>
      </c>
    </row>
    <row r="2768" ht="15.75" customHeight="1" s="201">
      <c r="A2768" s="1" t="n">
        <v>58100800</v>
      </c>
      <c r="B2768" s="1" t="inlineStr">
        <is>
          <t>Enchilada, just cheese, meatless, no beans, red-chile or enchilada sauce</t>
        </is>
      </c>
      <c r="C2768" s="1" t="n">
        <v>2</v>
      </c>
      <c r="D2768" s="1" t="inlineStr">
        <is>
          <t>Links to altEC</t>
        </is>
      </c>
      <c r="E2768" s="1" t="inlineStr">
        <is>
          <t>Base</t>
        </is>
      </c>
      <c r="F2768" s="1" t="n">
        <v>1.925738</v>
      </c>
    </row>
    <row r="2769" ht="15.75" customHeight="1" s="201">
      <c r="A2769" s="1" t="n">
        <v>58100805</v>
      </c>
      <c r="B2769" s="1" t="inlineStr">
        <is>
          <t>Enchilada, just cheese, meatless, no beans, green-chile or enchilada sauce</t>
        </is>
      </c>
      <c r="C2769" s="1" t="n">
        <v>4</v>
      </c>
      <c r="D2769" s="1" t="inlineStr">
        <is>
          <t>FNDDS recipe with replaced or modified SR codes</t>
        </is>
      </c>
      <c r="E2769" s="1" t="inlineStr">
        <is>
          <t>Base</t>
        </is>
      </c>
      <c r="F2769" s="1" t="n">
        <v>0.51928</v>
      </c>
    </row>
    <row r="2770" ht="15.75" customHeight="1" s="201">
      <c r="A2770" s="1" t="n">
        <v>58101320</v>
      </c>
      <c r="B2770" s="1" t="inlineStr">
        <is>
          <t>Taco or tostada with meat (Includes taco or tostada, NFS; with beef, steak, pork, sausage, and/or chorizo)</t>
        </is>
      </c>
      <c r="C2770" s="1" t="n">
        <v>4</v>
      </c>
      <c r="D2770" s="1" t="inlineStr">
        <is>
          <t>FNDDS recipe with replaced or modified SR codes</t>
        </is>
      </c>
      <c r="E2770" s="1" t="inlineStr">
        <is>
          <t>Base</t>
        </is>
      </c>
      <c r="F2770" s="1" t="n">
        <v>0.83408</v>
      </c>
    </row>
    <row r="2771" ht="15.75" customHeight="1" s="201">
      <c r="A2771" s="1" t="n">
        <v>58101323</v>
      </c>
      <c r="B2771" s="1" t="inlineStr">
        <is>
          <t>Taco or tostada with meat, from fast food (Includes Taco Bell Taco, NFS; Taco Bell Beef Taco; with beef, steak, pork, sausage, and/or chorizo)</t>
        </is>
      </c>
      <c r="C2771" s="1" t="n">
        <v>2</v>
      </c>
      <c r="D2771" s="1" t="inlineStr">
        <is>
          <t>Links to altEC</t>
        </is>
      </c>
      <c r="E2771" s="1" t="inlineStr">
        <is>
          <t>Base</t>
        </is>
      </c>
      <c r="F2771" s="1" t="n">
        <v>0.841583</v>
      </c>
    </row>
    <row r="2772" ht="15.75" customHeight="1" s="201">
      <c r="A2772" s="1" t="n">
        <v>58101325</v>
      </c>
      <c r="B2772" s="1" t="inlineStr">
        <is>
          <t>Taco or tostada with meat and sour cream (Includes with beef, steak, pork, sausage, and/or chorizo)</t>
        </is>
      </c>
      <c r="C2772" s="1" t="n">
        <v>4</v>
      </c>
      <c r="D2772" s="1" t="inlineStr">
        <is>
          <t>FNDDS recipe with replaced or modified SR codes</t>
        </is>
      </c>
      <c r="E2772" s="1" t="inlineStr">
        <is>
          <t>Base</t>
        </is>
      </c>
      <c r="F2772" s="1" t="n">
        <v>0.786862</v>
      </c>
    </row>
    <row r="2773" ht="15.75" customHeight="1" s="201">
      <c r="A2773" s="1" t="n">
        <v>58101345</v>
      </c>
      <c r="B2773" s="1" t="inlineStr">
        <is>
          <t>Soft taco with meat (Includes with beef, steak, pork, sausage, and/or chorizo)</t>
        </is>
      </c>
      <c r="C2773" s="1" t="n">
        <v>4</v>
      </c>
      <c r="D2773" s="1" t="inlineStr">
        <is>
          <t>FNDDS recipe with replaced or modified SR codes</t>
        </is>
      </c>
      <c r="E2773" s="1" t="inlineStr">
        <is>
          <t>Base</t>
        </is>
      </c>
      <c r="F2773" s="1" t="n">
        <v>0.706286</v>
      </c>
    </row>
    <row r="2774" ht="15.75" customHeight="1" s="201">
      <c r="A2774" s="1" t="n">
        <v>58101347</v>
      </c>
      <c r="B2774" s="1" t="inlineStr">
        <is>
          <t>Soft taco with meat, from fast food (Includes Taco Bell Soft Beef Taco; with beef, steak, pork, sausage, and/or chorizo)</t>
        </is>
      </c>
      <c r="C2774" s="1" t="n">
        <v>2</v>
      </c>
      <c r="D2774" s="1" t="inlineStr">
        <is>
          <t>Links to altEC</t>
        </is>
      </c>
      <c r="E2774" s="1" t="inlineStr">
        <is>
          <t>Base</t>
        </is>
      </c>
      <c r="F2774" s="1" t="n">
        <v>0.841583</v>
      </c>
    </row>
    <row r="2775" ht="15.75" customHeight="1" s="201">
      <c r="A2775" s="1" t="n">
        <v>58101350</v>
      </c>
      <c r="B2775" s="1" t="inlineStr">
        <is>
          <t>Soft taco with meat and sour cream (Includes with beef, steak, pork, sausage, and/or chorizo)</t>
        </is>
      </c>
      <c r="C2775" s="1" t="n">
        <v>4</v>
      </c>
      <c r="D2775" s="1" t="inlineStr">
        <is>
          <t>FNDDS recipe with replaced or modified SR codes</t>
        </is>
      </c>
      <c r="E2775" s="1" t="inlineStr">
        <is>
          <t>Base</t>
        </is>
      </c>
      <c r="F2775" s="1" t="n">
        <v>0.679418</v>
      </c>
    </row>
    <row r="2776" ht="15.75" customHeight="1" s="201">
      <c r="A2776" s="1" t="n">
        <v>58101357</v>
      </c>
      <c r="B2776" s="1" t="inlineStr">
        <is>
          <t>Soft taco with meat and sour cream, from fast food (Includes Taco Bell Soft Taco Supreme; with beef, steak, pork, sausage, and/or chorizo)</t>
        </is>
      </c>
      <c r="C2776" s="1" t="n">
        <v>4</v>
      </c>
      <c r="D2776" s="1" t="inlineStr">
        <is>
          <t>FNDDS recipe with replaced or modified SR codes</t>
        </is>
      </c>
      <c r="E2776" s="1" t="inlineStr">
        <is>
          <t>Base</t>
        </is>
      </c>
      <c r="F2776" s="1" t="n">
        <v>0.804723</v>
      </c>
    </row>
    <row r="2777" ht="15.75" customHeight="1" s="201">
      <c r="A2777" s="1" t="n">
        <v>58101450</v>
      </c>
      <c r="B2777" s="1" t="inlineStr">
        <is>
          <t>Soft taco with chicken (Includes with turkey)</t>
        </is>
      </c>
      <c r="C2777" s="1" t="n">
        <v>4</v>
      </c>
      <c r="D2777" s="1" t="inlineStr">
        <is>
          <t>FNDDS recipe with replaced or modified SR codes</t>
        </is>
      </c>
      <c r="E2777" s="1" t="inlineStr">
        <is>
          <t>Base</t>
        </is>
      </c>
      <c r="F2777" s="1" t="n">
        <v>0.631778</v>
      </c>
    </row>
    <row r="2778" ht="15.75" customHeight="1" s="201">
      <c r="A2778" s="1" t="n">
        <v>58101457</v>
      </c>
      <c r="B2778" s="1" t="inlineStr">
        <is>
          <t>Soft taco with chicken, from fast food (Includes Taco Bell Chicken Soft Taco)</t>
        </is>
      </c>
      <c r="C2778" s="1" t="n">
        <v>2</v>
      </c>
      <c r="D2778" s="1" t="inlineStr">
        <is>
          <t>Links to altEC</t>
        </is>
      </c>
      <c r="E2778" s="1" t="inlineStr">
        <is>
          <t>Base</t>
        </is>
      </c>
      <c r="F2778" s="1" t="n">
        <v>1.025778</v>
      </c>
    </row>
    <row r="2779" ht="15.75" customHeight="1" s="201">
      <c r="A2779" s="1" t="n">
        <v>58101460</v>
      </c>
      <c r="B2779" s="1" t="inlineStr">
        <is>
          <t>Soft taco with chicken and sour cream (Includes with turkey)</t>
        </is>
      </c>
      <c r="C2779" s="1" t="n">
        <v>4</v>
      </c>
      <c r="D2779" s="1" t="inlineStr">
        <is>
          <t>FNDDS recipe with replaced or modified SR codes</t>
        </is>
      </c>
      <c r="E2779" s="1" t="inlineStr">
        <is>
          <t>Base</t>
        </is>
      </c>
      <c r="F2779" s="1" t="n">
        <v>0.602907</v>
      </c>
    </row>
    <row r="2780" ht="15.75" customHeight="1" s="201">
      <c r="A2780" s="1" t="n">
        <v>58101520</v>
      </c>
      <c r="B2780" s="1" t="inlineStr">
        <is>
          <t>Taco or tostada with chicken (Includes Taco Bell Chicken Taco; with turkey)</t>
        </is>
      </c>
      <c r="C2780" s="1" t="n">
        <v>4</v>
      </c>
      <c r="D2780" s="1" t="inlineStr">
        <is>
          <t>FNDDS recipe with replaced or modified SR codes</t>
        </is>
      </c>
      <c r="E2780" s="1" t="inlineStr">
        <is>
          <t>Base</t>
        </is>
      </c>
      <c r="F2780" s="1" t="n">
        <v>0.780556</v>
      </c>
    </row>
    <row r="2781" ht="15.75" customHeight="1" s="201">
      <c r="A2781" s="1" t="n">
        <v>58101525</v>
      </c>
      <c r="B2781" s="1" t="inlineStr">
        <is>
          <t>Taco or tostada with chicken and sour cream (Includes with turkey)</t>
        </is>
      </c>
      <c r="C2781" s="1" t="n">
        <v>4</v>
      </c>
      <c r="D2781" s="1" t="inlineStr">
        <is>
          <t>FNDDS recipe with replaced or modified SR codes</t>
        </is>
      </c>
      <c r="E2781" s="1" t="inlineStr">
        <is>
          <t>Base</t>
        </is>
      </c>
      <c r="F2781" s="1" t="n">
        <v>0.722442</v>
      </c>
    </row>
    <row r="2782" ht="15.75" customHeight="1" s="201">
      <c r="A2782" s="1" t="n">
        <v>58101540</v>
      </c>
      <c r="B2782" s="1" t="inlineStr">
        <is>
          <t>Taco or tostada with fish</t>
        </is>
      </c>
      <c r="C2782" s="1" t="n">
        <v>4</v>
      </c>
      <c r="D2782" s="1" t="inlineStr">
        <is>
          <t>FNDDS recipe with replaced or modified SR codes</t>
        </is>
      </c>
      <c r="E2782" s="1" t="inlineStr">
        <is>
          <t>Base</t>
        </is>
      </c>
      <c r="F2782" s="1" t="n">
        <v>1.125642</v>
      </c>
    </row>
    <row r="2783" ht="15.75" customHeight="1" s="201">
      <c r="A2783" s="1" t="n">
        <v>58101555</v>
      </c>
      <c r="B2783" s="1" t="inlineStr">
        <is>
          <t>Soft taco with fish</t>
        </is>
      </c>
      <c r="C2783" s="1" t="n">
        <v>4</v>
      </c>
      <c r="D2783" s="1" t="inlineStr">
        <is>
          <t>FNDDS recipe with replaced or modified SR codes</t>
        </is>
      </c>
      <c r="E2783" s="1" t="inlineStr">
        <is>
          <t>Base</t>
        </is>
      </c>
      <c r="F2783" s="1" t="n">
        <v>0.927022</v>
      </c>
    </row>
    <row r="2784" ht="15.75" customHeight="1" s="201">
      <c r="A2784" s="1" t="n">
        <v>58101610</v>
      </c>
      <c r="B2784" s="1" t="inlineStr">
        <is>
          <t>Soft taco with beans</t>
        </is>
      </c>
      <c r="C2784" s="1" t="n">
        <v>4</v>
      </c>
      <c r="D2784" s="1" t="inlineStr">
        <is>
          <t>FNDDS recipe with replaced or modified SR codes</t>
        </is>
      </c>
      <c r="E2784" s="1" t="inlineStr">
        <is>
          <t>Base</t>
        </is>
      </c>
      <c r="F2784" s="1" t="n">
        <v>0.401536</v>
      </c>
    </row>
    <row r="2785" ht="15.75" customHeight="1" s="201">
      <c r="A2785" s="1" t="n">
        <v>58101615</v>
      </c>
      <c r="B2785" s="1" t="inlineStr">
        <is>
          <t>Soft taco with beans and sour cream</t>
        </is>
      </c>
      <c r="C2785" s="1" t="n">
        <v>4</v>
      </c>
      <c r="D2785" s="1" t="inlineStr">
        <is>
          <t>FNDDS recipe with replaced or modified SR codes</t>
        </is>
      </c>
      <c r="E2785" s="1" t="inlineStr">
        <is>
          <t>Base</t>
        </is>
      </c>
      <c r="F2785" s="1" t="n">
        <v>0.405221</v>
      </c>
    </row>
    <row r="2786" ht="15.75" customHeight="1" s="201">
      <c r="A2786" s="1" t="n">
        <v>58101620</v>
      </c>
      <c r="B2786" s="1" t="inlineStr">
        <is>
          <t>Soft taco with meat and beans (Includes with beef, steak, pork, sausage, and/or chorizo)</t>
        </is>
      </c>
      <c r="C2786" s="1" t="n">
        <v>4</v>
      </c>
      <c r="D2786" s="1" t="inlineStr">
        <is>
          <t>FNDDS recipe with replaced or modified SR codes</t>
        </is>
      </c>
      <c r="E2786" s="1" t="inlineStr">
        <is>
          <t>Base</t>
        </is>
      </c>
      <c r="F2786" s="1" t="n">
        <v>0.536925</v>
      </c>
    </row>
    <row r="2787" ht="15.75" customHeight="1" s="201">
      <c r="A2787" s="1" t="n">
        <v>58101630</v>
      </c>
      <c r="B2787" s="1" t="inlineStr">
        <is>
          <t>Soft taco with meat, beans, and sour cream (Includes with beef, steak, pork, sausage, and/or chorizo)</t>
        </is>
      </c>
      <c r="C2787" s="1" t="n">
        <v>4</v>
      </c>
      <c r="D2787" s="1" t="inlineStr">
        <is>
          <t>FNDDS recipe with replaced or modified SR codes</t>
        </is>
      </c>
      <c r="E2787" s="1" t="inlineStr">
        <is>
          <t>Base</t>
        </is>
      </c>
      <c r="F2787" s="1" t="n">
        <v>0.528097</v>
      </c>
    </row>
    <row r="2788" ht="15.75" customHeight="1" s="201">
      <c r="A2788" s="1" t="n">
        <v>58101635</v>
      </c>
      <c r="B2788" s="1" t="inlineStr">
        <is>
          <t>Soft taco with chicken, beans, and sour cream (Includes with turkey)</t>
        </is>
      </c>
      <c r="C2788" s="1" t="n">
        <v>4</v>
      </c>
      <c r="D2788" s="1" t="inlineStr">
        <is>
          <t>FNDDS recipe with replaced or modified SR codes</t>
        </is>
      </c>
      <c r="E2788" s="1" t="inlineStr">
        <is>
          <t>Base</t>
        </is>
      </c>
      <c r="F2788" s="1" t="n">
        <v>0.487998</v>
      </c>
    </row>
    <row r="2789" ht="15.75" customHeight="1" s="201">
      <c r="A2789" s="1" t="n">
        <v>58101725</v>
      </c>
      <c r="B2789" s="1" t="inlineStr">
        <is>
          <t>Taco or tostada with beans and sour cream</t>
        </is>
      </c>
      <c r="C2789" s="1" t="n">
        <v>4</v>
      </c>
      <c r="D2789" s="1" t="inlineStr">
        <is>
          <t>FNDDS recipe with replaced or modified SR codes</t>
        </is>
      </c>
      <c r="E2789" s="1" t="inlineStr">
        <is>
          <t>Base</t>
        </is>
      </c>
      <c r="F2789" s="1" t="n">
        <v>0.468557</v>
      </c>
    </row>
    <row r="2790" ht="15.75" customHeight="1" s="201">
      <c r="A2790" s="1" t="n">
        <v>58101730</v>
      </c>
      <c r="B2790" s="1" t="inlineStr">
        <is>
          <t>Taco or tostada with meat and beans (Includes beef, steak, pork, sausage, and/or chorizo)</t>
        </is>
      </c>
      <c r="C2790" s="1" t="n">
        <v>4</v>
      </c>
      <c r="D2790" s="1" t="inlineStr">
        <is>
          <t>FNDDS recipe with replaced or modified SR codes</t>
        </is>
      </c>
      <c r="E2790" s="1" t="inlineStr">
        <is>
          <t>Base</t>
        </is>
      </c>
      <c r="F2790" s="1" t="n">
        <v>0.632011</v>
      </c>
    </row>
    <row r="2791" ht="15.75" customHeight="1" s="201">
      <c r="A2791" s="1" t="n">
        <v>58101733</v>
      </c>
      <c r="B2791" s="1" t="inlineStr">
        <is>
          <t>Taco or tostada with meat and beans, from fast food (Includes Taco Bell Mexican Pizza; Taco Bell Tostada; with beef, steak, pork, sausage, and/or chorizo)</t>
        </is>
      </c>
      <c r="C2791" s="1" t="n">
        <v>4</v>
      </c>
      <c r="D2791" s="1" t="inlineStr">
        <is>
          <t>FNDDS recipe with replaced or modified SR codes</t>
        </is>
      </c>
      <c r="E2791" s="1" t="inlineStr">
        <is>
          <t>Base</t>
        </is>
      </c>
      <c r="F2791" s="1" t="n">
        <v>0.788784</v>
      </c>
    </row>
    <row r="2792" ht="15.75" customHeight="1" s="201">
      <c r="A2792" s="1" t="n">
        <v>58101735</v>
      </c>
      <c r="B2792" s="1" t="inlineStr">
        <is>
          <t>Taco or tostada with chicken and beans (Includes with turkey)</t>
        </is>
      </c>
      <c r="C2792" s="1" t="n">
        <v>4</v>
      </c>
      <c r="D2792" s="1" t="inlineStr">
        <is>
          <t>FNDDS recipe with replaced or modified SR codes</t>
        </is>
      </c>
      <c r="E2792" s="1" t="inlineStr">
        <is>
          <t>Base</t>
        </is>
      </c>
      <c r="F2792" s="1" t="n">
        <v>0.594368</v>
      </c>
    </row>
    <row r="2793" ht="15.75" customHeight="1" s="201">
      <c r="A2793" s="1" t="n">
        <v>58101745</v>
      </c>
      <c r="B2793" s="1" t="inlineStr">
        <is>
          <t>Taco or tostada with meat, beans, and sour cream (Includes with beef, steak, pork, sausage, and/or chorizo)</t>
        </is>
      </c>
      <c r="C2793" s="1" t="n">
        <v>4</v>
      </c>
      <c r="D2793" s="1" t="inlineStr">
        <is>
          <t>FNDDS recipe with replaced or modified SR codes</t>
        </is>
      </c>
      <c r="E2793" s="1" t="inlineStr">
        <is>
          <t>Base</t>
        </is>
      </c>
      <c r="F2793" s="1" t="n">
        <v>0.610311</v>
      </c>
    </row>
    <row r="2794" ht="15.75" customHeight="1" s="201">
      <c r="A2794" s="1" t="n">
        <v>58101750</v>
      </c>
      <c r="B2794" s="1" t="inlineStr">
        <is>
          <t>Taco or tostada with chicken, beans, and sour cream (Includes with turkey)</t>
        </is>
      </c>
      <c r="C2794" s="1" t="n">
        <v>4</v>
      </c>
      <c r="D2794" s="1" t="inlineStr">
        <is>
          <t>FNDDS recipe with replaced or modified SR codes</t>
        </is>
      </c>
      <c r="E2794" s="1" t="inlineStr">
        <is>
          <t>Base</t>
        </is>
      </c>
      <c r="F2794" s="1" t="n">
        <v>0.57248</v>
      </c>
    </row>
    <row r="2795" ht="15.75" customHeight="1" s="201">
      <c r="A2795" s="1" t="n">
        <v>58101830</v>
      </c>
      <c r="B2795" s="1" t="inlineStr">
        <is>
          <t>Mexican casserole made with ground beef, tomato sauce, cheese, taco seasonings, and corn chips (Includes Frito pie, NFS)</t>
        </is>
      </c>
      <c r="C2795" s="1" t="n">
        <v>4</v>
      </c>
      <c r="D2795" s="1" t="inlineStr">
        <is>
          <t>FNDDS recipe with replaced or modified SR codes</t>
        </is>
      </c>
      <c r="E2795" s="1" t="inlineStr">
        <is>
          <t>Base</t>
        </is>
      </c>
      <c r="F2795" s="1" t="n">
        <v>0.9618949999999999</v>
      </c>
    </row>
    <row r="2796" ht="15.75" customHeight="1" s="201">
      <c r="A2796" s="1" t="n">
        <v>58101930</v>
      </c>
      <c r="B2796" s="1" t="inlineStr">
        <is>
          <t>Taco or tostada salad with meat (Includes Taco Bell Taco Salad; with beef, steak, pork, sausage, and/or chorizo)</t>
        </is>
      </c>
      <c r="C2796" s="1" t="n">
        <v>4</v>
      </c>
      <c r="D2796" s="1" t="inlineStr">
        <is>
          <t>FNDDS recipe with replaced or modified SR codes</t>
        </is>
      </c>
      <c r="E2796" s="1" t="inlineStr">
        <is>
          <t>Base</t>
        </is>
      </c>
      <c r="F2796" s="1" t="n">
        <v>0.6461</v>
      </c>
    </row>
    <row r="2797" ht="15.75" customHeight="1" s="201">
      <c r="A2797" s="1" t="n">
        <v>58101935</v>
      </c>
      <c r="B2797" s="1" t="inlineStr">
        <is>
          <t>Taco or tostada salad with chicken (Includes with turkey)</t>
        </is>
      </c>
      <c r="C2797" s="1" t="n">
        <v>4</v>
      </c>
      <c r="D2797" s="1" t="inlineStr">
        <is>
          <t>FNDDS recipe with replaced or modified SR codes</t>
        </is>
      </c>
      <c r="E2797" s="1" t="inlineStr">
        <is>
          <t>Base</t>
        </is>
      </c>
      <c r="F2797" s="1" t="n">
        <v>0.589504</v>
      </c>
    </row>
    <row r="2798" ht="15.75" customHeight="1" s="201">
      <c r="A2798" s="1" t="n">
        <v>58101940</v>
      </c>
      <c r="B2798" s="1" t="inlineStr">
        <is>
          <t>Taco or tostada salad, meatless</t>
        </is>
      </c>
      <c r="C2798" s="1" t="n">
        <v>4</v>
      </c>
      <c r="D2798" s="1" t="inlineStr">
        <is>
          <t>FNDDS recipe with replaced or modified SR codes</t>
        </is>
      </c>
      <c r="E2798" s="1" t="inlineStr">
        <is>
          <t>Base</t>
        </is>
      </c>
      <c r="F2798" s="1" t="n">
        <v>0.518814</v>
      </c>
    </row>
    <row r="2799" ht="15.75" customHeight="1" s="201">
      <c r="A2799" s="1" t="n">
        <v>58101945</v>
      </c>
      <c r="B2799" s="1" t="inlineStr">
        <is>
          <t>Taco or tostada salad with meat and sour cream (Includes with beef, steak, pork, sausage, and/or chorizo)</t>
        </is>
      </c>
      <c r="C2799" s="1" t="n">
        <v>4</v>
      </c>
      <c r="D2799" s="1" t="inlineStr">
        <is>
          <t>FNDDS recipe with replaced or modified SR codes</t>
        </is>
      </c>
      <c r="E2799" s="1" t="inlineStr">
        <is>
          <t>Base</t>
        </is>
      </c>
      <c r="F2799" s="1" t="n">
        <v>0.619855</v>
      </c>
    </row>
    <row r="2800" ht="15.75" customHeight="1" s="201">
      <c r="A2800" s="1" t="n">
        <v>58101950</v>
      </c>
      <c r="B2800" s="1" t="inlineStr">
        <is>
          <t>Taco or tostada salad with chicken and sour cream (Includes with turkey)</t>
        </is>
      </c>
      <c r="C2800" s="1" t="n">
        <v>4</v>
      </c>
      <c r="D2800" s="1" t="inlineStr">
        <is>
          <t>FNDDS recipe with replaced or modified SR codes</t>
        </is>
      </c>
      <c r="E2800" s="1" t="inlineStr">
        <is>
          <t>Base</t>
        </is>
      </c>
      <c r="F2800" s="1" t="n">
        <v>0.57053</v>
      </c>
    </row>
    <row r="2801" ht="15.75" customHeight="1" s="201">
      <c r="A2801" s="1" t="n">
        <v>58101955</v>
      </c>
      <c r="B2801" s="1" t="inlineStr">
        <is>
          <t>Taco or tostada salad, meatless with sour cream</t>
        </is>
      </c>
      <c r="C2801" s="1" t="n">
        <v>4</v>
      </c>
      <c r="D2801" s="1" t="inlineStr">
        <is>
          <t>FNDDS recipe with replaced or modified SR codes</t>
        </is>
      </c>
      <c r="E2801" s="1" t="inlineStr">
        <is>
          <t>Base</t>
        </is>
      </c>
      <c r="F2801" s="1" t="n">
        <v>0.508359</v>
      </c>
    </row>
    <row r="2802" ht="15.75" customHeight="1" s="201">
      <c r="A2802" s="1" t="n">
        <v>58103120</v>
      </c>
      <c r="B2802" s="1" t="inlineStr">
        <is>
          <t>Tamale with meat (Includes beef; pork; tamale, NFS)</t>
        </is>
      </c>
      <c r="C2802" s="1" t="n">
        <v>2</v>
      </c>
      <c r="D2802" s="1" t="inlineStr">
        <is>
          <t>Links to altEC</t>
        </is>
      </c>
      <c r="E2802" s="1" t="inlineStr">
        <is>
          <t>Base</t>
        </is>
      </c>
      <c r="F2802" s="1" t="n">
        <v>0.763741</v>
      </c>
    </row>
    <row r="2803" ht="15.75" customHeight="1" s="201">
      <c r="A2803" s="1" t="n">
        <v>58103130</v>
      </c>
      <c r="B2803" s="1" t="inlineStr">
        <is>
          <t>Tamale with chicken (Includes turkey)</t>
        </is>
      </c>
      <c r="C2803" s="1" t="n">
        <v>1</v>
      </c>
      <c r="D2803" s="1" t="inlineStr">
        <is>
          <t>Links to FNDDS</t>
        </is>
      </c>
      <c r="E2803" s="1" t="inlineStr">
        <is>
          <t>Base</t>
        </is>
      </c>
      <c r="F2803" s="1" t="n">
        <v>0.962352</v>
      </c>
    </row>
    <row r="2804" ht="15.75" customHeight="1" s="201">
      <c r="A2804" s="1" t="n">
        <v>58103250</v>
      </c>
      <c r="B2804" s="1" t="inlineStr">
        <is>
          <t>Tamale, plain, meatless, no sauce, Mexican style</t>
        </is>
      </c>
      <c r="C2804" s="1" t="n">
        <v>1</v>
      </c>
      <c r="D2804" s="1" t="inlineStr">
        <is>
          <t>Links to FNDDS</t>
        </is>
      </c>
      <c r="E2804" s="1" t="inlineStr">
        <is>
          <t>Base</t>
        </is>
      </c>
      <c r="F2804" s="1" t="n">
        <v>1.117639</v>
      </c>
    </row>
    <row r="2805" ht="15.75" customHeight="1" s="201">
      <c r="A2805" s="1" t="n">
        <v>58103310</v>
      </c>
      <c r="B2805" s="1" t="inlineStr">
        <is>
          <t>Tamale casserole with meat</t>
        </is>
      </c>
      <c r="C2805" s="1" t="n">
        <v>4</v>
      </c>
      <c r="D2805" s="1" t="inlineStr">
        <is>
          <t>FNDDS recipe with replaced or modified SR codes</t>
        </is>
      </c>
      <c r="E2805" s="1" t="inlineStr">
        <is>
          <t>Base</t>
        </is>
      </c>
      <c r="F2805" s="1" t="n">
        <v>0.430745</v>
      </c>
    </row>
    <row r="2806" ht="15.75" customHeight="1" s="201">
      <c r="A2806" s="1" t="n">
        <v>58104090</v>
      </c>
      <c r="B2806" s="1" t="inlineStr">
        <is>
          <t>Nachos with cheese and sour cream</t>
        </is>
      </c>
      <c r="C2806" s="1" t="n">
        <v>4</v>
      </c>
      <c r="D2806" s="1" t="inlineStr">
        <is>
          <t>FNDDS recipe with replaced or modified SR codes</t>
        </is>
      </c>
      <c r="E2806" s="1" t="inlineStr">
        <is>
          <t>Base</t>
        </is>
      </c>
      <c r="F2806" s="1" t="n">
        <v>0.582384</v>
      </c>
    </row>
    <row r="2807" ht="15.75" customHeight="1" s="201">
      <c r="A2807" s="1" t="n">
        <v>58104120</v>
      </c>
      <c r="B2807" s="1" t="inlineStr">
        <is>
          <t>Nachos with cheese</t>
        </is>
      </c>
      <c r="C2807" s="1" t="n">
        <v>2</v>
      </c>
      <c r="D2807" s="1" t="inlineStr">
        <is>
          <t>Links to altEC</t>
        </is>
      </c>
      <c r="E2807" s="1" t="inlineStr">
        <is>
          <t>Base</t>
        </is>
      </c>
      <c r="F2807" s="1" t="n">
        <v>2.438909</v>
      </c>
    </row>
    <row r="2808" ht="15.75" customHeight="1" s="201">
      <c r="A2808" s="1" t="n">
        <v>58104130</v>
      </c>
      <c r="B2808" s="1" t="inlineStr">
        <is>
          <t>Nachos with meat and cheese (Includes with beef, steak, pork, sausage, and/or chorizo)</t>
        </is>
      </c>
      <c r="C2808" s="1" t="n">
        <v>4</v>
      </c>
      <c r="D2808" s="1" t="inlineStr">
        <is>
          <t>FNDDS recipe with replaced or modified SR codes</t>
        </is>
      </c>
      <c r="E2808" s="1" t="inlineStr">
        <is>
          <t>Base</t>
        </is>
      </c>
      <c r="F2808" s="1" t="n">
        <v>0.785397</v>
      </c>
    </row>
    <row r="2809" ht="15.75" customHeight="1" s="201">
      <c r="A2809" s="1" t="n">
        <v>58104150</v>
      </c>
      <c r="B2809" s="1" t="inlineStr">
        <is>
          <t>Nachos with chicken and cheese (Includes with turkey)</t>
        </is>
      </c>
      <c r="C2809" s="1" t="n">
        <v>4</v>
      </c>
      <c r="D2809" s="1" t="inlineStr">
        <is>
          <t>FNDDS recipe with replaced or modified SR codes</t>
        </is>
      </c>
      <c r="E2809" s="1" t="inlineStr">
        <is>
          <t>Base</t>
        </is>
      </c>
      <c r="F2809" s="1" t="n">
        <v>0.66195</v>
      </c>
    </row>
    <row r="2810" ht="15.75" customHeight="1" s="201">
      <c r="A2810" s="1" t="n">
        <v>58104160</v>
      </c>
      <c r="B2810" s="1" t="inlineStr">
        <is>
          <t>Nachos with chili</t>
        </is>
      </c>
      <c r="C2810" s="1" t="n">
        <v>4</v>
      </c>
      <c r="D2810" s="1" t="inlineStr">
        <is>
          <t>FNDDS recipe with replaced or modified SR codes</t>
        </is>
      </c>
      <c r="E2810" s="1" t="inlineStr">
        <is>
          <t>Base</t>
        </is>
      </c>
      <c r="F2810" s="1" t="n">
        <v>0.667038</v>
      </c>
    </row>
    <row r="2811" ht="15.75" customHeight="1" s="201">
      <c r="A2811" s="1" t="n">
        <v>58104180</v>
      </c>
      <c r="B2811" s="1" t="inlineStr">
        <is>
          <t>Nachos with meat, cheese, and sour cream (Includes Taco Bell's Nachos Supreme; with beef, steak, pork, sausage, and/or chorizo)</t>
        </is>
      </c>
      <c r="C2811" s="1" t="n">
        <v>4</v>
      </c>
      <c r="D2811" s="1" t="inlineStr">
        <is>
          <t>FNDDS recipe with replaced or modified SR codes</t>
        </is>
      </c>
      <c r="E2811" s="1" t="inlineStr">
        <is>
          <t>Base</t>
        </is>
      </c>
      <c r="F2811" s="1" t="n">
        <v>0.75364</v>
      </c>
    </row>
    <row r="2812" ht="15.75" customHeight="1" s="201">
      <c r="A2812" s="1" t="n">
        <v>58104260</v>
      </c>
      <c r="B2812" s="1" t="inlineStr">
        <is>
          <t>Gordita, sope, or chalupa with beans</t>
        </is>
      </c>
      <c r="C2812" s="1" t="n">
        <v>2</v>
      </c>
      <c r="D2812" s="1" t="inlineStr">
        <is>
          <t>Links to altEC</t>
        </is>
      </c>
      <c r="E2812" s="1" t="inlineStr">
        <is>
          <t>Base</t>
        </is>
      </c>
      <c r="F2812" s="1" t="n">
        <v>1.214265</v>
      </c>
    </row>
    <row r="2813" ht="15.75" customHeight="1" s="201">
      <c r="A2813" s="1" t="n">
        <v>58104270</v>
      </c>
      <c r="B2813" s="1" t="inlineStr">
        <is>
          <t>Gordita, sope, or chalupa with beans and sour cream</t>
        </is>
      </c>
      <c r="C2813" s="1" t="n">
        <v>4</v>
      </c>
      <c r="D2813" s="1" t="inlineStr">
        <is>
          <t>FNDDS recipe with replaced or modified SR codes</t>
        </is>
      </c>
      <c r="E2813" s="1" t="inlineStr">
        <is>
          <t>Base</t>
        </is>
      </c>
      <c r="F2813" s="1" t="n">
        <v>0.381296</v>
      </c>
    </row>
    <row r="2814" ht="15.75" customHeight="1" s="201">
      <c r="A2814" s="1" t="n">
        <v>58104280</v>
      </c>
      <c r="B2814" s="1" t="inlineStr">
        <is>
          <t>Gordita, sope, or chalupa with meat and sour cream (Includes Taco Bell Chalupa Supreme; with beef, steak, pork, sausage, and/or chorizo; Taco Bell Gordita Supreme)</t>
        </is>
      </c>
      <c r="C2814" s="1" t="n">
        <v>4</v>
      </c>
      <c r="D2814" s="1" t="inlineStr">
        <is>
          <t>FNDDS recipe with replaced or modified SR codes</t>
        </is>
      </c>
      <c r="E2814" s="1" t="inlineStr">
        <is>
          <t>Base</t>
        </is>
      </c>
      <c r="F2814" s="1" t="n">
        <v>0.613527</v>
      </c>
    </row>
    <row r="2815" ht="15.75" customHeight="1" s="201">
      <c r="A2815" s="1" t="n">
        <v>58104320</v>
      </c>
      <c r="B2815" s="1" t="inlineStr">
        <is>
          <t>Gordita, sope, or chalupa with chicken and sour cream (Includes Taco Bell Chalupa Supreme; with turkey; Taco Bell Gordita Supreme)</t>
        </is>
      </c>
      <c r="C2815" s="1" t="n">
        <v>4</v>
      </c>
      <c r="D2815" s="1" t="inlineStr">
        <is>
          <t>FNDDS recipe with replaced or modified SR codes</t>
        </is>
      </c>
      <c r="E2815" s="1" t="inlineStr">
        <is>
          <t>Base</t>
        </is>
      </c>
      <c r="F2815" s="1" t="n">
        <v>0.5346959999999999</v>
      </c>
    </row>
    <row r="2816" ht="15.75" customHeight="1" s="201">
      <c r="A2816" s="1" t="n">
        <v>58104340</v>
      </c>
      <c r="B2816" s="1" t="inlineStr">
        <is>
          <t>Gordita, sope, or chalupa with chicken (Includes Taco Bell Chalupa Baja; Taco Bell Chalupa Nacho Cheese; with turkey; Taco Bell Gordita Baja; Taco Bell Gordita Nacho Cheese)</t>
        </is>
      </c>
      <c r="C2816" s="1" t="n">
        <v>4</v>
      </c>
      <c r="D2816" s="1" t="inlineStr">
        <is>
          <t>FNDDS recipe with replaced or modified SR codes</t>
        </is>
      </c>
      <c r="E2816" s="1" t="inlineStr">
        <is>
          <t>Base</t>
        </is>
      </c>
      <c r="F2816" s="1" t="n">
        <v>0.54815</v>
      </c>
    </row>
    <row r="2817" ht="15.75" customHeight="1" s="201">
      <c r="A2817" s="1" t="n">
        <v>58104500</v>
      </c>
      <c r="B2817" s="1" t="inlineStr">
        <is>
          <t>Chimichanga with meat (Includes with beef, steak, pork, sausage, and/or chorizo)</t>
        </is>
      </c>
      <c r="C2817" s="1" t="n">
        <v>1</v>
      </c>
      <c r="D2817" s="1" t="inlineStr">
        <is>
          <t>Links to FNDDS</t>
        </is>
      </c>
      <c r="E2817" s="1" t="inlineStr">
        <is>
          <t>Base</t>
        </is>
      </c>
      <c r="F2817" s="1" t="n">
        <v>0.509466</v>
      </c>
    </row>
    <row r="2818" ht="15.75" customHeight="1" s="201">
      <c r="A2818" s="1" t="n">
        <v>58104530</v>
      </c>
      <c r="B2818" s="1" t="inlineStr">
        <is>
          <t>Chimichanga with chicken (Includes with turkey)</t>
        </is>
      </c>
      <c r="C2818" s="1" t="n">
        <v>1</v>
      </c>
      <c r="D2818" s="1" t="inlineStr">
        <is>
          <t>Links to FNDDS</t>
        </is>
      </c>
      <c r="E2818" s="1" t="inlineStr">
        <is>
          <t>Base</t>
        </is>
      </c>
      <c r="F2818" s="1" t="n">
        <v>0.715419</v>
      </c>
    </row>
    <row r="2819" ht="15.75" customHeight="1" s="201">
      <c r="A2819" s="1" t="n">
        <v>58104550</v>
      </c>
      <c r="B2819" s="1" t="inlineStr">
        <is>
          <t>Chimichanga with chicken and sour cream (Includes with turkey)</t>
        </is>
      </c>
      <c r="C2819" s="1" t="n">
        <v>4</v>
      </c>
      <c r="D2819" s="1" t="inlineStr">
        <is>
          <t>FNDDS recipe with replaced or modified SR codes</t>
        </is>
      </c>
      <c r="E2819" s="1" t="inlineStr">
        <is>
          <t>Base</t>
        </is>
      </c>
      <c r="F2819" s="1" t="n">
        <v>0.542903</v>
      </c>
    </row>
    <row r="2820" ht="15.75" customHeight="1" s="201">
      <c r="A2820" s="1" t="n">
        <v>58104710</v>
      </c>
      <c r="B2820" s="1" t="inlineStr">
        <is>
          <t>Quesadilla, just cheese, meatless</t>
        </is>
      </c>
      <c r="C2820" s="1" t="n">
        <v>4</v>
      </c>
      <c r="D2820" s="1" t="inlineStr">
        <is>
          <t>FNDDS recipe with replaced or modified SR codes</t>
        </is>
      </c>
      <c r="E2820" s="1" t="inlineStr">
        <is>
          <t>Base</t>
        </is>
      </c>
      <c r="F2820" s="1" t="n">
        <v>0.674101</v>
      </c>
    </row>
    <row r="2821" ht="15.75" customHeight="1" s="201">
      <c r="A2821" s="1" t="n">
        <v>58104720</v>
      </c>
      <c r="B2821" s="1" t="inlineStr">
        <is>
          <t>Quesadilla, just cheese, from fast food (Includes Taco Bell Cheese Quesadilla)</t>
        </is>
      </c>
      <c r="C2821" s="1" t="n">
        <v>4</v>
      </c>
      <c r="D2821" s="1" t="inlineStr">
        <is>
          <t>FNDDS recipe with replaced or modified SR codes</t>
        </is>
      </c>
      <c r="E2821" s="1" t="inlineStr">
        <is>
          <t>Base</t>
        </is>
      </c>
      <c r="F2821" s="1" t="n">
        <v>0.70509</v>
      </c>
    </row>
    <row r="2822" ht="15.75" customHeight="1" s="201">
      <c r="A2822" s="1" t="n">
        <v>58104730</v>
      </c>
      <c r="B2822" s="1" t="inlineStr">
        <is>
          <t>Quesadilla with meat (Includes Taco Bell Steak Quesadilla; with beef, steak, pork, sausage, and/or chorizo)</t>
        </is>
      </c>
      <c r="C2822" s="1" t="n">
        <v>4</v>
      </c>
      <c r="D2822" s="1" t="inlineStr">
        <is>
          <t>FNDDS recipe with replaced or modified SR codes</t>
        </is>
      </c>
      <c r="E2822" s="1" t="inlineStr">
        <is>
          <t>Base</t>
        </is>
      </c>
      <c r="F2822" s="1" t="n">
        <v>0.804168</v>
      </c>
    </row>
    <row r="2823" ht="15.75" customHeight="1" s="201">
      <c r="A2823" s="1" t="n">
        <v>58104740</v>
      </c>
      <c r="B2823" s="1" t="inlineStr">
        <is>
          <t>Quesadilla with chicken (Includes turkey)</t>
        </is>
      </c>
      <c r="C2823" s="1" t="n">
        <v>4</v>
      </c>
      <c r="D2823" s="1" t="inlineStr">
        <is>
          <t>FNDDS recipe with replaced or modified SR codes</t>
        </is>
      </c>
      <c r="E2823" s="1" t="inlineStr">
        <is>
          <t>Base</t>
        </is>
      </c>
      <c r="F2823" s="1" t="n">
        <v>0.689074</v>
      </c>
    </row>
    <row r="2824" ht="15.75" customHeight="1" s="201">
      <c r="A2824" s="1" t="n">
        <v>58104745</v>
      </c>
      <c r="B2824" s="1" t="inlineStr">
        <is>
          <t>Quesadilla with chicken, from fast food (Includes Taco Bell Chicken Quesadilla)</t>
        </is>
      </c>
      <c r="C2824" s="1" t="n">
        <v>2</v>
      </c>
      <c r="D2824" s="1" t="inlineStr">
        <is>
          <t>Links to altEC</t>
        </is>
      </c>
      <c r="E2824" s="1" t="inlineStr">
        <is>
          <t>Base</t>
        </is>
      </c>
      <c r="F2824" s="1" t="n">
        <v>0.869464</v>
      </c>
    </row>
    <row r="2825" ht="15.75" customHeight="1" s="201">
      <c r="A2825" s="1" t="n">
        <v>58104750</v>
      </c>
      <c r="B2825" s="1" t="inlineStr">
        <is>
          <t>Quesadilla with vegetables</t>
        </is>
      </c>
      <c r="C2825" s="1" t="n">
        <v>4</v>
      </c>
      <c r="D2825" s="1" t="inlineStr">
        <is>
          <t>FNDDS recipe with replaced or modified SR codes</t>
        </is>
      </c>
      <c r="E2825" s="1" t="inlineStr">
        <is>
          <t>Base</t>
        </is>
      </c>
      <c r="F2825" s="1" t="n">
        <v>0.660145</v>
      </c>
    </row>
    <row r="2826" ht="15.75" customHeight="1" s="201">
      <c r="A2826" s="1" t="n">
        <v>58104760</v>
      </c>
      <c r="B2826" s="1" t="inlineStr">
        <is>
          <t>Quesadilla with vegetables and meat (Includes with beef, steak, pork, sausage, and/or chorizo)</t>
        </is>
      </c>
      <c r="C2826" s="1" t="n">
        <v>2</v>
      </c>
      <c r="D2826" s="1" t="inlineStr">
        <is>
          <t>Links to altEC</t>
        </is>
      </c>
      <c r="E2826" s="1" t="inlineStr">
        <is>
          <t>Base</t>
        </is>
      </c>
      <c r="F2826" s="1" t="n">
        <v>0.764089</v>
      </c>
    </row>
    <row r="2827" ht="15.75" customHeight="1" s="201">
      <c r="A2827" s="1" t="n">
        <v>58104770</v>
      </c>
      <c r="B2827" s="1" t="inlineStr">
        <is>
          <t>Quesadilla with vegetables and chicken (Includes with turkey)</t>
        </is>
      </c>
      <c r="C2827" s="1" t="n">
        <v>4</v>
      </c>
      <c r="D2827" s="1" t="inlineStr">
        <is>
          <t>FNDDS recipe with replaced or modified SR codes</t>
        </is>
      </c>
      <c r="E2827" s="1" t="inlineStr">
        <is>
          <t>Base</t>
        </is>
      </c>
      <c r="F2827" s="1" t="n">
        <v>0.674434</v>
      </c>
    </row>
    <row r="2828" ht="15.75" customHeight="1" s="201">
      <c r="A2828" s="1" t="n">
        <v>58104800</v>
      </c>
      <c r="B2828" s="1" t="inlineStr">
        <is>
          <t>Taquito or flauta with cheese</t>
        </is>
      </c>
      <c r="C2828" s="1" t="n">
        <v>2</v>
      </c>
      <c r="D2828" s="1" t="inlineStr">
        <is>
          <t>Links to altEC</t>
        </is>
      </c>
      <c r="E2828" s="1" t="inlineStr">
        <is>
          <t>Base</t>
        </is>
      </c>
      <c r="F2828" s="1" t="n">
        <v>0.854226</v>
      </c>
    </row>
    <row r="2829" ht="15.75" customHeight="1" s="201">
      <c r="A2829" s="1" t="n">
        <v>58104820</v>
      </c>
      <c r="B2829" s="1" t="inlineStr">
        <is>
          <t>Taquito or flauta with meat (Includes taquitos, NFS; flauta, NFS; with beef, steak, pork, sausage, and/or chorizo)</t>
        </is>
      </c>
      <c r="C2829" s="1" t="n">
        <v>2</v>
      </c>
      <c r="D2829" s="1" t="inlineStr">
        <is>
          <t>Links to altEC</t>
        </is>
      </c>
      <c r="E2829" s="1" t="inlineStr">
        <is>
          <t>Base</t>
        </is>
      </c>
      <c r="F2829" s="1" t="n">
        <v>0.827068</v>
      </c>
    </row>
    <row r="2830" ht="15.75" customHeight="1" s="201">
      <c r="A2830" s="1" t="n">
        <v>58104825</v>
      </c>
      <c r="B2830" s="1" t="inlineStr">
        <is>
          <t>Taquito or flauta with meat and cheese (Includes with beef, steak, pork, sausage, and/or chorizo)</t>
        </is>
      </c>
      <c r="C2830" s="1" t="n">
        <v>1</v>
      </c>
      <c r="D2830" s="1" t="inlineStr">
        <is>
          <t>Links to FNDDS</t>
        </is>
      </c>
      <c r="E2830" s="1" t="inlineStr">
        <is>
          <t>Base</t>
        </is>
      </c>
      <c r="F2830" s="1" t="n">
        <v>0.854226</v>
      </c>
    </row>
    <row r="2831" ht="15.75" customHeight="1" s="201">
      <c r="A2831" s="1" t="n">
        <v>58104830</v>
      </c>
      <c r="B2831" s="1" t="inlineStr">
        <is>
          <t>Taquito or flauta with chicken (Includes with turkey)</t>
        </is>
      </c>
      <c r="C2831" s="1" t="n">
        <v>1</v>
      </c>
      <c r="D2831" s="1" t="inlineStr">
        <is>
          <t>Links to FNDDS</t>
        </is>
      </c>
      <c r="E2831" s="1" t="inlineStr">
        <is>
          <t>Base</t>
        </is>
      </c>
      <c r="F2831" s="1" t="n">
        <v>0.818918</v>
      </c>
    </row>
    <row r="2832" ht="15.75" customHeight="1" s="201">
      <c r="A2832" s="1" t="n">
        <v>58104835</v>
      </c>
      <c r="B2832" s="1" t="inlineStr">
        <is>
          <t>Taquito or flauta with chicken and cheese (Includes with turkey)</t>
        </is>
      </c>
      <c r="C2832" s="1" t="n">
        <v>1</v>
      </c>
      <c r="D2832" s="1" t="inlineStr">
        <is>
          <t>Links to FNDDS</t>
        </is>
      </c>
      <c r="E2832" s="1" t="inlineStr">
        <is>
          <t>Base</t>
        </is>
      </c>
      <c r="F2832" s="1" t="n">
        <v>0.8569600000000001</v>
      </c>
    </row>
    <row r="2833" ht="15.75" customHeight="1" s="201">
      <c r="A2833" s="1" t="n">
        <v>58104900</v>
      </c>
      <c r="B2833" s="1" t="inlineStr">
        <is>
          <t>Taquito or flauta with egg</t>
        </is>
      </c>
      <c r="C2833" s="1" t="n">
        <v>4</v>
      </c>
      <c r="D2833" s="1" t="inlineStr">
        <is>
          <t>FNDDS recipe with replaced or modified SR codes</t>
        </is>
      </c>
      <c r="E2833" s="1" t="inlineStr">
        <is>
          <t>Base</t>
        </is>
      </c>
      <c r="F2833" s="1" t="n">
        <v>0.528493</v>
      </c>
    </row>
    <row r="2834" ht="15.75" customHeight="1" s="201">
      <c r="A2834" s="1" t="n">
        <v>58104905</v>
      </c>
      <c r="B2834" s="1" t="inlineStr">
        <is>
          <t>Taquito or flauta with egg and breakfast meat (Includes with bacon, beef, ham, sausage, and/or chorizo)</t>
        </is>
      </c>
      <c r="C2834" s="1" t="n">
        <v>4</v>
      </c>
      <c r="D2834" s="1" t="inlineStr">
        <is>
          <t>FNDDS recipe with replaced or modified SR codes</t>
        </is>
      </c>
      <c r="E2834" s="1" t="inlineStr">
        <is>
          <t>Base</t>
        </is>
      </c>
      <c r="F2834" s="1" t="n">
        <v>0.722903</v>
      </c>
    </row>
    <row r="2835" ht="15.75" customHeight="1" s="201">
      <c r="A2835" s="1" t="n">
        <v>58105000</v>
      </c>
      <c r="B2835" s="1" t="inlineStr">
        <is>
          <t>Fajita with chicken and vegetables (Includes with turkey)</t>
        </is>
      </c>
      <c r="C2835" s="1" t="n">
        <v>4</v>
      </c>
      <c r="D2835" s="1" t="inlineStr">
        <is>
          <t>FNDDS recipe with replaced or modified SR codes</t>
        </is>
      </c>
      <c r="E2835" s="1" t="inlineStr">
        <is>
          <t>Base</t>
        </is>
      </c>
      <c r="F2835" s="1" t="n">
        <v>0.553431</v>
      </c>
    </row>
    <row r="2836" ht="15.75" customHeight="1" s="201">
      <c r="A2836" s="1" t="n">
        <v>58105050</v>
      </c>
      <c r="B2836" s="1" t="inlineStr">
        <is>
          <t>Fajita with meat and vegetables (Includes with beef, steak, pork, sausage, and/or chorizo)</t>
        </is>
      </c>
      <c r="C2836" s="1" t="n">
        <v>4</v>
      </c>
      <c r="D2836" s="1" t="inlineStr">
        <is>
          <t>FNDDS recipe with replaced or modified SR codes</t>
        </is>
      </c>
      <c r="E2836" s="1" t="inlineStr">
        <is>
          <t>Base</t>
        </is>
      </c>
      <c r="F2836" s="1" t="n">
        <v>0.838794</v>
      </c>
    </row>
    <row r="2837" ht="15.75" customHeight="1" s="201">
      <c r="A2837" s="1" t="n">
        <v>58105105</v>
      </c>
      <c r="B2837" s="1" t="inlineStr">
        <is>
          <t>Pupusa, bean-filled</t>
        </is>
      </c>
      <c r="C2837" s="1" t="n">
        <v>1</v>
      </c>
      <c r="D2837" s="1" t="inlineStr">
        <is>
          <t>Links to FNDDS</t>
        </is>
      </c>
      <c r="E2837" s="1" t="inlineStr">
        <is>
          <t>Base</t>
        </is>
      </c>
      <c r="F2837" s="1" t="n">
        <v>1.913642</v>
      </c>
    </row>
    <row r="2838" ht="15.75" customHeight="1" s="201">
      <c r="A2838" s="1" t="n">
        <v>58105110</v>
      </c>
      <c r="B2838" s="1" t="inlineStr">
        <is>
          <t>Pupusa, meat-filled (Includes pupusa, NFS; meat pupusa, NFS; filled with beef, pork, or chicken)</t>
        </is>
      </c>
      <c r="C2838" s="1" t="n">
        <v>1</v>
      </c>
      <c r="D2838" s="1" t="inlineStr">
        <is>
          <t>Links to FNDDS</t>
        </is>
      </c>
      <c r="E2838" s="1" t="inlineStr">
        <is>
          <t>Base</t>
        </is>
      </c>
      <c r="F2838" s="1" t="n">
        <v>1.830893</v>
      </c>
    </row>
    <row r="2839" ht="15.75" customHeight="1" s="201">
      <c r="A2839" s="1" t="n">
        <v>58106200</v>
      </c>
      <c r="B2839" s="1" t="inlineStr">
        <is>
          <t>Pizza, cheese, from frozen, thin crust (Includes NS as to toppings; original, medium, flatbread, or NS as to type of crust; homemade or ready-to-bake pizza)</t>
        </is>
      </c>
      <c r="C2839" s="1" t="n">
        <v>1</v>
      </c>
      <c r="D2839" s="1" t="inlineStr">
        <is>
          <t>Links to FNDDS</t>
        </is>
      </c>
      <c r="E2839" s="1" t="inlineStr">
        <is>
          <t>Base</t>
        </is>
      </c>
      <c r="F2839" s="1" t="n">
        <v>0.804843</v>
      </c>
    </row>
    <row r="2840" ht="15.75" customHeight="1" s="201">
      <c r="A2840" s="1" t="n">
        <v>58106205</v>
      </c>
      <c r="B2840" s="1" t="inlineStr">
        <is>
          <t>Pizza, cheese, from frozen, thick crust (Includes pan pizza; NS as to toppings; homemade or ready-to-bake pizza; pizza on bagel, English muffin, or French bread; bagel bites)</t>
        </is>
      </c>
      <c r="C2840" s="1" t="n">
        <v>1</v>
      </c>
      <c r="D2840" s="1" t="inlineStr">
        <is>
          <t>Links to FNDDS</t>
        </is>
      </c>
      <c r="E2840" s="1" t="inlineStr">
        <is>
          <t>Base</t>
        </is>
      </c>
      <c r="F2840" s="1" t="n">
        <v>1.016494</v>
      </c>
    </row>
    <row r="2841" ht="15.75" customHeight="1" s="201">
      <c r="A2841" s="1" t="n">
        <v>58106210</v>
      </c>
      <c r="B2841" s="1" t="inlineStr">
        <is>
          <t>Pizza, cheese, from restaurant or fast food, NS as to type of crust (Includes pizza, NS as to source, topping and crust)</t>
        </is>
      </c>
      <c r="C2841" s="1" t="n">
        <v>2</v>
      </c>
      <c r="D2841" s="1" t="inlineStr">
        <is>
          <t>Links to altEC</t>
        </is>
      </c>
      <c r="E2841" s="1" t="inlineStr">
        <is>
          <t>Base</t>
        </is>
      </c>
      <c r="F2841" s="1" t="n">
        <v>0.804843</v>
      </c>
    </row>
    <row r="2842" ht="15.75" customHeight="1" s="201">
      <c r="A2842" s="1" t="n">
        <v>58106220</v>
      </c>
      <c r="B2842" s="1" t="inlineStr">
        <is>
          <t>Pizza, cheese, from restaurant or fast food, thin crust (Includes NS as to toppings; flatbread pizza; from street vendor)</t>
        </is>
      </c>
      <c r="C2842" s="1" t="n">
        <v>2</v>
      </c>
      <c r="D2842" s="1" t="inlineStr">
        <is>
          <t>Links to altEC</t>
        </is>
      </c>
      <c r="E2842" s="1" t="inlineStr">
        <is>
          <t>Base</t>
        </is>
      </c>
      <c r="F2842" s="1" t="n">
        <v>0.804843</v>
      </c>
    </row>
    <row r="2843" ht="15.75" customHeight="1" s="201">
      <c r="A2843" s="1" t="n">
        <v>58106225</v>
      </c>
      <c r="B2843" s="1" t="inlineStr">
        <is>
          <t>Pizza, cheese, from restaurant or fast food, medium crust (Includes NS as to toppings; original or hand-tossed pizza; from street vendor)</t>
        </is>
      </c>
      <c r="C2843" s="1" t="n">
        <v>2</v>
      </c>
      <c r="D2843" s="1" t="inlineStr">
        <is>
          <t>Links to altEC</t>
        </is>
      </c>
      <c r="E2843" s="1" t="inlineStr">
        <is>
          <t>Base</t>
        </is>
      </c>
      <c r="F2843" s="1" t="n">
        <v>0.804843</v>
      </c>
    </row>
    <row r="2844" ht="15.75" customHeight="1" s="201">
      <c r="A2844" s="1" t="n">
        <v>58106230</v>
      </c>
      <c r="B2844" s="1" t="inlineStr">
        <is>
          <t>Pizza, cheese, from restaurant or fast food, thick crust (Includes pan pizza; NS as to topping; from street vendor; pizza on bagel, English muffin, or French bread)</t>
        </is>
      </c>
      <c r="C2844" s="1" t="n">
        <v>2</v>
      </c>
      <c r="D2844" s="1" t="inlineStr">
        <is>
          <t>Links to altEC</t>
        </is>
      </c>
      <c r="E2844" s="1" t="inlineStr">
        <is>
          <t>Base</t>
        </is>
      </c>
      <c r="F2844" s="1" t="n">
        <v>1.016494</v>
      </c>
    </row>
    <row r="2845" ht="15.75" customHeight="1" s="201">
      <c r="A2845" s="1" t="n">
        <v>58106233</v>
      </c>
      <c r="B2845" s="1" t="inlineStr">
        <is>
          <t>Pizza, cheese, stuffed crust (Includes with tomatoes; cheese stuffed crust)</t>
        </is>
      </c>
      <c r="C2845" s="1" t="n">
        <v>1</v>
      </c>
      <c r="D2845" s="1" t="inlineStr">
        <is>
          <t>Links to FNDDS</t>
        </is>
      </c>
      <c r="E2845" s="1" t="inlineStr">
        <is>
          <t>Base</t>
        </is>
      </c>
      <c r="F2845" s="1" t="n">
        <v>1.401313</v>
      </c>
    </row>
    <row r="2846" ht="15.75" customHeight="1" s="201">
      <c r="A2846" s="1" t="n">
        <v>58106234</v>
      </c>
      <c r="B2846" s="1" t="inlineStr">
        <is>
          <t>Pizza, cheese, from school lunch, medium crust (Includes NS as to toppings; original  or NS as to type of crust)</t>
        </is>
      </c>
      <c r="C2846" s="1" t="n">
        <v>2</v>
      </c>
      <c r="D2846" s="1" t="inlineStr">
        <is>
          <t>Links to altEC</t>
        </is>
      </c>
      <c r="E2846" s="1" t="inlineStr">
        <is>
          <t>Base</t>
        </is>
      </c>
      <c r="F2846" s="1" t="n">
        <v>1.016494</v>
      </c>
    </row>
    <row r="2847" ht="15.75" customHeight="1" s="201">
      <c r="A2847" s="1" t="n">
        <v>58106235</v>
      </c>
      <c r="B2847" s="1" t="inlineStr">
        <is>
          <t>Pizza, cheese, from school lunch, thin crust (Includes NS as to toppings; flatbread crust)</t>
        </is>
      </c>
      <c r="C2847" s="1" t="n">
        <v>2</v>
      </c>
      <c r="D2847" s="1" t="inlineStr">
        <is>
          <t>Links to altEC</t>
        </is>
      </c>
      <c r="E2847" s="1" t="inlineStr">
        <is>
          <t>Base</t>
        </is>
      </c>
      <c r="F2847" s="1" t="n">
        <v>0.804843</v>
      </c>
    </row>
    <row r="2848" ht="15.75" customHeight="1" s="201">
      <c r="A2848" s="1" t="n">
        <v>58106236</v>
      </c>
      <c r="B2848" s="1" t="inlineStr">
        <is>
          <t>Pizza, cheese, from school lunch, thick crust (Includes pan pizza; NS as to toppings; pizza on bagel, English muffin, or French bread)</t>
        </is>
      </c>
      <c r="C2848" s="1" t="n">
        <v>2</v>
      </c>
      <c r="D2848" s="1" t="inlineStr">
        <is>
          <t>Links to altEC</t>
        </is>
      </c>
      <c r="E2848" s="1" t="inlineStr">
        <is>
          <t>Base</t>
        </is>
      </c>
      <c r="F2848" s="1" t="n">
        <v>1.014283</v>
      </c>
    </row>
    <row r="2849" ht="15.75" customHeight="1" s="201">
      <c r="A2849" s="1" t="n">
        <v>58106250</v>
      </c>
      <c r="B2849" s="1" t="inlineStr">
        <is>
          <t>Pizza, extra cheese, thin crust (Includes original, hand-tossed, medium, flatbread, or NS as to type of crust)</t>
        </is>
      </c>
      <c r="C2849" s="1" t="n">
        <v>1</v>
      </c>
      <c r="D2849" s="1" t="inlineStr">
        <is>
          <t>Links to FNDDS</t>
        </is>
      </c>
      <c r="E2849" s="1" t="inlineStr">
        <is>
          <t>Base</t>
        </is>
      </c>
      <c r="F2849" s="1" t="n">
        <v>0.838037</v>
      </c>
    </row>
    <row r="2850" ht="15.75" customHeight="1" s="201">
      <c r="A2850" s="1" t="n">
        <v>58106260</v>
      </c>
      <c r="B2850" s="1" t="inlineStr">
        <is>
          <t>Pizza, extra cheese, thick crust (Includes pan pizza; pizza on bagel, English muffin, or French bread)</t>
        </is>
      </c>
      <c r="C2850" s="1" t="n">
        <v>1</v>
      </c>
      <c r="D2850" s="1" t="inlineStr">
        <is>
          <t>Links to FNDDS</t>
        </is>
      </c>
      <c r="E2850" s="1" t="inlineStr">
        <is>
          <t>Base</t>
        </is>
      </c>
      <c r="F2850" s="1" t="n">
        <v>0.697587</v>
      </c>
    </row>
    <row r="2851" ht="15.75" customHeight="1" s="201">
      <c r="A2851" s="1" t="n">
        <v>58106300</v>
      </c>
      <c r="B2851" s="1" t="inlineStr">
        <is>
          <t>Pizza, cheese, with vegetables, from frozen, thin crust (Includes original, medium, flatbread, or NS as to type of crust; homemade or ready-to-bake pizza)</t>
        </is>
      </c>
      <c r="C2851" s="1" t="n">
        <v>1</v>
      </c>
      <c r="D2851" s="1" t="inlineStr">
        <is>
          <t>Links to FNDDS</t>
        </is>
      </c>
      <c r="E2851" s="1" t="inlineStr">
        <is>
          <t>Base</t>
        </is>
      </c>
      <c r="F2851" s="1" t="n">
        <v>1.357658</v>
      </c>
    </row>
    <row r="2852" ht="15.75" customHeight="1" s="201">
      <c r="A2852" s="1" t="n">
        <v>58106305</v>
      </c>
      <c r="B2852" s="1" t="inlineStr">
        <is>
          <t>Pizza, cheese with vegetables, from frozen, thick crust (Includes pan pizza; homemade or ready to bake pizza; pizza on a bagel, English muffin, or French bread)</t>
        </is>
      </c>
      <c r="C2852" s="1" t="n">
        <v>1</v>
      </c>
      <c r="D2852" s="1" t="inlineStr">
        <is>
          <t>Links to FNDDS</t>
        </is>
      </c>
      <c r="E2852" s="1" t="inlineStr">
        <is>
          <t>Base</t>
        </is>
      </c>
      <c r="F2852" s="1" t="n">
        <v>0.786425</v>
      </c>
    </row>
    <row r="2853" ht="15.75" customHeight="1" s="201">
      <c r="A2853" s="1" t="n">
        <v>58106320</v>
      </c>
      <c r="B2853" s="1" t="inlineStr">
        <is>
          <t>Pizza, cheese, with vegetables, from restaurant or fast food, thin crust (Includes with one or two vegetable toppings; flatbread crust; from street vendor)</t>
        </is>
      </c>
      <c r="C2853" s="1" t="n">
        <v>2</v>
      </c>
      <c r="D2853" s="1" t="inlineStr">
        <is>
          <t>Links to altEC</t>
        </is>
      </c>
      <c r="E2853" s="1" t="inlineStr">
        <is>
          <t>Base</t>
        </is>
      </c>
      <c r="F2853" s="1" t="n">
        <v>1.357658</v>
      </c>
    </row>
    <row r="2854" ht="15.75" customHeight="1" s="201">
      <c r="A2854" s="1" t="n">
        <v>58106325</v>
      </c>
      <c r="B2854" s="1" t="inlineStr">
        <is>
          <t>Pizza, cheese, with vegetables, from restaurant or fast food, medium crust (Includes with one or two vegetable toppings; original, hand-tossed, or NS as to type of crust; from street vendor)</t>
        </is>
      </c>
      <c r="C2854" s="1" t="n">
        <v>2</v>
      </c>
      <c r="D2854" s="1" t="inlineStr">
        <is>
          <t>Links to altEC</t>
        </is>
      </c>
      <c r="E2854" s="1" t="inlineStr">
        <is>
          <t>Base</t>
        </is>
      </c>
      <c r="F2854" s="1" t="n">
        <v>1.357658</v>
      </c>
    </row>
    <row r="2855" ht="15.75" customHeight="1" s="201">
      <c r="A2855" s="1" t="n">
        <v>58106330</v>
      </c>
      <c r="B2855" s="1" t="inlineStr">
        <is>
          <t>Pizza, cheese, with vegetables, from restaurant or fast food, thick crust (Includes pan pizza; with one or two vegetable toppings; from street vendor; pizza on a bagel, English muffin, or French bread)</t>
        </is>
      </c>
      <c r="C2855" s="1" t="n">
        <v>2</v>
      </c>
      <c r="D2855" s="1" t="inlineStr">
        <is>
          <t>Links to altEC</t>
        </is>
      </c>
      <c r="E2855" s="1" t="inlineStr">
        <is>
          <t>Base</t>
        </is>
      </c>
      <c r="F2855" s="1" t="n">
        <v>0.786425</v>
      </c>
    </row>
    <row r="2856" ht="15.75" customHeight="1" s="201">
      <c r="A2856" s="1" t="n">
        <v>58106345</v>
      </c>
      <c r="B2856" s="1" t="inlineStr">
        <is>
          <t>Pizza with cheese and extra vegetables, thin crust (Includes with three or more vegetable toppings; flatbread crust)</t>
        </is>
      </c>
      <c r="C2856" s="1" t="n">
        <v>2</v>
      </c>
      <c r="D2856" s="1" t="inlineStr">
        <is>
          <t>Links to altEC</t>
        </is>
      </c>
      <c r="E2856" s="1" t="inlineStr">
        <is>
          <t>Base</t>
        </is>
      </c>
      <c r="F2856" s="1" t="n">
        <v>1.357658</v>
      </c>
    </row>
    <row r="2857" ht="15.75" customHeight="1" s="201">
      <c r="A2857" s="1" t="n">
        <v>58106347</v>
      </c>
      <c r="B2857" s="1" t="inlineStr">
        <is>
          <t>Pizza with cheese and extra vegetables, medium crust (Includes with three or more vegetable toppings; original, hand-tossed, or NS as to type of crust)</t>
        </is>
      </c>
      <c r="C2857" s="1" t="n">
        <v>2</v>
      </c>
      <c r="D2857" s="1" t="inlineStr">
        <is>
          <t>Links to altEC</t>
        </is>
      </c>
      <c r="E2857" s="1" t="inlineStr">
        <is>
          <t>Base</t>
        </is>
      </c>
      <c r="F2857" s="1" t="n">
        <v>1.357658</v>
      </c>
    </row>
    <row r="2858" ht="15.75" customHeight="1" s="201">
      <c r="A2858" s="1" t="n">
        <v>58106358</v>
      </c>
      <c r="B2858" s="1" t="inlineStr">
        <is>
          <t>Pizza, cheese, with fruit, thin crust (Includes all fruits including pineapple; flatbread crust)</t>
        </is>
      </c>
      <c r="C2858" s="1" t="n">
        <v>2</v>
      </c>
      <c r="D2858" s="1" t="inlineStr">
        <is>
          <t>Links to altEC</t>
        </is>
      </c>
      <c r="E2858" s="1" t="inlineStr">
        <is>
          <t>Base</t>
        </is>
      </c>
      <c r="F2858" s="1" t="n">
        <v>0.862743</v>
      </c>
    </row>
    <row r="2859" ht="15.75" customHeight="1" s="201">
      <c r="A2859" s="1" t="n">
        <v>58106359</v>
      </c>
      <c r="B2859" s="1" t="inlineStr">
        <is>
          <t>Pizza, cheese, with fruit, medium crust (Includes all fruits including pineapple; original, hand-tossed or  NS as to type of crust)</t>
        </is>
      </c>
      <c r="C2859" s="1" t="n">
        <v>2</v>
      </c>
      <c r="D2859" s="1" t="inlineStr">
        <is>
          <t>Links to altEC</t>
        </is>
      </c>
      <c r="E2859" s="1" t="inlineStr">
        <is>
          <t>Base</t>
        </is>
      </c>
      <c r="F2859" s="1" t="n">
        <v>0.862743</v>
      </c>
    </row>
    <row r="2860" ht="15.75" customHeight="1" s="201">
      <c r="A2860" s="1" t="n">
        <v>58106360</v>
      </c>
      <c r="B2860" s="1" t="inlineStr">
        <is>
          <t>Pizza, cheese, with fruit, thick crust (Includes pan pizza; all fruits including pineapple; pizza on a bagel, English muffin, or French bread)</t>
        </is>
      </c>
      <c r="C2860" s="1" t="n">
        <v>2</v>
      </c>
      <c r="D2860" s="1" t="inlineStr">
        <is>
          <t>Links to altEC</t>
        </is>
      </c>
      <c r="E2860" s="1" t="inlineStr">
        <is>
          <t>Base</t>
        </is>
      </c>
      <c r="F2860" s="1" t="n">
        <v>0.862743</v>
      </c>
    </row>
    <row r="2861" ht="15.75" customHeight="1" s="201">
      <c r="A2861" s="1" t="n">
        <v>58106512</v>
      </c>
      <c r="B2861" s="1" t="inlineStr">
        <is>
          <t>Pizza with pepperoni, from frozen, thin crust (Includes flatbread crust; homemade or ready to bake pizza)</t>
        </is>
      </c>
      <c r="C2861" s="1" t="n">
        <v>1</v>
      </c>
      <c r="D2861" s="1" t="inlineStr">
        <is>
          <t>Links to FNDDS</t>
        </is>
      </c>
      <c r="E2861" s="1" t="inlineStr">
        <is>
          <t>Base</t>
        </is>
      </c>
      <c r="F2861" s="1" t="n">
        <v>0.72667</v>
      </c>
    </row>
    <row r="2862" ht="15.75" customHeight="1" s="201">
      <c r="A2862" s="1" t="n">
        <v>58106514</v>
      </c>
      <c r="B2862" s="1" t="inlineStr">
        <is>
          <t>Pizza with pepperoni, from frozen, medium crust (Includes original or NS as to type of crust; homemade or ready to bake pizza)</t>
        </is>
      </c>
      <c r="C2862" s="1" t="n">
        <v>1</v>
      </c>
      <c r="D2862" s="1" t="inlineStr">
        <is>
          <t>Links to FNDDS</t>
        </is>
      </c>
      <c r="E2862" s="1" t="inlineStr">
        <is>
          <t>Base</t>
        </is>
      </c>
      <c r="F2862" s="1" t="n">
        <v>0.814944</v>
      </c>
    </row>
    <row r="2863" ht="15.75" customHeight="1" s="201">
      <c r="A2863" s="1" t="n">
        <v>58106516</v>
      </c>
      <c r="B2863" s="1" t="inlineStr">
        <is>
          <t>Pizza with pepperoni, from frozen, thick crust (Includes pan pizza; homemade or ready to bake pizza; pizza on bagel, English muffin, or French bread; bagel bites)</t>
        </is>
      </c>
      <c r="C2863" s="1" t="n">
        <v>1</v>
      </c>
      <c r="D2863" s="1" t="inlineStr">
        <is>
          <t>Links to FNDDS</t>
        </is>
      </c>
      <c r="E2863" s="1" t="inlineStr">
        <is>
          <t>Base</t>
        </is>
      </c>
      <c r="F2863" s="1" t="n">
        <v>0.783541</v>
      </c>
    </row>
    <row r="2864" ht="15.75" customHeight="1" s="201">
      <c r="A2864" s="1" t="n">
        <v>58106540</v>
      </c>
      <c r="B2864" s="1" t="inlineStr">
        <is>
          <t>Pizza with pepperoni, from restaurant or fast food, NS as to type of crust (Includes from street vendor)</t>
        </is>
      </c>
      <c r="C2864" s="1" t="n">
        <v>2</v>
      </c>
      <c r="D2864" s="1" t="inlineStr">
        <is>
          <t>Links to altEC</t>
        </is>
      </c>
      <c r="E2864" s="1" t="inlineStr">
        <is>
          <t>Base</t>
        </is>
      </c>
      <c r="F2864" s="1" t="n">
        <v>0.814944</v>
      </c>
    </row>
    <row r="2865" ht="15.75" customHeight="1" s="201">
      <c r="A2865" s="1" t="n">
        <v>58106550</v>
      </c>
      <c r="B2865" s="1" t="inlineStr">
        <is>
          <t>Pizza with pepperoni, from restaurant or fast food, thin crust (Includes flatbread crust; from street vendor)</t>
        </is>
      </c>
      <c r="C2865" s="1" t="n">
        <v>2</v>
      </c>
      <c r="D2865" s="1" t="inlineStr">
        <is>
          <t>Links to altEC</t>
        </is>
      </c>
      <c r="E2865" s="1" t="inlineStr">
        <is>
          <t>Base</t>
        </is>
      </c>
      <c r="F2865" s="1" t="n">
        <v>0.72667</v>
      </c>
    </row>
    <row r="2866" ht="15.75" customHeight="1" s="201">
      <c r="A2866" s="1" t="n">
        <v>58106555</v>
      </c>
      <c r="B2866" s="1" t="inlineStr">
        <is>
          <t>Pizza with pepperoni, from restaurant or fast food,  medium crust (Includes original, hand-tossed, or NS as to type of crust; from street vendor)</t>
        </is>
      </c>
      <c r="C2866" s="1" t="n">
        <v>2</v>
      </c>
      <c r="D2866" s="1" t="inlineStr">
        <is>
          <t>Links to altEC</t>
        </is>
      </c>
      <c r="E2866" s="1" t="inlineStr">
        <is>
          <t>Base</t>
        </is>
      </c>
      <c r="F2866" s="1" t="n">
        <v>0.814944</v>
      </c>
    </row>
    <row r="2867" ht="15.75" customHeight="1" s="201">
      <c r="A2867" s="1" t="n">
        <v>58106560</v>
      </c>
      <c r="B2867" s="1" t="inlineStr">
        <is>
          <t>Pizza with pepperoni, from restaurant or fast food, thick crust (Includes pan pizza; from street vendor; pizza on a bagel, English muffin, or French bread)</t>
        </is>
      </c>
      <c r="C2867" s="1" t="n">
        <v>2</v>
      </c>
      <c r="D2867" s="1" t="inlineStr">
        <is>
          <t>Links to altEC</t>
        </is>
      </c>
      <c r="E2867" s="1" t="inlineStr">
        <is>
          <t>Base</t>
        </is>
      </c>
      <c r="F2867" s="1" t="n">
        <v>0.783541</v>
      </c>
    </row>
    <row r="2868" ht="15.75" customHeight="1" s="201">
      <c r="A2868" s="1" t="n">
        <v>58106565</v>
      </c>
      <c r="B2868" s="1" t="inlineStr">
        <is>
          <t>Pizza with pepperoni, stuffed crust (Includes cheese stuffed crust)</t>
        </is>
      </c>
      <c r="C2868" s="1" t="n">
        <v>1</v>
      </c>
      <c r="D2868" s="1" t="inlineStr">
        <is>
          <t>Links to FNDDS</t>
        </is>
      </c>
      <c r="E2868" s="1" t="inlineStr">
        <is>
          <t>Base</t>
        </is>
      </c>
      <c r="F2868" s="1" t="n">
        <v>1.333078</v>
      </c>
    </row>
    <row r="2869" ht="15.75" customHeight="1" s="201">
      <c r="A2869" s="1" t="n">
        <v>58106570</v>
      </c>
      <c r="B2869" s="1" t="inlineStr">
        <is>
          <t>Pizza with pepperoni, from school lunch, thin crust (Includes flatbread crust)</t>
        </is>
      </c>
      <c r="C2869" s="1" t="n">
        <v>2</v>
      </c>
      <c r="D2869" s="1" t="inlineStr">
        <is>
          <t>Links to altEC</t>
        </is>
      </c>
      <c r="E2869" s="1" t="inlineStr">
        <is>
          <t>Base</t>
        </is>
      </c>
      <c r="F2869" s="1" t="n">
        <v>0.778138</v>
      </c>
    </row>
    <row r="2870" ht="15.75" customHeight="1" s="201">
      <c r="A2870" s="1" t="n">
        <v>58106578</v>
      </c>
      <c r="B2870" s="1" t="inlineStr">
        <is>
          <t>Pizza, with pepperoni, from school lunch, medium crust (Includes original or NS as to type of crust)</t>
        </is>
      </c>
      <c r="C2870" s="1" t="n">
        <v>2</v>
      </c>
      <c r="D2870" s="1" t="inlineStr">
        <is>
          <t>Links to altEC</t>
        </is>
      </c>
      <c r="E2870" s="1" t="inlineStr">
        <is>
          <t>Base</t>
        </is>
      </c>
      <c r="F2870" s="1" t="n">
        <v>0.778138</v>
      </c>
    </row>
    <row r="2871" ht="15.75" customHeight="1" s="201">
      <c r="A2871" s="1" t="n">
        <v>58106580</v>
      </c>
      <c r="B2871" s="1" t="inlineStr">
        <is>
          <t>Pizza with pepperoni, from school lunch, thick crust (Includes pan pizza; pizza on bagel, English muffin, or French bread)</t>
        </is>
      </c>
      <c r="C2871" s="1" t="n">
        <v>2</v>
      </c>
      <c r="D2871" s="1" t="inlineStr">
        <is>
          <t>Links to altEC</t>
        </is>
      </c>
      <c r="E2871" s="1" t="inlineStr">
        <is>
          <t>Base</t>
        </is>
      </c>
      <c r="F2871" s="1" t="n">
        <v>0.7835259999999999</v>
      </c>
    </row>
    <row r="2872" ht="15.75" customHeight="1" s="201">
      <c r="A2872" s="1" t="n">
        <v>58106602</v>
      </c>
      <c r="B2872" s="1" t="inlineStr">
        <is>
          <t>Pizza with meat other than pepperoni, from frozen, thin crust (Includes all meat, poultry, and seafood toppings excluding pepperoni; with one or two meat toppings; flatbread crust; homemade or ready to bake pizza)</t>
        </is>
      </c>
      <c r="C2872" s="1" t="n">
        <v>1</v>
      </c>
      <c r="D2872" s="1" t="inlineStr">
        <is>
          <t>Links to FNDDS</t>
        </is>
      </c>
      <c r="E2872" s="1" t="inlineStr">
        <is>
          <t>Base</t>
        </is>
      </c>
      <c r="F2872" s="1" t="n">
        <v>0.731874</v>
      </c>
    </row>
    <row r="2873" ht="15.75" customHeight="1" s="201">
      <c r="A2873" s="1" t="n">
        <v>58106604</v>
      </c>
      <c r="B2873" s="1" t="inlineStr">
        <is>
          <t>Pizza with meat other than pepperoni, from frozen, medium crust (Includes all meat, poultry, and seafood toppings excluding pepperoni; with one or two meat toppings; original or NS as to type of crust; homemade or ready to bake pizza)</t>
        </is>
      </c>
      <c r="C2873" s="1" t="n">
        <v>1</v>
      </c>
      <c r="D2873" s="1" t="inlineStr">
        <is>
          <t>Links to FNDDS</t>
        </is>
      </c>
      <c r="E2873" s="1" t="inlineStr">
        <is>
          <t>Base</t>
        </is>
      </c>
      <c r="F2873" s="1" t="n">
        <v>0.673947</v>
      </c>
    </row>
    <row r="2874" ht="15.75" customHeight="1" s="201">
      <c r="A2874" s="1" t="n">
        <v>58106610</v>
      </c>
      <c r="B2874" s="1" t="inlineStr">
        <is>
          <t>Pizza with meat other than pepperoni, from restaurant or fast food, NS as to type of crust (Includes with one or two meat toppings; all meat, poultry, and seafood toppings excluding pepperoni; from street vendor)</t>
        </is>
      </c>
      <c r="C2874" s="1" t="n">
        <v>2</v>
      </c>
      <c r="D2874" s="1" t="inlineStr">
        <is>
          <t>Links to altEC</t>
        </is>
      </c>
      <c r="E2874" s="1" t="inlineStr">
        <is>
          <t>Base</t>
        </is>
      </c>
      <c r="F2874" s="1" t="n">
        <v>0.673947</v>
      </c>
    </row>
    <row r="2875" ht="15.75" customHeight="1" s="201">
      <c r="A2875" s="1" t="n">
        <v>58106620</v>
      </c>
      <c r="B2875" s="1" t="inlineStr">
        <is>
          <t>Pizza with meat other than pepperoni, from restaurant or fast food, thin crust (Includes with one or two meat toppings; all meat, poultry, and seafood toppings excluding pepperoni; flatbread crust; from street vendor)</t>
        </is>
      </c>
      <c r="C2875" s="1" t="n">
        <v>2</v>
      </c>
      <c r="D2875" s="1" t="inlineStr">
        <is>
          <t>Links to altEC</t>
        </is>
      </c>
      <c r="E2875" s="1" t="inlineStr">
        <is>
          <t>Base</t>
        </is>
      </c>
      <c r="F2875" s="1" t="n">
        <v>0.731874</v>
      </c>
    </row>
    <row r="2876" ht="15.75" customHeight="1" s="201">
      <c r="A2876" s="1" t="n">
        <v>58106625</v>
      </c>
      <c r="B2876" s="1" t="inlineStr">
        <is>
          <t>Pizza with meat other than pepperoni, from restaurant or fast food, medium crust (Includes with one or two meat toppings; all meat, poultry, and seafood toppings excluding pepperoni; original or hand-tossed crust; from street vendor)</t>
        </is>
      </c>
      <c r="C2876" s="1" t="n">
        <v>2</v>
      </c>
      <c r="D2876" s="1" t="inlineStr">
        <is>
          <t>Links to altEC</t>
        </is>
      </c>
      <c r="E2876" s="1" t="inlineStr">
        <is>
          <t>Base</t>
        </is>
      </c>
      <c r="F2876" s="1" t="n">
        <v>0.673947</v>
      </c>
    </row>
    <row r="2877" ht="15.75" customHeight="1" s="201">
      <c r="A2877" s="1" t="n">
        <v>58106630</v>
      </c>
      <c r="B2877" s="1" t="inlineStr">
        <is>
          <t>Pizza with meat other than pepperoni, from restaurant or fast food, thick crust (Includes pan pizza; with one or two meat toppings; all meat, poultry, and seafood toppings excluding pepperoni; from street vendor; pizza on bagel, English muffin, or French bread)</t>
        </is>
      </c>
      <c r="C2877" s="1" t="n">
        <v>2</v>
      </c>
      <c r="D2877" s="1" t="inlineStr">
        <is>
          <t>Links to altEC</t>
        </is>
      </c>
      <c r="E2877" s="1" t="inlineStr">
        <is>
          <t>Base</t>
        </is>
      </c>
      <c r="F2877" s="1" t="n">
        <v>0.6555260000000001</v>
      </c>
    </row>
    <row r="2878" ht="15.75" customHeight="1" s="201">
      <c r="A2878" s="1" t="n">
        <v>58106633</v>
      </c>
      <c r="B2878" s="1" t="inlineStr">
        <is>
          <t>Pizza, with meat other than pepperoni, stuffed crust (Includes cheese stuffed crust; all meat, poultry, and seafood toppings excluding pepperoni; with one or two meat toppings)</t>
        </is>
      </c>
      <c r="C2878" s="1" t="n">
        <v>1</v>
      </c>
      <c r="D2878" s="1" t="inlineStr">
        <is>
          <t>Links to FNDDS</t>
        </is>
      </c>
      <c r="E2878" s="1" t="inlineStr">
        <is>
          <t>Base</t>
        </is>
      </c>
      <c r="F2878" s="1" t="n">
        <v>1.217636</v>
      </c>
    </row>
    <row r="2879" ht="15.75" customHeight="1" s="201">
      <c r="A2879" s="1" t="n">
        <v>58106635</v>
      </c>
      <c r="B2879" s="1" t="inlineStr">
        <is>
          <t>Pizza, with meat other than pepperoni, from school lunch, thin crust (Includes all meat, poultry, and seafood toppings excluding pepperoni; with one or two meat toppings; flatbread crust)</t>
        </is>
      </c>
      <c r="C2879" s="1" t="n">
        <v>2</v>
      </c>
      <c r="D2879" s="1" t="inlineStr">
        <is>
          <t>Links to altEC</t>
        </is>
      </c>
      <c r="E2879" s="1" t="inlineStr">
        <is>
          <t>Base</t>
        </is>
      </c>
      <c r="F2879" s="1" t="n">
        <v>0.7320449999999999</v>
      </c>
    </row>
    <row r="2880" ht="15.75" customHeight="1" s="201">
      <c r="A2880" s="1" t="n">
        <v>58106636</v>
      </c>
      <c r="B2880" s="1" t="inlineStr">
        <is>
          <t>Pizza, with meat other than pepperoni, from school lunch, thick crust (Includes pan pizza; all meat, poultry, and seafood toppings excluding pepperoni; with one or two meat toppings; pizza on bagel, English muffin, or French bread)</t>
        </is>
      </c>
      <c r="C2880" s="1" t="n">
        <v>2</v>
      </c>
      <c r="D2880" s="1" t="inlineStr">
        <is>
          <t>Links to altEC</t>
        </is>
      </c>
      <c r="E2880" s="1" t="inlineStr">
        <is>
          <t>Base</t>
        </is>
      </c>
      <c r="F2880" s="1" t="n">
        <v>0.6577539999999999</v>
      </c>
    </row>
    <row r="2881" ht="15.75" customHeight="1" s="201">
      <c r="A2881" s="1" t="n">
        <v>58106650</v>
      </c>
      <c r="B2881" s="1" t="inlineStr">
        <is>
          <t>Pizza with extra meat, thin crust (Includes with three or more meat toppings; all meat, poultry, and seafood toppings including pepperoni; flatbread crust)</t>
        </is>
      </c>
      <c r="C2881" s="1" t="n">
        <v>1</v>
      </c>
      <c r="D2881" s="1" t="inlineStr">
        <is>
          <t>Links to FNDDS</t>
        </is>
      </c>
      <c r="E2881" s="1" t="inlineStr">
        <is>
          <t>Base</t>
        </is>
      </c>
      <c r="F2881" s="1" t="n">
        <v>0.629758</v>
      </c>
    </row>
    <row r="2882" ht="15.75" customHeight="1" s="201">
      <c r="A2882" s="1" t="n">
        <v>58106655</v>
      </c>
      <c r="B2882" s="1" t="inlineStr">
        <is>
          <t>Pizza with extra meat, medium crust (Includes with three or more meat toppings; all meat, poultry, and seafood toppings including pepperoni; original, hand-tossed, or NS as to type of crust)</t>
        </is>
      </c>
      <c r="C2882" s="1" t="n">
        <v>1</v>
      </c>
      <c r="D2882" s="1" t="inlineStr">
        <is>
          <t>Links to FNDDS</t>
        </is>
      </c>
      <c r="E2882" s="1" t="inlineStr">
        <is>
          <t>Base</t>
        </is>
      </c>
      <c r="F2882" s="1" t="n">
        <v>0.647904</v>
      </c>
    </row>
    <row r="2883" ht="15.75" customHeight="1" s="201">
      <c r="A2883" s="1" t="n">
        <v>58106700</v>
      </c>
      <c r="B2883" s="1" t="inlineStr">
        <is>
          <t>Pizza with meat and vegetables, from frozen, thin crust (Includes supreme pizza; all meat, poultry, and seafood toppings including pepperoni; with one, two, or three meat and vegetable toppings; flatbread crust; homemade or ready-to-bake pizza)</t>
        </is>
      </c>
      <c r="C2883" s="1" t="n">
        <v>1</v>
      </c>
      <c r="D2883" s="1" t="inlineStr">
        <is>
          <t>Links to FNDDS</t>
        </is>
      </c>
      <c r="E2883" s="1" t="inlineStr">
        <is>
          <t>Base</t>
        </is>
      </c>
      <c r="F2883" s="1" t="n">
        <v>0.716628</v>
      </c>
    </row>
    <row r="2884" ht="15.75" customHeight="1" s="201">
      <c r="A2884" s="1" t="n">
        <v>58106702</v>
      </c>
      <c r="B2884" s="1" t="inlineStr">
        <is>
          <t>Pizza with meat and vegetables, from frozen, medium crust (Includes supreme pizza; all meat, poultry, and seafood toppings including pepperoni; with one, two, or three meat and vegetable toppings; original crust; homemade or ready-to-bake pizza)</t>
        </is>
      </c>
      <c r="C2884" s="1" t="n">
        <v>1</v>
      </c>
      <c r="D2884" s="1" t="inlineStr">
        <is>
          <t>Links to FNDDS</t>
        </is>
      </c>
      <c r="E2884" s="1" t="inlineStr">
        <is>
          <t>Base</t>
        </is>
      </c>
      <c r="F2884" s="1" t="n">
        <v>0.81475</v>
      </c>
    </row>
    <row r="2885" ht="15.75" customHeight="1" s="201">
      <c r="A2885" s="1" t="n">
        <v>58106720</v>
      </c>
      <c r="B2885" s="1" t="inlineStr">
        <is>
          <t>Pizza with meat and vegetables, from restaurant or fast food, thin crust (Includes with one, two, or three meat  and vegetable toppings; all meat, poultry, and seafood toppings including pepperoni; flatbread crust; from street vendor)</t>
        </is>
      </c>
      <c r="C2885" s="1" t="n">
        <v>2</v>
      </c>
      <c r="D2885" s="1" t="inlineStr">
        <is>
          <t>Links to altEC</t>
        </is>
      </c>
      <c r="E2885" s="1" t="inlineStr">
        <is>
          <t>Base</t>
        </is>
      </c>
      <c r="F2885" s="1" t="n">
        <v>0.716628</v>
      </c>
    </row>
    <row r="2886" ht="15.75" customHeight="1" s="201">
      <c r="A2886" s="1" t="n">
        <v>58106725</v>
      </c>
      <c r="B2886" s="1" t="inlineStr">
        <is>
          <t>Pizza with meat and vegetables, from restaurant or fast food, medium crust (Includes with one, two, or three meat and vegetable toppings; all meat, poultry, and seafood toppings including pepperoni; original, hand-tossed, or NS as to type of crust; from street vendor)</t>
        </is>
      </c>
      <c r="C2886" s="1" t="n">
        <v>2</v>
      </c>
      <c r="D2886" s="1" t="inlineStr">
        <is>
          <t>Links to altEC</t>
        </is>
      </c>
      <c r="E2886" s="1" t="inlineStr">
        <is>
          <t>Base</t>
        </is>
      </c>
      <c r="F2886" s="1" t="n">
        <v>0.81475</v>
      </c>
    </row>
    <row r="2887" ht="15.75" customHeight="1" s="201">
      <c r="A2887" s="1" t="n">
        <v>58106730</v>
      </c>
      <c r="B2887" s="1" t="inlineStr">
        <is>
          <t>Pizza with meat and vegetables, from restaurant or fast food, thick crust (Includes pan pizza; with one, two, or three meat and vegetable toppings; all meat, poultry, and seafood toppings including pepperoni; from street vendor; pizza on bagel, English muffin, or French bread)</t>
        </is>
      </c>
      <c r="C2887" s="1" t="n">
        <v>2</v>
      </c>
      <c r="D2887" s="1" t="inlineStr">
        <is>
          <t>Links to altEC</t>
        </is>
      </c>
      <c r="E2887" s="1" t="inlineStr">
        <is>
          <t>Base</t>
        </is>
      </c>
      <c r="F2887" s="1" t="n">
        <v>0.6282489999999999</v>
      </c>
    </row>
    <row r="2888" ht="15.75" customHeight="1" s="201">
      <c r="A2888" s="1" t="n">
        <v>58106736</v>
      </c>
      <c r="B2888" s="1" t="inlineStr">
        <is>
          <t>Pizza with extra meat and extra vegetables, thin crust (Includes with two or more meat toppings and two or more vegetable toppings; supreme pizza; all meat, poultry, and seafood toppings including pepperoni; flatbread crust)</t>
        </is>
      </c>
      <c r="C2888" s="1" t="n">
        <v>1</v>
      </c>
      <c r="D2888" s="1" t="inlineStr">
        <is>
          <t>Links to FNDDS</t>
        </is>
      </c>
      <c r="E2888" s="1" t="inlineStr">
        <is>
          <t>Base</t>
        </is>
      </c>
      <c r="F2888" s="1" t="n">
        <v>1.092277</v>
      </c>
    </row>
    <row r="2889" ht="15.75" customHeight="1" s="201">
      <c r="A2889" s="1" t="n">
        <v>58106737</v>
      </c>
      <c r="B2889" s="1" t="inlineStr">
        <is>
          <t>Pizza with extra meat and extra vegetables, thick crust (Includes with two or more meat toppings and two or more vegetable toppings; pan pizza; supreme pizza; all meat, poultry, and seafood toppings including pepperoni; pizza on bagel, English muffin, or French bread)</t>
        </is>
      </c>
      <c r="C2889" s="1" t="n">
        <v>2</v>
      </c>
      <c r="D2889" s="1" t="inlineStr">
        <is>
          <t>Links to altEC</t>
        </is>
      </c>
      <c r="E2889" s="1" t="inlineStr">
        <is>
          <t>Base</t>
        </is>
      </c>
      <c r="F2889" s="1" t="n">
        <v>0.628338</v>
      </c>
    </row>
    <row r="2890" ht="15.75" customHeight="1" s="201">
      <c r="A2890" s="1" t="n">
        <v>58106738</v>
      </c>
      <c r="B2890" s="1" t="inlineStr">
        <is>
          <t>Pizza with extra meat and extra vegetables, medium crust (Includes with two or more meat and two or more vegetable toppings; supreme pizza; all meat, poultry, and seafood toppings including pepperoni; original, hand-tossed, or NS as to type of crust)</t>
        </is>
      </c>
      <c r="C2890" s="1" t="n">
        <v>1</v>
      </c>
      <c r="D2890" s="1" t="inlineStr">
        <is>
          <t>Links to FNDDS</t>
        </is>
      </c>
      <c r="E2890" s="1" t="inlineStr">
        <is>
          <t>Base</t>
        </is>
      </c>
      <c r="F2890" s="1" t="n">
        <v>0.656562</v>
      </c>
    </row>
    <row r="2891" ht="15.75" customHeight="1" s="201">
      <c r="A2891" s="1" t="n">
        <v>58106750</v>
      </c>
      <c r="B2891" s="1" t="inlineStr">
        <is>
          <t>Pizza with meat and fruit, thin crust (Includes all meat, poultry, and seafood toppings including pepperoni; all fruits including pineapple; flatbread crust)</t>
        </is>
      </c>
      <c r="C2891" s="1" t="n">
        <v>1</v>
      </c>
      <c r="D2891" s="1" t="inlineStr">
        <is>
          <t>Links to FNDDS</t>
        </is>
      </c>
      <c r="E2891" s="1" t="inlineStr">
        <is>
          <t>Base</t>
        </is>
      </c>
      <c r="F2891" s="1" t="n">
        <v>0.862743</v>
      </c>
    </row>
    <row r="2892" ht="15.75" customHeight="1" s="201">
      <c r="A2892" s="1" t="n">
        <v>58106755</v>
      </c>
      <c r="B2892" s="1" t="inlineStr">
        <is>
          <t>Pizza with meat and fruit, medium crust (Includes all meat, poultry, and seafood toppings including pepperoni; all fruits including pineapple; original, hand-tossed, or NS as to type of crust)</t>
        </is>
      </c>
      <c r="C2892" s="1" t="n">
        <v>1</v>
      </c>
      <c r="D2892" s="1" t="inlineStr">
        <is>
          <t>Links to FNDDS</t>
        </is>
      </c>
      <c r="E2892" s="1" t="inlineStr">
        <is>
          <t>Base</t>
        </is>
      </c>
      <c r="F2892" s="1" t="n">
        <v>0.703131</v>
      </c>
    </row>
    <row r="2893" ht="15.75" customHeight="1" s="201">
      <c r="A2893" s="1" t="n">
        <v>58106760</v>
      </c>
      <c r="B2893" s="1" t="inlineStr">
        <is>
          <t>Pizza with meat and fruit, thick crust (Includes pan pizza; all meat, poultry, and seafood toppings including pepperoni; all fruits including pineapple; pizza on bagel, English muffin, or French bread)</t>
        </is>
      </c>
      <c r="C2893" s="1" t="n">
        <v>1</v>
      </c>
      <c r="D2893" s="1" t="inlineStr">
        <is>
          <t>Links to FNDDS</t>
        </is>
      </c>
      <c r="E2893" s="1" t="inlineStr">
        <is>
          <t>Base</t>
        </is>
      </c>
      <c r="F2893" s="1" t="n">
        <v>0.716155</v>
      </c>
    </row>
    <row r="2894" ht="15.75" customHeight="1" s="201">
      <c r="A2894" s="1" t="n">
        <v>58107205</v>
      </c>
      <c r="B2894" s="1" t="inlineStr">
        <is>
          <t>White pizza, cheese, thin crust (Includes NS as to toppings; original , medium, hand-tossed, flatbread, or NS as to type of crust)</t>
        </is>
      </c>
      <c r="C2894" s="1" t="n">
        <v>1</v>
      </c>
      <c r="D2894" s="1" t="inlineStr">
        <is>
          <t>Links to FNDDS</t>
        </is>
      </c>
      <c r="E2894" s="1" t="inlineStr">
        <is>
          <t>Base</t>
        </is>
      </c>
      <c r="F2894" s="1" t="n">
        <v>1.508079</v>
      </c>
    </row>
    <row r="2895" ht="15.75" customHeight="1" s="201">
      <c r="A2895" s="1" t="n">
        <v>58107212</v>
      </c>
      <c r="B2895" s="1" t="inlineStr">
        <is>
          <t>White pizza, cheese, with vegetables, thin crust (Includes original, medium, hand tossed, flatbread, or NS as to type of crust)</t>
        </is>
      </c>
      <c r="C2895" s="1" t="n">
        <v>1</v>
      </c>
      <c r="D2895" s="1" t="inlineStr">
        <is>
          <t>Links to FNDDS</t>
        </is>
      </c>
      <c r="E2895" s="1" t="inlineStr">
        <is>
          <t>Base</t>
        </is>
      </c>
      <c r="F2895" s="1" t="n">
        <v>1.407933</v>
      </c>
    </row>
    <row r="2896" ht="15.75" customHeight="1" s="201">
      <c r="A2896" s="1" t="n">
        <v>58107222</v>
      </c>
      <c r="B2896" s="1" t="inlineStr">
        <is>
          <t>White pizza, cheese, with meat, thin crust (Includes all meat, poultry, and seafood including pepperoni; original, medium, hand tossed, flatbread, or NS as to type of crust)</t>
        </is>
      </c>
      <c r="C2896" s="1" t="n">
        <v>1</v>
      </c>
      <c r="D2896" s="1" t="inlineStr">
        <is>
          <t>Links to FNDDS</t>
        </is>
      </c>
      <c r="E2896" s="1" t="inlineStr">
        <is>
          <t>Base</t>
        </is>
      </c>
      <c r="F2896" s="1" t="n">
        <v>0.87108</v>
      </c>
    </row>
    <row r="2897" ht="15.75" customHeight="1" s="201">
      <c r="A2897" s="1" t="n">
        <v>58108000</v>
      </c>
      <c r="B2897" s="1" t="inlineStr">
        <is>
          <t>Calzone, with cheese, meatless (Includes stromboli)</t>
        </is>
      </c>
      <c r="C2897" s="1" t="n">
        <v>1</v>
      </c>
      <c r="D2897" s="1" t="inlineStr">
        <is>
          <t>Links to FNDDS</t>
        </is>
      </c>
      <c r="E2897" s="1" t="inlineStr">
        <is>
          <t>Base</t>
        </is>
      </c>
      <c r="F2897" s="1" t="n">
        <v>1.638042</v>
      </c>
    </row>
    <row r="2898" ht="15.75" customHeight="1" s="201">
      <c r="A2898" s="1" t="n">
        <v>58108010</v>
      </c>
      <c r="B2898" s="1" t="inlineStr">
        <is>
          <t>Calzone, with meat and cheese (Includes stromboli; Pizza Hut Calizza)</t>
        </is>
      </c>
      <c r="C2898" s="1" t="n">
        <v>1</v>
      </c>
      <c r="D2898" s="1" t="inlineStr">
        <is>
          <t>Links to FNDDS</t>
        </is>
      </c>
      <c r="E2898" s="1" t="inlineStr">
        <is>
          <t>Base</t>
        </is>
      </c>
      <c r="F2898" s="1" t="n">
        <v>1.305776</v>
      </c>
    </row>
    <row r="2899" ht="15.75" customHeight="1" s="201">
      <c r="A2899" s="1" t="n">
        <v>58108050</v>
      </c>
      <c r="B2899" s="1" t="inlineStr">
        <is>
          <t>Pizza rolls</t>
        </is>
      </c>
      <c r="C2899" s="1" t="n">
        <v>2</v>
      </c>
      <c r="D2899" s="1" t="inlineStr">
        <is>
          <t>Links to altEC</t>
        </is>
      </c>
      <c r="E2899" s="1" t="inlineStr">
        <is>
          <t>Base</t>
        </is>
      </c>
      <c r="F2899" s="1" t="n">
        <v>0.57886</v>
      </c>
    </row>
    <row r="2900" ht="15.75" customHeight="1" s="201">
      <c r="A2900" s="1" t="n">
        <v>58109015</v>
      </c>
      <c r="B2900" s="1" t="inlineStr">
        <is>
          <t>Pizza, cheese, whole wheat thin crust (Includes NS as to toppings; original, medium, hand-tossed, flatbread, or NS as to type of crust)</t>
        </is>
      </c>
      <c r="C2900" s="1" t="n">
        <v>2</v>
      </c>
      <c r="D2900" s="1" t="inlineStr">
        <is>
          <t>Links to altEC</t>
        </is>
      </c>
      <c r="E2900" s="1" t="inlineStr">
        <is>
          <t>Base</t>
        </is>
      </c>
      <c r="F2900" s="1" t="n">
        <v>0.804843</v>
      </c>
    </row>
    <row r="2901" ht="15.75" customHeight="1" s="201">
      <c r="A2901" s="1" t="n">
        <v>58109020</v>
      </c>
      <c r="B2901" s="1" t="inlineStr">
        <is>
          <t>Pizza, cheese, whole wheat thick crust (Includes NS as to toppings; pan pizza; NS as toppings; pizza on bagel, English muffin, or French bread)</t>
        </is>
      </c>
      <c r="C2901" s="1" t="n">
        <v>1</v>
      </c>
      <c r="D2901" s="1" t="inlineStr">
        <is>
          <t>Links to FNDDS</t>
        </is>
      </c>
      <c r="E2901" s="1" t="inlineStr">
        <is>
          <t>Base</t>
        </is>
      </c>
      <c r="F2901" s="1" t="n">
        <v>0.834381</v>
      </c>
    </row>
    <row r="2902" ht="15.75" customHeight="1" s="201">
      <c r="A2902" s="1" t="n">
        <v>58109030</v>
      </c>
      <c r="B2902" s="1" t="inlineStr">
        <is>
          <t>Pizza, with meat, whole wheat thin crust (Includes all meat, poultry, and seafood toppings including pepperoni; original, medium, hand-tossed, flatbread, or NS as to type of crust)</t>
        </is>
      </c>
      <c r="C2902" s="1" t="n">
        <v>1</v>
      </c>
      <c r="D2902" s="1" t="inlineStr">
        <is>
          <t>Links to FNDDS</t>
        </is>
      </c>
      <c r="E2902" s="1" t="inlineStr">
        <is>
          <t>Base</t>
        </is>
      </c>
      <c r="F2902" s="1" t="n">
        <v>0.778138</v>
      </c>
    </row>
    <row r="2903" ht="15.75" customHeight="1" s="201">
      <c r="A2903" s="1" t="n">
        <v>58109050</v>
      </c>
      <c r="B2903" s="1" t="inlineStr">
        <is>
          <t>Pizza, cheese and vegetables, whole wheat thin crust (Includes original, medium, hand-tossed, flatbread, or NS as to type of crust)</t>
        </is>
      </c>
      <c r="C2903" s="1" t="n">
        <v>2</v>
      </c>
      <c r="D2903" s="1" t="inlineStr">
        <is>
          <t>Links to altEC</t>
        </is>
      </c>
      <c r="E2903" s="1" t="inlineStr">
        <is>
          <t>Base</t>
        </is>
      </c>
      <c r="F2903" s="1" t="n">
        <v>1.354513</v>
      </c>
    </row>
    <row r="2904" ht="15.75" customHeight="1" s="201">
      <c r="A2904" s="1" t="n">
        <v>58109120</v>
      </c>
      <c r="B2904" s="1" t="inlineStr">
        <is>
          <t>Pizza, with meat, gluten-free thin crust (Includes all meat, poultry, and seafood toppings including pepperoni; original, medium, hand-tossed, flatbread or NS as to type of crust)</t>
        </is>
      </c>
      <c r="C2904" s="1" t="n">
        <v>1</v>
      </c>
      <c r="D2904" s="1" t="inlineStr">
        <is>
          <t>Links to FNDDS</t>
        </is>
      </c>
      <c r="E2904" s="1" t="inlineStr">
        <is>
          <t>Base</t>
        </is>
      </c>
      <c r="F2904" s="1" t="n">
        <v>2.279729</v>
      </c>
    </row>
    <row r="2905" ht="15.75" customHeight="1" s="201">
      <c r="A2905" s="1" t="n">
        <v>58109130</v>
      </c>
      <c r="B2905" s="1" t="inlineStr">
        <is>
          <t>Pizza, with meat, gluten-free thick crust (Includes all meat, poultry, and seafood toppings including pepperoni; pan pizza)</t>
        </is>
      </c>
      <c r="C2905" s="1" t="n">
        <v>2</v>
      </c>
      <c r="D2905" s="1" t="inlineStr">
        <is>
          <t>Links to altEC</t>
        </is>
      </c>
      <c r="E2905" s="1" t="inlineStr">
        <is>
          <t>Base</t>
        </is>
      </c>
      <c r="F2905" s="1" t="n">
        <v>2.279729</v>
      </c>
    </row>
    <row r="2906" ht="15.75" customHeight="1" s="201">
      <c r="A2906" s="1" t="n">
        <v>58109140</v>
      </c>
      <c r="B2906" s="1" t="inlineStr">
        <is>
          <t>Pizza, cheese and vegetables, gluten-free thin crust (Includes original, medium, hand-tossed, flatbread, or NS as to type of crust)</t>
        </is>
      </c>
      <c r="C2906" s="1" t="n">
        <v>1</v>
      </c>
      <c r="D2906" s="1" t="inlineStr">
        <is>
          <t>Links to FNDDS</t>
        </is>
      </c>
      <c r="E2906" s="1" t="inlineStr">
        <is>
          <t>Base</t>
        </is>
      </c>
      <c r="F2906" s="1" t="n">
        <v>2.449304</v>
      </c>
    </row>
    <row r="2907" ht="15.75" customHeight="1" s="201">
      <c r="A2907" s="1" t="n">
        <v>58109210</v>
      </c>
      <c r="B2907" s="1" t="inlineStr">
        <is>
          <t>Breakfast pizza with egg</t>
        </is>
      </c>
      <c r="C2907" s="1" t="n">
        <v>4</v>
      </c>
      <c r="D2907" s="1" t="inlineStr">
        <is>
          <t>FNDDS recipe with replaced or modified SR codes</t>
        </is>
      </c>
      <c r="E2907" s="1" t="inlineStr">
        <is>
          <t>Base</t>
        </is>
      </c>
      <c r="F2907" s="1" t="n">
        <v>0.782261</v>
      </c>
    </row>
    <row r="2908" ht="15.75" customHeight="1" s="201">
      <c r="A2908" s="1" t="n">
        <v>58110110</v>
      </c>
      <c r="B2908" s="1" t="inlineStr">
        <is>
          <t>Egg roll, meatless (Includes Chinese roll; spring roll; lumpia; vegetable or vegetarian egg roll)</t>
        </is>
      </c>
      <c r="C2908" s="1" t="n">
        <v>1</v>
      </c>
      <c r="D2908" s="1" t="inlineStr">
        <is>
          <t>Links to FNDDS</t>
        </is>
      </c>
      <c r="E2908" s="1" t="inlineStr">
        <is>
          <t>Base</t>
        </is>
      </c>
      <c r="F2908" s="1" t="n">
        <v>1.079306</v>
      </c>
    </row>
    <row r="2909" ht="15.75" customHeight="1" s="201">
      <c r="A2909" s="1" t="n">
        <v>58110120</v>
      </c>
      <c r="B2909" s="1" t="inlineStr">
        <is>
          <t>Egg roll, with shrimp (Includes Chinese roll; spring roll; lumpia)</t>
        </is>
      </c>
      <c r="C2909" s="1" t="n">
        <v>1</v>
      </c>
      <c r="D2909" s="1" t="inlineStr">
        <is>
          <t>Links to FNDDS</t>
        </is>
      </c>
      <c r="E2909" s="1" t="inlineStr">
        <is>
          <t>Base</t>
        </is>
      </c>
      <c r="F2909" s="1" t="n">
        <v>1.160238</v>
      </c>
    </row>
    <row r="2910" ht="15.75" customHeight="1" s="201">
      <c r="A2910" s="1" t="n">
        <v>58110130</v>
      </c>
      <c r="B2910" s="1" t="inlineStr">
        <is>
          <t>Egg roll, with beef and/or pork (Includes Chinese roll; spring roll; egg roll, NFS; lumpia)</t>
        </is>
      </c>
      <c r="C2910" s="1" t="n">
        <v>2</v>
      </c>
      <c r="D2910" s="1" t="inlineStr">
        <is>
          <t>Links to altEC</t>
        </is>
      </c>
      <c r="E2910" s="1" t="inlineStr">
        <is>
          <t>Base</t>
        </is>
      </c>
      <c r="F2910" s="1" t="n">
        <v>0.936765</v>
      </c>
    </row>
    <row r="2911" ht="15.75" customHeight="1" s="201">
      <c r="A2911" s="1" t="n">
        <v>58110170</v>
      </c>
      <c r="B2911" s="1" t="inlineStr">
        <is>
          <t>Egg roll, with chicken or turkey (Includes Chinese roll; spring roll; lumpia)</t>
        </is>
      </c>
      <c r="C2911" s="1" t="n">
        <v>1</v>
      </c>
      <c r="D2911" s="1" t="inlineStr">
        <is>
          <t>Links to FNDDS</t>
        </is>
      </c>
      <c r="E2911" s="1" t="inlineStr">
        <is>
          <t>Base</t>
        </is>
      </c>
      <c r="F2911" s="1" t="n">
        <v>0.923326</v>
      </c>
    </row>
    <row r="2912" ht="15.75" customHeight="1" s="201">
      <c r="A2912" s="1" t="n">
        <v>58110200</v>
      </c>
      <c r="B2912" s="1" t="inlineStr">
        <is>
          <t>Roll with meat and/or shrimp, vegetables and rice paper, not fried (Includes Vietnamese Bo Bia Roll; fresh garden roll (Goi Cuon); summer roll)</t>
        </is>
      </c>
      <c r="C2912" s="1" t="n">
        <v>2</v>
      </c>
      <c r="D2912" s="1" t="inlineStr">
        <is>
          <t>Links to altEC</t>
        </is>
      </c>
      <c r="E2912" s="1" t="inlineStr">
        <is>
          <t>Base</t>
        </is>
      </c>
      <c r="F2912" s="1" t="n">
        <v>0.936765</v>
      </c>
    </row>
    <row r="2913" ht="15.75" customHeight="1" s="201">
      <c r="A2913" s="1" t="n">
        <v>58111110</v>
      </c>
      <c r="B2913" s="1" t="inlineStr">
        <is>
          <t>Wonton, fried, filled with meat, poultry, or seafood, (Includes fried dumpling; pot Sticker)</t>
        </is>
      </c>
      <c r="C2913" s="1" t="n">
        <v>1</v>
      </c>
      <c r="D2913" s="1" t="inlineStr">
        <is>
          <t>Links to FNDDS</t>
        </is>
      </c>
      <c r="E2913" s="1" t="inlineStr">
        <is>
          <t>Base</t>
        </is>
      </c>
      <c r="F2913" s="1" t="n">
        <v>1.306565</v>
      </c>
    </row>
    <row r="2914" ht="15.75" customHeight="1" s="201">
      <c r="A2914" s="1" t="n">
        <v>58111120</v>
      </c>
      <c r="B2914" s="1" t="inlineStr">
        <is>
          <t>Wonton, fried, meatless (Includes fried dumpling; pot Sticker)</t>
        </is>
      </c>
      <c r="C2914" s="1" t="n">
        <v>1</v>
      </c>
      <c r="D2914" s="1" t="inlineStr">
        <is>
          <t>Links to FNDDS</t>
        </is>
      </c>
      <c r="E2914" s="1" t="inlineStr">
        <is>
          <t>Base</t>
        </is>
      </c>
      <c r="F2914" s="1" t="n">
        <v>1.720173</v>
      </c>
    </row>
    <row r="2915" ht="15.75" customHeight="1" s="201">
      <c r="A2915" s="1" t="n">
        <v>58111130</v>
      </c>
      <c r="B2915" s="1" t="inlineStr">
        <is>
          <t>Wonton, fried, filled with meat, poultry, or seafood, and vegetable (Includes fried dumpling; pot sticker)</t>
        </is>
      </c>
      <c r="C2915" s="1" t="n">
        <v>1</v>
      </c>
      <c r="D2915" s="1" t="inlineStr">
        <is>
          <t>Links to FNDDS</t>
        </is>
      </c>
      <c r="E2915" s="1" t="inlineStr">
        <is>
          <t>Base</t>
        </is>
      </c>
      <c r="F2915" s="1" t="n">
        <v>0.852179</v>
      </c>
    </row>
    <row r="2916" ht="15.75" customHeight="1" s="201">
      <c r="A2916" s="1" t="n">
        <v>58112510</v>
      </c>
      <c r="B2916" s="1" t="inlineStr">
        <is>
          <t>Dumpling, steamed, filled with meat, poultry, or seafood (Includes shui-mai; steamed bun; steamed won ton (wonton))</t>
        </is>
      </c>
      <c r="C2916" s="1" t="n">
        <v>2</v>
      </c>
      <c r="D2916" s="1" t="inlineStr">
        <is>
          <t>Links to altEC</t>
        </is>
      </c>
      <c r="E2916" s="1" t="inlineStr">
        <is>
          <t>Base</t>
        </is>
      </c>
      <c r="F2916" s="1" t="n">
        <v>2.053436</v>
      </c>
    </row>
    <row r="2917" ht="15.75" customHeight="1" s="201">
      <c r="A2917" s="1" t="n">
        <v>58116110</v>
      </c>
      <c r="B2917" s="1" t="inlineStr">
        <is>
          <t>Meat turnover, Puerto Rican style (Includes Pastelillo de carne; Empanadilla)</t>
        </is>
      </c>
      <c r="C2917" s="1" t="n">
        <v>4</v>
      </c>
      <c r="D2917" s="1" t="inlineStr">
        <is>
          <t>FNDDS recipe with replaced or modified SR codes</t>
        </is>
      </c>
      <c r="E2917" s="1" t="inlineStr">
        <is>
          <t>Base</t>
        </is>
      </c>
      <c r="F2917" s="1" t="n">
        <v>0.476006</v>
      </c>
    </row>
    <row r="2918" ht="15.75" customHeight="1" s="201">
      <c r="A2918" s="1" t="n">
        <v>58116115</v>
      </c>
      <c r="B2918" s="1" t="inlineStr">
        <is>
          <t>Empanada, Mexican turnover, filled with cheese and vegetables (Includes with picadillo)</t>
        </is>
      </c>
      <c r="C2918" s="1" t="n">
        <v>4</v>
      </c>
      <c r="D2918" s="1" t="inlineStr">
        <is>
          <t>FNDDS recipe with replaced or modified SR codes</t>
        </is>
      </c>
      <c r="E2918" s="1" t="inlineStr">
        <is>
          <t>Base</t>
        </is>
      </c>
      <c r="F2918" s="1" t="n">
        <v>0.500952</v>
      </c>
    </row>
    <row r="2919" ht="15.75" customHeight="1" s="201">
      <c r="A2919" s="1" t="n">
        <v>58116120</v>
      </c>
      <c r="B2919" s="1" t="inlineStr">
        <is>
          <t>Empanada, Mexican turnover, filled with meat and vegetables (Includes Empanada with savory filling; with picadillo)</t>
        </is>
      </c>
      <c r="C2919" s="1" t="n">
        <v>1</v>
      </c>
      <c r="D2919" s="1" t="inlineStr">
        <is>
          <t>Links to FNDDS</t>
        </is>
      </c>
      <c r="E2919" s="1" t="inlineStr">
        <is>
          <t>Base</t>
        </is>
      </c>
      <c r="F2919" s="1" t="n">
        <v>1.012222</v>
      </c>
    </row>
    <row r="2920" ht="15.75" customHeight="1" s="201">
      <c r="A2920" s="1" t="n">
        <v>58116210</v>
      </c>
      <c r="B2920" s="1" t="inlineStr">
        <is>
          <t>Meat pie, Puerto Rican style (Includes Pastelon de carne)</t>
        </is>
      </c>
      <c r="C2920" s="1" t="n">
        <v>4</v>
      </c>
      <c r="D2920" s="1" t="inlineStr">
        <is>
          <t>FNDDS recipe with replaced or modified SR codes</t>
        </is>
      </c>
      <c r="E2920" s="1" t="inlineStr">
        <is>
          <t>Base</t>
        </is>
      </c>
      <c r="F2920" s="1" t="n">
        <v>0.827237</v>
      </c>
    </row>
    <row r="2921" ht="15.75" customHeight="1" s="201">
      <c r="A2921" s="1" t="n">
        <v>58116310</v>
      </c>
      <c r="B2921" s="1" t="inlineStr">
        <is>
          <t>Cheese turnover, Puerto Rican style (Includes Pastelillo de queso; Empanadilla)</t>
        </is>
      </c>
      <c r="C2921" s="1" t="n">
        <v>4</v>
      </c>
      <c r="D2921" s="1" t="inlineStr">
        <is>
          <t>FNDDS recipe with replaced or modified SR codes</t>
        </is>
      </c>
      <c r="E2921" s="1" t="inlineStr">
        <is>
          <t>Base</t>
        </is>
      </c>
      <c r="F2921" s="1" t="n">
        <v>0.381125</v>
      </c>
    </row>
    <row r="2922" ht="15.75" customHeight="1" s="201">
      <c r="A2922" s="1" t="n">
        <v>58117110</v>
      </c>
      <c r="B2922" s="1" t="inlineStr">
        <is>
          <t>Cornmeal fritter, Puerto Rican style (Includes Arepa; P.R. arepita)</t>
        </is>
      </c>
      <c r="C2922" s="1" t="n">
        <v>1</v>
      </c>
      <c r="D2922" s="1" t="inlineStr">
        <is>
          <t>Links to FNDDS</t>
        </is>
      </c>
      <c r="E2922" s="1" t="inlineStr">
        <is>
          <t>Base</t>
        </is>
      </c>
      <c r="F2922" s="1" t="n">
        <v>0.697732</v>
      </c>
    </row>
    <row r="2923" ht="15.75" customHeight="1" s="201">
      <c r="A2923" s="1" t="n">
        <v>58117310</v>
      </c>
      <c r="B2923" s="1" t="inlineStr">
        <is>
          <t>Kibby, Puerto Rican style (Includes beef and bulgur; Plato Arabe)</t>
        </is>
      </c>
      <c r="C2923" s="1" t="n">
        <v>4</v>
      </c>
      <c r="D2923" s="1" t="inlineStr">
        <is>
          <t>FNDDS recipe with replaced or modified SR codes</t>
        </is>
      </c>
      <c r="E2923" s="1" t="inlineStr">
        <is>
          <t>Base</t>
        </is>
      </c>
      <c r="F2923" s="1" t="n">
        <v>0.5400700000000001</v>
      </c>
    </row>
    <row r="2924" ht="15.75" customHeight="1" s="201">
      <c r="A2924" s="1" t="n">
        <v>58117410</v>
      </c>
      <c r="B2924" s="1" t="inlineStr">
        <is>
          <t>Codfish fritter, Puerto Rican style (Includes Bacalaitos fritos)</t>
        </is>
      </c>
      <c r="C2924" s="1" t="n">
        <v>4</v>
      </c>
      <c r="D2924" s="1" t="inlineStr">
        <is>
          <t>FNDDS recipe with replaced or modified SR codes</t>
        </is>
      </c>
      <c r="E2924" s="1" t="inlineStr">
        <is>
          <t>Base</t>
        </is>
      </c>
      <c r="F2924" s="1" t="n">
        <v>1.026333</v>
      </c>
    </row>
    <row r="2925" ht="15.75" customHeight="1" s="201">
      <c r="A2925" s="1" t="n">
        <v>58121510</v>
      </c>
      <c r="B2925" s="1" t="inlineStr">
        <is>
          <t>Dumpling, meat-filled (Includes pierogi; piroshki; kreplach)</t>
        </is>
      </c>
      <c r="C2925" s="1" t="n">
        <v>1</v>
      </c>
      <c r="D2925" s="1" t="inlineStr">
        <is>
          <t>Links to FNDDS</t>
        </is>
      </c>
      <c r="E2925" s="1" t="inlineStr">
        <is>
          <t>Base</t>
        </is>
      </c>
      <c r="F2925" s="1" t="n">
        <v>0.8893760000000001</v>
      </c>
    </row>
    <row r="2926" ht="15.75" customHeight="1" s="201">
      <c r="A2926" s="1" t="n">
        <v>58121620</v>
      </c>
      <c r="B2926" s="1" t="inlineStr">
        <is>
          <t>Dumpling, vegetable (Includes pierogi)</t>
        </is>
      </c>
      <c r="C2926" s="1" t="n">
        <v>1</v>
      </c>
      <c r="D2926" s="1" t="inlineStr">
        <is>
          <t>Links to FNDDS</t>
        </is>
      </c>
      <c r="E2926" s="1" t="inlineStr">
        <is>
          <t>Base</t>
        </is>
      </c>
      <c r="F2926" s="1" t="n">
        <v>0.479637</v>
      </c>
    </row>
    <row r="2927" ht="15.75" customHeight="1" s="201">
      <c r="A2927" s="1" t="n">
        <v>58122210</v>
      </c>
      <c r="B2927" s="1" t="inlineStr">
        <is>
          <t>Gnocchi, cheese</t>
        </is>
      </c>
      <c r="C2927" s="1" t="n">
        <v>1</v>
      </c>
      <c r="D2927" s="1" t="inlineStr">
        <is>
          <t>Links to FNDDS</t>
        </is>
      </c>
      <c r="E2927" s="1" t="inlineStr">
        <is>
          <t>Base</t>
        </is>
      </c>
      <c r="F2927" s="1" t="n">
        <v>0.930368</v>
      </c>
    </row>
    <row r="2928" ht="15.75" customHeight="1" s="201">
      <c r="A2928" s="1" t="n">
        <v>58122220</v>
      </c>
      <c r="B2928" s="1" t="inlineStr">
        <is>
          <t>Gnocchi, potato</t>
        </is>
      </c>
      <c r="C2928" s="1" t="n">
        <v>1</v>
      </c>
      <c r="D2928" s="1" t="inlineStr">
        <is>
          <t>Links to FNDDS</t>
        </is>
      </c>
      <c r="E2928" s="1" t="inlineStr">
        <is>
          <t>Base</t>
        </is>
      </c>
      <c r="F2928" s="1" t="n">
        <v>0.474635</v>
      </c>
    </row>
    <row r="2929" ht="15.75" customHeight="1" s="201">
      <c r="A2929" s="1" t="n">
        <v>58122330</v>
      </c>
      <c r="B2929" s="1" t="inlineStr">
        <is>
          <t>Knish, meat (Includes pastry filled with meat)</t>
        </is>
      </c>
      <c r="C2929" s="1" t="n">
        <v>2</v>
      </c>
      <c r="D2929" s="1" t="inlineStr">
        <is>
          <t>Links to altEC</t>
        </is>
      </c>
      <c r="E2929" s="1" t="inlineStr">
        <is>
          <t>Base</t>
        </is>
      </c>
      <c r="F2929" s="1" t="n">
        <v>0.8789439999999999</v>
      </c>
    </row>
    <row r="2930" ht="15.75" customHeight="1" s="201">
      <c r="A2930" s="1" t="n">
        <v>58124210</v>
      </c>
      <c r="B2930" s="1" t="inlineStr">
        <is>
          <t>Pastry, cheese-filled (Includes kolache)</t>
        </is>
      </c>
      <c r="C2930" s="1" t="n">
        <v>1</v>
      </c>
      <c r="D2930" s="1" t="inlineStr">
        <is>
          <t>Links to FNDDS</t>
        </is>
      </c>
      <c r="E2930" s="1" t="inlineStr">
        <is>
          <t>Base</t>
        </is>
      </c>
      <c r="F2930" s="1" t="n">
        <v>0.997995</v>
      </c>
    </row>
    <row r="2931" ht="15.75" customHeight="1" s="201">
      <c r="A2931" s="1" t="n">
        <v>58124230</v>
      </c>
      <c r="B2931" s="1" t="inlineStr">
        <is>
          <t>Pastry, meat / poultry-filled (Includes kolache)</t>
        </is>
      </c>
      <c r="C2931" s="1" t="n">
        <v>1</v>
      </c>
      <c r="D2931" s="1" t="inlineStr">
        <is>
          <t>Links to FNDDS</t>
        </is>
      </c>
      <c r="E2931" s="1" t="inlineStr">
        <is>
          <t>Base</t>
        </is>
      </c>
      <c r="F2931" s="1" t="n">
        <v>1.199937</v>
      </c>
    </row>
    <row r="2932" ht="15.75" customHeight="1" s="201">
      <c r="A2932" s="1" t="n">
        <v>58124250</v>
      </c>
      <c r="B2932" s="1" t="inlineStr">
        <is>
          <t>Spanakopitta (Includes Greek spinach-cheese pie)</t>
        </is>
      </c>
      <c r="C2932" s="1" t="n">
        <v>1</v>
      </c>
      <c r="D2932" s="1" t="inlineStr">
        <is>
          <t>Links to FNDDS</t>
        </is>
      </c>
      <c r="E2932" s="1" t="inlineStr">
        <is>
          <t>Base</t>
        </is>
      </c>
      <c r="F2932" s="1" t="n">
        <v>1.592708</v>
      </c>
    </row>
    <row r="2933" ht="15.75" customHeight="1" s="201">
      <c r="A2933" s="1" t="n">
        <v>58124500</v>
      </c>
      <c r="B2933" s="1" t="inlineStr">
        <is>
          <t>Pastry, filled with potatoes and peas, fried (Includes samosa; stuffed pastry cones)</t>
        </is>
      </c>
      <c r="C2933" s="1" t="n">
        <v>1</v>
      </c>
      <c r="D2933" s="1" t="inlineStr">
        <is>
          <t>Links to FNDDS</t>
        </is>
      </c>
      <c r="E2933" s="1" t="inlineStr">
        <is>
          <t>Base</t>
        </is>
      </c>
      <c r="F2933" s="1" t="n">
        <v>1.928335</v>
      </c>
    </row>
    <row r="2934" ht="15.75" customHeight="1" s="201">
      <c r="A2934" s="1" t="n">
        <v>58125110</v>
      </c>
      <c r="B2934" s="1" t="inlineStr">
        <is>
          <t>Quiche with meat, poultry or fish (Includes Quiche Lorraine; quiche, NFS)</t>
        </is>
      </c>
      <c r="C2934" s="1" t="n">
        <v>2</v>
      </c>
      <c r="D2934" s="1" t="inlineStr">
        <is>
          <t>Links to altEC</t>
        </is>
      </c>
      <c r="E2934" s="1" t="inlineStr">
        <is>
          <t>Base</t>
        </is>
      </c>
      <c r="F2934" s="1" t="n">
        <v>1.739982</v>
      </c>
    </row>
    <row r="2935" ht="15.75" customHeight="1" s="201">
      <c r="A2935" s="1" t="n">
        <v>58125120</v>
      </c>
      <c r="B2935" s="1" t="inlineStr">
        <is>
          <t>Spinach quiche, meatless (Includes broccoli quiche)</t>
        </is>
      </c>
      <c r="C2935" s="1" t="n">
        <v>1</v>
      </c>
      <c r="D2935" s="1" t="inlineStr">
        <is>
          <t>Links to FNDDS</t>
        </is>
      </c>
      <c r="E2935" s="1" t="inlineStr">
        <is>
          <t>Base</t>
        </is>
      </c>
      <c r="F2935" s="1" t="n">
        <v>1.648994</v>
      </c>
    </row>
    <row r="2936" ht="15.75" customHeight="1" s="201">
      <c r="A2936" s="1" t="n">
        <v>58126130</v>
      </c>
      <c r="B2936" s="1" t="inlineStr">
        <is>
          <t>Turnover, meat- and cheese-filled, no gravy (Includes Hot Pockets Ham 'n Cheese; Hot Pockets Beef &amp; Cheddar; Hot Pocket Philly Steak and Cheese)</t>
        </is>
      </c>
      <c r="C2936" s="1" t="n">
        <v>2</v>
      </c>
      <c r="D2936" s="1" t="inlineStr">
        <is>
          <t>Links to altEC</t>
        </is>
      </c>
      <c r="E2936" s="1" t="inlineStr">
        <is>
          <t>Base</t>
        </is>
      </c>
      <c r="F2936" s="1" t="n">
        <v>0.750062</v>
      </c>
    </row>
    <row r="2937" ht="15.75" customHeight="1" s="201">
      <c r="A2937" s="1" t="n">
        <v>58126150</v>
      </c>
      <c r="B2937" s="1" t="inlineStr">
        <is>
          <t>Turnover, meat- and cheese-filled, tomato-based sauce (Includes Hot Pockets Pepperoni Pizza; Hot Pockets Sausage Pizza)</t>
        </is>
      </c>
      <c r="C2937" s="1" t="n">
        <v>1</v>
      </c>
      <c r="D2937" s="1" t="inlineStr">
        <is>
          <t>Links to FNDDS</t>
        </is>
      </c>
      <c r="E2937" s="1" t="inlineStr">
        <is>
          <t>Base</t>
        </is>
      </c>
      <c r="F2937" s="1" t="n">
        <v>0.747637</v>
      </c>
    </row>
    <row r="2938" ht="15.75" customHeight="1" s="201">
      <c r="A2938" s="1" t="n">
        <v>58126160</v>
      </c>
      <c r="B2938" s="1" t="inlineStr">
        <is>
          <t>Turnover, cheese-filled, tomato-based sauce (Includes Hot Pockets Four Cheese Pizza)</t>
        </is>
      </c>
      <c r="C2938" s="1" t="n">
        <v>1</v>
      </c>
      <c r="D2938" s="1" t="inlineStr">
        <is>
          <t>Links to FNDDS</t>
        </is>
      </c>
      <c r="E2938" s="1" t="inlineStr">
        <is>
          <t>Base</t>
        </is>
      </c>
      <c r="F2938" s="1" t="n">
        <v>0.799989</v>
      </c>
    </row>
    <row r="2939" ht="15.75" customHeight="1" s="201">
      <c r="A2939" s="1" t="n">
        <v>58126280</v>
      </c>
      <c r="B2939" s="1" t="inlineStr">
        <is>
          <t>Turnover, chicken- or turkey-, and vegetable-filled, lower in fat (Includes Lean Pockets Chicken Supreme; Lean Pockets Turkey, Broccoli &amp; Cheese; Lean Pockets Chicken Parmesan; Lean Pockets Chicken Fajita)</t>
        </is>
      </c>
      <c r="C2939" s="1" t="n">
        <v>1</v>
      </c>
      <c r="D2939" s="1" t="inlineStr">
        <is>
          <t>Links to FNDDS</t>
        </is>
      </c>
      <c r="E2939" s="1" t="inlineStr">
        <is>
          <t>Base</t>
        </is>
      </c>
      <c r="F2939" s="1" t="n">
        <v>0.938209</v>
      </c>
    </row>
    <row r="2940" ht="15.75" customHeight="1" s="201">
      <c r="A2940" s="1" t="n">
        <v>58126400</v>
      </c>
      <c r="B2940" s="1" t="inlineStr">
        <is>
          <t>Turnover, filled with egg, meat and cheese (Includes Hot Pockets Bacon, Egg &amp; Cheese; Hot Pockets Ham, Egg &amp; Cheese; Hot Pockets Sausage, Egg &amp; Cheese)</t>
        </is>
      </c>
      <c r="C2940" s="1" t="n">
        <v>1</v>
      </c>
      <c r="D2940" s="1" t="inlineStr">
        <is>
          <t>Links to FNDDS</t>
        </is>
      </c>
      <c r="E2940" s="1" t="inlineStr">
        <is>
          <t>Base</t>
        </is>
      </c>
      <c r="F2940" s="1" t="n">
        <v>0.842096</v>
      </c>
    </row>
    <row r="2941" ht="15.75" customHeight="1" s="201">
      <c r="A2941" s="1" t="n">
        <v>58127310</v>
      </c>
      <c r="B2941" s="1" t="inlineStr">
        <is>
          <t>Croissant sandwich with ham, egg, and cheese (Includes Burger King Ham, Egg and Cheese Croissan'wich; Dunkin' Donuts Ham, Egg, and Cheese Breakfast Sandwich)</t>
        </is>
      </c>
      <c r="C2941" s="1" t="n">
        <v>1</v>
      </c>
      <c r="D2941" s="1" t="inlineStr">
        <is>
          <t>Links to FNDDS</t>
        </is>
      </c>
      <c r="E2941" s="1" t="inlineStr">
        <is>
          <t>Base</t>
        </is>
      </c>
      <c r="F2941" s="1" t="n">
        <v>1.688899</v>
      </c>
    </row>
    <row r="2942" ht="15.75" customHeight="1" s="201">
      <c r="A2942" s="1" t="n">
        <v>58127330</v>
      </c>
      <c r="B2942" s="1" t="inlineStr">
        <is>
          <t>Croissant sandwich with sausage, egg, and cheese (Includes Burger King Sausage, Egg and Cheese Croissan'wich; Dunkin' Donuts Sausage, Egg, and Cheese Breakfast Sandwich; Jimmy Dean Sausage, Egg, and Cheese Croissant Sandwich)</t>
        </is>
      </c>
      <c r="C2942" s="1" t="n">
        <v>1</v>
      </c>
      <c r="D2942" s="1" t="inlineStr">
        <is>
          <t>Links to FNDDS</t>
        </is>
      </c>
      <c r="E2942" s="1" t="inlineStr">
        <is>
          <t>Base</t>
        </is>
      </c>
      <c r="F2942" s="1" t="n">
        <v>1.002719</v>
      </c>
    </row>
    <row r="2943" ht="15.75" customHeight="1" s="201">
      <c r="A2943" s="1" t="n">
        <v>58127350</v>
      </c>
      <c r="B2943" s="1" t="inlineStr">
        <is>
          <t>Croissant sandwich with bacon, egg, and cheese (Includes Burger King Bacon, Egg and Cheese Croissan'wich; Arby's Bacon, Egg, and Cheese Croissant; Dunkin' Donuts Breakfast Sandwich; Dunkin' Donuts Croissant Bacon and Cheddar Omwich; Jack-in-the-Box Supreme Croissant)</t>
        </is>
      </c>
      <c r="C2943" s="1" t="n">
        <v>1</v>
      </c>
      <c r="D2943" s="1" t="inlineStr">
        <is>
          <t>Links to FNDDS</t>
        </is>
      </c>
      <c r="E2943" s="1" t="inlineStr">
        <is>
          <t>Base</t>
        </is>
      </c>
      <c r="F2943" s="1" t="n">
        <v>1.756887</v>
      </c>
    </row>
    <row r="2944" ht="15.75" customHeight="1" s="201">
      <c r="A2944" s="1" t="n">
        <v>58127500</v>
      </c>
      <c r="B2944" s="1" t="inlineStr">
        <is>
          <t>Vegetable submarine sandwich, with fat free spread (Includes Subway Veggie Delite)</t>
        </is>
      </c>
      <c r="C2944" s="1" t="n">
        <v>4</v>
      </c>
      <c r="D2944" s="1" t="inlineStr">
        <is>
          <t>FNDDS recipe with replaced or modified SR codes</t>
        </is>
      </c>
      <c r="E2944" s="1" t="inlineStr">
        <is>
          <t>Base</t>
        </is>
      </c>
      <c r="F2944" s="1" t="n">
        <v>0.530807</v>
      </c>
    </row>
    <row r="2945" ht="15.75" customHeight="1" s="201">
      <c r="A2945" s="1" t="n">
        <v>58128000</v>
      </c>
      <c r="B2945" s="1" t="inlineStr">
        <is>
          <t>Biscuit with gravy (Includes with sausage gravy)</t>
        </is>
      </c>
      <c r="C2945" s="1" t="n">
        <v>5</v>
      </c>
      <c r="D2945" s="1" t="inlineStr">
        <is>
          <t>Modified FNDDS recipe</t>
        </is>
      </c>
      <c r="E2945" s="1" t="inlineStr">
        <is>
          <t>Base</t>
        </is>
      </c>
      <c r="F2945" s="1" t="n">
        <v>0.437045</v>
      </c>
    </row>
    <row r="2946" ht="15.75" customHeight="1" s="201">
      <c r="A2946" s="1" t="n">
        <v>58128120</v>
      </c>
      <c r="B2946" s="1" t="inlineStr">
        <is>
          <t>Cornmeal dressing with chicken or turkey and vegetables (Includes cornbread stuffing with poultry and vegetables)</t>
        </is>
      </c>
      <c r="C2946" s="1" t="n">
        <v>4</v>
      </c>
      <c r="D2946" s="1" t="inlineStr">
        <is>
          <t>FNDDS recipe with replaced or modified SR codes</t>
        </is>
      </c>
      <c r="E2946" s="1" t="inlineStr">
        <is>
          <t>Base</t>
        </is>
      </c>
      <c r="F2946" s="1" t="n">
        <v>0.628321</v>
      </c>
    </row>
    <row r="2947" ht="15.75" customHeight="1" s="201">
      <c r="A2947" s="1" t="n">
        <v>58128250</v>
      </c>
      <c r="B2947" s="1" t="inlineStr">
        <is>
          <t>Dressing with meat and vegetables (Includes stuffing with sausage; with ground beef; with pepperoni; with ham; with bacon; with salami)</t>
        </is>
      </c>
      <c r="C2947" s="1" t="n">
        <v>4</v>
      </c>
      <c r="D2947" s="1" t="inlineStr">
        <is>
          <t>FNDDS recipe with replaced or modified SR codes</t>
        </is>
      </c>
      <c r="E2947" s="1" t="inlineStr">
        <is>
          <t>Base</t>
        </is>
      </c>
      <c r="F2947" s="1" t="n">
        <v>0.532523</v>
      </c>
    </row>
    <row r="2948" ht="15.75" customHeight="1" s="201">
      <c r="A2948" s="1" t="n">
        <v>58130011</v>
      </c>
      <c r="B2948" s="1" t="inlineStr">
        <is>
          <t>Lasagna with meat (Includes lasagna NFS)</t>
        </is>
      </c>
      <c r="C2948" s="1" t="n">
        <v>2</v>
      </c>
      <c r="D2948" s="1" t="inlineStr">
        <is>
          <t>Links to altEC</t>
        </is>
      </c>
      <c r="E2948" s="1" t="inlineStr">
        <is>
          <t>Base</t>
        </is>
      </c>
      <c r="F2948" s="1" t="n">
        <v>0.765557</v>
      </c>
    </row>
    <row r="2949" ht="15.75" customHeight="1" s="201">
      <c r="A2949" s="1" t="n">
        <v>58130014</v>
      </c>
      <c r="B2949" s="1" t="inlineStr">
        <is>
          <t>Lasagna with meat, from restaurant (Includes fast food; other place)</t>
        </is>
      </c>
      <c r="C2949" s="1" t="n">
        <v>2</v>
      </c>
      <c r="D2949" s="1" t="inlineStr">
        <is>
          <t>Links to altEC</t>
        </is>
      </c>
      <c r="E2949" s="1" t="inlineStr">
        <is>
          <t>Base</t>
        </is>
      </c>
      <c r="F2949" s="1" t="n">
        <v>1.120059</v>
      </c>
    </row>
    <row r="2950" ht="15.75" customHeight="1" s="201">
      <c r="A2950" s="1" t="n">
        <v>58130015</v>
      </c>
      <c r="B2950" s="1" t="inlineStr">
        <is>
          <t>Lasagna with meat, home recipe</t>
        </is>
      </c>
      <c r="C2950" s="1" t="n">
        <v>5</v>
      </c>
      <c r="D2950" s="1" t="inlineStr">
        <is>
          <t>Modified FNDDS recipe</t>
        </is>
      </c>
      <c r="E2950" s="1" t="inlineStr">
        <is>
          <t>Base</t>
        </is>
      </c>
      <c r="F2950" s="1" t="n">
        <v>0.70197</v>
      </c>
    </row>
    <row r="2951" ht="15.75" customHeight="1" s="201">
      <c r="A2951" s="1" t="n">
        <v>58130016</v>
      </c>
      <c r="B2951" s="1" t="inlineStr">
        <is>
          <t>Lasagna with meat, frozen</t>
        </is>
      </c>
      <c r="C2951" s="1" t="n">
        <v>1</v>
      </c>
      <c r="D2951" s="1" t="inlineStr">
        <is>
          <t>Links to FNDDS</t>
        </is>
      </c>
      <c r="E2951" s="1" t="inlineStr">
        <is>
          <t>Base</t>
        </is>
      </c>
      <c r="F2951" s="1" t="n">
        <v>0.691226</v>
      </c>
    </row>
    <row r="2952" ht="15.75" customHeight="1" s="201">
      <c r="A2952" s="1" t="n">
        <v>58130020</v>
      </c>
      <c r="B2952" s="1" t="inlineStr">
        <is>
          <t>Lasagna with meat and spinach</t>
        </is>
      </c>
      <c r="C2952" s="1" t="n">
        <v>4</v>
      </c>
      <c r="D2952" s="1" t="inlineStr">
        <is>
          <t>FNDDS recipe with replaced or modified SR codes</t>
        </is>
      </c>
      <c r="E2952" s="1" t="inlineStr">
        <is>
          <t>Base</t>
        </is>
      </c>
      <c r="F2952" s="1" t="n">
        <v>0.709358</v>
      </c>
    </row>
    <row r="2953" ht="15.75" customHeight="1" s="201">
      <c r="A2953" s="1" t="n">
        <v>58130320</v>
      </c>
      <c r="B2953" s="1" t="inlineStr">
        <is>
          <t>Lasagna, meatless, with vegetables</t>
        </is>
      </c>
      <c r="C2953" s="1" t="n">
        <v>1</v>
      </c>
      <c r="D2953" s="1" t="inlineStr">
        <is>
          <t>Links to FNDDS</t>
        </is>
      </c>
      <c r="E2953" s="1" t="inlineStr">
        <is>
          <t>Base</t>
        </is>
      </c>
      <c r="F2953" s="1" t="n">
        <v>1.238777</v>
      </c>
    </row>
    <row r="2954" ht="15.75" customHeight="1" s="201">
      <c r="A2954" s="1" t="n">
        <v>58131120</v>
      </c>
      <c r="B2954" s="1" t="inlineStr">
        <is>
          <t>Ravioli, NS as to filling, with cream sauce</t>
        </is>
      </c>
      <c r="C2954" s="1" t="n">
        <v>5</v>
      </c>
      <c r="D2954" s="1" t="inlineStr">
        <is>
          <t>Modified FNDDS recipe</t>
        </is>
      </c>
      <c r="E2954" s="1" t="inlineStr">
        <is>
          <t>Base</t>
        </is>
      </c>
      <c r="F2954" s="1" t="n">
        <v>0.50919</v>
      </c>
    </row>
    <row r="2955" ht="15.75" customHeight="1" s="201">
      <c r="A2955" s="1" t="n">
        <v>58131310</v>
      </c>
      <c r="B2955" s="1" t="inlineStr">
        <is>
          <t>Ravioli, meat-filled, no sauce</t>
        </is>
      </c>
      <c r="C2955" s="1" t="n">
        <v>1</v>
      </c>
      <c r="D2955" s="1" t="inlineStr">
        <is>
          <t>Links to FNDDS</t>
        </is>
      </c>
      <c r="E2955" s="1" t="inlineStr">
        <is>
          <t>Base</t>
        </is>
      </c>
      <c r="F2955" s="1" t="n">
        <v>0.696888</v>
      </c>
    </row>
    <row r="2956" ht="15.75" customHeight="1" s="201">
      <c r="A2956" s="1" t="n">
        <v>58131323</v>
      </c>
      <c r="B2956" s="1" t="inlineStr">
        <is>
          <t>Ravioli, meat-filled, with tomato sauce or meat sauce, canned (Includes canned ravioli, NS as to filling; Franco-American Beef RavioliO's; Chef Boyardee Beef Ravioli or Mini Ravioli; Sir Chomps-a-Lot Bite Size Beef Ravioli)</t>
        </is>
      </c>
      <c r="C2956" s="1" t="n">
        <v>1</v>
      </c>
      <c r="D2956" s="1" t="inlineStr">
        <is>
          <t>Links to FNDDS</t>
        </is>
      </c>
      <c r="E2956" s="1" t="inlineStr">
        <is>
          <t>Base</t>
        </is>
      </c>
      <c r="F2956" s="1" t="n">
        <v>0.231062</v>
      </c>
    </row>
    <row r="2957" ht="15.75" customHeight="1" s="201">
      <c r="A2957" s="1" t="n">
        <v>58131510</v>
      </c>
      <c r="B2957" s="1" t="inlineStr">
        <is>
          <t>Ravioli, cheese-filled, no sauce</t>
        </is>
      </c>
      <c r="C2957" s="1" t="n">
        <v>1</v>
      </c>
      <c r="D2957" s="1" t="inlineStr">
        <is>
          <t>Links to FNDDS</t>
        </is>
      </c>
      <c r="E2957" s="1" t="inlineStr">
        <is>
          <t>Base</t>
        </is>
      </c>
      <c r="F2957" s="1" t="n">
        <v>0.5485100000000001</v>
      </c>
    </row>
    <row r="2958" ht="15.75" customHeight="1" s="201">
      <c r="A2958" s="1" t="n">
        <v>58131520</v>
      </c>
      <c r="B2958" s="1" t="inlineStr">
        <is>
          <t>Ravioli, cheese-filled, with tomato sauce</t>
        </is>
      </c>
      <c r="C2958" s="1" t="n">
        <v>1</v>
      </c>
      <c r="D2958" s="1" t="inlineStr">
        <is>
          <t>Links to FNDDS</t>
        </is>
      </c>
      <c r="E2958" s="1" t="inlineStr">
        <is>
          <t>Base</t>
        </is>
      </c>
      <c r="F2958" s="1" t="n">
        <v>1.178432</v>
      </c>
    </row>
    <row r="2959" ht="15.75" customHeight="1" s="201">
      <c r="A2959" s="1" t="n">
        <v>58131523</v>
      </c>
      <c r="B2959" s="1" t="inlineStr">
        <is>
          <t>Ravioli, cheese-filled, with tomato sauce, canned (Includes Chef Boyardee Cheese Ravioli)</t>
        </is>
      </c>
      <c r="C2959" s="1" t="n">
        <v>1</v>
      </c>
      <c r="D2959" s="1" t="inlineStr">
        <is>
          <t>Links to FNDDS</t>
        </is>
      </c>
      <c r="E2959" s="1" t="inlineStr">
        <is>
          <t>Base</t>
        </is>
      </c>
      <c r="F2959" s="1" t="n">
        <v>0.318749</v>
      </c>
    </row>
    <row r="2960" ht="15.75" customHeight="1" s="201">
      <c r="A2960" s="1" t="n">
        <v>58131590</v>
      </c>
      <c r="B2960" s="1" t="inlineStr">
        <is>
          <t>Ravioli, cheese and spinach-filled, no sauce</t>
        </is>
      </c>
      <c r="C2960" s="1" t="n">
        <v>1</v>
      </c>
      <c r="D2960" s="1" t="inlineStr">
        <is>
          <t>Links to FNDDS</t>
        </is>
      </c>
      <c r="E2960" s="1" t="inlineStr">
        <is>
          <t>Base</t>
        </is>
      </c>
      <c r="F2960" s="1" t="n">
        <v>0.838104</v>
      </c>
    </row>
    <row r="2961" ht="15.75" customHeight="1" s="201">
      <c r="A2961" s="1" t="n">
        <v>58131600</v>
      </c>
      <c r="B2961" s="1" t="inlineStr">
        <is>
          <t>Ravioli, cheese and spinach-filled, with cream sauce</t>
        </is>
      </c>
      <c r="C2961" s="1" t="n">
        <v>4</v>
      </c>
      <c r="D2961" s="1" t="inlineStr">
        <is>
          <t>FNDDS recipe with replaced or modified SR codes</t>
        </is>
      </c>
      <c r="E2961" s="1" t="inlineStr">
        <is>
          <t>Base</t>
        </is>
      </c>
      <c r="F2961" s="1" t="n">
        <v>0.580628</v>
      </c>
    </row>
    <row r="2962" ht="15.75" customHeight="1" s="201">
      <c r="A2962" s="1" t="n">
        <v>58131610</v>
      </c>
      <c r="B2962" s="1" t="inlineStr">
        <is>
          <t>Ravioli, cheese and spinach filled, with tomato sauce</t>
        </is>
      </c>
      <c r="C2962" s="1" t="n">
        <v>2</v>
      </c>
      <c r="D2962" s="1" t="inlineStr">
        <is>
          <t>Links to altEC</t>
        </is>
      </c>
      <c r="E2962" s="1" t="inlineStr">
        <is>
          <t>Base</t>
        </is>
      </c>
      <c r="F2962" s="1" t="n">
        <v>0.590567</v>
      </c>
    </row>
    <row r="2963" ht="15.75" customHeight="1" s="201">
      <c r="A2963" s="1" t="n">
        <v>58133120</v>
      </c>
      <c r="B2963" s="1" t="inlineStr">
        <is>
          <t>Manicotti, cheese-filled, with tomato sauce, meatless</t>
        </is>
      </c>
      <c r="C2963" s="1" t="n">
        <v>1</v>
      </c>
      <c r="D2963" s="1" t="inlineStr">
        <is>
          <t>Links to FNDDS</t>
        </is>
      </c>
      <c r="E2963" s="1" t="inlineStr">
        <is>
          <t>Base</t>
        </is>
      </c>
      <c r="F2963" s="1" t="n">
        <v>0.802258</v>
      </c>
    </row>
    <row r="2964" ht="15.75" customHeight="1" s="201">
      <c r="A2964" s="1" t="n">
        <v>58134130</v>
      </c>
      <c r="B2964" s="1" t="inlineStr">
        <is>
          <t>Stuffed shells, cheese-filled, with meat sauce (Includes stuffed shells, NFS)</t>
        </is>
      </c>
      <c r="C2964" s="1" t="n">
        <v>2</v>
      </c>
      <c r="D2964" s="1" t="inlineStr">
        <is>
          <t>Links to altEC</t>
        </is>
      </c>
      <c r="E2964" s="1" t="inlineStr">
        <is>
          <t>Base</t>
        </is>
      </c>
      <c r="F2964" s="1" t="n">
        <v>0.720319</v>
      </c>
    </row>
    <row r="2965" ht="15.75" customHeight="1" s="201">
      <c r="A2965" s="1" t="n">
        <v>58134650</v>
      </c>
      <c r="B2965" s="1" t="inlineStr">
        <is>
          <t>Tortellini, meat-filled, no sauce</t>
        </is>
      </c>
      <c r="C2965" s="1" t="n">
        <v>1</v>
      </c>
      <c r="D2965" s="1" t="inlineStr">
        <is>
          <t>Links to FNDDS</t>
        </is>
      </c>
      <c r="E2965" s="1" t="inlineStr">
        <is>
          <t>Base</t>
        </is>
      </c>
      <c r="F2965" s="1" t="n">
        <v>0.889799</v>
      </c>
    </row>
    <row r="2966" ht="15.75" customHeight="1" s="201">
      <c r="A2966" s="1" t="n">
        <v>58134660</v>
      </c>
      <c r="B2966" s="1" t="inlineStr">
        <is>
          <t>Tortellini, cheese-filled, with cream sauce</t>
        </is>
      </c>
      <c r="C2966" s="1" t="n">
        <v>1</v>
      </c>
      <c r="D2966" s="1" t="inlineStr">
        <is>
          <t>Links to FNDDS</t>
        </is>
      </c>
      <c r="E2966" s="1" t="inlineStr">
        <is>
          <t>Base</t>
        </is>
      </c>
      <c r="F2966" s="1" t="n">
        <v>1.4378</v>
      </c>
    </row>
    <row r="2967" ht="15.75" customHeight="1" s="201">
      <c r="A2967" s="1" t="n">
        <v>58134680</v>
      </c>
      <c r="B2967" s="1" t="inlineStr">
        <is>
          <t>Tortellini, cheese-filled, no sauce</t>
        </is>
      </c>
      <c r="C2967" s="1" t="n">
        <v>1</v>
      </c>
      <c r="D2967" s="1" t="inlineStr">
        <is>
          <t>Links to FNDDS</t>
        </is>
      </c>
      <c r="E2967" s="1" t="inlineStr">
        <is>
          <t>Base</t>
        </is>
      </c>
      <c r="F2967" s="1" t="n">
        <v>0.74608</v>
      </c>
    </row>
    <row r="2968" ht="15.75" customHeight="1" s="201">
      <c r="A2968" s="1" t="n">
        <v>58134710</v>
      </c>
      <c r="B2968" s="1" t="inlineStr">
        <is>
          <t>Tortellini, spinach-filled, with tomato sauce</t>
        </is>
      </c>
      <c r="C2968" s="1" t="n">
        <v>5</v>
      </c>
      <c r="D2968" s="1" t="inlineStr">
        <is>
          <t>Modified FNDDS recipe</t>
        </is>
      </c>
      <c r="E2968" s="1" t="inlineStr">
        <is>
          <t>Base</t>
        </is>
      </c>
      <c r="F2968" s="1" t="n">
        <v>0.803823</v>
      </c>
    </row>
    <row r="2969" ht="15.75" customHeight="1" s="201">
      <c r="A2969" s="1" t="n">
        <v>58134720</v>
      </c>
      <c r="B2969" s="1" t="inlineStr">
        <is>
          <t>Tortellini, spinach-filled, no sauce</t>
        </is>
      </c>
      <c r="C2969" s="1" t="n">
        <v>1</v>
      </c>
      <c r="D2969" s="1" t="inlineStr">
        <is>
          <t>Links to FNDDS</t>
        </is>
      </c>
      <c r="E2969" s="1" t="inlineStr">
        <is>
          <t>Base</t>
        </is>
      </c>
      <c r="F2969" s="1" t="n">
        <v>0.995319</v>
      </c>
    </row>
    <row r="2970" ht="15.75" customHeight="1" s="201">
      <c r="A2970" s="1" t="n">
        <v>58135110</v>
      </c>
      <c r="B2970" s="1" t="inlineStr">
        <is>
          <t>Chow fun noodles with meat and vegetables</t>
        </is>
      </c>
      <c r="C2970" s="1" t="n">
        <v>2</v>
      </c>
      <c r="D2970" s="1" t="inlineStr">
        <is>
          <t>Links to altEC</t>
        </is>
      </c>
      <c r="E2970" s="1" t="inlineStr">
        <is>
          <t>Base</t>
        </is>
      </c>
      <c r="F2970" s="1" t="n">
        <v>0.664744</v>
      </c>
    </row>
    <row r="2971" ht="15.75" customHeight="1" s="201">
      <c r="A2971" s="1" t="n">
        <v>58135120</v>
      </c>
      <c r="B2971" s="1" t="inlineStr">
        <is>
          <t>Chow fun noodles with vegetables, meatless</t>
        </is>
      </c>
      <c r="C2971" s="1" t="n">
        <v>1</v>
      </c>
      <c r="D2971" s="1" t="inlineStr">
        <is>
          <t>Links to FNDDS</t>
        </is>
      </c>
      <c r="E2971" s="1" t="inlineStr">
        <is>
          <t>Base</t>
        </is>
      </c>
      <c r="F2971" s="1" t="n">
        <v>0.664744</v>
      </c>
    </row>
    <row r="2972" ht="15.75" customHeight="1" s="201">
      <c r="A2972" s="1" t="n">
        <v>58136120</v>
      </c>
      <c r="B2972" s="1" t="inlineStr">
        <is>
          <t>Lo mein, meatless (Includes vegetable or vegetarian lo mein)</t>
        </is>
      </c>
      <c r="C2972" s="1" t="n">
        <v>1</v>
      </c>
      <c r="D2972" s="1" t="inlineStr">
        <is>
          <t>Links to FNDDS</t>
        </is>
      </c>
      <c r="E2972" s="1" t="inlineStr">
        <is>
          <t>Base</t>
        </is>
      </c>
      <c r="F2972" s="1" t="n">
        <v>1.036113</v>
      </c>
    </row>
    <row r="2973" ht="15.75" customHeight="1" s="201">
      <c r="A2973" s="1" t="n">
        <v>58136130</v>
      </c>
      <c r="B2973" s="1" t="inlineStr">
        <is>
          <t>Lo mein, with shrimp (Includes Lo mein with seafood)</t>
        </is>
      </c>
      <c r="C2973" s="1" t="n">
        <v>1</v>
      </c>
      <c r="D2973" s="1" t="inlineStr">
        <is>
          <t>Links to FNDDS</t>
        </is>
      </c>
      <c r="E2973" s="1" t="inlineStr">
        <is>
          <t>Base</t>
        </is>
      </c>
      <c r="F2973" s="1" t="n">
        <v>1.226678</v>
      </c>
    </row>
    <row r="2974" ht="15.75" customHeight="1" s="201">
      <c r="A2974" s="1" t="n">
        <v>58136150</v>
      </c>
      <c r="B2974" s="1" t="inlineStr">
        <is>
          <t>Lo mein, with beef</t>
        </is>
      </c>
      <c r="C2974" s="1" t="n">
        <v>1</v>
      </c>
      <c r="D2974" s="1" t="inlineStr">
        <is>
          <t>Links to FNDDS</t>
        </is>
      </c>
      <c r="E2974" s="1" t="inlineStr">
        <is>
          <t>Base</t>
        </is>
      </c>
      <c r="F2974" s="1" t="n">
        <v>0.931611</v>
      </c>
    </row>
    <row r="2975" ht="15.75" customHeight="1" s="201">
      <c r="A2975" s="1" t="n">
        <v>58137220</v>
      </c>
      <c r="B2975" s="1" t="inlineStr">
        <is>
          <t>Pad Thai, meatless</t>
        </is>
      </c>
      <c r="C2975" s="1" t="n">
        <v>1</v>
      </c>
      <c r="D2975" s="1" t="inlineStr">
        <is>
          <t>Links to FNDDS</t>
        </is>
      </c>
      <c r="E2975" s="1" t="inlineStr">
        <is>
          <t>Base</t>
        </is>
      </c>
      <c r="F2975" s="1" t="n">
        <v>1.735879</v>
      </c>
    </row>
    <row r="2976" ht="15.75" customHeight="1" s="201">
      <c r="A2976" s="1" t="n">
        <v>58137230</v>
      </c>
      <c r="B2976" s="1" t="inlineStr">
        <is>
          <t>Pad Thai with chicken (Includes turkey and other poultry)</t>
        </is>
      </c>
      <c r="C2976" s="1" t="n">
        <v>1</v>
      </c>
      <c r="D2976" s="1" t="inlineStr">
        <is>
          <t>Links to FNDDS</t>
        </is>
      </c>
      <c r="E2976" s="1" t="inlineStr">
        <is>
          <t>Base</t>
        </is>
      </c>
      <c r="F2976" s="1" t="n">
        <v>1.313291</v>
      </c>
    </row>
    <row r="2977" ht="15.75" customHeight="1" s="201">
      <c r="A2977" s="1" t="n">
        <v>58137240</v>
      </c>
      <c r="B2977" s="1" t="inlineStr">
        <is>
          <t>Pad Thai with seafood (Includes shrimp; fish)</t>
        </is>
      </c>
      <c r="C2977" s="1" t="n">
        <v>1</v>
      </c>
      <c r="D2977" s="1" t="inlineStr">
        <is>
          <t>Links to FNDDS</t>
        </is>
      </c>
      <c r="E2977" s="1" t="inlineStr">
        <is>
          <t>Base</t>
        </is>
      </c>
      <c r="F2977" s="1" t="n">
        <v>1.227276</v>
      </c>
    </row>
    <row r="2978" ht="15.75" customHeight="1" s="201">
      <c r="A2978" s="1" t="n">
        <v>58137250</v>
      </c>
      <c r="B2978" s="1" t="inlineStr">
        <is>
          <t>Pad Thai with meat</t>
        </is>
      </c>
      <c r="C2978" s="1" t="n">
        <v>2</v>
      </c>
      <c r="D2978" s="1" t="inlineStr">
        <is>
          <t>Links to altEC</t>
        </is>
      </c>
      <c r="E2978" s="1" t="inlineStr">
        <is>
          <t>Base</t>
        </is>
      </c>
      <c r="F2978" s="1" t="n">
        <v>1.598535</v>
      </c>
    </row>
    <row r="2979" ht="15.75" customHeight="1" s="201">
      <c r="A2979" s="1" t="n">
        <v>58137300</v>
      </c>
      <c r="B2979" s="1" t="inlineStr">
        <is>
          <t>Adobo, with noodles (Includes any combination of meat, poultry, seafood, and vegetables; Filipino dish)</t>
        </is>
      </c>
      <c r="C2979" s="1" t="n">
        <v>4</v>
      </c>
      <c r="D2979" s="1" t="inlineStr">
        <is>
          <t>FNDDS recipe with replaced or modified SR codes</t>
        </is>
      </c>
      <c r="E2979" s="1" t="inlineStr">
        <is>
          <t>Base</t>
        </is>
      </c>
      <c r="F2979" s="1" t="n">
        <v>0.674801</v>
      </c>
    </row>
    <row r="2980" ht="15.75" customHeight="1" s="201">
      <c r="A2980" s="1" t="n">
        <v>58145110</v>
      </c>
      <c r="B2980" s="1" t="inlineStr">
        <is>
          <t>Macaroni or noodles with cheese (Includes macaroni casserole, NFS; macaroni and cheese, NFS; from home recipe, ready-to-eat, or frozen)</t>
        </is>
      </c>
      <c r="C2980" s="1" t="n">
        <v>1</v>
      </c>
      <c r="D2980" s="1" t="inlineStr">
        <is>
          <t>Links to FNDDS</t>
        </is>
      </c>
      <c r="E2980" s="1" t="inlineStr">
        <is>
          <t>Base</t>
        </is>
      </c>
      <c r="F2980" s="1" t="n">
        <v>0.87181</v>
      </c>
    </row>
    <row r="2981" ht="15.75" customHeight="1" s="201">
      <c r="A2981" s="1" t="n">
        <v>58145111</v>
      </c>
      <c r="B2981" s="1" t="inlineStr">
        <is>
          <t>Macaroni or noodles with cheese, from restaurant (Includes fast food; other place)</t>
        </is>
      </c>
      <c r="C2981" s="1" t="n">
        <v>2</v>
      </c>
      <c r="D2981" s="1" t="inlineStr">
        <is>
          <t>Links to altEC</t>
        </is>
      </c>
      <c r="E2981" s="1" t="inlineStr">
        <is>
          <t>Base</t>
        </is>
      </c>
      <c r="F2981" s="1" t="n">
        <v>0.87181</v>
      </c>
    </row>
    <row r="2982" ht="15.75" customHeight="1" s="201">
      <c r="A2982" s="1" t="n">
        <v>58145112</v>
      </c>
      <c r="B2982" s="1" t="inlineStr">
        <is>
          <t>Macaroni or noodles with cheese, made from packaged mix</t>
        </is>
      </c>
      <c r="C2982" s="1" t="n">
        <v>4</v>
      </c>
      <c r="D2982" s="1" t="inlineStr">
        <is>
          <t>FNDDS recipe with replaced or modified SR codes</t>
        </is>
      </c>
      <c r="E2982" s="1" t="inlineStr">
        <is>
          <t>Base</t>
        </is>
      </c>
      <c r="F2982" s="1" t="n">
        <v>0.236959</v>
      </c>
    </row>
    <row r="2983" ht="15.75" customHeight="1" s="201">
      <c r="A2983" s="1" t="n">
        <v>58145117</v>
      </c>
      <c r="B2983" s="1" t="inlineStr">
        <is>
          <t>Macaroni or noodles with cheese, Easy Mac type</t>
        </is>
      </c>
      <c r="C2983" s="1" t="n">
        <v>2</v>
      </c>
      <c r="D2983" s="1" t="inlineStr">
        <is>
          <t>Links to altEC</t>
        </is>
      </c>
      <c r="E2983" s="1" t="inlineStr">
        <is>
          <t>Base</t>
        </is>
      </c>
      <c r="F2983" s="1" t="n">
        <v>0.87181</v>
      </c>
    </row>
    <row r="2984" ht="15.75" customHeight="1" s="201">
      <c r="A2984" s="1" t="n">
        <v>58145119</v>
      </c>
      <c r="B2984" s="1" t="inlineStr">
        <is>
          <t>Macaroni or noodles with cheese, made from reduced fat packaged mix (Includes Kraft Macaroni and Cheese Deluxe 1/2 the fat dinner; made with 2% milk cheese)</t>
        </is>
      </c>
      <c r="C2984" s="1" t="n">
        <v>4</v>
      </c>
      <c r="D2984" s="1" t="inlineStr">
        <is>
          <t>FNDDS recipe with replaced or modified SR codes</t>
        </is>
      </c>
      <c r="E2984" s="1" t="inlineStr">
        <is>
          <t>Base</t>
        </is>
      </c>
      <c r="F2984" s="1" t="n">
        <v>0.22213</v>
      </c>
    </row>
    <row r="2985" ht="15.75" customHeight="1" s="201">
      <c r="A2985" s="1" t="n">
        <v>58145135</v>
      </c>
      <c r="B2985" s="1" t="inlineStr">
        <is>
          <t>Macaroni or noodles with cheese and meat (Includes beef; pork or ham)</t>
        </is>
      </c>
      <c r="C2985" s="1" t="n">
        <v>4</v>
      </c>
      <c r="D2985" s="1" t="inlineStr">
        <is>
          <t>FNDDS recipe with replaced or modified SR codes</t>
        </is>
      </c>
      <c r="E2985" s="1" t="inlineStr">
        <is>
          <t>Base</t>
        </is>
      </c>
      <c r="F2985" s="1" t="n">
        <v>1.034043</v>
      </c>
    </row>
    <row r="2986" ht="15.75" customHeight="1" s="201">
      <c r="A2986" s="1" t="n">
        <v>58145136</v>
      </c>
      <c r="B2986" s="1" t="inlineStr">
        <is>
          <t>Macaroni or noodles with cheese and meat, prepared from Hamburger Helper mix (Includes beef; pork or ham; Cheeseburger Macaroni; Cheesy Italian)</t>
        </is>
      </c>
      <c r="C2986" s="1" t="n">
        <v>4</v>
      </c>
      <c r="D2986" s="1" t="inlineStr">
        <is>
          <t>FNDDS recipe with replaced or modified SR codes</t>
        </is>
      </c>
      <c r="E2986" s="1" t="inlineStr">
        <is>
          <t>Base</t>
        </is>
      </c>
      <c r="F2986" s="1" t="n">
        <v>0.410157</v>
      </c>
    </row>
    <row r="2987" ht="15.75" customHeight="1" s="201">
      <c r="A2987" s="1" t="n">
        <v>58145140</v>
      </c>
      <c r="B2987" s="1" t="inlineStr">
        <is>
          <t>Macaroni or noodles with cheese and tomato</t>
        </is>
      </c>
      <c r="C2987" s="1" t="n">
        <v>4</v>
      </c>
      <c r="D2987" s="1" t="inlineStr">
        <is>
          <t>FNDDS recipe with replaced or modified SR codes</t>
        </is>
      </c>
      <c r="E2987" s="1" t="inlineStr">
        <is>
          <t>Base</t>
        </is>
      </c>
      <c r="F2987" s="1" t="n">
        <v>0.814179</v>
      </c>
    </row>
    <row r="2988" ht="15.75" customHeight="1" s="201">
      <c r="A2988" s="1" t="n">
        <v>58145160</v>
      </c>
      <c r="B2988" s="1" t="inlineStr">
        <is>
          <t>Macaroni or noodles with cheese and frankfurters or hot dogs</t>
        </is>
      </c>
      <c r="C2988" s="1" t="n">
        <v>4</v>
      </c>
      <c r="D2988" s="1" t="inlineStr">
        <is>
          <t>FNDDS recipe with replaced or modified SR codes</t>
        </is>
      </c>
      <c r="E2988" s="1" t="inlineStr">
        <is>
          <t>Base</t>
        </is>
      </c>
      <c r="F2988" s="1" t="n">
        <v>0.8347869999999999</v>
      </c>
    </row>
    <row r="2989" ht="15.75" customHeight="1" s="201">
      <c r="A2989" s="1" t="n">
        <v>58145170</v>
      </c>
      <c r="B2989" s="1" t="inlineStr">
        <is>
          <t>Macaroni or noodles with cheese and egg</t>
        </is>
      </c>
      <c r="C2989" s="1" t="n">
        <v>4</v>
      </c>
      <c r="D2989" s="1" t="inlineStr">
        <is>
          <t>FNDDS recipe with replaced or modified SR codes</t>
        </is>
      </c>
      <c r="E2989" s="1" t="inlineStr">
        <is>
          <t>Base</t>
        </is>
      </c>
      <c r="F2989" s="1" t="n">
        <v>0.80908</v>
      </c>
    </row>
    <row r="2990" ht="15.75" customHeight="1" s="201">
      <c r="A2990" s="1" t="n">
        <v>58145190</v>
      </c>
      <c r="B2990" s="1" t="inlineStr">
        <is>
          <t>Macaroni or noodles with cheese and chicken or turkey</t>
        </is>
      </c>
      <c r="C2990" s="1" t="n">
        <v>1</v>
      </c>
      <c r="D2990" s="1" t="inlineStr">
        <is>
          <t>Links to FNDDS</t>
        </is>
      </c>
      <c r="E2990" s="1" t="inlineStr">
        <is>
          <t>Base</t>
        </is>
      </c>
      <c r="F2990" s="1" t="n">
        <v>0.7889</v>
      </c>
    </row>
    <row r="2991" ht="15.75" customHeight="1" s="201">
      <c r="A2991" s="1" t="n">
        <v>58146120</v>
      </c>
      <c r="B2991" s="1" t="inlineStr">
        <is>
          <t>Pasta with tomato-based sauce, cheese and meat (Includes Cannelloni; Baked Ziti with meat; spaghetti, any shape pasta; marinara, red sauce; NS sauce kind)</t>
        </is>
      </c>
      <c r="C2991" s="1" t="n">
        <v>4</v>
      </c>
      <c r="D2991" s="1" t="inlineStr">
        <is>
          <t>FNDDS recipe with replaced or modified SR codes</t>
        </is>
      </c>
      <c r="E2991" s="1" t="inlineStr">
        <is>
          <t>Base</t>
        </is>
      </c>
      <c r="F2991" s="1" t="n">
        <v>0.393324</v>
      </c>
    </row>
    <row r="2992" ht="15.75" customHeight="1" s="201">
      <c r="A2992" s="1" t="n">
        <v>58146160</v>
      </c>
      <c r="B2992" s="1" t="inlineStr">
        <is>
          <t>Pasta with vegetables, no sauce or dressing (Includes macaroni, spaghetti, any shape of pasta; made with any vegetables other than tomatoes and onions)</t>
        </is>
      </c>
      <c r="C2992" s="1" t="n">
        <v>4</v>
      </c>
      <c r="D2992" s="1" t="inlineStr">
        <is>
          <t>FNDDS recipe with replaced or modified SR codes</t>
        </is>
      </c>
      <c r="E2992" s="1" t="inlineStr">
        <is>
          <t>Base</t>
        </is>
      </c>
      <c r="F2992" s="1" t="n">
        <v>0.227406</v>
      </c>
    </row>
    <row r="2993" ht="15.75" customHeight="1" s="201">
      <c r="A2993" s="1" t="n">
        <v>58146210</v>
      </c>
      <c r="B2993" s="1" t="inlineStr">
        <is>
          <t>Pasta with sauce, NFS</t>
        </is>
      </c>
      <c r="C2993" s="1" t="n">
        <v>2</v>
      </c>
      <c r="D2993" s="1" t="inlineStr">
        <is>
          <t>Links to altEC</t>
        </is>
      </c>
      <c r="E2993" s="1" t="inlineStr">
        <is>
          <t>Base</t>
        </is>
      </c>
      <c r="F2993" s="1" t="n">
        <v>0.31971</v>
      </c>
    </row>
    <row r="2994" ht="15.75" customHeight="1" s="201">
      <c r="A2994" s="1" t="n">
        <v>58146215</v>
      </c>
      <c r="B2994" s="1" t="inlineStr">
        <is>
          <t>Pasta with sauce, meatless, school lunch (Includes spaghetti, any shape pasta)</t>
        </is>
      </c>
      <c r="C2994" s="1" t="n">
        <v>4</v>
      </c>
      <c r="D2994" s="1" t="inlineStr">
        <is>
          <t>FNDDS recipe with replaced or modified SR codes</t>
        </is>
      </c>
      <c r="E2994" s="1" t="inlineStr">
        <is>
          <t>Base</t>
        </is>
      </c>
      <c r="F2994" s="1" t="n">
        <v>0.209003</v>
      </c>
    </row>
    <row r="2995" ht="15.75" customHeight="1" s="201">
      <c r="A2995" s="1" t="n">
        <v>58146221</v>
      </c>
      <c r="B2995" s="1" t="inlineStr">
        <is>
          <t>Pasta with tomato-based sauce, restaurant (Includes spaghetti, any shape pasta; marinara, red sauce; NS sauce kind; fast food)</t>
        </is>
      </c>
      <c r="C2995" s="1" t="n">
        <v>4</v>
      </c>
      <c r="D2995" s="1" t="inlineStr">
        <is>
          <t>FNDDS recipe with replaced or modified SR codes</t>
        </is>
      </c>
      <c r="E2995" s="1" t="inlineStr">
        <is>
          <t>Base</t>
        </is>
      </c>
      <c r="F2995" s="1" t="n">
        <v>0.218893</v>
      </c>
    </row>
    <row r="2996" ht="15.75" customHeight="1" s="201">
      <c r="A2996" s="1" t="n">
        <v>58146222</v>
      </c>
      <c r="B2996" s="1" t="inlineStr">
        <is>
          <t>Pasta with tomato-based sauce, home recipe (Includes spaghetti, any shape pasta; marinara, red sauce; NS sauce kind; NS source)</t>
        </is>
      </c>
      <c r="C2996" s="1" t="n">
        <v>4</v>
      </c>
      <c r="D2996" s="1" t="inlineStr">
        <is>
          <t>FNDDS recipe with replaced or modified SR codes</t>
        </is>
      </c>
      <c r="E2996" s="1" t="inlineStr">
        <is>
          <t>Base</t>
        </is>
      </c>
      <c r="F2996" s="1" t="n">
        <v>0.203949</v>
      </c>
    </row>
    <row r="2997" ht="15.75" customHeight="1" s="201">
      <c r="A2997" s="1" t="n">
        <v>58146223</v>
      </c>
      <c r="B2997" s="1" t="inlineStr">
        <is>
          <t>Pasta with tomato-based sauce, ready-to-heat (Includes spaghetti, any shape pasta; marinara, red sauce; NS sauce kind; canned, commercially frozen, dry mix, microwavable container; from other place; SpaghettiOs, meatless or NFS)</t>
        </is>
      </c>
      <c r="C2997" s="1" t="n">
        <v>4</v>
      </c>
      <c r="D2997" s="1" t="inlineStr">
        <is>
          <t>FNDDS recipe with replaced or modified SR codes</t>
        </is>
      </c>
      <c r="E2997" s="1" t="inlineStr">
        <is>
          <t>Base</t>
        </is>
      </c>
      <c r="F2997" s="1" t="n">
        <v>0.208</v>
      </c>
    </row>
    <row r="2998" ht="15.75" customHeight="1" s="201">
      <c r="A2998" s="1" t="n">
        <v>58146301</v>
      </c>
      <c r="B2998" s="1" t="inlineStr">
        <is>
          <t>Pasta with tomato-based sauce, and added vegetables, restaurant (Includes spaghetti, any shape pasta; marinara, red sauce; NS sauce kind; vegetables other than tomatoes and onions; fast food)</t>
        </is>
      </c>
      <c r="C2998" s="1" t="n">
        <v>4</v>
      </c>
      <c r="D2998" s="1" t="inlineStr">
        <is>
          <t>FNDDS recipe with replaced or modified SR codes</t>
        </is>
      </c>
      <c r="E2998" s="1" t="inlineStr">
        <is>
          <t>Base</t>
        </is>
      </c>
      <c r="F2998" s="1" t="n">
        <v>0.27776</v>
      </c>
    </row>
    <row r="2999" ht="15.75" customHeight="1" s="201">
      <c r="A2999" s="1" t="n">
        <v>58146302</v>
      </c>
      <c r="B2999" s="1" t="inlineStr">
        <is>
          <t>Pasta with tomato-based sauce, and added vegetables, home recipe (Includes spaghetti, any shape pasta; marinara, red sauce; NS sauce kind; NS source; vegetables other than tomatoes and onions)</t>
        </is>
      </c>
      <c r="C2999" s="1" t="n">
        <v>4</v>
      </c>
      <c r="D2999" s="1" t="inlineStr">
        <is>
          <t>FNDDS recipe with replaced or modified SR codes</t>
        </is>
      </c>
      <c r="E2999" s="1" t="inlineStr">
        <is>
          <t>Base</t>
        </is>
      </c>
      <c r="F2999" s="1" t="n">
        <v>0.267503</v>
      </c>
    </row>
    <row r="3000" ht="15.75" customHeight="1" s="201">
      <c r="A3000" s="1" t="n">
        <v>58146315</v>
      </c>
      <c r="B3000" s="1" t="inlineStr">
        <is>
          <t>Pasta with sauce and meat, from school lunch (Includes spaghetti, any shape pasta)</t>
        </is>
      </c>
      <c r="C3000" s="1" t="n">
        <v>4</v>
      </c>
      <c r="D3000" s="1" t="inlineStr">
        <is>
          <t>FNDDS recipe with replaced or modified SR codes</t>
        </is>
      </c>
      <c r="E3000" s="1" t="inlineStr">
        <is>
          <t>Base</t>
        </is>
      </c>
      <c r="F3000" s="1" t="n">
        <v>0.3179</v>
      </c>
    </row>
    <row r="3001" ht="15.75" customHeight="1" s="201">
      <c r="A3001" s="1" t="n">
        <v>58146321</v>
      </c>
      <c r="B3001" s="1" t="inlineStr">
        <is>
          <t>Pasta with tomato-based sauce and meat, restaurant (Includes spaghetti, any shape pasta; marinara, red sauce; NS sauce kind; fast food)</t>
        </is>
      </c>
      <c r="C3001" s="1" t="n">
        <v>4</v>
      </c>
      <c r="D3001" s="1" t="inlineStr">
        <is>
          <t>FNDDS recipe with replaced or modified SR codes</t>
        </is>
      </c>
      <c r="E3001" s="1" t="inlineStr">
        <is>
          <t>Base</t>
        </is>
      </c>
      <c r="F3001" s="1" t="n">
        <v>0.197454</v>
      </c>
    </row>
    <row r="3002" ht="15.75" customHeight="1" s="201">
      <c r="A3002" s="1" t="n">
        <v>58146322</v>
      </c>
      <c r="B3002" s="1" t="inlineStr">
        <is>
          <t>Pasta with tomato-based sauce and meat, home recipe (Includes spaghetti, any shape pasta; marinara, red sauce; NS sauce kind; NS source)</t>
        </is>
      </c>
      <c r="C3002" s="1" t="n">
        <v>4</v>
      </c>
      <c r="D3002" s="1" t="inlineStr">
        <is>
          <t>FNDDS recipe with replaced or modified SR codes</t>
        </is>
      </c>
      <c r="E3002" s="1" t="inlineStr">
        <is>
          <t>Base</t>
        </is>
      </c>
      <c r="F3002" s="1" t="n">
        <v>0.180802</v>
      </c>
    </row>
    <row r="3003" ht="15.75" customHeight="1" s="201">
      <c r="A3003" s="1" t="n">
        <v>58146323</v>
      </c>
      <c r="B3003" s="1" t="inlineStr">
        <is>
          <t>Pasta with tomato-based sauce and meat, ready-to-heat (Includes spaghetti, any shape pasta; marinara, red sauce; NS sauce kind; canned, commercially frozen, dry mix, microwavable container; from other place; Beefaroni; SpaghettiOs with meat)</t>
        </is>
      </c>
      <c r="C3003" s="1" t="n">
        <v>4</v>
      </c>
      <c r="D3003" s="1" t="inlineStr">
        <is>
          <t>FNDDS recipe with replaced or modified SR codes</t>
        </is>
      </c>
      <c r="E3003" s="1" t="inlineStr">
        <is>
          <t>Base</t>
        </is>
      </c>
      <c r="F3003" s="1" t="n">
        <v>0.185356</v>
      </c>
    </row>
    <row r="3004" ht="15.75" customHeight="1" s="201">
      <c r="A3004" s="1" t="n">
        <v>58146332</v>
      </c>
      <c r="B3004" s="1" t="inlineStr">
        <is>
          <t>Pasta with tomato-based sauce, meat, and added vegetables, home recipe (Includes spaghetti, any shape pasta; marinara, red sauce; NS sauce kind; vegetables other than tomatoes and onions; NS source)</t>
        </is>
      </c>
      <c r="C3004" s="1" t="n">
        <v>4</v>
      </c>
      <c r="D3004" s="1" t="inlineStr">
        <is>
          <t>FNDDS recipe with replaced or modified SR codes</t>
        </is>
      </c>
      <c r="E3004" s="1" t="inlineStr">
        <is>
          <t>Base</t>
        </is>
      </c>
      <c r="F3004" s="1" t="n">
        <v>0.345523</v>
      </c>
    </row>
    <row r="3005" ht="15.75" customHeight="1" s="201">
      <c r="A3005" s="1" t="n">
        <v>58146333</v>
      </c>
      <c r="B3005" s="1" t="inlineStr">
        <is>
          <t>Pasta with tomato-based sauce, meat, and added vegetables, ready-to-heat (Includes spaghetti, any shape pasta; marinara, red sauce; NS sauce kind; vegetables other than tomatoes and onions; canned, commercially frozen, dry mix, microwavable container; from other place)</t>
        </is>
      </c>
      <c r="C3005" s="1" t="n">
        <v>1</v>
      </c>
      <c r="D3005" s="1" t="inlineStr">
        <is>
          <t>Links to FNDDS</t>
        </is>
      </c>
      <c r="E3005" s="1" t="inlineStr">
        <is>
          <t>Base</t>
        </is>
      </c>
      <c r="F3005" s="1" t="n">
        <v>1.076559</v>
      </c>
    </row>
    <row r="3006" ht="15.75" customHeight="1" s="201">
      <c r="A3006" s="1" t="n">
        <v>58146341</v>
      </c>
      <c r="B3006" s="1" t="inlineStr">
        <is>
          <t>Pasta with tomato-based sauce and poultry, restaurant (Includes spaghetti, any shape pasta; marinara, red sauce; NS sauce kind; fast food)</t>
        </is>
      </c>
      <c r="C3006" s="1" t="n">
        <v>4</v>
      </c>
      <c r="D3006" s="1" t="inlineStr">
        <is>
          <t>FNDDS recipe with replaced or modified SR codes</t>
        </is>
      </c>
      <c r="E3006" s="1" t="inlineStr">
        <is>
          <t>Base</t>
        </is>
      </c>
      <c r="F3006" s="1" t="n">
        <v>0.288925</v>
      </c>
    </row>
    <row r="3007" ht="15.75" customHeight="1" s="201">
      <c r="A3007" s="1" t="n">
        <v>58146342</v>
      </c>
      <c r="B3007" s="1" t="inlineStr">
        <is>
          <t>Pasta with tomato-based sauce and poultry, home recipe (Includes spaghetti, any shape pasta; marinara, red sauce; NS sauce kind; NS source)</t>
        </is>
      </c>
      <c r="C3007" s="1" t="n">
        <v>4</v>
      </c>
      <c r="D3007" s="1" t="inlineStr">
        <is>
          <t>FNDDS recipe with replaced or modified SR codes</t>
        </is>
      </c>
      <c r="E3007" s="1" t="inlineStr">
        <is>
          <t>Base</t>
        </is>
      </c>
      <c r="F3007" s="1" t="n">
        <v>0.279557</v>
      </c>
    </row>
    <row r="3008" ht="15.75" customHeight="1" s="201">
      <c r="A3008" s="1" t="n">
        <v>58146343</v>
      </c>
      <c r="B3008" s="1" t="inlineStr">
        <is>
          <t>Pasta with tomato-based sauce and poultry, ready-to-heat (Includes spaghetti, any shape pasta; marinara, red sauce; NS sauce kind; canned, commercially frozen, dry mix, microwavable container; from other place)</t>
        </is>
      </c>
      <c r="C3008" s="1" t="n">
        <v>1</v>
      </c>
      <c r="D3008" s="1" t="inlineStr">
        <is>
          <t>Links to FNDDS</t>
        </is>
      </c>
      <c r="E3008" s="1" t="inlineStr">
        <is>
          <t>Base</t>
        </is>
      </c>
      <c r="F3008" s="1" t="n">
        <v>0.897309</v>
      </c>
    </row>
    <row r="3009" ht="15.75" customHeight="1" s="201">
      <c r="A3009" s="1" t="n">
        <v>58146351</v>
      </c>
      <c r="B3009" s="1" t="inlineStr">
        <is>
          <t>Pasta with tomato-based sauce, poultry, and added vegetables, restaurant (Includes spaghetti, any shape pasta; marinara, red sauce; NS sauce kind; vegetables other than tomatoes and onions; fast food)</t>
        </is>
      </c>
      <c r="C3009" s="1" t="n">
        <v>4</v>
      </c>
      <c r="D3009" s="1" t="inlineStr">
        <is>
          <t>FNDDS recipe with replaced or modified SR codes</t>
        </is>
      </c>
      <c r="E3009" s="1" t="inlineStr">
        <is>
          <t>Base</t>
        </is>
      </c>
      <c r="F3009" s="1" t="n">
        <v>0.336754</v>
      </c>
    </row>
    <row r="3010" ht="15.75" customHeight="1" s="201">
      <c r="A3010" s="1" t="n">
        <v>58146352</v>
      </c>
      <c r="B3010" s="1" t="inlineStr">
        <is>
          <t>Pasta with tomato-based sauce, poultry, and added vegetables, home recipe (Includes spaghetti, any shape pasta; marinara, red sauce; NS sauce kind; NS source; vegetables other than tomatoes and onions)</t>
        </is>
      </c>
      <c r="C3010" s="1" t="n">
        <v>4</v>
      </c>
      <c r="D3010" s="1" t="inlineStr">
        <is>
          <t>FNDDS recipe with replaced or modified SR codes</t>
        </is>
      </c>
      <c r="E3010" s="1" t="inlineStr">
        <is>
          <t>Base</t>
        </is>
      </c>
      <c r="F3010" s="1" t="n">
        <v>0.331195</v>
      </c>
    </row>
    <row r="3011" ht="15.75" customHeight="1" s="201">
      <c r="A3011" s="1" t="n">
        <v>58146361</v>
      </c>
      <c r="B3011" s="1" t="inlineStr">
        <is>
          <t>Pasta with tomato-based sauce and seafood, restaurant (Includes spaghetti, any shape pasta; marinara, red sauce; red clam sauce; NS sauce kind; fast food)</t>
        </is>
      </c>
      <c r="C3011" s="1" t="n">
        <v>4</v>
      </c>
      <c r="D3011" s="1" t="inlineStr">
        <is>
          <t>FNDDS recipe with replaced or modified SR codes</t>
        </is>
      </c>
      <c r="E3011" s="1" t="inlineStr">
        <is>
          <t>Base</t>
        </is>
      </c>
      <c r="F3011" s="1" t="n">
        <v>0.460285</v>
      </c>
    </row>
    <row r="3012" ht="15.75" customHeight="1" s="201">
      <c r="A3012" s="1" t="n">
        <v>58146362</v>
      </c>
      <c r="B3012" s="1" t="inlineStr">
        <is>
          <t>Pasta with tomato-based sauce and seafood, home recipe (Includes spaghetti, any shape pasta; marinara, red sauce; red clam sauce; NS sauce kind; NS source)</t>
        </is>
      </c>
      <c r="C3012" s="1" t="n">
        <v>4</v>
      </c>
      <c r="D3012" s="1" t="inlineStr">
        <is>
          <t>FNDDS recipe with replaced or modified SR codes</t>
        </is>
      </c>
      <c r="E3012" s="1" t="inlineStr">
        <is>
          <t>Base</t>
        </is>
      </c>
      <c r="F3012" s="1" t="n">
        <v>0.464562</v>
      </c>
    </row>
    <row r="3013" ht="15.75" customHeight="1" s="201">
      <c r="A3013" s="1" t="n">
        <v>58146371</v>
      </c>
      <c r="B3013" s="1" t="inlineStr">
        <is>
          <t>Pasta with tomato-based sauce, seafood, and added vegetables, restaurant (Includes spaghetti, any shape pasta; marinara, red sauce; red clam sauce; NS sauce kind; vegetables other than tomatoes and onions; fast food)</t>
        </is>
      </c>
      <c r="C3013" s="1" t="n">
        <v>4</v>
      </c>
      <c r="D3013" s="1" t="inlineStr">
        <is>
          <t>FNDDS recipe with replaced or modified SR codes</t>
        </is>
      </c>
      <c r="E3013" s="1" t="inlineStr">
        <is>
          <t>Base</t>
        </is>
      </c>
      <c r="F3013" s="1" t="n">
        <v>0.508114</v>
      </c>
    </row>
    <row r="3014" ht="15.75" customHeight="1" s="201">
      <c r="A3014" s="1" t="n">
        <v>58146372</v>
      </c>
      <c r="B3014" s="1" t="inlineStr">
        <is>
          <t>Pasta with tomato-based sauce, seafood, and added vegetables, home recipe (Includes spaghetti, any shape pasta; marinara, red sauce; red clam sauce; NS sauce kind; NS source; vegetables other than tomatoes and onions)</t>
        </is>
      </c>
      <c r="C3014" s="1" t="n">
        <v>4</v>
      </c>
      <c r="D3014" s="1" t="inlineStr">
        <is>
          <t>FNDDS recipe with replaced or modified SR codes</t>
        </is>
      </c>
      <c r="E3014" s="1" t="inlineStr">
        <is>
          <t>Base</t>
        </is>
      </c>
      <c r="F3014" s="1" t="n">
        <v>0.516199</v>
      </c>
    </row>
    <row r="3015" ht="15.75" customHeight="1" s="201">
      <c r="A3015" s="1" t="n">
        <v>58146381</v>
      </c>
      <c r="B3015" s="1" t="inlineStr">
        <is>
          <t>Pasta with cream sauce, restaurant (Includes spaghetti, any shape pasta; white, cheese, vodka, or Alfredo sauce; butter or oil-based sauce; pesto; fast food; Noodles Romanoff)</t>
        </is>
      </c>
      <c r="C3015" s="1" t="n">
        <v>4</v>
      </c>
      <c r="D3015" s="1" t="inlineStr">
        <is>
          <t>FNDDS recipe with replaced or modified SR codes</t>
        </is>
      </c>
      <c r="E3015" s="1" t="inlineStr">
        <is>
          <t>Base</t>
        </is>
      </c>
      <c r="F3015" s="1" t="n">
        <v>0.307912</v>
      </c>
    </row>
    <row r="3016" ht="15.75" customHeight="1" s="201">
      <c r="A3016" s="1" t="n">
        <v>58146382</v>
      </c>
      <c r="B3016" s="1" t="inlineStr">
        <is>
          <t>Pasta with cream sauce, home recipe (Includes spaghetti, any shape pasta; with white, cheese, vodka, or Alfredo sauce; butter or oil-based sauce; pesto; NS source; Noodles Romanoff)</t>
        </is>
      </c>
      <c r="C3016" s="1" t="n">
        <v>4</v>
      </c>
      <c r="D3016" s="1" t="inlineStr">
        <is>
          <t>FNDDS recipe with replaced or modified SR codes</t>
        </is>
      </c>
      <c r="E3016" s="1" t="inlineStr">
        <is>
          <t>Base</t>
        </is>
      </c>
      <c r="F3016" s="1" t="n">
        <v>0.300269</v>
      </c>
    </row>
    <row r="3017" ht="15.75" customHeight="1" s="201">
      <c r="A3017" s="1" t="n">
        <v>58146383</v>
      </c>
      <c r="B3017" s="1" t="inlineStr">
        <is>
          <t>Pasta with cream sauce, ready-to-heat (Includes spaghetti, any shape pasta; white, cheese, vodka, or Alfredo sauce; butter or oil-based sauce; pesto; canned, commercially frozen, dry mix, microwavable container; from other place; Noodles Romanoff)</t>
        </is>
      </c>
      <c r="C3017" s="1" t="n">
        <v>4</v>
      </c>
      <c r="D3017" s="1" t="inlineStr">
        <is>
          <t>FNDDS recipe with replaced or modified SR codes</t>
        </is>
      </c>
      <c r="E3017" s="1" t="inlineStr">
        <is>
          <t>Base</t>
        </is>
      </c>
      <c r="F3017" s="1" t="n">
        <v>0.302227</v>
      </c>
    </row>
    <row r="3018" ht="15.75" customHeight="1" s="201">
      <c r="A3018" s="1" t="n">
        <v>58146391</v>
      </c>
      <c r="B3018" s="1" t="inlineStr">
        <is>
          <t>Pasta with cream sauce and added vegetables, restaurant (Includes spaghetti, any shape pasta; white, cheese, vodka, or Alfredo sauce; butter or oil-based sauce; pesto; vegetables other than tomatoes and onions; fast food)</t>
        </is>
      </c>
      <c r="C3018" s="1" t="n">
        <v>4</v>
      </c>
      <c r="D3018" s="1" t="inlineStr">
        <is>
          <t>FNDDS recipe with replaced or modified SR codes</t>
        </is>
      </c>
      <c r="E3018" s="1" t="inlineStr">
        <is>
          <t>Base</t>
        </is>
      </c>
      <c r="F3018" s="1" t="n">
        <v>0.331661</v>
      </c>
    </row>
    <row r="3019" ht="15.75" customHeight="1" s="201">
      <c r="A3019" s="1" t="n">
        <v>58146392</v>
      </c>
      <c r="B3019" s="1" t="inlineStr">
        <is>
          <t>Pasta with cream sauce and added vegetables, from home recipe (Includes spaghetti, any shape pasta; white, cheese, vodka, or Alfredo sauce; pesto; NS source; vegetables other than tomatoes and onions)</t>
        </is>
      </c>
      <c r="C3019" s="1" t="n">
        <v>4</v>
      </c>
      <c r="D3019" s="1" t="inlineStr">
        <is>
          <t>FNDDS recipe with replaced or modified SR codes</t>
        </is>
      </c>
      <c r="E3019" s="1" t="inlineStr">
        <is>
          <t>Base</t>
        </is>
      </c>
      <c r="F3019" s="1" t="n">
        <v>0.325997</v>
      </c>
    </row>
    <row r="3020" ht="15.75" customHeight="1" s="201">
      <c r="A3020" s="1" t="n">
        <v>58146402</v>
      </c>
      <c r="B3020" s="1" t="inlineStr">
        <is>
          <t>Pasta with cream sauce and meat, home recipe (Includes spaghetti, any shape pasta; white, cheese, vodka, or Alfredo sauce; butter or oil-based sauce; pesto; NS source)</t>
        </is>
      </c>
      <c r="C3020" s="1" t="n">
        <v>4</v>
      </c>
      <c r="D3020" s="1" t="inlineStr">
        <is>
          <t>FNDDS recipe with replaced or modified SR codes</t>
        </is>
      </c>
      <c r="E3020" s="1" t="inlineStr">
        <is>
          <t>Base</t>
        </is>
      </c>
      <c r="F3020" s="1" t="n">
        <v>0.372145</v>
      </c>
    </row>
    <row r="3021" ht="15.75" customHeight="1" s="201">
      <c r="A3021" s="1" t="n">
        <v>58146403</v>
      </c>
      <c r="B3021" s="1" t="inlineStr">
        <is>
          <t>Pasta with cream sauce and meat, ready-to-heat (Includes spaghetti, any shape pasta; white, cheese, vodka, or Alfredo sauce; butter or oil-based sauce; pesto, garlic, or herb sauce; canned, commercially frozen, dry mix, microwavable container; from other place)</t>
        </is>
      </c>
      <c r="C3021" s="1" t="n">
        <v>2</v>
      </c>
      <c r="D3021" s="1" t="inlineStr">
        <is>
          <t>Links to altEC</t>
        </is>
      </c>
      <c r="E3021" s="1" t="inlineStr">
        <is>
          <t>Base</t>
        </is>
      </c>
      <c r="F3021" s="1" t="n">
        <v>0.909931</v>
      </c>
    </row>
    <row r="3022" ht="15.75" customHeight="1" s="201">
      <c r="A3022" s="1" t="n">
        <v>58146413</v>
      </c>
      <c r="B3022" s="1" t="inlineStr">
        <is>
          <t>Pasta with cream sauce, meat, and added vegetables, ready-to-heat (Includes spaghetti, any shape pasta; white, cheese, vodka, or Alfredo sauce; butter or oil-based sauce; pesto; vegetables other than tomatoes and onions; canned, commercially frozen, dry mix, microwavable container; from other place)</t>
        </is>
      </c>
      <c r="C3022" s="1" t="n">
        <v>4</v>
      </c>
      <c r="D3022" s="1" t="inlineStr">
        <is>
          <t>FNDDS recipe with replaced or modified SR codes</t>
        </is>
      </c>
      <c r="E3022" s="1" t="inlineStr">
        <is>
          <t>Base</t>
        </is>
      </c>
      <c r="F3022" s="1" t="n">
        <v>0.392726</v>
      </c>
    </row>
    <row r="3023" ht="15.75" customHeight="1" s="201">
      <c r="A3023" s="1" t="n">
        <v>58146421</v>
      </c>
      <c r="B3023" s="1" t="inlineStr">
        <is>
          <t>Pasta with cream sauce and poultry, restaurant (Includes spaghetti, any shape pasta; white, cheese, vodka, or Alfredo sauce; butter or oil-based sauce; pesto; fast food)</t>
        </is>
      </c>
      <c r="C3023" s="1" t="n">
        <v>4</v>
      </c>
      <c r="D3023" s="1" t="inlineStr">
        <is>
          <t>FNDDS recipe with replaced or modified SR codes</t>
        </is>
      </c>
      <c r="E3023" s="1" t="inlineStr">
        <is>
          <t>Base</t>
        </is>
      </c>
      <c r="F3023" s="1" t="n">
        <v>0.359228</v>
      </c>
    </row>
    <row r="3024" ht="15.75" customHeight="1" s="201">
      <c r="A3024" s="1" t="n">
        <v>58146422</v>
      </c>
      <c r="B3024" s="1" t="inlineStr">
        <is>
          <t>Pasta with cream sauce and poultry, home recipe (Includes spaghetti, any shape pasta; white, cheese, vodka, or Alfredo sauce; butter or oil-based sauce; pesto; NS source)</t>
        </is>
      </c>
      <c r="C3024" s="1" t="n">
        <v>4</v>
      </c>
      <c r="D3024" s="1" t="inlineStr">
        <is>
          <t>FNDDS recipe with replaced or modified SR codes</t>
        </is>
      </c>
      <c r="E3024" s="1" t="inlineStr">
        <is>
          <t>Base</t>
        </is>
      </c>
      <c r="F3024" s="1" t="n">
        <v>0.355861</v>
      </c>
    </row>
    <row r="3025" ht="15.75" customHeight="1" s="201">
      <c r="A3025" s="1" t="n">
        <v>58146423</v>
      </c>
      <c r="B3025" s="1" t="inlineStr">
        <is>
          <t>Pasta with cream sauce and poultry, ready-to-heat (Includes spaghetti, any shape pasta; white, cheese, vodka, or Alfredo sauce; butter or oil-based sauce; pesto; canned, commercially frozen, dry mix, microwavable container; from other place)</t>
        </is>
      </c>
      <c r="C3025" s="1" t="n">
        <v>4</v>
      </c>
      <c r="D3025" s="1" t="inlineStr">
        <is>
          <t>FNDDS recipe with replaced or modified SR codes</t>
        </is>
      </c>
      <c r="E3025" s="1" t="inlineStr">
        <is>
          <t>Base</t>
        </is>
      </c>
      <c r="F3025" s="1" t="n">
        <v>0.35661</v>
      </c>
    </row>
    <row r="3026" ht="15.75" customHeight="1" s="201">
      <c r="A3026" s="1" t="n">
        <v>58146432</v>
      </c>
      <c r="B3026" s="1" t="inlineStr">
        <is>
          <t>Pasta with cream sauce, poultry, and added vegetables, home recipe (Includes spaghetti, any shape pasta; white, cheese, vodka, or Alfredo sauce; butter or oil-based sauce; pesto; NS source; vegetables other than tomatoes and onions)</t>
        </is>
      </c>
      <c r="C3026" s="1" t="n">
        <v>4</v>
      </c>
      <c r="D3026" s="1" t="inlineStr">
        <is>
          <t>FNDDS recipe with replaced or modified SR codes</t>
        </is>
      </c>
      <c r="E3026" s="1" t="inlineStr">
        <is>
          <t>Base</t>
        </is>
      </c>
      <c r="F3026" s="1" t="n">
        <v>0.376495</v>
      </c>
    </row>
    <row r="3027" ht="15.75" customHeight="1" s="201">
      <c r="A3027" s="1" t="n">
        <v>58146433</v>
      </c>
      <c r="B3027" s="1" t="inlineStr">
        <is>
          <t>Pasta with cream sauce, poultry, and added vegetables, ready-to-heat (Includes spaghetti, any shape pasta; white, cheese, vodka, or Alfredo sauce; butter or oil-based sauce; pesto; vegetables other than tomatoes and onions; canned, commercially frozen, dry mix, microwavable container; from other place)</t>
        </is>
      </c>
      <c r="C3027" s="1" t="n">
        <v>4</v>
      </c>
      <c r="D3027" s="1" t="inlineStr">
        <is>
          <t>FNDDS recipe with replaced or modified SR codes</t>
        </is>
      </c>
      <c r="E3027" s="1" t="inlineStr">
        <is>
          <t>Base</t>
        </is>
      </c>
      <c r="F3027" s="1" t="n">
        <v>0.376795</v>
      </c>
    </row>
    <row r="3028" ht="15.75" customHeight="1" s="201">
      <c r="A3028" s="1" t="n">
        <v>58146441</v>
      </c>
      <c r="B3028" s="1" t="inlineStr">
        <is>
          <t>Pasta with cream sauce and seafood, restaurant (Includes spaghetti, any shape pasta; white, cheese, vodka, or Alfredo sauce; butter or oil-based sauce; pesto; white clam sauce; fast food)</t>
        </is>
      </c>
      <c r="C3028" s="1" t="n">
        <v>4</v>
      </c>
      <c r="D3028" s="1" t="inlineStr">
        <is>
          <t>FNDDS recipe with replaced or modified SR codes</t>
        </is>
      </c>
      <c r="E3028" s="1" t="inlineStr">
        <is>
          <t>Base</t>
        </is>
      </c>
      <c r="F3028" s="1" t="n">
        <v>0.531815</v>
      </c>
    </row>
    <row r="3029" ht="15.75" customHeight="1" s="201">
      <c r="A3029" s="1" t="n">
        <v>58146442</v>
      </c>
      <c r="B3029" s="1" t="inlineStr">
        <is>
          <t>Pasta with cream sauce and seafood, home recipe (Includes spaghetti, any shape pasta; white, cheese, vodka, or Alfredo sauce; butter or oil-based sauce; pesto; white clam sauce; NS source)</t>
        </is>
      </c>
      <c r="C3029" s="1" t="n">
        <v>4</v>
      </c>
      <c r="D3029" s="1" t="inlineStr">
        <is>
          <t>FNDDS recipe with replaced or modified SR codes</t>
        </is>
      </c>
      <c r="E3029" s="1" t="inlineStr">
        <is>
          <t>Base</t>
        </is>
      </c>
      <c r="F3029" s="1" t="n">
        <v>0.54283</v>
      </c>
    </row>
    <row r="3030" ht="15.75" customHeight="1" s="201">
      <c r="A3030" s="1" t="n">
        <v>58146443</v>
      </c>
      <c r="B3030" s="1" t="inlineStr">
        <is>
          <t>Pasta with cream sauce and seafood, ready-to-heat (Includes spaghetti, any shape pasta; white, cheese, vodka, or Alfredo sauce; butter or oil-based sauce; pesto; white clam sauce; canned, commercially frozen, dry mix, microwavable container; from other place)</t>
        </is>
      </c>
      <c r="C3030" s="1" t="n">
        <v>1</v>
      </c>
      <c r="D3030" s="1" t="inlineStr">
        <is>
          <t>Links to FNDDS</t>
        </is>
      </c>
      <c r="E3030" s="1" t="inlineStr">
        <is>
          <t>Base</t>
        </is>
      </c>
      <c r="F3030" s="1" t="n">
        <v>1.417351</v>
      </c>
    </row>
    <row r="3031" ht="15.75" customHeight="1" s="201">
      <c r="A3031" s="1" t="n">
        <v>58146451</v>
      </c>
      <c r="B3031" s="1" t="inlineStr">
        <is>
          <t>Pasta with cream sauce, seafood, and added vegetables, restaurant (Includes spaghetti, any shape pasta; white, cheese, vodka, or Alfredo sauce; butter or oil-based sauce; pesto; white clam sauce; vegetables other than tomatoes and onions; fast food)</t>
        </is>
      </c>
      <c r="C3031" s="1" t="n">
        <v>4</v>
      </c>
      <c r="D3031" s="1" t="inlineStr">
        <is>
          <t>FNDDS recipe with replaced or modified SR codes</t>
        </is>
      </c>
      <c r="E3031" s="1" t="inlineStr">
        <is>
          <t>Base</t>
        </is>
      </c>
      <c r="F3031" s="1" t="n">
        <v>0.550862</v>
      </c>
    </row>
    <row r="3032" ht="15.75" customHeight="1" s="201">
      <c r="A3032" s="1" t="n">
        <v>58146452</v>
      </c>
      <c r="B3032" s="1" t="inlineStr">
        <is>
          <t>Pasta with cream sauce, seafood, and added vegetables, home recipe (Includes spaghetti, any shape pasta; white, cheese, vodka, or Alfredo sauce; butter or oil-based sauce; pesto; white clam sauce; NS source; vegetables other than tomatoes and onions)</t>
        </is>
      </c>
      <c r="C3032" s="1" t="n">
        <v>4</v>
      </c>
      <c r="D3032" s="1" t="inlineStr">
        <is>
          <t>FNDDS recipe with replaced or modified SR codes</t>
        </is>
      </c>
      <c r="E3032" s="1" t="inlineStr">
        <is>
          <t>Base</t>
        </is>
      </c>
      <c r="F3032" s="1" t="n">
        <v>0.563464</v>
      </c>
    </row>
    <row r="3033" ht="15.75" customHeight="1" s="201">
      <c r="A3033" s="1" t="n">
        <v>58146602</v>
      </c>
      <c r="B3033" s="1" t="inlineStr">
        <is>
          <t>Pasta, whole grain, with tomato-based sauce, home recipe (Includes whole wheat pasta; spaghetti, any shape pasta; marinara, red sauce; NS sauce kind; NS source)</t>
        </is>
      </c>
      <c r="C3033" s="1" t="n">
        <v>4</v>
      </c>
      <c r="D3033" s="1" t="inlineStr">
        <is>
          <t>FNDDS recipe with replaced or modified SR codes</t>
        </is>
      </c>
      <c r="E3033" s="1" t="inlineStr">
        <is>
          <t>Base</t>
        </is>
      </c>
      <c r="F3033" s="1" t="n">
        <v>0.208926</v>
      </c>
    </row>
    <row r="3034" ht="15.75" customHeight="1" s="201">
      <c r="A3034" s="1" t="n">
        <v>58146603</v>
      </c>
      <c r="B3034" s="1" t="inlineStr">
        <is>
          <t>Pasta, whole grain, with tomato-based sauce, ready-to-heat (Includes whole wheat pasta; spaghetti, any shape pasta; marinara, red sauce; NS sauce kind; canned, commercially frozen, dry mix, microwavable container; from other place)</t>
        </is>
      </c>
      <c r="C3034" s="1" t="n">
        <v>4</v>
      </c>
      <c r="D3034" s="1" t="inlineStr">
        <is>
          <t>FNDDS recipe with replaced or modified SR codes</t>
        </is>
      </c>
      <c r="E3034" s="1" t="inlineStr">
        <is>
          <t>Base</t>
        </is>
      </c>
      <c r="F3034" s="1" t="n">
        <v>0.212869</v>
      </c>
    </row>
    <row r="3035" ht="15.75" customHeight="1" s="201">
      <c r="A3035" s="1" t="n">
        <v>58146612</v>
      </c>
      <c r="B3035" s="1" t="inlineStr">
        <is>
          <t>Pasta, whole grain, with tomato-based sauce and added vegetables, home recipe (Includes whole wheat pasta; spaghetti, any shape pasta; marinara, red sauce; NS sauce kind; NS source; vegetables other than tomatoes and onions)</t>
        </is>
      </c>
      <c r="C3035" s="1" t="n">
        <v>4</v>
      </c>
      <c r="D3035" s="1" t="inlineStr">
        <is>
          <t>FNDDS recipe with replaced or modified SR codes</t>
        </is>
      </c>
      <c r="E3035" s="1" t="inlineStr">
        <is>
          <t>Base</t>
        </is>
      </c>
      <c r="F3035" s="1" t="n">
        <v>0.27248</v>
      </c>
    </row>
    <row r="3036" ht="15.75" customHeight="1" s="201">
      <c r="A3036" s="1" t="n">
        <v>58146613</v>
      </c>
      <c r="B3036" s="1" t="inlineStr">
        <is>
          <t>Pasta, whole grain, with tomato-based sauce and added vegetables, ready-to-heat (Includes whole wheat pasta; spaghetti, any shape pasta; marinara, red sauce; NS sauce kind; vegetables other than tomatoes and onions; canned, commercially frozen, dry mix, microwavable container; from other place)</t>
        </is>
      </c>
      <c r="C3036" s="1" t="n">
        <v>4</v>
      </c>
      <c r="D3036" s="1" t="inlineStr">
        <is>
          <t>FNDDS recipe with replaced or modified SR codes</t>
        </is>
      </c>
      <c r="E3036" s="1" t="inlineStr">
        <is>
          <t>Base</t>
        </is>
      </c>
      <c r="F3036" s="1" t="n">
        <v>0.275042</v>
      </c>
    </row>
    <row r="3037" ht="15.75" customHeight="1" s="201">
      <c r="A3037" s="1" t="n">
        <v>58146622</v>
      </c>
      <c r="B3037" s="1" t="inlineStr">
        <is>
          <t>Pasta, whole grain, with tomato-based sauce and meat, home recipe (Includes whole wheat pasta; spaghetti, any shape pasta; marinara, red sauce; NS sauce kind; NS source)</t>
        </is>
      </c>
      <c r="C3037" s="1" t="n">
        <v>4</v>
      </c>
      <c r="D3037" s="1" t="inlineStr">
        <is>
          <t>FNDDS recipe with replaced or modified SR codes</t>
        </is>
      </c>
      <c r="E3037" s="1" t="inlineStr">
        <is>
          <t>Base</t>
        </is>
      </c>
      <c r="F3037" s="1" t="n">
        <v>0.18578</v>
      </c>
    </row>
    <row r="3038" ht="15.75" customHeight="1" s="201">
      <c r="A3038" s="1" t="n">
        <v>58146623</v>
      </c>
      <c r="B3038" s="1" t="inlineStr">
        <is>
          <t>Pasta, whole grain, with tomato-based sauce and meat, ready-to-heat (Includes whole wheat pasta; spaghetti, any shape pasta; marinara, red sauce; NS sauce kind; canned, commercially frozen, dry mix, microwavable container; from other place)</t>
        </is>
      </c>
      <c r="C3038" s="1" t="n">
        <v>2</v>
      </c>
      <c r="D3038" s="1" t="inlineStr">
        <is>
          <t>Links to altEC</t>
        </is>
      </c>
      <c r="E3038" s="1" t="inlineStr">
        <is>
          <t>Base</t>
        </is>
      </c>
      <c r="F3038" s="1" t="n">
        <v>0.902936</v>
      </c>
    </row>
    <row r="3039" ht="15.75" customHeight="1" s="201">
      <c r="A3039" s="1" t="n">
        <v>58146632</v>
      </c>
      <c r="B3039" s="1" t="inlineStr">
        <is>
          <t>Pasta, whole grain, with tomato-based sauce, meat, and added vegetables, home recipe (Includes whole wheat pasta; spaghetti, any shape pasta; marinara, red sauce; NS sauce kind; NS source; vegetables other than tomatoes and onions)</t>
        </is>
      </c>
      <c r="C3039" s="1" t="n">
        <v>4</v>
      </c>
      <c r="D3039" s="1" t="inlineStr">
        <is>
          <t>FNDDS recipe with replaced or modified SR codes</t>
        </is>
      </c>
      <c r="E3039" s="1" t="inlineStr">
        <is>
          <t>Base</t>
        </is>
      </c>
      <c r="F3039" s="1" t="n">
        <v>0.3505</v>
      </c>
    </row>
    <row r="3040" ht="15.75" customHeight="1" s="201">
      <c r="A3040" s="1" t="n">
        <v>58146642</v>
      </c>
      <c r="B3040" s="1" t="inlineStr">
        <is>
          <t>Pasta, whole grain, with tomato-based sauce and poultry, home recipe (Includes whole wheat pasta; spaghetti, any shape pasta; marinara, red sauce; NS sauce kind; chicken or turkey; NS source)</t>
        </is>
      </c>
      <c r="C3040" s="1" t="n">
        <v>4</v>
      </c>
      <c r="D3040" s="1" t="inlineStr">
        <is>
          <t>FNDDS recipe with replaced or modified SR codes</t>
        </is>
      </c>
      <c r="E3040" s="1" t="inlineStr">
        <is>
          <t>Base</t>
        </is>
      </c>
      <c r="F3040" s="1" t="n">
        <v>0.284535</v>
      </c>
    </row>
    <row r="3041" ht="15.75" customHeight="1" s="201">
      <c r="A3041" s="1" t="n">
        <v>58146652</v>
      </c>
      <c r="B3041" s="1" t="inlineStr">
        <is>
          <t>Pasta, whole grain, with tomato-based sauce, poultry, and added vegetables, home recipe (Includes whole wheat pasta; spaghetti, any shape pasta; marinara, red sauce; NS sauce kind; NS source; vegetables other than tomatoes and onions)</t>
        </is>
      </c>
      <c r="C3041" s="1" t="n">
        <v>4</v>
      </c>
      <c r="D3041" s="1" t="inlineStr">
        <is>
          <t>FNDDS recipe with replaced or modified SR codes</t>
        </is>
      </c>
      <c r="E3041" s="1" t="inlineStr">
        <is>
          <t>Base</t>
        </is>
      </c>
      <c r="F3041" s="1" t="n">
        <v>0.336173</v>
      </c>
    </row>
    <row r="3042" ht="15.75" customHeight="1" s="201">
      <c r="A3042" s="1" t="n">
        <v>58146662</v>
      </c>
      <c r="B3042" s="1" t="inlineStr">
        <is>
          <t>Pasta, whole grain, with tomato-based sauce and seafood, home recipe (Includes whole wheat pasta; spaghetti, any shape pasta; marinara, red sauce; red clam sauce; NS sauce kind; NS source)</t>
        </is>
      </c>
      <c r="C3042" s="1" t="n">
        <v>4</v>
      </c>
      <c r="D3042" s="1" t="inlineStr">
        <is>
          <t>FNDDS recipe with replaced or modified SR codes</t>
        </is>
      </c>
      <c r="E3042" s="1" t="inlineStr">
        <is>
          <t>Base</t>
        </is>
      </c>
      <c r="F3042" s="1" t="n">
        <v>0.46954</v>
      </c>
    </row>
    <row r="3043" ht="15.75" customHeight="1" s="201">
      <c r="A3043" s="1" t="n">
        <v>58146672</v>
      </c>
      <c r="B3043" s="1" t="inlineStr">
        <is>
          <t>Pasta, whole grain, with tomato-based sauce, seafood, and added vegetables, home recipe (Includes whole wheat pasta; spaghetti, any shape pasta; marinara, red sauce; red clam sauce; NS sauce kind; NS source; vegetables other than tomatoes and onions)</t>
        </is>
      </c>
      <c r="C3043" s="1" t="n">
        <v>4</v>
      </c>
      <c r="D3043" s="1" t="inlineStr">
        <is>
          <t>FNDDS recipe with replaced or modified SR codes</t>
        </is>
      </c>
      <c r="E3043" s="1" t="inlineStr">
        <is>
          <t>Base</t>
        </is>
      </c>
      <c r="F3043" s="1" t="n">
        <v>0.521177</v>
      </c>
    </row>
    <row r="3044" ht="15.75" customHeight="1" s="201">
      <c r="A3044" s="1" t="n">
        <v>58146682</v>
      </c>
      <c r="B3044" s="1" t="inlineStr">
        <is>
          <t>Pasta, whole grain, with cream sauce, home recipe (Includes whole wheat pasta; spaghetti, any shape pasta; white, cheese, vodka, or Alfredo sauce; butter or oil-based sauce; pesto; NS source)</t>
        </is>
      </c>
      <c r="C3044" s="1" t="n">
        <v>4</v>
      </c>
      <c r="D3044" s="1" t="inlineStr">
        <is>
          <t>FNDDS recipe with replaced or modified SR codes</t>
        </is>
      </c>
      <c r="E3044" s="1" t="inlineStr">
        <is>
          <t>Base</t>
        </is>
      </c>
      <c r="F3044" s="1" t="n">
        <v>0.305247</v>
      </c>
    </row>
    <row r="3045" ht="15.75" customHeight="1" s="201">
      <c r="A3045" s="1" t="n">
        <v>58146692</v>
      </c>
      <c r="B3045" s="1" t="inlineStr">
        <is>
          <t>Pasta, whole grain, with cream sauce, and added vegetables, home recipe (Includes whole wheat pasta; spaghetti, any shape pasta; white, cheese, vodka, or Alfredo sauce; butter or oil-based sauce; pest; NS source; vegetables other than tomatoes and onions)</t>
        </is>
      </c>
      <c r="C3045" s="1" t="n">
        <v>4</v>
      </c>
      <c r="D3045" s="1" t="inlineStr">
        <is>
          <t>FNDDS recipe with replaced or modified SR codes</t>
        </is>
      </c>
      <c r="E3045" s="1" t="inlineStr">
        <is>
          <t>Base</t>
        </is>
      </c>
      <c r="F3045" s="1" t="n">
        <v>0.330975</v>
      </c>
    </row>
    <row r="3046" ht="15.75" customHeight="1" s="201">
      <c r="A3046" s="1" t="n">
        <v>58146702</v>
      </c>
      <c r="B3046" s="1" t="inlineStr">
        <is>
          <t>Pasta, whole grain, with cream sauce and meat, home recipe (Includes whole wheat pasta; spaghetti, any shape pasta; white, cheese, vodka, or Alfredo sauce; butter or oil-based sauce; pesto; NS source)</t>
        </is>
      </c>
      <c r="C3046" s="1" t="n">
        <v>4</v>
      </c>
      <c r="D3046" s="1" t="inlineStr">
        <is>
          <t>FNDDS recipe with replaced or modified SR codes</t>
        </is>
      </c>
      <c r="E3046" s="1" t="inlineStr">
        <is>
          <t>Base</t>
        </is>
      </c>
      <c r="F3046" s="1" t="n">
        <v>0.377123</v>
      </c>
    </row>
    <row r="3047" ht="15.75" customHeight="1" s="201">
      <c r="A3047" s="1" t="n">
        <v>58146732</v>
      </c>
      <c r="B3047" s="1" t="inlineStr">
        <is>
          <t>Pasta, whole grain, with cream sauce, poultry, and added vegetables, home recipe (Includes whole wheat pasta; spaghetti, any shape pasta; white, cheese, vodka, or Alfredo sauce; butter or oil-based sauce; pesto; NS source; vegetables other than tomatoes and onions)</t>
        </is>
      </c>
      <c r="C3047" s="1" t="n">
        <v>4</v>
      </c>
      <c r="D3047" s="1" t="inlineStr">
        <is>
          <t>FNDDS recipe with replaced or modified SR codes</t>
        </is>
      </c>
      <c r="E3047" s="1" t="inlineStr">
        <is>
          <t>Base</t>
        </is>
      </c>
      <c r="F3047" s="1" t="n">
        <v>0.381473</v>
      </c>
    </row>
    <row r="3048" ht="15.75" customHeight="1" s="201">
      <c r="A3048" s="1" t="n">
        <v>58147510</v>
      </c>
      <c r="B3048" s="1" t="inlineStr">
        <is>
          <t>Flavored pasta (Includes meatless yat ga mein; meatless chow wor mein; dry pasta mix with sauce; Knorr Noodles and Sauce; Knorr Pasta and Sauce; Knorr Italian Sides; Knorr Pasta Sides; Pasta Roni; made with or without fat; any type of fat)</t>
        </is>
      </c>
      <c r="C3048" s="1" t="n">
        <v>4</v>
      </c>
      <c r="D3048" s="1" t="inlineStr">
        <is>
          <t>FNDDS recipe with replaced or modified SR codes</t>
        </is>
      </c>
      <c r="E3048" s="1" t="inlineStr">
        <is>
          <t>Base</t>
        </is>
      </c>
      <c r="F3048" s="1" t="n">
        <v>0.157204</v>
      </c>
    </row>
    <row r="3049" ht="15.75" customHeight="1" s="201">
      <c r="A3049" s="1" t="n">
        <v>58148110</v>
      </c>
      <c r="B3049" s="1" t="inlineStr">
        <is>
          <t>Macaroni or pasta salad, made with mayonnaise (Includes made with assorted vegetables; Betty Crocker Suddenly Salad; NS as to type of dressing)</t>
        </is>
      </c>
      <c r="C3049" s="1" t="n">
        <v>4</v>
      </c>
      <c r="D3049" s="1" t="inlineStr">
        <is>
          <t>FNDDS recipe with replaced or modified SR codes</t>
        </is>
      </c>
      <c r="E3049" s="1" t="inlineStr">
        <is>
          <t>Base</t>
        </is>
      </c>
      <c r="F3049" s="1" t="n">
        <v>0.236696</v>
      </c>
    </row>
    <row r="3050" ht="15.75" customHeight="1" s="201">
      <c r="A3050" s="1" t="n">
        <v>58148111</v>
      </c>
      <c r="B3050" s="1" t="inlineStr">
        <is>
          <t>Macaroni or pasta salad, made with light mayonnaise (Includes diet, low calorie, low fat, reduced calorie, or reduced fat dressing; made with assorted vegetables)</t>
        </is>
      </c>
      <c r="C3050" s="1" t="n">
        <v>4</v>
      </c>
      <c r="D3050" s="1" t="inlineStr">
        <is>
          <t>FNDDS recipe with replaced or modified SR codes</t>
        </is>
      </c>
      <c r="E3050" s="1" t="inlineStr">
        <is>
          <t>Base</t>
        </is>
      </c>
      <c r="F3050" s="1" t="n">
        <v>0.241962</v>
      </c>
    </row>
    <row r="3051" ht="15.75" customHeight="1" s="201">
      <c r="A3051" s="1" t="n">
        <v>58148112</v>
      </c>
      <c r="B3051" s="1" t="inlineStr">
        <is>
          <t>Macaroni or pasta salad, made with mayonnaise-type salad dressing (Includes Miracle Whip; imitation mayonnaise; coleslaw dressing; "slaw" dressing; made with assorted vegetables)</t>
        </is>
      </c>
      <c r="C3051" s="1" t="n">
        <v>4</v>
      </c>
      <c r="D3051" s="1" t="inlineStr">
        <is>
          <t>FNDDS recipe with replaced or modified SR codes</t>
        </is>
      </c>
      <c r="E3051" s="1" t="inlineStr">
        <is>
          <t>Base</t>
        </is>
      </c>
      <c r="F3051" s="1" t="n">
        <v>0.241498</v>
      </c>
    </row>
    <row r="3052" ht="15.75" customHeight="1" s="201">
      <c r="A3052" s="1" t="n">
        <v>58148114</v>
      </c>
      <c r="B3052" s="1" t="inlineStr">
        <is>
          <t>Macaroni or pasta salad, made with Italian dressing (Includes vinegar and oil; vinaigrette; Greek dressing; onion or Vidalia onion dressing; Champagne dressing; celery seed dressing; red wine, balsamic, or raspberry vinegar dressing; French dressing; made with assorted vegetables)</t>
        </is>
      </c>
      <c r="C3052" s="1" t="n">
        <v>4</v>
      </c>
      <c r="D3052" s="1" t="inlineStr">
        <is>
          <t>FNDDS recipe with replaced or modified SR codes</t>
        </is>
      </c>
      <c r="E3052" s="1" t="inlineStr">
        <is>
          <t>Base</t>
        </is>
      </c>
      <c r="F3052" s="1" t="n">
        <v>0.390024</v>
      </c>
    </row>
    <row r="3053" ht="15.75" customHeight="1" s="201">
      <c r="A3053" s="1" t="n">
        <v>58148117</v>
      </c>
      <c r="B3053" s="1" t="inlineStr">
        <is>
          <t>Macaroni or pasta salad, made with light creamy dressing (Includes diet, low calorie, low fat, reduced calorie, or reduced fat dressing; light ranch dressing; light ranch dip; light caesar dressing; light peppercorn dressing; light blue or roquefort cheese dressing; light French made with sour cream; light creamy bacon dressing; light creamy parmesan; light cream cheese dressing; light sour cream; light creamy Italian; made with assorted vegetables)</t>
        </is>
      </c>
      <c r="C3053" s="1" t="n">
        <v>4</v>
      </c>
      <c r="D3053" s="1" t="inlineStr">
        <is>
          <t>FNDDS recipe with replaced or modified SR codes</t>
        </is>
      </c>
      <c r="E3053" s="1" t="inlineStr">
        <is>
          <t>Base</t>
        </is>
      </c>
      <c r="F3053" s="1" t="n">
        <v>0.386034</v>
      </c>
    </row>
    <row r="3054" ht="15.75" customHeight="1" s="201">
      <c r="A3054" s="1" t="n">
        <v>58148118</v>
      </c>
      <c r="B3054" s="1" t="inlineStr">
        <is>
          <t>Macaroni or pasta salad, made with any type of fat free dressing (Includes fat free mayonnaise; fat free mayonnaise-type salad dressing; fat free Italian dressing; any fat free creamy dressing; fat free vinaigrette; with no dressing; made with assorted vegetables)</t>
        </is>
      </c>
      <c r="C3054" s="1" t="n">
        <v>4</v>
      </c>
      <c r="D3054" s="1" t="inlineStr">
        <is>
          <t>FNDDS recipe with replaced or modified SR codes</t>
        </is>
      </c>
      <c r="E3054" s="1" t="inlineStr">
        <is>
          <t>Base</t>
        </is>
      </c>
      <c r="F3054" s="1" t="n">
        <v>0.244722</v>
      </c>
    </row>
    <row r="3055" ht="15.75" customHeight="1" s="201">
      <c r="A3055" s="1" t="n">
        <v>58148120</v>
      </c>
      <c r="B3055" s="1" t="inlineStr">
        <is>
          <t>Macaroni or pasta salad with egg (Includes made with assorted vegetables and any dressing)</t>
        </is>
      </c>
      <c r="C3055" s="1" t="n">
        <v>4</v>
      </c>
      <c r="D3055" s="1" t="inlineStr">
        <is>
          <t>FNDDS recipe with replaced or modified SR codes</t>
        </is>
      </c>
      <c r="E3055" s="1" t="inlineStr">
        <is>
          <t>Base</t>
        </is>
      </c>
      <c r="F3055" s="1" t="n">
        <v>0.25606</v>
      </c>
    </row>
    <row r="3056" ht="15.75" customHeight="1" s="201">
      <c r="A3056" s="1" t="n">
        <v>58148130</v>
      </c>
      <c r="B3056" s="1" t="inlineStr">
        <is>
          <t>Macaroni or pasta salad with tuna (Includes made with assorted vegetables and any dressing)</t>
        </is>
      </c>
      <c r="C3056" s="1" t="n">
        <v>4</v>
      </c>
      <c r="D3056" s="1" t="inlineStr">
        <is>
          <t>FNDDS recipe with replaced or modified SR codes</t>
        </is>
      </c>
      <c r="E3056" s="1" t="inlineStr">
        <is>
          <t>Base</t>
        </is>
      </c>
      <c r="F3056" s="1" t="n">
        <v>0.369556</v>
      </c>
    </row>
    <row r="3057" ht="15.75" customHeight="1" s="201">
      <c r="A3057" s="1" t="n">
        <v>58148150</v>
      </c>
      <c r="B3057" s="1" t="inlineStr">
        <is>
          <t>Macaroni or pasta salad with shrimp (Includes made with assorted vegetables and any dressing)</t>
        </is>
      </c>
      <c r="C3057" s="1" t="n">
        <v>4</v>
      </c>
      <c r="D3057" s="1" t="inlineStr">
        <is>
          <t>FNDDS recipe with replaced or modified SR codes</t>
        </is>
      </c>
      <c r="E3057" s="1" t="inlineStr">
        <is>
          <t>Base</t>
        </is>
      </c>
      <c r="F3057" s="1" t="n">
        <v>0.6274149999999999</v>
      </c>
    </row>
    <row r="3058" ht="15.75" customHeight="1" s="201">
      <c r="A3058" s="1" t="n">
        <v>58148160</v>
      </c>
      <c r="B3058" s="1" t="inlineStr">
        <is>
          <t>Macaroni or pasta salad with tuna and egg (Includes made with assorted vegetables and any dressing)</t>
        </is>
      </c>
      <c r="C3058" s="1" t="n">
        <v>4</v>
      </c>
      <c r="D3058" s="1" t="inlineStr">
        <is>
          <t>FNDDS recipe with replaced or modified SR codes</t>
        </is>
      </c>
      <c r="E3058" s="1" t="inlineStr">
        <is>
          <t>Base</t>
        </is>
      </c>
      <c r="F3058" s="1" t="n">
        <v>0.375958</v>
      </c>
    </row>
    <row r="3059" ht="15.75" customHeight="1" s="201">
      <c r="A3059" s="1" t="n">
        <v>58148170</v>
      </c>
      <c r="B3059" s="1" t="inlineStr">
        <is>
          <t>Macaroni or pasta salad with chicken (Includes made with assorted vegetables and any dressing)</t>
        </is>
      </c>
      <c r="C3059" s="1" t="n">
        <v>1</v>
      </c>
      <c r="D3059" s="1" t="inlineStr">
        <is>
          <t>Links to FNDDS</t>
        </is>
      </c>
      <c r="E3059" s="1" t="inlineStr">
        <is>
          <t>Base</t>
        </is>
      </c>
      <c r="F3059" s="1" t="n">
        <v>1.556626</v>
      </c>
    </row>
    <row r="3060" ht="15.75" customHeight="1" s="201">
      <c r="A3060" s="1" t="n">
        <v>58148180</v>
      </c>
      <c r="B3060" s="1" t="inlineStr">
        <is>
          <t>Macaroni or pasta salad with cheese (Includes made with assorted vegetables and any dressing)</t>
        </is>
      </c>
      <c r="C3060" s="1" t="n">
        <v>4</v>
      </c>
      <c r="D3060" s="1" t="inlineStr">
        <is>
          <t>FNDDS recipe with replaced or modified SR codes</t>
        </is>
      </c>
      <c r="E3060" s="1" t="inlineStr">
        <is>
          <t>Base</t>
        </is>
      </c>
      <c r="F3060" s="1" t="n">
        <v>0.351666</v>
      </c>
    </row>
    <row r="3061" ht="15.75" customHeight="1" s="201">
      <c r="A3061" s="1" t="n">
        <v>58148550</v>
      </c>
      <c r="B3061" s="1" t="inlineStr">
        <is>
          <t>Macaroni or pasta salad with meat (Includes made with assorted vegetables and any dressing)</t>
        </is>
      </c>
      <c r="C3061" s="1" t="n">
        <v>4</v>
      </c>
      <c r="D3061" s="1" t="inlineStr">
        <is>
          <t>FNDDS recipe with replaced or modified SR codes</t>
        </is>
      </c>
      <c r="E3061" s="1" t="inlineStr">
        <is>
          <t>Base</t>
        </is>
      </c>
      <c r="F3061" s="1" t="n">
        <v>0.339906</v>
      </c>
    </row>
    <row r="3062" ht="15.75" customHeight="1" s="201">
      <c r="A3062" s="1" t="n">
        <v>58150100</v>
      </c>
      <c r="B3062" s="1" t="inlineStr">
        <is>
          <t>Bibimbap, Korean (Includes rice, white, with vegetables, meat, poultry or seafood, and chili pepper paste)</t>
        </is>
      </c>
      <c r="C3062" s="1" t="n">
        <v>2</v>
      </c>
      <c r="D3062" s="1" t="inlineStr">
        <is>
          <t>Links to altEC</t>
        </is>
      </c>
      <c r="E3062" s="1" t="inlineStr">
        <is>
          <t>Base</t>
        </is>
      </c>
      <c r="F3062" s="1" t="n">
        <v>0.848877</v>
      </c>
    </row>
    <row r="3063" ht="15.75" customHeight="1" s="201">
      <c r="A3063" s="1" t="n">
        <v>58150110</v>
      </c>
      <c r="B3063" s="1" t="inlineStr">
        <is>
          <t>Rice, fried, meatless (Includes vegetable fried rice)</t>
        </is>
      </c>
      <c r="C3063" s="1" t="n">
        <v>1</v>
      </c>
      <c r="D3063" s="1" t="inlineStr">
        <is>
          <t>Links to FNDDS</t>
        </is>
      </c>
      <c r="E3063" s="1" t="inlineStr">
        <is>
          <t>Base</t>
        </is>
      </c>
      <c r="F3063" s="1" t="n">
        <v>1.155772</v>
      </c>
    </row>
    <row r="3064" ht="15.75" customHeight="1" s="201">
      <c r="A3064" s="1" t="n">
        <v>58150310</v>
      </c>
      <c r="B3064" s="1" t="inlineStr">
        <is>
          <t>Rice, fried, NFS (Includes Chinese rice)</t>
        </is>
      </c>
      <c r="C3064" s="1" t="n">
        <v>2</v>
      </c>
      <c r="D3064" s="1" t="inlineStr">
        <is>
          <t>Links to altEC</t>
        </is>
      </c>
      <c r="E3064" s="1" t="inlineStr">
        <is>
          <t>Base</t>
        </is>
      </c>
      <c r="F3064" s="1" t="n">
        <v>0.912762</v>
      </c>
    </row>
    <row r="3065" ht="15.75" customHeight="1" s="201">
      <c r="A3065" s="1" t="n">
        <v>58150320</v>
      </c>
      <c r="B3065" s="1" t="inlineStr">
        <is>
          <t>Rice, fried, with chicken (Includes turkey)</t>
        </is>
      </c>
      <c r="C3065" s="1" t="n">
        <v>1</v>
      </c>
      <c r="D3065" s="1" t="inlineStr">
        <is>
          <t>Links to FNDDS</t>
        </is>
      </c>
      <c r="E3065" s="1" t="inlineStr">
        <is>
          <t>Base</t>
        </is>
      </c>
      <c r="F3065" s="1" t="n">
        <v>0.895532</v>
      </c>
    </row>
    <row r="3066" ht="15.75" customHeight="1" s="201">
      <c r="A3066" s="1" t="n">
        <v>58150330</v>
      </c>
      <c r="B3066" s="1" t="inlineStr">
        <is>
          <t>Rice, fried, with pork</t>
        </is>
      </c>
      <c r="C3066" s="1" t="n">
        <v>2</v>
      </c>
      <c r="D3066" s="1" t="inlineStr">
        <is>
          <t>Links to altEC</t>
        </is>
      </c>
      <c r="E3066" s="1" t="inlineStr">
        <is>
          <t>Base</t>
        </is>
      </c>
      <c r="F3066" s="1" t="n">
        <v>0.895532</v>
      </c>
    </row>
    <row r="3067" ht="15.75" customHeight="1" s="201">
      <c r="A3067" s="1" t="n">
        <v>58150340</v>
      </c>
      <c r="B3067" s="1" t="inlineStr">
        <is>
          <t>Rice, fried, with beef</t>
        </is>
      </c>
      <c r="C3067" s="1" t="n">
        <v>2</v>
      </c>
      <c r="D3067" s="1" t="inlineStr">
        <is>
          <t>Links to altEC</t>
        </is>
      </c>
      <c r="E3067" s="1" t="inlineStr">
        <is>
          <t>Base</t>
        </is>
      </c>
      <c r="F3067" s="1" t="n">
        <v>0.912762</v>
      </c>
    </row>
    <row r="3068" ht="15.75" customHeight="1" s="201">
      <c r="A3068" s="1" t="n">
        <v>58150510</v>
      </c>
      <c r="B3068" s="1" t="inlineStr">
        <is>
          <t>Rice, fried, with shrimp</t>
        </is>
      </c>
      <c r="C3068" s="1" t="n">
        <v>1</v>
      </c>
      <c r="D3068" s="1" t="inlineStr">
        <is>
          <t>Links to FNDDS</t>
        </is>
      </c>
      <c r="E3068" s="1" t="inlineStr">
        <is>
          <t>Base</t>
        </is>
      </c>
      <c r="F3068" s="1" t="n">
        <v>0.950678</v>
      </c>
    </row>
    <row r="3069" ht="15.75" customHeight="1" s="201">
      <c r="A3069" s="1" t="n">
        <v>58150520</v>
      </c>
      <c r="B3069" s="1" t="inlineStr">
        <is>
          <t>Dukboki or Tteokbokki, Korean (Includes rice cake with meat, poultry, or seafood, vegetables and hot sauce; soup or stew with rice cake)</t>
        </is>
      </c>
      <c r="C3069" s="1" t="n">
        <v>4</v>
      </c>
      <c r="D3069" s="1" t="inlineStr">
        <is>
          <t>FNDDS recipe with replaced or modified SR codes</t>
        </is>
      </c>
      <c r="E3069" s="1" t="inlineStr">
        <is>
          <t>Base</t>
        </is>
      </c>
      <c r="F3069" s="1" t="n">
        <v>0.468755</v>
      </c>
    </row>
    <row r="3070" ht="15.75" customHeight="1" s="201">
      <c r="A3070" s="1" t="n">
        <v>58150530</v>
      </c>
      <c r="B3070" s="1" t="inlineStr">
        <is>
          <t>Adobo, with rice (Includes any combination of meat, poultry, seafood, and vegetables; Filipino dish)</t>
        </is>
      </c>
      <c r="C3070" s="1" t="n">
        <v>4</v>
      </c>
      <c r="D3070" s="1" t="inlineStr">
        <is>
          <t>FNDDS recipe with replaced or modified SR codes</t>
        </is>
      </c>
      <c r="E3070" s="1" t="inlineStr">
        <is>
          <t>Base</t>
        </is>
      </c>
      <c r="F3070" s="1" t="n">
        <v>0.638532</v>
      </c>
    </row>
    <row r="3071" ht="15.75" customHeight="1" s="201">
      <c r="A3071" s="1" t="n">
        <v>58151100</v>
      </c>
      <c r="B3071" s="1" t="inlineStr">
        <is>
          <t>Sushi, NFS (Includes sushi with seafood and/or vegetables, NFS; NS as to rolled or topped)</t>
        </is>
      </c>
      <c r="C3071" s="1" t="n">
        <v>2</v>
      </c>
      <c r="D3071" s="1" t="inlineStr">
        <is>
          <t>Links to altEC</t>
        </is>
      </c>
      <c r="E3071" s="1" t="inlineStr">
        <is>
          <t>Base</t>
        </is>
      </c>
      <c r="F3071" s="1" t="n">
        <v>3.154645</v>
      </c>
    </row>
    <row r="3072" ht="15.75" customHeight="1" s="201">
      <c r="A3072" s="1" t="n">
        <v>58151170</v>
      </c>
      <c r="B3072" s="1" t="inlineStr">
        <is>
          <t>Sushi roll, avocado (Includes Maki or Temaki)</t>
        </is>
      </c>
      <c r="C3072" s="1" t="n">
        <v>1</v>
      </c>
      <c r="D3072" s="1" t="inlineStr">
        <is>
          <t>Links to FNDDS</t>
        </is>
      </c>
      <c r="E3072" s="1" t="inlineStr">
        <is>
          <t>Base</t>
        </is>
      </c>
      <c r="F3072" s="1" t="n">
        <v>3.109734</v>
      </c>
    </row>
    <row r="3073" ht="15.75" customHeight="1" s="201">
      <c r="A3073" s="1" t="n">
        <v>58151180</v>
      </c>
      <c r="B3073" s="1" t="inlineStr">
        <is>
          <t>Sushi roll, California (Includes sushi with crab; sushi with imitation crab/seafood; NS as to rolled or topped; Maki or Temaki)</t>
        </is>
      </c>
      <c r="C3073" s="1" t="n">
        <v>1</v>
      </c>
      <c r="D3073" s="1" t="inlineStr">
        <is>
          <t>Links to FNDDS</t>
        </is>
      </c>
      <c r="E3073" s="1" t="inlineStr">
        <is>
          <t>Base</t>
        </is>
      </c>
      <c r="F3073" s="1" t="n">
        <v>2.640783</v>
      </c>
    </row>
    <row r="3074" ht="15.75" customHeight="1" s="201">
      <c r="A3074" s="1" t="n">
        <v>58151190</v>
      </c>
      <c r="B3074" s="1" t="inlineStr">
        <is>
          <t>Sushi roll, eel (Includes unagi; NS as to rolled or topped; Maki or Temaki)</t>
        </is>
      </c>
      <c r="C3074" s="1" t="n">
        <v>1</v>
      </c>
      <c r="D3074" s="1" t="inlineStr">
        <is>
          <t>Links to FNDDS</t>
        </is>
      </c>
      <c r="E3074" s="1" t="inlineStr">
        <is>
          <t>Base</t>
        </is>
      </c>
      <c r="F3074" s="1" t="n">
        <v>2.685147</v>
      </c>
    </row>
    <row r="3075" ht="15.75" customHeight="1" s="201">
      <c r="A3075" s="1" t="n">
        <v>58151200</v>
      </c>
      <c r="B3075" s="1" t="inlineStr">
        <is>
          <t>Sushi roll, salmon (Includes NS as to rolled or topped; Maki or Temaki)</t>
        </is>
      </c>
      <c r="C3075" s="1" t="n">
        <v>1</v>
      </c>
      <c r="D3075" s="1" t="inlineStr">
        <is>
          <t>Links to FNDDS</t>
        </is>
      </c>
      <c r="E3075" s="1" t="inlineStr">
        <is>
          <t>Base</t>
        </is>
      </c>
      <c r="F3075" s="1" t="n">
        <v>3.273096</v>
      </c>
    </row>
    <row r="3076" ht="15.75" customHeight="1" s="201">
      <c r="A3076" s="1" t="n">
        <v>58151210</v>
      </c>
      <c r="B3076" s="1" t="inlineStr">
        <is>
          <t>Sushi roll, shrimp (Includes NS as to rolled or topped; maki or temaki)</t>
        </is>
      </c>
      <c r="C3076" s="1" t="n">
        <v>1</v>
      </c>
      <c r="D3076" s="1" t="inlineStr">
        <is>
          <t>Links to FNDDS</t>
        </is>
      </c>
      <c r="E3076" s="1" t="inlineStr">
        <is>
          <t>Base</t>
        </is>
      </c>
      <c r="F3076" s="1" t="n">
        <v>3.46661</v>
      </c>
    </row>
    <row r="3077" ht="15.75" customHeight="1" s="201">
      <c r="A3077" s="1" t="n">
        <v>58151220</v>
      </c>
      <c r="B3077" s="1" t="inlineStr">
        <is>
          <t>Sushi roll tuna (Includes NS as to rolled or topped; Maki or Temaki)</t>
        </is>
      </c>
      <c r="C3077" s="1" t="n">
        <v>1</v>
      </c>
      <c r="D3077" s="1" t="inlineStr">
        <is>
          <t>Links to FNDDS</t>
        </is>
      </c>
      <c r="E3077" s="1" t="inlineStr">
        <is>
          <t>Base</t>
        </is>
      </c>
      <c r="F3077" s="1" t="n">
        <v>3.542717</v>
      </c>
    </row>
    <row r="3078" ht="15.75" customHeight="1" s="201">
      <c r="A3078" s="1" t="n">
        <v>58151230</v>
      </c>
      <c r="B3078" s="1" t="inlineStr">
        <is>
          <t>Sushi roll, vegetable (Includes cucumber roll; NS as to rolled or topped; Maki or Temaki)</t>
        </is>
      </c>
      <c r="C3078" s="1" t="n">
        <v>1</v>
      </c>
      <c r="D3078" s="1" t="inlineStr">
        <is>
          <t>Links to FNDDS</t>
        </is>
      </c>
      <c r="E3078" s="1" t="inlineStr">
        <is>
          <t>Base</t>
        </is>
      </c>
      <c r="F3078" s="1" t="n">
        <v>2.681107</v>
      </c>
    </row>
    <row r="3079" ht="15.75" customHeight="1" s="201">
      <c r="A3079" s="1" t="n">
        <v>58151410</v>
      </c>
      <c r="B3079" s="1" t="inlineStr">
        <is>
          <t>Sushi, topped with eel (Includes unagi; Nigiri)</t>
        </is>
      </c>
      <c r="C3079" s="1" t="n">
        <v>2</v>
      </c>
      <c r="D3079" s="1" t="inlineStr">
        <is>
          <t>Links to altEC</t>
        </is>
      </c>
      <c r="E3079" s="1" t="inlineStr">
        <is>
          <t>Base</t>
        </is>
      </c>
      <c r="F3079" s="1" t="n">
        <v>2.685147</v>
      </c>
    </row>
    <row r="3080" ht="15.75" customHeight="1" s="201">
      <c r="A3080" s="1" t="n">
        <v>58151420</v>
      </c>
      <c r="B3080" s="1" t="inlineStr">
        <is>
          <t>Sushi, topped with salmon (Includes Nigiri)</t>
        </is>
      </c>
      <c r="C3080" s="1" t="n">
        <v>2</v>
      </c>
      <c r="D3080" s="1" t="inlineStr">
        <is>
          <t>Links to altEC</t>
        </is>
      </c>
      <c r="E3080" s="1" t="inlineStr">
        <is>
          <t>Base</t>
        </is>
      </c>
      <c r="F3080" s="1" t="n">
        <v>3.273096</v>
      </c>
    </row>
    <row r="3081" ht="15.75" customHeight="1" s="201">
      <c r="A3081" s="1" t="n">
        <v>58151430</v>
      </c>
      <c r="B3081" s="1" t="inlineStr">
        <is>
          <t>Sushi, topped with shrimp (Includes Nigiri)</t>
        </is>
      </c>
      <c r="C3081" s="1" t="n">
        <v>2</v>
      </c>
      <c r="D3081" s="1" t="inlineStr">
        <is>
          <t>Links to altEC</t>
        </is>
      </c>
      <c r="E3081" s="1" t="inlineStr">
        <is>
          <t>Base</t>
        </is>
      </c>
      <c r="F3081" s="1" t="n">
        <v>3.46661</v>
      </c>
    </row>
    <row r="3082" ht="15.75" customHeight="1" s="201">
      <c r="A3082" s="1" t="n">
        <v>58151450</v>
      </c>
      <c r="B3082" s="1" t="inlineStr">
        <is>
          <t>Sushi, topped with egg (Includes sushi with egg; sushi with seafood and egg; tomago; Nigiri)</t>
        </is>
      </c>
      <c r="C3082" s="1" t="n">
        <v>2</v>
      </c>
      <c r="D3082" s="1" t="inlineStr">
        <is>
          <t>Links to altEC</t>
        </is>
      </c>
      <c r="E3082" s="1" t="inlineStr">
        <is>
          <t>Base</t>
        </is>
      </c>
      <c r="F3082" s="1" t="n">
        <v>3.405342</v>
      </c>
    </row>
    <row r="3083" ht="15.75" customHeight="1" s="201">
      <c r="A3083" s="1" t="n">
        <v>58157300</v>
      </c>
      <c r="B3083" s="1" t="inlineStr">
        <is>
          <t>Congee, with meat, poultry, and/or seafood (Includes conjee; rice porridge or gruel; Asian)</t>
        </is>
      </c>
      <c r="C3083" s="1" t="n">
        <v>4</v>
      </c>
      <c r="D3083" s="1" t="inlineStr">
        <is>
          <t>FNDDS recipe with replaced or modified SR codes</t>
        </is>
      </c>
      <c r="E3083" s="1" t="inlineStr">
        <is>
          <t>Base</t>
        </is>
      </c>
      <c r="F3083" s="1" t="n">
        <v>0.280456</v>
      </c>
    </row>
    <row r="3084" ht="15.75" customHeight="1" s="201">
      <c r="A3084" s="1" t="n">
        <v>58157310</v>
      </c>
      <c r="B3084" s="1" t="inlineStr">
        <is>
          <t>Congee, with meat, poultry, and/or seafood, and vegetables (Includes Conjee; rice porridge or gruel; Asian)</t>
        </is>
      </c>
      <c r="C3084" s="1" t="n">
        <v>4</v>
      </c>
      <c r="D3084" s="1" t="inlineStr">
        <is>
          <t>FNDDS recipe with replaced or modified SR codes</t>
        </is>
      </c>
      <c r="E3084" s="1" t="inlineStr">
        <is>
          <t>Base</t>
        </is>
      </c>
      <c r="F3084" s="1" t="n">
        <v>0.3521</v>
      </c>
    </row>
    <row r="3085" ht="15.75" customHeight="1" s="201">
      <c r="A3085" s="1" t="n">
        <v>58157320</v>
      </c>
      <c r="B3085" s="1" t="inlineStr">
        <is>
          <t>Congee, with vegetables (Includes Conjee; rice porridge or gruel; Asian)</t>
        </is>
      </c>
      <c r="C3085" s="1" t="n">
        <v>4</v>
      </c>
      <c r="D3085" s="1" t="inlineStr">
        <is>
          <t>FNDDS recipe with replaced or modified SR codes</t>
        </is>
      </c>
      <c r="E3085" s="1" t="inlineStr">
        <is>
          <t>Base</t>
        </is>
      </c>
      <c r="F3085" s="1" t="n">
        <v>0.329292</v>
      </c>
    </row>
    <row r="3086" ht="15.75" customHeight="1" s="201">
      <c r="A3086" s="1" t="n">
        <v>58160100</v>
      </c>
      <c r="B3086" s="1" t="inlineStr">
        <is>
          <t>Beans and rice, from fast food / restaurant (Includes lentils; peas; all other beans except red, black, or pinto)</t>
        </is>
      </c>
      <c r="C3086" s="1" t="n">
        <v>4</v>
      </c>
      <c r="D3086" s="1" t="inlineStr">
        <is>
          <t>FNDDS recipe with replaced or modified SR codes</t>
        </is>
      </c>
      <c r="E3086" s="1" t="inlineStr">
        <is>
          <t>Base</t>
        </is>
      </c>
      <c r="F3086" s="1" t="n">
        <v>0.196046</v>
      </c>
    </row>
    <row r="3087" ht="15.75" customHeight="1" s="201">
      <c r="A3087" s="1" t="n">
        <v>58160110</v>
      </c>
      <c r="B3087" s="1" t="inlineStr">
        <is>
          <t>Beans and white rice (Includes lentils; peas; all other beans except red, black, or pinto; all types of rice except brown)</t>
        </is>
      </c>
      <c r="C3087" s="1" t="n">
        <v>4</v>
      </c>
      <c r="D3087" s="1" t="inlineStr">
        <is>
          <t>FNDDS recipe with replaced or modified SR codes</t>
        </is>
      </c>
      <c r="E3087" s="1" t="inlineStr">
        <is>
          <t>Base</t>
        </is>
      </c>
      <c r="F3087" s="1" t="n">
        <v>0.18927</v>
      </c>
    </row>
    <row r="3088" ht="15.75" customHeight="1" s="201">
      <c r="A3088" s="1" t="n">
        <v>58160120</v>
      </c>
      <c r="B3088" s="1" t="inlineStr">
        <is>
          <t>Beans and rice, with tomatoes (Includes beans, all kinds; lentils; peas)</t>
        </is>
      </c>
      <c r="C3088" s="1" t="n">
        <v>4</v>
      </c>
      <c r="D3088" s="1" t="inlineStr">
        <is>
          <t>FNDDS recipe with replaced or modified SR codes</t>
        </is>
      </c>
      <c r="E3088" s="1" t="inlineStr">
        <is>
          <t>Base</t>
        </is>
      </c>
      <c r="F3088" s="1" t="n">
        <v>0.178637</v>
      </c>
    </row>
    <row r="3089" ht="15.75" customHeight="1" s="201">
      <c r="A3089" s="1" t="n">
        <v>58160132</v>
      </c>
      <c r="B3089" s="1" t="inlineStr">
        <is>
          <t>Beans and rice, with meat (Includes lentils; peas; beans, all kinds)</t>
        </is>
      </c>
      <c r="C3089" s="1" t="n">
        <v>4</v>
      </c>
      <c r="D3089" s="1" t="inlineStr">
        <is>
          <t>FNDDS recipe with replaced or modified SR codes</t>
        </is>
      </c>
      <c r="E3089" s="1" t="inlineStr">
        <is>
          <t>Base</t>
        </is>
      </c>
      <c r="F3089" s="1" t="n">
        <v>0.774057</v>
      </c>
    </row>
    <row r="3090" ht="15.75" customHeight="1" s="201">
      <c r="A3090" s="1" t="n">
        <v>58160150</v>
      </c>
      <c r="B3090" s="1" t="inlineStr">
        <is>
          <t>Kidney beans and white rice (Includes red; all types of rice except brown)</t>
        </is>
      </c>
      <c r="C3090" s="1" t="n">
        <v>4</v>
      </c>
      <c r="D3090" s="1" t="inlineStr">
        <is>
          <t>FNDDS recipe with replaced or modified SR codes</t>
        </is>
      </c>
      <c r="E3090" s="1" t="inlineStr">
        <is>
          <t>Base</t>
        </is>
      </c>
      <c r="F3090" s="1" t="n">
        <v>0.133333</v>
      </c>
    </row>
    <row r="3091" ht="15.75" customHeight="1" s="201">
      <c r="A3091" s="1" t="n">
        <v>58160154</v>
      </c>
      <c r="B3091" s="1" t="inlineStr">
        <is>
          <t>Black beans and white rice (Includes all types of rice except brown)</t>
        </is>
      </c>
      <c r="C3091" s="1" t="n">
        <v>4</v>
      </c>
      <c r="D3091" s="1" t="inlineStr">
        <is>
          <t>FNDDS recipe with replaced or modified SR codes</t>
        </is>
      </c>
      <c r="E3091" s="1" t="inlineStr">
        <is>
          <t>Base</t>
        </is>
      </c>
      <c r="F3091" s="1" t="n">
        <v>0.221397</v>
      </c>
    </row>
    <row r="3092" ht="15.75" customHeight="1" s="201">
      <c r="A3092" s="1" t="n">
        <v>58160156</v>
      </c>
      <c r="B3092" s="1" t="inlineStr">
        <is>
          <t>Pinto beans and white rice (Includes calico; all types of rice except brown)</t>
        </is>
      </c>
      <c r="C3092" s="1" t="n">
        <v>4</v>
      </c>
      <c r="D3092" s="1" t="inlineStr">
        <is>
          <t>FNDDS recipe with replaced or modified SR codes</t>
        </is>
      </c>
      <c r="E3092" s="1" t="inlineStr">
        <is>
          <t>Base</t>
        </is>
      </c>
      <c r="F3092" s="1" t="n">
        <v>0.167804</v>
      </c>
    </row>
    <row r="3093" ht="15.75" customHeight="1" s="201">
      <c r="A3093" s="1" t="n">
        <v>58160420</v>
      </c>
      <c r="B3093" s="1" t="inlineStr">
        <is>
          <t>Rice, white, with corn, fat added (Includes peppers and/or onions)</t>
        </is>
      </c>
      <c r="C3093" s="1" t="n">
        <v>4</v>
      </c>
      <c r="D3093" s="1" t="inlineStr">
        <is>
          <t>FNDDS recipe with replaced or modified SR codes</t>
        </is>
      </c>
      <c r="E3093" s="1" t="inlineStr">
        <is>
          <t>Base</t>
        </is>
      </c>
      <c r="F3093" s="1" t="n">
        <v>0.173485</v>
      </c>
    </row>
    <row r="3094" ht="15.75" customHeight="1" s="201">
      <c r="A3094" s="1" t="n">
        <v>58160440</v>
      </c>
      <c r="B3094" s="1" t="inlineStr">
        <is>
          <t>Rice, white, with peas, no added fat (Includes peppers and/or onions)</t>
        </is>
      </c>
      <c r="C3094" s="1" t="n">
        <v>4</v>
      </c>
      <c r="D3094" s="1" t="inlineStr">
        <is>
          <t>FNDDS recipe with replaced or modified SR codes</t>
        </is>
      </c>
      <c r="E3094" s="1" t="inlineStr">
        <is>
          <t>Base</t>
        </is>
      </c>
      <c r="F3094" s="1" t="n">
        <v>0.164944</v>
      </c>
    </row>
    <row r="3095" ht="15.75" customHeight="1" s="201">
      <c r="A3095" s="1" t="n">
        <v>58160460</v>
      </c>
      <c r="B3095" s="1" t="inlineStr">
        <is>
          <t>Rice, white, with carrots, NS as to fat (Includes peppers and/or onions)</t>
        </is>
      </c>
      <c r="C3095" s="1" t="n">
        <v>4</v>
      </c>
      <c r="D3095" s="1" t="inlineStr">
        <is>
          <t>FNDDS recipe with replaced or modified SR codes</t>
        </is>
      </c>
      <c r="E3095" s="1" t="inlineStr">
        <is>
          <t>Base</t>
        </is>
      </c>
      <c r="F3095" s="1" t="n">
        <v>0.159932</v>
      </c>
    </row>
    <row r="3096" ht="15.75" customHeight="1" s="201">
      <c r="A3096" s="1" t="n">
        <v>58160470</v>
      </c>
      <c r="B3096" s="1" t="inlineStr">
        <is>
          <t>Rice, white, with carrots, no added fat (Includes peppers and/or onions)</t>
        </is>
      </c>
      <c r="C3096" s="1" t="n">
        <v>4</v>
      </c>
      <c r="D3096" s="1" t="inlineStr">
        <is>
          <t>FNDDS recipe with replaced or modified SR codes</t>
        </is>
      </c>
      <c r="E3096" s="1" t="inlineStr">
        <is>
          <t>Base</t>
        </is>
      </c>
      <c r="F3096" s="1" t="n">
        <v>0.154163</v>
      </c>
    </row>
    <row r="3097" ht="15.75" customHeight="1" s="201">
      <c r="A3097" s="1" t="n">
        <v>58160480</v>
      </c>
      <c r="B3097" s="1" t="inlineStr">
        <is>
          <t>Rice, white, with carrots, fat added (Includes peppers and/or onions)</t>
        </is>
      </c>
      <c r="C3097" s="1" t="n">
        <v>4</v>
      </c>
      <c r="D3097" s="1" t="inlineStr">
        <is>
          <t>FNDDS recipe with replaced or modified SR codes</t>
        </is>
      </c>
      <c r="E3097" s="1" t="inlineStr">
        <is>
          <t>Base</t>
        </is>
      </c>
      <c r="F3097" s="1" t="n">
        <v>0.159887</v>
      </c>
    </row>
    <row r="3098" ht="15.75" customHeight="1" s="201">
      <c r="A3098" s="1" t="n">
        <v>58160500</v>
      </c>
      <c r="B3098" s="1" t="inlineStr">
        <is>
          <t>Rice, white, with peas and carrots, no added fat (Includes peppers and/or onions)</t>
        </is>
      </c>
      <c r="C3098" s="1" t="n">
        <v>4</v>
      </c>
      <c r="D3098" s="1" t="inlineStr">
        <is>
          <t>FNDDS recipe with replaced or modified SR codes</t>
        </is>
      </c>
      <c r="E3098" s="1" t="inlineStr">
        <is>
          <t>Base</t>
        </is>
      </c>
      <c r="F3098" s="1" t="n">
        <v>0.164064</v>
      </c>
    </row>
    <row r="3099" ht="15.75" customHeight="1" s="201">
      <c r="A3099" s="1" t="n">
        <v>58160510</v>
      </c>
      <c r="B3099" s="1" t="inlineStr">
        <is>
          <t>Rice, white, with peas and carrots, fat added (Includes peppers and/or onions)</t>
        </is>
      </c>
      <c r="C3099" s="1" t="n">
        <v>4</v>
      </c>
      <c r="D3099" s="1" t="inlineStr">
        <is>
          <t>FNDDS recipe with replaced or modified SR codes</t>
        </is>
      </c>
      <c r="E3099" s="1" t="inlineStr">
        <is>
          <t>Base</t>
        </is>
      </c>
      <c r="F3099" s="1" t="n">
        <v>0.16954</v>
      </c>
    </row>
    <row r="3100" ht="15.75" customHeight="1" s="201">
      <c r="A3100" s="1" t="n">
        <v>58160530</v>
      </c>
      <c r="B3100" s="1" t="inlineStr">
        <is>
          <t>Rice, white, with tomatoes and/or tomato-based sauce, no added fat (Includes peppers and/or onions)</t>
        </is>
      </c>
      <c r="C3100" s="1" t="n">
        <v>4</v>
      </c>
      <c r="D3100" s="1" t="inlineStr">
        <is>
          <t>FNDDS recipe with replaced or modified SR codes</t>
        </is>
      </c>
      <c r="E3100" s="1" t="inlineStr">
        <is>
          <t>Base</t>
        </is>
      </c>
      <c r="F3100" s="1" t="n">
        <v>0.2171</v>
      </c>
    </row>
    <row r="3101" ht="15.75" customHeight="1" s="201">
      <c r="A3101" s="1" t="n">
        <v>58160540</v>
      </c>
      <c r="B3101" s="1" t="inlineStr">
        <is>
          <t>Rice, white, with tomatoes and/or tomato-based sauce, fat added (Includes rice, NFS, with tomato sauce)</t>
        </is>
      </c>
      <c r="C3101" s="1" t="n">
        <v>4</v>
      </c>
      <c r="D3101" s="1" t="inlineStr">
        <is>
          <t>FNDDS recipe with replaced or modified SR codes</t>
        </is>
      </c>
      <c r="E3101" s="1" t="inlineStr">
        <is>
          <t>Base</t>
        </is>
      </c>
      <c r="F3101" s="1" t="n">
        <v>0.220954</v>
      </c>
    </row>
    <row r="3102" ht="15.75" customHeight="1" s="201">
      <c r="A3102" s="1" t="n">
        <v>58160560</v>
      </c>
      <c r="B3102" s="1" t="inlineStr">
        <is>
          <t>Rice, white, with dark green vegetables, no added fat (Includes broccoli and/or spinach; peppers and/or onions)</t>
        </is>
      </c>
      <c r="C3102" s="1" t="n">
        <v>4</v>
      </c>
      <c r="D3102" s="1" t="inlineStr">
        <is>
          <t>FNDDS recipe with replaced or modified SR codes</t>
        </is>
      </c>
      <c r="E3102" s="1" t="inlineStr">
        <is>
          <t>Base</t>
        </is>
      </c>
      <c r="F3102" s="1" t="n">
        <v>0.216335</v>
      </c>
    </row>
    <row r="3103" ht="15.75" customHeight="1" s="201">
      <c r="A3103" s="1" t="n">
        <v>58160570</v>
      </c>
      <c r="B3103" s="1" t="inlineStr">
        <is>
          <t>Rice, white, with dark green vegetables, fat added (Includes broccoli and/or spinach; peppers and/or onions)</t>
        </is>
      </c>
      <c r="C3103" s="1" t="n">
        <v>4</v>
      </c>
      <c r="D3103" s="1" t="inlineStr">
        <is>
          <t>FNDDS recipe with replaced or modified SR codes</t>
        </is>
      </c>
      <c r="E3103" s="1" t="inlineStr">
        <is>
          <t>Base</t>
        </is>
      </c>
      <c r="F3103" s="1" t="n">
        <v>0.220705</v>
      </c>
    </row>
    <row r="3104" ht="15.75" customHeight="1" s="201">
      <c r="A3104" s="1" t="n">
        <v>58160580</v>
      </c>
      <c r="B3104" s="1" t="inlineStr">
        <is>
          <t>Rice, white, with carrots and tomatoes and/or tomato-based sauce, NS as to fat (Includes peppers and/or onions)</t>
        </is>
      </c>
      <c r="C3104" s="1" t="n">
        <v>4</v>
      </c>
      <c r="D3104" s="1" t="inlineStr">
        <is>
          <t>FNDDS recipe with replaced or modified SR codes</t>
        </is>
      </c>
      <c r="E3104" s="1" t="inlineStr">
        <is>
          <t>Base</t>
        </is>
      </c>
      <c r="F3104" s="1" t="n">
        <v>0.192555</v>
      </c>
    </row>
    <row r="3105" ht="15.75" customHeight="1" s="201">
      <c r="A3105" s="1" t="n">
        <v>58160610</v>
      </c>
      <c r="B3105" s="1" t="inlineStr">
        <is>
          <t>Rice, white, with dark green vegetables and tomatoes and/or tomato-based sauce, NS as to fat (Includes broccoli and/or spinach; peppers and/or onions)</t>
        </is>
      </c>
      <c r="C3105" s="1" t="n">
        <v>4</v>
      </c>
      <c r="D3105" s="1" t="inlineStr">
        <is>
          <t>FNDDS recipe with replaced or modified SR codes</t>
        </is>
      </c>
      <c r="E3105" s="1" t="inlineStr">
        <is>
          <t>Base</t>
        </is>
      </c>
      <c r="F3105" s="1" t="n">
        <v>0.21922</v>
      </c>
    </row>
    <row r="3106" ht="15.75" customHeight="1" s="201">
      <c r="A3106" s="1" t="n">
        <v>58160620</v>
      </c>
      <c r="B3106" s="1" t="inlineStr">
        <is>
          <t>Rice, white, with dark green vegetables and tomatoes and/or tomato-based sauce, no added fat (Includes broccoli and/or spinach; peppers and/or onions)</t>
        </is>
      </c>
      <c r="C3106" s="1" t="n">
        <v>4</v>
      </c>
      <c r="D3106" s="1" t="inlineStr">
        <is>
          <t>FNDDS recipe with replaced or modified SR codes</t>
        </is>
      </c>
      <c r="E3106" s="1" t="inlineStr">
        <is>
          <t>Base</t>
        </is>
      </c>
      <c r="F3106" s="1" t="n">
        <v>0.215074</v>
      </c>
    </row>
    <row r="3107" ht="15.75" customHeight="1" s="201">
      <c r="A3107" s="1" t="n">
        <v>58160640</v>
      </c>
      <c r="B3107" s="1" t="inlineStr">
        <is>
          <t>Rice, white, with carrots and dark green vegetables, NS as to fat (Includes broccoli and/or spinach; peppers and/or onions)</t>
        </is>
      </c>
      <c r="C3107" s="1" t="n">
        <v>4</v>
      </c>
      <c r="D3107" s="1" t="inlineStr">
        <is>
          <t>FNDDS recipe with replaced or modified SR codes</t>
        </is>
      </c>
      <c r="E3107" s="1" t="inlineStr">
        <is>
          <t>Base</t>
        </is>
      </c>
      <c r="F3107" s="1" t="n">
        <v>0.188419</v>
      </c>
    </row>
    <row r="3108" ht="15.75" customHeight="1" s="201">
      <c r="A3108" s="1" t="n">
        <v>58160670</v>
      </c>
      <c r="B3108" s="1" t="inlineStr">
        <is>
          <t>Rice, white, with carrots, dark green vegetables, and tomatoes and/or tomato-based sauce, NS as to fat (Includes broccoli and/or spinach; peppers and/or onions)</t>
        </is>
      </c>
      <c r="C3108" s="1" t="n">
        <v>4</v>
      </c>
      <c r="D3108" s="1" t="inlineStr">
        <is>
          <t>FNDDS recipe with replaced or modified SR codes</t>
        </is>
      </c>
      <c r="E3108" s="1" t="inlineStr">
        <is>
          <t>Base</t>
        </is>
      </c>
      <c r="F3108" s="1" t="n">
        <v>0.215316</v>
      </c>
    </row>
    <row r="3109" ht="15.75" customHeight="1" s="201">
      <c r="A3109" s="1" t="n">
        <v>58160700</v>
      </c>
      <c r="B3109" s="1" t="inlineStr">
        <is>
          <t>Rice, white, with other vegetables, NS as to fat (Includes other vegetables such as mushrooms, peppers, and/or onions)</t>
        </is>
      </c>
      <c r="C3109" s="1" t="n">
        <v>4</v>
      </c>
      <c r="D3109" s="1" t="inlineStr">
        <is>
          <t>FNDDS recipe with replaced or modified SR codes</t>
        </is>
      </c>
      <c r="E3109" s="1" t="inlineStr">
        <is>
          <t>Base</t>
        </is>
      </c>
      <c r="F3109" s="1" t="n">
        <v>0.162467</v>
      </c>
    </row>
    <row r="3110" ht="15.75" customHeight="1" s="201">
      <c r="A3110" s="1" t="n">
        <v>58160710</v>
      </c>
      <c r="B3110" s="1" t="inlineStr">
        <is>
          <t>Rice, white, with other vegetables, no added fat (Includes other vegetables such as mushrooms, peppers, and/or onions)</t>
        </is>
      </c>
      <c r="C3110" s="1" t="n">
        <v>4</v>
      </c>
      <c r="D3110" s="1" t="inlineStr">
        <is>
          <t>FNDDS recipe with replaced or modified SR codes</t>
        </is>
      </c>
      <c r="E3110" s="1" t="inlineStr">
        <is>
          <t>Base</t>
        </is>
      </c>
      <c r="F3110" s="1" t="n">
        <v>0.157446</v>
      </c>
    </row>
    <row r="3111" ht="15.75" customHeight="1" s="201">
      <c r="A3111" s="1" t="n">
        <v>58160720</v>
      </c>
      <c r="B3111" s="1" t="inlineStr">
        <is>
          <t>Rice, white, with other vegetables, fat added (Includes other vegetables such as mushrooms, peppers, and/or onions)</t>
        </is>
      </c>
      <c r="C3111" s="1" t="n">
        <v>4</v>
      </c>
      <c r="D3111" s="1" t="inlineStr">
        <is>
          <t>FNDDS recipe with replaced or modified SR codes</t>
        </is>
      </c>
      <c r="E3111" s="1" t="inlineStr">
        <is>
          <t>Base</t>
        </is>
      </c>
      <c r="F3111" s="1" t="n">
        <v>0.16247</v>
      </c>
    </row>
    <row r="3112" ht="15.75" customHeight="1" s="201">
      <c r="A3112" s="1" t="n">
        <v>58160800</v>
      </c>
      <c r="B3112" s="1" t="inlineStr">
        <is>
          <t>Rice, white, with lentils, NS as to fat</t>
        </is>
      </c>
      <c r="C3112" s="1" t="n">
        <v>4</v>
      </c>
      <c r="D3112" s="1" t="inlineStr">
        <is>
          <t>FNDDS recipe with replaced or modified SR codes</t>
        </is>
      </c>
      <c r="E3112" s="1" t="inlineStr">
        <is>
          <t>Base</t>
        </is>
      </c>
      <c r="F3112" s="1" t="n">
        <v>0.182162</v>
      </c>
    </row>
    <row r="3113" ht="15.75" customHeight="1" s="201">
      <c r="A3113" s="1" t="n">
        <v>58160810</v>
      </c>
      <c r="B3113" s="1" t="inlineStr">
        <is>
          <t>Rice, white, with lentils, no added fat</t>
        </is>
      </c>
      <c r="C3113" s="1" t="n">
        <v>4</v>
      </c>
      <c r="D3113" s="1" t="inlineStr">
        <is>
          <t>FNDDS recipe with replaced or modified SR codes</t>
        </is>
      </c>
      <c r="E3113" s="1" t="inlineStr">
        <is>
          <t>Base</t>
        </is>
      </c>
      <c r="F3113" s="1" t="n">
        <v>0.171012</v>
      </c>
    </row>
    <row r="3114" ht="15.75" customHeight="1" s="201">
      <c r="A3114" s="1" t="n">
        <v>58161320</v>
      </c>
      <c r="B3114" s="1" t="inlineStr">
        <is>
          <t>Beans and brown rice (Includes lentils; peas; all other beans except red, black, or pinto)</t>
        </is>
      </c>
      <c r="C3114" s="1" t="n">
        <v>4</v>
      </c>
      <c r="D3114" s="1" t="inlineStr">
        <is>
          <t>FNDDS recipe with replaced or modified SR codes</t>
        </is>
      </c>
      <c r="E3114" s="1" t="inlineStr">
        <is>
          <t>Base</t>
        </is>
      </c>
      <c r="F3114" s="1" t="n">
        <v>0.239193</v>
      </c>
    </row>
    <row r="3115" ht="15.75" customHeight="1" s="201">
      <c r="A3115" s="1" t="n">
        <v>58161322</v>
      </c>
      <c r="B3115" s="1" t="inlineStr">
        <is>
          <t>Black beans and brown rice</t>
        </is>
      </c>
      <c r="C3115" s="1" t="n">
        <v>4</v>
      </c>
      <c r="D3115" s="1" t="inlineStr">
        <is>
          <t>FNDDS recipe with replaced or modified SR codes</t>
        </is>
      </c>
      <c r="E3115" s="1" t="inlineStr">
        <is>
          <t>Base</t>
        </is>
      </c>
      <c r="F3115" s="1" t="n">
        <v>0.27132</v>
      </c>
    </row>
    <row r="3116" ht="15.75" customHeight="1" s="201">
      <c r="A3116" s="1" t="n">
        <v>58161420</v>
      </c>
      <c r="B3116" s="1" t="inlineStr">
        <is>
          <t>Rice, brown, with corn, NS as to fat (Includes peppers and/or onions)</t>
        </is>
      </c>
      <c r="C3116" s="1" t="n">
        <v>4</v>
      </c>
      <c r="D3116" s="1" t="inlineStr">
        <is>
          <t>FNDDS recipe with replaced or modified SR codes</t>
        </is>
      </c>
      <c r="E3116" s="1" t="inlineStr">
        <is>
          <t>Base</t>
        </is>
      </c>
      <c r="F3116" s="1" t="n">
        <v>0.255515</v>
      </c>
    </row>
    <row r="3117" ht="15.75" customHeight="1" s="201">
      <c r="A3117" s="1" t="n">
        <v>58161430</v>
      </c>
      <c r="B3117" s="1" t="inlineStr">
        <is>
          <t>Rice, brown, with peas, NS as to fat (Includes rice, brown, with green peas; peppers and/or onions)</t>
        </is>
      </c>
      <c r="C3117" s="1" t="n">
        <v>4</v>
      </c>
      <c r="D3117" s="1" t="inlineStr">
        <is>
          <t>FNDDS recipe with replaced or modified SR codes</t>
        </is>
      </c>
      <c r="E3117" s="1" t="inlineStr">
        <is>
          <t>Base</t>
        </is>
      </c>
      <c r="F3117" s="1" t="n">
        <v>0.253527</v>
      </c>
    </row>
    <row r="3118" ht="15.75" customHeight="1" s="201">
      <c r="A3118" s="1" t="n">
        <v>58161434</v>
      </c>
      <c r="B3118" s="1" t="inlineStr">
        <is>
          <t>Rice, brown, with peas, fat added (Includes rice, brown, with green peas; peppers and/or onions)</t>
        </is>
      </c>
      <c r="C3118" s="1" t="n">
        <v>4</v>
      </c>
      <c r="D3118" s="1" t="inlineStr">
        <is>
          <t>FNDDS recipe with replaced or modified SR codes</t>
        </is>
      </c>
      <c r="E3118" s="1" t="inlineStr">
        <is>
          <t>Base</t>
        </is>
      </c>
      <c r="F3118" s="1" t="n">
        <v>0.253527</v>
      </c>
    </row>
    <row r="3119" ht="15.75" customHeight="1" s="201">
      <c r="A3119" s="1" t="n">
        <v>58161435</v>
      </c>
      <c r="B3119" s="1" t="inlineStr">
        <is>
          <t>Rice, brown, with carrots, NS as to fat (Includes peppers and/or onions)</t>
        </is>
      </c>
      <c r="C3119" s="1" t="n">
        <v>4</v>
      </c>
      <c r="D3119" s="1" t="inlineStr">
        <is>
          <t>FNDDS recipe with replaced or modified SR codes</t>
        </is>
      </c>
      <c r="E3119" s="1" t="inlineStr">
        <is>
          <t>Base</t>
        </is>
      </c>
      <c r="F3119" s="1" t="n">
        <v>0.245161</v>
      </c>
    </row>
    <row r="3120" ht="15.75" customHeight="1" s="201">
      <c r="A3120" s="1" t="n">
        <v>58161442</v>
      </c>
      <c r="B3120" s="1" t="inlineStr">
        <is>
          <t>Rice, brown, with peas and carrots, no added fat (Includes peppers and/or onions)</t>
        </is>
      </c>
      <c r="C3120" s="1" t="n">
        <v>4</v>
      </c>
      <c r="D3120" s="1" t="inlineStr">
        <is>
          <t>FNDDS recipe with replaced or modified SR codes</t>
        </is>
      </c>
      <c r="E3120" s="1" t="inlineStr">
        <is>
          <t>Base</t>
        </is>
      </c>
      <c r="F3120" s="1" t="n">
        <v>0.24969</v>
      </c>
    </row>
    <row r="3121" ht="15.75" customHeight="1" s="201">
      <c r="A3121" s="1" t="n">
        <v>58161444</v>
      </c>
      <c r="B3121" s="1" t="inlineStr">
        <is>
          <t>Rice, brown, with peas and carrots, fat added (Includes peppers and/or onions)</t>
        </is>
      </c>
      <c r="C3121" s="1" t="n">
        <v>4</v>
      </c>
      <c r="D3121" s="1" t="inlineStr">
        <is>
          <t>FNDDS recipe with replaced or modified SR codes</t>
        </is>
      </c>
      <c r="E3121" s="1" t="inlineStr">
        <is>
          <t>Base</t>
        </is>
      </c>
      <c r="F3121" s="1" t="n">
        <v>0.252792</v>
      </c>
    </row>
    <row r="3122" ht="15.75" customHeight="1" s="201">
      <c r="A3122" s="1" t="n">
        <v>58161462</v>
      </c>
      <c r="B3122" s="1" t="inlineStr">
        <is>
          <t>Rice, brown, with tomatoes and/or tomato based sauce, no added fat (Includes Mexican, Spanish, or red rice made with brown rice; made with peppers and/or onions)</t>
        </is>
      </c>
      <c r="C3122" s="1" t="n">
        <v>4</v>
      </c>
      <c r="D3122" s="1" t="inlineStr">
        <is>
          <t>FNDDS recipe with replaced or modified SR codes</t>
        </is>
      </c>
      <c r="E3122" s="1" t="inlineStr">
        <is>
          <t>Base</t>
        </is>
      </c>
      <c r="F3122" s="1" t="n">
        <v>0.28726</v>
      </c>
    </row>
    <row r="3123" ht="15.75" customHeight="1" s="201">
      <c r="A3123" s="1" t="n">
        <v>58161464</v>
      </c>
      <c r="B3123" s="1" t="inlineStr">
        <is>
          <t>Rice, brown, with tomatoes and/or tomato based sauce, fat added (Includes Mexican, Spanish, or red rice made with brown rice; made with peppers and/or onions)</t>
        </is>
      </c>
      <c r="C3123" s="1" t="n">
        <v>4</v>
      </c>
      <c r="D3123" s="1" t="inlineStr">
        <is>
          <t>FNDDS recipe with replaced or modified SR codes</t>
        </is>
      </c>
      <c r="E3123" s="1" t="inlineStr">
        <is>
          <t>Base</t>
        </is>
      </c>
      <c r="F3123" s="1" t="n">
        <v>0.289439</v>
      </c>
    </row>
    <row r="3124" ht="15.75" customHeight="1" s="201">
      <c r="A3124" s="1" t="n">
        <v>58161470</v>
      </c>
      <c r="B3124" s="1" t="inlineStr">
        <is>
          <t>Rice, brown, with dark green vegetables, NS as to fat (Includes broccoli and/or spinach; peppers and/or onions)</t>
        </is>
      </c>
      <c r="C3124" s="1" t="n">
        <v>4</v>
      </c>
      <c r="D3124" s="1" t="inlineStr">
        <is>
          <t>FNDDS recipe with replaced or modified SR codes</t>
        </is>
      </c>
      <c r="E3124" s="1" t="inlineStr">
        <is>
          <t>Base</t>
        </is>
      </c>
      <c r="F3124" s="1" t="n">
        <v>0.296794</v>
      </c>
    </row>
    <row r="3125" ht="15.75" customHeight="1" s="201">
      <c r="A3125" s="1" t="n">
        <v>58161472</v>
      </c>
      <c r="B3125" s="1" t="inlineStr">
        <is>
          <t>Rice, brown, with dark green vegetables, no added fat (Includes broccoli and/or spinach; peppers and/or onions)</t>
        </is>
      </c>
      <c r="C3125" s="1" t="n">
        <v>4</v>
      </c>
      <c r="D3125" s="1" t="inlineStr">
        <is>
          <t>FNDDS recipe with replaced or modified SR codes</t>
        </is>
      </c>
      <c r="E3125" s="1" t="inlineStr">
        <is>
          <t>Base</t>
        </is>
      </c>
      <c r="F3125" s="1" t="n">
        <v>0.294508</v>
      </c>
    </row>
    <row r="3126" ht="15.75" customHeight="1" s="201">
      <c r="A3126" s="1" t="n">
        <v>58161480</v>
      </c>
      <c r="B3126" s="1" t="inlineStr">
        <is>
          <t>Rice, brown, with carrots and tomatoes and/or tomato-based sauce, NS as to fat (Includes peppers and/or onions)</t>
        </is>
      </c>
      <c r="C3126" s="1" t="n">
        <v>4</v>
      </c>
      <c r="D3126" s="1" t="inlineStr">
        <is>
          <t>FNDDS recipe with replaced or modified SR codes</t>
        </is>
      </c>
      <c r="E3126" s="1" t="inlineStr">
        <is>
          <t>Base</t>
        </is>
      </c>
      <c r="F3126" s="1" t="n">
        <v>0.26854</v>
      </c>
    </row>
    <row r="3127" ht="15.75" customHeight="1" s="201">
      <c r="A3127" s="1" t="n">
        <v>58161500</v>
      </c>
      <c r="B3127" s="1" t="inlineStr">
        <is>
          <t>Rice, brown, with carrots and dark green vegetables, NS as to fat (Includes broccoli and/or spinach; peppers and/or onions)</t>
        </is>
      </c>
      <c r="C3127" s="1" t="n">
        <v>4</v>
      </c>
      <c r="D3127" s="1" t="inlineStr">
        <is>
          <t>FNDDS recipe with replaced or modified SR codes</t>
        </is>
      </c>
      <c r="E3127" s="1" t="inlineStr">
        <is>
          <t>Base</t>
        </is>
      </c>
      <c r="F3127" s="1" t="n">
        <v>0.269565</v>
      </c>
    </row>
    <row r="3128" ht="15.75" customHeight="1" s="201">
      <c r="A3128" s="1" t="n">
        <v>58161502</v>
      </c>
      <c r="B3128" s="1" t="inlineStr">
        <is>
          <t>Rice, brown, with carrots and dark green vegetables, no added fat (Includes broccoli and/or spinach; peppers and/or onions)</t>
        </is>
      </c>
      <c r="C3128" s="1" t="n">
        <v>4</v>
      </c>
      <c r="D3128" s="1" t="inlineStr">
        <is>
          <t>FNDDS recipe with replaced or modified SR codes</t>
        </is>
      </c>
      <c r="E3128" s="1" t="inlineStr">
        <is>
          <t>Base</t>
        </is>
      </c>
      <c r="F3128" s="1" t="n">
        <v>0.266755</v>
      </c>
    </row>
    <row r="3129" ht="15.75" customHeight="1" s="201">
      <c r="A3129" s="1" t="n">
        <v>58161510</v>
      </c>
      <c r="B3129" s="1" t="inlineStr">
        <is>
          <t>Grape leaves stuffed with rice</t>
        </is>
      </c>
      <c r="C3129" s="1" t="n">
        <v>1</v>
      </c>
      <c r="D3129" s="1" t="inlineStr">
        <is>
          <t>Links to FNDDS</t>
        </is>
      </c>
      <c r="E3129" s="1" t="inlineStr">
        <is>
          <t>Base</t>
        </is>
      </c>
      <c r="F3129" s="1" t="n">
        <v>2.047909</v>
      </c>
    </row>
    <row r="3130" ht="15.75" customHeight="1" s="201">
      <c r="A3130" s="1" t="n">
        <v>58161534</v>
      </c>
      <c r="B3130" s="1" t="inlineStr">
        <is>
          <t>Rice, brown, with other vegetables, fat added (Includes other vegetables such as mushrooms, peppers, and/or onions)</t>
        </is>
      </c>
      <c r="C3130" s="1" t="n">
        <v>4</v>
      </c>
      <c r="D3130" s="1" t="inlineStr">
        <is>
          <t>FNDDS recipe with replaced or modified SR codes</t>
        </is>
      </c>
      <c r="E3130" s="1" t="inlineStr">
        <is>
          <t>Base</t>
        </is>
      </c>
      <c r="F3130" s="1" t="n">
        <v>0.247471</v>
      </c>
    </row>
    <row r="3131" ht="15.75" customHeight="1" s="201">
      <c r="A3131" s="1" t="n">
        <v>58162090</v>
      </c>
      <c r="B3131" s="1" t="inlineStr">
        <is>
          <t>Stuffed pepper, with meat (Includes with or without cheese)</t>
        </is>
      </c>
      <c r="C3131" s="1" t="n">
        <v>1</v>
      </c>
      <c r="D3131" s="1" t="inlineStr">
        <is>
          <t>Links to FNDDS</t>
        </is>
      </c>
      <c r="E3131" s="1" t="inlineStr">
        <is>
          <t>Base</t>
        </is>
      </c>
      <c r="F3131" s="1" t="n">
        <v>0.922243</v>
      </c>
    </row>
    <row r="3132" ht="15.75" customHeight="1" s="201">
      <c r="A3132" s="1" t="n">
        <v>58162110</v>
      </c>
      <c r="B3132" s="1" t="inlineStr">
        <is>
          <t>Stuffed pepper, with rice and meat (Includes with or without cheese)</t>
        </is>
      </c>
      <c r="C3132" s="1" t="n">
        <v>1</v>
      </c>
      <c r="D3132" s="1" t="inlineStr">
        <is>
          <t>Links to FNDDS</t>
        </is>
      </c>
      <c r="E3132" s="1" t="inlineStr">
        <is>
          <t>Base</t>
        </is>
      </c>
      <c r="F3132" s="1" t="n">
        <v>0.79231</v>
      </c>
    </row>
    <row r="3133" ht="15.75" customHeight="1" s="201">
      <c r="A3133" s="1" t="n">
        <v>58162120</v>
      </c>
      <c r="B3133" s="1" t="inlineStr">
        <is>
          <t>Stuffed pepper, with rice, meatless (Includes with or without cheese)</t>
        </is>
      </c>
      <c r="C3133" s="1" t="n">
        <v>4</v>
      </c>
      <c r="D3133" s="1" t="inlineStr">
        <is>
          <t>FNDDS recipe with replaced or modified SR codes</t>
        </is>
      </c>
      <c r="E3133" s="1" t="inlineStr">
        <is>
          <t>Base</t>
        </is>
      </c>
      <c r="F3133" s="1" t="n">
        <v>0.401626</v>
      </c>
    </row>
    <row r="3134" ht="15.75" customHeight="1" s="201">
      <c r="A3134" s="1" t="n">
        <v>58162140</v>
      </c>
      <c r="B3134" s="1" t="inlineStr">
        <is>
          <t>Stuffed tomato, with rice, meatless</t>
        </is>
      </c>
      <c r="C3134" s="1" t="n">
        <v>4</v>
      </c>
      <c r="D3134" s="1" t="inlineStr">
        <is>
          <t>FNDDS recipe with replaced or modified SR codes</t>
        </is>
      </c>
      <c r="E3134" s="1" t="inlineStr">
        <is>
          <t>Base</t>
        </is>
      </c>
      <c r="F3134" s="1" t="n">
        <v>0.406949</v>
      </c>
    </row>
    <row r="3135" ht="15.75" customHeight="1" s="201">
      <c r="A3135" s="1" t="n">
        <v>58162310</v>
      </c>
      <c r="B3135" s="1" t="inlineStr">
        <is>
          <t>Rice pilaf (Includes Suzi Wan Sweet'n Sour Rice)</t>
        </is>
      </c>
      <c r="C3135" s="1" t="n">
        <v>4</v>
      </c>
      <c r="D3135" s="1" t="inlineStr">
        <is>
          <t>FNDDS recipe with replaced or modified SR codes</t>
        </is>
      </c>
      <c r="E3135" s="1" t="inlineStr">
        <is>
          <t>Base</t>
        </is>
      </c>
      <c r="F3135" s="1" t="n">
        <v>0.237167</v>
      </c>
    </row>
    <row r="3136" ht="15.75" customHeight="1" s="201">
      <c r="A3136" s="1" t="n">
        <v>58163130</v>
      </c>
      <c r="B3136" s="1" t="inlineStr">
        <is>
          <t>Dirty rice (Includes rice cooked with chicken giblets; cajun rice)</t>
        </is>
      </c>
      <c r="C3136" s="1" t="n">
        <v>4</v>
      </c>
      <c r="D3136" s="1" t="inlineStr">
        <is>
          <t>FNDDS recipe with replaced or modified SR codes</t>
        </is>
      </c>
      <c r="E3136" s="1" t="inlineStr">
        <is>
          <t>Base</t>
        </is>
      </c>
      <c r="F3136" s="1" t="n">
        <v>0.25752</v>
      </c>
    </row>
    <row r="3137" ht="15.75" customHeight="1" s="201">
      <c r="A3137" s="1" t="n">
        <v>58163310</v>
      </c>
      <c r="B3137" s="1" t="inlineStr">
        <is>
          <t>Flavored rice mixture (Includes Uncle Ben's, all flavors (excluding cheese))</t>
        </is>
      </c>
      <c r="C3137" s="1" t="n">
        <v>2</v>
      </c>
      <c r="D3137" s="1" t="inlineStr">
        <is>
          <t>Links to altEC</t>
        </is>
      </c>
      <c r="E3137" s="1" t="inlineStr">
        <is>
          <t>Base</t>
        </is>
      </c>
      <c r="F3137" s="1" t="n">
        <v>0.810733</v>
      </c>
    </row>
    <row r="3138" ht="15.75" customHeight="1" s="201">
      <c r="A3138" s="1" t="n">
        <v>58163330</v>
      </c>
      <c r="B3138" s="1" t="inlineStr">
        <is>
          <t>Flavored rice mixture with cheese (Includes rice au gratin; Uncle Ben's Country Inn cheese and rice mixtures)</t>
        </is>
      </c>
      <c r="C3138" s="1" t="n">
        <v>3</v>
      </c>
      <c r="D3138" s="1" t="inlineStr">
        <is>
          <t>Original FNDDS recipe</t>
        </is>
      </c>
      <c r="E3138" s="1" t="inlineStr">
        <is>
          <t>Base</t>
        </is>
      </c>
      <c r="F3138" s="1" t="n">
        <v>0.297901</v>
      </c>
    </row>
    <row r="3139" ht="15.75" customHeight="1" s="201">
      <c r="A3139" s="1" t="n">
        <v>58163380</v>
      </c>
      <c r="B3139" s="1" t="inlineStr">
        <is>
          <t>Flavored rice and pasta mixture (Includes Rice-A-Roni, all flavors; Lipton / Knorr Rice and Sauce, all flavors)</t>
        </is>
      </c>
      <c r="C3139" s="1" t="n">
        <v>4</v>
      </c>
      <c r="D3139" s="1" t="inlineStr">
        <is>
          <t>FNDDS recipe with replaced or modified SR codes</t>
        </is>
      </c>
      <c r="E3139" s="1" t="inlineStr">
        <is>
          <t>Base</t>
        </is>
      </c>
      <c r="F3139" s="1" t="n">
        <v>0.18291</v>
      </c>
    </row>
    <row r="3140" ht="15.75" customHeight="1" s="201">
      <c r="A3140" s="1" t="n">
        <v>58163405</v>
      </c>
      <c r="B3140" s="1" t="inlineStr">
        <is>
          <t>Spanish rice, from restaurant (Includes fast food / other place)</t>
        </is>
      </c>
      <c r="C3140" s="1" t="n">
        <v>2</v>
      </c>
      <c r="D3140" s="1" t="inlineStr">
        <is>
          <t>Links to altEC</t>
        </is>
      </c>
      <c r="E3140" s="1" t="inlineStr">
        <is>
          <t>Base</t>
        </is>
      </c>
      <c r="F3140" s="1" t="n">
        <v>0.411437</v>
      </c>
    </row>
    <row r="3141" ht="15.75" customHeight="1" s="201">
      <c r="A3141" s="1" t="n">
        <v>58163410</v>
      </c>
      <c r="B3141" s="1" t="inlineStr">
        <is>
          <t>Spanish rice, fat added (Includes Mexican rice; red rice; white rice with tomatoes and/or tomato-based sauce, green peppers and onions; Spanish rice, NFS; homemade)</t>
        </is>
      </c>
      <c r="C3141" s="1" t="n">
        <v>4</v>
      </c>
      <c r="D3141" s="1" t="inlineStr">
        <is>
          <t>FNDDS recipe with replaced or modified SR codes</t>
        </is>
      </c>
      <c r="E3141" s="1" t="inlineStr">
        <is>
          <t>Base</t>
        </is>
      </c>
      <c r="F3141" s="1" t="n">
        <v>0.399779</v>
      </c>
    </row>
    <row r="3142" ht="15.75" customHeight="1" s="201">
      <c r="A3142" s="1" t="n">
        <v>58163420</v>
      </c>
      <c r="B3142" s="1" t="inlineStr">
        <is>
          <t>Spanish rice, no added fat (Includes Mexican rice; red rice; white rice with tomatoes and/or tomato-based sauce, green peppers and onions; homemade; Spanish rice, NFS)</t>
        </is>
      </c>
      <c r="C3142" s="1" t="n">
        <v>4</v>
      </c>
      <c r="D3142" s="1" t="inlineStr">
        <is>
          <t>FNDDS recipe with replaced or modified SR codes</t>
        </is>
      </c>
      <c r="E3142" s="1" t="inlineStr">
        <is>
          <t>Base</t>
        </is>
      </c>
      <c r="F3142" s="1" t="n">
        <v>0.397907</v>
      </c>
    </row>
    <row r="3143" ht="15.75" customHeight="1" s="201">
      <c r="A3143" s="1" t="n">
        <v>58163430</v>
      </c>
      <c r="B3143" s="1" t="inlineStr">
        <is>
          <t>Spanish rice, NS as to fat (Includes Mexican rice; red rice; white rice with tomatoes and/or tomato-based sauce, green peppers and onions; homemade; Spanish rice, NFS)</t>
        </is>
      </c>
      <c r="C3143" s="1" t="n">
        <v>4</v>
      </c>
      <c r="D3143" s="1" t="inlineStr">
        <is>
          <t>FNDDS recipe with replaced or modified SR codes</t>
        </is>
      </c>
      <c r="E3143" s="1" t="inlineStr">
        <is>
          <t>Base</t>
        </is>
      </c>
      <c r="F3143" s="1" t="n">
        <v>0.39926</v>
      </c>
    </row>
    <row r="3144" ht="15.75" customHeight="1" s="201">
      <c r="A3144" s="1" t="n">
        <v>58163450</v>
      </c>
      <c r="B3144" s="1" t="inlineStr">
        <is>
          <t>Spanish rice with ground beef</t>
        </is>
      </c>
      <c r="C3144" s="1" t="n">
        <v>4</v>
      </c>
      <c r="D3144" s="1" t="inlineStr">
        <is>
          <t>FNDDS recipe with replaced or modified SR codes</t>
        </is>
      </c>
      <c r="E3144" s="1" t="inlineStr">
        <is>
          <t>Base</t>
        </is>
      </c>
      <c r="F3144" s="1" t="n">
        <v>0.683145</v>
      </c>
    </row>
    <row r="3145" ht="15.75" customHeight="1" s="201">
      <c r="A3145" s="1" t="n">
        <v>58164500</v>
      </c>
      <c r="B3145" s="1" t="inlineStr">
        <is>
          <t>Rice, white, with cheese and/or cream based sauce, NS as to fat (Includes mushroom soup-based sauce; white sauce)</t>
        </is>
      </c>
      <c r="C3145" s="1" t="n">
        <v>4</v>
      </c>
      <c r="D3145" s="1" t="inlineStr">
        <is>
          <t>FNDDS recipe with replaced or modified SR codes</t>
        </is>
      </c>
      <c r="E3145" s="1" t="inlineStr">
        <is>
          <t>Base</t>
        </is>
      </c>
      <c r="F3145" s="1" t="n">
        <v>0.191026</v>
      </c>
    </row>
    <row r="3146" ht="15.75" customHeight="1" s="201">
      <c r="A3146" s="1" t="n">
        <v>58164510</v>
      </c>
      <c r="B3146" s="1" t="inlineStr">
        <is>
          <t>Rice, white, with cheese and/or cream based sauce, no added fat (Includes mushroom soup-based sauce; white sauce)</t>
        </is>
      </c>
      <c r="C3146" s="1" t="n">
        <v>4</v>
      </c>
      <c r="D3146" s="1" t="inlineStr">
        <is>
          <t>FNDDS recipe with replaced or modified SR codes</t>
        </is>
      </c>
      <c r="E3146" s="1" t="inlineStr">
        <is>
          <t>Base</t>
        </is>
      </c>
      <c r="F3146" s="1" t="n">
        <v>0.186606</v>
      </c>
    </row>
    <row r="3147" ht="15.75" customHeight="1" s="201">
      <c r="A3147" s="1" t="n">
        <v>58164530</v>
      </c>
      <c r="B3147" s="1" t="inlineStr">
        <is>
          <t>Rice, white, with gravy, NS as to fat</t>
        </is>
      </c>
      <c r="C3147" s="1" t="n">
        <v>4</v>
      </c>
      <c r="D3147" s="1" t="inlineStr">
        <is>
          <t>FNDDS recipe with replaced or modified SR codes</t>
        </is>
      </c>
      <c r="E3147" s="1" t="inlineStr">
        <is>
          <t>Base</t>
        </is>
      </c>
      <c r="F3147" s="1" t="n">
        <v>0.213751</v>
      </c>
    </row>
    <row r="3148" ht="15.75" customHeight="1" s="201">
      <c r="A3148" s="1" t="n">
        <v>58164540</v>
      </c>
      <c r="B3148" s="1" t="inlineStr">
        <is>
          <t>Rice, white, with gravy, no added fat</t>
        </is>
      </c>
      <c r="C3148" s="1" t="n">
        <v>4</v>
      </c>
      <c r="D3148" s="1" t="inlineStr">
        <is>
          <t>FNDDS recipe with replaced or modified SR codes</t>
        </is>
      </c>
      <c r="E3148" s="1" t="inlineStr">
        <is>
          <t>Base</t>
        </is>
      </c>
      <c r="F3148" s="1" t="n">
        <v>0.209756</v>
      </c>
    </row>
    <row r="3149" ht="15.75" customHeight="1" s="201">
      <c r="A3149" s="1" t="n">
        <v>58164840</v>
      </c>
      <c r="B3149" s="1" t="inlineStr">
        <is>
          <t>Rice, brown, with gravy, no added fat</t>
        </is>
      </c>
      <c r="C3149" s="1" t="n">
        <v>4</v>
      </c>
      <c r="D3149" s="1" t="inlineStr">
        <is>
          <t>FNDDS recipe with replaced or modified SR codes</t>
        </is>
      </c>
      <c r="E3149" s="1" t="inlineStr">
        <is>
          <t>Base</t>
        </is>
      </c>
      <c r="F3149" s="1" t="n">
        <v>0.280901</v>
      </c>
    </row>
    <row r="3150" ht="15.75" customHeight="1" s="201">
      <c r="A3150" s="1" t="n">
        <v>58165000</v>
      </c>
      <c r="B3150" s="1" t="inlineStr">
        <is>
          <t>Rice, white, with vegetables, cheese and/or cream based sauce, NS as to fat (Includes any type of vegetable; mushroom soup-based sauce; white sauce)</t>
        </is>
      </c>
      <c r="C3150" s="1" t="n">
        <v>4</v>
      </c>
      <c r="D3150" s="1" t="inlineStr">
        <is>
          <t>FNDDS recipe with replaced or modified SR codes</t>
        </is>
      </c>
      <c r="E3150" s="1" t="inlineStr">
        <is>
          <t>Base</t>
        </is>
      </c>
      <c r="F3150" s="1" t="n">
        <v>0.226625</v>
      </c>
    </row>
    <row r="3151" ht="15.75" customHeight="1" s="201">
      <c r="A3151" s="1" t="n">
        <v>58165010</v>
      </c>
      <c r="B3151" s="1" t="inlineStr">
        <is>
          <t>Rice, white, with vegetables, cheese and/or cream based sauce, no added fat (Includes any type of vegetable; mushroom soup-based sauce; white sauce)</t>
        </is>
      </c>
      <c r="C3151" s="1" t="n">
        <v>4</v>
      </c>
      <c r="D3151" s="1" t="inlineStr">
        <is>
          <t>FNDDS recipe with replaced or modified SR codes</t>
        </is>
      </c>
      <c r="E3151" s="1" t="inlineStr">
        <is>
          <t>Base</t>
        </is>
      </c>
      <c r="F3151" s="1" t="n">
        <v>0.223651</v>
      </c>
    </row>
    <row r="3152" ht="15.75" customHeight="1" s="201">
      <c r="A3152" s="1" t="n">
        <v>58165020</v>
      </c>
      <c r="B3152" s="1" t="inlineStr">
        <is>
          <t>Rice, white, with vegetables, cheese and/or cream based sauce, fat added (Includes any type of vegetable; mushroom soup-based sauce; white sauce; vegetable risotto)</t>
        </is>
      </c>
      <c r="C3152" s="1" t="n">
        <v>4</v>
      </c>
      <c r="D3152" s="1" t="inlineStr">
        <is>
          <t>FNDDS recipe with replaced or modified SR codes</t>
        </is>
      </c>
      <c r="E3152" s="1" t="inlineStr">
        <is>
          <t>Base</t>
        </is>
      </c>
      <c r="F3152" s="1" t="n">
        <v>0.226625</v>
      </c>
    </row>
    <row r="3153" ht="15.75" customHeight="1" s="201">
      <c r="A3153" s="1" t="n">
        <v>58165040</v>
      </c>
      <c r="B3153" s="1" t="inlineStr">
        <is>
          <t>Rice, white, with vegetables and gravy, no added fat (Includes any type of vegetable)</t>
        </is>
      </c>
      <c r="C3153" s="1" t="n">
        <v>4</v>
      </c>
      <c r="D3153" s="1" t="inlineStr">
        <is>
          <t>FNDDS recipe with replaced or modified SR codes</t>
        </is>
      </c>
      <c r="E3153" s="1" t="inlineStr">
        <is>
          <t>Base</t>
        </is>
      </c>
      <c r="F3153" s="1" t="n">
        <v>0.242243</v>
      </c>
    </row>
    <row r="3154" ht="15.75" customHeight="1" s="201">
      <c r="A3154" s="1" t="n">
        <v>58165060</v>
      </c>
      <c r="B3154" s="1" t="inlineStr">
        <is>
          <t>Rice, white, with vegetables, soy-based sauce, NS as to fat (Includes any type of vegetable; teriyaki sauce)</t>
        </is>
      </c>
      <c r="C3154" s="1" t="n">
        <v>4</v>
      </c>
      <c r="D3154" s="1" t="inlineStr">
        <is>
          <t>FNDDS recipe with replaced or modified SR codes</t>
        </is>
      </c>
      <c r="E3154" s="1" t="inlineStr">
        <is>
          <t>Base</t>
        </is>
      </c>
      <c r="F3154" s="1" t="n">
        <v>0.256778</v>
      </c>
    </row>
    <row r="3155" ht="15.75" customHeight="1" s="201">
      <c r="A3155" s="1" t="n">
        <v>58165070</v>
      </c>
      <c r="B3155" s="1" t="inlineStr">
        <is>
          <t>Rice, white, with vegetables, soy-based sauce, no added fat (Includes any type of vegetable; teriyaki sauce)</t>
        </is>
      </c>
      <c r="C3155" s="1" t="n">
        <v>4</v>
      </c>
      <c r="D3155" s="1" t="inlineStr">
        <is>
          <t>FNDDS recipe with replaced or modified SR codes</t>
        </is>
      </c>
      <c r="E3155" s="1" t="inlineStr">
        <is>
          <t>Base</t>
        </is>
      </c>
      <c r="F3155" s="1" t="n">
        <v>0.254262</v>
      </c>
    </row>
    <row r="3156" ht="15.75" customHeight="1" s="201">
      <c r="A3156" s="1" t="n">
        <v>58165080</v>
      </c>
      <c r="B3156" s="1" t="inlineStr">
        <is>
          <t>Rice, white, with vegetables, soy-based sauce, fat added (Includes any type of vegetable; teriyaki sauce)</t>
        </is>
      </c>
      <c r="C3156" s="1" t="n">
        <v>4</v>
      </c>
      <c r="D3156" s="1" t="inlineStr">
        <is>
          <t>FNDDS recipe with replaced or modified SR codes</t>
        </is>
      </c>
      <c r="E3156" s="1" t="inlineStr">
        <is>
          <t>Base</t>
        </is>
      </c>
      <c r="F3156" s="1" t="n">
        <v>0.256778</v>
      </c>
    </row>
    <row r="3157" ht="15.75" customHeight="1" s="201">
      <c r="A3157" s="1" t="n">
        <v>58165400</v>
      </c>
      <c r="B3157" s="1" t="inlineStr">
        <is>
          <t>Rice, brown, with vegetables, cheese and/or cream based sauce, NS as to fat (Includes any type of vegetable; mushroom soup-based sauce; white sauce)</t>
        </is>
      </c>
      <c r="C3157" s="1" t="n">
        <v>4</v>
      </c>
      <c r="D3157" s="1" t="inlineStr">
        <is>
          <t>FNDDS recipe with replaced or modified SR codes</t>
        </is>
      </c>
      <c r="E3157" s="1" t="inlineStr">
        <is>
          <t>Base</t>
        </is>
      </c>
      <c r="F3157" s="1" t="n">
        <v>0.282142</v>
      </c>
    </row>
    <row r="3158" ht="15.75" customHeight="1" s="201">
      <c r="A3158" s="1" t="n">
        <v>58165470</v>
      </c>
      <c r="B3158" s="1" t="inlineStr">
        <is>
          <t>Rice, brown, with vegetables, soy-based sauce, no added fat (Includes any type of vegetable; teriyaki sauce)</t>
        </is>
      </c>
      <c r="C3158" s="1" t="n">
        <v>4</v>
      </c>
      <c r="D3158" s="1" t="inlineStr">
        <is>
          <t>FNDDS recipe with replaced or modified SR codes</t>
        </is>
      </c>
      <c r="E3158" s="1" t="inlineStr">
        <is>
          <t>Base</t>
        </is>
      </c>
      <c r="F3158" s="1" t="n">
        <v>0.307686</v>
      </c>
    </row>
    <row r="3159" ht="15.75" customHeight="1" s="201">
      <c r="A3159" s="1" t="n">
        <v>58165480</v>
      </c>
      <c r="B3159" s="1" t="inlineStr">
        <is>
          <t>Rice, brown, with vegetables, soy-based sauce, fat added (Includes any type of vegetable; teriyaki sauce)</t>
        </is>
      </c>
      <c r="C3159" s="1" t="n">
        <v>4</v>
      </c>
      <c r="D3159" s="1" t="inlineStr">
        <is>
          <t>FNDDS recipe with replaced or modified SR codes</t>
        </is>
      </c>
      <c r="E3159" s="1" t="inlineStr">
        <is>
          <t>Base</t>
        </is>
      </c>
      <c r="F3159" s="1" t="n">
        <v>0.309199</v>
      </c>
    </row>
    <row r="3160" ht="15.75" customHeight="1" s="201">
      <c r="A3160" s="1" t="n">
        <v>58174000</v>
      </c>
      <c r="B3160" s="1" t="inlineStr">
        <is>
          <t>Upma, Indian breakfast dish</t>
        </is>
      </c>
      <c r="C3160" s="1" t="n">
        <v>4</v>
      </c>
      <c r="D3160" s="1" t="inlineStr">
        <is>
          <t>FNDDS recipe with replaced or modified SR codes</t>
        </is>
      </c>
      <c r="E3160" s="1" t="inlineStr">
        <is>
          <t>Base</t>
        </is>
      </c>
      <c r="F3160" s="1" t="n">
        <v>0.278403</v>
      </c>
    </row>
    <row r="3161" ht="15.75" customHeight="1" s="201">
      <c r="A3161" s="1" t="n">
        <v>58174100</v>
      </c>
      <c r="B3161" s="1" t="inlineStr">
        <is>
          <t>Dosa (Indian), with filling (Includes Indian pancake or crepe; Masala Dosa; any filling; any source)</t>
        </is>
      </c>
      <c r="C3161" s="1" t="n">
        <v>1</v>
      </c>
      <c r="D3161" s="1" t="inlineStr">
        <is>
          <t>Links to FNDDS</t>
        </is>
      </c>
      <c r="E3161" s="1" t="inlineStr">
        <is>
          <t>Base</t>
        </is>
      </c>
      <c r="F3161" s="1" t="n">
        <v>0.503233</v>
      </c>
    </row>
    <row r="3162" ht="15.75" customHeight="1" s="201">
      <c r="A3162" s="1" t="n">
        <v>58175000</v>
      </c>
      <c r="B3162" s="1" t="inlineStr">
        <is>
          <t>Vada, fried dumpling</t>
        </is>
      </c>
      <c r="C3162" s="1" t="n">
        <v>4</v>
      </c>
      <c r="D3162" s="1" t="inlineStr">
        <is>
          <t>FNDDS recipe with replaced or modified SR codes</t>
        </is>
      </c>
      <c r="E3162" s="1" t="inlineStr">
        <is>
          <t>Base</t>
        </is>
      </c>
      <c r="F3162" s="1" t="n">
        <v>0.303219</v>
      </c>
    </row>
    <row r="3163" ht="15.75" customHeight="1" s="201">
      <c r="A3163" s="1" t="n">
        <v>58175110</v>
      </c>
      <c r="B3163" s="1" t="inlineStr">
        <is>
          <t>Tabbouleh (Includes Tabbuli; bulgar with tomatoes and parsley)</t>
        </is>
      </c>
      <c r="C3163" s="1" t="n">
        <v>1</v>
      </c>
      <c r="D3163" s="1" t="inlineStr">
        <is>
          <t>Links to FNDDS</t>
        </is>
      </c>
      <c r="E3163" s="1" t="inlineStr">
        <is>
          <t>Base</t>
        </is>
      </c>
      <c r="F3163" s="1" t="n">
        <v>1.151176</v>
      </c>
    </row>
    <row r="3164" ht="15.75" customHeight="1" s="201">
      <c r="A3164" s="1" t="n">
        <v>58200250</v>
      </c>
      <c r="B3164" s="1" t="inlineStr">
        <is>
          <t>Wrap sandwich, filled with vegetables (Includes vegetarian wrap)</t>
        </is>
      </c>
      <c r="C3164" s="1" t="n">
        <v>1</v>
      </c>
      <c r="D3164" s="1" t="inlineStr">
        <is>
          <t>Links to FNDDS</t>
        </is>
      </c>
      <c r="E3164" s="1" t="inlineStr">
        <is>
          <t>Base</t>
        </is>
      </c>
      <c r="F3164" s="1" t="n">
        <v>2.019328</v>
      </c>
    </row>
    <row r="3165" ht="15.75" customHeight="1" s="201">
      <c r="A3165" s="1" t="n">
        <v>58201005</v>
      </c>
      <c r="B3165" s="1" t="inlineStr">
        <is>
          <t>Jelly sandwich, regular jelly, on white bread (Includes jam, marmalade, preserve, honey, fruit butter, fruit paste; all flavors; NS as to type of jelly; other bread such as potato, Italian, and rye; bread, NFS)</t>
        </is>
      </c>
      <c r="C3165" s="1" t="n">
        <v>3</v>
      </c>
      <c r="D3165" s="1" t="inlineStr">
        <is>
          <t>Original FNDDS recipe</t>
        </is>
      </c>
      <c r="E3165" s="1" t="inlineStr">
        <is>
          <t>Base</t>
        </is>
      </c>
      <c r="F3165" s="1" t="n">
        <v>0.361055</v>
      </c>
    </row>
    <row r="3166" ht="15.75" customHeight="1" s="201">
      <c r="A3166" s="1" t="n">
        <v>58201015</v>
      </c>
      <c r="B3166" s="1" t="inlineStr">
        <is>
          <t>Jelly sandwich, regular jelly, on wheat bread (Includes jam, marmalade, preserve, honey, fruit butter, fruit paste; all flavors; NS as to type of jelly)</t>
        </is>
      </c>
      <c r="C3166" s="1" t="n">
        <v>4</v>
      </c>
      <c r="D3166" s="1" t="inlineStr">
        <is>
          <t>FNDDS recipe with replaced or modified SR codes</t>
        </is>
      </c>
      <c r="E3166" s="1" t="inlineStr">
        <is>
          <t>Base</t>
        </is>
      </c>
      <c r="F3166" s="1" t="n">
        <v>0.369509</v>
      </c>
    </row>
    <row r="3167" ht="15.75" customHeight="1" s="201">
      <c r="A3167" s="1" t="n">
        <v>58201025</v>
      </c>
      <c r="B3167" s="1" t="inlineStr">
        <is>
          <t>Jelly sandwich, regular jelly, on whole wheat bread (Includes jam, marmalade, preserve, honey, fruit butter, fruit paste; all flavors; NS as to type of jelly; whole grain bread; multigrain bread)</t>
        </is>
      </c>
      <c r="C3167" s="1" t="n">
        <v>4</v>
      </c>
      <c r="D3167" s="1" t="inlineStr">
        <is>
          <t>FNDDS recipe with replaced or modified SR codes</t>
        </is>
      </c>
      <c r="E3167" s="1" t="inlineStr">
        <is>
          <t>Base</t>
        </is>
      </c>
      <c r="F3167" s="1" t="n">
        <v>0.369509</v>
      </c>
    </row>
    <row r="3168" ht="15.75" customHeight="1" s="201">
      <c r="A3168" s="1" t="n">
        <v>58201045</v>
      </c>
      <c r="B3168" s="1" t="inlineStr">
        <is>
          <t>Jelly sandwich, reduced sugar jelly, on wheat bread (Includes jam, marmalade, preserve, spreadable fruit, all fruit; all flavors; no sugar added, dietetic, fruit juice sweetened)</t>
        </is>
      </c>
      <c r="C3168" s="1" t="n">
        <v>4</v>
      </c>
      <c r="D3168" s="1" t="inlineStr">
        <is>
          <t>FNDDS recipe with replaced or modified SR codes</t>
        </is>
      </c>
      <c r="E3168" s="1" t="inlineStr">
        <is>
          <t>Base</t>
        </is>
      </c>
      <c r="F3168" s="1" t="n">
        <v>0.470613</v>
      </c>
    </row>
    <row r="3169" ht="15.75" customHeight="1" s="201">
      <c r="A3169" s="1" t="n">
        <v>58301050</v>
      </c>
      <c r="B3169" s="1" t="inlineStr">
        <is>
          <t>Lasagna with cheese and meat sauce, diet frozen meal (Includes Weight Watchers Lasagna with meat, tomato sauce, and cheese; Budget Gourmet Lasagna with Meat Sauce)</t>
        </is>
      </c>
      <c r="C3169" s="1" t="n">
        <v>1</v>
      </c>
      <c r="D3169" s="1" t="inlineStr">
        <is>
          <t>Links to FNDDS</t>
        </is>
      </c>
      <c r="E3169" s="1" t="inlineStr">
        <is>
          <t>Base</t>
        </is>
      </c>
      <c r="F3169" s="1" t="n">
        <v>0.920316</v>
      </c>
    </row>
    <row r="3170" ht="15.75" customHeight="1" s="201">
      <c r="A3170" s="1" t="n">
        <v>58302000</v>
      </c>
      <c r="B3170" s="1" t="inlineStr">
        <is>
          <t>Macaroni and cheese, diet frozen meal (Includes Lean Cuisine Macaroni and Cheese)</t>
        </is>
      </c>
      <c r="C3170" s="1" t="n">
        <v>1</v>
      </c>
      <c r="D3170" s="1" t="inlineStr">
        <is>
          <t>Links to FNDDS</t>
        </is>
      </c>
      <c r="E3170" s="1" t="inlineStr">
        <is>
          <t>Base</t>
        </is>
      </c>
      <c r="F3170" s="1" t="n">
        <v>1.09369</v>
      </c>
    </row>
    <row r="3171" ht="15.75" customHeight="1" s="201">
      <c r="A3171" s="1" t="n">
        <v>58302050</v>
      </c>
      <c r="B3171" s="1" t="inlineStr">
        <is>
          <t>Beef and noodles with meat sauce and cheese, diet frozen meal (Includes Weight Watchers Ziti Macaroni; Weight Watchers Pasta Rigatoni)</t>
        </is>
      </c>
      <c r="C3171" s="1" t="n">
        <v>1</v>
      </c>
      <c r="D3171" s="1" t="inlineStr">
        <is>
          <t>Links to FNDDS</t>
        </is>
      </c>
      <c r="E3171" s="1" t="inlineStr">
        <is>
          <t>Base</t>
        </is>
      </c>
      <c r="F3171" s="1" t="n">
        <v>0.892224</v>
      </c>
    </row>
    <row r="3172" ht="15.75" customHeight="1" s="201">
      <c r="A3172" s="1" t="n">
        <v>58302080</v>
      </c>
      <c r="B3172" s="1" t="inlineStr">
        <is>
          <t>Noodles with vegetables in tomato-based sauce, diet frozen meal (Includes Weight Watchers Angel Hair Pasta; Stouffer's Lean Cuisine Angel Hair Pasta)</t>
        </is>
      </c>
      <c r="C3172" s="1" t="n">
        <v>1</v>
      </c>
      <c r="D3172" s="1" t="inlineStr">
        <is>
          <t>Links to FNDDS</t>
        </is>
      </c>
      <c r="E3172" s="1" t="inlineStr">
        <is>
          <t>Base</t>
        </is>
      </c>
      <c r="F3172" s="1" t="n">
        <v>0.984241</v>
      </c>
    </row>
    <row r="3173" ht="15.75" customHeight="1" s="201">
      <c r="A3173" s="1" t="n">
        <v>58304010</v>
      </c>
      <c r="B3173" s="1" t="inlineStr">
        <is>
          <t>Spaghetti and meatballs dinner, NFS, frozen meal</t>
        </is>
      </c>
      <c r="C3173" s="1" t="n">
        <v>1</v>
      </c>
      <c r="D3173" s="1" t="inlineStr">
        <is>
          <t>Links to FNDDS</t>
        </is>
      </c>
      <c r="E3173" s="1" t="inlineStr">
        <is>
          <t>Base</t>
        </is>
      </c>
      <c r="F3173" s="1" t="n">
        <v>0.700785</v>
      </c>
    </row>
    <row r="3174" ht="15.75" customHeight="1" s="201">
      <c r="A3174" s="1" t="n">
        <v>58304060</v>
      </c>
      <c r="B3174" s="1" t="inlineStr">
        <is>
          <t>Spaghetti with meat sauce, diet frozen meal (Includes Weight Watchers Spaghetti with meat sauce)</t>
        </is>
      </c>
      <c r="C3174" s="1" t="n">
        <v>1</v>
      </c>
      <c r="D3174" s="1" t="inlineStr">
        <is>
          <t>Links to FNDDS</t>
        </is>
      </c>
      <c r="E3174" s="1" t="inlineStr">
        <is>
          <t>Base</t>
        </is>
      </c>
      <c r="F3174" s="1" t="n">
        <v>0.900747</v>
      </c>
    </row>
    <row r="3175" ht="15.75" customHeight="1" s="201">
      <c r="A3175" s="1" t="n">
        <v>58304200</v>
      </c>
      <c r="B3175" s="1" t="inlineStr">
        <is>
          <t>Ravioli, cheese-filled, with tomato sauce, diet frozen meal (Includes Weight Watchers Baked Cheese Ravioli)</t>
        </is>
      </c>
      <c r="C3175" s="1" t="n">
        <v>1</v>
      </c>
      <c r="D3175" s="1" t="inlineStr">
        <is>
          <t>Links to FNDDS</t>
        </is>
      </c>
      <c r="E3175" s="1" t="inlineStr">
        <is>
          <t>Base</t>
        </is>
      </c>
      <c r="F3175" s="1" t="n">
        <v>1.150036</v>
      </c>
    </row>
    <row r="3176" ht="15.75" customHeight="1" s="201">
      <c r="A3176" s="1" t="n">
        <v>58305250</v>
      </c>
      <c r="B3176" s="1" t="inlineStr">
        <is>
          <t>Pasta with vegetable and cheese sauce, diet frozen meal (Includes Weight Watchers Smart Ones Fettucini Alfredo with Broccoli)</t>
        </is>
      </c>
      <c r="C3176" s="1" t="n">
        <v>1</v>
      </c>
      <c r="D3176" s="1" t="inlineStr">
        <is>
          <t>Links to FNDDS</t>
        </is>
      </c>
      <c r="E3176" s="1" t="inlineStr">
        <is>
          <t>Base</t>
        </is>
      </c>
      <c r="F3176" s="1" t="n">
        <v>0.902054</v>
      </c>
    </row>
    <row r="3177" ht="15.75" customHeight="1" s="201">
      <c r="A3177" s="1" t="n">
        <v>58310310</v>
      </c>
      <c r="B3177" s="1" t="inlineStr">
        <is>
          <t>Pancakes and sausage, frozen meal (Includes Jimmy Dean Flapsticks; Aunt Jemima Great Starts)</t>
        </is>
      </c>
      <c r="C3177" s="1" t="n">
        <v>1</v>
      </c>
      <c r="D3177" s="1" t="inlineStr">
        <is>
          <t>Links to FNDDS</t>
        </is>
      </c>
      <c r="E3177" s="1" t="inlineStr">
        <is>
          <t>Base</t>
        </is>
      </c>
      <c r="F3177" s="1" t="n">
        <v>0.974773</v>
      </c>
    </row>
    <row r="3178" ht="15.75" customHeight="1" s="201">
      <c r="A3178" s="1" t="n">
        <v>58400000</v>
      </c>
      <c r="B3178" s="1" t="inlineStr">
        <is>
          <t>Soup, NFS</t>
        </is>
      </c>
      <c r="C3178" s="1" t="n">
        <v>2</v>
      </c>
      <c r="D3178" s="1" t="inlineStr">
        <is>
          <t>Links to altEC</t>
        </is>
      </c>
      <c r="E3178" s="1" t="inlineStr">
        <is>
          <t>Base</t>
        </is>
      </c>
      <c r="F3178" s="1" t="n">
        <v>0.26436</v>
      </c>
    </row>
    <row r="3179" ht="15.75" customHeight="1" s="201">
      <c r="A3179" s="1" t="n">
        <v>58400100</v>
      </c>
      <c r="B3179" s="1" t="inlineStr">
        <is>
          <t>Noodle soup, NFS</t>
        </is>
      </c>
      <c r="C3179" s="1" t="n">
        <v>2</v>
      </c>
      <c r="D3179" s="1" t="inlineStr">
        <is>
          <t>Links to altEC</t>
        </is>
      </c>
      <c r="E3179" s="1" t="inlineStr">
        <is>
          <t>Base</t>
        </is>
      </c>
      <c r="F3179" s="1" t="n">
        <v>0.165718</v>
      </c>
    </row>
    <row r="3180" ht="15.75" customHeight="1" s="201">
      <c r="A3180" s="1" t="n">
        <v>58401010</v>
      </c>
      <c r="B3180" s="1" t="inlineStr">
        <is>
          <t>Barley soup, home recipe, canned, or ready-to-serve (Includes beef barley; chicken barley; mushroom barley soup)</t>
        </is>
      </c>
      <c r="C3180" s="1" t="n">
        <v>1</v>
      </c>
      <c r="D3180" s="1" t="inlineStr">
        <is>
          <t>Links to FNDDS</t>
        </is>
      </c>
      <c r="E3180" s="1" t="inlineStr">
        <is>
          <t>Base</t>
        </is>
      </c>
      <c r="F3180" s="1" t="n">
        <v>0.354469</v>
      </c>
    </row>
    <row r="3181" ht="15.75" customHeight="1" s="201">
      <c r="A3181" s="1" t="n">
        <v>58402010</v>
      </c>
      <c r="B3181" s="1" t="inlineStr">
        <is>
          <t>Beef noodle soup, canned or ready-to-serve</t>
        </is>
      </c>
      <c r="C3181" s="1" t="n">
        <v>2</v>
      </c>
      <c r="D3181" s="1" t="inlineStr">
        <is>
          <t>Links to altEC</t>
        </is>
      </c>
      <c r="E3181" s="1" t="inlineStr">
        <is>
          <t>Base</t>
        </is>
      </c>
      <c r="F3181" s="1" t="n">
        <v>0.299453</v>
      </c>
    </row>
    <row r="3182" ht="15.75" customHeight="1" s="201">
      <c r="A3182" s="1" t="n">
        <v>58403010</v>
      </c>
      <c r="B3182" s="1" t="inlineStr">
        <is>
          <t>Chicken or turkey noodle soup, canned or ready-to-serve (Includes chicken and stars soup; chicken or turkey soup, NFS)</t>
        </is>
      </c>
      <c r="C3182" s="1" t="n">
        <v>2</v>
      </c>
      <c r="D3182" s="1" t="inlineStr">
        <is>
          <t>Links to altEC</t>
        </is>
      </c>
      <c r="E3182" s="1" t="inlineStr">
        <is>
          <t>Base</t>
        </is>
      </c>
      <c r="F3182" s="1" t="n">
        <v>0.299359</v>
      </c>
    </row>
    <row r="3183" ht="15.75" customHeight="1" s="201">
      <c r="A3183" s="1" t="n">
        <v>58403040</v>
      </c>
      <c r="B3183" s="1" t="inlineStr">
        <is>
          <t>Chicken or turkey noodle soup, home recipe</t>
        </is>
      </c>
      <c r="C3183" s="1" t="n">
        <v>2</v>
      </c>
      <c r="D3183" s="1" t="inlineStr">
        <is>
          <t>Links to altEC</t>
        </is>
      </c>
      <c r="E3183" s="1" t="inlineStr">
        <is>
          <t>Base</t>
        </is>
      </c>
      <c r="F3183" s="1" t="n">
        <v>0.299359</v>
      </c>
    </row>
    <row r="3184" ht="15.75" customHeight="1" s="201">
      <c r="A3184" s="1" t="n">
        <v>58403050</v>
      </c>
      <c r="B3184" s="1" t="inlineStr">
        <is>
          <t>Chicken or turkey noodle soup, cream of, home recipe, canned, or ready-to-serve</t>
        </is>
      </c>
      <c r="C3184" s="1" t="n">
        <v>1</v>
      </c>
      <c r="D3184" s="1" t="inlineStr">
        <is>
          <t>Links to FNDDS</t>
        </is>
      </c>
      <c r="E3184" s="1" t="inlineStr">
        <is>
          <t>Base</t>
        </is>
      </c>
      <c r="F3184" s="1" t="n">
        <v>0.340714</v>
      </c>
    </row>
    <row r="3185" ht="15.75" customHeight="1" s="201">
      <c r="A3185" s="1" t="n">
        <v>58403060</v>
      </c>
      <c r="B3185" s="1" t="inlineStr">
        <is>
          <t>Chicken or turkey noodle soup, reduced sodium, canned or ready-to-serve (Includes Campbell's Healthy Request, Select Harvest, and 25% less sodium varieties; Progresso Light and Reduced Sodium varieties)</t>
        </is>
      </c>
      <c r="C3185" s="1" t="n">
        <v>1</v>
      </c>
      <c r="D3185" s="1" t="inlineStr">
        <is>
          <t>Links to FNDDS</t>
        </is>
      </c>
      <c r="E3185" s="1" t="inlineStr">
        <is>
          <t>Base</t>
        </is>
      </c>
      <c r="F3185" s="1" t="n">
        <v>0.286103</v>
      </c>
    </row>
    <row r="3186" ht="15.75" customHeight="1" s="201">
      <c r="A3186" s="1" t="n">
        <v>58403100</v>
      </c>
      <c r="B3186" s="1" t="inlineStr">
        <is>
          <t>Noodle and potato soup, Puerto Rican style (Includes Sopa de Fideos y Papas)</t>
        </is>
      </c>
      <c r="C3186" s="1" t="n">
        <v>4</v>
      </c>
      <c r="D3186" s="1" t="inlineStr">
        <is>
          <t>FNDDS recipe with replaced or modified SR codes</t>
        </is>
      </c>
      <c r="E3186" s="1" t="inlineStr">
        <is>
          <t>Base</t>
        </is>
      </c>
      <c r="F3186" s="1" t="n">
        <v>0.151144</v>
      </c>
    </row>
    <row r="3187" ht="15.75" customHeight="1" s="201">
      <c r="A3187" s="1" t="n">
        <v>58404030</v>
      </c>
      <c r="B3187" s="1" t="inlineStr">
        <is>
          <t>Chicken or turkey rice soup, home recipe</t>
        </is>
      </c>
      <c r="C3187" s="1" t="n">
        <v>2</v>
      </c>
      <c r="D3187" s="1" t="inlineStr">
        <is>
          <t>Links to altEC</t>
        </is>
      </c>
      <c r="E3187" s="1" t="inlineStr">
        <is>
          <t>Base</t>
        </is>
      </c>
      <c r="F3187" s="1" t="n">
        <v>0.351978</v>
      </c>
    </row>
    <row r="3188" ht="15.75" customHeight="1" s="201">
      <c r="A3188" s="1" t="n">
        <v>58404100</v>
      </c>
      <c r="B3188" s="1" t="inlineStr">
        <is>
          <t>Rice and potato soup, Puerto Rican style (Includes Asopao con papas)</t>
        </is>
      </c>
      <c r="C3188" s="1" t="n">
        <v>4</v>
      </c>
      <c r="D3188" s="1" t="inlineStr">
        <is>
          <t>FNDDS recipe with replaced or modified SR codes</t>
        </is>
      </c>
      <c r="E3188" s="1" t="inlineStr">
        <is>
          <t>Base</t>
        </is>
      </c>
      <c r="F3188" s="1" t="n">
        <v>0.108725</v>
      </c>
    </row>
    <row r="3189" ht="15.75" customHeight="1" s="201">
      <c r="A3189" s="1" t="n">
        <v>58404520</v>
      </c>
      <c r="B3189" s="1" t="inlineStr">
        <is>
          <t>Chicken or turkey soup with dumplings, home recipe, canned or ready-to-serve</t>
        </is>
      </c>
      <c r="C3189" s="1" t="n">
        <v>1</v>
      </c>
      <c r="D3189" s="1" t="inlineStr">
        <is>
          <t>Links to FNDDS</t>
        </is>
      </c>
      <c r="E3189" s="1" t="inlineStr">
        <is>
          <t>Base</t>
        </is>
      </c>
      <c r="F3189" s="1" t="n">
        <v>0.346399</v>
      </c>
    </row>
    <row r="3190" ht="15.75" customHeight="1" s="201">
      <c r="A3190" s="1" t="n">
        <v>58407010</v>
      </c>
      <c r="B3190" s="1" t="inlineStr">
        <is>
          <t>Instant soup, noodle (Includes meat and/or vegetable flavors; Nutri-System Chicken Noodle Soup; instant soup, NFS; Campbell's dry soups)</t>
        </is>
      </c>
      <c r="C3190" s="1" t="n">
        <v>2</v>
      </c>
      <c r="D3190" s="1" t="inlineStr">
        <is>
          <t>Links to altEC</t>
        </is>
      </c>
      <c r="E3190" s="1" t="inlineStr">
        <is>
          <t>Base</t>
        </is>
      </c>
      <c r="F3190" s="1" t="n">
        <v>0.137084</v>
      </c>
    </row>
    <row r="3191" ht="15.75" customHeight="1" s="201">
      <c r="A3191" s="1" t="n">
        <v>58407030</v>
      </c>
      <c r="B3191" s="1" t="inlineStr">
        <is>
          <t>Soup, mostly noodles (Includes spaghetti or noodle soup; Top Ramen; Asian Noodle Soup; meat flavors; saimin soup; Oodles of Noodles; Cup Noodles; Maruchan Instant Lunch; Nissin noodle soups; Souper Meal)</t>
        </is>
      </c>
      <c r="C3191" s="1" t="n">
        <v>2</v>
      </c>
      <c r="D3191" s="1" t="inlineStr">
        <is>
          <t>Links to altEC</t>
        </is>
      </c>
      <c r="E3191" s="1" t="inlineStr">
        <is>
          <t>Base</t>
        </is>
      </c>
      <c r="F3191" s="1" t="n">
        <v>0.050352</v>
      </c>
    </row>
    <row r="3192" ht="15.75" customHeight="1" s="201">
      <c r="A3192" s="1" t="n">
        <v>58407035</v>
      </c>
      <c r="B3192" s="1" t="inlineStr">
        <is>
          <t>Soup, mostly noodles, reduced sodium (Includes 35% less sodium Ramen; Maruchan less sodium Ramen)</t>
        </is>
      </c>
      <c r="C3192" s="1" t="n">
        <v>2</v>
      </c>
      <c r="D3192" s="1" t="inlineStr">
        <is>
          <t>Links to altEC</t>
        </is>
      </c>
      <c r="E3192" s="1" t="inlineStr">
        <is>
          <t>Base</t>
        </is>
      </c>
      <c r="F3192" s="1" t="n">
        <v>0.050179</v>
      </c>
    </row>
    <row r="3193" ht="15.75" customHeight="1" s="201">
      <c r="A3193" s="1" t="n">
        <v>58408010</v>
      </c>
      <c r="B3193" s="1" t="inlineStr">
        <is>
          <t>Wonton soup (Includes Won ton)</t>
        </is>
      </c>
      <c r="C3193" s="1" t="n">
        <v>1</v>
      </c>
      <c r="D3193" s="1" t="inlineStr">
        <is>
          <t>Links to FNDDS</t>
        </is>
      </c>
      <c r="E3193" s="1" t="inlineStr">
        <is>
          <t>Base</t>
        </is>
      </c>
      <c r="F3193" s="1" t="n">
        <v>1.539973</v>
      </c>
    </row>
    <row r="3194" ht="15.75" customHeight="1" s="201">
      <c r="A3194" s="1" t="n">
        <v>58408500</v>
      </c>
      <c r="B3194" s="1" t="inlineStr">
        <is>
          <t>Noodle soup with vegetables, Asian style (Includes Chinese Soup Pai-Cue-Me)</t>
        </is>
      </c>
      <c r="C3194" s="1" t="n">
        <v>4</v>
      </c>
      <c r="D3194" s="1" t="inlineStr">
        <is>
          <t>FNDDS recipe with replaced or modified SR codes</t>
        </is>
      </c>
      <c r="E3194" s="1" t="inlineStr">
        <is>
          <t>Base</t>
        </is>
      </c>
      <c r="F3194" s="1" t="n">
        <v>0.489542</v>
      </c>
    </row>
    <row r="3195" ht="15.75" customHeight="1" s="201">
      <c r="A3195" s="1" t="n">
        <v>58409000</v>
      </c>
      <c r="B3195" s="1" t="inlineStr">
        <is>
          <t>Noodle soup, with fish ball, shrimp, and dark green leafy vegetable (Includes Chinese Seafood with Noodle Soup)</t>
        </is>
      </c>
      <c r="C3195" s="1" t="n">
        <v>4</v>
      </c>
      <c r="D3195" s="1" t="inlineStr">
        <is>
          <t>FNDDS recipe with replaced or modified SR codes</t>
        </is>
      </c>
      <c r="E3195" s="1" t="inlineStr">
        <is>
          <t>Base</t>
        </is>
      </c>
      <c r="F3195" s="1" t="n">
        <v>0.601536</v>
      </c>
    </row>
    <row r="3196" ht="15.75" customHeight="1" s="201">
      <c r="A3196" s="1" t="n">
        <v>58421010</v>
      </c>
      <c r="B3196" s="1" t="inlineStr">
        <is>
          <t>Sopa Seca de Fideo, Mexican style, made with dry noodles, home recipe</t>
        </is>
      </c>
      <c r="C3196" s="1" t="n">
        <v>2</v>
      </c>
      <c r="D3196" s="1" t="inlineStr">
        <is>
          <t>Links to altEC</t>
        </is>
      </c>
      <c r="E3196" s="1" t="inlineStr">
        <is>
          <t>Base</t>
        </is>
      </c>
      <c r="F3196" s="1" t="n">
        <v>0.585386</v>
      </c>
    </row>
    <row r="3197" ht="15.75" customHeight="1" s="201">
      <c r="A3197" s="1" t="n">
        <v>58421020</v>
      </c>
      <c r="B3197" s="1" t="inlineStr">
        <is>
          <t>Sopa de Fideo Aguada, Mexican style noodle soup, home recipe</t>
        </is>
      </c>
      <c r="C3197" s="1" t="n">
        <v>2</v>
      </c>
      <c r="D3197" s="1" t="inlineStr">
        <is>
          <t>Links to altEC</t>
        </is>
      </c>
      <c r="E3197" s="1" t="inlineStr">
        <is>
          <t>Base</t>
        </is>
      </c>
      <c r="F3197" s="1" t="n">
        <v>0.585386</v>
      </c>
    </row>
    <row r="3198" ht="15.75" customHeight="1" s="201">
      <c r="A3198" s="1" t="n">
        <v>59003000</v>
      </c>
      <c r="B3198" s="1" t="inlineStr">
        <is>
          <t>Meat substitute, cereal- and vegetable protein-based, fried (Includes sauteed; Seitan; vegetarian)</t>
        </is>
      </c>
      <c r="C3198" s="1" t="n">
        <v>1</v>
      </c>
      <c r="D3198" s="1" t="inlineStr">
        <is>
          <t>Links to FNDDS</t>
        </is>
      </c>
      <c r="E3198" s="1" t="inlineStr">
        <is>
          <t>Base</t>
        </is>
      </c>
      <c r="F3198" s="1" t="n">
        <v>1.995465</v>
      </c>
    </row>
    <row r="3199" ht="15.75" customHeight="1" s="201">
      <c r="A3199" s="1" t="n">
        <v>61100600</v>
      </c>
      <c r="B3199" s="1" t="inlineStr">
        <is>
          <t>Clementine, raw (Includes cutie; mandarin orange, raw)</t>
        </is>
      </c>
      <c r="C3199" s="1" t="n">
        <v>2</v>
      </c>
      <c r="D3199" s="1" t="inlineStr">
        <is>
          <t>Links to altEC</t>
        </is>
      </c>
      <c r="E3199" s="1" t="inlineStr">
        <is>
          <t>Base</t>
        </is>
      </c>
      <c r="F3199" s="1" t="n">
        <v>0.369438</v>
      </c>
    </row>
    <row r="3200" ht="15.75" customHeight="1" s="201">
      <c r="A3200" s="1" t="n">
        <v>61101010</v>
      </c>
      <c r="B3200" s="1" t="inlineStr">
        <is>
          <t>Grapefruit, raw (Includes grapefruit, NFS)</t>
        </is>
      </c>
      <c r="C3200" s="1" t="n">
        <v>1</v>
      </c>
      <c r="D3200" s="1" t="inlineStr">
        <is>
          <t>Links to FNDDS</t>
        </is>
      </c>
      <c r="E3200" s="1" t="inlineStr">
        <is>
          <t>Base</t>
        </is>
      </c>
      <c r="F3200" s="1" t="n">
        <v>0.49463</v>
      </c>
    </row>
    <row r="3201" ht="15.75" customHeight="1" s="201">
      <c r="A3201" s="1" t="n">
        <v>61113010</v>
      </c>
      <c r="B3201" s="1" t="inlineStr">
        <is>
          <t>Lemon, raw</t>
        </is>
      </c>
      <c r="C3201" s="1" t="n">
        <v>1</v>
      </c>
      <c r="D3201" s="1" t="inlineStr">
        <is>
          <t>Links to FNDDS</t>
        </is>
      </c>
      <c r="E3201" s="1" t="inlineStr">
        <is>
          <t>Base</t>
        </is>
      </c>
      <c r="F3201" s="1" t="n">
        <v>0.8382270000000001</v>
      </c>
    </row>
    <row r="3202" ht="15.75" customHeight="1" s="201">
      <c r="A3202" s="1" t="n">
        <v>61116010</v>
      </c>
      <c r="B3202" s="1" t="inlineStr">
        <is>
          <t>Lime, raw</t>
        </is>
      </c>
      <c r="C3202" s="1" t="n">
        <v>1</v>
      </c>
      <c r="D3202" s="1" t="inlineStr">
        <is>
          <t>Links to FNDDS</t>
        </is>
      </c>
      <c r="E3202" s="1" t="inlineStr">
        <is>
          <t>Base</t>
        </is>
      </c>
      <c r="F3202" s="1" t="n">
        <v>0.4208</v>
      </c>
    </row>
    <row r="3203" ht="15.75" customHeight="1" s="201">
      <c r="A3203" s="1" t="n">
        <v>61119010</v>
      </c>
      <c r="B3203" s="1" t="inlineStr">
        <is>
          <t>Orange, raw (Includes Orange, NFS)</t>
        </is>
      </c>
      <c r="C3203" s="1" t="n">
        <v>1</v>
      </c>
      <c r="D3203" s="1" t="inlineStr">
        <is>
          <t>Links to FNDDS</t>
        </is>
      </c>
      <c r="E3203" s="1" t="inlineStr">
        <is>
          <t>Base</t>
        </is>
      </c>
      <c r="F3203" s="1" t="n">
        <v>0.369438</v>
      </c>
    </row>
    <row r="3204" ht="15.75" customHeight="1" s="201">
      <c r="A3204" s="1" t="n">
        <v>61122300</v>
      </c>
      <c r="B3204" s="1" t="inlineStr">
        <is>
          <t>Orange, canned, NFS (Includes mandarin; mandarin orange, NFS)</t>
        </is>
      </c>
      <c r="C3204" s="1" t="n">
        <v>2</v>
      </c>
      <c r="D3204" s="1" t="inlineStr">
        <is>
          <t>Links to altEC</t>
        </is>
      </c>
      <c r="E3204" s="1" t="inlineStr">
        <is>
          <t>Base</t>
        </is>
      </c>
      <c r="F3204" s="1" t="n">
        <v>0.427141</v>
      </c>
    </row>
    <row r="3205" ht="15.75" customHeight="1" s="201">
      <c r="A3205" s="1" t="n">
        <v>61122320</v>
      </c>
      <c r="B3205" s="1" t="inlineStr">
        <is>
          <t>Orange, canned, juice pack (Includes mandarin; water pack; frozen)</t>
        </is>
      </c>
      <c r="C3205" s="1" t="n">
        <v>1</v>
      </c>
      <c r="D3205" s="1" t="inlineStr">
        <is>
          <t>Links to FNDDS</t>
        </is>
      </c>
      <c r="E3205" s="1" t="inlineStr">
        <is>
          <t>Base</t>
        </is>
      </c>
      <c r="F3205" s="1" t="n">
        <v>0.489436</v>
      </c>
    </row>
    <row r="3206" ht="15.75" customHeight="1" s="201">
      <c r="A3206" s="1" t="n">
        <v>61122330</v>
      </c>
      <c r="B3206" s="1" t="inlineStr">
        <is>
          <t>Orange, canned, in syrup (Includes mandarin)</t>
        </is>
      </c>
      <c r="C3206" s="1" t="n">
        <v>1</v>
      </c>
      <c r="D3206" s="1" t="inlineStr">
        <is>
          <t>Links to FNDDS</t>
        </is>
      </c>
      <c r="E3206" s="1" t="inlineStr">
        <is>
          <t>Base</t>
        </is>
      </c>
      <c r="F3206" s="1" t="n">
        <v>0.368786</v>
      </c>
    </row>
    <row r="3207" ht="15.75" customHeight="1" s="201">
      <c r="A3207" s="1" t="n">
        <v>61125010</v>
      </c>
      <c r="B3207" s="1" t="inlineStr">
        <is>
          <t>Tangerine, raw (Includes tangelo)</t>
        </is>
      </c>
      <c r="C3207" s="1" t="n">
        <v>1</v>
      </c>
      <c r="D3207" s="1" t="inlineStr">
        <is>
          <t>Links to FNDDS</t>
        </is>
      </c>
      <c r="E3207" s="1" t="inlineStr">
        <is>
          <t>Base</t>
        </is>
      </c>
      <c r="F3207" s="1" t="n">
        <v>0.442439</v>
      </c>
    </row>
    <row r="3208" ht="15.75" customHeight="1" s="201">
      <c r="A3208" s="1" t="n">
        <v>61201220</v>
      </c>
      <c r="B3208" s="1" t="inlineStr">
        <is>
          <t>Grapefruit juice, 100%, canned, bottled or in a carton (Includes Florida's Natural; Indian River; store brand; Simply Grapefruit)</t>
        </is>
      </c>
      <c r="C3208" s="1" t="n">
        <v>1</v>
      </c>
      <c r="D3208" s="1" t="inlineStr">
        <is>
          <t>Links to FNDDS</t>
        </is>
      </c>
      <c r="E3208" s="1" t="inlineStr">
        <is>
          <t>Base</t>
        </is>
      </c>
      <c r="F3208" s="1" t="n">
        <v>0.180317</v>
      </c>
    </row>
    <row r="3209" ht="15.75" customHeight="1" s="201">
      <c r="A3209" s="1" t="n">
        <v>61204000</v>
      </c>
      <c r="B3209" s="1" t="inlineStr">
        <is>
          <t>Lemon juice, 100%, NS as to form</t>
        </is>
      </c>
      <c r="C3209" s="1" t="n">
        <v>2</v>
      </c>
      <c r="D3209" s="1" t="inlineStr">
        <is>
          <t>Links to altEC</t>
        </is>
      </c>
      <c r="E3209" s="1" t="inlineStr">
        <is>
          <t>Base</t>
        </is>
      </c>
      <c r="F3209" s="1" t="n">
        <v>0.383257</v>
      </c>
    </row>
    <row r="3210" ht="15.75" customHeight="1" s="201">
      <c r="A3210" s="1" t="n">
        <v>61204010</v>
      </c>
      <c r="B3210" s="1" t="inlineStr">
        <is>
          <t>Lemon juice, 100%, freshly squeezed</t>
        </is>
      </c>
      <c r="C3210" s="1" t="n">
        <v>2</v>
      </c>
      <c r="D3210" s="1" t="inlineStr">
        <is>
          <t>Links to altEC</t>
        </is>
      </c>
      <c r="E3210" s="1" t="inlineStr">
        <is>
          <t>Base</t>
        </is>
      </c>
      <c r="F3210" s="1" t="n">
        <v>0.383257</v>
      </c>
    </row>
    <row r="3211" ht="15.75" customHeight="1" s="201">
      <c r="A3211" s="1" t="n">
        <v>61207000</v>
      </c>
      <c r="B3211" s="1" t="inlineStr">
        <is>
          <t>Lime juice, 100%, NS as to form</t>
        </is>
      </c>
      <c r="C3211" s="1" t="n">
        <v>2</v>
      </c>
      <c r="D3211" s="1" t="inlineStr">
        <is>
          <t>Links to altEC</t>
        </is>
      </c>
      <c r="E3211" s="1" t="inlineStr">
        <is>
          <t>Base</t>
        </is>
      </c>
      <c r="F3211" s="1" t="n">
        <v>0.613957</v>
      </c>
    </row>
    <row r="3212" ht="15.75" customHeight="1" s="201">
      <c r="A3212" s="1" t="n">
        <v>61207010</v>
      </c>
      <c r="B3212" s="1" t="inlineStr">
        <is>
          <t>Lime juice, 100%, freshly squeezed</t>
        </is>
      </c>
      <c r="C3212" s="1" t="n">
        <v>2</v>
      </c>
      <c r="D3212" s="1" t="inlineStr">
        <is>
          <t>Links to altEC</t>
        </is>
      </c>
      <c r="E3212" s="1" t="inlineStr">
        <is>
          <t>Base</t>
        </is>
      </c>
      <c r="F3212" s="1" t="n">
        <v>0.613957</v>
      </c>
    </row>
    <row r="3213" ht="15.75" customHeight="1" s="201">
      <c r="A3213" s="1" t="n">
        <v>61207200</v>
      </c>
      <c r="B3213" s="1" t="inlineStr">
        <is>
          <t>Lime juice, 100%, canned or bottled (Includes frozen; Real Lime)</t>
        </is>
      </c>
      <c r="C3213" s="1" t="n">
        <v>1</v>
      </c>
      <c r="D3213" s="1" t="inlineStr">
        <is>
          <t>Links to FNDDS</t>
        </is>
      </c>
      <c r="E3213" s="1" t="inlineStr">
        <is>
          <t>Base</t>
        </is>
      </c>
      <c r="F3213" s="1" t="n">
        <v>0.613957</v>
      </c>
    </row>
    <row r="3214" ht="15.75" customHeight="1" s="201">
      <c r="A3214" s="1" t="n">
        <v>61210000</v>
      </c>
      <c r="B3214" s="1" t="inlineStr">
        <is>
          <t>Orange juice, 100%, NFS</t>
        </is>
      </c>
      <c r="C3214" s="1" t="n">
        <v>2</v>
      </c>
      <c r="D3214" s="1" t="inlineStr">
        <is>
          <t>Links to altEC</t>
        </is>
      </c>
      <c r="E3214" s="1" t="inlineStr">
        <is>
          <t>Base</t>
        </is>
      </c>
      <c r="F3214" s="1" t="n">
        <v>0.180944</v>
      </c>
    </row>
    <row r="3215" ht="15.75" customHeight="1" s="201">
      <c r="A3215" s="1" t="n">
        <v>61210010</v>
      </c>
      <c r="B3215" s="1" t="inlineStr">
        <is>
          <t>Orange juice, 100%,  freshly squeezed</t>
        </is>
      </c>
      <c r="C3215" s="1" t="n">
        <v>2</v>
      </c>
      <c r="D3215" s="1" t="inlineStr">
        <is>
          <t>Links to altEC</t>
        </is>
      </c>
      <c r="E3215" s="1" t="inlineStr">
        <is>
          <t>Base</t>
        </is>
      </c>
      <c r="F3215" s="1" t="n">
        <v>0.180944</v>
      </c>
    </row>
    <row r="3216" ht="15.75" customHeight="1" s="201">
      <c r="A3216" s="1" t="n">
        <v>61210220</v>
      </c>
      <c r="B3216" s="1" t="inlineStr">
        <is>
          <t>Orange juice, 100%, canned, bottled or in a carton (Includes Minute Maid; Tropicana; Florida's Natural; Donald Duck; store brand; ready to drink; Simply Orange)</t>
        </is>
      </c>
      <c r="C3216" s="1" t="n">
        <v>1</v>
      </c>
      <c r="D3216" s="1" t="inlineStr">
        <is>
          <t>Links to FNDDS</t>
        </is>
      </c>
      <c r="E3216" s="1" t="inlineStr">
        <is>
          <t>Base</t>
        </is>
      </c>
      <c r="F3216" s="1" t="n">
        <v>0.18115</v>
      </c>
    </row>
    <row r="3217" ht="15.75" customHeight="1" s="201">
      <c r="A3217" s="1" t="n">
        <v>61210250</v>
      </c>
      <c r="B3217" s="1" t="inlineStr">
        <is>
          <t>Orange juice, 100%, with calcium added, canned, bottled or in a carton (Includes Tropicana; Minute Maid; Florida's Natural; Donald Duck; store brand; with calcium and vitamin D added; Simply Orange with Calcium)</t>
        </is>
      </c>
      <c r="C3217" s="1" t="n">
        <v>2</v>
      </c>
      <c r="D3217" s="1" t="inlineStr">
        <is>
          <t>Links to altEC</t>
        </is>
      </c>
      <c r="E3217" s="1" t="inlineStr">
        <is>
          <t>Base</t>
        </is>
      </c>
      <c r="F3217" s="1" t="n">
        <v>0.181187</v>
      </c>
    </row>
    <row r="3218" ht="15.75" customHeight="1" s="201">
      <c r="A3218" s="1" t="n">
        <v>61210620</v>
      </c>
      <c r="B3218" s="1" t="inlineStr">
        <is>
          <t>Orange juice, 100%, frozen, reconstituted (Includes reduced acid orange juice)</t>
        </is>
      </c>
      <c r="C3218" s="1" t="n">
        <v>2</v>
      </c>
      <c r="D3218" s="1" t="inlineStr">
        <is>
          <t>Links to altEC</t>
        </is>
      </c>
      <c r="E3218" s="1" t="inlineStr">
        <is>
          <t>Base</t>
        </is>
      </c>
      <c r="F3218" s="1" t="n">
        <v>0.154019</v>
      </c>
    </row>
    <row r="3219" ht="15.75" customHeight="1" s="201">
      <c r="A3219" s="1" t="n">
        <v>61210820</v>
      </c>
      <c r="B3219" s="1" t="inlineStr">
        <is>
          <t>Orange juice, 100%, with calcium added, frozen, reconstituted (Includes Minute Maid)</t>
        </is>
      </c>
      <c r="C3219" s="1" t="n">
        <v>2</v>
      </c>
      <c r="D3219" s="1" t="inlineStr">
        <is>
          <t>Links to altEC</t>
        </is>
      </c>
      <c r="E3219" s="1" t="inlineStr">
        <is>
          <t>Base</t>
        </is>
      </c>
      <c r="F3219" s="1" t="n">
        <v>0.154019</v>
      </c>
    </row>
    <row r="3220" ht="15.75" customHeight="1" s="201">
      <c r="A3220" s="1" t="n">
        <v>61213800</v>
      </c>
      <c r="B3220" s="1" t="inlineStr">
        <is>
          <t>Fruit juice blend, citrus, 100% juice (Includes with orange or grapefruit juices; Tropicana Tropics Juice Blends; Capri Sun 100% citrus blends; Snapple 100% Juiced)</t>
        </is>
      </c>
      <c r="C3220" s="1" t="n">
        <v>1</v>
      </c>
      <c r="D3220" s="1" t="inlineStr">
        <is>
          <t>Links to FNDDS</t>
        </is>
      </c>
      <c r="E3220" s="1" t="inlineStr">
        <is>
          <t>Base</t>
        </is>
      </c>
      <c r="F3220" s="1" t="n">
        <v>0.183221</v>
      </c>
    </row>
    <row r="3221" ht="15.75" customHeight="1" s="201">
      <c r="A3221" s="1" t="n">
        <v>62101050</v>
      </c>
      <c r="B3221" s="1" t="inlineStr">
        <is>
          <t>Fruit mixture, dried (Includes apples, apricots, dates, papaya, peaches, pears, pineapples, prunes, raisins; fruit, dried, NFS)</t>
        </is>
      </c>
      <c r="C3221" s="1" t="n">
        <v>2</v>
      </c>
      <c r="D3221" s="1" t="inlineStr">
        <is>
          <t>Links to altEC</t>
        </is>
      </c>
      <c r="E3221" s="1" t="inlineStr">
        <is>
          <t>Base</t>
        </is>
      </c>
      <c r="F3221" s="1" t="n">
        <v>1.415006</v>
      </c>
    </row>
    <row r="3222" ht="15.75" customHeight="1" s="201">
      <c r="A3222" s="1" t="n">
        <v>62101100</v>
      </c>
      <c r="B3222" s="1" t="inlineStr">
        <is>
          <t>Apple, dried (Includes apple chips)</t>
        </is>
      </c>
      <c r="C3222" s="1" t="n">
        <v>1</v>
      </c>
      <c r="D3222" s="1" t="inlineStr">
        <is>
          <t>Links to FNDDS</t>
        </is>
      </c>
      <c r="E3222" s="1" t="inlineStr">
        <is>
          <t>Base</t>
        </is>
      </c>
      <c r="F3222" s="1" t="n">
        <v>3.829239</v>
      </c>
    </row>
    <row r="3223" ht="15.75" customHeight="1" s="201">
      <c r="A3223" s="1" t="n">
        <v>62104100</v>
      </c>
      <c r="B3223" s="1" t="inlineStr">
        <is>
          <t>Apricot, dried</t>
        </is>
      </c>
      <c r="C3223" s="1" t="n">
        <v>1</v>
      </c>
      <c r="D3223" s="1" t="inlineStr">
        <is>
          <t>Links to FNDDS</t>
        </is>
      </c>
      <c r="E3223" s="1" t="inlineStr">
        <is>
          <t>Base</t>
        </is>
      </c>
      <c r="F3223" s="1" t="n">
        <v>1.547966</v>
      </c>
    </row>
    <row r="3224" ht="15.75" customHeight="1" s="201">
      <c r="A3224" s="1" t="n">
        <v>62105000</v>
      </c>
      <c r="B3224" s="1" t="inlineStr">
        <is>
          <t>Blueberries, dried</t>
        </is>
      </c>
      <c r="C3224" s="1" t="n">
        <v>1</v>
      </c>
      <c r="D3224" s="1" t="inlineStr">
        <is>
          <t>Links to FNDDS</t>
        </is>
      </c>
      <c r="E3224" s="1" t="inlineStr">
        <is>
          <t>Base</t>
        </is>
      </c>
      <c r="F3224" s="1" t="n">
        <v>3.311929</v>
      </c>
    </row>
    <row r="3225" ht="15.75" customHeight="1" s="201">
      <c r="A3225" s="1" t="n">
        <v>62106000</v>
      </c>
      <c r="B3225" s="1" t="inlineStr">
        <is>
          <t>Cherries, dried (Includes sweetened)</t>
        </is>
      </c>
      <c r="C3225" s="1" t="n">
        <v>1</v>
      </c>
      <c r="D3225" s="1" t="inlineStr">
        <is>
          <t>Links to FNDDS</t>
        </is>
      </c>
      <c r="E3225" s="1" t="inlineStr">
        <is>
          <t>Base</t>
        </is>
      </c>
      <c r="F3225" s="1" t="n">
        <v>2.554404</v>
      </c>
    </row>
    <row r="3226" ht="15.75" customHeight="1" s="201">
      <c r="A3226" s="1" t="n">
        <v>62107200</v>
      </c>
      <c r="B3226" s="1" t="inlineStr">
        <is>
          <t>Banana chips</t>
        </is>
      </c>
      <c r="C3226" s="1" t="n">
        <v>1</v>
      </c>
      <c r="D3226" s="1" t="inlineStr">
        <is>
          <t>Links to FNDDS</t>
        </is>
      </c>
      <c r="E3226" s="1" t="inlineStr">
        <is>
          <t>Base</t>
        </is>
      </c>
      <c r="F3226" s="1" t="n">
        <v>1.407253</v>
      </c>
    </row>
    <row r="3227" ht="15.75" customHeight="1" s="201">
      <c r="A3227" s="1" t="n">
        <v>62108100</v>
      </c>
      <c r="B3227" s="1" t="inlineStr">
        <is>
          <t>Currants, dried</t>
        </is>
      </c>
      <c r="C3227" s="1" t="n">
        <v>1</v>
      </c>
      <c r="D3227" s="1" t="inlineStr">
        <is>
          <t>Links to FNDDS</t>
        </is>
      </c>
      <c r="E3227" s="1" t="inlineStr">
        <is>
          <t>Base</t>
        </is>
      </c>
      <c r="F3227" s="1" t="n">
        <v>1.263675</v>
      </c>
    </row>
    <row r="3228" ht="15.75" customHeight="1" s="201">
      <c r="A3228" s="1" t="n">
        <v>62109100</v>
      </c>
      <c r="B3228" s="1" t="inlineStr">
        <is>
          <t>Cranberries, dried (Includes Craisins; cranberries, NFS; all flavors)</t>
        </is>
      </c>
      <c r="C3228" s="1" t="n">
        <v>1</v>
      </c>
      <c r="D3228" s="1" t="inlineStr">
        <is>
          <t>Links to FNDDS</t>
        </is>
      </c>
      <c r="E3228" s="1" t="inlineStr">
        <is>
          <t>Base</t>
        </is>
      </c>
      <c r="F3228" s="1" t="n">
        <v>1.137705</v>
      </c>
    </row>
    <row r="3229" ht="15.75" customHeight="1" s="201">
      <c r="A3229" s="1" t="n">
        <v>62110100</v>
      </c>
      <c r="B3229" s="1" t="inlineStr">
        <is>
          <t>Date</t>
        </is>
      </c>
      <c r="C3229" s="1" t="n">
        <v>1</v>
      </c>
      <c r="D3229" s="1" t="inlineStr">
        <is>
          <t>Links to FNDDS</t>
        </is>
      </c>
      <c r="E3229" s="1" t="inlineStr">
        <is>
          <t>Base</t>
        </is>
      </c>
      <c r="F3229" s="1" t="n">
        <v>1.278323</v>
      </c>
    </row>
    <row r="3230" ht="15.75" customHeight="1" s="201">
      <c r="A3230" s="1" t="n">
        <v>62113100</v>
      </c>
      <c r="B3230" s="1" t="inlineStr">
        <is>
          <t>Fig, dried</t>
        </is>
      </c>
      <c r="C3230" s="1" t="n">
        <v>1</v>
      </c>
      <c r="D3230" s="1" t="inlineStr">
        <is>
          <t>Links to FNDDS</t>
        </is>
      </c>
      <c r="E3230" s="1" t="inlineStr">
        <is>
          <t>Base</t>
        </is>
      </c>
      <c r="F3230" s="1" t="n">
        <v>1.391335</v>
      </c>
    </row>
    <row r="3231" ht="15.75" customHeight="1" s="201">
      <c r="A3231" s="1" t="n">
        <v>62114050</v>
      </c>
      <c r="B3231" s="1" t="inlineStr">
        <is>
          <t>Mango, dried</t>
        </is>
      </c>
      <c r="C3231" s="1" t="n">
        <v>1</v>
      </c>
      <c r="D3231" s="1" t="inlineStr">
        <is>
          <t>Links to FNDDS</t>
        </is>
      </c>
      <c r="E3231" s="1" t="inlineStr">
        <is>
          <t>Base</t>
        </is>
      </c>
      <c r="F3231" s="1" t="n">
        <v>2.727238</v>
      </c>
    </row>
    <row r="3232" ht="15.75" customHeight="1" s="201">
      <c r="A3232" s="1" t="n">
        <v>62120100</v>
      </c>
      <c r="B3232" s="1" t="inlineStr">
        <is>
          <t>Pineapple, dried</t>
        </is>
      </c>
      <c r="C3232" s="1" t="n">
        <v>1</v>
      </c>
      <c r="D3232" s="1" t="inlineStr">
        <is>
          <t>Links to FNDDS</t>
        </is>
      </c>
      <c r="E3232" s="1" t="inlineStr">
        <is>
          <t>Base</t>
        </is>
      </c>
      <c r="F3232" s="1" t="n">
        <v>1.550419</v>
      </c>
    </row>
    <row r="3233" ht="15.75" customHeight="1" s="201">
      <c r="A3233" s="1" t="n">
        <v>62122100</v>
      </c>
      <c r="B3233" s="1" t="inlineStr">
        <is>
          <t>Prune, dried (Includes dried plum)</t>
        </is>
      </c>
      <c r="C3233" s="1" t="n">
        <v>1</v>
      </c>
      <c r="D3233" s="1" t="inlineStr">
        <is>
          <t>Links to FNDDS</t>
        </is>
      </c>
      <c r="E3233" s="1" t="inlineStr">
        <is>
          <t>Base</t>
        </is>
      </c>
      <c r="F3233" s="1" t="n">
        <v>1.17326</v>
      </c>
    </row>
    <row r="3234" ht="15.75" customHeight="1" s="201">
      <c r="A3234" s="1" t="n">
        <v>62125100</v>
      </c>
      <c r="B3234" s="1" t="inlineStr">
        <is>
          <t>Raisins</t>
        </is>
      </c>
      <c r="C3234" s="1" t="n">
        <v>1</v>
      </c>
      <c r="D3234" s="1" t="inlineStr">
        <is>
          <t>Links to FNDDS</t>
        </is>
      </c>
      <c r="E3234" s="1" t="inlineStr">
        <is>
          <t>Base</t>
        </is>
      </c>
      <c r="F3234" s="1" t="n">
        <v>0.817244</v>
      </c>
    </row>
    <row r="3235" ht="15.75" customHeight="1" s="201">
      <c r="A3235" s="1" t="n">
        <v>62126000</v>
      </c>
      <c r="B3235" s="1" t="inlineStr">
        <is>
          <t>Tamarind, dried (Includes pulpitas)</t>
        </is>
      </c>
      <c r="C3235" s="1" t="n">
        <v>1</v>
      </c>
      <c r="D3235" s="1" t="inlineStr">
        <is>
          <t>Links to FNDDS</t>
        </is>
      </c>
      <c r="E3235" s="1" t="inlineStr">
        <is>
          <t>Base</t>
        </is>
      </c>
      <c r="F3235" s="1" t="n">
        <v>1.156588</v>
      </c>
    </row>
    <row r="3236" ht="15.75" customHeight="1" s="201">
      <c r="A3236" s="1" t="n">
        <v>63100100</v>
      </c>
      <c r="B3236" s="1" t="inlineStr">
        <is>
          <t>Fruit, NFS</t>
        </is>
      </c>
      <c r="C3236" s="1" t="n">
        <v>2</v>
      </c>
      <c r="D3236" s="1" t="inlineStr">
        <is>
          <t>Links to altEC</t>
        </is>
      </c>
      <c r="E3236" s="1" t="inlineStr">
        <is>
          <t>Base</t>
        </is>
      </c>
      <c r="F3236" s="1" t="n">
        <v>0.415086</v>
      </c>
    </row>
    <row r="3237" ht="15.75" customHeight="1" s="201">
      <c r="A3237" s="1" t="n">
        <v>63101000</v>
      </c>
      <c r="B3237" s="1" t="inlineStr">
        <is>
          <t>Apple, raw (Includes apple, NFS)</t>
        </is>
      </c>
      <c r="C3237" s="1" t="n">
        <v>2</v>
      </c>
      <c r="D3237" s="1" t="inlineStr">
        <is>
          <t>Links to altEC</t>
        </is>
      </c>
      <c r="E3237" s="1" t="inlineStr">
        <is>
          <t>Base</t>
        </is>
      </c>
      <c r="F3237" s="1" t="n">
        <v>0.40851</v>
      </c>
    </row>
    <row r="3238" ht="15.75" customHeight="1" s="201">
      <c r="A3238" s="1" t="n">
        <v>63101110</v>
      </c>
      <c r="B3238" s="1" t="inlineStr">
        <is>
          <t>Applesauce, regular (Includes applesauce, NFS)</t>
        </is>
      </c>
      <c r="C3238" s="1" t="n">
        <v>2</v>
      </c>
      <c r="D3238" s="1" t="inlineStr">
        <is>
          <t>Links to altEC</t>
        </is>
      </c>
      <c r="E3238" s="1" t="inlineStr">
        <is>
          <t>Base</t>
        </is>
      </c>
      <c r="F3238" s="1" t="n">
        <v>0.359182</v>
      </c>
    </row>
    <row r="3239" ht="15.75" customHeight="1" s="201">
      <c r="A3239" s="1" t="n">
        <v>63101120</v>
      </c>
      <c r="B3239" s="1" t="inlineStr">
        <is>
          <t>Applesauce, unsweetened</t>
        </is>
      </c>
      <c r="C3239" s="1" t="n">
        <v>1</v>
      </c>
      <c r="D3239" s="1" t="inlineStr">
        <is>
          <t>Links to FNDDS</t>
        </is>
      </c>
      <c r="E3239" s="1" t="inlineStr">
        <is>
          <t>Base</t>
        </is>
      </c>
      <c r="F3239" s="1" t="n">
        <v>0.327994</v>
      </c>
    </row>
    <row r="3240" ht="15.75" customHeight="1" s="201">
      <c r="A3240" s="1" t="n">
        <v>63101150</v>
      </c>
      <c r="B3240" s="1" t="inlineStr">
        <is>
          <t>Applesauce, flavored (Includes with other fruits)</t>
        </is>
      </c>
      <c r="C3240" s="1" t="n">
        <v>1</v>
      </c>
      <c r="D3240" s="1" t="inlineStr">
        <is>
          <t>Links to FNDDS</t>
        </is>
      </c>
      <c r="E3240" s="1" t="inlineStr">
        <is>
          <t>Base</t>
        </is>
      </c>
      <c r="F3240" s="1" t="n">
        <v>0.390391</v>
      </c>
    </row>
    <row r="3241" ht="15.75" customHeight="1" s="201">
      <c r="A3241" s="1" t="n">
        <v>63101210</v>
      </c>
      <c r="B3241" s="1" t="inlineStr">
        <is>
          <t>Apple pie filling (Includes pie filling, NFS; apples, canned)</t>
        </is>
      </c>
      <c r="C3241" s="1" t="n">
        <v>2</v>
      </c>
      <c r="D3241" s="1" t="inlineStr">
        <is>
          <t>Links to altEC</t>
        </is>
      </c>
      <c r="E3241" s="1" t="inlineStr">
        <is>
          <t>Base</t>
        </is>
      </c>
      <c r="F3241" s="1" t="n">
        <v>0.519034</v>
      </c>
    </row>
    <row r="3242" ht="15.75" customHeight="1" s="201">
      <c r="A3242" s="1" t="n">
        <v>63101310</v>
      </c>
      <c r="B3242" s="1" t="inlineStr">
        <is>
          <t>Apple, baked (Includes fried; cooked)</t>
        </is>
      </c>
      <c r="C3242" s="1" t="n">
        <v>1</v>
      </c>
      <c r="D3242" s="1" t="inlineStr">
        <is>
          <t>Links to FNDDS</t>
        </is>
      </c>
      <c r="E3242" s="1" t="inlineStr">
        <is>
          <t>Base</t>
        </is>
      </c>
      <c r="F3242" s="1" t="n">
        <v>0.609657</v>
      </c>
    </row>
    <row r="3243" ht="15.75" customHeight="1" s="201">
      <c r="A3243" s="1" t="n">
        <v>63103010</v>
      </c>
      <c r="B3243" s="1" t="inlineStr">
        <is>
          <t>Apricot, raw (Includes apricot, NFS)</t>
        </is>
      </c>
      <c r="C3243" s="1" t="n">
        <v>1</v>
      </c>
      <c r="D3243" s="1" t="inlineStr">
        <is>
          <t>Links to FNDDS</t>
        </is>
      </c>
      <c r="E3243" s="1" t="inlineStr">
        <is>
          <t>Base</t>
        </is>
      </c>
      <c r="F3243" s="1" t="n">
        <v>0.772217</v>
      </c>
    </row>
    <row r="3244" ht="15.75" customHeight="1" s="201">
      <c r="A3244" s="1" t="n">
        <v>63103110</v>
      </c>
      <c r="B3244" s="1" t="inlineStr">
        <is>
          <t>Apricot, canned</t>
        </is>
      </c>
      <c r="C3244" s="1" t="n">
        <v>1</v>
      </c>
      <c r="D3244" s="1" t="inlineStr">
        <is>
          <t>Links to FNDDS</t>
        </is>
      </c>
      <c r="E3244" s="1" t="inlineStr">
        <is>
          <t>Base</t>
        </is>
      </c>
      <c r="F3244" s="1" t="n">
        <v>0.400767</v>
      </c>
    </row>
    <row r="3245" ht="15.75" customHeight="1" s="201">
      <c r="A3245" s="1" t="n">
        <v>63105010</v>
      </c>
      <c r="B3245" s="1" t="inlineStr">
        <is>
          <t>Avocado, raw</t>
        </is>
      </c>
      <c r="C3245" s="1" t="n">
        <v>1</v>
      </c>
      <c r="D3245" s="1" t="inlineStr">
        <is>
          <t>Links to FNDDS</t>
        </is>
      </c>
      <c r="E3245" s="1" t="inlineStr">
        <is>
          <t>Base</t>
        </is>
      </c>
      <c r="F3245" s="1" t="n">
        <v>0.773366</v>
      </c>
    </row>
    <row r="3246" ht="15.75" customHeight="1" s="201">
      <c r="A3246" s="1" t="n">
        <v>63107010</v>
      </c>
      <c r="B3246" s="1" t="inlineStr">
        <is>
          <t>Banana, raw</t>
        </is>
      </c>
      <c r="C3246" s="1" t="n">
        <v>1</v>
      </c>
      <c r="D3246" s="1" t="inlineStr">
        <is>
          <t>Links to FNDDS</t>
        </is>
      </c>
      <c r="E3246" s="1" t="inlineStr">
        <is>
          <t>Base</t>
        </is>
      </c>
      <c r="F3246" s="1" t="n">
        <v>0.189998</v>
      </c>
    </row>
    <row r="3247" ht="15.75" customHeight="1" s="201">
      <c r="A3247" s="1" t="n">
        <v>63107410</v>
      </c>
      <c r="B3247" s="1" t="inlineStr">
        <is>
          <t>Banana, fried (Includes cooked)</t>
        </is>
      </c>
      <c r="C3247" s="1" t="n">
        <v>4</v>
      </c>
      <c r="D3247" s="1" t="inlineStr">
        <is>
          <t>FNDDS recipe with replaced or modified SR codes</t>
        </is>
      </c>
      <c r="E3247" s="1" t="inlineStr">
        <is>
          <t>Base</t>
        </is>
      </c>
      <c r="F3247" s="1" t="n">
        <v>0.251376</v>
      </c>
    </row>
    <row r="3248" ht="15.75" customHeight="1" s="201">
      <c r="A3248" s="1" t="n">
        <v>63109010</v>
      </c>
      <c r="B3248" s="1" t="inlineStr">
        <is>
          <t>Cantaloupe, raw (Includes melon, NFS; muskmelon)</t>
        </is>
      </c>
      <c r="C3248" s="1" t="n">
        <v>1</v>
      </c>
      <c r="D3248" s="1" t="inlineStr">
        <is>
          <t>Links to FNDDS</t>
        </is>
      </c>
      <c r="E3248" s="1" t="inlineStr">
        <is>
          <t>Base</t>
        </is>
      </c>
      <c r="F3248" s="1" t="n">
        <v>0.337119</v>
      </c>
    </row>
    <row r="3249" ht="15.75" customHeight="1" s="201">
      <c r="A3249" s="1" t="n">
        <v>63115010</v>
      </c>
      <c r="B3249" s="1" t="inlineStr">
        <is>
          <t>Cherries, raw (Includes cherries, NFS)</t>
        </is>
      </c>
      <c r="C3249" s="1" t="n">
        <v>1</v>
      </c>
      <c r="D3249" s="1" t="inlineStr">
        <is>
          <t>Links to FNDDS</t>
        </is>
      </c>
      <c r="E3249" s="1" t="inlineStr">
        <is>
          <t>Base</t>
        </is>
      </c>
      <c r="F3249" s="1" t="n">
        <v>0.709667</v>
      </c>
    </row>
    <row r="3250" ht="15.75" customHeight="1" s="201">
      <c r="A3250" s="1" t="n">
        <v>63115110</v>
      </c>
      <c r="B3250" s="1" t="inlineStr">
        <is>
          <t>Cherries, canned</t>
        </is>
      </c>
      <c r="C3250" s="1" t="n">
        <v>1</v>
      </c>
      <c r="D3250" s="1" t="inlineStr">
        <is>
          <t>Links to FNDDS</t>
        </is>
      </c>
      <c r="E3250" s="1" t="inlineStr">
        <is>
          <t>Base</t>
        </is>
      </c>
      <c r="F3250" s="1" t="n">
        <v>0.733422</v>
      </c>
    </row>
    <row r="3251" ht="15.75" customHeight="1" s="201">
      <c r="A3251" s="1" t="n">
        <v>63115200</v>
      </c>
      <c r="B3251" s="1" t="inlineStr">
        <is>
          <t>Cherries, frozen</t>
        </is>
      </c>
      <c r="C3251" s="1" t="n">
        <v>2</v>
      </c>
      <c r="D3251" s="1" t="inlineStr">
        <is>
          <t>Links to altEC</t>
        </is>
      </c>
      <c r="E3251" s="1" t="inlineStr">
        <is>
          <t>Base</t>
        </is>
      </c>
      <c r="F3251" s="1" t="n">
        <v>0.709667</v>
      </c>
    </row>
    <row r="3252" ht="15.75" customHeight="1" s="201">
      <c r="A3252" s="1" t="n">
        <v>63119010</v>
      </c>
      <c r="B3252" s="1" t="inlineStr">
        <is>
          <t>Fig, raw</t>
        </is>
      </c>
      <c r="C3252" s="1" t="n">
        <v>1</v>
      </c>
      <c r="D3252" s="1" t="inlineStr">
        <is>
          <t>Links to FNDDS</t>
        </is>
      </c>
      <c r="E3252" s="1" t="inlineStr">
        <is>
          <t>Base</t>
        </is>
      </c>
      <c r="F3252" s="1" t="n">
        <v>1.151187</v>
      </c>
    </row>
    <row r="3253" ht="15.75" customHeight="1" s="201">
      <c r="A3253" s="1" t="n">
        <v>63123000</v>
      </c>
      <c r="B3253" s="1" t="inlineStr">
        <is>
          <t>Grapes, raw</t>
        </is>
      </c>
      <c r="C3253" s="1" t="n">
        <v>1</v>
      </c>
      <c r="D3253" s="1" t="inlineStr">
        <is>
          <t>Links to FNDDS</t>
        </is>
      </c>
      <c r="E3253" s="1" t="inlineStr">
        <is>
          <t>Base</t>
        </is>
      </c>
      <c r="F3253" s="1" t="n">
        <v>0.495558</v>
      </c>
    </row>
    <row r="3254" ht="15.75" customHeight="1" s="201">
      <c r="A3254" s="1" t="n">
        <v>63125010</v>
      </c>
      <c r="B3254" s="1" t="inlineStr">
        <is>
          <t>Guava, raw</t>
        </is>
      </c>
      <c r="C3254" s="1" t="n">
        <v>1</v>
      </c>
      <c r="D3254" s="1" t="inlineStr">
        <is>
          <t>Links to FNDDS</t>
        </is>
      </c>
      <c r="E3254" s="1" t="inlineStr">
        <is>
          <t>Base</t>
        </is>
      </c>
      <c r="F3254" s="1" t="n">
        <v>0.6597499999999999</v>
      </c>
    </row>
    <row r="3255" ht="15.75" customHeight="1" s="201">
      <c r="A3255" s="1" t="n">
        <v>63126500</v>
      </c>
      <c r="B3255" s="1" t="inlineStr">
        <is>
          <t>Kiwi fruit, raw (Includes kiwifruit)</t>
        </is>
      </c>
      <c r="C3255" s="1" t="n">
        <v>1</v>
      </c>
      <c r="D3255" s="1" t="inlineStr">
        <is>
          <t>Links to FNDDS</t>
        </is>
      </c>
      <c r="E3255" s="1" t="inlineStr">
        <is>
          <t>Base</t>
        </is>
      </c>
      <c r="F3255" s="1" t="n">
        <v>0.710106</v>
      </c>
    </row>
    <row r="3256" ht="15.75" customHeight="1" s="201">
      <c r="A3256" s="1" t="n">
        <v>63127010</v>
      </c>
      <c r="B3256" s="1" t="inlineStr">
        <is>
          <t>Honeydew melon, raw</t>
        </is>
      </c>
      <c r="C3256" s="1" t="n">
        <v>1</v>
      </c>
      <c r="D3256" s="1" t="inlineStr">
        <is>
          <t>Links to FNDDS</t>
        </is>
      </c>
      <c r="E3256" s="1" t="inlineStr">
        <is>
          <t>Base</t>
        </is>
      </c>
      <c r="F3256" s="1" t="n">
        <v>0.48708</v>
      </c>
    </row>
    <row r="3257" ht="15.75" customHeight="1" s="201">
      <c r="A3257" s="1" t="n">
        <v>63129010</v>
      </c>
      <c r="B3257" s="1" t="inlineStr">
        <is>
          <t>Mango, raw (Includes Mango, NFS)</t>
        </is>
      </c>
      <c r="C3257" s="1" t="n">
        <v>1</v>
      </c>
      <c r="D3257" s="1" t="inlineStr">
        <is>
          <t>Links to FNDDS</t>
        </is>
      </c>
      <c r="E3257" s="1" t="inlineStr">
        <is>
          <t>Base</t>
        </is>
      </c>
      <c r="F3257" s="1" t="n">
        <v>0.489508</v>
      </c>
    </row>
    <row r="3258" ht="15.75" customHeight="1" s="201">
      <c r="A3258" s="1" t="n">
        <v>63129030</v>
      </c>
      <c r="B3258" s="1" t="inlineStr">
        <is>
          <t>Mango, canned</t>
        </is>
      </c>
      <c r="C3258" s="1" t="n">
        <v>1</v>
      </c>
      <c r="D3258" s="1" t="inlineStr">
        <is>
          <t>Links to FNDDS</t>
        </is>
      </c>
      <c r="E3258" s="1" t="inlineStr">
        <is>
          <t>Base</t>
        </is>
      </c>
      <c r="F3258" s="1" t="n">
        <v>0.7923480000000001</v>
      </c>
    </row>
    <row r="3259" ht="15.75" customHeight="1" s="201">
      <c r="A3259" s="1" t="n">
        <v>63131010</v>
      </c>
      <c r="B3259" s="1" t="inlineStr">
        <is>
          <t>Nectarine, raw</t>
        </is>
      </c>
      <c r="C3259" s="1" t="n">
        <v>1</v>
      </c>
      <c r="D3259" s="1" t="inlineStr">
        <is>
          <t>Links to FNDDS</t>
        </is>
      </c>
      <c r="E3259" s="1" t="inlineStr">
        <is>
          <t>Base</t>
        </is>
      </c>
      <c r="F3259" s="1" t="n">
        <v>0.495194</v>
      </c>
    </row>
    <row r="3260" ht="15.75" customHeight="1" s="201">
      <c r="A3260" s="1" t="n">
        <v>63133010</v>
      </c>
      <c r="B3260" s="1" t="inlineStr">
        <is>
          <t>Papaya, raw</t>
        </is>
      </c>
      <c r="C3260" s="1" t="n">
        <v>1</v>
      </c>
      <c r="D3260" s="1" t="inlineStr">
        <is>
          <t>Links to FNDDS</t>
        </is>
      </c>
      <c r="E3260" s="1" t="inlineStr">
        <is>
          <t>Base</t>
        </is>
      </c>
      <c r="F3260" s="1" t="n">
        <v>0.480464</v>
      </c>
    </row>
    <row r="3261" ht="15.75" customHeight="1" s="201">
      <c r="A3261" s="1" t="n">
        <v>63134010</v>
      </c>
      <c r="B3261" s="1" t="inlineStr">
        <is>
          <t>Passion fruit, raw</t>
        </is>
      </c>
      <c r="C3261" s="1" t="n">
        <v>1</v>
      </c>
      <c r="D3261" s="1" t="inlineStr">
        <is>
          <t>Links to FNDDS</t>
        </is>
      </c>
      <c r="E3261" s="1" t="inlineStr">
        <is>
          <t>Base</t>
        </is>
      </c>
      <c r="F3261" s="1" t="n">
        <v>0.785388</v>
      </c>
    </row>
    <row r="3262" ht="15.75" customHeight="1" s="201">
      <c r="A3262" s="1" t="n">
        <v>63135010</v>
      </c>
      <c r="B3262" s="1" t="inlineStr">
        <is>
          <t>Peach, raw (Includes peach, NFS)</t>
        </is>
      </c>
      <c r="C3262" s="1" t="n">
        <v>1</v>
      </c>
      <c r="D3262" s="1" t="inlineStr">
        <is>
          <t>Links to FNDDS</t>
        </is>
      </c>
      <c r="E3262" s="1" t="inlineStr">
        <is>
          <t>Base</t>
        </is>
      </c>
      <c r="F3262" s="1" t="n">
        <v>0.424326</v>
      </c>
    </row>
    <row r="3263" ht="15.75" customHeight="1" s="201">
      <c r="A3263" s="1" t="n">
        <v>63135140</v>
      </c>
      <c r="B3263" s="1" t="inlineStr">
        <is>
          <t>Peach, canned, in syrup</t>
        </is>
      </c>
      <c r="C3263" s="1" t="n">
        <v>1</v>
      </c>
      <c r="D3263" s="1" t="inlineStr">
        <is>
          <t>Links to FNDDS</t>
        </is>
      </c>
      <c r="E3263" s="1" t="inlineStr">
        <is>
          <t>Base</t>
        </is>
      </c>
      <c r="F3263" s="1" t="n">
        <v>0.337959</v>
      </c>
    </row>
    <row r="3264" ht="15.75" customHeight="1" s="201">
      <c r="A3264" s="1" t="n">
        <v>63135170</v>
      </c>
      <c r="B3264" s="1" t="inlineStr">
        <is>
          <t>Peach, canned, juice pack (Includes water pack)</t>
        </is>
      </c>
      <c r="C3264" s="1" t="n">
        <v>1</v>
      </c>
      <c r="D3264" s="1" t="inlineStr">
        <is>
          <t>Links to FNDDS</t>
        </is>
      </c>
      <c r="E3264" s="1" t="inlineStr">
        <is>
          <t>Base</t>
        </is>
      </c>
      <c r="F3264" s="1" t="n">
        <v>0.425351</v>
      </c>
    </row>
    <row r="3265" ht="15.75" customHeight="1" s="201">
      <c r="A3265" s="1" t="n">
        <v>63135620</v>
      </c>
      <c r="B3265" s="1" t="inlineStr">
        <is>
          <t>Peach, frozen</t>
        </is>
      </c>
      <c r="C3265" s="1" t="n">
        <v>1</v>
      </c>
      <c r="D3265" s="1" t="inlineStr">
        <is>
          <t>Links to FNDDS</t>
        </is>
      </c>
      <c r="E3265" s="1" t="inlineStr">
        <is>
          <t>Base</t>
        </is>
      </c>
      <c r="F3265" s="1" t="n">
        <v>0.739712</v>
      </c>
    </row>
    <row r="3266" ht="15.75" customHeight="1" s="201">
      <c r="A3266" s="1" t="n">
        <v>63137010</v>
      </c>
      <c r="B3266" s="1" t="inlineStr">
        <is>
          <t>Pear, raw (Includes pear, NFS)</t>
        </is>
      </c>
      <c r="C3266" s="1" t="n">
        <v>1</v>
      </c>
      <c r="D3266" s="1" t="inlineStr">
        <is>
          <t>Links to FNDDS</t>
        </is>
      </c>
      <c r="E3266" s="1" t="inlineStr">
        <is>
          <t>Base</t>
        </is>
      </c>
      <c r="F3266" s="1" t="n">
        <v>0.383553</v>
      </c>
    </row>
    <row r="3267" ht="15.75" customHeight="1" s="201">
      <c r="A3267" s="1" t="n">
        <v>63137140</v>
      </c>
      <c r="B3267" s="1" t="inlineStr">
        <is>
          <t>Pear, canned, in syrup</t>
        </is>
      </c>
      <c r="C3267" s="1" t="n">
        <v>1</v>
      </c>
      <c r="D3267" s="1" t="inlineStr">
        <is>
          <t>Links to FNDDS</t>
        </is>
      </c>
      <c r="E3267" s="1" t="inlineStr">
        <is>
          <t>Base</t>
        </is>
      </c>
      <c r="F3267" s="1" t="n">
        <v>0.345648</v>
      </c>
    </row>
    <row r="3268" ht="15.75" customHeight="1" s="201">
      <c r="A3268" s="1" t="n">
        <v>63137170</v>
      </c>
      <c r="B3268" s="1" t="inlineStr">
        <is>
          <t>Pear, canned, juice pack (Includes water pack; frozen)</t>
        </is>
      </c>
      <c r="C3268" s="1" t="n">
        <v>2</v>
      </c>
      <c r="D3268" s="1" t="inlineStr">
        <is>
          <t>Links to altEC</t>
        </is>
      </c>
      <c r="E3268" s="1" t="inlineStr">
        <is>
          <t>Base</t>
        </is>
      </c>
      <c r="F3268" s="1" t="n">
        <v>0.409537</v>
      </c>
    </row>
    <row r="3269" ht="15.75" customHeight="1" s="201">
      <c r="A3269" s="1" t="n">
        <v>63139010</v>
      </c>
      <c r="B3269" s="1" t="inlineStr">
        <is>
          <t>Persimmon, raw</t>
        </is>
      </c>
      <c r="C3269" s="1" t="n">
        <v>1</v>
      </c>
      <c r="D3269" s="1" t="inlineStr">
        <is>
          <t>Links to FNDDS</t>
        </is>
      </c>
      <c r="E3269" s="1" t="inlineStr">
        <is>
          <t>Base</t>
        </is>
      </c>
      <c r="F3269" s="1" t="n">
        <v>0.356133</v>
      </c>
    </row>
    <row r="3270" ht="15.75" customHeight="1" s="201">
      <c r="A3270" s="1" t="n">
        <v>63141010</v>
      </c>
      <c r="B3270" s="1" t="inlineStr">
        <is>
          <t>Pineapple, raw (Includes pineapple, NFS)</t>
        </is>
      </c>
      <c r="C3270" s="1" t="n">
        <v>1</v>
      </c>
      <c r="D3270" s="1" t="inlineStr">
        <is>
          <t>Links to FNDDS</t>
        </is>
      </c>
      <c r="E3270" s="1" t="inlineStr">
        <is>
          <t>Base</t>
        </is>
      </c>
      <c r="F3270" s="1" t="n">
        <v>0.468533</v>
      </c>
    </row>
    <row r="3271" ht="15.75" customHeight="1" s="201">
      <c r="A3271" s="1" t="n">
        <v>63141110</v>
      </c>
      <c r="B3271" s="1" t="inlineStr">
        <is>
          <t>Pineapple, canned, NFS</t>
        </is>
      </c>
      <c r="C3271" s="1" t="n">
        <v>2</v>
      </c>
      <c r="D3271" s="1" t="inlineStr">
        <is>
          <t>Links to altEC</t>
        </is>
      </c>
      <c r="E3271" s="1" t="inlineStr">
        <is>
          <t>Base</t>
        </is>
      </c>
      <c r="F3271" s="1" t="n">
        <v>0.271543</v>
      </c>
    </row>
    <row r="3272" ht="15.75" customHeight="1" s="201">
      <c r="A3272" s="1" t="n">
        <v>63141140</v>
      </c>
      <c r="B3272" s="1" t="inlineStr">
        <is>
          <t>Pineapple, canned, in syrup</t>
        </is>
      </c>
      <c r="C3272" s="1" t="n">
        <v>1</v>
      </c>
      <c r="D3272" s="1" t="inlineStr">
        <is>
          <t>Links to FNDDS</t>
        </is>
      </c>
      <c r="E3272" s="1" t="inlineStr">
        <is>
          <t>Base</t>
        </is>
      </c>
      <c r="F3272" s="1" t="n">
        <v>0.25826</v>
      </c>
    </row>
    <row r="3273" ht="15.75" customHeight="1" s="201">
      <c r="A3273" s="1" t="n">
        <v>63141170</v>
      </c>
      <c r="B3273" s="1" t="inlineStr">
        <is>
          <t>Pineapple, canned, juice pack (Includes water pack)</t>
        </is>
      </c>
      <c r="C3273" s="1" t="n">
        <v>1</v>
      </c>
      <c r="D3273" s="1" t="inlineStr">
        <is>
          <t>Links to FNDDS</t>
        </is>
      </c>
      <c r="E3273" s="1" t="inlineStr">
        <is>
          <t>Base</t>
        </is>
      </c>
      <c r="F3273" s="1" t="n">
        <v>0.26963</v>
      </c>
    </row>
    <row r="3274" ht="15.75" customHeight="1" s="201">
      <c r="A3274" s="1" t="n">
        <v>63143010</v>
      </c>
      <c r="B3274" s="1" t="inlineStr">
        <is>
          <t>Plum, raw (Includes plum, NFS)</t>
        </is>
      </c>
      <c r="C3274" s="1" t="n">
        <v>1</v>
      </c>
      <c r="D3274" s="1" t="inlineStr">
        <is>
          <t>Links to FNDDS</t>
        </is>
      </c>
      <c r="E3274" s="1" t="inlineStr">
        <is>
          <t>Base</t>
        </is>
      </c>
      <c r="F3274" s="1" t="n">
        <v>0.497493</v>
      </c>
    </row>
    <row r="3275" ht="15.75" customHeight="1" s="201">
      <c r="A3275" s="1" t="n">
        <v>63145010</v>
      </c>
      <c r="B3275" s="1" t="inlineStr">
        <is>
          <t>Pomegranate, raw</t>
        </is>
      </c>
      <c r="C3275" s="1" t="n">
        <v>1</v>
      </c>
      <c r="D3275" s="1" t="inlineStr">
        <is>
          <t>Links to FNDDS</t>
        </is>
      </c>
      <c r="E3275" s="1" t="inlineStr">
        <is>
          <t>Base</t>
        </is>
      </c>
      <c r="F3275" s="1" t="n">
        <v>1.28677</v>
      </c>
    </row>
    <row r="3276" ht="15.75" customHeight="1" s="201">
      <c r="A3276" s="1" t="n">
        <v>63147110</v>
      </c>
      <c r="B3276" s="1" t="inlineStr">
        <is>
          <t>Rhubarb (Includes rhubarb sauce)</t>
        </is>
      </c>
      <c r="C3276" s="1" t="n">
        <v>4</v>
      </c>
      <c r="D3276" s="1" t="inlineStr">
        <is>
          <t>FNDDS recipe with replaced or modified SR codes</t>
        </is>
      </c>
      <c r="E3276" s="1" t="inlineStr">
        <is>
          <t>Base</t>
        </is>
      </c>
      <c r="F3276" s="1" t="n">
        <v>0.901549</v>
      </c>
    </row>
    <row r="3277" ht="15.75" customHeight="1" s="201">
      <c r="A3277" s="1" t="n">
        <v>63149010</v>
      </c>
      <c r="B3277" s="1" t="inlineStr">
        <is>
          <t>Watermelon, raw</t>
        </is>
      </c>
      <c r="C3277" s="1" t="n">
        <v>1</v>
      </c>
      <c r="D3277" s="1" t="inlineStr">
        <is>
          <t>Links to FNDDS</t>
        </is>
      </c>
      <c r="E3277" s="1" t="inlineStr">
        <is>
          <t>Base</t>
        </is>
      </c>
      <c r="F3277" s="1" t="n">
        <v>0.223994</v>
      </c>
    </row>
    <row r="3278" ht="15.75" customHeight="1" s="201">
      <c r="A3278" s="1" t="n">
        <v>63200100</v>
      </c>
      <c r="B3278" s="1" t="inlineStr">
        <is>
          <t>Berries, NFS (Includes berries, frozen; mixed berries)</t>
        </is>
      </c>
      <c r="C3278" s="1" t="n">
        <v>2</v>
      </c>
      <c r="D3278" s="1" t="inlineStr">
        <is>
          <t>Links to altEC</t>
        </is>
      </c>
      <c r="E3278" s="1" t="inlineStr">
        <is>
          <t>Base</t>
        </is>
      </c>
      <c r="F3278" s="1" t="n">
        <v>0.8261269999999999</v>
      </c>
    </row>
    <row r="3279" ht="15.75" customHeight="1" s="201">
      <c r="A3279" s="1" t="n">
        <v>63201010</v>
      </c>
      <c r="B3279" s="1" t="inlineStr">
        <is>
          <t>Blackberries, raw (Includes boysenberries; dewberries; loganberries; youngberries; blackberries, NFS)</t>
        </is>
      </c>
      <c r="C3279" s="1" t="n">
        <v>1</v>
      </c>
      <c r="D3279" s="1" t="inlineStr">
        <is>
          <t>Links to FNDDS</t>
        </is>
      </c>
      <c r="E3279" s="1" t="inlineStr">
        <is>
          <t>Base</t>
        </is>
      </c>
      <c r="F3279" s="1" t="n">
        <v>1.392896</v>
      </c>
    </row>
    <row r="3280" ht="15.75" customHeight="1" s="201">
      <c r="A3280" s="1" t="n">
        <v>63203010</v>
      </c>
      <c r="B3280" s="1" t="inlineStr">
        <is>
          <t>Blueberries, raw (Includes blueberries, NFS)</t>
        </is>
      </c>
      <c r="C3280" s="1" t="n">
        <v>1</v>
      </c>
      <c r="D3280" s="1" t="inlineStr">
        <is>
          <t>Links to FNDDS</t>
        </is>
      </c>
      <c r="E3280" s="1" t="inlineStr">
        <is>
          <t>Base</t>
        </is>
      </c>
      <c r="F3280" s="1" t="n">
        <v>1.104237</v>
      </c>
    </row>
    <row r="3281" ht="15.75" customHeight="1" s="201">
      <c r="A3281" s="1" t="n">
        <v>63203110</v>
      </c>
      <c r="B3281" s="1" t="inlineStr">
        <is>
          <t>Bluberries, canned</t>
        </is>
      </c>
      <c r="C3281" s="1" t="n">
        <v>1</v>
      </c>
      <c r="D3281" s="1" t="inlineStr">
        <is>
          <t>Links to FNDDS</t>
        </is>
      </c>
      <c r="E3281" s="1" t="inlineStr">
        <is>
          <t>Base</t>
        </is>
      </c>
      <c r="F3281" s="1" t="n">
        <v>1.253476</v>
      </c>
    </row>
    <row r="3282" ht="15.75" customHeight="1" s="201">
      <c r="A3282" s="1" t="n">
        <v>63203600</v>
      </c>
      <c r="B3282" s="1" t="inlineStr">
        <is>
          <t>Blueberries, frozen</t>
        </is>
      </c>
      <c r="C3282" s="1" t="n">
        <v>1</v>
      </c>
      <c r="D3282" s="1" t="inlineStr">
        <is>
          <t>Links to FNDDS</t>
        </is>
      </c>
      <c r="E3282" s="1" t="inlineStr">
        <is>
          <t>Base</t>
        </is>
      </c>
      <c r="F3282" s="1" t="n">
        <v>0.779278</v>
      </c>
    </row>
    <row r="3283" ht="15.75" customHeight="1" s="201">
      <c r="A3283" s="1" t="n">
        <v>63207010</v>
      </c>
      <c r="B3283" s="1" t="inlineStr">
        <is>
          <t>Cranberries, raw</t>
        </is>
      </c>
      <c r="C3283" s="1" t="n">
        <v>1</v>
      </c>
      <c r="D3283" s="1" t="inlineStr">
        <is>
          <t>Links to FNDDS</t>
        </is>
      </c>
      <c r="E3283" s="1" t="inlineStr">
        <is>
          <t>Base</t>
        </is>
      </c>
      <c r="F3283" s="1" t="n">
        <v>0.600932</v>
      </c>
    </row>
    <row r="3284" ht="15.75" customHeight="1" s="201">
      <c r="A3284" s="1" t="n">
        <v>63207110</v>
      </c>
      <c r="B3284" s="1" t="inlineStr">
        <is>
          <t>Cranberry sauce (Includes jellied; whole berry; canned; relish)</t>
        </is>
      </c>
      <c r="C3284" s="1" t="n">
        <v>1</v>
      </c>
      <c r="D3284" s="1" t="inlineStr">
        <is>
          <t>Links to FNDDS</t>
        </is>
      </c>
      <c r="E3284" s="1" t="inlineStr">
        <is>
          <t>Base</t>
        </is>
      </c>
      <c r="F3284" s="1" t="n">
        <v>0.377231</v>
      </c>
    </row>
    <row r="3285" ht="15.75" customHeight="1" s="201">
      <c r="A3285" s="1" t="n">
        <v>63219000</v>
      </c>
      <c r="B3285" s="1" t="inlineStr">
        <is>
          <t>Raspberries, raw (Includes raspberries, NFS)</t>
        </is>
      </c>
      <c r="C3285" s="1" t="n">
        <v>1</v>
      </c>
      <c r="D3285" s="1" t="inlineStr">
        <is>
          <t>Links to FNDDS</t>
        </is>
      </c>
      <c r="E3285" s="1" t="inlineStr">
        <is>
          <t>Base</t>
        </is>
      </c>
      <c r="F3285" s="1" t="n">
        <v>1.746899</v>
      </c>
    </row>
    <row r="3286" ht="15.75" customHeight="1" s="201">
      <c r="A3286" s="1" t="n">
        <v>63219610</v>
      </c>
      <c r="B3286" s="1" t="inlineStr">
        <is>
          <t>Raspberries, frozen</t>
        </is>
      </c>
      <c r="C3286" s="1" t="n">
        <v>1</v>
      </c>
      <c r="D3286" s="1" t="inlineStr">
        <is>
          <t>Links to FNDDS</t>
        </is>
      </c>
      <c r="E3286" s="1" t="inlineStr">
        <is>
          <t>Base</t>
        </is>
      </c>
      <c r="F3286" s="1" t="n">
        <v>1.072749</v>
      </c>
    </row>
    <row r="3287" ht="15.75" customHeight="1" s="201">
      <c r="A3287" s="1" t="n">
        <v>63223020</v>
      </c>
      <c r="B3287" s="1" t="inlineStr">
        <is>
          <t>Strawberries, raw (Includes strawberries, NFS)</t>
        </is>
      </c>
      <c r="C3287" s="1" t="n">
        <v>1</v>
      </c>
      <c r="D3287" s="1" t="inlineStr">
        <is>
          <t>Links to FNDDS</t>
        </is>
      </c>
      <c r="E3287" s="1" t="inlineStr">
        <is>
          <t>Base</t>
        </is>
      </c>
      <c r="F3287" s="1" t="n">
        <v>0.600141</v>
      </c>
    </row>
    <row r="3288" ht="15.75" customHeight="1" s="201">
      <c r="A3288" s="1" t="n">
        <v>63223110</v>
      </c>
      <c r="B3288" s="1" t="inlineStr">
        <is>
          <t>Strawberries, canned</t>
        </is>
      </c>
      <c r="C3288" s="1" t="n">
        <v>1</v>
      </c>
      <c r="D3288" s="1" t="inlineStr">
        <is>
          <t>Links to FNDDS</t>
        </is>
      </c>
      <c r="E3288" s="1" t="inlineStr">
        <is>
          <t>Base</t>
        </is>
      </c>
      <c r="F3288" s="1" t="n">
        <v>0.375291</v>
      </c>
    </row>
    <row r="3289" ht="15.75" customHeight="1" s="201">
      <c r="A3289" s="1" t="n">
        <v>63223610</v>
      </c>
      <c r="B3289" s="1" t="inlineStr">
        <is>
          <t>Strawberries, frozen</t>
        </is>
      </c>
      <c r="C3289" s="1" t="n">
        <v>1</v>
      </c>
      <c r="D3289" s="1" t="inlineStr">
        <is>
          <t>Links to FNDDS</t>
        </is>
      </c>
      <c r="E3289" s="1" t="inlineStr">
        <is>
          <t>Base</t>
        </is>
      </c>
      <c r="F3289" s="1" t="n">
        <v>0.635174</v>
      </c>
    </row>
    <row r="3290" ht="15.75" customHeight="1" s="201">
      <c r="A3290" s="1" t="n">
        <v>63301010</v>
      </c>
      <c r="B3290" s="1" t="inlineStr">
        <is>
          <t>Ambrosia</t>
        </is>
      </c>
      <c r="C3290" s="1" t="n">
        <v>2</v>
      </c>
      <c r="D3290" s="1" t="inlineStr">
        <is>
          <t>Links to altEC</t>
        </is>
      </c>
      <c r="E3290" s="1" t="inlineStr">
        <is>
          <t>Base</t>
        </is>
      </c>
      <c r="F3290" s="1" t="n">
        <v>2.626405</v>
      </c>
    </row>
    <row r="3291" ht="15.75" customHeight="1" s="201">
      <c r="A3291" s="1" t="n">
        <v>63311000</v>
      </c>
      <c r="B3291" s="1" t="inlineStr">
        <is>
          <t>Fruit salad, fresh or raw,  excluding citrus fruits, no dressing (Includes without oranges, grapefruit, tangerines, clementines or other citrus fruits; fruit salad, NFS; with nuts; fruit mix, raw; without oranges, grapefruit, tangerines, clementines, or other citrus fruit)</t>
        </is>
      </c>
      <c r="C3291" s="1" t="n">
        <v>4</v>
      </c>
      <c r="D3291" s="1" t="inlineStr">
        <is>
          <t>FNDDS recipe with replaced or modified SR codes</t>
        </is>
      </c>
      <c r="E3291" s="1" t="inlineStr">
        <is>
          <t>Base</t>
        </is>
      </c>
      <c r="F3291" s="1" t="n">
        <v>0.385783</v>
      </c>
    </row>
    <row r="3292" ht="15.75" customHeight="1" s="201">
      <c r="A3292" s="1" t="n">
        <v>63311110</v>
      </c>
      <c r="B3292" s="1" t="inlineStr">
        <is>
          <t>Fruit cocktail, canned, NFS (Includes canned fruit, NFS; fruit cocktail, NFS; canned fruit salad)</t>
        </is>
      </c>
      <c r="C3292" s="1" t="n">
        <v>2</v>
      </c>
      <c r="D3292" s="1" t="inlineStr">
        <is>
          <t>Links to altEC</t>
        </is>
      </c>
      <c r="E3292" s="1" t="inlineStr">
        <is>
          <t>Base</t>
        </is>
      </c>
      <c r="F3292" s="1" t="n">
        <v>0.507538</v>
      </c>
    </row>
    <row r="3293" ht="15.75" customHeight="1" s="201">
      <c r="A3293" s="1" t="n">
        <v>63311140</v>
      </c>
      <c r="B3293" s="1" t="inlineStr">
        <is>
          <t>Fruit cocktail, canned, in syrup (Includes canned fruit salad)</t>
        </is>
      </c>
      <c r="C3293" s="1" t="n">
        <v>1</v>
      </c>
      <c r="D3293" s="1" t="inlineStr">
        <is>
          <t>Links to FNDDS</t>
        </is>
      </c>
      <c r="E3293" s="1" t="inlineStr">
        <is>
          <t>Base</t>
        </is>
      </c>
      <c r="F3293" s="1" t="n">
        <v>0.53255</v>
      </c>
    </row>
    <row r="3294" ht="15.75" customHeight="1" s="201">
      <c r="A3294" s="1" t="n">
        <v>63311170</v>
      </c>
      <c r="B3294" s="1" t="inlineStr">
        <is>
          <t>Fruit cocktail, canned, juice pack (Includes water pack; canned fruit salad)</t>
        </is>
      </c>
      <c r="C3294" s="1" t="n">
        <v>1</v>
      </c>
      <c r="D3294" s="1" t="inlineStr">
        <is>
          <t>Links to FNDDS</t>
        </is>
      </c>
      <c r="E3294" s="1" t="inlineStr">
        <is>
          <t>Base</t>
        </is>
      </c>
      <c r="F3294" s="1" t="n">
        <v>0.495536</v>
      </c>
    </row>
    <row r="3295" ht="15.75" customHeight="1" s="201">
      <c r="A3295" s="1" t="n">
        <v>63311180</v>
      </c>
      <c r="B3295" s="1" t="inlineStr">
        <is>
          <t>Fruit mixture, frozen (Includes all fruits; melon)</t>
        </is>
      </c>
      <c r="C3295" s="1" t="n">
        <v>1</v>
      </c>
      <c r="D3295" s="1" t="inlineStr">
        <is>
          <t>Links to FNDDS</t>
        </is>
      </c>
      <c r="E3295" s="1" t="inlineStr">
        <is>
          <t>Base</t>
        </is>
      </c>
      <c r="F3295" s="1" t="n">
        <v>0.58347</v>
      </c>
    </row>
    <row r="3296" ht="15.75" customHeight="1" s="201">
      <c r="A3296" s="1" t="n">
        <v>63401010</v>
      </c>
      <c r="B3296" s="1" t="inlineStr">
        <is>
          <t>Apple salad with dressing (Includes Waldorf salad; fruit and nut salad with apples, celery and walnuts)</t>
        </is>
      </c>
      <c r="C3296" s="1" t="n">
        <v>1</v>
      </c>
      <c r="D3296" s="1" t="inlineStr">
        <is>
          <t>Links to FNDDS</t>
        </is>
      </c>
      <c r="E3296" s="1" t="inlineStr">
        <is>
          <t>Base</t>
        </is>
      </c>
      <c r="F3296" s="1" t="n">
        <v>2.626405</v>
      </c>
    </row>
    <row r="3297" ht="15.75" customHeight="1" s="201">
      <c r="A3297" s="1" t="n">
        <v>63401060</v>
      </c>
      <c r="B3297" s="1" t="inlineStr">
        <is>
          <t>Apple, candied (Includes caramel apples)</t>
        </is>
      </c>
      <c r="C3297" s="1" t="n">
        <v>1</v>
      </c>
      <c r="D3297" s="1" t="inlineStr">
        <is>
          <t>Links to FNDDS</t>
        </is>
      </c>
      <c r="E3297" s="1" t="inlineStr">
        <is>
          <t>Base</t>
        </is>
      </c>
      <c r="F3297" s="1" t="n">
        <v>0.958359</v>
      </c>
    </row>
    <row r="3298" ht="15.75" customHeight="1" s="201">
      <c r="A3298" s="1" t="n">
        <v>63401070</v>
      </c>
      <c r="B3298" s="1" t="inlineStr">
        <is>
          <t>Fruit, chocolate covered (Includes strawberries; banana; apple; pineapple)</t>
        </is>
      </c>
      <c r="C3298" s="1" t="n">
        <v>1</v>
      </c>
      <c r="D3298" s="1" t="inlineStr">
        <is>
          <t>Links to FNDDS</t>
        </is>
      </c>
      <c r="E3298" s="1" t="inlineStr">
        <is>
          <t>Base</t>
        </is>
      </c>
      <c r="F3298" s="1" t="n">
        <v>0.8955419999999999</v>
      </c>
    </row>
    <row r="3299" ht="15.75" customHeight="1" s="201">
      <c r="A3299" s="1" t="n">
        <v>63402950</v>
      </c>
      <c r="B3299" s="1" t="inlineStr">
        <is>
          <t>Fruit salad, excluding citrus fruits, with salad dressing or mayonnaise (Includes with nuts; pear salad with dressing)</t>
        </is>
      </c>
      <c r="C3299" s="1" t="n">
        <v>4</v>
      </c>
      <c r="D3299" s="1" t="inlineStr">
        <is>
          <t>FNDDS recipe with replaced or modified SR codes</t>
        </is>
      </c>
      <c r="E3299" s="1" t="inlineStr">
        <is>
          <t>Base</t>
        </is>
      </c>
      <c r="F3299" s="1" t="n">
        <v>0.506919</v>
      </c>
    </row>
    <row r="3300" ht="15.75" customHeight="1" s="201">
      <c r="A3300" s="1" t="n">
        <v>63402960</v>
      </c>
      <c r="B3300" s="1" t="inlineStr">
        <is>
          <t>Fruit salad, excluding citrus fruits, with whipped cream (Includes with nuts; made with cream, sour cream or yogurt)</t>
        </is>
      </c>
      <c r="C3300" s="1" t="n">
        <v>4</v>
      </c>
      <c r="D3300" s="1" t="inlineStr">
        <is>
          <t>FNDDS recipe with replaced or modified SR codes</t>
        </is>
      </c>
      <c r="E3300" s="1" t="inlineStr">
        <is>
          <t>Base</t>
        </is>
      </c>
      <c r="F3300" s="1" t="n">
        <v>0.529783</v>
      </c>
    </row>
    <row r="3301" ht="15.75" customHeight="1" s="201">
      <c r="A3301" s="1" t="n">
        <v>63402970</v>
      </c>
      <c r="B3301" s="1" t="inlineStr">
        <is>
          <t>Fruit salad, excluding citrus fruits, with nondairy whipped topping (Includes with nuts; cream substitute)</t>
        </is>
      </c>
      <c r="C3301" s="1" t="n">
        <v>4</v>
      </c>
      <c r="D3301" s="1" t="inlineStr">
        <is>
          <t>FNDDS recipe with replaced or modified SR codes</t>
        </is>
      </c>
      <c r="E3301" s="1" t="inlineStr">
        <is>
          <t>Base</t>
        </is>
      </c>
      <c r="F3301" s="1" t="n">
        <v>0.527953</v>
      </c>
    </row>
    <row r="3302" ht="15.75" customHeight="1" s="201">
      <c r="A3302" s="1" t="n">
        <v>63402980</v>
      </c>
      <c r="B3302" s="1" t="inlineStr">
        <is>
          <t>Fruit salad, excluding citrus fruits, with marshmallows (Includes with nuts)</t>
        </is>
      </c>
      <c r="C3302" s="1" t="n">
        <v>4</v>
      </c>
      <c r="D3302" s="1" t="inlineStr">
        <is>
          <t>FNDDS recipe with replaced or modified SR codes</t>
        </is>
      </c>
      <c r="E3302" s="1" t="inlineStr">
        <is>
          <t>Base</t>
        </is>
      </c>
      <c r="F3302" s="1" t="n">
        <v>0.509421</v>
      </c>
    </row>
    <row r="3303" ht="15.75" customHeight="1" s="201">
      <c r="A3303" s="1" t="n">
        <v>63409010</v>
      </c>
      <c r="B3303" s="1" t="inlineStr">
        <is>
          <t>Guacamole, NFS (Includes avocado dip, NFS; guacamole without tomatoes)</t>
        </is>
      </c>
      <c r="C3303" s="1" t="n">
        <v>2</v>
      </c>
      <c r="D3303" s="1" t="inlineStr">
        <is>
          <t>Links to altEC</t>
        </is>
      </c>
      <c r="E3303" s="1" t="inlineStr">
        <is>
          <t>Base</t>
        </is>
      </c>
      <c r="F3303" s="1" t="n">
        <v>1.270818</v>
      </c>
    </row>
    <row r="3304" ht="15.75" customHeight="1" s="201">
      <c r="A3304" s="1" t="n">
        <v>63409015</v>
      </c>
      <c r="B3304" s="1" t="inlineStr">
        <is>
          <t>Guacamole with tomatoes (Includes avocado dip with tomatoes)</t>
        </is>
      </c>
      <c r="C3304" s="1" t="n">
        <v>1</v>
      </c>
      <c r="D3304" s="1" t="inlineStr">
        <is>
          <t>Links to FNDDS</t>
        </is>
      </c>
      <c r="E3304" s="1" t="inlineStr">
        <is>
          <t>Base</t>
        </is>
      </c>
      <c r="F3304" s="1" t="n">
        <v>1.361909</v>
      </c>
    </row>
    <row r="3305" ht="15.75" customHeight="1" s="201">
      <c r="A3305" s="1" t="n">
        <v>63409020</v>
      </c>
      <c r="B3305" s="1" t="inlineStr">
        <is>
          <t>Chutney (Includes fruit chutney)</t>
        </is>
      </c>
      <c r="C3305" s="1" t="n">
        <v>1</v>
      </c>
      <c r="D3305" s="1" t="inlineStr">
        <is>
          <t>Links to FNDDS</t>
        </is>
      </c>
      <c r="E3305" s="1" t="inlineStr">
        <is>
          <t>Base</t>
        </is>
      </c>
      <c r="F3305" s="1" t="n">
        <v>1.603002</v>
      </c>
    </row>
    <row r="3306" ht="15.75" customHeight="1" s="201">
      <c r="A3306" s="1" t="n">
        <v>63415100</v>
      </c>
      <c r="B3306" s="1" t="inlineStr">
        <is>
          <t>Soup, fruit (Includes made with all types of fruit)</t>
        </is>
      </c>
      <c r="C3306" s="1" t="n">
        <v>4</v>
      </c>
      <c r="D3306" s="1" t="inlineStr">
        <is>
          <t>FNDDS recipe with replaced or modified SR codes</t>
        </is>
      </c>
      <c r="E3306" s="1" t="inlineStr">
        <is>
          <t>Base</t>
        </is>
      </c>
      <c r="F3306" s="1" t="n">
        <v>0.375297</v>
      </c>
    </row>
    <row r="3307" ht="15.75" customHeight="1" s="201">
      <c r="A3307" s="1" t="n">
        <v>63420105</v>
      </c>
      <c r="B3307" s="1" t="inlineStr">
        <is>
          <t>Frozen fruit juice bar (Includes all flavors; frozen fruit bar; NS as to type)</t>
        </is>
      </c>
      <c r="C3307" s="1" t="n">
        <v>1</v>
      </c>
      <c r="D3307" s="1" t="inlineStr">
        <is>
          <t>Links to FNDDS</t>
        </is>
      </c>
      <c r="E3307" s="1" t="inlineStr">
        <is>
          <t>Base</t>
        </is>
      </c>
      <c r="F3307" s="1" t="n">
        <v>0.640516</v>
      </c>
    </row>
    <row r="3308" ht="15.75" customHeight="1" s="201">
      <c r="A3308" s="1" t="n">
        <v>63430150</v>
      </c>
      <c r="B3308" s="1" t="inlineStr">
        <is>
          <t>Sorbet (Includes all flavors, sorbet bars)</t>
        </is>
      </c>
      <c r="C3308" s="1" t="n">
        <v>1</v>
      </c>
      <c r="D3308" s="1" t="inlineStr">
        <is>
          <t>Links to FNDDS</t>
        </is>
      </c>
      <c r="E3308" s="1" t="inlineStr">
        <is>
          <t>Base</t>
        </is>
      </c>
      <c r="F3308" s="1" t="n">
        <v>0.928786</v>
      </c>
    </row>
    <row r="3309" ht="15.75" customHeight="1" s="201">
      <c r="A3309" s="1" t="n">
        <v>64100100</v>
      </c>
      <c r="B3309" s="1" t="inlineStr">
        <is>
          <t>Fruit juice, NFS (Includes juice, NFS)</t>
        </is>
      </c>
      <c r="C3309" s="1" t="n">
        <v>2</v>
      </c>
      <c r="D3309" s="1" t="inlineStr">
        <is>
          <t>Links to altEC</t>
        </is>
      </c>
      <c r="E3309" s="1" t="inlineStr">
        <is>
          <t>Base</t>
        </is>
      </c>
      <c r="F3309" s="1" t="n">
        <v>0.187061</v>
      </c>
    </row>
    <row r="3310" ht="15.75" customHeight="1" s="201">
      <c r="A3310" s="1" t="n">
        <v>64100110</v>
      </c>
      <c r="B3310" s="1" t="inlineStr">
        <is>
          <t>Fruit juice blend, 100% juice (Includes Juicy Juice blends; Welch's 100% juice blends; Capri Sun 100% juice blends; Apple and Eve 100% juice blends; Snapple 100% Juiced)</t>
        </is>
      </c>
      <c r="C3310" s="1" t="n">
        <v>1</v>
      </c>
      <c r="D3310" s="1" t="inlineStr">
        <is>
          <t>Links to FNDDS</t>
        </is>
      </c>
      <c r="E3310" s="1" t="inlineStr">
        <is>
          <t>Base</t>
        </is>
      </c>
      <c r="F3310" s="1" t="n">
        <v>0.181681</v>
      </c>
    </row>
    <row r="3311" ht="15.75" customHeight="1" s="201">
      <c r="A3311" s="1" t="n">
        <v>64100200</v>
      </c>
      <c r="B3311" s="1" t="inlineStr">
        <is>
          <t>Cranberry juice blend, 100% juice (Includes Ocean Spray 100% Juice Blends, all flavors; "cranberry juice, 100% juice")</t>
        </is>
      </c>
      <c r="C3311" s="1" t="n">
        <v>1</v>
      </c>
      <c r="D3311" s="1" t="inlineStr">
        <is>
          <t>Links to FNDDS</t>
        </is>
      </c>
      <c r="E3311" s="1" t="inlineStr">
        <is>
          <t>Base</t>
        </is>
      </c>
      <c r="F3311" s="1" t="n">
        <v>0.16265</v>
      </c>
    </row>
    <row r="3312" ht="15.75" customHeight="1" s="201">
      <c r="A3312" s="1" t="n">
        <v>64100220</v>
      </c>
      <c r="B3312" s="1" t="inlineStr">
        <is>
          <t>Cranberry juice blend, 100% juice, with calcium added (Includes Apple and Eve Calcium Fortified Cranberry Juice; "cranberry juice, 100% juice, with calcium")</t>
        </is>
      </c>
      <c r="C3312" s="1" t="n">
        <v>2</v>
      </c>
      <c r="D3312" s="1" t="inlineStr">
        <is>
          <t>Links to altEC</t>
        </is>
      </c>
      <c r="E3312" s="1" t="inlineStr">
        <is>
          <t>Base</t>
        </is>
      </c>
      <c r="F3312" s="1" t="n">
        <v>0.201508</v>
      </c>
    </row>
    <row r="3313" ht="15.75" customHeight="1" s="201">
      <c r="A3313" s="1" t="n">
        <v>64101010</v>
      </c>
      <c r="B3313" s="1" t="inlineStr">
        <is>
          <t>Apple cider (Includes cider, NFS; sparkling cider)</t>
        </is>
      </c>
      <c r="C3313" s="1" t="n">
        <v>1</v>
      </c>
      <c r="D3313" s="1" t="inlineStr">
        <is>
          <t>Links to FNDDS</t>
        </is>
      </c>
      <c r="E3313" s="1" t="inlineStr">
        <is>
          <t>Base</t>
        </is>
      </c>
      <c r="F3313" s="1" t="n">
        <v>0.12683</v>
      </c>
    </row>
    <row r="3314" ht="15.75" customHeight="1" s="201">
      <c r="A3314" s="1" t="n">
        <v>64104010</v>
      </c>
      <c r="B3314" s="1" t="inlineStr">
        <is>
          <t>Apple juice, 100% (Includes Mott's; Musselman's; Simply Apple; Seneca; Apple and Eve; store brands)</t>
        </is>
      </c>
      <c r="C3314" s="1" t="n">
        <v>1</v>
      </c>
      <c r="D3314" s="1" t="inlineStr">
        <is>
          <t>Links to FNDDS</t>
        </is>
      </c>
      <c r="E3314" s="1" t="inlineStr">
        <is>
          <t>Base</t>
        </is>
      </c>
      <c r="F3314" s="1" t="n">
        <v>0.140095</v>
      </c>
    </row>
    <row r="3315" ht="15.75" customHeight="1" s="201">
      <c r="A3315" s="1" t="n">
        <v>64104030</v>
      </c>
      <c r="B3315" s="1" t="inlineStr">
        <is>
          <t>Apple juice, 100%, with calcium added (Includes Minute Maid Apple Juice; Apple and Eve with calcium; Musselman's with calcium; Mott's Plus)</t>
        </is>
      </c>
      <c r="C3315" s="1" t="n">
        <v>2</v>
      </c>
      <c r="D3315" s="1" t="inlineStr">
        <is>
          <t>Links to altEC</t>
        </is>
      </c>
      <c r="E3315" s="1" t="inlineStr">
        <is>
          <t>Base</t>
        </is>
      </c>
      <c r="F3315" s="1" t="n">
        <v>0.137942</v>
      </c>
    </row>
    <row r="3316" ht="15.75" customHeight="1" s="201">
      <c r="A3316" s="1" t="n">
        <v>64116020</v>
      </c>
      <c r="B3316" s="1" t="inlineStr">
        <is>
          <t>Grape juice, 100% (Includes Welch's; Seneca; Langers; 100% grape juice blends)</t>
        </is>
      </c>
      <c r="C3316" s="1" t="n">
        <v>1</v>
      </c>
      <c r="D3316" s="1" t="inlineStr">
        <is>
          <t>Links to FNDDS</t>
        </is>
      </c>
      <c r="E3316" s="1" t="inlineStr">
        <is>
          <t>Base</t>
        </is>
      </c>
      <c r="F3316" s="1" t="n">
        <v>0.177171</v>
      </c>
    </row>
    <row r="3317" ht="15.75" customHeight="1" s="201">
      <c r="A3317" s="1" t="n">
        <v>64116060</v>
      </c>
      <c r="B3317" s="1" t="inlineStr">
        <is>
          <t>Grape juice, 100%, with calcium added (Includes Welch's; Apple and Eve; Langers Plus)</t>
        </is>
      </c>
      <c r="C3317" s="1" t="n">
        <v>2</v>
      </c>
      <c r="D3317" s="1" t="inlineStr">
        <is>
          <t>Links to altEC</t>
        </is>
      </c>
      <c r="E3317" s="1" t="inlineStr">
        <is>
          <t>Base</t>
        </is>
      </c>
      <c r="F3317" s="1" t="n">
        <v>0.177171</v>
      </c>
    </row>
    <row r="3318" ht="15.75" customHeight="1" s="201">
      <c r="A3318" s="1" t="n">
        <v>64124020</v>
      </c>
      <c r="B3318" s="1" t="inlineStr">
        <is>
          <t>Pineapple juice, 100%</t>
        </is>
      </c>
      <c r="C3318" s="1" t="n">
        <v>1</v>
      </c>
      <c r="D3318" s="1" t="inlineStr">
        <is>
          <t>Links to FNDDS</t>
        </is>
      </c>
      <c r="E3318" s="1" t="inlineStr">
        <is>
          <t>Base</t>
        </is>
      </c>
      <c r="F3318" s="1" t="n">
        <v>0.201507</v>
      </c>
    </row>
    <row r="3319" ht="15.75" customHeight="1" s="201">
      <c r="A3319" s="1" t="n">
        <v>64126000</v>
      </c>
      <c r="B3319" s="1" t="inlineStr">
        <is>
          <t>Pomegranate juice, 100% (Includes "POM, all flavors")</t>
        </is>
      </c>
      <c r="C3319" s="1" t="n">
        <v>1</v>
      </c>
      <c r="D3319" s="1" t="inlineStr">
        <is>
          <t>Links to FNDDS</t>
        </is>
      </c>
      <c r="E3319" s="1" t="inlineStr">
        <is>
          <t>Base</t>
        </is>
      </c>
      <c r="F3319" s="1" t="n">
        <v>0.606084</v>
      </c>
    </row>
    <row r="3320" ht="15.75" customHeight="1" s="201">
      <c r="A3320" s="1" t="n">
        <v>64132010</v>
      </c>
      <c r="B3320" s="1" t="inlineStr">
        <is>
          <t>Prune juice, 100%</t>
        </is>
      </c>
      <c r="C3320" s="1" t="n">
        <v>1</v>
      </c>
      <c r="D3320" s="1" t="inlineStr">
        <is>
          <t>Links to FNDDS</t>
        </is>
      </c>
      <c r="E3320" s="1" t="inlineStr">
        <is>
          <t>Base</t>
        </is>
      </c>
      <c r="F3320" s="1" t="n">
        <v>0.304369</v>
      </c>
    </row>
    <row r="3321" ht="15.75" customHeight="1" s="201">
      <c r="A3321" s="1" t="n">
        <v>64134015</v>
      </c>
      <c r="B3321" s="1" t="inlineStr">
        <is>
          <t>Fruit smoothie, with whole fruit, no dairy</t>
        </is>
      </c>
      <c r="C3321" s="1" t="n">
        <v>4</v>
      </c>
      <c r="D3321" s="1" t="inlineStr">
        <is>
          <t>FNDDS recipe with replaced or modified SR codes</t>
        </is>
      </c>
      <c r="E3321" s="1" t="inlineStr">
        <is>
          <t>Base</t>
        </is>
      </c>
      <c r="F3321" s="1" t="n">
        <v>0.420277</v>
      </c>
    </row>
    <row r="3322" ht="15.75" customHeight="1" s="201">
      <c r="A3322" s="1" t="n">
        <v>64134020</v>
      </c>
      <c r="B3322" s="1" t="inlineStr">
        <is>
          <t>Fruit smoothie, with whole fruit, no dairy, added protein</t>
        </is>
      </c>
      <c r="C3322" s="1" t="n">
        <v>4</v>
      </c>
      <c r="D3322" s="1" t="inlineStr">
        <is>
          <t>FNDDS recipe with replaced or modified SR codes</t>
        </is>
      </c>
      <c r="E3322" s="1" t="inlineStr">
        <is>
          <t>Base</t>
        </is>
      </c>
      <c r="F3322" s="1" t="n">
        <v>0.487663</v>
      </c>
    </row>
    <row r="3323" ht="15.75" customHeight="1" s="201">
      <c r="A3323" s="1" t="n">
        <v>64134025</v>
      </c>
      <c r="B3323" s="1" t="inlineStr">
        <is>
          <t>Fruit smoothie, with whole fruit, non-dairy (Includes almond, coconut, rice, or soy milk)</t>
        </is>
      </c>
      <c r="C3323" s="1" t="n">
        <v>1</v>
      </c>
      <c r="D3323" s="1" t="inlineStr">
        <is>
          <t>Links to FNDDS</t>
        </is>
      </c>
      <c r="E3323" s="1" t="inlineStr">
        <is>
          <t>Base</t>
        </is>
      </c>
      <c r="F3323" s="1" t="n">
        <v>0.673197</v>
      </c>
    </row>
    <row r="3324" ht="15.75" customHeight="1" s="201">
      <c r="A3324" s="1" t="n">
        <v>64134030</v>
      </c>
      <c r="B3324" s="1" t="inlineStr">
        <is>
          <t>Fruit smoothie juice drink, no dairy</t>
        </is>
      </c>
      <c r="C3324" s="1" t="n">
        <v>2</v>
      </c>
      <c r="D3324" s="1" t="inlineStr">
        <is>
          <t>Links to altEC</t>
        </is>
      </c>
      <c r="E3324" s="1" t="inlineStr">
        <is>
          <t>Base</t>
        </is>
      </c>
      <c r="F3324" s="1" t="n">
        <v>0.447597</v>
      </c>
    </row>
    <row r="3325" ht="15.75" customHeight="1" s="201">
      <c r="A3325" s="1" t="n">
        <v>64134100</v>
      </c>
      <c r="B3325" s="1" t="inlineStr">
        <is>
          <t>Fruit smoothie, light (Includes fat free, low fat, no sugar added, reduced fat; Orange Julius Light; Cold Stone Sinless; Jamba Light; Smoothie King Skinny)</t>
        </is>
      </c>
      <c r="C3325" s="1" t="n">
        <v>2</v>
      </c>
      <c r="D3325" s="1" t="inlineStr">
        <is>
          <t>Links to altEC</t>
        </is>
      </c>
      <c r="E3325" s="1" t="inlineStr">
        <is>
          <t>Base</t>
        </is>
      </c>
      <c r="F3325" s="1" t="n">
        <v>0.447597</v>
      </c>
    </row>
    <row r="3326" ht="15.75" customHeight="1" s="201">
      <c r="A3326" s="1" t="n">
        <v>64134200</v>
      </c>
      <c r="B3326" s="1" t="inlineStr">
        <is>
          <t>Fruit smoothie, bottled (Includes canned; reconstituted dry mix; Bolthouse Farms; Naked)</t>
        </is>
      </c>
      <c r="C3326" s="1" t="n">
        <v>1</v>
      </c>
      <c r="D3326" s="1" t="inlineStr">
        <is>
          <t>Links to FNDDS</t>
        </is>
      </c>
      <c r="E3326" s="1" t="inlineStr">
        <is>
          <t>Base</t>
        </is>
      </c>
      <c r="F3326" s="1" t="n">
        <v>0.447597</v>
      </c>
    </row>
    <row r="3327" ht="15.75" customHeight="1" s="201">
      <c r="A3327" s="1" t="n">
        <v>64200100</v>
      </c>
      <c r="B3327" s="1" t="inlineStr">
        <is>
          <t>Fruit nectar, NFS</t>
        </is>
      </c>
      <c r="C3327" s="1" t="n">
        <v>2</v>
      </c>
      <c r="D3327" s="1" t="inlineStr">
        <is>
          <t>Links to altEC</t>
        </is>
      </c>
      <c r="E3327" s="1" t="inlineStr">
        <is>
          <t>Base</t>
        </is>
      </c>
      <c r="F3327" s="1" t="n">
        <v>0.142803</v>
      </c>
    </row>
    <row r="3328" ht="15.75" customHeight="1" s="201">
      <c r="A3328" s="1" t="n">
        <v>64201010</v>
      </c>
      <c r="B3328" s="1" t="inlineStr">
        <is>
          <t>Apricot nectar</t>
        </is>
      </c>
      <c r="C3328" s="1" t="n">
        <v>1</v>
      </c>
      <c r="D3328" s="1" t="inlineStr">
        <is>
          <t>Links to FNDDS</t>
        </is>
      </c>
      <c r="E3328" s="1" t="inlineStr">
        <is>
          <t>Base</t>
        </is>
      </c>
      <c r="F3328" s="1" t="n">
        <v>0.147773</v>
      </c>
    </row>
    <row r="3329" ht="15.75" customHeight="1" s="201">
      <c r="A3329" s="1" t="n">
        <v>64202010</v>
      </c>
      <c r="B3329" s="1" t="inlineStr">
        <is>
          <t>Cantaloupe nectar</t>
        </is>
      </c>
      <c r="C3329" s="1" t="n">
        <v>2</v>
      </c>
      <c r="D3329" s="1" t="inlineStr">
        <is>
          <t>Links to altEC</t>
        </is>
      </c>
      <c r="E3329" s="1" t="inlineStr">
        <is>
          <t>Base</t>
        </is>
      </c>
      <c r="F3329" s="1" t="n">
        <v>0.121999</v>
      </c>
    </row>
    <row r="3330" ht="15.75" customHeight="1" s="201">
      <c r="A3330" s="1" t="n">
        <v>64203020</v>
      </c>
      <c r="B3330" s="1" t="inlineStr">
        <is>
          <t>Guava nectar</t>
        </is>
      </c>
      <c r="C3330" s="1" t="n">
        <v>1</v>
      </c>
      <c r="D3330" s="1" t="inlineStr">
        <is>
          <t>Links to FNDDS</t>
        </is>
      </c>
      <c r="E3330" s="1" t="inlineStr">
        <is>
          <t>Base</t>
        </is>
      </c>
      <c r="F3330" s="1" t="n">
        <v>0.144701</v>
      </c>
    </row>
    <row r="3331" ht="15.75" customHeight="1" s="201">
      <c r="A3331" s="1" t="n">
        <v>64204010</v>
      </c>
      <c r="B3331" s="1" t="inlineStr">
        <is>
          <t>Mango nectar</t>
        </is>
      </c>
      <c r="C3331" s="1" t="n">
        <v>1</v>
      </c>
      <c r="D3331" s="1" t="inlineStr">
        <is>
          <t>Links to FNDDS</t>
        </is>
      </c>
      <c r="E3331" s="1" t="inlineStr">
        <is>
          <t>Base</t>
        </is>
      </c>
      <c r="F3331" s="1" t="n">
        <v>0.157505</v>
      </c>
    </row>
    <row r="3332" ht="15.75" customHeight="1" s="201">
      <c r="A3332" s="1" t="n">
        <v>64205010</v>
      </c>
      <c r="B3332" s="1" t="inlineStr">
        <is>
          <t>Peach nectar</t>
        </is>
      </c>
      <c r="C3332" s="1" t="n">
        <v>1</v>
      </c>
      <c r="D3332" s="1" t="inlineStr">
        <is>
          <t>Links to FNDDS</t>
        </is>
      </c>
      <c r="E3332" s="1" t="inlineStr">
        <is>
          <t>Base</t>
        </is>
      </c>
      <c r="F3332" s="1" t="n">
        <v>0.142888</v>
      </c>
    </row>
    <row r="3333" ht="15.75" customHeight="1" s="201">
      <c r="A3333" s="1" t="n">
        <v>64215010</v>
      </c>
      <c r="B3333" s="1" t="inlineStr">
        <is>
          <t>Pear nectar</t>
        </is>
      </c>
      <c r="C3333" s="1" t="n">
        <v>1</v>
      </c>
      <c r="D3333" s="1" t="inlineStr">
        <is>
          <t>Links to FNDDS</t>
        </is>
      </c>
      <c r="E3333" s="1" t="inlineStr">
        <is>
          <t>Base</t>
        </is>
      </c>
      <c r="F3333" s="1" t="n">
        <v>0.149665</v>
      </c>
    </row>
    <row r="3334" ht="15.75" customHeight="1" s="201">
      <c r="A3334" s="1" t="n">
        <v>64221010</v>
      </c>
      <c r="B3334" s="1" t="inlineStr">
        <is>
          <t>Soursop, nectar (Includes Guanabana)</t>
        </is>
      </c>
      <c r="C3334" s="1" t="n">
        <v>1</v>
      </c>
      <c r="D3334" s="1" t="inlineStr">
        <is>
          <t>Links to FNDDS</t>
        </is>
      </c>
      <c r="E3334" s="1" t="inlineStr">
        <is>
          <t>Base</t>
        </is>
      </c>
      <c r="F3334" s="1" t="n">
        <v>0.170454</v>
      </c>
    </row>
    <row r="3335" ht="15.75" customHeight="1" s="201">
      <c r="A3335" s="1" t="n">
        <v>64401000</v>
      </c>
      <c r="B3335" s="1" t="inlineStr">
        <is>
          <t>Vinegar</t>
        </is>
      </c>
      <c r="C3335" s="1" t="n">
        <v>1</v>
      </c>
      <c r="D3335" s="1" t="inlineStr">
        <is>
          <t>Links to FNDDS</t>
        </is>
      </c>
      <c r="E3335" s="1" t="inlineStr">
        <is>
          <t>Base</t>
        </is>
      </c>
      <c r="F3335" s="1" t="n">
        <v>0.518415</v>
      </c>
    </row>
    <row r="3336" ht="15.75" customHeight="1" s="201">
      <c r="A3336" s="1" t="n">
        <v>67100100</v>
      </c>
      <c r="B3336" s="1" t="inlineStr">
        <is>
          <t>Fruit, baby food, NFS</t>
        </is>
      </c>
      <c r="C3336" s="1" t="n">
        <v>2</v>
      </c>
      <c r="D3336" s="1" t="inlineStr">
        <is>
          <t>Links to altEC</t>
        </is>
      </c>
      <c r="E3336" s="1" t="inlineStr">
        <is>
          <t>Base</t>
        </is>
      </c>
      <c r="F3336" s="1" t="n">
        <v>0.706734</v>
      </c>
    </row>
    <row r="3337" ht="15.75" customHeight="1" s="201">
      <c r="A3337" s="1" t="n">
        <v>67101010</v>
      </c>
      <c r="B3337" s="1" t="inlineStr">
        <is>
          <t>Apple-raspberry, baby food, strained (Includes apple-blueberry; Earth's Best; Beech-Nut Stage 2; Gerber Second Foods)</t>
        </is>
      </c>
      <c r="C3337" s="1" t="n">
        <v>1</v>
      </c>
      <c r="D3337" s="1" t="inlineStr">
        <is>
          <t>Links to FNDDS</t>
        </is>
      </c>
      <c r="E3337" s="1" t="inlineStr">
        <is>
          <t>Base</t>
        </is>
      </c>
      <c r="F3337" s="1" t="n">
        <v>0.71484</v>
      </c>
    </row>
    <row r="3338" ht="15.75" customHeight="1" s="201">
      <c r="A3338" s="1" t="n">
        <v>67102010</v>
      </c>
      <c r="B3338" s="1" t="inlineStr">
        <is>
          <t>Applesauce, baby food, strained (Includes Gerber Second Foods; Earth's Best Apples; Beech-Nut Stage 1 Starter Size; Beech-Nut Stage 1; Gerber First Foods)</t>
        </is>
      </c>
      <c r="C3338" s="1" t="n">
        <v>1</v>
      </c>
      <c r="D3338" s="1" t="inlineStr">
        <is>
          <t>Links to FNDDS</t>
        </is>
      </c>
      <c r="E3338" s="1" t="inlineStr">
        <is>
          <t>Base</t>
        </is>
      </c>
      <c r="F3338" s="1" t="n">
        <v>0.679152</v>
      </c>
    </row>
    <row r="3339" ht="15.75" customHeight="1" s="201">
      <c r="A3339" s="1" t="n">
        <v>67104070</v>
      </c>
      <c r="B3339" s="1" t="inlineStr">
        <is>
          <t>Applesauce with cherries, baby food, strained (Includes Beech-Nut Stage 2 Apples and Cherries)</t>
        </is>
      </c>
      <c r="C3339" s="1" t="n">
        <v>1</v>
      </c>
      <c r="D3339" s="1" t="inlineStr">
        <is>
          <t>Links to FNDDS</t>
        </is>
      </c>
      <c r="E3339" s="1" t="inlineStr">
        <is>
          <t>Base</t>
        </is>
      </c>
      <c r="F3339" s="1" t="n">
        <v>0.53864</v>
      </c>
    </row>
    <row r="3340" ht="15.75" customHeight="1" s="201">
      <c r="A3340" s="1" t="n">
        <v>67105030</v>
      </c>
      <c r="B3340" s="1" t="inlineStr">
        <is>
          <t>Bananas, baby food, strained (Includes Beech-Nut Stage 1; Gerber First Foods; Beech-Nut Stage 1 Starter Size; Earth's Best; Gerber Second Foods; Beech-Nut Stage 2)</t>
        </is>
      </c>
      <c r="C3340" s="1" t="n">
        <v>1</v>
      </c>
      <c r="D3340" s="1" t="inlineStr">
        <is>
          <t>Links to FNDDS</t>
        </is>
      </c>
      <c r="E3340" s="1" t="inlineStr">
        <is>
          <t>Base</t>
        </is>
      </c>
      <c r="F3340" s="1" t="n">
        <v>0.62958</v>
      </c>
    </row>
    <row r="3341" ht="15.75" customHeight="1" s="201">
      <c r="A3341" s="1" t="n">
        <v>67106050</v>
      </c>
      <c r="B3341" s="1" t="inlineStr">
        <is>
          <t>Banana with mixed berries, baby food, strained (Includes Gerber Second Foods)</t>
        </is>
      </c>
      <c r="C3341" s="1" t="n">
        <v>1</v>
      </c>
      <c r="D3341" s="1" t="inlineStr">
        <is>
          <t>Links to FNDDS</t>
        </is>
      </c>
      <c r="E3341" s="1" t="inlineStr">
        <is>
          <t>Base</t>
        </is>
      </c>
      <c r="F3341" s="1" t="n">
        <v>0.744703</v>
      </c>
    </row>
    <row r="3342" ht="15.75" customHeight="1" s="201">
      <c r="A3342" s="1" t="n">
        <v>67109010</v>
      </c>
      <c r="B3342" s="1" t="inlineStr">
        <is>
          <t>Pears, baby food, strained (Includes Earth's Best; Gerber First Foods; Gerber Second Foods; Beech-Nut Stage 1 Starter Size; Beech-Nut Stage 1; Beech-Nut Stage 2)</t>
        </is>
      </c>
      <c r="C3342" s="1" t="n">
        <v>1</v>
      </c>
      <c r="D3342" s="1" t="inlineStr">
        <is>
          <t>Links to FNDDS</t>
        </is>
      </c>
      <c r="E3342" s="1" t="inlineStr">
        <is>
          <t>Base</t>
        </is>
      </c>
      <c r="F3342" s="1" t="n">
        <v>0.695113</v>
      </c>
    </row>
    <row r="3343" ht="15.75" customHeight="1" s="201">
      <c r="A3343" s="1" t="n">
        <v>67202000</v>
      </c>
      <c r="B3343" s="1" t="inlineStr">
        <is>
          <t>Apple juice, baby food (Includes Beech-Nut; Earth's Best; Gerber)</t>
        </is>
      </c>
      <c r="C3343" s="1" t="n">
        <v>1</v>
      </c>
      <c r="D3343" s="1" t="inlineStr">
        <is>
          <t>Links to FNDDS</t>
        </is>
      </c>
      <c r="E3343" s="1" t="inlineStr">
        <is>
          <t>Base</t>
        </is>
      </c>
      <c r="F3343" s="1" t="n">
        <v>0.306389</v>
      </c>
    </row>
    <row r="3344" ht="15.75" customHeight="1" s="201">
      <c r="A3344" s="1" t="n">
        <v>67212000</v>
      </c>
      <c r="B3344" s="1" t="inlineStr">
        <is>
          <t>Pear juice, baby food (Includes Earth's Best; Gerber; Beech-Nut)</t>
        </is>
      </c>
      <c r="C3344" s="1" t="n">
        <v>1</v>
      </c>
      <c r="D3344" s="1" t="inlineStr">
        <is>
          <t>Links to FNDDS</t>
        </is>
      </c>
      <c r="E3344" s="1" t="inlineStr">
        <is>
          <t>Base</t>
        </is>
      </c>
      <c r="F3344" s="1" t="n">
        <v>0.23229</v>
      </c>
    </row>
    <row r="3345" ht="15.75" customHeight="1" s="201">
      <c r="A3345" s="1" t="n">
        <v>67414100</v>
      </c>
      <c r="B3345" s="1" t="inlineStr">
        <is>
          <t>Mango dessert, baby food (Includes Gerber Tropical Mango with Tapioca Dessert)</t>
        </is>
      </c>
      <c r="C3345" s="1" t="n">
        <v>1</v>
      </c>
      <c r="D3345" s="1" t="inlineStr">
        <is>
          <t>Links to FNDDS</t>
        </is>
      </c>
      <c r="E3345" s="1" t="inlineStr">
        <is>
          <t>Base</t>
        </is>
      </c>
      <c r="F3345" s="1" t="n">
        <v>0.633422</v>
      </c>
    </row>
    <row r="3346" ht="15.75" customHeight="1" s="201">
      <c r="A3346" s="1" t="n">
        <v>67430500</v>
      </c>
      <c r="B3346" s="1" t="inlineStr">
        <is>
          <t>Yogurt and fruit snack, baby food (Includes Gerber Yogurt Melts, all flavors)</t>
        </is>
      </c>
      <c r="C3346" s="1" t="n">
        <v>1</v>
      </c>
      <c r="D3346" s="1" t="inlineStr">
        <is>
          <t>Links to FNDDS</t>
        </is>
      </c>
      <c r="E3346" s="1" t="inlineStr">
        <is>
          <t>Base</t>
        </is>
      </c>
      <c r="F3346" s="1" t="n">
        <v>9.791993</v>
      </c>
    </row>
    <row r="3347" ht="15.75" customHeight="1" s="201">
      <c r="A3347" s="1" t="n">
        <v>71000100</v>
      </c>
      <c r="B3347" s="1" t="inlineStr">
        <is>
          <t>Potato, NFS</t>
        </is>
      </c>
      <c r="C3347" s="1" t="n">
        <v>2</v>
      </c>
      <c r="D3347" s="1" t="inlineStr">
        <is>
          <t>Links to altEC</t>
        </is>
      </c>
      <c r="E3347" s="1" t="inlineStr">
        <is>
          <t>Base</t>
        </is>
      </c>
      <c r="F3347" s="1" t="n">
        <v>0.294221</v>
      </c>
    </row>
    <row r="3348" ht="15.75" customHeight="1" s="201">
      <c r="A3348" s="1" t="n">
        <v>71101000</v>
      </c>
      <c r="B3348" s="1" t="inlineStr">
        <is>
          <t>Potato, baked, peel not eaten (Includes NS as to peel eaten)</t>
        </is>
      </c>
      <c r="C3348" s="1" t="n">
        <v>4</v>
      </c>
      <c r="D3348" s="1" t="inlineStr">
        <is>
          <t>FNDDS recipe with replaced or modified SR codes</t>
        </is>
      </c>
      <c r="E3348" s="1" t="inlineStr">
        <is>
          <t>Base</t>
        </is>
      </c>
      <c r="F3348" s="1" t="n">
        <v>0.280171</v>
      </c>
    </row>
    <row r="3349" ht="15.75" customHeight="1" s="201">
      <c r="A3349" s="1" t="n">
        <v>71102980</v>
      </c>
      <c r="B3349" s="1" t="inlineStr">
        <is>
          <t>Potato, boiled, NFS (Includes steamer bags; steamed potato NS as to plain or flavored)</t>
        </is>
      </c>
      <c r="C3349" s="1" t="n">
        <v>2</v>
      </c>
      <c r="D3349" s="1" t="inlineStr">
        <is>
          <t>Links to altEC</t>
        </is>
      </c>
      <c r="E3349" s="1" t="inlineStr">
        <is>
          <t>Base</t>
        </is>
      </c>
      <c r="F3349" s="1" t="n">
        <v>0.272282</v>
      </c>
    </row>
    <row r="3350" ht="15.75" customHeight="1" s="201">
      <c r="A3350" s="1" t="n">
        <v>71102990</v>
      </c>
      <c r="B3350" s="1" t="inlineStr">
        <is>
          <t>Potato, boiled, ready-to-heat (Includes frozen; steamer bags; steamed potato NS as to plain or flavored; with or without peel; with or without fat added)</t>
        </is>
      </c>
      <c r="C3350" s="1" t="n">
        <v>4</v>
      </c>
      <c r="D3350" s="1" t="inlineStr">
        <is>
          <t>FNDDS recipe with replaced or modified SR codes</t>
        </is>
      </c>
      <c r="E3350" s="1" t="inlineStr">
        <is>
          <t>Base</t>
        </is>
      </c>
      <c r="F3350" s="1" t="n">
        <v>0.290328</v>
      </c>
    </row>
    <row r="3351" ht="15.75" customHeight="1" s="201">
      <c r="A3351" s="1" t="n">
        <v>71103000</v>
      </c>
      <c r="B3351" s="1" t="inlineStr">
        <is>
          <t>Potato, boiled, from fresh, peel not eaten, NS as to fat (Includes steamer bags; steamed potato NS as to plain or flavored; NS as to peel eaten)</t>
        </is>
      </c>
      <c r="C3351" s="1" t="n">
        <v>4</v>
      </c>
      <c r="D3351" s="1" t="inlineStr">
        <is>
          <t>FNDDS recipe with replaced or modified SR codes</t>
        </is>
      </c>
      <c r="E3351" s="1" t="inlineStr">
        <is>
          <t>Base</t>
        </is>
      </c>
      <c r="F3351" s="1" t="n">
        <v>0.290328</v>
      </c>
    </row>
    <row r="3352" ht="15.75" customHeight="1" s="201">
      <c r="A3352" s="1" t="n">
        <v>71103010</v>
      </c>
      <c r="B3352" s="1" t="inlineStr">
        <is>
          <t>Potato, boiled, from fresh, peel not eaten, no added fat (Includes steamer bags; steamed potato NS as to plain or flavored; NS as to peel eaten; made with cooking spray)</t>
        </is>
      </c>
      <c r="C3352" s="1" t="n">
        <v>1</v>
      </c>
      <c r="D3352" s="1" t="inlineStr">
        <is>
          <t>Links to FNDDS</t>
        </is>
      </c>
      <c r="E3352" s="1" t="inlineStr">
        <is>
          <t>Base</t>
        </is>
      </c>
      <c r="F3352" s="1" t="n">
        <v>0.316611</v>
      </c>
    </row>
    <row r="3353" ht="15.75" customHeight="1" s="201">
      <c r="A3353" s="1" t="n">
        <v>71103020</v>
      </c>
      <c r="B3353" s="1" t="inlineStr">
        <is>
          <t>Potato, boiled, from fresh, peel not eaten, fat added, NS as to fat type (Includes steamer bags; steamed potato NS as to plain or flavored; NS as to peel eaten)</t>
        </is>
      </c>
      <c r="C3353" s="1" t="n">
        <v>4</v>
      </c>
      <c r="D3353" s="1" t="inlineStr">
        <is>
          <t>FNDDS recipe with replaced or modified SR codes</t>
        </is>
      </c>
      <c r="E3353" s="1" t="inlineStr">
        <is>
          <t>Base</t>
        </is>
      </c>
      <c r="F3353" s="1" t="n">
        <v>0.290328</v>
      </c>
    </row>
    <row r="3354" ht="15.75" customHeight="1" s="201">
      <c r="A3354" s="1" t="n">
        <v>71103030</v>
      </c>
      <c r="B3354" s="1" t="inlineStr">
        <is>
          <t>Potato, boiled, from fresh, peel not eaten, made with oil (Includes steamer bags; steamed potato NS as to plain or flavored; NS as to peel eaten)</t>
        </is>
      </c>
      <c r="C3354" s="1" t="n">
        <v>4</v>
      </c>
      <c r="D3354" s="1" t="inlineStr">
        <is>
          <t>FNDDS recipe with replaced or modified SR codes</t>
        </is>
      </c>
      <c r="E3354" s="1" t="inlineStr">
        <is>
          <t>Base</t>
        </is>
      </c>
      <c r="F3354" s="1" t="n">
        <v>0.286739</v>
      </c>
    </row>
    <row r="3355" ht="15.75" customHeight="1" s="201">
      <c r="A3355" s="1" t="n">
        <v>71103040</v>
      </c>
      <c r="B3355" s="1" t="inlineStr">
        <is>
          <t>Potato, boiled, from fresh, peel not eaten, made with butter (Includes steamer bags; steamed potato NS as to plain or flavored; NS as to peel eaten; made with animal fat or meat drippings)</t>
        </is>
      </c>
      <c r="C3355" s="1" t="n">
        <v>4</v>
      </c>
      <c r="D3355" s="1" t="inlineStr">
        <is>
          <t>FNDDS recipe with replaced or modified SR codes</t>
        </is>
      </c>
      <c r="E3355" s="1" t="inlineStr">
        <is>
          <t>Base</t>
        </is>
      </c>
      <c r="F3355" s="1" t="n">
        <v>0.308103</v>
      </c>
    </row>
    <row r="3356" ht="15.75" customHeight="1" s="201">
      <c r="A3356" s="1" t="n">
        <v>71103050</v>
      </c>
      <c r="B3356" s="1" t="inlineStr">
        <is>
          <t>Potato, boiled, from fresh, peel not eaten, made with margarine (Includes steamer bags; steamed potato NS as to plain or flavored; NS as to peel eaten; made with shortening)</t>
        </is>
      </c>
      <c r="C3356" s="1" t="n">
        <v>4</v>
      </c>
      <c r="D3356" s="1" t="inlineStr">
        <is>
          <t>FNDDS recipe with replaced or modified SR codes</t>
        </is>
      </c>
      <c r="E3356" s="1" t="inlineStr">
        <is>
          <t>Base</t>
        </is>
      </c>
      <c r="F3356" s="1" t="n">
        <v>0.28443</v>
      </c>
    </row>
    <row r="3357" ht="15.75" customHeight="1" s="201">
      <c r="A3357" s="1" t="n">
        <v>71103105</v>
      </c>
      <c r="B3357" s="1" t="inlineStr">
        <is>
          <t>Potato, boiled, from fresh, peel eaten, NS as to fat (Includes steamer bags; steamed potato NS as to plain or flavored)</t>
        </is>
      </c>
      <c r="C3357" s="1" t="n">
        <v>4</v>
      </c>
      <c r="D3357" s="1" t="inlineStr">
        <is>
          <t>FNDDS recipe with replaced or modified SR codes</t>
        </is>
      </c>
      <c r="E3357" s="1" t="inlineStr">
        <is>
          <t>Base</t>
        </is>
      </c>
      <c r="F3357" s="1" t="n">
        <v>0.242152</v>
      </c>
    </row>
    <row r="3358" ht="15.75" customHeight="1" s="201">
      <c r="A3358" s="1" t="n">
        <v>71103115</v>
      </c>
      <c r="B3358" s="1" t="inlineStr">
        <is>
          <t>Potato, boiled, from fresh, peel eaten, fat added, NS as to fat type (Includes steamer bags; steamed potato NS as to plain or flavored)</t>
        </is>
      </c>
      <c r="C3358" s="1" t="n">
        <v>4</v>
      </c>
      <c r="D3358" s="1" t="inlineStr">
        <is>
          <t>FNDDS recipe with replaced or modified SR codes</t>
        </is>
      </c>
      <c r="E3358" s="1" t="inlineStr">
        <is>
          <t>Base</t>
        </is>
      </c>
      <c r="F3358" s="1" t="n">
        <v>0.242152</v>
      </c>
    </row>
    <row r="3359" ht="15.75" customHeight="1" s="201">
      <c r="A3359" s="1" t="n">
        <v>71103125</v>
      </c>
      <c r="B3359" s="1" t="inlineStr">
        <is>
          <t>Potato, boiled, from fresh,  peel eaten, no addded fat (Includes steamer bags; steamed potato NS as to plain or flavored; made with cooking spray)</t>
        </is>
      </c>
      <c r="C3359" s="1" t="n">
        <v>2</v>
      </c>
      <c r="D3359" s="1" t="inlineStr">
        <is>
          <t>Links to altEC</t>
        </is>
      </c>
      <c r="E3359" s="1" t="inlineStr">
        <is>
          <t>Base</t>
        </is>
      </c>
      <c r="F3359" s="1" t="n">
        <v>0.271964</v>
      </c>
    </row>
    <row r="3360" ht="15.75" customHeight="1" s="201">
      <c r="A3360" s="1" t="n">
        <v>71103135</v>
      </c>
      <c r="B3360" s="1" t="inlineStr">
        <is>
          <t>Potato, boiled, from fresh, peel eaten, made with oil (Includes steamer bags; steamed potato NS as to plain or flavored)</t>
        </is>
      </c>
      <c r="C3360" s="1" t="n">
        <v>4</v>
      </c>
      <c r="D3360" s="1" t="inlineStr">
        <is>
          <t>FNDDS recipe with replaced or modified SR codes</t>
        </is>
      </c>
      <c r="E3360" s="1" t="inlineStr">
        <is>
          <t>Base</t>
        </is>
      </c>
      <c r="F3360" s="1" t="n">
        <v>0.238563</v>
      </c>
    </row>
    <row r="3361" ht="15.75" customHeight="1" s="201">
      <c r="A3361" s="1" t="n">
        <v>71103140</v>
      </c>
      <c r="B3361" s="1" t="inlineStr">
        <is>
          <t>Potato, boiled, from fresh, peel eaten, made with butter (Includes steamer bags; steamed potato NS as to plain or flavored; made with animal fat or meat drippings)</t>
        </is>
      </c>
      <c r="C3361" s="1" t="n">
        <v>4</v>
      </c>
      <c r="D3361" s="1" t="inlineStr">
        <is>
          <t>FNDDS recipe with replaced or modified SR codes</t>
        </is>
      </c>
      <c r="E3361" s="1" t="inlineStr">
        <is>
          <t>Base</t>
        </is>
      </c>
      <c r="F3361" s="1" t="n">
        <v>0.259928</v>
      </c>
    </row>
    <row r="3362" ht="15.75" customHeight="1" s="201">
      <c r="A3362" s="1" t="n">
        <v>71103150</v>
      </c>
      <c r="B3362" s="1" t="inlineStr">
        <is>
          <t>Potato, boiled, from fresh, peel eaten, made with margarine (Includes steamer bags; steamed potato NS as to plain or flavored; made with shortening)</t>
        </is>
      </c>
      <c r="C3362" s="1" t="n">
        <v>4</v>
      </c>
      <c r="D3362" s="1" t="inlineStr">
        <is>
          <t>FNDDS recipe with replaced or modified SR codes</t>
        </is>
      </c>
      <c r="E3362" s="1" t="inlineStr">
        <is>
          <t>Base</t>
        </is>
      </c>
      <c r="F3362" s="1" t="n">
        <v>0.236255</v>
      </c>
    </row>
    <row r="3363" ht="15.75" customHeight="1" s="201">
      <c r="A3363" s="1" t="n">
        <v>71104040</v>
      </c>
      <c r="B3363" s="1" t="inlineStr">
        <is>
          <t>Potato, roasted, from fresh, peel eaten, NS as to fat (Includes grilled)</t>
        </is>
      </c>
      <c r="C3363" s="1" t="n">
        <v>4</v>
      </c>
      <c r="D3363" s="1" t="inlineStr">
        <is>
          <t>FNDDS recipe with replaced or modified SR codes</t>
        </is>
      </c>
      <c r="E3363" s="1" t="inlineStr">
        <is>
          <t>Base</t>
        </is>
      </c>
      <c r="F3363" s="1" t="n">
        <v>0.242152</v>
      </c>
    </row>
    <row r="3364" ht="15.75" customHeight="1" s="201">
      <c r="A3364" s="1" t="n">
        <v>71104050</v>
      </c>
      <c r="B3364" s="1" t="inlineStr">
        <is>
          <t>Potato, roasted, from fresh, peel eaten, no added fat (Includes grilled; made with cooking spray)</t>
        </is>
      </c>
      <c r="C3364" s="1" t="n">
        <v>4</v>
      </c>
      <c r="D3364" s="1" t="inlineStr">
        <is>
          <t>FNDDS recipe with replaced or modified SR codes</t>
        </is>
      </c>
      <c r="E3364" s="1" t="inlineStr">
        <is>
          <t>Base</t>
        </is>
      </c>
      <c r="F3364" s="1" t="n">
        <v>0.229613</v>
      </c>
    </row>
    <row r="3365" ht="15.75" customHeight="1" s="201">
      <c r="A3365" s="1" t="n">
        <v>71104070</v>
      </c>
      <c r="B3365" s="1" t="inlineStr">
        <is>
          <t>Potato, roasted, from fresh, peel eaten, made with oil (Includes grilled)</t>
        </is>
      </c>
      <c r="C3365" s="1" t="n">
        <v>4</v>
      </c>
      <c r="D3365" s="1" t="inlineStr">
        <is>
          <t>FNDDS recipe with replaced or modified SR codes</t>
        </is>
      </c>
      <c r="E3365" s="1" t="inlineStr">
        <is>
          <t>Base</t>
        </is>
      </c>
      <c r="F3365" s="1" t="n">
        <v>0.238563</v>
      </c>
    </row>
    <row r="3366" ht="15.75" customHeight="1" s="201">
      <c r="A3366" s="1" t="n">
        <v>71104080</v>
      </c>
      <c r="B3366" s="1" t="inlineStr">
        <is>
          <t>Potato, roasted, from fresh, peel eaten, made with butter (Includes grilled; made with animal fat or meat drippings)</t>
        </is>
      </c>
      <c r="C3366" s="1" t="n">
        <v>4</v>
      </c>
      <c r="D3366" s="1" t="inlineStr">
        <is>
          <t>FNDDS recipe with replaced or modified SR codes</t>
        </is>
      </c>
      <c r="E3366" s="1" t="inlineStr">
        <is>
          <t>Base</t>
        </is>
      </c>
      <c r="F3366" s="1" t="n">
        <v>0.259928</v>
      </c>
    </row>
    <row r="3367" ht="15.75" customHeight="1" s="201">
      <c r="A3367" s="1" t="n">
        <v>71104090</v>
      </c>
      <c r="B3367" s="1" t="inlineStr">
        <is>
          <t>Potato, roasted, from fresh, peel eaten, made with margarine (Includes grilled; made with shortening)</t>
        </is>
      </c>
      <c r="C3367" s="1" t="n">
        <v>4</v>
      </c>
      <c r="D3367" s="1" t="inlineStr">
        <is>
          <t>FNDDS recipe with replaced or modified SR codes</t>
        </is>
      </c>
      <c r="E3367" s="1" t="inlineStr">
        <is>
          <t>Base</t>
        </is>
      </c>
      <c r="F3367" s="1" t="n">
        <v>0.236255</v>
      </c>
    </row>
    <row r="3368" ht="15.75" customHeight="1" s="201">
      <c r="A3368" s="1" t="n">
        <v>71104120</v>
      </c>
      <c r="B3368" s="1" t="inlineStr">
        <is>
          <t>Potato, roasted, from fresh, peel not eaten, no added fat (Includes grilled; NS as to peel eaten; made with cooking spray)</t>
        </is>
      </c>
      <c r="C3368" s="1" t="n">
        <v>4</v>
      </c>
      <c r="D3368" s="1" t="inlineStr">
        <is>
          <t>FNDDS recipe with replaced or modified SR codes</t>
        </is>
      </c>
      <c r="E3368" s="1" t="inlineStr">
        <is>
          <t>Base</t>
        </is>
      </c>
      <c r="F3368" s="1" t="n">
        <v>0.280188</v>
      </c>
    </row>
    <row r="3369" ht="15.75" customHeight="1" s="201">
      <c r="A3369" s="1" t="n">
        <v>71104130</v>
      </c>
      <c r="B3369" s="1" t="inlineStr">
        <is>
          <t>Potato, roasted, from fresh, peel not eaten, made with oil (Includes grilled)</t>
        </is>
      </c>
      <c r="C3369" s="1" t="n">
        <v>4</v>
      </c>
      <c r="D3369" s="1" t="inlineStr">
        <is>
          <t>FNDDS recipe with replaced or modified SR codes</t>
        </is>
      </c>
      <c r="E3369" s="1" t="inlineStr">
        <is>
          <t>Base</t>
        </is>
      </c>
      <c r="F3369" s="1" t="n">
        <v>0.286739</v>
      </c>
    </row>
    <row r="3370" ht="15.75" customHeight="1" s="201">
      <c r="A3370" s="1" t="n">
        <v>71104140</v>
      </c>
      <c r="B3370" s="1" t="inlineStr">
        <is>
          <t>Potato, roasted, from fresh, peel not eaten, made with butter (Includes grilled; made with animal fat or meat drippings)</t>
        </is>
      </c>
      <c r="C3370" s="1" t="n">
        <v>4</v>
      </c>
      <c r="D3370" s="1" t="inlineStr">
        <is>
          <t>FNDDS recipe with replaced or modified SR codes</t>
        </is>
      </c>
      <c r="E3370" s="1" t="inlineStr">
        <is>
          <t>Base</t>
        </is>
      </c>
      <c r="F3370" s="1" t="n">
        <v>0.308103</v>
      </c>
    </row>
    <row r="3371" ht="15.75" customHeight="1" s="201">
      <c r="A3371" s="1" t="n">
        <v>71104150</v>
      </c>
      <c r="B3371" s="1" t="inlineStr">
        <is>
          <t>Potato, roasted, from fresh, peel not eaten, made with margarine (Includes grilled; made with shortening)</t>
        </is>
      </c>
      <c r="C3371" s="1" t="n">
        <v>4</v>
      </c>
      <c r="D3371" s="1" t="inlineStr">
        <is>
          <t>FNDDS recipe with replaced or modified SR codes</t>
        </is>
      </c>
      <c r="E3371" s="1" t="inlineStr">
        <is>
          <t>Base</t>
        </is>
      </c>
      <c r="F3371" s="1" t="n">
        <v>0.28443</v>
      </c>
    </row>
    <row r="3372" ht="15.75" customHeight="1" s="201">
      <c r="A3372" s="1" t="n">
        <v>71104200</v>
      </c>
      <c r="B3372" s="1" t="inlineStr">
        <is>
          <t>Potato, roasted, ready-to-heat (Includes frozen; with or without peel; with or without fat added)</t>
        </is>
      </c>
      <c r="C3372" s="1" t="n">
        <v>1</v>
      </c>
      <c r="D3372" s="1" t="inlineStr">
        <is>
          <t>Links to FNDDS</t>
        </is>
      </c>
      <c r="E3372" s="1" t="inlineStr">
        <is>
          <t>Base</t>
        </is>
      </c>
      <c r="F3372" s="1" t="n">
        <v>0.581855</v>
      </c>
    </row>
    <row r="3373" ht="15.75" customHeight="1" s="201">
      <c r="A3373" s="1" t="n">
        <v>71200010</v>
      </c>
      <c r="B3373" s="1" t="inlineStr">
        <is>
          <t>Potato chips, NFS (Includes chips, NFS)</t>
        </is>
      </c>
      <c r="C3373" s="1" t="n">
        <v>2</v>
      </c>
      <c r="D3373" s="1" t="inlineStr">
        <is>
          <t>Links to altEC</t>
        </is>
      </c>
      <c r="E3373" s="1" t="inlineStr">
        <is>
          <t>Base</t>
        </is>
      </c>
      <c r="F3373" s="1" t="n">
        <v>1.093847</v>
      </c>
    </row>
    <row r="3374" ht="15.75" customHeight="1" s="201">
      <c r="A3374" s="1" t="n">
        <v>71200100</v>
      </c>
      <c r="B3374" s="1" t="inlineStr">
        <is>
          <t>Potato chips, plain (Includes regular or kettle cut; salted; original; NS as to flavor; NS as to regular or ruffled)</t>
        </is>
      </c>
      <c r="C3374" s="1" t="n">
        <v>1</v>
      </c>
      <c r="D3374" s="1" t="inlineStr">
        <is>
          <t>Links to FNDDS</t>
        </is>
      </c>
      <c r="E3374" s="1" t="inlineStr">
        <is>
          <t>Base</t>
        </is>
      </c>
      <c r="F3374" s="1" t="n">
        <v>1.053719</v>
      </c>
    </row>
    <row r="3375" ht="15.75" customHeight="1" s="201">
      <c r="A3375" s="1" t="n">
        <v>71200110</v>
      </c>
      <c r="B3375" s="1" t="inlineStr">
        <is>
          <t>Potato chips, barbecue flavored (Includes regular or kettle cut; barbecue flavor)</t>
        </is>
      </c>
      <c r="C3375" s="1" t="n">
        <v>1</v>
      </c>
      <c r="D3375" s="1" t="inlineStr">
        <is>
          <t>Links to FNDDS</t>
        </is>
      </c>
      <c r="E3375" s="1" t="inlineStr">
        <is>
          <t>Base</t>
        </is>
      </c>
      <c r="F3375" s="1" t="n">
        <v>1.028569</v>
      </c>
    </row>
    <row r="3376" ht="15.75" customHeight="1" s="201">
      <c r="A3376" s="1" t="n">
        <v>71200120</v>
      </c>
      <c r="B3376" s="1" t="inlineStr">
        <is>
          <t>Potato chips, sour cream and onion flavored (Includes regular or kettle cut)</t>
        </is>
      </c>
      <c r="C3376" s="1" t="n">
        <v>1</v>
      </c>
      <c r="D3376" s="1" t="inlineStr">
        <is>
          <t>Links to FNDDS</t>
        </is>
      </c>
      <c r="E3376" s="1" t="inlineStr">
        <is>
          <t>Base</t>
        </is>
      </c>
      <c r="F3376" s="1" t="n">
        <v>1.005646</v>
      </c>
    </row>
    <row r="3377" ht="15.75" customHeight="1" s="201">
      <c r="A3377" s="1" t="n">
        <v>71200130</v>
      </c>
      <c r="B3377" s="1" t="inlineStr">
        <is>
          <t>Potato chips, cheese flavored (Includes regular or kettle cut)</t>
        </is>
      </c>
      <c r="C3377" s="1" t="n">
        <v>1</v>
      </c>
      <c r="D3377" s="1" t="inlineStr">
        <is>
          <t>Links to FNDDS</t>
        </is>
      </c>
      <c r="E3377" s="1" t="inlineStr">
        <is>
          <t>Base</t>
        </is>
      </c>
      <c r="F3377" s="1" t="n">
        <v>0.9932</v>
      </c>
    </row>
    <row r="3378" ht="15.75" customHeight="1" s="201">
      <c r="A3378" s="1" t="n">
        <v>71200140</v>
      </c>
      <c r="B3378" s="1" t="inlineStr">
        <is>
          <t>Potato chips, other flavored (Includes regular or kettle cut; all flavors other than barbecue, sour cream and onion, or cheese; flavored, NFS)</t>
        </is>
      </c>
      <c r="C3378" s="1" t="n">
        <v>1</v>
      </c>
      <c r="D3378" s="1" t="inlineStr">
        <is>
          <t>Links to FNDDS</t>
        </is>
      </c>
      <c r="E3378" s="1" t="inlineStr">
        <is>
          <t>Base</t>
        </is>
      </c>
      <c r="F3378" s="1" t="n">
        <v>1.187164</v>
      </c>
    </row>
    <row r="3379" ht="15.75" customHeight="1" s="201">
      <c r="A3379" s="1" t="n">
        <v>71200200</v>
      </c>
      <c r="B3379" s="1" t="inlineStr">
        <is>
          <t>Potato chips, ruffled, plain (Includes salted; original; wavy chips; NS as to flavor)</t>
        </is>
      </c>
      <c r="C3379" s="1" t="n">
        <v>1</v>
      </c>
      <c r="D3379" s="1" t="inlineStr">
        <is>
          <t>Links to FNDDS</t>
        </is>
      </c>
      <c r="E3379" s="1" t="inlineStr">
        <is>
          <t>Base</t>
        </is>
      </c>
      <c r="F3379" s="1" t="n">
        <v>0.954188</v>
      </c>
    </row>
    <row r="3380" ht="15.75" customHeight="1" s="201">
      <c r="A3380" s="1" t="n">
        <v>71200210</v>
      </c>
      <c r="B3380" s="1" t="inlineStr">
        <is>
          <t>Potato chips, ruffled, barbecue flavored (Includes wavy chips)</t>
        </is>
      </c>
      <c r="C3380" s="1" t="n">
        <v>1</v>
      </c>
      <c r="D3380" s="1" t="inlineStr">
        <is>
          <t>Links to FNDDS</t>
        </is>
      </c>
      <c r="E3380" s="1" t="inlineStr">
        <is>
          <t>Base</t>
        </is>
      </c>
      <c r="F3380" s="1" t="n">
        <v>1.093214</v>
      </c>
    </row>
    <row r="3381" ht="15.75" customHeight="1" s="201">
      <c r="A3381" s="1" t="n">
        <v>71200220</v>
      </c>
      <c r="B3381" s="1" t="inlineStr">
        <is>
          <t>Potato chips, ruffled, sour cream and onion flavored (Includes wavy chips)</t>
        </is>
      </c>
      <c r="C3381" s="1" t="n">
        <v>1</v>
      </c>
      <c r="D3381" s="1" t="inlineStr">
        <is>
          <t>Links to FNDDS</t>
        </is>
      </c>
      <c r="E3381" s="1" t="inlineStr">
        <is>
          <t>Base</t>
        </is>
      </c>
      <c r="F3381" s="1" t="n">
        <v>0.98785</v>
      </c>
    </row>
    <row r="3382" ht="15.75" customHeight="1" s="201">
      <c r="A3382" s="1" t="n">
        <v>71200230</v>
      </c>
      <c r="B3382" s="1" t="inlineStr">
        <is>
          <t>Potato chips, ruffled, cheese flavored (Includes wavy chips)</t>
        </is>
      </c>
      <c r="C3382" s="1" t="n">
        <v>1</v>
      </c>
      <c r="D3382" s="1" t="inlineStr">
        <is>
          <t>Links to FNDDS</t>
        </is>
      </c>
      <c r="E3382" s="1" t="inlineStr">
        <is>
          <t>Base</t>
        </is>
      </c>
      <c r="F3382" s="1" t="n">
        <v>1.414618</v>
      </c>
    </row>
    <row r="3383" ht="15.75" customHeight="1" s="201">
      <c r="A3383" s="1" t="n">
        <v>71200240</v>
      </c>
      <c r="B3383" s="1" t="inlineStr">
        <is>
          <t>Potato chips, ruffled, other flavored (Includes all flavors other than barbecue, sour cream and onion, or cheese; wavy chips; ruffled, flavored, NFS)</t>
        </is>
      </c>
      <c r="C3383" s="1" t="n">
        <v>1</v>
      </c>
      <c r="D3383" s="1" t="inlineStr">
        <is>
          <t>Links to FNDDS</t>
        </is>
      </c>
      <c r="E3383" s="1" t="inlineStr">
        <is>
          <t>Base</t>
        </is>
      </c>
      <c r="F3383" s="1" t="n">
        <v>1.260206</v>
      </c>
    </row>
    <row r="3384" ht="15.75" customHeight="1" s="201">
      <c r="A3384" s="1" t="n">
        <v>71200300</v>
      </c>
      <c r="B3384" s="1" t="inlineStr">
        <is>
          <t>Potato chips, restructured, plain (Includes Pringles Original; potato crisps; salted; original; potato skin chips)</t>
        </is>
      </c>
      <c r="C3384" s="1" t="n">
        <v>1</v>
      </c>
      <c r="D3384" s="1" t="inlineStr">
        <is>
          <t>Links to FNDDS</t>
        </is>
      </c>
      <c r="E3384" s="1" t="inlineStr">
        <is>
          <t>Base</t>
        </is>
      </c>
      <c r="F3384" s="1" t="n">
        <v>1.120955</v>
      </c>
    </row>
    <row r="3385" ht="15.75" customHeight="1" s="201">
      <c r="A3385" s="1" t="n">
        <v>71200310</v>
      </c>
      <c r="B3385" s="1" t="inlineStr">
        <is>
          <t>Potato chips, restructured, flavored (Includes flavored Pringles; potato crisps; all flavors; potato skin chips)</t>
        </is>
      </c>
      <c r="C3385" s="1" t="n">
        <v>1</v>
      </c>
      <c r="D3385" s="1" t="inlineStr">
        <is>
          <t>Links to FNDDS</t>
        </is>
      </c>
      <c r="E3385" s="1" t="inlineStr">
        <is>
          <t>Base</t>
        </is>
      </c>
      <c r="F3385" s="1" t="n">
        <v>1.066547</v>
      </c>
    </row>
    <row r="3386" ht="15.75" customHeight="1" s="201">
      <c r="A3386" s="1" t="n">
        <v>71200400</v>
      </c>
      <c r="B3386" s="1" t="inlineStr">
        <is>
          <t>Potato chips, baked, plain (Includes salted; original; any cut; baked kettle chips; potato crisps)</t>
        </is>
      </c>
      <c r="C3386" s="1" t="n">
        <v>1</v>
      </c>
      <c r="D3386" s="1" t="inlineStr">
        <is>
          <t>Links to FNDDS</t>
        </is>
      </c>
      <c r="E3386" s="1" t="inlineStr">
        <is>
          <t>Base</t>
        </is>
      </c>
      <c r="F3386" s="1" t="n">
        <v>1.760152</v>
      </c>
    </row>
    <row r="3387" ht="15.75" customHeight="1" s="201">
      <c r="A3387" s="1" t="n">
        <v>71200410</v>
      </c>
      <c r="B3387" s="1" t="inlineStr">
        <is>
          <t>Potato chips, baked, flavored (Includes all flavors; any cut; baked kettle chips; potato crisps)</t>
        </is>
      </c>
      <c r="C3387" s="1" t="n">
        <v>1</v>
      </c>
      <c r="D3387" s="1" t="inlineStr">
        <is>
          <t>Links to FNDDS</t>
        </is>
      </c>
      <c r="E3387" s="1" t="inlineStr">
        <is>
          <t>Base</t>
        </is>
      </c>
      <c r="F3387" s="1" t="n">
        <v>1.694385</v>
      </c>
    </row>
    <row r="3388" ht="15.75" customHeight="1" s="201">
      <c r="A3388" s="1" t="n">
        <v>71201050</v>
      </c>
      <c r="B3388" s="1" t="inlineStr">
        <is>
          <t>Potato chips, reduced fat (Includes salted; low fat; any cut)</t>
        </is>
      </c>
      <c r="C3388" s="1" t="n">
        <v>2</v>
      </c>
      <c r="D3388" s="1" t="inlineStr">
        <is>
          <t>Links to altEC</t>
        </is>
      </c>
      <c r="E3388" s="1" t="inlineStr">
        <is>
          <t>Base</t>
        </is>
      </c>
      <c r="F3388" s="1" t="n">
        <v>1.053719</v>
      </c>
    </row>
    <row r="3389" ht="15.75" customHeight="1" s="201">
      <c r="A3389" s="1" t="n">
        <v>71201060</v>
      </c>
      <c r="B3389" s="1" t="inlineStr">
        <is>
          <t>Potato chips, fat free (Includes light; made with Olean or Olestra; any cut)</t>
        </is>
      </c>
      <c r="C3389" s="1" t="n">
        <v>2</v>
      </c>
      <c r="D3389" s="1" t="inlineStr">
        <is>
          <t>Links to altEC</t>
        </is>
      </c>
      <c r="E3389" s="1" t="inlineStr">
        <is>
          <t>Base</t>
        </is>
      </c>
      <c r="F3389" s="1" t="n">
        <v>1.053719</v>
      </c>
    </row>
    <row r="3390" ht="15.75" customHeight="1" s="201">
      <c r="A3390" s="1" t="n">
        <v>71201200</v>
      </c>
      <c r="B3390" s="1" t="inlineStr">
        <is>
          <t>Potato chips, restructured, reduced fat, lightly salted (Includes reduced fat Pringles; potato crisps; reduced fat and reduced sodium; low fat)</t>
        </is>
      </c>
      <c r="C3390" s="1" t="n">
        <v>2</v>
      </c>
      <c r="D3390" s="1" t="inlineStr">
        <is>
          <t>Links to altEC</t>
        </is>
      </c>
      <c r="E3390" s="1" t="inlineStr">
        <is>
          <t>Base</t>
        </is>
      </c>
      <c r="F3390" s="1" t="n">
        <v>1.120955</v>
      </c>
    </row>
    <row r="3391" ht="15.75" customHeight="1" s="201">
      <c r="A3391" s="1" t="n">
        <v>71201210</v>
      </c>
      <c r="B3391" s="1" t="inlineStr">
        <is>
          <t>Potato chips, restructured, fat free (Includes made with Olean or Olestra; fat free Pringles; potato crisps; light)</t>
        </is>
      </c>
      <c r="C3391" s="1" t="n">
        <v>2</v>
      </c>
      <c r="D3391" s="1" t="inlineStr">
        <is>
          <t>Links to altEC</t>
        </is>
      </c>
      <c r="E3391" s="1" t="inlineStr">
        <is>
          <t>Base</t>
        </is>
      </c>
      <c r="F3391" s="1" t="n">
        <v>1.120955</v>
      </c>
    </row>
    <row r="3392" ht="15.75" customHeight="1" s="201">
      <c r="A3392" s="1" t="n">
        <v>71202000</v>
      </c>
      <c r="B3392" s="1" t="inlineStr">
        <is>
          <t>Potato chips, unsalted (Includes any cut)</t>
        </is>
      </c>
      <c r="C3392" s="1" t="n">
        <v>2</v>
      </c>
      <c r="D3392" s="1" t="inlineStr">
        <is>
          <t>Links to altEC</t>
        </is>
      </c>
      <c r="E3392" s="1" t="inlineStr">
        <is>
          <t>Base</t>
        </is>
      </c>
      <c r="F3392" s="1" t="n">
        <v>1.053719</v>
      </c>
    </row>
    <row r="3393" ht="15.75" customHeight="1" s="201">
      <c r="A3393" s="1" t="n">
        <v>71202100</v>
      </c>
      <c r="B3393" s="1" t="inlineStr">
        <is>
          <t>Potato chips, reduced fat, unsalted (Includes low fat; any cut)</t>
        </is>
      </c>
      <c r="C3393" s="1" t="n">
        <v>2</v>
      </c>
      <c r="D3393" s="1" t="inlineStr">
        <is>
          <t>Links to altEC</t>
        </is>
      </c>
      <c r="E3393" s="1" t="inlineStr">
        <is>
          <t>Base</t>
        </is>
      </c>
      <c r="F3393" s="1" t="n">
        <v>1.053719</v>
      </c>
    </row>
    <row r="3394" ht="15.75" customHeight="1" s="201">
      <c r="A3394" s="1" t="n">
        <v>71202500</v>
      </c>
      <c r="B3394" s="1" t="inlineStr">
        <is>
          <t>Potato chips, lightly salted (Includes reduced sodium; any cut)</t>
        </is>
      </c>
      <c r="C3394" s="1" t="n">
        <v>2</v>
      </c>
      <c r="D3394" s="1" t="inlineStr">
        <is>
          <t>Links to altEC</t>
        </is>
      </c>
      <c r="E3394" s="1" t="inlineStr">
        <is>
          <t>Base</t>
        </is>
      </c>
      <c r="F3394" s="1" t="n">
        <v>1.053719</v>
      </c>
    </row>
    <row r="3395" ht="15.75" customHeight="1" s="201">
      <c r="A3395" s="1" t="n">
        <v>71202510</v>
      </c>
      <c r="B3395" s="1" t="inlineStr">
        <is>
          <t>Potato chips, restructured, lightly salted (Includes lightly salted Pringles; potato crisps; reduced sodium)</t>
        </is>
      </c>
      <c r="C3395" s="1" t="n">
        <v>2</v>
      </c>
      <c r="D3395" s="1" t="inlineStr">
        <is>
          <t>Links to altEC</t>
        </is>
      </c>
      <c r="E3395" s="1" t="inlineStr">
        <is>
          <t>Base</t>
        </is>
      </c>
      <c r="F3395" s="1" t="n">
        <v>1.120955</v>
      </c>
    </row>
    <row r="3396" ht="15.75" customHeight="1" s="201">
      <c r="A3396" s="1" t="n">
        <v>71203020</v>
      </c>
      <c r="B3396" s="1" t="inlineStr">
        <is>
          <t>Potato chips, popped, flavored (Includes all flavors; flavored popped chips)</t>
        </is>
      </c>
      <c r="C3396" s="1" t="n">
        <v>1</v>
      </c>
      <c r="D3396" s="1" t="inlineStr">
        <is>
          <t>Links to FNDDS</t>
        </is>
      </c>
      <c r="E3396" s="1" t="inlineStr">
        <is>
          <t>Base</t>
        </is>
      </c>
      <c r="F3396" s="1" t="n">
        <v>2.027791</v>
      </c>
    </row>
    <row r="3397" ht="15.75" customHeight="1" s="201">
      <c r="A3397" s="1" t="n">
        <v>71205020</v>
      </c>
      <c r="B3397" s="1" t="inlineStr">
        <is>
          <t>Potato sticks, plain (Includes shoestrings; original)</t>
        </is>
      </c>
      <c r="C3397" s="1" t="n">
        <v>1</v>
      </c>
      <c r="D3397" s="1" t="inlineStr">
        <is>
          <t>Links to FNDDS</t>
        </is>
      </c>
      <c r="E3397" s="1" t="inlineStr">
        <is>
          <t>Base</t>
        </is>
      </c>
      <c r="F3397" s="1" t="n">
        <v>1.118881</v>
      </c>
    </row>
    <row r="3398" ht="15.75" customHeight="1" s="201">
      <c r="A3398" s="1" t="n">
        <v>71205030</v>
      </c>
      <c r="B3398" s="1" t="inlineStr">
        <is>
          <t>Potato sticks, flavored (Includes shoestrings; all flavors)</t>
        </is>
      </c>
      <c r="C3398" s="1" t="n">
        <v>1</v>
      </c>
      <c r="D3398" s="1" t="inlineStr">
        <is>
          <t>Links to FNDDS</t>
        </is>
      </c>
      <c r="E3398" s="1" t="inlineStr">
        <is>
          <t>Base</t>
        </is>
      </c>
      <c r="F3398" s="1" t="n">
        <v>0.935114</v>
      </c>
    </row>
    <row r="3399" ht="15.75" customHeight="1" s="201">
      <c r="A3399" s="1" t="n">
        <v>71205040</v>
      </c>
      <c r="B3399" s="1" t="inlineStr">
        <is>
          <t>Potato sticks, fry shaped (Includes corn and potato "fries"; all flavors; Hot Fries; barbecue "fries"; Cheddar "fries")</t>
        </is>
      </c>
      <c r="C3399" s="1" t="n">
        <v>1</v>
      </c>
      <c r="D3399" s="1" t="inlineStr">
        <is>
          <t>Links to FNDDS</t>
        </is>
      </c>
      <c r="E3399" s="1" t="inlineStr">
        <is>
          <t>Base</t>
        </is>
      </c>
      <c r="F3399" s="1" t="n">
        <v>1.303913</v>
      </c>
    </row>
    <row r="3400" ht="15.75" customHeight="1" s="201">
      <c r="A3400" s="1" t="n">
        <v>71220000</v>
      </c>
      <c r="B3400" s="1" t="inlineStr">
        <is>
          <t>Vegetable chips (Includes veggie chips; Eat smart; vegetable puffs; vegetable sticks; veggie straws; veggie crisp; Terra; all flavors excluding sweet potato; snap pea crisps)</t>
        </is>
      </c>
      <c r="C3400" s="1" t="n">
        <v>1</v>
      </c>
      <c r="D3400" s="1" t="inlineStr">
        <is>
          <t>Links to FNDDS</t>
        </is>
      </c>
      <c r="E3400" s="1" t="inlineStr">
        <is>
          <t>Base</t>
        </is>
      </c>
      <c r="F3400" s="1" t="n">
        <v>1.549318</v>
      </c>
    </row>
    <row r="3401" ht="15.75" customHeight="1" s="201">
      <c r="A3401" s="1" t="n">
        <v>71305020</v>
      </c>
      <c r="B3401" s="1" t="inlineStr">
        <is>
          <t>Potato, scalloped, from fast food or restaurant (Includes au gratin; creamed)</t>
        </is>
      </c>
      <c r="C3401" s="1" t="n">
        <v>4</v>
      </c>
      <c r="D3401" s="1" t="inlineStr">
        <is>
          <t>FNDDS recipe with replaced or modified SR codes</t>
        </is>
      </c>
      <c r="E3401" s="1" t="inlineStr">
        <is>
          <t>Base</t>
        </is>
      </c>
      <c r="F3401" s="1" t="n">
        <v>0.46993</v>
      </c>
    </row>
    <row r="3402" ht="15.75" customHeight="1" s="201">
      <c r="A3402" s="1" t="n">
        <v>71305030</v>
      </c>
      <c r="B3402" s="1" t="inlineStr">
        <is>
          <t>Potato, scalloped, from fresh (Includes au gratin; creamed; with or without cheese)</t>
        </is>
      </c>
      <c r="C3402" s="1" t="n">
        <v>4</v>
      </c>
      <c r="D3402" s="1" t="inlineStr">
        <is>
          <t>FNDDS recipe with replaced or modified SR codes</t>
        </is>
      </c>
      <c r="E3402" s="1" t="inlineStr">
        <is>
          <t>Base</t>
        </is>
      </c>
      <c r="F3402" s="1" t="n">
        <v>0.427128</v>
      </c>
    </row>
    <row r="3403" ht="15.75" customHeight="1" s="201">
      <c r="A3403" s="1" t="n">
        <v>71305040</v>
      </c>
      <c r="B3403" s="1" t="inlineStr">
        <is>
          <t>Potato, scalloped, from fresh, with meat (Includes au gratin; creamed; with or without cheese)</t>
        </is>
      </c>
      <c r="C3403" s="1" t="n">
        <v>4</v>
      </c>
      <c r="D3403" s="1" t="inlineStr">
        <is>
          <t>FNDDS recipe with replaced or modified SR codes</t>
        </is>
      </c>
      <c r="E3403" s="1" t="inlineStr">
        <is>
          <t>Base</t>
        </is>
      </c>
      <c r="F3403" s="1" t="n">
        <v>0.440229</v>
      </c>
    </row>
    <row r="3404" ht="15.75" customHeight="1" s="201">
      <c r="A3404" s="1" t="n">
        <v>71305050</v>
      </c>
      <c r="B3404" s="1" t="inlineStr">
        <is>
          <t>Potato, scalloped, from dry mix (Includes au gratin; creamed; with or without cheese)</t>
        </is>
      </c>
      <c r="C3404" s="1" t="n">
        <v>4</v>
      </c>
      <c r="D3404" s="1" t="inlineStr">
        <is>
          <t>FNDDS recipe with replaced or modified SR codes</t>
        </is>
      </c>
      <c r="E3404" s="1" t="inlineStr">
        <is>
          <t>Base</t>
        </is>
      </c>
      <c r="F3404" s="1" t="n">
        <v>0.410181</v>
      </c>
    </row>
    <row r="3405" ht="15.75" customHeight="1" s="201">
      <c r="A3405" s="1" t="n">
        <v>71305070</v>
      </c>
      <c r="B3405" s="1" t="inlineStr">
        <is>
          <t>Potato, scalloped, ready-to-heat (Includes au gratin; creamed; with or without cheese; refrigerated; microwaveable; frozen; from school)</t>
        </is>
      </c>
      <c r="C3405" s="1" t="n">
        <v>1</v>
      </c>
      <c r="D3405" s="1" t="inlineStr">
        <is>
          <t>Links to FNDDS</t>
        </is>
      </c>
      <c r="E3405" s="1" t="inlineStr">
        <is>
          <t>Base</t>
        </is>
      </c>
      <c r="F3405" s="1" t="n">
        <v>0.720044</v>
      </c>
    </row>
    <row r="3406" ht="15.75" customHeight="1" s="201">
      <c r="A3406" s="1" t="n">
        <v>71400990</v>
      </c>
      <c r="B3406" s="1" t="inlineStr">
        <is>
          <t>Potato, french fries, NFS</t>
        </is>
      </c>
      <c r="C3406" s="1" t="n">
        <v>2</v>
      </c>
      <c r="D3406" s="1" t="inlineStr">
        <is>
          <t>Links to altEC</t>
        </is>
      </c>
      <c r="E3406" s="1" t="inlineStr">
        <is>
          <t>Base</t>
        </is>
      </c>
      <c r="F3406" s="1" t="n">
        <v>0.395435</v>
      </c>
    </row>
    <row r="3407" ht="15.75" customHeight="1" s="201">
      <c r="A3407" s="1" t="n">
        <v>71401000</v>
      </c>
      <c r="B3407" s="1" t="inlineStr">
        <is>
          <t>Potato, french fries, NS as to fresh or frozen (Includes other place; home or store; NS as to fried or baked)</t>
        </is>
      </c>
      <c r="C3407" s="1" t="n">
        <v>1</v>
      </c>
      <c r="D3407" s="1" t="inlineStr">
        <is>
          <t>Links to FNDDS</t>
        </is>
      </c>
      <c r="E3407" s="1" t="inlineStr">
        <is>
          <t>Base</t>
        </is>
      </c>
      <c r="F3407" s="1" t="n">
        <v>0.444657</v>
      </c>
    </row>
    <row r="3408" ht="15.75" customHeight="1" s="201">
      <c r="A3408" s="1" t="n">
        <v>71401010</v>
      </c>
      <c r="B3408" s="1" t="inlineStr">
        <is>
          <t>Potato, french fries, from fresh, fried (Includes home or store)</t>
        </is>
      </c>
      <c r="C3408" s="1" t="n">
        <v>4</v>
      </c>
      <c r="D3408" s="1" t="inlineStr">
        <is>
          <t>FNDDS recipe with replaced or modified SR codes</t>
        </is>
      </c>
      <c r="E3408" s="1" t="inlineStr">
        <is>
          <t>Base</t>
        </is>
      </c>
      <c r="F3408" s="1" t="n">
        <v>0.276138</v>
      </c>
    </row>
    <row r="3409" ht="15.75" customHeight="1" s="201">
      <c r="A3409" s="1" t="n">
        <v>71401015</v>
      </c>
      <c r="B3409" s="1" t="inlineStr">
        <is>
          <t>Potato, french fries, from fresh, baked (Includes home or store)</t>
        </is>
      </c>
      <c r="C3409" s="1" t="n">
        <v>4</v>
      </c>
      <c r="D3409" s="1" t="inlineStr">
        <is>
          <t>FNDDS recipe with replaced or modified SR codes</t>
        </is>
      </c>
      <c r="E3409" s="1" t="inlineStr">
        <is>
          <t>Base</t>
        </is>
      </c>
      <c r="F3409" s="1" t="n">
        <v>0.2697</v>
      </c>
    </row>
    <row r="3410" ht="15.75" customHeight="1" s="201">
      <c r="A3410" s="1" t="n">
        <v>71401020</v>
      </c>
      <c r="B3410" s="1" t="inlineStr">
        <is>
          <t>Potato, french fries, from frozen, baked (Includes home or store)</t>
        </is>
      </c>
      <c r="C3410" s="1" t="n">
        <v>1</v>
      </c>
      <c r="D3410" s="1" t="inlineStr">
        <is>
          <t>Links to FNDDS</t>
        </is>
      </c>
      <c r="E3410" s="1" t="inlineStr">
        <is>
          <t>Base</t>
        </is>
      </c>
      <c r="F3410" s="1" t="n">
        <v>0.395426</v>
      </c>
    </row>
    <row r="3411" ht="15.75" customHeight="1" s="201">
      <c r="A3411" s="1" t="n">
        <v>71401030</v>
      </c>
      <c r="B3411" s="1" t="inlineStr">
        <is>
          <t>Potato, french fries, fast food</t>
        </is>
      </c>
      <c r="C3411" s="1" t="n">
        <v>2</v>
      </c>
      <c r="D3411" s="1" t="inlineStr">
        <is>
          <t>Links to altEC</t>
        </is>
      </c>
      <c r="E3411" s="1" t="inlineStr">
        <is>
          <t>Base</t>
        </is>
      </c>
      <c r="F3411" s="1" t="n">
        <v>0.395426</v>
      </c>
    </row>
    <row r="3412" ht="15.75" customHeight="1" s="201">
      <c r="A3412" s="1" t="n">
        <v>71401031</v>
      </c>
      <c r="B3412" s="1" t="inlineStr">
        <is>
          <t>Potato, french fries, restaurant (Includes other place)</t>
        </is>
      </c>
      <c r="C3412" s="1" t="n">
        <v>2</v>
      </c>
      <c r="D3412" s="1" t="inlineStr">
        <is>
          <t>Links to altEC</t>
        </is>
      </c>
      <c r="E3412" s="1" t="inlineStr">
        <is>
          <t>Base</t>
        </is>
      </c>
      <c r="F3412" s="1" t="n">
        <v>0.395426</v>
      </c>
    </row>
    <row r="3413" ht="15.75" customHeight="1" s="201">
      <c r="A3413" s="1" t="n">
        <v>71401032</v>
      </c>
      <c r="B3413" s="1" t="inlineStr">
        <is>
          <t>Potato, french fries, from frozen, fried (Includes home or store)</t>
        </is>
      </c>
      <c r="C3413" s="1" t="n">
        <v>2</v>
      </c>
      <c r="D3413" s="1" t="inlineStr">
        <is>
          <t>Links to altEC</t>
        </is>
      </c>
      <c r="E3413" s="1" t="inlineStr">
        <is>
          <t>Base</t>
        </is>
      </c>
      <c r="F3413" s="1" t="n">
        <v>0.395426</v>
      </c>
    </row>
    <row r="3414" ht="15.75" customHeight="1" s="201">
      <c r="A3414" s="1" t="n">
        <v>71401033</v>
      </c>
      <c r="B3414" s="1" t="inlineStr">
        <is>
          <t>Potato, french fries, school</t>
        </is>
      </c>
      <c r="C3414" s="1" t="n">
        <v>2</v>
      </c>
      <c r="D3414" s="1" t="inlineStr">
        <is>
          <t>Links to altEC</t>
        </is>
      </c>
      <c r="E3414" s="1" t="inlineStr">
        <is>
          <t>Base</t>
        </is>
      </c>
      <c r="F3414" s="1" t="n">
        <v>0.395426</v>
      </c>
    </row>
    <row r="3415" ht="15.75" customHeight="1" s="201">
      <c r="A3415" s="1" t="n">
        <v>71401039</v>
      </c>
      <c r="B3415" s="1" t="inlineStr">
        <is>
          <t>Potato, french fries, with cheese, fast food / restaurant (Includes other place)</t>
        </is>
      </c>
      <c r="C3415" s="1" t="n">
        <v>4</v>
      </c>
      <c r="D3415" s="1" t="inlineStr">
        <is>
          <t>FNDDS recipe with replaced or modified SR codes</t>
        </is>
      </c>
      <c r="E3415" s="1" t="inlineStr">
        <is>
          <t>Base</t>
        </is>
      </c>
      <c r="F3415" s="1" t="n">
        <v>0.42524</v>
      </c>
    </row>
    <row r="3416" ht="15.75" customHeight="1" s="201">
      <c r="A3416" s="1" t="n">
        <v>71401041</v>
      </c>
      <c r="B3416" s="1" t="inlineStr">
        <is>
          <t>Potato, french fries, with cheese, school (Includes with chili; with chili and cheese)</t>
        </is>
      </c>
      <c r="C3416" s="1" t="n">
        <v>4</v>
      </c>
      <c r="D3416" s="1" t="inlineStr">
        <is>
          <t>FNDDS recipe with replaced or modified SR codes</t>
        </is>
      </c>
      <c r="E3416" s="1" t="inlineStr">
        <is>
          <t>Base</t>
        </is>
      </c>
      <c r="F3416" s="1" t="n">
        <v>0.517539</v>
      </c>
    </row>
    <row r="3417" ht="15.75" customHeight="1" s="201">
      <c r="A3417" s="1" t="n">
        <v>71401045</v>
      </c>
      <c r="B3417" s="1" t="inlineStr">
        <is>
          <t>Potato, french fries, with chili, fast food / restaurant (Includes other place)</t>
        </is>
      </c>
      <c r="C3417" s="1" t="n">
        <v>4</v>
      </c>
      <c r="D3417" s="1" t="inlineStr">
        <is>
          <t>FNDDS recipe with replaced or modified SR codes</t>
        </is>
      </c>
      <c r="E3417" s="1" t="inlineStr">
        <is>
          <t>Base</t>
        </is>
      </c>
      <c r="F3417" s="1" t="n">
        <v>0.443453</v>
      </c>
    </row>
    <row r="3418" ht="15.75" customHeight="1" s="201">
      <c r="A3418" s="1" t="n">
        <v>71401050</v>
      </c>
      <c r="B3418" s="1" t="inlineStr">
        <is>
          <t>Potato, french fries, with chili and cheese, fast food / restaurant (Includes other place; chili with cheese)</t>
        </is>
      </c>
      <c r="C3418" s="1" t="n">
        <v>4</v>
      </c>
      <c r="D3418" s="1" t="inlineStr">
        <is>
          <t>FNDDS recipe with replaced or modified SR codes</t>
        </is>
      </c>
      <c r="E3418" s="1" t="inlineStr">
        <is>
          <t>Base</t>
        </is>
      </c>
      <c r="F3418" s="1" t="n">
        <v>0.429357</v>
      </c>
    </row>
    <row r="3419" ht="15.75" customHeight="1" s="201">
      <c r="A3419" s="1" t="n">
        <v>71402500</v>
      </c>
      <c r="B3419" s="1" t="inlineStr">
        <is>
          <t>Potato, french fries, with cheese (Includes fresh or frozen; fried or baked; home or store)</t>
        </is>
      </c>
      <c r="C3419" s="1" t="n">
        <v>4</v>
      </c>
      <c r="D3419" s="1" t="inlineStr">
        <is>
          <t>FNDDS recipe with replaced or modified SR codes</t>
        </is>
      </c>
      <c r="E3419" s="1" t="inlineStr">
        <is>
          <t>Base</t>
        </is>
      </c>
      <c r="F3419" s="1" t="n">
        <v>0.42524</v>
      </c>
    </row>
    <row r="3420" ht="15.75" customHeight="1" s="201">
      <c r="A3420" s="1" t="n">
        <v>71403020</v>
      </c>
      <c r="B3420" s="1" t="inlineStr">
        <is>
          <t>Potato, home fries, NFS</t>
        </is>
      </c>
      <c r="C3420" s="1" t="n">
        <v>2</v>
      </c>
      <c r="D3420" s="1" t="inlineStr">
        <is>
          <t>Links to altEC</t>
        </is>
      </c>
      <c r="E3420" s="1" t="inlineStr">
        <is>
          <t>Base</t>
        </is>
      </c>
      <c r="F3420" s="1" t="n">
        <v>0.38297</v>
      </c>
    </row>
    <row r="3421" ht="15.75" customHeight="1" s="201">
      <c r="A3421" s="1" t="n">
        <v>71403030</v>
      </c>
      <c r="B3421" s="1" t="inlineStr">
        <is>
          <t>Potato, home fries, from restaurant / fast food</t>
        </is>
      </c>
      <c r="C3421" s="1" t="n">
        <v>2</v>
      </c>
      <c r="D3421" s="1" t="inlineStr">
        <is>
          <t>Links to altEC</t>
        </is>
      </c>
      <c r="E3421" s="1" t="inlineStr">
        <is>
          <t>Base</t>
        </is>
      </c>
      <c r="F3421" s="1" t="n">
        <v>0.38297</v>
      </c>
    </row>
    <row r="3422" ht="15.75" customHeight="1" s="201">
      <c r="A3422" s="1" t="n">
        <v>71403040</v>
      </c>
      <c r="B3422" s="1" t="inlineStr">
        <is>
          <t>Potato, home fries, from fresh (Includes cottage style; fried; German fried)</t>
        </is>
      </c>
      <c r="C3422" s="1" t="n">
        <v>4</v>
      </c>
      <c r="D3422" s="1" t="inlineStr">
        <is>
          <t>FNDDS recipe with replaced or modified SR codes</t>
        </is>
      </c>
      <c r="E3422" s="1" t="inlineStr">
        <is>
          <t>Base</t>
        </is>
      </c>
      <c r="F3422" s="1" t="n">
        <v>0.273549</v>
      </c>
    </row>
    <row r="3423" ht="15.75" customHeight="1" s="201">
      <c r="A3423" s="1" t="n">
        <v>71403050</v>
      </c>
      <c r="B3423" s="1" t="inlineStr">
        <is>
          <t>Potato, home fries, ready-to-heat (Includes refrigerated; microwavable; frozen; dry mix; from school)</t>
        </is>
      </c>
      <c r="C3423" s="1" t="n">
        <v>1</v>
      </c>
      <c r="D3423" s="1" t="inlineStr">
        <is>
          <t>Links to FNDDS</t>
        </is>
      </c>
      <c r="E3423" s="1" t="inlineStr">
        <is>
          <t>Base</t>
        </is>
      </c>
      <c r="F3423" s="1" t="n">
        <v>0.38297</v>
      </c>
    </row>
    <row r="3424" ht="15.75" customHeight="1" s="201">
      <c r="A3424" s="1" t="n">
        <v>71403500</v>
      </c>
      <c r="B3424" s="1" t="inlineStr">
        <is>
          <t>Potato, home fries, with vegetables (Includes Potatoes O'Brien; green or red peppers and onions)</t>
        </is>
      </c>
      <c r="C3424" s="1" t="n">
        <v>4</v>
      </c>
      <c r="D3424" s="1" t="inlineStr">
        <is>
          <t>FNDDS recipe with replaced or modified SR codes</t>
        </is>
      </c>
      <c r="E3424" s="1" t="inlineStr">
        <is>
          <t>Base</t>
        </is>
      </c>
      <c r="F3424" s="1" t="n">
        <v>0.33267</v>
      </c>
    </row>
    <row r="3425" ht="15.75" customHeight="1" s="201">
      <c r="A3425" s="1" t="n">
        <v>71404000</v>
      </c>
      <c r="B3425" s="1" t="inlineStr">
        <is>
          <t>Potato, hash brown, NFS</t>
        </is>
      </c>
      <c r="C3425" s="1" t="n">
        <v>2</v>
      </c>
      <c r="D3425" s="1" t="inlineStr">
        <is>
          <t>Links to altEC</t>
        </is>
      </c>
      <c r="E3425" s="1" t="inlineStr">
        <is>
          <t>Base</t>
        </is>
      </c>
      <c r="F3425" s="1" t="n">
        <v>0.41304</v>
      </c>
    </row>
    <row r="3426" ht="15.75" customHeight="1" s="201">
      <c r="A3426" s="1" t="n">
        <v>71404010</v>
      </c>
      <c r="B3426" s="1" t="inlineStr">
        <is>
          <t>Potato, hash brown, from fast food</t>
        </is>
      </c>
      <c r="C3426" s="1" t="n">
        <v>2</v>
      </c>
      <c r="D3426" s="1" t="inlineStr">
        <is>
          <t>Links to altEC</t>
        </is>
      </c>
      <c r="E3426" s="1" t="inlineStr">
        <is>
          <t>Base</t>
        </is>
      </c>
      <c r="F3426" s="1" t="n">
        <v>0.40912</v>
      </c>
    </row>
    <row r="3427" ht="15.75" customHeight="1" s="201">
      <c r="A3427" s="1" t="n">
        <v>71404020</v>
      </c>
      <c r="B3427" s="1" t="inlineStr">
        <is>
          <t>Potato, hash brown, from fast food, with cheese</t>
        </is>
      </c>
      <c r="C3427" s="1" t="n">
        <v>4</v>
      </c>
      <c r="D3427" s="1" t="inlineStr">
        <is>
          <t>FNDDS recipe with replaced or modified SR codes</t>
        </is>
      </c>
      <c r="E3427" s="1" t="inlineStr">
        <is>
          <t>Base</t>
        </is>
      </c>
      <c r="F3427" s="1" t="n">
        <v>0.547803</v>
      </c>
    </row>
    <row r="3428" ht="15.75" customHeight="1" s="201">
      <c r="A3428" s="1" t="n">
        <v>71404030</v>
      </c>
      <c r="B3428" s="1" t="inlineStr">
        <is>
          <t>Potato, hash brown, from restaurant</t>
        </is>
      </c>
      <c r="C3428" s="1" t="n">
        <v>2</v>
      </c>
      <c r="D3428" s="1" t="inlineStr">
        <is>
          <t>Links to altEC</t>
        </is>
      </c>
      <c r="E3428" s="1" t="inlineStr">
        <is>
          <t>Base</t>
        </is>
      </c>
      <c r="F3428" s="1" t="n">
        <v>0.40912</v>
      </c>
    </row>
    <row r="3429" ht="15.75" customHeight="1" s="201">
      <c r="A3429" s="1" t="n">
        <v>71404040</v>
      </c>
      <c r="B3429" s="1" t="inlineStr">
        <is>
          <t>Potato, hash brown, from restaurant, with cheese</t>
        </is>
      </c>
      <c r="C3429" s="1" t="n">
        <v>4</v>
      </c>
      <c r="D3429" s="1" t="inlineStr">
        <is>
          <t>FNDDS recipe with replaced or modified SR codes</t>
        </is>
      </c>
      <c r="E3429" s="1" t="inlineStr">
        <is>
          <t>Base</t>
        </is>
      </c>
      <c r="F3429" s="1" t="n">
        <v>0.547803</v>
      </c>
    </row>
    <row r="3430" ht="15.75" customHeight="1" s="201">
      <c r="A3430" s="1" t="n">
        <v>71405010</v>
      </c>
      <c r="B3430" s="1" t="inlineStr">
        <is>
          <t>Potato, hash brown, from fresh</t>
        </is>
      </c>
      <c r="C3430" s="1" t="n">
        <v>4</v>
      </c>
      <c r="D3430" s="1" t="inlineStr">
        <is>
          <t>FNDDS recipe with replaced or modified SR codes</t>
        </is>
      </c>
      <c r="E3430" s="1" t="inlineStr">
        <is>
          <t>Base</t>
        </is>
      </c>
      <c r="F3430" s="1" t="n">
        <v>0.274767</v>
      </c>
    </row>
    <row r="3431" ht="15.75" customHeight="1" s="201">
      <c r="A3431" s="1" t="n">
        <v>71405019</v>
      </c>
      <c r="B3431" s="1" t="inlineStr">
        <is>
          <t>Potato, hash brown, from fresh, with cheese</t>
        </is>
      </c>
      <c r="C3431" s="1" t="n">
        <v>4</v>
      </c>
      <c r="D3431" s="1" t="inlineStr">
        <is>
          <t>FNDDS recipe with replaced or modified SR codes</t>
        </is>
      </c>
      <c r="E3431" s="1" t="inlineStr">
        <is>
          <t>Base</t>
        </is>
      </c>
      <c r="F3431" s="1" t="n">
        <v>0.400997</v>
      </c>
    </row>
    <row r="3432" ht="15.75" customHeight="1" s="201">
      <c r="A3432" s="1" t="n">
        <v>71405030</v>
      </c>
      <c r="B3432" s="1" t="inlineStr">
        <is>
          <t>Potato, hash brown, from dry mix (Includes with or without cheese)</t>
        </is>
      </c>
      <c r="C3432" s="1" t="n">
        <v>3</v>
      </c>
      <c r="D3432" s="1" t="inlineStr">
        <is>
          <t>Original FNDDS recipe</t>
        </is>
      </c>
      <c r="E3432" s="1" t="inlineStr">
        <is>
          <t>Base</t>
        </is>
      </c>
      <c r="F3432" s="1" t="n">
        <v>0.401646</v>
      </c>
    </row>
    <row r="3433" ht="15.75" customHeight="1" s="201">
      <c r="A3433" s="1" t="n">
        <v>71405040</v>
      </c>
      <c r="B3433" s="1" t="inlineStr">
        <is>
          <t>Potato, hash brown, ready-to-heat (Includes refrigerated; microwavable; frozen)</t>
        </is>
      </c>
      <c r="C3433" s="1" t="n">
        <v>1</v>
      </c>
      <c r="D3433" s="1" t="inlineStr">
        <is>
          <t>Links to FNDDS</t>
        </is>
      </c>
      <c r="E3433" s="1" t="inlineStr">
        <is>
          <t>Base</t>
        </is>
      </c>
      <c r="F3433" s="1" t="n">
        <v>0.432434</v>
      </c>
    </row>
    <row r="3434" ht="15.75" customHeight="1" s="201">
      <c r="A3434" s="1" t="n">
        <v>71405050</v>
      </c>
      <c r="B3434" s="1" t="inlineStr">
        <is>
          <t>Potato, hash brown, ready-to-heat, with cheese (Includes refrigerated; microwavable; frozen)</t>
        </is>
      </c>
      <c r="C3434" s="1" t="n">
        <v>1</v>
      </c>
      <c r="D3434" s="1" t="inlineStr">
        <is>
          <t>Links to FNDDS</t>
        </is>
      </c>
      <c r="E3434" s="1" t="inlineStr">
        <is>
          <t>Base</t>
        </is>
      </c>
      <c r="F3434" s="1" t="n">
        <v>1.07773</v>
      </c>
    </row>
    <row r="3435" ht="15.75" customHeight="1" s="201">
      <c r="A3435" s="1" t="n">
        <v>71410500</v>
      </c>
      <c r="B3435" s="1" t="inlineStr">
        <is>
          <t>Potato skins, with cheese (Includes sour cream; salsa)</t>
        </is>
      </c>
      <c r="C3435" s="1" t="n">
        <v>4</v>
      </c>
      <c r="D3435" s="1" t="inlineStr">
        <is>
          <t>FNDDS recipe with replaced or modified SR codes</t>
        </is>
      </c>
      <c r="E3435" s="1" t="inlineStr">
        <is>
          <t>Base</t>
        </is>
      </c>
      <c r="F3435" s="1" t="n">
        <v>0.421622</v>
      </c>
    </row>
    <row r="3436" ht="15.75" customHeight="1" s="201">
      <c r="A3436" s="1" t="n">
        <v>71411000</v>
      </c>
      <c r="B3436" s="1" t="inlineStr">
        <is>
          <t>Potato skins, with cheese and bacon (Includes sour cream; salsa)</t>
        </is>
      </c>
      <c r="C3436" s="1" t="n">
        <v>1</v>
      </c>
      <c r="D3436" s="1" t="inlineStr">
        <is>
          <t>Links to FNDDS</t>
        </is>
      </c>
      <c r="E3436" s="1" t="inlineStr">
        <is>
          <t>Base</t>
        </is>
      </c>
      <c r="F3436" s="1" t="n">
        <v>1.404625</v>
      </c>
    </row>
    <row r="3437" ht="15.75" customHeight="1" s="201">
      <c r="A3437" s="1" t="n">
        <v>71501005</v>
      </c>
      <c r="B3437" s="1" t="inlineStr">
        <is>
          <t>Potato, mashed, from fast food</t>
        </is>
      </c>
      <c r="C3437" s="1" t="n">
        <v>2</v>
      </c>
      <c r="D3437" s="1" t="inlineStr">
        <is>
          <t>Links to altEC</t>
        </is>
      </c>
      <c r="E3437" s="1" t="inlineStr">
        <is>
          <t>Base</t>
        </is>
      </c>
      <c r="F3437" s="1" t="n">
        <v>0.520503</v>
      </c>
    </row>
    <row r="3438" ht="15.75" customHeight="1" s="201">
      <c r="A3438" s="1" t="n">
        <v>71501006</v>
      </c>
      <c r="B3438" s="1" t="inlineStr">
        <is>
          <t>Potato, mashed, from fast food, with gravy</t>
        </is>
      </c>
      <c r="C3438" s="1" t="n">
        <v>4</v>
      </c>
      <c r="D3438" s="1" t="inlineStr">
        <is>
          <t>FNDDS recipe with replaced or modified SR codes</t>
        </is>
      </c>
      <c r="E3438" s="1" t="inlineStr">
        <is>
          <t>Base</t>
        </is>
      </c>
      <c r="F3438" s="1" t="n">
        <v>0.50895</v>
      </c>
    </row>
    <row r="3439" ht="15.75" customHeight="1" s="201">
      <c r="A3439" s="1" t="n">
        <v>71501007</v>
      </c>
      <c r="B3439" s="1" t="inlineStr">
        <is>
          <t>Potato, mashed, ready-to-heat (Includes refrigerated; microwavable; frozen)</t>
        </is>
      </c>
      <c r="C3439" s="1" t="n">
        <v>2</v>
      </c>
      <c r="D3439" s="1" t="inlineStr">
        <is>
          <t>Links to altEC</t>
        </is>
      </c>
      <c r="E3439" s="1" t="inlineStr">
        <is>
          <t>Base</t>
        </is>
      </c>
      <c r="F3439" s="1" t="n">
        <v>0.520503</v>
      </c>
    </row>
    <row r="3440" ht="15.75" customHeight="1" s="201">
      <c r="A3440" s="1" t="n">
        <v>71501010</v>
      </c>
      <c r="B3440" s="1" t="inlineStr">
        <is>
          <t>Potato, mashed, from fresh, made with milk (Includes with water; sour cream; cream)</t>
        </is>
      </c>
      <c r="C3440" s="1" t="n">
        <v>4</v>
      </c>
      <c r="D3440" s="1" t="inlineStr">
        <is>
          <t>FNDDS recipe with replaced or modified SR codes</t>
        </is>
      </c>
      <c r="E3440" s="1" t="inlineStr">
        <is>
          <t>Base</t>
        </is>
      </c>
      <c r="F3440" s="1" t="n">
        <v>0.291683</v>
      </c>
    </row>
    <row r="3441" ht="15.75" customHeight="1" s="201">
      <c r="A3441" s="1" t="n">
        <v>71501011</v>
      </c>
      <c r="B3441" s="1" t="inlineStr">
        <is>
          <t>Potato, mashed, from fresh, made with milk, with cheese (Includes with water; sour cream; cream)</t>
        </is>
      </c>
      <c r="C3441" s="1" t="n">
        <v>4</v>
      </c>
      <c r="D3441" s="1" t="inlineStr">
        <is>
          <t>FNDDS recipe with replaced or modified SR codes</t>
        </is>
      </c>
      <c r="E3441" s="1" t="inlineStr">
        <is>
          <t>Base</t>
        </is>
      </c>
      <c r="F3441" s="1" t="n">
        <v>0.585909</v>
      </c>
    </row>
    <row r="3442" ht="15.75" customHeight="1" s="201">
      <c r="A3442" s="1" t="n">
        <v>71501012</v>
      </c>
      <c r="B3442" s="1" t="inlineStr">
        <is>
          <t>Potato, mashed, from fresh, made with milk, with gravy (Includes with water; cheese; sour cream; cream)</t>
        </is>
      </c>
      <c r="C3442" s="1" t="n">
        <v>4</v>
      </c>
      <c r="D3442" s="1" t="inlineStr">
        <is>
          <t>FNDDS recipe with replaced or modified SR codes</t>
        </is>
      </c>
      <c r="E3442" s="1" t="inlineStr">
        <is>
          <t>Base</t>
        </is>
      </c>
      <c r="F3442" s="1" t="n">
        <v>0.50895</v>
      </c>
    </row>
    <row r="3443" ht="15.75" customHeight="1" s="201">
      <c r="A3443" s="1" t="n">
        <v>71501013</v>
      </c>
      <c r="B3443" s="1" t="inlineStr">
        <is>
          <t>Potato, mashed, from fresh, NFS</t>
        </is>
      </c>
      <c r="C3443" s="1" t="n">
        <v>4</v>
      </c>
      <c r="D3443" s="1" t="inlineStr">
        <is>
          <t>FNDDS recipe with replaced or modified SR codes</t>
        </is>
      </c>
      <c r="E3443" s="1" t="inlineStr">
        <is>
          <t>Base</t>
        </is>
      </c>
      <c r="F3443" s="1" t="n">
        <v>0.291684</v>
      </c>
    </row>
    <row r="3444" ht="15.75" customHeight="1" s="201">
      <c r="A3444" s="1" t="n">
        <v>71501016</v>
      </c>
      <c r="B3444" s="1" t="inlineStr">
        <is>
          <t>Potato, mashed, from restaurant</t>
        </is>
      </c>
      <c r="C3444" s="1" t="n">
        <v>2</v>
      </c>
      <c r="D3444" s="1" t="inlineStr">
        <is>
          <t>Links to altEC</t>
        </is>
      </c>
      <c r="E3444" s="1" t="inlineStr">
        <is>
          <t>Base</t>
        </is>
      </c>
      <c r="F3444" s="1" t="n">
        <v>0.520503</v>
      </c>
    </row>
    <row r="3445" ht="15.75" customHeight="1" s="201">
      <c r="A3445" s="1" t="n">
        <v>71501017</v>
      </c>
      <c r="B3445" s="1" t="inlineStr">
        <is>
          <t>Potato, mashed, from restaurant, with gravy</t>
        </is>
      </c>
      <c r="C3445" s="1" t="n">
        <v>4</v>
      </c>
      <c r="D3445" s="1" t="inlineStr">
        <is>
          <t>FNDDS recipe with replaced or modified SR codes</t>
        </is>
      </c>
      <c r="E3445" s="1" t="inlineStr">
        <is>
          <t>Base</t>
        </is>
      </c>
      <c r="F3445" s="1" t="n">
        <v>0.50895</v>
      </c>
    </row>
    <row r="3446" ht="15.75" customHeight="1" s="201">
      <c r="A3446" s="1" t="n">
        <v>71501018</v>
      </c>
      <c r="B3446" s="1" t="inlineStr">
        <is>
          <t>Potato, mashed, from school lunch (Includes with gravy)</t>
        </is>
      </c>
      <c r="C3446" s="1" t="n">
        <v>2</v>
      </c>
      <c r="D3446" s="1" t="inlineStr">
        <is>
          <t>Links to altEC</t>
        </is>
      </c>
      <c r="E3446" s="1" t="inlineStr">
        <is>
          <t>Base</t>
        </is>
      </c>
      <c r="F3446" s="1" t="n">
        <v>0.520503</v>
      </c>
    </row>
    <row r="3447" ht="15.75" customHeight="1" s="201">
      <c r="A3447" s="1" t="n">
        <v>71501035</v>
      </c>
      <c r="B3447" s="1" t="inlineStr">
        <is>
          <t>Potato, mashed, from dry mix, NFS</t>
        </is>
      </c>
      <c r="C3447" s="1" t="n">
        <v>4</v>
      </c>
      <c r="D3447" s="1" t="inlineStr">
        <is>
          <t>FNDDS recipe with replaced or modified SR codes</t>
        </is>
      </c>
      <c r="E3447" s="1" t="inlineStr">
        <is>
          <t>Base</t>
        </is>
      </c>
      <c r="F3447" s="1" t="n">
        <v>0.206284</v>
      </c>
    </row>
    <row r="3448" ht="15.75" customHeight="1" s="201">
      <c r="A3448" s="1" t="n">
        <v>71501040</v>
      </c>
      <c r="B3448" s="1" t="inlineStr">
        <is>
          <t>Potato, mashed, from dry mix, made with milk (Includes with water; sour cream; cream)</t>
        </is>
      </c>
      <c r="C3448" s="1" t="n">
        <v>4</v>
      </c>
      <c r="D3448" s="1" t="inlineStr">
        <is>
          <t>FNDDS recipe with replaced or modified SR codes</t>
        </is>
      </c>
      <c r="E3448" s="1" t="inlineStr">
        <is>
          <t>Base</t>
        </is>
      </c>
      <c r="F3448" s="1" t="n">
        <v>0.206284</v>
      </c>
    </row>
    <row r="3449" ht="15.75" customHeight="1" s="201">
      <c r="A3449" s="1" t="n">
        <v>71501045</v>
      </c>
      <c r="B3449" s="1" t="inlineStr">
        <is>
          <t>Potato, mashed, from dry mix, made with milk, with cheese (Includes with water; sour cream; cream)</t>
        </is>
      </c>
      <c r="C3449" s="1" t="n">
        <v>4</v>
      </c>
      <c r="D3449" s="1" t="inlineStr">
        <is>
          <t>FNDDS recipe with replaced or modified SR codes</t>
        </is>
      </c>
      <c r="E3449" s="1" t="inlineStr">
        <is>
          <t>Base</t>
        </is>
      </c>
      <c r="F3449" s="1" t="n">
        <v>0.585909</v>
      </c>
    </row>
    <row r="3450" ht="15.75" customHeight="1" s="201">
      <c r="A3450" s="1" t="n">
        <v>71501054</v>
      </c>
      <c r="B3450" s="1" t="inlineStr">
        <is>
          <t>Potato, mashed, from dry mix, made with milk, with gravy (Includes with water; cheese; sour cream; cream)</t>
        </is>
      </c>
      <c r="C3450" s="1" t="n">
        <v>4</v>
      </c>
      <c r="D3450" s="1" t="inlineStr">
        <is>
          <t>FNDDS recipe with replaced or modified SR codes</t>
        </is>
      </c>
      <c r="E3450" s="1" t="inlineStr">
        <is>
          <t>Base</t>
        </is>
      </c>
      <c r="F3450" s="1" t="n">
        <v>0.50895</v>
      </c>
    </row>
    <row r="3451" ht="15.75" customHeight="1" s="201">
      <c r="A3451" s="1" t="n">
        <v>71501061</v>
      </c>
      <c r="B3451" s="1" t="inlineStr">
        <is>
          <t>Potato, mashed, ready-to-heat, NFS (Includes refrigerated, microwavable, frozen)</t>
        </is>
      </c>
      <c r="C3451" s="1" t="n">
        <v>2</v>
      </c>
      <c r="D3451" s="1" t="inlineStr">
        <is>
          <t>Links to altEC</t>
        </is>
      </c>
      <c r="E3451" s="1" t="inlineStr">
        <is>
          <t>Base</t>
        </is>
      </c>
      <c r="F3451" s="1" t="n">
        <v>0.53984</v>
      </c>
    </row>
    <row r="3452" ht="15.75" customHeight="1" s="201">
      <c r="A3452" s="1" t="n">
        <v>71501075</v>
      </c>
      <c r="B3452" s="1" t="inlineStr">
        <is>
          <t>Potato, mashed, ready-to-heat, with gravy (Includes with cheese; cream; sour cream; refrigerated, microwavable, frozen)</t>
        </is>
      </c>
      <c r="C3452" s="1" t="n">
        <v>4</v>
      </c>
      <c r="D3452" s="1" t="inlineStr">
        <is>
          <t>FNDDS recipe with replaced or modified SR codes</t>
        </is>
      </c>
      <c r="E3452" s="1" t="inlineStr">
        <is>
          <t>Base</t>
        </is>
      </c>
      <c r="F3452" s="1" t="n">
        <v>0.50895</v>
      </c>
    </row>
    <row r="3453" ht="15.75" customHeight="1" s="201">
      <c r="A3453" s="1" t="n">
        <v>71503010</v>
      </c>
      <c r="B3453" s="1" t="inlineStr">
        <is>
          <t>Potato patty (Includes potato croquettes; potato cake)</t>
        </is>
      </c>
      <c r="C3453" s="1" t="n">
        <v>4</v>
      </c>
      <c r="D3453" s="1" t="inlineStr">
        <is>
          <t>FNDDS recipe with replaced or modified SR codes</t>
        </is>
      </c>
      <c r="E3453" s="1" t="inlineStr">
        <is>
          <t>Base</t>
        </is>
      </c>
      <c r="F3453" s="1" t="n">
        <v>0.458646</v>
      </c>
    </row>
    <row r="3454" ht="15.75" customHeight="1" s="201">
      <c r="A3454" s="1" t="n">
        <v>71505000</v>
      </c>
      <c r="B3454" s="1" t="inlineStr">
        <is>
          <t>Potato tots, NFS (Includes tater tots; potato puffs)</t>
        </is>
      </c>
      <c r="C3454" s="1" t="n">
        <v>2</v>
      </c>
      <c r="D3454" s="1" t="inlineStr">
        <is>
          <t>Links to altEC</t>
        </is>
      </c>
      <c r="E3454" s="1" t="inlineStr">
        <is>
          <t>Base</t>
        </is>
      </c>
      <c r="F3454" s="1" t="n">
        <v>0.306922</v>
      </c>
    </row>
    <row r="3455" ht="15.75" customHeight="1" s="201">
      <c r="A3455" s="1" t="n">
        <v>71505010</v>
      </c>
      <c r="B3455" s="1" t="inlineStr">
        <is>
          <t>Potato tots, fast food / restaurant (Includes tater tots; potato puffs; other place)</t>
        </is>
      </c>
      <c r="C3455" s="1" t="n">
        <v>2</v>
      </c>
      <c r="D3455" s="1" t="inlineStr">
        <is>
          <t>Links to altEC</t>
        </is>
      </c>
      <c r="E3455" s="1" t="inlineStr">
        <is>
          <t>Base</t>
        </is>
      </c>
      <c r="F3455" s="1" t="n">
        <v>0.306922</v>
      </c>
    </row>
    <row r="3456" ht="15.75" customHeight="1" s="201">
      <c r="A3456" s="1" t="n">
        <v>71505020</v>
      </c>
      <c r="B3456" s="1" t="inlineStr">
        <is>
          <t>Potato tots, school (Includes tater tots; potato puffs)</t>
        </is>
      </c>
      <c r="C3456" s="1" t="n">
        <v>2</v>
      </c>
      <c r="D3456" s="1" t="inlineStr">
        <is>
          <t>Links to altEC</t>
        </is>
      </c>
      <c r="E3456" s="1" t="inlineStr">
        <is>
          <t>Base</t>
        </is>
      </c>
      <c r="F3456" s="1" t="n">
        <v>0.306922</v>
      </c>
    </row>
    <row r="3457" ht="15.75" customHeight="1" s="201">
      <c r="A3457" s="1" t="n">
        <v>71505030</v>
      </c>
      <c r="B3457" s="1" t="inlineStr">
        <is>
          <t>Potato tots, from fresh, fried or baked (Includes home or store; tater tots; potato puffs)</t>
        </is>
      </c>
      <c r="C3457" s="1" t="n">
        <v>4</v>
      </c>
      <c r="D3457" s="1" t="inlineStr">
        <is>
          <t>FNDDS recipe with replaced or modified SR codes</t>
        </is>
      </c>
      <c r="E3457" s="1" t="inlineStr">
        <is>
          <t>Base</t>
        </is>
      </c>
      <c r="F3457" s="1" t="n">
        <v>0.316556</v>
      </c>
    </row>
    <row r="3458" ht="15.75" customHeight="1" s="201">
      <c r="A3458" s="1" t="n">
        <v>71505040</v>
      </c>
      <c r="B3458" s="1" t="inlineStr">
        <is>
          <t>Potato tots, frozen, baked (Includes home or store; tater tots; potato puffs)</t>
        </is>
      </c>
      <c r="C3458" s="1" t="n">
        <v>2</v>
      </c>
      <c r="D3458" s="1" t="inlineStr">
        <is>
          <t>Links to altEC</t>
        </is>
      </c>
      <c r="E3458" s="1" t="inlineStr">
        <is>
          <t>Base</t>
        </is>
      </c>
      <c r="F3458" s="1" t="n">
        <v>0.306922</v>
      </c>
    </row>
    <row r="3459" ht="15.75" customHeight="1" s="201">
      <c r="A3459" s="1" t="n">
        <v>71505060</v>
      </c>
      <c r="B3459" s="1" t="inlineStr">
        <is>
          <t>Potato tots, frozen, NS as to fried or baked (Includes home or store; tater tots; crispy crowns; potato puffs; NS as to fresh or frozen)</t>
        </is>
      </c>
      <c r="C3459" s="1" t="n">
        <v>2</v>
      </c>
      <c r="D3459" s="1" t="inlineStr">
        <is>
          <t>Links to altEC</t>
        </is>
      </c>
      <c r="E3459" s="1" t="inlineStr">
        <is>
          <t>Base</t>
        </is>
      </c>
      <c r="F3459" s="1" t="n">
        <v>0.306922</v>
      </c>
    </row>
    <row r="3460" ht="15.75" customHeight="1" s="201">
      <c r="A3460" s="1" t="n">
        <v>71507005</v>
      </c>
      <c r="B3460" s="1" t="inlineStr">
        <is>
          <t>Potato, baked, peel not eaten, with butter (Includes NS as to peel eaten; margarine; twice baked; stuffed)</t>
        </is>
      </c>
      <c r="C3460" s="1" t="n">
        <v>4</v>
      </c>
      <c r="D3460" s="1" t="inlineStr">
        <is>
          <t>FNDDS recipe with replaced or modified SR codes</t>
        </is>
      </c>
      <c r="E3460" s="1" t="inlineStr">
        <is>
          <t>Base</t>
        </is>
      </c>
      <c r="F3460" s="1" t="n">
        <v>0.309468</v>
      </c>
    </row>
    <row r="3461" ht="15.75" customHeight="1" s="201">
      <c r="A3461" s="1" t="n">
        <v>71507010</v>
      </c>
      <c r="B3461" s="1" t="inlineStr">
        <is>
          <t>Potato, baked, peel not eaten, with sour cream (Includes NS as to peel eaten; butter or margarine; twice baked; stuffed)</t>
        </is>
      </c>
      <c r="C3461" s="1" t="n">
        <v>4</v>
      </c>
      <c r="D3461" s="1" t="inlineStr">
        <is>
          <t>FNDDS recipe with replaced or modified SR codes</t>
        </is>
      </c>
      <c r="E3461" s="1" t="inlineStr">
        <is>
          <t>Base</t>
        </is>
      </c>
      <c r="F3461" s="1" t="n">
        <v>0.320936</v>
      </c>
    </row>
    <row r="3462" ht="15.75" customHeight="1" s="201">
      <c r="A3462" s="1" t="n">
        <v>71507020</v>
      </c>
      <c r="B3462" s="1" t="inlineStr">
        <is>
          <t>Potato, baked, peel not eaten, with cheese (Includes NS as to peel eaten; cream cheese; cheese sauce; sour cream; butter or margarine; twice baked; stuffed)</t>
        </is>
      </c>
      <c r="C3462" s="1" t="n">
        <v>4</v>
      </c>
      <c r="D3462" s="1" t="inlineStr">
        <is>
          <t>FNDDS recipe with replaced or modified SR codes</t>
        </is>
      </c>
      <c r="E3462" s="1" t="inlineStr">
        <is>
          <t>Base</t>
        </is>
      </c>
      <c r="F3462" s="1" t="n">
        <v>0.383738</v>
      </c>
    </row>
    <row r="3463" ht="15.75" customHeight="1" s="201">
      <c r="A3463" s="1" t="n">
        <v>71507025</v>
      </c>
      <c r="B3463" s="1" t="inlineStr">
        <is>
          <t>Potato, baked, peel not eaten, with meat (Includes NS as to peel eaten; bacon; chicken; ham; cheese; cream cheese; cheese sauce; sour cream; butter or margarine; twice baked; stuffed)</t>
        </is>
      </c>
      <c r="C3463" s="1" t="n">
        <v>4</v>
      </c>
      <c r="D3463" s="1" t="inlineStr">
        <is>
          <t>FNDDS recipe with replaced or modified SR codes</t>
        </is>
      </c>
      <c r="E3463" s="1" t="inlineStr">
        <is>
          <t>Base</t>
        </is>
      </c>
      <c r="F3463" s="1" t="n">
        <v>0.463109</v>
      </c>
    </row>
    <row r="3464" ht="15.75" customHeight="1" s="201">
      <c r="A3464" s="1" t="n">
        <v>71508001</v>
      </c>
      <c r="B3464" s="1" t="inlineStr">
        <is>
          <t>Potato, baked, peel eaten</t>
        </is>
      </c>
      <c r="C3464" s="1" t="n">
        <v>2</v>
      </c>
      <c r="D3464" s="1" t="inlineStr">
        <is>
          <t>Links to altEC</t>
        </is>
      </c>
      <c r="E3464" s="1" t="inlineStr">
        <is>
          <t>Base</t>
        </is>
      </c>
      <c r="F3464" s="1" t="n">
        <v>0.271964</v>
      </c>
    </row>
    <row r="3465" ht="15.75" customHeight="1" s="201">
      <c r="A3465" s="1" t="n">
        <v>71508005</v>
      </c>
      <c r="B3465" s="1" t="inlineStr">
        <is>
          <t>Potato, baked, peel eaten, with butter (Includes margarine; twice baked; stuffed)</t>
        </is>
      </c>
      <c r="C3465" s="1" t="n">
        <v>4</v>
      </c>
      <c r="D3465" s="1" t="inlineStr">
        <is>
          <t>FNDDS recipe with replaced or modified SR codes</t>
        </is>
      </c>
      <c r="E3465" s="1" t="inlineStr">
        <is>
          <t>Base</t>
        </is>
      </c>
      <c r="F3465" s="1" t="n">
        <v>0.309468</v>
      </c>
    </row>
    <row r="3466" ht="15.75" customHeight="1" s="201">
      <c r="A3466" s="1" t="n">
        <v>71508010</v>
      </c>
      <c r="B3466" s="1" t="inlineStr">
        <is>
          <t>Potato, baked, peel eaten, with sour cream (Includes butter or margarine; twice baked; stuffed)</t>
        </is>
      </c>
      <c r="C3466" s="1" t="n">
        <v>4</v>
      </c>
      <c r="D3466" s="1" t="inlineStr">
        <is>
          <t>FNDDS recipe with replaced or modified SR codes</t>
        </is>
      </c>
      <c r="E3466" s="1" t="inlineStr">
        <is>
          <t>Base</t>
        </is>
      </c>
      <c r="F3466" s="1" t="n">
        <v>0.320936</v>
      </c>
    </row>
    <row r="3467" ht="15.75" customHeight="1" s="201">
      <c r="A3467" s="1" t="n">
        <v>71508020</v>
      </c>
      <c r="B3467" s="1" t="inlineStr">
        <is>
          <t>Potato, baked, peel eaten, with cheese (Includes cream cheese; cheese sauce; sour cream; butter or margarine; twice baked; stuffed)</t>
        </is>
      </c>
      <c r="C3467" s="1" t="n">
        <v>4</v>
      </c>
      <c r="D3467" s="1" t="inlineStr">
        <is>
          <t>FNDDS recipe with replaced or modified SR codes</t>
        </is>
      </c>
      <c r="E3467" s="1" t="inlineStr">
        <is>
          <t>Base</t>
        </is>
      </c>
      <c r="F3467" s="1" t="n">
        <v>0.383738</v>
      </c>
    </row>
    <row r="3468" ht="15.75" customHeight="1" s="201">
      <c r="A3468" s="1" t="n">
        <v>71508025</v>
      </c>
      <c r="B3468" s="1" t="inlineStr">
        <is>
          <t>Potato, baked, peel eaten, with meat (Includes bacon; chicken; ham; cheese; cream cheese; cheese sauce; sour cream; butter or margarine; twice baked; stuffed)</t>
        </is>
      </c>
      <c r="C3468" s="1" t="n">
        <v>4</v>
      </c>
      <c r="D3468" s="1" t="inlineStr">
        <is>
          <t>FNDDS recipe with replaced or modified SR codes</t>
        </is>
      </c>
      <c r="E3468" s="1" t="inlineStr">
        <is>
          <t>Base</t>
        </is>
      </c>
      <c r="F3468" s="1" t="n">
        <v>0.463109</v>
      </c>
    </row>
    <row r="3469" ht="15.75" customHeight="1" s="201">
      <c r="A3469" s="1" t="n">
        <v>71508035</v>
      </c>
      <c r="B3469" s="1" t="inlineStr">
        <is>
          <t>Potato, baked, peel eaten, with vegetables (Includes broccoli; cheese; cream cheese; cheese sauce; sour cream; butter or margarine; twice baked; stuffed)</t>
        </is>
      </c>
      <c r="C3469" s="1" t="n">
        <v>1</v>
      </c>
      <c r="D3469" s="1" t="inlineStr">
        <is>
          <t>Links to FNDDS</t>
        </is>
      </c>
      <c r="E3469" s="1" t="inlineStr">
        <is>
          <t>Base</t>
        </is>
      </c>
      <c r="F3469" s="1" t="n">
        <v>0.856861</v>
      </c>
    </row>
    <row r="3470" ht="15.75" customHeight="1" s="201">
      <c r="A3470" s="1" t="n">
        <v>71600950</v>
      </c>
      <c r="B3470" s="1" t="inlineStr">
        <is>
          <t>Potato salad with egg, from restaurant (Includes fast food / other place)</t>
        </is>
      </c>
      <c r="C3470" s="1" t="n">
        <v>2</v>
      </c>
      <c r="D3470" s="1" t="inlineStr">
        <is>
          <t>Links to altEC</t>
        </is>
      </c>
      <c r="E3470" s="1" t="inlineStr">
        <is>
          <t>Base</t>
        </is>
      </c>
      <c r="F3470" s="1" t="n">
        <v>0.549145</v>
      </c>
    </row>
    <row r="3471" ht="15.75" customHeight="1" s="201">
      <c r="A3471" s="1" t="n">
        <v>71601010</v>
      </c>
      <c r="B3471" s="1" t="inlineStr">
        <is>
          <t>Potato salad with egg, made with mayonnaise (Includes NS as to type of dressing)</t>
        </is>
      </c>
      <c r="C3471" s="1" t="n">
        <v>1</v>
      </c>
      <c r="D3471" s="1" t="inlineStr">
        <is>
          <t>Links to FNDDS</t>
        </is>
      </c>
      <c r="E3471" s="1" t="inlineStr">
        <is>
          <t>Base</t>
        </is>
      </c>
      <c r="F3471" s="1" t="n">
        <v>0.549145</v>
      </c>
    </row>
    <row r="3472" ht="15.75" customHeight="1" s="201">
      <c r="A3472" s="1" t="n">
        <v>71601020</v>
      </c>
      <c r="B3472" s="1" t="inlineStr">
        <is>
          <t>Potato salad with egg, made with mayonnaise-type salad dressing (Includes Miracle Whip; imitation mayonnaise; coleslaw dressing; "slaw" dressing)</t>
        </is>
      </c>
      <c r="C3472" s="1" t="n">
        <v>4</v>
      </c>
      <c r="D3472" s="1" t="inlineStr">
        <is>
          <t>FNDDS recipe with replaced or modified SR codes</t>
        </is>
      </c>
      <c r="E3472" s="1" t="inlineStr">
        <is>
          <t>Base</t>
        </is>
      </c>
      <c r="F3472" s="1" t="n">
        <v>0.333851</v>
      </c>
    </row>
    <row r="3473" ht="15.75" customHeight="1" s="201">
      <c r="A3473" s="1" t="n">
        <v>71601025</v>
      </c>
      <c r="B3473" s="1" t="inlineStr">
        <is>
          <t>Potato salad with egg, made with light mayonnaise-type salad dressing (Includes diet, low calorie, low fat, reduced calorie, or reduced fat dressing; Miracle Whip Light; light coleslaw dressing; light "slaw" dressing; light imitation mayonnaise; Hellmann's Dijonnaise)</t>
        </is>
      </c>
      <c r="C3473" s="1" t="n">
        <v>4</v>
      </c>
      <c r="D3473" s="1" t="inlineStr">
        <is>
          <t>FNDDS recipe with replaced or modified SR codes</t>
        </is>
      </c>
      <c r="E3473" s="1" t="inlineStr">
        <is>
          <t>Base</t>
        </is>
      </c>
      <c r="F3473" s="1" t="n">
        <v>0.333999</v>
      </c>
    </row>
    <row r="3474" ht="15.75" customHeight="1" s="201">
      <c r="A3474" s="1" t="n">
        <v>71601035</v>
      </c>
      <c r="B3474" s="1" t="inlineStr">
        <is>
          <t>Potato salad with egg, made with light creamy dressing (Includes diet, low calorie, low fat, reduced calorie, or reduced fat dressing; light ranch dressing; light ranch dip; light peppercorn dressing; light creamy Italian; light French made with sour cream; light creamy bacon dressing; light caesar dressing; light cream cheese dressing; light sour cream; light blue or roquefort cheese dressing; light creamy parmesan)</t>
        </is>
      </c>
      <c r="C3474" s="1" t="n">
        <v>4</v>
      </c>
      <c r="D3474" s="1" t="inlineStr">
        <is>
          <t>FNDDS recipe with replaced or modified SR codes</t>
        </is>
      </c>
      <c r="E3474" s="1" t="inlineStr">
        <is>
          <t>Base</t>
        </is>
      </c>
      <c r="F3474" s="1" t="n">
        <v>0.342502</v>
      </c>
    </row>
    <row r="3475" ht="15.75" customHeight="1" s="201">
      <c r="A3475" s="1" t="n">
        <v>71601050</v>
      </c>
      <c r="B3475" s="1" t="inlineStr">
        <is>
          <t>Potato salad with egg, made with any type of fat free dressing (Includes fat free mayonnaise; fat free mayonnaise-type salad dressing; fat free Italian dressing; any fat free creamy dressing; fat free vinaigrette; with no dressing)</t>
        </is>
      </c>
      <c r="C3475" s="1" t="n">
        <v>4</v>
      </c>
      <c r="D3475" s="1" t="inlineStr">
        <is>
          <t>FNDDS recipe with replaced or modified SR codes</t>
        </is>
      </c>
      <c r="E3475" s="1" t="inlineStr">
        <is>
          <t>Base</t>
        </is>
      </c>
      <c r="F3475" s="1" t="n">
        <v>0.335633</v>
      </c>
    </row>
    <row r="3476" ht="15.75" customHeight="1" s="201">
      <c r="A3476" s="1" t="n">
        <v>71602010</v>
      </c>
      <c r="B3476" s="1" t="inlineStr">
        <is>
          <t>Potato salad, German style</t>
        </is>
      </c>
      <c r="C3476" s="1" t="n">
        <v>4</v>
      </c>
      <c r="D3476" s="1" t="inlineStr">
        <is>
          <t>FNDDS recipe with replaced or modified SR codes</t>
        </is>
      </c>
      <c r="E3476" s="1" t="inlineStr">
        <is>
          <t>Base</t>
        </is>
      </c>
      <c r="F3476" s="1" t="n">
        <v>0.358237</v>
      </c>
    </row>
    <row r="3477" ht="15.75" customHeight="1" s="201">
      <c r="A3477" s="1" t="n">
        <v>71602950</v>
      </c>
      <c r="B3477" s="1" t="inlineStr">
        <is>
          <t>Potato salad, from restaurant (Includes fast food / other place)</t>
        </is>
      </c>
      <c r="C3477" s="1" t="n">
        <v>2</v>
      </c>
      <c r="D3477" s="1" t="inlineStr">
        <is>
          <t>Links to altEC</t>
        </is>
      </c>
      <c r="E3477" s="1" t="inlineStr">
        <is>
          <t>Base</t>
        </is>
      </c>
      <c r="F3477" s="1" t="n">
        <v>0.46993</v>
      </c>
    </row>
    <row r="3478" ht="15.75" customHeight="1" s="201">
      <c r="A3478" s="1" t="n">
        <v>71603010</v>
      </c>
      <c r="B3478" s="1" t="inlineStr">
        <is>
          <t>Potato salad, made with mayonnaise (Includes NS as to type of dressing)</t>
        </is>
      </c>
      <c r="C3478" s="1" t="n">
        <v>4</v>
      </c>
      <c r="D3478" s="1" t="inlineStr">
        <is>
          <t>FNDDS recipe with replaced or modified SR codes</t>
        </is>
      </c>
      <c r="E3478" s="1" t="inlineStr">
        <is>
          <t>Base</t>
        </is>
      </c>
      <c r="F3478" s="1" t="n">
        <v>0.313996</v>
      </c>
    </row>
    <row r="3479" ht="15.75" customHeight="1" s="201">
      <c r="A3479" s="1" t="n">
        <v>71603015</v>
      </c>
      <c r="B3479" s="1" t="inlineStr">
        <is>
          <t>Potato salad, made with light mayonnaise (Includes diet, low calorie, low fat, reduced calorie, or reduced fat dressing)</t>
        </is>
      </c>
      <c r="C3479" s="1" t="n">
        <v>4</v>
      </c>
      <c r="D3479" s="1" t="inlineStr">
        <is>
          <t>FNDDS recipe with replaced or modified SR codes</t>
        </is>
      </c>
      <c r="E3479" s="1" t="inlineStr">
        <is>
          <t>Base</t>
        </is>
      </c>
      <c r="F3479" s="1" t="n">
        <v>0.318337</v>
      </c>
    </row>
    <row r="3480" ht="15.75" customHeight="1" s="201">
      <c r="A3480" s="1" t="n">
        <v>71603020</v>
      </c>
      <c r="B3480" s="1" t="inlineStr">
        <is>
          <t>Potato salad, made with mayonnaise-type salad dressing (Includes Miracle Whip; imitation mayonnaise; coleslaw dressing; "slaw" dressing)</t>
        </is>
      </c>
      <c r="C3480" s="1" t="n">
        <v>4</v>
      </c>
      <c r="D3480" s="1" t="inlineStr">
        <is>
          <t>FNDDS recipe with replaced or modified SR codes</t>
        </is>
      </c>
      <c r="E3480" s="1" t="inlineStr">
        <is>
          <t>Base</t>
        </is>
      </c>
      <c r="F3480" s="1" t="n">
        <v>0.318117</v>
      </c>
    </row>
    <row r="3481" ht="15.75" customHeight="1" s="201">
      <c r="A3481" s="1" t="n">
        <v>71603050</v>
      </c>
      <c r="B3481" s="1" t="inlineStr">
        <is>
          <t>Potato salad, made with any type of fat free dressing (Includes fat free mayonnaise; fat free mayonnaise-type salad dressing; fat free Italian dressing; any fat free creamy dressing; fat free vinaigrette; with no dressing)</t>
        </is>
      </c>
      <c r="C3481" s="1" t="n">
        <v>4</v>
      </c>
      <c r="D3481" s="1" t="inlineStr">
        <is>
          <t>FNDDS recipe with replaced or modified SR codes</t>
        </is>
      </c>
      <c r="E3481" s="1" t="inlineStr">
        <is>
          <t>Base</t>
        </is>
      </c>
      <c r="F3481" s="1" t="n">
        <v>0.320348</v>
      </c>
    </row>
    <row r="3482" ht="15.75" customHeight="1" s="201">
      <c r="A3482" s="1" t="n">
        <v>71703990</v>
      </c>
      <c r="B3482" s="1" t="inlineStr">
        <is>
          <t>Stewed potatoes (Includes papas guisadas; with or with out peel; with or without fat added)</t>
        </is>
      </c>
      <c r="C3482" s="1" t="n">
        <v>4</v>
      </c>
      <c r="D3482" s="1" t="inlineStr">
        <is>
          <t>FNDDS recipe with replaced or modified SR codes</t>
        </is>
      </c>
      <c r="E3482" s="1" t="inlineStr">
        <is>
          <t>Base</t>
        </is>
      </c>
      <c r="F3482" s="1" t="n">
        <v>0.288901</v>
      </c>
    </row>
    <row r="3483" ht="15.75" customHeight="1" s="201">
      <c r="A3483" s="1" t="n">
        <v>71704000</v>
      </c>
      <c r="B3483" s="1" t="inlineStr">
        <is>
          <t>Stewed potatoes with tomatoes (Includes Mexican style; papas guisadas con tomate; with or without peel eaten; with or without fat)</t>
        </is>
      </c>
      <c r="C3483" s="1" t="n">
        <v>4</v>
      </c>
      <c r="D3483" s="1" t="inlineStr">
        <is>
          <t>FNDDS recipe with replaced or modified SR codes</t>
        </is>
      </c>
      <c r="E3483" s="1" t="inlineStr">
        <is>
          <t>Base</t>
        </is>
      </c>
      <c r="F3483" s="1" t="n">
        <v>0.343581</v>
      </c>
    </row>
    <row r="3484" ht="15.75" customHeight="1" s="201">
      <c r="A3484" s="1" t="n">
        <v>71801010</v>
      </c>
      <c r="B3484" s="1" t="inlineStr">
        <is>
          <t>Potato soup, cream of, prepared with milk (Includes Vichyssoise soup; with macaroni)</t>
        </is>
      </c>
      <c r="C3484" s="1" t="n">
        <v>2</v>
      </c>
      <c r="D3484" s="1" t="inlineStr">
        <is>
          <t>Links to altEC</t>
        </is>
      </c>
      <c r="E3484" s="1" t="inlineStr">
        <is>
          <t>Base</t>
        </is>
      </c>
      <c r="F3484" s="1" t="n">
        <v>0.488971</v>
      </c>
    </row>
    <row r="3485" ht="15.75" customHeight="1" s="201">
      <c r="A3485" s="1" t="n">
        <v>71801020</v>
      </c>
      <c r="B3485" s="1" t="inlineStr">
        <is>
          <t>Potato soup, prepared with water (Includes with macaroni)</t>
        </is>
      </c>
      <c r="C3485" s="1" t="n">
        <v>3</v>
      </c>
      <c r="D3485" s="1" t="inlineStr">
        <is>
          <t>Original FNDDS recipe</t>
        </is>
      </c>
      <c r="E3485" s="1" t="inlineStr">
        <is>
          <t>Base</t>
        </is>
      </c>
      <c r="F3485" s="1" t="n">
        <v>0.240681</v>
      </c>
    </row>
    <row r="3486" ht="15.75" customHeight="1" s="201">
      <c r="A3486" s="1" t="n">
        <v>71801100</v>
      </c>
      <c r="B3486" s="1" t="inlineStr">
        <is>
          <t>Potato and cheese soup</t>
        </is>
      </c>
      <c r="C3486" s="1" t="n">
        <v>1</v>
      </c>
      <c r="D3486" s="1" t="inlineStr">
        <is>
          <t>Links to FNDDS</t>
        </is>
      </c>
      <c r="E3486" s="1" t="inlineStr">
        <is>
          <t>Base</t>
        </is>
      </c>
      <c r="F3486" s="1" t="n">
        <v>0.522583</v>
      </c>
    </row>
    <row r="3487" ht="15.75" customHeight="1" s="201">
      <c r="A3487" s="1" t="n">
        <v>71803010</v>
      </c>
      <c r="B3487" s="1" t="inlineStr">
        <is>
          <t>Potato chowder (Includes corn chowder)</t>
        </is>
      </c>
      <c r="C3487" s="1" t="n">
        <v>1</v>
      </c>
      <c r="D3487" s="1" t="inlineStr">
        <is>
          <t>Links to FNDDS</t>
        </is>
      </c>
      <c r="E3487" s="1" t="inlineStr">
        <is>
          <t>Base</t>
        </is>
      </c>
      <c r="F3487" s="1" t="n">
        <v>0.338379</v>
      </c>
    </row>
    <row r="3488" ht="15.75" customHeight="1" s="201">
      <c r="A3488" s="1" t="n">
        <v>71900100</v>
      </c>
      <c r="B3488" s="1" t="inlineStr">
        <is>
          <t>Plantain, cooked, no added fat (Includes cooking spray)</t>
        </is>
      </c>
      <c r="C3488" s="1" t="n">
        <v>2</v>
      </c>
      <c r="D3488" s="1" t="inlineStr">
        <is>
          <t>Links to altEC</t>
        </is>
      </c>
      <c r="E3488" s="1" t="inlineStr">
        <is>
          <t>Base</t>
        </is>
      </c>
      <c r="F3488" s="1" t="n">
        <v>0.212355</v>
      </c>
    </row>
    <row r="3489" ht="15.75" customHeight="1" s="201">
      <c r="A3489" s="1" t="n">
        <v>71900200</v>
      </c>
      <c r="B3489" s="1" t="inlineStr">
        <is>
          <t>Plantain, cooked with oil (Includes fried plantains; tostones; plantain, NFS; from restaurant)</t>
        </is>
      </c>
      <c r="C3489" s="1" t="n">
        <v>4</v>
      </c>
      <c r="D3489" s="1" t="inlineStr">
        <is>
          <t>FNDDS recipe with replaced or modified SR codes</t>
        </is>
      </c>
      <c r="E3489" s="1" t="inlineStr">
        <is>
          <t>Base</t>
        </is>
      </c>
      <c r="F3489" s="1" t="n">
        <v>0.218446</v>
      </c>
    </row>
    <row r="3490" ht="15.75" customHeight="1" s="201">
      <c r="A3490" s="1" t="n">
        <v>71905000</v>
      </c>
      <c r="B3490" s="1" t="inlineStr">
        <is>
          <t>Ripe plantain, raw</t>
        </is>
      </c>
      <c r="C3490" s="1" t="n">
        <v>1</v>
      </c>
      <c r="D3490" s="1" t="inlineStr">
        <is>
          <t>Links to FNDDS</t>
        </is>
      </c>
      <c r="E3490" s="1" t="inlineStr">
        <is>
          <t>Base</t>
        </is>
      </c>
      <c r="F3490" s="1" t="n">
        <v>0.212355</v>
      </c>
    </row>
    <row r="3491" ht="15.75" customHeight="1" s="201">
      <c r="A3491" s="1" t="n">
        <v>71910110</v>
      </c>
      <c r="B3491" s="1" t="inlineStr">
        <is>
          <t>Green banana, cooked in salt water</t>
        </is>
      </c>
      <c r="C3491" s="1" t="n">
        <v>3</v>
      </c>
      <c r="D3491" s="1" t="inlineStr">
        <is>
          <t>Original FNDDS recipe</t>
        </is>
      </c>
      <c r="E3491" s="1" t="inlineStr">
        <is>
          <t>Base</t>
        </is>
      </c>
      <c r="F3491" s="1" t="n">
        <v>0.212469</v>
      </c>
    </row>
    <row r="3492" ht="15.75" customHeight="1" s="201">
      <c r="A3492" s="1" t="n">
        <v>71910210</v>
      </c>
      <c r="B3492" s="1" t="inlineStr">
        <is>
          <t>Green banana, fried</t>
        </is>
      </c>
      <c r="C3492" s="1" t="n">
        <v>4</v>
      </c>
      <c r="D3492" s="1" t="inlineStr">
        <is>
          <t>FNDDS recipe with replaced or modified SR codes</t>
        </is>
      </c>
      <c r="E3492" s="1" t="inlineStr">
        <is>
          <t>Base</t>
        </is>
      </c>
      <c r="F3492" s="1" t="n">
        <v>0.218446</v>
      </c>
    </row>
    <row r="3493" ht="15.75" customHeight="1" s="201">
      <c r="A3493" s="1" t="n">
        <v>71930120</v>
      </c>
      <c r="B3493" s="1" t="inlineStr">
        <is>
          <t>Cassava, cooked (Includes yuca blanca; with or without fat)</t>
        </is>
      </c>
      <c r="C3493" s="1" t="n">
        <v>4</v>
      </c>
      <c r="D3493" s="1" t="inlineStr">
        <is>
          <t>FNDDS recipe with replaced or modified SR codes</t>
        </is>
      </c>
      <c r="E3493" s="1" t="inlineStr">
        <is>
          <t>Base</t>
        </is>
      </c>
      <c r="F3493" s="1" t="n">
        <v>0.306394</v>
      </c>
    </row>
    <row r="3494" ht="15.75" customHeight="1" s="201">
      <c r="A3494" s="1" t="n">
        <v>71945010</v>
      </c>
      <c r="B3494" s="1" t="inlineStr">
        <is>
          <t>Yam, cooked, Puerto Rican (Includes Name hervido)</t>
        </is>
      </c>
      <c r="C3494" s="1" t="n">
        <v>4</v>
      </c>
      <c r="D3494" s="1" t="inlineStr">
        <is>
          <t>FNDDS recipe with replaced or modified SR codes</t>
        </is>
      </c>
      <c r="E3494" s="1" t="inlineStr">
        <is>
          <t>Base</t>
        </is>
      </c>
      <c r="F3494" s="1" t="n">
        <v>0.349328</v>
      </c>
    </row>
    <row r="3495" ht="15.75" customHeight="1" s="201">
      <c r="A3495" s="1" t="n">
        <v>71962020</v>
      </c>
      <c r="B3495" s="1" t="inlineStr">
        <is>
          <t>Dasheen, cooked (Includes malanga; with or without fat)</t>
        </is>
      </c>
      <c r="C3495" s="1" t="n">
        <v>4</v>
      </c>
      <c r="D3495" s="1" t="inlineStr">
        <is>
          <t>FNDDS recipe with replaced or modified SR codes</t>
        </is>
      </c>
      <c r="E3495" s="1" t="inlineStr">
        <is>
          <t>Base</t>
        </is>
      </c>
      <c r="F3495" s="1" t="n">
        <v>0.5577260000000001</v>
      </c>
    </row>
    <row r="3496" ht="15.75" customHeight="1" s="201">
      <c r="A3496" s="1" t="n">
        <v>71962040</v>
      </c>
      <c r="B3496" s="1" t="inlineStr">
        <is>
          <t>Taro, cooked (Includes with or without fat)</t>
        </is>
      </c>
      <c r="C3496" s="1" t="n">
        <v>4</v>
      </c>
      <c r="D3496" s="1" t="inlineStr">
        <is>
          <t>FNDDS recipe with replaced or modified SR codes</t>
        </is>
      </c>
      <c r="E3496" s="1" t="inlineStr">
        <is>
          <t>Base</t>
        </is>
      </c>
      <c r="F3496" s="1" t="n">
        <v>0.5577260000000001</v>
      </c>
    </row>
    <row r="3497" ht="15.75" customHeight="1" s="201">
      <c r="A3497" s="1" t="n">
        <v>71970200</v>
      </c>
      <c r="B3497" s="1" t="inlineStr">
        <is>
          <t>Fufu (Includes African dish)</t>
        </is>
      </c>
      <c r="C3497" s="1" t="n">
        <v>4</v>
      </c>
      <c r="D3497" s="1" t="inlineStr">
        <is>
          <t>FNDDS recipe with replaced or modified SR codes</t>
        </is>
      </c>
      <c r="E3497" s="1" t="inlineStr">
        <is>
          <t>Base</t>
        </is>
      </c>
      <c r="F3497" s="1" t="n">
        <v>0.43206</v>
      </c>
    </row>
    <row r="3498" ht="15.75" customHeight="1" s="201">
      <c r="A3498" s="1" t="n">
        <v>72101220</v>
      </c>
      <c r="B3498" s="1" t="inlineStr">
        <is>
          <t>Beet greens, cooked (Includes with or without fat)</t>
        </is>
      </c>
      <c r="C3498" s="1" t="n">
        <v>4</v>
      </c>
      <c r="D3498" s="1" t="inlineStr">
        <is>
          <t>FNDDS recipe with replaced or modified SR codes</t>
        </is>
      </c>
      <c r="E3498" s="1" t="inlineStr">
        <is>
          <t>Base</t>
        </is>
      </c>
      <c r="F3498" s="1" t="n">
        <v>0.84933</v>
      </c>
    </row>
    <row r="3499" ht="15.75" customHeight="1" s="201">
      <c r="A3499" s="1" t="n">
        <v>72103030</v>
      </c>
      <c r="B3499" s="1" t="inlineStr">
        <is>
          <t>Broccoli raab, cooked (Includes broccoli rabe, raap, or rapini; with or without fat)</t>
        </is>
      </c>
      <c r="C3499" s="1" t="n">
        <v>4</v>
      </c>
      <c r="D3499" s="1" t="inlineStr">
        <is>
          <t>FNDDS recipe with replaced or modified SR codes</t>
        </is>
      </c>
      <c r="E3499" s="1" t="inlineStr">
        <is>
          <t>Base</t>
        </is>
      </c>
      <c r="F3499" s="1" t="n">
        <v>0.5760150000000001</v>
      </c>
    </row>
    <row r="3500" ht="15.75" customHeight="1" s="201">
      <c r="A3500" s="1" t="n">
        <v>72104220</v>
      </c>
      <c r="B3500" s="1" t="inlineStr">
        <is>
          <t>Chard, cooked (Includes with or without fat)</t>
        </is>
      </c>
      <c r="C3500" s="1" t="n">
        <v>4</v>
      </c>
      <c r="D3500" s="1" t="inlineStr">
        <is>
          <t>FNDDS recipe with replaced or modified SR codes</t>
        </is>
      </c>
      <c r="E3500" s="1" t="inlineStr">
        <is>
          <t>Base</t>
        </is>
      </c>
      <c r="F3500" s="1" t="n">
        <v>0.753653</v>
      </c>
    </row>
    <row r="3501" ht="15.75" customHeight="1" s="201">
      <c r="A3501" s="1" t="n">
        <v>72107100</v>
      </c>
      <c r="B3501" s="1" t="inlineStr">
        <is>
          <t>Collards, raw (Includes collard greens)</t>
        </is>
      </c>
      <c r="C3501" s="1" t="n">
        <v>1</v>
      </c>
      <c r="D3501" s="1" t="inlineStr">
        <is>
          <t>Links to FNDDS</t>
        </is>
      </c>
      <c r="E3501" s="1" t="inlineStr">
        <is>
          <t>Base</t>
        </is>
      </c>
      <c r="F3501" s="1" t="n">
        <v>0.53198</v>
      </c>
    </row>
    <row r="3502" ht="15.75" customHeight="1" s="201">
      <c r="A3502" s="1" t="n">
        <v>72107211</v>
      </c>
      <c r="B3502" s="1" t="inlineStr">
        <is>
          <t>Collards, fresh, cooked, no added fat (Includes collard greens; cooking spray)</t>
        </is>
      </c>
      <c r="C3502" s="1" t="n">
        <v>2</v>
      </c>
      <c r="D3502" s="1" t="inlineStr">
        <is>
          <t>Links to altEC</t>
        </is>
      </c>
      <c r="E3502" s="1" t="inlineStr">
        <is>
          <t>Base</t>
        </is>
      </c>
      <c r="F3502" s="1" t="n">
        <v>0.617097</v>
      </c>
    </row>
    <row r="3503" ht="15.75" customHeight="1" s="201">
      <c r="A3503" s="1" t="n">
        <v>72107212</v>
      </c>
      <c r="B3503" s="1" t="inlineStr">
        <is>
          <t>Collards, frozen, cooked, no added fat (Includes collard greens; cooking spray)</t>
        </is>
      </c>
      <c r="C3503" s="1" t="n">
        <v>3</v>
      </c>
      <c r="D3503" s="1" t="inlineStr">
        <is>
          <t>Original FNDDS recipe</t>
        </is>
      </c>
      <c r="E3503" s="1" t="inlineStr">
        <is>
          <t>Base</t>
        </is>
      </c>
      <c r="F3503" s="1" t="n">
        <v>0.458793</v>
      </c>
    </row>
    <row r="3504" ht="15.75" customHeight="1" s="201">
      <c r="A3504" s="1" t="n">
        <v>72107213</v>
      </c>
      <c r="B3504" s="1" t="inlineStr">
        <is>
          <t>Collards, canned, cooked, no added fat (Includes collard greens; cooking spray)</t>
        </is>
      </c>
      <c r="C3504" s="1" t="n">
        <v>1</v>
      </c>
      <c r="D3504" s="1" t="inlineStr">
        <is>
          <t>Links to FNDDS</t>
        </is>
      </c>
      <c r="E3504" s="1" t="inlineStr">
        <is>
          <t>Base</t>
        </is>
      </c>
      <c r="F3504" s="1" t="n">
        <v>0.344307</v>
      </c>
    </row>
    <row r="3505" ht="15.75" customHeight="1" s="201">
      <c r="A3505" s="1" t="n">
        <v>72107220</v>
      </c>
      <c r="B3505" s="1" t="inlineStr">
        <is>
          <t>Collards, NS as to form, cooked (Includes with or without fat)</t>
        </is>
      </c>
      <c r="C3505" s="1" t="n">
        <v>2</v>
      </c>
      <c r="D3505" s="1" t="inlineStr">
        <is>
          <t>Links to altEC</t>
        </is>
      </c>
      <c r="E3505" s="1" t="inlineStr">
        <is>
          <t>Base</t>
        </is>
      </c>
      <c r="F3505" s="1" t="n">
        <v>0.370074</v>
      </c>
    </row>
    <row r="3506" ht="15.75" customHeight="1" s="201">
      <c r="A3506" s="1" t="n">
        <v>72107221</v>
      </c>
      <c r="B3506" s="1" t="inlineStr">
        <is>
          <t>Collards, fresh, cooked, fat added, NS as to fat type (Includes collard greens; NS as to fat added)</t>
        </is>
      </c>
      <c r="C3506" s="1" t="n">
        <v>4</v>
      </c>
      <c r="D3506" s="1" t="inlineStr">
        <is>
          <t>FNDDS recipe with replaced or modified SR codes</t>
        </is>
      </c>
      <c r="E3506" s="1" t="inlineStr">
        <is>
          <t>Base</t>
        </is>
      </c>
      <c r="F3506" s="1" t="n">
        <v>0.569954</v>
      </c>
    </row>
    <row r="3507" ht="15.75" customHeight="1" s="201">
      <c r="A3507" s="1" t="n">
        <v>72107223</v>
      </c>
      <c r="B3507" s="1" t="inlineStr">
        <is>
          <t>Collards, canned, cooked, fat added, NS as to fat type (Includes collard greens; NS as to fat added)</t>
        </is>
      </c>
      <c r="C3507" s="1" t="n">
        <v>4</v>
      </c>
      <c r="D3507" s="1" t="inlineStr">
        <is>
          <t>FNDDS recipe with replaced or modified SR codes</t>
        </is>
      </c>
      <c r="E3507" s="1" t="inlineStr">
        <is>
          <t>Base</t>
        </is>
      </c>
      <c r="F3507" s="1" t="n">
        <v>0.448123</v>
      </c>
    </row>
    <row r="3508" ht="15.75" customHeight="1" s="201">
      <c r="A3508" s="1" t="n">
        <v>72107228</v>
      </c>
      <c r="B3508" s="1" t="inlineStr">
        <is>
          <t>Collards, fresh, cooked with butter or margarine (Includes collard greens; animal fat; shortening; from restaurant)</t>
        </is>
      </c>
      <c r="C3508" s="1" t="n">
        <v>4</v>
      </c>
      <c r="D3508" s="1" t="inlineStr">
        <is>
          <t>FNDDS recipe with replaced or modified SR codes</t>
        </is>
      </c>
      <c r="E3508" s="1" t="inlineStr">
        <is>
          <t>Base</t>
        </is>
      </c>
      <c r="F3508" s="1" t="n">
        <v>0.572317</v>
      </c>
    </row>
    <row r="3509" ht="15.75" customHeight="1" s="201">
      <c r="A3509" s="1" t="n">
        <v>72107231</v>
      </c>
      <c r="B3509" s="1" t="inlineStr">
        <is>
          <t>Collards, frozen, cooked with butter or margarine (Includes collard greens; animal fat; shortening)</t>
        </is>
      </c>
      <c r="C3509" s="1" t="n">
        <v>4</v>
      </c>
      <c r="D3509" s="1" t="inlineStr">
        <is>
          <t>FNDDS recipe with replaced or modified SR codes</t>
        </is>
      </c>
      <c r="E3509" s="1" t="inlineStr">
        <is>
          <t>Base</t>
        </is>
      </c>
      <c r="F3509" s="1" t="n">
        <v>0.46201</v>
      </c>
    </row>
    <row r="3510" ht="15.75" customHeight="1" s="201">
      <c r="A3510" s="1" t="n">
        <v>72116000</v>
      </c>
      <c r="B3510" s="1" t="inlineStr">
        <is>
          <t>Romaine lettuce, raw (Includes endive; chicory; escarole; green leaf)</t>
        </is>
      </c>
      <c r="C3510" s="1" t="n">
        <v>1</v>
      </c>
      <c r="D3510" s="1" t="inlineStr">
        <is>
          <t>Links to FNDDS</t>
        </is>
      </c>
      <c r="E3510" s="1" t="inlineStr">
        <is>
          <t>Base</t>
        </is>
      </c>
      <c r="F3510" s="1" t="n">
        <v>0.784008</v>
      </c>
    </row>
    <row r="3511" ht="15.75" customHeight="1" s="201">
      <c r="A3511" s="1" t="n">
        <v>72116150</v>
      </c>
      <c r="B3511" s="1" t="inlineStr">
        <is>
          <t>Caesar salad, with romaine, no dressing (Includes Wendy's Caesar Side Salad)</t>
        </is>
      </c>
      <c r="C3511" s="1" t="n">
        <v>1</v>
      </c>
      <c r="D3511" s="1" t="inlineStr">
        <is>
          <t>Links to FNDDS</t>
        </is>
      </c>
      <c r="E3511" s="1" t="inlineStr">
        <is>
          <t>Base</t>
        </is>
      </c>
      <c r="F3511" s="1" t="n">
        <v>0.5825050000000001</v>
      </c>
    </row>
    <row r="3512" ht="15.75" customHeight="1" s="201">
      <c r="A3512" s="1" t="n">
        <v>72118211</v>
      </c>
      <c r="B3512" s="1" t="inlineStr">
        <is>
          <t>Greens, fresh, cooked, no added fat (Includes cooking spray)</t>
        </is>
      </c>
      <c r="C3512" s="1" t="n">
        <v>4</v>
      </c>
      <c r="D3512" s="1" t="inlineStr">
        <is>
          <t>FNDDS recipe with replaced or modified SR codes</t>
        </is>
      </c>
      <c r="E3512" s="1" t="inlineStr">
        <is>
          <t>Base</t>
        </is>
      </c>
      <c r="F3512" s="1" t="n">
        <v>0.597559</v>
      </c>
    </row>
    <row r="3513" ht="15.75" customHeight="1" s="201">
      <c r="A3513" s="1" t="n">
        <v>72118212</v>
      </c>
      <c r="B3513" s="1" t="inlineStr">
        <is>
          <t>Greens, frozen, cooked, no added fat (Includes cooking spray)</t>
        </is>
      </c>
      <c r="C3513" s="1" t="n">
        <v>1</v>
      </c>
      <c r="D3513" s="1" t="inlineStr">
        <is>
          <t>Links to FNDDS</t>
        </is>
      </c>
      <c r="E3513" s="1" t="inlineStr">
        <is>
          <t>Base</t>
        </is>
      </c>
      <c r="F3513" s="1" t="n">
        <v>0.603927</v>
      </c>
    </row>
    <row r="3514" ht="15.75" customHeight="1" s="201">
      <c r="A3514" s="1" t="n">
        <v>72118213</v>
      </c>
      <c r="B3514" s="1" t="inlineStr">
        <is>
          <t>Greens, canned, cooked, no added fat (Includes cooking spray)</t>
        </is>
      </c>
      <c r="C3514" s="1" t="n">
        <v>1</v>
      </c>
      <c r="D3514" s="1" t="inlineStr">
        <is>
          <t>Links to FNDDS</t>
        </is>
      </c>
      <c r="E3514" s="1" t="inlineStr">
        <is>
          <t>Base</t>
        </is>
      </c>
      <c r="F3514" s="1" t="n">
        <v>0.329898</v>
      </c>
    </row>
    <row r="3515" ht="15.75" customHeight="1" s="201">
      <c r="A3515" s="1" t="n">
        <v>72118220</v>
      </c>
      <c r="B3515" s="1" t="inlineStr">
        <is>
          <t>Greens, NS as to form, cooked (Includes with or without fat)</t>
        </is>
      </c>
      <c r="C3515" s="1" t="n">
        <v>2</v>
      </c>
      <c r="D3515" s="1" t="inlineStr">
        <is>
          <t>Links to altEC</t>
        </is>
      </c>
      <c r="E3515" s="1" t="inlineStr">
        <is>
          <t>Base</t>
        </is>
      </c>
      <c r="F3515" s="1" t="n">
        <v>0.368179</v>
      </c>
    </row>
    <row r="3516" ht="15.75" customHeight="1" s="201">
      <c r="A3516" s="1" t="n">
        <v>72118221</v>
      </c>
      <c r="B3516" s="1" t="inlineStr">
        <is>
          <t>Greens, fresh, cooked, fat added (Includes NS as to fat added; from restaurant)</t>
        </is>
      </c>
      <c r="C3516" s="1" t="n">
        <v>4</v>
      </c>
      <c r="D3516" s="1" t="inlineStr">
        <is>
          <t>FNDDS recipe with replaced or modified SR codes</t>
        </is>
      </c>
      <c r="E3516" s="1" t="inlineStr">
        <is>
          <t>Base</t>
        </is>
      </c>
      <c r="F3516" s="1" t="n">
        <v>0.597559</v>
      </c>
    </row>
    <row r="3517" ht="15.75" customHeight="1" s="201">
      <c r="A3517" s="1" t="n">
        <v>72118222</v>
      </c>
      <c r="B3517" s="1" t="inlineStr">
        <is>
          <t>Greens, frozen, cooked, fat added (Includes NS as to fat added)</t>
        </is>
      </c>
      <c r="C3517" s="1" t="n">
        <v>4</v>
      </c>
      <c r="D3517" s="1" t="inlineStr">
        <is>
          <t>FNDDS recipe with replaced or modified SR codes</t>
        </is>
      </c>
      <c r="E3517" s="1" t="inlineStr">
        <is>
          <t>Base</t>
        </is>
      </c>
      <c r="F3517" s="1" t="n">
        <v>0.558754</v>
      </c>
    </row>
    <row r="3518" ht="15.75" customHeight="1" s="201">
      <c r="A3518" s="1" t="n">
        <v>72119190</v>
      </c>
      <c r="B3518" s="1" t="inlineStr">
        <is>
          <t>Kale, raw</t>
        </is>
      </c>
      <c r="C3518" s="1" t="n">
        <v>1</v>
      </c>
      <c r="D3518" s="1" t="inlineStr">
        <is>
          <t>Links to FNDDS</t>
        </is>
      </c>
      <c r="E3518" s="1" t="inlineStr">
        <is>
          <t>Base</t>
        </is>
      </c>
      <c r="F3518" s="1" t="n">
        <v>0.6810389999999999</v>
      </c>
    </row>
    <row r="3519" ht="15.75" customHeight="1" s="201">
      <c r="A3519" s="1" t="n">
        <v>72119211</v>
      </c>
      <c r="B3519" s="1" t="inlineStr">
        <is>
          <t>Kale, fresh, cooked, no added fat (Includes cooking spray)</t>
        </is>
      </c>
      <c r="C3519" s="1" t="n">
        <v>2</v>
      </c>
      <c r="D3519" s="1" t="inlineStr">
        <is>
          <t>Links to altEC</t>
        </is>
      </c>
      <c r="E3519" s="1" t="inlineStr">
        <is>
          <t>Base</t>
        </is>
      </c>
      <c r="F3519" s="1" t="n">
        <v>0.749143</v>
      </c>
    </row>
    <row r="3520" ht="15.75" customHeight="1" s="201">
      <c r="A3520" s="1" t="n">
        <v>72119212</v>
      </c>
      <c r="B3520" s="1" t="inlineStr">
        <is>
          <t>Kale, frozen, cooked, no added fat (Includes cooking spray)</t>
        </is>
      </c>
      <c r="C3520" s="1" t="n">
        <v>3</v>
      </c>
      <c r="D3520" s="1" t="inlineStr">
        <is>
          <t>Original FNDDS recipe</t>
        </is>
      </c>
      <c r="E3520" s="1" t="inlineStr">
        <is>
          <t>Base</t>
        </is>
      </c>
      <c r="F3520" s="1" t="n">
        <v>0.685184</v>
      </c>
    </row>
    <row r="3521" ht="15.75" customHeight="1" s="201">
      <c r="A3521" s="1" t="n">
        <v>72119213</v>
      </c>
      <c r="B3521" s="1" t="inlineStr">
        <is>
          <t>Kale, canned, cooked, no added fat (Includes cooking spray)</t>
        </is>
      </c>
      <c r="C3521" s="1" t="n">
        <v>4</v>
      </c>
      <c r="D3521" s="1" t="inlineStr">
        <is>
          <t>FNDDS recipe with replaced or modified SR codes</t>
        </is>
      </c>
      <c r="E3521" s="1" t="inlineStr">
        <is>
          <t>Base</t>
        </is>
      </c>
      <c r="F3521" s="1" t="n">
        <v>0.44676</v>
      </c>
    </row>
    <row r="3522" ht="15.75" customHeight="1" s="201">
      <c r="A3522" s="1" t="n">
        <v>72119220</v>
      </c>
      <c r="B3522" s="1" t="inlineStr">
        <is>
          <t>Kale, NS as to form, cooked (Includes with or without fat)</t>
        </is>
      </c>
      <c r="C3522" s="1" t="n">
        <v>2</v>
      </c>
      <c r="D3522" s="1" t="inlineStr">
        <is>
          <t>Links to altEC</t>
        </is>
      </c>
      <c r="E3522" s="1" t="inlineStr">
        <is>
          <t>Base</t>
        </is>
      </c>
      <c r="F3522" s="1" t="n">
        <v>0.781301</v>
      </c>
    </row>
    <row r="3523" ht="15.75" customHeight="1" s="201">
      <c r="A3523" s="1" t="n">
        <v>72119221</v>
      </c>
      <c r="B3523" s="1" t="inlineStr">
        <is>
          <t>Kale, fresh, cooked, fat added (Includes NS as to fat added; from restaurant)</t>
        </is>
      </c>
      <c r="C3523" s="1" t="n">
        <v>4</v>
      </c>
      <c r="D3523" s="1" t="inlineStr">
        <is>
          <t>FNDDS recipe with replaced or modified SR codes</t>
        </is>
      </c>
      <c r="E3523" s="1" t="inlineStr">
        <is>
          <t>Base</t>
        </is>
      </c>
      <c r="F3523" s="1" t="n">
        <v>0.725112</v>
      </c>
    </row>
    <row r="3524" ht="15.75" customHeight="1" s="201">
      <c r="A3524" s="1" t="n">
        <v>72119222</v>
      </c>
      <c r="B3524" s="1" t="inlineStr">
        <is>
          <t>Kale, frozen, cooked, fat added (Includes NS as to fat added)</t>
        </is>
      </c>
      <c r="C3524" s="1" t="n">
        <v>4</v>
      </c>
      <c r="D3524" s="1" t="inlineStr">
        <is>
          <t>FNDDS recipe with replaced or modified SR codes</t>
        </is>
      </c>
      <c r="E3524" s="1" t="inlineStr">
        <is>
          <t>Base</t>
        </is>
      </c>
      <c r="F3524" s="1" t="n">
        <v>0.67963</v>
      </c>
    </row>
    <row r="3525" ht="15.75" customHeight="1" s="201">
      <c r="A3525" s="1" t="n">
        <v>72119223</v>
      </c>
      <c r="B3525" s="1" t="inlineStr">
        <is>
          <t>Kale, canned, cooked, fat added (Includes NS as to fat added)</t>
        </is>
      </c>
      <c r="C3525" s="1" t="n">
        <v>4</v>
      </c>
      <c r="D3525" s="1" t="inlineStr">
        <is>
          <t>FNDDS recipe with replaced or modified SR codes</t>
        </is>
      </c>
      <c r="E3525" s="1" t="inlineStr">
        <is>
          <t>Base</t>
        </is>
      </c>
      <c r="F3525" s="1" t="n">
        <v>0.448123</v>
      </c>
    </row>
    <row r="3526" ht="15.75" customHeight="1" s="201">
      <c r="A3526" s="1" t="n">
        <v>72122211</v>
      </c>
      <c r="B3526" s="1" t="inlineStr">
        <is>
          <t>Mustard greens, fresh, cooked, no added fat (Includes cooking spray)</t>
        </is>
      </c>
      <c r="C3526" s="1" t="n">
        <v>3</v>
      </c>
      <c r="D3526" s="1" t="inlineStr">
        <is>
          <t>Original FNDDS recipe</t>
        </is>
      </c>
      <c r="E3526" s="1" t="inlineStr">
        <is>
          <t>Base</t>
        </is>
      </c>
      <c r="F3526" s="1" t="n">
        <v>0.250465</v>
      </c>
    </row>
    <row r="3527" ht="15.75" customHeight="1" s="201">
      <c r="A3527" s="1" t="n">
        <v>72122213</v>
      </c>
      <c r="B3527" s="1" t="inlineStr">
        <is>
          <t>Mustard greens, canned, cooked, no added fat (Includes cooking spray)</t>
        </is>
      </c>
      <c r="C3527" s="1" t="n">
        <v>1</v>
      </c>
      <c r="D3527" s="1" t="inlineStr">
        <is>
          <t>Links to FNDDS</t>
        </is>
      </c>
      <c r="E3527" s="1" t="inlineStr">
        <is>
          <t>Base</t>
        </is>
      </c>
      <c r="F3527" s="1" t="n">
        <v>0.334098</v>
      </c>
    </row>
    <row r="3528" ht="15.75" customHeight="1" s="201">
      <c r="A3528" s="1" t="n">
        <v>72122220</v>
      </c>
      <c r="B3528" s="1" t="inlineStr">
        <is>
          <t>Mustard greens, NS as to form, cooked (Includes with or without fat)</t>
        </is>
      </c>
      <c r="C3528" s="1" t="n">
        <v>2</v>
      </c>
      <c r="D3528" s="1" t="inlineStr">
        <is>
          <t>Links to altEC</t>
        </is>
      </c>
      <c r="E3528" s="1" t="inlineStr">
        <is>
          <t>Base</t>
        </is>
      </c>
      <c r="F3528" s="1" t="n">
        <v>0.370724</v>
      </c>
    </row>
    <row r="3529" ht="15.75" customHeight="1" s="201">
      <c r="A3529" s="1" t="n">
        <v>72122221</v>
      </c>
      <c r="B3529" s="1" t="inlineStr">
        <is>
          <t>Mustard greens, fresh, cooked, fat added (Includes NS as to fat added; from restaurant)</t>
        </is>
      </c>
      <c r="C3529" s="1" t="n">
        <v>4</v>
      </c>
      <c r="D3529" s="1" t="inlineStr">
        <is>
          <t>FNDDS recipe with replaced or modified SR codes</t>
        </is>
      </c>
      <c r="E3529" s="1" t="inlineStr">
        <is>
          <t>Base</t>
        </is>
      </c>
      <c r="F3529" s="1" t="n">
        <v>0.258616</v>
      </c>
    </row>
    <row r="3530" ht="15.75" customHeight="1" s="201">
      <c r="A3530" s="1" t="n">
        <v>72124100</v>
      </c>
      <c r="B3530" s="1" t="inlineStr">
        <is>
          <t>Radicchio, raw</t>
        </is>
      </c>
      <c r="C3530" s="1" t="n">
        <v>1</v>
      </c>
      <c r="D3530" s="1" t="inlineStr">
        <is>
          <t>Links to FNDDS</t>
        </is>
      </c>
      <c r="E3530" s="1" t="inlineStr">
        <is>
          <t>Base</t>
        </is>
      </c>
      <c r="F3530" s="1" t="n">
        <v>1.011567</v>
      </c>
    </row>
    <row r="3531" ht="15.75" customHeight="1" s="201">
      <c r="A3531" s="1" t="n">
        <v>72125100</v>
      </c>
      <c r="B3531" s="1" t="inlineStr">
        <is>
          <t>Spinach, raw</t>
        </is>
      </c>
      <c r="C3531" s="1" t="n">
        <v>1</v>
      </c>
      <c r="D3531" s="1" t="inlineStr">
        <is>
          <t>Links to FNDDS</t>
        </is>
      </c>
      <c r="E3531" s="1" t="inlineStr">
        <is>
          <t>Base</t>
        </is>
      </c>
      <c r="F3531" s="1" t="n">
        <v>0.989603</v>
      </c>
    </row>
    <row r="3532" ht="15.75" customHeight="1" s="201">
      <c r="A3532" s="1" t="n">
        <v>72125211</v>
      </c>
      <c r="B3532" s="1" t="inlineStr">
        <is>
          <t>Spinach, fresh, cooked, no added fat (Includes cooking spray)</t>
        </is>
      </c>
      <c r="C3532" s="1" t="n">
        <v>2</v>
      </c>
      <c r="D3532" s="1" t="inlineStr">
        <is>
          <t>Links to altEC</t>
        </is>
      </c>
      <c r="E3532" s="1" t="inlineStr">
        <is>
          <t>Base</t>
        </is>
      </c>
      <c r="F3532" s="1" t="n">
        <v>1.068772</v>
      </c>
    </row>
    <row r="3533" ht="15.75" customHeight="1" s="201">
      <c r="A3533" s="1" t="n">
        <v>72125213</v>
      </c>
      <c r="B3533" s="1" t="inlineStr">
        <is>
          <t>Spinach, canned, cooked, no added fat (Includes cooking spray)</t>
        </is>
      </c>
      <c r="C3533" s="1" t="n">
        <v>1</v>
      </c>
      <c r="D3533" s="1" t="inlineStr">
        <is>
          <t>Links to FNDDS</t>
        </is>
      </c>
      <c r="E3533" s="1" t="inlineStr">
        <is>
          <t>Base</t>
        </is>
      </c>
      <c r="F3533" s="1" t="n">
        <v>0.367348</v>
      </c>
    </row>
    <row r="3534" ht="15.75" customHeight="1" s="201">
      <c r="A3534" s="1" t="n">
        <v>72125217</v>
      </c>
      <c r="B3534" s="1" t="inlineStr">
        <is>
          <t>Spinach, fresh, cooked with oil</t>
        </is>
      </c>
      <c r="C3534" s="1" t="n">
        <v>4</v>
      </c>
      <c r="D3534" s="1" t="inlineStr">
        <is>
          <t>FNDDS recipe with replaced or modified SR codes</t>
        </is>
      </c>
      <c r="E3534" s="1" t="inlineStr">
        <is>
          <t>Base</t>
        </is>
      </c>
      <c r="F3534" s="1" t="n">
        <v>1.142194</v>
      </c>
    </row>
    <row r="3535" ht="15.75" customHeight="1" s="201">
      <c r="A3535" s="1" t="n">
        <v>72125218</v>
      </c>
      <c r="B3535" s="1" t="inlineStr">
        <is>
          <t>Spinach, fresh, cooked with butter or margarine (Includes animal fat; shortening; from restaurant)</t>
        </is>
      </c>
      <c r="C3535" s="1" t="n">
        <v>4</v>
      </c>
      <c r="D3535" s="1" t="inlineStr">
        <is>
          <t>FNDDS recipe with replaced or modified SR codes</t>
        </is>
      </c>
      <c r="E3535" s="1" t="inlineStr">
        <is>
          <t>Base</t>
        </is>
      </c>
      <c r="F3535" s="1" t="n">
        <v>1.147363</v>
      </c>
    </row>
    <row r="3536" ht="15.75" customHeight="1" s="201">
      <c r="A3536" s="1" t="n">
        <v>72125220</v>
      </c>
      <c r="B3536" s="1" t="inlineStr">
        <is>
          <t>Spinach, NS as to form, cooked (Includes with or without fat)</t>
        </is>
      </c>
      <c r="C3536" s="1" t="n">
        <v>2</v>
      </c>
      <c r="D3536" s="1" t="inlineStr">
        <is>
          <t>Links to altEC</t>
        </is>
      </c>
      <c r="E3536" s="1" t="inlineStr">
        <is>
          <t>Base</t>
        </is>
      </c>
      <c r="F3536" s="1" t="n">
        <v>0.869519</v>
      </c>
    </row>
    <row r="3537" ht="15.75" customHeight="1" s="201">
      <c r="A3537" s="1" t="n">
        <v>72125221</v>
      </c>
      <c r="B3537" s="1" t="inlineStr">
        <is>
          <t>Spinach, fresh, cooked, fat added, NS as to fat type (Includes NS as to fat added)</t>
        </is>
      </c>
      <c r="C3537" s="1" t="n">
        <v>4</v>
      </c>
      <c r="D3537" s="1" t="inlineStr">
        <is>
          <t>FNDDS recipe with replaced or modified SR codes</t>
        </is>
      </c>
      <c r="E3537" s="1" t="inlineStr">
        <is>
          <t>Base</t>
        </is>
      </c>
      <c r="F3537" s="1" t="n">
        <v>1.144778</v>
      </c>
    </row>
    <row r="3538" ht="15.75" customHeight="1" s="201">
      <c r="A3538" s="1" t="n">
        <v>72125224</v>
      </c>
      <c r="B3538" s="1" t="inlineStr">
        <is>
          <t>Spinach, frozen, cooked with oil</t>
        </is>
      </c>
      <c r="C3538" s="1" t="n">
        <v>4</v>
      </c>
      <c r="D3538" s="1" t="inlineStr">
        <is>
          <t>FNDDS recipe with replaced or modified SR codes</t>
        </is>
      </c>
      <c r="E3538" s="1" t="inlineStr">
        <is>
          <t>Base</t>
        </is>
      </c>
      <c r="F3538" s="1" t="n">
        <v>0.893777</v>
      </c>
    </row>
    <row r="3539" ht="15.75" customHeight="1" s="201">
      <c r="A3539" s="1" t="n">
        <v>72125225</v>
      </c>
      <c r="B3539" s="1" t="inlineStr">
        <is>
          <t>Spinach, frozen, cooked with butter or margarine (Includes animal fat; shortening)</t>
        </is>
      </c>
      <c r="C3539" s="1" t="n">
        <v>4</v>
      </c>
      <c r="D3539" s="1" t="inlineStr">
        <is>
          <t>FNDDS recipe with replaced or modified SR codes</t>
        </is>
      </c>
      <c r="E3539" s="1" t="inlineStr">
        <is>
          <t>Base</t>
        </is>
      </c>
      <c r="F3539" s="1" t="n">
        <v>0.8981710000000001</v>
      </c>
    </row>
    <row r="3540" ht="15.75" customHeight="1" s="201">
      <c r="A3540" s="1" t="n">
        <v>72125228</v>
      </c>
      <c r="B3540" s="1" t="inlineStr">
        <is>
          <t>Spinach, canned, cooked with butter or margarine (Includes animal fat; shortening)</t>
        </is>
      </c>
      <c r="C3540" s="1" t="n">
        <v>4</v>
      </c>
      <c r="D3540" s="1" t="inlineStr">
        <is>
          <t>FNDDS recipe with replaced or modified SR codes</t>
        </is>
      </c>
      <c r="E3540" s="1" t="inlineStr">
        <is>
          <t>Base</t>
        </is>
      </c>
      <c r="F3540" s="1" t="n">
        <v>0.373239</v>
      </c>
    </row>
    <row r="3541" ht="15.75" customHeight="1" s="201">
      <c r="A3541" s="1" t="n">
        <v>72125230</v>
      </c>
      <c r="B3541" s="1" t="inlineStr">
        <is>
          <t>Spinach, creamed</t>
        </is>
      </c>
      <c r="C3541" s="1" t="n">
        <v>1</v>
      </c>
      <c r="D3541" s="1" t="inlineStr">
        <is>
          <t>Links to FNDDS</t>
        </is>
      </c>
      <c r="E3541" s="1" t="inlineStr">
        <is>
          <t>Base</t>
        </is>
      </c>
      <c r="F3541" s="1" t="n">
        <v>0.667948</v>
      </c>
    </row>
    <row r="3542" ht="15.75" customHeight="1" s="201">
      <c r="A3542" s="1" t="n">
        <v>72125240</v>
      </c>
      <c r="B3542" s="1" t="inlineStr">
        <is>
          <t>Spinach souffle</t>
        </is>
      </c>
      <c r="C3542" s="1" t="n">
        <v>1</v>
      </c>
      <c r="D3542" s="1" t="inlineStr">
        <is>
          <t>Links to FNDDS</t>
        </is>
      </c>
      <c r="E3542" s="1" t="inlineStr">
        <is>
          <t>Base</t>
        </is>
      </c>
      <c r="F3542" s="1" t="n">
        <v>0.861661</v>
      </c>
    </row>
    <row r="3543" ht="15.75" customHeight="1" s="201">
      <c r="A3543" s="1" t="n">
        <v>72125260</v>
      </c>
      <c r="B3543" s="1" t="inlineStr">
        <is>
          <t>Spinach and cheese casserole (Includes spinach casserole, NFS)</t>
        </is>
      </c>
      <c r="C3543" s="1" t="n">
        <v>4</v>
      </c>
      <c r="D3543" s="1" t="inlineStr">
        <is>
          <t>FNDDS recipe with replaced or modified SR codes</t>
        </is>
      </c>
      <c r="E3543" s="1" t="inlineStr">
        <is>
          <t>Base</t>
        </is>
      </c>
      <c r="F3543" s="1" t="n">
        <v>0.816582</v>
      </c>
    </row>
    <row r="3544" ht="15.75" customHeight="1" s="201">
      <c r="A3544" s="1" t="n">
        <v>72125310</v>
      </c>
      <c r="B3544" s="1" t="inlineStr">
        <is>
          <t>Palak Paneer (Includes spinach or mustard greens with cottage cheese; Saagwala; Saag Paneer; Indian dish)</t>
        </is>
      </c>
      <c r="C3544" s="1" t="n">
        <v>1</v>
      </c>
      <c r="D3544" s="1" t="inlineStr">
        <is>
          <t>Links to FNDDS</t>
        </is>
      </c>
      <c r="E3544" s="1" t="inlineStr">
        <is>
          <t>Base</t>
        </is>
      </c>
      <c r="F3544" s="1" t="n">
        <v>1.534101</v>
      </c>
    </row>
    <row r="3545" ht="15.75" customHeight="1" s="201">
      <c r="A3545" s="1" t="n">
        <v>72125500</v>
      </c>
      <c r="B3545" s="1" t="inlineStr">
        <is>
          <t>Channa Saag (Includes Chana Shaag or Sagh; spinach and chickpeas; Indian)</t>
        </is>
      </c>
      <c r="C3545" s="1" t="n">
        <v>4</v>
      </c>
      <c r="D3545" s="1" t="inlineStr">
        <is>
          <t>FNDDS recipe with replaced or modified SR codes</t>
        </is>
      </c>
      <c r="E3545" s="1" t="inlineStr">
        <is>
          <t>Base</t>
        </is>
      </c>
      <c r="F3545" s="1" t="n">
        <v>0.814578</v>
      </c>
    </row>
    <row r="3546" ht="15.75" customHeight="1" s="201">
      <c r="A3546" s="1" t="n">
        <v>72128211</v>
      </c>
      <c r="B3546" s="1" t="inlineStr">
        <is>
          <t>Turnip greens, fresh, cooked, no added fat (Includes cooking spray)</t>
        </is>
      </c>
      <c r="C3546" s="1" t="n">
        <v>1</v>
      </c>
      <c r="D3546" s="1" t="inlineStr">
        <is>
          <t>Links to FNDDS</t>
        </is>
      </c>
      <c r="E3546" s="1" t="inlineStr">
        <is>
          <t>Base</t>
        </is>
      </c>
      <c r="F3546" s="1" t="n">
        <v>0.5160360000000001</v>
      </c>
    </row>
    <row r="3547" ht="15.75" customHeight="1" s="201">
      <c r="A3547" s="1" t="n">
        <v>72128213</v>
      </c>
      <c r="B3547" s="1" t="inlineStr">
        <is>
          <t>Turnip greens, canned, cooked, no added fat (Includes cooking spray)</t>
        </is>
      </c>
      <c r="C3547" s="1" t="n">
        <v>1</v>
      </c>
      <c r="D3547" s="1" t="inlineStr">
        <is>
          <t>Links to FNDDS</t>
        </is>
      </c>
      <c r="E3547" s="1" t="inlineStr">
        <is>
          <t>Base</t>
        </is>
      </c>
      <c r="F3547" s="1" t="n">
        <v>0.326048</v>
      </c>
    </row>
    <row r="3548" ht="15.75" customHeight="1" s="201">
      <c r="A3548" s="1" t="n">
        <v>72128221</v>
      </c>
      <c r="B3548" s="1" t="inlineStr">
        <is>
          <t>Turnip greens, fresh, cooked, fat added (Includes NS as to fat added; from restaurant)</t>
        </is>
      </c>
      <c r="C3548" s="1" t="n">
        <v>4</v>
      </c>
      <c r="D3548" s="1" t="inlineStr">
        <is>
          <t>FNDDS recipe with replaced or modified SR codes</t>
        </is>
      </c>
      <c r="E3548" s="1" t="inlineStr">
        <is>
          <t>Base</t>
        </is>
      </c>
      <c r="F3548" s="1" t="n">
        <v>0.44908</v>
      </c>
    </row>
    <row r="3549" ht="15.75" customHeight="1" s="201">
      <c r="A3549" s="1" t="n">
        <v>72128223</v>
      </c>
      <c r="B3549" s="1" t="inlineStr">
        <is>
          <t>Turnip greens, canned, cooked, fat added (Includes NS as to fat added)</t>
        </is>
      </c>
      <c r="C3549" s="1" t="n">
        <v>4</v>
      </c>
      <c r="D3549" s="1" t="inlineStr">
        <is>
          <t>FNDDS recipe with replaced or modified SR codes</t>
        </is>
      </c>
      <c r="E3549" s="1" t="inlineStr">
        <is>
          <t>Base</t>
        </is>
      </c>
      <c r="F3549" s="1" t="n">
        <v>0.448123</v>
      </c>
    </row>
    <row r="3550" ht="15.75" customHeight="1" s="201">
      <c r="A3550" s="1" t="n">
        <v>72201100</v>
      </c>
      <c r="B3550" s="1" t="inlineStr">
        <is>
          <t>Broccoli, raw</t>
        </is>
      </c>
      <c r="C3550" s="1" t="n">
        <v>1</v>
      </c>
      <c r="D3550" s="1" t="inlineStr">
        <is>
          <t>Links to FNDDS</t>
        </is>
      </c>
      <c r="E3550" s="1" t="inlineStr">
        <is>
          <t>Base</t>
        </is>
      </c>
      <c r="F3550" s="1" t="n">
        <v>0.742143</v>
      </c>
    </row>
    <row r="3551" ht="15.75" customHeight="1" s="201">
      <c r="A3551" s="1" t="n">
        <v>72201190</v>
      </c>
      <c r="B3551" s="1" t="inlineStr">
        <is>
          <t>Broccoli, cooked, from restaurant</t>
        </is>
      </c>
      <c r="C3551" s="1" t="n">
        <v>4</v>
      </c>
      <c r="D3551" s="1" t="inlineStr">
        <is>
          <t>FNDDS recipe with replaced or modified SR codes</t>
        </is>
      </c>
      <c r="E3551" s="1" t="inlineStr">
        <is>
          <t>Base</t>
        </is>
      </c>
      <c r="F3551" s="1" t="n">
        <v>0.7583839999999999</v>
      </c>
    </row>
    <row r="3552" ht="15.75" customHeight="1" s="201">
      <c r="A3552" s="1" t="n">
        <v>72201211</v>
      </c>
      <c r="B3552" s="1" t="inlineStr">
        <is>
          <t>Broccoli, fresh, cooked, no added fat (Includes cooking spray)</t>
        </is>
      </c>
      <c r="C3552" s="1" t="n">
        <v>2</v>
      </c>
      <c r="D3552" s="1" t="inlineStr">
        <is>
          <t>Links to altEC</t>
        </is>
      </c>
      <c r="E3552" s="1" t="inlineStr">
        <is>
          <t>Base</t>
        </is>
      </c>
      <c r="F3552" s="1" t="n">
        <v>0.742143</v>
      </c>
    </row>
    <row r="3553" ht="15.75" customHeight="1" s="201">
      <c r="A3553" s="1" t="n">
        <v>72201212</v>
      </c>
      <c r="B3553" s="1" t="inlineStr">
        <is>
          <t>Broccoli, frozen, cooked, no added fat (Includes cooking spray)</t>
        </is>
      </c>
      <c r="C3553" s="1" t="n">
        <v>1</v>
      </c>
      <c r="D3553" s="1" t="inlineStr">
        <is>
          <t>Links to FNDDS</t>
        </is>
      </c>
      <c r="E3553" s="1" t="inlineStr">
        <is>
          <t>Base</t>
        </is>
      </c>
      <c r="F3553" s="1" t="n">
        <v>0.564712</v>
      </c>
    </row>
    <row r="3554" ht="15.75" customHeight="1" s="201">
      <c r="A3554" s="1" t="n">
        <v>72201220</v>
      </c>
      <c r="B3554" s="1" t="inlineStr">
        <is>
          <t>Broccoli, NS as to form, cooked (Includes with or without fat)</t>
        </is>
      </c>
      <c r="C3554" s="1" t="n">
        <v>1</v>
      </c>
      <c r="D3554" s="1" t="inlineStr">
        <is>
          <t>Links to FNDDS</t>
        </is>
      </c>
      <c r="E3554" s="1" t="inlineStr">
        <is>
          <t>Base</t>
        </is>
      </c>
      <c r="F3554" s="1" t="n">
        <v>1.334581</v>
      </c>
    </row>
    <row r="3555" ht="15.75" customHeight="1" s="201">
      <c r="A3555" s="1" t="n">
        <v>72201221</v>
      </c>
      <c r="B3555" s="1" t="inlineStr">
        <is>
          <t>Broccoli, fresh, cooked, fat added, NS as to fat type (Includes NS as to fat added)</t>
        </is>
      </c>
      <c r="C3555" s="1" t="n">
        <v>4</v>
      </c>
      <c r="D3555" s="1" t="inlineStr">
        <is>
          <t>FNDDS recipe with replaced or modified SR codes</t>
        </is>
      </c>
      <c r="E3555" s="1" t="inlineStr">
        <is>
          <t>Base</t>
        </is>
      </c>
      <c r="F3555" s="1" t="n">
        <v>0.764069</v>
      </c>
    </row>
    <row r="3556" ht="15.75" customHeight="1" s="201">
      <c r="A3556" s="1" t="n">
        <v>72201222</v>
      </c>
      <c r="B3556" s="1" t="inlineStr">
        <is>
          <t>Broccoli, frozen, cooked, fat added, NS as to fat type (Includes NS as to fat added)</t>
        </is>
      </c>
      <c r="C3556" s="1" t="n">
        <v>4</v>
      </c>
      <c r="D3556" s="1" t="inlineStr">
        <is>
          <t>FNDDS recipe with replaced or modified SR codes</t>
        </is>
      </c>
      <c r="E3556" s="1" t="inlineStr">
        <is>
          <t>Base</t>
        </is>
      </c>
      <c r="F3556" s="1" t="n">
        <v>0.561744</v>
      </c>
    </row>
    <row r="3557" ht="15.75" customHeight="1" s="201">
      <c r="A3557" s="1" t="n">
        <v>72201223</v>
      </c>
      <c r="B3557" s="1" t="inlineStr">
        <is>
          <t>Broccoli, fresh, cooked with oil</t>
        </is>
      </c>
      <c r="C3557" s="1" t="n">
        <v>4</v>
      </c>
      <c r="D3557" s="1" t="inlineStr">
        <is>
          <t>FNDDS recipe with replaced or modified SR codes</t>
        </is>
      </c>
      <c r="E3557" s="1" t="inlineStr">
        <is>
          <t>Base</t>
        </is>
      </c>
      <c r="F3557" s="1" t="n">
        <v>0.761781</v>
      </c>
    </row>
    <row r="3558" ht="15.75" customHeight="1" s="201">
      <c r="A3558" s="1" t="n">
        <v>72201224</v>
      </c>
      <c r="B3558" s="1" t="inlineStr">
        <is>
          <t>Broccoli, fresh, cooked with butter or margarine (Includes animal fat; shortening)</t>
        </is>
      </c>
      <c r="C3558" s="1" t="n">
        <v>4</v>
      </c>
      <c r="D3558" s="1" t="inlineStr">
        <is>
          <t>FNDDS recipe with replaced or modified SR codes</t>
        </is>
      </c>
      <c r="E3558" s="1" t="inlineStr">
        <is>
          <t>Base</t>
        </is>
      </c>
      <c r="F3558" s="1" t="n">
        <v>0.766358</v>
      </c>
    </row>
    <row r="3559" ht="15.75" customHeight="1" s="201">
      <c r="A3559" s="1" t="n">
        <v>72201226</v>
      </c>
      <c r="B3559" s="1" t="inlineStr">
        <is>
          <t>Broccoli, frozen, cooked with oil</t>
        </is>
      </c>
      <c r="C3559" s="1" t="n">
        <v>4</v>
      </c>
      <c r="D3559" s="1" t="inlineStr">
        <is>
          <t>FNDDS recipe with replaced or modified SR codes</t>
        </is>
      </c>
      <c r="E3559" s="1" t="inlineStr">
        <is>
          <t>Base</t>
        </is>
      </c>
      <c r="F3559" s="1" t="n">
        <v>0.559547</v>
      </c>
    </row>
    <row r="3560" ht="15.75" customHeight="1" s="201">
      <c r="A3560" s="1" t="n">
        <v>72201227</v>
      </c>
      <c r="B3560" s="1" t="inlineStr">
        <is>
          <t>Broccoli, frozen, cooked with butter or margarine (Includes animal fat; shortening)</t>
        </is>
      </c>
      <c r="C3560" s="1" t="n">
        <v>4</v>
      </c>
      <c r="D3560" s="1" t="inlineStr">
        <is>
          <t>FNDDS recipe with replaced or modified SR codes</t>
        </is>
      </c>
      <c r="E3560" s="1" t="inlineStr">
        <is>
          <t>Base</t>
        </is>
      </c>
      <c r="F3560" s="1" t="n">
        <v>0.563941</v>
      </c>
    </row>
    <row r="3561" ht="15.75" customHeight="1" s="201">
      <c r="A3561" s="1" t="n">
        <v>72202010</v>
      </c>
      <c r="B3561" s="1" t="inlineStr">
        <is>
          <t>Broccoli casserole with noodles (Includes cream sauce)</t>
        </is>
      </c>
      <c r="C3561" s="1" t="n">
        <v>4</v>
      </c>
      <c r="D3561" s="1" t="inlineStr">
        <is>
          <t>FNDDS recipe with replaced or modified SR codes</t>
        </is>
      </c>
      <c r="E3561" s="1" t="inlineStr">
        <is>
          <t>Base</t>
        </is>
      </c>
      <c r="F3561" s="1" t="n">
        <v>0.487359</v>
      </c>
    </row>
    <row r="3562" ht="15.75" customHeight="1" s="201">
      <c r="A3562" s="1" t="n">
        <v>72202020</v>
      </c>
      <c r="B3562" s="1" t="inlineStr">
        <is>
          <t>Broccoli casserole with rice (Includes mushroom sauce)</t>
        </is>
      </c>
      <c r="C3562" s="1" t="n">
        <v>4</v>
      </c>
      <c r="D3562" s="1" t="inlineStr">
        <is>
          <t>FNDDS recipe with replaced or modified SR codes</t>
        </is>
      </c>
      <c r="E3562" s="1" t="inlineStr">
        <is>
          <t>Base</t>
        </is>
      </c>
      <c r="F3562" s="1" t="n">
        <v>0.480005</v>
      </c>
    </row>
    <row r="3563" ht="15.75" customHeight="1" s="201">
      <c r="A3563" s="1" t="n">
        <v>72202030</v>
      </c>
      <c r="B3563" s="1" t="inlineStr">
        <is>
          <t>Fried broccoli (Includes battered or breaded; broccoli bites)</t>
        </is>
      </c>
      <c r="C3563" s="1" t="n">
        <v>1</v>
      </c>
      <c r="D3563" s="1" t="inlineStr">
        <is>
          <t>Links to FNDDS</t>
        </is>
      </c>
      <c r="E3563" s="1" t="inlineStr">
        <is>
          <t>Base</t>
        </is>
      </c>
      <c r="F3563" s="1" t="n">
        <v>1.649915</v>
      </c>
    </row>
    <row r="3564" ht="15.75" customHeight="1" s="201">
      <c r="A3564" s="1" t="n">
        <v>72203070</v>
      </c>
      <c r="B3564" s="1" t="inlineStr">
        <is>
          <t>Broccoli, Chinese, cooked (Includes with or without fat)</t>
        </is>
      </c>
      <c r="C3564" s="1" t="n">
        <v>4</v>
      </c>
      <c r="D3564" s="1" t="inlineStr">
        <is>
          <t>FNDDS recipe with replaced or modified SR codes</t>
        </is>
      </c>
      <c r="E3564" s="1" t="inlineStr">
        <is>
          <t>Base</t>
        </is>
      </c>
      <c r="F3564" s="1" t="n">
        <v>0.5760150000000001</v>
      </c>
    </row>
    <row r="3565" ht="15.75" customHeight="1" s="201">
      <c r="A3565" s="1" t="n">
        <v>72302000</v>
      </c>
      <c r="B3565" s="1" t="inlineStr">
        <is>
          <t>Broccoli soup, prepared with milk, home recipe, canned or ready-to-serve (Includes cream of broccoli soup; NS as to made with milk or water)</t>
        </is>
      </c>
      <c r="C3565" s="1" t="n">
        <v>1</v>
      </c>
      <c r="D3565" s="1" t="inlineStr">
        <is>
          <t>Links to FNDDS</t>
        </is>
      </c>
      <c r="E3565" s="1" t="inlineStr">
        <is>
          <t>Base</t>
        </is>
      </c>
      <c r="F3565" s="1" t="n">
        <v>0.43684</v>
      </c>
    </row>
    <row r="3566" ht="15.75" customHeight="1" s="201">
      <c r="A3566" s="1" t="n">
        <v>72302020</v>
      </c>
      <c r="B3566" s="1" t="inlineStr">
        <is>
          <t>Broccoli soup, prepared with water, home recipe, canned, or ready-to-serve</t>
        </is>
      </c>
      <c r="C3566" s="1" t="n">
        <v>2</v>
      </c>
      <c r="D3566" s="1" t="inlineStr">
        <is>
          <t>Links to altEC</t>
        </is>
      </c>
      <c r="E3566" s="1" t="inlineStr">
        <is>
          <t>Base</t>
        </is>
      </c>
      <c r="F3566" s="1" t="n">
        <v>0.591713</v>
      </c>
    </row>
    <row r="3567" ht="15.75" customHeight="1" s="201">
      <c r="A3567" s="1" t="n">
        <v>72302100</v>
      </c>
      <c r="B3567" s="1" t="inlineStr">
        <is>
          <t>Broccoli cheese soup, prepared with milk, home recipe, canned, or ready-to-serve</t>
        </is>
      </c>
      <c r="C3567" s="1" t="n">
        <v>1</v>
      </c>
      <c r="D3567" s="1" t="inlineStr">
        <is>
          <t>Links to FNDDS</t>
        </is>
      </c>
      <c r="E3567" s="1" t="inlineStr">
        <is>
          <t>Base</t>
        </is>
      </c>
      <c r="F3567" s="1" t="n">
        <v>0.646482</v>
      </c>
    </row>
    <row r="3568" ht="15.75" customHeight="1" s="201">
      <c r="A3568" s="1" t="n">
        <v>72307000</v>
      </c>
      <c r="B3568" s="1" t="inlineStr">
        <is>
          <t>Spinach soup (Includes cream of spinach soup; escarole soup)</t>
        </is>
      </c>
      <c r="C3568" s="1" t="n">
        <v>4</v>
      </c>
      <c r="D3568" s="1" t="inlineStr">
        <is>
          <t>FNDDS recipe with replaced or modified SR codes</t>
        </is>
      </c>
      <c r="E3568" s="1" t="inlineStr">
        <is>
          <t>Base</t>
        </is>
      </c>
      <c r="F3568" s="1" t="n">
        <v>0.455285</v>
      </c>
    </row>
    <row r="3569" ht="15.75" customHeight="1" s="201">
      <c r="A3569" s="1" t="n">
        <v>72308000</v>
      </c>
      <c r="B3569" s="1" t="inlineStr">
        <is>
          <t>Dark-green leafy vegetable soup with meat, Asian style (Includes Vietnamese Vegetable and Pork Soup)</t>
        </is>
      </c>
      <c r="C3569" s="1" t="n">
        <v>4</v>
      </c>
      <c r="D3569" s="1" t="inlineStr">
        <is>
          <t>FNDDS recipe with replaced or modified SR codes</t>
        </is>
      </c>
      <c r="E3569" s="1" t="inlineStr">
        <is>
          <t>Base</t>
        </is>
      </c>
      <c r="F3569" s="1" t="n">
        <v>0.521807</v>
      </c>
    </row>
    <row r="3570" ht="15.75" customHeight="1" s="201">
      <c r="A3570" s="1" t="n">
        <v>73101010</v>
      </c>
      <c r="B3570" s="1" t="inlineStr">
        <is>
          <t>Carrots, raw</t>
        </is>
      </c>
      <c r="C3570" s="1" t="n">
        <v>1</v>
      </c>
      <c r="D3570" s="1" t="inlineStr">
        <is>
          <t>Links to FNDDS</t>
        </is>
      </c>
      <c r="E3570" s="1" t="inlineStr">
        <is>
          <t>Base</t>
        </is>
      </c>
      <c r="F3570" s="1" t="n">
        <v>0.301321</v>
      </c>
    </row>
    <row r="3571" ht="15.75" customHeight="1" s="201">
      <c r="A3571" s="1" t="n">
        <v>73101210</v>
      </c>
      <c r="B3571" s="1" t="inlineStr">
        <is>
          <t>Carrots, raw, salad with apples (Includes vegetable and fruit salad, with carrot and apple)</t>
        </is>
      </c>
      <c r="C3571" s="1" t="n">
        <v>4</v>
      </c>
      <c r="D3571" s="1" t="inlineStr">
        <is>
          <t>FNDDS recipe with replaced or modified SR codes</t>
        </is>
      </c>
      <c r="E3571" s="1" t="inlineStr">
        <is>
          <t>Base</t>
        </is>
      </c>
      <c r="F3571" s="1" t="n">
        <v>0.392349</v>
      </c>
    </row>
    <row r="3572" ht="15.75" customHeight="1" s="201">
      <c r="A3572" s="1" t="n">
        <v>73102190</v>
      </c>
      <c r="B3572" s="1" t="inlineStr">
        <is>
          <t>Carrots, cooked, from restaurant</t>
        </is>
      </c>
      <c r="C3572" s="1" t="n">
        <v>2</v>
      </c>
      <c r="D3572" s="1" t="inlineStr">
        <is>
          <t>Links to altEC</t>
        </is>
      </c>
      <c r="E3572" s="1" t="inlineStr">
        <is>
          <t>Base</t>
        </is>
      </c>
      <c r="F3572" s="1" t="n">
        <v>0.326038</v>
      </c>
    </row>
    <row r="3573" ht="15.75" customHeight="1" s="201">
      <c r="A3573" s="1" t="n">
        <v>73102211</v>
      </c>
      <c r="B3573" s="1" t="inlineStr">
        <is>
          <t>Carrots, fresh, cooked, no added fat (Includes cooking spray)</t>
        </is>
      </c>
      <c r="C3573" s="1" t="n">
        <v>2</v>
      </c>
      <c r="D3573" s="1" t="inlineStr">
        <is>
          <t>Links to altEC</t>
        </is>
      </c>
      <c r="E3573" s="1" t="inlineStr">
        <is>
          <t>Base</t>
        </is>
      </c>
      <c r="F3573" s="1" t="n">
        <v>0.32844</v>
      </c>
    </row>
    <row r="3574" ht="15.75" customHeight="1" s="201">
      <c r="A3574" s="1" t="n">
        <v>73102217</v>
      </c>
      <c r="B3574" s="1" t="inlineStr">
        <is>
          <t>Carrots, fresh, cooked with oil</t>
        </is>
      </c>
      <c r="C3574" s="1" t="n">
        <v>4</v>
      </c>
      <c r="D3574" s="1" t="inlineStr">
        <is>
          <t>FNDDS recipe with replaced or modified SR codes</t>
        </is>
      </c>
      <c r="E3574" s="1" t="inlineStr">
        <is>
          <t>Base</t>
        </is>
      </c>
      <c r="F3574" s="1" t="n">
        <v>0.317261</v>
      </c>
    </row>
    <row r="3575" ht="15.75" customHeight="1" s="201">
      <c r="A3575" s="1" t="n">
        <v>73102218</v>
      </c>
      <c r="B3575" s="1" t="inlineStr">
        <is>
          <t>Carrots, fresh, cooked with butter or margarine (Includes animal fat; shortening)</t>
        </is>
      </c>
      <c r="C3575" s="1" t="n">
        <v>4</v>
      </c>
      <c r="D3575" s="1" t="inlineStr">
        <is>
          <t>FNDDS recipe with replaced or modified SR codes</t>
        </is>
      </c>
      <c r="E3575" s="1" t="inlineStr">
        <is>
          <t>Base</t>
        </is>
      </c>
      <c r="F3575" s="1" t="n">
        <v>0.321838</v>
      </c>
    </row>
    <row r="3576" ht="15.75" customHeight="1" s="201">
      <c r="A3576" s="1" t="n">
        <v>73102220</v>
      </c>
      <c r="B3576" s="1" t="inlineStr">
        <is>
          <t>Carrots, NS as to form, cooked (Includes with or without fat)</t>
        </is>
      </c>
      <c r="C3576" s="1" t="n">
        <v>1</v>
      </c>
      <c r="D3576" s="1" t="inlineStr">
        <is>
          <t>Links to FNDDS</t>
        </is>
      </c>
      <c r="E3576" s="1" t="inlineStr">
        <is>
          <t>Base</t>
        </is>
      </c>
      <c r="F3576" s="1" t="n">
        <v>0.326038</v>
      </c>
    </row>
    <row r="3577" ht="15.75" customHeight="1" s="201">
      <c r="A3577" s="1" t="n">
        <v>73102221</v>
      </c>
      <c r="B3577" s="1" t="inlineStr">
        <is>
          <t>Carrots, fresh, cooked, fat added, NS as to fat type (Includes NS as to fat added)</t>
        </is>
      </c>
      <c r="C3577" s="1" t="n">
        <v>4</v>
      </c>
      <c r="D3577" s="1" t="inlineStr">
        <is>
          <t>FNDDS recipe with replaced or modified SR codes</t>
        </is>
      </c>
      <c r="E3577" s="1" t="inlineStr">
        <is>
          <t>Base</t>
        </is>
      </c>
      <c r="F3577" s="1" t="n">
        <v>0.319549</v>
      </c>
    </row>
    <row r="3578" ht="15.75" customHeight="1" s="201">
      <c r="A3578" s="1" t="n">
        <v>73102222</v>
      </c>
      <c r="B3578" s="1" t="inlineStr">
        <is>
          <t>Carrots, frozen, cooked, fat added, NS as to fat type (Includes NS as to fat added)</t>
        </is>
      </c>
      <c r="C3578" s="1" t="n">
        <v>4</v>
      </c>
      <c r="D3578" s="1" t="inlineStr">
        <is>
          <t>FNDDS recipe with replaced or modified SR codes</t>
        </is>
      </c>
      <c r="E3578" s="1" t="inlineStr">
        <is>
          <t>Base</t>
        </is>
      </c>
      <c r="F3578" s="1" t="n">
        <v>0.374473</v>
      </c>
    </row>
    <row r="3579" ht="15.75" customHeight="1" s="201">
      <c r="A3579" s="1" t="n">
        <v>73102224</v>
      </c>
      <c r="B3579" s="1" t="inlineStr">
        <is>
          <t>Carrots, frozen, cooked with oil</t>
        </is>
      </c>
      <c r="C3579" s="1" t="n">
        <v>4</v>
      </c>
      <c r="D3579" s="1" t="inlineStr">
        <is>
          <t>FNDDS recipe with replaced or modified SR codes</t>
        </is>
      </c>
      <c r="E3579" s="1" t="inlineStr">
        <is>
          <t>Base</t>
        </is>
      </c>
      <c r="F3579" s="1" t="n">
        <v>0.372276</v>
      </c>
    </row>
    <row r="3580" ht="15.75" customHeight="1" s="201">
      <c r="A3580" s="1" t="n">
        <v>73102225</v>
      </c>
      <c r="B3580" s="1" t="inlineStr">
        <is>
          <t>Carrots, frozen, cooked with butter or margarine (Includes animal fat; shortening)</t>
        </is>
      </c>
      <c r="C3580" s="1" t="n">
        <v>4</v>
      </c>
      <c r="D3580" s="1" t="inlineStr">
        <is>
          <t>FNDDS recipe with replaced or modified SR codes</t>
        </is>
      </c>
      <c r="E3580" s="1" t="inlineStr">
        <is>
          <t>Base</t>
        </is>
      </c>
      <c r="F3580" s="1" t="n">
        <v>0.37667</v>
      </c>
    </row>
    <row r="3581" ht="15.75" customHeight="1" s="201">
      <c r="A3581" s="1" t="n">
        <v>73102228</v>
      </c>
      <c r="B3581" s="1" t="inlineStr">
        <is>
          <t>Carrots, canned, cooked with butter or margarine (Includes animal fat; shortening)</t>
        </is>
      </c>
      <c r="C3581" s="1" t="n">
        <v>4</v>
      </c>
      <c r="D3581" s="1" t="inlineStr">
        <is>
          <t>FNDDS recipe with replaced or modified SR codes</t>
        </is>
      </c>
      <c r="E3581" s="1" t="inlineStr">
        <is>
          <t>Base</t>
        </is>
      </c>
      <c r="F3581" s="1" t="n">
        <v>0.350859</v>
      </c>
    </row>
    <row r="3582" ht="15.75" customHeight="1" s="201">
      <c r="A3582" s="1" t="n">
        <v>73102241</v>
      </c>
      <c r="B3582" s="1" t="inlineStr">
        <is>
          <t>Carrots, glazed, cooked</t>
        </is>
      </c>
      <c r="C3582" s="1" t="n">
        <v>4</v>
      </c>
      <c r="D3582" s="1" t="inlineStr">
        <is>
          <t>FNDDS recipe with replaced or modified SR codes</t>
        </is>
      </c>
      <c r="E3582" s="1" t="inlineStr">
        <is>
          <t>Base</t>
        </is>
      </c>
      <c r="F3582" s="1" t="n">
        <v>0.375093</v>
      </c>
    </row>
    <row r="3583" ht="15.75" customHeight="1" s="201">
      <c r="A3583" s="1" t="n">
        <v>73103010</v>
      </c>
      <c r="B3583" s="1" t="inlineStr">
        <is>
          <t>Carrots, canned, reduced sodium, cooked, no added fat (Includes cooking spray; no salt added)</t>
        </is>
      </c>
      <c r="C3583" s="1" t="n">
        <v>2</v>
      </c>
      <c r="D3583" s="1" t="inlineStr">
        <is>
          <t>Links to altEC</t>
        </is>
      </c>
      <c r="E3583" s="1" t="inlineStr">
        <is>
          <t>Base</t>
        </is>
      </c>
      <c r="F3583" s="1" t="n">
        <v>0.344297</v>
      </c>
    </row>
    <row r="3584" ht="15.75" customHeight="1" s="201">
      <c r="A3584" s="1" t="n">
        <v>73103020</v>
      </c>
      <c r="B3584" s="1" t="inlineStr">
        <is>
          <t>Carrots, canned, reduced sodium, cooked, fat added, NS as to fat type (Includes Ns as to fat added; no salt added)</t>
        </is>
      </c>
      <c r="C3584" s="1" t="n">
        <v>4</v>
      </c>
      <c r="D3584" s="1" t="inlineStr">
        <is>
          <t>FNDDS recipe with replaced or modified SR codes</t>
        </is>
      </c>
      <c r="E3584" s="1" t="inlineStr">
        <is>
          <t>Base</t>
        </is>
      </c>
      <c r="F3584" s="1" t="n">
        <v>0.374834</v>
      </c>
    </row>
    <row r="3585" ht="15.75" customHeight="1" s="201">
      <c r="A3585" s="1" t="n">
        <v>73103022</v>
      </c>
      <c r="B3585" s="1" t="inlineStr">
        <is>
          <t>Carrots, canned, reduced sodium, cooked with butter or margarine (Includes animal fat; shortening; no salt added)</t>
        </is>
      </c>
      <c r="C3585" s="1" t="n">
        <v>4</v>
      </c>
      <c r="D3585" s="1" t="inlineStr">
        <is>
          <t>FNDDS recipe with replaced or modified SR codes</t>
        </is>
      </c>
      <c r="E3585" s="1" t="inlineStr">
        <is>
          <t>Base</t>
        </is>
      </c>
      <c r="F3585" s="1" t="n">
        <v>0.377037</v>
      </c>
    </row>
    <row r="3586" ht="15.75" customHeight="1" s="201">
      <c r="A3586" s="1" t="n">
        <v>73105010</v>
      </c>
      <c r="B3586" s="1" t="inlineStr">
        <is>
          <t>Carrot juice, 100%</t>
        </is>
      </c>
      <c r="C3586" s="1" t="n">
        <v>1</v>
      </c>
      <c r="D3586" s="1" t="inlineStr">
        <is>
          <t>Links to FNDDS</t>
        </is>
      </c>
      <c r="E3586" s="1" t="inlineStr">
        <is>
          <t>Base</t>
        </is>
      </c>
      <c r="F3586" s="1" t="n">
        <v>0.390255</v>
      </c>
    </row>
    <row r="3587" ht="15.75" customHeight="1" s="201">
      <c r="A3587" s="1" t="n">
        <v>73111212</v>
      </c>
      <c r="B3587" s="1" t="inlineStr">
        <is>
          <t>Peas and carrots, frozen, cooked, no added fat (Includes cooking spray)</t>
        </is>
      </c>
      <c r="C3587" s="1" t="n">
        <v>4</v>
      </c>
      <c r="D3587" s="1" t="inlineStr">
        <is>
          <t>FNDDS recipe with replaced or modified SR codes</t>
        </is>
      </c>
      <c r="E3587" s="1" t="inlineStr">
        <is>
          <t>Base</t>
        </is>
      </c>
      <c r="F3587" s="1" t="n">
        <v>0.40547</v>
      </c>
    </row>
    <row r="3588" ht="15.75" customHeight="1" s="201">
      <c r="A3588" s="1" t="n">
        <v>73111220</v>
      </c>
      <c r="B3588" s="1" t="inlineStr">
        <is>
          <t>Peas and carrots, cooked, NS as to form (Includes with or without fat)</t>
        </is>
      </c>
      <c r="C3588" s="1" t="n">
        <v>2</v>
      </c>
      <c r="D3588" s="1" t="inlineStr">
        <is>
          <t>Links to altEC</t>
        </is>
      </c>
      <c r="E3588" s="1" t="inlineStr">
        <is>
          <t>Base</t>
        </is>
      </c>
      <c r="F3588" s="1" t="n">
        <v>0.345098</v>
      </c>
    </row>
    <row r="3589" ht="15.75" customHeight="1" s="201">
      <c r="A3589" s="1" t="n">
        <v>73111221</v>
      </c>
      <c r="B3589" s="1" t="inlineStr">
        <is>
          <t>Peas and carrots, fresh, cooked, fat added (Includes NS as to fat added; from restaurant)</t>
        </is>
      </c>
      <c r="C3589" s="1" t="n">
        <v>4</v>
      </c>
      <c r="D3589" s="1" t="inlineStr">
        <is>
          <t>FNDDS recipe with replaced or modified SR codes</t>
        </is>
      </c>
      <c r="E3589" s="1" t="inlineStr">
        <is>
          <t>Base</t>
        </is>
      </c>
      <c r="F3589" s="1" t="n">
        <v>0.71628</v>
      </c>
    </row>
    <row r="3590" ht="15.75" customHeight="1" s="201">
      <c r="A3590" s="1" t="n">
        <v>73111222</v>
      </c>
      <c r="B3590" s="1" t="inlineStr">
        <is>
          <t>Peas and carrots, frozen, cooked, fat added (Includes NS as to fat added)</t>
        </is>
      </c>
      <c r="C3590" s="1" t="n">
        <v>4</v>
      </c>
      <c r="D3590" s="1" t="inlineStr">
        <is>
          <t>FNDDS recipe with replaced or modified SR codes</t>
        </is>
      </c>
      <c r="E3590" s="1" t="inlineStr">
        <is>
          <t>Base</t>
        </is>
      </c>
      <c r="F3590" s="1" t="n">
        <v>0.408039</v>
      </c>
    </row>
    <row r="3591" ht="15.75" customHeight="1" s="201">
      <c r="A3591" s="1" t="n">
        <v>73111223</v>
      </c>
      <c r="B3591" s="1" t="inlineStr">
        <is>
          <t>Peas and carrots, canned, cooked, fat added (Includes NS as to fat added)</t>
        </is>
      </c>
      <c r="C3591" s="1" t="n">
        <v>4</v>
      </c>
      <c r="D3591" s="1" t="inlineStr">
        <is>
          <t>FNDDS recipe with replaced or modified SR codes</t>
        </is>
      </c>
      <c r="E3591" s="1" t="inlineStr">
        <is>
          <t>Base</t>
        </is>
      </c>
      <c r="F3591" s="1" t="n">
        <v>0.352315</v>
      </c>
    </row>
    <row r="3592" ht="15.75" customHeight="1" s="201">
      <c r="A3592" s="1" t="n">
        <v>73201013</v>
      </c>
      <c r="B3592" s="1" t="inlineStr">
        <is>
          <t>Pumpkin, canned, cooked (Includes with or without fat)</t>
        </is>
      </c>
      <c r="C3592" s="1" t="n">
        <v>1</v>
      </c>
      <c r="D3592" s="1" t="inlineStr">
        <is>
          <t>Links to FNDDS</t>
        </is>
      </c>
      <c r="E3592" s="1" t="inlineStr">
        <is>
          <t>Base</t>
        </is>
      </c>
      <c r="F3592" s="1" t="n">
        <v>0.420156</v>
      </c>
    </row>
    <row r="3593" ht="15.75" customHeight="1" s="201">
      <c r="A3593" s="1" t="n">
        <v>73201020</v>
      </c>
      <c r="B3593" s="1" t="inlineStr">
        <is>
          <t>Pumpkin, cooked (Includes with or without fat)</t>
        </is>
      </c>
      <c r="C3593" s="1" t="n">
        <v>4</v>
      </c>
      <c r="D3593" s="1" t="inlineStr">
        <is>
          <t>FNDDS recipe with replaced or modified SR codes</t>
        </is>
      </c>
      <c r="E3593" s="1" t="inlineStr">
        <is>
          <t>Base</t>
        </is>
      </c>
      <c r="F3593" s="1" t="n">
        <v>0.257112</v>
      </c>
    </row>
    <row r="3594" ht="15.75" customHeight="1" s="201">
      <c r="A3594" s="1" t="n">
        <v>73210010</v>
      </c>
      <c r="B3594" s="1" t="inlineStr">
        <is>
          <t>Calabaza, cooked (Includes Spanish pumpkin; with or without fat)</t>
        </is>
      </c>
      <c r="C3594" s="1" t="n">
        <v>4</v>
      </c>
      <c r="D3594" s="1" t="inlineStr">
        <is>
          <t>FNDDS recipe with replaced or modified SR codes</t>
        </is>
      </c>
      <c r="E3594" s="1" t="inlineStr">
        <is>
          <t>Base</t>
        </is>
      </c>
      <c r="F3594" s="1" t="n">
        <v>0.257112</v>
      </c>
    </row>
    <row r="3595" ht="15.75" customHeight="1" s="201">
      <c r="A3595" s="1" t="n">
        <v>73211110</v>
      </c>
      <c r="B3595" s="1" t="inlineStr">
        <is>
          <t>Sweet potato and pumpkin casserole, Puerto Rican style</t>
        </is>
      </c>
      <c r="C3595" s="1" t="n">
        <v>4</v>
      </c>
      <c r="D3595" s="1" t="inlineStr">
        <is>
          <t>FNDDS recipe with replaced or modified SR codes</t>
        </is>
      </c>
      <c r="E3595" s="1" t="inlineStr">
        <is>
          <t>Base</t>
        </is>
      </c>
      <c r="F3595" s="1" t="n">
        <v>0.462615</v>
      </c>
    </row>
    <row r="3596" ht="15.75" customHeight="1" s="201">
      <c r="A3596" s="1" t="n">
        <v>73302010</v>
      </c>
      <c r="B3596" s="1" t="inlineStr">
        <is>
          <t>Winter squash, raw (Includes pumpkin; acorn; butternut; hubbard)</t>
        </is>
      </c>
      <c r="C3596" s="1" t="n">
        <v>1</v>
      </c>
      <c r="D3596" s="1" t="inlineStr">
        <is>
          <t>Links to FNDDS</t>
        </is>
      </c>
      <c r="E3596" s="1" t="inlineStr">
        <is>
          <t>Base</t>
        </is>
      </c>
      <c r="F3596" s="1" t="n">
        <v>0.231435</v>
      </c>
    </row>
    <row r="3597" ht="15.75" customHeight="1" s="201">
      <c r="A3597" s="1" t="n">
        <v>73303010</v>
      </c>
      <c r="B3597" s="1" t="inlineStr">
        <is>
          <t>Winter squash, cooked, no added fat (Includes acorn; butternut; hubbard; cooking spray)</t>
        </is>
      </c>
      <c r="C3597" s="1" t="n">
        <v>3</v>
      </c>
      <c r="D3597" s="1" t="inlineStr">
        <is>
          <t>Original FNDDS recipe</t>
        </is>
      </c>
      <c r="E3597" s="1" t="inlineStr">
        <is>
          <t>Base</t>
        </is>
      </c>
      <c r="F3597" s="1" t="n">
        <v>0.691422</v>
      </c>
    </row>
    <row r="3598" ht="15.75" customHeight="1" s="201">
      <c r="A3598" s="1" t="n">
        <v>73303020</v>
      </c>
      <c r="B3598" s="1" t="inlineStr">
        <is>
          <t>Winter squash, cooked, fat added (Includes acorn; butternut; hubbard; NS as to fat added; from restaurant)</t>
        </is>
      </c>
      <c r="C3598" s="1" t="n">
        <v>4</v>
      </c>
      <c r="D3598" s="1" t="inlineStr">
        <is>
          <t>FNDDS recipe with replaced or modified SR codes</t>
        </is>
      </c>
      <c r="E3598" s="1" t="inlineStr">
        <is>
          <t>Base</t>
        </is>
      </c>
      <c r="F3598" s="1" t="n">
        <v>0.685687</v>
      </c>
    </row>
    <row r="3599" ht="15.75" customHeight="1" s="201">
      <c r="A3599" s="1" t="n">
        <v>73305020</v>
      </c>
      <c r="B3599" s="1" t="inlineStr">
        <is>
          <t>Squash, winter, souffle</t>
        </is>
      </c>
      <c r="C3599" s="1" t="n">
        <v>4</v>
      </c>
      <c r="D3599" s="1" t="inlineStr">
        <is>
          <t>FNDDS recipe with replaced or modified SR codes</t>
        </is>
      </c>
      <c r="E3599" s="1" t="inlineStr">
        <is>
          <t>Base</t>
        </is>
      </c>
      <c r="F3599" s="1" t="n">
        <v>0.624028</v>
      </c>
    </row>
    <row r="3600" ht="15.75" customHeight="1" s="201">
      <c r="A3600" s="1" t="n">
        <v>73401000</v>
      </c>
      <c r="B3600" s="1" t="inlineStr">
        <is>
          <t>Sweet potato, NFS</t>
        </is>
      </c>
      <c r="C3600" s="1" t="n">
        <v>2</v>
      </c>
      <c r="D3600" s="1" t="inlineStr">
        <is>
          <t>Links to altEC</t>
        </is>
      </c>
      <c r="E3600" s="1" t="inlineStr">
        <is>
          <t>Base</t>
        </is>
      </c>
      <c r="F3600" s="1" t="n">
        <v>0.394991</v>
      </c>
    </row>
    <row r="3601" ht="15.75" customHeight="1" s="201">
      <c r="A3601" s="1" t="n">
        <v>73402010</v>
      </c>
      <c r="B3601" s="1" t="inlineStr">
        <is>
          <t>Sweet potato, baked, peel eaten, no added fat (Includes made with cooking spray)</t>
        </is>
      </c>
      <c r="C3601" s="1" t="n">
        <v>2</v>
      </c>
      <c r="D3601" s="1" t="inlineStr">
        <is>
          <t>Links to altEC</t>
        </is>
      </c>
      <c r="E3601" s="1" t="inlineStr">
        <is>
          <t>Base</t>
        </is>
      </c>
      <c r="F3601" s="1" t="n">
        <v>0.394598</v>
      </c>
    </row>
    <row r="3602" ht="15.75" customHeight="1" s="201">
      <c r="A3602" s="1" t="n">
        <v>73402021</v>
      </c>
      <c r="B3602" s="1" t="inlineStr">
        <is>
          <t>Sweet potato, baked, peel eaten, made with oil</t>
        </is>
      </c>
      <c r="C3602" s="1" t="n">
        <v>4</v>
      </c>
      <c r="D3602" s="1" t="inlineStr">
        <is>
          <t>FNDDS recipe with replaced or modified SR codes</t>
        </is>
      </c>
      <c r="E3602" s="1" t="inlineStr">
        <is>
          <t>Base</t>
        </is>
      </c>
      <c r="F3602" s="1" t="n">
        <v>0.396414</v>
      </c>
    </row>
    <row r="3603" ht="15.75" customHeight="1" s="201">
      <c r="A3603" s="1" t="n">
        <v>73402022</v>
      </c>
      <c r="B3603" s="1" t="inlineStr">
        <is>
          <t>Sweet potato, baked, peel eaten, made with butter (Includes made with animal fat or meat drippings)</t>
        </is>
      </c>
      <c r="C3603" s="1" t="n">
        <v>4</v>
      </c>
      <c r="D3603" s="1" t="inlineStr">
        <is>
          <t>FNDDS recipe with replaced or modified SR codes</t>
        </is>
      </c>
      <c r="E3603" s="1" t="inlineStr">
        <is>
          <t>Base</t>
        </is>
      </c>
      <c r="F3603" s="1" t="n">
        <v>0.416811</v>
      </c>
    </row>
    <row r="3604" ht="15.75" customHeight="1" s="201">
      <c r="A3604" s="1" t="n">
        <v>73403000</v>
      </c>
      <c r="B3604" s="1" t="inlineStr">
        <is>
          <t>Sweet potato, baked, peel not eaten, NS as to fat (Includes NS as to peel eaten)</t>
        </is>
      </c>
      <c r="C3604" s="1" t="n">
        <v>1</v>
      </c>
      <c r="D3604" s="1" t="inlineStr">
        <is>
          <t>Links to FNDDS</t>
        </is>
      </c>
      <c r="E3604" s="1" t="inlineStr">
        <is>
          <t>Base</t>
        </is>
      </c>
      <c r="F3604" s="1" t="n">
        <v>0.43583</v>
      </c>
    </row>
    <row r="3605" ht="15.75" customHeight="1" s="201">
      <c r="A3605" s="1" t="n">
        <v>73403010</v>
      </c>
      <c r="B3605" s="1" t="inlineStr">
        <is>
          <t>Sweet potato, baked, peel not eaten, no added fat (Includes NS as to peel eaten; made with cooking spray)</t>
        </is>
      </c>
      <c r="C3605" s="1" t="n">
        <v>2</v>
      </c>
      <c r="D3605" s="1" t="inlineStr">
        <is>
          <t>Links to altEC</t>
        </is>
      </c>
      <c r="E3605" s="1" t="inlineStr">
        <is>
          <t>Base</t>
        </is>
      </c>
      <c r="F3605" s="1" t="n">
        <v>0.394598</v>
      </c>
    </row>
    <row r="3606" ht="15.75" customHeight="1" s="201">
      <c r="A3606" s="1" t="n">
        <v>73403021</v>
      </c>
      <c r="B3606" s="1" t="inlineStr">
        <is>
          <t>Sweet potato, baked, peel not eaten, made with oil (Includes NS as to peel eaten)</t>
        </is>
      </c>
      <c r="C3606" s="1" t="n">
        <v>4</v>
      </c>
      <c r="D3606" s="1" t="inlineStr">
        <is>
          <t>FNDDS recipe with replaced or modified SR codes</t>
        </is>
      </c>
      <c r="E3606" s="1" t="inlineStr">
        <is>
          <t>Base</t>
        </is>
      </c>
      <c r="F3606" s="1" t="n">
        <v>0.396437</v>
      </c>
    </row>
    <row r="3607" ht="15.75" customHeight="1" s="201">
      <c r="A3607" s="1" t="n">
        <v>73403022</v>
      </c>
      <c r="B3607" s="1" t="inlineStr">
        <is>
          <t>Sweet potato, baked, peel not eaten, made with butter (Includes made with animal fat or meat drippings; NS as to peel eaten)</t>
        </is>
      </c>
      <c r="C3607" s="1" t="n">
        <v>4</v>
      </c>
      <c r="D3607" s="1" t="inlineStr">
        <is>
          <t>FNDDS recipe with replaced or modified SR codes</t>
        </is>
      </c>
      <c r="E3607" s="1" t="inlineStr">
        <is>
          <t>Base</t>
        </is>
      </c>
      <c r="F3607" s="1" t="n">
        <v>0.417801</v>
      </c>
    </row>
    <row r="3608" ht="15.75" customHeight="1" s="201">
      <c r="A3608" s="1" t="n">
        <v>73403023</v>
      </c>
      <c r="B3608" s="1" t="inlineStr">
        <is>
          <t>Sweet potato, baked, peel not eaten, made with margarine (Includes made with shortening; NS as to peel eaten)</t>
        </is>
      </c>
      <c r="C3608" s="1" t="n">
        <v>4</v>
      </c>
      <c r="D3608" s="1" t="inlineStr">
        <is>
          <t>FNDDS recipe with replaced or modified SR codes</t>
        </is>
      </c>
      <c r="E3608" s="1" t="inlineStr">
        <is>
          <t>Base</t>
        </is>
      </c>
      <c r="F3608" s="1" t="n">
        <v>0.394128</v>
      </c>
    </row>
    <row r="3609" ht="15.75" customHeight="1" s="201">
      <c r="A3609" s="1" t="n">
        <v>73405000</v>
      </c>
      <c r="B3609" s="1" t="inlineStr">
        <is>
          <t>Sweet potato, boiled, NS as to fat</t>
        </is>
      </c>
      <c r="C3609" s="1" t="n">
        <v>4</v>
      </c>
      <c r="D3609" s="1" t="inlineStr">
        <is>
          <t>FNDDS recipe with replaced or modified SR codes</t>
        </is>
      </c>
      <c r="E3609" s="1" t="inlineStr">
        <is>
          <t>Base</t>
        </is>
      </c>
      <c r="F3609" s="1" t="n">
        <v>0.356094</v>
      </c>
    </row>
    <row r="3610" ht="15.75" customHeight="1" s="201">
      <c r="A3610" s="1" t="n">
        <v>73405010</v>
      </c>
      <c r="B3610" s="1" t="inlineStr">
        <is>
          <t>Sweet potato, boiled, no added fat (Includes made with cooking spray)</t>
        </is>
      </c>
      <c r="C3610" s="1" t="n">
        <v>2</v>
      </c>
      <c r="D3610" s="1" t="inlineStr">
        <is>
          <t>Links to altEC</t>
        </is>
      </c>
      <c r="E3610" s="1" t="inlineStr">
        <is>
          <t>Base</t>
        </is>
      </c>
      <c r="F3610" s="1" t="n">
        <v>0.394924</v>
      </c>
    </row>
    <row r="3611" ht="15.75" customHeight="1" s="201">
      <c r="A3611" s="1" t="n">
        <v>73405020</v>
      </c>
      <c r="B3611" s="1" t="inlineStr">
        <is>
          <t>Sweet potato, boiled, fat added, NS as to fat type</t>
        </is>
      </c>
      <c r="C3611" s="1" t="n">
        <v>4</v>
      </c>
      <c r="D3611" s="1" t="inlineStr">
        <is>
          <t>FNDDS recipe with replaced or modified SR codes</t>
        </is>
      </c>
      <c r="E3611" s="1" t="inlineStr">
        <is>
          <t>Base</t>
        </is>
      </c>
      <c r="F3611" s="1" t="n">
        <v>0.356094</v>
      </c>
    </row>
    <row r="3612" ht="15.75" customHeight="1" s="201">
      <c r="A3612" s="1" t="n">
        <v>73405021</v>
      </c>
      <c r="B3612" s="1" t="inlineStr">
        <is>
          <t>Sweet potato, boiled, made with oil</t>
        </is>
      </c>
      <c r="C3612" s="1" t="n">
        <v>4</v>
      </c>
      <c r="D3612" s="1" t="inlineStr">
        <is>
          <t>FNDDS recipe with replaced or modified SR codes</t>
        </is>
      </c>
      <c r="E3612" s="1" t="inlineStr">
        <is>
          <t>Base</t>
        </is>
      </c>
      <c r="F3612" s="1" t="n">
        <v>0.352505</v>
      </c>
    </row>
    <row r="3613" ht="15.75" customHeight="1" s="201">
      <c r="A3613" s="1" t="n">
        <v>73405022</v>
      </c>
      <c r="B3613" s="1" t="inlineStr">
        <is>
          <t>Sweet potato, boiled, made with butter (Includes made with animal fat or meat drippings)</t>
        </is>
      </c>
      <c r="C3613" s="1" t="n">
        <v>4</v>
      </c>
      <c r="D3613" s="1" t="inlineStr">
        <is>
          <t>FNDDS recipe with replaced or modified SR codes</t>
        </is>
      </c>
      <c r="E3613" s="1" t="inlineStr">
        <is>
          <t>Base</t>
        </is>
      </c>
      <c r="F3613" s="1" t="n">
        <v>0.37387</v>
      </c>
    </row>
    <row r="3614" ht="15.75" customHeight="1" s="201">
      <c r="A3614" s="1" t="n">
        <v>73405023</v>
      </c>
      <c r="B3614" s="1" t="inlineStr">
        <is>
          <t>Sweet potato, boiled, made with margarine (Includes made with shortening)</t>
        </is>
      </c>
      <c r="C3614" s="1" t="n">
        <v>4</v>
      </c>
      <c r="D3614" s="1" t="inlineStr">
        <is>
          <t>FNDDS recipe with replaced or modified SR codes</t>
        </is>
      </c>
      <c r="E3614" s="1" t="inlineStr">
        <is>
          <t>Base</t>
        </is>
      </c>
      <c r="F3614" s="1" t="n">
        <v>0.350197</v>
      </c>
    </row>
    <row r="3615" ht="15.75" customHeight="1" s="201">
      <c r="A3615" s="1" t="n">
        <v>73406000</v>
      </c>
      <c r="B3615" s="1" t="inlineStr">
        <is>
          <t>Sweet potato, candied</t>
        </is>
      </c>
      <c r="C3615" s="1" t="n">
        <v>1</v>
      </c>
      <c r="D3615" s="1" t="inlineStr">
        <is>
          <t>Links to FNDDS</t>
        </is>
      </c>
      <c r="E3615" s="1" t="inlineStr">
        <is>
          <t>Base</t>
        </is>
      </c>
      <c r="F3615" s="1" t="n">
        <v>0.380516</v>
      </c>
    </row>
    <row r="3616" ht="15.75" customHeight="1" s="201">
      <c r="A3616" s="1" t="n">
        <v>73407050</v>
      </c>
      <c r="B3616" s="1" t="inlineStr">
        <is>
          <t>Sweet potato, canned, no added fat (Includes made with cooking spray)</t>
        </is>
      </c>
      <c r="C3616" s="1" t="n">
        <v>3</v>
      </c>
      <c r="D3616" s="1" t="inlineStr">
        <is>
          <t>Original FNDDS recipe</t>
        </is>
      </c>
      <c r="E3616" s="1" t="inlineStr">
        <is>
          <t>Base</t>
        </is>
      </c>
      <c r="F3616" s="1" t="n">
        <v>0.34923</v>
      </c>
    </row>
    <row r="3617" ht="15.75" customHeight="1" s="201">
      <c r="A3617" s="1" t="n">
        <v>73407060</v>
      </c>
      <c r="B3617" s="1" t="inlineStr">
        <is>
          <t>Sweet potato, canned, fat added (Includes any type of fat)</t>
        </is>
      </c>
      <c r="C3617" s="1" t="n">
        <v>4</v>
      </c>
      <c r="D3617" s="1" t="inlineStr">
        <is>
          <t>FNDDS recipe with replaced or modified SR codes</t>
        </is>
      </c>
      <c r="E3617" s="1" t="inlineStr">
        <is>
          <t>Base</t>
        </is>
      </c>
      <c r="F3617" s="1" t="n">
        <v>0.356094</v>
      </c>
    </row>
    <row r="3618" ht="15.75" customHeight="1" s="201">
      <c r="A3618" s="1" t="n">
        <v>73409000</v>
      </c>
      <c r="B3618" s="1" t="inlineStr">
        <is>
          <t>Sweet potato, casserole or mashed (Includes sweet potato pudding)</t>
        </is>
      </c>
      <c r="C3618" s="1" t="n">
        <v>1</v>
      </c>
      <c r="D3618" s="1" t="inlineStr">
        <is>
          <t>Links to FNDDS</t>
        </is>
      </c>
      <c r="E3618" s="1" t="inlineStr">
        <is>
          <t>Base</t>
        </is>
      </c>
      <c r="F3618" s="1" t="n">
        <v>0.56928</v>
      </c>
    </row>
    <row r="3619" ht="15.75" customHeight="1" s="201">
      <c r="A3619" s="1" t="n">
        <v>73410210</v>
      </c>
      <c r="B3619" s="1" t="inlineStr">
        <is>
          <t>Sweet potato chips</t>
        </is>
      </c>
      <c r="C3619" s="1" t="n">
        <v>1</v>
      </c>
      <c r="D3619" s="1" t="inlineStr">
        <is>
          <t>Links to FNDDS</t>
        </is>
      </c>
      <c r="E3619" s="1" t="inlineStr">
        <is>
          <t>Base</t>
        </is>
      </c>
      <c r="F3619" s="1" t="n">
        <v>1.737509</v>
      </c>
    </row>
    <row r="3620" ht="15.75" customHeight="1" s="201">
      <c r="A3620" s="1" t="n">
        <v>73410300</v>
      </c>
      <c r="B3620" s="1" t="inlineStr">
        <is>
          <t>Sweet potato fries, NS as to fresh or frozen (Includes home or store; NS as to fried or baked)</t>
        </is>
      </c>
      <c r="C3620" s="1" t="n">
        <v>2</v>
      </c>
      <c r="D3620" s="1" t="inlineStr">
        <is>
          <t>Links to altEC</t>
        </is>
      </c>
      <c r="E3620" s="1" t="inlineStr">
        <is>
          <t>Base</t>
        </is>
      </c>
      <c r="F3620" s="1" t="n">
        <v>0.71101</v>
      </c>
    </row>
    <row r="3621" ht="15.75" customHeight="1" s="201">
      <c r="A3621" s="1" t="n">
        <v>73410310</v>
      </c>
      <c r="B3621" s="1" t="inlineStr">
        <is>
          <t>Sweet potato fries, frozen, fried (Includes home or store)</t>
        </is>
      </c>
      <c r="C3621" s="1" t="n">
        <v>2</v>
      </c>
      <c r="D3621" s="1" t="inlineStr">
        <is>
          <t>Links to altEC</t>
        </is>
      </c>
      <c r="E3621" s="1" t="inlineStr">
        <is>
          <t>Base</t>
        </is>
      </c>
      <c r="F3621" s="1" t="n">
        <v>0.675459</v>
      </c>
    </row>
    <row r="3622" ht="15.75" customHeight="1" s="201">
      <c r="A3622" s="1" t="n">
        <v>73410320</v>
      </c>
      <c r="B3622" s="1" t="inlineStr">
        <is>
          <t>Sweet potato fries, frozen, baked (Includes home or store)</t>
        </is>
      </c>
      <c r="C3622" s="1" t="n">
        <v>2</v>
      </c>
      <c r="D3622" s="1" t="inlineStr">
        <is>
          <t>Links to altEC</t>
        </is>
      </c>
      <c r="E3622" s="1" t="inlineStr">
        <is>
          <t>Base</t>
        </is>
      </c>
      <c r="F3622" s="1" t="n">
        <v>0.675459</v>
      </c>
    </row>
    <row r="3623" ht="15.75" customHeight="1" s="201">
      <c r="A3623" s="1" t="n">
        <v>73410330</v>
      </c>
      <c r="B3623" s="1" t="inlineStr">
        <is>
          <t>Sweet potato fries, from fresh, fried (Includes home or store)</t>
        </is>
      </c>
      <c r="C3623" s="1" t="n">
        <v>2</v>
      </c>
      <c r="D3623" s="1" t="inlineStr">
        <is>
          <t>Links to altEC</t>
        </is>
      </c>
      <c r="E3623" s="1" t="inlineStr">
        <is>
          <t>Base</t>
        </is>
      </c>
      <c r="F3623" s="1" t="n">
        <v>0.71101</v>
      </c>
    </row>
    <row r="3624" ht="15.75" customHeight="1" s="201">
      <c r="A3624" s="1" t="n">
        <v>73410400</v>
      </c>
      <c r="B3624" s="1" t="inlineStr">
        <is>
          <t>Sweet potato fries, fast food / restaurant (Includes other place)</t>
        </is>
      </c>
      <c r="C3624" s="1" t="n">
        <v>2</v>
      </c>
      <c r="D3624" s="1" t="inlineStr">
        <is>
          <t>Links to altEC</t>
        </is>
      </c>
      <c r="E3624" s="1" t="inlineStr">
        <is>
          <t>Base</t>
        </is>
      </c>
      <c r="F3624" s="1" t="n">
        <v>0.71101</v>
      </c>
    </row>
    <row r="3625" ht="15.75" customHeight="1" s="201">
      <c r="A3625" s="1" t="n">
        <v>73410500</v>
      </c>
      <c r="B3625" s="1" t="inlineStr">
        <is>
          <t>Sweet potato fries, school</t>
        </is>
      </c>
      <c r="C3625" s="1" t="n">
        <v>2</v>
      </c>
      <c r="D3625" s="1" t="inlineStr">
        <is>
          <t>Links to altEC</t>
        </is>
      </c>
      <c r="E3625" s="1" t="inlineStr">
        <is>
          <t>Base</t>
        </is>
      </c>
      <c r="F3625" s="1" t="n">
        <v>0.675459</v>
      </c>
    </row>
    <row r="3626" ht="15.75" customHeight="1" s="201">
      <c r="A3626" s="1" t="n">
        <v>73420000</v>
      </c>
      <c r="B3626" s="1" t="inlineStr">
        <is>
          <t>Sweet potato tots, NFS (Includes sweet potato puffs)</t>
        </is>
      </c>
      <c r="C3626" s="1" t="n">
        <v>1</v>
      </c>
      <c r="D3626" s="1" t="inlineStr">
        <is>
          <t>Links to FNDDS</t>
        </is>
      </c>
      <c r="E3626" s="1" t="inlineStr">
        <is>
          <t>Base</t>
        </is>
      </c>
      <c r="F3626" s="1" t="n">
        <v>0.776078</v>
      </c>
    </row>
    <row r="3627" ht="15.75" customHeight="1" s="201">
      <c r="A3627" s="1" t="n">
        <v>73420200</v>
      </c>
      <c r="B3627" s="1" t="inlineStr">
        <is>
          <t>Sweet potato tots, school (Includes sweet potato puffs)</t>
        </is>
      </c>
      <c r="C3627" s="1" t="n">
        <v>2</v>
      </c>
      <c r="D3627" s="1" t="inlineStr">
        <is>
          <t>Links to altEC</t>
        </is>
      </c>
      <c r="E3627" s="1" t="inlineStr">
        <is>
          <t>Base</t>
        </is>
      </c>
      <c r="F3627" s="1" t="n">
        <v>0.675459</v>
      </c>
    </row>
    <row r="3628" ht="15.75" customHeight="1" s="201">
      <c r="A3628" s="1" t="n">
        <v>73501000</v>
      </c>
      <c r="B3628" s="1" t="inlineStr">
        <is>
          <t>Carrot soup, cream of, prepared with milk, home recipe, canned or ready-to-serve</t>
        </is>
      </c>
      <c r="C3628" s="1" t="n">
        <v>1</v>
      </c>
      <c r="D3628" s="1" t="inlineStr">
        <is>
          <t>Links to FNDDS</t>
        </is>
      </c>
      <c r="E3628" s="1" t="inlineStr">
        <is>
          <t>Base</t>
        </is>
      </c>
      <c r="F3628" s="1" t="n">
        <v>0.437198</v>
      </c>
    </row>
    <row r="3629" ht="15.75" customHeight="1" s="201">
      <c r="A3629" s="1" t="n">
        <v>73502000</v>
      </c>
      <c r="B3629" s="1" t="inlineStr">
        <is>
          <t>Squash, winter type, soup, home recipe, canned, or ready-to-serve (Includes pumpkin; acorn; butternut; hubbard)</t>
        </is>
      </c>
      <c r="C3629" s="1" t="n">
        <v>1</v>
      </c>
      <c r="D3629" s="1" t="inlineStr">
        <is>
          <t>Links to FNDDS</t>
        </is>
      </c>
      <c r="E3629" s="1" t="inlineStr">
        <is>
          <t>Base</t>
        </is>
      </c>
      <c r="F3629" s="1" t="n">
        <v>0.5743239999999999</v>
      </c>
    </row>
    <row r="3630" ht="15.75" customHeight="1" s="201">
      <c r="A3630" s="1" t="n">
        <v>74101000</v>
      </c>
      <c r="B3630" s="1" t="inlineStr">
        <is>
          <t>Tomatoes, raw (Includes plum and Italian tomatoes)</t>
        </is>
      </c>
      <c r="C3630" s="1" t="n">
        <v>1</v>
      </c>
      <c r="D3630" s="1" t="inlineStr">
        <is>
          <t>Links to FNDDS</t>
        </is>
      </c>
      <c r="E3630" s="1" t="inlineStr">
        <is>
          <t>Base</t>
        </is>
      </c>
      <c r="F3630" s="1" t="n">
        <v>0.51767</v>
      </c>
    </row>
    <row r="3631" ht="15.75" customHeight="1" s="201">
      <c r="A3631" s="1" t="n">
        <v>74201000</v>
      </c>
      <c r="B3631" s="1" t="inlineStr">
        <is>
          <t>Tomatoes, NS as to form, cooked (Includes with or without fat)</t>
        </is>
      </c>
      <c r="C3631" s="1" t="n">
        <v>2</v>
      </c>
      <c r="D3631" s="1" t="inlineStr">
        <is>
          <t>Links to altEC</t>
        </is>
      </c>
      <c r="E3631" s="1" t="inlineStr">
        <is>
          <t>Base</t>
        </is>
      </c>
      <c r="F3631" s="1" t="n">
        <v>0.496872</v>
      </c>
    </row>
    <row r="3632" ht="15.75" customHeight="1" s="201">
      <c r="A3632" s="1" t="n">
        <v>74201001</v>
      </c>
      <c r="B3632" s="1" t="inlineStr">
        <is>
          <t>Tomatoes, fresh, cooked (Includes with or without fat; from restaurant)</t>
        </is>
      </c>
      <c r="C3632" s="1" t="n">
        <v>2</v>
      </c>
      <c r="D3632" s="1" t="inlineStr">
        <is>
          <t>Links to altEC</t>
        </is>
      </c>
      <c r="E3632" s="1" t="inlineStr">
        <is>
          <t>Base</t>
        </is>
      </c>
      <c r="F3632" s="1" t="n">
        <v>0.626381</v>
      </c>
    </row>
    <row r="3633" ht="15.75" customHeight="1" s="201">
      <c r="A3633" s="1" t="n">
        <v>74201003</v>
      </c>
      <c r="B3633" s="1" t="inlineStr">
        <is>
          <t>Tomatoes, canned, cooked (Includes with or without fat)</t>
        </is>
      </c>
      <c r="C3633" s="1" t="n">
        <v>2</v>
      </c>
      <c r="D3633" s="1" t="inlineStr">
        <is>
          <t>Links to altEC</t>
        </is>
      </c>
      <c r="E3633" s="1" t="inlineStr">
        <is>
          <t>Base</t>
        </is>
      </c>
      <c r="F3633" s="1" t="n">
        <v>0.237013</v>
      </c>
    </row>
    <row r="3634" ht="15.75" customHeight="1" s="201">
      <c r="A3634" s="1" t="n">
        <v>74203010</v>
      </c>
      <c r="B3634" s="1" t="inlineStr">
        <is>
          <t>Tomatoes, scalloped</t>
        </is>
      </c>
      <c r="C3634" s="1" t="n">
        <v>4</v>
      </c>
      <c r="D3634" s="1" t="inlineStr">
        <is>
          <t>FNDDS recipe with replaced or modified SR codes</t>
        </is>
      </c>
      <c r="E3634" s="1" t="inlineStr">
        <is>
          <t>Base</t>
        </is>
      </c>
      <c r="F3634" s="1" t="n">
        <v>0.496142</v>
      </c>
    </row>
    <row r="3635" ht="15.75" customHeight="1" s="201">
      <c r="A3635" s="1" t="n">
        <v>74205010</v>
      </c>
      <c r="B3635" s="1" t="inlineStr">
        <is>
          <t>Fried green tomatoes (Includes fried tomato, all types; green tomato, NFS)</t>
        </is>
      </c>
      <c r="C3635" s="1" t="n">
        <v>2</v>
      </c>
      <c r="D3635" s="1" t="inlineStr">
        <is>
          <t>Links to altEC</t>
        </is>
      </c>
      <c r="E3635" s="1" t="inlineStr">
        <is>
          <t>Base</t>
        </is>
      </c>
      <c r="F3635" s="1" t="n">
        <v>1.065801</v>
      </c>
    </row>
    <row r="3636" ht="15.75" customHeight="1" s="201">
      <c r="A3636" s="1" t="n">
        <v>74205020</v>
      </c>
      <c r="B3636" s="1" t="inlineStr">
        <is>
          <t>Tomato, green, pickled</t>
        </is>
      </c>
      <c r="C3636" s="1" t="n">
        <v>1</v>
      </c>
      <c r="D3636" s="1" t="inlineStr">
        <is>
          <t>Links to FNDDS</t>
        </is>
      </c>
      <c r="E3636" s="1" t="inlineStr">
        <is>
          <t>Base</t>
        </is>
      </c>
      <c r="F3636" s="1" t="n">
        <v>0.80721</v>
      </c>
    </row>
    <row r="3637" ht="15.75" customHeight="1" s="201">
      <c r="A3637" s="1" t="n">
        <v>74206000</v>
      </c>
      <c r="B3637" s="1" t="inlineStr">
        <is>
          <t>Sun-dried tomatoes (Includes dried red tomatoes)</t>
        </is>
      </c>
      <c r="C3637" s="1" t="n">
        <v>1</v>
      </c>
      <c r="D3637" s="1" t="inlineStr">
        <is>
          <t>Links to FNDDS</t>
        </is>
      </c>
      <c r="E3637" s="1" t="inlineStr">
        <is>
          <t>Base</t>
        </is>
      </c>
      <c r="F3637" s="1" t="n">
        <v>2.217838</v>
      </c>
    </row>
    <row r="3638" ht="15.75" customHeight="1" s="201">
      <c r="A3638" s="1" t="n">
        <v>74301100</v>
      </c>
      <c r="B3638" s="1" t="inlineStr">
        <is>
          <t>Tomato juice, 100%</t>
        </is>
      </c>
      <c r="C3638" s="1" t="n">
        <v>1</v>
      </c>
      <c r="D3638" s="1" t="inlineStr">
        <is>
          <t>Links to FNDDS</t>
        </is>
      </c>
      <c r="E3638" s="1" t="inlineStr">
        <is>
          <t>Base</t>
        </is>
      </c>
      <c r="F3638" s="1" t="n">
        <v>0.239255</v>
      </c>
    </row>
    <row r="3639" ht="15.75" customHeight="1" s="201">
      <c r="A3639" s="1" t="n">
        <v>74303000</v>
      </c>
      <c r="B3639" s="1" t="inlineStr">
        <is>
          <t>Tomato and vegetable juice, 100% (Includes V8 or Spicy Hot V8; vegetable juice, NFS)</t>
        </is>
      </c>
      <c r="C3639" s="1" t="n">
        <v>1</v>
      </c>
      <c r="D3639" s="1" t="inlineStr">
        <is>
          <t>Links to FNDDS</t>
        </is>
      </c>
      <c r="E3639" s="1" t="inlineStr">
        <is>
          <t>Base</t>
        </is>
      </c>
      <c r="F3639" s="1" t="n">
        <v>0.203728</v>
      </c>
    </row>
    <row r="3640" ht="15.75" customHeight="1" s="201">
      <c r="A3640" s="1" t="n">
        <v>74401010</v>
      </c>
      <c r="B3640" s="1" t="inlineStr">
        <is>
          <t>Ketchup (Includes catsup)</t>
        </is>
      </c>
      <c r="C3640" s="1" t="n">
        <v>1</v>
      </c>
      <c r="D3640" s="1" t="inlineStr">
        <is>
          <t>Links to FNDDS</t>
        </is>
      </c>
      <c r="E3640" s="1" t="inlineStr">
        <is>
          <t>Base</t>
        </is>
      </c>
      <c r="F3640" s="1" t="n">
        <v>0.272219</v>
      </c>
    </row>
    <row r="3641" ht="15.75" customHeight="1" s="201">
      <c r="A3641" s="1" t="n">
        <v>74402100</v>
      </c>
      <c r="B3641" s="1" t="inlineStr">
        <is>
          <t>Salsa, NFS</t>
        </is>
      </c>
      <c r="C3641" s="1" t="n">
        <v>2</v>
      </c>
      <c r="D3641" s="1" t="inlineStr">
        <is>
          <t>Links to altEC</t>
        </is>
      </c>
      <c r="E3641" s="1" t="inlineStr">
        <is>
          <t>Base</t>
        </is>
      </c>
      <c r="F3641" s="1" t="n">
        <v>0.549908</v>
      </c>
    </row>
    <row r="3642" ht="15.75" customHeight="1" s="201">
      <c r="A3642" s="1" t="n">
        <v>74402110</v>
      </c>
      <c r="B3642" s="1" t="inlineStr">
        <is>
          <t>Salsa, pico de gallo (Includes salsa cruda)</t>
        </is>
      </c>
      <c r="C3642" s="1" t="n">
        <v>3</v>
      </c>
      <c r="D3642" s="1" t="inlineStr">
        <is>
          <t>Original FNDDS recipe</t>
        </is>
      </c>
      <c r="E3642" s="1" t="inlineStr">
        <is>
          <t>Base</t>
        </is>
      </c>
      <c r="F3642" s="1" t="n">
        <v>0.31184</v>
      </c>
    </row>
    <row r="3643" ht="15.75" customHeight="1" s="201">
      <c r="A3643" s="1" t="n">
        <v>74402150</v>
      </c>
      <c r="B3643" s="1" t="inlineStr">
        <is>
          <t>Salsa, red, commercially-prepared (Includes commercially canned salsa; creole sauce; picante sauce; tomato based salsa/sauce with hot peppers; salsa made with fruit (peach, mango, pineapple))</t>
        </is>
      </c>
      <c r="C3643" s="1" t="n">
        <v>1</v>
      </c>
      <c r="D3643" s="1" t="inlineStr">
        <is>
          <t>Links to FNDDS</t>
        </is>
      </c>
      <c r="E3643" s="1" t="inlineStr">
        <is>
          <t>Base</t>
        </is>
      </c>
      <c r="F3643" s="1" t="n">
        <v>0.541246</v>
      </c>
    </row>
    <row r="3644" ht="15.75" customHeight="1" s="201">
      <c r="A3644" s="1" t="n">
        <v>74402200</v>
      </c>
      <c r="B3644" s="1" t="inlineStr">
        <is>
          <t>Salsa, red, homemade (Includes salsa de chile rojo; salsa made with fruit (peach, mango, pineapple))</t>
        </is>
      </c>
      <c r="C3644" s="1" t="n">
        <v>2</v>
      </c>
      <c r="D3644" s="1" t="inlineStr">
        <is>
          <t>Links to altEC</t>
        </is>
      </c>
      <c r="E3644" s="1" t="inlineStr">
        <is>
          <t>Base</t>
        </is>
      </c>
      <c r="F3644" s="1" t="n">
        <v>0.5489540000000001</v>
      </c>
    </row>
    <row r="3645" ht="15.75" customHeight="1" s="201">
      <c r="A3645" s="1" t="n">
        <v>74402210</v>
      </c>
      <c r="B3645" s="1" t="inlineStr">
        <is>
          <t>Taco sauce (Includes McDonald's hot sauce; Taco Bell hot sauce; fast food hot sauce)</t>
        </is>
      </c>
      <c r="C3645" s="1" t="n">
        <v>1</v>
      </c>
      <c r="D3645" s="1" t="inlineStr">
        <is>
          <t>Links to FNDDS</t>
        </is>
      </c>
      <c r="E3645" s="1" t="inlineStr">
        <is>
          <t>Base</t>
        </is>
      </c>
      <c r="F3645" s="1" t="n">
        <v>0.62318</v>
      </c>
    </row>
    <row r="3646" ht="15.75" customHeight="1" s="201">
      <c r="A3646" s="1" t="n">
        <v>74402250</v>
      </c>
      <c r="B3646" s="1" t="inlineStr">
        <is>
          <t>Enchilada sauce, red (Includes enchilada sauce, NFS)</t>
        </is>
      </c>
      <c r="C3646" s="1" t="n">
        <v>2</v>
      </c>
      <c r="D3646" s="1" t="inlineStr">
        <is>
          <t>Links to altEC</t>
        </is>
      </c>
      <c r="E3646" s="1" t="inlineStr">
        <is>
          <t>Base</t>
        </is>
      </c>
      <c r="F3646" s="1" t="n">
        <v>0.389369</v>
      </c>
    </row>
    <row r="3647" ht="15.75" customHeight="1" s="201">
      <c r="A3647" s="1" t="n">
        <v>74402260</v>
      </c>
      <c r="B3647" s="1" t="inlineStr">
        <is>
          <t>Enchilada sauce, green</t>
        </is>
      </c>
      <c r="C3647" s="1" t="n">
        <v>1</v>
      </c>
      <c r="D3647" s="1" t="inlineStr">
        <is>
          <t>Links to FNDDS</t>
        </is>
      </c>
      <c r="E3647" s="1" t="inlineStr">
        <is>
          <t>Base</t>
        </is>
      </c>
      <c r="F3647" s="1" t="n">
        <v>0.344178</v>
      </c>
    </row>
    <row r="3648" ht="15.75" customHeight="1" s="201">
      <c r="A3648" s="1" t="n">
        <v>74402350</v>
      </c>
      <c r="B3648" s="1" t="inlineStr">
        <is>
          <t>Salsa verde or salsa, green (Includes tomatillo sauce; green tomato-chile sauce)</t>
        </is>
      </c>
      <c r="C3648" s="1" t="n">
        <v>1</v>
      </c>
      <c r="D3648" s="1" t="inlineStr">
        <is>
          <t>Links to FNDDS</t>
        </is>
      </c>
      <c r="E3648" s="1" t="inlineStr">
        <is>
          <t>Base</t>
        </is>
      </c>
      <c r="F3648" s="1" t="n">
        <v>0.56682</v>
      </c>
    </row>
    <row r="3649" ht="15.75" customHeight="1" s="201">
      <c r="A3649" s="1" t="n">
        <v>74403000</v>
      </c>
      <c r="B3649" s="1" t="inlineStr">
        <is>
          <t>Hot Thai sauce (Includes hot chilli sauce; Sriracha sauce; red pepper paste; chilli pepper paste)</t>
        </is>
      </c>
      <c r="C3649" s="1" t="n">
        <v>1</v>
      </c>
      <c r="D3649" s="1" t="inlineStr">
        <is>
          <t>Links to FNDDS</t>
        </is>
      </c>
      <c r="E3649" s="1" t="inlineStr">
        <is>
          <t>Base</t>
        </is>
      </c>
      <c r="F3649" s="1" t="n">
        <v>0.608213</v>
      </c>
    </row>
    <row r="3650" ht="15.75" customHeight="1" s="201">
      <c r="A3650" s="1" t="n">
        <v>74404010</v>
      </c>
      <c r="B3650" s="1" t="inlineStr">
        <is>
          <t>Spaghetti sauce (Includes tomato-based, marinara, or red sauce; pizza sauce; spaghetti sauce, NFS)</t>
        </is>
      </c>
      <c r="C3650" s="1" t="n">
        <v>1</v>
      </c>
      <c r="D3650" s="1" t="inlineStr">
        <is>
          <t>Links to FNDDS</t>
        </is>
      </c>
      <c r="E3650" s="1" t="inlineStr">
        <is>
          <t>Base</t>
        </is>
      </c>
      <c r="F3650" s="1" t="n">
        <v>0.303569</v>
      </c>
    </row>
    <row r="3651" ht="15.75" customHeight="1" s="201">
      <c r="A3651" s="1" t="n">
        <v>74406010</v>
      </c>
      <c r="B3651" s="1" t="inlineStr">
        <is>
          <t>Barbecue sauce (Includes BBQ sauce)</t>
        </is>
      </c>
      <c r="C3651" s="1" t="n">
        <v>1</v>
      </c>
      <c r="D3651" s="1" t="inlineStr">
        <is>
          <t>Links to FNDDS</t>
        </is>
      </c>
      <c r="E3651" s="1" t="inlineStr">
        <is>
          <t>Base</t>
        </is>
      </c>
      <c r="F3651" s="1" t="n">
        <v>0.34266</v>
      </c>
    </row>
    <row r="3652" ht="15.75" customHeight="1" s="201">
      <c r="A3652" s="1" t="n">
        <v>74406060</v>
      </c>
      <c r="B3652" s="1" t="inlineStr">
        <is>
          <t>Buffalo sauce</t>
        </is>
      </c>
      <c r="C3652" s="1" t="n">
        <v>1</v>
      </c>
      <c r="D3652" s="1" t="inlineStr">
        <is>
          <t>Links to FNDDS</t>
        </is>
      </c>
      <c r="E3652" s="1" t="inlineStr">
        <is>
          <t>Base</t>
        </is>
      </c>
      <c r="F3652" s="1" t="n">
        <v>0.59987</v>
      </c>
    </row>
    <row r="3653" ht="15.75" customHeight="1" s="201">
      <c r="A3653" s="1" t="n">
        <v>74406100</v>
      </c>
      <c r="B3653" s="1" t="inlineStr">
        <is>
          <t>Steak sauce (Includes A1; Pickapeppa; Heinz 57)</t>
        </is>
      </c>
      <c r="C3653" s="1" t="n">
        <v>1</v>
      </c>
      <c r="D3653" s="1" t="inlineStr">
        <is>
          <t>Links to FNDDS</t>
        </is>
      </c>
      <c r="E3653" s="1" t="inlineStr">
        <is>
          <t>Base</t>
        </is>
      </c>
      <c r="F3653" s="1" t="n">
        <v>0.857279</v>
      </c>
    </row>
    <row r="3654" ht="15.75" customHeight="1" s="201">
      <c r="A3654" s="1" t="n">
        <v>74406500</v>
      </c>
      <c r="B3654" s="1" t="inlineStr">
        <is>
          <t>Cocktail sauce</t>
        </is>
      </c>
      <c r="C3654" s="1" t="n">
        <v>1</v>
      </c>
      <c r="D3654" s="1" t="inlineStr">
        <is>
          <t>Links to FNDDS</t>
        </is>
      </c>
      <c r="E3654" s="1" t="inlineStr">
        <is>
          <t>Base</t>
        </is>
      </c>
      <c r="F3654" s="1" t="n">
        <v>0.772569</v>
      </c>
    </row>
    <row r="3655" ht="15.75" customHeight="1" s="201">
      <c r="A3655" s="1" t="n">
        <v>74506000</v>
      </c>
      <c r="B3655" s="1" t="inlineStr">
        <is>
          <t>Tomato and cucumber salad made with tomato, cucumber, oil, and vinegar (Includes with onions)</t>
        </is>
      </c>
      <c r="C3655" s="1" t="n">
        <v>4</v>
      </c>
      <c r="D3655" s="1" t="inlineStr">
        <is>
          <t>FNDDS recipe with replaced or modified SR codes</t>
        </is>
      </c>
      <c r="E3655" s="1" t="inlineStr">
        <is>
          <t>Base</t>
        </is>
      </c>
      <c r="F3655" s="1" t="n">
        <v>0.364524</v>
      </c>
    </row>
    <row r="3656" ht="15.75" customHeight="1" s="201">
      <c r="A3656" s="1" t="n">
        <v>74601000</v>
      </c>
      <c r="B3656" s="1" t="inlineStr">
        <is>
          <t>Tomato soup, NFS</t>
        </is>
      </c>
      <c r="C3656" s="1" t="n">
        <v>2</v>
      </c>
      <c r="D3656" s="1" t="inlineStr">
        <is>
          <t>Links to altEC</t>
        </is>
      </c>
      <c r="E3656" s="1" t="inlineStr">
        <is>
          <t>Base</t>
        </is>
      </c>
      <c r="F3656" s="1" t="n">
        <v>0.313013</v>
      </c>
    </row>
    <row r="3657" ht="15.75" customHeight="1" s="201">
      <c r="A3657" s="1" t="n">
        <v>74601010</v>
      </c>
      <c r="B3657" s="1" t="inlineStr">
        <is>
          <t>Tomato soup, cream of, prepared with milk (Includes tomato bisque; canned tomato soup prepared with milk)</t>
        </is>
      </c>
      <c r="C3657" s="1" t="n">
        <v>1</v>
      </c>
      <c r="D3657" s="1" t="inlineStr">
        <is>
          <t>Links to FNDDS</t>
        </is>
      </c>
      <c r="E3657" s="1" t="inlineStr">
        <is>
          <t>Base</t>
        </is>
      </c>
      <c r="F3657" s="1" t="n">
        <v>0.646942</v>
      </c>
    </row>
    <row r="3658" ht="15.75" customHeight="1" s="201">
      <c r="A3658" s="1" t="n">
        <v>74602010</v>
      </c>
      <c r="B3658" s="1" t="inlineStr">
        <is>
          <t>Tomato soup, prepared with water, or ready-to-serve (Includes Jenny Craig Tomato Soup)</t>
        </is>
      </c>
      <c r="C3658" s="1" t="n">
        <v>1</v>
      </c>
      <c r="D3658" s="1" t="inlineStr">
        <is>
          <t>Links to FNDDS</t>
        </is>
      </c>
      <c r="E3658" s="1" t="inlineStr">
        <is>
          <t>Base</t>
        </is>
      </c>
      <c r="F3658" s="1" t="n">
        <v>0.363815</v>
      </c>
    </row>
    <row r="3659" ht="15.75" customHeight="1" s="201">
      <c r="A3659" s="1" t="n">
        <v>74602200</v>
      </c>
      <c r="B3659" s="1" t="inlineStr">
        <is>
          <t>Tomato soup, canned, reduced sodium, prepared with water, or ready-to-serve (Includes Campbells's Healthy Request tomato soup)</t>
        </is>
      </c>
      <c r="C3659" s="1" t="n">
        <v>1</v>
      </c>
      <c r="D3659" s="1" t="inlineStr">
        <is>
          <t>Links to FNDDS</t>
        </is>
      </c>
      <c r="E3659" s="1" t="inlineStr">
        <is>
          <t>Base</t>
        </is>
      </c>
      <c r="F3659" s="1" t="n">
        <v>0.401603</v>
      </c>
    </row>
    <row r="3660" ht="15.75" customHeight="1" s="201">
      <c r="A3660" s="1" t="n">
        <v>74603010</v>
      </c>
      <c r="B3660" s="1" t="inlineStr">
        <is>
          <t>Tomato beef soup, prepared with water</t>
        </is>
      </c>
      <c r="C3660" s="1" t="n">
        <v>1</v>
      </c>
      <c r="D3660" s="1" t="inlineStr">
        <is>
          <t>Links to FNDDS</t>
        </is>
      </c>
      <c r="E3660" s="1" t="inlineStr">
        <is>
          <t>Base</t>
        </is>
      </c>
      <c r="F3660" s="1" t="n">
        <v>0.429116</v>
      </c>
    </row>
    <row r="3661" ht="15.75" customHeight="1" s="201">
      <c r="A3661" s="1" t="n">
        <v>74604500</v>
      </c>
      <c r="B3661" s="1" t="inlineStr">
        <is>
          <t>Tomato noodle soup, canned, prepared with water or ready-to-serve (Includes tomato macaroni / noodle / pasta soup)</t>
        </is>
      </c>
      <c r="C3661" s="1" t="n">
        <v>4</v>
      </c>
      <c r="D3661" s="1" t="inlineStr">
        <is>
          <t>FNDDS recipe with replaced or modified SR codes</t>
        </is>
      </c>
      <c r="E3661" s="1" t="inlineStr">
        <is>
          <t>Base</t>
        </is>
      </c>
      <c r="F3661" s="1" t="n">
        <v>0.254722</v>
      </c>
    </row>
    <row r="3662" ht="15.75" customHeight="1" s="201">
      <c r="A3662" s="1" t="n">
        <v>74604600</v>
      </c>
      <c r="B3662" s="1" t="inlineStr">
        <is>
          <t>Tomato noodle soup, canned, prepared with milk (Includes tomato and macaroni / noodle / pasta soup, prepared with milk; cream of tomato noodle soup, ready-to-serve)</t>
        </is>
      </c>
      <c r="C3662" s="1" t="n">
        <v>1</v>
      </c>
      <c r="D3662" s="1" t="inlineStr">
        <is>
          <t>Links to FNDDS</t>
        </is>
      </c>
      <c r="E3662" s="1" t="inlineStr">
        <is>
          <t>Base</t>
        </is>
      </c>
      <c r="F3662" s="1" t="n">
        <v>0.335633</v>
      </c>
    </row>
    <row r="3663" ht="15.75" customHeight="1" s="201">
      <c r="A3663" s="1" t="n">
        <v>74605010</v>
      </c>
      <c r="B3663" s="1" t="inlineStr">
        <is>
          <t>Tomato rice soup, prepared with water (Includes Spanish rice soup)</t>
        </is>
      </c>
      <c r="C3663" s="1" t="n">
        <v>2</v>
      </c>
      <c r="D3663" s="1" t="inlineStr">
        <is>
          <t>Links to altEC</t>
        </is>
      </c>
      <c r="E3663" s="1" t="inlineStr">
        <is>
          <t>Base</t>
        </is>
      </c>
      <c r="F3663" s="1" t="n">
        <v>0.391019</v>
      </c>
    </row>
    <row r="3664" ht="15.75" customHeight="1" s="201">
      <c r="A3664" s="1" t="n">
        <v>74606020</v>
      </c>
      <c r="B3664" s="1" t="inlineStr">
        <is>
          <t>Tomato vegetable soup with noodles, prepared with water</t>
        </is>
      </c>
      <c r="C3664" s="1" t="n">
        <v>2</v>
      </c>
      <c r="D3664" s="1" t="inlineStr">
        <is>
          <t>Links to altEC</t>
        </is>
      </c>
      <c r="E3664" s="1" t="inlineStr">
        <is>
          <t>Base</t>
        </is>
      </c>
      <c r="F3664" s="1" t="n">
        <v>0.391019</v>
      </c>
    </row>
    <row r="3665" ht="15.75" customHeight="1" s="201">
      <c r="A3665" s="1" t="n">
        <v>74701000</v>
      </c>
      <c r="B3665" s="1" t="inlineStr">
        <is>
          <t>Tomato sandwich</t>
        </is>
      </c>
      <c r="C3665" s="1" t="n">
        <v>4</v>
      </c>
      <c r="D3665" s="1" t="inlineStr">
        <is>
          <t>FNDDS recipe with replaced or modified SR codes</t>
        </is>
      </c>
      <c r="E3665" s="1" t="inlineStr">
        <is>
          <t>Base</t>
        </is>
      </c>
      <c r="F3665" s="1" t="n">
        <v>0.443585</v>
      </c>
    </row>
    <row r="3666" ht="15.75" customHeight="1" s="201">
      <c r="A3666" s="1" t="n">
        <v>75100300</v>
      </c>
      <c r="B3666" s="1" t="inlineStr">
        <is>
          <t>Sprouts, NFS</t>
        </is>
      </c>
      <c r="C3666" s="1" t="n">
        <v>2</v>
      </c>
      <c r="D3666" s="1" t="inlineStr">
        <is>
          <t>Links to altEC</t>
        </is>
      </c>
      <c r="E3666" s="1" t="inlineStr">
        <is>
          <t>Base</t>
        </is>
      </c>
      <c r="F3666" s="1" t="n">
        <v>0.913914</v>
      </c>
    </row>
    <row r="3667" ht="15.75" customHeight="1" s="201">
      <c r="A3667" s="1" t="n">
        <v>75100500</v>
      </c>
      <c r="B3667" s="1" t="inlineStr">
        <is>
          <t>Alfalfa sprouts, raw</t>
        </is>
      </c>
      <c r="C3667" s="1" t="n">
        <v>1</v>
      </c>
      <c r="D3667" s="1" t="inlineStr">
        <is>
          <t>Links to FNDDS</t>
        </is>
      </c>
      <c r="E3667" s="1" t="inlineStr">
        <is>
          <t>Base</t>
        </is>
      </c>
      <c r="F3667" s="1" t="n">
        <v>1.621247</v>
      </c>
    </row>
    <row r="3668" ht="15.75" customHeight="1" s="201">
      <c r="A3668" s="1" t="n">
        <v>75100800</v>
      </c>
      <c r="B3668" s="1" t="inlineStr">
        <is>
          <t>Asparagus, raw</t>
        </is>
      </c>
      <c r="C3668" s="1" t="n">
        <v>1</v>
      </c>
      <c r="D3668" s="1" t="inlineStr">
        <is>
          <t>Links to FNDDS</t>
        </is>
      </c>
      <c r="E3668" s="1" t="inlineStr">
        <is>
          <t>Base</t>
        </is>
      </c>
      <c r="F3668" s="1" t="n">
        <v>1.231178</v>
      </c>
    </row>
    <row r="3669" ht="15.75" customHeight="1" s="201">
      <c r="A3669" s="1" t="n">
        <v>75101000</v>
      </c>
      <c r="B3669" s="1" t="inlineStr">
        <is>
          <t>Bean sprouts, raw (Includes soybean or mung)</t>
        </is>
      </c>
      <c r="C3669" s="1" t="n">
        <v>1</v>
      </c>
      <c r="D3669" s="1" t="inlineStr">
        <is>
          <t>Links to FNDDS</t>
        </is>
      </c>
      <c r="E3669" s="1" t="inlineStr">
        <is>
          <t>Base</t>
        </is>
      </c>
      <c r="F3669" s="1" t="n">
        <v>0.7752019999999999</v>
      </c>
    </row>
    <row r="3670" ht="15.75" customHeight="1" s="201">
      <c r="A3670" s="1" t="n">
        <v>75101800</v>
      </c>
      <c r="B3670" s="1" t="inlineStr">
        <is>
          <t>Green beans, raw (Includes string beans)</t>
        </is>
      </c>
      <c r="C3670" s="1" t="n">
        <v>1</v>
      </c>
      <c r="D3670" s="1" t="inlineStr">
        <is>
          <t>Links to FNDDS</t>
        </is>
      </c>
      <c r="E3670" s="1" t="inlineStr">
        <is>
          <t>Base</t>
        </is>
      </c>
      <c r="F3670" s="1" t="n">
        <v>0.62435</v>
      </c>
    </row>
    <row r="3671" ht="15.75" customHeight="1" s="201">
      <c r="A3671" s="1" t="n">
        <v>75102750</v>
      </c>
      <c r="B3671" s="1" t="inlineStr">
        <is>
          <t>Brussels sprouts, raw</t>
        </is>
      </c>
      <c r="C3671" s="1" t="n">
        <v>1</v>
      </c>
      <c r="D3671" s="1" t="inlineStr">
        <is>
          <t>Links to FNDDS</t>
        </is>
      </c>
      <c r="E3671" s="1" t="inlineStr">
        <is>
          <t>Base</t>
        </is>
      </c>
      <c r="F3671" s="1" t="n">
        <v>0.69464</v>
      </c>
    </row>
    <row r="3672" ht="15.75" customHeight="1" s="201">
      <c r="A3672" s="1" t="n">
        <v>75103000</v>
      </c>
      <c r="B3672" s="1" t="inlineStr">
        <is>
          <t>Cabbage, green, raw (Includes cabbage, NS as to color)</t>
        </is>
      </c>
      <c r="C3672" s="1" t="n">
        <v>1</v>
      </c>
      <c r="D3672" s="1" t="inlineStr">
        <is>
          <t>Links to FNDDS</t>
        </is>
      </c>
      <c r="E3672" s="1" t="inlineStr">
        <is>
          <t>Base</t>
        </is>
      </c>
      <c r="F3672" s="1" t="n">
        <v>0.205682</v>
      </c>
    </row>
    <row r="3673" ht="15.75" customHeight="1" s="201">
      <c r="A3673" s="1" t="n">
        <v>75104000</v>
      </c>
      <c r="B3673" s="1" t="inlineStr">
        <is>
          <t>Cabbage, Chinese, raw (Includes Napa; Pa-tsai; Pak-choi / Bok choy)</t>
        </is>
      </c>
      <c r="C3673" s="1" t="n">
        <v>1</v>
      </c>
      <c r="D3673" s="1" t="inlineStr">
        <is>
          <t>Links to FNDDS</t>
        </is>
      </c>
      <c r="E3673" s="1" t="inlineStr">
        <is>
          <t>Base</t>
        </is>
      </c>
      <c r="F3673" s="1" t="n">
        <v>0.427058</v>
      </c>
    </row>
    <row r="3674" ht="15.75" customHeight="1" s="201">
      <c r="A3674" s="1" t="n">
        <v>75105000</v>
      </c>
      <c r="B3674" s="1" t="inlineStr">
        <is>
          <t>Cabbage, red, raw (Includes cabbage, NS to color, in tossed green salad; purple cabbage)</t>
        </is>
      </c>
      <c r="C3674" s="1" t="n">
        <v>1</v>
      </c>
      <c r="D3674" s="1" t="inlineStr">
        <is>
          <t>Links to FNDDS</t>
        </is>
      </c>
      <c r="E3674" s="1" t="inlineStr">
        <is>
          <t>Base</t>
        </is>
      </c>
      <c r="F3674" s="1" t="n">
        <v>0.299764</v>
      </c>
    </row>
    <row r="3675" ht="15.75" customHeight="1" s="201">
      <c r="A3675" s="1" t="n">
        <v>75105500</v>
      </c>
      <c r="B3675" s="1" t="inlineStr">
        <is>
          <t>Cactus, raw</t>
        </is>
      </c>
      <c r="C3675" s="1" t="n">
        <v>1</v>
      </c>
      <c r="D3675" s="1" t="inlineStr">
        <is>
          <t>Links to FNDDS</t>
        </is>
      </c>
      <c r="E3675" s="1" t="inlineStr">
        <is>
          <t>Base</t>
        </is>
      </c>
      <c r="F3675" s="1" t="n">
        <v>0.408203</v>
      </c>
    </row>
    <row r="3676" ht="15.75" customHeight="1" s="201">
      <c r="A3676" s="1" t="n">
        <v>75107000</v>
      </c>
      <c r="B3676" s="1" t="inlineStr">
        <is>
          <t>Cauliflower, raw</t>
        </is>
      </c>
      <c r="C3676" s="1" t="n">
        <v>1</v>
      </c>
      <c r="D3676" s="1" t="inlineStr">
        <is>
          <t>Links to FNDDS</t>
        </is>
      </c>
      <c r="E3676" s="1" t="inlineStr">
        <is>
          <t>Base</t>
        </is>
      </c>
      <c r="F3676" s="1" t="n">
        <v>0.914896</v>
      </c>
    </row>
    <row r="3677" ht="15.75" customHeight="1" s="201">
      <c r="A3677" s="1" t="n">
        <v>75109000</v>
      </c>
      <c r="B3677" s="1" t="inlineStr">
        <is>
          <t>Celery, raw (Includes celery, NFS)</t>
        </is>
      </c>
      <c r="C3677" s="1" t="n">
        <v>1</v>
      </c>
      <c r="D3677" s="1" t="inlineStr">
        <is>
          <t>Links to FNDDS</t>
        </is>
      </c>
      <c r="E3677" s="1" t="inlineStr">
        <is>
          <t>Base</t>
        </is>
      </c>
      <c r="F3677" s="1" t="n">
        <v>0.349821</v>
      </c>
    </row>
    <row r="3678" ht="15.75" customHeight="1" s="201">
      <c r="A3678" s="1" t="n">
        <v>75109010</v>
      </c>
      <c r="B3678" s="1" t="inlineStr">
        <is>
          <t>Fennel bulb, raw</t>
        </is>
      </c>
      <c r="C3678" s="1" t="n">
        <v>1</v>
      </c>
      <c r="D3678" s="1" t="inlineStr">
        <is>
          <t>Links to FNDDS</t>
        </is>
      </c>
      <c r="E3678" s="1" t="inlineStr">
        <is>
          <t>Base</t>
        </is>
      </c>
      <c r="F3678" s="1" t="n">
        <v>0.722761</v>
      </c>
    </row>
    <row r="3679" ht="15.75" customHeight="1" s="201">
      <c r="A3679" s="1" t="n">
        <v>75109400</v>
      </c>
      <c r="B3679" s="1" t="inlineStr">
        <is>
          <t>Basil, raw</t>
        </is>
      </c>
      <c r="C3679" s="1" t="n">
        <v>1</v>
      </c>
      <c r="D3679" s="1" t="inlineStr">
        <is>
          <t>Links to FNDDS</t>
        </is>
      </c>
      <c r="E3679" s="1" t="inlineStr">
        <is>
          <t>Base</t>
        </is>
      </c>
      <c r="F3679" s="1" t="n">
        <v>6.719017</v>
      </c>
    </row>
    <row r="3680" ht="15.75" customHeight="1" s="201">
      <c r="A3680" s="1" t="n">
        <v>75109500</v>
      </c>
      <c r="B3680" s="1" t="inlineStr">
        <is>
          <t>Chives, raw (Includes chives, NFS)</t>
        </is>
      </c>
      <c r="C3680" s="1" t="n">
        <v>1</v>
      </c>
      <c r="D3680" s="1" t="inlineStr">
        <is>
          <t>Links to FNDDS</t>
        </is>
      </c>
      <c r="E3680" s="1" t="inlineStr">
        <is>
          <t>Base</t>
        </is>
      </c>
      <c r="F3680" s="1" t="n">
        <v>5.854104</v>
      </c>
    </row>
    <row r="3681" ht="15.75" customHeight="1" s="201">
      <c r="A3681" s="1" t="n">
        <v>75109550</v>
      </c>
      <c r="B3681" s="1" t="inlineStr">
        <is>
          <t>Cilantro, raw (Includes coriander leaves; Chinese parsley)</t>
        </is>
      </c>
      <c r="C3681" s="1" t="n">
        <v>1</v>
      </c>
      <c r="D3681" s="1" t="inlineStr">
        <is>
          <t>Links to FNDDS</t>
        </is>
      </c>
      <c r="E3681" s="1" t="inlineStr">
        <is>
          <t>Base</t>
        </is>
      </c>
      <c r="F3681" s="1" t="n">
        <v>0.247132</v>
      </c>
    </row>
    <row r="3682" ht="15.75" customHeight="1" s="201">
      <c r="A3682" s="1" t="n">
        <v>75109600</v>
      </c>
      <c r="B3682" s="1" t="inlineStr">
        <is>
          <t>Corn, raw</t>
        </is>
      </c>
      <c r="C3682" s="1" t="n">
        <v>1</v>
      </c>
      <c r="D3682" s="1" t="inlineStr">
        <is>
          <t>Links to FNDDS</t>
        </is>
      </c>
      <c r="E3682" s="1" t="inlineStr">
        <is>
          <t>Base</t>
        </is>
      </c>
      <c r="F3682" s="1" t="n">
        <v>0.5774899999999999</v>
      </c>
    </row>
    <row r="3683" ht="15.75" customHeight="1" s="201">
      <c r="A3683" s="1" t="n">
        <v>75111000</v>
      </c>
      <c r="B3683" s="1" t="inlineStr">
        <is>
          <t>Cucumber, raw (Includes cucumber, NFS)</t>
        </is>
      </c>
      <c r="C3683" s="1" t="n">
        <v>1</v>
      </c>
      <c r="D3683" s="1" t="inlineStr">
        <is>
          <t>Links to FNDDS</t>
        </is>
      </c>
      <c r="E3683" s="1" t="inlineStr">
        <is>
          <t>Base</t>
        </is>
      </c>
      <c r="F3683" s="1" t="n">
        <v>0.351319</v>
      </c>
    </row>
    <row r="3684" ht="15.75" customHeight="1" s="201">
      <c r="A3684" s="1" t="n">
        <v>75111200</v>
      </c>
      <c r="B3684" s="1" t="inlineStr">
        <is>
          <t>Eggplant, raw</t>
        </is>
      </c>
      <c r="C3684" s="1" t="n">
        <v>1</v>
      </c>
      <c r="D3684" s="1" t="inlineStr">
        <is>
          <t>Links to FNDDS</t>
        </is>
      </c>
      <c r="E3684" s="1" t="inlineStr">
        <is>
          <t>Base</t>
        </is>
      </c>
      <c r="F3684" s="1" t="n">
        <v>0.486766</v>
      </c>
    </row>
    <row r="3685" ht="15.75" customHeight="1" s="201">
      <c r="A3685" s="1" t="n">
        <v>75111500</v>
      </c>
      <c r="B3685" s="1" t="inlineStr">
        <is>
          <t>Garlic, raw</t>
        </is>
      </c>
      <c r="C3685" s="1" t="n">
        <v>1</v>
      </c>
      <c r="D3685" s="1" t="inlineStr">
        <is>
          <t>Links to FNDDS</t>
        </is>
      </c>
      <c r="E3685" s="1" t="inlineStr">
        <is>
          <t>Base</t>
        </is>
      </c>
      <c r="F3685" s="1" t="n">
        <v>0.967773</v>
      </c>
    </row>
    <row r="3686" ht="15.75" customHeight="1" s="201">
      <c r="A3686" s="1" t="n">
        <v>75111800</v>
      </c>
      <c r="B3686" s="1" t="inlineStr">
        <is>
          <t>Jicama, raw (Includes yambean)</t>
        </is>
      </c>
      <c r="C3686" s="1" t="n">
        <v>1</v>
      </c>
      <c r="D3686" s="1" t="inlineStr">
        <is>
          <t>Links to FNDDS</t>
        </is>
      </c>
      <c r="E3686" s="1" t="inlineStr">
        <is>
          <t>Base</t>
        </is>
      </c>
      <c r="F3686" s="1" t="n">
        <v>0.310509</v>
      </c>
    </row>
    <row r="3687" ht="15.75" customHeight="1" s="201">
      <c r="A3687" s="1" t="n">
        <v>75113000</v>
      </c>
      <c r="B3687" s="1" t="inlineStr">
        <is>
          <t>Lettuce, raw (Includes lettuce, NFS; iceberg)</t>
        </is>
      </c>
      <c r="C3687" s="1" t="n">
        <v>2</v>
      </c>
      <c r="D3687" s="1" t="inlineStr">
        <is>
          <t>Links to altEC</t>
        </is>
      </c>
      <c r="E3687" s="1" t="inlineStr">
        <is>
          <t>Base</t>
        </is>
      </c>
      <c r="F3687" s="1" t="n">
        <v>0.301245</v>
      </c>
    </row>
    <row r="3688" ht="15.75" customHeight="1" s="201">
      <c r="A3688" s="1" t="n">
        <v>75113060</v>
      </c>
      <c r="B3688" s="1" t="inlineStr">
        <is>
          <t>Lettuce, Boston, raw (Includes deer tongue lettuce; native lettuce; red leaf lettuce; Bibb)</t>
        </is>
      </c>
      <c r="C3688" s="1" t="n">
        <v>2</v>
      </c>
      <c r="D3688" s="1" t="inlineStr">
        <is>
          <t>Links to altEC</t>
        </is>
      </c>
      <c r="E3688" s="1" t="inlineStr">
        <is>
          <t>Base</t>
        </is>
      </c>
      <c r="F3688" s="1" t="n">
        <v>1.012427</v>
      </c>
    </row>
    <row r="3689" ht="15.75" customHeight="1" s="201">
      <c r="A3689" s="1" t="n">
        <v>75113080</v>
      </c>
      <c r="B3689" s="1" t="inlineStr">
        <is>
          <t>Lettuce, arugula, raw</t>
        </is>
      </c>
      <c r="C3689" s="1" t="n">
        <v>1</v>
      </c>
      <c r="D3689" s="1" t="inlineStr">
        <is>
          <t>Links to FNDDS</t>
        </is>
      </c>
      <c r="E3689" s="1" t="inlineStr">
        <is>
          <t>Base</t>
        </is>
      </c>
      <c r="F3689" s="1" t="n">
        <v>2.039537</v>
      </c>
    </row>
    <row r="3690" ht="15.75" customHeight="1" s="201">
      <c r="A3690" s="1" t="n">
        <v>75114000</v>
      </c>
      <c r="B3690" s="1" t="inlineStr">
        <is>
          <t>Mixed salad greens, raw</t>
        </is>
      </c>
      <c r="C3690" s="1" t="n">
        <v>1</v>
      </c>
      <c r="D3690" s="1" t="inlineStr">
        <is>
          <t>Links to FNDDS</t>
        </is>
      </c>
      <c r="E3690" s="1" t="inlineStr">
        <is>
          <t>Base</t>
        </is>
      </c>
      <c r="F3690" s="1" t="n">
        <v>1.345293</v>
      </c>
    </row>
    <row r="3691" ht="15.75" customHeight="1" s="201">
      <c r="A3691" s="1" t="n">
        <v>75115000</v>
      </c>
      <c r="B3691" s="1" t="inlineStr">
        <is>
          <t>Mushrooms, raw</t>
        </is>
      </c>
      <c r="C3691" s="1" t="n">
        <v>1</v>
      </c>
      <c r="D3691" s="1" t="inlineStr">
        <is>
          <t>Links to FNDDS</t>
        </is>
      </c>
      <c r="E3691" s="1" t="inlineStr">
        <is>
          <t>Base</t>
        </is>
      </c>
      <c r="F3691" s="1" t="n">
        <v>0.87044</v>
      </c>
    </row>
    <row r="3692" ht="15.75" customHeight="1" s="201">
      <c r="A3692" s="1" t="n">
        <v>75117010</v>
      </c>
      <c r="B3692" s="1" t="inlineStr">
        <is>
          <t>Onions, green, raw (Includes scallions; spring onions)</t>
        </is>
      </c>
      <c r="C3692" s="1" t="n">
        <v>1</v>
      </c>
      <c r="D3692" s="1" t="inlineStr">
        <is>
          <t>Links to FNDDS</t>
        </is>
      </c>
      <c r="E3692" s="1" t="inlineStr">
        <is>
          <t>Base</t>
        </is>
      </c>
      <c r="F3692" s="1" t="n">
        <v>0.603579</v>
      </c>
    </row>
    <row r="3693" ht="15.75" customHeight="1" s="201">
      <c r="A3693" s="1" t="n">
        <v>75117020</v>
      </c>
      <c r="B3693" s="1" t="inlineStr">
        <is>
          <t>Onions, raw (Includes red onions; onions, NFS)</t>
        </is>
      </c>
      <c r="C3693" s="1" t="n">
        <v>1</v>
      </c>
      <c r="D3693" s="1" t="inlineStr">
        <is>
          <t>Links to FNDDS</t>
        </is>
      </c>
      <c r="E3693" s="1" t="inlineStr">
        <is>
          <t>Base</t>
        </is>
      </c>
      <c r="F3693" s="1" t="n">
        <v>0.260675</v>
      </c>
    </row>
    <row r="3694" ht="15.75" customHeight="1" s="201">
      <c r="A3694" s="1" t="n">
        <v>75119000</v>
      </c>
      <c r="B3694" s="1" t="inlineStr">
        <is>
          <t>Parsley, raw</t>
        </is>
      </c>
      <c r="C3694" s="1" t="n">
        <v>1</v>
      </c>
      <c r="D3694" s="1" t="inlineStr">
        <is>
          <t>Links to FNDDS</t>
        </is>
      </c>
      <c r="E3694" s="1" t="inlineStr">
        <is>
          <t>Base</t>
        </is>
      </c>
      <c r="F3694" s="1" t="n">
        <v>1.1096</v>
      </c>
    </row>
    <row r="3695" ht="15.75" customHeight="1" s="201">
      <c r="A3695" s="1" t="n">
        <v>75121000</v>
      </c>
      <c r="B3695" s="1" t="inlineStr">
        <is>
          <t>Pepper, hot chili, raw (Includes Jalapeno)</t>
        </is>
      </c>
      <c r="C3695" s="1" t="n">
        <v>2</v>
      </c>
      <c r="D3695" s="1" t="inlineStr">
        <is>
          <t>Links to altEC</t>
        </is>
      </c>
      <c r="E3695" s="1" t="inlineStr">
        <is>
          <t>Base</t>
        </is>
      </c>
      <c r="F3695" s="1" t="n">
        <v>0.501985</v>
      </c>
    </row>
    <row r="3696" ht="15.75" customHeight="1" s="201">
      <c r="A3696" s="1" t="n">
        <v>75122000</v>
      </c>
      <c r="B3696" s="1" t="inlineStr">
        <is>
          <t>Pepper, raw, NFS (Includes sweet pepper, raw, NS as to color)</t>
        </is>
      </c>
      <c r="C3696" s="1" t="n">
        <v>2</v>
      </c>
      <c r="D3696" s="1" t="inlineStr">
        <is>
          <t>Links to altEC</t>
        </is>
      </c>
      <c r="E3696" s="1" t="inlineStr">
        <is>
          <t>Base</t>
        </is>
      </c>
      <c r="F3696" s="1" t="n">
        <v>0.548657</v>
      </c>
    </row>
    <row r="3697" ht="15.75" customHeight="1" s="201">
      <c r="A3697" s="1" t="n">
        <v>75122100</v>
      </c>
      <c r="B3697" s="1" t="inlineStr">
        <is>
          <t>Pepper, sweet, green, raw</t>
        </is>
      </c>
      <c r="C3697" s="1" t="n">
        <v>1</v>
      </c>
      <c r="D3697" s="1" t="inlineStr">
        <is>
          <t>Links to FNDDS</t>
        </is>
      </c>
      <c r="E3697" s="1" t="inlineStr">
        <is>
          <t>Base</t>
        </is>
      </c>
      <c r="F3697" s="1" t="n">
        <v>0.381545</v>
      </c>
    </row>
    <row r="3698" ht="15.75" customHeight="1" s="201">
      <c r="A3698" s="1" t="n">
        <v>75122200</v>
      </c>
      <c r="B3698" s="1" t="inlineStr">
        <is>
          <t>Pepper, sweet, red, raw</t>
        </is>
      </c>
      <c r="C3698" s="1" t="n">
        <v>1</v>
      </c>
      <c r="D3698" s="1" t="inlineStr">
        <is>
          <t>Links to FNDDS</t>
        </is>
      </c>
      <c r="E3698" s="1" t="inlineStr">
        <is>
          <t>Base</t>
        </is>
      </c>
      <c r="F3698" s="1" t="n">
        <v>0.584259</v>
      </c>
    </row>
    <row r="3699" ht="15.75" customHeight="1" s="201">
      <c r="A3699" s="1" t="n">
        <v>75124000</v>
      </c>
      <c r="B3699" s="1" t="inlineStr">
        <is>
          <t>Pepper, banana, raw (Includes Hungarian wax pepper; yellow peppers, NS as to sweet or hot)</t>
        </is>
      </c>
      <c r="C3699" s="1" t="n">
        <v>1</v>
      </c>
      <c r="D3699" s="1" t="inlineStr">
        <is>
          <t>Links to FNDDS</t>
        </is>
      </c>
      <c r="E3699" s="1" t="inlineStr">
        <is>
          <t>Base</t>
        </is>
      </c>
      <c r="F3699" s="1" t="n">
        <v>0.863387</v>
      </c>
    </row>
    <row r="3700" ht="15.75" customHeight="1" s="201">
      <c r="A3700" s="1" t="n">
        <v>75125000</v>
      </c>
      <c r="B3700" s="1" t="inlineStr">
        <is>
          <t>Radish, raw</t>
        </is>
      </c>
      <c r="C3700" s="1" t="n">
        <v>1</v>
      </c>
      <c r="D3700" s="1" t="inlineStr">
        <is>
          <t>Links to FNDDS</t>
        </is>
      </c>
      <c r="E3700" s="1" t="inlineStr">
        <is>
          <t>Base</t>
        </is>
      </c>
      <c r="F3700" s="1" t="n">
        <v>0.3886</v>
      </c>
    </row>
    <row r="3701" ht="15.75" customHeight="1" s="201">
      <c r="A3701" s="1" t="n">
        <v>75127500</v>
      </c>
      <c r="B3701" s="1" t="inlineStr">
        <is>
          <t>Seaweed, raw (Includes blanched; sea moss; kelp; laver)</t>
        </is>
      </c>
      <c r="C3701" s="1" t="n">
        <v>2</v>
      </c>
      <c r="D3701" s="1" t="inlineStr">
        <is>
          <t>Links to altEC</t>
        </is>
      </c>
      <c r="E3701" s="1" t="inlineStr">
        <is>
          <t>Base</t>
        </is>
      </c>
      <c r="F3701" s="1" t="n">
        <v>3.933914</v>
      </c>
    </row>
    <row r="3702" ht="15.75" customHeight="1" s="201">
      <c r="A3702" s="1" t="n">
        <v>75127750</v>
      </c>
      <c r="B3702" s="1" t="inlineStr">
        <is>
          <t>Snowpeas, raw (Includes pea pod; Chinese pea pod; sugar peas)</t>
        </is>
      </c>
      <c r="C3702" s="1" t="n">
        <v>1</v>
      </c>
      <c r="D3702" s="1" t="inlineStr">
        <is>
          <t>Links to FNDDS</t>
        </is>
      </c>
      <c r="E3702" s="1" t="inlineStr">
        <is>
          <t>Base</t>
        </is>
      </c>
      <c r="F3702" s="1" t="n">
        <v>1.063511</v>
      </c>
    </row>
    <row r="3703" ht="15.75" customHeight="1" s="201">
      <c r="A3703" s="1" t="n">
        <v>75128000</v>
      </c>
      <c r="B3703" s="1" t="inlineStr">
        <is>
          <t>Summer squash, yellow, raw (Includes summer squash, NS as to color)</t>
        </is>
      </c>
      <c r="C3703" s="1" t="n">
        <v>1</v>
      </c>
      <c r="D3703" s="1" t="inlineStr">
        <is>
          <t>Links to FNDDS</t>
        </is>
      </c>
      <c r="E3703" s="1" t="inlineStr">
        <is>
          <t>Base</t>
        </is>
      </c>
      <c r="F3703" s="1" t="n">
        <v>0.369602</v>
      </c>
    </row>
    <row r="3704" ht="15.75" customHeight="1" s="201">
      <c r="A3704" s="1" t="n">
        <v>75128010</v>
      </c>
      <c r="B3704" s="1" t="inlineStr">
        <is>
          <t>Summer squash, green, raw (Includes zucchini)</t>
        </is>
      </c>
      <c r="C3704" s="1" t="n">
        <v>1</v>
      </c>
      <c r="D3704" s="1" t="inlineStr">
        <is>
          <t>Links to FNDDS</t>
        </is>
      </c>
      <c r="E3704" s="1" t="inlineStr">
        <is>
          <t>Base</t>
        </is>
      </c>
      <c r="F3704" s="1" t="n">
        <v>0.39328</v>
      </c>
    </row>
    <row r="3705" ht="15.75" customHeight="1" s="201">
      <c r="A3705" s="1" t="n">
        <v>75129000</v>
      </c>
      <c r="B3705" s="1" t="inlineStr">
        <is>
          <t>Turnip, raw</t>
        </is>
      </c>
      <c r="C3705" s="1" t="n">
        <v>1</v>
      </c>
      <c r="D3705" s="1" t="inlineStr">
        <is>
          <t>Links to FNDDS</t>
        </is>
      </c>
      <c r="E3705" s="1" t="inlineStr">
        <is>
          <t>Base</t>
        </is>
      </c>
      <c r="F3705" s="1" t="n">
        <v>0.383349</v>
      </c>
    </row>
    <row r="3706" ht="15.75" customHeight="1" s="201">
      <c r="A3706" s="1" t="n">
        <v>75140500</v>
      </c>
      <c r="B3706" s="1" t="inlineStr">
        <is>
          <t>Broccoli salad with cauliflower, cheese, bacon bits, and dressing</t>
        </is>
      </c>
      <c r="C3706" s="1" t="n">
        <v>4</v>
      </c>
      <c r="D3706" s="1" t="inlineStr">
        <is>
          <t>FNDDS recipe with replaced or modified SR codes</t>
        </is>
      </c>
      <c r="E3706" s="1" t="inlineStr">
        <is>
          <t>Base</t>
        </is>
      </c>
      <c r="F3706" s="1" t="n">
        <v>0.771347</v>
      </c>
    </row>
    <row r="3707" ht="15.75" customHeight="1" s="201">
      <c r="A3707" s="1" t="n">
        <v>75140510</v>
      </c>
      <c r="B3707" s="1" t="inlineStr">
        <is>
          <t>Broccoli slaw salad (Includes Broccoli salad, NFS)</t>
        </is>
      </c>
      <c r="C3707" s="1" t="n">
        <v>1</v>
      </c>
      <c r="D3707" s="1" t="inlineStr">
        <is>
          <t>Links to FNDDS</t>
        </is>
      </c>
      <c r="E3707" s="1" t="inlineStr">
        <is>
          <t>Base</t>
        </is>
      </c>
      <c r="F3707" s="1" t="n">
        <v>0.709823</v>
      </c>
    </row>
    <row r="3708" ht="15.75" customHeight="1" s="201">
      <c r="A3708" s="1" t="n">
        <v>75140990</v>
      </c>
      <c r="B3708" s="1" t="inlineStr">
        <is>
          <t>Cabbage salad or coleslaw, from fast food / restaurant (Includes from other place)</t>
        </is>
      </c>
      <c r="C3708" s="1" t="n">
        <v>1</v>
      </c>
      <c r="D3708" s="1" t="inlineStr">
        <is>
          <t>Links to FNDDS</t>
        </is>
      </c>
      <c r="E3708" s="1" t="inlineStr">
        <is>
          <t>Base</t>
        </is>
      </c>
      <c r="F3708" s="1" t="n">
        <v>0.521599</v>
      </c>
    </row>
    <row r="3709" ht="15.75" customHeight="1" s="201">
      <c r="A3709" s="1" t="n">
        <v>75141000</v>
      </c>
      <c r="B3709" s="1" t="inlineStr">
        <is>
          <t>Cabbage salad or coleslaw, made with coleslaw dressing (Includes commercial coleslaw dressing; mayonnaise or mayonnaise-type salad dressing; Marzetti Original Slaw Dressing; Miracle Whip dressing; imitation mayonnaise dressing; NS as to type of dressing)</t>
        </is>
      </c>
      <c r="C3709" s="1" t="n">
        <v>4</v>
      </c>
      <c r="D3709" s="1" t="inlineStr">
        <is>
          <t>FNDDS recipe with replaced or modified SR codes</t>
        </is>
      </c>
      <c r="E3709" s="1" t="inlineStr">
        <is>
          <t>Base</t>
        </is>
      </c>
      <c r="F3709" s="1" t="n">
        <v>0.339061</v>
      </c>
    </row>
    <row r="3710" ht="15.75" customHeight="1" s="201">
      <c r="A3710" s="1" t="n">
        <v>75141005</v>
      </c>
      <c r="B3710" s="1" t="inlineStr">
        <is>
          <t>Cabbage salad or coleslaw, made with light coleslaw dressing (Includes light commercial coleslaw dressing; light mayonnaise dressing; light mayonnaise-type dressing; Miracle Whip Light dressing; light "slaw" dressing; light imitation mayonnaise dressing; Hellmann's Dijonnaise; diet, low calorie, low fat, reduced calorie, or reduced fat dressing; milk, vinegar, and sugar dressing)</t>
        </is>
      </c>
      <c r="C3710" s="1" t="n">
        <v>4</v>
      </c>
      <c r="D3710" s="1" t="inlineStr">
        <is>
          <t>FNDDS recipe with replaced or modified SR codes</t>
        </is>
      </c>
      <c r="E3710" s="1" t="inlineStr">
        <is>
          <t>Base</t>
        </is>
      </c>
      <c r="F3710" s="1" t="n">
        <v>0.348605</v>
      </c>
    </row>
    <row r="3711" ht="15.75" customHeight="1" s="201">
      <c r="A3711" s="1" t="n">
        <v>75141020</v>
      </c>
      <c r="B3711" s="1" t="inlineStr">
        <is>
          <t>Cabbage salad or coleslaw, made with Italian dressing (Includes vinegar and oil; vinaigrette; Greek dressing; onion or Vidalia onion dressing; Champagne dressing; celery seed dressing; red wine, balsamic, or raspberry vinegar dressing)</t>
        </is>
      </c>
      <c r="C3711" s="1" t="n">
        <v>4</v>
      </c>
      <c r="D3711" s="1" t="inlineStr">
        <is>
          <t>FNDDS recipe with replaced or modified SR codes</t>
        </is>
      </c>
      <c r="E3711" s="1" t="inlineStr">
        <is>
          <t>Base</t>
        </is>
      </c>
      <c r="F3711" s="1" t="n">
        <v>0.303827</v>
      </c>
    </row>
    <row r="3712" ht="15.75" customHeight="1" s="201">
      <c r="A3712" s="1" t="n">
        <v>75141025</v>
      </c>
      <c r="B3712" s="1" t="inlineStr">
        <is>
          <t>Cabbage salad or coleslaw, made with light Italian dressing (Includes diet, low calorie, low fat, reduced calorie, or reduced fat dressing; Newman's Own Light; light vinaigrette; light Greek dressing; light onion or Vidalia onion dressing; light Champagne dressing; light celery seed dressing)</t>
        </is>
      </c>
      <c r="C3712" s="1" t="n">
        <v>4</v>
      </c>
      <c r="D3712" s="1" t="inlineStr">
        <is>
          <t>FNDDS recipe with replaced or modified SR codes</t>
        </is>
      </c>
      <c r="E3712" s="1" t="inlineStr">
        <is>
          <t>Base</t>
        </is>
      </c>
      <c r="F3712" s="1" t="n">
        <v>0.316302</v>
      </c>
    </row>
    <row r="3713" ht="15.75" customHeight="1" s="201">
      <c r="A3713" s="1" t="n">
        <v>75141100</v>
      </c>
      <c r="B3713" s="1" t="inlineStr">
        <is>
          <t>Cabbage salad or coleslaw with apples and/or raisins, with dressing (Includes vegetable and fruit salad, with cabbage and apple; made with any dressing)</t>
        </is>
      </c>
      <c r="C3713" s="1" t="n">
        <v>4</v>
      </c>
      <c r="D3713" s="1" t="inlineStr">
        <is>
          <t>FNDDS recipe with replaced or modified SR codes</t>
        </is>
      </c>
      <c r="E3713" s="1" t="inlineStr">
        <is>
          <t>Base</t>
        </is>
      </c>
      <c r="F3713" s="1" t="n">
        <v>0.36917</v>
      </c>
    </row>
    <row r="3714" ht="15.75" customHeight="1" s="201">
      <c r="A3714" s="1" t="n">
        <v>75141200</v>
      </c>
      <c r="B3714" s="1" t="inlineStr">
        <is>
          <t>Cabbage salad or coleslaw with pineapple, with dressing (Includes made with any dressing)</t>
        </is>
      </c>
      <c r="C3714" s="1" t="n">
        <v>4</v>
      </c>
      <c r="D3714" s="1" t="inlineStr">
        <is>
          <t>FNDDS recipe with replaced or modified SR codes</t>
        </is>
      </c>
      <c r="E3714" s="1" t="inlineStr">
        <is>
          <t>Base</t>
        </is>
      </c>
      <c r="F3714" s="1" t="n">
        <v>0.357058</v>
      </c>
    </row>
    <row r="3715" ht="15.75" customHeight="1" s="201">
      <c r="A3715" s="1" t="n">
        <v>75142500</v>
      </c>
      <c r="B3715" s="1" t="inlineStr">
        <is>
          <t>Cucumber salad, made with sour cream dressing (Includes cucumbers with sour cream or mayonnaise)</t>
        </is>
      </c>
      <c r="C3715" s="1" t="n">
        <v>4</v>
      </c>
      <c r="D3715" s="1" t="inlineStr">
        <is>
          <t>FNDDS recipe with replaced or modified SR codes</t>
        </is>
      </c>
      <c r="E3715" s="1" t="inlineStr">
        <is>
          <t>Base</t>
        </is>
      </c>
      <c r="F3715" s="1" t="n">
        <v>0.383615</v>
      </c>
    </row>
    <row r="3716" ht="15.75" customHeight="1" s="201">
      <c r="A3716" s="1" t="n">
        <v>75142550</v>
      </c>
      <c r="B3716" s="1" t="inlineStr">
        <is>
          <t>Cucumber salad, made with Italian dressing (Includes with onions; with vinegar and oil; with vinaigrette; with Greek dressing; with onion or Vidalia onion dressing; with Champagne dressing; with celery seed dressing; with red wine, balsamic, or raspberry vinegar dressing)</t>
        </is>
      </c>
      <c r="C3716" s="1" t="n">
        <v>4</v>
      </c>
      <c r="D3716" s="1" t="inlineStr">
        <is>
          <t>FNDDS recipe with replaced or modified SR codes</t>
        </is>
      </c>
      <c r="E3716" s="1" t="inlineStr">
        <is>
          <t>Base</t>
        </is>
      </c>
      <c r="F3716" s="1" t="n">
        <v>0.316891</v>
      </c>
    </row>
    <row r="3717" ht="15.75" customHeight="1" s="201">
      <c r="A3717" s="1" t="n">
        <v>75142600</v>
      </c>
      <c r="B3717" s="1" t="inlineStr">
        <is>
          <t>Cucumber salad made with cucumber and vinegar (Includes with onions)</t>
        </is>
      </c>
      <c r="C3717" s="1" t="n">
        <v>4</v>
      </c>
      <c r="D3717" s="1" t="inlineStr">
        <is>
          <t>FNDDS recipe with replaced or modified SR codes</t>
        </is>
      </c>
      <c r="E3717" s="1" t="inlineStr">
        <is>
          <t>Base</t>
        </is>
      </c>
      <c r="F3717" s="1" t="n">
        <v>0.307178</v>
      </c>
    </row>
    <row r="3718" ht="15.75" customHeight="1" s="201">
      <c r="A3718" s="1" t="n">
        <v>75143000</v>
      </c>
      <c r="B3718" s="1" t="inlineStr">
        <is>
          <t>Lettuce, salad with assorted vegetables including tomatoes and/or carrots, no dressing (Includes lettuce salad, NFS; Burger King Side Salad; Hardee's Side Salad; McDonald's Side Salad; Wendy's Side Salad)</t>
        </is>
      </c>
      <c r="C3718" s="1" t="n">
        <v>1</v>
      </c>
      <c r="D3718" s="1" t="inlineStr">
        <is>
          <t>Links to FNDDS</t>
        </is>
      </c>
      <c r="E3718" s="1" t="inlineStr">
        <is>
          <t>Base</t>
        </is>
      </c>
      <c r="F3718" s="1" t="n">
        <v>0.589913</v>
      </c>
    </row>
    <row r="3719" ht="15.75" customHeight="1" s="201">
      <c r="A3719" s="1" t="n">
        <v>75143050</v>
      </c>
      <c r="B3719" s="1" t="inlineStr">
        <is>
          <t>Lettuce, salad with assorted vegetables excluding tomatoes and carrots, no dressing</t>
        </is>
      </c>
      <c r="C3719" s="1" t="n">
        <v>2</v>
      </c>
      <c r="D3719" s="1" t="inlineStr">
        <is>
          <t>Links to altEC</t>
        </is>
      </c>
      <c r="E3719" s="1" t="inlineStr">
        <is>
          <t>Base</t>
        </is>
      </c>
      <c r="F3719" s="1" t="n">
        <v>0.589913</v>
      </c>
    </row>
    <row r="3720" ht="15.75" customHeight="1" s="201">
      <c r="A3720" s="1" t="n">
        <v>75143200</v>
      </c>
      <c r="B3720" s="1" t="inlineStr">
        <is>
          <t>Lettuce, salad with cheese, tomato and/or carrots, with or without other vegetables, no dressing</t>
        </is>
      </c>
      <c r="C3720" s="1" t="n">
        <v>2</v>
      </c>
      <c r="D3720" s="1" t="inlineStr">
        <is>
          <t>Links to altEC</t>
        </is>
      </c>
      <c r="E3720" s="1" t="inlineStr">
        <is>
          <t>Base</t>
        </is>
      </c>
      <c r="F3720" s="1" t="n">
        <v>0.593924</v>
      </c>
    </row>
    <row r="3721" ht="15.75" customHeight="1" s="201">
      <c r="A3721" s="1" t="n">
        <v>75143300</v>
      </c>
      <c r="B3721" s="1" t="inlineStr">
        <is>
          <t>Lettuce, salad with egg, tomato, and/or carrots, with or without other vegetables, no dressing</t>
        </is>
      </c>
      <c r="C3721" s="1" t="n">
        <v>2</v>
      </c>
      <c r="D3721" s="1" t="inlineStr">
        <is>
          <t>Links to altEC</t>
        </is>
      </c>
      <c r="E3721" s="1" t="inlineStr">
        <is>
          <t>Base</t>
        </is>
      </c>
      <c r="F3721" s="1" t="n">
        <v>0.593924</v>
      </c>
    </row>
    <row r="3722" ht="15.75" customHeight="1" s="201">
      <c r="A3722" s="1" t="n">
        <v>75143350</v>
      </c>
      <c r="B3722" s="1" t="inlineStr">
        <is>
          <t>Lettuce, salad with egg, cheese, tomato, and/or carrots, with or without other vegetables, no dressing (Includes McDonald's Garden Salad)</t>
        </is>
      </c>
      <c r="C3722" s="1" t="n">
        <v>1</v>
      </c>
      <c r="D3722" s="1" t="inlineStr">
        <is>
          <t>Links to FNDDS</t>
        </is>
      </c>
      <c r="E3722" s="1" t="inlineStr">
        <is>
          <t>Base</t>
        </is>
      </c>
      <c r="F3722" s="1" t="n">
        <v>1.427774</v>
      </c>
    </row>
    <row r="3723" ht="15.75" customHeight="1" s="201">
      <c r="A3723" s="1" t="n">
        <v>75200700</v>
      </c>
      <c r="B3723" s="1" t="inlineStr">
        <is>
          <t>Aloe vera juice drink</t>
        </is>
      </c>
      <c r="C3723" s="1" t="n">
        <v>1</v>
      </c>
      <c r="D3723" s="1" t="inlineStr">
        <is>
          <t>Links to FNDDS</t>
        </is>
      </c>
      <c r="E3723" s="1" t="inlineStr">
        <is>
          <t>Base</t>
        </is>
      </c>
      <c r="F3723" s="1" t="n">
        <v>0.204778</v>
      </c>
    </row>
    <row r="3724" ht="15.75" customHeight="1" s="201">
      <c r="A3724" s="1" t="n">
        <v>75201011</v>
      </c>
      <c r="B3724" s="1" t="inlineStr">
        <is>
          <t>Artichoke, fresh, cooked, no added fat (Includes cooking spray)</t>
        </is>
      </c>
      <c r="C3724" s="1" t="n">
        <v>3</v>
      </c>
      <c r="D3724" s="1" t="inlineStr">
        <is>
          <t>Original FNDDS recipe</t>
        </is>
      </c>
      <c r="E3724" s="1" t="inlineStr">
        <is>
          <t>Base</t>
        </is>
      </c>
      <c r="F3724" s="1" t="n">
        <v>1.343637</v>
      </c>
    </row>
    <row r="3725" ht="15.75" customHeight="1" s="201">
      <c r="A3725" s="1" t="n">
        <v>75201020</v>
      </c>
      <c r="B3725" s="1" t="inlineStr">
        <is>
          <t>Artichokes, NS as to form, cooked (Includes artichoke hearts; with or without fat)</t>
        </is>
      </c>
      <c r="C3725" s="1" t="n">
        <v>4</v>
      </c>
      <c r="D3725" s="1" t="inlineStr">
        <is>
          <t>FNDDS recipe with replaced or modified SR codes</t>
        </is>
      </c>
      <c r="E3725" s="1" t="inlineStr">
        <is>
          <t>Base</t>
        </is>
      </c>
      <c r="F3725" s="1" t="n">
        <v>1.31896</v>
      </c>
    </row>
    <row r="3726" ht="15.75" customHeight="1" s="201">
      <c r="A3726" s="1" t="n">
        <v>75202011</v>
      </c>
      <c r="B3726" s="1" t="inlineStr">
        <is>
          <t>Asparagus, fresh, cooked, no added fat (Includes cooking spray)</t>
        </is>
      </c>
      <c r="C3726" s="1" t="n">
        <v>2</v>
      </c>
      <c r="D3726" s="1" t="inlineStr">
        <is>
          <t>Links to altEC</t>
        </is>
      </c>
      <c r="E3726" s="1" t="inlineStr">
        <is>
          <t>Base</t>
        </is>
      </c>
      <c r="F3726" s="1" t="n">
        <v>1.329672</v>
      </c>
    </row>
    <row r="3727" ht="15.75" customHeight="1" s="201">
      <c r="A3727" s="1" t="n">
        <v>75202012</v>
      </c>
      <c r="B3727" s="1" t="inlineStr">
        <is>
          <t>Asparagus, frozen, cooked, no added fat (Includes cooking spray)</t>
        </is>
      </c>
      <c r="C3727" s="1" t="n">
        <v>2</v>
      </c>
      <c r="D3727" s="1" t="inlineStr">
        <is>
          <t>Links to altEC</t>
        </is>
      </c>
      <c r="E3727" s="1" t="inlineStr">
        <is>
          <t>Base</t>
        </is>
      </c>
      <c r="F3727" s="1" t="n">
        <v>1.288045</v>
      </c>
    </row>
    <row r="3728" ht="15.75" customHeight="1" s="201">
      <c r="A3728" s="1" t="n">
        <v>75202020</v>
      </c>
      <c r="B3728" s="1" t="inlineStr">
        <is>
          <t>Asparagus, NS as to form, cooked (Includes with or without fat)</t>
        </is>
      </c>
      <c r="C3728" s="1" t="n">
        <v>2</v>
      </c>
      <c r="D3728" s="1" t="inlineStr">
        <is>
          <t>Links to altEC</t>
        </is>
      </c>
      <c r="E3728" s="1" t="inlineStr">
        <is>
          <t>Base</t>
        </is>
      </c>
      <c r="F3728" s="1" t="n">
        <v>1.322083</v>
      </c>
    </row>
    <row r="3729" ht="15.75" customHeight="1" s="201">
      <c r="A3729" s="1" t="n">
        <v>75202021</v>
      </c>
      <c r="B3729" s="1" t="inlineStr">
        <is>
          <t>Asparagus, fresh, cooked, fat added, NS as to fat type (Includes NS as to fat added)</t>
        </is>
      </c>
      <c r="C3729" s="1" t="n">
        <v>4</v>
      </c>
      <c r="D3729" s="1" t="inlineStr">
        <is>
          <t>FNDDS recipe with replaced or modified SR codes</t>
        </is>
      </c>
      <c r="E3729" s="1" t="inlineStr">
        <is>
          <t>Base</t>
        </is>
      </c>
      <c r="F3729" s="1" t="n">
        <v>1.297762</v>
      </c>
    </row>
    <row r="3730" ht="15.75" customHeight="1" s="201">
      <c r="A3730" s="1" t="n">
        <v>75202027</v>
      </c>
      <c r="B3730" s="1" t="inlineStr">
        <is>
          <t>Asparagus, fresh, cooked with oil</t>
        </is>
      </c>
      <c r="C3730" s="1" t="n">
        <v>4</v>
      </c>
      <c r="D3730" s="1" t="inlineStr">
        <is>
          <t>FNDDS recipe with replaced or modified SR codes</t>
        </is>
      </c>
      <c r="E3730" s="1" t="inlineStr">
        <is>
          <t>Base</t>
        </is>
      </c>
      <c r="F3730" s="1" t="n">
        <v>1.295399</v>
      </c>
    </row>
    <row r="3731" ht="15.75" customHeight="1" s="201">
      <c r="A3731" s="1" t="n">
        <v>75202028</v>
      </c>
      <c r="B3731" s="1" t="inlineStr">
        <is>
          <t>Asparagus, fresh, cooked with butter or margarine (Includes animal fat; shortening; from restaurant)</t>
        </is>
      </c>
      <c r="C3731" s="1" t="n">
        <v>4</v>
      </c>
      <c r="D3731" s="1" t="inlineStr">
        <is>
          <t>FNDDS recipe with replaced or modified SR codes</t>
        </is>
      </c>
      <c r="E3731" s="1" t="inlineStr">
        <is>
          <t>Base</t>
        </is>
      </c>
      <c r="F3731" s="1" t="n">
        <v>1.300124</v>
      </c>
    </row>
    <row r="3732" ht="15.75" customHeight="1" s="201">
      <c r="A3732" s="1" t="n">
        <v>75203028</v>
      </c>
      <c r="B3732" s="1" t="inlineStr">
        <is>
          <t>Bamboo shoots, cooked (Includes with or without fat)</t>
        </is>
      </c>
      <c r="C3732" s="1" t="n">
        <v>4</v>
      </c>
      <c r="D3732" s="1" t="inlineStr">
        <is>
          <t>FNDDS recipe with replaced or modified SR codes</t>
        </is>
      </c>
      <c r="E3732" s="1" t="inlineStr">
        <is>
          <t>Base</t>
        </is>
      </c>
      <c r="F3732" s="1" t="n">
        <v>0.7560210000000001</v>
      </c>
    </row>
    <row r="3733" ht="15.75" customHeight="1" s="201">
      <c r="A3733" s="1" t="n">
        <v>75204022</v>
      </c>
      <c r="B3733" s="1" t="inlineStr">
        <is>
          <t>Lima beans, from frozen, fat added (Includes butter beans; NS as to fat; NS as to meat)</t>
        </is>
      </c>
      <c r="C3733" s="1" t="n">
        <v>4</v>
      </c>
      <c r="D3733" s="1" t="inlineStr">
        <is>
          <t>FNDDS recipe with replaced or modified SR codes</t>
        </is>
      </c>
      <c r="E3733" s="1" t="inlineStr">
        <is>
          <t>Base</t>
        </is>
      </c>
      <c r="F3733" s="1" t="n">
        <v>0.387696</v>
      </c>
    </row>
    <row r="3734" ht="15.75" customHeight="1" s="201">
      <c r="A3734" s="1" t="n">
        <v>75204023</v>
      </c>
      <c r="B3734" s="1" t="inlineStr">
        <is>
          <t>Lima beans, from canned (Includes butter beans; with or without fat; NS as to meat)</t>
        </is>
      </c>
      <c r="C3734" s="1" t="n">
        <v>4</v>
      </c>
      <c r="D3734" s="1" t="inlineStr">
        <is>
          <t>FNDDS recipe with replaced or modified SR codes</t>
        </is>
      </c>
      <c r="E3734" s="1" t="inlineStr">
        <is>
          <t>Base</t>
        </is>
      </c>
      <c r="F3734" s="1" t="n">
        <v>0.387035</v>
      </c>
    </row>
    <row r="3735" ht="15.75" customHeight="1" s="201">
      <c r="A3735" s="1" t="n">
        <v>75205005</v>
      </c>
      <c r="B3735" s="1" t="inlineStr">
        <is>
          <t>Green beans, cooked, from restaurant (Includes string beans)</t>
        </is>
      </c>
      <c r="C3735" s="1" t="n">
        <v>4</v>
      </c>
      <c r="D3735" s="1" t="inlineStr">
        <is>
          <t>FNDDS recipe with replaced or modified SR codes</t>
        </is>
      </c>
      <c r="E3735" s="1" t="inlineStr">
        <is>
          <t>Base</t>
        </is>
      </c>
      <c r="F3735" s="1" t="n">
        <v>0.64208</v>
      </c>
    </row>
    <row r="3736" ht="15.75" customHeight="1" s="201">
      <c r="A3736" s="1" t="n">
        <v>75205021</v>
      </c>
      <c r="B3736" s="1" t="inlineStr">
        <is>
          <t>Green beans, fresh, cooked, no added fat (Includes Italian beans; string; pole; snap; french cut; cooking spray)</t>
        </is>
      </c>
      <c r="C3736" s="1" t="n">
        <v>2</v>
      </c>
      <c r="D3736" s="1" t="inlineStr">
        <is>
          <t>Links to altEC</t>
        </is>
      </c>
      <c r="E3736" s="1" t="inlineStr">
        <is>
          <t>Base</t>
        </is>
      </c>
      <c r="F3736" s="1" t="n">
        <v>0.655567</v>
      </c>
    </row>
    <row r="3737" ht="15.75" customHeight="1" s="201">
      <c r="A3737" s="1" t="n">
        <v>75205022</v>
      </c>
      <c r="B3737" s="1" t="inlineStr">
        <is>
          <t>Green beans, frozen, cooked, no added fat (Includes Italian beans; string; pole; snap; french cut; cooking spray)</t>
        </is>
      </c>
      <c r="C3737" s="1" t="n">
        <v>2</v>
      </c>
      <c r="D3737" s="1" t="inlineStr">
        <is>
          <t>Links to altEC</t>
        </is>
      </c>
      <c r="E3737" s="1" t="inlineStr">
        <is>
          <t>Base</t>
        </is>
      </c>
      <c r="F3737" s="1" t="n">
        <v>0.425944</v>
      </c>
    </row>
    <row r="3738" ht="15.75" customHeight="1" s="201">
      <c r="A3738" s="1" t="n">
        <v>75205023</v>
      </c>
      <c r="B3738" s="1" t="inlineStr">
        <is>
          <t>Green beans, canned, cooked, no added fat (Includes Italian beans; string; pole; snap; french cut; cooking spray)</t>
        </is>
      </c>
      <c r="C3738" s="1" t="n">
        <v>1</v>
      </c>
      <c r="D3738" s="1" t="inlineStr">
        <is>
          <t>Links to FNDDS</t>
        </is>
      </c>
      <c r="E3738" s="1" t="inlineStr">
        <is>
          <t>Base</t>
        </is>
      </c>
      <c r="F3738" s="1" t="n">
        <v>0.31719</v>
      </c>
    </row>
    <row r="3739" ht="15.75" customHeight="1" s="201">
      <c r="A3739" s="1" t="n">
        <v>75205030</v>
      </c>
      <c r="B3739" s="1" t="inlineStr">
        <is>
          <t>Green beans, NS as to form, cooked (Includes Italian beans; string; pole; snap; french cut; with or without fat)</t>
        </is>
      </c>
      <c r="C3739" s="1" t="n">
        <v>4</v>
      </c>
      <c r="D3739" s="1" t="inlineStr">
        <is>
          <t>FNDDS recipe with replaced or modified SR codes</t>
        </is>
      </c>
      <c r="E3739" s="1" t="inlineStr">
        <is>
          <t>Base</t>
        </is>
      </c>
      <c r="F3739" s="1" t="n">
        <v>0.438651</v>
      </c>
    </row>
    <row r="3740" ht="15.75" customHeight="1" s="201">
      <c r="A3740" s="1" t="n">
        <v>75205031</v>
      </c>
      <c r="B3740" s="1" t="inlineStr">
        <is>
          <t>Green beans, fresh, cooked, fat added, NS as to fat type (Includes Italian beans; NS as to fat added; string; pole; snap; french cut)</t>
        </is>
      </c>
      <c r="C3740" s="1" t="n">
        <v>4</v>
      </c>
      <c r="D3740" s="1" t="inlineStr">
        <is>
          <t>FNDDS recipe with replaced or modified SR codes</t>
        </is>
      </c>
      <c r="E3740" s="1" t="inlineStr">
        <is>
          <t>Base</t>
        </is>
      </c>
      <c r="F3740" s="1" t="n">
        <v>0.645288</v>
      </c>
    </row>
    <row r="3741" ht="15.75" customHeight="1" s="201">
      <c r="A3741" s="1" t="n">
        <v>75205032</v>
      </c>
      <c r="B3741" s="1" t="inlineStr">
        <is>
          <t>Green beans, frozen, cooked, fat added, NS as to fat type (Includes Italian beans; NS as to fat added; string; pole; snap; french cut)</t>
        </is>
      </c>
      <c r="C3741" s="1" t="n">
        <v>4</v>
      </c>
      <c r="D3741" s="1" t="inlineStr">
        <is>
          <t>FNDDS recipe with replaced or modified SR codes</t>
        </is>
      </c>
      <c r="E3741" s="1" t="inlineStr">
        <is>
          <t>Base</t>
        </is>
      </c>
      <c r="F3741" s="1" t="n">
        <v>0.43971</v>
      </c>
    </row>
    <row r="3742" ht="15.75" customHeight="1" s="201">
      <c r="A3742" s="1" t="n">
        <v>75205033</v>
      </c>
      <c r="B3742" s="1" t="inlineStr">
        <is>
          <t>Green beans, canned, cooked, fat added, NS as to fat type (Includes Italian beans; NS as to fat added; string; pole; snap; french cut)</t>
        </is>
      </c>
      <c r="C3742" s="1" t="n">
        <v>4</v>
      </c>
      <c r="D3742" s="1" t="inlineStr">
        <is>
          <t>FNDDS recipe with replaced or modified SR codes</t>
        </is>
      </c>
      <c r="E3742" s="1" t="inlineStr">
        <is>
          <t>Base</t>
        </is>
      </c>
      <c r="F3742" s="1" t="n">
        <v>0.322338</v>
      </c>
    </row>
    <row r="3743" ht="15.75" customHeight="1" s="201">
      <c r="A3743" s="1" t="n">
        <v>75205044</v>
      </c>
      <c r="B3743" s="1" t="inlineStr">
        <is>
          <t>Green beans, fresh, cooked with oil (Includes Italian beans; string; pole; snap; french cut)</t>
        </is>
      </c>
      <c r="C3743" s="1" t="n">
        <v>4</v>
      </c>
      <c r="D3743" s="1" t="inlineStr">
        <is>
          <t>FNDDS recipe with replaced or modified SR codes</t>
        </is>
      </c>
      <c r="E3743" s="1" t="inlineStr">
        <is>
          <t>Base</t>
        </is>
      </c>
      <c r="F3743" s="1" t="n">
        <v>0.642999</v>
      </c>
    </row>
    <row r="3744" ht="15.75" customHeight="1" s="201">
      <c r="A3744" s="1" t="n">
        <v>75205045</v>
      </c>
      <c r="B3744" s="1" t="inlineStr">
        <is>
          <t>Green beans, fresh, cooked with butter or margarine (Includes Italian beans; string; pole; snap; french cut; animal fat; shortening)</t>
        </is>
      </c>
      <c r="C3744" s="1" t="n">
        <v>4</v>
      </c>
      <c r="D3744" s="1" t="inlineStr">
        <is>
          <t>FNDDS recipe with replaced or modified SR codes</t>
        </is>
      </c>
      <c r="E3744" s="1" t="inlineStr">
        <is>
          <t>Base</t>
        </is>
      </c>
      <c r="F3744" s="1" t="n">
        <v>0.647577</v>
      </c>
    </row>
    <row r="3745" ht="15.75" customHeight="1" s="201">
      <c r="A3745" s="1" t="n">
        <v>75205047</v>
      </c>
      <c r="B3745" s="1" t="inlineStr">
        <is>
          <t>Green beans, frozen, cooked with oil (Includes Italian beans; string; pole; snap; french cut)</t>
        </is>
      </c>
      <c r="C3745" s="1" t="n">
        <v>4</v>
      </c>
      <c r="D3745" s="1" t="inlineStr">
        <is>
          <t>FNDDS recipe with replaced or modified SR codes</t>
        </is>
      </c>
      <c r="E3745" s="1" t="inlineStr">
        <is>
          <t>Base</t>
        </is>
      </c>
      <c r="F3745" s="1" t="n">
        <v>0.437513</v>
      </c>
    </row>
    <row r="3746" ht="15.75" customHeight="1" s="201">
      <c r="A3746" s="1" t="n">
        <v>75205048</v>
      </c>
      <c r="B3746" s="1" t="inlineStr">
        <is>
          <t>Green beans, frozen, cooked with butter or margarine (Includes Italian beans; string; pole; snap; french cut; animal fat; shortening)</t>
        </is>
      </c>
      <c r="C3746" s="1" t="n">
        <v>4</v>
      </c>
      <c r="D3746" s="1" t="inlineStr">
        <is>
          <t>FNDDS recipe with replaced or modified SR codes</t>
        </is>
      </c>
      <c r="E3746" s="1" t="inlineStr">
        <is>
          <t>Base</t>
        </is>
      </c>
      <c r="F3746" s="1" t="n">
        <v>0.441907</v>
      </c>
    </row>
    <row r="3747" ht="15.75" customHeight="1" s="201">
      <c r="A3747" s="1" t="n">
        <v>75205050</v>
      </c>
      <c r="B3747" s="1" t="inlineStr">
        <is>
          <t>Green beans, canned, cooked with oil (Includes Italian beans; string; pole; snap; french cut)</t>
        </is>
      </c>
      <c r="C3747" s="1" t="n">
        <v>4</v>
      </c>
      <c r="D3747" s="1" t="inlineStr">
        <is>
          <t>FNDDS recipe with replaced or modified SR codes</t>
        </is>
      </c>
      <c r="E3747" s="1" t="inlineStr">
        <is>
          <t>Base</t>
        </is>
      </c>
      <c r="F3747" s="1" t="n">
        <v>0.320134</v>
      </c>
    </row>
    <row r="3748" ht="15.75" customHeight="1" s="201">
      <c r="A3748" s="1" t="n">
        <v>75205051</v>
      </c>
      <c r="B3748" s="1" t="inlineStr">
        <is>
          <t>Green beans, canned, cooked with butter or margarine (Includes Italian beans; string; pole; snap; french cut; animal fat; shortening)</t>
        </is>
      </c>
      <c r="C3748" s="1" t="n">
        <v>4</v>
      </c>
      <c r="D3748" s="1" t="inlineStr">
        <is>
          <t>FNDDS recipe with replaced or modified SR codes</t>
        </is>
      </c>
      <c r="E3748" s="1" t="inlineStr">
        <is>
          <t>Base</t>
        </is>
      </c>
      <c r="F3748" s="1" t="n">
        <v>0.324541</v>
      </c>
    </row>
    <row r="3749" ht="15.75" customHeight="1" s="201">
      <c r="A3749" s="1" t="n">
        <v>75205120</v>
      </c>
      <c r="B3749" s="1" t="inlineStr">
        <is>
          <t>Green beans, canned, reduced sodium, cooked, no added fat (Includes Italian beans; string; pole; snap; french cut; cooking spray; no salt added)</t>
        </is>
      </c>
      <c r="C3749" s="1" t="n">
        <v>1</v>
      </c>
      <c r="D3749" s="1" t="inlineStr">
        <is>
          <t>Links to FNDDS</t>
        </is>
      </c>
      <c r="E3749" s="1" t="inlineStr">
        <is>
          <t>Base</t>
        </is>
      </c>
      <c r="F3749" s="1" t="n">
        <v>0.33684</v>
      </c>
    </row>
    <row r="3750" ht="15.75" customHeight="1" s="201">
      <c r="A3750" s="1" t="n">
        <v>75205130</v>
      </c>
      <c r="B3750" s="1" t="inlineStr">
        <is>
          <t>Green beans, canned, reduced sodium, cooked, fat added, NS as to fat type (Includes Italian beans; NS as to fat added; string; pole; snap; french cut; no salt added)</t>
        </is>
      </c>
      <c r="C3750" s="1" t="n">
        <v>4</v>
      </c>
      <c r="D3750" s="1" t="inlineStr">
        <is>
          <t>FNDDS recipe with replaced or modified SR codes</t>
        </is>
      </c>
      <c r="E3750" s="1" t="inlineStr">
        <is>
          <t>Base</t>
        </is>
      </c>
      <c r="F3750" s="1" t="n">
        <v>0.341416</v>
      </c>
    </row>
    <row r="3751" ht="15.75" customHeight="1" s="201">
      <c r="A3751" s="1" t="n">
        <v>75205132</v>
      </c>
      <c r="B3751" s="1" t="inlineStr">
        <is>
          <t>Green beans, canned, reduced sodium, cooked with butter or margarine (Includes Italian beans; string; pole; snap; french cut; animal fat; shortening; no salt added)</t>
        </is>
      </c>
      <c r="C3751" s="1" t="n">
        <v>4</v>
      </c>
      <c r="D3751" s="1" t="inlineStr">
        <is>
          <t>FNDDS recipe with replaced or modified SR codes</t>
        </is>
      </c>
      <c r="E3751" s="1" t="inlineStr">
        <is>
          <t>Base</t>
        </is>
      </c>
      <c r="F3751" s="1" t="n">
        <v>0.343619</v>
      </c>
    </row>
    <row r="3752" ht="15.75" customHeight="1" s="201">
      <c r="A3752" s="1" t="n">
        <v>75206020</v>
      </c>
      <c r="B3752" s="1" t="inlineStr">
        <is>
          <t>Yellow string beans, cooked (Includes wax beans; with or without fat)</t>
        </is>
      </c>
      <c r="C3752" s="1" t="n">
        <v>4</v>
      </c>
      <c r="D3752" s="1" t="inlineStr">
        <is>
          <t>FNDDS recipe with replaced or modified SR codes</t>
        </is>
      </c>
      <c r="E3752" s="1" t="inlineStr">
        <is>
          <t>Base</t>
        </is>
      </c>
      <c r="F3752" s="1" t="n">
        <v>1.117413</v>
      </c>
    </row>
    <row r="3753" ht="15.75" customHeight="1" s="201">
      <c r="A3753" s="1" t="n">
        <v>75207021</v>
      </c>
      <c r="B3753" s="1" t="inlineStr">
        <is>
          <t>Bean sprouts, cooked (Includes with or without fat)</t>
        </is>
      </c>
      <c r="C3753" s="1" t="n">
        <v>4</v>
      </c>
      <c r="D3753" s="1" t="inlineStr">
        <is>
          <t>FNDDS recipe with replaced or modified SR codes</t>
        </is>
      </c>
      <c r="E3753" s="1" t="inlineStr">
        <is>
          <t>Base</t>
        </is>
      </c>
      <c r="F3753" s="1" t="n">
        <v>0.7933789999999999</v>
      </c>
    </row>
    <row r="3754" ht="15.75" customHeight="1" s="201">
      <c r="A3754" s="1" t="n">
        <v>75208011</v>
      </c>
      <c r="B3754" s="1" t="inlineStr">
        <is>
          <t>Beets, fresh, cooked, no added fat (Includes cooking spray)</t>
        </is>
      </c>
      <c r="C3754" s="1" t="n">
        <v>2</v>
      </c>
      <c r="D3754" s="1" t="inlineStr">
        <is>
          <t>Links to altEC</t>
        </is>
      </c>
      <c r="E3754" s="1" t="inlineStr">
        <is>
          <t>Base</t>
        </is>
      </c>
      <c r="F3754" s="1" t="n">
        <v>0.607608</v>
      </c>
    </row>
    <row r="3755" ht="15.75" customHeight="1" s="201">
      <c r="A3755" s="1" t="n">
        <v>75208013</v>
      </c>
      <c r="B3755" s="1" t="inlineStr">
        <is>
          <t>Beets, canned, cooked, no added fat (Includes cooking spray)</t>
        </is>
      </c>
      <c r="C3755" s="1" t="n">
        <v>1</v>
      </c>
      <c r="D3755" s="1" t="inlineStr">
        <is>
          <t>Links to FNDDS</t>
        </is>
      </c>
      <c r="E3755" s="1" t="inlineStr">
        <is>
          <t>Base</t>
        </is>
      </c>
      <c r="F3755" s="1" t="n">
        <v>0.364973</v>
      </c>
    </row>
    <row r="3756" ht="15.75" customHeight="1" s="201">
      <c r="A3756" s="1" t="n">
        <v>75208020</v>
      </c>
      <c r="B3756" s="1" t="inlineStr">
        <is>
          <t>Beets, NS as to form, cooked (Includes with or without fat)</t>
        </is>
      </c>
      <c r="C3756" s="1" t="n">
        <v>2</v>
      </c>
      <c r="D3756" s="1" t="inlineStr">
        <is>
          <t>Links to altEC</t>
        </is>
      </c>
      <c r="E3756" s="1" t="inlineStr">
        <is>
          <t>Base</t>
        </is>
      </c>
      <c r="F3756" s="1" t="n">
        <v>0.607608</v>
      </c>
    </row>
    <row r="3757" ht="15.75" customHeight="1" s="201">
      <c r="A3757" s="1" t="n">
        <v>75208021</v>
      </c>
      <c r="B3757" s="1" t="inlineStr">
        <is>
          <t>Beets, fresh, cooked, fat added (Includes NS as to fat added; from restaurant)</t>
        </is>
      </c>
      <c r="C3757" s="1" t="n">
        <v>4</v>
      </c>
      <c r="D3757" s="1" t="inlineStr">
        <is>
          <t>FNDDS recipe with replaced or modified SR codes</t>
        </is>
      </c>
      <c r="E3757" s="1" t="inlineStr">
        <is>
          <t>Base</t>
        </is>
      </c>
      <c r="F3757" s="1" t="n">
        <v>0.60484</v>
      </c>
    </row>
    <row r="3758" ht="15.75" customHeight="1" s="201">
      <c r="A3758" s="1" t="n">
        <v>75208310</v>
      </c>
      <c r="B3758" s="1" t="inlineStr">
        <is>
          <t>Bitter melon, cooked (Includes Balsam pear; with or without fat)</t>
        </is>
      </c>
      <c r="C3758" s="1" t="n">
        <v>4</v>
      </c>
      <c r="D3758" s="1" t="inlineStr">
        <is>
          <t>FNDDS recipe with replaced or modified SR codes</t>
        </is>
      </c>
      <c r="E3758" s="1" t="inlineStr">
        <is>
          <t>Base</t>
        </is>
      </c>
      <c r="F3758" s="1" t="n">
        <v>0.806495</v>
      </c>
    </row>
    <row r="3759" ht="15.75" customHeight="1" s="201">
      <c r="A3759" s="1" t="n">
        <v>75209011</v>
      </c>
      <c r="B3759" s="1" t="inlineStr">
        <is>
          <t>Brussels sprouts, fresh, cooked, no added fat (Includes cooking spray)</t>
        </is>
      </c>
      <c r="C3759" s="1" t="n">
        <v>3</v>
      </c>
      <c r="D3759" s="1" t="inlineStr">
        <is>
          <t>Original FNDDS recipe</t>
        </is>
      </c>
      <c r="E3759" s="1" t="inlineStr">
        <is>
          <t>Base</t>
        </is>
      </c>
      <c r="F3759" s="1" t="n">
        <v>0.7222</v>
      </c>
    </row>
    <row r="3760" ht="15.75" customHeight="1" s="201">
      <c r="A3760" s="1" t="n">
        <v>75209020</v>
      </c>
      <c r="B3760" s="1" t="inlineStr">
        <is>
          <t>Brussels sprouts, NS as to form, cooked (Includes with or without fat)</t>
        </is>
      </c>
      <c r="C3760" s="1" t="n">
        <v>2</v>
      </c>
      <c r="D3760" s="1" t="inlineStr">
        <is>
          <t>Links to altEC</t>
        </is>
      </c>
      <c r="E3760" s="1" t="inlineStr">
        <is>
          <t>Base</t>
        </is>
      </c>
      <c r="F3760" s="1" t="n">
        <v>0.653438</v>
      </c>
    </row>
    <row r="3761" ht="15.75" customHeight="1" s="201">
      <c r="A3761" s="1" t="n">
        <v>75209021</v>
      </c>
      <c r="B3761" s="1" t="inlineStr">
        <is>
          <t>Brussels sprouts, fresh, cooked, fat added (Includes NS as to fat added; from restaurant)</t>
        </is>
      </c>
      <c r="C3761" s="1" t="n">
        <v>4</v>
      </c>
      <c r="D3761" s="1" t="inlineStr">
        <is>
          <t>FNDDS recipe with replaced or modified SR codes</t>
        </is>
      </c>
      <c r="E3761" s="1" t="inlineStr">
        <is>
          <t>Base</t>
        </is>
      </c>
      <c r="F3761" s="1" t="n">
        <v>0.716168</v>
      </c>
    </row>
    <row r="3762" ht="15.75" customHeight="1" s="201">
      <c r="A3762" s="1" t="n">
        <v>75209022</v>
      </c>
      <c r="B3762" s="1" t="inlineStr">
        <is>
          <t>Brussels sprouts, frozen, cooked, fat added (Includes NS as to fat added)</t>
        </is>
      </c>
      <c r="C3762" s="1" t="n">
        <v>4</v>
      </c>
      <c r="D3762" s="1" t="inlineStr">
        <is>
          <t>FNDDS recipe with replaced or modified SR codes</t>
        </is>
      </c>
      <c r="E3762" s="1" t="inlineStr">
        <is>
          <t>Base</t>
        </is>
      </c>
      <c r="F3762" s="1" t="n">
        <v>0.479537</v>
      </c>
    </row>
    <row r="3763" ht="15.75" customHeight="1" s="201">
      <c r="A3763" s="1" t="n">
        <v>75210010</v>
      </c>
      <c r="B3763" s="1" t="inlineStr">
        <is>
          <t>Cabbage, Chinese, cooked, no added fat (Includes bok choy; Napa; Pa-tsai; Pak-choi; cooking spray)</t>
        </is>
      </c>
      <c r="C3763" s="1" t="n">
        <v>2</v>
      </c>
      <c r="D3763" s="1" t="inlineStr">
        <is>
          <t>Links to altEC</t>
        </is>
      </c>
      <c r="E3763" s="1" t="inlineStr">
        <is>
          <t>Base</t>
        </is>
      </c>
      <c r="F3763" s="1" t="n">
        <v>0.452682</v>
      </c>
    </row>
    <row r="3764" ht="15.75" customHeight="1" s="201">
      <c r="A3764" s="1" t="n">
        <v>75210020</v>
      </c>
      <c r="B3764" s="1" t="inlineStr">
        <is>
          <t>Cabbage, Chinese, cooked, fat added (Includes bok choy; Napa; Pa-tsai; Pak-choi; NS as to fat added; from restaurant)</t>
        </is>
      </c>
      <c r="C3764" s="1" t="n">
        <v>4</v>
      </c>
      <c r="D3764" s="1" t="inlineStr">
        <is>
          <t>FNDDS recipe with replaced or modified SR codes</t>
        </is>
      </c>
      <c r="E3764" s="1" t="inlineStr">
        <is>
          <t>Base</t>
        </is>
      </c>
      <c r="F3764" s="1" t="n">
        <v>0.446341</v>
      </c>
    </row>
    <row r="3765" ht="15.75" customHeight="1" s="201">
      <c r="A3765" s="1" t="n">
        <v>75211020</v>
      </c>
      <c r="B3765" s="1" t="inlineStr">
        <is>
          <t>Cabbage, green, cooked, no added fat (Includes NS as to color; cooking spray)</t>
        </is>
      </c>
      <c r="C3765" s="1" t="n">
        <v>2</v>
      </c>
      <c r="D3765" s="1" t="inlineStr">
        <is>
          <t>Links to altEC</t>
        </is>
      </c>
      <c r="E3765" s="1" t="inlineStr">
        <is>
          <t>Base</t>
        </is>
      </c>
      <c r="F3765" s="1" t="n">
        <v>0.21396</v>
      </c>
    </row>
    <row r="3766" ht="15.75" customHeight="1" s="201">
      <c r="A3766" s="1" t="n">
        <v>75211030</v>
      </c>
      <c r="B3766" s="1" t="inlineStr">
        <is>
          <t>Cabbage, green, cooked, fat added, NS as to fat type (Includes NS as to fat added; NS as to color)</t>
        </is>
      </c>
      <c r="C3766" s="1" t="n">
        <v>4</v>
      </c>
      <c r="D3766" s="1" t="inlineStr">
        <is>
          <t>FNDDS recipe with replaced or modified SR codes</t>
        </is>
      </c>
      <c r="E3766" s="1" t="inlineStr">
        <is>
          <t>Base</t>
        </is>
      </c>
      <c r="F3766" s="1" t="n">
        <v>0.232449</v>
      </c>
    </row>
    <row r="3767" ht="15.75" customHeight="1" s="201">
      <c r="A3767" s="1" t="n">
        <v>75211031</v>
      </c>
      <c r="B3767" s="1" t="inlineStr">
        <is>
          <t>Cabbage, green, cooked with oil (Includes NS as to color)</t>
        </is>
      </c>
      <c r="C3767" s="1" t="n">
        <v>4</v>
      </c>
      <c r="D3767" s="1" t="inlineStr">
        <is>
          <t>FNDDS recipe with replaced or modified SR codes</t>
        </is>
      </c>
      <c r="E3767" s="1" t="inlineStr">
        <is>
          <t>Base</t>
        </is>
      </c>
      <c r="F3767" s="1" t="n">
        <v>0.230161</v>
      </c>
    </row>
    <row r="3768" ht="15.75" customHeight="1" s="201">
      <c r="A3768" s="1" t="n">
        <v>75211032</v>
      </c>
      <c r="B3768" s="1" t="inlineStr">
        <is>
          <t>Cabbage, green, cooked with butter or margarine (Includes NS as to color; animal fat; shortening; from restaurant)</t>
        </is>
      </c>
      <c r="C3768" s="1" t="n">
        <v>4</v>
      </c>
      <c r="D3768" s="1" t="inlineStr">
        <is>
          <t>FNDDS recipe with replaced or modified SR codes</t>
        </is>
      </c>
      <c r="E3768" s="1" t="inlineStr">
        <is>
          <t>Base</t>
        </is>
      </c>
      <c r="F3768" s="1" t="n">
        <v>0.234738</v>
      </c>
    </row>
    <row r="3769" ht="15.75" customHeight="1" s="201">
      <c r="A3769" s="1" t="n">
        <v>75212020</v>
      </c>
      <c r="B3769" s="1" t="inlineStr">
        <is>
          <t>Cabbage, red, cooked (Includes purple; with or without fat)</t>
        </is>
      </c>
      <c r="C3769" s="1" t="n">
        <v>4</v>
      </c>
      <c r="D3769" s="1" t="inlineStr">
        <is>
          <t>FNDDS recipe with replaced or modified SR codes</t>
        </is>
      </c>
      <c r="E3769" s="1" t="inlineStr">
        <is>
          <t>Base</t>
        </is>
      </c>
      <c r="F3769" s="1" t="n">
        <v>0.317979</v>
      </c>
    </row>
    <row r="3770" ht="15.75" customHeight="1" s="201">
      <c r="A3770" s="1" t="n">
        <v>75213120</v>
      </c>
      <c r="B3770" s="1" t="inlineStr">
        <is>
          <t>Cactus, cooked, fat added (Includes nopal; NS as to fat added; prickly pear; from restaurant)</t>
        </is>
      </c>
      <c r="C3770" s="1" t="n">
        <v>4</v>
      </c>
      <c r="D3770" s="1" t="inlineStr">
        <is>
          <t>FNDDS recipe with replaced or modified SR codes</t>
        </is>
      </c>
      <c r="E3770" s="1" t="inlineStr">
        <is>
          <t>Base</t>
        </is>
      </c>
      <c r="F3770" s="1" t="n">
        <v>0.410234</v>
      </c>
    </row>
    <row r="3771" ht="15.75" customHeight="1" s="201">
      <c r="A3771" s="1" t="n">
        <v>75214011</v>
      </c>
      <c r="B3771" s="1" t="inlineStr">
        <is>
          <t>Cauliflower, fresh, cooked, no added fat (Includes cooking spray)</t>
        </is>
      </c>
      <c r="C3771" s="1" t="n">
        <v>2</v>
      </c>
      <c r="D3771" s="1" t="inlineStr">
        <is>
          <t>Links to altEC</t>
        </is>
      </c>
      <c r="E3771" s="1" t="inlineStr">
        <is>
          <t>Base</t>
        </is>
      </c>
      <c r="F3771" s="1" t="n">
        <v>0.942343</v>
      </c>
    </row>
    <row r="3772" ht="15.75" customHeight="1" s="201">
      <c r="A3772" s="1" t="n">
        <v>75214012</v>
      </c>
      <c r="B3772" s="1" t="inlineStr">
        <is>
          <t>Cauliflower, frozen, cooked, no added fat (Includes cooking spray)</t>
        </is>
      </c>
      <c r="C3772" s="1" t="n">
        <v>3</v>
      </c>
      <c r="D3772" s="1" t="inlineStr">
        <is>
          <t>Original FNDDS recipe</t>
        </is>
      </c>
      <c r="E3772" s="1" t="inlineStr">
        <is>
          <t>Base</t>
        </is>
      </c>
      <c r="F3772" s="1" t="n">
        <v>0.591341</v>
      </c>
    </row>
    <row r="3773" ht="15.75" customHeight="1" s="201">
      <c r="A3773" s="1" t="n">
        <v>75214020</v>
      </c>
      <c r="B3773" s="1" t="inlineStr">
        <is>
          <t>Cauliflower, NS as to form, cooked (Includes with or without fat)</t>
        </is>
      </c>
      <c r="C3773" s="1" t="n">
        <v>2</v>
      </c>
      <c r="D3773" s="1" t="inlineStr">
        <is>
          <t>Links to altEC</t>
        </is>
      </c>
      <c r="E3773" s="1" t="inlineStr">
        <is>
          <t>Base</t>
        </is>
      </c>
      <c r="F3773" s="1" t="n">
        <v>0.88032</v>
      </c>
    </row>
    <row r="3774" ht="15.75" customHeight="1" s="201">
      <c r="A3774" s="1" t="n">
        <v>75214021</v>
      </c>
      <c r="B3774" s="1" t="inlineStr">
        <is>
          <t>Cauliflower, fresh, cooked, fat added, NS as to fat type (Includes NS as to fat added)</t>
        </is>
      </c>
      <c r="C3774" s="1" t="n">
        <v>4</v>
      </c>
      <c r="D3774" s="1" t="inlineStr">
        <is>
          <t>FNDDS recipe with replaced or modified SR codes</t>
        </is>
      </c>
      <c r="E3774" s="1" t="inlineStr">
        <is>
          <t>Base</t>
        </is>
      </c>
      <c r="F3774" s="1" t="n">
        <v>0.938272</v>
      </c>
    </row>
    <row r="3775" ht="15.75" customHeight="1" s="201">
      <c r="A3775" s="1" t="n">
        <v>75214027</v>
      </c>
      <c r="B3775" s="1" t="inlineStr">
        <is>
          <t>Cauliflower, fresh, cooked with oil</t>
        </is>
      </c>
      <c r="C3775" s="1" t="n">
        <v>4</v>
      </c>
      <c r="D3775" s="1" t="inlineStr">
        <is>
          <t>FNDDS recipe with replaced or modified SR codes</t>
        </is>
      </c>
      <c r="E3775" s="1" t="inlineStr">
        <is>
          <t>Base</t>
        </is>
      </c>
      <c r="F3775" s="1" t="n">
        <v>0.935983</v>
      </c>
    </row>
    <row r="3776" ht="15.75" customHeight="1" s="201">
      <c r="A3776" s="1" t="n">
        <v>75214028</v>
      </c>
      <c r="B3776" s="1" t="inlineStr">
        <is>
          <t>Cauliflower, fresh, cooked with butter or margarine (Includes animal fat; shortening; from restaurant)</t>
        </is>
      </c>
      <c r="C3776" s="1" t="n">
        <v>4</v>
      </c>
      <c r="D3776" s="1" t="inlineStr">
        <is>
          <t>FNDDS recipe with replaced or modified SR codes</t>
        </is>
      </c>
      <c r="E3776" s="1" t="inlineStr">
        <is>
          <t>Base</t>
        </is>
      </c>
      <c r="F3776" s="1" t="n">
        <v>0.94056</v>
      </c>
    </row>
    <row r="3777" ht="15.75" customHeight="1" s="201">
      <c r="A3777" s="1" t="n">
        <v>75214031</v>
      </c>
      <c r="B3777" s="1" t="inlineStr">
        <is>
          <t>Cauliflower, frozen, cooked with butter or margarine (Includes animal fat; shortening)</t>
        </is>
      </c>
      <c r="C3777" s="1" t="n">
        <v>4</v>
      </c>
      <c r="D3777" s="1" t="inlineStr">
        <is>
          <t>FNDDS recipe with replaced or modified SR codes</t>
        </is>
      </c>
      <c r="E3777" s="1" t="inlineStr">
        <is>
          <t>Base</t>
        </is>
      </c>
      <c r="F3777" s="1" t="n">
        <v>0.590709</v>
      </c>
    </row>
    <row r="3778" ht="15.75" customHeight="1" s="201">
      <c r="A3778" s="1" t="n">
        <v>75215020</v>
      </c>
      <c r="B3778" s="1" t="inlineStr">
        <is>
          <t>Celery, cooked (Includes with or without fat)</t>
        </is>
      </c>
      <c r="C3778" s="1" t="n">
        <v>4</v>
      </c>
      <c r="D3778" s="1" t="inlineStr">
        <is>
          <t>FNDDS recipe with replaced or modified SR codes</t>
        </is>
      </c>
      <c r="E3778" s="1" t="inlineStr">
        <is>
          <t>Base</t>
        </is>
      </c>
      <c r="F3778" s="1" t="n">
        <v>0.380341</v>
      </c>
    </row>
    <row r="3779" ht="15.75" customHeight="1" s="201">
      <c r="A3779" s="1" t="n">
        <v>75215511</v>
      </c>
      <c r="B3779" s="1" t="inlineStr">
        <is>
          <t>Christophine, cooked (Includes chayote; mirliton; with or without fat)</t>
        </is>
      </c>
      <c r="C3779" s="1" t="n">
        <v>4</v>
      </c>
      <c r="D3779" s="1" t="inlineStr">
        <is>
          <t>FNDDS recipe with replaced or modified SR codes</t>
        </is>
      </c>
      <c r="E3779" s="1" t="inlineStr">
        <is>
          <t>Base</t>
        </is>
      </c>
      <c r="F3779" s="1" t="n">
        <v>0.318112</v>
      </c>
    </row>
    <row r="3780" ht="15.75" customHeight="1" s="201">
      <c r="A3780" s="1" t="n">
        <v>75215990</v>
      </c>
      <c r="B3780" s="1" t="inlineStr">
        <is>
          <t>Corn, cooked, from restaurant</t>
        </is>
      </c>
      <c r="C3780" s="1" t="n">
        <v>4</v>
      </c>
      <c r="D3780" s="1" t="inlineStr">
        <is>
          <t>FNDDS recipe with replaced or modified SR codes</t>
        </is>
      </c>
      <c r="E3780" s="1" t="inlineStr">
        <is>
          <t>Base</t>
        </is>
      </c>
      <c r="F3780" s="1" t="n">
        <v>0.57198</v>
      </c>
    </row>
    <row r="3781" ht="15.75" customHeight="1" s="201">
      <c r="A3781" s="1" t="n">
        <v>75216111</v>
      </c>
      <c r="B3781" s="1" t="inlineStr">
        <is>
          <t>Corn, fresh, cooked, no added fat (Includes cooking spray)</t>
        </is>
      </c>
      <c r="C3781" s="1" t="n">
        <v>2</v>
      </c>
      <c r="D3781" s="1" t="inlineStr">
        <is>
          <t>Links to altEC</t>
        </is>
      </c>
      <c r="E3781" s="1" t="inlineStr">
        <is>
          <t>Base</t>
        </is>
      </c>
      <c r="F3781" s="1" t="n">
        <v>0.5774899999999999</v>
      </c>
    </row>
    <row r="3782" ht="15.75" customHeight="1" s="201">
      <c r="A3782" s="1" t="n">
        <v>75216112</v>
      </c>
      <c r="B3782" s="1" t="inlineStr">
        <is>
          <t>Corn, frozen, cooked, no added fat (Includes cooking spray)</t>
        </is>
      </c>
      <c r="C3782" s="1" t="n">
        <v>1</v>
      </c>
      <c r="D3782" s="1" t="inlineStr">
        <is>
          <t>Links to FNDDS</t>
        </is>
      </c>
      <c r="E3782" s="1" t="inlineStr">
        <is>
          <t>Base</t>
        </is>
      </c>
      <c r="F3782" s="1" t="n">
        <v>0.5212830000000001</v>
      </c>
    </row>
    <row r="3783" ht="15.75" customHeight="1" s="201">
      <c r="A3783" s="1" t="n">
        <v>75216113</v>
      </c>
      <c r="B3783" s="1" t="inlineStr">
        <is>
          <t>Corn, canned, cooked, no added fat (Includes cooking spray)</t>
        </is>
      </c>
      <c r="C3783" s="1" t="n">
        <v>1</v>
      </c>
      <c r="D3783" s="1" t="inlineStr">
        <is>
          <t>Links to FNDDS</t>
        </is>
      </c>
      <c r="E3783" s="1" t="inlineStr">
        <is>
          <t>Base</t>
        </is>
      </c>
      <c r="F3783" s="1" t="n">
        <v>0.290786</v>
      </c>
    </row>
    <row r="3784" ht="15.75" customHeight="1" s="201">
      <c r="A3784" s="1" t="n">
        <v>75216120</v>
      </c>
      <c r="B3784" s="1" t="inlineStr">
        <is>
          <t>Corn, NS as to form, cooked (Includes with or without fat)</t>
        </is>
      </c>
      <c r="C3784" s="1" t="n">
        <v>2</v>
      </c>
      <c r="D3784" s="1" t="inlineStr">
        <is>
          <t>Links to altEC</t>
        </is>
      </c>
      <c r="E3784" s="1" t="inlineStr">
        <is>
          <t>Base</t>
        </is>
      </c>
      <c r="F3784" s="1" t="n">
        <v>0.299956</v>
      </c>
    </row>
    <row r="3785" ht="15.75" customHeight="1" s="201">
      <c r="A3785" s="1" t="n">
        <v>75216121</v>
      </c>
      <c r="B3785" s="1" t="inlineStr">
        <is>
          <t>Corn, fresh, cooked, fat added, NS as to fat type (Includes NS as to fat added)</t>
        </is>
      </c>
      <c r="C3785" s="1" t="n">
        <v>4</v>
      </c>
      <c r="D3785" s="1" t="inlineStr">
        <is>
          <t>FNDDS recipe with replaced or modified SR codes</t>
        </is>
      </c>
      <c r="E3785" s="1" t="inlineStr">
        <is>
          <t>Base</t>
        </is>
      </c>
      <c r="F3785" s="1" t="n">
        <v>0.574113</v>
      </c>
    </row>
    <row r="3786" ht="15.75" customHeight="1" s="201">
      <c r="A3786" s="1" t="n">
        <v>75216122</v>
      </c>
      <c r="B3786" s="1" t="inlineStr">
        <is>
          <t>Corn, frozen, cooked, fat added, NS as to fat type (Includes NS as to fat added)</t>
        </is>
      </c>
      <c r="C3786" s="1" t="n">
        <v>4</v>
      </c>
      <c r="D3786" s="1" t="inlineStr">
        <is>
          <t>FNDDS recipe with replaced or modified SR codes</t>
        </is>
      </c>
      <c r="E3786" s="1" t="inlineStr">
        <is>
          <t>Base</t>
        </is>
      </c>
      <c r="F3786" s="1" t="n">
        <v>0.414463</v>
      </c>
    </row>
    <row r="3787" ht="15.75" customHeight="1" s="201">
      <c r="A3787" s="1" t="n">
        <v>75216123</v>
      </c>
      <c r="B3787" s="1" t="inlineStr">
        <is>
          <t>Corn, canned, cooked, fat added, NS as to fat type (Includes NS as to fat added)</t>
        </is>
      </c>
      <c r="C3787" s="1" t="n">
        <v>4</v>
      </c>
      <c r="D3787" s="1" t="inlineStr">
        <is>
          <t>FNDDS recipe with replaced or modified SR codes</t>
        </is>
      </c>
      <c r="E3787" s="1" t="inlineStr">
        <is>
          <t>Base</t>
        </is>
      </c>
      <c r="F3787" s="1" t="n">
        <v>0.296703</v>
      </c>
    </row>
    <row r="3788" ht="15.75" customHeight="1" s="201">
      <c r="A3788" s="1" t="n">
        <v>75216134</v>
      </c>
      <c r="B3788" s="1" t="inlineStr">
        <is>
          <t>Corn, fresh, cooked with oil</t>
        </is>
      </c>
      <c r="C3788" s="1" t="n">
        <v>4</v>
      </c>
      <c r="D3788" s="1" t="inlineStr">
        <is>
          <t>FNDDS recipe with replaced or modified SR codes</t>
        </is>
      </c>
      <c r="E3788" s="1" t="inlineStr">
        <is>
          <t>Base</t>
        </is>
      </c>
      <c r="F3788" s="1" t="n">
        <v>0.571916</v>
      </c>
    </row>
    <row r="3789" ht="15.75" customHeight="1" s="201">
      <c r="A3789" s="1" t="n">
        <v>75216135</v>
      </c>
      <c r="B3789" s="1" t="inlineStr">
        <is>
          <t>Corn, fresh, cooked with butter or margarine (Includes animal fat; shortening)</t>
        </is>
      </c>
      <c r="C3789" s="1" t="n">
        <v>4</v>
      </c>
      <c r="D3789" s="1" t="inlineStr">
        <is>
          <t>FNDDS recipe with replaced or modified SR codes</t>
        </is>
      </c>
      <c r="E3789" s="1" t="inlineStr">
        <is>
          <t>Base</t>
        </is>
      </c>
      <c r="F3789" s="1" t="n">
        <v>0.57631</v>
      </c>
    </row>
    <row r="3790" ht="15.75" customHeight="1" s="201">
      <c r="A3790" s="1" t="n">
        <v>75216137</v>
      </c>
      <c r="B3790" s="1" t="inlineStr">
        <is>
          <t>Corn, frozen, cooked with oil</t>
        </is>
      </c>
      <c r="C3790" s="1" t="n">
        <v>4</v>
      </c>
      <c r="D3790" s="1" t="inlineStr">
        <is>
          <t>FNDDS recipe with replaced or modified SR codes</t>
        </is>
      </c>
      <c r="E3790" s="1" t="inlineStr">
        <is>
          <t>Base</t>
        </is>
      </c>
      <c r="F3790" s="1" t="n">
        <v>0.412266</v>
      </c>
    </row>
    <row r="3791" ht="15.75" customHeight="1" s="201">
      <c r="A3791" s="1" t="n">
        <v>75216138</v>
      </c>
      <c r="B3791" s="1" t="inlineStr">
        <is>
          <t>Corn, frozen, cooked with butter or margarine (Includes animal fat; shortening)</t>
        </is>
      </c>
      <c r="C3791" s="1" t="n">
        <v>4</v>
      </c>
      <c r="D3791" s="1" t="inlineStr">
        <is>
          <t>FNDDS recipe with replaced or modified SR codes</t>
        </is>
      </c>
      <c r="E3791" s="1" t="inlineStr">
        <is>
          <t>Base</t>
        </is>
      </c>
      <c r="F3791" s="1" t="n">
        <v>0.41666</v>
      </c>
    </row>
    <row r="3792" ht="15.75" customHeight="1" s="201">
      <c r="A3792" s="1" t="n">
        <v>75216141</v>
      </c>
      <c r="B3792" s="1" t="inlineStr">
        <is>
          <t>Corn, canned, cooked with oil</t>
        </is>
      </c>
      <c r="C3792" s="1" t="n">
        <v>4</v>
      </c>
      <c r="D3792" s="1" t="inlineStr">
        <is>
          <t>FNDDS recipe with replaced or modified SR codes</t>
        </is>
      </c>
      <c r="E3792" s="1" t="inlineStr">
        <is>
          <t>Base</t>
        </is>
      </c>
      <c r="F3792" s="1" t="n">
        <v>0.294499</v>
      </c>
    </row>
    <row r="3793" ht="15.75" customHeight="1" s="201">
      <c r="A3793" s="1" t="n">
        <v>75216142</v>
      </c>
      <c r="B3793" s="1" t="inlineStr">
        <is>
          <t>Corn, canned, cooked with butter or margarine (Includes animal fat; shortening)</t>
        </is>
      </c>
      <c r="C3793" s="1" t="n">
        <v>4</v>
      </c>
      <c r="D3793" s="1" t="inlineStr">
        <is>
          <t>FNDDS recipe with replaced or modified SR codes</t>
        </is>
      </c>
      <c r="E3793" s="1" t="inlineStr">
        <is>
          <t>Base</t>
        </is>
      </c>
      <c r="F3793" s="1" t="n">
        <v>0.298906</v>
      </c>
    </row>
    <row r="3794" ht="15.75" customHeight="1" s="201">
      <c r="A3794" s="1" t="n">
        <v>75216153</v>
      </c>
      <c r="B3794" s="1" t="inlineStr">
        <is>
          <t>Corn, creamed</t>
        </is>
      </c>
      <c r="C3794" s="1" t="n">
        <v>1</v>
      </c>
      <c r="D3794" s="1" t="inlineStr">
        <is>
          <t>Links to FNDDS</t>
        </is>
      </c>
      <c r="E3794" s="1" t="inlineStr">
        <is>
          <t>Base</t>
        </is>
      </c>
      <c r="F3794" s="1" t="n">
        <v>0.201558</v>
      </c>
    </row>
    <row r="3795" ht="15.75" customHeight="1" s="201">
      <c r="A3795" s="1" t="n">
        <v>75216310</v>
      </c>
      <c r="B3795" s="1" t="inlineStr">
        <is>
          <t>Corn, canned, reduced sodium, cooked, no added fat (Includes cooking spray; no salt added)</t>
        </is>
      </c>
      <c r="C3795" s="1" t="n">
        <v>1</v>
      </c>
      <c r="D3795" s="1" t="inlineStr">
        <is>
          <t>Links to FNDDS</t>
        </is>
      </c>
      <c r="E3795" s="1" t="inlineStr">
        <is>
          <t>Base</t>
        </is>
      </c>
      <c r="F3795" s="1" t="n">
        <v>0.195407</v>
      </c>
    </row>
    <row r="3796" ht="15.75" customHeight="1" s="201">
      <c r="A3796" s="1" t="n">
        <v>75216320</v>
      </c>
      <c r="B3796" s="1" t="inlineStr">
        <is>
          <t>Corn, canned, reduced sodium, cooked, fat added, NS as to fat type (Includes NS as to fat added; no salt added)</t>
        </is>
      </c>
      <c r="C3796" s="1" t="n">
        <v>4</v>
      </c>
      <c r="D3796" s="1" t="inlineStr">
        <is>
          <t>FNDDS recipe with replaced or modified SR codes</t>
        </is>
      </c>
      <c r="E3796" s="1" t="inlineStr">
        <is>
          <t>Base</t>
        </is>
      </c>
      <c r="F3796" s="1" t="n">
        <v>0.446173</v>
      </c>
    </row>
    <row r="3797" ht="15.75" customHeight="1" s="201">
      <c r="A3797" s="1" t="n">
        <v>75216322</v>
      </c>
      <c r="B3797" s="1" t="inlineStr">
        <is>
          <t>Corn, canned, reduced sodium, cooked with butter or margarine (Includes animal fat; shortening; no salt added)</t>
        </is>
      </c>
      <c r="C3797" s="1" t="n">
        <v>4</v>
      </c>
      <c r="D3797" s="1" t="inlineStr">
        <is>
          <t>FNDDS recipe with replaced or modified SR codes</t>
        </is>
      </c>
      <c r="E3797" s="1" t="inlineStr">
        <is>
          <t>Base</t>
        </is>
      </c>
      <c r="F3797" s="1" t="n">
        <v>0.448542</v>
      </c>
    </row>
    <row r="3798" ht="15.75" customHeight="1" s="201">
      <c r="A3798" s="1" t="n">
        <v>75216720</v>
      </c>
      <c r="B3798" s="1" t="inlineStr">
        <is>
          <t>Cucumber, cooked (Includes with or without fat)</t>
        </is>
      </c>
      <c r="C3798" s="1" t="n">
        <v>4</v>
      </c>
      <c r="D3798" s="1" t="inlineStr">
        <is>
          <t>FNDDS recipe with replaced or modified SR codes</t>
        </is>
      </c>
      <c r="E3798" s="1" t="inlineStr">
        <is>
          <t>Base</t>
        </is>
      </c>
      <c r="F3798" s="1" t="n">
        <v>0.417845</v>
      </c>
    </row>
    <row r="3799" ht="15.75" customHeight="1" s="201">
      <c r="A3799" s="1" t="n">
        <v>75217010</v>
      </c>
      <c r="B3799" s="1" t="inlineStr">
        <is>
          <t>Eggplant, cooked, no added fat (Includes cooking spray)</t>
        </is>
      </c>
      <c r="C3799" s="1" t="n">
        <v>3</v>
      </c>
      <c r="D3799" s="1" t="inlineStr">
        <is>
          <t>Original FNDDS recipe</t>
        </is>
      </c>
      <c r="E3799" s="1" t="inlineStr">
        <is>
          <t>Base</t>
        </is>
      </c>
      <c r="F3799" s="1" t="n">
        <v>0.522645</v>
      </c>
    </row>
    <row r="3800" ht="15.75" customHeight="1" s="201">
      <c r="A3800" s="1" t="n">
        <v>75217020</v>
      </c>
      <c r="B3800" s="1" t="inlineStr">
        <is>
          <t>Eggplant, cooked, fat added (Includes NS as to fat added; from restaurant)</t>
        </is>
      </c>
      <c r="C3800" s="1" t="n">
        <v>4</v>
      </c>
      <c r="D3800" s="1" t="inlineStr">
        <is>
          <t>FNDDS recipe with replaced or modified SR codes</t>
        </is>
      </c>
      <c r="E3800" s="1" t="inlineStr">
        <is>
          <t>Base</t>
        </is>
      </c>
      <c r="F3800" s="1" t="n">
        <v>0.522891</v>
      </c>
    </row>
    <row r="3801" ht="15.75" customHeight="1" s="201">
      <c r="A3801" s="1" t="n">
        <v>75217400</v>
      </c>
      <c r="B3801" s="1" t="inlineStr">
        <is>
          <t>Garlic, cooked</t>
        </is>
      </c>
      <c r="C3801" s="1" t="n">
        <v>1</v>
      </c>
      <c r="D3801" s="1" t="inlineStr">
        <is>
          <t>Links to FNDDS</t>
        </is>
      </c>
      <c r="E3801" s="1" t="inlineStr">
        <is>
          <t>Base</t>
        </is>
      </c>
      <c r="F3801" s="1" t="n">
        <v>3.097818</v>
      </c>
    </row>
    <row r="3802" ht="15.75" customHeight="1" s="201">
      <c r="A3802" s="1" t="n">
        <v>75217520</v>
      </c>
      <c r="B3802" s="1" t="inlineStr">
        <is>
          <t>Hominy, cooked (Includes with or without fat)</t>
        </is>
      </c>
      <c r="C3802" s="1" t="n">
        <v>4</v>
      </c>
      <c r="D3802" s="1" t="inlineStr">
        <is>
          <t>FNDDS recipe with replaced or modified SR codes</t>
        </is>
      </c>
      <c r="E3802" s="1" t="inlineStr">
        <is>
          <t>Base</t>
        </is>
      </c>
      <c r="F3802" s="1" t="n">
        <v>0.119773</v>
      </c>
    </row>
    <row r="3803" ht="15.75" customHeight="1" s="201">
      <c r="A3803" s="1" t="n">
        <v>75219011</v>
      </c>
      <c r="B3803" s="1" t="inlineStr">
        <is>
          <t>Mushrooms, fresh, cooked, no added fat (Includes cooking spray)</t>
        </is>
      </c>
      <c r="C3803" s="1" t="n">
        <v>3</v>
      </c>
      <c r="D3803" s="1" t="inlineStr">
        <is>
          <t>Original FNDDS recipe</t>
        </is>
      </c>
      <c r="E3803" s="1" t="inlineStr">
        <is>
          <t>Base</t>
        </is>
      </c>
      <c r="F3803" s="1" t="n">
        <v>1.085732</v>
      </c>
    </row>
    <row r="3804" ht="15.75" customHeight="1" s="201">
      <c r="A3804" s="1" t="n">
        <v>75219020</v>
      </c>
      <c r="B3804" s="1" t="inlineStr">
        <is>
          <t>Mushrooms, NS as to form, cooked (Includes with or without fat)</t>
        </is>
      </c>
      <c r="C3804" s="1" t="n">
        <v>2</v>
      </c>
      <c r="D3804" s="1" t="inlineStr">
        <is>
          <t>Links to altEC</t>
        </is>
      </c>
      <c r="E3804" s="1" t="inlineStr">
        <is>
          <t>Base</t>
        </is>
      </c>
      <c r="F3804" s="1" t="n">
        <v>1.088921</v>
      </c>
    </row>
    <row r="3805" ht="15.75" customHeight="1" s="201">
      <c r="A3805" s="1" t="n">
        <v>75219021</v>
      </c>
      <c r="B3805" s="1" t="inlineStr">
        <is>
          <t>Mushrooms, fresh, cooked, fat added, NS as to fat type (Includes NS as to fat added)</t>
        </is>
      </c>
      <c r="C3805" s="1" t="n">
        <v>4</v>
      </c>
      <c r="D3805" s="1" t="inlineStr">
        <is>
          <t>FNDDS recipe with replaced or modified SR codes</t>
        </is>
      </c>
      <c r="E3805" s="1" t="inlineStr">
        <is>
          <t>Base</t>
        </is>
      </c>
      <c r="F3805" s="1" t="n">
        <v>1.072132</v>
      </c>
    </row>
    <row r="3806" ht="15.75" customHeight="1" s="201">
      <c r="A3806" s="1" t="n">
        <v>75219023</v>
      </c>
      <c r="B3806" s="1" t="inlineStr">
        <is>
          <t>Mushrooms, canned, cooked (Includes with or without fat; frozen)</t>
        </is>
      </c>
      <c r="C3806" s="1" t="n">
        <v>4</v>
      </c>
      <c r="D3806" s="1" t="inlineStr">
        <is>
          <t>FNDDS recipe with replaced or modified SR codes</t>
        </is>
      </c>
      <c r="E3806" s="1" t="inlineStr">
        <is>
          <t>Base</t>
        </is>
      </c>
      <c r="F3806" s="1" t="n">
        <v>0.635406</v>
      </c>
    </row>
    <row r="3807" ht="15.75" customHeight="1" s="201">
      <c r="A3807" s="1" t="n">
        <v>75219033</v>
      </c>
      <c r="B3807" s="1" t="inlineStr">
        <is>
          <t>Mushrooms, fresh, cooked with oil</t>
        </is>
      </c>
      <c r="C3807" s="1" t="n">
        <v>4</v>
      </c>
      <c r="D3807" s="1" t="inlineStr">
        <is>
          <t>FNDDS recipe with replaced or modified SR codes</t>
        </is>
      </c>
      <c r="E3807" s="1" t="inlineStr">
        <is>
          <t>Base</t>
        </is>
      </c>
      <c r="F3807" s="1" t="n">
        <v>1.069385</v>
      </c>
    </row>
    <row r="3808" ht="15.75" customHeight="1" s="201">
      <c r="A3808" s="1" t="n">
        <v>75219034</v>
      </c>
      <c r="B3808" s="1" t="inlineStr">
        <is>
          <t>Mushrooms, fresh, cooked with butter or margarine (Includes animal fat; shortening; from restaurant)</t>
        </is>
      </c>
      <c r="C3808" s="1" t="n">
        <v>4</v>
      </c>
      <c r="D3808" s="1" t="inlineStr">
        <is>
          <t>FNDDS recipe with replaced or modified SR codes</t>
        </is>
      </c>
      <c r="E3808" s="1" t="inlineStr">
        <is>
          <t>Base</t>
        </is>
      </c>
      <c r="F3808" s="1" t="n">
        <v>1.074878</v>
      </c>
    </row>
    <row r="3809" ht="15.75" customHeight="1" s="201">
      <c r="A3809" s="1" t="n">
        <v>75219100</v>
      </c>
      <c r="B3809" s="1" t="inlineStr">
        <is>
          <t>Mushroom, Asian, cooked, from dried (Includes shiitake)</t>
        </is>
      </c>
      <c r="C3809" s="1" t="n">
        <v>3</v>
      </c>
      <c r="D3809" s="1" t="inlineStr">
        <is>
          <t>Original FNDDS recipe</t>
        </is>
      </c>
      <c r="E3809" s="1" t="inlineStr">
        <is>
          <t>Base</t>
        </is>
      </c>
      <c r="F3809" s="1" t="n">
        <v>4.140573</v>
      </c>
    </row>
    <row r="3810" ht="15.75" customHeight="1" s="201">
      <c r="A3810" s="1" t="n">
        <v>75220011</v>
      </c>
      <c r="B3810" s="1" t="inlineStr">
        <is>
          <t>Okra, fresh, cooked, no added fat (Includes cooking spray)</t>
        </is>
      </c>
      <c r="C3810" s="1" t="n">
        <v>3</v>
      </c>
      <c r="D3810" s="1" t="inlineStr">
        <is>
          <t>Original FNDDS recipe</t>
        </is>
      </c>
      <c r="E3810" s="1" t="inlineStr">
        <is>
          <t>Base</t>
        </is>
      </c>
      <c r="F3810" s="1" t="n">
        <v>0.974779</v>
      </c>
    </row>
    <row r="3811" ht="15.75" customHeight="1" s="201">
      <c r="A3811" s="1" t="n">
        <v>75220012</v>
      </c>
      <c r="B3811" s="1" t="inlineStr">
        <is>
          <t>Okra, frozen, cooked, no added fat (Includes cooking spray)</t>
        </is>
      </c>
      <c r="C3811" s="1" t="n">
        <v>4</v>
      </c>
      <c r="D3811" s="1" t="inlineStr">
        <is>
          <t>FNDDS recipe with replaced or modified SR codes</t>
        </is>
      </c>
      <c r="E3811" s="1" t="inlineStr">
        <is>
          <t>Base</t>
        </is>
      </c>
      <c r="F3811" s="1" t="n">
        <v>0.47562</v>
      </c>
    </row>
    <row r="3812" ht="15.75" customHeight="1" s="201">
      <c r="A3812" s="1" t="n">
        <v>75220020</v>
      </c>
      <c r="B3812" s="1" t="inlineStr">
        <is>
          <t>Okra, NS as to form, cooked (Includes with or without fat)</t>
        </is>
      </c>
      <c r="C3812" s="1" t="n">
        <v>2</v>
      </c>
      <c r="D3812" s="1" t="inlineStr">
        <is>
          <t>Links to altEC</t>
        </is>
      </c>
      <c r="E3812" s="1" t="inlineStr">
        <is>
          <t>Base</t>
        </is>
      </c>
      <c r="F3812" s="1" t="n">
        <v>0.924013</v>
      </c>
    </row>
    <row r="3813" ht="15.75" customHeight="1" s="201">
      <c r="A3813" s="1" t="n">
        <v>75220021</v>
      </c>
      <c r="B3813" s="1" t="inlineStr">
        <is>
          <t>Okra, fresh, cooked, fat added (Includes NS as to fat added; from restaurant)</t>
        </is>
      </c>
      <c r="C3813" s="1" t="n">
        <v>4</v>
      </c>
      <c r="D3813" s="1" t="inlineStr">
        <is>
          <t>FNDDS recipe with replaced or modified SR codes</t>
        </is>
      </c>
      <c r="E3813" s="1" t="inlineStr">
        <is>
          <t>Base</t>
        </is>
      </c>
      <c r="F3813" s="1" t="n">
        <v>0.9618949999999999</v>
      </c>
    </row>
    <row r="3814" ht="15.75" customHeight="1" s="201">
      <c r="A3814" s="1" t="n">
        <v>75220022</v>
      </c>
      <c r="B3814" s="1" t="inlineStr">
        <is>
          <t>Okra, frozen, cooked, fat added (Includes NS as to fat added)</t>
        </is>
      </c>
      <c r="C3814" s="1" t="n">
        <v>4</v>
      </c>
      <c r="D3814" s="1" t="inlineStr">
        <is>
          <t>FNDDS recipe with replaced or modified SR codes</t>
        </is>
      </c>
      <c r="E3814" s="1" t="inlineStr">
        <is>
          <t>Base</t>
        </is>
      </c>
      <c r="F3814" s="1" t="n">
        <v>0.476152</v>
      </c>
    </row>
    <row r="3815" ht="15.75" customHeight="1" s="201">
      <c r="A3815" s="1" t="n">
        <v>75220051</v>
      </c>
      <c r="B3815" s="1" t="inlineStr">
        <is>
          <t>Lettuce, cooked (Includes with or without fat)</t>
        </is>
      </c>
      <c r="C3815" s="1" t="n">
        <v>4</v>
      </c>
      <c r="D3815" s="1" t="inlineStr">
        <is>
          <t>FNDDS recipe with replaced or modified SR codes</t>
        </is>
      </c>
      <c r="E3815" s="1" t="inlineStr">
        <is>
          <t>Base</t>
        </is>
      </c>
      <c r="F3815" s="1" t="n">
        <v>0.361113</v>
      </c>
    </row>
    <row r="3816" ht="15.75" customHeight="1" s="201">
      <c r="A3816" s="1" t="n">
        <v>75221011</v>
      </c>
      <c r="B3816" s="1" t="inlineStr">
        <is>
          <t>Onions, cooked, no added fat (Includes cooking spray)</t>
        </is>
      </c>
      <c r="C3816" s="1" t="n">
        <v>2</v>
      </c>
      <c r="D3816" s="1" t="inlineStr">
        <is>
          <t>Links to altEC</t>
        </is>
      </c>
      <c r="E3816" s="1" t="inlineStr">
        <is>
          <t>Base</t>
        </is>
      </c>
      <c r="F3816" s="1" t="n">
        <v>0.308017</v>
      </c>
    </row>
    <row r="3817" ht="15.75" customHeight="1" s="201">
      <c r="A3817" s="1" t="n">
        <v>75221021</v>
      </c>
      <c r="B3817" s="1" t="inlineStr">
        <is>
          <t>Onions, cooked, fat added (Includes NS as to fat added; from restaurant)</t>
        </is>
      </c>
      <c r="C3817" s="1" t="n">
        <v>4</v>
      </c>
      <c r="D3817" s="1" t="inlineStr">
        <is>
          <t>FNDDS recipe with replaced or modified SR codes</t>
        </is>
      </c>
      <c r="E3817" s="1" t="inlineStr">
        <is>
          <t>Base</t>
        </is>
      </c>
      <c r="F3817" s="1" t="n">
        <v>0.314611</v>
      </c>
    </row>
    <row r="3818" ht="15.75" customHeight="1" s="201">
      <c r="A3818" s="1" t="n">
        <v>75221030</v>
      </c>
      <c r="B3818" s="1" t="inlineStr">
        <is>
          <t>Onions, pearl, cooked (Includes pickled or cocktail onions; with or without fat)</t>
        </is>
      </c>
      <c r="C3818" s="1" t="n">
        <v>2</v>
      </c>
      <c r="D3818" s="1" t="inlineStr">
        <is>
          <t>Links to altEC</t>
        </is>
      </c>
      <c r="E3818" s="1" t="inlineStr">
        <is>
          <t>Base</t>
        </is>
      </c>
      <c r="F3818" s="1" t="n">
        <v>0.309312</v>
      </c>
    </row>
    <row r="3819" ht="15.75" customHeight="1" s="201">
      <c r="A3819" s="1" t="n">
        <v>75221061</v>
      </c>
      <c r="B3819" s="1" t="inlineStr">
        <is>
          <t>Onions, green, cooked (Includes scallions; spring onions; with or without fat)</t>
        </is>
      </c>
      <c r="C3819" s="1" t="n">
        <v>2</v>
      </c>
      <c r="D3819" s="1" t="inlineStr">
        <is>
          <t>Links to altEC</t>
        </is>
      </c>
      <c r="E3819" s="1" t="inlineStr">
        <is>
          <t>Base</t>
        </is>
      </c>
      <c r="F3819" s="1" t="n">
        <v>0.7122230000000001</v>
      </c>
    </row>
    <row r="3820" ht="15.75" customHeight="1" s="201">
      <c r="A3820" s="1" t="n">
        <v>75221160</v>
      </c>
      <c r="B3820" s="1" t="inlineStr">
        <is>
          <t>Palm hearts, cooked (Includes with or without fat)</t>
        </is>
      </c>
      <c r="C3820" s="1" t="n">
        <v>1</v>
      </c>
      <c r="D3820" s="1" t="inlineStr">
        <is>
          <t>Links to FNDDS</t>
        </is>
      </c>
      <c r="E3820" s="1" t="inlineStr">
        <is>
          <t>Base</t>
        </is>
      </c>
      <c r="F3820" s="1" t="n">
        <v>1.275583</v>
      </c>
    </row>
    <row r="3821" ht="15.75" customHeight="1" s="201">
      <c r="A3821" s="1" t="n">
        <v>75222020</v>
      </c>
      <c r="B3821" s="1" t="inlineStr">
        <is>
          <t>Parsnips, cooked (Includes with or without fat)</t>
        </is>
      </c>
      <c r="C3821" s="1" t="n">
        <v>4</v>
      </c>
      <c r="D3821" s="1" t="inlineStr">
        <is>
          <t>FNDDS recipe with replaced or modified SR codes</t>
        </is>
      </c>
      <c r="E3821" s="1" t="inlineStr">
        <is>
          <t>Base</t>
        </is>
      </c>
      <c r="F3821" s="1" t="n">
        <v>0.627009</v>
      </c>
    </row>
    <row r="3822" ht="15.75" customHeight="1" s="201">
      <c r="A3822" s="1" t="n">
        <v>75223022</v>
      </c>
      <c r="B3822" s="1" t="inlineStr">
        <is>
          <t>Blackeyed peas, from frozen (Includes all other dried peas; with or without fat; NS as to meat)</t>
        </is>
      </c>
      <c r="C3822" s="1" t="n">
        <v>4</v>
      </c>
      <c r="D3822" s="1" t="inlineStr">
        <is>
          <t>FNDDS recipe with replaced or modified SR codes</t>
        </is>
      </c>
      <c r="E3822" s="1" t="inlineStr">
        <is>
          <t>Base</t>
        </is>
      </c>
      <c r="F3822" s="1" t="n">
        <v>0.353854</v>
      </c>
    </row>
    <row r="3823" ht="15.75" customHeight="1" s="201">
      <c r="A3823" s="1" t="n">
        <v>75223023</v>
      </c>
      <c r="B3823" s="1" t="inlineStr">
        <is>
          <t>Blackeyed peas, from canned (Includes all other dried peas; with or without fat; NS as to meat)</t>
        </is>
      </c>
      <c r="C3823" s="1" t="n">
        <v>1</v>
      </c>
      <c r="D3823" s="1" t="inlineStr">
        <is>
          <t>Links to FNDDS</t>
        </is>
      </c>
      <c r="E3823" s="1" t="inlineStr">
        <is>
          <t>Base</t>
        </is>
      </c>
      <c r="F3823" s="1" t="n">
        <v>0.346101</v>
      </c>
    </row>
    <row r="3824" ht="15.75" customHeight="1" s="201">
      <c r="A3824" s="1" t="n">
        <v>75224000</v>
      </c>
      <c r="B3824" s="1" t="inlineStr">
        <is>
          <t>Green peas, cooked, from restaurant</t>
        </is>
      </c>
      <c r="C3824" s="1" t="n">
        <v>4</v>
      </c>
      <c r="D3824" s="1" t="inlineStr">
        <is>
          <t>FNDDS recipe with replaced or modified SR codes</t>
        </is>
      </c>
      <c r="E3824" s="1" t="inlineStr">
        <is>
          <t>Base</t>
        </is>
      </c>
      <c r="F3824" s="1" t="n">
        <v>1.10005</v>
      </c>
    </row>
    <row r="3825" ht="15.75" customHeight="1" s="201">
      <c r="A3825" s="1" t="n">
        <v>75224021</v>
      </c>
      <c r="B3825" s="1" t="inlineStr">
        <is>
          <t>Green peas, fresh, cooked, no added fat (Includes English peas; cooking spray)</t>
        </is>
      </c>
      <c r="C3825" s="1" t="n">
        <v>3</v>
      </c>
      <c r="D3825" s="1" t="inlineStr">
        <is>
          <t>Original FNDDS recipe</t>
        </is>
      </c>
      <c r="E3825" s="1" t="inlineStr">
        <is>
          <t>Base</t>
        </is>
      </c>
      <c r="F3825" s="1" t="n">
        <v>1.130912</v>
      </c>
    </row>
    <row r="3826" ht="15.75" customHeight="1" s="201">
      <c r="A3826" s="1" t="n">
        <v>75224022</v>
      </c>
      <c r="B3826" s="1" t="inlineStr">
        <is>
          <t>Green peas, frozen, cooked, no added fat (Includes English peas; cooking spray)</t>
        </is>
      </c>
      <c r="C3826" s="1" t="n">
        <v>2</v>
      </c>
      <c r="D3826" s="1" t="inlineStr">
        <is>
          <t>Links to altEC</t>
        </is>
      </c>
      <c r="E3826" s="1" t="inlineStr">
        <is>
          <t>Base</t>
        </is>
      </c>
      <c r="F3826" s="1" t="n">
        <v>0.443582</v>
      </c>
    </row>
    <row r="3827" ht="15.75" customHeight="1" s="201">
      <c r="A3827" s="1" t="n">
        <v>75224023</v>
      </c>
      <c r="B3827" s="1" t="inlineStr">
        <is>
          <t>Green peas, canned, cooked, no added fat (Includes English peas; cooking spray)</t>
        </is>
      </c>
      <c r="C3827" s="1" t="n">
        <v>1</v>
      </c>
      <c r="D3827" s="1" t="inlineStr">
        <is>
          <t>Links to FNDDS</t>
        </is>
      </c>
      <c r="E3827" s="1" t="inlineStr">
        <is>
          <t>Base</t>
        </is>
      </c>
      <c r="F3827" s="1" t="n">
        <v>0.351837</v>
      </c>
    </row>
    <row r="3828" ht="15.75" customHeight="1" s="201">
      <c r="A3828" s="1" t="n">
        <v>75224030</v>
      </c>
      <c r="B3828" s="1" t="inlineStr">
        <is>
          <t>Green peas, NS as to form, cooked (Includes English peas; with or without fat)</t>
        </is>
      </c>
      <c r="C3828" s="1" t="n">
        <v>2</v>
      </c>
      <c r="D3828" s="1" t="inlineStr">
        <is>
          <t>Links to altEC</t>
        </is>
      </c>
      <c r="E3828" s="1" t="inlineStr">
        <is>
          <t>Base</t>
        </is>
      </c>
      <c r="F3828" s="1" t="n">
        <v>0.406525</v>
      </c>
    </row>
    <row r="3829" ht="15.75" customHeight="1" s="201">
      <c r="A3829" s="1" t="n">
        <v>75224032</v>
      </c>
      <c r="B3829" s="1" t="inlineStr">
        <is>
          <t>Green peas, frozen, cooked, fat added, NS as to fat type (Includes English peas; NS as to fat added)</t>
        </is>
      </c>
      <c r="C3829" s="1" t="n">
        <v>4</v>
      </c>
      <c r="D3829" s="1" t="inlineStr">
        <is>
          <t>FNDDS recipe with replaced or modified SR codes</t>
        </is>
      </c>
      <c r="E3829" s="1" t="inlineStr">
        <is>
          <t>Base</t>
        </is>
      </c>
      <c r="F3829" s="1" t="n">
        <v>0.441605</v>
      </c>
    </row>
    <row r="3830" ht="15.75" customHeight="1" s="201">
      <c r="A3830" s="1" t="n">
        <v>75224043</v>
      </c>
      <c r="B3830" s="1" t="inlineStr">
        <is>
          <t>Green peas, fresh, cooked with oil (Includes English peas)</t>
        </is>
      </c>
      <c r="C3830" s="1" t="n">
        <v>4</v>
      </c>
      <c r="D3830" s="1" t="inlineStr">
        <is>
          <t>FNDDS recipe with replaced or modified SR codes</t>
        </is>
      </c>
      <c r="E3830" s="1" t="inlineStr">
        <is>
          <t>Base</t>
        </is>
      </c>
      <c r="F3830" s="1" t="n">
        <v>1.110723</v>
      </c>
    </row>
    <row r="3831" ht="15.75" customHeight="1" s="201">
      <c r="A3831" s="1" t="n">
        <v>75224046</v>
      </c>
      <c r="B3831" s="1" t="inlineStr">
        <is>
          <t>Green peas, frozen, cooked with oil (Includes English peas)</t>
        </is>
      </c>
      <c r="C3831" s="1" t="n">
        <v>4</v>
      </c>
      <c r="D3831" s="1" t="inlineStr">
        <is>
          <t>FNDDS recipe with replaced or modified SR codes</t>
        </is>
      </c>
      <c r="E3831" s="1" t="inlineStr">
        <is>
          <t>Base</t>
        </is>
      </c>
      <c r="F3831" s="1" t="n">
        <v>0.439408</v>
      </c>
    </row>
    <row r="3832" ht="15.75" customHeight="1" s="201">
      <c r="A3832" s="1" t="n">
        <v>75224047</v>
      </c>
      <c r="B3832" s="1" t="inlineStr">
        <is>
          <t>Green peas, frozen, cooked with butter or margarine (Includes English peas; animal fat; shortening)</t>
        </is>
      </c>
      <c r="C3832" s="1" t="n">
        <v>4</v>
      </c>
      <c r="D3832" s="1" t="inlineStr">
        <is>
          <t>FNDDS recipe with replaced or modified SR codes</t>
        </is>
      </c>
      <c r="E3832" s="1" t="inlineStr">
        <is>
          <t>Base</t>
        </is>
      </c>
      <c r="F3832" s="1" t="n">
        <v>0.443802</v>
      </c>
    </row>
    <row r="3833" ht="15.75" customHeight="1" s="201">
      <c r="A3833" s="1" t="n">
        <v>75224050</v>
      </c>
      <c r="B3833" s="1" t="inlineStr">
        <is>
          <t>Green peas, canned, cooked with butter or margarine (Includes English peas; animal fat; shortening)</t>
        </is>
      </c>
      <c r="C3833" s="1" t="n">
        <v>4</v>
      </c>
      <c r="D3833" s="1" t="inlineStr">
        <is>
          <t>FNDDS recipe with replaced or modified SR codes</t>
        </is>
      </c>
      <c r="E3833" s="1" t="inlineStr">
        <is>
          <t>Base</t>
        </is>
      </c>
      <c r="F3833" s="1" t="n">
        <v>0.358179</v>
      </c>
    </row>
    <row r="3834" ht="15.75" customHeight="1" s="201">
      <c r="A3834" s="1" t="n">
        <v>75224120</v>
      </c>
      <c r="B3834" s="1" t="inlineStr">
        <is>
          <t>Green peas, canned, reduced sodium, cooked, no added fat (Includes English peas; cooking spray; no salt added)</t>
        </is>
      </c>
      <c r="C3834" s="1" t="n">
        <v>2</v>
      </c>
      <c r="D3834" s="1" t="inlineStr">
        <is>
          <t>Links to altEC</t>
        </is>
      </c>
      <c r="E3834" s="1" t="inlineStr">
        <is>
          <t>Base</t>
        </is>
      </c>
      <c r="F3834" s="1" t="n">
        <v>0.322354</v>
      </c>
    </row>
    <row r="3835" ht="15.75" customHeight="1" s="201">
      <c r="A3835" s="1" t="n">
        <v>75224132</v>
      </c>
      <c r="B3835" s="1" t="inlineStr">
        <is>
          <t>Green peas, canned, reduced sodium, cooked with butter or margarine (Includes English peas; animal fat; shortening; no salt added)</t>
        </is>
      </c>
      <c r="C3835" s="1" t="n">
        <v>4</v>
      </c>
      <c r="D3835" s="1" t="inlineStr">
        <is>
          <t>FNDDS recipe with replaced or modified SR codes</t>
        </is>
      </c>
      <c r="E3835" s="1" t="inlineStr">
        <is>
          <t>Base</t>
        </is>
      </c>
      <c r="F3835" s="1" t="n">
        <v>0.30471</v>
      </c>
    </row>
    <row r="3836" ht="15.75" customHeight="1" s="201">
      <c r="A3836" s="1" t="n">
        <v>75226020</v>
      </c>
      <c r="B3836" s="1" t="inlineStr">
        <is>
          <t>Peppers, green, cooked (Includes NS as to color; with or without fat)</t>
        </is>
      </c>
      <c r="C3836" s="1" t="n">
        <v>4</v>
      </c>
      <c r="D3836" s="1" t="inlineStr">
        <is>
          <t>FNDDS recipe with replaced or modified SR codes</t>
        </is>
      </c>
      <c r="E3836" s="1" t="inlineStr">
        <is>
          <t>Base</t>
        </is>
      </c>
      <c r="F3836" s="1" t="n">
        <v>0.400446</v>
      </c>
    </row>
    <row r="3837" ht="15.75" customHeight="1" s="201">
      <c r="A3837" s="1" t="n">
        <v>75226060</v>
      </c>
      <c r="B3837" s="1" t="inlineStr">
        <is>
          <t>Peppers, red, cooked (Includes orange or yellow peppers; with or without fat)</t>
        </is>
      </c>
      <c r="C3837" s="1" t="n">
        <v>4</v>
      </c>
      <c r="D3837" s="1" t="inlineStr">
        <is>
          <t>FNDDS recipe with replaced or modified SR codes</t>
        </is>
      </c>
      <c r="E3837" s="1" t="inlineStr">
        <is>
          <t>Base</t>
        </is>
      </c>
      <c r="F3837" s="1" t="n">
        <v>0.604861</v>
      </c>
    </row>
    <row r="3838" ht="15.75" customHeight="1" s="201">
      <c r="A3838" s="1" t="n">
        <v>75226111</v>
      </c>
      <c r="B3838" s="1" t="inlineStr">
        <is>
          <t>Hot peppers, cooked (Includes Jalapeno; Tuscan; chili; with or without fat)</t>
        </is>
      </c>
      <c r="C3838" s="1" t="n">
        <v>1</v>
      </c>
      <c r="D3838" s="1" t="inlineStr">
        <is>
          <t>Links to FNDDS</t>
        </is>
      </c>
      <c r="E3838" s="1" t="inlineStr">
        <is>
          <t>Base</t>
        </is>
      </c>
      <c r="F3838" s="1" t="n">
        <v>2.071571</v>
      </c>
    </row>
    <row r="3839" ht="15.75" customHeight="1" s="201">
      <c r="A3839" s="1" t="n">
        <v>75227110</v>
      </c>
      <c r="B3839" s="1" t="inlineStr">
        <is>
          <t>Daikon radish, cooked (Includes with or without fat)</t>
        </is>
      </c>
      <c r="C3839" s="1" t="n">
        <v>4</v>
      </c>
      <c r="D3839" s="1" t="inlineStr">
        <is>
          <t>FNDDS recipe with replaced or modified SR codes</t>
        </is>
      </c>
      <c r="E3839" s="1" t="inlineStr">
        <is>
          <t>Base</t>
        </is>
      </c>
      <c r="F3839" s="1" t="n">
        <v>0.391257</v>
      </c>
    </row>
    <row r="3840" ht="15.75" customHeight="1" s="201">
      <c r="A3840" s="1" t="n">
        <v>75228020</v>
      </c>
      <c r="B3840" s="1" t="inlineStr">
        <is>
          <t>Rutabaga, cooked (Includes with or without fat)</t>
        </is>
      </c>
      <c r="C3840" s="1" t="n">
        <v>4</v>
      </c>
      <c r="D3840" s="1" t="inlineStr">
        <is>
          <t>FNDDS recipe with replaced or modified SR codes</t>
        </is>
      </c>
      <c r="E3840" s="1" t="inlineStr">
        <is>
          <t>Base</t>
        </is>
      </c>
      <c r="F3840" s="1" t="n">
        <v>0.331257</v>
      </c>
    </row>
    <row r="3841" ht="15.75" customHeight="1" s="201">
      <c r="A3841" s="1" t="n">
        <v>75230000</v>
      </c>
      <c r="B3841" s="1" t="inlineStr">
        <is>
          <t>Sauerkraut</t>
        </is>
      </c>
      <c r="C3841" s="1" t="n">
        <v>1</v>
      </c>
      <c r="D3841" s="1" t="inlineStr">
        <is>
          <t>Links to FNDDS</t>
        </is>
      </c>
      <c r="E3841" s="1" t="inlineStr">
        <is>
          <t>Base</t>
        </is>
      </c>
      <c r="F3841" s="1" t="n">
        <v>0.320132</v>
      </c>
    </row>
    <row r="3842" ht="15.75" customHeight="1" s="201">
      <c r="A3842" s="1" t="n">
        <v>75231012</v>
      </c>
      <c r="B3842" s="1" t="inlineStr">
        <is>
          <t>Snowpea, frozen, cooked, no added fat (Includes sugar snap pea; sugar pea; pea pod; cooking spray)</t>
        </is>
      </c>
      <c r="C3842" s="1" t="n">
        <v>3</v>
      </c>
      <c r="D3842" s="1" t="inlineStr">
        <is>
          <t>Original FNDDS recipe</t>
        </is>
      </c>
      <c r="E3842" s="1" t="inlineStr">
        <is>
          <t>Base</t>
        </is>
      </c>
      <c r="F3842" s="1" t="n">
        <v>0.734004</v>
      </c>
    </row>
    <row r="3843" ht="15.75" customHeight="1" s="201">
      <c r="A3843" s="1" t="n">
        <v>75231020</v>
      </c>
      <c r="B3843" s="1" t="inlineStr">
        <is>
          <t>Snowpea, NS as to form, cooked (Includes sugar snap pea; sugar pea; pea pod; with or without fat)</t>
        </is>
      </c>
      <c r="C3843" s="1" t="n">
        <v>2</v>
      </c>
      <c r="D3843" s="1" t="inlineStr">
        <is>
          <t>Links to altEC</t>
        </is>
      </c>
      <c r="E3843" s="1" t="inlineStr">
        <is>
          <t>Base</t>
        </is>
      </c>
      <c r="F3843" s="1" t="n">
        <v>1.106051</v>
      </c>
    </row>
    <row r="3844" ht="15.75" customHeight="1" s="201">
      <c r="A3844" s="1" t="n">
        <v>75231021</v>
      </c>
      <c r="B3844" s="1" t="inlineStr">
        <is>
          <t>Snowpea, fresh, cooked, fat added (Includes sugar snap pea; sugar pea; pea pod; NS as to fat added; from restaurant)</t>
        </is>
      </c>
      <c r="C3844" s="1" t="n">
        <v>4</v>
      </c>
      <c r="D3844" s="1" t="inlineStr">
        <is>
          <t>FNDDS recipe with replaced or modified SR codes</t>
        </is>
      </c>
      <c r="E3844" s="1" t="inlineStr">
        <is>
          <t>Base</t>
        </is>
      </c>
      <c r="F3844" s="1" t="n">
        <v>1.088133</v>
      </c>
    </row>
    <row r="3845" ht="15.75" customHeight="1" s="201">
      <c r="A3845" s="1" t="n">
        <v>75231022</v>
      </c>
      <c r="B3845" s="1" t="inlineStr">
        <is>
          <t>Snowpea, frozen, cooked, fat added (Includes sugar snap pea; sugar pea; pea pod; NS as to fat added)</t>
        </is>
      </c>
      <c r="C3845" s="1" t="n">
        <v>4</v>
      </c>
      <c r="D3845" s="1" t="inlineStr">
        <is>
          <t>FNDDS recipe with replaced or modified SR codes</t>
        </is>
      </c>
      <c r="E3845" s="1" t="inlineStr">
        <is>
          <t>Base</t>
        </is>
      </c>
      <c r="F3845" s="1" t="n">
        <v>0.727032</v>
      </c>
    </row>
    <row r="3846" ht="15.75" customHeight="1" s="201">
      <c r="A3846" s="1" t="n">
        <v>75232110</v>
      </c>
      <c r="B3846" s="1" t="inlineStr">
        <is>
          <t>Seaweed, cooked, no added fat (Includes cooking spray)</t>
        </is>
      </c>
      <c r="C3846" s="1" t="n">
        <v>4</v>
      </c>
      <c r="D3846" s="1" t="inlineStr">
        <is>
          <t>FNDDS recipe with replaced or modified SR codes</t>
        </is>
      </c>
      <c r="E3846" s="1" t="inlineStr">
        <is>
          <t>Base</t>
        </is>
      </c>
      <c r="F3846" s="1" t="n">
        <v>3.644166</v>
      </c>
    </row>
    <row r="3847" ht="15.75" customHeight="1" s="201">
      <c r="A3847" s="1" t="n">
        <v>75232120</v>
      </c>
      <c r="B3847" s="1" t="inlineStr">
        <is>
          <t>Seaweed, cooked, fat added (Includes NS as to fat added; from restaurant)</t>
        </is>
      </c>
      <c r="C3847" s="1" t="n">
        <v>4</v>
      </c>
      <c r="D3847" s="1" t="inlineStr">
        <is>
          <t>FNDDS recipe with replaced or modified SR codes</t>
        </is>
      </c>
      <c r="E3847" s="1" t="inlineStr">
        <is>
          <t>Base</t>
        </is>
      </c>
      <c r="F3847" s="1" t="n">
        <v>3.551512</v>
      </c>
    </row>
    <row r="3848" ht="15.75" customHeight="1" s="201">
      <c r="A3848" s="1" t="n">
        <v>75233011</v>
      </c>
      <c r="B3848" s="1" t="inlineStr">
        <is>
          <t>Summer squash, yellow or green, fresh, cooked, no added fat (Includes zucchini; squash, NS as to summer or winter; cooking spray)</t>
        </is>
      </c>
      <c r="C3848" s="1" t="n">
        <v>2</v>
      </c>
      <c r="D3848" s="1" t="inlineStr">
        <is>
          <t>Links to altEC</t>
        </is>
      </c>
      <c r="E3848" s="1" t="inlineStr">
        <is>
          <t>Base</t>
        </is>
      </c>
      <c r="F3848" s="1" t="n">
        <v>0.458388</v>
      </c>
    </row>
    <row r="3849" ht="15.75" customHeight="1" s="201">
      <c r="A3849" s="1" t="n">
        <v>75233013</v>
      </c>
      <c r="B3849" s="1" t="inlineStr">
        <is>
          <t>Summer squash, yellow or green, canned, cooked, no added fat (Includes zucchini; squash, NS as to summer or winter; cooking spray)</t>
        </is>
      </c>
      <c r="C3849" s="1" t="n">
        <v>1</v>
      </c>
      <c r="D3849" s="1" t="inlineStr">
        <is>
          <t>Links to FNDDS</t>
        </is>
      </c>
      <c r="E3849" s="1" t="inlineStr">
        <is>
          <t>Base</t>
        </is>
      </c>
      <c r="F3849" s="1" t="n">
        <v>0.470173</v>
      </c>
    </row>
    <row r="3850" ht="15.75" customHeight="1" s="201">
      <c r="A3850" s="1" t="n">
        <v>75233020</v>
      </c>
      <c r="B3850" s="1" t="inlineStr">
        <is>
          <t>Summer squash, yellow or green, NS as to form, cooked (Includes zucchini; squash, NS as to summer or winter; with or without fat)</t>
        </is>
      </c>
      <c r="C3850" s="1" t="n">
        <v>2</v>
      </c>
      <c r="D3850" s="1" t="inlineStr">
        <is>
          <t>Links to altEC</t>
        </is>
      </c>
      <c r="E3850" s="1" t="inlineStr">
        <is>
          <t>Base</t>
        </is>
      </c>
      <c r="F3850" s="1" t="n">
        <v>0.446183</v>
      </c>
    </row>
    <row r="3851" ht="15.75" customHeight="1" s="201">
      <c r="A3851" s="1" t="n">
        <v>75233021</v>
      </c>
      <c r="B3851" s="1" t="inlineStr">
        <is>
          <t>Summer squash, yellow or green, fresh, cooked, fat added, NS as to fat type (Includes zucchini; squash, NS as to summer or winter; NS as to fat added)</t>
        </is>
      </c>
      <c r="C3851" s="1" t="n">
        <v>4</v>
      </c>
      <c r="D3851" s="1" t="inlineStr">
        <is>
          <t>FNDDS recipe with replaced or modified SR codes</t>
        </is>
      </c>
      <c r="E3851" s="1" t="inlineStr">
        <is>
          <t>Base</t>
        </is>
      </c>
      <c r="F3851" s="1" t="n">
        <v>0.45215</v>
      </c>
    </row>
    <row r="3852" ht="15.75" customHeight="1" s="201">
      <c r="A3852" s="1" t="n">
        <v>75233027</v>
      </c>
      <c r="B3852" s="1" t="inlineStr">
        <is>
          <t>Summer squash, yellow or green, fresh, cooked with oil (Includes zucchini; squash, NS as to summer or winter)</t>
        </is>
      </c>
      <c r="C3852" s="1" t="n">
        <v>4</v>
      </c>
      <c r="D3852" s="1" t="inlineStr">
        <is>
          <t>FNDDS recipe with replaced or modified SR codes</t>
        </is>
      </c>
      <c r="E3852" s="1" t="inlineStr">
        <is>
          <t>Base</t>
        </is>
      </c>
      <c r="F3852" s="1" t="n">
        <v>0.449565</v>
      </c>
    </row>
    <row r="3853" ht="15.75" customHeight="1" s="201">
      <c r="A3853" s="1" t="n">
        <v>75233028</v>
      </c>
      <c r="B3853" s="1" t="inlineStr">
        <is>
          <t>Summer squash, yellow or green, fresh, cooked with butter or margarine (Includes zucchini; squash, NS as to summer or winter; animal fat; shortening; from restaurant)</t>
        </is>
      </c>
      <c r="C3853" s="1" t="n">
        <v>4</v>
      </c>
      <c r="D3853" s="1" t="inlineStr">
        <is>
          <t>FNDDS recipe with replaced or modified SR codes</t>
        </is>
      </c>
      <c r="E3853" s="1" t="inlineStr">
        <is>
          <t>Base</t>
        </is>
      </c>
      <c r="F3853" s="1" t="n">
        <v>0.454735</v>
      </c>
    </row>
    <row r="3854" ht="15.75" customHeight="1" s="201">
      <c r="A3854" s="1" t="n">
        <v>75233030</v>
      </c>
      <c r="B3854" s="1" t="inlineStr">
        <is>
          <t>Summer squash, yellow or green, frozen, cooked with oil (Includes zucchini; squash, NS as to summer or winter)</t>
        </is>
      </c>
      <c r="C3854" s="1" t="n">
        <v>4</v>
      </c>
      <c r="D3854" s="1" t="inlineStr">
        <is>
          <t>FNDDS recipe with replaced or modified SR codes</t>
        </is>
      </c>
      <c r="E3854" s="1" t="inlineStr">
        <is>
          <t>Base</t>
        </is>
      </c>
      <c r="F3854" s="1" t="n">
        <v>0.858008</v>
      </c>
    </row>
    <row r="3855" ht="15.75" customHeight="1" s="201">
      <c r="A3855" s="1" t="n">
        <v>75233220</v>
      </c>
      <c r="B3855" s="1" t="inlineStr">
        <is>
          <t>Spaghetti squash, cooked (Includes with or without fat)</t>
        </is>
      </c>
      <c r="C3855" s="1" t="n">
        <v>4</v>
      </c>
      <c r="D3855" s="1" t="inlineStr">
        <is>
          <t>FNDDS recipe with replaced or modified SR codes</t>
        </is>
      </c>
      <c r="E3855" s="1" t="inlineStr">
        <is>
          <t>Base</t>
        </is>
      </c>
      <c r="F3855" s="1" t="n">
        <v>0.482757</v>
      </c>
    </row>
    <row r="3856" ht="15.75" customHeight="1" s="201">
      <c r="A3856" s="1" t="n">
        <v>75234021</v>
      </c>
      <c r="B3856" s="1" t="inlineStr">
        <is>
          <t>Turnip, cooked (Includes with or without fat)</t>
        </is>
      </c>
      <c r="C3856" s="1" t="n">
        <v>4</v>
      </c>
      <c r="D3856" s="1" t="inlineStr">
        <is>
          <t>FNDDS recipe with replaced or modified SR codes</t>
        </is>
      </c>
      <c r="E3856" s="1" t="inlineStr">
        <is>
          <t>Base</t>
        </is>
      </c>
      <c r="F3856" s="1" t="n">
        <v>0.415241</v>
      </c>
    </row>
    <row r="3857" ht="15.75" customHeight="1" s="201">
      <c r="A3857" s="1" t="n">
        <v>75236000</v>
      </c>
      <c r="B3857" s="1" t="inlineStr">
        <is>
          <t>Yeast (Includes brewers yeast)</t>
        </is>
      </c>
      <c r="C3857" s="1" t="n">
        <v>1</v>
      </c>
      <c r="D3857" s="1" t="inlineStr">
        <is>
          <t>Links to FNDDS</t>
        </is>
      </c>
      <c r="E3857" s="1" t="inlineStr">
        <is>
          <t>Base</t>
        </is>
      </c>
      <c r="F3857" s="1" t="n">
        <v>3.686465</v>
      </c>
    </row>
    <row r="3858" ht="15.75" customHeight="1" s="201">
      <c r="A3858" s="1" t="n">
        <v>75236500</v>
      </c>
      <c r="B3858" s="1" t="inlineStr">
        <is>
          <t>Yeast extract spread (Includes Vegemite; Marmite; Promite)</t>
        </is>
      </c>
      <c r="C3858" s="1" t="n">
        <v>1</v>
      </c>
      <c r="D3858" s="1" t="inlineStr">
        <is>
          <t>Links to FNDDS</t>
        </is>
      </c>
      <c r="E3858" s="1" t="inlineStr">
        <is>
          <t>Base</t>
        </is>
      </c>
      <c r="F3858" s="1" t="n">
        <v>4.962775</v>
      </c>
    </row>
    <row r="3859" ht="15.75" customHeight="1" s="201">
      <c r="A3859" s="1" t="n">
        <v>75301120</v>
      </c>
      <c r="B3859" s="1" t="inlineStr">
        <is>
          <t>Lima beans and corn, cooked, fat added (Includes succotash; NS as to fat added; from restaurant)</t>
        </is>
      </c>
      <c r="C3859" s="1" t="n">
        <v>4</v>
      </c>
      <c r="D3859" s="1" t="inlineStr">
        <is>
          <t>FNDDS recipe with replaced or modified SR codes</t>
        </is>
      </c>
      <c r="E3859" s="1" t="inlineStr">
        <is>
          <t>Base</t>
        </is>
      </c>
      <c r="F3859" s="1" t="n">
        <v>0.40108</v>
      </c>
    </row>
    <row r="3860" ht="15.75" customHeight="1" s="201">
      <c r="A3860" s="1" t="n">
        <v>75302080</v>
      </c>
      <c r="B3860" s="1" t="inlineStr">
        <is>
          <t>Bean salad, yellow and/or green string beans (Includes three bean salad)</t>
        </is>
      </c>
      <c r="C3860" s="1" t="n">
        <v>1</v>
      </c>
      <c r="D3860" s="1" t="inlineStr">
        <is>
          <t>Links to FNDDS</t>
        </is>
      </c>
      <c r="E3860" s="1" t="inlineStr">
        <is>
          <t>Base</t>
        </is>
      </c>
      <c r="F3860" s="1" t="n">
        <v>0.341662</v>
      </c>
    </row>
    <row r="3861" ht="15.75" customHeight="1" s="201">
      <c r="A3861" s="1" t="n">
        <v>75306998</v>
      </c>
      <c r="B3861" s="1" t="inlineStr">
        <is>
          <t>Peppers and onions, cooked, no added fat (Includes cooking spray)</t>
        </is>
      </c>
      <c r="C3861" s="1" t="n">
        <v>1</v>
      </c>
      <c r="D3861" s="1" t="inlineStr">
        <is>
          <t>Links to FNDDS</t>
        </is>
      </c>
      <c r="E3861" s="1" t="inlineStr">
        <is>
          <t>Base</t>
        </is>
      </c>
      <c r="F3861" s="1" t="n">
        <v>0.532863</v>
      </c>
    </row>
    <row r="3862" ht="15.75" customHeight="1" s="201">
      <c r="A3862" s="1" t="n">
        <v>75307000</v>
      </c>
      <c r="B3862" s="1" t="inlineStr">
        <is>
          <t>Peppers and onions, cooked, fat added (Includes NS as to fat added; from restaurant)</t>
        </is>
      </c>
      <c r="C3862" s="1" t="n">
        <v>4</v>
      </c>
      <c r="D3862" s="1" t="inlineStr">
        <is>
          <t>FNDDS recipe with replaced or modified SR codes</t>
        </is>
      </c>
      <c r="E3862" s="1" t="inlineStr">
        <is>
          <t>Base</t>
        </is>
      </c>
      <c r="F3862" s="1" t="n">
        <v>0.405589</v>
      </c>
    </row>
    <row r="3863" ht="15.75" customHeight="1" s="201">
      <c r="A3863" s="1" t="n">
        <v>75310990</v>
      </c>
      <c r="B3863" s="1" t="inlineStr">
        <is>
          <t>Classic mixed vegetables, cooked, from restaurant</t>
        </is>
      </c>
      <c r="C3863" s="1" t="n">
        <v>4</v>
      </c>
      <c r="D3863" s="1" t="inlineStr">
        <is>
          <t>FNDDS recipe with replaced or modified SR codes</t>
        </is>
      </c>
      <c r="E3863" s="1" t="inlineStr">
        <is>
          <t>Base</t>
        </is>
      </c>
      <c r="F3863" s="1" t="n">
        <v>0.411659</v>
      </c>
    </row>
    <row r="3864" ht="15.75" customHeight="1" s="201">
      <c r="A3864" s="1" t="n">
        <v>75311012</v>
      </c>
      <c r="B3864" s="1" t="inlineStr">
        <is>
          <t>Classic mixed vegetables, frozen, cooked, no added fat (Includes corn, carrots, peas, green beans, and lima beans; cooking spray)</t>
        </is>
      </c>
      <c r="C3864" s="1" t="n">
        <v>2</v>
      </c>
      <c r="D3864" s="1" t="inlineStr">
        <is>
          <t>Links to altEC</t>
        </is>
      </c>
      <c r="E3864" s="1" t="inlineStr">
        <is>
          <t>Base</t>
        </is>
      </c>
      <c r="F3864" s="1" t="n">
        <v>0.355709</v>
      </c>
    </row>
    <row r="3865" ht="15.75" customHeight="1" s="201">
      <c r="A3865" s="1" t="n">
        <v>75311020</v>
      </c>
      <c r="B3865" s="1" t="inlineStr">
        <is>
          <t>Classic mixed vegetables, NS as to form, cooked (Includes mixed vegetables, NFS; corn, carrots, peas, green beans, and lima beans; with or without fat)</t>
        </is>
      </c>
      <c r="C3865" s="1" t="n">
        <v>2</v>
      </c>
      <c r="D3865" s="1" t="inlineStr">
        <is>
          <t>Links to altEC</t>
        </is>
      </c>
      <c r="E3865" s="1" t="inlineStr">
        <is>
          <t>Base</t>
        </is>
      </c>
      <c r="F3865" s="1" t="n">
        <v>0.459431</v>
      </c>
    </row>
    <row r="3866" ht="15.75" customHeight="1" s="201">
      <c r="A3866" s="1" t="n">
        <v>75311022</v>
      </c>
      <c r="B3866" s="1" t="inlineStr">
        <is>
          <t>Classic mixed vegetables, frozen, cooked, fat added, NS as to fat type (Includes NS as to fat added; corn, carrots, peas, green beans, and lima beans)</t>
        </is>
      </c>
      <c r="C3866" s="1" t="n">
        <v>4</v>
      </c>
      <c r="D3866" s="1" t="inlineStr">
        <is>
          <t>FNDDS recipe with replaced or modified SR codes</t>
        </is>
      </c>
      <c r="E3866" s="1" t="inlineStr">
        <is>
          <t>Base</t>
        </is>
      </c>
      <c r="F3866" s="1" t="n">
        <v>0.37337</v>
      </c>
    </row>
    <row r="3867" ht="15.75" customHeight="1" s="201">
      <c r="A3867" s="1" t="n">
        <v>75311023</v>
      </c>
      <c r="B3867" s="1" t="inlineStr">
        <is>
          <t>Classic mixed vegetables, canned, cooked, fat added, NS as to fat type (Includes NS as to fat added; corn, carrots, peas, green beans, and lima beans)</t>
        </is>
      </c>
      <c r="C3867" s="1" t="n">
        <v>4</v>
      </c>
      <c r="D3867" s="1" t="inlineStr">
        <is>
          <t>FNDDS recipe with replaced or modified SR codes</t>
        </is>
      </c>
      <c r="E3867" s="1" t="inlineStr">
        <is>
          <t>Base</t>
        </is>
      </c>
      <c r="F3867" s="1" t="n">
        <v>0.407867</v>
      </c>
    </row>
    <row r="3868" ht="15.75" customHeight="1" s="201">
      <c r="A3868" s="1" t="n">
        <v>75311027</v>
      </c>
      <c r="B3868" s="1" t="inlineStr">
        <is>
          <t>Classic mixed vegetables, frozen, cooked with oil (Includes corn, carrots, peas, green beans, and lima beans)</t>
        </is>
      </c>
      <c r="C3868" s="1" t="n">
        <v>4</v>
      </c>
      <c r="D3868" s="1" t="inlineStr">
        <is>
          <t>FNDDS recipe with replaced or modified SR codes</t>
        </is>
      </c>
      <c r="E3868" s="1" t="inlineStr">
        <is>
          <t>Base</t>
        </is>
      </c>
      <c r="F3868" s="1" t="n">
        <v>0.371173</v>
      </c>
    </row>
    <row r="3869" ht="15.75" customHeight="1" s="201">
      <c r="A3869" s="1" t="n">
        <v>75311028</v>
      </c>
      <c r="B3869" s="1" t="inlineStr">
        <is>
          <t>Classic mixed vegetables, frozen, cooked with butter or margarine (Includes corn, carrots, peas, green beans, and lima beans; animal fat; shortening)</t>
        </is>
      </c>
      <c r="C3869" s="1" t="n">
        <v>4</v>
      </c>
      <c r="D3869" s="1" t="inlineStr">
        <is>
          <t>FNDDS recipe with replaced or modified SR codes</t>
        </is>
      </c>
      <c r="E3869" s="1" t="inlineStr">
        <is>
          <t>Base</t>
        </is>
      </c>
      <c r="F3869" s="1" t="n">
        <v>0.375567</v>
      </c>
    </row>
    <row r="3870" ht="15.75" customHeight="1" s="201">
      <c r="A3870" s="1" t="n">
        <v>75311030</v>
      </c>
      <c r="B3870" s="1" t="inlineStr">
        <is>
          <t>Classic mixed vegetables, canned, cooked with oil (Includes corn, carrots, peas, green beans, and lima beans)</t>
        </is>
      </c>
      <c r="C3870" s="1" t="n">
        <v>4</v>
      </c>
      <c r="D3870" s="1" t="inlineStr">
        <is>
          <t>FNDDS recipe with replaced or modified SR codes</t>
        </is>
      </c>
      <c r="E3870" s="1" t="inlineStr">
        <is>
          <t>Base</t>
        </is>
      </c>
      <c r="F3870" s="1" t="n">
        <v>0.407867</v>
      </c>
    </row>
    <row r="3871" ht="15.75" customHeight="1" s="201">
      <c r="A3871" s="1" t="n">
        <v>75311031</v>
      </c>
      <c r="B3871" s="1" t="inlineStr">
        <is>
          <t>Classic mixed vegetables, canned, cooked with butter or margarine (Includes corn, carrots, peas, green beans, and lima beans; animal fat; shortening)</t>
        </is>
      </c>
      <c r="C3871" s="1" t="n">
        <v>4</v>
      </c>
      <c r="D3871" s="1" t="inlineStr">
        <is>
          <t>FNDDS recipe with replaced or modified SR codes</t>
        </is>
      </c>
      <c r="E3871" s="1" t="inlineStr">
        <is>
          <t>Base</t>
        </is>
      </c>
      <c r="F3871" s="1" t="n">
        <v>0.407867</v>
      </c>
    </row>
    <row r="3872" ht="15.75" customHeight="1" s="201">
      <c r="A3872" s="1" t="n">
        <v>75315010</v>
      </c>
      <c r="B3872" s="1" t="inlineStr">
        <is>
          <t>Peas and corn, cooked, no added fat (Includes cooking spray)</t>
        </is>
      </c>
      <c r="C3872" s="1" t="n">
        <v>1</v>
      </c>
      <c r="D3872" s="1" t="inlineStr">
        <is>
          <t>Links to FNDDS</t>
        </is>
      </c>
      <c r="E3872" s="1" t="inlineStr">
        <is>
          <t>Base</t>
        </is>
      </c>
      <c r="F3872" s="1" t="n">
        <v>0.339195</v>
      </c>
    </row>
    <row r="3873" ht="15.75" customHeight="1" s="201">
      <c r="A3873" s="1" t="n">
        <v>75315020</v>
      </c>
      <c r="B3873" s="1" t="inlineStr">
        <is>
          <t>Peas and corn, cooked, fat added (Includes NS as to fat added; from restaurant)</t>
        </is>
      </c>
      <c r="C3873" s="1" t="n">
        <v>4</v>
      </c>
      <c r="D3873" s="1" t="inlineStr">
        <is>
          <t>FNDDS recipe with replaced or modified SR codes</t>
        </is>
      </c>
      <c r="E3873" s="1" t="inlineStr">
        <is>
          <t>Base</t>
        </is>
      </c>
      <c r="F3873" s="1" t="n">
        <v>0.412728</v>
      </c>
    </row>
    <row r="3874" ht="15.75" customHeight="1" s="201">
      <c r="A3874" s="1" t="n">
        <v>75316050</v>
      </c>
      <c r="B3874" s="1" t="inlineStr">
        <is>
          <t>Ratatouille (Includes vegetable mixture of eggplant, tomatoes, onions, squash and green peppers)</t>
        </is>
      </c>
      <c r="C3874" s="1" t="n">
        <v>4</v>
      </c>
      <c r="D3874" s="1" t="inlineStr">
        <is>
          <t>FNDDS recipe with replaced or modified SR codes</t>
        </is>
      </c>
      <c r="E3874" s="1" t="inlineStr">
        <is>
          <t>Base</t>
        </is>
      </c>
      <c r="F3874" s="1" t="n">
        <v>0.5205340000000001</v>
      </c>
    </row>
    <row r="3875" ht="15.75" customHeight="1" s="201">
      <c r="A3875" s="1" t="n">
        <v>75317010</v>
      </c>
      <c r="B3875" s="1" t="inlineStr">
        <is>
          <t>Vegetables, stew type, cooked, fat added (Includes potatoes, carrots, onions, celery; NS as to fat added; from restaurant)</t>
        </is>
      </c>
      <c r="C3875" s="1" t="n">
        <v>4</v>
      </c>
      <c r="D3875" s="1" t="inlineStr">
        <is>
          <t>FNDDS recipe with replaced or modified SR codes</t>
        </is>
      </c>
      <c r="E3875" s="1" t="inlineStr">
        <is>
          <t>Base</t>
        </is>
      </c>
      <c r="F3875" s="1" t="n">
        <v>0.321599</v>
      </c>
    </row>
    <row r="3876" ht="15.75" customHeight="1" s="201">
      <c r="A3876" s="1" t="n">
        <v>75330060</v>
      </c>
      <c r="B3876" s="1" t="inlineStr">
        <is>
          <t>Broccoli and cauliflower, cooked, fat added (Includes NS as to fat added; from restaurant)</t>
        </is>
      </c>
      <c r="C3876" s="1" t="n">
        <v>4</v>
      </c>
      <c r="D3876" s="1" t="inlineStr">
        <is>
          <t>FNDDS recipe with replaced or modified SR codes</t>
        </is>
      </c>
      <c r="E3876" s="1" t="inlineStr">
        <is>
          <t>Base</t>
        </is>
      </c>
      <c r="F3876" s="1" t="n">
        <v>0.602959</v>
      </c>
    </row>
    <row r="3877" ht="15.75" customHeight="1" s="201">
      <c r="A3877" s="1" t="n">
        <v>75330080</v>
      </c>
      <c r="B3877" s="1" t="inlineStr">
        <is>
          <t>Broccoli, cauliflower and carrots, cooked, no added fat (Includes cooking spray)</t>
        </is>
      </c>
      <c r="C3877" s="1" t="n">
        <v>4</v>
      </c>
      <c r="D3877" s="1" t="inlineStr">
        <is>
          <t>FNDDS recipe with replaced or modified SR codes</t>
        </is>
      </c>
      <c r="E3877" s="1" t="inlineStr">
        <is>
          <t>Base</t>
        </is>
      </c>
      <c r="F3877" s="1" t="n">
        <v>0.527772</v>
      </c>
    </row>
    <row r="3878" ht="15.75" customHeight="1" s="201">
      <c r="A3878" s="1" t="n">
        <v>75330090</v>
      </c>
      <c r="B3878" s="1" t="inlineStr">
        <is>
          <t>Broccoli, cauliflower and carrots, cooked, fat added (Includes NS as to fat added; from restaurant)</t>
        </is>
      </c>
      <c r="C3878" s="1" t="n">
        <v>4</v>
      </c>
      <c r="D3878" s="1" t="inlineStr">
        <is>
          <t>FNDDS recipe with replaced or modified SR codes</t>
        </is>
      </c>
      <c r="E3878" s="1" t="inlineStr">
        <is>
          <t>Base</t>
        </is>
      </c>
      <c r="F3878" s="1" t="n">
        <v>0.526779</v>
      </c>
    </row>
    <row r="3879" ht="15.75" customHeight="1" s="201">
      <c r="A3879" s="1" t="n">
        <v>75340010</v>
      </c>
      <c r="B3879" s="1" t="inlineStr">
        <is>
          <t>Asian stir fry vegetables, cooked, no added fat (Includes cooking spray)</t>
        </is>
      </c>
      <c r="C3879" s="1" t="n">
        <v>1</v>
      </c>
      <c r="D3879" s="1" t="inlineStr">
        <is>
          <t>Links to FNDDS</t>
        </is>
      </c>
      <c r="E3879" s="1" t="inlineStr">
        <is>
          <t>Base</t>
        </is>
      </c>
      <c r="F3879" s="1" t="n">
        <v>0.5148200000000001</v>
      </c>
    </row>
    <row r="3880" ht="15.75" customHeight="1" s="201">
      <c r="A3880" s="1" t="n">
        <v>75340020</v>
      </c>
      <c r="B3880" s="1" t="inlineStr">
        <is>
          <t>Asian stir fry vegetables, cooked, fat added (Includes NS as to fat added; from restaurant)</t>
        </is>
      </c>
      <c r="C3880" s="1" t="n">
        <v>4</v>
      </c>
      <c r="D3880" s="1" t="inlineStr">
        <is>
          <t>FNDDS recipe with replaced or modified SR codes</t>
        </is>
      </c>
      <c r="E3880" s="1" t="inlineStr">
        <is>
          <t>Base</t>
        </is>
      </c>
      <c r="F3880" s="1" t="n">
        <v>0.619958</v>
      </c>
    </row>
    <row r="3881" ht="15.75" customHeight="1" s="201">
      <c r="A3881" s="1" t="n">
        <v>75365000</v>
      </c>
      <c r="B3881" s="1" t="inlineStr">
        <is>
          <t>Vegetable mixture, dried (Includes Salad Crunchies)</t>
        </is>
      </c>
      <c r="C3881" s="1" t="n">
        <v>1</v>
      </c>
      <c r="D3881" s="1" t="inlineStr">
        <is>
          <t>Links to FNDDS</t>
        </is>
      </c>
      <c r="E3881" s="1" t="inlineStr">
        <is>
          <t>Base</t>
        </is>
      </c>
      <c r="F3881" s="1" t="n">
        <v>1.972815</v>
      </c>
    </row>
    <row r="3882" ht="15.75" customHeight="1" s="201">
      <c r="A3882" s="1" t="n">
        <v>75403020</v>
      </c>
      <c r="B3882" s="1" t="inlineStr">
        <is>
          <t>Green bean casserole (Includes green beans with mushroom sauce)</t>
        </is>
      </c>
      <c r="C3882" s="1" t="n">
        <v>4</v>
      </c>
      <c r="D3882" s="1" t="inlineStr">
        <is>
          <t>FNDDS recipe with replaced or modified SR codes</t>
        </is>
      </c>
      <c r="E3882" s="1" t="inlineStr">
        <is>
          <t>Base</t>
        </is>
      </c>
      <c r="F3882" s="1" t="n">
        <v>0.403131</v>
      </c>
    </row>
    <row r="3883" ht="15.75" customHeight="1" s="201">
      <c r="A3883" s="1" t="n">
        <v>75403200</v>
      </c>
      <c r="B3883" s="1" t="inlineStr">
        <is>
          <t>Green beans, cooked, Szechuan-style (Includes Chinese style green beans)</t>
        </is>
      </c>
      <c r="C3883" s="1" t="n">
        <v>4</v>
      </c>
      <c r="D3883" s="1" t="inlineStr">
        <is>
          <t>FNDDS recipe with replaced or modified SR codes</t>
        </is>
      </c>
      <c r="E3883" s="1" t="inlineStr">
        <is>
          <t>Base</t>
        </is>
      </c>
      <c r="F3883" s="1" t="n">
        <v>0.710055</v>
      </c>
    </row>
    <row r="3884" ht="15.75" customHeight="1" s="201">
      <c r="A3884" s="1" t="n">
        <v>75409020</v>
      </c>
      <c r="B3884" s="1" t="inlineStr">
        <is>
          <t>Fried cauliflower (Includes battered or breaded; cauliflower bites)</t>
        </is>
      </c>
      <c r="C3884" s="1" t="n">
        <v>2</v>
      </c>
      <c r="D3884" s="1" t="inlineStr">
        <is>
          <t>Links to altEC</t>
        </is>
      </c>
      <c r="E3884" s="1" t="inlineStr">
        <is>
          <t>Base</t>
        </is>
      </c>
      <c r="F3884" s="1" t="n">
        <v>1.649915</v>
      </c>
    </row>
    <row r="3885" ht="15.75" customHeight="1" s="201">
      <c r="A3885" s="1" t="n">
        <v>75410500</v>
      </c>
      <c r="B3885" s="1" t="inlineStr">
        <is>
          <t>Chiles rellenos, cheese-filled (Includes stuffed chili peppers)</t>
        </is>
      </c>
      <c r="C3885" s="1" t="n">
        <v>1</v>
      </c>
      <c r="D3885" s="1" t="inlineStr">
        <is>
          <t>Links to FNDDS</t>
        </is>
      </c>
      <c r="E3885" s="1" t="inlineStr">
        <is>
          <t>Base</t>
        </is>
      </c>
      <c r="F3885" s="1" t="n">
        <v>1.789774</v>
      </c>
    </row>
    <row r="3886" ht="15.75" customHeight="1" s="201">
      <c r="A3886" s="1" t="n">
        <v>75410530</v>
      </c>
      <c r="B3886" s="1" t="inlineStr">
        <is>
          <t>Chiles rellenos, filled with meat and cheese (Includes stuffed chili peppers)</t>
        </is>
      </c>
      <c r="C3886" s="1" t="n">
        <v>4</v>
      </c>
      <c r="D3886" s="1" t="inlineStr">
        <is>
          <t>FNDDS recipe with replaced or modified SR codes</t>
        </is>
      </c>
      <c r="E3886" s="1" t="inlineStr">
        <is>
          <t>Base</t>
        </is>
      </c>
      <c r="F3886" s="1" t="n">
        <v>0.673978</v>
      </c>
    </row>
    <row r="3887" ht="15.75" customHeight="1" s="201">
      <c r="A3887" s="1" t="n">
        <v>75410550</v>
      </c>
      <c r="B3887" s="1" t="inlineStr">
        <is>
          <t>Stuffed jalapeno pepper (Includes battered or breaded; cheese stuffed; poppers; jalapeno bites)</t>
        </is>
      </c>
      <c r="C3887" s="1" t="n">
        <v>1</v>
      </c>
      <c r="D3887" s="1" t="inlineStr">
        <is>
          <t>Links to FNDDS</t>
        </is>
      </c>
      <c r="E3887" s="1" t="inlineStr">
        <is>
          <t>Base</t>
        </is>
      </c>
      <c r="F3887" s="1" t="n">
        <v>1.433718</v>
      </c>
    </row>
    <row r="3888" ht="15.75" customHeight="1" s="201">
      <c r="A3888" s="1" t="n">
        <v>75411010</v>
      </c>
      <c r="B3888" s="1" t="inlineStr">
        <is>
          <t>Corn, scalloped or pudding (Includes corn souffle)</t>
        </is>
      </c>
      <c r="C3888" s="1" t="n">
        <v>1</v>
      </c>
      <c r="D3888" s="1" t="inlineStr">
        <is>
          <t>Links to FNDDS</t>
        </is>
      </c>
      <c r="E3888" s="1" t="inlineStr">
        <is>
          <t>Base</t>
        </is>
      </c>
      <c r="F3888" s="1" t="n">
        <v>0.773238</v>
      </c>
    </row>
    <row r="3889" ht="15.75" customHeight="1" s="201">
      <c r="A3889" s="1" t="n">
        <v>75411020</v>
      </c>
      <c r="B3889" s="1" t="inlineStr">
        <is>
          <t>Corn fritter</t>
        </is>
      </c>
      <c r="C3889" s="1" t="n">
        <v>1</v>
      </c>
      <c r="D3889" s="1" t="inlineStr">
        <is>
          <t>Links to FNDDS</t>
        </is>
      </c>
      <c r="E3889" s="1" t="inlineStr">
        <is>
          <t>Base</t>
        </is>
      </c>
      <c r="F3889" s="1" t="n">
        <v>0.637628</v>
      </c>
    </row>
    <row r="3890" ht="15.75" customHeight="1" s="201">
      <c r="A3890" s="1" t="n">
        <v>75412010</v>
      </c>
      <c r="B3890" s="1" t="inlineStr">
        <is>
          <t>Fried eggplant (Includes battered or breaded)</t>
        </is>
      </c>
      <c r="C3890" s="1" t="n">
        <v>1</v>
      </c>
      <c r="D3890" s="1" t="inlineStr">
        <is>
          <t>Links to FNDDS</t>
        </is>
      </c>
      <c r="E3890" s="1" t="inlineStr">
        <is>
          <t>Base</t>
        </is>
      </c>
      <c r="F3890" s="1" t="n">
        <v>0.967009</v>
      </c>
    </row>
    <row r="3891" ht="15.75" customHeight="1" s="201">
      <c r="A3891" s="1" t="n">
        <v>75412030</v>
      </c>
      <c r="B3891" s="1" t="inlineStr">
        <is>
          <t>Eggplant dip (Includes Baba Ghanoush)</t>
        </is>
      </c>
      <c r="C3891" s="1" t="n">
        <v>1</v>
      </c>
      <c r="D3891" s="1" t="inlineStr">
        <is>
          <t>Links to FNDDS</t>
        </is>
      </c>
      <c r="E3891" s="1" t="inlineStr">
        <is>
          <t>Base</t>
        </is>
      </c>
      <c r="F3891" s="1" t="n">
        <v>1.144089</v>
      </c>
    </row>
    <row r="3892" ht="15.75" customHeight="1" s="201">
      <c r="A3892" s="1" t="n">
        <v>75412060</v>
      </c>
      <c r="B3892" s="1" t="inlineStr">
        <is>
          <t>Eggplant parmesan casserole, regular</t>
        </is>
      </c>
      <c r="C3892" s="1" t="n">
        <v>1</v>
      </c>
      <c r="D3892" s="1" t="inlineStr">
        <is>
          <t>Links to FNDDS</t>
        </is>
      </c>
      <c r="E3892" s="1" t="inlineStr">
        <is>
          <t>Base</t>
        </is>
      </c>
      <c r="F3892" s="1" t="n">
        <v>1.01504</v>
      </c>
    </row>
    <row r="3893" ht="15.75" customHeight="1" s="201">
      <c r="A3893" s="1" t="n">
        <v>75412070</v>
      </c>
      <c r="B3893" s="1" t="inlineStr">
        <is>
          <t>Eggplant with cheese and tomato sauce (Includes baked eggplant casserole)</t>
        </is>
      </c>
      <c r="C3893" s="1" t="n">
        <v>4</v>
      </c>
      <c r="D3893" s="1" t="inlineStr">
        <is>
          <t>FNDDS recipe with replaced or modified SR codes</t>
        </is>
      </c>
      <c r="E3893" s="1" t="inlineStr">
        <is>
          <t>Base</t>
        </is>
      </c>
      <c r="F3893" s="1" t="n">
        <v>0.617896</v>
      </c>
    </row>
    <row r="3894" ht="15.75" customHeight="1" s="201">
      <c r="A3894" s="1" t="n">
        <v>75414020</v>
      </c>
      <c r="B3894" s="1" t="inlineStr">
        <is>
          <t>Mushrooms, stuffed</t>
        </is>
      </c>
      <c r="C3894" s="1" t="n">
        <v>1</v>
      </c>
      <c r="D3894" s="1" t="inlineStr">
        <is>
          <t>Links to FNDDS</t>
        </is>
      </c>
      <c r="E3894" s="1" t="inlineStr">
        <is>
          <t>Base</t>
        </is>
      </c>
      <c r="F3894" s="1" t="n">
        <v>1.783913</v>
      </c>
    </row>
    <row r="3895" ht="15.75" customHeight="1" s="201">
      <c r="A3895" s="1" t="n">
        <v>75414030</v>
      </c>
      <c r="B3895" s="1" t="inlineStr">
        <is>
          <t>Fried mushrooms (Includes battered or breaded)</t>
        </is>
      </c>
      <c r="C3895" s="1" t="n">
        <v>1</v>
      </c>
      <c r="D3895" s="1" t="inlineStr">
        <is>
          <t>Links to FNDDS</t>
        </is>
      </c>
      <c r="E3895" s="1" t="inlineStr">
        <is>
          <t>Base</t>
        </is>
      </c>
      <c r="F3895" s="1" t="n">
        <v>1.166754</v>
      </c>
    </row>
    <row r="3896" ht="15.75" customHeight="1" s="201">
      <c r="A3896" s="1" t="n">
        <v>75414500</v>
      </c>
      <c r="B3896" s="1" t="inlineStr">
        <is>
          <t>Fried okra (Includes battered or breaded)</t>
        </is>
      </c>
      <c r="C3896" s="1" t="n">
        <v>1</v>
      </c>
      <c r="D3896" s="1" t="inlineStr">
        <is>
          <t>Links to FNDDS</t>
        </is>
      </c>
      <c r="E3896" s="1" t="inlineStr">
        <is>
          <t>Base</t>
        </is>
      </c>
      <c r="F3896" s="1" t="n">
        <v>0.344388</v>
      </c>
    </row>
    <row r="3897" ht="15.75" customHeight="1" s="201">
      <c r="A3897" s="1" t="n">
        <v>75415022</v>
      </c>
      <c r="B3897" s="1" t="inlineStr">
        <is>
          <t>Fried onion rings (Includes battered or breaded)</t>
        </is>
      </c>
      <c r="C3897" s="1" t="n">
        <v>2</v>
      </c>
      <c r="D3897" s="1" t="inlineStr">
        <is>
          <t>Links to altEC</t>
        </is>
      </c>
      <c r="E3897" s="1" t="inlineStr">
        <is>
          <t>Base</t>
        </is>
      </c>
      <c r="F3897" s="1" t="n">
        <v>1.266529</v>
      </c>
    </row>
    <row r="3898" ht="15.75" customHeight="1" s="201">
      <c r="A3898" s="1" t="n">
        <v>75416600</v>
      </c>
      <c r="B3898" s="1" t="inlineStr">
        <is>
          <t>Pea salad with cheese</t>
        </is>
      </c>
      <c r="C3898" s="1" t="n">
        <v>1</v>
      </c>
      <c r="D3898" s="1" t="inlineStr">
        <is>
          <t>Links to FNDDS</t>
        </is>
      </c>
      <c r="E3898" s="1" t="inlineStr">
        <is>
          <t>Base</t>
        </is>
      </c>
      <c r="F3898" s="1" t="n">
        <v>0.913489</v>
      </c>
    </row>
    <row r="3899" ht="15.75" customHeight="1" s="201">
      <c r="A3899" s="1" t="n">
        <v>75418010</v>
      </c>
      <c r="B3899" s="1" t="inlineStr">
        <is>
          <t>Fried summer squash, yellow or green (Includes zucchini pancakes; battered or breaded)</t>
        </is>
      </c>
      <c r="C3899" s="1" t="n">
        <v>1</v>
      </c>
      <c r="D3899" s="1" t="inlineStr">
        <is>
          <t>Links to FNDDS</t>
        </is>
      </c>
      <c r="E3899" s="1" t="inlineStr">
        <is>
          <t>Base</t>
        </is>
      </c>
      <c r="F3899" s="1" t="n">
        <v>1.384651</v>
      </c>
    </row>
    <row r="3900" ht="15.75" customHeight="1" s="201">
      <c r="A3900" s="1" t="n">
        <v>75418030</v>
      </c>
      <c r="B3900" s="1" t="inlineStr">
        <is>
          <t>Squash, summer, casserole, with rice and tomato sauce</t>
        </is>
      </c>
      <c r="C3900" s="1" t="n">
        <v>4</v>
      </c>
      <c r="D3900" s="1" t="inlineStr">
        <is>
          <t>FNDDS recipe with replaced or modified SR codes</t>
        </is>
      </c>
      <c r="E3900" s="1" t="inlineStr">
        <is>
          <t>Base</t>
        </is>
      </c>
      <c r="F3900" s="1" t="n">
        <v>0.345449</v>
      </c>
    </row>
    <row r="3901" ht="15.75" customHeight="1" s="201">
      <c r="A3901" s="1" t="n">
        <v>75418040</v>
      </c>
      <c r="B3901" s="1" t="inlineStr">
        <is>
          <t>Squash, summer, casserole, with cheese sauce</t>
        </is>
      </c>
      <c r="C3901" s="1" t="n">
        <v>4</v>
      </c>
      <c r="D3901" s="1" t="inlineStr">
        <is>
          <t>FNDDS recipe with replaced or modified SR codes</t>
        </is>
      </c>
      <c r="E3901" s="1" t="inlineStr">
        <is>
          <t>Base</t>
        </is>
      </c>
      <c r="F3901" s="1" t="n">
        <v>0.491226</v>
      </c>
    </row>
    <row r="3902" ht="15.75" customHeight="1" s="201">
      <c r="A3902" s="1" t="n">
        <v>75439010</v>
      </c>
      <c r="B3902" s="1" t="inlineStr">
        <is>
          <t>Vegetable stew without meat</t>
        </is>
      </c>
      <c r="C3902" s="1" t="n">
        <v>4</v>
      </c>
      <c r="D3902" s="1" t="inlineStr">
        <is>
          <t>FNDDS recipe with replaced or modified SR codes</t>
        </is>
      </c>
      <c r="E3902" s="1" t="inlineStr">
        <is>
          <t>Base</t>
        </is>
      </c>
      <c r="F3902" s="1" t="n">
        <v>0.446204</v>
      </c>
    </row>
    <row r="3903" ht="15.75" customHeight="1" s="201">
      <c r="A3903" s="1" t="n">
        <v>75440200</v>
      </c>
      <c r="B3903" s="1" t="inlineStr">
        <is>
          <t>Vegetable tempura</t>
        </is>
      </c>
      <c r="C3903" s="1" t="n">
        <v>4</v>
      </c>
      <c r="D3903" s="1" t="inlineStr">
        <is>
          <t>FNDDS recipe with replaced or modified SR codes</t>
        </is>
      </c>
      <c r="E3903" s="1" t="inlineStr">
        <is>
          <t>Base</t>
        </is>
      </c>
      <c r="F3903" s="1" t="n">
        <v>0.406747</v>
      </c>
    </row>
    <row r="3904" ht="15.75" customHeight="1" s="201">
      <c r="A3904" s="1" t="n">
        <v>75440400</v>
      </c>
      <c r="B3904" s="1" t="inlineStr">
        <is>
          <t>Pakora (Includes vegetables dipped in chickpea flour, fried)</t>
        </is>
      </c>
      <c r="C3904" s="1" t="n">
        <v>1</v>
      </c>
      <c r="D3904" s="1" t="inlineStr">
        <is>
          <t>Links to FNDDS</t>
        </is>
      </c>
      <c r="E3904" s="1" t="inlineStr">
        <is>
          <t>Base</t>
        </is>
      </c>
      <c r="F3904" s="1" t="n">
        <v>0.7312</v>
      </c>
    </row>
    <row r="3905" ht="15.75" customHeight="1" s="201">
      <c r="A3905" s="1" t="n">
        <v>75440600</v>
      </c>
      <c r="B3905" s="1" t="inlineStr">
        <is>
          <t>Vegetable curry</t>
        </is>
      </c>
      <c r="C3905" s="1" t="n">
        <v>4</v>
      </c>
      <c r="D3905" s="1" t="inlineStr">
        <is>
          <t>FNDDS recipe with replaced or modified SR codes</t>
        </is>
      </c>
      <c r="E3905" s="1" t="inlineStr">
        <is>
          <t>Base</t>
        </is>
      </c>
      <c r="F3905" s="1" t="n">
        <v>0.669788</v>
      </c>
    </row>
    <row r="3906" ht="15.75" customHeight="1" s="201">
      <c r="A3906" s="1" t="n">
        <v>75440610</v>
      </c>
      <c r="B3906" s="1" t="inlineStr">
        <is>
          <t>Vegetable curry with rice</t>
        </is>
      </c>
      <c r="C3906" s="1" t="n">
        <v>4</v>
      </c>
      <c r="D3906" s="1" t="inlineStr">
        <is>
          <t>FNDDS recipe with replaced or modified SR codes</t>
        </is>
      </c>
      <c r="E3906" s="1" t="inlineStr">
        <is>
          <t>Base</t>
        </is>
      </c>
      <c r="F3906" s="1" t="n">
        <v>0.439287</v>
      </c>
    </row>
    <row r="3907" ht="15.75" customHeight="1" s="201">
      <c r="A3907" s="1" t="n">
        <v>75460900</v>
      </c>
      <c r="B3907" s="1" t="inlineStr">
        <is>
          <t>Chow mein or chop suey, meatless, with noodles (Includes vegetable chow mein or chop suey)</t>
        </is>
      </c>
      <c r="C3907" s="1" t="n">
        <v>1</v>
      </c>
      <c r="D3907" s="1" t="inlineStr">
        <is>
          <t>Links to FNDDS</t>
        </is>
      </c>
      <c r="E3907" s="1" t="inlineStr">
        <is>
          <t>Base</t>
        </is>
      </c>
      <c r="F3907" s="1" t="n">
        <v>0.844521</v>
      </c>
    </row>
    <row r="3908" ht="15.75" customHeight="1" s="201">
      <c r="A3908" s="1" t="n">
        <v>75500210</v>
      </c>
      <c r="B3908" s="1" t="inlineStr">
        <is>
          <t>Beets, pickled (Includes pickled beets with onions; beet salad)</t>
        </is>
      </c>
      <c r="C3908" s="1" t="n">
        <v>1</v>
      </c>
      <c r="D3908" s="1" t="inlineStr">
        <is>
          <t>Links to FNDDS</t>
        </is>
      </c>
      <c r="E3908" s="1" t="inlineStr">
        <is>
          <t>Base</t>
        </is>
      </c>
      <c r="F3908" s="1" t="n">
        <v>0.417644</v>
      </c>
    </row>
    <row r="3909" ht="15.75" customHeight="1" s="201">
      <c r="A3909" s="1" t="n">
        <v>75501010</v>
      </c>
      <c r="B3909" s="1" t="inlineStr">
        <is>
          <t>Relish, corn (Includes vegetable relish)</t>
        </is>
      </c>
      <c r="C3909" s="1" t="n">
        <v>2</v>
      </c>
      <c r="D3909" s="1" t="inlineStr">
        <is>
          <t>Links to altEC</t>
        </is>
      </c>
      <c r="E3909" s="1" t="inlineStr">
        <is>
          <t>Base</t>
        </is>
      </c>
      <c r="F3909" s="1" t="n">
        <v>1.622881</v>
      </c>
    </row>
    <row r="3910" ht="15.75" customHeight="1" s="201">
      <c r="A3910" s="1" t="n">
        <v>75502500</v>
      </c>
      <c r="B3910" s="1" t="inlineStr">
        <is>
          <t>Cabbage, fresh, pickled, Japanese style</t>
        </is>
      </c>
      <c r="C3910" s="1" t="n">
        <v>2</v>
      </c>
      <c r="D3910" s="1" t="inlineStr">
        <is>
          <t>Links to altEC</t>
        </is>
      </c>
      <c r="E3910" s="1" t="inlineStr">
        <is>
          <t>Base</t>
        </is>
      </c>
      <c r="F3910" s="1" t="n">
        <v>0.489009</v>
      </c>
    </row>
    <row r="3911" ht="15.75" customHeight="1" s="201">
      <c r="A3911" s="1" t="n">
        <v>75502510</v>
      </c>
      <c r="B3911" s="1" t="inlineStr">
        <is>
          <t>Cabbage, red, pickled (Includes sweet and sour red cabbage)</t>
        </is>
      </c>
      <c r="C3911" s="1" t="n">
        <v>1</v>
      </c>
      <c r="D3911" s="1" t="inlineStr">
        <is>
          <t>Links to FNDDS</t>
        </is>
      </c>
      <c r="E3911" s="1" t="inlineStr">
        <is>
          <t>Base</t>
        </is>
      </c>
      <c r="F3911" s="1" t="n">
        <v>0.489009</v>
      </c>
    </row>
    <row r="3912" ht="15.75" customHeight="1" s="201">
      <c r="A3912" s="1" t="n">
        <v>75502520</v>
      </c>
      <c r="B3912" s="1" t="inlineStr">
        <is>
          <t>Kimchi (Includes Kim Chee)</t>
        </is>
      </c>
      <c r="C3912" s="1" t="n">
        <v>1</v>
      </c>
      <c r="D3912" s="1" t="inlineStr">
        <is>
          <t>Links to FNDDS</t>
        </is>
      </c>
      <c r="E3912" s="1" t="inlineStr">
        <is>
          <t>Base</t>
        </is>
      </c>
      <c r="F3912" s="1" t="n">
        <v>1.307301</v>
      </c>
    </row>
    <row r="3913" ht="15.75" customHeight="1" s="201">
      <c r="A3913" s="1" t="n">
        <v>75503010</v>
      </c>
      <c r="B3913" s="1" t="inlineStr">
        <is>
          <t>Pickles, dill (Includes sour)</t>
        </is>
      </c>
      <c r="C3913" s="1" t="n">
        <v>1</v>
      </c>
      <c r="D3913" s="1" t="inlineStr">
        <is>
          <t>Links to FNDDS</t>
        </is>
      </c>
      <c r="E3913" s="1" t="inlineStr">
        <is>
          <t>Base</t>
        </is>
      </c>
      <c r="F3913" s="1" t="n">
        <v>0.380873</v>
      </c>
    </row>
    <row r="3914" ht="15.75" customHeight="1" s="201">
      <c r="A3914" s="1" t="n">
        <v>75503020</v>
      </c>
      <c r="B3914" s="1" t="inlineStr">
        <is>
          <t>Relish, pickle (Includes relish, NFS; sweet; mustard; hot dog)</t>
        </is>
      </c>
      <c r="C3914" s="1" t="n">
        <v>2</v>
      </c>
      <c r="D3914" s="1" t="inlineStr">
        <is>
          <t>Links to altEC</t>
        </is>
      </c>
      <c r="E3914" s="1" t="inlineStr">
        <is>
          <t>Base</t>
        </is>
      </c>
      <c r="F3914" s="1" t="n">
        <v>0.471783</v>
      </c>
    </row>
    <row r="3915" ht="15.75" customHeight="1" s="201">
      <c r="A3915" s="1" t="n">
        <v>75503040</v>
      </c>
      <c r="B3915" s="1" t="inlineStr">
        <is>
          <t>Pickles, sweet (Includes gherkin; bread and butter)</t>
        </is>
      </c>
      <c r="C3915" s="1" t="n">
        <v>1</v>
      </c>
      <c r="D3915" s="1" t="inlineStr">
        <is>
          <t>Links to FNDDS</t>
        </is>
      </c>
      <c r="E3915" s="1" t="inlineStr">
        <is>
          <t>Base</t>
        </is>
      </c>
      <c r="F3915" s="1" t="n">
        <v>0.703969</v>
      </c>
    </row>
    <row r="3916" ht="15.75" customHeight="1" s="201">
      <c r="A3916" s="1" t="n">
        <v>75503085</v>
      </c>
      <c r="B3916" s="1" t="inlineStr">
        <is>
          <t>Ginger root, pickled (Includes gari; sushi ginger)</t>
        </is>
      </c>
      <c r="C3916" s="1" t="n">
        <v>1</v>
      </c>
      <c r="D3916" s="1" t="inlineStr">
        <is>
          <t>Links to FNDDS</t>
        </is>
      </c>
      <c r="E3916" s="1" t="inlineStr">
        <is>
          <t>Base</t>
        </is>
      </c>
      <c r="F3916" s="1" t="n">
        <v>1.557557</v>
      </c>
    </row>
    <row r="3917" ht="15.75" customHeight="1" s="201">
      <c r="A3917" s="1" t="n">
        <v>75503090</v>
      </c>
      <c r="B3917" s="1" t="inlineStr">
        <is>
          <t>Horseradish</t>
        </is>
      </c>
      <c r="C3917" s="1" t="n">
        <v>1</v>
      </c>
      <c r="D3917" s="1" t="inlineStr">
        <is>
          <t>Links to FNDDS</t>
        </is>
      </c>
      <c r="E3917" s="1" t="inlineStr">
        <is>
          <t>Base</t>
        </is>
      </c>
      <c r="F3917" s="1" t="n">
        <v>1.142933</v>
      </c>
    </row>
    <row r="3918" ht="15.75" customHeight="1" s="201">
      <c r="A3918" s="1" t="n">
        <v>75505000</v>
      </c>
      <c r="B3918" s="1" t="inlineStr">
        <is>
          <t>Mushrooms, pickled</t>
        </is>
      </c>
      <c r="C3918" s="1" t="n">
        <v>1</v>
      </c>
      <c r="D3918" s="1" t="inlineStr">
        <is>
          <t>Links to FNDDS</t>
        </is>
      </c>
      <c r="E3918" s="1" t="inlineStr">
        <is>
          <t>Base</t>
        </is>
      </c>
      <c r="F3918" s="1" t="n">
        <v>1.198342</v>
      </c>
    </row>
    <row r="3919" ht="15.75" customHeight="1" s="201">
      <c r="A3919" s="1" t="n">
        <v>75506010</v>
      </c>
      <c r="B3919" s="1" t="inlineStr">
        <is>
          <t>Mustard</t>
        </is>
      </c>
      <c r="C3919" s="1" t="n">
        <v>1</v>
      </c>
      <c r="D3919" s="1" t="inlineStr">
        <is>
          <t>Links to FNDDS</t>
        </is>
      </c>
      <c r="E3919" s="1" t="inlineStr">
        <is>
          <t>Base</t>
        </is>
      </c>
      <c r="F3919" s="1" t="n">
        <v>0.490541</v>
      </c>
    </row>
    <row r="3920" ht="15.75" customHeight="1" s="201">
      <c r="A3920" s="1" t="n">
        <v>75506100</v>
      </c>
      <c r="B3920" s="1" t="inlineStr">
        <is>
          <t>Honey mustard dip (Includes honey mustard dipping sauce; hot mustard dipping sauce)</t>
        </is>
      </c>
      <c r="C3920" s="1" t="n">
        <v>1</v>
      </c>
      <c r="D3920" s="1" t="inlineStr">
        <is>
          <t>Links to FNDDS</t>
        </is>
      </c>
      <c r="E3920" s="1" t="inlineStr">
        <is>
          <t>Base</t>
        </is>
      </c>
      <c r="F3920" s="1" t="n">
        <v>0.486169</v>
      </c>
    </row>
    <row r="3921" ht="15.75" customHeight="1" s="201">
      <c r="A3921" s="1" t="n">
        <v>75507000</v>
      </c>
      <c r="B3921" s="1" t="inlineStr">
        <is>
          <t>Okra, pickled</t>
        </is>
      </c>
      <c r="C3921" s="1" t="n">
        <v>1</v>
      </c>
      <c r="D3921" s="1" t="inlineStr">
        <is>
          <t>Links to FNDDS</t>
        </is>
      </c>
      <c r="E3921" s="1" t="inlineStr">
        <is>
          <t>Base</t>
        </is>
      </c>
      <c r="F3921" s="1" t="n">
        <v>1.055352</v>
      </c>
    </row>
    <row r="3922" ht="15.75" customHeight="1" s="201">
      <c r="A3922" s="1" t="n">
        <v>75510000</v>
      </c>
      <c r="B3922" s="1" t="inlineStr">
        <is>
          <t>Olives, NFS</t>
        </is>
      </c>
      <c r="C3922" s="1" t="n">
        <v>2</v>
      </c>
      <c r="D3922" s="1" t="inlineStr">
        <is>
          <t>Links to altEC</t>
        </is>
      </c>
      <c r="E3922" s="1" t="inlineStr">
        <is>
          <t>Base</t>
        </is>
      </c>
      <c r="F3922" s="1" t="n">
        <v>2.429412</v>
      </c>
    </row>
    <row r="3923" ht="15.75" customHeight="1" s="201">
      <c r="A3923" s="1" t="n">
        <v>75510010</v>
      </c>
      <c r="B3923" s="1" t="inlineStr">
        <is>
          <t>Olives, green</t>
        </is>
      </c>
      <c r="C3923" s="1" t="n">
        <v>1</v>
      </c>
      <c r="D3923" s="1" t="inlineStr">
        <is>
          <t>Links to FNDDS</t>
        </is>
      </c>
      <c r="E3923" s="1" t="inlineStr">
        <is>
          <t>Base</t>
        </is>
      </c>
      <c r="F3923" s="1" t="n">
        <v>2.501533</v>
      </c>
    </row>
    <row r="3924" ht="15.75" customHeight="1" s="201">
      <c r="A3924" s="1" t="n">
        <v>75510020</v>
      </c>
      <c r="B3924" s="1" t="inlineStr">
        <is>
          <t>Olives, black (Includes kalamata; purple)</t>
        </is>
      </c>
      <c r="C3924" s="1" t="n">
        <v>1</v>
      </c>
      <c r="D3924" s="1" t="inlineStr">
        <is>
          <t>Links to FNDDS</t>
        </is>
      </c>
      <c r="E3924" s="1" t="inlineStr">
        <is>
          <t>Base</t>
        </is>
      </c>
      <c r="F3924" s="1" t="n">
        <v>2.654093</v>
      </c>
    </row>
    <row r="3925" ht="15.75" customHeight="1" s="201">
      <c r="A3925" s="1" t="n">
        <v>75510030</v>
      </c>
      <c r="B3925" s="1" t="inlineStr">
        <is>
          <t>Olives, stuffed</t>
        </is>
      </c>
      <c r="C3925" s="1" t="n">
        <v>1</v>
      </c>
      <c r="D3925" s="1" t="inlineStr">
        <is>
          <t>Links to FNDDS</t>
        </is>
      </c>
      <c r="E3925" s="1" t="inlineStr">
        <is>
          <t>Base</t>
        </is>
      </c>
      <c r="F3925" s="1" t="n">
        <v>2.032067</v>
      </c>
    </row>
    <row r="3926" ht="15.75" customHeight="1" s="201">
      <c r="A3926" s="1" t="n">
        <v>75511010</v>
      </c>
      <c r="B3926" s="1" t="inlineStr">
        <is>
          <t>Hot pepper sauce (Includes Tabasco sauce; Lousianna Hot Sauce; hot sauce, NFS)</t>
        </is>
      </c>
      <c r="C3926" s="1" t="n">
        <v>1</v>
      </c>
      <c r="D3926" s="1" t="inlineStr">
        <is>
          <t>Links to FNDDS</t>
        </is>
      </c>
      <c r="E3926" s="1" t="inlineStr">
        <is>
          <t>Base</t>
        </is>
      </c>
      <c r="F3926" s="1" t="n">
        <v>0.742085</v>
      </c>
    </row>
    <row r="3927" ht="15.75" customHeight="1" s="201">
      <c r="A3927" s="1" t="n">
        <v>75511020</v>
      </c>
      <c r="B3927" s="1" t="inlineStr">
        <is>
          <t>Peppers, pickled (Includes red, green, and yellow)</t>
        </is>
      </c>
      <c r="C3927" s="1" t="n">
        <v>1</v>
      </c>
      <c r="D3927" s="1" t="inlineStr">
        <is>
          <t>Links to FNDDS</t>
        </is>
      </c>
      <c r="E3927" s="1" t="inlineStr">
        <is>
          <t>Base</t>
        </is>
      </c>
      <c r="F3927" s="1" t="n">
        <v>0.874426</v>
      </c>
    </row>
    <row r="3928" ht="15.75" customHeight="1" s="201">
      <c r="A3928" s="1" t="n">
        <v>75511040</v>
      </c>
      <c r="B3928" s="1" t="inlineStr">
        <is>
          <t>Pepper, hot, pickled (Includes pickled jalapeno pepper; hot pepper, NFS)</t>
        </is>
      </c>
      <c r="C3928" s="1" t="n">
        <v>2</v>
      </c>
      <c r="D3928" s="1" t="inlineStr">
        <is>
          <t>Links to altEC</t>
        </is>
      </c>
      <c r="E3928" s="1" t="inlineStr">
        <is>
          <t>Base</t>
        </is>
      </c>
      <c r="F3928" s="1" t="n">
        <v>0.285019</v>
      </c>
    </row>
    <row r="3929" ht="15.75" customHeight="1" s="201">
      <c r="A3929" s="1" t="n">
        <v>75511100</v>
      </c>
      <c r="B3929" s="1" t="inlineStr">
        <is>
          <t>Pickles, NFS (Includes mixed pickles)</t>
        </is>
      </c>
      <c r="C3929" s="1" t="n">
        <v>2</v>
      </c>
      <c r="D3929" s="1" t="inlineStr">
        <is>
          <t>Links to altEC</t>
        </is>
      </c>
      <c r="E3929" s="1" t="inlineStr">
        <is>
          <t>Base</t>
        </is>
      </c>
      <c r="F3929" s="1" t="n">
        <v>0.41623</v>
      </c>
    </row>
    <row r="3930" ht="15.75" customHeight="1" s="201">
      <c r="A3930" s="1" t="n">
        <v>75512010</v>
      </c>
      <c r="B3930" s="1" t="inlineStr">
        <is>
          <t>Radishes, pickled, Hawaiian style</t>
        </is>
      </c>
      <c r="C3930" s="1" t="n">
        <v>1</v>
      </c>
      <c r="D3930" s="1" t="inlineStr">
        <is>
          <t>Links to FNDDS</t>
        </is>
      </c>
      <c r="E3930" s="1" t="inlineStr">
        <is>
          <t>Base</t>
        </is>
      </c>
      <c r="F3930" s="1" t="n">
        <v>1.009239</v>
      </c>
    </row>
    <row r="3931" ht="15.75" customHeight="1" s="201">
      <c r="A3931" s="1" t="n">
        <v>75513010</v>
      </c>
      <c r="B3931" s="1" t="inlineStr">
        <is>
          <t>Seaweed, pickled (Includes sea moss; kelp; laver)</t>
        </is>
      </c>
      <c r="C3931" s="1" t="n">
        <v>2</v>
      </c>
      <c r="D3931" s="1" t="inlineStr">
        <is>
          <t>Links to altEC</t>
        </is>
      </c>
      <c r="E3931" s="1" t="inlineStr">
        <is>
          <t>Base</t>
        </is>
      </c>
      <c r="F3931" s="1" t="n">
        <v>0.924219</v>
      </c>
    </row>
    <row r="3932" ht="15.75" customHeight="1" s="201">
      <c r="A3932" s="1" t="n">
        <v>75515100</v>
      </c>
      <c r="B3932" s="1" t="inlineStr">
        <is>
          <t>Vegetables, pickled (Includes giardiniera)</t>
        </is>
      </c>
      <c r="C3932" s="1" t="n">
        <v>1</v>
      </c>
      <c r="D3932" s="1" t="inlineStr">
        <is>
          <t>Links to FNDDS</t>
        </is>
      </c>
      <c r="E3932" s="1" t="inlineStr">
        <is>
          <t>Base</t>
        </is>
      </c>
      <c r="F3932" s="1" t="n">
        <v>0.924219</v>
      </c>
    </row>
    <row r="3933" ht="15.75" customHeight="1" s="201">
      <c r="A3933" s="1" t="n">
        <v>75534550</v>
      </c>
      <c r="B3933" s="1" t="inlineStr">
        <is>
          <t>Wasabi paste (Includes wasabi sauce)</t>
        </is>
      </c>
      <c r="C3933" s="1" t="n">
        <v>1</v>
      </c>
      <c r="D3933" s="1" t="inlineStr">
        <is>
          <t>Links to FNDDS</t>
        </is>
      </c>
      <c r="E3933" s="1" t="inlineStr">
        <is>
          <t>Base</t>
        </is>
      </c>
      <c r="F3933" s="1" t="n">
        <v>2.486494</v>
      </c>
    </row>
    <row r="3934" ht="15.75" customHeight="1" s="201">
      <c r="A3934" s="1" t="n">
        <v>75601200</v>
      </c>
      <c r="B3934" s="1" t="inlineStr">
        <is>
          <t>Cabbage soup, home recipe, canned or ready-to-serve</t>
        </is>
      </c>
      <c r="C3934" s="1" t="n">
        <v>2</v>
      </c>
      <c r="D3934" s="1" t="inlineStr">
        <is>
          <t>Links to altEC</t>
        </is>
      </c>
      <c r="E3934" s="1" t="inlineStr">
        <is>
          <t>Base</t>
        </is>
      </c>
      <c r="F3934" s="1" t="n">
        <v>0.415734</v>
      </c>
    </row>
    <row r="3935" ht="15.75" customHeight="1" s="201">
      <c r="A3935" s="1" t="n">
        <v>75601210</v>
      </c>
      <c r="B3935" s="1" t="inlineStr">
        <is>
          <t>Cabbage with meat soup, home recipe, canned or ready-to-serve</t>
        </is>
      </c>
      <c r="C3935" s="1" t="n">
        <v>4</v>
      </c>
      <c r="D3935" s="1" t="inlineStr">
        <is>
          <t>FNDDS recipe with replaced or modified SR codes</t>
        </is>
      </c>
      <c r="E3935" s="1" t="inlineStr">
        <is>
          <t>Base</t>
        </is>
      </c>
      <c r="F3935" s="1" t="n">
        <v>0.460285</v>
      </c>
    </row>
    <row r="3936" ht="15.75" customHeight="1" s="201">
      <c r="A3936" s="1" t="n">
        <v>75603010</v>
      </c>
      <c r="B3936" s="1" t="inlineStr">
        <is>
          <t>Celery soup, cream of, prepared with milk, home recipe, canned or ready-to-serve (Includes NS as to made with milk or water)</t>
        </is>
      </c>
      <c r="C3936" s="1" t="n">
        <v>4</v>
      </c>
      <c r="D3936" s="1" t="inlineStr">
        <is>
          <t>FNDDS recipe with replaced or modified SR codes</t>
        </is>
      </c>
      <c r="E3936" s="1" t="inlineStr">
        <is>
          <t>Base</t>
        </is>
      </c>
      <c r="F3936" s="1" t="n">
        <v>0.286676</v>
      </c>
    </row>
    <row r="3937" ht="15.75" customHeight="1" s="201">
      <c r="A3937" s="1" t="n">
        <v>75607000</v>
      </c>
      <c r="B3937" s="1" t="inlineStr">
        <is>
          <t>Mushroom soup, NFS</t>
        </is>
      </c>
      <c r="C3937" s="1" t="n">
        <v>2</v>
      </c>
      <c r="D3937" s="1" t="inlineStr">
        <is>
          <t>Links to altEC</t>
        </is>
      </c>
      <c r="E3937" s="1" t="inlineStr">
        <is>
          <t>Base</t>
        </is>
      </c>
      <c r="F3937" s="1" t="n">
        <v>0.214622</v>
      </c>
    </row>
    <row r="3938" ht="15.75" customHeight="1" s="201">
      <c r="A3938" s="1" t="n">
        <v>75607010</v>
      </c>
      <c r="B3938" s="1" t="inlineStr">
        <is>
          <t>Mushroom soup, cream of, prepared with milk</t>
        </is>
      </c>
      <c r="C3938" s="1" t="n">
        <v>4</v>
      </c>
      <c r="D3938" s="1" t="inlineStr">
        <is>
          <t>FNDDS recipe with replaced or modified SR codes</t>
        </is>
      </c>
      <c r="E3938" s="1" t="inlineStr">
        <is>
          <t>Base</t>
        </is>
      </c>
      <c r="F3938" s="1" t="n">
        <v>0.276826</v>
      </c>
    </row>
    <row r="3939" ht="15.75" customHeight="1" s="201">
      <c r="A3939" s="1" t="n">
        <v>75607040</v>
      </c>
      <c r="B3939" s="1" t="inlineStr">
        <is>
          <t>Mushroom soup, with meat broth, prepared with water (Includes Campbell's Beefy Mushroom)</t>
        </is>
      </c>
      <c r="C3939" s="1" t="n">
        <v>3</v>
      </c>
      <c r="D3939" s="1" t="inlineStr">
        <is>
          <t>Original FNDDS recipe</t>
        </is>
      </c>
      <c r="E3939" s="1" t="inlineStr">
        <is>
          <t>Base</t>
        </is>
      </c>
      <c r="F3939" s="1" t="n">
        <v>0.254076</v>
      </c>
    </row>
    <row r="3940" ht="15.75" customHeight="1" s="201">
      <c r="A3940" s="1" t="n">
        <v>75607140</v>
      </c>
      <c r="B3940" s="1" t="inlineStr">
        <is>
          <t>Mushroom soup, cream of, canned, reduced sodium, prepared with water (Includes Campbell's Healthy Request)</t>
        </is>
      </c>
      <c r="C3940" s="1" t="n">
        <v>3</v>
      </c>
      <c r="D3940" s="1" t="inlineStr">
        <is>
          <t>Original FNDDS recipe</t>
        </is>
      </c>
      <c r="E3940" s="1" t="inlineStr">
        <is>
          <t>Base</t>
        </is>
      </c>
      <c r="F3940" s="1" t="n">
        <v>0.250334</v>
      </c>
    </row>
    <row r="3941" ht="15.75" customHeight="1" s="201">
      <c r="A3941" s="1" t="n">
        <v>75608100</v>
      </c>
      <c r="B3941" s="1" t="inlineStr">
        <is>
          <t>Onion soup, French</t>
        </is>
      </c>
      <c r="C3941" s="1" t="n">
        <v>1</v>
      </c>
      <c r="D3941" s="1" t="inlineStr">
        <is>
          <t>Links to FNDDS</t>
        </is>
      </c>
      <c r="E3941" s="1" t="inlineStr">
        <is>
          <t>Base</t>
        </is>
      </c>
      <c r="F3941" s="1" t="n">
        <v>0.323659</v>
      </c>
    </row>
    <row r="3942" ht="15.75" customHeight="1" s="201">
      <c r="A3942" s="1" t="n">
        <v>75608200</v>
      </c>
      <c r="B3942" s="1" t="inlineStr">
        <is>
          <t>Onion soup, made from dry mix</t>
        </is>
      </c>
      <c r="C3942" s="1" t="n">
        <v>1</v>
      </c>
      <c r="D3942" s="1" t="inlineStr">
        <is>
          <t>Links to FNDDS</t>
        </is>
      </c>
      <c r="E3942" s="1" t="inlineStr">
        <is>
          <t>Base</t>
        </is>
      </c>
      <c r="F3942" s="1" t="n">
        <v>0.17367</v>
      </c>
    </row>
    <row r="3943" ht="15.75" customHeight="1" s="201">
      <c r="A3943" s="1" t="n">
        <v>75611010</v>
      </c>
      <c r="B3943" s="1" t="inlineStr">
        <is>
          <t>Vegetable soup, cream of, prepared with milk</t>
        </is>
      </c>
      <c r="C3943" s="1" t="n">
        <v>1</v>
      </c>
      <c r="D3943" s="1" t="inlineStr">
        <is>
          <t>Links to FNDDS</t>
        </is>
      </c>
      <c r="E3943" s="1" t="inlineStr">
        <is>
          <t>Base</t>
        </is>
      </c>
      <c r="F3943" s="1" t="n">
        <v>0.462688</v>
      </c>
    </row>
    <row r="3944" ht="15.75" customHeight="1" s="201">
      <c r="A3944" s="1" t="n">
        <v>75612010</v>
      </c>
      <c r="B3944" s="1" t="inlineStr">
        <is>
          <t>Zucchini soup, cream of, prepared with milk</t>
        </is>
      </c>
      <c r="C3944" s="1" t="n">
        <v>4</v>
      </c>
      <c r="D3944" s="1" t="inlineStr">
        <is>
          <t>FNDDS recipe with replaced or modified SR codes</t>
        </is>
      </c>
      <c r="E3944" s="1" t="inlineStr">
        <is>
          <t>Base</t>
        </is>
      </c>
      <c r="F3944" s="1" t="n">
        <v>0.244685</v>
      </c>
    </row>
    <row r="3945" ht="15.75" customHeight="1" s="201">
      <c r="A3945" s="1" t="n">
        <v>75649010</v>
      </c>
      <c r="B3945" s="1" t="inlineStr">
        <is>
          <t>Vegetable soup, canned, prepared with water or ready-to-serve (Includes vegetable soup, NFS)</t>
        </is>
      </c>
      <c r="C3945" s="1" t="n">
        <v>2</v>
      </c>
      <c r="D3945" s="1" t="inlineStr">
        <is>
          <t>Links to altEC</t>
        </is>
      </c>
      <c r="E3945" s="1" t="inlineStr">
        <is>
          <t>Base</t>
        </is>
      </c>
      <c r="F3945" s="1" t="n">
        <v>0.356506</v>
      </c>
    </row>
    <row r="3946" ht="15.75" customHeight="1" s="201">
      <c r="A3946" s="1" t="n">
        <v>75649040</v>
      </c>
      <c r="B3946" s="1" t="inlineStr">
        <is>
          <t>Vegetable soup, reduced sodium, canned, ready to serve (Includes Campbell's Healhty Request; Progresso Reduced sodium)</t>
        </is>
      </c>
      <c r="C3946" s="1" t="n">
        <v>1</v>
      </c>
      <c r="D3946" s="1" t="inlineStr">
        <is>
          <t>Links to FNDDS</t>
        </is>
      </c>
      <c r="E3946" s="1" t="inlineStr">
        <is>
          <t>Base</t>
        </is>
      </c>
      <c r="F3946" s="1" t="n">
        <v>0.335603</v>
      </c>
    </row>
    <row r="3947" ht="15.75" customHeight="1" s="201">
      <c r="A3947" s="1" t="n">
        <v>75649110</v>
      </c>
      <c r="B3947" s="1" t="inlineStr">
        <is>
          <t>Vegetable soup, home recipe</t>
        </is>
      </c>
      <c r="C3947" s="1" t="n">
        <v>2</v>
      </c>
      <c r="D3947" s="1" t="inlineStr">
        <is>
          <t>Links to altEC</t>
        </is>
      </c>
      <c r="E3947" s="1" t="inlineStr">
        <is>
          <t>Base</t>
        </is>
      </c>
      <c r="F3947" s="1" t="n">
        <v>0.356506</v>
      </c>
    </row>
    <row r="3948" ht="15.75" customHeight="1" s="201">
      <c r="A3948" s="1" t="n">
        <v>75649150</v>
      </c>
      <c r="B3948" s="1" t="inlineStr">
        <is>
          <t>Vegetable noodle soup, home recipe</t>
        </is>
      </c>
      <c r="C3948" s="1" t="n">
        <v>2</v>
      </c>
      <c r="D3948" s="1" t="inlineStr">
        <is>
          <t>Links to altEC</t>
        </is>
      </c>
      <c r="E3948" s="1" t="inlineStr">
        <is>
          <t>Base</t>
        </is>
      </c>
      <c r="F3948" s="1" t="n">
        <v>0.392698</v>
      </c>
    </row>
    <row r="3949" ht="15.75" customHeight="1" s="201">
      <c r="A3949" s="1" t="n">
        <v>75651000</v>
      </c>
      <c r="B3949" s="1" t="inlineStr">
        <is>
          <t>Minestrone soup, home recipe</t>
        </is>
      </c>
      <c r="C3949" s="1" t="n">
        <v>4</v>
      </c>
      <c r="D3949" s="1" t="inlineStr">
        <is>
          <t>FNDDS recipe with replaced or modified SR codes</t>
        </is>
      </c>
      <c r="E3949" s="1" t="inlineStr">
        <is>
          <t>Base</t>
        </is>
      </c>
      <c r="F3949" s="1" t="n">
        <v>0.382857</v>
      </c>
    </row>
    <row r="3950" ht="15.75" customHeight="1" s="201">
      <c r="A3950" s="1" t="n">
        <v>75651010</v>
      </c>
      <c r="B3950" s="1" t="inlineStr">
        <is>
          <t>Minestrone soup, canned, prepared with water, or ready-to-serve (Includes Progresso Original Recipe Minestrone; vegetable bean soup, canned, prepared with water, or ready-to-serve)</t>
        </is>
      </c>
      <c r="C3950" s="1" t="n">
        <v>1</v>
      </c>
      <c r="D3950" s="1" t="inlineStr">
        <is>
          <t>Links to FNDDS</t>
        </is>
      </c>
      <c r="E3950" s="1" t="inlineStr">
        <is>
          <t>Base</t>
        </is>
      </c>
      <c r="F3950" s="1" t="n">
        <v>0.370571</v>
      </c>
    </row>
    <row r="3951" ht="15.75" customHeight="1" s="201">
      <c r="A3951" s="1" t="n">
        <v>75651020</v>
      </c>
      <c r="B3951" s="1" t="inlineStr">
        <is>
          <t>Vegetable beef soup, canned, prepared with water, or ready-to-serve (Includes vegetable with meat soups)</t>
        </is>
      </c>
      <c r="C3951" s="1" t="n">
        <v>1</v>
      </c>
      <c r="D3951" s="1" t="inlineStr">
        <is>
          <t>Links to FNDDS</t>
        </is>
      </c>
      <c r="E3951" s="1" t="inlineStr">
        <is>
          <t>Base</t>
        </is>
      </c>
      <c r="F3951" s="1" t="n">
        <v>0.260505</v>
      </c>
    </row>
    <row r="3952" ht="15.75" customHeight="1" s="201">
      <c r="A3952" s="1" t="n">
        <v>75651070</v>
      </c>
      <c r="B3952" s="1" t="inlineStr">
        <is>
          <t>Vegetable rice soup, canned, prepared with water or ready-to-serve</t>
        </is>
      </c>
      <c r="C3952" s="1" t="n">
        <v>2</v>
      </c>
      <c r="D3952" s="1" t="inlineStr">
        <is>
          <t>Links to altEC</t>
        </is>
      </c>
      <c r="E3952" s="1" t="inlineStr">
        <is>
          <t>Base</t>
        </is>
      </c>
      <c r="F3952" s="1" t="n">
        <v>0.392698</v>
      </c>
    </row>
    <row r="3953" ht="15.75" customHeight="1" s="201">
      <c r="A3953" s="1" t="n">
        <v>75651110</v>
      </c>
      <c r="B3953" s="1" t="inlineStr">
        <is>
          <t>Vegetable chicken rice soup, canned, prepared with water or ready-to-serve (Includes vegetable turkey rice soup)</t>
        </is>
      </c>
      <c r="C3953" s="1" t="n">
        <v>2</v>
      </c>
      <c r="D3953" s="1" t="inlineStr">
        <is>
          <t>Links to altEC</t>
        </is>
      </c>
      <c r="E3953" s="1" t="inlineStr">
        <is>
          <t>Base</t>
        </is>
      </c>
      <c r="F3953" s="1" t="n">
        <v>0.373945</v>
      </c>
    </row>
    <row r="3954" ht="15.75" customHeight="1" s="201">
      <c r="A3954" s="1" t="n">
        <v>75651150</v>
      </c>
      <c r="B3954" s="1" t="inlineStr">
        <is>
          <t>Vegetable noodle soup, reduced sodium, canned, prepared with water or ready-to-serve (Includes Campbell's Healthy Request and Select Harvest varieties; Progresso Light and Reduced Sodium varieties)</t>
        </is>
      </c>
      <c r="C3954" s="1" t="n">
        <v>2</v>
      </c>
      <c r="D3954" s="1" t="inlineStr">
        <is>
          <t>Links to altEC</t>
        </is>
      </c>
      <c r="E3954" s="1" t="inlineStr">
        <is>
          <t>Base</t>
        </is>
      </c>
      <c r="F3954" s="1" t="n">
        <v>0.245979</v>
      </c>
    </row>
    <row r="3955" ht="15.75" customHeight="1" s="201">
      <c r="A3955" s="1" t="n">
        <v>75652010</v>
      </c>
      <c r="B3955" s="1" t="inlineStr">
        <is>
          <t>Vegetable beef soup, home recipe</t>
        </is>
      </c>
      <c r="C3955" s="1" t="n">
        <v>2</v>
      </c>
      <c r="D3955" s="1" t="inlineStr">
        <is>
          <t>Links to altEC</t>
        </is>
      </c>
      <c r="E3955" s="1" t="inlineStr">
        <is>
          <t>Base</t>
        </is>
      </c>
      <c r="F3955" s="1" t="n">
        <v>0.260505</v>
      </c>
    </row>
    <row r="3956" ht="15.75" customHeight="1" s="201">
      <c r="A3956" s="1" t="n">
        <v>75652040</v>
      </c>
      <c r="B3956" s="1" t="inlineStr">
        <is>
          <t>Vegetable beef soup with noodles or pasta, home recipe</t>
        </is>
      </c>
      <c r="C3956" s="1" t="n">
        <v>4</v>
      </c>
      <c r="D3956" s="1" t="inlineStr">
        <is>
          <t>FNDDS recipe with replaced or modified SR codes</t>
        </is>
      </c>
      <c r="E3956" s="1" t="inlineStr">
        <is>
          <t>Base</t>
        </is>
      </c>
      <c r="F3956" s="1" t="n">
        <v>0.599255</v>
      </c>
    </row>
    <row r="3957" ht="15.75" customHeight="1" s="201">
      <c r="A3957" s="1" t="n">
        <v>75656060</v>
      </c>
      <c r="B3957" s="1" t="inlineStr">
        <is>
          <t>Vegetable beef soup, chunky style (Includes vegetable with meat soups, chunky style)</t>
        </is>
      </c>
      <c r="C3957" s="1" t="n">
        <v>2</v>
      </c>
      <c r="D3957" s="1" t="inlineStr">
        <is>
          <t>Links to altEC</t>
        </is>
      </c>
      <c r="E3957" s="1" t="inlineStr">
        <is>
          <t>Base</t>
        </is>
      </c>
      <c r="F3957" s="1" t="n">
        <v>0.336273</v>
      </c>
    </row>
    <row r="3958" ht="15.75" customHeight="1" s="201">
      <c r="A3958" s="1" t="n">
        <v>75657000</v>
      </c>
      <c r="B3958" s="1" t="inlineStr">
        <is>
          <t>Vegetable broth, bouillon (Includes onion broth; pot liquor)</t>
        </is>
      </c>
      <c r="C3958" s="1" t="n">
        <v>1</v>
      </c>
      <c r="D3958" s="1" t="inlineStr">
        <is>
          <t>Links to FNDDS</t>
        </is>
      </c>
      <c r="E3958" s="1" t="inlineStr">
        <is>
          <t>Base</t>
        </is>
      </c>
      <c r="F3958" s="1" t="n">
        <v>0.259448</v>
      </c>
    </row>
    <row r="3959" ht="15.75" customHeight="1" s="201">
      <c r="A3959" s="1" t="n">
        <v>76102010</v>
      </c>
      <c r="B3959" s="1" t="inlineStr">
        <is>
          <t>Spinach, creamed, baby food, strained (Includes Gerber Second Foods)</t>
        </is>
      </c>
      <c r="C3959" s="1" t="n">
        <v>2</v>
      </c>
      <c r="D3959" s="1" t="inlineStr">
        <is>
          <t>Links to altEC</t>
        </is>
      </c>
      <c r="E3959" s="1" t="inlineStr">
        <is>
          <t>Base</t>
        </is>
      </c>
      <c r="F3959" s="1" t="n">
        <v>0.667995</v>
      </c>
    </row>
    <row r="3960" ht="15.75" customHeight="1" s="201">
      <c r="A3960" s="1" t="n">
        <v>76201010</v>
      </c>
      <c r="B3960" s="1" t="inlineStr">
        <is>
          <t>Carrots, baby food, strained (Includes Gerber Second Foods; Gerber First Foods; Earth's Best; Beech-Nut Stage 1 Starter Size; Beech-Nut Stage 1; Beech-Nut Stage 2)</t>
        </is>
      </c>
      <c r="C3960" s="1" t="n">
        <v>1</v>
      </c>
      <c r="D3960" s="1" t="inlineStr">
        <is>
          <t>Links to FNDDS</t>
        </is>
      </c>
      <c r="E3960" s="1" t="inlineStr">
        <is>
          <t>Base</t>
        </is>
      </c>
      <c r="F3960" s="1" t="n">
        <v>0.628966</v>
      </c>
    </row>
    <row r="3961" ht="15.75" customHeight="1" s="201">
      <c r="A3961" s="1" t="n">
        <v>76205010</v>
      </c>
      <c r="B3961" s="1" t="inlineStr">
        <is>
          <t>Squash, baby food, strained (Includes Beech-Nut Stage 1 Starter Size Butternut Squash; Beech-Nut Stage 1 Butternut Squash; Earth's Best Winter Squash; Gerber First Foods; Gerber Second Foods; Beech-Nut Stage 2 Butternut Squash)</t>
        </is>
      </c>
      <c r="C3961" s="1" t="n">
        <v>1</v>
      </c>
      <c r="D3961" s="1" t="inlineStr">
        <is>
          <t>Links to FNDDS</t>
        </is>
      </c>
      <c r="E3961" s="1" t="inlineStr">
        <is>
          <t>Base</t>
        </is>
      </c>
      <c r="F3961" s="1" t="n">
        <v>0.630975</v>
      </c>
    </row>
    <row r="3962" ht="15.75" customHeight="1" s="201">
      <c r="A3962" s="1" t="n">
        <v>76209010</v>
      </c>
      <c r="B3962" s="1" t="inlineStr">
        <is>
          <t>Sweet potatoes, baby food, strained (Includes Earth's Best; Gerber First Foods; Gerber Second Foods; Beech-Nut Stage 1 Starter Size; Beech-Nut Stage 1)</t>
        </is>
      </c>
      <c r="C3962" s="1" t="n">
        <v>1</v>
      </c>
      <c r="D3962" s="1" t="inlineStr">
        <is>
          <t>Links to FNDDS</t>
        </is>
      </c>
      <c r="E3962" s="1" t="inlineStr">
        <is>
          <t>Base</t>
        </is>
      </c>
      <c r="F3962" s="1" t="n">
        <v>0.703087</v>
      </c>
    </row>
    <row r="3963" ht="15.75" customHeight="1" s="201">
      <c r="A3963" s="1" t="n">
        <v>76401010</v>
      </c>
      <c r="B3963" s="1" t="inlineStr">
        <is>
          <t>Beans, green string, baby food, strained (Includes Beech-Nut Stage 1; Gerber First Foods; Gerber Second Foods; Beech-Nut Stage 2)</t>
        </is>
      </c>
      <c r="C3963" s="1" t="n">
        <v>1</v>
      </c>
      <c r="D3963" s="1" t="inlineStr">
        <is>
          <t>Links to FNDDS</t>
        </is>
      </c>
      <c r="E3963" s="1" t="inlineStr">
        <is>
          <t>Base</t>
        </is>
      </c>
      <c r="F3963" s="1" t="n">
        <v>0.629598</v>
      </c>
    </row>
    <row r="3964" ht="15.75" customHeight="1" s="201">
      <c r="A3964" s="1" t="n">
        <v>76407010</v>
      </c>
      <c r="B3964" s="1" t="inlineStr">
        <is>
          <t>Mixed vegetables, garden vegetables, baby food, strained (Includes Beech-Nut Stage 2 Garden Vegetables; Beech-Nut Stage 2 Mixed Vegetables; Gerber Second Foods Garden Vegetables; Gerber Second Foods Mixed Vegetables)</t>
        </is>
      </c>
      <c r="C3964" s="1" t="n">
        <v>1</v>
      </c>
      <c r="D3964" s="1" t="inlineStr">
        <is>
          <t>Links to FNDDS</t>
        </is>
      </c>
      <c r="E3964" s="1" t="inlineStr">
        <is>
          <t>Base</t>
        </is>
      </c>
      <c r="F3964" s="1" t="n">
        <v>0.667995</v>
      </c>
    </row>
    <row r="3965" ht="15.75" customHeight="1" s="201">
      <c r="A3965" s="1" t="n">
        <v>76407020</v>
      </c>
      <c r="B3965" s="1" t="inlineStr">
        <is>
          <t>Mixed vegetables, garden vegetables, baby food, junior (Includes Gerber Third Foods Mixed Vegetables)</t>
        </is>
      </c>
      <c r="C3965" s="1" t="n">
        <v>1</v>
      </c>
      <c r="D3965" s="1" t="inlineStr">
        <is>
          <t>Links to FNDDS</t>
        </is>
      </c>
      <c r="E3965" s="1" t="inlineStr">
        <is>
          <t>Base</t>
        </is>
      </c>
      <c r="F3965" s="1" t="n">
        <v>0.635124</v>
      </c>
    </row>
    <row r="3966" ht="15.75" customHeight="1" s="201">
      <c r="A3966" s="1" t="n">
        <v>76409010</v>
      </c>
      <c r="B3966" s="1" t="inlineStr">
        <is>
          <t>Peas, baby food, strained (Includes Beech-Nut Stage 1 Starter Size Tender Sweet Peas; Beech-Nut Stage 1 Tender Sweet Peas; Gerber First Foods; Gerber Second Foods)</t>
        </is>
      </c>
      <c r="C3966" s="1" t="n">
        <v>1</v>
      </c>
      <c r="D3966" s="1" t="inlineStr">
        <is>
          <t>Links to FNDDS</t>
        </is>
      </c>
      <c r="E3966" s="1" t="inlineStr">
        <is>
          <t>Base</t>
        </is>
      </c>
      <c r="F3966" s="1" t="n">
        <v>0.600169</v>
      </c>
    </row>
    <row r="3967" ht="15.75" customHeight="1" s="201">
      <c r="A3967" s="1" t="n">
        <v>77201210</v>
      </c>
      <c r="B3967" s="1" t="inlineStr">
        <is>
          <t>Green plantain with cracklings, Puerto Rican style (Includes Mofongo)</t>
        </is>
      </c>
      <c r="C3967" s="1" t="n">
        <v>4</v>
      </c>
      <c r="D3967" s="1" t="inlineStr">
        <is>
          <t>FNDDS recipe with replaced or modified SR codes</t>
        </is>
      </c>
      <c r="E3967" s="1" t="inlineStr">
        <is>
          <t>Base</t>
        </is>
      </c>
      <c r="F3967" s="1" t="n">
        <v>0.53503</v>
      </c>
    </row>
    <row r="3968" ht="15.75" customHeight="1" s="201">
      <c r="A3968" s="1" t="n">
        <v>77272010</v>
      </c>
      <c r="B3968" s="1" t="inlineStr">
        <is>
          <t>Puerto Rican pasteles (Includes Pasteles de masa)</t>
        </is>
      </c>
      <c r="C3968" s="1" t="n">
        <v>2</v>
      </c>
      <c r="D3968" s="1" t="inlineStr">
        <is>
          <t>Links to altEC</t>
        </is>
      </c>
      <c r="E3968" s="1" t="inlineStr">
        <is>
          <t>Base</t>
        </is>
      </c>
      <c r="F3968" s="1" t="n">
        <v>1.556086</v>
      </c>
    </row>
    <row r="3969" ht="15.75" customHeight="1" s="201">
      <c r="A3969" s="1" t="n">
        <v>77316010</v>
      </c>
      <c r="B3969" s="1" t="inlineStr">
        <is>
          <t>Stuffed cabbage, with meat, Puerto Rican style (Includes Repollo relleno con carne)</t>
        </is>
      </c>
      <c r="C3969" s="1" t="n">
        <v>4</v>
      </c>
      <c r="D3969" s="1" t="inlineStr">
        <is>
          <t>FNDDS recipe with replaced or modified SR codes</t>
        </is>
      </c>
      <c r="E3969" s="1" t="inlineStr">
        <is>
          <t>Base</t>
        </is>
      </c>
      <c r="F3969" s="1" t="n">
        <v>0.692092</v>
      </c>
    </row>
    <row r="3970" ht="15.75" customHeight="1" s="201">
      <c r="A3970" s="1" t="n">
        <v>77316510</v>
      </c>
      <c r="B3970" s="1" t="inlineStr">
        <is>
          <t>Stuffed cabbage, with meat and rice, Syrian dish, Puerto Rican style (Includes Repollo relleno con carne y con arroz; Arabe Mihsy Melful)</t>
        </is>
      </c>
      <c r="C3970" s="1" t="n">
        <v>4</v>
      </c>
      <c r="D3970" s="1" t="inlineStr">
        <is>
          <t>FNDDS recipe with replaced or modified SR codes</t>
        </is>
      </c>
      <c r="E3970" s="1" t="inlineStr">
        <is>
          <t>Base</t>
        </is>
      </c>
      <c r="F3970" s="1" t="n">
        <v>0.292063</v>
      </c>
    </row>
    <row r="3971" ht="15.75" customHeight="1" s="201">
      <c r="A3971" s="1" t="n">
        <v>77316600</v>
      </c>
      <c r="B3971" s="1" t="inlineStr">
        <is>
          <t>Eggplant and meat casserole (Includes Moussaka made with lamb or beef)</t>
        </is>
      </c>
      <c r="C3971" s="1" t="n">
        <v>4</v>
      </c>
      <c r="D3971" s="1" t="inlineStr">
        <is>
          <t>FNDDS recipe with replaced or modified SR codes</t>
        </is>
      </c>
      <c r="E3971" s="1" t="inlineStr">
        <is>
          <t>Base</t>
        </is>
      </c>
      <c r="F3971" s="1" t="n">
        <v>0.6321369999999999</v>
      </c>
    </row>
    <row r="3972" ht="15.75" customHeight="1" s="201">
      <c r="A3972" s="1" t="n">
        <v>77513010</v>
      </c>
      <c r="B3972" s="1" t="inlineStr">
        <is>
          <t>Spanish stew (Includes Salcocho / Sancocho al estilo espanol; Cocido Espanol; Puerto Rican style)</t>
        </is>
      </c>
      <c r="C3972" s="1" t="n">
        <v>4</v>
      </c>
      <c r="D3972" s="1" t="inlineStr">
        <is>
          <t>FNDDS recipe with replaced or modified SR codes</t>
        </is>
      </c>
      <c r="E3972" s="1" t="inlineStr">
        <is>
          <t>Base</t>
        </is>
      </c>
      <c r="F3972" s="1" t="n">
        <v>0.435756</v>
      </c>
    </row>
    <row r="3973" ht="15.75" customHeight="1" s="201">
      <c r="A3973" s="1" t="n">
        <v>78101000</v>
      </c>
      <c r="B3973" s="1" t="inlineStr">
        <is>
          <t>Vegetable and fruit juice, 100% juice, with high vitamin C (Includes V8 V-Fusion, all flavors; Ocean Spray 100% Fruit and Veggie Juice, all flavors; Apple and Eve Fruitables)</t>
        </is>
      </c>
      <c r="C3973" s="1" t="n">
        <v>1</v>
      </c>
      <c r="D3973" s="1" t="inlineStr">
        <is>
          <t>Links to FNDDS</t>
        </is>
      </c>
      <c r="E3973" s="1" t="inlineStr">
        <is>
          <t>Base</t>
        </is>
      </c>
      <c r="F3973" s="1" t="n">
        <v>0.227106</v>
      </c>
    </row>
    <row r="3974" ht="15.75" customHeight="1" s="201">
      <c r="A3974" s="1" t="n">
        <v>78101100</v>
      </c>
      <c r="B3974" s="1" t="inlineStr">
        <is>
          <t>Fruit and vegetable smoothie, with dairy</t>
        </is>
      </c>
      <c r="C3974" s="1" t="n">
        <v>4</v>
      </c>
      <c r="D3974" s="1" t="inlineStr">
        <is>
          <t>FNDDS recipe with replaced or modified SR codes</t>
        </is>
      </c>
      <c r="E3974" s="1" t="inlineStr">
        <is>
          <t>Base</t>
        </is>
      </c>
      <c r="F3974" s="1" t="n">
        <v>0.299033</v>
      </c>
    </row>
    <row r="3975" ht="15.75" customHeight="1" s="201">
      <c r="A3975" s="1" t="n">
        <v>78101110</v>
      </c>
      <c r="B3975" s="1" t="inlineStr">
        <is>
          <t>Fruit and vegetable smoothie, added protein</t>
        </is>
      </c>
      <c r="C3975" s="1" t="n">
        <v>4</v>
      </c>
      <c r="D3975" s="1" t="inlineStr">
        <is>
          <t>FNDDS recipe with replaced or modified SR codes</t>
        </is>
      </c>
      <c r="E3975" s="1" t="inlineStr">
        <is>
          <t>Base</t>
        </is>
      </c>
      <c r="F3975" s="1" t="n">
        <v>0.379914</v>
      </c>
    </row>
    <row r="3976" ht="15.75" customHeight="1" s="201">
      <c r="A3976" s="1" t="n">
        <v>78101120</v>
      </c>
      <c r="B3976" s="1" t="inlineStr">
        <is>
          <t>Fruit and vegetable smoothie, bottled (Includes canned; reconstituted dry mix; Bolthouse Farms; V8 Smoothies; Naked; Odwalla)</t>
        </is>
      </c>
      <c r="C3976" s="1" t="n">
        <v>1</v>
      </c>
      <c r="D3976" s="1" t="inlineStr">
        <is>
          <t>Links to FNDDS</t>
        </is>
      </c>
      <c r="E3976" s="1" t="inlineStr">
        <is>
          <t>Base</t>
        </is>
      </c>
      <c r="F3976" s="1" t="n">
        <v>0.419942</v>
      </c>
    </row>
    <row r="3977" ht="15.75" customHeight="1" s="201">
      <c r="A3977" s="1" t="n">
        <v>78101125</v>
      </c>
      <c r="B3977" s="1" t="inlineStr">
        <is>
          <t>Fruit and vegetable smoothie, no dairy</t>
        </is>
      </c>
      <c r="C3977" s="1" t="n">
        <v>1</v>
      </c>
      <c r="D3977" s="1" t="inlineStr">
        <is>
          <t>Links to FNDDS</t>
        </is>
      </c>
      <c r="E3977" s="1" t="inlineStr">
        <is>
          <t>Base</t>
        </is>
      </c>
      <c r="F3977" s="1" t="n">
        <v>0.35458</v>
      </c>
    </row>
    <row r="3978" ht="15.75" customHeight="1" s="201">
      <c r="A3978" s="1" t="n">
        <v>78101130</v>
      </c>
      <c r="B3978" s="1" t="inlineStr">
        <is>
          <t>Vegetable smoothie (Includes with or without dairy; NS as to protein)</t>
        </is>
      </c>
      <c r="C3978" s="1" t="n">
        <v>1</v>
      </c>
      <c r="D3978" s="1" t="inlineStr">
        <is>
          <t>Links to FNDDS</t>
        </is>
      </c>
      <c r="E3978" s="1" t="inlineStr">
        <is>
          <t>Base</t>
        </is>
      </c>
      <c r="F3978" s="1" t="n">
        <v>0.701627</v>
      </c>
    </row>
    <row r="3979" ht="15.75" customHeight="1" s="201">
      <c r="A3979" s="1" t="n">
        <v>81100500</v>
      </c>
      <c r="B3979" s="1" t="inlineStr">
        <is>
          <t>Butter, NFS</t>
        </is>
      </c>
      <c r="C3979" s="1" t="n">
        <v>2</v>
      </c>
      <c r="D3979" s="1" t="inlineStr">
        <is>
          <t>Links to altEC</t>
        </is>
      </c>
      <c r="E3979" s="1" t="inlineStr">
        <is>
          <t>Base</t>
        </is>
      </c>
      <c r="F3979" s="1" t="n">
        <v>0.868735</v>
      </c>
    </row>
    <row r="3980" ht="15.75" customHeight="1" s="201">
      <c r="A3980" s="1" t="n">
        <v>81101000</v>
      </c>
      <c r="B3980" s="1" t="inlineStr">
        <is>
          <t>Butter, stick (Includes pat)</t>
        </is>
      </c>
      <c r="C3980" s="1" t="n">
        <v>1</v>
      </c>
      <c r="D3980" s="1" t="inlineStr">
        <is>
          <t>Links to FNDDS</t>
        </is>
      </c>
      <c r="E3980" s="1" t="inlineStr">
        <is>
          <t>Base</t>
        </is>
      </c>
      <c r="F3980" s="1" t="n">
        <v>0.846986</v>
      </c>
    </row>
    <row r="3981" ht="15.75" customHeight="1" s="201">
      <c r="A3981" s="1" t="n">
        <v>81101010</v>
      </c>
      <c r="B3981" s="1" t="inlineStr">
        <is>
          <t>Butter, tub (Includes individual container)</t>
        </is>
      </c>
      <c r="C3981" s="1" t="n">
        <v>2</v>
      </c>
      <c r="D3981" s="1" t="inlineStr">
        <is>
          <t>Links to altEC</t>
        </is>
      </c>
      <c r="E3981" s="1" t="inlineStr">
        <is>
          <t>Base</t>
        </is>
      </c>
      <c r="F3981" s="1" t="n">
        <v>1.377646</v>
      </c>
    </row>
    <row r="3982" ht="15.75" customHeight="1" s="201">
      <c r="A3982" s="1" t="n">
        <v>81101520</v>
      </c>
      <c r="B3982" s="1" t="inlineStr">
        <is>
          <t>Butter, light (Includes stick or tub)</t>
        </is>
      </c>
      <c r="C3982" s="1" t="n">
        <v>1</v>
      </c>
      <c r="D3982" s="1" t="inlineStr">
        <is>
          <t>Links to FNDDS</t>
        </is>
      </c>
      <c r="E3982" s="1" t="inlineStr">
        <is>
          <t>Base</t>
        </is>
      </c>
      <c r="F3982" s="1" t="n">
        <v>0.894456</v>
      </c>
    </row>
    <row r="3983" ht="15.75" customHeight="1" s="201">
      <c r="A3983" s="1" t="n">
        <v>81102000</v>
      </c>
      <c r="B3983" s="1" t="inlineStr">
        <is>
          <t>Margarine, NFS</t>
        </is>
      </c>
      <c r="C3983" s="1" t="n">
        <v>2</v>
      </c>
      <c r="D3983" s="1" t="inlineStr">
        <is>
          <t>Links to altEC</t>
        </is>
      </c>
      <c r="E3983" s="1" t="inlineStr">
        <is>
          <t>Base</t>
        </is>
      </c>
      <c r="F3983" s="1" t="n">
        <v>0.369613</v>
      </c>
    </row>
    <row r="3984" ht="15.75" customHeight="1" s="201">
      <c r="A3984" s="1" t="n">
        <v>81102010</v>
      </c>
      <c r="B3984" s="1" t="inlineStr">
        <is>
          <t>Margarine, stick (Includes pat)</t>
        </is>
      </c>
      <c r="C3984" s="1" t="n">
        <v>1</v>
      </c>
      <c r="D3984" s="1" t="inlineStr">
        <is>
          <t>Links to FNDDS</t>
        </is>
      </c>
      <c r="E3984" s="1" t="inlineStr">
        <is>
          <t>Base</t>
        </is>
      </c>
      <c r="F3984" s="1" t="n">
        <v>0.409871</v>
      </c>
    </row>
    <row r="3985" ht="15.75" customHeight="1" s="201">
      <c r="A3985" s="1" t="n">
        <v>81102020</v>
      </c>
      <c r="B3985" s="1" t="inlineStr">
        <is>
          <t>Margarine, tub (Includes individual container)</t>
        </is>
      </c>
      <c r="C3985" s="1" t="n">
        <v>2</v>
      </c>
      <c r="D3985" s="1" t="inlineStr">
        <is>
          <t>Links to altEC</t>
        </is>
      </c>
      <c r="E3985" s="1" t="inlineStr">
        <is>
          <t>Base</t>
        </is>
      </c>
      <c r="F3985" s="1" t="n">
        <v>0.381853</v>
      </c>
    </row>
    <row r="3986" ht="15.75" customHeight="1" s="201">
      <c r="A3986" s="1" t="n">
        <v>81103080</v>
      </c>
      <c r="B3986" s="1" t="inlineStr">
        <is>
          <t>Margarine-oil blend, tub (Includes individual container)</t>
        </is>
      </c>
      <c r="C3986" s="1" t="n">
        <v>1</v>
      </c>
      <c r="D3986" s="1" t="inlineStr">
        <is>
          <t>Links to FNDDS</t>
        </is>
      </c>
      <c r="E3986" s="1" t="inlineStr">
        <is>
          <t>Base</t>
        </is>
      </c>
      <c r="F3986" s="1" t="n">
        <v>0.381853</v>
      </c>
    </row>
    <row r="3987" ht="15.75" customHeight="1" s="201">
      <c r="A3987" s="1" t="n">
        <v>81103090</v>
      </c>
      <c r="B3987" s="1" t="inlineStr">
        <is>
          <t>Butter replacement, liquid (Includes liquid margarine; spray)</t>
        </is>
      </c>
      <c r="C3987" s="1" t="n">
        <v>1</v>
      </c>
      <c r="D3987" s="1" t="inlineStr">
        <is>
          <t>Links to FNDDS</t>
        </is>
      </c>
      <c r="E3987" s="1" t="inlineStr">
        <is>
          <t>Base</t>
        </is>
      </c>
      <c r="F3987" s="1" t="n">
        <v>0.938159</v>
      </c>
    </row>
    <row r="3988" ht="15.75" customHeight="1" s="201">
      <c r="A3988" s="1" t="n">
        <v>81104010</v>
      </c>
      <c r="B3988" s="1" t="inlineStr">
        <is>
          <t>Margarine-oil blend, tub, light (Includes light margarine)</t>
        </is>
      </c>
      <c r="C3988" s="1" t="n">
        <v>1</v>
      </c>
      <c r="D3988" s="1" t="inlineStr">
        <is>
          <t>Links to FNDDS</t>
        </is>
      </c>
      <c r="E3988" s="1" t="inlineStr">
        <is>
          <t>Base</t>
        </is>
      </c>
      <c r="F3988" s="1" t="n">
        <v>0.666577</v>
      </c>
    </row>
    <row r="3989" ht="15.75" customHeight="1" s="201">
      <c r="A3989" s="1" t="n">
        <v>81104020</v>
      </c>
      <c r="B3989" s="1" t="inlineStr">
        <is>
          <t>Margarine-oil blend, stick, light</t>
        </is>
      </c>
      <c r="C3989" s="1" t="n">
        <v>2</v>
      </c>
      <c r="D3989" s="1" t="inlineStr">
        <is>
          <t>Links to altEC</t>
        </is>
      </c>
      <c r="E3989" s="1" t="inlineStr">
        <is>
          <t>Base</t>
        </is>
      </c>
      <c r="F3989" s="1" t="n">
        <v>0.235491</v>
      </c>
    </row>
    <row r="3990" ht="15.75" customHeight="1" s="201">
      <c r="A3990" s="1" t="n">
        <v>81104490</v>
      </c>
      <c r="B3990" s="1" t="inlineStr">
        <is>
          <t>Butter-oil blend, NFS</t>
        </is>
      </c>
      <c r="C3990" s="1" t="n">
        <v>2</v>
      </c>
      <c r="D3990" s="1" t="inlineStr">
        <is>
          <t>Links to altEC</t>
        </is>
      </c>
      <c r="E3990" s="1" t="inlineStr">
        <is>
          <t>Base</t>
        </is>
      </c>
      <c r="F3990" s="1" t="n">
        <v>0.961423</v>
      </c>
    </row>
    <row r="3991" ht="15.75" customHeight="1" s="201">
      <c r="A3991" s="1" t="n">
        <v>81104500</v>
      </c>
      <c r="B3991" s="1" t="inlineStr">
        <is>
          <t>Butter-oil blend, stick (Includes pat)</t>
        </is>
      </c>
      <c r="C3991" s="1" t="n">
        <v>1</v>
      </c>
      <c r="D3991" s="1" t="inlineStr">
        <is>
          <t>Links to FNDDS</t>
        </is>
      </c>
      <c r="E3991" s="1" t="inlineStr">
        <is>
          <t>Base</t>
        </is>
      </c>
      <c r="F3991" s="1" t="n">
        <v>0.965164</v>
      </c>
    </row>
    <row r="3992" ht="15.75" customHeight="1" s="201">
      <c r="A3992" s="1" t="n">
        <v>81104510</v>
      </c>
      <c r="B3992" s="1" t="inlineStr">
        <is>
          <t>Butter-oil blend, tub (Includes individual container)</t>
        </is>
      </c>
      <c r="C3992" s="1" t="n">
        <v>1</v>
      </c>
      <c r="D3992" s="1" t="inlineStr">
        <is>
          <t>Links to FNDDS</t>
        </is>
      </c>
      <c r="E3992" s="1" t="inlineStr">
        <is>
          <t>Base</t>
        </is>
      </c>
      <c r="F3992" s="1" t="n">
        <v>0.938432</v>
      </c>
    </row>
    <row r="3993" ht="15.75" customHeight="1" s="201">
      <c r="A3993" s="1" t="n">
        <v>81104550</v>
      </c>
      <c r="B3993" s="1" t="inlineStr">
        <is>
          <t>Butter-oil blend, light (Includes stick or tub)</t>
        </is>
      </c>
      <c r="C3993" s="1" t="n">
        <v>1</v>
      </c>
      <c r="D3993" s="1" t="inlineStr">
        <is>
          <t>Links to FNDDS</t>
        </is>
      </c>
      <c r="E3993" s="1" t="inlineStr">
        <is>
          <t>Base</t>
        </is>
      </c>
      <c r="F3993" s="1" t="n">
        <v>0.976036</v>
      </c>
    </row>
    <row r="3994" ht="15.75" customHeight="1" s="201">
      <c r="A3994" s="1" t="n">
        <v>81106010</v>
      </c>
      <c r="B3994" s="1" t="inlineStr">
        <is>
          <t>Butter replacement, powder (Includes Butter Buds; Molly McButter)</t>
        </is>
      </c>
      <c r="C3994" s="1" t="n">
        <v>1</v>
      </c>
      <c r="D3994" s="1" t="inlineStr">
        <is>
          <t>Links to FNDDS</t>
        </is>
      </c>
      <c r="E3994" s="1" t="inlineStr">
        <is>
          <t>Base</t>
        </is>
      </c>
      <c r="F3994" s="1" t="n">
        <v>3.235137</v>
      </c>
    </row>
    <row r="3995" ht="15.75" customHeight="1" s="201">
      <c r="A3995" s="1" t="n">
        <v>81204000</v>
      </c>
      <c r="B3995" s="1" t="inlineStr">
        <is>
          <t>Ghee, clarified butter</t>
        </is>
      </c>
      <c r="C3995" s="1" t="n">
        <v>1</v>
      </c>
      <c r="D3995" s="1" t="inlineStr">
        <is>
          <t>Links to FNDDS</t>
        </is>
      </c>
      <c r="E3995" s="1" t="inlineStr">
        <is>
          <t>Base</t>
        </is>
      </c>
      <c r="F3995" s="1" t="n">
        <v>3.190637</v>
      </c>
    </row>
    <row r="3996" ht="15.75" customHeight="1" s="201">
      <c r="A3996" s="1" t="n">
        <v>81301000</v>
      </c>
      <c r="B3996" s="1" t="inlineStr">
        <is>
          <t>Garlic sauce</t>
        </is>
      </c>
      <c r="C3996" s="1" t="n">
        <v>1</v>
      </c>
      <c r="D3996" s="1" t="inlineStr">
        <is>
          <t>Links to FNDDS</t>
        </is>
      </c>
      <c r="E3996" s="1" t="inlineStr">
        <is>
          <t>Base</t>
        </is>
      </c>
      <c r="F3996" s="1" t="n">
        <v>0.778406</v>
      </c>
    </row>
    <row r="3997" ht="15.75" customHeight="1" s="201">
      <c r="A3997" s="1" t="n">
        <v>81301020</v>
      </c>
      <c r="B3997" s="1" t="inlineStr">
        <is>
          <t>Lemon-butter sauce (Includes butter sauce)</t>
        </is>
      </c>
      <c r="C3997" s="1" t="n">
        <v>1</v>
      </c>
      <c r="D3997" s="1" t="inlineStr">
        <is>
          <t>Links to FNDDS</t>
        </is>
      </c>
      <c r="E3997" s="1" t="inlineStr">
        <is>
          <t>Base</t>
        </is>
      </c>
      <c r="F3997" s="1" t="n">
        <v>0.933257</v>
      </c>
    </row>
    <row r="3998" ht="15.75" customHeight="1" s="201">
      <c r="A3998" s="1" t="n">
        <v>81302010</v>
      </c>
      <c r="B3998" s="1" t="inlineStr">
        <is>
          <t>Hollandaise sauce (Includes bernaise)</t>
        </is>
      </c>
      <c r="C3998" s="1" t="n">
        <v>1</v>
      </c>
      <c r="D3998" s="1" t="inlineStr">
        <is>
          <t>Links to FNDDS</t>
        </is>
      </c>
      <c r="E3998" s="1" t="inlineStr">
        <is>
          <t>Base</t>
        </is>
      </c>
      <c r="F3998" s="1" t="n">
        <v>1.873075</v>
      </c>
    </row>
    <row r="3999" ht="15.75" customHeight="1" s="201">
      <c r="A3999" s="1" t="n">
        <v>81302040</v>
      </c>
      <c r="B3999" s="1" t="inlineStr">
        <is>
          <t>Sandwich spread</t>
        </is>
      </c>
      <c r="C3999" s="1" t="n">
        <v>1</v>
      </c>
      <c r="D3999" s="1" t="inlineStr">
        <is>
          <t>Links to FNDDS</t>
        </is>
      </c>
      <c r="E3999" s="1" t="inlineStr">
        <is>
          <t>Base</t>
        </is>
      </c>
      <c r="F3999" s="1" t="n">
        <v>0.629907</v>
      </c>
    </row>
    <row r="4000" ht="15.75" customHeight="1" s="201">
      <c r="A4000" s="1" t="n">
        <v>81302050</v>
      </c>
      <c r="B4000" s="1" t="inlineStr">
        <is>
          <t>Tartar sauce</t>
        </is>
      </c>
      <c r="C4000" s="1" t="n">
        <v>1</v>
      </c>
      <c r="D4000" s="1" t="inlineStr">
        <is>
          <t>Links to FNDDS</t>
        </is>
      </c>
      <c r="E4000" s="1" t="inlineStr">
        <is>
          <t>Base</t>
        </is>
      </c>
      <c r="F4000" s="1" t="n">
        <v>0.754933</v>
      </c>
    </row>
    <row r="4001" ht="15.75" customHeight="1" s="201">
      <c r="A4001" s="1" t="n">
        <v>81302060</v>
      </c>
      <c r="B4001" s="1" t="inlineStr">
        <is>
          <t>Horseradish sauce</t>
        </is>
      </c>
      <c r="C4001" s="1" t="n">
        <v>1</v>
      </c>
      <c r="D4001" s="1" t="inlineStr">
        <is>
          <t>Links to FNDDS</t>
        </is>
      </c>
      <c r="E4001" s="1" t="inlineStr">
        <is>
          <t>Base</t>
        </is>
      </c>
      <c r="F4001" s="1" t="n">
        <v>0.71962</v>
      </c>
    </row>
    <row r="4002" ht="15.75" customHeight="1" s="201">
      <c r="A4002" s="1" t="n">
        <v>81302070</v>
      </c>
      <c r="B4002" s="1" t="inlineStr">
        <is>
          <t>Pesto sauce</t>
        </is>
      </c>
      <c r="C4002" s="1" t="n">
        <v>1</v>
      </c>
      <c r="D4002" s="1" t="inlineStr">
        <is>
          <t>Links to FNDDS</t>
        </is>
      </c>
      <c r="E4002" s="1" t="inlineStr">
        <is>
          <t>Base</t>
        </is>
      </c>
      <c r="F4002" s="1" t="n">
        <v>1.745516</v>
      </c>
    </row>
    <row r="4003" ht="15.75" customHeight="1" s="201">
      <c r="A4003" s="1" t="n">
        <v>81308100</v>
      </c>
      <c r="B4003" s="1" t="inlineStr">
        <is>
          <t>Fry sauce (Includes mayo ketchup)</t>
        </is>
      </c>
      <c r="C4003" s="1" t="n">
        <v>1</v>
      </c>
      <c r="D4003" s="1" t="inlineStr">
        <is>
          <t>Links to FNDDS</t>
        </is>
      </c>
      <c r="E4003" s="1" t="inlineStr">
        <is>
          <t>Base</t>
        </is>
      </c>
      <c r="F4003" s="1" t="n">
        <v>1.164977</v>
      </c>
    </row>
    <row r="4004" ht="15.75" customHeight="1" s="201">
      <c r="A4004" s="1" t="n">
        <v>81312100</v>
      </c>
      <c r="B4004" s="1" t="inlineStr">
        <is>
          <t>Curry sauce</t>
        </is>
      </c>
      <c r="C4004" s="1" t="n">
        <v>1</v>
      </c>
      <c r="D4004" s="1" t="inlineStr">
        <is>
          <t>Links to FNDDS</t>
        </is>
      </c>
      <c r="E4004" s="1" t="inlineStr">
        <is>
          <t>Base</t>
        </is>
      </c>
      <c r="F4004" s="1" t="n">
        <v>1.081897</v>
      </c>
    </row>
    <row r="4005" ht="15.75" customHeight="1" s="201">
      <c r="A4005" s="1" t="n">
        <v>81322000</v>
      </c>
      <c r="B4005" s="1" t="inlineStr">
        <is>
          <t>Honey butter</t>
        </is>
      </c>
      <c r="C4005" s="1" t="n">
        <v>1</v>
      </c>
      <c r="D4005" s="1" t="inlineStr">
        <is>
          <t>Links to FNDDS</t>
        </is>
      </c>
      <c r="E4005" s="1" t="inlineStr">
        <is>
          <t>Base</t>
        </is>
      </c>
      <c r="F4005" s="1" t="n">
        <v>1.288465</v>
      </c>
    </row>
    <row r="4006" ht="15.75" customHeight="1" s="201">
      <c r="A4006" s="1" t="n">
        <v>82101000</v>
      </c>
      <c r="B4006" s="1" t="inlineStr">
        <is>
          <t>Vegetable oil, NFS (Includes oil, NFS; oil blend, NFS)</t>
        </is>
      </c>
      <c r="C4006" s="1" t="n">
        <v>2</v>
      </c>
      <c r="D4006" s="1" t="inlineStr">
        <is>
          <t>Links to altEC</t>
        </is>
      </c>
      <c r="E4006" s="1" t="inlineStr">
        <is>
          <t>Base</t>
        </is>
      </c>
      <c r="F4006" s="1" t="n">
        <v>0.418343</v>
      </c>
    </row>
    <row r="4007" ht="15.75" customHeight="1" s="201">
      <c r="A4007" s="1" t="n">
        <v>82101500</v>
      </c>
      <c r="B4007" s="1" t="inlineStr">
        <is>
          <t>Coconut oil</t>
        </is>
      </c>
      <c r="C4007" s="1" t="n">
        <v>1</v>
      </c>
      <c r="D4007" s="1" t="inlineStr">
        <is>
          <t>Links to FNDDS</t>
        </is>
      </c>
      <c r="E4007" s="1" t="inlineStr">
        <is>
          <t>Base</t>
        </is>
      </c>
      <c r="F4007" s="1" t="n">
        <v>1.268132</v>
      </c>
    </row>
    <row r="4008" ht="15.75" customHeight="1" s="201">
      <c r="A4008" s="1" t="n">
        <v>82102000</v>
      </c>
      <c r="B4008" s="1" t="inlineStr">
        <is>
          <t>Corn oil (Includes Mazola Corn Oil; Mazola oil, NFS; Wesson Corn Oil)</t>
        </is>
      </c>
      <c r="C4008" s="1" t="n">
        <v>1</v>
      </c>
      <c r="D4008" s="1" t="inlineStr">
        <is>
          <t>Links to FNDDS</t>
        </is>
      </c>
      <c r="E4008" s="1" t="inlineStr">
        <is>
          <t>Base</t>
        </is>
      </c>
      <c r="F4008" s="1" t="n">
        <v>0.246574</v>
      </c>
    </row>
    <row r="4009" ht="15.75" customHeight="1" s="201">
      <c r="A4009" s="1" t="n">
        <v>82104000</v>
      </c>
      <c r="B4009" s="1" t="inlineStr">
        <is>
          <t>Olive oil</t>
        </is>
      </c>
      <c r="C4009" s="1" t="n">
        <v>1</v>
      </c>
      <c r="D4009" s="1" t="inlineStr">
        <is>
          <t>Links to FNDDS</t>
        </is>
      </c>
      <c r="E4009" s="1" t="inlineStr">
        <is>
          <t>Base</t>
        </is>
      </c>
      <c r="F4009" s="1" t="n">
        <v>1.036723</v>
      </c>
    </row>
    <row r="4010" ht="15.75" customHeight="1" s="201">
      <c r="A4010" s="1" t="n">
        <v>82107000</v>
      </c>
      <c r="B4010" s="1" t="inlineStr">
        <is>
          <t>Sesame oil</t>
        </is>
      </c>
      <c r="C4010" s="1" t="n">
        <v>1</v>
      </c>
      <c r="D4010" s="1" t="inlineStr">
        <is>
          <t>Links to FNDDS</t>
        </is>
      </c>
      <c r="E4010" s="1" t="inlineStr">
        <is>
          <t>Base</t>
        </is>
      </c>
      <c r="F4010" s="1" t="n">
        <v>2.252267</v>
      </c>
    </row>
    <row r="4011" ht="15.75" customHeight="1" s="201">
      <c r="A4011" s="1" t="n">
        <v>83100100</v>
      </c>
      <c r="B4011" s="1" t="inlineStr">
        <is>
          <t>Salad dressing, NFS, for salads</t>
        </is>
      </c>
      <c r="C4011" s="1" t="n">
        <v>2</v>
      </c>
      <c r="D4011" s="1" t="inlineStr">
        <is>
          <t>Links to altEC</t>
        </is>
      </c>
      <c r="E4011" s="1" t="inlineStr">
        <is>
          <t>Base</t>
        </is>
      </c>
      <c r="F4011" s="1" t="n">
        <v>0.574248</v>
      </c>
    </row>
    <row r="4012" ht="15.75" customHeight="1" s="201">
      <c r="A4012" s="1" t="n">
        <v>83100200</v>
      </c>
      <c r="B4012" s="1" t="inlineStr">
        <is>
          <t>Salad dressing, NFS, for sandwiches</t>
        </is>
      </c>
      <c r="C4012" s="1" t="n">
        <v>2</v>
      </c>
      <c r="D4012" s="1" t="inlineStr">
        <is>
          <t>Links to altEC</t>
        </is>
      </c>
      <c r="E4012" s="1" t="inlineStr">
        <is>
          <t>Base</t>
        </is>
      </c>
      <c r="F4012" s="1" t="n">
        <v>0.468484</v>
      </c>
    </row>
    <row r="4013" ht="15.75" customHeight="1" s="201">
      <c r="A4013" s="1" t="n">
        <v>83101000</v>
      </c>
      <c r="B4013" s="1" t="inlineStr">
        <is>
          <t>Blue or roquefort cheese dressing (Includes Blue or roquefort cheese dressing, NFS; blue cheese dip)</t>
        </is>
      </c>
      <c r="C4013" s="1" t="n">
        <v>2</v>
      </c>
      <c r="D4013" s="1" t="inlineStr">
        <is>
          <t>Links to altEC</t>
        </is>
      </c>
      <c r="E4013" s="1" t="inlineStr">
        <is>
          <t>Base</t>
        </is>
      </c>
      <c r="F4013" s="1" t="n">
        <v>0.648167</v>
      </c>
    </row>
    <row r="4014" ht="15.75" customHeight="1" s="201">
      <c r="A4014" s="1" t="n">
        <v>83102000</v>
      </c>
      <c r="B4014" s="1" t="inlineStr">
        <is>
          <t>Caesar dressing (Includes Caesar dressing, NFS)</t>
        </is>
      </c>
      <c r="C4014" s="1" t="n">
        <v>2</v>
      </c>
      <c r="D4014" s="1" t="inlineStr">
        <is>
          <t>Links to altEC</t>
        </is>
      </c>
      <c r="E4014" s="1" t="inlineStr">
        <is>
          <t>Base</t>
        </is>
      </c>
      <c r="F4014" s="1" t="n">
        <v>0.656357</v>
      </c>
    </row>
    <row r="4015" ht="15.75" customHeight="1" s="201">
      <c r="A4015" s="1" t="n">
        <v>83104000</v>
      </c>
      <c r="B4015" s="1" t="inlineStr">
        <is>
          <t>French or Catalina dressing (Includes French or Catalina dressing, NFS; Western; Sweet and sour)</t>
        </is>
      </c>
      <c r="C4015" s="1" t="n">
        <v>2</v>
      </c>
      <c r="D4015" s="1" t="inlineStr">
        <is>
          <t>Links to altEC</t>
        </is>
      </c>
      <c r="E4015" s="1" t="inlineStr">
        <is>
          <t>Base</t>
        </is>
      </c>
      <c r="F4015" s="1" t="n">
        <v>0.431486</v>
      </c>
    </row>
    <row r="4016" ht="15.75" customHeight="1" s="201">
      <c r="A4016" s="1" t="n">
        <v>83105500</v>
      </c>
      <c r="B4016" s="1" t="inlineStr">
        <is>
          <t>Honey mustard dressing (Includes Honey mustard dressing, NFS; Honey dijon dressing)</t>
        </is>
      </c>
      <c r="C4016" s="1" t="n">
        <v>2</v>
      </c>
      <c r="D4016" s="1" t="inlineStr">
        <is>
          <t>Links to altEC</t>
        </is>
      </c>
      <c r="E4016" s="1" t="inlineStr">
        <is>
          <t>Base</t>
        </is>
      </c>
      <c r="F4016" s="1" t="n">
        <v>0.531015</v>
      </c>
    </row>
    <row r="4017" ht="15.75" customHeight="1" s="201">
      <c r="A4017" s="1" t="n">
        <v>83106000</v>
      </c>
      <c r="B4017" s="1" t="inlineStr">
        <is>
          <t>Italian dressing, made with vinegar and oil (Includes vinaigrette dressing; vinegar and oil; Italian dressing, NFS; Greek dressing; Feta cheese dressing; Champagne dressing; celery seed dressing; onion or Vidalia onion dressing; red wine, balsamic, or raspberry vinegar dressing)</t>
        </is>
      </c>
      <c r="C4017" s="1" t="n">
        <v>2</v>
      </c>
      <c r="D4017" s="1" t="inlineStr">
        <is>
          <t>Links to altEC</t>
        </is>
      </c>
      <c r="E4017" s="1" t="inlineStr">
        <is>
          <t>Base</t>
        </is>
      </c>
      <c r="F4017" s="1" t="n">
        <v>0.583214</v>
      </c>
    </row>
    <row r="4018" ht="15.75" customHeight="1" s="201">
      <c r="A4018" s="1" t="n">
        <v>83107000</v>
      </c>
      <c r="B4018" s="1" t="inlineStr">
        <is>
          <t>Mayonnaise, regular (Includes mayonnaise, NFS)</t>
        </is>
      </c>
      <c r="C4018" s="1" t="n">
        <v>2</v>
      </c>
      <c r="D4018" s="1" t="inlineStr">
        <is>
          <t>Links to altEC</t>
        </is>
      </c>
      <c r="E4018" s="1" t="inlineStr">
        <is>
          <t>Base</t>
        </is>
      </c>
      <c r="F4018" s="1" t="n">
        <v>0.465946</v>
      </c>
    </row>
    <row r="4019" ht="15.75" customHeight="1" s="201">
      <c r="A4019" s="1" t="n">
        <v>83108000</v>
      </c>
      <c r="B4019" s="1" t="inlineStr">
        <is>
          <t>Vegan mayonnaise (Includes imitation; Vegenaise; vegan mayonnaise)</t>
        </is>
      </c>
      <c r="C4019" s="1" t="n">
        <v>1</v>
      </c>
      <c r="D4019" s="1" t="inlineStr">
        <is>
          <t>Links to FNDDS</t>
        </is>
      </c>
      <c r="E4019" s="1" t="inlineStr">
        <is>
          <t>Base</t>
        </is>
      </c>
      <c r="F4019" s="1" t="n">
        <v>1.028535</v>
      </c>
    </row>
    <row r="4020" ht="15.75" customHeight="1" s="201">
      <c r="A4020" s="1" t="n">
        <v>83110000</v>
      </c>
      <c r="B4020" s="1" t="inlineStr">
        <is>
          <t>Mayonnaise-type salad dressing (Includes Miracle Whip; Mayonnaise-type salad dressing, NFS)</t>
        </is>
      </c>
      <c r="C4020" s="1" t="n">
        <v>2</v>
      </c>
      <c r="D4020" s="1" t="inlineStr">
        <is>
          <t>Links to altEC</t>
        </is>
      </c>
      <c r="E4020" s="1" t="inlineStr">
        <is>
          <t>Base</t>
        </is>
      </c>
      <c r="F4020" s="1" t="n">
        <v>0.480585</v>
      </c>
    </row>
    <row r="4021" ht="15.75" customHeight="1" s="201">
      <c r="A4021" s="1" t="n">
        <v>83112000</v>
      </c>
      <c r="B4021" s="1" t="inlineStr">
        <is>
          <t>Avocado dressing (Includes Green Goddess)</t>
        </is>
      </c>
      <c r="C4021" s="1" t="n">
        <v>1</v>
      </c>
      <c r="D4021" s="1" t="inlineStr">
        <is>
          <t>Links to FNDDS</t>
        </is>
      </c>
      <c r="E4021" s="1" t="inlineStr">
        <is>
          <t>Base</t>
        </is>
      </c>
      <c r="F4021" s="1" t="n">
        <v>0.807254</v>
      </c>
    </row>
    <row r="4022" ht="15.75" customHeight="1" s="201">
      <c r="A4022" s="1" t="n">
        <v>83112500</v>
      </c>
      <c r="B4022" s="1" t="inlineStr">
        <is>
          <t>Creamy dressing (Includes French made with sour cream; Creamy Italian; ranch dressing, NFS; Creamy dressing NFS; Ranch dressing; peppercorn dressing; creamy bacon dressing; creamy parmesan dressing; cream cheese dressing; made with sour cream and/or buttermilk and oil)</t>
        </is>
      </c>
      <c r="C4022" s="1" t="n">
        <v>2</v>
      </c>
      <c r="D4022" s="1" t="inlineStr">
        <is>
          <t>Links to altEC</t>
        </is>
      </c>
      <c r="E4022" s="1" t="inlineStr">
        <is>
          <t>Base</t>
        </is>
      </c>
      <c r="F4022" s="1" t="n">
        <v>0.536677</v>
      </c>
    </row>
    <row r="4023" ht="15.75" customHeight="1" s="201">
      <c r="A4023" s="1" t="n">
        <v>83112990</v>
      </c>
      <c r="B4023" s="1" t="inlineStr">
        <is>
          <t>Sesame dressing (Includes Asian dressing; Oriental dressing; Soy Ginger dressing; sesame sauce)</t>
        </is>
      </c>
      <c r="C4023" s="1" t="n">
        <v>1</v>
      </c>
      <c r="D4023" s="1" t="inlineStr">
        <is>
          <t>Links to FNDDS</t>
        </is>
      </c>
      <c r="E4023" s="1" t="inlineStr">
        <is>
          <t>Base</t>
        </is>
      </c>
      <c r="F4023" s="1" t="n">
        <v>1.017521</v>
      </c>
    </row>
    <row r="4024" ht="15.75" customHeight="1" s="201">
      <c r="A4024" s="1" t="n">
        <v>83114000</v>
      </c>
      <c r="B4024" s="1" t="inlineStr">
        <is>
          <t>Thousand Island dressing (Includes McDonald's Big Mac sauce; Thousand Island dressing, NFS)</t>
        </is>
      </c>
      <c r="C4024" s="1" t="n">
        <v>2</v>
      </c>
      <c r="D4024" s="1" t="inlineStr">
        <is>
          <t>Links to altEC</t>
        </is>
      </c>
      <c r="E4024" s="1" t="inlineStr">
        <is>
          <t>Base</t>
        </is>
      </c>
      <c r="F4024" s="1" t="n">
        <v>0.459538</v>
      </c>
    </row>
    <row r="4025" ht="15.75" customHeight="1" s="201">
      <c r="A4025" s="1" t="n">
        <v>83115000</v>
      </c>
      <c r="B4025" s="1" t="inlineStr">
        <is>
          <t>Yogurt dressing (Includes Fruit dressing)</t>
        </is>
      </c>
      <c r="C4025" s="1" t="n">
        <v>1</v>
      </c>
      <c r="D4025" s="1" t="inlineStr">
        <is>
          <t>Links to FNDDS</t>
        </is>
      </c>
      <c r="E4025" s="1" t="inlineStr">
        <is>
          <t>Base</t>
        </is>
      </c>
      <c r="F4025" s="1" t="n">
        <v>0.825273</v>
      </c>
    </row>
    <row r="4026" ht="15.75" customHeight="1" s="201">
      <c r="A4026" s="1" t="n">
        <v>83200100</v>
      </c>
      <c r="B4026" s="1" t="inlineStr">
        <is>
          <t>Salad dressing, light, NFS (Includes Nutri-System salad dressing, NS as to type; diet, low calorie, low fat, reduced calorie, or reduced fat dressing)</t>
        </is>
      </c>
      <c r="C4026" s="1" t="n">
        <v>1</v>
      </c>
      <c r="D4026" s="1" t="inlineStr">
        <is>
          <t>Links to FNDDS</t>
        </is>
      </c>
      <c r="E4026" s="1" t="inlineStr">
        <is>
          <t>Base</t>
        </is>
      </c>
      <c r="F4026" s="1" t="n">
        <v>0.631182</v>
      </c>
    </row>
    <row r="4027" ht="15.75" customHeight="1" s="201">
      <c r="A4027" s="1" t="n">
        <v>83202020</v>
      </c>
      <c r="B4027" s="1" t="inlineStr">
        <is>
          <t>French or Catalina dressing, light (Includes diet, low calorie, low fat, reduced calorie, or reduced fat dressing; Western; Sweet and Sour dressing)</t>
        </is>
      </c>
      <c r="C4027" s="1" t="n">
        <v>1</v>
      </c>
      <c r="D4027" s="1" t="inlineStr">
        <is>
          <t>Links to FNDDS</t>
        </is>
      </c>
      <c r="E4027" s="1" t="inlineStr">
        <is>
          <t>Base</t>
        </is>
      </c>
      <c r="F4027" s="1" t="n">
        <v>0.473256</v>
      </c>
    </row>
    <row r="4028" ht="15.75" customHeight="1" s="201">
      <c r="A4028" s="1" t="n">
        <v>83203000</v>
      </c>
      <c r="B4028" s="1" t="inlineStr">
        <is>
          <t>Caesar dressing, light (Includes diet, low calorie, low fat, reduced calorie, or reduced fat dressing)</t>
        </is>
      </c>
      <c r="C4028" s="1" t="n">
        <v>1</v>
      </c>
      <c r="D4028" s="1" t="inlineStr">
        <is>
          <t>Links to FNDDS</t>
        </is>
      </c>
      <c r="E4028" s="1" t="inlineStr">
        <is>
          <t>Base</t>
        </is>
      </c>
      <c r="F4028" s="1" t="n">
        <v>0.547726</v>
      </c>
    </row>
    <row r="4029" ht="15.75" customHeight="1" s="201">
      <c r="A4029" s="1" t="n">
        <v>83204030</v>
      </c>
      <c r="B4029" s="1" t="inlineStr">
        <is>
          <t>Mayonnaise, reduced fat,  with olive oil</t>
        </is>
      </c>
      <c r="C4029" s="1" t="n">
        <v>2</v>
      </c>
      <c r="D4029" s="1" t="inlineStr">
        <is>
          <t>Links to altEC</t>
        </is>
      </c>
      <c r="E4029" s="1" t="inlineStr">
        <is>
          <t>Base</t>
        </is>
      </c>
      <c r="F4029" s="1" t="n">
        <v>0.478908</v>
      </c>
    </row>
    <row r="4030" ht="15.75" customHeight="1" s="201">
      <c r="A4030" s="1" t="n">
        <v>83204500</v>
      </c>
      <c r="B4030" s="1" t="inlineStr">
        <is>
          <t>Honey mustard dressing, light (Includes Newman's Own Lighten Up; diet, low calorie, low fat, reduced calorie, or reduced fat dressing; Honey dijon dressing)</t>
        </is>
      </c>
      <c r="C4030" s="1" t="n">
        <v>1</v>
      </c>
      <c r="D4030" s="1" t="inlineStr">
        <is>
          <t>Links to FNDDS</t>
        </is>
      </c>
      <c r="E4030" s="1" t="inlineStr">
        <is>
          <t>Base</t>
        </is>
      </c>
      <c r="F4030" s="1" t="n">
        <v>0.553252</v>
      </c>
    </row>
    <row r="4031" ht="15.75" customHeight="1" s="201">
      <c r="A4031" s="1" t="n">
        <v>83205450</v>
      </c>
      <c r="B4031" s="1" t="inlineStr">
        <is>
          <t>Italian dressing, light (Includes Newman's Own Light; diet, low calorie, low fat, reduced calorie, or reduced fat dressing; vinaigrette dressing; Greek dressing; onion or Vidalia onion dressing; Champagne dressing; celery seed dressing; red wine, balsamic, or raspberry vinegar dressing)</t>
        </is>
      </c>
      <c r="C4031" s="1" t="n">
        <v>1</v>
      </c>
      <c r="D4031" s="1" t="inlineStr">
        <is>
          <t>Links to FNDDS</t>
        </is>
      </c>
      <c r="E4031" s="1" t="inlineStr">
        <is>
          <t>Base</t>
        </is>
      </c>
      <c r="F4031" s="1" t="n">
        <v>0.634351</v>
      </c>
    </row>
    <row r="4032" ht="15.75" customHeight="1" s="201">
      <c r="A4032" s="1" t="n">
        <v>83206500</v>
      </c>
      <c r="B4032" s="1" t="inlineStr">
        <is>
          <t>Sesame dressing, light (Includes diet, low calorie, low fat, reduced calorie, or reduced fat dressing; Asian dressing; Oriental dressing; Soy ginger dressing)</t>
        </is>
      </c>
      <c r="C4032" s="1" t="n">
        <v>1</v>
      </c>
      <c r="D4032" s="1" t="inlineStr">
        <is>
          <t>Links to FNDDS</t>
        </is>
      </c>
      <c r="E4032" s="1" t="inlineStr">
        <is>
          <t>Base</t>
        </is>
      </c>
      <c r="F4032" s="1" t="n">
        <v>0.570292</v>
      </c>
    </row>
    <row r="4033" ht="15.75" customHeight="1" s="201">
      <c r="A4033" s="1" t="n">
        <v>83210100</v>
      </c>
      <c r="B4033" s="1" t="inlineStr">
        <is>
          <t>Creamy dressing, light (Includes diet, low calorie, low fat, reduced calorie, or reduced fat dressing; ranch dressing; ranch dip; peppercorn dressing; creamy italian; French made with light sour cream; creamy bacon dressing; creamy parmesan; cream cheese dressing; made with sour cream and/or buttermilk and oil)</t>
        </is>
      </c>
      <c r="C4033" s="1" t="n">
        <v>1</v>
      </c>
      <c r="D4033" s="1" t="inlineStr">
        <is>
          <t>Links to FNDDS</t>
        </is>
      </c>
      <c r="E4033" s="1" t="inlineStr">
        <is>
          <t>Base</t>
        </is>
      </c>
      <c r="F4033" s="1" t="n">
        <v>0.543188</v>
      </c>
    </row>
    <row r="4034" ht="15.75" customHeight="1" s="201">
      <c r="A4034" s="1" t="n">
        <v>83300100</v>
      </c>
      <c r="B4034" s="1" t="inlineStr">
        <is>
          <t>Blue or roquefort cheese dressing, fat free (Includes nonfat)</t>
        </is>
      </c>
      <c r="C4034" s="1" t="n">
        <v>1</v>
      </c>
      <c r="D4034" s="1" t="inlineStr">
        <is>
          <t>Links to FNDDS</t>
        </is>
      </c>
      <c r="E4034" s="1" t="inlineStr">
        <is>
          <t>Base</t>
        </is>
      </c>
      <c r="F4034" s="1" t="n">
        <v>0.462314</v>
      </c>
    </row>
    <row r="4035" ht="15.75" customHeight="1" s="201">
      <c r="A4035" s="1" t="n">
        <v>83300300</v>
      </c>
      <c r="B4035" s="1" t="inlineStr">
        <is>
          <t>Creamy dressing, fat free (Includes nonfat and fat free ranch dressing or dip; peppercorn dressing; creamy italian; french made with sour cream; creamy bacon dressing; creamy parmesan; cream cheese dressing; made with sour cream +/or buttermilk)</t>
        </is>
      </c>
      <c r="C4035" s="1" t="n">
        <v>1</v>
      </c>
      <c r="D4035" s="1" t="inlineStr">
        <is>
          <t>Links to FNDDS</t>
        </is>
      </c>
      <c r="E4035" s="1" t="inlineStr">
        <is>
          <t>Base</t>
        </is>
      </c>
      <c r="F4035" s="1" t="n">
        <v>0.516737</v>
      </c>
    </row>
    <row r="4036" ht="15.75" customHeight="1" s="201">
      <c r="A4036" s="1" t="n">
        <v>83300500</v>
      </c>
      <c r="B4036" s="1" t="inlineStr">
        <is>
          <t>Honey mustard dressing, fat free (Includes nonfat; Honey Dijon)</t>
        </is>
      </c>
      <c r="C4036" s="1" t="n">
        <v>1</v>
      </c>
      <c r="D4036" s="1" t="inlineStr">
        <is>
          <t>Links to FNDDS</t>
        </is>
      </c>
      <c r="E4036" s="1" t="inlineStr">
        <is>
          <t>Base</t>
        </is>
      </c>
      <c r="F4036" s="1" t="n">
        <v>0.88374</v>
      </c>
    </row>
    <row r="4037" ht="15.75" customHeight="1" s="201">
      <c r="A4037" s="1" t="n">
        <v>83300600</v>
      </c>
      <c r="B4037" s="1" t="inlineStr">
        <is>
          <t>Italian dressing, fat free (Includes nonfat; Nutri-System; vinaigrette dressing; greek dressing; onion or Vidalia onion dressing; Champagne dressing; celery seed dressing; vinegar, sugar and water dressing; red wine, balsamic, or raspberry vinegar dressing)</t>
        </is>
      </c>
      <c r="C4037" s="1" t="n">
        <v>1</v>
      </c>
      <c r="D4037" s="1" t="inlineStr">
        <is>
          <t>Links to FNDDS</t>
        </is>
      </c>
      <c r="E4037" s="1" t="inlineStr">
        <is>
          <t>Base</t>
        </is>
      </c>
      <c r="F4037" s="1" t="n">
        <v>0.5821</v>
      </c>
    </row>
    <row r="4038" ht="15.75" customHeight="1" s="201">
      <c r="A4038" s="1" t="n">
        <v>83300900</v>
      </c>
      <c r="B4038" s="1" t="inlineStr">
        <is>
          <t>Salad dressing, fat free, NFS (Includes nonfat; oil free)</t>
        </is>
      </c>
      <c r="C4038" s="1" t="n">
        <v>1</v>
      </c>
      <c r="D4038" s="1" t="inlineStr">
        <is>
          <t>Links to FNDDS</t>
        </is>
      </c>
      <c r="E4038" s="1" t="inlineStr">
        <is>
          <t>Base</t>
        </is>
      </c>
      <c r="F4038" s="1" t="n">
        <v>0.9018389999999999</v>
      </c>
    </row>
    <row r="4039" ht="15.75" customHeight="1" s="201">
      <c r="A4039" s="1" t="n">
        <v>83301000</v>
      </c>
      <c r="B4039" s="1" t="inlineStr">
        <is>
          <t>Thousand Island dressing, fat free (Includes nonfat)</t>
        </is>
      </c>
      <c r="C4039" s="1" t="n">
        <v>1</v>
      </c>
      <c r="D4039" s="1" t="inlineStr">
        <is>
          <t>Links to FNDDS</t>
        </is>
      </c>
      <c r="E4039" s="1" t="inlineStr">
        <is>
          <t>Base</t>
        </is>
      </c>
      <c r="F4039" s="1" t="n">
        <v>0.536037</v>
      </c>
    </row>
    <row r="4040" ht="15.75" customHeight="1" s="201">
      <c r="A4040" s="1" t="n">
        <v>89901000</v>
      </c>
      <c r="B4040" s="1" t="inlineStr">
        <is>
          <t>Bacon, for use with vegetables (Includes fat back)</t>
        </is>
      </c>
      <c r="C4040" s="1" t="n">
        <v>2</v>
      </c>
      <c r="D4040" s="1" t="inlineStr">
        <is>
          <t>Links to altEC</t>
        </is>
      </c>
      <c r="E4040" s="1" t="inlineStr">
        <is>
          <t>Base</t>
        </is>
      </c>
      <c r="F4040" s="1" t="n">
        <v>3.863503</v>
      </c>
    </row>
    <row r="4041" ht="15.75" customHeight="1" s="201">
      <c r="A4041" s="1" t="n">
        <v>89901002</v>
      </c>
      <c r="B4041" s="1" t="inlineStr">
        <is>
          <t>Ham, for use with vegetables (Includes ham hock; pork; sausage)</t>
        </is>
      </c>
      <c r="C4041" s="1" t="n">
        <v>2</v>
      </c>
      <c r="D4041" s="1" t="inlineStr">
        <is>
          <t>Links to altEC</t>
        </is>
      </c>
      <c r="E4041" s="1" t="inlineStr">
        <is>
          <t>Base</t>
        </is>
      </c>
      <c r="F4041" s="1" t="n">
        <v>0.912534</v>
      </c>
    </row>
    <row r="4042" ht="15.75" customHeight="1" s="201">
      <c r="A4042" s="1" t="n">
        <v>89901004</v>
      </c>
      <c r="B4042" s="1" t="inlineStr">
        <is>
          <t>Beef, for use with vegetables</t>
        </is>
      </c>
      <c r="C4042" s="1" t="n">
        <v>2</v>
      </c>
      <c r="D4042" s="1" t="inlineStr">
        <is>
          <t>Links to altEC</t>
        </is>
      </c>
      <c r="E4042" s="1" t="inlineStr">
        <is>
          <t>Base</t>
        </is>
      </c>
      <c r="F4042" s="1" t="n">
        <v>1.374702</v>
      </c>
    </row>
    <row r="4043" ht="15.75" customHeight="1" s="201">
      <c r="A4043" s="1" t="n">
        <v>89901006</v>
      </c>
      <c r="B4043" s="1" t="inlineStr">
        <is>
          <t>Chicken, for use with vegetables (Includes turkey)</t>
        </is>
      </c>
      <c r="C4043" s="1" t="n">
        <v>2</v>
      </c>
      <c r="D4043" s="1" t="inlineStr">
        <is>
          <t>Links to altEC</t>
        </is>
      </c>
      <c r="E4043" s="1" t="inlineStr">
        <is>
          <t>Base</t>
        </is>
      </c>
      <c r="F4043" s="1" t="n">
        <v>0.7303809999999999</v>
      </c>
    </row>
    <row r="4044" ht="15.75" customHeight="1" s="201">
      <c r="A4044" s="1" t="n">
        <v>89901010</v>
      </c>
      <c r="B4044" s="1" t="inlineStr">
        <is>
          <t>Cream sauce, for use with vegetables</t>
        </is>
      </c>
      <c r="C4044" s="1" t="n">
        <v>2</v>
      </c>
      <c r="D4044" s="1" t="inlineStr">
        <is>
          <t>Links to altEC</t>
        </is>
      </c>
      <c r="E4044" s="1" t="inlineStr">
        <is>
          <t>Base</t>
        </is>
      </c>
      <c r="F4044" s="1" t="n">
        <v>0.50362</v>
      </c>
    </row>
    <row r="4045" ht="15.75" customHeight="1" s="201">
      <c r="A4045" s="1" t="n">
        <v>89901020</v>
      </c>
      <c r="B4045" s="1" t="inlineStr">
        <is>
          <t>Cheese sauce, for use with vegetables</t>
        </is>
      </c>
      <c r="C4045" s="1" t="n">
        <v>2</v>
      </c>
      <c r="D4045" s="1" t="inlineStr">
        <is>
          <t>Links to altEC</t>
        </is>
      </c>
      <c r="E4045" s="1" t="inlineStr">
        <is>
          <t>Base</t>
        </is>
      </c>
      <c r="F4045" s="1" t="n">
        <v>0.388832</v>
      </c>
    </row>
    <row r="4046" ht="15.75" customHeight="1" s="201">
      <c r="A4046" s="1" t="n">
        <v>89901040</v>
      </c>
      <c r="B4046" s="1" t="inlineStr">
        <is>
          <t>Soy based sauce, for use with vegetables</t>
        </is>
      </c>
      <c r="C4046" s="1" t="n">
        <v>2</v>
      </c>
      <c r="D4046" s="1" t="inlineStr">
        <is>
          <t>Links to altEC</t>
        </is>
      </c>
      <c r="E4046" s="1" t="inlineStr">
        <is>
          <t>Base</t>
        </is>
      </c>
      <c r="F4046" s="1" t="n">
        <v>0.5864</v>
      </c>
    </row>
    <row r="4047" ht="15.75" customHeight="1" s="201">
      <c r="A4047" s="1" t="n">
        <v>89901050</v>
      </c>
      <c r="B4047" s="1" t="inlineStr">
        <is>
          <t>Tomato sauce, for use with vegetables</t>
        </is>
      </c>
      <c r="C4047" s="1" t="n">
        <v>2</v>
      </c>
      <c r="D4047" s="1" t="inlineStr">
        <is>
          <t>Links to altEC</t>
        </is>
      </c>
      <c r="E4047" s="1" t="inlineStr">
        <is>
          <t>Base</t>
        </is>
      </c>
      <c r="F4047" s="1" t="n">
        <v>0.303569</v>
      </c>
    </row>
    <row r="4048" ht="15.75" customHeight="1" s="201">
      <c r="A4048" s="1" t="n">
        <v>89902000</v>
      </c>
      <c r="B4048" s="1" t="inlineStr">
        <is>
          <t>Avocado, for use on a sandwich</t>
        </is>
      </c>
      <c r="C4048" s="1" t="n">
        <v>2</v>
      </c>
      <c r="D4048" s="1" t="inlineStr">
        <is>
          <t>Links to altEC</t>
        </is>
      </c>
      <c r="E4048" s="1" t="inlineStr">
        <is>
          <t>Base</t>
        </is>
      </c>
      <c r="F4048" s="1" t="n">
        <v>0.773366</v>
      </c>
    </row>
    <row r="4049" ht="15.75" customHeight="1" s="201">
      <c r="A4049" s="1" t="n">
        <v>89902010</v>
      </c>
      <c r="B4049" s="1" t="inlineStr">
        <is>
          <t>Cucumber, for use on a sandwich</t>
        </is>
      </c>
      <c r="C4049" s="1" t="n">
        <v>2</v>
      </c>
      <c r="D4049" s="1" t="inlineStr">
        <is>
          <t>Links to altEC</t>
        </is>
      </c>
      <c r="E4049" s="1" t="inlineStr">
        <is>
          <t>Base</t>
        </is>
      </c>
      <c r="F4049" s="1" t="n">
        <v>0.351319</v>
      </c>
    </row>
    <row r="4050" ht="15.75" customHeight="1" s="201">
      <c r="A4050" s="1" t="n">
        <v>89902020</v>
      </c>
      <c r="B4050" s="1" t="inlineStr">
        <is>
          <t>Lettuce, for use on a sandwich (Includes all kinds)</t>
        </is>
      </c>
      <c r="C4050" s="1" t="n">
        <v>2</v>
      </c>
      <c r="D4050" s="1" t="inlineStr">
        <is>
          <t>Links to altEC</t>
        </is>
      </c>
      <c r="E4050" s="1" t="inlineStr">
        <is>
          <t>Base</t>
        </is>
      </c>
      <c r="F4050" s="1" t="n">
        <v>1.485014</v>
      </c>
    </row>
    <row r="4051" ht="15.75" customHeight="1" s="201">
      <c r="A4051" s="1" t="n">
        <v>89902030</v>
      </c>
      <c r="B4051" s="1" t="inlineStr">
        <is>
          <t>Mushrooms, for use on a sandwich</t>
        </is>
      </c>
      <c r="C4051" s="1" t="n">
        <v>2</v>
      </c>
      <c r="D4051" s="1" t="inlineStr">
        <is>
          <t>Links to altEC</t>
        </is>
      </c>
      <c r="E4051" s="1" t="inlineStr">
        <is>
          <t>Base</t>
        </is>
      </c>
      <c r="F4051" s="1" t="n">
        <v>0.87044</v>
      </c>
    </row>
    <row r="4052" ht="15.75" customHeight="1" s="201">
      <c r="A4052" s="1" t="n">
        <v>89902040</v>
      </c>
      <c r="B4052" s="1" t="inlineStr">
        <is>
          <t>Onions, for use on a sandwich</t>
        </is>
      </c>
      <c r="C4052" s="1" t="n">
        <v>2</v>
      </c>
      <c r="D4052" s="1" t="inlineStr">
        <is>
          <t>Links to altEC</t>
        </is>
      </c>
      <c r="E4052" s="1" t="inlineStr">
        <is>
          <t>Base</t>
        </is>
      </c>
      <c r="F4052" s="1" t="n">
        <v>0.260675</v>
      </c>
    </row>
    <row r="4053" ht="15.75" customHeight="1" s="201">
      <c r="A4053" s="1" t="n">
        <v>89902050</v>
      </c>
      <c r="B4053" s="1" t="inlineStr">
        <is>
          <t>Pepper, for use on a sandwich (Includes all kinds)</t>
        </is>
      </c>
      <c r="C4053" s="1" t="n">
        <v>2</v>
      </c>
      <c r="D4053" s="1" t="inlineStr">
        <is>
          <t>Links to altEC</t>
        </is>
      </c>
      <c r="E4053" s="1" t="inlineStr">
        <is>
          <t>Base</t>
        </is>
      </c>
      <c r="F4053" s="1" t="n">
        <v>0.820584</v>
      </c>
    </row>
    <row r="4054" ht="15.75" customHeight="1" s="201">
      <c r="A4054" s="1" t="n">
        <v>89902060</v>
      </c>
      <c r="B4054" s="1" t="inlineStr">
        <is>
          <t>Spinach, for use on a sandwich</t>
        </is>
      </c>
      <c r="C4054" s="1" t="n">
        <v>2</v>
      </c>
      <c r="D4054" s="1" t="inlineStr">
        <is>
          <t>Links to altEC</t>
        </is>
      </c>
      <c r="E4054" s="1" t="inlineStr">
        <is>
          <t>Base</t>
        </is>
      </c>
      <c r="F4054" s="1" t="n">
        <v>0.989603</v>
      </c>
    </row>
    <row r="4055" ht="15.75" customHeight="1" s="201">
      <c r="A4055" s="1" t="n">
        <v>89902070</v>
      </c>
      <c r="B4055" s="1" t="inlineStr">
        <is>
          <t>Tomatoes, for use on a sandwich</t>
        </is>
      </c>
      <c r="C4055" s="1" t="n">
        <v>2</v>
      </c>
      <c r="D4055" s="1" t="inlineStr">
        <is>
          <t>Links to altEC</t>
        </is>
      </c>
      <c r="E4055" s="1" t="inlineStr">
        <is>
          <t>Base</t>
        </is>
      </c>
      <c r="F4055" s="1" t="n">
        <v>0.51767</v>
      </c>
    </row>
    <row r="4056" ht="15.75" customHeight="1" s="201">
      <c r="A4056" s="1" t="n">
        <v>89902100</v>
      </c>
      <c r="B4056" s="1" t="inlineStr">
        <is>
          <t>Bacon, for use on a sandwich</t>
        </is>
      </c>
      <c r="C4056" s="1" t="n">
        <v>2</v>
      </c>
      <c r="D4056" s="1" t="inlineStr">
        <is>
          <t>Links to altEC</t>
        </is>
      </c>
      <c r="E4056" s="1" t="inlineStr">
        <is>
          <t>Base</t>
        </is>
      </c>
      <c r="F4056" s="1" t="n">
        <v>2.453442</v>
      </c>
    </row>
    <row r="4057" ht="15.75" customHeight="1" s="201">
      <c r="A4057" s="1" t="n">
        <v>91101000</v>
      </c>
      <c r="B4057" s="1" t="inlineStr">
        <is>
          <t>Sugar, NFS</t>
        </is>
      </c>
      <c r="C4057" s="1" t="n">
        <v>2</v>
      </c>
      <c r="D4057" s="1" t="inlineStr">
        <is>
          <t>Links to altEC</t>
        </is>
      </c>
      <c r="E4057" s="1" t="inlineStr">
        <is>
          <t>Base</t>
        </is>
      </c>
      <c r="F4057" s="1" t="n">
        <v>0.156937</v>
      </c>
    </row>
    <row r="4058" ht="15.75" customHeight="1" s="201">
      <c r="A4058" s="1" t="n">
        <v>91101010</v>
      </c>
      <c r="B4058" s="1" t="inlineStr">
        <is>
          <t>Sugar, white, granulated or lump (Includes sugar, white, NS as to granulated or confectioner's)</t>
        </is>
      </c>
      <c r="C4058" s="1" t="n">
        <v>1</v>
      </c>
      <c r="D4058" s="1" t="inlineStr">
        <is>
          <t>Links to FNDDS</t>
        </is>
      </c>
      <c r="E4058" s="1" t="inlineStr">
        <is>
          <t>Base</t>
        </is>
      </c>
      <c r="F4058" s="1" t="n">
        <v>0.133442</v>
      </c>
    </row>
    <row r="4059" ht="15.75" customHeight="1" s="201">
      <c r="A4059" s="1" t="n">
        <v>91101020</v>
      </c>
      <c r="B4059" s="1" t="inlineStr">
        <is>
          <t>Sugar, white, confectioner's, powdered</t>
        </is>
      </c>
      <c r="C4059" s="1" t="n">
        <v>1</v>
      </c>
      <c r="D4059" s="1" t="inlineStr">
        <is>
          <t>Links to FNDDS</t>
        </is>
      </c>
      <c r="E4059" s="1" t="inlineStr">
        <is>
          <t>Base</t>
        </is>
      </c>
      <c r="F4059" s="1" t="n">
        <v>0.227782</v>
      </c>
    </row>
    <row r="4060" ht="15.75" customHeight="1" s="201">
      <c r="A4060" s="1" t="n">
        <v>91102010</v>
      </c>
      <c r="B4060" s="1" t="inlineStr">
        <is>
          <t>Sugar, brown</t>
        </is>
      </c>
      <c r="C4060" s="1" t="n">
        <v>1</v>
      </c>
      <c r="D4060" s="1" t="inlineStr">
        <is>
          <t>Links to FNDDS</t>
        </is>
      </c>
      <c r="E4060" s="1" t="inlineStr">
        <is>
          <t>Base</t>
        </is>
      </c>
      <c r="F4060" s="1" t="n">
        <v>0.237319</v>
      </c>
    </row>
    <row r="4061" ht="15.75" customHeight="1" s="201">
      <c r="A4061" s="1" t="n">
        <v>91104100</v>
      </c>
      <c r="B4061" s="1" t="inlineStr">
        <is>
          <t>Sugar, cinnamon</t>
        </is>
      </c>
      <c r="C4061" s="1" t="n">
        <v>1</v>
      </c>
      <c r="D4061" s="1" t="inlineStr">
        <is>
          <t>Links to FNDDS</t>
        </is>
      </c>
      <c r="E4061" s="1" t="inlineStr">
        <is>
          <t>Base</t>
        </is>
      </c>
      <c r="F4061" s="1" t="n">
        <v>2.862942</v>
      </c>
    </row>
    <row r="4062" ht="15.75" customHeight="1" s="201">
      <c r="A4062" s="1" t="n">
        <v>91106010</v>
      </c>
      <c r="B4062" s="1" t="inlineStr">
        <is>
          <t>Sugar substitute and sugar blend (Includes Domino Light)</t>
        </is>
      </c>
      <c r="C4062" s="1" t="n">
        <v>1</v>
      </c>
      <c r="D4062" s="1" t="inlineStr">
        <is>
          <t>Links to FNDDS</t>
        </is>
      </c>
      <c r="E4062" s="1" t="inlineStr">
        <is>
          <t>Base</t>
        </is>
      </c>
      <c r="F4062" s="1" t="n">
        <v>2.142226</v>
      </c>
    </row>
    <row r="4063" ht="15.75" customHeight="1" s="201">
      <c r="A4063" s="1" t="n">
        <v>91107000</v>
      </c>
      <c r="B4063" s="1" t="inlineStr">
        <is>
          <t>Sugar substitute, sucralose, powder (Includes Splenda; yellow / gold packet or package)</t>
        </is>
      </c>
      <c r="C4063" s="1" t="n">
        <v>1</v>
      </c>
      <c r="D4063" s="1" t="inlineStr">
        <is>
          <t>Links to FNDDS</t>
        </is>
      </c>
      <c r="E4063" s="1" t="inlineStr">
        <is>
          <t>Base</t>
        </is>
      </c>
      <c r="F4063" s="1" t="n">
        <v>2.604708</v>
      </c>
    </row>
    <row r="4064" ht="15.75" customHeight="1" s="201">
      <c r="A4064" s="1" t="n">
        <v>91108000</v>
      </c>
      <c r="B4064" s="1" t="inlineStr">
        <is>
          <t>Sugar substitute, stevia, powder (Includes Stevia; Truvia; Stevia In The Raw; Pure Via; green packet or package)</t>
        </is>
      </c>
      <c r="C4064" s="1" t="n">
        <v>1</v>
      </c>
      <c r="D4064" s="1" t="inlineStr">
        <is>
          <t>Links to FNDDS</t>
        </is>
      </c>
      <c r="E4064" s="1" t="inlineStr">
        <is>
          <t>Base</t>
        </is>
      </c>
      <c r="F4064" s="1" t="n">
        <v>2.107491</v>
      </c>
    </row>
    <row r="4065" ht="15.75" customHeight="1" s="201">
      <c r="A4065" s="1" t="n">
        <v>91200000</v>
      </c>
      <c r="B4065" s="1" t="inlineStr">
        <is>
          <t>Sugar substitute, powder, NFS</t>
        </is>
      </c>
      <c r="C4065" s="1" t="n">
        <v>2</v>
      </c>
      <c r="D4065" s="1" t="inlineStr">
        <is>
          <t>Links to altEC</t>
        </is>
      </c>
      <c r="E4065" s="1" t="inlineStr">
        <is>
          <t>Base</t>
        </is>
      </c>
      <c r="F4065" s="1" t="n">
        <v>1.728662</v>
      </c>
    </row>
    <row r="4066" ht="15.75" customHeight="1" s="201">
      <c r="A4066" s="1" t="n">
        <v>91200005</v>
      </c>
      <c r="B4066" s="1" t="inlineStr">
        <is>
          <t>Sugar substitute, liquid, NFS</t>
        </is>
      </c>
      <c r="C4066" s="1" t="n">
        <v>2</v>
      </c>
      <c r="D4066" s="1" t="inlineStr">
        <is>
          <t>Links to altEC</t>
        </is>
      </c>
      <c r="E4066" s="1" t="inlineStr">
        <is>
          <t>Base</t>
        </is>
      </c>
      <c r="F4066" s="1" t="n">
        <v>3.489555</v>
      </c>
    </row>
    <row r="4067" ht="15.75" customHeight="1" s="201">
      <c r="A4067" s="1" t="n">
        <v>91200040</v>
      </c>
      <c r="B4067" s="1" t="inlineStr">
        <is>
          <t>Sugar substitute, saccharin, powder (Includes Weight Watchers; Sweet 'n Low; Sugar Twin; pink packet or package)</t>
        </is>
      </c>
      <c r="C4067" s="1" t="n">
        <v>1</v>
      </c>
      <c r="D4067" s="1" t="inlineStr">
        <is>
          <t>Links to FNDDS</t>
        </is>
      </c>
      <c r="E4067" s="1" t="inlineStr">
        <is>
          <t>Base</t>
        </is>
      </c>
      <c r="F4067" s="1" t="n">
        <v>1.433652</v>
      </c>
    </row>
    <row r="4068" ht="15.75" customHeight="1" s="201">
      <c r="A4068" s="1" t="n">
        <v>91200110</v>
      </c>
      <c r="B4068" s="1" t="inlineStr">
        <is>
          <t>Sugar substitute, saccharin, liquid (Includes Sweet 'n Low; Sweet 10; Superose)</t>
        </is>
      </c>
      <c r="C4068" s="1" t="n">
        <v>1</v>
      </c>
      <c r="D4068" s="1" t="inlineStr">
        <is>
          <t>Links to FNDDS</t>
        </is>
      </c>
      <c r="E4068" s="1" t="inlineStr">
        <is>
          <t>Base</t>
        </is>
      </c>
      <c r="F4068" s="1" t="n">
        <v>0.728522</v>
      </c>
    </row>
    <row r="4069" ht="15.75" customHeight="1" s="201">
      <c r="A4069" s="1" t="n">
        <v>91201010</v>
      </c>
      <c r="B4069" s="1" t="inlineStr">
        <is>
          <t>Sugar substitute, aspartame, powder (Includes Equal; Nutrasweet; Sweet One; Natrataste; blue packet or package)</t>
        </is>
      </c>
      <c r="C4069" s="1" t="n">
        <v>1</v>
      </c>
      <c r="D4069" s="1" t="inlineStr">
        <is>
          <t>Links to FNDDS</t>
        </is>
      </c>
      <c r="E4069" s="1" t="inlineStr">
        <is>
          <t>Base</t>
        </is>
      </c>
      <c r="F4069" s="1" t="n">
        <v>1.870053</v>
      </c>
    </row>
    <row r="4070" ht="15.75" customHeight="1" s="201">
      <c r="A4070" s="1" t="n">
        <v>91300010</v>
      </c>
      <c r="B4070" s="1" t="inlineStr">
        <is>
          <t>Syrup, NFS</t>
        </is>
      </c>
      <c r="C4070" s="1" t="n">
        <v>2</v>
      </c>
      <c r="D4070" s="1" t="inlineStr">
        <is>
          <t>Links to altEC</t>
        </is>
      </c>
      <c r="E4070" s="1" t="inlineStr">
        <is>
          <t>Base</t>
        </is>
      </c>
      <c r="F4070" s="1" t="n">
        <v>0.414874</v>
      </c>
    </row>
    <row r="4071" ht="15.75" customHeight="1" s="201">
      <c r="A4071" s="1" t="n">
        <v>91300100</v>
      </c>
      <c r="B4071" s="1" t="inlineStr">
        <is>
          <t>Pancake syrup (Includes cane; buttered blends; maple; maple cream)</t>
        </is>
      </c>
      <c r="C4071" s="1" t="n">
        <v>2</v>
      </c>
      <c r="D4071" s="1" t="inlineStr">
        <is>
          <t>Links to altEC</t>
        </is>
      </c>
      <c r="E4071" s="1" t="inlineStr">
        <is>
          <t>Base</t>
        </is>
      </c>
      <c r="F4071" s="1" t="n">
        <v>0.404412</v>
      </c>
    </row>
    <row r="4072" ht="15.75" customHeight="1" s="201">
      <c r="A4072" s="1" t="n">
        <v>91301030</v>
      </c>
      <c r="B4072" s="1" t="inlineStr">
        <is>
          <t>Corn syrup (Includes Karo)</t>
        </is>
      </c>
      <c r="C4072" s="1" t="n">
        <v>1</v>
      </c>
      <c r="D4072" s="1" t="inlineStr">
        <is>
          <t>Links to FNDDS</t>
        </is>
      </c>
      <c r="E4072" s="1" t="inlineStr">
        <is>
          <t>Base</t>
        </is>
      </c>
      <c r="F4072" s="1" t="n">
        <v>0.374488</v>
      </c>
    </row>
    <row r="4073" ht="15.75" customHeight="1" s="201">
      <c r="A4073" s="1" t="n">
        <v>91301050</v>
      </c>
      <c r="B4073" s="1" t="inlineStr">
        <is>
          <t>Blueberry syrup (Includes all other fruit flavors)</t>
        </is>
      </c>
      <c r="C4073" s="1" t="n">
        <v>1</v>
      </c>
      <c r="D4073" s="1" t="inlineStr">
        <is>
          <t>Links to FNDDS</t>
        </is>
      </c>
      <c r="E4073" s="1" t="inlineStr">
        <is>
          <t>Base</t>
        </is>
      </c>
      <c r="F4073" s="1" t="n">
        <v>0.1885</v>
      </c>
    </row>
    <row r="4074" ht="15.75" customHeight="1" s="201">
      <c r="A4074" s="1" t="n">
        <v>91301080</v>
      </c>
      <c r="B4074" s="1" t="inlineStr">
        <is>
          <t>Chocolate syrup (Includes Nestle Quik; Hershey's; chocolate sauce)</t>
        </is>
      </c>
      <c r="C4074" s="1" t="n">
        <v>1</v>
      </c>
      <c r="D4074" s="1" t="inlineStr">
        <is>
          <t>Links to FNDDS</t>
        </is>
      </c>
      <c r="E4074" s="1" t="inlineStr">
        <is>
          <t>Base</t>
        </is>
      </c>
      <c r="F4074" s="1" t="n">
        <v>0.350959</v>
      </c>
    </row>
    <row r="4075" ht="15.75" customHeight="1" s="201">
      <c r="A4075" s="1" t="n">
        <v>91301081</v>
      </c>
      <c r="B4075" s="1" t="inlineStr">
        <is>
          <t>Chocolate syrup, light (Includes reduced calorie; sugar free)</t>
        </is>
      </c>
      <c r="C4075" s="1" t="n">
        <v>2</v>
      </c>
      <c r="D4075" s="1" t="inlineStr">
        <is>
          <t>Links to altEC</t>
        </is>
      </c>
      <c r="E4075" s="1" t="inlineStr">
        <is>
          <t>Base</t>
        </is>
      </c>
      <c r="F4075" s="1" t="n">
        <v>0.350959</v>
      </c>
    </row>
    <row r="4076" ht="15.75" customHeight="1" s="201">
      <c r="A4076" s="1" t="n">
        <v>91301100</v>
      </c>
      <c r="B4076" s="1" t="inlineStr">
        <is>
          <t>Simple syrup (Includes sugar and water; grenadine)</t>
        </is>
      </c>
      <c r="C4076" s="1" t="n">
        <v>1</v>
      </c>
      <c r="D4076" s="1" t="inlineStr">
        <is>
          <t>Links to FNDDS</t>
        </is>
      </c>
      <c r="E4076" s="1" t="inlineStr">
        <is>
          <t>Base</t>
        </is>
      </c>
      <c r="F4076" s="1" t="n">
        <v>0.784448</v>
      </c>
    </row>
    <row r="4077" ht="15.75" customHeight="1" s="201">
      <c r="A4077" s="1" t="n">
        <v>91301130</v>
      </c>
      <c r="B4077" s="1" t="inlineStr">
        <is>
          <t>Strawberry drink syrup (Includes Nestle Quik; Hershey's; flavors other than chocolate)</t>
        </is>
      </c>
      <c r="C4077" s="1" t="n">
        <v>1</v>
      </c>
      <c r="D4077" s="1" t="inlineStr">
        <is>
          <t>Links to FNDDS</t>
        </is>
      </c>
      <c r="E4077" s="1" t="inlineStr">
        <is>
          <t>Base</t>
        </is>
      </c>
      <c r="F4077" s="1" t="n">
        <v>0.299889</v>
      </c>
    </row>
    <row r="4078" ht="15.75" customHeight="1" s="201">
      <c r="A4078" s="1" t="n">
        <v>91301510</v>
      </c>
      <c r="B4078" s="1" t="inlineStr">
        <is>
          <t>Pancake syrup, light (Includes reduced calorie; sugar-free)</t>
        </is>
      </c>
      <c r="C4078" s="1" t="n">
        <v>1</v>
      </c>
      <c r="D4078" s="1" t="inlineStr">
        <is>
          <t>Links to FNDDS</t>
        </is>
      </c>
      <c r="E4078" s="1" t="inlineStr">
        <is>
          <t>Base</t>
        </is>
      </c>
      <c r="F4078" s="1" t="n">
        <v>0.409976</v>
      </c>
    </row>
    <row r="4079" ht="15.75" customHeight="1" s="201">
      <c r="A4079" s="1" t="n">
        <v>91302010</v>
      </c>
      <c r="B4079" s="1" t="inlineStr">
        <is>
          <t>Honey</t>
        </is>
      </c>
      <c r="C4079" s="1" t="n">
        <v>1</v>
      </c>
      <c r="D4079" s="1" t="inlineStr">
        <is>
          <t>Links to FNDDS</t>
        </is>
      </c>
      <c r="E4079" s="1" t="inlineStr">
        <is>
          <t>Base</t>
        </is>
      </c>
      <c r="F4079" s="1" t="n">
        <v>1.032151</v>
      </c>
    </row>
    <row r="4080" ht="15.75" customHeight="1" s="201">
      <c r="A4080" s="1" t="n">
        <v>91302020</v>
      </c>
      <c r="B4080" s="1" t="inlineStr">
        <is>
          <t>Agave liquid sweetener (Includes blue agave)</t>
        </is>
      </c>
      <c r="C4080" s="1" t="n">
        <v>1</v>
      </c>
      <c r="D4080" s="1" t="inlineStr">
        <is>
          <t>Links to FNDDS</t>
        </is>
      </c>
      <c r="E4080" s="1" t="inlineStr">
        <is>
          <t>Base</t>
        </is>
      </c>
      <c r="F4080" s="1" t="n">
        <v>0.852492</v>
      </c>
    </row>
    <row r="4081" ht="15.75" customHeight="1" s="201">
      <c r="A4081" s="1" t="n">
        <v>91303000</v>
      </c>
      <c r="B4081" s="1" t="inlineStr">
        <is>
          <t>Molasses</t>
        </is>
      </c>
      <c r="C4081" s="1" t="n">
        <v>1</v>
      </c>
      <c r="D4081" s="1" t="inlineStr">
        <is>
          <t>Links to FNDDS</t>
        </is>
      </c>
      <c r="E4081" s="1" t="inlineStr">
        <is>
          <t>Base</t>
        </is>
      </c>
      <c r="F4081" s="1" t="n">
        <v>0.685092</v>
      </c>
    </row>
    <row r="4082" ht="15.75" customHeight="1" s="201">
      <c r="A4082" s="1" t="n">
        <v>91304010</v>
      </c>
      <c r="B4082" s="1" t="inlineStr">
        <is>
          <t>Topping, butterscotch or caramel (Includes flavors other than chocolate)</t>
        </is>
      </c>
      <c r="C4082" s="1" t="n">
        <v>1</v>
      </c>
      <c r="D4082" s="1" t="inlineStr">
        <is>
          <t>Links to FNDDS</t>
        </is>
      </c>
      <c r="E4082" s="1" t="inlineStr">
        <is>
          <t>Base</t>
        </is>
      </c>
      <c r="F4082" s="1" t="n">
        <v>0.595554</v>
      </c>
    </row>
    <row r="4083" ht="15.75" customHeight="1" s="201">
      <c r="A4083" s="1" t="n">
        <v>91304030</v>
      </c>
      <c r="B4083" s="1" t="inlineStr">
        <is>
          <t>Topping, fruit (Includes unsweetened fruit topping; fruit sauce)</t>
        </is>
      </c>
      <c r="C4083" s="1" t="n">
        <v>1</v>
      </c>
      <c r="D4083" s="1" t="inlineStr">
        <is>
          <t>Links to FNDDS</t>
        </is>
      </c>
      <c r="E4083" s="1" t="inlineStr">
        <is>
          <t>Base</t>
        </is>
      </c>
      <c r="F4083" s="1" t="n">
        <v>0.476321</v>
      </c>
    </row>
    <row r="4084" ht="15.75" customHeight="1" s="201">
      <c r="A4084" s="1" t="n">
        <v>91304040</v>
      </c>
      <c r="B4084" s="1" t="inlineStr">
        <is>
          <t>Topping, marshmallow (Includes marshmallow creme; marshmallow fluff)</t>
        </is>
      </c>
      <c r="C4084" s="1" t="n">
        <v>1</v>
      </c>
      <c r="D4084" s="1" t="inlineStr">
        <is>
          <t>Links to FNDDS</t>
        </is>
      </c>
      <c r="E4084" s="1" t="inlineStr">
        <is>
          <t>Base</t>
        </is>
      </c>
      <c r="F4084" s="1" t="n">
        <v>0.613852</v>
      </c>
    </row>
    <row r="4085" ht="15.75" customHeight="1" s="201">
      <c r="A4085" s="1" t="n">
        <v>91304060</v>
      </c>
      <c r="B4085" s="1" t="inlineStr">
        <is>
          <t>Topping, nuts and syrup (Includes wet nuts)</t>
        </is>
      </c>
      <c r="C4085" s="1" t="n">
        <v>1</v>
      </c>
      <c r="D4085" s="1" t="inlineStr">
        <is>
          <t>Links to FNDDS</t>
        </is>
      </c>
      <c r="E4085" s="1" t="inlineStr">
        <is>
          <t>Base</t>
        </is>
      </c>
      <c r="F4085" s="1" t="n">
        <v>1.81134</v>
      </c>
    </row>
    <row r="4086" ht="15.75" customHeight="1" s="201">
      <c r="A4086" s="1" t="n">
        <v>91304090</v>
      </c>
      <c r="B4086" s="1" t="inlineStr">
        <is>
          <t>Topping, chocolate flavored hazelnut spread (Includes Nutella)</t>
        </is>
      </c>
      <c r="C4086" s="1" t="n">
        <v>1</v>
      </c>
      <c r="D4086" s="1" t="inlineStr">
        <is>
          <t>Links to FNDDS</t>
        </is>
      </c>
      <c r="E4086" s="1" t="inlineStr">
        <is>
          <t>Base</t>
        </is>
      </c>
      <c r="F4086" s="1" t="n">
        <v>0.8551879999999999</v>
      </c>
    </row>
    <row r="4087" ht="15.75" customHeight="1" s="201">
      <c r="A4087" s="1" t="n">
        <v>91305010</v>
      </c>
      <c r="B4087" s="1" t="inlineStr">
        <is>
          <t>Icing, chocolate (Includes creme filling)</t>
        </is>
      </c>
      <c r="C4087" s="1" t="n">
        <v>1</v>
      </c>
      <c r="D4087" s="1" t="inlineStr">
        <is>
          <t>Links to FNDDS</t>
        </is>
      </c>
      <c r="E4087" s="1" t="inlineStr">
        <is>
          <t>Base</t>
        </is>
      </c>
      <c r="F4087" s="1" t="n">
        <v>0.377072</v>
      </c>
    </row>
    <row r="4088" ht="15.75" customHeight="1" s="201">
      <c r="A4088" s="1" t="n">
        <v>91305020</v>
      </c>
      <c r="B4088" s="1" t="inlineStr">
        <is>
          <t>Icing, white (Includes creme filling; icing, NFS; flavors other than chocolate)</t>
        </is>
      </c>
      <c r="C4088" s="1" t="n">
        <v>1</v>
      </c>
      <c r="D4088" s="1" t="inlineStr">
        <is>
          <t>Links to FNDDS</t>
        </is>
      </c>
      <c r="E4088" s="1" t="inlineStr">
        <is>
          <t>Base</t>
        </is>
      </c>
      <c r="F4088" s="1" t="n">
        <v>0.424345</v>
      </c>
    </row>
    <row r="4089" ht="15.75" customHeight="1" s="201">
      <c r="A4089" s="1" t="n">
        <v>91306030</v>
      </c>
      <c r="B4089" s="1" t="inlineStr">
        <is>
          <t>Chocolate dip (Includes chocolate fondue)</t>
        </is>
      </c>
      <c r="C4089" s="1" t="n">
        <v>1</v>
      </c>
      <c r="D4089" s="1" t="inlineStr">
        <is>
          <t>Links to FNDDS</t>
        </is>
      </c>
      <c r="E4089" s="1" t="inlineStr">
        <is>
          <t>Base</t>
        </is>
      </c>
      <c r="F4089" s="1" t="n">
        <v>0.873213</v>
      </c>
    </row>
    <row r="4090" ht="15.75" customHeight="1" s="201">
      <c r="A4090" s="1" t="n">
        <v>91306040</v>
      </c>
      <c r="B4090" s="1" t="inlineStr">
        <is>
          <t>Dessert dip (Includes fruit dip; vanilla dip; cinnamon dip; all flavors other than chocoloate or caramel dip)</t>
        </is>
      </c>
      <c r="C4090" s="1" t="n">
        <v>1</v>
      </c>
      <c r="D4090" s="1" t="inlineStr">
        <is>
          <t>Links to FNDDS</t>
        </is>
      </c>
      <c r="E4090" s="1" t="inlineStr">
        <is>
          <t>Base</t>
        </is>
      </c>
      <c r="F4090" s="1" t="n">
        <v>1.237875</v>
      </c>
    </row>
    <row r="4091" ht="15.75" customHeight="1" s="201">
      <c r="A4091" s="1" t="n">
        <v>91361010</v>
      </c>
      <c r="B4091" s="1" t="inlineStr">
        <is>
          <t>Sweet and sour sauce</t>
        </is>
      </c>
      <c r="C4091" s="1" t="n">
        <v>1</v>
      </c>
      <c r="D4091" s="1" t="inlineStr">
        <is>
          <t>Links to FNDDS</t>
        </is>
      </c>
      <c r="E4091" s="1" t="inlineStr">
        <is>
          <t>Base</t>
        </is>
      </c>
      <c r="F4091" s="1" t="n">
        <v>0.628979</v>
      </c>
    </row>
    <row r="4092" ht="15.75" customHeight="1" s="201">
      <c r="A4092" s="1" t="n">
        <v>91361050</v>
      </c>
      <c r="B4092" s="1" t="inlineStr">
        <is>
          <t>Duck sauce (Includes chasni; plum)</t>
        </is>
      </c>
      <c r="C4092" s="1" t="n">
        <v>1</v>
      </c>
      <c r="D4092" s="1" t="inlineStr">
        <is>
          <t>Links to FNDDS</t>
        </is>
      </c>
      <c r="E4092" s="1" t="inlineStr">
        <is>
          <t>Base</t>
        </is>
      </c>
      <c r="F4092" s="1" t="n">
        <v>0.667601</v>
      </c>
    </row>
    <row r="4093" ht="15.75" customHeight="1" s="201">
      <c r="A4093" s="1" t="n">
        <v>91401000</v>
      </c>
      <c r="B4093" s="1" t="inlineStr">
        <is>
          <t>Jelly, all flavors (Includes NS as to type)</t>
        </is>
      </c>
      <c r="C4093" s="1" t="n">
        <v>1</v>
      </c>
      <c r="D4093" s="1" t="inlineStr">
        <is>
          <t>Links to FNDDS</t>
        </is>
      </c>
      <c r="E4093" s="1" t="inlineStr">
        <is>
          <t>Base</t>
        </is>
      </c>
      <c r="F4093" s="1" t="n">
        <v>0.335758</v>
      </c>
    </row>
    <row r="4094" ht="15.75" customHeight="1" s="201">
      <c r="A4094" s="1" t="n">
        <v>91402000</v>
      </c>
      <c r="B4094" s="1" t="inlineStr">
        <is>
          <t>Jam, preserve, all flavors (Includes NS as to type)</t>
        </is>
      </c>
      <c r="C4094" s="1" t="n">
        <v>1</v>
      </c>
      <c r="D4094" s="1" t="inlineStr">
        <is>
          <t>Links to FNDDS</t>
        </is>
      </c>
      <c r="E4094" s="1" t="inlineStr">
        <is>
          <t>Base</t>
        </is>
      </c>
      <c r="F4094" s="1" t="n">
        <v>0.565964</v>
      </c>
    </row>
    <row r="4095" ht="15.75" customHeight="1" s="201">
      <c r="A4095" s="1" t="n">
        <v>91404000</v>
      </c>
      <c r="B4095" s="1" t="inlineStr">
        <is>
          <t>Marmalade, all flavors (Includes NS as to type)</t>
        </is>
      </c>
      <c r="C4095" s="1" t="n">
        <v>1</v>
      </c>
      <c r="D4095" s="1" t="inlineStr">
        <is>
          <t>Links to FNDDS</t>
        </is>
      </c>
      <c r="E4095" s="1" t="inlineStr">
        <is>
          <t>Base</t>
        </is>
      </c>
      <c r="F4095" s="1" t="n">
        <v>0.636579</v>
      </c>
    </row>
    <row r="4096" ht="15.75" customHeight="1" s="201">
      <c r="A4096" s="1" t="n">
        <v>91405500</v>
      </c>
      <c r="B4096" s="1" t="inlineStr">
        <is>
          <t>Jelly, reduced sugar, all flavors (Includes low sugar)</t>
        </is>
      </c>
      <c r="C4096" s="1" t="n">
        <v>2</v>
      </c>
      <c r="D4096" s="1" t="inlineStr">
        <is>
          <t>Links to altEC</t>
        </is>
      </c>
      <c r="E4096" s="1" t="inlineStr">
        <is>
          <t>Base</t>
        </is>
      </c>
      <c r="F4096" s="1" t="n">
        <v>0.670249</v>
      </c>
    </row>
    <row r="4097" ht="15.75" customHeight="1" s="201">
      <c r="A4097" s="1" t="n">
        <v>91406000</v>
      </c>
      <c r="B4097" s="1" t="inlineStr">
        <is>
          <t>Jam, preserve, marmalade, sugar free, all flavors (Includes dietetic)</t>
        </is>
      </c>
      <c r="C4097" s="1" t="n">
        <v>2</v>
      </c>
      <c r="D4097" s="1" t="inlineStr">
        <is>
          <t>Links to altEC</t>
        </is>
      </c>
      <c r="E4097" s="1" t="inlineStr">
        <is>
          <t>Base</t>
        </is>
      </c>
      <c r="F4097" s="1" t="n">
        <v>0.924262</v>
      </c>
    </row>
    <row r="4098" ht="15.75" customHeight="1" s="201">
      <c r="A4098" s="1" t="n">
        <v>91406500</v>
      </c>
      <c r="B4098" s="1" t="inlineStr">
        <is>
          <t>Jam, preserve, marmalade, sweetened with fruit juice concentrates, all flavors (Includes fruit spread; spreadable fruit; all fruit)</t>
        </is>
      </c>
      <c r="C4098" s="1" t="n">
        <v>1</v>
      </c>
      <c r="D4098" s="1" t="inlineStr">
        <is>
          <t>Links to FNDDS</t>
        </is>
      </c>
      <c r="E4098" s="1" t="inlineStr">
        <is>
          <t>Base</t>
        </is>
      </c>
      <c r="F4098" s="1" t="n">
        <v>0.924262</v>
      </c>
    </row>
    <row r="4099" ht="15.75" customHeight="1" s="201">
      <c r="A4099" s="1" t="n">
        <v>91406600</v>
      </c>
      <c r="B4099" s="1" t="inlineStr">
        <is>
          <t>Jam, preserve, marmalade, reduced sugar, all flavors (Includes low sugar)</t>
        </is>
      </c>
      <c r="C4099" s="1" t="n">
        <v>1</v>
      </c>
      <c r="D4099" s="1" t="inlineStr">
        <is>
          <t>Links to FNDDS</t>
        </is>
      </c>
      <c r="E4099" s="1" t="inlineStr">
        <is>
          <t>Base</t>
        </is>
      </c>
      <c r="F4099" s="1" t="n">
        <v>0.670249</v>
      </c>
    </row>
    <row r="4100" ht="15.75" customHeight="1" s="201">
      <c r="A4100" s="1" t="n">
        <v>91407100</v>
      </c>
      <c r="B4100" s="1" t="inlineStr">
        <is>
          <t>Guava paste</t>
        </is>
      </c>
      <c r="C4100" s="1" t="n">
        <v>1</v>
      </c>
      <c r="D4100" s="1" t="inlineStr">
        <is>
          <t>Links to FNDDS</t>
        </is>
      </c>
      <c r="E4100" s="1" t="inlineStr">
        <is>
          <t>Base</t>
        </is>
      </c>
      <c r="F4100" s="1" t="n">
        <v>0.304324</v>
      </c>
    </row>
    <row r="4101" ht="15.75" customHeight="1" s="201">
      <c r="A4101" s="1" t="n">
        <v>91407150</v>
      </c>
      <c r="B4101" s="1" t="inlineStr">
        <is>
          <t>Bean paste, sweetened (Includes Japanese red beans; azuki or red bean paste)</t>
        </is>
      </c>
      <c r="C4101" s="1" t="n">
        <v>2</v>
      </c>
      <c r="D4101" s="1" t="inlineStr">
        <is>
          <t>Links to altEC</t>
        </is>
      </c>
      <c r="E4101" s="1" t="inlineStr">
        <is>
          <t>Base</t>
        </is>
      </c>
      <c r="F4101" s="1" t="n">
        <v>5.421199</v>
      </c>
    </row>
    <row r="4102" ht="15.75" customHeight="1" s="201">
      <c r="A4102" s="1" t="n">
        <v>91501010</v>
      </c>
      <c r="B4102" s="1" t="inlineStr">
        <is>
          <t>Gelatin dessert (Includes jello; jigglers; NFS)</t>
        </is>
      </c>
      <c r="C4102" s="1" t="n">
        <v>2</v>
      </c>
      <c r="D4102" s="1" t="inlineStr">
        <is>
          <t>Links to altEC</t>
        </is>
      </c>
      <c r="E4102" s="1" t="inlineStr">
        <is>
          <t>Base</t>
        </is>
      </c>
      <c r="F4102" s="1" t="n">
        <v>0.278144</v>
      </c>
    </row>
    <row r="4103" ht="15.75" customHeight="1" s="201">
      <c r="A4103" s="1" t="n">
        <v>91501020</v>
      </c>
      <c r="B4103" s="1" t="inlineStr">
        <is>
          <t>Gelatin dessert with fruit (Includes jello)</t>
        </is>
      </c>
      <c r="C4103" s="1" t="n">
        <v>1</v>
      </c>
      <c r="D4103" s="1" t="inlineStr">
        <is>
          <t>Links to FNDDS</t>
        </is>
      </c>
      <c r="E4103" s="1" t="inlineStr">
        <is>
          <t>Base</t>
        </is>
      </c>
      <c r="F4103" s="1" t="n">
        <v>0.472072</v>
      </c>
    </row>
    <row r="4104" ht="15.75" customHeight="1" s="201">
      <c r="A4104" s="1" t="n">
        <v>91511010</v>
      </c>
      <c r="B4104" s="1" t="inlineStr">
        <is>
          <t>Gelatin dessert, sugar free (Includes jello)</t>
        </is>
      </c>
      <c r="C4104" s="1" t="n">
        <v>1</v>
      </c>
      <c r="D4104" s="1" t="inlineStr">
        <is>
          <t>Links to FNDDS</t>
        </is>
      </c>
      <c r="E4104" s="1" t="inlineStr">
        <is>
          <t>Base</t>
        </is>
      </c>
      <c r="F4104" s="1" t="n">
        <v>0.419552</v>
      </c>
    </row>
    <row r="4105" ht="15.75" customHeight="1" s="201">
      <c r="A4105" s="1" t="n">
        <v>91601000</v>
      </c>
      <c r="B4105" s="1" t="inlineStr">
        <is>
          <t>Italian Ice (Includes all flavors; NS as to type)</t>
        </is>
      </c>
      <c r="C4105" s="1" t="n">
        <v>1</v>
      </c>
      <c r="D4105" s="1" t="inlineStr">
        <is>
          <t>Links to FNDDS</t>
        </is>
      </c>
      <c r="E4105" s="1" t="inlineStr">
        <is>
          <t>Base</t>
        </is>
      </c>
      <c r="F4105" s="1" t="n">
        <v>0.288809</v>
      </c>
    </row>
    <row r="4106" ht="15.75" customHeight="1" s="201">
      <c r="A4106" s="1" t="n">
        <v>91611000</v>
      </c>
      <c r="B4106" s="1" t="inlineStr">
        <is>
          <t>Popsicle (Includes all flavors; ice pop; push pop; popsicles with sticks)</t>
        </is>
      </c>
      <c r="C4106" s="1" t="n">
        <v>2</v>
      </c>
      <c r="D4106" s="1" t="inlineStr">
        <is>
          <t>Links to altEC</t>
        </is>
      </c>
      <c r="E4106" s="1" t="inlineStr">
        <is>
          <t>Base</t>
        </is>
      </c>
      <c r="F4106" s="1" t="n">
        <v>0.203403</v>
      </c>
    </row>
    <row r="4107" ht="15.75" customHeight="1" s="201">
      <c r="A4107" s="1" t="n">
        <v>91611100</v>
      </c>
      <c r="B4107" s="1" t="inlineStr">
        <is>
          <t>Popsicle, no sugar added (Includes all flavors; ice pop; push pop; reduced sugar; sugar free)</t>
        </is>
      </c>
      <c r="C4107" s="1" t="n">
        <v>2</v>
      </c>
      <c r="D4107" s="1" t="inlineStr">
        <is>
          <t>Links to altEC</t>
        </is>
      </c>
      <c r="E4107" s="1" t="inlineStr">
        <is>
          <t>Base</t>
        </is>
      </c>
      <c r="F4107" s="1" t="n">
        <v>0.203403</v>
      </c>
    </row>
    <row r="4108" ht="15.75" customHeight="1" s="201">
      <c r="A4108" s="1" t="n">
        <v>91612000</v>
      </c>
      <c r="B4108" s="1" t="inlineStr">
        <is>
          <t>Freezer pop (Includes all flavors; Fla-Vor-Ice or Flavor ice; popsicles without sticks)</t>
        </is>
      </c>
      <c r="C4108" s="1" t="n">
        <v>1</v>
      </c>
      <c r="D4108" s="1" t="inlineStr">
        <is>
          <t>Links to FNDDS</t>
        </is>
      </c>
      <c r="E4108" s="1" t="inlineStr">
        <is>
          <t>Base</t>
        </is>
      </c>
      <c r="F4108" s="1" t="n">
        <v>0.280258</v>
      </c>
    </row>
    <row r="4109" ht="15.75" customHeight="1" s="201">
      <c r="A4109" s="1" t="n">
        <v>91621000</v>
      </c>
      <c r="B4109" s="1" t="inlineStr">
        <is>
          <t>Snow cone (Includes all flavors; shaved ice; NS as to type)</t>
        </is>
      </c>
      <c r="C4109" s="1" t="n">
        <v>1</v>
      </c>
      <c r="D4109" s="1" t="inlineStr">
        <is>
          <t>Links to FNDDS</t>
        </is>
      </c>
      <c r="E4109" s="1" t="inlineStr">
        <is>
          <t>Base</t>
        </is>
      </c>
      <c r="F4109" s="1" t="n">
        <v>0.430081</v>
      </c>
    </row>
    <row r="4110" ht="15.75" customHeight="1" s="201">
      <c r="A4110" s="1" t="n">
        <v>91700010</v>
      </c>
      <c r="B4110" s="1" t="inlineStr">
        <is>
          <t>Candy, NFS</t>
        </is>
      </c>
      <c r="C4110" s="1" t="n">
        <v>2</v>
      </c>
      <c r="D4110" s="1" t="inlineStr">
        <is>
          <t>Links to altEC</t>
        </is>
      </c>
      <c r="E4110" s="1" t="inlineStr">
        <is>
          <t>Base</t>
        </is>
      </c>
      <c r="F4110" s="1" t="n">
        <v>1.133106</v>
      </c>
    </row>
    <row r="4111" ht="15.75" customHeight="1" s="201">
      <c r="A4111" s="1" t="n">
        <v>91700500</v>
      </c>
      <c r="B4111" s="1" t="inlineStr">
        <is>
          <t>M&amp;M's Almond Chocolate Candies</t>
        </is>
      </c>
      <c r="C4111" s="1" t="n">
        <v>1</v>
      </c>
      <c r="D4111" s="1" t="inlineStr">
        <is>
          <t>Links to FNDDS</t>
        </is>
      </c>
      <c r="E4111" s="1" t="inlineStr">
        <is>
          <t>Base</t>
        </is>
      </c>
      <c r="F4111" s="1" t="n">
        <v>1.145647</v>
      </c>
    </row>
    <row r="4112" ht="15.75" customHeight="1" s="201">
      <c r="A4112" s="1" t="n">
        <v>91701010</v>
      </c>
      <c r="B4112" s="1" t="inlineStr">
        <is>
          <t>Almonds, chocolate covered</t>
        </is>
      </c>
      <c r="C4112" s="1" t="n">
        <v>1</v>
      </c>
      <c r="D4112" s="1" t="inlineStr">
        <is>
          <t>Links to FNDDS</t>
        </is>
      </c>
      <c r="E4112" s="1" t="inlineStr">
        <is>
          <t>Base</t>
        </is>
      </c>
      <c r="F4112" s="1" t="n">
        <v>1.814804</v>
      </c>
    </row>
    <row r="4113" ht="15.75" customHeight="1" s="201">
      <c r="A4113" s="1" t="n">
        <v>91701020</v>
      </c>
      <c r="B4113" s="1" t="inlineStr">
        <is>
          <t>Almonds, sugar-coated (Includes Jordan almonds)</t>
        </is>
      </c>
      <c r="C4113" s="1" t="n">
        <v>1</v>
      </c>
      <c r="D4113" s="1" t="inlineStr">
        <is>
          <t>Links to FNDDS</t>
        </is>
      </c>
      <c r="E4113" s="1" t="inlineStr">
        <is>
          <t>Base</t>
        </is>
      </c>
      <c r="F4113" s="1" t="n">
        <v>1.346127</v>
      </c>
    </row>
    <row r="4114" ht="15.75" customHeight="1" s="201">
      <c r="A4114" s="1" t="n">
        <v>91703010</v>
      </c>
      <c r="B4114" s="1" t="inlineStr">
        <is>
          <t>Caramel, chocolate-flavored roll (Includes Tootsie Roll)</t>
        </is>
      </c>
      <c r="C4114" s="1" t="n">
        <v>1</v>
      </c>
      <c r="D4114" s="1" t="inlineStr">
        <is>
          <t>Links to FNDDS</t>
        </is>
      </c>
      <c r="E4114" s="1" t="inlineStr">
        <is>
          <t>Base</t>
        </is>
      </c>
      <c r="F4114" s="1" t="n">
        <v>0.56276</v>
      </c>
    </row>
    <row r="4115" ht="15.75" customHeight="1" s="201">
      <c r="A4115" s="1" t="n">
        <v>91703020</v>
      </c>
      <c r="B4115" s="1" t="inlineStr">
        <is>
          <t>Caramel, flavor other than chocolate (Includes Brach's Royal; Caramel Creams; Sugar Babies; Sugar Daddy; Kraft caramels; Jersey's; Pearson Caramel Nips)</t>
        </is>
      </c>
      <c r="C4115" s="1" t="n">
        <v>1</v>
      </c>
      <c r="D4115" s="1" t="inlineStr">
        <is>
          <t>Links to FNDDS</t>
        </is>
      </c>
      <c r="E4115" s="1" t="inlineStr">
        <is>
          <t>Base</t>
        </is>
      </c>
      <c r="F4115" s="1" t="n">
        <v>0.942929</v>
      </c>
    </row>
    <row r="4116" ht="15.75" customHeight="1" s="201">
      <c r="A4116" s="1" t="n">
        <v>91703040</v>
      </c>
      <c r="B4116" s="1" t="inlineStr">
        <is>
          <t>Caramel candy, chocolate covered (Includes Black Cow; Caramello; Chew-Its; Marathon Bar; Milk Duds; Pom Poms; Sugar Momma; Riesen Chocolate Chew; Russell Stover Caramel Heart)</t>
        </is>
      </c>
      <c r="C4116" s="1" t="n">
        <v>1</v>
      </c>
      <c r="D4116" s="1" t="inlineStr">
        <is>
          <t>Links to FNDDS</t>
        </is>
      </c>
      <c r="E4116" s="1" t="inlineStr">
        <is>
          <t>Base</t>
        </is>
      </c>
      <c r="F4116" s="1" t="n">
        <v>1.454367</v>
      </c>
    </row>
    <row r="4117" ht="15.75" customHeight="1" s="201">
      <c r="A4117" s="1" t="n">
        <v>91703070</v>
      </c>
      <c r="B4117" s="1" t="inlineStr">
        <is>
          <t>Rolo</t>
        </is>
      </c>
      <c r="C4117" s="1" t="n">
        <v>1</v>
      </c>
      <c r="D4117" s="1" t="inlineStr">
        <is>
          <t>Links to FNDDS</t>
        </is>
      </c>
      <c r="E4117" s="1" t="inlineStr">
        <is>
          <t>Base</t>
        </is>
      </c>
      <c r="F4117" s="1" t="n">
        <v>1.124659</v>
      </c>
    </row>
    <row r="4118" ht="15.75" customHeight="1" s="201">
      <c r="A4118" s="1" t="n">
        <v>91703150</v>
      </c>
      <c r="B4118" s="1" t="inlineStr">
        <is>
          <t>Toblerone, milk chocolate with honey and almond nougat</t>
        </is>
      </c>
      <c r="C4118" s="1" t="n">
        <v>1</v>
      </c>
      <c r="D4118" s="1" t="inlineStr">
        <is>
          <t>Links to FNDDS</t>
        </is>
      </c>
      <c r="E4118" s="1" t="inlineStr">
        <is>
          <t>Base</t>
        </is>
      </c>
      <c r="F4118" s="1" t="n">
        <v>2.103136</v>
      </c>
    </row>
    <row r="4119" ht="15.75" customHeight="1" s="201">
      <c r="A4119" s="1" t="n">
        <v>91703200</v>
      </c>
      <c r="B4119" s="1" t="inlineStr">
        <is>
          <t>TWIX Caramel Cookie Bars</t>
        </is>
      </c>
      <c r="C4119" s="1" t="n">
        <v>1</v>
      </c>
      <c r="D4119" s="1" t="inlineStr">
        <is>
          <t>Links to FNDDS</t>
        </is>
      </c>
      <c r="E4119" s="1" t="inlineStr">
        <is>
          <t>Base</t>
        </is>
      </c>
      <c r="F4119" s="1" t="n">
        <v>1.392014</v>
      </c>
    </row>
    <row r="4120" ht="15.75" customHeight="1" s="201">
      <c r="A4120" s="1" t="n">
        <v>91703250</v>
      </c>
      <c r="B4120" s="1" t="inlineStr">
        <is>
          <t>TWIX Chocolate Fudge Cookie Bars (Includes TWIX Cookies-n-Creme candy bar)</t>
        </is>
      </c>
      <c r="C4120" s="1" t="n">
        <v>2</v>
      </c>
      <c r="D4120" s="1" t="inlineStr">
        <is>
          <t>Links to altEC</t>
        </is>
      </c>
      <c r="E4120" s="1" t="inlineStr">
        <is>
          <t>Base</t>
        </is>
      </c>
      <c r="F4120" s="1" t="n">
        <v>1.742521</v>
      </c>
    </row>
    <row r="4121" ht="15.75" customHeight="1" s="201">
      <c r="A4121" s="1" t="n">
        <v>91703400</v>
      </c>
      <c r="B4121" s="1" t="inlineStr">
        <is>
          <t>Whatchamacallit</t>
        </is>
      </c>
      <c r="C4121" s="1" t="n">
        <v>1</v>
      </c>
      <c r="D4121" s="1" t="inlineStr">
        <is>
          <t>Links to FNDDS</t>
        </is>
      </c>
      <c r="E4121" s="1" t="inlineStr">
        <is>
          <t>Base</t>
        </is>
      </c>
      <c r="F4121" s="1" t="n">
        <v>1.950505</v>
      </c>
    </row>
    <row r="4122" ht="15.75" customHeight="1" s="201">
      <c r="A4122" s="1" t="n">
        <v>91703500</v>
      </c>
      <c r="B4122" s="1" t="inlineStr">
        <is>
          <t>Nuts, carob-coated (Includes peanuts; cashews; walnuts; almonds)</t>
        </is>
      </c>
      <c r="C4122" s="1" t="n">
        <v>2</v>
      </c>
      <c r="D4122" s="1" t="inlineStr">
        <is>
          <t>Links to altEC</t>
        </is>
      </c>
      <c r="E4122" s="1" t="inlineStr">
        <is>
          <t>Base</t>
        </is>
      </c>
      <c r="F4122" s="1" t="n">
        <v>1.362696</v>
      </c>
    </row>
    <row r="4123" ht="15.75" customHeight="1" s="201">
      <c r="A4123" s="1" t="n">
        <v>91705010</v>
      </c>
      <c r="B4123" s="1" t="inlineStr">
        <is>
          <t>Milk chocolate candy, plain (Includes chocolate candy, NFS; Easter Egg, NFS; Easter Egg, milk chocolate; Hershey Bar; Hershey Kiss or Star; Hershey Symphony Bar; Nestle Bar; Chocolate coins; Hershey's Hugs; Hershey's Nuggets; Easter bunnies; chocolate rose; Dove Milk Chocolate bar; chocolate balls; Cadbury Dairy Milk; Dove Promises)</t>
        </is>
      </c>
      <c r="C4123" s="1" t="n">
        <v>2</v>
      </c>
      <c r="D4123" s="1" t="inlineStr">
        <is>
          <t>Links to altEC</t>
        </is>
      </c>
      <c r="E4123" s="1" t="inlineStr">
        <is>
          <t>Base</t>
        </is>
      </c>
      <c r="F4123" s="1" t="n">
        <v>1.148804</v>
      </c>
    </row>
    <row r="4124" ht="15.75" customHeight="1" s="201">
      <c r="A4124" s="1" t="n">
        <v>91705020</v>
      </c>
      <c r="B4124" s="1" t="inlineStr">
        <is>
          <t>Milk chocolate candy, with cereal (Includes Krackel Bar; Malted Milk Balls; Nestle Crunch; Whoppers; Hershey's Cookies 'n' Mint; Hershey's Cookies 'n' Mint Nuggets; Malted Milk Eggs)</t>
        </is>
      </c>
      <c r="C4124" s="1" t="n">
        <v>1</v>
      </c>
      <c r="D4124" s="1" t="inlineStr">
        <is>
          <t>Links to FNDDS</t>
        </is>
      </c>
      <c r="E4124" s="1" t="inlineStr">
        <is>
          <t>Base</t>
        </is>
      </c>
      <c r="F4124" s="1" t="n">
        <v>1.241138</v>
      </c>
    </row>
    <row r="4125" ht="15.75" customHeight="1" s="201">
      <c r="A4125" s="1" t="n">
        <v>91705030</v>
      </c>
      <c r="B4125" s="1" t="inlineStr">
        <is>
          <t>Kit Kat (Includes Kit Kat Bites)</t>
        </is>
      </c>
      <c r="C4125" s="1" t="n">
        <v>1</v>
      </c>
      <c r="D4125" s="1" t="inlineStr">
        <is>
          <t>Links to FNDDS</t>
        </is>
      </c>
      <c r="E4125" s="1" t="inlineStr">
        <is>
          <t>Base</t>
        </is>
      </c>
      <c r="F4125" s="1" t="n">
        <v>1.327062</v>
      </c>
    </row>
    <row r="4126" ht="15.75" customHeight="1" s="201">
      <c r="A4126" s="1" t="n">
        <v>91705040</v>
      </c>
      <c r="B4126" s="1" t="inlineStr">
        <is>
          <t>Chocolate, milk, with nuts, not almond or peanuts (Includes Brach's Bridge Mix; Chunky with pecans; Hazelnut with chocolate (Cadbury); Ferrero Rocher Hazelnut Chocolate)</t>
        </is>
      </c>
      <c r="C4126" s="1" t="n">
        <v>1</v>
      </c>
      <c r="D4126" s="1" t="inlineStr">
        <is>
          <t>Links to FNDDS</t>
        </is>
      </c>
      <c r="E4126" s="1" t="inlineStr">
        <is>
          <t>Base</t>
        </is>
      </c>
      <c r="F4126" s="1" t="n">
        <v>2.784667</v>
      </c>
    </row>
    <row r="4127" ht="15.75" customHeight="1" s="201">
      <c r="A4127" s="1" t="n">
        <v>91705050</v>
      </c>
      <c r="B4127" s="1" t="inlineStr">
        <is>
          <t>Milk chocolate candy, with fruit and nuts (Includes Chunky with fruit and nuts; Chunky, NFS; Chunky Original; Cadbury)</t>
        </is>
      </c>
      <c r="C4127" s="1" t="n">
        <v>1</v>
      </c>
      <c r="D4127" s="1" t="inlineStr">
        <is>
          <t>Links to FNDDS</t>
        </is>
      </c>
      <c r="E4127" s="1" t="inlineStr">
        <is>
          <t>Base</t>
        </is>
      </c>
      <c r="F4127" s="1" t="n">
        <v>1.724266</v>
      </c>
    </row>
    <row r="4128" ht="15.75" customHeight="1" s="201">
      <c r="A4128" s="1" t="n">
        <v>91705060</v>
      </c>
      <c r="B4128" s="1" t="inlineStr">
        <is>
          <t>Milk chocolate candy, with almonds (Includes Hershey with Almonds; Nestle chocolate bar with almonds; Hershey Kisses with Almonds; Hershey's Nuggets with Almonds; Cadbury Roasted Almonds; Hershey Bites with Almonds)</t>
        </is>
      </c>
      <c r="C4128" s="1" t="n">
        <v>1</v>
      </c>
      <c r="D4128" s="1" t="inlineStr">
        <is>
          <t>Links to FNDDS</t>
        </is>
      </c>
      <c r="E4128" s="1" t="inlineStr">
        <is>
          <t>Base</t>
        </is>
      </c>
      <c r="F4128" s="1" t="n">
        <v>1.462762</v>
      </c>
    </row>
    <row r="4129" ht="15.75" customHeight="1" s="201">
      <c r="A4129" s="1" t="n">
        <v>91705070</v>
      </c>
      <c r="B4129" s="1" t="inlineStr">
        <is>
          <t>Chocolate, milk, with peanuts (Includes Chunky with peanuts; Mr. Goodbar)</t>
        </is>
      </c>
      <c r="C4129" s="1" t="n">
        <v>1</v>
      </c>
      <c r="D4129" s="1" t="inlineStr">
        <is>
          <t>Links to FNDDS</t>
        </is>
      </c>
      <c r="E4129" s="1" t="inlineStr">
        <is>
          <t>Base</t>
        </is>
      </c>
      <c r="F4129" s="1" t="n">
        <v>1.426071</v>
      </c>
    </row>
    <row r="4130" ht="15.75" customHeight="1" s="201">
      <c r="A4130" s="1" t="n">
        <v>91705090</v>
      </c>
      <c r="B4130" s="1" t="inlineStr">
        <is>
          <t>Chocolate candy with fondant and caramel (Includes Sky Bar)</t>
        </is>
      </c>
      <c r="C4130" s="1" t="n">
        <v>2</v>
      </c>
      <c r="D4130" s="1" t="inlineStr">
        <is>
          <t>Links to altEC</t>
        </is>
      </c>
      <c r="E4130" s="1" t="inlineStr">
        <is>
          <t>Base</t>
        </is>
      </c>
      <c r="F4130" s="1" t="n">
        <v>1.15768</v>
      </c>
    </row>
    <row r="4131" ht="15.75" customHeight="1" s="201">
      <c r="A4131" s="1" t="n">
        <v>91705200</v>
      </c>
      <c r="B4131" s="1" t="inlineStr">
        <is>
          <t>Chocolate, semi-sweet morsel (Includes Toll House morsels; chocolate chips; Hershey's Mini Kisses Brand Milk Chocolates)</t>
        </is>
      </c>
      <c r="C4131" s="1" t="n">
        <v>1</v>
      </c>
      <c r="D4131" s="1" t="inlineStr">
        <is>
          <t>Links to FNDDS</t>
        </is>
      </c>
      <c r="E4131" s="1" t="inlineStr">
        <is>
          <t>Base</t>
        </is>
      </c>
      <c r="F4131" s="1" t="n">
        <v>0.813215</v>
      </c>
    </row>
    <row r="4132" ht="15.75" customHeight="1" s="201">
      <c r="A4132" s="1" t="n">
        <v>91705300</v>
      </c>
      <c r="B4132" s="1" t="inlineStr">
        <is>
          <t>Chocolate, sweet or dark (Includes Special Dark; Dove Dark Chocolate bar; Hershey's Special Dark Kisses)</t>
        </is>
      </c>
      <c r="C4132" s="1" t="n">
        <v>2</v>
      </c>
      <c r="D4132" s="1" t="inlineStr">
        <is>
          <t>Links to altEC</t>
        </is>
      </c>
      <c r="E4132" s="1" t="inlineStr">
        <is>
          <t>Base</t>
        </is>
      </c>
      <c r="F4132" s="1" t="n">
        <v>1.719853</v>
      </c>
    </row>
    <row r="4133" ht="15.75" customHeight="1" s="201">
      <c r="A4133" s="1" t="n">
        <v>91705400</v>
      </c>
      <c r="B4133" s="1" t="inlineStr">
        <is>
          <t>Chocolate, white (Includes summer coating; Andes Mint Wafers)</t>
        </is>
      </c>
      <c r="C4133" s="1" t="n">
        <v>1</v>
      </c>
      <c r="D4133" s="1" t="inlineStr">
        <is>
          <t>Links to FNDDS</t>
        </is>
      </c>
      <c r="E4133" s="1" t="inlineStr">
        <is>
          <t>Base</t>
        </is>
      </c>
      <c r="F4133" s="1" t="n">
        <v>1.021649</v>
      </c>
    </row>
    <row r="4134" ht="15.75" customHeight="1" s="201">
      <c r="A4134" s="1" t="n">
        <v>91705420</v>
      </c>
      <c r="B4134" s="1" t="inlineStr">
        <is>
          <t>Chocolate, white, with cereal (Includes Hershey's Cookies 'n' Creme)</t>
        </is>
      </c>
      <c r="C4134" s="1" t="n">
        <v>1</v>
      </c>
      <c r="D4134" s="1" t="inlineStr">
        <is>
          <t>Links to FNDDS</t>
        </is>
      </c>
      <c r="E4134" s="1" t="inlineStr">
        <is>
          <t>Base</t>
        </is>
      </c>
      <c r="F4134" s="1" t="n">
        <v>1.647606</v>
      </c>
    </row>
    <row r="4135" ht="15.75" customHeight="1" s="201">
      <c r="A4135" s="1" t="n">
        <v>91705430</v>
      </c>
      <c r="B4135" s="1" t="inlineStr">
        <is>
          <t>Kit Kat White</t>
        </is>
      </c>
      <c r="C4135" s="1" t="n">
        <v>1</v>
      </c>
      <c r="D4135" s="1" t="inlineStr">
        <is>
          <t>Links to FNDDS</t>
        </is>
      </c>
      <c r="E4135" s="1" t="inlineStr">
        <is>
          <t>Base</t>
        </is>
      </c>
      <c r="F4135" s="1" t="n">
        <v>1.37539</v>
      </c>
    </row>
    <row r="4136" ht="15.75" customHeight="1" s="201">
      <c r="A4136" s="1" t="n">
        <v>91705500</v>
      </c>
      <c r="B4136" s="1" t="inlineStr">
        <is>
          <t>Mexican chocolate, tablet</t>
        </is>
      </c>
      <c r="C4136" s="1" t="n">
        <v>2</v>
      </c>
      <c r="D4136" s="1" t="inlineStr">
        <is>
          <t>Links to altEC</t>
        </is>
      </c>
      <c r="E4136" s="1" t="inlineStr">
        <is>
          <t>Base</t>
        </is>
      </c>
      <c r="F4136" s="1" t="n">
        <v>0.813215</v>
      </c>
    </row>
    <row r="4137" ht="15.75" customHeight="1" s="201">
      <c r="A4137" s="1" t="n">
        <v>91706000</v>
      </c>
      <c r="B4137" s="1" t="inlineStr">
        <is>
          <t>Coconut candy, chocolate covered (Includes Almond Joy; Bounty; Easter egg, chocolate covered coconut; Mounds)</t>
        </is>
      </c>
      <c r="C4137" s="1" t="n">
        <v>1</v>
      </c>
      <c r="D4137" s="1" t="inlineStr">
        <is>
          <t>Links to FNDDS</t>
        </is>
      </c>
      <c r="E4137" s="1" t="inlineStr">
        <is>
          <t>Base</t>
        </is>
      </c>
      <c r="F4137" s="1" t="n">
        <v>1.030989</v>
      </c>
    </row>
    <row r="4138" ht="15.75" customHeight="1" s="201">
      <c r="A4138" s="1" t="n">
        <v>91706100</v>
      </c>
      <c r="B4138" s="1" t="inlineStr">
        <is>
          <t>Coconut candy, no chocolate covering (Includes coconut candy, NFS; Rainbow coconut; Bon-bon)</t>
        </is>
      </c>
      <c r="C4138" s="1" t="n">
        <v>2</v>
      </c>
      <c r="D4138" s="1" t="inlineStr">
        <is>
          <t>Links to altEC</t>
        </is>
      </c>
      <c r="E4138" s="1" t="inlineStr">
        <is>
          <t>Base</t>
        </is>
      </c>
      <c r="F4138" s="1" t="n">
        <v>1.065174</v>
      </c>
    </row>
    <row r="4139" ht="15.75" customHeight="1" s="201">
      <c r="A4139" s="1" t="n">
        <v>91707000</v>
      </c>
      <c r="B4139" s="1" t="inlineStr">
        <is>
          <t>Fondant (Includes homemade mints; Mentos; Merri-Mints (Delson); Mints, NFS; Candy corn)</t>
        </is>
      </c>
      <c r="C4139" s="1" t="n">
        <v>2</v>
      </c>
      <c r="D4139" s="1" t="inlineStr">
        <is>
          <t>Links to altEC</t>
        </is>
      </c>
      <c r="E4139" s="1" t="inlineStr">
        <is>
          <t>Base</t>
        </is>
      </c>
      <c r="F4139" s="1" t="n">
        <v>1.014701</v>
      </c>
    </row>
    <row r="4140" ht="15.75" customHeight="1" s="201">
      <c r="A4140" s="1" t="n">
        <v>91707010</v>
      </c>
      <c r="B4140" s="1" t="inlineStr">
        <is>
          <t>Fondant, chocolate covered (Includes chocolate covered boxed candy; homemade mints, chocolate-covered; Cadbury's creme egg; Butter creams; Cherries, chocolate covered; Chocolate Jots; Easter egg, chocolate covered creme; Irish Cream Mints; Mints (Brach's); Mint Jots; Peppermint Pattie; Thin Mints; Junior Mints)</t>
        </is>
      </c>
      <c r="C4140" s="1" t="n">
        <v>1</v>
      </c>
      <c r="D4140" s="1" t="inlineStr">
        <is>
          <t>Links to FNDDS</t>
        </is>
      </c>
      <c r="E4140" s="1" t="inlineStr">
        <is>
          <t>Base</t>
        </is>
      </c>
      <c r="F4140" s="1" t="n">
        <v>1.242488</v>
      </c>
    </row>
    <row r="4141" ht="15.75" customHeight="1" s="201">
      <c r="A4141" s="1" t="n">
        <v>91708000</v>
      </c>
      <c r="B4141" s="1" t="inlineStr">
        <is>
          <t>Fruit peel, candied</t>
        </is>
      </c>
      <c r="C4141" s="1" t="n">
        <v>1</v>
      </c>
      <c r="D4141" s="1" t="inlineStr">
        <is>
          <t>Links to FNDDS</t>
        </is>
      </c>
      <c r="E4141" s="1" t="inlineStr">
        <is>
          <t>Base</t>
        </is>
      </c>
      <c r="F4141" s="1" t="n">
        <v>1.021952</v>
      </c>
    </row>
    <row r="4142" ht="15.75" customHeight="1" s="201">
      <c r="A4142" s="1" t="n">
        <v>91708020</v>
      </c>
      <c r="B4142" s="1" t="inlineStr">
        <is>
          <t>Soft fruit confections (Includes soft fruit candy; Aplets; Cotlets; Fruit Delights, all flavors; with nuts)</t>
        </is>
      </c>
      <c r="C4142" s="1" t="n">
        <v>1</v>
      </c>
      <c r="D4142" s="1" t="inlineStr">
        <is>
          <t>Links to FNDDS</t>
        </is>
      </c>
      <c r="E4142" s="1" t="inlineStr">
        <is>
          <t>Base</t>
        </is>
      </c>
      <c r="F4142" s="1" t="n">
        <v>1.550784</v>
      </c>
    </row>
    <row r="4143" ht="15.75" customHeight="1" s="201">
      <c r="A4143" s="1" t="n">
        <v>91708030</v>
      </c>
      <c r="B4143" s="1" t="inlineStr">
        <is>
          <t>Fruit leather and fruit snacks candy (Includes Fruit Roll-Up; Fruit Wrinkles; Fun Fruits; Teenage Mutant Ninja Turtles Fruit Snacks; Soda-licious; Farley's Fruit Snacks; Gushers Fruit Snacks; Fruit By The Foot; Betty Crocker Fruit String Thing; Sunbelt Fruit Jammers)</t>
        </is>
      </c>
      <c r="C4143" s="1" t="n">
        <v>2</v>
      </c>
      <c r="D4143" s="1" t="inlineStr">
        <is>
          <t>Links to altEC</t>
        </is>
      </c>
      <c r="E4143" s="1" t="inlineStr">
        <is>
          <t>Base</t>
        </is>
      </c>
      <c r="F4143" s="1" t="n">
        <v>0.929525</v>
      </c>
    </row>
    <row r="4144" ht="15.75" customHeight="1" s="201">
      <c r="A4144" s="1" t="n">
        <v>91708070</v>
      </c>
      <c r="B4144" s="1" t="inlineStr">
        <is>
          <t>Tamarind candy</t>
        </is>
      </c>
      <c r="C4144" s="1" t="n">
        <v>1</v>
      </c>
      <c r="D4144" s="1" t="inlineStr">
        <is>
          <t>Links to FNDDS</t>
        </is>
      </c>
      <c r="E4144" s="1" t="inlineStr">
        <is>
          <t>Base</t>
        </is>
      </c>
      <c r="F4144" s="1" t="n">
        <v>0.965983</v>
      </c>
    </row>
    <row r="4145" ht="15.75" customHeight="1" s="201">
      <c r="A4145" s="1" t="n">
        <v>91708100</v>
      </c>
      <c r="B4145" s="1" t="inlineStr">
        <is>
          <t>Fruit snacks candy, with high vitamin C (Includes Brach's Hi-C Fruit Snacks; Kellogg's Right Bites Fruit Snacks; Welch's Fruit Snacks; Florida's Natural Pocket Fruit-to-go Stiks, all flavors)</t>
        </is>
      </c>
      <c r="C4145" s="1" t="n">
        <v>1</v>
      </c>
      <c r="D4145" s="1" t="inlineStr">
        <is>
          <t>Links to FNDDS</t>
        </is>
      </c>
      <c r="E4145" s="1" t="inlineStr">
        <is>
          <t>Base</t>
        </is>
      </c>
      <c r="F4145" s="1" t="n">
        <v>0.750098</v>
      </c>
    </row>
    <row r="4146" ht="15.75" customHeight="1" s="201">
      <c r="A4146" s="1" t="n">
        <v>91709000</v>
      </c>
      <c r="B4146" s="1" t="inlineStr">
        <is>
          <t>Gumdrops, chocolate covered (Includes Chocolate Jelly; Jelly rings, chocolate covered)</t>
        </is>
      </c>
      <c r="C4146" s="1" t="n">
        <v>1</v>
      </c>
      <c r="D4146" s="1" t="inlineStr">
        <is>
          <t>Links to FNDDS</t>
        </is>
      </c>
      <c r="E4146" s="1" t="inlineStr">
        <is>
          <t>Base</t>
        </is>
      </c>
      <c r="F4146" s="1" t="n">
        <v>1.544832</v>
      </c>
    </row>
    <row r="4147" ht="15.75" customHeight="1" s="201">
      <c r="A4147" s="1" t="n">
        <v>91713030</v>
      </c>
      <c r="B4147" s="1" t="inlineStr">
        <is>
          <t>Fudge, chocolate (Includes fudge, NFS; fudge, plain)</t>
        </is>
      </c>
      <c r="C4147" s="1" t="n">
        <v>2</v>
      </c>
      <c r="D4147" s="1" t="inlineStr">
        <is>
          <t>Links to altEC</t>
        </is>
      </c>
      <c r="E4147" s="1" t="inlineStr">
        <is>
          <t>Base</t>
        </is>
      </c>
      <c r="F4147" s="1" t="n">
        <v>1.454325</v>
      </c>
    </row>
    <row r="4148" ht="15.75" customHeight="1" s="201">
      <c r="A4148" s="1" t="n">
        <v>91713040</v>
      </c>
      <c r="B4148" s="1" t="inlineStr">
        <is>
          <t>Fudge, chocolate, with nuts</t>
        </is>
      </c>
      <c r="C4148" s="1" t="n">
        <v>1</v>
      </c>
      <c r="D4148" s="1" t="inlineStr">
        <is>
          <t>Links to FNDDS</t>
        </is>
      </c>
      <c r="E4148" s="1" t="inlineStr">
        <is>
          <t>Base</t>
        </is>
      </c>
      <c r="F4148" s="1" t="n">
        <v>2.326356</v>
      </c>
    </row>
    <row r="4149" ht="15.75" customHeight="1" s="201">
      <c r="A4149" s="1" t="n">
        <v>91713050</v>
      </c>
      <c r="B4149" s="1" t="inlineStr">
        <is>
          <t>Fudge, peanut butter (Includes chocolate fudge with peanut butter)</t>
        </is>
      </c>
      <c r="C4149" s="1" t="n">
        <v>1</v>
      </c>
      <c r="D4149" s="1" t="inlineStr">
        <is>
          <t>Links to FNDDS</t>
        </is>
      </c>
      <c r="E4149" s="1" t="inlineStr">
        <is>
          <t>Base</t>
        </is>
      </c>
      <c r="F4149" s="1" t="n">
        <v>1.705617</v>
      </c>
    </row>
    <row r="4150" ht="15.75" customHeight="1" s="201">
      <c r="A4150" s="1" t="n">
        <v>91713070</v>
      </c>
      <c r="B4150" s="1" t="inlineStr">
        <is>
          <t>Fudge, vanilla (Includes fruit flavored)</t>
        </is>
      </c>
      <c r="C4150" s="1" t="n">
        <v>2</v>
      </c>
      <c r="D4150" s="1" t="inlineStr">
        <is>
          <t>Links to altEC</t>
        </is>
      </c>
      <c r="E4150" s="1" t="inlineStr">
        <is>
          <t>Base</t>
        </is>
      </c>
      <c r="F4150" s="1" t="n">
        <v>1.464982</v>
      </c>
    </row>
    <row r="4151" ht="15.75" customHeight="1" s="201">
      <c r="A4151" s="1" t="n">
        <v>91715100</v>
      </c>
      <c r="B4151" s="1" t="inlineStr">
        <is>
          <t>SNICKERS Bar</t>
        </is>
      </c>
      <c r="C4151" s="1" t="n">
        <v>1</v>
      </c>
      <c r="D4151" s="1" t="inlineStr">
        <is>
          <t>Links to FNDDS</t>
        </is>
      </c>
      <c r="E4151" s="1" t="inlineStr">
        <is>
          <t>Base</t>
        </is>
      </c>
      <c r="F4151" s="1" t="n">
        <v>1.24991</v>
      </c>
    </row>
    <row r="4152" ht="15.75" customHeight="1" s="201">
      <c r="A4152" s="1" t="n">
        <v>91715200</v>
      </c>
      <c r="B4152" s="1" t="inlineStr">
        <is>
          <t>Baby Ruth</t>
        </is>
      </c>
      <c r="C4152" s="1" t="n">
        <v>1</v>
      </c>
      <c r="D4152" s="1" t="inlineStr">
        <is>
          <t>Links to FNDDS</t>
        </is>
      </c>
      <c r="E4152" s="1" t="inlineStr">
        <is>
          <t>Base</t>
        </is>
      </c>
      <c r="F4152" s="1" t="n">
        <v>1.03358</v>
      </c>
    </row>
    <row r="4153" ht="15.75" customHeight="1" s="201">
      <c r="A4153" s="1" t="n">
        <v>91715300</v>
      </c>
      <c r="B4153" s="1" t="inlineStr">
        <is>
          <t>100 GRAND Bar (Includes $ 100,000 Bar)</t>
        </is>
      </c>
      <c r="C4153" s="1" t="n">
        <v>1</v>
      </c>
      <c r="D4153" s="1" t="inlineStr">
        <is>
          <t>Links to FNDDS</t>
        </is>
      </c>
      <c r="E4153" s="1" t="inlineStr">
        <is>
          <t>Base</t>
        </is>
      </c>
      <c r="F4153" s="1" t="n">
        <v>1.02129</v>
      </c>
    </row>
    <row r="4154" ht="15.75" customHeight="1" s="201">
      <c r="A4154" s="1" t="n">
        <v>91718000</v>
      </c>
      <c r="B4154" s="1" t="inlineStr">
        <is>
          <t>Honey-combed hard candy with peanut butter (Includes Chick-o-Stick; Peanut butter log (Clark); Peanut Pillows; Zagnut)</t>
        </is>
      </c>
      <c r="C4154" s="1" t="n">
        <v>1</v>
      </c>
      <c r="D4154" s="1" t="inlineStr">
        <is>
          <t>Links to FNDDS</t>
        </is>
      </c>
      <c r="E4154" s="1" t="inlineStr">
        <is>
          <t>Base</t>
        </is>
      </c>
      <c r="F4154" s="1" t="n">
        <v>1.143917</v>
      </c>
    </row>
    <row r="4155" ht="15.75" customHeight="1" s="201">
      <c r="A4155" s="1" t="n">
        <v>91718100</v>
      </c>
      <c r="B4155" s="1" t="inlineStr">
        <is>
          <t>Butterfinger (Includes Butterfinger BB's; Bittyfingers)</t>
        </is>
      </c>
      <c r="C4155" s="1" t="n">
        <v>1</v>
      </c>
      <c r="D4155" s="1" t="inlineStr">
        <is>
          <t>Links to FNDDS</t>
        </is>
      </c>
      <c r="E4155" s="1" t="inlineStr">
        <is>
          <t>Base</t>
        </is>
      </c>
      <c r="F4155" s="1" t="n">
        <v>1.161572</v>
      </c>
    </row>
    <row r="4156" ht="15.75" customHeight="1" s="201">
      <c r="A4156" s="1" t="n">
        <v>91718200</v>
      </c>
      <c r="B4156" s="1" t="inlineStr">
        <is>
          <t>Chocolate-flavored sprinkles (Includes Jimmies)</t>
        </is>
      </c>
      <c r="C4156" s="1" t="n">
        <v>1</v>
      </c>
      <c r="D4156" s="1" t="inlineStr">
        <is>
          <t>Links to FNDDS</t>
        </is>
      </c>
      <c r="E4156" s="1" t="inlineStr">
        <is>
          <t>Base</t>
        </is>
      </c>
      <c r="F4156" s="1" t="n">
        <v>1.421926</v>
      </c>
    </row>
    <row r="4157" ht="15.75" customHeight="1" s="201">
      <c r="A4157" s="1" t="n">
        <v>91718300</v>
      </c>
      <c r="B4157" s="1" t="inlineStr">
        <is>
          <t>Ladoo, round ball, Asian-Indian dessert</t>
        </is>
      </c>
      <c r="C4157" s="1" t="n">
        <v>2</v>
      </c>
      <c r="D4157" s="1" t="inlineStr">
        <is>
          <t>Links to altEC</t>
        </is>
      </c>
      <c r="E4157" s="1" t="inlineStr">
        <is>
          <t>Base</t>
        </is>
      </c>
      <c r="F4157" s="1" t="n">
        <v>0.788722</v>
      </c>
    </row>
    <row r="4158" ht="15.75" customHeight="1" s="201">
      <c r="A4158" s="1" t="n">
        <v>91721000</v>
      </c>
      <c r="B4158" s="1" t="inlineStr">
        <is>
          <t>Licorice (Includes Good and Plenty; Twizzlers; Twizzlers Nibs Cherry Bits; Twizzler Bites; Sour Punch)</t>
        </is>
      </c>
      <c r="C4158" s="1" t="n">
        <v>1</v>
      </c>
      <c r="D4158" s="1" t="inlineStr">
        <is>
          <t>Links to FNDDS</t>
        </is>
      </c>
      <c r="E4158" s="1" t="inlineStr">
        <is>
          <t>Base</t>
        </is>
      </c>
      <c r="F4158" s="1" t="n">
        <v>0.657572</v>
      </c>
    </row>
    <row r="4159" ht="15.75" customHeight="1" s="201">
      <c r="A4159" s="1" t="n">
        <v>91723000</v>
      </c>
      <c r="B4159" s="1" t="inlineStr">
        <is>
          <t>Marshmallow (Includes Marshmallow animal; Marshmallows, all sizes; Circus Peanuts (Brachs); Peeps)</t>
        </is>
      </c>
      <c r="C4159" s="1" t="n">
        <v>1</v>
      </c>
      <c r="D4159" s="1" t="inlineStr">
        <is>
          <t>Links to FNDDS</t>
        </is>
      </c>
      <c r="E4159" s="1" t="inlineStr">
        <is>
          <t>Base</t>
        </is>
      </c>
      <c r="F4159" s="1" t="n">
        <v>0.549598</v>
      </c>
    </row>
    <row r="4160" ht="15.75" customHeight="1" s="201">
      <c r="A4160" s="1" t="n">
        <v>91723010</v>
      </c>
      <c r="B4160" s="1" t="inlineStr">
        <is>
          <t>Marshmallow, chocolate covered (Includes Easter egg, chocolate covered marshmallow; Mallo Cup; Marshmallow rabbit, chocolate covered)</t>
        </is>
      </c>
      <c r="C4160" s="1" t="n">
        <v>1</v>
      </c>
      <c r="D4160" s="1" t="inlineStr">
        <is>
          <t>Links to FNDDS</t>
        </is>
      </c>
      <c r="E4160" s="1" t="inlineStr">
        <is>
          <t>Base</t>
        </is>
      </c>
      <c r="F4160" s="1" t="n">
        <v>1.518679</v>
      </c>
    </row>
    <row r="4161" ht="15.75" customHeight="1" s="201">
      <c r="A4161" s="1" t="n">
        <v>91726000</v>
      </c>
      <c r="B4161" s="1" t="inlineStr">
        <is>
          <t>Nougat, plain (Includes nougat, NFS; Italian nougat candy)</t>
        </is>
      </c>
      <c r="C4161" s="1" t="n">
        <v>1</v>
      </c>
      <c r="D4161" s="1" t="inlineStr">
        <is>
          <t>Links to FNDDS</t>
        </is>
      </c>
      <c r="E4161" s="1" t="inlineStr">
        <is>
          <t>Base</t>
        </is>
      </c>
      <c r="F4161" s="1" t="n">
        <v>0.762639</v>
      </c>
    </row>
    <row r="4162" ht="15.75" customHeight="1" s="201">
      <c r="A4162" s="1" t="n">
        <v>91726130</v>
      </c>
      <c r="B4162" s="1" t="inlineStr">
        <is>
          <t>MILKY WAY Bar</t>
        </is>
      </c>
      <c r="C4162" s="1" t="n">
        <v>1</v>
      </c>
      <c r="D4162" s="1" t="inlineStr">
        <is>
          <t>Links to FNDDS</t>
        </is>
      </c>
      <c r="E4162" s="1" t="inlineStr">
        <is>
          <t>Base</t>
        </is>
      </c>
      <c r="F4162" s="1" t="n">
        <v>1.244988</v>
      </c>
    </row>
    <row r="4163" ht="15.75" customHeight="1" s="201">
      <c r="A4163" s="1" t="n">
        <v>91726150</v>
      </c>
      <c r="B4163" s="1" t="inlineStr">
        <is>
          <t>MARS Almond Bar</t>
        </is>
      </c>
      <c r="C4163" s="1" t="n">
        <v>2</v>
      </c>
      <c r="D4163" s="1" t="inlineStr">
        <is>
          <t>Links to altEC</t>
        </is>
      </c>
      <c r="E4163" s="1" t="inlineStr">
        <is>
          <t>Base</t>
        </is>
      </c>
      <c r="F4163" s="1" t="n">
        <v>1.24991</v>
      </c>
    </row>
    <row r="4164" ht="15.75" customHeight="1" s="201">
      <c r="A4164" s="1" t="n">
        <v>91726410</v>
      </c>
      <c r="B4164" s="1" t="inlineStr">
        <is>
          <t>Nougat, chocolate covered (Includes Charleston Chew)</t>
        </is>
      </c>
      <c r="C4164" s="1" t="n">
        <v>1</v>
      </c>
      <c r="D4164" s="1" t="inlineStr">
        <is>
          <t>Links to FNDDS</t>
        </is>
      </c>
      <c r="E4164" s="1" t="inlineStr">
        <is>
          <t>Base</t>
        </is>
      </c>
      <c r="F4164" s="1" t="n">
        <v>1.168261</v>
      </c>
    </row>
    <row r="4165" ht="15.75" customHeight="1" s="201">
      <c r="A4165" s="1" t="n">
        <v>91726420</v>
      </c>
      <c r="B4165" s="1" t="inlineStr">
        <is>
          <t>3 MUSKETEERS Bar</t>
        </is>
      </c>
      <c r="C4165" s="1" t="n">
        <v>1</v>
      </c>
      <c r="D4165" s="1" t="inlineStr">
        <is>
          <t>Links to FNDDS</t>
        </is>
      </c>
      <c r="E4165" s="1" t="inlineStr">
        <is>
          <t>Base</t>
        </is>
      </c>
      <c r="F4165" s="1" t="n">
        <v>1.25797</v>
      </c>
    </row>
    <row r="4166" ht="15.75" customHeight="1" s="201">
      <c r="A4166" s="1" t="n">
        <v>91727010</v>
      </c>
      <c r="B4166" s="1" t="inlineStr">
        <is>
          <t>Nuts, chocolate covered, not almonds or peanuts (Includes nuts, chocolate covered, NFS)</t>
        </is>
      </c>
      <c r="C4166" s="1" t="n">
        <v>2</v>
      </c>
      <c r="D4166" s="1" t="inlineStr">
        <is>
          <t>Links to altEC</t>
        </is>
      </c>
      <c r="E4166" s="1" t="inlineStr">
        <is>
          <t>Base</t>
        </is>
      </c>
      <c r="F4166" s="1" t="n">
        <v>1.362696</v>
      </c>
    </row>
    <row r="4167" ht="15.75" customHeight="1" s="201">
      <c r="A4167" s="1" t="n">
        <v>91728000</v>
      </c>
      <c r="B4167" s="1" t="inlineStr">
        <is>
          <t>Nut roll, fudge or nougat, caramel and nuts (Includes Big Hunk; Payday; Chocolaty Payday; Pecan roll)</t>
        </is>
      </c>
      <c r="C4167" s="1" t="n">
        <v>1</v>
      </c>
      <c r="D4167" s="1" t="inlineStr">
        <is>
          <t>Links to FNDDS</t>
        </is>
      </c>
      <c r="E4167" s="1" t="inlineStr">
        <is>
          <t>Base</t>
        </is>
      </c>
      <c r="F4167" s="1" t="n">
        <v>1.158121</v>
      </c>
    </row>
    <row r="4168" ht="15.75" customHeight="1" s="201">
      <c r="A4168" s="1" t="n">
        <v>91728500</v>
      </c>
      <c r="B4168" s="1" t="inlineStr">
        <is>
          <t>Sugared pecans, sugar and egg white coating</t>
        </is>
      </c>
      <c r="C4168" s="1" t="n">
        <v>1</v>
      </c>
      <c r="D4168" s="1" t="inlineStr">
        <is>
          <t>Links to FNDDS</t>
        </is>
      </c>
      <c r="E4168" s="1" t="inlineStr">
        <is>
          <t>Base</t>
        </is>
      </c>
      <c r="F4168" s="1" t="n">
        <v>2.120562</v>
      </c>
    </row>
    <row r="4169" ht="15.75" customHeight="1" s="201">
      <c r="A4169" s="1" t="n">
        <v>91731000</v>
      </c>
      <c r="B4169" s="1" t="inlineStr">
        <is>
          <t>Peanuts, chocolate covered (Includes Goobers; Peanut Clusters)</t>
        </is>
      </c>
      <c r="C4169" s="1" t="n">
        <v>1</v>
      </c>
      <c r="D4169" s="1" t="inlineStr">
        <is>
          <t>Links to FNDDS</t>
        </is>
      </c>
      <c r="E4169" s="1" t="inlineStr">
        <is>
          <t>Base</t>
        </is>
      </c>
      <c r="F4169" s="1" t="n">
        <v>1.21739</v>
      </c>
    </row>
    <row r="4170" ht="15.75" customHeight="1" s="201">
      <c r="A4170" s="1" t="n">
        <v>91731010</v>
      </c>
      <c r="B4170" s="1" t="inlineStr">
        <is>
          <t>M&amp;M's Peanut Chocolate Candies</t>
        </is>
      </c>
      <c r="C4170" s="1" t="n">
        <v>1</v>
      </c>
      <c r="D4170" s="1" t="inlineStr">
        <is>
          <t>Links to FNDDS</t>
        </is>
      </c>
      <c r="E4170" s="1" t="inlineStr">
        <is>
          <t>Base</t>
        </is>
      </c>
      <c r="F4170" s="1" t="n">
        <v>1.021253</v>
      </c>
    </row>
    <row r="4171" ht="15.75" customHeight="1" s="201">
      <c r="A4171" s="1" t="n">
        <v>91731060</v>
      </c>
      <c r="B4171" s="1" t="inlineStr">
        <is>
          <t>M&amp;M's Peanut Butter Chocolate Candies</t>
        </is>
      </c>
      <c r="C4171" s="1" t="n">
        <v>1</v>
      </c>
      <c r="D4171" s="1" t="inlineStr">
        <is>
          <t>Links to FNDDS</t>
        </is>
      </c>
      <c r="E4171" s="1" t="inlineStr">
        <is>
          <t>Base</t>
        </is>
      </c>
      <c r="F4171" s="1" t="n">
        <v>1.072273</v>
      </c>
    </row>
    <row r="4172" ht="15.75" customHeight="1" s="201">
      <c r="A4172" s="1" t="n">
        <v>91731100</v>
      </c>
      <c r="B4172" s="1" t="inlineStr">
        <is>
          <t>Peanuts, sugar-coated (Includes Boston Baked Beans; Squirrel Nuts)</t>
        </is>
      </c>
      <c r="C4172" s="1" t="n">
        <v>1</v>
      </c>
      <c r="D4172" s="1" t="inlineStr">
        <is>
          <t>Links to FNDDS</t>
        </is>
      </c>
      <c r="E4172" s="1" t="inlineStr">
        <is>
          <t>Base</t>
        </is>
      </c>
      <c r="F4172" s="1" t="n">
        <v>0.859382</v>
      </c>
    </row>
    <row r="4173" ht="15.75" customHeight="1" s="201">
      <c r="A4173" s="1" t="n">
        <v>91732000</v>
      </c>
      <c r="B4173" s="1" t="inlineStr">
        <is>
          <t>Peanut bar (Includes peanut candy, NFS; Peanut Munch)</t>
        </is>
      </c>
      <c r="C4173" s="1" t="n">
        <v>1</v>
      </c>
      <c r="D4173" s="1" t="inlineStr">
        <is>
          <t>Links to FNDDS</t>
        </is>
      </c>
      <c r="E4173" s="1" t="inlineStr">
        <is>
          <t>Base</t>
        </is>
      </c>
      <c r="F4173" s="1" t="n">
        <v>1.114329</v>
      </c>
    </row>
    <row r="4174" ht="15.75" customHeight="1" s="201">
      <c r="A4174" s="1" t="n">
        <v>91734000</v>
      </c>
      <c r="B4174" s="1" t="inlineStr">
        <is>
          <t>Peanut butter, chocolate covered (Includes peanut butter treats; peanut butter candy; Peanut Butter Meltaway Crispy Bar (Brach's); Easter egg, peanut butter, chocolate covered; Peanut Butter Meltaway Bar (Brach's); Planters Peanut Butter Chocolates)</t>
        </is>
      </c>
      <c r="C4174" s="1" t="n">
        <v>1</v>
      </c>
      <c r="D4174" s="1" t="inlineStr">
        <is>
          <t>Links to FNDDS</t>
        </is>
      </c>
      <c r="E4174" s="1" t="inlineStr">
        <is>
          <t>Base</t>
        </is>
      </c>
      <c r="F4174" s="1" t="n">
        <v>1.77471</v>
      </c>
    </row>
    <row r="4175" ht="15.75" customHeight="1" s="201">
      <c r="A4175" s="1" t="n">
        <v>91734100</v>
      </c>
      <c r="B4175" s="1" t="inlineStr">
        <is>
          <t>Reese's Peanut Butter Cup (Includes Reese's Bites)</t>
        </is>
      </c>
      <c r="C4175" s="1" t="n">
        <v>1</v>
      </c>
      <c r="D4175" s="1" t="inlineStr">
        <is>
          <t>Links to FNDDS</t>
        </is>
      </c>
      <c r="E4175" s="1" t="inlineStr">
        <is>
          <t>Base</t>
        </is>
      </c>
      <c r="F4175" s="1" t="n">
        <v>1.326393</v>
      </c>
    </row>
    <row r="4176" ht="15.75" customHeight="1" s="201">
      <c r="A4176" s="1" t="n">
        <v>91734200</v>
      </c>
      <c r="B4176" s="1" t="inlineStr">
        <is>
          <t>Reese's Pieces</t>
        </is>
      </c>
      <c r="C4176" s="1" t="n">
        <v>1</v>
      </c>
      <c r="D4176" s="1" t="inlineStr">
        <is>
          <t>Links to FNDDS</t>
        </is>
      </c>
      <c r="E4176" s="1" t="inlineStr">
        <is>
          <t>Base</t>
        </is>
      </c>
      <c r="F4176" s="1" t="n">
        <v>1.140002</v>
      </c>
    </row>
    <row r="4177" ht="15.75" customHeight="1" s="201">
      <c r="A4177" s="1" t="n">
        <v>91734300</v>
      </c>
      <c r="B4177" s="1" t="inlineStr">
        <is>
          <t>Reese's Sticks</t>
        </is>
      </c>
      <c r="C4177" s="1" t="n">
        <v>1</v>
      </c>
      <c r="D4177" s="1" t="inlineStr">
        <is>
          <t>Links to FNDDS</t>
        </is>
      </c>
      <c r="E4177" s="1" t="inlineStr">
        <is>
          <t>Base</t>
        </is>
      </c>
      <c r="F4177" s="1" t="n">
        <v>1.609162</v>
      </c>
    </row>
    <row r="4178" ht="15.75" customHeight="1" s="201">
      <c r="A4178" s="1" t="n">
        <v>91734400</v>
      </c>
      <c r="B4178" s="1" t="inlineStr">
        <is>
          <t>Reese's Fast Break</t>
        </is>
      </c>
      <c r="C4178" s="1" t="n">
        <v>1</v>
      </c>
      <c r="D4178" s="1" t="inlineStr">
        <is>
          <t>Links to FNDDS</t>
        </is>
      </c>
      <c r="E4178" s="1" t="inlineStr">
        <is>
          <t>Base</t>
        </is>
      </c>
      <c r="F4178" s="1" t="n">
        <v>1.463003</v>
      </c>
    </row>
    <row r="4179" ht="15.75" customHeight="1" s="201">
      <c r="A4179" s="1" t="n">
        <v>91734500</v>
      </c>
      <c r="B4179" s="1" t="inlineStr">
        <is>
          <t>Peanut butter morsels (Includes peanut butter chips)</t>
        </is>
      </c>
      <c r="C4179" s="1" t="n">
        <v>1</v>
      </c>
      <c r="D4179" s="1" t="inlineStr">
        <is>
          <t>Links to FNDDS</t>
        </is>
      </c>
      <c r="E4179" s="1" t="inlineStr">
        <is>
          <t>Base</t>
        </is>
      </c>
      <c r="F4179" s="1" t="n">
        <v>0.84454</v>
      </c>
    </row>
    <row r="4180" ht="15.75" customHeight="1" s="201">
      <c r="A4180" s="1" t="n">
        <v>91735000</v>
      </c>
      <c r="B4180" s="1" t="inlineStr">
        <is>
          <t>Pralines</t>
        </is>
      </c>
      <c r="C4180" s="1" t="n">
        <v>1</v>
      </c>
      <c r="D4180" s="1" t="inlineStr">
        <is>
          <t>Links to FNDDS</t>
        </is>
      </c>
      <c r="E4180" s="1" t="inlineStr">
        <is>
          <t>Base</t>
        </is>
      </c>
      <c r="F4180" s="1" t="n">
        <v>2.631065</v>
      </c>
    </row>
    <row r="4181" ht="15.75" customHeight="1" s="201">
      <c r="A4181" s="1" t="n">
        <v>91739010</v>
      </c>
      <c r="B4181" s="1" t="inlineStr">
        <is>
          <t>Raisins, chocolate covered (Includes Raisinets; Raisin clusters)</t>
        </is>
      </c>
      <c r="C4181" s="1" t="n">
        <v>1</v>
      </c>
      <c r="D4181" s="1" t="inlineStr">
        <is>
          <t>Links to FNDDS</t>
        </is>
      </c>
      <c r="E4181" s="1" t="inlineStr">
        <is>
          <t>Base</t>
        </is>
      </c>
      <c r="F4181" s="1" t="n">
        <v>1.115115</v>
      </c>
    </row>
    <row r="4182" ht="15.75" customHeight="1" s="201">
      <c r="A4182" s="1" t="n">
        <v>91739600</v>
      </c>
      <c r="B4182" s="1" t="inlineStr">
        <is>
          <t>Raisins, yogurt covered</t>
        </is>
      </c>
      <c r="C4182" s="1" t="n">
        <v>1</v>
      </c>
      <c r="D4182" s="1" t="inlineStr">
        <is>
          <t>Links to FNDDS</t>
        </is>
      </c>
      <c r="E4182" s="1" t="inlineStr">
        <is>
          <t>Base</t>
        </is>
      </c>
      <c r="F4182" s="1" t="n">
        <v>1.55888</v>
      </c>
    </row>
    <row r="4183" ht="15.75" customHeight="1" s="201">
      <c r="A4183" s="1" t="n">
        <v>91742010</v>
      </c>
      <c r="B4183" s="1" t="inlineStr">
        <is>
          <t>Sesame Crunch, Sahadi</t>
        </is>
      </c>
      <c r="C4183" s="1" t="n">
        <v>2</v>
      </c>
      <c r="D4183" s="1" t="inlineStr">
        <is>
          <t>Links to altEC</t>
        </is>
      </c>
      <c r="E4183" s="1" t="inlineStr">
        <is>
          <t>Base</t>
        </is>
      </c>
      <c r="F4183" s="1" t="n">
        <v>1.20331</v>
      </c>
    </row>
    <row r="4184" ht="15.75" customHeight="1" s="201">
      <c r="A4184" s="1" t="n">
        <v>91745010</v>
      </c>
      <c r="B4184" s="1" t="inlineStr">
        <is>
          <t>Gumdrops (Includes gummy bears; gummy worms; gummy fish; gummy dinosaurs; Hot tamales; Jelly beans; Jujubes; Jujy Fruits; Mike and Ike; Mint Leaves; Chuckles; Dots; Fruit slices, jellied; Good and Fruity; Brach's Rocks; spice sticks and drops; Life Savers Gummi Savers; Gummy animals/shapes)</t>
        </is>
      </c>
      <c r="C4184" s="1" t="n">
        <v>1</v>
      </c>
      <c r="D4184" s="1" t="inlineStr">
        <is>
          <t>Links to FNDDS</t>
        </is>
      </c>
      <c r="E4184" s="1" t="inlineStr">
        <is>
          <t>Base</t>
        </is>
      </c>
      <c r="F4184" s="1" t="n">
        <v>0.814121</v>
      </c>
    </row>
    <row r="4185" ht="15.75" customHeight="1" s="201">
      <c r="A4185" s="1" t="n">
        <v>91745020</v>
      </c>
      <c r="B4185" s="1" t="inlineStr">
        <is>
          <t>Hard candy (Includes Blow-Pop; Bottle Caps; Breath mints; Breath Savers; Candy Buttons; Candy cane; Candy hearts; Candy necklace; Certs; Charm Pop; Christmas candy; Cinnamon Hearts; Conversation hearts; Cotton candy; Cough drops; Funs and Dips; Gob Stoppers; Jawbreakers; Jolly Rancher; Just Juice; Life Savers; Lollipops; Necco Wafer; Nerds; Pixy Stix; Pop Rocks; Raspberry-filled drops; Red Hots; Red Hot Dollars; Root beer barrel; Smarties; Space Dust; Spree; Spun Sugar; Stick candy; Sucker; Sweet Tarts; Tic Tacs; Tootsie Pop Drops; Tootsie Roll Pop; Candy cigarettes; Life Savers Holes; Starlight Mint; Pez; Ring Pop; Dum Dums; Runts; Sour Patch Kids; Baby Bottle Pop; Lemonheads; rock candy)</t>
        </is>
      </c>
      <c r="C4185" s="1" t="n">
        <v>1</v>
      </c>
      <c r="D4185" s="1" t="inlineStr">
        <is>
          <t>Links to FNDDS</t>
        </is>
      </c>
      <c r="E4185" s="1" t="inlineStr">
        <is>
          <t>Base</t>
        </is>
      </c>
      <c r="F4185" s="1" t="n">
        <v>1.124556</v>
      </c>
    </row>
    <row r="4186" ht="15.75" customHeight="1" s="201">
      <c r="A4186" s="1" t="n">
        <v>91745100</v>
      </c>
      <c r="B4186" s="1" t="inlineStr">
        <is>
          <t>Skittles</t>
        </is>
      </c>
      <c r="C4186" s="1" t="n">
        <v>1</v>
      </c>
      <c r="D4186" s="1" t="inlineStr">
        <is>
          <t>Links to FNDDS</t>
        </is>
      </c>
      <c r="E4186" s="1" t="inlineStr">
        <is>
          <t>Base</t>
        </is>
      </c>
      <c r="F4186" s="1" t="n">
        <v>0.973227</v>
      </c>
    </row>
    <row r="4187" ht="15.75" customHeight="1" s="201">
      <c r="A4187" s="1" t="n">
        <v>91746100</v>
      </c>
      <c r="B4187" s="1" t="inlineStr">
        <is>
          <t>M&amp;M's Milk Chocolate Candies (Includes "M &amp; M's" Mint Chocolate Candies; "M &amp; M's" Mini Baking Bits)</t>
        </is>
      </c>
      <c r="C4187" s="1" t="n">
        <v>1</v>
      </c>
      <c r="D4187" s="1" t="inlineStr">
        <is>
          <t>Links to FNDDS</t>
        </is>
      </c>
      <c r="E4187" s="1" t="inlineStr">
        <is>
          <t>Base</t>
        </is>
      </c>
      <c r="F4187" s="1" t="n">
        <v>1.065728</v>
      </c>
    </row>
    <row r="4188" ht="15.75" customHeight="1" s="201">
      <c r="A4188" s="1" t="n">
        <v>91746120</v>
      </c>
      <c r="B4188" s="1" t="inlineStr">
        <is>
          <t>Sixlets</t>
        </is>
      </c>
      <c r="C4188" s="1" t="n">
        <v>1</v>
      </c>
      <c r="D4188" s="1" t="inlineStr">
        <is>
          <t>Links to FNDDS</t>
        </is>
      </c>
      <c r="E4188" s="1" t="inlineStr">
        <is>
          <t>Base</t>
        </is>
      </c>
      <c r="F4188" s="1" t="n">
        <v>1.024425</v>
      </c>
    </row>
    <row r="4189" ht="15.75" customHeight="1" s="201">
      <c r="A4189" s="1" t="n">
        <v>91746150</v>
      </c>
      <c r="B4189" s="1" t="inlineStr">
        <is>
          <t>Easter egg, candy coated chocolate (Includes Cadbury's Mini Eggs)</t>
        </is>
      </c>
      <c r="C4189" s="1" t="n">
        <v>1</v>
      </c>
      <c r="D4189" s="1" t="inlineStr">
        <is>
          <t>Links to FNDDS</t>
        </is>
      </c>
      <c r="E4189" s="1" t="inlineStr">
        <is>
          <t>Base</t>
        </is>
      </c>
      <c r="F4189" s="1" t="n">
        <v>1.451201</v>
      </c>
    </row>
    <row r="4190" ht="15.75" customHeight="1" s="201">
      <c r="A4190" s="1" t="n">
        <v>91750000</v>
      </c>
      <c r="B4190" s="1" t="inlineStr">
        <is>
          <t>Taffy (Includes Taffy, NFS; fruit flavored; Fruit Chews; Kits; Mary Jane; Mighty Bite; Now and Later; Peanut Kisses; Salt water taffy; Starburst; Tangy Taffy; Bit-O-Honey; Bonkers!; all flavors; Airheads; Laffy Taffy; Oompas)</t>
        </is>
      </c>
      <c r="C4190" s="1" t="n">
        <v>2</v>
      </c>
      <c r="D4190" s="1" t="inlineStr">
        <is>
          <t>Links to altEC</t>
        </is>
      </c>
      <c r="E4190" s="1" t="inlineStr">
        <is>
          <t>Base</t>
        </is>
      </c>
      <c r="F4190" s="1" t="n">
        <v>0.931239</v>
      </c>
    </row>
    <row r="4191" ht="15.75" customHeight="1" s="201">
      <c r="A4191" s="1" t="n">
        <v>91760000</v>
      </c>
      <c r="B4191" s="1" t="inlineStr">
        <is>
          <t>Toffee, plain (Includes toffee, NFS; Mint toffee)</t>
        </is>
      </c>
      <c r="C4191" s="1" t="n">
        <v>2</v>
      </c>
      <c r="D4191" s="1" t="inlineStr">
        <is>
          <t>Links to altEC</t>
        </is>
      </c>
      <c r="E4191" s="1" t="inlineStr">
        <is>
          <t>Base</t>
        </is>
      </c>
      <c r="F4191" s="1" t="n">
        <v>1.355338</v>
      </c>
    </row>
    <row r="4192" ht="15.75" customHeight="1" s="201">
      <c r="A4192" s="1" t="n">
        <v>91760200</v>
      </c>
      <c r="B4192" s="1" t="inlineStr">
        <is>
          <t>Toffee, chocolate-coated, with nuts (Includes Almond Roca)</t>
        </is>
      </c>
      <c r="C4192" s="1" t="n">
        <v>1</v>
      </c>
      <c r="D4192" s="1" t="inlineStr">
        <is>
          <t>Links to FNDDS</t>
        </is>
      </c>
      <c r="E4192" s="1" t="inlineStr">
        <is>
          <t>Base</t>
        </is>
      </c>
      <c r="F4192" s="1" t="n">
        <v>1.342264</v>
      </c>
    </row>
    <row r="4193" ht="15.75" customHeight="1" s="201">
      <c r="A4193" s="1" t="n">
        <v>91760500</v>
      </c>
      <c r="B4193" s="1" t="inlineStr">
        <is>
          <t>Truffles</t>
        </is>
      </c>
      <c r="C4193" s="1" t="n">
        <v>1</v>
      </c>
      <c r="D4193" s="1" t="inlineStr">
        <is>
          <t>Links to FNDDS</t>
        </is>
      </c>
      <c r="E4193" s="1" t="inlineStr">
        <is>
          <t>Base</t>
        </is>
      </c>
      <c r="F4193" s="1" t="n">
        <v>2.419197</v>
      </c>
    </row>
    <row r="4194" ht="15.75" customHeight="1" s="201">
      <c r="A4194" s="1" t="n">
        <v>91770020</v>
      </c>
      <c r="B4194" s="1" t="inlineStr">
        <is>
          <t>Dietetic or low calorie hard candy (Includes Licorice, dietetic; Sweet 'n Low sugar-free hard candies)</t>
        </is>
      </c>
      <c r="C4194" s="1" t="n">
        <v>1</v>
      </c>
      <c r="D4194" s="1" t="inlineStr">
        <is>
          <t>Links to FNDDS</t>
        </is>
      </c>
      <c r="E4194" s="1" t="inlineStr">
        <is>
          <t>Base</t>
        </is>
      </c>
      <c r="F4194" s="1" t="n">
        <v>2.455874</v>
      </c>
    </row>
    <row r="4195" ht="15.75" customHeight="1" s="201">
      <c r="A4195" s="1" t="n">
        <v>91770030</v>
      </c>
      <c r="B4195" s="1" t="inlineStr">
        <is>
          <t>Dietetic or low calorie candy, chocolate covered (Includes Dietetic Chocolate TV Mix; Dietetic Chocolate Wafers; Dietetic Covered Raisins; Dietetic Crunch Bar; Dietetic Fruit and Nut Bar; Dietetic Peanut Butter Cups; Dietetic Milk Almond Bar; Dietetic Milk Chocolate Flavored Bar)</t>
        </is>
      </c>
      <c r="C4195" s="1" t="n">
        <v>1</v>
      </c>
      <c r="D4195" s="1" t="inlineStr">
        <is>
          <t>Links to FNDDS</t>
        </is>
      </c>
      <c r="E4195" s="1" t="inlineStr">
        <is>
          <t>Base</t>
        </is>
      </c>
      <c r="F4195" s="1" t="n">
        <v>2.434142</v>
      </c>
    </row>
    <row r="4196" ht="15.75" customHeight="1" s="201">
      <c r="A4196" s="1" t="n">
        <v>91800100</v>
      </c>
      <c r="B4196" s="1" t="inlineStr">
        <is>
          <t>Chewing gum, NFS (Includes Bubble gum, NFS)</t>
        </is>
      </c>
      <c r="C4196" s="1" t="n">
        <v>2</v>
      </c>
      <c r="D4196" s="1" t="inlineStr">
        <is>
          <t>Links to altEC</t>
        </is>
      </c>
      <c r="E4196" s="1" t="inlineStr">
        <is>
          <t>Base</t>
        </is>
      </c>
      <c r="F4196" s="1" t="n">
        <v>2.613044</v>
      </c>
    </row>
    <row r="4197" ht="15.75" customHeight="1" s="201">
      <c r="A4197" s="1" t="n">
        <v>91801000</v>
      </c>
      <c r="B4197" s="1" t="inlineStr">
        <is>
          <t>Chewing gum, regular (Includes chewing gum with natural sweeteners; Bubble gum, sugared)</t>
        </is>
      </c>
      <c r="C4197" s="1" t="n">
        <v>1</v>
      </c>
      <c r="D4197" s="1" t="inlineStr">
        <is>
          <t>Links to FNDDS</t>
        </is>
      </c>
      <c r="E4197" s="1" t="inlineStr">
        <is>
          <t>Base</t>
        </is>
      </c>
      <c r="F4197" s="1" t="n">
        <v>1.522038</v>
      </c>
    </row>
    <row r="4198" ht="15.75" customHeight="1" s="201">
      <c r="A4198" s="1" t="n">
        <v>91802000</v>
      </c>
      <c r="B4198" s="1" t="inlineStr">
        <is>
          <t>Chewing gum, sugar free (Includes chewing gum with non-nutritive sweeteners; sugarless bubble gum)</t>
        </is>
      </c>
      <c r="C4198" s="1" t="n">
        <v>1</v>
      </c>
      <c r="D4198" s="1" t="inlineStr">
        <is>
          <t>Links to FNDDS</t>
        </is>
      </c>
      <c r="E4198" s="1" t="inlineStr">
        <is>
          <t>Base</t>
        </is>
      </c>
      <c r="F4198" s="1" t="n">
        <v>2.936221</v>
      </c>
    </row>
    <row r="4199" ht="15.75" customHeight="1" s="201">
      <c r="A4199" s="1" t="n">
        <v>92100000</v>
      </c>
      <c r="B4199" s="1" t="inlineStr">
        <is>
          <t>Coffee, NS as to type</t>
        </is>
      </c>
      <c r="C4199" s="1" t="n">
        <v>2</v>
      </c>
      <c r="D4199" s="1" t="inlineStr">
        <is>
          <t>Links to altEC</t>
        </is>
      </c>
      <c r="E4199" s="1" t="inlineStr">
        <is>
          <t>Base</t>
        </is>
      </c>
      <c r="F4199" s="1" t="n">
        <v>0.051018</v>
      </c>
    </row>
    <row r="4200" ht="15.75" customHeight="1" s="201">
      <c r="A4200" s="1" t="n">
        <v>92100500</v>
      </c>
      <c r="B4200" s="1" t="inlineStr">
        <is>
          <t>Coffee, NS as to brewed or instant (Includes coffee singles, bags, pods, or K-cups)</t>
        </is>
      </c>
      <c r="C4200" s="1" t="n">
        <v>2</v>
      </c>
      <c r="D4200" s="1" t="inlineStr">
        <is>
          <t>Links to altEC</t>
        </is>
      </c>
      <c r="E4200" s="1" t="inlineStr">
        <is>
          <t>Base</t>
        </is>
      </c>
      <c r="F4200" s="1" t="n">
        <v>0.051018</v>
      </c>
    </row>
    <row r="4201" ht="15.75" customHeight="1" s="201">
      <c r="A4201" s="1" t="n">
        <v>92101000</v>
      </c>
      <c r="B4201" s="1" t="inlineStr">
        <is>
          <t>Coffee, brewed (Includes coffee, brewed, NS as to regular or decaffeinated; coffee singles, bags, pods, or K-cups)</t>
        </is>
      </c>
      <c r="C4201" s="1" t="n">
        <v>1</v>
      </c>
      <c r="D4201" s="1" t="inlineStr">
        <is>
          <t>Links to FNDDS</t>
        </is>
      </c>
      <c r="E4201" s="1" t="inlineStr">
        <is>
          <t>Base</t>
        </is>
      </c>
      <c r="F4201" s="1" t="n">
        <v>0.051018</v>
      </c>
    </row>
    <row r="4202" ht="15.75" customHeight="1" s="201">
      <c r="A4202" s="1" t="n">
        <v>92101500</v>
      </c>
      <c r="B4202" s="1" t="inlineStr">
        <is>
          <t>Coffee, brewed, blend of regular and decaffeinated (Includes half-caf; reduced caffeine; coffee singles, bags, pods or K-cups)</t>
        </is>
      </c>
      <c r="C4202" s="1" t="n">
        <v>4</v>
      </c>
      <c r="D4202" s="1" t="inlineStr">
        <is>
          <t>FNDDS recipe with replaced or modified SR codes</t>
        </is>
      </c>
      <c r="E4202" s="1" t="inlineStr">
        <is>
          <t>Base</t>
        </is>
      </c>
      <c r="F4202" s="1" t="n">
        <v>0.059307</v>
      </c>
    </row>
    <row r="4203" ht="15.75" customHeight="1" s="201">
      <c r="A4203" s="1" t="n">
        <v>92101610</v>
      </c>
      <c r="B4203" s="1" t="inlineStr">
        <is>
          <t>Coffee, espresso (Includes demi-tasse)</t>
        </is>
      </c>
      <c r="C4203" s="1" t="n">
        <v>1</v>
      </c>
      <c r="D4203" s="1" t="inlineStr">
        <is>
          <t>Links to FNDDS</t>
        </is>
      </c>
      <c r="E4203" s="1" t="inlineStr">
        <is>
          <t>Base</t>
        </is>
      </c>
      <c r="F4203" s="1" t="n">
        <v>0.052292</v>
      </c>
    </row>
    <row r="4204" ht="15.75" customHeight="1" s="201">
      <c r="A4204" s="1" t="n">
        <v>92101700</v>
      </c>
      <c r="B4204" s="1" t="inlineStr">
        <is>
          <t>Coffee, brewed, flavored (Includes coffee singles, bags, pods, or K-cups)</t>
        </is>
      </c>
      <c r="C4204" s="1" t="n">
        <v>1</v>
      </c>
      <c r="D4204" s="1" t="inlineStr">
        <is>
          <t>Links to FNDDS</t>
        </is>
      </c>
      <c r="E4204" s="1" t="inlineStr">
        <is>
          <t>Base</t>
        </is>
      </c>
      <c r="F4204" s="1" t="n">
        <v>0.084312</v>
      </c>
    </row>
    <row r="4205" ht="15.75" customHeight="1" s="201">
      <c r="A4205" s="1" t="n">
        <v>92101820</v>
      </c>
      <c r="B4205" s="1" t="inlineStr">
        <is>
          <t>Coffee, macchiato, sweetened (Includes caramel macchiato)</t>
        </is>
      </c>
      <c r="C4205" s="1" t="n">
        <v>2</v>
      </c>
      <c r="D4205" s="1" t="inlineStr">
        <is>
          <t>Links to altEC</t>
        </is>
      </c>
      <c r="E4205" s="1" t="inlineStr">
        <is>
          <t>Base</t>
        </is>
      </c>
      <c r="F4205" s="1" t="n">
        <v>0.589658</v>
      </c>
    </row>
    <row r="4206" ht="15.75" customHeight="1" s="201">
      <c r="A4206" s="1" t="n">
        <v>92101850</v>
      </c>
      <c r="B4206" s="1" t="inlineStr">
        <is>
          <t>Coffee, cafe con leche (Includes beverage made with equal amounts of coffee and milk, sugar added)</t>
        </is>
      </c>
      <c r="C4206" s="1" t="n">
        <v>2</v>
      </c>
      <c r="D4206" s="1" t="inlineStr">
        <is>
          <t>Links to altEC</t>
        </is>
      </c>
      <c r="E4206" s="1" t="inlineStr">
        <is>
          <t>Base</t>
        </is>
      </c>
      <c r="F4206" s="1" t="n">
        <v>0.589658</v>
      </c>
    </row>
    <row r="4207" ht="15.75" customHeight="1" s="201">
      <c r="A4207" s="1" t="n">
        <v>92101900</v>
      </c>
      <c r="B4207" s="1" t="inlineStr">
        <is>
          <t>Coffee, Latte (Includes NS as to regular or decaffeinated; 2% or whole milk; plain or unflavored)</t>
        </is>
      </c>
      <c r="C4207" s="1" t="n">
        <v>2</v>
      </c>
      <c r="D4207" s="1" t="inlineStr">
        <is>
          <t>Links to altEC</t>
        </is>
      </c>
      <c r="E4207" s="1" t="inlineStr">
        <is>
          <t>Base</t>
        </is>
      </c>
      <c r="F4207" s="1" t="n">
        <v>0.589658</v>
      </c>
    </row>
    <row r="4208" ht="15.75" customHeight="1" s="201">
      <c r="A4208" s="1" t="n">
        <v>92101901</v>
      </c>
      <c r="B4208" s="1" t="inlineStr">
        <is>
          <t>Coffee, Latte, nonfat (Includes low fat, fat free, skim or 1% milk; sugar free; plain or unflavored; NS as to regular or decaffeinated)</t>
        </is>
      </c>
      <c r="C4208" s="1" t="n">
        <v>2</v>
      </c>
      <c r="D4208" s="1" t="inlineStr">
        <is>
          <t>Links to altEC</t>
        </is>
      </c>
      <c r="E4208" s="1" t="inlineStr">
        <is>
          <t>Base</t>
        </is>
      </c>
      <c r="F4208" s="1" t="n">
        <v>0.589658</v>
      </c>
    </row>
    <row r="4209" ht="15.75" customHeight="1" s="201">
      <c r="A4209" s="1" t="n">
        <v>92101903</v>
      </c>
      <c r="B4209" s="1" t="inlineStr">
        <is>
          <t>Coffee, Latte, with non-dairy milk (Includes almond, coconut, rice, or soy milk; plain or unflavored; NS as to regular or decaffeinated)</t>
        </is>
      </c>
      <c r="C4209" s="1" t="n">
        <v>1</v>
      </c>
      <c r="D4209" s="1" t="inlineStr">
        <is>
          <t>Links to FNDDS</t>
        </is>
      </c>
      <c r="E4209" s="1" t="inlineStr">
        <is>
          <t>Base</t>
        </is>
      </c>
      <c r="F4209" s="1" t="n">
        <v>0.5208120000000001</v>
      </c>
    </row>
    <row r="4210" ht="15.75" customHeight="1" s="201">
      <c r="A4210" s="1" t="n">
        <v>92101904</v>
      </c>
      <c r="B4210" s="1" t="inlineStr">
        <is>
          <t>Coffee, Latte, flavored (Includes 2% or whole milk; flavors other than chocolate; NS as to regular or decaffeinated)</t>
        </is>
      </c>
      <c r="C4210" s="1" t="n">
        <v>2</v>
      </c>
      <c r="D4210" s="1" t="inlineStr">
        <is>
          <t>Links to altEC</t>
        </is>
      </c>
      <c r="E4210" s="1" t="inlineStr">
        <is>
          <t>Base</t>
        </is>
      </c>
      <c r="F4210" s="1" t="n">
        <v>0.589658</v>
      </c>
    </row>
    <row r="4211" ht="15.75" customHeight="1" s="201">
      <c r="A4211" s="1" t="n">
        <v>92101905</v>
      </c>
      <c r="B4211" s="1" t="inlineStr">
        <is>
          <t>Coffee, Latte, nonfat, flavored (Includes low fat, fat free, skim or 1% milk; flavors other than chocolate; NS as to regular or decaffeinated)</t>
        </is>
      </c>
      <c r="C4211" s="1" t="n">
        <v>2</v>
      </c>
      <c r="D4211" s="1" t="inlineStr">
        <is>
          <t>Links to altEC</t>
        </is>
      </c>
      <c r="E4211" s="1" t="inlineStr">
        <is>
          <t>Base</t>
        </is>
      </c>
      <c r="F4211" s="1" t="n">
        <v>0.589658</v>
      </c>
    </row>
    <row r="4212" ht="15.75" customHeight="1" s="201">
      <c r="A4212" s="1" t="n">
        <v>92101906</v>
      </c>
      <c r="B4212" s="1" t="inlineStr">
        <is>
          <t>Coffee, Latte, with non-dairy milk, flavored (Includes almond, coconut, rice, or soy milk; flavors other than chocolate; NS as to regular or decaffeinated)</t>
        </is>
      </c>
      <c r="C4212" s="1" t="n">
        <v>1</v>
      </c>
      <c r="D4212" s="1" t="inlineStr">
        <is>
          <t>Links to FNDDS</t>
        </is>
      </c>
      <c r="E4212" s="1" t="inlineStr">
        <is>
          <t>Base</t>
        </is>
      </c>
      <c r="F4212" s="1" t="n">
        <v>0.620684</v>
      </c>
    </row>
    <row r="4213" ht="15.75" customHeight="1" s="201">
      <c r="A4213" s="1" t="n">
        <v>92101910</v>
      </c>
      <c r="B4213" s="1" t="inlineStr">
        <is>
          <t>Coffee, Latte, decaffeinated (Includes 2% or whole milk; plain or unflavored)</t>
        </is>
      </c>
      <c r="C4213" s="1" t="n">
        <v>2</v>
      </c>
      <c r="D4213" s="1" t="inlineStr">
        <is>
          <t>Links to altEC</t>
        </is>
      </c>
      <c r="E4213" s="1" t="inlineStr">
        <is>
          <t>Base</t>
        </is>
      </c>
      <c r="F4213" s="1" t="n">
        <v>0.589658</v>
      </c>
    </row>
    <row r="4214" ht="15.75" customHeight="1" s="201">
      <c r="A4214" s="1" t="n">
        <v>92101917</v>
      </c>
      <c r="B4214" s="1" t="inlineStr">
        <is>
          <t>Coffee, Latte, decaffeinated, flavored (Includes 2% or whole milk; flavors other than chocolate)</t>
        </is>
      </c>
      <c r="C4214" s="1" t="n">
        <v>2</v>
      </c>
      <c r="D4214" s="1" t="inlineStr">
        <is>
          <t>Links to altEC</t>
        </is>
      </c>
      <c r="E4214" s="1" t="inlineStr">
        <is>
          <t>Base</t>
        </is>
      </c>
      <c r="F4214" s="1" t="n">
        <v>0.589658</v>
      </c>
    </row>
    <row r="4215" ht="15.75" customHeight="1" s="201">
      <c r="A4215" s="1" t="n">
        <v>92101920</v>
      </c>
      <c r="B4215" s="1" t="inlineStr">
        <is>
          <t>Frozen coffee drink (Includes NS as to regular or decaffeinated; 2% or whole milk; plain, unflavored, or flavors other than chocolate; McDonald's McCafe Frappe; Starbuck's Frappuccino; Dunkin Donut's Coffee Coolatta)</t>
        </is>
      </c>
      <c r="C4215" s="1" t="n">
        <v>1</v>
      </c>
      <c r="D4215" s="1" t="inlineStr">
        <is>
          <t>Links to FNDDS</t>
        </is>
      </c>
      <c r="E4215" s="1" t="inlineStr">
        <is>
          <t>Base</t>
        </is>
      </c>
      <c r="F4215" s="1" t="n">
        <v>0.6543679999999999</v>
      </c>
    </row>
    <row r="4216" ht="15.75" customHeight="1" s="201">
      <c r="A4216" s="1" t="n">
        <v>92101921</v>
      </c>
      <c r="B4216" s="1" t="inlineStr">
        <is>
          <t>Frozen coffee drink, nonfat (Includes low fat, fat free, skim or 1% milk; sugar free; plain, unflavored, or flavors other than chocolate; Starbuck's Skinny Frappuccino; Dunkin Donut's Coffee Coolatta; NS as to regular or decaffeinated)</t>
        </is>
      </c>
      <c r="C4216" s="1" t="n">
        <v>2</v>
      </c>
      <c r="D4216" s="1" t="inlineStr">
        <is>
          <t>Links to altEC</t>
        </is>
      </c>
      <c r="E4216" s="1" t="inlineStr">
        <is>
          <t>Base</t>
        </is>
      </c>
      <c r="F4216" s="1" t="n">
        <v>0.6543679999999999</v>
      </c>
    </row>
    <row r="4217" ht="15.75" customHeight="1" s="201">
      <c r="A4217" s="1" t="n">
        <v>92101925</v>
      </c>
      <c r="B4217" s="1" t="inlineStr">
        <is>
          <t>Frozen coffee drink, with whipped cream (Includes NS as to regular or decaffeinated; NS as to with or without whipped cream; McDonald's McCafe Frappe; Starbuck's Coffee Frappuccino; 2% or whole milk; plain, unflavored, or flavors other than chocolate)</t>
        </is>
      </c>
      <c r="C4217" s="1" t="n">
        <v>2</v>
      </c>
      <c r="D4217" s="1" t="inlineStr">
        <is>
          <t>Links to altEC</t>
        </is>
      </c>
      <c r="E4217" s="1" t="inlineStr">
        <is>
          <t>Base</t>
        </is>
      </c>
      <c r="F4217" s="1" t="n">
        <v>0.6543679999999999</v>
      </c>
    </row>
    <row r="4218" ht="15.75" customHeight="1" s="201">
      <c r="A4218" s="1" t="n">
        <v>92101930</v>
      </c>
      <c r="B4218" s="1" t="inlineStr">
        <is>
          <t>Frozen coffee drink, decaffeinated (Includes 2% or whole milk; plain, unflavored, or flavors other than chocolate; Starbuck's Frappuccino)</t>
        </is>
      </c>
      <c r="C4218" s="1" t="n">
        <v>2</v>
      </c>
      <c r="D4218" s="1" t="inlineStr">
        <is>
          <t>Links to altEC</t>
        </is>
      </c>
      <c r="E4218" s="1" t="inlineStr">
        <is>
          <t>Base</t>
        </is>
      </c>
      <c r="F4218" s="1" t="n">
        <v>0.6543679999999999</v>
      </c>
    </row>
    <row r="4219" ht="15.75" customHeight="1" s="201">
      <c r="A4219" s="1" t="n">
        <v>92101950</v>
      </c>
      <c r="B4219" s="1" t="inlineStr">
        <is>
          <t>Coffee, Cafe Mocha (Includes mocha latte; 2% or whole milk; chocolate flavored; NS as to regular or decaffeinated)</t>
        </is>
      </c>
      <c r="C4219" s="1" t="n">
        <v>1</v>
      </c>
      <c r="D4219" s="1" t="inlineStr">
        <is>
          <t>Links to FNDDS</t>
        </is>
      </c>
      <c r="E4219" s="1" t="inlineStr">
        <is>
          <t>Base</t>
        </is>
      </c>
      <c r="F4219" s="1" t="n">
        <v>0.909796</v>
      </c>
    </row>
    <row r="4220" ht="15.75" customHeight="1" s="201">
      <c r="A4220" s="1" t="n">
        <v>92101955</v>
      </c>
      <c r="B4220" s="1" t="inlineStr">
        <is>
          <t>Coffee, Cafe Mocha, nonfat (Includes mocha latte; low fat, fat, free, skim or 1% milk; chocolate flavored; NS as to regular or decaffeinated)</t>
        </is>
      </c>
      <c r="C4220" s="1" t="n">
        <v>2</v>
      </c>
      <c r="D4220" s="1" t="inlineStr">
        <is>
          <t>Links to altEC</t>
        </is>
      </c>
      <c r="E4220" s="1" t="inlineStr">
        <is>
          <t>Base</t>
        </is>
      </c>
      <c r="F4220" s="1" t="n">
        <v>0.909796</v>
      </c>
    </row>
    <row r="4221" ht="15.75" customHeight="1" s="201">
      <c r="A4221" s="1" t="n">
        <v>92101960</v>
      </c>
      <c r="B4221" s="1" t="inlineStr">
        <is>
          <t>Coffee, Cafe Mocha, with non-dairy milk (Includes mocha latte; chocolate flavored; NS as to regular or decaffeinated)</t>
        </is>
      </c>
      <c r="C4221" s="1" t="n">
        <v>1</v>
      </c>
      <c r="D4221" s="1" t="inlineStr">
        <is>
          <t>Links to FNDDS</t>
        </is>
      </c>
      <c r="E4221" s="1" t="inlineStr">
        <is>
          <t>Base</t>
        </is>
      </c>
      <c r="F4221" s="1" t="n">
        <v>0.325962</v>
      </c>
    </row>
    <row r="4222" ht="15.75" customHeight="1" s="201">
      <c r="A4222" s="1" t="n">
        <v>92101965</v>
      </c>
      <c r="B4222" s="1" t="inlineStr">
        <is>
          <t>Coffee, Cafe Mocha, decaffeinated (Includes mocha latte; 2% or whole milk; chocolate flavored)</t>
        </is>
      </c>
      <c r="C4222" s="1" t="n">
        <v>2</v>
      </c>
      <c r="D4222" s="1" t="inlineStr">
        <is>
          <t>Links to altEC</t>
        </is>
      </c>
      <c r="E4222" s="1" t="inlineStr">
        <is>
          <t>Base</t>
        </is>
      </c>
      <c r="F4222" s="1" t="n">
        <v>0.909796</v>
      </c>
    </row>
    <row r="4223" ht="15.75" customHeight="1" s="201">
      <c r="A4223" s="1" t="n">
        <v>92102000</v>
      </c>
      <c r="B4223" s="1" t="inlineStr">
        <is>
          <t>Frozen mocha coffee drink (Includes 2% or whole milk; chocolate or cocoa flavored; McDonald's McCafe Frappe Mocha; Starbuck's Mocha Frappuccino; NS as to regular or decaffeinated)</t>
        </is>
      </c>
      <c r="C4223" s="1" t="n">
        <v>2</v>
      </c>
      <c r="D4223" s="1" t="inlineStr">
        <is>
          <t>Links to altEC</t>
        </is>
      </c>
      <c r="E4223" s="1" t="inlineStr">
        <is>
          <t>Base</t>
        </is>
      </c>
      <c r="F4223" s="1" t="n">
        <v>0.6543679999999999</v>
      </c>
    </row>
    <row r="4224" ht="15.75" customHeight="1" s="201">
      <c r="A4224" s="1" t="n">
        <v>92102020</v>
      </c>
      <c r="B4224" s="1" t="inlineStr">
        <is>
          <t>Frozen mocha coffee drink, with non-dairy milk (Includes almond, coconut, rice, or soy milk; chocolate or cocoa flavored; NS as to regular or decaffeinated)</t>
        </is>
      </c>
      <c r="C4224" s="1" t="n">
        <v>2</v>
      </c>
      <c r="D4224" s="1" t="inlineStr">
        <is>
          <t>Links to altEC</t>
        </is>
      </c>
      <c r="E4224" s="1" t="inlineStr">
        <is>
          <t>Base</t>
        </is>
      </c>
      <c r="F4224" s="1" t="n">
        <v>0.325962</v>
      </c>
    </row>
    <row r="4225" ht="15.75" customHeight="1" s="201">
      <c r="A4225" s="1" t="n">
        <v>92102030</v>
      </c>
      <c r="B4225" s="1" t="inlineStr">
        <is>
          <t>Frozen mocha coffee drink, with whipped cream (Includes 2% or whole milk; NS as to with or without whipped cream; chocolate or cocoa flavored; McDonald's McCafe Frappe Mocha; Starbuck's Mocha Frappuccino; NS as to regular or decaffeinated)</t>
        </is>
      </c>
      <c r="C4225" s="1" t="n">
        <v>2</v>
      </c>
      <c r="D4225" s="1" t="inlineStr">
        <is>
          <t>Links to altEC</t>
        </is>
      </c>
      <c r="E4225" s="1" t="inlineStr">
        <is>
          <t>Base</t>
        </is>
      </c>
      <c r="F4225" s="1" t="n">
        <v>0.909796</v>
      </c>
    </row>
    <row r="4226" ht="15.75" customHeight="1" s="201">
      <c r="A4226" s="1" t="n">
        <v>92102040</v>
      </c>
      <c r="B4226" s="1" t="inlineStr">
        <is>
          <t>Frozen mocha coffee drink, nonfat, with whipped cream (Includes low fat, fat free, skim or 1% milk; sugar free; NS as to with or without whipped cream; chocolate or cocoa flavored; Starbuck's Skinny Mocha Frappuccino; NS as to regular or decaffeinated)</t>
        </is>
      </c>
      <c r="C4226" s="1" t="n">
        <v>2</v>
      </c>
      <c r="D4226" s="1" t="inlineStr">
        <is>
          <t>Links to altEC</t>
        </is>
      </c>
      <c r="E4226" s="1" t="inlineStr">
        <is>
          <t>Base</t>
        </is>
      </c>
      <c r="F4226" s="1" t="n">
        <v>0.909796</v>
      </c>
    </row>
    <row r="4227" ht="15.75" customHeight="1" s="201">
      <c r="A4227" s="1" t="n">
        <v>92102400</v>
      </c>
      <c r="B4227" s="1" t="inlineStr">
        <is>
          <t>Iced Coffee, brewed (Includes unsweetened; coffee singles, bags, pods, or K-cups; NS as to regular or decaffeinated)</t>
        </is>
      </c>
      <c r="C4227" s="1" t="n">
        <v>2</v>
      </c>
      <c r="D4227" s="1" t="inlineStr">
        <is>
          <t>Links to altEC</t>
        </is>
      </c>
      <c r="E4227" s="1" t="inlineStr">
        <is>
          <t>Base</t>
        </is>
      </c>
      <c r="F4227" s="1" t="n">
        <v>0.051018</v>
      </c>
    </row>
    <row r="4228" ht="15.75" customHeight="1" s="201">
      <c r="A4228" s="1" t="n">
        <v>92102450</v>
      </c>
      <c r="B4228" s="1" t="inlineStr">
        <is>
          <t>Iced Coffee, pre-lightened and pre-sweetened (Includes from vending; McDonald's Iced Coffee; beverage dispensers; NS as to regular or decaffeinated)</t>
        </is>
      </c>
      <c r="C4228" s="1" t="n">
        <v>2</v>
      </c>
      <c r="D4228" s="1" t="inlineStr">
        <is>
          <t>Links to altEC</t>
        </is>
      </c>
      <c r="E4228" s="1" t="inlineStr">
        <is>
          <t>Base</t>
        </is>
      </c>
      <c r="F4228" s="1" t="n">
        <v>0.468239</v>
      </c>
    </row>
    <row r="4229" ht="15.75" customHeight="1" s="201">
      <c r="A4229" s="1" t="n">
        <v>92102500</v>
      </c>
      <c r="B4229" s="1" t="inlineStr">
        <is>
          <t>Coffee, Iced Latte (Includes 2% or whole milk; plain or unflavored; NS as to regular or decaffeinated)</t>
        </is>
      </c>
      <c r="C4229" s="1" t="n">
        <v>2</v>
      </c>
      <c r="D4229" s="1" t="inlineStr">
        <is>
          <t>Links to altEC</t>
        </is>
      </c>
      <c r="E4229" s="1" t="inlineStr">
        <is>
          <t>Base</t>
        </is>
      </c>
      <c r="F4229" s="1" t="n">
        <v>0.589658</v>
      </c>
    </row>
    <row r="4230" ht="15.75" customHeight="1" s="201">
      <c r="A4230" s="1" t="n">
        <v>92102501</v>
      </c>
      <c r="B4230" s="1" t="inlineStr">
        <is>
          <t>Coffee, Iced Latte, nonfat (Includes low fat, fat free, skim or 1% milk; sugar free; plain or unflavored; NS as to regular or decaffeinated)</t>
        </is>
      </c>
      <c r="C4230" s="1" t="n">
        <v>2</v>
      </c>
      <c r="D4230" s="1" t="inlineStr">
        <is>
          <t>Links to altEC</t>
        </is>
      </c>
      <c r="E4230" s="1" t="inlineStr">
        <is>
          <t>Base</t>
        </is>
      </c>
      <c r="F4230" s="1" t="n">
        <v>0.589658</v>
      </c>
    </row>
    <row r="4231" ht="15.75" customHeight="1" s="201">
      <c r="A4231" s="1" t="n">
        <v>92102503</v>
      </c>
      <c r="B4231" s="1" t="inlineStr">
        <is>
          <t>Coffee, Iced Latte, flavored (Includes 2% or whole milk; flavors other than chocolate; NS as to regular or decaffeinated)</t>
        </is>
      </c>
      <c r="C4231" s="1" t="n">
        <v>2</v>
      </c>
      <c r="D4231" s="1" t="inlineStr">
        <is>
          <t>Links to altEC</t>
        </is>
      </c>
      <c r="E4231" s="1" t="inlineStr">
        <is>
          <t>Base</t>
        </is>
      </c>
      <c r="F4231" s="1" t="n">
        <v>0.589658</v>
      </c>
    </row>
    <row r="4232" ht="15.75" customHeight="1" s="201">
      <c r="A4232" s="1" t="n">
        <v>92102600</v>
      </c>
      <c r="B4232" s="1" t="inlineStr">
        <is>
          <t>Coffee, Iced Cafe Mocha (Includes iced mocha latte; 2% or whole milk; chocolate flavored; NS as to regular or decaffeinated)</t>
        </is>
      </c>
      <c r="C4232" s="1" t="n">
        <v>2</v>
      </c>
      <c r="D4232" s="1" t="inlineStr">
        <is>
          <t>Links to altEC</t>
        </is>
      </c>
      <c r="E4232" s="1" t="inlineStr">
        <is>
          <t>Base</t>
        </is>
      </c>
      <c r="F4232" s="1" t="n">
        <v>0.909796</v>
      </c>
    </row>
    <row r="4233" ht="15.75" customHeight="1" s="201">
      <c r="A4233" s="1" t="n">
        <v>92102602</v>
      </c>
      <c r="B4233" s="1" t="inlineStr">
        <is>
          <t>Coffee, Iced Cafe Mocha, with non-dairy milk (Includes almond, coconut, rice, or soy milk; mocha latte; chocolate flavored; NS as to regular or decaffeinated)</t>
        </is>
      </c>
      <c r="C4233" s="1" t="n">
        <v>2</v>
      </c>
      <c r="D4233" s="1" t="inlineStr">
        <is>
          <t>Links to altEC</t>
        </is>
      </c>
      <c r="E4233" s="1" t="inlineStr">
        <is>
          <t>Base</t>
        </is>
      </c>
      <c r="F4233" s="1" t="n">
        <v>0.325962</v>
      </c>
    </row>
    <row r="4234" ht="15.75" customHeight="1" s="201">
      <c r="A4234" s="1" t="n">
        <v>92103000</v>
      </c>
      <c r="B4234" s="1" t="inlineStr">
        <is>
          <t>Coffee, instant, reconstituted (Includes powdered mix; NS as to regular or decaffeinated; made from liquid concentrate)</t>
        </is>
      </c>
      <c r="C4234" s="1" t="n">
        <v>2</v>
      </c>
      <c r="D4234" s="1" t="inlineStr">
        <is>
          <t>Links to altEC</t>
        </is>
      </c>
      <c r="E4234" s="1" t="inlineStr">
        <is>
          <t>Base</t>
        </is>
      </c>
      <c r="F4234" s="1" t="n">
        <v>0.024862</v>
      </c>
    </row>
    <row r="4235" ht="15.75" customHeight="1" s="201">
      <c r="A4235" s="1" t="n">
        <v>92111000</v>
      </c>
      <c r="B4235" s="1" t="inlineStr">
        <is>
          <t>Coffee, NS as to brewed or instant, decaffeinated (Includes coffee singles, bags, pods, or K-cups)</t>
        </is>
      </c>
      <c r="C4235" s="1" t="n">
        <v>2</v>
      </c>
      <c r="D4235" s="1" t="inlineStr">
        <is>
          <t>Links to altEC</t>
        </is>
      </c>
      <c r="E4235" s="1" t="inlineStr">
        <is>
          <t>Base</t>
        </is>
      </c>
      <c r="F4235" s="1" t="n">
        <v>0.064181</v>
      </c>
    </row>
    <row r="4236" ht="15.75" customHeight="1" s="201">
      <c r="A4236" s="1" t="n">
        <v>92111010</v>
      </c>
      <c r="B4236" s="1" t="inlineStr">
        <is>
          <t>Coffee, brewed, decaffeinated (Includes coffee singles, bags, pods, or K-cups)</t>
        </is>
      </c>
      <c r="C4236" s="1" t="n">
        <v>1</v>
      </c>
      <c r="D4236" s="1" t="inlineStr">
        <is>
          <t>Links to FNDDS</t>
        </is>
      </c>
      <c r="E4236" s="1" t="inlineStr">
        <is>
          <t>Base</t>
        </is>
      </c>
      <c r="F4236" s="1" t="n">
        <v>0.064181</v>
      </c>
    </row>
    <row r="4237" ht="15.75" customHeight="1" s="201">
      <c r="A4237" s="1" t="n">
        <v>92114000</v>
      </c>
      <c r="B4237" s="1" t="inlineStr">
        <is>
          <t>Coffee, instant, decaffeinated, reconstituted (Includes powdered mix)</t>
        </is>
      </c>
      <c r="C4237" s="1" t="n">
        <v>2</v>
      </c>
      <c r="D4237" s="1" t="inlineStr">
        <is>
          <t>Links to altEC</t>
        </is>
      </c>
      <c r="E4237" s="1" t="inlineStr">
        <is>
          <t>Base</t>
        </is>
      </c>
      <c r="F4237" s="1" t="n">
        <v>0.035239</v>
      </c>
    </row>
    <row r="4238" ht="15.75" customHeight="1" s="201">
      <c r="A4238" s="1" t="n">
        <v>92121000</v>
      </c>
      <c r="B4238" s="1" t="inlineStr">
        <is>
          <t>Coffee, instant, pre-lightened and pre-sweetened with sugar, reconstituted (Includes powdered mix; NS as to sweetener; Maxwell House International, flavors other than chocolate, cocoa, or mocha)</t>
        </is>
      </c>
      <c r="C4238" s="1" t="n">
        <v>2</v>
      </c>
      <c r="D4238" s="1" t="inlineStr">
        <is>
          <t>Links to altEC</t>
        </is>
      </c>
      <c r="E4238" s="1" t="inlineStr">
        <is>
          <t>Base</t>
        </is>
      </c>
      <c r="F4238" s="1" t="n">
        <v>0.112255</v>
      </c>
    </row>
    <row r="4239" ht="15.75" customHeight="1" s="201">
      <c r="A4239" s="1" t="n">
        <v>92121001</v>
      </c>
      <c r="B4239" s="1" t="inlineStr">
        <is>
          <t>Coffee, instant, decaffeinated, pre-lightened and pre-sweetened with sugar, reconsitituted (Includes powdered mix; Maxwell House International, flavors other than chocolate, cocoa, or mocha)</t>
        </is>
      </c>
      <c r="C4239" s="1" t="n">
        <v>2</v>
      </c>
      <c r="D4239" s="1" t="inlineStr">
        <is>
          <t>Links to altEC</t>
        </is>
      </c>
      <c r="E4239" s="1" t="inlineStr">
        <is>
          <t>Base</t>
        </is>
      </c>
      <c r="F4239" s="1" t="n">
        <v>0.15959</v>
      </c>
    </row>
    <row r="4240" ht="15.75" customHeight="1" s="201">
      <c r="A4240" s="1" t="n">
        <v>92121010</v>
      </c>
      <c r="B4240" s="1" t="inlineStr">
        <is>
          <t>Coffee, instant, pre-sweetened with sugar, reconstituted (Includes powdered mix; NS as to sweetener)</t>
        </is>
      </c>
      <c r="C4240" s="1" t="n">
        <v>2</v>
      </c>
      <c r="D4240" s="1" t="inlineStr">
        <is>
          <t>Links to altEC</t>
        </is>
      </c>
      <c r="E4240" s="1" t="inlineStr">
        <is>
          <t>Base</t>
        </is>
      </c>
      <c r="F4240" s="1" t="n">
        <v>0.160119</v>
      </c>
    </row>
    <row r="4241" ht="15.75" customHeight="1" s="201">
      <c r="A4241" s="1" t="n">
        <v>92121040</v>
      </c>
      <c r="B4241" s="1" t="inlineStr">
        <is>
          <t>Coffee, instant, pre-lightened and pre-sweetened with low calorie sweetener, reconstituted (Includes powdered mix; sugar free; Maxwell House International Sugar Free Coffee; flavors other than chocolate, cocoa, or mocha)</t>
        </is>
      </c>
      <c r="C4241" s="1" t="n">
        <v>2</v>
      </c>
      <c r="D4241" s="1" t="inlineStr">
        <is>
          <t>Links to altEC</t>
        </is>
      </c>
      <c r="E4241" s="1" t="inlineStr">
        <is>
          <t>Base</t>
        </is>
      </c>
      <c r="F4241" s="1" t="n">
        <v>0.977704</v>
      </c>
    </row>
    <row r="4242" ht="15.75" customHeight="1" s="201">
      <c r="A4242" s="1" t="n">
        <v>92121041</v>
      </c>
      <c r="B4242" s="1" t="inlineStr">
        <is>
          <t>Coffee, instant, decaffeinated, pre-lightened and pre-sweetened with low calorie sweetener, reconstituted (Includes powdered mix; sugar free; Maxwell House International Sugar Free Coffee; flavors other than chocolate, cocoa, or mocha)</t>
        </is>
      </c>
      <c r="C4242" s="1" t="n">
        <v>2</v>
      </c>
      <c r="D4242" s="1" t="inlineStr">
        <is>
          <t>Links to altEC</t>
        </is>
      </c>
      <c r="E4242" s="1" t="inlineStr">
        <is>
          <t>Base</t>
        </is>
      </c>
      <c r="F4242" s="1" t="n">
        <v>0.079795</v>
      </c>
    </row>
    <row r="4243" ht="15.75" customHeight="1" s="201">
      <c r="A4243" s="1" t="n">
        <v>92130000</v>
      </c>
      <c r="B4243" s="1" t="inlineStr">
        <is>
          <t>Coffee, pre-lightened and pre-sweetened with sugar (Includes from vending machine; NS as to regular or decaffeinated; NS as to type of sweetener)</t>
        </is>
      </c>
      <c r="C4243" s="1" t="n">
        <v>2</v>
      </c>
      <c r="D4243" s="1" t="inlineStr">
        <is>
          <t>Links to altEC</t>
        </is>
      </c>
      <c r="E4243" s="1" t="inlineStr">
        <is>
          <t>Base</t>
        </is>
      </c>
      <c r="F4243" s="1" t="n">
        <v>0.468239</v>
      </c>
    </row>
    <row r="4244" ht="15.75" customHeight="1" s="201">
      <c r="A4244" s="1" t="n">
        <v>92130010</v>
      </c>
      <c r="B4244" s="1" t="inlineStr">
        <is>
          <t>Coffee, pre-lightened (Includes from vending machine; NS as to regular or decaffeinated; unsweetened or sugar-free)</t>
        </is>
      </c>
      <c r="C4244" s="1" t="n">
        <v>2</v>
      </c>
      <c r="D4244" s="1" t="inlineStr">
        <is>
          <t>Links to altEC</t>
        </is>
      </c>
      <c r="E4244" s="1" t="inlineStr">
        <is>
          <t>Base</t>
        </is>
      </c>
      <c r="F4244" s="1" t="n">
        <v>0.468239</v>
      </c>
    </row>
    <row r="4245" ht="15.75" customHeight="1" s="201">
      <c r="A4245" s="1" t="n">
        <v>92130011</v>
      </c>
      <c r="B4245" s="1" t="inlineStr">
        <is>
          <t>Coffee, decaffeinated, pre-lightened (Includes from vending machine; unsweetened or sugar-free)</t>
        </is>
      </c>
      <c r="C4245" s="1" t="n">
        <v>2</v>
      </c>
      <c r="D4245" s="1" t="inlineStr">
        <is>
          <t>Links to altEC</t>
        </is>
      </c>
      <c r="E4245" s="1" t="inlineStr">
        <is>
          <t>Base</t>
        </is>
      </c>
      <c r="F4245" s="1" t="n">
        <v>0.468239</v>
      </c>
    </row>
    <row r="4246" ht="15.75" customHeight="1" s="201">
      <c r="A4246" s="1" t="n">
        <v>92130020</v>
      </c>
      <c r="B4246" s="1" t="inlineStr">
        <is>
          <t>Coffee, pre-sweetened with sugar (Includes from vending machine; NS as to regular or decaffeinated; NS as to type of sweetener)</t>
        </is>
      </c>
      <c r="C4246" s="1" t="n">
        <v>2</v>
      </c>
      <c r="D4246" s="1" t="inlineStr">
        <is>
          <t>Links to altEC</t>
        </is>
      </c>
      <c r="E4246" s="1" t="inlineStr">
        <is>
          <t>Base</t>
        </is>
      </c>
      <c r="F4246" s="1" t="n">
        <v>0.468239</v>
      </c>
    </row>
    <row r="4247" ht="15.75" customHeight="1" s="201">
      <c r="A4247" s="1" t="n">
        <v>92130021</v>
      </c>
      <c r="B4247" s="1" t="inlineStr">
        <is>
          <t>Coffee, decaffeinated, pre-sweetened with sugar (Includes from vending machine; NS as to type of sweetener)</t>
        </is>
      </c>
      <c r="C4247" s="1" t="n">
        <v>2</v>
      </c>
      <c r="D4247" s="1" t="inlineStr">
        <is>
          <t>Links to altEC</t>
        </is>
      </c>
      <c r="E4247" s="1" t="inlineStr">
        <is>
          <t>Base</t>
        </is>
      </c>
      <c r="F4247" s="1" t="n">
        <v>0.468239</v>
      </c>
    </row>
    <row r="4248" ht="15.75" customHeight="1" s="201">
      <c r="A4248" s="1" t="n">
        <v>92130030</v>
      </c>
      <c r="B4248" s="1" t="inlineStr">
        <is>
          <t>Coffee, pre-sweetened with low calorie sweetener (Includes from vending machine; NS as to regular or decaffeinated)</t>
        </is>
      </c>
      <c r="C4248" s="1" t="n">
        <v>2</v>
      </c>
      <c r="D4248" s="1" t="inlineStr">
        <is>
          <t>Links to altEC</t>
        </is>
      </c>
      <c r="E4248" s="1" t="inlineStr">
        <is>
          <t>Base</t>
        </is>
      </c>
      <c r="F4248" s="1" t="n">
        <v>0.468239</v>
      </c>
    </row>
    <row r="4249" ht="15.75" customHeight="1" s="201">
      <c r="A4249" s="1" t="n">
        <v>92130031</v>
      </c>
      <c r="B4249" s="1" t="inlineStr">
        <is>
          <t>Coffee, decaffeinated, pre-sweetened with low calorie sweetener (Includes from vending machine)</t>
        </is>
      </c>
      <c r="C4249" s="1" t="n">
        <v>2</v>
      </c>
      <c r="D4249" s="1" t="inlineStr">
        <is>
          <t>Links to altEC</t>
        </is>
      </c>
      <c r="E4249" s="1" t="inlineStr">
        <is>
          <t>Base</t>
        </is>
      </c>
      <c r="F4249" s="1" t="n">
        <v>0.468239</v>
      </c>
    </row>
    <row r="4250" ht="15.75" customHeight="1" s="201">
      <c r="A4250" s="1" t="n">
        <v>92152000</v>
      </c>
      <c r="B4250" s="1" t="inlineStr">
        <is>
          <t>Coffee and chicory, brewed</t>
        </is>
      </c>
      <c r="C4250" s="1" t="n">
        <v>1</v>
      </c>
      <c r="D4250" s="1" t="inlineStr">
        <is>
          <t>Links to FNDDS</t>
        </is>
      </c>
      <c r="E4250" s="1" t="inlineStr">
        <is>
          <t>Base</t>
        </is>
      </c>
      <c r="F4250" s="1" t="n">
        <v>0.048033</v>
      </c>
    </row>
    <row r="4251" ht="15.75" customHeight="1" s="201">
      <c r="A4251" s="1" t="n">
        <v>92161000</v>
      </c>
      <c r="B4251" s="1" t="inlineStr">
        <is>
          <t>Coffee, Cappuccino (Includes 2% or whole milk; NS as to regular or decaffeinated)</t>
        </is>
      </c>
      <c r="C4251" s="1" t="n">
        <v>2</v>
      </c>
      <c r="D4251" s="1" t="inlineStr">
        <is>
          <t>Links to altEC</t>
        </is>
      </c>
      <c r="E4251" s="1" t="inlineStr">
        <is>
          <t>Base</t>
        </is>
      </c>
      <c r="F4251" s="1" t="n">
        <v>0.5992729999999999</v>
      </c>
    </row>
    <row r="4252" ht="15.75" customHeight="1" s="201">
      <c r="A4252" s="1" t="n">
        <v>92161001</v>
      </c>
      <c r="B4252" s="1" t="inlineStr">
        <is>
          <t>Coffee, Cappuccino, nonfat (Includes low fat, fat free, skim or 1% milk; NS as to regular or decaffeinated)</t>
        </is>
      </c>
      <c r="C4252" s="1" t="n">
        <v>2</v>
      </c>
      <c r="D4252" s="1" t="inlineStr">
        <is>
          <t>Links to altEC</t>
        </is>
      </c>
      <c r="E4252" s="1" t="inlineStr">
        <is>
          <t>Base</t>
        </is>
      </c>
      <c r="F4252" s="1" t="n">
        <v>0.5992729999999999</v>
      </c>
    </row>
    <row r="4253" ht="15.75" customHeight="1" s="201">
      <c r="A4253" s="1" t="n">
        <v>92161002</v>
      </c>
      <c r="B4253" s="1" t="inlineStr">
        <is>
          <t>Coffee, Cappuccino, with non-dairy milk (Includes NS as to regular or decaffeinated; almond, coconut, rice, or soy milk)</t>
        </is>
      </c>
      <c r="C4253" s="1" t="n">
        <v>1</v>
      </c>
      <c r="D4253" s="1" t="inlineStr">
        <is>
          <t>Links to FNDDS</t>
        </is>
      </c>
      <c r="E4253" s="1" t="inlineStr">
        <is>
          <t>Base</t>
        </is>
      </c>
      <c r="F4253" s="1" t="n">
        <v>0.864059</v>
      </c>
    </row>
    <row r="4254" ht="15.75" customHeight="1" s="201">
      <c r="A4254" s="1" t="n">
        <v>92162000</v>
      </c>
      <c r="B4254" s="1" t="inlineStr">
        <is>
          <t>Coffee, Cappuccino, decaffeinated (Includes 2% or whole milk)</t>
        </is>
      </c>
      <c r="C4254" s="1" t="n">
        <v>2</v>
      </c>
      <c r="D4254" s="1" t="inlineStr">
        <is>
          <t>Links to altEC</t>
        </is>
      </c>
      <c r="E4254" s="1" t="inlineStr">
        <is>
          <t>Base</t>
        </is>
      </c>
      <c r="F4254" s="1" t="n">
        <v>0.5992729999999999</v>
      </c>
    </row>
    <row r="4255" ht="15.75" customHeight="1" s="201">
      <c r="A4255" s="1" t="n">
        <v>92162001</v>
      </c>
      <c r="B4255" s="1" t="inlineStr">
        <is>
          <t>Coffee, Cappuccino, decaffeinated, nonfat (Includes low fat, fat free, skim or 1% milk)</t>
        </is>
      </c>
      <c r="C4255" s="1" t="n">
        <v>2</v>
      </c>
      <c r="D4255" s="1" t="inlineStr">
        <is>
          <t>Links to altEC</t>
        </is>
      </c>
      <c r="E4255" s="1" t="inlineStr">
        <is>
          <t>Base</t>
        </is>
      </c>
      <c r="F4255" s="1" t="n">
        <v>0.5992729999999999</v>
      </c>
    </row>
    <row r="4256" ht="15.75" customHeight="1" s="201">
      <c r="A4256" s="1" t="n">
        <v>92171000</v>
      </c>
      <c r="B4256" s="1" t="inlineStr">
        <is>
          <t>Coffee, bottled/canned (Includes NS as to brand or variety; from carton; all flavors; all brands; all varieties)</t>
        </is>
      </c>
      <c r="C4256" s="1" t="n">
        <v>2</v>
      </c>
      <c r="D4256" s="1" t="inlineStr">
        <is>
          <t>Links to altEC</t>
        </is>
      </c>
      <c r="E4256" s="1" t="inlineStr">
        <is>
          <t>Base</t>
        </is>
      </c>
      <c r="F4256" s="1" t="n">
        <v>0.471031</v>
      </c>
    </row>
    <row r="4257" ht="15.75" customHeight="1" s="201">
      <c r="A4257" s="1" t="n">
        <v>92171010</v>
      </c>
      <c r="B4257" s="1" t="inlineStr">
        <is>
          <t>Coffee, bottled/canned, light (Includes NS as to brand or variety; from carton; all flavors; all brands; all varieties)</t>
        </is>
      </c>
      <c r="C4257" s="1" t="n">
        <v>1</v>
      </c>
      <c r="D4257" s="1" t="inlineStr">
        <is>
          <t>Links to FNDDS</t>
        </is>
      </c>
      <c r="E4257" s="1" t="inlineStr">
        <is>
          <t>Base</t>
        </is>
      </c>
      <c r="F4257" s="1" t="n">
        <v>0.508617</v>
      </c>
    </row>
    <row r="4258" ht="15.75" customHeight="1" s="201">
      <c r="A4258" s="1" t="n">
        <v>92191100</v>
      </c>
      <c r="B4258" s="1" t="inlineStr">
        <is>
          <t>Coffee, instant, not reconstituted (Includes powdered mix; NS as to regular or decaffeinated; liquid concentrate)</t>
        </is>
      </c>
      <c r="C4258" s="1" t="n">
        <v>1</v>
      </c>
      <c r="D4258" s="1" t="inlineStr">
        <is>
          <t>Links to FNDDS</t>
        </is>
      </c>
      <c r="E4258" s="1" t="inlineStr">
        <is>
          <t>Base</t>
        </is>
      </c>
      <c r="F4258" s="1" t="n">
        <v>3.107708</v>
      </c>
    </row>
    <row r="4259" ht="15.75" customHeight="1" s="201">
      <c r="A4259" s="1" t="n">
        <v>92302000</v>
      </c>
      <c r="B4259" s="1" t="inlineStr">
        <is>
          <t>Tea, hot, leaf, black (Includes tea bags; spiced, lemon- or other fruit-flavored tea; unsweetened; brewed; chai tea; black tea blends; tea, NS as to type)</t>
        </is>
      </c>
      <c r="C4259" s="1" t="n">
        <v>1</v>
      </c>
      <c r="D4259" s="1" t="inlineStr">
        <is>
          <t>Links to FNDDS</t>
        </is>
      </c>
      <c r="E4259" s="1" t="inlineStr">
        <is>
          <t>Base</t>
        </is>
      </c>
      <c r="F4259" s="1" t="n">
        <v>0.04352</v>
      </c>
    </row>
    <row r="4260" ht="15.75" customHeight="1" s="201">
      <c r="A4260" s="1" t="n">
        <v>92302500</v>
      </c>
      <c r="B4260" s="1" t="inlineStr">
        <is>
          <t>Tea, hot, leaf, black, decaffeinated (Includes spiced, lemon- or other fruit-flavored tea; unsweetened; tea bags; brewed; chai tea; black tea blends)</t>
        </is>
      </c>
      <c r="C4260" s="1" t="n">
        <v>1</v>
      </c>
      <c r="D4260" s="1" t="inlineStr">
        <is>
          <t>Links to FNDDS</t>
        </is>
      </c>
      <c r="E4260" s="1" t="inlineStr">
        <is>
          <t>Base</t>
        </is>
      </c>
      <c r="F4260" s="1" t="n">
        <v>0.066784</v>
      </c>
    </row>
    <row r="4261" ht="15.75" customHeight="1" s="201">
      <c r="A4261" s="1" t="n">
        <v>92303010</v>
      </c>
      <c r="B4261" s="1" t="inlineStr">
        <is>
          <t>Tea, hot, leaf, green (Includes unsweetened; tea bags; brewed; Japanese green tea; green tea blends)</t>
        </is>
      </c>
      <c r="C4261" s="1" t="n">
        <v>1</v>
      </c>
      <c r="D4261" s="1" t="inlineStr">
        <is>
          <t>Links to FNDDS</t>
        </is>
      </c>
      <c r="E4261" s="1" t="inlineStr">
        <is>
          <t>Base</t>
        </is>
      </c>
      <c r="F4261" s="1" t="n">
        <v>0.120869</v>
      </c>
    </row>
    <row r="4262" ht="15.75" customHeight="1" s="201">
      <c r="A4262" s="1" t="n">
        <v>92303100</v>
      </c>
      <c r="B4262" s="1" t="inlineStr">
        <is>
          <t>Tea, hot, leaf, green, decaffeinated (Includes unsweetened; tea bags; brewed; white tea; Japanese green tea; green tea blends; rice tea)</t>
        </is>
      </c>
      <c r="C4262" s="1" t="n">
        <v>1</v>
      </c>
      <c r="D4262" s="1" t="inlineStr">
        <is>
          <t>Links to FNDDS</t>
        </is>
      </c>
      <c r="E4262" s="1" t="inlineStr">
        <is>
          <t>Base</t>
        </is>
      </c>
      <c r="F4262" s="1" t="n">
        <v>0.117409</v>
      </c>
    </row>
    <row r="4263" ht="15.75" customHeight="1" s="201">
      <c r="A4263" s="1" t="n">
        <v>92304100</v>
      </c>
      <c r="B4263" s="1" t="inlineStr">
        <is>
          <t>Tea, hot, leaf, oolong (Includes unsweetened; tea bags; brewed)</t>
        </is>
      </c>
      <c r="C4263" s="1" t="n">
        <v>1</v>
      </c>
      <c r="D4263" s="1" t="inlineStr">
        <is>
          <t>Links to FNDDS</t>
        </is>
      </c>
      <c r="E4263" s="1" t="inlineStr">
        <is>
          <t>Base</t>
        </is>
      </c>
      <c r="F4263" s="1" t="n">
        <v>0.134837</v>
      </c>
    </row>
    <row r="4264" ht="15.75" customHeight="1" s="201">
      <c r="A4264" s="1" t="n">
        <v>92305010</v>
      </c>
      <c r="B4264" s="1" t="inlineStr">
        <is>
          <t>Tea, iced, instant, black, unsweetened (Includes powdered mix; liquid concentrate; black and fruit, green, herbal, white, or other tea blends; NS as to type of tea)</t>
        </is>
      </c>
      <c r="C4264" s="1" t="n">
        <v>2</v>
      </c>
      <c r="D4264" s="1" t="inlineStr">
        <is>
          <t>Links to altEC</t>
        </is>
      </c>
      <c r="E4264" s="1" t="inlineStr">
        <is>
          <t>Base</t>
        </is>
      </c>
      <c r="F4264" s="1" t="n">
        <v>0.048357</v>
      </c>
    </row>
    <row r="4265" ht="15.75" customHeight="1" s="201">
      <c r="A4265" s="1" t="n">
        <v>92305040</v>
      </c>
      <c r="B4265" s="1" t="inlineStr">
        <is>
          <t>Tea, iced, instant, black, pre-sweetened with sugar (Includes powdered mix; liquid concentrate; NS as to sweetener; sweet tea; black and fruit, green, herbal, white, or other tea blends; NS as to type of tea)</t>
        </is>
      </c>
      <c r="C4265" s="1" t="n">
        <v>1</v>
      </c>
      <c r="D4265" s="1" t="inlineStr">
        <is>
          <t>Links to FNDDS</t>
        </is>
      </c>
      <c r="E4265" s="1" t="inlineStr">
        <is>
          <t>Base</t>
        </is>
      </c>
      <c r="F4265" s="1" t="n">
        <v>0.266812</v>
      </c>
    </row>
    <row r="4266" ht="15.75" customHeight="1" s="201">
      <c r="A4266" s="1" t="n">
        <v>92305050</v>
      </c>
      <c r="B4266" s="1" t="inlineStr">
        <is>
          <t>Tea, iced, instant, black, decaffeinated, pre-sweetened with sugar (Includes powdered mix; liquid concentrate; NS as to sweetener; black and fruit, green, herbal, white, or other tea blends; NS as to type of tea)</t>
        </is>
      </c>
      <c r="C4266" s="1" t="n">
        <v>1</v>
      </c>
      <c r="D4266" s="1" t="inlineStr">
        <is>
          <t>Links to FNDDS</t>
        </is>
      </c>
      <c r="E4266" s="1" t="inlineStr">
        <is>
          <t>Base</t>
        </is>
      </c>
      <c r="F4266" s="1" t="n">
        <v>0.066034</v>
      </c>
    </row>
    <row r="4267" ht="15.75" customHeight="1" s="201">
      <c r="A4267" s="1" t="n">
        <v>92305090</v>
      </c>
      <c r="B4267" s="1" t="inlineStr">
        <is>
          <t>Tea, iced, instant, black, pre-sweetened with low calorie sweetener (Includes powdered mix; liquid concentrate; black and fruit, green, herbal, white, or other tea blends; NS as to type of tea; light, reduced calorie, diet, sugar free)</t>
        </is>
      </c>
      <c r="C4267" s="1" t="n">
        <v>2</v>
      </c>
      <c r="D4267" s="1" t="inlineStr">
        <is>
          <t>Links to altEC</t>
        </is>
      </c>
      <c r="E4267" s="1" t="inlineStr">
        <is>
          <t>Base</t>
        </is>
      </c>
      <c r="F4267" s="1" t="n">
        <v>0.06847</v>
      </c>
    </row>
    <row r="4268" ht="15.75" customHeight="1" s="201">
      <c r="A4268" s="1" t="n">
        <v>92305110</v>
      </c>
      <c r="B4268" s="1" t="inlineStr">
        <is>
          <t>Tea, iced, instant, black, decaffeinated, pre-sweetened with low calorie sweetener (Includes powdered mix; liquid concentrate; light; reduced calorie; diet; sugar free; black and fruit, green, herbal, white, or other tea blends; NS as to type of tea)</t>
        </is>
      </c>
      <c r="C4268" s="1" t="n">
        <v>1</v>
      </c>
      <c r="D4268" s="1" t="inlineStr">
        <is>
          <t>Links to FNDDS</t>
        </is>
      </c>
      <c r="E4268" s="1" t="inlineStr">
        <is>
          <t>Base</t>
        </is>
      </c>
      <c r="F4268" s="1" t="n">
        <v>0.060064</v>
      </c>
    </row>
    <row r="4269" ht="15.75" customHeight="1" s="201">
      <c r="A4269" s="1" t="n">
        <v>92305180</v>
      </c>
      <c r="B4269" s="1" t="inlineStr">
        <is>
          <t>Tea, iced, instant, black, decaffeinated, unsweetened (Includes powdered mix; liquid concentrate; black and fruit, green, herbal, white, or other tea blends; NS as to type of tea)</t>
        </is>
      </c>
      <c r="C4269" s="1" t="n">
        <v>2</v>
      </c>
      <c r="D4269" s="1" t="inlineStr">
        <is>
          <t>Links to altEC</t>
        </is>
      </c>
      <c r="E4269" s="1" t="inlineStr">
        <is>
          <t>Base</t>
        </is>
      </c>
      <c r="F4269" s="1" t="n">
        <v>0.048357</v>
      </c>
    </row>
    <row r="4270" ht="15.75" customHeight="1" s="201">
      <c r="A4270" s="1" t="n">
        <v>92305900</v>
      </c>
      <c r="B4270" s="1" t="inlineStr">
        <is>
          <t>Tea, iced, instant, green, unsweetened (Includes powdered mix; liquid concentrate; white tea; herbal tea; green and fruit, herbal, or white tea blends; decaffeinated)</t>
        </is>
      </c>
      <c r="C4270" s="1" t="n">
        <v>2</v>
      </c>
      <c r="D4270" s="1" t="inlineStr">
        <is>
          <t>Links to altEC</t>
        </is>
      </c>
      <c r="E4270" s="1" t="inlineStr">
        <is>
          <t>Base</t>
        </is>
      </c>
      <c r="F4270" s="1" t="n">
        <v>0.048357</v>
      </c>
    </row>
    <row r="4271" ht="15.75" customHeight="1" s="201">
      <c r="A4271" s="1" t="n">
        <v>92305910</v>
      </c>
      <c r="B4271" s="1" t="inlineStr">
        <is>
          <t>Tea, iced, instant, green, pre-sweetened with sugar (Includes powdered mix; liquid concentrate; white tea; herbal tea; NS as to sweetener; green and fruit, herbal, or white tea blends; decaffeinated)</t>
        </is>
      </c>
      <c r="C4271" s="1" t="n">
        <v>1</v>
      </c>
      <c r="D4271" s="1" t="inlineStr">
        <is>
          <t>Links to FNDDS</t>
        </is>
      </c>
      <c r="E4271" s="1" t="inlineStr">
        <is>
          <t>Base</t>
        </is>
      </c>
      <c r="F4271" s="1" t="n">
        <v>0.169862</v>
      </c>
    </row>
    <row r="4272" ht="15.75" customHeight="1" s="201">
      <c r="A4272" s="1" t="n">
        <v>92306000</v>
      </c>
      <c r="B4272" s="1" t="inlineStr">
        <is>
          <t>Tea, hot, herbal (Includes herbal tea, NFS; unsweetened; leaf; tea bags; brewed; rooibos tea; mate tea; caraway seed tea)</t>
        </is>
      </c>
      <c r="C4272" s="1" t="n">
        <v>1</v>
      </c>
      <c r="D4272" s="1" t="inlineStr">
        <is>
          <t>Links to FNDDS</t>
        </is>
      </c>
      <c r="E4272" s="1" t="inlineStr">
        <is>
          <t>Base</t>
        </is>
      </c>
      <c r="F4272" s="1" t="n">
        <v>0.139892</v>
      </c>
    </row>
    <row r="4273" ht="15.75" customHeight="1" s="201">
      <c r="A4273" s="1" t="n">
        <v>92306090</v>
      </c>
      <c r="B4273" s="1" t="inlineStr">
        <is>
          <t>Tea, hot, hibiscus (Includes Agua de Jamaica; unsweetened; leaf; tea bags; brewed)</t>
        </is>
      </c>
      <c r="C4273" s="1" t="n">
        <v>1</v>
      </c>
      <c r="D4273" s="1" t="inlineStr">
        <is>
          <t>Links to FNDDS</t>
        </is>
      </c>
      <c r="E4273" s="1" t="inlineStr">
        <is>
          <t>Base</t>
        </is>
      </c>
      <c r="F4273" s="1" t="n">
        <v>0.117458</v>
      </c>
    </row>
    <row r="4274" ht="15.75" customHeight="1" s="201">
      <c r="A4274" s="1" t="n">
        <v>92306700</v>
      </c>
      <c r="B4274" s="1" t="inlineStr">
        <is>
          <t>Tea, hot, chamomile (Includes unsweetened; leaf; tea bags; brewed)</t>
        </is>
      </c>
      <c r="C4274" s="1" t="n">
        <v>1</v>
      </c>
      <c r="D4274" s="1" t="inlineStr">
        <is>
          <t>Links to FNDDS</t>
        </is>
      </c>
      <c r="E4274" s="1" t="inlineStr">
        <is>
          <t>Base</t>
        </is>
      </c>
      <c r="F4274" s="1" t="n">
        <v>0.161482</v>
      </c>
    </row>
    <row r="4275" ht="15.75" customHeight="1" s="201">
      <c r="A4275" s="1" t="n">
        <v>92306800</v>
      </c>
      <c r="B4275" s="1" t="inlineStr">
        <is>
          <t>Tea, hot, chai, with milk (Includes Indian Masala chai; spiced milk tea; chai tea latte; tea latte; NS as to type)</t>
        </is>
      </c>
      <c r="C4275" s="1" t="n">
        <v>4</v>
      </c>
      <c r="D4275" s="1" t="inlineStr">
        <is>
          <t>FNDDS recipe with replaced or modified SR codes</t>
        </is>
      </c>
      <c r="E4275" s="1" t="inlineStr">
        <is>
          <t>Base</t>
        </is>
      </c>
      <c r="F4275" s="1" t="n">
        <v>0.087448</v>
      </c>
    </row>
    <row r="4276" ht="15.75" customHeight="1" s="201">
      <c r="A4276" s="1" t="n">
        <v>92307500</v>
      </c>
      <c r="B4276" s="1" t="inlineStr">
        <is>
          <t>Iced Tea / Lemonade juice drink (Includes half and half beverage, all flavors; Arizona Half &amp; Half; Arnold Palmer Half &amp; Half)</t>
        </is>
      </c>
      <c r="C4276" s="1" t="n">
        <v>1</v>
      </c>
      <c r="D4276" s="1" t="inlineStr">
        <is>
          <t>Links to FNDDS</t>
        </is>
      </c>
      <c r="E4276" s="1" t="inlineStr">
        <is>
          <t>Base</t>
        </is>
      </c>
      <c r="F4276" s="1" t="n">
        <v>0.098915</v>
      </c>
    </row>
    <row r="4277" ht="15.75" customHeight="1" s="201">
      <c r="A4277" s="1" t="n">
        <v>92307510</v>
      </c>
      <c r="B4277" s="1" t="inlineStr">
        <is>
          <t>Iced Tea / Lemonade juice drink, light (Includes half and half beverage, all flavors, light; Arizona Lite Half &amp; Half; Arnold Palmer Lite Half &amp; Half)</t>
        </is>
      </c>
      <c r="C4277" s="1" t="n">
        <v>2</v>
      </c>
      <c r="D4277" s="1" t="inlineStr">
        <is>
          <t>Links to altEC</t>
        </is>
      </c>
      <c r="E4277" s="1" t="inlineStr">
        <is>
          <t>Base</t>
        </is>
      </c>
      <c r="F4277" s="1" t="n">
        <v>0.09171700000000001</v>
      </c>
    </row>
    <row r="4278" ht="15.75" customHeight="1" s="201">
      <c r="A4278" s="1" t="n">
        <v>92307520</v>
      </c>
      <c r="B4278" s="1" t="inlineStr">
        <is>
          <t>Iced Tea / Lemonade juice drink, diet (Includes diet half and half beverage, all flavors; Diet Snapple Half n' Half; Arnold Palmer Lite Half &amp; Half, made from powdered mix)</t>
        </is>
      </c>
      <c r="C4278" s="1" t="n">
        <v>1</v>
      </c>
      <c r="D4278" s="1" t="inlineStr">
        <is>
          <t>Links to FNDDS</t>
        </is>
      </c>
      <c r="E4278" s="1" t="inlineStr">
        <is>
          <t>Base</t>
        </is>
      </c>
      <c r="F4278" s="1" t="n">
        <v>0.09171700000000001</v>
      </c>
    </row>
    <row r="4279" ht="15.75" customHeight="1" s="201">
      <c r="A4279" s="1" t="n">
        <v>92308000</v>
      </c>
      <c r="B4279" s="1" t="inlineStr">
        <is>
          <t>Tea, iced, brewed, black, pre-sweetened with sugar (Includes sweet tea; leaf, bag, or vending; McDonald's Iced Sweet Tea; black and fruit, green, herbal, white, or other tea blends; NS as to regular or decaffeinated; iced tea, NS as to type; NS as to sweetener)</t>
        </is>
      </c>
      <c r="C4279" s="1" t="n">
        <v>2</v>
      </c>
      <c r="D4279" s="1" t="inlineStr">
        <is>
          <t>Links to altEC</t>
        </is>
      </c>
      <c r="E4279" s="1" t="inlineStr">
        <is>
          <t>Base</t>
        </is>
      </c>
      <c r="F4279" s="1" t="n">
        <v>0.109714</v>
      </c>
    </row>
    <row r="4280" ht="15.75" customHeight="1" s="201">
      <c r="A4280" s="1" t="n">
        <v>92308010</v>
      </c>
      <c r="B4280" s="1" t="inlineStr">
        <is>
          <t>Tea, iced, brewed, black, pre-sweetened with low calorie sweetener (Includes leaf, baf, or vending; black and fruit, green, herbal, white, or other tea blends; NS as to regular or decaffeinated; NS as to type of tea)</t>
        </is>
      </c>
      <c r="C4280" s="1" t="n">
        <v>2</v>
      </c>
      <c r="D4280" s="1" t="inlineStr">
        <is>
          <t>Links to altEC</t>
        </is>
      </c>
      <c r="E4280" s="1" t="inlineStr">
        <is>
          <t>Base</t>
        </is>
      </c>
      <c r="F4280" s="1" t="n">
        <v>0.131286</v>
      </c>
    </row>
    <row r="4281" ht="15.75" customHeight="1" s="201">
      <c r="A4281" s="1" t="n">
        <v>92308020</v>
      </c>
      <c r="B4281" s="1" t="inlineStr">
        <is>
          <t>Tea, iced, brewed, black, unsweetened (Includes leaf, bag, or vending; McDonald's Iced Tea; black and fruit, green, herbal, white, or other tea blends; NS as to regular or decaffeinated; NS as to type of tea)</t>
        </is>
      </c>
      <c r="C4281" s="1" t="n">
        <v>1</v>
      </c>
      <c r="D4281" s="1" t="inlineStr">
        <is>
          <t>Links to FNDDS</t>
        </is>
      </c>
      <c r="E4281" s="1" t="inlineStr">
        <is>
          <t>Base</t>
        </is>
      </c>
      <c r="F4281" s="1" t="n">
        <v>0.022217</v>
      </c>
    </row>
    <row r="4282" ht="15.75" customHeight="1" s="201">
      <c r="A4282" s="1" t="n">
        <v>92308030</v>
      </c>
      <c r="B4282" s="1" t="inlineStr">
        <is>
          <t>Tea, iced, brewed, black, decaffeinated, pre-sweetened with sugar (Includes sweet tea; leaf, bag, or vending; black and fruit, green, herbal, white, or other tea blends; NS as to type of tea; NS as to sweetener)</t>
        </is>
      </c>
      <c r="C4282" s="1" t="n">
        <v>2</v>
      </c>
      <c r="D4282" s="1" t="inlineStr">
        <is>
          <t>Links to altEC</t>
        </is>
      </c>
      <c r="E4282" s="1" t="inlineStr">
        <is>
          <t>Base</t>
        </is>
      </c>
      <c r="F4282" s="1" t="n">
        <v>0.054941</v>
      </c>
    </row>
    <row r="4283" ht="15.75" customHeight="1" s="201">
      <c r="A4283" s="1" t="n">
        <v>92308050</v>
      </c>
      <c r="B4283" s="1" t="inlineStr">
        <is>
          <t>Tea, iced, brewed, black, decaffeinated, unsweetened (Includes leaf, bag, or vending; black and fruit, green, herbal, white, or other tea blends; NS as to type of tea)</t>
        </is>
      </c>
      <c r="C4283" s="1" t="n">
        <v>1</v>
      </c>
      <c r="D4283" s="1" t="inlineStr">
        <is>
          <t>Links to FNDDS</t>
        </is>
      </c>
      <c r="E4283" s="1" t="inlineStr">
        <is>
          <t>Base</t>
        </is>
      </c>
      <c r="F4283" s="1" t="n">
        <v>0.039245</v>
      </c>
    </row>
    <row r="4284" ht="15.75" customHeight="1" s="201">
      <c r="A4284" s="1" t="n">
        <v>92308500</v>
      </c>
      <c r="B4284" s="1" t="inlineStr">
        <is>
          <t>Tea, iced, brewed, green, pre-sweetened with sugar (Includes leaf, bag, or vending; white tea; herbal tea; green and fruit, herbal, or white tea blends; NS as to regular or decaffeinated; NS as to sweetener)</t>
        </is>
      </c>
      <c r="C4284" s="1" t="n">
        <v>2</v>
      </c>
      <c r="D4284" s="1" t="inlineStr">
        <is>
          <t>Links to altEC</t>
        </is>
      </c>
      <c r="E4284" s="1" t="inlineStr">
        <is>
          <t>Base</t>
        </is>
      </c>
      <c r="F4284" s="1" t="n">
        <v>0.09538099999999999</v>
      </c>
    </row>
    <row r="4285" ht="15.75" customHeight="1" s="201">
      <c r="A4285" s="1" t="n">
        <v>92308510</v>
      </c>
      <c r="B4285" s="1" t="inlineStr">
        <is>
          <t>Tea, iced, brewed, green, pre-sweetened with low calorie sweetener (Includes leaf, bag, or vending; white tea; herbal tea; green and fruit, herbal, or white tea blends; NS as to regular or decaffeinated)</t>
        </is>
      </c>
      <c r="C4285" s="1" t="n">
        <v>2</v>
      </c>
      <c r="D4285" s="1" t="inlineStr">
        <is>
          <t>Links to altEC</t>
        </is>
      </c>
      <c r="E4285" s="1" t="inlineStr">
        <is>
          <t>Base</t>
        </is>
      </c>
      <c r="F4285" s="1" t="n">
        <v>0.07978300000000001</v>
      </c>
    </row>
    <row r="4286" ht="15.75" customHeight="1" s="201">
      <c r="A4286" s="1" t="n">
        <v>92308520</v>
      </c>
      <c r="B4286" s="1" t="inlineStr">
        <is>
          <t>Tea, iced, brewed, green, unsweetened (Includes leaf, bag, or vending; white tea; herbal tea; green and fruit, herbal, or white tea blends; NS as to regular or decaffeinated)</t>
        </is>
      </c>
      <c r="C4286" s="1" t="n">
        <v>1</v>
      </c>
      <c r="D4286" s="1" t="inlineStr">
        <is>
          <t>Links to FNDDS</t>
        </is>
      </c>
      <c r="E4286" s="1" t="inlineStr">
        <is>
          <t>Base</t>
        </is>
      </c>
      <c r="F4286" s="1" t="n">
        <v>0.06279</v>
      </c>
    </row>
    <row r="4287" ht="15.75" customHeight="1" s="201">
      <c r="A4287" s="1" t="n">
        <v>92308540</v>
      </c>
      <c r="B4287" s="1" t="inlineStr">
        <is>
          <t>Tea, iced, brewed, green, decaffeinated, pre-sweetened with low calorie sweetener (Includes leaf, bag, or vending; white tea; herbal tea; green and fruit, herbal, or white tea blends)</t>
        </is>
      </c>
      <c r="C4287" s="1" t="n">
        <v>2</v>
      </c>
      <c r="D4287" s="1" t="inlineStr">
        <is>
          <t>Links to altEC</t>
        </is>
      </c>
      <c r="E4287" s="1" t="inlineStr">
        <is>
          <t>Base</t>
        </is>
      </c>
      <c r="F4287" s="1" t="n">
        <v>0.059565</v>
      </c>
    </row>
    <row r="4288" ht="15.75" customHeight="1" s="201">
      <c r="A4288" s="1" t="n">
        <v>92308550</v>
      </c>
      <c r="B4288" s="1" t="inlineStr">
        <is>
          <t>Tea, iced, brewed, green, decaffeinated, unsweetened (Includes leaf, bag, or vending; white tea; herbal tea; green and fruit, herbal, or white tea blends)</t>
        </is>
      </c>
      <c r="C4288" s="1" t="n">
        <v>1</v>
      </c>
      <c r="D4288" s="1" t="inlineStr">
        <is>
          <t>Links to FNDDS</t>
        </is>
      </c>
      <c r="E4288" s="1" t="inlineStr">
        <is>
          <t>Base</t>
        </is>
      </c>
      <c r="F4288" s="1" t="n">
        <v>0.059565</v>
      </c>
    </row>
    <row r="4289" ht="15.75" customHeight="1" s="201">
      <c r="A4289" s="1" t="n">
        <v>92309000</v>
      </c>
      <c r="B4289" s="1" t="inlineStr">
        <is>
          <t>Tea, iced, bottled, black (Includes can, carton, or fountain; sweet tea; black and fruit, green, herbal, white, or other tea blends; NS as to type of tea; Snapple, all flavors)</t>
        </is>
      </c>
      <c r="C4289" s="1" t="n">
        <v>1</v>
      </c>
      <c r="D4289" s="1" t="inlineStr">
        <is>
          <t>Links to FNDDS</t>
        </is>
      </c>
      <c r="E4289" s="1" t="inlineStr">
        <is>
          <t>Base</t>
        </is>
      </c>
      <c r="F4289" s="1" t="n">
        <v>0.109714</v>
      </c>
    </row>
    <row r="4290" ht="15.75" customHeight="1" s="201">
      <c r="A4290" s="1" t="n">
        <v>92309010</v>
      </c>
      <c r="B4290" s="1" t="inlineStr">
        <is>
          <t>Tea, iced, bottled, black, decaffeinated (Includes can, carton, or fountain; sweet tea; black and fruit, green, herbal, white, or other tea blends; NS as to type of tea; caffeine free Snapple Tea, all flavors)</t>
        </is>
      </c>
      <c r="C4290" s="1" t="n">
        <v>1</v>
      </c>
      <c r="D4290" s="1" t="inlineStr">
        <is>
          <t>Links to FNDDS</t>
        </is>
      </c>
      <c r="E4290" s="1" t="inlineStr">
        <is>
          <t>Base</t>
        </is>
      </c>
      <c r="F4290" s="1" t="n">
        <v>0.054941</v>
      </c>
    </row>
    <row r="4291" ht="15.75" customHeight="1" s="201">
      <c r="A4291" s="1" t="n">
        <v>92309020</v>
      </c>
      <c r="B4291" s="1" t="inlineStr">
        <is>
          <t>Tea, iced, bottled, black, diet (Includes light, reduced calorie, or sugar free; can, carton, or fountain; black and fruit, green, herbal, white, or other tea blends; NS as to type of tea; Diet Snapple Tea, all flavors)</t>
        </is>
      </c>
      <c r="C4291" s="1" t="n">
        <v>1</v>
      </c>
      <c r="D4291" s="1" t="inlineStr">
        <is>
          <t>Links to FNDDS</t>
        </is>
      </c>
      <c r="E4291" s="1" t="inlineStr">
        <is>
          <t>Base</t>
        </is>
      </c>
      <c r="F4291" s="1" t="n">
        <v>0.131286</v>
      </c>
    </row>
    <row r="4292" ht="15.75" customHeight="1" s="201">
      <c r="A4292" s="1" t="n">
        <v>92309040</v>
      </c>
      <c r="B4292" s="1" t="inlineStr">
        <is>
          <t>Tea, iced, bottled, black, unsweetened (Includes can, carton, or fountain; black and fruit, green, herbal, white, or other tea blends; NS as to type of tea)</t>
        </is>
      </c>
      <c r="C4292" s="1" t="n">
        <v>1</v>
      </c>
      <c r="D4292" s="1" t="inlineStr">
        <is>
          <t>Links to FNDDS</t>
        </is>
      </c>
      <c r="E4292" s="1" t="inlineStr">
        <is>
          <t>Base</t>
        </is>
      </c>
      <c r="F4292" s="1" t="n">
        <v>0.13953</v>
      </c>
    </row>
    <row r="4293" ht="15.75" customHeight="1" s="201">
      <c r="A4293" s="1" t="n">
        <v>92309050</v>
      </c>
      <c r="B4293" s="1" t="inlineStr">
        <is>
          <t>Tea, iced, bottled, black, decaffeinated, unsweetened (Includes can, carton, or fountain; black and fruit, green, herbal, white, or other tea blends; NS as to type of tea)</t>
        </is>
      </c>
      <c r="C4293" s="1" t="n">
        <v>2</v>
      </c>
      <c r="D4293" s="1" t="inlineStr">
        <is>
          <t>Links to altEC</t>
        </is>
      </c>
      <c r="E4293" s="1" t="inlineStr">
        <is>
          <t>Base</t>
        </is>
      </c>
      <c r="F4293" s="1" t="n">
        <v>0.039245</v>
      </c>
    </row>
    <row r="4294" ht="15.75" customHeight="1" s="201">
      <c r="A4294" s="1" t="n">
        <v>92309500</v>
      </c>
      <c r="B4294" s="1" t="inlineStr">
        <is>
          <t>Tea, iced, bottled, green (Includes can, carton, or fountain; white tea; herbal tea; green and fruit, herbal, or white tea blends; decaffeinated; Snapple)</t>
        </is>
      </c>
      <c r="C4294" s="1" t="n">
        <v>1</v>
      </c>
      <c r="D4294" s="1" t="inlineStr">
        <is>
          <t>Links to FNDDS</t>
        </is>
      </c>
      <c r="E4294" s="1" t="inlineStr">
        <is>
          <t>Base</t>
        </is>
      </c>
      <c r="F4294" s="1" t="n">
        <v>0.09538099999999999</v>
      </c>
    </row>
    <row r="4295" ht="15.75" customHeight="1" s="201">
      <c r="A4295" s="1" t="n">
        <v>92309510</v>
      </c>
      <c r="B4295" s="1" t="inlineStr">
        <is>
          <t>Tea, iced, bottled, green, diet (Includes light, reduced calorie, or sugar free; can, carton, or fountain; white tea; herbal tea; green and fruit, herbal, or white tea blends; decaffeinated; Diet Snapple)</t>
        </is>
      </c>
      <c r="C4295" s="1" t="n">
        <v>1</v>
      </c>
      <c r="D4295" s="1" t="inlineStr">
        <is>
          <t>Links to FNDDS</t>
        </is>
      </c>
      <c r="E4295" s="1" t="inlineStr">
        <is>
          <t>Base</t>
        </is>
      </c>
      <c r="F4295" s="1" t="n">
        <v>0.07978300000000001</v>
      </c>
    </row>
    <row r="4296" ht="15.75" customHeight="1" s="201">
      <c r="A4296" s="1" t="n">
        <v>92309520</v>
      </c>
      <c r="B4296" s="1" t="inlineStr">
        <is>
          <t>Tea, iced, bottled, green, unsweetened (Includes can, carton, or fountain; white tea; herbal tea; green and fruit, herbal, or white tea blends; decaffeinated)</t>
        </is>
      </c>
      <c r="C4296" s="1" t="n">
        <v>1</v>
      </c>
      <c r="D4296" s="1" t="inlineStr">
        <is>
          <t>Links to FNDDS</t>
        </is>
      </c>
      <c r="E4296" s="1" t="inlineStr">
        <is>
          <t>Base</t>
        </is>
      </c>
      <c r="F4296" s="1" t="n">
        <v>0.119607</v>
      </c>
    </row>
    <row r="4297" ht="15.75" customHeight="1" s="201">
      <c r="A4297" s="1" t="n">
        <v>92400100</v>
      </c>
      <c r="B4297" s="1" t="inlineStr">
        <is>
          <t>Soft drink, NFS, diet (Includes sugar free)</t>
        </is>
      </c>
      <c r="C4297" s="1" t="n">
        <v>2</v>
      </c>
      <c r="D4297" s="1" t="inlineStr">
        <is>
          <t>Links to altEC</t>
        </is>
      </c>
      <c r="E4297" s="1" t="inlineStr">
        <is>
          <t>Base</t>
        </is>
      </c>
      <c r="F4297" s="1" t="n">
        <v>0.097603</v>
      </c>
    </row>
    <row r="4298" ht="15.75" customHeight="1" s="201">
      <c r="A4298" s="1" t="n">
        <v>92410110</v>
      </c>
      <c r="B4298" s="1" t="inlineStr">
        <is>
          <t>Carbonated water, sweetened (Includes tonic water; quinine water; fruit flavors; Clearly Canadian Original, all flavors; Penafiel, all flavors)</t>
        </is>
      </c>
      <c r="C4298" s="1" t="n">
        <v>1</v>
      </c>
      <c r="D4298" s="1" t="inlineStr">
        <is>
          <t>Links to FNDDS</t>
        </is>
      </c>
      <c r="E4298" s="1" t="inlineStr">
        <is>
          <t>Base</t>
        </is>
      </c>
      <c r="F4298" s="1" t="n">
        <v>0.138743</v>
      </c>
    </row>
    <row r="4299" ht="15.75" customHeight="1" s="201">
      <c r="A4299" s="1" t="n">
        <v>92410210</v>
      </c>
      <c r="B4299" s="1" t="inlineStr">
        <is>
          <t>Carbonated water, unsweetened (Includes all flavors; club soda; Perrier; seltzer water; sparkling mineral water)</t>
        </is>
      </c>
      <c r="C4299" s="1" t="n">
        <v>1</v>
      </c>
      <c r="D4299" s="1" t="inlineStr">
        <is>
          <t>Links to FNDDS</t>
        </is>
      </c>
      <c r="E4299" s="1" t="inlineStr">
        <is>
          <t>Base</t>
        </is>
      </c>
      <c r="F4299" s="1" t="n">
        <v>0.105605</v>
      </c>
    </row>
    <row r="4300" ht="15.75" customHeight="1" s="201">
      <c r="A4300" s="1" t="n">
        <v>92410250</v>
      </c>
      <c r="B4300" s="1" t="inlineStr">
        <is>
          <t>Carbonated water, sweetened, with low-calorie or no-calorie sweetener (Includes all flavors sugar-free, low-calorie water; diet tonic water; Clearly Canadian Zero)</t>
        </is>
      </c>
      <c r="C4300" s="1" t="n">
        <v>1</v>
      </c>
      <c r="D4300" s="1" t="inlineStr">
        <is>
          <t>Links to FNDDS</t>
        </is>
      </c>
      <c r="E4300" s="1" t="inlineStr">
        <is>
          <t>Base</t>
        </is>
      </c>
      <c r="F4300" s="1" t="n">
        <v>0.146689</v>
      </c>
    </row>
    <row r="4301" ht="15.75" customHeight="1" s="201">
      <c r="A4301" s="1" t="n">
        <v>92410310</v>
      </c>
      <c r="B4301" s="1" t="inlineStr">
        <is>
          <t>Soft drink, cola (Includes Coca Cola; Coke; Pepsi; RC Cola; NS as to caffeine; Pepsi Throwback)</t>
        </is>
      </c>
      <c r="C4301" s="1" t="n">
        <v>1</v>
      </c>
      <c r="D4301" s="1" t="inlineStr">
        <is>
          <t>Links to FNDDS</t>
        </is>
      </c>
      <c r="E4301" s="1" t="inlineStr">
        <is>
          <t>Base</t>
        </is>
      </c>
      <c r="F4301" s="1" t="n">
        <v>0.094666</v>
      </c>
    </row>
    <row r="4302" ht="15.75" customHeight="1" s="201">
      <c r="A4302" s="1" t="n">
        <v>92410320</v>
      </c>
      <c r="B4302" s="1" t="inlineStr">
        <is>
          <t>Soft drink, cola, diet (Includes Diet Coke; Diet Pepsi; Tab; Coke Zero; Pepsi One; NS as to caffeine; Pepsi Max; sugar free)</t>
        </is>
      </c>
      <c r="C4302" s="1" t="n">
        <v>1</v>
      </c>
      <c r="D4302" s="1" t="inlineStr">
        <is>
          <t>Links to FNDDS</t>
        </is>
      </c>
      <c r="E4302" s="1" t="inlineStr">
        <is>
          <t>Base</t>
        </is>
      </c>
      <c r="F4302" s="1" t="n">
        <v>0.100314</v>
      </c>
    </row>
    <row r="4303" ht="15.75" customHeight="1" s="201">
      <c r="A4303" s="1" t="n">
        <v>92410340</v>
      </c>
      <c r="B4303" s="1" t="inlineStr">
        <is>
          <t>Soft drink, cola, decaffeinated (Includes caffeine free Coke; caffeine free Pepsi)</t>
        </is>
      </c>
      <c r="C4303" s="1" t="n">
        <v>1</v>
      </c>
      <c r="D4303" s="1" t="inlineStr">
        <is>
          <t>Links to FNDDS</t>
        </is>
      </c>
      <c r="E4303" s="1" t="inlineStr">
        <is>
          <t>Base</t>
        </is>
      </c>
      <c r="F4303" s="1" t="n">
        <v>0.089481</v>
      </c>
    </row>
    <row r="4304" ht="15.75" customHeight="1" s="201">
      <c r="A4304" s="1" t="n">
        <v>92410350</v>
      </c>
      <c r="B4304" s="1" t="inlineStr">
        <is>
          <t>Soft drink, cola, decaffeinated, diet (Includes caffeine free Diet Coke; caffeine free Diet Pepsi; Diet Rite Cola; sugar free)</t>
        </is>
      </c>
      <c r="C4304" s="1" t="n">
        <v>1</v>
      </c>
      <c r="D4304" s="1" t="inlineStr">
        <is>
          <t>Links to FNDDS</t>
        </is>
      </c>
      <c r="E4304" s="1" t="inlineStr">
        <is>
          <t>Base</t>
        </is>
      </c>
      <c r="F4304" s="1" t="n">
        <v>0.088322</v>
      </c>
    </row>
    <row r="4305" ht="15.75" customHeight="1" s="201">
      <c r="A4305" s="1" t="n">
        <v>92410360</v>
      </c>
      <c r="B4305" s="1" t="inlineStr">
        <is>
          <t>Soft drink, pepper type (Includes Dr. Pepper; Mr. Pibb; Pibb Xtra)</t>
        </is>
      </c>
      <c r="C4305" s="1" t="n">
        <v>1</v>
      </c>
      <c r="D4305" s="1" t="inlineStr">
        <is>
          <t>Links to FNDDS</t>
        </is>
      </c>
      <c r="E4305" s="1" t="inlineStr">
        <is>
          <t>Base</t>
        </is>
      </c>
      <c r="F4305" s="1" t="n">
        <v>0.099601</v>
      </c>
    </row>
    <row r="4306" ht="15.75" customHeight="1" s="201">
      <c r="A4306" s="1" t="n">
        <v>92410370</v>
      </c>
      <c r="B4306" s="1" t="inlineStr">
        <is>
          <t>Soft drink, pepper type, diet (Includes Diet Dr. Pepper; Dr. Pepper Ten; Pibb Zero; sugar free)</t>
        </is>
      </c>
      <c r="C4306" s="1" t="n">
        <v>1</v>
      </c>
      <c r="D4306" s="1" t="inlineStr">
        <is>
          <t>Links to FNDDS</t>
        </is>
      </c>
      <c r="E4306" s="1" t="inlineStr">
        <is>
          <t>Base</t>
        </is>
      </c>
      <c r="F4306" s="1" t="n">
        <v>0.10148</v>
      </c>
    </row>
    <row r="4307" ht="15.75" customHeight="1" s="201">
      <c r="A4307" s="1" t="n">
        <v>92410390</v>
      </c>
      <c r="B4307" s="1" t="inlineStr">
        <is>
          <t>Soft drink, pepper type, decaffeinated (Includes caffeine free Dr. Pepper)</t>
        </is>
      </c>
      <c r="C4307" s="1" t="n">
        <v>1</v>
      </c>
      <c r="D4307" s="1" t="inlineStr">
        <is>
          <t>Links to FNDDS</t>
        </is>
      </c>
      <c r="E4307" s="1" t="inlineStr">
        <is>
          <t>Base</t>
        </is>
      </c>
      <c r="F4307" s="1" t="n">
        <v>0.088839</v>
      </c>
    </row>
    <row r="4308" ht="15.75" customHeight="1" s="201">
      <c r="A4308" s="1" t="n">
        <v>92410400</v>
      </c>
      <c r="B4308" s="1" t="inlineStr">
        <is>
          <t>Soft drink, pepper type, decaffeinated, diet (Includes caffeine free Diet Dr. Pepper; sugar free)</t>
        </is>
      </c>
      <c r="C4308" s="1" t="n">
        <v>1</v>
      </c>
      <c r="D4308" s="1" t="inlineStr">
        <is>
          <t>Links to FNDDS</t>
        </is>
      </c>
      <c r="E4308" s="1" t="inlineStr">
        <is>
          <t>Base</t>
        </is>
      </c>
      <c r="F4308" s="1" t="n">
        <v>0.086464</v>
      </c>
    </row>
    <row r="4309" ht="15.75" customHeight="1" s="201">
      <c r="A4309" s="1" t="n">
        <v>92410410</v>
      </c>
      <c r="B4309" s="1" t="inlineStr">
        <is>
          <t>Soft drink, cream soda</t>
        </is>
      </c>
      <c r="C4309" s="1" t="n">
        <v>1</v>
      </c>
      <c r="D4309" s="1" t="inlineStr">
        <is>
          <t>Links to FNDDS</t>
        </is>
      </c>
      <c r="E4309" s="1" t="inlineStr">
        <is>
          <t>Base</t>
        </is>
      </c>
      <c r="F4309" s="1" t="n">
        <v>0.109375</v>
      </c>
    </row>
    <row r="4310" ht="15.75" customHeight="1" s="201">
      <c r="A4310" s="1" t="n">
        <v>92410420</v>
      </c>
      <c r="B4310" s="1" t="inlineStr">
        <is>
          <t>Soft drink, cream soda, diet (Includes sugar free)</t>
        </is>
      </c>
      <c r="C4310" s="1" t="n">
        <v>1</v>
      </c>
      <c r="D4310" s="1" t="inlineStr">
        <is>
          <t>Links to FNDDS</t>
        </is>
      </c>
      <c r="E4310" s="1" t="inlineStr">
        <is>
          <t>Base</t>
        </is>
      </c>
      <c r="F4310" s="1" t="n">
        <v>0.101067</v>
      </c>
    </row>
    <row r="4311" ht="15.75" customHeight="1" s="201">
      <c r="A4311" s="1" t="n">
        <v>92410510</v>
      </c>
      <c r="B4311" s="1" t="inlineStr">
        <is>
          <t>Soft drink, fruit flavored, caffeine free (Includes cherry, grape, lemon, lime, orange, strawberry; Tom Collins mixer; 7-Up; Sprite; Slice; caffeine free Mountain Dew; 7-Up, NS as to caffeine; Squirt; Orange Crush; Citra; Sierra Mist; fruit flavored soda, all types; Fanta; Tropicana Twister Soda)</t>
        </is>
      </c>
      <c r="C4311" s="1" t="n">
        <v>1</v>
      </c>
      <c r="D4311" s="1" t="inlineStr">
        <is>
          <t>Links to FNDDS</t>
        </is>
      </c>
      <c r="E4311" s="1" t="inlineStr">
        <is>
          <t>Base</t>
        </is>
      </c>
      <c r="F4311" s="1" t="n">
        <v>0.094807</v>
      </c>
    </row>
    <row r="4312" ht="15.75" customHeight="1" s="201">
      <c r="A4312" s="1" t="n">
        <v>92410520</v>
      </c>
      <c r="B4312" s="1" t="inlineStr">
        <is>
          <t>Soft drink, fruit flavored, diet, caffeine free (Includes Diet Slice; Diet Sprite; Diet 7-Up; Fresca; Diet 7-Up, NS as to caffeine; Diet Cherry 7-UP; Sierra Mist Free; Sprite Zero; diet fruit flavored soda, all flavors; Fanta Zero; Diet Tropicana Twister soda; sugar free)</t>
        </is>
      </c>
      <c r="C4312" s="1" t="n">
        <v>1</v>
      </c>
      <c r="D4312" s="1" t="inlineStr">
        <is>
          <t>Links to FNDDS</t>
        </is>
      </c>
      <c r="E4312" s="1" t="inlineStr">
        <is>
          <t>Base</t>
        </is>
      </c>
      <c r="F4312" s="1" t="n">
        <v>0.089504</v>
      </c>
    </row>
    <row r="4313" ht="15.75" customHeight="1" s="201">
      <c r="A4313" s="1" t="n">
        <v>92410550</v>
      </c>
      <c r="B4313" s="1" t="inlineStr">
        <is>
          <t>Soft drink, fruit flavored, caffeine containing (Includes Mellow Yellow; Mountain Dew; Big Red; Sunkist Orange; Mountain Dew, NS as to caffeine; Ruby Red Squirt; Moon Mist; Ale 8; Mountain Dew Code Red; Inca Kola; Cheerwine)</t>
        </is>
      </c>
      <c r="C4313" s="1" t="n">
        <v>1</v>
      </c>
      <c r="D4313" s="1" t="inlineStr">
        <is>
          <t>Links to FNDDS</t>
        </is>
      </c>
      <c r="E4313" s="1" t="inlineStr">
        <is>
          <t>Base</t>
        </is>
      </c>
      <c r="F4313" s="1" t="n">
        <v>0.102375</v>
      </c>
    </row>
    <row r="4314" ht="15.75" customHeight="1" s="201">
      <c r="A4314" s="1" t="n">
        <v>92410560</v>
      </c>
      <c r="B4314" s="1" t="inlineStr">
        <is>
          <t>Soft drink, fruit flavored, caffeine containing, diet (Includes Diet Mountain Dew; Diet Sunkist Orange; Diet Inca Kola; Diet Cheerwine; sugar free)</t>
        </is>
      </c>
      <c r="C4314" s="1" t="n">
        <v>1</v>
      </c>
      <c r="D4314" s="1" t="inlineStr">
        <is>
          <t>Links to FNDDS</t>
        </is>
      </c>
      <c r="E4314" s="1" t="inlineStr">
        <is>
          <t>Base</t>
        </is>
      </c>
      <c r="F4314" s="1" t="n">
        <v>0.095981</v>
      </c>
    </row>
    <row r="4315" ht="15.75" customHeight="1" s="201">
      <c r="A4315" s="1" t="n">
        <v>92410610</v>
      </c>
      <c r="B4315" s="1" t="inlineStr">
        <is>
          <t>Soft drink, ginger ale</t>
        </is>
      </c>
      <c r="C4315" s="1" t="n">
        <v>1</v>
      </c>
      <c r="D4315" s="1" t="inlineStr">
        <is>
          <t>Links to FNDDS</t>
        </is>
      </c>
      <c r="E4315" s="1" t="inlineStr">
        <is>
          <t>Base</t>
        </is>
      </c>
      <c r="F4315" s="1" t="n">
        <v>0.09719700000000001</v>
      </c>
    </row>
    <row r="4316" ht="15.75" customHeight="1" s="201">
      <c r="A4316" s="1" t="n">
        <v>92410620</v>
      </c>
      <c r="B4316" s="1" t="inlineStr">
        <is>
          <t>Soft drink, ginger ale, diet (Includes sugar free)</t>
        </is>
      </c>
      <c r="C4316" s="1" t="n">
        <v>1</v>
      </c>
      <c r="D4316" s="1" t="inlineStr">
        <is>
          <t>Links to FNDDS</t>
        </is>
      </c>
      <c r="E4316" s="1" t="inlineStr">
        <is>
          <t>Base</t>
        </is>
      </c>
      <c r="F4316" s="1" t="n">
        <v>0.09576999999999999</v>
      </c>
    </row>
    <row r="4317" ht="15.75" customHeight="1" s="201">
      <c r="A4317" s="1" t="n">
        <v>92410710</v>
      </c>
      <c r="B4317" s="1" t="inlineStr">
        <is>
          <t>Soft drink, root beer</t>
        </is>
      </c>
      <c r="C4317" s="1" t="n">
        <v>1</v>
      </c>
      <c r="D4317" s="1" t="inlineStr">
        <is>
          <t>Links to FNDDS</t>
        </is>
      </c>
      <c r="E4317" s="1" t="inlineStr">
        <is>
          <t>Base</t>
        </is>
      </c>
      <c r="F4317" s="1" t="n">
        <v>0.09191000000000001</v>
      </c>
    </row>
    <row r="4318" ht="15.75" customHeight="1" s="201">
      <c r="A4318" s="1" t="n">
        <v>92410720</v>
      </c>
      <c r="B4318" s="1" t="inlineStr">
        <is>
          <t>Soft drink, root beer, diet (Includes sugar free)</t>
        </is>
      </c>
      <c r="C4318" s="1" t="n">
        <v>1</v>
      </c>
      <c r="D4318" s="1" t="inlineStr">
        <is>
          <t>Links to FNDDS</t>
        </is>
      </c>
      <c r="E4318" s="1" t="inlineStr">
        <is>
          <t>Base</t>
        </is>
      </c>
      <c r="F4318" s="1" t="n">
        <v>0.08977</v>
      </c>
    </row>
    <row r="4319" ht="15.75" customHeight="1" s="201">
      <c r="A4319" s="1" t="n">
        <v>92411510</v>
      </c>
      <c r="B4319" s="1" t="inlineStr">
        <is>
          <t>Soft drink, cola, fruit or vanilla flavored (Includes cherry cola; Cherry Coke; Pepsi Wild Cherry; Vanilla Coke)</t>
        </is>
      </c>
      <c r="C4319" s="1" t="n">
        <v>1</v>
      </c>
      <c r="D4319" s="1" t="inlineStr">
        <is>
          <t>Links to FNDDS</t>
        </is>
      </c>
      <c r="E4319" s="1" t="inlineStr">
        <is>
          <t>Base</t>
        </is>
      </c>
      <c r="F4319" s="1" t="n">
        <v>0.112576</v>
      </c>
    </row>
    <row r="4320" ht="15.75" customHeight="1" s="201">
      <c r="A4320" s="1" t="n">
        <v>92411610</v>
      </c>
      <c r="B4320" s="1" t="inlineStr">
        <is>
          <t>Soft drink, cola, fruit or vanilla flavored, diet (Includes sugar free; Diet Cherry Coke; Diet Pepsi Wild Cherry; Vanilla Coke Zero)</t>
        </is>
      </c>
      <c r="C4320" s="1" t="n">
        <v>1</v>
      </c>
      <c r="D4320" s="1" t="inlineStr">
        <is>
          <t>Links to FNDDS</t>
        </is>
      </c>
      <c r="E4320" s="1" t="inlineStr">
        <is>
          <t>Base</t>
        </is>
      </c>
      <c r="F4320" s="1" t="n">
        <v>0.101781</v>
      </c>
    </row>
    <row r="4321" ht="15.75" customHeight="1" s="201">
      <c r="A4321" s="1" t="n">
        <v>92432000</v>
      </c>
      <c r="B4321" s="1" t="inlineStr">
        <is>
          <t>Fruit juice drink, citrus, carbonated (Includes sparkling juice; Izze Sparkling)</t>
        </is>
      </c>
      <c r="C4321" s="1" t="n">
        <v>1</v>
      </c>
      <c r="D4321" s="1" t="inlineStr">
        <is>
          <t>Links to FNDDS</t>
        </is>
      </c>
      <c r="E4321" s="1" t="inlineStr">
        <is>
          <t>Base</t>
        </is>
      </c>
      <c r="F4321" s="1" t="n">
        <v>0.262545</v>
      </c>
    </row>
    <row r="4322" ht="15.75" customHeight="1" s="201">
      <c r="A4322" s="1" t="n">
        <v>92510610</v>
      </c>
      <c r="B4322" s="1" t="inlineStr">
        <is>
          <t>Fruit juice drink (Includes Minute Maid fruit punch; Snapple juice drinks)</t>
        </is>
      </c>
      <c r="C4322" s="1" t="n">
        <v>1</v>
      </c>
      <c r="D4322" s="1" t="inlineStr">
        <is>
          <t>Links to FNDDS</t>
        </is>
      </c>
      <c r="E4322" s="1" t="inlineStr">
        <is>
          <t>Base</t>
        </is>
      </c>
      <c r="F4322" s="1" t="n">
        <v>0.122768</v>
      </c>
    </row>
    <row r="4323" ht="15.75" customHeight="1" s="201">
      <c r="A4323" s="1" t="n">
        <v>92510720</v>
      </c>
      <c r="B4323" s="1" t="inlineStr">
        <is>
          <t>Fruit punch, made with fruit juice and soda</t>
        </is>
      </c>
      <c r="C4323" s="1" t="n">
        <v>4</v>
      </c>
      <c r="D4323" s="1" t="inlineStr">
        <is>
          <t>FNDDS recipe with replaced or modified SR codes</t>
        </is>
      </c>
      <c r="E4323" s="1" t="inlineStr">
        <is>
          <t>Base</t>
        </is>
      </c>
      <c r="F4323" s="1" t="n">
        <v>0.149352</v>
      </c>
    </row>
    <row r="4324" ht="15.75" customHeight="1" s="201">
      <c r="A4324" s="1" t="n">
        <v>92510955</v>
      </c>
      <c r="B4324" s="1" t="inlineStr">
        <is>
          <t>Lemonade, fruit juice drink (Includes Turkey Hill lemonade; Simply Lemonade; Minute Maid lemonade; Apple &amp; Eve lemonade; Minute Maid Limeade; Simply Limeade; lemonade, freshly squeezed)</t>
        </is>
      </c>
      <c r="C4324" s="1" t="n">
        <v>1</v>
      </c>
      <c r="D4324" s="1" t="inlineStr">
        <is>
          <t>Links to FNDDS</t>
        </is>
      </c>
      <c r="E4324" s="1" t="inlineStr">
        <is>
          <t>Base</t>
        </is>
      </c>
      <c r="F4324" s="1" t="n">
        <v>0.121295</v>
      </c>
    </row>
    <row r="4325" ht="15.75" customHeight="1" s="201">
      <c r="A4325" s="1" t="n">
        <v>92510960</v>
      </c>
      <c r="B4325" s="1" t="inlineStr">
        <is>
          <t>Lemonade, fruit flavored drink (Includes Snapple lemonade; Country Time lemonade flavored drink, canned; lemonade, NFS; limeade, NFS)</t>
        </is>
      </c>
      <c r="C4325" s="1" t="n">
        <v>2</v>
      </c>
      <c r="D4325" s="1" t="inlineStr">
        <is>
          <t>Links to altEC</t>
        </is>
      </c>
      <c r="E4325" s="1" t="inlineStr">
        <is>
          <t>Base</t>
        </is>
      </c>
      <c r="F4325" s="1" t="n">
        <v>0.08373700000000001</v>
      </c>
    </row>
    <row r="4326" ht="15.75" customHeight="1" s="201">
      <c r="A4326" s="1" t="n">
        <v>92511015</v>
      </c>
      <c r="B4326" s="1" t="inlineStr">
        <is>
          <t>Fruit flavored drink (Includes Kool-aid Bursts; Little Hug Fruit Drink, all flavors)</t>
        </is>
      </c>
      <c r="C4326" s="1" t="n">
        <v>1</v>
      </c>
      <c r="D4326" s="1" t="inlineStr">
        <is>
          <t>Links to FNDDS</t>
        </is>
      </c>
      <c r="E4326" s="1" t="inlineStr">
        <is>
          <t>Base</t>
        </is>
      </c>
      <c r="F4326" s="1" t="n">
        <v>0.11047</v>
      </c>
    </row>
    <row r="4327" ht="15.75" customHeight="1" s="201">
      <c r="A4327" s="1" t="n">
        <v>92512040</v>
      </c>
      <c r="B4327" s="1" t="inlineStr">
        <is>
          <t>Frozen daiquiri mix, frozen concentrate, not reconstituted</t>
        </is>
      </c>
      <c r="C4327" s="1" t="n">
        <v>1</v>
      </c>
      <c r="D4327" s="1" t="inlineStr">
        <is>
          <t>Links to FNDDS</t>
        </is>
      </c>
      <c r="E4327" s="1" t="inlineStr">
        <is>
          <t>Base</t>
        </is>
      </c>
      <c r="F4327" s="1" t="n">
        <v>0.750493</v>
      </c>
    </row>
    <row r="4328" ht="15.75" customHeight="1" s="201">
      <c r="A4328" s="1" t="n">
        <v>92512090</v>
      </c>
      <c r="B4328" s="1" t="inlineStr">
        <is>
          <t>Pina Colada, nonalcoholic</t>
        </is>
      </c>
      <c r="C4328" s="1" t="n">
        <v>1</v>
      </c>
      <c r="D4328" s="1" t="inlineStr">
        <is>
          <t>Links to FNDDS</t>
        </is>
      </c>
      <c r="E4328" s="1" t="inlineStr">
        <is>
          <t>Base</t>
        </is>
      </c>
      <c r="F4328" s="1" t="n">
        <v>0.27289</v>
      </c>
    </row>
    <row r="4329" ht="15.75" customHeight="1" s="201">
      <c r="A4329" s="1" t="n">
        <v>92512110</v>
      </c>
      <c r="B4329" s="1" t="inlineStr">
        <is>
          <t>Margarita mix, nonalcoholic (Includes Lemix; Whiskey sour mix)</t>
        </is>
      </c>
      <c r="C4329" s="1" t="n">
        <v>1</v>
      </c>
      <c r="D4329" s="1" t="inlineStr">
        <is>
          <t>Links to FNDDS</t>
        </is>
      </c>
      <c r="E4329" s="1" t="inlineStr">
        <is>
          <t>Base</t>
        </is>
      </c>
      <c r="F4329" s="1" t="n">
        <v>0.379741</v>
      </c>
    </row>
    <row r="4330" ht="15.75" customHeight="1" s="201">
      <c r="A4330" s="1" t="n">
        <v>92513000</v>
      </c>
      <c r="B4330" s="1" t="inlineStr">
        <is>
          <t>Slush frozen drink (Includes Slurpee; Icee; no dairy; slushee or slush; Slush Puppy, Dunkin Donuts Fruit Coolatta's)</t>
        </is>
      </c>
      <c r="C4330" s="1" t="n">
        <v>1</v>
      </c>
      <c r="D4330" s="1" t="inlineStr">
        <is>
          <t>Links to FNDDS</t>
        </is>
      </c>
      <c r="E4330" s="1" t="inlineStr">
        <is>
          <t>Base</t>
        </is>
      </c>
      <c r="F4330" s="1" t="n">
        <v>0.027952</v>
      </c>
    </row>
    <row r="4331" ht="15.75" customHeight="1" s="201">
      <c r="A4331" s="1" t="n">
        <v>92530410</v>
      </c>
      <c r="B4331" s="1" t="inlineStr">
        <is>
          <t>Fruit flavored drink, with high vitamin C (Includes Tampico Punch, all flavors; Minute Maid Bright &amp; Early Orange Drink; Tropicana Twister lemonade)</t>
        </is>
      </c>
      <c r="C4331" s="1" t="n">
        <v>1</v>
      </c>
      <c r="D4331" s="1" t="inlineStr">
        <is>
          <t>Links to FNDDS</t>
        </is>
      </c>
      <c r="E4331" s="1" t="inlineStr">
        <is>
          <t>Base</t>
        </is>
      </c>
      <c r="F4331" s="1" t="n">
        <v>0.08237899999999999</v>
      </c>
    </row>
    <row r="4332" ht="15.75" customHeight="1" s="201">
      <c r="A4332" s="1" t="n">
        <v>92530510</v>
      </c>
      <c r="B4332" s="1" t="inlineStr">
        <is>
          <t>Cranberry juice drink, with high vitamin C (Includes cranberry juice, NFS; Ocean Spray cranberry cocktail; blends with cranberry and other fruits; cranberry juice cocktail)</t>
        </is>
      </c>
      <c r="C4332" s="1" t="n">
        <v>2</v>
      </c>
      <c r="D4332" s="1" t="inlineStr">
        <is>
          <t>Links to altEC</t>
        </is>
      </c>
      <c r="E4332" s="1" t="inlineStr">
        <is>
          <t>Base</t>
        </is>
      </c>
      <c r="F4332" s="1" t="n">
        <v>0.139844</v>
      </c>
    </row>
    <row r="4333" ht="15.75" customHeight="1" s="201">
      <c r="A4333" s="1" t="n">
        <v>92530610</v>
      </c>
      <c r="B4333" s="1" t="inlineStr">
        <is>
          <t>Fruit juice drink, with high vitamin C (Includes Hi-C; Hawaiian Punch; Ssips; Apple &amp; Eve juice drinks; Florida's Naturals juice cocktails; Kool-Aid Jammers; Minute Maid; Ocean Spray juice drink or cocktail, flavors other than cranberry; Tropicana Twister, all flavors except lemonade; Tropicana Lemonade, chilled carton; Welch's fruit juice cocktails; fruit punch, NFS; Tropicana fruit punch; NS as to 100% juice; NS as to brand; Minute Maid Coolers)</t>
        </is>
      </c>
      <c r="C4333" s="1" t="n">
        <v>2</v>
      </c>
      <c r="D4333" s="1" t="inlineStr">
        <is>
          <t>Links to altEC</t>
        </is>
      </c>
      <c r="E4333" s="1" t="inlineStr">
        <is>
          <t>Base</t>
        </is>
      </c>
      <c r="F4333" s="1" t="n">
        <v>0.100089</v>
      </c>
    </row>
    <row r="4334" ht="15.75" customHeight="1" s="201">
      <c r="A4334" s="1" t="n">
        <v>92530950</v>
      </c>
      <c r="B4334" s="1" t="inlineStr">
        <is>
          <t>Vegetable and fruit juice drink, with high vitamin C (Includes V8 Splash, all flavors)</t>
        </is>
      </c>
      <c r="C4334" s="1" t="n">
        <v>1</v>
      </c>
      <c r="D4334" s="1" t="inlineStr">
        <is>
          <t>Links to FNDDS</t>
        </is>
      </c>
      <c r="E4334" s="1" t="inlineStr">
        <is>
          <t>Base</t>
        </is>
      </c>
      <c r="F4334" s="1" t="n">
        <v>0.139453</v>
      </c>
    </row>
    <row r="4335" ht="15.75" customHeight="1" s="201">
      <c r="A4335" s="1" t="n">
        <v>92531030</v>
      </c>
      <c r="B4335" s="1" t="inlineStr">
        <is>
          <t>Fruit juice drink (Sunny D) (Includes Sunny Delight fruit juice drink, all flavors)</t>
        </is>
      </c>
      <c r="C4335" s="1" t="n">
        <v>1</v>
      </c>
      <c r="D4335" s="1" t="inlineStr">
        <is>
          <t>Links to FNDDS</t>
        </is>
      </c>
      <c r="E4335" s="1" t="inlineStr">
        <is>
          <t>Base</t>
        </is>
      </c>
      <c r="F4335" s="1" t="n">
        <v>0.086105</v>
      </c>
    </row>
    <row r="4336" ht="15.75" customHeight="1" s="201">
      <c r="A4336" s="1" t="n">
        <v>92541010</v>
      </c>
      <c r="B4336" s="1" t="inlineStr">
        <is>
          <t>Fruit flavored drink, powdered, reconstituted (Includes Kool-Aid, NS as to sweetener; Wylers, NS as to sweetener; Country Time lemonade, made from dry mix; Flavor Aid; lemonade from powdered mix, NS as to brand; store brand)</t>
        </is>
      </c>
      <c r="C4336" s="1" t="n">
        <v>2</v>
      </c>
      <c r="D4336" s="1" t="inlineStr">
        <is>
          <t>Links to altEC</t>
        </is>
      </c>
      <c r="E4336" s="1" t="inlineStr">
        <is>
          <t>Base</t>
        </is>
      </c>
      <c r="F4336" s="1" t="n">
        <v>0.048902</v>
      </c>
    </row>
    <row r="4337" ht="15.75" customHeight="1" s="201">
      <c r="A4337" s="1" t="n">
        <v>92542000</v>
      </c>
      <c r="B4337" s="1" t="inlineStr">
        <is>
          <t>Fruit flavored drink, with high vitamin C, powdered, reconstituted (Includes Tang, all flavors)</t>
        </is>
      </c>
      <c r="C4337" s="1" t="n">
        <v>2</v>
      </c>
      <c r="D4337" s="1" t="inlineStr">
        <is>
          <t>Links to altEC</t>
        </is>
      </c>
      <c r="E4337" s="1" t="inlineStr">
        <is>
          <t>Base</t>
        </is>
      </c>
      <c r="F4337" s="1" t="n">
        <v>0.042615</v>
      </c>
    </row>
    <row r="4338" ht="15.75" customHeight="1" s="201">
      <c r="A4338" s="1" t="n">
        <v>92550030</v>
      </c>
      <c r="B4338" s="1" t="inlineStr">
        <is>
          <t>Fruit juice drink, with high vitamin C, light (Includes Minute Maid Light juice drinks; Tropicana Light lemonade; Light Hawaiian Punch; low calorie)</t>
        </is>
      </c>
      <c r="C4338" s="1" t="n">
        <v>1</v>
      </c>
      <c r="D4338" s="1" t="inlineStr">
        <is>
          <t>Links to FNDDS</t>
        </is>
      </c>
      <c r="E4338" s="1" t="inlineStr">
        <is>
          <t>Base</t>
        </is>
      </c>
      <c r="F4338" s="1" t="n">
        <v>0.125182</v>
      </c>
    </row>
    <row r="4339" ht="15.75" customHeight="1" s="201">
      <c r="A4339" s="1" t="n">
        <v>92550035</v>
      </c>
      <c r="B4339" s="1" t="inlineStr">
        <is>
          <t>Fruit juice drink, light (Includes reduced sugar)</t>
        </is>
      </c>
      <c r="C4339" s="1" t="n">
        <v>1</v>
      </c>
      <c r="D4339" s="1" t="inlineStr">
        <is>
          <t>Links to FNDDS</t>
        </is>
      </c>
      <c r="E4339" s="1" t="inlineStr">
        <is>
          <t>Base</t>
        </is>
      </c>
      <c r="F4339" s="1" t="n">
        <v>0.178589</v>
      </c>
    </row>
    <row r="4340" ht="15.75" customHeight="1" s="201">
      <c r="A4340" s="1" t="n">
        <v>92550040</v>
      </c>
      <c r="B4340" s="1" t="inlineStr">
        <is>
          <t>Fruit juice drink, diet (Includes Diet Snapple juice drinks, all flavors)</t>
        </is>
      </c>
      <c r="C4340" s="1" t="n">
        <v>2</v>
      </c>
      <c r="D4340" s="1" t="inlineStr">
        <is>
          <t>Links to altEC</t>
        </is>
      </c>
      <c r="E4340" s="1" t="inlineStr">
        <is>
          <t>Base</t>
        </is>
      </c>
      <c r="F4340" s="1" t="n">
        <v>0.192715</v>
      </c>
    </row>
    <row r="4341" ht="15.75" customHeight="1" s="201">
      <c r="A4341" s="1" t="n">
        <v>92550110</v>
      </c>
      <c r="B4341" s="1" t="inlineStr">
        <is>
          <t>Cranberry juice drink, with high vitamin C, light (Includes Ocean Spray Light Cranberry Juice Cocktail; blends with cranberry and other fruits; Apple &amp; Eve Light Cranberry juice drinks; low calorie)</t>
        </is>
      </c>
      <c r="C4341" s="1" t="n">
        <v>1</v>
      </c>
      <c r="D4341" s="1" t="inlineStr">
        <is>
          <t>Links to FNDDS</t>
        </is>
      </c>
      <c r="E4341" s="1" t="inlineStr">
        <is>
          <t>Base</t>
        </is>
      </c>
      <c r="F4341" s="1" t="n">
        <v>0.137801</v>
      </c>
    </row>
    <row r="4342" ht="15.75" customHeight="1" s="201">
      <c r="A4342" s="1" t="n">
        <v>92550200</v>
      </c>
      <c r="B4342" s="1" t="inlineStr">
        <is>
          <t>Grape juice drink, light (Includes Welch's Light juice drinks)</t>
        </is>
      </c>
      <c r="C4342" s="1" t="n">
        <v>1</v>
      </c>
      <c r="D4342" s="1" t="inlineStr">
        <is>
          <t>Links to FNDDS</t>
        </is>
      </c>
      <c r="E4342" s="1" t="inlineStr">
        <is>
          <t>Base</t>
        </is>
      </c>
      <c r="F4342" s="1" t="n">
        <v>0.162684</v>
      </c>
    </row>
    <row r="4343" ht="15.75" customHeight="1" s="201">
      <c r="A4343" s="1" t="n">
        <v>92550350</v>
      </c>
      <c r="B4343" s="1" t="inlineStr">
        <is>
          <t>Orange juice beverage, 40-50% juice, light (Includes Tropicana Trop 50 Orange or Pineapple Mango; Minute Maid Light; Dole Light; 50% reduced sugar orange juice beverage)</t>
        </is>
      </c>
      <c r="C4343" s="1" t="n">
        <v>1</v>
      </c>
      <c r="D4343" s="1" t="inlineStr">
        <is>
          <t>Links to FNDDS</t>
        </is>
      </c>
      <c r="E4343" s="1" t="inlineStr">
        <is>
          <t>Base</t>
        </is>
      </c>
      <c r="F4343" s="1" t="n">
        <v>0.20142</v>
      </c>
    </row>
    <row r="4344" ht="15.75" customHeight="1" s="201">
      <c r="A4344" s="1" t="n">
        <v>92550360</v>
      </c>
      <c r="B4344" s="1" t="inlineStr">
        <is>
          <t>Apple juice beverage, 40-50% juice, light (Includes Tropicana Trop 50; Mott's Light; 50% reduced sugar apple juice beverage)</t>
        </is>
      </c>
      <c r="C4344" s="1" t="n">
        <v>2</v>
      </c>
      <c r="D4344" s="1" t="inlineStr">
        <is>
          <t>Links to altEC</t>
        </is>
      </c>
      <c r="E4344" s="1" t="inlineStr">
        <is>
          <t>Base</t>
        </is>
      </c>
      <c r="F4344" s="1" t="n">
        <v>0.199603</v>
      </c>
    </row>
    <row r="4345" ht="15.75" customHeight="1" s="201">
      <c r="A4345" s="1" t="n">
        <v>92550370</v>
      </c>
      <c r="B4345" s="1" t="inlineStr">
        <is>
          <t>Lemonade, fruit juice drink, light (Includes Tropicana Trop 50 Lemonade)</t>
        </is>
      </c>
      <c r="C4345" s="1" t="n">
        <v>1</v>
      </c>
      <c r="D4345" s="1" t="inlineStr">
        <is>
          <t>Links to FNDDS</t>
        </is>
      </c>
      <c r="E4345" s="1" t="inlineStr">
        <is>
          <t>Base</t>
        </is>
      </c>
      <c r="F4345" s="1" t="n">
        <v>0.124686</v>
      </c>
    </row>
    <row r="4346" ht="15.75" customHeight="1" s="201">
      <c r="A4346" s="1" t="n">
        <v>92550380</v>
      </c>
      <c r="B4346" s="1" t="inlineStr">
        <is>
          <t>Pomegranate juice beverage, 40-50% juice, light (Includes POM Lite, all flavors)</t>
        </is>
      </c>
      <c r="C4346" s="1" t="n">
        <v>1</v>
      </c>
      <c r="D4346" s="1" t="inlineStr">
        <is>
          <t>Links to FNDDS</t>
        </is>
      </c>
      <c r="E4346" s="1" t="inlineStr">
        <is>
          <t>Base</t>
        </is>
      </c>
      <c r="F4346" s="1" t="n">
        <v>0.168057</v>
      </c>
    </row>
    <row r="4347" ht="15.75" customHeight="1" s="201">
      <c r="A4347" s="1" t="n">
        <v>92550400</v>
      </c>
      <c r="B4347" s="1" t="inlineStr">
        <is>
          <t>Vegetable and fruit juice drink, with high vitamin C, diet (Includes Diet V8 Splash, all flavors; low calorie)</t>
        </is>
      </c>
      <c r="C4347" s="1" t="n">
        <v>2</v>
      </c>
      <c r="D4347" s="1" t="inlineStr">
        <is>
          <t>Links to altEC</t>
        </is>
      </c>
      <c r="E4347" s="1" t="inlineStr">
        <is>
          <t>Base</t>
        </is>
      </c>
      <c r="F4347" s="1" t="n">
        <v>0.156057</v>
      </c>
    </row>
    <row r="4348" ht="15.75" customHeight="1" s="201">
      <c r="A4348" s="1" t="n">
        <v>92550405</v>
      </c>
      <c r="B4348" s="1" t="inlineStr">
        <is>
          <t>Vegetable and fruit juice drink, with high vitamin C, light (Includes V8 V-Fusion Light, all flavors; low calorie)</t>
        </is>
      </c>
      <c r="C4348" s="1" t="n">
        <v>1</v>
      </c>
      <c r="D4348" s="1" t="inlineStr">
        <is>
          <t>Links to FNDDS</t>
        </is>
      </c>
      <c r="E4348" s="1" t="inlineStr">
        <is>
          <t>Base</t>
        </is>
      </c>
      <c r="F4348" s="1" t="n">
        <v>0.156057</v>
      </c>
    </row>
    <row r="4349" ht="15.75" customHeight="1" s="201">
      <c r="A4349" s="1" t="n">
        <v>92550610</v>
      </c>
      <c r="B4349" s="1" t="inlineStr">
        <is>
          <t>Fruit flavored drink, with high vitamin C, diet (Includes Diet Ocean Spray Juice Drinks, all flavors; Diet Ocean Spray cranberry, blueberry, or pomegranate blends)</t>
        </is>
      </c>
      <c r="C4349" s="1" t="n">
        <v>1</v>
      </c>
      <c r="D4349" s="1" t="inlineStr">
        <is>
          <t>Links to FNDDS</t>
        </is>
      </c>
      <c r="E4349" s="1" t="inlineStr">
        <is>
          <t>Base</t>
        </is>
      </c>
      <c r="F4349" s="1" t="n">
        <v>0.254379</v>
      </c>
    </row>
    <row r="4350" ht="15.75" customHeight="1" s="201">
      <c r="A4350" s="1" t="n">
        <v>92550620</v>
      </c>
      <c r="B4350" s="1" t="inlineStr">
        <is>
          <t>Fruit flavored drink, diet (Includes Crystal Light; Minute Maid Light lemonade and other fruit flavored drinks; low calorie)</t>
        </is>
      </c>
      <c r="C4350" s="1" t="n">
        <v>1</v>
      </c>
      <c r="D4350" s="1" t="inlineStr">
        <is>
          <t>Links to FNDDS</t>
        </is>
      </c>
      <c r="E4350" s="1" t="inlineStr">
        <is>
          <t>Base</t>
        </is>
      </c>
      <c r="F4350" s="1" t="n">
        <v>0.177803</v>
      </c>
    </row>
    <row r="4351" ht="15.75" customHeight="1" s="201">
      <c r="A4351" s="1" t="n">
        <v>92552010</v>
      </c>
      <c r="B4351" s="1" t="inlineStr">
        <is>
          <t>Fruit flavored drink, powdered, reconstituted, diet (Includes Crystal Light; Sugar Free Kool-Aid; Wyler's Light; lemonade from low calorie powdered mix, NS as to brand)</t>
        </is>
      </c>
      <c r="C4351" s="1" t="n">
        <v>2</v>
      </c>
      <c r="D4351" s="1" t="inlineStr">
        <is>
          <t>Links to altEC</t>
        </is>
      </c>
      <c r="E4351" s="1" t="inlineStr">
        <is>
          <t>Base</t>
        </is>
      </c>
      <c r="F4351" s="1" t="n">
        <v>0.016592</v>
      </c>
    </row>
    <row r="4352" ht="15.75" customHeight="1" s="201">
      <c r="A4352" s="1" t="n">
        <v>92552020</v>
      </c>
      <c r="B4352" s="1" t="inlineStr">
        <is>
          <t>Fruit juice drink, reduced sugar (Sunny D) (Includes Reduced Sugar Sunny Delight fruit juice drink, all flavors)</t>
        </is>
      </c>
      <c r="C4352" s="1" t="n">
        <v>1</v>
      </c>
      <c r="D4352" s="1" t="inlineStr">
        <is>
          <t>Links to FNDDS</t>
        </is>
      </c>
      <c r="E4352" s="1" t="inlineStr">
        <is>
          <t>Base</t>
        </is>
      </c>
      <c r="F4352" s="1" t="n">
        <v>0.127294</v>
      </c>
    </row>
    <row r="4353" ht="15.75" customHeight="1" s="201">
      <c r="A4353" s="1" t="n">
        <v>92552030</v>
      </c>
      <c r="B4353" s="1" t="inlineStr">
        <is>
          <t>Fruit juice drink (Capri Sun) (Includes Capri Sun, NFS; Capri Sun 25% less sugar)</t>
        </is>
      </c>
      <c r="C4353" s="1" t="n">
        <v>1</v>
      </c>
      <c r="D4353" s="1" t="inlineStr">
        <is>
          <t>Links to FNDDS</t>
        </is>
      </c>
      <c r="E4353" s="1" t="inlineStr">
        <is>
          <t>Base</t>
        </is>
      </c>
      <c r="F4353" s="1" t="n">
        <v>0.123125</v>
      </c>
    </row>
    <row r="4354" ht="15.75" customHeight="1" s="201">
      <c r="A4354" s="1" t="n">
        <v>92582100</v>
      </c>
      <c r="B4354" s="1" t="inlineStr">
        <is>
          <t>Fruit juice drink, with high vitamin C, plus added calcium</t>
        </is>
      </c>
      <c r="C4354" s="1" t="n">
        <v>2</v>
      </c>
      <c r="D4354" s="1" t="inlineStr">
        <is>
          <t>Links to altEC</t>
        </is>
      </c>
      <c r="E4354" s="1" t="inlineStr">
        <is>
          <t>Base</t>
        </is>
      </c>
      <c r="F4354" s="1" t="n">
        <v>0.08416800000000001</v>
      </c>
    </row>
    <row r="4355" ht="15.75" customHeight="1" s="201">
      <c r="A4355" s="1" t="n">
        <v>92582110</v>
      </c>
      <c r="B4355" s="1" t="inlineStr">
        <is>
          <t>Fruit juice drink, added calcium (Sunny D) (Includes Sunny Delight Calcium fruit juice drink, all flavors)</t>
        </is>
      </c>
      <c r="C4355" s="1" t="n">
        <v>2</v>
      </c>
      <c r="D4355" s="1" t="inlineStr">
        <is>
          <t>Links to altEC</t>
        </is>
      </c>
      <c r="E4355" s="1" t="inlineStr">
        <is>
          <t>Base</t>
        </is>
      </c>
      <c r="F4355" s="1" t="n">
        <v>0.086105</v>
      </c>
    </row>
    <row r="4356" ht="15.75" customHeight="1" s="201">
      <c r="A4356" s="1" t="n">
        <v>92610020</v>
      </c>
      <c r="B4356" s="1" t="inlineStr">
        <is>
          <t>Horchata beverage, made with water (Includes Horchata, NFS; Horchata de arroz; Horchata de almendras; made with rice, nuts, or seeds)</t>
        </is>
      </c>
      <c r="C4356" s="1" t="n">
        <v>2</v>
      </c>
      <c r="D4356" s="1" t="inlineStr">
        <is>
          <t>Links to altEC</t>
        </is>
      </c>
      <c r="E4356" s="1" t="inlineStr">
        <is>
          <t>Base</t>
        </is>
      </c>
      <c r="F4356" s="1" t="n">
        <v>0.113076</v>
      </c>
    </row>
    <row r="4357" ht="15.75" customHeight="1" s="201">
      <c r="A4357" s="1" t="n">
        <v>92611010</v>
      </c>
      <c r="B4357" s="1" t="inlineStr">
        <is>
          <t>Oatmeal beverage with water (Includes Frescavena; Refresco de avena)</t>
        </is>
      </c>
      <c r="C4357" s="1" t="n">
        <v>1</v>
      </c>
      <c r="D4357" s="1" t="inlineStr">
        <is>
          <t>Links to FNDDS</t>
        </is>
      </c>
      <c r="E4357" s="1" t="inlineStr">
        <is>
          <t>Base</t>
        </is>
      </c>
      <c r="F4357" s="1" t="n">
        <v>0.331417</v>
      </c>
    </row>
    <row r="4358" ht="15.75" customHeight="1" s="201">
      <c r="A4358" s="1" t="n">
        <v>92613010</v>
      </c>
      <c r="B4358" s="1" t="inlineStr">
        <is>
          <t>Cornmeal beverage (Includes Atole)</t>
        </is>
      </c>
      <c r="C4358" s="1" t="n">
        <v>2</v>
      </c>
      <c r="D4358" s="1" t="inlineStr">
        <is>
          <t>Links to altEC</t>
        </is>
      </c>
      <c r="E4358" s="1" t="inlineStr">
        <is>
          <t>Base</t>
        </is>
      </c>
      <c r="F4358" s="1" t="n">
        <v>0.113076</v>
      </c>
    </row>
    <row r="4359" ht="15.75" customHeight="1" s="201">
      <c r="A4359" s="1" t="n">
        <v>92613510</v>
      </c>
      <c r="B4359" s="1" t="inlineStr">
        <is>
          <t>Cornmeal beverage with chocolate milk (Includes Atole de chocolate; Champurrado)</t>
        </is>
      </c>
      <c r="C4359" s="1" t="n">
        <v>2</v>
      </c>
      <c r="D4359" s="1" t="inlineStr">
        <is>
          <t>Links to altEC</t>
        </is>
      </c>
      <c r="E4359" s="1" t="inlineStr">
        <is>
          <t>Base</t>
        </is>
      </c>
      <c r="F4359" s="1" t="n">
        <v>0.113076</v>
      </c>
    </row>
    <row r="4360" ht="15.75" customHeight="1" s="201">
      <c r="A4360" s="1" t="n">
        <v>92803000</v>
      </c>
      <c r="B4360" s="1" t="inlineStr">
        <is>
          <t>Nonalcoholic malt beverage (Includes "nonalcoholic beer"; Near beer; Malta Vitarroz; Malta Goya; Malta India; Sharp's; O'Douls)</t>
        </is>
      </c>
      <c r="C4360" s="1" t="n">
        <v>1</v>
      </c>
      <c r="D4360" s="1" t="inlineStr">
        <is>
          <t>Links to FNDDS</t>
        </is>
      </c>
      <c r="E4360" s="1" t="inlineStr">
        <is>
          <t>Base</t>
        </is>
      </c>
      <c r="F4360" s="1" t="n">
        <v>0.272196</v>
      </c>
    </row>
    <row r="4361" ht="15.75" customHeight="1" s="201">
      <c r="A4361" s="1" t="n">
        <v>92804000</v>
      </c>
      <c r="B4361" s="1" t="inlineStr">
        <is>
          <t>Shirley Temple</t>
        </is>
      </c>
      <c r="C4361" s="1" t="n">
        <v>2</v>
      </c>
      <c r="D4361" s="1" t="inlineStr">
        <is>
          <t>Links to altEC</t>
        </is>
      </c>
      <c r="E4361" s="1" t="inlineStr">
        <is>
          <t>Base</t>
        </is>
      </c>
      <c r="F4361" s="1" t="n">
        <v>0.27289</v>
      </c>
    </row>
    <row r="4362" ht="15.75" customHeight="1" s="201">
      <c r="A4362" s="1" t="n">
        <v>93101000</v>
      </c>
      <c r="B4362" s="1" t="inlineStr">
        <is>
          <t>Beer (Includes beer, regular; NS as to type)</t>
        </is>
      </c>
      <c r="C4362" s="1" t="n">
        <v>1</v>
      </c>
      <c r="D4362" s="1" t="inlineStr">
        <is>
          <t>Links to FNDDS</t>
        </is>
      </c>
      <c r="E4362" s="1" t="inlineStr">
        <is>
          <t>Base</t>
        </is>
      </c>
      <c r="F4362" s="1" t="n">
        <v>0.296379</v>
      </c>
    </row>
    <row r="4363" ht="15.75" customHeight="1" s="201">
      <c r="A4363" s="1" t="n">
        <v>93102000</v>
      </c>
      <c r="B4363" s="1" t="inlineStr">
        <is>
          <t>Beer, light (Includes lite)</t>
        </is>
      </c>
      <c r="C4363" s="1" t="n">
        <v>1</v>
      </c>
      <c r="D4363" s="1" t="inlineStr">
        <is>
          <t>Links to FNDDS</t>
        </is>
      </c>
      <c r="E4363" s="1" t="inlineStr">
        <is>
          <t>Base</t>
        </is>
      </c>
      <c r="F4363" s="1" t="n">
        <v>0.220788</v>
      </c>
    </row>
    <row r="4364" ht="15.75" customHeight="1" s="201">
      <c r="A4364" s="1" t="n">
        <v>93102100</v>
      </c>
      <c r="B4364" s="1" t="inlineStr">
        <is>
          <t>Beer, low carb (Includes Budweiser Select 55; Miller 64; Pabst Extra Light Low Alcohol; Aspen Edge; Michelob Ultra)</t>
        </is>
      </c>
      <c r="C4364" s="1" t="n">
        <v>1</v>
      </c>
      <c r="D4364" s="1" t="inlineStr">
        <is>
          <t>Links to FNDDS</t>
        </is>
      </c>
      <c r="E4364" s="1" t="inlineStr">
        <is>
          <t>Base</t>
        </is>
      </c>
      <c r="F4364" s="1" t="n">
        <v>0.283082</v>
      </c>
    </row>
    <row r="4365" ht="15.75" customHeight="1" s="201">
      <c r="A4365" s="1" t="n">
        <v>93102300</v>
      </c>
      <c r="B4365" s="1" t="inlineStr">
        <is>
          <t>Beer, higher alcohol (Includes barley wine)</t>
        </is>
      </c>
      <c r="C4365" s="1" t="n">
        <v>1</v>
      </c>
      <c r="D4365" s="1" t="inlineStr">
        <is>
          <t>Links to FNDDS</t>
        </is>
      </c>
      <c r="E4365" s="1" t="inlineStr">
        <is>
          <t>Base</t>
        </is>
      </c>
      <c r="F4365" s="1" t="n">
        <v>0.346775</v>
      </c>
    </row>
    <row r="4366" ht="15.75" customHeight="1" s="201">
      <c r="A4366" s="1" t="n">
        <v>93106000</v>
      </c>
      <c r="B4366" s="1" t="inlineStr">
        <is>
          <t>Alcoholic malt beverage, sweetened (Includes Mike's Hard lemonade, all flavors; Hard Lemonade; Hard Punch; Hard Tea; Twisted Tea; Four Loko; Smirnoff Ice; NS as to sweetened)</t>
        </is>
      </c>
      <c r="C4366" s="1" t="n">
        <v>1</v>
      </c>
      <c r="D4366" s="1" t="inlineStr">
        <is>
          <t>Links to FNDDS</t>
        </is>
      </c>
      <c r="E4366" s="1" t="inlineStr">
        <is>
          <t>Base</t>
        </is>
      </c>
      <c r="F4366" s="1" t="n">
        <v>0.376661</v>
      </c>
    </row>
    <row r="4367" ht="15.75" customHeight="1" s="201">
      <c r="A4367" s="1" t="n">
        <v>93106500</v>
      </c>
      <c r="B4367" s="1" t="inlineStr">
        <is>
          <t>Hard cider (Includes hard apple cider; Woodchuck; Strongbow; Crispin)</t>
        </is>
      </c>
      <c r="C4367" s="1" t="n">
        <v>1</v>
      </c>
      <c r="D4367" s="1" t="inlineStr">
        <is>
          <t>Links to FNDDS</t>
        </is>
      </c>
      <c r="E4367" s="1" t="inlineStr">
        <is>
          <t>Base</t>
        </is>
      </c>
      <c r="F4367" s="1" t="n">
        <v>0.427727</v>
      </c>
    </row>
    <row r="4368" ht="15.75" customHeight="1" s="201">
      <c r="A4368" s="1" t="n">
        <v>93201000</v>
      </c>
      <c r="B4368" s="1" t="inlineStr">
        <is>
          <t>Cordial or liqueur (Includes amaretto; anisette; benedictine; chartreuse; cointreau; creme de menthe; curacao; drambuie; grenadine; kirsch; kummel; sloe gin; triple sec; schnapps; Jagermeister)</t>
        </is>
      </c>
      <c r="C4368" s="1" t="n">
        <v>1</v>
      </c>
      <c r="D4368" s="1" t="inlineStr">
        <is>
          <t>Links to FNDDS</t>
        </is>
      </c>
      <c r="E4368" s="1" t="inlineStr">
        <is>
          <t>Base</t>
        </is>
      </c>
      <c r="F4368" s="1" t="n">
        <v>2.294827</v>
      </c>
    </row>
    <row r="4369" ht="15.75" customHeight="1" s="201">
      <c r="A4369" s="1" t="n">
        <v>93301032</v>
      </c>
      <c r="B4369" s="1" t="inlineStr">
        <is>
          <t>Cape Cod (Includes vodka and cranberry juice; Cape Codder)</t>
        </is>
      </c>
      <c r="C4369" s="1" t="n">
        <v>1</v>
      </c>
      <c r="D4369" s="1" t="inlineStr">
        <is>
          <t>Links to FNDDS</t>
        </is>
      </c>
      <c r="E4369" s="1" t="inlineStr">
        <is>
          <t>Base</t>
        </is>
      </c>
      <c r="F4369" s="1" t="n">
        <v>0.478249</v>
      </c>
    </row>
    <row r="4370" ht="15.75" customHeight="1" s="201">
      <c r="A4370" s="1" t="n">
        <v>93301060</v>
      </c>
      <c r="B4370" s="1" t="inlineStr">
        <is>
          <t>Gin and Tonic</t>
        </is>
      </c>
      <c r="C4370" s="1" t="n">
        <v>1</v>
      </c>
      <c r="D4370" s="1" t="inlineStr">
        <is>
          <t>Links to FNDDS</t>
        </is>
      </c>
      <c r="E4370" s="1" t="inlineStr">
        <is>
          <t>Base</t>
        </is>
      </c>
      <c r="F4370" s="1" t="n">
        <v>0.912058</v>
      </c>
    </row>
    <row r="4371" ht="15.75" customHeight="1" s="201">
      <c r="A4371" s="1" t="n">
        <v>93301100</v>
      </c>
      <c r="B4371" s="1" t="inlineStr">
        <is>
          <t>Margarita (Includes margarita on the rocks)</t>
        </is>
      </c>
      <c r="C4371" s="1" t="n">
        <v>1</v>
      </c>
      <c r="D4371" s="1" t="inlineStr">
        <is>
          <t>Links to FNDDS</t>
        </is>
      </c>
      <c r="E4371" s="1" t="inlineStr">
        <is>
          <t>Base</t>
        </is>
      </c>
      <c r="F4371" s="1" t="n">
        <v>0.825618</v>
      </c>
    </row>
    <row r="4372" ht="15.75" customHeight="1" s="201">
      <c r="A4372" s="1" t="n">
        <v>93301140</v>
      </c>
      <c r="B4372" s="1" t="inlineStr">
        <is>
          <t>Screwdriver (Includes Harvey Wallbanger; Slo-Screw; vodka and orange juice)</t>
        </is>
      </c>
      <c r="C4372" s="1" t="n">
        <v>2</v>
      </c>
      <c r="D4372" s="1" t="inlineStr">
        <is>
          <t>Links to altEC</t>
        </is>
      </c>
      <c r="E4372" s="1" t="inlineStr">
        <is>
          <t>Base</t>
        </is>
      </c>
      <c r="F4372" s="1" t="n">
        <v>1.580476</v>
      </c>
    </row>
    <row r="4373" ht="15.75" customHeight="1" s="201">
      <c r="A4373" s="1" t="n">
        <v>93301182</v>
      </c>
      <c r="B4373" s="1" t="inlineStr">
        <is>
          <t>Whiskey and cola (Includes bourbon, rye, whiskey, scotch, or Southern Comfort with cola-type drinks; Coke, Coca Cola, Pepsi, RC Cola; Jack Daniel's and coke)</t>
        </is>
      </c>
      <c r="C4373" s="1" t="n">
        <v>2</v>
      </c>
      <c r="D4373" s="1" t="inlineStr">
        <is>
          <t>Links to altEC</t>
        </is>
      </c>
      <c r="E4373" s="1" t="inlineStr">
        <is>
          <t>Base</t>
        </is>
      </c>
      <c r="F4373" s="1" t="n">
        <v>0.903667</v>
      </c>
    </row>
    <row r="4374" ht="15.75" customHeight="1" s="201">
      <c r="A4374" s="1" t="n">
        <v>93301190</v>
      </c>
      <c r="B4374" s="1" t="inlineStr">
        <is>
          <t>Rum and cola (Includes rum with cola-type drinks such as Coke, Coca Cola, Pepsi, RC Cola)</t>
        </is>
      </c>
      <c r="C4374" s="1" t="n">
        <v>1</v>
      </c>
      <c r="D4374" s="1" t="inlineStr">
        <is>
          <t>Links to FNDDS</t>
        </is>
      </c>
      <c r="E4374" s="1" t="inlineStr">
        <is>
          <t>Base</t>
        </is>
      </c>
      <c r="F4374" s="1" t="n">
        <v>0.903667</v>
      </c>
    </row>
    <row r="4375" ht="15.75" customHeight="1" s="201">
      <c r="A4375" s="1" t="n">
        <v>93301510</v>
      </c>
      <c r="B4375" s="1" t="inlineStr">
        <is>
          <t>Frozen margarita</t>
        </is>
      </c>
      <c r="C4375" s="1" t="n">
        <v>2</v>
      </c>
      <c r="D4375" s="1" t="inlineStr">
        <is>
          <t>Links to altEC</t>
        </is>
      </c>
      <c r="E4375" s="1" t="inlineStr">
        <is>
          <t>Base</t>
        </is>
      </c>
      <c r="F4375" s="1" t="n">
        <v>0.825618</v>
      </c>
    </row>
    <row r="4376" ht="15.75" customHeight="1" s="201">
      <c r="A4376" s="1" t="n">
        <v>93401010</v>
      </c>
      <c r="B4376" s="1" t="inlineStr">
        <is>
          <t>Wine, table, red (Includes burgundy; cabernet; claret; chianti; dry sherry; homemade wine; merlot; pinot noir; zinfandel; NS as to type)</t>
        </is>
      </c>
      <c r="C4376" s="1" t="n">
        <v>1</v>
      </c>
      <c r="D4376" s="1" t="inlineStr">
        <is>
          <t>Links to FNDDS</t>
        </is>
      </c>
      <c r="E4376" s="1" t="inlineStr">
        <is>
          <t>Base</t>
        </is>
      </c>
      <c r="F4376" s="1" t="n">
        <v>1.003639</v>
      </c>
    </row>
    <row r="4377" ht="15.75" customHeight="1" s="201">
      <c r="A4377" s="1" t="n">
        <v>93401020</v>
      </c>
      <c r="B4377" s="1" t="inlineStr">
        <is>
          <t>Wine, table, white (Includes chardonnay; chablis; champagne; homemade wine; pinot blanc; pinot gris (grigio); reisling; rhine; sauterne; sauvignon blanc)</t>
        </is>
      </c>
      <c r="C4377" s="1" t="n">
        <v>1</v>
      </c>
      <c r="D4377" s="1" t="inlineStr">
        <is>
          <t>Links to FNDDS</t>
        </is>
      </c>
      <c r="E4377" s="1" t="inlineStr">
        <is>
          <t>Base</t>
        </is>
      </c>
      <c r="F4377" s="1" t="n">
        <v>0.929445</v>
      </c>
    </row>
    <row r="4378" ht="15.75" customHeight="1" s="201">
      <c r="A4378" s="1" t="n">
        <v>93401030</v>
      </c>
      <c r="B4378" s="1" t="inlineStr">
        <is>
          <t>Wine, table, rose (Includes pink or blush; White Zinfandel)</t>
        </is>
      </c>
      <c r="C4378" s="1" t="n">
        <v>1</v>
      </c>
      <c r="D4378" s="1" t="inlineStr">
        <is>
          <t>Links to FNDDS</t>
        </is>
      </c>
      <c r="E4378" s="1" t="inlineStr">
        <is>
          <t>Base</t>
        </is>
      </c>
      <c r="F4378" s="1" t="n">
        <v>0.704166</v>
      </c>
    </row>
    <row r="4379" ht="15.75" customHeight="1" s="201">
      <c r="A4379" s="1" t="n">
        <v>93401100</v>
      </c>
      <c r="B4379" s="1" t="inlineStr">
        <is>
          <t>Wine, rice (Includes saki or sake; Japanese wine; Korean wine)</t>
        </is>
      </c>
      <c r="C4379" s="1" t="n">
        <v>1</v>
      </c>
      <c r="D4379" s="1" t="inlineStr">
        <is>
          <t>Links to FNDDS</t>
        </is>
      </c>
      <c r="E4379" s="1" t="inlineStr">
        <is>
          <t>Base</t>
        </is>
      </c>
      <c r="F4379" s="1" t="n">
        <v>1.035656</v>
      </c>
    </row>
    <row r="4380" ht="15.75" customHeight="1" s="201">
      <c r="A4380" s="1" t="n">
        <v>93402000</v>
      </c>
      <c r="B4380" s="1" t="inlineStr">
        <is>
          <t>Wine, dessert, sweet (Includes marsala; port; tokay; madeira; muscatel; angelica; sherry; sweet vermouth; Harvey's Bristol Cream)</t>
        </is>
      </c>
      <c r="C4380" s="1" t="n">
        <v>1</v>
      </c>
      <c r="D4380" s="1" t="inlineStr">
        <is>
          <t>Links to FNDDS</t>
        </is>
      </c>
      <c r="E4380" s="1" t="inlineStr">
        <is>
          <t>Base</t>
        </is>
      </c>
      <c r="F4380" s="1" t="n">
        <v>0.97787</v>
      </c>
    </row>
    <row r="4381" ht="15.75" customHeight="1" s="201">
      <c r="A4381" s="1" t="n">
        <v>93404000</v>
      </c>
      <c r="B4381" s="1" t="inlineStr">
        <is>
          <t>Wine cooler (Includes all flavors)</t>
        </is>
      </c>
      <c r="C4381" s="1" t="n">
        <v>1</v>
      </c>
      <c r="D4381" s="1" t="inlineStr">
        <is>
          <t>Links to FNDDS</t>
        </is>
      </c>
      <c r="E4381" s="1" t="inlineStr">
        <is>
          <t>Base</t>
        </is>
      </c>
      <c r="F4381" s="1" t="n">
        <v>0.666556</v>
      </c>
    </row>
    <row r="4382" ht="15.75" customHeight="1" s="201">
      <c r="A4382" s="1" t="n">
        <v>93501000</v>
      </c>
      <c r="B4382" s="1" t="inlineStr">
        <is>
          <t>Brandy (Includes applejack; cognac; Hennessy; straight up or on the rocks)</t>
        </is>
      </c>
      <c r="C4382" s="1" t="n">
        <v>1</v>
      </c>
      <c r="D4382" s="1" t="inlineStr">
        <is>
          <t>Links to FNDDS</t>
        </is>
      </c>
      <c r="E4382" s="1" t="inlineStr">
        <is>
          <t>Base</t>
        </is>
      </c>
      <c r="F4382" s="1" t="n">
        <v>2.494237</v>
      </c>
    </row>
    <row r="4383" ht="15.75" customHeight="1" s="201">
      <c r="A4383" s="1" t="n">
        <v>93502000</v>
      </c>
      <c r="B4383" s="1" t="inlineStr">
        <is>
          <t>Whiskey (Includes bourbon; rye; Southern Comfort; straight up or on the rocks)</t>
        </is>
      </c>
      <c r="C4383" s="1" t="n">
        <v>1</v>
      </c>
      <c r="D4383" s="1" t="inlineStr">
        <is>
          <t>Links to FNDDS</t>
        </is>
      </c>
      <c r="E4383" s="1" t="inlineStr">
        <is>
          <t>Base</t>
        </is>
      </c>
      <c r="F4383" s="1" t="n">
        <v>2.06031</v>
      </c>
    </row>
    <row r="4384" ht="15.75" customHeight="1" s="201">
      <c r="A4384" s="1" t="n">
        <v>93502100</v>
      </c>
      <c r="B4384" s="1" t="inlineStr">
        <is>
          <t>Scotch (Includes straight up or on the rocks)</t>
        </is>
      </c>
      <c r="C4384" s="1" t="n">
        <v>1</v>
      </c>
      <c r="D4384" s="1" t="inlineStr">
        <is>
          <t>Links to FNDDS</t>
        </is>
      </c>
      <c r="E4384" s="1" t="inlineStr">
        <is>
          <t>Base</t>
        </is>
      </c>
      <c r="F4384" s="1" t="n">
        <v>3.181127</v>
      </c>
    </row>
    <row r="4385" ht="15.75" customHeight="1" s="201">
      <c r="A4385" s="1" t="n">
        <v>93503000</v>
      </c>
      <c r="B4385" s="1" t="inlineStr">
        <is>
          <t>Gin (Includes straight up or on the rocks)</t>
        </is>
      </c>
      <c r="C4385" s="1" t="n">
        <v>1</v>
      </c>
      <c r="D4385" s="1" t="inlineStr">
        <is>
          <t>Links to FNDDS</t>
        </is>
      </c>
      <c r="E4385" s="1" t="inlineStr">
        <is>
          <t>Base</t>
        </is>
      </c>
      <c r="F4385" s="1" t="n">
        <v>1.628854</v>
      </c>
    </row>
    <row r="4386" ht="15.75" customHeight="1" s="201">
      <c r="A4386" s="1" t="n">
        <v>93504000</v>
      </c>
      <c r="B4386" s="1" t="inlineStr">
        <is>
          <t>Rum (Includes straight up or on the rocks)</t>
        </is>
      </c>
      <c r="C4386" s="1" t="n">
        <v>1</v>
      </c>
      <c r="D4386" s="1" t="inlineStr">
        <is>
          <t>Links to FNDDS</t>
        </is>
      </c>
      <c r="E4386" s="1" t="inlineStr">
        <is>
          <t>Base</t>
        </is>
      </c>
      <c r="F4386" s="1" t="n">
        <v>1.383447</v>
      </c>
    </row>
    <row r="4387" ht="15.75" customHeight="1" s="201">
      <c r="A4387" s="1" t="n">
        <v>93505000</v>
      </c>
      <c r="B4387" s="1" t="inlineStr">
        <is>
          <t>Vodka (Includes straight up or on the rocks)</t>
        </is>
      </c>
      <c r="C4387" s="1" t="n">
        <v>1</v>
      </c>
      <c r="D4387" s="1" t="inlineStr">
        <is>
          <t>Links to FNDDS</t>
        </is>
      </c>
      <c r="E4387" s="1" t="inlineStr">
        <is>
          <t>Base</t>
        </is>
      </c>
      <c r="F4387" s="1" t="n">
        <v>1.305507</v>
      </c>
    </row>
    <row r="4388" ht="15.75" customHeight="1" s="201">
      <c r="A4388" s="1" t="n">
        <v>93505100</v>
      </c>
      <c r="B4388" s="1" t="inlineStr">
        <is>
          <t>Tequila (Includes straight up or on the rocks)</t>
        </is>
      </c>
      <c r="C4388" s="1" t="n">
        <v>1</v>
      </c>
      <c r="D4388" s="1" t="inlineStr">
        <is>
          <t>Links to FNDDS</t>
        </is>
      </c>
      <c r="E4388" s="1" t="inlineStr">
        <is>
          <t>Base</t>
        </is>
      </c>
      <c r="F4388" s="1" t="n">
        <v>2.489498</v>
      </c>
    </row>
    <row r="4389" ht="15.75" customHeight="1" s="201">
      <c r="A4389" s="1" t="n">
        <v>94000100</v>
      </c>
      <c r="B4389" s="1" t="inlineStr">
        <is>
          <t>Water, tap (Includes filtered tap water; well water; water fountain; Brita water)</t>
        </is>
      </c>
      <c r="C4389" s="1" t="n">
        <v>2</v>
      </c>
      <c r="D4389" s="1" t="inlineStr">
        <is>
          <t>Links to altEC</t>
        </is>
      </c>
      <c r="E4389" s="1" t="inlineStr">
        <is>
          <t>Base</t>
        </is>
      </c>
      <c r="F4389" s="1" t="n">
        <v>0.035634</v>
      </c>
    </row>
    <row r="4390" ht="15.75" customHeight="1" s="201">
      <c r="A4390" s="1" t="n">
        <v>94100100</v>
      </c>
      <c r="B4390" s="1" t="inlineStr">
        <is>
          <t>Water, bottled, unsweetened (Includes plain; flavored; spring water, nonsparkling or still; mineral water, nonsparkling or still; Propel Zero Water)</t>
        </is>
      </c>
      <c r="C4390" s="1" t="n">
        <v>1</v>
      </c>
      <c r="D4390" s="1" t="inlineStr">
        <is>
          <t>Links to FNDDS</t>
        </is>
      </c>
      <c r="E4390" s="1" t="inlineStr">
        <is>
          <t>Base</t>
        </is>
      </c>
      <c r="F4390" s="1" t="n">
        <v>0.035634</v>
      </c>
    </row>
    <row r="4391" ht="15.75" customHeight="1" s="201">
      <c r="A4391" s="1" t="n">
        <v>94100200</v>
      </c>
      <c r="B4391" s="1" t="inlineStr">
        <is>
          <t>Water, bottled, sweetened, with low calorie sweetener (Includes flavored; Fruit 2 O; water, fruit flavored, sweetened, NS as to sweetener; Aquafina Flavor Splash; Dasani Flavored Water)</t>
        </is>
      </c>
      <c r="C4391" s="1" t="n">
        <v>1</v>
      </c>
      <c r="D4391" s="1" t="inlineStr">
        <is>
          <t>Links to FNDDS</t>
        </is>
      </c>
      <c r="E4391" s="1" t="inlineStr">
        <is>
          <t>Base</t>
        </is>
      </c>
      <c r="F4391" s="1" t="n">
        <v>0.059921</v>
      </c>
    </row>
    <row r="4392" ht="15.75" customHeight="1" s="201">
      <c r="A4392" s="1" t="n">
        <v>94100300</v>
      </c>
      <c r="B4392" s="1" t="inlineStr">
        <is>
          <t>Water, bottled, flavored (Capri Sun Roarin' Waters) (Includes all flavors)</t>
        </is>
      </c>
      <c r="C4392" s="1" t="n">
        <v>1</v>
      </c>
      <c r="D4392" s="1" t="inlineStr">
        <is>
          <t>Links to FNDDS</t>
        </is>
      </c>
      <c r="E4392" s="1" t="inlineStr">
        <is>
          <t>Base</t>
        </is>
      </c>
      <c r="F4392" s="1" t="n">
        <v>0.128445</v>
      </c>
    </row>
    <row r="4393" ht="15.75" customHeight="1" s="201">
      <c r="A4393" s="1" t="n">
        <v>94210100</v>
      </c>
      <c r="B4393" s="1" t="inlineStr">
        <is>
          <t>Water, bottled, flavored (Propel Water) (Includes all flavors; with calcium)</t>
        </is>
      </c>
      <c r="C4393" s="1" t="n">
        <v>1</v>
      </c>
      <c r="D4393" s="1" t="inlineStr">
        <is>
          <t>Links to FNDDS</t>
        </is>
      </c>
      <c r="E4393" s="1" t="inlineStr">
        <is>
          <t>Base</t>
        </is>
      </c>
      <c r="F4393" s="1" t="n">
        <v>0.130081</v>
      </c>
    </row>
    <row r="4394" ht="15.75" customHeight="1" s="201">
      <c r="A4394" s="1" t="n">
        <v>94210200</v>
      </c>
      <c r="B4394" s="1" t="inlineStr">
        <is>
          <t>Water, bottled, flavored (Glaceau Vitamin Water) (Includes all flavors)</t>
        </is>
      </c>
      <c r="C4394" s="1" t="n">
        <v>1</v>
      </c>
      <c r="D4394" s="1" t="inlineStr">
        <is>
          <t>Links to FNDDS</t>
        </is>
      </c>
      <c r="E4394" s="1" t="inlineStr">
        <is>
          <t>Base</t>
        </is>
      </c>
      <c r="F4394" s="1" t="n">
        <v>0.1749</v>
      </c>
    </row>
    <row r="4395" ht="15.75" customHeight="1" s="201">
      <c r="A4395" s="1" t="n">
        <v>94220215</v>
      </c>
      <c r="B4395" s="1" t="inlineStr">
        <is>
          <t>Water, bottled, flavored, sugar free (Glaceau Vitamin Water) (Includes Glaceau Vitamin Water 10; Glaceau Vitamin Water Zero; zero calorie)</t>
        </is>
      </c>
      <c r="C4395" s="1" t="n">
        <v>1</v>
      </c>
      <c r="D4395" s="1" t="inlineStr">
        <is>
          <t>Links to FNDDS</t>
        </is>
      </c>
      <c r="E4395" s="1" t="inlineStr">
        <is>
          <t>Base</t>
        </is>
      </c>
      <c r="F4395" s="1" t="n">
        <v>0.167687</v>
      </c>
    </row>
    <row r="4396" ht="15.75" customHeight="1" s="201">
      <c r="A4396" s="1" t="n">
        <v>94220310</v>
      </c>
      <c r="B4396" s="1" t="inlineStr">
        <is>
          <t>Water, bottled, flavored, sugar free (SoBe) (Includes all flavors; 0 calories; SoBe Life Water zero calories; zero calorie)</t>
        </is>
      </c>
      <c r="C4396" s="1" t="n">
        <v>2</v>
      </c>
      <c r="D4396" s="1" t="inlineStr">
        <is>
          <t>Links to altEC</t>
        </is>
      </c>
      <c r="E4396" s="1" t="inlineStr">
        <is>
          <t>Base</t>
        </is>
      </c>
      <c r="F4396" s="1" t="n">
        <v>0.194616</v>
      </c>
    </row>
    <row r="4397" ht="15.75" customHeight="1" s="201">
      <c r="A4397" s="1" t="n">
        <v>94300100</v>
      </c>
      <c r="B4397" s="1" t="inlineStr">
        <is>
          <t>Water, baby, bottled, unsweetened (Includes plain; all flavors; Nursery water; Gerber Pure water; Beech-Nut Spring water)</t>
        </is>
      </c>
      <c r="C4397" s="1" t="n">
        <v>2</v>
      </c>
      <c r="D4397" s="1" t="inlineStr">
        <is>
          <t>Links to altEC</t>
        </is>
      </c>
      <c r="E4397" s="1" t="inlineStr">
        <is>
          <t>Base</t>
        </is>
      </c>
      <c r="F4397" s="1" t="n">
        <v>0.035634</v>
      </c>
    </row>
    <row r="4398" ht="15.75" customHeight="1" s="201">
      <c r="A4398" s="1" t="n">
        <v>95101000</v>
      </c>
      <c r="B4398" s="1" t="inlineStr">
        <is>
          <t>Nutritional drink or shake, ready-to-drink (Boost) (Includes Boost Nutritional Energy Drink)</t>
        </is>
      </c>
      <c r="C4398" s="1" t="n">
        <v>2</v>
      </c>
      <c r="D4398" s="1" t="inlineStr">
        <is>
          <t>Links to altEC</t>
        </is>
      </c>
      <c r="E4398" s="1" t="inlineStr">
        <is>
          <t>Base</t>
        </is>
      </c>
      <c r="F4398" s="1" t="n">
        <v>0.44851</v>
      </c>
    </row>
    <row r="4399" ht="15.75" customHeight="1" s="201">
      <c r="A4399" s="1" t="n">
        <v>95102000</v>
      </c>
      <c r="B4399" s="1" t="inlineStr">
        <is>
          <t>Nutritional drink or shake, ready-to-drink (Carnation Instant Breakfast) (Includes instant breakfast, ready-to-drink, NFS)</t>
        </is>
      </c>
      <c r="C4399" s="1" t="n">
        <v>1</v>
      </c>
      <c r="D4399" s="1" t="inlineStr">
        <is>
          <t>Links to FNDDS</t>
        </is>
      </c>
      <c r="E4399" s="1" t="inlineStr">
        <is>
          <t>Base</t>
        </is>
      </c>
      <c r="F4399" s="1" t="n">
        <v>0.44851</v>
      </c>
    </row>
    <row r="4400" ht="15.75" customHeight="1" s="201">
      <c r="A4400" s="1" t="n">
        <v>95103000</v>
      </c>
      <c r="B4400" s="1" t="inlineStr">
        <is>
          <t>Nutritional drink or shake, ready-to-drink (Ensure) (Includes Ensure, NFS; all flavors; Bone Health; Immune Health; Muscle Health; high calcium; high protein)</t>
        </is>
      </c>
      <c r="C4400" s="1" t="n">
        <v>2</v>
      </c>
      <c r="D4400" s="1" t="inlineStr">
        <is>
          <t>Links to altEC</t>
        </is>
      </c>
      <c r="E4400" s="1" t="inlineStr">
        <is>
          <t>Base</t>
        </is>
      </c>
      <c r="F4400" s="1" t="n">
        <v>0.44851</v>
      </c>
    </row>
    <row r="4401" ht="15.75" customHeight="1" s="201">
      <c r="A4401" s="1" t="n">
        <v>95103010</v>
      </c>
      <c r="B4401" s="1" t="inlineStr">
        <is>
          <t>Nutritional drink or shake, ready-to-drink (Ensure Plus) (Includes all flavors; Clinical Strength)</t>
        </is>
      </c>
      <c r="C4401" s="1" t="n">
        <v>2</v>
      </c>
      <c r="D4401" s="1" t="inlineStr">
        <is>
          <t>Links to altEC</t>
        </is>
      </c>
      <c r="E4401" s="1" t="inlineStr">
        <is>
          <t>Base</t>
        </is>
      </c>
      <c r="F4401" s="1" t="n">
        <v>0.44851</v>
      </c>
    </row>
    <row r="4402" ht="15.75" customHeight="1" s="201">
      <c r="A4402" s="1" t="n">
        <v>95104000</v>
      </c>
      <c r="B4402" s="1" t="inlineStr">
        <is>
          <t>Nutritional drink or shake, ready-to-drink, sugar free (Glucerna) (Includes Glucerna shakes, all flavors)</t>
        </is>
      </c>
      <c r="C4402" s="1" t="n">
        <v>2</v>
      </c>
      <c r="D4402" s="1" t="inlineStr">
        <is>
          <t>Links to altEC</t>
        </is>
      </c>
      <c r="E4402" s="1" t="inlineStr">
        <is>
          <t>Base</t>
        </is>
      </c>
      <c r="F4402" s="1" t="n">
        <v>0.44851</v>
      </c>
    </row>
    <row r="4403" ht="15.75" customHeight="1" s="201">
      <c r="A4403" s="1" t="n">
        <v>95105000</v>
      </c>
      <c r="B4403" s="1" t="inlineStr">
        <is>
          <t>Nutritional drink or shake, ready-to-drink (Kellogg's Special K Protein) (Includes all flavors)</t>
        </is>
      </c>
      <c r="C4403" s="1" t="n">
        <v>2</v>
      </c>
      <c r="D4403" s="1" t="inlineStr">
        <is>
          <t>Links to altEC</t>
        </is>
      </c>
      <c r="E4403" s="1" t="inlineStr">
        <is>
          <t>Base</t>
        </is>
      </c>
      <c r="F4403" s="1" t="n">
        <v>0.44851</v>
      </c>
    </row>
    <row r="4404" ht="15.75" customHeight="1" s="201">
      <c r="A4404" s="1" t="n">
        <v>95106000</v>
      </c>
      <c r="B4404" s="1" t="inlineStr">
        <is>
          <t>Nutritional drink or shake, ready-to-drink (Muscle Milk)</t>
        </is>
      </c>
      <c r="C4404" s="1" t="n">
        <v>2</v>
      </c>
      <c r="D4404" s="1" t="inlineStr">
        <is>
          <t>Links to altEC</t>
        </is>
      </c>
      <c r="E4404" s="1" t="inlineStr">
        <is>
          <t>Base</t>
        </is>
      </c>
      <c r="F4404" s="1" t="n">
        <v>0.44851</v>
      </c>
    </row>
    <row r="4405" ht="15.75" customHeight="1" s="201">
      <c r="A4405" s="1" t="n">
        <v>95106010</v>
      </c>
      <c r="B4405" s="1" t="inlineStr">
        <is>
          <t>Nutritional drink or shake, ready-to-drink, light (Muscle Milk)</t>
        </is>
      </c>
      <c r="C4405" s="1" t="n">
        <v>2</v>
      </c>
      <c r="D4405" s="1" t="inlineStr">
        <is>
          <t>Links to altEC</t>
        </is>
      </c>
      <c r="E4405" s="1" t="inlineStr">
        <is>
          <t>Base</t>
        </is>
      </c>
      <c r="F4405" s="1" t="n">
        <v>0.44851</v>
      </c>
    </row>
    <row r="4406" ht="15.75" customHeight="1" s="201">
      <c r="A4406" s="1" t="n">
        <v>95110000</v>
      </c>
      <c r="B4406" s="1" t="inlineStr">
        <is>
          <t>Nutritional drink or shake, ready-to-drink (Slim Fast) (Includes all flavors; 3-2-1 Plan; Optima; meal replacement)</t>
        </is>
      </c>
      <c r="C4406" s="1" t="n">
        <v>2</v>
      </c>
      <c r="D4406" s="1" t="inlineStr">
        <is>
          <t>Links to altEC</t>
        </is>
      </c>
      <c r="E4406" s="1" t="inlineStr">
        <is>
          <t>Base</t>
        </is>
      </c>
      <c r="F4406" s="1" t="n">
        <v>0.44851</v>
      </c>
    </row>
    <row r="4407" ht="15.75" customHeight="1" s="201">
      <c r="A4407" s="1" t="n">
        <v>95110010</v>
      </c>
      <c r="B4407" s="1" t="inlineStr">
        <is>
          <t>Nutritional drink or shake, ready-to-drink, sugar free (Slim Fast) (Includes all flavors; 3-2-1 Plan; lower carb; meal replacement)</t>
        </is>
      </c>
      <c r="C4407" s="1" t="n">
        <v>2</v>
      </c>
      <c r="D4407" s="1" t="inlineStr">
        <is>
          <t>Links to altEC</t>
        </is>
      </c>
      <c r="E4407" s="1" t="inlineStr">
        <is>
          <t>Base</t>
        </is>
      </c>
      <c r="F4407" s="1" t="n">
        <v>0.44851</v>
      </c>
    </row>
    <row r="4408" ht="15.75" customHeight="1" s="201">
      <c r="A4408" s="1" t="n">
        <v>95120000</v>
      </c>
      <c r="B4408" s="1" t="inlineStr">
        <is>
          <t>Nutritional drink or shake, ready-to-drink, NFS (Includes brands such as Nutrament and Equate meal replacement shake; meal replacement)</t>
        </is>
      </c>
      <c r="C4408" s="1" t="n">
        <v>2</v>
      </c>
      <c r="D4408" s="1" t="inlineStr">
        <is>
          <t>Links to altEC</t>
        </is>
      </c>
      <c r="E4408" s="1" t="inlineStr">
        <is>
          <t>Base</t>
        </is>
      </c>
      <c r="F4408" s="1" t="n">
        <v>0.44851</v>
      </c>
    </row>
    <row r="4409" ht="15.75" customHeight="1" s="201">
      <c r="A4409" s="1" t="n">
        <v>95120010</v>
      </c>
      <c r="B4409" s="1" t="inlineStr">
        <is>
          <t>Nutritional drink or shake, high protein, ready-to-drink, NFS (Includes brands such as Monster Milk and EAS Myoplex; meal replacement, NFS)</t>
        </is>
      </c>
      <c r="C4409" s="1" t="n">
        <v>2</v>
      </c>
      <c r="D4409" s="1" t="inlineStr">
        <is>
          <t>Links to altEC</t>
        </is>
      </c>
      <c r="E4409" s="1" t="inlineStr">
        <is>
          <t>Base</t>
        </is>
      </c>
      <c r="F4409" s="1" t="n">
        <v>0.44851</v>
      </c>
    </row>
    <row r="4410" ht="15.75" customHeight="1" s="201">
      <c r="A4410" s="1" t="n">
        <v>95120020</v>
      </c>
      <c r="B4410" s="1" t="inlineStr">
        <is>
          <t>Nutritional drink or shake, high protein, light, ready-to-drink, NFS (Includes brands such as Myoplex Lite; meal replacement)</t>
        </is>
      </c>
      <c r="C4410" s="1" t="n">
        <v>2</v>
      </c>
      <c r="D4410" s="1" t="inlineStr">
        <is>
          <t>Links to altEC</t>
        </is>
      </c>
      <c r="E4410" s="1" t="inlineStr">
        <is>
          <t>Base</t>
        </is>
      </c>
      <c r="F4410" s="1" t="n">
        <v>0.44851</v>
      </c>
    </row>
    <row r="4411" ht="15.75" customHeight="1" s="201">
      <c r="A4411" s="1" t="n">
        <v>95120050</v>
      </c>
      <c r="B4411" s="1" t="inlineStr">
        <is>
          <t>Nutritional drink or shake, liquid, soy-based (Includes Isocal liquid nutrition; Osmolite liquid nutrition; meal replacement)</t>
        </is>
      </c>
      <c r="C4411" s="1" t="n">
        <v>2</v>
      </c>
      <c r="D4411" s="1" t="inlineStr">
        <is>
          <t>Links to altEC</t>
        </is>
      </c>
      <c r="E4411" s="1" t="inlineStr">
        <is>
          <t>Base</t>
        </is>
      </c>
      <c r="F4411" s="1" t="n">
        <v>0.44851</v>
      </c>
    </row>
    <row r="4412" ht="15.75" customHeight="1" s="201">
      <c r="A4412" s="1" t="n">
        <v>95201000</v>
      </c>
      <c r="B4412" s="1" t="inlineStr">
        <is>
          <t>Nutritional powder mix (Carnation Instant Breakfast) (Includes instant breakfast, powdered, NFS)</t>
        </is>
      </c>
      <c r="C4412" s="1" t="n">
        <v>1</v>
      </c>
      <c r="D4412" s="1" t="inlineStr">
        <is>
          <t>Links to FNDDS</t>
        </is>
      </c>
      <c r="E4412" s="1" t="inlineStr">
        <is>
          <t>Base</t>
        </is>
      </c>
      <c r="F4412" s="1" t="n">
        <v>1.349425</v>
      </c>
    </row>
    <row r="4413" ht="15.75" customHeight="1" s="201">
      <c r="A4413" s="1" t="n">
        <v>95201500</v>
      </c>
      <c r="B4413" s="1" t="inlineStr">
        <is>
          <t>Nutritional powder mix, high protein (Herbalife) (Includes all flavors; Healthy Meal nutritional shake mix)</t>
        </is>
      </c>
      <c r="C4413" s="1" t="n">
        <v>2</v>
      </c>
      <c r="D4413" s="1" t="inlineStr">
        <is>
          <t>Links to altEC</t>
        </is>
      </c>
      <c r="E4413" s="1" t="inlineStr">
        <is>
          <t>Base</t>
        </is>
      </c>
      <c r="F4413" s="1" t="n">
        <v>1.349425</v>
      </c>
    </row>
    <row r="4414" ht="15.75" customHeight="1" s="201">
      <c r="A4414" s="1" t="n">
        <v>95220000</v>
      </c>
      <c r="B4414" s="1" t="inlineStr">
        <is>
          <t>Nutritional powder mix, NFS (Includes meal replacement, NFS)</t>
        </is>
      </c>
      <c r="C4414" s="1" t="n">
        <v>2</v>
      </c>
      <c r="D4414" s="1" t="inlineStr">
        <is>
          <t>Links to altEC</t>
        </is>
      </c>
      <c r="E4414" s="1" t="inlineStr">
        <is>
          <t>Base</t>
        </is>
      </c>
      <c r="F4414" s="1" t="n">
        <v>1.349425</v>
      </c>
    </row>
    <row r="4415" ht="15.75" customHeight="1" s="201">
      <c r="A4415" s="1" t="n">
        <v>95220010</v>
      </c>
      <c r="B4415" s="1" t="inlineStr">
        <is>
          <t>Nutritional powder mix, high protein, NFS (Includes brands such as D.E.L.T.A. Enhance Formula and Joe Weider's Dynamic Protein Shake; Monster Milk; meal replacement)</t>
        </is>
      </c>
      <c r="C4415" s="1" t="n">
        <v>2</v>
      </c>
      <c r="D4415" s="1" t="inlineStr">
        <is>
          <t>Links to altEC</t>
        </is>
      </c>
      <c r="E4415" s="1" t="inlineStr">
        <is>
          <t>Base</t>
        </is>
      </c>
      <c r="F4415" s="1" t="n">
        <v>1.349425</v>
      </c>
    </row>
    <row r="4416" ht="15.75" customHeight="1" s="201">
      <c r="A4416" s="1" t="n">
        <v>95230000</v>
      </c>
      <c r="B4416" s="1" t="inlineStr">
        <is>
          <t>Nutritional powder mix, whey based, NFS (Includes protein shake mix; brands such as Gold Standard, NOW Foods)</t>
        </is>
      </c>
      <c r="C4416" s="1" t="n">
        <v>2</v>
      </c>
      <c r="D4416" s="1" t="inlineStr">
        <is>
          <t>Links to altEC</t>
        </is>
      </c>
      <c r="E4416" s="1" t="inlineStr">
        <is>
          <t>Base</t>
        </is>
      </c>
      <c r="F4416" s="1" t="n">
        <v>1.349425</v>
      </c>
    </row>
    <row r="4417" ht="15.75" customHeight="1" s="201">
      <c r="A4417" s="1" t="n">
        <v>95230010</v>
      </c>
      <c r="B4417" s="1" t="inlineStr">
        <is>
          <t>Nutritional powder mix, protein, soy based, NFS (Includes protein shake mix; brands such as Gold Standard, NOW Foods)</t>
        </is>
      </c>
      <c r="C4417" s="1" t="n">
        <v>2</v>
      </c>
      <c r="D4417" s="1" t="inlineStr">
        <is>
          <t>Links to altEC</t>
        </is>
      </c>
      <c r="E4417" s="1" t="inlineStr">
        <is>
          <t>Base</t>
        </is>
      </c>
      <c r="F4417" s="1" t="n">
        <v>1.349425</v>
      </c>
    </row>
    <row r="4418" ht="15.75" customHeight="1" s="201">
      <c r="A4418" s="1" t="n">
        <v>95230020</v>
      </c>
      <c r="B4418" s="1" t="inlineStr">
        <is>
          <t>Nutritional powder mix, protein, light, NFS (Includes protein shake mix; brands such as Reliv Now, Beneprotein)</t>
        </is>
      </c>
      <c r="C4418" s="1" t="n">
        <v>2</v>
      </c>
      <c r="D4418" s="1" t="inlineStr">
        <is>
          <t>Links to altEC</t>
        </is>
      </c>
      <c r="E4418" s="1" t="inlineStr">
        <is>
          <t>Base</t>
        </is>
      </c>
      <c r="F4418" s="1" t="n">
        <v>1.349425</v>
      </c>
    </row>
    <row r="4419" ht="15.75" customHeight="1" s="201">
      <c r="A4419" s="1" t="n">
        <v>95230030</v>
      </c>
      <c r="B4419" s="1" t="inlineStr">
        <is>
          <t>Nutritional powder mix, protein, NFS (Includes protein shake mix, NFS; brands such as NOW Foods, NFS and Gold Standard, NFS)</t>
        </is>
      </c>
      <c r="C4419" s="1" t="n">
        <v>2</v>
      </c>
      <c r="D4419" s="1" t="inlineStr">
        <is>
          <t>Links to altEC</t>
        </is>
      </c>
      <c r="E4419" s="1" t="inlineStr">
        <is>
          <t>Base</t>
        </is>
      </c>
      <c r="F4419" s="1" t="n">
        <v>1.349425</v>
      </c>
    </row>
    <row r="4420" ht="15.75" customHeight="1" s="201">
      <c r="A4420" s="1" t="n">
        <v>95310200</v>
      </c>
      <c r="B4420" s="1" t="inlineStr">
        <is>
          <t>Energy drink (Full Throttle)</t>
        </is>
      </c>
      <c r="C4420" s="1" t="n">
        <v>1</v>
      </c>
      <c r="D4420" s="1" t="inlineStr">
        <is>
          <t>Links to FNDDS</t>
        </is>
      </c>
      <c r="E4420" s="1" t="inlineStr">
        <is>
          <t>Base</t>
        </is>
      </c>
      <c r="F4420" s="1" t="n">
        <v>0.349251</v>
      </c>
    </row>
    <row r="4421" ht="15.75" customHeight="1" s="201">
      <c r="A4421" s="1" t="n">
        <v>95310400</v>
      </c>
      <c r="B4421" s="1" t="inlineStr">
        <is>
          <t>Energy drink (Monster)</t>
        </is>
      </c>
      <c r="C4421" s="1" t="n">
        <v>1</v>
      </c>
      <c r="D4421" s="1" t="inlineStr">
        <is>
          <t>Links to FNDDS</t>
        </is>
      </c>
      <c r="E4421" s="1" t="inlineStr">
        <is>
          <t>Base</t>
        </is>
      </c>
      <c r="F4421" s="1" t="n">
        <v>0.348197</v>
      </c>
    </row>
    <row r="4422" ht="15.75" customHeight="1" s="201">
      <c r="A4422" s="1" t="n">
        <v>95310560</v>
      </c>
      <c r="B4422" s="1" t="inlineStr">
        <is>
          <t>Energy drink (NOS)</t>
        </is>
      </c>
      <c r="C4422" s="1" t="n">
        <v>1</v>
      </c>
      <c r="D4422" s="1" t="inlineStr">
        <is>
          <t>Links to FNDDS</t>
        </is>
      </c>
      <c r="E4422" s="1" t="inlineStr">
        <is>
          <t>Base</t>
        </is>
      </c>
      <c r="F4422" s="1" t="n">
        <v>0.346352</v>
      </c>
    </row>
    <row r="4423" ht="15.75" customHeight="1" s="201">
      <c r="A4423" s="1" t="n">
        <v>95310600</v>
      </c>
      <c r="B4423" s="1" t="inlineStr">
        <is>
          <t>Energy drink (Red Bull)</t>
        </is>
      </c>
      <c r="C4423" s="1" t="n">
        <v>1</v>
      </c>
      <c r="D4423" s="1" t="inlineStr">
        <is>
          <t>Links to FNDDS</t>
        </is>
      </c>
      <c r="E4423" s="1" t="inlineStr">
        <is>
          <t>Base</t>
        </is>
      </c>
      <c r="F4423" s="1" t="n">
        <v>0.6945480000000001</v>
      </c>
    </row>
    <row r="4424" ht="15.75" customHeight="1" s="201">
      <c r="A4424" s="1" t="n">
        <v>95310700</v>
      </c>
      <c r="B4424" s="1" t="inlineStr">
        <is>
          <t>Energy drink (Rockstar)</t>
        </is>
      </c>
      <c r="C4424" s="1" t="n">
        <v>1</v>
      </c>
      <c r="D4424" s="1" t="inlineStr">
        <is>
          <t>Links to FNDDS</t>
        </is>
      </c>
      <c r="E4424" s="1" t="inlineStr">
        <is>
          <t>Base</t>
        </is>
      </c>
      <c r="F4424" s="1" t="n">
        <v>0.318472</v>
      </c>
    </row>
    <row r="4425" ht="15.75" customHeight="1" s="201">
      <c r="A4425" s="1" t="n">
        <v>95310750</v>
      </c>
      <c r="B4425" s="1" t="inlineStr">
        <is>
          <t>Energy drink (SoBe Energize Energy Juice Drink) (Includes all flavors)</t>
        </is>
      </c>
      <c r="C4425" s="1" t="n">
        <v>1</v>
      </c>
      <c r="D4425" s="1" t="inlineStr">
        <is>
          <t>Links to FNDDS</t>
        </is>
      </c>
      <c r="E4425" s="1" t="inlineStr">
        <is>
          <t>Base</t>
        </is>
      </c>
      <c r="F4425" s="1" t="n">
        <v>0.217892</v>
      </c>
    </row>
    <row r="4426" ht="15.75" customHeight="1" s="201">
      <c r="A4426" s="1" t="n">
        <v>95311000</v>
      </c>
      <c r="B4426" s="1" t="inlineStr">
        <is>
          <t>Energy Drink (Includes NS as to brand)</t>
        </is>
      </c>
      <c r="C4426" s="1" t="n">
        <v>1</v>
      </c>
      <c r="D4426" s="1" t="inlineStr">
        <is>
          <t>Links to FNDDS</t>
        </is>
      </c>
      <c r="E4426" s="1" t="inlineStr">
        <is>
          <t>Base</t>
        </is>
      </c>
      <c r="F4426" s="1" t="n">
        <v>0.422141</v>
      </c>
    </row>
    <row r="4427" ht="15.75" customHeight="1" s="201">
      <c r="A4427" s="1" t="n">
        <v>95312410</v>
      </c>
      <c r="B4427" s="1" t="inlineStr">
        <is>
          <t>Energy drink, sugar free (Monster) (Includes all flavors; zero)</t>
        </is>
      </c>
      <c r="C4427" s="1" t="n">
        <v>2</v>
      </c>
      <c r="D4427" s="1" t="inlineStr">
        <is>
          <t>Links to altEC</t>
        </is>
      </c>
      <c r="E4427" s="1" t="inlineStr">
        <is>
          <t>Base</t>
        </is>
      </c>
      <c r="F4427" s="1" t="n">
        <v>0.348591</v>
      </c>
    </row>
    <row r="4428" ht="15.75" customHeight="1" s="201">
      <c r="A4428" s="1" t="n">
        <v>95312560</v>
      </c>
      <c r="B4428" s="1" t="inlineStr">
        <is>
          <t>Energy drink (Ocean Spray Cran-Energy Juice Drink) (Includes all flavors)</t>
        </is>
      </c>
      <c r="C4428" s="1" t="n">
        <v>1</v>
      </c>
      <c r="D4428" s="1" t="inlineStr">
        <is>
          <t>Links to FNDDS</t>
        </is>
      </c>
      <c r="E4428" s="1" t="inlineStr">
        <is>
          <t>Base</t>
        </is>
      </c>
      <c r="F4428" s="1" t="n">
        <v>0.293198</v>
      </c>
    </row>
    <row r="4429" ht="15.75" customHeight="1" s="201">
      <c r="A4429" s="1" t="n">
        <v>95312600</v>
      </c>
      <c r="B4429" s="1" t="inlineStr">
        <is>
          <t>Energy drink, sugar-free (Red Bull) (Includes Red Bull Total Zero)</t>
        </is>
      </c>
      <c r="C4429" s="1" t="n">
        <v>1</v>
      </c>
      <c r="D4429" s="1" t="inlineStr">
        <is>
          <t>Links to FNDDS</t>
        </is>
      </c>
      <c r="E4429" s="1" t="inlineStr">
        <is>
          <t>Base</t>
        </is>
      </c>
      <c r="F4429" s="1" t="n">
        <v>0.736716</v>
      </c>
    </row>
    <row r="4430" ht="15.75" customHeight="1" s="201">
      <c r="A4430" s="1" t="n">
        <v>95312700</v>
      </c>
      <c r="B4430" s="1" t="inlineStr">
        <is>
          <t>Energy drink, sugar free (Rockstar)</t>
        </is>
      </c>
      <c r="C4430" s="1" t="n">
        <v>1</v>
      </c>
      <c r="D4430" s="1" t="inlineStr">
        <is>
          <t>Links to FNDDS</t>
        </is>
      </c>
      <c r="E4430" s="1" t="inlineStr">
        <is>
          <t>Base</t>
        </is>
      </c>
      <c r="F4430" s="1" t="n">
        <v>0.298787</v>
      </c>
    </row>
    <row r="4431" ht="15.75" customHeight="1" s="201">
      <c r="A4431" s="1" t="n">
        <v>95313200</v>
      </c>
      <c r="B4431" s="1" t="inlineStr">
        <is>
          <t>Energy drink, sugar free (Includes NS as to brand; low carb / carbohydrate; light; diet; Zero)</t>
        </is>
      </c>
      <c r="C4431" s="1" t="n">
        <v>1</v>
      </c>
      <c r="D4431" s="1" t="inlineStr">
        <is>
          <t>Links to FNDDS</t>
        </is>
      </c>
      <c r="E4431" s="1" t="inlineStr">
        <is>
          <t>Base</t>
        </is>
      </c>
      <c r="F4431" s="1" t="n">
        <v>0.386143</v>
      </c>
    </row>
    <row r="4432" ht="15.75" customHeight="1" s="201">
      <c r="A4432" s="1" t="n">
        <v>95320200</v>
      </c>
      <c r="B4432" s="1" t="inlineStr">
        <is>
          <t>Sports drink (Gatorade G) (Includes all flavors; Gatorade, NFS)</t>
        </is>
      </c>
      <c r="C4432" s="1" t="n">
        <v>1</v>
      </c>
      <c r="D4432" s="1" t="inlineStr">
        <is>
          <t>Links to FNDDS</t>
        </is>
      </c>
      <c r="E4432" s="1" t="inlineStr">
        <is>
          <t>Base</t>
        </is>
      </c>
      <c r="F4432" s="1" t="n">
        <v>0.120958</v>
      </c>
    </row>
    <row r="4433" ht="15.75" customHeight="1" s="201">
      <c r="A4433" s="1" t="n">
        <v>95320500</v>
      </c>
      <c r="B4433" s="1" t="inlineStr">
        <is>
          <t>Sports drink (Powerade) (Includes all flavors)</t>
        </is>
      </c>
      <c r="C4433" s="1" t="n">
        <v>1</v>
      </c>
      <c r="D4433" s="1" t="inlineStr">
        <is>
          <t>Links to FNDDS</t>
        </is>
      </c>
      <c r="E4433" s="1" t="inlineStr">
        <is>
          <t>Base</t>
        </is>
      </c>
      <c r="F4433" s="1" t="n">
        <v>0.091942</v>
      </c>
    </row>
    <row r="4434" ht="15.75" customHeight="1" s="201">
      <c r="A4434" s="1" t="n">
        <v>95322200</v>
      </c>
      <c r="B4434" s="1" t="inlineStr">
        <is>
          <t>Sports drink, low calorie (Gatorade G2) (Includes all flavors)</t>
        </is>
      </c>
      <c r="C4434" s="1" t="n">
        <v>1</v>
      </c>
      <c r="D4434" s="1" t="inlineStr">
        <is>
          <t>Links to FNDDS</t>
        </is>
      </c>
      <c r="E4434" s="1" t="inlineStr">
        <is>
          <t>Base</t>
        </is>
      </c>
      <c r="F4434" s="1" t="n">
        <v>0.114084</v>
      </c>
    </row>
    <row r="4435" ht="15.75" customHeight="1" s="201">
      <c r="A4435" s="1" t="n">
        <v>95322500</v>
      </c>
      <c r="B4435" s="1" t="inlineStr">
        <is>
          <t>Sports drink, low calorie (Powerade Zero) (Includes all flavors)</t>
        </is>
      </c>
      <c r="C4435" s="1" t="n">
        <v>1</v>
      </c>
      <c r="D4435" s="1" t="inlineStr">
        <is>
          <t>Links to FNDDS</t>
        </is>
      </c>
      <c r="E4435" s="1" t="inlineStr">
        <is>
          <t>Base</t>
        </is>
      </c>
      <c r="F4435" s="1" t="n">
        <v>0.089002</v>
      </c>
    </row>
    <row r="4436" ht="15.75" customHeight="1" s="201">
      <c r="A4436" s="1" t="n">
        <v>95330100</v>
      </c>
      <c r="B4436" s="1" t="inlineStr">
        <is>
          <t>Fluid replacement, electrolyte solution (Includes Pedialyte)</t>
        </is>
      </c>
      <c r="C4436" s="1" t="n">
        <v>1</v>
      </c>
      <c r="D4436" s="1" t="inlineStr">
        <is>
          <t>Links to FNDDS</t>
        </is>
      </c>
      <c r="E4436" s="1" t="inlineStr">
        <is>
          <t>Base</t>
        </is>
      </c>
      <c r="F4436" s="1" t="n">
        <v>0.500831</v>
      </c>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2025-02-26T18:34:25Z</dcterms:created>
  <dcterms:modified xsi:type="dcterms:W3CDTF">2026-02-18T19:27:11Z</dcterms:modified>
</cp:coreProperties>
</file>